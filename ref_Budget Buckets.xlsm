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Brian\Documents\!Projects\Budget Buckets Git\"/>
    </mc:Choice>
  </mc:AlternateContent>
  <xr:revisionPtr revIDLastSave="0" documentId="13_ncr:1_{DA433CAB-EB76-4DAC-8D67-932242298D29}" xr6:coauthVersionLast="45" xr6:coauthVersionMax="45" xr10:uidLastSave="{00000000-0000-0000-0000-000000000000}"/>
  <bookViews>
    <workbookView xWindow="-120" yWindow="-16320" windowWidth="29040" windowHeight="15840" firstSheet="1" activeTab="2" xr2:uid="{9C05E366-9767-424E-BA59-A57B3BAC4D0C}"/>
  </bookViews>
  <sheets>
    <sheet name="Notes and stuff" sheetId="10" r:id="rId1"/>
    <sheet name="Plan" sheetId="16" r:id="rId2"/>
    <sheet name="Log 2018" sheetId="11" r:id="rId3"/>
    <sheet name="Log 2019" sheetId="14" r:id="rId4"/>
    <sheet name="Log 2020" sheetId="15" r:id="rId5"/>
    <sheet name="Totals" sheetId="22" r:id="rId6"/>
    <sheet name="Summary" sheetId="24" r:id="rId7"/>
    <sheet name="Buckets" sheetId="2" r:id="rId8"/>
  </sheets>
  <functionGroups builtInGroupCount="19"/>
  <definedNames>
    <definedName name="_xlnm._FilterDatabase" localSheetId="2" hidden="1">'Log 2018'!#REF!</definedName>
    <definedName name="_xlnm._FilterDatabase" localSheetId="3" hidden="1">'Log 2019'!$D$757:$M$775</definedName>
    <definedName name="_xlnm._FilterDatabase" localSheetId="4" hidden="1">'Log 2020'!#REF!</definedName>
    <definedName name="CategoriesList">Buckets!$C:$C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B29" i="2" l="1"/>
  <c r="WY29" i="2"/>
  <c r="XB28" i="2"/>
  <c r="WY28" i="2"/>
  <c r="XB27" i="2"/>
  <c r="WY27" i="2"/>
  <c r="XL26" i="2"/>
  <c r="XH26" i="2"/>
  <c r="XB25" i="2"/>
  <c r="WY25" i="2"/>
  <c r="XB24" i="2"/>
  <c r="WY24" i="2"/>
  <c r="XB23" i="2"/>
  <c r="WY23" i="2"/>
  <c r="XB22" i="2"/>
  <c r="WY22" i="2"/>
  <c r="XL21" i="2"/>
  <c r="XH21" i="2"/>
  <c r="XB21" i="2"/>
  <c r="WY21" i="2"/>
  <c r="XB20" i="2"/>
  <c r="WY20" i="2"/>
  <c r="XB19" i="2"/>
  <c r="WY19" i="2"/>
  <c r="XB15" i="2"/>
  <c r="WY15" i="2"/>
  <c r="XB14" i="2"/>
  <c r="WY14" i="2"/>
  <c r="XB13" i="2"/>
  <c r="WY13" i="2"/>
  <c r="XB12" i="2"/>
  <c r="WY12" i="2"/>
  <c r="XB11" i="2"/>
  <c r="WY11" i="2"/>
  <c r="XB10" i="2"/>
  <c r="WY10" i="2"/>
  <c r="XB9" i="2"/>
  <c r="WY9" i="2"/>
  <c r="XB8" i="2"/>
  <c r="WY8" i="2"/>
  <c r="XB7" i="2"/>
  <c r="WY7" i="2"/>
  <c r="XL6" i="2"/>
  <c r="XH6" i="2"/>
  <c r="XB5" i="2"/>
  <c r="WY5" i="2"/>
  <c r="I4" i="15"/>
  <c r="J4" i="15" s="1"/>
  <c r="I10" i="15"/>
  <c r="J10" i="15" s="1"/>
  <c r="I15" i="15"/>
  <c r="J15" i="15" s="1"/>
  <c r="I16" i="15"/>
  <c r="J16" i="15" s="1"/>
  <c r="I21" i="15"/>
  <c r="I25" i="15"/>
  <c r="J25" i="15" s="1"/>
  <c r="I28" i="15"/>
  <c r="J21" i="15"/>
  <c r="J28" i="15"/>
  <c r="L4" i="15"/>
  <c r="L10" i="15"/>
  <c r="L15" i="15"/>
  <c r="L16" i="15"/>
  <c r="P16" i="15" s="1"/>
  <c r="L21" i="15"/>
  <c r="L25" i="15"/>
  <c r="L28" i="15"/>
  <c r="L30" i="15"/>
  <c r="AC4" i="15"/>
  <c r="AC10" i="15"/>
  <c r="AC15" i="15"/>
  <c r="AC16" i="15"/>
  <c r="AC21" i="15"/>
  <c r="AC25" i="15"/>
  <c r="AC28" i="15"/>
  <c r="AC30" i="15"/>
  <c r="H30" i="15"/>
  <c r="I30" i="15" s="1"/>
  <c r="J30" i="15" s="1"/>
  <c r="I5" i="15"/>
  <c r="J5" i="15" s="1"/>
  <c r="I7" i="15"/>
  <c r="J7" i="15" s="1"/>
  <c r="I8" i="15"/>
  <c r="J8" i="15" s="1"/>
  <c r="I9" i="15"/>
  <c r="J9" i="15" s="1"/>
  <c r="I11" i="15"/>
  <c r="J11" i="15" s="1"/>
  <c r="I12" i="15"/>
  <c r="I17" i="15"/>
  <c r="J17" i="15" s="1"/>
  <c r="I22" i="15"/>
  <c r="J22" i="15" s="1"/>
  <c r="I24" i="15"/>
  <c r="I26" i="15"/>
  <c r="J26" i="15" s="1"/>
  <c r="I29" i="15"/>
  <c r="J29" i="15" s="1"/>
  <c r="L5" i="15"/>
  <c r="L6" i="15"/>
  <c r="L7" i="15"/>
  <c r="L8" i="15"/>
  <c r="L9" i="15"/>
  <c r="L11" i="15"/>
  <c r="L12" i="15"/>
  <c r="L13" i="15"/>
  <c r="L14" i="15"/>
  <c r="L17" i="15"/>
  <c r="L18" i="15"/>
  <c r="L19" i="15"/>
  <c r="L20" i="15"/>
  <c r="L22" i="15"/>
  <c r="L23" i="15"/>
  <c r="L24" i="15"/>
  <c r="L26" i="15"/>
  <c r="L27" i="15"/>
  <c r="L29" i="15"/>
  <c r="AC5" i="15"/>
  <c r="AC6" i="15"/>
  <c r="AC7" i="15"/>
  <c r="AC8" i="15"/>
  <c r="AC9" i="15"/>
  <c r="AC11" i="15"/>
  <c r="AC12" i="15"/>
  <c r="AC13" i="15"/>
  <c r="AC14" i="15"/>
  <c r="AC17" i="15"/>
  <c r="AC18" i="15"/>
  <c r="AC19" i="15"/>
  <c r="AC20" i="15"/>
  <c r="AC22" i="15"/>
  <c r="AC23" i="15"/>
  <c r="AC24" i="15"/>
  <c r="AC26" i="15"/>
  <c r="AC27" i="15"/>
  <c r="AC29" i="15"/>
  <c r="H27" i="15"/>
  <c r="I27" i="15" s="1"/>
  <c r="H23" i="15"/>
  <c r="I23" i="15" s="1"/>
  <c r="H20" i="15"/>
  <c r="I20" i="15" s="1"/>
  <c r="H19" i="15"/>
  <c r="I19" i="15" s="1"/>
  <c r="H18" i="15"/>
  <c r="I18" i="15" s="1"/>
  <c r="H14" i="15"/>
  <c r="I14" i="15" s="1"/>
  <c r="H13" i="15"/>
  <c r="I13" i="15" s="1"/>
  <c r="H6" i="15"/>
  <c r="I6" i="15" s="1"/>
  <c r="P11" i="15" l="1"/>
  <c r="Q11" i="15" s="1"/>
  <c r="P25" i="15"/>
  <c r="Q25" i="15" s="1"/>
  <c r="R25" i="15" s="1"/>
  <c r="P8" i="15"/>
  <c r="Q8" i="15" s="1"/>
  <c r="P30" i="15"/>
  <c r="Q30" i="15" s="1"/>
  <c r="P22" i="15"/>
  <c r="Q22" i="15" s="1"/>
  <c r="P29" i="15"/>
  <c r="Q29" i="15" s="1"/>
  <c r="P15" i="15"/>
  <c r="Q15" i="15" s="1"/>
  <c r="R15" i="15" s="1"/>
  <c r="P10" i="15"/>
  <c r="Q10" i="15" s="1"/>
  <c r="P21" i="15"/>
  <c r="Q21" i="15" s="1"/>
  <c r="P28" i="15"/>
  <c r="Q28" i="15" s="1"/>
  <c r="P4" i="15"/>
  <c r="Q4" i="15" s="1"/>
  <c r="Q16" i="15"/>
  <c r="R16" i="15" s="1"/>
  <c r="P24" i="15"/>
  <c r="P7" i="15"/>
  <c r="P18" i="15"/>
  <c r="J18" i="15"/>
  <c r="P19" i="15"/>
  <c r="J19" i="15"/>
  <c r="P20" i="15"/>
  <c r="J20" i="15"/>
  <c r="P14" i="15"/>
  <c r="J14" i="15"/>
  <c r="P27" i="15"/>
  <c r="J27" i="15"/>
  <c r="J23" i="15"/>
  <c r="P23" i="15"/>
  <c r="P6" i="15"/>
  <c r="J6" i="15"/>
  <c r="P13" i="15"/>
  <c r="J13" i="15"/>
  <c r="P12" i="15"/>
  <c r="P9" i="15"/>
  <c r="P17" i="15"/>
  <c r="Q17" i="15" s="1"/>
  <c r="J24" i="15"/>
  <c r="P26" i="15"/>
  <c r="P5" i="15"/>
  <c r="J12" i="15"/>
  <c r="I32" i="15"/>
  <c r="J32" i="15" s="1"/>
  <c r="L32" i="15"/>
  <c r="AC32" i="15"/>
  <c r="I46" i="15"/>
  <c r="I31" i="15"/>
  <c r="J31" i="15" s="1"/>
  <c r="I33" i="15"/>
  <c r="J33" i="15" s="1"/>
  <c r="I40" i="15"/>
  <c r="J40" i="15" s="1"/>
  <c r="I45" i="15"/>
  <c r="J45" i="15" s="1"/>
  <c r="I50" i="15"/>
  <c r="I53" i="15"/>
  <c r="I54" i="15"/>
  <c r="J54" i="15" s="1"/>
  <c r="L31" i="15"/>
  <c r="L33" i="15"/>
  <c r="L34" i="15"/>
  <c r="L38" i="15"/>
  <c r="L40" i="15"/>
  <c r="L45" i="15"/>
  <c r="L46" i="15"/>
  <c r="L50" i="15"/>
  <c r="L51" i="15"/>
  <c r="L53" i="15"/>
  <c r="L54" i="15"/>
  <c r="AC31" i="15"/>
  <c r="AC33" i="15"/>
  <c r="AC34" i="15"/>
  <c r="AC38" i="15"/>
  <c r="AC40" i="15"/>
  <c r="AC45" i="15"/>
  <c r="AC46" i="15"/>
  <c r="AC50" i="15"/>
  <c r="AC51" i="15"/>
  <c r="AC53" i="15"/>
  <c r="AC54" i="15"/>
  <c r="H51" i="15"/>
  <c r="I51" i="15" s="1"/>
  <c r="H38" i="15"/>
  <c r="I38" i="15" s="1"/>
  <c r="H34" i="15"/>
  <c r="I34" i="15" s="1"/>
  <c r="I36" i="15"/>
  <c r="J36" i="15" s="1"/>
  <c r="I35" i="15"/>
  <c r="J35" i="15" s="1"/>
  <c r="I39" i="15"/>
  <c r="J39" i="15" s="1"/>
  <c r="I41" i="15"/>
  <c r="J41" i="15" s="1"/>
  <c r="I42" i="15"/>
  <c r="J42" i="15" s="1"/>
  <c r="I43" i="15"/>
  <c r="I44" i="15"/>
  <c r="I47" i="15"/>
  <c r="J47" i="15" s="1"/>
  <c r="I52" i="15"/>
  <c r="J52" i="15" s="1"/>
  <c r="I48" i="15"/>
  <c r="I58" i="15"/>
  <c r="J58" i="15" s="1"/>
  <c r="I60" i="15"/>
  <c r="L36" i="15"/>
  <c r="L35" i="15"/>
  <c r="L37" i="15"/>
  <c r="L39" i="15"/>
  <c r="L41" i="15"/>
  <c r="L42" i="15"/>
  <c r="L43" i="15"/>
  <c r="L44" i="15"/>
  <c r="L47" i="15"/>
  <c r="L52" i="15"/>
  <c r="L48" i="15"/>
  <c r="L49" i="15"/>
  <c r="L55" i="15"/>
  <c r="L58" i="15"/>
  <c r="L60" i="15"/>
  <c r="AC36" i="15"/>
  <c r="AC35" i="15"/>
  <c r="AC37" i="15"/>
  <c r="AC39" i="15"/>
  <c r="AC41" i="15"/>
  <c r="AC42" i="15"/>
  <c r="AC43" i="15"/>
  <c r="AC44" i="15"/>
  <c r="AC47" i="15"/>
  <c r="AC52" i="15"/>
  <c r="AC48" i="15"/>
  <c r="AC49" i="15"/>
  <c r="AC55" i="15"/>
  <c r="AC58" i="15"/>
  <c r="AC60" i="15"/>
  <c r="H55" i="15"/>
  <c r="I55" i="15" s="1"/>
  <c r="H49" i="15"/>
  <c r="I49" i="15" s="1"/>
  <c r="H37" i="15"/>
  <c r="I37" i="15" s="1"/>
  <c r="R11" i="15" l="1"/>
  <c r="S11" i="15" s="1"/>
  <c r="R8" i="15"/>
  <c r="R22" i="15"/>
  <c r="R29" i="15"/>
  <c r="S29" i="15" s="1"/>
  <c r="R10" i="15"/>
  <c r="S15" i="15"/>
  <c r="T15" i="15" s="1"/>
  <c r="S16" i="15"/>
  <c r="R28" i="15"/>
  <c r="S28" i="15" s="1"/>
  <c r="R21" i="15"/>
  <c r="S21" i="15" s="1"/>
  <c r="S25" i="15"/>
  <c r="T25" i="15" s="1"/>
  <c r="R30" i="15"/>
  <c r="S30" i="15" s="1"/>
  <c r="T30" i="15" s="1"/>
  <c r="R4" i="15"/>
  <c r="S4" i="15" s="1"/>
  <c r="T4" i="15" s="1"/>
  <c r="Q7" i="15"/>
  <c r="Q24" i="15"/>
  <c r="R24" i="15" s="1"/>
  <c r="S24" i="15" s="1"/>
  <c r="Q12" i="15"/>
  <c r="R12" i="15" s="1"/>
  <c r="Q18" i="15"/>
  <c r="R18" i="15" s="1"/>
  <c r="Q5" i="15"/>
  <c r="Q13" i="15"/>
  <c r="R13" i="15" s="1"/>
  <c r="S13" i="15" s="1"/>
  <c r="Q27" i="15"/>
  <c r="R27" i="15" s="1"/>
  <c r="Q14" i="15"/>
  <c r="R14" i="15" s="1"/>
  <c r="Q20" i="15"/>
  <c r="R20" i="15" s="1"/>
  <c r="Q9" i="15"/>
  <c r="Q6" i="15"/>
  <c r="R17" i="15"/>
  <c r="S17" i="15" s="1"/>
  <c r="T17" i="15" s="1"/>
  <c r="Q19" i="15"/>
  <c r="Q26" i="15"/>
  <c r="Q23" i="15"/>
  <c r="P32" i="15"/>
  <c r="P45" i="15"/>
  <c r="Q45" i="15" s="1"/>
  <c r="P46" i="15"/>
  <c r="Q46" i="15" s="1"/>
  <c r="R46" i="15" s="1"/>
  <c r="P40" i="15"/>
  <c r="Q40" i="15" s="1"/>
  <c r="P41" i="15"/>
  <c r="Q41" i="15" s="1"/>
  <c r="R41" i="15" s="1"/>
  <c r="P50" i="15"/>
  <c r="P48" i="15"/>
  <c r="Q48" i="15" s="1"/>
  <c r="P54" i="15"/>
  <c r="P38" i="15"/>
  <c r="J38" i="15"/>
  <c r="P51" i="15"/>
  <c r="J51" i="15"/>
  <c r="P34" i="15"/>
  <c r="J34" i="15"/>
  <c r="J48" i="15"/>
  <c r="J53" i="15"/>
  <c r="P39" i="15"/>
  <c r="P53" i="15"/>
  <c r="P33" i="15"/>
  <c r="J50" i="15"/>
  <c r="P31" i="15"/>
  <c r="J46" i="15"/>
  <c r="P58" i="15"/>
  <c r="Q58" i="15" s="1"/>
  <c r="P42" i="15"/>
  <c r="J37" i="15"/>
  <c r="P37" i="15"/>
  <c r="P55" i="15"/>
  <c r="J55" i="15"/>
  <c r="P49" i="15"/>
  <c r="J49" i="15"/>
  <c r="P35" i="15"/>
  <c r="P47" i="15"/>
  <c r="P36" i="15"/>
  <c r="J60" i="15"/>
  <c r="J43" i="15"/>
  <c r="P52" i="15"/>
  <c r="P44" i="15"/>
  <c r="J44" i="15"/>
  <c r="P60" i="15"/>
  <c r="P43" i="15"/>
  <c r="XQ26" i="2"/>
  <c r="XQ21" i="2"/>
  <c r="XQ6" i="2"/>
  <c r="S12" i="15" l="1"/>
  <c r="T12" i="15" s="1"/>
  <c r="S14" i="15"/>
  <c r="T14" i="15" s="1"/>
  <c r="U14" i="15" s="1"/>
  <c r="R5" i="15"/>
  <c r="R6" i="15"/>
  <c r="S6" i="15" s="1"/>
  <c r="T11" i="15"/>
  <c r="U11" i="15" s="1"/>
  <c r="V11" i="15" s="1"/>
  <c r="S8" i="15"/>
  <c r="T8" i="15" s="1"/>
  <c r="T13" i="15"/>
  <c r="R7" i="15"/>
  <c r="R9" i="15"/>
  <c r="U17" i="15"/>
  <c r="V17" i="15" s="1"/>
  <c r="S18" i="15"/>
  <c r="T18" i="15" s="1"/>
  <c r="R19" i="15"/>
  <c r="S20" i="15"/>
  <c r="S22" i="15"/>
  <c r="T24" i="15"/>
  <c r="U24" i="15" s="1"/>
  <c r="R23" i="15"/>
  <c r="S23" i="15" s="1"/>
  <c r="R26" i="15"/>
  <c r="S26" i="15" s="1"/>
  <c r="S27" i="15"/>
  <c r="T29" i="15"/>
  <c r="U29" i="15" s="1"/>
  <c r="V29" i="15" s="1"/>
  <c r="U4" i="15"/>
  <c r="S10" i="15"/>
  <c r="T10" i="15" s="1"/>
  <c r="U15" i="15"/>
  <c r="V15" i="15" s="1"/>
  <c r="T16" i="15"/>
  <c r="T21" i="15"/>
  <c r="U21" i="15" s="1"/>
  <c r="U25" i="15"/>
  <c r="V25" i="15" s="1"/>
  <c r="T28" i="15"/>
  <c r="U28" i="15" s="1"/>
  <c r="V28" i="15" s="1"/>
  <c r="U30" i="15"/>
  <c r="V30" i="15" s="1"/>
  <c r="R45" i="15"/>
  <c r="S45" i="15" s="1"/>
  <c r="T45" i="15" s="1"/>
  <c r="R40" i="15"/>
  <c r="S40" i="15" s="1"/>
  <c r="Q32" i="15"/>
  <c r="S46" i="15"/>
  <c r="S41" i="15"/>
  <c r="T41" i="15" s="1"/>
  <c r="R48" i="15"/>
  <c r="S48" i="15" s="1"/>
  <c r="Q50" i="15"/>
  <c r="R50" i="15" s="1"/>
  <c r="Q39" i="15"/>
  <c r="Q38" i="15"/>
  <c r="Q54" i="15"/>
  <c r="Q35" i="15"/>
  <c r="R35" i="15" s="1"/>
  <c r="Q53" i="15"/>
  <c r="R53" i="15" s="1"/>
  <c r="Q34" i="15"/>
  <c r="R34" i="15" s="1"/>
  <c r="Q51" i="15"/>
  <c r="Q47" i="15"/>
  <c r="Q33" i="15"/>
  <c r="Q31" i="15"/>
  <c r="Q55" i="15"/>
  <c r="Q43" i="15"/>
  <c r="Q42" i="15"/>
  <c r="R42" i="15" s="1"/>
  <c r="R58" i="15"/>
  <c r="S58" i="15" s="1"/>
  <c r="Q60" i="15"/>
  <c r="Q37" i="15"/>
  <c r="Q44" i="15"/>
  <c r="R44" i="15" s="1"/>
  <c r="S44" i="15" s="1"/>
  <c r="Q36" i="15"/>
  <c r="Q52" i="15"/>
  <c r="R52" i="15" s="1"/>
  <c r="Q49" i="15"/>
  <c r="L59" i="15"/>
  <c r="S5" i="15" l="1"/>
  <c r="T5" i="15" s="1"/>
  <c r="V14" i="15"/>
  <c r="W14" i="15" s="1"/>
  <c r="U8" i="15"/>
  <c r="V8" i="15" s="1"/>
  <c r="W8" i="15" s="1"/>
  <c r="W11" i="15"/>
  <c r="X11" i="15" s="1"/>
  <c r="T6" i="15"/>
  <c r="S7" i="15"/>
  <c r="S9" i="15"/>
  <c r="U13" i="15"/>
  <c r="U12" i="15"/>
  <c r="W17" i="15"/>
  <c r="X17" i="15" s="1"/>
  <c r="U18" i="15"/>
  <c r="S19" i="15"/>
  <c r="T19" i="15" s="1"/>
  <c r="T20" i="15"/>
  <c r="T22" i="15"/>
  <c r="T23" i="15"/>
  <c r="V24" i="15"/>
  <c r="W24" i="15" s="1"/>
  <c r="X24" i="15" s="1"/>
  <c r="T27" i="15"/>
  <c r="U27" i="15" s="1"/>
  <c r="T26" i="15"/>
  <c r="W29" i="15"/>
  <c r="V4" i="15"/>
  <c r="U10" i="15"/>
  <c r="V10" i="15" s="1"/>
  <c r="W15" i="15"/>
  <c r="U16" i="15"/>
  <c r="W30" i="15"/>
  <c r="X30" i="15" s="1"/>
  <c r="Y30" i="15" s="1"/>
  <c r="Z30" i="15" s="1"/>
  <c r="V21" i="15"/>
  <c r="W21" i="15" s="1"/>
  <c r="W25" i="15"/>
  <c r="W28" i="15"/>
  <c r="X28" i="15" s="1"/>
  <c r="R32" i="15"/>
  <c r="T40" i="15"/>
  <c r="U40" i="15" s="1"/>
  <c r="V40" i="15" s="1"/>
  <c r="W40" i="15" s="1"/>
  <c r="T46" i="15"/>
  <c r="R31" i="15"/>
  <c r="S31" i="15" s="1"/>
  <c r="S34" i="15"/>
  <c r="T34" i="15" s="1"/>
  <c r="R33" i="15"/>
  <c r="R36" i="15"/>
  <c r="S35" i="15"/>
  <c r="T35" i="15" s="1"/>
  <c r="R37" i="15"/>
  <c r="R38" i="15"/>
  <c r="S38" i="15" s="1"/>
  <c r="U41" i="15"/>
  <c r="V41" i="15" s="1"/>
  <c r="W41" i="15" s="1"/>
  <c r="R39" i="15"/>
  <c r="S39" i="15" s="1"/>
  <c r="S42" i="15"/>
  <c r="R43" i="15"/>
  <c r="S43" i="15" s="1"/>
  <c r="T43" i="15" s="1"/>
  <c r="T44" i="15"/>
  <c r="U44" i="15" s="1"/>
  <c r="U45" i="15"/>
  <c r="V45" i="15" s="1"/>
  <c r="R47" i="15"/>
  <c r="S47" i="15" s="1"/>
  <c r="S52" i="15"/>
  <c r="T48" i="15"/>
  <c r="R49" i="15"/>
  <c r="S50" i="15"/>
  <c r="T50" i="15" s="1"/>
  <c r="R51" i="15"/>
  <c r="S53" i="15"/>
  <c r="T53" i="15" s="1"/>
  <c r="R54" i="15"/>
  <c r="S54" i="15" s="1"/>
  <c r="R55" i="15"/>
  <c r="S55" i="15" s="1"/>
  <c r="T58" i="15"/>
  <c r="R60" i="15"/>
  <c r="S60" i="15" s="1"/>
  <c r="T60" i="15" s="1"/>
  <c r="U60" i="15" s="1"/>
  <c r="WG29" i="2"/>
  <c r="WD29" i="2"/>
  <c r="WG28" i="2"/>
  <c r="WD28" i="2"/>
  <c r="WG27" i="2"/>
  <c r="WD27" i="2"/>
  <c r="WQ26" i="2"/>
  <c r="WM26" i="2"/>
  <c r="WG25" i="2"/>
  <c r="WD25" i="2"/>
  <c r="WG24" i="2"/>
  <c r="WD24" i="2"/>
  <c r="WG23" i="2"/>
  <c r="WD23" i="2"/>
  <c r="WG22" i="2"/>
  <c r="WD22" i="2"/>
  <c r="WQ21" i="2"/>
  <c r="WM21" i="2"/>
  <c r="WG21" i="2"/>
  <c r="WD21" i="2"/>
  <c r="WG20" i="2"/>
  <c r="WD20" i="2"/>
  <c r="WG19" i="2"/>
  <c r="WD19" i="2"/>
  <c r="WG15" i="2"/>
  <c r="WD15" i="2"/>
  <c r="WG14" i="2"/>
  <c r="WD14" i="2"/>
  <c r="WG13" i="2"/>
  <c r="WD13" i="2"/>
  <c r="WG12" i="2"/>
  <c r="WD12" i="2"/>
  <c r="WG11" i="2"/>
  <c r="WD11" i="2"/>
  <c r="WG10" i="2"/>
  <c r="WD10" i="2"/>
  <c r="WG9" i="2"/>
  <c r="WD9" i="2"/>
  <c r="WG8" i="2"/>
  <c r="WD8" i="2"/>
  <c r="WG7" i="2"/>
  <c r="WD7" i="2"/>
  <c r="WQ6" i="2"/>
  <c r="WM6" i="2"/>
  <c r="WG5" i="2"/>
  <c r="WD5" i="2"/>
  <c r="I66" i="15"/>
  <c r="J66" i="15" s="1"/>
  <c r="L66" i="15"/>
  <c r="AC66" i="15"/>
  <c r="I98" i="15"/>
  <c r="J98" i="15" s="1"/>
  <c r="L98" i="15"/>
  <c r="AC98" i="15"/>
  <c r="I62" i="15"/>
  <c r="I63" i="15"/>
  <c r="I64" i="15"/>
  <c r="J64" i="15" s="1"/>
  <c r="I65" i="15"/>
  <c r="J65" i="15" s="1"/>
  <c r="I69" i="15"/>
  <c r="I71" i="15"/>
  <c r="I74" i="15"/>
  <c r="J74" i="15" s="1"/>
  <c r="I75" i="15"/>
  <c r="J75" i="15" s="1"/>
  <c r="L62" i="15"/>
  <c r="L63" i="15"/>
  <c r="L64" i="15"/>
  <c r="L65" i="15"/>
  <c r="L69" i="15"/>
  <c r="L71" i="15"/>
  <c r="L74" i="15"/>
  <c r="L75" i="15"/>
  <c r="AC62" i="15"/>
  <c r="AC63" i="15"/>
  <c r="AC64" i="15"/>
  <c r="AC65" i="15"/>
  <c r="AC69" i="15"/>
  <c r="AC71" i="15"/>
  <c r="AC74" i="15"/>
  <c r="AC75" i="15"/>
  <c r="I56" i="15"/>
  <c r="I57" i="15"/>
  <c r="J57" i="15" s="1"/>
  <c r="I61" i="15"/>
  <c r="J61" i="15" s="1"/>
  <c r="I67" i="15"/>
  <c r="I68" i="15"/>
  <c r="J68" i="15" s="1"/>
  <c r="I73" i="15"/>
  <c r="J73" i="15" s="1"/>
  <c r="L56" i="15"/>
  <c r="L57" i="15"/>
  <c r="L61" i="15"/>
  <c r="L67" i="15"/>
  <c r="L68" i="15"/>
  <c r="L70" i="15"/>
  <c r="L72" i="15"/>
  <c r="L73" i="15"/>
  <c r="AC56" i="15"/>
  <c r="AC57" i="15"/>
  <c r="AC59" i="15"/>
  <c r="AC61" i="15"/>
  <c r="AC67" i="15"/>
  <c r="AC68" i="15"/>
  <c r="AC70" i="15"/>
  <c r="AC72" i="15"/>
  <c r="AC73" i="15"/>
  <c r="H72" i="15"/>
  <c r="I72" i="15" s="1"/>
  <c r="H70" i="15"/>
  <c r="I70" i="15" s="1"/>
  <c r="H59" i="15"/>
  <c r="I59" i="15" s="1"/>
  <c r="U5" i="15" l="1"/>
  <c r="V5" i="15" s="1"/>
  <c r="Y11" i="15"/>
  <c r="Z11" i="15" s="1"/>
  <c r="X8" i="15"/>
  <c r="Y8" i="15" s="1"/>
  <c r="Z8" i="15" s="1"/>
  <c r="AA8" i="15" s="1"/>
  <c r="U6" i="15"/>
  <c r="V6" i="15" s="1"/>
  <c r="W6" i="15" s="1"/>
  <c r="V13" i="15"/>
  <c r="W13" i="15" s="1"/>
  <c r="T9" i="15"/>
  <c r="T7" i="15"/>
  <c r="U7" i="15" s="1"/>
  <c r="V7" i="15" s="1"/>
  <c r="X14" i="15"/>
  <c r="V12" i="15"/>
  <c r="W12" i="15" s="1"/>
  <c r="Y17" i="15"/>
  <c r="Z17" i="15" s="1"/>
  <c r="AA17" i="15" s="1"/>
  <c r="AB17" i="15" s="1"/>
  <c r="V18" i="15"/>
  <c r="U19" i="15"/>
  <c r="U20" i="15"/>
  <c r="U22" i="15"/>
  <c r="U23" i="15"/>
  <c r="V23" i="15" s="1"/>
  <c r="V27" i="15"/>
  <c r="W27" i="15" s="1"/>
  <c r="X27" i="15" s="1"/>
  <c r="Y27" i="15" s="1"/>
  <c r="Y24" i="15"/>
  <c r="U26" i="15"/>
  <c r="X29" i="15"/>
  <c r="Y29" i="15" s="1"/>
  <c r="W4" i="15"/>
  <c r="W10" i="15"/>
  <c r="X10" i="15" s="1"/>
  <c r="X15" i="15"/>
  <c r="V16" i="15"/>
  <c r="W16" i="15" s="1"/>
  <c r="X21" i="15"/>
  <c r="Y21" i="15" s="1"/>
  <c r="X25" i="15"/>
  <c r="Y28" i="15"/>
  <c r="Z28" i="15" s="1"/>
  <c r="AA30" i="15"/>
  <c r="AB30" i="15" s="1"/>
  <c r="P64" i="15"/>
  <c r="Q64" i="15" s="1"/>
  <c r="R64" i="15" s="1"/>
  <c r="S32" i="15"/>
  <c r="U46" i="15"/>
  <c r="T31" i="15"/>
  <c r="S33" i="15"/>
  <c r="U34" i="15"/>
  <c r="V34" i="15" s="1"/>
  <c r="S36" i="15"/>
  <c r="U35" i="15"/>
  <c r="S37" i="15"/>
  <c r="T38" i="15"/>
  <c r="U38" i="15" s="1"/>
  <c r="V38" i="15" s="1"/>
  <c r="T39" i="15"/>
  <c r="U39" i="15" s="1"/>
  <c r="X41" i="15"/>
  <c r="Y41" i="15" s="1"/>
  <c r="Z41" i="15" s="1"/>
  <c r="AA41" i="15" s="1"/>
  <c r="X40" i="15"/>
  <c r="T42" i="15"/>
  <c r="V44" i="15"/>
  <c r="W44" i="15" s="1"/>
  <c r="U43" i="15"/>
  <c r="W45" i="15"/>
  <c r="T47" i="15"/>
  <c r="U47" i="15" s="1"/>
  <c r="V47" i="15" s="1"/>
  <c r="T52" i="15"/>
  <c r="U48" i="15"/>
  <c r="V48" i="15" s="1"/>
  <c r="S49" i="15"/>
  <c r="T49" i="15" s="1"/>
  <c r="U50" i="15"/>
  <c r="V50" i="15" s="1"/>
  <c r="W50" i="15" s="1"/>
  <c r="S51" i="15"/>
  <c r="T51" i="15" s="1"/>
  <c r="U53" i="15"/>
  <c r="T54" i="15"/>
  <c r="T55" i="15"/>
  <c r="U55" i="15" s="1"/>
  <c r="U58" i="15"/>
  <c r="V60" i="15"/>
  <c r="P66" i="15"/>
  <c r="Q66" i="15" s="1"/>
  <c r="P73" i="15"/>
  <c r="Q73" i="15" s="1"/>
  <c r="R73" i="15" s="1"/>
  <c r="P65" i="15"/>
  <c r="Q65" i="15" s="1"/>
  <c r="R65" i="15" s="1"/>
  <c r="P98" i="15"/>
  <c r="P62" i="15"/>
  <c r="Q62" i="15" s="1"/>
  <c r="R62" i="15" s="1"/>
  <c r="P69" i="15"/>
  <c r="J62" i="15"/>
  <c r="J69" i="15"/>
  <c r="J71" i="15"/>
  <c r="P71" i="15"/>
  <c r="P67" i="15"/>
  <c r="J63" i="15"/>
  <c r="P63" i="15"/>
  <c r="P68" i="15"/>
  <c r="P75" i="15"/>
  <c r="Q75" i="15" s="1"/>
  <c r="P74" i="15"/>
  <c r="P56" i="15"/>
  <c r="J56" i="15"/>
  <c r="P61" i="15"/>
  <c r="P57" i="15"/>
  <c r="J59" i="15"/>
  <c r="P59" i="15"/>
  <c r="J72" i="15"/>
  <c r="P72" i="15"/>
  <c r="P70" i="15"/>
  <c r="J70" i="15"/>
  <c r="J67" i="15"/>
  <c r="VL29" i="2"/>
  <c r="VI29" i="2"/>
  <c r="VL28" i="2"/>
  <c r="VI28" i="2"/>
  <c r="VL27" i="2"/>
  <c r="VI27" i="2"/>
  <c r="VV26" i="2"/>
  <c r="VR26" i="2"/>
  <c r="VL25" i="2"/>
  <c r="VI25" i="2"/>
  <c r="VL24" i="2"/>
  <c r="VI24" i="2"/>
  <c r="VL23" i="2"/>
  <c r="VI23" i="2"/>
  <c r="VL22" i="2"/>
  <c r="VI22" i="2"/>
  <c r="VV21" i="2"/>
  <c r="VR21" i="2"/>
  <c r="VL21" i="2"/>
  <c r="VI21" i="2"/>
  <c r="VL20" i="2"/>
  <c r="VI20" i="2"/>
  <c r="VL19" i="2"/>
  <c r="VI19" i="2"/>
  <c r="VL15" i="2"/>
  <c r="VI15" i="2"/>
  <c r="VL14" i="2"/>
  <c r="VI14" i="2"/>
  <c r="VL13" i="2"/>
  <c r="VI13" i="2"/>
  <c r="VL12" i="2"/>
  <c r="VI12" i="2"/>
  <c r="VL11" i="2"/>
  <c r="VI11" i="2"/>
  <c r="VL10" i="2"/>
  <c r="VI10" i="2"/>
  <c r="VL9" i="2"/>
  <c r="VI9" i="2"/>
  <c r="VL8" i="2"/>
  <c r="VI8" i="2"/>
  <c r="VL7" i="2"/>
  <c r="VI7" i="2"/>
  <c r="VV6" i="2"/>
  <c r="VR6" i="2"/>
  <c r="VL5" i="2"/>
  <c r="VI5" i="2"/>
  <c r="I76" i="15"/>
  <c r="J76" i="15" s="1"/>
  <c r="I78" i="15"/>
  <c r="J78" i="15" s="1"/>
  <c r="I79" i="15"/>
  <c r="J79" i="15" s="1"/>
  <c r="I81" i="15"/>
  <c r="J81" i="15" s="1"/>
  <c r="I82" i="15"/>
  <c r="I83" i="15"/>
  <c r="J83" i="15" s="1"/>
  <c r="I84" i="15"/>
  <c r="J84" i="15" s="1"/>
  <c r="I88" i="15"/>
  <c r="I90" i="15"/>
  <c r="J90" i="15" s="1"/>
  <c r="I91" i="15"/>
  <c r="J91" i="15" s="1"/>
  <c r="I92" i="15"/>
  <c r="J92" i="15" s="1"/>
  <c r="I93" i="15"/>
  <c r="J93" i="15" s="1"/>
  <c r="I94" i="15"/>
  <c r="I96" i="15"/>
  <c r="J96" i="15" s="1"/>
  <c r="I95" i="15"/>
  <c r="J95" i="15" s="1"/>
  <c r="I97" i="15"/>
  <c r="I101" i="15"/>
  <c r="J101" i="15" s="1"/>
  <c r="I102" i="15"/>
  <c r="J102" i="15" s="1"/>
  <c r="I103" i="15"/>
  <c r="J103" i="15" s="1"/>
  <c r="I104" i="15"/>
  <c r="J104" i="15" s="1"/>
  <c r="I105" i="15"/>
  <c r="L76" i="15"/>
  <c r="L78" i="15"/>
  <c r="L79" i="15"/>
  <c r="L81" i="15"/>
  <c r="L82" i="15"/>
  <c r="L83" i="15"/>
  <c r="L84" i="15"/>
  <c r="L88" i="15"/>
  <c r="L90" i="15"/>
  <c r="L91" i="15"/>
  <c r="L92" i="15"/>
  <c r="L93" i="15"/>
  <c r="L94" i="15"/>
  <c r="L96" i="15"/>
  <c r="L95" i="15"/>
  <c r="L97" i="15"/>
  <c r="L101" i="15"/>
  <c r="L102" i="15"/>
  <c r="L103" i="15"/>
  <c r="L104" i="15"/>
  <c r="L105" i="15"/>
  <c r="AC76" i="15"/>
  <c r="AC78" i="15"/>
  <c r="AC79" i="15"/>
  <c r="AC81" i="15"/>
  <c r="AC82" i="15"/>
  <c r="AC83" i="15"/>
  <c r="AC84" i="15"/>
  <c r="AC88" i="15"/>
  <c r="AC90" i="15"/>
  <c r="AC91" i="15"/>
  <c r="AC92" i="15"/>
  <c r="AC93" i="15"/>
  <c r="AC94" i="15"/>
  <c r="AC96" i="15"/>
  <c r="AC95" i="15"/>
  <c r="AC97" i="15"/>
  <c r="AC101" i="15"/>
  <c r="AC102" i="15"/>
  <c r="AC103" i="15"/>
  <c r="AC104" i="15"/>
  <c r="AC105" i="15"/>
  <c r="I77" i="15"/>
  <c r="J77" i="15" s="1"/>
  <c r="I86" i="15"/>
  <c r="J86" i="15" s="1"/>
  <c r="I87" i="15"/>
  <c r="I89" i="15"/>
  <c r="J89" i="15" s="1"/>
  <c r="I99" i="15"/>
  <c r="J99" i="15" s="1"/>
  <c r="I100" i="15"/>
  <c r="J100" i="15" s="1"/>
  <c r="L77" i="15"/>
  <c r="L80" i="15"/>
  <c r="L85" i="15"/>
  <c r="L86" i="15"/>
  <c r="P86" i="15" s="1"/>
  <c r="L87" i="15"/>
  <c r="L89" i="15"/>
  <c r="L116" i="15"/>
  <c r="L99" i="15"/>
  <c r="L100" i="15"/>
  <c r="AC77" i="15"/>
  <c r="AC80" i="15"/>
  <c r="AC85" i="15"/>
  <c r="AC86" i="15"/>
  <c r="AC87" i="15"/>
  <c r="AC89" i="15"/>
  <c r="AC116" i="15"/>
  <c r="AC99" i="15"/>
  <c r="AC100" i="15"/>
  <c r="H116" i="15"/>
  <c r="I116" i="15" s="1"/>
  <c r="H85" i="15"/>
  <c r="I85" i="15" s="1"/>
  <c r="H80" i="15"/>
  <c r="I80" i="15" s="1"/>
  <c r="W5" i="15" l="1"/>
  <c r="AA11" i="15"/>
  <c r="AB11" i="15" s="1"/>
  <c r="X6" i="15"/>
  <c r="AB8" i="15"/>
  <c r="W7" i="15"/>
  <c r="X7" i="15" s="1"/>
  <c r="U9" i="15"/>
  <c r="Y14" i="15"/>
  <c r="X13" i="15"/>
  <c r="Y13" i="15" s="1"/>
  <c r="X12" i="15"/>
  <c r="Y12" i="15" s="1"/>
  <c r="Z12" i="15" s="1"/>
  <c r="W18" i="15"/>
  <c r="V19" i="15"/>
  <c r="V20" i="15"/>
  <c r="W20" i="15" s="1"/>
  <c r="V22" i="15"/>
  <c r="W22" i="15" s="1"/>
  <c r="W23" i="15"/>
  <c r="Z24" i="15"/>
  <c r="AA24" i="15" s="1"/>
  <c r="AB24" i="15" s="1"/>
  <c r="V26" i="15"/>
  <c r="Z27" i="15"/>
  <c r="AA27" i="15" s="1"/>
  <c r="Z29" i="15"/>
  <c r="AA29" i="15" s="1"/>
  <c r="AB29" i="15" s="1"/>
  <c r="X4" i="15"/>
  <c r="Y4" i="15" s="1"/>
  <c r="Y10" i="15"/>
  <c r="Z10" i="15" s="1"/>
  <c r="AA10" i="15" s="1"/>
  <c r="AB10" i="15" s="1"/>
  <c r="Y15" i="15"/>
  <c r="Z15" i="15" s="1"/>
  <c r="X16" i="15"/>
  <c r="Y16" i="15" s="1"/>
  <c r="Z16" i="15" s="1"/>
  <c r="AA16" i="15" s="1"/>
  <c r="AB16" i="15" s="1"/>
  <c r="Z21" i="15"/>
  <c r="AA21" i="15" s="1"/>
  <c r="AB21" i="15" s="1"/>
  <c r="Y25" i="15"/>
  <c r="Z25" i="15" s="1"/>
  <c r="AA25" i="15" s="1"/>
  <c r="AB25" i="15" s="1"/>
  <c r="AA28" i="15"/>
  <c r="AB28" i="15" s="1"/>
  <c r="T32" i="15"/>
  <c r="V46" i="15"/>
  <c r="W46" i="15" s="1"/>
  <c r="U31" i="15"/>
  <c r="T33" i="15"/>
  <c r="W34" i="15"/>
  <c r="X34" i="15" s="1"/>
  <c r="Y34" i="15" s="1"/>
  <c r="T36" i="15"/>
  <c r="V35" i="15"/>
  <c r="T37" i="15"/>
  <c r="W38" i="15"/>
  <c r="V39" i="15"/>
  <c r="AB41" i="15"/>
  <c r="Y40" i="15"/>
  <c r="X44" i="15"/>
  <c r="U42" i="15"/>
  <c r="V43" i="15"/>
  <c r="W43" i="15" s="1"/>
  <c r="X43" i="15" s="1"/>
  <c r="X45" i="15"/>
  <c r="W47" i="15"/>
  <c r="U52" i="15"/>
  <c r="U49" i="15"/>
  <c r="V49" i="15" s="1"/>
  <c r="W49" i="15" s="1"/>
  <c r="W48" i="15"/>
  <c r="X48" i="15" s="1"/>
  <c r="X50" i="15"/>
  <c r="Y50" i="15" s="1"/>
  <c r="U51" i="15"/>
  <c r="V51" i="15" s="1"/>
  <c r="W51" i="15" s="1"/>
  <c r="V53" i="15"/>
  <c r="U54" i="15"/>
  <c r="V54" i="15" s="1"/>
  <c r="V55" i="15"/>
  <c r="W55" i="15" s="1"/>
  <c r="X55" i="15" s="1"/>
  <c r="Y55" i="15" s="1"/>
  <c r="Z55" i="15" s="1"/>
  <c r="V58" i="15"/>
  <c r="W60" i="15"/>
  <c r="P89" i="15"/>
  <c r="Q89" i="15" s="1"/>
  <c r="R66" i="15"/>
  <c r="S66" i="15" s="1"/>
  <c r="Q98" i="15"/>
  <c r="R98" i="15" s="1"/>
  <c r="S98" i="15" s="1"/>
  <c r="S73" i="15"/>
  <c r="T73" i="15" s="1"/>
  <c r="S65" i="15"/>
  <c r="T65" i="15" s="1"/>
  <c r="Q69" i="15"/>
  <c r="S64" i="15"/>
  <c r="T64" i="15" s="1"/>
  <c r="U64" i="15" s="1"/>
  <c r="S62" i="15"/>
  <c r="Q71" i="15"/>
  <c r="R71" i="15" s="1"/>
  <c r="Q63" i="15"/>
  <c r="Q68" i="15"/>
  <c r="R68" i="15" s="1"/>
  <c r="Q67" i="15"/>
  <c r="R75" i="15"/>
  <c r="P103" i="15"/>
  <c r="Q103" i="15" s="1"/>
  <c r="R103" i="15" s="1"/>
  <c r="P78" i="15"/>
  <c r="Q78" i="15" s="1"/>
  <c r="R78" i="15" s="1"/>
  <c r="Q56" i="15"/>
  <c r="R56" i="15" s="1"/>
  <c r="S56" i="15" s="1"/>
  <c r="Q70" i="15"/>
  <c r="R70" i="15" s="1"/>
  <c r="P93" i="15"/>
  <c r="Q93" i="15" s="1"/>
  <c r="R93" i="15" s="1"/>
  <c r="P81" i="15"/>
  <c r="Q81" i="15" s="1"/>
  <c r="Q74" i="15"/>
  <c r="Q61" i="15"/>
  <c r="R61" i="15" s="1"/>
  <c r="Q72" i="15"/>
  <c r="Q57" i="15"/>
  <c r="P101" i="15"/>
  <c r="Q101" i="15" s="1"/>
  <c r="R101" i="15" s="1"/>
  <c r="P90" i="15"/>
  <c r="Q90" i="15" s="1"/>
  <c r="R90" i="15" s="1"/>
  <c r="P76" i="15"/>
  <c r="Q76" i="15" s="1"/>
  <c r="Q59" i="15"/>
  <c r="R59" i="15" s="1"/>
  <c r="P104" i="15"/>
  <c r="P102" i="15"/>
  <c r="P91" i="15"/>
  <c r="P97" i="15"/>
  <c r="P88" i="15"/>
  <c r="P95" i="15"/>
  <c r="P84" i="15"/>
  <c r="P96" i="15"/>
  <c r="P83" i="15"/>
  <c r="J97" i="15"/>
  <c r="J88" i="15"/>
  <c r="P105" i="15"/>
  <c r="Q105" i="15" s="1"/>
  <c r="P94" i="15"/>
  <c r="P82" i="15"/>
  <c r="P92" i="15"/>
  <c r="P79" i="15"/>
  <c r="J105" i="15"/>
  <c r="J94" i="15"/>
  <c r="J82" i="15"/>
  <c r="P77" i="15"/>
  <c r="Q77" i="15" s="1"/>
  <c r="P87" i="15"/>
  <c r="P100" i="15"/>
  <c r="Q86" i="15"/>
  <c r="R86" i="15" s="1"/>
  <c r="J85" i="15"/>
  <c r="P85" i="15"/>
  <c r="P116" i="15"/>
  <c r="J116" i="15"/>
  <c r="J80" i="15"/>
  <c r="P80" i="15"/>
  <c r="J87" i="15"/>
  <c r="P99" i="15"/>
  <c r="Q99" i="15" s="1"/>
  <c r="I109" i="15"/>
  <c r="J109" i="15" s="1"/>
  <c r="I111" i="15"/>
  <c r="J111" i="15" s="1"/>
  <c r="I112" i="15"/>
  <c r="J112" i="15" s="1"/>
  <c r="I113" i="15"/>
  <c r="J113" i="15" s="1"/>
  <c r="I114" i="15"/>
  <c r="J114" i="15" s="1"/>
  <c r="I117" i="15"/>
  <c r="I119" i="15"/>
  <c r="I120" i="15"/>
  <c r="J120" i="15" s="1"/>
  <c r="I121" i="15"/>
  <c r="J121" i="15" s="1"/>
  <c r="I122" i="15"/>
  <c r="J122" i="15" s="1"/>
  <c r="I123" i="15"/>
  <c r="J123" i="15" s="1"/>
  <c r="I124" i="15"/>
  <c r="J124" i="15" s="1"/>
  <c r="I125" i="15"/>
  <c r="J125" i="15" s="1"/>
  <c r="I126" i="15"/>
  <c r="I127" i="15"/>
  <c r="I128" i="15"/>
  <c r="J128" i="15" s="1"/>
  <c r="I129" i="15"/>
  <c r="J129" i="15" s="1"/>
  <c r="I130" i="15"/>
  <c r="J130" i="15" s="1"/>
  <c r="I133" i="15"/>
  <c r="J133" i="15" s="1"/>
  <c r="I132" i="15"/>
  <c r="J132" i="15" s="1"/>
  <c r="I137" i="15"/>
  <c r="J137" i="15" s="1"/>
  <c r="L109" i="15"/>
  <c r="L110" i="15"/>
  <c r="L111" i="15"/>
  <c r="L112" i="15"/>
  <c r="L113" i="15"/>
  <c r="L114" i="15"/>
  <c r="L117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3" i="15"/>
  <c r="L132" i="15"/>
  <c r="L137" i="15"/>
  <c r="AC109" i="15"/>
  <c r="AC110" i="15"/>
  <c r="AC111" i="15"/>
  <c r="AC112" i="15"/>
  <c r="AC113" i="15"/>
  <c r="AC114" i="15"/>
  <c r="AC117" i="15"/>
  <c r="AC119" i="15"/>
  <c r="AC120" i="15"/>
  <c r="AC121" i="15"/>
  <c r="AC122" i="15"/>
  <c r="AC123" i="15"/>
  <c r="AC124" i="15"/>
  <c r="AC125" i="15"/>
  <c r="AC126" i="15"/>
  <c r="AC127" i="15"/>
  <c r="AC128" i="15"/>
  <c r="AC129" i="15"/>
  <c r="AC130" i="15"/>
  <c r="AC133" i="15"/>
  <c r="AC132" i="15"/>
  <c r="AC137" i="15"/>
  <c r="H110" i="15"/>
  <c r="I110" i="15" s="1"/>
  <c r="I107" i="15"/>
  <c r="J107" i="15" s="1"/>
  <c r="I115" i="15"/>
  <c r="J115" i="15" s="1"/>
  <c r="I118" i="15"/>
  <c r="J118" i="15" s="1"/>
  <c r="I159" i="15"/>
  <c r="J159" i="15" s="1"/>
  <c r="L106" i="15"/>
  <c r="L107" i="15"/>
  <c r="L108" i="15"/>
  <c r="L115" i="15"/>
  <c r="L118" i="15"/>
  <c r="L159" i="15"/>
  <c r="AC106" i="15"/>
  <c r="AC107" i="15"/>
  <c r="AC108" i="15"/>
  <c r="AC115" i="15"/>
  <c r="AC118" i="15"/>
  <c r="AC159" i="15"/>
  <c r="H108" i="15"/>
  <c r="I108" i="15" s="1"/>
  <c r="H106" i="15"/>
  <c r="I106" i="15" s="1"/>
  <c r="X5" i="15" l="1"/>
  <c r="Y5" i="15" s="1"/>
  <c r="Z5" i="15" s="1"/>
  <c r="AA5" i="15" s="1"/>
  <c r="AB5" i="15" s="1"/>
  <c r="Y6" i="15"/>
  <c r="Z14" i="15"/>
  <c r="AA14" i="15" s="1"/>
  <c r="AB14" i="15" s="1"/>
  <c r="Y7" i="15"/>
  <c r="Z7" i="15" s="1"/>
  <c r="Z13" i="15"/>
  <c r="AA13" i="15" s="1"/>
  <c r="AB13" i="15" s="1"/>
  <c r="AA12" i="15"/>
  <c r="AB12" i="15" s="1"/>
  <c r="V9" i="15"/>
  <c r="X18" i="15"/>
  <c r="W19" i="15"/>
  <c r="X19" i="15" s="1"/>
  <c r="X20" i="15"/>
  <c r="Y20" i="15" s="1"/>
  <c r="Z20" i="15" s="1"/>
  <c r="AA20" i="15" s="1"/>
  <c r="AB20" i="15" s="1"/>
  <c r="X22" i="15"/>
  <c r="Y22" i="15" s="1"/>
  <c r="X23" i="15"/>
  <c r="Y23" i="15" s="1"/>
  <c r="W26" i="15"/>
  <c r="AB27" i="15"/>
  <c r="Z4" i="15"/>
  <c r="AA4" i="15" s="1"/>
  <c r="AB4" i="15" s="1"/>
  <c r="AA15" i="15"/>
  <c r="AB15" i="15" s="1"/>
  <c r="U32" i="15"/>
  <c r="V32" i="15" s="1"/>
  <c r="X46" i="15"/>
  <c r="Y46" i="15" s="1"/>
  <c r="Z46" i="15" s="1"/>
  <c r="V31" i="15"/>
  <c r="U33" i="15"/>
  <c r="V33" i="15" s="1"/>
  <c r="Z34" i="15"/>
  <c r="AA34" i="15" s="1"/>
  <c r="U36" i="15"/>
  <c r="V36" i="15" s="1"/>
  <c r="W35" i="15"/>
  <c r="U37" i="15"/>
  <c r="V37" i="15" s="1"/>
  <c r="X38" i="15"/>
  <c r="Y38" i="15" s="1"/>
  <c r="Z38" i="15" s="1"/>
  <c r="W39" i="15"/>
  <c r="Z40" i="15"/>
  <c r="AA40" i="15" s="1"/>
  <c r="AB40" i="15" s="1"/>
  <c r="V42" i="15"/>
  <c r="W42" i="15" s="1"/>
  <c r="Y44" i="15"/>
  <c r="Z44" i="15" s="1"/>
  <c r="AA44" i="15" s="1"/>
  <c r="Y43" i="15"/>
  <c r="Z43" i="15" s="1"/>
  <c r="Y45" i="15"/>
  <c r="X47" i="15"/>
  <c r="Y47" i="15" s="1"/>
  <c r="V52" i="15"/>
  <c r="W52" i="15" s="1"/>
  <c r="Y48" i="15"/>
  <c r="Z48" i="15" s="1"/>
  <c r="AA48" i="15" s="1"/>
  <c r="AB48" i="15" s="1"/>
  <c r="X49" i="15"/>
  <c r="Y49" i="15" s="1"/>
  <c r="Z49" i="15" s="1"/>
  <c r="AA49" i="15" s="1"/>
  <c r="AB49" i="15" s="1"/>
  <c r="X51" i="15"/>
  <c r="Y51" i="15" s="1"/>
  <c r="Z50" i="15"/>
  <c r="AA50" i="15" s="1"/>
  <c r="AB50" i="15" s="1"/>
  <c r="W54" i="15"/>
  <c r="X54" i="15" s="1"/>
  <c r="Y54" i="15" s="1"/>
  <c r="W53" i="15"/>
  <c r="AA55" i="15"/>
  <c r="AB55" i="15" s="1"/>
  <c r="W58" i="15"/>
  <c r="X60" i="15"/>
  <c r="Y60" i="15" s="1"/>
  <c r="T66" i="15"/>
  <c r="U66" i="15" s="1"/>
  <c r="T98" i="15"/>
  <c r="R74" i="15"/>
  <c r="U73" i="15"/>
  <c r="V73" i="15" s="1"/>
  <c r="R72" i="15"/>
  <c r="S71" i="15"/>
  <c r="S70" i="15"/>
  <c r="R69" i="15"/>
  <c r="U65" i="15"/>
  <c r="S68" i="15"/>
  <c r="T68" i="15" s="1"/>
  <c r="R67" i="15"/>
  <c r="V64" i="15"/>
  <c r="R63" i="15"/>
  <c r="T62" i="15"/>
  <c r="S61" i="15"/>
  <c r="S59" i="15"/>
  <c r="R57" i="15"/>
  <c r="T56" i="15"/>
  <c r="U56" i="15" s="1"/>
  <c r="S75" i="15"/>
  <c r="T75" i="15" s="1"/>
  <c r="S103" i="15"/>
  <c r="T103" i="15" s="1"/>
  <c r="S101" i="15"/>
  <c r="S93" i="15"/>
  <c r="S90" i="15"/>
  <c r="T90" i="15" s="1"/>
  <c r="U90" i="15" s="1"/>
  <c r="R81" i="15"/>
  <c r="S81" i="15" s="1"/>
  <c r="Q96" i="15"/>
  <c r="R96" i="15" s="1"/>
  <c r="Q104" i="15"/>
  <c r="Q88" i="15"/>
  <c r="Q102" i="15"/>
  <c r="Q97" i="15"/>
  <c r="R97" i="15" s="1"/>
  <c r="S78" i="15"/>
  <c r="Q91" i="15"/>
  <c r="R91" i="15" s="1"/>
  <c r="Q83" i="15"/>
  <c r="R83" i="15" s="1"/>
  <c r="R76" i="15"/>
  <c r="S76" i="15" s="1"/>
  <c r="R105" i="15"/>
  <c r="Q84" i="15"/>
  <c r="R84" i="15" s="1"/>
  <c r="Q82" i="15"/>
  <c r="R82" i="15" s="1"/>
  <c r="Q95" i="15"/>
  <c r="Q94" i="15"/>
  <c r="Q79" i="15"/>
  <c r="R79" i="15" s="1"/>
  <c r="Q92" i="15"/>
  <c r="R89" i="15"/>
  <c r="S89" i="15" s="1"/>
  <c r="S86" i="15"/>
  <c r="T86" i="15" s="1"/>
  <c r="U86" i="15" s="1"/>
  <c r="V86" i="15" s="1"/>
  <c r="R77" i="15"/>
  <c r="S77" i="15" s="1"/>
  <c r="Q80" i="15"/>
  <c r="Q116" i="15"/>
  <c r="R116" i="15" s="1"/>
  <c r="Q85" i="15"/>
  <c r="Q87" i="15"/>
  <c r="Q100" i="15"/>
  <c r="R100" i="15" s="1"/>
  <c r="P130" i="15"/>
  <c r="Q130" i="15" s="1"/>
  <c r="R130" i="15" s="1"/>
  <c r="R99" i="15"/>
  <c r="P109" i="15"/>
  <c r="Q109" i="15" s="1"/>
  <c r="P122" i="15"/>
  <c r="Q122" i="15" s="1"/>
  <c r="R122" i="15" s="1"/>
  <c r="S122" i="15" s="1"/>
  <c r="P111" i="15"/>
  <c r="Q111" i="15" s="1"/>
  <c r="P125" i="15"/>
  <c r="Q125" i="15" s="1"/>
  <c r="P114" i="15"/>
  <c r="Q114" i="15" s="1"/>
  <c r="P129" i="15"/>
  <c r="Q129" i="15" s="1"/>
  <c r="R129" i="15" s="1"/>
  <c r="P121" i="15"/>
  <c r="Q121" i="15" s="1"/>
  <c r="P128" i="15"/>
  <c r="Q128" i="15" s="1"/>
  <c r="R128" i="15" s="1"/>
  <c r="P120" i="15"/>
  <c r="Q120" i="15" s="1"/>
  <c r="P126" i="15"/>
  <c r="Q126" i="15" s="1"/>
  <c r="R126" i="15" s="1"/>
  <c r="P117" i="15"/>
  <c r="Q117" i="15" s="1"/>
  <c r="P137" i="15"/>
  <c r="P124" i="15"/>
  <c r="P132" i="15"/>
  <c r="P113" i="15"/>
  <c r="P127" i="15"/>
  <c r="P119" i="15"/>
  <c r="J110" i="15"/>
  <c r="P110" i="15"/>
  <c r="Q110" i="15" s="1"/>
  <c r="P133" i="15"/>
  <c r="P123" i="15"/>
  <c r="P112" i="15"/>
  <c r="J127" i="15"/>
  <c r="J119" i="15"/>
  <c r="J126" i="15"/>
  <c r="J117" i="15"/>
  <c r="P118" i="15"/>
  <c r="Q118" i="15" s="1"/>
  <c r="R118" i="15" s="1"/>
  <c r="P159" i="15"/>
  <c r="Q159" i="15" s="1"/>
  <c r="P107" i="15"/>
  <c r="J108" i="15"/>
  <c r="P108" i="15"/>
  <c r="P106" i="15"/>
  <c r="J106" i="15"/>
  <c r="P115" i="15"/>
  <c r="K24" i="2"/>
  <c r="UQ29" i="2"/>
  <c r="UN29" i="2"/>
  <c r="UQ28" i="2"/>
  <c r="UN28" i="2"/>
  <c r="UQ27" i="2"/>
  <c r="UN27" i="2"/>
  <c r="VA26" i="2"/>
  <c r="UW26" i="2"/>
  <c r="UQ25" i="2"/>
  <c r="UN25" i="2"/>
  <c r="UQ24" i="2"/>
  <c r="UN24" i="2"/>
  <c r="UQ23" i="2"/>
  <c r="UN23" i="2"/>
  <c r="UQ22" i="2"/>
  <c r="UN22" i="2"/>
  <c r="VA21" i="2"/>
  <c r="UW21" i="2"/>
  <c r="UQ21" i="2"/>
  <c r="UN21" i="2"/>
  <c r="UQ20" i="2"/>
  <c r="UN20" i="2"/>
  <c r="UQ19" i="2"/>
  <c r="UN19" i="2"/>
  <c r="UQ15" i="2"/>
  <c r="UN15" i="2"/>
  <c r="UQ14" i="2"/>
  <c r="UN14" i="2"/>
  <c r="UQ13" i="2"/>
  <c r="UN13" i="2"/>
  <c r="UQ12" i="2"/>
  <c r="UN12" i="2"/>
  <c r="UQ11" i="2"/>
  <c r="UN11" i="2"/>
  <c r="UQ10" i="2"/>
  <c r="UN10" i="2"/>
  <c r="UQ9" i="2"/>
  <c r="UN9" i="2"/>
  <c r="UQ8" i="2"/>
  <c r="UN8" i="2"/>
  <c r="UQ7" i="2"/>
  <c r="UN7" i="2"/>
  <c r="VA6" i="2"/>
  <c r="UW6" i="2"/>
  <c r="UQ5" i="2"/>
  <c r="UN5" i="2"/>
  <c r="TV29" i="2"/>
  <c r="TS29" i="2"/>
  <c r="TA29" i="2"/>
  <c r="SX29" i="2"/>
  <c r="SF29" i="2"/>
  <c r="SC29" i="2"/>
  <c r="TV28" i="2"/>
  <c r="TS28" i="2"/>
  <c r="TA28" i="2"/>
  <c r="SX28" i="2"/>
  <c r="SF28" i="2"/>
  <c r="SC28" i="2"/>
  <c r="TV27" i="2"/>
  <c r="TS27" i="2"/>
  <c r="TA27" i="2"/>
  <c r="SX27" i="2"/>
  <c r="SF27" i="2"/>
  <c r="SC27" i="2"/>
  <c r="UF26" i="2"/>
  <c r="UB26" i="2"/>
  <c r="TK26" i="2"/>
  <c r="TG26" i="2"/>
  <c r="SP26" i="2"/>
  <c r="SL26" i="2"/>
  <c r="TV25" i="2"/>
  <c r="TS25" i="2"/>
  <c r="TA25" i="2"/>
  <c r="SX25" i="2"/>
  <c r="SF25" i="2"/>
  <c r="SC25" i="2"/>
  <c r="TV24" i="2"/>
  <c r="TS24" i="2"/>
  <c r="TA24" i="2"/>
  <c r="SX24" i="2"/>
  <c r="SF24" i="2"/>
  <c r="SC24" i="2"/>
  <c r="TV23" i="2"/>
  <c r="TS23" i="2"/>
  <c r="TA23" i="2"/>
  <c r="SX23" i="2"/>
  <c r="SF23" i="2"/>
  <c r="SC23" i="2"/>
  <c r="TV22" i="2"/>
  <c r="TS22" i="2"/>
  <c r="TA22" i="2"/>
  <c r="SX22" i="2"/>
  <c r="SF22" i="2"/>
  <c r="SC22" i="2"/>
  <c r="UF21" i="2"/>
  <c r="UB21" i="2"/>
  <c r="TV21" i="2"/>
  <c r="TS21" i="2"/>
  <c r="TK21" i="2"/>
  <c r="TG21" i="2"/>
  <c r="TA21" i="2"/>
  <c r="SX21" i="2"/>
  <c r="SP21" i="2"/>
  <c r="SL21" i="2"/>
  <c r="SF21" i="2"/>
  <c r="SC21" i="2"/>
  <c r="TV20" i="2"/>
  <c r="TS20" i="2"/>
  <c r="TA20" i="2"/>
  <c r="SX20" i="2"/>
  <c r="SF20" i="2"/>
  <c r="SC20" i="2"/>
  <c r="TV19" i="2"/>
  <c r="TS19" i="2"/>
  <c r="TA19" i="2"/>
  <c r="SX19" i="2"/>
  <c r="SF19" i="2"/>
  <c r="SC19" i="2"/>
  <c r="TV15" i="2"/>
  <c r="TS15" i="2"/>
  <c r="TA15" i="2"/>
  <c r="SX15" i="2"/>
  <c r="SF15" i="2"/>
  <c r="SC15" i="2"/>
  <c r="TV14" i="2"/>
  <c r="TS14" i="2"/>
  <c r="TA14" i="2"/>
  <c r="SX14" i="2"/>
  <c r="SF14" i="2"/>
  <c r="SC14" i="2"/>
  <c r="TV13" i="2"/>
  <c r="TS13" i="2"/>
  <c r="TA13" i="2"/>
  <c r="SX13" i="2"/>
  <c r="SF13" i="2"/>
  <c r="SC13" i="2"/>
  <c r="TV12" i="2"/>
  <c r="TS12" i="2"/>
  <c r="TA12" i="2"/>
  <c r="SX12" i="2"/>
  <c r="SF12" i="2"/>
  <c r="SC12" i="2"/>
  <c r="TV11" i="2"/>
  <c r="TS11" i="2"/>
  <c r="TA11" i="2"/>
  <c r="SX11" i="2"/>
  <c r="SF11" i="2"/>
  <c r="SC11" i="2"/>
  <c r="TV10" i="2"/>
  <c r="TS10" i="2"/>
  <c r="TA10" i="2"/>
  <c r="SX10" i="2"/>
  <c r="SF10" i="2"/>
  <c r="SC10" i="2"/>
  <c r="TV9" i="2"/>
  <c r="TS9" i="2"/>
  <c r="TA9" i="2"/>
  <c r="SX9" i="2"/>
  <c r="SF9" i="2"/>
  <c r="SC9" i="2"/>
  <c r="TV8" i="2"/>
  <c r="TS8" i="2"/>
  <c r="TA8" i="2"/>
  <c r="SX8" i="2"/>
  <c r="SF8" i="2"/>
  <c r="SC8" i="2"/>
  <c r="TV7" i="2"/>
  <c r="TS7" i="2"/>
  <c r="TA7" i="2"/>
  <c r="SX7" i="2"/>
  <c r="SF7" i="2"/>
  <c r="SC7" i="2"/>
  <c r="UF6" i="2"/>
  <c r="UB6" i="2"/>
  <c r="TK6" i="2"/>
  <c r="TG6" i="2"/>
  <c r="SP6" i="2"/>
  <c r="SL6" i="2"/>
  <c r="TV5" i="2"/>
  <c r="TS5" i="2"/>
  <c r="TA5" i="2"/>
  <c r="SX5" i="2"/>
  <c r="SF5" i="2"/>
  <c r="SC5" i="2"/>
  <c r="RK29" i="2"/>
  <c r="RH29" i="2"/>
  <c r="QP29" i="2"/>
  <c r="QM29" i="2"/>
  <c r="PU29" i="2"/>
  <c r="PR29" i="2"/>
  <c r="RK28" i="2"/>
  <c r="RH28" i="2"/>
  <c r="QP28" i="2"/>
  <c r="QM28" i="2"/>
  <c r="PU28" i="2"/>
  <c r="PR28" i="2"/>
  <c r="RK27" i="2"/>
  <c r="RH27" i="2"/>
  <c r="QP27" i="2"/>
  <c r="QM27" i="2"/>
  <c r="PU27" i="2"/>
  <c r="PR27" i="2"/>
  <c r="RU26" i="2"/>
  <c r="RQ26" i="2"/>
  <c r="QZ26" i="2"/>
  <c r="QV26" i="2"/>
  <c r="QE26" i="2"/>
  <c r="QA26" i="2"/>
  <c r="RK25" i="2"/>
  <c r="RH25" i="2"/>
  <c r="QP25" i="2"/>
  <c r="QM25" i="2"/>
  <c r="PU25" i="2"/>
  <c r="PR25" i="2"/>
  <c r="RK24" i="2"/>
  <c r="RH24" i="2"/>
  <c r="QP24" i="2"/>
  <c r="QM24" i="2"/>
  <c r="PU24" i="2"/>
  <c r="PR24" i="2"/>
  <c r="RK23" i="2"/>
  <c r="RH23" i="2"/>
  <c r="QP23" i="2"/>
  <c r="QM23" i="2"/>
  <c r="PU23" i="2"/>
  <c r="PR23" i="2"/>
  <c r="RK22" i="2"/>
  <c r="RH22" i="2"/>
  <c r="QP22" i="2"/>
  <c r="QM22" i="2"/>
  <c r="PU22" i="2"/>
  <c r="PR22" i="2"/>
  <c r="RU21" i="2"/>
  <c r="RQ21" i="2"/>
  <c r="RK21" i="2"/>
  <c r="RH21" i="2"/>
  <c r="QZ21" i="2"/>
  <c r="QV21" i="2"/>
  <c r="QP21" i="2"/>
  <c r="QM21" i="2"/>
  <c r="QE21" i="2"/>
  <c r="QA21" i="2"/>
  <c r="PU21" i="2"/>
  <c r="PR21" i="2"/>
  <c r="RK20" i="2"/>
  <c r="RH20" i="2"/>
  <c r="QP20" i="2"/>
  <c r="QM20" i="2"/>
  <c r="PU20" i="2"/>
  <c r="PR20" i="2"/>
  <c r="RK19" i="2"/>
  <c r="RH19" i="2"/>
  <c r="QP19" i="2"/>
  <c r="QM19" i="2"/>
  <c r="PU19" i="2"/>
  <c r="PR19" i="2"/>
  <c r="RK15" i="2"/>
  <c r="RH15" i="2"/>
  <c r="QP15" i="2"/>
  <c r="QM15" i="2"/>
  <c r="PU15" i="2"/>
  <c r="PR15" i="2"/>
  <c r="RK14" i="2"/>
  <c r="RH14" i="2"/>
  <c r="QP14" i="2"/>
  <c r="QM14" i="2"/>
  <c r="PU14" i="2"/>
  <c r="PR14" i="2"/>
  <c r="RK13" i="2"/>
  <c r="RH13" i="2"/>
  <c r="QP13" i="2"/>
  <c r="QM13" i="2"/>
  <c r="PU13" i="2"/>
  <c r="PR13" i="2"/>
  <c r="RK12" i="2"/>
  <c r="RH12" i="2"/>
  <c r="QP12" i="2"/>
  <c r="QM12" i="2"/>
  <c r="PU12" i="2"/>
  <c r="PR12" i="2"/>
  <c r="RK11" i="2"/>
  <c r="RH11" i="2"/>
  <c r="QP11" i="2"/>
  <c r="QM11" i="2"/>
  <c r="PU11" i="2"/>
  <c r="PR11" i="2"/>
  <c r="RK10" i="2"/>
  <c r="RH10" i="2"/>
  <c r="QP10" i="2"/>
  <c r="QM10" i="2"/>
  <c r="PU10" i="2"/>
  <c r="PR10" i="2"/>
  <c r="RK9" i="2"/>
  <c r="RH9" i="2"/>
  <c r="QP9" i="2"/>
  <c r="QM9" i="2"/>
  <c r="PU9" i="2"/>
  <c r="PR9" i="2"/>
  <c r="RK8" i="2"/>
  <c r="RH8" i="2"/>
  <c r="QP8" i="2"/>
  <c r="QM8" i="2"/>
  <c r="PU8" i="2"/>
  <c r="PR8" i="2"/>
  <c r="RK7" i="2"/>
  <c r="RH7" i="2"/>
  <c r="QP7" i="2"/>
  <c r="QM7" i="2"/>
  <c r="PU7" i="2"/>
  <c r="PR7" i="2"/>
  <c r="RU6" i="2"/>
  <c r="RQ6" i="2"/>
  <c r="QZ6" i="2"/>
  <c r="QV6" i="2"/>
  <c r="QE6" i="2"/>
  <c r="QA6" i="2"/>
  <c r="RK5" i="2"/>
  <c r="RH5" i="2"/>
  <c r="QP5" i="2"/>
  <c r="QM5" i="2"/>
  <c r="PU5" i="2"/>
  <c r="PR5" i="2"/>
  <c r="OZ29" i="2"/>
  <c r="OW29" i="2"/>
  <c r="OE29" i="2"/>
  <c r="OB29" i="2"/>
  <c r="NJ29" i="2"/>
  <c r="NG29" i="2"/>
  <c r="OZ28" i="2"/>
  <c r="OW28" i="2"/>
  <c r="OE28" i="2"/>
  <c r="OB28" i="2"/>
  <c r="NJ28" i="2"/>
  <c r="NG28" i="2"/>
  <c r="OZ27" i="2"/>
  <c r="OW27" i="2"/>
  <c r="OE27" i="2"/>
  <c r="OB27" i="2"/>
  <c r="NJ27" i="2"/>
  <c r="NG27" i="2"/>
  <c r="PJ26" i="2"/>
  <c r="PF26" i="2"/>
  <c r="OO26" i="2"/>
  <c r="OK26" i="2"/>
  <c r="NT26" i="2"/>
  <c r="NP26" i="2"/>
  <c r="OZ25" i="2"/>
  <c r="OW25" i="2"/>
  <c r="OE25" i="2"/>
  <c r="OB25" i="2"/>
  <c r="NJ25" i="2"/>
  <c r="NG25" i="2"/>
  <c r="OZ24" i="2"/>
  <c r="OW24" i="2"/>
  <c r="OE24" i="2"/>
  <c r="OB24" i="2"/>
  <c r="NJ24" i="2"/>
  <c r="NG24" i="2"/>
  <c r="OZ23" i="2"/>
  <c r="OW23" i="2"/>
  <c r="OE23" i="2"/>
  <c r="OB23" i="2"/>
  <c r="NJ23" i="2"/>
  <c r="NG23" i="2"/>
  <c r="OZ22" i="2"/>
  <c r="OW22" i="2"/>
  <c r="OE22" i="2"/>
  <c r="OB22" i="2"/>
  <c r="NJ22" i="2"/>
  <c r="NG22" i="2"/>
  <c r="PJ21" i="2"/>
  <c r="PF21" i="2"/>
  <c r="OZ21" i="2"/>
  <c r="OW21" i="2"/>
  <c r="OO21" i="2"/>
  <c r="OK21" i="2"/>
  <c r="OE21" i="2"/>
  <c r="OB21" i="2"/>
  <c r="NT21" i="2"/>
  <c r="NP21" i="2"/>
  <c r="NJ21" i="2"/>
  <c r="NG21" i="2"/>
  <c r="OZ20" i="2"/>
  <c r="OW20" i="2"/>
  <c r="OE20" i="2"/>
  <c r="OB20" i="2"/>
  <c r="NJ20" i="2"/>
  <c r="NG20" i="2"/>
  <c r="OZ19" i="2"/>
  <c r="OW19" i="2"/>
  <c r="OE19" i="2"/>
  <c r="OB19" i="2"/>
  <c r="NJ19" i="2"/>
  <c r="NG19" i="2"/>
  <c r="OZ15" i="2"/>
  <c r="OW15" i="2"/>
  <c r="OE15" i="2"/>
  <c r="OB15" i="2"/>
  <c r="NJ15" i="2"/>
  <c r="NG15" i="2"/>
  <c r="OZ14" i="2"/>
  <c r="OW14" i="2"/>
  <c r="OE14" i="2"/>
  <c r="OB14" i="2"/>
  <c r="NJ14" i="2"/>
  <c r="NG14" i="2"/>
  <c r="OZ13" i="2"/>
  <c r="OW13" i="2"/>
  <c r="OE13" i="2"/>
  <c r="OB13" i="2"/>
  <c r="NJ13" i="2"/>
  <c r="NG13" i="2"/>
  <c r="OZ12" i="2"/>
  <c r="OW12" i="2"/>
  <c r="OE12" i="2"/>
  <c r="OB12" i="2"/>
  <c r="NJ12" i="2"/>
  <c r="NG12" i="2"/>
  <c r="OZ11" i="2"/>
  <c r="OW11" i="2"/>
  <c r="OE11" i="2"/>
  <c r="OB11" i="2"/>
  <c r="NJ11" i="2"/>
  <c r="NG11" i="2"/>
  <c r="OZ10" i="2"/>
  <c r="OW10" i="2"/>
  <c r="OE10" i="2"/>
  <c r="OB10" i="2"/>
  <c r="NJ10" i="2"/>
  <c r="NG10" i="2"/>
  <c r="OZ9" i="2"/>
  <c r="OW9" i="2"/>
  <c r="OE9" i="2"/>
  <c r="OB9" i="2"/>
  <c r="NJ9" i="2"/>
  <c r="NG9" i="2"/>
  <c r="OZ8" i="2"/>
  <c r="OW8" i="2"/>
  <c r="OE8" i="2"/>
  <c r="OB8" i="2"/>
  <c r="NJ8" i="2"/>
  <c r="NG8" i="2"/>
  <c r="OZ7" i="2"/>
  <c r="OW7" i="2"/>
  <c r="OE7" i="2"/>
  <c r="OB7" i="2"/>
  <c r="NJ7" i="2"/>
  <c r="NG7" i="2"/>
  <c r="PJ6" i="2"/>
  <c r="PF6" i="2"/>
  <c r="OO6" i="2"/>
  <c r="OK6" i="2"/>
  <c r="NT6" i="2"/>
  <c r="NP6" i="2"/>
  <c r="OZ5" i="2"/>
  <c r="OW5" i="2"/>
  <c r="OE5" i="2"/>
  <c r="OB5" i="2"/>
  <c r="NJ5" i="2"/>
  <c r="NG5" i="2"/>
  <c r="MO29" i="2"/>
  <c r="ML29" i="2"/>
  <c r="MO28" i="2"/>
  <c r="ML28" i="2"/>
  <c r="MO27" i="2"/>
  <c r="ML27" i="2"/>
  <c r="MY26" i="2"/>
  <c r="MU26" i="2"/>
  <c r="MO25" i="2"/>
  <c r="ML25" i="2"/>
  <c r="MO24" i="2"/>
  <c r="ML24" i="2"/>
  <c r="MO23" i="2"/>
  <c r="ML23" i="2"/>
  <c r="MO22" i="2"/>
  <c r="ML22" i="2"/>
  <c r="MY21" i="2"/>
  <c r="MU21" i="2"/>
  <c r="MO21" i="2"/>
  <c r="ML21" i="2"/>
  <c r="MO20" i="2"/>
  <c r="ML20" i="2"/>
  <c r="MO19" i="2"/>
  <c r="ML19" i="2"/>
  <c r="MO15" i="2"/>
  <c r="ML15" i="2"/>
  <c r="MO14" i="2"/>
  <c r="ML14" i="2"/>
  <c r="MO13" i="2"/>
  <c r="ML13" i="2"/>
  <c r="MO12" i="2"/>
  <c r="ML12" i="2"/>
  <c r="MO11" i="2"/>
  <c r="ML11" i="2"/>
  <c r="MO10" i="2"/>
  <c r="ML10" i="2"/>
  <c r="MO9" i="2"/>
  <c r="ML9" i="2"/>
  <c r="MO8" i="2"/>
  <c r="ML8" i="2"/>
  <c r="MO7" i="2"/>
  <c r="ML7" i="2"/>
  <c r="MY6" i="2"/>
  <c r="MU6" i="2"/>
  <c r="MO5" i="2"/>
  <c r="ML5" i="2"/>
  <c r="LT29" i="2"/>
  <c r="LQ29" i="2"/>
  <c r="LT28" i="2"/>
  <c r="LQ28" i="2"/>
  <c r="LT27" i="2"/>
  <c r="LQ27" i="2"/>
  <c r="MD26" i="2"/>
  <c r="LZ26" i="2"/>
  <c r="LT25" i="2"/>
  <c r="LQ25" i="2"/>
  <c r="LT24" i="2"/>
  <c r="LQ24" i="2"/>
  <c r="LT23" i="2"/>
  <c r="LQ23" i="2"/>
  <c r="LT22" i="2"/>
  <c r="LQ22" i="2"/>
  <c r="MD21" i="2"/>
  <c r="LZ21" i="2"/>
  <c r="LT21" i="2"/>
  <c r="LQ21" i="2"/>
  <c r="LT20" i="2"/>
  <c r="LQ20" i="2"/>
  <c r="LT19" i="2"/>
  <c r="LQ19" i="2"/>
  <c r="LT15" i="2"/>
  <c r="LQ15" i="2"/>
  <c r="LT14" i="2"/>
  <c r="LQ14" i="2"/>
  <c r="LT13" i="2"/>
  <c r="LQ13" i="2"/>
  <c r="LT12" i="2"/>
  <c r="LQ12" i="2"/>
  <c r="LT11" i="2"/>
  <c r="LQ11" i="2"/>
  <c r="LT10" i="2"/>
  <c r="LQ10" i="2"/>
  <c r="LT9" i="2"/>
  <c r="LQ9" i="2"/>
  <c r="LT8" i="2"/>
  <c r="LQ8" i="2"/>
  <c r="LT7" i="2"/>
  <c r="LQ7" i="2"/>
  <c r="MD6" i="2"/>
  <c r="LZ6" i="2"/>
  <c r="LT5" i="2"/>
  <c r="LQ5" i="2"/>
  <c r="KY29" i="2"/>
  <c r="KV29" i="2"/>
  <c r="KY28" i="2"/>
  <c r="KV28" i="2"/>
  <c r="KY27" i="2"/>
  <c r="KV27" i="2"/>
  <c r="LI26" i="2"/>
  <c r="LE26" i="2"/>
  <c r="KY25" i="2"/>
  <c r="KV25" i="2"/>
  <c r="KY24" i="2"/>
  <c r="KV24" i="2"/>
  <c r="KY23" i="2"/>
  <c r="KV23" i="2"/>
  <c r="KY22" i="2"/>
  <c r="KV22" i="2"/>
  <c r="LI21" i="2"/>
  <c r="LE21" i="2"/>
  <c r="KY21" i="2"/>
  <c r="KV21" i="2"/>
  <c r="KY20" i="2"/>
  <c r="KV20" i="2"/>
  <c r="KY19" i="2"/>
  <c r="KV19" i="2"/>
  <c r="KY15" i="2"/>
  <c r="KV15" i="2"/>
  <c r="KY14" i="2"/>
  <c r="KV14" i="2"/>
  <c r="KY13" i="2"/>
  <c r="KV13" i="2"/>
  <c r="KY12" i="2"/>
  <c r="KV12" i="2"/>
  <c r="KY11" i="2"/>
  <c r="KV11" i="2"/>
  <c r="KY10" i="2"/>
  <c r="KV10" i="2"/>
  <c r="KY9" i="2"/>
  <c r="KV9" i="2"/>
  <c r="KY8" i="2"/>
  <c r="KV8" i="2"/>
  <c r="KY7" i="2"/>
  <c r="KV7" i="2"/>
  <c r="LI6" i="2"/>
  <c r="LE6" i="2"/>
  <c r="KY5" i="2"/>
  <c r="KV5" i="2"/>
  <c r="KD29" i="2"/>
  <c r="KA29" i="2"/>
  <c r="KD28" i="2"/>
  <c r="KA28" i="2"/>
  <c r="KD27" i="2"/>
  <c r="KA27" i="2"/>
  <c r="KN26" i="2"/>
  <c r="KJ26" i="2"/>
  <c r="KD25" i="2"/>
  <c r="KA25" i="2"/>
  <c r="KD24" i="2"/>
  <c r="KA24" i="2"/>
  <c r="KD23" i="2"/>
  <c r="KA23" i="2"/>
  <c r="KD22" i="2"/>
  <c r="KA22" i="2"/>
  <c r="KN21" i="2"/>
  <c r="KJ21" i="2"/>
  <c r="KD21" i="2"/>
  <c r="KA21" i="2"/>
  <c r="KD20" i="2"/>
  <c r="KA20" i="2"/>
  <c r="KD19" i="2"/>
  <c r="KA19" i="2"/>
  <c r="KD15" i="2"/>
  <c r="KA15" i="2"/>
  <c r="KD14" i="2"/>
  <c r="KA14" i="2"/>
  <c r="KD13" i="2"/>
  <c r="KA13" i="2"/>
  <c r="KD12" i="2"/>
  <c r="KA12" i="2"/>
  <c r="KD11" i="2"/>
  <c r="KA11" i="2"/>
  <c r="KD10" i="2"/>
  <c r="KA10" i="2"/>
  <c r="KD9" i="2"/>
  <c r="KA9" i="2"/>
  <c r="KD8" i="2"/>
  <c r="KA8" i="2"/>
  <c r="KD7" i="2"/>
  <c r="KA7" i="2"/>
  <c r="KN6" i="2"/>
  <c r="KJ6" i="2"/>
  <c r="KD5" i="2"/>
  <c r="KA5" i="2"/>
  <c r="JI29" i="2"/>
  <c r="JF29" i="2"/>
  <c r="JI28" i="2"/>
  <c r="JF28" i="2"/>
  <c r="JI27" i="2"/>
  <c r="JF27" i="2"/>
  <c r="JS26" i="2"/>
  <c r="JO26" i="2"/>
  <c r="JI25" i="2"/>
  <c r="JF25" i="2"/>
  <c r="JI24" i="2"/>
  <c r="JF24" i="2"/>
  <c r="JI23" i="2"/>
  <c r="JF23" i="2"/>
  <c r="JI22" i="2"/>
  <c r="JF22" i="2"/>
  <c r="JS21" i="2"/>
  <c r="JO21" i="2"/>
  <c r="JI21" i="2"/>
  <c r="JF21" i="2"/>
  <c r="JI20" i="2"/>
  <c r="JF20" i="2"/>
  <c r="JI19" i="2"/>
  <c r="JF19" i="2"/>
  <c r="JI15" i="2"/>
  <c r="JF15" i="2"/>
  <c r="JI14" i="2"/>
  <c r="JF14" i="2"/>
  <c r="JI13" i="2"/>
  <c r="JF13" i="2"/>
  <c r="JI12" i="2"/>
  <c r="JF12" i="2"/>
  <c r="JI11" i="2"/>
  <c r="JF11" i="2"/>
  <c r="JI10" i="2"/>
  <c r="JF10" i="2"/>
  <c r="JI9" i="2"/>
  <c r="JF9" i="2"/>
  <c r="JI8" i="2"/>
  <c r="JF8" i="2"/>
  <c r="JI7" i="2"/>
  <c r="JF7" i="2"/>
  <c r="JS6" i="2"/>
  <c r="JO6" i="2"/>
  <c r="JI5" i="2"/>
  <c r="JF5" i="2"/>
  <c r="IN29" i="2"/>
  <c r="IK29" i="2"/>
  <c r="IN28" i="2"/>
  <c r="IK28" i="2"/>
  <c r="IN27" i="2"/>
  <c r="IK27" i="2"/>
  <c r="IX26" i="2"/>
  <c r="IT26" i="2"/>
  <c r="IN25" i="2"/>
  <c r="IK25" i="2"/>
  <c r="IN24" i="2"/>
  <c r="IK24" i="2"/>
  <c r="IN23" i="2"/>
  <c r="IK23" i="2"/>
  <c r="IN22" i="2"/>
  <c r="IK22" i="2"/>
  <c r="IX21" i="2"/>
  <c r="IT21" i="2"/>
  <c r="IN21" i="2"/>
  <c r="IK21" i="2"/>
  <c r="IN20" i="2"/>
  <c r="IK20" i="2"/>
  <c r="IN19" i="2"/>
  <c r="IK19" i="2"/>
  <c r="IN15" i="2"/>
  <c r="IK15" i="2"/>
  <c r="IN14" i="2"/>
  <c r="IK14" i="2"/>
  <c r="IN13" i="2"/>
  <c r="IK13" i="2"/>
  <c r="IN12" i="2"/>
  <c r="IK12" i="2"/>
  <c r="IN11" i="2"/>
  <c r="IK11" i="2"/>
  <c r="IN10" i="2"/>
  <c r="IK10" i="2"/>
  <c r="IN9" i="2"/>
  <c r="IK9" i="2"/>
  <c r="IN8" i="2"/>
  <c r="IK8" i="2"/>
  <c r="IN7" i="2"/>
  <c r="IK7" i="2"/>
  <c r="IX6" i="2"/>
  <c r="IT6" i="2"/>
  <c r="IN5" i="2"/>
  <c r="IK5" i="2"/>
  <c r="HS29" i="2"/>
  <c r="HP29" i="2"/>
  <c r="HS28" i="2"/>
  <c r="HP28" i="2"/>
  <c r="HS27" i="2"/>
  <c r="HP27" i="2"/>
  <c r="IC26" i="2"/>
  <c r="HY26" i="2"/>
  <c r="HS25" i="2"/>
  <c r="HP25" i="2"/>
  <c r="HS24" i="2"/>
  <c r="HP24" i="2"/>
  <c r="HS23" i="2"/>
  <c r="HP23" i="2"/>
  <c r="HS22" i="2"/>
  <c r="HP22" i="2"/>
  <c r="IC21" i="2"/>
  <c r="HY21" i="2"/>
  <c r="HS21" i="2"/>
  <c r="HP21" i="2"/>
  <c r="HS20" i="2"/>
  <c r="HP20" i="2"/>
  <c r="HS19" i="2"/>
  <c r="HP19" i="2"/>
  <c r="HS15" i="2"/>
  <c r="HP15" i="2"/>
  <c r="HS14" i="2"/>
  <c r="HP14" i="2"/>
  <c r="HS13" i="2"/>
  <c r="HP13" i="2"/>
  <c r="HS12" i="2"/>
  <c r="HP12" i="2"/>
  <c r="HS11" i="2"/>
  <c r="HP11" i="2"/>
  <c r="HS10" i="2"/>
  <c r="HP10" i="2"/>
  <c r="HS9" i="2"/>
  <c r="HP9" i="2"/>
  <c r="HS8" i="2"/>
  <c r="HP8" i="2"/>
  <c r="HS7" i="2"/>
  <c r="HP7" i="2"/>
  <c r="IC6" i="2"/>
  <c r="HY6" i="2"/>
  <c r="HS5" i="2"/>
  <c r="HP5" i="2"/>
  <c r="GX29" i="2"/>
  <c r="GU29" i="2"/>
  <c r="GX28" i="2"/>
  <c r="GU28" i="2"/>
  <c r="GX27" i="2"/>
  <c r="GU27" i="2"/>
  <c r="HH26" i="2"/>
  <c r="HD26" i="2"/>
  <c r="GX25" i="2"/>
  <c r="GU25" i="2"/>
  <c r="GX24" i="2"/>
  <c r="GU24" i="2"/>
  <c r="GX23" i="2"/>
  <c r="GU23" i="2"/>
  <c r="GX22" i="2"/>
  <c r="GU22" i="2"/>
  <c r="HH21" i="2"/>
  <c r="HD21" i="2"/>
  <c r="GX21" i="2"/>
  <c r="GU21" i="2"/>
  <c r="GX20" i="2"/>
  <c r="GU20" i="2"/>
  <c r="GX19" i="2"/>
  <c r="GU19" i="2"/>
  <c r="GX15" i="2"/>
  <c r="GU15" i="2"/>
  <c r="GX14" i="2"/>
  <c r="GU14" i="2"/>
  <c r="GX13" i="2"/>
  <c r="GU13" i="2"/>
  <c r="GX12" i="2"/>
  <c r="GU12" i="2"/>
  <c r="GX11" i="2"/>
  <c r="GU11" i="2"/>
  <c r="GX10" i="2"/>
  <c r="GU10" i="2"/>
  <c r="GX9" i="2"/>
  <c r="GU9" i="2"/>
  <c r="GX8" i="2"/>
  <c r="GU8" i="2"/>
  <c r="GX7" i="2"/>
  <c r="GU7" i="2"/>
  <c r="HH6" i="2"/>
  <c r="HD6" i="2"/>
  <c r="GX5" i="2"/>
  <c r="GU5" i="2"/>
  <c r="GC29" i="2"/>
  <c r="FZ29" i="2"/>
  <c r="GC28" i="2"/>
  <c r="FZ28" i="2"/>
  <c r="GC27" i="2"/>
  <c r="FZ27" i="2"/>
  <c r="GM26" i="2"/>
  <c r="GI26" i="2"/>
  <c r="GC25" i="2"/>
  <c r="FZ25" i="2"/>
  <c r="GC24" i="2"/>
  <c r="FZ24" i="2"/>
  <c r="GC23" i="2"/>
  <c r="FZ23" i="2"/>
  <c r="GC22" i="2"/>
  <c r="FZ22" i="2"/>
  <c r="GM21" i="2"/>
  <c r="GI21" i="2"/>
  <c r="GC21" i="2"/>
  <c r="FZ21" i="2"/>
  <c r="GC20" i="2"/>
  <c r="FZ20" i="2"/>
  <c r="GC19" i="2"/>
  <c r="FZ19" i="2"/>
  <c r="GC15" i="2"/>
  <c r="FZ15" i="2"/>
  <c r="GC14" i="2"/>
  <c r="FZ14" i="2"/>
  <c r="GC13" i="2"/>
  <c r="FZ13" i="2"/>
  <c r="GC12" i="2"/>
  <c r="FZ12" i="2"/>
  <c r="GC11" i="2"/>
  <c r="FZ11" i="2"/>
  <c r="GC10" i="2"/>
  <c r="FZ10" i="2"/>
  <c r="GC9" i="2"/>
  <c r="FZ9" i="2"/>
  <c r="GC8" i="2"/>
  <c r="FZ8" i="2"/>
  <c r="GC7" i="2"/>
  <c r="FZ7" i="2"/>
  <c r="GM6" i="2"/>
  <c r="GI6" i="2"/>
  <c r="GC5" i="2"/>
  <c r="FZ5" i="2"/>
  <c r="FH29" i="2"/>
  <c r="FE29" i="2"/>
  <c r="FH28" i="2"/>
  <c r="FE28" i="2"/>
  <c r="FH27" i="2"/>
  <c r="FE27" i="2"/>
  <c r="FR26" i="2"/>
  <c r="FN26" i="2"/>
  <c r="FH25" i="2"/>
  <c r="FE25" i="2"/>
  <c r="FH24" i="2"/>
  <c r="FE24" i="2"/>
  <c r="FH23" i="2"/>
  <c r="FE23" i="2"/>
  <c r="FH22" i="2"/>
  <c r="FE22" i="2"/>
  <c r="FR21" i="2"/>
  <c r="FN21" i="2"/>
  <c r="FH21" i="2"/>
  <c r="FE21" i="2"/>
  <c r="FH20" i="2"/>
  <c r="FE20" i="2"/>
  <c r="FH19" i="2"/>
  <c r="FE19" i="2"/>
  <c r="FH15" i="2"/>
  <c r="FE15" i="2"/>
  <c r="FH14" i="2"/>
  <c r="FE14" i="2"/>
  <c r="FH13" i="2"/>
  <c r="FE13" i="2"/>
  <c r="FH12" i="2"/>
  <c r="FE12" i="2"/>
  <c r="FH11" i="2"/>
  <c r="FE11" i="2"/>
  <c r="FH10" i="2"/>
  <c r="FE10" i="2"/>
  <c r="FH9" i="2"/>
  <c r="FE9" i="2"/>
  <c r="FH8" i="2"/>
  <c r="FE8" i="2"/>
  <c r="FH7" i="2"/>
  <c r="FE7" i="2"/>
  <c r="FR6" i="2"/>
  <c r="FN6" i="2"/>
  <c r="FH5" i="2"/>
  <c r="FE5" i="2"/>
  <c r="EM29" i="2"/>
  <c r="EJ29" i="2"/>
  <c r="EM28" i="2"/>
  <c r="EJ28" i="2"/>
  <c r="EM27" i="2"/>
  <c r="EJ27" i="2"/>
  <c r="EW26" i="2"/>
  <c r="ES26" i="2"/>
  <c r="EM25" i="2"/>
  <c r="EJ25" i="2"/>
  <c r="EM24" i="2"/>
  <c r="EJ24" i="2"/>
  <c r="EM23" i="2"/>
  <c r="EJ23" i="2"/>
  <c r="EM22" i="2"/>
  <c r="EJ22" i="2"/>
  <c r="EW21" i="2"/>
  <c r="ES21" i="2"/>
  <c r="EM21" i="2"/>
  <c r="EJ21" i="2"/>
  <c r="EM20" i="2"/>
  <c r="EJ20" i="2"/>
  <c r="EM19" i="2"/>
  <c r="EJ19" i="2"/>
  <c r="EM15" i="2"/>
  <c r="EJ15" i="2"/>
  <c r="EM14" i="2"/>
  <c r="EJ14" i="2"/>
  <c r="EM13" i="2"/>
  <c r="EJ13" i="2"/>
  <c r="EM12" i="2"/>
  <c r="EJ12" i="2"/>
  <c r="EM11" i="2"/>
  <c r="EJ11" i="2"/>
  <c r="EM10" i="2"/>
  <c r="EJ10" i="2"/>
  <c r="EM9" i="2"/>
  <c r="EJ9" i="2"/>
  <c r="EM8" i="2"/>
  <c r="EJ8" i="2"/>
  <c r="EM7" i="2"/>
  <c r="EJ7" i="2"/>
  <c r="EW6" i="2"/>
  <c r="ES6" i="2"/>
  <c r="EM5" i="2"/>
  <c r="EJ5" i="2"/>
  <c r="DR29" i="2"/>
  <c r="DO29" i="2"/>
  <c r="DR28" i="2"/>
  <c r="DO28" i="2"/>
  <c r="DR27" i="2"/>
  <c r="DO27" i="2"/>
  <c r="EB26" i="2"/>
  <c r="DX26" i="2"/>
  <c r="DR25" i="2"/>
  <c r="DO25" i="2"/>
  <c r="DR24" i="2"/>
  <c r="DO24" i="2"/>
  <c r="DR23" i="2"/>
  <c r="DO23" i="2"/>
  <c r="DR22" i="2"/>
  <c r="DO22" i="2"/>
  <c r="EB21" i="2"/>
  <c r="DX21" i="2"/>
  <c r="DR21" i="2"/>
  <c r="DO21" i="2"/>
  <c r="DR20" i="2"/>
  <c r="DO20" i="2"/>
  <c r="DR19" i="2"/>
  <c r="DO19" i="2"/>
  <c r="DR15" i="2"/>
  <c r="DO15" i="2"/>
  <c r="DR14" i="2"/>
  <c r="DO14" i="2"/>
  <c r="DR13" i="2"/>
  <c r="DO13" i="2"/>
  <c r="DR12" i="2"/>
  <c r="DO12" i="2"/>
  <c r="DR11" i="2"/>
  <c r="DO11" i="2"/>
  <c r="DR10" i="2"/>
  <c r="DO10" i="2"/>
  <c r="DR9" i="2"/>
  <c r="DO9" i="2"/>
  <c r="DR8" i="2"/>
  <c r="DO8" i="2"/>
  <c r="DR7" i="2"/>
  <c r="DO7" i="2"/>
  <c r="EB6" i="2"/>
  <c r="DX6" i="2"/>
  <c r="DR5" i="2"/>
  <c r="DO5" i="2"/>
  <c r="CW29" i="2"/>
  <c r="CT29" i="2"/>
  <c r="CW28" i="2"/>
  <c r="CT28" i="2"/>
  <c r="CW27" i="2"/>
  <c r="CT27" i="2"/>
  <c r="DG26" i="2"/>
  <c r="DC26" i="2"/>
  <c r="CW25" i="2"/>
  <c r="CT25" i="2"/>
  <c r="CW24" i="2"/>
  <c r="CT24" i="2"/>
  <c r="CW23" i="2"/>
  <c r="CT23" i="2"/>
  <c r="CW22" i="2"/>
  <c r="CT22" i="2"/>
  <c r="DG21" i="2"/>
  <c r="DC21" i="2"/>
  <c r="CW21" i="2"/>
  <c r="CT21" i="2"/>
  <c r="CW20" i="2"/>
  <c r="CT20" i="2"/>
  <c r="CW19" i="2"/>
  <c r="CT19" i="2"/>
  <c r="CW15" i="2"/>
  <c r="CT15" i="2"/>
  <c r="CW14" i="2"/>
  <c r="CT14" i="2"/>
  <c r="CW13" i="2"/>
  <c r="CT13" i="2"/>
  <c r="CW12" i="2"/>
  <c r="CT12" i="2"/>
  <c r="CW11" i="2"/>
  <c r="CT11" i="2"/>
  <c r="CW10" i="2"/>
  <c r="CT10" i="2"/>
  <c r="CW9" i="2"/>
  <c r="CT9" i="2"/>
  <c r="CW8" i="2"/>
  <c r="CT8" i="2"/>
  <c r="CW7" i="2"/>
  <c r="CT7" i="2"/>
  <c r="DG6" i="2"/>
  <c r="DC6" i="2"/>
  <c r="CW5" i="2"/>
  <c r="CT5" i="2"/>
  <c r="CB29" i="2"/>
  <c r="BY29" i="2"/>
  <c r="CB28" i="2"/>
  <c r="BY28" i="2"/>
  <c r="CB27" i="2"/>
  <c r="BY27" i="2"/>
  <c r="CL26" i="2"/>
  <c r="CH26" i="2"/>
  <c r="CB25" i="2"/>
  <c r="BY25" i="2"/>
  <c r="CB24" i="2"/>
  <c r="BY24" i="2"/>
  <c r="CB23" i="2"/>
  <c r="BY23" i="2"/>
  <c r="CB22" i="2"/>
  <c r="BY22" i="2"/>
  <c r="CL21" i="2"/>
  <c r="CH21" i="2"/>
  <c r="CB21" i="2"/>
  <c r="BY21" i="2"/>
  <c r="CB20" i="2"/>
  <c r="BY20" i="2"/>
  <c r="CB19" i="2"/>
  <c r="BY19" i="2"/>
  <c r="CB15" i="2"/>
  <c r="BY15" i="2"/>
  <c r="CB14" i="2"/>
  <c r="BY14" i="2"/>
  <c r="CB13" i="2"/>
  <c r="BY13" i="2"/>
  <c r="CB12" i="2"/>
  <c r="BY12" i="2"/>
  <c r="CB11" i="2"/>
  <c r="BY11" i="2"/>
  <c r="CB10" i="2"/>
  <c r="BY10" i="2"/>
  <c r="CB9" i="2"/>
  <c r="BY9" i="2"/>
  <c r="CB8" i="2"/>
  <c r="BY8" i="2"/>
  <c r="CB7" i="2"/>
  <c r="BY7" i="2"/>
  <c r="CL6" i="2"/>
  <c r="CH6" i="2"/>
  <c r="CB5" i="2"/>
  <c r="BY5" i="2"/>
  <c r="H36" i="2"/>
  <c r="Z29" i="2"/>
  <c r="AA29" i="2" s="1"/>
  <c r="Z28" i="2"/>
  <c r="Z27" i="2"/>
  <c r="AA27" i="2" s="1"/>
  <c r="Z26" i="2"/>
  <c r="Z25" i="2"/>
  <c r="AC25" i="2" s="1"/>
  <c r="Z24" i="2"/>
  <c r="AC24" i="2" s="1"/>
  <c r="Z23" i="2"/>
  <c r="AC23" i="2" s="1"/>
  <c r="Z22" i="2"/>
  <c r="AC22" i="2" s="1"/>
  <c r="Z21" i="2"/>
  <c r="Z20" i="2"/>
  <c r="Z19" i="2"/>
  <c r="AC19" i="2" s="1"/>
  <c r="Z18" i="2"/>
  <c r="AC18" i="2" s="1"/>
  <c r="Z17" i="2"/>
  <c r="AC17" i="2" s="1"/>
  <c r="Z16" i="2"/>
  <c r="AC16" i="2" s="1"/>
  <c r="Z15" i="2"/>
  <c r="AC15" i="2" s="1"/>
  <c r="Z14" i="2"/>
  <c r="AA14" i="2" s="1"/>
  <c r="Z12" i="2"/>
  <c r="AC12" i="2" s="1"/>
  <c r="Z11" i="2"/>
  <c r="AA11" i="2" s="1"/>
  <c r="Z10" i="2"/>
  <c r="Z9" i="2"/>
  <c r="Z8" i="2"/>
  <c r="AC8" i="2" s="1"/>
  <c r="Z7" i="2"/>
  <c r="AC7" i="2" s="1"/>
  <c r="Z6" i="2"/>
  <c r="AC6" i="2" s="1"/>
  <c r="Z5" i="2"/>
  <c r="AC5" i="2" s="1"/>
  <c r="Z4" i="2"/>
  <c r="AC4" i="2" s="1"/>
  <c r="Z3" i="2"/>
  <c r="L37" i="2"/>
  <c r="K22" i="2"/>
  <c r="AC26" i="2"/>
  <c r="AC10" i="2"/>
  <c r="AC9" i="2"/>
  <c r="BG29" i="2"/>
  <c r="BD29" i="2"/>
  <c r="BG28" i="2"/>
  <c r="BD28" i="2"/>
  <c r="BG27" i="2"/>
  <c r="BD27" i="2"/>
  <c r="BQ26" i="2"/>
  <c r="BM26" i="2"/>
  <c r="BG25" i="2"/>
  <c r="BD25" i="2"/>
  <c r="BG24" i="2"/>
  <c r="BD24" i="2"/>
  <c r="BG23" i="2"/>
  <c r="BD23" i="2"/>
  <c r="BG22" i="2"/>
  <c r="BD22" i="2"/>
  <c r="BQ21" i="2"/>
  <c r="BM21" i="2"/>
  <c r="BG21" i="2"/>
  <c r="BD21" i="2"/>
  <c r="BG20" i="2"/>
  <c r="BD20" i="2"/>
  <c r="BG19" i="2"/>
  <c r="BD19" i="2"/>
  <c r="BG15" i="2"/>
  <c r="BD15" i="2"/>
  <c r="BG14" i="2"/>
  <c r="BD14" i="2"/>
  <c r="BG13" i="2"/>
  <c r="BD13" i="2"/>
  <c r="BG12" i="2"/>
  <c r="BD12" i="2"/>
  <c r="BG11" i="2"/>
  <c r="BD11" i="2"/>
  <c r="BG10" i="2"/>
  <c r="BD10" i="2"/>
  <c r="BG9" i="2"/>
  <c r="BD9" i="2"/>
  <c r="BQ8" i="2"/>
  <c r="BM8" i="2"/>
  <c r="BG8" i="2"/>
  <c r="BD8" i="2"/>
  <c r="BQ7" i="2"/>
  <c r="BM7" i="2"/>
  <c r="BG7" i="2"/>
  <c r="BD7" i="2"/>
  <c r="BQ6" i="2"/>
  <c r="BM6" i="2"/>
  <c r="BG5" i="2"/>
  <c r="BD5" i="2"/>
  <c r="AA28" i="2"/>
  <c r="AA23" i="2"/>
  <c r="AA22" i="2"/>
  <c r="AA21" i="2"/>
  <c r="AA20" i="2"/>
  <c r="AA19" i="2"/>
  <c r="AA18" i="2"/>
  <c r="AA16" i="2"/>
  <c r="AA13" i="2"/>
  <c r="AA12" i="2"/>
  <c r="AA8" i="2"/>
  <c r="AA7" i="2"/>
  <c r="AA6" i="2"/>
  <c r="AA5" i="2"/>
  <c r="AA4" i="2"/>
  <c r="AL5" i="2"/>
  <c r="AL7" i="2"/>
  <c r="AL8" i="2"/>
  <c r="AL9" i="2"/>
  <c r="AL10" i="2"/>
  <c r="AL11" i="2"/>
  <c r="AL12" i="2"/>
  <c r="AL13" i="2"/>
  <c r="AL14" i="2"/>
  <c r="AL15" i="2"/>
  <c r="AL19" i="2"/>
  <c r="AL20" i="2"/>
  <c r="AL21" i="2"/>
  <c r="AL22" i="2"/>
  <c r="AL23" i="2"/>
  <c r="AL24" i="2"/>
  <c r="AL25" i="2"/>
  <c r="AL27" i="2"/>
  <c r="AL28" i="2"/>
  <c r="AL29" i="2"/>
  <c r="AI5" i="2"/>
  <c r="AI7" i="2"/>
  <c r="AI8" i="2"/>
  <c r="AI9" i="2"/>
  <c r="AI10" i="2"/>
  <c r="AI11" i="2"/>
  <c r="AI12" i="2"/>
  <c r="AI13" i="2"/>
  <c r="AI14" i="2"/>
  <c r="AI15" i="2"/>
  <c r="AI19" i="2"/>
  <c r="AI20" i="2"/>
  <c r="AI21" i="2"/>
  <c r="AI22" i="2"/>
  <c r="AI23" i="2"/>
  <c r="AI24" i="2"/>
  <c r="AI25" i="2"/>
  <c r="AI27" i="2"/>
  <c r="AI28" i="2"/>
  <c r="AI29" i="2"/>
  <c r="AC13" i="2"/>
  <c r="AC20" i="2"/>
  <c r="AC21" i="2"/>
  <c r="AC28" i="2"/>
  <c r="AC29" i="2"/>
  <c r="AC1" i="2"/>
  <c r="AV1" i="2" s="1"/>
  <c r="AX1" i="2" s="1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31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441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747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722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3" i="11"/>
  <c r="L724" i="11"/>
  <c r="L725" i="11"/>
  <c r="L726" i="11"/>
  <c r="L727" i="11"/>
  <c r="L728" i="11"/>
  <c r="L729" i="11"/>
  <c r="L730" i="11"/>
  <c r="L731" i="11"/>
  <c r="L732" i="11"/>
  <c r="L733" i="11"/>
  <c r="L734" i="11"/>
  <c r="L735" i="11"/>
  <c r="L736" i="11"/>
  <c r="L737" i="11"/>
  <c r="L738" i="11"/>
  <c r="L739" i="11"/>
  <c r="L740" i="11"/>
  <c r="L741" i="11"/>
  <c r="L742" i="11"/>
  <c r="L743" i="11"/>
  <c r="L744" i="11"/>
  <c r="L745" i="11"/>
  <c r="L746" i="11"/>
  <c r="L748" i="11"/>
  <c r="L749" i="11"/>
  <c r="L750" i="11"/>
  <c r="L751" i="11"/>
  <c r="L752" i="11"/>
  <c r="L753" i="11"/>
  <c r="L754" i="11"/>
  <c r="L755" i="11"/>
  <c r="L756" i="11"/>
  <c r="L757" i="11"/>
  <c r="L758" i="11"/>
  <c r="L759" i="11"/>
  <c r="L760" i="1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L317" i="14"/>
  <c r="L318" i="14"/>
  <c r="L319" i="14"/>
  <c r="L320" i="14"/>
  <c r="L321" i="14"/>
  <c r="L322" i="14"/>
  <c r="L323" i="14"/>
  <c r="L324" i="14"/>
  <c r="L325" i="14"/>
  <c r="L326" i="14"/>
  <c r="L327" i="14"/>
  <c r="L328" i="14"/>
  <c r="L329" i="14"/>
  <c r="L330" i="14"/>
  <c r="L331" i="14"/>
  <c r="L332" i="14"/>
  <c r="L333" i="14"/>
  <c r="L334" i="14"/>
  <c r="L335" i="14"/>
  <c r="L336" i="14"/>
  <c r="L337" i="14"/>
  <c r="L338" i="14"/>
  <c r="L339" i="14"/>
  <c r="L340" i="14"/>
  <c r="L341" i="14"/>
  <c r="L342" i="14"/>
  <c r="L343" i="14"/>
  <c r="L344" i="14"/>
  <c r="L345" i="14"/>
  <c r="L346" i="14"/>
  <c r="L347" i="14"/>
  <c r="L348" i="14"/>
  <c r="L349" i="14"/>
  <c r="L350" i="14"/>
  <c r="L351" i="14"/>
  <c r="L352" i="14"/>
  <c r="L353" i="14"/>
  <c r="L588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70" i="14"/>
  <c r="L371" i="14"/>
  <c r="L372" i="14"/>
  <c r="L373" i="14"/>
  <c r="L374" i="14"/>
  <c r="L375" i="14"/>
  <c r="L376" i="14"/>
  <c r="L377" i="14"/>
  <c r="L378" i="14"/>
  <c r="L379" i="14"/>
  <c r="L380" i="14"/>
  <c r="L381" i="14"/>
  <c r="L382" i="14"/>
  <c r="L383" i="14"/>
  <c r="L384" i="14"/>
  <c r="L385" i="14"/>
  <c r="L386" i="14"/>
  <c r="L387" i="14"/>
  <c r="L388" i="14"/>
  <c r="L389" i="14"/>
  <c r="L390" i="14"/>
  <c r="L391" i="14"/>
  <c r="L392" i="14"/>
  <c r="L393" i="14"/>
  <c r="L394" i="14"/>
  <c r="L395" i="14"/>
  <c r="L396" i="14"/>
  <c r="L397" i="14"/>
  <c r="L398" i="14"/>
  <c r="L399" i="14"/>
  <c r="L400" i="14"/>
  <c r="L401" i="14"/>
  <c r="L402" i="14"/>
  <c r="L403" i="14"/>
  <c r="L404" i="14"/>
  <c r="L405" i="14"/>
  <c r="L406" i="14"/>
  <c r="L407" i="14"/>
  <c r="L408" i="14"/>
  <c r="L409" i="14"/>
  <c r="L410" i="14"/>
  <c r="L411" i="14"/>
  <c r="L412" i="14"/>
  <c r="L413" i="14"/>
  <c r="L414" i="14"/>
  <c r="L415" i="14"/>
  <c r="L416" i="14"/>
  <c r="L417" i="14"/>
  <c r="L418" i="14"/>
  <c r="L419" i="14"/>
  <c r="L420" i="14"/>
  <c r="L421" i="14"/>
  <c r="L422" i="14"/>
  <c r="L423" i="14"/>
  <c r="L424" i="14"/>
  <c r="L425" i="14"/>
  <c r="L426" i="14"/>
  <c r="L427" i="14"/>
  <c r="L428" i="14"/>
  <c r="L429" i="14"/>
  <c r="L430" i="14"/>
  <c r="L431" i="14"/>
  <c r="L432" i="14"/>
  <c r="L433" i="14"/>
  <c r="L434" i="14"/>
  <c r="L435" i="14"/>
  <c r="L436" i="14"/>
  <c r="L437" i="14"/>
  <c r="L438" i="14"/>
  <c r="L439" i="14"/>
  <c r="L440" i="14"/>
  <c r="L441" i="14"/>
  <c r="L442" i="14"/>
  <c r="L443" i="14"/>
  <c r="L444" i="14"/>
  <c r="L445" i="14"/>
  <c r="L446" i="14"/>
  <c r="L447" i="14"/>
  <c r="L448" i="14"/>
  <c r="L518" i="14"/>
  <c r="L449" i="14"/>
  <c r="L450" i="14"/>
  <c r="L451" i="14"/>
  <c r="L452" i="14"/>
  <c r="L453" i="14"/>
  <c r="L454" i="14"/>
  <c r="L455" i="14"/>
  <c r="L456" i="14"/>
  <c r="L457" i="14"/>
  <c r="L458" i="14"/>
  <c r="L459" i="14"/>
  <c r="L460" i="14"/>
  <c r="L461" i="14"/>
  <c r="L462" i="14"/>
  <c r="L463" i="14"/>
  <c r="L464" i="14"/>
  <c r="L465" i="14"/>
  <c r="L466" i="14"/>
  <c r="L467" i="14"/>
  <c r="L468" i="14"/>
  <c r="L469" i="14"/>
  <c r="L470" i="14"/>
  <c r="L471" i="14"/>
  <c r="L472" i="14"/>
  <c r="L473" i="14"/>
  <c r="L474" i="14"/>
  <c r="L475" i="14"/>
  <c r="L476" i="14"/>
  <c r="L477" i="14"/>
  <c r="L478" i="14"/>
  <c r="L479" i="14"/>
  <c r="L480" i="14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510" i="14"/>
  <c r="L511" i="14"/>
  <c r="L512" i="14"/>
  <c r="L513" i="14"/>
  <c r="L514" i="14"/>
  <c r="L515" i="14"/>
  <c r="L516" i="14"/>
  <c r="L517" i="14"/>
  <c r="L519" i="14"/>
  <c r="L520" i="14"/>
  <c r="L521" i="14"/>
  <c r="L522" i="14"/>
  <c r="L523" i="14"/>
  <c r="L524" i="14"/>
  <c r="L525" i="14"/>
  <c r="L526" i="14"/>
  <c r="L527" i="14"/>
  <c r="L528" i="14"/>
  <c r="L529" i="14"/>
  <c r="L530" i="14"/>
  <c r="L531" i="14"/>
  <c r="L532" i="14"/>
  <c r="L533" i="14"/>
  <c r="L534" i="14"/>
  <c r="L535" i="14"/>
  <c r="L536" i="14"/>
  <c r="L537" i="14"/>
  <c r="L538" i="14"/>
  <c r="L539" i="14"/>
  <c r="L540" i="14"/>
  <c r="L541" i="14"/>
  <c r="L542" i="14"/>
  <c r="L543" i="14"/>
  <c r="L544" i="14"/>
  <c r="L545" i="14"/>
  <c r="L546" i="14"/>
  <c r="L547" i="14"/>
  <c r="L548" i="14"/>
  <c r="L549" i="14"/>
  <c r="L550" i="14"/>
  <c r="L551" i="14"/>
  <c r="L552" i="14"/>
  <c r="L553" i="14"/>
  <c r="L554" i="14"/>
  <c r="L555" i="14"/>
  <c r="L556" i="14"/>
  <c r="L557" i="14"/>
  <c r="L558" i="14"/>
  <c r="L559" i="14"/>
  <c r="L560" i="14"/>
  <c r="L561" i="14"/>
  <c r="L562" i="14"/>
  <c r="L563" i="14"/>
  <c r="L564" i="14"/>
  <c r="L565" i="14"/>
  <c r="L566" i="14"/>
  <c r="L567" i="14"/>
  <c r="L568" i="14"/>
  <c r="L569" i="14"/>
  <c r="L570" i="14"/>
  <c r="L571" i="14"/>
  <c r="L572" i="14"/>
  <c r="L573" i="14"/>
  <c r="L574" i="14"/>
  <c r="L575" i="14"/>
  <c r="L576" i="14"/>
  <c r="L577" i="14"/>
  <c r="L578" i="14"/>
  <c r="L579" i="14"/>
  <c r="L580" i="14"/>
  <c r="L581" i="14"/>
  <c r="L582" i="14"/>
  <c r="L583" i="14"/>
  <c r="L584" i="14"/>
  <c r="L585" i="14"/>
  <c r="L586" i="14"/>
  <c r="L587" i="14"/>
  <c r="L589" i="14"/>
  <c r="L590" i="14"/>
  <c r="L591" i="14"/>
  <c r="L592" i="14"/>
  <c r="L593" i="14"/>
  <c r="L594" i="14"/>
  <c r="L597" i="14"/>
  <c r="L598" i="14"/>
  <c r="L599" i="14"/>
  <c r="L600" i="14"/>
  <c r="L601" i="14"/>
  <c r="L602" i="14"/>
  <c r="L603" i="14"/>
  <c r="L604" i="14"/>
  <c r="L605" i="14"/>
  <c r="L606" i="14"/>
  <c r="L607" i="14"/>
  <c r="L608" i="14"/>
  <c r="L609" i="14"/>
  <c r="L610" i="14"/>
  <c r="L611" i="14"/>
  <c r="L612" i="14"/>
  <c r="L613" i="14"/>
  <c r="L614" i="14"/>
  <c r="L615" i="14"/>
  <c r="L616" i="14"/>
  <c r="L617" i="14"/>
  <c r="L618" i="14"/>
  <c r="L619" i="14"/>
  <c r="L620" i="14"/>
  <c r="L621" i="14"/>
  <c r="L622" i="14"/>
  <c r="L623" i="14"/>
  <c r="L624" i="14"/>
  <c r="L625" i="14"/>
  <c r="L626" i="14"/>
  <c r="L627" i="14"/>
  <c r="L628" i="14"/>
  <c r="L629" i="14"/>
  <c r="L630" i="14"/>
  <c r="L631" i="14"/>
  <c r="L632" i="14"/>
  <c r="L633" i="14"/>
  <c r="L634" i="14"/>
  <c r="L635" i="14"/>
  <c r="L636" i="14"/>
  <c r="L637" i="14"/>
  <c r="L638" i="14"/>
  <c r="L639" i="14"/>
  <c r="L640" i="14"/>
  <c r="L641" i="14"/>
  <c r="L642" i="14"/>
  <c r="L643" i="14"/>
  <c r="L644" i="14"/>
  <c r="L645" i="14"/>
  <c r="L646" i="14"/>
  <c r="L647" i="14"/>
  <c r="L648" i="14"/>
  <c r="L595" i="14"/>
  <c r="L596" i="14"/>
  <c r="L649" i="14"/>
  <c r="L650" i="14"/>
  <c r="L651" i="14"/>
  <c r="L652" i="14"/>
  <c r="L653" i="14"/>
  <c r="L654" i="14"/>
  <c r="L655" i="14"/>
  <c r="L656" i="14"/>
  <c r="L657" i="14"/>
  <c r="L658" i="14"/>
  <c r="L659" i="14"/>
  <c r="L660" i="14"/>
  <c r="L661" i="14"/>
  <c r="L662" i="14"/>
  <c r="L663" i="14"/>
  <c r="L664" i="14"/>
  <c r="L665" i="14"/>
  <c r="L666" i="14"/>
  <c r="L667" i="14"/>
  <c r="L668" i="14"/>
  <c r="L669" i="14"/>
  <c r="L670" i="14"/>
  <c r="L671" i="14"/>
  <c r="L672" i="14"/>
  <c r="L673" i="14"/>
  <c r="L674" i="14"/>
  <c r="L675" i="14"/>
  <c r="L676" i="14"/>
  <c r="L677" i="14"/>
  <c r="L678" i="14"/>
  <c r="L679" i="14"/>
  <c r="L680" i="14"/>
  <c r="L681" i="14"/>
  <c r="L682" i="14"/>
  <c r="L683" i="14"/>
  <c r="L684" i="14"/>
  <c r="L685" i="14"/>
  <c r="L686" i="14"/>
  <c r="L687" i="14"/>
  <c r="L688" i="14"/>
  <c r="L689" i="14"/>
  <c r="L690" i="14"/>
  <c r="L691" i="14"/>
  <c r="L692" i="14"/>
  <c r="L693" i="14"/>
  <c r="L694" i="14"/>
  <c r="L695" i="14"/>
  <c r="L696" i="14"/>
  <c r="L697" i="14"/>
  <c r="L698" i="14"/>
  <c r="L699" i="14"/>
  <c r="L700" i="14"/>
  <c r="L701" i="14"/>
  <c r="L702" i="14"/>
  <c r="L703" i="14"/>
  <c r="L704" i="14"/>
  <c r="L705" i="14"/>
  <c r="L706" i="14"/>
  <c r="L707" i="14"/>
  <c r="L708" i="14"/>
  <c r="L709" i="14"/>
  <c r="L710" i="14"/>
  <c r="L711" i="14"/>
  <c r="L712" i="14"/>
  <c r="L713" i="14"/>
  <c r="L714" i="14"/>
  <c r="L715" i="14"/>
  <c r="L716" i="14"/>
  <c r="L717" i="14"/>
  <c r="L718" i="14"/>
  <c r="L719" i="14"/>
  <c r="L720" i="14"/>
  <c r="L721" i="14"/>
  <c r="L722" i="14"/>
  <c r="L723" i="14"/>
  <c r="L724" i="14"/>
  <c r="L725" i="14"/>
  <c r="L726" i="14"/>
  <c r="L727" i="14"/>
  <c r="L728" i="14"/>
  <c r="L729" i="14"/>
  <c r="L730" i="14"/>
  <c r="L731" i="14"/>
  <c r="L732" i="14"/>
  <c r="L733" i="14"/>
  <c r="L734" i="14"/>
  <c r="L735" i="14"/>
  <c r="L736" i="14"/>
  <c r="L737" i="14"/>
  <c r="L738" i="14"/>
  <c r="L739" i="14"/>
  <c r="L740" i="14"/>
  <c r="L741" i="14"/>
  <c r="L742" i="14"/>
  <c r="L743" i="14"/>
  <c r="L744" i="14"/>
  <c r="L745" i="14"/>
  <c r="L746" i="14"/>
  <c r="L747" i="14"/>
  <c r="L748" i="14"/>
  <c r="L749" i="14"/>
  <c r="L750" i="14"/>
  <c r="L751" i="14"/>
  <c r="L752" i="14"/>
  <c r="L753" i="14"/>
  <c r="L754" i="14"/>
  <c r="L755" i="14"/>
  <c r="L756" i="14"/>
  <c r="L757" i="14"/>
  <c r="L758" i="14"/>
  <c r="L759" i="14"/>
  <c r="L760" i="14"/>
  <c r="L761" i="14"/>
  <c r="L762" i="14"/>
  <c r="L763" i="14"/>
  <c r="L764" i="14"/>
  <c r="L765" i="14"/>
  <c r="L766" i="14"/>
  <c r="L767" i="14"/>
  <c r="L768" i="14"/>
  <c r="L769" i="14"/>
  <c r="L770" i="14"/>
  <c r="L771" i="14"/>
  <c r="L772" i="14"/>
  <c r="L773" i="14"/>
  <c r="L774" i="14"/>
  <c r="L775" i="14"/>
  <c r="L776" i="14"/>
  <c r="L777" i="14"/>
  <c r="L778" i="14"/>
  <c r="L779" i="14"/>
  <c r="L780" i="14"/>
  <c r="L781" i="14"/>
  <c r="L782" i="14"/>
  <c r="L783" i="14"/>
  <c r="L784" i="14"/>
  <c r="L785" i="14"/>
  <c r="L786" i="14"/>
  <c r="L787" i="14"/>
  <c r="L788" i="14"/>
  <c r="L789" i="14"/>
  <c r="L790" i="14"/>
  <c r="L131" i="15"/>
  <c r="L134" i="15"/>
  <c r="L135" i="15"/>
  <c r="L136" i="15"/>
  <c r="L138" i="15"/>
  <c r="L139" i="15"/>
  <c r="L140" i="15"/>
  <c r="L141" i="15"/>
  <c r="L142" i="15"/>
  <c r="L145" i="15"/>
  <c r="L146" i="15"/>
  <c r="L143" i="15"/>
  <c r="L144" i="15"/>
  <c r="L147" i="15"/>
  <c r="L158" i="15"/>
  <c r="L157" i="15"/>
  <c r="L156" i="15"/>
  <c r="L149" i="15"/>
  <c r="L150" i="15"/>
  <c r="L151" i="15"/>
  <c r="L148" i="15"/>
  <c r="L152" i="15"/>
  <c r="L154" i="15"/>
  <c r="L153" i="15"/>
  <c r="L155" i="15"/>
  <c r="L160" i="15"/>
  <c r="L161" i="15"/>
  <c r="L162" i="15"/>
  <c r="L163" i="15"/>
  <c r="L164" i="15"/>
  <c r="L165" i="15"/>
  <c r="L166" i="15"/>
  <c r="L167" i="15"/>
  <c r="L168" i="15"/>
  <c r="L169" i="15"/>
  <c r="L171" i="15"/>
  <c r="L170" i="15"/>
  <c r="L172" i="15"/>
  <c r="L173" i="15"/>
  <c r="L174" i="15"/>
  <c r="L176" i="15"/>
  <c r="L175" i="15"/>
  <c r="L177" i="15"/>
  <c r="L178" i="15"/>
  <c r="L179" i="15"/>
  <c r="L180" i="15"/>
  <c r="L181" i="15"/>
  <c r="L183" i="15"/>
  <c r="L182" i="15"/>
  <c r="L184" i="15"/>
  <c r="L185" i="15"/>
  <c r="L186" i="15"/>
  <c r="L187" i="15"/>
  <c r="L188" i="15"/>
  <c r="L189" i="15"/>
  <c r="L191" i="15"/>
  <c r="L192" i="15"/>
  <c r="L190" i="15"/>
  <c r="L193" i="15"/>
  <c r="L198" i="15"/>
  <c r="L197" i="15"/>
  <c r="L196" i="15"/>
  <c r="L194" i="15"/>
  <c r="L195" i="15"/>
  <c r="L199" i="15"/>
  <c r="L200" i="15"/>
  <c r="L201" i="15"/>
  <c r="L202" i="15"/>
  <c r="L203" i="15"/>
  <c r="L204" i="15"/>
  <c r="L205" i="15"/>
  <c r="L206" i="15"/>
  <c r="L207" i="15"/>
  <c r="L2" i="15"/>
  <c r="L3" i="15"/>
  <c r="I134" i="15"/>
  <c r="J134" i="15" s="1"/>
  <c r="I138" i="15"/>
  <c r="J138" i="15" s="1"/>
  <c r="I139" i="15"/>
  <c r="J139" i="15" s="1"/>
  <c r="I140" i="15"/>
  <c r="J140" i="15" s="1"/>
  <c r="I141" i="15"/>
  <c r="J141" i="15" s="1"/>
  <c r="I142" i="15"/>
  <c r="J142" i="15" s="1"/>
  <c r="I145" i="15"/>
  <c r="J145" i="15" s="1"/>
  <c r="I146" i="15"/>
  <c r="J146" i="15" s="1"/>
  <c r="I143" i="15"/>
  <c r="J143" i="15" s="1"/>
  <c r="I144" i="15"/>
  <c r="J144" i="15" s="1"/>
  <c r="I147" i="15"/>
  <c r="J147" i="15" s="1"/>
  <c r="I158" i="15"/>
  <c r="J158" i="15" s="1"/>
  <c r="I157" i="15"/>
  <c r="J157" i="15" s="1"/>
  <c r="I156" i="15"/>
  <c r="J156" i="15" s="1"/>
  <c r="I149" i="15"/>
  <c r="J149" i="15" s="1"/>
  <c r="I150" i="15"/>
  <c r="J150" i="15" s="1"/>
  <c r="I151" i="15"/>
  <c r="J151" i="15" s="1"/>
  <c r="I148" i="15"/>
  <c r="J148" i="15" s="1"/>
  <c r="I152" i="15"/>
  <c r="J152" i="15" s="1"/>
  <c r="I153" i="15"/>
  <c r="J153" i="15" s="1"/>
  <c r="I155" i="15"/>
  <c r="J155" i="15" s="1"/>
  <c r="I160" i="15"/>
  <c r="J160" i="15" s="1"/>
  <c r="I163" i="15"/>
  <c r="J163" i="15" s="1"/>
  <c r="I164" i="15"/>
  <c r="J164" i="15" s="1"/>
  <c r="I165" i="15"/>
  <c r="J165" i="15" s="1"/>
  <c r="I166" i="15"/>
  <c r="J166" i="15" s="1"/>
  <c r="I167" i="15"/>
  <c r="J167" i="15" s="1"/>
  <c r="I168" i="15"/>
  <c r="J168" i="15" s="1"/>
  <c r="I169" i="15"/>
  <c r="J169" i="15" s="1"/>
  <c r="I171" i="15"/>
  <c r="J171" i="15" s="1"/>
  <c r="I170" i="15"/>
  <c r="J170" i="15" s="1"/>
  <c r="I172" i="15"/>
  <c r="J172" i="15" s="1"/>
  <c r="I173" i="15"/>
  <c r="J173" i="15" s="1"/>
  <c r="I174" i="15"/>
  <c r="J174" i="15" s="1"/>
  <c r="I176" i="15"/>
  <c r="J176" i="15" s="1"/>
  <c r="I175" i="15"/>
  <c r="J175" i="15" s="1"/>
  <c r="I177" i="15"/>
  <c r="J177" i="15" s="1"/>
  <c r="I178" i="15"/>
  <c r="J178" i="15" s="1"/>
  <c r="I181" i="15"/>
  <c r="J181" i="15" s="1"/>
  <c r="I183" i="15"/>
  <c r="J183" i="15" s="1"/>
  <c r="I182" i="15"/>
  <c r="J182" i="15" s="1"/>
  <c r="I184" i="15"/>
  <c r="J184" i="15" s="1"/>
  <c r="I185" i="15"/>
  <c r="J185" i="15" s="1"/>
  <c r="I186" i="15"/>
  <c r="J186" i="15" s="1"/>
  <c r="I187" i="15"/>
  <c r="J187" i="15" s="1"/>
  <c r="I188" i="15"/>
  <c r="J188" i="15" s="1"/>
  <c r="I189" i="15"/>
  <c r="J189" i="15" s="1"/>
  <c r="I191" i="15"/>
  <c r="J191" i="15" s="1"/>
  <c r="I192" i="15"/>
  <c r="J192" i="15" s="1"/>
  <c r="I190" i="15"/>
  <c r="J190" i="15" s="1"/>
  <c r="I193" i="15"/>
  <c r="J193" i="15" s="1"/>
  <c r="I198" i="15"/>
  <c r="J198" i="15" s="1"/>
  <c r="I197" i="15"/>
  <c r="J197" i="15" s="1"/>
  <c r="I194" i="15"/>
  <c r="J194" i="15" s="1"/>
  <c r="I195" i="15"/>
  <c r="J195" i="15" s="1"/>
  <c r="I199" i="15"/>
  <c r="J199" i="15" s="1"/>
  <c r="I200" i="15"/>
  <c r="J200" i="15" s="1"/>
  <c r="I201" i="15"/>
  <c r="J201" i="15" s="1"/>
  <c r="I202" i="15"/>
  <c r="J202" i="15" s="1"/>
  <c r="I203" i="15"/>
  <c r="J203" i="15" s="1"/>
  <c r="I204" i="15"/>
  <c r="J204" i="15" s="1"/>
  <c r="I205" i="15"/>
  <c r="J205" i="15" s="1"/>
  <c r="I206" i="15"/>
  <c r="J206" i="15" s="1"/>
  <c r="I207" i="15"/>
  <c r="J207" i="15" s="1"/>
  <c r="I2" i="15"/>
  <c r="J2" i="15" s="1"/>
  <c r="I3" i="15"/>
  <c r="J3" i="15" s="1"/>
  <c r="AC3" i="15"/>
  <c r="AC2" i="15"/>
  <c r="I596" i="14"/>
  <c r="J596" i="14" s="1"/>
  <c r="AC596" i="14"/>
  <c r="I595" i="14"/>
  <c r="J595" i="14" s="1"/>
  <c r="AC595" i="14"/>
  <c r="I353" i="14"/>
  <c r="AC353" i="14"/>
  <c r="Z6" i="15" l="1"/>
  <c r="AA6" i="15" s="1"/>
  <c r="AB6" i="15" s="1"/>
  <c r="AA7" i="15"/>
  <c r="AB7" i="15" s="1"/>
  <c r="W9" i="15"/>
  <c r="X9" i="15" s="1"/>
  <c r="Y18" i="15"/>
  <c r="Z18" i="15" s="1"/>
  <c r="AA18" i="15" s="1"/>
  <c r="AB18" i="15" s="1"/>
  <c r="Y19" i="15"/>
  <c r="Z19" i="15" s="1"/>
  <c r="AA19" i="15" s="1"/>
  <c r="AB19" i="15" s="1"/>
  <c r="Z22" i="15"/>
  <c r="AA22" i="15" s="1"/>
  <c r="AB22" i="15" s="1"/>
  <c r="Z23" i="15"/>
  <c r="AA23" i="15" s="1"/>
  <c r="AB23" i="15" s="1"/>
  <c r="X26" i="15"/>
  <c r="W32" i="15"/>
  <c r="X32" i="15" s="1"/>
  <c r="Y32" i="15" s="1"/>
  <c r="AA46" i="15"/>
  <c r="AB46" i="15" s="1"/>
  <c r="W31" i="15"/>
  <c r="W36" i="15"/>
  <c r="X36" i="15" s="1"/>
  <c r="Y36" i="15" s="1"/>
  <c r="W33" i="15"/>
  <c r="AB34" i="15"/>
  <c r="X35" i="15"/>
  <c r="Y35" i="15" s="1"/>
  <c r="W37" i="15"/>
  <c r="X37" i="15" s="1"/>
  <c r="Y37" i="15" s="1"/>
  <c r="Z37" i="15" s="1"/>
  <c r="AA38" i="15"/>
  <c r="AB38" i="15" s="1"/>
  <c r="X39" i="15"/>
  <c r="Y39" i="15" s="1"/>
  <c r="Z39" i="15" s="1"/>
  <c r="AA39" i="15" s="1"/>
  <c r="AB39" i="15" s="1"/>
  <c r="X42" i="15"/>
  <c r="AB44" i="15"/>
  <c r="AA43" i="15"/>
  <c r="AB43" i="15" s="1"/>
  <c r="X52" i="15"/>
  <c r="Y52" i="15" s="1"/>
  <c r="Z52" i="15" s="1"/>
  <c r="AA52" i="15" s="1"/>
  <c r="AB52" i="15" s="1"/>
  <c r="Z45" i="15"/>
  <c r="AA45" i="15" s="1"/>
  <c r="AB45" i="15" s="1"/>
  <c r="Z47" i="15"/>
  <c r="AA47" i="15" s="1"/>
  <c r="AB47" i="15" s="1"/>
  <c r="Z51" i="15"/>
  <c r="AA51" i="15" s="1"/>
  <c r="AB51" i="15" s="1"/>
  <c r="X53" i="15"/>
  <c r="Y53" i="15" s="1"/>
  <c r="Z53" i="15" s="1"/>
  <c r="Z54" i="15"/>
  <c r="AA54" i="15" s="1"/>
  <c r="AB54" i="15" s="1"/>
  <c r="Z60" i="15"/>
  <c r="AA60" i="15" s="1"/>
  <c r="AB60" i="15" s="1"/>
  <c r="X58" i="15"/>
  <c r="V66" i="15"/>
  <c r="U98" i="15"/>
  <c r="S74" i="15"/>
  <c r="W73" i="15"/>
  <c r="S72" i="15"/>
  <c r="T72" i="15" s="1"/>
  <c r="U72" i="15" s="1"/>
  <c r="V72" i="15" s="1"/>
  <c r="T71" i="15"/>
  <c r="T70" i="15"/>
  <c r="U70" i="15" s="1"/>
  <c r="S69" i="15"/>
  <c r="T69" i="15" s="1"/>
  <c r="V65" i="15"/>
  <c r="U68" i="15"/>
  <c r="V68" i="15" s="1"/>
  <c r="W68" i="15" s="1"/>
  <c r="X68" i="15" s="1"/>
  <c r="S67" i="15"/>
  <c r="T67" i="15" s="1"/>
  <c r="W64" i="15"/>
  <c r="X64" i="15" s="1"/>
  <c r="S63" i="15"/>
  <c r="U62" i="15"/>
  <c r="V62" i="15" s="1"/>
  <c r="T61" i="15"/>
  <c r="U61" i="15" s="1"/>
  <c r="T59" i="15"/>
  <c r="U59" i="15" s="1"/>
  <c r="S57" i="15"/>
  <c r="V56" i="15"/>
  <c r="U75" i="15"/>
  <c r="S105" i="15"/>
  <c r="U103" i="15"/>
  <c r="R104" i="15"/>
  <c r="R102" i="15"/>
  <c r="S102" i="15" s="1"/>
  <c r="T101" i="15"/>
  <c r="U101" i="15" s="1"/>
  <c r="S97" i="15"/>
  <c r="T97" i="15" s="1"/>
  <c r="R95" i="15"/>
  <c r="S96" i="15"/>
  <c r="R94" i="15"/>
  <c r="S94" i="15" s="1"/>
  <c r="T93" i="15"/>
  <c r="R92" i="15"/>
  <c r="S91" i="15"/>
  <c r="V90" i="15"/>
  <c r="R88" i="15"/>
  <c r="S88" i="15" s="1"/>
  <c r="S84" i="15"/>
  <c r="S83" i="15"/>
  <c r="T83" i="15" s="1"/>
  <c r="S82" i="15"/>
  <c r="T82" i="15" s="1"/>
  <c r="T81" i="15"/>
  <c r="S79" i="15"/>
  <c r="T78" i="15"/>
  <c r="U78" i="15" s="1"/>
  <c r="V78" i="15" s="1"/>
  <c r="T76" i="15"/>
  <c r="S100" i="15"/>
  <c r="T100" i="15" s="1"/>
  <c r="S99" i="15"/>
  <c r="T99" i="15" s="1"/>
  <c r="S116" i="15"/>
  <c r="T116" i="15" s="1"/>
  <c r="T89" i="15"/>
  <c r="U89" i="15" s="1"/>
  <c r="V89" i="15" s="1"/>
  <c r="R87" i="15"/>
  <c r="W86" i="15"/>
  <c r="X86" i="15" s="1"/>
  <c r="R85" i="15"/>
  <c r="R80" i="15"/>
  <c r="S80" i="15" s="1"/>
  <c r="T77" i="15"/>
  <c r="U77" i="15" s="1"/>
  <c r="R109" i="15"/>
  <c r="S109" i="15" s="1"/>
  <c r="R120" i="15"/>
  <c r="S120" i="15" s="1"/>
  <c r="R121" i="15"/>
  <c r="S121" i="15" s="1"/>
  <c r="T121" i="15" s="1"/>
  <c r="U121" i="15" s="1"/>
  <c r="S129" i="15"/>
  <c r="T129" i="15" s="1"/>
  <c r="S130" i="15"/>
  <c r="T130" i="15" s="1"/>
  <c r="S128" i="15"/>
  <c r="T128" i="15" s="1"/>
  <c r="U128" i="15" s="1"/>
  <c r="S126" i="15"/>
  <c r="R125" i="15"/>
  <c r="T122" i="15"/>
  <c r="Q123" i="15"/>
  <c r="R123" i="15" s="1"/>
  <c r="Q127" i="15"/>
  <c r="R127" i="15" s="1"/>
  <c r="S127" i="15" s="1"/>
  <c r="T127" i="15" s="1"/>
  <c r="R114" i="15"/>
  <c r="S114" i="15" s="1"/>
  <c r="T114" i="15" s="1"/>
  <c r="R117" i="15"/>
  <c r="Q124" i="15"/>
  <c r="R124" i="15" s="1"/>
  <c r="Q137" i="15"/>
  <c r="Q113" i="15"/>
  <c r="R113" i="15" s="1"/>
  <c r="Q132" i="15"/>
  <c r="R132" i="15" s="1"/>
  <c r="R111" i="15"/>
  <c r="Q119" i="15"/>
  <c r="Q112" i="15"/>
  <c r="Q133" i="15"/>
  <c r="R133" i="15" s="1"/>
  <c r="S133" i="15" s="1"/>
  <c r="R110" i="15"/>
  <c r="R159" i="15"/>
  <c r="S159" i="15" s="1"/>
  <c r="S118" i="15"/>
  <c r="T118" i="15" s="1"/>
  <c r="Q107" i="15"/>
  <c r="Q106" i="15"/>
  <c r="Q108" i="15"/>
  <c r="R108" i="15" s="1"/>
  <c r="Q115" i="15"/>
  <c r="R115" i="15" s="1"/>
  <c r="AA24" i="2"/>
  <c r="Z37" i="2"/>
  <c r="AA39" i="2" s="1"/>
  <c r="K23" i="2"/>
  <c r="AC27" i="2"/>
  <c r="AC11" i="2"/>
  <c r="AA15" i="2"/>
  <c r="AC14" i="2"/>
  <c r="AA9" i="2"/>
  <c r="AA17" i="2"/>
  <c r="AA25" i="2"/>
  <c r="AA10" i="2"/>
  <c r="AA26" i="2"/>
  <c r="AC3" i="2"/>
  <c r="AA3" i="2"/>
  <c r="BQ1" i="2"/>
  <c r="BS1" i="2" s="1"/>
  <c r="CL1" i="2" s="1"/>
  <c r="CN1" i="2" s="1"/>
  <c r="DG1" i="2" s="1"/>
  <c r="DI1" i="2" s="1"/>
  <c r="EB1" i="2" s="1"/>
  <c r="ED1" i="2" s="1"/>
  <c r="EW1" i="2" s="1"/>
  <c r="EY1" i="2" s="1"/>
  <c r="FR1" i="2" s="1"/>
  <c r="FT1" i="2" s="1"/>
  <c r="GM1" i="2" s="1"/>
  <c r="GO1" i="2" s="1"/>
  <c r="HH1" i="2" s="1"/>
  <c r="HJ1" i="2" s="1"/>
  <c r="IC1" i="2" s="1"/>
  <c r="IE1" i="2" s="1"/>
  <c r="IX1" i="2" s="1"/>
  <c r="IZ1" i="2" s="1"/>
  <c r="JS1" i="2" s="1"/>
  <c r="JU1" i="2" s="1"/>
  <c r="KN1" i="2" s="1"/>
  <c r="KP1" i="2" s="1"/>
  <c r="LI1" i="2" s="1"/>
  <c r="LK1" i="2" s="1"/>
  <c r="MD1" i="2" s="1"/>
  <c r="MF1" i="2" s="1"/>
  <c r="MY1" i="2" s="1"/>
  <c r="NA1" i="2" s="1"/>
  <c r="NT1" i="2" s="1"/>
  <c r="NV1" i="2" s="1"/>
  <c r="P3" i="15"/>
  <c r="Q3" i="15" s="1"/>
  <c r="R3" i="15" s="1"/>
  <c r="P596" i="14"/>
  <c r="P595" i="14"/>
  <c r="P353" i="14"/>
  <c r="Q353" i="14" s="1"/>
  <c r="J353" i="14"/>
  <c r="AC760" i="11"/>
  <c r="I760" i="11"/>
  <c r="D38" i="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C4" i="22" s="1"/>
  <c r="X4" i="22"/>
  <c r="AJ4" i="22"/>
  <c r="W4" i="22"/>
  <c r="G4" i="22"/>
  <c r="Z4" i="22"/>
  <c r="Y4" i="22"/>
  <c r="Y9" i="15" l="1"/>
  <c r="Z9" i="15" s="1"/>
  <c r="AA9" i="15" s="1"/>
  <c r="AB9" i="15" s="1"/>
  <c r="Y26" i="15"/>
  <c r="Z26" i="15" s="1"/>
  <c r="Z32" i="15"/>
  <c r="AA32" i="15" s="1"/>
  <c r="AB32" i="15" s="1"/>
  <c r="X33" i="15"/>
  <c r="Y33" i="15" s="1"/>
  <c r="Z33" i="15" s="1"/>
  <c r="X31" i="15"/>
  <c r="Y31" i="15" s="1"/>
  <c r="Z31" i="15" s="1"/>
  <c r="AA31" i="15" s="1"/>
  <c r="AB31" i="15" s="1"/>
  <c r="Z36" i="15"/>
  <c r="AA36" i="15" s="1"/>
  <c r="AB36" i="15" s="1"/>
  <c r="AA37" i="15"/>
  <c r="AB37" i="15" s="1"/>
  <c r="Z35" i="15"/>
  <c r="AA35" i="15" s="1"/>
  <c r="AB35" i="15" s="1"/>
  <c r="Y42" i="15"/>
  <c r="Z42" i="15" s="1"/>
  <c r="AA53" i="15"/>
  <c r="AB53" i="15" s="1"/>
  <c r="Y58" i="15"/>
  <c r="W66" i="15"/>
  <c r="X66" i="15" s="1"/>
  <c r="Y66" i="15" s="1"/>
  <c r="Z66" i="15" s="1"/>
  <c r="V98" i="15"/>
  <c r="W98" i="15" s="1"/>
  <c r="T74" i="15"/>
  <c r="X73" i="15"/>
  <c r="W72" i="15"/>
  <c r="U71" i="15"/>
  <c r="V71" i="15" s="1"/>
  <c r="V70" i="15"/>
  <c r="U69" i="15"/>
  <c r="W65" i="15"/>
  <c r="X65" i="15" s="1"/>
  <c r="Y68" i="15"/>
  <c r="Z68" i="15" s="1"/>
  <c r="U67" i="15"/>
  <c r="V67" i="15" s="1"/>
  <c r="W67" i="15" s="1"/>
  <c r="Y64" i="15"/>
  <c r="T63" i="15"/>
  <c r="W62" i="15"/>
  <c r="X62" i="15" s="1"/>
  <c r="Y62" i="15" s="1"/>
  <c r="V61" i="15"/>
  <c r="W61" i="15" s="1"/>
  <c r="V59" i="15"/>
  <c r="T57" i="15"/>
  <c r="U57" i="15" s="1"/>
  <c r="W56" i="15"/>
  <c r="V75" i="15"/>
  <c r="T105" i="15"/>
  <c r="U105" i="15" s="1"/>
  <c r="V103" i="15"/>
  <c r="S104" i="15"/>
  <c r="T102" i="15"/>
  <c r="U102" i="15" s="1"/>
  <c r="V101" i="15"/>
  <c r="U97" i="15"/>
  <c r="S95" i="15"/>
  <c r="T95" i="15" s="1"/>
  <c r="T96" i="15"/>
  <c r="T94" i="15"/>
  <c r="U93" i="15"/>
  <c r="S92" i="15"/>
  <c r="T91" i="15"/>
  <c r="W90" i="15"/>
  <c r="T88" i="15"/>
  <c r="T84" i="15"/>
  <c r="U83" i="15"/>
  <c r="V83" i="15" s="1"/>
  <c r="W83" i="15" s="1"/>
  <c r="U82" i="15"/>
  <c r="V82" i="15" s="1"/>
  <c r="U81" i="15"/>
  <c r="T79" i="15"/>
  <c r="W78" i="15"/>
  <c r="U76" i="15"/>
  <c r="U100" i="15"/>
  <c r="V100" i="15" s="1"/>
  <c r="U99" i="15"/>
  <c r="U116" i="15"/>
  <c r="W89" i="15"/>
  <c r="X89" i="15" s="1"/>
  <c r="Y86" i="15"/>
  <c r="Z86" i="15" s="1"/>
  <c r="S87" i="15"/>
  <c r="T87" i="15" s="1"/>
  <c r="S85" i="15"/>
  <c r="T80" i="15"/>
  <c r="U80" i="15" s="1"/>
  <c r="V77" i="15"/>
  <c r="W77" i="15" s="1"/>
  <c r="X77" i="15" s="1"/>
  <c r="T109" i="15"/>
  <c r="U109" i="15" s="1"/>
  <c r="U129" i="15"/>
  <c r="V129" i="15" s="1"/>
  <c r="S132" i="15"/>
  <c r="T132" i="15" s="1"/>
  <c r="U132" i="15" s="1"/>
  <c r="R137" i="15"/>
  <c r="S137" i="15" s="1"/>
  <c r="U130" i="15"/>
  <c r="V130" i="15" s="1"/>
  <c r="W130" i="15" s="1"/>
  <c r="T133" i="15"/>
  <c r="U133" i="15" s="1"/>
  <c r="V133" i="15" s="1"/>
  <c r="V128" i="15"/>
  <c r="U127" i="15"/>
  <c r="V127" i="15" s="1"/>
  <c r="T126" i="15"/>
  <c r="S125" i="15"/>
  <c r="S124" i="15"/>
  <c r="U122" i="15"/>
  <c r="V122" i="15" s="1"/>
  <c r="S123" i="15"/>
  <c r="T123" i="15" s="1"/>
  <c r="V121" i="15"/>
  <c r="T120" i="15"/>
  <c r="U120" i="15" s="1"/>
  <c r="R119" i="15"/>
  <c r="S117" i="15"/>
  <c r="T117" i="15" s="1"/>
  <c r="U114" i="15"/>
  <c r="S113" i="15"/>
  <c r="R112" i="15"/>
  <c r="S111" i="15"/>
  <c r="T111" i="15" s="1"/>
  <c r="S110" i="15"/>
  <c r="U118" i="15"/>
  <c r="V118" i="15" s="1"/>
  <c r="T159" i="15"/>
  <c r="U159" i="15" s="1"/>
  <c r="S115" i="15"/>
  <c r="S108" i="15"/>
  <c r="T108" i="15" s="1"/>
  <c r="R107" i="15"/>
  <c r="R106" i="15"/>
  <c r="OO1" i="2"/>
  <c r="OQ1" i="2" s="1"/>
  <c r="AA37" i="2"/>
  <c r="S3" i="15"/>
  <c r="Q596" i="14"/>
  <c r="R596" i="14" s="1"/>
  <c r="Q595" i="14"/>
  <c r="R595" i="14" s="1"/>
  <c r="R353" i="14"/>
  <c r="J760" i="11"/>
  <c r="P760" i="11"/>
  <c r="Q760" i="11" s="1"/>
  <c r="B4" i="22"/>
  <c r="C39" i="22"/>
  <c r="AC759" i="11"/>
  <c r="AC758" i="11"/>
  <c r="AC754" i="11"/>
  <c r="AC752" i="11"/>
  <c r="AC751" i="11"/>
  <c r="AC748" i="11"/>
  <c r="AC746" i="11"/>
  <c r="AC745" i="11"/>
  <c r="AC743" i="11"/>
  <c r="AC742" i="11"/>
  <c r="AC741" i="11"/>
  <c r="AC739" i="11"/>
  <c r="AC738" i="11"/>
  <c r="AC737" i="11"/>
  <c r="AC735" i="11"/>
  <c r="AC734" i="11"/>
  <c r="AC733" i="11"/>
  <c r="AC731" i="11"/>
  <c r="AC730" i="11"/>
  <c r="AC729" i="11"/>
  <c r="AC727" i="11"/>
  <c r="AC726" i="11"/>
  <c r="AC723" i="11"/>
  <c r="AC721" i="11"/>
  <c r="AC720" i="11"/>
  <c r="AC718" i="11"/>
  <c r="AC717" i="11"/>
  <c r="AC714" i="11"/>
  <c r="AC713" i="11"/>
  <c r="AC712" i="11"/>
  <c r="AC710" i="11"/>
  <c r="AC709" i="11"/>
  <c r="AC706" i="11"/>
  <c r="AC705" i="11"/>
  <c r="AC704" i="11"/>
  <c r="AC702" i="11"/>
  <c r="AC701" i="11"/>
  <c r="AC698" i="11"/>
  <c r="AC697" i="11"/>
  <c r="AC696" i="11"/>
  <c r="AC694" i="11"/>
  <c r="AC692" i="11"/>
  <c r="AC691" i="11"/>
  <c r="AC690" i="11"/>
  <c r="AC689" i="11"/>
  <c r="AC688" i="11"/>
  <c r="AC687" i="11"/>
  <c r="AC685" i="11"/>
  <c r="AC684" i="11"/>
  <c r="AC681" i="11"/>
  <c r="AC680" i="11"/>
  <c r="AC679" i="11"/>
  <c r="AC677" i="11"/>
  <c r="AC676" i="11"/>
  <c r="AC675" i="11"/>
  <c r="AC673" i="11"/>
  <c r="AC672" i="11"/>
  <c r="AC693" i="11"/>
  <c r="AC756" i="11"/>
  <c r="AC671" i="11"/>
  <c r="AC670" i="11"/>
  <c r="AC669" i="11"/>
  <c r="AC667" i="11"/>
  <c r="AC666" i="11"/>
  <c r="AC665" i="11"/>
  <c r="AC663" i="11"/>
  <c r="AC662" i="11"/>
  <c r="AC659" i="11"/>
  <c r="AC658" i="11"/>
  <c r="AC657" i="11"/>
  <c r="AC655" i="11"/>
  <c r="AC654" i="11"/>
  <c r="AC651" i="11"/>
  <c r="AC650" i="11"/>
  <c r="AC649" i="11"/>
  <c r="AC646" i="11"/>
  <c r="AC645" i="11"/>
  <c r="AC642" i="11"/>
  <c r="AC641" i="11"/>
  <c r="AC647" i="11"/>
  <c r="AC640" i="11"/>
  <c r="AC639" i="11"/>
  <c r="AC638" i="11"/>
  <c r="AC635" i="11"/>
  <c r="AC634" i="11"/>
  <c r="AC633" i="11"/>
  <c r="AC631" i="11"/>
  <c r="AC630" i="11"/>
  <c r="AC628" i="11"/>
  <c r="AC627" i="11"/>
  <c r="AC626" i="11"/>
  <c r="AC625" i="11"/>
  <c r="AC623" i="11"/>
  <c r="AC622" i="11"/>
  <c r="AC619" i="11"/>
  <c r="AC618" i="11"/>
  <c r="AC617" i="11"/>
  <c r="AC615" i="11"/>
  <c r="AC614" i="11"/>
  <c r="AC613" i="11"/>
  <c r="AC611" i="11"/>
  <c r="AC610" i="11"/>
  <c r="AC609" i="11"/>
  <c r="AC607" i="11"/>
  <c r="AC606" i="11"/>
  <c r="AC605" i="11"/>
  <c r="AC603" i="11"/>
  <c r="AC602" i="11"/>
  <c r="AC601" i="11"/>
  <c r="AC599" i="11"/>
  <c r="AC598" i="11"/>
  <c r="AC595" i="11"/>
  <c r="AC594" i="11"/>
  <c r="AC593" i="11"/>
  <c r="AC591" i="11"/>
  <c r="AC590" i="11"/>
  <c r="AC587" i="11"/>
  <c r="AC586" i="11"/>
  <c r="AC585" i="11"/>
  <c r="AC583" i="11"/>
  <c r="AC582" i="11"/>
  <c r="AC579" i="11"/>
  <c r="AC578" i="11"/>
  <c r="AC575" i="11"/>
  <c r="AC574" i="11"/>
  <c r="AC573" i="11"/>
  <c r="AC570" i="11"/>
  <c r="AC569" i="11"/>
  <c r="AC576" i="11"/>
  <c r="AC567" i="11"/>
  <c r="AC566" i="11"/>
  <c r="AC564" i="11"/>
  <c r="AC563" i="11"/>
  <c r="AC562" i="11"/>
  <c r="AC561" i="11"/>
  <c r="AC559" i="11"/>
  <c r="AC558" i="11"/>
  <c r="AC555" i="11"/>
  <c r="AC554" i="11"/>
  <c r="AC553" i="11"/>
  <c r="AC551" i="11"/>
  <c r="AC550" i="11"/>
  <c r="AC549" i="11"/>
  <c r="AC547" i="11"/>
  <c r="AC546" i="11"/>
  <c r="AC545" i="11"/>
  <c r="AC543" i="11"/>
  <c r="AC542" i="11"/>
  <c r="AC541" i="11"/>
  <c r="AC539" i="11"/>
  <c r="AC538" i="11"/>
  <c r="AC537" i="11"/>
  <c r="AC536" i="11"/>
  <c r="AC534" i="11"/>
  <c r="AC531" i="11"/>
  <c r="AC530" i="11"/>
  <c r="AC529" i="11"/>
  <c r="AC527" i="11"/>
  <c r="AC526" i="11"/>
  <c r="AC524" i="11"/>
  <c r="AC523" i="11"/>
  <c r="AC522" i="11"/>
  <c r="AC520" i="11"/>
  <c r="AC519" i="11"/>
  <c r="AC516" i="11"/>
  <c r="AC515" i="11"/>
  <c r="AC514" i="11"/>
  <c r="AC512" i="11"/>
  <c r="AC509" i="11"/>
  <c r="AC507" i="11"/>
  <c r="AC510" i="11"/>
  <c r="AC506" i="11"/>
  <c r="AC503" i="11"/>
  <c r="AC501" i="11"/>
  <c r="AC500" i="11"/>
  <c r="AC499" i="11"/>
  <c r="AC498" i="11"/>
  <c r="AC496" i="11"/>
  <c r="AC495" i="11"/>
  <c r="AC492" i="11"/>
  <c r="AC491" i="11"/>
  <c r="AC490" i="11"/>
  <c r="AC488" i="11"/>
  <c r="AC487" i="11"/>
  <c r="AC486" i="11"/>
  <c r="AC484" i="11"/>
  <c r="AC483" i="11"/>
  <c r="AC482" i="11"/>
  <c r="AC480" i="11"/>
  <c r="AC479" i="11"/>
  <c r="AC478" i="11"/>
  <c r="AC476" i="11"/>
  <c r="AC475" i="11"/>
  <c r="AC474" i="11"/>
  <c r="AC471" i="11"/>
  <c r="AC468" i="11"/>
  <c r="AC467" i="11"/>
  <c r="AC466" i="11"/>
  <c r="AC464" i="11"/>
  <c r="AC463" i="11"/>
  <c r="AC460" i="11"/>
  <c r="AC459" i="11"/>
  <c r="AC458" i="11"/>
  <c r="AC456" i="11"/>
  <c r="AC455" i="11"/>
  <c r="AC452" i="11"/>
  <c r="AC451" i="11"/>
  <c r="AC450" i="11"/>
  <c r="AC449" i="11"/>
  <c r="AC448" i="11"/>
  <c r="AC447" i="11"/>
  <c r="AC444" i="11"/>
  <c r="AC440" i="11"/>
  <c r="AC439" i="11"/>
  <c r="AC436" i="11"/>
  <c r="AC435" i="11"/>
  <c r="AC434" i="11"/>
  <c r="AC433" i="11"/>
  <c r="AC442" i="11"/>
  <c r="AC431" i="11"/>
  <c r="AC430" i="11"/>
  <c r="AC427" i="11"/>
  <c r="AC426" i="11"/>
  <c r="AC425" i="11"/>
  <c r="AC423" i="11"/>
  <c r="AC422" i="11"/>
  <c r="AC421" i="11"/>
  <c r="AC419" i="11"/>
  <c r="AC418" i="11"/>
  <c r="AC417" i="11"/>
  <c r="AC416" i="11"/>
  <c r="AC415" i="11"/>
  <c r="AC414" i="11"/>
  <c r="AC413" i="11"/>
  <c r="AC411" i="11"/>
  <c r="AC410" i="11"/>
  <c r="AC409" i="11"/>
  <c r="AC406" i="11"/>
  <c r="AC403" i="11"/>
  <c r="AC402" i="11"/>
  <c r="AC401" i="11"/>
  <c r="AC399" i="11"/>
  <c r="AC398" i="11"/>
  <c r="AC395" i="11"/>
  <c r="AC394" i="11"/>
  <c r="AC393" i="11"/>
  <c r="AC391" i="11"/>
  <c r="AC390" i="11"/>
  <c r="AC385" i="11"/>
  <c r="AC384" i="11"/>
  <c r="AC388" i="11"/>
  <c r="AC383" i="11"/>
  <c r="AC382" i="11"/>
  <c r="AC379" i="11"/>
  <c r="AC378" i="11"/>
  <c r="AC377" i="11"/>
  <c r="AC374" i="11"/>
  <c r="AC372" i="11"/>
  <c r="AC371" i="11"/>
  <c r="AC370" i="11"/>
  <c r="AC369" i="11"/>
  <c r="AC367" i="11"/>
  <c r="AC366" i="11"/>
  <c r="AC364" i="11"/>
  <c r="AC363" i="11"/>
  <c r="AC362" i="11"/>
  <c r="AC360" i="11"/>
  <c r="AC359" i="11"/>
  <c r="AC358" i="11"/>
  <c r="AC356" i="11"/>
  <c r="AC355" i="11"/>
  <c r="AC354" i="11"/>
  <c r="AC352" i="11"/>
  <c r="AC351" i="11"/>
  <c r="AC350" i="11"/>
  <c r="AC348" i="11"/>
  <c r="AC347" i="11"/>
  <c r="AC346" i="11"/>
  <c r="AC343" i="11"/>
  <c r="AC340" i="11"/>
  <c r="AC339" i="11"/>
  <c r="AC338" i="11"/>
  <c r="AC334" i="11"/>
  <c r="AC336" i="11"/>
  <c r="AC332" i="11"/>
  <c r="AC331" i="11"/>
  <c r="AC330" i="11"/>
  <c r="AC329" i="11"/>
  <c r="AC328" i="11"/>
  <c r="AC327" i="11"/>
  <c r="AC324" i="11"/>
  <c r="AC323" i="11"/>
  <c r="AC322" i="11"/>
  <c r="AC320" i="11"/>
  <c r="AC319" i="11"/>
  <c r="AC315" i="11"/>
  <c r="AC314" i="11"/>
  <c r="AC313" i="11"/>
  <c r="AC310" i="11"/>
  <c r="AC308" i="11"/>
  <c r="AC307" i="11"/>
  <c r="AC306" i="11"/>
  <c r="AC305" i="11"/>
  <c r="AC303" i="11"/>
  <c r="AC302" i="11"/>
  <c r="AC299" i="11"/>
  <c r="AC298" i="11"/>
  <c r="AC297" i="11"/>
  <c r="AC296" i="11"/>
  <c r="AC295" i="11"/>
  <c r="AC294" i="11"/>
  <c r="AC293" i="11"/>
  <c r="AC291" i="11"/>
  <c r="AC290" i="11"/>
  <c r="AC289" i="11"/>
  <c r="AC287" i="11"/>
  <c r="AC286" i="11"/>
  <c r="AC285" i="11"/>
  <c r="AC283" i="11"/>
  <c r="AC282" i="11"/>
  <c r="AC281" i="11"/>
  <c r="AC278" i="11"/>
  <c r="AC276" i="11"/>
  <c r="AC275" i="11"/>
  <c r="AC274" i="11"/>
  <c r="AC272" i="11"/>
  <c r="AC269" i="11"/>
  <c r="AC267" i="11"/>
  <c r="AC271" i="11"/>
  <c r="AC266" i="11"/>
  <c r="AC264" i="11"/>
  <c r="AC263" i="11"/>
  <c r="AC260" i="11"/>
  <c r="AC259" i="11"/>
  <c r="AC258" i="11"/>
  <c r="AC256" i="11"/>
  <c r="AC255" i="11"/>
  <c r="AC252" i="11"/>
  <c r="AC251" i="11"/>
  <c r="AC250" i="11"/>
  <c r="AC247" i="11"/>
  <c r="AC245" i="11"/>
  <c r="AC244" i="11"/>
  <c r="AC243" i="11"/>
  <c r="AC242" i="11"/>
  <c r="AC240" i="11"/>
  <c r="AC239" i="11"/>
  <c r="AC236" i="11"/>
  <c r="AC235" i="11"/>
  <c r="AC234" i="11"/>
  <c r="AC232" i="11"/>
  <c r="AC231" i="11"/>
  <c r="AC230" i="11"/>
  <c r="AC228" i="11"/>
  <c r="AC227" i="11"/>
  <c r="AC226" i="11"/>
  <c r="AC224" i="11"/>
  <c r="AC223" i="11"/>
  <c r="AC222" i="11"/>
  <c r="AC220" i="11"/>
  <c r="AC219" i="11"/>
  <c r="AC218" i="11"/>
  <c r="AC214" i="11"/>
  <c r="AC215" i="11"/>
  <c r="AC211" i="11"/>
  <c r="AC210" i="11"/>
  <c r="AC208" i="11"/>
  <c r="AC207" i="11"/>
  <c r="AC204" i="11"/>
  <c r="AC203" i="11"/>
  <c r="AC202" i="11"/>
  <c r="AC200" i="11"/>
  <c r="AC199" i="11"/>
  <c r="AC196" i="11"/>
  <c r="AC195" i="11"/>
  <c r="AC194" i="11"/>
  <c r="AC192" i="11"/>
  <c r="AC191" i="11"/>
  <c r="AC188" i="11"/>
  <c r="AC187" i="11"/>
  <c r="AC186" i="11"/>
  <c r="AC183" i="11"/>
  <c r="AC181" i="11"/>
  <c r="AC180" i="11"/>
  <c r="AC179" i="11"/>
  <c r="AC178" i="11"/>
  <c r="AC177" i="11"/>
  <c r="AC176" i="11"/>
  <c r="AC175" i="11"/>
  <c r="AC172" i="11"/>
  <c r="AC171" i="11"/>
  <c r="AC170" i="11"/>
  <c r="AC168" i="11"/>
  <c r="AC167" i="11"/>
  <c r="AC166" i="11"/>
  <c r="AC164" i="11"/>
  <c r="AC163" i="11"/>
  <c r="AC162" i="11"/>
  <c r="AC160" i="11"/>
  <c r="AC159" i="11"/>
  <c r="AC158" i="11"/>
  <c r="AC156" i="11"/>
  <c r="AC155" i="11"/>
  <c r="AC154" i="11"/>
  <c r="AC151" i="11"/>
  <c r="AC148" i="11"/>
  <c r="AC147" i="11"/>
  <c r="AC146" i="11"/>
  <c r="AC144" i="11"/>
  <c r="AC143" i="11"/>
  <c r="AC140" i="11"/>
  <c r="AC139" i="11"/>
  <c r="AC138" i="11"/>
  <c r="AC137" i="11"/>
  <c r="AC136" i="11"/>
  <c r="AC133" i="11"/>
  <c r="AC132" i="11"/>
  <c r="AC131" i="11"/>
  <c r="AC129" i="11"/>
  <c r="AC128" i="11"/>
  <c r="AC125" i="11"/>
  <c r="AC124" i="11"/>
  <c r="AC123" i="11"/>
  <c r="AC120" i="11"/>
  <c r="AC118" i="11"/>
  <c r="AC117" i="11"/>
  <c r="AC116" i="11"/>
  <c r="AC115" i="11"/>
  <c r="AC113" i="11"/>
  <c r="AC112" i="11"/>
  <c r="AC109" i="11"/>
  <c r="AC108" i="11"/>
  <c r="AC107" i="11"/>
  <c r="AC105" i="11"/>
  <c r="AC104" i="11"/>
  <c r="AC101" i="11"/>
  <c r="AC100" i="11"/>
  <c r="AC99" i="11"/>
  <c r="AC97" i="11"/>
  <c r="AC96" i="11"/>
  <c r="AC93" i="11"/>
  <c r="AC92" i="11"/>
  <c r="AC91" i="11"/>
  <c r="AC88" i="11"/>
  <c r="AC85" i="11"/>
  <c r="AC84" i="11"/>
  <c r="AC81" i="11"/>
  <c r="AC80" i="11"/>
  <c r="AC76" i="11"/>
  <c r="AC75" i="11"/>
  <c r="AC73" i="11"/>
  <c r="AC72" i="11"/>
  <c r="AC69" i="11"/>
  <c r="AC68" i="11"/>
  <c r="AC63" i="11"/>
  <c r="AC66" i="11"/>
  <c r="AC59" i="11"/>
  <c r="AC58" i="11"/>
  <c r="AC56" i="11"/>
  <c r="AC54" i="11"/>
  <c r="AC53" i="11"/>
  <c r="AC52" i="11"/>
  <c r="AC49" i="11"/>
  <c r="AC48" i="11"/>
  <c r="AC44" i="11"/>
  <c r="AC43" i="11"/>
  <c r="AC757" i="11"/>
  <c r="AC42" i="11"/>
  <c r="AC41" i="11"/>
  <c r="AC39" i="11"/>
  <c r="AC38" i="11"/>
  <c r="AC35" i="11"/>
  <c r="AC34" i="11"/>
  <c r="AC30" i="11"/>
  <c r="AC29" i="11"/>
  <c r="AC26" i="11"/>
  <c r="AC23" i="11"/>
  <c r="AC22" i="11"/>
  <c r="AC19" i="11"/>
  <c r="AC18" i="11"/>
  <c r="AC14" i="11"/>
  <c r="AC13" i="11"/>
  <c r="AC11" i="11"/>
  <c r="AC10" i="11"/>
  <c r="AC7" i="11"/>
  <c r="AC6" i="11"/>
  <c r="AC3" i="11"/>
  <c r="AC131" i="15"/>
  <c r="AC134" i="15"/>
  <c r="AC135" i="15"/>
  <c r="AC136" i="15"/>
  <c r="AC138" i="15"/>
  <c r="AC139" i="15"/>
  <c r="AC140" i="15"/>
  <c r="AC141" i="15"/>
  <c r="AC142" i="15"/>
  <c r="AC145" i="15"/>
  <c r="AC146" i="15"/>
  <c r="AC143" i="15"/>
  <c r="AC144" i="15"/>
  <c r="AC147" i="15"/>
  <c r="AC158" i="15"/>
  <c r="AC157" i="15"/>
  <c r="AC156" i="15"/>
  <c r="AC149" i="15"/>
  <c r="AC150" i="15"/>
  <c r="AC151" i="15"/>
  <c r="AC148" i="15"/>
  <c r="AC152" i="15"/>
  <c r="AC154" i="15"/>
  <c r="AC153" i="15"/>
  <c r="AC155" i="15"/>
  <c r="AC160" i="15"/>
  <c r="AC161" i="15"/>
  <c r="AC162" i="15"/>
  <c r="AC163" i="15"/>
  <c r="AC164" i="15"/>
  <c r="AC165" i="15"/>
  <c r="AC166" i="15"/>
  <c r="AC167" i="15"/>
  <c r="AC168" i="15"/>
  <c r="AC169" i="15"/>
  <c r="AC171" i="15"/>
  <c r="AC170" i="15"/>
  <c r="AC172" i="15"/>
  <c r="AC173" i="15"/>
  <c r="AC174" i="15"/>
  <c r="AC176" i="15"/>
  <c r="AC175" i="15"/>
  <c r="AC177" i="15"/>
  <c r="AC178" i="15"/>
  <c r="AC179" i="15"/>
  <c r="AC180" i="15"/>
  <c r="AC181" i="15"/>
  <c r="AC183" i="15"/>
  <c r="AC182" i="15"/>
  <c r="AC184" i="15"/>
  <c r="AC185" i="15"/>
  <c r="AC186" i="15"/>
  <c r="AC187" i="15"/>
  <c r="AC188" i="15"/>
  <c r="AC189" i="15"/>
  <c r="AC191" i="15"/>
  <c r="AC192" i="15"/>
  <c r="AC190" i="15"/>
  <c r="AC193" i="15"/>
  <c r="AC198" i="15"/>
  <c r="AC197" i="15"/>
  <c r="AC196" i="15"/>
  <c r="AC194" i="15"/>
  <c r="AC195" i="15"/>
  <c r="AC199" i="15"/>
  <c r="AC200" i="15"/>
  <c r="AC201" i="15"/>
  <c r="AC202" i="15"/>
  <c r="AC203" i="15"/>
  <c r="AC204" i="15"/>
  <c r="AC205" i="15"/>
  <c r="AC206" i="15"/>
  <c r="AC207" i="15"/>
  <c r="AC2" i="14"/>
  <c r="AC3" i="14"/>
  <c r="AC4" i="14"/>
  <c r="AC5" i="14"/>
  <c r="AC6" i="14"/>
  <c r="AC7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89" i="14"/>
  <c r="AC51" i="14"/>
  <c r="AC55" i="14"/>
  <c r="AC52" i="14"/>
  <c r="AC53" i="14"/>
  <c r="AC54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101" i="14"/>
  <c r="AC98" i="14"/>
  <c r="AC99" i="14"/>
  <c r="AC100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C149" i="14"/>
  <c r="AC150" i="14"/>
  <c r="AC151" i="14"/>
  <c r="AC152" i="14"/>
  <c r="AC153" i="14"/>
  <c r="AC154" i="14"/>
  <c r="AC155" i="14"/>
  <c r="AC156" i="14"/>
  <c r="AC157" i="14"/>
  <c r="AC158" i="14"/>
  <c r="AC159" i="14"/>
  <c r="AC160" i="14"/>
  <c r="AC161" i="14"/>
  <c r="AC162" i="14"/>
  <c r="AC163" i="14"/>
  <c r="AC164" i="14"/>
  <c r="AC165" i="14"/>
  <c r="AC166" i="14"/>
  <c r="AC167" i="14"/>
  <c r="AC168" i="14"/>
  <c r="AC169" i="14"/>
  <c r="AC170" i="14"/>
  <c r="AC171" i="14"/>
  <c r="AC172" i="14"/>
  <c r="AC173" i="14"/>
  <c r="AC174" i="14"/>
  <c r="AC175" i="14"/>
  <c r="AC176" i="14"/>
  <c r="AC177" i="14"/>
  <c r="AC178" i="14"/>
  <c r="AC181" i="14"/>
  <c r="AC179" i="14"/>
  <c r="AC180" i="14"/>
  <c r="AC182" i="14"/>
  <c r="AC183" i="14"/>
  <c r="AC184" i="14"/>
  <c r="AC185" i="14"/>
  <c r="AC186" i="14"/>
  <c r="AC187" i="14"/>
  <c r="AC188" i="14"/>
  <c r="AC189" i="14"/>
  <c r="AC190" i="14"/>
  <c r="AC191" i="14"/>
  <c r="AC192" i="14"/>
  <c r="AC193" i="14"/>
  <c r="AC194" i="14"/>
  <c r="AC195" i="14"/>
  <c r="AC196" i="14"/>
  <c r="AC197" i="14"/>
  <c r="AC198" i="14"/>
  <c r="AC199" i="14"/>
  <c r="AC200" i="14"/>
  <c r="AC201" i="14"/>
  <c r="AC202" i="14"/>
  <c r="AC203" i="14"/>
  <c r="AC204" i="14"/>
  <c r="AC205" i="14"/>
  <c r="AC206" i="14"/>
  <c r="AC207" i="14"/>
  <c r="AC208" i="14"/>
  <c r="AC209" i="14"/>
  <c r="AC210" i="14"/>
  <c r="AC211" i="14"/>
  <c r="AC212" i="14"/>
  <c r="AC213" i="14"/>
  <c r="AC214" i="14"/>
  <c r="AC215" i="14"/>
  <c r="AC216" i="14"/>
  <c r="AC217" i="14"/>
  <c r="AC218" i="14"/>
  <c r="AC219" i="14"/>
  <c r="AC220" i="14"/>
  <c r="AC221" i="14"/>
  <c r="AC222" i="14"/>
  <c r="AC223" i="14"/>
  <c r="AC224" i="14"/>
  <c r="AC225" i="14"/>
  <c r="AC226" i="14"/>
  <c r="AC227" i="14"/>
  <c r="AC228" i="14"/>
  <c r="AC229" i="14"/>
  <c r="AC238" i="14"/>
  <c r="AC230" i="14"/>
  <c r="AC231" i="14"/>
  <c r="AC232" i="14"/>
  <c r="AC233" i="14"/>
  <c r="AC234" i="14"/>
  <c r="AC235" i="14"/>
  <c r="AC236" i="14"/>
  <c r="AC237" i="14"/>
  <c r="AC239" i="14"/>
  <c r="AC240" i="14"/>
  <c r="AC241" i="14"/>
  <c r="AC242" i="14"/>
  <c r="AC243" i="14"/>
  <c r="AC244" i="14"/>
  <c r="AC245" i="14"/>
  <c r="AC246" i="14"/>
  <c r="AC247" i="14"/>
  <c r="AC248" i="14"/>
  <c r="AC249" i="14"/>
  <c r="AC250" i="14"/>
  <c r="AC251" i="14"/>
  <c r="AC252" i="14"/>
  <c r="AC253" i="14"/>
  <c r="AC254" i="14"/>
  <c r="AC255" i="14"/>
  <c r="AC256" i="14"/>
  <c r="AC257" i="14"/>
  <c r="AC258" i="14"/>
  <c r="AC259" i="14"/>
  <c r="AC260" i="14"/>
  <c r="AC261" i="14"/>
  <c r="AC262" i="14"/>
  <c r="AC263" i="14"/>
  <c r="AC264" i="14"/>
  <c r="AC265" i="14"/>
  <c r="AC266" i="14"/>
  <c r="AC267" i="14"/>
  <c r="AC268" i="14"/>
  <c r="AC269" i="14"/>
  <c r="AC270" i="14"/>
  <c r="AC271" i="14"/>
  <c r="AC272" i="14"/>
  <c r="AC273" i="14"/>
  <c r="AC274" i="14"/>
  <c r="AC275" i="14"/>
  <c r="AC276" i="14"/>
  <c r="AC277" i="14"/>
  <c r="AC278" i="14"/>
  <c r="AC279" i="14"/>
  <c r="AC280" i="14"/>
  <c r="AC281" i="14"/>
  <c r="AC282" i="14"/>
  <c r="AC283" i="14"/>
  <c r="AC284" i="14"/>
  <c r="AC285" i="14"/>
  <c r="AC286" i="14"/>
  <c r="AC287" i="14"/>
  <c r="AC288" i="14"/>
  <c r="AC289" i="14"/>
  <c r="AC290" i="14"/>
  <c r="AC291" i="14"/>
  <c r="AC292" i="14"/>
  <c r="AC293" i="14"/>
  <c r="AC294" i="14"/>
  <c r="AC295" i="14"/>
  <c r="AC296" i="14"/>
  <c r="AC297" i="14"/>
  <c r="AC298" i="14"/>
  <c r="AC304" i="14"/>
  <c r="AC299" i="14"/>
  <c r="AC300" i="14"/>
  <c r="AC301" i="14"/>
  <c r="AC302" i="14"/>
  <c r="AC303" i="14"/>
  <c r="AC305" i="14"/>
  <c r="AC306" i="14"/>
  <c r="AC307" i="14"/>
  <c r="AC308" i="14"/>
  <c r="AC309" i="14"/>
  <c r="AC310" i="14"/>
  <c r="AC311" i="14"/>
  <c r="AC312" i="14"/>
  <c r="AC313" i="14"/>
  <c r="AC314" i="14"/>
  <c r="AC315" i="14"/>
  <c r="AC316" i="14"/>
  <c r="AC317" i="14"/>
  <c r="AC318" i="14"/>
  <c r="AC319" i="14"/>
  <c r="AC320" i="14"/>
  <c r="AC321" i="14"/>
  <c r="AC322" i="14"/>
  <c r="AC323" i="14"/>
  <c r="AC324" i="14"/>
  <c r="AC325" i="14"/>
  <c r="AC326" i="14"/>
  <c r="AC327" i="14"/>
  <c r="AC328" i="14"/>
  <c r="AC329" i="14"/>
  <c r="AC330" i="14"/>
  <c r="AC331" i="14"/>
  <c r="AC332" i="14"/>
  <c r="AC333" i="14"/>
  <c r="AC334" i="14"/>
  <c r="AC335" i="14"/>
  <c r="AC336" i="14"/>
  <c r="AC337" i="14"/>
  <c r="AC338" i="14"/>
  <c r="AC339" i="14"/>
  <c r="AC340" i="14"/>
  <c r="AC341" i="14"/>
  <c r="AC342" i="14"/>
  <c r="AC343" i="14"/>
  <c r="AC344" i="14"/>
  <c r="AC345" i="14"/>
  <c r="AC346" i="14"/>
  <c r="AC347" i="14"/>
  <c r="AC348" i="14"/>
  <c r="AC349" i="14"/>
  <c r="AC350" i="14"/>
  <c r="AC351" i="14"/>
  <c r="AC352" i="14"/>
  <c r="AC588" i="14"/>
  <c r="AC354" i="14"/>
  <c r="AC355" i="14"/>
  <c r="AC356" i="14"/>
  <c r="AC357" i="14"/>
  <c r="AC358" i="14"/>
  <c r="AC359" i="14"/>
  <c r="AC360" i="14"/>
  <c r="AC361" i="14"/>
  <c r="AC362" i="14"/>
  <c r="AC363" i="14"/>
  <c r="AC364" i="14"/>
  <c r="AC365" i="14"/>
  <c r="AC366" i="14"/>
  <c r="AC367" i="14"/>
  <c r="AC368" i="14"/>
  <c r="AC369" i="14"/>
  <c r="AC370" i="14"/>
  <c r="AC371" i="14"/>
  <c r="AC372" i="14"/>
  <c r="AC373" i="14"/>
  <c r="AC375" i="14"/>
  <c r="AC374" i="14"/>
  <c r="AC376" i="14"/>
  <c r="AC377" i="14"/>
  <c r="AC378" i="14"/>
  <c r="AC379" i="14"/>
  <c r="AC380" i="14"/>
  <c r="AC381" i="14"/>
  <c r="AC382" i="14"/>
  <c r="AC383" i="14"/>
  <c r="AC384" i="14"/>
  <c r="AC385" i="14"/>
  <c r="AC386" i="14"/>
  <c r="AC387" i="14"/>
  <c r="AC388" i="14"/>
  <c r="AC389" i="14"/>
  <c r="AC390" i="14"/>
  <c r="AC391" i="14"/>
  <c r="AC392" i="14"/>
  <c r="AC393" i="14"/>
  <c r="AC394" i="14"/>
  <c r="AC395" i="14"/>
  <c r="AC396" i="14"/>
  <c r="AC397" i="14"/>
  <c r="AC398" i="14"/>
  <c r="AC399" i="14"/>
  <c r="AC400" i="14"/>
  <c r="AC401" i="14"/>
  <c r="AC402" i="14"/>
  <c r="AC403" i="14"/>
  <c r="AC404" i="14"/>
  <c r="AC405" i="14"/>
  <c r="AC406" i="14"/>
  <c r="AC407" i="14"/>
  <c r="AC408" i="14"/>
  <c r="AC409" i="14"/>
  <c r="AC410" i="14"/>
  <c r="AC411" i="14"/>
  <c r="AC412" i="14"/>
  <c r="AC413" i="14"/>
  <c r="AC414" i="14"/>
  <c r="AC415" i="14"/>
  <c r="AC416" i="14"/>
  <c r="AC417" i="14"/>
  <c r="AC418" i="14"/>
  <c r="AC419" i="14"/>
  <c r="AC420" i="14"/>
  <c r="AC421" i="14"/>
  <c r="AC422" i="14"/>
  <c r="AC423" i="14"/>
  <c r="AC424" i="14"/>
  <c r="AC425" i="14"/>
  <c r="AC426" i="14"/>
  <c r="AC427" i="14"/>
  <c r="AC430" i="14"/>
  <c r="AC428" i="14"/>
  <c r="AC429" i="14"/>
  <c r="AC431" i="14"/>
  <c r="AC432" i="14"/>
  <c r="AC433" i="14"/>
  <c r="AC434" i="14"/>
  <c r="AC435" i="14"/>
  <c r="AC436" i="14"/>
  <c r="AC437" i="14"/>
  <c r="AC438" i="14"/>
  <c r="AC439" i="14"/>
  <c r="AC440" i="14"/>
  <c r="AC441" i="14"/>
  <c r="AC442" i="14"/>
  <c r="AC443" i="14"/>
  <c r="AC444" i="14"/>
  <c r="AC445" i="14"/>
  <c r="AC446" i="14"/>
  <c r="AC447" i="14"/>
  <c r="AC448" i="14"/>
  <c r="AC518" i="14"/>
  <c r="AC449" i="14"/>
  <c r="AC450" i="14"/>
  <c r="AC451" i="14"/>
  <c r="AC452" i="14"/>
  <c r="AC453" i="14"/>
  <c r="AC454" i="14"/>
  <c r="AC455" i="14"/>
  <c r="AC456" i="14"/>
  <c r="AC457" i="14"/>
  <c r="AC458" i="14"/>
  <c r="AC459" i="14"/>
  <c r="AC460" i="14"/>
  <c r="AC461" i="14"/>
  <c r="AC462" i="14"/>
  <c r="AC463" i="14"/>
  <c r="AC464" i="14"/>
  <c r="AC465" i="14"/>
  <c r="AC466" i="14"/>
  <c r="AC467" i="14"/>
  <c r="AC468" i="14"/>
  <c r="AC469" i="14"/>
  <c r="AC470" i="14"/>
  <c r="AC471" i="14"/>
  <c r="AC472" i="14"/>
  <c r="AC473" i="14"/>
  <c r="AC474" i="14"/>
  <c r="AC475" i="14"/>
  <c r="AC476" i="14"/>
  <c r="AC477" i="14"/>
  <c r="AC478" i="14"/>
  <c r="AC479" i="14"/>
  <c r="AC480" i="14"/>
  <c r="AC481" i="14"/>
  <c r="AC482" i="14"/>
  <c r="AC483" i="14"/>
  <c r="AC484" i="14"/>
  <c r="AC485" i="14"/>
  <c r="AC486" i="14"/>
  <c r="AC487" i="14"/>
  <c r="AC488" i="14"/>
  <c r="AC489" i="14"/>
  <c r="AC490" i="14"/>
  <c r="AC491" i="14"/>
  <c r="AC492" i="14"/>
  <c r="AC493" i="14"/>
  <c r="AC494" i="14"/>
  <c r="AC495" i="14"/>
  <c r="AC496" i="14"/>
  <c r="AC497" i="14"/>
  <c r="AC498" i="14"/>
  <c r="AC499" i="14"/>
  <c r="AC500" i="14"/>
  <c r="AC501" i="14"/>
  <c r="AC502" i="14"/>
  <c r="AC506" i="14"/>
  <c r="AC503" i="14"/>
  <c r="AC504" i="14"/>
  <c r="AC505" i="14"/>
  <c r="AC507" i="14"/>
  <c r="AC508" i="14"/>
  <c r="AC509" i="14"/>
  <c r="AC510" i="14"/>
  <c r="AC511" i="14"/>
  <c r="AC512" i="14"/>
  <c r="AC513" i="14"/>
  <c r="AC514" i="14"/>
  <c r="AC515" i="14"/>
  <c r="AC516" i="14"/>
  <c r="AC517" i="14"/>
  <c r="AC519" i="14"/>
  <c r="AC520" i="14"/>
  <c r="AC521" i="14"/>
  <c r="AC522" i="14"/>
  <c r="AC523" i="14"/>
  <c r="AC524" i="14"/>
  <c r="AC525" i="14"/>
  <c r="AC526" i="14"/>
  <c r="AC527" i="14"/>
  <c r="AC528" i="14"/>
  <c r="AC529" i="14"/>
  <c r="AC530" i="14"/>
  <c r="AC531" i="14"/>
  <c r="AC532" i="14"/>
  <c r="AC533" i="14"/>
  <c r="AC534" i="14"/>
  <c r="AC535" i="14"/>
  <c r="AC536" i="14"/>
  <c r="AC537" i="14"/>
  <c r="AC538" i="14"/>
  <c r="AC539" i="14"/>
  <c r="AC540" i="14"/>
  <c r="AC541" i="14"/>
  <c r="AC542" i="14"/>
  <c r="AC543" i="14"/>
  <c r="AC544" i="14"/>
  <c r="AC545" i="14"/>
  <c r="AC546" i="14"/>
  <c r="AC547" i="14"/>
  <c r="AC548" i="14"/>
  <c r="AC549" i="14"/>
  <c r="AC550" i="14"/>
  <c r="AC551" i="14"/>
  <c r="AC552" i="14"/>
  <c r="AC553" i="14"/>
  <c r="AC554" i="14"/>
  <c r="AC555" i="14"/>
  <c r="AC556" i="14"/>
  <c r="AC557" i="14"/>
  <c r="AC558" i="14"/>
  <c r="AC559" i="14"/>
  <c r="AC560" i="14"/>
  <c r="AC561" i="14"/>
  <c r="AC562" i="14"/>
  <c r="AC563" i="14"/>
  <c r="AC564" i="14"/>
  <c r="AC565" i="14"/>
  <c r="AC566" i="14"/>
  <c r="AC567" i="14"/>
  <c r="AC568" i="14"/>
  <c r="AC569" i="14"/>
  <c r="AC570" i="14"/>
  <c r="AC571" i="14"/>
  <c r="AC572" i="14"/>
  <c r="AC573" i="14"/>
  <c r="AC574" i="14"/>
  <c r="AC575" i="14"/>
  <c r="AC576" i="14"/>
  <c r="AC577" i="14"/>
  <c r="AC578" i="14"/>
  <c r="AC579" i="14"/>
  <c r="AC580" i="14"/>
  <c r="AC581" i="14"/>
  <c r="AC582" i="14"/>
  <c r="AC583" i="14"/>
  <c r="AC584" i="14"/>
  <c r="AC585" i="14"/>
  <c r="AC586" i="14"/>
  <c r="AC587" i="14"/>
  <c r="AC590" i="14"/>
  <c r="AC591" i="14"/>
  <c r="AC592" i="14"/>
  <c r="AC593" i="14"/>
  <c r="AC594" i="14"/>
  <c r="AC597" i="14"/>
  <c r="AC598" i="14"/>
  <c r="AC599" i="14"/>
  <c r="AC600" i="14"/>
  <c r="AC601" i="14"/>
  <c r="AC602" i="14"/>
  <c r="AC603" i="14"/>
  <c r="AC604" i="14"/>
  <c r="AC605" i="14"/>
  <c r="AC606" i="14"/>
  <c r="AC607" i="14"/>
  <c r="AC608" i="14"/>
  <c r="AC609" i="14"/>
  <c r="AC610" i="14"/>
  <c r="AC611" i="14"/>
  <c r="AC612" i="14"/>
  <c r="AC613" i="14"/>
  <c r="AC614" i="14"/>
  <c r="AC615" i="14"/>
  <c r="AC616" i="14"/>
  <c r="AC617" i="14"/>
  <c r="AC618" i="14"/>
  <c r="AC619" i="14"/>
  <c r="AC620" i="14"/>
  <c r="AC621" i="14"/>
  <c r="AC622" i="14"/>
  <c r="AC623" i="14"/>
  <c r="AC624" i="14"/>
  <c r="AC625" i="14"/>
  <c r="AC626" i="14"/>
  <c r="AC627" i="14"/>
  <c r="AC628" i="14"/>
  <c r="AC629" i="14"/>
  <c r="AC630" i="14"/>
  <c r="AC631" i="14"/>
  <c r="AC632" i="14"/>
  <c r="AC633" i="14"/>
  <c r="AC634" i="14"/>
  <c r="AC635" i="14"/>
  <c r="AC636" i="14"/>
  <c r="AC637" i="14"/>
  <c r="AC638" i="14"/>
  <c r="AC639" i="14"/>
  <c r="AC640" i="14"/>
  <c r="AC641" i="14"/>
  <c r="AC642" i="14"/>
  <c r="AC643" i="14"/>
  <c r="AC644" i="14"/>
  <c r="AC645" i="14"/>
  <c r="AC646" i="14"/>
  <c r="AC647" i="14"/>
  <c r="AC648" i="14"/>
  <c r="AC649" i="14"/>
  <c r="AC650" i="14"/>
  <c r="AC651" i="14"/>
  <c r="AC655" i="14"/>
  <c r="AC652" i="14"/>
  <c r="AC653" i="14"/>
  <c r="AC654" i="14"/>
  <c r="AC656" i="14"/>
  <c r="AC657" i="14"/>
  <c r="AC658" i="14"/>
  <c r="AC659" i="14"/>
  <c r="AC660" i="14"/>
  <c r="AC661" i="14"/>
  <c r="AC662" i="14"/>
  <c r="AC663" i="14"/>
  <c r="AC664" i="14"/>
  <c r="AC665" i="14"/>
  <c r="AC666" i="14"/>
  <c r="AC667" i="14"/>
  <c r="AC668" i="14"/>
  <c r="AC669" i="14"/>
  <c r="AC670" i="14"/>
  <c r="AC671" i="14"/>
  <c r="AC672" i="14"/>
  <c r="AC673" i="14"/>
  <c r="AC674" i="14"/>
  <c r="AC675" i="14"/>
  <c r="AC676" i="14"/>
  <c r="AC677" i="14"/>
  <c r="AC678" i="14"/>
  <c r="AC679" i="14"/>
  <c r="AC680" i="14"/>
  <c r="AC681" i="14"/>
  <c r="AC682" i="14"/>
  <c r="AC683" i="14"/>
  <c r="AC684" i="14"/>
  <c r="AC685" i="14"/>
  <c r="AC686" i="14"/>
  <c r="AC687" i="14"/>
  <c r="AC688" i="14"/>
  <c r="AC689" i="14"/>
  <c r="AC690" i="14"/>
  <c r="AC691" i="14"/>
  <c r="AC692" i="14"/>
  <c r="AC693" i="14"/>
  <c r="AC694" i="14"/>
  <c r="AC695" i="14"/>
  <c r="AC696" i="14"/>
  <c r="AC697" i="14"/>
  <c r="AC698" i="14"/>
  <c r="AC699" i="14"/>
  <c r="AC700" i="14"/>
  <c r="AC701" i="14"/>
  <c r="AC702" i="14"/>
  <c r="AC703" i="14"/>
  <c r="AC704" i="14"/>
  <c r="AC705" i="14"/>
  <c r="AC706" i="14"/>
  <c r="AC707" i="14"/>
  <c r="AC715" i="14"/>
  <c r="AC708" i="14"/>
  <c r="AC709" i="14"/>
  <c r="AC710" i="14"/>
  <c r="AC711" i="14"/>
  <c r="AC712" i="14"/>
  <c r="AC713" i="14"/>
  <c r="AC714" i="14"/>
  <c r="AC716" i="14"/>
  <c r="AC717" i="14"/>
  <c r="AC718" i="14"/>
  <c r="AC719" i="14"/>
  <c r="AC720" i="14"/>
  <c r="AC721" i="14"/>
  <c r="AC722" i="14"/>
  <c r="AC723" i="14"/>
  <c r="AC724" i="14"/>
  <c r="AC725" i="14"/>
  <c r="AC726" i="14"/>
  <c r="AC727" i="14"/>
  <c r="AC728" i="14"/>
  <c r="AC729" i="14"/>
  <c r="AC730" i="14"/>
  <c r="AC731" i="14"/>
  <c r="AC732" i="14"/>
  <c r="AC733" i="14"/>
  <c r="AC734" i="14"/>
  <c r="AC735" i="14"/>
  <c r="AC736" i="14"/>
  <c r="AC737" i="14"/>
  <c r="AC738" i="14"/>
  <c r="AC739" i="14"/>
  <c r="AC740" i="14"/>
  <c r="AC741" i="14"/>
  <c r="AC742" i="14"/>
  <c r="AC743" i="14"/>
  <c r="AC744" i="14"/>
  <c r="AC745" i="14"/>
  <c r="AC746" i="14"/>
  <c r="AC747" i="14"/>
  <c r="AC748" i="14"/>
  <c r="AC749" i="14"/>
  <c r="AC750" i="14"/>
  <c r="AC751" i="14"/>
  <c r="AC752" i="14"/>
  <c r="AC753" i="14"/>
  <c r="AC754" i="14"/>
  <c r="AC755" i="14"/>
  <c r="AC756" i="14"/>
  <c r="AC757" i="14"/>
  <c r="AC758" i="14"/>
  <c r="AC759" i="14"/>
  <c r="AC760" i="14"/>
  <c r="AC761" i="14"/>
  <c r="AC762" i="14"/>
  <c r="AC763" i="14"/>
  <c r="AC764" i="14"/>
  <c r="AC765" i="14"/>
  <c r="AC766" i="14"/>
  <c r="AC767" i="14"/>
  <c r="AC768" i="14"/>
  <c r="AC769" i="14"/>
  <c r="AC770" i="14"/>
  <c r="AC771" i="14"/>
  <c r="AC779" i="14"/>
  <c r="AC772" i="14"/>
  <c r="AC773" i="14"/>
  <c r="AC774" i="14"/>
  <c r="AC775" i="14"/>
  <c r="AC776" i="14"/>
  <c r="AC777" i="14"/>
  <c r="AC778" i="14"/>
  <c r="AC780" i="14"/>
  <c r="AC781" i="14"/>
  <c r="AC782" i="14"/>
  <c r="AC783" i="14"/>
  <c r="AC784" i="14"/>
  <c r="AC785" i="14"/>
  <c r="AC786" i="14"/>
  <c r="AC787" i="14"/>
  <c r="AC788" i="14"/>
  <c r="AC789" i="14"/>
  <c r="AC790" i="14"/>
  <c r="Y39" i="22"/>
  <c r="AB39" i="22"/>
  <c r="G39" i="22"/>
  <c r="AA39" i="22"/>
  <c r="X39" i="22"/>
  <c r="AH39" i="22"/>
  <c r="V39" i="22"/>
  <c r="W39" i="22"/>
  <c r="AI39" i="22"/>
  <c r="AJ39" i="22"/>
  <c r="AA26" i="15" l="1"/>
  <c r="AB26" i="15" s="1"/>
  <c r="AA33" i="15"/>
  <c r="AB33" i="15" s="1"/>
  <c r="AA42" i="15"/>
  <c r="AB42" i="15" s="1"/>
  <c r="Z58" i="15"/>
  <c r="AA58" i="15" s="1"/>
  <c r="AB58" i="15" s="1"/>
  <c r="AA66" i="15"/>
  <c r="AB66" i="15" s="1"/>
  <c r="X98" i="15"/>
  <c r="Y98" i="15" s="1"/>
  <c r="Z98" i="15" s="1"/>
  <c r="U74" i="15"/>
  <c r="V74" i="15" s="1"/>
  <c r="Y73" i="15"/>
  <c r="Z73" i="15" s="1"/>
  <c r="X72" i="15"/>
  <c r="W71" i="15"/>
  <c r="W70" i="15"/>
  <c r="X70" i="15" s="1"/>
  <c r="V69" i="15"/>
  <c r="W69" i="15" s="1"/>
  <c r="X69" i="15" s="1"/>
  <c r="Y69" i="15" s="1"/>
  <c r="Y65" i="15"/>
  <c r="Z65" i="15" s="1"/>
  <c r="AA65" i="15" s="1"/>
  <c r="AB65" i="15" s="1"/>
  <c r="AA68" i="15"/>
  <c r="AB68" i="15" s="1"/>
  <c r="X67" i="15"/>
  <c r="Y67" i="15" s="1"/>
  <c r="Z67" i="15" s="1"/>
  <c r="AA67" i="15" s="1"/>
  <c r="Z64" i="15"/>
  <c r="AA64" i="15" s="1"/>
  <c r="AB64" i="15" s="1"/>
  <c r="U63" i="15"/>
  <c r="Z62" i="15"/>
  <c r="AA62" i="15" s="1"/>
  <c r="X61" i="15"/>
  <c r="W59" i="15"/>
  <c r="X59" i="15" s="1"/>
  <c r="V57" i="15"/>
  <c r="W57" i="15" s="1"/>
  <c r="W75" i="15"/>
  <c r="X75" i="15" s="1"/>
  <c r="Y75" i="15" s="1"/>
  <c r="Z75" i="15" s="1"/>
  <c r="X56" i="15"/>
  <c r="V105" i="15"/>
  <c r="W105" i="15" s="1"/>
  <c r="X105" i="15" s="1"/>
  <c r="W103" i="15"/>
  <c r="T104" i="15"/>
  <c r="U104" i="15" s="1"/>
  <c r="V102" i="15"/>
  <c r="W102" i="15" s="1"/>
  <c r="X102" i="15" s="1"/>
  <c r="W101" i="15"/>
  <c r="X101" i="15" s="1"/>
  <c r="V97" i="15"/>
  <c r="U95" i="15"/>
  <c r="V95" i="15" s="1"/>
  <c r="U96" i="15"/>
  <c r="U94" i="15"/>
  <c r="V93" i="15"/>
  <c r="T92" i="15"/>
  <c r="U91" i="15"/>
  <c r="X90" i="15"/>
  <c r="Y90" i="15" s="1"/>
  <c r="U88" i="15"/>
  <c r="V88" i="15" s="1"/>
  <c r="U84" i="15"/>
  <c r="X83" i="15"/>
  <c r="W82" i="15"/>
  <c r="X82" i="15" s="1"/>
  <c r="V81" i="15"/>
  <c r="U79" i="15"/>
  <c r="X78" i="15"/>
  <c r="Y78" i="15" s="1"/>
  <c r="Z78" i="15" s="1"/>
  <c r="V76" i="15"/>
  <c r="W100" i="15"/>
  <c r="X100" i="15" s="1"/>
  <c r="V99" i="15"/>
  <c r="Y89" i="15"/>
  <c r="Z89" i="15" s="1"/>
  <c r="AA89" i="15" s="1"/>
  <c r="V116" i="15"/>
  <c r="U87" i="15"/>
  <c r="V87" i="15" s="1"/>
  <c r="AA86" i="15"/>
  <c r="AB86" i="15" s="1"/>
  <c r="T85" i="15"/>
  <c r="U85" i="15" s="1"/>
  <c r="V80" i="15"/>
  <c r="W80" i="15" s="1"/>
  <c r="Y77" i="15"/>
  <c r="Z77" i="15" s="1"/>
  <c r="AA77" i="15" s="1"/>
  <c r="V109" i="15"/>
  <c r="W109" i="15" s="1"/>
  <c r="X109" i="15" s="1"/>
  <c r="W129" i="15"/>
  <c r="T137" i="15"/>
  <c r="U137" i="15" s="1"/>
  <c r="V132" i="15"/>
  <c r="W132" i="15" s="1"/>
  <c r="W133" i="15"/>
  <c r="X133" i="15" s="1"/>
  <c r="Y133" i="15" s="1"/>
  <c r="X130" i="15"/>
  <c r="Y130" i="15" s="1"/>
  <c r="W128" i="15"/>
  <c r="W127" i="15"/>
  <c r="U126" i="15"/>
  <c r="T125" i="15"/>
  <c r="U125" i="15" s="1"/>
  <c r="T124" i="15"/>
  <c r="W122" i="15"/>
  <c r="X122" i="15" s="1"/>
  <c r="U123" i="15"/>
  <c r="V120" i="15"/>
  <c r="W120" i="15" s="1"/>
  <c r="X120" i="15" s="1"/>
  <c r="W121" i="15"/>
  <c r="X121" i="15" s="1"/>
  <c r="Y121" i="15" s="1"/>
  <c r="Z121" i="15" s="1"/>
  <c r="S119" i="15"/>
  <c r="T119" i="15" s="1"/>
  <c r="U117" i="15"/>
  <c r="V114" i="15"/>
  <c r="W114" i="15" s="1"/>
  <c r="T113" i="15"/>
  <c r="S112" i="15"/>
  <c r="T112" i="15" s="1"/>
  <c r="U111" i="15"/>
  <c r="T110" i="15"/>
  <c r="U110" i="15" s="1"/>
  <c r="V110" i="15" s="1"/>
  <c r="W118" i="15"/>
  <c r="X118" i="15" s="1"/>
  <c r="V159" i="15"/>
  <c r="W159" i="15" s="1"/>
  <c r="T115" i="15"/>
  <c r="U108" i="15"/>
  <c r="S107" i="15"/>
  <c r="S106" i="15"/>
  <c r="T106" i="15" s="1"/>
  <c r="U106" i="15" s="1"/>
  <c r="PJ1" i="2"/>
  <c r="PL1" i="2" s="1"/>
  <c r="QE1" i="2" s="1"/>
  <c r="QG1" i="2" s="1"/>
  <c r="QZ1" i="2" s="1"/>
  <c r="RB1" i="2" s="1"/>
  <c r="RU1" i="2" s="1"/>
  <c r="RW1" i="2" s="1"/>
  <c r="SP1" i="2" s="1"/>
  <c r="SR1" i="2" s="1"/>
  <c r="TK1" i="2" s="1"/>
  <c r="TM1" i="2" s="1"/>
  <c r="UF1" i="2" s="1"/>
  <c r="UH1" i="2" s="1"/>
  <c r="VA1" i="2" s="1"/>
  <c r="VC1" i="2" s="1"/>
  <c r="VV1" i="2" s="1"/>
  <c r="VX1" i="2" s="1"/>
  <c r="WQ1" i="2" s="1"/>
  <c r="WS1" i="2" s="1"/>
  <c r="XL1" i="2" s="1"/>
  <c r="T3" i="15"/>
  <c r="U3" i="15" s="1"/>
  <c r="S596" i="14"/>
  <c r="T596" i="14" s="1"/>
  <c r="S595" i="14"/>
  <c r="T595" i="14" s="1"/>
  <c r="S353" i="14"/>
  <c r="T353" i="14" s="1"/>
  <c r="U353" i="14" s="1"/>
  <c r="R760" i="11"/>
  <c r="S760" i="11" s="1"/>
  <c r="T760" i="11" s="1"/>
  <c r="C18" i="22"/>
  <c r="C16" i="22"/>
  <c r="B9" i="22"/>
  <c r="B26" i="22"/>
  <c r="C26" i="22"/>
  <c r="B7" i="22"/>
  <c r="C20" i="22"/>
  <c r="C19" i="22"/>
  <c r="B23" i="22"/>
  <c r="C36" i="22"/>
  <c r="B5" i="22"/>
  <c r="B8" i="22"/>
  <c r="C6" i="22"/>
  <c r="B21" i="22"/>
  <c r="B18" i="22"/>
  <c r="C22" i="22"/>
  <c r="B6" i="22"/>
  <c r="B20" i="22"/>
  <c r="C33" i="22"/>
  <c r="C5" i="22"/>
  <c r="C13" i="22"/>
  <c r="C34" i="22"/>
  <c r="C24" i="22"/>
  <c r="C27" i="22"/>
  <c r="B14" i="22"/>
  <c r="C10" i="22"/>
  <c r="B16" i="22"/>
  <c r="B11" i="22"/>
  <c r="C21" i="22"/>
  <c r="C7" i="22"/>
  <c r="C32" i="22"/>
  <c r="C35" i="22"/>
  <c r="B22" i="22"/>
  <c r="B12" i="22"/>
  <c r="B24" i="22"/>
  <c r="B19" i="22"/>
  <c r="C29" i="22"/>
  <c r="C15" i="22"/>
  <c r="C9" i="22"/>
  <c r="B28" i="22"/>
  <c r="B30" i="22"/>
  <c r="B36" i="22"/>
  <c r="B32" i="22"/>
  <c r="B27" i="22"/>
  <c r="C23" i="22"/>
  <c r="C17" i="22"/>
  <c r="B17" i="22"/>
  <c r="B35" i="22"/>
  <c r="C12" i="22"/>
  <c r="C14" i="22"/>
  <c r="C31" i="22"/>
  <c r="C25" i="22"/>
  <c r="B13" i="22"/>
  <c r="B25" i="22"/>
  <c r="B15" i="22"/>
  <c r="B33" i="22"/>
  <c r="C28" i="22"/>
  <c r="C30" i="22"/>
  <c r="C8" i="22"/>
  <c r="C11" i="22"/>
  <c r="B29" i="22"/>
  <c r="B10" i="22"/>
  <c r="B31" i="22"/>
  <c r="B34" i="22"/>
  <c r="C38" i="22"/>
  <c r="B37" i="22"/>
  <c r="C37" i="22"/>
  <c r="B39" i="22"/>
  <c r="B38" i="22"/>
  <c r="AC21" i="11"/>
  <c r="AC83" i="11"/>
  <c r="AC51" i="11"/>
  <c r="AC65" i="11"/>
  <c r="AC37" i="11"/>
  <c r="AC5" i="11"/>
  <c r="AC95" i="11"/>
  <c r="AC103" i="11"/>
  <c r="AC60" i="11"/>
  <c r="AC77" i="11"/>
  <c r="AC15" i="11"/>
  <c r="AC31" i="11"/>
  <c r="AC45" i="11"/>
  <c r="AC28" i="11"/>
  <c r="AC209" i="11"/>
  <c r="AC67" i="11"/>
  <c r="AC33" i="11"/>
  <c r="AC632" i="11"/>
  <c r="AC648" i="11"/>
  <c r="AC656" i="11"/>
  <c r="AC664" i="11"/>
  <c r="AC682" i="11"/>
  <c r="AC699" i="11"/>
  <c r="AC707" i="11"/>
  <c r="AC715" i="11"/>
  <c r="AC724" i="11"/>
  <c r="AC732" i="11"/>
  <c r="AC740" i="11"/>
  <c r="AC749" i="11"/>
  <c r="AC683" i="11"/>
  <c r="AC700" i="11"/>
  <c r="AC708" i="11"/>
  <c r="AC716" i="11"/>
  <c r="AC725" i="11"/>
  <c r="AC750" i="11"/>
  <c r="AC114" i="11"/>
  <c r="AC145" i="11"/>
  <c r="AC233" i="11"/>
  <c r="AC265" i="11"/>
  <c r="AC353" i="11"/>
  <c r="AC387" i="11"/>
  <c r="AC473" i="11"/>
  <c r="AC505" i="11"/>
  <c r="AC568" i="11"/>
  <c r="AC600" i="11"/>
  <c r="AC703" i="11"/>
  <c r="AC736" i="11"/>
  <c r="AC201" i="11"/>
  <c r="AC288" i="11"/>
  <c r="AC321" i="11"/>
  <c r="AC408" i="11"/>
  <c r="AC438" i="11"/>
  <c r="AC560" i="11"/>
  <c r="AC82" i="11"/>
  <c r="AC20" i="11"/>
  <c r="AC257" i="11"/>
  <c r="AC345" i="11"/>
  <c r="AC376" i="11"/>
  <c r="AC497" i="11"/>
  <c r="AC528" i="11"/>
  <c r="AC592" i="11"/>
  <c r="AC624" i="11"/>
  <c r="AC695" i="11"/>
  <c r="AC728" i="11"/>
  <c r="AC169" i="11"/>
  <c r="AC106" i="11"/>
  <c r="AC225" i="11"/>
  <c r="AC755" i="11"/>
  <c r="AC465" i="11"/>
  <c r="AC552" i="11"/>
  <c r="AC686" i="11"/>
  <c r="AC8" i="11"/>
  <c r="AC16" i="11"/>
  <c r="AC24" i="11"/>
  <c r="AC32" i="11"/>
  <c r="AC40" i="11"/>
  <c r="AC46" i="11"/>
  <c r="AC61" i="11"/>
  <c r="AC70" i="11"/>
  <c r="AC78" i="11"/>
  <c r="AC86" i="11"/>
  <c r="AC94" i="11"/>
  <c r="AC102" i="11"/>
  <c r="AC110" i="11"/>
  <c r="AC126" i="11"/>
  <c r="AC134" i="11"/>
  <c r="AC141" i="11"/>
  <c r="AC149" i="11"/>
  <c r="AC157" i="11"/>
  <c r="AC165" i="11"/>
  <c r="AC173" i="11"/>
  <c r="AC189" i="11"/>
  <c r="AC197" i="11"/>
  <c r="AC205" i="11"/>
  <c r="AC212" i="11"/>
  <c r="AC221" i="11"/>
  <c r="AC229" i="11"/>
  <c r="AC237" i="11"/>
  <c r="AC253" i="11"/>
  <c r="AC261" i="11"/>
  <c r="AC270" i="11"/>
  <c r="AC277" i="11"/>
  <c r="AC284" i="11"/>
  <c r="AC292" i="11"/>
  <c r="AC300" i="11"/>
  <c r="AC316" i="11"/>
  <c r="AC325" i="11"/>
  <c r="AC333" i="11"/>
  <c r="AC341" i="11"/>
  <c r="AC349" i="11"/>
  <c r="AC357" i="11"/>
  <c r="AC365" i="11"/>
  <c r="AC380" i="11"/>
  <c r="AC386" i="11"/>
  <c r="AC396" i="11"/>
  <c r="AC404" i="11"/>
  <c r="AC412" i="11"/>
  <c r="AC420" i="11"/>
  <c r="AC428" i="11"/>
  <c r="AC445" i="11"/>
  <c r="AC453" i="11"/>
  <c r="AC461" i="11"/>
  <c r="AC469" i="11"/>
  <c r="AC477" i="11"/>
  <c r="AC485" i="11"/>
  <c r="AC493" i="11"/>
  <c r="AC511" i="11"/>
  <c r="AC517" i="11"/>
  <c r="AC722" i="11"/>
  <c r="AC532" i="11"/>
  <c r="AC540" i="11"/>
  <c r="AC548" i="11"/>
  <c r="AC556" i="11"/>
  <c r="AC571" i="11"/>
  <c r="AC580" i="11"/>
  <c r="AC588" i="11"/>
  <c r="AC596" i="11"/>
  <c r="AC604" i="11"/>
  <c r="AC612" i="11"/>
  <c r="AC620" i="11"/>
  <c r="AC636" i="11"/>
  <c r="AC643" i="11"/>
  <c r="AC652" i="11"/>
  <c r="AC660" i="11"/>
  <c r="AC668" i="11"/>
  <c r="AC674" i="11"/>
  <c r="AC50" i="11"/>
  <c r="AC317" i="11"/>
  <c r="AC74" i="11"/>
  <c r="AC161" i="11"/>
  <c r="AC193" i="11"/>
  <c r="AC280" i="11"/>
  <c r="AC312" i="11"/>
  <c r="AC432" i="11"/>
  <c r="AC12" i="11"/>
  <c r="AC98" i="11"/>
  <c r="AC130" i="11"/>
  <c r="AC217" i="11"/>
  <c r="AC249" i="11"/>
  <c r="AC368" i="11"/>
  <c r="AC400" i="11"/>
  <c r="AC489" i="11"/>
  <c r="AC521" i="11"/>
  <c r="AC584" i="11"/>
  <c r="AC616" i="11"/>
  <c r="AC719" i="11"/>
  <c r="AC753" i="11"/>
  <c r="AC2" i="11"/>
  <c r="AC9" i="11"/>
  <c r="AC17" i="11"/>
  <c r="AC25" i="11"/>
  <c r="AC47" i="11"/>
  <c r="AC55" i="11"/>
  <c r="AC62" i="11"/>
  <c r="AC71" i="11"/>
  <c r="AC79" i="11"/>
  <c r="AC87" i="11"/>
  <c r="AC111" i="11"/>
  <c r="AC119" i="11"/>
  <c r="AC127" i="11"/>
  <c r="AC135" i="11"/>
  <c r="AC142" i="11"/>
  <c r="AC150" i="11"/>
  <c r="AC174" i="11"/>
  <c r="AC182" i="11"/>
  <c r="AC190" i="11"/>
  <c r="AC198" i="11"/>
  <c r="AC206" i="11"/>
  <c r="AC213" i="11"/>
  <c r="AC238" i="11"/>
  <c r="AC246" i="11"/>
  <c r="AC254" i="11"/>
  <c r="AC262" i="11"/>
  <c r="AC268" i="11"/>
  <c r="AC441" i="11"/>
  <c r="AC301" i="11"/>
  <c r="AC309" i="11"/>
  <c r="AC318" i="11"/>
  <c r="AC326" i="11"/>
  <c r="AC335" i="11"/>
  <c r="AC342" i="11"/>
  <c r="AC747" i="11"/>
  <c r="AC373" i="11"/>
  <c r="AC381" i="11"/>
  <c r="AC389" i="11"/>
  <c r="AC397" i="11"/>
  <c r="AC405" i="11"/>
  <c r="AC429" i="11"/>
  <c r="AC443" i="11"/>
  <c r="AC446" i="11"/>
  <c r="AC454" i="11"/>
  <c r="AC462" i="11"/>
  <c r="AC470" i="11"/>
  <c r="AC494" i="11"/>
  <c r="AC502" i="11"/>
  <c r="AC508" i="11"/>
  <c r="AC518" i="11"/>
  <c r="AC525" i="11"/>
  <c r="AC533" i="11"/>
  <c r="AC557" i="11"/>
  <c r="AC565" i="11"/>
  <c r="AC572" i="11"/>
  <c r="AC581" i="11"/>
  <c r="AC589" i="11"/>
  <c r="AC597" i="11"/>
  <c r="AC621" i="11"/>
  <c r="AC629" i="11"/>
  <c r="AC637" i="11"/>
  <c r="AC644" i="11"/>
  <c r="AC653" i="11"/>
  <c r="AC661" i="11"/>
  <c r="AC153" i="11"/>
  <c r="AC185" i="11"/>
  <c r="AC304" i="11"/>
  <c r="AC337" i="11"/>
  <c r="AC424" i="11"/>
  <c r="AC457" i="11"/>
  <c r="AC544" i="11"/>
  <c r="AC678" i="11"/>
  <c r="AC36" i="11"/>
  <c r="AC64" i="11"/>
  <c r="AC4" i="11"/>
  <c r="AC90" i="11"/>
  <c r="AC122" i="11"/>
  <c r="AC241" i="11"/>
  <c r="AC273" i="11"/>
  <c r="AC361" i="11"/>
  <c r="AC392" i="11"/>
  <c r="AC481" i="11"/>
  <c r="AC513" i="11"/>
  <c r="AC577" i="11"/>
  <c r="AC608" i="11"/>
  <c r="AC711" i="11"/>
  <c r="AC744" i="11"/>
  <c r="AC27" i="11"/>
  <c r="AC57" i="11"/>
  <c r="AC89" i="11"/>
  <c r="AC121" i="11"/>
  <c r="AC152" i="11"/>
  <c r="AC184" i="11"/>
  <c r="AC216" i="11"/>
  <c r="AC248" i="11"/>
  <c r="AC279" i="11"/>
  <c r="AC311" i="11"/>
  <c r="AC344" i="11"/>
  <c r="AC375" i="11"/>
  <c r="AC407" i="11"/>
  <c r="AC437" i="11"/>
  <c r="AC472" i="11"/>
  <c r="AC504" i="11"/>
  <c r="AC535" i="11"/>
  <c r="G36" i="22"/>
  <c r="AH25" i="22"/>
  <c r="V36" i="22"/>
  <c r="L35" i="22"/>
  <c r="W36" i="22"/>
  <c r="G10" i="22"/>
  <c r="X30" i="22"/>
  <c r="N30" i="22"/>
  <c r="Y19" i="22"/>
  <c r="AJ11" i="22"/>
  <c r="W11" i="22"/>
  <c r="AH16" i="22"/>
  <c r="X19" i="22"/>
  <c r="V31" i="22"/>
  <c r="X32" i="22"/>
  <c r="W5" i="22"/>
  <c r="X12" i="22"/>
  <c r="AH28" i="22"/>
  <c r="O28" i="22"/>
  <c r="N28" i="22"/>
  <c r="AB36" i="22"/>
  <c r="Z10" i="22"/>
  <c r="X35" i="22"/>
  <c r="W16" i="22"/>
  <c r="AJ8" i="22"/>
  <c r="G22" i="22"/>
  <c r="X22" i="22"/>
  <c r="X38" i="22"/>
  <c r="W12" i="22"/>
  <c r="L30" i="22"/>
  <c r="N32" i="22"/>
  <c r="AH33" i="22"/>
  <c r="L32" i="22"/>
  <c r="AB20" i="22"/>
  <c r="AJ28" i="22"/>
  <c r="V30" i="22"/>
  <c r="Y27" i="22"/>
  <c r="X24" i="22"/>
  <c r="Z8" i="22"/>
  <c r="G20" i="22"/>
  <c r="X10" i="22"/>
  <c r="Y38" i="22"/>
  <c r="G18" i="22"/>
  <c r="AB27" i="22"/>
  <c r="L34" i="22"/>
  <c r="AJ31" i="22"/>
  <c r="G13" i="22"/>
  <c r="X28" i="22"/>
  <c r="X14" i="22"/>
  <c r="G38" i="22"/>
  <c r="V37" i="22"/>
  <c r="G32" i="22"/>
  <c r="AH19" i="22"/>
  <c r="Y14" i="22"/>
  <c r="Y11" i="22"/>
  <c r="W28" i="22"/>
  <c r="AB16" i="22"/>
  <c r="Y31" i="22"/>
  <c r="G33" i="22"/>
  <c r="AH27" i="22"/>
  <c r="X8" i="22"/>
  <c r="G30" i="22"/>
  <c r="AB28" i="22"/>
  <c r="W23" i="22"/>
  <c r="Y28" i="22"/>
  <c r="AH36" i="22"/>
  <c r="AJ7" i="22"/>
  <c r="V28" i="22"/>
  <c r="W15" i="22"/>
  <c r="Y23" i="22"/>
  <c r="AJ33" i="22"/>
  <c r="Y30" i="22"/>
  <c r="Y5" i="22"/>
  <c r="Y20" i="22"/>
  <c r="G11" i="22"/>
  <c r="AB24" i="22"/>
  <c r="W10" i="22"/>
  <c r="AJ12" i="22"/>
  <c r="Z11" i="22"/>
  <c r="AA28" i="22"/>
  <c r="AJ5" i="22"/>
  <c r="V35" i="22"/>
  <c r="N33" i="22"/>
  <c r="G28" i="22"/>
  <c r="W25" i="22"/>
  <c r="X27" i="22"/>
  <c r="AH18" i="22"/>
  <c r="AI37" i="22"/>
  <c r="AJ36" i="22"/>
  <c r="AB23" i="22"/>
  <c r="V32" i="22"/>
  <c r="O32" i="22"/>
  <c r="G31" i="22"/>
  <c r="AI31" i="22"/>
  <c r="X11" i="22"/>
  <c r="AB22" i="22"/>
  <c r="AH31" i="22"/>
  <c r="X37" i="22"/>
  <c r="G25" i="22"/>
  <c r="AH22" i="22"/>
  <c r="AH24" i="22"/>
  <c r="O30" i="22"/>
  <c r="X5" i="22"/>
  <c r="W30" i="22"/>
  <c r="AH38" i="22"/>
  <c r="Y22" i="22"/>
  <c r="AB32" i="22"/>
  <c r="L31" i="22"/>
  <c r="X16" i="22"/>
  <c r="X31" i="22"/>
  <c r="AJ32" i="22"/>
  <c r="W35" i="22"/>
  <c r="L36" i="22"/>
  <c r="AA33" i="22"/>
  <c r="Y33" i="22"/>
  <c r="G19" i="22"/>
  <c r="G24" i="22"/>
  <c r="W37" i="22"/>
  <c r="AA37" i="22"/>
  <c r="AA38" i="22"/>
  <c r="X25" i="22"/>
  <c r="AI38" i="22"/>
  <c r="AA31" i="22"/>
  <c r="Z5" i="22"/>
  <c r="X18" i="22"/>
  <c r="AH32" i="22"/>
  <c r="G9" i="22"/>
  <c r="AI30" i="22"/>
  <c r="Y8" i="22"/>
  <c r="AI36" i="22"/>
  <c r="Y10" i="22"/>
  <c r="W20" i="22"/>
  <c r="Y32" i="22"/>
  <c r="Y16" i="22"/>
  <c r="W38" i="22"/>
  <c r="AH20" i="22"/>
  <c r="W9" i="22"/>
  <c r="X36" i="22"/>
  <c r="AH21" i="22"/>
  <c r="X9" i="22"/>
  <c r="X6" i="22"/>
  <c r="N31" i="22"/>
  <c r="AJ9" i="22"/>
  <c r="G5" i="22"/>
  <c r="G35" i="22"/>
  <c r="Y24" i="22"/>
  <c r="AH30" i="22"/>
  <c r="AI35" i="22"/>
  <c r="AB35" i="22"/>
  <c r="N35" i="22"/>
  <c r="Z9" i="22"/>
  <c r="AA32" i="22"/>
  <c r="W27" i="22"/>
  <c r="AA36" i="22"/>
  <c r="AA30" i="22"/>
  <c r="W24" i="22"/>
  <c r="AJ30" i="22"/>
  <c r="X20" i="22"/>
  <c r="AJ10" i="22"/>
  <c r="AJ35" i="22"/>
  <c r="Y9" i="22"/>
  <c r="AJ38" i="22"/>
  <c r="G16" i="22"/>
  <c r="G27" i="22"/>
  <c r="AA35" i="22"/>
  <c r="AB25" i="22"/>
  <c r="Y36" i="22"/>
  <c r="AB30" i="22"/>
  <c r="Y25" i="22"/>
  <c r="Y35" i="22"/>
  <c r="AB18" i="22"/>
  <c r="AB33" i="22"/>
  <c r="G6" i="22"/>
  <c r="W22" i="22"/>
  <c r="AB19" i="22"/>
  <c r="W19" i="22"/>
  <c r="G14" i="22"/>
  <c r="AH37" i="22"/>
  <c r="AB38" i="22"/>
  <c r="AH35" i="22"/>
  <c r="W32" i="22"/>
  <c r="Z12" i="22"/>
  <c r="V33" i="22"/>
  <c r="O29" i="22"/>
  <c r="W14" i="22"/>
  <c r="G29" i="22"/>
  <c r="AB37" i="22"/>
  <c r="X33" i="22"/>
  <c r="AI32" i="22"/>
  <c r="W8" i="22"/>
  <c r="W21" i="22"/>
  <c r="X15" i="22"/>
  <c r="Y12" i="22"/>
  <c r="L33" i="22"/>
  <c r="O31" i="22"/>
  <c r="L37" i="22"/>
  <c r="X23" i="22"/>
  <c r="AI34" i="22"/>
  <c r="W17" i="22"/>
  <c r="Y18" i="22"/>
  <c r="L38" i="22"/>
  <c r="Z7" i="22"/>
  <c r="AI28" i="22"/>
  <c r="G26" i="22"/>
  <c r="AJ6" i="22"/>
  <c r="X13" i="22"/>
  <c r="V29" i="22"/>
  <c r="WT21" i="2" l="1"/>
  <c r="WT20" i="2"/>
  <c r="WT13" i="2"/>
  <c r="WT22" i="2"/>
  <c r="WT26" i="2"/>
  <c r="WT12" i="2"/>
  <c r="WT25" i="2"/>
  <c r="WT23" i="2"/>
  <c r="WT10" i="2"/>
  <c r="WT30" i="2"/>
  <c r="WT6" i="2"/>
  <c r="WT34" i="2"/>
  <c r="VY20" i="2"/>
  <c r="VY30" i="2"/>
  <c r="VY12" i="2"/>
  <c r="VY6" i="2"/>
  <c r="VY23" i="2"/>
  <c r="VY22" i="2"/>
  <c r="VY25" i="2"/>
  <c r="VY10" i="2"/>
  <c r="VY13" i="2"/>
  <c r="VY34" i="2"/>
  <c r="AA98" i="15"/>
  <c r="AB98" i="15" s="1"/>
  <c r="W74" i="15"/>
  <c r="X74" i="15" s="1"/>
  <c r="Y74" i="15" s="1"/>
  <c r="Z74" i="15" s="1"/>
  <c r="AA74" i="15" s="1"/>
  <c r="AB74" i="15" s="1"/>
  <c r="AA73" i="15"/>
  <c r="AB73" i="15" s="1"/>
  <c r="Y72" i="15"/>
  <c r="Z72" i="15" s="1"/>
  <c r="AA72" i="15" s="1"/>
  <c r="AB72" i="15" s="1"/>
  <c r="X71" i="15"/>
  <c r="Y71" i="15" s="1"/>
  <c r="Y70" i="15"/>
  <c r="Z70" i="15" s="1"/>
  <c r="AA70" i="15" s="1"/>
  <c r="AB70" i="15" s="1"/>
  <c r="Z69" i="15"/>
  <c r="AA69" i="15" s="1"/>
  <c r="AB69" i="15" s="1"/>
  <c r="AB67" i="15"/>
  <c r="V63" i="15"/>
  <c r="W63" i="15" s="1"/>
  <c r="X63" i="15" s="1"/>
  <c r="Y63" i="15" s="1"/>
  <c r="Z63" i="15" s="1"/>
  <c r="AB62" i="15"/>
  <c r="Y61" i="15"/>
  <c r="Z61" i="15" s="1"/>
  <c r="AA61" i="15" s="1"/>
  <c r="AB61" i="15" s="1"/>
  <c r="Y59" i="15"/>
  <c r="Z59" i="15" s="1"/>
  <c r="AA59" i="15" s="1"/>
  <c r="X57" i="15"/>
  <c r="Y57" i="15" s="1"/>
  <c r="AA75" i="15"/>
  <c r="AB75" i="15" s="1"/>
  <c r="Y56" i="15"/>
  <c r="Z56" i="15" s="1"/>
  <c r="AA56" i="15" s="1"/>
  <c r="AB56" i="15" s="1"/>
  <c r="VD26" i="2"/>
  <c r="VD23" i="2"/>
  <c r="VD6" i="2"/>
  <c r="VD25" i="2"/>
  <c r="VD22" i="2"/>
  <c r="VD30" i="2"/>
  <c r="VD21" i="2"/>
  <c r="VD13" i="2"/>
  <c r="VD10" i="2"/>
  <c r="VD12" i="2"/>
  <c r="VD20" i="2"/>
  <c r="VD34" i="2"/>
  <c r="Y105" i="15"/>
  <c r="X103" i="15"/>
  <c r="Y103" i="15" s="1"/>
  <c r="Z103" i="15" s="1"/>
  <c r="V104" i="15"/>
  <c r="W104" i="15" s="1"/>
  <c r="X104" i="15" s="1"/>
  <c r="Y102" i="15"/>
  <c r="Z102" i="15" s="1"/>
  <c r="AA102" i="15" s="1"/>
  <c r="AB102" i="15" s="1"/>
  <c r="Y101" i="15"/>
  <c r="Z101" i="15" s="1"/>
  <c r="AA101" i="15" s="1"/>
  <c r="AB101" i="15" s="1"/>
  <c r="W97" i="15"/>
  <c r="X97" i="15" s="1"/>
  <c r="W95" i="15"/>
  <c r="V96" i="15"/>
  <c r="V94" i="15"/>
  <c r="W93" i="15"/>
  <c r="X93" i="15" s="1"/>
  <c r="U92" i="15"/>
  <c r="V91" i="15"/>
  <c r="W91" i="15" s="1"/>
  <c r="Z90" i="15"/>
  <c r="AA90" i="15" s="1"/>
  <c r="W88" i="15"/>
  <c r="V84" i="15"/>
  <c r="W84" i="15" s="1"/>
  <c r="X84" i="15" s="1"/>
  <c r="Y84" i="15" s="1"/>
  <c r="Y83" i="15"/>
  <c r="Y82" i="15"/>
  <c r="Z82" i="15" s="1"/>
  <c r="W81" i="15"/>
  <c r="X81" i="15" s="1"/>
  <c r="Y81" i="15" s="1"/>
  <c r="Z81" i="15" s="1"/>
  <c r="V79" i="15"/>
  <c r="AA78" i="15"/>
  <c r="W76" i="15"/>
  <c r="X76" i="15" s="1"/>
  <c r="Y76" i="15" s="1"/>
  <c r="Y100" i="15"/>
  <c r="Z100" i="15" s="1"/>
  <c r="AA100" i="15" s="1"/>
  <c r="W99" i="15"/>
  <c r="W116" i="15"/>
  <c r="AB89" i="15"/>
  <c r="W87" i="15"/>
  <c r="V85" i="15"/>
  <c r="W85" i="15" s="1"/>
  <c r="X80" i="15"/>
  <c r="AB77" i="15"/>
  <c r="V137" i="15"/>
  <c r="W137" i="15" s="1"/>
  <c r="X129" i="15"/>
  <c r="X132" i="15"/>
  <c r="Z133" i="15"/>
  <c r="AA133" i="15" s="1"/>
  <c r="Z130" i="15"/>
  <c r="AA130" i="15" s="1"/>
  <c r="AB130" i="15" s="1"/>
  <c r="X128" i="15"/>
  <c r="Y128" i="15" s="1"/>
  <c r="Z128" i="15" s="1"/>
  <c r="X127" i="15"/>
  <c r="V125" i="15"/>
  <c r="W125" i="15" s="1"/>
  <c r="V126" i="15"/>
  <c r="W126" i="15" s="1"/>
  <c r="X126" i="15" s="1"/>
  <c r="U124" i="15"/>
  <c r="Y122" i="15"/>
  <c r="Z122" i="15" s="1"/>
  <c r="V123" i="15"/>
  <c r="AA121" i="15"/>
  <c r="AB121" i="15" s="1"/>
  <c r="Y120" i="15"/>
  <c r="Z120" i="15" s="1"/>
  <c r="AA120" i="15" s="1"/>
  <c r="AB120" i="15" s="1"/>
  <c r="U119" i="15"/>
  <c r="V117" i="15"/>
  <c r="W117" i="15" s="1"/>
  <c r="U113" i="15"/>
  <c r="V113" i="15" s="1"/>
  <c r="X114" i="15"/>
  <c r="U112" i="15"/>
  <c r="V112" i="15" s="1"/>
  <c r="V111" i="15"/>
  <c r="W111" i="15" s="1"/>
  <c r="W110" i="15"/>
  <c r="X110" i="15" s="1"/>
  <c r="Y109" i="15"/>
  <c r="Y118" i="15"/>
  <c r="Z118" i="15" s="1"/>
  <c r="AA118" i="15" s="1"/>
  <c r="X159" i="15"/>
  <c r="Y159" i="15" s="1"/>
  <c r="U115" i="15"/>
  <c r="V108" i="15"/>
  <c r="W108" i="15" s="1"/>
  <c r="X108" i="15" s="1"/>
  <c r="T107" i="15"/>
  <c r="U107" i="15" s="1"/>
  <c r="V106" i="15"/>
  <c r="UI6" i="2"/>
  <c r="UI13" i="2"/>
  <c r="UI20" i="2"/>
  <c r="TN26" i="2"/>
  <c r="TN22" i="2"/>
  <c r="TN23" i="2"/>
  <c r="TN34" i="2"/>
  <c r="TN25" i="2"/>
  <c r="TN30" i="2"/>
  <c r="TN12" i="2"/>
  <c r="TN20" i="2"/>
  <c r="TN6" i="2"/>
  <c r="TN13" i="2"/>
  <c r="TN21" i="2"/>
  <c r="SS23" i="2"/>
  <c r="SS34" i="2"/>
  <c r="SS26" i="2"/>
  <c r="SS6" i="2"/>
  <c r="SS21" i="2"/>
  <c r="SS22" i="2"/>
  <c r="RX6" i="2"/>
  <c r="RC6" i="2"/>
  <c r="RC21" i="2"/>
  <c r="RC26" i="2"/>
  <c r="RC22" i="2"/>
  <c r="RC23" i="2"/>
  <c r="RC34" i="2"/>
  <c r="QH22" i="2"/>
  <c r="QH26" i="2"/>
  <c r="QH6" i="2"/>
  <c r="QH21" i="2"/>
  <c r="QH23" i="2"/>
  <c r="QH34" i="2"/>
  <c r="PM23" i="2"/>
  <c r="PM21" i="2"/>
  <c r="PM22" i="2"/>
  <c r="PM26" i="2"/>
  <c r="NW21" i="2"/>
  <c r="NW34" i="2"/>
  <c r="OR34" i="2"/>
  <c r="OR6" i="2"/>
  <c r="OR21" i="2"/>
  <c r="OR22" i="2"/>
  <c r="OR23" i="2"/>
  <c r="OR26" i="2"/>
  <c r="NB22" i="2"/>
  <c r="NB26" i="2"/>
  <c r="NB23" i="2"/>
  <c r="NB34" i="2"/>
  <c r="NB6" i="2"/>
  <c r="NB21" i="2"/>
  <c r="MG23" i="2"/>
  <c r="MG34" i="2"/>
  <c r="MG26" i="2"/>
  <c r="MG6" i="2"/>
  <c r="MG21" i="2"/>
  <c r="MG22" i="2"/>
  <c r="LL34" i="2"/>
  <c r="LL26" i="2"/>
  <c r="LL6" i="2"/>
  <c r="LL22" i="2"/>
  <c r="LL23" i="2"/>
  <c r="KQ21" i="2"/>
  <c r="JV21" i="2"/>
  <c r="JV22" i="2"/>
  <c r="JV6" i="2"/>
  <c r="JV26" i="2"/>
  <c r="JV23" i="2"/>
  <c r="JV34" i="2"/>
  <c r="JA22" i="2"/>
  <c r="JA21" i="2"/>
  <c r="IF23" i="2"/>
  <c r="IF6" i="2"/>
  <c r="IF21" i="2"/>
  <c r="IF22" i="2"/>
  <c r="HK6" i="2"/>
  <c r="HK22" i="2"/>
  <c r="GP22" i="2"/>
  <c r="GP23" i="2"/>
  <c r="GP24" i="2"/>
  <c r="GP21" i="2"/>
  <c r="FU23" i="2"/>
  <c r="FU24" i="2"/>
  <c r="FU6" i="2"/>
  <c r="FU21" i="2"/>
  <c r="FU22" i="2"/>
  <c r="EZ24" i="2"/>
  <c r="EZ6" i="2"/>
  <c r="EZ21" i="2"/>
  <c r="EZ22" i="2"/>
  <c r="EZ23" i="2"/>
  <c r="EE22" i="2"/>
  <c r="EE24" i="2"/>
  <c r="EE6" i="2"/>
  <c r="EE21" i="2"/>
  <c r="EE23" i="2"/>
  <c r="DJ23" i="2"/>
  <c r="DJ24" i="2"/>
  <c r="DJ22" i="2"/>
  <c r="DJ21" i="2"/>
  <c r="CO24" i="2"/>
  <c r="BT6" i="2"/>
  <c r="BT22" i="2"/>
  <c r="AY6" i="2"/>
  <c r="AY21" i="2"/>
  <c r="AY22" i="2"/>
  <c r="AY23" i="2"/>
  <c r="AY24" i="2"/>
  <c r="V3" i="15"/>
  <c r="W3" i="15" s="1"/>
  <c r="U596" i="14"/>
  <c r="V596" i="14" s="1"/>
  <c r="U595" i="14"/>
  <c r="V595" i="14" s="1"/>
  <c r="V353" i="14"/>
  <c r="AD23" i="2"/>
  <c r="AE23" i="2" s="1"/>
  <c r="AD22" i="2"/>
  <c r="AE22" i="2" s="1"/>
  <c r="AD6" i="2"/>
  <c r="AE6" i="2" s="1"/>
  <c r="AD21" i="2"/>
  <c r="AE21" i="2" s="1"/>
  <c r="U760" i="11"/>
  <c r="V760" i="11" s="1"/>
  <c r="W760" i="11" s="1"/>
  <c r="X7" i="22"/>
  <c r="AB34" i="22"/>
  <c r="AB31" i="22"/>
  <c r="Z6" i="22"/>
  <c r="AH29" i="22"/>
  <c r="W34" i="22"/>
  <c r="Y17" i="22"/>
  <c r="AB26" i="22"/>
  <c r="Z13" i="22"/>
  <c r="N36" i="22"/>
  <c r="G34" i="22"/>
  <c r="G8" i="22"/>
  <c r="W7" i="22"/>
  <c r="Y13" i="22"/>
  <c r="AI29" i="22"/>
  <c r="Y21" i="22"/>
  <c r="L29" i="22"/>
  <c r="W33" i="22"/>
  <c r="G21" i="22"/>
  <c r="G37" i="22"/>
  <c r="AA34" i="22"/>
  <c r="AB17" i="22"/>
  <c r="Y26" i="22"/>
  <c r="W6" i="22"/>
  <c r="AJ29" i="22"/>
  <c r="W13" i="22"/>
  <c r="O33" i="22"/>
  <c r="W18" i="22"/>
  <c r="Y34" i="22"/>
  <c r="AI33" i="22"/>
  <c r="AB29" i="22"/>
  <c r="W29" i="22"/>
  <c r="N29" i="22"/>
  <c r="G7" i="22"/>
  <c r="AH34" i="22"/>
  <c r="G12" i="22"/>
  <c r="AJ37" i="22"/>
  <c r="Y7" i="22"/>
  <c r="G15" i="22"/>
  <c r="X21" i="22"/>
  <c r="X29" i="22"/>
  <c r="AJ13" i="22"/>
  <c r="L39" i="22"/>
  <c r="AH23" i="22"/>
  <c r="AH17" i="22"/>
  <c r="V38" i="22"/>
  <c r="Y15" i="22"/>
  <c r="X34" i="22"/>
  <c r="G23" i="22"/>
  <c r="Y6" i="22"/>
  <c r="L28" i="22"/>
  <c r="AH26" i="22"/>
  <c r="W26" i="22"/>
  <c r="AA29" i="22"/>
  <c r="X26" i="22"/>
  <c r="N34" i="22"/>
  <c r="W31" i="22"/>
  <c r="Y37" i="22"/>
  <c r="Y29" i="22"/>
  <c r="AJ34" i="22"/>
  <c r="V34" i="22"/>
  <c r="AB21" i="22"/>
  <c r="G17" i="22"/>
  <c r="X17" i="22"/>
  <c r="G40" i="22"/>
  <c r="W40" i="22"/>
  <c r="Y40" i="22"/>
  <c r="X40" i="22"/>
  <c r="KQ22" i="2" l="1"/>
  <c r="KQ6" i="2"/>
  <c r="NW26" i="2"/>
  <c r="UI23" i="2"/>
  <c r="VY21" i="2"/>
  <c r="RX22" i="2"/>
  <c r="UI25" i="2"/>
  <c r="RX21" i="2"/>
  <c r="RX34" i="2"/>
  <c r="TN10" i="2"/>
  <c r="BT23" i="2"/>
  <c r="PM6" i="2"/>
  <c r="JA23" i="2"/>
  <c r="KQ34" i="2"/>
  <c r="PM34" i="2"/>
  <c r="UI22" i="2"/>
  <c r="NW22" i="2"/>
  <c r="JA6" i="2"/>
  <c r="CO23" i="2"/>
  <c r="GP6" i="2"/>
  <c r="CO6" i="2"/>
  <c r="UI12" i="2"/>
  <c r="UI21" i="2"/>
  <c r="UI26" i="2"/>
  <c r="LL21" i="2"/>
  <c r="HK21" i="2"/>
  <c r="BT21" i="2"/>
  <c r="RX23" i="2"/>
  <c r="KQ26" i="2"/>
  <c r="NW6" i="2"/>
  <c r="UI10" i="2"/>
  <c r="NW23" i="2"/>
  <c r="UI30" i="2"/>
  <c r="HK23" i="2"/>
  <c r="CO21" i="2"/>
  <c r="DJ6" i="2"/>
  <c r="RX26" i="2"/>
  <c r="KQ23" i="2"/>
  <c r="UI34" i="2"/>
  <c r="BT24" i="2"/>
  <c r="VY26" i="2"/>
  <c r="CO22" i="2"/>
  <c r="Z71" i="15"/>
  <c r="AA71" i="15" s="1"/>
  <c r="AB71" i="15" s="1"/>
  <c r="AA63" i="15"/>
  <c r="AB63" i="15" s="1"/>
  <c r="AB59" i="15"/>
  <c r="Z57" i="15"/>
  <c r="AA57" i="15" s="1"/>
  <c r="Z105" i="15"/>
  <c r="AA105" i="15" s="1"/>
  <c r="AB105" i="15" s="1"/>
  <c r="AA103" i="15"/>
  <c r="AB103" i="15" s="1"/>
  <c r="Y104" i="15"/>
  <c r="Z104" i="15" s="1"/>
  <c r="AA104" i="15" s="1"/>
  <c r="AB104" i="15" s="1"/>
  <c r="Y97" i="15"/>
  <c r="Z97" i="15" s="1"/>
  <c r="X95" i="15"/>
  <c r="Y95" i="15" s="1"/>
  <c r="W96" i="15"/>
  <c r="X96" i="15" s="1"/>
  <c r="W94" i="15"/>
  <c r="X94" i="15" s="1"/>
  <c r="Y94" i="15" s="1"/>
  <c r="Y93" i="15"/>
  <c r="Z93" i="15" s="1"/>
  <c r="AA93" i="15" s="1"/>
  <c r="AB93" i="15" s="1"/>
  <c r="V92" i="15"/>
  <c r="W92" i="15" s="1"/>
  <c r="X91" i="15"/>
  <c r="AB90" i="15"/>
  <c r="X88" i="15"/>
  <c r="Y88" i="15" s="1"/>
  <c r="Z84" i="15"/>
  <c r="AA84" i="15" s="1"/>
  <c r="AB84" i="15" s="1"/>
  <c r="Z83" i="15"/>
  <c r="AA83" i="15" s="1"/>
  <c r="AB83" i="15" s="1"/>
  <c r="AA82" i="15"/>
  <c r="AB82" i="15" s="1"/>
  <c r="AA81" i="15"/>
  <c r="AB81" i="15" s="1"/>
  <c r="W79" i="15"/>
  <c r="X79" i="15" s="1"/>
  <c r="AB78" i="15"/>
  <c r="Z76" i="15"/>
  <c r="AB100" i="15"/>
  <c r="X99" i="15"/>
  <c r="Y99" i="15" s="1"/>
  <c r="Z99" i="15" s="1"/>
  <c r="AA99" i="15" s="1"/>
  <c r="AB99" i="15" s="1"/>
  <c r="X116" i="15"/>
  <c r="Y116" i="15" s="1"/>
  <c r="X87" i="15"/>
  <c r="Y87" i="15" s="1"/>
  <c r="X85" i="15"/>
  <c r="Y85" i="15" s="1"/>
  <c r="Z85" i="15" s="1"/>
  <c r="Y80" i="15"/>
  <c r="Z80" i="15" s="1"/>
  <c r="AA80" i="15" s="1"/>
  <c r="AB80" i="15" s="1"/>
  <c r="V124" i="15"/>
  <c r="W124" i="15" s="1"/>
  <c r="X124" i="15" s="1"/>
  <c r="X137" i="15"/>
  <c r="Y137" i="15" s="1"/>
  <c r="Z137" i="15" s="1"/>
  <c r="Y129" i="15"/>
  <c r="AB133" i="15"/>
  <c r="Y132" i="15"/>
  <c r="Z132" i="15" s="1"/>
  <c r="AA132" i="15" s="1"/>
  <c r="AA128" i="15"/>
  <c r="AB128" i="15" s="1"/>
  <c r="Y127" i="15"/>
  <c r="Z127" i="15" s="1"/>
  <c r="Y126" i="15"/>
  <c r="Z126" i="15" s="1"/>
  <c r="X125" i="15"/>
  <c r="Y125" i="15" s="1"/>
  <c r="W123" i="15"/>
  <c r="AA122" i="15"/>
  <c r="AB122" i="15" s="1"/>
  <c r="V119" i="15"/>
  <c r="W119" i="15" s="1"/>
  <c r="X119" i="15" s="1"/>
  <c r="X117" i="15"/>
  <c r="Y117" i="15" s="1"/>
  <c r="Z117" i="15" s="1"/>
  <c r="AA117" i="15" s="1"/>
  <c r="AB117" i="15" s="1"/>
  <c r="W113" i="15"/>
  <c r="X113" i="15" s="1"/>
  <c r="Y113" i="15" s="1"/>
  <c r="Z113" i="15" s="1"/>
  <c r="AA113" i="15" s="1"/>
  <c r="AB113" i="15" s="1"/>
  <c r="Y114" i="15"/>
  <c r="Z114" i="15" s="1"/>
  <c r="AA114" i="15" s="1"/>
  <c r="AB114" i="15" s="1"/>
  <c r="W112" i="15"/>
  <c r="X111" i="15"/>
  <c r="Y111" i="15" s="1"/>
  <c r="Z111" i="15" s="1"/>
  <c r="Z109" i="15"/>
  <c r="AA109" i="15" s="1"/>
  <c r="AB109" i="15" s="1"/>
  <c r="Y110" i="15"/>
  <c r="Z110" i="15" s="1"/>
  <c r="AA110" i="15" s="1"/>
  <c r="AB110" i="15" s="1"/>
  <c r="AB118" i="15"/>
  <c r="Z159" i="15"/>
  <c r="AA159" i="15" s="1"/>
  <c r="AB159" i="15" s="1"/>
  <c r="V115" i="15"/>
  <c r="W115" i="15" s="1"/>
  <c r="Y108" i="15"/>
  <c r="Z108" i="15" s="1"/>
  <c r="AA108" i="15" s="1"/>
  <c r="AB108" i="15" s="1"/>
  <c r="V107" i="15"/>
  <c r="W106" i="15"/>
  <c r="X106" i="15" s="1"/>
  <c r="HK24" i="2"/>
  <c r="AJ21" i="2"/>
  <c r="AM21" i="2"/>
  <c r="AH21" i="2"/>
  <c r="AH6" i="2"/>
  <c r="X3" i="15"/>
  <c r="Y3" i="15" s="1"/>
  <c r="Z3" i="15" s="1"/>
  <c r="AA3" i="15" s="1"/>
  <c r="W596" i="14"/>
  <c r="X596" i="14" s="1"/>
  <c r="W595" i="14"/>
  <c r="X595" i="14" s="1"/>
  <c r="W353" i="14"/>
  <c r="X353" i="14" s="1"/>
  <c r="X760" i="11"/>
  <c r="Y760" i="11" s="1"/>
  <c r="Z760" i="11" s="1"/>
  <c r="AA760" i="11" s="1"/>
  <c r="AJ14" i="22"/>
  <c r="N37" i="22"/>
  <c r="O35" i="22"/>
  <c r="O34" i="22"/>
  <c r="Z14" i="22"/>
  <c r="AB57" i="15" l="1"/>
  <c r="AA97" i="15"/>
  <c r="AB97" i="15" s="1"/>
  <c r="Z95" i="15"/>
  <c r="AA95" i="15" s="1"/>
  <c r="AB95" i="15" s="1"/>
  <c r="Y96" i="15"/>
  <c r="Z94" i="15"/>
  <c r="AA94" i="15" s="1"/>
  <c r="AB94" i="15" s="1"/>
  <c r="X92" i="15"/>
  <c r="Y92" i="15" s="1"/>
  <c r="Y91" i="15"/>
  <c r="Z91" i="15" s="1"/>
  <c r="AA91" i="15" s="1"/>
  <c r="AB91" i="15" s="1"/>
  <c r="Z88" i="15"/>
  <c r="AA88" i="15" s="1"/>
  <c r="AB88" i="15" s="1"/>
  <c r="Y79" i="15"/>
  <c r="Z79" i="15" s="1"/>
  <c r="AA79" i="15" s="1"/>
  <c r="AB79" i="15" s="1"/>
  <c r="AA76" i="15"/>
  <c r="AB76" i="15" s="1"/>
  <c r="Z116" i="15"/>
  <c r="AA116" i="15" s="1"/>
  <c r="AB116" i="15" s="1"/>
  <c r="Z87" i="15"/>
  <c r="AA87" i="15" s="1"/>
  <c r="AB87" i="15" s="1"/>
  <c r="AA85" i="15"/>
  <c r="AB85" i="15" s="1"/>
  <c r="X123" i="15"/>
  <c r="Z129" i="15"/>
  <c r="AA137" i="15"/>
  <c r="AB137" i="15" s="1"/>
  <c r="AB132" i="15"/>
  <c r="AA127" i="15"/>
  <c r="AB127" i="15" s="1"/>
  <c r="Z125" i="15"/>
  <c r="AA125" i="15" s="1"/>
  <c r="AB125" i="15" s="1"/>
  <c r="AA126" i="15"/>
  <c r="AB126" i="15" s="1"/>
  <c r="Y124" i="15"/>
  <c r="Z124" i="15" s="1"/>
  <c r="AA124" i="15" s="1"/>
  <c r="AB124" i="15" s="1"/>
  <c r="Y119" i="15"/>
  <c r="Z119" i="15" s="1"/>
  <c r="AA119" i="15" s="1"/>
  <c r="X112" i="15"/>
  <c r="Y112" i="15" s="1"/>
  <c r="AA111" i="15"/>
  <c r="AB111" i="15" s="1"/>
  <c r="X115" i="15"/>
  <c r="Y115" i="15" s="1"/>
  <c r="Z115" i="15" s="1"/>
  <c r="AA115" i="15" s="1"/>
  <c r="W107" i="15"/>
  <c r="X107" i="15" s="1"/>
  <c r="Y106" i="15"/>
  <c r="Z106" i="15" s="1"/>
  <c r="AA106" i="15" s="1"/>
  <c r="AB106" i="15" s="1"/>
  <c r="IF24" i="2"/>
  <c r="AB3" i="15"/>
  <c r="Y596" i="14"/>
  <c r="Z596" i="14" s="1"/>
  <c r="AA596" i="14" s="1"/>
  <c r="AB596" i="14" s="1"/>
  <c r="Y595" i="14"/>
  <c r="Z595" i="14" s="1"/>
  <c r="Y353" i="14"/>
  <c r="Z353" i="14" s="1"/>
  <c r="AA353" i="14" s="1"/>
  <c r="AB353" i="14" s="1"/>
  <c r="AB760" i="11"/>
  <c r="Z15" i="22"/>
  <c r="AJ15" i="22"/>
  <c r="O36" i="22"/>
  <c r="N38" i="22"/>
  <c r="Z96" i="15" l="1"/>
  <c r="AA96" i="15" s="1"/>
  <c r="AB96" i="15" s="1"/>
  <c r="Z92" i="15"/>
  <c r="AA92" i="15" s="1"/>
  <c r="Y123" i="15"/>
  <c r="AA129" i="15"/>
  <c r="AB119" i="15"/>
  <c r="Z112" i="15"/>
  <c r="AA112" i="15" s="1"/>
  <c r="AB112" i="15" s="1"/>
  <c r="AB115" i="15"/>
  <c r="Y107" i="15"/>
  <c r="Z107" i="15" s="1"/>
  <c r="AA107" i="15" s="1"/>
  <c r="AB107" i="15" s="1"/>
  <c r="JA24" i="2"/>
  <c r="AA595" i="14"/>
  <c r="AB595" i="14" s="1"/>
  <c r="AD24" i="2"/>
  <c r="AE24" i="2" s="1"/>
  <c r="I12" i="14"/>
  <c r="N39" i="22"/>
  <c r="O37" i="22"/>
  <c r="AB92" i="15" l="1"/>
  <c r="Z123" i="15"/>
  <c r="AA123" i="15" s="1"/>
  <c r="AB129" i="15"/>
  <c r="P12" i="14"/>
  <c r="Q12" i="14" s="1"/>
  <c r="R12" i="14" s="1"/>
  <c r="I2" i="11"/>
  <c r="I3" i="11"/>
  <c r="I4" i="11"/>
  <c r="I5" i="11"/>
  <c r="I6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2" i="11"/>
  <c r="I24" i="11"/>
  <c r="I25" i="11"/>
  <c r="I26" i="11"/>
  <c r="I28" i="11"/>
  <c r="I29" i="11"/>
  <c r="I30" i="11"/>
  <c r="I31" i="11"/>
  <c r="I32" i="11"/>
  <c r="I33" i="11"/>
  <c r="I34" i="11"/>
  <c r="I36" i="11"/>
  <c r="I37" i="11"/>
  <c r="I38" i="11"/>
  <c r="I39" i="11"/>
  <c r="I40" i="11"/>
  <c r="I41" i="11"/>
  <c r="I42" i="11"/>
  <c r="I757" i="11"/>
  <c r="I755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7" i="11"/>
  <c r="I67" i="11"/>
  <c r="I58" i="11"/>
  <c r="I60" i="11"/>
  <c r="I61" i="11"/>
  <c r="I62" i="11"/>
  <c r="I66" i="11"/>
  <c r="I63" i="11"/>
  <c r="I64" i="11"/>
  <c r="I65" i="11"/>
  <c r="I68" i="11"/>
  <c r="I69" i="11"/>
  <c r="I70" i="11"/>
  <c r="I71" i="11"/>
  <c r="I73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9" i="11"/>
  <c r="I90" i="11"/>
  <c r="I91" i="11"/>
  <c r="I92" i="11"/>
  <c r="I93" i="11"/>
  <c r="I94" i="11"/>
  <c r="I96" i="11"/>
  <c r="I97" i="11"/>
  <c r="I98" i="11"/>
  <c r="I99" i="11"/>
  <c r="I100" i="11"/>
  <c r="I101" i="11"/>
  <c r="I102" i="11"/>
  <c r="I103" i="11"/>
  <c r="I104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3" i="11"/>
  <c r="I146" i="11"/>
  <c r="I147" i="11"/>
  <c r="I148" i="11"/>
  <c r="I149" i="11"/>
  <c r="I150" i="11"/>
  <c r="I151" i="11"/>
  <c r="I152" i="11"/>
  <c r="I153" i="11"/>
  <c r="I154" i="11"/>
  <c r="I155" i="11"/>
  <c r="I156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4" i="11"/>
  <c r="I175" i="11"/>
  <c r="I176" i="11"/>
  <c r="I177" i="11"/>
  <c r="I178" i="11"/>
  <c r="I179" i="11"/>
  <c r="I180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6" i="11"/>
  <c r="I197" i="11"/>
  <c r="I199" i="11"/>
  <c r="I200" i="11"/>
  <c r="I201" i="11"/>
  <c r="I202" i="11"/>
  <c r="I204" i="11"/>
  <c r="I205" i="11"/>
  <c r="I206" i="11"/>
  <c r="I207" i="11"/>
  <c r="I208" i="11"/>
  <c r="I209" i="11"/>
  <c r="I210" i="11"/>
  <c r="I211" i="11"/>
  <c r="I215" i="11"/>
  <c r="I212" i="11"/>
  <c r="I213" i="11"/>
  <c r="I214" i="11"/>
  <c r="I216" i="11"/>
  <c r="I217" i="11"/>
  <c r="I218" i="11"/>
  <c r="I219" i="11"/>
  <c r="I220" i="11"/>
  <c r="I221" i="11"/>
  <c r="I222" i="11"/>
  <c r="I223" i="11"/>
  <c r="I225" i="11"/>
  <c r="I226" i="11"/>
  <c r="I228" i="11"/>
  <c r="I229" i="11"/>
  <c r="I230" i="11"/>
  <c r="I231" i="11"/>
  <c r="I232" i="11"/>
  <c r="I234" i="11"/>
  <c r="I235" i="11"/>
  <c r="I236" i="11"/>
  <c r="I237" i="11"/>
  <c r="I238" i="11"/>
  <c r="I239" i="11"/>
  <c r="I240" i="11"/>
  <c r="I241" i="11"/>
  <c r="I242" i="11"/>
  <c r="I244" i="11"/>
  <c r="I245" i="11"/>
  <c r="I246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71" i="11"/>
  <c r="I267" i="11"/>
  <c r="I270" i="11"/>
  <c r="I268" i="11"/>
  <c r="I269" i="11"/>
  <c r="I273" i="11"/>
  <c r="I274" i="11"/>
  <c r="I275" i="11"/>
  <c r="I276" i="11"/>
  <c r="I441" i="11"/>
  <c r="I279" i="11"/>
  <c r="I280" i="11"/>
  <c r="I281" i="11"/>
  <c r="I282" i="11"/>
  <c r="I283" i="11"/>
  <c r="I284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7" i="11"/>
  <c r="I308" i="11"/>
  <c r="I309" i="11"/>
  <c r="I310" i="11"/>
  <c r="I312" i="11"/>
  <c r="I313" i="11"/>
  <c r="I314" i="11"/>
  <c r="I316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5" i="11"/>
  <c r="I336" i="11"/>
  <c r="I337" i="11"/>
  <c r="I338" i="11"/>
  <c r="I339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1" i="11"/>
  <c r="I362" i="11"/>
  <c r="I363" i="11"/>
  <c r="I364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80" i="11"/>
  <c r="I381" i="11"/>
  <c r="I382" i="11"/>
  <c r="I383" i="11"/>
  <c r="I387" i="11"/>
  <c r="I388" i="11"/>
  <c r="I384" i="11"/>
  <c r="I385" i="11"/>
  <c r="I386" i="11"/>
  <c r="I389" i="11"/>
  <c r="I390" i="11"/>
  <c r="I391" i="11"/>
  <c r="I392" i="11"/>
  <c r="I393" i="11"/>
  <c r="I394" i="11"/>
  <c r="I396" i="11"/>
  <c r="I397" i="11"/>
  <c r="I398" i="11"/>
  <c r="I399" i="11"/>
  <c r="I400" i="11"/>
  <c r="I401" i="11"/>
  <c r="I402" i="11"/>
  <c r="I403" i="11"/>
  <c r="I404" i="11"/>
  <c r="I405" i="11"/>
  <c r="I406" i="11"/>
  <c r="I408" i="11"/>
  <c r="I409" i="11"/>
  <c r="I410" i="11"/>
  <c r="I411" i="11"/>
  <c r="I412" i="11"/>
  <c r="I413" i="11"/>
  <c r="I415" i="11"/>
  <c r="I417" i="11"/>
  <c r="I418" i="11"/>
  <c r="I419" i="11"/>
  <c r="I421" i="11"/>
  <c r="I422" i="11"/>
  <c r="I423" i="11"/>
  <c r="I424" i="11"/>
  <c r="I425" i="11"/>
  <c r="I426" i="11"/>
  <c r="I428" i="11"/>
  <c r="I429" i="11"/>
  <c r="I431" i="11"/>
  <c r="I432" i="11"/>
  <c r="I442" i="11"/>
  <c r="I433" i="11"/>
  <c r="I434" i="11"/>
  <c r="I435" i="11"/>
  <c r="I443" i="11"/>
  <c r="I436" i="11"/>
  <c r="I437" i="11"/>
  <c r="I438" i="11"/>
  <c r="I439" i="11"/>
  <c r="I440" i="11"/>
  <c r="I444" i="11"/>
  <c r="I445" i="11"/>
  <c r="I446" i="11"/>
  <c r="I447" i="11"/>
  <c r="I448" i="11"/>
  <c r="I449" i="11"/>
  <c r="I450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9" i="11"/>
  <c r="I490" i="11"/>
  <c r="I491" i="11"/>
  <c r="I493" i="11"/>
  <c r="I494" i="11"/>
  <c r="I495" i="11"/>
  <c r="I496" i="11"/>
  <c r="I497" i="11"/>
  <c r="I498" i="11"/>
  <c r="I499" i="11"/>
  <c r="I501" i="11"/>
  <c r="I502" i="11"/>
  <c r="I503" i="11"/>
  <c r="I504" i="11"/>
  <c r="I505" i="11"/>
  <c r="I506" i="11"/>
  <c r="I510" i="11"/>
  <c r="I507" i="11"/>
  <c r="I511" i="11"/>
  <c r="I508" i="11"/>
  <c r="I509" i="11"/>
  <c r="I513" i="11"/>
  <c r="I514" i="11"/>
  <c r="I515" i="11"/>
  <c r="I516" i="11"/>
  <c r="I517" i="11"/>
  <c r="I518" i="11"/>
  <c r="I519" i="11"/>
  <c r="I520" i="11"/>
  <c r="I522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2" i="11"/>
  <c r="I543" i="11"/>
  <c r="I544" i="11"/>
  <c r="I545" i="11"/>
  <c r="I546" i="11"/>
  <c r="I548" i="11"/>
  <c r="I550" i="11"/>
  <c r="I551" i="11"/>
  <c r="I552" i="11"/>
  <c r="I553" i="11"/>
  <c r="I554" i="11"/>
  <c r="I555" i="11"/>
  <c r="I556" i="11"/>
  <c r="I557" i="11"/>
  <c r="I558" i="11"/>
  <c r="I560" i="11"/>
  <c r="I561" i="11"/>
  <c r="I562" i="11"/>
  <c r="I563" i="11"/>
  <c r="I564" i="11"/>
  <c r="I565" i="11"/>
  <c r="I566" i="11"/>
  <c r="I567" i="11"/>
  <c r="I568" i="11"/>
  <c r="I576" i="11"/>
  <c r="I569" i="11"/>
  <c r="I570" i="11"/>
  <c r="I571" i="11"/>
  <c r="I572" i="11"/>
  <c r="I577" i="11"/>
  <c r="I575" i="11"/>
  <c r="I578" i="11"/>
  <c r="I579" i="11"/>
  <c r="I580" i="11"/>
  <c r="I581" i="11"/>
  <c r="I583" i="11"/>
  <c r="I585" i="11"/>
  <c r="I586" i="11"/>
  <c r="I587" i="11"/>
  <c r="I589" i="11"/>
  <c r="I590" i="11"/>
  <c r="I591" i="11"/>
  <c r="I592" i="11"/>
  <c r="I593" i="11"/>
  <c r="I594" i="11"/>
  <c r="I595" i="11"/>
  <c r="I596" i="11"/>
  <c r="I598" i="11"/>
  <c r="I601" i="11"/>
  <c r="I602" i="11"/>
  <c r="I603" i="11"/>
  <c r="I604" i="11"/>
  <c r="I605" i="11"/>
  <c r="I606" i="11"/>
  <c r="I607" i="11"/>
  <c r="I608" i="11"/>
  <c r="I609" i="11"/>
  <c r="I611" i="11"/>
  <c r="I612" i="11"/>
  <c r="I613" i="11"/>
  <c r="I615" i="11"/>
  <c r="I616" i="11"/>
  <c r="I617" i="11"/>
  <c r="I618" i="11"/>
  <c r="I619" i="11"/>
  <c r="I620" i="11"/>
  <c r="I621" i="11"/>
  <c r="I622" i="11"/>
  <c r="I623" i="11"/>
  <c r="I624" i="11"/>
  <c r="I626" i="11"/>
  <c r="I627" i="11"/>
  <c r="I628" i="11"/>
  <c r="I629" i="11"/>
  <c r="I630" i="11"/>
  <c r="I631" i="11"/>
  <c r="I632" i="11"/>
  <c r="I633" i="11"/>
  <c r="I634" i="11"/>
  <c r="I635" i="11"/>
  <c r="I636" i="11"/>
  <c r="I638" i="11"/>
  <c r="I639" i="11"/>
  <c r="I641" i="11"/>
  <c r="I642" i="11"/>
  <c r="I643" i="11"/>
  <c r="I644" i="11"/>
  <c r="I645" i="11"/>
  <c r="I646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756" i="11"/>
  <c r="I693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8" i="11"/>
  <c r="I749" i="11"/>
  <c r="I750" i="11"/>
  <c r="I751" i="11"/>
  <c r="I752" i="11"/>
  <c r="I753" i="11"/>
  <c r="I754" i="11"/>
  <c r="I758" i="11"/>
  <c r="I759" i="11"/>
  <c r="I2" i="14"/>
  <c r="I3" i="14"/>
  <c r="I4" i="14"/>
  <c r="I7" i="14"/>
  <c r="I9" i="14"/>
  <c r="I10" i="14"/>
  <c r="I13" i="14"/>
  <c r="I14" i="14"/>
  <c r="I15" i="14"/>
  <c r="I16" i="14"/>
  <c r="I18" i="14"/>
  <c r="I19" i="14"/>
  <c r="I20" i="14"/>
  <c r="I21" i="14"/>
  <c r="I22" i="14"/>
  <c r="I23" i="14"/>
  <c r="I24" i="14"/>
  <c r="I25" i="14"/>
  <c r="I26" i="14"/>
  <c r="I27" i="14"/>
  <c r="I29" i="14"/>
  <c r="I30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8" i="14"/>
  <c r="I49" i="14"/>
  <c r="I50" i="14"/>
  <c r="I589" i="14"/>
  <c r="I51" i="14"/>
  <c r="I55" i="14"/>
  <c r="I52" i="14"/>
  <c r="I53" i="14"/>
  <c r="I54" i="14"/>
  <c r="I56" i="14"/>
  <c r="I57" i="14"/>
  <c r="I58" i="14"/>
  <c r="I59" i="14"/>
  <c r="I60" i="14"/>
  <c r="I62" i="14"/>
  <c r="I63" i="14"/>
  <c r="I64" i="14"/>
  <c r="I65" i="14"/>
  <c r="I66" i="14"/>
  <c r="I67" i="14"/>
  <c r="I68" i="14"/>
  <c r="I70" i="14"/>
  <c r="I71" i="14"/>
  <c r="I72" i="14"/>
  <c r="I73" i="14"/>
  <c r="I74" i="14"/>
  <c r="I76" i="14"/>
  <c r="I77" i="14"/>
  <c r="I78" i="14"/>
  <c r="I79" i="14"/>
  <c r="I81" i="14"/>
  <c r="I82" i="14"/>
  <c r="I83" i="14"/>
  <c r="I84" i="14"/>
  <c r="I85" i="14"/>
  <c r="I86" i="14"/>
  <c r="I87" i="14"/>
  <c r="I88" i="14"/>
  <c r="I89" i="14"/>
  <c r="I91" i="14"/>
  <c r="I92" i="14"/>
  <c r="I94" i="14"/>
  <c r="I95" i="14"/>
  <c r="I96" i="14"/>
  <c r="I97" i="14"/>
  <c r="I101" i="14"/>
  <c r="I98" i="14"/>
  <c r="I99" i="14"/>
  <c r="I100" i="14"/>
  <c r="I103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7" i="14"/>
  <c r="I148" i="14"/>
  <c r="I149" i="14"/>
  <c r="I150" i="14"/>
  <c r="I151" i="14"/>
  <c r="I152" i="14"/>
  <c r="I153" i="14"/>
  <c r="I155" i="14"/>
  <c r="I156" i="14"/>
  <c r="I157" i="14"/>
  <c r="I158" i="14"/>
  <c r="I159" i="14"/>
  <c r="I160" i="14"/>
  <c r="I161" i="14"/>
  <c r="I162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81" i="14"/>
  <c r="I179" i="14"/>
  <c r="I180" i="14"/>
  <c r="I182" i="14"/>
  <c r="I183" i="14"/>
  <c r="I184" i="14"/>
  <c r="I187" i="14"/>
  <c r="I188" i="14"/>
  <c r="I189" i="14"/>
  <c r="I190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9" i="14"/>
  <c r="I210" i="14"/>
  <c r="I211" i="14"/>
  <c r="I212" i="14"/>
  <c r="I213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8" i="14"/>
  <c r="I230" i="14"/>
  <c r="I231" i="14"/>
  <c r="I232" i="14"/>
  <c r="I234" i="14"/>
  <c r="I235" i="14"/>
  <c r="I236" i="14"/>
  <c r="I237" i="14"/>
  <c r="I239" i="14"/>
  <c r="I240" i="14"/>
  <c r="I241" i="14"/>
  <c r="I242" i="14"/>
  <c r="I245" i="14"/>
  <c r="I246" i="14"/>
  <c r="I249" i="14"/>
  <c r="I250" i="14"/>
  <c r="I251" i="14"/>
  <c r="I252" i="14"/>
  <c r="I253" i="14"/>
  <c r="I254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5" i="14"/>
  <c r="I277" i="14"/>
  <c r="I278" i="14"/>
  <c r="I279" i="14"/>
  <c r="I280" i="14"/>
  <c r="I281" i="14"/>
  <c r="I282" i="14"/>
  <c r="I283" i="14"/>
  <c r="I284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304" i="14"/>
  <c r="I299" i="14"/>
  <c r="I300" i="14"/>
  <c r="I301" i="14"/>
  <c r="I302" i="14"/>
  <c r="I303" i="14"/>
  <c r="I305" i="14"/>
  <c r="I306" i="14"/>
  <c r="I308" i="14"/>
  <c r="I309" i="14"/>
  <c r="I310" i="14"/>
  <c r="I312" i="14"/>
  <c r="I313" i="14"/>
  <c r="I314" i="14"/>
  <c r="I315" i="14"/>
  <c r="I316" i="14"/>
  <c r="I317" i="14"/>
  <c r="I318" i="14"/>
  <c r="I319" i="14"/>
  <c r="I320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7" i="14"/>
  <c r="I338" i="14"/>
  <c r="I339" i="14"/>
  <c r="I342" i="14"/>
  <c r="I343" i="14"/>
  <c r="I344" i="14"/>
  <c r="I345" i="14"/>
  <c r="I346" i="14"/>
  <c r="I347" i="14"/>
  <c r="I348" i="14"/>
  <c r="I349" i="14"/>
  <c r="I350" i="14"/>
  <c r="I351" i="14"/>
  <c r="I352" i="14"/>
  <c r="I354" i="14"/>
  <c r="I356" i="14"/>
  <c r="I357" i="14"/>
  <c r="I358" i="14"/>
  <c r="I359" i="14"/>
  <c r="I360" i="14"/>
  <c r="I361" i="14"/>
  <c r="I362" i="14"/>
  <c r="I363" i="14"/>
  <c r="I364" i="14"/>
  <c r="I365" i="14"/>
  <c r="I367" i="14"/>
  <c r="I368" i="14"/>
  <c r="I369" i="14"/>
  <c r="I370" i="14"/>
  <c r="I371" i="14"/>
  <c r="I372" i="14"/>
  <c r="I373" i="14"/>
  <c r="I375" i="14"/>
  <c r="I374" i="14"/>
  <c r="I376" i="14"/>
  <c r="I377" i="14"/>
  <c r="I378" i="14"/>
  <c r="I379" i="14"/>
  <c r="I380" i="14"/>
  <c r="I381" i="14"/>
  <c r="I382" i="14"/>
  <c r="I383" i="14"/>
  <c r="I384" i="14"/>
  <c r="I385" i="14"/>
  <c r="I387" i="14"/>
  <c r="I388" i="14"/>
  <c r="I389" i="14"/>
  <c r="I390" i="14"/>
  <c r="I391" i="14"/>
  <c r="I392" i="14"/>
  <c r="I393" i="14"/>
  <c r="I394" i="14"/>
  <c r="I395" i="14"/>
  <c r="I396" i="14"/>
  <c r="I398" i="14"/>
  <c r="I399" i="14"/>
  <c r="I400" i="14"/>
  <c r="I401" i="14"/>
  <c r="I402" i="14"/>
  <c r="I403" i="14"/>
  <c r="I405" i="14"/>
  <c r="I406" i="14"/>
  <c r="I407" i="14"/>
  <c r="I408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4" i="14"/>
  <c r="I425" i="14"/>
  <c r="I426" i="14"/>
  <c r="I427" i="14"/>
  <c r="I430" i="14"/>
  <c r="I428" i="14"/>
  <c r="I429" i="14"/>
  <c r="I431" i="14"/>
  <c r="I432" i="14"/>
  <c r="I433" i="14"/>
  <c r="I434" i="14"/>
  <c r="I435" i="14"/>
  <c r="I436" i="14"/>
  <c r="I437" i="14"/>
  <c r="I438" i="14"/>
  <c r="I440" i="14"/>
  <c r="I441" i="14"/>
  <c r="I442" i="14"/>
  <c r="I443" i="14"/>
  <c r="I444" i="14"/>
  <c r="I446" i="14"/>
  <c r="I447" i="14"/>
  <c r="I448" i="14"/>
  <c r="I450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6" i="14"/>
  <c r="I467" i="14"/>
  <c r="I468" i="14"/>
  <c r="I469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6" i="14"/>
  <c r="I503" i="14"/>
  <c r="I505" i="14"/>
  <c r="I507" i="14"/>
  <c r="I509" i="14"/>
  <c r="I510" i="14"/>
  <c r="I512" i="14"/>
  <c r="I513" i="14"/>
  <c r="I514" i="14"/>
  <c r="I515" i="14"/>
  <c r="I516" i="14"/>
  <c r="I517" i="14"/>
  <c r="I519" i="14"/>
  <c r="I520" i="14"/>
  <c r="I521" i="14"/>
  <c r="I522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6" i="14"/>
  <c r="I547" i="14"/>
  <c r="I548" i="14"/>
  <c r="I550" i="14"/>
  <c r="I551" i="14"/>
  <c r="I552" i="14"/>
  <c r="I553" i="14"/>
  <c r="I554" i="14"/>
  <c r="I555" i="14"/>
  <c r="I556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85" i="14"/>
  <c r="I586" i="14"/>
  <c r="I587" i="14"/>
  <c r="I590" i="14"/>
  <c r="I591" i="14"/>
  <c r="I592" i="14"/>
  <c r="I593" i="14"/>
  <c r="I594" i="14"/>
  <c r="I597" i="14"/>
  <c r="I598" i="14"/>
  <c r="I599" i="14"/>
  <c r="I600" i="14"/>
  <c r="I601" i="14"/>
  <c r="I602" i="14"/>
  <c r="I603" i="14"/>
  <c r="I604" i="14"/>
  <c r="I606" i="14"/>
  <c r="I607" i="14"/>
  <c r="I609" i="14"/>
  <c r="I611" i="14"/>
  <c r="I612" i="14"/>
  <c r="I613" i="14"/>
  <c r="I614" i="14"/>
  <c r="I615" i="14"/>
  <c r="I616" i="14"/>
  <c r="I617" i="14"/>
  <c r="I618" i="14"/>
  <c r="I619" i="14"/>
  <c r="I620" i="14"/>
  <c r="I621" i="14"/>
  <c r="I622" i="14"/>
  <c r="I623" i="14"/>
  <c r="I624" i="14"/>
  <c r="I625" i="14"/>
  <c r="I626" i="14"/>
  <c r="I627" i="14"/>
  <c r="I628" i="14"/>
  <c r="I629" i="14"/>
  <c r="I631" i="14"/>
  <c r="I633" i="14"/>
  <c r="I634" i="14"/>
  <c r="I635" i="14"/>
  <c r="I636" i="14"/>
  <c r="I637" i="14"/>
  <c r="I638" i="14"/>
  <c r="I639" i="14"/>
  <c r="I640" i="14"/>
  <c r="I641" i="14"/>
  <c r="I642" i="14"/>
  <c r="I643" i="14"/>
  <c r="I645" i="14"/>
  <c r="I646" i="14"/>
  <c r="I647" i="14"/>
  <c r="I648" i="14"/>
  <c r="I649" i="14"/>
  <c r="I650" i="14"/>
  <c r="I651" i="14"/>
  <c r="I655" i="14"/>
  <c r="I652" i="14"/>
  <c r="I653" i="14"/>
  <c r="I654" i="14"/>
  <c r="I656" i="14"/>
  <c r="I657" i="14"/>
  <c r="I658" i="14"/>
  <c r="I659" i="14"/>
  <c r="I660" i="14"/>
  <c r="I665" i="14"/>
  <c r="I666" i="14"/>
  <c r="I667" i="14"/>
  <c r="I668" i="14"/>
  <c r="I669" i="14"/>
  <c r="I670" i="14"/>
  <c r="I671" i="14"/>
  <c r="I672" i="14"/>
  <c r="I673" i="14"/>
  <c r="I674" i="14"/>
  <c r="I675" i="14"/>
  <c r="I676" i="14"/>
  <c r="I677" i="14"/>
  <c r="I678" i="14"/>
  <c r="I679" i="14"/>
  <c r="I680" i="14"/>
  <c r="I681" i="14"/>
  <c r="I682" i="14"/>
  <c r="I683" i="14"/>
  <c r="I684" i="14"/>
  <c r="I685" i="14"/>
  <c r="I687" i="14"/>
  <c r="I688" i="14"/>
  <c r="I689" i="14"/>
  <c r="I690" i="14"/>
  <c r="I693" i="14"/>
  <c r="I694" i="14"/>
  <c r="I695" i="14"/>
  <c r="I696" i="14"/>
  <c r="I697" i="14"/>
  <c r="I698" i="14"/>
  <c r="I699" i="14"/>
  <c r="I700" i="14"/>
  <c r="I701" i="14"/>
  <c r="I702" i="14"/>
  <c r="I703" i="14"/>
  <c r="I704" i="14"/>
  <c r="I705" i="14"/>
  <c r="I706" i="14"/>
  <c r="I707" i="14"/>
  <c r="I715" i="14"/>
  <c r="I708" i="14"/>
  <c r="I709" i="14"/>
  <c r="I710" i="14"/>
  <c r="I711" i="14"/>
  <c r="I712" i="14"/>
  <c r="I713" i="14"/>
  <c r="I714" i="14"/>
  <c r="I716" i="14"/>
  <c r="I717" i="14"/>
  <c r="I718" i="14"/>
  <c r="I721" i="14"/>
  <c r="I722" i="14"/>
  <c r="I723" i="14"/>
  <c r="I725" i="14"/>
  <c r="I726" i="14"/>
  <c r="I727" i="14"/>
  <c r="I728" i="14"/>
  <c r="I729" i="14"/>
  <c r="I730" i="14"/>
  <c r="I731" i="14"/>
  <c r="I732" i="14"/>
  <c r="I733" i="14"/>
  <c r="I734" i="14"/>
  <c r="I735" i="14"/>
  <c r="I736" i="14"/>
  <c r="I737" i="14"/>
  <c r="I738" i="14"/>
  <c r="I739" i="14"/>
  <c r="I740" i="14"/>
  <c r="I741" i="14"/>
  <c r="I743" i="14"/>
  <c r="I744" i="14"/>
  <c r="I745" i="14"/>
  <c r="I746" i="14"/>
  <c r="I747" i="14"/>
  <c r="I748" i="14"/>
  <c r="I749" i="14"/>
  <c r="I750" i="14"/>
  <c r="I751" i="14"/>
  <c r="I752" i="14"/>
  <c r="I754" i="14"/>
  <c r="I755" i="14"/>
  <c r="I756" i="14"/>
  <c r="I757" i="14"/>
  <c r="I758" i="14"/>
  <c r="I760" i="14"/>
  <c r="I761" i="14"/>
  <c r="I762" i="14"/>
  <c r="I763" i="14"/>
  <c r="I764" i="14"/>
  <c r="I765" i="14"/>
  <c r="I766" i="14"/>
  <c r="I767" i="14"/>
  <c r="I769" i="14"/>
  <c r="I770" i="14"/>
  <c r="I771" i="14"/>
  <c r="I779" i="14"/>
  <c r="I772" i="14"/>
  <c r="I774" i="14"/>
  <c r="I775" i="14"/>
  <c r="I776" i="14"/>
  <c r="I777" i="14"/>
  <c r="I778" i="14"/>
  <c r="I780" i="14"/>
  <c r="I781" i="14"/>
  <c r="I782" i="14"/>
  <c r="I783" i="14"/>
  <c r="I784" i="14"/>
  <c r="I785" i="14"/>
  <c r="I786" i="14"/>
  <c r="I787" i="14"/>
  <c r="I788" i="14"/>
  <c r="I789" i="14"/>
  <c r="I790" i="14"/>
  <c r="O38" i="22"/>
  <c r="O39" i="22"/>
  <c r="AB123" i="15" l="1"/>
  <c r="P139" i="15"/>
  <c r="Q139" i="15" s="1"/>
  <c r="P147" i="15"/>
  <c r="P152" i="15"/>
  <c r="Q152" i="15" s="1"/>
  <c r="R152" i="15" s="1"/>
  <c r="P167" i="15"/>
  <c r="Q167" i="15" s="1"/>
  <c r="R167" i="15" s="1"/>
  <c r="P176" i="15"/>
  <c r="Q176" i="15" s="1"/>
  <c r="P185" i="15"/>
  <c r="Q185" i="15" s="1"/>
  <c r="R185" i="15" s="1"/>
  <c r="S185" i="15" s="1"/>
  <c r="P193" i="15"/>
  <c r="Q193" i="15" s="1"/>
  <c r="P158" i="15"/>
  <c r="Q158" i="15" s="1"/>
  <c r="P153" i="15"/>
  <c r="P168" i="15"/>
  <c r="Q168" i="15" s="1"/>
  <c r="P175" i="15"/>
  <c r="Q175" i="15" s="1"/>
  <c r="P186" i="15"/>
  <c r="Q186" i="15" s="1"/>
  <c r="P203" i="15"/>
  <c r="P141" i="15"/>
  <c r="Q141" i="15" s="1"/>
  <c r="P155" i="15"/>
  <c r="Q155" i="15" s="1"/>
  <c r="R155" i="15" s="1"/>
  <c r="P169" i="15"/>
  <c r="Q169" i="15" s="1"/>
  <c r="R169" i="15" s="1"/>
  <c r="S169" i="15" s="1"/>
  <c r="T169" i="15" s="1"/>
  <c r="P177" i="15"/>
  <c r="Q177" i="15" s="1"/>
  <c r="P187" i="15"/>
  <c r="P197" i="15"/>
  <c r="Q197" i="15" s="1"/>
  <c r="R197" i="15" s="1"/>
  <c r="P204" i="15"/>
  <c r="Q204" i="15" s="1"/>
  <c r="P142" i="15"/>
  <c r="Q142" i="15" s="1"/>
  <c r="P156" i="15"/>
  <c r="Q156" i="15" s="1"/>
  <c r="R156" i="15" s="1"/>
  <c r="S156" i="15" s="1"/>
  <c r="T156" i="15" s="1"/>
  <c r="P160" i="15"/>
  <c r="Q160" i="15" s="1"/>
  <c r="P171" i="15"/>
  <c r="Q171" i="15" s="1"/>
  <c r="R171" i="15" s="1"/>
  <c r="S171" i="15" s="1"/>
  <c r="P178" i="15"/>
  <c r="Q178" i="15" s="1"/>
  <c r="P188" i="15"/>
  <c r="Q188" i="15" s="1"/>
  <c r="R188" i="15" s="1"/>
  <c r="S188" i="15" s="1"/>
  <c r="P194" i="15"/>
  <c r="Q194" i="15" s="1"/>
  <c r="P205" i="15"/>
  <c r="Q205" i="15" s="1"/>
  <c r="R205" i="15" s="1"/>
  <c r="P149" i="15"/>
  <c r="Q149" i="15" s="1"/>
  <c r="P163" i="15"/>
  <c r="Q163" i="15" s="1"/>
  <c r="P170" i="15"/>
  <c r="P181" i="15"/>
  <c r="Q181" i="15" s="1"/>
  <c r="P189" i="15"/>
  <c r="Q189" i="15" s="1"/>
  <c r="P195" i="15"/>
  <c r="Q195" i="15" s="1"/>
  <c r="P146" i="15"/>
  <c r="Q146" i="15" s="1"/>
  <c r="R146" i="15" s="1"/>
  <c r="S146" i="15" s="1"/>
  <c r="P150" i="15"/>
  <c r="Q150" i="15" s="1"/>
  <c r="P172" i="15"/>
  <c r="Q172" i="15" s="1"/>
  <c r="R172" i="15" s="1"/>
  <c r="P183" i="15"/>
  <c r="Q183" i="15" s="1"/>
  <c r="P191" i="15"/>
  <c r="Q191" i="15" s="1"/>
  <c r="P199" i="15"/>
  <c r="P206" i="15"/>
  <c r="Q206" i="15" s="1"/>
  <c r="P134" i="15"/>
  <c r="Q134" i="15" s="1"/>
  <c r="P143" i="15"/>
  <c r="Q143" i="15" s="1"/>
  <c r="P151" i="15"/>
  <c r="Q151" i="15" s="1"/>
  <c r="P165" i="15"/>
  <c r="Q165" i="15" s="1"/>
  <c r="P173" i="15"/>
  <c r="Q173" i="15" s="1"/>
  <c r="R173" i="15" s="1"/>
  <c r="P182" i="15"/>
  <c r="Q182" i="15" s="1"/>
  <c r="P192" i="15"/>
  <c r="Q192" i="15" s="1"/>
  <c r="P200" i="15"/>
  <c r="Q200" i="15" s="1"/>
  <c r="P207" i="15"/>
  <c r="Q207" i="15" s="1"/>
  <c r="P144" i="15"/>
  <c r="Q144" i="15" s="1"/>
  <c r="R144" i="15" s="1"/>
  <c r="P148" i="15"/>
  <c r="Q148" i="15" s="1"/>
  <c r="P166" i="15"/>
  <c r="Q166" i="15" s="1"/>
  <c r="P174" i="15"/>
  <c r="Q174" i="15" s="1"/>
  <c r="P184" i="15"/>
  <c r="Q184" i="15" s="1"/>
  <c r="P190" i="15"/>
  <c r="Q190" i="15" s="1"/>
  <c r="P201" i="15"/>
  <c r="Q201" i="15" s="1"/>
  <c r="R201" i="15" s="1"/>
  <c r="S201" i="15" s="1"/>
  <c r="T201" i="15" s="1"/>
  <c r="S12" i="14"/>
  <c r="T12" i="14" s="1"/>
  <c r="P788" i="14"/>
  <c r="P780" i="14"/>
  <c r="Q780" i="14" s="1"/>
  <c r="R780" i="14" s="1"/>
  <c r="S780" i="14" s="1"/>
  <c r="P779" i="14"/>
  <c r="Q779" i="14" s="1"/>
  <c r="R779" i="14" s="1"/>
  <c r="P764" i="14"/>
  <c r="Q764" i="14" s="1"/>
  <c r="P756" i="14"/>
  <c r="Q756" i="14" s="1"/>
  <c r="P748" i="14"/>
  <c r="Q748" i="14" s="1"/>
  <c r="P740" i="14"/>
  <c r="Q740" i="14" s="1"/>
  <c r="R740" i="14" s="1"/>
  <c r="P732" i="14"/>
  <c r="P716" i="14"/>
  <c r="P715" i="14"/>
  <c r="Q715" i="14" s="1"/>
  <c r="P700" i="14"/>
  <c r="Q700" i="14" s="1"/>
  <c r="R700" i="14" s="1"/>
  <c r="P684" i="14"/>
  <c r="P676" i="14"/>
  <c r="Q676" i="14" s="1"/>
  <c r="R676" i="14" s="1"/>
  <c r="P668" i="14"/>
  <c r="Q668" i="14" s="1"/>
  <c r="P660" i="14"/>
  <c r="Q660" i="14" s="1"/>
  <c r="P655" i="14"/>
  <c r="Q655" i="14" s="1"/>
  <c r="P645" i="14"/>
  <c r="Q645" i="14" s="1"/>
  <c r="P637" i="14"/>
  <c r="Q637" i="14" s="1"/>
  <c r="R637" i="14" s="1"/>
  <c r="S637" i="14" s="1"/>
  <c r="P629" i="14"/>
  <c r="Q629" i="14" s="1"/>
  <c r="P621" i="14"/>
  <c r="Q621" i="14" s="1"/>
  <c r="P613" i="14"/>
  <c r="Q613" i="14" s="1"/>
  <c r="R613" i="14" s="1"/>
  <c r="P597" i="14"/>
  <c r="Q597" i="14" s="1"/>
  <c r="P585" i="14"/>
  <c r="Q585" i="14" s="1"/>
  <c r="P577" i="14"/>
  <c r="Q577" i="14" s="1"/>
  <c r="P569" i="14"/>
  <c r="Q569" i="14" s="1"/>
  <c r="P561" i="14"/>
  <c r="Q561" i="14" s="1"/>
  <c r="R561" i="14" s="1"/>
  <c r="P553" i="14"/>
  <c r="Q553" i="14" s="1"/>
  <c r="P537" i="14"/>
  <c r="Q537" i="14" s="1"/>
  <c r="R537" i="14" s="1"/>
  <c r="P529" i="14"/>
  <c r="Q529" i="14" s="1"/>
  <c r="P521" i="14"/>
  <c r="Q521" i="14" s="1"/>
  <c r="R521" i="14" s="1"/>
  <c r="S521" i="14" s="1"/>
  <c r="P512" i="14"/>
  <c r="Q512" i="14" s="1"/>
  <c r="R512" i="14" s="1"/>
  <c r="P503" i="14"/>
  <c r="P496" i="14"/>
  <c r="Q496" i="14" s="1"/>
  <c r="P488" i="14"/>
  <c r="Q488" i="14" s="1"/>
  <c r="R488" i="14" s="1"/>
  <c r="P480" i="14"/>
  <c r="Q480" i="14" s="1"/>
  <c r="P472" i="14"/>
  <c r="Q472" i="14" s="1"/>
  <c r="P464" i="14"/>
  <c r="Q464" i="14" s="1"/>
  <c r="R464" i="14" s="1"/>
  <c r="S464" i="14" s="1"/>
  <c r="P456" i="14"/>
  <c r="P441" i="14"/>
  <c r="Q441" i="14" s="1"/>
  <c r="P433" i="14"/>
  <c r="Q433" i="14" s="1"/>
  <c r="P425" i="14"/>
  <c r="Q425" i="14" s="1"/>
  <c r="P417" i="14"/>
  <c r="Q417" i="14" s="1"/>
  <c r="P401" i="14"/>
  <c r="Q401" i="14" s="1"/>
  <c r="P393" i="14"/>
  <c r="Q393" i="14" s="1"/>
  <c r="P385" i="14"/>
  <c r="Q385" i="14" s="1"/>
  <c r="P377" i="14"/>
  <c r="P369" i="14"/>
  <c r="P361" i="14"/>
  <c r="Q361" i="14" s="1"/>
  <c r="R361" i="14" s="1"/>
  <c r="P345" i="14"/>
  <c r="Q345" i="14" s="1"/>
  <c r="P337" i="14"/>
  <c r="Q337" i="14" s="1"/>
  <c r="P329" i="14"/>
  <c r="Q329" i="14" s="1"/>
  <c r="R329" i="14" s="1"/>
  <c r="P313" i="14"/>
  <c r="Q313" i="14" s="1"/>
  <c r="R313" i="14" s="1"/>
  <c r="S313" i="14" s="1"/>
  <c r="T313" i="14" s="1"/>
  <c r="P305" i="14"/>
  <c r="Q305" i="14" s="1"/>
  <c r="R305" i="14" s="1"/>
  <c r="S305" i="14" s="1"/>
  <c r="P297" i="14"/>
  <c r="Q297" i="14" s="1"/>
  <c r="R297" i="14" s="1"/>
  <c r="P289" i="14"/>
  <c r="P281" i="14"/>
  <c r="Q281" i="14" s="1"/>
  <c r="P265" i="14"/>
  <c r="Q265" i="14" s="1"/>
  <c r="R265" i="14" s="1"/>
  <c r="P257" i="14"/>
  <c r="P249" i="14"/>
  <c r="Q249" i="14" s="1"/>
  <c r="P241" i="14"/>
  <c r="Q241" i="14" s="1"/>
  <c r="P232" i="14"/>
  <c r="Q232" i="14" s="1"/>
  <c r="P225" i="14"/>
  <c r="Q225" i="14" s="1"/>
  <c r="R225" i="14" s="1"/>
  <c r="P217" i="14"/>
  <c r="Q217" i="14" s="1"/>
  <c r="R217" i="14" s="1"/>
  <c r="S217" i="14" s="1"/>
  <c r="P209" i="14"/>
  <c r="Q209" i="14" s="1"/>
  <c r="P201" i="14"/>
  <c r="P193" i="14"/>
  <c r="P177" i="14"/>
  <c r="Q177" i="14" s="1"/>
  <c r="P169" i="14"/>
  <c r="Q169" i="14" s="1"/>
  <c r="P161" i="14"/>
  <c r="Q161" i="14" s="1"/>
  <c r="P153" i="14"/>
  <c r="Q153" i="14" s="1"/>
  <c r="R153" i="14" s="1"/>
  <c r="S153" i="14" s="1"/>
  <c r="P145" i="14"/>
  <c r="Q145" i="14" s="1"/>
  <c r="P137" i="14"/>
  <c r="Q137" i="14" s="1"/>
  <c r="P129" i="14"/>
  <c r="Q129" i="14" s="1"/>
  <c r="R129" i="14" s="1"/>
  <c r="S129" i="14" s="1"/>
  <c r="T129" i="14" s="1"/>
  <c r="P113" i="14"/>
  <c r="Q113" i="14" s="1"/>
  <c r="R113" i="14" s="1"/>
  <c r="P105" i="14"/>
  <c r="Q105" i="14" s="1"/>
  <c r="P97" i="14"/>
  <c r="P89" i="14"/>
  <c r="Q89" i="14" s="1"/>
  <c r="R89" i="14" s="1"/>
  <c r="P81" i="14"/>
  <c r="Q81" i="14" s="1"/>
  <c r="R81" i="14" s="1"/>
  <c r="P73" i="14"/>
  <c r="Q73" i="14" s="1"/>
  <c r="R73" i="14" s="1"/>
  <c r="S73" i="14" s="1"/>
  <c r="P65" i="14"/>
  <c r="Q65" i="14" s="1"/>
  <c r="P57" i="14"/>
  <c r="Q57" i="14" s="1"/>
  <c r="R57" i="14" s="1"/>
  <c r="P50" i="14"/>
  <c r="P42" i="14"/>
  <c r="Q42" i="14" s="1"/>
  <c r="P34" i="14"/>
  <c r="Q34" i="14" s="1"/>
  <c r="P26" i="14"/>
  <c r="Q26" i="14" s="1"/>
  <c r="R26" i="14" s="1"/>
  <c r="P18" i="14"/>
  <c r="Q18" i="14" s="1"/>
  <c r="R18" i="14" s="1"/>
  <c r="P9" i="14"/>
  <c r="Q9" i="14" s="1"/>
  <c r="R9" i="14" s="1"/>
  <c r="S9" i="14" s="1"/>
  <c r="T9" i="14" s="1"/>
  <c r="U9" i="14" s="1"/>
  <c r="V9" i="14" s="1"/>
  <c r="W9" i="14" s="1"/>
  <c r="P787" i="14"/>
  <c r="Q787" i="14" s="1"/>
  <c r="R787" i="14" s="1"/>
  <c r="P778" i="14"/>
  <c r="Q778" i="14" s="1"/>
  <c r="R778" i="14" s="1"/>
  <c r="P771" i="14"/>
  <c r="Q771" i="14" s="1"/>
  <c r="R771" i="14" s="1"/>
  <c r="S771" i="14" s="1"/>
  <c r="P763" i="14"/>
  <c r="P755" i="14"/>
  <c r="Q755" i="14" s="1"/>
  <c r="P747" i="14"/>
  <c r="Q747" i="14" s="1"/>
  <c r="P739" i="14"/>
  <c r="P731" i="14"/>
  <c r="Q731" i="14" s="1"/>
  <c r="P723" i="14"/>
  <c r="Q723" i="14" s="1"/>
  <c r="P714" i="14"/>
  <c r="P707" i="14"/>
  <c r="Q707" i="14" s="1"/>
  <c r="P699" i="14"/>
  <c r="Q699" i="14" s="1"/>
  <c r="P683" i="14"/>
  <c r="P675" i="14"/>
  <c r="Q675" i="14" s="1"/>
  <c r="P667" i="14"/>
  <c r="Q667" i="14" s="1"/>
  <c r="P659" i="14"/>
  <c r="P651" i="14"/>
  <c r="Q651" i="14" s="1"/>
  <c r="P636" i="14"/>
  <c r="P628" i="14"/>
  <c r="Q628" i="14" s="1"/>
  <c r="R628" i="14" s="1"/>
  <c r="S628" i="14" s="1"/>
  <c r="P620" i="14"/>
  <c r="Q620" i="14" s="1"/>
  <c r="P612" i="14"/>
  <c r="Q612" i="14" s="1"/>
  <c r="P604" i="14"/>
  <c r="Q604" i="14" s="1"/>
  <c r="R604" i="14" s="1"/>
  <c r="P594" i="14"/>
  <c r="P584" i="14"/>
  <c r="P576" i="14"/>
  <c r="Q576" i="14" s="1"/>
  <c r="P568" i="14"/>
  <c r="Q568" i="14" s="1"/>
  <c r="R568" i="14" s="1"/>
  <c r="S568" i="14" s="1"/>
  <c r="P560" i="14"/>
  <c r="P552" i="14"/>
  <c r="Q552" i="14" s="1"/>
  <c r="P544" i="14"/>
  <c r="Q544" i="14" s="1"/>
  <c r="P536" i="14"/>
  <c r="Q536" i="14" s="1"/>
  <c r="R536" i="14" s="1"/>
  <c r="S536" i="14" s="1"/>
  <c r="T536" i="14" s="1"/>
  <c r="P528" i="14"/>
  <c r="Q528" i="14" s="1"/>
  <c r="P520" i="14"/>
  <c r="Q520" i="14" s="1"/>
  <c r="R520" i="14" s="1"/>
  <c r="P506" i="14"/>
  <c r="Q506" i="14" s="1"/>
  <c r="P495" i="14"/>
  <c r="Q495" i="14" s="1"/>
  <c r="P487" i="14"/>
  <c r="Q487" i="14" s="1"/>
  <c r="P479" i="14"/>
  <c r="Q479" i="14" s="1"/>
  <c r="P471" i="14"/>
  <c r="Q471" i="14" s="1"/>
  <c r="P463" i="14"/>
  <c r="Q463" i="14" s="1"/>
  <c r="P455" i="14"/>
  <c r="Q455" i="14" s="1"/>
  <c r="P448" i="14"/>
  <c r="Q448" i="14" s="1"/>
  <c r="P440" i="14"/>
  <c r="Q440" i="14" s="1"/>
  <c r="R440" i="14" s="1"/>
  <c r="S440" i="14" s="1"/>
  <c r="P432" i="14"/>
  <c r="Q432" i="14" s="1"/>
  <c r="P424" i="14"/>
  <c r="P416" i="14"/>
  <c r="Q416" i="14" s="1"/>
  <c r="P408" i="14"/>
  <c r="Q408" i="14" s="1"/>
  <c r="R408" i="14" s="1"/>
  <c r="P400" i="14"/>
  <c r="Q400" i="14" s="1"/>
  <c r="P392" i="14"/>
  <c r="P384" i="14"/>
  <c r="Q384" i="14" s="1"/>
  <c r="P376" i="14"/>
  <c r="Q376" i="14" s="1"/>
  <c r="P368" i="14"/>
  <c r="Q368" i="14" s="1"/>
  <c r="R368" i="14" s="1"/>
  <c r="P360" i="14"/>
  <c r="Q360" i="14" s="1"/>
  <c r="P352" i="14"/>
  <c r="Q352" i="14" s="1"/>
  <c r="P344" i="14"/>
  <c r="Q344" i="14" s="1"/>
  <c r="P328" i="14"/>
  <c r="Q328" i="14" s="1"/>
  <c r="P320" i="14"/>
  <c r="P312" i="14"/>
  <c r="Q312" i="14" s="1"/>
  <c r="P303" i="14"/>
  <c r="Q303" i="14" s="1"/>
  <c r="R303" i="14" s="1"/>
  <c r="P296" i="14"/>
  <c r="Q296" i="14" s="1"/>
  <c r="P288" i="14"/>
  <c r="P280" i="14"/>
  <c r="Q280" i="14" s="1"/>
  <c r="P272" i="14"/>
  <c r="P264" i="14"/>
  <c r="Q264" i="14" s="1"/>
  <c r="P256" i="14"/>
  <c r="P240" i="14"/>
  <c r="Q240" i="14" s="1"/>
  <c r="R240" i="14" s="1"/>
  <c r="P231" i="14"/>
  <c r="Q231" i="14" s="1"/>
  <c r="R231" i="14" s="1"/>
  <c r="P224" i="14"/>
  <c r="Q224" i="14" s="1"/>
  <c r="P216" i="14"/>
  <c r="Q216" i="14" s="1"/>
  <c r="P200" i="14"/>
  <c r="Q200" i="14" s="1"/>
  <c r="P192" i="14"/>
  <c r="P184" i="14"/>
  <c r="Q184" i="14" s="1"/>
  <c r="P176" i="14"/>
  <c r="Q176" i="14" s="1"/>
  <c r="R176" i="14" s="1"/>
  <c r="P168" i="14"/>
  <c r="Q168" i="14" s="1"/>
  <c r="P160" i="14"/>
  <c r="Q160" i="14" s="1"/>
  <c r="P152" i="14"/>
  <c r="Q152" i="14" s="1"/>
  <c r="R152" i="14" s="1"/>
  <c r="P144" i="14"/>
  <c r="Q144" i="14" s="1"/>
  <c r="P136" i="14"/>
  <c r="Q136" i="14" s="1"/>
  <c r="P128" i="14"/>
  <c r="P120" i="14"/>
  <c r="Q120" i="14" s="1"/>
  <c r="P112" i="14"/>
  <c r="Q112" i="14" s="1"/>
  <c r="P96" i="14"/>
  <c r="Q96" i="14" s="1"/>
  <c r="R96" i="14" s="1"/>
  <c r="S96" i="14" s="1"/>
  <c r="P88" i="14"/>
  <c r="P72" i="14"/>
  <c r="Q72" i="14" s="1"/>
  <c r="P64" i="14"/>
  <c r="Q64" i="14" s="1"/>
  <c r="P56" i="14"/>
  <c r="Q56" i="14" s="1"/>
  <c r="P49" i="14"/>
  <c r="Q49" i="14" s="1"/>
  <c r="R49" i="14" s="1"/>
  <c r="P41" i="14"/>
  <c r="Q41" i="14" s="1"/>
  <c r="R41" i="14" s="1"/>
  <c r="P33" i="14"/>
  <c r="Q33" i="14" s="1"/>
  <c r="P25" i="14"/>
  <c r="Q25" i="14" s="1"/>
  <c r="P786" i="14"/>
  <c r="Q786" i="14" s="1"/>
  <c r="R786" i="14" s="1"/>
  <c r="P777" i="14"/>
  <c r="Q777" i="14" s="1"/>
  <c r="R777" i="14" s="1"/>
  <c r="P770" i="14"/>
  <c r="Q770" i="14" s="1"/>
  <c r="P762" i="14"/>
  <c r="Q762" i="14" s="1"/>
  <c r="P754" i="14"/>
  <c r="Q754" i="14" s="1"/>
  <c r="P746" i="14"/>
  <c r="Q746" i="14" s="1"/>
  <c r="P738" i="14"/>
  <c r="P730" i="14"/>
  <c r="Q730" i="14" s="1"/>
  <c r="P722" i="14"/>
  <c r="Q722" i="14" s="1"/>
  <c r="P713" i="14"/>
  <c r="Q713" i="14" s="1"/>
  <c r="P706" i="14"/>
  <c r="P698" i="14"/>
  <c r="Q698" i="14" s="1"/>
  <c r="P690" i="14"/>
  <c r="Q690" i="14" s="1"/>
  <c r="P682" i="14"/>
  <c r="Q682" i="14" s="1"/>
  <c r="P674" i="14"/>
  <c r="Q674" i="14" s="1"/>
  <c r="P666" i="14"/>
  <c r="Q666" i="14" s="1"/>
  <c r="P658" i="14"/>
  <c r="Q658" i="14" s="1"/>
  <c r="P650" i="14"/>
  <c r="Q650" i="14" s="1"/>
  <c r="R650" i="14" s="1"/>
  <c r="P643" i="14"/>
  <c r="Q643" i="14" s="1"/>
  <c r="P635" i="14"/>
  <c r="Q635" i="14" s="1"/>
  <c r="P627" i="14"/>
  <c r="Q627" i="14" s="1"/>
  <c r="P619" i="14"/>
  <c r="Q619" i="14" s="1"/>
  <c r="P611" i="14"/>
  <c r="Q611" i="14" s="1"/>
  <c r="P603" i="14"/>
  <c r="Q603" i="14" s="1"/>
  <c r="P593" i="14"/>
  <c r="Q593" i="14" s="1"/>
  <c r="P583" i="14"/>
  <c r="Q583" i="14" s="1"/>
  <c r="R583" i="14" s="1"/>
  <c r="P575" i="14"/>
  <c r="P567" i="14"/>
  <c r="Q567" i="14" s="1"/>
  <c r="P559" i="14"/>
  <c r="Q559" i="14" s="1"/>
  <c r="P551" i="14"/>
  <c r="Q551" i="14" s="1"/>
  <c r="P543" i="14"/>
  <c r="P535" i="14"/>
  <c r="Q535" i="14" s="1"/>
  <c r="P527" i="14"/>
  <c r="Q527" i="14" s="1"/>
  <c r="P519" i="14"/>
  <c r="P510" i="14"/>
  <c r="Q510" i="14" s="1"/>
  <c r="P502" i="14"/>
  <c r="Q502" i="14" s="1"/>
  <c r="P494" i="14"/>
  <c r="Q494" i="14" s="1"/>
  <c r="P486" i="14"/>
  <c r="P478" i="14"/>
  <c r="Q478" i="14" s="1"/>
  <c r="P462" i="14"/>
  <c r="P454" i="14"/>
  <c r="Q454" i="14" s="1"/>
  <c r="P447" i="14"/>
  <c r="Q447" i="14" s="1"/>
  <c r="P431" i="14"/>
  <c r="Q431" i="14" s="1"/>
  <c r="P415" i="14"/>
  <c r="Q415" i="14" s="1"/>
  <c r="R415" i="14" s="1"/>
  <c r="P407" i="14"/>
  <c r="Q407" i="14" s="1"/>
  <c r="R407" i="14" s="1"/>
  <c r="S407" i="14" s="1"/>
  <c r="P399" i="14"/>
  <c r="Q399" i="14" s="1"/>
  <c r="R399" i="14" s="1"/>
  <c r="P391" i="14"/>
  <c r="P383" i="14"/>
  <c r="P374" i="14"/>
  <c r="Q374" i="14" s="1"/>
  <c r="P367" i="14"/>
  <c r="Q367" i="14" s="1"/>
  <c r="P359" i="14"/>
  <c r="P351" i="14"/>
  <c r="Q351" i="14" s="1"/>
  <c r="P343" i="14"/>
  <c r="P335" i="14"/>
  <c r="P327" i="14"/>
  <c r="Q327" i="14" s="1"/>
  <c r="P319" i="14"/>
  <c r="P302" i="14"/>
  <c r="P295" i="14"/>
  <c r="P287" i="14"/>
  <c r="P279" i="14"/>
  <c r="Q279" i="14" s="1"/>
  <c r="R279" i="14" s="1"/>
  <c r="P271" i="14"/>
  <c r="Q271" i="14" s="1"/>
  <c r="P263" i="14"/>
  <c r="P239" i="14"/>
  <c r="P230" i="14"/>
  <c r="Q230" i="14" s="1"/>
  <c r="R230" i="14" s="1"/>
  <c r="P223" i="14"/>
  <c r="Q223" i="14" s="1"/>
  <c r="P215" i="14"/>
  <c r="P207" i="14"/>
  <c r="Q207" i="14" s="1"/>
  <c r="P199" i="14"/>
  <c r="Q199" i="14" s="1"/>
  <c r="P183" i="14"/>
  <c r="Q183" i="14" s="1"/>
  <c r="R183" i="14" s="1"/>
  <c r="S183" i="14" s="1"/>
  <c r="T183" i="14" s="1"/>
  <c r="P175" i="14"/>
  <c r="Q175" i="14" s="1"/>
  <c r="P167" i="14"/>
  <c r="Q167" i="14" s="1"/>
  <c r="P159" i="14"/>
  <c r="P151" i="14"/>
  <c r="Q151" i="14" s="1"/>
  <c r="R151" i="14" s="1"/>
  <c r="P143" i="14"/>
  <c r="Q143" i="14" s="1"/>
  <c r="P135" i="14"/>
  <c r="Q135" i="14" s="1"/>
  <c r="P127" i="14"/>
  <c r="Q127" i="14" s="1"/>
  <c r="P119" i="14"/>
  <c r="Q119" i="14" s="1"/>
  <c r="R119" i="14" s="1"/>
  <c r="P111" i="14"/>
  <c r="Q111" i="14" s="1"/>
  <c r="P103" i="14"/>
  <c r="Q103" i="14" s="1"/>
  <c r="R103" i="14" s="1"/>
  <c r="S103" i="14" s="1"/>
  <c r="P95" i="14"/>
  <c r="Q95" i="14" s="1"/>
  <c r="P87" i="14"/>
  <c r="Q87" i="14" s="1"/>
  <c r="P79" i="14"/>
  <c r="Q79" i="14" s="1"/>
  <c r="R79" i="14" s="1"/>
  <c r="P71" i="14"/>
  <c r="Q71" i="14" s="1"/>
  <c r="P63" i="14"/>
  <c r="Q63" i="14" s="1"/>
  <c r="P54" i="14"/>
  <c r="Q54" i="14" s="1"/>
  <c r="R54" i="14" s="1"/>
  <c r="P48" i="14"/>
  <c r="Q48" i="14" s="1"/>
  <c r="R48" i="14" s="1"/>
  <c r="P40" i="14"/>
  <c r="Q40" i="14" s="1"/>
  <c r="P32" i="14"/>
  <c r="Q32" i="14" s="1"/>
  <c r="R32" i="14" s="1"/>
  <c r="P24" i="14"/>
  <c r="Q24" i="14" s="1"/>
  <c r="P16" i="14"/>
  <c r="Q16" i="14" s="1"/>
  <c r="R16" i="14" s="1"/>
  <c r="P7" i="14"/>
  <c r="Q7" i="14" s="1"/>
  <c r="P785" i="14"/>
  <c r="Q785" i="14" s="1"/>
  <c r="P776" i="14"/>
  <c r="Q776" i="14" s="1"/>
  <c r="R776" i="14" s="1"/>
  <c r="P769" i="14"/>
  <c r="Q769" i="14" s="1"/>
  <c r="P761" i="14"/>
  <c r="Q761" i="14" s="1"/>
  <c r="P745" i="14"/>
  <c r="P737" i="14"/>
  <c r="Q737" i="14" s="1"/>
  <c r="R737" i="14" s="1"/>
  <c r="S737" i="14" s="1"/>
  <c r="P729" i="14"/>
  <c r="Q729" i="14" s="1"/>
  <c r="P721" i="14"/>
  <c r="Q721" i="14" s="1"/>
  <c r="P712" i="14"/>
  <c r="Q712" i="14" s="1"/>
  <c r="P705" i="14"/>
  <c r="Q705" i="14" s="1"/>
  <c r="P697" i="14"/>
  <c r="Q697" i="14" s="1"/>
  <c r="P689" i="14"/>
  <c r="Q689" i="14" s="1"/>
  <c r="P681" i="14"/>
  <c r="P673" i="14"/>
  <c r="Q673" i="14" s="1"/>
  <c r="P665" i="14"/>
  <c r="Q665" i="14" s="1"/>
  <c r="R665" i="14" s="1"/>
  <c r="P657" i="14"/>
  <c r="Q657" i="14" s="1"/>
  <c r="P649" i="14"/>
  <c r="Q649" i="14" s="1"/>
  <c r="R649" i="14" s="1"/>
  <c r="P642" i="14"/>
  <c r="Q642" i="14" s="1"/>
  <c r="P634" i="14"/>
  <c r="Q634" i="14" s="1"/>
  <c r="R634" i="14" s="1"/>
  <c r="P626" i="14"/>
  <c r="Q626" i="14" s="1"/>
  <c r="P618" i="14"/>
  <c r="Q618" i="14" s="1"/>
  <c r="P602" i="14"/>
  <c r="Q602" i="14" s="1"/>
  <c r="R602" i="14" s="1"/>
  <c r="P592" i="14"/>
  <c r="Q592" i="14" s="1"/>
  <c r="P582" i="14"/>
  <c r="Q582" i="14" s="1"/>
  <c r="P574" i="14"/>
  <c r="Q574" i="14" s="1"/>
  <c r="P566" i="14"/>
  <c r="Q566" i="14" s="1"/>
  <c r="P558" i="14"/>
  <c r="Q558" i="14" s="1"/>
  <c r="P550" i="14"/>
  <c r="Q550" i="14" s="1"/>
  <c r="P542" i="14"/>
  <c r="Q542" i="14" s="1"/>
  <c r="P534" i="14"/>
  <c r="Q534" i="14" s="1"/>
  <c r="P526" i="14"/>
  <c r="Q526" i="14" s="1"/>
  <c r="P517" i="14"/>
  <c r="Q517" i="14" s="1"/>
  <c r="P509" i="14"/>
  <c r="Q509" i="14" s="1"/>
  <c r="P501" i="14"/>
  <c r="Q501" i="14" s="1"/>
  <c r="P493" i="14"/>
  <c r="Q493" i="14" s="1"/>
  <c r="P485" i="14"/>
  <c r="Q485" i="14" s="1"/>
  <c r="P477" i="14"/>
  <c r="Q477" i="14" s="1"/>
  <c r="P469" i="14"/>
  <c r="Q469" i="14" s="1"/>
  <c r="R469" i="14" s="1"/>
  <c r="S469" i="14" s="1"/>
  <c r="T469" i="14" s="1"/>
  <c r="P461" i="14"/>
  <c r="Q461" i="14" s="1"/>
  <c r="P453" i="14"/>
  <c r="Q453" i="14" s="1"/>
  <c r="P446" i="14"/>
  <c r="Q446" i="14" s="1"/>
  <c r="P438" i="14"/>
  <c r="Q438" i="14" s="1"/>
  <c r="R438" i="14" s="1"/>
  <c r="P429" i="14"/>
  <c r="Q429" i="14" s="1"/>
  <c r="P422" i="14"/>
  <c r="Q422" i="14" s="1"/>
  <c r="P414" i="14"/>
  <c r="Q414" i="14" s="1"/>
  <c r="P406" i="14"/>
  <c r="Q406" i="14" s="1"/>
  <c r="P398" i="14"/>
  <c r="Q398" i="14" s="1"/>
  <c r="P390" i="14"/>
  <c r="Q390" i="14" s="1"/>
  <c r="P382" i="14"/>
  <c r="Q382" i="14" s="1"/>
  <c r="P375" i="14"/>
  <c r="P358" i="14"/>
  <c r="Q358" i="14" s="1"/>
  <c r="P350" i="14"/>
  <c r="Q350" i="14" s="1"/>
  <c r="P342" i="14"/>
  <c r="Q342" i="14" s="1"/>
  <c r="P334" i="14"/>
  <c r="Q334" i="14" s="1"/>
  <c r="P326" i="14"/>
  <c r="Q326" i="14" s="1"/>
  <c r="R326" i="14" s="1"/>
  <c r="S326" i="14" s="1"/>
  <c r="P318" i="14"/>
  <c r="Q318" i="14" s="1"/>
  <c r="P310" i="14"/>
  <c r="Q310" i="14" s="1"/>
  <c r="R310" i="14" s="1"/>
  <c r="P301" i="14"/>
  <c r="Q301" i="14" s="1"/>
  <c r="P294" i="14"/>
  <c r="Q294" i="14" s="1"/>
  <c r="R294" i="14" s="1"/>
  <c r="P286" i="14"/>
  <c r="Q286" i="14" s="1"/>
  <c r="P278" i="14"/>
  <c r="Q278" i="14" s="1"/>
  <c r="R278" i="14" s="1"/>
  <c r="P270" i="14"/>
  <c r="Q270" i="14" s="1"/>
  <c r="P262" i="14"/>
  <c r="Q262" i="14" s="1"/>
  <c r="P254" i="14"/>
  <c r="Q254" i="14" s="1"/>
  <c r="P246" i="14"/>
  <c r="Q246" i="14" s="1"/>
  <c r="R246" i="14" s="1"/>
  <c r="P237" i="14"/>
  <c r="P238" i="14"/>
  <c r="Q238" i="14" s="1"/>
  <c r="P222" i="14"/>
  <c r="Q222" i="14" s="1"/>
  <c r="P206" i="14"/>
  <c r="Q206" i="14" s="1"/>
  <c r="P198" i="14"/>
  <c r="Q198" i="14" s="1"/>
  <c r="P190" i="14"/>
  <c r="Q190" i="14" s="1"/>
  <c r="P182" i="14"/>
  <c r="Q182" i="14" s="1"/>
  <c r="R182" i="14" s="1"/>
  <c r="P174" i="14"/>
  <c r="Q174" i="14" s="1"/>
  <c r="R174" i="14" s="1"/>
  <c r="S174" i="14" s="1"/>
  <c r="P166" i="14"/>
  <c r="Q166" i="14" s="1"/>
  <c r="P158" i="14"/>
  <c r="Q158" i="14" s="1"/>
  <c r="P150" i="14"/>
  <c r="Q150" i="14" s="1"/>
  <c r="P142" i="14"/>
  <c r="Q142" i="14" s="1"/>
  <c r="P134" i="14"/>
  <c r="Q134" i="14" s="1"/>
  <c r="P126" i="14"/>
  <c r="Q126" i="14" s="1"/>
  <c r="P118" i="14"/>
  <c r="Q118" i="14" s="1"/>
  <c r="P110" i="14"/>
  <c r="P94" i="14"/>
  <c r="Q94" i="14" s="1"/>
  <c r="P86" i="14"/>
  <c r="Q86" i="14" s="1"/>
  <c r="P78" i="14"/>
  <c r="P70" i="14"/>
  <c r="Q70" i="14" s="1"/>
  <c r="P62" i="14"/>
  <c r="Q62" i="14" s="1"/>
  <c r="P53" i="14"/>
  <c r="Q53" i="14" s="1"/>
  <c r="P39" i="14"/>
  <c r="Q39" i="14" s="1"/>
  <c r="P23" i="14"/>
  <c r="Q23" i="14" s="1"/>
  <c r="P15" i="14"/>
  <c r="Q15" i="14" s="1"/>
  <c r="P790" i="14"/>
  <c r="Q790" i="14" s="1"/>
  <c r="P784" i="14"/>
  <c r="Q784" i="14" s="1"/>
  <c r="P775" i="14"/>
  <c r="Q775" i="14" s="1"/>
  <c r="P760" i="14"/>
  <c r="Q760" i="14" s="1"/>
  <c r="P752" i="14"/>
  <c r="Q752" i="14" s="1"/>
  <c r="P744" i="14"/>
  <c r="Q744" i="14" s="1"/>
  <c r="P736" i="14"/>
  <c r="Q736" i="14" s="1"/>
  <c r="R736" i="14" s="1"/>
  <c r="P728" i="14"/>
  <c r="Q728" i="14" s="1"/>
  <c r="P711" i="14"/>
  <c r="Q711" i="14" s="1"/>
  <c r="P704" i="14"/>
  <c r="Q704" i="14" s="1"/>
  <c r="P696" i="14"/>
  <c r="Q696" i="14" s="1"/>
  <c r="P688" i="14"/>
  <c r="Q688" i="14" s="1"/>
  <c r="P680" i="14"/>
  <c r="Q680" i="14" s="1"/>
  <c r="R680" i="14" s="1"/>
  <c r="P672" i="14"/>
  <c r="Q672" i="14" s="1"/>
  <c r="P656" i="14"/>
  <c r="Q656" i="14" s="1"/>
  <c r="P641" i="14"/>
  <c r="Q641" i="14" s="1"/>
  <c r="R641" i="14" s="1"/>
  <c r="S641" i="14" s="1"/>
  <c r="P633" i="14"/>
  <c r="Q633" i="14" s="1"/>
  <c r="P625" i="14"/>
  <c r="Q625" i="14" s="1"/>
  <c r="P617" i="14"/>
  <c r="P609" i="14"/>
  <c r="Q609" i="14" s="1"/>
  <c r="P601" i="14"/>
  <c r="Q601" i="14" s="1"/>
  <c r="P591" i="14"/>
  <c r="Q591" i="14" s="1"/>
  <c r="P581" i="14"/>
  <c r="P573" i="14"/>
  <c r="Q573" i="14" s="1"/>
  <c r="P565" i="14"/>
  <c r="Q565" i="14" s="1"/>
  <c r="P541" i="14"/>
  <c r="Q541" i="14" s="1"/>
  <c r="P533" i="14"/>
  <c r="Q533" i="14" s="1"/>
  <c r="P525" i="14"/>
  <c r="Q525" i="14" s="1"/>
  <c r="P516" i="14"/>
  <c r="Q516" i="14" s="1"/>
  <c r="P500" i="14"/>
  <c r="Q500" i="14" s="1"/>
  <c r="R500" i="14" s="1"/>
  <c r="P492" i="14"/>
  <c r="P484" i="14"/>
  <c r="P476" i="14"/>
  <c r="Q476" i="14" s="1"/>
  <c r="P468" i="14"/>
  <c r="Q468" i="14" s="1"/>
  <c r="P460" i="14"/>
  <c r="P452" i="14"/>
  <c r="Q452" i="14" s="1"/>
  <c r="R452" i="14" s="1"/>
  <c r="P437" i="14"/>
  <c r="Q437" i="14" s="1"/>
  <c r="P428" i="14"/>
  <c r="Q428" i="14" s="1"/>
  <c r="P421" i="14"/>
  <c r="Q421" i="14" s="1"/>
  <c r="P413" i="14"/>
  <c r="Q413" i="14" s="1"/>
  <c r="R413" i="14" s="1"/>
  <c r="S413" i="14" s="1"/>
  <c r="P405" i="14"/>
  <c r="Q405" i="14" s="1"/>
  <c r="P389" i="14"/>
  <c r="Q389" i="14" s="1"/>
  <c r="R389" i="14" s="1"/>
  <c r="P381" i="14"/>
  <c r="Q381" i="14" s="1"/>
  <c r="P373" i="14"/>
  <c r="P365" i="14"/>
  <c r="Q365" i="14" s="1"/>
  <c r="P357" i="14"/>
  <c r="Q357" i="14" s="1"/>
  <c r="P349" i="14"/>
  <c r="Q349" i="14" s="1"/>
  <c r="P333" i="14"/>
  <c r="Q333" i="14" s="1"/>
  <c r="P325" i="14"/>
  <c r="P317" i="14"/>
  <c r="Q317" i="14" s="1"/>
  <c r="P309" i="14"/>
  <c r="Q309" i="14" s="1"/>
  <c r="P300" i="14"/>
  <c r="Q300" i="14" s="1"/>
  <c r="R300" i="14" s="1"/>
  <c r="P293" i="14"/>
  <c r="P277" i="14"/>
  <c r="Q277" i="14" s="1"/>
  <c r="P269" i="14"/>
  <c r="Q269" i="14" s="1"/>
  <c r="P261" i="14"/>
  <c r="Q261" i="14" s="1"/>
  <c r="P253" i="14"/>
  <c r="Q253" i="14" s="1"/>
  <c r="P245" i="14"/>
  <c r="P236" i="14"/>
  <c r="P229" i="14"/>
  <c r="Q229" i="14" s="1"/>
  <c r="P221" i="14"/>
  <c r="Q221" i="14" s="1"/>
  <c r="P213" i="14"/>
  <c r="P205" i="14"/>
  <c r="Q205" i="14" s="1"/>
  <c r="R205" i="14" s="1"/>
  <c r="S205" i="14" s="1"/>
  <c r="T205" i="14" s="1"/>
  <c r="U205" i="14" s="1"/>
  <c r="P197" i="14"/>
  <c r="Q197" i="14" s="1"/>
  <c r="P189" i="14"/>
  <c r="Q189" i="14" s="1"/>
  <c r="P180" i="14"/>
  <c r="P173" i="14"/>
  <c r="P165" i="14"/>
  <c r="Q165" i="14" s="1"/>
  <c r="P157" i="14"/>
  <c r="P149" i="14"/>
  <c r="P141" i="14"/>
  <c r="P133" i="14"/>
  <c r="Q133" i="14" s="1"/>
  <c r="P125" i="14"/>
  <c r="Q125" i="14" s="1"/>
  <c r="P117" i="14"/>
  <c r="P109" i="14"/>
  <c r="Q109" i="14" s="1"/>
  <c r="R109" i="14" s="1"/>
  <c r="P100" i="14"/>
  <c r="P85" i="14"/>
  <c r="P77" i="14"/>
  <c r="Q77" i="14" s="1"/>
  <c r="P52" i="14"/>
  <c r="Q52" i="14" s="1"/>
  <c r="P46" i="14"/>
  <c r="Q46" i="14" s="1"/>
  <c r="R46" i="14" s="1"/>
  <c r="P38" i="14"/>
  <c r="P30" i="14"/>
  <c r="P22" i="14"/>
  <c r="P14" i="14"/>
  <c r="P783" i="14"/>
  <c r="P774" i="14"/>
  <c r="P767" i="14"/>
  <c r="P751" i="14"/>
  <c r="Q751" i="14" s="1"/>
  <c r="R751" i="14" s="1"/>
  <c r="P743" i="14"/>
  <c r="Q743" i="14" s="1"/>
  <c r="R743" i="14" s="1"/>
  <c r="S743" i="14" s="1"/>
  <c r="P735" i="14"/>
  <c r="P727" i="14"/>
  <c r="Q727" i="14" s="1"/>
  <c r="P710" i="14"/>
  <c r="Q710" i="14" s="1"/>
  <c r="P703" i="14"/>
  <c r="Q703" i="14" s="1"/>
  <c r="P695" i="14"/>
  <c r="Q695" i="14" s="1"/>
  <c r="P687" i="14"/>
  <c r="Q687" i="14" s="1"/>
  <c r="R687" i="14" s="1"/>
  <c r="P679" i="14"/>
  <c r="Q679" i="14" s="1"/>
  <c r="P671" i="14"/>
  <c r="Q671" i="14" s="1"/>
  <c r="R671" i="14" s="1"/>
  <c r="P654" i="14"/>
  <c r="P648" i="14"/>
  <c r="Q648" i="14" s="1"/>
  <c r="P640" i="14"/>
  <c r="Q640" i="14" s="1"/>
  <c r="P624" i="14"/>
  <c r="Q624" i="14" s="1"/>
  <c r="P616" i="14"/>
  <c r="Q616" i="14" s="1"/>
  <c r="P600" i="14"/>
  <c r="Q600" i="14" s="1"/>
  <c r="R600" i="14" s="1"/>
  <c r="P590" i="14"/>
  <c r="Q590" i="14" s="1"/>
  <c r="P580" i="14"/>
  <c r="Q580" i="14" s="1"/>
  <c r="P564" i="14"/>
  <c r="Q564" i="14" s="1"/>
  <c r="R564" i="14" s="1"/>
  <c r="P556" i="14"/>
  <c r="Q556" i="14" s="1"/>
  <c r="P548" i="14"/>
  <c r="Q548" i="14" s="1"/>
  <c r="P540" i="14"/>
  <c r="Q540" i="14" s="1"/>
  <c r="P532" i="14"/>
  <c r="Q532" i="14" s="1"/>
  <c r="R532" i="14" s="1"/>
  <c r="P524" i="14"/>
  <c r="Q524" i="14" s="1"/>
  <c r="P515" i="14"/>
  <c r="Q515" i="14" s="1"/>
  <c r="P507" i="14"/>
  <c r="Q507" i="14" s="1"/>
  <c r="P499" i="14"/>
  <c r="Q499" i="14" s="1"/>
  <c r="P491" i="14"/>
  <c r="Q491" i="14" s="1"/>
  <c r="P483" i="14"/>
  <c r="Q483" i="14" s="1"/>
  <c r="R483" i="14" s="1"/>
  <c r="P475" i="14"/>
  <c r="Q475" i="14" s="1"/>
  <c r="P467" i="14"/>
  <c r="Q467" i="14" s="1"/>
  <c r="R467" i="14" s="1"/>
  <c r="P459" i="14"/>
  <c r="Q459" i="14" s="1"/>
  <c r="P444" i="14"/>
  <c r="Q444" i="14" s="1"/>
  <c r="R444" i="14" s="1"/>
  <c r="P436" i="14"/>
  <c r="Q436" i="14" s="1"/>
  <c r="P430" i="14"/>
  <c r="P420" i="14"/>
  <c r="P412" i="14"/>
  <c r="P396" i="14"/>
  <c r="Q396" i="14" s="1"/>
  <c r="P388" i="14"/>
  <c r="P380" i="14"/>
  <c r="Q380" i="14" s="1"/>
  <c r="P372" i="14"/>
  <c r="Q372" i="14" s="1"/>
  <c r="R372" i="14" s="1"/>
  <c r="P364" i="14"/>
  <c r="Q364" i="14" s="1"/>
  <c r="P356" i="14"/>
  <c r="Q356" i="14" s="1"/>
  <c r="R356" i="14" s="1"/>
  <c r="P348" i="14"/>
  <c r="P332" i="14"/>
  <c r="Q332" i="14" s="1"/>
  <c r="P324" i="14"/>
  <c r="Q324" i="14" s="1"/>
  <c r="R324" i="14" s="1"/>
  <c r="S324" i="14" s="1"/>
  <c r="P316" i="14"/>
  <c r="Q316" i="14" s="1"/>
  <c r="P308" i="14"/>
  <c r="Q308" i="14" s="1"/>
  <c r="P299" i="14"/>
  <c r="Q299" i="14" s="1"/>
  <c r="P292" i="14"/>
  <c r="P284" i="14"/>
  <c r="Q284" i="14" s="1"/>
  <c r="P268" i="14"/>
  <c r="Q268" i="14" s="1"/>
  <c r="P260" i="14"/>
  <c r="Q260" i="14" s="1"/>
  <c r="P252" i="14"/>
  <c r="Q252" i="14" s="1"/>
  <c r="P235" i="14"/>
  <c r="Q235" i="14" s="1"/>
  <c r="P228" i="14"/>
  <c r="Q228" i="14" s="1"/>
  <c r="R228" i="14" s="1"/>
  <c r="S228" i="14" s="1"/>
  <c r="P220" i="14"/>
  <c r="Q220" i="14" s="1"/>
  <c r="P212" i="14"/>
  <c r="Q212" i="14" s="1"/>
  <c r="P204" i="14"/>
  <c r="Q204" i="14" s="1"/>
  <c r="P196" i="14"/>
  <c r="Q196" i="14" s="1"/>
  <c r="R196" i="14" s="1"/>
  <c r="P188" i="14"/>
  <c r="Q188" i="14" s="1"/>
  <c r="P179" i="14"/>
  <c r="Q179" i="14" s="1"/>
  <c r="P172" i="14"/>
  <c r="P164" i="14"/>
  <c r="Q164" i="14" s="1"/>
  <c r="P156" i="14"/>
  <c r="Q156" i="14" s="1"/>
  <c r="P148" i="14"/>
  <c r="Q148" i="14" s="1"/>
  <c r="R148" i="14" s="1"/>
  <c r="P140" i="14"/>
  <c r="Q140" i="14" s="1"/>
  <c r="R140" i="14" s="1"/>
  <c r="P132" i="14"/>
  <c r="Q132" i="14" s="1"/>
  <c r="P124" i="14"/>
  <c r="Q124" i="14" s="1"/>
  <c r="R124" i="14" s="1"/>
  <c r="P116" i="14"/>
  <c r="Q116" i="14" s="1"/>
  <c r="P108" i="14"/>
  <c r="Q108" i="14" s="1"/>
  <c r="P99" i="14"/>
  <c r="Q99" i="14" s="1"/>
  <c r="R99" i="14" s="1"/>
  <c r="S99" i="14" s="1"/>
  <c r="P92" i="14"/>
  <c r="Q92" i="14" s="1"/>
  <c r="P84" i="14"/>
  <c r="Q84" i="14" s="1"/>
  <c r="P76" i="14"/>
  <c r="Q76" i="14" s="1"/>
  <c r="R76" i="14" s="1"/>
  <c r="P68" i="14"/>
  <c r="Q68" i="14" s="1"/>
  <c r="R68" i="14" s="1"/>
  <c r="P60" i="14"/>
  <c r="Q60" i="14" s="1"/>
  <c r="P55" i="14"/>
  <c r="Q55" i="14" s="1"/>
  <c r="P45" i="14"/>
  <c r="Q45" i="14" s="1"/>
  <c r="P37" i="14"/>
  <c r="Q37" i="14" s="1"/>
  <c r="P29" i="14"/>
  <c r="Q29" i="14" s="1"/>
  <c r="R29" i="14" s="1"/>
  <c r="P21" i="14"/>
  <c r="Q21" i="14" s="1"/>
  <c r="P13" i="14"/>
  <c r="Q13" i="14" s="1"/>
  <c r="P4" i="14"/>
  <c r="Q4" i="14" s="1"/>
  <c r="R4" i="14" s="1"/>
  <c r="P782" i="14"/>
  <c r="Q782" i="14" s="1"/>
  <c r="R782" i="14" s="1"/>
  <c r="P766" i="14"/>
  <c r="P758" i="14"/>
  <c r="Q758" i="14" s="1"/>
  <c r="P750" i="14"/>
  <c r="Q750" i="14" s="1"/>
  <c r="R750" i="14" s="1"/>
  <c r="P734" i="14"/>
  <c r="Q734" i="14" s="1"/>
  <c r="R734" i="14" s="1"/>
  <c r="P726" i="14"/>
  <c r="Q726" i="14" s="1"/>
  <c r="P718" i="14"/>
  <c r="Q718" i="14" s="1"/>
  <c r="P709" i="14"/>
  <c r="Q709" i="14" s="1"/>
  <c r="P702" i="14"/>
  <c r="P694" i="14"/>
  <c r="Q694" i="14" s="1"/>
  <c r="P678" i="14"/>
  <c r="P670" i="14"/>
  <c r="Q670" i="14" s="1"/>
  <c r="P653" i="14"/>
  <c r="Q653" i="14" s="1"/>
  <c r="P647" i="14"/>
  <c r="Q647" i="14" s="1"/>
  <c r="P639" i="14"/>
  <c r="P631" i="14"/>
  <c r="P623" i="14"/>
  <c r="Q623" i="14" s="1"/>
  <c r="P615" i="14"/>
  <c r="Q615" i="14" s="1"/>
  <c r="P607" i="14"/>
  <c r="Q607" i="14" s="1"/>
  <c r="R607" i="14" s="1"/>
  <c r="P599" i="14"/>
  <c r="Q599" i="14" s="1"/>
  <c r="P587" i="14"/>
  <c r="Q587" i="14" s="1"/>
  <c r="P579" i="14"/>
  <c r="Q579" i="14" s="1"/>
  <c r="P563" i="14"/>
  <c r="P555" i="14"/>
  <c r="P547" i="14"/>
  <c r="P539" i="14"/>
  <c r="Q539" i="14" s="1"/>
  <c r="P531" i="14"/>
  <c r="P514" i="14"/>
  <c r="P505" i="14"/>
  <c r="P498" i="14"/>
  <c r="P490" i="14"/>
  <c r="P482" i="14"/>
  <c r="Q482" i="14" s="1"/>
  <c r="P474" i="14"/>
  <c r="Q474" i="14" s="1"/>
  <c r="R474" i="14" s="1"/>
  <c r="P466" i="14"/>
  <c r="Q466" i="14" s="1"/>
  <c r="P458" i="14"/>
  <c r="Q458" i="14" s="1"/>
  <c r="P450" i="14"/>
  <c r="Q450" i="14" s="1"/>
  <c r="P443" i="14"/>
  <c r="Q443" i="14" s="1"/>
  <c r="P435" i="14"/>
  <c r="Q435" i="14" s="1"/>
  <c r="P427" i="14"/>
  <c r="Q427" i="14" s="1"/>
  <c r="R427" i="14" s="1"/>
  <c r="P419" i="14"/>
  <c r="P411" i="14"/>
  <c r="Q411" i="14" s="1"/>
  <c r="R411" i="14" s="1"/>
  <c r="P403" i="14"/>
  <c r="P395" i="14"/>
  <c r="P387" i="14"/>
  <c r="Q387" i="14" s="1"/>
  <c r="R387" i="14" s="1"/>
  <c r="P379" i="14"/>
  <c r="P371" i="14"/>
  <c r="Q371" i="14" s="1"/>
  <c r="P363" i="14"/>
  <c r="P347" i="14"/>
  <c r="P339" i="14"/>
  <c r="Q339" i="14" s="1"/>
  <c r="R339" i="14" s="1"/>
  <c r="S339" i="14" s="1"/>
  <c r="P331" i="14"/>
  <c r="Q331" i="14" s="1"/>
  <c r="R331" i="14" s="1"/>
  <c r="P323" i="14"/>
  <c r="Q323" i="14" s="1"/>
  <c r="P315" i="14"/>
  <c r="Q315" i="14" s="1"/>
  <c r="P304" i="14"/>
  <c r="P291" i="14"/>
  <c r="Q291" i="14" s="1"/>
  <c r="P283" i="14"/>
  <c r="Q283" i="14" s="1"/>
  <c r="R283" i="14" s="1"/>
  <c r="P275" i="14"/>
  <c r="Q275" i="14" s="1"/>
  <c r="P267" i="14"/>
  <c r="P259" i="14"/>
  <c r="Q259" i="14" s="1"/>
  <c r="P251" i="14"/>
  <c r="Q251" i="14" s="1"/>
  <c r="P234" i="14"/>
  <c r="P227" i="14"/>
  <c r="Q227" i="14" s="1"/>
  <c r="P219" i="14"/>
  <c r="Q219" i="14" s="1"/>
  <c r="R219" i="14" s="1"/>
  <c r="P211" i="14"/>
  <c r="Q211" i="14" s="1"/>
  <c r="P203" i="14"/>
  <c r="P195" i="14"/>
  <c r="Q195" i="14" s="1"/>
  <c r="P187" i="14"/>
  <c r="Q187" i="14" s="1"/>
  <c r="R187" i="14" s="1"/>
  <c r="P181" i="14"/>
  <c r="Q181" i="14" s="1"/>
  <c r="P171" i="14"/>
  <c r="P155" i="14"/>
  <c r="Q155" i="14" s="1"/>
  <c r="R155" i="14" s="1"/>
  <c r="P147" i="14"/>
  <c r="P139" i="14"/>
  <c r="P131" i="14"/>
  <c r="Q131" i="14" s="1"/>
  <c r="P123" i="14"/>
  <c r="Q123" i="14" s="1"/>
  <c r="P115" i="14"/>
  <c r="Q115" i="14" s="1"/>
  <c r="R115" i="14" s="1"/>
  <c r="P107" i="14"/>
  <c r="Q107" i="14" s="1"/>
  <c r="P98" i="14"/>
  <c r="P91" i="14"/>
  <c r="Q91" i="14" s="1"/>
  <c r="P83" i="14"/>
  <c r="P67" i="14"/>
  <c r="P59" i="14"/>
  <c r="P51" i="14"/>
  <c r="Q51" i="14" s="1"/>
  <c r="R51" i="14" s="1"/>
  <c r="P44" i="14"/>
  <c r="Q44" i="14" s="1"/>
  <c r="P36" i="14"/>
  <c r="Q36" i="14" s="1"/>
  <c r="P20" i="14"/>
  <c r="Q20" i="14" s="1"/>
  <c r="P3" i="14"/>
  <c r="Q3" i="14" s="1"/>
  <c r="R3" i="14" s="1"/>
  <c r="P789" i="14"/>
  <c r="P781" i="14"/>
  <c r="Q781" i="14" s="1"/>
  <c r="R781" i="14" s="1"/>
  <c r="P772" i="14"/>
  <c r="P765" i="14"/>
  <c r="Q765" i="14" s="1"/>
  <c r="P757" i="14"/>
  <c r="Q757" i="14" s="1"/>
  <c r="P749" i="14"/>
  <c r="P741" i="14"/>
  <c r="Q741" i="14" s="1"/>
  <c r="P733" i="14"/>
  <c r="P725" i="14"/>
  <c r="Q725" i="14" s="1"/>
  <c r="P717" i="14"/>
  <c r="Q717" i="14" s="1"/>
  <c r="P708" i="14"/>
  <c r="Q708" i="14" s="1"/>
  <c r="P701" i="14"/>
  <c r="P693" i="14"/>
  <c r="Q693" i="14" s="1"/>
  <c r="R693" i="14" s="1"/>
  <c r="S693" i="14" s="1"/>
  <c r="T693" i="14" s="1"/>
  <c r="P685" i="14"/>
  <c r="P677" i="14"/>
  <c r="Q677" i="14" s="1"/>
  <c r="P669" i="14"/>
  <c r="Q669" i="14" s="1"/>
  <c r="R669" i="14" s="1"/>
  <c r="P652" i="14"/>
  <c r="P646" i="14"/>
  <c r="Q646" i="14" s="1"/>
  <c r="P638" i="14"/>
  <c r="P622" i="14"/>
  <c r="Q622" i="14" s="1"/>
  <c r="R622" i="14" s="1"/>
  <c r="P614" i="14"/>
  <c r="Q614" i="14" s="1"/>
  <c r="R614" i="14" s="1"/>
  <c r="P606" i="14"/>
  <c r="Q606" i="14" s="1"/>
  <c r="P598" i="14"/>
  <c r="Q598" i="14" s="1"/>
  <c r="P586" i="14"/>
  <c r="Q586" i="14" s="1"/>
  <c r="P578" i="14"/>
  <c r="Q578" i="14" s="1"/>
  <c r="P570" i="14"/>
  <c r="Q570" i="14" s="1"/>
  <c r="P562" i="14"/>
  <c r="Q562" i="14" s="1"/>
  <c r="R562" i="14" s="1"/>
  <c r="P554" i="14"/>
  <c r="Q554" i="14" s="1"/>
  <c r="P546" i="14"/>
  <c r="Q546" i="14" s="1"/>
  <c r="P538" i="14"/>
  <c r="Q538" i="14" s="1"/>
  <c r="P530" i="14"/>
  <c r="Q530" i="14" s="1"/>
  <c r="R530" i="14" s="1"/>
  <c r="P522" i="14"/>
  <c r="Q522" i="14" s="1"/>
  <c r="R522" i="14" s="1"/>
  <c r="P513" i="14"/>
  <c r="Q513" i="14" s="1"/>
  <c r="R513" i="14" s="1"/>
  <c r="P497" i="14"/>
  <c r="P489" i="14"/>
  <c r="Q489" i="14" s="1"/>
  <c r="R489" i="14" s="1"/>
  <c r="P481" i="14"/>
  <c r="Q481" i="14" s="1"/>
  <c r="P473" i="14"/>
  <c r="Q473" i="14" s="1"/>
  <c r="R473" i="14" s="1"/>
  <c r="P457" i="14"/>
  <c r="Q457" i="14" s="1"/>
  <c r="P442" i="14"/>
  <c r="Q442" i="14" s="1"/>
  <c r="R442" i="14" s="1"/>
  <c r="S442" i="14" s="1"/>
  <c r="P434" i="14"/>
  <c r="Q434" i="14" s="1"/>
  <c r="P426" i="14"/>
  <c r="Q426" i="14" s="1"/>
  <c r="P418" i="14"/>
  <c r="Q418" i="14" s="1"/>
  <c r="R418" i="14" s="1"/>
  <c r="S418" i="14" s="1"/>
  <c r="P410" i="14"/>
  <c r="Q410" i="14" s="1"/>
  <c r="P402" i="14"/>
  <c r="Q402" i="14" s="1"/>
  <c r="R402" i="14" s="1"/>
  <c r="S402" i="14" s="1"/>
  <c r="P394" i="14"/>
  <c r="Q394" i="14" s="1"/>
  <c r="P378" i="14"/>
  <c r="Q378" i="14" s="1"/>
  <c r="P370" i="14"/>
  <c r="P362" i="14"/>
  <c r="P354" i="14"/>
  <c r="Q354" i="14" s="1"/>
  <c r="P346" i="14"/>
  <c r="Q346" i="14" s="1"/>
  <c r="P338" i="14"/>
  <c r="Q338" i="14" s="1"/>
  <c r="R338" i="14" s="1"/>
  <c r="P330" i="14"/>
  <c r="P314" i="14"/>
  <c r="Q314" i="14" s="1"/>
  <c r="P306" i="14"/>
  <c r="Q306" i="14" s="1"/>
  <c r="R306" i="14" s="1"/>
  <c r="P298" i="14"/>
  <c r="P290" i="14"/>
  <c r="Q290" i="14" s="1"/>
  <c r="R290" i="14" s="1"/>
  <c r="P282" i="14"/>
  <c r="Q282" i="14" s="1"/>
  <c r="P266" i="14"/>
  <c r="Q266" i="14" s="1"/>
  <c r="P258" i="14"/>
  <c r="Q258" i="14" s="1"/>
  <c r="R258" i="14" s="1"/>
  <c r="P250" i="14"/>
  <c r="Q250" i="14" s="1"/>
  <c r="P242" i="14"/>
  <c r="Q242" i="14" s="1"/>
  <c r="P226" i="14"/>
  <c r="Q226" i="14" s="1"/>
  <c r="P218" i="14"/>
  <c r="Q218" i="14" s="1"/>
  <c r="P210" i="14"/>
  <c r="Q210" i="14" s="1"/>
  <c r="P202" i="14"/>
  <c r="Q202" i="14" s="1"/>
  <c r="P194" i="14"/>
  <c r="Q194" i="14" s="1"/>
  <c r="P178" i="14"/>
  <c r="Q178" i="14" s="1"/>
  <c r="P170" i="14"/>
  <c r="Q170" i="14" s="1"/>
  <c r="P162" i="14"/>
  <c r="Q162" i="14" s="1"/>
  <c r="P138" i="14"/>
  <c r="Q138" i="14" s="1"/>
  <c r="P130" i="14"/>
  <c r="P122" i="14"/>
  <c r="Q122" i="14" s="1"/>
  <c r="R122" i="14" s="1"/>
  <c r="P114" i="14"/>
  <c r="Q114" i="14" s="1"/>
  <c r="P106" i="14"/>
  <c r="Q106" i="14" s="1"/>
  <c r="R106" i="14" s="1"/>
  <c r="P101" i="14"/>
  <c r="P82" i="14"/>
  <c r="Q82" i="14" s="1"/>
  <c r="P74" i="14"/>
  <c r="P66" i="14"/>
  <c r="Q66" i="14" s="1"/>
  <c r="R66" i="14" s="1"/>
  <c r="P58" i="14"/>
  <c r="Q58" i="14" s="1"/>
  <c r="R58" i="14" s="1"/>
  <c r="P589" i="14"/>
  <c r="Q589" i="14" s="1"/>
  <c r="P43" i="14"/>
  <c r="Q43" i="14" s="1"/>
  <c r="P35" i="14"/>
  <c r="Q35" i="14" s="1"/>
  <c r="P27" i="14"/>
  <c r="Q27" i="14" s="1"/>
  <c r="R27" i="14" s="1"/>
  <c r="P19" i="14"/>
  <c r="Q19" i="14" s="1"/>
  <c r="P10" i="14"/>
  <c r="Q10" i="14" s="1"/>
  <c r="R10" i="14" s="1"/>
  <c r="P2" i="14"/>
  <c r="Q2" i="14" s="1"/>
  <c r="P759" i="11"/>
  <c r="Q759" i="11" s="1"/>
  <c r="P706" i="11"/>
  <c r="Q706" i="11" s="1"/>
  <c r="R706" i="11" s="1"/>
  <c r="P651" i="11"/>
  <c r="Q651" i="11" s="1"/>
  <c r="R651" i="11" s="1"/>
  <c r="P595" i="11"/>
  <c r="Q595" i="11" s="1"/>
  <c r="P452" i="11"/>
  <c r="Q452" i="11" s="1"/>
  <c r="P385" i="11"/>
  <c r="Q385" i="11" s="1"/>
  <c r="P332" i="11"/>
  <c r="Q332" i="11" s="1"/>
  <c r="P283" i="11"/>
  <c r="Q283" i="11" s="1"/>
  <c r="P236" i="11"/>
  <c r="Q236" i="11" s="1"/>
  <c r="P188" i="11"/>
  <c r="P125" i="11"/>
  <c r="Q125" i="11" s="1"/>
  <c r="R125" i="11" s="1"/>
  <c r="P53" i="11"/>
  <c r="Q53" i="11" s="1"/>
  <c r="P749" i="11"/>
  <c r="P740" i="11"/>
  <c r="Q740" i="11" s="1"/>
  <c r="P732" i="11"/>
  <c r="P724" i="11"/>
  <c r="Q724" i="11" s="1"/>
  <c r="P715" i="11"/>
  <c r="Q715" i="11" s="1"/>
  <c r="P707" i="11"/>
  <c r="Q707" i="11" s="1"/>
  <c r="P699" i="11"/>
  <c r="Q699" i="11" s="1"/>
  <c r="P690" i="11"/>
  <c r="Q690" i="11" s="1"/>
  <c r="P682" i="11"/>
  <c r="P674" i="11"/>
  <c r="Q674" i="11" s="1"/>
  <c r="P668" i="11"/>
  <c r="Q668" i="11" s="1"/>
  <c r="P660" i="11"/>
  <c r="Q660" i="11" s="1"/>
  <c r="P652" i="11"/>
  <c r="P643" i="11"/>
  <c r="Q643" i="11" s="1"/>
  <c r="R643" i="11" s="1"/>
  <c r="S643" i="11" s="1"/>
  <c r="P636" i="11"/>
  <c r="Q636" i="11" s="1"/>
  <c r="P628" i="11"/>
  <c r="Q628" i="11" s="1"/>
  <c r="P620" i="11"/>
  <c r="Q620" i="11" s="1"/>
  <c r="P612" i="11"/>
  <c r="Q612" i="11" s="1"/>
  <c r="P604" i="11"/>
  <c r="P596" i="11"/>
  <c r="Q596" i="11" s="1"/>
  <c r="P580" i="11"/>
  <c r="Q580" i="11" s="1"/>
  <c r="P571" i="11"/>
  <c r="Q571" i="11" s="1"/>
  <c r="R571" i="11" s="1"/>
  <c r="P564" i="11"/>
  <c r="Q564" i="11" s="1"/>
  <c r="P556" i="11"/>
  <c r="Q556" i="11" s="1"/>
  <c r="P548" i="11"/>
  <c r="Q548" i="11" s="1"/>
  <c r="P532" i="11"/>
  <c r="Q532" i="11" s="1"/>
  <c r="P517" i="11"/>
  <c r="Q517" i="11" s="1"/>
  <c r="P511" i="11"/>
  <c r="P501" i="11"/>
  <c r="Q501" i="11" s="1"/>
  <c r="P493" i="11"/>
  <c r="Q493" i="11" s="1"/>
  <c r="P485" i="11"/>
  <c r="P477" i="11"/>
  <c r="Q477" i="11" s="1"/>
  <c r="P469" i="11"/>
  <c r="P461" i="11"/>
  <c r="P453" i="11"/>
  <c r="Q453" i="11" s="1"/>
  <c r="P445" i="11"/>
  <c r="Q445" i="11" s="1"/>
  <c r="P435" i="11"/>
  <c r="P428" i="11"/>
  <c r="Q428" i="11" s="1"/>
  <c r="P412" i="11"/>
  <c r="Q412" i="11" s="1"/>
  <c r="P404" i="11"/>
  <c r="Q404" i="11" s="1"/>
  <c r="R404" i="11" s="1"/>
  <c r="S404" i="11" s="1"/>
  <c r="P396" i="11"/>
  <c r="Q396" i="11" s="1"/>
  <c r="R396" i="11" s="1"/>
  <c r="P386" i="11"/>
  <c r="Q386" i="11" s="1"/>
  <c r="P380" i="11"/>
  <c r="Q380" i="11" s="1"/>
  <c r="P372" i="11"/>
  <c r="Q372" i="11" s="1"/>
  <c r="P357" i="11"/>
  <c r="P349" i="11"/>
  <c r="Q349" i="11" s="1"/>
  <c r="P341" i="11"/>
  <c r="Q341" i="11" s="1"/>
  <c r="P333" i="11"/>
  <c r="P325" i="11"/>
  <c r="Q325" i="11" s="1"/>
  <c r="R325" i="11" s="1"/>
  <c r="S325" i="11" s="1"/>
  <c r="P316" i="11"/>
  <c r="Q316" i="11" s="1"/>
  <c r="R316" i="11" s="1"/>
  <c r="P308" i="11"/>
  <c r="Q308" i="11" s="1"/>
  <c r="R308" i="11" s="1"/>
  <c r="P300" i="11"/>
  <c r="P292" i="11"/>
  <c r="Q292" i="11" s="1"/>
  <c r="R292" i="11" s="1"/>
  <c r="S292" i="11" s="1"/>
  <c r="P284" i="11"/>
  <c r="P270" i="11"/>
  <c r="P261" i="11"/>
  <c r="Q261" i="11" s="1"/>
  <c r="P253" i="11"/>
  <c r="Q253" i="11" s="1"/>
  <c r="P245" i="11"/>
  <c r="Q245" i="11" s="1"/>
  <c r="P237" i="11"/>
  <c r="Q237" i="11" s="1"/>
  <c r="R237" i="11" s="1"/>
  <c r="P229" i="11"/>
  <c r="Q229" i="11" s="1"/>
  <c r="P221" i="11"/>
  <c r="Q221" i="11" s="1"/>
  <c r="P212" i="11"/>
  <c r="Q212" i="11" s="1"/>
  <c r="P205" i="11"/>
  <c r="Q205" i="11" s="1"/>
  <c r="R205" i="11" s="1"/>
  <c r="P197" i="11"/>
  <c r="Q197" i="11" s="1"/>
  <c r="P189" i="11"/>
  <c r="P165" i="11"/>
  <c r="P149" i="11"/>
  <c r="Q149" i="11" s="1"/>
  <c r="R149" i="11" s="1"/>
  <c r="S149" i="11" s="1"/>
  <c r="P141" i="11"/>
  <c r="Q141" i="11" s="1"/>
  <c r="P134" i="11"/>
  <c r="Q134" i="11" s="1"/>
  <c r="P126" i="11"/>
  <c r="Q126" i="11" s="1"/>
  <c r="R126" i="11" s="1"/>
  <c r="P110" i="11"/>
  <c r="Q110" i="11" s="1"/>
  <c r="P102" i="11"/>
  <c r="P94" i="11"/>
  <c r="P86" i="11"/>
  <c r="Q86" i="11" s="1"/>
  <c r="P78" i="11"/>
  <c r="Q78" i="11" s="1"/>
  <c r="P70" i="11"/>
  <c r="Q70" i="11" s="1"/>
  <c r="R70" i="11" s="1"/>
  <c r="P61" i="11"/>
  <c r="Q61" i="11" s="1"/>
  <c r="P54" i="11"/>
  <c r="Q54" i="11" s="1"/>
  <c r="P46" i="11"/>
  <c r="Q46" i="11" s="1"/>
  <c r="P40" i="11"/>
  <c r="Q40" i="11" s="1"/>
  <c r="P32" i="11"/>
  <c r="Q32" i="11" s="1"/>
  <c r="P24" i="11"/>
  <c r="Q24" i="11" s="1"/>
  <c r="R24" i="11" s="1"/>
  <c r="P16" i="11"/>
  <c r="Q16" i="11" s="1"/>
  <c r="P698" i="11"/>
  <c r="Q698" i="11" s="1"/>
  <c r="R698" i="11" s="1"/>
  <c r="P635" i="11"/>
  <c r="Q635" i="11" s="1"/>
  <c r="R635" i="11" s="1"/>
  <c r="P579" i="11"/>
  <c r="P507" i="11"/>
  <c r="Q507" i="11" s="1"/>
  <c r="P434" i="11"/>
  <c r="Q434" i="11" s="1"/>
  <c r="P364" i="11"/>
  <c r="Q364" i="11" s="1"/>
  <c r="P307" i="11"/>
  <c r="Q307" i="11" s="1"/>
  <c r="R307" i="11" s="1"/>
  <c r="P252" i="11"/>
  <c r="Q252" i="11" s="1"/>
  <c r="P172" i="11"/>
  <c r="Q172" i="11" s="1"/>
  <c r="R172" i="11" s="1"/>
  <c r="P101" i="11"/>
  <c r="Q101" i="11" s="1"/>
  <c r="R101" i="11" s="1"/>
  <c r="P758" i="11"/>
  <c r="Q758" i="11" s="1"/>
  <c r="R758" i="11" s="1"/>
  <c r="P746" i="11"/>
  <c r="Q746" i="11" s="1"/>
  <c r="P738" i="11"/>
  <c r="Q738" i="11" s="1"/>
  <c r="P730" i="11"/>
  <c r="Q730" i="11" s="1"/>
  <c r="P721" i="11"/>
  <c r="Q721" i="11" s="1"/>
  <c r="R721" i="11" s="1"/>
  <c r="P713" i="11"/>
  <c r="Q713" i="11" s="1"/>
  <c r="P705" i="11"/>
  <c r="Q705" i="11" s="1"/>
  <c r="P697" i="11"/>
  <c r="P688" i="11"/>
  <c r="P680" i="11"/>
  <c r="P672" i="11"/>
  <c r="Q672" i="11" s="1"/>
  <c r="R672" i="11" s="1"/>
  <c r="P666" i="11"/>
  <c r="Q666" i="11" s="1"/>
  <c r="P658" i="11"/>
  <c r="P650" i="11"/>
  <c r="Q650" i="11" s="1"/>
  <c r="P641" i="11"/>
  <c r="Q641" i="11" s="1"/>
  <c r="R641" i="11" s="1"/>
  <c r="P634" i="11"/>
  <c r="Q634" i="11" s="1"/>
  <c r="P626" i="11"/>
  <c r="P618" i="11"/>
  <c r="Q618" i="11" s="1"/>
  <c r="P602" i="11"/>
  <c r="P594" i="11"/>
  <c r="Q594" i="11" s="1"/>
  <c r="R594" i="11" s="1"/>
  <c r="P586" i="11"/>
  <c r="P578" i="11"/>
  <c r="Q578" i="11" s="1"/>
  <c r="P569" i="11"/>
  <c r="P562" i="11"/>
  <c r="Q562" i="11" s="1"/>
  <c r="P554" i="11"/>
  <c r="P546" i="11"/>
  <c r="Q546" i="11" s="1"/>
  <c r="P538" i="11"/>
  <c r="Q538" i="11" s="1"/>
  <c r="P530" i="11"/>
  <c r="P515" i="11"/>
  <c r="Q515" i="11" s="1"/>
  <c r="P510" i="11"/>
  <c r="P499" i="11"/>
  <c r="Q499" i="11" s="1"/>
  <c r="P491" i="11"/>
  <c r="P483" i="11"/>
  <c r="P475" i="11"/>
  <c r="P467" i="11"/>
  <c r="P459" i="11"/>
  <c r="P440" i="11"/>
  <c r="Q440" i="11" s="1"/>
  <c r="P433" i="11"/>
  <c r="P426" i="11"/>
  <c r="P418" i="11"/>
  <c r="P410" i="11"/>
  <c r="Q410" i="11" s="1"/>
  <c r="R410" i="11" s="1"/>
  <c r="P402" i="11"/>
  <c r="Q402" i="11" s="1"/>
  <c r="R402" i="11" s="1"/>
  <c r="P394" i="11"/>
  <c r="Q394" i="11" s="1"/>
  <c r="P384" i="11"/>
  <c r="Q384" i="11" s="1"/>
  <c r="P378" i="11"/>
  <c r="Q378" i="11" s="1"/>
  <c r="P370" i="11"/>
  <c r="P363" i="11"/>
  <c r="Q363" i="11" s="1"/>
  <c r="P355" i="11"/>
  <c r="Q355" i="11" s="1"/>
  <c r="R355" i="11" s="1"/>
  <c r="S355" i="11" s="1"/>
  <c r="T355" i="11" s="1"/>
  <c r="P347" i="11"/>
  <c r="P339" i="11"/>
  <c r="Q339" i="11" s="1"/>
  <c r="P331" i="11"/>
  <c r="Q331" i="11" s="1"/>
  <c r="P323" i="11"/>
  <c r="Q323" i="11" s="1"/>
  <c r="R323" i="11" s="1"/>
  <c r="S323" i="11" s="1"/>
  <c r="P314" i="11"/>
  <c r="Q314" i="11" s="1"/>
  <c r="P298" i="11"/>
  <c r="Q298" i="11" s="1"/>
  <c r="P290" i="11"/>
  <c r="Q290" i="11" s="1"/>
  <c r="P282" i="11"/>
  <c r="Q282" i="11" s="1"/>
  <c r="P275" i="11"/>
  <c r="Q275" i="11" s="1"/>
  <c r="P271" i="11"/>
  <c r="Q271" i="11" s="1"/>
  <c r="P259" i="11"/>
  <c r="Q259" i="11" s="1"/>
  <c r="P251" i="11"/>
  <c r="Q251" i="11" s="1"/>
  <c r="R251" i="11" s="1"/>
  <c r="P235" i="11"/>
  <c r="P219" i="11"/>
  <c r="Q219" i="11" s="1"/>
  <c r="P211" i="11"/>
  <c r="Q211" i="11" s="1"/>
  <c r="P187" i="11"/>
  <c r="Q187" i="11" s="1"/>
  <c r="P179" i="11"/>
  <c r="Q179" i="11" s="1"/>
  <c r="P171" i="11"/>
  <c r="P163" i="11"/>
  <c r="Q163" i="11" s="1"/>
  <c r="P155" i="11"/>
  <c r="Q155" i="11" s="1"/>
  <c r="R155" i="11" s="1"/>
  <c r="P147" i="11"/>
  <c r="Q147" i="11" s="1"/>
  <c r="P139" i="11"/>
  <c r="Q139" i="11" s="1"/>
  <c r="R139" i="11" s="1"/>
  <c r="P132" i="11"/>
  <c r="Q132" i="11" s="1"/>
  <c r="P124" i="11"/>
  <c r="Q124" i="11" s="1"/>
  <c r="R124" i="11" s="1"/>
  <c r="P116" i="11"/>
  <c r="Q116" i="11" s="1"/>
  <c r="R116" i="11" s="1"/>
  <c r="P108" i="11"/>
  <c r="Q108" i="11" s="1"/>
  <c r="P100" i="11"/>
  <c r="Q100" i="11" s="1"/>
  <c r="R100" i="11" s="1"/>
  <c r="P92" i="11"/>
  <c r="Q92" i="11" s="1"/>
  <c r="P84" i="11"/>
  <c r="Q84" i="11" s="1"/>
  <c r="R84" i="11" s="1"/>
  <c r="P76" i="11"/>
  <c r="Q76" i="11" s="1"/>
  <c r="R76" i="11" s="1"/>
  <c r="P68" i="11"/>
  <c r="Q68" i="11" s="1"/>
  <c r="R68" i="11" s="1"/>
  <c r="P52" i="11"/>
  <c r="Q52" i="11" s="1"/>
  <c r="R52" i="11" s="1"/>
  <c r="P44" i="11"/>
  <c r="P38" i="11"/>
  <c r="Q38" i="11" s="1"/>
  <c r="P30" i="11"/>
  <c r="Q30" i="11" s="1"/>
  <c r="R30" i="11" s="1"/>
  <c r="P22" i="11"/>
  <c r="Q22" i="11" s="1"/>
  <c r="P14" i="11"/>
  <c r="Q14" i="11" s="1"/>
  <c r="P6" i="11"/>
  <c r="Q6" i="11" s="1"/>
  <c r="P714" i="11"/>
  <c r="Q714" i="11" s="1"/>
  <c r="P659" i="11"/>
  <c r="P603" i="11"/>
  <c r="Q603" i="11" s="1"/>
  <c r="R603" i="11" s="1"/>
  <c r="P539" i="11"/>
  <c r="Q539" i="11" s="1"/>
  <c r="R539" i="11" s="1"/>
  <c r="P476" i="11"/>
  <c r="Q476" i="11" s="1"/>
  <c r="P419" i="11"/>
  <c r="Q419" i="11" s="1"/>
  <c r="P371" i="11"/>
  <c r="Q371" i="11" s="1"/>
  <c r="R371" i="11" s="1"/>
  <c r="P260" i="11"/>
  <c r="Q260" i="11" s="1"/>
  <c r="P204" i="11"/>
  <c r="Q204" i="11" s="1"/>
  <c r="P148" i="11"/>
  <c r="P93" i="11"/>
  <c r="Q93" i="11" s="1"/>
  <c r="R93" i="11" s="1"/>
  <c r="P754" i="11"/>
  <c r="Q754" i="11" s="1"/>
  <c r="P745" i="11"/>
  <c r="Q745" i="11" s="1"/>
  <c r="P737" i="11"/>
  <c r="Q737" i="11" s="1"/>
  <c r="R737" i="11" s="1"/>
  <c r="P729" i="11"/>
  <c r="Q729" i="11" s="1"/>
  <c r="P720" i="11"/>
  <c r="Q720" i="11" s="1"/>
  <c r="R720" i="11" s="1"/>
  <c r="P712" i="11"/>
  <c r="Q712" i="11" s="1"/>
  <c r="P704" i="11"/>
  <c r="Q704" i="11" s="1"/>
  <c r="P696" i="11"/>
  <c r="Q696" i="11" s="1"/>
  <c r="R696" i="11" s="1"/>
  <c r="P687" i="11"/>
  <c r="Q687" i="11" s="1"/>
  <c r="P679" i="11"/>
  <c r="P693" i="11"/>
  <c r="Q693" i="11" s="1"/>
  <c r="P665" i="11"/>
  <c r="Q665" i="11" s="1"/>
  <c r="R665" i="11" s="1"/>
  <c r="S665" i="11" s="1"/>
  <c r="P657" i="11"/>
  <c r="Q657" i="11" s="1"/>
  <c r="R657" i="11" s="1"/>
  <c r="P649" i="11"/>
  <c r="Q649" i="11" s="1"/>
  <c r="P633" i="11"/>
  <c r="Q633" i="11" s="1"/>
  <c r="P617" i="11"/>
  <c r="Q617" i="11" s="1"/>
  <c r="P609" i="11"/>
  <c r="Q609" i="11" s="1"/>
  <c r="P601" i="11"/>
  <c r="Q601" i="11" s="1"/>
  <c r="R601" i="11" s="1"/>
  <c r="P593" i="11"/>
  <c r="Q593" i="11" s="1"/>
  <c r="R593" i="11" s="1"/>
  <c r="P585" i="11"/>
  <c r="Q585" i="11" s="1"/>
  <c r="P575" i="11"/>
  <c r="Q575" i="11" s="1"/>
  <c r="R575" i="11" s="1"/>
  <c r="P576" i="11"/>
  <c r="Q576" i="11" s="1"/>
  <c r="R576" i="11" s="1"/>
  <c r="P561" i="11"/>
  <c r="Q561" i="11" s="1"/>
  <c r="R561" i="11" s="1"/>
  <c r="P553" i="11"/>
  <c r="Q553" i="11" s="1"/>
  <c r="P545" i="11"/>
  <c r="Q545" i="11" s="1"/>
  <c r="P537" i="11"/>
  <c r="Q537" i="11" s="1"/>
  <c r="R537" i="11" s="1"/>
  <c r="P529" i="11"/>
  <c r="Q529" i="11" s="1"/>
  <c r="P522" i="11"/>
  <c r="P514" i="11"/>
  <c r="Q514" i="11" s="1"/>
  <c r="P506" i="11"/>
  <c r="P498" i="11"/>
  <c r="Q498" i="11" s="1"/>
  <c r="P490" i="11"/>
  <c r="P482" i="11"/>
  <c r="Q482" i="11" s="1"/>
  <c r="P474" i="11"/>
  <c r="Q474" i="11" s="1"/>
  <c r="P458" i="11"/>
  <c r="Q458" i="11" s="1"/>
  <c r="R458" i="11" s="1"/>
  <c r="P450" i="11"/>
  <c r="Q450" i="11" s="1"/>
  <c r="P439" i="11"/>
  <c r="P442" i="11"/>
  <c r="Q442" i="11" s="1"/>
  <c r="P425" i="11"/>
  <c r="Q425" i="11" s="1"/>
  <c r="R425" i="11" s="1"/>
  <c r="P417" i="11"/>
  <c r="P409" i="11"/>
  <c r="P401" i="11"/>
  <c r="Q401" i="11" s="1"/>
  <c r="R401" i="11" s="1"/>
  <c r="P393" i="11"/>
  <c r="Q393" i="11" s="1"/>
  <c r="P388" i="11"/>
  <c r="P377" i="11"/>
  <c r="Q377" i="11" s="1"/>
  <c r="R377" i="11" s="1"/>
  <c r="P369" i="11"/>
  <c r="Q369" i="11" s="1"/>
  <c r="R369" i="11" s="1"/>
  <c r="S369" i="11" s="1"/>
  <c r="P362" i="11"/>
  <c r="P354" i="11"/>
  <c r="Q354" i="11" s="1"/>
  <c r="P346" i="11"/>
  <c r="P338" i="11"/>
  <c r="Q338" i="11" s="1"/>
  <c r="R338" i="11" s="1"/>
  <c r="S338" i="11" s="1"/>
  <c r="P330" i="11"/>
  <c r="P322" i="11"/>
  <c r="Q322" i="11" s="1"/>
  <c r="R322" i="11" s="1"/>
  <c r="P313" i="11"/>
  <c r="Q313" i="11" s="1"/>
  <c r="R313" i="11" s="1"/>
  <c r="P305" i="11"/>
  <c r="P297" i="11"/>
  <c r="Q297" i="11" s="1"/>
  <c r="R297" i="11" s="1"/>
  <c r="P289" i="11"/>
  <c r="P281" i="11"/>
  <c r="Q281" i="11" s="1"/>
  <c r="R281" i="11" s="1"/>
  <c r="P274" i="11"/>
  <c r="Q274" i="11" s="1"/>
  <c r="R274" i="11" s="1"/>
  <c r="S274" i="11" s="1"/>
  <c r="P266" i="11"/>
  <c r="Q266" i="11" s="1"/>
  <c r="P258" i="11"/>
  <c r="P250" i="11"/>
  <c r="Q250" i="11" s="1"/>
  <c r="R250" i="11" s="1"/>
  <c r="P242" i="11"/>
  <c r="P234" i="11"/>
  <c r="Q234" i="11" s="1"/>
  <c r="P226" i="11"/>
  <c r="P218" i="11"/>
  <c r="Q218" i="11" s="1"/>
  <c r="R218" i="11" s="1"/>
  <c r="P210" i="11"/>
  <c r="P202" i="11"/>
  <c r="Q202" i="11" s="1"/>
  <c r="P194" i="11"/>
  <c r="Q194" i="11" s="1"/>
  <c r="R194" i="11" s="1"/>
  <c r="P186" i="11"/>
  <c r="Q186" i="11" s="1"/>
  <c r="R186" i="11" s="1"/>
  <c r="S186" i="11" s="1"/>
  <c r="P178" i="11"/>
  <c r="Q178" i="11" s="1"/>
  <c r="R178" i="11" s="1"/>
  <c r="P170" i="11"/>
  <c r="Q170" i="11" s="1"/>
  <c r="R170" i="11" s="1"/>
  <c r="P162" i="11"/>
  <c r="Q162" i="11" s="1"/>
  <c r="R162" i="11" s="1"/>
  <c r="P154" i="11"/>
  <c r="Q154" i="11" s="1"/>
  <c r="P146" i="11"/>
  <c r="Q146" i="11" s="1"/>
  <c r="R146" i="11" s="1"/>
  <c r="P138" i="11"/>
  <c r="P131" i="11"/>
  <c r="Q131" i="11" s="1"/>
  <c r="R131" i="11" s="1"/>
  <c r="P123" i="11"/>
  <c r="Q123" i="11" s="1"/>
  <c r="P115" i="11"/>
  <c r="Q115" i="11" s="1"/>
  <c r="R115" i="11" s="1"/>
  <c r="S115" i="11" s="1"/>
  <c r="P107" i="11"/>
  <c r="Q107" i="11" s="1"/>
  <c r="P99" i="11"/>
  <c r="Q99" i="11" s="1"/>
  <c r="P91" i="11"/>
  <c r="Q91" i="11" s="1"/>
  <c r="P83" i="11"/>
  <c r="Q83" i="11" s="1"/>
  <c r="R83" i="11" s="1"/>
  <c r="P75" i="11"/>
  <c r="Q75" i="11" s="1"/>
  <c r="R75" i="11" s="1"/>
  <c r="S75" i="11" s="1"/>
  <c r="T75" i="11" s="1"/>
  <c r="U75" i="11" s="1"/>
  <c r="P65" i="11"/>
  <c r="P58" i="11"/>
  <c r="Q58" i="11" s="1"/>
  <c r="P51" i="11"/>
  <c r="Q51" i="11" s="1"/>
  <c r="P43" i="11"/>
  <c r="Q43" i="11" s="1"/>
  <c r="R43" i="11" s="1"/>
  <c r="S43" i="11" s="1"/>
  <c r="P37" i="11"/>
  <c r="Q37" i="11" s="1"/>
  <c r="P29" i="11"/>
  <c r="Q29" i="11" s="1"/>
  <c r="R29" i="11" s="1"/>
  <c r="P13" i="11"/>
  <c r="Q13" i="11" s="1"/>
  <c r="R13" i="11" s="1"/>
  <c r="P5" i="11"/>
  <c r="Q5" i="11" s="1"/>
  <c r="P748" i="11"/>
  <c r="Q748" i="11" s="1"/>
  <c r="P689" i="11"/>
  <c r="Q689" i="11" s="1"/>
  <c r="P642" i="11"/>
  <c r="Q642" i="11" s="1"/>
  <c r="P587" i="11"/>
  <c r="Q587" i="11" s="1"/>
  <c r="R587" i="11" s="1"/>
  <c r="P531" i="11"/>
  <c r="Q531" i="11" s="1"/>
  <c r="P484" i="11"/>
  <c r="Q484" i="11" s="1"/>
  <c r="P444" i="11"/>
  <c r="Q444" i="11" s="1"/>
  <c r="P411" i="11"/>
  <c r="P356" i="11"/>
  <c r="Q356" i="11" s="1"/>
  <c r="P299" i="11"/>
  <c r="Q299" i="11" s="1"/>
  <c r="R299" i="11" s="1"/>
  <c r="P244" i="11"/>
  <c r="P196" i="11"/>
  <c r="P140" i="11"/>
  <c r="P77" i="11"/>
  <c r="Q77" i="11" s="1"/>
  <c r="R77" i="11" s="1"/>
  <c r="S77" i="11" s="1"/>
  <c r="P753" i="11"/>
  <c r="Q753" i="11" s="1"/>
  <c r="P744" i="11"/>
  <c r="P736" i="11"/>
  <c r="Q736" i="11" s="1"/>
  <c r="P728" i="11"/>
  <c r="P719" i="11"/>
  <c r="Q719" i="11" s="1"/>
  <c r="P711" i="11"/>
  <c r="Q711" i="11" s="1"/>
  <c r="P703" i="11"/>
  <c r="Q703" i="11" s="1"/>
  <c r="P695" i="11"/>
  <c r="Q695" i="11" s="1"/>
  <c r="P686" i="11"/>
  <c r="P678" i="11"/>
  <c r="Q678" i="11" s="1"/>
  <c r="P756" i="11"/>
  <c r="Q756" i="11" s="1"/>
  <c r="P664" i="11"/>
  <c r="Q664" i="11" s="1"/>
  <c r="R664" i="11" s="1"/>
  <c r="P656" i="11"/>
  <c r="Q656" i="11" s="1"/>
  <c r="P648" i="11"/>
  <c r="Q648" i="11" s="1"/>
  <c r="P632" i="11"/>
  <c r="Q632" i="11" s="1"/>
  <c r="R632" i="11" s="1"/>
  <c r="P624" i="11"/>
  <c r="Q624" i="11" s="1"/>
  <c r="P616" i="11"/>
  <c r="Q616" i="11" s="1"/>
  <c r="P608" i="11"/>
  <c r="Q608" i="11" s="1"/>
  <c r="R608" i="11" s="1"/>
  <c r="P592" i="11"/>
  <c r="Q592" i="11" s="1"/>
  <c r="P577" i="11"/>
  <c r="P568" i="11"/>
  <c r="P560" i="11"/>
  <c r="P552" i="11"/>
  <c r="Q552" i="11" s="1"/>
  <c r="R552" i="11" s="1"/>
  <c r="P544" i="11"/>
  <c r="Q544" i="11" s="1"/>
  <c r="P536" i="11"/>
  <c r="Q536" i="11" s="1"/>
  <c r="P528" i="11"/>
  <c r="P513" i="11"/>
  <c r="Q513" i="11" s="1"/>
  <c r="P505" i="11"/>
  <c r="Q505" i="11" s="1"/>
  <c r="R505" i="11" s="1"/>
  <c r="P497" i="11"/>
  <c r="Q497" i="11" s="1"/>
  <c r="P489" i="11"/>
  <c r="Q489" i="11" s="1"/>
  <c r="P481" i="11"/>
  <c r="Q481" i="11" s="1"/>
  <c r="P473" i="11"/>
  <c r="Q473" i="11" s="1"/>
  <c r="R473" i="11" s="1"/>
  <c r="P465" i="11"/>
  <c r="Q465" i="11" s="1"/>
  <c r="R465" i="11" s="1"/>
  <c r="P457" i="11"/>
  <c r="Q457" i="11" s="1"/>
  <c r="P449" i="11"/>
  <c r="P438" i="11"/>
  <c r="P432" i="11"/>
  <c r="Q432" i="11" s="1"/>
  <c r="P424" i="11"/>
  <c r="P408" i="11"/>
  <c r="Q408" i="11" s="1"/>
  <c r="R408" i="11" s="1"/>
  <c r="P400" i="11"/>
  <c r="Q400" i="11" s="1"/>
  <c r="P392" i="11"/>
  <c r="Q392" i="11" s="1"/>
  <c r="P387" i="11"/>
  <c r="Q387" i="11" s="1"/>
  <c r="P376" i="11"/>
  <c r="Q376" i="11" s="1"/>
  <c r="R376" i="11" s="1"/>
  <c r="P368" i="11"/>
  <c r="Q368" i="11" s="1"/>
  <c r="R368" i="11" s="1"/>
  <c r="S368" i="11" s="1"/>
  <c r="P361" i="11"/>
  <c r="Q361" i="11" s="1"/>
  <c r="P353" i="11"/>
  <c r="Q353" i="11" s="1"/>
  <c r="P345" i="11"/>
  <c r="Q345" i="11" s="1"/>
  <c r="P337" i="11"/>
  <c r="Q337" i="11" s="1"/>
  <c r="P329" i="11"/>
  <c r="Q329" i="11" s="1"/>
  <c r="P321" i="11"/>
  <c r="Q321" i="11" s="1"/>
  <c r="P312" i="11"/>
  <c r="Q312" i="11" s="1"/>
  <c r="R312" i="11" s="1"/>
  <c r="P304" i="11"/>
  <c r="Q304" i="11" s="1"/>
  <c r="R304" i="11" s="1"/>
  <c r="S304" i="11" s="1"/>
  <c r="P296" i="11"/>
  <c r="Q296" i="11" s="1"/>
  <c r="R296" i="11" s="1"/>
  <c r="P288" i="11"/>
  <c r="Q288" i="11" s="1"/>
  <c r="P280" i="11"/>
  <c r="Q280" i="11" s="1"/>
  <c r="P273" i="11"/>
  <c r="Q273" i="11" s="1"/>
  <c r="P265" i="11"/>
  <c r="Q265" i="11" s="1"/>
  <c r="R265" i="11" s="1"/>
  <c r="P257" i="11"/>
  <c r="Q257" i="11" s="1"/>
  <c r="R257" i="11" s="1"/>
  <c r="P249" i="11"/>
  <c r="Q249" i="11" s="1"/>
  <c r="P241" i="11"/>
  <c r="Q241" i="11" s="1"/>
  <c r="P225" i="11"/>
  <c r="Q225" i="11" s="1"/>
  <c r="P217" i="11"/>
  <c r="Q217" i="11" s="1"/>
  <c r="P209" i="11"/>
  <c r="Q209" i="11" s="1"/>
  <c r="P201" i="11"/>
  <c r="P193" i="11"/>
  <c r="Q193" i="11" s="1"/>
  <c r="P185" i="11"/>
  <c r="Q185" i="11" s="1"/>
  <c r="P177" i="11"/>
  <c r="Q177" i="11" s="1"/>
  <c r="P169" i="11"/>
  <c r="Q169" i="11" s="1"/>
  <c r="P161" i="11"/>
  <c r="Q161" i="11" s="1"/>
  <c r="R161" i="11" s="1"/>
  <c r="P153" i="11"/>
  <c r="Q153" i="11" s="1"/>
  <c r="P130" i="11"/>
  <c r="Q130" i="11" s="1"/>
  <c r="P122" i="11"/>
  <c r="Q122" i="11" s="1"/>
  <c r="P114" i="11"/>
  <c r="P106" i="11"/>
  <c r="P98" i="11"/>
  <c r="Q98" i="11" s="1"/>
  <c r="P90" i="11"/>
  <c r="Q90" i="11" s="1"/>
  <c r="P82" i="11"/>
  <c r="Q82" i="11" s="1"/>
  <c r="P64" i="11"/>
  <c r="P67" i="11"/>
  <c r="Q67" i="11" s="1"/>
  <c r="P50" i="11"/>
  <c r="P755" i="11"/>
  <c r="Q755" i="11" s="1"/>
  <c r="R755" i="11" s="1"/>
  <c r="P36" i="11"/>
  <c r="Q36" i="11" s="1"/>
  <c r="P28" i="11"/>
  <c r="Q28" i="11" s="1"/>
  <c r="R28" i="11" s="1"/>
  <c r="P20" i="11"/>
  <c r="Q20" i="11" s="1"/>
  <c r="R20" i="11" s="1"/>
  <c r="P12" i="11"/>
  <c r="Q12" i="11" s="1"/>
  <c r="P4" i="11"/>
  <c r="Q4" i="11" s="1"/>
  <c r="P739" i="11"/>
  <c r="Q739" i="11" s="1"/>
  <c r="P681" i="11"/>
  <c r="Q681" i="11" s="1"/>
  <c r="R681" i="11" s="1"/>
  <c r="S681" i="11" s="1"/>
  <c r="P619" i="11"/>
  <c r="Q619" i="11" s="1"/>
  <c r="R619" i="11" s="1"/>
  <c r="P563" i="11"/>
  <c r="P516" i="11"/>
  <c r="Q516" i="11" s="1"/>
  <c r="P468" i="11"/>
  <c r="Q468" i="11" s="1"/>
  <c r="P403" i="11"/>
  <c r="Q403" i="11" s="1"/>
  <c r="R403" i="11" s="1"/>
  <c r="P348" i="11"/>
  <c r="Q348" i="11" s="1"/>
  <c r="R348" i="11" s="1"/>
  <c r="S348" i="11" s="1"/>
  <c r="P291" i="11"/>
  <c r="Q291" i="11" s="1"/>
  <c r="R291" i="11" s="1"/>
  <c r="P220" i="11"/>
  <c r="Q220" i="11" s="1"/>
  <c r="P156" i="11"/>
  <c r="Q156" i="11" s="1"/>
  <c r="P109" i="11"/>
  <c r="Q109" i="11" s="1"/>
  <c r="P69" i="11"/>
  <c r="Q69" i="11" s="1"/>
  <c r="R69" i="11" s="1"/>
  <c r="S69" i="11" s="1"/>
  <c r="T69" i="11" s="1"/>
  <c r="U69" i="11" s="1"/>
  <c r="P39" i="11"/>
  <c r="Q39" i="11" s="1"/>
  <c r="R39" i="11" s="1"/>
  <c r="P15" i="11"/>
  <c r="Q15" i="11" s="1"/>
  <c r="P752" i="11"/>
  <c r="Q752" i="11" s="1"/>
  <c r="R752" i="11" s="1"/>
  <c r="P743" i="11"/>
  <c r="Q743" i="11" s="1"/>
  <c r="P735" i="11"/>
  <c r="Q735" i="11" s="1"/>
  <c r="R735" i="11" s="1"/>
  <c r="S735" i="11" s="1"/>
  <c r="P727" i="11"/>
  <c r="Q727" i="11" s="1"/>
  <c r="R727" i="11" s="1"/>
  <c r="P718" i="11"/>
  <c r="Q718" i="11" s="1"/>
  <c r="P710" i="11"/>
  <c r="Q710" i="11" s="1"/>
  <c r="R710" i="11" s="1"/>
  <c r="P702" i="11"/>
  <c r="Q702" i="11" s="1"/>
  <c r="P694" i="11"/>
  <c r="Q694" i="11" s="1"/>
  <c r="P685" i="11"/>
  <c r="Q685" i="11" s="1"/>
  <c r="R685" i="11" s="1"/>
  <c r="P677" i="11"/>
  <c r="P671" i="11"/>
  <c r="Q671" i="11" s="1"/>
  <c r="R671" i="11" s="1"/>
  <c r="P663" i="11"/>
  <c r="Q663" i="11" s="1"/>
  <c r="R663" i="11" s="1"/>
  <c r="P655" i="11"/>
  <c r="Q655" i="11" s="1"/>
  <c r="R655" i="11" s="1"/>
  <c r="P646" i="11"/>
  <c r="P639" i="11"/>
  <c r="Q639" i="11" s="1"/>
  <c r="P631" i="11"/>
  <c r="Q631" i="11" s="1"/>
  <c r="P623" i="11"/>
  <c r="Q623" i="11" s="1"/>
  <c r="P615" i="11"/>
  <c r="Q615" i="11" s="1"/>
  <c r="R615" i="11" s="1"/>
  <c r="P607" i="11"/>
  <c r="Q607" i="11" s="1"/>
  <c r="P591" i="11"/>
  <c r="Q591" i="11" s="1"/>
  <c r="P583" i="11"/>
  <c r="Q583" i="11" s="1"/>
  <c r="P567" i="11"/>
  <c r="Q567" i="11" s="1"/>
  <c r="R567" i="11" s="1"/>
  <c r="P551" i="11"/>
  <c r="Q551" i="11" s="1"/>
  <c r="R551" i="11" s="1"/>
  <c r="S551" i="11" s="1"/>
  <c r="P543" i="11"/>
  <c r="Q543" i="11" s="1"/>
  <c r="P535" i="11"/>
  <c r="Q535" i="11" s="1"/>
  <c r="R535" i="11" s="1"/>
  <c r="P527" i="11"/>
  <c r="Q527" i="11" s="1"/>
  <c r="R527" i="11" s="1"/>
  <c r="P520" i="11"/>
  <c r="P504" i="11"/>
  <c r="Q504" i="11" s="1"/>
  <c r="P496" i="11"/>
  <c r="Q496" i="11" s="1"/>
  <c r="P480" i="11"/>
  <c r="Q480" i="11" s="1"/>
  <c r="R480" i="11" s="1"/>
  <c r="P472" i="11"/>
  <c r="Q472" i="11" s="1"/>
  <c r="P464" i="11"/>
  <c r="Q464" i="11" s="1"/>
  <c r="P456" i="11"/>
  <c r="Q456" i="11" s="1"/>
  <c r="P448" i="11"/>
  <c r="Q448" i="11" s="1"/>
  <c r="P437" i="11"/>
  <c r="Q437" i="11" s="1"/>
  <c r="P431" i="11"/>
  <c r="Q431" i="11" s="1"/>
  <c r="R431" i="11" s="1"/>
  <c r="P423" i="11"/>
  <c r="Q423" i="11" s="1"/>
  <c r="P415" i="11"/>
  <c r="Q415" i="11" s="1"/>
  <c r="P399" i="11"/>
  <c r="Q399" i="11" s="1"/>
  <c r="R399" i="11" s="1"/>
  <c r="P391" i="11"/>
  <c r="Q391" i="11" s="1"/>
  <c r="R391" i="11" s="1"/>
  <c r="S391" i="11" s="1"/>
  <c r="P383" i="11"/>
  <c r="P375" i="11"/>
  <c r="P367" i="11"/>
  <c r="Q367" i="11" s="1"/>
  <c r="R367" i="11" s="1"/>
  <c r="P352" i="11"/>
  <c r="Q352" i="11" s="1"/>
  <c r="P344" i="11"/>
  <c r="Q344" i="11" s="1"/>
  <c r="R344" i="11" s="1"/>
  <c r="S344" i="11" s="1"/>
  <c r="T344" i="11" s="1"/>
  <c r="P328" i="11"/>
  <c r="Q328" i="11" s="1"/>
  <c r="R328" i="11" s="1"/>
  <c r="P320" i="11"/>
  <c r="P303" i="11"/>
  <c r="Q303" i="11" s="1"/>
  <c r="P295" i="11"/>
  <c r="Q295" i="11" s="1"/>
  <c r="R295" i="11" s="1"/>
  <c r="P287" i="11"/>
  <c r="Q287" i="11" s="1"/>
  <c r="P279" i="11"/>
  <c r="Q279" i="11" s="1"/>
  <c r="R279" i="11" s="1"/>
  <c r="P264" i="11"/>
  <c r="Q264" i="11" s="1"/>
  <c r="R264" i="11" s="1"/>
  <c r="S264" i="11" s="1"/>
  <c r="P256" i="11"/>
  <c r="Q256" i="11" s="1"/>
  <c r="R256" i="11" s="1"/>
  <c r="P248" i="11"/>
  <c r="Q248" i="11" s="1"/>
  <c r="R248" i="11" s="1"/>
  <c r="P240" i="11"/>
  <c r="Q240" i="11" s="1"/>
  <c r="R240" i="11" s="1"/>
  <c r="P232" i="11"/>
  <c r="Q232" i="11" s="1"/>
  <c r="R232" i="11" s="1"/>
  <c r="P216" i="11"/>
  <c r="Q216" i="11" s="1"/>
  <c r="P208" i="11"/>
  <c r="Q208" i="11" s="1"/>
  <c r="R208" i="11" s="1"/>
  <c r="P200" i="11"/>
  <c r="Q200" i="11" s="1"/>
  <c r="P192" i="11"/>
  <c r="Q192" i="11" s="1"/>
  <c r="R192" i="11" s="1"/>
  <c r="P184" i="11"/>
  <c r="Q184" i="11" s="1"/>
  <c r="P176" i="11"/>
  <c r="Q176" i="11" s="1"/>
  <c r="R176" i="11" s="1"/>
  <c r="P168" i="11"/>
  <c r="Q168" i="11" s="1"/>
  <c r="P160" i="11"/>
  <c r="Q160" i="11" s="1"/>
  <c r="R160" i="11" s="1"/>
  <c r="P152" i="11"/>
  <c r="Q152" i="11" s="1"/>
  <c r="P137" i="11"/>
  <c r="Q137" i="11" s="1"/>
  <c r="R137" i="11" s="1"/>
  <c r="P129" i="11"/>
  <c r="Q129" i="11" s="1"/>
  <c r="P121" i="11"/>
  <c r="Q121" i="11" s="1"/>
  <c r="P113" i="11"/>
  <c r="Q113" i="11" s="1"/>
  <c r="P97" i="11"/>
  <c r="Q97" i="11" s="1"/>
  <c r="P89" i="11"/>
  <c r="P81" i="11"/>
  <c r="P73" i="11"/>
  <c r="Q73" i="11" s="1"/>
  <c r="R73" i="11" s="1"/>
  <c r="S73" i="11" s="1"/>
  <c r="P63" i="11"/>
  <c r="Q63" i="11" s="1"/>
  <c r="P57" i="11"/>
  <c r="Q57" i="11" s="1"/>
  <c r="R57" i="11" s="1"/>
  <c r="S57" i="11" s="1"/>
  <c r="P49" i="11"/>
  <c r="Q49" i="11" s="1"/>
  <c r="R49" i="11" s="1"/>
  <c r="S49" i="11" s="1"/>
  <c r="T49" i="11" s="1"/>
  <c r="P757" i="11"/>
  <c r="Q757" i="11" s="1"/>
  <c r="P19" i="11"/>
  <c r="Q19" i="11" s="1"/>
  <c r="P11" i="11"/>
  <c r="Q11" i="11" s="1"/>
  <c r="R11" i="11" s="1"/>
  <c r="P3" i="11"/>
  <c r="Q3" i="11" s="1"/>
  <c r="P731" i="11"/>
  <c r="Q731" i="11" s="1"/>
  <c r="P673" i="11"/>
  <c r="Q673" i="11" s="1"/>
  <c r="P627" i="11"/>
  <c r="Q627" i="11" s="1"/>
  <c r="P570" i="11"/>
  <c r="Q570" i="11" s="1"/>
  <c r="R570" i="11" s="1"/>
  <c r="P460" i="11"/>
  <c r="Q460" i="11" s="1"/>
  <c r="P267" i="11"/>
  <c r="Q267" i="11" s="1"/>
  <c r="P215" i="11"/>
  <c r="P164" i="11"/>
  <c r="P117" i="11"/>
  <c r="Q117" i="11" s="1"/>
  <c r="P85" i="11"/>
  <c r="Q85" i="11" s="1"/>
  <c r="P45" i="11"/>
  <c r="Q45" i="11" s="1"/>
  <c r="P31" i="11"/>
  <c r="Q31" i="11" s="1"/>
  <c r="R31" i="11" s="1"/>
  <c r="P751" i="11"/>
  <c r="Q751" i="11" s="1"/>
  <c r="R751" i="11" s="1"/>
  <c r="S751" i="11" s="1"/>
  <c r="T751" i="11" s="1"/>
  <c r="P742" i="11"/>
  <c r="P734" i="11"/>
  <c r="Q734" i="11" s="1"/>
  <c r="P726" i="11"/>
  <c r="P717" i="11"/>
  <c r="Q717" i="11" s="1"/>
  <c r="R717" i="11" s="1"/>
  <c r="S717" i="11" s="1"/>
  <c r="T717" i="11" s="1"/>
  <c r="P709" i="11"/>
  <c r="P701" i="11"/>
  <c r="Q701" i="11" s="1"/>
  <c r="P692" i="11"/>
  <c r="P684" i="11"/>
  <c r="P676" i="11"/>
  <c r="P670" i="11"/>
  <c r="Q670" i="11" s="1"/>
  <c r="P662" i="11"/>
  <c r="P654" i="11"/>
  <c r="P645" i="11"/>
  <c r="P638" i="11"/>
  <c r="P630" i="11"/>
  <c r="P622" i="11"/>
  <c r="Q622" i="11" s="1"/>
  <c r="P606" i="11"/>
  <c r="Q606" i="11" s="1"/>
  <c r="R606" i="11" s="1"/>
  <c r="S606" i="11" s="1"/>
  <c r="P598" i="11"/>
  <c r="Q598" i="11" s="1"/>
  <c r="P590" i="11"/>
  <c r="Q590" i="11" s="1"/>
  <c r="R590" i="11" s="1"/>
  <c r="S590" i="11" s="1"/>
  <c r="P566" i="11"/>
  <c r="Q566" i="11" s="1"/>
  <c r="P558" i="11"/>
  <c r="P550" i="11"/>
  <c r="Q550" i="11" s="1"/>
  <c r="R550" i="11" s="1"/>
  <c r="P542" i="11"/>
  <c r="Q542" i="11" s="1"/>
  <c r="R542" i="11" s="1"/>
  <c r="S542" i="11" s="1"/>
  <c r="P534" i="11"/>
  <c r="Q534" i="11" s="1"/>
  <c r="P526" i="11"/>
  <c r="Q526" i="11" s="1"/>
  <c r="R526" i="11" s="1"/>
  <c r="P519" i="11"/>
  <c r="Q519" i="11" s="1"/>
  <c r="R519" i="11" s="1"/>
  <c r="P509" i="11"/>
  <c r="P503" i="11"/>
  <c r="Q503" i="11" s="1"/>
  <c r="P495" i="11"/>
  <c r="Q495" i="11" s="1"/>
  <c r="P487" i="11"/>
  <c r="Q487" i="11" s="1"/>
  <c r="P479" i="11"/>
  <c r="P471" i="11"/>
  <c r="Q471" i="11" s="1"/>
  <c r="R471" i="11" s="1"/>
  <c r="S471" i="11" s="1"/>
  <c r="P463" i="11"/>
  <c r="Q463" i="11" s="1"/>
  <c r="P455" i="11"/>
  <c r="P447" i="11"/>
  <c r="Q447" i="11" s="1"/>
  <c r="P436" i="11"/>
  <c r="Q436" i="11" s="1"/>
  <c r="P422" i="11"/>
  <c r="Q422" i="11" s="1"/>
  <c r="R422" i="11" s="1"/>
  <c r="P406" i="11"/>
  <c r="Q406" i="11" s="1"/>
  <c r="R406" i="11" s="1"/>
  <c r="S406" i="11" s="1"/>
  <c r="P398" i="11"/>
  <c r="Q398" i="11" s="1"/>
  <c r="P390" i="11"/>
  <c r="P382" i="11"/>
  <c r="Q382" i="11" s="1"/>
  <c r="P374" i="11"/>
  <c r="P359" i="11"/>
  <c r="P351" i="11"/>
  <c r="Q351" i="11" s="1"/>
  <c r="P343" i="11"/>
  <c r="Q343" i="11" s="1"/>
  <c r="R343" i="11" s="1"/>
  <c r="S343" i="11" s="1"/>
  <c r="P336" i="11"/>
  <c r="Q336" i="11" s="1"/>
  <c r="R336" i="11" s="1"/>
  <c r="S336" i="11" s="1"/>
  <c r="P327" i="11"/>
  <c r="P319" i="11"/>
  <c r="P310" i="11"/>
  <c r="Q310" i="11" s="1"/>
  <c r="R310" i="11" s="1"/>
  <c r="P302" i="11"/>
  <c r="Q302" i="11" s="1"/>
  <c r="P294" i="11"/>
  <c r="Q294" i="11" s="1"/>
  <c r="P286" i="11"/>
  <c r="Q286" i="11" s="1"/>
  <c r="R286" i="11" s="1"/>
  <c r="P269" i="11"/>
  <c r="Q269" i="11" s="1"/>
  <c r="P263" i="11"/>
  <c r="Q263" i="11" s="1"/>
  <c r="P255" i="11"/>
  <c r="Q255" i="11" s="1"/>
  <c r="P239" i="11"/>
  <c r="Q239" i="11" s="1"/>
  <c r="R239" i="11" s="1"/>
  <c r="P231" i="11"/>
  <c r="Q231" i="11" s="1"/>
  <c r="R231" i="11" s="1"/>
  <c r="P223" i="11"/>
  <c r="Q223" i="11" s="1"/>
  <c r="P214" i="11"/>
  <c r="Q214" i="11" s="1"/>
  <c r="P207" i="11"/>
  <c r="Q207" i="11" s="1"/>
  <c r="R207" i="11" s="1"/>
  <c r="P199" i="11"/>
  <c r="Q199" i="11" s="1"/>
  <c r="P191" i="11"/>
  <c r="Q191" i="11" s="1"/>
  <c r="P183" i="11"/>
  <c r="Q183" i="11" s="1"/>
  <c r="R183" i="11" s="1"/>
  <c r="P175" i="11"/>
  <c r="Q175" i="11" s="1"/>
  <c r="P167" i="11"/>
  <c r="P159" i="11"/>
  <c r="Q159" i="11" s="1"/>
  <c r="P151" i="11"/>
  <c r="Q151" i="11" s="1"/>
  <c r="P143" i="11"/>
  <c r="Q143" i="11" s="1"/>
  <c r="P136" i="11"/>
  <c r="P128" i="11"/>
  <c r="Q128" i="11" s="1"/>
  <c r="P120" i="11"/>
  <c r="Q120" i="11" s="1"/>
  <c r="P112" i="11"/>
  <c r="Q112" i="11" s="1"/>
  <c r="R112" i="11" s="1"/>
  <c r="P104" i="11"/>
  <c r="Q104" i="11" s="1"/>
  <c r="R104" i="11" s="1"/>
  <c r="P96" i="11"/>
  <c r="Q96" i="11" s="1"/>
  <c r="P80" i="11"/>
  <c r="Q80" i="11" s="1"/>
  <c r="P66" i="11"/>
  <c r="Q66" i="11" s="1"/>
  <c r="P48" i="11"/>
  <c r="Q48" i="11" s="1"/>
  <c r="R48" i="11" s="1"/>
  <c r="P42" i="11"/>
  <c r="Q42" i="11" s="1"/>
  <c r="P34" i="11"/>
  <c r="Q34" i="11" s="1"/>
  <c r="R34" i="11" s="1"/>
  <c r="P26" i="11"/>
  <c r="Q26" i="11" s="1"/>
  <c r="P18" i="11"/>
  <c r="Q18" i="11" s="1"/>
  <c r="P10" i="11"/>
  <c r="Q10" i="11" s="1"/>
  <c r="P2" i="11"/>
  <c r="Q2" i="11" s="1"/>
  <c r="P723" i="11"/>
  <c r="P667" i="11"/>
  <c r="P611" i="11"/>
  <c r="Q611" i="11" s="1"/>
  <c r="P555" i="11"/>
  <c r="Q555" i="11" s="1"/>
  <c r="R555" i="11" s="1"/>
  <c r="P324" i="11"/>
  <c r="Q324" i="11" s="1"/>
  <c r="P276" i="11"/>
  <c r="P228" i="11"/>
  <c r="Q228" i="11" s="1"/>
  <c r="R228" i="11" s="1"/>
  <c r="P180" i="11"/>
  <c r="P133" i="11"/>
  <c r="Q133" i="11" s="1"/>
  <c r="P60" i="11"/>
  <c r="Q60" i="11" s="1"/>
  <c r="R60" i="11" s="1"/>
  <c r="P750" i="11"/>
  <c r="Q750" i="11" s="1"/>
  <c r="P741" i="11"/>
  <c r="Q741" i="11" s="1"/>
  <c r="P733" i="11"/>
  <c r="Q733" i="11" s="1"/>
  <c r="P725" i="11"/>
  <c r="Q725" i="11" s="1"/>
  <c r="P716" i="11"/>
  <c r="Q716" i="11" s="1"/>
  <c r="P708" i="11"/>
  <c r="Q708" i="11" s="1"/>
  <c r="R708" i="11" s="1"/>
  <c r="P700" i="11"/>
  <c r="Q700" i="11" s="1"/>
  <c r="P691" i="11"/>
  <c r="Q691" i="11" s="1"/>
  <c r="R691" i="11" s="1"/>
  <c r="P683" i="11"/>
  <c r="Q683" i="11" s="1"/>
  <c r="P675" i="11"/>
  <c r="P669" i="11"/>
  <c r="Q669" i="11" s="1"/>
  <c r="P661" i="11"/>
  <c r="P653" i="11"/>
  <c r="Q653" i="11" s="1"/>
  <c r="R653" i="11" s="1"/>
  <c r="S653" i="11" s="1"/>
  <c r="P644" i="11"/>
  <c r="P629" i="11"/>
  <c r="P621" i="11"/>
  <c r="P613" i="11"/>
  <c r="Q613" i="11" s="1"/>
  <c r="P605" i="11"/>
  <c r="Q605" i="11" s="1"/>
  <c r="P589" i="11"/>
  <c r="Q589" i="11" s="1"/>
  <c r="P581" i="11"/>
  <c r="Q581" i="11" s="1"/>
  <c r="P572" i="11"/>
  <c r="Q572" i="11" s="1"/>
  <c r="P565" i="11"/>
  <c r="Q565" i="11" s="1"/>
  <c r="P557" i="11"/>
  <c r="P533" i="11"/>
  <c r="Q533" i="11" s="1"/>
  <c r="R533" i="11" s="1"/>
  <c r="P525" i="11"/>
  <c r="Q525" i="11" s="1"/>
  <c r="R525" i="11" s="1"/>
  <c r="P518" i="11"/>
  <c r="Q518" i="11" s="1"/>
  <c r="R518" i="11" s="1"/>
  <c r="S518" i="11" s="1"/>
  <c r="P508" i="11"/>
  <c r="P502" i="11"/>
  <c r="P494" i="11"/>
  <c r="Q494" i="11" s="1"/>
  <c r="R494" i="11" s="1"/>
  <c r="S494" i="11" s="1"/>
  <c r="P486" i="11"/>
  <c r="Q486" i="11" s="1"/>
  <c r="P478" i="11"/>
  <c r="Q478" i="11" s="1"/>
  <c r="P470" i="11"/>
  <c r="Q470" i="11" s="1"/>
  <c r="P462" i="11"/>
  <c r="Q462" i="11" s="1"/>
  <c r="R462" i="11" s="1"/>
  <c r="P454" i="11"/>
  <c r="P446" i="11"/>
  <c r="Q446" i="11" s="1"/>
  <c r="P443" i="11"/>
  <c r="Q443" i="11" s="1"/>
  <c r="P429" i="11"/>
  <c r="Q429" i="11" s="1"/>
  <c r="P421" i="11"/>
  <c r="P413" i="11"/>
  <c r="Q413" i="11" s="1"/>
  <c r="P405" i="11"/>
  <c r="Q405" i="11" s="1"/>
  <c r="P397" i="11"/>
  <c r="Q397" i="11" s="1"/>
  <c r="R397" i="11" s="1"/>
  <c r="P389" i="11"/>
  <c r="Q389" i="11" s="1"/>
  <c r="P381" i="11"/>
  <c r="P373" i="11"/>
  <c r="P358" i="11"/>
  <c r="P350" i="11"/>
  <c r="Q350" i="11" s="1"/>
  <c r="R350" i="11" s="1"/>
  <c r="P342" i="11"/>
  <c r="P335" i="11"/>
  <c r="Q335" i="11" s="1"/>
  <c r="P326" i="11"/>
  <c r="P318" i="11"/>
  <c r="Q318" i="11" s="1"/>
  <c r="R318" i="11" s="1"/>
  <c r="P309" i="11"/>
  <c r="Q309" i="11" s="1"/>
  <c r="P301" i="11"/>
  <c r="Q301" i="11" s="1"/>
  <c r="P293" i="11"/>
  <c r="Q293" i="11" s="1"/>
  <c r="R293" i="11" s="1"/>
  <c r="P441" i="11"/>
  <c r="Q441" i="11" s="1"/>
  <c r="R441" i="11" s="1"/>
  <c r="S441" i="11" s="1"/>
  <c r="P268" i="11"/>
  <c r="Q268" i="11" s="1"/>
  <c r="P262" i="11"/>
  <c r="Q262" i="11" s="1"/>
  <c r="P254" i="11"/>
  <c r="Q254" i="11" s="1"/>
  <c r="R254" i="11" s="1"/>
  <c r="P246" i="11"/>
  <c r="Q246" i="11" s="1"/>
  <c r="R246" i="11" s="1"/>
  <c r="P238" i="11"/>
  <c r="Q238" i="11" s="1"/>
  <c r="P230" i="11"/>
  <c r="Q230" i="11" s="1"/>
  <c r="P222" i="11"/>
  <c r="Q222" i="11" s="1"/>
  <c r="P213" i="11"/>
  <c r="P206" i="11"/>
  <c r="Q206" i="11" s="1"/>
  <c r="P190" i="11"/>
  <c r="Q190" i="11" s="1"/>
  <c r="P182" i="11"/>
  <c r="Q182" i="11" s="1"/>
  <c r="P174" i="11"/>
  <c r="Q174" i="11" s="1"/>
  <c r="R174" i="11" s="1"/>
  <c r="P166" i="11"/>
  <c r="Q166" i="11" s="1"/>
  <c r="R166" i="11" s="1"/>
  <c r="S166" i="11" s="1"/>
  <c r="P158" i="11"/>
  <c r="P150" i="11"/>
  <c r="P135" i="11"/>
  <c r="Q135" i="11" s="1"/>
  <c r="R135" i="11" s="1"/>
  <c r="S135" i="11" s="1"/>
  <c r="P127" i="11"/>
  <c r="Q127" i="11" s="1"/>
  <c r="R127" i="11" s="1"/>
  <c r="P119" i="11"/>
  <c r="Q119" i="11" s="1"/>
  <c r="P111" i="11"/>
  <c r="P103" i="11"/>
  <c r="Q103" i="11" s="1"/>
  <c r="P87" i="11"/>
  <c r="Q87" i="11" s="1"/>
  <c r="P79" i="11"/>
  <c r="P71" i="11"/>
  <c r="P62" i="11"/>
  <c r="Q62" i="11" s="1"/>
  <c r="R62" i="11" s="1"/>
  <c r="P55" i="11"/>
  <c r="Q55" i="11" s="1"/>
  <c r="R55" i="11" s="1"/>
  <c r="P47" i="11"/>
  <c r="Q47" i="11" s="1"/>
  <c r="P41" i="11"/>
  <c r="Q41" i="11" s="1"/>
  <c r="R41" i="11" s="1"/>
  <c r="P33" i="11"/>
  <c r="Q33" i="11" s="1"/>
  <c r="R33" i="11" s="1"/>
  <c r="P25" i="11"/>
  <c r="Q25" i="11" s="1"/>
  <c r="P17" i="11"/>
  <c r="Q17" i="11" s="1"/>
  <c r="R17" i="11" s="1"/>
  <c r="P9" i="11"/>
  <c r="Q9" i="11" s="1"/>
  <c r="H154" i="15"/>
  <c r="I154" i="15" s="1"/>
  <c r="J154" i="15" s="1"/>
  <c r="H136" i="15"/>
  <c r="I136" i="15" s="1"/>
  <c r="J136" i="15" s="1"/>
  <c r="H135" i="15"/>
  <c r="I135" i="15" s="1"/>
  <c r="J135" i="15" s="1"/>
  <c r="H131" i="15"/>
  <c r="I131" i="15" s="1"/>
  <c r="J131" i="15" s="1"/>
  <c r="L16" i="22"/>
  <c r="I4" i="22"/>
  <c r="J4" i="22"/>
  <c r="F4" i="22"/>
  <c r="V17" i="22"/>
  <c r="L4" i="22"/>
  <c r="E16" i="22"/>
  <c r="I28" i="22"/>
  <c r="I29" i="22"/>
  <c r="P16" i="22"/>
  <c r="M16" i="22"/>
  <c r="K28" i="22"/>
  <c r="K4" i="22"/>
  <c r="P4" i="22"/>
  <c r="V18" i="22"/>
  <c r="Z29" i="22"/>
  <c r="AC29" i="22"/>
  <c r="F28" i="22"/>
  <c r="D16" i="22"/>
  <c r="U28" i="22"/>
  <c r="N4" i="22"/>
  <c r="Z28" i="22"/>
  <c r="T4" i="22"/>
  <c r="F29" i="22"/>
  <c r="K16" i="22"/>
  <c r="E17" i="22"/>
  <c r="M29" i="22"/>
  <c r="F16" i="22"/>
  <c r="V16" i="22"/>
  <c r="AA4" i="22"/>
  <c r="V5" i="22"/>
  <c r="E4" i="22"/>
  <c r="N16" i="22"/>
  <c r="V4" i="22"/>
  <c r="AC28" i="22"/>
  <c r="AJ16" i="22"/>
  <c r="T28" i="22"/>
  <c r="AA16" i="22"/>
  <c r="S4" i="22"/>
  <c r="M28" i="22"/>
  <c r="D4" i="22"/>
  <c r="Q28" i="22"/>
  <c r="U4" i="22"/>
  <c r="S16" i="22"/>
  <c r="AD28" i="22"/>
  <c r="AD29" i="22"/>
  <c r="M4" i="22"/>
  <c r="U29" i="22"/>
  <c r="UI11" i="2" l="1"/>
  <c r="UI28" i="2"/>
  <c r="UI29" i="2"/>
  <c r="UI19" i="2"/>
  <c r="UI27" i="2"/>
  <c r="UI24" i="2"/>
  <c r="UI5" i="2"/>
  <c r="TN19" i="2"/>
  <c r="TN9" i="2"/>
  <c r="TN18" i="2"/>
  <c r="TN27" i="2"/>
  <c r="TN11" i="2"/>
  <c r="TN24" i="2"/>
  <c r="TN5" i="2"/>
  <c r="TN28" i="2"/>
  <c r="TN15" i="2"/>
  <c r="TN29" i="2"/>
  <c r="LL20" i="2"/>
  <c r="KQ4" i="2"/>
  <c r="KQ20" i="2"/>
  <c r="JV12" i="2"/>
  <c r="JV4" i="2"/>
  <c r="JV9" i="2"/>
  <c r="JV5" i="2"/>
  <c r="JV14" i="2"/>
  <c r="JV3" i="2"/>
  <c r="JV10" i="2"/>
  <c r="JV11" i="2"/>
  <c r="JV20" i="2"/>
  <c r="JV25" i="2"/>
  <c r="JV17" i="2"/>
  <c r="AY20" i="2"/>
  <c r="R143" i="15"/>
  <c r="S143" i="15" s="1"/>
  <c r="T143" i="15" s="1"/>
  <c r="S144" i="15"/>
  <c r="T144" i="15" s="1"/>
  <c r="U144" i="15" s="1"/>
  <c r="V144" i="15" s="1"/>
  <c r="W144" i="15" s="1"/>
  <c r="X144" i="15" s="1"/>
  <c r="R191" i="15"/>
  <c r="S191" i="15" s="1"/>
  <c r="T191" i="15" s="1"/>
  <c r="R150" i="15"/>
  <c r="R194" i="15"/>
  <c r="S194" i="15" s="1"/>
  <c r="R177" i="15"/>
  <c r="S167" i="15"/>
  <c r="T167" i="15" s="1"/>
  <c r="U201" i="15"/>
  <c r="V201" i="15" s="1"/>
  <c r="R178" i="15"/>
  <c r="S178" i="15" s="1"/>
  <c r="T178" i="15" s="1"/>
  <c r="R183" i="15"/>
  <c r="S183" i="15" s="1"/>
  <c r="T146" i="15"/>
  <c r="U146" i="15" s="1"/>
  <c r="V146" i="15" s="1"/>
  <c r="W146" i="15" s="1"/>
  <c r="X146" i="15" s="1"/>
  <c r="U169" i="15"/>
  <c r="V169" i="15" s="1"/>
  <c r="R182" i="15"/>
  <c r="S182" i="15" s="1"/>
  <c r="T182" i="15" s="1"/>
  <c r="S152" i="15"/>
  <c r="T152" i="15" s="1"/>
  <c r="U152" i="15" s="1"/>
  <c r="R190" i="15"/>
  <c r="S190" i="15" s="1"/>
  <c r="T190" i="15" s="1"/>
  <c r="S173" i="15"/>
  <c r="T173" i="15" s="1"/>
  <c r="R134" i="15"/>
  <c r="S134" i="15" s="1"/>
  <c r="S197" i="15"/>
  <c r="R175" i="15"/>
  <c r="S175" i="15" s="1"/>
  <c r="S172" i="15"/>
  <c r="T172" i="15" s="1"/>
  <c r="U172" i="15" s="1"/>
  <c r="R195" i="15"/>
  <c r="S195" i="15" s="1"/>
  <c r="T195" i="15" s="1"/>
  <c r="R149" i="15"/>
  <c r="S155" i="15"/>
  <c r="T155" i="15" s="1"/>
  <c r="U155" i="15" s="1"/>
  <c r="R139" i="15"/>
  <c r="S139" i="15" s="1"/>
  <c r="R184" i="15"/>
  <c r="S184" i="15" s="1"/>
  <c r="T184" i="15" s="1"/>
  <c r="U184" i="15" s="1"/>
  <c r="V184" i="15" s="1"/>
  <c r="W184" i="15" s="1"/>
  <c r="X184" i="15" s="1"/>
  <c r="R189" i="15"/>
  <c r="S189" i="15" s="1"/>
  <c r="T188" i="15"/>
  <c r="U188" i="15" s="1"/>
  <c r="V188" i="15" s="1"/>
  <c r="R148" i="15"/>
  <c r="S148" i="15" s="1"/>
  <c r="R142" i="15"/>
  <c r="R207" i="15"/>
  <c r="R151" i="15"/>
  <c r="S151" i="15" s="1"/>
  <c r="R193" i="15"/>
  <c r="R160" i="15"/>
  <c r="S160" i="15" s="1"/>
  <c r="T185" i="15"/>
  <c r="U185" i="15" s="1"/>
  <c r="V185" i="15" s="1"/>
  <c r="R166" i="15"/>
  <c r="S166" i="15" s="1"/>
  <c r="P135" i="15"/>
  <c r="Q135" i="15" s="1"/>
  <c r="R174" i="15"/>
  <c r="S174" i="15" s="1"/>
  <c r="T174" i="15" s="1"/>
  <c r="R181" i="15"/>
  <c r="Q170" i="15"/>
  <c r="R170" i="15" s="1"/>
  <c r="T171" i="15"/>
  <c r="U171" i="15" s="1"/>
  <c r="V171" i="15" s="1"/>
  <c r="Q203" i="15"/>
  <c r="R186" i="15"/>
  <c r="Q153" i="15"/>
  <c r="R153" i="15" s="1"/>
  <c r="R168" i="15"/>
  <c r="R158" i="15"/>
  <c r="P154" i="15"/>
  <c r="Q154" i="15" s="1"/>
  <c r="R165" i="15"/>
  <c r="S165" i="15" s="1"/>
  <c r="Q187" i="15"/>
  <c r="R176" i="15"/>
  <c r="R200" i="15"/>
  <c r="S200" i="15" s="1"/>
  <c r="T200" i="15" s="1"/>
  <c r="R206" i="15"/>
  <c r="Q199" i="15"/>
  <c r="S205" i="15"/>
  <c r="U156" i="15"/>
  <c r="V156" i="15" s="1"/>
  <c r="R204" i="15"/>
  <c r="Q147" i="15"/>
  <c r="R163" i="15"/>
  <c r="P131" i="15"/>
  <c r="Q131" i="15" s="1"/>
  <c r="R192" i="15"/>
  <c r="R141" i="15"/>
  <c r="S141" i="15" s="1"/>
  <c r="S669" i="14"/>
  <c r="T669" i="14" s="1"/>
  <c r="U669" i="14" s="1"/>
  <c r="V669" i="14" s="1"/>
  <c r="R609" i="14"/>
  <c r="S609" i="14" s="1"/>
  <c r="T609" i="14" s="1"/>
  <c r="R136" i="14"/>
  <c r="S136" i="14" s="1"/>
  <c r="T136" i="14" s="1"/>
  <c r="U136" i="14" s="1"/>
  <c r="R63" i="14"/>
  <c r="S63" i="14" s="1"/>
  <c r="T63" i="14" s="1"/>
  <c r="R327" i="14"/>
  <c r="S327" i="14" s="1"/>
  <c r="T327" i="14" s="1"/>
  <c r="U327" i="14" s="1"/>
  <c r="V327" i="14" s="1"/>
  <c r="W327" i="14" s="1"/>
  <c r="R747" i="14"/>
  <c r="S747" i="14" s="1"/>
  <c r="R574" i="14"/>
  <c r="S574" i="14" s="1"/>
  <c r="S297" i="14"/>
  <c r="T297" i="14" s="1"/>
  <c r="R670" i="14"/>
  <c r="S670" i="14" s="1"/>
  <c r="T670" i="14" s="1"/>
  <c r="R398" i="14"/>
  <c r="S398" i="14" s="1"/>
  <c r="T398" i="14" s="1"/>
  <c r="R323" i="14"/>
  <c r="S323" i="14" s="1"/>
  <c r="R459" i="14"/>
  <c r="S459" i="14" s="1"/>
  <c r="R648" i="14"/>
  <c r="S648" i="14" s="1"/>
  <c r="T648" i="14" s="1"/>
  <c r="S415" i="14"/>
  <c r="T415" i="14" s="1"/>
  <c r="R184" i="14"/>
  <c r="S184" i="14" s="1"/>
  <c r="T184" i="14" s="1"/>
  <c r="R382" i="14"/>
  <c r="S382" i="14" s="1"/>
  <c r="S522" i="14"/>
  <c r="T522" i="14" s="1"/>
  <c r="S622" i="14"/>
  <c r="T622" i="14" s="1"/>
  <c r="U622" i="14" s="1"/>
  <c r="V622" i="14" s="1"/>
  <c r="S427" i="14"/>
  <c r="T427" i="14" s="1"/>
  <c r="R709" i="14"/>
  <c r="S709" i="14" s="1"/>
  <c r="S438" i="14"/>
  <c r="T438" i="14" s="1"/>
  <c r="R635" i="14"/>
  <c r="S635" i="14" s="1"/>
  <c r="R552" i="14"/>
  <c r="S552" i="14" s="1"/>
  <c r="T552" i="14" s="1"/>
  <c r="U552" i="14" s="1"/>
  <c r="R37" i="14"/>
  <c r="S37" i="14" s="1"/>
  <c r="R202" i="14"/>
  <c r="S202" i="14" s="1"/>
  <c r="T202" i="14" s="1"/>
  <c r="R765" i="14"/>
  <c r="S765" i="14" s="1"/>
  <c r="R224" i="14"/>
  <c r="S224" i="14" s="1"/>
  <c r="R344" i="14"/>
  <c r="S344" i="14" s="1"/>
  <c r="R510" i="14"/>
  <c r="S510" i="14" s="1"/>
  <c r="T510" i="14" s="1"/>
  <c r="U510" i="14" s="1"/>
  <c r="R431" i="14"/>
  <c r="S431" i="14" s="1"/>
  <c r="R114" i="14"/>
  <c r="S114" i="14" s="1"/>
  <c r="S306" i="14"/>
  <c r="T306" i="14" s="1"/>
  <c r="U306" i="14" s="1"/>
  <c r="S411" i="14"/>
  <c r="T411" i="14" s="1"/>
  <c r="U411" i="14" s="1"/>
  <c r="S356" i="14"/>
  <c r="T356" i="14" s="1"/>
  <c r="S600" i="14"/>
  <c r="T600" i="14" s="1"/>
  <c r="U600" i="14" s="1"/>
  <c r="V600" i="14" s="1"/>
  <c r="R770" i="14"/>
  <c r="S770" i="14" s="1"/>
  <c r="R280" i="14"/>
  <c r="S280" i="14" s="1"/>
  <c r="R620" i="14"/>
  <c r="S620" i="14" s="1"/>
  <c r="R655" i="14"/>
  <c r="S655" i="14" s="1"/>
  <c r="R328" i="14"/>
  <c r="S328" i="14" s="1"/>
  <c r="R82" i="14"/>
  <c r="S82" i="14" s="1"/>
  <c r="T82" i="14" s="1"/>
  <c r="U82" i="14" s="1"/>
  <c r="S781" i="14"/>
  <c r="T781" i="14" s="1"/>
  <c r="U781" i="14" s="1"/>
  <c r="V781" i="14" s="1"/>
  <c r="R268" i="14"/>
  <c r="R364" i="14"/>
  <c r="S364" i="14" s="1"/>
  <c r="R133" i="14"/>
  <c r="T641" i="14"/>
  <c r="U641" i="14" s="1"/>
  <c r="R784" i="14"/>
  <c r="R206" i="14"/>
  <c r="S206" i="14" s="1"/>
  <c r="T206" i="14" s="1"/>
  <c r="R657" i="14"/>
  <c r="R7" i="14"/>
  <c r="S7" i="14" s="1"/>
  <c r="T7" i="14" s="1"/>
  <c r="T103" i="14"/>
  <c r="U103" i="14" s="1"/>
  <c r="V103" i="14" s="1"/>
  <c r="S230" i="14"/>
  <c r="R611" i="14"/>
  <c r="S611" i="14" s="1"/>
  <c r="R690" i="14"/>
  <c r="R576" i="14"/>
  <c r="S576" i="14" s="1"/>
  <c r="R226" i="14"/>
  <c r="S226" i="14" s="1"/>
  <c r="T226" i="14" s="1"/>
  <c r="U226" i="14" s="1"/>
  <c r="R410" i="14"/>
  <c r="S410" i="14" s="1"/>
  <c r="R275" i="14"/>
  <c r="S275" i="14" s="1"/>
  <c r="T275" i="14" s="1"/>
  <c r="U275" i="14" s="1"/>
  <c r="S68" i="14"/>
  <c r="T68" i="14" s="1"/>
  <c r="R179" i="14"/>
  <c r="S179" i="14" s="1"/>
  <c r="R475" i="14"/>
  <c r="S475" i="14" s="1"/>
  <c r="R524" i="14"/>
  <c r="S524" i="14" s="1"/>
  <c r="T524" i="14" s="1"/>
  <c r="R437" i="14"/>
  <c r="S437" i="14" s="1"/>
  <c r="R541" i="14"/>
  <c r="S541" i="14" s="1"/>
  <c r="T541" i="14" s="1"/>
  <c r="R158" i="14"/>
  <c r="S158" i="14" s="1"/>
  <c r="R422" i="14"/>
  <c r="S422" i="14" s="1"/>
  <c r="R705" i="14"/>
  <c r="S705" i="14" s="1"/>
  <c r="S777" i="14"/>
  <c r="T777" i="14" s="1"/>
  <c r="U777" i="14" s="1"/>
  <c r="R33" i="14"/>
  <c r="S33" i="14" s="1"/>
  <c r="R112" i="14"/>
  <c r="S112" i="14" s="1"/>
  <c r="T112" i="14" s="1"/>
  <c r="U112" i="14" s="1"/>
  <c r="R432" i="14"/>
  <c r="S432" i="14" s="1"/>
  <c r="R457" i="14"/>
  <c r="S457" i="14" s="1"/>
  <c r="R626" i="14"/>
  <c r="S626" i="14" s="1"/>
  <c r="T626" i="14" s="1"/>
  <c r="U626" i="14" s="1"/>
  <c r="V626" i="14" s="1"/>
  <c r="S115" i="14"/>
  <c r="R84" i="14"/>
  <c r="S84" i="14" s="1"/>
  <c r="T84" i="14" s="1"/>
  <c r="U84" i="14" s="1"/>
  <c r="R580" i="14"/>
  <c r="R526" i="14"/>
  <c r="S526" i="14" s="1"/>
  <c r="R111" i="14"/>
  <c r="R207" i="14"/>
  <c r="S207" i="14" s="1"/>
  <c r="T207" i="14" s="1"/>
  <c r="U207" i="14" s="1"/>
  <c r="R666" i="14"/>
  <c r="S666" i="14" s="1"/>
  <c r="R754" i="14"/>
  <c r="S41" i="14"/>
  <c r="T41" i="14" s="1"/>
  <c r="U41" i="14" s="1"/>
  <c r="R400" i="14"/>
  <c r="S787" i="14"/>
  <c r="T787" i="14" s="1"/>
  <c r="S10" i="14"/>
  <c r="T10" i="14" s="1"/>
  <c r="R181" i="14"/>
  <c r="S181" i="14" s="1"/>
  <c r="R291" i="14"/>
  <c r="S291" i="14" s="1"/>
  <c r="T291" i="14" s="1"/>
  <c r="Q490" i="14"/>
  <c r="R490" i="14" s="1"/>
  <c r="R653" i="14"/>
  <c r="S653" i="14" s="1"/>
  <c r="T653" i="14" s="1"/>
  <c r="U653" i="14" s="1"/>
  <c r="V653" i="14" s="1"/>
  <c r="W653" i="14" s="1"/>
  <c r="R491" i="14"/>
  <c r="S491" i="14" s="1"/>
  <c r="T491" i="14" s="1"/>
  <c r="U491" i="14" s="1"/>
  <c r="R134" i="14"/>
  <c r="S134" i="14" s="1"/>
  <c r="R286" i="14"/>
  <c r="S286" i="14" s="1"/>
  <c r="T286" i="14" s="1"/>
  <c r="U286" i="14" s="1"/>
  <c r="R721" i="14"/>
  <c r="S721" i="14" s="1"/>
  <c r="R713" i="14"/>
  <c r="S713" i="14" s="1"/>
  <c r="R65" i="14"/>
  <c r="S65" i="14" s="1"/>
  <c r="T65" i="14" s="1"/>
  <c r="R229" i="14"/>
  <c r="S229" i="14" s="1"/>
  <c r="T229" i="14" s="1"/>
  <c r="R86" i="14"/>
  <c r="S86" i="14" s="1"/>
  <c r="R367" i="14"/>
  <c r="S367" i="14" s="1"/>
  <c r="T367" i="14" s="1"/>
  <c r="R725" i="14"/>
  <c r="S725" i="14" s="1"/>
  <c r="R623" i="14"/>
  <c r="S623" i="14" s="1"/>
  <c r="T623" i="14" s="1"/>
  <c r="U623" i="14" s="1"/>
  <c r="R262" i="14"/>
  <c r="S262" i="14" s="1"/>
  <c r="S279" i="14"/>
  <c r="T279" i="14" s="1"/>
  <c r="U279" i="14" s="1"/>
  <c r="V279" i="14" s="1"/>
  <c r="Q370" i="14"/>
  <c r="R370" i="14" s="1"/>
  <c r="S473" i="14"/>
  <c r="T473" i="14" s="1"/>
  <c r="Q685" i="14"/>
  <c r="S51" i="14"/>
  <c r="Q304" i="14"/>
  <c r="R304" i="14" s="1"/>
  <c r="S331" i="14"/>
  <c r="T331" i="14" s="1"/>
  <c r="U331" i="14" s="1"/>
  <c r="V331" i="14" s="1"/>
  <c r="Q555" i="14"/>
  <c r="R555" i="14" s="1"/>
  <c r="Q766" i="14"/>
  <c r="R766" i="14" s="1"/>
  <c r="R299" i="14"/>
  <c r="S299" i="14" s="1"/>
  <c r="R499" i="14"/>
  <c r="S499" i="14" s="1"/>
  <c r="Q735" i="14"/>
  <c r="R735" i="14" s="1"/>
  <c r="R253" i="14"/>
  <c r="S253" i="14" s="1"/>
  <c r="R365" i="14"/>
  <c r="S365" i="14" s="1"/>
  <c r="T365" i="14" s="1"/>
  <c r="U365" i="14" s="1"/>
  <c r="V365" i="14" s="1"/>
  <c r="W365" i="14" s="1"/>
  <c r="S452" i="14"/>
  <c r="T452" i="14" s="1"/>
  <c r="R533" i="14"/>
  <c r="S533" i="14" s="1"/>
  <c r="Q617" i="14"/>
  <c r="R696" i="14"/>
  <c r="S696" i="14" s="1"/>
  <c r="T696" i="14" s="1"/>
  <c r="U696" i="14" s="1"/>
  <c r="V696" i="14" s="1"/>
  <c r="R318" i="14"/>
  <c r="S318" i="14" s="1"/>
  <c r="T318" i="14" s="1"/>
  <c r="R358" i="14"/>
  <c r="S358" i="14" s="1"/>
  <c r="T358" i="14" s="1"/>
  <c r="R534" i="14"/>
  <c r="S534" i="14" s="1"/>
  <c r="T534" i="14" s="1"/>
  <c r="S665" i="14"/>
  <c r="T665" i="14" s="1"/>
  <c r="U665" i="14" s="1"/>
  <c r="T737" i="14"/>
  <c r="U737" i="14" s="1"/>
  <c r="R71" i="14"/>
  <c r="S71" i="14" s="1"/>
  <c r="T71" i="14" s="1"/>
  <c r="U71" i="14" s="1"/>
  <c r="S16" i="14"/>
  <c r="T16" i="14" s="1"/>
  <c r="U16" i="14" s="1"/>
  <c r="S48" i="14"/>
  <c r="T48" i="14" s="1"/>
  <c r="U48" i="14" s="1"/>
  <c r="V48" i="14" s="1"/>
  <c r="U183" i="14"/>
  <c r="V183" i="14" s="1"/>
  <c r="W183" i="14" s="1"/>
  <c r="X183" i="14" s="1"/>
  <c r="Y183" i="14" s="1"/>
  <c r="S399" i="14"/>
  <c r="T399" i="14" s="1"/>
  <c r="U399" i="14" s="1"/>
  <c r="R433" i="14"/>
  <c r="S433" i="14" s="1"/>
  <c r="R540" i="14"/>
  <c r="S540" i="14" s="1"/>
  <c r="T540" i="14" s="1"/>
  <c r="S583" i="14"/>
  <c r="T583" i="14" s="1"/>
  <c r="S650" i="14"/>
  <c r="T650" i="14" s="1"/>
  <c r="U650" i="14" s="1"/>
  <c r="R72" i="14"/>
  <c r="S72" i="14" s="1"/>
  <c r="T72" i="14" s="1"/>
  <c r="U72" i="14" s="1"/>
  <c r="V72" i="14" s="1"/>
  <c r="W72" i="14" s="1"/>
  <c r="S152" i="14"/>
  <c r="T152" i="14" s="1"/>
  <c r="U152" i="14" s="1"/>
  <c r="R546" i="14"/>
  <c r="S546" i="14" s="1"/>
  <c r="R757" i="14"/>
  <c r="R60" i="14"/>
  <c r="S60" i="14" s="1"/>
  <c r="T60" i="14" s="1"/>
  <c r="R396" i="14"/>
  <c r="S396" i="14" s="1"/>
  <c r="R515" i="14"/>
  <c r="S515" i="14" s="1"/>
  <c r="S300" i="14"/>
  <c r="T300" i="14" s="1"/>
  <c r="U300" i="14" s="1"/>
  <c r="R672" i="14"/>
  <c r="S672" i="14" s="1"/>
  <c r="R23" i="14"/>
  <c r="S23" i="14" s="1"/>
  <c r="R126" i="14"/>
  <c r="R238" i="14"/>
  <c r="R517" i="14"/>
  <c r="R550" i="14"/>
  <c r="S550" i="14" s="1"/>
  <c r="R582" i="14"/>
  <c r="S582" i="14" s="1"/>
  <c r="T582" i="14" s="1"/>
  <c r="R223" i="14"/>
  <c r="S223" i="14" s="1"/>
  <c r="T223" i="14" s="1"/>
  <c r="R619" i="14"/>
  <c r="S619" i="14" s="1"/>
  <c r="R722" i="14"/>
  <c r="S722" i="14" s="1"/>
  <c r="T722" i="14" s="1"/>
  <c r="U722" i="14" s="1"/>
  <c r="R376" i="14"/>
  <c r="S376" i="14" s="1"/>
  <c r="T376" i="14" s="1"/>
  <c r="R441" i="14"/>
  <c r="S441" i="14" s="1"/>
  <c r="R44" i="14"/>
  <c r="S44" i="14" s="1"/>
  <c r="S155" i="14"/>
  <c r="T155" i="14" s="1"/>
  <c r="R315" i="14"/>
  <c r="S315" i="14" s="1"/>
  <c r="S196" i="14"/>
  <c r="T196" i="14" s="1"/>
  <c r="R556" i="14"/>
  <c r="S556" i="14" s="1"/>
  <c r="S671" i="14"/>
  <c r="T671" i="14" s="1"/>
  <c r="R277" i="14"/>
  <c r="S277" i="14" s="1"/>
  <c r="R516" i="14"/>
  <c r="S516" i="14" s="1"/>
  <c r="R301" i="14"/>
  <c r="S301" i="14" s="1"/>
  <c r="R485" i="14"/>
  <c r="S485" i="14" s="1"/>
  <c r="R24" i="14"/>
  <c r="S24" i="14" s="1"/>
  <c r="R95" i="14"/>
  <c r="S95" i="14" s="1"/>
  <c r="R551" i="14"/>
  <c r="S551" i="14" s="1"/>
  <c r="R593" i="14"/>
  <c r="S593" i="14" s="1"/>
  <c r="S786" i="14"/>
  <c r="T786" i="14" s="1"/>
  <c r="U786" i="14" s="1"/>
  <c r="R168" i="14"/>
  <c r="S168" i="14" s="1"/>
  <c r="T168" i="14" s="1"/>
  <c r="R312" i="14"/>
  <c r="S312" i="14" s="1"/>
  <c r="T312" i="14" s="1"/>
  <c r="U312" i="14" s="1"/>
  <c r="V312" i="14" s="1"/>
  <c r="R698" i="14"/>
  <c r="S698" i="14" s="1"/>
  <c r="T698" i="14" s="1"/>
  <c r="X9" i="14"/>
  <c r="Y9" i="14" s="1"/>
  <c r="Z9" i="14" s="1"/>
  <c r="AA9" i="14" s="1"/>
  <c r="R250" i="14"/>
  <c r="S250" i="14" s="1"/>
  <c r="R454" i="14"/>
  <c r="S454" i="14" s="1"/>
  <c r="S49" i="14"/>
  <c r="T49" i="14" s="1"/>
  <c r="T96" i="14"/>
  <c r="U96" i="14" s="1"/>
  <c r="S113" i="14"/>
  <c r="T113" i="14" s="1"/>
  <c r="R496" i="14"/>
  <c r="S496" i="14" s="1"/>
  <c r="R748" i="14"/>
  <c r="S748" i="14" s="1"/>
  <c r="T748" i="14" s="1"/>
  <c r="R138" i="14"/>
  <c r="S138" i="14" s="1"/>
  <c r="T138" i="14" s="1"/>
  <c r="R170" i="14"/>
  <c r="S170" i="14" s="1"/>
  <c r="T170" i="14" s="1"/>
  <c r="R210" i="14"/>
  <c r="S210" i="14" s="1"/>
  <c r="T210" i="14" s="1"/>
  <c r="R554" i="14"/>
  <c r="S554" i="14" s="1"/>
  <c r="R598" i="14"/>
  <c r="S598" i="14" s="1"/>
  <c r="R708" i="14"/>
  <c r="S708" i="14" s="1"/>
  <c r="T708" i="14" s="1"/>
  <c r="U708" i="14" s="1"/>
  <c r="R131" i="14"/>
  <c r="S219" i="14"/>
  <c r="T219" i="14" s="1"/>
  <c r="R259" i="14"/>
  <c r="S259" i="14" s="1"/>
  <c r="R371" i="14"/>
  <c r="S371" i="14" s="1"/>
  <c r="T371" i="14" s="1"/>
  <c r="U371" i="14" s="1"/>
  <c r="R466" i="14"/>
  <c r="S466" i="14" s="1"/>
  <c r="T466" i="14" s="1"/>
  <c r="S4" i="14"/>
  <c r="T4" i="14" s="1"/>
  <c r="R116" i="14"/>
  <c r="S116" i="14" s="1"/>
  <c r="T116" i="14" s="1"/>
  <c r="R212" i="14"/>
  <c r="S212" i="14" s="1"/>
  <c r="S532" i="14"/>
  <c r="T532" i="14" s="1"/>
  <c r="R165" i="14"/>
  <c r="S165" i="14" s="1"/>
  <c r="T165" i="14" s="1"/>
  <c r="R317" i="14"/>
  <c r="S317" i="14" s="1"/>
  <c r="T317" i="14" s="1"/>
  <c r="R573" i="14"/>
  <c r="S573" i="14" s="1"/>
  <c r="R752" i="14"/>
  <c r="S752" i="14" s="1"/>
  <c r="R39" i="14"/>
  <c r="S39" i="14" s="1"/>
  <c r="S182" i="14"/>
  <c r="T182" i="14" s="1"/>
  <c r="S602" i="14"/>
  <c r="T602" i="14" s="1"/>
  <c r="R769" i="14"/>
  <c r="S769" i="14" s="1"/>
  <c r="R135" i="14"/>
  <c r="S135" i="14" s="1"/>
  <c r="R494" i="14"/>
  <c r="S494" i="14" s="1"/>
  <c r="R527" i="14"/>
  <c r="S527" i="14" s="1"/>
  <c r="Q706" i="14"/>
  <c r="R706" i="14" s="1"/>
  <c r="Q738" i="14"/>
  <c r="R738" i="14" s="1"/>
  <c r="Q256" i="14"/>
  <c r="R256" i="14" s="1"/>
  <c r="R296" i="14"/>
  <c r="S296" i="14" s="1"/>
  <c r="R352" i="14"/>
  <c r="S352" i="14" s="1"/>
  <c r="Q392" i="14"/>
  <c r="R392" i="14" s="1"/>
  <c r="S392" i="14" s="1"/>
  <c r="R463" i="14"/>
  <c r="S463" i="14" s="1"/>
  <c r="Q584" i="14"/>
  <c r="R584" i="14" s="1"/>
  <c r="S584" i="14" s="1"/>
  <c r="T73" i="14"/>
  <c r="U73" i="14" s="1"/>
  <c r="V73" i="14" s="1"/>
  <c r="R232" i="14"/>
  <c r="S232" i="14" s="1"/>
  <c r="R281" i="14"/>
  <c r="S281" i="14" s="1"/>
  <c r="R425" i="14"/>
  <c r="S425" i="14" s="1"/>
  <c r="R715" i="14"/>
  <c r="S715" i="14" s="1"/>
  <c r="T715" i="14" s="1"/>
  <c r="U715" i="14" s="1"/>
  <c r="R434" i="14"/>
  <c r="S434" i="14" s="1"/>
  <c r="S106" i="14"/>
  <c r="T106" i="14" s="1"/>
  <c r="R35" i="14"/>
  <c r="S35" i="14" s="1"/>
  <c r="S513" i="14"/>
  <c r="T513" i="14" s="1"/>
  <c r="U513" i="14" s="1"/>
  <c r="R481" i="14"/>
  <c r="S481" i="14" s="1"/>
  <c r="T481" i="14" s="1"/>
  <c r="U481" i="14" s="1"/>
  <c r="R578" i="14"/>
  <c r="S578" i="14" s="1"/>
  <c r="R677" i="14"/>
  <c r="S677" i="14" s="1"/>
  <c r="S3" i="14"/>
  <c r="T3" i="14" s="1"/>
  <c r="R646" i="14"/>
  <c r="S646" i="14" s="1"/>
  <c r="R2" i="14"/>
  <c r="S27" i="14"/>
  <c r="T27" i="14" s="1"/>
  <c r="U27" i="14" s="1"/>
  <c r="R589" i="14"/>
  <c r="S589" i="14" s="1"/>
  <c r="T589" i="14" s="1"/>
  <c r="Q101" i="14"/>
  <c r="R162" i="14"/>
  <c r="S162" i="14" s="1"/>
  <c r="R218" i="14"/>
  <c r="S218" i="14" s="1"/>
  <c r="T218" i="14" s="1"/>
  <c r="Q362" i="14"/>
  <c r="R394" i="14"/>
  <c r="R426" i="14"/>
  <c r="R538" i="14"/>
  <c r="S538" i="14" s="1"/>
  <c r="T538" i="14" s="1"/>
  <c r="R570" i="14"/>
  <c r="R606" i="14"/>
  <c r="Q638" i="14"/>
  <c r="R717" i="14"/>
  <c r="Q789" i="14"/>
  <c r="Q139" i="14"/>
  <c r="R435" i="14"/>
  <c r="S435" i="14" s="1"/>
  <c r="T435" i="14" s="1"/>
  <c r="Q514" i="14"/>
  <c r="Q547" i="14"/>
  <c r="R43" i="14"/>
  <c r="S43" i="14" s="1"/>
  <c r="T43" i="14" s="1"/>
  <c r="U43" i="14" s="1"/>
  <c r="Q74" i="14"/>
  <c r="R74" i="14" s="1"/>
  <c r="S74" i="14" s="1"/>
  <c r="S122" i="14"/>
  <c r="T122" i="14" s="1"/>
  <c r="Q130" i="14"/>
  <c r="R130" i="14" s="1"/>
  <c r="R242" i="14"/>
  <c r="S242" i="14" s="1"/>
  <c r="T242" i="14" s="1"/>
  <c r="R266" i="14"/>
  <c r="S266" i="14" s="1"/>
  <c r="S290" i="14"/>
  <c r="T290" i="14" s="1"/>
  <c r="Q298" i="14"/>
  <c r="R298" i="14" s="1"/>
  <c r="S298" i="14" s="1"/>
  <c r="Q330" i="14"/>
  <c r="R330" i="14" s="1"/>
  <c r="S330" i="14" s="1"/>
  <c r="R354" i="14"/>
  <c r="T418" i="14"/>
  <c r="T442" i="14"/>
  <c r="U442" i="14" s="1"/>
  <c r="S489" i="14"/>
  <c r="Q497" i="14"/>
  <c r="R497" i="14" s="1"/>
  <c r="S530" i="14"/>
  <c r="T530" i="14" s="1"/>
  <c r="U530" i="14" s="1"/>
  <c r="S562" i="14"/>
  <c r="T562" i="14" s="1"/>
  <c r="Q652" i="14"/>
  <c r="R652" i="14" s="1"/>
  <c r="U693" i="14"/>
  <c r="V693" i="14" s="1"/>
  <c r="Q733" i="14"/>
  <c r="R733" i="14" s="1"/>
  <c r="S733" i="14" s="1"/>
  <c r="Q749" i="14"/>
  <c r="R749" i="14" s="1"/>
  <c r="Q59" i="14"/>
  <c r="R59" i="14" s="1"/>
  <c r="Q98" i="14"/>
  <c r="R98" i="14" s="1"/>
  <c r="S98" i="14" s="1"/>
  <c r="Q171" i="14"/>
  <c r="R171" i="14" s="1"/>
  <c r="Q379" i="14"/>
  <c r="R379" i="14" s="1"/>
  <c r="R587" i="14"/>
  <c r="S587" i="14" s="1"/>
  <c r="T587" i="14" s="1"/>
  <c r="R260" i="14"/>
  <c r="S260" i="14" s="1"/>
  <c r="R19" i="14"/>
  <c r="S19" i="14" s="1"/>
  <c r="Q147" i="14"/>
  <c r="R147" i="14" s="1"/>
  <c r="R55" i="14"/>
  <c r="S55" i="14" s="1"/>
  <c r="R220" i="14"/>
  <c r="S220" i="14" s="1"/>
  <c r="S66" i="14"/>
  <c r="S258" i="14"/>
  <c r="R346" i="14"/>
  <c r="Q203" i="14"/>
  <c r="Q631" i="14"/>
  <c r="R631" i="14" s="1"/>
  <c r="R132" i="14"/>
  <c r="S132" i="14" s="1"/>
  <c r="T132" i="14" s="1"/>
  <c r="R436" i="14"/>
  <c r="S436" i="14" s="1"/>
  <c r="R703" i="14"/>
  <c r="R282" i="14"/>
  <c r="R314" i="14"/>
  <c r="Q67" i="14"/>
  <c r="Q83" i="14"/>
  <c r="R107" i="14"/>
  <c r="Q234" i="14"/>
  <c r="Q363" i="14"/>
  <c r="R363" i="14" s="1"/>
  <c r="Q419" i="14"/>
  <c r="R419" i="14" s="1"/>
  <c r="Q498" i="14"/>
  <c r="Q531" i="14"/>
  <c r="R92" i="14"/>
  <c r="S92" i="14" s="1"/>
  <c r="S58" i="14"/>
  <c r="T58" i="14" s="1"/>
  <c r="U58" i="14" s="1"/>
  <c r="R178" i="14"/>
  <c r="S178" i="14" s="1"/>
  <c r="R194" i="14"/>
  <c r="S338" i="14"/>
  <c r="R378" i="14"/>
  <c r="T402" i="14"/>
  <c r="R586" i="14"/>
  <c r="S614" i="14"/>
  <c r="R741" i="14"/>
  <c r="Q395" i="14"/>
  <c r="R395" i="14" s="1"/>
  <c r="Q563" i="14"/>
  <c r="R563" i="14" s="1"/>
  <c r="S563" i="14" s="1"/>
  <c r="R52" i="14"/>
  <c r="S52" i="14" s="1"/>
  <c r="Q267" i="14"/>
  <c r="S109" i="14"/>
  <c r="T109" i="14" s="1"/>
  <c r="U109" i="14" s="1"/>
  <c r="Q701" i="14"/>
  <c r="Q772" i="14"/>
  <c r="R20" i="14"/>
  <c r="R36" i="14"/>
  <c r="Q403" i="14"/>
  <c r="R458" i="14"/>
  <c r="R482" i="14"/>
  <c r="S482" i="14" s="1"/>
  <c r="R615" i="14"/>
  <c r="R758" i="14"/>
  <c r="S758" i="14" s="1"/>
  <c r="R727" i="14"/>
  <c r="S727" i="14" s="1"/>
  <c r="T727" i="14" s="1"/>
  <c r="R211" i="14"/>
  <c r="R579" i="14"/>
  <c r="S734" i="14"/>
  <c r="S148" i="14"/>
  <c r="R188" i="14"/>
  <c r="R316" i="14"/>
  <c r="S467" i="14"/>
  <c r="R548" i="14"/>
  <c r="Q22" i="14"/>
  <c r="R77" i="14"/>
  <c r="R221" i="14"/>
  <c r="Q325" i="14"/>
  <c r="R325" i="14" s="1"/>
  <c r="S325" i="14" s="1"/>
  <c r="Q373" i="14"/>
  <c r="R373" i="14" s="1"/>
  <c r="S373" i="14" s="1"/>
  <c r="T373" i="14" s="1"/>
  <c r="R461" i="14"/>
  <c r="S461" i="14" s="1"/>
  <c r="T461" i="14" s="1"/>
  <c r="R697" i="14"/>
  <c r="S697" i="14" s="1"/>
  <c r="R647" i="14"/>
  <c r="Q678" i="14"/>
  <c r="Q702" i="14"/>
  <c r="S140" i="14"/>
  <c r="R252" i="14"/>
  <c r="S252" i="14" s="1"/>
  <c r="T252" i="14" s="1"/>
  <c r="R308" i="14"/>
  <c r="Q388" i="14"/>
  <c r="Q420" i="14"/>
  <c r="Q430" i="14"/>
  <c r="R430" i="14" s="1"/>
  <c r="S430" i="14" s="1"/>
  <c r="Q654" i="14"/>
  <c r="S687" i="14"/>
  <c r="R695" i="14"/>
  <c r="Q245" i="14"/>
  <c r="R245" i="14" s="1"/>
  <c r="S245" i="14" s="1"/>
  <c r="R349" i="14"/>
  <c r="S349" i="14" s="1"/>
  <c r="R381" i="14"/>
  <c r="R428" i="14"/>
  <c r="S428" i="14" s="1"/>
  <c r="T428" i="14" s="1"/>
  <c r="U428" i="14" s="1"/>
  <c r="R118" i="14"/>
  <c r="S118" i="14" s="1"/>
  <c r="T118" i="14" s="1"/>
  <c r="U118" i="14" s="1"/>
  <c r="R254" i="14"/>
  <c r="S254" i="14" s="1"/>
  <c r="T254" i="14" s="1"/>
  <c r="R125" i="14"/>
  <c r="Q149" i="14"/>
  <c r="R149" i="14" s="1"/>
  <c r="Q180" i="14"/>
  <c r="Q460" i="14"/>
  <c r="R460" i="14" s="1"/>
  <c r="R91" i="14"/>
  <c r="R123" i="14"/>
  <c r="R195" i="14"/>
  <c r="R227" i="14"/>
  <c r="R251" i="14"/>
  <c r="S283" i="14"/>
  <c r="T283" i="14" s="1"/>
  <c r="T339" i="14"/>
  <c r="U339" i="14" s="1"/>
  <c r="Q347" i="14"/>
  <c r="S387" i="14"/>
  <c r="R450" i="14"/>
  <c r="S474" i="14"/>
  <c r="Q505" i="14"/>
  <c r="R539" i="14"/>
  <c r="S607" i="14"/>
  <c r="Q639" i="14"/>
  <c r="R694" i="14"/>
  <c r="S694" i="14" s="1"/>
  <c r="R726" i="14"/>
  <c r="S750" i="14"/>
  <c r="T750" i="14" s="1"/>
  <c r="U750" i="14" s="1"/>
  <c r="V750" i="14" s="1"/>
  <c r="W750" i="14" s="1"/>
  <c r="S29" i="14"/>
  <c r="Q172" i="14"/>
  <c r="R284" i="14"/>
  <c r="Q292" i="14"/>
  <c r="R380" i="14"/>
  <c r="Q412" i="14"/>
  <c r="S564" i="14"/>
  <c r="T564" i="14" s="1"/>
  <c r="R624" i="14"/>
  <c r="S624" i="14" s="1"/>
  <c r="Q783" i="14"/>
  <c r="Q14" i="14"/>
  <c r="R405" i="14"/>
  <c r="R704" i="14"/>
  <c r="S704" i="14" s="1"/>
  <c r="R618" i="14"/>
  <c r="S187" i="14"/>
  <c r="T187" i="14" s="1"/>
  <c r="R443" i="14"/>
  <c r="R599" i="14"/>
  <c r="S599" i="14" s="1"/>
  <c r="T599" i="14" s="1"/>
  <c r="R13" i="14"/>
  <c r="R45" i="14"/>
  <c r="T99" i="14"/>
  <c r="U99" i="14" s="1"/>
  <c r="V99" i="14" s="1"/>
  <c r="R108" i="14"/>
  <c r="R164" i="14"/>
  <c r="T228" i="14"/>
  <c r="R235" i="14"/>
  <c r="T324" i="14"/>
  <c r="U324" i="14" s="1"/>
  <c r="Q348" i="14"/>
  <c r="S483" i="14"/>
  <c r="T483" i="14" s="1"/>
  <c r="R507" i="14"/>
  <c r="R590" i="14"/>
  <c r="R679" i="14"/>
  <c r="R710" i="14"/>
  <c r="S710" i="14" s="1"/>
  <c r="T710" i="14" s="1"/>
  <c r="S751" i="14"/>
  <c r="Q767" i="14"/>
  <c r="R767" i="14" s="1"/>
  <c r="Q774" i="14"/>
  <c r="R774" i="14" s="1"/>
  <c r="Q30" i="14"/>
  <c r="S46" i="14"/>
  <c r="R333" i="14"/>
  <c r="T413" i="14"/>
  <c r="U413" i="14" s="1"/>
  <c r="V413" i="14" s="1"/>
  <c r="W413" i="14" s="1"/>
  <c r="X413" i="14" s="1"/>
  <c r="R334" i="14"/>
  <c r="S334" i="14" s="1"/>
  <c r="S649" i="14"/>
  <c r="T649" i="14" s="1"/>
  <c r="R718" i="14"/>
  <c r="S782" i="14"/>
  <c r="T782" i="14" s="1"/>
  <c r="S76" i="14"/>
  <c r="T76" i="14" s="1"/>
  <c r="U76" i="14" s="1"/>
  <c r="V76" i="14" s="1"/>
  <c r="S124" i="14"/>
  <c r="R156" i="14"/>
  <c r="R204" i="14"/>
  <c r="S204" i="14" s="1"/>
  <c r="R332" i="14"/>
  <c r="S332" i="14" s="1"/>
  <c r="T332" i="14" s="1"/>
  <c r="S372" i="14"/>
  <c r="S444" i="14"/>
  <c r="R616" i="14"/>
  <c r="S616" i="14" s="1"/>
  <c r="T616" i="14" s="1"/>
  <c r="R640" i="14"/>
  <c r="S640" i="14" s="1"/>
  <c r="T743" i="14"/>
  <c r="U12" i="14"/>
  <c r="Q85" i="14"/>
  <c r="Q100" i="14"/>
  <c r="Q141" i="14"/>
  <c r="Q157" i="14"/>
  <c r="R157" i="14" s="1"/>
  <c r="Q293" i="14"/>
  <c r="R293" i="14" s="1"/>
  <c r="R476" i="14"/>
  <c r="S476" i="14" s="1"/>
  <c r="T476" i="14" s="1"/>
  <c r="R744" i="14"/>
  <c r="S744" i="14" s="1"/>
  <c r="T744" i="14" s="1"/>
  <c r="R166" i="14"/>
  <c r="R342" i="14"/>
  <c r="S342" i="14" s="1"/>
  <c r="T342" i="14" s="1"/>
  <c r="Q173" i="14"/>
  <c r="R173" i="14" s="1"/>
  <c r="Q213" i="14"/>
  <c r="Q581" i="14"/>
  <c r="R581" i="14" s="1"/>
  <c r="R558" i="14"/>
  <c r="R761" i="14"/>
  <c r="S761" i="14" s="1"/>
  <c r="R127" i="14"/>
  <c r="S127" i="14" s="1"/>
  <c r="R21" i="14"/>
  <c r="Q38" i="14"/>
  <c r="Q117" i="14"/>
  <c r="Q236" i="14"/>
  <c r="R167" i="14"/>
  <c r="S167" i="14" s="1"/>
  <c r="T167" i="14" s="1"/>
  <c r="V205" i="14"/>
  <c r="W205" i="14" s="1"/>
  <c r="X205" i="14" s="1"/>
  <c r="Y205" i="14" s="1"/>
  <c r="R421" i="14"/>
  <c r="S500" i="14"/>
  <c r="R728" i="14"/>
  <c r="S728" i="14" s="1"/>
  <c r="R760" i="14"/>
  <c r="S760" i="14" s="1"/>
  <c r="T760" i="14" s="1"/>
  <c r="R53" i="14"/>
  <c r="S53" i="14" s="1"/>
  <c r="R62" i="14"/>
  <c r="S62" i="14" s="1"/>
  <c r="T62" i="14" s="1"/>
  <c r="R94" i="14"/>
  <c r="S94" i="14" s="1"/>
  <c r="R190" i="14"/>
  <c r="S190" i="14" s="1"/>
  <c r="T190" i="14" s="1"/>
  <c r="Q237" i="14"/>
  <c r="R237" i="14" s="1"/>
  <c r="S237" i="14" s="1"/>
  <c r="T237" i="14" s="1"/>
  <c r="R270" i="14"/>
  <c r="S270" i="14" s="1"/>
  <c r="S294" i="14"/>
  <c r="T294" i="14" s="1"/>
  <c r="U294" i="14" s="1"/>
  <c r="V294" i="14" s="1"/>
  <c r="W294" i="14" s="1"/>
  <c r="T326" i="14"/>
  <c r="U326" i="14" s="1"/>
  <c r="Q375" i="14"/>
  <c r="R406" i="14"/>
  <c r="S406" i="14" s="1"/>
  <c r="R446" i="14"/>
  <c r="U469" i="14"/>
  <c r="V469" i="14" s="1"/>
  <c r="R501" i="14"/>
  <c r="S501" i="14" s="1"/>
  <c r="S634" i="14"/>
  <c r="T634" i="14" s="1"/>
  <c r="U634" i="14" s="1"/>
  <c r="R673" i="14"/>
  <c r="S673" i="14" s="1"/>
  <c r="Q681" i="14"/>
  <c r="R681" i="14" s="1"/>
  <c r="R712" i="14"/>
  <c r="S712" i="14" s="1"/>
  <c r="T712" i="14" s="1"/>
  <c r="U712" i="14" s="1"/>
  <c r="V712" i="14" s="1"/>
  <c r="Q745" i="14"/>
  <c r="R745" i="14" s="1"/>
  <c r="S776" i="14"/>
  <c r="T776" i="14" s="1"/>
  <c r="R785" i="14"/>
  <c r="S785" i="14" s="1"/>
  <c r="S54" i="14"/>
  <c r="S151" i="14"/>
  <c r="Q159" i="14"/>
  <c r="R159" i="14" s="1"/>
  <c r="Q239" i="14"/>
  <c r="Q263" i="14"/>
  <c r="R263" i="14" s="1"/>
  <c r="S263" i="14" s="1"/>
  <c r="Q287" i="14"/>
  <c r="Q359" i="14"/>
  <c r="R359" i="14" s="1"/>
  <c r="S359" i="14" s="1"/>
  <c r="Q383" i="14"/>
  <c r="R383" i="14" s="1"/>
  <c r="S383" i="14" s="1"/>
  <c r="R567" i="14"/>
  <c r="S567" i="14" s="1"/>
  <c r="Q215" i="14"/>
  <c r="R215" i="14" s="1"/>
  <c r="R643" i="14"/>
  <c r="S643" i="14" s="1"/>
  <c r="T643" i="14" s="1"/>
  <c r="Q391" i="14"/>
  <c r="R391" i="14" s="1"/>
  <c r="Q302" i="14"/>
  <c r="Q319" i="14"/>
  <c r="Q335" i="14"/>
  <c r="R351" i="14"/>
  <c r="S303" i="14"/>
  <c r="T303" i="14" s="1"/>
  <c r="U303" i="14" s="1"/>
  <c r="R197" i="14"/>
  <c r="R269" i="14"/>
  <c r="Q492" i="14"/>
  <c r="R565" i="14"/>
  <c r="R633" i="14"/>
  <c r="S633" i="14" s="1"/>
  <c r="R711" i="14"/>
  <c r="R775" i="14"/>
  <c r="Q78" i="14"/>
  <c r="R350" i="14"/>
  <c r="R390" i="14"/>
  <c r="R566" i="14"/>
  <c r="R729" i="14"/>
  <c r="R40" i="14"/>
  <c r="R87" i="14"/>
  <c r="S87" i="14" s="1"/>
  <c r="R199" i="14"/>
  <c r="R271" i="14"/>
  <c r="S389" i="14"/>
  <c r="Q484" i="14"/>
  <c r="R525" i="14"/>
  <c r="S525" i="14" s="1"/>
  <c r="R601" i="14"/>
  <c r="S601" i="14" s="1"/>
  <c r="T601" i="14" s="1"/>
  <c r="S680" i="14"/>
  <c r="R688" i="14"/>
  <c r="S688" i="14" s="1"/>
  <c r="S736" i="14"/>
  <c r="R70" i="14"/>
  <c r="S70" i="14" s="1"/>
  <c r="R150" i="14"/>
  <c r="T174" i="14"/>
  <c r="R198" i="14"/>
  <c r="R222" i="14"/>
  <c r="S246" i="14"/>
  <c r="S278" i="14"/>
  <c r="S310" i="14"/>
  <c r="R429" i="14"/>
  <c r="R493" i="14"/>
  <c r="R509" i="14"/>
  <c r="R592" i="14"/>
  <c r="S592" i="14" s="1"/>
  <c r="R175" i="14"/>
  <c r="Q295" i="14"/>
  <c r="R453" i="14"/>
  <c r="S453" i="14" s="1"/>
  <c r="R642" i="14"/>
  <c r="S642" i="14" s="1"/>
  <c r="T642" i="14" s="1"/>
  <c r="U642" i="14" s="1"/>
  <c r="V642" i="14" s="1"/>
  <c r="R689" i="14"/>
  <c r="Q462" i="14"/>
  <c r="R462" i="14" s="1"/>
  <c r="R559" i="14"/>
  <c r="S559" i="14" s="1"/>
  <c r="T559" i="14" s="1"/>
  <c r="U559" i="14" s="1"/>
  <c r="R762" i="14"/>
  <c r="S762" i="14" s="1"/>
  <c r="T762" i="14" s="1"/>
  <c r="U762" i="14" s="1"/>
  <c r="S408" i="14"/>
  <c r="T408" i="14" s="1"/>
  <c r="R189" i="14"/>
  <c r="R261" i="14"/>
  <c r="R309" i="14"/>
  <c r="R357" i="14"/>
  <c r="R468" i="14"/>
  <c r="R591" i="14"/>
  <c r="R625" i="14"/>
  <c r="R656" i="14"/>
  <c r="S656" i="14" s="1"/>
  <c r="R790" i="14"/>
  <c r="R15" i="14"/>
  <c r="Q110" i="14"/>
  <c r="R142" i="14"/>
  <c r="R414" i="14"/>
  <c r="R477" i="14"/>
  <c r="S477" i="14" s="1"/>
  <c r="T477" i="14" s="1"/>
  <c r="R542" i="14"/>
  <c r="S32" i="14"/>
  <c r="S79" i="14"/>
  <c r="S119" i="14"/>
  <c r="R143" i="14"/>
  <c r="Q343" i="14"/>
  <c r="R374" i="14"/>
  <c r="Q486" i="14"/>
  <c r="R627" i="14"/>
  <c r="R658" i="14"/>
  <c r="Q88" i="14"/>
  <c r="Q128" i="14"/>
  <c r="R160" i="14"/>
  <c r="S368" i="14"/>
  <c r="R487" i="14"/>
  <c r="R699" i="14"/>
  <c r="S699" i="14" s="1"/>
  <c r="T699" i="14" s="1"/>
  <c r="R723" i="14"/>
  <c r="S723" i="14" s="1"/>
  <c r="T723" i="14" s="1"/>
  <c r="U723" i="14" s="1"/>
  <c r="S613" i="14"/>
  <c r="T613" i="14" s="1"/>
  <c r="R660" i="14"/>
  <c r="S660" i="14" s="1"/>
  <c r="T407" i="14"/>
  <c r="U407" i="14" s="1"/>
  <c r="V407" i="14" s="1"/>
  <c r="Q519" i="14"/>
  <c r="Q543" i="14"/>
  <c r="Q575" i="14"/>
  <c r="R730" i="14"/>
  <c r="R25" i="14"/>
  <c r="R56" i="14"/>
  <c r="Q192" i="14"/>
  <c r="R200" i="14"/>
  <c r="S200" i="14" s="1"/>
  <c r="T200" i="14" s="1"/>
  <c r="S240" i="14"/>
  <c r="T240" i="14" s="1"/>
  <c r="U240" i="14" s="1"/>
  <c r="Q288" i="14"/>
  <c r="Q320" i="14"/>
  <c r="Q424" i="14"/>
  <c r="R424" i="14" s="1"/>
  <c r="R455" i="14"/>
  <c r="R479" i="14"/>
  <c r="U536" i="14"/>
  <c r="R544" i="14"/>
  <c r="R668" i="14"/>
  <c r="S668" i="14" s="1"/>
  <c r="T668" i="14" s="1"/>
  <c r="S604" i="14"/>
  <c r="T604" i="14" s="1"/>
  <c r="Q636" i="14"/>
  <c r="R636" i="14" s="1"/>
  <c r="R137" i="14"/>
  <c r="S137" i="14" s="1"/>
  <c r="R241" i="14"/>
  <c r="R764" i="14"/>
  <c r="S764" i="14" s="1"/>
  <c r="T764" i="14" s="1"/>
  <c r="R447" i="14"/>
  <c r="R502" i="14"/>
  <c r="S502" i="14" s="1"/>
  <c r="T502" i="14" s="1"/>
  <c r="U502" i="14" s="1"/>
  <c r="R64" i="14"/>
  <c r="R216" i="14"/>
  <c r="R360" i="14"/>
  <c r="S360" i="14" s="1"/>
  <c r="R471" i="14"/>
  <c r="S471" i="14" s="1"/>
  <c r="T471" i="14" s="1"/>
  <c r="R707" i="14"/>
  <c r="S707" i="14" s="1"/>
  <c r="T707" i="14" s="1"/>
  <c r="R755" i="14"/>
  <c r="S676" i="14"/>
  <c r="T676" i="14" s="1"/>
  <c r="U676" i="14" s="1"/>
  <c r="S779" i="14"/>
  <c r="T779" i="14" s="1"/>
  <c r="U779" i="14" s="1"/>
  <c r="R478" i="14"/>
  <c r="S478" i="14" s="1"/>
  <c r="T478" i="14" s="1"/>
  <c r="R535" i="14"/>
  <c r="R603" i="14"/>
  <c r="S603" i="14" s="1"/>
  <c r="R674" i="14"/>
  <c r="S674" i="14" s="1"/>
  <c r="R682" i="14"/>
  <c r="R746" i="14"/>
  <c r="S746" i="14" s="1"/>
  <c r="R120" i="14"/>
  <c r="R144" i="14"/>
  <c r="S176" i="14"/>
  <c r="T176" i="14" s="1"/>
  <c r="U176" i="14" s="1"/>
  <c r="Q272" i="14"/>
  <c r="R272" i="14" s="1"/>
  <c r="R384" i="14"/>
  <c r="R416" i="14"/>
  <c r="T440" i="14"/>
  <c r="U440" i="14" s="1"/>
  <c r="R448" i="14"/>
  <c r="R506" i="14"/>
  <c r="R528" i="14"/>
  <c r="Q560" i="14"/>
  <c r="Q659" i="14"/>
  <c r="R659" i="14" s="1"/>
  <c r="Q683" i="14"/>
  <c r="R683" i="14" s="1"/>
  <c r="S683" i="14" s="1"/>
  <c r="T683" i="14" s="1"/>
  <c r="T637" i="14"/>
  <c r="U637" i="14" s="1"/>
  <c r="V637" i="14" s="1"/>
  <c r="W637" i="14" s="1"/>
  <c r="X637" i="14" s="1"/>
  <c r="Y637" i="14" s="1"/>
  <c r="Z637" i="14" s="1"/>
  <c r="AA637" i="14" s="1"/>
  <c r="S231" i="14"/>
  <c r="T231" i="14" s="1"/>
  <c r="R264" i="14"/>
  <c r="R495" i="14"/>
  <c r="S495" i="14" s="1"/>
  <c r="S520" i="14"/>
  <c r="R612" i="14"/>
  <c r="S612" i="14" s="1"/>
  <c r="T612" i="14" s="1"/>
  <c r="Q763" i="14"/>
  <c r="R763" i="14" s="1"/>
  <c r="S763" i="14" s="1"/>
  <c r="S488" i="14"/>
  <c r="T488" i="14" s="1"/>
  <c r="Q594" i="14"/>
  <c r="R594" i="14" s="1"/>
  <c r="S594" i="14" s="1"/>
  <c r="T628" i="14"/>
  <c r="U628" i="14" s="1"/>
  <c r="V628" i="14" s="1"/>
  <c r="W628" i="14" s="1"/>
  <c r="X628" i="14" s="1"/>
  <c r="T780" i="14"/>
  <c r="U780" i="14" s="1"/>
  <c r="T568" i="14"/>
  <c r="U568" i="14" s="1"/>
  <c r="V568" i="14" s="1"/>
  <c r="W568" i="14" s="1"/>
  <c r="Q714" i="14"/>
  <c r="S225" i="14"/>
  <c r="T225" i="14" s="1"/>
  <c r="U225" i="14" s="1"/>
  <c r="V225" i="14" s="1"/>
  <c r="W225" i="14" s="1"/>
  <c r="X225" i="14" s="1"/>
  <c r="Y225" i="14" s="1"/>
  <c r="S361" i="14"/>
  <c r="T361" i="14" s="1"/>
  <c r="U361" i="14" s="1"/>
  <c r="R651" i="14"/>
  <c r="R675" i="14"/>
  <c r="Q739" i="14"/>
  <c r="Q50" i="14"/>
  <c r="R105" i="14"/>
  <c r="U129" i="14"/>
  <c r="R161" i="14"/>
  <c r="Q201" i="14"/>
  <c r="Q289" i="14"/>
  <c r="R345" i="14"/>
  <c r="Q377" i="14"/>
  <c r="R480" i="14"/>
  <c r="S512" i="14"/>
  <c r="R629" i="14"/>
  <c r="S700" i="14"/>
  <c r="T700" i="14" s="1"/>
  <c r="Q716" i="14"/>
  <c r="R731" i="14"/>
  <c r="S731" i="14" s="1"/>
  <c r="T771" i="14"/>
  <c r="U771" i="14" s="1"/>
  <c r="S26" i="14"/>
  <c r="T26" i="14" s="1"/>
  <c r="R42" i="14"/>
  <c r="S42" i="14" s="1"/>
  <c r="T42" i="14" s="1"/>
  <c r="T153" i="14"/>
  <c r="Q193" i="14"/>
  <c r="Q257" i="14"/>
  <c r="U313" i="14"/>
  <c r="V313" i="14" s="1"/>
  <c r="W313" i="14" s="1"/>
  <c r="R337" i="14"/>
  <c r="R401" i="14"/>
  <c r="S401" i="14" s="1"/>
  <c r="T401" i="14" s="1"/>
  <c r="Q456" i="14"/>
  <c r="R569" i="14"/>
  <c r="R597" i="14"/>
  <c r="S597" i="14" s="1"/>
  <c r="T597" i="14" s="1"/>
  <c r="S740" i="14"/>
  <c r="T740" i="14" s="1"/>
  <c r="U740" i="14" s="1"/>
  <c r="R34" i="14"/>
  <c r="S34" i="14" s="1"/>
  <c r="T217" i="14"/>
  <c r="U217" i="14" s="1"/>
  <c r="V217" i="14" s="1"/>
  <c r="S561" i="14"/>
  <c r="T561" i="14" s="1"/>
  <c r="U561" i="14" s="1"/>
  <c r="V561" i="14" s="1"/>
  <c r="R621" i="14"/>
  <c r="S621" i="14" s="1"/>
  <c r="R667" i="14"/>
  <c r="Q97" i="14"/>
  <c r="R177" i="14"/>
  <c r="S177" i="14" s="1"/>
  <c r="T177" i="14" s="1"/>
  <c r="U177" i="14" s="1"/>
  <c r="V177" i="14" s="1"/>
  <c r="R249" i="14"/>
  <c r="S249" i="14" s="1"/>
  <c r="S329" i="14"/>
  <c r="T329" i="14" s="1"/>
  <c r="U329" i="14" s="1"/>
  <c r="V329" i="14" s="1"/>
  <c r="Q369" i="14"/>
  <c r="R369" i="14" s="1"/>
  <c r="S369" i="14" s="1"/>
  <c r="Q503" i="14"/>
  <c r="R529" i="14"/>
  <c r="S529" i="14" s="1"/>
  <c r="S537" i="14"/>
  <c r="R645" i="14"/>
  <c r="S645" i="14" s="1"/>
  <c r="R756" i="14"/>
  <c r="S778" i="14"/>
  <c r="T778" i="14" s="1"/>
  <c r="S18" i="14"/>
  <c r="T18" i="14" s="1"/>
  <c r="U18" i="14" s="1"/>
  <c r="V18" i="14" s="1"/>
  <c r="S57" i="14"/>
  <c r="T57" i="14" s="1"/>
  <c r="U57" i="14" s="1"/>
  <c r="S81" i="14"/>
  <c r="T81" i="14" s="1"/>
  <c r="S89" i="14"/>
  <c r="T89" i="14" s="1"/>
  <c r="U89" i="14" s="1"/>
  <c r="R145" i="14"/>
  <c r="S145" i="14" s="1"/>
  <c r="T305" i="14"/>
  <c r="U305" i="14" s="1"/>
  <c r="R393" i="14"/>
  <c r="S393" i="14" s="1"/>
  <c r="R417" i="14"/>
  <c r="S417" i="14" s="1"/>
  <c r="R472" i="14"/>
  <c r="S472" i="14" s="1"/>
  <c r="R585" i="14"/>
  <c r="S585" i="14" s="1"/>
  <c r="Q684" i="14"/>
  <c r="R684" i="14" s="1"/>
  <c r="Q732" i="14"/>
  <c r="R732" i="14" s="1"/>
  <c r="Q788" i="14"/>
  <c r="R169" i="14"/>
  <c r="S169" i="14" s="1"/>
  <c r="T169" i="14" s="1"/>
  <c r="R209" i="14"/>
  <c r="S265" i="14"/>
  <c r="R385" i="14"/>
  <c r="T464" i="14"/>
  <c r="T521" i="14"/>
  <c r="R553" i="14"/>
  <c r="R577" i="14"/>
  <c r="S603" i="11"/>
  <c r="T603" i="11" s="1"/>
  <c r="R450" i="11"/>
  <c r="S450" i="11" s="1"/>
  <c r="R683" i="11"/>
  <c r="S683" i="11" s="1"/>
  <c r="T683" i="11" s="1"/>
  <c r="U683" i="11" s="1"/>
  <c r="R581" i="11"/>
  <c r="S581" i="11" s="1"/>
  <c r="T581" i="11" s="1"/>
  <c r="R393" i="11"/>
  <c r="S393" i="11" s="1"/>
  <c r="R443" i="11"/>
  <c r="S443" i="11" s="1"/>
  <c r="T443" i="11" s="1"/>
  <c r="R481" i="11"/>
  <c r="S481" i="11" s="1"/>
  <c r="T481" i="11" s="1"/>
  <c r="R556" i="11"/>
  <c r="S556" i="11" s="1"/>
  <c r="S33" i="11"/>
  <c r="T33" i="11" s="1"/>
  <c r="U33" i="11" s="1"/>
  <c r="R386" i="11"/>
  <c r="S386" i="11" s="1"/>
  <c r="T386" i="11" s="1"/>
  <c r="R564" i="11"/>
  <c r="S564" i="11" s="1"/>
  <c r="R238" i="11"/>
  <c r="S238" i="11" s="1"/>
  <c r="R184" i="11"/>
  <c r="S184" i="11" s="1"/>
  <c r="R193" i="11"/>
  <c r="S193" i="11" s="1"/>
  <c r="R54" i="11"/>
  <c r="S54" i="11" s="1"/>
  <c r="R110" i="11"/>
  <c r="S110" i="11" s="1"/>
  <c r="R175" i="11"/>
  <c r="S175" i="11" s="1"/>
  <c r="R639" i="11"/>
  <c r="S639" i="11" s="1"/>
  <c r="S291" i="11"/>
  <c r="T291" i="11" s="1"/>
  <c r="R153" i="11"/>
  <c r="S153" i="11" s="1"/>
  <c r="T153" i="11" s="1"/>
  <c r="S458" i="11"/>
  <c r="T458" i="11" s="1"/>
  <c r="U458" i="11" s="1"/>
  <c r="V458" i="11" s="1"/>
  <c r="R143" i="11"/>
  <c r="S143" i="11" s="1"/>
  <c r="R423" i="11"/>
  <c r="S423" i="11" s="1"/>
  <c r="T423" i="11" s="1"/>
  <c r="S587" i="11"/>
  <c r="T587" i="11" s="1"/>
  <c r="R282" i="11"/>
  <c r="S282" i="11" s="1"/>
  <c r="R565" i="11"/>
  <c r="S565" i="11" s="1"/>
  <c r="R613" i="11"/>
  <c r="S613" i="11" s="1"/>
  <c r="T613" i="11" s="1"/>
  <c r="R607" i="11"/>
  <c r="S607" i="11" s="1"/>
  <c r="R442" i="11"/>
  <c r="S442" i="11" s="1"/>
  <c r="T442" i="11" s="1"/>
  <c r="U442" i="11" s="1"/>
  <c r="R474" i="11"/>
  <c r="R159" i="11"/>
  <c r="S159" i="11" s="1"/>
  <c r="R468" i="11"/>
  <c r="S468" i="11" s="1"/>
  <c r="R695" i="11"/>
  <c r="S695" i="11" s="1"/>
  <c r="R753" i="11"/>
  <c r="S753" i="11" s="1"/>
  <c r="R712" i="11"/>
  <c r="S712" i="11" s="1"/>
  <c r="R259" i="11"/>
  <c r="S259" i="11" s="1"/>
  <c r="T259" i="11" s="1"/>
  <c r="S205" i="11"/>
  <c r="T205" i="11" s="1"/>
  <c r="U205" i="11" s="1"/>
  <c r="V205" i="11" s="1"/>
  <c r="R489" i="11"/>
  <c r="S489" i="11" s="1"/>
  <c r="R741" i="11"/>
  <c r="S741" i="11" s="1"/>
  <c r="T741" i="11" s="1"/>
  <c r="U741" i="11" s="1"/>
  <c r="R324" i="11"/>
  <c r="S324" i="11" s="1"/>
  <c r="Q215" i="11"/>
  <c r="R215" i="11" s="1"/>
  <c r="R129" i="11"/>
  <c r="S129" i="11" s="1"/>
  <c r="R216" i="11"/>
  <c r="S216" i="11" s="1"/>
  <c r="T216" i="11" s="1"/>
  <c r="R456" i="11"/>
  <c r="S456" i="11" s="1"/>
  <c r="Q677" i="11"/>
  <c r="R677" i="11" s="1"/>
  <c r="R98" i="11"/>
  <c r="S98" i="11" s="1"/>
  <c r="T98" i="11" s="1"/>
  <c r="S265" i="11"/>
  <c r="T265" i="11" s="1"/>
  <c r="U265" i="11" s="1"/>
  <c r="R356" i="11"/>
  <c r="S356" i="11" s="1"/>
  <c r="T356" i="11" s="1"/>
  <c r="U356" i="11" s="1"/>
  <c r="R163" i="11"/>
  <c r="S163" i="11" s="1"/>
  <c r="T163" i="11" s="1"/>
  <c r="Q433" i="11"/>
  <c r="R433" i="11" s="1"/>
  <c r="S698" i="11"/>
  <c r="T698" i="11" s="1"/>
  <c r="U698" i="11" s="1"/>
  <c r="S608" i="11"/>
  <c r="T608" i="11" s="1"/>
  <c r="U608" i="11" s="1"/>
  <c r="S31" i="11"/>
  <c r="T31" i="11" s="1"/>
  <c r="U31" i="11" s="1"/>
  <c r="R241" i="11"/>
  <c r="S241" i="11" s="1"/>
  <c r="R499" i="11"/>
  <c r="S499" i="11" s="1"/>
  <c r="R634" i="11"/>
  <c r="S634" i="11" s="1"/>
  <c r="T634" i="11" s="1"/>
  <c r="U634" i="11" s="1"/>
  <c r="V634" i="11" s="1"/>
  <c r="R253" i="11"/>
  <c r="S253" i="11" s="1"/>
  <c r="R206" i="11"/>
  <c r="S206" i="11" s="1"/>
  <c r="T206" i="11" s="1"/>
  <c r="S397" i="11"/>
  <c r="T397" i="11" s="1"/>
  <c r="S708" i="11"/>
  <c r="T708" i="11" s="1"/>
  <c r="U708" i="11" s="1"/>
  <c r="S526" i="11"/>
  <c r="T526" i="11" s="1"/>
  <c r="U526" i="11" s="1"/>
  <c r="T606" i="11"/>
  <c r="U606" i="11" s="1"/>
  <c r="V606" i="11" s="1"/>
  <c r="R627" i="11"/>
  <c r="S627" i="11" s="1"/>
  <c r="S192" i="11"/>
  <c r="T192" i="11" s="1"/>
  <c r="U192" i="11" s="1"/>
  <c r="R472" i="11"/>
  <c r="S472" i="11" s="1"/>
  <c r="R280" i="11"/>
  <c r="S280" i="11" s="1"/>
  <c r="R444" i="11"/>
  <c r="S444" i="11" s="1"/>
  <c r="S281" i="11"/>
  <c r="T281" i="11" s="1"/>
  <c r="U281" i="11" s="1"/>
  <c r="R179" i="11"/>
  <c r="S179" i="11" s="1"/>
  <c r="S410" i="11"/>
  <c r="T410" i="11" s="1"/>
  <c r="U410" i="11" s="1"/>
  <c r="S758" i="11"/>
  <c r="T758" i="11" s="1"/>
  <c r="U758" i="11" s="1"/>
  <c r="S104" i="11"/>
  <c r="T104" i="11" s="1"/>
  <c r="U104" i="11" s="1"/>
  <c r="V104" i="11" s="1"/>
  <c r="S160" i="11"/>
  <c r="T160" i="11" s="1"/>
  <c r="U160" i="11" s="1"/>
  <c r="S671" i="11"/>
  <c r="T671" i="11" s="1"/>
  <c r="S710" i="11"/>
  <c r="T710" i="11" s="1"/>
  <c r="R209" i="11"/>
  <c r="S209" i="11" s="1"/>
  <c r="T209" i="11" s="1"/>
  <c r="U209" i="11" s="1"/>
  <c r="R345" i="11"/>
  <c r="S345" i="11" s="1"/>
  <c r="T345" i="11" s="1"/>
  <c r="R91" i="11"/>
  <c r="S91" i="11" s="1"/>
  <c r="R704" i="11"/>
  <c r="S704" i="11" s="1"/>
  <c r="R108" i="11"/>
  <c r="S108" i="11" s="1"/>
  <c r="R147" i="11"/>
  <c r="R515" i="11"/>
  <c r="S515" i="11" s="1"/>
  <c r="T515" i="11" s="1"/>
  <c r="R268" i="11"/>
  <c r="S268" i="11" s="1"/>
  <c r="T268" i="11" s="1"/>
  <c r="R413" i="11"/>
  <c r="S413" i="11" s="1"/>
  <c r="Q455" i="11"/>
  <c r="R455" i="11" s="1"/>
  <c r="R495" i="11"/>
  <c r="S495" i="11" s="1"/>
  <c r="T495" i="11" s="1"/>
  <c r="R543" i="11"/>
  <c r="S543" i="11" s="1"/>
  <c r="R591" i="11"/>
  <c r="S591" i="11" s="1"/>
  <c r="T591" i="11" s="1"/>
  <c r="R90" i="11"/>
  <c r="S90" i="11" s="1"/>
  <c r="R130" i="11"/>
  <c r="S130" i="11" s="1"/>
  <c r="T130" i="11" s="1"/>
  <c r="R169" i="11"/>
  <c r="S169" i="11" s="1"/>
  <c r="R544" i="11"/>
  <c r="S544" i="11" s="1"/>
  <c r="S146" i="11"/>
  <c r="T146" i="11" s="1"/>
  <c r="S297" i="11"/>
  <c r="T297" i="11" s="1"/>
  <c r="S575" i="11"/>
  <c r="T575" i="11" s="1"/>
  <c r="R6" i="11"/>
  <c r="S6" i="11" s="1"/>
  <c r="T6" i="11" s="1"/>
  <c r="R596" i="11"/>
  <c r="S596" i="11" s="1"/>
  <c r="T596" i="11" s="1"/>
  <c r="T643" i="11"/>
  <c r="U643" i="11" s="1"/>
  <c r="V643" i="11" s="1"/>
  <c r="W643" i="11" s="1"/>
  <c r="S55" i="11"/>
  <c r="T55" i="11" s="1"/>
  <c r="R448" i="11"/>
  <c r="S448" i="11" s="1"/>
  <c r="R252" i="11"/>
  <c r="S252" i="11" s="1"/>
  <c r="Q71" i="11"/>
  <c r="R71" i="11" s="1"/>
  <c r="S71" i="11" s="1"/>
  <c r="Q381" i="11"/>
  <c r="R381" i="11" s="1"/>
  <c r="S381" i="11" s="1"/>
  <c r="T381" i="11" s="1"/>
  <c r="Q644" i="11"/>
  <c r="R644" i="11" s="1"/>
  <c r="R119" i="11"/>
  <c r="S119" i="11" s="1"/>
  <c r="T119" i="11" s="1"/>
  <c r="S34" i="11"/>
  <c r="T34" i="11" s="1"/>
  <c r="U34" i="11" s="1"/>
  <c r="V34" i="11" s="1"/>
  <c r="W34" i="11" s="1"/>
  <c r="R711" i="11"/>
  <c r="S711" i="11" s="1"/>
  <c r="Q79" i="11"/>
  <c r="R79" i="11" s="1"/>
  <c r="Q150" i="11"/>
  <c r="R150" i="11" s="1"/>
  <c r="Q342" i="11"/>
  <c r="R342" i="11" s="1"/>
  <c r="Q502" i="11"/>
  <c r="R502" i="11" s="1"/>
  <c r="S502" i="11" s="1"/>
  <c r="Q557" i="11"/>
  <c r="R557" i="11" s="1"/>
  <c r="S557" i="11" s="1"/>
  <c r="T557" i="11" s="1"/>
  <c r="Q661" i="11"/>
  <c r="R661" i="11" s="1"/>
  <c r="Q723" i="11"/>
  <c r="R723" i="11" s="1"/>
  <c r="Q508" i="11"/>
  <c r="R508" i="11" s="1"/>
  <c r="S508" i="11" s="1"/>
  <c r="R436" i="11"/>
  <c r="S436" i="11" s="1"/>
  <c r="Q158" i="11"/>
  <c r="R158" i="11" s="1"/>
  <c r="S62" i="11"/>
  <c r="T62" i="11" s="1"/>
  <c r="Q358" i="11"/>
  <c r="R358" i="11" s="1"/>
  <c r="Q454" i="11"/>
  <c r="R454" i="11" s="1"/>
  <c r="R294" i="11"/>
  <c r="S294" i="11" s="1"/>
  <c r="R754" i="11"/>
  <c r="S754" i="11" s="1"/>
  <c r="Q373" i="11"/>
  <c r="R373" i="11" s="1"/>
  <c r="Q629" i="11"/>
  <c r="R629" i="11" s="1"/>
  <c r="Q276" i="11"/>
  <c r="R276" i="11" s="1"/>
  <c r="R701" i="11"/>
  <c r="S310" i="11"/>
  <c r="T310" i="11" s="1"/>
  <c r="S408" i="11"/>
  <c r="T408" i="11" s="1"/>
  <c r="U408" i="11" s="1"/>
  <c r="V408" i="11" s="1"/>
  <c r="W408" i="11" s="1"/>
  <c r="T186" i="11"/>
  <c r="U186" i="11" s="1"/>
  <c r="R585" i="11"/>
  <c r="S585" i="11" s="1"/>
  <c r="T585" i="11" s="1"/>
  <c r="R22" i="11"/>
  <c r="S22" i="11" s="1"/>
  <c r="T22" i="11" s="1"/>
  <c r="R650" i="11"/>
  <c r="S650" i="11" s="1"/>
  <c r="T650" i="11" s="1"/>
  <c r="U650" i="11" s="1"/>
  <c r="S24" i="11"/>
  <c r="T24" i="11" s="1"/>
  <c r="U24" i="11" s="1"/>
  <c r="V24" i="11" s="1"/>
  <c r="W24" i="11" s="1"/>
  <c r="R405" i="11"/>
  <c r="S405" i="11" s="1"/>
  <c r="T405" i="11" s="1"/>
  <c r="R446" i="11"/>
  <c r="S446" i="11" s="1"/>
  <c r="T446" i="11" s="1"/>
  <c r="R486" i="11"/>
  <c r="S486" i="11" s="1"/>
  <c r="T486" i="11" s="1"/>
  <c r="R605" i="11"/>
  <c r="S605" i="11" s="1"/>
  <c r="T605" i="11" s="1"/>
  <c r="U605" i="11" s="1"/>
  <c r="R669" i="11"/>
  <c r="S669" i="11" s="1"/>
  <c r="R2" i="11"/>
  <c r="S2" i="11" s="1"/>
  <c r="R214" i="11"/>
  <c r="S214" i="11" s="1"/>
  <c r="T214" i="11" s="1"/>
  <c r="T590" i="11"/>
  <c r="R622" i="11"/>
  <c r="S622" i="11" s="1"/>
  <c r="T57" i="11"/>
  <c r="U57" i="11" s="1"/>
  <c r="R97" i="11"/>
  <c r="S97" i="11" s="1"/>
  <c r="R168" i="11"/>
  <c r="S168" i="11" s="1"/>
  <c r="T168" i="11" s="1"/>
  <c r="R464" i="11"/>
  <c r="S464" i="11" s="1"/>
  <c r="R504" i="11"/>
  <c r="S504" i="11" s="1"/>
  <c r="T504" i="11" s="1"/>
  <c r="S615" i="11"/>
  <c r="T615" i="11" s="1"/>
  <c r="U615" i="11" s="1"/>
  <c r="S619" i="11"/>
  <c r="T619" i="11" s="1"/>
  <c r="R122" i="11"/>
  <c r="S122" i="11" s="1"/>
  <c r="S376" i="11"/>
  <c r="T376" i="11" s="1"/>
  <c r="U376" i="11" s="1"/>
  <c r="R513" i="11"/>
  <c r="S513" i="11" s="1"/>
  <c r="R624" i="11"/>
  <c r="S624" i="11" s="1"/>
  <c r="R656" i="11"/>
  <c r="S656" i="11" s="1"/>
  <c r="T115" i="11"/>
  <c r="U115" i="11" s="1"/>
  <c r="S322" i="11"/>
  <c r="T322" i="11" s="1"/>
  <c r="R514" i="11"/>
  <c r="S514" i="11" s="1"/>
  <c r="T514" i="11" s="1"/>
  <c r="R617" i="11"/>
  <c r="S617" i="11" s="1"/>
  <c r="T617" i="11" s="1"/>
  <c r="S657" i="11"/>
  <c r="T657" i="11" s="1"/>
  <c r="U657" i="11" s="1"/>
  <c r="V657" i="11" s="1"/>
  <c r="R745" i="11"/>
  <c r="S745" i="11" s="1"/>
  <c r="R204" i="11"/>
  <c r="S204" i="11" s="1"/>
  <c r="T204" i="11" s="1"/>
  <c r="R419" i="11"/>
  <c r="S419" i="11" s="1"/>
  <c r="T419" i="11" s="1"/>
  <c r="S52" i="11"/>
  <c r="T52" i="11" s="1"/>
  <c r="R298" i="11"/>
  <c r="S298" i="11" s="1"/>
  <c r="R331" i="11"/>
  <c r="S331" i="11" s="1"/>
  <c r="S402" i="11"/>
  <c r="T402" i="11" s="1"/>
  <c r="R705" i="11"/>
  <c r="S705" i="11" s="1"/>
  <c r="R212" i="11"/>
  <c r="S212" i="11" s="1"/>
  <c r="T212" i="11" s="1"/>
  <c r="R699" i="11"/>
  <c r="S699" i="11" s="1"/>
  <c r="T699" i="11" s="1"/>
  <c r="U699" i="11" s="1"/>
  <c r="V699" i="11" s="1"/>
  <c r="R595" i="11"/>
  <c r="S595" i="11" s="1"/>
  <c r="R182" i="11"/>
  <c r="S182" i="11" s="1"/>
  <c r="R133" i="11"/>
  <c r="S133" i="11" s="1"/>
  <c r="R80" i="11"/>
  <c r="S80" i="11" s="1"/>
  <c r="R151" i="11"/>
  <c r="S151" i="11" s="1"/>
  <c r="R223" i="11"/>
  <c r="S223" i="11" s="1"/>
  <c r="R255" i="11"/>
  <c r="S255" i="11" s="1"/>
  <c r="T255" i="11" s="1"/>
  <c r="S286" i="11"/>
  <c r="T286" i="11" s="1"/>
  <c r="T406" i="11"/>
  <c r="R670" i="11"/>
  <c r="S670" i="11" s="1"/>
  <c r="R85" i="11"/>
  <c r="S85" i="11" s="1"/>
  <c r="T85" i="11" s="1"/>
  <c r="S208" i="11"/>
  <c r="T208" i="11" s="1"/>
  <c r="U208" i="11" s="1"/>
  <c r="V208" i="11" s="1"/>
  <c r="W208" i="11" s="1"/>
  <c r="X208" i="11" s="1"/>
  <c r="S727" i="11"/>
  <c r="T727" i="11" s="1"/>
  <c r="U727" i="11" s="1"/>
  <c r="R15" i="11"/>
  <c r="S15" i="11" s="1"/>
  <c r="T15" i="11" s="1"/>
  <c r="U15" i="11" s="1"/>
  <c r="R156" i="11"/>
  <c r="S156" i="11" s="1"/>
  <c r="T156" i="11" s="1"/>
  <c r="U156" i="11" s="1"/>
  <c r="R177" i="11"/>
  <c r="S177" i="11" s="1"/>
  <c r="R217" i="11"/>
  <c r="S217" i="11" s="1"/>
  <c r="R497" i="11"/>
  <c r="S497" i="11" s="1"/>
  <c r="T497" i="11" s="1"/>
  <c r="S632" i="11"/>
  <c r="T632" i="11" s="1"/>
  <c r="R484" i="11"/>
  <c r="S484" i="11" s="1"/>
  <c r="S83" i="11"/>
  <c r="T83" i="11" s="1"/>
  <c r="U83" i="11" s="1"/>
  <c r="V83" i="11" s="1"/>
  <c r="W83" i="11" s="1"/>
  <c r="X83" i="11" s="1"/>
  <c r="S194" i="11"/>
  <c r="T194" i="11" s="1"/>
  <c r="S601" i="11"/>
  <c r="T601" i="11" s="1"/>
  <c r="U601" i="11" s="1"/>
  <c r="T665" i="11"/>
  <c r="U665" i="11" s="1"/>
  <c r="V665" i="11" s="1"/>
  <c r="W665" i="11" s="1"/>
  <c r="X665" i="11" s="1"/>
  <c r="Y665" i="11" s="1"/>
  <c r="Z665" i="11" s="1"/>
  <c r="AA665" i="11" s="1"/>
  <c r="S696" i="11"/>
  <c r="T696" i="11" s="1"/>
  <c r="S720" i="11"/>
  <c r="T720" i="11" s="1"/>
  <c r="U720" i="11" s="1"/>
  <c r="V720" i="11" s="1"/>
  <c r="S396" i="11"/>
  <c r="T396" i="11" s="1"/>
  <c r="U396" i="11" s="1"/>
  <c r="S552" i="11"/>
  <c r="T552" i="11" s="1"/>
  <c r="S664" i="11"/>
  <c r="T664" i="11" s="1"/>
  <c r="S155" i="11"/>
  <c r="T155" i="11" s="1"/>
  <c r="U155" i="11" s="1"/>
  <c r="R187" i="11"/>
  <c r="S187" i="11" s="1"/>
  <c r="R666" i="11"/>
  <c r="S666" i="11" s="1"/>
  <c r="T666" i="11" s="1"/>
  <c r="R364" i="11"/>
  <c r="S364" i="11" s="1"/>
  <c r="T364" i="11" s="1"/>
  <c r="R40" i="11"/>
  <c r="S40" i="11" s="1"/>
  <c r="R221" i="11"/>
  <c r="S221" i="11" s="1"/>
  <c r="T221" i="11" s="1"/>
  <c r="U221" i="11" s="1"/>
  <c r="V221" i="11" s="1"/>
  <c r="W221" i="11" s="1"/>
  <c r="S316" i="11"/>
  <c r="T316" i="11" s="1"/>
  <c r="U316" i="11" s="1"/>
  <c r="V316" i="11" s="1"/>
  <c r="R548" i="11"/>
  <c r="S548" i="11" s="1"/>
  <c r="T548" i="11" s="1"/>
  <c r="R580" i="11"/>
  <c r="S580" i="11" s="1"/>
  <c r="R660" i="11"/>
  <c r="S660" i="11" s="1"/>
  <c r="S125" i="11"/>
  <c r="T125" i="11" s="1"/>
  <c r="U125" i="11" s="1"/>
  <c r="S17" i="11"/>
  <c r="T17" i="11" s="1"/>
  <c r="R230" i="11"/>
  <c r="S230" i="11" s="1"/>
  <c r="T230" i="11" s="1"/>
  <c r="R309" i="11"/>
  <c r="S309" i="11" s="1"/>
  <c r="R611" i="11"/>
  <c r="S611" i="11" s="1"/>
  <c r="R26" i="11"/>
  <c r="S26" i="11" s="1"/>
  <c r="R199" i="11"/>
  <c r="S199" i="11" s="1"/>
  <c r="R263" i="11"/>
  <c r="S263" i="11" s="1"/>
  <c r="R382" i="11"/>
  <c r="S382" i="11" s="1"/>
  <c r="T382" i="11" s="1"/>
  <c r="S519" i="11"/>
  <c r="T519" i="11" s="1"/>
  <c r="T542" i="11"/>
  <c r="U542" i="11" s="1"/>
  <c r="R117" i="11"/>
  <c r="S117" i="11" s="1"/>
  <c r="T117" i="11" s="1"/>
  <c r="R113" i="11"/>
  <c r="S113" i="11" s="1"/>
  <c r="S248" i="11"/>
  <c r="T248" i="11" s="1"/>
  <c r="R623" i="11"/>
  <c r="S623" i="11" s="1"/>
  <c r="R225" i="11"/>
  <c r="S225" i="11" s="1"/>
  <c r="S257" i="11"/>
  <c r="T257" i="11" s="1"/>
  <c r="R531" i="11"/>
  <c r="S531" i="11" s="1"/>
  <c r="R58" i="11"/>
  <c r="S58" i="11" s="1"/>
  <c r="T58" i="11" s="1"/>
  <c r="U58" i="11" s="1"/>
  <c r="V58" i="11" s="1"/>
  <c r="W58" i="11" s="1"/>
  <c r="X58" i="11" s="1"/>
  <c r="Y58" i="11" s="1"/>
  <c r="Z58" i="11" s="1"/>
  <c r="AA58" i="11" s="1"/>
  <c r="S131" i="11"/>
  <c r="T131" i="11" s="1"/>
  <c r="U131" i="11" s="1"/>
  <c r="S377" i="11"/>
  <c r="T377" i="11" s="1"/>
  <c r="R729" i="11"/>
  <c r="S68" i="11"/>
  <c r="T68" i="11" s="1"/>
  <c r="U68" i="11" s="1"/>
  <c r="V68" i="11" s="1"/>
  <c r="S594" i="11"/>
  <c r="T594" i="11" s="1"/>
  <c r="S721" i="11"/>
  <c r="T721" i="11" s="1"/>
  <c r="S70" i="11"/>
  <c r="T70" i="11" s="1"/>
  <c r="U70" i="11" s="1"/>
  <c r="R668" i="11"/>
  <c r="S668" i="11" s="1"/>
  <c r="R707" i="11"/>
  <c r="S707" i="11" s="1"/>
  <c r="S706" i="11"/>
  <c r="T706" i="11" s="1"/>
  <c r="U706" i="11" s="1"/>
  <c r="T735" i="11"/>
  <c r="U735" i="11" s="1"/>
  <c r="V735" i="11" s="1"/>
  <c r="W735" i="11" s="1"/>
  <c r="T681" i="11"/>
  <c r="U681" i="11" s="1"/>
  <c r="S505" i="11"/>
  <c r="T505" i="11" s="1"/>
  <c r="R648" i="11"/>
  <c r="S648" i="11" s="1"/>
  <c r="R5" i="11"/>
  <c r="S5" i="11" s="1"/>
  <c r="R609" i="11"/>
  <c r="S609" i="11" s="1"/>
  <c r="T609" i="11" s="1"/>
  <c r="U609" i="11" s="1"/>
  <c r="S30" i="11"/>
  <c r="T30" i="11" s="1"/>
  <c r="S100" i="11"/>
  <c r="T100" i="11" s="1"/>
  <c r="U100" i="11" s="1"/>
  <c r="V100" i="11" s="1"/>
  <c r="W100" i="11" s="1"/>
  <c r="X100" i="11" s="1"/>
  <c r="Y100" i="11" s="1"/>
  <c r="U355" i="11"/>
  <c r="V355" i="11" s="1"/>
  <c r="R384" i="11"/>
  <c r="S384" i="11" s="1"/>
  <c r="R546" i="11"/>
  <c r="S546" i="11" s="1"/>
  <c r="T546" i="11" s="1"/>
  <c r="S101" i="11"/>
  <c r="T101" i="11" s="1"/>
  <c r="R16" i="11"/>
  <c r="S16" i="11" s="1"/>
  <c r="T16" i="11" s="1"/>
  <c r="U16" i="11" s="1"/>
  <c r="R46" i="11"/>
  <c r="S46" i="11" s="1"/>
  <c r="R372" i="11"/>
  <c r="S372" i="11" s="1"/>
  <c r="T372" i="11" s="1"/>
  <c r="U372" i="11" s="1"/>
  <c r="V372" i="11" s="1"/>
  <c r="W372" i="11" s="1"/>
  <c r="X372" i="11" s="1"/>
  <c r="Y372" i="11" s="1"/>
  <c r="Z372" i="11" s="1"/>
  <c r="AA372" i="11" s="1"/>
  <c r="R25" i="11"/>
  <c r="S25" i="11" s="1"/>
  <c r="T25" i="11" s="1"/>
  <c r="S318" i="11"/>
  <c r="T318" i="11" s="1"/>
  <c r="U318" i="11" s="1"/>
  <c r="V318" i="11" s="1"/>
  <c r="R96" i="11"/>
  <c r="S96" i="11" s="1"/>
  <c r="T96" i="11" s="1"/>
  <c r="S207" i="11"/>
  <c r="T207" i="11" s="1"/>
  <c r="S239" i="11"/>
  <c r="T239" i="11" s="1"/>
  <c r="S422" i="11"/>
  <c r="T422" i="11" s="1"/>
  <c r="R673" i="11"/>
  <c r="S673" i="11" s="1"/>
  <c r="T73" i="11"/>
  <c r="U73" i="11" s="1"/>
  <c r="V73" i="11" s="1"/>
  <c r="W73" i="11" s="1"/>
  <c r="S295" i="11"/>
  <c r="T295" i="11" s="1"/>
  <c r="S39" i="11"/>
  <c r="T39" i="11" s="1"/>
  <c r="U39" i="11" s="1"/>
  <c r="R516" i="11"/>
  <c r="S516" i="11" s="1"/>
  <c r="R719" i="11"/>
  <c r="S719" i="11" s="1"/>
  <c r="T77" i="11"/>
  <c r="U77" i="11" s="1"/>
  <c r="V77" i="11" s="1"/>
  <c r="R37" i="11"/>
  <c r="S37" i="11" s="1"/>
  <c r="R107" i="11"/>
  <c r="S107" i="11" s="1"/>
  <c r="T107" i="11" s="1"/>
  <c r="S313" i="11"/>
  <c r="T313" i="11" s="1"/>
  <c r="R545" i="11"/>
  <c r="S545" i="11" s="1"/>
  <c r="T545" i="11" s="1"/>
  <c r="U545" i="11" s="1"/>
  <c r="V545" i="11" s="1"/>
  <c r="W545" i="11" s="1"/>
  <c r="X545" i="11" s="1"/>
  <c r="R693" i="11"/>
  <c r="S693" i="11" s="1"/>
  <c r="T693" i="11" s="1"/>
  <c r="U693" i="11" s="1"/>
  <c r="V693" i="11" s="1"/>
  <c r="S737" i="11"/>
  <c r="T737" i="11" s="1"/>
  <c r="U737" i="11" s="1"/>
  <c r="R14" i="11"/>
  <c r="S14" i="11" s="1"/>
  <c r="S251" i="11"/>
  <c r="T251" i="11" s="1"/>
  <c r="U251" i="11" s="1"/>
  <c r="S172" i="11"/>
  <c r="T172" i="11" s="1"/>
  <c r="R86" i="11"/>
  <c r="S86" i="11" s="1"/>
  <c r="R269" i="11"/>
  <c r="S269" i="11" s="1"/>
  <c r="T264" i="11"/>
  <c r="U264" i="11" s="1"/>
  <c r="V264" i="11" s="1"/>
  <c r="V75" i="11"/>
  <c r="W75" i="11" s="1"/>
  <c r="R730" i="11"/>
  <c r="S730" i="11" s="1"/>
  <c r="T730" i="11" s="1"/>
  <c r="U730" i="11" s="1"/>
  <c r="R759" i="11"/>
  <c r="S759" i="11" s="1"/>
  <c r="T166" i="11"/>
  <c r="U166" i="11" s="1"/>
  <c r="R103" i="11"/>
  <c r="S103" i="11" s="1"/>
  <c r="T103" i="11" s="1"/>
  <c r="R335" i="11"/>
  <c r="S335" i="11" s="1"/>
  <c r="R42" i="11"/>
  <c r="S42" i="11" s="1"/>
  <c r="R262" i="11"/>
  <c r="S262" i="11" s="1"/>
  <c r="T262" i="11" s="1"/>
  <c r="R301" i="11"/>
  <c r="S301" i="11" s="1"/>
  <c r="R128" i="11"/>
  <c r="R700" i="11"/>
  <c r="S700" i="11" s="1"/>
  <c r="R302" i="11"/>
  <c r="S302" i="11" s="1"/>
  <c r="T302" i="11" s="1"/>
  <c r="T135" i="11"/>
  <c r="U135" i="11" s="1"/>
  <c r="R470" i="11"/>
  <c r="S470" i="11" s="1"/>
  <c r="R750" i="11"/>
  <c r="S750" i="11" s="1"/>
  <c r="R47" i="11"/>
  <c r="S47" i="11" s="1"/>
  <c r="R716" i="11"/>
  <c r="S716" i="11" s="1"/>
  <c r="T716" i="11" s="1"/>
  <c r="U716" i="11" s="1"/>
  <c r="R10" i="11"/>
  <c r="R487" i="11"/>
  <c r="S487" i="11" s="1"/>
  <c r="T487" i="11" s="1"/>
  <c r="S550" i="11"/>
  <c r="Q638" i="11"/>
  <c r="R638" i="11" s="1"/>
  <c r="S638" i="11" s="1"/>
  <c r="U751" i="11"/>
  <c r="V751" i="11" s="1"/>
  <c r="V69" i="11"/>
  <c r="W69" i="11" s="1"/>
  <c r="Q111" i="11"/>
  <c r="R222" i="11"/>
  <c r="R389" i="11"/>
  <c r="Q421" i="11"/>
  <c r="R421" i="11" s="1"/>
  <c r="R478" i="11"/>
  <c r="S691" i="11"/>
  <c r="Q180" i="11"/>
  <c r="Q136" i="11"/>
  <c r="Q167" i="11"/>
  <c r="Q327" i="11"/>
  <c r="Q359" i="11"/>
  <c r="R359" i="11" s="1"/>
  <c r="S359" i="11" s="1"/>
  <c r="T359" i="11" s="1"/>
  <c r="T471" i="11"/>
  <c r="U471" i="11" s="1"/>
  <c r="V471" i="11" s="1"/>
  <c r="W471" i="11" s="1"/>
  <c r="X471" i="11" s="1"/>
  <c r="Y471" i="11" s="1"/>
  <c r="Z471" i="11" s="1"/>
  <c r="AA471" i="11" s="1"/>
  <c r="Q479" i="11"/>
  <c r="R479" i="11" s="1"/>
  <c r="S479" i="11" s="1"/>
  <c r="Q509" i="11"/>
  <c r="R566" i="11"/>
  <c r="Q662" i="11"/>
  <c r="R45" i="11"/>
  <c r="R3" i="11"/>
  <c r="S3" i="11" s="1"/>
  <c r="R200" i="11"/>
  <c r="S431" i="11"/>
  <c r="T431" i="11" s="1"/>
  <c r="U431" i="11" s="1"/>
  <c r="R718" i="11"/>
  <c r="S718" i="11" s="1"/>
  <c r="R109" i="11"/>
  <c r="Q684" i="11"/>
  <c r="S174" i="11"/>
  <c r="S533" i="11"/>
  <c r="T533" i="11" s="1"/>
  <c r="U533" i="11" s="1"/>
  <c r="R572" i="11"/>
  <c r="R733" i="11"/>
  <c r="S60" i="11"/>
  <c r="T60" i="11" s="1"/>
  <c r="R18" i="11"/>
  <c r="S18" i="11" s="1"/>
  <c r="S48" i="11"/>
  <c r="R66" i="11"/>
  <c r="S66" i="11" s="1"/>
  <c r="R351" i="11"/>
  <c r="R447" i="11"/>
  <c r="S447" i="11" s="1"/>
  <c r="T447" i="11" s="1"/>
  <c r="U447" i="11" s="1"/>
  <c r="V447" i="11" s="1"/>
  <c r="R503" i="11"/>
  <c r="S503" i="11" s="1"/>
  <c r="T503" i="11" s="1"/>
  <c r="Q645" i="11"/>
  <c r="R645" i="11" s="1"/>
  <c r="S645" i="11" s="1"/>
  <c r="Q709" i="11"/>
  <c r="S11" i="11"/>
  <c r="T11" i="11" s="1"/>
  <c r="U11" i="11" s="1"/>
  <c r="S399" i="11"/>
  <c r="T399" i="11" s="1"/>
  <c r="U399" i="11" s="1"/>
  <c r="V399" i="11" s="1"/>
  <c r="R437" i="11"/>
  <c r="T551" i="11"/>
  <c r="U551" i="11" s="1"/>
  <c r="V551" i="11" s="1"/>
  <c r="W551" i="11" s="1"/>
  <c r="R694" i="11"/>
  <c r="S694" i="11" s="1"/>
  <c r="T694" i="11" s="1"/>
  <c r="S41" i="11"/>
  <c r="T41" i="11" s="1"/>
  <c r="R190" i="11"/>
  <c r="Q213" i="11"/>
  <c r="S246" i="11"/>
  <c r="S254" i="11"/>
  <c r="T254" i="11" s="1"/>
  <c r="T441" i="11"/>
  <c r="U441" i="11" s="1"/>
  <c r="S293" i="11"/>
  <c r="T293" i="11" s="1"/>
  <c r="U293" i="11" s="1"/>
  <c r="Q326" i="11"/>
  <c r="R326" i="11" s="1"/>
  <c r="S326" i="11" s="1"/>
  <c r="T494" i="11"/>
  <c r="T518" i="11"/>
  <c r="S525" i="11"/>
  <c r="Q621" i="11"/>
  <c r="T653" i="11"/>
  <c r="U653" i="11" s="1"/>
  <c r="Q675" i="11"/>
  <c r="R675" i="11" s="1"/>
  <c r="Q667" i="11"/>
  <c r="R120" i="11"/>
  <c r="S120" i="11" s="1"/>
  <c r="T120" i="11" s="1"/>
  <c r="S183" i="11"/>
  <c r="T183" i="11" s="1"/>
  <c r="U183" i="11" s="1"/>
  <c r="V183" i="11" s="1"/>
  <c r="W183" i="11" s="1"/>
  <c r="R191" i="11"/>
  <c r="S191" i="11" s="1"/>
  <c r="Q319" i="11"/>
  <c r="T336" i="11"/>
  <c r="U336" i="11" s="1"/>
  <c r="V336" i="11" s="1"/>
  <c r="W336" i="11" s="1"/>
  <c r="X336" i="11" s="1"/>
  <c r="Y336" i="11" s="1"/>
  <c r="Z336" i="11" s="1"/>
  <c r="AA336" i="11" s="1"/>
  <c r="T343" i="11"/>
  <c r="U343" i="11" s="1"/>
  <c r="R398" i="11"/>
  <c r="R598" i="11"/>
  <c r="S598" i="11" s="1"/>
  <c r="T598" i="11" s="1"/>
  <c r="U598" i="11" s="1"/>
  <c r="U717" i="11"/>
  <c r="V717" i="11" s="1"/>
  <c r="W717" i="11" s="1"/>
  <c r="R19" i="11"/>
  <c r="R63" i="11"/>
  <c r="S63" i="11" s="1"/>
  <c r="R287" i="11"/>
  <c r="R220" i="11"/>
  <c r="S220" i="11" s="1"/>
  <c r="R185" i="11"/>
  <c r="S185" i="11" s="1"/>
  <c r="T185" i="11" s="1"/>
  <c r="Q374" i="11"/>
  <c r="R374" i="11" s="1"/>
  <c r="S374" i="11" s="1"/>
  <c r="Q558" i="11"/>
  <c r="R558" i="11" s="1"/>
  <c r="S558" i="11" s="1"/>
  <c r="Q630" i="11"/>
  <c r="R630" i="11" s="1"/>
  <c r="Q692" i="11"/>
  <c r="R692" i="11" s="1"/>
  <c r="R415" i="11"/>
  <c r="S415" i="11" s="1"/>
  <c r="R392" i="11"/>
  <c r="R9" i="11"/>
  <c r="R87" i="11"/>
  <c r="S127" i="11"/>
  <c r="T127" i="11" s="1"/>
  <c r="S350" i="11"/>
  <c r="R429" i="11"/>
  <c r="S462" i="11"/>
  <c r="T462" i="11" s="1"/>
  <c r="R589" i="11"/>
  <c r="S589" i="11" s="1"/>
  <c r="T589" i="11" s="1"/>
  <c r="R725" i="11"/>
  <c r="S228" i="11"/>
  <c r="T228" i="11" s="1"/>
  <c r="U228" i="11" s="1"/>
  <c r="S555" i="11"/>
  <c r="T555" i="11" s="1"/>
  <c r="U555" i="11" s="1"/>
  <c r="S112" i="11"/>
  <c r="T112" i="11" s="1"/>
  <c r="S231" i="11"/>
  <c r="Q654" i="11"/>
  <c r="Q742" i="11"/>
  <c r="R742" i="11" s="1"/>
  <c r="R152" i="11"/>
  <c r="S152" i="11" s="1"/>
  <c r="T152" i="11" s="1"/>
  <c r="R631" i="11"/>
  <c r="S631" i="11" s="1"/>
  <c r="T631" i="11" s="1"/>
  <c r="Q390" i="11"/>
  <c r="R463" i="11"/>
  <c r="S463" i="11" s="1"/>
  <c r="R534" i="11"/>
  <c r="Q676" i="11"/>
  <c r="S752" i="11"/>
  <c r="T752" i="11" s="1"/>
  <c r="U752" i="11" s="1"/>
  <c r="R273" i="11"/>
  <c r="S273" i="11" s="1"/>
  <c r="R288" i="11"/>
  <c r="S465" i="11"/>
  <c r="S473" i="11"/>
  <c r="T473" i="11" s="1"/>
  <c r="U473" i="11" s="1"/>
  <c r="V473" i="11" s="1"/>
  <c r="Q560" i="11"/>
  <c r="R560" i="11" s="1"/>
  <c r="R234" i="11"/>
  <c r="S234" i="11" s="1"/>
  <c r="R734" i="11"/>
  <c r="S734" i="11" s="1"/>
  <c r="Q164" i="11"/>
  <c r="R164" i="11" s="1"/>
  <c r="R460" i="11"/>
  <c r="U49" i="11"/>
  <c r="V49" i="11" s="1"/>
  <c r="W49" i="11" s="1"/>
  <c r="X49" i="11" s="1"/>
  <c r="Y49" i="11" s="1"/>
  <c r="Z49" i="11" s="1"/>
  <c r="AA49" i="11" s="1"/>
  <c r="Q81" i="11"/>
  <c r="R81" i="11" s="1"/>
  <c r="S81" i="11" s="1"/>
  <c r="T81" i="11" s="1"/>
  <c r="Q89" i="11"/>
  <c r="S137" i="11"/>
  <c r="Q320" i="11"/>
  <c r="R352" i="11"/>
  <c r="S352" i="11" s="1"/>
  <c r="T352" i="11" s="1"/>
  <c r="Q383" i="11"/>
  <c r="S480" i="11"/>
  <c r="Q520" i="11"/>
  <c r="R520" i="11" s="1"/>
  <c r="S520" i="11" s="1"/>
  <c r="S567" i="11"/>
  <c r="T567" i="11" s="1"/>
  <c r="R583" i="11"/>
  <c r="Q646" i="11"/>
  <c r="R702" i="11"/>
  <c r="Q563" i="11"/>
  <c r="R563" i="11" s="1"/>
  <c r="S28" i="11"/>
  <c r="R67" i="11"/>
  <c r="Q64" i="11"/>
  <c r="Q114" i="11"/>
  <c r="Q201" i="11"/>
  <c r="R321" i="11"/>
  <c r="T368" i="11"/>
  <c r="U368" i="11" s="1"/>
  <c r="Q449" i="11"/>
  <c r="S312" i="11"/>
  <c r="T312" i="11" s="1"/>
  <c r="U312" i="11" s="1"/>
  <c r="R536" i="11"/>
  <c r="S536" i="11" s="1"/>
  <c r="R154" i="11"/>
  <c r="S154" i="11" s="1"/>
  <c r="Q726" i="11"/>
  <c r="S232" i="11"/>
  <c r="T232" i="11" s="1"/>
  <c r="U232" i="11" s="1"/>
  <c r="S240" i="11"/>
  <c r="U344" i="11"/>
  <c r="V344" i="11" s="1"/>
  <c r="W344" i="11" s="1"/>
  <c r="S367" i="11"/>
  <c r="Q375" i="11"/>
  <c r="S535" i="11"/>
  <c r="S663" i="11"/>
  <c r="S403" i="11"/>
  <c r="T403" i="11" s="1"/>
  <c r="U403" i="11" s="1"/>
  <c r="R4" i="11"/>
  <c r="S4" i="11" s="1"/>
  <c r="S20" i="11"/>
  <c r="S755" i="11"/>
  <c r="T755" i="11" s="1"/>
  <c r="U755" i="11" s="1"/>
  <c r="Q50" i="11"/>
  <c r="Q106" i="11"/>
  <c r="S161" i="11"/>
  <c r="T161" i="11" s="1"/>
  <c r="U161" i="11" s="1"/>
  <c r="T304" i="11"/>
  <c r="U304" i="11" s="1"/>
  <c r="R337" i="11"/>
  <c r="R361" i="11"/>
  <c r="Q424" i="11"/>
  <c r="Q568" i="11"/>
  <c r="R592" i="11"/>
  <c r="R123" i="11"/>
  <c r="S123" i="11" s="1"/>
  <c r="T123" i="11" s="1"/>
  <c r="R202" i="11"/>
  <c r="S202" i="11" s="1"/>
  <c r="T202" i="11" s="1"/>
  <c r="U202" i="11" s="1"/>
  <c r="R267" i="11"/>
  <c r="S570" i="11"/>
  <c r="R757" i="11"/>
  <c r="R121" i="11"/>
  <c r="S256" i="11"/>
  <c r="S279" i="11"/>
  <c r="R303" i="11"/>
  <c r="R496" i="11"/>
  <c r="S527" i="11"/>
  <c r="T527" i="11" s="1"/>
  <c r="S655" i="11"/>
  <c r="T655" i="11" s="1"/>
  <c r="S685" i="11"/>
  <c r="R743" i="11"/>
  <c r="R739" i="11"/>
  <c r="S739" i="11" s="1"/>
  <c r="R12" i="11"/>
  <c r="R249" i="11"/>
  <c r="R353" i="11"/>
  <c r="R387" i="11"/>
  <c r="R400" i="11"/>
  <c r="Q438" i="11"/>
  <c r="Q577" i="11"/>
  <c r="R756" i="11"/>
  <c r="S756" i="11" s="1"/>
  <c r="T756" i="11" s="1"/>
  <c r="U756" i="11" s="1"/>
  <c r="R731" i="11"/>
  <c r="S176" i="11"/>
  <c r="S328" i="11"/>
  <c r="T391" i="11"/>
  <c r="T348" i="11"/>
  <c r="R36" i="11"/>
  <c r="S36" i="11" s="1"/>
  <c r="R82" i="11"/>
  <c r="S296" i="11"/>
  <c r="R329" i="11"/>
  <c r="S329" i="11" s="1"/>
  <c r="T329" i="11" s="1"/>
  <c r="R457" i="11"/>
  <c r="R432" i="11"/>
  <c r="S432" i="11" s="1"/>
  <c r="T432" i="11" s="1"/>
  <c r="Q528" i="11"/>
  <c r="S250" i="11"/>
  <c r="Q388" i="11"/>
  <c r="S401" i="11"/>
  <c r="T401" i="11" s="1"/>
  <c r="U401" i="11" s="1"/>
  <c r="R92" i="11"/>
  <c r="R703" i="11"/>
  <c r="R736" i="11"/>
  <c r="Q744" i="11"/>
  <c r="R744" i="11" s="1"/>
  <c r="Q196" i="11"/>
  <c r="Q244" i="11"/>
  <c r="R244" i="11" s="1"/>
  <c r="S244" i="11" s="1"/>
  <c r="Q411" i="11"/>
  <c r="R748" i="11"/>
  <c r="S170" i="11"/>
  <c r="Q226" i="11"/>
  <c r="Q289" i="11"/>
  <c r="R354" i="11"/>
  <c r="S354" i="11" s="1"/>
  <c r="T354" i="11" s="1"/>
  <c r="U354" i="11" s="1"/>
  <c r="T369" i="11"/>
  <c r="U369" i="11" s="1"/>
  <c r="Q490" i="11"/>
  <c r="Q659" i="11"/>
  <c r="S218" i="11"/>
  <c r="T218" i="11" s="1"/>
  <c r="U218" i="11" s="1"/>
  <c r="V218" i="11" s="1"/>
  <c r="T274" i="11"/>
  <c r="Q305" i="11"/>
  <c r="R305" i="11" s="1"/>
  <c r="R678" i="11"/>
  <c r="S678" i="11" s="1"/>
  <c r="T678" i="11" s="1"/>
  <c r="Q686" i="11"/>
  <c r="Q728" i="11"/>
  <c r="Q140" i="11"/>
  <c r="S299" i="11"/>
  <c r="T299" i="11" s="1"/>
  <c r="R689" i="11"/>
  <c r="S29" i="11"/>
  <c r="T29" i="11" s="1"/>
  <c r="T43" i="11"/>
  <c r="U43" i="11" s="1"/>
  <c r="Q65" i="11"/>
  <c r="Q138" i="11"/>
  <c r="S162" i="11"/>
  <c r="Q242" i="11"/>
  <c r="R266" i="11"/>
  <c r="T338" i="11"/>
  <c r="Q409" i="11"/>
  <c r="R409" i="11" s="1"/>
  <c r="S409" i="11" s="1"/>
  <c r="Q44" i="11"/>
  <c r="R339" i="11"/>
  <c r="S339" i="11" s="1"/>
  <c r="Q522" i="11"/>
  <c r="R649" i="11"/>
  <c r="S649" i="11" s="1"/>
  <c r="S371" i="11"/>
  <c r="T371" i="11" s="1"/>
  <c r="Q362" i="11"/>
  <c r="Q417" i="11"/>
  <c r="R417" i="11" s="1"/>
  <c r="S417" i="11" s="1"/>
  <c r="T417" i="11" s="1"/>
  <c r="R553" i="11"/>
  <c r="S553" i="11" s="1"/>
  <c r="S84" i="11"/>
  <c r="T84" i="11" s="1"/>
  <c r="R616" i="11"/>
  <c r="S616" i="11" s="1"/>
  <c r="R642" i="11"/>
  <c r="S13" i="11"/>
  <c r="R51" i="11"/>
  <c r="R99" i="11"/>
  <c r="S178" i="11"/>
  <c r="Q210" i="11"/>
  <c r="Q258" i="11"/>
  <c r="R482" i="11"/>
  <c r="S482" i="11" s="1"/>
  <c r="Q330" i="11"/>
  <c r="R330" i="11" s="1"/>
  <c r="S330" i="11" s="1"/>
  <c r="Q346" i="11"/>
  <c r="Q439" i="11"/>
  <c r="R439" i="11" s="1"/>
  <c r="S439" i="11" s="1"/>
  <c r="Q506" i="11"/>
  <c r="Q679" i="11"/>
  <c r="R679" i="11" s="1"/>
  <c r="R562" i="11"/>
  <c r="Q626" i="11"/>
  <c r="R626" i="11" s="1"/>
  <c r="R61" i="11"/>
  <c r="S61" i="11" s="1"/>
  <c r="Q461" i="11"/>
  <c r="R461" i="11" s="1"/>
  <c r="S461" i="11" s="1"/>
  <c r="R501" i="11"/>
  <c r="S501" i="11" s="1"/>
  <c r="R724" i="11"/>
  <c r="S724" i="11" s="1"/>
  <c r="Q426" i="11"/>
  <c r="R440" i="11"/>
  <c r="S440" i="11" s="1"/>
  <c r="Q467" i="11"/>
  <c r="Q491" i="11"/>
  <c r="R491" i="11" s="1"/>
  <c r="Q510" i="11"/>
  <c r="R510" i="11" s="1"/>
  <c r="Q658" i="11"/>
  <c r="R658" i="11" s="1"/>
  <c r="S308" i="11"/>
  <c r="T308" i="11" s="1"/>
  <c r="Q469" i="11"/>
  <c r="R469" i="11" s="1"/>
  <c r="Q732" i="11"/>
  <c r="R385" i="11"/>
  <c r="S385" i="11" s="1"/>
  <c r="T385" i="11" s="1"/>
  <c r="S425" i="11"/>
  <c r="T425" i="11" s="1"/>
  <c r="R498" i="11"/>
  <c r="S537" i="11"/>
  <c r="T537" i="11" s="1"/>
  <c r="S576" i="11"/>
  <c r="T576" i="11" s="1"/>
  <c r="U576" i="11" s="1"/>
  <c r="S93" i="11"/>
  <c r="Q148" i="11"/>
  <c r="S539" i="11"/>
  <c r="R38" i="11"/>
  <c r="S116" i="11"/>
  <c r="S139" i="11"/>
  <c r="Q171" i="11"/>
  <c r="R211" i="11"/>
  <c r="Q235" i="11"/>
  <c r="R275" i="11"/>
  <c r="R314" i="11"/>
  <c r="R394" i="11"/>
  <c r="Q569" i="11"/>
  <c r="Q579" i="11"/>
  <c r="Q511" i="11"/>
  <c r="R511" i="11" s="1"/>
  <c r="Q188" i="11"/>
  <c r="R188" i="11" s="1"/>
  <c r="Q697" i="11"/>
  <c r="R697" i="11" s="1"/>
  <c r="R134" i="11"/>
  <c r="Q604" i="11"/>
  <c r="R604" i="11" s="1"/>
  <c r="R452" i="11"/>
  <c r="S452" i="11" s="1"/>
  <c r="S561" i="11"/>
  <c r="R633" i="11"/>
  <c r="Q370" i="11"/>
  <c r="Q475" i="11"/>
  <c r="R475" i="11" s="1"/>
  <c r="Q530" i="11"/>
  <c r="R530" i="11" s="1"/>
  <c r="S641" i="11"/>
  <c r="R529" i="11"/>
  <c r="S593" i="11"/>
  <c r="R687" i="11"/>
  <c r="S687" i="11" s="1"/>
  <c r="R260" i="11"/>
  <c r="R476" i="11"/>
  <c r="R714" i="11"/>
  <c r="S76" i="11"/>
  <c r="R132" i="11"/>
  <c r="R271" i="11"/>
  <c r="Q347" i="11"/>
  <c r="Q418" i="11"/>
  <c r="R141" i="11"/>
  <c r="S141" i="11" s="1"/>
  <c r="T141" i="11" s="1"/>
  <c r="Q284" i="11"/>
  <c r="R284" i="11" s="1"/>
  <c r="R620" i="11"/>
  <c r="S620" i="11" s="1"/>
  <c r="T620" i="11" s="1"/>
  <c r="Q652" i="11"/>
  <c r="R219" i="11"/>
  <c r="S219" i="11" s="1"/>
  <c r="R290" i="11"/>
  <c r="T323" i="11"/>
  <c r="U323" i="11" s="1"/>
  <c r="V323" i="11" s="1"/>
  <c r="W323" i="11" s="1"/>
  <c r="Q483" i="11"/>
  <c r="Q554" i="11"/>
  <c r="R554" i="11" s="1"/>
  <c r="R453" i="11"/>
  <c r="S453" i="11" s="1"/>
  <c r="T453" i="11" s="1"/>
  <c r="S124" i="11"/>
  <c r="R363" i="11"/>
  <c r="S363" i="11" s="1"/>
  <c r="R378" i="11"/>
  <c r="S378" i="11" s="1"/>
  <c r="T378" i="11" s="1"/>
  <c r="U378" i="11" s="1"/>
  <c r="V378" i="11" s="1"/>
  <c r="Q459" i="11"/>
  <c r="R459" i="11" s="1"/>
  <c r="R538" i="11"/>
  <c r="S538" i="11" s="1"/>
  <c r="Q602" i="11"/>
  <c r="R618" i="11"/>
  <c r="Q688" i="11"/>
  <c r="S307" i="11"/>
  <c r="R507" i="11"/>
  <c r="Q102" i="11"/>
  <c r="S126" i="11"/>
  <c r="T126" i="11" s="1"/>
  <c r="U126" i="11" s="1"/>
  <c r="V126" i="11" s="1"/>
  <c r="Q165" i="11"/>
  <c r="R197" i="11"/>
  <c r="S237" i="11"/>
  <c r="R245" i="11"/>
  <c r="Q333" i="11"/>
  <c r="Q357" i="11"/>
  <c r="R412" i="11"/>
  <c r="R445" i="11"/>
  <c r="R493" i="11"/>
  <c r="R532" i="11"/>
  <c r="R332" i="11"/>
  <c r="T325" i="11"/>
  <c r="R53" i="11"/>
  <c r="S53" i="11" s="1"/>
  <c r="S651" i="11"/>
  <c r="T651" i="11" s="1"/>
  <c r="Q586" i="11"/>
  <c r="S672" i="11"/>
  <c r="Q680" i="11"/>
  <c r="R746" i="11"/>
  <c r="R434" i="11"/>
  <c r="S635" i="11"/>
  <c r="Q94" i="11"/>
  <c r="T149" i="11"/>
  <c r="Q189" i="11"/>
  <c r="R229" i="11"/>
  <c r="Q270" i="11"/>
  <c r="Q300" i="11"/>
  <c r="R349" i="11"/>
  <c r="R380" i="11"/>
  <c r="T404" i="11"/>
  <c r="Q435" i="11"/>
  <c r="Q485" i="11"/>
  <c r="S571" i="11"/>
  <c r="T571" i="11" s="1"/>
  <c r="R612" i="11"/>
  <c r="S612" i="11" s="1"/>
  <c r="T612" i="11" s="1"/>
  <c r="R636" i="11"/>
  <c r="Q682" i="11"/>
  <c r="R690" i="11"/>
  <c r="Q749" i="11"/>
  <c r="R283" i="11"/>
  <c r="S283" i="11" s="1"/>
  <c r="R713" i="11"/>
  <c r="R261" i="11"/>
  <c r="S261" i="11" s="1"/>
  <c r="T292" i="11"/>
  <c r="U292" i="11" s="1"/>
  <c r="R341" i="11"/>
  <c r="R477" i="11"/>
  <c r="S477" i="11" s="1"/>
  <c r="T477" i="11" s="1"/>
  <c r="U477" i="11" s="1"/>
  <c r="R715" i="11"/>
  <c r="R578" i="11"/>
  <c r="R738" i="11"/>
  <c r="R78" i="11"/>
  <c r="R428" i="11"/>
  <c r="R517" i="11"/>
  <c r="R628" i="11"/>
  <c r="R674" i="11"/>
  <c r="R740" i="11"/>
  <c r="S740" i="11" s="1"/>
  <c r="R236" i="11"/>
  <c r="S236" i="11" s="1"/>
  <c r="T236" i="11" s="1"/>
  <c r="R32" i="11"/>
  <c r="H196" i="15"/>
  <c r="I196" i="15" s="1"/>
  <c r="J196" i="15" s="1"/>
  <c r="H278" i="11"/>
  <c r="I278" i="11" s="1"/>
  <c r="P278" i="11" s="1"/>
  <c r="H180" i="15"/>
  <c r="I180" i="15" s="1"/>
  <c r="J180" i="15" s="1"/>
  <c r="H179" i="15"/>
  <c r="I179" i="15" s="1"/>
  <c r="J179" i="15" s="1"/>
  <c r="H162" i="15"/>
  <c r="I162" i="15" s="1"/>
  <c r="J162" i="15" s="1"/>
  <c r="H161" i="15"/>
  <c r="I161" i="15" s="1"/>
  <c r="J161" i="15" s="1"/>
  <c r="H773" i="14"/>
  <c r="I773" i="14" s="1"/>
  <c r="P773" i="14" s="1"/>
  <c r="Q773" i="14" s="1"/>
  <c r="H768" i="14"/>
  <c r="I768" i="14" s="1"/>
  <c r="P768" i="14" s="1"/>
  <c r="Q768" i="14" s="1"/>
  <c r="R768" i="14" s="1"/>
  <c r="H759" i="14"/>
  <c r="I759" i="14" s="1"/>
  <c r="P759" i="14" s="1"/>
  <c r="Q759" i="14" s="1"/>
  <c r="H753" i="14"/>
  <c r="I753" i="14" s="1"/>
  <c r="P753" i="14" s="1"/>
  <c r="Q753" i="14" s="1"/>
  <c r="H742" i="14"/>
  <c r="I742" i="14" s="1"/>
  <c r="P742" i="14" s="1"/>
  <c r="Q742" i="14" s="1"/>
  <c r="H724" i="14"/>
  <c r="I724" i="14" s="1"/>
  <c r="P724" i="14" s="1"/>
  <c r="Q724" i="14" s="1"/>
  <c r="H720" i="14"/>
  <c r="I720" i="14" s="1"/>
  <c r="P720" i="14" s="1"/>
  <c r="H719" i="14"/>
  <c r="I719" i="14" s="1"/>
  <c r="P719" i="14" s="1"/>
  <c r="Q719" i="14" s="1"/>
  <c r="H692" i="14"/>
  <c r="I692" i="14" s="1"/>
  <c r="P692" i="14" s="1"/>
  <c r="H691" i="14"/>
  <c r="I691" i="14" s="1"/>
  <c r="P691" i="14" s="1"/>
  <c r="H686" i="14"/>
  <c r="I686" i="14" s="1"/>
  <c r="P686" i="14" s="1"/>
  <c r="Q686" i="14" s="1"/>
  <c r="H664" i="14"/>
  <c r="I664" i="14" s="1"/>
  <c r="P664" i="14" s="1"/>
  <c r="Q664" i="14" s="1"/>
  <c r="H663" i="14"/>
  <c r="I663" i="14" s="1"/>
  <c r="P663" i="14" s="1"/>
  <c r="Q663" i="14" s="1"/>
  <c r="H662" i="14"/>
  <c r="I662" i="14" s="1"/>
  <c r="P662" i="14" s="1"/>
  <c r="H661" i="14"/>
  <c r="I661" i="14" s="1"/>
  <c r="P661" i="14" s="1"/>
  <c r="Q661" i="14" s="1"/>
  <c r="R661" i="14" s="1"/>
  <c r="H644" i="14"/>
  <c r="I644" i="14" s="1"/>
  <c r="P644" i="14" s="1"/>
  <c r="Q644" i="14" s="1"/>
  <c r="R644" i="14" s="1"/>
  <c r="H632" i="14"/>
  <c r="I632" i="14" s="1"/>
  <c r="P632" i="14" s="1"/>
  <c r="Q632" i="14" s="1"/>
  <c r="H630" i="14"/>
  <c r="I630" i="14" s="1"/>
  <c r="P630" i="14" s="1"/>
  <c r="Q630" i="14" s="1"/>
  <c r="R630" i="14" s="1"/>
  <c r="S630" i="14" s="1"/>
  <c r="H610" i="14"/>
  <c r="I610" i="14" s="1"/>
  <c r="P610" i="14" s="1"/>
  <c r="Q610" i="14" s="1"/>
  <c r="H608" i="14"/>
  <c r="I608" i="14" s="1"/>
  <c r="P608" i="14" s="1"/>
  <c r="Q608" i="14" s="1"/>
  <c r="H605" i="14"/>
  <c r="I605" i="14" s="1"/>
  <c r="P605" i="14" s="1"/>
  <c r="Q605" i="14" s="1"/>
  <c r="H572" i="14"/>
  <c r="I572" i="14" s="1"/>
  <c r="P572" i="14" s="1"/>
  <c r="Q572" i="14" s="1"/>
  <c r="H571" i="14"/>
  <c r="I571" i="14" s="1"/>
  <c r="P571" i="14" s="1"/>
  <c r="Q571" i="14" s="1"/>
  <c r="H557" i="14"/>
  <c r="I557" i="14" s="1"/>
  <c r="P557" i="14" s="1"/>
  <c r="Q557" i="14" s="1"/>
  <c r="H549" i="14"/>
  <c r="I549" i="14" s="1"/>
  <c r="P549" i="14" s="1"/>
  <c r="Q549" i="14" s="1"/>
  <c r="H545" i="14"/>
  <c r="I545" i="14" s="1"/>
  <c r="P545" i="14" s="1"/>
  <c r="Q545" i="14" s="1"/>
  <c r="H523" i="14"/>
  <c r="I523" i="14" s="1"/>
  <c r="P523" i="14" s="1"/>
  <c r="Q523" i="14" s="1"/>
  <c r="H511" i="14"/>
  <c r="I511" i="14" s="1"/>
  <c r="P511" i="14" s="1"/>
  <c r="H508" i="14"/>
  <c r="I508" i="14" s="1"/>
  <c r="P508" i="14" s="1"/>
  <c r="H504" i="14"/>
  <c r="I504" i="14" s="1"/>
  <c r="P504" i="14" s="1"/>
  <c r="H470" i="14"/>
  <c r="I470" i="14" s="1"/>
  <c r="P470" i="14" s="1"/>
  <c r="Q470" i="14" s="1"/>
  <c r="H465" i="14"/>
  <c r="I465" i="14" s="1"/>
  <c r="P465" i="14" s="1"/>
  <c r="H451" i="14"/>
  <c r="I451" i="14" s="1"/>
  <c r="P451" i="14" s="1"/>
  <c r="Q451" i="14" s="1"/>
  <c r="R451" i="14" s="1"/>
  <c r="H449" i="14"/>
  <c r="I449" i="14" s="1"/>
  <c r="P449" i="14" s="1"/>
  <c r="H518" i="14"/>
  <c r="I518" i="14" s="1"/>
  <c r="P518" i="14" s="1"/>
  <c r="H445" i="14"/>
  <c r="I445" i="14" s="1"/>
  <c r="P445" i="14" s="1"/>
  <c r="Q445" i="14" s="1"/>
  <c r="H439" i="14"/>
  <c r="I439" i="14" s="1"/>
  <c r="P439" i="14" s="1"/>
  <c r="Q439" i="14" s="1"/>
  <c r="R439" i="14" s="1"/>
  <c r="S439" i="14" s="1"/>
  <c r="H423" i="14"/>
  <c r="I423" i="14" s="1"/>
  <c r="P423" i="14" s="1"/>
  <c r="H409" i="14"/>
  <c r="I409" i="14" s="1"/>
  <c r="P409" i="14" s="1"/>
  <c r="Q409" i="14" s="1"/>
  <c r="R409" i="14" s="1"/>
  <c r="H404" i="14"/>
  <c r="I404" i="14" s="1"/>
  <c r="P404" i="14" s="1"/>
  <c r="Q404" i="14" s="1"/>
  <c r="H397" i="14"/>
  <c r="I397" i="14" s="1"/>
  <c r="P397" i="14" s="1"/>
  <c r="Q397" i="14" s="1"/>
  <c r="R397" i="14" s="1"/>
  <c r="S397" i="14" s="1"/>
  <c r="H386" i="14"/>
  <c r="I386" i="14" s="1"/>
  <c r="P386" i="14" s="1"/>
  <c r="Q386" i="14" s="1"/>
  <c r="R386" i="14" s="1"/>
  <c r="S386" i="14" s="1"/>
  <c r="H366" i="14"/>
  <c r="I366" i="14" s="1"/>
  <c r="P366" i="14" s="1"/>
  <c r="Q366" i="14" s="1"/>
  <c r="H355" i="14"/>
  <c r="I355" i="14" s="1"/>
  <c r="P355" i="14" s="1"/>
  <c r="I588" i="14"/>
  <c r="P588" i="14" s="1"/>
  <c r="H341" i="14"/>
  <c r="I341" i="14" s="1"/>
  <c r="P341" i="14" s="1"/>
  <c r="Q341" i="14" s="1"/>
  <c r="H340" i="14"/>
  <c r="I340" i="14" s="1"/>
  <c r="P340" i="14" s="1"/>
  <c r="Q340" i="14" s="1"/>
  <c r="H336" i="14"/>
  <c r="I336" i="14" s="1"/>
  <c r="P336" i="14" s="1"/>
  <c r="H322" i="14"/>
  <c r="I322" i="14" s="1"/>
  <c r="P322" i="14" s="1"/>
  <c r="H321" i="14"/>
  <c r="I321" i="14" s="1"/>
  <c r="P321" i="14" s="1"/>
  <c r="H311" i="14"/>
  <c r="I311" i="14" s="1"/>
  <c r="P311" i="14" s="1"/>
  <c r="H307" i="14"/>
  <c r="I307" i="14" s="1"/>
  <c r="P307" i="14" s="1"/>
  <c r="Q307" i="14" s="1"/>
  <c r="H285" i="14"/>
  <c r="I285" i="14" s="1"/>
  <c r="P285" i="14" s="1"/>
  <c r="H276" i="14"/>
  <c r="I276" i="14" s="1"/>
  <c r="P276" i="14" s="1"/>
  <c r="Q276" i="14" s="1"/>
  <c r="R276" i="14" s="1"/>
  <c r="H274" i="14"/>
  <c r="I274" i="14" s="1"/>
  <c r="P274" i="14" s="1"/>
  <c r="H273" i="14"/>
  <c r="I273" i="14" s="1"/>
  <c r="P273" i="14" s="1"/>
  <c r="Q273" i="14" s="1"/>
  <c r="R273" i="14" s="1"/>
  <c r="H255" i="14"/>
  <c r="I255" i="14" s="1"/>
  <c r="P255" i="14" s="1"/>
  <c r="Q255" i="14" s="1"/>
  <c r="H248" i="14"/>
  <c r="I248" i="14" s="1"/>
  <c r="P248" i="14" s="1"/>
  <c r="Q248" i="14" s="1"/>
  <c r="H247" i="14"/>
  <c r="I247" i="14" s="1"/>
  <c r="P247" i="14" s="1"/>
  <c r="Q247" i="14" s="1"/>
  <c r="H244" i="14"/>
  <c r="I244" i="14" s="1"/>
  <c r="P244" i="14" s="1"/>
  <c r="Q244" i="14" s="1"/>
  <c r="H243" i="14"/>
  <c r="I243" i="14" s="1"/>
  <c r="P243" i="14" s="1"/>
  <c r="H233" i="14"/>
  <c r="I233" i="14" s="1"/>
  <c r="P233" i="14" s="1"/>
  <c r="H214" i="14"/>
  <c r="I214" i="14" s="1"/>
  <c r="P214" i="14" s="1"/>
  <c r="Q214" i="14" s="1"/>
  <c r="H208" i="14"/>
  <c r="I208" i="14" s="1"/>
  <c r="P208" i="14" s="1"/>
  <c r="Q208" i="14" s="1"/>
  <c r="H191" i="14"/>
  <c r="I191" i="14" s="1"/>
  <c r="P191" i="14" s="1"/>
  <c r="Q191" i="14" s="1"/>
  <c r="H186" i="14"/>
  <c r="I186" i="14" s="1"/>
  <c r="P186" i="14" s="1"/>
  <c r="H185" i="14"/>
  <c r="I185" i="14" s="1"/>
  <c r="P185" i="14" s="1"/>
  <c r="Q185" i="14" s="1"/>
  <c r="H163" i="14"/>
  <c r="I163" i="14" s="1"/>
  <c r="P163" i="14" s="1"/>
  <c r="Q163" i="14" s="1"/>
  <c r="H154" i="14"/>
  <c r="I154" i="14" s="1"/>
  <c r="P154" i="14" s="1"/>
  <c r="Q154" i="14" s="1"/>
  <c r="H146" i="14"/>
  <c r="I146" i="14" s="1"/>
  <c r="P146" i="14" s="1"/>
  <c r="Q146" i="14" s="1"/>
  <c r="H121" i="14"/>
  <c r="I121" i="14" s="1"/>
  <c r="P121" i="14" s="1"/>
  <c r="Q121" i="14" s="1"/>
  <c r="R121" i="14" s="1"/>
  <c r="H104" i="14"/>
  <c r="I104" i="14" s="1"/>
  <c r="P104" i="14" s="1"/>
  <c r="Q104" i="14" s="1"/>
  <c r="H102" i="14"/>
  <c r="I102" i="14" s="1"/>
  <c r="P102" i="14" s="1"/>
  <c r="H93" i="14"/>
  <c r="I93" i="14" s="1"/>
  <c r="P93" i="14" s="1"/>
  <c r="Q93" i="14" s="1"/>
  <c r="R93" i="14" s="1"/>
  <c r="H90" i="14"/>
  <c r="I90" i="14" s="1"/>
  <c r="P90" i="14" s="1"/>
  <c r="Q90" i="14" s="1"/>
  <c r="H80" i="14"/>
  <c r="I80" i="14" s="1"/>
  <c r="P80" i="14" s="1"/>
  <c r="Q80" i="14" s="1"/>
  <c r="H75" i="14"/>
  <c r="H69" i="14"/>
  <c r="H61" i="14"/>
  <c r="H47" i="14"/>
  <c r="H31" i="14"/>
  <c r="H28" i="14"/>
  <c r="H17" i="14"/>
  <c r="H11" i="14"/>
  <c r="H8" i="14"/>
  <c r="H6" i="14"/>
  <c r="H5" i="14"/>
  <c r="AC16" i="22"/>
  <c r="AI16" i="22"/>
  <c r="L5" i="22"/>
  <c r="F17" i="22"/>
  <c r="J16" i="22"/>
  <c r="E5" i="22"/>
  <c r="AG29" i="22"/>
  <c r="F5" i="22"/>
  <c r="Q16" i="22"/>
  <c r="U5" i="22"/>
  <c r="M30" i="22"/>
  <c r="U30" i="22"/>
  <c r="M17" i="22"/>
  <c r="AG28" i="22"/>
  <c r="D17" i="22"/>
  <c r="T16" i="22"/>
  <c r="S17" i="22"/>
  <c r="I30" i="22"/>
  <c r="O16" i="22"/>
  <c r="J5" i="22"/>
  <c r="E18" i="22"/>
  <c r="Z16" i="22"/>
  <c r="T29" i="22"/>
  <c r="T5" i="22"/>
  <c r="N18" i="22"/>
  <c r="K5" i="22"/>
  <c r="AA17" i="22"/>
  <c r="AD30" i="22"/>
  <c r="I5" i="22"/>
  <c r="Z30" i="22"/>
  <c r="V6" i="22"/>
  <c r="I16" i="22"/>
  <c r="AC30" i="22"/>
  <c r="L17" i="22"/>
  <c r="Q29" i="22"/>
  <c r="D5" i="22"/>
  <c r="P5" i="22"/>
  <c r="N17" i="22"/>
  <c r="V20" i="22"/>
  <c r="M5" i="22"/>
  <c r="K29" i="22"/>
  <c r="V19" i="22"/>
  <c r="AA5" i="22"/>
  <c r="F31" i="22"/>
  <c r="N5" i="22"/>
  <c r="AJ17" i="22"/>
  <c r="F30" i="22"/>
  <c r="V21" i="22"/>
  <c r="R16" i="22"/>
  <c r="K17" i="22"/>
  <c r="P17" i="22"/>
  <c r="M31" i="22"/>
  <c r="H16" i="22"/>
  <c r="U16" i="22"/>
  <c r="S5" i="22"/>
  <c r="Z31" i="22"/>
  <c r="VY24" i="2" l="1"/>
  <c r="VY11" i="2"/>
  <c r="VY5" i="2"/>
  <c r="VD19" i="2"/>
  <c r="VD27" i="2"/>
  <c r="VD11" i="2"/>
  <c r="VD28" i="2"/>
  <c r="VD29" i="2"/>
  <c r="VD5" i="2"/>
  <c r="VD24" i="2"/>
  <c r="UI33" i="2"/>
  <c r="UI9" i="2"/>
  <c r="UI15" i="2"/>
  <c r="UI18" i="2"/>
  <c r="TN33" i="2"/>
  <c r="NB20" i="2"/>
  <c r="NW20" i="2"/>
  <c r="MG20" i="2"/>
  <c r="LL12" i="2"/>
  <c r="LL4" i="2"/>
  <c r="KQ11" i="2"/>
  <c r="KQ10" i="2"/>
  <c r="KQ14" i="2"/>
  <c r="KQ25" i="2"/>
  <c r="KQ12" i="2"/>
  <c r="KQ5" i="2"/>
  <c r="KQ9" i="2"/>
  <c r="KQ3" i="2"/>
  <c r="KQ17" i="2"/>
  <c r="JV29" i="2"/>
  <c r="JV8" i="2"/>
  <c r="JV18" i="2"/>
  <c r="JV16" i="2"/>
  <c r="JV15" i="2"/>
  <c r="JV27" i="2"/>
  <c r="JV13" i="2"/>
  <c r="JV7" i="2"/>
  <c r="JV19" i="2"/>
  <c r="JV30" i="2"/>
  <c r="JV24" i="2"/>
  <c r="BT20" i="2"/>
  <c r="AY17" i="2"/>
  <c r="AY10" i="2"/>
  <c r="AY19" i="2"/>
  <c r="AY25" i="2"/>
  <c r="AY11" i="2"/>
  <c r="AY12" i="2"/>
  <c r="AY5" i="2"/>
  <c r="AY14" i="2"/>
  <c r="AY29" i="2"/>
  <c r="AY3" i="2"/>
  <c r="AY4" i="2"/>
  <c r="AY9" i="2"/>
  <c r="AY8" i="2"/>
  <c r="AY18" i="2"/>
  <c r="I11" i="14"/>
  <c r="I28" i="14"/>
  <c r="I31" i="14"/>
  <c r="I47" i="14"/>
  <c r="I5" i="14"/>
  <c r="P136" i="15"/>
  <c r="Q136" i="15" s="1"/>
  <c r="I61" i="14"/>
  <c r="J61" i="14" s="1"/>
  <c r="I8" i="14"/>
  <c r="J8" i="14" s="1"/>
  <c r="I6" i="14"/>
  <c r="I69" i="14"/>
  <c r="I75" i="14"/>
  <c r="I17" i="14"/>
  <c r="W696" i="14"/>
  <c r="X696" i="14" s="1"/>
  <c r="U65" i="14"/>
  <c r="V65" i="14" s="1"/>
  <c r="W65" i="14" s="1"/>
  <c r="Q278" i="11"/>
  <c r="R278" i="11" s="1"/>
  <c r="T441" i="14"/>
  <c r="U441" i="14" s="1"/>
  <c r="V441" i="14" s="1"/>
  <c r="U452" i="14"/>
  <c r="V452" i="14" s="1"/>
  <c r="T179" i="14"/>
  <c r="U179" i="14" s="1"/>
  <c r="V179" i="14" s="1"/>
  <c r="U63" i="14"/>
  <c r="V63" i="14" s="1"/>
  <c r="W63" i="14" s="1"/>
  <c r="T709" i="14"/>
  <c r="U709" i="14" s="1"/>
  <c r="V709" i="14" s="1"/>
  <c r="W709" i="14" s="1"/>
  <c r="X709" i="14" s="1"/>
  <c r="Y709" i="14" s="1"/>
  <c r="Z709" i="14" s="1"/>
  <c r="AA709" i="14" s="1"/>
  <c r="T134" i="14"/>
  <c r="U134" i="14" s="1"/>
  <c r="T459" i="14"/>
  <c r="U459" i="14" s="1"/>
  <c r="V459" i="14" s="1"/>
  <c r="W459" i="14" s="1"/>
  <c r="U787" i="14"/>
  <c r="V787" i="14" s="1"/>
  <c r="W787" i="14" s="1"/>
  <c r="T770" i="14"/>
  <c r="U770" i="14" s="1"/>
  <c r="U427" i="14"/>
  <c r="V427" i="14" s="1"/>
  <c r="W427" i="14" s="1"/>
  <c r="X427" i="14" s="1"/>
  <c r="Y427" i="14" s="1"/>
  <c r="Z427" i="14" s="1"/>
  <c r="AA427" i="14" s="1"/>
  <c r="U68" i="14"/>
  <c r="V68" i="14" s="1"/>
  <c r="W68" i="14" s="1"/>
  <c r="X68" i="14" s="1"/>
  <c r="Y68" i="14" s="1"/>
  <c r="W103" i="14"/>
  <c r="X103" i="14" s="1"/>
  <c r="Y103" i="14" s="1"/>
  <c r="Z103" i="14" s="1"/>
  <c r="AA103" i="14" s="1"/>
  <c r="V84" i="14"/>
  <c r="W84" i="14" s="1"/>
  <c r="X84" i="14" s="1"/>
  <c r="Y84" i="14" s="1"/>
  <c r="Z84" i="14" s="1"/>
  <c r="AA84" i="14" s="1"/>
  <c r="T277" i="14"/>
  <c r="U277" i="14" s="1"/>
  <c r="U648" i="14"/>
  <c r="V648" i="14" s="1"/>
  <c r="U398" i="14"/>
  <c r="V398" i="14" s="1"/>
  <c r="W398" i="14" s="1"/>
  <c r="X398" i="14" s="1"/>
  <c r="Y398" i="14" s="1"/>
  <c r="Z398" i="14" s="1"/>
  <c r="T344" i="14"/>
  <c r="U344" i="14" s="1"/>
  <c r="T281" i="14"/>
  <c r="U281" i="14" s="1"/>
  <c r="T422" i="14"/>
  <c r="U422" i="14" s="1"/>
  <c r="V422" i="14" s="1"/>
  <c r="T301" i="14"/>
  <c r="U301" i="14" s="1"/>
  <c r="V301" i="14" s="1"/>
  <c r="W301" i="14" s="1"/>
  <c r="X301" i="14" s="1"/>
  <c r="Y301" i="14" s="1"/>
  <c r="Z301" i="14" s="1"/>
  <c r="AA301" i="14" s="1"/>
  <c r="T433" i="14"/>
  <c r="U433" i="14" s="1"/>
  <c r="V433" i="14" s="1"/>
  <c r="V281" i="11"/>
  <c r="W281" i="11" s="1"/>
  <c r="X281" i="11" s="1"/>
  <c r="Y281" i="11" s="1"/>
  <c r="Z281" i="11" s="1"/>
  <c r="AA281" i="11" s="1"/>
  <c r="W781" i="14"/>
  <c r="X781" i="14" s="1"/>
  <c r="Y781" i="14" s="1"/>
  <c r="Z781" i="14" s="1"/>
  <c r="AA781" i="14" s="1"/>
  <c r="T565" i="11"/>
  <c r="U565" i="11" s="1"/>
  <c r="U581" i="11"/>
  <c r="V581" i="11" s="1"/>
  <c r="W581" i="11" s="1"/>
  <c r="X581" i="11" s="1"/>
  <c r="Y581" i="11" s="1"/>
  <c r="Z581" i="11" s="1"/>
  <c r="AA581" i="11" s="1"/>
  <c r="V265" i="11"/>
  <c r="W265" i="11" s="1"/>
  <c r="X265" i="11" s="1"/>
  <c r="T324" i="11"/>
  <c r="U324" i="11" s="1"/>
  <c r="V324" i="11" s="1"/>
  <c r="T331" i="11"/>
  <c r="U331" i="11" s="1"/>
  <c r="T328" i="14"/>
  <c r="U328" i="14" s="1"/>
  <c r="V328" i="14" s="1"/>
  <c r="U670" i="14"/>
  <c r="V670" i="14" s="1"/>
  <c r="U345" i="11"/>
  <c r="V345" i="11" s="1"/>
  <c r="W345" i="11" s="1"/>
  <c r="X345" i="11" s="1"/>
  <c r="T526" i="14"/>
  <c r="U526" i="14" s="1"/>
  <c r="T747" i="14"/>
  <c r="U747" i="14" s="1"/>
  <c r="U190" i="15"/>
  <c r="V190" i="15" s="1"/>
  <c r="W190" i="15" s="1"/>
  <c r="X190" i="15" s="1"/>
  <c r="Y190" i="15" s="1"/>
  <c r="Z190" i="15" s="1"/>
  <c r="AA190" i="15" s="1"/>
  <c r="AB190" i="15" s="1"/>
  <c r="T457" i="14"/>
  <c r="U457" i="14" s="1"/>
  <c r="U202" i="14"/>
  <c r="V202" i="14" s="1"/>
  <c r="W202" i="14" s="1"/>
  <c r="T364" i="14"/>
  <c r="U364" i="14" s="1"/>
  <c r="V364" i="14" s="1"/>
  <c r="W364" i="14" s="1"/>
  <c r="T299" i="14"/>
  <c r="U299" i="14" s="1"/>
  <c r="U522" i="14"/>
  <c r="V522" i="14" s="1"/>
  <c r="W522" i="14" s="1"/>
  <c r="X522" i="14" s="1"/>
  <c r="Y522" i="14" s="1"/>
  <c r="Z522" i="14" s="1"/>
  <c r="AA522" i="14" s="1"/>
  <c r="W201" i="15"/>
  <c r="X201" i="15" s="1"/>
  <c r="Y201" i="15" s="1"/>
  <c r="W669" i="14"/>
  <c r="X669" i="14" s="1"/>
  <c r="Y669" i="14" s="1"/>
  <c r="T183" i="15"/>
  <c r="U183" i="15" s="1"/>
  <c r="V226" i="14"/>
  <c r="W226" i="14" s="1"/>
  <c r="X226" i="14" s="1"/>
  <c r="U173" i="15"/>
  <c r="V173" i="15" s="1"/>
  <c r="T160" i="15"/>
  <c r="U160" i="15" s="1"/>
  <c r="Y144" i="15"/>
  <c r="T189" i="15"/>
  <c r="U189" i="15" s="1"/>
  <c r="V189" i="15" s="1"/>
  <c r="W189" i="15" s="1"/>
  <c r="T175" i="15"/>
  <c r="U175" i="15" s="1"/>
  <c r="T148" i="15"/>
  <c r="U148" i="15" s="1"/>
  <c r="T352" i="14"/>
  <c r="U352" i="14" s="1"/>
  <c r="V352" i="14" s="1"/>
  <c r="W352" i="14" s="1"/>
  <c r="U223" i="14"/>
  <c r="V223" i="14" s="1"/>
  <c r="W223" i="14" s="1"/>
  <c r="U196" i="14"/>
  <c r="V196" i="14" s="1"/>
  <c r="V715" i="14"/>
  <c r="W715" i="14" s="1"/>
  <c r="X715" i="14" s="1"/>
  <c r="Y715" i="14" s="1"/>
  <c r="Z715" i="14" s="1"/>
  <c r="S177" i="15"/>
  <c r="T177" i="15" s="1"/>
  <c r="U177" i="15" s="1"/>
  <c r="V177" i="15" s="1"/>
  <c r="V209" i="11"/>
  <c r="W209" i="11" s="1"/>
  <c r="U200" i="15"/>
  <c r="V200" i="15" s="1"/>
  <c r="W200" i="15" s="1"/>
  <c r="X200" i="15" s="1"/>
  <c r="Y200" i="15" s="1"/>
  <c r="Z200" i="15" s="1"/>
  <c r="AA200" i="15" s="1"/>
  <c r="W188" i="15"/>
  <c r="X188" i="15" s="1"/>
  <c r="T194" i="15"/>
  <c r="T197" i="15"/>
  <c r="U197" i="15" s="1"/>
  <c r="U167" i="15"/>
  <c r="S149" i="15"/>
  <c r="T149" i="15" s="1"/>
  <c r="S150" i="15"/>
  <c r="T444" i="11"/>
  <c r="U444" i="11" s="1"/>
  <c r="U191" i="15"/>
  <c r="R154" i="15"/>
  <c r="V172" i="15"/>
  <c r="W172" i="15" s="1"/>
  <c r="X172" i="15" s="1"/>
  <c r="Y172" i="15" s="1"/>
  <c r="Z172" i="15" s="1"/>
  <c r="AA172" i="15" s="1"/>
  <c r="R131" i="15"/>
  <c r="V155" i="15"/>
  <c r="W155" i="15" s="1"/>
  <c r="U182" i="15"/>
  <c r="V182" i="15" s="1"/>
  <c r="Y146" i="15"/>
  <c r="Z146" i="15" s="1"/>
  <c r="AA146" i="15" s="1"/>
  <c r="T141" i="15"/>
  <c r="U141" i="15" s="1"/>
  <c r="S206" i="15"/>
  <c r="S176" i="15"/>
  <c r="T176" i="15" s="1"/>
  <c r="T139" i="15"/>
  <c r="S170" i="15"/>
  <c r="P179" i="15"/>
  <c r="Q179" i="15" s="1"/>
  <c r="R179" i="15" s="1"/>
  <c r="S179" i="15" s="1"/>
  <c r="T179" i="15" s="1"/>
  <c r="U179" i="15" s="1"/>
  <c r="V179" i="15" s="1"/>
  <c r="P196" i="15"/>
  <c r="Q196" i="15" s="1"/>
  <c r="R196" i="15" s="1"/>
  <c r="W169" i="15"/>
  <c r="U174" i="15"/>
  <c r="V174" i="15" s="1"/>
  <c r="R187" i="15"/>
  <c r="T166" i="15"/>
  <c r="T134" i="15"/>
  <c r="Y184" i="15"/>
  <c r="Z184" i="15" s="1"/>
  <c r="AA184" i="15" s="1"/>
  <c r="AB184" i="15" s="1"/>
  <c r="W171" i="15"/>
  <c r="X171" i="15" s="1"/>
  <c r="Y171" i="15" s="1"/>
  <c r="Z171" i="15" s="1"/>
  <c r="S142" i="15"/>
  <c r="S204" i="15"/>
  <c r="T204" i="15" s="1"/>
  <c r="S192" i="15"/>
  <c r="T192" i="15" s="1"/>
  <c r="W156" i="15"/>
  <c r="X156" i="15" s="1"/>
  <c r="Y156" i="15" s="1"/>
  <c r="Z156" i="15" s="1"/>
  <c r="AA156" i="15" s="1"/>
  <c r="R135" i="15"/>
  <c r="W185" i="15"/>
  <c r="X185" i="15" s="1"/>
  <c r="Y185" i="15" s="1"/>
  <c r="S193" i="15"/>
  <c r="T193" i="15" s="1"/>
  <c r="S153" i="15"/>
  <c r="U143" i="15"/>
  <c r="P161" i="15"/>
  <c r="P162" i="15"/>
  <c r="V152" i="15"/>
  <c r="U195" i="15"/>
  <c r="U178" i="15"/>
  <c r="R203" i="15"/>
  <c r="R147" i="15"/>
  <c r="S147" i="15" s="1"/>
  <c r="T147" i="15" s="1"/>
  <c r="U147" i="15" s="1"/>
  <c r="T205" i="15"/>
  <c r="U205" i="15" s="1"/>
  <c r="T151" i="15"/>
  <c r="S158" i="15"/>
  <c r="S207" i="15"/>
  <c r="S181" i="15"/>
  <c r="P180" i="15"/>
  <c r="Q180" i="15" s="1"/>
  <c r="R180" i="15" s="1"/>
  <c r="S163" i="15"/>
  <c r="R199" i="15"/>
  <c r="S168" i="15"/>
  <c r="T165" i="15"/>
  <c r="S186" i="15"/>
  <c r="T186" i="15" s="1"/>
  <c r="T564" i="11"/>
  <c r="U564" i="11" s="1"/>
  <c r="U619" i="11"/>
  <c r="V619" i="11" s="1"/>
  <c r="W619" i="11" s="1"/>
  <c r="U497" i="11"/>
  <c r="V497" i="11" s="1"/>
  <c r="W497" i="11" s="1"/>
  <c r="T250" i="14"/>
  <c r="U250" i="14" s="1"/>
  <c r="V250" i="14" s="1"/>
  <c r="W250" i="14" s="1"/>
  <c r="X250" i="14" s="1"/>
  <c r="Y250" i="14" s="1"/>
  <c r="Z250" i="14" s="1"/>
  <c r="AA250" i="14" s="1"/>
  <c r="U671" i="14"/>
  <c r="V671" i="14" s="1"/>
  <c r="T184" i="11"/>
  <c r="U184" i="11" s="1"/>
  <c r="V184" i="11" s="1"/>
  <c r="T454" i="14"/>
  <c r="U454" i="14" s="1"/>
  <c r="U435" i="14"/>
  <c r="V435" i="14" s="1"/>
  <c r="T695" i="11"/>
  <c r="U695" i="11" s="1"/>
  <c r="U153" i="11"/>
  <c r="V153" i="11" s="1"/>
  <c r="T169" i="11"/>
  <c r="U169" i="11" s="1"/>
  <c r="V169" i="11" s="1"/>
  <c r="W169" i="11" s="1"/>
  <c r="T672" i="14"/>
  <c r="U672" i="14" s="1"/>
  <c r="V672" i="14" s="1"/>
  <c r="W672" i="14" s="1"/>
  <c r="X672" i="14" s="1"/>
  <c r="T37" i="14"/>
  <c r="U37" i="14" s="1"/>
  <c r="V37" i="14" s="1"/>
  <c r="T382" i="14"/>
  <c r="U382" i="14" s="1"/>
  <c r="V382" i="14" s="1"/>
  <c r="W382" i="14" s="1"/>
  <c r="X382" i="14" s="1"/>
  <c r="Y382" i="14" s="1"/>
  <c r="Z382" i="14" s="1"/>
  <c r="AA382" i="14" s="1"/>
  <c r="T437" i="14"/>
  <c r="U437" i="14" s="1"/>
  <c r="V437" i="14" s="1"/>
  <c r="T95" i="14"/>
  <c r="U95" i="14" s="1"/>
  <c r="V95" i="14" s="1"/>
  <c r="T713" i="14"/>
  <c r="U713" i="14" s="1"/>
  <c r="T655" i="14"/>
  <c r="U655" i="14" s="1"/>
  <c r="U138" i="14"/>
  <c r="V138" i="14" s="1"/>
  <c r="W138" i="14" s="1"/>
  <c r="X138" i="14" s="1"/>
  <c r="U603" i="11"/>
  <c r="V603" i="11" s="1"/>
  <c r="W603" i="11" s="1"/>
  <c r="X603" i="11" s="1"/>
  <c r="Y603" i="11" s="1"/>
  <c r="Z603" i="11" s="1"/>
  <c r="T550" i="14"/>
  <c r="U550" i="14" s="1"/>
  <c r="V550" i="14" s="1"/>
  <c r="W550" i="14" s="1"/>
  <c r="T611" i="14"/>
  <c r="U611" i="14" s="1"/>
  <c r="V611" i="14" s="1"/>
  <c r="W611" i="14" s="1"/>
  <c r="X611" i="14" s="1"/>
  <c r="Y611" i="14" s="1"/>
  <c r="Z611" i="14" s="1"/>
  <c r="AA611" i="14" s="1"/>
  <c r="V356" i="11"/>
  <c r="W356" i="11" s="1"/>
  <c r="X356" i="11" s="1"/>
  <c r="U613" i="11"/>
  <c r="V613" i="11" s="1"/>
  <c r="U113" i="14"/>
  <c r="V113" i="14" s="1"/>
  <c r="W113" i="14" s="1"/>
  <c r="X113" i="14" s="1"/>
  <c r="V737" i="14"/>
  <c r="W737" i="14" s="1"/>
  <c r="T627" i="11"/>
  <c r="U627" i="11" s="1"/>
  <c r="V306" i="14"/>
  <c r="W306" i="14" s="1"/>
  <c r="X306" i="14" s="1"/>
  <c r="Y306" i="14" s="1"/>
  <c r="Z306" i="14" s="1"/>
  <c r="AA306" i="14" s="1"/>
  <c r="T113" i="11"/>
  <c r="U113" i="11" s="1"/>
  <c r="V641" i="14"/>
  <c r="W641" i="14" s="1"/>
  <c r="X641" i="14" s="1"/>
  <c r="Y641" i="14" s="1"/>
  <c r="Z641" i="14" s="1"/>
  <c r="AA641" i="14" s="1"/>
  <c r="V33" i="11"/>
  <c r="W33" i="11" s="1"/>
  <c r="V552" i="14"/>
  <c r="W552" i="14" s="1"/>
  <c r="X552" i="14" s="1"/>
  <c r="W48" i="14"/>
  <c r="X48" i="14" s="1"/>
  <c r="Y48" i="14" s="1"/>
  <c r="Z48" i="14" s="1"/>
  <c r="AA48" i="14" s="1"/>
  <c r="T515" i="14"/>
  <c r="U515" i="14" s="1"/>
  <c r="V82" i="14"/>
  <c r="W82" i="14" s="1"/>
  <c r="X82" i="14" s="1"/>
  <c r="Y82" i="14" s="1"/>
  <c r="T721" i="14"/>
  <c r="U721" i="14" s="1"/>
  <c r="V721" i="14" s="1"/>
  <c r="W721" i="14" s="1"/>
  <c r="X721" i="14" s="1"/>
  <c r="Y721" i="14" s="1"/>
  <c r="Z721" i="14" s="1"/>
  <c r="T44" i="14"/>
  <c r="U44" i="14" s="1"/>
  <c r="T533" i="14"/>
  <c r="U533" i="14" s="1"/>
  <c r="T114" i="14"/>
  <c r="U114" i="14" s="1"/>
  <c r="V114" i="14" s="1"/>
  <c r="T574" i="14"/>
  <c r="U574" i="14" s="1"/>
  <c r="U748" i="14"/>
  <c r="V748" i="14" s="1"/>
  <c r="W748" i="14" s="1"/>
  <c r="X748" i="14" s="1"/>
  <c r="Y748" i="14" s="1"/>
  <c r="Z748" i="14" s="1"/>
  <c r="AA748" i="14" s="1"/>
  <c r="U609" i="14"/>
  <c r="V609" i="14" s="1"/>
  <c r="W609" i="14" s="1"/>
  <c r="T607" i="11"/>
  <c r="U607" i="11" s="1"/>
  <c r="Z183" i="14"/>
  <c r="AA183" i="14" s="1"/>
  <c r="T463" i="14"/>
  <c r="U463" i="14" s="1"/>
  <c r="V463" i="14" s="1"/>
  <c r="W463" i="14" s="1"/>
  <c r="X463" i="14" s="1"/>
  <c r="Y463" i="14" s="1"/>
  <c r="Z463" i="14" s="1"/>
  <c r="AA463" i="14" s="1"/>
  <c r="U671" i="11"/>
  <c r="V671" i="11" s="1"/>
  <c r="W671" i="11" s="1"/>
  <c r="V708" i="11"/>
  <c r="W708" i="11" s="1"/>
  <c r="X708" i="11" s="1"/>
  <c r="U214" i="11"/>
  <c r="V214" i="11" s="1"/>
  <c r="T456" i="11"/>
  <c r="U456" i="11" s="1"/>
  <c r="V456" i="11" s="1"/>
  <c r="W456" i="11" s="1"/>
  <c r="V31" i="11"/>
  <c r="W31" i="11" s="1"/>
  <c r="X31" i="11" s="1"/>
  <c r="Y31" i="11" s="1"/>
  <c r="Z31" i="11" s="1"/>
  <c r="AA31" i="11" s="1"/>
  <c r="U532" i="14"/>
  <c r="V532" i="14" s="1"/>
  <c r="U504" i="11"/>
  <c r="V504" i="11" s="1"/>
  <c r="W504" i="11" s="1"/>
  <c r="X504" i="11" s="1"/>
  <c r="Y504" i="11" s="1"/>
  <c r="Z504" i="11" s="1"/>
  <c r="AA504" i="11" s="1"/>
  <c r="T39" i="14"/>
  <c r="U39" i="14" s="1"/>
  <c r="T765" i="14"/>
  <c r="Q102" i="14"/>
  <c r="S273" i="14"/>
  <c r="T273" i="14" s="1"/>
  <c r="Q311" i="14"/>
  <c r="R311" i="14" s="1"/>
  <c r="R244" i="14"/>
  <c r="S244" i="14" s="1"/>
  <c r="T244" i="14" s="1"/>
  <c r="U244" i="14" s="1"/>
  <c r="V244" i="14" s="1"/>
  <c r="W244" i="14" s="1"/>
  <c r="X244" i="14" s="1"/>
  <c r="Y244" i="14" s="1"/>
  <c r="Z244" i="14" s="1"/>
  <c r="R571" i="14"/>
  <c r="S571" i="14" s="1"/>
  <c r="T571" i="14" s="1"/>
  <c r="U571" i="14" s="1"/>
  <c r="V571" i="14" s="1"/>
  <c r="S93" i="14"/>
  <c r="T93" i="14" s="1"/>
  <c r="U93" i="14" s="1"/>
  <c r="V93" i="14" s="1"/>
  <c r="W93" i="14" s="1"/>
  <c r="R608" i="14"/>
  <c r="S608" i="14" s="1"/>
  <c r="R742" i="14"/>
  <c r="S742" i="14" s="1"/>
  <c r="R208" i="14"/>
  <c r="S208" i="14" s="1"/>
  <c r="Q233" i="14"/>
  <c r="R233" i="14" s="1"/>
  <c r="S233" i="14" s="1"/>
  <c r="S121" i="14"/>
  <c r="T121" i="14" s="1"/>
  <c r="U121" i="14" s="1"/>
  <c r="Q692" i="14"/>
  <c r="R692" i="14" s="1"/>
  <c r="R104" i="14"/>
  <c r="S104" i="14" s="1"/>
  <c r="R664" i="14"/>
  <c r="S664" i="14" s="1"/>
  <c r="T664" i="14" s="1"/>
  <c r="U664" i="14" s="1"/>
  <c r="S276" i="14"/>
  <c r="T276" i="14" s="1"/>
  <c r="U276" i="14" s="1"/>
  <c r="V276" i="14" s="1"/>
  <c r="W276" i="14" s="1"/>
  <c r="R163" i="14"/>
  <c r="S163" i="14" s="1"/>
  <c r="Q274" i="14"/>
  <c r="R274" i="14" s="1"/>
  <c r="S661" i="14"/>
  <c r="T661" i="14" s="1"/>
  <c r="U661" i="14" s="1"/>
  <c r="V661" i="14" s="1"/>
  <c r="Q285" i="14"/>
  <c r="R285" i="14" s="1"/>
  <c r="S285" i="14" s="1"/>
  <c r="R663" i="14"/>
  <c r="S663" i="14" s="1"/>
  <c r="R255" i="14"/>
  <c r="S255" i="14" s="1"/>
  <c r="T255" i="14" s="1"/>
  <c r="R80" i="14"/>
  <c r="S80" i="14" s="1"/>
  <c r="T80" i="14" s="1"/>
  <c r="Q423" i="14"/>
  <c r="R423" i="14" s="1"/>
  <c r="S423" i="14" s="1"/>
  <c r="T423" i="14" s="1"/>
  <c r="R214" i="14"/>
  <c r="S214" i="14" s="1"/>
  <c r="Q662" i="14"/>
  <c r="R662" i="14" s="1"/>
  <c r="T630" i="14"/>
  <c r="U630" i="14" s="1"/>
  <c r="T386" i="14"/>
  <c r="U386" i="14" s="1"/>
  <c r="R719" i="14"/>
  <c r="S719" i="14" s="1"/>
  <c r="T719" i="14" s="1"/>
  <c r="R686" i="14"/>
  <c r="S686" i="14" s="1"/>
  <c r="Q508" i="14"/>
  <c r="R508" i="14" s="1"/>
  <c r="S508" i="14" s="1"/>
  <c r="T508" i="14" s="1"/>
  <c r="U508" i="14" s="1"/>
  <c r="R557" i="14"/>
  <c r="S557" i="14" s="1"/>
  <c r="T557" i="14" s="1"/>
  <c r="R605" i="14"/>
  <c r="S605" i="14" s="1"/>
  <c r="Q588" i="14"/>
  <c r="R549" i="14"/>
  <c r="S549" i="14" s="1"/>
  <c r="S451" i="14"/>
  <c r="T451" i="14" s="1"/>
  <c r="S409" i="14"/>
  <c r="T409" i="14" s="1"/>
  <c r="R632" i="14"/>
  <c r="S632" i="14" s="1"/>
  <c r="T632" i="14" s="1"/>
  <c r="U632" i="14" s="1"/>
  <c r="R247" i="14"/>
  <c r="S247" i="14" s="1"/>
  <c r="R146" i="14"/>
  <c r="S146" i="14" s="1"/>
  <c r="T146" i="14" s="1"/>
  <c r="Q243" i="14"/>
  <c r="Q186" i="14"/>
  <c r="R186" i="14" s="1"/>
  <c r="S186" i="14" s="1"/>
  <c r="Q321" i="14"/>
  <c r="R321" i="14" s="1"/>
  <c r="R185" i="14"/>
  <c r="S185" i="14" s="1"/>
  <c r="R753" i="14"/>
  <c r="S753" i="14" s="1"/>
  <c r="T753" i="14" s="1"/>
  <c r="S768" i="14"/>
  <c r="T768" i="14" s="1"/>
  <c r="U768" i="14" s="1"/>
  <c r="V768" i="14" s="1"/>
  <c r="R445" i="14"/>
  <c r="S445" i="14" s="1"/>
  <c r="R191" i="14"/>
  <c r="S191" i="14" s="1"/>
  <c r="R366" i="14"/>
  <c r="S366" i="14" s="1"/>
  <c r="T366" i="14" s="1"/>
  <c r="R341" i="14"/>
  <c r="S341" i="14" s="1"/>
  <c r="T341" i="14" s="1"/>
  <c r="U341" i="14" s="1"/>
  <c r="V341" i="14" s="1"/>
  <c r="R759" i="14"/>
  <c r="S759" i="14" s="1"/>
  <c r="R523" i="14"/>
  <c r="S523" i="14" s="1"/>
  <c r="Q465" i="14"/>
  <c r="R465" i="14" s="1"/>
  <c r="S465" i="14" s="1"/>
  <c r="R724" i="14"/>
  <c r="S724" i="14" s="1"/>
  <c r="T724" i="14" s="1"/>
  <c r="R154" i="14"/>
  <c r="S154" i="14" s="1"/>
  <c r="R90" i="14"/>
  <c r="S90" i="14" s="1"/>
  <c r="Q518" i="14"/>
  <c r="R545" i="14"/>
  <c r="S545" i="14" s="1"/>
  <c r="Q691" i="14"/>
  <c r="R691" i="14" s="1"/>
  <c r="T439" i="14"/>
  <c r="U439" i="14" s="1"/>
  <c r="V439" i="14" s="1"/>
  <c r="W439" i="14" s="1"/>
  <c r="X439" i="14" s="1"/>
  <c r="Y439" i="14" s="1"/>
  <c r="Z439" i="14" s="1"/>
  <c r="AA439" i="14" s="1"/>
  <c r="R610" i="14"/>
  <c r="S610" i="14" s="1"/>
  <c r="T610" i="14" s="1"/>
  <c r="T397" i="14"/>
  <c r="U397" i="14" s="1"/>
  <c r="V397" i="14" s="1"/>
  <c r="R572" i="14"/>
  <c r="S572" i="14" s="1"/>
  <c r="T572" i="14" s="1"/>
  <c r="U572" i="14" s="1"/>
  <c r="Q504" i="14"/>
  <c r="Q720" i="14"/>
  <c r="R720" i="14" s="1"/>
  <c r="R773" i="14"/>
  <c r="S773" i="14" s="1"/>
  <c r="Q322" i="14"/>
  <c r="Q336" i="14"/>
  <c r="R336" i="14" s="1"/>
  <c r="S644" i="14"/>
  <c r="T644" i="14" s="1"/>
  <c r="Q511" i="14"/>
  <c r="R511" i="14" s="1"/>
  <c r="S511" i="14" s="1"/>
  <c r="T511" i="14" s="1"/>
  <c r="U511" i="14" s="1"/>
  <c r="V511" i="14" s="1"/>
  <c r="R470" i="14"/>
  <c r="S470" i="14" s="1"/>
  <c r="R340" i="14"/>
  <c r="S340" i="14" s="1"/>
  <c r="T340" i="14" s="1"/>
  <c r="U340" i="14" s="1"/>
  <c r="R307" i="14"/>
  <c r="S307" i="14" s="1"/>
  <c r="R404" i="14"/>
  <c r="S404" i="14" s="1"/>
  <c r="Q355" i="14"/>
  <c r="R355" i="14" s="1"/>
  <c r="Q449" i="14"/>
  <c r="R449" i="14" s="1"/>
  <c r="S449" i="14" s="1"/>
  <c r="R248" i="14"/>
  <c r="S248" i="14" s="1"/>
  <c r="T248" i="14" s="1"/>
  <c r="T384" i="11"/>
  <c r="U384" i="11" s="1"/>
  <c r="U10" i="14"/>
  <c r="V10" i="14" s="1"/>
  <c r="T543" i="11"/>
  <c r="U543" i="11" s="1"/>
  <c r="V96" i="14"/>
  <c r="W96" i="14" s="1"/>
  <c r="T159" i="11"/>
  <c r="U159" i="11" s="1"/>
  <c r="V159" i="11" s="1"/>
  <c r="W159" i="11" s="1"/>
  <c r="T37" i="11"/>
  <c r="U37" i="11" s="1"/>
  <c r="V37" i="11" s="1"/>
  <c r="T323" i="14"/>
  <c r="U323" i="14" s="1"/>
  <c r="V323" i="14" s="1"/>
  <c r="T468" i="11"/>
  <c r="U468" i="11" s="1"/>
  <c r="V468" i="11" s="1"/>
  <c r="W468" i="11" s="1"/>
  <c r="X468" i="11" s="1"/>
  <c r="U405" i="11"/>
  <c r="V405" i="11" s="1"/>
  <c r="W405" i="11" s="1"/>
  <c r="X405" i="11" s="1"/>
  <c r="T175" i="11"/>
  <c r="U175" i="11" s="1"/>
  <c r="V175" i="11" s="1"/>
  <c r="T179" i="11"/>
  <c r="U179" i="11" s="1"/>
  <c r="T282" i="11"/>
  <c r="U282" i="11" s="1"/>
  <c r="U49" i="14"/>
  <c r="V49" i="14" s="1"/>
  <c r="W49" i="14" s="1"/>
  <c r="X49" i="14" s="1"/>
  <c r="Y49" i="14" s="1"/>
  <c r="Z49" i="14" s="1"/>
  <c r="AA49" i="14" s="1"/>
  <c r="S681" i="14"/>
  <c r="T681" i="14" s="1"/>
  <c r="U106" i="14"/>
  <c r="V106" i="14" s="1"/>
  <c r="U473" i="14"/>
  <c r="V473" i="14" s="1"/>
  <c r="T46" i="11"/>
  <c r="U46" i="11" s="1"/>
  <c r="V46" i="11" s="1"/>
  <c r="U721" i="11"/>
  <c r="V721" i="11" s="1"/>
  <c r="W721" i="11" s="1"/>
  <c r="T761" i="14"/>
  <c r="U761" i="14" s="1"/>
  <c r="V761" i="14" s="1"/>
  <c r="V156" i="11"/>
  <c r="W156" i="11" s="1"/>
  <c r="X156" i="11" s="1"/>
  <c r="U55" i="11"/>
  <c r="V55" i="11" s="1"/>
  <c r="W55" i="11" s="1"/>
  <c r="U534" i="14"/>
  <c r="V534" i="14" s="1"/>
  <c r="W534" i="14" s="1"/>
  <c r="T624" i="11"/>
  <c r="U624" i="11" s="1"/>
  <c r="V624" i="11" s="1"/>
  <c r="W624" i="11" s="1"/>
  <c r="X624" i="11" s="1"/>
  <c r="Y624" i="11" s="1"/>
  <c r="Z624" i="11" s="1"/>
  <c r="V542" i="11"/>
  <c r="W542" i="11" s="1"/>
  <c r="X542" i="11" s="1"/>
  <c r="Y542" i="11" s="1"/>
  <c r="Z542" i="11" s="1"/>
  <c r="AA542" i="11" s="1"/>
  <c r="U760" i="14"/>
  <c r="V760" i="14" s="1"/>
  <c r="U62" i="11"/>
  <c r="V62" i="11" s="1"/>
  <c r="W62" i="11" s="1"/>
  <c r="T677" i="14"/>
  <c r="U677" i="14" s="1"/>
  <c r="U438" i="14"/>
  <c r="V438" i="14" s="1"/>
  <c r="W438" i="14" s="1"/>
  <c r="X438" i="14" s="1"/>
  <c r="Y438" i="14" s="1"/>
  <c r="Z438" i="14" s="1"/>
  <c r="W606" i="11"/>
  <c r="X606" i="11" s="1"/>
  <c r="Y606" i="11" s="1"/>
  <c r="T212" i="14"/>
  <c r="U212" i="14" s="1"/>
  <c r="V212" i="14" s="1"/>
  <c r="W212" i="14" s="1"/>
  <c r="U130" i="11"/>
  <c r="V130" i="11" s="1"/>
  <c r="W130" i="11" s="1"/>
  <c r="X130" i="11" s="1"/>
  <c r="T253" i="14"/>
  <c r="U587" i="11"/>
  <c r="V587" i="11" s="1"/>
  <c r="U297" i="14"/>
  <c r="V297" i="14" s="1"/>
  <c r="U583" i="14"/>
  <c r="V583" i="14" s="1"/>
  <c r="T576" i="14"/>
  <c r="U576" i="14" s="1"/>
  <c r="T496" i="14"/>
  <c r="U496" i="14" s="1"/>
  <c r="T94" i="14"/>
  <c r="U94" i="14" s="1"/>
  <c r="U356" i="14"/>
  <c r="V356" i="14" s="1"/>
  <c r="W356" i="14" s="1"/>
  <c r="X356" i="14" s="1"/>
  <c r="U172" i="11"/>
  <c r="V172" i="11" s="1"/>
  <c r="W172" i="11" s="1"/>
  <c r="U376" i="14"/>
  <c r="V376" i="14" s="1"/>
  <c r="S159" i="14"/>
  <c r="T159" i="14" s="1"/>
  <c r="T573" i="14"/>
  <c r="U573" i="14" s="1"/>
  <c r="V573" i="14" s="1"/>
  <c r="T635" i="14"/>
  <c r="U635" i="14" s="1"/>
  <c r="U594" i="11"/>
  <c r="V594" i="11" s="1"/>
  <c r="W594" i="11" s="1"/>
  <c r="X594" i="11" s="1"/>
  <c r="Y594" i="11" s="1"/>
  <c r="T413" i="11"/>
  <c r="U413" i="11" s="1"/>
  <c r="V413" i="11" s="1"/>
  <c r="W413" i="11" s="1"/>
  <c r="X413" i="11" s="1"/>
  <c r="T396" i="14"/>
  <c r="U396" i="14" s="1"/>
  <c r="V396" i="14" s="1"/>
  <c r="T516" i="14"/>
  <c r="U516" i="14" s="1"/>
  <c r="U415" i="14"/>
  <c r="T666" i="14"/>
  <c r="U666" i="14" s="1"/>
  <c r="T181" i="14"/>
  <c r="U181" i="14" s="1"/>
  <c r="U4" i="14"/>
  <c r="V4" i="14" s="1"/>
  <c r="W4" i="14" s="1"/>
  <c r="X4" i="14" s="1"/>
  <c r="Y4" i="14" s="1"/>
  <c r="U373" i="14"/>
  <c r="V373" i="14" s="1"/>
  <c r="W373" i="14" s="1"/>
  <c r="X373" i="14" s="1"/>
  <c r="Y373" i="14" s="1"/>
  <c r="Z373" i="14" s="1"/>
  <c r="T406" i="14"/>
  <c r="U406" i="14" s="1"/>
  <c r="T315" i="14"/>
  <c r="U315" i="14" s="1"/>
  <c r="V315" i="14" s="1"/>
  <c r="W315" i="14" s="1"/>
  <c r="X315" i="14" s="1"/>
  <c r="Y315" i="14" s="1"/>
  <c r="Z315" i="14" s="1"/>
  <c r="AA315" i="14" s="1"/>
  <c r="T434" i="14"/>
  <c r="U434" i="14" s="1"/>
  <c r="W622" i="14"/>
  <c r="X622" i="14" s="1"/>
  <c r="Y622" i="14" s="1"/>
  <c r="Z622" i="14" s="1"/>
  <c r="AA622" i="14" s="1"/>
  <c r="V71" i="14"/>
  <c r="X365" i="14"/>
  <c r="Y365" i="14" s="1"/>
  <c r="Z365" i="14" s="1"/>
  <c r="AA365" i="14" s="1"/>
  <c r="T266" i="14"/>
  <c r="U266" i="14" s="1"/>
  <c r="V266" i="14" s="1"/>
  <c r="U367" i="14"/>
  <c r="V367" i="14" s="1"/>
  <c r="W367" i="14" s="1"/>
  <c r="X367" i="14" s="1"/>
  <c r="Y367" i="14" s="1"/>
  <c r="Z367" i="14" s="1"/>
  <c r="AA367" i="14" s="1"/>
  <c r="V780" i="14"/>
  <c r="W780" i="14" s="1"/>
  <c r="X780" i="14" s="1"/>
  <c r="X327" i="14"/>
  <c r="Y327" i="14" s="1"/>
  <c r="Z327" i="14" s="1"/>
  <c r="AA327" i="14" s="1"/>
  <c r="U668" i="14"/>
  <c r="V668" i="14" s="1"/>
  <c r="W668" i="14" s="1"/>
  <c r="X668" i="14" s="1"/>
  <c r="Y668" i="14" s="1"/>
  <c r="V650" i="14"/>
  <c r="W650" i="14" s="1"/>
  <c r="T495" i="14"/>
  <c r="U495" i="14" s="1"/>
  <c r="U231" i="14"/>
  <c r="V231" i="14" s="1"/>
  <c r="U237" i="14"/>
  <c r="V237" i="14" s="1"/>
  <c r="V777" i="14"/>
  <c r="W600" i="14"/>
  <c r="X600" i="14" s="1"/>
  <c r="Y600" i="14" s="1"/>
  <c r="Z600" i="14" s="1"/>
  <c r="AA600" i="14" s="1"/>
  <c r="V411" i="14"/>
  <c r="W411" i="14" s="1"/>
  <c r="X411" i="14" s="1"/>
  <c r="Y411" i="14" s="1"/>
  <c r="Z411" i="14" s="1"/>
  <c r="V708" i="14"/>
  <c r="W708" i="14" s="1"/>
  <c r="X708" i="14" s="1"/>
  <c r="Y708" i="14" s="1"/>
  <c r="T127" i="14"/>
  <c r="U127" i="14" s="1"/>
  <c r="T325" i="14"/>
  <c r="U325" i="14" s="1"/>
  <c r="U466" i="14"/>
  <c r="V466" i="14" s="1"/>
  <c r="W466" i="14" s="1"/>
  <c r="X466" i="14" s="1"/>
  <c r="Y466" i="14" s="1"/>
  <c r="Z466" i="14" s="1"/>
  <c r="AA466" i="14" s="1"/>
  <c r="T33" i="14"/>
  <c r="U33" i="14" s="1"/>
  <c r="T475" i="14"/>
  <c r="U475" i="14" s="1"/>
  <c r="V475" i="14" s="1"/>
  <c r="S735" i="14"/>
  <c r="T735" i="14" s="1"/>
  <c r="U735" i="14" s="1"/>
  <c r="T705" i="14"/>
  <c r="U705" i="14" s="1"/>
  <c r="V705" i="14" s="1"/>
  <c r="T296" i="14"/>
  <c r="U296" i="14" s="1"/>
  <c r="S419" i="14"/>
  <c r="T419" i="14" s="1"/>
  <c r="S490" i="14"/>
  <c r="T490" i="14" s="1"/>
  <c r="T431" i="14"/>
  <c r="U431" i="14" s="1"/>
  <c r="V431" i="14" s="1"/>
  <c r="V240" i="14"/>
  <c r="V762" i="14"/>
  <c r="W762" i="14" s="1"/>
  <c r="X762" i="14" s="1"/>
  <c r="V634" i="14"/>
  <c r="W634" i="14" s="1"/>
  <c r="X634" i="14" s="1"/>
  <c r="U744" i="14"/>
  <c r="V744" i="14" s="1"/>
  <c r="T704" i="14"/>
  <c r="S754" i="14"/>
  <c r="T754" i="14" s="1"/>
  <c r="U754" i="14" s="1"/>
  <c r="S690" i="14"/>
  <c r="T690" i="14" s="1"/>
  <c r="T158" i="14"/>
  <c r="T646" i="14"/>
  <c r="U646" i="14" s="1"/>
  <c r="U168" i="14"/>
  <c r="V168" i="14" s="1"/>
  <c r="S784" i="14"/>
  <c r="T784" i="14" s="1"/>
  <c r="U784" i="14" s="1"/>
  <c r="V784" i="14" s="1"/>
  <c r="T359" i="14"/>
  <c r="U359" i="14" s="1"/>
  <c r="V359" i="14" s="1"/>
  <c r="T115" i="14"/>
  <c r="U115" i="14" s="1"/>
  <c r="T230" i="14"/>
  <c r="T410" i="14"/>
  <c r="S133" i="14"/>
  <c r="T220" i="14"/>
  <c r="U220" i="14" s="1"/>
  <c r="S379" i="14"/>
  <c r="T379" i="14" s="1"/>
  <c r="U379" i="14" s="1"/>
  <c r="S111" i="14"/>
  <c r="T111" i="14" s="1"/>
  <c r="U111" i="14" s="1"/>
  <c r="V111" i="14" s="1"/>
  <c r="T432" i="14"/>
  <c r="V41" i="14"/>
  <c r="W41" i="14" s="1"/>
  <c r="U602" i="14"/>
  <c r="V112" i="14"/>
  <c r="W112" i="14" s="1"/>
  <c r="X112" i="14" s="1"/>
  <c r="T92" i="14"/>
  <c r="U92" i="14" s="1"/>
  <c r="U587" i="14"/>
  <c r="V587" i="14" s="1"/>
  <c r="W587" i="14" s="1"/>
  <c r="U358" i="14"/>
  <c r="V358" i="14" s="1"/>
  <c r="W358" i="14" s="1"/>
  <c r="S400" i="14"/>
  <c r="T400" i="14" s="1"/>
  <c r="U400" i="14" s="1"/>
  <c r="S657" i="14"/>
  <c r="T657" i="14" s="1"/>
  <c r="U657" i="14" s="1"/>
  <c r="S256" i="14"/>
  <c r="T256" i="14" s="1"/>
  <c r="U256" i="14" s="1"/>
  <c r="V256" i="14" s="1"/>
  <c r="S580" i="14"/>
  <c r="S268" i="14"/>
  <c r="T268" i="14" s="1"/>
  <c r="V326" i="14"/>
  <c r="W326" i="14" s="1"/>
  <c r="S370" i="14"/>
  <c r="T370" i="14" s="1"/>
  <c r="T554" i="14"/>
  <c r="U554" i="14" s="1"/>
  <c r="V554" i="14" s="1"/>
  <c r="W554" i="14" s="1"/>
  <c r="T725" i="14"/>
  <c r="U725" i="14" s="1"/>
  <c r="V725" i="14" s="1"/>
  <c r="W725" i="14" s="1"/>
  <c r="T334" i="14"/>
  <c r="U334" i="14" s="1"/>
  <c r="V334" i="14" s="1"/>
  <c r="W334" i="14" s="1"/>
  <c r="T135" i="14"/>
  <c r="U135" i="14" s="1"/>
  <c r="V135" i="14" s="1"/>
  <c r="W135" i="14" s="1"/>
  <c r="U182" i="14"/>
  <c r="V182" i="14" s="1"/>
  <c r="T262" i="14"/>
  <c r="V786" i="14"/>
  <c r="W786" i="14" s="1"/>
  <c r="S738" i="14"/>
  <c r="T738" i="14" s="1"/>
  <c r="S555" i="14"/>
  <c r="T555" i="14" s="1"/>
  <c r="U555" i="14" s="1"/>
  <c r="T14" i="11"/>
  <c r="U14" i="11" s="1"/>
  <c r="U546" i="11"/>
  <c r="V546" i="11" s="1"/>
  <c r="W546" i="11" s="1"/>
  <c r="X546" i="11" s="1"/>
  <c r="U168" i="11"/>
  <c r="V168" i="11" s="1"/>
  <c r="T217" i="11"/>
  <c r="U217" i="11" s="1"/>
  <c r="V217" i="11" s="1"/>
  <c r="U710" i="11"/>
  <c r="V710" i="11" s="1"/>
  <c r="W710" i="11" s="1"/>
  <c r="X710" i="11" s="1"/>
  <c r="W642" i="14"/>
  <c r="X642" i="14" s="1"/>
  <c r="Y642" i="14" s="1"/>
  <c r="Z642" i="14" s="1"/>
  <c r="AA642" i="14" s="1"/>
  <c r="U342" i="14"/>
  <c r="V342" i="14" s="1"/>
  <c r="T70" i="14"/>
  <c r="U70" i="14" s="1"/>
  <c r="T245" i="14"/>
  <c r="U245" i="14" s="1"/>
  <c r="S59" i="14"/>
  <c r="T59" i="14" s="1"/>
  <c r="U170" i="14"/>
  <c r="V170" i="14" s="1"/>
  <c r="T494" i="14"/>
  <c r="U494" i="14" s="1"/>
  <c r="T598" i="14"/>
  <c r="V615" i="11"/>
  <c r="W615" i="11" s="1"/>
  <c r="T611" i="11"/>
  <c r="U611" i="11" s="1"/>
  <c r="S241" i="14"/>
  <c r="U601" i="14"/>
  <c r="V601" i="14" s="1"/>
  <c r="W601" i="14" s="1"/>
  <c r="U167" i="14"/>
  <c r="V167" i="14" s="1"/>
  <c r="R531" i="14"/>
  <c r="S531" i="14" s="1"/>
  <c r="S363" i="14"/>
  <c r="T363" i="14" s="1"/>
  <c r="T578" i="14"/>
  <c r="U578" i="14" s="1"/>
  <c r="V513" i="14"/>
  <c r="W513" i="14" s="1"/>
  <c r="U317" i="14"/>
  <c r="S126" i="14"/>
  <c r="T126" i="14" s="1"/>
  <c r="U318" i="14"/>
  <c r="S766" i="14"/>
  <c r="T86" i="14"/>
  <c r="T472" i="14"/>
  <c r="U472" i="14" s="1"/>
  <c r="V472" i="14" s="1"/>
  <c r="W472" i="14" s="1"/>
  <c r="T145" i="14"/>
  <c r="U145" i="14" s="1"/>
  <c r="U582" i="14"/>
  <c r="V582" i="14" s="1"/>
  <c r="S590" i="14"/>
  <c r="T590" i="14" s="1"/>
  <c r="U590" i="14" s="1"/>
  <c r="X653" i="14"/>
  <c r="Y653" i="14" s="1"/>
  <c r="Z653" i="14" s="1"/>
  <c r="AA653" i="14" s="1"/>
  <c r="U562" i="14"/>
  <c r="V562" i="14" s="1"/>
  <c r="V207" i="14"/>
  <c r="W207" i="14" s="1"/>
  <c r="X207" i="14" s="1"/>
  <c r="T24" i="14"/>
  <c r="V286" i="14"/>
  <c r="U423" i="11"/>
  <c r="V423" i="11" s="1"/>
  <c r="W423" i="11" s="1"/>
  <c r="X423" i="11" s="1"/>
  <c r="Y423" i="11" s="1"/>
  <c r="Z423" i="11" s="1"/>
  <c r="AA423" i="11" s="1"/>
  <c r="T90" i="11"/>
  <c r="U90" i="11" s="1"/>
  <c r="U98" i="11"/>
  <c r="V98" i="11" s="1"/>
  <c r="W98" i="11" s="1"/>
  <c r="X98" i="11" s="1"/>
  <c r="Y98" i="11" s="1"/>
  <c r="Z98" i="11" s="1"/>
  <c r="AA98" i="11" s="1"/>
  <c r="T639" i="11"/>
  <c r="U639" i="11" s="1"/>
  <c r="T241" i="11"/>
  <c r="U241" i="11" s="1"/>
  <c r="T393" i="14"/>
  <c r="U393" i="14" s="1"/>
  <c r="T645" i="14"/>
  <c r="U645" i="14" s="1"/>
  <c r="T621" i="14"/>
  <c r="U621" i="14" s="1"/>
  <c r="U613" i="14"/>
  <c r="V613" i="14" s="1"/>
  <c r="W613" i="14" s="1"/>
  <c r="V722" i="14"/>
  <c r="W722" i="14" s="1"/>
  <c r="X722" i="14" s="1"/>
  <c r="Y722" i="14" s="1"/>
  <c r="Z722" i="14" s="1"/>
  <c r="AA722" i="14" s="1"/>
  <c r="T728" i="14"/>
  <c r="U728" i="14" s="1"/>
  <c r="V728" i="14" s="1"/>
  <c r="W728" i="14" s="1"/>
  <c r="X728" i="14" s="1"/>
  <c r="Y728" i="14" s="1"/>
  <c r="Z728" i="14" s="1"/>
  <c r="AA728" i="14" s="1"/>
  <c r="V428" i="14"/>
  <c r="W428" i="14" s="1"/>
  <c r="X428" i="14" s="1"/>
  <c r="T769" i="14"/>
  <c r="U769" i="14" s="1"/>
  <c r="T53" i="14"/>
  <c r="U53" i="14" s="1"/>
  <c r="T673" i="14"/>
  <c r="T260" i="14"/>
  <c r="T98" i="14"/>
  <c r="U98" i="14" s="1"/>
  <c r="V98" i="14" s="1"/>
  <c r="U155" i="14"/>
  <c r="U165" i="14"/>
  <c r="R617" i="14"/>
  <c r="S617" i="14" s="1"/>
  <c r="T617" i="14" s="1"/>
  <c r="T745" i="11"/>
  <c r="U745" i="11" s="1"/>
  <c r="V745" i="11" s="1"/>
  <c r="U310" i="11"/>
  <c r="V310" i="11" s="1"/>
  <c r="W310" i="11" s="1"/>
  <c r="X310" i="11" s="1"/>
  <c r="Y310" i="11" s="1"/>
  <c r="U597" i="14"/>
  <c r="V597" i="14" s="1"/>
  <c r="V152" i="14"/>
  <c r="W152" i="14" s="1"/>
  <c r="X152" i="14" s="1"/>
  <c r="Y152" i="14" s="1"/>
  <c r="Z152" i="14" s="1"/>
  <c r="AA152" i="14" s="1"/>
  <c r="Y413" i="14"/>
  <c r="Z413" i="14" s="1"/>
  <c r="AA413" i="14" s="1"/>
  <c r="W626" i="14"/>
  <c r="X626" i="14" s="1"/>
  <c r="Y626" i="14" s="1"/>
  <c r="Z626" i="14" s="1"/>
  <c r="AA626" i="14" s="1"/>
  <c r="T485" i="14"/>
  <c r="U485" i="14" s="1"/>
  <c r="T556" i="14"/>
  <c r="U556" i="14" s="1"/>
  <c r="V556" i="14" s="1"/>
  <c r="S745" i="14"/>
  <c r="U483" i="14"/>
  <c r="V483" i="14" s="1"/>
  <c r="W483" i="14" s="1"/>
  <c r="V275" i="14"/>
  <c r="W275" i="14" s="1"/>
  <c r="T430" i="14"/>
  <c r="U430" i="14" s="1"/>
  <c r="T733" i="14"/>
  <c r="U733" i="14" s="1"/>
  <c r="S757" i="14"/>
  <c r="T757" i="14" s="1"/>
  <c r="U757" i="14" s="1"/>
  <c r="S304" i="14"/>
  <c r="S581" i="14"/>
  <c r="T581" i="14" s="1"/>
  <c r="V491" i="14"/>
  <c r="W491" i="14" s="1"/>
  <c r="X491" i="14" s="1"/>
  <c r="U60" i="14"/>
  <c r="V60" i="14" s="1"/>
  <c r="T563" i="14"/>
  <c r="U563" i="14" s="1"/>
  <c r="W693" i="14"/>
  <c r="X693" i="14" s="1"/>
  <c r="T752" i="14"/>
  <c r="U752" i="14" s="1"/>
  <c r="U229" i="14"/>
  <c r="T594" i="14"/>
  <c r="U594" i="14" s="1"/>
  <c r="V779" i="14"/>
  <c r="W779" i="14" s="1"/>
  <c r="X779" i="14" s="1"/>
  <c r="Y779" i="14" s="1"/>
  <c r="U649" i="14"/>
  <c r="V649" i="14" s="1"/>
  <c r="W649" i="14" s="1"/>
  <c r="X649" i="14" s="1"/>
  <c r="U743" i="14"/>
  <c r="V743" i="14" s="1"/>
  <c r="U219" i="14"/>
  <c r="V219" i="14" s="1"/>
  <c r="T546" i="14"/>
  <c r="U546" i="14" s="1"/>
  <c r="V546" i="14" s="1"/>
  <c r="W546" i="14" s="1"/>
  <c r="U116" i="14"/>
  <c r="V116" i="14" s="1"/>
  <c r="S706" i="14"/>
  <c r="T706" i="14" s="1"/>
  <c r="T499" i="14"/>
  <c r="S131" i="14"/>
  <c r="T131" i="14" s="1"/>
  <c r="S517" i="14"/>
  <c r="U184" i="14"/>
  <c r="U255" i="11"/>
  <c r="V255" i="11" s="1"/>
  <c r="W255" i="11" s="1"/>
  <c r="X255" i="11" s="1"/>
  <c r="W18" i="14"/>
  <c r="X18" i="14" s="1"/>
  <c r="Y18" i="14" s="1"/>
  <c r="V723" i="14"/>
  <c r="W723" i="14" s="1"/>
  <c r="X723" i="14" s="1"/>
  <c r="Y723" i="14" s="1"/>
  <c r="Z723" i="14" s="1"/>
  <c r="AA723" i="14" s="1"/>
  <c r="U764" i="14"/>
  <c r="V764" i="14" s="1"/>
  <c r="W764" i="14" s="1"/>
  <c r="R288" i="14"/>
  <c r="S288" i="14" s="1"/>
  <c r="T288" i="14" s="1"/>
  <c r="U288" i="14" s="1"/>
  <c r="V288" i="14" s="1"/>
  <c r="W288" i="14" s="1"/>
  <c r="X288" i="14" s="1"/>
  <c r="Y288" i="14" s="1"/>
  <c r="Z288" i="14" s="1"/>
  <c r="AA288" i="14" s="1"/>
  <c r="T270" i="14"/>
  <c r="U270" i="14" s="1"/>
  <c r="S703" i="14"/>
  <c r="T51" i="14"/>
  <c r="U51" i="14" s="1"/>
  <c r="T527" i="14"/>
  <c r="U527" i="14" s="1"/>
  <c r="V527" i="14" s="1"/>
  <c r="W527" i="14" s="1"/>
  <c r="X527" i="14" s="1"/>
  <c r="Y527" i="14" s="1"/>
  <c r="U206" i="14"/>
  <c r="V206" i="14" s="1"/>
  <c r="W206" i="14" s="1"/>
  <c r="T551" i="14"/>
  <c r="U551" i="14" s="1"/>
  <c r="V551" i="14" s="1"/>
  <c r="W551" i="14" s="1"/>
  <c r="X551" i="14" s="1"/>
  <c r="Y551" i="14" s="1"/>
  <c r="Z551" i="14" s="1"/>
  <c r="S238" i="14"/>
  <c r="R685" i="14"/>
  <c r="U700" i="14"/>
  <c r="V700" i="14" s="1"/>
  <c r="V665" i="14"/>
  <c r="W665" i="14" s="1"/>
  <c r="X665" i="14" s="1"/>
  <c r="Y665" i="14" s="1"/>
  <c r="Z665" i="14" s="1"/>
  <c r="AA665" i="14" s="1"/>
  <c r="U81" i="14"/>
  <c r="V81" i="14" s="1"/>
  <c r="V676" i="14"/>
  <c r="W676" i="14" s="1"/>
  <c r="X676" i="14" s="1"/>
  <c r="Y676" i="14" s="1"/>
  <c r="Z676" i="14" s="1"/>
  <c r="AA676" i="14" s="1"/>
  <c r="S659" i="14"/>
  <c r="T659" i="14" s="1"/>
  <c r="U776" i="14"/>
  <c r="V776" i="14" s="1"/>
  <c r="U42" i="14"/>
  <c r="V42" i="14" s="1"/>
  <c r="W42" i="14" s="1"/>
  <c r="X42" i="14" s="1"/>
  <c r="Y42" i="14" s="1"/>
  <c r="U26" i="14"/>
  <c r="V26" i="14" s="1"/>
  <c r="W26" i="14" s="1"/>
  <c r="X26" i="14" s="1"/>
  <c r="Y26" i="14" s="1"/>
  <c r="Z26" i="14" s="1"/>
  <c r="AA26" i="14" s="1"/>
  <c r="T453" i="14"/>
  <c r="U453" i="14" s="1"/>
  <c r="V453" i="14" s="1"/>
  <c r="W329" i="14"/>
  <c r="X329" i="14" s="1"/>
  <c r="Y329" i="14" s="1"/>
  <c r="Z329" i="14" s="1"/>
  <c r="AA329" i="14" s="1"/>
  <c r="U604" i="14"/>
  <c r="V604" i="14" s="1"/>
  <c r="W604" i="14" s="1"/>
  <c r="X604" i="14" s="1"/>
  <c r="Y604" i="14" s="1"/>
  <c r="Z604" i="14" s="1"/>
  <c r="AA604" i="14" s="1"/>
  <c r="U488" i="14"/>
  <c r="V488" i="14" s="1"/>
  <c r="W488" i="14" s="1"/>
  <c r="X488" i="14" s="1"/>
  <c r="Y488" i="14" s="1"/>
  <c r="Z488" i="14" s="1"/>
  <c r="AA488" i="14" s="1"/>
  <c r="V303" i="14"/>
  <c r="W303" i="14" s="1"/>
  <c r="X303" i="14" s="1"/>
  <c r="Y303" i="14" s="1"/>
  <c r="Z303" i="14" s="1"/>
  <c r="AA303" i="14" s="1"/>
  <c r="S553" i="14"/>
  <c r="T553" i="14" s="1"/>
  <c r="S385" i="14"/>
  <c r="T385" i="14" s="1"/>
  <c r="U385" i="14" s="1"/>
  <c r="V385" i="14" s="1"/>
  <c r="W385" i="14" s="1"/>
  <c r="X385" i="14" s="1"/>
  <c r="Y385" i="14" s="1"/>
  <c r="Z385" i="14" s="1"/>
  <c r="AA385" i="14" s="1"/>
  <c r="R788" i="14"/>
  <c r="S788" i="14" s="1"/>
  <c r="T788" i="14" s="1"/>
  <c r="S756" i="14"/>
  <c r="T756" i="14" s="1"/>
  <c r="R503" i="14"/>
  <c r="V361" i="14"/>
  <c r="V740" i="14"/>
  <c r="W740" i="14" s="1"/>
  <c r="S629" i="14"/>
  <c r="T629" i="14" s="1"/>
  <c r="U629" i="14" s="1"/>
  <c r="R377" i="14"/>
  <c r="S377" i="14" s="1"/>
  <c r="R289" i="14"/>
  <c r="S289" i="14" s="1"/>
  <c r="X568" i="14"/>
  <c r="Y568" i="14" s="1"/>
  <c r="Z568" i="14" s="1"/>
  <c r="AA568" i="14" s="1"/>
  <c r="S120" i="14"/>
  <c r="T120" i="14" s="1"/>
  <c r="U120" i="14" s="1"/>
  <c r="V120" i="14" s="1"/>
  <c r="S64" i="14"/>
  <c r="T64" i="14" s="1"/>
  <c r="V536" i="14"/>
  <c r="W536" i="14" s="1"/>
  <c r="R320" i="14"/>
  <c r="S320" i="14" s="1"/>
  <c r="R128" i="14"/>
  <c r="S128" i="14" s="1"/>
  <c r="R486" i="14"/>
  <c r="S486" i="14" s="1"/>
  <c r="S261" i="14"/>
  <c r="T261" i="14" s="1"/>
  <c r="V559" i="14"/>
  <c r="W559" i="14" s="1"/>
  <c r="W712" i="14"/>
  <c r="X712" i="14" s="1"/>
  <c r="U190" i="14"/>
  <c r="V190" i="14" s="1"/>
  <c r="T656" i="14"/>
  <c r="U656" i="14" s="1"/>
  <c r="T592" i="14"/>
  <c r="U592" i="14" s="1"/>
  <c r="V592" i="14" s="1"/>
  <c r="R492" i="14"/>
  <c r="S492" i="14" s="1"/>
  <c r="T619" i="14"/>
  <c r="T697" i="14"/>
  <c r="U697" i="14" s="1"/>
  <c r="S528" i="14"/>
  <c r="T383" i="14"/>
  <c r="U383" i="14" s="1"/>
  <c r="V383" i="14" s="1"/>
  <c r="S156" i="14"/>
  <c r="T156" i="14" s="1"/>
  <c r="T46" i="14"/>
  <c r="U46" i="14" s="1"/>
  <c r="V46" i="14" s="1"/>
  <c r="S45" i="14"/>
  <c r="T45" i="14" s="1"/>
  <c r="U45" i="14" s="1"/>
  <c r="V45" i="14" s="1"/>
  <c r="R505" i="14"/>
  <c r="Z205" i="14"/>
  <c r="AA205" i="14" s="1"/>
  <c r="S548" i="14"/>
  <c r="T548" i="14" s="1"/>
  <c r="U548" i="14" s="1"/>
  <c r="V548" i="14" s="1"/>
  <c r="W548" i="14" s="1"/>
  <c r="S732" i="14"/>
  <c r="T732" i="14" s="1"/>
  <c r="U732" i="14" s="1"/>
  <c r="R456" i="14"/>
  <c r="S337" i="14"/>
  <c r="S480" i="14"/>
  <c r="T480" i="14" s="1"/>
  <c r="W177" i="14"/>
  <c r="X177" i="14" s="1"/>
  <c r="Y177" i="14" s="1"/>
  <c r="Z177" i="14" s="1"/>
  <c r="AA177" i="14" s="1"/>
  <c r="R739" i="14"/>
  <c r="Z225" i="14"/>
  <c r="AA225" i="14" s="1"/>
  <c r="T763" i="14"/>
  <c r="U763" i="14" s="1"/>
  <c r="U683" i="14"/>
  <c r="U478" i="14"/>
  <c r="V478" i="14" s="1"/>
  <c r="S755" i="14"/>
  <c r="V440" i="14"/>
  <c r="W440" i="14" s="1"/>
  <c r="V176" i="14"/>
  <c r="W176" i="14" s="1"/>
  <c r="X176" i="14" s="1"/>
  <c r="Y176" i="14" s="1"/>
  <c r="S682" i="14"/>
  <c r="T682" i="14" s="1"/>
  <c r="S447" i="14"/>
  <c r="T447" i="14" s="1"/>
  <c r="U447" i="14" s="1"/>
  <c r="V447" i="14" s="1"/>
  <c r="U408" i="14"/>
  <c r="V408" i="14" s="1"/>
  <c r="W408" i="14" s="1"/>
  <c r="X408" i="14" s="1"/>
  <c r="Y408" i="14" s="1"/>
  <c r="Z408" i="14" s="1"/>
  <c r="AA408" i="14" s="1"/>
  <c r="T603" i="14"/>
  <c r="U603" i="14" s="1"/>
  <c r="R519" i="14"/>
  <c r="S519" i="14" s="1"/>
  <c r="T519" i="14" s="1"/>
  <c r="U519" i="14" s="1"/>
  <c r="W312" i="14"/>
  <c r="X312" i="14" s="1"/>
  <c r="Y312" i="14" s="1"/>
  <c r="Z312" i="14" s="1"/>
  <c r="AA312" i="14" s="1"/>
  <c r="T79" i="14"/>
  <c r="U79" i="14" s="1"/>
  <c r="S542" i="14"/>
  <c r="T278" i="14"/>
  <c r="S566" i="14"/>
  <c r="S775" i="14"/>
  <c r="T775" i="14" s="1"/>
  <c r="U775" i="14" s="1"/>
  <c r="V775" i="14" s="1"/>
  <c r="R484" i="14"/>
  <c r="S484" i="14" s="1"/>
  <c r="S391" i="14"/>
  <c r="U643" i="14"/>
  <c r="S424" i="14"/>
  <c r="T424" i="14" s="1"/>
  <c r="S157" i="14"/>
  <c r="T157" i="14" s="1"/>
  <c r="T124" i="14"/>
  <c r="U124" i="14" s="1"/>
  <c r="U228" i="14"/>
  <c r="V228" i="14" s="1"/>
  <c r="W228" i="14" s="1"/>
  <c r="S380" i="14"/>
  <c r="T380" i="14" s="1"/>
  <c r="R678" i="14"/>
  <c r="S579" i="14"/>
  <c r="T579" i="14" s="1"/>
  <c r="V442" i="14"/>
  <c r="W442" i="14" s="1"/>
  <c r="X442" i="14" s="1"/>
  <c r="Y442" i="14" s="1"/>
  <c r="U521" i="14"/>
  <c r="V521" i="14" s="1"/>
  <c r="R716" i="14"/>
  <c r="S161" i="14"/>
  <c r="T161" i="14" s="1"/>
  <c r="R50" i="14"/>
  <c r="S50" i="14" s="1"/>
  <c r="R560" i="14"/>
  <c r="S560" i="14" s="1"/>
  <c r="S448" i="14"/>
  <c r="T249" i="14"/>
  <c r="U249" i="14" s="1"/>
  <c r="T674" i="14"/>
  <c r="U674" i="14" s="1"/>
  <c r="V674" i="14" s="1"/>
  <c r="T32" i="14"/>
  <c r="U32" i="14" s="1"/>
  <c r="S142" i="14"/>
  <c r="T142" i="14" s="1"/>
  <c r="S625" i="14"/>
  <c r="T625" i="14" s="1"/>
  <c r="U625" i="14" s="1"/>
  <c r="S468" i="14"/>
  <c r="T468" i="14" s="1"/>
  <c r="R295" i="14"/>
  <c r="S295" i="14" s="1"/>
  <c r="T736" i="14"/>
  <c r="U736" i="14" s="1"/>
  <c r="S40" i="14"/>
  <c r="T40" i="14" s="1"/>
  <c r="S350" i="14"/>
  <c r="R78" i="14"/>
  <c r="S78" i="14" s="1"/>
  <c r="T78" i="14" s="1"/>
  <c r="S711" i="14"/>
  <c r="T711" i="14" s="1"/>
  <c r="U711" i="14" s="1"/>
  <c r="V711" i="14" s="1"/>
  <c r="W711" i="14" s="1"/>
  <c r="T360" i="14"/>
  <c r="U360" i="14" s="1"/>
  <c r="S446" i="14"/>
  <c r="T446" i="14" s="1"/>
  <c r="U446" i="14" s="1"/>
  <c r="V446" i="14" s="1"/>
  <c r="W446" i="14" s="1"/>
  <c r="X446" i="14" s="1"/>
  <c r="S421" i="14"/>
  <c r="T421" i="14" s="1"/>
  <c r="U421" i="14" s="1"/>
  <c r="V421" i="14" s="1"/>
  <c r="S618" i="14"/>
  <c r="T618" i="14" s="1"/>
  <c r="U618" i="14" s="1"/>
  <c r="S227" i="14"/>
  <c r="T227" i="14" s="1"/>
  <c r="U227" i="14" s="1"/>
  <c r="S381" i="14"/>
  <c r="T381" i="14" s="1"/>
  <c r="U381" i="14" s="1"/>
  <c r="U464" i="14"/>
  <c r="U169" i="14"/>
  <c r="V169" i="14" s="1"/>
  <c r="W169" i="14" s="1"/>
  <c r="R97" i="14"/>
  <c r="S97" i="14" s="1"/>
  <c r="T97" i="14" s="1"/>
  <c r="T585" i="14"/>
  <c r="U585" i="14" s="1"/>
  <c r="U778" i="14"/>
  <c r="T425" i="14"/>
  <c r="U425" i="14" s="1"/>
  <c r="V425" i="14" s="1"/>
  <c r="W425" i="14" s="1"/>
  <c r="X425" i="14" s="1"/>
  <c r="Y425" i="14" s="1"/>
  <c r="Z425" i="14" s="1"/>
  <c r="AA425" i="14" s="1"/>
  <c r="W217" i="14"/>
  <c r="X217" i="14" s="1"/>
  <c r="V771" i="14"/>
  <c r="S345" i="14"/>
  <c r="R257" i="14"/>
  <c r="S257" i="14" s="1"/>
  <c r="T520" i="14"/>
  <c r="U520" i="14" s="1"/>
  <c r="V520" i="14" s="1"/>
  <c r="V502" i="14"/>
  <c r="W502" i="14" s="1"/>
  <c r="X502" i="14" s="1"/>
  <c r="Y502" i="14" s="1"/>
  <c r="Z502" i="14" s="1"/>
  <c r="AA502" i="14" s="1"/>
  <c r="U699" i="14"/>
  <c r="V699" i="14" s="1"/>
  <c r="W699" i="14" s="1"/>
  <c r="X699" i="14" s="1"/>
  <c r="S357" i="14"/>
  <c r="T357" i="14" s="1"/>
  <c r="S189" i="14"/>
  <c r="T189" i="14" s="1"/>
  <c r="U189" i="14" s="1"/>
  <c r="S462" i="14"/>
  <c r="T462" i="14" s="1"/>
  <c r="T501" i="14"/>
  <c r="X294" i="14"/>
  <c r="Y294" i="14" s="1"/>
  <c r="U477" i="14"/>
  <c r="V477" i="14" s="1"/>
  <c r="W477" i="14" s="1"/>
  <c r="X477" i="14" s="1"/>
  <c r="T246" i="14"/>
  <c r="S429" i="14"/>
  <c r="T429" i="14" s="1"/>
  <c r="V300" i="14"/>
  <c r="W300" i="14" s="1"/>
  <c r="T567" i="14"/>
  <c r="U567" i="14" s="1"/>
  <c r="R236" i="14"/>
  <c r="R141" i="14"/>
  <c r="S164" i="14"/>
  <c r="T164" i="14" s="1"/>
  <c r="R14" i="14"/>
  <c r="T349" i="14"/>
  <c r="U349" i="14" s="1"/>
  <c r="U524" i="14"/>
  <c r="V524" i="14" s="1"/>
  <c r="W524" i="14" s="1"/>
  <c r="T148" i="14"/>
  <c r="U148" i="14" s="1"/>
  <c r="V481" i="14"/>
  <c r="W481" i="14" s="1"/>
  <c r="T265" i="14"/>
  <c r="U265" i="14" s="1"/>
  <c r="V265" i="14" s="1"/>
  <c r="W265" i="14" s="1"/>
  <c r="X265" i="14" s="1"/>
  <c r="V89" i="14"/>
  <c r="W89" i="14" s="1"/>
  <c r="X89" i="14" s="1"/>
  <c r="Y89" i="14" s="1"/>
  <c r="Z89" i="14" s="1"/>
  <c r="S667" i="14"/>
  <c r="S684" i="14"/>
  <c r="T417" i="14"/>
  <c r="U417" i="14" s="1"/>
  <c r="W561" i="14"/>
  <c r="X561" i="14" s="1"/>
  <c r="Y561" i="14" s="1"/>
  <c r="R193" i="14"/>
  <c r="T731" i="14"/>
  <c r="U731" i="14" s="1"/>
  <c r="V731" i="14" s="1"/>
  <c r="S569" i="14"/>
  <c r="S675" i="14"/>
  <c r="T675" i="14" s="1"/>
  <c r="T593" i="14"/>
  <c r="S506" i="14"/>
  <c r="S384" i="14"/>
  <c r="T384" i="14" s="1"/>
  <c r="U384" i="14" s="1"/>
  <c r="V384" i="14" s="1"/>
  <c r="V136" i="14"/>
  <c r="W136" i="14" s="1"/>
  <c r="S636" i="14"/>
  <c r="T636" i="14" s="1"/>
  <c r="S479" i="14"/>
  <c r="T280" i="14"/>
  <c r="U280" i="14" s="1"/>
  <c r="V280" i="14" s="1"/>
  <c r="W280" i="14" s="1"/>
  <c r="X280" i="14" s="1"/>
  <c r="Y280" i="14" s="1"/>
  <c r="U200" i="14"/>
  <c r="S730" i="14"/>
  <c r="R575" i="14"/>
  <c r="R88" i="14"/>
  <c r="S88" i="14" s="1"/>
  <c r="T88" i="14" s="1"/>
  <c r="U88" i="14" s="1"/>
  <c r="R343" i="14"/>
  <c r="S343" i="14" s="1"/>
  <c r="S414" i="14"/>
  <c r="T414" i="14" s="1"/>
  <c r="R110" i="14"/>
  <c r="S110" i="14" s="1"/>
  <c r="S790" i="14"/>
  <c r="T790" i="14" s="1"/>
  <c r="U790" i="14" s="1"/>
  <c r="S591" i="14"/>
  <c r="T591" i="14" s="1"/>
  <c r="T785" i="14"/>
  <c r="U785" i="14" s="1"/>
  <c r="V785" i="14" s="1"/>
  <c r="U62" i="14"/>
  <c r="V62" i="14" s="1"/>
  <c r="W62" i="14" s="1"/>
  <c r="S689" i="14"/>
  <c r="S271" i="14"/>
  <c r="U174" i="14"/>
  <c r="V174" i="14" s="1"/>
  <c r="S565" i="14"/>
  <c r="T565" i="14" s="1"/>
  <c r="U565" i="14" s="1"/>
  <c r="S269" i="14"/>
  <c r="T269" i="14" s="1"/>
  <c r="X72" i="14"/>
  <c r="Y72" i="14" s="1"/>
  <c r="Z72" i="14" s="1"/>
  <c r="AA72" i="14" s="1"/>
  <c r="T54" i="14"/>
  <c r="U54" i="14" s="1"/>
  <c r="V54" i="14" s="1"/>
  <c r="R117" i="14"/>
  <c r="S117" i="14" s="1"/>
  <c r="T117" i="14" s="1"/>
  <c r="S173" i="14"/>
  <c r="T173" i="14" s="1"/>
  <c r="U173" i="14" s="1"/>
  <c r="S166" i="14"/>
  <c r="T166" i="14" s="1"/>
  <c r="U166" i="14" s="1"/>
  <c r="S333" i="14"/>
  <c r="T333" i="14" s="1"/>
  <c r="V324" i="14"/>
  <c r="W324" i="14" s="1"/>
  <c r="X324" i="14" s="1"/>
  <c r="Y324" i="14" s="1"/>
  <c r="Z324" i="14" s="1"/>
  <c r="AA324" i="14" s="1"/>
  <c r="U782" i="14"/>
  <c r="V782" i="14" s="1"/>
  <c r="W279" i="14"/>
  <c r="X279" i="14" s="1"/>
  <c r="Y279" i="14" s="1"/>
  <c r="Z279" i="14" s="1"/>
  <c r="AA279" i="14" s="1"/>
  <c r="T387" i="14"/>
  <c r="U387" i="14" s="1"/>
  <c r="S125" i="14"/>
  <c r="T232" i="14"/>
  <c r="T537" i="14"/>
  <c r="U537" i="14" s="1"/>
  <c r="U401" i="14"/>
  <c r="V129" i="14"/>
  <c r="W129" i="14" s="1"/>
  <c r="X129" i="14" s="1"/>
  <c r="V305" i="14"/>
  <c r="W305" i="14" s="1"/>
  <c r="X305" i="14" s="1"/>
  <c r="V57" i="14"/>
  <c r="W57" i="14" s="1"/>
  <c r="X57" i="14" s="1"/>
  <c r="Y57" i="14" s="1"/>
  <c r="Z57" i="14" s="1"/>
  <c r="AA57" i="14" s="1"/>
  <c r="T224" i="14"/>
  <c r="U224" i="14" s="1"/>
  <c r="S416" i="14"/>
  <c r="S272" i="14"/>
  <c r="U707" i="14"/>
  <c r="V707" i="14" s="1"/>
  <c r="W707" i="14" s="1"/>
  <c r="X707" i="14" s="1"/>
  <c r="U471" i="14"/>
  <c r="R192" i="14"/>
  <c r="S56" i="14"/>
  <c r="T660" i="14"/>
  <c r="S487" i="14"/>
  <c r="T487" i="14" s="1"/>
  <c r="U487" i="14" s="1"/>
  <c r="V487" i="14" s="1"/>
  <c r="T368" i="14"/>
  <c r="U368" i="14" s="1"/>
  <c r="V368" i="14" s="1"/>
  <c r="W368" i="14" s="1"/>
  <c r="S160" i="14"/>
  <c r="T160" i="14" s="1"/>
  <c r="S658" i="14"/>
  <c r="R543" i="14"/>
  <c r="S543" i="14" s="1"/>
  <c r="T543" i="14" s="1"/>
  <c r="S143" i="14"/>
  <c r="T143" i="14" s="1"/>
  <c r="S309" i="14"/>
  <c r="U541" i="14"/>
  <c r="V541" i="14" s="1"/>
  <c r="W541" i="14" s="1"/>
  <c r="X541" i="14" s="1"/>
  <c r="Y541" i="14" s="1"/>
  <c r="Z541" i="14" s="1"/>
  <c r="U698" i="14"/>
  <c r="V698" i="14" s="1"/>
  <c r="S222" i="14"/>
  <c r="T222" i="14" s="1"/>
  <c r="U222" i="14" s="1"/>
  <c r="V222" i="14" s="1"/>
  <c r="W222" i="14" s="1"/>
  <c r="T688" i="14"/>
  <c r="U688" i="14" s="1"/>
  <c r="S509" i="14"/>
  <c r="T509" i="14" s="1"/>
  <c r="V399" i="14"/>
  <c r="W399" i="14" s="1"/>
  <c r="X399" i="14" s="1"/>
  <c r="Y399" i="14" s="1"/>
  <c r="Z399" i="14" s="1"/>
  <c r="AA399" i="14" s="1"/>
  <c r="R319" i="14"/>
  <c r="S558" i="14"/>
  <c r="T558" i="14" s="1"/>
  <c r="T525" i="14"/>
  <c r="U525" i="14" s="1"/>
  <c r="T392" i="14"/>
  <c r="T607" i="14"/>
  <c r="U607" i="14" s="1"/>
  <c r="T687" i="14"/>
  <c r="U687" i="14" s="1"/>
  <c r="V687" i="14" s="1"/>
  <c r="W687" i="14" s="1"/>
  <c r="S211" i="14"/>
  <c r="T211" i="14" s="1"/>
  <c r="S577" i="14"/>
  <c r="T620" i="14"/>
  <c r="U620" i="14" s="1"/>
  <c r="T529" i="14"/>
  <c r="U529" i="14" s="1"/>
  <c r="V529" i="14" s="1"/>
  <c r="R201" i="14"/>
  <c r="S105" i="14"/>
  <c r="T105" i="14" s="1"/>
  <c r="U105" i="14" s="1"/>
  <c r="S651" i="14"/>
  <c r="S264" i="14"/>
  <c r="T264" i="14" s="1"/>
  <c r="S144" i="14"/>
  <c r="S535" i="14"/>
  <c r="S216" i="14"/>
  <c r="T216" i="14" s="1"/>
  <c r="U216" i="14" s="1"/>
  <c r="T746" i="14"/>
  <c r="T137" i="14"/>
  <c r="S455" i="14"/>
  <c r="S175" i="14"/>
  <c r="T175" i="14" s="1"/>
  <c r="T680" i="14"/>
  <c r="T87" i="14"/>
  <c r="U87" i="14" s="1"/>
  <c r="V87" i="14" s="1"/>
  <c r="W87" i="14" s="1"/>
  <c r="T310" i="14"/>
  <c r="U310" i="14" s="1"/>
  <c r="S150" i="14"/>
  <c r="T150" i="14" s="1"/>
  <c r="S197" i="14"/>
  <c r="T197" i="14" s="1"/>
  <c r="U197" i="14" s="1"/>
  <c r="V197" i="14" s="1"/>
  <c r="W197" i="14" s="1"/>
  <c r="S729" i="14"/>
  <c r="T729" i="14" s="1"/>
  <c r="U7" i="14"/>
  <c r="R375" i="14"/>
  <c r="S460" i="14"/>
  <c r="T460" i="14" s="1"/>
  <c r="U460" i="14" s="1"/>
  <c r="S209" i="14"/>
  <c r="T209" i="14" s="1"/>
  <c r="T369" i="14"/>
  <c r="U369" i="14" s="1"/>
  <c r="U153" i="14"/>
  <c r="V153" i="14" s="1"/>
  <c r="W153" i="14" s="1"/>
  <c r="X153" i="14" s="1"/>
  <c r="T34" i="14"/>
  <c r="T512" i="14"/>
  <c r="U512" i="14" s="1"/>
  <c r="V512" i="14" s="1"/>
  <c r="X313" i="14"/>
  <c r="Y313" i="14" s="1"/>
  <c r="Z313" i="14" s="1"/>
  <c r="AA313" i="14" s="1"/>
  <c r="R714" i="14"/>
  <c r="Y628" i="14"/>
  <c r="Z628" i="14" s="1"/>
  <c r="AA628" i="14" s="1"/>
  <c r="S544" i="14"/>
  <c r="S25" i="14"/>
  <c r="W407" i="14"/>
  <c r="X407" i="14" s="1"/>
  <c r="W73" i="14"/>
  <c r="X73" i="14" s="1"/>
  <c r="Y73" i="14" s="1"/>
  <c r="Z73" i="14" s="1"/>
  <c r="AA73" i="14" s="1"/>
  <c r="T584" i="14"/>
  <c r="S627" i="14"/>
  <c r="T627" i="14" s="1"/>
  <c r="U627" i="14" s="1"/>
  <c r="V510" i="14"/>
  <c r="W510" i="14" s="1"/>
  <c r="S374" i="14"/>
  <c r="T374" i="14" s="1"/>
  <c r="T119" i="14"/>
  <c r="S15" i="14"/>
  <c r="T15" i="14" s="1"/>
  <c r="S198" i="14"/>
  <c r="T198" i="14" s="1"/>
  <c r="U612" i="14"/>
  <c r="V612" i="14" s="1"/>
  <c r="W612" i="14" s="1"/>
  <c r="S199" i="14"/>
  <c r="T199" i="14" s="1"/>
  <c r="S493" i="14"/>
  <c r="T493" i="14" s="1"/>
  <c r="S390" i="14"/>
  <c r="T390" i="14" s="1"/>
  <c r="T389" i="14"/>
  <c r="U389" i="14" s="1"/>
  <c r="S351" i="14"/>
  <c r="T351" i="14" s="1"/>
  <c r="R302" i="14"/>
  <c r="S302" i="14" s="1"/>
  <c r="T23" i="14"/>
  <c r="T151" i="14"/>
  <c r="U151" i="14" s="1"/>
  <c r="V151" i="14" s="1"/>
  <c r="T500" i="14"/>
  <c r="S293" i="14"/>
  <c r="T293" i="14" s="1"/>
  <c r="R85" i="14"/>
  <c r="S718" i="14"/>
  <c r="T718" i="14" s="1"/>
  <c r="U718" i="14" s="1"/>
  <c r="T751" i="14"/>
  <c r="U751" i="14" s="1"/>
  <c r="R412" i="14"/>
  <c r="S412" i="14" s="1"/>
  <c r="W331" i="14"/>
  <c r="X331" i="14" s="1"/>
  <c r="Y331" i="14" s="1"/>
  <c r="U727" i="14"/>
  <c r="V727" i="14" s="1"/>
  <c r="W727" i="14" s="1"/>
  <c r="X727" i="14" s="1"/>
  <c r="S458" i="14"/>
  <c r="T458" i="14" s="1"/>
  <c r="U458" i="14" s="1"/>
  <c r="V458" i="14" s="1"/>
  <c r="S652" i="14"/>
  <c r="T652" i="14" s="1"/>
  <c r="U652" i="14" s="1"/>
  <c r="V652" i="14" s="1"/>
  <c r="R335" i="14"/>
  <c r="S335" i="14" s="1"/>
  <c r="T633" i="14"/>
  <c r="U633" i="14" s="1"/>
  <c r="V633" i="14" s="1"/>
  <c r="W633" i="14" s="1"/>
  <c r="X633" i="14" s="1"/>
  <c r="Y633" i="14" s="1"/>
  <c r="Z633" i="14" s="1"/>
  <c r="AA633" i="14" s="1"/>
  <c r="U476" i="14"/>
  <c r="V476" i="14" s="1"/>
  <c r="W476" i="14" s="1"/>
  <c r="R287" i="14"/>
  <c r="S767" i="14"/>
  <c r="T767" i="14" s="1"/>
  <c r="U767" i="14" s="1"/>
  <c r="V767" i="14" s="1"/>
  <c r="T444" i="14"/>
  <c r="R783" i="14"/>
  <c r="S679" i="14"/>
  <c r="T679" i="14" s="1"/>
  <c r="S284" i="14"/>
  <c r="T284" i="14" s="1"/>
  <c r="U284" i="14" s="1"/>
  <c r="V284" i="14" s="1"/>
  <c r="W284" i="14" s="1"/>
  <c r="X284" i="14" s="1"/>
  <c r="S539" i="14"/>
  <c r="T539" i="14" s="1"/>
  <c r="U539" i="14" s="1"/>
  <c r="S195" i="14"/>
  <c r="T195" i="14" s="1"/>
  <c r="V16" i="14"/>
  <c r="W16" i="14" s="1"/>
  <c r="U254" i="14"/>
  <c r="S695" i="14"/>
  <c r="T695" i="14" s="1"/>
  <c r="R388" i="14"/>
  <c r="S388" i="14" s="1"/>
  <c r="S77" i="14"/>
  <c r="T734" i="14"/>
  <c r="U734" i="14" s="1"/>
  <c r="V734" i="14" s="1"/>
  <c r="R267" i="14"/>
  <c r="S267" i="14" s="1"/>
  <c r="T267" i="14" s="1"/>
  <c r="V371" i="14"/>
  <c r="S586" i="14"/>
  <c r="R498" i="14"/>
  <c r="R83" i="14"/>
  <c r="T338" i="14"/>
  <c r="U338" i="14" s="1"/>
  <c r="V338" i="14" s="1"/>
  <c r="R547" i="14"/>
  <c r="S717" i="14"/>
  <c r="T717" i="14" s="1"/>
  <c r="U717" i="14" s="1"/>
  <c r="V717" i="14" s="1"/>
  <c r="T489" i="14"/>
  <c r="U489" i="14" s="1"/>
  <c r="V489" i="14" s="1"/>
  <c r="W489" i="14" s="1"/>
  <c r="X489" i="14" s="1"/>
  <c r="Y489" i="14" s="1"/>
  <c r="Z489" i="14" s="1"/>
  <c r="AA489" i="14" s="1"/>
  <c r="T162" i="14"/>
  <c r="U162" i="14" s="1"/>
  <c r="T74" i="14"/>
  <c r="U74" i="14" s="1"/>
  <c r="U132" i="14"/>
  <c r="V132" i="14" s="1"/>
  <c r="W132" i="14" s="1"/>
  <c r="T66" i="14"/>
  <c r="U66" i="14" s="1"/>
  <c r="S570" i="14"/>
  <c r="T570" i="14" s="1"/>
  <c r="U570" i="14" s="1"/>
  <c r="S251" i="14"/>
  <c r="T251" i="14" s="1"/>
  <c r="U251" i="14" s="1"/>
  <c r="S215" i="14"/>
  <c r="T215" i="14" s="1"/>
  <c r="T29" i="14"/>
  <c r="U29" i="14" s="1"/>
  <c r="V29" i="14" s="1"/>
  <c r="W29" i="14" s="1"/>
  <c r="X29" i="14" s="1"/>
  <c r="Y29" i="14" s="1"/>
  <c r="Z29" i="14" s="1"/>
  <c r="AA29" i="14" s="1"/>
  <c r="S726" i="14"/>
  <c r="T474" i="14"/>
  <c r="U474" i="14" s="1"/>
  <c r="U252" i="14"/>
  <c r="V252" i="14" s="1"/>
  <c r="W252" i="14" s="1"/>
  <c r="T140" i="14"/>
  <c r="U140" i="14" s="1"/>
  <c r="V140" i="14" s="1"/>
  <c r="S221" i="14"/>
  <c r="S314" i="14"/>
  <c r="T314" i="14" s="1"/>
  <c r="V58" i="14"/>
  <c r="W58" i="14" s="1"/>
  <c r="X58" i="14" s="1"/>
  <c r="Y58" i="14" s="1"/>
  <c r="Z58" i="14" s="1"/>
  <c r="AA58" i="14" s="1"/>
  <c r="S354" i="14"/>
  <c r="U242" i="14"/>
  <c r="V242" i="14" s="1"/>
  <c r="W242" i="14" s="1"/>
  <c r="X242" i="14" s="1"/>
  <c r="Y242" i="14" s="1"/>
  <c r="U589" i="14"/>
  <c r="V589" i="14" s="1"/>
  <c r="S91" i="14"/>
  <c r="T91" i="14" s="1"/>
  <c r="R101" i="14"/>
  <c r="S101" i="14" s="1"/>
  <c r="T263" i="14"/>
  <c r="U263" i="14" s="1"/>
  <c r="R38" i="14"/>
  <c r="S38" i="14" s="1"/>
  <c r="T38" i="14" s="1"/>
  <c r="U38" i="14" s="1"/>
  <c r="V38" i="14" s="1"/>
  <c r="R213" i="14"/>
  <c r="S213" i="14" s="1"/>
  <c r="T213" i="14" s="1"/>
  <c r="U213" i="14" s="1"/>
  <c r="T52" i="14"/>
  <c r="U52" i="14" s="1"/>
  <c r="T640" i="14"/>
  <c r="S507" i="14"/>
  <c r="T372" i="14"/>
  <c r="R348" i="14"/>
  <c r="S348" i="14" s="1"/>
  <c r="S235" i="14"/>
  <c r="T235" i="14" s="1"/>
  <c r="U235" i="14" s="1"/>
  <c r="S13" i="14"/>
  <c r="T13" i="14" s="1"/>
  <c r="U564" i="14"/>
  <c r="V564" i="14" s="1"/>
  <c r="S647" i="14"/>
  <c r="T647" i="14" s="1"/>
  <c r="U283" i="14"/>
  <c r="V283" i="14" s="1"/>
  <c r="W283" i="14" s="1"/>
  <c r="X283" i="14" s="1"/>
  <c r="Y283" i="14" s="1"/>
  <c r="Z283" i="14" s="1"/>
  <c r="AA283" i="14" s="1"/>
  <c r="S316" i="14"/>
  <c r="T316" i="14" s="1"/>
  <c r="U316" i="14" s="1"/>
  <c r="S615" i="14"/>
  <c r="R234" i="14"/>
  <c r="T178" i="14"/>
  <c r="U178" i="14" s="1"/>
  <c r="S130" i="14"/>
  <c r="V43" i="14"/>
  <c r="T298" i="14"/>
  <c r="S20" i="14"/>
  <c r="T20" i="14" s="1"/>
  <c r="V12" i="14"/>
  <c r="W12" i="14" s="1"/>
  <c r="X12" i="14" s="1"/>
  <c r="Y12" i="14" s="1"/>
  <c r="R30" i="14"/>
  <c r="U616" i="14"/>
  <c r="V616" i="14" s="1"/>
  <c r="U599" i="14"/>
  <c r="V599" i="14" s="1"/>
  <c r="W599" i="14" s="1"/>
  <c r="X599" i="14" s="1"/>
  <c r="S108" i="14"/>
  <c r="S450" i="14"/>
  <c r="T450" i="14" s="1"/>
  <c r="V118" i="14"/>
  <c r="W118" i="14" s="1"/>
  <c r="X118" i="14" s="1"/>
  <c r="Y118" i="14" s="1"/>
  <c r="Z118" i="14" s="1"/>
  <c r="AA118" i="14" s="1"/>
  <c r="R654" i="14"/>
  <c r="X750" i="14"/>
  <c r="Y750" i="14" s="1"/>
  <c r="T259" i="14"/>
  <c r="U259" i="14" s="1"/>
  <c r="V259" i="14" s="1"/>
  <c r="U461" i="14"/>
  <c r="V461" i="14" s="1"/>
  <c r="S149" i="14"/>
  <c r="R403" i="14"/>
  <c r="S395" i="14"/>
  <c r="S741" i="14"/>
  <c r="V339" i="14"/>
  <c r="W339" i="14" s="1"/>
  <c r="X339" i="14" s="1"/>
  <c r="R67" i="14"/>
  <c r="R180" i="14"/>
  <c r="T436" i="14"/>
  <c r="U436" i="14" s="1"/>
  <c r="T694" i="14"/>
  <c r="U694" i="14" s="1"/>
  <c r="U3" i="14"/>
  <c r="S282" i="14"/>
  <c r="T282" i="14" s="1"/>
  <c r="U282" i="14" s="1"/>
  <c r="V282" i="14" s="1"/>
  <c r="W282" i="14" s="1"/>
  <c r="X282" i="14" s="1"/>
  <c r="Y282" i="14" s="1"/>
  <c r="Z282" i="14" s="1"/>
  <c r="AA282" i="14" s="1"/>
  <c r="T55" i="14"/>
  <c r="R638" i="14"/>
  <c r="S638" i="14" s="1"/>
  <c r="U538" i="14"/>
  <c r="S426" i="14"/>
  <c r="T426" i="14" s="1"/>
  <c r="U426" i="14" s="1"/>
  <c r="T330" i="14"/>
  <c r="U218" i="14"/>
  <c r="V218" i="14" s="1"/>
  <c r="W218" i="14" s="1"/>
  <c r="X218" i="14" s="1"/>
  <c r="U122" i="14"/>
  <c r="T35" i="14"/>
  <c r="S749" i="14"/>
  <c r="R239" i="14"/>
  <c r="S443" i="14"/>
  <c r="T443" i="14" s="1"/>
  <c r="U443" i="14" s="1"/>
  <c r="V443" i="14" s="1"/>
  <c r="W443" i="14" s="1"/>
  <c r="U332" i="14"/>
  <c r="V332" i="14" s="1"/>
  <c r="T204" i="14"/>
  <c r="W99" i="14"/>
  <c r="R639" i="14"/>
  <c r="S123" i="14"/>
  <c r="W76" i="14"/>
  <c r="X76" i="14" s="1"/>
  <c r="Y76" i="14" s="1"/>
  <c r="Z76" i="14" s="1"/>
  <c r="AA76" i="14" s="1"/>
  <c r="R420" i="14"/>
  <c r="S188" i="14"/>
  <c r="T188" i="14" s="1"/>
  <c r="T482" i="14"/>
  <c r="U482" i="14" s="1"/>
  <c r="V482" i="14" s="1"/>
  <c r="W482" i="14" s="1"/>
  <c r="X482" i="14" s="1"/>
  <c r="Y482" i="14" s="1"/>
  <c r="Z482" i="14" s="1"/>
  <c r="U291" i="14"/>
  <c r="T758" i="14"/>
  <c r="S631" i="14"/>
  <c r="T631" i="14" s="1"/>
  <c r="T258" i="14"/>
  <c r="U258" i="14" s="1"/>
  <c r="V623" i="14"/>
  <c r="W623" i="14" s="1"/>
  <c r="X623" i="14" s="1"/>
  <c r="R514" i="14"/>
  <c r="R139" i="14"/>
  <c r="R789" i="14"/>
  <c r="S789" i="14" s="1"/>
  <c r="T789" i="14" s="1"/>
  <c r="V530" i="14"/>
  <c r="U418" i="14"/>
  <c r="U210" i="14"/>
  <c r="V210" i="14" s="1"/>
  <c r="W210" i="14" s="1"/>
  <c r="X210" i="14" s="1"/>
  <c r="Y210" i="14" s="1"/>
  <c r="V27" i="14"/>
  <c r="W27" i="14" s="1"/>
  <c r="X27" i="14" s="1"/>
  <c r="Y27" i="14" s="1"/>
  <c r="Z27" i="14" s="1"/>
  <c r="R362" i="14"/>
  <c r="S308" i="14"/>
  <c r="V109" i="14"/>
  <c r="R701" i="14"/>
  <c r="U402" i="14"/>
  <c r="V402" i="14" s="1"/>
  <c r="S107" i="14"/>
  <c r="T107" i="14" s="1"/>
  <c r="U107" i="14" s="1"/>
  <c r="R203" i="14"/>
  <c r="S147" i="14"/>
  <c r="T19" i="14"/>
  <c r="S21" i="14"/>
  <c r="T21" i="14" s="1"/>
  <c r="S774" i="14"/>
  <c r="U187" i="14"/>
  <c r="V187" i="14" s="1"/>
  <c r="W187" i="14" s="1"/>
  <c r="X187" i="14" s="1"/>
  <c r="Y187" i="14" s="1"/>
  <c r="Z187" i="14" s="1"/>
  <c r="AA187" i="14" s="1"/>
  <c r="W469" i="14"/>
  <c r="X469" i="14" s="1"/>
  <c r="S405" i="14"/>
  <c r="T405" i="14" s="1"/>
  <c r="U405" i="14" s="1"/>
  <c r="V405" i="14" s="1"/>
  <c r="U710" i="14"/>
  <c r="V710" i="14" s="1"/>
  <c r="W710" i="14" s="1"/>
  <c r="X710" i="14" s="1"/>
  <c r="Y710" i="14" s="1"/>
  <c r="Z710" i="14" s="1"/>
  <c r="AA710" i="14" s="1"/>
  <c r="R292" i="14"/>
  <c r="R172" i="14"/>
  <c r="R347" i="14"/>
  <c r="T624" i="14"/>
  <c r="R702" i="14"/>
  <c r="R22" i="14"/>
  <c r="T467" i="14"/>
  <c r="U467" i="14" s="1"/>
  <c r="R772" i="14"/>
  <c r="R100" i="14"/>
  <c r="T614" i="14"/>
  <c r="U614" i="14" s="1"/>
  <c r="V614" i="14" s="1"/>
  <c r="S378" i="14"/>
  <c r="S194" i="14"/>
  <c r="U540" i="14"/>
  <c r="S346" i="14"/>
  <c r="T346" i="14" s="1"/>
  <c r="U346" i="14" s="1"/>
  <c r="S171" i="14"/>
  <c r="S606" i="14"/>
  <c r="T606" i="14" s="1"/>
  <c r="U606" i="14" s="1"/>
  <c r="V606" i="14" s="1"/>
  <c r="S497" i="14"/>
  <c r="S394" i="14"/>
  <c r="T394" i="14" s="1"/>
  <c r="U394" i="14" s="1"/>
  <c r="U290" i="14"/>
  <c r="S2" i="14"/>
  <c r="S36" i="14"/>
  <c r="T705" i="11"/>
  <c r="U705" i="11" s="1"/>
  <c r="U585" i="11"/>
  <c r="V585" i="11" s="1"/>
  <c r="W585" i="11" s="1"/>
  <c r="X585" i="11" s="1"/>
  <c r="Y585" i="11" s="1"/>
  <c r="Z585" i="11" s="1"/>
  <c r="AA585" i="11" s="1"/>
  <c r="V396" i="11"/>
  <c r="W396" i="11" s="1"/>
  <c r="X396" i="11" s="1"/>
  <c r="Y396" i="11" s="1"/>
  <c r="T544" i="11"/>
  <c r="U544" i="11" s="1"/>
  <c r="V544" i="11" s="1"/>
  <c r="T122" i="11"/>
  <c r="U122" i="11" s="1"/>
  <c r="V122" i="11" s="1"/>
  <c r="T448" i="11"/>
  <c r="U448" i="11" s="1"/>
  <c r="V448" i="11" s="1"/>
  <c r="X34" i="11"/>
  <c r="Y34" i="11" s="1"/>
  <c r="Z34" i="11" s="1"/>
  <c r="AA34" i="11" s="1"/>
  <c r="U443" i="11"/>
  <c r="V443" i="11" s="1"/>
  <c r="W443" i="11" s="1"/>
  <c r="U446" i="11"/>
  <c r="V446" i="11" s="1"/>
  <c r="W446" i="11" s="1"/>
  <c r="T253" i="11"/>
  <c r="U253" i="11" s="1"/>
  <c r="V253" i="11" s="1"/>
  <c r="T753" i="11"/>
  <c r="U753" i="11" s="1"/>
  <c r="V753" i="11" s="1"/>
  <c r="U514" i="11"/>
  <c r="V514" i="11" s="1"/>
  <c r="W514" i="11" s="1"/>
  <c r="U163" i="11"/>
  <c r="V163" i="11" s="1"/>
  <c r="W163" i="11" s="1"/>
  <c r="X163" i="11" s="1"/>
  <c r="U382" i="11"/>
  <c r="V382" i="11" s="1"/>
  <c r="W77" i="11"/>
  <c r="X77" i="11" s="1"/>
  <c r="Y77" i="11" s="1"/>
  <c r="Z77" i="11" s="1"/>
  <c r="AA77" i="11" s="1"/>
  <c r="X73" i="11"/>
  <c r="Y73" i="11" s="1"/>
  <c r="W355" i="11"/>
  <c r="X355" i="11" s="1"/>
  <c r="Y355" i="11" s="1"/>
  <c r="Z355" i="11" s="1"/>
  <c r="U481" i="11"/>
  <c r="V481" i="11" s="1"/>
  <c r="W481" i="11" s="1"/>
  <c r="U402" i="11"/>
  <c r="V402" i="11" s="1"/>
  <c r="W402" i="11" s="1"/>
  <c r="V727" i="11"/>
  <c r="W727" i="11" s="1"/>
  <c r="T40" i="11"/>
  <c r="U40" i="11" s="1"/>
  <c r="V40" i="11" s="1"/>
  <c r="U486" i="11"/>
  <c r="V486" i="11" s="1"/>
  <c r="V57" i="11"/>
  <c r="W57" i="11" s="1"/>
  <c r="T129" i="11"/>
  <c r="U129" i="11" s="1"/>
  <c r="V129" i="11" s="1"/>
  <c r="T484" i="11"/>
  <c r="U484" i="11" s="1"/>
  <c r="V484" i="11" s="1"/>
  <c r="W484" i="11" s="1"/>
  <c r="X551" i="11"/>
  <c r="Y551" i="11" s="1"/>
  <c r="Z551" i="11" s="1"/>
  <c r="AA551" i="11" s="1"/>
  <c r="T623" i="11"/>
  <c r="U623" i="11" s="1"/>
  <c r="U422" i="11"/>
  <c r="V422" i="11" s="1"/>
  <c r="W422" i="11" s="1"/>
  <c r="X422" i="11" s="1"/>
  <c r="U548" i="11"/>
  <c r="V548" i="11" s="1"/>
  <c r="W548" i="11" s="1"/>
  <c r="X548" i="11" s="1"/>
  <c r="Y548" i="11" s="1"/>
  <c r="Z548" i="11" s="1"/>
  <c r="AA548" i="11" s="1"/>
  <c r="X69" i="11"/>
  <c r="Y69" i="11" s="1"/>
  <c r="Z69" i="11" s="1"/>
  <c r="AA69" i="11" s="1"/>
  <c r="X75" i="11"/>
  <c r="Y75" i="11" s="1"/>
  <c r="Z75" i="11" s="1"/>
  <c r="T719" i="11"/>
  <c r="U719" i="11" s="1"/>
  <c r="V719" i="11" s="1"/>
  <c r="W719" i="11" s="1"/>
  <c r="W264" i="11"/>
  <c r="X264" i="11" s="1"/>
  <c r="Y264" i="11" s="1"/>
  <c r="Z264" i="11" s="1"/>
  <c r="AA264" i="11" s="1"/>
  <c r="V15" i="11"/>
  <c r="W15" i="11" s="1"/>
  <c r="X15" i="11" s="1"/>
  <c r="Y15" i="11" s="1"/>
  <c r="Z15" i="11" s="1"/>
  <c r="AA15" i="11" s="1"/>
  <c r="U313" i="11"/>
  <c r="V313" i="11" s="1"/>
  <c r="W313" i="11" s="1"/>
  <c r="X313" i="11" s="1"/>
  <c r="Y313" i="11" s="1"/>
  <c r="Z313" i="11" s="1"/>
  <c r="AA313" i="11" s="1"/>
  <c r="V605" i="11"/>
  <c r="W605" i="11" s="1"/>
  <c r="X605" i="11" s="1"/>
  <c r="Y605" i="11" s="1"/>
  <c r="Z605" i="11" s="1"/>
  <c r="AA605" i="11" s="1"/>
  <c r="T280" i="11"/>
  <c r="U280" i="11" s="1"/>
  <c r="U259" i="11"/>
  <c r="V259" i="11" s="1"/>
  <c r="W259" i="11" s="1"/>
  <c r="X259" i="11" s="1"/>
  <c r="T556" i="11"/>
  <c r="U556" i="11" s="1"/>
  <c r="V556" i="11" s="1"/>
  <c r="W556" i="11" s="1"/>
  <c r="U297" i="11"/>
  <c r="V297" i="11" s="1"/>
  <c r="S474" i="11"/>
  <c r="T474" i="11" s="1"/>
  <c r="U474" i="11" s="1"/>
  <c r="V474" i="11" s="1"/>
  <c r="W104" i="11"/>
  <c r="X104" i="11" s="1"/>
  <c r="Y104" i="11" s="1"/>
  <c r="Z104" i="11" s="1"/>
  <c r="AA104" i="11" s="1"/>
  <c r="T97" i="11"/>
  <c r="U97" i="11" s="1"/>
  <c r="V97" i="11" s="1"/>
  <c r="W97" i="11" s="1"/>
  <c r="X97" i="11" s="1"/>
  <c r="Y97" i="11" s="1"/>
  <c r="Z97" i="11" s="1"/>
  <c r="AA97" i="11" s="1"/>
  <c r="V376" i="11"/>
  <c r="W376" i="11" s="1"/>
  <c r="X376" i="11" s="1"/>
  <c r="T143" i="11"/>
  <c r="U143" i="11" s="1"/>
  <c r="V143" i="11" s="1"/>
  <c r="W143" i="11" s="1"/>
  <c r="X143" i="11" s="1"/>
  <c r="Y143" i="11" s="1"/>
  <c r="U397" i="11"/>
  <c r="V397" i="11" s="1"/>
  <c r="T707" i="11"/>
  <c r="U707" i="11" s="1"/>
  <c r="T263" i="11"/>
  <c r="U263" i="11" s="1"/>
  <c r="V263" i="11" s="1"/>
  <c r="W263" i="11" s="1"/>
  <c r="T223" i="11"/>
  <c r="U223" i="11" s="1"/>
  <c r="V223" i="11" s="1"/>
  <c r="W223" i="11" s="1"/>
  <c r="U216" i="11"/>
  <c r="V216" i="11" s="1"/>
  <c r="W216" i="11" s="1"/>
  <c r="X216" i="11" s="1"/>
  <c r="U101" i="11"/>
  <c r="V101" i="11" s="1"/>
  <c r="V186" i="11"/>
  <c r="W186" i="11" s="1"/>
  <c r="X186" i="11" s="1"/>
  <c r="Y186" i="11" s="1"/>
  <c r="Z186" i="11" s="1"/>
  <c r="U17" i="11"/>
  <c r="V17" i="11" s="1"/>
  <c r="T750" i="11"/>
  <c r="U750" i="11" s="1"/>
  <c r="V750" i="11" s="1"/>
  <c r="V166" i="11"/>
  <c r="W166" i="11" s="1"/>
  <c r="V354" i="11"/>
  <c r="W354" i="11" s="1"/>
  <c r="X354" i="11" s="1"/>
  <c r="Y354" i="11" s="1"/>
  <c r="Z354" i="11" s="1"/>
  <c r="AA354" i="11" s="1"/>
  <c r="U505" i="11"/>
  <c r="V505" i="11" s="1"/>
  <c r="V730" i="11"/>
  <c r="W730" i="11" s="1"/>
  <c r="X730" i="11" s="1"/>
  <c r="Y730" i="11" s="1"/>
  <c r="Z730" i="11" s="1"/>
  <c r="AA730" i="11" s="1"/>
  <c r="V706" i="11"/>
  <c r="W706" i="11" s="1"/>
  <c r="U25" i="11"/>
  <c r="V25" i="11" s="1"/>
  <c r="W25" i="11" s="1"/>
  <c r="X25" i="11" s="1"/>
  <c r="Y25" i="11" s="1"/>
  <c r="Z25" i="11" s="1"/>
  <c r="AA25" i="11" s="1"/>
  <c r="T182" i="11"/>
  <c r="U182" i="11" s="1"/>
  <c r="S661" i="11"/>
  <c r="T661" i="11" s="1"/>
  <c r="V698" i="11"/>
  <c r="W698" i="11" s="1"/>
  <c r="X698" i="11" s="1"/>
  <c r="U103" i="11"/>
  <c r="V103" i="11" s="1"/>
  <c r="V442" i="11"/>
  <c r="W442" i="11" s="1"/>
  <c r="X442" i="11" s="1"/>
  <c r="Y442" i="11" s="1"/>
  <c r="V369" i="11"/>
  <c r="W369" i="11" s="1"/>
  <c r="X735" i="11"/>
  <c r="Y735" i="11" s="1"/>
  <c r="Z735" i="11" s="1"/>
  <c r="AA735" i="11" s="1"/>
  <c r="W751" i="11"/>
  <c r="X751" i="11" s="1"/>
  <c r="U286" i="11"/>
  <c r="V286" i="11" s="1"/>
  <c r="U308" i="11"/>
  <c r="V308" i="11" s="1"/>
  <c r="T225" i="11"/>
  <c r="U225" i="11" s="1"/>
  <c r="U503" i="11"/>
  <c r="V503" i="11" s="1"/>
  <c r="W503" i="11" s="1"/>
  <c r="X503" i="11" s="1"/>
  <c r="Y503" i="11" s="1"/>
  <c r="Z503" i="11" s="1"/>
  <c r="T472" i="11"/>
  <c r="U472" i="11" s="1"/>
  <c r="T108" i="11"/>
  <c r="W126" i="11"/>
  <c r="X126" i="11" s="1"/>
  <c r="Y126" i="11" s="1"/>
  <c r="Z126" i="11" s="1"/>
  <c r="AA126" i="11" s="1"/>
  <c r="T464" i="11"/>
  <c r="U464" i="11" s="1"/>
  <c r="V464" i="11" s="1"/>
  <c r="U519" i="11"/>
  <c r="V519" i="11" s="1"/>
  <c r="V741" i="11"/>
  <c r="W741" i="11" s="1"/>
  <c r="X741" i="11" s="1"/>
  <c r="T489" i="11"/>
  <c r="U489" i="11" s="1"/>
  <c r="V489" i="11" s="1"/>
  <c r="W489" i="11" s="1"/>
  <c r="T219" i="11"/>
  <c r="U219" i="11" s="1"/>
  <c r="U495" i="11"/>
  <c r="V495" i="11" s="1"/>
  <c r="W495" i="11" s="1"/>
  <c r="X495" i="11" s="1"/>
  <c r="Y495" i="11" s="1"/>
  <c r="Z495" i="11" s="1"/>
  <c r="AA495" i="11" s="1"/>
  <c r="S158" i="11"/>
  <c r="U112" i="11"/>
  <c r="V112" i="11" s="1"/>
  <c r="U696" i="11"/>
  <c r="V696" i="11" s="1"/>
  <c r="S276" i="11"/>
  <c r="T276" i="11" s="1"/>
  <c r="U276" i="11" s="1"/>
  <c r="V276" i="11" s="1"/>
  <c r="T61" i="11"/>
  <c r="U61" i="11" s="1"/>
  <c r="W699" i="11"/>
  <c r="X699" i="11" s="1"/>
  <c r="Y699" i="11" s="1"/>
  <c r="Z699" i="11" s="1"/>
  <c r="AA699" i="11" s="1"/>
  <c r="S373" i="11"/>
  <c r="U268" i="11"/>
  <c r="V268" i="11" s="1"/>
  <c r="V410" i="11"/>
  <c r="U141" i="11"/>
  <c r="V141" i="11" s="1"/>
  <c r="W141" i="11" s="1"/>
  <c r="X141" i="11" s="1"/>
  <c r="Y141" i="11" s="1"/>
  <c r="Z141" i="11" s="1"/>
  <c r="S697" i="11"/>
  <c r="T697" i="11" s="1"/>
  <c r="S433" i="11"/>
  <c r="T433" i="11" s="1"/>
  <c r="U433" i="11" s="1"/>
  <c r="S723" i="11"/>
  <c r="T723" i="11" s="1"/>
  <c r="S215" i="11"/>
  <c r="T215" i="11" s="1"/>
  <c r="T754" i="11"/>
  <c r="U754" i="11" s="1"/>
  <c r="T508" i="11"/>
  <c r="U655" i="11"/>
  <c r="V655" i="11" s="1"/>
  <c r="W655" i="11" s="1"/>
  <c r="X655" i="11" s="1"/>
  <c r="Y655" i="11" s="1"/>
  <c r="Z655" i="11" s="1"/>
  <c r="AA655" i="11" s="1"/>
  <c r="U146" i="11"/>
  <c r="S455" i="11"/>
  <c r="T538" i="11"/>
  <c r="U538" i="11" s="1"/>
  <c r="S677" i="11"/>
  <c r="T724" i="11"/>
  <c r="U724" i="11" s="1"/>
  <c r="U666" i="11"/>
  <c r="V666" i="11" s="1"/>
  <c r="W666" i="11" s="1"/>
  <c r="X666" i="11" s="1"/>
  <c r="Y666" i="11" s="1"/>
  <c r="Z666" i="11" s="1"/>
  <c r="AA666" i="11" s="1"/>
  <c r="U591" i="11"/>
  <c r="S701" i="11"/>
  <c r="T701" i="11" s="1"/>
  <c r="S150" i="11"/>
  <c r="X643" i="11"/>
  <c r="Y643" i="11" s="1"/>
  <c r="Z643" i="11" s="1"/>
  <c r="AA643" i="11" s="1"/>
  <c r="S630" i="11"/>
  <c r="T630" i="11" s="1"/>
  <c r="V292" i="11"/>
  <c r="W292" i="11" s="1"/>
  <c r="X292" i="11" s="1"/>
  <c r="Y292" i="11" s="1"/>
  <c r="Z292" i="11" s="1"/>
  <c r="AA292" i="11" s="1"/>
  <c r="T553" i="11"/>
  <c r="U553" i="11" s="1"/>
  <c r="V553" i="11" s="1"/>
  <c r="W553" i="11" s="1"/>
  <c r="X553" i="11" s="1"/>
  <c r="U22" i="11"/>
  <c r="V22" i="11" s="1"/>
  <c r="S79" i="11"/>
  <c r="T79" i="11" s="1"/>
  <c r="U79" i="11" s="1"/>
  <c r="W693" i="11"/>
  <c r="X693" i="11" s="1"/>
  <c r="Y693" i="11" s="1"/>
  <c r="Z693" i="11" s="1"/>
  <c r="AA693" i="11" s="1"/>
  <c r="S147" i="11"/>
  <c r="S469" i="11"/>
  <c r="T469" i="11" s="1"/>
  <c r="U295" i="11"/>
  <c r="V295" i="11" s="1"/>
  <c r="W295" i="11" s="1"/>
  <c r="X295" i="11" s="1"/>
  <c r="Y295" i="11" s="1"/>
  <c r="Z295" i="11" s="1"/>
  <c r="AA295" i="11" s="1"/>
  <c r="T177" i="11"/>
  <c r="U177" i="11" s="1"/>
  <c r="V177" i="11" s="1"/>
  <c r="U52" i="11"/>
  <c r="V52" i="11" s="1"/>
  <c r="T294" i="11"/>
  <c r="U294" i="11" s="1"/>
  <c r="T3" i="11"/>
  <c r="U3" i="11" s="1"/>
  <c r="T656" i="11"/>
  <c r="U656" i="11" s="1"/>
  <c r="V656" i="11" s="1"/>
  <c r="W656" i="11" s="1"/>
  <c r="X656" i="11" s="1"/>
  <c r="Y656" i="11" s="1"/>
  <c r="Z656" i="11" s="1"/>
  <c r="AA656" i="11" s="1"/>
  <c r="S454" i="11"/>
  <c r="T454" i="11" s="1"/>
  <c r="U454" i="11" s="1"/>
  <c r="U206" i="11"/>
  <c r="V206" i="11" s="1"/>
  <c r="W206" i="11" s="1"/>
  <c r="X206" i="11" s="1"/>
  <c r="Y206" i="11" s="1"/>
  <c r="Z206" i="11" s="1"/>
  <c r="AA206" i="11" s="1"/>
  <c r="S358" i="11"/>
  <c r="T358" i="11" s="1"/>
  <c r="U358" i="11" s="1"/>
  <c r="V358" i="11" s="1"/>
  <c r="S342" i="11"/>
  <c r="T342" i="11" s="1"/>
  <c r="T516" i="11"/>
  <c r="U516" i="11" s="1"/>
  <c r="V516" i="11" s="1"/>
  <c r="W516" i="11" s="1"/>
  <c r="X516" i="11" s="1"/>
  <c r="Y516" i="11" s="1"/>
  <c r="Z516" i="11" s="1"/>
  <c r="AA516" i="11" s="1"/>
  <c r="T513" i="11"/>
  <c r="U513" i="11" s="1"/>
  <c r="T718" i="11"/>
  <c r="U718" i="11" s="1"/>
  <c r="U596" i="11"/>
  <c r="V596" i="11" s="1"/>
  <c r="U207" i="11"/>
  <c r="V207" i="11" s="1"/>
  <c r="W207" i="11" s="1"/>
  <c r="X207" i="11" s="1"/>
  <c r="Y207" i="11" s="1"/>
  <c r="T622" i="11"/>
  <c r="U622" i="11" s="1"/>
  <c r="V622" i="11" s="1"/>
  <c r="W622" i="11" s="1"/>
  <c r="X622" i="11" s="1"/>
  <c r="U381" i="11"/>
  <c r="V381" i="11" s="1"/>
  <c r="T187" i="11"/>
  <c r="U187" i="11" s="1"/>
  <c r="T711" i="11"/>
  <c r="U711" i="11" s="1"/>
  <c r="S604" i="11"/>
  <c r="T604" i="11" s="1"/>
  <c r="R732" i="11"/>
  <c r="S732" i="11" s="1"/>
  <c r="U117" i="11"/>
  <c r="Y208" i="11"/>
  <c r="Z208" i="11" s="1"/>
  <c r="AA208" i="11" s="1"/>
  <c r="U185" i="11"/>
  <c r="T645" i="11"/>
  <c r="U645" i="11" s="1"/>
  <c r="S729" i="11"/>
  <c r="U419" i="11"/>
  <c r="V419" i="11" s="1"/>
  <c r="W419" i="11" s="1"/>
  <c r="X419" i="11" s="1"/>
  <c r="Y419" i="11" s="1"/>
  <c r="Z419" i="11" s="1"/>
  <c r="T80" i="11"/>
  <c r="V115" i="11"/>
  <c r="V526" i="11"/>
  <c r="S644" i="11"/>
  <c r="U149" i="11"/>
  <c r="V149" i="11" s="1"/>
  <c r="Y545" i="11"/>
  <c r="Z545" i="11" s="1"/>
  <c r="V39" i="11"/>
  <c r="S437" i="11"/>
  <c r="T437" i="11" s="1"/>
  <c r="U437" i="11" s="1"/>
  <c r="V135" i="11"/>
  <c r="W135" i="11" s="1"/>
  <c r="S629" i="11"/>
  <c r="S530" i="11"/>
  <c r="T530" i="11" s="1"/>
  <c r="U530" i="11" s="1"/>
  <c r="U664" i="11"/>
  <c r="V664" i="11" s="1"/>
  <c r="W664" i="11" s="1"/>
  <c r="X664" i="11" s="1"/>
  <c r="Y664" i="11" s="1"/>
  <c r="Z664" i="11" s="1"/>
  <c r="AA664" i="11" s="1"/>
  <c r="T670" i="11"/>
  <c r="T298" i="11"/>
  <c r="U552" i="11"/>
  <c r="U329" i="11"/>
  <c r="V329" i="11" s="1"/>
  <c r="V228" i="11"/>
  <c r="W228" i="11" s="1"/>
  <c r="T660" i="11"/>
  <c r="U660" i="11" s="1"/>
  <c r="V660" i="11" s="1"/>
  <c r="W660" i="11" s="1"/>
  <c r="U590" i="11"/>
  <c r="S658" i="11"/>
  <c r="T658" i="11" s="1"/>
  <c r="T649" i="11"/>
  <c r="W399" i="11"/>
  <c r="X399" i="11" s="1"/>
  <c r="T700" i="11"/>
  <c r="T673" i="11"/>
  <c r="U406" i="11"/>
  <c r="T436" i="11"/>
  <c r="U612" i="11"/>
  <c r="V612" i="11" s="1"/>
  <c r="T461" i="11"/>
  <c r="U461" i="11" s="1"/>
  <c r="V461" i="11" s="1"/>
  <c r="W461" i="11" s="1"/>
  <c r="X461" i="11" s="1"/>
  <c r="Y461" i="11" s="1"/>
  <c r="Z461" i="11" s="1"/>
  <c r="AA461" i="11" s="1"/>
  <c r="S626" i="11"/>
  <c r="T626" i="11" s="1"/>
  <c r="U626" i="11" s="1"/>
  <c r="U6" i="11"/>
  <c r="V6" i="11" s="1"/>
  <c r="W68" i="11"/>
  <c r="X68" i="11" s="1"/>
  <c r="T36" i="11"/>
  <c r="U36" i="11" s="1"/>
  <c r="V36" i="11" s="1"/>
  <c r="T520" i="11"/>
  <c r="U520" i="11" s="1"/>
  <c r="V520" i="11" s="1"/>
  <c r="W520" i="11" s="1"/>
  <c r="X520" i="11" s="1"/>
  <c r="T273" i="11"/>
  <c r="S692" i="11"/>
  <c r="T692" i="11" s="1"/>
  <c r="U692" i="11" s="1"/>
  <c r="V692" i="11" s="1"/>
  <c r="W692" i="11" s="1"/>
  <c r="X692" i="11" s="1"/>
  <c r="S675" i="11"/>
  <c r="T675" i="11" s="1"/>
  <c r="T326" i="11"/>
  <c r="U326" i="11" s="1"/>
  <c r="U322" i="11"/>
  <c r="V322" i="11" s="1"/>
  <c r="T71" i="11"/>
  <c r="S134" i="11"/>
  <c r="T134" i="11" s="1"/>
  <c r="U134" i="11" s="1"/>
  <c r="V134" i="11" s="1"/>
  <c r="V576" i="11"/>
  <c r="W576" i="11" s="1"/>
  <c r="X576" i="11" s="1"/>
  <c r="Y576" i="11" s="1"/>
  <c r="Z576" i="11" s="1"/>
  <c r="AA576" i="11" s="1"/>
  <c r="S267" i="11"/>
  <c r="T267" i="11" s="1"/>
  <c r="S164" i="11"/>
  <c r="T164" i="11" s="1"/>
  <c r="T759" i="11"/>
  <c r="T53" i="11"/>
  <c r="U53" i="11" s="1"/>
  <c r="U212" i="11"/>
  <c r="V212" i="11" s="1"/>
  <c r="W212" i="11" s="1"/>
  <c r="T580" i="11"/>
  <c r="S445" i="11"/>
  <c r="S245" i="11"/>
  <c r="T245" i="11" s="1"/>
  <c r="U245" i="11" s="1"/>
  <c r="T393" i="11"/>
  <c r="U393" i="11" s="1"/>
  <c r="S260" i="11"/>
  <c r="T260" i="11" s="1"/>
  <c r="U377" i="11"/>
  <c r="U617" i="11"/>
  <c r="V617" i="11" s="1"/>
  <c r="W617" i="11" s="1"/>
  <c r="X617" i="11" s="1"/>
  <c r="Y617" i="11" s="1"/>
  <c r="Z617" i="11" s="1"/>
  <c r="AA617" i="11" s="1"/>
  <c r="S738" i="11"/>
  <c r="T738" i="11" s="1"/>
  <c r="U738" i="11" s="1"/>
  <c r="V738" i="11" s="1"/>
  <c r="T740" i="11"/>
  <c r="U740" i="11" s="1"/>
  <c r="W634" i="11"/>
  <c r="X634" i="11" s="1"/>
  <c r="Y634" i="11" s="1"/>
  <c r="Z634" i="11" s="1"/>
  <c r="AA634" i="11" s="1"/>
  <c r="U453" i="11"/>
  <c r="V453" i="11" s="1"/>
  <c r="W453" i="11" s="1"/>
  <c r="U515" i="11"/>
  <c r="V515" i="11" s="1"/>
  <c r="S511" i="11"/>
  <c r="T511" i="11" s="1"/>
  <c r="R749" i="11"/>
  <c r="S749" i="11" s="1"/>
  <c r="T749" i="11" s="1"/>
  <c r="U123" i="11"/>
  <c r="V123" i="11" s="1"/>
  <c r="S628" i="11"/>
  <c r="T628" i="11" s="1"/>
  <c r="S713" i="11"/>
  <c r="T713" i="11" s="1"/>
  <c r="U325" i="11"/>
  <c r="V325" i="11" s="1"/>
  <c r="W325" i="11" s="1"/>
  <c r="T635" i="11"/>
  <c r="U635" i="11" s="1"/>
  <c r="V635" i="11" s="1"/>
  <c r="V758" i="11"/>
  <c r="T668" i="11"/>
  <c r="U668" i="11" s="1"/>
  <c r="S341" i="11"/>
  <c r="S690" i="11"/>
  <c r="V650" i="11"/>
  <c r="W650" i="11" s="1"/>
  <c r="X650" i="11" s="1"/>
  <c r="T124" i="11"/>
  <c r="U124" i="11" s="1"/>
  <c r="V124" i="11" s="1"/>
  <c r="S491" i="11"/>
  <c r="T491" i="11" s="1"/>
  <c r="U491" i="11" s="1"/>
  <c r="S578" i="11"/>
  <c r="U575" i="11"/>
  <c r="V575" i="11" s="1"/>
  <c r="W575" i="11" s="1"/>
  <c r="X575" i="11" s="1"/>
  <c r="R483" i="11"/>
  <c r="S483" i="11" s="1"/>
  <c r="T483" i="11" s="1"/>
  <c r="U483" i="11" s="1"/>
  <c r="W205" i="11"/>
  <c r="T307" i="11"/>
  <c r="U307" i="11" s="1"/>
  <c r="V307" i="11" s="1"/>
  <c r="W307" i="11" s="1"/>
  <c r="S271" i="11"/>
  <c r="T271" i="11" s="1"/>
  <c r="S529" i="11"/>
  <c r="T529" i="11" s="1"/>
  <c r="U529" i="11" s="1"/>
  <c r="S332" i="11"/>
  <c r="T332" i="11" s="1"/>
  <c r="T110" i="11"/>
  <c r="T641" i="11"/>
  <c r="U641" i="11" s="1"/>
  <c r="T452" i="11"/>
  <c r="U452" i="11" s="1"/>
  <c r="V452" i="11" s="1"/>
  <c r="T595" i="11"/>
  <c r="T499" i="11"/>
  <c r="R435" i="11"/>
  <c r="S435" i="11" s="1"/>
  <c r="R586" i="11"/>
  <c r="S586" i="11" s="1"/>
  <c r="S517" i="11"/>
  <c r="T517" i="11" s="1"/>
  <c r="S380" i="11"/>
  <c r="T380" i="11" s="1"/>
  <c r="S229" i="11"/>
  <c r="T229" i="11" s="1"/>
  <c r="U229" i="11" s="1"/>
  <c r="T86" i="11"/>
  <c r="U86" i="11" s="1"/>
  <c r="S290" i="11"/>
  <c r="T290" i="11" s="1"/>
  <c r="U290" i="11" s="1"/>
  <c r="V290" i="11" s="1"/>
  <c r="S715" i="11"/>
  <c r="T715" i="11" s="1"/>
  <c r="V477" i="11"/>
  <c r="W477" i="11" s="1"/>
  <c r="X477" i="11" s="1"/>
  <c r="V70" i="11"/>
  <c r="U364" i="11"/>
  <c r="V364" i="11" s="1"/>
  <c r="W364" i="11" s="1"/>
  <c r="X364" i="11" s="1"/>
  <c r="Y364" i="11" s="1"/>
  <c r="Z364" i="11" s="1"/>
  <c r="AA364" i="11" s="1"/>
  <c r="T672" i="11"/>
  <c r="U672" i="11" s="1"/>
  <c r="V672" i="11" s="1"/>
  <c r="S532" i="11"/>
  <c r="T532" i="11" s="1"/>
  <c r="U532" i="11" s="1"/>
  <c r="R102" i="11"/>
  <c r="S507" i="11"/>
  <c r="W378" i="11"/>
  <c r="S633" i="11"/>
  <c r="T633" i="11" s="1"/>
  <c r="U633" i="11" s="1"/>
  <c r="V633" i="11" s="1"/>
  <c r="W458" i="11"/>
  <c r="X458" i="11" s="1"/>
  <c r="Y458" i="11" s="1"/>
  <c r="Z458" i="11" s="1"/>
  <c r="AA458" i="11" s="1"/>
  <c r="V601" i="11"/>
  <c r="T178" i="11"/>
  <c r="U178" i="11" s="1"/>
  <c r="T13" i="11"/>
  <c r="R362" i="11"/>
  <c r="S362" i="11" s="1"/>
  <c r="R242" i="11"/>
  <c r="S242" i="11" s="1"/>
  <c r="R686" i="11"/>
  <c r="S686" i="11" s="1"/>
  <c r="Y83" i="11"/>
  <c r="Z83" i="11" s="1"/>
  <c r="AA83" i="11" s="1"/>
  <c r="S744" i="11"/>
  <c r="T170" i="11"/>
  <c r="U170" i="11" s="1"/>
  <c r="S387" i="11"/>
  <c r="T387" i="11" s="1"/>
  <c r="U387" i="11" s="1"/>
  <c r="V387" i="11" s="1"/>
  <c r="S743" i="11"/>
  <c r="T743" i="11" s="1"/>
  <c r="S121" i="11"/>
  <c r="U29" i="11"/>
  <c r="V29" i="11" s="1"/>
  <c r="S361" i="11"/>
  <c r="T137" i="11"/>
  <c r="U137" i="11" s="1"/>
  <c r="R64" i="11"/>
  <c r="S64" i="11" s="1"/>
  <c r="S287" i="11"/>
  <c r="T287" i="11" s="1"/>
  <c r="T470" i="11"/>
  <c r="U470" i="11" s="1"/>
  <c r="V470" i="11" s="1"/>
  <c r="S349" i="11"/>
  <c r="T349" i="11" s="1"/>
  <c r="T252" i="11"/>
  <c r="U252" i="11" s="1"/>
  <c r="V252" i="11" s="1"/>
  <c r="U571" i="11"/>
  <c r="V571" i="11" s="1"/>
  <c r="W571" i="11" s="1"/>
  <c r="S412" i="11"/>
  <c r="S197" i="11"/>
  <c r="R688" i="11"/>
  <c r="R602" i="11"/>
  <c r="S602" i="11" s="1"/>
  <c r="T602" i="11" s="1"/>
  <c r="S459" i="11"/>
  <c r="T363" i="11"/>
  <c r="R347" i="11"/>
  <c r="T76" i="11"/>
  <c r="T687" i="11"/>
  <c r="U687" i="11" s="1"/>
  <c r="X323" i="11"/>
  <c r="Y323" i="11" s="1"/>
  <c r="Z323" i="11" s="1"/>
  <c r="AA323" i="11" s="1"/>
  <c r="T593" i="11"/>
  <c r="U593" i="11" s="1"/>
  <c r="S188" i="11"/>
  <c r="R579" i="11"/>
  <c r="S275" i="11"/>
  <c r="T275" i="11" s="1"/>
  <c r="U275" i="11" s="1"/>
  <c r="V275" i="11" s="1"/>
  <c r="W275" i="11" s="1"/>
  <c r="R171" i="11"/>
  <c r="T539" i="11"/>
  <c r="U539" i="11" s="1"/>
  <c r="U385" i="11"/>
  <c r="V385" i="11" s="1"/>
  <c r="S510" i="11"/>
  <c r="U30" i="11"/>
  <c r="T704" i="11"/>
  <c r="S679" i="11"/>
  <c r="U338" i="11"/>
  <c r="V338" i="11" s="1"/>
  <c r="U678" i="11"/>
  <c r="R659" i="11"/>
  <c r="S659" i="11" s="1"/>
  <c r="R289" i="11"/>
  <c r="S736" i="11"/>
  <c r="T736" i="11" s="1"/>
  <c r="U632" i="11"/>
  <c r="V609" i="11"/>
  <c r="W609" i="11" s="1"/>
  <c r="X609" i="11" s="1"/>
  <c r="Y609" i="11" s="1"/>
  <c r="Z609" i="11" s="1"/>
  <c r="AA609" i="11" s="1"/>
  <c r="T531" i="11"/>
  <c r="U248" i="11"/>
  <c r="S592" i="11"/>
  <c r="T20" i="11"/>
  <c r="S702" i="11"/>
  <c r="T702" i="11" s="1"/>
  <c r="U702" i="11" s="1"/>
  <c r="U81" i="11"/>
  <c r="T48" i="11"/>
  <c r="R684" i="11"/>
  <c r="S684" i="11" s="1"/>
  <c r="T47" i="11"/>
  <c r="U47" i="11" s="1"/>
  <c r="V47" i="11" s="1"/>
  <c r="R652" i="11"/>
  <c r="T561" i="11"/>
  <c r="U561" i="11" s="1"/>
  <c r="R569" i="11"/>
  <c r="S569" i="11" s="1"/>
  <c r="R426" i="11"/>
  <c r="S426" i="11" s="1"/>
  <c r="R506" i="11"/>
  <c r="S506" i="11" s="1"/>
  <c r="R346" i="11"/>
  <c r="T339" i="11"/>
  <c r="T162" i="11"/>
  <c r="R490" i="11"/>
  <c r="S490" i="11" s="1"/>
  <c r="V43" i="11"/>
  <c r="W43" i="11" s="1"/>
  <c r="R411" i="11"/>
  <c r="S411" i="11" s="1"/>
  <c r="S92" i="11"/>
  <c r="T92" i="11" s="1"/>
  <c r="U92" i="11" s="1"/>
  <c r="R528" i="11"/>
  <c r="S528" i="11" s="1"/>
  <c r="T528" i="11" s="1"/>
  <c r="U528" i="11" s="1"/>
  <c r="T296" i="11"/>
  <c r="U296" i="11" s="1"/>
  <c r="S353" i="11"/>
  <c r="T353" i="11" s="1"/>
  <c r="T685" i="11"/>
  <c r="U685" i="11" s="1"/>
  <c r="V685" i="11" s="1"/>
  <c r="S337" i="11"/>
  <c r="T337" i="11" s="1"/>
  <c r="R201" i="11"/>
  <c r="S201" i="11" s="1"/>
  <c r="V608" i="11"/>
  <c r="T669" i="11"/>
  <c r="U669" i="11" s="1"/>
  <c r="R682" i="11"/>
  <c r="S682" i="11" s="1"/>
  <c r="T261" i="11"/>
  <c r="U261" i="11" s="1"/>
  <c r="V261" i="11" s="1"/>
  <c r="W261" i="11" s="1"/>
  <c r="X261" i="11" s="1"/>
  <c r="Y261" i="11" s="1"/>
  <c r="Z261" i="11" s="1"/>
  <c r="AA261" i="11" s="1"/>
  <c r="S493" i="11"/>
  <c r="T493" i="11" s="1"/>
  <c r="U493" i="11" s="1"/>
  <c r="V493" i="11" s="1"/>
  <c r="S32" i="11"/>
  <c r="T139" i="11"/>
  <c r="U139" i="11" s="1"/>
  <c r="S475" i="11"/>
  <c r="W657" i="11"/>
  <c r="X657" i="11" s="1"/>
  <c r="T482" i="11"/>
  <c r="R258" i="11"/>
  <c r="R65" i="11"/>
  <c r="S65" i="11" s="1"/>
  <c r="S689" i="11"/>
  <c r="T689" i="11" s="1"/>
  <c r="T440" i="11"/>
  <c r="T648" i="11"/>
  <c r="U648" i="11" s="1"/>
  <c r="V131" i="11"/>
  <c r="W131" i="11" s="1"/>
  <c r="T176" i="11"/>
  <c r="U176" i="11" s="1"/>
  <c r="V176" i="11" s="1"/>
  <c r="R438" i="11"/>
  <c r="S438" i="11" s="1"/>
  <c r="R106" i="11"/>
  <c r="T535" i="11"/>
  <c r="U535" i="11" s="1"/>
  <c r="V535" i="11" s="1"/>
  <c r="W535" i="11" s="1"/>
  <c r="T193" i="11"/>
  <c r="U193" i="11" s="1"/>
  <c r="S460" i="11"/>
  <c r="S560" i="11"/>
  <c r="T560" i="11" s="1"/>
  <c r="U560" i="11" s="1"/>
  <c r="S534" i="11"/>
  <c r="T534" i="11" s="1"/>
  <c r="U631" i="11"/>
  <c r="V631" i="11" s="1"/>
  <c r="T199" i="11"/>
  <c r="U199" i="11" s="1"/>
  <c r="T301" i="11"/>
  <c r="U301" i="11" s="1"/>
  <c r="S746" i="11"/>
  <c r="T746" i="11" s="1"/>
  <c r="U746" i="11" s="1"/>
  <c r="S428" i="11"/>
  <c r="T428" i="11" s="1"/>
  <c r="U428" i="11" s="1"/>
  <c r="S78" i="11"/>
  <c r="U404" i="11"/>
  <c r="W316" i="11"/>
  <c r="X316" i="11" s="1"/>
  <c r="Y316" i="11" s="1"/>
  <c r="X24" i="11"/>
  <c r="Y24" i="11" s="1"/>
  <c r="Z24" i="11" s="1"/>
  <c r="AA24" i="11" s="1"/>
  <c r="X221" i="11"/>
  <c r="Y221" i="11" s="1"/>
  <c r="Z221" i="11" s="1"/>
  <c r="AA221" i="11" s="1"/>
  <c r="U651" i="11"/>
  <c r="V651" i="11" s="1"/>
  <c r="W651" i="11" s="1"/>
  <c r="X651" i="11" s="1"/>
  <c r="Y651" i="11" s="1"/>
  <c r="Z651" i="11" s="1"/>
  <c r="R357" i="11"/>
  <c r="R165" i="11"/>
  <c r="T54" i="11"/>
  <c r="U386" i="11"/>
  <c r="U620" i="11"/>
  <c r="V620" i="11" s="1"/>
  <c r="S714" i="11"/>
  <c r="S394" i="11"/>
  <c r="S38" i="11"/>
  <c r="U537" i="11"/>
  <c r="V537" i="11" s="1"/>
  <c r="W537" i="11" s="1"/>
  <c r="X537" i="11" s="1"/>
  <c r="Y537" i="11" s="1"/>
  <c r="Z537" i="11" s="1"/>
  <c r="AA537" i="11" s="1"/>
  <c r="R235" i="11"/>
  <c r="S562" i="11"/>
  <c r="T330" i="11"/>
  <c r="S99" i="11"/>
  <c r="T99" i="11" s="1"/>
  <c r="S642" i="11"/>
  <c r="T642" i="11" s="1"/>
  <c r="U84" i="11"/>
  <c r="U417" i="11"/>
  <c r="U371" i="11"/>
  <c r="V371" i="11" s="1"/>
  <c r="R522" i="11"/>
  <c r="R44" i="11"/>
  <c r="R138" i="11"/>
  <c r="R140" i="11"/>
  <c r="S140" i="11" s="1"/>
  <c r="T140" i="11" s="1"/>
  <c r="U140" i="11" s="1"/>
  <c r="V140" i="11" s="1"/>
  <c r="W140" i="11" s="1"/>
  <c r="T450" i="11"/>
  <c r="T244" i="11"/>
  <c r="U244" i="11" s="1"/>
  <c r="V737" i="11"/>
  <c r="W737" i="11" s="1"/>
  <c r="X737" i="11" s="1"/>
  <c r="Y737" i="11" s="1"/>
  <c r="Z737" i="11" s="1"/>
  <c r="AA737" i="11" s="1"/>
  <c r="U348" i="11"/>
  <c r="V348" i="11" s="1"/>
  <c r="V756" i="11"/>
  <c r="U432" i="11"/>
  <c r="V432" i="11" s="1"/>
  <c r="W432" i="11" s="1"/>
  <c r="S12" i="11"/>
  <c r="S496" i="11"/>
  <c r="T496" i="11" s="1"/>
  <c r="T256" i="11"/>
  <c r="U256" i="11" s="1"/>
  <c r="V256" i="11" s="1"/>
  <c r="W256" i="11" s="1"/>
  <c r="X256" i="11" s="1"/>
  <c r="Y256" i="11" s="1"/>
  <c r="R449" i="11"/>
  <c r="S449" i="11" s="1"/>
  <c r="S563" i="11"/>
  <c r="W473" i="11"/>
  <c r="X473" i="11" s="1"/>
  <c r="Y473" i="11" s="1"/>
  <c r="Z473" i="11" s="1"/>
  <c r="AA473" i="11" s="1"/>
  <c r="R654" i="11"/>
  <c r="S654" i="11" s="1"/>
  <c r="U494" i="11"/>
  <c r="V494" i="11" s="1"/>
  <c r="W494" i="11" s="1"/>
  <c r="W318" i="11"/>
  <c r="X318" i="11" s="1"/>
  <c r="U236" i="11"/>
  <c r="R300" i="11"/>
  <c r="S300" i="11" s="1"/>
  <c r="R189" i="11"/>
  <c r="S189" i="11" s="1"/>
  <c r="R94" i="11"/>
  <c r="R418" i="11"/>
  <c r="S418" i="11" s="1"/>
  <c r="T418" i="11" s="1"/>
  <c r="S476" i="11"/>
  <c r="S674" i="11"/>
  <c r="R370" i="11"/>
  <c r="S211" i="11"/>
  <c r="T116" i="11"/>
  <c r="R148" i="11"/>
  <c r="T501" i="11"/>
  <c r="V251" i="11"/>
  <c r="W251" i="11" s="1"/>
  <c r="X251" i="11" s="1"/>
  <c r="Y251" i="11" s="1"/>
  <c r="Z251" i="11" s="1"/>
  <c r="AA251" i="11" s="1"/>
  <c r="U204" i="11"/>
  <c r="U425" i="11"/>
  <c r="V425" i="11" s="1"/>
  <c r="W425" i="11" s="1"/>
  <c r="X425" i="11" s="1"/>
  <c r="Y425" i="11" s="1"/>
  <c r="Z425" i="11" s="1"/>
  <c r="AA425" i="11" s="1"/>
  <c r="T91" i="11"/>
  <c r="R728" i="11"/>
  <c r="U274" i="11"/>
  <c r="V274" i="11" s="1"/>
  <c r="R226" i="11"/>
  <c r="R196" i="11"/>
  <c r="T250" i="11"/>
  <c r="T220" i="11"/>
  <c r="U220" i="11" s="1"/>
  <c r="R726" i="11"/>
  <c r="S726" i="11" s="1"/>
  <c r="T480" i="11"/>
  <c r="T465" i="11"/>
  <c r="U465" i="11" s="1"/>
  <c r="V465" i="11" s="1"/>
  <c r="W465" i="11" s="1"/>
  <c r="X465" i="11" s="1"/>
  <c r="Y465" i="11" s="1"/>
  <c r="U96" i="11"/>
  <c r="V96" i="11" s="1"/>
  <c r="T93" i="11"/>
  <c r="U93" i="11" s="1"/>
  <c r="S498" i="11"/>
  <c r="V16" i="11"/>
  <c r="R210" i="11"/>
  <c r="S51" i="11"/>
  <c r="T51" i="11" s="1"/>
  <c r="V155" i="11"/>
  <c r="W155" i="11" s="1"/>
  <c r="X155" i="11" s="1"/>
  <c r="Y155" i="11" s="1"/>
  <c r="Z155" i="11" s="1"/>
  <c r="AA155" i="11" s="1"/>
  <c r="S266" i="11"/>
  <c r="T266" i="11" s="1"/>
  <c r="U107" i="11"/>
  <c r="V107" i="11" s="1"/>
  <c r="W218" i="11"/>
  <c r="X218" i="11" s="1"/>
  <c r="S748" i="11"/>
  <c r="T748" i="11" s="1"/>
  <c r="U748" i="11" s="1"/>
  <c r="S457" i="11"/>
  <c r="T328" i="11"/>
  <c r="U328" i="11" s="1"/>
  <c r="R577" i="11"/>
  <c r="S577" i="11" s="1"/>
  <c r="S583" i="11"/>
  <c r="T583" i="11" s="1"/>
  <c r="U583" i="11" s="1"/>
  <c r="T234" i="11"/>
  <c r="U234" i="11" s="1"/>
  <c r="V752" i="11"/>
  <c r="W752" i="11" s="1"/>
  <c r="X752" i="11" s="1"/>
  <c r="Y752" i="11" s="1"/>
  <c r="Z752" i="11" s="1"/>
  <c r="AA752" i="11" s="1"/>
  <c r="S9" i="11"/>
  <c r="T9" i="11" s="1"/>
  <c r="U257" i="11"/>
  <c r="V257" i="11" s="1"/>
  <c r="R621" i="11"/>
  <c r="S621" i="11" s="1"/>
  <c r="T621" i="11" s="1"/>
  <c r="V403" i="11"/>
  <c r="W403" i="11" s="1"/>
  <c r="X403" i="11" s="1"/>
  <c r="Y403" i="11" s="1"/>
  <c r="Z403" i="11" s="1"/>
  <c r="AA403" i="11" s="1"/>
  <c r="S421" i="11"/>
  <c r="T421" i="11" s="1"/>
  <c r="S636" i="11"/>
  <c r="R485" i="11"/>
  <c r="S485" i="11" s="1"/>
  <c r="R270" i="11"/>
  <c r="S434" i="11"/>
  <c r="T434" i="11" s="1"/>
  <c r="R680" i="11"/>
  <c r="T283" i="11"/>
  <c r="U283" i="11" s="1"/>
  <c r="V283" i="11" s="1"/>
  <c r="W283" i="11" s="1"/>
  <c r="R333" i="11"/>
  <c r="S333" i="11" s="1"/>
  <c r="T333" i="11" s="1"/>
  <c r="U333" i="11" s="1"/>
  <c r="V333" i="11" s="1"/>
  <c r="W333" i="11" s="1"/>
  <c r="X333" i="11" s="1"/>
  <c r="T237" i="11"/>
  <c r="S618" i="11"/>
  <c r="T618" i="11" s="1"/>
  <c r="V125" i="11"/>
  <c r="S554" i="11"/>
  <c r="S284" i="11"/>
  <c r="S132" i="11"/>
  <c r="Z100" i="11"/>
  <c r="AA100" i="11" s="1"/>
  <c r="R467" i="11"/>
  <c r="S314" i="11"/>
  <c r="T439" i="11"/>
  <c r="U439" i="11" s="1"/>
  <c r="T616" i="11"/>
  <c r="U616" i="11" s="1"/>
  <c r="W720" i="11"/>
  <c r="X720" i="11" s="1"/>
  <c r="Y720" i="11" s="1"/>
  <c r="T409" i="11"/>
  <c r="U299" i="11"/>
  <c r="V299" i="11" s="1"/>
  <c r="T5" i="11"/>
  <c r="U194" i="11"/>
  <c r="V194" i="11" s="1"/>
  <c r="W194" i="11" s="1"/>
  <c r="T712" i="11"/>
  <c r="U712" i="11" s="1"/>
  <c r="V712" i="11" s="1"/>
  <c r="V401" i="11"/>
  <c r="W401" i="11" s="1"/>
  <c r="X401" i="11" s="1"/>
  <c r="S82" i="11"/>
  <c r="T82" i="11" s="1"/>
  <c r="S305" i="11"/>
  <c r="V202" i="11"/>
  <c r="V681" i="11"/>
  <c r="W681" i="11" s="1"/>
  <c r="X681" i="11" s="1"/>
  <c r="Y681" i="11" s="1"/>
  <c r="Z681" i="11" s="1"/>
  <c r="AA681" i="11" s="1"/>
  <c r="S303" i="11"/>
  <c r="S321" i="11"/>
  <c r="T321" i="11" s="1"/>
  <c r="U321" i="11" s="1"/>
  <c r="R383" i="11"/>
  <c r="S392" i="11"/>
  <c r="T151" i="11"/>
  <c r="U151" i="11" s="1"/>
  <c r="U230" i="11"/>
  <c r="V230" i="11" s="1"/>
  <c r="T335" i="11"/>
  <c r="U335" i="11" s="1"/>
  <c r="S703" i="11"/>
  <c r="R388" i="11"/>
  <c r="U527" i="11"/>
  <c r="V527" i="11" s="1"/>
  <c r="W527" i="11" s="1"/>
  <c r="X527" i="11" s="1"/>
  <c r="Y527" i="11" s="1"/>
  <c r="R424" i="11"/>
  <c r="T739" i="11"/>
  <c r="U739" i="11" s="1"/>
  <c r="T663" i="11"/>
  <c r="U663" i="11" s="1"/>
  <c r="R375" i="11"/>
  <c r="X344" i="11"/>
  <c r="Y344" i="11" s="1"/>
  <c r="Z344" i="11" s="1"/>
  <c r="AA344" i="11" s="1"/>
  <c r="S19" i="11"/>
  <c r="V312" i="11"/>
  <c r="W312" i="11" s="1"/>
  <c r="X312" i="11" s="1"/>
  <c r="Y312" i="11" s="1"/>
  <c r="Z312" i="11" s="1"/>
  <c r="AA312" i="11" s="1"/>
  <c r="U291" i="11"/>
  <c r="V291" i="11" s="1"/>
  <c r="W291" i="11" s="1"/>
  <c r="X291" i="11" s="1"/>
  <c r="Y291" i="11" s="1"/>
  <c r="Z291" i="11" s="1"/>
  <c r="AA291" i="11" s="1"/>
  <c r="R320" i="11"/>
  <c r="X717" i="11"/>
  <c r="Y717" i="11" s="1"/>
  <c r="T350" i="11"/>
  <c r="U350" i="11" s="1"/>
  <c r="T374" i="11"/>
  <c r="U374" i="11" s="1"/>
  <c r="V374" i="11" s="1"/>
  <c r="V343" i="11"/>
  <c r="W343" i="11" s="1"/>
  <c r="X343" i="11" s="1"/>
  <c r="U239" i="11"/>
  <c r="V239" i="11" s="1"/>
  <c r="W239" i="11" s="1"/>
  <c r="X239" i="11" s="1"/>
  <c r="Y239" i="11" s="1"/>
  <c r="Z239" i="11" s="1"/>
  <c r="AA239" i="11" s="1"/>
  <c r="U518" i="11"/>
  <c r="V518" i="11" s="1"/>
  <c r="T246" i="11"/>
  <c r="S288" i="11"/>
  <c r="T288" i="11" s="1"/>
  <c r="V431" i="11"/>
  <c r="U120" i="11"/>
  <c r="V120" i="11" s="1"/>
  <c r="V653" i="11"/>
  <c r="W653" i="11" s="1"/>
  <c r="X653" i="11" s="1"/>
  <c r="Y653" i="11" s="1"/>
  <c r="Z653" i="11" s="1"/>
  <c r="AA653" i="11" s="1"/>
  <c r="V293" i="11"/>
  <c r="W293" i="11" s="1"/>
  <c r="X293" i="11" s="1"/>
  <c r="S200" i="11"/>
  <c r="T200" i="11" s="1"/>
  <c r="R662" i="11"/>
  <c r="S662" i="11" s="1"/>
  <c r="T662" i="11" s="1"/>
  <c r="U359" i="11"/>
  <c r="V359" i="11" s="1"/>
  <c r="T18" i="11"/>
  <c r="U18" i="11" s="1"/>
  <c r="T550" i="11"/>
  <c r="R180" i="11"/>
  <c r="S180" i="11" s="1"/>
  <c r="T180" i="11" s="1"/>
  <c r="T502" i="11"/>
  <c r="U502" i="11" s="1"/>
  <c r="V502" i="11" s="1"/>
  <c r="W502" i="11" s="1"/>
  <c r="S128" i="11"/>
  <c r="U487" i="11"/>
  <c r="V487" i="11" s="1"/>
  <c r="V598" i="11"/>
  <c r="W598" i="11" s="1"/>
  <c r="X598" i="11" s="1"/>
  <c r="Y598" i="11" s="1"/>
  <c r="Z598" i="11" s="1"/>
  <c r="AA598" i="11" s="1"/>
  <c r="T133" i="11"/>
  <c r="U133" i="11" s="1"/>
  <c r="S400" i="11"/>
  <c r="R568" i="11"/>
  <c r="S568" i="11" s="1"/>
  <c r="T568" i="11" s="1"/>
  <c r="T367" i="11"/>
  <c r="R114" i="11"/>
  <c r="S114" i="11" s="1"/>
  <c r="T114" i="11" s="1"/>
  <c r="U114" i="11" s="1"/>
  <c r="V114" i="11" s="1"/>
  <c r="V755" i="11"/>
  <c r="W755" i="11" s="1"/>
  <c r="R646" i="11"/>
  <c r="S646" i="11" s="1"/>
  <c r="T646" i="11" s="1"/>
  <c r="U694" i="11"/>
  <c r="V694" i="11" s="1"/>
  <c r="W694" i="11" s="1"/>
  <c r="X694" i="11" s="1"/>
  <c r="V192" i="11"/>
  <c r="U119" i="11"/>
  <c r="V119" i="11" s="1"/>
  <c r="W119" i="11" s="1"/>
  <c r="S733" i="11"/>
  <c r="T733" i="11" s="1"/>
  <c r="U733" i="11" s="1"/>
  <c r="S249" i="11"/>
  <c r="S109" i="11"/>
  <c r="S389" i="11"/>
  <c r="R136" i="11"/>
  <c r="S136" i="11" s="1"/>
  <c r="T136" i="11" s="1"/>
  <c r="T479" i="11"/>
  <c r="U479" i="11" s="1"/>
  <c r="V479" i="11" s="1"/>
  <c r="T240" i="11"/>
  <c r="U240" i="11" s="1"/>
  <c r="V304" i="11"/>
  <c r="V368" i="11"/>
  <c r="W368" i="11" s="1"/>
  <c r="T28" i="11"/>
  <c r="R89" i="11"/>
  <c r="U567" i="11"/>
  <c r="V567" i="11" s="1"/>
  <c r="W567" i="11" s="1"/>
  <c r="X567" i="11" s="1"/>
  <c r="Y567" i="11" s="1"/>
  <c r="Z567" i="11" s="1"/>
  <c r="AA567" i="11" s="1"/>
  <c r="R390" i="11"/>
  <c r="S390" i="11" s="1"/>
  <c r="T390" i="11" s="1"/>
  <c r="U390" i="11" s="1"/>
  <c r="U152" i="11"/>
  <c r="V152" i="11" s="1"/>
  <c r="S742" i="11"/>
  <c r="S725" i="11"/>
  <c r="S87" i="11"/>
  <c r="T63" i="11"/>
  <c r="U63" i="11" s="1"/>
  <c r="V63" i="11" s="1"/>
  <c r="T191" i="11"/>
  <c r="U191" i="11" s="1"/>
  <c r="V191" i="11" s="1"/>
  <c r="W191" i="11" s="1"/>
  <c r="R213" i="11"/>
  <c r="S478" i="11"/>
  <c r="T638" i="11"/>
  <c r="U638" i="11" s="1"/>
  <c r="T558" i="11"/>
  <c r="S731" i="11"/>
  <c r="T279" i="11"/>
  <c r="U279" i="11" s="1"/>
  <c r="V279" i="11" s="1"/>
  <c r="W279" i="11" s="1"/>
  <c r="T154" i="11"/>
  <c r="U154" i="11" s="1"/>
  <c r="T536" i="11"/>
  <c r="U536" i="11" s="1"/>
  <c r="R50" i="11"/>
  <c r="T415" i="11"/>
  <c r="U415" i="11" s="1"/>
  <c r="V415" i="11" s="1"/>
  <c r="W415" i="11" s="1"/>
  <c r="X415" i="11" s="1"/>
  <c r="Y415" i="11" s="1"/>
  <c r="Z415" i="11" s="1"/>
  <c r="AA415" i="11" s="1"/>
  <c r="T238" i="11"/>
  <c r="U238" i="11" s="1"/>
  <c r="V238" i="11" s="1"/>
  <c r="X183" i="11"/>
  <c r="Y183" i="11" s="1"/>
  <c r="R667" i="11"/>
  <c r="U60" i="11"/>
  <c r="V60" i="11" s="1"/>
  <c r="R327" i="11"/>
  <c r="T691" i="11"/>
  <c r="U262" i="11"/>
  <c r="V262" i="11" s="1"/>
  <c r="W262" i="11" s="1"/>
  <c r="X408" i="11"/>
  <c r="Y408" i="11" s="1"/>
  <c r="Z408" i="11" s="1"/>
  <c r="AA408" i="11" s="1"/>
  <c r="U391" i="11"/>
  <c r="V391" i="11" s="1"/>
  <c r="U557" i="11"/>
  <c r="V557" i="11" s="1"/>
  <c r="W557" i="11" s="1"/>
  <c r="V441" i="11"/>
  <c r="W441" i="11" s="1"/>
  <c r="U41" i="11"/>
  <c r="V41" i="11" s="1"/>
  <c r="W41" i="11" s="1"/>
  <c r="X41" i="11" s="1"/>
  <c r="Y41" i="11" s="1"/>
  <c r="V716" i="11"/>
  <c r="W716" i="11" s="1"/>
  <c r="V160" i="11"/>
  <c r="W160" i="11" s="1"/>
  <c r="T734" i="11"/>
  <c r="R676" i="11"/>
  <c r="S676" i="11" s="1"/>
  <c r="R709" i="11"/>
  <c r="U302" i="11"/>
  <c r="V302" i="11" s="1"/>
  <c r="S572" i="11"/>
  <c r="T572" i="11" s="1"/>
  <c r="U572" i="11" s="1"/>
  <c r="S190" i="11"/>
  <c r="T190" i="11" s="1"/>
  <c r="T269" i="11"/>
  <c r="U269" i="11" s="1"/>
  <c r="V269" i="11" s="1"/>
  <c r="W269" i="11" s="1"/>
  <c r="X269" i="11" s="1"/>
  <c r="Y269" i="11" s="1"/>
  <c r="Z269" i="11" s="1"/>
  <c r="S45" i="11"/>
  <c r="S566" i="11"/>
  <c r="T566" i="11" s="1"/>
  <c r="U566" i="11" s="1"/>
  <c r="W447" i="11"/>
  <c r="X447" i="11" s="1"/>
  <c r="Y447" i="11" s="1"/>
  <c r="T66" i="11"/>
  <c r="U66" i="11" s="1"/>
  <c r="V683" i="11"/>
  <c r="W683" i="11" s="1"/>
  <c r="X683" i="11" s="1"/>
  <c r="Y683" i="11" s="1"/>
  <c r="Z683" i="11" s="1"/>
  <c r="AA683" i="11" s="1"/>
  <c r="T463" i="11"/>
  <c r="S398" i="11"/>
  <c r="T398" i="11" s="1"/>
  <c r="T309" i="11"/>
  <c r="U309" i="11" s="1"/>
  <c r="V309" i="11" s="1"/>
  <c r="W309" i="11" s="1"/>
  <c r="X309" i="11" s="1"/>
  <c r="S10" i="11"/>
  <c r="T231" i="11"/>
  <c r="U231" i="11" s="1"/>
  <c r="V231" i="11" s="1"/>
  <c r="S429" i="11"/>
  <c r="T429" i="11" s="1"/>
  <c r="R319" i="11"/>
  <c r="T174" i="11"/>
  <c r="U174" i="11" s="1"/>
  <c r="V11" i="11"/>
  <c r="V232" i="11"/>
  <c r="R509" i="11"/>
  <c r="V533" i="11"/>
  <c r="W533" i="11" s="1"/>
  <c r="X533" i="11" s="1"/>
  <c r="T42" i="11"/>
  <c r="U42" i="11" s="1"/>
  <c r="S222" i="11"/>
  <c r="T570" i="11"/>
  <c r="U570" i="11" s="1"/>
  <c r="V570" i="11" s="1"/>
  <c r="S757" i="11"/>
  <c r="T4" i="11"/>
  <c r="S67" i="11"/>
  <c r="T67" i="11" s="1"/>
  <c r="U67" i="11" s="1"/>
  <c r="V67" i="11" s="1"/>
  <c r="U352" i="11"/>
  <c r="U85" i="11"/>
  <c r="V85" i="11" s="1"/>
  <c r="W85" i="11" s="1"/>
  <c r="V161" i="11"/>
  <c r="W161" i="11" s="1"/>
  <c r="X161" i="11" s="1"/>
  <c r="Y161" i="11" s="1"/>
  <c r="Z161" i="11" s="1"/>
  <c r="V555" i="11"/>
  <c r="U589" i="11"/>
  <c r="V589" i="11" s="1"/>
  <c r="W589" i="11" s="1"/>
  <c r="U462" i="11"/>
  <c r="U127" i="11"/>
  <c r="S351" i="11"/>
  <c r="T525" i="11"/>
  <c r="U254" i="11"/>
  <c r="V254" i="11" s="1"/>
  <c r="T2" i="11"/>
  <c r="R111" i="11"/>
  <c r="R167" i="11"/>
  <c r="S167" i="11" s="1"/>
  <c r="T26" i="11"/>
  <c r="J789" i="14"/>
  <c r="J788" i="14"/>
  <c r="J787" i="14"/>
  <c r="J786" i="14"/>
  <c r="J785" i="14"/>
  <c r="J790" i="14"/>
  <c r="J784" i="14"/>
  <c r="J441" i="11"/>
  <c r="J9" i="14"/>
  <c r="J55" i="14"/>
  <c r="J22" i="14"/>
  <c r="J27" i="14"/>
  <c r="J45" i="14"/>
  <c r="J14" i="14"/>
  <c r="J40" i="14"/>
  <c r="J50" i="14"/>
  <c r="J7" i="14"/>
  <c r="J19" i="14"/>
  <c r="J24" i="14"/>
  <c r="J2" i="14"/>
  <c r="J34" i="14"/>
  <c r="J11" i="14"/>
  <c r="J32" i="14"/>
  <c r="J37" i="14"/>
  <c r="J62" i="14"/>
  <c r="J29" i="14"/>
  <c r="J57" i="14"/>
  <c r="J88" i="14"/>
  <c r="J101" i="14"/>
  <c r="J103" i="14"/>
  <c r="J108" i="14"/>
  <c r="J116" i="14"/>
  <c r="J121" i="14"/>
  <c r="J129" i="14"/>
  <c r="J137" i="14"/>
  <c r="J145" i="14"/>
  <c r="J150" i="14"/>
  <c r="J155" i="14"/>
  <c r="J168" i="14"/>
  <c r="J176" i="14"/>
  <c r="J184" i="14"/>
  <c r="J186" i="14"/>
  <c r="J191" i="14"/>
  <c r="J199" i="14"/>
  <c r="J207" i="14"/>
  <c r="J212" i="14"/>
  <c r="J217" i="14"/>
  <c r="J225" i="14"/>
  <c r="J232" i="14"/>
  <c r="J237" i="14"/>
  <c r="J243" i="14"/>
  <c r="J250" i="14"/>
  <c r="J255" i="14"/>
  <c r="J263" i="14"/>
  <c r="J271" i="14"/>
  <c r="J278" i="14"/>
  <c r="J286" i="14"/>
  <c r="J333" i="14"/>
  <c r="J379" i="14"/>
  <c r="J397" i="14"/>
  <c r="J415" i="14"/>
  <c r="J486" i="14"/>
  <c r="J605" i="14"/>
  <c r="J623" i="14"/>
  <c r="J60" i="14"/>
  <c r="J65" i="14"/>
  <c r="J5" i="14"/>
  <c r="J12" i="14"/>
  <c r="J17" i="14"/>
  <c r="J25" i="14"/>
  <c r="J30" i="14"/>
  <c r="J35" i="14"/>
  <c r="J43" i="14"/>
  <c r="J48" i="14"/>
  <c r="J54" i="14"/>
  <c r="J68" i="14"/>
  <c r="J73" i="14"/>
  <c r="J78" i="14"/>
  <c r="J83" i="14"/>
  <c r="J93" i="14"/>
  <c r="J100" i="14"/>
  <c r="J111" i="14"/>
  <c r="J119" i="14"/>
  <c r="J124" i="14"/>
  <c r="J132" i="14"/>
  <c r="J140" i="14"/>
  <c r="J153" i="14"/>
  <c r="J158" i="14"/>
  <c r="J163" i="14"/>
  <c r="J171" i="14"/>
  <c r="J181" i="14"/>
  <c r="J189" i="14"/>
  <c r="J194" i="14"/>
  <c r="J202" i="14"/>
  <c r="J220" i="14"/>
  <c r="J228" i="14"/>
  <c r="J241" i="14"/>
  <c r="J253" i="14"/>
  <c r="J258" i="14"/>
  <c r="J266" i="14"/>
  <c r="J281" i="14"/>
  <c r="J289" i="14"/>
  <c r="J297" i="14"/>
  <c r="J392" i="14"/>
  <c r="J430" i="14"/>
  <c r="J446" i="14"/>
  <c r="J523" i="14"/>
  <c r="J600" i="14"/>
  <c r="J703" i="14"/>
  <c r="J75" i="14"/>
  <c r="J80" i="14"/>
  <c r="J3" i="14"/>
  <c r="J10" i="14"/>
  <c r="J15" i="14"/>
  <c r="J20" i="14"/>
  <c r="J38" i="14"/>
  <c r="J46" i="14"/>
  <c r="J589" i="14"/>
  <c r="J58" i="14"/>
  <c r="J63" i="14"/>
  <c r="J86" i="14"/>
  <c r="J91" i="14"/>
  <c r="J96" i="14"/>
  <c r="J106" i="14"/>
  <c r="J114" i="14"/>
  <c r="J127" i="14"/>
  <c r="J135" i="14"/>
  <c r="J143" i="14"/>
  <c r="J148" i="14"/>
  <c r="J161" i="14"/>
  <c r="J166" i="14"/>
  <c r="J174" i="14"/>
  <c r="J182" i="14"/>
  <c r="J197" i="14"/>
  <c r="J205" i="14"/>
  <c r="J210" i="14"/>
  <c r="J215" i="14"/>
  <c r="J223" i="14"/>
  <c r="J230" i="14"/>
  <c r="J235" i="14"/>
  <c r="J246" i="14"/>
  <c r="J248" i="14"/>
  <c r="J261" i="14"/>
  <c r="J269" i="14"/>
  <c r="J276" i="14"/>
  <c r="J284" i="14"/>
  <c r="J441" i="14"/>
  <c r="J494" i="14"/>
  <c r="J517" i="14"/>
  <c r="J671" i="14"/>
  <c r="J70" i="14"/>
  <c r="J23" i="14"/>
  <c r="J28" i="14"/>
  <c r="J33" i="14"/>
  <c r="J41" i="14"/>
  <c r="J52" i="14"/>
  <c r="J66" i="14"/>
  <c r="J71" i="14"/>
  <c r="J76" i="14"/>
  <c r="J81" i="14"/>
  <c r="J89" i="14"/>
  <c r="J98" i="14"/>
  <c r="J109" i="14"/>
  <c r="J117" i="14"/>
  <c r="J122" i="14"/>
  <c r="J130" i="14"/>
  <c r="J138" i="14"/>
  <c r="J151" i="14"/>
  <c r="J156" i="14"/>
  <c r="J169" i="14"/>
  <c r="J177" i="14"/>
  <c r="J187" i="14"/>
  <c r="J192" i="14"/>
  <c r="J200" i="14"/>
  <c r="J213" i="14"/>
  <c r="J218" i="14"/>
  <c r="J226" i="14"/>
  <c r="J239" i="14"/>
  <c r="J251" i="14"/>
  <c r="J256" i="14"/>
  <c r="J264" i="14"/>
  <c r="J272" i="14"/>
  <c r="J274" i="14"/>
  <c r="J279" i="14"/>
  <c r="J287" i="14"/>
  <c r="J290" i="14"/>
  <c r="J302" i="14"/>
  <c r="J436" i="14"/>
  <c r="J507" i="14"/>
  <c r="J531" i="14"/>
  <c r="J549" i="14"/>
  <c r="J572" i="14"/>
  <c r="J631" i="14"/>
  <c r="J686" i="14"/>
  <c r="J698" i="14"/>
  <c r="J74" i="14"/>
  <c r="J79" i="14"/>
  <c r="J84" i="14"/>
  <c r="J94" i="14"/>
  <c r="J104" i="14"/>
  <c r="J112" i="14"/>
  <c r="J120" i="14"/>
  <c r="J125" i="14"/>
  <c r="J133" i="14"/>
  <c r="J141" i="14"/>
  <c r="J146" i="14"/>
  <c r="J159" i="14"/>
  <c r="J164" i="14"/>
  <c r="J172" i="14"/>
  <c r="J179" i="14"/>
  <c r="J185" i="14"/>
  <c r="J190" i="14"/>
  <c r="J195" i="14"/>
  <c r="J203" i="14"/>
  <c r="J208" i="14"/>
  <c r="J221" i="14"/>
  <c r="J229" i="14"/>
  <c r="J233" i="14"/>
  <c r="J242" i="14"/>
  <c r="J244" i="14"/>
  <c r="J254" i="14"/>
  <c r="J259" i="14"/>
  <c r="J267" i="14"/>
  <c r="J282" i="14"/>
  <c r="J295" i="14"/>
  <c r="J304" i="14"/>
  <c r="J308" i="14"/>
  <c r="J452" i="14"/>
  <c r="J470" i="14"/>
  <c r="J502" i="14"/>
  <c r="J562" i="14"/>
  <c r="J13" i="14"/>
  <c r="J18" i="14"/>
  <c r="J26" i="14"/>
  <c r="J36" i="14"/>
  <c r="J44" i="14"/>
  <c r="J49" i="14"/>
  <c r="J56" i="14"/>
  <c r="J4" i="14"/>
  <c r="J6" i="14"/>
  <c r="J16" i="14"/>
  <c r="J21" i="14"/>
  <c r="J31" i="14"/>
  <c r="J39" i="14"/>
  <c r="J51" i="14"/>
  <c r="J59" i="14"/>
  <c r="J64" i="14"/>
  <c r="J69" i="14"/>
  <c r="J87" i="14"/>
  <c r="J92" i="14"/>
  <c r="J97" i="14"/>
  <c r="J102" i="14"/>
  <c r="J107" i="14"/>
  <c r="J115" i="14"/>
  <c r="J128" i="14"/>
  <c r="J136" i="14"/>
  <c r="J144" i="14"/>
  <c r="J149" i="14"/>
  <c r="J154" i="14"/>
  <c r="J162" i="14"/>
  <c r="J167" i="14"/>
  <c r="J175" i="14"/>
  <c r="J183" i="14"/>
  <c r="J198" i="14"/>
  <c r="J206" i="14"/>
  <c r="J211" i="14"/>
  <c r="J216" i="14"/>
  <c r="J224" i="14"/>
  <c r="J231" i="14"/>
  <c r="J236" i="14"/>
  <c r="J249" i="14"/>
  <c r="J262" i="14"/>
  <c r="J270" i="14"/>
  <c r="J277" i="14"/>
  <c r="J291" i="14"/>
  <c r="J588" i="14"/>
  <c r="J358" i="14"/>
  <c r="J465" i="14"/>
  <c r="J539" i="14"/>
  <c r="J580" i="14"/>
  <c r="J42" i="14"/>
  <c r="J47" i="14"/>
  <c r="J53" i="14"/>
  <c r="J67" i="14"/>
  <c r="J72" i="14"/>
  <c r="J77" i="14"/>
  <c r="J82" i="14"/>
  <c r="J99" i="14"/>
  <c r="J110" i="14"/>
  <c r="J118" i="14"/>
  <c r="J123" i="14"/>
  <c r="J131" i="14"/>
  <c r="J139" i="14"/>
  <c r="J152" i="14"/>
  <c r="J157" i="14"/>
  <c r="J170" i="14"/>
  <c r="J178" i="14"/>
  <c r="J188" i="14"/>
  <c r="J193" i="14"/>
  <c r="J201" i="14"/>
  <c r="J219" i="14"/>
  <c r="J227" i="14"/>
  <c r="J240" i="14"/>
  <c r="J247" i="14"/>
  <c r="J252" i="14"/>
  <c r="J257" i="14"/>
  <c r="J265" i="14"/>
  <c r="J275" i="14"/>
  <c r="J280" i="14"/>
  <c r="J288" i="14"/>
  <c r="J305" i="14"/>
  <c r="J325" i="14"/>
  <c r="J348" i="14"/>
  <c r="J371" i="14"/>
  <c r="J460" i="14"/>
  <c r="J478" i="14"/>
  <c r="J570" i="14"/>
  <c r="J615" i="14"/>
  <c r="J651" i="14"/>
  <c r="J668" i="14"/>
  <c r="J85" i="14"/>
  <c r="J90" i="14"/>
  <c r="J95" i="14"/>
  <c r="J105" i="14"/>
  <c r="J113" i="14"/>
  <c r="J126" i="14"/>
  <c r="J134" i="14"/>
  <c r="J142" i="14"/>
  <c r="J147" i="14"/>
  <c r="J160" i="14"/>
  <c r="J165" i="14"/>
  <c r="J173" i="14"/>
  <c r="J180" i="14"/>
  <c r="J196" i="14"/>
  <c r="J204" i="14"/>
  <c r="J209" i="14"/>
  <c r="J214" i="14"/>
  <c r="J222" i="14"/>
  <c r="J238" i="14"/>
  <c r="J234" i="14"/>
  <c r="J245" i="14"/>
  <c r="J260" i="14"/>
  <c r="J268" i="14"/>
  <c r="J273" i="14"/>
  <c r="J283" i="14"/>
  <c r="J310" i="14"/>
  <c r="J315" i="14"/>
  <c r="J338" i="14"/>
  <c r="J590" i="14"/>
  <c r="J294" i="14"/>
  <c r="J301" i="14"/>
  <c r="J307" i="14"/>
  <c r="J312" i="14"/>
  <c r="J320" i="14"/>
  <c r="J322" i="14"/>
  <c r="J330" i="14"/>
  <c r="J340" i="14"/>
  <c r="J345" i="14"/>
  <c r="J355" i="14"/>
  <c r="J363" i="14"/>
  <c r="J368" i="14"/>
  <c r="J376" i="14"/>
  <c r="J384" i="14"/>
  <c r="J389" i="14"/>
  <c r="J402" i="14"/>
  <c r="J407" i="14"/>
  <c r="J412" i="14"/>
  <c r="J420" i="14"/>
  <c r="J425" i="14"/>
  <c r="J433" i="14"/>
  <c r="J457" i="14"/>
  <c r="J475" i="14"/>
  <c r="J483" i="14"/>
  <c r="J491" i="14"/>
  <c r="J499" i="14"/>
  <c r="J509" i="14"/>
  <c r="J514" i="14"/>
  <c r="J528" i="14"/>
  <c r="J536" i="14"/>
  <c r="J544" i="14"/>
  <c r="J554" i="14"/>
  <c r="J559" i="14"/>
  <c r="J567" i="14"/>
  <c r="J577" i="14"/>
  <c r="J585" i="14"/>
  <c r="J597" i="14"/>
  <c r="J612" i="14"/>
  <c r="J620" i="14"/>
  <c r="J628" i="14"/>
  <c r="J633" i="14"/>
  <c r="J636" i="14"/>
  <c r="J639" i="14"/>
  <c r="J657" i="14"/>
  <c r="J690" i="14"/>
  <c r="J715" i="14"/>
  <c r="J292" i="14"/>
  <c r="J299" i="14"/>
  <c r="J318" i="14"/>
  <c r="J328" i="14"/>
  <c r="J343" i="14"/>
  <c r="J351" i="14"/>
  <c r="J361" i="14"/>
  <c r="J366" i="14"/>
  <c r="J375" i="14"/>
  <c r="J382" i="14"/>
  <c r="J387" i="14"/>
  <c r="J395" i="14"/>
  <c r="J400" i="14"/>
  <c r="J405" i="14"/>
  <c r="J410" i="14"/>
  <c r="J418" i="14"/>
  <c r="J423" i="14"/>
  <c r="J431" i="14"/>
  <c r="J444" i="14"/>
  <c r="J450" i="14"/>
  <c r="J455" i="14"/>
  <c r="J463" i="14"/>
  <c r="J468" i="14"/>
  <c r="J473" i="14"/>
  <c r="J481" i="14"/>
  <c r="J489" i="14"/>
  <c r="J497" i="14"/>
  <c r="J512" i="14"/>
  <c r="J521" i="14"/>
  <c r="J526" i="14"/>
  <c r="J534" i="14"/>
  <c r="J542" i="14"/>
  <c r="J547" i="14"/>
  <c r="J552" i="14"/>
  <c r="J557" i="14"/>
  <c r="J565" i="14"/>
  <c r="J575" i="14"/>
  <c r="J583" i="14"/>
  <c r="J593" i="14"/>
  <c r="J603" i="14"/>
  <c r="J610" i="14"/>
  <c r="J618" i="14"/>
  <c r="J626" i="14"/>
  <c r="J640" i="14"/>
  <c r="J643" i="14"/>
  <c r="J646" i="14"/>
  <c r="J665" i="14"/>
  <c r="J675" i="14"/>
  <c r="J683" i="14"/>
  <c r="J313" i="14"/>
  <c r="J323" i="14"/>
  <c r="J331" i="14"/>
  <c r="J336" i="14"/>
  <c r="J346" i="14"/>
  <c r="J356" i="14"/>
  <c r="J364" i="14"/>
  <c r="J369" i="14"/>
  <c r="J377" i="14"/>
  <c r="J385" i="14"/>
  <c r="J390" i="14"/>
  <c r="J403" i="14"/>
  <c r="J408" i="14"/>
  <c r="J413" i="14"/>
  <c r="J421" i="14"/>
  <c r="J426" i="14"/>
  <c r="J434" i="14"/>
  <c r="J439" i="14"/>
  <c r="J518" i="14"/>
  <c r="J458" i="14"/>
  <c r="J476" i="14"/>
  <c r="J484" i="14"/>
  <c r="J492" i="14"/>
  <c r="J500" i="14"/>
  <c r="J504" i="14"/>
  <c r="J510" i="14"/>
  <c r="J515" i="14"/>
  <c r="J529" i="14"/>
  <c r="J537" i="14"/>
  <c r="J555" i="14"/>
  <c r="J560" i="14"/>
  <c r="J568" i="14"/>
  <c r="J578" i="14"/>
  <c r="J586" i="14"/>
  <c r="J598" i="14"/>
  <c r="J608" i="14"/>
  <c r="J613" i="14"/>
  <c r="J621" i="14"/>
  <c r="J629" i="14"/>
  <c r="J634" i="14"/>
  <c r="J637" i="14"/>
  <c r="J655" i="14"/>
  <c r="J654" i="14"/>
  <c r="J661" i="14"/>
  <c r="J663" i="14"/>
  <c r="J672" i="14"/>
  <c r="J680" i="14"/>
  <c r="J695" i="14"/>
  <c r="J298" i="14"/>
  <c r="J306" i="14"/>
  <c r="J316" i="14"/>
  <c r="J321" i="14"/>
  <c r="J326" i="14"/>
  <c r="J334" i="14"/>
  <c r="J339" i="14"/>
  <c r="J341" i="14"/>
  <c r="J349" i="14"/>
  <c r="J354" i="14"/>
  <c r="J359" i="14"/>
  <c r="J372" i="14"/>
  <c r="J380" i="14"/>
  <c r="J393" i="14"/>
  <c r="J398" i="14"/>
  <c r="J416" i="14"/>
  <c r="J428" i="14"/>
  <c r="J437" i="14"/>
  <c r="J442" i="14"/>
  <c r="J447" i="14"/>
  <c r="J453" i="14"/>
  <c r="J461" i="14"/>
  <c r="J466" i="14"/>
  <c r="J471" i="14"/>
  <c r="J479" i="14"/>
  <c r="J487" i="14"/>
  <c r="J495" i="14"/>
  <c r="J506" i="14"/>
  <c r="J519" i="14"/>
  <c r="J524" i="14"/>
  <c r="J532" i="14"/>
  <c r="J540" i="14"/>
  <c r="J545" i="14"/>
  <c r="J550" i="14"/>
  <c r="J563" i="14"/>
  <c r="J573" i="14"/>
  <c r="J581" i="14"/>
  <c r="J591" i="14"/>
  <c r="J601" i="14"/>
  <c r="J606" i="14"/>
  <c r="J616" i="14"/>
  <c r="J624" i="14"/>
  <c r="J649" i="14"/>
  <c r="J669" i="14"/>
  <c r="J700" i="14"/>
  <c r="J716" i="14"/>
  <c r="J285" i="14"/>
  <c r="J293" i="14"/>
  <c r="J300" i="14"/>
  <c r="J311" i="14"/>
  <c r="J319" i="14"/>
  <c r="J329" i="14"/>
  <c r="J344" i="14"/>
  <c r="J352" i="14"/>
  <c r="J362" i="14"/>
  <c r="J367" i="14"/>
  <c r="J374" i="14"/>
  <c r="J383" i="14"/>
  <c r="J388" i="14"/>
  <c r="J396" i="14"/>
  <c r="J401" i="14"/>
  <c r="J406" i="14"/>
  <c r="J411" i="14"/>
  <c r="J419" i="14"/>
  <c r="J424" i="14"/>
  <c r="J432" i="14"/>
  <c r="J456" i="14"/>
  <c r="J464" i="14"/>
  <c r="J469" i="14"/>
  <c r="J474" i="14"/>
  <c r="J482" i="14"/>
  <c r="J490" i="14"/>
  <c r="J498" i="14"/>
  <c r="J508" i="14"/>
  <c r="J513" i="14"/>
  <c r="J522" i="14"/>
  <c r="J527" i="14"/>
  <c r="J535" i="14"/>
  <c r="J543" i="14"/>
  <c r="J548" i="14"/>
  <c r="J553" i="14"/>
  <c r="J558" i="14"/>
  <c r="J566" i="14"/>
  <c r="J571" i="14"/>
  <c r="J576" i="14"/>
  <c r="J584" i="14"/>
  <c r="J594" i="14"/>
  <c r="J604" i="14"/>
  <c r="J611" i="14"/>
  <c r="J619" i="14"/>
  <c r="J627" i="14"/>
  <c r="J632" i="14"/>
  <c r="J641" i="14"/>
  <c r="J644" i="14"/>
  <c r="J656" i="14"/>
  <c r="J659" i="14"/>
  <c r="J677" i="14"/>
  <c r="J685" i="14"/>
  <c r="J688" i="14"/>
  <c r="J710" i="14"/>
  <c r="J721" i="14"/>
  <c r="J296" i="14"/>
  <c r="J303" i="14"/>
  <c r="J309" i="14"/>
  <c r="J314" i="14"/>
  <c r="J324" i="14"/>
  <c r="J332" i="14"/>
  <c r="J337" i="14"/>
  <c r="J347" i="14"/>
  <c r="J357" i="14"/>
  <c r="J365" i="14"/>
  <c r="J370" i="14"/>
  <c r="J378" i="14"/>
  <c r="J391" i="14"/>
  <c r="J414" i="14"/>
  <c r="J422" i="14"/>
  <c r="J427" i="14"/>
  <c r="J435" i="14"/>
  <c r="J440" i="14"/>
  <c r="J445" i="14"/>
  <c r="J451" i="14"/>
  <c r="J459" i="14"/>
  <c r="J477" i="14"/>
  <c r="J485" i="14"/>
  <c r="J493" i="14"/>
  <c r="J501" i="14"/>
  <c r="J505" i="14"/>
  <c r="J516" i="14"/>
  <c r="J530" i="14"/>
  <c r="J538" i="14"/>
  <c r="J556" i="14"/>
  <c r="J561" i="14"/>
  <c r="J569" i="14"/>
  <c r="J579" i="14"/>
  <c r="J587" i="14"/>
  <c r="J599" i="14"/>
  <c r="J609" i="14"/>
  <c r="J614" i="14"/>
  <c r="J622" i="14"/>
  <c r="J635" i="14"/>
  <c r="J652" i="14"/>
  <c r="J673" i="14"/>
  <c r="J681" i="14"/>
  <c r="J692" i="14"/>
  <c r="J317" i="14"/>
  <c r="J327" i="14"/>
  <c r="J335" i="14"/>
  <c r="J342" i="14"/>
  <c r="J350" i="14"/>
  <c r="J360" i="14"/>
  <c r="J373" i="14"/>
  <c r="J381" i="14"/>
  <c r="J386" i="14"/>
  <c r="J394" i="14"/>
  <c r="J399" i="14"/>
  <c r="J404" i="14"/>
  <c r="J409" i="14"/>
  <c r="J417" i="14"/>
  <c r="J429" i="14"/>
  <c r="J438" i="14"/>
  <c r="J443" i="14"/>
  <c r="J448" i="14"/>
  <c r="J449" i="14"/>
  <c r="J454" i="14"/>
  <c r="J462" i="14"/>
  <c r="J467" i="14"/>
  <c r="J472" i="14"/>
  <c r="J480" i="14"/>
  <c r="J488" i="14"/>
  <c r="J496" i="14"/>
  <c r="J503" i="14"/>
  <c r="J511" i="14"/>
  <c r="J520" i="14"/>
  <c r="J525" i="14"/>
  <c r="J533" i="14"/>
  <c r="J541" i="14"/>
  <c r="J546" i="14"/>
  <c r="J551" i="14"/>
  <c r="J564" i="14"/>
  <c r="J574" i="14"/>
  <c r="J582" i="14"/>
  <c r="J592" i="14"/>
  <c r="J602" i="14"/>
  <c r="J607" i="14"/>
  <c r="J617" i="14"/>
  <c r="J625" i="14"/>
  <c r="J630" i="14"/>
  <c r="J645" i="14"/>
  <c r="J648" i="14"/>
  <c r="J660" i="14"/>
  <c r="J662" i="14"/>
  <c r="J664" i="14"/>
  <c r="J667" i="14"/>
  <c r="J642" i="14"/>
  <c r="J647" i="14"/>
  <c r="J653" i="14"/>
  <c r="J666" i="14"/>
  <c r="J674" i="14"/>
  <c r="J682" i="14"/>
  <c r="J687" i="14"/>
  <c r="J697" i="14"/>
  <c r="J705" i="14"/>
  <c r="J712" i="14"/>
  <c r="J723" i="14"/>
  <c r="J728" i="14"/>
  <c r="J736" i="14"/>
  <c r="J749" i="14"/>
  <c r="J754" i="14"/>
  <c r="J759" i="14"/>
  <c r="J767" i="14"/>
  <c r="J779" i="14"/>
  <c r="J776" i="14"/>
  <c r="J731" i="14"/>
  <c r="J739" i="14"/>
  <c r="J744" i="14"/>
  <c r="J752" i="14"/>
  <c r="J757" i="14"/>
  <c r="J762" i="14"/>
  <c r="J780" i="14"/>
  <c r="J726" i="14"/>
  <c r="J734" i="14"/>
  <c r="J747" i="14"/>
  <c r="J765" i="14"/>
  <c r="J770" i="14"/>
  <c r="J774" i="14"/>
  <c r="J783" i="14"/>
  <c r="J706" i="14"/>
  <c r="J713" i="14"/>
  <c r="J719" i="14"/>
  <c r="J729" i="14"/>
  <c r="J737" i="14"/>
  <c r="J742" i="14"/>
  <c r="J750" i="14"/>
  <c r="J755" i="14"/>
  <c r="J760" i="14"/>
  <c r="J772" i="14"/>
  <c r="J777" i="14"/>
  <c r="J638" i="14"/>
  <c r="J650" i="14"/>
  <c r="J658" i="14"/>
  <c r="J670" i="14"/>
  <c r="J678" i="14"/>
  <c r="J693" i="14"/>
  <c r="J701" i="14"/>
  <c r="J708" i="14"/>
  <c r="J717" i="14"/>
  <c r="J724" i="14"/>
  <c r="J732" i="14"/>
  <c r="J740" i="14"/>
  <c r="J745" i="14"/>
  <c r="J758" i="14"/>
  <c r="J763" i="14"/>
  <c r="J768" i="14"/>
  <c r="J781" i="14"/>
  <c r="J691" i="14"/>
  <c r="J696" i="14"/>
  <c r="J704" i="14"/>
  <c r="J711" i="14"/>
  <c r="J722" i="14"/>
  <c r="J727" i="14"/>
  <c r="J735" i="14"/>
  <c r="J748" i="14"/>
  <c r="J753" i="14"/>
  <c r="J766" i="14"/>
  <c r="J771" i="14"/>
  <c r="J775" i="14"/>
  <c r="J676" i="14"/>
  <c r="J684" i="14"/>
  <c r="J689" i="14"/>
  <c r="J699" i="14"/>
  <c r="J707" i="14"/>
  <c r="J714" i="14"/>
  <c r="J730" i="14"/>
  <c r="J738" i="14"/>
  <c r="J743" i="14"/>
  <c r="J751" i="14"/>
  <c r="J756" i="14"/>
  <c r="J761" i="14"/>
  <c r="J778" i="14"/>
  <c r="J679" i="14"/>
  <c r="J694" i="14"/>
  <c r="J702" i="14"/>
  <c r="J709" i="14"/>
  <c r="J718" i="14"/>
  <c r="J720" i="14"/>
  <c r="J725" i="14"/>
  <c r="J733" i="14"/>
  <c r="J741" i="14"/>
  <c r="J746" i="14"/>
  <c r="J764" i="14"/>
  <c r="J769" i="14"/>
  <c r="J773" i="14"/>
  <c r="J782" i="14"/>
  <c r="I31" i="22"/>
  <c r="AA18" i="22"/>
  <c r="J7" i="22"/>
  <c r="I17" i="22"/>
  <c r="S6" i="22"/>
  <c r="AE28" i="22"/>
  <c r="I32" i="22"/>
  <c r="T17" i="22"/>
  <c r="F18" i="22"/>
  <c r="U7" i="22"/>
  <c r="U17" i="22"/>
  <c r="AA6" i="22"/>
  <c r="U32" i="22"/>
  <c r="M18" i="22"/>
  <c r="S18" i="22"/>
  <c r="I6" i="22"/>
  <c r="AJ18" i="22"/>
  <c r="AC19" i="22"/>
  <c r="AC17" i="22"/>
  <c r="U6" i="22"/>
  <c r="T6" i="22"/>
  <c r="Q17" i="22"/>
  <c r="M32" i="22"/>
  <c r="H17" i="22"/>
  <c r="N19" i="22"/>
  <c r="O17" i="22"/>
  <c r="D6" i="22"/>
  <c r="L18" i="22"/>
  <c r="AC18" i="22"/>
  <c r="F6" i="22"/>
  <c r="R18" i="22"/>
  <c r="T30" i="22"/>
  <c r="P18" i="22"/>
  <c r="D18" i="22"/>
  <c r="V7" i="22"/>
  <c r="J18" i="22"/>
  <c r="P6" i="22"/>
  <c r="AI17" i="22"/>
  <c r="AG30" i="22"/>
  <c r="K6" i="22"/>
  <c r="M6" i="22"/>
  <c r="K30" i="22"/>
  <c r="R17" i="22"/>
  <c r="E20" i="22"/>
  <c r="J17" i="22"/>
  <c r="AI18" i="22"/>
  <c r="AC31" i="22"/>
  <c r="AJ19" i="22"/>
  <c r="L6" i="22"/>
  <c r="Q30" i="22"/>
  <c r="U31" i="22"/>
  <c r="Z32" i="22"/>
  <c r="O18" i="22"/>
  <c r="E6" i="22"/>
  <c r="F32" i="22"/>
  <c r="AD31" i="22"/>
  <c r="Z17" i="22"/>
  <c r="J6" i="22"/>
  <c r="E19" i="22"/>
  <c r="AF28" i="22"/>
  <c r="N6" i="22"/>
  <c r="K18" i="22"/>
  <c r="V22" i="22"/>
  <c r="WT11" i="2" l="1"/>
  <c r="WT24" i="2"/>
  <c r="WT19" i="2"/>
  <c r="WT29" i="2"/>
  <c r="WT5" i="2"/>
  <c r="VY28" i="2"/>
  <c r="VY29" i="2"/>
  <c r="VY27" i="2"/>
  <c r="VY19" i="2"/>
  <c r="VD15" i="2"/>
  <c r="VD33" i="2"/>
  <c r="VD9" i="2"/>
  <c r="VD18" i="2"/>
  <c r="TN32" i="2"/>
  <c r="TN31" i="2"/>
  <c r="TP22" i="2" s="1"/>
  <c r="NB4" i="2"/>
  <c r="OR20" i="2"/>
  <c r="MG12" i="2"/>
  <c r="MG27" i="2"/>
  <c r="MG4" i="2"/>
  <c r="LL5" i="2"/>
  <c r="LL13" i="2"/>
  <c r="LL9" i="2"/>
  <c r="LL30" i="2"/>
  <c r="LL17" i="2"/>
  <c r="LL8" i="2"/>
  <c r="LL10" i="2"/>
  <c r="LL27" i="2"/>
  <c r="LL14" i="2"/>
  <c r="LL25" i="2"/>
  <c r="LL16" i="2"/>
  <c r="LL3" i="2"/>
  <c r="LL11" i="2"/>
  <c r="KQ13" i="2"/>
  <c r="KQ16" i="2"/>
  <c r="KQ8" i="2"/>
  <c r="KQ30" i="2"/>
  <c r="KQ27" i="2"/>
  <c r="KQ19" i="2"/>
  <c r="KQ15" i="2"/>
  <c r="KQ18" i="2"/>
  <c r="KQ29" i="2"/>
  <c r="KQ7" i="2"/>
  <c r="KQ24" i="2"/>
  <c r="CO19" i="2"/>
  <c r="CO8" i="2"/>
  <c r="CO20" i="2"/>
  <c r="BT18" i="2"/>
  <c r="BT8" i="2"/>
  <c r="BT3" i="2"/>
  <c r="BT11" i="2"/>
  <c r="BT4" i="2"/>
  <c r="BT14" i="2"/>
  <c r="BT10" i="2"/>
  <c r="BT5" i="2"/>
  <c r="BT25" i="2"/>
  <c r="BT9" i="2"/>
  <c r="BT12" i="2"/>
  <c r="BT17" i="2"/>
  <c r="BT29" i="2"/>
  <c r="BT19" i="2"/>
  <c r="V281" i="14"/>
  <c r="W281" i="14" s="1"/>
  <c r="X281" i="14" s="1"/>
  <c r="Y281" i="14" s="1"/>
  <c r="Z281" i="14" s="1"/>
  <c r="AA281" i="14" s="1"/>
  <c r="W452" i="14"/>
  <c r="X452" i="14" s="1"/>
  <c r="Y452" i="14" s="1"/>
  <c r="Z452" i="14" s="1"/>
  <c r="AA452" i="14" s="1"/>
  <c r="AA603" i="11"/>
  <c r="Z68" i="14"/>
  <c r="AA68" i="14" s="1"/>
  <c r="W175" i="11"/>
  <c r="X175" i="11" s="1"/>
  <c r="V134" i="14"/>
  <c r="W134" i="14" s="1"/>
  <c r="X134" i="14" s="1"/>
  <c r="Y134" i="14" s="1"/>
  <c r="Y696" i="14"/>
  <c r="Z696" i="14" s="1"/>
  <c r="AA696" i="14" s="1"/>
  <c r="V639" i="11"/>
  <c r="W639" i="11" s="1"/>
  <c r="X639" i="11" s="1"/>
  <c r="Y639" i="11" s="1"/>
  <c r="Z639" i="11" s="1"/>
  <c r="AA639" i="11" s="1"/>
  <c r="X65" i="14"/>
  <c r="Y65" i="14" s="1"/>
  <c r="Z65" i="14" s="1"/>
  <c r="AA65" i="14" s="1"/>
  <c r="S278" i="11"/>
  <c r="T278" i="11" s="1"/>
  <c r="X587" i="14"/>
  <c r="Y587" i="14" s="1"/>
  <c r="Z587" i="14" s="1"/>
  <c r="AA587" i="14" s="1"/>
  <c r="T742" i="14"/>
  <c r="U742" i="14" s="1"/>
  <c r="V742" i="14" s="1"/>
  <c r="W742" i="14" s="1"/>
  <c r="X742" i="14" s="1"/>
  <c r="Y742" i="14" s="1"/>
  <c r="Z742" i="14" s="1"/>
  <c r="AA742" i="14" s="1"/>
  <c r="P138" i="15"/>
  <c r="P6" i="14"/>
  <c r="P47" i="14"/>
  <c r="P157" i="15"/>
  <c r="P140" i="15"/>
  <c r="P164" i="15"/>
  <c r="P17" i="14"/>
  <c r="P8" i="14"/>
  <c r="P31" i="14"/>
  <c r="P2" i="15"/>
  <c r="Q2" i="15" s="1"/>
  <c r="P198" i="15"/>
  <c r="Q198" i="15" s="1"/>
  <c r="P75" i="14"/>
  <c r="Q75" i="14" s="1"/>
  <c r="R75" i="14" s="1"/>
  <c r="P61" i="14"/>
  <c r="P28" i="14"/>
  <c r="P202" i="15"/>
  <c r="P145" i="15"/>
  <c r="P69" i="14"/>
  <c r="P5" i="14"/>
  <c r="P11" i="14"/>
  <c r="R588" i="14"/>
  <c r="S588" i="14" s="1"/>
  <c r="V344" i="14"/>
  <c r="W344" i="14" s="1"/>
  <c r="X344" i="14" s="1"/>
  <c r="Y344" i="14" s="1"/>
  <c r="W179" i="14"/>
  <c r="X179" i="14" s="1"/>
  <c r="Y179" i="14" s="1"/>
  <c r="Z179" i="14" s="1"/>
  <c r="AA179" i="14" s="1"/>
  <c r="V526" i="14"/>
  <c r="W526" i="14" s="1"/>
  <c r="X526" i="14" s="1"/>
  <c r="X615" i="11"/>
  <c r="Y615" i="11" s="1"/>
  <c r="Z615" i="11" s="1"/>
  <c r="AA615" i="11" s="1"/>
  <c r="X172" i="11"/>
  <c r="Y172" i="11" s="1"/>
  <c r="Z172" i="11" s="1"/>
  <c r="AA172" i="11" s="1"/>
  <c r="Y546" i="11"/>
  <c r="Z546" i="11" s="1"/>
  <c r="U557" i="14"/>
  <c r="V557" i="14" s="1"/>
  <c r="W557" i="14" s="1"/>
  <c r="X557" i="14" s="1"/>
  <c r="Y557" i="14" s="1"/>
  <c r="Z557" i="14" s="1"/>
  <c r="AA557" i="14" s="1"/>
  <c r="Z310" i="11"/>
  <c r="AA310" i="11" s="1"/>
  <c r="V331" i="11"/>
  <c r="W331" i="11" s="1"/>
  <c r="X331" i="11" s="1"/>
  <c r="Y331" i="11" s="1"/>
  <c r="Z331" i="11" s="1"/>
  <c r="AA331" i="11" s="1"/>
  <c r="X202" i="14"/>
  <c r="Y202" i="14" s="1"/>
  <c r="Z202" i="14" s="1"/>
  <c r="AA202" i="14" s="1"/>
  <c r="W196" i="14"/>
  <c r="X196" i="14" s="1"/>
  <c r="Y196" i="14" s="1"/>
  <c r="Z196" i="14" s="1"/>
  <c r="AA196" i="14" s="1"/>
  <c r="Y491" i="14"/>
  <c r="Z491" i="14" s="1"/>
  <c r="AA491" i="14" s="1"/>
  <c r="X93" i="14"/>
  <c r="Y93" i="14" s="1"/>
  <c r="Z93" i="14" s="1"/>
  <c r="AA93" i="14" s="1"/>
  <c r="V277" i="14"/>
  <c r="W277" i="14" s="1"/>
  <c r="X787" i="14"/>
  <c r="Y787" i="14" s="1"/>
  <c r="Z787" i="14" s="1"/>
  <c r="AA787" i="14" s="1"/>
  <c r="V770" i="14"/>
  <c r="W770" i="14" s="1"/>
  <c r="X770" i="14" s="1"/>
  <c r="Y770" i="14" s="1"/>
  <c r="V113" i="11"/>
  <c r="W113" i="11" s="1"/>
  <c r="X113" i="11" s="1"/>
  <c r="Y113" i="11" s="1"/>
  <c r="Z113" i="11" s="1"/>
  <c r="AA113" i="11" s="1"/>
  <c r="W648" i="14"/>
  <c r="X648" i="14" s="1"/>
  <c r="Y648" i="14" s="1"/>
  <c r="Z648" i="14" s="1"/>
  <c r="AA648" i="14" s="1"/>
  <c r="X55" i="11"/>
  <c r="Y55" i="11" s="1"/>
  <c r="Z55" i="11" s="1"/>
  <c r="X209" i="11"/>
  <c r="Y209" i="11" s="1"/>
  <c r="Z209" i="11" s="1"/>
  <c r="AA209" i="11" s="1"/>
  <c r="W613" i="11"/>
  <c r="X613" i="11" s="1"/>
  <c r="Y613" i="11" s="1"/>
  <c r="Y345" i="11"/>
  <c r="Z345" i="11" s="1"/>
  <c r="AA345" i="11" s="1"/>
  <c r="V565" i="11"/>
  <c r="W565" i="11" s="1"/>
  <c r="X565" i="11" s="1"/>
  <c r="Y565" i="11" s="1"/>
  <c r="Z565" i="11" s="1"/>
  <c r="AA565" i="11" s="1"/>
  <c r="W276" i="11"/>
  <c r="X276" i="11" s="1"/>
  <c r="X497" i="11"/>
  <c r="Y497" i="11" s="1"/>
  <c r="Z497" i="11" s="1"/>
  <c r="AA497" i="11" s="1"/>
  <c r="V627" i="11"/>
  <c r="W627" i="11" s="1"/>
  <c r="X627" i="11" s="1"/>
  <c r="Y627" i="11" s="1"/>
  <c r="Z627" i="11" s="1"/>
  <c r="AA627" i="11" s="1"/>
  <c r="Y265" i="11"/>
  <c r="Z265" i="11" s="1"/>
  <c r="AA265" i="11" s="1"/>
  <c r="Y138" i="14"/>
  <c r="Z138" i="14" s="1"/>
  <c r="AA138" i="14" s="1"/>
  <c r="V44" i="14"/>
  <c r="W44" i="14" s="1"/>
  <c r="V630" i="14"/>
  <c r="W630" i="14" s="1"/>
  <c r="X630" i="14" s="1"/>
  <c r="Y630" i="14" s="1"/>
  <c r="Z630" i="14" s="1"/>
  <c r="AA630" i="14" s="1"/>
  <c r="V677" i="14"/>
  <c r="W677" i="14" s="1"/>
  <c r="X677" i="14" s="1"/>
  <c r="Y677" i="14" s="1"/>
  <c r="V121" i="14"/>
  <c r="W121" i="14" s="1"/>
  <c r="X121" i="14" s="1"/>
  <c r="Y121" i="14" s="1"/>
  <c r="Z121" i="14" s="1"/>
  <c r="AA121" i="14" s="1"/>
  <c r="V282" i="11"/>
  <c r="W282" i="11" s="1"/>
  <c r="V299" i="14"/>
  <c r="W299" i="14" s="1"/>
  <c r="X299" i="14" s="1"/>
  <c r="Y299" i="14" s="1"/>
  <c r="Z299" i="14" s="1"/>
  <c r="W437" i="14"/>
  <c r="X437" i="14" s="1"/>
  <c r="Y437" i="14" s="1"/>
  <c r="Z437" i="14" s="1"/>
  <c r="AA437" i="14" s="1"/>
  <c r="W670" i="14"/>
  <c r="X670" i="14" s="1"/>
  <c r="Y422" i="11"/>
  <c r="Z422" i="11" s="1"/>
  <c r="AA422" i="11" s="1"/>
  <c r="W396" i="14"/>
  <c r="X396" i="14" s="1"/>
  <c r="Y396" i="14" s="1"/>
  <c r="Z396" i="14" s="1"/>
  <c r="AA396" i="14" s="1"/>
  <c r="T449" i="14"/>
  <c r="U449" i="14" s="1"/>
  <c r="W323" i="14"/>
  <c r="X323" i="14" s="1"/>
  <c r="Y323" i="14" s="1"/>
  <c r="T545" i="14"/>
  <c r="U545" i="14" s="1"/>
  <c r="V545" i="14" s="1"/>
  <c r="T208" i="14"/>
  <c r="U208" i="14" s="1"/>
  <c r="T470" i="14"/>
  <c r="U470" i="14" s="1"/>
  <c r="V470" i="14" s="1"/>
  <c r="W470" i="14" s="1"/>
  <c r="U681" i="14"/>
  <c r="V681" i="14" s="1"/>
  <c r="W681" i="14" s="1"/>
  <c r="V747" i="14"/>
  <c r="W747" i="14" s="1"/>
  <c r="V430" i="14"/>
  <c r="W430" i="14" s="1"/>
  <c r="X430" i="14" s="1"/>
  <c r="Y430" i="14" s="1"/>
  <c r="Z430" i="14" s="1"/>
  <c r="V495" i="14"/>
  <c r="W495" i="14" s="1"/>
  <c r="X495" i="14" s="1"/>
  <c r="W382" i="11"/>
  <c r="X382" i="11" s="1"/>
  <c r="Y382" i="11" s="1"/>
  <c r="Z382" i="11" s="1"/>
  <c r="AA382" i="11" s="1"/>
  <c r="W153" i="11"/>
  <c r="X153" i="11" s="1"/>
  <c r="Y153" i="11" s="1"/>
  <c r="Y708" i="11"/>
  <c r="Z708" i="11" s="1"/>
  <c r="AA708" i="11" s="1"/>
  <c r="V241" i="11"/>
  <c r="W241" i="11" s="1"/>
  <c r="X241" i="11" s="1"/>
  <c r="Y241" i="11" s="1"/>
  <c r="Z241" i="11" s="1"/>
  <c r="AA241" i="11" s="1"/>
  <c r="X737" i="14"/>
  <c r="Y737" i="14" s="1"/>
  <c r="Z737" i="14" s="1"/>
  <c r="AA737" i="14" s="1"/>
  <c r="V494" i="14"/>
  <c r="W494" i="14" s="1"/>
  <c r="X276" i="14"/>
  <c r="Y276" i="14" s="1"/>
  <c r="Z276" i="14" s="1"/>
  <c r="AA276" i="14" s="1"/>
  <c r="T608" i="14"/>
  <c r="U608" i="14" s="1"/>
  <c r="Y552" i="14"/>
  <c r="Z552" i="14" s="1"/>
  <c r="AA552" i="14" s="1"/>
  <c r="U644" i="14"/>
  <c r="V644" i="14" s="1"/>
  <c r="V160" i="15"/>
  <c r="W160" i="15" s="1"/>
  <c r="X160" i="15" s="1"/>
  <c r="Y160" i="15" s="1"/>
  <c r="Z160" i="15" s="1"/>
  <c r="AA160" i="15" s="1"/>
  <c r="AB160" i="15" s="1"/>
  <c r="X443" i="11"/>
  <c r="Y443" i="11" s="1"/>
  <c r="V656" i="14"/>
  <c r="W656" i="14" s="1"/>
  <c r="Z82" i="14"/>
  <c r="AA82" i="14" s="1"/>
  <c r="V434" i="14"/>
  <c r="W434" i="14" s="1"/>
  <c r="X434" i="14" s="1"/>
  <c r="W37" i="14"/>
  <c r="X37" i="14" s="1"/>
  <c r="Y37" i="14" s="1"/>
  <c r="Z37" i="14" s="1"/>
  <c r="W587" i="11"/>
  <c r="X587" i="11" s="1"/>
  <c r="Y587" i="11" s="1"/>
  <c r="Z587" i="11" s="1"/>
  <c r="AA587" i="11" s="1"/>
  <c r="X358" i="14"/>
  <c r="Y358" i="14" s="1"/>
  <c r="Z358" i="14" s="1"/>
  <c r="U273" i="14"/>
  <c r="V273" i="14" s="1"/>
  <c r="W273" i="14" s="1"/>
  <c r="X273" i="14" s="1"/>
  <c r="Y273" i="14" s="1"/>
  <c r="Z273" i="14" s="1"/>
  <c r="AA273" i="14" s="1"/>
  <c r="V543" i="11"/>
  <c r="W543" i="11" s="1"/>
  <c r="X543" i="11" s="1"/>
  <c r="Y543" i="11" s="1"/>
  <c r="Z543" i="11" s="1"/>
  <c r="AA543" i="11" s="1"/>
  <c r="W376" i="14"/>
  <c r="X376" i="14" s="1"/>
  <c r="Y376" i="14" s="1"/>
  <c r="W661" i="14"/>
  <c r="X661" i="14" s="1"/>
  <c r="Y661" i="14" s="1"/>
  <c r="Z661" i="14" s="1"/>
  <c r="AA715" i="14"/>
  <c r="V607" i="11"/>
  <c r="W607" i="11" s="1"/>
  <c r="T185" i="14"/>
  <c r="U185" i="14" s="1"/>
  <c r="V185" i="14" s="1"/>
  <c r="W185" i="14" s="1"/>
  <c r="W761" i="14"/>
  <c r="X761" i="14" s="1"/>
  <c r="Y761" i="14" s="1"/>
  <c r="Z761" i="14" s="1"/>
  <c r="AA761" i="14" s="1"/>
  <c r="V611" i="11"/>
  <c r="W611" i="11" s="1"/>
  <c r="X611" i="11" s="1"/>
  <c r="Y611" i="11" s="1"/>
  <c r="Z611" i="11" s="1"/>
  <c r="AA611" i="11" s="1"/>
  <c r="X62" i="11"/>
  <c r="Y62" i="11" s="1"/>
  <c r="Z62" i="11" s="1"/>
  <c r="AA62" i="11" s="1"/>
  <c r="S662" i="14"/>
  <c r="T662" i="14" s="1"/>
  <c r="S691" i="14"/>
  <c r="T691" i="14" s="1"/>
  <c r="X364" i="14"/>
  <c r="Y364" i="14" s="1"/>
  <c r="Z364" i="14" s="1"/>
  <c r="AA364" i="14" s="1"/>
  <c r="V179" i="11"/>
  <c r="W179" i="11" s="1"/>
  <c r="X179" i="11" s="1"/>
  <c r="Y179" i="11" s="1"/>
  <c r="Z179" i="11" s="1"/>
  <c r="AA179" i="11" s="1"/>
  <c r="S720" i="14"/>
  <c r="T720" i="14" s="1"/>
  <c r="U720" i="14" s="1"/>
  <c r="V183" i="15"/>
  <c r="W183" i="15" s="1"/>
  <c r="X183" i="15" s="1"/>
  <c r="Y183" i="15" s="1"/>
  <c r="Z183" i="15" s="1"/>
  <c r="AA183" i="15" s="1"/>
  <c r="U610" i="14"/>
  <c r="V610" i="14" s="1"/>
  <c r="W610" i="14" s="1"/>
  <c r="X610" i="14" s="1"/>
  <c r="V148" i="15"/>
  <c r="W148" i="15" s="1"/>
  <c r="X148" i="15" s="1"/>
  <c r="Y148" i="15" s="1"/>
  <c r="Z148" i="15" s="1"/>
  <c r="V181" i="14"/>
  <c r="W181" i="14" s="1"/>
  <c r="X181" i="14" s="1"/>
  <c r="W435" i="14"/>
  <c r="X435" i="14" s="1"/>
  <c r="Y435" i="14" s="1"/>
  <c r="Z435" i="14" s="1"/>
  <c r="AA435" i="14" s="1"/>
  <c r="Z669" i="14"/>
  <c r="AA669" i="14" s="1"/>
  <c r="W95" i="14"/>
  <c r="X95" i="14" s="1"/>
  <c r="Z144" i="15"/>
  <c r="AA144" i="15" s="1"/>
  <c r="AB144" i="15" s="1"/>
  <c r="W297" i="11"/>
  <c r="X297" i="11" s="1"/>
  <c r="W266" i="14"/>
  <c r="X266" i="14" s="1"/>
  <c r="Y266" i="14" s="1"/>
  <c r="Z266" i="14" s="1"/>
  <c r="AA266" i="14" s="1"/>
  <c r="W174" i="15"/>
  <c r="W182" i="15"/>
  <c r="X182" i="15" s="1"/>
  <c r="V90" i="11"/>
  <c r="W90" i="11" s="1"/>
  <c r="X90" i="11" s="1"/>
  <c r="Y90" i="11" s="1"/>
  <c r="Z90" i="11" s="1"/>
  <c r="AA90" i="11" s="1"/>
  <c r="V384" i="11"/>
  <c r="W384" i="11" s="1"/>
  <c r="X384" i="11" s="1"/>
  <c r="Y384" i="11" s="1"/>
  <c r="Z384" i="11" s="1"/>
  <c r="AA384" i="11" s="1"/>
  <c r="W253" i="11"/>
  <c r="X253" i="11" s="1"/>
  <c r="Y253" i="11" s="1"/>
  <c r="Z253" i="11" s="1"/>
  <c r="AA253" i="11" s="1"/>
  <c r="W256" i="14"/>
  <c r="X256" i="14" s="1"/>
  <c r="Y256" i="14" s="1"/>
  <c r="Z256" i="14" s="1"/>
  <c r="AA256" i="14" s="1"/>
  <c r="W46" i="11"/>
  <c r="X46" i="11" s="1"/>
  <c r="Y46" i="11" s="1"/>
  <c r="Z46" i="11" s="1"/>
  <c r="AA46" i="11" s="1"/>
  <c r="Y672" i="14"/>
  <c r="Z672" i="14" s="1"/>
  <c r="AA672" i="14" s="1"/>
  <c r="Y130" i="11"/>
  <c r="Z130" i="11" s="1"/>
  <c r="AA130" i="11" s="1"/>
  <c r="W168" i="11"/>
  <c r="X168" i="11" s="1"/>
  <c r="Y168" i="11" s="1"/>
  <c r="Z168" i="11" s="1"/>
  <c r="W214" i="11"/>
  <c r="X214" i="11" s="1"/>
  <c r="Y214" i="11" s="1"/>
  <c r="Z214" i="11" s="1"/>
  <c r="AA214" i="11" s="1"/>
  <c r="AB146" i="15"/>
  <c r="V197" i="15"/>
  <c r="W197" i="15" s="1"/>
  <c r="X197" i="15" s="1"/>
  <c r="U149" i="15"/>
  <c r="V149" i="15" s="1"/>
  <c r="W149" i="15" s="1"/>
  <c r="X149" i="15" s="1"/>
  <c r="U159" i="14"/>
  <c r="V159" i="14" s="1"/>
  <c r="W159" i="14" s="1"/>
  <c r="AA438" i="14"/>
  <c r="S187" i="15"/>
  <c r="T187" i="15" s="1"/>
  <c r="V191" i="15"/>
  <c r="W191" i="15" s="1"/>
  <c r="X191" i="15" s="1"/>
  <c r="U194" i="15"/>
  <c r="X166" i="11"/>
  <c r="Y166" i="11" s="1"/>
  <c r="Z166" i="11" s="1"/>
  <c r="AA166" i="11" s="1"/>
  <c r="W37" i="11"/>
  <c r="X37" i="11" s="1"/>
  <c r="Y37" i="11" s="1"/>
  <c r="W114" i="14"/>
  <c r="X114" i="14" s="1"/>
  <c r="Z668" i="14"/>
  <c r="AA668" i="14" s="1"/>
  <c r="T150" i="15"/>
  <c r="V564" i="11"/>
  <c r="W564" i="11" s="1"/>
  <c r="X564" i="11" s="1"/>
  <c r="Y564" i="11" s="1"/>
  <c r="AA411" i="14"/>
  <c r="T663" i="14"/>
  <c r="U663" i="14" s="1"/>
  <c r="V663" i="14" s="1"/>
  <c r="V533" i="14"/>
  <c r="S196" i="15"/>
  <c r="T196" i="15" s="1"/>
  <c r="U196" i="15" s="1"/>
  <c r="V167" i="15"/>
  <c r="W167" i="15" s="1"/>
  <c r="X167" i="15" s="1"/>
  <c r="W177" i="15"/>
  <c r="Y112" i="14"/>
  <c r="Z112" i="14" s="1"/>
  <c r="AA112" i="14" s="1"/>
  <c r="W179" i="15"/>
  <c r="X179" i="15" s="1"/>
  <c r="V220" i="14"/>
  <c r="W220" i="14" s="1"/>
  <c r="X220" i="14" s="1"/>
  <c r="Y220" i="14" s="1"/>
  <c r="Z220" i="14" s="1"/>
  <c r="V386" i="14"/>
  <c r="W386" i="14" s="1"/>
  <c r="X386" i="14" s="1"/>
  <c r="Y386" i="14" s="1"/>
  <c r="Z386" i="14" s="1"/>
  <c r="Y113" i="14"/>
  <c r="Z113" i="14" s="1"/>
  <c r="AA113" i="14" s="1"/>
  <c r="W173" i="15"/>
  <c r="X173" i="15" s="1"/>
  <c r="Y188" i="15"/>
  <c r="Z188" i="15" s="1"/>
  <c r="U204" i="15"/>
  <c r="V204" i="15" s="1"/>
  <c r="W204" i="15" s="1"/>
  <c r="X204" i="15" s="1"/>
  <c r="S180" i="15"/>
  <c r="T180" i="15" s="1"/>
  <c r="U180" i="15" s="1"/>
  <c r="AA171" i="15"/>
  <c r="AB171" i="15" s="1"/>
  <c r="Q161" i="15"/>
  <c r="U165" i="15"/>
  <c r="V165" i="15" s="1"/>
  <c r="T142" i="15"/>
  <c r="U142" i="15" s="1"/>
  <c r="R136" i="15"/>
  <c r="S136" i="15" s="1"/>
  <c r="AB172" i="15"/>
  <c r="S154" i="15"/>
  <c r="S199" i="15"/>
  <c r="V195" i="15"/>
  <c r="V143" i="15"/>
  <c r="W143" i="15" s="1"/>
  <c r="U134" i="15"/>
  <c r="V175" i="15"/>
  <c r="W175" i="15" s="1"/>
  <c r="X175" i="15" s="1"/>
  <c r="Y175" i="15" s="1"/>
  <c r="Z175" i="15" s="1"/>
  <c r="AA175" i="15" s="1"/>
  <c r="AB175" i="15" s="1"/>
  <c r="Z201" i="15"/>
  <c r="AA201" i="15" s="1"/>
  <c r="AB201" i="15" s="1"/>
  <c r="U176" i="15"/>
  <c r="X155" i="15"/>
  <c r="Y155" i="15" s="1"/>
  <c r="Z155" i="15" s="1"/>
  <c r="AA155" i="15" s="1"/>
  <c r="AB155" i="15" s="1"/>
  <c r="T181" i="15"/>
  <c r="Q162" i="15"/>
  <c r="T153" i="15"/>
  <c r="U153" i="15" s="1"/>
  <c r="V153" i="15" s="1"/>
  <c r="W153" i="15" s="1"/>
  <c r="AB156" i="15"/>
  <c r="U151" i="15"/>
  <c r="T168" i="15"/>
  <c r="U168" i="15" s="1"/>
  <c r="V168" i="15" s="1"/>
  <c r="W152" i="15"/>
  <c r="X189" i="15"/>
  <c r="U186" i="15"/>
  <c r="T158" i="15"/>
  <c r="T206" i="15"/>
  <c r="T207" i="15"/>
  <c r="U207" i="15" s="1"/>
  <c r="S203" i="15"/>
  <c r="T203" i="15" s="1"/>
  <c r="AB200" i="15"/>
  <c r="V141" i="15"/>
  <c r="W141" i="15" s="1"/>
  <c r="X141" i="15" s="1"/>
  <c r="Z185" i="15"/>
  <c r="AA185" i="15" s="1"/>
  <c r="V147" i="15"/>
  <c r="W147" i="15" s="1"/>
  <c r="X147" i="15" s="1"/>
  <c r="Y147" i="15" s="1"/>
  <c r="Z147" i="15" s="1"/>
  <c r="AA147" i="15" s="1"/>
  <c r="AB147" i="15" s="1"/>
  <c r="U166" i="15"/>
  <c r="V166" i="15" s="1"/>
  <c r="U139" i="15"/>
  <c r="V178" i="15"/>
  <c r="W178" i="15" s="1"/>
  <c r="X178" i="15" s="1"/>
  <c r="S131" i="15"/>
  <c r="T163" i="15"/>
  <c r="U192" i="15"/>
  <c r="U193" i="15"/>
  <c r="S135" i="15"/>
  <c r="V205" i="15"/>
  <c r="W205" i="15" s="1"/>
  <c r="X169" i="15"/>
  <c r="T170" i="15"/>
  <c r="T523" i="14"/>
  <c r="U523" i="14" s="1"/>
  <c r="V523" i="14" s="1"/>
  <c r="T285" i="14"/>
  <c r="U285" i="14" s="1"/>
  <c r="V285" i="14" s="1"/>
  <c r="W285" i="14" s="1"/>
  <c r="W532" i="14"/>
  <c r="X532" i="14" s="1"/>
  <c r="Y532" i="14" s="1"/>
  <c r="Z532" i="14" s="1"/>
  <c r="AA532" i="14" s="1"/>
  <c r="V454" i="14"/>
  <c r="W454" i="14" s="1"/>
  <c r="X454" i="14" s="1"/>
  <c r="Y454" i="14" s="1"/>
  <c r="Z454" i="14" s="1"/>
  <c r="X550" i="14"/>
  <c r="Y550" i="14" s="1"/>
  <c r="V70" i="14"/>
  <c r="W70" i="14" s="1"/>
  <c r="X70" i="14" s="1"/>
  <c r="Y70" i="14" s="1"/>
  <c r="Z70" i="14" s="1"/>
  <c r="AA70" i="14" s="1"/>
  <c r="X706" i="11"/>
  <c r="Y706" i="11" s="1"/>
  <c r="Z706" i="11" s="1"/>
  <c r="AA706" i="11" s="1"/>
  <c r="Y698" i="11"/>
  <c r="Z698" i="11" s="1"/>
  <c r="AA698" i="11" s="1"/>
  <c r="W473" i="14"/>
  <c r="X473" i="14" s="1"/>
  <c r="Y473" i="14" s="1"/>
  <c r="Z473" i="14" s="1"/>
  <c r="AA473" i="14" s="1"/>
  <c r="Y710" i="11"/>
  <c r="Z710" i="11" s="1"/>
  <c r="AA710" i="11" s="1"/>
  <c r="W170" i="14"/>
  <c r="X170" i="14" s="1"/>
  <c r="Y170" i="14" s="1"/>
  <c r="Z170" i="14" s="1"/>
  <c r="AA170" i="14" s="1"/>
  <c r="W231" i="14"/>
  <c r="X231" i="14" s="1"/>
  <c r="Y231" i="14" s="1"/>
  <c r="V496" i="14"/>
  <c r="W496" i="14" s="1"/>
  <c r="U366" i="14"/>
  <c r="V366" i="14" s="1"/>
  <c r="W366" i="14" s="1"/>
  <c r="V733" i="14"/>
  <c r="W733" i="14" s="1"/>
  <c r="V270" i="14"/>
  <c r="W270" i="14" s="1"/>
  <c r="X270" i="14" s="1"/>
  <c r="Y270" i="14" s="1"/>
  <c r="Z270" i="14" s="1"/>
  <c r="AA270" i="14" s="1"/>
  <c r="W359" i="14"/>
  <c r="X359" i="14" s="1"/>
  <c r="Y359" i="14" s="1"/>
  <c r="Z359" i="14" s="1"/>
  <c r="W744" i="14"/>
  <c r="X744" i="14" s="1"/>
  <c r="Y744" i="14" s="1"/>
  <c r="Z744" i="14" s="1"/>
  <c r="AA744" i="14" s="1"/>
  <c r="X212" i="14"/>
  <c r="Y212" i="14" s="1"/>
  <c r="Z212" i="14" s="1"/>
  <c r="AA212" i="14" s="1"/>
  <c r="W582" i="14"/>
  <c r="X582" i="14" s="1"/>
  <c r="Y582" i="14" s="1"/>
  <c r="W106" i="14"/>
  <c r="X106" i="14" s="1"/>
  <c r="Y106" i="14" s="1"/>
  <c r="Z106" i="14" s="1"/>
  <c r="AA106" i="14" s="1"/>
  <c r="V379" i="14"/>
  <c r="W379" i="14" s="1"/>
  <c r="V621" i="14"/>
  <c r="W621" i="14" s="1"/>
  <c r="X621" i="14" s="1"/>
  <c r="Y621" i="14" s="1"/>
  <c r="Z621" i="14" s="1"/>
  <c r="AA621" i="14" s="1"/>
  <c r="Y634" i="14"/>
  <c r="Z634" i="14" s="1"/>
  <c r="AA634" i="14" s="1"/>
  <c r="X609" i="14"/>
  <c r="Y609" i="14" s="1"/>
  <c r="Z609" i="14" s="1"/>
  <c r="AA609" i="14" s="1"/>
  <c r="X740" i="14"/>
  <c r="Y740" i="14" s="1"/>
  <c r="Z740" i="14" s="1"/>
  <c r="Y712" i="14"/>
  <c r="Z712" i="14" s="1"/>
  <c r="AA712" i="14" s="1"/>
  <c r="V576" i="14"/>
  <c r="W576" i="14" s="1"/>
  <c r="X576" i="14" s="1"/>
  <c r="V92" i="14"/>
  <c r="W92" i="14" s="1"/>
  <c r="X92" i="14" s="1"/>
  <c r="Y92" i="14" s="1"/>
  <c r="Z92" i="14" s="1"/>
  <c r="AA92" i="14" s="1"/>
  <c r="T214" i="14"/>
  <c r="U214" i="14" s="1"/>
  <c r="V214" i="14" s="1"/>
  <c r="V635" i="14"/>
  <c r="W635" i="14" s="1"/>
  <c r="V472" i="11"/>
  <c r="W472" i="11" s="1"/>
  <c r="U195" i="14"/>
  <c r="V195" i="14" s="1"/>
  <c r="W195" i="14" s="1"/>
  <c r="X195" i="14" s="1"/>
  <c r="W329" i="11"/>
  <c r="X329" i="11" s="1"/>
  <c r="V705" i="11"/>
  <c r="W705" i="11" s="1"/>
  <c r="X705" i="11" s="1"/>
  <c r="Y705" i="11" s="1"/>
  <c r="Z705" i="11" s="1"/>
  <c r="AA705" i="11" s="1"/>
  <c r="W519" i="11"/>
  <c r="X519" i="11" s="1"/>
  <c r="Y519" i="11" s="1"/>
  <c r="V245" i="14"/>
  <c r="W245" i="14" s="1"/>
  <c r="X245" i="14" s="1"/>
  <c r="Y245" i="14" s="1"/>
  <c r="Z245" i="14" s="1"/>
  <c r="AA245" i="14" s="1"/>
  <c r="X559" i="14"/>
  <c r="Y559" i="14" s="1"/>
  <c r="Z559" i="14" s="1"/>
  <c r="AA559" i="14" s="1"/>
  <c r="V646" i="14"/>
  <c r="W646" i="14" s="1"/>
  <c r="X646" i="14" s="1"/>
  <c r="X96" i="14"/>
  <c r="Y96" i="14" s="1"/>
  <c r="Z96" i="14" s="1"/>
  <c r="T104" i="14"/>
  <c r="U104" i="14" s="1"/>
  <c r="V127" i="14"/>
  <c r="W127" i="14" s="1"/>
  <c r="T404" i="14"/>
  <c r="U404" i="14" s="1"/>
  <c r="V404" i="14" s="1"/>
  <c r="W404" i="14" s="1"/>
  <c r="W571" i="14"/>
  <c r="X571" i="14" s="1"/>
  <c r="Y571" i="14" s="1"/>
  <c r="Z571" i="14" s="1"/>
  <c r="W760" i="14"/>
  <c r="X760" i="14" s="1"/>
  <c r="W237" i="14"/>
  <c r="X237" i="14" s="1"/>
  <c r="Y237" i="14" s="1"/>
  <c r="Z237" i="14" s="1"/>
  <c r="AA237" i="14" s="1"/>
  <c r="W674" i="14"/>
  <c r="X674" i="14" s="1"/>
  <c r="Y674" i="14" s="1"/>
  <c r="T686" i="14"/>
  <c r="U686" i="14" s="1"/>
  <c r="X169" i="14"/>
  <c r="Y169" i="14" s="1"/>
  <c r="Z169" i="14" s="1"/>
  <c r="V39" i="14"/>
  <c r="W39" i="14" s="1"/>
  <c r="AA551" i="14"/>
  <c r="V94" i="14"/>
  <c r="W94" i="14" s="1"/>
  <c r="X94" i="14" s="1"/>
  <c r="U255" i="14"/>
  <c r="V255" i="14" s="1"/>
  <c r="V574" i="14"/>
  <c r="W574" i="14" s="1"/>
  <c r="X574" i="14" s="1"/>
  <c r="Y574" i="14" s="1"/>
  <c r="Z574" i="14" s="1"/>
  <c r="AA574" i="14" s="1"/>
  <c r="W342" i="14"/>
  <c r="W297" i="14"/>
  <c r="X297" i="14" s="1"/>
  <c r="Y297" i="14" s="1"/>
  <c r="Z297" i="14" s="1"/>
  <c r="U142" i="14"/>
  <c r="V142" i="14" s="1"/>
  <c r="U765" i="14"/>
  <c r="V765" i="14" s="1"/>
  <c r="S321" i="14"/>
  <c r="T321" i="14" s="1"/>
  <c r="U321" i="14" s="1"/>
  <c r="T90" i="14"/>
  <c r="U90" i="14" s="1"/>
  <c r="V90" i="14" s="1"/>
  <c r="W90" i="14" s="1"/>
  <c r="T605" i="14"/>
  <c r="T247" i="14"/>
  <c r="U247" i="14" s="1"/>
  <c r="V247" i="14" s="1"/>
  <c r="U409" i="14"/>
  <c r="T154" i="14"/>
  <c r="U719" i="14"/>
  <c r="W10" i="14"/>
  <c r="X10" i="14" s="1"/>
  <c r="Y10" i="14" s="1"/>
  <c r="Z10" i="14" s="1"/>
  <c r="T773" i="14"/>
  <c r="U773" i="14" s="1"/>
  <c r="R322" i="14"/>
  <c r="R243" i="14"/>
  <c r="U248" i="14"/>
  <c r="U146" i="14"/>
  <c r="R504" i="14"/>
  <c r="S336" i="14"/>
  <c r="R102" i="14"/>
  <c r="R518" i="14"/>
  <c r="U724" i="14"/>
  <c r="W592" i="14"/>
  <c r="X592" i="14" s="1"/>
  <c r="Y592" i="14" s="1"/>
  <c r="Z592" i="14" s="1"/>
  <c r="AA592" i="14" s="1"/>
  <c r="Y780" i="14"/>
  <c r="Z780" i="14" s="1"/>
  <c r="AA780" i="14" s="1"/>
  <c r="V516" i="14"/>
  <c r="W516" i="14" s="1"/>
  <c r="X516" i="14" s="1"/>
  <c r="Y516" i="14" s="1"/>
  <c r="Z516" i="14" s="1"/>
  <c r="AA516" i="14" s="1"/>
  <c r="AA545" i="11"/>
  <c r="Y553" i="11"/>
  <c r="Z553" i="11" s="1"/>
  <c r="AA553" i="11" s="1"/>
  <c r="W308" i="11"/>
  <c r="X308" i="11" s="1"/>
  <c r="Y308" i="11" s="1"/>
  <c r="Z308" i="11" s="1"/>
  <c r="AA308" i="11" s="1"/>
  <c r="V225" i="11"/>
  <c r="W225" i="11" s="1"/>
  <c r="X225" i="11" s="1"/>
  <c r="W448" i="11"/>
  <c r="X448" i="11" s="1"/>
  <c r="W750" i="11"/>
  <c r="X750" i="11" s="1"/>
  <c r="Y750" i="11" s="1"/>
  <c r="Z750" i="11" s="1"/>
  <c r="AA750" i="11" s="1"/>
  <c r="X484" i="11"/>
  <c r="Y484" i="11" s="1"/>
  <c r="Z484" i="11" s="1"/>
  <c r="AA484" i="11" s="1"/>
  <c r="V326" i="11"/>
  <c r="W326" i="11" s="1"/>
  <c r="X326" i="11" s="1"/>
  <c r="Y326" i="11" s="1"/>
  <c r="Z326" i="11" s="1"/>
  <c r="AA326" i="11" s="1"/>
  <c r="V724" i="11"/>
  <c r="W724" i="11" s="1"/>
  <c r="X719" i="11"/>
  <c r="Y719" i="11" s="1"/>
  <c r="Z719" i="11" s="1"/>
  <c r="AA719" i="11" s="1"/>
  <c r="AA355" i="11"/>
  <c r="X252" i="14"/>
  <c r="Y252" i="14" s="1"/>
  <c r="Z252" i="14" s="1"/>
  <c r="AA252" i="14" s="1"/>
  <c r="V594" i="14"/>
  <c r="W594" i="14" s="1"/>
  <c r="X594" i="14" s="1"/>
  <c r="Y594" i="14" s="1"/>
  <c r="Z594" i="14" s="1"/>
  <c r="AA594" i="14" s="1"/>
  <c r="W486" i="11"/>
  <c r="X486" i="11" s="1"/>
  <c r="W583" i="14"/>
  <c r="X583" i="14" s="1"/>
  <c r="Y583" i="14" s="1"/>
  <c r="Z583" i="14" s="1"/>
  <c r="AA583" i="14" s="1"/>
  <c r="V360" i="14"/>
  <c r="W360" i="14" s="1"/>
  <c r="X360" i="14" s="1"/>
  <c r="Y360" i="14" s="1"/>
  <c r="Z360" i="14" s="1"/>
  <c r="AA360" i="14" s="1"/>
  <c r="U253" i="14"/>
  <c r="V253" i="14" s="1"/>
  <c r="W253" i="14" s="1"/>
  <c r="W322" i="11"/>
  <c r="X322" i="11" s="1"/>
  <c r="U743" i="11"/>
  <c r="V743" i="11" s="1"/>
  <c r="W597" i="14"/>
  <c r="X597" i="14" s="1"/>
  <c r="Y597" i="14" s="1"/>
  <c r="Z597" i="14" s="1"/>
  <c r="AA597" i="14" s="1"/>
  <c r="X613" i="14"/>
  <c r="Y613" i="14" s="1"/>
  <c r="Z613" i="14" s="1"/>
  <c r="AA613" i="14" s="1"/>
  <c r="W384" i="14"/>
  <c r="X384" i="14" s="1"/>
  <c r="Y384" i="14" s="1"/>
  <c r="Z384" i="14" s="1"/>
  <c r="AA384" i="14" s="1"/>
  <c r="X228" i="11"/>
  <c r="Y228" i="11" s="1"/>
  <c r="Z228" i="11" s="1"/>
  <c r="AA228" i="11" s="1"/>
  <c r="T362" i="11"/>
  <c r="U362" i="11" s="1"/>
  <c r="V362" i="11" s="1"/>
  <c r="W362" i="11" s="1"/>
  <c r="W696" i="11"/>
  <c r="X696" i="11" s="1"/>
  <c r="X369" i="11"/>
  <c r="Y369" i="11" s="1"/>
  <c r="Z369" i="11" s="1"/>
  <c r="AA369" i="11" s="1"/>
  <c r="Y693" i="14"/>
  <c r="Z693" i="14" s="1"/>
  <c r="AA693" i="14" s="1"/>
  <c r="X764" i="14"/>
  <c r="Y764" i="14" s="1"/>
  <c r="V325" i="14"/>
  <c r="W325" i="14" s="1"/>
  <c r="V406" i="14"/>
  <c r="W406" i="14" s="1"/>
  <c r="X406" i="14" s="1"/>
  <c r="Y406" i="14" s="1"/>
  <c r="Z406" i="14" s="1"/>
  <c r="AA406" i="14" s="1"/>
  <c r="W573" i="14"/>
  <c r="V415" i="14"/>
  <c r="T412" i="14"/>
  <c r="U412" i="14" s="1"/>
  <c r="V666" i="14"/>
  <c r="X476" i="14"/>
  <c r="Y476" i="14" s="1"/>
  <c r="Z476" i="14" s="1"/>
  <c r="AA476" i="14" s="1"/>
  <c r="W168" i="14"/>
  <c r="X168" i="14" s="1"/>
  <c r="V182" i="11"/>
  <c r="W182" i="11" s="1"/>
  <c r="X182" i="11" s="1"/>
  <c r="Y182" i="11" s="1"/>
  <c r="W17" i="11"/>
  <c r="X17" i="11" s="1"/>
  <c r="Y17" i="11" s="1"/>
  <c r="X481" i="11"/>
  <c r="Y481" i="11" s="1"/>
  <c r="Z481" i="11" s="1"/>
  <c r="AA481" i="11" s="1"/>
  <c r="AA75" i="11"/>
  <c r="V578" i="14"/>
  <c r="W578" i="14" s="1"/>
  <c r="X578" i="14" s="1"/>
  <c r="X275" i="14"/>
  <c r="Y275" i="14" s="1"/>
  <c r="Z275" i="14" s="1"/>
  <c r="AA275" i="14" s="1"/>
  <c r="W562" i="14"/>
  <c r="X562" i="14" s="1"/>
  <c r="Y562" i="14" s="1"/>
  <c r="Z562" i="14" s="1"/>
  <c r="Y762" i="14"/>
  <c r="Z762" i="14" s="1"/>
  <c r="AA762" i="14" s="1"/>
  <c r="Y207" i="14"/>
  <c r="Z207" i="14" s="1"/>
  <c r="AA207" i="14" s="1"/>
  <c r="X300" i="14"/>
  <c r="Y300" i="14" s="1"/>
  <c r="Z300" i="14" s="1"/>
  <c r="AA300" i="14" s="1"/>
  <c r="V189" i="14"/>
  <c r="W189" i="14" s="1"/>
  <c r="X189" i="14" s="1"/>
  <c r="Y189" i="14" s="1"/>
  <c r="Z189" i="14" s="1"/>
  <c r="AA189" i="14" s="1"/>
  <c r="X472" i="14"/>
  <c r="Y472" i="14" s="1"/>
  <c r="Z472" i="14" s="1"/>
  <c r="AA472" i="14" s="1"/>
  <c r="V74" i="14"/>
  <c r="W74" i="14" s="1"/>
  <c r="X74" i="14" s="1"/>
  <c r="Y74" i="14" s="1"/>
  <c r="Z74" i="14" s="1"/>
  <c r="AA74" i="14" s="1"/>
  <c r="Z561" i="14"/>
  <c r="AA561" i="14" s="1"/>
  <c r="V732" i="14"/>
  <c r="W732" i="14" s="1"/>
  <c r="X732" i="14" s="1"/>
  <c r="W71" i="14"/>
  <c r="X71" i="14" s="1"/>
  <c r="Y71" i="14" s="1"/>
  <c r="Z71" i="14" s="1"/>
  <c r="AA71" i="14" s="1"/>
  <c r="W743" i="14"/>
  <c r="X743" i="14" s="1"/>
  <c r="X650" i="14"/>
  <c r="Y650" i="14" s="1"/>
  <c r="Z650" i="14" s="1"/>
  <c r="AA650" i="14" s="1"/>
  <c r="V53" i="11"/>
  <c r="W53" i="11" s="1"/>
  <c r="X53" i="11" s="1"/>
  <c r="W286" i="11"/>
  <c r="X286" i="11" s="1"/>
  <c r="Y286" i="11" s="1"/>
  <c r="Z286" i="11" s="1"/>
  <c r="AA286" i="11" s="1"/>
  <c r="V393" i="14"/>
  <c r="W393" i="14" s="1"/>
  <c r="X393" i="14" s="1"/>
  <c r="Z396" i="11"/>
  <c r="AA396" i="11" s="1"/>
  <c r="W103" i="11"/>
  <c r="AA373" i="14"/>
  <c r="W167" i="14"/>
  <c r="X167" i="14" s="1"/>
  <c r="Z527" i="14"/>
  <c r="AA527" i="14" s="1"/>
  <c r="Z750" i="14"/>
  <c r="AA750" i="14" s="1"/>
  <c r="Y399" i="11"/>
  <c r="Z399" i="11" s="1"/>
  <c r="AA399" i="11" s="1"/>
  <c r="X402" i="11"/>
  <c r="Y402" i="11" s="1"/>
  <c r="Z402" i="11" s="1"/>
  <c r="AA402" i="11" s="1"/>
  <c r="W129" i="11"/>
  <c r="U679" i="14"/>
  <c r="V679" i="14" s="1"/>
  <c r="U380" i="14"/>
  <c r="V380" i="14" s="1"/>
  <c r="W380" i="14" s="1"/>
  <c r="X380" i="14" s="1"/>
  <c r="Z18" i="14"/>
  <c r="AA18" i="14" s="1"/>
  <c r="W612" i="11"/>
  <c r="X612" i="11" s="1"/>
  <c r="Y612" i="11" s="1"/>
  <c r="Z612" i="11" s="1"/>
  <c r="AA612" i="11" s="1"/>
  <c r="W478" i="14"/>
  <c r="X478" i="14" s="1"/>
  <c r="Y478" i="14" s="1"/>
  <c r="Z478" i="14" s="1"/>
  <c r="AA478" i="14" s="1"/>
  <c r="V145" i="14"/>
  <c r="W145" i="14" s="1"/>
  <c r="Y692" i="11"/>
  <c r="Z692" i="11" s="1"/>
  <c r="AA692" i="11" s="1"/>
  <c r="Z210" i="14"/>
  <c r="AA210" i="14" s="1"/>
  <c r="Y218" i="14"/>
  <c r="Z218" i="14" s="1"/>
  <c r="AA218" i="14" s="1"/>
  <c r="X601" i="14"/>
  <c r="Y601" i="14" s="1"/>
  <c r="Z601" i="14" s="1"/>
  <c r="AA601" i="14" s="1"/>
  <c r="Y699" i="14"/>
  <c r="Z699" i="14" s="1"/>
  <c r="AA699" i="14" s="1"/>
  <c r="X534" i="14"/>
  <c r="Z708" i="14"/>
  <c r="AA708" i="14" s="1"/>
  <c r="W777" i="14"/>
  <c r="X777" i="14" s="1"/>
  <c r="Y777" i="14" s="1"/>
  <c r="X263" i="11"/>
  <c r="Y263" i="11" s="1"/>
  <c r="Z263" i="11" s="1"/>
  <c r="U647" i="14"/>
  <c r="V647" i="14" s="1"/>
  <c r="U490" i="14"/>
  <c r="Z12" i="14"/>
  <c r="AA12" i="14" s="1"/>
  <c r="W785" i="14"/>
  <c r="X785" i="14" s="1"/>
  <c r="Y785" i="14" s="1"/>
  <c r="U419" i="14"/>
  <c r="V419" i="14" s="1"/>
  <c r="W521" i="14"/>
  <c r="X521" i="14" s="1"/>
  <c r="W776" i="14"/>
  <c r="X776" i="14" s="1"/>
  <c r="X786" i="14"/>
  <c r="Y786" i="14" s="1"/>
  <c r="Z786" i="14" s="1"/>
  <c r="V296" i="14"/>
  <c r="W296" i="14" s="1"/>
  <c r="U480" i="14"/>
  <c r="V480" i="14" s="1"/>
  <c r="T289" i="14"/>
  <c r="U289" i="14" s="1"/>
  <c r="U370" i="14"/>
  <c r="U690" i="14"/>
  <c r="V690" i="14" s="1"/>
  <c r="W690" i="14" s="1"/>
  <c r="X690" i="14" s="1"/>
  <c r="Y690" i="14" s="1"/>
  <c r="Z690" i="14" s="1"/>
  <c r="W431" i="14"/>
  <c r="X431" i="14" s="1"/>
  <c r="Y431" i="14" s="1"/>
  <c r="Z431" i="14" s="1"/>
  <c r="AA431" i="14" s="1"/>
  <c r="U268" i="14"/>
  <c r="V268" i="14" s="1"/>
  <c r="W268" i="14" s="1"/>
  <c r="V736" i="14"/>
  <c r="W736" i="14" s="1"/>
  <c r="X736" i="14" s="1"/>
  <c r="Y736" i="14" s="1"/>
  <c r="V33" i="14"/>
  <c r="W33" i="14" s="1"/>
  <c r="X33" i="14" s="1"/>
  <c r="Y33" i="14" s="1"/>
  <c r="Z33" i="14" s="1"/>
  <c r="AA33" i="14" s="1"/>
  <c r="T388" i="14"/>
  <c r="U388" i="14" s="1"/>
  <c r="V388" i="14" s="1"/>
  <c r="V426" i="14"/>
  <c r="W426" i="14" s="1"/>
  <c r="X426" i="14" s="1"/>
  <c r="Y426" i="14" s="1"/>
  <c r="Z426" i="14" s="1"/>
  <c r="U509" i="14"/>
  <c r="V509" i="14" s="1"/>
  <c r="Y217" i="14"/>
  <c r="Z217" i="14" s="1"/>
  <c r="AA217" i="14" s="1"/>
  <c r="W520" i="14"/>
  <c r="X520" i="14" s="1"/>
  <c r="V590" i="14"/>
  <c r="T580" i="14"/>
  <c r="U410" i="14"/>
  <c r="V410" i="14" s="1"/>
  <c r="W410" i="14" s="1"/>
  <c r="X410" i="14" s="1"/>
  <c r="W784" i="14"/>
  <c r="X784" i="14" s="1"/>
  <c r="Y784" i="14" s="1"/>
  <c r="U704" i="14"/>
  <c r="V704" i="14" s="1"/>
  <c r="W704" i="14" s="1"/>
  <c r="W705" i="14"/>
  <c r="X705" i="14" s="1"/>
  <c r="V436" i="14"/>
  <c r="W436" i="14" s="1"/>
  <c r="W111" i="14"/>
  <c r="X111" i="14" s="1"/>
  <c r="Y111" i="14" s="1"/>
  <c r="U631" i="14"/>
  <c r="V631" i="14" s="1"/>
  <c r="W631" i="14" s="1"/>
  <c r="X631" i="14" s="1"/>
  <c r="Y631" i="14" s="1"/>
  <c r="Z631" i="14" s="1"/>
  <c r="AA631" i="14" s="1"/>
  <c r="U230" i="14"/>
  <c r="V230" i="14" s="1"/>
  <c r="W230" i="14" s="1"/>
  <c r="X230" i="14" s="1"/>
  <c r="W397" i="11"/>
  <c r="X397" i="11" s="1"/>
  <c r="V394" i="14"/>
  <c r="W394" i="14" s="1"/>
  <c r="X394" i="14" s="1"/>
  <c r="Y394" i="14" s="1"/>
  <c r="Z394" i="14" s="1"/>
  <c r="AA394" i="14" s="1"/>
  <c r="U156" i="14"/>
  <c r="V156" i="14" s="1"/>
  <c r="T320" i="14"/>
  <c r="U320" i="14" s="1"/>
  <c r="V320" i="14" s="1"/>
  <c r="V657" i="14"/>
  <c r="W657" i="14" s="1"/>
  <c r="V602" i="14"/>
  <c r="U158" i="14"/>
  <c r="V158" i="14" s="1"/>
  <c r="W614" i="14"/>
  <c r="X614" i="14" s="1"/>
  <c r="Y614" i="14" s="1"/>
  <c r="Z614" i="14" s="1"/>
  <c r="U357" i="14"/>
  <c r="V357" i="14" s="1"/>
  <c r="V757" i="14"/>
  <c r="W757" i="14" s="1"/>
  <c r="X757" i="14" s="1"/>
  <c r="V115" i="14"/>
  <c r="W115" i="14" s="1"/>
  <c r="W240" i="14"/>
  <c r="X240" i="14" s="1"/>
  <c r="Y240" i="14" s="1"/>
  <c r="V400" i="14"/>
  <c r="W400" i="14" s="1"/>
  <c r="V632" i="14"/>
  <c r="W632" i="14" s="1"/>
  <c r="T133" i="14"/>
  <c r="W182" i="14"/>
  <c r="X182" i="14" s="1"/>
  <c r="Y182" i="14" s="1"/>
  <c r="Z182" i="14" s="1"/>
  <c r="AA182" i="14" s="1"/>
  <c r="U432" i="14"/>
  <c r="V432" i="14" s="1"/>
  <c r="W432" i="14" s="1"/>
  <c r="X41" i="14"/>
  <c r="V754" i="14"/>
  <c r="W754" i="14" s="1"/>
  <c r="X754" i="14" s="1"/>
  <c r="Y754" i="14" s="1"/>
  <c r="Z754" i="14" s="1"/>
  <c r="AA754" i="14" s="1"/>
  <c r="X513" i="14"/>
  <c r="Y513" i="14" s="1"/>
  <c r="Z513" i="14" s="1"/>
  <c r="AA513" i="14" s="1"/>
  <c r="U131" i="14"/>
  <c r="V131" i="14" s="1"/>
  <c r="W131" i="14" s="1"/>
  <c r="X131" i="14" s="1"/>
  <c r="Y131" i="14" s="1"/>
  <c r="Z131" i="14" s="1"/>
  <c r="AA131" i="14" s="1"/>
  <c r="U581" i="14"/>
  <c r="V581" i="14" s="1"/>
  <c r="W581" i="14" s="1"/>
  <c r="X581" i="14" s="1"/>
  <c r="Y581" i="14" s="1"/>
  <c r="V752" i="14"/>
  <c r="W752" i="14" s="1"/>
  <c r="U64" i="14"/>
  <c r="V64" i="14" s="1"/>
  <c r="V555" i="14"/>
  <c r="W555" i="14" s="1"/>
  <c r="X555" i="14" s="1"/>
  <c r="Y555" i="14" s="1"/>
  <c r="Z555" i="14" s="1"/>
  <c r="AA555" i="14" s="1"/>
  <c r="V645" i="14"/>
  <c r="W645" i="14" s="1"/>
  <c r="V485" i="14"/>
  <c r="W485" i="14" s="1"/>
  <c r="X485" i="14" s="1"/>
  <c r="V769" i="14"/>
  <c r="W769" i="14" s="1"/>
  <c r="X769" i="14" s="1"/>
  <c r="Y769" i="14" s="1"/>
  <c r="Z769" i="14" s="1"/>
  <c r="AA769" i="14" s="1"/>
  <c r="U59" i="14"/>
  <c r="V59" i="14" s="1"/>
  <c r="W59" i="14" s="1"/>
  <c r="X326" i="14"/>
  <c r="Y326" i="14" s="1"/>
  <c r="V474" i="14"/>
  <c r="W174" i="14"/>
  <c r="X174" i="14" s="1"/>
  <c r="V417" i="14"/>
  <c r="W417" i="14" s="1"/>
  <c r="X417" i="14" s="1"/>
  <c r="Y417" i="14" s="1"/>
  <c r="Z417" i="14" s="1"/>
  <c r="AA417" i="14" s="1"/>
  <c r="U246" i="14"/>
  <c r="V246" i="14" s="1"/>
  <c r="W246" i="14" s="1"/>
  <c r="X246" i="14" s="1"/>
  <c r="Y246" i="14" s="1"/>
  <c r="Z246" i="14" s="1"/>
  <c r="AA246" i="14" s="1"/>
  <c r="X711" i="14"/>
  <c r="Y711" i="14" s="1"/>
  <c r="W328" i="14"/>
  <c r="X328" i="14" s="1"/>
  <c r="Y328" i="14" s="1"/>
  <c r="Z328" i="14" s="1"/>
  <c r="AA328" i="14" s="1"/>
  <c r="W46" i="14"/>
  <c r="X46" i="14" s="1"/>
  <c r="Y46" i="14" s="1"/>
  <c r="Z46" i="14" s="1"/>
  <c r="AA46" i="14" s="1"/>
  <c r="T377" i="14"/>
  <c r="U659" i="14"/>
  <c r="V659" i="14" s="1"/>
  <c r="W659" i="14" s="1"/>
  <c r="U499" i="14"/>
  <c r="U617" i="14"/>
  <c r="V617" i="14" s="1"/>
  <c r="W617" i="14" s="1"/>
  <c r="X483" i="14"/>
  <c r="T241" i="14"/>
  <c r="U241" i="14" s="1"/>
  <c r="V241" i="14" s="1"/>
  <c r="AA27" i="14"/>
  <c r="U91" i="14"/>
  <c r="V91" i="14" s="1"/>
  <c r="W332" i="14"/>
  <c r="X332" i="14" s="1"/>
  <c r="U160" i="14"/>
  <c r="V160" i="14" s="1"/>
  <c r="U636" i="14"/>
  <c r="V636" i="14" s="1"/>
  <c r="V508" i="14"/>
  <c r="W508" i="14" s="1"/>
  <c r="X508" i="14" s="1"/>
  <c r="Y508" i="14" s="1"/>
  <c r="Z508" i="14" s="1"/>
  <c r="AA508" i="14" s="1"/>
  <c r="U756" i="14"/>
  <c r="V756" i="14" s="1"/>
  <c r="W756" i="14" s="1"/>
  <c r="X756" i="14" s="1"/>
  <c r="Y756" i="14" s="1"/>
  <c r="S685" i="14"/>
  <c r="T685" i="14" s="1"/>
  <c r="V317" i="14"/>
  <c r="W317" i="14" s="1"/>
  <c r="X317" i="14" s="1"/>
  <c r="S692" i="14"/>
  <c r="X206" i="14"/>
  <c r="Y206" i="14" s="1"/>
  <c r="Z206" i="14" s="1"/>
  <c r="AA206" i="14" s="1"/>
  <c r="X135" i="14"/>
  <c r="X132" i="14"/>
  <c r="Y132" i="14" s="1"/>
  <c r="Z132" i="14" s="1"/>
  <c r="AA132" i="14" s="1"/>
  <c r="U314" i="14"/>
  <c r="V314" i="14" s="1"/>
  <c r="W314" i="14" s="1"/>
  <c r="X314" i="14" s="1"/>
  <c r="Y314" i="14" s="1"/>
  <c r="Z314" i="14" s="1"/>
  <c r="AA314" i="14" s="1"/>
  <c r="U333" i="14"/>
  <c r="V333" i="14" s="1"/>
  <c r="W333" i="14" s="1"/>
  <c r="U161" i="14"/>
  <c r="V161" i="14" s="1"/>
  <c r="W161" i="14" s="1"/>
  <c r="X161" i="14" s="1"/>
  <c r="Y161" i="14" s="1"/>
  <c r="Z161" i="14" s="1"/>
  <c r="AA161" i="14" s="1"/>
  <c r="U579" i="14"/>
  <c r="V579" i="14" s="1"/>
  <c r="X548" i="14"/>
  <c r="Y548" i="14" s="1"/>
  <c r="Z548" i="14" s="1"/>
  <c r="AA548" i="14" s="1"/>
  <c r="V629" i="14"/>
  <c r="W629" i="14" s="1"/>
  <c r="X629" i="14" s="1"/>
  <c r="Z779" i="14"/>
  <c r="AA779" i="14" s="1"/>
  <c r="W219" i="14"/>
  <c r="U673" i="14"/>
  <c r="V673" i="14" s="1"/>
  <c r="W673" i="14" s="1"/>
  <c r="X673" i="14" s="1"/>
  <c r="U86" i="14"/>
  <c r="V86" i="14" s="1"/>
  <c r="W86" i="14" s="1"/>
  <c r="U706" i="14"/>
  <c r="V706" i="14" s="1"/>
  <c r="W706" i="14" s="1"/>
  <c r="X706" i="14" s="1"/>
  <c r="Y706" i="14" s="1"/>
  <c r="Z706" i="14" s="1"/>
  <c r="AA706" i="14" s="1"/>
  <c r="W402" i="14"/>
  <c r="X402" i="14" s="1"/>
  <c r="Y402" i="14" s="1"/>
  <c r="Z402" i="14" s="1"/>
  <c r="AA402" i="14" s="1"/>
  <c r="U789" i="14"/>
  <c r="V789" i="14" s="1"/>
  <c r="W789" i="14" s="1"/>
  <c r="X789" i="14" s="1"/>
  <c r="Y789" i="14" s="1"/>
  <c r="W140" i="14"/>
  <c r="X140" i="14" s="1"/>
  <c r="Y140" i="14" s="1"/>
  <c r="Z140" i="14" s="1"/>
  <c r="X481" i="14"/>
  <c r="Y481" i="14" s="1"/>
  <c r="T238" i="14"/>
  <c r="V184" i="14"/>
  <c r="T304" i="14"/>
  <c r="U260" i="14"/>
  <c r="W286" i="14"/>
  <c r="X286" i="14" s="1"/>
  <c r="T766" i="14"/>
  <c r="U766" i="14" s="1"/>
  <c r="V766" i="14" s="1"/>
  <c r="Z73" i="11"/>
  <c r="AA73" i="11" s="1"/>
  <c r="T638" i="14"/>
  <c r="U638" i="14" s="1"/>
  <c r="V638" i="14" s="1"/>
  <c r="T465" i="14"/>
  <c r="U465" i="14" s="1"/>
  <c r="V465" i="14" s="1"/>
  <c r="W465" i="14" s="1"/>
  <c r="X459" i="14"/>
  <c r="Y459" i="14" s="1"/>
  <c r="Z459" i="14" s="1"/>
  <c r="AA459" i="14" s="1"/>
  <c r="W529" i="14"/>
  <c r="X529" i="14" s="1"/>
  <c r="Y529" i="14" s="1"/>
  <c r="Z529" i="14" s="1"/>
  <c r="AA529" i="14" s="1"/>
  <c r="W782" i="14"/>
  <c r="Y446" i="14"/>
  <c r="Z446" i="14" s="1"/>
  <c r="AA446" i="14" s="1"/>
  <c r="V227" i="14"/>
  <c r="W227" i="14" s="1"/>
  <c r="X227" i="14" s="1"/>
  <c r="Y227" i="14" s="1"/>
  <c r="Z227" i="14" s="1"/>
  <c r="AA227" i="14" s="1"/>
  <c r="T703" i="14"/>
  <c r="U703" i="14" s="1"/>
  <c r="V703" i="14" s="1"/>
  <c r="V165" i="14"/>
  <c r="W165" i="14" s="1"/>
  <c r="X165" i="14" s="1"/>
  <c r="Y165" i="14" s="1"/>
  <c r="Z165" i="14" s="1"/>
  <c r="AA165" i="14" s="1"/>
  <c r="V53" i="14"/>
  <c r="T531" i="14"/>
  <c r="U738" i="14"/>
  <c r="V738" i="14" s="1"/>
  <c r="W738" i="14" s="1"/>
  <c r="X738" i="14" s="1"/>
  <c r="Y738" i="14" s="1"/>
  <c r="Z738" i="14" s="1"/>
  <c r="AA738" i="14" s="1"/>
  <c r="U262" i="14"/>
  <c r="X554" i="14"/>
  <c r="AA482" i="14"/>
  <c r="V316" i="14"/>
  <c r="W316" i="14" s="1"/>
  <c r="X316" i="14" s="1"/>
  <c r="Y316" i="14" s="1"/>
  <c r="AA244" i="14"/>
  <c r="X87" i="14"/>
  <c r="Y87" i="14" s="1"/>
  <c r="Z87" i="14" s="1"/>
  <c r="AA87" i="14" s="1"/>
  <c r="W441" i="14"/>
  <c r="X441" i="14" s="1"/>
  <c r="W556" i="14"/>
  <c r="X556" i="14" s="1"/>
  <c r="Y556" i="14" s="1"/>
  <c r="V148" i="14"/>
  <c r="W148" i="14" s="1"/>
  <c r="V618" i="14"/>
  <c r="W618" i="14" s="1"/>
  <c r="X618" i="14" s="1"/>
  <c r="Y618" i="14" s="1"/>
  <c r="Z618" i="14" s="1"/>
  <c r="AA618" i="14" s="1"/>
  <c r="X228" i="14"/>
  <c r="Y228" i="14" s="1"/>
  <c r="Z228" i="14" s="1"/>
  <c r="AA228" i="14" s="1"/>
  <c r="W768" i="14"/>
  <c r="X768" i="14" s="1"/>
  <c r="W81" i="14"/>
  <c r="T517" i="14"/>
  <c r="U517" i="14" s="1"/>
  <c r="V229" i="14"/>
  <c r="W229" i="14" s="1"/>
  <c r="X229" i="14" s="1"/>
  <c r="Y229" i="14" s="1"/>
  <c r="Z229" i="14" s="1"/>
  <c r="AA229" i="14" s="1"/>
  <c r="T745" i="14"/>
  <c r="U24" i="14"/>
  <c r="V318" i="14"/>
  <c r="W318" i="14" s="1"/>
  <c r="X318" i="14" s="1"/>
  <c r="U351" i="14"/>
  <c r="V351" i="14" s="1"/>
  <c r="W351" i="14" s="1"/>
  <c r="V51" i="14"/>
  <c r="W51" i="14" s="1"/>
  <c r="V155" i="14"/>
  <c r="W155" i="14" s="1"/>
  <c r="X155" i="14" s="1"/>
  <c r="V216" i="14"/>
  <c r="W216" i="14" s="1"/>
  <c r="X216" i="14" s="1"/>
  <c r="Y216" i="14" s="1"/>
  <c r="Z216" i="14" s="1"/>
  <c r="AA216" i="14" s="1"/>
  <c r="V124" i="14"/>
  <c r="W124" i="14" s="1"/>
  <c r="X124" i="14" s="1"/>
  <c r="U126" i="14"/>
  <c r="U598" i="14"/>
  <c r="V540" i="14"/>
  <c r="W540" i="14" s="1"/>
  <c r="V467" i="14"/>
  <c r="W467" i="14" s="1"/>
  <c r="S355" i="14"/>
  <c r="T355" i="14" s="1"/>
  <c r="U355" i="14" s="1"/>
  <c r="V355" i="14" s="1"/>
  <c r="W355" i="14" s="1"/>
  <c r="X355" i="14" s="1"/>
  <c r="Y355" i="14" s="1"/>
  <c r="Z355" i="14" s="1"/>
  <c r="AA355" i="14" s="1"/>
  <c r="S701" i="14"/>
  <c r="U758" i="14"/>
  <c r="V758" i="14" s="1"/>
  <c r="W758" i="14" s="1"/>
  <c r="X758" i="14" s="1"/>
  <c r="Y758" i="14" s="1"/>
  <c r="Z758" i="14" s="1"/>
  <c r="AA758" i="14" s="1"/>
  <c r="S30" i="14"/>
  <c r="T50" i="14"/>
  <c r="U50" i="14" s="1"/>
  <c r="V50" i="14" s="1"/>
  <c r="W190" i="14"/>
  <c r="X190" i="14" s="1"/>
  <c r="Y190" i="14" s="1"/>
  <c r="Z190" i="14" s="1"/>
  <c r="AA190" i="14" s="1"/>
  <c r="T128" i="14"/>
  <c r="U128" i="14" s="1"/>
  <c r="V128" i="14" s="1"/>
  <c r="V563" i="14"/>
  <c r="W563" i="14" s="1"/>
  <c r="S347" i="14"/>
  <c r="T347" i="14" s="1"/>
  <c r="V291" i="14"/>
  <c r="W291" i="14" s="1"/>
  <c r="X291" i="14" s="1"/>
  <c r="Y291" i="14" s="1"/>
  <c r="Z291" i="14" s="1"/>
  <c r="V457" i="14"/>
  <c r="W457" i="14" s="1"/>
  <c r="W259" i="14"/>
  <c r="X259" i="14" s="1"/>
  <c r="Y259" i="14" s="1"/>
  <c r="T130" i="14"/>
  <c r="U130" i="14" s="1"/>
  <c r="V130" i="14" s="1"/>
  <c r="U374" i="14"/>
  <c r="V374" i="14" s="1"/>
  <c r="W374" i="14" s="1"/>
  <c r="W512" i="14"/>
  <c r="X512" i="14" s="1"/>
  <c r="Y512" i="14" s="1"/>
  <c r="Z512" i="14" s="1"/>
  <c r="AA512" i="14" s="1"/>
  <c r="W397" i="14"/>
  <c r="X397" i="14" s="1"/>
  <c r="Y397" i="14" s="1"/>
  <c r="U788" i="14"/>
  <c r="V788" i="14" s="1"/>
  <c r="W788" i="14" s="1"/>
  <c r="V349" i="14"/>
  <c r="W349" i="14" s="1"/>
  <c r="X349" i="14" s="1"/>
  <c r="V763" i="14"/>
  <c r="W763" i="14" s="1"/>
  <c r="W383" i="14"/>
  <c r="X383" i="14" s="1"/>
  <c r="Y383" i="14" s="1"/>
  <c r="X352" i="14"/>
  <c r="Y352" i="14" s="1"/>
  <c r="Z352" i="14" s="1"/>
  <c r="AA352" i="14" s="1"/>
  <c r="Y751" i="11"/>
  <c r="Z751" i="11" s="1"/>
  <c r="AA751" i="11" s="1"/>
  <c r="S100" i="14"/>
  <c r="U624" i="14"/>
  <c r="V624" i="14" s="1"/>
  <c r="W624" i="14" s="1"/>
  <c r="X624" i="14" s="1"/>
  <c r="Y624" i="14" s="1"/>
  <c r="Z624" i="14" s="1"/>
  <c r="AA624" i="14" s="1"/>
  <c r="U21" i="14"/>
  <c r="V21" i="14" s="1"/>
  <c r="S203" i="14"/>
  <c r="T203" i="14" s="1"/>
  <c r="U203" i="14" s="1"/>
  <c r="V203" i="14" s="1"/>
  <c r="S139" i="14"/>
  <c r="T139" i="14" s="1"/>
  <c r="T741" i="14"/>
  <c r="U741" i="14" s="1"/>
  <c r="V741" i="14" s="1"/>
  <c r="W741" i="14" s="1"/>
  <c r="X741" i="14" s="1"/>
  <c r="U675" i="14"/>
  <c r="V675" i="14" s="1"/>
  <c r="W675" i="14" s="1"/>
  <c r="T2" i="14"/>
  <c r="T497" i="14"/>
  <c r="U497" i="14" s="1"/>
  <c r="T233" i="14"/>
  <c r="U233" i="14" s="1"/>
  <c r="V233" i="14" s="1"/>
  <c r="T194" i="14"/>
  <c r="U194" i="14" s="1"/>
  <c r="S172" i="14"/>
  <c r="T774" i="14"/>
  <c r="U774" i="14" s="1"/>
  <c r="V774" i="14" s="1"/>
  <c r="W774" i="14" s="1"/>
  <c r="X774" i="14" s="1"/>
  <c r="Y774" i="14" s="1"/>
  <c r="Z774" i="14" s="1"/>
  <c r="AA774" i="14" s="1"/>
  <c r="U19" i="14"/>
  <c r="V19" i="14" s="1"/>
  <c r="W116" i="14"/>
  <c r="X116" i="14" s="1"/>
  <c r="S362" i="14"/>
  <c r="T362" i="14" s="1"/>
  <c r="S639" i="14"/>
  <c r="T639" i="14" s="1"/>
  <c r="U639" i="14" s="1"/>
  <c r="U13" i="14"/>
  <c r="V567" i="14"/>
  <c r="W567" i="14" s="1"/>
  <c r="T378" i="14"/>
  <c r="U378" i="14" s="1"/>
  <c r="V378" i="14" s="1"/>
  <c r="Y623" i="14"/>
  <c r="Z623" i="14" s="1"/>
  <c r="V258" i="14"/>
  <c r="X99" i="14"/>
  <c r="Y99" i="14" s="1"/>
  <c r="U35" i="14"/>
  <c r="T108" i="14"/>
  <c r="V52" i="14"/>
  <c r="W52" i="14" s="1"/>
  <c r="X52" i="14" s="1"/>
  <c r="V310" i="14"/>
  <c r="W310" i="14" s="1"/>
  <c r="X310" i="14" s="1"/>
  <c r="V620" i="14"/>
  <c r="W620" i="14" s="1"/>
  <c r="U543" i="14"/>
  <c r="V543" i="14" s="1"/>
  <c r="U269" i="14"/>
  <c r="V269" i="14" s="1"/>
  <c r="U40" i="14"/>
  <c r="V40" i="14" s="1"/>
  <c r="W40" i="14" s="1"/>
  <c r="X40" i="14" s="1"/>
  <c r="Y40" i="14" s="1"/>
  <c r="Z40" i="14" s="1"/>
  <c r="AA40" i="14" s="1"/>
  <c r="U261" i="14"/>
  <c r="V261" i="14" s="1"/>
  <c r="W261" i="14" s="1"/>
  <c r="W606" i="14"/>
  <c r="X606" i="14" s="1"/>
  <c r="Y606" i="14" s="1"/>
  <c r="Z606" i="14" s="1"/>
  <c r="V346" i="14"/>
  <c r="W346" i="14" s="1"/>
  <c r="X346" i="14" s="1"/>
  <c r="Y346" i="14" s="1"/>
  <c r="Z346" i="14" s="1"/>
  <c r="AA346" i="14" s="1"/>
  <c r="S702" i="14"/>
  <c r="T702" i="14" s="1"/>
  <c r="U702" i="14" s="1"/>
  <c r="V702" i="14" s="1"/>
  <c r="W702" i="14" s="1"/>
  <c r="W530" i="14"/>
  <c r="X530" i="14" s="1"/>
  <c r="U204" i="14"/>
  <c r="V204" i="14" s="1"/>
  <c r="W204" i="14" s="1"/>
  <c r="X204" i="14" s="1"/>
  <c r="Y204" i="14" s="1"/>
  <c r="T348" i="14"/>
  <c r="U348" i="14" s="1"/>
  <c r="V348" i="14" s="1"/>
  <c r="W348" i="14" s="1"/>
  <c r="X348" i="14" s="1"/>
  <c r="Y348" i="14" s="1"/>
  <c r="T749" i="14"/>
  <c r="V538" i="14"/>
  <c r="W538" i="14" s="1"/>
  <c r="X538" i="14" s="1"/>
  <c r="U55" i="14"/>
  <c r="U293" i="14"/>
  <c r="V293" i="14" s="1"/>
  <c r="U414" i="14"/>
  <c r="V414" i="14" s="1"/>
  <c r="W731" i="14"/>
  <c r="X731" i="14" s="1"/>
  <c r="Y731" i="14" s="1"/>
  <c r="Z731" i="14" s="1"/>
  <c r="AA731" i="14" s="1"/>
  <c r="V79" i="14"/>
  <c r="W79" i="14" s="1"/>
  <c r="W700" i="14"/>
  <c r="X700" i="14" s="1"/>
  <c r="Y700" i="14" s="1"/>
  <c r="Z700" i="14" s="1"/>
  <c r="AA700" i="14" s="1"/>
  <c r="V290" i="14"/>
  <c r="W290" i="14" s="1"/>
  <c r="X290" i="14" s="1"/>
  <c r="Y290" i="14" s="1"/>
  <c r="Z290" i="14" s="1"/>
  <c r="AA290" i="14" s="1"/>
  <c r="T171" i="14"/>
  <c r="U171" i="14" s="1"/>
  <c r="U363" i="14"/>
  <c r="V363" i="14" s="1"/>
  <c r="W363" i="14" s="1"/>
  <c r="X363" i="14" s="1"/>
  <c r="Y363" i="14" s="1"/>
  <c r="S292" i="14"/>
  <c r="W405" i="14"/>
  <c r="X405" i="14" s="1"/>
  <c r="Y405" i="14" s="1"/>
  <c r="Z405" i="14" s="1"/>
  <c r="AA405" i="14" s="1"/>
  <c r="W98" i="14"/>
  <c r="X98" i="14" s="1"/>
  <c r="W767" i="14"/>
  <c r="X767" i="14" s="1"/>
  <c r="Y767" i="14" s="1"/>
  <c r="Z767" i="14" s="1"/>
  <c r="AA767" i="14" s="1"/>
  <c r="Y469" i="14"/>
  <c r="Z469" i="14" s="1"/>
  <c r="AA469" i="14" s="1"/>
  <c r="T615" i="14"/>
  <c r="U615" i="14" s="1"/>
  <c r="Z242" i="14"/>
  <c r="AA242" i="14" s="1"/>
  <c r="V572" i="14"/>
  <c r="W572" i="14" s="1"/>
  <c r="X572" i="14" s="1"/>
  <c r="Y572" i="14" s="1"/>
  <c r="Z572" i="14" s="1"/>
  <c r="AA572" i="14" s="1"/>
  <c r="U199" i="14"/>
  <c r="V199" i="14" s="1"/>
  <c r="W199" i="14" s="1"/>
  <c r="X199" i="14" s="1"/>
  <c r="Y199" i="14" s="1"/>
  <c r="Z199" i="14" s="1"/>
  <c r="AA199" i="14" s="1"/>
  <c r="U558" i="14"/>
  <c r="V558" i="14" s="1"/>
  <c r="W558" i="14" s="1"/>
  <c r="X558" i="14" s="1"/>
  <c r="Y558" i="14" s="1"/>
  <c r="W511" i="14"/>
  <c r="X511" i="14" s="1"/>
  <c r="Y511" i="14" s="1"/>
  <c r="Z511" i="14" s="1"/>
  <c r="AA511" i="14" s="1"/>
  <c r="T36" i="14"/>
  <c r="U36" i="14" s="1"/>
  <c r="S772" i="14"/>
  <c r="T772" i="14" s="1"/>
  <c r="U772" i="14" s="1"/>
  <c r="S22" i="14"/>
  <c r="T101" i="14"/>
  <c r="T147" i="14"/>
  <c r="U147" i="14" s="1"/>
  <c r="V147" i="14" s="1"/>
  <c r="W147" i="14" s="1"/>
  <c r="X147" i="14" s="1"/>
  <c r="Y147" i="14" s="1"/>
  <c r="Z147" i="14" s="1"/>
  <c r="AA147" i="14" s="1"/>
  <c r="V107" i="14"/>
  <c r="W107" i="14" s="1"/>
  <c r="X107" i="14" s="1"/>
  <c r="Y107" i="14" s="1"/>
  <c r="X524" i="14"/>
  <c r="Y524" i="14" s="1"/>
  <c r="Z524" i="14" s="1"/>
  <c r="U188" i="14"/>
  <c r="Y339" i="14"/>
  <c r="Z339" i="14" s="1"/>
  <c r="AA339" i="14" s="1"/>
  <c r="U298" i="14"/>
  <c r="V298" i="14" s="1"/>
  <c r="W298" i="14" s="1"/>
  <c r="X298" i="14" s="1"/>
  <c r="Y298" i="14" s="1"/>
  <c r="U175" i="14"/>
  <c r="V175" i="14" s="1"/>
  <c r="W175" i="14" s="1"/>
  <c r="AA89" i="14"/>
  <c r="U429" i="14"/>
  <c r="V429" i="14" s="1"/>
  <c r="W429" i="14" s="1"/>
  <c r="V418" i="14"/>
  <c r="W418" i="14" s="1"/>
  <c r="S514" i="14"/>
  <c r="S420" i="14"/>
  <c r="T420" i="14" s="1"/>
  <c r="X443" i="14"/>
  <c r="Y443" i="14" s="1"/>
  <c r="Z443" i="14" s="1"/>
  <c r="AA443" i="14" s="1"/>
  <c r="U330" i="14"/>
  <c r="V330" i="14" s="1"/>
  <c r="V3" i="14"/>
  <c r="S67" i="14"/>
  <c r="W616" i="14"/>
  <c r="X616" i="14" s="1"/>
  <c r="Y616" i="14" s="1"/>
  <c r="Z616" i="14" s="1"/>
  <c r="AA616" i="14" s="1"/>
  <c r="U215" i="14"/>
  <c r="V215" i="14" s="1"/>
  <c r="W215" i="14" s="1"/>
  <c r="X215" i="14" s="1"/>
  <c r="Y215" i="14" s="1"/>
  <c r="T354" i="14"/>
  <c r="U354" i="14" s="1"/>
  <c r="V354" i="14" s="1"/>
  <c r="W458" i="14"/>
  <c r="V718" i="14"/>
  <c r="W718" i="14" s="1"/>
  <c r="W60" i="14"/>
  <c r="U390" i="14"/>
  <c r="V390" i="14" s="1"/>
  <c r="W390" i="14" s="1"/>
  <c r="X390" i="14" s="1"/>
  <c r="Y390" i="14" s="1"/>
  <c r="Z390" i="14" s="1"/>
  <c r="V389" i="14"/>
  <c r="W389" i="14" s="1"/>
  <c r="X389" i="14" s="1"/>
  <c r="T455" i="14"/>
  <c r="U455" i="14" s="1"/>
  <c r="T651" i="14"/>
  <c r="U651" i="14" s="1"/>
  <c r="T577" i="14"/>
  <c r="U577" i="14" s="1"/>
  <c r="V577" i="14" s="1"/>
  <c r="W577" i="14" s="1"/>
  <c r="X577" i="14" s="1"/>
  <c r="Y577" i="14" s="1"/>
  <c r="Z577" i="14" s="1"/>
  <c r="AA577" i="14" s="1"/>
  <c r="U211" i="14"/>
  <c r="V211" i="14" s="1"/>
  <c r="X687" i="14"/>
  <c r="Y687" i="14" s="1"/>
  <c r="U164" i="14"/>
  <c r="V164" i="14" s="1"/>
  <c r="W164" i="14" s="1"/>
  <c r="X164" i="14" s="1"/>
  <c r="Y164" i="14" s="1"/>
  <c r="Z164" i="14" s="1"/>
  <c r="AA164" i="14" s="1"/>
  <c r="T271" i="14"/>
  <c r="V200" i="14"/>
  <c r="W200" i="14" s="1"/>
  <c r="X200" i="14" s="1"/>
  <c r="Y200" i="14" s="1"/>
  <c r="Z200" i="14" s="1"/>
  <c r="AA200" i="14" s="1"/>
  <c r="U593" i="14"/>
  <c r="V593" i="14" s="1"/>
  <c r="W593" i="14" s="1"/>
  <c r="X593" i="14" s="1"/>
  <c r="Y593" i="14" s="1"/>
  <c r="S193" i="14"/>
  <c r="T193" i="14" s="1"/>
  <c r="U193" i="14" s="1"/>
  <c r="T667" i="14"/>
  <c r="X725" i="14"/>
  <c r="U450" i="14"/>
  <c r="V450" i="14" s="1"/>
  <c r="W450" i="14" s="1"/>
  <c r="U150" i="14"/>
  <c r="V150" i="14" s="1"/>
  <c r="W150" i="14" s="1"/>
  <c r="X150" i="14" s="1"/>
  <c r="Y150" i="14" s="1"/>
  <c r="Z150" i="14" s="1"/>
  <c r="AA150" i="14" s="1"/>
  <c r="X223" i="14"/>
  <c r="Y223" i="14" s="1"/>
  <c r="Z223" i="14" s="1"/>
  <c r="AA223" i="14" s="1"/>
  <c r="U468" i="14"/>
  <c r="V468" i="14" s="1"/>
  <c r="W468" i="14" s="1"/>
  <c r="X468" i="14" s="1"/>
  <c r="Y468" i="14" s="1"/>
  <c r="Z468" i="14" s="1"/>
  <c r="AA468" i="14" s="1"/>
  <c r="U15" i="14"/>
  <c r="V15" i="14" s="1"/>
  <c r="S716" i="14"/>
  <c r="S678" i="14"/>
  <c r="T678" i="14" s="1"/>
  <c r="U678" i="14" s="1"/>
  <c r="T445" i="14"/>
  <c r="U445" i="14" s="1"/>
  <c r="V445" i="14" s="1"/>
  <c r="W445" i="14" s="1"/>
  <c r="X445" i="14" s="1"/>
  <c r="Y445" i="14" s="1"/>
  <c r="Z445" i="14" s="1"/>
  <c r="AA445" i="14" s="1"/>
  <c r="T528" i="14"/>
  <c r="U528" i="14" s="1"/>
  <c r="V528" i="14" s="1"/>
  <c r="W528" i="14" s="1"/>
  <c r="X528" i="14" s="1"/>
  <c r="AA541" i="14"/>
  <c r="X612" i="14"/>
  <c r="Y612" i="14" s="1"/>
  <c r="Z612" i="14" s="1"/>
  <c r="S714" i="14"/>
  <c r="W453" i="14"/>
  <c r="X453" i="14" s="1"/>
  <c r="Y453" i="14" s="1"/>
  <c r="Z453" i="14" s="1"/>
  <c r="AA453" i="14" s="1"/>
  <c r="U500" i="14"/>
  <c r="V500" i="14" s="1"/>
  <c r="W500" i="14" s="1"/>
  <c r="X500" i="14" s="1"/>
  <c r="Y500" i="14" s="1"/>
  <c r="Z500" i="14" s="1"/>
  <c r="AA500" i="14" s="1"/>
  <c r="S239" i="14"/>
  <c r="S234" i="14"/>
  <c r="T234" i="14" s="1"/>
  <c r="W38" i="14"/>
  <c r="X38" i="14" s="1"/>
  <c r="Y38" i="14" s="1"/>
  <c r="Z38" i="14" s="1"/>
  <c r="AA38" i="14" s="1"/>
  <c r="V570" i="14"/>
  <c r="W570" i="14" s="1"/>
  <c r="X570" i="14" s="1"/>
  <c r="Y570" i="14" s="1"/>
  <c r="S274" i="14"/>
  <c r="W564" i="14"/>
  <c r="X564" i="14" s="1"/>
  <c r="Y564" i="14" s="1"/>
  <c r="Z564" i="14" s="1"/>
  <c r="AA564" i="14" s="1"/>
  <c r="T163" i="14"/>
  <c r="U163" i="14" s="1"/>
  <c r="V163" i="14" s="1"/>
  <c r="T191" i="14"/>
  <c r="Y727" i="14"/>
  <c r="Z727" i="14" s="1"/>
  <c r="AA727" i="14" s="1"/>
  <c r="Z331" i="14"/>
  <c r="AA331" i="14" s="1"/>
  <c r="Y599" i="14"/>
  <c r="Z599" i="14" s="1"/>
  <c r="AA599" i="14" s="1"/>
  <c r="Y407" i="14"/>
  <c r="Z407" i="14" s="1"/>
  <c r="T759" i="14"/>
  <c r="V735" i="14"/>
  <c r="AA398" i="14"/>
  <c r="W698" i="14"/>
  <c r="X698" i="14" s="1"/>
  <c r="Y698" i="14" s="1"/>
  <c r="Z698" i="14" s="1"/>
  <c r="AA698" i="14" s="1"/>
  <c r="T309" i="14"/>
  <c r="W487" i="14"/>
  <c r="X487" i="14" s="1"/>
  <c r="T56" i="14"/>
  <c r="U56" i="14" s="1"/>
  <c r="U264" i="14"/>
  <c r="V264" i="14" s="1"/>
  <c r="W264" i="14" s="1"/>
  <c r="X264" i="14" s="1"/>
  <c r="Y264" i="14" s="1"/>
  <c r="Z264" i="14" s="1"/>
  <c r="AA264" i="14" s="1"/>
  <c r="V515" i="14"/>
  <c r="W515" i="14" s="1"/>
  <c r="X515" i="14" s="1"/>
  <c r="V387" i="14"/>
  <c r="W387" i="14" s="1"/>
  <c r="X387" i="14" s="1"/>
  <c r="Y387" i="14" s="1"/>
  <c r="Z387" i="14" s="1"/>
  <c r="V173" i="14"/>
  <c r="W173" i="14" s="1"/>
  <c r="X173" i="14" s="1"/>
  <c r="Y173" i="14" s="1"/>
  <c r="Z173" i="14" s="1"/>
  <c r="AA173" i="14" s="1"/>
  <c r="Z280" i="14"/>
  <c r="AA280" i="14" s="1"/>
  <c r="T569" i="14"/>
  <c r="U569" i="14" s="1"/>
  <c r="V464" i="14"/>
  <c r="W464" i="14" s="1"/>
  <c r="X464" i="14" s="1"/>
  <c r="Y464" i="14" s="1"/>
  <c r="Z464" i="14" s="1"/>
  <c r="AA464" i="14" s="1"/>
  <c r="V625" i="14"/>
  <c r="W625" i="14" s="1"/>
  <c r="U209" i="14"/>
  <c r="V209" i="14" s="1"/>
  <c r="W209" i="14" s="1"/>
  <c r="X209" i="14" s="1"/>
  <c r="Y209" i="14" s="1"/>
  <c r="Z209" i="14" s="1"/>
  <c r="AA209" i="14" s="1"/>
  <c r="V251" i="14"/>
  <c r="W251" i="14" s="1"/>
  <c r="X251" i="14" s="1"/>
  <c r="Y251" i="14" s="1"/>
  <c r="Z251" i="14" s="1"/>
  <c r="AA251" i="14" s="1"/>
  <c r="U157" i="14"/>
  <c r="V157" i="14" s="1"/>
  <c r="W157" i="14" s="1"/>
  <c r="X157" i="14" s="1"/>
  <c r="Y157" i="14" s="1"/>
  <c r="Z157" i="14" s="1"/>
  <c r="AA157" i="14" s="1"/>
  <c r="W775" i="14"/>
  <c r="X775" i="14" s="1"/>
  <c r="U278" i="14"/>
  <c r="W45" i="14"/>
  <c r="X45" i="14" s="1"/>
  <c r="Y45" i="14" s="1"/>
  <c r="Z45" i="14" s="1"/>
  <c r="W475" i="14"/>
  <c r="X475" i="14" s="1"/>
  <c r="Y475" i="14" s="1"/>
  <c r="Z475" i="14" s="1"/>
  <c r="AA475" i="14" s="1"/>
  <c r="V664" i="14"/>
  <c r="W664" i="14" s="1"/>
  <c r="T492" i="14"/>
  <c r="X440" i="14"/>
  <c r="Y440" i="14" s="1"/>
  <c r="T755" i="14"/>
  <c r="U755" i="14" s="1"/>
  <c r="V755" i="14" s="1"/>
  <c r="W755" i="14" s="1"/>
  <c r="X755" i="14" s="1"/>
  <c r="Y755" i="14" s="1"/>
  <c r="Z755" i="14" s="1"/>
  <c r="AA755" i="14" s="1"/>
  <c r="U553" i="14"/>
  <c r="V553" i="14" s="1"/>
  <c r="W553" i="14" s="1"/>
  <c r="X553" i="14" s="1"/>
  <c r="Y553" i="14" s="1"/>
  <c r="Z553" i="14" s="1"/>
  <c r="AA553" i="14" s="1"/>
  <c r="T535" i="14"/>
  <c r="U535" i="14" s="1"/>
  <c r="U372" i="14"/>
  <c r="V372" i="14" s="1"/>
  <c r="W372" i="14" s="1"/>
  <c r="X372" i="14" s="1"/>
  <c r="Y372" i="14" s="1"/>
  <c r="Z372" i="14" s="1"/>
  <c r="AA372" i="14" s="1"/>
  <c r="Y284" i="14"/>
  <c r="U444" i="14"/>
  <c r="V444" i="14" s="1"/>
  <c r="W444" i="14" s="1"/>
  <c r="X444" i="14" s="1"/>
  <c r="Y444" i="14" s="1"/>
  <c r="Z444" i="14" s="1"/>
  <c r="AA444" i="14" s="1"/>
  <c r="T335" i="14"/>
  <c r="V688" i="14"/>
  <c r="W688" i="14" s="1"/>
  <c r="X688" i="14" s="1"/>
  <c r="Y688" i="14" s="1"/>
  <c r="V713" i="14"/>
  <c r="W713" i="14" s="1"/>
  <c r="U423" i="14"/>
  <c r="V423" i="14" s="1"/>
  <c r="W423" i="14" s="1"/>
  <c r="V790" i="14"/>
  <c r="W790" i="14" s="1"/>
  <c r="X790" i="14" s="1"/>
  <c r="Y790" i="14" s="1"/>
  <c r="Z790" i="14" s="1"/>
  <c r="AA790" i="14" s="1"/>
  <c r="S236" i="14"/>
  <c r="T236" i="14" s="1"/>
  <c r="U236" i="14" s="1"/>
  <c r="V236" i="14" s="1"/>
  <c r="V778" i="14"/>
  <c r="T566" i="14"/>
  <c r="U566" i="14" s="1"/>
  <c r="T542" i="14"/>
  <c r="W447" i="14"/>
  <c r="X447" i="14" s="1"/>
  <c r="Y447" i="14" s="1"/>
  <c r="Z447" i="14" s="1"/>
  <c r="V235" i="14"/>
  <c r="W235" i="14" s="1"/>
  <c r="X235" i="14" s="1"/>
  <c r="Y235" i="14" s="1"/>
  <c r="Z235" i="14" s="1"/>
  <c r="AA235" i="14" s="1"/>
  <c r="V263" i="14"/>
  <c r="X62" i="14"/>
  <c r="Y62" i="14" s="1"/>
  <c r="Z62" i="14" s="1"/>
  <c r="AA62" i="14" s="1"/>
  <c r="U729" i="14"/>
  <c r="V729" i="14" s="1"/>
  <c r="W729" i="14" s="1"/>
  <c r="X729" i="14" s="1"/>
  <c r="Y729" i="14" s="1"/>
  <c r="T486" i="14"/>
  <c r="S503" i="14"/>
  <c r="T503" i="14" s="1"/>
  <c r="U503" i="14" s="1"/>
  <c r="S311" i="14"/>
  <c r="U584" i="14"/>
  <c r="V584" i="14" s="1"/>
  <c r="W584" i="14" s="1"/>
  <c r="V603" i="14"/>
  <c r="T395" i="14"/>
  <c r="T149" i="14"/>
  <c r="U149" i="14" s="1"/>
  <c r="W589" i="14"/>
  <c r="X589" i="14" s="1"/>
  <c r="T186" i="14"/>
  <c r="U186" i="14" s="1"/>
  <c r="V162" i="14"/>
  <c r="W162" i="14" s="1"/>
  <c r="X162" i="14" s="1"/>
  <c r="Y162" i="14" s="1"/>
  <c r="Z162" i="14" s="1"/>
  <c r="AA162" i="14" s="1"/>
  <c r="T77" i="14"/>
  <c r="U77" i="14" s="1"/>
  <c r="U695" i="14"/>
  <c r="V695" i="14" s="1"/>
  <c r="V751" i="14"/>
  <c r="W751" i="14" s="1"/>
  <c r="W151" i="14"/>
  <c r="X151" i="14" s="1"/>
  <c r="Y151" i="14" s="1"/>
  <c r="U137" i="14"/>
  <c r="V137" i="14" s="1"/>
  <c r="V607" i="14"/>
  <c r="W607" i="14" s="1"/>
  <c r="X510" i="14"/>
  <c r="Y510" i="14" s="1"/>
  <c r="Z510" i="14" s="1"/>
  <c r="S192" i="14"/>
  <c r="V224" i="14"/>
  <c r="W224" i="14" s="1"/>
  <c r="X224" i="14" s="1"/>
  <c r="Y129" i="14"/>
  <c r="Z129" i="14" s="1"/>
  <c r="AA129" i="14" s="1"/>
  <c r="Y305" i="14"/>
  <c r="Z305" i="14" s="1"/>
  <c r="AA305" i="14" s="1"/>
  <c r="U232" i="14"/>
  <c r="V232" i="14" s="1"/>
  <c r="W232" i="14" s="1"/>
  <c r="T110" i="14"/>
  <c r="U110" i="14" s="1"/>
  <c r="V88" i="14"/>
  <c r="S14" i="14"/>
  <c r="T14" i="14" s="1"/>
  <c r="U78" i="14"/>
  <c r="V78" i="14" s="1"/>
  <c r="W78" i="14" s="1"/>
  <c r="X78" i="14" s="1"/>
  <c r="Y78" i="14" s="1"/>
  <c r="Z78" i="14" s="1"/>
  <c r="AA78" i="14" s="1"/>
  <c r="T350" i="14"/>
  <c r="U350" i="14" s="1"/>
  <c r="T484" i="14"/>
  <c r="U501" i="14"/>
  <c r="S739" i="14"/>
  <c r="S456" i="14"/>
  <c r="T456" i="14" s="1"/>
  <c r="W120" i="14"/>
  <c r="X120" i="14" s="1"/>
  <c r="Y120" i="14" s="1"/>
  <c r="T25" i="14"/>
  <c r="V697" i="14"/>
  <c r="W109" i="14"/>
  <c r="X109" i="14" s="1"/>
  <c r="Y109" i="14" s="1"/>
  <c r="V213" i="14"/>
  <c r="W213" i="14" s="1"/>
  <c r="X213" i="14" s="1"/>
  <c r="Y213" i="14" s="1"/>
  <c r="V122" i="14"/>
  <c r="W122" i="14" s="1"/>
  <c r="S403" i="14"/>
  <c r="W461" i="14"/>
  <c r="X461" i="14" s="1"/>
  <c r="Y461" i="14" s="1"/>
  <c r="Z461" i="14" s="1"/>
  <c r="AA461" i="14" s="1"/>
  <c r="T507" i="14"/>
  <c r="U507" i="14" s="1"/>
  <c r="V507" i="14" s="1"/>
  <c r="V178" i="14"/>
  <c r="S547" i="14"/>
  <c r="T547" i="14" s="1"/>
  <c r="U547" i="14" s="1"/>
  <c r="S83" i="14"/>
  <c r="W734" i="14"/>
  <c r="X734" i="14" s="1"/>
  <c r="Y734" i="14" s="1"/>
  <c r="S783" i="14"/>
  <c r="W671" i="14"/>
  <c r="X671" i="14" s="1"/>
  <c r="Y671" i="14" s="1"/>
  <c r="Z671" i="14" s="1"/>
  <c r="S287" i="14"/>
  <c r="T287" i="14" s="1"/>
  <c r="U287" i="14" s="1"/>
  <c r="V287" i="14" s="1"/>
  <c r="S375" i="14"/>
  <c r="T549" i="14"/>
  <c r="U143" i="14"/>
  <c r="V143" i="14" s="1"/>
  <c r="W143" i="14" s="1"/>
  <c r="T272" i="14"/>
  <c r="U272" i="14" s="1"/>
  <c r="V272" i="14" s="1"/>
  <c r="V401" i="14"/>
  <c r="W401" i="14" s="1"/>
  <c r="W338" i="14"/>
  <c r="X338" i="14" s="1"/>
  <c r="Y338" i="14" s="1"/>
  <c r="Z338" i="14" s="1"/>
  <c r="AA338" i="14" s="1"/>
  <c r="T125" i="14"/>
  <c r="U117" i="14"/>
  <c r="V117" i="14" s="1"/>
  <c r="W117" i="14" s="1"/>
  <c r="X117" i="14" s="1"/>
  <c r="W422" i="14"/>
  <c r="X422" i="14" s="1"/>
  <c r="U80" i="14"/>
  <c r="V80" i="14" s="1"/>
  <c r="X334" i="14"/>
  <c r="S575" i="14"/>
  <c r="T575" i="14" s="1"/>
  <c r="U575" i="14" s="1"/>
  <c r="V575" i="14" s="1"/>
  <c r="T479" i="14"/>
  <c r="U479" i="14" s="1"/>
  <c r="V479" i="14" s="1"/>
  <c r="W479" i="14" s="1"/>
  <c r="U34" i="14"/>
  <c r="V34" i="14" s="1"/>
  <c r="T689" i="14"/>
  <c r="U689" i="14" s="1"/>
  <c r="V689" i="14" s="1"/>
  <c r="U462" i="14"/>
  <c r="S201" i="14"/>
  <c r="T345" i="14"/>
  <c r="U97" i="14"/>
  <c r="V340" i="14"/>
  <c r="W340" i="14" s="1"/>
  <c r="V32" i="14"/>
  <c r="T560" i="14"/>
  <c r="AA721" i="14"/>
  <c r="V585" i="14"/>
  <c r="W585" i="14" s="1"/>
  <c r="X585" i="14" s="1"/>
  <c r="Y585" i="14" s="1"/>
  <c r="Z585" i="14" s="1"/>
  <c r="AA585" i="14" s="1"/>
  <c r="X222" i="14"/>
  <c r="Y222" i="14" s="1"/>
  <c r="S180" i="14"/>
  <c r="S654" i="14"/>
  <c r="U267" i="14"/>
  <c r="V267" i="14" s="1"/>
  <c r="U451" i="14"/>
  <c r="V451" i="14" s="1"/>
  <c r="W451" i="14" s="1"/>
  <c r="X451" i="14" s="1"/>
  <c r="Y451" i="14" s="1"/>
  <c r="Z451" i="14" s="1"/>
  <c r="Y356" i="14"/>
  <c r="Z356" i="14" s="1"/>
  <c r="T726" i="14"/>
  <c r="X546" i="14"/>
  <c r="Y546" i="14" s="1"/>
  <c r="Z546" i="14" s="1"/>
  <c r="AA546" i="14" s="1"/>
  <c r="T586" i="14"/>
  <c r="U586" i="14" s="1"/>
  <c r="V539" i="14"/>
  <c r="W539" i="14" s="1"/>
  <c r="W652" i="14"/>
  <c r="X652" i="14" s="1"/>
  <c r="Y652" i="14" s="1"/>
  <c r="Z652" i="14" s="1"/>
  <c r="AA652" i="14" s="1"/>
  <c r="X197" i="14"/>
  <c r="Y197" i="14" s="1"/>
  <c r="Z197" i="14" s="1"/>
  <c r="AA197" i="14" s="1"/>
  <c r="V105" i="14"/>
  <c r="W105" i="14" s="1"/>
  <c r="X105" i="14" s="1"/>
  <c r="Y105" i="14" s="1"/>
  <c r="Z105" i="14" s="1"/>
  <c r="U392" i="14"/>
  <c r="V392" i="14" s="1"/>
  <c r="W392" i="14" s="1"/>
  <c r="S319" i="14"/>
  <c r="T319" i="14" s="1"/>
  <c r="T658" i="14"/>
  <c r="U658" i="14" s="1"/>
  <c r="X368" i="14"/>
  <c r="Y368" i="14" s="1"/>
  <c r="Z368" i="14" s="1"/>
  <c r="AA368" i="14" s="1"/>
  <c r="T416" i="14"/>
  <c r="U416" i="14" s="1"/>
  <c r="V416" i="14" s="1"/>
  <c r="W54" i="14"/>
  <c r="X54" i="14" s="1"/>
  <c r="T343" i="14"/>
  <c r="U343" i="14" s="1"/>
  <c r="T506" i="14"/>
  <c r="U506" i="14" s="1"/>
  <c r="V506" i="14" s="1"/>
  <c r="T684" i="14"/>
  <c r="U684" i="14" s="1"/>
  <c r="V684" i="14" s="1"/>
  <c r="W684" i="14" s="1"/>
  <c r="X684" i="14" s="1"/>
  <c r="Y684" i="14" s="1"/>
  <c r="Z684" i="14" s="1"/>
  <c r="AA684" i="14" s="1"/>
  <c r="Y649" i="14"/>
  <c r="Z649" i="14" s="1"/>
  <c r="AA649" i="14" s="1"/>
  <c r="W433" i="14"/>
  <c r="X433" i="14" s="1"/>
  <c r="V643" i="14"/>
  <c r="W643" i="14" s="1"/>
  <c r="X643" i="14" s="1"/>
  <c r="Y643" i="14" s="1"/>
  <c r="Z643" i="14" s="1"/>
  <c r="AA643" i="14" s="1"/>
  <c r="U753" i="14"/>
  <c r="V753" i="14" s="1"/>
  <c r="W753" i="14" s="1"/>
  <c r="X753" i="14" s="1"/>
  <c r="U424" i="14"/>
  <c r="V424" i="14" s="1"/>
  <c r="W424" i="14" s="1"/>
  <c r="X424" i="14" s="1"/>
  <c r="Y424" i="14" s="1"/>
  <c r="Z424" i="14" s="1"/>
  <c r="AA424" i="14" s="1"/>
  <c r="U682" i="14"/>
  <c r="V682" i="14" s="1"/>
  <c r="V249" i="14"/>
  <c r="S505" i="14"/>
  <c r="W341" i="14"/>
  <c r="X341" i="14" s="1"/>
  <c r="Y341" i="14" s="1"/>
  <c r="Z341" i="14" s="1"/>
  <c r="AA341" i="14" s="1"/>
  <c r="T295" i="14"/>
  <c r="T544" i="14"/>
  <c r="U544" i="14" s="1"/>
  <c r="T257" i="14"/>
  <c r="V537" i="14"/>
  <c r="W537" i="14" s="1"/>
  <c r="Z42" i="14"/>
  <c r="AA42" i="14" s="1"/>
  <c r="U198" i="14"/>
  <c r="V198" i="14" s="1"/>
  <c r="U493" i="14"/>
  <c r="V493" i="14" s="1"/>
  <c r="W493" i="14" s="1"/>
  <c r="T123" i="14"/>
  <c r="U123" i="14" s="1"/>
  <c r="V123" i="14" s="1"/>
  <c r="W123" i="14" s="1"/>
  <c r="X123" i="14" s="1"/>
  <c r="Y123" i="14" s="1"/>
  <c r="Z123" i="14" s="1"/>
  <c r="AA123" i="14" s="1"/>
  <c r="W43" i="14"/>
  <c r="X43" i="14" s="1"/>
  <c r="Y43" i="14" s="1"/>
  <c r="U640" i="14"/>
  <c r="V640" i="14" s="1"/>
  <c r="U20" i="14"/>
  <c r="V66" i="14"/>
  <c r="W66" i="14" s="1"/>
  <c r="X66" i="14" s="1"/>
  <c r="W717" i="14"/>
  <c r="X717" i="14" s="1"/>
  <c r="Y717" i="14" s="1"/>
  <c r="W371" i="14"/>
  <c r="X371" i="14" s="1"/>
  <c r="V694" i="14"/>
  <c r="W694" i="14" s="1"/>
  <c r="X694" i="14" s="1"/>
  <c r="Y694" i="14" s="1"/>
  <c r="Z694" i="14" s="1"/>
  <c r="AA694" i="14" s="1"/>
  <c r="V254" i="14"/>
  <c r="W254" i="14" s="1"/>
  <c r="Z4" i="14"/>
  <c r="AA4" i="14" s="1"/>
  <c r="S85" i="14"/>
  <c r="U119" i="14"/>
  <c r="V627" i="14"/>
  <c r="W627" i="14" s="1"/>
  <c r="X627" i="14" s="1"/>
  <c r="Y153" i="14"/>
  <c r="Z153" i="14" s="1"/>
  <c r="AA153" i="14" s="1"/>
  <c r="V460" i="14"/>
  <c r="W460" i="14" s="1"/>
  <c r="X460" i="14" s="1"/>
  <c r="Y460" i="14" s="1"/>
  <c r="Z460" i="14" s="1"/>
  <c r="AA460" i="14" s="1"/>
  <c r="U680" i="14"/>
  <c r="U591" i="14"/>
  <c r="U660" i="14"/>
  <c r="V660" i="14" s="1"/>
  <c r="W660" i="14" s="1"/>
  <c r="V471" i="14"/>
  <c r="W471" i="14" s="1"/>
  <c r="V166" i="14"/>
  <c r="W166" i="14" s="1"/>
  <c r="V565" i="14"/>
  <c r="Y428" i="14"/>
  <c r="Z428" i="14" s="1"/>
  <c r="AA428" i="14" s="1"/>
  <c r="Z176" i="14"/>
  <c r="AA176" i="14" s="1"/>
  <c r="T730" i="14"/>
  <c r="U730" i="14" s="1"/>
  <c r="V730" i="14" s="1"/>
  <c r="W730" i="14" s="1"/>
  <c r="X730" i="14" s="1"/>
  <c r="U746" i="14"/>
  <c r="Y707" i="14"/>
  <c r="Z707" i="14" s="1"/>
  <c r="AA707" i="14" s="1"/>
  <c r="Y265" i="14"/>
  <c r="Z265" i="14" s="1"/>
  <c r="AA265" i="14" s="1"/>
  <c r="W771" i="14"/>
  <c r="X771" i="14" s="1"/>
  <c r="Y771" i="14" s="1"/>
  <c r="Z771" i="14" s="1"/>
  <c r="AA771" i="14" s="1"/>
  <c r="V381" i="14"/>
  <c r="W421" i="14"/>
  <c r="X136" i="14"/>
  <c r="Y136" i="14" s="1"/>
  <c r="Z136" i="14" s="1"/>
  <c r="AA136" i="14" s="1"/>
  <c r="Z442" i="14"/>
  <c r="AA442" i="14" s="1"/>
  <c r="Y477" i="14"/>
  <c r="Z477" i="14" s="1"/>
  <c r="AA477" i="14" s="1"/>
  <c r="V683" i="14"/>
  <c r="W683" i="14" s="1"/>
  <c r="X683" i="14" s="1"/>
  <c r="V369" i="14"/>
  <c r="W369" i="14" s="1"/>
  <c r="X369" i="14" s="1"/>
  <c r="Y369" i="14" s="1"/>
  <c r="Z369" i="14" s="1"/>
  <c r="AA369" i="14" s="1"/>
  <c r="U619" i="14"/>
  <c r="V619" i="14" s="1"/>
  <c r="W619" i="14" s="1"/>
  <c r="X619" i="14" s="1"/>
  <c r="Y619" i="14" s="1"/>
  <c r="W361" i="14"/>
  <c r="X361" i="14" s="1"/>
  <c r="Y361" i="14" s="1"/>
  <c r="T144" i="14"/>
  <c r="X63" i="14"/>
  <c r="Y63" i="14" s="1"/>
  <c r="Z63" i="14" s="1"/>
  <c r="AA63" i="14" s="1"/>
  <c r="T302" i="14"/>
  <c r="U302" i="14" s="1"/>
  <c r="V302" i="14" s="1"/>
  <c r="T221" i="14"/>
  <c r="U221" i="14" s="1"/>
  <c r="V221" i="14" s="1"/>
  <c r="W221" i="14" s="1"/>
  <c r="X221" i="14" s="1"/>
  <c r="Y221" i="14" s="1"/>
  <c r="S498" i="14"/>
  <c r="T498" i="14" s="1"/>
  <c r="X16" i="14"/>
  <c r="Y16" i="14" s="1"/>
  <c r="U23" i="14"/>
  <c r="V23" i="14" s="1"/>
  <c r="W23" i="14" s="1"/>
  <c r="Y226" i="14"/>
  <c r="Z226" i="14" s="1"/>
  <c r="AA226" i="14" s="1"/>
  <c r="V7" i="14"/>
  <c r="T308" i="14"/>
  <c r="V655" i="14"/>
  <c r="W655" i="14" s="1"/>
  <c r="T307" i="14"/>
  <c r="T391" i="14"/>
  <c r="U391" i="14" s="1"/>
  <c r="V391" i="14" s="1"/>
  <c r="W391" i="14" s="1"/>
  <c r="X391" i="14" s="1"/>
  <c r="Y391" i="14" s="1"/>
  <c r="Z391" i="14" s="1"/>
  <c r="AA391" i="14" s="1"/>
  <c r="V519" i="14"/>
  <c r="W519" i="14" s="1"/>
  <c r="T337" i="14"/>
  <c r="U337" i="14" s="1"/>
  <c r="V337" i="14" s="1"/>
  <c r="V525" i="14"/>
  <c r="W525" i="14" s="1"/>
  <c r="Z294" i="14"/>
  <c r="AA294" i="14" s="1"/>
  <c r="X536" i="14"/>
  <c r="Y536" i="14" s="1"/>
  <c r="T448" i="14"/>
  <c r="S141" i="14"/>
  <c r="AA419" i="11"/>
  <c r="X514" i="11"/>
  <c r="Y514" i="11" s="1"/>
  <c r="Z514" i="11" s="1"/>
  <c r="AA514" i="11" s="1"/>
  <c r="W745" i="11"/>
  <c r="X745" i="11" s="1"/>
  <c r="U697" i="11"/>
  <c r="V697" i="11" s="1"/>
  <c r="W268" i="11"/>
  <c r="X268" i="11" s="1"/>
  <c r="Y268" i="11" s="1"/>
  <c r="Z268" i="11" s="1"/>
  <c r="AA268" i="11" s="1"/>
  <c r="V707" i="11"/>
  <c r="W707" i="11" s="1"/>
  <c r="U421" i="11"/>
  <c r="V421" i="11" s="1"/>
  <c r="W421" i="11" s="1"/>
  <c r="X421" i="11" s="1"/>
  <c r="W101" i="11"/>
  <c r="V623" i="11"/>
  <c r="Y376" i="11"/>
  <c r="Z376" i="11" s="1"/>
  <c r="AA376" i="11" s="1"/>
  <c r="U604" i="11"/>
  <c r="V604" i="11" s="1"/>
  <c r="AA141" i="11"/>
  <c r="W505" i="11"/>
  <c r="X505" i="11" s="1"/>
  <c r="Y505" i="11" s="1"/>
  <c r="Z505" i="11" s="1"/>
  <c r="V645" i="11"/>
  <c r="W645" i="11" s="1"/>
  <c r="X645" i="11" s="1"/>
  <c r="Y645" i="11" s="1"/>
  <c r="Z645" i="11" s="1"/>
  <c r="W112" i="11"/>
  <c r="X112" i="11" s="1"/>
  <c r="Y112" i="11" s="1"/>
  <c r="Z112" i="11" s="1"/>
  <c r="X57" i="11"/>
  <c r="Y57" i="11" s="1"/>
  <c r="Z57" i="11" s="1"/>
  <c r="AA57" i="11" s="1"/>
  <c r="Z442" i="11"/>
  <c r="AA442" i="11" s="1"/>
  <c r="X571" i="11"/>
  <c r="Y571" i="11" s="1"/>
  <c r="Z571" i="11" s="1"/>
  <c r="AA571" i="11" s="1"/>
  <c r="V193" i="11"/>
  <c r="W193" i="11" s="1"/>
  <c r="X193" i="11" s="1"/>
  <c r="T201" i="11"/>
  <c r="U201" i="11" s="1"/>
  <c r="W22" i="11"/>
  <c r="X22" i="11" s="1"/>
  <c r="Y22" i="11" s="1"/>
  <c r="Z22" i="11" s="1"/>
  <c r="X556" i="11"/>
  <c r="Y556" i="11" s="1"/>
  <c r="Z556" i="11" s="1"/>
  <c r="AA556" i="11" s="1"/>
  <c r="V538" i="11"/>
  <c r="W538" i="11" s="1"/>
  <c r="X538" i="11" s="1"/>
  <c r="Y538" i="11" s="1"/>
  <c r="Z538" i="11" s="1"/>
  <c r="T65" i="11"/>
  <c r="U65" i="11" s="1"/>
  <c r="X135" i="11"/>
  <c r="V280" i="11"/>
  <c r="W280" i="11" s="1"/>
  <c r="Y216" i="11"/>
  <c r="Z216" i="11" s="1"/>
  <c r="AA216" i="11" s="1"/>
  <c r="V79" i="11"/>
  <c r="W79" i="11" s="1"/>
  <c r="U136" i="11"/>
  <c r="V136" i="11" s="1"/>
  <c r="W136" i="11" s="1"/>
  <c r="X136" i="11" s="1"/>
  <c r="Y136" i="11" s="1"/>
  <c r="Z136" i="11" s="1"/>
  <c r="AA136" i="11" s="1"/>
  <c r="Z316" i="11"/>
  <c r="AA316" i="11" s="1"/>
  <c r="X43" i="11"/>
  <c r="Y43" i="11" s="1"/>
  <c r="Z43" i="11" s="1"/>
  <c r="W359" i="11"/>
  <c r="X359" i="11" s="1"/>
  <c r="Y359" i="11" s="1"/>
  <c r="Z359" i="11" s="1"/>
  <c r="W672" i="11"/>
  <c r="X672" i="11" s="1"/>
  <c r="V626" i="11"/>
  <c r="W626" i="11" s="1"/>
  <c r="X626" i="11" s="1"/>
  <c r="Y626" i="11" s="1"/>
  <c r="Z626" i="11" s="1"/>
  <c r="AA626" i="11" s="1"/>
  <c r="V219" i="11"/>
  <c r="W219" i="11" s="1"/>
  <c r="X219" i="11" s="1"/>
  <c r="Y219" i="11" s="1"/>
  <c r="Z219" i="11" s="1"/>
  <c r="AA219" i="11" s="1"/>
  <c r="U661" i="11"/>
  <c r="V335" i="11"/>
  <c r="W335" i="11" s="1"/>
  <c r="Z183" i="11"/>
  <c r="AA183" i="11" s="1"/>
  <c r="Z527" i="11"/>
  <c r="AA527" i="11" s="1"/>
  <c r="Y477" i="11"/>
  <c r="Z477" i="11" s="1"/>
  <c r="AA477" i="11" s="1"/>
  <c r="U108" i="11"/>
  <c r="V108" i="11" s="1"/>
  <c r="U469" i="11"/>
  <c r="V469" i="11" s="1"/>
  <c r="W469" i="11" s="1"/>
  <c r="U658" i="11"/>
  <c r="V658" i="11" s="1"/>
  <c r="U332" i="11"/>
  <c r="V332" i="11" s="1"/>
  <c r="W120" i="11"/>
  <c r="X120" i="11" s="1"/>
  <c r="Y120" i="11" s="1"/>
  <c r="Z120" i="11" s="1"/>
  <c r="AA120" i="11" s="1"/>
  <c r="U646" i="11"/>
  <c r="V646" i="11" s="1"/>
  <c r="W646" i="11" s="1"/>
  <c r="X646" i="11" s="1"/>
  <c r="Y646" i="11" s="1"/>
  <c r="Z646" i="11" s="1"/>
  <c r="AA646" i="11" s="1"/>
  <c r="U215" i="11"/>
  <c r="V215" i="11" s="1"/>
  <c r="W215" i="11" s="1"/>
  <c r="W410" i="11"/>
  <c r="X410" i="11" s="1"/>
  <c r="Y410" i="11" s="1"/>
  <c r="Z410" i="11" s="1"/>
  <c r="AA410" i="11" s="1"/>
  <c r="T158" i="11"/>
  <c r="U158" i="11" s="1"/>
  <c r="Y413" i="11"/>
  <c r="Z413" i="11" s="1"/>
  <c r="AA413" i="11" s="1"/>
  <c r="Z717" i="11"/>
  <c r="AA717" i="11" s="1"/>
  <c r="U496" i="11"/>
  <c r="V496" i="11" s="1"/>
  <c r="W496" i="11" s="1"/>
  <c r="X496" i="11" s="1"/>
  <c r="T373" i="11"/>
  <c r="U373" i="11" s="1"/>
  <c r="U287" i="11"/>
  <c r="V287" i="11" s="1"/>
  <c r="W287" i="11" s="1"/>
  <c r="X287" i="11" s="1"/>
  <c r="Y287" i="11" s="1"/>
  <c r="Z287" i="11" s="1"/>
  <c r="AA287" i="11" s="1"/>
  <c r="Y343" i="11"/>
  <c r="Z343" i="11" s="1"/>
  <c r="AA343" i="11" s="1"/>
  <c r="W302" i="11"/>
  <c r="X302" i="11" s="1"/>
  <c r="Y302" i="11" s="1"/>
  <c r="Z302" i="11" s="1"/>
  <c r="AA302" i="11" s="1"/>
  <c r="W123" i="11"/>
  <c r="X123" i="11" s="1"/>
  <c r="V663" i="11"/>
  <c r="W663" i="11" s="1"/>
  <c r="U736" i="11"/>
  <c r="V736" i="11" s="1"/>
  <c r="W736" i="11" s="1"/>
  <c r="X736" i="11" s="1"/>
  <c r="W52" i="11"/>
  <c r="X52" i="11" s="1"/>
  <c r="Y52" i="11" s="1"/>
  <c r="Z52" i="11" s="1"/>
  <c r="AA52" i="11" s="1"/>
  <c r="V296" i="11"/>
  <c r="W296" i="11" s="1"/>
  <c r="V591" i="11"/>
  <c r="W591" i="11" s="1"/>
  <c r="X591" i="11" s="1"/>
  <c r="Y591" i="11" s="1"/>
  <c r="Z591" i="11" s="1"/>
  <c r="T455" i="11"/>
  <c r="V638" i="11"/>
  <c r="W638" i="11" s="1"/>
  <c r="V390" i="11"/>
  <c r="W324" i="11"/>
  <c r="X324" i="11" s="1"/>
  <c r="Y324" i="11" s="1"/>
  <c r="Z324" i="11" s="1"/>
  <c r="AA324" i="11" s="1"/>
  <c r="V170" i="11"/>
  <c r="W170" i="11" s="1"/>
  <c r="U260" i="11"/>
  <c r="V260" i="11" s="1"/>
  <c r="W260" i="11" s="1"/>
  <c r="X260" i="11" s="1"/>
  <c r="Y260" i="11" s="1"/>
  <c r="Z260" i="11" s="1"/>
  <c r="AA260" i="11" s="1"/>
  <c r="V437" i="11"/>
  <c r="W437" i="11" s="1"/>
  <c r="X437" i="11" s="1"/>
  <c r="Y437" i="11" s="1"/>
  <c r="Z437" i="11" s="1"/>
  <c r="AA437" i="11" s="1"/>
  <c r="V146" i="11"/>
  <c r="W146" i="11" s="1"/>
  <c r="Z41" i="11"/>
  <c r="AA41" i="11" s="1"/>
  <c r="U337" i="11"/>
  <c r="Y622" i="11"/>
  <c r="Z622" i="11" s="1"/>
  <c r="AA622" i="11" s="1"/>
  <c r="U723" i="11"/>
  <c r="U508" i="11"/>
  <c r="T449" i="11"/>
  <c r="V539" i="11"/>
  <c r="X721" i="11"/>
  <c r="Y721" i="11" s="1"/>
  <c r="U713" i="11"/>
  <c r="V713" i="11" s="1"/>
  <c r="W713" i="11" s="1"/>
  <c r="X660" i="11"/>
  <c r="Y660" i="11" s="1"/>
  <c r="Z660" i="11" s="1"/>
  <c r="AA660" i="11" s="1"/>
  <c r="W596" i="11"/>
  <c r="X596" i="11" s="1"/>
  <c r="Y596" i="11" s="1"/>
  <c r="Z596" i="11" s="1"/>
  <c r="T147" i="11"/>
  <c r="U147" i="11" s="1"/>
  <c r="V147" i="11" s="1"/>
  <c r="U618" i="11"/>
  <c r="V618" i="11" s="1"/>
  <c r="W618" i="11" s="1"/>
  <c r="X618" i="11" s="1"/>
  <c r="Y618" i="11" s="1"/>
  <c r="Z618" i="11" s="1"/>
  <c r="AA618" i="11" s="1"/>
  <c r="Z606" i="11"/>
  <c r="AA606" i="11" s="1"/>
  <c r="W184" i="11"/>
  <c r="X184" i="11" s="1"/>
  <c r="T677" i="11"/>
  <c r="V754" i="11"/>
  <c r="V433" i="11"/>
  <c r="W433" i="11" s="1"/>
  <c r="W738" i="11"/>
  <c r="X738" i="11" s="1"/>
  <c r="Y738" i="11" s="1"/>
  <c r="Z738" i="11" s="1"/>
  <c r="AA738" i="11" s="1"/>
  <c r="W177" i="11"/>
  <c r="X177" i="11" s="1"/>
  <c r="Y177" i="11" s="1"/>
  <c r="Z177" i="11" s="1"/>
  <c r="AA177" i="11" s="1"/>
  <c r="T150" i="11"/>
  <c r="U150" i="11" s="1"/>
  <c r="U701" i="11"/>
  <c r="V701" i="11" s="1"/>
  <c r="V294" i="11"/>
  <c r="W294" i="11" s="1"/>
  <c r="X294" i="11" s="1"/>
  <c r="Y294" i="11" s="1"/>
  <c r="V718" i="11"/>
  <c r="W718" i="11" s="1"/>
  <c r="W381" i="11"/>
  <c r="X381" i="11" s="1"/>
  <c r="Y381" i="11" s="1"/>
  <c r="Z381" i="11" s="1"/>
  <c r="AA381" i="11" s="1"/>
  <c r="V513" i="11"/>
  <c r="W513" i="11" s="1"/>
  <c r="U267" i="11"/>
  <c r="V267" i="11" s="1"/>
  <c r="W267" i="11" s="1"/>
  <c r="X267" i="11" s="1"/>
  <c r="Y267" i="11" s="1"/>
  <c r="Z267" i="11" s="1"/>
  <c r="AA267" i="11" s="1"/>
  <c r="V3" i="11"/>
  <c r="W3" i="11" s="1"/>
  <c r="X3" i="11" s="1"/>
  <c r="Y3" i="11" s="1"/>
  <c r="Z3" i="11" s="1"/>
  <c r="AA3" i="11" s="1"/>
  <c r="U675" i="11"/>
  <c r="V675" i="11" s="1"/>
  <c r="W675" i="11" s="1"/>
  <c r="X675" i="11" s="1"/>
  <c r="V566" i="11"/>
  <c r="W566" i="11" s="1"/>
  <c r="X566" i="11" s="1"/>
  <c r="Y566" i="11" s="1"/>
  <c r="Z566" i="11" s="1"/>
  <c r="AA566" i="11" s="1"/>
  <c r="U568" i="11"/>
  <c r="V568" i="11" s="1"/>
  <c r="W568" i="11" s="1"/>
  <c r="X568" i="11" s="1"/>
  <c r="V321" i="11"/>
  <c r="W321" i="11" s="1"/>
  <c r="X321" i="11" s="1"/>
  <c r="Y321" i="11" s="1"/>
  <c r="Z321" i="11" s="1"/>
  <c r="AA321" i="11" s="1"/>
  <c r="X131" i="11"/>
  <c r="Y131" i="11" s="1"/>
  <c r="Z131" i="11" s="1"/>
  <c r="AA131" i="11" s="1"/>
  <c r="Z594" i="11"/>
  <c r="AA594" i="11" s="1"/>
  <c r="W635" i="11"/>
  <c r="X635" i="11" s="1"/>
  <c r="Y635" i="11" s="1"/>
  <c r="Z635" i="11" s="1"/>
  <c r="AA635" i="11" s="1"/>
  <c r="W515" i="11"/>
  <c r="X515" i="11" s="1"/>
  <c r="Y515" i="11" s="1"/>
  <c r="Z515" i="11" s="1"/>
  <c r="AA515" i="11" s="1"/>
  <c r="U673" i="11"/>
  <c r="V673" i="11" s="1"/>
  <c r="W115" i="11"/>
  <c r="X115" i="11" s="1"/>
  <c r="V185" i="11"/>
  <c r="W570" i="11"/>
  <c r="X570" i="11" s="1"/>
  <c r="Y570" i="11" s="1"/>
  <c r="W67" i="11"/>
  <c r="X67" i="11" s="1"/>
  <c r="V560" i="11"/>
  <c r="W560" i="11" s="1"/>
  <c r="X560" i="11" s="1"/>
  <c r="Y741" i="11"/>
  <c r="Z741" i="11" s="1"/>
  <c r="AA741" i="11" s="1"/>
  <c r="X194" i="11"/>
  <c r="Y194" i="11" s="1"/>
  <c r="Z194" i="11" s="1"/>
  <c r="AA194" i="11" s="1"/>
  <c r="V583" i="11"/>
  <c r="W583" i="11" s="1"/>
  <c r="X583" i="11" s="1"/>
  <c r="Y583" i="11" s="1"/>
  <c r="Z583" i="11" s="1"/>
  <c r="AA583" i="11" s="1"/>
  <c r="Z256" i="11"/>
  <c r="AA256" i="11" s="1"/>
  <c r="U99" i="11"/>
  <c r="V99" i="11" s="1"/>
  <c r="W99" i="11" s="1"/>
  <c r="X99" i="11" s="1"/>
  <c r="Y99" i="11" s="1"/>
  <c r="Z99" i="11" s="1"/>
  <c r="AA99" i="11" s="1"/>
  <c r="X535" i="11"/>
  <c r="Y535" i="11" s="1"/>
  <c r="Z535" i="11" s="1"/>
  <c r="AA535" i="11" s="1"/>
  <c r="W493" i="11"/>
  <c r="X493" i="11" s="1"/>
  <c r="Y493" i="11" s="1"/>
  <c r="Z493" i="11" s="1"/>
  <c r="AA493" i="11" s="1"/>
  <c r="T426" i="11"/>
  <c r="U426" i="11" s="1"/>
  <c r="V593" i="11"/>
  <c r="T684" i="11"/>
  <c r="U684" i="11" s="1"/>
  <c r="W452" i="11"/>
  <c r="X452" i="11" s="1"/>
  <c r="Y452" i="11" s="1"/>
  <c r="U580" i="11"/>
  <c r="U273" i="11"/>
  <c r="V273" i="11" s="1"/>
  <c r="W273" i="11" s="1"/>
  <c r="X273" i="11" s="1"/>
  <c r="U700" i="11"/>
  <c r="U80" i="11"/>
  <c r="V80" i="11" s="1"/>
  <c r="W80" i="11" s="1"/>
  <c r="X80" i="11" s="1"/>
  <c r="Y80" i="11" s="1"/>
  <c r="Z80" i="11" s="1"/>
  <c r="V746" i="11"/>
  <c r="W746" i="11" s="1"/>
  <c r="X746" i="11" s="1"/>
  <c r="W290" i="11"/>
  <c r="X290" i="11" s="1"/>
  <c r="X325" i="11"/>
  <c r="Y325" i="11" s="1"/>
  <c r="Z325" i="11" s="1"/>
  <c r="AA325" i="11" s="1"/>
  <c r="U759" i="11"/>
  <c r="V552" i="11"/>
  <c r="V117" i="11"/>
  <c r="W117" i="11" s="1"/>
  <c r="X117" i="11" s="1"/>
  <c r="Y117" i="11" s="1"/>
  <c r="V711" i="11"/>
  <c r="W711" i="11" s="1"/>
  <c r="V530" i="11"/>
  <c r="W530" i="11" s="1"/>
  <c r="X530" i="11" s="1"/>
  <c r="Y530" i="11" s="1"/>
  <c r="Z530" i="11" s="1"/>
  <c r="AA530" i="11" s="1"/>
  <c r="Z207" i="11"/>
  <c r="AA207" i="11" s="1"/>
  <c r="U164" i="11"/>
  <c r="T732" i="11"/>
  <c r="V572" i="11"/>
  <c r="W572" i="11" s="1"/>
  <c r="X572" i="11" s="1"/>
  <c r="Y572" i="11" s="1"/>
  <c r="Z572" i="11" s="1"/>
  <c r="AA572" i="11" s="1"/>
  <c r="U180" i="11"/>
  <c r="V180" i="11" s="1"/>
  <c r="W180" i="11" s="1"/>
  <c r="X180" i="11" s="1"/>
  <c r="Y180" i="11" s="1"/>
  <c r="Z180" i="11" s="1"/>
  <c r="AA180" i="11" s="1"/>
  <c r="U71" i="11"/>
  <c r="V71" i="11" s="1"/>
  <c r="W71" i="11" s="1"/>
  <c r="X71" i="11" s="1"/>
  <c r="Y71" i="11" s="1"/>
  <c r="Z71" i="11" s="1"/>
  <c r="V590" i="11"/>
  <c r="W590" i="11" s="1"/>
  <c r="U298" i="11"/>
  <c r="V298" i="11" s="1"/>
  <c r="W298" i="11" s="1"/>
  <c r="X298" i="11" s="1"/>
  <c r="T629" i="11"/>
  <c r="U629" i="11" s="1"/>
  <c r="W149" i="11"/>
  <c r="V454" i="11"/>
  <c r="Z447" i="11"/>
  <c r="AA447" i="11" s="1"/>
  <c r="X262" i="11"/>
  <c r="Y262" i="11" s="1"/>
  <c r="Z262" i="11" s="1"/>
  <c r="X223" i="11"/>
  <c r="Y223" i="11" s="1"/>
  <c r="Z223" i="11" s="1"/>
  <c r="AA223" i="11" s="1"/>
  <c r="Y156" i="11"/>
  <c r="Z156" i="11" s="1"/>
  <c r="AA156" i="11" s="1"/>
  <c r="W63" i="11"/>
  <c r="X63" i="11" s="1"/>
  <c r="Y63" i="11" s="1"/>
  <c r="Z63" i="11" s="1"/>
  <c r="AA63" i="11" s="1"/>
  <c r="Y401" i="11"/>
  <c r="Z401" i="11" s="1"/>
  <c r="AA401" i="11" s="1"/>
  <c r="T726" i="11"/>
  <c r="U726" i="11" s="1"/>
  <c r="X619" i="11"/>
  <c r="Y619" i="11" s="1"/>
  <c r="V668" i="11"/>
  <c r="W668" i="11" s="1"/>
  <c r="U436" i="11"/>
  <c r="U670" i="11"/>
  <c r="V670" i="11" s="1"/>
  <c r="W670" i="11" s="1"/>
  <c r="X670" i="11" s="1"/>
  <c r="Y670" i="11" s="1"/>
  <c r="Z670" i="11" s="1"/>
  <c r="AA670" i="11" s="1"/>
  <c r="T729" i="11"/>
  <c r="U342" i="11"/>
  <c r="W36" i="11"/>
  <c r="X36" i="11" s="1"/>
  <c r="Y36" i="11" s="1"/>
  <c r="Z36" i="11" s="1"/>
  <c r="AA36" i="11" s="1"/>
  <c r="V483" i="11"/>
  <c r="W483" i="11" s="1"/>
  <c r="U628" i="11"/>
  <c r="V628" i="11" s="1"/>
  <c r="W628" i="11" s="1"/>
  <c r="V406" i="11"/>
  <c r="W406" i="11" s="1"/>
  <c r="T644" i="11"/>
  <c r="Y68" i="11"/>
  <c r="V187" i="11"/>
  <c r="V174" i="11"/>
  <c r="W174" i="11" s="1"/>
  <c r="X368" i="11"/>
  <c r="X119" i="11"/>
  <c r="Y119" i="11" s="1"/>
  <c r="Z119" i="11" s="1"/>
  <c r="AA119" i="11" s="1"/>
  <c r="V151" i="11"/>
  <c r="Y333" i="11"/>
  <c r="Z333" i="11" s="1"/>
  <c r="AA333" i="11" s="1"/>
  <c r="X159" i="11"/>
  <c r="Y159" i="11" s="1"/>
  <c r="Z159" i="11" s="1"/>
  <c r="AA159" i="11" s="1"/>
  <c r="W217" i="11"/>
  <c r="X217" i="11" s="1"/>
  <c r="V561" i="11"/>
  <c r="W753" i="11"/>
  <c r="Y575" i="11"/>
  <c r="Z575" i="11" s="1"/>
  <c r="AA575" i="11" s="1"/>
  <c r="U749" i="11"/>
  <c r="V749" i="11" s="1"/>
  <c r="W749" i="11" s="1"/>
  <c r="X212" i="11"/>
  <c r="Y212" i="11" s="1"/>
  <c r="Z212" i="11" s="1"/>
  <c r="AA212" i="11" s="1"/>
  <c r="Y405" i="11"/>
  <c r="W526" i="11"/>
  <c r="X526" i="11" s="1"/>
  <c r="Y526" i="11" s="1"/>
  <c r="Z526" i="11" s="1"/>
  <c r="AA526" i="11" s="1"/>
  <c r="X279" i="11"/>
  <c r="Y279" i="11" s="1"/>
  <c r="Z279" i="11" s="1"/>
  <c r="V93" i="11"/>
  <c r="W93" i="11" s="1"/>
  <c r="X93" i="11" s="1"/>
  <c r="W176" i="11"/>
  <c r="X176" i="11" s="1"/>
  <c r="Y176" i="11" s="1"/>
  <c r="Z176" i="11" s="1"/>
  <c r="AA176" i="11" s="1"/>
  <c r="V648" i="11"/>
  <c r="W648" i="11" s="1"/>
  <c r="X648" i="11" s="1"/>
  <c r="U48" i="11"/>
  <c r="V48" i="11" s="1"/>
  <c r="U511" i="11"/>
  <c r="V511" i="11" s="1"/>
  <c r="V245" i="11"/>
  <c r="W245" i="11" s="1"/>
  <c r="U649" i="11"/>
  <c r="V649" i="11" s="1"/>
  <c r="W649" i="11" s="1"/>
  <c r="X649" i="11" s="1"/>
  <c r="Y649" i="11" s="1"/>
  <c r="W39" i="11"/>
  <c r="X39" i="11" s="1"/>
  <c r="Y39" i="11" s="1"/>
  <c r="Z39" i="11" s="1"/>
  <c r="AA39" i="11" s="1"/>
  <c r="V462" i="11"/>
  <c r="W462" i="11" s="1"/>
  <c r="X462" i="11" s="1"/>
  <c r="U26" i="11"/>
  <c r="V26" i="11" s="1"/>
  <c r="W26" i="11" s="1"/>
  <c r="X26" i="11" s="1"/>
  <c r="Y26" i="11" s="1"/>
  <c r="Z26" i="11" s="1"/>
  <c r="AA26" i="11" s="1"/>
  <c r="W555" i="11"/>
  <c r="X555" i="11" s="1"/>
  <c r="Y555" i="11" s="1"/>
  <c r="V352" i="11"/>
  <c r="W352" i="11" s="1"/>
  <c r="X352" i="11" s="1"/>
  <c r="X446" i="11"/>
  <c r="Y446" i="11" s="1"/>
  <c r="Z446" i="11" s="1"/>
  <c r="AA446" i="11" s="1"/>
  <c r="V641" i="11"/>
  <c r="W641" i="11" s="1"/>
  <c r="X641" i="11" s="1"/>
  <c r="Y641" i="11" s="1"/>
  <c r="Z641" i="11" s="1"/>
  <c r="AA641" i="11" s="1"/>
  <c r="W230" i="11"/>
  <c r="X230" i="11" s="1"/>
  <c r="T577" i="11"/>
  <c r="U577" i="11" s="1"/>
  <c r="V577" i="11" s="1"/>
  <c r="W577" i="11" s="1"/>
  <c r="X577" i="11" s="1"/>
  <c r="Y577" i="11" s="1"/>
  <c r="Z577" i="11" s="1"/>
  <c r="AA577" i="11" s="1"/>
  <c r="T682" i="11"/>
  <c r="U682" i="11" s="1"/>
  <c r="V682" i="11" s="1"/>
  <c r="W682" i="11" s="1"/>
  <c r="X682" i="11" s="1"/>
  <c r="Y682" i="11" s="1"/>
  <c r="Z682" i="11" s="1"/>
  <c r="AA682" i="11" s="1"/>
  <c r="T435" i="11"/>
  <c r="U435" i="11" s="1"/>
  <c r="V740" i="11"/>
  <c r="W740" i="11" s="1"/>
  <c r="X740" i="11" s="1"/>
  <c r="Y740" i="11" s="1"/>
  <c r="Z740" i="11" s="1"/>
  <c r="AA740" i="11" s="1"/>
  <c r="V328" i="11"/>
  <c r="W328" i="11" s="1"/>
  <c r="W387" i="11"/>
  <c r="X387" i="11" s="1"/>
  <c r="Y387" i="11" s="1"/>
  <c r="Z387" i="11" s="1"/>
  <c r="AA387" i="11" s="1"/>
  <c r="W134" i="11"/>
  <c r="X134" i="11" s="1"/>
  <c r="V393" i="11"/>
  <c r="W393" i="11" s="1"/>
  <c r="X393" i="11" s="1"/>
  <c r="Y393" i="11" s="1"/>
  <c r="Z393" i="11" s="1"/>
  <c r="AA393" i="11" s="1"/>
  <c r="X160" i="11"/>
  <c r="Y160" i="11" s="1"/>
  <c r="U642" i="11"/>
  <c r="V642" i="11" s="1"/>
  <c r="V139" i="11"/>
  <c r="W139" i="11" s="1"/>
  <c r="X139" i="11" s="1"/>
  <c r="Y139" i="11" s="1"/>
  <c r="Z139" i="11" s="1"/>
  <c r="AA139" i="11" s="1"/>
  <c r="V86" i="11"/>
  <c r="W86" i="11" s="1"/>
  <c r="X86" i="11" s="1"/>
  <c r="Y86" i="11" s="1"/>
  <c r="Z86" i="11" s="1"/>
  <c r="AA86" i="11" s="1"/>
  <c r="S509" i="11"/>
  <c r="T509" i="11" s="1"/>
  <c r="U509" i="11" s="1"/>
  <c r="W544" i="11"/>
  <c r="X544" i="11" s="1"/>
  <c r="Y544" i="11" s="1"/>
  <c r="Z544" i="11" s="1"/>
  <c r="AA544" i="11" s="1"/>
  <c r="T686" i="11"/>
  <c r="U686" i="11" s="1"/>
  <c r="V686" i="11" s="1"/>
  <c r="S111" i="11"/>
  <c r="T111" i="11" s="1"/>
  <c r="X169" i="11"/>
  <c r="Y169" i="11" s="1"/>
  <c r="Z169" i="11" s="1"/>
  <c r="AA169" i="11" s="1"/>
  <c r="T222" i="11"/>
  <c r="U222" i="11" s="1"/>
  <c r="V222" i="11" s="1"/>
  <c r="S327" i="11"/>
  <c r="AA161" i="11"/>
  <c r="X502" i="11"/>
  <c r="Y502" i="11" s="1"/>
  <c r="Z502" i="11" s="1"/>
  <c r="AA502" i="11" s="1"/>
  <c r="W114" i="11"/>
  <c r="X114" i="11" s="1"/>
  <c r="Y114" i="11" s="1"/>
  <c r="Z114" i="11" s="1"/>
  <c r="AA114" i="11" s="1"/>
  <c r="X671" i="11"/>
  <c r="Y671" i="11" s="1"/>
  <c r="S375" i="11"/>
  <c r="T375" i="11" s="1"/>
  <c r="S388" i="11"/>
  <c r="T314" i="11"/>
  <c r="S522" i="11"/>
  <c r="T522" i="11" s="1"/>
  <c r="W358" i="11"/>
  <c r="X358" i="11" s="1"/>
  <c r="Y358" i="11" s="1"/>
  <c r="Z358" i="11" s="1"/>
  <c r="AA358" i="11" s="1"/>
  <c r="T460" i="11"/>
  <c r="U460" i="11" s="1"/>
  <c r="V460" i="11" s="1"/>
  <c r="S106" i="11"/>
  <c r="T106" i="11" s="1"/>
  <c r="S258" i="11"/>
  <c r="T258" i="11" s="1"/>
  <c r="V133" i="11"/>
  <c r="W133" i="11" s="1"/>
  <c r="X133" i="11" s="1"/>
  <c r="T676" i="11"/>
  <c r="U676" i="11" s="1"/>
  <c r="T303" i="11"/>
  <c r="U303" i="11" s="1"/>
  <c r="V303" i="11" s="1"/>
  <c r="W303" i="11" s="1"/>
  <c r="X303" i="11" s="1"/>
  <c r="Y303" i="11" s="1"/>
  <c r="Z303" i="11" s="1"/>
  <c r="AA303" i="11" s="1"/>
  <c r="AA186" i="11"/>
  <c r="Y255" i="11"/>
  <c r="Z255" i="11" s="1"/>
  <c r="AA255" i="11" s="1"/>
  <c r="V137" i="11"/>
  <c r="T744" i="11"/>
  <c r="U744" i="11" s="1"/>
  <c r="T659" i="11"/>
  <c r="U13" i="11"/>
  <c r="S579" i="11"/>
  <c r="V532" i="11"/>
  <c r="W532" i="11" s="1"/>
  <c r="X532" i="11" s="1"/>
  <c r="Y532" i="11" s="1"/>
  <c r="Z532" i="11" s="1"/>
  <c r="AA532" i="11" s="1"/>
  <c r="U595" i="11"/>
  <c r="V595" i="11" s="1"/>
  <c r="W595" i="11" s="1"/>
  <c r="X595" i="11" s="1"/>
  <c r="Y595" i="11" s="1"/>
  <c r="Z595" i="11" s="1"/>
  <c r="AA595" i="11" s="1"/>
  <c r="U110" i="11"/>
  <c r="V84" i="11"/>
  <c r="W84" i="11" s="1"/>
  <c r="X84" i="11" s="1"/>
  <c r="U418" i="11"/>
  <c r="V418" i="11" s="1"/>
  <c r="W40" i="11"/>
  <c r="X40" i="11" s="1"/>
  <c r="Y40" i="11" s="1"/>
  <c r="Z40" i="11" s="1"/>
  <c r="T167" i="11"/>
  <c r="U2" i="11"/>
  <c r="V2" i="11" s="1"/>
  <c r="U525" i="11"/>
  <c r="V525" i="11" s="1"/>
  <c r="W525" i="11" s="1"/>
  <c r="X525" i="11" s="1"/>
  <c r="Y525" i="11" s="1"/>
  <c r="Z525" i="11" s="1"/>
  <c r="AA525" i="11" s="1"/>
  <c r="V42" i="11"/>
  <c r="W42" i="11" s="1"/>
  <c r="U691" i="11"/>
  <c r="V691" i="11" s="1"/>
  <c r="X33" i="11"/>
  <c r="Y33" i="11" s="1"/>
  <c r="Z33" i="11" s="1"/>
  <c r="AA33" i="11" s="1"/>
  <c r="S89" i="11"/>
  <c r="V536" i="11"/>
  <c r="W536" i="11" s="1"/>
  <c r="X536" i="11" s="1"/>
  <c r="Y536" i="11" s="1"/>
  <c r="Z536" i="11" s="1"/>
  <c r="AA536" i="11" s="1"/>
  <c r="W479" i="11"/>
  <c r="X479" i="11" s="1"/>
  <c r="Y479" i="11" s="1"/>
  <c r="Z479" i="11" s="1"/>
  <c r="AA479" i="11" s="1"/>
  <c r="W192" i="11"/>
  <c r="X192" i="11" s="1"/>
  <c r="Y192" i="11" s="1"/>
  <c r="Z192" i="11" s="1"/>
  <c r="W60" i="11"/>
  <c r="X60" i="11" s="1"/>
  <c r="Y60" i="11" s="1"/>
  <c r="Z60" i="11" s="1"/>
  <c r="AA60" i="11" s="1"/>
  <c r="U662" i="11"/>
  <c r="W299" i="11"/>
  <c r="X299" i="11" s="1"/>
  <c r="T132" i="11"/>
  <c r="W125" i="11"/>
  <c r="X125" i="11" s="1"/>
  <c r="Y125" i="11" s="1"/>
  <c r="T636" i="11"/>
  <c r="U636" i="11" s="1"/>
  <c r="V636" i="11" s="1"/>
  <c r="S728" i="11"/>
  <c r="T728" i="11" s="1"/>
  <c r="S210" i="11"/>
  <c r="T210" i="11" s="1"/>
  <c r="U210" i="11" s="1"/>
  <c r="U480" i="11"/>
  <c r="V480" i="11" s="1"/>
  <c r="W464" i="11"/>
  <c r="X464" i="11" s="1"/>
  <c r="Y464" i="11" s="1"/>
  <c r="Z464" i="11" s="1"/>
  <c r="AA464" i="11" s="1"/>
  <c r="T211" i="11"/>
  <c r="U211" i="11" s="1"/>
  <c r="X283" i="11"/>
  <c r="Y283" i="11" s="1"/>
  <c r="Z283" i="11" s="1"/>
  <c r="AA283" i="11" s="1"/>
  <c r="Y694" i="11"/>
  <c r="Z694" i="11" s="1"/>
  <c r="AA694" i="11" s="1"/>
  <c r="T562" i="11"/>
  <c r="U562" i="11" s="1"/>
  <c r="V301" i="11"/>
  <c r="W518" i="11"/>
  <c r="W371" i="11"/>
  <c r="X371" i="11" s="1"/>
  <c r="Y371" i="11" s="1"/>
  <c r="Z371" i="11" s="1"/>
  <c r="AA371" i="11" s="1"/>
  <c r="Y657" i="11"/>
  <c r="Z657" i="11" s="1"/>
  <c r="AA657" i="11" s="1"/>
  <c r="T32" i="11"/>
  <c r="U32" i="11" s="1"/>
  <c r="W685" i="11"/>
  <c r="X685" i="11" s="1"/>
  <c r="Y685" i="11" s="1"/>
  <c r="Z685" i="11" s="1"/>
  <c r="U162" i="11"/>
  <c r="V81" i="11"/>
  <c r="W81" i="11" s="1"/>
  <c r="X81" i="11" s="1"/>
  <c r="Y81" i="11" s="1"/>
  <c r="V632" i="11"/>
  <c r="W632" i="11" s="1"/>
  <c r="Y218" i="11"/>
  <c r="Z218" i="11" s="1"/>
  <c r="AA218" i="11" s="1"/>
  <c r="T510" i="11"/>
  <c r="W474" i="11"/>
  <c r="X474" i="11" s="1"/>
  <c r="Y474" i="11" s="1"/>
  <c r="Z474" i="11" s="1"/>
  <c r="AA474" i="11" s="1"/>
  <c r="S347" i="11"/>
  <c r="T347" i="11" s="1"/>
  <c r="T300" i="11"/>
  <c r="U300" i="11" s="1"/>
  <c r="W252" i="11"/>
  <c r="W470" i="11"/>
  <c r="X470" i="11" s="1"/>
  <c r="Y470" i="11" s="1"/>
  <c r="Z470" i="11" s="1"/>
  <c r="AA470" i="11" s="1"/>
  <c r="X727" i="11"/>
  <c r="Y727" i="11" s="1"/>
  <c r="Z727" i="11" s="1"/>
  <c r="T242" i="11"/>
  <c r="U242" i="11" s="1"/>
  <c r="V242" i="11" s="1"/>
  <c r="W70" i="11"/>
  <c r="X70" i="11" s="1"/>
  <c r="W758" i="11"/>
  <c r="X758" i="11" s="1"/>
  <c r="Y758" i="11" s="1"/>
  <c r="Z758" i="11" s="1"/>
  <c r="AA758" i="11" s="1"/>
  <c r="U271" i="11"/>
  <c r="V271" i="11" s="1"/>
  <c r="U266" i="11"/>
  <c r="V266" i="11" s="1"/>
  <c r="W266" i="11" s="1"/>
  <c r="X266" i="11" s="1"/>
  <c r="Y266" i="11" s="1"/>
  <c r="Z266" i="11" s="1"/>
  <c r="AA266" i="11" s="1"/>
  <c r="U353" i="11"/>
  <c r="V353" i="11" s="1"/>
  <c r="W353" i="11" s="1"/>
  <c r="X353" i="11" s="1"/>
  <c r="Y353" i="11" s="1"/>
  <c r="Z353" i="11" s="1"/>
  <c r="AA353" i="11" s="1"/>
  <c r="Y259" i="11"/>
  <c r="Z259" i="11" s="1"/>
  <c r="AA259" i="11" s="1"/>
  <c r="V428" i="11"/>
  <c r="W428" i="11" s="1"/>
  <c r="X428" i="11" s="1"/>
  <c r="Y428" i="11" s="1"/>
  <c r="U4" i="11"/>
  <c r="V4" i="11" s="1"/>
  <c r="W4" i="11" s="1"/>
  <c r="V66" i="11"/>
  <c r="W66" i="11" s="1"/>
  <c r="T87" i="11"/>
  <c r="W304" i="11"/>
  <c r="X304" i="11" s="1"/>
  <c r="Y304" i="11" s="1"/>
  <c r="Z304" i="11" s="1"/>
  <c r="AA304" i="11" s="1"/>
  <c r="T109" i="11"/>
  <c r="U109" i="11" s="1"/>
  <c r="V109" i="11" s="1"/>
  <c r="T249" i="11"/>
  <c r="U249" i="11" s="1"/>
  <c r="V249" i="11" s="1"/>
  <c r="W249" i="11" s="1"/>
  <c r="U550" i="11"/>
  <c r="V18" i="11"/>
  <c r="U200" i="11"/>
  <c r="V200" i="11" s="1"/>
  <c r="W431" i="11"/>
  <c r="X431" i="11" s="1"/>
  <c r="Y431" i="11" s="1"/>
  <c r="S709" i="11"/>
  <c r="T709" i="11" s="1"/>
  <c r="U709" i="11" s="1"/>
  <c r="V709" i="11" s="1"/>
  <c r="W712" i="11"/>
  <c r="X712" i="11" s="1"/>
  <c r="Y712" i="11" s="1"/>
  <c r="Z712" i="11" s="1"/>
  <c r="AA712" i="11" s="1"/>
  <c r="S467" i="11"/>
  <c r="T467" i="11" s="1"/>
  <c r="U467" i="11" s="1"/>
  <c r="W122" i="11"/>
  <c r="X122" i="11" s="1"/>
  <c r="Y122" i="11" s="1"/>
  <c r="W29" i="11"/>
  <c r="X29" i="11" s="1"/>
  <c r="Y29" i="11" s="1"/>
  <c r="U250" i="11"/>
  <c r="V439" i="11"/>
  <c r="V236" i="11"/>
  <c r="W236" i="11" s="1"/>
  <c r="V244" i="11"/>
  <c r="W244" i="11" s="1"/>
  <c r="V417" i="11"/>
  <c r="W417" i="11" s="1"/>
  <c r="X417" i="11" s="1"/>
  <c r="V204" i="11"/>
  <c r="W204" i="11" s="1"/>
  <c r="X204" i="11" s="1"/>
  <c r="Y204" i="11" s="1"/>
  <c r="Z204" i="11" s="1"/>
  <c r="AA204" i="11" s="1"/>
  <c r="U54" i="11"/>
  <c r="V54" i="11" s="1"/>
  <c r="W54" i="11" s="1"/>
  <c r="X54" i="11" s="1"/>
  <c r="Y54" i="11" s="1"/>
  <c r="V199" i="11"/>
  <c r="W199" i="11" s="1"/>
  <c r="X199" i="11" s="1"/>
  <c r="Y199" i="11" s="1"/>
  <c r="Z199" i="11" s="1"/>
  <c r="AA199" i="11" s="1"/>
  <c r="U482" i="11"/>
  <c r="V482" i="11" s="1"/>
  <c r="AA651" i="11"/>
  <c r="T351" i="11"/>
  <c r="U288" i="11"/>
  <c r="V288" i="11" s="1"/>
  <c r="W288" i="11" s="1"/>
  <c r="X288" i="11" s="1"/>
  <c r="Y288" i="11" s="1"/>
  <c r="Z288" i="11" s="1"/>
  <c r="AA288" i="11" s="1"/>
  <c r="V528" i="11"/>
  <c r="W528" i="11" s="1"/>
  <c r="W756" i="11"/>
  <c r="X756" i="11" s="1"/>
  <c r="Y756" i="11" s="1"/>
  <c r="Z756" i="11" s="1"/>
  <c r="AA756" i="11" s="1"/>
  <c r="T506" i="11"/>
  <c r="U20" i="11"/>
  <c r="U531" i="11"/>
  <c r="V531" i="11" s="1"/>
  <c r="W531" i="11" s="1"/>
  <c r="X531" i="11" s="1"/>
  <c r="Y531" i="11" s="1"/>
  <c r="Z531" i="11" s="1"/>
  <c r="AA531" i="11" s="1"/>
  <c r="S289" i="11"/>
  <c r="T188" i="11"/>
  <c r="U188" i="11" s="1"/>
  <c r="U602" i="11"/>
  <c r="V602" i="11" s="1"/>
  <c r="W602" i="11" s="1"/>
  <c r="X602" i="11" s="1"/>
  <c r="T121" i="11"/>
  <c r="U121" i="11" s="1"/>
  <c r="V121" i="11" s="1"/>
  <c r="T679" i="11"/>
  <c r="T507" i="11"/>
  <c r="U507" i="11" s="1"/>
  <c r="V507" i="11" s="1"/>
  <c r="U82" i="11"/>
  <c r="V229" i="11"/>
  <c r="W229" i="11" s="1"/>
  <c r="X229" i="11" s="1"/>
  <c r="T586" i="11"/>
  <c r="U586" i="11" s="1"/>
  <c r="V586" i="11" s="1"/>
  <c r="W586" i="11" s="1"/>
  <c r="U689" i="11"/>
  <c r="T578" i="11"/>
  <c r="U578" i="11" s="1"/>
  <c r="V578" i="11" s="1"/>
  <c r="U434" i="11"/>
  <c r="V434" i="11" s="1"/>
  <c r="W434" i="11" s="1"/>
  <c r="V687" i="11"/>
  <c r="X191" i="11"/>
  <c r="Y191" i="11" s="1"/>
  <c r="Z191" i="11" s="1"/>
  <c r="AA191" i="11" s="1"/>
  <c r="T10" i="11"/>
  <c r="U10" i="11" s="1"/>
  <c r="X589" i="11"/>
  <c r="Y589" i="11" s="1"/>
  <c r="X716" i="11"/>
  <c r="Y716" i="11" s="1"/>
  <c r="Y309" i="11"/>
  <c r="Z309" i="11" s="1"/>
  <c r="AA309" i="11" s="1"/>
  <c r="S319" i="11"/>
  <c r="V154" i="11"/>
  <c r="W154" i="11" s="1"/>
  <c r="X154" i="11" s="1"/>
  <c r="Y154" i="11" s="1"/>
  <c r="Z154" i="11" s="1"/>
  <c r="AA154" i="11" s="1"/>
  <c r="U367" i="11"/>
  <c r="T128" i="11"/>
  <c r="W374" i="11"/>
  <c r="T392" i="11"/>
  <c r="W202" i="11"/>
  <c r="X202" i="11" s="1"/>
  <c r="Y202" i="11" s="1"/>
  <c r="Z202" i="11" s="1"/>
  <c r="AA202" i="11" s="1"/>
  <c r="U5" i="11"/>
  <c r="T284" i="11"/>
  <c r="U284" i="11" s="1"/>
  <c r="T45" i="11"/>
  <c r="U621" i="11"/>
  <c r="U9" i="11"/>
  <c r="V9" i="11" s="1"/>
  <c r="V748" i="11"/>
  <c r="W748" i="11" s="1"/>
  <c r="X494" i="11"/>
  <c r="Y494" i="11" s="1"/>
  <c r="Z494" i="11" s="1"/>
  <c r="AA494" i="11" s="1"/>
  <c r="T654" i="11"/>
  <c r="U654" i="11" s="1"/>
  <c r="T563" i="11"/>
  <c r="U563" i="11" s="1"/>
  <c r="V563" i="11" s="1"/>
  <c r="W563" i="11" s="1"/>
  <c r="T12" i="11"/>
  <c r="W107" i="11"/>
  <c r="X107" i="11" s="1"/>
  <c r="Y107" i="11" s="1"/>
  <c r="S138" i="11"/>
  <c r="T138" i="11" s="1"/>
  <c r="U138" i="11" s="1"/>
  <c r="V138" i="11" s="1"/>
  <c r="W138" i="11" s="1"/>
  <c r="X138" i="11" s="1"/>
  <c r="T38" i="11"/>
  <c r="U38" i="11" s="1"/>
  <c r="V404" i="11"/>
  <c r="W404" i="11" s="1"/>
  <c r="X404" i="11" s="1"/>
  <c r="Y404" i="11" s="1"/>
  <c r="Z404" i="11" s="1"/>
  <c r="U534" i="11"/>
  <c r="V534" i="11" s="1"/>
  <c r="W534" i="11" s="1"/>
  <c r="X534" i="11" s="1"/>
  <c r="Y534" i="11" s="1"/>
  <c r="Z534" i="11" s="1"/>
  <c r="AA534" i="11" s="1"/>
  <c r="V491" i="11"/>
  <c r="W491" i="11" s="1"/>
  <c r="T475" i="11"/>
  <c r="U475" i="11" s="1"/>
  <c r="V475" i="11" s="1"/>
  <c r="W475" i="11" s="1"/>
  <c r="X475" i="11" s="1"/>
  <c r="Y475" i="11" s="1"/>
  <c r="Z475" i="11" s="1"/>
  <c r="AA475" i="11" s="1"/>
  <c r="W608" i="11"/>
  <c r="X608" i="11" s="1"/>
  <c r="Y608" i="11" s="1"/>
  <c r="Z608" i="11" s="1"/>
  <c r="AA608" i="11" s="1"/>
  <c r="T411" i="11"/>
  <c r="U411" i="11" s="1"/>
  <c r="U450" i="11"/>
  <c r="V450" i="11" s="1"/>
  <c r="W450" i="11" s="1"/>
  <c r="X450" i="11" s="1"/>
  <c r="Y450" i="11" s="1"/>
  <c r="U363" i="11"/>
  <c r="V363" i="11" s="1"/>
  <c r="W363" i="11" s="1"/>
  <c r="S688" i="11"/>
  <c r="U398" i="11"/>
  <c r="V398" i="11" s="1"/>
  <c r="W398" i="11" s="1"/>
  <c r="Y520" i="11"/>
  <c r="Z520" i="11" s="1"/>
  <c r="AA520" i="11" s="1"/>
  <c r="V178" i="11"/>
  <c r="W178" i="11" s="1"/>
  <c r="W385" i="11"/>
  <c r="U734" i="11"/>
  <c r="V734" i="11" s="1"/>
  <c r="X205" i="11"/>
  <c r="Y205" i="11" s="1"/>
  <c r="U339" i="11"/>
  <c r="V339" i="11" s="1"/>
  <c r="W339" i="11" s="1"/>
  <c r="X339" i="11" s="1"/>
  <c r="Y339" i="11" s="1"/>
  <c r="Z339" i="11" s="1"/>
  <c r="AA339" i="11" s="1"/>
  <c r="V377" i="11"/>
  <c r="W377" i="11" s="1"/>
  <c r="T445" i="11"/>
  <c r="U445" i="11" s="1"/>
  <c r="V445" i="11" s="1"/>
  <c r="V127" i="11"/>
  <c r="W127" i="11" s="1"/>
  <c r="X127" i="11" s="1"/>
  <c r="Y127" i="11" s="1"/>
  <c r="Z127" i="11" s="1"/>
  <c r="AA127" i="11" s="1"/>
  <c r="T725" i="11"/>
  <c r="U725" i="11" s="1"/>
  <c r="W11" i="11"/>
  <c r="X11" i="11" s="1"/>
  <c r="Y11" i="11" s="1"/>
  <c r="T757" i="11"/>
  <c r="AA269" i="11"/>
  <c r="W47" i="11"/>
  <c r="W391" i="11"/>
  <c r="X391" i="11" s="1"/>
  <c r="Y391" i="11" s="1"/>
  <c r="Z391" i="11" s="1"/>
  <c r="AA391" i="11" s="1"/>
  <c r="U237" i="11"/>
  <c r="W16" i="11"/>
  <c r="X16" i="11" s="1"/>
  <c r="Y16" i="11" s="1"/>
  <c r="Z16" i="11" s="1"/>
  <c r="AA16" i="11" s="1"/>
  <c r="V616" i="11"/>
  <c r="W616" i="11" s="1"/>
  <c r="X616" i="11" s="1"/>
  <c r="Y616" i="11" s="1"/>
  <c r="Z616" i="11" s="1"/>
  <c r="AA616" i="11" s="1"/>
  <c r="T498" i="11"/>
  <c r="U498" i="11" s="1"/>
  <c r="U330" i="11"/>
  <c r="V330" i="11" s="1"/>
  <c r="U501" i="11"/>
  <c r="V501" i="11" s="1"/>
  <c r="W501" i="11" s="1"/>
  <c r="X501" i="11" s="1"/>
  <c r="Y501" i="11" s="1"/>
  <c r="Z501" i="11" s="1"/>
  <c r="AA501" i="11" s="1"/>
  <c r="U558" i="11"/>
  <c r="S94" i="11"/>
  <c r="T94" i="11" s="1"/>
  <c r="Y293" i="11"/>
  <c r="Z293" i="11" s="1"/>
  <c r="AA293" i="11" s="1"/>
  <c r="U190" i="11"/>
  <c r="V190" i="11" s="1"/>
  <c r="V702" i="11"/>
  <c r="W702" i="11" s="1"/>
  <c r="X702" i="11" s="1"/>
  <c r="Y702" i="11" s="1"/>
  <c r="Z702" i="11" s="1"/>
  <c r="AA702" i="11" s="1"/>
  <c r="U76" i="11"/>
  <c r="V76" i="11" s="1"/>
  <c r="W76" i="11" s="1"/>
  <c r="T412" i="11"/>
  <c r="U412" i="11" s="1"/>
  <c r="V61" i="11"/>
  <c r="W61" i="11" s="1"/>
  <c r="X61" i="11" s="1"/>
  <c r="Y61" i="11" s="1"/>
  <c r="Z61" i="11" s="1"/>
  <c r="AA61" i="11" s="1"/>
  <c r="S102" i="11"/>
  <c r="S226" i="11"/>
  <c r="U499" i="11"/>
  <c r="S652" i="11"/>
  <c r="U517" i="11"/>
  <c r="V517" i="11" s="1"/>
  <c r="W517" i="11" s="1"/>
  <c r="X517" i="11" s="1"/>
  <c r="Y517" i="11" s="1"/>
  <c r="Z517" i="11" s="1"/>
  <c r="AA517" i="11" s="1"/>
  <c r="S196" i="11"/>
  <c r="T196" i="11" s="1"/>
  <c r="Y356" i="11"/>
  <c r="Z356" i="11" s="1"/>
  <c r="AA356" i="11" s="1"/>
  <c r="X453" i="11"/>
  <c r="Y468" i="11"/>
  <c r="Z468" i="11" s="1"/>
  <c r="AA468" i="11" s="1"/>
  <c r="W231" i="11"/>
  <c r="X231" i="11" s="1"/>
  <c r="Y231" i="11" s="1"/>
  <c r="Z231" i="11" s="1"/>
  <c r="AA231" i="11" s="1"/>
  <c r="W254" i="11"/>
  <c r="X254" i="11" s="1"/>
  <c r="Y254" i="11" s="1"/>
  <c r="W238" i="11"/>
  <c r="X238" i="11" s="1"/>
  <c r="Y238" i="11" s="1"/>
  <c r="Z238" i="11" s="1"/>
  <c r="AA238" i="11" s="1"/>
  <c r="S213" i="11"/>
  <c r="T742" i="11"/>
  <c r="U742" i="11" s="1"/>
  <c r="V742" i="11" s="1"/>
  <c r="V240" i="11"/>
  <c r="W240" i="11" s="1"/>
  <c r="T389" i="11"/>
  <c r="U389" i="11" s="1"/>
  <c r="V389" i="11" s="1"/>
  <c r="T400" i="11"/>
  <c r="U400" i="11" s="1"/>
  <c r="V400" i="11" s="1"/>
  <c r="U246" i="11"/>
  <c r="V246" i="11" s="1"/>
  <c r="W246" i="11" s="1"/>
  <c r="X246" i="11" s="1"/>
  <c r="Y246" i="11" s="1"/>
  <c r="Z246" i="11" s="1"/>
  <c r="AA246" i="11" s="1"/>
  <c r="X85" i="11"/>
  <c r="Y85" i="11" s="1"/>
  <c r="Z85" i="11" s="1"/>
  <c r="AA85" i="11" s="1"/>
  <c r="V350" i="11"/>
  <c r="T19" i="11"/>
  <c r="V739" i="11"/>
  <c r="W739" i="11" s="1"/>
  <c r="X739" i="11" s="1"/>
  <c r="S270" i="11"/>
  <c r="T270" i="11" s="1"/>
  <c r="U270" i="11" s="1"/>
  <c r="V270" i="11" s="1"/>
  <c r="Y533" i="11"/>
  <c r="Z533" i="11" s="1"/>
  <c r="AA533" i="11" s="1"/>
  <c r="T457" i="11"/>
  <c r="X489" i="11"/>
  <c r="Y489" i="11" s="1"/>
  <c r="Z489" i="11" s="1"/>
  <c r="AA489" i="11" s="1"/>
  <c r="U91" i="11"/>
  <c r="S148" i="11"/>
  <c r="S370" i="11"/>
  <c r="T370" i="11" s="1"/>
  <c r="U370" i="11" s="1"/>
  <c r="V370" i="11" s="1"/>
  <c r="W370" i="11" s="1"/>
  <c r="X370" i="11" s="1"/>
  <c r="Y370" i="11" s="1"/>
  <c r="Z370" i="11" s="1"/>
  <c r="AA370" i="11" s="1"/>
  <c r="W348" i="11"/>
  <c r="X348" i="11" s="1"/>
  <c r="Y348" i="11" s="1"/>
  <c r="Z348" i="11" s="1"/>
  <c r="AA348" i="11" s="1"/>
  <c r="AA624" i="11"/>
  <c r="S44" i="11"/>
  <c r="S235" i="11"/>
  <c r="T235" i="11" s="1"/>
  <c r="U235" i="11" s="1"/>
  <c r="T394" i="11"/>
  <c r="V386" i="11"/>
  <c r="W386" i="11" s="1"/>
  <c r="T485" i="11"/>
  <c r="T438" i="11"/>
  <c r="S320" i="11"/>
  <c r="T320" i="11" s="1"/>
  <c r="U320" i="11" s="1"/>
  <c r="V92" i="11"/>
  <c r="W92" i="11" s="1"/>
  <c r="X92" i="11" s="1"/>
  <c r="Y92" i="11" s="1"/>
  <c r="Z92" i="11" s="1"/>
  <c r="T592" i="11"/>
  <c r="X275" i="11"/>
  <c r="T476" i="11"/>
  <c r="U476" i="11" s="1"/>
  <c r="V476" i="11" s="1"/>
  <c r="U349" i="11"/>
  <c r="V349" i="11" s="1"/>
  <c r="Z720" i="11"/>
  <c r="AA720" i="11" s="1"/>
  <c r="X378" i="11"/>
  <c r="Y378" i="11" s="1"/>
  <c r="Z378" i="11" s="1"/>
  <c r="AA378" i="11" s="1"/>
  <c r="W274" i="11"/>
  <c r="X274" i="11" s="1"/>
  <c r="V529" i="11"/>
  <c r="W529" i="11" s="1"/>
  <c r="Y650" i="11"/>
  <c r="Z650" i="11" s="1"/>
  <c r="AA650" i="11" s="1"/>
  <c r="T341" i="11"/>
  <c r="U380" i="11"/>
  <c r="U463" i="11"/>
  <c r="V463" i="11" s="1"/>
  <c r="W463" i="11" s="1"/>
  <c r="S50" i="11"/>
  <c r="T50" i="11" s="1"/>
  <c r="T731" i="11"/>
  <c r="U731" i="11" s="1"/>
  <c r="V731" i="11" s="1"/>
  <c r="U28" i="11"/>
  <c r="V28" i="11" s="1"/>
  <c r="V733" i="11"/>
  <c r="W733" i="11" s="1"/>
  <c r="X733" i="11" s="1"/>
  <c r="Y733" i="11" s="1"/>
  <c r="Z733" i="11" s="1"/>
  <c r="AA733" i="11" s="1"/>
  <c r="W152" i="11"/>
  <c r="X152" i="11" s="1"/>
  <c r="Y152" i="11" s="1"/>
  <c r="Z152" i="11" s="1"/>
  <c r="AA152" i="11" s="1"/>
  <c r="AA503" i="11"/>
  <c r="S667" i="11"/>
  <c r="X755" i="11"/>
  <c r="Y755" i="11" s="1"/>
  <c r="Z755" i="11" s="1"/>
  <c r="AA755" i="11" s="1"/>
  <c r="U409" i="11"/>
  <c r="V409" i="11" s="1"/>
  <c r="W409" i="11" s="1"/>
  <c r="X409" i="11" s="1"/>
  <c r="T554" i="11"/>
  <c r="Z465" i="11"/>
  <c r="AA465" i="11" s="1"/>
  <c r="S165" i="11"/>
  <c r="X432" i="11"/>
  <c r="Y432" i="11" s="1"/>
  <c r="Z432" i="11" s="1"/>
  <c r="AA432" i="11" s="1"/>
  <c r="V14" i="11"/>
  <c r="W14" i="11" s="1"/>
  <c r="X14" i="11" s="1"/>
  <c r="U429" i="11"/>
  <c r="V429" i="11" s="1"/>
  <c r="W429" i="11" s="1"/>
  <c r="X456" i="11"/>
  <c r="Y456" i="11" s="1"/>
  <c r="Z456" i="11" s="1"/>
  <c r="Y163" i="11"/>
  <c r="Z163" i="11" s="1"/>
  <c r="AA163" i="11" s="1"/>
  <c r="W487" i="11"/>
  <c r="V30" i="11"/>
  <c r="W30" i="11" s="1"/>
  <c r="T459" i="11"/>
  <c r="U459" i="11" s="1"/>
  <c r="V459" i="11" s="1"/>
  <c r="W459" i="11" s="1"/>
  <c r="X459" i="11" s="1"/>
  <c r="T64" i="11"/>
  <c r="U64" i="11" s="1"/>
  <c r="T361" i="11"/>
  <c r="W633" i="11"/>
  <c r="X633" i="11" s="1"/>
  <c r="U715" i="11"/>
  <c r="V444" i="11"/>
  <c r="W444" i="11" s="1"/>
  <c r="X444" i="11" s="1"/>
  <c r="Y444" i="11" s="1"/>
  <c r="Z444" i="11" s="1"/>
  <c r="AA444" i="11" s="1"/>
  <c r="S346" i="11"/>
  <c r="T346" i="11" s="1"/>
  <c r="U346" i="11" s="1"/>
  <c r="W232" i="11"/>
  <c r="X232" i="11" s="1"/>
  <c r="Y232" i="11" s="1"/>
  <c r="Z232" i="11" s="1"/>
  <c r="AA232" i="11" s="1"/>
  <c r="U630" i="11"/>
  <c r="V630" i="11" s="1"/>
  <c r="W630" i="11" s="1"/>
  <c r="X630" i="11" s="1"/>
  <c r="Y630" i="11" s="1"/>
  <c r="Z630" i="11" s="1"/>
  <c r="AA630" i="11" s="1"/>
  <c r="X557" i="11"/>
  <c r="Y557" i="11" s="1"/>
  <c r="Z557" i="11" s="1"/>
  <c r="AA557" i="11" s="1"/>
  <c r="V695" i="11"/>
  <c r="X441" i="11"/>
  <c r="Y441" i="11" s="1"/>
  <c r="Z441" i="11" s="1"/>
  <c r="AA441" i="11" s="1"/>
  <c r="Z143" i="11"/>
  <c r="AA143" i="11" s="1"/>
  <c r="S424" i="11"/>
  <c r="T703" i="11"/>
  <c r="U703" i="11" s="1"/>
  <c r="S383" i="11"/>
  <c r="T383" i="11" s="1"/>
  <c r="U383" i="11" s="1"/>
  <c r="T305" i="11"/>
  <c r="U305" i="11" s="1"/>
  <c r="S680" i="11"/>
  <c r="T680" i="11" s="1"/>
  <c r="U680" i="11" s="1"/>
  <c r="T478" i="11"/>
  <c r="W257" i="11"/>
  <c r="X257" i="11" s="1"/>
  <c r="Y257" i="11" s="1"/>
  <c r="Z257" i="11" s="1"/>
  <c r="AA257" i="11" s="1"/>
  <c r="W96" i="11"/>
  <c r="X96" i="11" s="1"/>
  <c r="V220" i="11"/>
  <c r="T674" i="11"/>
  <c r="T189" i="11"/>
  <c r="X140" i="11"/>
  <c r="Y140" i="11" s="1"/>
  <c r="Z140" i="11" s="1"/>
  <c r="AA140" i="11" s="1"/>
  <c r="T714" i="11"/>
  <c r="U714" i="11" s="1"/>
  <c r="V714" i="11" s="1"/>
  <c r="W714" i="11" s="1"/>
  <c r="X714" i="11" s="1"/>
  <c r="S357" i="11"/>
  <c r="T78" i="11"/>
  <c r="U78" i="11" s="1"/>
  <c r="Y318" i="11"/>
  <c r="Z318" i="11" s="1"/>
  <c r="AA318" i="11" s="1"/>
  <c r="U440" i="11"/>
  <c r="V440" i="11" s="1"/>
  <c r="W440" i="11" s="1"/>
  <c r="X440" i="11" s="1"/>
  <c r="W620" i="11"/>
  <c r="X620" i="11" s="1"/>
  <c r="Y620" i="11" s="1"/>
  <c r="Z620" i="11" s="1"/>
  <c r="AA620" i="11" s="1"/>
  <c r="V669" i="11"/>
  <c r="W669" i="11" s="1"/>
  <c r="W631" i="11"/>
  <c r="X631" i="11" s="1"/>
  <c r="Y631" i="11" s="1"/>
  <c r="Z631" i="11" s="1"/>
  <c r="AA631" i="11" s="1"/>
  <c r="V248" i="11"/>
  <c r="W248" i="11" s="1"/>
  <c r="X248" i="11" s="1"/>
  <c r="V678" i="11"/>
  <c r="W338" i="11"/>
  <c r="X338" i="11" s="1"/>
  <c r="Y338" i="11" s="1"/>
  <c r="Z338" i="11" s="1"/>
  <c r="AA338" i="11" s="1"/>
  <c r="S171" i="11"/>
  <c r="U704" i="11"/>
  <c r="T197" i="11"/>
  <c r="U197" i="11" s="1"/>
  <c r="V197" i="11" s="1"/>
  <c r="W197" i="11" s="1"/>
  <c r="T490" i="11"/>
  <c r="U490" i="11" s="1"/>
  <c r="V490" i="11" s="1"/>
  <c r="W490" i="11" s="1"/>
  <c r="W601" i="11"/>
  <c r="X601" i="11" s="1"/>
  <c r="Y601" i="11" s="1"/>
  <c r="T569" i="11"/>
  <c r="V234" i="11"/>
  <c r="W234" i="11" s="1"/>
  <c r="X234" i="11" s="1"/>
  <c r="Y234" i="11" s="1"/>
  <c r="Z234" i="11" s="1"/>
  <c r="W6" i="11"/>
  <c r="X307" i="11"/>
  <c r="Y307" i="11" s="1"/>
  <c r="Z307" i="11" s="1"/>
  <c r="AA307" i="11" s="1"/>
  <c r="U116" i="11"/>
  <c r="U51" i="11"/>
  <c r="W124" i="11"/>
  <c r="X124" i="11" s="1"/>
  <c r="Y124" i="11" s="1"/>
  <c r="Z124" i="11" s="1"/>
  <c r="AA124" i="11" s="1"/>
  <c r="T690" i="11"/>
  <c r="U690" i="11" s="1"/>
  <c r="V690" i="11" s="1"/>
  <c r="AV26" i="2"/>
  <c r="AR26" i="2"/>
  <c r="AV21" i="2"/>
  <c r="AR21" i="2"/>
  <c r="AV6" i="2"/>
  <c r="AR6" i="2"/>
  <c r="K32" i="22"/>
  <c r="AF16" i="22"/>
  <c r="AA9" i="22"/>
  <c r="R28" i="22"/>
  <c r="H28" i="22"/>
  <c r="U8" i="22"/>
  <c r="AJ20" i="22"/>
  <c r="S7" i="22"/>
  <c r="K19" i="22"/>
  <c r="M7" i="22"/>
  <c r="N21" i="22"/>
  <c r="I33" i="22"/>
  <c r="V25" i="22"/>
  <c r="E28" i="22"/>
  <c r="D29" i="22"/>
  <c r="R19" i="22"/>
  <c r="AC32" i="22"/>
  <c r="T7" i="22"/>
  <c r="L19" i="22"/>
  <c r="E7" i="22"/>
  <c r="J28" i="22"/>
  <c r="AA7" i="22"/>
  <c r="K8" i="22"/>
  <c r="Q18" i="22"/>
  <c r="AF29" i="22"/>
  <c r="E21" i="22"/>
  <c r="V8" i="22"/>
  <c r="D7" i="22"/>
  <c r="Z33" i="22"/>
  <c r="F19" i="22"/>
  <c r="AE16" i="22"/>
  <c r="N20" i="22"/>
  <c r="N22" i="22"/>
  <c r="AA8" i="22"/>
  <c r="V23" i="22"/>
  <c r="Z19" i="22"/>
  <c r="P28" i="22"/>
  <c r="AC20" i="22"/>
  <c r="AG31" i="22"/>
  <c r="AA19" i="22"/>
  <c r="J8" i="22"/>
  <c r="P19" i="22"/>
  <c r="T31" i="22"/>
  <c r="L7" i="22"/>
  <c r="AI19" i="22"/>
  <c r="D19" i="22"/>
  <c r="M34" i="22"/>
  <c r="AD32" i="22"/>
  <c r="Q31" i="22"/>
  <c r="M19" i="22"/>
  <c r="T18" i="22"/>
  <c r="N7" i="22"/>
  <c r="S28" i="22"/>
  <c r="F7" i="22"/>
  <c r="O19" i="22"/>
  <c r="AD33" i="22"/>
  <c r="Q32" i="22"/>
  <c r="M8" i="22"/>
  <c r="I18" i="22"/>
  <c r="F33" i="22"/>
  <c r="M33" i="22"/>
  <c r="U33" i="22"/>
  <c r="AE29" i="22"/>
  <c r="AD16" i="22"/>
  <c r="H18" i="22"/>
  <c r="K20" i="22"/>
  <c r="V24" i="22"/>
  <c r="S19" i="22"/>
  <c r="I7" i="22"/>
  <c r="AG16" i="22"/>
  <c r="J19" i="22"/>
  <c r="K7" i="22"/>
  <c r="P7" i="22"/>
  <c r="D28" i="22"/>
  <c r="Z18" i="22"/>
  <c r="U18" i="22"/>
  <c r="F34" i="22"/>
  <c r="K31" i="22"/>
  <c r="WT27" i="2" l="1"/>
  <c r="WT9" i="2"/>
  <c r="WT15" i="2"/>
  <c r="WT28" i="2"/>
  <c r="VY33" i="2"/>
  <c r="VY18" i="2"/>
  <c r="VY15" i="2"/>
  <c r="VY9" i="2"/>
  <c r="TP24" i="2"/>
  <c r="TP23" i="2"/>
  <c r="UI31" i="2"/>
  <c r="UK24" i="2" s="1"/>
  <c r="UI32" i="2"/>
  <c r="UI3" i="2"/>
  <c r="TN16" i="2"/>
  <c r="TN14" i="2"/>
  <c r="TN7" i="2"/>
  <c r="TN4" i="2"/>
  <c r="TN3" i="2"/>
  <c r="TN17" i="2"/>
  <c r="TN8" i="2"/>
  <c r="TN39" i="2"/>
  <c r="RC20" i="2"/>
  <c r="PM20" i="2"/>
  <c r="QH20" i="2"/>
  <c r="NW12" i="2"/>
  <c r="OR12" i="2"/>
  <c r="NB9" i="2"/>
  <c r="NB27" i="2"/>
  <c r="NB12" i="2"/>
  <c r="NW4" i="2"/>
  <c r="MG16" i="2"/>
  <c r="MG11" i="2"/>
  <c r="MG8" i="2"/>
  <c r="MG9" i="2"/>
  <c r="MG10" i="2"/>
  <c r="MG17" i="2"/>
  <c r="MG30" i="2"/>
  <c r="MG25" i="2"/>
  <c r="MG3" i="2"/>
  <c r="MG5" i="2"/>
  <c r="MG14" i="2"/>
  <c r="MG13" i="2"/>
  <c r="MG24" i="2"/>
  <c r="LL7" i="2"/>
  <c r="LL15" i="2"/>
  <c r="LL29" i="2"/>
  <c r="LL18" i="2"/>
  <c r="LL19" i="2"/>
  <c r="LL24" i="2"/>
  <c r="JV32" i="2"/>
  <c r="JV31" i="2"/>
  <c r="JV28" i="2"/>
  <c r="JV37" i="2" s="1"/>
  <c r="JV33" i="2"/>
  <c r="EE25" i="2"/>
  <c r="DJ9" i="2"/>
  <c r="DJ8" i="2"/>
  <c r="DJ19" i="2"/>
  <c r="DJ11" i="2"/>
  <c r="DJ20" i="2"/>
  <c r="DJ25" i="2"/>
  <c r="Y175" i="11"/>
  <c r="Z175" i="11" s="1"/>
  <c r="AA175" i="11" s="1"/>
  <c r="CO25" i="2"/>
  <c r="CO18" i="2"/>
  <c r="CO12" i="2"/>
  <c r="CO29" i="2"/>
  <c r="CO10" i="2"/>
  <c r="CO4" i="2"/>
  <c r="CO17" i="2"/>
  <c r="CO11" i="2"/>
  <c r="CO3" i="2"/>
  <c r="CO5" i="2"/>
  <c r="CO14" i="2"/>
  <c r="CO9" i="2"/>
  <c r="Z134" i="14"/>
  <c r="AA134" i="14" s="1"/>
  <c r="U278" i="11"/>
  <c r="V278" i="11" s="1"/>
  <c r="W278" i="11" s="1"/>
  <c r="X278" i="11" s="1"/>
  <c r="Y278" i="11" s="1"/>
  <c r="Z278" i="11" s="1"/>
  <c r="AA278" i="11" s="1"/>
  <c r="S75" i="14"/>
  <c r="T75" i="14" s="1"/>
  <c r="U75" i="14" s="1"/>
  <c r="AA168" i="11"/>
  <c r="AA546" i="11"/>
  <c r="AA169" i="14"/>
  <c r="Y526" i="14"/>
  <c r="Z526" i="14" s="1"/>
  <c r="AA526" i="14" s="1"/>
  <c r="Z564" i="11"/>
  <c r="AA564" i="11" s="1"/>
  <c r="Y225" i="11"/>
  <c r="Z225" i="11" s="1"/>
  <c r="AA225" i="11" s="1"/>
  <c r="AK16" i="22"/>
  <c r="AK28" i="22"/>
  <c r="Q5" i="14"/>
  <c r="Q28" i="14"/>
  <c r="Q8" i="14"/>
  <c r="Q157" i="15"/>
  <c r="Q69" i="14"/>
  <c r="Q61" i="14"/>
  <c r="R61" i="14" s="1"/>
  <c r="S61" i="14" s="1"/>
  <c r="Q17" i="14"/>
  <c r="Q47" i="14"/>
  <c r="R47" i="14" s="1"/>
  <c r="R2" i="15"/>
  <c r="S2" i="15" s="1"/>
  <c r="T2" i="15" s="1"/>
  <c r="U2" i="15" s="1"/>
  <c r="Q145" i="15"/>
  <c r="Q164" i="15"/>
  <c r="R164" i="15" s="1"/>
  <c r="Q6" i="14"/>
  <c r="R6" i="14" s="1"/>
  <c r="Q11" i="14"/>
  <c r="Q202" i="15"/>
  <c r="R198" i="15"/>
  <c r="Q31" i="14"/>
  <c r="Q140" i="15"/>
  <c r="Q138" i="15"/>
  <c r="T588" i="14"/>
  <c r="U588" i="14" s="1"/>
  <c r="V588" i="14" s="1"/>
  <c r="W588" i="14" s="1"/>
  <c r="Y276" i="11"/>
  <c r="Z276" i="11" s="1"/>
  <c r="AA276" i="11" s="1"/>
  <c r="Z344" i="14"/>
  <c r="AA344" i="14" s="1"/>
  <c r="Z677" i="14"/>
  <c r="AA677" i="14" s="1"/>
  <c r="Z231" i="14"/>
  <c r="AA231" i="14" s="1"/>
  <c r="Z770" i="14"/>
  <c r="AA770" i="14" s="1"/>
  <c r="X185" i="14"/>
  <c r="Y185" i="14" s="1"/>
  <c r="Z185" i="14" s="1"/>
  <c r="AA185" i="14" s="1"/>
  <c r="W545" i="14"/>
  <c r="X545" i="14" s="1"/>
  <c r="Y545" i="14" s="1"/>
  <c r="Z545" i="14" s="1"/>
  <c r="AA545" i="14" s="1"/>
  <c r="Z519" i="11"/>
  <c r="AA519" i="11" s="1"/>
  <c r="W644" i="14"/>
  <c r="X644" i="14" s="1"/>
  <c r="X282" i="11"/>
  <c r="Y282" i="11" s="1"/>
  <c r="Z282" i="11" s="1"/>
  <c r="AA282" i="11" s="1"/>
  <c r="Z153" i="11"/>
  <c r="AA153" i="11" s="1"/>
  <c r="AA55" i="11"/>
  <c r="W638" i="14"/>
  <c r="X638" i="14" s="1"/>
  <c r="Y638" i="14" s="1"/>
  <c r="Z638" i="14" s="1"/>
  <c r="AA638" i="14" s="1"/>
  <c r="Z37" i="11"/>
  <c r="AA37" i="11" s="1"/>
  <c r="X362" i="11"/>
  <c r="Y362" i="11" s="1"/>
  <c r="X724" i="11"/>
  <c r="Y724" i="11" s="1"/>
  <c r="Z724" i="11" s="1"/>
  <c r="AA724" i="11" s="1"/>
  <c r="Y297" i="11"/>
  <c r="Z297" i="11" s="1"/>
  <c r="AA297" i="11" s="1"/>
  <c r="X681" i="14"/>
  <c r="Y681" i="14" s="1"/>
  <c r="Z681" i="14" s="1"/>
  <c r="AA681" i="14" s="1"/>
  <c r="Z613" i="11"/>
  <c r="AA613" i="11" s="1"/>
  <c r="X277" i="14"/>
  <c r="Y277" i="14" s="1"/>
  <c r="Z277" i="14" s="1"/>
  <c r="AA277" i="14" s="1"/>
  <c r="X39" i="14"/>
  <c r="Y39" i="14" s="1"/>
  <c r="Z39" i="14" s="1"/>
  <c r="AA39" i="14" s="1"/>
  <c r="X483" i="11"/>
  <c r="Y483" i="11" s="1"/>
  <c r="Z483" i="11" s="1"/>
  <c r="AA483" i="11" s="1"/>
  <c r="X44" i="14"/>
  <c r="Y44" i="14" s="1"/>
  <c r="Z44" i="14" s="1"/>
  <c r="Z550" i="14"/>
  <c r="AA550" i="14" s="1"/>
  <c r="Y329" i="11"/>
  <c r="Z329" i="11" s="1"/>
  <c r="AA329" i="11" s="1"/>
  <c r="X607" i="11"/>
  <c r="Y607" i="11" s="1"/>
  <c r="Y322" i="11"/>
  <c r="Z322" i="11" s="1"/>
  <c r="AA322" i="11" s="1"/>
  <c r="X472" i="11"/>
  <c r="Y472" i="11" s="1"/>
  <c r="Z472" i="11" s="1"/>
  <c r="AA472" i="11" s="1"/>
  <c r="Y768" i="14"/>
  <c r="Z768" i="14" s="1"/>
  <c r="AA768" i="14" s="1"/>
  <c r="Z443" i="11"/>
  <c r="AA443" i="11" s="1"/>
  <c r="X470" i="14"/>
  <c r="Y470" i="14" s="1"/>
  <c r="Z470" i="14" s="1"/>
  <c r="AA470" i="14" s="1"/>
  <c r="V720" i="14"/>
  <c r="W720" i="14" s="1"/>
  <c r="AA220" i="14"/>
  <c r="X496" i="14"/>
  <c r="Y496" i="14" s="1"/>
  <c r="Z496" i="14" s="1"/>
  <c r="AA496" i="14" s="1"/>
  <c r="AB183" i="15"/>
  <c r="Y181" i="14"/>
  <c r="Z181" i="14" s="1"/>
  <c r="AA181" i="14" s="1"/>
  <c r="W247" i="14"/>
  <c r="X247" i="14" s="1"/>
  <c r="Y247" i="14" s="1"/>
  <c r="Z247" i="14" s="1"/>
  <c r="AA247" i="14" s="1"/>
  <c r="AA661" i="14"/>
  <c r="X159" i="14"/>
  <c r="Y159" i="14" s="1"/>
  <c r="Z159" i="14" s="1"/>
  <c r="AA159" i="14" s="1"/>
  <c r="Y434" i="14"/>
  <c r="Z434" i="14" s="1"/>
  <c r="AA434" i="14" s="1"/>
  <c r="Z764" i="14"/>
  <c r="AA764" i="14" s="1"/>
  <c r="Y95" i="14"/>
  <c r="Z95" i="14" s="1"/>
  <c r="AA95" i="14" s="1"/>
  <c r="AA524" i="14"/>
  <c r="Y495" i="14"/>
  <c r="Z495" i="14" s="1"/>
  <c r="AA495" i="14" s="1"/>
  <c r="V449" i="14"/>
  <c r="W449" i="14" s="1"/>
  <c r="X449" i="14" s="1"/>
  <c r="Y449" i="14" s="1"/>
  <c r="Y629" i="14"/>
  <c r="Z629" i="14" s="1"/>
  <c r="AA629" i="14" s="1"/>
  <c r="Z789" i="14"/>
  <c r="AA789" i="14" s="1"/>
  <c r="Z17" i="11"/>
  <c r="AA17" i="11" s="1"/>
  <c r="Z785" i="14"/>
  <c r="AA785" i="14" s="1"/>
  <c r="W320" i="14"/>
  <c r="X320" i="14" s="1"/>
  <c r="Y320" i="14" s="1"/>
  <c r="Y670" i="14"/>
  <c r="Z670" i="14" s="1"/>
  <c r="AA670" i="14" s="1"/>
  <c r="X656" i="14"/>
  <c r="Y656" i="14" s="1"/>
  <c r="Z656" i="14" s="1"/>
  <c r="AA656" i="14" s="1"/>
  <c r="Y760" i="14"/>
  <c r="Z760" i="14" s="1"/>
  <c r="AA760" i="14" s="1"/>
  <c r="Z376" i="14"/>
  <c r="AA376" i="14" s="1"/>
  <c r="W357" i="14"/>
  <c r="X357" i="14" s="1"/>
  <c r="Y397" i="11"/>
  <c r="Z397" i="11" s="1"/>
  <c r="AA397" i="11" s="1"/>
  <c r="W509" i="14"/>
  <c r="X509" i="14" s="1"/>
  <c r="Y509" i="14" s="1"/>
  <c r="Z509" i="14" s="1"/>
  <c r="AA509" i="14" s="1"/>
  <c r="Y124" i="14"/>
  <c r="Z124" i="14" s="1"/>
  <c r="AA124" i="14" s="1"/>
  <c r="Z481" i="14"/>
  <c r="AA481" i="14" s="1"/>
  <c r="Y380" i="14"/>
  <c r="Z380" i="14" s="1"/>
  <c r="AA380" i="14" s="1"/>
  <c r="Y114" i="14"/>
  <c r="Z114" i="14" s="1"/>
  <c r="W523" i="14"/>
  <c r="X523" i="14" s="1"/>
  <c r="Y523" i="14" s="1"/>
  <c r="Z523" i="14" s="1"/>
  <c r="AA523" i="14" s="1"/>
  <c r="X733" i="14"/>
  <c r="Y733" i="14" s="1"/>
  <c r="Y610" i="14"/>
  <c r="Z610" i="14" s="1"/>
  <c r="AA610" i="14" s="1"/>
  <c r="X379" i="14"/>
  <c r="Y379" i="14" s="1"/>
  <c r="W214" i="14"/>
  <c r="X214" i="14" s="1"/>
  <c r="Y214" i="14" s="1"/>
  <c r="Z214" i="14" s="1"/>
  <c r="AA214" i="14" s="1"/>
  <c r="X747" i="14"/>
  <c r="Y747" i="14" s="1"/>
  <c r="Z747" i="14" s="1"/>
  <c r="AA747" i="14" s="1"/>
  <c r="U662" i="14"/>
  <c r="V662" i="14" s="1"/>
  <c r="Y67" i="11"/>
  <c r="Z67" i="11" s="1"/>
  <c r="Y332" i="14"/>
  <c r="Z332" i="14" s="1"/>
  <c r="V104" i="14"/>
  <c r="W104" i="14" s="1"/>
  <c r="AA740" i="14"/>
  <c r="Y184" i="11"/>
  <c r="Z184" i="11" s="1"/>
  <c r="AA184" i="11" s="1"/>
  <c r="Y745" i="11"/>
  <c r="Z745" i="11" s="1"/>
  <c r="AA745" i="11" s="1"/>
  <c r="AA96" i="14"/>
  <c r="W388" i="14"/>
  <c r="X388" i="14" s="1"/>
  <c r="Y388" i="14" s="1"/>
  <c r="Z388" i="14" s="1"/>
  <c r="AA388" i="14" s="1"/>
  <c r="V726" i="11"/>
  <c r="W726" i="11" s="1"/>
  <c r="X726" i="11" s="1"/>
  <c r="Y726" i="11" s="1"/>
  <c r="Z726" i="11" s="1"/>
  <c r="AA726" i="11" s="1"/>
  <c r="X450" i="14"/>
  <c r="Y450" i="14" s="1"/>
  <c r="V773" i="14"/>
  <c r="W773" i="14" s="1"/>
  <c r="X773" i="14" s="1"/>
  <c r="Y773" i="14" s="1"/>
  <c r="Y486" i="11"/>
  <c r="Z486" i="11" s="1"/>
  <c r="AA486" i="11" s="1"/>
  <c r="AA359" i="14"/>
  <c r="V608" i="14"/>
  <c r="W608" i="14" s="1"/>
  <c r="X608" i="14" s="1"/>
  <c r="Y608" i="14" s="1"/>
  <c r="Z608" i="14" s="1"/>
  <c r="AA608" i="14" s="1"/>
  <c r="Z674" i="14"/>
  <c r="AA674" i="14" s="1"/>
  <c r="Y646" i="14"/>
  <c r="Z646" i="14" s="1"/>
  <c r="AA646" i="14" s="1"/>
  <c r="AA263" i="11"/>
  <c r="X707" i="11"/>
  <c r="Y707" i="11" s="1"/>
  <c r="Z707" i="11" s="1"/>
  <c r="AA707" i="11" s="1"/>
  <c r="Y174" i="14"/>
  <c r="Z174" i="14" s="1"/>
  <c r="AA174" i="14" s="1"/>
  <c r="X404" i="14"/>
  <c r="Y404" i="14" s="1"/>
  <c r="Z404" i="14" s="1"/>
  <c r="AA404" i="14" s="1"/>
  <c r="AA390" i="14"/>
  <c r="Z582" i="14"/>
  <c r="AA582" i="14" s="1"/>
  <c r="AA386" i="14"/>
  <c r="X90" i="14"/>
  <c r="Y90" i="14" s="1"/>
  <c r="Z90" i="14" s="1"/>
  <c r="AA90" i="14" s="1"/>
  <c r="AA454" i="14"/>
  <c r="AA299" i="14"/>
  <c r="W156" i="14"/>
  <c r="X156" i="14" s="1"/>
  <c r="Y156" i="14" s="1"/>
  <c r="Z156" i="14" s="1"/>
  <c r="AA156" i="14" s="1"/>
  <c r="Y448" i="11"/>
  <c r="Z448" i="11" s="1"/>
  <c r="AA448" i="11" s="1"/>
  <c r="AA426" i="14"/>
  <c r="AA562" i="14"/>
  <c r="Y696" i="11"/>
  <c r="Z696" i="11" s="1"/>
  <c r="AA696" i="11" s="1"/>
  <c r="X145" i="14"/>
  <c r="Y145" i="14" s="1"/>
  <c r="Z145" i="14" s="1"/>
  <c r="W743" i="11"/>
  <c r="X743" i="11" s="1"/>
  <c r="Y743" i="11" s="1"/>
  <c r="X148" i="14"/>
  <c r="Y148" i="14" s="1"/>
  <c r="Z148" i="14" s="1"/>
  <c r="AB185" i="15"/>
  <c r="Y179" i="15"/>
  <c r="Z179" i="15" s="1"/>
  <c r="U187" i="15"/>
  <c r="V187" i="15" s="1"/>
  <c r="W187" i="15" s="1"/>
  <c r="Y182" i="15"/>
  <c r="Y191" i="15"/>
  <c r="Z191" i="15" s="1"/>
  <c r="AA191" i="15" s="1"/>
  <c r="X174" i="15"/>
  <c r="Y174" i="15" s="1"/>
  <c r="Z174" i="15" s="1"/>
  <c r="AA174" i="15" s="1"/>
  <c r="AA188" i="15"/>
  <c r="AB188" i="15" s="1"/>
  <c r="X205" i="15"/>
  <c r="Y205" i="15" s="1"/>
  <c r="Z205" i="15" s="1"/>
  <c r="AA205" i="15" s="1"/>
  <c r="AB205" i="15" s="1"/>
  <c r="Y173" i="15"/>
  <c r="Z173" i="15" s="1"/>
  <c r="AA173" i="15" s="1"/>
  <c r="X143" i="15"/>
  <c r="Y143" i="15" s="1"/>
  <c r="Y197" i="15"/>
  <c r="Z197" i="15" s="1"/>
  <c r="AA197" i="15" s="1"/>
  <c r="X177" i="15"/>
  <c r="Y177" i="15" s="1"/>
  <c r="Z177" i="15" s="1"/>
  <c r="U150" i="15"/>
  <c r="V150" i="15" s="1"/>
  <c r="V194" i="15"/>
  <c r="V180" i="15"/>
  <c r="W180" i="15" s="1"/>
  <c r="Y167" i="15"/>
  <c r="Z167" i="15" s="1"/>
  <c r="AA167" i="15" s="1"/>
  <c r="W533" i="14"/>
  <c r="X533" i="14" s="1"/>
  <c r="Y533" i="14" s="1"/>
  <c r="Z533" i="14" s="1"/>
  <c r="AA533" i="14" s="1"/>
  <c r="Y149" i="15"/>
  <c r="Z149" i="15" s="1"/>
  <c r="U170" i="15"/>
  <c r="U163" i="15"/>
  <c r="U203" i="15"/>
  <c r="V203" i="15" s="1"/>
  <c r="U158" i="15"/>
  <c r="Y189" i="15"/>
  <c r="Z189" i="15" s="1"/>
  <c r="AA189" i="15" s="1"/>
  <c r="AB189" i="15" s="1"/>
  <c r="R162" i="15"/>
  <c r="S162" i="15" s="1"/>
  <c r="Y178" i="15"/>
  <c r="Z178" i="15" s="1"/>
  <c r="AA178" i="15" s="1"/>
  <c r="V139" i="15"/>
  <c r="W139" i="15" s="1"/>
  <c r="T154" i="15"/>
  <c r="U181" i="15"/>
  <c r="V181" i="15" s="1"/>
  <c r="W181" i="15" s="1"/>
  <c r="W195" i="15"/>
  <c r="X195" i="15" s="1"/>
  <c r="Y195" i="15" s="1"/>
  <c r="Z195" i="15" s="1"/>
  <c r="AA195" i="15" s="1"/>
  <c r="AB195" i="15" s="1"/>
  <c r="R161" i="15"/>
  <c r="T136" i="15"/>
  <c r="U136" i="15" s="1"/>
  <c r="V193" i="15"/>
  <c r="AA148" i="15"/>
  <c r="AB148" i="15" s="1"/>
  <c r="X152" i="15"/>
  <c r="V176" i="15"/>
  <c r="W176" i="15" s="1"/>
  <c r="X176" i="15" s="1"/>
  <c r="Y176" i="15" s="1"/>
  <c r="Z176" i="15" s="1"/>
  <c r="AA176" i="15" s="1"/>
  <c r="V134" i="15"/>
  <c r="W134" i="15" s="1"/>
  <c r="V192" i="15"/>
  <c r="W192" i="15" s="1"/>
  <c r="X192" i="15" s="1"/>
  <c r="Y204" i="15"/>
  <c r="Z204" i="15" s="1"/>
  <c r="AA204" i="15" s="1"/>
  <c r="AB204" i="15" s="1"/>
  <c r="Y141" i="15"/>
  <c r="Z141" i="15" s="1"/>
  <c r="W166" i="15"/>
  <c r="V186" i="15"/>
  <c r="W168" i="15"/>
  <c r="V151" i="15"/>
  <c r="W151" i="15" s="1"/>
  <c r="X153" i="15"/>
  <c r="Y153" i="15" s="1"/>
  <c r="Z153" i="15" s="1"/>
  <c r="AA153" i="15" s="1"/>
  <c r="T131" i="15"/>
  <c r="V196" i="15"/>
  <c r="W196" i="15" s="1"/>
  <c r="W165" i="15"/>
  <c r="X165" i="15" s="1"/>
  <c r="V142" i="15"/>
  <c r="Y169" i="15"/>
  <c r="Z169" i="15" s="1"/>
  <c r="AA169" i="15" s="1"/>
  <c r="T135" i="15"/>
  <c r="V207" i="15"/>
  <c r="U206" i="15"/>
  <c r="T199" i="15"/>
  <c r="W636" i="14"/>
  <c r="X636" i="14" s="1"/>
  <c r="Y636" i="14" s="1"/>
  <c r="Z636" i="14" s="1"/>
  <c r="AA636" i="14" s="1"/>
  <c r="W142" i="14"/>
  <c r="X142" i="14" s="1"/>
  <c r="Y142" i="14" s="1"/>
  <c r="Z142" i="14" s="1"/>
  <c r="AA142" i="14" s="1"/>
  <c r="W255" i="14"/>
  <c r="X127" i="14"/>
  <c r="Y127" i="14" s="1"/>
  <c r="Z127" i="14" s="1"/>
  <c r="AA127" i="14" s="1"/>
  <c r="Y528" i="14"/>
  <c r="Z528" i="14" s="1"/>
  <c r="Z570" i="11"/>
  <c r="AA570" i="11" s="1"/>
  <c r="Y672" i="11"/>
  <c r="Z672" i="11" s="1"/>
  <c r="AA672" i="11" s="1"/>
  <c r="V412" i="14"/>
  <c r="W412" i="14" s="1"/>
  <c r="X412" i="14" s="1"/>
  <c r="Y412" i="14" s="1"/>
  <c r="W679" i="14"/>
  <c r="X679" i="14" s="1"/>
  <c r="Y679" i="14" s="1"/>
  <c r="Z679" i="14" s="1"/>
  <c r="AA679" i="14" s="1"/>
  <c r="Y441" i="14"/>
  <c r="Z441" i="14" s="1"/>
  <c r="AA441" i="14" s="1"/>
  <c r="W160" i="14"/>
  <c r="X160" i="14" s="1"/>
  <c r="Y732" i="14"/>
  <c r="Z732" i="14" s="1"/>
  <c r="AA732" i="14" s="1"/>
  <c r="X436" i="14"/>
  <c r="Y436" i="14" s="1"/>
  <c r="Y94" i="14"/>
  <c r="Z556" i="14"/>
  <c r="AA556" i="14" s="1"/>
  <c r="AA297" i="14"/>
  <c r="Y168" i="14"/>
  <c r="Z168" i="14" s="1"/>
  <c r="AA168" i="14" s="1"/>
  <c r="X342" i="14"/>
  <c r="Y342" i="14" s="1"/>
  <c r="Z342" i="14" s="1"/>
  <c r="Z619" i="11"/>
  <c r="AA619" i="11" s="1"/>
  <c r="AA10" i="14"/>
  <c r="AA510" i="14"/>
  <c r="Y520" i="14"/>
  <c r="Z520" i="14" s="1"/>
  <c r="AA520" i="14" s="1"/>
  <c r="Y746" i="11"/>
  <c r="Z746" i="11" s="1"/>
  <c r="AA746" i="11" s="1"/>
  <c r="Y133" i="11"/>
  <c r="Z133" i="11" s="1"/>
  <c r="AA133" i="11" s="1"/>
  <c r="W418" i="11"/>
  <c r="X418" i="11" s="1"/>
  <c r="Y418" i="11" s="1"/>
  <c r="Z418" i="11" s="1"/>
  <c r="AA418" i="11" s="1"/>
  <c r="W765" i="14"/>
  <c r="X765" i="14" s="1"/>
  <c r="W241" i="14"/>
  <c r="X241" i="14" s="1"/>
  <c r="V676" i="11"/>
  <c r="W676" i="11" s="1"/>
  <c r="V409" i="14"/>
  <c r="W409" i="14" s="1"/>
  <c r="X409" i="14" s="1"/>
  <c r="Y409" i="14" s="1"/>
  <c r="Z409" i="14" s="1"/>
  <c r="AA409" i="14" s="1"/>
  <c r="U605" i="14"/>
  <c r="V605" i="14" s="1"/>
  <c r="V321" i="14"/>
  <c r="W321" i="14" s="1"/>
  <c r="X321" i="14" s="1"/>
  <c r="V146" i="14"/>
  <c r="W146" i="14" s="1"/>
  <c r="X146" i="14" s="1"/>
  <c r="V724" i="14"/>
  <c r="W724" i="14" s="1"/>
  <c r="X724" i="14" s="1"/>
  <c r="V248" i="14"/>
  <c r="W248" i="14" s="1"/>
  <c r="X248" i="14" s="1"/>
  <c r="V719" i="14"/>
  <c r="W719" i="14" s="1"/>
  <c r="S243" i="14"/>
  <c r="S518" i="14"/>
  <c r="T518" i="14" s="1"/>
  <c r="S102" i="14"/>
  <c r="T102" i="14" s="1"/>
  <c r="U102" i="14" s="1"/>
  <c r="U154" i="14"/>
  <c r="T336" i="14"/>
  <c r="U336" i="14" s="1"/>
  <c r="S504" i="14"/>
  <c r="S322" i="14"/>
  <c r="T322" i="14" s="1"/>
  <c r="V686" i="14"/>
  <c r="W686" i="14" s="1"/>
  <c r="X686" i="14" s="1"/>
  <c r="AA614" i="14"/>
  <c r="Z428" i="11"/>
  <c r="AA428" i="11" s="1"/>
  <c r="Z440" i="14"/>
  <c r="AA440" i="14" s="1"/>
  <c r="Y421" i="11"/>
  <c r="Z421" i="11" s="1"/>
  <c r="AA421" i="11" s="1"/>
  <c r="X351" i="14"/>
  <c r="Y351" i="14" s="1"/>
  <c r="W604" i="11"/>
  <c r="X604" i="11" s="1"/>
  <c r="Y604" i="11" s="1"/>
  <c r="Z604" i="11" s="1"/>
  <c r="AA604" i="11" s="1"/>
  <c r="Y193" i="11"/>
  <c r="Z193" i="11" s="1"/>
  <c r="AA193" i="11" s="1"/>
  <c r="U234" i="14"/>
  <c r="V234" i="14" s="1"/>
  <c r="W234" i="14" s="1"/>
  <c r="X234" i="14" s="1"/>
  <c r="Y234" i="14" s="1"/>
  <c r="Z234" i="14" s="1"/>
  <c r="AA234" i="14" s="1"/>
  <c r="Y167" i="14"/>
  <c r="AA612" i="14"/>
  <c r="W211" i="14"/>
  <c r="X211" i="14" s="1"/>
  <c r="Y211" i="14" s="1"/>
  <c r="Z211" i="14" s="1"/>
  <c r="AA211" i="14" s="1"/>
  <c r="Z721" i="11"/>
  <c r="AA721" i="11" s="1"/>
  <c r="X632" i="14"/>
  <c r="Y632" i="14" s="1"/>
  <c r="Z632" i="14" s="1"/>
  <c r="AA632" i="14" s="1"/>
  <c r="Z711" i="14"/>
  <c r="AA711" i="14" s="1"/>
  <c r="AA140" i="14"/>
  <c r="Y123" i="11"/>
  <c r="Z123" i="11" s="1"/>
  <c r="AA123" i="11" s="1"/>
  <c r="W91" i="14"/>
  <c r="X91" i="14" s="1"/>
  <c r="Y91" i="14" s="1"/>
  <c r="Z91" i="14" s="1"/>
  <c r="AA91" i="14" s="1"/>
  <c r="W647" i="14"/>
  <c r="X647" i="14" s="1"/>
  <c r="Y647" i="14" s="1"/>
  <c r="Z647" i="14" s="1"/>
  <c r="AA647" i="14" s="1"/>
  <c r="AA43" i="11"/>
  <c r="Y290" i="11"/>
  <c r="Z290" i="11" s="1"/>
  <c r="AA290" i="11" s="1"/>
  <c r="W511" i="11"/>
  <c r="X511" i="11" s="1"/>
  <c r="Y511" i="11" s="1"/>
  <c r="Z511" i="11" s="1"/>
  <c r="AA511" i="11" s="1"/>
  <c r="X467" i="14"/>
  <c r="Y467" i="14" s="1"/>
  <c r="X253" i="14"/>
  <c r="Y253" i="14" s="1"/>
  <c r="Z253" i="14" s="1"/>
  <c r="AA253" i="14" s="1"/>
  <c r="W330" i="14"/>
  <c r="X330" i="14" s="1"/>
  <c r="V684" i="11"/>
  <c r="W684" i="11" s="1"/>
  <c r="X684" i="11" s="1"/>
  <c r="X335" i="11"/>
  <c r="Y335" i="11" s="1"/>
  <c r="V201" i="11"/>
  <c r="W201" i="11" s="1"/>
  <c r="Z756" i="14"/>
  <c r="AA756" i="14" s="1"/>
  <c r="X325" i="14"/>
  <c r="Y325" i="14" s="1"/>
  <c r="Z325" i="14" s="1"/>
  <c r="AA325" i="14" s="1"/>
  <c r="X617" i="14"/>
  <c r="W666" i="14"/>
  <c r="X666" i="14" s="1"/>
  <c r="Y666" i="14" s="1"/>
  <c r="Z666" i="14" s="1"/>
  <c r="W415" i="14"/>
  <c r="X415" i="14" s="1"/>
  <c r="Y415" i="14" s="1"/>
  <c r="Z415" i="14" s="1"/>
  <c r="X573" i="14"/>
  <c r="Y573" i="14" s="1"/>
  <c r="Z573" i="14" s="1"/>
  <c r="X664" i="14"/>
  <c r="Y664" i="14" s="1"/>
  <c r="Z664" i="14" s="1"/>
  <c r="Y743" i="14"/>
  <c r="Z743" i="14" s="1"/>
  <c r="X751" i="14"/>
  <c r="Y751" i="14" s="1"/>
  <c r="Z751" i="14" s="1"/>
  <c r="AA751" i="14" s="1"/>
  <c r="Y705" i="14"/>
  <c r="Z705" i="14" s="1"/>
  <c r="AA705" i="14" s="1"/>
  <c r="W697" i="11"/>
  <c r="X697" i="11" s="1"/>
  <c r="Y697" i="11" s="1"/>
  <c r="Z697" i="11" s="1"/>
  <c r="AA697" i="11" s="1"/>
  <c r="Y576" i="14"/>
  <c r="Z576" i="14" s="1"/>
  <c r="AA576" i="14" s="1"/>
  <c r="X567" i="14"/>
  <c r="Y567" i="14" s="1"/>
  <c r="V208" i="14"/>
  <c r="W208" i="14" s="1"/>
  <c r="X208" i="14" s="1"/>
  <c r="Y393" i="14"/>
  <c r="Z111" i="14"/>
  <c r="AA111" i="14" s="1"/>
  <c r="X103" i="11"/>
  <c r="Y103" i="11" s="1"/>
  <c r="X129" i="11"/>
  <c r="Y129" i="11" s="1"/>
  <c r="Z129" i="11" s="1"/>
  <c r="AA129" i="11" s="1"/>
  <c r="W158" i="14"/>
  <c r="X158" i="14" s="1"/>
  <c r="V171" i="14"/>
  <c r="W171" i="14" s="1"/>
  <c r="X171" i="14" s="1"/>
  <c r="Y171" i="14" s="1"/>
  <c r="Z171" i="14" s="1"/>
  <c r="AA171" i="14" s="1"/>
  <c r="W480" i="14"/>
  <c r="X480" i="14" s="1"/>
  <c r="Y480" i="14" s="1"/>
  <c r="Z480" i="14" s="1"/>
  <c r="AA480" i="14" s="1"/>
  <c r="X268" i="14"/>
  <c r="Y268" i="14" s="1"/>
  <c r="Z268" i="14" s="1"/>
  <c r="X418" i="14"/>
  <c r="Y418" i="14" s="1"/>
  <c r="Z418" i="14" s="1"/>
  <c r="AA418" i="14" s="1"/>
  <c r="X400" i="14"/>
  <c r="Y400" i="14" s="1"/>
  <c r="Z400" i="14" s="1"/>
  <c r="AA400" i="14" s="1"/>
  <c r="Y230" i="14"/>
  <c r="Z230" i="14" s="1"/>
  <c r="AA230" i="14" s="1"/>
  <c r="Z777" i="14"/>
  <c r="AA777" i="14" s="1"/>
  <c r="AA690" i="14"/>
  <c r="V490" i="14"/>
  <c r="W490" i="14" s="1"/>
  <c r="X490" i="14" s="1"/>
  <c r="Y490" i="14" s="1"/>
  <c r="Z490" i="14" s="1"/>
  <c r="AA490" i="14" s="1"/>
  <c r="Y534" i="14"/>
  <c r="Z534" i="14" s="1"/>
  <c r="AA534" i="14" s="1"/>
  <c r="W419" i="14"/>
  <c r="X419" i="14" s="1"/>
  <c r="Y419" i="14" s="1"/>
  <c r="Z419" i="14" s="1"/>
  <c r="AA419" i="14" s="1"/>
  <c r="W293" i="14"/>
  <c r="X293" i="14" s="1"/>
  <c r="Y293" i="14" s="1"/>
  <c r="Z293" i="14" s="1"/>
  <c r="AA293" i="14" s="1"/>
  <c r="X296" i="14"/>
  <c r="Y296" i="14" s="1"/>
  <c r="Z296" i="14" s="1"/>
  <c r="AA296" i="14" s="1"/>
  <c r="X79" i="14"/>
  <c r="Y79" i="14" s="1"/>
  <c r="Z79" i="14" s="1"/>
  <c r="AA79" i="14" s="1"/>
  <c r="V289" i="14"/>
  <c r="W289" i="14" s="1"/>
  <c r="X289" i="14" s="1"/>
  <c r="Y289" i="14" s="1"/>
  <c r="Z289" i="14" s="1"/>
  <c r="AA289" i="14" s="1"/>
  <c r="X122" i="14"/>
  <c r="Y122" i="14" s="1"/>
  <c r="Z122" i="14" s="1"/>
  <c r="W272" i="14"/>
  <c r="X272" i="14" s="1"/>
  <c r="Y272" i="14" s="1"/>
  <c r="Z272" i="14" s="1"/>
  <c r="AA272" i="14" s="1"/>
  <c r="Y530" i="14"/>
  <c r="Z530" i="14" s="1"/>
  <c r="AA530" i="14" s="1"/>
  <c r="V639" i="14"/>
  <c r="W639" i="14" s="1"/>
  <c r="X639" i="14" s="1"/>
  <c r="Y639" i="14" s="1"/>
  <c r="Z639" i="14" s="1"/>
  <c r="AA639" i="14" s="1"/>
  <c r="Y286" i="14"/>
  <c r="Z286" i="14" s="1"/>
  <c r="AA286" i="14" s="1"/>
  <c r="Y410" i="14"/>
  <c r="Z410" i="14" s="1"/>
  <c r="AA410" i="14" s="1"/>
  <c r="AA786" i="14"/>
  <c r="AA596" i="11"/>
  <c r="Y389" i="14"/>
  <c r="Z389" i="14" s="1"/>
  <c r="AA389" i="14" s="1"/>
  <c r="W663" i="14"/>
  <c r="Z240" i="14"/>
  <c r="AA240" i="14" s="1"/>
  <c r="X429" i="14"/>
  <c r="Y429" i="14" s="1"/>
  <c r="Z429" i="14" s="1"/>
  <c r="AA429" i="14" s="1"/>
  <c r="Y41" i="14"/>
  <c r="Z41" i="14" s="1"/>
  <c r="X704" i="14"/>
  <c r="Y704" i="14" s="1"/>
  <c r="Z704" i="14" s="1"/>
  <c r="U580" i="14"/>
  <c r="V580" i="14" s="1"/>
  <c r="W580" i="14" s="1"/>
  <c r="Z107" i="14"/>
  <c r="AA107" i="14" s="1"/>
  <c r="AA571" i="14"/>
  <c r="X432" i="14"/>
  <c r="Y432" i="14" s="1"/>
  <c r="Z432" i="14" s="1"/>
  <c r="AA432" i="14" s="1"/>
  <c r="Y757" i="14"/>
  <c r="Z757" i="14" s="1"/>
  <c r="AA757" i="14" s="1"/>
  <c r="W602" i="14"/>
  <c r="X602" i="14" s="1"/>
  <c r="W590" i="14"/>
  <c r="X590" i="14" s="1"/>
  <c r="Y590" i="14" s="1"/>
  <c r="Z736" i="14"/>
  <c r="AA736" i="14" s="1"/>
  <c r="Y776" i="14"/>
  <c r="Z776" i="14" s="1"/>
  <c r="AA776" i="14" s="1"/>
  <c r="V77" i="14"/>
  <c r="W77" i="14" s="1"/>
  <c r="X625" i="14"/>
  <c r="Y625" i="14" s="1"/>
  <c r="Z625" i="14" s="1"/>
  <c r="AA625" i="14" s="1"/>
  <c r="W766" i="14"/>
  <c r="X766" i="14" s="1"/>
  <c r="Y766" i="14" s="1"/>
  <c r="X115" i="14"/>
  <c r="Y115" i="14" s="1"/>
  <c r="Z115" i="14" s="1"/>
  <c r="AA115" i="14" s="1"/>
  <c r="U139" i="14"/>
  <c r="V139" i="14" s="1"/>
  <c r="Y317" i="14"/>
  <c r="Z317" i="14" s="1"/>
  <c r="AA317" i="14" s="1"/>
  <c r="X657" i="14"/>
  <c r="Y657" i="14" s="1"/>
  <c r="Z657" i="14" s="1"/>
  <c r="AA657" i="14" s="1"/>
  <c r="Z784" i="14"/>
  <c r="AA784" i="14" s="1"/>
  <c r="V370" i="14"/>
  <c r="W370" i="14" s="1"/>
  <c r="X370" i="14" s="1"/>
  <c r="Y370" i="14" s="1"/>
  <c r="W682" i="14"/>
  <c r="X682" i="14" s="1"/>
  <c r="Y682" i="14" s="1"/>
  <c r="Z682" i="14" s="1"/>
  <c r="AA682" i="14" s="1"/>
  <c r="W703" i="14"/>
  <c r="X703" i="14" s="1"/>
  <c r="Y703" i="14" s="1"/>
  <c r="U133" i="14"/>
  <c r="V133" i="14" s="1"/>
  <c r="Y521" i="14"/>
  <c r="Z521" i="14" s="1"/>
  <c r="AA521" i="14" s="1"/>
  <c r="W269" i="14"/>
  <c r="X269" i="14" s="1"/>
  <c r="X752" i="14"/>
  <c r="Y752" i="14" s="1"/>
  <c r="Z752" i="14" s="1"/>
  <c r="X51" i="14"/>
  <c r="Y51" i="14" s="1"/>
  <c r="Z51" i="14" s="1"/>
  <c r="AA51" i="14" s="1"/>
  <c r="X166" i="14"/>
  <c r="Y166" i="14" s="1"/>
  <c r="Z166" i="14" s="1"/>
  <c r="AA166" i="14" s="1"/>
  <c r="Y195" i="14"/>
  <c r="Z195" i="14" s="1"/>
  <c r="AA195" i="14" s="1"/>
  <c r="Y66" i="14"/>
  <c r="Z66" i="14" s="1"/>
  <c r="AA66" i="14" s="1"/>
  <c r="W267" i="14"/>
  <c r="X267" i="14" s="1"/>
  <c r="Y267" i="14" s="1"/>
  <c r="Z267" i="14" s="1"/>
  <c r="AA267" i="14" s="1"/>
  <c r="V278" i="14"/>
  <c r="W278" i="14" s="1"/>
  <c r="X702" i="14"/>
  <c r="Y702" i="14" s="1"/>
  <c r="Z702" i="14" s="1"/>
  <c r="AA702" i="14" s="1"/>
  <c r="Y155" i="14"/>
  <c r="Z155" i="14" s="1"/>
  <c r="AA155" i="14" s="1"/>
  <c r="U685" i="14"/>
  <c r="V685" i="14" s="1"/>
  <c r="Z326" i="14"/>
  <c r="AA326" i="14" s="1"/>
  <c r="Y485" i="14"/>
  <c r="Z485" i="14" s="1"/>
  <c r="AA485" i="14" s="1"/>
  <c r="W64" i="14"/>
  <c r="U238" i="14"/>
  <c r="V238" i="14" s="1"/>
  <c r="Z361" i="14"/>
  <c r="AA361" i="14" s="1"/>
  <c r="X401" i="14"/>
  <c r="Y401" i="14" s="1"/>
  <c r="Z401" i="14" s="1"/>
  <c r="AA401" i="14" s="1"/>
  <c r="Z729" i="14"/>
  <c r="AA729" i="14" s="1"/>
  <c r="U309" i="14"/>
  <c r="W354" i="14"/>
  <c r="X354" i="14" s="1"/>
  <c r="Y354" i="14" s="1"/>
  <c r="Z354" i="14" s="1"/>
  <c r="AA354" i="14" s="1"/>
  <c r="V615" i="14"/>
  <c r="W615" i="14" s="1"/>
  <c r="Y98" i="14"/>
  <c r="Z98" i="14" s="1"/>
  <c r="AA98" i="14" s="1"/>
  <c r="Z316" i="14"/>
  <c r="AA316" i="14" s="1"/>
  <c r="X563" i="14"/>
  <c r="V598" i="14"/>
  <c r="Y318" i="14"/>
  <c r="Z318" i="14" s="1"/>
  <c r="AA318" i="14" s="1"/>
  <c r="V517" i="14"/>
  <c r="W517" i="14" s="1"/>
  <c r="X517" i="14" s="1"/>
  <c r="Y517" i="14" s="1"/>
  <c r="Z517" i="14" s="1"/>
  <c r="AA517" i="14" s="1"/>
  <c r="U531" i="14"/>
  <c r="V531" i="14" s="1"/>
  <c r="X285" i="14"/>
  <c r="W579" i="14"/>
  <c r="X579" i="14" s="1"/>
  <c r="Y579" i="14" s="1"/>
  <c r="Z579" i="14" s="1"/>
  <c r="AA579" i="14" s="1"/>
  <c r="U304" i="14"/>
  <c r="V304" i="14" s="1"/>
  <c r="W304" i="14" s="1"/>
  <c r="X304" i="14" s="1"/>
  <c r="X86" i="14"/>
  <c r="Y135" i="14"/>
  <c r="Z135" i="14" s="1"/>
  <c r="AA135" i="14" s="1"/>
  <c r="V499" i="14"/>
  <c r="X59" i="14"/>
  <c r="Y59" i="14" s="1"/>
  <c r="Z59" i="14" s="1"/>
  <c r="AA59" i="14" s="1"/>
  <c r="W21" i="14"/>
  <c r="X21" i="14" s="1"/>
  <c r="Y21" i="14" s="1"/>
  <c r="W53" i="14"/>
  <c r="X53" i="14" s="1"/>
  <c r="Y53" i="14" s="1"/>
  <c r="Z53" i="14" s="1"/>
  <c r="AA53" i="14" s="1"/>
  <c r="W184" i="14"/>
  <c r="X184" i="14" s="1"/>
  <c r="Y184" i="14" s="1"/>
  <c r="Z184" i="14" s="1"/>
  <c r="X635" i="14"/>
  <c r="Y635" i="14" s="1"/>
  <c r="X366" i="14"/>
  <c r="Y366" i="14" s="1"/>
  <c r="Z366" i="14" s="1"/>
  <c r="W233" i="14"/>
  <c r="X233" i="14" s="1"/>
  <c r="Y233" i="14" s="1"/>
  <c r="Z233" i="14" s="1"/>
  <c r="AA233" i="14" s="1"/>
  <c r="V126" i="14"/>
  <c r="Y673" i="14"/>
  <c r="Z673" i="14" s="1"/>
  <c r="AA673" i="14" s="1"/>
  <c r="X645" i="14"/>
  <c r="Y645" i="14" s="1"/>
  <c r="Z645" i="14" s="1"/>
  <c r="AA645" i="14" s="1"/>
  <c r="Y371" i="14"/>
  <c r="Z371" i="14" s="1"/>
  <c r="AA371" i="14" s="1"/>
  <c r="X232" i="14"/>
  <c r="Y232" i="14" s="1"/>
  <c r="W88" i="14"/>
  <c r="X88" i="14" s="1"/>
  <c r="Y88" i="14" s="1"/>
  <c r="Z688" i="14"/>
  <c r="AA688" i="14" s="1"/>
  <c r="Z558" i="14"/>
  <c r="AA558" i="14" s="1"/>
  <c r="Y349" i="14"/>
  <c r="Z349" i="14" s="1"/>
  <c r="AA349" i="14" s="1"/>
  <c r="V24" i="14"/>
  <c r="W24" i="14" s="1"/>
  <c r="X24" i="14" s="1"/>
  <c r="Y24" i="14" s="1"/>
  <c r="Z24" i="14" s="1"/>
  <c r="X81" i="14"/>
  <c r="Y81" i="14" s="1"/>
  <c r="Z81" i="14" s="1"/>
  <c r="AA81" i="14" s="1"/>
  <c r="Z323" i="14"/>
  <c r="AA323" i="14" s="1"/>
  <c r="X782" i="14"/>
  <c r="X219" i="14"/>
  <c r="Y219" i="14" s="1"/>
  <c r="Z219" i="14" s="1"/>
  <c r="AA219" i="14" s="1"/>
  <c r="T692" i="14"/>
  <c r="U692" i="14" s="1"/>
  <c r="Y483" i="14"/>
  <c r="Z483" i="14" s="1"/>
  <c r="AA483" i="14" s="1"/>
  <c r="Z581" i="14"/>
  <c r="AA581" i="14" s="1"/>
  <c r="Z43" i="14"/>
  <c r="AA43" i="14" s="1"/>
  <c r="U745" i="14"/>
  <c r="V745" i="14" s="1"/>
  <c r="Y554" i="14"/>
  <c r="Z554" i="14" s="1"/>
  <c r="AA554" i="14" s="1"/>
  <c r="X655" i="14"/>
  <c r="Y655" i="14" s="1"/>
  <c r="Z619" i="14"/>
  <c r="AA619" i="14" s="1"/>
  <c r="X423" i="14"/>
  <c r="Y423" i="14" s="1"/>
  <c r="Z215" i="14"/>
  <c r="AA215" i="14" s="1"/>
  <c r="V772" i="14"/>
  <c r="W772" i="14" s="1"/>
  <c r="X772" i="14" s="1"/>
  <c r="Y772" i="14" s="1"/>
  <c r="Z772" i="14" s="1"/>
  <c r="AA772" i="14" s="1"/>
  <c r="U691" i="14"/>
  <c r="V691" i="14" s="1"/>
  <c r="V260" i="14"/>
  <c r="W260" i="14" s="1"/>
  <c r="X260" i="14" s="1"/>
  <c r="Y260" i="14" s="1"/>
  <c r="Z260" i="14" s="1"/>
  <c r="AA260" i="14" s="1"/>
  <c r="U377" i="14"/>
  <c r="V377" i="14" s="1"/>
  <c r="W377" i="14" s="1"/>
  <c r="X377" i="14" s="1"/>
  <c r="Y377" i="14" s="1"/>
  <c r="W474" i="14"/>
  <c r="X474" i="14" s="1"/>
  <c r="Y474" i="14" s="1"/>
  <c r="Z474" i="14" s="1"/>
  <c r="AA474" i="14" s="1"/>
  <c r="X254" i="14"/>
  <c r="Y254" i="14" s="1"/>
  <c r="Z254" i="14" s="1"/>
  <c r="X479" i="14"/>
  <c r="Y479" i="14" s="1"/>
  <c r="Z479" i="14" s="1"/>
  <c r="AA479" i="14" s="1"/>
  <c r="Z120" i="14"/>
  <c r="AA120" i="14" s="1"/>
  <c r="Y487" i="14"/>
  <c r="Z487" i="14" s="1"/>
  <c r="AA487" i="14" s="1"/>
  <c r="V651" i="14"/>
  <c r="W651" i="14" s="1"/>
  <c r="X651" i="14" s="1"/>
  <c r="Y651" i="14" s="1"/>
  <c r="Z651" i="14" s="1"/>
  <c r="AA651" i="14" s="1"/>
  <c r="Z348" i="14"/>
  <c r="AA348" i="14" s="1"/>
  <c r="X261" i="14"/>
  <c r="Y261" i="14" s="1"/>
  <c r="Z261" i="14" s="1"/>
  <c r="AA261" i="14" s="1"/>
  <c r="V262" i="14"/>
  <c r="V547" i="14"/>
  <c r="W547" i="14" s="1"/>
  <c r="X547" i="14" s="1"/>
  <c r="X23" i="14"/>
  <c r="W506" i="14"/>
  <c r="X506" i="14" s="1"/>
  <c r="Y506" i="14" s="1"/>
  <c r="U319" i="14"/>
  <c r="V319" i="14" s="1"/>
  <c r="W695" i="14"/>
  <c r="Y578" i="14"/>
  <c r="Z578" i="14" s="1"/>
  <c r="AA578" i="14" s="1"/>
  <c r="X392" i="14"/>
  <c r="Y392" i="14" s="1"/>
  <c r="X718" i="14"/>
  <c r="Y718" i="14" s="1"/>
  <c r="U362" i="14"/>
  <c r="AA37" i="14"/>
  <c r="V455" i="14"/>
  <c r="W455" i="14" s="1"/>
  <c r="Z109" i="14"/>
  <c r="Y224" i="14"/>
  <c r="Z224" i="14" s="1"/>
  <c r="X175" i="14"/>
  <c r="Y175" i="14" s="1"/>
  <c r="Z175" i="14" s="1"/>
  <c r="AA175" i="14" s="1"/>
  <c r="Z221" i="14"/>
  <c r="AA221" i="14" s="1"/>
  <c r="Z151" i="14"/>
  <c r="AA151" i="14" s="1"/>
  <c r="W640" i="14"/>
  <c r="X640" i="14" s="1"/>
  <c r="U257" i="14"/>
  <c r="V257" i="14" s="1"/>
  <c r="W257" i="14" s="1"/>
  <c r="X257" i="14" s="1"/>
  <c r="Y257" i="14" s="1"/>
  <c r="Z257" i="14" s="1"/>
  <c r="AA257" i="14" s="1"/>
  <c r="X660" i="14"/>
  <c r="Y660" i="14" s="1"/>
  <c r="Z660" i="14" s="1"/>
  <c r="AA660" i="14" s="1"/>
  <c r="V680" i="14"/>
  <c r="W680" i="14" s="1"/>
  <c r="X680" i="14" s="1"/>
  <c r="Y680" i="14" s="1"/>
  <c r="W302" i="14"/>
  <c r="X302" i="14" s="1"/>
  <c r="Y302" i="14" s="1"/>
  <c r="Z302" i="14" s="1"/>
  <c r="V20" i="14"/>
  <c r="V503" i="14"/>
  <c r="W503" i="14" s="1"/>
  <c r="X503" i="14" s="1"/>
  <c r="Y503" i="14" s="1"/>
  <c r="Z503" i="14" s="1"/>
  <c r="AA503" i="14" s="1"/>
  <c r="U307" i="14"/>
  <c r="V307" i="14" s="1"/>
  <c r="W307" i="14" s="1"/>
  <c r="X307" i="14" s="1"/>
  <c r="Y307" i="14" s="1"/>
  <c r="Z307" i="14" s="1"/>
  <c r="AA307" i="14" s="1"/>
  <c r="W416" i="14"/>
  <c r="X416" i="14" s="1"/>
  <c r="Y416" i="14" s="1"/>
  <c r="Z416" i="14" s="1"/>
  <c r="AA416" i="14" s="1"/>
  <c r="U726" i="14"/>
  <c r="V726" i="14" s="1"/>
  <c r="W726" i="14" s="1"/>
  <c r="X340" i="14"/>
  <c r="Y340" i="14" s="1"/>
  <c r="Z340" i="14" s="1"/>
  <c r="V462" i="14"/>
  <c r="W462" i="14" s="1"/>
  <c r="X462" i="14" s="1"/>
  <c r="Y462" i="14" s="1"/>
  <c r="W697" i="14"/>
  <c r="X697" i="14" s="1"/>
  <c r="Y697" i="14" s="1"/>
  <c r="Z697" i="14" s="1"/>
  <c r="AA697" i="14" s="1"/>
  <c r="U395" i="14"/>
  <c r="V395" i="14" s="1"/>
  <c r="W395" i="14" s="1"/>
  <c r="X395" i="14" s="1"/>
  <c r="Y395" i="14" s="1"/>
  <c r="Z395" i="14" s="1"/>
  <c r="AA395" i="14" s="1"/>
  <c r="U484" i="14"/>
  <c r="V484" i="14" s="1"/>
  <c r="W484" i="14" s="1"/>
  <c r="X484" i="14" s="1"/>
  <c r="Y484" i="14" s="1"/>
  <c r="Z484" i="14" s="1"/>
  <c r="AA484" i="14" s="1"/>
  <c r="Y627" i="14"/>
  <c r="Z627" i="14" s="1"/>
  <c r="AA627" i="14" s="1"/>
  <c r="U560" i="14"/>
  <c r="V560" i="14" s="1"/>
  <c r="W560" i="14" s="1"/>
  <c r="X560" i="14" s="1"/>
  <c r="Y560" i="14" s="1"/>
  <c r="Z560" i="14" s="1"/>
  <c r="AA560" i="14" s="1"/>
  <c r="AA45" i="14"/>
  <c r="V566" i="14"/>
  <c r="W566" i="14" s="1"/>
  <c r="X566" i="14" s="1"/>
  <c r="Y566" i="14" s="1"/>
  <c r="Z566" i="14" s="1"/>
  <c r="AA566" i="14" s="1"/>
  <c r="T714" i="14"/>
  <c r="U714" i="14" s="1"/>
  <c r="V714" i="14" s="1"/>
  <c r="W714" i="14" s="1"/>
  <c r="X714" i="14" s="1"/>
  <c r="Y714" i="14" s="1"/>
  <c r="Z714" i="14" s="1"/>
  <c r="AA714" i="14" s="1"/>
  <c r="X458" i="14"/>
  <c r="Y458" i="14" s="1"/>
  <c r="Z458" i="14" s="1"/>
  <c r="Z570" i="14"/>
  <c r="AA570" i="14" s="1"/>
  <c r="W80" i="14"/>
  <c r="X80" i="14" s="1"/>
  <c r="Y80" i="14" s="1"/>
  <c r="Z80" i="14" s="1"/>
  <c r="U486" i="14"/>
  <c r="Y538" i="14"/>
  <c r="Z538" i="14" s="1"/>
  <c r="AA538" i="14" s="1"/>
  <c r="Z204" i="14"/>
  <c r="AA204" i="14" s="1"/>
  <c r="T739" i="14"/>
  <c r="U739" i="14" s="1"/>
  <c r="Y310" i="14"/>
  <c r="Y589" i="14"/>
  <c r="Z589" i="14" s="1"/>
  <c r="AA589" i="14" s="1"/>
  <c r="AA623" i="14"/>
  <c r="X763" i="14"/>
  <c r="Y763" i="14" s="1"/>
  <c r="Z763" i="14" s="1"/>
  <c r="AA763" i="14" s="1"/>
  <c r="Z397" i="14"/>
  <c r="AA397" i="14" s="1"/>
  <c r="AA291" i="14"/>
  <c r="Y683" i="14"/>
  <c r="Z683" i="14" s="1"/>
  <c r="AA683" i="14" s="1"/>
  <c r="V110" i="14"/>
  <c r="V343" i="14"/>
  <c r="W343" i="14" s="1"/>
  <c r="X343" i="14" s="1"/>
  <c r="Y343" i="14" s="1"/>
  <c r="Z343" i="14" s="1"/>
  <c r="AA343" i="14" s="1"/>
  <c r="V97" i="14"/>
  <c r="W97" i="14" s="1"/>
  <c r="X97" i="14" s="1"/>
  <c r="Y97" i="14" s="1"/>
  <c r="Z97" i="14" s="1"/>
  <c r="AA97" i="14" s="1"/>
  <c r="W575" i="14"/>
  <c r="X575" i="14" s="1"/>
  <c r="Y575" i="14" s="1"/>
  <c r="Z575" i="14" s="1"/>
  <c r="AA575" i="14" s="1"/>
  <c r="U125" i="14"/>
  <c r="V125" i="14" s="1"/>
  <c r="T783" i="14"/>
  <c r="W178" i="14"/>
  <c r="X178" i="14" s="1"/>
  <c r="Y178" i="14" s="1"/>
  <c r="Z178" i="14" s="1"/>
  <c r="AA178" i="14" s="1"/>
  <c r="W236" i="14"/>
  <c r="X236" i="14" s="1"/>
  <c r="Y236" i="14" s="1"/>
  <c r="Z236" i="14" s="1"/>
  <c r="AA236" i="14" s="1"/>
  <c r="T192" i="14"/>
  <c r="U192" i="14" s="1"/>
  <c r="V192" i="14" s="1"/>
  <c r="W192" i="14" s="1"/>
  <c r="AA105" i="14"/>
  <c r="V501" i="14"/>
  <c r="W501" i="14" s="1"/>
  <c r="X333" i="14"/>
  <c r="Y333" i="14" s="1"/>
  <c r="V56" i="14"/>
  <c r="W56" i="14" s="1"/>
  <c r="X56" i="14" s="1"/>
  <c r="Y56" i="14" s="1"/>
  <c r="W735" i="14"/>
  <c r="X735" i="14" s="1"/>
  <c r="Y735" i="14" s="1"/>
  <c r="Z735" i="14" s="1"/>
  <c r="Y753" i="14"/>
  <c r="Z753" i="14" s="1"/>
  <c r="T274" i="14"/>
  <c r="U274" i="14" s="1"/>
  <c r="V274" i="14" s="1"/>
  <c r="Y775" i="14"/>
  <c r="Z775" i="14" s="1"/>
  <c r="AA775" i="14" s="1"/>
  <c r="X713" i="14"/>
  <c r="Y713" i="14" s="1"/>
  <c r="Z713" i="14" s="1"/>
  <c r="AA713" i="14" s="1"/>
  <c r="AA407" i="14"/>
  <c r="U335" i="14"/>
  <c r="U420" i="14"/>
  <c r="V420" i="14" s="1"/>
  <c r="W420" i="14" s="1"/>
  <c r="X420" i="14" s="1"/>
  <c r="Y420" i="14" s="1"/>
  <c r="Z420" i="14" s="1"/>
  <c r="AA420" i="14" s="1"/>
  <c r="T505" i="14"/>
  <c r="U505" i="14" s="1"/>
  <c r="AA358" i="14"/>
  <c r="Y52" i="14"/>
  <c r="W378" i="14"/>
  <c r="X378" i="14" s="1"/>
  <c r="Y378" i="14" s="1"/>
  <c r="Z378" i="14" s="1"/>
  <c r="AA378" i="14" s="1"/>
  <c r="T311" i="14"/>
  <c r="V13" i="14"/>
  <c r="W19" i="14"/>
  <c r="T172" i="14"/>
  <c r="V497" i="14"/>
  <c r="W497" i="14" s="1"/>
  <c r="X497" i="14" s="1"/>
  <c r="Y497" i="14" s="1"/>
  <c r="Z497" i="14" s="1"/>
  <c r="AA497" i="14" s="1"/>
  <c r="Z259" i="14"/>
  <c r="AA259" i="14" s="1"/>
  <c r="T85" i="14"/>
  <c r="U85" i="14" s="1"/>
  <c r="V544" i="14"/>
  <c r="W544" i="14" s="1"/>
  <c r="X544" i="14" s="1"/>
  <c r="Y544" i="14" s="1"/>
  <c r="Z544" i="14" s="1"/>
  <c r="AA544" i="14" s="1"/>
  <c r="W249" i="14"/>
  <c r="X249" i="14" s="1"/>
  <c r="Y433" i="14"/>
  <c r="Z433" i="14" s="1"/>
  <c r="T403" i="14"/>
  <c r="U403" i="14" s="1"/>
  <c r="AA447" i="14"/>
  <c r="X465" i="14"/>
  <c r="Y465" i="14" s="1"/>
  <c r="V149" i="14"/>
  <c r="W149" i="14" s="1"/>
  <c r="X149" i="14" s="1"/>
  <c r="Y149" i="14" s="1"/>
  <c r="Z149" i="14" s="1"/>
  <c r="AA149" i="14" s="1"/>
  <c r="AA387" i="14"/>
  <c r="X607" i="14"/>
  <c r="Y607" i="14" s="1"/>
  <c r="T239" i="14"/>
  <c r="U239" i="14" s="1"/>
  <c r="Z593" i="14"/>
  <c r="AA593" i="14" s="1"/>
  <c r="W198" i="14"/>
  <c r="X198" i="14" s="1"/>
  <c r="Y198" i="14" s="1"/>
  <c r="Z198" i="14" s="1"/>
  <c r="AA198" i="14" s="1"/>
  <c r="T67" i="14"/>
  <c r="T514" i="14"/>
  <c r="U514" i="14" s="1"/>
  <c r="Z687" i="14"/>
  <c r="AA687" i="14" s="1"/>
  <c r="Z298" i="14"/>
  <c r="AA298" i="14" s="1"/>
  <c r="V36" i="14"/>
  <c r="W36" i="14" s="1"/>
  <c r="X675" i="14"/>
  <c r="Y675" i="14" s="1"/>
  <c r="Z675" i="14" s="1"/>
  <c r="AA675" i="14" s="1"/>
  <c r="Y116" i="14"/>
  <c r="Z116" i="14" s="1"/>
  <c r="T701" i="14"/>
  <c r="U701" i="14" s="1"/>
  <c r="V701" i="14" s="1"/>
  <c r="W701" i="14" s="1"/>
  <c r="X701" i="14" s="1"/>
  <c r="Y701" i="14" s="1"/>
  <c r="U498" i="14"/>
  <c r="X421" i="14"/>
  <c r="Y421" i="14" s="1"/>
  <c r="Z421" i="14" s="1"/>
  <c r="W128" i="14"/>
  <c r="X128" i="14" s="1"/>
  <c r="Y54" i="14"/>
  <c r="Z54" i="14" s="1"/>
  <c r="Z717" i="14"/>
  <c r="AA717" i="14" s="1"/>
  <c r="T654" i="14"/>
  <c r="U654" i="14" s="1"/>
  <c r="W50" i="14"/>
  <c r="X50" i="14" s="1"/>
  <c r="Y50" i="14" s="1"/>
  <c r="Z50" i="14" s="1"/>
  <c r="AA50" i="14" s="1"/>
  <c r="Y334" i="14"/>
  <c r="Z334" i="14" s="1"/>
  <c r="AA334" i="14" s="1"/>
  <c r="Z222" i="14"/>
  <c r="AA222" i="14" s="1"/>
  <c r="T375" i="14"/>
  <c r="U25" i="14"/>
  <c r="W263" i="14"/>
  <c r="X263" i="14" s="1"/>
  <c r="Y263" i="14" s="1"/>
  <c r="V569" i="14"/>
  <c r="Y515" i="14"/>
  <c r="Z515" i="14" s="1"/>
  <c r="AA515" i="14" s="1"/>
  <c r="U191" i="14"/>
  <c r="V191" i="14" s="1"/>
  <c r="X539" i="14"/>
  <c r="Y539" i="14" s="1"/>
  <c r="Z539" i="14" s="1"/>
  <c r="AA539" i="14" s="1"/>
  <c r="W3" i="14"/>
  <c r="T292" i="14"/>
  <c r="V55" i="14"/>
  <c r="AA606" i="14"/>
  <c r="V350" i="14"/>
  <c r="W350" i="14" s="1"/>
  <c r="X350" i="14" s="1"/>
  <c r="U2" i="14"/>
  <c r="V2" i="14" s="1"/>
  <c r="X788" i="14"/>
  <c r="Y788" i="14" s="1"/>
  <c r="Z788" i="14" s="1"/>
  <c r="AA788" i="14" s="1"/>
  <c r="U101" i="14"/>
  <c r="V101" i="14" s="1"/>
  <c r="W101" i="14" s="1"/>
  <c r="X457" i="14"/>
  <c r="Y457" i="14" s="1"/>
  <c r="Z457" i="14" s="1"/>
  <c r="AA457" i="14" s="1"/>
  <c r="T30" i="14"/>
  <c r="U308" i="14"/>
  <c r="V308" i="14" s="1"/>
  <c r="W308" i="14" s="1"/>
  <c r="X308" i="14" s="1"/>
  <c r="Y308" i="14" s="1"/>
  <c r="Z308" i="14" s="1"/>
  <c r="AA308" i="14" s="1"/>
  <c r="U144" i="14"/>
  <c r="V144" i="14" s="1"/>
  <c r="W144" i="14" s="1"/>
  <c r="X144" i="14" s="1"/>
  <c r="Y144" i="14" s="1"/>
  <c r="X525" i="14"/>
  <c r="Y525" i="14" s="1"/>
  <c r="Z525" i="14" s="1"/>
  <c r="W381" i="14"/>
  <c r="X381" i="14" s="1"/>
  <c r="Y381" i="14" s="1"/>
  <c r="X493" i="14"/>
  <c r="Y493" i="14" s="1"/>
  <c r="Z493" i="14" s="1"/>
  <c r="AA493" i="14" s="1"/>
  <c r="V591" i="14"/>
  <c r="W591" i="14" s="1"/>
  <c r="X591" i="14" s="1"/>
  <c r="Y591" i="14" s="1"/>
  <c r="Z591" i="14" s="1"/>
  <c r="AA591" i="14" s="1"/>
  <c r="Y117" i="14"/>
  <c r="Z117" i="14" s="1"/>
  <c r="AA117" i="14" s="1"/>
  <c r="U345" i="14"/>
  <c r="X537" i="14"/>
  <c r="Y537" i="14" s="1"/>
  <c r="Z537" i="14" s="1"/>
  <c r="AA537" i="14" s="1"/>
  <c r="W34" i="14"/>
  <c r="W287" i="14"/>
  <c r="X287" i="14" s="1"/>
  <c r="Y287" i="14" s="1"/>
  <c r="Z287" i="14" s="1"/>
  <c r="AA287" i="14" s="1"/>
  <c r="T83" i="14"/>
  <c r="U83" i="14" s="1"/>
  <c r="W689" i="14"/>
  <c r="X689" i="14" s="1"/>
  <c r="Y689" i="14" s="1"/>
  <c r="Z689" i="14" s="1"/>
  <c r="AA689" i="14" s="1"/>
  <c r="V658" i="14"/>
  <c r="W658" i="14" s="1"/>
  <c r="X658" i="14" s="1"/>
  <c r="Y658" i="14" s="1"/>
  <c r="Z658" i="14" s="1"/>
  <c r="AA658" i="14" s="1"/>
  <c r="W137" i="14"/>
  <c r="X137" i="14" s="1"/>
  <c r="U14" i="14"/>
  <c r="V535" i="14"/>
  <c r="W535" i="14" s="1"/>
  <c r="X535" i="14" s="1"/>
  <c r="Y535" i="14" s="1"/>
  <c r="Z535" i="14" s="1"/>
  <c r="AA535" i="14" s="1"/>
  <c r="X494" i="14"/>
  <c r="Y494" i="14" s="1"/>
  <c r="Z494" i="14" s="1"/>
  <c r="V678" i="14"/>
  <c r="W678" i="14" s="1"/>
  <c r="X678" i="14" s="1"/>
  <c r="Y678" i="14" s="1"/>
  <c r="Z678" i="14" s="1"/>
  <c r="Y725" i="14"/>
  <c r="Z725" i="14" s="1"/>
  <c r="AA725" i="14" s="1"/>
  <c r="T22" i="14"/>
  <c r="W163" i="14"/>
  <c r="X163" i="14" s="1"/>
  <c r="U749" i="14"/>
  <c r="V749" i="14" s="1"/>
  <c r="W749" i="14" s="1"/>
  <c r="X749" i="14" s="1"/>
  <c r="Y749" i="14" s="1"/>
  <c r="W543" i="14"/>
  <c r="X543" i="14" s="1"/>
  <c r="Y543" i="14" s="1"/>
  <c r="Z543" i="14" s="1"/>
  <c r="AA543" i="14" s="1"/>
  <c r="Z99" i="14"/>
  <c r="AA99" i="14" s="1"/>
  <c r="Y741" i="14"/>
  <c r="Z741" i="14" s="1"/>
  <c r="AA741" i="14" s="1"/>
  <c r="W203" i="14"/>
  <c r="X203" i="14" s="1"/>
  <c r="Y203" i="14" s="1"/>
  <c r="Z203" i="14" s="1"/>
  <c r="AA203" i="14" s="1"/>
  <c r="U347" i="14"/>
  <c r="V347" i="14" s="1"/>
  <c r="W347" i="14" s="1"/>
  <c r="X347" i="14" s="1"/>
  <c r="Y347" i="14" s="1"/>
  <c r="Z347" i="14" s="1"/>
  <c r="AA347" i="14" s="1"/>
  <c r="X659" i="14"/>
  <c r="Y659" i="14" s="1"/>
  <c r="Z659" i="14" s="1"/>
  <c r="AA659" i="14" s="1"/>
  <c r="V119" i="14"/>
  <c r="W119" i="14" s="1"/>
  <c r="W32" i="14"/>
  <c r="X32" i="14" s="1"/>
  <c r="X143" i="14"/>
  <c r="Y143" i="14" s="1"/>
  <c r="Z143" i="14" s="1"/>
  <c r="AA143" i="14" s="1"/>
  <c r="V186" i="14"/>
  <c r="W603" i="14"/>
  <c r="X603" i="14" s="1"/>
  <c r="Y603" i="14" s="1"/>
  <c r="U667" i="14"/>
  <c r="V667" i="14" s="1"/>
  <c r="W414" i="14"/>
  <c r="X414" i="14" s="1"/>
  <c r="Y414" i="14" s="1"/>
  <c r="Z414" i="14" s="1"/>
  <c r="AA414" i="14" s="1"/>
  <c r="Z536" i="14"/>
  <c r="AA536" i="14" s="1"/>
  <c r="V194" i="14"/>
  <c r="W194" i="14" s="1"/>
  <c r="T141" i="14"/>
  <c r="W7" i="14"/>
  <c r="Y730" i="14"/>
  <c r="Z730" i="14" s="1"/>
  <c r="X471" i="14"/>
  <c r="Y471" i="14" s="1"/>
  <c r="Z471" i="14" s="1"/>
  <c r="AA471" i="14" s="1"/>
  <c r="U295" i="14"/>
  <c r="V295" i="14" s="1"/>
  <c r="W295" i="14" s="1"/>
  <c r="AA451" i="14"/>
  <c r="T201" i="14"/>
  <c r="U201" i="14" s="1"/>
  <c r="V201" i="14" s="1"/>
  <c r="W201" i="14" s="1"/>
  <c r="X201" i="14" s="1"/>
  <c r="Y201" i="14" s="1"/>
  <c r="Z201" i="14" s="1"/>
  <c r="AA201" i="14" s="1"/>
  <c r="W565" i="14"/>
  <c r="X565" i="14" s="1"/>
  <c r="Y565" i="14" s="1"/>
  <c r="Z565" i="14" s="1"/>
  <c r="AA565" i="14" s="1"/>
  <c r="Y422" i="14"/>
  <c r="Z422" i="14" s="1"/>
  <c r="AA671" i="14"/>
  <c r="W507" i="14"/>
  <c r="X507" i="14" s="1"/>
  <c r="Y507" i="14" s="1"/>
  <c r="Z507" i="14" s="1"/>
  <c r="AA507" i="14" s="1"/>
  <c r="U456" i="14"/>
  <c r="V456" i="14" s="1"/>
  <c r="W456" i="14" s="1"/>
  <c r="X456" i="14" s="1"/>
  <c r="Y456" i="14" s="1"/>
  <c r="Z456" i="14" s="1"/>
  <c r="AA456" i="14" s="1"/>
  <c r="U759" i="14"/>
  <c r="V759" i="14" s="1"/>
  <c r="X519" i="14"/>
  <c r="Y519" i="14" s="1"/>
  <c r="Z519" i="14" s="1"/>
  <c r="AA519" i="14" s="1"/>
  <c r="U271" i="14"/>
  <c r="V271" i="14" s="1"/>
  <c r="W271" i="14" s="1"/>
  <c r="X271" i="14" s="1"/>
  <c r="Y271" i="14" s="1"/>
  <c r="Z271" i="14" s="1"/>
  <c r="AA271" i="14" s="1"/>
  <c r="X60" i="14"/>
  <c r="V188" i="14"/>
  <c r="W188" i="14" s="1"/>
  <c r="X188" i="14" s="1"/>
  <c r="Y188" i="14" s="1"/>
  <c r="Z188" i="14" s="1"/>
  <c r="AA188" i="14" s="1"/>
  <c r="Z363" i="14"/>
  <c r="AA363" i="14" s="1"/>
  <c r="X620" i="14"/>
  <c r="Y620" i="14" s="1"/>
  <c r="Z620" i="14" s="1"/>
  <c r="AA620" i="14" s="1"/>
  <c r="W258" i="14"/>
  <c r="X258" i="14" s="1"/>
  <c r="Y258" i="14" s="1"/>
  <c r="Z258" i="14" s="1"/>
  <c r="AA258" i="14" s="1"/>
  <c r="AA430" i="14"/>
  <c r="Z213" i="14"/>
  <c r="AA213" i="14" s="1"/>
  <c r="Z383" i="14"/>
  <c r="AA383" i="14" s="1"/>
  <c r="W130" i="14"/>
  <c r="X130" i="14" s="1"/>
  <c r="Y130" i="14" s="1"/>
  <c r="Z130" i="14" s="1"/>
  <c r="AA130" i="14" s="1"/>
  <c r="W778" i="14"/>
  <c r="V586" i="14"/>
  <c r="U448" i="14"/>
  <c r="Z16" i="14"/>
  <c r="AA16" i="14" s="1"/>
  <c r="T180" i="14"/>
  <c r="W15" i="14"/>
  <c r="Z734" i="14"/>
  <c r="AA734" i="14" s="1"/>
  <c r="X584" i="14"/>
  <c r="Y584" i="14" s="1"/>
  <c r="Z584" i="14" s="1"/>
  <c r="AA584" i="14" s="1"/>
  <c r="U542" i="14"/>
  <c r="Z284" i="14"/>
  <c r="AA284" i="14" s="1"/>
  <c r="U492" i="14"/>
  <c r="V492" i="14" s="1"/>
  <c r="W492" i="14" s="1"/>
  <c r="X492" i="14" s="1"/>
  <c r="Y492" i="14" s="1"/>
  <c r="Z492" i="14" s="1"/>
  <c r="AA492" i="14" s="1"/>
  <c r="T716" i="14"/>
  <c r="U716" i="14" s="1"/>
  <c r="V193" i="14"/>
  <c r="W193" i="14" s="1"/>
  <c r="U549" i="14"/>
  <c r="V549" i="14" s="1"/>
  <c r="W549" i="14" s="1"/>
  <c r="X549" i="14" s="1"/>
  <c r="Y549" i="14" s="1"/>
  <c r="Z549" i="14" s="1"/>
  <c r="AA549" i="14" s="1"/>
  <c r="V746" i="14"/>
  <c r="W746" i="14" s="1"/>
  <c r="X746" i="14" s="1"/>
  <c r="Y746" i="14" s="1"/>
  <c r="Z746" i="14" s="1"/>
  <c r="AA746" i="14" s="1"/>
  <c r="AA356" i="14"/>
  <c r="W337" i="14"/>
  <c r="X337" i="14" s="1"/>
  <c r="V35" i="14"/>
  <c r="U108" i="14"/>
  <c r="T100" i="14"/>
  <c r="X374" i="14"/>
  <c r="Y374" i="14" s="1"/>
  <c r="Z374" i="14" s="1"/>
  <c r="X540" i="14"/>
  <c r="Y739" i="11"/>
  <c r="Z739" i="11" s="1"/>
  <c r="AA739" i="11" s="1"/>
  <c r="AA538" i="11"/>
  <c r="V65" i="11"/>
  <c r="W65" i="11" s="1"/>
  <c r="X65" i="11" s="1"/>
  <c r="Y65" i="11" s="1"/>
  <c r="Z65" i="11" s="1"/>
  <c r="AA65" i="11" s="1"/>
  <c r="X215" i="11"/>
  <c r="Y215" i="11" s="1"/>
  <c r="Z215" i="11" s="1"/>
  <c r="X101" i="11"/>
  <c r="Y101" i="11" s="1"/>
  <c r="Z101" i="11" s="1"/>
  <c r="AA101" i="11" s="1"/>
  <c r="X79" i="11"/>
  <c r="Y79" i="11" s="1"/>
  <c r="Z79" i="11" s="1"/>
  <c r="AA79" i="11" s="1"/>
  <c r="Y299" i="11"/>
  <c r="Z299" i="11" s="1"/>
  <c r="AA299" i="11" s="1"/>
  <c r="Y560" i="11"/>
  <c r="Z560" i="11" s="1"/>
  <c r="AA560" i="11" s="1"/>
  <c r="Y496" i="11"/>
  <c r="Z496" i="11" s="1"/>
  <c r="AA496" i="11" s="1"/>
  <c r="AA112" i="11"/>
  <c r="Y217" i="11"/>
  <c r="Z217" i="11" s="1"/>
  <c r="AA217" i="11" s="1"/>
  <c r="X713" i="11"/>
  <c r="Y713" i="11" s="1"/>
  <c r="Z713" i="11" s="1"/>
  <c r="AA713" i="11" s="1"/>
  <c r="W623" i="11"/>
  <c r="X623" i="11" s="1"/>
  <c r="X668" i="11"/>
  <c r="Y668" i="11" s="1"/>
  <c r="Z668" i="11" s="1"/>
  <c r="AA668" i="11" s="1"/>
  <c r="X434" i="11"/>
  <c r="Y434" i="11" s="1"/>
  <c r="AA279" i="11"/>
  <c r="X586" i="11"/>
  <c r="Y586" i="11" s="1"/>
  <c r="Z586" i="11" s="1"/>
  <c r="AA586" i="11" s="1"/>
  <c r="X406" i="11"/>
  <c r="Y406" i="11" s="1"/>
  <c r="Z406" i="11" s="1"/>
  <c r="AA406" i="11" s="1"/>
  <c r="Y135" i="11"/>
  <c r="Z135" i="11" s="1"/>
  <c r="AA135" i="11" s="1"/>
  <c r="X280" i="11"/>
  <c r="Y280" i="11" s="1"/>
  <c r="Z280" i="11" s="1"/>
  <c r="AA280" i="11" s="1"/>
  <c r="W480" i="11"/>
  <c r="X480" i="11" s="1"/>
  <c r="Y480" i="11" s="1"/>
  <c r="Z480" i="11" s="1"/>
  <c r="AA480" i="11" s="1"/>
  <c r="V661" i="11"/>
  <c r="W661" i="11" s="1"/>
  <c r="X661" i="11" s="1"/>
  <c r="Y661" i="11" s="1"/>
  <c r="Z661" i="11" s="1"/>
  <c r="AA661" i="11" s="1"/>
  <c r="X528" i="11"/>
  <c r="Y528" i="11" s="1"/>
  <c r="Z528" i="11" s="1"/>
  <c r="AA528" i="11" s="1"/>
  <c r="X174" i="11"/>
  <c r="Y417" i="11"/>
  <c r="Z417" i="11" s="1"/>
  <c r="W742" i="11"/>
  <c r="X742" i="11" s="1"/>
  <c r="Y742" i="11" s="1"/>
  <c r="Z742" i="11" s="1"/>
  <c r="AA742" i="11" s="1"/>
  <c r="X296" i="11"/>
  <c r="W271" i="11"/>
  <c r="X271" i="11" s="1"/>
  <c r="Y271" i="11" s="1"/>
  <c r="W658" i="11"/>
  <c r="X658" i="11" s="1"/>
  <c r="AA685" i="11"/>
  <c r="Z254" i="11"/>
  <c r="AA254" i="11" s="1"/>
  <c r="W108" i="11"/>
  <c r="X108" i="11" s="1"/>
  <c r="Y108" i="11" s="1"/>
  <c r="X711" i="11"/>
  <c r="Y711" i="11" s="1"/>
  <c r="Z711" i="11" s="1"/>
  <c r="AA711" i="11" s="1"/>
  <c r="V562" i="11"/>
  <c r="W562" i="11" s="1"/>
  <c r="X562" i="11" s="1"/>
  <c r="Y562" i="11" s="1"/>
  <c r="X170" i="11"/>
  <c r="Y170" i="11" s="1"/>
  <c r="Z170" i="11" s="1"/>
  <c r="AA170" i="11" s="1"/>
  <c r="V158" i="11"/>
  <c r="W158" i="11" s="1"/>
  <c r="X328" i="11"/>
  <c r="Y328" i="11" s="1"/>
  <c r="Z328" i="11" s="1"/>
  <c r="AA328" i="11" s="1"/>
  <c r="Y229" i="11"/>
  <c r="Z229" i="11" s="1"/>
  <c r="AA229" i="11" s="1"/>
  <c r="W332" i="11"/>
  <c r="X332" i="11" s="1"/>
  <c r="Y332" i="11" s="1"/>
  <c r="Z332" i="11" s="1"/>
  <c r="AA332" i="11" s="1"/>
  <c r="V373" i="11"/>
  <c r="W373" i="11" s="1"/>
  <c r="X373" i="11" s="1"/>
  <c r="Y373" i="11" s="1"/>
  <c r="Z373" i="11" s="1"/>
  <c r="AA373" i="11" s="1"/>
  <c r="X749" i="11"/>
  <c r="Y749" i="11" s="1"/>
  <c r="Z749" i="11" s="1"/>
  <c r="AA749" i="11" s="1"/>
  <c r="Y93" i="11"/>
  <c r="Z93" i="11" s="1"/>
  <c r="AA93" i="11" s="1"/>
  <c r="X398" i="11"/>
  <c r="Y398" i="11" s="1"/>
  <c r="Z398" i="11" s="1"/>
  <c r="AA398" i="11" s="1"/>
  <c r="Z671" i="11"/>
  <c r="AA671" i="11" s="1"/>
  <c r="W222" i="11"/>
  <c r="X222" i="11" s="1"/>
  <c r="Y222" i="11" s="1"/>
  <c r="Z222" i="11" s="1"/>
  <c r="AA222" i="11" s="1"/>
  <c r="AA359" i="11"/>
  <c r="X469" i="11"/>
  <c r="X663" i="11"/>
  <c r="Y663" i="11" s="1"/>
  <c r="Z663" i="11" s="1"/>
  <c r="AA663" i="11" s="1"/>
  <c r="Y440" i="11"/>
  <c r="Z440" i="11" s="1"/>
  <c r="AA440" i="11" s="1"/>
  <c r="X363" i="11"/>
  <c r="Y363" i="11" s="1"/>
  <c r="Z363" i="11" s="1"/>
  <c r="AA363" i="11" s="1"/>
  <c r="U677" i="11"/>
  <c r="V677" i="11" s="1"/>
  <c r="W677" i="11" s="1"/>
  <c r="X146" i="11"/>
  <c r="X718" i="11"/>
  <c r="Y718" i="11" s="1"/>
  <c r="Z718" i="11" s="1"/>
  <c r="AA718" i="11" s="1"/>
  <c r="U455" i="11"/>
  <c r="Y568" i="11"/>
  <c r="Z568" i="11" s="1"/>
  <c r="Z160" i="11"/>
  <c r="AA160" i="11" s="1"/>
  <c r="V150" i="11"/>
  <c r="W150" i="11" s="1"/>
  <c r="V508" i="11"/>
  <c r="W508" i="11" s="1"/>
  <c r="V723" i="11"/>
  <c r="W723" i="11" s="1"/>
  <c r="AA591" i="11"/>
  <c r="Z601" i="11"/>
  <c r="AA601" i="11" s="1"/>
  <c r="W673" i="11"/>
  <c r="W539" i="11"/>
  <c r="X539" i="11" s="1"/>
  <c r="Y539" i="11" s="1"/>
  <c r="X433" i="11"/>
  <c r="Y433" i="11" s="1"/>
  <c r="Z433" i="11" s="1"/>
  <c r="AA433" i="11" s="1"/>
  <c r="W147" i="11"/>
  <c r="X147" i="11" s="1"/>
  <c r="Y147" i="11" s="1"/>
  <c r="Z147" i="11" s="1"/>
  <c r="AA147" i="11" s="1"/>
  <c r="V337" i="11"/>
  <c r="W337" i="11" s="1"/>
  <c r="X337" i="11" s="1"/>
  <c r="W390" i="11"/>
  <c r="W701" i="11"/>
  <c r="AA80" i="11"/>
  <c r="W754" i="11"/>
  <c r="X754" i="11" s="1"/>
  <c r="Y754" i="11" s="1"/>
  <c r="U449" i="11"/>
  <c r="X638" i="11"/>
  <c r="Y638" i="11" s="1"/>
  <c r="Z638" i="11" s="1"/>
  <c r="AA638" i="11" s="1"/>
  <c r="V629" i="11"/>
  <c r="W629" i="11" s="1"/>
  <c r="X629" i="11" s="1"/>
  <c r="Y629" i="11" s="1"/>
  <c r="Z629" i="11" s="1"/>
  <c r="AA629" i="11" s="1"/>
  <c r="X513" i="11"/>
  <c r="Y513" i="11" s="1"/>
  <c r="Z513" i="11" s="1"/>
  <c r="AA513" i="11" s="1"/>
  <c r="X245" i="11"/>
  <c r="Y245" i="11" s="1"/>
  <c r="Z245" i="11" s="1"/>
  <c r="AA245" i="11" s="1"/>
  <c r="V435" i="11"/>
  <c r="W435" i="11" s="1"/>
  <c r="X435" i="11" s="1"/>
  <c r="Y435" i="11" s="1"/>
  <c r="Z435" i="11" s="1"/>
  <c r="AA435" i="11" s="1"/>
  <c r="W642" i="11"/>
  <c r="X642" i="11" s="1"/>
  <c r="Y642" i="11" s="1"/>
  <c r="Z642" i="11" s="1"/>
  <c r="X197" i="11"/>
  <c r="Y197" i="11" s="1"/>
  <c r="W109" i="11"/>
  <c r="X109" i="11" s="1"/>
  <c r="Y109" i="11" s="1"/>
  <c r="Z109" i="11" s="1"/>
  <c r="AA109" i="11" s="1"/>
  <c r="AA404" i="11"/>
  <c r="U128" i="11"/>
  <c r="V128" i="11" s="1"/>
  <c r="Z122" i="11"/>
  <c r="AA122" i="11" s="1"/>
  <c r="X628" i="11"/>
  <c r="Y628" i="11" s="1"/>
  <c r="Z628" i="11" s="1"/>
  <c r="AA628" i="11" s="1"/>
  <c r="Y298" i="11"/>
  <c r="Z298" i="11" s="1"/>
  <c r="AA298" i="11" s="1"/>
  <c r="W552" i="11"/>
  <c r="X552" i="11" s="1"/>
  <c r="AA505" i="11"/>
  <c r="W185" i="11"/>
  <c r="X185" i="11" s="1"/>
  <c r="X463" i="11"/>
  <c r="Y463" i="11" s="1"/>
  <c r="Z463" i="11" s="1"/>
  <c r="AA463" i="11" s="1"/>
  <c r="X76" i="11"/>
  <c r="Y76" i="11" s="1"/>
  <c r="Z76" i="11" s="1"/>
  <c r="X249" i="11"/>
  <c r="Y249" i="11" s="1"/>
  <c r="Z249" i="11" s="1"/>
  <c r="AA249" i="11" s="1"/>
  <c r="V32" i="11"/>
  <c r="W32" i="11" s="1"/>
  <c r="W561" i="11"/>
  <c r="X561" i="11" s="1"/>
  <c r="Y561" i="11" s="1"/>
  <c r="Y368" i="11"/>
  <c r="Z368" i="11" s="1"/>
  <c r="W454" i="11"/>
  <c r="X454" i="11" s="1"/>
  <c r="Y454" i="11" s="1"/>
  <c r="U732" i="11"/>
  <c r="Y134" i="11"/>
  <c r="Z134" i="11" s="1"/>
  <c r="AA134" i="11" s="1"/>
  <c r="Z405" i="11"/>
  <c r="AA405" i="11" s="1"/>
  <c r="X149" i="11"/>
  <c r="Y149" i="11" s="1"/>
  <c r="AA71" i="11"/>
  <c r="V164" i="11"/>
  <c r="W164" i="11" s="1"/>
  <c r="X164" i="11" s="1"/>
  <c r="Y164" i="11" s="1"/>
  <c r="Y115" i="11"/>
  <c r="Z115" i="11" s="1"/>
  <c r="AA115" i="11" s="1"/>
  <c r="Y462" i="11"/>
  <c r="Z462" i="11" s="1"/>
  <c r="AA462" i="11" s="1"/>
  <c r="Z649" i="11"/>
  <c r="AA649" i="11" s="1"/>
  <c r="V759" i="11"/>
  <c r="W759" i="11" s="1"/>
  <c r="Z452" i="11"/>
  <c r="AA452" i="11" s="1"/>
  <c r="V580" i="11"/>
  <c r="AA645" i="11"/>
  <c r="W187" i="11"/>
  <c r="X187" i="11" s="1"/>
  <c r="V436" i="11"/>
  <c r="W436" i="11" s="1"/>
  <c r="X436" i="11" s="1"/>
  <c r="V700" i="11"/>
  <c r="W700" i="11" s="1"/>
  <c r="X700" i="11" s="1"/>
  <c r="Y700" i="11" s="1"/>
  <c r="Y675" i="11"/>
  <c r="Z675" i="11" s="1"/>
  <c r="AA675" i="11" s="1"/>
  <c r="X590" i="11"/>
  <c r="Y590" i="11" s="1"/>
  <c r="Z590" i="11" s="1"/>
  <c r="V383" i="11"/>
  <c r="W383" i="11" s="1"/>
  <c r="X383" i="11" s="1"/>
  <c r="W330" i="11"/>
  <c r="X330" i="11" s="1"/>
  <c r="Y330" i="11" s="1"/>
  <c r="Z330" i="11" s="1"/>
  <c r="AA330" i="11" s="1"/>
  <c r="Z716" i="11"/>
  <c r="AA716" i="11" s="1"/>
  <c r="Y352" i="11"/>
  <c r="Z352" i="11" s="1"/>
  <c r="AA352" i="11" s="1"/>
  <c r="Z68" i="11"/>
  <c r="AA68" i="11" s="1"/>
  <c r="V412" i="11"/>
  <c r="W412" i="11" s="1"/>
  <c r="AA262" i="11"/>
  <c r="Z555" i="11"/>
  <c r="AA555" i="11" s="1"/>
  <c r="W151" i="11"/>
  <c r="X151" i="11" s="1"/>
  <c r="Y151" i="11" s="1"/>
  <c r="Z151" i="11" s="1"/>
  <c r="AA151" i="11" s="1"/>
  <c r="V342" i="11"/>
  <c r="W342" i="11" s="1"/>
  <c r="W48" i="11"/>
  <c r="X48" i="11" s="1"/>
  <c r="Y48" i="11" s="1"/>
  <c r="Z48" i="11" s="1"/>
  <c r="U729" i="11"/>
  <c r="V729" i="11" s="1"/>
  <c r="W729" i="11" s="1"/>
  <c r="X729" i="11" s="1"/>
  <c r="Y729" i="11" s="1"/>
  <c r="X178" i="11"/>
  <c r="Y178" i="11" s="1"/>
  <c r="Z178" i="11" s="1"/>
  <c r="AA178" i="11" s="1"/>
  <c r="X753" i="11"/>
  <c r="Y753" i="11" s="1"/>
  <c r="Z753" i="11" s="1"/>
  <c r="AA753" i="11" s="1"/>
  <c r="U644" i="11"/>
  <c r="Z117" i="11"/>
  <c r="AA117" i="11" s="1"/>
  <c r="Y273" i="11"/>
  <c r="Z273" i="11" s="1"/>
  <c r="AA273" i="11" s="1"/>
  <c r="W593" i="11"/>
  <c r="X593" i="11" s="1"/>
  <c r="Z294" i="11"/>
  <c r="AA294" i="11" s="1"/>
  <c r="U50" i="11"/>
  <c r="V10" i="11"/>
  <c r="W10" i="11" s="1"/>
  <c r="W686" i="11"/>
  <c r="X686" i="11" s="1"/>
  <c r="Y686" i="11" s="1"/>
  <c r="Z686" i="11" s="1"/>
  <c r="Y714" i="11"/>
  <c r="Z714" i="11" s="1"/>
  <c r="AA714" i="11" s="1"/>
  <c r="W400" i="11"/>
  <c r="X400" i="11" s="1"/>
  <c r="Y648" i="11"/>
  <c r="Z648" i="11" s="1"/>
  <c r="AA648" i="11" s="1"/>
  <c r="V64" i="11"/>
  <c r="W64" i="11" s="1"/>
  <c r="X64" i="11" s="1"/>
  <c r="Y64" i="11" s="1"/>
  <c r="Z64" i="11" s="1"/>
  <c r="AA64" i="11" s="1"/>
  <c r="Y53" i="11"/>
  <c r="Z53" i="11" s="1"/>
  <c r="AA22" i="11"/>
  <c r="U196" i="11"/>
  <c r="V196" i="11" s="1"/>
  <c r="X386" i="11"/>
  <c r="Y386" i="11" s="1"/>
  <c r="Z386" i="11" s="1"/>
  <c r="U375" i="11"/>
  <c r="V375" i="11" s="1"/>
  <c r="W375" i="11" s="1"/>
  <c r="X375" i="11" s="1"/>
  <c r="Y375" i="11" s="1"/>
  <c r="Z375" i="11" s="1"/>
  <c r="AA375" i="11" s="1"/>
  <c r="X632" i="11"/>
  <c r="Y632" i="11" s="1"/>
  <c r="Z632" i="11" s="1"/>
  <c r="AA632" i="11" s="1"/>
  <c r="V78" i="11"/>
  <c r="W78" i="11" s="1"/>
  <c r="U522" i="11"/>
  <c r="V522" i="11" s="1"/>
  <c r="W522" i="11" s="1"/>
  <c r="Y230" i="11"/>
  <c r="Z230" i="11" s="1"/>
  <c r="W636" i="11"/>
  <c r="X636" i="11" s="1"/>
  <c r="Y138" i="11"/>
  <c r="Z138" i="11" s="1"/>
  <c r="AA138" i="11" s="1"/>
  <c r="V284" i="11"/>
  <c r="W284" i="11" s="1"/>
  <c r="X284" i="11" s="1"/>
  <c r="U679" i="11"/>
  <c r="V679" i="11" s="1"/>
  <c r="W679" i="11" s="1"/>
  <c r="Y274" i="11"/>
  <c r="Z274" i="11" s="1"/>
  <c r="Z431" i="11"/>
  <c r="AA431" i="11" s="1"/>
  <c r="X4" i="11"/>
  <c r="Y4" i="11" s="1"/>
  <c r="Z4" i="11" s="1"/>
  <c r="AA4" i="11" s="1"/>
  <c r="X252" i="11"/>
  <c r="Y252" i="11" s="1"/>
  <c r="Z81" i="11"/>
  <c r="AA81" i="11" s="1"/>
  <c r="W242" i="11"/>
  <c r="W460" i="11"/>
  <c r="X460" i="11" s="1"/>
  <c r="Y460" i="11" s="1"/>
  <c r="Z460" i="11" s="1"/>
  <c r="AA460" i="11" s="1"/>
  <c r="U19" i="11"/>
  <c r="V19" i="11" s="1"/>
  <c r="W19" i="11" s="1"/>
  <c r="U554" i="11"/>
  <c r="V554" i="11" s="1"/>
  <c r="W554" i="11" s="1"/>
  <c r="X554" i="11" s="1"/>
  <c r="Y554" i="11" s="1"/>
  <c r="Z554" i="11" s="1"/>
  <c r="AA554" i="11" s="1"/>
  <c r="W482" i="11"/>
  <c r="X482" i="11" s="1"/>
  <c r="Y482" i="11" s="1"/>
  <c r="Z482" i="11" s="1"/>
  <c r="V498" i="11"/>
  <c r="W498" i="11" s="1"/>
  <c r="X498" i="11" s="1"/>
  <c r="Y498" i="11" s="1"/>
  <c r="Z498" i="11" s="1"/>
  <c r="AA498" i="11" s="1"/>
  <c r="X240" i="11"/>
  <c r="Y240" i="11" s="1"/>
  <c r="Z240" i="11" s="1"/>
  <c r="AA240" i="11" s="1"/>
  <c r="X244" i="11"/>
  <c r="X6" i="11"/>
  <c r="U394" i="11"/>
  <c r="V394" i="11" s="1"/>
  <c r="W394" i="11" s="1"/>
  <c r="T652" i="11"/>
  <c r="U478" i="11"/>
  <c r="V478" i="11" s="1"/>
  <c r="W478" i="11" s="1"/>
  <c r="X478" i="11" s="1"/>
  <c r="V715" i="11"/>
  <c r="W715" i="11" s="1"/>
  <c r="X715" i="11" s="1"/>
  <c r="Y715" i="11" s="1"/>
  <c r="Z715" i="11" s="1"/>
  <c r="AA715" i="11" s="1"/>
  <c r="Y459" i="11"/>
  <c r="Y409" i="11"/>
  <c r="Z409" i="11" s="1"/>
  <c r="AA409" i="11" s="1"/>
  <c r="Y736" i="11"/>
  <c r="Z736" i="11" s="1"/>
  <c r="AA736" i="11" s="1"/>
  <c r="V235" i="11"/>
  <c r="Y453" i="11"/>
  <c r="Z453" i="11" s="1"/>
  <c r="AA453" i="11" s="1"/>
  <c r="X529" i="11"/>
  <c r="Y529" i="11" s="1"/>
  <c r="Z529" i="11" s="1"/>
  <c r="AA529" i="11" s="1"/>
  <c r="V237" i="11"/>
  <c r="W237" i="11" s="1"/>
  <c r="X237" i="11" s="1"/>
  <c r="Y237" i="11" s="1"/>
  <c r="Z237" i="11" s="1"/>
  <c r="AA237" i="11" s="1"/>
  <c r="Z182" i="11"/>
  <c r="AA182" i="11" s="1"/>
  <c r="W445" i="11"/>
  <c r="X445" i="11" s="1"/>
  <c r="Y445" i="11" s="1"/>
  <c r="Z445" i="11" s="1"/>
  <c r="AA445" i="11" s="1"/>
  <c r="U392" i="11"/>
  <c r="V392" i="11" s="1"/>
  <c r="W392" i="11" s="1"/>
  <c r="V188" i="11"/>
  <c r="W188" i="11" s="1"/>
  <c r="V20" i="11"/>
  <c r="Z54" i="11"/>
  <c r="AA54" i="11" s="1"/>
  <c r="U510" i="11"/>
  <c r="V510" i="11" s="1"/>
  <c r="W510" i="11" s="1"/>
  <c r="U659" i="11"/>
  <c r="V659" i="11" s="1"/>
  <c r="W659" i="11" s="1"/>
  <c r="X669" i="11"/>
  <c r="Y669" i="11" s="1"/>
  <c r="Z669" i="11" s="1"/>
  <c r="AA669" i="11" s="1"/>
  <c r="T327" i="11"/>
  <c r="V550" i="11"/>
  <c r="W550" i="11" s="1"/>
  <c r="X550" i="11" s="1"/>
  <c r="Y550" i="11" s="1"/>
  <c r="AA727" i="11"/>
  <c r="U506" i="11"/>
  <c r="V506" i="11" s="1"/>
  <c r="W506" i="11" s="1"/>
  <c r="X506" i="11" s="1"/>
  <c r="Y506" i="11" s="1"/>
  <c r="Z506" i="11" s="1"/>
  <c r="AA506" i="11" s="1"/>
  <c r="V210" i="11"/>
  <c r="W210" i="11" s="1"/>
  <c r="X210" i="11" s="1"/>
  <c r="Y210" i="11" s="1"/>
  <c r="Z210" i="11" s="1"/>
  <c r="AA210" i="11" s="1"/>
  <c r="U674" i="11"/>
  <c r="V674" i="11" s="1"/>
  <c r="W674" i="11" s="1"/>
  <c r="X674" i="11" s="1"/>
  <c r="Y674" i="11" s="1"/>
  <c r="Z674" i="11" s="1"/>
  <c r="AA674" i="11" s="1"/>
  <c r="X377" i="11"/>
  <c r="Y377" i="11" s="1"/>
  <c r="U167" i="11"/>
  <c r="V300" i="11"/>
  <c r="W300" i="11" s="1"/>
  <c r="X300" i="11" s="1"/>
  <c r="Y300" i="11" s="1"/>
  <c r="Z300" i="11" s="1"/>
  <c r="AA300" i="11" s="1"/>
  <c r="V91" i="11"/>
  <c r="T165" i="11"/>
  <c r="U165" i="11" s="1"/>
  <c r="W270" i="11"/>
  <c r="X270" i="11" s="1"/>
  <c r="Y270" i="11" s="1"/>
  <c r="Z270" i="11" s="1"/>
  <c r="AA270" i="11" s="1"/>
  <c r="X47" i="11"/>
  <c r="Y47" i="11" s="1"/>
  <c r="W476" i="11"/>
  <c r="X476" i="11" s="1"/>
  <c r="Y476" i="11" s="1"/>
  <c r="Z476" i="11" s="1"/>
  <c r="V38" i="11"/>
  <c r="W38" i="11" s="1"/>
  <c r="X38" i="11" s="1"/>
  <c r="T226" i="11"/>
  <c r="U226" i="11" s="1"/>
  <c r="T424" i="11"/>
  <c r="U424" i="11" s="1"/>
  <c r="V424" i="11" s="1"/>
  <c r="AA40" i="11"/>
  <c r="Y602" i="11"/>
  <c r="Z602" i="11" s="1"/>
  <c r="AA602" i="11" s="1"/>
  <c r="X518" i="11"/>
  <c r="Y518" i="11" s="1"/>
  <c r="Z518" i="11" s="1"/>
  <c r="AA518" i="11" s="1"/>
  <c r="V662" i="11"/>
  <c r="W662" i="11" s="1"/>
  <c r="X662" i="11" s="1"/>
  <c r="Y248" i="11"/>
  <c r="Z248" i="11" s="1"/>
  <c r="X42" i="11"/>
  <c r="W2" i="11"/>
  <c r="X2" i="11" s="1"/>
  <c r="Y2" i="11" s="1"/>
  <c r="AA456" i="11"/>
  <c r="T667" i="11"/>
  <c r="U667" i="11" s="1"/>
  <c r="V667" i="11" s="1"/>
  <c r="W667" i="11" s="1"/>
  <c r="X667" i="11" s="1"/>
  <c r="Y667" i="11" s="1"/>
  <c r="Z667" i="11" s="1"/>
  <c r="AA667" i="11" s="1"/>
  <c r="W350" i="11"/>
  <c r="X350" i="11" s="1"/>
  <c r="Y350" i="11" s="1"/>
  <c r="Z350" i="11" s="1"/>
  <c r="AA350" i="11" s="1"/>
  <c r="U569" i="11"/>
  <c r="W678" i="11"/>
  <c r="X678" i="11" s="1"/>
  <c r="Y678" i="11" s="1"/>
  <c r="V680" i="11"/>
  <c r="W680" i="11" s="1"/>
  <c r="X680" i="11" s="1"/>
  <c r="W731" i="11"/>
  <c r="X731" i="11" s="1"/>
  <c r="Y731" i="11" s="1"/>
  <c r="Z731" i="11" s="1"/>
  <c r="AA731" i="11" s="1"/>
  <c r="U592" i="11"/>
  <c r="V592" i="11" s="1"/>
  <c r="U485" i="11"/>
  <c r="V485" i="11" s="1"/>
  <c r="W485" i="11" s="1"/>
  <c r="T213" i="11"/>
  <c r="Y14" i="11"/>
  <c r="Z14" i="11" s="1"/>
  <c r="AA14" i="11" s="1"/>
  <c r="Z205" i="11"/>
  <c r="AA205" i="11" s="1"/>
  <c r="X385" i="11"/>
  <c r="Y385" i="11" s="1"/>
  <c r="AA234" i="11"/>
  <c r="X429" i="11"/>
  <c r="Y429" i="11" s="1"/>
  <c r="Z429" i="11" s="1"/>
  <c r="AA429" i="11" s="1"/>
  <c r="V82" i="11"/>
  <c r="V654" i="11"/>
  <c r="W654" i="11" s="1"/>
  <c r="X654" i="11" s="1"/>
  <c r="Y654" i="11" s="1"/>
  <c r="Z654" i="11" s="1"/>
  <c r="AA654" i="11" s="1"/>
  <c r="U87" i="11"/>
  <c r="W301" i="11"/>
  <c r="X301" i="11" s="1"/>
  <c r="Y301" i="11" s="1"/>
  <c r="U728" i="11"/>
  <c r="V728" i="11" s="1"/>
  <c r="Z125" i="11"/>
  <c r="AA125" i="11" s="1"/>
  <c r="T579" i="11"/>
  <c r="V5" i="11"/>
  <c r="W5" i="11" s="1"/>
  <c r="V320" i="11"/>
  <c r="W320" i="11" s="1"/>
  <c r="X320" i="11" s="1"/>
  <c r="V725" i="11"/>
  <c r="U111" i="11"/>
  <c r="W578" i="11"/>
  <c r="X578" i="11" s="1"/>
  <c r="Y578" i="11" s="1"/>
  <c r="Z578" i="11" s="1"/>
  <c r="AA578" i="11" s="1"/>
  <c r="U189" i="11"/>
  <c r="V189" i="11" s="1"/>
  <c r="W189" i="11" s="1"/>
  <c r="X189" i="11" s="1"/>
  <c r="Y189" i="11" s="1"/>
  <c r="V346" i="11"/>
  <c r="W346" i="11" s="1"/>
  <c r="X346" i="11" s="1"/>
  <c r="Y346" i="11" s="1"/>
  <c r="Z346" i="11" s="1"/>
  <c r="AA346" i="11" s="1"/>
  <c r="V380" i="11"/>
  <c r="W380" i="11" s="1"/>
  <c r="X380" i="11" s="1"/>
  <c r="Y380" i="11" s="1"/>
  <c r="U457" i="11"/>
  <c r="V457" i="11" s="1"/>
  <c r="W389" i="11"/>
  <c r="X389" i="11" s="1"/>
  <c r="Y389" i="11" s="1"/>
  <c r="Z389" i="11" s="1"/>
  <c r="AA389" i="11" s="1"/>
  <c r="T102" i="11"/>
  <c r="Z107" i="11"/>
  <c r="AA107" i="11" s="1"/>
  <c r="Z450" i="11"/>
  <c r="AA450" i="11" s="1"/>
  <c r="U12" i="11"/>
  <c r="T319" i="11"/>
  <c r="W734" i="11"/>
  <c r="X734" i="11" s="1"/>
  <c r="Y734" i="11" s="1"/>
  <c r="Z734" i="11" s="1"/>
  <c r="AA734" i="11" s="1"/>
  <c r="Z11" i="11"/>
  <c r="AA11" i="11" s="1"/>
  <c r="AA92" i="11"/>
  <c r="V305" i="11"/>
  <c r="X236" i="11"/>
  <c r="V250" i="11"/>
  <c r="W250" i="11" s="1"/>
  <c r="X250" i="11" s="1"/>
  <c r="Y250" i="11" s="1"/>
  <c r="V467" i="11"/>
  <c r="W467" i="11" s="1"/>
  <c r="X467" i="11" s="1"/>
  <c r="Y467" i="11" s="1"/>
  <c r="Z467" i="11" s="1"/>
  <c r="AA467" i="11" s="1"/>
  <c r="W200" i="11"/>
  <c r="X200" i="11" s="1"/>
  <c r="Y200" i="11" s="1"/>
  <c r="Z200" i="11" s="1"/>
  <c r="AA200" i="11" s="1"/>
  <c r="X66" i="11"/>
  <c r="V162" i="11"/>
  <c r="V211" i="11"/>
  <c r="X748" i="11"/>
  <c r="Y748" i="11" s="1"/>
  <c r="Z748" i="11" s="1"/>
  <c r="AA748" i="11" s="1"/>
  <c r="T89" i="11"/>
  <c r="Z589" i="11"/>
  <c r="AA589" i="11" s="1"/>
  <c r="U258" i="11"/>
  <c r="V258" i="11" s="1"/>
  <c r="W258" i="11" s="1"/>
  <c r="X258" i="11" s="1"/>
  <c r="U314" i="11"/>
  <c r="V314" i="11" s="1"/>
  <c r="W314" i="11" s="1"/>
  <c r="X314" i="11" s="1"/>
  <c r="Y314" i="11" s="1"/>
  <c r="Z314" i="11" s="1"/>
  <c r="AA314" i="11" s="1"/>
  <c r="T388" i="11"/>
  <c r="W709" i="11"/>
  <c r="X709" i="11" s="1"/>
  <c r="Y84" i="11"/>
  <c r="U757" i="11"/>
  <c r="X30" i="11"/>
  <c r="Y30" i="11" s="1"/>
  <c r="V116" i="11"/>
  <c r="W116" i="11" s="1"/>
  <c r="T357" i="11"/>
  <c r="U357" i="11" s="1"/>
  <c r="X487" i="11"/>
  <c r="Y96" i="11"/>
  <c r="Z96" i="11" s="1"/>
  <c r="AA96" i="11" s="1"/>
  <c r="U341" i="11"/>
  <c r="V341" i="11" s="1"/>
  <c r="T44" i="11"/>
  <c r="V499" i="11"/>
  <c r="W499" i="11" s="1"/>
  <c r="X499" i="11" s="1"/>
  <c r="Y499" i="11" s="1"/>
  <c r="Z499" i="11" s="1"/>
  <c r="AA499" i="11" s="1"/>
  <c r="V426" i="11"/>
  <c r="W426" i="11" s="1"/>
  <c r="X426" i="11" s="1"/>
  <c r="T688" i="11"/>
  <c r="V621" i="11"/>
  <c r="W621" i="11" s="1"/>
  <c r="X621" i="11" s="1"/>
  <c r="Y621" i="11" s="1"/>
  <c r="Z621" i="11" s="1"/>
  <c r="AA621" i="11" s="1"/>
  <c r="W121" i="11"/>
  <c r="X121" i="11" s="1"/>
  <c r="T289" i="11"/>
  <c r="U347" i="11"/>
  <c r="V347" i="11" s="1"/>
  <c r="X491" i="11"/>
  <c r="Y491" i="11" s="1"/>
  <c r="Z491" i="11" s="1"/>
  <c r="AA491" i="11" s="1"/>
  <c r="U132" i="11"/>
  <c r="V132" i="11" s="1"/>
  <c r="AA192" i="11"/>
  <c r="V110" i="11"/>
  <c r="W110" i="11" s="1"/>
  <c r="V13" i="11"/>
  <c r="W13" i="11" s="1"/>
  <c r="W137" i="11"/>
  <c r="X137" i="11" s="1"/>
  <c r="Y137" i="11" s="1"/>
  <c r="Z137" i="11" s="1"/>
  <c r="AA137" i="11" s="1"/>
  <c r="V51" i="11"/>
  <c r="W51" i="11" s="1"/>
  <c r="V509" i="11"/>
  <c r="W509" i="11" s="1"/>
  <c r="X509" i="11" s="1"/>
  <c r="W28" i="11"/>
  <c r="X28" i="11" s="1"/>
  <c r="Y28" i="11" s="1"/>
  <c r="Z28" i="11" s="1"/>
  <c r="AA28" i="11" s="1"/>
  <c r="V744" i="11"/>
  <c r="W349" i="11"/>
  <c r="W690" i="11"/>
  <c r="X690" i="11" s="1"/>
  <c r="Y690" i="11" s="1"/>
  <c r="T148" i="11"/>
  <c r="U45" i="11"/>
  <c r="V45" i="11" s="1"/>
  <c r="W45" i="11" s="1"/>
  <c r="X45" i="11" s="1"/>
  <c r="Y45" i="11" s="1"/>
  <c r="X374" i="11"/>
  <c r="Y374" i="11" s="1"/>
  <c r="W687" i="11"/>
  <c r="X687" i="11" s="1"/>
  <c r="Y687" i="11" s="1"/>
  <c r="Z687" i="11" s="1"/>
  <c r="W507" i="11"/>
  <c r="X507" i="11" s="1"/>
  <c r="Y507" i="11" s="1"/>
  <c r="Z507" i="11" s="1"/>
  <c r="AA507" i="11" s="1"/>
  <c r="U94" i="11"/>
  <c r="V94" i="11" s="1"/>
  <c r="W94" i="11" s="1"/>
  <c r="X94" i="11" s="1"/>
  <c r="Y94" i="11" s="1"/>
  <c r="Z94" i="11" s="1"/>
  <c r="AA94" i="11" s="1"/>
  <c r="W18" i="11"/>
  <c r="Y70" i="11"/>
  <c r="Z70" i="11" s="1"/>
  <c r="AA70" i="11" s="1"/>
  <c r="U106" i="11"/>
  <c r="Z29" i="11"/>
  <c r="AA29" i="11" s="1"/>
  <c r="W691" i="11"/>
  <c r="Y633" i="11"/>
  <c r="Z633" i="11" s="1"/>
  <c r="AA633" i="11" s="1"/>
  <c r="W695" i="11"/>
  <c r="V704" i="11"/>
  <c r="W704" i="11" s="1"/>
  <c r="X704" i="11" s="1"/>
  <c r="Y704" i="11" s="1"/>
  <c r="Z704" i="11" s="1"/>
  <c r="AA704" i="11" s="1"/>
  <c r="V703" i="11"/>
  <c r="W703" i="11" s="1"/>
  <c r="U361" i="11"/>
  <c r="Y275" i="11"/>
  <c r="Z275" i="11" s="1"/>
  <c r="AA275" i="11" s="1"/>
  <c r="X490" i="11"/>
  <c r="Y490" i="11" s="1"/>
  <c r="Z490" i="11" s="1"/>
  <c r="AA490" i="11" s="1"/>
  <c r="U438" i="11"/>
  <c r="W9" i="11"/>
  <c r="W190" i="11"/>
  <c r="X190" i="11" s="1"/>
  <c r="Y190" i="11" s="1"/>
  <c r="Z190" i="11" s="1"/>
  <c r="AA190" i="11" s="1"/>
  <c r="V367" i="11"/>
  <c r="W367" i="11" s="1"/>
  <c r="X367" i="11" s="1"/>
  <c r="Y367" i="11" s="1"/>
  <c r="Z367" i="11" s="1"/>
  <c r="V689" i="11"/>
  <c r="W689" i="11" s="1"/>
  <c r="V411" i="11"/>
  <c r="W411" i="11" s="1"/>
  <c r="X411" i="11" s="1"/>
  <c r="Y411" i="11" s="1"/>
  <c r="Z411" i="11" s="1"/>
  <c r="AA411" i="11" s="1"/>
  <c r="W439" i="11"/>
  <c r="X439" i="11" s="1"/>
  <c r="V558" i="11"/>
  <c r="W558" i="11" s="1"/>
  <c r="X558" i="11" s="1"/>
  <c r="Y558" i="11" s="1"/>
  <c r="Z558" i="11" s="1"/>
  <c r="AA558" i="11" s="1"/>
  <c r="U351" i="11"/>
  <c r="V351" i="11" s="1"/>
  <c r="W220" i="11"/>
  <c r="T171" i="11"/>
  <c r="U171" i="11" s="1"/>
  <c r="V171" i="11" s="1"/>
  <c r="W171" i="11" s="1"/>
  <c r="X171" i="11" s="1"/>
  <c r="Y171" i="11" s="1"/>
  <c r="Z171" i="11" s="1"/>
  <c r="AA171" i="11" s="1"/>
  <c r="X563" i="11"/>
  <c r="Y563" i="11" s="1"/>
  <c r="Z563" i="11" s="1"/>
  <c r="V10" i="22"/>
  <c r="AC21" i="22"/>
  <c r="AI20" i="22"/>
  <c r="Q33" i="22"/>
  <c r="H19" i="22"/>
  <c r="T8" i="22"/>
  <c r="J29" i="22"/>
  <c r="AF17" i="22"/>
  <c r="I8" i="22"/>
  <c r="D20" i="22"/>
  <c r="E8" i="22"/>
  <c r="E10" i="22"/>
  <c r="J20" i="22"/>
  <c r="AA20" i="22"/>
  <c r="P8" i="22"/>
  <c r="K21" i="22"/>
  <c r="T32" i="22"/>
  <c r="S29" i="22"/>
  <c r="M9" i="22"/>
  <c r="N9" i="22"/>
  <c r="M35" i="22"/>
  <c r="S20" i="22"/>
  <c r="AA10" i="22"/>
  <c r="K34" i="22"/>
  <c r="R29" i="22"/>
  <c r="I19" i="22"/>
  <c r="AG17" i="22"/>
  <c r="F35" i="22"/>
  <c r="E22" i="22"/>
  <c r="AI21" i="22"/>
  <c r="R21" i="22"/>
  <c r="E29" i="22"/>
  <c r="Z21" i="22"/>
  <c r="Z34" i="22"/>
  <c r="H29" i="22"/>
  <c r="M36" i="22"/>
  <c r="AG32" i="22"/>
  <c r="J9" i="22"/>
  <c r="D8" i="22"/>
  <c r="P20" i="22"/>
  <c r="AA21" i="22"/>
  <c r="V9" i="22"/>
  <c r="T19" i="22"/>
  <c r="N23" i="22"/>
  <c r="D30" i="22"/>
  <c r="U9" i="22"/>
  <c r="AE17" i="22"/>
  <c r="Z20" i="22"/>
  <c r="K9" i="22"/>
  <c r="AC34" i="22"/>
  <c r="I20" i="22"/>
  <c r="U36" i="22"/>
  <c r="AJ21" i="22"/>
  <c r="M20" i="22"/>
  <c r="H30" i="22"/>
  <c r="Z35" i="22"/>
  <c r="Q19" i="22"/>
  <c r="AJ22" i="22"/>
  <c r="R20" i="22"/>
  <c r="L20" i="22"/>
  <c r="U19" i="22"/>
  <c r="N8" i="22"/>
  <c r="AE31" i="22"/>
  <c r="U35" i="22"/>
  <c r="AF30" i="22"/>
  <c r="S8" i="22"/>
  <c r="L8" i="22"/>
  <c r="F20" i="22"/>
  <c r="U20" i="22"/>
  <c r="AD17" i="22"/>
  <c r="E9" i="22"/>
  <c r="AE30" i="22"/>
  <c r="F8" i="22"/>
  <c r="V26" i="22"/>
  <c r="I34" i="22"/>
  <c r="AD34" i="22"/>
  <c r="O20" i="22"/>
  <c r="U34" i="22"/>
  <c r="L21" i="22"/>
  <c r="K33" i="22"/>
  <c r="H20" i="22"/>
  <c r="AC33" i="22"/>
  <c r="P29" i="22"/>
  <c r="WT18" i="2" l="1"/>
  <c r="WT33" i="2"/>
  <c r="VY31" i="2"/>
  <c r="VD3" i="2"/>
  <c r="VD32" i="2"/>
  <c r="VD31" i="2"/>
  <c r="VD7" i="2"/>
  <c r="UK22" i="2"/>
  <c r="UK23" i="2"/>
  <c r="UI4" i="2"/>
  <c r="UI14" i="2"/>
  <c r="UI8" i="2"/>
  <c r="UI17" i="2"/>
  <c r="UI16" i="2"/>
  <c r="UI7" i="2"/>
  <c r="UI39" i="2"/>
  <c r="RX20" i="2"/>
  <c r="TN37" i="2"/>
  <c r="TN41" i="2" s="1"/>
  <c r="TS40" i="2"/>
  <c r="TP37" i="2"/>
  <c r="PM12" i="2"/>
  <c r="NW16" i="2"/>
  <c r="NB13" i="2"/>
  <c r="NB10" i="2"/>
  <c r="NW24" i="2"/>
  <c r="NW25" i="2"/>
  <c r="NB8" i="2"/>
  <c r="OR4" i="2"/>
  <c r="NB14" i="2"/>
  <c r="NB29" i="2"/>
  <c r="NW27" i="2"/>
  <c r="NB17" i="2"/>
  <c r="NB25" i="2"/>
  <c r="NB5" i="2"/>
  <c r="NB11" i="2"/>
  <c r="NW9" i="2"/>
  <c r="NW30" i="2"/>
  <c r="NB7" i="2"/>
  <c r="NB16" i="2"/>
  <c r="NB3" i="2"/>
  <c r="NW10" i="2"/>
  <c r="NB30" i="2"/>
  <c r="NB19" i="2"/>
  <c r="NB24" i="2"/>
  <c r="MG29" i="2"/>
  <c r="MG18" i="2"/>
  <c r="MG7" i="2"/>
  <c r="MG15" i="2"/>
  <c r="MG19" i="2"/>
  <c r="KQ31" i="2"/>
  <c r="KQ33" i="2"/>
  <c r="KQ32" i="2"/>
  <c r="KQ28" i="2"/>
  <c r="KQ37" i="2" s="1"/>
  <c r="JX23" i="2"/>
  <c r="JX22" i="2"/>
  <c r="JX24" i="2"/>
  <c r="JV39" i="2"/>
  <c r="EZ4" i="2"/>
  <c r="EZ25" i="2"/>
  <c r="EZ20" i="2"/>
  <c r="EE20" i="2"/>
  <c r="EE19" i="2"/>
  <c r="EE4" i="2"/>
  <c r="EE9" i="2"/>
  <c r="EE11" i="2"/>
  <c r="EE8" i="2"/>
  <c r="EE12" i="2"/>
  <c r="X676" i="11"/>
  <c r="Y676" i="11" s="1"/>
  <c r="Z676" i="11" s="1"/>
  <c r="AA676" i="11" s="1"/>
  <c r="DJ3" i="2"/>
  <c r="DJ18" i="2"/>
  <c r="DJ14" i="2"/>
  <c r="DJ17" i="2"/>
  <c r="DJ5" i="2"/>
  <c r="DJ29" i="2"/>
  <c r="DJ4" i="2"/>
  <c r="DJ10" i="2"/>
  <c r="DJ12" i="2"/>
  <c r="V75" i="14"/>
  <c r="W75" i="14" s="1"/>
  <c r="Z362" i="11"/>
  <c r="AA362" i="11" s="1"/>
  <c r="AK17" i="22"/>
  <c r="S6" i="14"/>
  <c r="T6" i="14" s="1"/>
  <c r="U6" i="14" s="1"/>
  <c r="V6" i="14" s="1"/>
  <c r="AK29" i="22"/>
  <c r="S164" i="15"/>
  <c r="S47" i="14"/>
  <c r="T47" i="14" s="1"/>
  <c r="T61" i="14"/>
  <c r="R202" i="15"/>
  <c r="R145" i="15"/>
  <c r="S145" i="15" s="1"/>
  <c r="R28" i="14"/>
  <c r="R138" i="15"/>
  <c r="R11" i="14"/>
  <c r="R69" i="14"/>
  <c r="R5" i="14"/>
  <c r="S5" i="14" s="1"/>
  <c r="V2" i="15"/>
  <c r="W2" i="15" s="1"/>
  <c r="X2" i="15" s="1"/>
  <c r="R140" i="15"/>
  <c r="R17" i="14"/>
  <c r="R157" i="15"/>
  <c r="R31" i="14"/>
  <c r="S198" i="15"/>
  <c r="R8" i="14"/>
  <c r="X201" i="11"/>
  <c r="Y201" i="11" s="1"/>
  <c r="Z201" i="11" s="1"/>
  <c r="Y644" i="14"/>
  <c r="Z644" i="14" s="1"/>
  <c r="AA644" i="14" s="1"/>
  <c r="X720" i="14"/>
  <c r="Y720" i="14" s="1"/>
  <c r="Z720" i="14" s="1"/>
  <c r="AA720" i="14" s="1"/>
  <c r="AA44" i="14"/>
  <c r="Z743" i="11"/>
  <c r="AA743" i="11" s="1"/>
  <c r="Y357" i="14"/>
  <c r="Z357" i="14" s="1"/>
  <c r="AA357" i="14" s="1"/>
  <c r="Z379" i="14"/>
  <c r="AA379" i="14" s="1"/>
  <c r="Z607" i="11"/>
  <c r="AA607" i="11" s="1"/>
  <c r="Z450" i="14"/>
  <c r="AA450" i="14" s="1"/>
  <c r="Z320" i="14"/>
  <c r="AA320" i="14" s="1"/>
  <c r="AA67" i="11"/>
  <c r="Z567" i="14"/>
  <c r="AA567" i="14" s="1"/>
  <c r="AA114" i="14"/>
  <c r="Z449" i="14"/>
  <c r="AA449" i="14" s="1"/>
  <c r="AA332" i="14"/>
  <c r="AA664" i="14"/>
  <c r="Z335" i="11"/>
  <c r="AA335" i="11" s="1"/>
  <c r="Z733" i="14"/>
  <c r="AA733" i="14" s="1"/>
  <c r="Y330" i="14"/>
  <c r="Z330" i="14" s="1"/>
  <c r="AA330" i="14" s="1"/>
  <c r="Z436" i="14"/>
  <c r="AA436" i="14" s="1"/>
  <c r="W662" i="14"/>
  <c r="Z232" i="14"/>
  <c r="AA232" i="14" s="1"/>
  <c r="Z351" i="14"/>
  <c r="AA351" i="14" s="1"/>
  <c r="AA148" i="14"/>
  <c r="Y684" i="11"/>
  <c r="Z684" i="11" s="1"/>
  <c r="AA179" i="15"/>
  <c r="AB179" i="15" s="1"/>
  <c r="Z143" i="15"/>
  <c r="AA143" i="15" s="1"/>
  <c r="AB143" i="15" s="1"/>
  <c r="AA122" i="14"/>
  <c r="Y241" i="14"/>
  <c r="Z241" i="14" s="1"/>
  <c r="AB191" i="15"/>
  <c r="X187" i="15"/>
  <c r="Y187" i="15" s="1"/>
  <c r="Z467" i="14"/>
  <c r="AA467" i="14" s="1"/>
  <c r="X180" i="15"/>
  <c r="Y180" i="15" s="1"/>
  <c r="Z180" i="15" s="1"/>
  <c r="AA180" i="15" s="1"/>
  <c r="AB174" i="15"/>
  <c r="Y321" i="14"/>
  <c r="Z321" i="14" s="1"/>
  <c r="AA321" i="14" s="1"/>
  <c r="Z182" i="15"/>
  <c r="AA182" i="15" s="1"/>
  <c r="AB173" i="15"/>
  <c r="AB153" i="15"/>
  <c r="W150" i="15"/>
  <c r="X150" i="15" s="1"/>
  <c r="Y150" i="15" s="1"/>
  <c r="Z150" i="15" s="1"/>
  <c r="W194" i="15"/>
  <c r="AB167" i="15"/>
  <c r="AB197" i="15"/>
  <c r="AA177" i="15"/>
  <c r="AB177" i="15" s="1"/>
  <c r="AB176" i="15"/>
  <c r="Y192" i="15"/>
  <c r="Z192" i="15" s="1"/>
  <c r="X139" i="15"/>
  <c r="X134" i="15"/>
  <c r="Y134" i="15" s="1"/>
  <c r="W203" i="15"/>
  <c r="X203" i="15" s="1"/>
  <c r="V136" i="15"/>
  <c r="W136" i="15" s="1"/>
  <c r="X136" i="15" s="1"/>
  <c r="Y136" i="15" s="1"/>
  <c r="U154" i="15"/>
  <c r="V170" i="15"/>
  <c r="W207" i="15"/>
  <c r="Y152" i="15"/>
  <c r="U199" i="15"/>
  <c r="V199" i="15" s="1"/>
  <c r="Y165" i="15"/>
  <c r="W142" i="15"/>
  <c r="U131" i="15"/>
  <c r="V131" i="15" s="1"/>
  <c r="W186" i="15"/>
  <c r="X186" i="15" s="1"/>
  <c r="AB178" i="15"/>
  <c r="W193" i="15"/>
  <c r="U135" i="15"/>
  <c r="V135" i="15" s="1"/>
  <c r="X166" i="15"/>
  <c r="S161" i="15"/>
  <c r="V163" i="15"/>
  <c r="AA149" i="15"/>
  <c r="X168" i="15"/>
  <c r="Y168" i="15" s="1"/>
  <c r="X181" i="15"/>
  <c r="Y181" i="15" s="1"/>
  <c r="Z181" i="15" s="1"/>
  <c r="AA181" i="15" s="1"/>
  <c r="AB181" i="15" s="1"/>
  <c r="AB169" i="15"/>
  <c r="T162" i="15"/>
  <c r="V158" i="15"/>
  <c r="V206" i="15"/>
  <c r="W206" i="15" s="1"/>
  <c r="AA141" i="15"/>
  <c r="AB141" i="15" s="1"/>
  <c r="X151" i="15"/>
  <c r="X196" i="15"/>
  <c r="Y196" i="15" s="1"/>
  <c r="AA528" i="14"/>
  <c r="X255" i="14"/>
  <c r="Y255" i="14" s="1"/>
  <c r="Z255" i="14" s="1"/>
  <c r="AA255" i="14" s="1"/>
  <c r="Y160" i="14"/>
  <c r="Z160" i="14" s="1"/>
  <c r="AA160" i="14" s="1"/>
  <c r="Z94" i="14"/>
  <c r="AA94" i="14" s="1"/>
  <c r="AA342" i="14"/>
  <c r="Y765" i="14"/>
  <c r="Z765" i="14" s="1"/>
  <c r="X588" i="14"/>
  <c r="Y588" i="14" s="1"/>
  <c r="Z588" i="14" s="1"/>
  <c r="AA588" i="14" s="1"/>
  <c r="W605" i="14"/>
  <c r="X605" i="14" s="1"/>
  <c r="Y605" i="14" s="1"/>
  <c r="Z605" i="14" s="1"/>
  <c r="AA605" i="14" s="1"/>
  <c r="V336" i="14"/>
  <c r="W336" i="14" s="1"/>
  <c r="V102" i="14"/>
  <c r="Y248" i="14"/>
  <c r="Z248" i="14" s="1"/>
  <c r="AA248" i="14" s="1"/>
  <c r="T504" i="14"/>
  <c r="U518" i="14"/>
  <c r="Y724" i="14"/>
  <c r="Z724" i="14" s="1"/>
  <c r="AA724" i="14" s="1"/>
  <c r="T243" i="14"/>
  <c r="Y146" i="14"/>
  <c r="Z146" i="14" s="1"/>
  <c r="AA146" i="14" s="1"/>
  <c r="Y686" i="14"/>
  <c r="Z686" i="14" s="1"/>
  <c r="AA686" i="14" s="1"/>
  <c r="V154" i="14"/>
  <c r="W154" i="14" s="1"/>
  <c r="X154" i="14" s="1"/>
  <c r="U322" i="14"/>
  <c r="X719" i="14"/>
  <c r="Y719" i="14" s="1"/>
  <c r="Z719" i="14" s="1"/>
  <c r="AA719" i="14" s="1"/>
  <c r="V739" i="14"/>
  <c r="W739" i="14" s="1"/>
  <c r="X739" i="14" s="1"/>
  <c r="Y739" i="14" s="1"/>
  <c r="Z739" i="14" s="1"/>
  <c r="AA739" i="14" s="1"/>
  <c r="Z434" i="11"/>
  <c r="AA434" i="11" s="1"/>
  <c r="Z271" i="11"/>
  <c r="AA271" i="11" s="1"/>
  <c r="Z167" i="14"/>
  <c r="AA167" i="14" s="1"/>
  <c r="AA302" i="14"/>
  <c r="W139" i="14"/>
  <c r="X139" i="14" s="1"/>
  <c r="Y139" i="14" s="1"/>
  <c r="Z139" i="14" s="1"/>
  <c r="AA139" i="14" s="1"/>
  <c r="AA753" i="14"/>
  <c r="AA743" i="14"/>
  <c r="Z197" i="11"/>
  <c r="AA197" i="11" s="1"/>
  <c r="Y383" i="11"/>
  <c r="Z383" i="11" s="1"/>
  <c r="AA383" i="11" s="1"/>
  <c r="V403" i="14"/>
  <c r="W403" i="14" s="1"/>
  <c r="X403" i="14" s="1"/>
  <c r="Y403" i="14" s="1"/>
  <c r="Z655" i="14"/>
  <c r="AA655" i="14" s="1"/>
  <c r="Y400" i="11"/>
  <c r="Z400" i="11" s="1"/>
  <c r="AA573" i="14"/>
  <c r="AA415" i="14"/>
  <c r="AA666" i="14"/>
  <c r="Y617" i="14"/>
  <c r="Z617" i="14" s="1"/>
  <c r="AA617" i="14" s="1"/>
  <c r="Y208" i="14"/>
  <c r="Z208" i="14" s="1"/>
  <c r="AA208" i="14" s="1"/>
  <c r="AA494" i="14"/>
  <c r="AA704" i="14"/>
  <c r="Z607" i="14"/>
  <c r="AA607" i="14" s="1"/>
  <c r="Z103" i="11"/>
  <c r="AA103" i="11" s="1"/>
  <c r="Z393" i="14"/>
  <c r="AA393" i="14" s="1"/>
  <c r="V692" i="14"/>
  <c r="Z766" i="14"/>
  <c r="AA766" i="14" s="1"/>
  <c r="X580" i="14"/>
  <c r="Y580" i="14" s="1"/>
  <c r="W319" i="14"/>
  <c r="Y158" i="14"/>
  <c r="Z158" i="14" s="1"/>
  <c r="AA158" i="14" s="1"/>
  <c r="W133" i="14"/>
  <c r="X133" i="14" s="1"/>
  <c r="Z370" i="14"/>
  <c r="AA370" i="14" s="1"/>
  <c r="W667" i="14"/>
  <c r="X667" i="14" s="1"/>
  <c r="Y667" i="14" s="1"/>
  <c r="Z667" i="14" s="1"/>
  <c r="AA667" i="14" s="1"/>
  <c r="Z703" i="14"/>
  <c r="AA703" i="14" s="1"/>
  <c r="W685" i="14"/>
  <c r="W531" i="14"/>
  <c r="X531" i="14" s="1"/>
  <c r="Y531" i="14" s="1"/>
  <c r="Y269" i="14"/>
  <c r="Z269" i="14" s="1"/>
  <c r="AA269" i="14" s="1"/>
  <c r="Z590" i="14"/>
  <c r="AA590" i="14" s="1"/>
  <c r="X663" i="14"/>
  <c r="Y663" i="14" s="1"/>
  <c r="AA421" i="14"/>
  <c r="Z423" i="14"/>
  <c r="AA423" i="14" s="1"/>
  <c r="W691" i="14"/>
  <c r="X691" i="14" s="1"/>
  <c r="Y691" i="14" s="1"/>
  <c r="Z691" i="14" s="1"/>
  <c r="AA691" i="14" s="1"/>
  <c r="AA366" i="14"/>
  <c r="Y602" i="14"/>
  <c r="Z602" i="14" s="1"/>
  <c r="AA602" i="14" s="1"/>
  <c r="AA268" i="14"/>
  <c r="V239" i="14"/>
  <c r="W239" i="14" s="1"/>
  <c r="X239" i="14" s="1"/>
  <c r="Y239" i="14" s="1"/>
  <c r="Z239" i="14" s="1"/>
  <c r="AA239" i="14" s="1"/>
  <c r="Z462" i="14"/>
  <c r="AA462" i="14" s="1"/>
  <c r="Y304" i="14"/>
  <c r="Z304" i="14" s="1"/>
  <c r="AA304" i="14" s="1"/>
  <c r="AA41" i="14"/>
  <c r="Z381" i="14"/>
  <c r="AA381" i="14" s="1"/>
  <c r="AA24" i="14"/>
  <c r="W745" i="14"/>
  <c r="X745" i="14" s="1"/>
  <c r="Y745" i="14" s="1"/>
  <c r="Z745" i="14" s="1"/>
  <c r="AA745" i="14" s="1"/>
  <c r="X455" i="14"/>
  <c r="Y455" i="14" s="1"/>
  <c r="Z455" i="14" s="1"/>
  <c r="AA455" i="14" s="1"/>
  <c r="AA80" i="14"/>
  <c r="Z377" i="14"/>
  <c r="AA377" i="14" s="1"/>
  <c r="AA735" i="14"/>
  <c r="Y86" i="14"/>
  <c r="Z86" i="14" s="1"/>
  <c r="AA86" i="14" s="1"/>
  <c r="V309" i="14"/>
  <c r="W309" i="14" s="1"/>
  <c r="X64" i="14"/>
  <c r="Y64" i="14" s="1"/>
  <c r="Z64" i="14" s="1"/>
  <c r="AA64" i="14" s="1"/>
  <c r="Z144" i="14"/>
  <c r="AA144" i="14" s="1"/>
  <c r="Z21" i="14"/>
  <c r="AA21" i="14" s="1"/>
  <c r="W262" i="14"/>
  <c r="X262" i="14" s="1"/>
  <c r="Y262" i="14" s="1"/>
  <c r="Y782" i="14"/>
  <c r="Z782" i="14" s="1"/>
  <c r="X615" i="14"/>
  <c r="Y615" i="14" s="1"/>
  <c r="Z615" i="14" s="1"/>
  <c r="AA615" i="14" s="1"/>
  <c r="W238" i="14"/>
  <c r="X238" i="14" s="1"/>
  <c r="Y238" i="14" s="1"/>
  <c r="Z238" i="14" s="1"/>
  <c r="AA238" i="14" s="1"/>
  <c r="Z635" i="14"/>
  <c r="AA635" i="14" s="1"/>
  <c r="AA145" i="14"/>
  <c r="X295" i="14"/>
  <c r="Y295" i="14" s="1"/>
  <c r="W598" i="14"/>
  <c r="AA752" i="14"/>
  <c r="X194" i="14"/>
  <c r="Y194" i="14" s="1"/>
  <c r="Z718" i="14"/>
  <c r="AA718" i="14" s="1"/>
  <c r="W499" i="14"/>
  <c r="X499" i="14" s="1"/>
  <c r="Y499" i="14" s="1"/>
  <c r="Z499" i="14" s="1"/>
  <c r="Y285" i="14"/>
  <c r="Z285" i="14" s="1"/>
  <c r="AA285" i="14" s="1"/>
  <c r="Y563" i="14"/>
  <c r="Z563" i="14" s="1"/>
  <c r="AA563" i="14" s="1"/>
  <c r="Z88" i="14"/>
  <c r="AA88" i="14" s="1"/>
  <c r="AA224" i="14"/>
  <c r="X278" i="14"/>
  <c r="AA274" i="11"/>
  <c r="AA525" i="14"/>
  <c r="W126" i="14"/>
  <c r="X126" i="14" s="1"/>
  <c r="Y126" i="14" s="1"/>
  <c r="Z126" i="14" s="1"/>
  <c r="AA254" i="14"/>
  <c r="AA184" i="14"/>
  <c r="W191" i="14"/>
  <c r="X191" i="14" s="1"/>
  <c r="X36" i="14"/>
  <c r="V505" i="14"/>
  <c r="W505" i="14" s="1"/>
  <c r="X501" i="14"/>
  <c r="Y501" i="14" s="1"/>
  <c r="Z501" i="14" s="1"/>
  <c r="AA501" i="14" s="1"/>
  <c r="V83" i="14"/>
  <c r="Y128" i="14"/>
  <c r="Z128" i="14" s="1"/>
  <c r="AA128" i="14" s="1"/>
  <c r="U141" i="14"/>
  <c r="Y350" i="14"/>
  <c r="Z350" i="14" s="1"/>
  <c r="X101" i="14"/>
  <c r="Y101" i="14" s="1"/>
  <c r="Z101" i="14" s="1"/>
  <c r="AA101" i="14" s="1"/>
  <c r="Z263" i="14"/>
  <c r="AA263" i="14" s="1"/>
  <c r="U311" i="14"/>
  <c r="V311" i="14" s="1"/>
  <c r="W311" i="14" s="1"/>
  <c r="X311" i="14" s="1"/>
  <c r="Y311" i="14" s="1"/>
  <c r="Z311" i="14" s="1"/>
  <c r="AA311" i="14" s="1"/>
  <c r="Z310" i="14"/>
  <c r="AA310" i="14" s="1"/>
  <c r="W586" i="14"/>
  <c r="X586" i="14" s="1"/>
  <c r="Y586" i="14" s="1"/>
  <c r="Z586" i="14" s="1"/>
  <c r="AA586" i="14" s="1"/>
  <c r="AA340" i="14"/>
  <c r="U783" i="14"/>
  <c r="X695" i="14"/>
  <c r="Y695" i="14" s="1"/>
  <c r="Z695" i="14" s="1"/>
  <c r="AA695" i="14" s="1"/>
  <c r="V108" i="14"/>
  <c r="V542" i="14"/>
  <c r="W542" i="14" s="1"/>
  <c r="X15" i="14"/>
  <c r="W35" i="14"/>
  <c r="X35" i="14" s="1"/>
  <c r="X34" i="14"/>
  <c r="Z333" i="14"/>
  <c r="AA730" i="14"/>
  <c r="Z701" i="14"/>
  <c r="AA701" i="14" s="1"/>
  <c r="U172" i="14"/>
  <c r="V172" i="14" s="1"/>
  <c r="W172" i="14" s="1"/>
  <c r="X172" i="14" s="1"/>
  <c r="Y172" i="14" s="1"/>
  <c r="Z172" i="14" s="1"/>
  <c r="AA172" i="14" s="1"/>
  <c r="AA458" i="14"/>
  <c r="X778" i="14"/>
  <c r="Y778" i="14" s="1"/>
  <c r="Z778" i="14" s="1"/>
  <c r="AA778" i="14" s="1"/>
  <c r="Y60" i="14"/>
  <c r="W759" i="14"/>
  <c r="X759" i="14" s="1"/>
  <c r="Y759" i="14" s="1"/>
  <c r="Z759" i="14" s="1"/>
  <c r="AA759" i="14" s="1"/>
  <c r="X104" i="14"/>
  <c r="Y104" i="14" s="1"/>
  <c r="Z104" i="14" s="1"/>
  <c r="AA104" i="14" s="1"/>
  <c r="Z603" i="14"/>
  <c r="AA603" i="14" s="1"/>
  <c r="AA678" i="14"/>
  <c r="W55" i="14"/>
  <c r="X55" i="14" s="1"/>
  <c r="W274" i="14"/>
  <c r="X274" i="14" s="1"/>
  <c r="Y274" i="14" s="1"/>
  <c r="Z274" i="14" s="1"/>
  <c r="Z56" i="14"/>
  <c r="AA56" i="14" s="1"/>
  <c r="Z392" i="14"/>
  <c r="AA392" i="14" s="1"/>
  <c r="U180" i="14"/>
  <c r="V14" i="14"/>
  <c r="W2" i="14"/>
  <c r="X2" i="14" s="1"/>
  <c r="X19" i="14"/>
  <c r="Y19" i="14" s="1"/>
  <c r="V335" i="14"/>
  <c r="Z465" i="14"/>
  <c r="AA465" i="14" s="1"/>
  <c r="W20" i="14"/>
  <c r="W110" i="14"/>
  <c r="V716" i="14"/>
  <c r="W716" i="14" s="1"/>
  <c r="X716" i="14" s="1"/>
  <c r="Y716" i="14" s="1"/>
  <c r="Z716" i="14" s="1"/>
  <c r="AA716" i="14" s="1"/>
  <c r="X193" i="14"/>
  <c r="Z773" i="14"/>
  <c r="AA773" i="14" s="1"/>
  <c r="W186" i="14"/>
  <c r="Y32" i="14"/>
  <c r="Z32" i="14" s="1"/>
  <c r="AA32" i="14" s="1"/>
  <c r="Z749" i="14"/>
  <c r="AA749" i="14" s="1"/>
  <c r="Y337" i="14"/>
  <c r="Z337" i="14" s="1"/>
  <c r="AA337" i="14" s="1"/>
  <c r="U292" i="14"/>
  <c r="V654" i="14"/>
  <c r="V498" i="14"/>
  <c r="W498" i="14" s="1"/>
  <c r="X498" i="14" s="1"/>
  <c r="Y498" i="14" s="1"/>
  <c r="AA422" i="14"/>
  <c r="Y249" i="14"/>
  <c r="Z249" i="14" s="1"/>
  <c r="AA249" i="14" s="1"/>
  <c r="AA116" i="14"/>
  <c r="X192" i="14"/>
  <c r="Y192" i="14" s="1"/>
  <c r="Z192" i="14" s="1"/>
  <c r="AA192" i="14" s="1"/>
  <c r="X726" i="14"/>
  <c r="Y726" i="14" s="1"/>
  <c r="Z726" i="14" s="1"/>
  <c r="AA726" i="14" s="1"/>
  <c r="Y640" i="14"/>
  <c r="Z640" i="14" s="1"/>
  <c r="AA640" i="14" s="1"/>
  <c r="Z506" i="14"/>
  <c r="AA506" i="14" s="1"/>
  <c r="Y547" i="14"/>
  <c r="Z547" i="14" s="1"/>
  <c r="AA547" i="14" s="1"/>
  <c r="Z412" i="14"/>
  <c r="AA412" i="14" s="1"/>
  <c r="X77" i="14"/>
  <c r="V345" i="14"/>
  <c r="W345" i="14" s="1"/>
  <c r="U30" i="14"/>
  <c r="V514" i="14"/>
  <c r="V25" i="14"/>
  <c r="Y137" i="14"/>
  <c r="Z137" i="14" s="1"/>
  <c r="AA137" i="14" s="1"/>
  <c r="AA54" i="14"/>
  <c r="V486" i="14"/>
  <c r="U22" i="14"/>
  <c r="V362" i="14"/>
  <c r="Y540" i="14"/>
  <c r="V448" i="14"/>
  <c r="X3" i="14"/>
  <c r="Y3" i="14" s="1"/>
  <c r="AA433" i="14"/>
  <c r="W125" i="14"/>
  <c r="X125" i="14" s="1"/>
  <c r="Z52" i="14"/>
  <c r="AA109" i="14"/>
  <c r="U100" i="14"/>
  <c r="AA374" i="14"/>
  <c r="X7" i="14"/>
  <c r="X119" i="14"/>
  <c r="Y163" i="14"/>
  <c r="Z163" i="14" s="1"/>
  <c r="AA163" i="14" s="1"/>
  <c r="W569" i="14"/>
  <c r="X569" i="14" s="1"/>
  <c r="U375" i="14"/>
  <c r="U67" i="14"/>
  <c r="V85" i="14"/>
  <c r="W13" i="14"/>
  <c r="X13" i="14" s="1"/>
  <c r="Z680" i="14"/>
  <c r="AA680" i="14" s="1"/>
  <c r="Y23" i="14"/>
  <c r="X412" i="11"/>
  <c r="Y412" i="11" s="1"/>
  <c r="Z412" i="11" s="1"/>
  <c r="AA412" i="11" s="1"/>
  <c r="AA215" i="11"/>
  <c r="V226" i="11"/>
  <c r="W226" i="11" s="1"/>
  <c r="Y623" i="11"/>
  <c r="Z623" i="11" s="1"/>
  <c r="AA623" i="11" s="1"/>
  <c r="AA417" i="11"/>
  <c r="AA476" i="11"/>
  <c r="Y284" i="11"/>
  <c r="Z284" i="11" s="1"/>
  <c r="AA284" i="11" s="1"/>
  <c r="Y709" i="11"/>
  <c r="Z709" i="11" s="1"/>
  <c r="AA709" i="11" s="1"/>
  <c r="AA76" i="11"/>
  <c r="X78" i="11"/>
  <c r="Y78" i="11" s="1"/>
  <c r="Y636" i="11"/>
  <c r="Z636" i="11" s="1"/>
  <c r="AA636" i="11" s="1"/>
  <c r="Y174" i="11"/>
  <c r="Z174" i="11" s="1"/>
  <c r="AA174" i="11" s="1"/>
  <c r="Z377" i="11"/>
  <c r="AA377" i="11" s="1"/>
  <c r="Y296" i="11"/>
  <c r="Z296" i="11" s="1"/>
  <c r="AA296" i="11" s="1"/>
  <c r="AA48" i="11"/>
  <c r="Y658" i="11"/>
  <c r="Z658" i="11" s="1"/>
  <c r="AA658" i="11" s="1"/>
  <c r="Y509" i="11"/>
  <c r="Z509" i="11" s="1"/>
  <c r="AA509" i="11" s="1"/>
  <c r="Z754" i="11"/>
  <c r="AA754" i="11" s="1"/>
  <c r="AA642" i="11"/>
  <c r="Z108" i="11"/>
  <c r="AA108" i="11" s="1"/>
  <c r="X150" i="11"/>
  <c r="X158" i="11"/>
  <c r="Y158" i="11" s="1"/>
  <c r="Z158" i="11" s="1"/>
  <c r="Y469" i="11"/>
  <c r="Z469" i="11" s="1"/>
  <c r="AA469" i="11" s="1"/>
  <c r="Y439" i="11"/>
  <c r="Z439" i="11" s="1"/>
  <c r="AA439" i="11" s="1"/>
  <c r="Z539" i="11"/>
  <c r="AA539" i="11" s="1"/>
  <c r="X342" i="11"/>
  <c r="Y342" i="11" s="1"/>
  <c r="Z342" i="11" s="1"/>
  <c r="AA342" i="11" s="1"/>
  <c r="Z562" i="11"/>
  <c r="AA562" i="11" s="1"/>
  <c r="X508" i="11"/>
  <c r="Y508" i="11" s="1"/>
  <c r="X723" i="11"/>
  <c r="Y723" i="11" s="1"/>
  <c r="Z723" i="11" s="1"/>
  <c r="AA723" i="11" s="1"/>
  <c r="Y187" i="11"/>
  <c r="Z187" i="11" s="1"/>
  <c r="AA187" i="11" s="1"/>
  <c r="V455" i="11"/>
  <c r="Y680" i="11"/>
  <c r="Z680" i="11" s="1"/>
  <c r="X701" i="11"/>
  <c r="Y701" i="11" s="1"/>
  <c r="Z701" i="11" s="1"/>
  <c r="AA701" i="11" s="1"/>
  <c r="AA568" i="11"/>
  <c r="W728" i="11"/>
  <c r="X728" i="11" s="1"/>
  <c r="Y728" i="11" s="1"/>
  <c r="Z728" i="11" s="1"/>
  <c r="AA728" i="11" s="1"/>
  <c r="X485" i="11"/>
  <c r="Y485" i="11" s="1"/>
  <c r="Z485" i="11" s="1"/>
  <c r="AA485" i="11" s="1"/>
  <c r="X390" i="11"/>
  <c r="Y390" i="11" s="1"/>
  <c r="X673" i="11"/>
  <c r="Y673" i="11" s="1"/>
  <c r="Z673" i="11" s="1"/>
  <c r="AA673" i="11" s="1"/>
  <c r="Y146" i="11"/>
  <c r="Z146" i="11" s="1"/>
  <c r="AA146" i="11" s="1"/>
  <c r="X677" i="11"/>
  <c r="Y677" i="11" s="1"/>
  <c r="Z677" i="11" s="1"/>
  <c r="AA677" i="11" s="1"/>
  <c r="X659" i="11"/>
  <c r="Z700" i="11"/>
  <c r="AA700" i="11" s="1"/>
  <c r="V449" i="11"/>
  <c r="W449" i="11" s="1"/>
  <c r="Y337" i="11"/>
  <c r="Z337" i="11" s="1"/>
  <c r="AA337" i="11" s="1"/>
  <c r="X759" i="11"/>
  <c r="Y759" i="11" s="1"/>
  <c r="Z759" i="11" s="1"/>
  <c r="AA759" i="11" s="1"/>
  <c r="V732" i="11"/>
  <c r="Z729" i="11"/>
  <c r="AA729" i="11" s="1"/>
  <c r="AA230" i="11"/>
  <c r="AA53" i="11"/>
  <c r="Z149" i="11"/>
  <c r="AA149" i="11" s="1"/>
  <c r="Z454" i="11"/>
  <c r="AA454" i="11" s="1"/>
  <c r="AA590" i="11"/>
  <c r="Y185" i="11"/>
  <c r="Z185" i="11" s="1"/>
  <c r="AA185" i="11" s="1"/>
  <c r="AA368" i="11"/>
  <c r="V644" i="11"/>
  <c r="Z690" i="11"/>
  <c r="AA690" i="11" s="1"/>
  <c r="W580" i="11"/>
  <c r="X580" i="11" s="1"/>
  <c r="Y580" i="11" s="1"/>
  <c r="Z580" i="11" s="1"/>
  <c r="AA580" i="11" s="1"/>
  <c r="AA687" i="11"/>
  <c r="Y320" i="11"/>
  <c r="Z320" i="11" s="1"/>
  <c r="AA320" i="11" s="1"/>
  <c r="Z385" i="11"/>
  <c r="AA385" i="11" s="1"/>
  <c r="W592" i="11"/>
  <c r="X592" i="11" s="1"/>
  <c r="Y592" i="11" s="1"/>
  <c r="Z592" i="11" s="1"/>
  <c r="AA592" i="11" s="1"/>
  <c r="Z561" i="11"/>
  <c r="AA561" i="11" s="1"/>
  <c r="Y552" i="11"/>
  <c r="Z552" i="11" s="1"/>
  <c r="AA552" i="11" s="1"/>
  <c r="W128" i="11"/>
  <c r="X128" i="11" s="1"/>
  <c r="Y128" i="11" s="1"/>
  <c r="Z128" i="11" s="1"/>
  <c r="AA128" i="11" s="1"/>
  <c r="Y436" i="11"/>
  <c r="Z436" i="11" s="1"/>
  <c r="Z164" i="11"/>
  <c r="AA164" i="11" s="1"/>
  <c r="Y593" i="11"/>
  <c r="X703" i="11"/>
  <c r="Y703" i="11" s="1"/>
  <c r="Z703" i="11" s="1"/>
  <c r="AA703" i="11" s="1"/>
  <c r="V357" i="11"/>
  <c r="W357" i="11" s="1"/>
  <c r="X357" i="11" s="1"/>
  <c r="Y357" i="11" s="1"/>
  <c r="Z357" i="11" s="1"/>
  <c r="AA357" i="11" s="1"/>
  <c r="X116" i="11"/>
  <c r="Y116" i="11" s="1"/>
  <c r="Z47" i="11"/>
  <c r="X394" i="11"/>
  <c r="Y394" i="11" s="1"/>
  <c r="Z394" i="11" s="1"/>
  <c r="AA394" i="11" s="1"/>
  <c r="Z252" i="11"/>
  <c r="AA252" i="11" s="1"/>
  <c r="X110" i="11"/>
  <c r="Y110" i="11" s="1"/>
  <c r="Z110" i="11" s="1"/>
  <c r="AA110" i="11" s="1"/>
  <c r="Z2" i="11"/>
  <c r="Y38" i="11"/>
  <c r="Z38" i="11" s="1"/>
  <c r="AA38" i="11" s="1"/>
  <c r="W132" i="11"/>
  <c r="W424" i="11"/>
  <c r="X19" i="11"/>
  <c r="Y19" i="11" s="1"/>
  <c r="Z19" i="11" s="1"/>
  <c r="AA19" i="11" s="1"/>
  <c r="Y426" i="11"/>
  <c r="Z426" i="11" s="1"/>
  <c r="AA426" i="11" s="1"/>
  <c r="X188" i="11"/>
  <c r="Y188" i="11" s="1"/>
  <c r="X51" i="11"/>
  <c r="X220" i="11"/>
  <c r="Y220" i="11" s="1"/>
  <c r="Z220" i="11" s="1"/>
  <c r="X689" i="11"/>
  <c r="Y689" i="11" s="1"/>
  <c r="Z689" i="11" s="1"/>
  <c r="AA689" i="11" s="1"/>
  <c r="V106" i="11"/>
  <c r="W106" i="11" s="1"/>
  <c r="X106" i="11" s="1"/>
  <c r="Y106" i="11" s="1"/>
  <c r="Z106" i="11" s="1"/>
  <c r="AA106" i="11" s="1"/>
  <c r="AA563" i="11"/>
  <c r="X349" i="11"/>
  <c r="Y349" i="11" s="1"/>
  <c r="Z349" i="11" s="1"/>
  <c r="AA349" i="11" s="1"/>
  <c r="W347" i="11"/>
  <c r="X347" i="11" s="1"/>
  <c r="W305" i="11"/>
  <c r="X305" i="11" s="1"/>
  <c r="W457" i="11"/>
  <c r="X457" i="11" s="1"/>
  <c r="Y457" i="11" s="1"/>
  <c r="Z457" i="11" s="1"/>
  <c r="AA457" i="11" s="1"/>
  <c r="Z301" i="11"/>
  <c r="AA301" i="11" s="1"/>
  <c r="Y42" i="11"/>
  <c r="U652" i="11"/>
  <c r="Z550" i="11"/>
  <c r="AA550" i="11" s="1"/>
  <c r="W235" i="11"/>
  <c r="AA482" i="11"/>
  <c r="V569" i="11"/>
  <c r="AA686" i="11"/>
  <c r="U148" i="11"/>
  <c r="X13" i="11"/>
  <c r="Y13" i="11" s="1"/>
  <c r="W211" i="11"/>
  <c r="X211" i="11" s="1"/>
  <c r="Y211" i="11" s="1"/>
  <c r="W725" i="11"/>
  <c r="X725" i="11" s="1"/>
  <c r="Y725" i="11" s="1"/>
  <c r="Z725" i="11" s="1"/>
  <c r="AA725" i="11" s="1"/>
  <c r="X392" i="11"/>
  <c r="Y392" i="11" s="1"/>
  <c r="Z392" i="11" s="1"/>
  <c r="AA392" i="11" s="1"/>
  <c r="V438" i="11"/>
  <c r="W438" i="11" s="1"/>
  <c r="X438" i="11" s="1"/>
  <c r="Y438" i="11" s="1"/>
  <c r="Z438" i="11" s="1"/>
  <c r="AA438" i="11" s="1"/>
  <c r="W744" i="11"/>
  <c r="X744" i="11" s="1"/>
  <c r="Y744" i="11" s="1"/>
  <c r="Z744" i="11" s="1"/>
  <c r="AA744" i="11" s="1"/>
  <c r="W91" i="11"/>
  <c r="X679" i="11"/>
  <c r="Y679" i="11" s="1"/>
  <c r="Z679" i="11" s="1"/>
  <c r="AA679" i="11" s="1"/>
  <c r="V50" i="11"/>
  <c r="V361" i="11"/>
  <c r="Y487" i="11"/>
  <c r="Z487" i="11" s="1"/>
  <c r="AA487" i="11" s="1"/>
  <c r="U388" i="11"/>
  <c r="V388" i="11" s="1"/>
  <c r="W388" i="11" s="1"/>
  <c r="U89" i="11"/>
  <c r="Z250" i="11"/>
  <c r="AA250" i="11" s="1"/>
  <c r="V87" i="11"/>
  <c r="U327" i="11"/>
  <c r="Y6" i="11"/>
  <c r="X522" i="11"/>
  <c r="Y522" i="11" s="1"/>
  <c r="Z522" i="11" s="1"/>
  <c r="AA522" i="11" s="1"/>
  <c r="U289" i="11"/>
  <c r="V289" i="11" s="1"/>
  <c r="W289" i="11" s="1"/>
  <c r="X289" i="11" s="1"/>
  <c r="Y289" i="11" s="1"/>
  <c r="Z289" i="11" s="1"/>
  <c r="AA289" i="11" s="1"/>
  <c r="U688" i="11"/>
  <c r="V12" i="11"/>
  <c r="U102" i="11"/>
  <c r="Z380" i="11"/>
  <c r="AA380" i="11" s="1"/>
  <c r="V167" i="11"/>
  <c r="W20" i="11"/>
  <c r="Y478" i="11"/>
  <c r="Z478" i="11" s="1"/>
  <c r="AA478" i="11" s="1"/>
  <c r="Y244" i="11"/>
  <c r="X691" i="11"/>
  <c r="Y691" i="11" s="1"/>
  <c r="AA367" i="11"/>
  <c r="Z374" i="11"/>
  <c r="AA374" i="11" s="1"/>
  <c r="U44" i="11"/>
  <c r="V44" i="11" s="1"/>
  <c r="Z30" i="11"/>
  <c r="V757" i="11"/>
  <c r="Y258" i="11"/>
  <c r="Z258" i="11" s="1"/>
  <c r="AA258" i="11" s="1"/>
  <c r="W162" i="11"/>
  <c r="Y236" i="11"/>
  <c r="Z236" i="11" s="1"/>
  <c r="AA236" i="11" s="1"/>
  <c r="X5" i="11"/>
  <c r="Y5" i="11" s="1"/>
  <c r="W351" i="11"/>
  <c r="X351" i="11" s="1"/>
  <c r="Y351" i="11" s="1"/>
  <c r="Z351" i="11" s="1"/>
  <c r="AA351" i="11" s="1"/>
  <c r="U213" i="11"/>
  <c r="AA248" i="11"/>
  <c r="Z678" i="11"/>
  <c r="AA678" i="11" s="1"/>
  <c r="Y662" i="11"/>
  <c r="Z662" i="11" s="1"/>
  <c r="AA662" i="11" s="1"/>
  <c r="X510" i="11"/>
  <c r="Y510" i="11" s="1"/>
  <c r="Z510" i="11" s="1"/>
  <c r="AA510" i="11" s="1"/>
  <c r="X32" i="11"/>
  <c r="Y32" i="11" s="1"/>
  <c r="AA386" i="11"/>
  <c r="X695" i="11"/>
  <c r="Y695" i="11" s="1"/>
  <c r="Z695" i="11" s="1"/>
  <c r="AA695" i="11" s="1"/>
  <c r="X18" i="11"/>
  <c r="Z45" i="11"/>
  <c r="AA45" i="11" s="1"/>
  <c r="Z84" i="11"/>
  <c r="Y66" i="11"/>
  <c r="V111" i="11"/>
  <c r="W111" i="11" s="1"/>
  <c r="X111" i="11" s="1"/>
  <c r="W82" i="11"/>
  <c r="V165" i="11"/>
  <c r="X10" i="11"/>
  <c r="Y10" i="11" s="1"/>
  <c r="X9" i="11"/>
  <c r="Y121" i="11"/>
  <c r="Z121" i="11" s="1"/>
  <c r="AA121" i="11" s="1"/>
  <c r="U319" i="11"/>
  <c r="Z189" i="11"/>
  <c r="AA189" i="11" s="1"/>
  <c r="U579" i="11"/>
  <c r="W341" i="11"/>
  <c r="X341" i="11" s="1"/>
  <c r="Z459" i="11"/>
  <c r="AA459" i="11" s="1"/>
  <c r="X242" i="11"/>
  <c r="Y242" i="11" s="1"/>
  <c r="Z242" i="11" s="1"/>
  <c r="AA242" i="11" s="1"/>
  <c r="W196" i="11"/>
  <c r="X196" i="11" s="1"/>
  <c r="Y196" i="11" s="1"/>
  <c r="Z196" i="11" s="1"/>
  <c r="AA196" i="11" s="1"/>
  <c r="AB532" i="14"/>
  <c r="AB561" i="14"/>
  <c r="I35" i="22"/>
  <c r="F10" i="22"/>
  <c r="T34" i="22"/>
  <c r="AG33" i="22"/>
  <c r="K10" i="22"/>
  <c r="V12" i="22"/>
  <c r="K22" i="22"/>
  <c r="I21" i="22"/>
  <c r="S9" i="22"/>
  <c r="F21" i="22"/>
  <c r="AC36" i="22"/>
  <c r="I9" i="22"/>
  <c r="R30" i="22"/>
  <c r="AJ24" i="22"/>
  <c r="K35" i="22"/>
  <c r="J10" i="22"/>
  <c r="J30" i="22"/>
  <c r="P31" i="22"/>
  <c r="AC22" i="22"/>
  <c r="Z37" i="22"/>
  <c r="V11" i="22"/>
  <c r="E24" i="22"/>
  <c r="U10" i="22"/>
  <c r="H31" i="22"/>
  <c r="K36" i="22"/>
  <c r="AE18" i="22"/>
  <c r="S30" i="22"/>
  <c r="AD35" i="22"/>
  <c r="AE32" i="22"/>
  <c r="S21" i="22"/>
  <c r="AA11" i="22"/>
  <c r="AG18" i="22"/>
  <c r="P9" i="22"/>
  <c r="M21" i="22"/>
  <c r="H21" i="22"/>
  <c r="D21" i="22"/>
  <c r="E23" i="22"/>
  <c r="T33" i="22"/>
  <c r="D10" i="22"/>
  <c r="AA22" i="22"/>
  <c r="Z36" i="22"/>
  <c r="F9" i="22"/>
  <c r="Z22" i="22"/>
  <c r="J23" i="22"/>
  <c r="M37" i="22"/>
  <c r="D31" i="22"/>
  <c r="L22" i="22"/>
  <c r="O21" i="22"/>
  <c r="D9" i="22"/>
  <c r="U37" i="22"/>
  <c r="AI22" i="22"/>
  <c r="N25" i="22"/>
  <c r="J21" i="22"/>
  <c r="P30" i="22"/>
  <c r="J22" i="22"/>
  <c r="AF31" i="22"/>
  <c r="T20" i="22"/>
  <c r="L9" i="22"/>
  <c r="N24" i="22"/>
  <c r="AC38" i="22"/>
  <c r="AF18" i="22"/>
  <c r="E11" i="22"/>
  <c r="F36" i="22"/>
  <c r="AJ23" i="22"/>
  <c r="E30" i="22"/>
  <c r="U21" i="22"/>
  <c r="V27" i="22"/>
  <c r="Q20" i="22"/>
  <c r="R22" i="22"/>
  <c r="AC37" i="22"/>
  <c r="AC35" i="22"/>
  <c r="AD18" i="22"/>
  <c r="N10" i="22"/>
  <c r="Q34" i="22"/>
  <c r="M10" i="22"/>
  <c r="P21" i="22"/>
  <c r="R23" i="22"/>
  <c r="Z23" i="22"/>
  <c r="T9" i="22"/>
  <c r="U38" i="22"/>
  <c r="WT31" i="2" l="1"/>
  <c r="VY32" i="2"/>
  <c r="VY39" i="2" s="1"/>
  <c r="VY14" i="2"/>
  <c r="VY7" i="2"/>
  <c r="VY3" i="2"/>
  <c r="WA23" i="2"/>
  <c r="WA22" i="2"/>
  <c r="WA24" i="2"/>
  <c r="VD14" i="2"/>
  <c r="VD8" i="2"/>
  <c r="VD4" i="2"/>
  <c r="VD16" i="2"/>
  <c r="VD17" i="2"/>
  <c r="VF23" i="2"/>
  <c r="VF22" i="2"/>
  <c r="VF24" i="2"/>
  <c r="VD39" i="2"/>
  <c r="UI37" i="2"/>
  <c r="UI41" i="2" s="1"/>
  <c r="UN40" i="2"/>
  <c r="UK37" i="2"/>
  <c r="SS20" i="2"/>
  <c r="RC12" i="2"/>
  <c r="PM24" i="2"/>
  <c r="PM8" i="2"/>
  <c r="PM4" i="2"/>
  <c r="PM16" i="2"/>
  <c r="QH4" i="2"/>
  <c r="QH12" i="2"/>
  <c r="NW29" i="2"/>
  <c r="NW8" i="2"/>
  <c r="NW13" i="2"/>
  <c r="OR25" i="2"/>
  <c r="OR24" i="2"/>
  <c r="OR9" i="2"/>
  <c r="OR10" i="2"/>
  <c r="NW5" i="2"/>
  <c r="OR16" i="2"/>
  <c r="OR27" i="2"/>
  <c r="NW14" i="2"/>
  <c r="NW11" i="2"/>
  <c r="NW17" i="2"/>
  <c r="NW3" i="2"/>
  <c r="OR30" i="2"/>
  <c r="OR8" i="2"/>
  <c r="NW19" i="2"/>
  <c r="NB15" i="2"/>
  <c r="NW7" i="2"/>
  <c r="NB18" i="2"/>
  <c r="LL33" i="2"/>
  <c r="LL28" i="2"/>
  <c r="LL37" i="2" s="1"/>
  <c r="LL32" i="2"/>
  <c r="LL31" i="2"/>
  <c r="KS23" i="2"/>
  <c r="KS22" i="2"/>
  <c r="KS24" i="2"/>
  <c r="KQ39" i="2"/>
  <c r="KA40" i="2"/>
  <c r="JV41" i="2"/>
  <c r="JX37" i="2"/>
  <c r="GP20" i="2"/>
  <c r="FU25" i="2"/>
  <c r="FU4" i="2"/>
  <c r="FU20" i="2"/>
  <c r="EZ11" i="2"/>
  <c r="EZ12" i="2"/>
  <c r="EZ3" i="2"/>
  <c r="EZ8" i="2"/>
  <c r="EZ19" i="2"/>
  <c r="EZ5" i="2"/>
  <c r="EZ9" i="2"/>
  <c r="EE14" i="2"/>
  <c r="EE18" i="2"/>
  <c r="EE5" i="2"/>
  <c r="EE10" i="2"/>
  <c r="EE29" i="2"/>
  <c r="EE17" i="2"/>
  <c r="EE3" i="2"/>
  <c r="X75" i="14"/>
  <c r="Y75" i="14" s="1"/>
  <c r="Z75" i="14" s="1"/>
  <c r="AA75" i="14" s="1"/>
  <c r="AA201" i="11"/>
  <c r="AK18" i="22"/>
  <c r="U47" i="14"/>
  <c r="V47" i="14" s="1"/>
  <c r="AK30" i="22"/>
  <c r="T5" i="14"/>
  <c r="U5" i="14" s="1"/>
  <c r="T198" i="15"/>
  <c r="S69" i="14"/>
  <c r="S31" i="14"/>
  <c r="S11" i="14"/>
  <c r="S202" i="15"/>
  <c r="S157" i="15"/>
  <c r="T157" i="15" s="1"/>
  <c r="Y2" i="15"/>
  <c r="Z2" i="15" s="1"/>
  <c r="AA2" i="15" s="1"/>
  <c r="AB2" i="15" s="1"/>
  <c r="S140" i="15"/>
  <c r="T140" i="15" s="1"/>
  <c r="S138" i="15"/>
  <c r="U61" i="14"/>
  <c r="V61" i="14" s="1"/>
  <c r="W61" i="14" s="1"/>
  <c r="X61" i="14" s="1"/>
  <c r="Y61" i="14" s="1"/>
  <c r="Z61" i="14" s="1"/>
  <c r="AA61" i="14" s="1"/>
  <c r="S17" i="14"/>
  <c r="T164" i="15"/>
  <c r="S8" i="14"/>
  <c r="S28" i="14"/>
  <c r="T145" i="15"/>
  <c r="AA400" i="11"/>
  <c r="X226" i="11"/>
  <c r="Y226" i="11" s="1"/>
  <c r="Z226" i="11" s="1"/>
  <c r="AA226" i="11" s="1"/>
  <c r="AA684" i="11"/>
  <c r="X662" i="14"/>
  <c r="Y662" i="14" s="1"/>
  <c r="AA241" i="14"/>
  <c r="AB180" i="15"/>
  <c r="Z187" i="15"/>
  <c r="AA187" i="15" s="1"/>
  <c r="AB182" i="15"/>
  <c r="Y186" i="15"/>
  <c r="Z186" i="15" s="1"/>
  <c r="X194" i="15"/>
  <c r="Y194" i="15" s="1"/>
  <c r="Z194" i="15" s="1"/>
  <c r="AA194" i="15" s="1"/>
  <c r="W135" i="15"/>
  <c r="X135" i="15" s="1"/>
  <c r="X206" i="15"/>
  <c r="AA150" i="15"/>
  <c r="W131" i="15"/>
  <c r="Z168" i="15"/>
  <c r="T161" i="15"/>
  <c r="U161" i="15" s="1"/>
  <c r="Z136" i="15"/>
  <c r="AA136" i="15" s="1"/>
  <c r="X142" i="15"/>
  <c r="Y203" i="15"/>
  <c r="X207" i="15"/>
  <c r="Y166" i="15"/>
  <c r="Z165" i="15"/>
  <c r="AB149" i="15"/>
  <c r="W170" i="15"/>
  <c r="X170" i="15" s="1"/>
  <c r="Y170" i="15" s="1"/>
  <c r="Z170" i="15" s="1"/>
  <c r="AA170" i="15" s="1"/>
  <c r="AB170" i="15" s="1"/>
  <c r="Y151" i="15"/>
  <c r="W158" i="15"/>
  <c r="X158" i="15" s="1"/>
  <c r="W163" i="15"/>
  <c r="X193" i="15"/>
  <c r="W199" i="15"/>
  <c r="AA192" i="15"/>
  <c r="Y139" i="15"/>
  <c r="Z196" i="15"/>
  <c r="AA196" i="15" s="1"/>
  <c r="AB196" i="15" s="1"/>
  <c r="Z134" i="15"/>
  <c r="Z152" i="15"/>
  <c r="V154" i="15"/>
  <c r="W154" i="15" s="1"/>
  <c r="U162" i="15"/>
  <c r="Z531" i="14"/>
  <c r="AA531" i="14" s="1"/>
  <c r="AA765" i="14"/>
  <c r="Y154" i="14"/>
  <c r="Z154" i="14" s="1"/>
  <c r="AA154" i="14" s="1"/>
  <c r="V322" i="14"/>
  <c r="W322" i="14" s="1"/>
  <c r="X322" i="14" s="1"/>
  <c r="U243" i="14"/>
  <c r="W102" i="14"/>
  <c r="X102" i="14" s="1"/>
  <c r="Y102" i="14" s="1"/>
  <c r="Z102" i="14" s="1"/>
  <c r="X336" i="14"/>
  <c r="Y336" i="14" s="1"/>
  <c r="Z336" i="14" s="1"/>
  <c r="V518" i="14"/>
  <c r="W518" i="14" s="1"/>
  <c r="U504" i="14"/>
  <c r="V504" i="14" s="1"/>
  <c r="W504" i="14" s="1"/>
  <c r="Z580" i="14"/>
  <c r="AA580" i="14" s="1"/>
  <c r="AA350" i="14"/>
  <c r="Z295" i="14"/>
  <c r="AA295" i="14" s="1"/>
  <c r="X319" i="14"/>
  <c r="Y319" i="14" s="1"/>
  <c r="Z319" i="14" s="1"/>
  <c r="AA319" i="14" s="1"/>
  <c r="W692" i="14"/>
  <c r="Y133" i="14"/>
  <c r="Z133" i="14" s="1"/>
  <c r="AA133" i="14" s="1"/>
  <c r="AA274" i="14"/>
  <c r="X685" i="14"/>
  <c r="Y685" i="14" s="1"/>
  <c r="Z685" i="14" s="1"/>
  <c r="AA685" i="14" s="1"/>
  <c r="Z663" i="14"/>
  <c r="AA663" i="14" s="1"/>
  <c r="X309" i="14"/>
  <c r="Y309" i="14" s="1"/>
  <c r="X598" i="14"/>
  <c r="Y598" i="14" s="1"/>
  <c r="Z598" i="14" s="1"/>
  <c r="AA499" i="14"/>
  <c r="Y569" i="14"/>
  <c r="Z569" i="14" s="1"/>
  <c r="AA569" i="14" s="1"/>
  <c r="Z498" i="14"/>
  <c r="AA498" i="14" s="1"/>
  <c r="AA126" i="14"/>
  <c r="AA782" i="14"/>
  <c r="Z262" i="14"/>
  <c r="AA262" i="14" s="1"/>
  <c r="Z194" i="14"/>
  <c r="AA194" i="14" s="1"/>
  <c r="Y278" i="14"/>
  <c r="Z278" i="14" s="1"/>
  <c r="AA278" i="14" s="1"/>
  <c r="Z3" i="14"/>
  <c r="X542" i="14"/>
  <c r="V22" i="14"/>
  <c r="W22" i="14" s="1"/>
  <c r="W6" i="14"/>
  <c r="X110" i="14"/>
  <c r="Y13" i="14"/>
  <c r="Z13" i="14" s="1"/>
  <c r="W25" i="14"/>
  <c r="X20" i="14"/>
  <c r="Y15" i="14"/>
  <c r="V100" i="14"/>
  <c r="Y191" i="14"/>
  <c r="Y77" i="14"/>
  <c r="W654" i="14"/>
  <c r="X345" i="14"/>
  <c r="Y345" i="14" s="1"/>
  <c r="Z345" i="14" s="1"/>
  <c r="AA345" i="14" s="1"/>
  <c r="V141" i="14"/>
  <c r="Z23" i="14"/>
  <c r="W486" i="14"/>
  <c r="W514" i="14"/>
  <c r="W14" i="14"/>
  <c r="W108" i="14"/>
  <c r="W85" i="14"/>
  <c r="X85" i="14" s="1"/>
  <c r="AA52" i="14"/>
  <c r="X186" i="14"/>
  <c r="Y55" i="14"/>
  <c r="AA333" i="14"/>
  <c r="X505" i="14"/>
  <c r="V67" i="14"/>
  <c r="Y2" i="14"/>
  <c r="W448" i="14"/>
  <c r="W335" i="14"/>
  <c r="V783" i="14"/>
  <c r="Y35" i="14"/>
  <c r="W83" i="14"/>
  <c r="Y119" i="14"/>
  <c r="Z540" i="14"/>
  <c r="V30" i="14"/>
  <c r="Z403" i="14"/>
  <c r="AA403" i="14" s="1"/>
  <c r="V292" i="14"/>
  <c r="Y193" i="14"/>
  <c r="Z193" i="14" s="1"/>
  <c r="Z19" i="14"/>
  <c r="Z60" i="14"/>
  <c r="V180" i="14"/>
  <c r="Y36" i="14"/>
  <c r="Y125" i="14"/>
  <c r="V375" i="14"/>
  <c r="Y7" i="14"/>
  <c r="W362" i="14"/>
  <c r="Y34" i="14"/>
  <c r="AA680" i="11"/>
  <c r="Z78" i="11"/>
  <c r="AA78" i="11" s="1"/>
  <c r="Y150" i="11"/>
  <c r="Z150" i="11" s="1"/>
  <c r="AA150" i="11" s="1"/>
  <c r="AA158" i="11"/>
  <c r="X449" i="11"/>
  <c r="Y449" i="11" s="1"/>
  <c r="Z449" i="11" s="1"/>
  <c r="AA449" i="11" s="1"/>
  <c r="Z390" i="11"/>
  <c r="AA390" i="11" s="1"/>
  <c r="Y659" i="11"/>
  <c r="Z659" i="11" s="1"/>
  <c r="W455" i="11"/>
  <c r="X455" i="11" s="1"/>
  <c r="Y455" i="11" s="1"/>
  <c r="Z508" i="11"/>
  <c r="AA508" i="11" s="1"/>
  <c r="X388" i="11"/>
  <c r="Y388" i="11" s="1"/>
  <c r="Z388" i="11" s="1"/>
  <c r="AA388" i="11" s="1"/>
  <c r="AA436" i="11"/>
  <c r="Z593" i="11"/>
  <c r="AA593" i="11" s="1"/>
  <c r="W732" i="11"/>
  <c r="X732" i="11" s="1"/>
  <c r="Y732" i="11" s="1"/>
  <c r="Z732" i="11" s="1"/>
  <c r="AA732" i="11" s="1"/>
  <c r="W644" i="11"/>
  <c r="Z188" i="11"/>
  <c r="AA188" i="11" s="1"/>
  <c r="Z116" i="11"/>
  <c r="AA116" i="11" s="1"/>
  <c r="Y341" i="11"/>
  <c r="Z32" i="11"/>
  <c r="AA220" i="11"/>
  <c r="Z691" i="11"/>
  <c r="AA691" i="11" s="1"/>
  <c r="Y347" i="11"/>
  <c r="Z347" i="11" s="1"/>
  <c r="AA347" i="11" s="1"/>
  <c r="Z13" i="11"/>
  <c r="W87" i="11"/>
  <c r="X87" i="11" s="1"/>
  <c r="V319" i="11"/>
  <c r="W165" i="11"/>
  <c r="W757" i="11"/>
  <c r="Z6" i="11"/>
  <c r="AA6" i="11" s="1"/>
  <c r="Z42" i="11"/>
  <c r="X132" i="11"/>
  <c r="AA30" i="11"/>
  <c r="X20" i="11"/>
  <c r="X91" i="11"/>
  <c r="Y111" i="11"/>
  <c r="Z111" i="11" s="1"/>
  <c r="AA111" i="11" s="1"/>
  <c r="Y18" i="11"/>
  <c r="Z5" i="11"/>
  <c r="V688" i="11"/>
  <c r="Z211" i="11"/>
  <c r="AA211" i="11" s="1"/>
  <c r="W167" i="11"/>
  <c r="V327" i="11"/>
  <c r="V89" i="11"/>
  <c r="W361" i="11"/>
  <c r="W569" i="11"/>
  <c r="W44" i="11"/>
  <c r="Y9" i="11"/>
  <c r="W50" i="11"/>
  <c r="Y305" i="11"/>
  <c r="Z305" i="11" s="1"/>
  <c r="AA305" i="11" s="1"/>
  <c r="X82" i="11"/>
  <c r="V579" i="11"/>
  <c r="V213" i="11"/>
  <c r="X162" i="11"/>
  <c r="X235" i="11"/>
  <c r="X424" i="11"/>
  <c r="Z10" i="11"/>
  <c r="Z66" i="11"/>
  <c r="AA66" i="11" s="1"/>
  <c r="V148" i="11"/>
  <c r="AA84" i="11"/>
  <c r="AA2" i="11"/>
  <c r="V102" i="11"/>
  <c r="Z244" i="11"/>
  <c r="W12" i="11"/>
  <c r="X12" i="11" s="1"/>
  <c r="V652" i="11"/>
  <c r="Y51" i="11"/>
  <c r="AA47" i="11"/>
  <c r="AB96" i="14"/>
  <c r="AB205" i="14"/>
  <c r="AB666" i="14"/>
  <c r="AB519" i="14"/>
  <c r="AB573" i="14"/>
  <c r="AB593" i="14"/>
  <c r="AB700" i="14"/>
  <c r="AB528" i="14"/>
  <c r="AB668" i="14"/>
  <c r="AB370" i="14"/>
  <c r="AB178" i="14"/>
  <c r="AB308" i="14"/>
  <c r="AB227" i="14"/>
  <c r="AB188" i="14"/>
  <c r="AB584" i="14"/>
  <c r="AB551" i="14"/>
  <c r="AB607" i="14"/>
  <c r="AB237" i="14"/>
  <c r="AB215" i="14"/>
  <c r="AB714" i="14"/>
  <c r="AB723" i="14"/>
  <c r="AB218" i="14"/>
  <c r="AB549" i="14"/>
  <c r="AB49" i="14"/>
  <c r="I23" i="22"/>
  <c r="H22" i="22"/>
  <c r="AA23" i="22"/>
  <c r="AE33" i="22"/>
  <c r="S32" i="22"/>
  <c r="I22" i="22"/>
  <c r="AF33" i="22"/>
  <c r="S10" i="22"/>
  <c r="N26" i="22"/>
  <c r="T35" i="22"/>
  <c r="F11" i="22"/>
  <c r="P22" i="22"/>
  <c r="AD36" i="22"/>
  <c r="J31" i="22"/>
  <c r="Z24" i="22"/>
  <c r="D32" i="22"/>
  <c r="J11" i="22"/>
  <c r="AI23" i="22"/>
  <c r="AC23" i="22"/>
  <c r="E31" i="22"/>
  <c r="D22" i="22"/>
  <c r="U23" i="22"/>
  <c r="U39" i="22"/>
  <c r="L24" i="22"/>
  <c r="AE19" i="22"/>
  <c r="H23" i="22"/>
  <c r="V13" i="22"/>
  <c r="L23" i="22"/>
  <c r="D11" i="22"/>
  <c r="F37" i="22"/>
  <c r="O22" i="22"/>
  <c r="K23" i="22"/>
  <c r="S22" i="22"/>
  <c r="AC39" i="22"/>
  <c r="I10" i="22"/>
  <c r="S31" i="22"/>
  <c r="AF19" i="22"/>
  <c r="Z38" i="22"/>
  <c r="AG35" i="22"/>
  <c r="AG19" i="22"/>
  <c r="M11" i="22"/>
  <c r="J24" i="22"/>
  <c r="F22" i="22"/>
  <c r="T21" i="22"/>
  <c r="Q35" i="22"/>
  <c r="I36" i="22"/>
  <c r="K11" i="22"/>
  <c r="T22" i="22"/>
  <c r="R24" i="22"/>
  <c r="AF32" i="22"/>
  <c r="AA12" i="22"/>
  <c r="P10" i="22"/>
  <c r="M22" i="22"/>
  <c r="U11" i="22"/>
  <c r="M12" i="22"/>
  <c r="AG34" i="22"/>
  <c r="N11" i="22"/>
  <c r="AJ25" i="22"/>
  <c r="AD19" i="22"/>
  <c r="R32" i="22"/>
  <c r="M38" i="22"/>
  <c r="T10" i="22"/>
  <c r="R31" i="22"/>
  <c r="E25" i="22"/>
  <c r="Q21" i="22"/>
  <c r="P32" i="22"/>
  <c r="E12" i="22"/>
  <c r="U22" i="22"/>
  <c r="K37" i="22"/>
  <c r="L10" i="22"/>
  <c r="H32" i="22"/>
  <c r="WT14" i="2" l="1"/>
  <c r="WT3" i="2"/>
  <c r="WT17" i="2"/>
  <c r="WT16" i="2"/>
  <c r="WT7" i="2"/>
  <c r="WT32" i="2"/>
  <c r="WT39" i="2" s="1"/>
  <c r="WV23" i="2"/>
  <c r="WV22" i="2"/>
  <c r="WV24" i="2"/>
  <c r="VY16" i="2"/>
  <c r="VY8" i="2"/>
  <c r="VY17" i="2"/>
  <c r="VY4" i="2"/>
  <c r="WD40" i="2"/>
  <c r="WA37" i="2"/>
  <c r="VD37" i="2"/>
  <c r="VD41" i="2" s="1"/>
  <c r="VF37" i="2"/>
  <c r="VI40" i="2"/>
  <c r="RX12" i="2"/>
  <c r="QH16" i="2"/>
  <c r="PM19" i="2"/>
  <c r="PM25" i="2"/>
  <c r="QH24" i="2"/>
  <c r="PM30" i="2"/>
  <c r="RC4" i="2"/>
  <c r="PM7" i="2"/>
  <c r="QH8" i="2"/>
  <c r="PM27" i="2"/>
  <c r="PM9" i="2"/>
  <c r="PM29" i="2"/>
  <c r="QH10" i="2"/>
  <c r="PM10" i="2"/>
  <c r="OR3" i="2"/>
  <c r="OR11" i="2"/>
  <c r="OR13" i="2"/>
  <c r="OR17" i="2"/>
  <c r="OR14" i="2"/>
  <c r="OR5" i="2"/>
  <c r="OR29" i="2"/>
  <c r="OR18" i="2"/>
  <c r="NW15" i="2"/>
  <c r="OR7" i="2"/>
  <c r="OR19" i="2"/>
  <c r="NW18" i="2"/>
  <c r="MG31" i="2"/>
  <c r="MG32" i="2"/>
  <c r="MG33" i="2"/>
  <c r="MG28" i="2"/>
  <c r="MG37" i="2" s="1"/>
  <c r="LN23" i="2"/>
  <c r="LN22" i="2"/>
  <c r="LN24" i="2"/>
  <c r="LL39" i="2"/>
  <c r="KV40" i="2"/>
  <c r="KQ41" i="2"/>
  <c r="KS37" i="2"/>
  <c r="HK20" i="2"/>
  <c r="GP4" i="2"/>
  <c r="GP11" i="2"/>
  <c r="GP25" i="2"/>
  <c r="FU19" i="2"/>
  <c r="FU12" i="2"/>
  <c r="FU9" i="2"/>
  <c r="FU8" i="2"/>
  <c r="FU11" i="2"/>
  <c r="FU5" i="2"/>
  <c r="FU3" i="2"/>
  <c r="EZ29" i="2"/>
  <c r="EZ14" i="2"/>
  <c r="EZ17" i="2"/>
  <c r="EZ10" i="2"/>
  <c r="EZ18" i="2"/>
  <c r="AK19" i="22"/>
  <c r="W47" i="14"/>
  <c r="X47" i="14" s="1"/>
  <c r="Y47" i="14" s="1"/>
  <c r="Z47" i="14" s="1"/>
  <c r="AA47" i="14" s="1"/>
  <c r="AK31" i="22"/>
  <c r="V5" i="14"/>
  <c r="U145" i="15"/>
  <c r="T69" i="14"/>
  <c r="U69" i="14" s="1"/>
  <c r="V69" i="14" s="1"/>
  <c r="W69" i="14" s="1"/>
  <c r="T11" i="14"/>
  <c r="T138" i="15"/>
  <c r="U138" i="15" s="1"/>
  <c r="V138" i="15" s="1"/>
  <c r="T202" i="15"/>
  <c r="T8" i="14"/>
  <c r="U8" i="14" s="1"/>
  <c r="U198" i="15"/>
  <c r="U164" i="15"/>
  <c r="U157" i="15"/>
  <c r="V157" i="15" s="1"/>
  <c r="U140" i="15"/>
  <c r="T28" i="14"/>
  <c r="T17" i="14"/>
  <c r="T31" i="14"/>
  <c r="Z662" i="14"/>
  <c r="AA662" i="14" s="1"/>
  <c r="AB187" i="15"/>
  <c r="AB136" i="15"/>
  <c r="X154" i="15"/>
  <c r="Y154" i="15" s="1"/>
  <c r="AA186" i="15"/>
  <c r="AB186" i="15" s="1"/>
  <c r="AB194" i="15"/>
  <c r="V161" i="15"/>
  <c r="Y158" i="15"/>
  <c r="AA165" i="15"/>
  <c r="AA152" i="15"/>
  <c r="Z139" i="15"/>
  <c r="AB192" i="15"/>
  <c r="Z151" i="15"/>
  <c r="Z166" i="15"/>
  <c r="Y207" i="15"/>
  <c r="AA168" i="15"/>
  <c r="Y135" i="15"/>
  <c r="X199" i="15"/>
  <c r="Z203" i="15"/>
  <c r="V162" i="15"/>
  <c r="AA134" i="15"/>
  <c r="Y193" i="15"/>
  <c r="Y142" i="15"/>
  <c r="X131" i="15"/>
  <c r="X163" i="15"/>
  <c r="AB150" i="15"/>
  <c r="Y206" i="15"/>
  <c r="V243" i="14"/>
  <c r="Y322" i="14"/>
  <c r="Z322" i="14" s="1"/>
  <c r="AA322" i="14" s="1"/>
  <c r="X518" i="14"/>
  <c r="Y518" i="14" s="1"/>
  <c r="Z518" i="14" s="1"/>
  <c r="X504" i="14"/>
  <c r="Y504" i="14" s="1"/>
  <c r="Z504" i="14" s="1"/>
  <c r="AA504" i="14" s="1"/>
  <c r="AA102" i="14"/>
  <c r="X692" i="14"/>
  <c r="Y692" i="14" s="1"/>
  <c r="Z309" i="14"/>
  <c r="AA309" i="14" s="1"/>
  <c r="AA598" i="14"/>
  <c r="AA193" i="14"/>
  <c r="AA60" i="14"/>
  <c r="Z119" i="14"/>
  <c r="Y505" i="14"/>
  <c r="X108" i="14"/>
  <c r="X654" i="14"/>
  <c r="Y542" i="14"/>
  <c r="X362" i="14"/>
  <c r="AA19" i="14"/>
  <c r="X83" i="14"/>
  <c r="Z77" i="14"/>
  <c r="Z35" i="14"/>
  <c r="Z55" i="14"/>
  <c r="X14" i="14"/>
  <c r="Z191" i="14"/>
  <c r="AA3" i="14"/>
  <c r="W783" i="14"/>
  <c r="X514" i="14"/>
  <c r="W100" i="14"/>
  <c r="Y110" i="14"/>
  <c r="Z7" i="14"/>
  <c r="Z125" i="14"/>
  <c r="W292" i="14"/>
  <c r="X335" i="14"/>
  <c r="Y186" i="14"/>
  <c r="X486" i="14"/>
  <c r="AA13" i="14"/>
  <c r="X6" i="14"/>
  <c r="Z36" i="14"/>
  <c r="X448" i="14"/>
  <c r="AA23" i="14"/>
  <c r="Z15" i="14"/>
  <c r="X22" i="14"/>
  <c r="W180" i="14"/>
  <c r="W30" i="14"/>
  <c r="Z2" i="14"/>
  <c r="Y85" i="14"/>
  <c r="W141" i="14"/>
  <c r="Y20" i="14"/>
  <c r="Z34" i="14"/>
  <c r="AA336" i="14"/>
  <c r="AA540" i="14"/>
  <c r="W67" i="14"/>
  <c r="X25" i="14"/>
  <c r="W375" i="14"/>
  <c r="AA659" i="11"/>
  <c r="Z455" i="11"/>
  <c r="AA455" i="11" s="1"/>
  <c r="X644" i="11"/>
  <c r="Y12" i="11"/>
  <c r="X569" i="11"/>
  <c r="X361" i="11"/>
  <c r="AA244" i="11"/>
  <c r="W213" i="11"/>
  <c r="W148" i="11"/>
  <c r="W688" i="11"/>
  <c r="Z51" i="11"/>
  <c r="W102" i="11"/>
  <c r="AA10" i="11"/>
  <c r="AA5" i="11"/>
  <c r="Y132" i="11"/>
  <c r="X165" i="11"/>
  <c r="Y424" i="11"/>
  <c r="W579" i="11"/>
  <c r="X50" i="11"/>
  <c r="W89" i="11"/>
  <c r="Z18" i="11"/>
  <c r="W319" i="11"/>
  <c r="Y82" i="11"/>
  <c r="W327" i="11"/>
  <c r="AA42" i="11"/>
  <c r="AA32" i="11"/>
  <c r="W652" i="11"/>
  <c r="Z9" i="11"/>
  <c r="X167" i="11"/>
  <c r="Y91" i="11"/>
  <c r="Z341" i="11"/>
  <c r="Y87" i="11"/>
  <c r="X44" i="11"/>
  <c r="Y235" i="11"/>
  <c r="X757" i="11"/>
  <c r="Y162" i="11"/>
  <c r="Y20" i="11"/>
  <c r="AA13" i="11"/>
  <c r="AB546" i="14"/>
  <c r="AB165" i="14"/>
  <c r="AB421" i="14"/>
  <c r="AB224" i="14"/>
  <c r="AB168" i="14"/>
  <c r="AB78" i="14"/>
  <c r="AB271" i="14"/>
  <c r="AB144" i="14"/>
  <c r="AB341" i="14"/>
  <c r="AB158" i="14"/>
  <c r="AB248" i="14"/>
  <c r="AB130" i="14"/>
  <c r="AB523" i="14"/>
  <c r="AB632" i="14"/>
  <c r="AB610" i="14"/>
  <c r="AB557" i="14"/>
  <c r="AB608" i="14"/>
  <c r="AB672" i="14"/>
  <c r="AB790" i="14"/>
  <c r="AB133" i="14"/>
  <c r="AB152" i="14"/>
  <c r="AB176" i="14"/>
  <c r="AB656" i="14"/>
  <c r="AB527" i="14"/>
  <c r="AB260" i="14"/>
  <c r="AB511" i="14"/>
  <c r="AB247" i="14"/>
  <c r="AB132" i="14"/>
  <c r="AB146" i="14"/>
  <c r="AB759" i="14"/>
  <c r="AB496" i="14"/>
  <c r="AB591" i="14"/>
  <c r="AB348" i="14"/>
  <c r="AB318" i="14"/>
  <c r="AB54" i="14"/>
  <c r="AB620" i="14"/>
  <c r="AB576" i="14"/>
  <c r="AB571" i="14"/>
  <c r="AB382" i="14"/>
  <c r="AB625" i="14"/>
  <c r="AB567" i="14"/>
  <c r="AB635" i="14"/>
  <c r="AB89" i="14"/>
  <c r="AB581" i="14"/>
  <c r="AB338" i="14"/>
  <c r="AB402" i="14"/>
  <c r="AB615" i="14"/>
  <c r="AB76" i="14"/>
  <c r="AB534" i="14"/>
  <c r="AB631" i="14"/>
  <c r="AB685" i="14"/>
  <c r="AB712" i="14"/>
  <c r="AB559" i="14"/>
  <c r="AB135" i="14"/>
  <c r="AB306" i="14"/>
  <c r="AB555" i="14"/>
  <c r="AB780" i="14"/>
  <c r="AB601" i="14"/>
  <c r="AB332" i="14"/>
  <c r="AB621" i="14"/>
  <c r="AB752" i="14"/>
  <c r="AB303" i="14"/>
  <c r="AB203" i="14"/>
  <c r="AB729" i="14"/>
  <c r="AB725" i="14"/>
  <c r="AB461" i="14"/>
  <c r="AB400" i="14"/>
  <c r="AB187" i="14"/>
  <c r="AB140" i="14"/>
  <c r="AB748" i="14"/>
  <c r="AB568" i="14"/>
  <c r="AB464" i="14"/>
  <c r="AB578" i="14"/>
  <c r="AB617" i="14"/>
  <c r="AB339" i="14"/>
  <c r="AB383" i="14"/>
  <c r="AB195" i="14"/>
  <c r="AB762" i="14"/>
  <c r="AB134" i="14"/>
  <c r="AB245" i="14"/>
  <c r="AB606" i="14"/>
  <c r="AB42" i="14"/>
  <c r="AB575" i="14"/>
  <c r="AB697" i="14"/>
  <c r="AB235" i="14"/>
  <c r="AB62" i="14"/>
  <c r="AB261" i="14"/>
  <c r="AB650" i="14"/>
  <c r="AB251" i="14"/>
  <c r="AB701" i="14"/>
  <c r="AB524" i="14"/>
  <c r="AB499" i="14"/>
  <c r="AB305" i="14"/>
  <c r="AB145" i="14"/>
  <c r="AB454" i="14"/>
  <c r="AB289" i="14"/>
  <c r="AB39" i="14"/>
  <c r="AB323" i="14"/>
  <c r="AB147" i="14"/>
  <c r="AB443" i="14"/>
  <c r="AB74" i="14"/>
  <c r="AB669" i="14"/>
  <c r="AB393" i="14"/>
  <c r="AB553" i="14"/>
  <c r="AB624" i="14"/>
  <c r="AB521" i="14"/>
  <c r="AB586" i="14"/>
  <c r="AB547" i="14"/>
  <c r="AB565" i="14"/>
  <c r="AB290" i="14"/>
  <c r="AB493" i="14"/>
  <c r="AB107" i="14"/>
  <c r="AB613" i="14"/>
  <c r="AB728" i="14"/>
  <c r="AB640" i="14"/>
  <c r="AB166" i="14"/>
  <c r="AB570" i="14"/>
  <c r="AB326" i="14"/>
  <c r="AB566" i="14"/>
  <c r="AB634" i="14"/>
  <c r="AB345" i="14"/>
  <c r="AB645" i="14"/>
  <c r="AB574" i="14"/>
  <c r="AB329" i="14"/>
  <c r="AB315" i="14"/>
  <c r="AB233" i="14"/>
  <c r="AB406" i="14"/>
  <c r="AB301" i="14"/>
  <c r="AB298" i="14"/>
  <c r="AB212" i="14"/>
  <c r="AB174" i="14"/>
  <c r="AB770" i="14"/>
  <c r="AB360" i="14"/>
  <c r="AB112" i="14"/>
  <c r="AB683" i="14"/>
  <c r="AB543" i="14"/>
  <c r="AB444" i="14"/>
  <c r="AB404" i="14"/>
  <c r="AB787" i="14"/>
  <c r="AB556" i="14"/>
  <c r="AB379" i="14"/>
  <c r="AB101" i="14"/>
  <c r="AB647" i="14"/>
  <c r="AB616" i="14"/>
  <c r="AB655" i="14"/>
  <c r="AB427" i="14"/>
  <c r="AB198" i="14"/>
  <c r="AB579" i="14"/>
  <c r="AB258" i="14"/>
  <c r="AB238" i="14"/>
  <c r="AB304" i="14"/>
  <c r="AB476" i="14"/>
  <c r="AB4" i="14"/>
  <c r="AB321" i="14"/>
  <c r="AB66" i="14"/>
  <c r="E13" i="22"/>
  <c r="M23" i="22"/>
  <c r="AA24" i="22"/>
  <c r="E32" i="22"/>
  <c r="I11" i="22"/>
  <c r="M13" i="22"/>
  <c r="F12" i="22"/>
  <c r="R25" i="22"/>
  <c r="S33" i="22"/>
  <c r="Z39" i="22"/>
  <c r="J32" i="22"/>
  <c r="J34" i="22"/>
  <c r="U24" i="22"/>
  <c r="AA13" i="22"/>
  <c r="L11" i="22"/>
  <c r="Q36" i="22"/>
  <c r="U12" i="22"/>
  <c r="I37" i="22"/>
  <c r="H33" i="22"/>
  <c r="T11" i="22"/>
  <c r="E26" i="22"/>
  <c r="J25" i="22"/>
  <c r="D23" i="22"/>
  <c r="K38" i="22"/>
  <c r="AJ26" i="22"/>
  <c r="L25" i="22"/>
  <c r="S11" i="22"/>
  <c r="AE34" i="22"/>
  <c r="V14" i="22"/>
  <c r="N27" i="22"/>
  <c r="AD20" i="22"/>
  <c r="T36" i="22"/>
  <c r="AG20" i="22"/>
  <c r="AE20" i="22"/>
  <c r="D12" i="22"/>
  <c r="Z25" i="22"/>
  <c r="R34" i="22"/>
  <c r="AF20" i="22"/>
  <c r="D33" i="22"/>
  <c r="J33" i="22"/>
  <c r="AF34" i="22"/>
  <c r="P33" i="22"/>
  <c r="T23" i="22"/>
  <c r="AG36" i="22"/>
  <c r="AG37" i="22"/>
  <c r="AD37" i="22"/>
  <c r="O23" i="22"/>
  <c r="S23" i="22"/>
  <c r="P23" i="22"/>
  <c r="M39" i="22"/>
  <c r="AC24" i="22"/>
  <c r="F23" i="22"/>
  <c r="AI24" i="22"/>
  <c r="P11" i="22"/>
  <c r="I24" i="22"/>
  <c r="H24" i="22"/>
  <c r="J12" i="22"/>
  <c r="N12" i="22"/>
  <c r="F38" i="22"/>
  <c r="K24" i="22"/>
  <c r="K12" i="22"/>
  <c r="R33" i="22"/>
  <c r="Q22" i="22"/>
  <c r="WT8" i="2" l="1"/>
  <c r="WT4" i="2"/>
  <c r="WY40" i="2"/>
  <c r="WV37" i="2"/>
  <c r="VY37" i="2"/>
  <c r="VY41" i="2" s="1"/>
  <c r="RX4" i="2"/>
  <c r="SS12" i="2"/>
  <c r="PM5" i="2"/>
  <c r="QH30" i="2"/>
  <c r="RC8" i="2"/>
  <c r="RC24" i="2"/>
  <c r="PM14" i="2"/>
  <c r="QH9" i="2"/>
  <c r="PM13" i="2"/>
  <c r="QH25" i="2"/>
  <c r="QH29" i="2"/>
  <c r="QH7" i="2"/>
  <c r="QH19" i="2"/>
  <c r="QH27" i="2"/>
  <c r="RC16" i="2"/>
  <c r="PM3" i="2"/>
  <c r="RC10" i="2"/>
  <c r="PM11" i="2"/>
  <c r="PM17" i="2"/>
  <c r="PM18" i="2"/>
  <c r="OR15" i="2"/>
  <c r="NB33" i="2"/>
  <c r="NB28" i="2"/>
  <c r="NB37" i="2" s="1"/>
  <c r="NB32" i="2"/>
  <c r="NB31" i="2"/>
  <c r="MI23" i="2"/>
  <c r="MI22" i="2"/>
  <c r="MI24" i="2"/>
  <c r="MG39" i="2"/>
  <c r="LQ40" i="2"/>
  <c r="LL41" i="2"/>
  <c r="LN37" i="2"/>
  <c r="IF20" i="2"/>
  <c r="HK11" i="2"/>
  <c r="HK4" i="2"/>
  <c r="HK25" i="2"/>
  <c r="GP19" i="2"/>
  <c r="GP8" i="2"/>
  <c r="GP12" i="2"/>
  <c r="GP3" i="2"/>
  <c r="GP5" i="2"/>
  <c r="GP9" i="2"/>
  <c r="FU14" i="2"/>
  <c r="FU29" i="2"/>
  <c r="FU18" i="2"/>
  <c r="FU10" i="2"/>
  <c r="FU17" i="2"/>
  <c r="AK20" i="22"/>
  <c r="AK32" i="22"/>
  <c r="V8" i="14"/>
  <c r="U31" i="14"/>
  <c r="V198" i="15"/>
  <c r="U11" i="14"/>
  <c r="W157" i="15"/>
  <c r="X157" i="15" s="1"/>
  <c r="X69" i="14"/>
  <c r="Y69" i="14" s="1"/>
  <c r="Z69" i="14" s="1"/>
  <c r="AA69" i="14" s="1"/>
  <c r="W5" i="14"/>
  <c r="U17" i="14"/>
  <c r="V145" i="15"/>
  <c r="W145" i="15" s="1"/>
  <c r="U202" i="15"/>
  <c r="U28" i="14"/>
  <c r="V164" i="15"/>
  <c r="W138" i="15"/>
  <c r="V140" i="15"/>
  <c r="Z206" i="15"/>
  <c r="AA203" i="15"/>
  <c r="AA139" i="15"/>
  <c r="Y199" i="15"/>
  <c r="AB152" i="15"/>
  <c r="Z193" i="15"/>
  <c r="Z135" i="15"/>
  <c r="AB168" i="15"/>
  <c r="AB165" i="15"/>
  <c r="W161" i="15"/>
  <c r="Y163" i="15"/>
  <c r="Z207" i="15"/>
  <c r="Z154" i="15"/>
  <c r="AA154" i="15" s="1"/>
  <c r="AB134" i="15"/>
  <c r="AA166" i="15"/>
  <c r="Y131" i="15"/>
  <c r="W162" i="15"/>
  <c r="AA151" i="15"/>
  <c r="Z158" i="15"/>
  <c r="Z142" i="15"/>
  <c r="W243" i="14"/>
  <c r="Z692" i="14"/>
  <c r="AB309" i="14"/>
  <c r="X30" i="14"/>
  <c r="Y6" i="14"/>
  <c r="AA7" i="14"/>
  <c r="AA191" i="14"/>
  <c r="Y362" i="14"/>
  <c r="Z110" i="14"/>
  <c r="Y14" i="14"/>
  <c r="Z542" i="14"/>
  <c r="AA34" i="14"/>
  <c r="X180" i="14"/>
  <c r="Y486" i="14"/>
  <c r="X100" i="14"/>
  <c r="AA55" i="14"/>
  <c r="Y654" i="14"/>
  <c r="Z20" i="14"/>
  <c r="Y22" i="14"/>
  <c r="Z186" i="14"/>
  <c r="Y514" i="14"/>
  <c r="AA35" i="14"/>
  <c r="Y108" i="14"/>
  <c r="X141" i="14"/>
  <c r="AA15" i="14"/>
  <c r="Y335" i="14"/>
  <c r="AA77" i="14"/>
  <c r="Z505" i="14"/>
  <c r="X375" i="14"/>
  <c r="Z85" i="14"/>
  <c r="X783" i="14"/>
  <c r="AA518" i="14"/>
  <c r="AA119" i="14"/>
  <c r="Y25" i="14"/>
  <c r="AA2" i="14"/>
  <c r="Y448" i="14"/>
  <c r="X292" i="14"/>
  <c r="Y83" i="14"/>
  <c r="X67" i="14"/>
  <c r="AA36" i="14"/>
  <c r="AA125" i="14"/>
  <c r="Y644" i="11"/>
  <c r="Z644" i="11" s="1"/>
  <c r="AA644" i="11" s="1"/>
  <c r="Z87" i="11"/>
  <c r="AA341" i="11"/>
  <c r="Z82" i="11"/>
  <c r="Z424" i="11"/>
  <c r="AA51" i="11"/>
  <c r="Y361" i="11"/>
  <c r="Z20" i="11"/>
  <c r="Z91" i="11"/>
  <c r="X688" i="11"/>
  <c r="Y569" i="11"/>
  <c r="Z162" i="11"/>
  <c r="Y167" i="11"/>
  <c r="X319" i="11"/>
  <c r="Y165" i="11"/>
  <c r="X148" i="11"/>
  <c r="Y757" i="11"/>
  <c r="AA9" i="11"/>
  <c r="Z132" i="11"/>
  <c r="Z235" i="11"/>
  <c r="X652" i="11"/>
  <c r="AA18" i="11"/>
  <c r="Z12" i="11"/>
  <c r="X89" i="11"/>
  <c r="Y44" i="11"/>
  <c r="Y50" i="11"/>
  <c r="X213" i="11"/>
  <c r="X327" i="11"/>
  <c r="X579" i="11"/>
  <c r="X102" i="11"/>
  <c r="AB636" i="14"/>
  <c r="AB184" i="14"/>
  <c r="AB531" i="14"/>
  <c r="AB50" i="14"/>
  <c r="AB202" i="14"/>
  <c r="AB268" i="14"/>
  <c r="AB295" i="14"/>
  <c r="AB343" i="14"/>
  <c r="AB681" i="14"/>
  <c r="AB403" i="14"/>
  <c r="AB569" i="14"/>
  <c r="AB533" i="14"/>
  <c r="AB79" i="14"/>
  <c r="AB244" i="14"/>
  <c r="AB179" i="14"/>
  <c r="AB785" i="14"/>
  <c r="AB719" i="14"/>
  <c r="AB274" i="14"/>
  <c r="AB662" i="14"/>
  <c r="AB307" i="14"/>
  <c r="AB651" i="14"/>
  <c r="AB98" i="14"/>
  <c r="AB440" i="14"/>
  <c r="AB33" i="14"/>
  <c r="AB363" i="14"/>
  <c r="AB65" i="14"/>
  <c r="AB501" i="14"/>
  <c r="AB157" i="14"/>
  <c r="AB789" i="14"/>
  <c r="AB126" i="14"/>
  <c r="AB160" i="14"/>
  <c r="AB143" i="14"/>
  <c r="AB123" i="14"/>
  <c r="AB170" i="14"/>
  <c r="AB161" i="14"/>
  <c r="AB516" i="14"/>
  <c r="AB127" i="14"/>
  <c r="AB652" i="14"/>
  <c r="AB563" i="14"/>
  <c r="AB657" i="14"/>
  <c r="AB732" i="14"/>
  <c r="AB392" i="14"/>
  <c r="AB494" i="14"/>
  <c r="AB504" i="14"/>
  <c r="AB200" i="14"/>
  <c r="AB703" i="14"/>
  <c r="AB648" i="14"/>
  <c r="AB667" i="14"/>
  <c r="AB419" i="14"/>
  <c r="AB276" i="14"/>
  <c r="AB92" i="14"/>
  <c r="AB104" i="14"/>
  <c r="AB663" i="14"/>
  <c r="AB208" i="14"/>
  <c r="AB80" i="14"/>
  <c r="AB185" i="14"/>
  <c r="AB386" i="14"/>
  <c r="AB724" i="14"/>
  <c r="AB311" i="14"/>
  <c r="AB439" i="14"/>
  <c r="AB451" i="14"/>
  <c r="AB322" i="14"/>
  <c r="AB526" i="14"/>
  <c r="AB259" i="14"/>
  <c r="AB599" i="14"/>
  <c r="AB737" i="14"/>
  <c r="AB585" i="14"/>
  <c r="AB597" i="14"/>
  <c r="AB594" i="14"/>
  <c r="AB670" i="14"/>
  <c r="AB734" i="14"/>
  <c r="AB717" i="14"/>
  <c r="AB294" i="14"/>
  <c r="AB340" i="14"/>
  <c r="AB592" i="14"/>
  <c r="AB291" i="14"/>
  <c r="AB572" i="14"/>
  <c r="AB399" i="14"/>
  <c r="AB58" i="14"/>
  <c r="AB548" i="14"/>
  <c r="AB710" i="14"/>
  <c r="AB395" i="14"/>
  <c r="AB349" i="14"/>
  <c r="AB764" i="14"/>
  <c r="AB754" i="14"/>
  <c r="AB473" i="14"/>
  <c r="AB344" i="14"/>
  <c r="AB535" i="14"/>
  <c r="AB219" i="14"/>
  <c r="AB583" i="14"/>
  <c r="AB162" i="14"/>
  <c r="AB693" i="14"/>
  <c r="AB183" i="14"/>
  <c r="AB529" i="14"/>
  <c r="AB658" i="14"/>
  <c r="AB721" i="14"/>
  <c r="AB673" i="14"/>
  <c r="AB782" i="14"/>
  <c r="AB249" i="14"/>
  <c r="AB456" i="14"/>
  <c r="AB541" i="14"/>
  <c r="AB687" i="14"/>
  <c r="AB713" i="14"/>
  <c r="AB602" i="14"/>
  <c r="AB777" i="14"/>
  <c r="AB552" i="14"/>
  <c r="AB372" i="14"/>
  <c r="AB46" i="14"/>
  <c r="AB416" i="14"/>
  <c r="AB358" i="14"/>
  <c r="AB124" i="14"/>
  <c r="AB369" i="14"/>
  <c r="AB327" i="14"/>
  <c r="AB342" i="14"/>
  <c r="AB114" i="14"/>
  <c r="AB91" i="14"/>
  <c r="AB373" i="14"/>
  <c r="AB254" i="14"/>
  <c r="AB155" i="14"/>
  <c r="AB466" i="14"/>
  <c r="AB539" i="14"/>
  <c r="AB629" i="14"/>
  <c r="AB213" i="14"/>
  <c r="AB226" i="14"/>
  <c r="AB270" i="14"/>
  <c r="AB537" i="14"/>
  <c r="AB500" i="14"/>
  <c r="AB776" i="14"/>
  <c r="AB193" i="14"/>
  <c r="AB27" i="14"/>
  <c r="AB471" i="14"/>
  <c r="AB722" i="14"/>
  <c r="AB325" i="14"/>
  <c r="AB88" i="14"/>
  <c r="AB164" i="14"/>
  <c r="AB641" i="14"/>
  <c r="AB646" i="14"/>
  <c r="AB105" i="14"/>
  <c r="AB138" i="14"/>
  <c r="AB38" i="14"/>
  <c r="AB282" i="14"/>
  <c r="AB384" i="14"/>
  <c r="AB696" i="14"/>
  <c r="AB314" i="14"/>
  <c r="AB407" i="14"/>
  <c r="AB288" i="14"/>
  <c r="AB680" i="14"/>
  <c r="AB653" i="14"/>
  <c r="AB378" i="14"/>
  <c r="AB750" i="14"/>
  <c r="AB29" i="14"/>
  <c r="AB743" i="14"/>
  <c r="AB346" i="14"/>
  <c r="AB256" i="14"/>
  <c r="AB704" i="14"/>
  <c r="AB190" i="14"/>
  <c r="AB319" i="14"/>
  <c r="AB745" i="14"/>
  <c r="AB264" i="14"/>
  <c r="AB257" i="14"/>
  <c r="AB679" i="14"/>
  <c r="AB12" i="14"/>
  <c r="AB438" i="14"/>
  <c r="AB197" i="14"/>
  <c r="AB182" i="14"/>
  <c r="AB441" i="14"/>
  <c r="AB331" i="14"/>
  <c r="AB398" i="14"/>
  <c r="AB356" i="14"/>
  <c r="AB204" i="14"/>
  <c r="AB487" i="14"/>
  <c r="AB488" i="14"/>
  <c r="AB385" i="14"/>
  <c r="AB414" i="14"/>
  <c r="AB665" i="14"/>
  <c r="AB746" i="14"/>
  <c r="AB460" i="14"/>
  <c r="AB293" i="14"/>
  <c r="AB26" i="14"/>
  <c r="AB302" i="14"/>
  <c r="AB497" i="14"/>
  <c r="AB328" i="14"/>
  <c r="AB689" i="14"/>
  <c r="AB495" i="14"/>
  <c r="AB747" i="14"/>
  <c r="AB587" i="14"/>
  <c r="AB699" i="14"/>
  <c r="AB44" i="14"/>
  <c r="AB131" i="14"/>
  <c r="AB94" i="14"/>
  <c r="AB446" i="14"/>
  <c r="AB694" i="14"/>
  <c r="AB396" i="14"/>
  <c r="AB420" i="14"/>
  <c r="AB45" i="14"/>
  <c r="AB300" i="14"/>
  <c r="AB731" i="14"/>
  <c r="AB136" i="14"/>
  <c r="AB201" i="14"/>
  <c r="AB410" i="14"/>
  <c r="AB649" i="14"/>
  <c r="AB695" i="14"/>
  <c r="AB177" i="14"/>
  <c r="AB159" i="14"/>
  <c r="AB517" i="14"/>
  <c r="AB659" i="14"/>
  <c r="AB784" i="14"/>
  <c r="AB763" i="14"/>
  <c r="AB512" i="14"/>
  <c r="AB412" i="14"/>
  <c r="AB330" i="14"/>
  <c r="AB317" i="14"/>
  <c r="AB286" i="14"/>
  <c r="AB139" i="14"/>
  <c r="AB447" i="14"/>
  <c r="AB206" i="14"/>
  <c r="AB741" i="14"/>
  <c r="AB705" i="14"/>
  <c r="AB612" i="14"/>
  <c r="AB192" i="14"/>
  <c r="AB175" i="14"/>
  <c r="AB277" i="14"/>
  <c r="AB156" i="14"/>
  <c r="AB507" i="14"/>
  <c r="AB560" i="14"/>
  <c r="AB250" i="14"/>
  <c r="AB102" i="14"/>
  <c r="AB738" i="14"/>
  <c r="AB252" i="14"/>
  <c r="AB90" i="14"/>
  <c r="AB768" i="14"/>
  <c r="AB686" i="14"/>
  <c r="AB661" i="14"/>
  <c r="AB604" i="14"/>
  <c r="AB465" i="14"/>
  <c r="AB355" i="14"/>
  <c r="AB352" i="14"/>
  <c r="AB285" i="14"/>
  <c r="AB637" i="14"/>
  <c r="AB472" i="14"/>
  <c r="AB411" i="14"/>
  <c r="AB357" i="14"/>
  <c r="AB281" i="14"/>
  <c r="AB151" i="14"/>
  <c r="AB675" i="14"/>
  <c r="AB492" i="14"/>
  <c r="AB775" i="14"/>
  <c r="AB702" i="14"/>
  <c r="AB137" i="14"/>
  <c r="AB313" i="14"/>
  <c r="AB56" i="14"/>
  <c r="AB103" i="14"/>
  <c r="AB283" i="14"/>
  <c r="AB619" i="14"/>
  <c r="AB506" i="14"/>
  <c r="AB590" i="14"/>
  <c r="AB430" i="14"/>
  <c r="AB312" i="14"/>
  <c r="AB242" i="14"/>
  <c r="AB240" i="14"/>
  <c r="AB117" i="14"/>
  <c r="AB10" i="14"/>
  <c r="AB241" i="14"/>
  <c r="AB111" i="14"/>
  <c r="AB118" i="14"/>
  <c r="AB483" i="14"/>
  <c r="AB223" i="14"/>
  <c r="AB718" i="14"/>
  <c r="AB664" i="14"/>
  <c r="AD38" i="22"/>
  <c r="J26" i="22"/>
  <c r="D24" i="22"/>
  <c r="AI25" i="22"/>
  <c r="P34" i="22"/>
  <c r="AF21" i="22"/>
  <c r="R26" i="22"/>
  <c r="S12" i="22"/>
  <c r="K39" i="22"/>
  <c r="M14" i="22"/>
  <c r="H25" i="22"/>
  <c r="T12" i="22"/>
  <c r="AG39" i="22"/>
  <c r="T37" i="22"/>
  <c r="F39" i="22"/>
  <c r="U25" i="22"/>
  <c r="AG38" i="22"/>
  <c r="F13" i="22"/>
  <c r="D13" i="22"/>
  <c r="N13" i="22"/>
  <c r="I38" i="22"/>
  <c r="R36" i="22"/>
  <c r="L26" i="22"/>
  <c r="AC25" i="22"/>
  <c r="E14" i="22"/>
  <c r="I25" i="22"/>
  <c r="H34" i="22"/>
  <c r="U13" i="22"/>
  <c r="Q23" i="22"/>
  <c r="J13" i="22"/>
  <c r="T24" i="22"/>
  <c r="P35" i="22"/>
  <c r="AE35" i="22"/>
  <c r="Z26" i="22"/>
  <c r="K25" i="22"/>
  <c r="D34" i="22"/>
  <c r="AA25" i="22"/>
  <c r="Q37" i="22"/>
  <c r="S34" i="22"/>
  <c r="J35" i="22"/>
  <c r="AJ27" i="22"/>
  <c r="L12" i="22"/>
  <c r="P12" i="22"/>
  <c r="I12" i="22"/>
  <c r="AA14" i="22"/>
  <c r="E27" i="22"/>
  <c r="AE21" i="22"/>
  <c r="AD21" i="22"/>
  <c r="M24" i="22"/>
  <c r="V15" i="22"/>
  <c r="O24" i="22"/>
  <c r="AG21" i="22"/>
  <c r="S24" i="22"/>
  <c r="E33" i="22"/>
  <c r="F24" i="22"/>
  <c r="AF35" i="22"/>
  <c r="K13" i="22"/>
  <c r="R35" i="22"/>
  <c r="P24" i="22"/>
  <c r="WT37" i="2" l="1"/>
  <c r="WT41" i="2" s="1"/>
  <c r="RX8" i="2"/>
  <c r="RX10" i="2"/>
  <c r="SS4" i="2"/>
  <c r="RX16" i="2"/>
  <c r="RX24" i="2"/>
  <c r="RC27" i="2"/>
  <c r="RC25" i="2"/>
  <c r="RC30" i="2"/>
  <c r="QH18" i="2"/>
  <c r="QH11" i="2"/>
  <c r="RC19" i="2"/>
  <c r="QH13" i="2"/>
  <c r="RC9" i="2"/>
  <c r="QH17" i="2"/>
  <c r="QH3" i="2"/>
  <c r="RC7" i="2"/>
  <c r="QH14" i="2"/>
  <c r="QH5" i="2"/>
  <c r="RC29" i="2"/>
  <c r="PM15" i="2"/>
  <c r="NW31" i="2"/>
  <c r="NW28" i="2"/>
  <c r="NW37" i="2" s="1"/>
  <c r="NW33" i="2"/>
  <c r="NW32" i="2"/>
  <c r="ND24" i="2"/>
  <c r="ND23" i="2"/>
  <c r="ND22" i="2"/>
  <c r="NB39" i="2"/>
  <c r="ML40" i="2"/>
  <c r="MG41" i="2"/>
  <c r="MI37" i="2"/>
  <c r="JA20" i="2"/>
  <c r="IF4" i="2"/>
  <c r="IF11" i="2"/>
  <c r="IF25" i="2"/>
  <c r="HK5" i="2"/>
  <c r="HK8" i="2"/>
  <c r="HK19" i="2"/>
  <c r="HK12" i="2"/>
  <c r="HK3" i="2"/>
  <c r="HK9" i="2"/>
  <c r="GP17" i="2"/>
  <c r="GP14" i="2"/>
  <c r="GP18" i="2"/>
  <c r="GP10" i="2"/>
  <c r="GP29" i="2"/>
  <c r="AB69" i="14"/>
  <c r="AK21" i="22"/>
  <c r="AK33" i="22"/>
  <c r="V28" i="14"/>
  <c r="V17" i="14"/>
  <c r="V11" i="14"/>
  <c r="V202" i="15"/>
  <c r="W202" i="15" s="1"/>
  <c r="X5" i="14"/>
  <c r="Y5" i="14" s="1"/>
  <c r="W198" i="15"/>
  <c r="W164" i="15"/>
  <c r="Y157" i="15"/>
  <c r="V31" i="14"/>
  <c r="W8" i="14"/>
  <c r="X138" i="15"/>
  <c r="W140" i="15"/>
  <c r="X145" i="15"/>
  <c r="Y145" i="15" s="1"/>
  <c r="AD20" i="2"/>
  <c r="AE20" i="2" s="1"/>
  <c r="X162" i="15"/>
  <c r="Z163" i="15"/>
  <c r="Z131" i="15"/>
  <c r="X161" i="15"/>
  <c r="Y161" i="15" s="1"/>
  <c r="Z199" i="15"/>
  <c r="AB166" i="15"/>
  <c r="AB139" i="15"/>
  <c r="AB203" i="15"/>
  <c r="AB154" i="15"/>
  <c r="AA206" i="15"/>
  <c r="AA142" i="15"/>
  <c r="AA135" i="15"/>
  <c r="AB135" i="15" s="1"/>
  <c r="AA158" i="15"/>
  <c r="AA207" i="15"/>
  <c r="AB151" i="15"/>
  <c r="AA193" i="15"/>
  <c r="X243" i="14"/>
  <c r="AA692" i="14"/>
  <c r="AB692" i="14" s="1"/>
  <c r="Z25" i="14"/>
  <c r="Z335" i="14"/>
  <c r="AA20" i="14"/>
  <c r="Z14" i="14"/>
  <c r="Z654" i="14"/>
  <c r="AA110" i="14"/>
  <c r="Y141" i="14"/>
  <c r="Z362" i="14"/>
  <c r="Y67" i="14"/>
  <c r="Y783" i="14"/>
  <c r="Z108" i="14"/>
  <c r="Y100" i="14"/>
  <c r="AB191" i="14"/>
  <c r="Z83" i="14"/>
  <c r="AA85" i="14"/>
  <c r="AB85" i="14" s="1"/>
  <c r="Z486" i="14"/>
  <c r="Y292" i="14"/>
  <c r="Y375" i="14"/>
  <c r="Z514" i="14"/>
  <c r="Y180" i="14"/>
  <c r="Z6" i="14"/>
  <c r="Z448" i="14"/>
  <c r="AA505" i="14"/>
  <c r="AB505" i="14" s="1"/>
  <c r="AA186" i="14"/>
  <c r="Y30" i="14"/>
  <c r="Z22" i="14"/>
  <c r="AA542" i="14"/>
  <c r="Z44" i="11"/>
  <c r="Z167" i="11"/>
  <c r="AA162" i="11"/>
  <c r="Z361" i="11"/>
  <c r="Y89" i="11"/>
  <c r="AA132" i="11"/>
  <c r="Z569" i="11"/>
  <c r="AA424" i="11"/>
  <c r="Y102" i="11"/>
  <c r="Y688" i="11"/>
  <c r="Y327" i="11"/>
  <c r="Y148" i="11"/>
  <c r="AA87" i="11"/>
  <c r="AA12" i="11"/>
  <c r="Y579" i="11"/>
  <c r="Y213" i="11"/>
  <c r="Y652" i="11"/>
  <c r="Z165" i="11"/>
  <c r="AA91" i="11"/>
  <c r="AA82" i="11"/>
  <c r="Z757" i="11"/>
  <c r="Z50" i="11"/>
  <c r="AA235" i="11"/>
  <c r="Y319" i="11"/>
  <c r="AA20" i="11"/>
  <c r="AB475" i="14"/>
  <c r="AB435" i="14"/>
  <c r="AB47" i="14"/>
  <c r="AB377" i="14"/>
  <c r="AB225" i="14"/>
  <c r="AB95" i="14"/>
  <c r="AB40" i="14"/>
  <c r="AB468" i="14"/>
  <c r="AB365" i="14"/>
  <c r="AB463" i="14"/>
  <c r="AB503" i="14"/>
  <c r="AB502" i="14"/>
  <c r="AB751" i="14"/>
  <c r="AB622" i="14"/>
  <c r="AB154" i="14"/>
  <c r="AB786" i="14"/>
  <c r="AB423" i="14"/>
  <c r="AB753" i="14"/>
  <c r="AB214" i="14"/>
  <c r="AB778" i="14"/>
  <c r="AB618" i="14"/>
  <c r="AB366" i="14"/>
  <c r="AB773" i="14"/>
  <c r="AB397" i="14"/>
  <c r="AB93" i="14"/>
  <c r="AB577" i="14"/>
  <c r="AB425" i="14"/>
  <c r="AB374" i="14"/>
  <c r="AB299" i="14"/>
  <c r="AB708" i="14"/>
  <c r="AB171" i="14"/>
  <c r="AB417" i="14"/>
  <c r="AB41" i="14"/>
  <c r="AB18" i="14"/>
  <c r="AB643" i="14"/>
  <c r="AB676" i="14"/>
  <c r="AB148" i="14"/>
  <c r="AB119" i="14"/>
  <c r="AB691" i="14"/>
  <c r="AB766" i="14"/>
  <c r="AB455" i="14"/>
  <c r="AB415" i="14"/>
  <c r="AB711" i="14"/>
  <c r="AB545" i="14"/>
  <c r="AB273" i="14"/>
  <c r="AB470" i="14"/>
  <c r="AB61" i="14"/>
  <c r="AB351" i="14"/>
  <c r="AB462" i="14"/>
  <c r="AB530" i="14"/>
  <c r="AB324" i="14"/>
  <c r="AB781" i="14"/>
  <c r="AB580" i="14"/>
  <c r="AB582" i="14"/>
  <c r="AB736" i="14"/>
  <c r="AB744" i="14"/>
  <c r="AB394" i="14"/>
  <c r="AB436" i="14"/>
  <c r="AB474" i="14"/>
  <c r="AB284" i="14"/>
  <c r="AB490" i="14"/>
  <c r="AB262" i="14"/>
  <c r="AB452" i="14"/>
  <c r="AB113" i="14"/>
  <c r="AB639" i="14"/>
  <c r="AB380" i="14"/>
  <c r="AB376" i="14"/>
  <c r="AB125" i="14"/>
  <c r="AB598" i="14"/>
  <c r="AB716" i="14"/>
  <c r="AB623" i="14"/>
  <c r="AB368" i="14"/>
  <c r="AB418" i="14"/>
  <c r="AB432" i="14"/>
  <c r="AB429" i="14"/>
  <c r="AB674" i="14"/>
  <c r="AB677" i="14"/>
  <c r="AB550" i="14"/>
  <c r="AB756" i="14"/>
  <c r="AB310" i="14"/>
  <c r="AB279" i="14"/>
  <c r="AB740" i="14"/>
  <c r="AB771" i="14"/>
  <c r="AB520" i="14"/>
  <c r="AB265" i="14"/>
  <c r="AB387" i="14"/>
  <c r="AB359" i="14"/>
  <c r="AB120" i="14"/>
  <c r="AB682" i="14"/>
  <c r="AB71" i="14"/>
  <c r="AB434" i="14"/>
  <c r="AB221" i="14"/>
  <c r="AB253" i="14"/>
  <c r="AB388" i="14"/>
  <c r="AB266" i="14"/>
  <c r="AB269" i="14"/>
  <c r="AB401" i="14"/>
  <c r="AB222" i="14"/>
  <c r="AB515" i="14"/>
  <c r="AB726" i="14"/>
  <c r="AB538" i="14"/>
  <c r="AB498" i="14"/>
  <c r="AB236" i="14"/>
  <c r="AB72" i="14"/>
  <c r="AB389" i="14"/>
  <c r="AB450" i="14"/>
  <c r="AB739" i="14"/>
  <c r="AB491" i="14"/>
  <c r="AB32" i="14"/>
  <c r="AB51" i="14"/>
  <c r="AB760" i="14"/>
  <c r="AB684" i="14"/>
  <c r="AB287" i="14"/>
  <c r="AB86" i="14"/>
  <c r="AB9" i="14"/>
  <c r="AB469" i="14"/>
  <c r="AB757" i="14"/>
  <c r="AB690" i="14"/>
  <c r="AB150" i="14"/>
  <c r="AB671" i="14"/>
  <c r="AB53" i="14"/>
  <c r="AB600" i="14"/>
  <c r="AB82" i="14"/>
  <c r="AB232" i="14"/>
  <c r="AB603" i="14"/>
  <c r="AB765" i="14"/>
  <c r="AB99" i="14"/>
  <c r="AB297" i="14"/>
  <c r="AB220" i="14"/>
  <c r="AB97" i="14"/>
  <c r="AB278" i="14"/>
  <c r="AB196" i="14"/>
  <c r="AB350" i="14"/>
  <c r="AB231" i="14"/>
  <c r="AB459" i="14"/>
  <c r="AB48" i="14"/>
  <c r="AB149" i="14"/>
  <c r="AB272" i="14"/>
  <c r="AB562" i="14"/>
  <c r="AB209" i="14"/>
  <c r="AB371" i="14"/>
  <c r="AB544" i="14"/>
  <c r="AB275" i="14"/>
  <c r="AB217" i="14"/>
  <c r="AB424" i="14"/>
  <c r="AB189" i="14"/>
  <c r="AB437" i="14"/>
  <c r="AB678" i="14"/>
  <c r="AB626" i="14"/>
  <c r="AB390" i="14"/>
  <c r="AB431" i="14"/>
  <c r="AB87" i="14"/>
  <c r="AB788" i="14"/>
  <c r="AB609" i="14"/>
  <c r="AB525" i="14"/>
  <c r="AB234" i="14"/>
  <c r="AB153" i="14"/>
  <c r="AB239" i="14"/>
  <c r="AB211" i="14"/>
  <c r="AB769" i="14"/>
  <c r="AB381" i="14"/>
  <c r="AB316" i="14"/>
  <c r="AB172" i="14"/>
  <c r="AB115" i="14"/>
  <c r="AB467" i="14"/>
  <c r="AB163" i="14"/>
  <c r="AB767" i="14"/>
  <c r="AB742" i="14"/>
  <c r="AB660" i="14"/>
  <c r="AB644" i="14"/>
  <c r="AB642" i="14"/>
  <c r="AB605" i="14"/>
  <c r="AB508" i="14"/>
  <c r="AB445" i="14"/>
  <c r="AB255" i="14"/>
  <c r="AB75" i="14"/>
  <c r="AB761" i="14"/>
  <c r="AB216" i="14"/>
  <c r="AB210" i="14"/>
  <c r="AB522" i="14"/>
  <c r="AB194" i="14"/>
  <c r="AB458" i="14"/>
  <c r="AB758" i="14"/>
  <c r="AB614" i="14"/>
  <c r="AB408" i="14"/>
  <c r="AB167" i="14"/>
  <c r="AB554" i="14"/>
  <c r="AB611" i="14"/>
  <c r="AB730" i="14"/>
  <c r="AB228" i="14"/>
  <c r="AB347" i="14"/>
  <c r="AB181" i="14"/>
  <c r="AB715" i="14"/>
  <c r="AB263" i="14"/>
  <c r="AB477" i="14"/>
  <c r="AB482" i="14"/>
  <c r="AB481" i="14"/>
  <c r="AB479" i="14"/>
  <c r="AB480" i="14"/>
  <c r="AB484" i="14"/>
  <c r="AB70" i="14"/>
  <c r="AB24" i="14"/>
  <c r="AB510" i="14"/>
  <c r="AB441" i="11"/>
  <c r="J14" i="22"/>
  <c r="R27" i="22"/>
  <c r="T25" i="22"/>
  <c r="Q24" i="22"/>
  <c r="N14" i="22"/>
  <c r="R37" i="22"/>
  <c r="S13" i="22"/>
  <c r="AJ40" i="22"/>
  <c r="F14" i="22"/>
  <c r="AI26" i="22"/>
  <c r="AD39" i="22"/>
  <c r="H35" i="22"/>
  <c r="AF36" i="22"/>
  <c r="J36" i="22"/>
  <c r="E15" i="22"/>
  <c r="V40" i="22"/>
  <c r="AF22" i="22"/>
  <c r="Q38" i="22"/>
  <c r="T13" i="22"/>
  <c r="K26" i="22"/>
  <c r="O25" i="22"/>
  <c r="E35" i="22"/>
  <c r="AG22" i="22"/>
  <c r="Z27" i="22"/>
  <c r="AA26" i="22"/>
  <c r="K14" i="22"/>
  <c r="AE36" i="22"/>
  <c r="P13" i="22"/>
  <c r="U14" i="22"/>
  <c r="L27" i="22"/>
  <c r="P25" i="22"/>
  <c r="U26" i="22"/>
  <c r="D35" i="22"/>
  <c r="AF37" i="22"/>
  <c r="P37" i="22"/>
  <c r="J27" i="22"/>
  <c r="M15" i="22"/>
  <c r="M25" i="22"/>
  <c r="AA15" i="22"/>
  <c r="T38" i="22"/>
  <c r="I26" i="22"/>
  <c r="P36" i="22"/>
  <c r="H26" i="22"/>
  <c r="E34" i="22"/>
  <c r="S35" i="22"/>
  <c r="L13" i="22"/>
  <c r="AD22" i="22"/>
  <c r="AC26" i="22"/>
  <c r="AE22" i="22"/>
  <c r="I39" i="22"/>
  <c r="F25" i="22"/>
  <c r="D25" i="22"/>
  <c r="S25" i="22"/>
  <c r="D14" i="22"/>
  <c r="I13" i="22"/>
  <c r="RX25" i="2" l="1"/>
  <c r="SS24" i="2"/>
  <c r="RX7" i="2"/>
  <c r="RX19" i="2"/>
  <c r="RX29" i="2"/>
  <c r="RX9" i="2"/>
  <c r="RX30" i="2"/>
  <c r="RX27" i="2"/>
  <c r="SS16" i="2"/>
  <c r="SS10" i="2"/>
  <c r="SS8" i="2"/>
  <c r="RC14" i="2"/>
  <c r="RC13" i="2"/>
  <c r="RC3" i="2"/>
  <c r="RC11" i="2"/>
  <c r="RC5" i="2"/>
  <c r="RC17" i="2"/>
  <c r="RC18" i="2"/>
  <c r="QH15" i="2"/>
  <c r="OR32" i="2"/>
  <c r="OR33" i="2"/>
  <c r="OR28" i="2"/>
  <c r="OR37" i="2" s="1"/>
  <c r="OR31" i="2"/>
  <c r="ND37" i="2"/>
  <c r="NB41" i="2"/>
  <c r="NG40" i="2"/>
  <c r="NY24" i="2"/>
  <c r="NY23" i="2"/>
  <c r="NY22" i="2"/>
  <c r="NW39" i="2"/>
  <c r="JA25" i="2"/>
  <c r="JA4" i="2"/>
  <c r="JA11" i="2"/>
  <c r="IF3" i="2"/>
  <c r="IF12" i="2"/>
  <c r="IF8" i="2"/>
  <c r="IF5" i="2"/>
  <c r="IF9" i="2"/>
  <c r="IF19" i="2"/>
  <c r="HK18" i="2"/>
  <c r="HK14" i="2"/>
  <c r="HK29" i="2"/>
  <c r="HK17" i="2"/>
  <c r="HK10" i="2"/>
  <c r="AJ20" i="2"/>
  <c r="AM20" i="2"/>
  <c r="AH20" i="2"/>
  <c r="W28" i="14"/>
  <c r="AK22" i="22"/>
  <c r="AK34" i="22"/>
  <c r="AK35" i="22"/>
  <c r="X202" i="15"/>
  <c r="Z145" i="15"/>
  <c r="X8" i="14"/>
  <c r="Z5" i="14"/>
  <c r="AA5" i="14" s="1"/>
  <c r="W31" i="14"/>
  <c r="X31" i="14" s="1"/>
  <c r="Y31" i="14" s="1"/>
  <c r="Z157" i="15"/>
  <c r="X164" i="15"/>
  <c r="W11" i="14"/>
  <c r="W17" i="14"/>
  <c r="Y138" i="15"/>
  <c r="X198" i="15"/>
  <c r="X140" i="15"/>
  <c r="AD25" i="2"/>
  <c r="AE25" i="2" s="1"/>
  <c r="AD4" i="2"/>
  <c r="AE4" i="2" s="1"/>
  <c r="AD11" i="2"/>
  <c r="AE11" i="2" s="1"/>
  <c r="AB142" i="15"/>
  <c r="AB193" i="15"/>
  <c r="AB206" i="15"/>
  <c r="Z161" i="15"/>
  <c r="AA131" i="15"/>
  <c r="AA163" i="15"/>
  <c r="Y162" i="15"/>
  <c r="AB207" i="15"/>
  <c r="AB158" i="15"/>
  <c r="AA199" i="15"/>
  <c r="Y243" i="14"/>
  <c r="AA6" i="14"/>
  <c r="AB6" i="14" s="1"/>
  <c r="Z180" i="14"/>
  <c r="Z100" i="14"/>
  <c r="AA654" i="14"/>
  <c r="AB542" i="14"/>
  <c r="AA514" i="14"/>
  <c r="AB514" i="14" s="1"/>
  <c r="AA108" i="14"/>
  <c r="AB108" i="14" s="1"/>
  <c r="AA14" i="14"/>
  <c r="AA22" i="14"/>
  <c r="Z375" i="14"/>
  <c r="Z783" i="14"/>
  <c r="Z30" i="14"/>
  <c r="Z292" i="14"/>
  <c r="Z67" i="14"/>
  <c r="AB186" i="14"/>
  <c r="AA486" i="14"/>
  <c r="AA362" i="14"/>
  <c r="AB362" i="14" s="1"/>
  <c r="AA335" i="14"/>
  <c r="Z141" i="14"/>
  <c r="AA25" i="14"/>
  <c r="AA448" i="14"/>
  <c r="AA83" i="14"/>
  <c r="AB83" i="14" s="1"/>
  <c r="AA757" i="11"/>
  <c r="Z148" i="11"/>
  <c r="Z327" i="11"/>
  <c r="Z89" i="11"/>
  <c r="AA165" i="11"/>
  <c r="AA361" i="11"/>
  <c r="Z652" i="11"/>
  <c r="Z688" i="11"/>
  <c r="Z319" i="11"/>
  <c r="Z213" i="11"/>
  <c r="Z102" i="11"/>
  <c r="AA167" i="11"/>
  <c r="Z579" i="11"/>
  <c r="AA44" i="11"/>
  <c r="AA50" i="11"/>
  <c r="AA569" i="11"/>
  <c r="AB229" i="14"/>
  <c r="AB116" i="14"/>
  <c r="AB106" i="14"/>
  <c r="AB109" i="14"/>
  <c r="AB43" i="14"/>
  <c r="AB21" i="14"/>
  <c r="AB589" i="14"/>
  <c r="AB449" i="14"/>
  <c r="AB128" i="14"/>
  <c r="AB121" i="14"/>
  <c r="AB489" i="14"/>
  <c r="AB707" i="14"/>
  <c r="AB230" i="14"/>
  <c r="AB169" i="14"/>
  <c r="AB422" i="14"/>
  <c r="AB267" i="14"/>
  <c r="AB334" i="14"/>
  <c r="AB409" i="14"/>
  <c r="AB772" i="14"/>
  <c r="AB433" i="14"/>
  <c r="AB564" i="14"/>
  <c r="AB720" i="14"/>
  <c r="AB630" i="14"/>
  <c r="AB733" i="14"/>
  <c r="AB442" i="14"/>
  <c r="AB688" i="14"/>
  <c r="AB633" i="14"/>
  <c r="AB320" i="14"/>
  <c r="AB367" i="14"/>
  <c r="AB755" i="14"/>
  <c r="AB63" i="14"/>
  <c r="AB413" i="14"/>
  <c r="AB199" i="14"/>
  <c r="AB426" i="14"/>
  <c r="AB391" i="14"/>
  <c r="AB558" i="14"/>
  <c r="AB122" i="14"/>
  <c r="AB59" i="14"/>
  <c r="AB727" i="14"/>
  <c r="AB361" i="14"/>
  <c r="AB627" i="14"/>
  <c r="AB749" i="14"/>
  <c r="AB735" i="14"/>
  <c r="AB485" i="14"/>
  <c r="AB142" i="14"/>
  <c r="AB337" i="14"/>
  <c r="AB536" i="14"/>
  <c r="AB68" i="14"/>
  <c r="AB428" i="14"/>
  <c r="AB638" i="14"/>
  <c r="AB513" i="14"/>
  <c r="AB698" i="14"/>
  <c r="AB405" i="14"/>
  <c r="AB509" i="14"/>
  <c r="AB280" i="14"/>
  <c r="AB774" i="14"/>
  <c r="AB57" i="14"/>
  <c r="AB81" i="14"/>
  <c r="AB779" i="14"/>
  <c r="AB246" i="14"/>
  <c r="AB478" i="14"/>
  <c r="AB64" i="14"/>
  <c r="H27" i="22"/>
  <c r="I27" i="22"/>
  <c r="P26" i="22"/>
  <c r="Q25" i="22"/>
  <c r="J15" i="22"/>
  <c r="AE37" i="22"/>
  <c r="AD23" i="22"/>
  <c r="AE23" i="22"/>
  <c r="J37" i="22"/>
  <c r="T14" i="22"/>
  <c r="E36" i="22"/>
  <c r="D36" i="22"/>
  <c r="K15" i="22"/>
  <c r="F15" i="22"/>
  <c r="E40" i="22"/>
  <c r="U27" i="22"/>
  <c r="R38" i="22"/>
  <c r="Q39" i="22"/>
  <c r="Z40" i="22"/>
  <c r="AF23" i="22"/>
  <c r="D15" i="22"/>
  <c r="P14" i="22"/>
  <c r="U15" i="22"/>
  <c r="O26" i="22"/>
  <c r="AG23" i="22"/>
  <c r="AA27" i="22"/>
  <c r="D26" i="22"/>
  <c r="AI27" i="22"/>
  <c r="T26" i="22"/>
  <c r="F26" i="22"/>
  <c r="M26" i="22"/>
  <c r="K27" i="22"/>
  <c r="S14" i="22"/>
  <c r="AC27" i="22"/>
  <c r="S26" i="22"/>
  <c r="S36" i="22"/>
  <c r="AF24" i="22"/>
  <c r="H36" i="22"/>
  <c r="AF38" i="22"/>
  <c r="T39" i="22"/>
  <c r="I14" i="22"/>
  <c r="P38" i="22"/>
  <c r="N15" i="22"/>
  <c r="L14" i="22"/>
  <c r="RX18" i="2" l="1"/>
  <c r="RX14" i="2"/>
  <c r="SS9" i="2"/>
  <c r="RX17" i="2"/>
  <c r="SS19" i="2"/>
  <c r="RX5" i="2"/>
  <c r="SS27" i="2"/>
  <c r="SS7" i="2"/>
  <c r="RX11" i="2"/>
  <c r="SS30" i="2"/>
  <c r="SS25" i="2"/>
  <c r="RX3" i="2"/>
  <c r="RX13" i="2"/>
  <c r="SS29" i="2"/>
  <c r="RC15" i="2"/>
  <c r="PM28" i="2"/>
  <c r="PM37" i="2" s="1"/>
  <c r="PM32" i="2"/>
  <c r="PM33" i="2"/>
  <c r="QH32" i="2"/>
  <c r="PM31" i="2"/>
  <c r="OB40" i="2"/>
  <c r="NW41" i="2"/>
  <c r="NY37" i="2"/>
  <c r="OT23" i="2"/>
  <c r="OT22" i="2"/>
  <c r="OT24" i="2"/>
  <c r="OR39" i="2"/>
  <c r="JA19" i="2"/>
  <c r="JA9" i="2"/>
  <c r="JA8" i="2"/>
  <c r="JA12" i="2"/>
  <c r="JA3" i="2"/>
  <c r="JA5" i="2"/>
  <c r="IF10" i="2"/>
  <c r="IF14" i="2"/>
  <c r="IF17" i="2"/>
  <c r="IF29" i="2"/>
  <c r="IF18" i="2"/>
  <c r="AJ11" i="2"/>
  <c r="AM11" i="2"/>
  <c r="AJ25" i="2"/>
  <c r="AM25" i="2"/>
  <c r="AH11" i="2"/>
  <c r="AH4" i="2"/>
  <c r="AH25" i="2"/>
  <c r="X28" i="14"/>
  <c r="AK23" i="22"/>
  <c r="AK36" i="22"/>
  <c r="X17" i="14"/>
  <c r="Z138" i="15"/>
  <c r="AA138" i="15" s="1"/>
  <c r="Z31" i="14"/>
  <c r="AA31" i="14" s="1"/>
  <c r="AA145" i="15"/>
  <c r="AB145" i="15" s="1"/>
  <c r="Y140" i="15"/>
  <c r="Z140" i="15" s="1"/>
  <c r="X11" i="14"/>
  <c r="Y164" i="15"/>
  <c r="Y8" i="14"/>
  <c r="Y202" i="15"/>
  <c r="Y198" i="15"/>
  <c r="AA157" i="15"/>
  <c r="AD19" i="2"/>
  <c r="AE19" i="2" s="1"/>
  <c r="AD9" i="2"/>
  <c r="AE9" i="2" s="1"/>
  <c r="AD8" i="2"/>
  <c r="AE8" i="2" s="1"/>
  <c r="AD12" i="2"/>
  <c r="AE12" i="2" s="1"/>
  <c r="AD3" i="2"/>
  <c r="AD5" i="2"/>
  <c r="AE5" i="2" s="1"/>
  <c r="AB131" i="15"/>
  <c r="AA161" i="15"/>
  <c r="AB199" i="15"/>
  <c r="Z162" i="15"/>
  <c r="AB163" i="15"/>
  <c r="Z243" i="14"/>
  <c r="AB25" i="14"/>
  <c r="AA67" i="14"/>
  <c r="AB67" i="14" s="1"/>
  <c r="AA180" i="14"/>
  <c r="AA292" i="14"/>
  <c r="AA141" i="14"/>
  <c r="AB141" i="14" s="1"/>
  <c r="AA30" i="14"/>
  <c r="AB486" i="14"/>
  <c r="AA783" i="14"/>
  <c r="AB783" i="14" s="1"/>
  <c r="AB335" i="14"/>
  <c r="AA375" i="14"/>
  <c r="AB375" i="14" s="1"/>
  <c r="AA100" i="14"/>
  <c r="AB100" i="14" s="1"/>
  <c r="AB654" i="14"/>
  <c r="AA579" i="11"/>
  <c r="AA688" i="11"/>
  <c r="AA652" i="11"/>
  <c r="AA102" i="11"/>
  <c r="AA89" i="11"/>
  <c r="AA213" i="11"/>
  <c r="AA327" i="11"/>
  <c r="AA148" i="11"/>
  <c r="AA319" i="11"/>
  <c r="AB354" i="14"/>
  <c r="AB336" i="14"/>
  <c r="AB37" i="14"/>
  <c r="AB16" i="14"/>
  <c r="AB35" i="14"/>
  <c r="AB23" i="14"/>
  <c r="AB52" i="14"/>
  <c r="AB20" i="14"/>
  <c r="AB60" i="14"/>
  <c r="AB19" i="14"/>
  <c r="AB13" i="14"/>
  <c r="AB296" i="14"/>
  <c r="AB173" i="14"/>
  <c r="AB448" i="14"/>
  <c r="AB457" i="14"/>
  <c r="N40" i="22"/>
  <c r="AA40" i="22"/>
  <c r="D27" i="22"/>
  <c r="P39" i="22"/>
  <c r="S27" i="22"/>
  <c r="S38" i="22"/>
  <c r="P15" i="22"/>
  <c r="AF25" i="22"/>
  <c r="AE24" i="22"/>
  <c r="AG24" i="22"/>
  <c r="U40" i="22"/>
  <c r="D37" i="22"/>
  <c r="AD24" i="22"/>
  <c r="O27" i="22"/>
  <c r="T27" i="22"/>
  <c r="S15" i="22"/>
  <c r="E37" i="22"/>
  <c r="Q26" i="22"/>
  <c r="T15" i="22"/>
  <c r="F27" i="22"/>
  <c r="AF39" i="22"/>
  <c r="M27" i="22"/>
  <c r="J38" i="22"/>
  <c r="S37" i="22"/>
  <c r="H37" i="22"/>
  <c r="P27" i="22"/>
  <c r="K40" i="22"/>
  <c r="AE38" i="22"/>
  <c r="J39" i="22"/>
  <c r="I15" i="22"/>
  <c r="J40" i="22"/>
  <c r="R39" i="22"/>
  <c r="L15" i="22"/>
  <c r="SS13" i="2" l="1"/>
  <c r="SS14" i="2"/>
  <c r="SS5" i="2"/>
  <c r="SS17" i="2"/>
  <c r="SS3" i="2"/>
  <c r="SS18" i="2"/>
  <c r="SS11" i="2"/>
  <c r="RX15" i="2"/>
  <c r="RC32" i="2"/>
  <c r="QH28" i="2"/>
  <c r="QH37" i="2" s="1"/>
  <c r="QH33" i="2"/>
  <c r="QH31" i="2"/>
  <c r="PO24" i="2"/>
  <c r="PO22" i="2"/>
  <c r="PO23" i="2"/>
  <c r="PM39" i="2"/>
  <c r="OT37" i="2"/>
  <c r="OR41" i="2"/>
  <c r="OW40" i="2"/>
  <c r="JA17" i="2"/>
  <c r="JA29" i="2"/>
  <c r="JA14" i="2"/>
  <c r="JA10" i="2"/>
  <c r="JA18" i="2"/>
  <c r="AJ5" i="2"/>
  <c r="AM5" i="2"/>
  <c r="AJ12" i="2"/>
  <c r="AM12" i="2"/>
  <c r="AJ8" i="2"/>
  <c r="AM8" i="2"/>
  <c r="AJ9" i="2"/>
  <c r="AM9" i="2"/>
  <c r="AJ19" i="2"/>
  <c r="AM19" i="2"/>
  <c r="AH12" i="2"/>
  <c r="AH8" i="2"/>
  <c r="AH9" i="2"/>
  <c r="AH19" i="2"/>
  <c r="AH5" i="2"/>
  <c r="AE3" i="2"/>
  <c r="AB31" i="14"/>
  <c r="Y28" i="14"/>
  <c r="AK24" i="22"/>
  <c r="AK37" i="22"/>
  <c r="Z198" i="15"/>
  <c r="Z202" i="15"/>
  <c r="Z8" i="14"/>
  <c r="Z164" i="15"/>
  <c r="Y17" i="14"/>
  <c r="Y11" i="14"/>
  <c r="AB157" i="15"/>
  <c r="AA140" i="15"/>
  <c r="AB140" i="15" s="1"/>
  <c r="AB138" i="15"/>
  <c r="AD17" i="2"/>
  <c r="AE17" i="2" s="1"/>
  <c r="AD29" i="2"/>
  <c r="AE29" i="2" s="1"/>
  <c r="AD14" i="2"/>
  <c r="AE14" i="2" s="1"/>
  <c r="AD10" i="2"/>
  <c r="AE10" i="2" s="1"/>
  <c r="AD18" i="2"/>
  <c r="AE18" i="2" s="1"/>
  <c r="AA162" i="15"/>
  <c r="AB161" i="15"/>
  <c r="AA243" i="14"/>
  <c r="AB180" i="14"/>
  <c r="AB292" i="14"/>
  <c r="AB333" i="14"/>
  <c r="AB540" i="14"/>
  <c r="AB2" i="14"/>
  <c r="AB7" i="14"/>
  <c r="AB14" i="14"/>
  <c r="AB364" i="14"/>
  <c r="AB30" i="14"/>
  <c r="AB55" i="14"/>
  <c r="AB34" i="14"/>
  <c r="T40" i="22"/>
  <c r="D38" i="22"/>
  <c r="M40" i="22"/>
  <c r="E38" i="22"/>
  <c r="P40" i="22"/>
  <c r="AG25" i="22"/>
  <c r="AE39" i="22"/>
  <c r="AD25" i="22"/>
  <c r="L40" i="22"/>
  <c r="Q27" i="22"/>
  <c r="I40" i="22"/>
  <c r="AF26" i="22"/>
  <c r="AE25" i="22"/>
  <c r="S40" i="22"/>
  <c r="S39" i="22"/>
  <c r="H38" i="22"/>
  <c r="D40" i="22"/>
  <c r="F40" i="22"/>
  <c r="SS15" i="2" l="1"/>
  <c r="RX32" i="2"/>
  <c r="RC33" i="2"/>
  <c r="RC28" i="2"/>
  <c r="RC37" i="2" s="1"/>
  <c r="RC31" i="2"/>
  <c r="PM41" i="2"/>
  <c r="PR40" i="2"/>
  <c r="PO37" i="2"/>
  <c r="QJ24" i="2"/>
  <c r="QJ23" i="2"/>
  <c r="QJ22" i="2"/>
  <c r="QH39" i="2"/>
  <c r="AJ10" i="2"/>
  <c r="AM10" i="2"/>
  <c r="AJ14" i="2"/>
  <c r="AM14" i="2"/>
  <c r="AJ29" i="2"/>
  <c r="AM29" i="2"/>
  <c r="AH29" i="2"/>
  <c r="AH17" i="2"/>
  <c r="AH10" i="2"/>
  <c r="AH18" i="2"/>
  <c r="AH14" i="2"/>
  <c r="AH3" i="2"/>
  <c r="Z28" i="14"/>
  <c r="AA28" i="14" s="1"/>
  <c r="AK25" i="22"/>
  <c r="AK38" i="22"/>
  <c r="Z11" i="14"/>
  <c r="AA202" i="15"/>
  <c r="AA198" i="15"/>
  <c r="Z17" i="14"/>
  <c r="AA164" i="15"/>
  <c r="AA8" i="14"/>
  <c r="AB162" i="15"/>
  <c r="AB243" i="14"/>
  <c r="AB110" i="14"/>
  <c r="AB588" i="14"/>
  <c r="AB15" i="14"/>
  <c r="AB3" i="14"/>
  <c r="AB36" i="14"/>
  <c r="AB207" i="14"/>
  <c r="AB77" i="14"/>
  <c r="AB73" i="14"/>
  <c r="AB709" i="14"/>
  <c r="AB84" i="14"/>
  <c r="AB22" i="14"/>
  <c r="AB129" i="14"/>
  <c r="AF27" i="22"/>
  <c r="D39" i="22"/>
  <c r="AE26" i="22"/>
  <c r="AD26" i="22"/>
  <c r="H39" i="22"/>
  <c r="AG26" i="22"/>
  <c r="E39" i="22"/>
  <c r="AE27" i="22"/>
  <c r="SS32" i="2" l="1"/>
  <c r="RX33" i="2"/>
  <c r="RX28" i="2"/>
  <c r="RX37" i="2" s="1"/>
  <c r="SS31" i="2"/>
  <c r="RX31" i="2"/>
  <c r="QM40" i="2"/>
  <c r="QH41" i="2"/>
  <c r="QJ37" i="2"/>
  <c r="RE22" i="2"/>
  <c r="RE24" i="2"/>
  <c r="RE23" i="2"/>
  <c r="RC39" i="2"/>
  <c r="AB28" i="14"/>
  <c r="AK26" i="22"/>
  <c r="AK39" i="22"/>
  <c r="AB198" i="15"/>
  <c r="AB164" i="15"/>
  <c r="AA11" i="14"/>
  <c r="AB8" i="14"/>
  <c r="AA17" i="14"/>
  <c r="AB202" i="15"/>
  <c r="AB518" i="14"/>
  <c r="AB628" i="14"/>
  <c r="AB453" i="14"/>
  <c r="AB706" i="14"/>
  <c r="AB5" i="14"/>
  <c r="AG27" i="22"/>
  <c r="AD27" i="22"/>
  <c r="SS33" i="2" l="1"/>
  <c r="SS28" i="2"/>
  <c r="SS37" i="2" s="1"/>
  <c r="SU23" i="2"/>
  <c r="SU22" i="2"/>
  <c r="SU24" i="2"/>
  <c r="SS39" i="2"/>
  <c r="RZ22" i="2"/>
  <c r="RZ24" i="2"/>
  <c r="RZ23" i="2"/>
  <c r="RX39" i="2"/>
  <c r="RE37" i="2"/>
  <c r="RC41" i="2"/>
  <c r="RH40" i="2"/>
  <c r="AK27" i="22"/>
  <c r="AB11" i="14"/>
  <c r="AB17" i="14"/>
  <c r="J11" i="10"/>
  <c r="SU37" i="2" l="1"/>
  <c r="SX40" i="2"/>
  <c r="SS41" i="2"/>
  <c r="RX41" i="2"/>
  <c r="SC40" i="2"/>
  <c r="RZ37" i="2"/>
  <c r="H647" i="11"/>
  <c r="I647" i="11" s="1"/>
  <c r="H640" i="11"/>
  <c r="I640" i="11" s="1"/>
  <c r="H637" i="11"/>
  <c r="I637" i="11" s="1"/>
  <c r="H625" i="11"/>
  <c r="I625" i="11" s="1"/>
  <c r="H614" i="11"/>
  <c r="I614" i="11" s="1"/>
  <c r="H610" i="11"/>
  <c r="I610" i="11" s="1"/>
  <c r="H600" i="11"/>
  <c r="I600" i="11" s="1"/>
  <c r="H599" i="11"/>
  <c r="I599" i="11" s="1"/>
  <c r="H597" i="11"/>
  <c r="I597" i="11" s="1"/>
  <c r="H588" i="11"/>
  <c r="I588" i="11" s="1"/>
  <c r="H584" i="11"/>
  <c r="I584" i="11" s="1"/>
  <c r="H582" i="11"/>
  <c r="I582" i="11" s="1"/>
  <c r="H574" i="11"/>
  <c r="I574" i="11" s="1"/>
  <c r="H573" i="11"/>
  <c r="I573" i="11" s="1"/>
  <c r="H559" i="11"/>
  <c r="I559" i="11" s="1"/>
  <c r="H549" i="11"/>
  <c r="I549" i="11" s="1"/>
  <c r="H547" i="11"/>
  <c r="I547" i="11" s="1"/>
  <c r="H541" i="11"/>
  <c r="I541" i="11" s="1"/>
  <c r="H540" i="11"/>
  <c r="I540" i="11" s="1"/>
  <c r="H722" i="11"/>
  <c r="I722" i="11" s="1"/>
  <c r="H524" i="11"/>
  <c r="I524" i="11" s="1"/>
  <c r="H523" i="11"/>
  <c r="I523" i="11" s="1"/>
  <c r="H521" i="11"/>
  <c r="I521" i="11" s="1"/>
  <c r="H512" i="11"/>
  <c r="I512" i="11" s="1"/>
  <c r="H500" i="11"/>
  <c r="I500" i="11" s="1"/>
  <c r="H492" i="11"/>
  <c r="I492" i="11" s="1"/>
  <c r="H488" i="11"/>
  <c r="I488" i="11" s="1"/>
  <c r="H466" i="11"/>
  <c r="I466" i="11" s="1"/>
  <c r="H451" i="11"/>
  <c r="I451" i="11" s="1"/>
  <c r="H430" i="11"/>
  <c r="I430" i="11" s="1"/>
  <c r="H427" i="11"/>
  <c r="I427" i="11" s="1"/>
  <c r="H420" i="11"/>
  <c r="I420" i="11" s="1"/>
  <c r="H416" i="11"/>
  <c r="I416" i="11" s="1"/>
  <c r="H414" i="11"/>
  <c r="I414" i="11" s="1"/>
  <c r="H407" i="11"/>
  <c r="I407" i="11" s="1"/>
  <c r="H395" i="11"/>
  <c r="I395" i="11" s="1"/>
  <c r="H379" i="11"/>
  <c r="I379" i="11" s="1"/>
  <c r="H366" i="11"/>
  <c r="I366" i="11" s="1"/>
  <c r="H747" i="11"/>
  <c r="I747" i="11" s="1"/>
  <c r="H365" i="11"/>
  <c r="I365" i="11" s="1"/>
  <c r="H360" i="11"/>
  <c r="I360" i="11" s="1"/>
  <c r="H340" i="11"/>
  <c r="I340" i="11" s="1"/>
  <c r="H334" i="11"/>
  <c r="I334" i="11" s="1"/>
  <c r="H315" i="11"/>
  <c r="I315" i="11" s="1"/>
  <c r="H311" i="11"/>
  <c r="I311" i="11" s="1"/>
  <c r="H306" i="11"/>
  <c r="I306" i="11" s="1"/>
  <c r="H285" i="11"/>
  <c r="I285" i="11" s="1"/>
  <c r="H277" i="11"/>
  <c r="I277" i="11" s="1"/>
  <c r="H272" i="11"/>
  <c r="I272" i="11" s="1"/>
  <c r="H247" i="11"/>
  <c r="I247" i="11" s="1"/>
  <c r="H243" i="11"/>
  <c r="I243" i="11" s="1"/>
  <c r="H233" i="11"/>
  <c r="I233" i="11" s="1"/>
  <c r="H227" i="11"/>
  <c r="I227" i="11" s="1"/>
  <c r="H224" i="11"/>
  <c r="I224" i="11" s="1"/>
  <c r="H203" i="11"/>
  <c r="I203" i="11" s="1"/>
  <c r="H198" i="11"/>
  <c r="I198" i="11" s="1"/>
  <c r="H195" i="11"/>
  <c r="I195" i="11" s="1"/>
  <c r="H181" i="11"/>
  <c r="I181" i="11" s="1"/>
  <c r="H173" i="11"/>
  <c r="I173" i="11" s="1"/>
  <c r="H157" i="11"/>
  <c r="I157" i="11" s="1"/>
  <c r="H145" i="11"/>
  <c r="I145" i="11" s="1"/>
  <c r="H144" i="11"/>
  <c r="I144" i="11" s="1"/>
  <c r="H142" i="11"/>
  <c r="I142" i="11" s="1"/>
  <c r="H317" i="11"/>
  <c r="I317" i="11" s="1"/>
  <c r="H118" i="11"/>
  <c r="I118" i="11" s="1"/>
  <c r="H105" i="11"/>
  <c r="I105" i="11" s="1"/>
  <c r="H95" i="11"/>
  <c r="I95" i="11" s="1"/>
  <c r="H88" i="11"/>
  <c r="I88" i="11" s="1"/>
  <c r="H74" i="11"/>
  <c r="I74" i="11" s="1"/>
  <c r="H72" i="11"/>
  <c r="I72" i="11" s="1"/>
  <c r="H59" i="11"/>
  <c r="I59" i="11" s="1"/>
  <c r="H56" i="11"/>
  <c r="I56" i="11" s="1"/>
  <c r="H35" i="11"/>
  <c r="I35" i="11" s="1"/>
  <c r="H27" i="11"/>
  <c r="I27" i="11" s="1"/>
  <c r="H21" i="11"/>
  <c r="I21" i="11" s="1"/>
  <c r="H23" i="11"/>
  <c r="I23" i="11" s="1"/>
  <c r="H8" i="11"/>
  <c r="I8" i="11" s="1"/>
  <c r="H7" i="11"/>
  <c r="I7" i="11" s="1"/>
  <c r="P181" i="11" l="1"/>
  <c r="Q181" i="11" s="1"/>
  <c r="R181" i="11" s="1"/>
  <c r="P56" i="11"/>
  <c r="Q56" i="11" s="1"/>
  <c r="P317" i="11"/>
  <c r="P198" i="11"/>
  <c r="Q198" i="11" s="1"/>
  <c r="P277" i="11"/>
  <c r="P365" i="11"/>
  <c r="Q365" i="11" s="1"/>
  <c r="P420" i="11"/>
  <c r="Q420" i="11" s="1"/>
  <c r="P512" i="11"/>
  <c r="Q512" i="11" s="1"/>
  <c r="P549" i="11"/>
  <c r="Q549" i="11" s="1"/>
  <c r="P599" i="11"/>
  <c r="Q599" i="11" s="1"/>
  <c r="R599" i="11" s="1"/>
  <c r="P203" i="11"/>
  <c r="Q203" i="11" s="1"/>
  <c r="R203" i="11" s="1"/>
  <c r="P747" i="11"/>
  <c r="Q747" i="11" s="1"/>
  <c r="P427" i="11"/>
  <c r="Q427" i="11" s="1"/>
  <c r="P521" i="11"/>
  <c r="Q521" i="11" s="1"/>
  <c r="R521" i="11" s="1"/>
  <c r="S521" i="11" s="1"/>
  <c r="P559" i="11"/>
  <c r="Q559" i="11" s="1"/>
  <c r="P600" i="11"/>
  <c r="Q600" i="11" s="1"/>
  <c r="R600" i="11" s="1"/>
  <c r="P7" i="11"/>
  <c r="P72" i="11"/>
  <c r="Q72" i="11" s="1"/>
  <c r="R72" i="11" s="1"/>
  <c r="P144" i="11"/>
  <c r="Q144" i="11" s="1"/>
  <c r="R144" i="11" s="1"/>
  <c r="P224" i="11"/>
  <c r="Q224" i="11" s="1"/>
  <c r="R224" i="11" s="1"/>
  <c r="P306" i="11"/>
  <c r="Q306" i="11" s="1"/>
  <c r="R306" i="11" s="1"/>
  <c r="S306" i="11" s="1"/>
  <c r="P366" i="11"/>
  <c r="Q366" i="11" s="1"/>
  <c r="R366" i="11" s="1"/>
  <c r="S366" i="11" s="1"/>
  <c r="P430" i="11"/>
  <c r="Q430" i="11" s="1"/>
  <c r="R430" i="11" s="1"/>
  <c r="P523" i="11"/>
  <c r="Q523" i="11" s="1"/>
  <c r="P573" i="11"/>
  <c r="Q573" i="11" s="1"/>
  <c r="R573" i="11" s="1"/>
  <c r="S573" i="11" s="1"/>
  <c r="T573" i="11" s="1"/>
  <c r="P610" i="11"/>
  <c r="P59" i="11"/>
  <c r="Q59" i="11" s="1"/>
  <c r="R59" i="11" s="1"/>
  <c r="P145" i="11"/>
  <c r="Q145" i="11" s="1"/>
  <c r="P379" i="11"/>
  <c r="Q379" i="11" s="1"/>
  <c r="P574" i="11"/>
  <c r="Q574" i="11" s="1"/>
  <c r="P614" i="11"/>
  <c r="Q614" i="11" s="1"/>
  <c r="P142" i="11"/>
  <c r="Q142" i="11" s="1"/>
  <c r="P8" i="11"/>
  <c r="P227" i="11"/>
  <c r="Q227" i="11" s="1"/>
  <c r="P451" i="11"/>
  <c r="Q451" i="11" s="1"/>
  <c r="P23" i="11"/>
  <c r="P157" i="11"/>
  <c r="Q157" i="11" s="1"/>
  <c r="R157" i="11" s="1"/>
  <c r="P233" i="11"/>
  <c r="Q233" i="11" s="1"/>
  <c r="P315" i="11"/>
  <c r="Q315" i="11" s="1"/>
  <c r="P395" i="11"/>
  <c r="Q395" i="11" s="1"/>
  <c r="P466" i="11"/>
  <c r="Q466" i="11" s="1"/>
  <c r="R466" i="11" s="1"/>
  <c r="P722" i="11"/>
  <c r="Q722" i="11" s="1"/>
  <c r="P582" i="11"/>
  <c r="Q582" i="11" s="1"/>
  <c r="P625" i="11"/>
  <c r="Q625" i="11" s="1"/>
  <c r="P285" i="11"/>
  <c r="P74" i="11"/>
  <c r="Q74" i="11" s="1"/>
  <c r="R74" i="11" s="1"/>
  <c r="P311" i="11"/>
  <c r="Q311" i="11" s="1"/>
  <c r="R311" i="11" s="1"/>
  <c r="P524" i="11"/>
  <c r="Q524" i="11" s="1"/>
  <c r="R524" i="11" s="1"/>
  <c r="P88" i="11"/>
  <c r="P21" i="11"/>
  <c r="Q21" i="11" s="1"/>
  <c r="P95" i="11"/>
  <c r="Q95" i="11" s="1"/>
  <c r="R95" i="11" s="1"/>
  <c r="P173" i="11"/>
  <c r="Q173" i="11" s="1"/>
  <c r="P243" i="11"/>
  <c r="Q243" i="11" s="1"/>
  <c r="P334" i="11"/>
  <c r="Q334" i="11" s="1"/>
  <c r="P407" i="11"/>
  <c r="Q407" i="11" s="1"/>
  <c r="P488" i="11"/>
  <c r="Q488" i="11" s="1"/>
  <c r="P540" i="11"/>
  <c r="P584" i="11"/>
  <c r="Q584" i="11" s="1"/>
  <c r="P637" i="11"/>
  <c r="P27" i="11"/>
  <c r="P247" i="11"/>
  <c r="Q247" i="11" s="1"/>
  <c r="R247" i="11" s="1"/>
  <c r="P414" i="11"/>
  <c r="Q414" i="11" s="1"/>
  <c r="P541" i="11"/>
  <c r="Q541" i="11" s="1"/>
  <c r="P588" i="11"/>
  <c r="Q588" i="11" s="1"/>
  <c r="P640" i="11"/>
  <c r="Q640" i="11" s="1"/>
  <c r="P105" i="11"/>
  <c r="Q105" i="11" s="1"/>
  <c r="P340" i="11"/>
  <c r="Q340" i="11" s="1"/>
  <c r="R340" i="11" s="1"/>
  <c r="P492" i="11"/>
  <c r="Q492" i="11" s="1"/>
  <c r="P35" i="11"/>
  <c r="Q35" i="11" s="1"/>
  <c r="P118" i="11"/>
  <c r="Q118" i="11" s="1"/>
  <c r="P195" i="11"/>
  <c r="Q195" i="11" s="1"/>
  <c r="P272" i="11"/>
  <c r="Q272" i="11" s="1"/>
  <c r="R272" i="11" s="1"/>
  <c r="S272" i="11" s="1"/>
  <c r="P360" i="11"/>
  <c r="Q360" i="11" s="1"/>
  <c r="R360" i="11" s="1"/>
  <c r="P416" i="11"/>
  <c r="P500" i="11"/>
  <c r="Q500" i="11" s="1"/>
  <c r="R500" i="11" s="1"/>
  <c r="P547" i="11"/>
  <c r="Q547" i="11" s="1"/>
  <c r="R547" i="11" s="1"/>
  <c r="P597" i="11"/>
  <c r="Q597" i="11" s="1"/>
  <c r="R597" i="11" s="1"/>
  <c r="P647" i="11"/>
  <c r="Q647" i="11" s="1"/>
  <c r="AB619" i="11"/>
  <c r="AB286" i="11"/>
  <c r="AB293" i="11"/>
  <c r="AG4" i="22"/>
  <c r="Q4" i="22"/>
  <c r="AH4" i="22"/>
  <c r="R4" i="22"/>
  <c r="AB4" i="22"/>
  <c r="O5" i="22"/>
  <c r="O4" i="22"/>
  <c r="R5" i="22"/>
  <c r="AF4" i="22"/>
  <c r="AI4" i="22"/>
  <c r="H4" i="22"/>
  <c r="AD4" i="22"/>
  <c r="AE4" i="22"/>
  <c r="AC4" i="22"/>
  <c r="AY16" i="2" l="1"/>
  <c r="AY13" i="2"/>
  <c r="R334" i="11"/>
  <c r="S334" i="11" s="1"/>
  <c r="S311" i="11"/>
  <c r="T311" i="11" s="1"/>
  <c r="U311" i="11" s="1"/>
  <c r="V311" i="11" s="1"/>
  <c r="R407" i="11"/>
  <c r="S407" i="11" s="1"/>
  <c r="S599" i="11"/>
  <c r="T599" i="11" s="1"/>
  <c r="U599" i="11" s="1"/>
  <c r="V599" i="11" s="1"/>
  <c r="W599" i="11" s="1"/>
  <c r="R549" i="11"/>
  <c r="S549" i="11" s="1"/>
  <c r="T549" i="11" s="1"/>
  <c r="R56" i="11"/>
  <c r="S56" i="11" s="1"/>
  <c r="T56" i="11" s="1"/>
  <c r="U56" i="11" s="1"/>
  <c r="S430" i="11"/>
  <c r="T430" i="11" s="1"/>
  <c r="U430" i="11" s="1"/>
  <c r="S181" i="11"/>
  <c r="T181" i="11" s="1"/>
  <c r="U181" i="11" s="1"/>
  <c r="V181" i="11" s="1"/>
  <c r="W181" i="11" s="1"/>
  <c r="X181" i="11" s="1"/>
  <c r="Y181" i="11" s="1"/>
  <c r="Z181" i="11" s="1"/>
  <c r="AA181" i="11" s="1"/>
  <c r="R588" i="11"/>
  <c r="R584" i="11"/>
  <c r="S584" i="11" s="1"/>
  <c r="T584" i="11" s="1"/>
  <c r="R379" i="11"/>
  <c r="S379" i="11" s="1"/>
  <c r="R523" i="11"/>
  <c r="R427" i="11"/>
  <c r="S427" i="11" s="1"/>
  <c r="R198" i="11"/>
  <c r="S198" i="11" s="1"/>
  <c r="T198" i="11" s="1"/>
  <c r="T272" i="11"/>
  <c r="U272" i="11" s="1"/>
  <c r="V272" i="11" s="1"/>
  <c r="W272" i="11" s="1"/>
  <c r="X272" i="11" s="1"/>
  <c r="Y272" i="11" s="1"/>
  <c r="Z272" i="11" s="1"/>
  <c r="AA272" i="11" s="1"/>
  <c r="S340" i="11"/>
  <c r="T340" i="11" s="1"/>
  <c r="R227" i="11"/>
  <c r="S227" i="11" s="1"/>
  <c r="R145" i="11"/>
  <c r="S145" i="11" s="1"/>
  <c r="T145" i="11" s="1"/>
  <c r="R747" i="11"/>
  <c r="S747" i="11" s="1"/>
  <c r="T747" i="11" s="1"/>
  <c r="U747" i="11" s="1"/>
  <c r="R105" i="11"/>
  <c r="S105" i="11" s="1"/>
  <c r="R315" i="11"/>
  <c r="S315" i="11" s="1"/>
  <c r="T315" i="11" s="1"/>
  <c r="U315" i="11" s="1"/>
  <c r="S600" i="11"/>
  <c r="T600" i="11" s="1"/>
  <c r="U600" i="11" s="1"/>
  <c r="S203" i="11"/>
  <c r="T203" i="11" s="1"/>
  <c r="U203" i="11" s="1"/>
  <c r="S500" i="11"/>
  <c r="T500" i="11" s="1"/>
  <c r="U500" i="11" s="1"/>
  <c r="R35" i="11"/>
  <c r="S35" i="11" s="1"/>
  <c r="Q277" i="11"/>
  <c r="R277" i="11" s="1"/>
  <c r="AD16" i="2"/>
  <c r="AE16" i="2" s="1"/>
  <c r="AD31" i="2"/>
  <c r="AF24" i="2" s="1"/>
  <c r="AD28" i="2"/>
  <c r="AE28" i="2" s="1"/>
  <c r="AD13" i="2"/>
  <c r="AE13" i="2" s="1"/>
  <c r="AD26" i="2"/>
  <c r="AE26" i="2" s="1"/>
  <c r="AK4" i="22"/>
  <c r="AD7" i="2"/>
  <c r="AE7" i="2" s="1"/>
  <c r="AD33" i="2"/>
  <c r="AD15" i="2"/>
  <c r="AE15" i="2" s="1"/>
  <c r="AD27" i="2"/>
  <c r="AE27" i="2" s="1"/>
  <c r="AD30" i="2"/>
  <c r="AD34" i="2"/>
  <c r="AD32" i="2"/>
  <c r="R512" i="11"/>
  <c r="S512" i="11" s="1"/>
  <c r="R21" i="11"/>
  <c r="S21" i="11" s="1"/>
  <c r="U573" i="11"/>
  <c r="V573" i="11" s="1"/>
  <c r="W573" i="11" s="1"/>
  <c r="S74" i="11"/>
  <c r="T74" i="11" s="1"/>
  <c r="R451" i="11"/>
  <c r="S451" i="11" s="1"/>
  <c r="R541" i="11"/>
  <c r="S541" i="11" s="1"/>
  <c r="R420" i="11"/>
  <c r="S420" i="11" s="1"/>
  <c r="T420" i="11" s="1"/>
  <c r="U420" i="11" s="1"/>
  <c r="S597" i="11"/>
  <c r="T597" i="11" s="1"/>
  <c r="U597" i="11" s="1"/>
  <c r="T366" i="11"/>
  <c r="U366" i="11" s="1"/>
  <c r="R559" i="11"/>
  <c r="R365" i="11"/>
  <c r="S547" i="11"/>
  <c r="T547" i="11" s="1"/>
  <c r="S360" i="11"/>
  <c r="T360" i="11" s="1"/>
  <c r="R195" i="11"/>
  <c r="S195" i="11" s="1"/>
  <c r="R414" i="11"/>
  <c r="S414" i="11" s="1"/>
  <c r="Q637" i="11"/>
  <c r="R637" i="11" s="1"/>
  <c r="S637" i="11" s="1"/>
  <c r="R173" i="11"/>
  <c r="S173" i="11" s="1"/>
  <c r="T173" i="11" s="1"/>
  <c r="Q88" i="11"/>
  <c r="R625" i="11"/>
  <c r="S625" i="11" s="1"/>
  <c r="S466" i="11"/>
  <c r="R233" i="11"/>
  <c r="Q23" i="11"/>
  <c r="R142" i="11"/>
  <c r="S142" i="11" s="1"/>
  <c r="T306" i="11"/>
  <c r="S144" i="11"/>
  <c r="T144" i="11" s="1"/>
  <c r="Q540" i="11"/>
  <c r="R640" i="11"/>
  <c r="S640" i="11" s="1"/>
  <c r="T640" i="11" s="1"/>
  <c r="S247" i="11"/>
  <c r="T247" i="11" s="1"/>
  <c r="U247" i="11" s="1"/>
  <c r="V247" i="11" s="1"/>
  <c r="W247" i="11" s="1"/>
  <c r="X247" i="11" s="1"/>
  <c r="Y247" i="11" s="1"/>
  <c r="Z247" i="11" s="1"/>
  <c r="AA247" i="11" s="1"/>
  <c r="R243" i="11"/>
  <c r="S524" i="11"/>
  <c r="R722" i="11"/>
  <c r="S59" i="11"/>
  <c r="Q610" i="11"/>
  <c r="Q317" i="11"/>
  <c r="R118" i="11"/>
  <c r="S118" i="11" s="1"/>
  <c r="T118" i="11" s="1"/>
  <c r="S95" i="11"/>
  <c r="T95" i="11" s="1"/>
  <c r="U95" i="11" s="1"/>
  <c r="V95" i="11" s="1"/>
  <c r="Q285" i="11"/>
  <c r="Q8" i="11"/>
  <c r="R8" i="11" s="1"/>
  <c r="R614" i="11"/>
  <c r="S614" i="11" s="1"/>
  <c r="R574" i="11"/>
  <c r="S574" i="11" s="1"/>
  <c r="S224" i="11"/>
  <c r="T224" i="11" s="1"/>
  <c r="S72" i="11"/>
  <c r="T72" i="11" s="1"/>
  <c r="T521" i="11"/>
  <c r="U521" i="11" s="1"/>
  <c r="Q416" i="11"/>
  <c r="Q27" i="11"/>
  <c r="R647" i="11"/>
  <c r="R492" i="11"/>
  <c r="R488" i="11"/>
  <c r="S488" i="11" s="1"/>
  <c r="T488" i="11" s="1"/>
  <c r="U488" i="11" s="1"/>
  <c r="V488" i="11" s="1"/>
  <c r="W488" i="11" s="1"/>
  <c r="R582" i="11"/>
  <c r="R395" i="11"/>
  <c r="S157" i="11"/>
  <c r="Q7" i="11"/>
  <c r="AB726" i="11"/>
  <c r="AB342" i="11"/>
  <c r="AB712" i="11"/>
  <c r="AB70" i="11"/>
  <c r="AB707" i="11"/>
  <c r="AB37" i="11"/>
  <c r="AB17" i="11"/>
  <c r="AB422" i="11"/>
  <c r="AB92" i="11"/>
  <c r="AB310" i="11"/>
  <c r="AB657" i="11"/>
  <c r="AB248" i="11"/>
  <c r="AB34" i="11"/>
  <c r="AB163" i="11"/>
  <c r="AB167" i="11"/>
  <c r="AB591" i="11"/>
  <c r="AB428" i="11"/>
  <c r="AB710" i="11"/>
  <c r="AB182" i="11"/>
  <c r="AB463" i="11"/>
  <c r="AB269" i="11"/>
  <c r="AB558" i="11"/>
  <c r="AB304" i="11"/>
  <c r="AB536" i="11"/>
  <c r="AB29" i="11"/>
  <c r="AB644" i="11"/>
  <c r="AB344" i="11"/>
  <c r="AB431" i="11"/>
  <c r="AB388" i="11"/>
  <c r="AB143" i="11"/>
  <c r="AB31" i="11"/>
  <c r="AB149" i="11"/>
  <c r="AB575" i="11"/>
  <c r="AB636" i="11"/>
  <c r="AB229" i="11"/>
  <c r="AB129" i="11"/>
  <c r="AB696" i="11"/>
  <c r="AB101" i="11"/>
  <c r="AB196" i="11"/>
  <c r="AB312" i="11"/>
  <c r="AB190" i="11"/>
  <c r="AB740" i="11"/>
  <c r="AD5" i="22"/>
  <c r="H5" i="22"/>
  <c r="AC6" i="22"/>
  <c r="AC5" i="22"/>
  <c r="O6" i="22"/>
  <c r="R6" i="22"/>
  <c r="AI5" i="22"/>
  <c r="O7" i="22"/>
  <c r="O8" i="22"/>
  <c r="AG5" i="22"/>
  <c r="AG6" i="22"/>
  <c r="AF5" i="22"/>
  <c r="AE5" i="22"/>
  <c r="Q5" i="22"/>
  <c r="AB5" i="22"/>
  <c r="AH5" i="22"/>
  <c r="AF22" i="2" l="1"/>
  <c r="AG22" i="2" s="1"/>
  <c r="DJ13" i="2"/>
  <c r="CO13" i="2"/>
  <c r="BT27" i="2"/>
  <c r="BT16" i="2"/>
  <c r="BT33" i="2"/>
  <c r="BT13" i="2"/>
  <c r="AY34" i="2"/>
  <c r="AY31" i="2"/>
  <c r="BA24" i="2" s="1"/>
  <c r="AY15" i="2"/>
  <c r="AY33" i="2"/>
  <c r="AY30" i="2"/>
  <c r="AY26" i="2"/>
  <c r="AY28" i="2"/>
  <c r="AY32" i="2"/>
  <c r="AY7" i="2"/>
  <c r="AY27" i="2"/>
  <c r="AJ13" i="2"/>
  <c r="AM13" i="2"/>
  <c r="AJ28" i="2"/>
  <c r="AM28" i="2"/>
  <c r="AJ27" i="2"/>
  <c r="AM27" i="2"/>
  <c r="AJ15" i="2"/>
  <c r="AM15" i="2"/>
  <c r="AJ7" i="2"/>
  <c r="AM7" i="2"/>
  <c r="AH26" i="2"/>
  <c r="AH13" i="2"/>
  <c r="AH28" i="2"/>
  <c r="AH27" i="2"/>
  <c r="AH15" i="2"/>
  <c r="AH16" i="2"/>
  <c r="AH7" i="2"/>
  <c r="T379" i="11"/>
  <c r="U379" i="11" s="1"/>
  <c r="V747" i="11"/>
  <c r="W747" i="11" s="1"/>
  <c r="X747" i="11" s="1"/>
  <c r="U74" i="11"/>
  <c r="V74" i="11" s="1"/>
  <c r="W74" i="11" s="1"/>
  <c r="X74" i="11" s="1"/>
  <c r="Y74" i="11" s="1"/>
  <c r="Z74" i="11" s="1"/>
  <c r="T334" i="11"/>
  <c r="U334" i="11" s="1"/>
  <c r="V334" i="11" s="1"/>
  <c r="W334" i="11" s="1"/>
  <c r="U584" i="11"/>
  <c r="V584" i="11" s="1"/>
  <c r="W584" i="11" s="1"/>
  <c r="U549" i="11"/>
  <c r="V549" i="11" s="1"/>
  <c r="W549" i="11" s="1"/>
  <c r="X549" i="11" s="1"/>
  <c r="Y549" i="11" s="1"/>
  <c r="Z549" i="11" s="1"/>
  <c r="AA549" i="11" s="1"/>
  <c r="T427" i="11"/>
  <c r="U427" i="11" s="1"/>
  <c r="T407" i="11"/>
  <c r="U407" i="11" s="1"/>
  <c r="V407" i="11" s="1"/>
  <c r="W407" i="11" s="1"/>
  <c r="X407" i="11" s="1"/>
  <c r="Y407" i="11" s="1"/>
  <c r="Z407" i="11" s="1"/>
  <c r="AA407" i="11" s="1"/>
  <c r="T105" i="11"/>
  <c r="U105" i="11" s="1"/>
  <c r="V105" i="11" s="1"/>
  <c r="V430" i="11"/>
  <c r="W430" i="11" s="1"/>
  <c r="X430" i="11" s="1"/>
  <c r="Y430" i="11" s="1"/>
  <c r="Z430" i="11" s="1"/>
  <c r="AA430" i="11" s="1"/>
  <c r="X599" i="11"/>
  <c r="Y599" i="11" s="1"/>
  <c r="Z599" i="11" s="1"/>
  <c r="AA599" i="11" s="1"/>
  <c r="T35" i="11"/>
  <c r="U35" i="11" s="1"/>
  <c r="T451" i="11"/>
  <c r="U451" i="11" s="1"/>
  <c r="V500" i="11"/>
  <c r="W500" i="11" s="1"/>
  <c r="W311" i="11"/>
  <c r="X311" i="11" s="1"/>
  <c r="Y311" i="11" s="1"/>
  <c r="Z311" i="11" s="1"/>
  <c r="AA311" i="11" s="1"/>
  <c r="T541" i="11"/>
  <c r="U541" i="11" s="1"/>
  <c r="S277" i="11"/>
  <c r="T277" i="11" s="1"/>
  <c r="U340" i="11"/>
  <c r="V340" i="11" s="1"/>
  <c r="W340" i="11" s="1"/>
  <c r="V366" i="11"/>
  <c r="W366" i="11" s="1"/>
  <c r="V597" i="11"/>
  <c r="W597" i="11" s="1"/>
  <c r="X597" i="11" s="1"/>
  <c r="Y597" i="11" s="1"/>
  <c r="Z597" i="11" s="1"/>
  <c r="AA597" i="11" s="1"/>
  <c r="S523" i="11"/>
  <c r="V315" i="11"/>
  <c r="W315" i="11" s="1"/>
  <c r="X315" i="11" s="1"/>
  <c r="Y315" i="11" s="1"/>
  <c r="Z315" i="11" s="1"/>
  <c r="AA315" i="11" s="1"/>
  <c r="U72" i="11"/>
  <c r="V72" i="11" s="1"/>
  <c r="W72" i="11" s="1"/>
  <c r="V600" i="11"/>
  <c r="U145" i="11"/>
  <c r="V145" i="11" s="1"/>
  <c r="S588" i="11"/>
  <c r="T588" i="11" s="1"/>
  <c r="V420" i="11"/>
  <c r="W420" i="11" s="1"/>
  <c r="X420" i="11" s="1"/>
  <c r="Y420" i="11" s="1"/>
  <c r="Z420" i="11" s="1"/>
  <c r="AA420" i="11" s="1"/>
  <c r="AK5" i="22"/>
  <c r="T614" i="11"/>
  <c r="U614" i="11" s="1"/>
  <c r="V614" i="11" s="1"/>
  <c r="W614" i="11" s="1"/>
  <c r="U144" i="11"/>
  <c r="V144" i="11" s="1"/>
  <c r="W144" i="11" s="1"/>
  <c r="X573" i="11"/>
  <c r="Y573" i="11" s="1"/>
  <c r="Z573" i="11" s="1"/>
  <c r="T21" i="11"/>
  <c r="U21" i="11" s="1"/>
  <c r="T512" i="11"/>
  <c r="U512" i="11" s="1"/>
  <c r="V512" i="11" s="1"/>
  <c r="W512" i="11" s="1"/>
  <c r="X512" i="11" s="1"/>
  <c r="Y512" i="11" s="1"/>
  <c r="Z512" i="11" s="1"/>
  <c r="AA512" i="11" s="1"/>
  <c r="T195" i="11"/>
  <c r="U195" i="11" s="1"/>
  <c r="V521" i="11"/>
  <c r="W521" i="11" s="1"/>
  <c r="X521" i="11" s="1"/>
  <c r="T142" i="11"/>
  <c r="U142" i="11" s="1"/>
  <c r="U547" i="11"/>
  <c r="V547" i="11" s="1"/>
  <c r="W547" i="11" s="1"/>
  <c r="X547" i="11" s="1"/>
  <c r="T574" i="11"/>
  <c r="W95" i="11"/>
  <c r="X95" i="11" s="1"/>
  <c r="Y95" i="11" s="1"/>
  <c r="T625" i="11"/>
  <c r="R317" i="11"/>
  <c r="S647" i="11"/>
  <c r="S395" i="11"/>
  <c r="T395" i="11" s="1"/>
  <c r="S582" i="11"/>
  <c r="S243" i="11"/>
  <c r="T243" i="11" s="1"/>
  <c r="U243" i="11" s="1"/>
  <c r="U118" i="11"/>
  <c r="V118" i="11" s="1"/>
  <c r="U640" i="11"/>
  <c r="V640" i="11" s="1"/>
  <c r="R88" i="11"/>
  <c r="V56" i="11"/>
  <c r="W56" i="11" s="1"/>
  <c r="X56" i="11" s="1"/>
  <c r="AD37" i="2"/>
  <c r="S492" i="11"/>
  <c r="T492" i="11" s="1"/>
  <c r="U492" i="11" s="1"/>
  <c r="V492" i="11" s="1"/>
  <c r="W492" i="11" s="1"/>
  <c r="X488" i="11"/>
  <c r="Y488" i="11" s="1"/>
  <c r="Z488" i="11" s="1"/>
  <c r="AA488" i="11" s="1"/>
  <c r="U306" i="11"/>
  <c r="R23" i="11"/>
  <c r="S23" i="11" s="1"/>
  <c r="U198" i="11"/>
  <c r="U173" i="11"/>
  <c r="T466" i="11"/>
  <c r="U466" i="11" s="1"/>
  <c r="R27" i="11"/>
  <c r="S365" i="11"/>
  <c r="T365" i="11" s="1"/>
  <c r="R285" i="11"/>
  <c r="S285" i="11" s="1"/>
  <c r="U224" i="11"/>
  <c r="V224" i="11" s="1"/>
  <c r="W224" i="11" s="1"/>
  <c r="X224" i="11" s="1"/>
  <c r="Y224" i="11" s="1"/>
  <c r="Z224" i="11" s="1"/>
  <c r="AA224" i="11" s="1"/>
  <c r="S722" i="11"/>
  <c r="T722" i="11" s="1"/>
  <c r="V203" i="11"/>
  <c r="W203" i="11" s="1"/>
  <c r="X203" i="11" s="1"/>
  <c r="Y203" i="11" s="1"/>
  <c r="Z203" i="11" s="1"/>
  <c r="AA203" i="11" s="1"/>
  <c r="T414" i="11"/>
  <c r="R416" i="11"/>
  <c r="S416" i="11" s="1"/>
  <c r="T416" i="11" s="1"/>
  <c r="R610" i="11"/>
  <c r="S610" i="11" s="1"/>
  <c r="R540" i="11"/>
  <c r="S540" i="11" s="1"/>
  <c r="T637" i="11"/>
  <c r="U637" i="11" s="1"/>
  <c r="V637" i="11" s="1"/>
  <c r="W637" i="11" s="1"/>
  <c r="X637" i="11" s="1"/>
  <c r="Y637" i="11" s="1"/>
  <c r="Z637" i="11" s="1"/>
  <c r="AA637" i="11" s="1"/>
  <c r="AD39" i="2"/>
  <c r="AI40" i="2" s="1"/>
  <c r="R7" i="11"/>
  <c r="S7" i="11" s="1"/>
  <c r="T157" i="11"/>
  <c r="T59" i="11"/>
  <c r="U59" i="11" s="1"/>
  <c r="V59" i="11" s="1"/>
  <c r="W59" i="11" s="1"/>
  <c r="S559" i="11"/>
  <c r="T559" i="11" s="1"/>
  <c r="T227" i="11"/>
  <c r="AF23" i="2"/>
  <c r="AG23" i="2" s="1"/>
  <c r="AG24" i="2"/>
  <c r="S8" i="11"/>
  <c r="T8" i="11" s="1"/>
  <c r="T524" i="11"/>
  <c r="U524" i="11" s="1"/>
  <c r="V524" i="11" s="1"/>
  <c r="W524" i="11" s="1"/>
  <c r="X524" i="11" s="1"/>
  <c r="Y524" i="11" s="1"/>
  <c r="Z524" i="11" s="1"/>
  <c r="AA524" i="11" s="1"/>
  <c r="S233" i="11"/>
  <c r="U360" i="11"/>
  <c r="AB564" i="11"/>
  <c r="AB748" i="11"/>
  <c r="AB426" i="11"/>
  <c r="AB300" i="11"/>
  <c r="AB592" i="11"/>
  <c r="AB626" i="11"/>
  <c r="AB254" i="11"/>
  <c r="AB251" i="11"/>
  <c r="AB439" i="11"/>
  <c r="AB28" i="11"/>
  <c r="AB209" i="11"/>
  <c r="AB467" i="11"/>
  <c r="AB660" i="11"/>
  <c r="AB212" i="11"/>
  <c r="AB39" i="11"/>
  <c r="AB607" i="11"/>
  <c r="AB20" i="11"/>
  <c r="AB25" i="11"/>
  <c r="AB630" i="11"/>
  <c r="AB632" i="11"/>
  <c r="AB204" i="11"/>
  <c r="AB135" i="11"/>
  <c r="AB110" i="11"/>
  <c r="AB38" i="11"/>
  <c r="AB460" i="11"/>
  <c r="AB349" i="11"/>
  <c r="AB613" i="11"/>
  <c r="AB41" i="11"/>
  <c r="AB508" i="11"/>
  <c r="AB548" i="11"/>
  <c r="AB402" i="11"/>
  <c r="AB652" i="11"/>
  <c r="AB158" i="11"/>
  <c r="AB749" i="11"/>
  <c r="AB134" i="11"/>
  <c r="AB443" i="11"/>
  <c r="AB534" i="11"/>
  <c r="AB503" i="11"/>
  <c r="AB389" i="11"/>
  <c r="AB288" i="11"/>
  <c r="AB63" i="11"/>
  <c r="AB386" i="11"/>
  <c r="AB654" i="11"/>
  <c r="AB26" i="11"/>
  <c r="AB737" i="11"/>
  <c r="AB412" i="11"/>
  <c r="AB244" i="11"/>
  <c r="AB83" i="11"/>
  <c r="AB438" i="11"/>
  <c r="AB480" i="11"/>
  <c r="AB276" i="11"/>
  <c r="AB245" i="11"/>
  <c r="AB440" i="11"/>
  <c r="AB681" i="11"/>
  <c r="AB374" i="11"/>
  <c r="AB216" i="11"/>
  <c r="AB274" i="11"/>
  <c r="AB608" i="11"/>
  <c r="AB246" i="11"/>
  <c r="AB609" i="11"/>
  <c r="AB531" i="11"/>
  <c r="AB408" i="11"/>
  <c r="AB259" i="11"/>
  <c r="AB544" i="11"/>
  <c r="AB487" i="11"/>
  <c r="AB133" i="11"/>
  <c r="AB308" i="11"/>
  <c r="AB672" i="11"/>
  <c r="AB602" i="11"/>
  <c r="AB450" i="11"/>
  <c r="AB175" i="11"/>
  <c r="AB494" i="11"/>
  <c r="AB93" i="11"/>
  <c r="AB99" i="11"/>
  <c r="AB280" i="11"/>
  <c r="AB139" i="11"/>
  <c r="AB758" i="11"/>
  <c r="AB112" i="11"/>
  <c r="AB519" i="11"/>
  <c r="AB127" i="11"/>
  <c r="AB732" i="11"/>
  <c r="AB686" i="11"/>
  <c r="AB578" i="11"/>
  <c r="AB514" i="11"/>
  <c r="AB283" i="11"/>
  <c r="AB257" i="11"/>
  <c r="AB581" i="11"/>
  <c r="AB192" i="11"/>
  <c r="AB669" i="11"/>
  <c r="AB496" i="11"/>
  <c r="AB40" i="11"/>
  <c r="AB294" i="11"/>
  <c r="AB694" i="11"/>
  <c r="AB136" i="11"/>
  <c r="AB307" i="11"/>
  <c r="AB650" i="11"/>
  <c r="AB680" i="11"/>
  <c r="AB211" i="11"/>
  <c r="AB606" i="11"/>
  <c r="AB309" i="11"/>
  <c r="AB326" i="11"/>
  <c r="AB484" i="11"/>
  <c r="AB100" i="11"/>
  <c r="AB754" i="11"/>
  <c r="AB703" i="11"/>
  <c r="AB706" i="11"/>
  <c r="AB287" i="11"/>
  <c r="AB247" i="11"/>
  <c r="AB415" i="11"/>
  <c r="AB535" i="11"/>
  <c r="AB113" i="11"/>
  <c r="AB160" i="11"/>
  <c r="AB316" i="11"/>
  <c r="AB755" i="11"/>
  <c r="AB667" i="11"/>
  <c r="AB550" i="11"/>
  <c r="AB354" i="11"/>
  <c r="AB238" i="11"/>
  <c r="AB674" i="11"/>
  <c r="AB267" i="11"/>
  <c r="AB692" i="11"/>
  <c r="AB631" i="11"/>
  <c r="AB104" i="11"/>
  <c r="AB577" i="11"/>
  <c r="AB671" i="11"/>
  <c r="AB701" i="11"/>
  <c r="AB633" i="11"/>
  <c r="AB743" i="11"/>
  <c r="AB356" i="11"/>
  <c r="AB400" i="11"/>
  <c r="AB345" i="11"/>
  <c r="AB350" i="11"/>
  <c r="AB76" i="11"/>
  <c r="AB234" i="11"/>
  <c r="AB705" i="11"/>
  <c r="AB616" i="11"/>
  <c r="AB125" i="11"/>
  <c r="AB250" i="11"/>
  <c r="AB165" i="11"/>
  <c r="AB159" i="11"/>
  <c r="AB228" i="11"/>
  <c r="AB697" i="11"/>
  <c r="AB219" i="11"/>
  <c r="AB646" i="11"/>
  <c r="AB231" i="11"/>
  <c r="AB481" i="11"/>
  <c r="AB156" i="11"/>
  <c r="AB114" i="11"/>
  <c r="AB187" i="11"/>
  <c r="AB249" i="11"/>
  <c r="AB538" i="11"/>
  <c r="AB530" i="11"/>
  <c r="AB327" i="11"/>
  <c r="AB587" i="11"/>
  <c r="AB746" i="11"/>
  <c r="AB537" i="11"/>
  <c r="AB176" i="11"/>
  <c r="AB423" i="11"/>
  <c r="AB670" i="11"/>
  <c r="AB355" i="11"/>
  <c r="AB108" i="11"/>
  <c r="AB473" i="11"/>
  <c r="AB728" i="11"/>
  <c r="AB62" i="11"/>
  <c r="AB744" i="11"/>
  <c r="AB376" i="11"/>
  <c r="AB546" i="11"/>
  <c r="AB730" i="11"/>
  <c r="AB662" i="11"/>
  <c r="AB14" i="11"/>
  <c r="AB200" i="11"/>
  <c r="AB272" i="11"/>
  <c r="AB351" i="11"/>
  <c r="AB383" i="11"/>
  <c r="AB510" i="11"/>
  <c r="AB391" i="11"/>
  <c r="AB677" i="11"/>
  <c r="AB649" i="11"/>
  <c r="AB464" i="11"/>
  <c r="AB364" i="11"/>
  <c r="AB372" i="11"/>
  <c r="AB275" i="11"/>
  <c r="AB556" i="11"/>
  <c r="AB353" i="11"/>
  <c r="AB727" i="11"/>
  <c r="AB305" i="11"/>
  <c r="AB384" i="11"/>
  <c r="AB594" i="11"/>
  <c r="AB24" i="11"/>
  <c r="AB361" i="11"/>
  <c r="AB240" i="11"/>
  <c r="AB330" i="11"/>
  <c r="AB140" i="11"/>
  <c r="AB151" i="11"/>
  <c r="AB181" i="11"/>
  <c r="AB471" i="11"/>
  <c r="AB218" i="11"/>
  <c r="AB446" i="11"/>
  <c r="AB179" i="11"/>
  <c r="AB4" i="11"/>
  <c r="AB382" i="11"/>
  <c r="AB230" i="11"/>
  <c r="AB177" i="11"/>
  <c r="AB666" i="11"/>
  <c r="AB155" i="11"/>
  <c r="AB359" i="11"/>
  <c r="AB362" i="11"/>
  <c r="AB683" i="11"/>
  <c r="AB507" i="11"/>
  <c r="AB601" i="11"/>
  <c r="AB612" i="11"/>
  <c r="AB528" i="11"/>
  <c r="AB392" i="11"/>
  <c r="AB86" i="11"/>
  <c r="AB561" i="11"/>
  <c r="AB241" i="11"/>
  <c r="AB624" i="11"/>
  <c r="AB627" i="11"/>
  <c r="AB223" i="11"/>
  <c r="AB702" i="11"/>
  <c r="AB589" i="11"/>
  <c r="AB656" i="11"/>
  <c r="AB437" i="11"/>
  <c r="AB729" i="11"/>
  <c r="AB194" i="11"/>
  <c r="AB715" i="11"/>
  <c r="AB268" i="11"/>
  <c r="AB560" i="11"/>
  <c r="AB183" i="11"/>
  <c r="AB299" i="11"/>
  <c r="AB498" i="11"/>
  <c r="AB497" i="11"/>
  <c r="AB690" i="11"/>
  <c r="AB61" i="11"/>
  <c r="AB170" i="11"/>
  <c r="AB137" i="11"/>
  <c r="AB557" i="11"/>
  <c r="AB265" i="11"/>
  <c r="AB15" i="11"/>
  <c r="AB745" i="11"/>
  <c r="AB518" i="11"/>
  <c r="AB126" i="11"/>
  <c r="AB335" i="11"/>
  <c r="AB162" i="11"/>
  <c r="AB444" i="11"/>
  <c r="AB57" i="11"/>
  <c r="AB622" i="11"/>
  <c r="AB425" i="11"/>
  <c r="AB260" i="11"/>
  <c r="AB393" i="11"/>
  <c r="AB585" i="11"/>
  <c r="AB166" i="11"/>
  <c r="J146" i="11"/>
  <c r="J129" i="11"/>
  <c r="J114" i="11"/>
  <c r="J99" i="11"/>
  <c r="J55" i="11"/>
  <c r="J47" i="11"/>
  <c r="J48" i="11"/>
  <c r="J28" i="11"/>
  <c r="J29" i="11"/>
  <c r="J11" i="11"/>
  <c r="J755" i="11"/>
  <c r="J2" i="11"/>
  <c r="J3" i="11"/>
  <c r="J4" i="11"/>
  <c r="J5" i="11"/>
  <c r="J6" i="11"/>
  <c r="J10" i="11"/>
  <c r="J9" i="11"/>
  <c r="J8" i="11"/>
  <c r="J7" i="11"/>
  <c r="AB6" i="22"/>
  <c r="AC8" i="22"/>
  <c r="AH6" i="22"/>
  <c r="AC7" i="22"/>
  <c r="Q7" i="22"/>
  <c r="O9" i="22"/>
  <c r="AI6" i="22"/>
  <c r="H6" i="22"/>
  <c r="AB7" i="22"/>
  <c r="AE6" i="22"/>
  <c r="AF6" i="22"/>
  <c r="R7" i="22"/>
  <c r="AF7" i="22"/>
  <c r="AD7" i="22"/>
  <c r="Q6" i="22"/>
  <c r="AI8" i="22"/>
  <c r="AD6" i="22"/>
  <c r="AI7" i="22"/>
  <c r="AG7" i="22"/>
  <c r="EE13" i="2" l="1"/>
  <c r="DJ30" i="2"/>
  <c r="DJ27" i="2"/>
  <c r="CO26" i="2"/>
  <c r="CO33" i="2"/>
  <c r="CO15" i="2"/>
  <c r="CO28" i="2"/>
  <c r="CO32" i="2"/>
  <c r="CO16" i="2"/>
  <c r="CO30" i="2"/>
  <c r="CO27" i="2"/>
  <c r="BT32" i="2"/>
  <c r="BT28" i="2"/>
  <c r="BT30" i="2"/>
  <c r="BT7" i="2"/>
  <c r="BT34" i="2"/>
  <c r="BT31" i="2"/>
  <c r="BT15" i="2"/>
  <c r="BT26" i="2"/>
  <c r="BB24" i="2"/>
  <c r="BA23" i="2"/>
  <c r="BB23" i="2" s="1"/>
  <c r="BA22" i="2"/>
  <c r="BB22" i="2" s="1"/>
  <c r="AY39" i="2"/>
  <c r="AY37" i="2"/>
  <c r="AJ24" i="2"/>
  <c r="AM24" i="2"/>
  <c r="AJ23" i="2"/>
  <c r="AM23" i="2"/>
  <c r="AJ22" i="2"/>
  <c r="AM22" i="2"/>
  <c r="AH24" i="2"/>
  <c r="AH23" i="2"/>
  <c r="AH22" i="2"/>
  <c r="AG37" i="2"/>
  <c r="AT43" i="2" s="1"/>
  <c r="AF37" i="2"/>
  <c r="AB549" i="11"/>
  <c r="Y747" i="11"/>
  <c r="Z747" i="11" s="1"/>
  <c r="AA747" i="11" s="1"/>
  <c r="AB747" i="11" s="1"/>
  <c r="V379" i="11"/>
  <c r="W379" i="11" s="1"/>
  <c r="AB599" i="11"/>
  <c r="X584" i="11"/>
  <c r="Y584" i="11" s="1"/>
  <c r="Z584" i="11" s="1"/>
  <c r="AA584" i="11" s="1"/>
  <c r="V35" i="11"/>
  <c r="W35" i="11" s="1"/>
  <c r="X35" i="11" s="1"/>
  <c r="X500" i="11"/>
  <c r="Y500" i="11" s="1"/>
  <c r="Z500" i="11" s="1"/>
  <c r="AA500" i="11" s="1"/>
  <c r="V451" i="11"/>
  <c r="W451" i="11" s="1"/>
  <c r="X451" i="11" s="1"/>
  <c r="Y451" i="11" s="1"/>
  <c r="Z451" i="11" s="1"/>
  <c r="AA451" i="11" s="1"/>
  <c r="AB597" i="11"/>
  <c r="X72" i="11"/>
  <c r="Y72" i="11" s="1"/>
  <c r="Z72" i="11" s="1"/>
  <c r="AA72" i="11" s="1"/>
  <c r="V427" i="11"/>
  <c r="W427" i="11" s="1"/>
  <c r="V195" i="11"/>
  <c r="W195" i="11" s="1"/>
  <c r="AB311" i="11"/>
  <c r="U559" i="11"/>
  <c r="V559" i="11" s="1"/>
  <c r="W559" i="11" s="1"/>
  <c r="V541" i="11"/>
  <c r="W541" i="11" s="1"/>
  <c r="X541" i="11" s="1"/>
  <c r="Y541" i="11" s="1"/>
  <c r="Z541" i="11" s="1"/>
  <c r="AA541" i="11" s="1"/>
  <c r="U277" i="11"/>
  <c r="V277" i="11" s="1"/>
  <c r="Z95" i="11"/>
  <c r="AA95" i="11" s="1"/>
  <c r="AA74" i="11"/>
  <c r="V243" i="11"/>
  <c r="W243" i="11" s="1"/>
  <c r="X243" i="11" s="1"/>
  <c r="Y243" i="11" s="1"/>
  <c r="Z243" i="11" s="1"/>
  <c r="AA243" i="11" s="1"/>
  <c r="Y521" i="11"/>
  <c r="W105" i="11"/>
  <c r="X105" i="11" s="1"/>
  <c r="V142" i="11"/>
  <c r="W142" i="11" s="1"/>
  <c r="X142" i="11" s="1"/>
  <c r="Y142" i="11" s="1"/>
  <c r="Z142" i="11" s="1"/>
  <c r="AA142" i="11" s="1"/>
  <c r="U588" i="11"/>
  <c r="V588" i="11" s="1"/>
  <c r="W588" i="11" s="1"/>
  <c r="X588" i="11" s="1"/>
  <c r="AB524" i="11"/>
  <c r="X340" i="11"/>
  <c r="Y340" i="11" s="1"/>
  <c r="Z340" i="11" s="1"/>
  <c r="AA340" i="11" s="1"/>
  <c r="X492" i="11"/>
  <c r="Y492" i="11" s="1"/>
  <c r="Z492" i="11" s="1"/>
  <c r="AA492" i="11" s="1"/>
  <c r="X366" i="11"/>
  <c r="X59" i="11"/>
  <c r="Y59" i="11" s="1"/>
  <c r="Z59" i="11" s="1"/>
  <c r="AA59" i="11" s="1"/>
  <c r="AA573" i="11"/>
  <c r="AB573" i="11" s="1"/>
  <c r="T523" i="11"/>
  <c r="U523" i="11" s="1"/>
  <c r="AB420" i="11"/>
  <c r="W600" i="11"/>
  <c r="X600" i="11" s="1"/>
  <c r="Y600" i="11" s="1"/>
  <c r="Z600" i="11" s="1"/>
  <c r="AA600" i="11" s="1"/>
  <c r="W640" i="11"/>
  <c r="X640" i="11" s="1"/>
  <c r="Y640" i="11" s="1"/>
  <c r="Z640" i="11" s="1"/>
  <c r="AA640" i="11" s="1"/>
  <c r="W145" i="11"/>
  <c r="AK6" i="22"/>
  <c r="T610" i="11"/>
  <c r="V21" i="11"/>
  <c r="W21" i="11" s="1"/>
  <c r="U722" i="11"/>
  <c r="V722" i="11" s="1"/>
  <c r="U395" i="11"/>
  <c r="V395" i="11" s="1"/>
  <c r="U8" i="11"/>
  <c r="T233" i="11"/>
  <c r="U233" i="11" s="1"/>
  <c r="T285" i="11"/>
  <c r="T540" i="11"/>
  <c r="V306" i="11"/>
  <c r="S317" i="11"/>
  <c r="Y547" i="11"/>
  <c r="Z547" i="11" s="1"/>
  <c r="AA547" i="11" s="1"/>
  <c r="V360" i="11"/>
  <c r="W360" i="11" s="1"/>
  <c r="X360" i="11" s="1"/>
  <c r="T647" i="11"/>
  <c r="U227" i="11"/>
  <c r="V227" i="11" s="1"/>
  <c r="X334" i="11"/>
  <c r="Y334" i="11" s="1"/>
  <c r="Z334" i="11" s="1"/>
  <c r="AA334" i="11" s="1"/>
  <c r="U416" i="11"/>
  <c r="W118" i="11"/>
  <c r="AD41" i="2"/>
  <c r="U574" i="11"/>
  <c r="X144" i="11"/>
  <c r="Y144" i="11" s="1"/>
  <c r="Z144" i="11" s="1"/>
  <c r="AA144" i="11" s="1"/>
  <c r="U157" i="11"/>
  <c r="V157" i="11" s="1"/>
  <c r="W157" i="11" s="1"/>
  <c r="X157" i="11" s="1"/>
  <c r="S27" i="11"/>
  <c r="T582" i="11"/>
  <c r="U582" i="11" s="1"/>
  <c r="V582" i="11" s="1"/>
  <c r="U625" i="11"/>
  <c r="U365" i="11"/>
  <c r="V173" i="11"/>
  <c r="W173" i="11" s="1"/>
  <c r="X173" i="11" s="1"/>
  <c r="Y173" i="11" s="1"/>
  <c r="Z173" i="11" s="1"/>
  <c r="X614" i="11"/>
  <c r="V466" i="11"/>
  <c r="W466" i="11" s="1"/>
  <c r="X466" i="11" s="1"/>
  <c r="Y466" i="11" s="1"/>
  <c r="Z466" i="11" s="1"/>
  <c r="AA466" i="11" s="1"/>
  <c r="U414" i="11"/>
  <c r="T7" i="11"/>
  <c r="V198" i="11"/>
  <c r="T23" i="11"/>
  <c r="U23" i="11" s="1"/>
  <c r="S88" i="11"/>
  <c r="Y56" i="11"/>
  <c r="Z56" i="11" s="1"/>
  <c r="AA56" i="11" s="1"/>
  <c r="AB693" i="11"/>
  <c r="AB301" i="11"/>
  <c r="AB718" i="11"/>
  <c r="AB75" i="11"/>
  <c r="AB716" i="11"/>
  <c r="AB337" i="11"/>
  <c r="AB282" i="11"/>
  <c r="AB512" i="11"/>
  <c r="AB222" i="11"/>
  <c r="AB590" i="11"/>
  <c r="AB433" i="11"/>
  <c r="AB331" i="11"/>
  <c r="AB339" i="11"/>
  <c r="AB404" i="11"/>
  <c r="AB596" i="11"/>
  <c r="AB411" i="11"/>
  <c r="AB363" i="11"/>
  <c r="AB620" i="11"/>
  <c r="AB189" i="11"/>
  <c r="AB371" i="11"/>
  <c r="AB469" i="11"/>
  <c r="AB255" i="11"/>
  <c r="AB522" i="11"/>
  <c r="AB116" i="11"/>
  <c r="AB628" i="11"/>
  <c r="AB373" i="11"/>
  <c r="AB239" i="11"/>
  <c r="AB490" i="11"/>
  <c r="AB436" i="11"/>
  <c r="AB180" i="11"/>
  <c r="AB55" i="11"/>
  <c r="AB734" i="11"/>
  <c r="AB128" i="11"/>
  <c r="AB639" i="11"/>
  <c r="AB551" i="11"/>
  <c r="AB138" i="11"/>
  <c r="AB488" i="11"/>
  <c r="AB418" i="11"/>
  <c r="AB168" i="11"/>
  <c r="AB685" i="11"/>
  <c r="AB178" i="11"/>
  <c r="AB82" i="11"/>
  <c r="AB146" i="11"/>
  <c r="AB462" i="11"/>
  <c r="AB553" i="11"/>
  <c r="AB449" i="11"/>
  <c r="AB67" i="11"/>
  <c r="AB739" i="11"/>
  <c r="AB482" i="11"/>
  <c r="AB253" i="11"/>
  <c r="AB567" i="11"/>
  <c r="AB533" i="11"/>
  <c r="AB153" i="11"/>
  <c r="AB186" i="11"/>
  <c r="AB49" i="11"/>
  <c r="AB50" i="11"/>
  <c r="AB119" i="11"/>
  <c r="AB48" i="11"/>
  <c r="AB429" i="11"/>
  <c r="AB184" i="11"/>
  <c r="AB645" i="11"/>
  <c r="AB197" i="11"/>
  <c r="AB296" i="11"/>
  <c r="AB563" i="11"/>
  <c r="AB721" i="11"/>
  <c r="AB279" i="11"/>
  <c r="AB709" i="11"/>
  <c r="AB410" i="11"/>
  <c r="AB405" i="11"/>
  <c r="AB298" i="11"/>
  <c r="AB290" i="11"/>
  <c r="AB623" i="11"/>
  <c r="AB489" i="11"/>
  <c r="AB80" i="11"/>
  <c r="AB387" i="11"/>
  <c r="AB346" i="11"/>
  <c r="AB266" i="11"/>
  <c r="AB741" i="11"/>
  <c r="AB580" i="11"/>
  <c r="AB700" i="11"/>
  <c r="AB319" i="11"/>
  <c r="AB526" i="11"/>
  <c r="AB281" i="11"/>
  <c r="AB325" i="11"/>
  <c r="AB375" i="11"/>
  <c r="AB201" i="11"/>
  <c r="AB434" i="11"/>
  <c r="AB378" i="11"/>
  <c r="AB232" i="11"/>
  <c r="AB579" i="11"/>
  <c r="AB284" i="11"/>
  <c r="AB171" i="11"/>
  <c r="AB79" i="11"/>
  <c r="AB698" i="11"/>
  <c r="AB297" i="11"/>
  <c r="AB479" i="11"/>
  <c r="AB673" i="11"/>
  <c r="AB576" i="11"/>
  <c r="AB121" i="11"/>
  <c r="AB53" i="11"/>
  <c r="AB731" i="11"/>
  <c r="AB89" i="11"/>
  <c r="AB398" i="11"/>
  <c r="AB545" i="11"/>
  <c r="AB676" i="11"/>
  <c r="AB367" i="11"/>
  <c r="AB459" i="11"/>
  <c r="AB94" i="11"/>
  <c r="AB98" i="11"/>
  <c r="AB115" i="11"/>
  <c r="AB368" i="11"/>
  <c r="AB202" i="11"/>
  <c r="AB641" i="11"/>
  <c r="AB174" i="11"/>
  <c r="AB188" i="11"/>
  <c r="AB16" i="11"/>
  <c r="AB154" i="11"/>
  <c r="AB117" i="11"/>
  <c r="AB562" i="11"/>
  <c r="AB664" i="11"/>
  <c r="AB406" i="11"/>
  <c r="AB97" i="11"/>
  <c r="AB513" i="11"/>
  <c r="AB688" i="11"/>
  <c r="AB409" i="11"/>
  <c r="AB11" i="11"/>
  <c r="AB347" i="11"/>
  <c r="AB539" i="11"/>
  <c r="AB210" i="11"/>
  <c r="AB511" i="11"/>
  <c r="AB394" i="11"/>
  <c r="AB417" i="11"/>
  <c r="AB214" i="11"/>
  <c r="AB370" i="11"/>
  <c r="AB252" i="11"/>
  <c r="AB324" i="11"/>
  <c r="AB663" i="11"/>
  <c r="AB69" i="11"/>
  <c r="AB164" i="11"/>
  <c r="AB604" i="11"/>
  <c r="AB278" i="11"/>
  <c r="AB651" i="11"/>
  <c r="AB474" i="11"/>
  <c r="AB185" i="11"/>
  <c r="AB525" i="11"/>
  <c r="AB369" i="11"/>
  <c r="AB120" i="11"/>
  <c r="AB486" i="11"/>
  <c r="AB262" i="11"/>
  <c r="AB403" i="11"/>
  <c r="AB199" i="11"/>
  <c r="AB332" i="11"/>
  <c r="AB655" i="11"/>
  <c r="AB454" i="11"/>
  <c r="AB598" i="11"/>
  <c r="AB682" i="11"/>
  <c r="AB205" i="11"/>
  <c r="AB242" i="11"/>
  <c r="AB191" i="11"/>
  <c r="AB495" i="11"/>
  <c r="AB759" i="11"/>
  <c r="AB586" i="11"/>
  <c r="AB91" i="11"/>
  <c r="AB52" i="11"/>
  <c r="AB617" i="11"/>
  <c r="AB555" i="11"/>
  <c r="AB352" i="11"/>
  <c r="AB675" i="11"/>
  <c r="AB217" i="11"/>
  <c r="AB264" i="11"/>
  <c r="AB668" i="11"/>
  <c r="AB568" i="11"/>
  <c r="AB485" i="11"/>
  <c r="AB289" i="11"/>
  <c r="AB691" i="11"/>
  <c r="AB385" i="11"/>
  <c r="AB505" i="11"/>
  <c r="AB643" i="11"/>
  <c r="AB695" i="11"/>
  <c r="AB637" i="11"/>
  <c r="AB665" i="11"/>
  <c r="AB723" i="11"/>
  <c r="AB236" i="11"/>
  <c r="AB725" i="11"/>
  <c r="AB291" i="11"/>
  <c r="AB81" i="11"/>
  <c r="AB161" i="11"/>
  <c r="AB78" i="11"/>
  <c r="AB684" i="11"/>
  <c r="AB401" i="11"/>
  <c r="AB502" i="11"/>
  <c r="AB711" i="11"/>
  <c r="AB122" i="11"/>
  <c r="AB661" i="11"/>
  <c r="AB704" i="11"/>
  <c r="AB273" i="11"/>
  <c r="AB678" i="11"/>
  <c r="AB751" i="11"/>
  <c r="AB193" i="11"/>
  <c r="AB60" i="11"/>
  <c r="AB478" i="11"/>
  <c r="AB552" i="11"/>
  <c r="AB148" i="11"/>
  <c r="AB323" i="11"/>
  <c r="AB44" i="11"/>
  <c r="AB605" i="11"/>
  <c r="AB457" i="11"/>
  <c r="AB328" i="11"/>
  <c r="AB708" i="11"/>
  <c r="AB735" i="11"/>
  <c r="AB583" i="11"/>
  <c r="AB483" i="11"/>
  <c r="AB207" i="11"/>
  <c r="AB566" i="11"/>
  <c r="AB237" i="11"/>
  <c r="AB565" i="11"/>
  <c r="AB302" i="11"/>
  <c r="AB430" i="11"/>
  <c r="AB458" i="11"/>
  <c r="AB509" i="11"/>
  <c r="AB45" i="11"/>
  <c r="AB396" i="11"/>
  <c r="AB572" i="11"/>
  <c r="AB475" i="11"/>
  <c r="AB203" i="11"/>
  <c r="AB435" i="11"/>
  <c r="AB73" i="11"/>
  <c r="AB648" i="11"/>
  <c r="AB679" i="11"/>
  <c r="AB320" i="11"/>
  <c r="AB147" i="11"/>
  <c r="AB570" i="11"/>
  <c r="AB206" i="11"/>
  <c r="AB687" i="11"/>
  <c r="AB659" i="11"/>
  <c r="AB111" i="11"/>
  <c r="AB642" i="11"/>
  <c r="AB569" i="11"/>
  <c r="AB611" i="11"/>
  <c r="AB752" i="11"/>
  <c r="AB343" i="11"/>
  <c r="AB208" i="11"/>
  <c r="J12" i="11"/>
  <c r="J13" i="11"/>
  <c r="J14" i="11"/>
  <c r="J15" i="11"/>
  <c r="J16" i="11"/>
  <c r="J17" i="11"/>
  <c r="J20" i="11"/>
  <c r="J22" i="11"/>
  <c r="J24" i="11"/>
  <c r="J25" i="11"/>
  <c r="J26" i="11"/>
  <c r="J31" i="11"/>
  <c r="J32" i="11"/>
  <c r="J33" i="11"/>
  <c r="J34" i="11"/>
  <c r="J36" i="11"/>
  <c r="J37" i="11"/>
  <c r="J38" i="11"/>
  <c r="J40" i="11"/>
  <c r="J41" i="11"/>
  <c r="J43" i="11"/>
  <c r="J44" i="11"/>
  <c r="J45" i="11"/>
  <c r="J21" i="11"/>
  <c r="J18" i="11"/>
  <c r="J19" i="11"/>
  <c r="J30" i="11"/>
  <c r="J39" i="11"/>
  <c r="J42" i="11"/>
  <c r="J46" i="11"/>
  <c r="J757" i="11"/>
  <c r="J35" i="11"/>
  <c r="J27" i="11"/>
  <c r="J23" i="11"/>
  <c r="AB8" i="22"/>
  <c r="R8" i="22"/>
  <c r="AI9" i="22"/>
  <c r="AF8" i="22"/>
  <c r="H7" i="22"/>
  <c r="AG8" i="22"/>
  <c r="AC9" i="22"/>
  <c r="AE7" i="22"/>
  <c r="AH7" i="22"/>
  <c r="AG9" i="22"/>
  <c r="Q8" i="22"/>
  <c r="AD8" i="22"/>
  <c r="O10" i="22"/>
  <c r="EZ13" i="2" l="1"/>
  <c r="EE33" i="2"/>
  <c r="EE27" i="2"/>
  <c r="EE30" i="2"/>
  <c r="DJ28" i="2"/>
  <c r="DJ32" i="2"/>
  <c r="DJ15" i="2"/>
  <c r="DJ33" i="2"/>
  <c r="DJ26" i="2"/>
  <c r="DJ16" i="2"/>
  <c r="CO31" i="2"/>
  <c r="CO39" i="2" s="1"/>
  <c r="CO34" i="2"/>
  <c r="CO7" i="2"/>
  <c r="CO37" i="2" s="1"/>
  <c r="BV22" i="2"/>
  <c r="BW22" i="2" s="1"/>
  <c r="BV24" i="2"/>
  <c r="BW24" i="2" s="1"/>
  <c r="BV23" i="2"/>
  <c r="BW23" i="2" s="1"/>
  <c r="BT37" i="2"/>
  <c r="BT39" i="2"/>
  <c r="AY41" i="2"/>
  <c r="BD40" i="2"/>
  <c r="AB500" i="11"/>
  <c r="X379" i="11"/>
  <c r="Y379" i="11" s="1"/>
  <c r="Z379" i="11" s="1"/>
  <c r="AA379" i="11" s="1"/>
  <c r="AB584" i="11"/>
  <c r="AB451" i="11"/>
  <c r="AB72" i="11"/>
  <c r="X427" i="11"/>
  <c r="Y427" i="11" s="1"/>
  <c r="Z427" i="11" s="1"/>
  <c r="AA427" i="11" s="1"/>
  <c r="AB427" i="11" s="1"/>
  <c r="AB59" i="11"/>
  <c r="X559" i="11"/>
  <c r="Y559" i="11" s="1"/>
  <c r="Z559" i="11" s="1"/>
  <c r="AA559" i="11" s="1"/>
  <c r="AB56" i="11"/>
  <c r="AB640" i="11"/>
  <c r="W277" i="11"/>
  <c r="X277" i="11" s="1"/>
  <c r="Y277" i="11" s="1"/>
  <c r="Z277" i="11" s="1"/>
  <c r="AA277" i="11" s="1"/>
  <c r="AB334" i="11"/>
  <c r="V8" i="11"/>
  <c r="Y105" i="11"/>
  <c r="Z105" i="11" s="1"/>
  <c r="AA105" i="11" s="1"/>
  <c r="AB95" i="11"/>
  <c r="AB541" i="11"/>
  <c r="Y35" i="11"/>
  <c r="Z35" i="11" s="1"/>
  <c r="AA35" i="11" s="1"/>
  <c r="Z521" i="11"/>
  <c r="AA521" i="11" s="1"/>
  <c r="X145" i="11"/>
  <c r="Y145" i="11" s="1"/>
  <c r="Y588" i="11"/>
  <c r="Z588" i="11" s="1"/>
  <c r="AA588" i="11" s="1"/>
  <c r="AB600" i="11"/>
  <c r="V523" i="11"/>
  <c r="AB492" i="11"/>
  <c r="Y366" i="11"/>
  <c r="Z366" i="11" s="1"/>
  <c r="AK7" i="22"/>
  <c r="W395" i="11"/>
  <c r="X395" i="11" s="1"/>
  <c r="Y395" i="11" s="1"/>
  <c r="Z395" i="11" s="1"/>
  <c r="AA395" i="11" s="1"/>
  <c r="W227" i="11"/>
  <c r="X227" i="11" s="1"/>
  <c r="Y227" i="11" s="1"/>
  <c r="X21" i="11"/>
  <c r="W722" i="11"/>
  <c r="X722" i="11" s="1"/>
  <c r="Y722" i="11" s="1"/>
  <c r="Z722" i="11" s="1"/>
  <c r="AA722" i="11" s="1"/>
  <c r="T88" i="11"/>
  <c r="V365" i="11"/>
  <c r="W365" i="11" s="1"/>
  <c r="X365" i="11" s="1"/>
  <c r="Y365" i="11" s="1"/>
  <c r="Z365" i="11" s="1"/>
  <c r="T27" i="11"/>
  <c r="Y360" i="11"/>
  <c r="Z360" i="11" s="1"/>
  <c r="AA360" i="11" s="1"/>
  <c r="W306" i="11"/>
  <c r="X306" i="11" s="1"/>
  <c r="Y306" i="11" s="1"/>
  <c r="Z306" i="11" s="1"/>
  <c r="U540" i="11"/>
  <c r="V540" i="11" s="1"/>
  <c r="W198" i="11"/>
  <c r="Y614" i="11"/>
  <c r="Z614" i="11" s="1"/>
  <c r="AA614" i="11" s="1"/>
  <c r="Y157" i="11"/>
  <c r="Z157" i="11" s="1"/>
  <c r="X118" i="11"/>
  <c r="Y118" i="11" s="1"/>
  <c r="Z118" i="11" s="1"/>
  <c r="AA118" i="11" s="1"/>
  <c r="U285" i="11"/>
  <c r="V233" i="11"/>
  <c r="AB144" i="11"/>
  <c r="V625" i="11"/>
  <c r="W625" i="11" s="1"/>
  <c r="X625" i="11" s="1"/>
  <c r="Y625" i="11" s="1"/>
  <c r="Z625" i="11" s="1"/>
  <c r="AA625" i="11" s="1"/>
  <c r="X195" i="11"/>
  <c r="Y195" i="11" s="1"/>
  <c r="Z195" i="11" s="1"/>
  <c r="AA195" i="11" s="1"/>
  <c r="AB195" i="11" s="1"/>
  <c r="U610" i="11"/>
  <c r="U7" i="11"/>
  <c r="V23" i="11"/>
  <c r="W23" i="11" s="1"/>
  <c r="V574" i="11"/>
  <c r="U647" i="11"/>
  <c r="T317" i="11"/>
  <c r="AB466" i="11"/>
  <c r="AA173" i="11"/>
  <c r="AB173" i="11" s="1"/>
  <c r="V414" i="11"/>
  <c r="W582" i="11"/>
  <c r="X582" i="11" s="1"/>
  <c r="Y582" i="11" s="1"/>
  <c r="Z582" i="11" s="1"/>
  <c r="AA582" i="11" s="1"/>
  <c r="V416" i="11"/>
  <c r="AB103" i="11"/>
  <c r="AB3" i="11"/>
  <c r="AB51" i="11"/>
  <c r="AB432" i="11"/>
  <c r="AB554" i="11"/>
  <c r="AB593" i="11"/>
  <c r="AB453" i="11"/>
  <c r="AB571" i="11"/>
  <c r="AB713" i="11"/>
  <c r="AB141" i="11"/>
  <c r="AB477" i="11"/>
  <c r="AB738" i="11"/>
  <c r="AB542" i="11"/>
  <c r="AB58" i="11"/>
  <c r="AB132" i="11"/>
  <c r="AB653" i="11"/>
  <c r="AB699" i="11"/>
  <c r="AB90" i="11"/>
  <c r="AB717" i="11"/>
  <c r="AB397" i="11"/>
  <c r="AB225" i="11"/>
  <c r="AB750" i="11"/>
  <c r="AB527" i="11"/>
  <c r="AB603" i="11"/>
  <c r="AB720" i="11"/>
  <c r="AB520" i="11"/>
  <c r="AB142" i="11"/>
  <c r="AB271" i="11"/>
  <c r="AB124" i="11"/>
  <c r="AB377" i="11"/>
  <c r="AB517" i="11"/>
  <c r="AB172" i="11"/>
  <c r="AB421" i="11"/>
  <c r="AB595" i="11"/>
  <c r="AB658" i="11"/>
  <c r="AB635" i="11"/>
  <c r="AB390" i="11"/>
  <c r="AB742" i="11"/>
  <c r="AB733" i="11"/>
  <c r="AB263" i="11"/>
  <c r="AB476" i="11"/>
  <c r="AB753" i="11"/>
  <c r="AB380" i="11"/>
  <c r="AB407" i="11"/>
  <c r="AB130" i="11"/>
  <c r="AB322" i="11"/>
  <c r="AB543" i="11"/>
  <c r="AB448" i="11"/>
  <c r="AB226" i="11"/>
  <c r="AB318" i="11"/>
  <c r="AB452" i="11"/>
  <c r="AB461" i="11"/>
  <c r="AB714" i="11"/>
  <c r="AB338" i="11"/>
  <c r="AB46" i="11"/>
  <c r="AB615" i="11"/>
  <c r="AB106" i="11"/>
  <c r="AB445" i="11"/>
  <c r="AB303" i="11"/>
  <c r="AB504" i="11"/>
  <c r="AB621" i="11"/>
  <c r="AB270" i="11"/>
  <c r="AB96" i="11"/>
  <c r="AB87" i="11"/>
  <c r="AB413" i="11"/>
  <c r="AB381" i="11"/>
  <c r="AB169" i="11"/>
  <c r="AB348" i="11"/>
  <c r="AB68" i="11"/>
  <c r="AB333" i="11"/>
  <c r="AB314" i="11"/>
  <c r="AB470" i="11"/>
  <c r="AB321" i="11"/>
  <c r="AB36" i="11"/>
  <c r="AB152" i="11"/>
  <c r="AB399" i="11"/>
  <c r="AB123" i="11"/>
  <c r="AB215" i="11"/>
  <c r="AB465" i="11"/>
  <c r="AB736" i="11"/>
  <c r="AB424" i="11"/>
  <c r="AB224" i="11"/>
  <c r="AB107" i="11"/>
  <c r="AB357" i="11"/>
  <c r="AB501" i="11"/>
  <c r="AB689" i="11"/>
  <c r="AB340" i="11"/>
  <c r="AB638" i="11"/>
  <c r="AB532" i="11"/>
  <c r="AB472" i="11"/>
  <c r="AB516" i="11"/>
  <c r="J49" i="11"/>
  <c r="J50" i="11"/>
  <c r="J51" i="11"/>
  <c r="J53" i="11"/>
  <c r="J54" i="11"/>
  <c r="J57" i="11"/>
  <c r="J58" i="11"/>
  <c r="J60" i="11"/>
  <c r="J62" i="11"/>
  <c r="J59" i="11"/>
  <c r="J52" i="11"/>
  <c r="J67" i="11"/>
  <c r="J61" i="11"/>
  <c r="J56" i="11"/>
  <c r="Q9" i="22"/>
  <c r="AE8" i="22"/>
  <c r="AI10" i="22"/>
  <c r="AB9" i="22"/>
  <c r="R9" i="22"/>
  <c r="AC10" i="22"/>
  <c r="AD9" i="22"/>
  <c r="AD10" i="22"/>
  <c r="AH8" i="22"/>
  <c r="AG10" i="22"/>
  <c r="AF9" i="22"/>
  <c r="O11" i="22"/>
  <c r="H8" i="22"/>
  <c r="FU13" i="2" l="1"/>
  <c r="EZ33" i="2"/>
  <c r="EZ28" i="2"/>
  <c r="EZ30" i="2"/>
  <c r="EZ27" i="2"/>
  <c r="EE26" i="2"/>
  <c r="EE16" i="2"/>
  <c r="EE28" i="2"/>
  <c r="EE32" i="2"/>
  <c r="EE15" i="2"/>
  <c r="DJ31" i="2"/>
  <c r="DJ7" i="2"/>
  <c r="DJ37" i="2" s="1"/>
  <c r="DJ34" i="2"/>
  <c r="CO41" i="2"/>
  <c r="CT40" i="2"/>
  <c r="CQ24" i="2"/>
  <c r="CQ23" i="2"/>
  <c r="CR23" i="2" s="1"/>
  <c r="CQ22" i="2"/>
  <c r="BW37" i="2"/>
  <c r="CJ43" i="2" s="1"/>
  <c r="BT41" i="2"/>
  <c r="BY40" i="2"/>
  <c r="BV37" i="2"/>
  <c r="AB379" i="11"/>
  <c r="AB559" i="11"/>
  <c r="AB277" i="11"/>
  <c r="Z227" i="11"/>
  <c r="AA227" i="11" s="1"/>
  <c r="W8" i="11"/>
  <c r="AA157" i="11"/>
  <c r="AB118" i="11"/>
  <c r="AB521" i="11"/>
  <c r="AB35" i="11"/>
  <c r="AA365" i="11"/>
  <c r="AB365" i="11" s="1"/>
  <c r="Z145" i="11"/>
  <c r="AA145" i="11" s="1"/>
  <c r="W523" i="11"/>
  <c r="X523" i="11" s="1"/>
  <c r="Y523" i="11" s="1"/>
  <c r="Z523" i="11" s="1"/>
  <c r="AA523" i="11" s="1"/>
  <c r="AB588" i="11"/>
  <c r="AA366" i="11"/>
  <c r="AB366" i="11" s="1"/>
  <c r="AK8" i="22"/>
  <c r="V610" i="11"/>
  <c r="W233" i="11"/>
  <c r="V647" i="11"/>
  <c r="AB625" i="11"/>
  <c r="W540" i="11"/>
  <c r="AB582" i="11"/>
  <c r="X198" i="11"/>
  <c r="W416" i="11"/>
  <c r="X23" i="11"/>
  <c r="U88" i="11"/>
  <c r="W574" i="11"/>
  <c r="X574" i="11" s="1"/>
  <c r="V7" i="11"/>
  <c r="AB722" i="11"/>
  <c r="U317" i="11"/>
  <c r="AB614" i="11"/>
  <c r="AA306" i="11"/>
  <c r="AB306" i="11" s="1"/>
  <c r="AB395" i="11"/>
  <c r="W414" i="11"/>
  <c r="X414" i="11" s="1"/>
  <c r="Y414" i="11" s="1"/>
  <c r="U27" i="11"/>
  <c r="V27" i="11" s="1"/>
  <c r="Y21" i="11"/>
  <c r="AB360" i="11"/>
  <c r="V285" i="11"/>
  <c r="AB329" i="11"/>
  <c r="AB65" i="11"/>
  <c r="AB77" i="11"/>
  <c r="AB131" i="11"/>
  <c r="AB258" i="11"/>
  <c r="AB292" i="11"/>
  <c r="AB456" i="11"/>
  <c r="AB256" i="11"/>
  <c r="AB54" i="11"/>
  <c r="AB724" i="11"/>
  <c r="AB468" i="11"/>
  <c r="AB529" i="11"/>
  <c r="AB756" i="11"/>
  <c r="AB85" i="11"/>
  <c r="AB213" i="11"/>
  <c r="AB295" i="11"/>
  <c r="AB419" i="11"/>
  <c r="AB719" i="11"/>
  <c r="AB506" i="11"/>
  <c r="AB629" i="11"/>
  <c r="AB455" i="11"/>
  <c r="AB358" i="11"/>
  <c r="AB150" i="11"/>
  <c r="J63" i="11"/>
  <c r="J64" i="11"/>
  <c r="J65" i="11"/>
  <c r="J68" i="11"/>
  <c r="J69" i="11"/>
  <c r="J70" i="11"/>
  <c r="J71" i="11"/>
  <c r="J73" i="11"/>
  <c r="J76" i="11"/>
  <c r="J78" i="11"/>
  <c r="J79" i="11"/>
  <c r="J80" i="11"/>
  <c r="J81" i="11"/>
  <c r="J82" i="11"/>
  <c r="J83" i="11"/>
  <c r="J84" i="11"/>
  <c r="J85" i="11"/>
  <c r="J86" i="11"/>
  <c r="J87" i="11"/>
  <c r="J66" i="11"/>
  <c r="J75" i="11"/>
  <c r="J77" i="11"/>
  <c r="J74" i="11"/>
  <c r="J72" i="11"/>
  <c r="Q10" i="22"/>
  <c r="AF10" i="22"/>
  <c r="H9" i="22"/>
  <c r="R10" i="22"/>
  <c r="AH10" i="22"/>
  <c r="AE9" i="22"/>
  <c r="AI11" i="22"/>
  <c r="AH9" i="22"/>
  <c r="AD11" i="22"/>
  <c r="AB10" i="22"/>
  <c r="AC11" i="22"/>
  <c r="AG11" i="22"/>
  <c r="O12" i="22"/>
  <c r="GP13" i="2" l="1"/>
  <c r="FU28" i="2"/>
  <c r="FU33" i="2"/>
  <c r="FU30" i="2"/>
  <c r="FU27" i="2"/>
  <c r="EZ26" i="2"/>
  <c r="EZ16" i="2"/>
  <c r="EZ34" i="2"/>
  <c r="EZ32" i="2"/>
  <c r="EZ15" i="2"/>
  <c r="EE7" i="2"/>
  <c r="EE37" i="2" s="1"/>
  <c r="EE31" i="2"/>
  <c r="EE34" i="2"/>
  <c r="DL23" i="2"/>
  <c r="DM23" i="2" s="1"/>
  <c r="DL22" i="2"/>
  <c r="DL24" i="2"/>
  <c r="DJ39" i="2"/>
  <c r="CQ37" i="2"/>
  <c r="CR22" i="2"/>
  <c r="CR24" i="2"/>
  <c r="AB227" i="11"/>
  <c r="X8" i="11"/>
  <c r="AB145" i="11"/>
  <c r="Z414" i="11"/>
  <c r="AA414" i="11" s="1"/>
  <c r="AB523" i="11"/>
  <c r="AK9" i="22"/>
  <c r="Y574" i="11"/>
  <c r="Z574" i="11" s="1"/>
  <c r="AA574" i="11" s="1"/>
  <c r="V88" i="11"/>
  <c r="Z21" i="11"/>
  <c r="X540" i="11"/>
  <c r="W610" i="11"/>
  <c r="Y23" i="11"/>
  <c r="W647" i="11"/>
  <c r="W27" i="11"/>
  <c r="X233" i="11"/>
  <c r="X416" i="11"/>
  <c r="W7" i="11"/>
  <c r="V317" i="11"/>
  <c r="W285" i="11"/>
  <c r="Y198" i="11"/>
  <c r="AB10" i="11"/>
  <c r="AB12" i="11"/>
  <c r="AB74" i="11"/>
  <c r="AB42" i="11"/>
  <c r="AB2" i="11"/>
  <c r="AB47" i="11"/>
  <c r="AB32" i="11"/>
  <c r="AB547" i="11"/>
  <c r="AB493" i="11"/>
  <c r="AB491" i="11"/>
  <c r="J91" i="11"/>
  <c r="J92" i="11"/>
  <c r="J93" i="11"/>
  <c r="J96" i="11"/>
  <c r="J97" i="11"/>
  <c r="J98" i="11"/>
  <c r="J100" i="11"/>
  <c r="J101" i="11"/>
  <c r="J104" i="11"/>
  <c r="J95" i="11"/>
  <c r="J89" i="11"/>
  <c r="J90" i="11"/>
  <c r="J94" i="11"/>
  <c r="J102" i="11"/>
  <c r="J103" i="11"/>
  <c r="J105" i="11"/>
  <c r="J88" i="11"/>
  <c r="AC12" i="22"/>
  <c r="AB11" i="22"/>
  <c r="R11" i="22"/>
  <c r="AF11" i="22"/>
  <c r="AH11" i="22"/>
  <c r="AG12" i="22"/>
  <c r="AI12" i="22"/>
  <c r="AE10" i="22"/>
  <c r="O13" i="22"/>
  <c r="H10" i="22"/>
  <c r="Q11" i="22"/>
  <c r="AD12" i="22"/>
  <c r="HK13" i="2" l="1"/>
  <c r="GP30" i="2"/>
  <c r="GP33" i="2"/>
  <c r="GP28" i="2"/>
  <c r="GP27" i="2"/>
  <c r="FU26" i="2"/>
  <c r="FU34" i="2"/>
  <c r="FU32" i="2"/>
  <c r="FU16" i="2"/>
  <c r="FU15" i="2"/>
  <c r="EZ7" i="2"/>
  <c r="EZ37" i="2" s="1"/>
  <c r="EZ31" i="2"/>
  <c r="DM24" i="2"/>
  <c r="DM22" i="2"/>
  <c r="EG23" i="2"/>
  <c r="EH23" i="2" s="1"/>
  <c r="EG22" i="2"/>
  <c r="EG24" i="2"/>
  <c r="EE39" i="2"/>
  <c r="DO40" i="2"/>
  <c r="DJ41" i="2"/>
  <c r="DL37" i="2"/>
  <c r="CR37" i="2"/>
  <c r="DE43" i="2" s="1"/>
  <c r="Y8" i="11"/>
  <c r="AB414" i="11"/>
  <c r="AK10" i="22"/>
  <c r="X610" i="11"/>
  <c r="AA21" i="11"/>
  <c r="AB21" i="11" s="1"/>
  <c r="X27" i="11"/>
  <c r="X7" i="11"/>
  <c r="X647" i="11"/>
  <c r="Z198" i="11"/>
  <c r="Y416" i="11"/>
  <c r="Y233" i="11"/>
  <c r="W317" i="11"/>
  <c r="Z23" i="11"/>
  <c r="AB574" i="11"/>
  <c r="X285" i="11"/>
  <c r="Y540" i="11"/>
  <c r="W88" i="11"/>
  <c r="AB6" i="11"/>
  <c r="AB499" i="11"/>
  <c r="AB13" i="11"/>
  <c r="AB64" i="11"/>
  <c r="AB30" i="11"/>
  <c r="AB757" i="11"/>
  <c r="AB220" i="11"/>
  <c r="AB19" i="11"/>
  <c r="AB235" i="11"/>
  <c r="AB66" i="11"/>
  <c r="J109" i="11"/>
  <c r="J110" i="11"/>
  <c r="J125" i="11"/>
  <c r="J126" i="11"/>
  <c r="J127" i="11"/>
  <c r="J132" i="11"/>
  <c r="J133" i="11"/>
  <c r="J138" i="11"/>
  <c r="J147" i="11"/>
  <c r="J150" i="11"/>
  <c r="J151" i="11"/>
  <c r="J172" i="11"/>
  <c r="J175" i="11"/>
  <c r="J181" i="11"/>
  <c r="J157" i="11"/>
  <c r="J145" i="11"/>
  <c r="J144" i="11"/>
  <c r="J317" i="11"/>
  <c r="J118" i="11"/>
  <c r="O14" i="22"/>
  <c r="AD13" i="22"/>
  <c r="AF12" i="22"/>
  <c r="AG13" i="22"/>
  <c r="AC13" i="22"/>
  <c r="R12" i="22"/>
  <c r="AI13" i="22"/>
  <c r="Q12" i="22"/>
  <c r="AH12" i="22"/>
  <c r="H11" i="22"/>
  <c r="AB12" i="22"/>
  <c r="AE11" i="22"/>
  <c r="IF13" i="2" l="1"/>
  <c r="HK30" i="2"/>
  <c r="HK33" i="2"/>
  <c r="HK28" i="2"/>
  <c r="HK27" i="2"/>
  <c r="GP34" i="2"/>
  <c r="GP16" i="2"/>
  <c r="GP32" i="2"/>
  <c r="GP26" i="2"/>
  <c r="GP15" i="2"/>
  <c r="FU31" i="2"/>
  <c r="FU7" i="2"/>
  <c r="FU37" i="2" s="1"/>
  <c r="DM37" i="2"/>
  <c r="DZ43" i="2" s="1"/>
  <c r="FB23" i="2"/>
  <c r="FB22" i="2"/>
  <c r="FB24" i="2"/>
  <c r="EZ39" i="2"/>
  <c r="EH24" i="2"/>
  <c r="EH22" i="2"/>
  <c r="EJ40" i="2"/>
  <c r="EE41" i="2"/>
  <c r="EG37" i="2"/>
  <c r="Z8" i="11"/>
  <c r="AK11" i="22"/>
  <c r="AA23" i="11"/>
  <c r="AB23" i="11" s="1"/>
  <c r="Y27" i="11"/>
  <c r="X88" i="11"/>
  <c r="Z416" i="11"/>
  <c r="Y647" i="11"/>
  <c r="Y7" i="11"/>
  <c r="X317" i="11"/>
  <c r="Z233" i="11"/>
  <c r="Z540" i="11"/>
  <c r="Y610" i="11"/>
  <c r="AA198" i="11"/>
  <c r="Y285" i="11"/>
  <c r="AB22" i="11"/>
  <c r="AB9" i="11"/>
  <c r="AB102" i="11"/>
  <c r="AB84" i="11"/>
  <c r="AB33" i="11"/>
  <c r="AB315" i="11"/>
  <c r="AB18" i="11"/>
  <c r="AB157" i="11"/>
  <c r="AB313" i="11"/>
  <c r="AB341" i="11"/>
  <c r="AB5" i="11"/>
  <c r="AB105" i="11"/>
  <c r="AB109" i="11"/>
  <c r="AB43" i="11"/>
  <c r="AB261" i="11"/>
  <c r="AB634" i="11"/>
  <c r="AB336" i="11"/>
  <c r="J106" i="11"/>
  <c r="J107" i="11"/>
  <c r="J108" i="11"/>
  <c r="J111" i="11"/>
  <c r="J112" i="11"/>
  <c r="J113" i="11"/>
  <c r="J115" i="11"/>
  <c r="J116" i="11"/>
  <c r="J117" i="11"/>
  <c r="J119" i="11"/>
  <c r="J120" i="11"/>
  <c r="J121" i="11"/>
  <c r="J122" i="11"/>
  <c r="J123" i="11"/>
  <c r="J124" i="11"/>
  <c r="J128" i="11"/>
  <c r="J130" i="11"/>
  <c r="J131" i="11"/>
  <c r="J134" i="11"/>
  <c r="J135" i="11"/>
  <c r="J136" i="11"/>
  <c r="J137" i="11"/>
  <c r="J139" i="11"/>
  <c r="J140" i="11"/>
  <c r="J141" i="11"/>
  <c r="J143" i="11"/>
  <c r="J148" i="11"/>
  <c r="J149" i="11"/>
  <c r="J152" i="11"/>
  <c r="J153" i="11"/>
  <c r="J154" i="11"/>
  <c r="J155" i="11"/>
  <c r="J156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4" i="11"/>
  <c r="J176" i="11"/>
  <c r="J177" i="11"/>
  <c r="J178" i="11"/>
  <c r="J179" i="11"/>
  <c r="J180" i="11"/>
  <c r="J182" i="11"/>
  <c r="J183" i="11"/>
  <c r="J173" i="11"/>
  <c r="J142" i="11"/>
  <c r="AH13" i="22"/>
  <c r="AF13" i="22"/>
  <c r="Q13" i="22"/>
  <c r="R13" i="22"/>
  <c r="AC14" i="22"/>
  <c r="AD14" i="22"/>
  <c r="H12" i="22"/>
  <c r="AB13" i="22"/>
  <c r="O15" i="22"/>
  <c r="AG14" i="22"/>
  <c r="AI14" i="22"/>
  <c r="AE12" i="22"/>
  <c r="JA13" i="2" l="1"/>
  <c r="IF33" i="2"/>
  <c r="IF30" i="2"/>
  <c r="IF28" i="2"/>
  <c r="IF27" i="2"/>
  <c r="HK34" i="2"/>
  <c r="HK15" i="2"/>
  <c r="HK32" i="2"/>
  <c r="HK16" i="2"/>
  <c r="HK26" i="2"/>
  <c r="GP7" i="2"/>
  <c r="GP37" i="2" s="1"/>
  <c r="GP31" i="2"/>
  <c r="FW23" i="2"/>
  <c r="FW22" i="2"/>
  <c r="FW24" i="2"/>
  <c r="FU39" i="2"/>
  <c r="FC24" i="2"/>
  <c r="FB37" i="2"/>
  <c r="FC22" i="2"/>
  <c r="FC23" i="2"/>
  <c r="FE40" i="2"/>
  <c r="EZ41" i="2"/>
  <c r="EH37" i="2"/>
  <c r="EU43" i="2" s="1"/>
  <c r="AA8" i="11"/>
  <c r="AK12" i="22"/>
  <c r="Z27" i="11"/>
  <c r="AA233" i="11"/>
  <c r="Z285" i="11"/>
  <c r="Z7" i="11"/>
  <c r="Y317" i="11"/>
  <c r="Z647" i="11"/>
  <c r="AB198" i="11"/>
  <c r="AA416" i="11"/>
  <c r="Z610" i="11"/>
  <c r="AA540" i="11"/>
  <c r="Y88" i="11"/>
  <c r="AB618" i="11"/>
  <c r="AB71" i="11"/>
  <c r="AB447" i="11"/>
  <c r="AB221" i="11"/>
  <c r="AB243" i="11"/>
  <c r="AB442" i="11"/>
  <c r="AB515" i="11"/>
  <c r="J184" i="11"/>
  <c r="J185" i="11"/>
  <c r="J186" i="11"/>
  <c r="J187" i="11"/>
  <c r="J188" i="11"/>
  <c r="J189" i="11"/>
  <c r="J192" i="11"/>
  <c r="J193" i="11"/>
  <c r="J194" i="11"/>
  <c r="J197" i="11"/>
  <c r="J200" i="11"/>
  <c r="J201" i="11"/>
  <c r="J204" i="11"/>
  <c r="J205" i="11"/>
  <c r="J206" i="11"/>
  <c r="J207" i="11"/>
  <c r="J208" i="11"/>
  <c r="J209" i="11"/>
  <c r="J210" i="11"/>
  <c r="J203" i="11"/>
  <c r="J190" i="11"/>
  <c r="J191" i="11"/>
  <c r="J196" i="11"/>
  <c r="J199" i="11"/>
  <c r="J202" i="11"/>
  <c r="J198" i="11"/>
  <c r="J195" i="11"/>
  <c r="AI15" i="22"/>
  <c r="AG15" i="22"/>
  <c r="H13" i="22"/>
  <c r="AE13" i="22"/>
  <c r="AC15" i="22"/>
  <c r="R14" i="22"/>
  <c r="AF14" i="22"/>
  <c r="AH14" i="22"/>
  <c r="AD15" i="22"/>
  <c r="O40" i="22"/>
  <c r="AB14" i="22"/>
  <c r="Q14" i="22"/>
  <c r="JA28" i="2" l="1"/>
  <c r="JA30" i="2"/>
  <c r="JA33" i="2"/>
  <c r="JA27" i="2"/>
  <c r="IF26" i="2"/>
  <c r="IF34" i="2"/>
  <c r="IF32" i="2"/>
  <c r="IF15" i="2"/>
  <c r="IF16" i="2"/>
  <c r="HK31" i="2"/>
  <c r="HK7" i="2"/>
  <c r="HK37" i="2" s="1"/>
  <c r="GR23" i="2"/>
  <c r="GR22" i="2"/>
  <c r="GR24" i="2"/>
  <c r="GP39" i="2"/>
  <c r="FX23" i="2"/>
  <c r="FX22" i="2"/>
  <c r="FX24" i="2"/>
  <c r="FZ40" i="2"/>
  <c r="FU41" i="2"/>
  <c r="FW37" i="2"/>
  <c r="FC37" i="2"/>
  <c r="FP43" i="2" s="1"/>
  <c r="AB8" i="11"/>
  <c r="AK13" i="22"/>
  <c r="Z88" i="11"/>
  <c r="AA610" i="11"/>
  <c r="AA27" i="11"/>
  <c r="AB27" i="11" s="1"/>
  <c r="AB233" i="11"/>
  <c r="AB416" i="11"/>
  <c r="AA7" i="11"/>
  <c r="AA285" i="11"/>
  <c r="AA647" i="11"/>
  <c r="Z317" i="11"/>
  <c r="AB540" i="11"/>
  <c r="J211" i="11"/>
  <c r="J212" i="11"/>
  <c r="J213" i="11"/>
  <c r="J214" i="11"/>
  <c r="J217" i="11"/>
  <c r="J218" i="11"/>
  <c r="J219" i="11"/>
  <c r="J220" i="11"/>
  <c r="J221" i="11"/>
  <c r="J222" i="11"/>
  <c r="J225" i="11"/>
  <c r="J226" i="11"/>
  <c r="J228" i="11"/>
  <c r="J229" i="11"/>
  <c r="J230" i="11"/>
  <c r="J231" i="11"/>
  <c r="J234" i="11"/>
  <c r="J235" i="11"/>
  <c r="J236" i="11"/>
  <c r="J237" i="11"/>
  <c r="J233" i="11"/>
  <c r="J215" i="11"/>
  <c r="J216" i="11"/>
  <c r="J223" i="11"/>
  <c r="J232" i="11"/>
  <c r="J227" i="11"/>
  <c r="J224" i="11"/>
  <c r="AH15" i="22"/>
  <c r="AF15" i="22"/>
  <c r="Q15" i="22"/>
  <c r="AC40" i="22"/>
  <c r="AE14" i="22"/>
  <c r="AI40" i="22"/>
  <c r="R15" i="22"/>
  <c r="AD40" i="22"/>
  <c r="AG40" i="22"/>
  <c r="AB15" i="22"/>
  <c r="H14" i="22"/>
  <c r="JA32" i="2" l="1"/>
  <c r="JA34" i="2"/>
  <c r="JA26" i="2"/>
  <c r="JA16" i="2"/>
  <c r="JA15" i="2"/>
  <c r="IF7" i="2"/>
  <c r="IF37" i="2" s="1"/>
  <c r="IF31" i="2"/>
  <c r="HM23" i="2"/>
  <c r="HM22" i="2"/>
  <c r="HM24" i="2"/>
  <c r="HK39" i="2"/>
  <c r="GS24" i="2"/>
  <c r="GR37" i="2"/>
  <c r="GS22" i="2"/>
  <c r="GS23" i="2"/>
  <c r="GU40" i="2"/>
  <c r="GP41" i="2"/>
  <c r="FX37" i="2"/>
  <c r="GK43" i="2" s="1"/>
  <c r="AK14" i="22"/>
  <c r="AA317" i="11"/>
  <c r="AB7" i="11"/>
  <c r="AB610" i="11"/>
  <c r="AB647" i="11"/>
  <c r="AA88" i="11"/>
  <c r="AB285" i="11"/>
  <c r="J242" i="11"/>
  <c r="J255" i="11"/>
  <c r="J256" i="11"/>
  <c r="J257" i="11"/>
  <c r="J258" i="11"/>
  <c r="J263" i="11"/>
  <c r="J264" i="11"/>
  <c r="J271" i="11"/>
  <c r="J270" i="11"/>
  <c r="J268" i="11"/>
  <c r="J280" i="11"/>
  <c r="J296" i="11"/>
  <c r="J278" i="11"/>
  <c r="J277" i="11"/>
  <c r="J247" i="11"/>
  <c r="J243" i="11"/>
  <c r="J238" i="11"/>
  <c r="J239" i="11"/>
  <c r="J240" i="11"/>
  <c r="J241" i="11"/>
  <c r="J244" i="11"/>
  <c r="J245" i="11"/>
  <c r="J246" i="11"/>
  <c r="J248" i="11"/>
  <c r="J249" i="11"/>
  <c r="J250" i="11"/>
  <c r="J251" i="11"/>
  <c r="J252" i="11"/>
  <c r="J253" i="11"/>
  <c r="J254" i="11"/>
  <c r="J259" i="11"/>
  <c r="J260" i="11"/>
  <c r="J261" i="11"/>
  <c r="J262" i="11"/>
  <c r="J265" i="11"/>
  <c r="J266" i="11"/>
  <c r="J267" i="11"/>
  <c r="J269" i="11"/>
  <c r="J273" i="11"/>
  <c r="J274" i="11"/>
  <c r="J275" i="11"/>
  <c r="J276" i="11"/>
  <c r="J279" i="11"/>
  <c r="J281" i="11"/>
  <c r="J282" i="11"/>
  <c r="J283" i="11"/>
  <c r="J284" i="11"/>
  <c r="J286" i="11"/>
  <c r="J287" i="11"/>
  <c r="J288" i="11"/>
  <c r="J289" i="11"/>
  <c r="J290" i="11"/>
  <c r="J291" i="11"/>
  <c r="J292" i="11"/>
  <c r="J293" i="11"/>
  <c r="J294" i="11"/>
  <c r="J295" i="11"/>
  <c r="J297" i="11"/>
  <c r="J298" i="11"/>
  <c r="J299" i="11"/>
  <c r="J300" i="11"/>
  <c r="J301" i="11"/>
  <c r="J302" i="11"/>
  <c r="J303" i="11"/>
  <c r="J304" i="11"/>
  <c r="J285" i="11"/>
  <c r="J272" i="11"/>
  <c r="AF40" i="22"/>
  <c r="AE15" i="22"/>
  <c r="H15" i="22"/>
  <c r="AH40" i="22"/>
  <c r="AB40" i="22"/>
  <c r="Q40" i="22"/>
  <c r="R40" i="22"/>
  <c r="JA7" i="2" l="1"/>
  <c r="JA37" i="2" s="1"/>
  <c r="JA31" i="2"/>
  <c r="IH23" i="2"/>
  <c r="IH22" i="2"/>
  <c r="IH24" i="2"/>
  <c r="IF39" i="2"/>
  <c r="HN24" i="2"/>
  <c r="HN23" i="2"/>
  <c r="HN22" i="2"/>
  <c r="HM37" i="2"/>
  <c r="HP40" i="2"/>
  <c r="HK41" i="2"/>
  <c r="GS37" i="2"/>
  <c r="HF43" i="2" s="1"/>
  <c r="AK15" i="22"/>
  <c r="AB88" i="11"/>
  <c r="AB317" i="11"/>
  <c r="J313" i="11"/>
  <c r="J314" i="11"/>
  <c r="J322" i="11"/>
  <c r="J324" i="11"/>
  <c r="J329" i="11"/>
  <c r="J335" i="11"/>
  <c r="J336" i="11"/>
  <c r="J341" i="11"/>
  <c r="J342" i="11"/>
  <c r="J356" i="11"/>
  <c r="J355" i="11"/>
  <c r="J364" i="11"/>
  <c r="J747" i="11"/>
  <c r="J365" i="11"/>
  <c r="J360" i="11"/>
  <c r="J340" i="11"/>
  <c r="J334" i="11"/>
  <c r="J311" i="11"/>
  <c r="J306" i="11"/>
  <c r="J305" i="11"/>
  <c r="J307" i="11"/>
  <c r="J308" i="11"/>
  <c r="J309" i="11"/>
  <c r="J310" i="11"/>
  <c r="J312" i="11"/>
  <c r="J316" i="11"/>
  <c r="J318" i="11"/>
  <c r="J319" i="11"/>
  <c r="J320" i="11"/>
  <c r="J321" i="11"/>
  <c r="J323" i="11"/>
  <c r="J325" i="11"/>
  <c r="J326" i="11"/>
  <c r="J327" i="11"/>
  <c r="J328" i="11"/>
  <c r="J330" i="11"/>
  <c r="J331" i="11"/>
  <c r="J332" i="11"/>
  <c r="J333" i="11"/>
  <c r="J337" i="11"/>
  <c r="J338" i="11"/>
  <c r="J339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7" i="11"/>
  <c r="J358" i="11"/>
  <c r="J359" i="11"/>
  <c r="J361" i="11"/>
  <c r="J362" i="11"/>
  <c r="J363" i="11"/>
  <c r="J367" i="11"/>
  <c r="J368" i="11"/>
  <c r="J366" i="11"/>
  <c r="J315" i="11"/>
  <c r="H40" i="22"/>
  <c r="AE40" i="22"/>
  <c r="II24" i="2" l="1"/>
  <c r="JC23" i="2"/>
  <c r="JC22" i="2"/>
  <c r="JC24" i="2"/>
  <c r="JA39" i="2"/>
  <c r="II23" i="2"/>
  <c r="II22" i="2"/>
  <c r="IK40" i="2"/>
  <c r="IF41" i="2"/>
  <c r="IH37" i="2"/>
  <c r="HN37" i="2"/>
  <c r="IA43" i="2" s="1"/>
  <c r="J371" i="11"/>
  <c r="J375" i="11"/>
  <c r="J378" i="11"/>
  <c r="J381" i="11"/>
  <c r="J387" i="11"/>
  <c r="J388" i="11"/>
  <c r="J386" i="11"/>
  <c r="J379" i="11"/>
  <c r="J369" i="11"/>
  <c r="J370" i="11"/>
  <c r="J372" i="11"/>
  <c r="J373" i="11"/>
  <c r="J374" i="11"/>
  <c r="J376" i="11"/>
  <c r="J377" i="11"/>
  <c r="J380" i="11"/>
  <c r="J382" i="11"/>
  <c r="J383" i="11"/>
  <c r="J384" i="11"/>
  <c r="J385" i="11"/>
  <c r="J389" i="11"/>
  <c r="II37" i="2" l="1"/>
  <c r="IV43" i="2" s="1"/>
  <c r="JD22" i="2"/>
  <c r="JY22" i="2" s="1"/>
  <c r="KT22" i="2" s="1"/>
  <c r="LO22" i="2" s="1"/>
  <c r="MJ22" i="2" s="1"/>
  <c r="NE22" i="2" s="1"/>
  <c r="JD23" i="2"/>
  <c r="JY23" i="2" s="1"/>
  <c r="KT23" i="2" s="1"/>
  <c r="LO23" i="2" s="1"/>
  <c r="MJ23" i="2" s="1"/>
  <c r="NE23" i="2" s="1"/>
  <c r="JF40" i="2"/>
  <c r="JA41" i="2"/>
  <c r="JC37" i="2"/>
  <c r="JD24" i="2"/>
  <c r="JY24" i="2" s="1"/>
  <c r="KT24" i="2" s="1"/>
  <c r="LO24" i="2" s="1"/>
  <c r="MJ24" i="2" s="1"/>
  <c r="NE24" i="2" s="1"/>
  <c r="J390" i="11"/>
  <c r="J391" i="11"/>
  <c r="J392" i="11"/>
  <c r="J393" i="11"/>
  <c r="J396" i="11"/>
  <c r="NZ24" i="2" l="1"/>
  <c r="NZ23" i="2"/>
  <c r="NE37" i="2"/>
  <c r="NR43" i="2" s="1"/>
  <c r="NZ22" i="2"/>
  <c r="MJ37" i="2"/>
  <c r="MW43" i="2" s="1"/>
  <c r="LO37" i="2"/>
  <c r="MB43" i="2" s="1"/>
  <c r="KT37" i="2"/>
  <c r="LG43" i="2" s="1"/>
  <c r="JY37" i="2"/>
  <c r="KL43" i="2" s="1"/>
  <c r="JD37" i="2"/>
  <c r="JQ43" i="2" s="1"/>
  <c r="J394" i="11"/>
  <c r="J397" i="11"/>
  <c r="J399" i="11"/>
  <c r="J410" i="11"/>
  <c r="J412" i="11"/>
  <c r="J416" i="11"/>
  <c r="J407" i="11"/>
  <c r="J395" i="11"/>
  <c r="J398" i="11"/>
  <c r="J400" i="11"/>
  <c r="J401" i="11"/>
  <c r="J402" i="11"/>
  <c r="J403" i="11"/>
  <c r="J404" i="11"/>
  <c r="J405" i="11"/>
  <c r="J406" i="11"/>
  <c r="J408" i="11"/>
  <c r="J409" i="11"/>
  <c r="J411" i="11"/>
  <c r="J413" i="11"/>
  <c r="J415" i="11"/>
  <c r="J417" i="11"/>
  <c r="J418" i="11"/>
  <c r="J419" i="11"/>
  <c r="J414" i="11"/>
  <c r="OU24" i="2" l="1"/>
  <c r="PP24" i="2" s="1"/>
  <c r="OU23" i="2"/>
  <c r="PP23" i="2" s="1"/>
  <c r="OU22" i="2"/>
  <c r="PP22" i="2" s="1"/>
  <c r="NZ37" i="2"/>
  <c r="OM43" i="2" s="1"/>
  <c r="J447" i="11"/>
  <c r="J446" i="11"/>
  <c r="J421" i="11"/>
  <c r="J423" i="11"/>
  <c r="J422" i="11"/>
  <c r="J428" i="11"/>
  <c r="J429" i="11"/>
  <c r="J431" i="11"/>
  <c r="J432" i="11"/>
  <c r="J433" i="11"/>
  <c r="J434" i="11"/>
  <c r="J435" i="11"/>
  <c r="J436" i="11"/>
  <c r="J439" i="11"/>
  <c r="J440" i="11"/>
  <c r="J437" i="11"/>
  <c r="J438" i="11"/>
  <c r="J444" i="11"/>
  <c r="J449" i="11"/>
  <c r="J445" i="11"/>
  <c r="J450" i="11"/>
  <c r="J452" i="11"/>
  <c r="J453" i="11"/>
  <c r="J455" i="11"/>
  <c r="J457" i="11"/>
  <c r="J456" i="11"/>
  <c r="J458" i="11"/>
  <c r="J461" i="11"/>
  <c r="J459" i="11"/>
  <c r="J460" i="11"/>
  <c r="J465" i="11"/>
  <c r="J462" i="11"/>
  <c r="J463" i="11"/>
  <c r="J464" i="11"/>
  <c r="J467" i="11"/>
  <c r="J468" i="11"/>
  <c r="J469" i="11"/>
  <c r="J472" i="11"/>
  <c r="J471" i="11"/>
  <c r="J478" i="11"/>
  <c r="J479" i="11"/>
  <c r="J473" i="11"/>
  <c r="J474" i="11"/>
  <c r="J476" i="11"/>
  <c r="J475" i="11"/>
  <c r="J477" i="11"/>
  <c r="J427" i="11"/>
  <c r="J424" i="11"/>
  <c r="J425" i="11"/>
  <c r="J426" i="11"/>
  <c r="J442" i="11"/>
  <c r="J443" i="11"/>
  <c r="J454" i="11"/>
  <c r="J470" i="11"/>
  <c r="J466" i="11"/>
  <c r="J451" i="11"/>
  <c r="J430" i="11"/>
  <c r="J420" i="11"/>
  <c r="PP37" i="2" l="1"/>
  <c r="QC43" i="2" s="1"/>
  <c r="QK22" i="2"/>
  <c r="QK23" i="2"/>
  <c r="QK24" i="2"/>
  <c r="OU37" i="2"/>
  <c r="PH43" i="2" s="1"/>
  <c r="D31" i="2"/>
  <c r="RF23" i="2" l="1"/>
  <c r="SA23" i="2" s="1"/>
  <c r="RF24" i="2"/>
  <c r="SA24" i="2" s="1"/>
  <c r="QK37" i="2"/>
  <c r="QX43" i="2" s="1"/>
  <c r="RF22" i="2"/>
  <c r="SA22" i="2" s="1"/>
  <c r="D22" i="2"/>
  <c r="D37" i="2"/>
  <c r="D24" i="2"/>
  <c r="D23" i="2"/>
  <c r="J480" i="11"/>
  <c r="J481" i="11"/>
  <c r="J482" i="11"/>
  <c r="J484" i="11"/>
  <c r="J485" i="11"/>
  <c r="J486" i="11"/>
  <c r="J483" i="11"/>
  <c r="J487" i="11"/>
  <c r="J489" i="11"/>
  <c r="J490" i="11"/>
  <c r="J491" i="11"/>
  <c r="J495" i="11"/>
  <c r="J497" i="11"/>
  <c r="J496" i="11"/>
  <c r="J499" i="11"/>
  <c r="J501" i="11"/>
  <c r="J503" i="11"/>
  <c r="J504" i="11"/>
  <c r="J502" i="11"/>
  <c r="J505" i="11"/>
  <c r="J506" i="11"/>
  <c r="J507" i="11"/>
  <c r="J508" i="11"/>
  <c r="J513" i="11"/>
  <c r="J517" i="11"/>
  <c r="J519" i="11"/>
  <c r="J520" i="11"/>
  <c r="J522" i="11"/>
  <c r="J512" i="11"/>
  <c r="J500" i="11"/>
  <c r="J494" i="11"/>
  <c r="J493" i="11"/>
  <c r="J498" i="11"/>
  <c r="J510" i="11"/>
  <c r="J511" i="11"/>
  <c r="J509" i="11"/>
  <c r="J514" i="11"/>
  <c r="J515" i="11"/>
  <c r="J518" i="11"/>
  <c r="J516" i="11"/>
  <c r="J521" i="11"/>
  <c r="J523" i="11"/>
  <c r="J492" i="11"/>
  <c r="J488" i="11"/>
  <c r="SV23" i="2" l="1"/>
  <c r="SA37" i="2"/>
  <c r="SN43" i="2" s="1"/>
  <c r="SV22" i="2"/>
  <c r="SV24" i="2"/>
  <c r="RF37" i="2"/>
  <c r="RS43" i="2" s="1"/>
  <c r="J526" i="11"/>
  <c r="J538" i="11"/>
  <c r="J539" i="11"/>
  <c r="J544" i="11"/>
  <c r="J542" i="11"/>
  <c r="J543" i="11"/>
  <c r="J550" i="11"/>
  <c r="J558" i="11"/>
  <c r="J556" i="11"/>
  <c r="J555" i="11"/>
  <c r="J549" i="11"/>
  <c r="J547" i="11"/>
  <c r="J541" i="11"/>
  <c r="J540" i="11"/>
  <c r="J524" i="11"/>
  <c r="J722" i="11"/>
  <c r="J525" i="11"/>
  <c r="J528" i="11"/>
  <c r="J527" i="11"/>
  <c r="J529" i="11"/>
  <c r="J530" i="11"/>
  <c r="J531" i="11"/>
  <c r="J532" i="11"/>
  <c r="J533" i="11"/>
  <c r="J534" i="11"/>
  <c r="J535" i="11"/>
  <c r="J536" i="11"/>
  <c r="J537" i="11"/>
  <c r="J545" i="11"/>
  <c r="J546" i="11"/>
  <c r="J548" i="11"/>
  <c r="J551" i="11"/>
  <c r="J552" i="11"/>
  <c r="J553" i="11"/>
  <c r="J554" i="11"/>
  <c r="J557" i="11"/>
  <c r="J560" i="11"/>
  <c r="J561" i="11"/>
  <c r="J562" i="11"/>
  <c r="J566" i="11"/>
  <c r="J563" i="11"/>
  <c r="J564" i="11"/>
  <c r="J565" i="11"/>
  <c r="J559" i="11"/>
  <c r="TQ23" i="2" l="1"/>
  <c r="UL23" i="2" s="1"/>
  <c r="VG23" i="2" s="1"/>
  <c r="WB23" i="2" s="1"/>
  <c r="WW23" i="2" s="1"/>
  <c r="TQ22" i="2"/>
  <c r="UL22" i="2" s="1"/>
  <c r="VG22" i="2" s="1"/>
  <c r="WB22" i="2" s="1"/>
  <c r="WW22" i="2" s="1"/>
  <c r="SV37" i="2"/>
  <c r="TI43" i="2" s="1"/>
  <c r="TQ24" i="2"/>
  <c r="UL24" i="2" s="1"/>
  <c r="VG24" i="2" s="1"/>
  <c r="WB24" i="2" s="1"/>
  <c r="WW24" i="2" s="1"/>
  <c r="J576" i="11"/>
  <c r="J570" i="11"/>
  <c r="J577" i="11"/>
  <c r="J585" i="11"/>
  <c r="J590" i="11"/>
  <c r="J599" i="11"/>
  <c r="J597" i="11"/>
  <c r="J588" i="11"/>
  <c r="J582" i="11"/>
  <c r="J584" i="11"/>
  <c r="J573" i="11"/>
  <c r="J567" i="11"/>
  <c r="J568" i="11"/>
  <c r="J571" i="11"/>
  <c r="J569" i="11"/>
  <c r="J572" i="11"/>
  <c r="J575" i="11"/>
  <c r="J578" i="11"/>
  <c r="J579" i="11"/>
  <c r="J580" i="11"/>
  <c r="J581" i="11"/>
  <c r="J583" i="11"/>
  <c r="J586" i="11"/>
  <c r="J587" i="11"/>
  <c r="J589" i="11"/>
  <c r="J593" i="11"/>
  <c r="J592" i="11"/>
  <c r="J591" i="11"/>
  <c r="J594" i="11"/>
  <c r="J595" i="11"/>
  <c r="J596" i="11"/>
  <c r="J598" i="11"/>
  <c r="J574" i="11"/>
  <c r="WW37" i="2" l="1"/>
  <c r="XJ43" i="2" s="1"/>
  <c r="WB37" i="2"/>
  <c r="WO43" i="2" s="1"/>
  <c r="VG37" i="2"/>
  <c r="VT43" i="2" s="1"/>
  <c r="UL37" i="2"/>
  <c r="UY43" i="2" s="1"/>
  <c r="TQ37" i="2"/>
  <c r="UD43" i="2" s="1"/>
  <c r="J612" i="11"/>
  <c r="J602" i="11"/>
  <c r="J603" i="11"/>
  <c r="J604" i="11"/>
  <c r="J605" i="11"/>
  <c r="J606" i="11"/>
  <c r="J607" i="11"/>
  <c r="J608" i="11"/>
  <c r="J609" i="11"/>
  <c r="J600" i="11"/>
  <c r="J601" i="11"/>
  <c r="J610" i="11"/>
  <c r="A11" i="10" l="1"/>
  <c r="H37" i="2" s="1"/>
  <c r="J613" i="11" l="1"/>
  <c r="J736" i="11"/>
  <c r="J638" i="11"/>
  <c r="J635" i="11"/>
  <c r="J634" i="11"/>
  <c r="J633" i="11"/>
  <c r="J632" i="11"/>
  <c r="J631" i="11"/>
  <c r="J630" i="11"/>
  <c r="J626" i="11"/>
  <c r="J629" i="11"/>
  <c r="J628" i="11"/>
  <c r="J627" i="11"/>
  <c r="J623" i="11"/>
  <c r="J617" i="11"/>
  <c r="J618" i="11"/>
  <c r="J620" i="11"/>
  <c r="J619" i="11"/>
  <c r="J616" i="11"/>
  <c r="J615" i="11"/>
  <c r="J611" i="11"/>
  <c r="J637" i="11"/>
  <c r="J625" i="11"/>
  <c r="J624" i="11"/>
  <c r="J622" i="11"/>
  <c r="J621" i="11"/>
  <c r="J636" i="11"/>
  <c r="J639" i="11"/>
  <c r="J640" i="11"/>
  <c r="J647" i="11"/>
  <c r="J614" i="11"/>
  <c r="D36" i="2" l="1"/>
  <c r="D39" i="2" s="1"/>
  <c r="D40" i="2" s="1"/>
  <c r="J691" i="11" l="1"/>
  <c r="J448" i="11"/>
  <c r="J714" i="11"/>
  <c r="J724" i="11"/>
  <c r="J738" i="11"/>
  <c r="J740" i="11"/>
  <c r="J739" i="11"/>
  <c r="J742" i="11"/>
  <c r="J744" i="11"/>
  <c r="J745" i="11"/>
  <c r="J748" i="11"/>
  <c r="J749" i="11"/>
  <c r="J750" i="11"/>
  <c r="J752" i="11"/>
  <c r="J751" i="11"/>
  <c r="J759" i="11"/>
  <c r="J758" i="11"/>
  <c r="J737" i="11"/>
  <c r="J689" i="11"/>
  <c r="J688" i="11"/>
  <c r="J690" i="11"/>
  <c r="J687" i="11"/>
  <c r="J686" i="11"/>
  <c r="J684" i="11"/>
  <c r="J685" i="11"/>
  <c r="J680" i="11"/>
  <c r="J681" i="11"/>
  <c r="J682" i="11"/>
  <c r="J679" i="11"/>
  <c r="J677" i="11"/>
  <c r="J678" i="11"/>
  <c r="J676" i="11"/>
  <c r="J674" i="11"/>
  <c r="J670" i="11"/>
  <c r="J669" i="11"/>
  <c r="J662" i="11"/>
  <c r="J666" i="11"/>
  <c r="J664" i="11"/>
  <c r="J665" i="11"/>
  <c r="J663" i="11"/>
  <c r="J661" i="11"/>
  <c r="J660" i="11"/>
  <c r="J658" i="11"/>
  <c r="J656" i="11"/>
  <c r="J657" i="11"/>
  <c r="J655" i="11"/>
  <c r="J654" i="11"/>
  <c r="J653" i="11"/>
  <c r="J650" i="11"/>
  <c r="J648" i="11"/>
  <c r="J649" i="11"/>
  <c r="J645" i="11"/>
  <c r="J641" i="11"/>
  <c r="J642" i="11"/>
  <c r="J754" i="11"/>
  <c r="J753" i="11"/>
  <c r="J746" i="11"/>
  <c r="J743" i="11"/>
  <c r="J741" i="11"/>
  <c r="J735" i="11"/>
  <c r="J734" i="11"/>
  <c r="J732" i="11"/>
  <c r="J731" i="11"/>
  <c r="J730" i="11"/>
  <c r="J729" i="11"/>
  <c r="J733" i="11"/>
  <c r="J728" i="11"/>
  <c r="J723" i="11"/>
  <c r="J727" i="11"/>
  <c r="J725" i="11"/>
  <c r="J726" i="11"/>
  <c r="J720" i="11"/>
  <c r="J718" i="11"/>
  <c r="J719" i="11"/>
  <c r="J717" i="11"/>
  <c r="J721" i="11"/>
  <c r="J715" i="11"/>
  <c r="J716" i="11"/>
  <c r="J710" i="11"/>
  <c r="J713" i="11"/>
  <c r="J711" i="11"/>
  <c r="J712" i="11"/>
  <c r="J708" i="11"/>
  <c r="J709" i="11"/>
  <c r="J707" i="11"/>
  <c r="J705" i="11"/>
  <c r="J706" i="11"/>
  <c r="J703" i="11"/>
  <c r="J702" i="11"/>
  <c r="J704" i="11"/>
  <c r="J700" i="11"/>
  <c r="J701" i="11"/>
  <c r="J699" i="11"/>
  <c r="J698" i="11"/>
  <c r="J697" i="11"/>
  <c r="J695" i="11"/>
  <c r="J694" i="11"/>
  <c r="J696" i="11"/>
  <c r="J692" i="11"/>
  <c r="J683" i="11"/>
  <c r="J693" i="11"/>
  <c r="J756" i="11"/>
  <c r="J675" i="11"/>
  <c r="J672" i="11"/>
  <c r="J671" i="11"/>
  <c r="J673" i="11"/>
  <c r="J668" i="11"/>
  <c r="J667" i="11"/>
  <c r="J659" i="11"/>
  <c r="J651" i="11"/>
  <c r="J652" i="11"/>
  <c r="J646" i="11"/>
  <c r="J644" i="11"/>
  <c r="J643" i="11"/>
  <c r="E26" i="2" l="1"/>
  <c r="E18" i="2"/>
  <c r="E17" i="2"/>
  <c r="E16" i="2"/>
  <c r="E6" i="2"/>
  <c r="E4" i="2"/>
  <c r="E3" i="2"/>
  <c r="XB17" i="2" l="1"/>
  <c r="WY17" i="2"/>
  <c r="WG17" i="2"/>
  <c r="WD17" i="2"/>
  <c r="VI17" i="2"/>
  <c r="VL17" i="2"/>
  <c r="XB3" i="2"/>
  <c r="WY3" i="2"/>
  <c r="WG3" i="2"/>
  <c r="WD3" i="2"/>
  <c r="VL3" i="2"/>
  <c r="VI3" i="2"/>
  <c r="XB6" i="2"/>
  <c r="WY6" i="2"/>
  <c r="WG6" i="2"/>
  <c r="WD6" i="2"/>
  <c r="VI6" i="2"/>
  <c r="VL6" i="2"/>
  <c r="XB18" i="2"/>
  <c r="WY18" i="2"/>
  <c r="WG18" i="2"/>
  <c r="WD18" i="2"/>
  <c r="VI18" i="2"/>
  <c r="VL18" i="2"/>
  <c r="XB4" i="2"/>
  <c r="WY4" i="2"/>
  <c r="WD4" i="2"/>
  <c r="WG4" i="2"/>
  <c r="VL4" i="2"/>
  <c r="VI4" i="2"/>
  <c r="XB16" i="2"/>
  <c r="WY16" i="2"/>
  <c r="WG16" i="2"/>
  <c r="WD16" i="2"/>
  <c r="VL16" i="2"/>
  <c r="VI16" i="2"/>
  <c r="XB26" i="2"/>
  <c r="WY26" i="2"/>
  <c r="WD26" i="2"/>
  <c r="WG26" i="2"/>
  <c r="VL26" i="2"/>
  <c r="VI26" i="2"/>
  <c r="UQ4" i="2"/>
  <c r="SX4" i="2"/>
  <c r="OW4" i="2"/>
  <c r="GX4" i="2"/>
  <c r="EM4" i="2"/>
  <c r="BY4" i="2"/>
  <c r="UN4" i="2"/>
  <c r="SF4" i="2"/>
  <c r="OE4" i="2"/>
  <c r="LT4" i="2"/>
  <c r="JI4" i="2"/>
  <c r="GU4" i="2"/>
  <c r="EJ4" i="2"/>
  <c r="NG4" i="2"/>
  <c r="MO4" i="2"/>
  <c r="FE4" i="2"/>
  <c r="SC4" i="2"/>
  <c r="RK4" i="2"/>
  <c r="OB4" i="2"/>
  <c r="LQ4" i="2"/>
  <c r="JF4" i="2"/>
  <c r="CW4" i="2"/>
  <c r="QP4" i="2"/>
  <c r="KA4" i="2"/>
  <c r="HP4" i="2"/>
  <c r="RH4" i="2"/>
  <c r="NJ4" i="2"/>
  <c r="KD4" i="2"/>
  <c r="HS4" i="2"/>
  <c r="FH4" i="2"/>
  <c r="CT4" i="2"/>
  <c r="TV4" i="2"/>
  <c r="QM4" i="2"/>
  <c r="ML4" i="2"/>
  <c r="DR4" i="2"/>
  <c r="TA4" i="2"/>
  <c r="PR4" i="2"/>
  <c r="OZ4" i="2"/>
  <c r="KV4" i="2"/>
  <c r="IK4" i="2"/>
  <c r="TS4" i="2"/>
  <c r="PU4" i="2"/>
  <c r="KY4" i="2"/>
  <c r="IN4" i="2"/>
  <c r="GC4" i="2"/>
  <c r="DO4" i="2"/>
  <c r="FZ4" i="2"/>
  <c r="CB4" i="2"/>
  <c r="SC3" i="2"/>
  <c r="RK3" i="2"/>
  <c r="OB3" i="2"/>
  <c r="KY3" i="2"/>
  <c r="IN3" i="2"/>
  <c r="GC3" i="2"/>
  <c r="DO3" i="2"/>
  <c r="RH3" i="2"/>
  <c r="NJ3" i="2"/>
  <c r="KV3" i="2"/>
  <c r="IK3" i="2"/>
  <c r="FZ3" i="2"/>
  <c r="CB3" i="2"/>
  <c r="TS3" i="2"/>
  <c r="PU3" i="2"/>
  <c r="LQ3" i="2"/>
  <c r="JF3" i="2"/>
  <c r="UQ3" i="2"/>
  <c r="QP3" i="2"/>
  <c r="NG3" i="2"/>
  <c r="GX3" i="2"/>
  <c r="EM3" i="2"/>
  <c r="BY3" i="2"/>
  <c r="CW3" i="2"/>
  <c r="UN3" i="2"/>
  <c r="TV3" i="2"/>
  <c r="QM3" i="2"/>
  <c r="LT3" i="2"/>
  <c r="JI3" i="2"/>
  <c r="GU3" i="2"/>
  <c r="EJ3" i="2"/>
  <c r="TA3" i="2"/>
  <c r="PR3" i="2"/>
  <c r="OZ3" i="2"/>
  <c r="KD3" i="2"/>
  <c r="HS3" i="2"/>
  <c r="FH3" i="2"/>
  <c r="CT3" i="2"/>
  <c r="SF3" i="2"/>
  <c r="ML3" i="2"/>
  <c r="DR3" i="2"/>
  <c r="SX3" i="2"/>
  <c r="OW3" i="2"/>
  <c r="MO3" i="2"/>
  <c r="KA3" i="2"/>
  <c r="HP3" i="2"/>
  <c r="FE3" i="2"/>
  <c r="OE3" i="2"/>
  <c r="TS16" i="2"/>
  <c r="PU16" i="2"/>
  <c r="LQ16" i="2"/>
  <c r="JF16" i="2"/>
  <c r="CW16" i="2"/>
  <c r="TA16" i="2"/>
  <c r="PR16" i="2"/>
  <c r="OZ16" i="2"/>
  <c r="KD16" i="2"/>
  <c r="HS16" i="2"/>
  <c r="FH16" i="2"/>
  <c r="CT16" i="2"/>
  <c r="KY16" i="2"/>
  <c r="IN16" i="2"/>
  <c r="SX16" i="2"/>
  <c r="OW16" i="2"/>
  <c r="MO16" i="2"/>
  <c r="KA16" i="2"/>
  <c r="HP16" i="2"/>
  <c r="FE16" i="2"/>
  <c r="OB16" i="2"/>
  <c r="SF16" i="2"/>
  <c r="OE16" i="2"/>
  <c r="ML16" i="2"/>
  <c r="DR16" i="2"/>
  <c r="SC16" i="2"/>
  <c r="RK16" i="2"/>
  <c r="GC16" i="2"/>
  <c r="DO16" i="2"/>
  <c r="RH16" i="2"/>
  <c r="NJ16" i="2"/>
  <c r="KV16" i="2"/>
  <c r="IK16" i="2"/>
  <c r="FZ16" i="2"/>
  <c r="CB16" i="2"/>
  <c r="UN16" i="2"/>
  <c r="TV16" i="2"/>
  <c r="QM16" i="2"/>
  <c r="LT16" i="2"/>
  <c r="JI16" i="2"/>
  <c r="UQ16" i="2"/>
  <c r="QP16" i="2"/>
  <c r="NG16" i="2"/>
  <c r="GX16" i="2"/>
  <c r="EM16" i="2"/>
  <c r="BY16" i="2"/>
  <c r="GU16" i="2"/>
  <c r="EJ16" i="2"/>
  <c r="UQ26" i="2"/>
  <c r="OB26" i="2"/>
  <c r="GX26" i="2"/>
  <c r="EM26" i="2"/>
  <c r="BY26" i="2"/>
  <c r="UN26" i="2"/>
  <c r="TV26" i="2"/>
  <c r="SF26" i="2"/>
  <c r="LT26" i="2"/>
  <c r="JI26" i="2"/>
  <c r="GU26" i="2"/>
  <c r="EJ26" i="2"/>
  <c r="NG26" i="2"/>
  <c r="MO26" i="2"/>
  <c r="TS26" i="2"/>
  <c r="SC26" i="2"/>
  <c r="QP26" i="2"/>
  <c r="LQ26" i="2"/>
  <c r="JF26" i="2"/>
  <c r="CW26" i="2"/>
  <c r="OW26" i="2"/>
  <c r="KA26" i="2"/>
  <c r="HP26" i="2"/>
  <c r="QM26" i="2"/>
  <c r="OZ26" i="2"/>
  <c r="NJ26" i="2"/>
  <c r="KD26" i="2"/>
  <c r="HS26" i="2"/>
  <c r="FH26" i="2"/>
  <c r="CT26" i="2"/>
  <c r="FE26" i="2"/>
  <c r="TA26" i="2"/>
  <c r="ML26" i="2"/>
  <c r="DR26" i="2"/>
  <c r="PR26" i="2"/>
  <c r="KV26" i="2"/>
  <c r="IK26" i="2"/>
  <c r="FZ26" i="2"/>
  <c r="SX26" i="2"/>
  <c r="RK26" i="2"/>
  <c r="PU26" i="2"/>
  <c r="KY26" i="2"/>
  <c r="IN26" i="2"/>
  <c r="GC26" i="2"/>
  <c r="DO26" i="2"/>
  <c r="RH26" i="2"/>
  <c r="OE26" i="2"/>
  <c r="CB26" i="2"/>
  <c r="OW6" i="2"/>
  <c r="NG6" i="2"/>
  <c r="MO6" i="2"/>
  <c r="KA6" i="2"/>
  <c r="HP6" i="2"/>
  <c r="FE6" i="2"/>
  <c r="TA6" i="2"/>
  <c r="ML6" i="2"/>
  <c r="DR6" i="2"/>
  <c r="OB6" i="2"/>
  <c r="SX6" i="2"/>
  <c r="RK6" i="2"/>
  <c r="PU6" i="2"/>
  <c r="KY6" i="2"/>
  <c r="IN6" i="2"/>
  <c r="GC6" i="2"/>
  <c r="DO6" i="2"/>
  <c r="UQ6" i="2"/>
  <c r="BY6" i="2"/>
  <c r="RH6" i="2"/>
  <c r="PR6" i="2"/>
  <c r="OE6" i="2"/>
  <c r="KV6" i="2"/>
  <c r="IK6" i="2"/>
  <c r="FZ6" i="2"/>
  <c r="CB6" i="2"/>
  <c r="GX6" i="2"/>
  <c r="EM6" i="2"/>
  <c r="UN6" i="2"/>
  <c r="TV6" i="2"/>
  <c r="SF6" i="2"/>
  <c r="LT6" i="2"/>
  <c r="JI6" i="2"/>
  <c r="GU6" i="2"/>
  <c r="EJ6" i="2"/>
  <c r="NJ6" i="2"/>
  <c r="HS6" i="2"/>
  <c r="TS6" i="2"/>
  <c r="SC6" i="2"/>
  <c r="QP6" i="2"/>
  <c r="LQ6" i="2"/>
  <c r="JF6" i="2"/>
  <c r="CW6" i="2"/>
  <c r="QM6" i="2"/>
  <c r="OZ6" i="2"/>
  <c r="KD6" i="2"/>
  <c r="FH6" i="2"/>
  <c r="CT6" i="2"/>
  <c r="QP17" i="2"/>
  <c r="NG17" i="2"/>
  <c r="MO17" i="2"/>
  <c r="KA17" i="2"/>
  <c r="HP17" i="2"/>
  <c r="FE17" i="2"/>
  <c r="TV17" i="2"/>
  <c r="QM17" i="2"/>
  <c r="ML17" i="2"/>
  <c r="DR17" i="2"/>
  <c r="OW17" i="2"/>
  <c r="EM17" i="2"/>
  <c r="TS17" i="2"/>
  <c r="PU17" i="2"/>
  <c r="KY17" i="2"/>
  <c r="IN17" i="2"/>
  <c r="GC17" i="2"/>
  <c r="DO17" i="2"/>
  <c r="UQ17" i="2"/>
  <c r="SX17" i="2"/>
  <c r="GX17" i="2"/>
  <c r="BY17" i="2"/>
  <c r="TA17" i="2"/>
  <c r="PR17" i="2"/>
  <c r="OZ17" i="2"/>
  <c r="KV17" i="2"/>
  <c r="IK17" i="2"/>
  <c r="FZ17" i="2"/>
  <c r="CB17" i="2"/>
  <c r="UN17" i="2"/>
  <c r="SF17" i="2"/>
  <c r="OE17" i="2"/>
  <c r="LT17" i="2"/>
  <c r="JI17" i="2"/>
  <c r="GU17" i="2"/>
  <c r="EJ17" i="2"/>
  <c r="HS17" i="2"/>
  <c r="CT17" i="2"/>
  <c r="SC17" i="2"/>
  <c r="RK17" i="2"/>
  <c r="OB17" i="2"/>
  <c r="LQ17" i="2"/>
  <c r="JF17" i="2"/>
  <c r="CW17" i="2"/>
  <c r="RH17" i="2"/>
  <c r="NJ17" i="2"/>
  <c r="KD17" i="2"/>
  <c r="FH17" i="2"/>
  <c r="SC18" i="2"/>
  <c r="RK18" i="2"/>
  <c r="OB18" i="2"/>
  <c r="KY18" i="2"/>
  <c r="IN18" i="2"/>
  <c r="GC18" i="2"/>
  <c r="DO18" i="2"/>
  <c r="RH18" i="2"/>
  <c r="NJ18" i="2"/>
  <c r="KV18" i="2"/>
  <c r="IK18" i="2"/>
  <c r="FZ18" i="2"/>
  <c r="CB18" i="2"/>
  <c r="TS18" i="2"/>
  <c r="PU18" i="2"/>
  <c r="LQ18" i="2"/>
  <c r="JF18" i="2"/>
  <c r="UQ18" i="2"/>
  <c r="QP18" i="2"/>
  <c r="NG18" i="2"/>
  <c r="GX18" i="2"/>
  <c r="EM18" i="2"/>
  <c r="BY18" i="2"/>
  <c r="CW18" i="2"/>
  <c r="UN18" i="2"/>
  <c r="TV18" i="2"/>
  <c r="QM18" i="2"/>
  <c r="LT18" i="2"/>
  <c r="JI18" i="2"/>
  <c r="GU18" i="2"/>
  <c r="EJ18" i="2"/>
  <c r="TA18" i="2"/>
  <c r="PR18" i="2"/>
  <c r="OZ18" i="2"/>
  <c r="KD18" i="2"/>
  <c r="HS18" i="2"/>
  <c r="FH18" i="2"/>
  <c r="CT18" i="2"/>
  <c r="SF18" i="2"/>
  <c r="OE18" i="2"/>
  <c r="ML18" i="2"/>
  <c r="DR18" i="2"/>
  <c r="SX18" i="2"/>
  <c r="OW18" i="2"/>
  <c r="MO18" i="2"/>
  <c r="KA18" i="2"/>
  <c r="HP18" i="2"/>
  <c r="FE18" i="2"/>
  <c r="BG26" i="2"/>
  <c r="BD26" i="2"/>
  <c r="BG6" i="2"/>
  <c r="BD6" i="2"/>
  <c r="BD16" i="2"/>
  <c r="BG16" i="2"/>
  <c r="BG18" i="2"/>
  <c r="BD18" i="2"/>
  <c r="BD3" i="2"/>
  <c r="BG3" i="2"/>
  <c r="BG4" i="2"/>
  <c r="BD4" i="2"/>
  <c r="BG17" i="2"/>
  <c r="BD17" i="2"/>
  <c r="AI18" i="2"/>
  <c r="AJ18" i="2" s="1"/>
  <c r="AL18" i="2"/>
  <c r="AM18" i="2" s="1"/>
  <c r="AI26" i="2"/>
  <c r="AJ26" i="2" s="1"/>
  <c r="AL26" i="2"/>
  <c r="AM26" i="2" s="1"/>
  <c r="AL3" i="2"/>
  <c r="AM3" i="2" s="1"/>
  <c r="AI3" i="2"/>
  <c r="AJ3" i="2" s="1"/>
  <c r="AL4" i="2"/>
  <c r="AM4" i="2" s="1"/>
  <c r="AI4" i="2"/>
  <c r="AJ4" i="2" s="1"/>
  <c r="AL6" i="2"/>
  <c r="AM6" i="2" s="1"/>
  <c r="AI6" i="2"/>
  <c r="AJ6" i="2" s="1"/>
  <c r="AI16" i="2"/>
  <c r="AJ16" i="2" s="1"/>
  <c r="AL16" i="2"/>
  <c r="AM16" i="2" s="1"/>
  <c r="AI17" i="2"/>
  <c r="AJ17" i="2" s="1"/>
  <c r="AL17" i="2"/>
  <c r="AM17" i="2" s="1"/>
  <c r="H38" i="2"/>
  <c r="AC37" i="2" l="1"/>
  <c r="AE37" i="2" l="1"/>
  <c r="AN19" i="2" l="1"/>
  <c r="AN18" i="2" l="1"/>
  <c r="AN28" i="2"/>
  <c r="AN23" i="2"/>
  <c r="AN7" i="2"/>
  <c r="AN27" i="2"/>
  <c r="AN22" i="2"/>
  <c r="AN11" i="2"/>
  <c r="AN6" i="2"/>
  <c r="AN10" i="2"/>
  <c r="AN8" i="2"/>
  <c r="AN5" i="2"/>
  <c r="AN13" i="2"/>
  <c r="AN4" i="2"/>
  <c r="AN14" i="2"/>
  <c r="AN25" i="2"/>
  <c r="AN26" i="2"/>
  <c r="AN12" i="2"/>
  <c r="AN17" i="2"/>
  <c r="AN29" i="2"/>
  <c r="AN15" i="2"/>
  <c r="AN20" i="2"/>
  <c r="AN9" i="2"/>
  <c r="AN16" i="2"/>
  <c r="AN24" i="2"/>
  <c r="AN21" i="2"/>
  <c r="AJ37" i="2" l="1"/>
  <c r="AN3" i="2"/>
  <c r="AM37" i="2"/>
  <c r="AK3" i="2" l="1"/>
  <c r="AK21" i="2"/>
  <c r="AK20" i="2"/>
  <c r="AK25" i="2"/>
  <c r="AK11" i="2"/>
  <c r="AK12" i="2"/>
  <c r="AK19" i="2"/>
  <c r="AK9" i="2"/>
  <c r="AK8" i="2"/>
  <c r="AK5" i="2"/>
  <c r="AK14" i="2"/>
  <c r="AK29" i="2"/>
  <c r="AK10" i="2"/>
  <c r="AK15" i="2"/>
  <c r="AK27" i="2"/>
  <c r="AK28" i="2"/>
  <c r="AK7" i="2"/>
  <c r="AK13" i="2"/>
  <c r="AK23" i="2"/>
  <c r="AK24" i="2"/>
  <c r="AK22" i="2"/>
  <c r="AK16" i="2"/>
  <c r="AK6" i="2"/>
  <c r="AK17" i="2"/>
  <c r="AK26" i="2"/>
  <c r="AK18" i="2"/>
  <c r="AK4" i="2"/>
  <c r="AN37" i="2"/>
  <c r="AR22" i="2"/>
  <c r="AR23" i="2"/>
  <c r="AR18" i="2"/>
  <c r="AR8" i="2"/>
  <c r="AR7" i="2"/>
  <c r="AK37" i="2" l="1"/>
  <c r="AK40" i="2" s="1"/>
  <c r="AO19" i="2" s="1"/>
  <c r="AV23" i="2"/>
  <c r="AV22" i="2"/>
  <c r="AO27" i="2" l="1"/>
  <c r="AO14" i="2"/>
  <c r="AO10" i="2"/>
  <c r="AO8" i="2"/>
  <c r="AO20" i="2"/>
  <c r="AO23" i="2"/>
  <c r="AO13" i="2"/>
  <c r="AO12" i="2"/>
  <c r="AO5" i="2"/>
  <c r="AO6" i="2"/>
  <c r="AO7" i="2"/>
  <c r="AO18" i="2"/>
  <c r="AO25" i="2"/>
  <c r="AO9" i="2"/>
  <c r="AO15" i="2"/>
  <c r="AO17" i="2"/>
  <c r="AO29" i="2"/>
  <c r="AO26" i="2"/>
  <c r="AO28" i="2"/>
  <c r="AO16" i="2"/>
  <c r="AO11" i="2"/>
  <c r="AO21" i="2"/>
  <c r="AO24" i="2"/>
  <c r="AO4" i="2"/>
  <c r="AO22" i="2"/>
  <c r="AO3" i="2"/>
  <c r="AP15" i="2" l="1"/>
  <c r="AS15" i="2" s="1"/>
  <c r="AU15" i="2" s="1"/>
  <c r="AX15" i="2" s="1"/>
  <c r="AZ15" i="2" s="1"/>
  <c r="AP26" i="2"/>
  <c r="AS26" i="2" s="1"/>
  <c r="AU26" i="2" s="1"/>
  <c r="AX26" i="2" s="1"/>
  <c r="AZ26" i="2" s="1"/>
  <c r="AP6" i="2"/>
  <c r="AS6" i="2" s="1"/>
  <c r="AU6" i="2" s="1"/>
  <c r="AX6" i="2" s="1"/>
  <c r="AZ6" i="2" s="1"/>
  <c r="AP5" i="2"/>
  <c r="AS5" i="2" s="1"/>
  <c r="AU5" i="2" s="1"/>
  <c r="AX5" i="2" s="1"/>
  <c r="AZ5" i="2" s="1"/>
  <c r="AP25" i="2"/>
  <c r="AQ25" i="2" s="1"/>
  <c r="AP4" i="2"/>
  <c r="AS4" i="2" s="1"/>
  <c r="AU4" i="2" s="1"/>
  <c r="AX4" i="2" s="1"/>
  <c r="AZ4" i="2" s="1"/>
  <c r="AP23" i="2"/>
  <c r="AQ23" i="2" s="1"/>
  <c r="AP17" i="2"/>
  <c r="AS17" i="2" s="1"/>
  <c r="AU17" i="2" s="1"/>
  <c r="AX17" i="2" s="1"/>
  <c r="AZ17" i="2" s="1"/>
  <c r="AP29" i="2"/>
  <c r="AQ29" i="2" s="1"/>
  <c r="AP20" i="2"/>
  <c r="AR20" i="2" s="1"/>
  <c r="AP19" i="2"/>
  <c r="AS19" i="2" s="1"/>
  <c r="AU19" i="2" s="1"/>
  <c r="AX19" i="2" s="1"/>
  <c r="AZ19" i="2" s="1"/>
  <c r="AP28" i="2"/>
  <c r="AS28" i="2" s="1"/>
  <c r="AU28" i="2" s="1"/>
  <c r="AX28" i="2" s="1"/>
  <c r="AZ28" i="2" s="1"/>
  <c r="AP10" i="2"/>
  <c r="AS10" i="2" s="1"/>
  <c r="AU10" i="2" s="1"/>
  <c r="AX10" i="2" s="1"/>
  <c r="AZ10" i="2" s="1"/>
  <c r="AP8" i="2"/>
  <c r="AS8" i="2" s="1"/>
  <c r="AU8" i="2" s="1"/>
  <c r="AX8" i="2" s="1"/>
  <c r="AZ8" i="2" s="1"/>
  <c r="AP12" i="2"/>
  <c r="AS12" i="2" s="1"/>
  <c r="AU12" i="2" s="1"/>
  <c r="AX12" i="2" s="1"/>
  <c r="AZ12" i="2" s="1"/>
  <c r="AP14" i="2"/>
  <c r="AQ14" i="2" s="1"/>
  <c r="AP11" i="2"/>
  <c r="AR11" i="2" s="1"/>
  <c r="AP21" i="2"/>
  <c r="AQ21" i="2" s="1"/>
  <c r="AP13" i="2"/>
  <c r="AR13" i="2" s="1"/>
  <c r="AP9" i="2"/>
  <c r="AQ9" i="2" s="1"/>
  <c r="AP18" i="2"/>
  <c r="AS18" i="2" s="1"/>
  <c r="AU18" i="2" s="1"/>
  <c r="AX18" i="2" s="1"/>
  <c r="AZ18" i="2" s="1"/>
  <c r="AP24" i="2"/>
  <c r="AS24" i="2" s="1"/>
  <c r="AP27" i="2"/>
  <c r="AQ27" i="2" s="1"/>
  <c r="AP16" i="2"/>
  <c r="AP22" i="2"/>
  <c r="AQ22" i="2" s="1"/>
  <c r="AP3" i="2"/>
  <c r="AQ16" i="2" l="1"/>
  <c r="AR16" i="2"/>
  <c r="BC15" i="2"/>
  <c r="BH15" i="2"/>
  <c r="BI15" i="2" s="1"/>
  <c r="BE15" i="2"/>
  <c r="BC12" i="2"/>
  <c r="BH12" i="2"/>
  <c r="BI12" i="2" s="1"/>
  <c r="BE12" i="2"/>
  <c r="BC17" i="2"/>
  <c r="BH17" i="2"/>
  <c r="BI17" i="2" s="1"/>
  <c r="BE17" i="2"/>
  <c r="BH10" i="2"/>
  <c r="BI10" i="2" s="1"/>
  <c r="BC10" i="2"/>
  <c r="BE10" i="2"/>
  <c r="BC8" i="2"/>
  <c r="BH8" i="2"/>
  <c r="BI8" i="2" s="1"/>
  <c r="BE8" i="2"/>
  <c r="BH28" i="2"/>
  <c r="BI28" i="2" s="1"/>
  <c r="BE28" i="2"/>
  <c r="BC28" i="2"/>
  <c r="BC5" i="2"/>
  <c r="BH5" i="2"/>
  <c r="BI5" i="2" s="1"/>
  <c r="BE5" i="2"/>
  <c r="BC4" i="2"/>
  <c r="BH4" i="2"/>
  <c r="BI4" i="2" s="1"/>
  <c r="BE4" i="2"/>
  <c r="BC19" i="2"/>
  <c r="BE19" i="2"/>
  <c r="BH19" i="2"/>
  <c r="BI19" i="2" s="1"/>
  <c r="BE6" i="2"/>
  <c r="BC6" i="2"/>
  <c r="BH6" i="2"/>
  <c r="BI6" i="2" s="1"/>
  <c r="BE18" i="2"/>
  <c r="BC18" i="2"/>
  <c r="BH18" i="2"/>
  <c r="BI18" i="2" s="1"/>
  <c r="BH26" i="2"/>
  <c r="BI26" i="2" s="1"/>
  <c r="BC26" i="2"/>
  <c r="BE26" i="2"/>
  <c r="AV4" i="2"/>
  <c r="AV8" i="2"/>
  <c r="AV10" i="2"/>
  <c r="AV12" i="2"/>
  <c r="AV18" i="2"/>
  <c r="AV28" i="2"/>
  <c r="AV5" i="2"/>
  <c r="AV17" i="2"/>
  <c r="AV19" i="2"/>
  <c r="AV15" i="2"/>
  <c r="AR29" i="2"/>
  <c r="AQ24" i="2"/>
  <c r="AQ5" i="2"/>
  <c r="AS25" i="2"/>
  <c r="AU25" i="2" s="1"/>
  <c r="AX25" i="2" s="1"/>
  <c r="AZ25" i="2" s="1"/>
  <c r="AR15" i="2"/>
  <c r="AQ10" i="2"/>
  <c r="AR25" i="2"/>
  <c r="AR10" i="2"/>
  <c r="AS29" i="2"/>
  <c r="AQ15" i="2"/>
  <c r="AQ12" i="2"/>
  <c r="AQ18" i="2"/>
  <c r="AR27" i="2"/>
  <c r="AS13" i="2"/>
  <c r="AU13" i="2" s="1"/>
  <c r="AX13" i="2" s="1"/>
  <c r="AZ13" i="2" s="1"/>
  <c r="AQ20" i="2"/>
  <c r="AQ6" i="2"/>
  <c r="AR28" i="2"/>
  <c r="AQ19" i="2"/>
  <c r="AS27" i="2"/>
  <c r="AU27" i="2" s="1"/>
  <c r="AX27" i="2" s="1"/>
  <c r="AZ27" i="2" s="1"/>
  <c r="AR19" i="2"/>
  <c r="AR14" i="2"/>
  <c r="AQ28" i="2"/>
  <c r="AR5" i="2"/>
  <c r="AS9" i="2"/>
  <c r="AU9" i="2" s="1"/>
  <c r="AX9" i="2" s="1"/>
  <c r="AZ9" i="2" s="1"/>
  <c r="AR9" i="2"/>
  <c r="AR24" i="2"/>
  <c r="AR17" i="2"/>
  <c r="AR12" i="2"/>
  <c r="AS21" i="2"/>
  <c r="AU21" i="2" s="1"/>
  <c r="AX21" i="2" s="1"/>
  <c r="AZ21" i="2" s="1"/>
  <c r="AS14" i="2"/>
  <c r="AU14" i="2" s="1"/>
  <c r="AX14" i="2" s="1"/>
  <c r="AZ14" i="2" s="1"/>
  <c r="AQ17" i="2"/>
  <c r="AS23" i="2"/>
  <c r="AQ8" i="2"/>
  <c r="AQ11" i="2"/>
  <c r="AR4" i="2"/>
  <c r="AS11" i="2"/>
  <c r="AU11" i="2" s="1"/>
  <c r="AX11" i="2" s="1"/>
  <c r="AZ11" i="2" s="1"/>
  <c r="AQ26" i="2"/>
  <c r="AQ4" i="2"/>
  <c r="AS20" i="2"/>
  <c r="AU20" i="2" s="1"/>
  <c r="AX20" i="2" s="1"/>
  <c r="AZ20" i="2" s="1"/>
  <c r="AQ13" i="2"/>
  <c r="AD43" i="2"/>
  <c r="AP7" i="2" s="1"/>
  <c r="AS7" i="2" s="1"/>
  <c r="AU7" i="2" s="1"/>
  <c r="AX7" i="2" s="1"/>
  <c r="AZ7" i="2" s="1"/>
  <c r="AS22" i="2"/>
  <c r="AS3" i="2"/>
  <c r="AU3" i="2" s="1"/>
  <c r="AR3" i="2"/>
  <c r="AO37" i="2"/>
  <c r="AQ3" i="2"/>
  <c r="AS16" i="2"/>
  <c r="AU16" i="2" s="1"/>
  <c r="AX16" i="2" s="1"/>
  <c r="AZ16" i="2" s="1"/>
  <c r="AU22" i="2" l="1"/>
  <c r="AX22" i="2" s="1"/>
  <c r="AZ22" i="2" s="1"/>
  <c r="AU23" i="2"/>
  <c r="AX23" i="2" s="1"/>
  <c r="AZ23" i="2" s="1"/>
  <c r="AU29" i="2"/>
  <c r="BC16" i="2"/>
  <c r="BH16" i="2"/>
  <c r="BI16" i="2" s="1"/>
  <c r="BE16" i="2"/>
  <c r="BC14" i="2"/>
  <c r="BH14" i="2"/>
  <c r="BI14" i="2" s="1"/>
  <c r="BE14" i="2"/>
  <c r="BC13" i="2"/>
  <c r="BH13" i="2"/>
  <c r="BI13" i="2" s="1"/>
  <c r="BE13" i="2"/>
  <c r="BC25" i="2"/>
  <c r="BH25" i="2"/>
  <c r="BI25" i="2" s="1"/>
  <c r="BE25" i="2"/>
  <c r="BC27" i="2"/>
  <c r="BH27" i="2"/>
  <c r="BI27" i="2" s="1"/>
  <c r="BE27" i="2"/>
  <c r="BE21" i="2"/>
  <c r="BC21" i="2"/>
  <c r="BH21" i="2"/>
  <c r="BI21" i="2" s="1"/>
  <c r="BE11" i="2"/>
  <c r="BC11" i="2"/>
  <c r="BH11" i="2"/>
  <c r="BI11" i="2" s="1"/>
  <c r="AV3" i="2"/>
  <c r="AX3" i="2"/>
  <c r="BC7" i="2"/>
  <c r="BE7" i="2"/>
  <c r="BH7" i="2"/>
  <c r="BI7" i="2" s="1"/>
  <c r="BC9" i="2"/>
  <c r="BH9" i="2"/>
  <c r="BI9" i="2" s="1"/>
  <c r="BE9" i="2"/>
  <c r="BC20" i="2"/>
  <c r="BH20" i="2"/>
  <c r="BI20" i="2" s="1"/>
  <c r="BE20" i="2"/>
  <c r="AV11" i="2"/>
  <c r="AV25" i="2"/>
  <c r="AV7" i="2"/>
  <c r="AV9" i="2"/>
  <c r="AV20" i="2"/>
  <c r="AV14" i="2"/>
  <c r="AV13" i="2"/>
  <c r="AV27" i="2"/>
  <c r="AV16" i="2"/>
  <c r="AQ7" i="2"/>
  <c r="AQ37" i="2" s="1"/>
  <c r="AP37" i="2"/>
  <c r="AS37" i="2"/>
  <c r="AO40" i="2"/>
  <c r="BC23" i="2" l="1"/>
  <c r="AU39" i="2"/>
  <c r="BE23" i="2"/>
  <c r="BH23" i="2"/>
  <c r="BI23" i="2" s="1"/>
  <c r="BA37" i="2"/>
  <c r="AT24" i="2"/>
  <c r="AX29" i="2"/>
  <c r="AZ29" i="2" s="1"/>
  <c r="AV29" i="2"/>
  <c r="AZ3" i="2"/>
  <c r="BC22" i="2" l="1"/>
  <c r="BE22" i="2"/>
  <c r="BH22" i="2"/>
  <c r="BI22" i="2" s="1"/>
  <c r="BE29" i="2"/>
  <c r="BC29" i="2"/>
  <c r="BH29" i="2"/>
  <c r="BI29" i="2" s="1"/>
  <c r="BB37" i="2"/>
  <c r="BO43" i="2" s="1"/>
  <c r="BH3" i="2"/>
  <c r="BE3" i="2"/>
  <c r="BC3" i="2"/>
  <c r="AT37" i="2"/>
  <c r="AU42" i="2" s="1"/>
  <c r="AU24" i="2"/>
  <c r="AX24" i="2" s="1"/>
  <c r="AZ24" i="2" s="1"/>
  <c r="BI3" i="2" l="1"/>
  <c r="AX37" i="2"/>
  <c r="AV24" i="2"/>
  <c r="AU37" i="2"/>
  <c r="AV37" i="2" l="1"/>
  <c r="AV43" i="2"/>
  <c r="AV41" i="2"/>
  <c r="BC24" i="2"/>
  <c r="AZ37" i="2"/>
  <c r="BE24" i="2"/>
  <c r="BH24" i="2"/>
  <c r="AU40" i="2"/>
  <c r="AV39" i="2"/>
  <c r="BI24" i="2" l="1"/>
  <c r="BH37" i="2"/>
  <c r="BE37" i="2"/>
  <c r="BI37" i="2" l="1"/>
  <c r="BF12" i="2"/>
  <c r="BF5" i="2"/>
  <c r="BF4" i="2"/>
  <c r="BF19" i="2"/>
  <c r="BF8" i="2"/>
  <c r="BF6" i="2"/>
  <c r="BF17" i="2"/>
  <c r="BF18" i="2"/>
  <c r="BF15" i="2"/>
  <c r="BF26" i="2"/>
  <c r="BF28" i="2"/>
  <c r="BF10" i="2"/>
  <c r="BF23" i="2"/>
  <c r="BF7" i="2"/>
  <c r="BF14" i="2"/>
  <c r="BF29" i="2"/>
  <c r="BF9" i="2"/>
  <c r="BF27" i="2"/>
  <c r="BF22" i="2"/>
  <c r="BF11" i="2"/>
  <c r="BF21" i="2"/>
  <c r="BF13" i="2"/>
  <c r="BF16" i="2"/>
  <c r="BF20" i="2"/>
  <c r="BF25" i="2"/>
  <c r="BF3" i="2"/>
  <c r="BF24" i="2"/>
  <c r="BF37" i="2" l="1"/>
  <c r="BF40" i="2" s="1"/>
  <c r="BJ26" i="2" s="1"/>
  <c r="BK26" i="2" s="1"/>
  <c r="BJ7" i="2" l="1"/>
  <c r="BK7" i="2" s="1"/>
  <c r="BL7" i="2" s="1"/>
  <c r="BJ16" i="2"/>
  <c r="BK16" i="2" s="1"/>
  <c r="BJ8" i="2"/>
  <c r="BK8" i="2" s="1"/>
  <c r="BN8" i="2" s="1"/>
  <c r="BP8" i="2" s="1"/>
  <c r="BS8" i="2" s="1"/>
  <c r="BU8" i="2" s="1"/>
  <c r="BJ13" i="2"/>
  <c r="BK13" i="2" s="1"/>
  <c r="BM13" i="2" s="1"/>
  <c r="BJ10" i="2"/>
  <c r="BK10" i="2" s="1"/>
  <c r="BN10" i="2" s="1"/>
  <c r="BP10" i="2" s="1"/>
  <c r="BJ15" i="2"/>
  <c r="BK15" i="2" s="1"/>
  <c r="BL15" i="2" s="1"/>
  <c r="BJ20" i="2"/>
  <c r="BK20" i="2" s="1"/>
  <c r="BN20" i="2" s="1"/>
  <c r="BP20" i="2" s="1"/>
  <c r="BJ14" i="2"/>
  <c r="BK14" i="2" s="1"/>
  <c r="BL14" i="2" s="1"/>
  <c r="BJ29" i="2"/>
  <c r="BK29" i="2" s="1"/>
  <c r="BN29" i="2" s="1"/>
  <c r="BP29" i="2" s="1"/>
  <c r="BJ22" i="2"/>
  <c r="BK22" i="2" s="1"/>
  <c r="BM22" i="2" s="1"/>
  <c r="BJ9" i="2"/>
  <c r="BK9" i="2" s="1"/>
  <c r="BL9" i="2" s="1"/>
  <c r="BJ18" i="2"/>
  <c r="BK18" i="2" s="1"/>
  <c r="BJ24" i="2"/>
  <c r="BK24" i="2" s="1"/>
  <c r="BL24" i="2" s="1"/>
  <c r="BJ27" i="2"/>
  <c r="BK27" i="2" s="1"/>
  <c r="BN27" i="2" s="1"/>
  <c r="BP27" i="2" s="1"/>
  <c r="BJ17" i="2"/>
  <c r="BK17" i="2" s="1"/>
  <c r="BL17" i="2" s="1"/>
  <c r="BJ25" i="2"/>
  <c r="BK25" i="2" s="1"/>
  <c r="BN25" i="2" s="1"/>
  <c r="BP25" i="2" s="1"/>
  <c r="BJ6" i="2"/>
  <c r="BK6" i="2" s="1"/>
  <c r="BN6" i="2" s="1"/>
  <c r="BP6" i="2" s="1"/>
  <c r="BS6" i="2" s="1"/>
  <c r="BU6" i="2" s="1"/>
  <c r="BN26" i="2"/>
  <c r="BP26" i="2" s="1"/>
  <c r="BS26" i="2" s="1"/>
  <c r="BU26" i="2" s="1"/>
  <c r="BL26" i="2"/>
  <c r="BJ4" i="2"/>
  <c r="BK4" i="2" s="1"/>
  <c r="BJ28" i="2"/>
  <c r="BK28" i="2" s="1"/>
  <c r="BJ5" i="2"/>
  <c r="BK5" i="2" s="1"/>
  <c r="BJ3" i="2"/>
  <c r="BJ21" i="2"/>
  <c r="BJ23" i="2"/>
  <c r="BK23" i="2" s="1"/>
  <c r="BJ11" i="2"/>
  <c r="BK11" i="2" s="1"/>
  <c r="BJ12" i="2"/>
  <c r="BK12" i="2" s="1"/>
  <c r="BJ19" i="2"/>
  <c r="BK19" i="2" s="1"/>
  <c r="BQ20" i="2" l="1"/>
  <c r="BS20" i="2"/>
  <c r="BU20" i="2" s="1"/>
  <c r="BQ27" i="2"/>
  <c r="BS27" i="2"/>
  <c r="BU27" i="2" s="1"/>
  <c r="BQ10" i="2"/>
  <c r="BS10" i="2"/>
  <c r="BU10" i="2" s="1"/>
  <c r="BQ25" i="2"/>
  <c r="BS25" i="2"/>
  <c r="BU25" i="2" s="1"/>
  <c r="BX8" i="2"/>
  <c r="CC8" i="2"/>
  <c r="CD8" i="2" s="1"/>
  <c r="BZ8" i="2"/>
  <c r="CC26" i="2"/>
  <c r="CD26" i="2" s="1"/>
  <c r="BX26" i="2"/>
  <c r="BZ26" i="2"/>
  <c r="BX6" i="2"/>
  <c r="BZ6" i="2"/>
  <c r="CC6" i="2"/>
  <c r="CD6" i="2" s="1"/>
  <c r="BQ29" i="2"/>
  <c r="BS29" i="2"/>
  <c r="BU29" i="2" s="1"/>
  <c r="BN18" i="2"/>
  <c r="BP18" i="2" s="1"/>
  <c r="BM18" i="2"/>
  <c r="BL16" i="2"/>
  <c r="BM16" i="2"/>
  <c r="BN13" i="2"/>
  <c r="BP13" i="2" s="1"/>
  <c r="BL29" i="2"/>
  <c r="BL6" i="2"/>
  <c r="BM29" i="2"/>
  <c r="BL10" i="2"/>
  <c r="BN16" i="2"/>
  <c r="BP16" i="2" s="1"/>
  <c r="BL18" i="2"/>
  <c r="BN7" i="2"/>
  <c r="BP7" i="2" s="1"/>
  <c r="BS7" i="2" s="1"/>
  <c r="BU7" i="2" s="1"/>
  <c r="BM10" i="2"/>
  <c r="BN24" i="2"/>
  <c r="BN15" i="2"/>
  <c r="BP15" i="2" s="1"/>
  <c r="BL13" i="2"/>
  <c r="BM9" i="2"/>
  <c r="BN9" i="2"/>
  <c r="BP9" i="2" s="1"/>
  <c r="BL8" i="2"/>
  <c r="BM14" i="2"/>
  <c r="BN14" i="2"/>
  <c r="BP14" i="2" s="1"/>
  <c r="BM17" i="2"/>
  <c r="BM24" i="2"/>
  <c r="BN17" i="2"/>
  <c r="BP17" i="2" s="1"/>
  <c r="BL20" i="2"/>
  <c r="BL22" i="2"/>
  <c r="BM15" i="2"/>
  <c r="BN22" i="2"/>
  <c r="BP22" i="2" s="1"/>
  <c r="BL27" i="2"/>
  <c r="BM20" i="2"/>
  <c r="BM27" i="2"/>
  <c r="BL25" i="2"/>
  <c r="BM25" i="2"/>
  <c r="BN12" i="2"/>
  <c r="BP12" i="2" s="1"/>
  <c r="BM12" i="2"/>
  <c r="BL12" i="2"/>
  <c r="BN23" i="2"/>
  <c r="BL23" i="2"/>
  <c r="BM23" i="2"/>
  <c r="BN5" i="2"/>
  <c r="BM5" i="2"/>
  <c r="BL5" i="2"/>
  <c r="AY43" i="2"/>
  <c r="BK21" i="2"/>
  <c r="BN28" i="2"/>
  <c r="BP28" i="2" s="1"/>
  <c r="BM28" i="2"/>
  <c r="BL28" i="2"/>
  <c r="BN11" i="2"/>
  <c r="BP11" i="2" s="1"/>
  <c r="BM11" i="2"/>
  <c r="BL11" i="2"/>
  <c r="BJ37" i="2"/>
  <c r="BJ40" i="2" s="1"/>
  <c r="BK3" i="2"/>
  <c r="BN4" i="2"/>
  <c r="BP4" i="2" s="1"/>
  <c r="BM4" i="2"/>
  <c r="BL4" i="2"/>
  <c r="BN19" i="2"/>
  <c r="BP19" i="2" s="1"/>
  <c r="BM19" i="2"/>
  <c r="BL19" i="2"/>
  <c r="BQ9" i="2" l="1"/>
  <c r="BS9" i="2"/>
  <c r="BU9" i="2" s="1"/>
  <c r="BQ16" i="2"/>
  <c r="BS16" i="2"/>
  <c r="BU16" i="2" s="1"/>
  <c r="BX25" i="2"/>
  <c r="BZ25" i="2"/>
  <c r="CC25" i="2"/>
  <c r="CD25" i="2" s="1"/>
  <c r="BQ18" i="2"/>
  <c r="BS18" i="2"/>
  <c r="BU18" i="2" s="1"/>
  <c r="BQ11" i="2"/>
  <c r="BS11" i="2"/>
  <c r="BU11" i="2" s="1"/>
  <c r="BQ17" i="2"/>
  <c r="BS17" i="2"/>
  <c r="BU17" i="2" s="1"/>
  <c r="BX29" i="2"/>
  <c r="CC29" i="2"/>
  <c r="CD29" i="2" s="1"/>
  <c r="BZ29" i="2"/>
  <c r="CC10" i="2"/>
  <c r="CD10" i="2" s="1"/>
  <c r="BX10" i="2"/>
  <c r="BZ10" i="2"/>
  <c r="BQ15" i="2"/>
  <c r="BS15" i="2"/>
  <c r="BU15" i="2" s="1"/>
  <c r="BQ12" i="2"/>
  <c r="BS12" i="2"/>
  <c r="BU12" i="2" s="1"/>
  <c r="CC27" i="2"/>
  <c r="CD27" i="2" s="1"/>
  <c r="BX27" i="2"/>
  <c r="BZ27" i="2"/>
  <c r="BQ19" i="2"/>
  <c r="BS19" i="2"/>
  <c r="BU19" i="2" s="1"/>
  <c r="BQ14" i="2"/>
  <c r="BS14" i="2"/>
  <c r="BU14" i="2" s="1"/>
  <c r="BQ13" i="2"/>
  <c r="BS13" i="2"/>
  <c r="BU13" i="2" s="1"/>
  <c r="BQ4" i="2"/>
  <c r="BS4" i="2"/>
  <c r="BU4" i="2" s="1"/>
  <c r="BQ22" i="2"/>
  <c r="BS22" i="2"/>
  <c r="BU22" i="2" s="1"/>
  <c r="BX7" i="2"/>
  <c r="CC7" i="2"/>
  <c r="CD7" i="2" s="1"/>
  <c r="BZ7" i="2"/>
  <c r="BZ20" i="2"/>
  <c r="BX20" i="2"/>
  <c r="CC20" i="2"/>
  <c r="CD20" i="2" s="1"/>
  <c r="BQ28" i="2"/>
  <c r="BS28" i="2"/>
  <c r="BU28" i="2" s="1"/>
  <c r="BP23" i="2"/>
  <c r="BP5" i="2"/>
  <c r="BO24" i="2"/>
  <c r="BN3" i="2"/>
  <c r="BM3" i="2"/>
  <c r="BL3" i="2"/>
  <c r="BK37" i="2"/>
  <c r="BN21" i="2"/>
  <c r="BP21" i="2" s="1"/>
  <c r="BS21" i="2" s="1"/>
  <c r="BU21" i="2" s="1"/>
  <c r="BL21" i="2"/>
  <c r="BZ13" i="2" l="1"/>
  <c r="BX13" i="2"/>
  <c r="CC13" i="2"/>
  <c r="CD13" i="2" s="1"/>
  <c r="CC17" i="2"/>
  <c r="CD17" i="2" s="1"/>
  <c r="BX17" i="2"/>
  <c r="BZ17" i="2"/>
  <c r="BX22" i="2"/>
  <c r="BZ22" i="2"/>
  <c r="CC22" i="2"/>
  <c r="CD22" i="2" s="1"/>
  <c r="BX14" i="2"/>
  <c r="BZ14" i="2"/>
  <c r="CC14" i="2"/>
  <c r="CD14" i="2" s="1"/>
  <c r="BX11" i="2"/>
  <c r="CC11" i="2"/>
  <c r="CD11" i="2" s="1"/>
  <c r="BZ11" i="2"/>
  <c r="BX4" i="2"/>
  <c r="CC4" i="2"/>
  <c r="CD4" i="2" s="1"/>
  <c r="BZ4" i="2"/>
  <c r="BX19" i="2"/>
  <c r="BZ19" i="2"/>
  <c r="CC19" i="2"/>
  <c r="CD19" i="2" s="1"/>
  <c r="BX12" i="2"/>
  <c r="BZ12" i="2"/>
  <c r="CC12" i="2"/>
  <c r="CD12" i="2" s="1"/>
  <c r="BX16" i="2"/>
  <c r="CC16" i="2"/>
  <c r="CD16" i="2" s="1"/>
  <c r="BZ16" i="2"/>
  <c r="CC28" i="2"/>
  <c r="CD28" i="2" s="1"/>
  <c r="BZ28" i="2"/>
  <c r="BX28" i="2"/>
  <c r="CC18" i="2"/>
  <c r="CD18" i="2" s="1"/>
  <c r="BX18" i="2"/>
  <c r="BZ18" i="2"/>
  <c r="BQ5" i="2"/>
  <c r="BS5" i="2"/>
  <c r="BU5" i="2" s="1"/>
  <c r="BX9" i="2"/>
  <c r="BZ9" i="2"/>
  <c r="CC9" i="2"/>
  <c r="CD9" i="2" s="1"/>
  <c r="BZ21" i="2"/>
  <c r="BX21" i="2"/>
  <c r="CC21" i="2"/>
  <c r="CD21" i="2" s="1"/>
  <c r="BQ23" i="2"/>
  <c r="BS23" i="2"/>
  <c r="BU23" i="2" s="1"/>
  <c r="BX15" i="2"/>
  <c r="CC15" i="2"/>
  <c r="CD15" i="2" s="1"/>
  <c r="BZ15" i="2"/>
  <c r="BP39" i="2"/>
  <c r="BO37" i="2"/>
  <c r="BP42" i="2" s="1"/>
  <c r="BP24" i="2"/>
  <c r="BP3" i="2"/>
  <c r="BS3" i="2" s="1"/>
  <c r="BN37" i="2"/>
  <c r="BL37" i="2"/>
  <c r="BZ5" i="2" l="1"/>
  <c r="BX5" i="2"/>
  <c r="CC5" i="2"/>
  <c r="CD5" i="2" s="1"/>
  <c r="BU3" i="2"/>
  <c r="BQ24" i="2"/>
  <c r="BS24" i="2"/>
  <c r="BU24" i="2" s="1"/>
  <c r="BX23" i="2"/>
  <c r="BZ23" i="2"/>
  <c r="CC23" i="2"/>
  <c r="CD23" i="2" s="1"/>
  <c r="BQ3" i="2"/>
  <c r="BP37" i="2"/>
  <c r="BQ43" i="2" l="1"/>
  <c r="BQ41" i="2"/>
  <c r="BS37" i="2"/>
  <c r="BX24" i="2"/>
  <c r="CC24" i="2"/>
  <c r="CD24" i="2" s="1"/>
  <c r="BZ24" i="2"/>
  <c r="BQ37" i="2"/>
  <c r="CC3" i="2"/>
  <c r="BX3" i="2"/>
  <c r="BU37" i="2"/>
  <c r="BZ3" i="2"/>
  <c r="BP40" i="2"/>
  <c r="BQ39" i="2"/>
  <c r="BZ37" i="2" l="1"/>
  <c r="CA24" i="2" s="1"/>
  <c r="CC37" i="2"/>
  <c r="CD3" i="2"/>
  <c r="CD37" i="2" l="1"/>
  <c r="CA6" i="2"/>
  <c r="CA26" i="2"/>
  <c r="CA8" i="2"/>
  <c r="CA29" i="2"/>
  <c r="CA25" i="2"/>
  <c r="CA27" i="2"/>
  <c r="CA10" i="2"/>
  <c r="CA20" i="2"/>
  <c r="CA7" i="2"/>
  <c r="CA22" i="2"/>
  <c r="CA15" i="2"/>
  <c r="CA18" i="2"/>
  <c r="CA28" i="2"/>
  <c r="CA21" i="2"/>
  <c r="CA13" i="2"/>
  <c r="CA16" i="2"/>
  <c r="CA12" i="2"/>
  <c r="CA11" i="2"/>
  <c r="CA4" i="2"/>
  <c r="CA14" i="2"/>
  <c r="CA17" i="2"/>
  <c r="CA19" i="2"/>
  <c r="CA9" i="2"/>
  <c r="CA23" i="2"/>
  <c r="CA5" i="2"/>
  <c r="CA3" i="2"/>
  <c r="CA37" i="2" l="1"/>
  <c r="CA40" i="2" s="1"/>
  <c r="CE25" i="2" s="1"/>
  <c r="CF25" i="2" s="1"/>
  <c r="CE28" i="2" l="1"/>
  <c r="CF28" i="2" s="1"/>
  <c r="CI28" i="2" s="1"/>
  <c r="CE12" i="2"/>
  <c r="CF12" i="2" s="1"/>
  <c r="CH12" i="2" s="1"/>
  <c r="CE4" i="2"/>
  <c r="CF4" i="2" s="1"/>
  <c r="CI4" i="2" s="1"/>
  <c r="CK4" i="2" s="1"/>
  <c r="CE18" i="2"/>
  <c r="CF18" i="2" s="1"/>
  <c r="CH18" i="2" s="1"/>
  <c r="CE29" i="2"/>
  <c r="CF29" i="2" s="1"/>
  <c r="CI29" i="2" s="1"/>
  <c r="CE24" i="2"/>
  <c r="CF24" i="2" s="1"/>
  <c r="CI24" i="2" s="1"/>
  <c r="CE6" i="2"/>
  <c r="CF6" i="2" s="1"/>
  <c r="CG6" i="2" s="1"/>
  <c r="CE23" i="2"/>
  <c r="CF23" i="2" s="1"/>
  <c r="CG23" i="2" s="1"/>
  <c r="CE8" i="2"/>
  <c r="CF8" i="2" s="1"/>
  <c r="CH8" i="2" s="1"/>
  <c r="CE22" i="2"/>
  <c r="CF22" i="2" s="1"/>
  <c r="CE26" i="2"/>
  <c r="CF26" i="2" s="1"/>
  <c r="CI26" i="2" s="1"/>
  <c r="CK26" i="2" s="1"/>
  <c r="CN26" i="2" s="1"/>
  <c r="CP26" i="2" s="1"/>
  <c r="CE14" i="2"/>
  <c r="CF14" i="2" s="1"/>
  <c r="CG14" i="2" s="1"/>
  <c r="CE9" i="2"/>
  <c r="CF9" i="2" s="1"/>
  <c r="CH9" i="2" s="1"/>
  <c r="CE21" i="2"/>
  <c r="CF21" i="2" s="1"/>
  <c r="CI21" i="2" s="1"/>
  <c r="CK21" i="2" s="1"/>
  <c r="CN21" i="2" s="1"/>
  <c r="CP21" i="2" s="1"/>
  <c r="CE16" i="2"/>
  <c r="CF16" i="2" s="1"/>
  <c r="CH16" i="2" s="1"/>
  <c r="CE27" i="2"/>
  <c r="CF27" i="2" s="1"/>
  <c r="CI27" i="2" s="1"/>
  <c r="CE5" i="2"/>
  <c r="CF5" i="2" s="1"/>
  <c r="CI5" i="2" s="1"/>
  <c r="CE19" i="2"/>
  <c r="CF19" i="2" s="1"/>
  <c r="CI19" i="2" s="1"/>
  <c r="CE10" i="2"/>
  <c r="CF10" i="2" s="1"/>
  <c r="CI10" i="2" s="1"/>
  <c r="CE11" i="2"/>
  <c r="CF11" i="2" s="1"/>
  <c r="CI11" i="2" s="1"/>
  <c r="CE20" i="2"/>
  <c r="CF20" i="2" s="1"/>
  <c r="CH20" i="2" s="1"/>
  <c r="CE17" i="2"/>
  <c r="CF17" i="2" s="1"/>
  <c r="CH17" i="2" s="1"/>
  <c r="CE7" i="2"/>
  <c r="CF7" i="2" s="1"/>
  <c r="CE13" i="2"/>
  <c r="CF13" i="2" s="1"/>
  <c r="CG13" i="2" s="1"/>
  <c r="CE15" i="2"/>
  <c r="CF15" i="2" s="1"/>
  <c r="CG15" i="2" s="1"/>
  <c r="CI25" i="2"/>
  <c r="CH25" i="2"/>
  <c r="CG25" i="2"/>
  <c r="CE3" i="2"/>
  <c r="CL4" i="2" l="1"/>
  <c r="CN4" i="2"/>
  <c r="CP4" i="2" s="1"/>
  <c r="CS26" i="2"/>
  <c r="CX26" i="2"/>
  <c r="CY26" i="2" s="1"/>
  <c r="CU26" i="2"/>
  <c r="CX21" i="2"/>
  <c r="CY21" i="2" s="1"/>
  <c r="CU21" i="2"/>
  <c r="CS21" i="2"/>
  <c r="CJ5" i="2"/>
  <c r="CK5" i="2" s="1"/>
  <c r="CJ29" i="2"/>
  <c r="CK29" i="2" s="1"/>
  <c r="CJ28" i="2"/>
  <c r="CK28" i="2" s="1"/>
  <c r="CJ27" i="2"/>
  <c r="CK27" i="2" s="1"/>
  <c r="CJ19" i="2"/>
  <c r="CK19" i="2" s="1"/>
  <c r="CJ10" i="2"/>
  <c r="CK10" i="2" s="1"/>
  <c r="CJ11" i="2"/>
  <c r="CK11" i="2" s="1"/>
  <c r="CJ25" i="2"/>
  <c r="CK25" i="2" s="1"/>
  <c r="CG28" i="2"/>
  <c r="CH28" i="2"/>
  <c r="CG8" i="2"/>
  <c r="CI8" i="2"/>
  <c r="CI7" i="2"/>
  <c r="CH7" i="2"/>
  <c r="CI18" i="2"/>
  <c r="CG4" i="2"/>
  <c r="CH14" i="2"/>
  <c r="CH4" i="2"/>
  <c r="CG26" i="2"/>
  <c r="CG11" i="2"/>
  <c r="CI23" i="2"/>
  <c r="CK23" i="2" s="1"/>
  <c r="CG27" i="2"/>
  <c r="CH27" i="2"/>
  <c r="CG16" i="2"/>
  <c r="CG10" i="2"/>
  <c r="CH23" i="2"/>
  <c r="CI16" i="2"/>
  <c r="CG19" i="2"/>
  <c r="CG5" i="2"/>
  <c r="CH19" i="2"/>
  <c r="CI12" i="2"/>
  <c r="CG7" i="2"/>
  <c r="CG9" i="2"/>
  <c r="CI6" i="2"/>
  <c r="CK6" i="2" s="1"/>
  <c r="CN6" i="2" s="1"/>
  <c r="CP6" i="2" s="1"/>
  <c r="CH24" i="2"/>
  <c r="BT43" i="2"/>
  <c r="CI20" i="2"/>
  <c r="CH29" i="2"/>
  <c r="CG12" i="2"/>
  <c r="CG24" i="2"/>
  <c r="CG29" i="2"/>
  <c r="CI14" i="2"/>
  <c r="CG18" i="2"/>
  <c r="CH11" i="2"/>
  <c r="CH5" i="2"/>
  <c r="CH15" i="2"/>
  <c r="CI15" i="2"/>
  <c r="CI13" i="2"/>
  <c r="CG21" i="2"/>
  <c r="CG20" i="2"/>
  <c r="CI9" i="2"/>
  <c r="CH10" i="2"/>
  <c r="CH13" i="2"/>
  <c r="CG17" i="2"/>
  <c r="CI17" i="2"/>
  <c r="CI22" i="2"/>
  <c r="CK22" i="2" s="1"/>
  <c r="CG22" i="2"/>
  <c r="CH22" i="2"/>
  <c r="CE37" i="2"/>
  <c r="CE40" i="2" s="1"/>
  <c r="CF3" i="2"/>
  <c r="CL10" i="2" l="1"/>
  <c r="CN10" i="2"/>
  <c r="CP10" i="2" s="1"/>
  <c r="CL27" i="2"/>
  <c r="CN27" i="2"/>
  <c r="CP27" i="2" s="1"/>
  <c r="CL23" i="2"/>
  <c r="CN23" i="2"/>
  <c r="CP23" i="2" s="1"/>
  <c r="CL28" i="2"/>
  <c r="CN28" i="2"/>
  <c r="CP28" i="2" s="1"/>
  <c r="CS6" i="2"/>
  <c r="CX6" i="2"/>
  <c r="CY6" i="2" s="1"/>
  <c r="CU6" i="2"/>
  <c r="CL29" i="2"/>
  <c r="CN29" i="2"/>
  <c r="CP29" i="2" s="1"/>
  <c r="CL5" i="2"/>
  <c r="CN5" i="2"/>
  <c r="CP5" i="2" s="1"/>
  <c r="CL25" i="2"/>
  <c r="CN25" i="2"/>
  <c r="CP25" i="2" s="1"/>
  <c r="CS4" i="2"/>
  <c r="CX4" i="2"/>
  <c r="CY4" i="2" s="1"/>
  <c r="CU4" i="2"/>
  <c r="CL19" i="2"/>
  <c r="CN19" i="2"/>
  <c r="CP19" i="2" s="1"/>
  <c r="CL22" i="2"/>
  <c r="CN22" i="2"/>
  <c r="CP22" i="2" s="1"/>
  <c r="CL11" i="2"/>
  <c r="CN11" i="2"/>
  <c r="CP11" i="2" s="1"/>
  <c r="CK18" i="2"/>
  <c r="CK17" i="2"/>
  <c r="CK16" i="2"/>
  <c r="CJ7" i="2"/>
  <c r="CK7" i="2" s="1"/>
  <c r="CJ8" i="2"/>
  <c r="CK8" i="2" s="1"/>
  <c r="CJ9" i="2"/>
  <c r="CK9" i="2" s="1"/>
  <c r="CJ12" i="2"/>
  <c r="CK12" i="2" s="1"/>
  <c r="CJ14" i="2"/>
  <c r="CK14" i="2" s="1"/>
  <c r="CJ15" i="2"/>
  <c r="CK15" i="2" s="1"/>
  <c r="CK13" i="2"/>
  <c r="CJ20" i="2"/>
  <c r="CK20" i="2" s="1"/>
  <c r="CK39" i="2"/>
  <c r="CI3" i="2"/>
  <c r="CH3" i="2"/>
  <c r="CG3" i="2"/>
  <c r="CG37" i="2" s="1"/>
  <c r="CF37" i="2"/>
  <c r="CL9" i="2" l="1"/>
  <c r="CN9" i="2"/>
  <c r="CP9" i="2" s="1"/>
  <c r="CS27" i="2"/>
  <c r="CU27" i="2"/>
  <c r="CX27" i="2"/>
  <c r="CY27" i="2" s="1"/>
  <c r="CL14" i="2"/>
  <c r="CN14" i="2"/>
  <c r="CP14" i="2" s="1"/>
  <c r="CL8" i="2"/>
  <c r="CN8" i="2"/>
  <c r="CP8" i="2" s="1"/>
  <c r="CS19" i="2"/>
  <c r="CU19" i="2"/>
  <c r="CX19" i="2"/>
  <c r="CY19" i="2" s="1"/>
  <c r="CU5" i="2"/>
  <c r="CS5" i="2"/>
  <c r="CX5" i="2"/>
  <c r="CY5" i="2" s="1"/>
  <c r="CL7" i="2"/>
  <c r="CN7" i="2"/>
  <c r="CP7" i="2" s="1"/>
  <c r="CL20" i="2"/>
  <c r="CN20" i="2"/>
  <c r="CP20" i="2" s="1"/>
  <c r="CL16" i="2"/>
  <c r="CN16" i="2"/>
  <c r="CP16" i="2" s="1"/>
  <c r="CS28" i="2"/>
  <c r="CU28" i="2"/>
  <c r="CX28" i="2"/>
  <c r="CY28" i="2" s="1"/>
  <c r="CS22" i="2"/>
  <c r="CX22" i="2"/>
  <c r="CY22" i="2" s="1"/>
  <c r="CU22" i="2"/>
  <c r="CL13" i="2"/>
  <c r="CN13" i="2"/>
  <c r="CP13" i="2" s="1"/>
  <c r="CL17" i="2"/>
  <c r="CN17" i="2"/>
  <c r="CP17" i="2" s="1"/>
  <c r="CS29" i="2"/>
  <c r="CX29" i="2"/>
  <c r="CY29" i="2" s="1"/>
  <c r="CU29" i="2"/>
  <c r="CS10" i="2"/>
  <c r="CU10" i="2"/>
  <c r="CX10" i="2"/>
  <c r="CY10" i="2" s="1"/>
  <c r="CX11" i="2"/>
  <c r="CY11" i="2" s="1"/>
  <c r="CS11" i="2"/>
  <c r="CU11" i="2"/>
  <c r="CL12" i="2"/>
  <c r="CN12" i="2"/>
  <c r="CP12" i="2" s="1"/>
  <c r="CS25" i="2"/>
  <c r="CX25" i="2"/>
  <c r="CY25" i="2" s="1"/>
  <c r="CU25" i="2"/>
  <c r="CL15" i="2"/>
  <c r="CN15" i="2"/>
  <c r="CP15" i="2" s="1"/>
  <c r="CL18" i="2"/>
  <c r="CN18" i="2"/>
  <c r="CP18" i="2" s="1"/>
  <c r="CS23" i="2"/>
  <c r="CU23" i="2"/>
  <c r="CX23" i="2"/>
  <c r="CY23" i="2" s="1"/>
  <c r="CJ24" i="2"/>
  <c r="CJ37" i="2" s="1"/>
  <c r="CK42" i="2" s="1"/>
  <c r="CK3" i="2"/>
  <c r="CN3" i="2" s="1"/>
  <c r="CI37" i="2"/>
  <c r="CX17" i="2" l="1"/>
  <c r="CY17" i="2" s="1"/>
  <c r="CS17" i="2"/>
  <c r="CU17" i="2"/>
  <c r="CS20" i="2"/>
  <c r="CU20" i="2"/>
  <c r="CX20" i="2"/>
  <c r="CY20" i="2" s="1"/>
  <c r="CU18" i="2"/>
  <c r="CS18" i="2"/>
  <c r="CX18" i="2"/>
  <c r="CY18" i="2" s="1"/>
  <c r="CX12" i="2"/>
  <c r="CY12" i="2" s="1"/>
  <c r="CS12" i="2"/>
  <c r="CU12" i="2"/>
  <c r="CS7" i="2"/>
  <c r="CX7" i="2"/>
  <c r="CY7" i="2" s="1"/>
  <c r="CU7" i="2"/>
  <c r="CP3" i="2"/>
  <c r="CS13" i="2"/>
  <c r="CU13" i="2"/>
  <c r="CX13" i="2"/>
  <c r="CY13" i="2" s="1"/>
  <c r="CS15" i="2"/>
  <c r="CU15" i="2"/>
  <c r="CX15" i="2"/>
  <c r="CY15" i="2" s="1"/>
  <c r="CS8" i="2"/>
  <c r="CX8" i="2"/>
  <c r="CY8" i="2" s="1"/>
  <c r="CU8" i="2"/>
  <c r="CS9" i="2"/>
  <c r="CX9" i="2"/>
  <c r="CY9" i="2" s="1"/>
  <c r="CU9" i="2"/>
  <c r="CS16" i="2"/>
  <c r="CU16" i="2"/>
  <c r="CX16" i="2"/>
  <c r="CY16" i="2" s="1"/>
  <c r="CU14" i="2"/>
  <c r="CS14" i="2"/>
  <c r="CX14" i="2"/>
  <c r="CY14" i="2" s="1"/>
  <c r="CK24" i="2"/>
  <c r="CL3" i="2"/>
  <c r="CS3" i="2" l="1"/>
  <c r="CX3" i="2"/>
  <c r="CU3" i="2"/>
  <c r="CL24" i="2"/>
  <c r="CL43" i="2" s="1"/>
  <c r="CN24" i="2"/>
  <c r="CK37" i="2"/>
  <c r="CL39" i="2" s="1"/>
  <c r="CL37" i="2" l="1"/>
  <c r="CL41" i="2"/>
  <c r="CY3" i="2"/>
  <c r="CP24" i="2"/>
  <c r="CN37" i="2"/>
  <c r="CK40" i="2"/>
  <c r="CS24" i="2" l="1"/>
  <c r="CU24" i="2"/>
  <c r="CX24" i="2"/>
  <c r="CP37" i="2"/>
  <c r="CU37" i="2" l="1"/>
  <c r="CY24" i="2"/>
  <c r="CX37" i="2"/>
  <c r="CY37" i="2" l="1"/>
  <c r="CV21" i="2"/>
  <c r="CV26" i="2"/>
  <c r="CV6" i="2"/>
  <c r="CV4" i="2"/>
  <c r="CV19" i="2"/>
  <c r="CV5" i="2"/>
  <c r="CV27" i="2"/>
  <c r="CV28" i="2"/>
  <c r="CV11" i="2"/>
  <c r="CV29" i="2"/>
  <c r="CV10" i="2"/>
  <c r="CV22" i="2"/>
  <c r="CV23" i="2"/>
  <c r="CV25" i="2"/>
  <c r="CV17" i="2"/>
  <c r="CV12" i="2"/>
  <c r="CV16" i="2"/>
  <c r="CV9" i="2"/>
  <c r="CV18" i="2"/>
  <c r="CV8" i="2"/>
  <c r="CV13" i="2"/>
  <c r="CV7" i="2"/>
  <c r="CV15" i="2"/>
  <c r="CV14" i="2"/>
  <c r="CV20" i="2"/>
  <c r="CV3" i="2"/>
  <c r="CV24" i="2"/>
  <c r="CV37" i="2" l="1"/>
  <c r="CV40" i="2" s="1"/>
  <c r="CZ21" i="2" s="1"/>
  <c r="CZ3" i="2" l="1"/>
  <c r="DA3" i="2" s="1"/>
  <c r="CZ24" i="2"/>
  <c r="DA24" i="2" s="1"/>
  <c r="DD24" i="2" s="1"/>
  <c r="CZ12" i="2"/>
  <c r="DA12" i="2" s="1"/>
  <c r="DC12" i="2" s="1"/>
  <c r="CZ8" i="2"/>
  <c r="DA8" i="2" s="1"/>
  <c r="DB8" i="2" s="1"/>
  <c r="CZ29" i="2"/>
  <c r="DA29" i="2" s="1"/>
  <c r="DC29" i="2" s="1"/>
  <c r="CZ17" i="2"/>
  <c r="DA17" i="2" s="1"/>
  <c r="DD17" i="2" s="1"/>
  <c r="DF17" i="2" s="1"/>
  <c r="CZ19" i="2"/>
  <c r="DA19" i="2" s="1"/>
  <c r="DB19" i="2" s="1"/>
  <c r="CZ15" i="2"/>
  <c r="DA15" i="2" s="1"/>
  <c r="DC15" i="2" s="1"/>
  <c r="CZ23" i="2"/>
  <c r="DA23" i="2" s="1"/>
  <c r="DD23" i="2" s="1"/>
  <c r="DF23" i="2" s="1"/>
  <c r="CZ9" i="2"/>
  <c r="DA9" i="2" s="1"/>
  <c r="DB9" i="2" s="1"/>
  <c r="CZ16" i="2"/>
  <c r="DA16" i="2" s="1"/>
  <c r="DB16" i="2" s="1"/>
  <c r="CZ5" i="2"/>
  <c r="DA5" i="2" s="1"/>
  <c r="DC5" i="2" s="1"/>
  <c r="CZ11" i="2"/>
  <c r="DA11" i="2" s="1"/>
  <c r="DD11" i="2" s="1"/>
  <c r="CZ25" i="2"/>
  <c r="DA25" i="2" s="1"/>
  <c r="DC25" i="2" s="1"/>
  <c r="CZ14" i="2"/>
  <c r="DA14" i="2" s="1"/>
  <c r="DD14" i="2" s="1"/>
  <c r="CZ28" i="2"/>
  <c r="DA28" i="2" s="1"/>
  <c r="DD28" i="2" s="1"/>
  <c r="CZ4" i="2"/>
  <c r="DA4" i="2" s="1"/>
  <c r="DC4" i="2" s="1"/>
  <c r="CZ6" i="2"/>
  <c r="DA6" i="2" s="1"/>
  <c r="DD6" i="2" s="1"/>
  <c r="DF6" i="2" s="1"/>
  <c r="DI6" i="2" s="1"/>
  <c r="DK6" i="2" s="1"/>
  <c r="CZ20" i="2"/>
  <c r="DA20" i="2" s="1"/>
  <c r="DB20" i="2" s="1"/>
  <c r="CZ22" i="2"/>
  <c r="DA22" i="2" s="1"/>
  <c r="DD22" i="2" s="1"/>
  <c r="DF22" i="2" s="1"/>
  <c r="CZ18" i="2"/>
  <c r="DA18" i="2" s="1"/>
  <c r="DD18" i="2" s="1"/>
  <c r="DF18" i="2" s="1"/>
  <c r="CZ27" i="2"/>
  <c r="DA27" i="2" s="1"/>
  <c r="DD27" i="2" s="1"/>
  <c r="CZ26" i="2"/>
  <c r="DA26" i="2" s="1"/>
  <c r="DB26" i="2" s="1"/>
  <c r="CZ13" i="2"/>
  <c r="DA13" i="2" s="1"/>
  <c r="DD13" i="2" s="1"/>
  <c r="DF13" i="2" s="1"/>
  <c r="CZ7" i="2"/>
  <c r="DA7" i="2" s="1"/>
  <c r="DD7" i="2" s="1"/>
  <c r="CZ10" i="2"/>
  <c r="DA10" i="2" s="1"/>
  <c r="DD10" i="2" s="1"/>
  <c r="DA21" i="2"/>
  <c r="DD12" i="2" l="1"/>
  <c r="DF12" i="2" s="1"/>
  <c r="DC23" i="2"/>
  <c r="DB23" i="2"/>
  <c r="DB24" i="2"/>
  <c r="DC24" i="2"/>
  <c r="DG17" i="2"/>
  <c r="DI17" i="2"/>
  <c r="DK17" i="2" s="1"/>
  <c r="DG18" i="2"/>
  <c r="DI18" i="2"/>
  <c r="DK18" i="2" s="1"/>
  <c r="DG22" i="2"/>
  <c r="DI22" i="2"/>
  <c r="DK22" i="2" s="1"/>
  <c r="DG13" i="2"/>
  <c r="DI13" i="2"/>
  <c r="DK13" i="2" s="1"/>
  <c r="DS6" i="2"/>
  <c r="DT6" i="2" s="1"/>
  <c r="DN6" i="2"/>
  <c r="DP6" i="2"/>
  <c r="DG23" i="2"/>
  <c r="DI23" i="2"/>
  <c r="DK23" i="2" s="1"/>
  <c r="DC17" i="2"/>
  <c r="DD9" i="2"/>
  <c r="DF9" i="2" s="1"/>
  <c r="DB29" i="2"/>
  <c r="DD29" i="2"/>
  <c r="DF29" i="2" s="1"/>
  <c r="DB15" i="2"/>
  <c r="DB17" i="2"/>
  <c r="DD15" i="2"/>
  <c r="DF15" i="2" s="1"/>
  <c r="DC19" i="2"/>
  <c r="DB12" i="2"/>
  <c r="DD19" i="2"/>
  <c r="DF19" i="2" s="1"/>
  <c r="DB28" i="2"/>
  <c r="DC28" i="2"/>
  <c r="DB4" i="2"/>
  <c r="DD4" i="2"/>
  <c r="DF4" i="2" s="1"/>
  <c r="DB6" i="2"/>
  <c r="DC9" i="2"/>
  <c r="DD8" i="2"/>
  <c r="DF8" i="2" s="1"/>
  <c r="DC8" i="2"/>
  <c r="DC16" i="2"/>
  <c r="DC7" i="2"/>
  <c r="DD16" i="2"/>
  <c r="DF16" i="2" s="1"/>
  <c r="DC20" i="2"/>
  <c r="DD20" i="2"/>
  <c r="DF20" i="2" s="1"/>
  <c r="DD26" i="2"/>
  <c r="DF26" i="2" s="1"/>
  <c r="DI26" i="2" s="1"/>
  <c r="DK26" i="2" s="1"/>
  <c r="DB18" i="2"/>
  <c r="DC18" i="2"/>
  <c r="DB14" i="2"/>
  <c r="DD5" i="2"/>
  <c r="DC14" i="2"/>
  <c r="DC27" i="2"/>
  <c r="DB25" i="2"/>
  <c r="DB27" i="2"/>
  <c r="DC22" i="2"/>
  <c r="DB5" i="2"/>
  <c r="DB22" i="2"/>
  <c r="DB11" i="2"/>
  <c r="DD25" i="2"/>
  <c r="DF25" i="2" s="1"/>
  <c r="DC11" i="2"/>
  <c r="CO43" i="2"/>
  <c r="DB7" i="2"/>
  <c r="DC10" i="2"/>
  <c r="DB13" i="2"/>
  <c r="DB10" i="2"/>
  <c r="DC13" i="2"/>
  <c r="CZ37" i="2"/>
  <c r="CZ40" i="2" s="1"/>
  <c r="DD21" i="2"/>
  <c r="DF21" i="2" s="1"/>
  <c r="DB21" i="2"/>
  <c r="DF27" i="2"/>
  <c r="DD3" i="2"/>
  <c r="DC3" i="2"/>
  <c r="DB3" i="2"/>
  <c r="DA37" i="2"/>
  <c r="DF10" i="2"/>
  <c r="DF28" i="2"/>
  <c r="DF14" i="2"/>
  <c r="DF11" i="2"/>
  <c r="DF7" i="2"/>
  <c r="DG29" i="2" l="1"/>
  <c r="DI29" i="2"/>
  <c r="DK29" i="2" s="1"/>
  <c r="DG11" i="2"/>
  <c r="DI11" i="2"/>
  <c r="DK11" i="2" s="1"/>
  <c r="DG19" i="2"/>
  <c r="DI19" i="2"/>
  <c r="DK19" i="2" s="1"/>
  <c r="DP13" i="2"/>
  <c r="DN13" i="2"/>
  <c r="DS13" i="2"/>
  <c r="DT13" i="2" s="1"/>
  <c r="DG12" i="2"/>
  <c r="DI12" i="2"/>
  <c r="DK12" i="2" s="1"/>
  <c r="DG8" i="2"/>
  <c r="DI8" i="2"/>
  <c r="DK8" i="2" s="1"/>
  <c r="DG28" i="2"/>
  <c r="DI28" i="2"/>
  <c r="DK28" i="2" s="1"/>
  <c r="DP26" i="2"/>
  <c r="DN26" i="2"/>
  <c r="DS26" i="2"/>
  <c r="DT26" i="2" s="1"/>
  <c r="DN23" i="2"/>
  <c r="DS23" i="2"/>
  <c r="DT23" i="2" s="1"/>
  <c r="DP23" i="2"/>
  <c r="DN22" i="2"/>
  <c r="DS22" i="2"/>
  <c r="DT22" i="2" s="1"/>
  <c r="DP22" i="2"/>
  <c r="DP17" i="2"/>
  <c r="DN17" i="2"/>
  <c r="DS17" i="2"/>
  <c r="DT17" i="2" s="1"/>
  <c r="DG27" i="2"/>
  <c r="DI27" i="2"/>
  <c r="DK27" i="2" s="1"/>
  <c r="DG20" i="2"/>
  <c r="DI20" i="2"/>
  <c r="DK20" i="2" s="1"/>
  <c r="DG15" i="2"/>
  <c r="DI15" i="2"/>
  <c r="DK15" i="2" s="1"/>
  <c r="DG10" i="2"/>
  <c r="DI10" i="2"/>
  <c r="DK10" i="2" s="1"/>
  <c r="DG9" i="2"/>
  <c r="DI9" i="2"/>
  <c r="DK9" i="2" s="1"/>
  <c r="DG4" i="2"/>
  <c r="DI4" i="2"/>
  <c r="DK4" i="2" s="1"/>
  <c r="DN18" i="2"/>
  <c r="DS18" i="2"/>
  <c r="DT18" i="2" s="1"/>
  <c r="DP18" i="2"/>
  <c r="DG7" i="2"/>
  <c r="DI7" i="2"/>
  <c r="DK7" i="2" s="1"/>
  <c r="DG14" i="2"/>
  <c r="DI14" i="2"/>
  <c r="DK14" i="2" s="1"/>
  <c r="DF39" i="2"/>
  <c r="DI21" i="2"/>
  <c r="DK21" i="2" s="1"/>
  <c r="DG25" i="2"/>
  <c r="DI25" i="2"/>
  <c r="DK25" i="2" s="1"/>
  <c r="DG16" i="2"/>
  <c r="DI16" i="2"/>
  <c r="DK16" i="2" s="1"/>
  <c r="DB37" i="2"/>
  <c r="DF5" i="2"/>
  <c r="DF3" i="2"/>
  <c r="DI3" i="2" s="1"/>
  <c r="DD37" i="2"/>
  <c r="DE24" i="2"/>
  <c r="DF24" i="2" s="1"/>
  <c r="DG24" i="2" l="1"/>
  <c r="DI24" i="2"/>
  <c r="DK24" i="2" s="1"/>
  <c r="DN10" i="2"/>
  <c r="DS10" i="2"/>
  <c r="DT10" i="2" s="1"/>
  <c r="DP10" i="2"/>
  <c r="DN21" i="2"/>
  <c r="DS21" i="2"/>
  <c r="DT21" i="2" s="1"/>
  <c r="DP21" i="2"/>
  <c r="DG5" i="2"/>
  <c r="DI5" i="2"/>
  <c r="DK5" i="2" s="1"/>
  <c r="DS14" i="2"/>
  <c r="DT14" i="2" s="1"/>
  <c r="DN14" i="2"/>
  <c r="DP14" i="2"/>
  <c r="DN19" i="2"/>
  <c r="DP19" i="2"/>
  <c r="DS19" i="2"/>
  <c r="DT19" i="2" s="1"/>
  <c r="DN4" i="2"/>
  <c r="DP4" i="2"/>
  <c r="DS4" i="2"/>
  <c r="DT4" i="2" s="1"/>
  <c r="DP15" i="2"/>
  <c r="DN15" i="2"/>
  <c r="DS15" i="2"/>
  <c r="DT15" i="2" s="1"/>
  <c r="DS20" i="2"/>
  <c r="DT20" i="2" s="1"/>
  <c r="DN20" i="2"/>
  <c r="DP20" i="2"/>
  <c r="DP7" i="2"/>
  <c r="DN7" i="2"/>
  <c r="DS7" i="2"/>
  <c r="DT7" i="2" s="1"/>
  <c r="DS12" i="2"/>
  <c r="DT12" i="2" s="1"/>
  <c r="DN12" i="2"/>
  <c r="DP12" i="2"/>
  <c r="DK3" i="2"/>
  <c r="DS16" i="2"/>
  <c r="DT16" i="2" s="1"/>
  <c r="DN16" i="2"/>
  <c r="DP16" i="2"/>
  <c r="DN11" i="2"/>
  <c r="DP11" i="2"/>
  <c r="DS11" i="2"/>
  <c r="DT11" i="2" s="1"/>
  <c r="DP9" i="2"/>
  <c r="DN9" i="2"/>
  <c r="DS9" i="2"/>
  <c r="DT9" i="2" s="1"/>
  <c r="DN27" i="2"/>
  <c r="DS27" i="2"/>
  <c r="DT27" i="2" s="1"/>
  <c r="DP27" i="2"/>
  <c r="DS8" i="2"/>
  <c r="DT8" i="2" s="1"/>
  <c r="DN8" i="2"/>
  <c r="DP8" i="2"/>
  <c r="DS25" i="2"/>
  <c r="DT25" i="2" s="1"/>
  <c r="DP25" i="2"/>
  <c r="DN25" i="2"/>
  <c r="DN29" i="2"/>
  <c r="DP29" i="2"/>
  <c r="DS29" i="2"/>
  <c r="DT29" i="2" s="1"/>
  <c r="DN28" i="2"/>
  <c r="DP28" i="2"/>
  <c r="DS28" i="2"/>
  <c r="DT28" i="2" s="1"/>
  <c r="DF37" i="2"/>
  <c r="DG3" i="2"/>
  <c r="DE37" i="2"/>
  <c r="DF42" i="2" s="1"/>
  <c r="DG43" i="2" l="1"/>
  <c r="DI37" i="2"/>
  <c r="DN3" i="2"/>
  <c r="DK37" i="2"/>
  <c r="DP3" i="2"/>
  <c r="DS3" i="2"/>
  <c r="DN5" i="2"/>
  <c r="DP5" i="2"/>
  <c r="DS5" i="2"/>
  <c r="DT5" i="2" s="1"/>
  <c r="DN24" i="2"/>
  <c r="DP24" i="2"/>
  <c r="DS24" i="2"/>
  <c r="DT24" i="2" s="1"/>
  <c r="DG37" i="2"/>
  <c r="DG41" i="2"/>
  <c r="DF40" i="2"/>
  <c r="DG39" i="2"/>
  <c r="DP37" i="2" l="1"/>
  <c r="DQ5" i="2" s="1"/>
  <c r="DT3" i="2"/>
  <c r="DS37" i="2"/>
  <c r="DT37" i="2" l="1"/>
  <c r="DQ6" i="2"/>
  <c r="DQ18" i="2"/>
  <c r="DQ23" i="2"/>
  <c r="DQ17" i="2"/>
  <c r="DQ26" i="2"/>
  <c r="DQ13" i="2"/>
  <c r="DQ22" i="2"/>
  <c r="DQ15" i="2"/>
  <c r="DQ21" i="2"/>
  <c r="DQ7" i="2"/>
  <c r="DQ28" i="2"/>
  <c r="DQ19" i="2"/>
  <c r="DQ25" i="2"/>
  <c r="DQ4" i="2"/>
  <c r="DQ14" i="2"/>
  <c r="DQ12" i="2"/>
  <c r="DQ8" i="2"/>
  <c r="DQ16" i="2"/>
  <c r="DQ20" i="2"/>
  <c r="DQ9" i="2"/>
  <c r="DQ27" i="2"/>
  <c r="DQ11" i="2"/>
  <c r="DQ29" i="2"/>
  <c r="DQ10" i="2"/>
  <c r="DQ3" i="2"/>
  <c r="DQ24" i="2"/>
  <c r="DQ37" i="2" l="1"/>
  <c r="DQ40" i="2" s="1"/>
  <c r="DU26" i="2" s="1"/>
  <c r="DV26" i="2" s="1"/>
  <c r="DU20" i="2" l="1"/>
  <c r="DV20" i="2" s="1"/>
  <c r="DY20" i="2" s="1"/>
  <c r="EA20" i="2" s="1"/>
  <c r="DU12" i="2"/>
  <c r="DV12" i="2" s="1"/>
  <c r="DY12" i="2" s="1"/>
  <c r="EA12" i="2" s="1"/>
  <c r="DU21" i="2"/>
  <c r="DV21" i="2" s="1"/>
  <c r="DU11" i="2"/>
  <c r="DV11" i="2" s="1"/>
  <c r="DY11" i="2" s="1"/>
  <c r="EA11" i="2" s="1"/>
  <c r="DU16" i="2"/>
  <c r="DV16" i="2" s="1"/>
  <c r="DY16" i="2" s="1"/>
  <c r="EA16" i="2" s="1"/>
  <c r="DU28" i="2"/>
  <c r="DV28" i="2" s="1"/>
  <c r="DW28" i="2" s="1"/>
  <c r="DU19" i="2"/>
  <c r="DV19" i="2" s="1"/>
  <c r="DX19" i="2" s="1"/>
  <c r="DU7" i="2"/>
  <c r="DV7" i="2" s="1"/>
  <c r="DX7" i="2" s="1"/>
  <c r="DU17" i="2"/>
  <c r="DV17" i="2" s="1"/>
  <c r="DX17" i="2" s="1"/>
  <c r="DU9" i="2"/>
  <c r="DV9" i="2" s="1"/>
  <c r="DX9" i="2" s="1"/>
  <c r="DU23" i="2"/>
  <c r="DV23" i="2" s="1"/>
  <c r="DW23" i="2" s="1"/>
  <c r="DU5" i="2"/>
  <c r="DV5" i="2" s="1"/>
  <c r="DX5" i="2" s="1"/>
  <c r="DU14" i="2"/>
  <c r="DV14" i="2" s="1"/>
  <c r="DX14" i="2" s="1"/>
  <c r="DU10" i="2"/>
  <c r="DV10" i="2" s="1"/>
  <c r="DW10" i="2" s="1"/>
  <c r="DU3" i="2"/>
  <c r="DV3" i="2" s="1"/>
  <c r="DX3" i="2" s="1"/>
  <c r="DU24" i="2"/>
  <c r="DV24" i="2" s="1"/>
  <c r="DY24" i="2" s="1"/>
  <c r="DU4" i="2"/>
  <c r="DV4" i="2" s="1"/>
  <c r="DW4" i="2" s="1"/>
  <c r="DU6" i="2"/>
  <c r="DV6" i="2" s="1"/>
  <c r="DY6" i="2" s="1"/>
  <c r="EA6" i="2" s="1"/>
  <c r="ED6" i="2" s="1"/>
  <c r="EF6" i="2" s="1"/>
  <c r="DU25" i="2"/>
  <c r="DV25" i="2" s="1"/>
  <c r="DY25" i="2" s="1"/>
  <c r="EA25" i="2" s="1"/>
  <c r="DU18" i="2"/>
  <c r="DV18" i="2" s="1"/>
  <c r="DW18" i="2" s="1"/>
  <c r="DU15" i="2"/>
  <c r="DV15" i="2" s="1"/>
  <c r="DY15" i="2" s="1"/>
  <c r="EA15" i="2" s="1"/>
  <c r="DU29" i="2"/>
  <c r="DV29" i="2" s="1"/>
  <c r="DW29" i="2" s="1"/>
  <c r="DU22" i="2"/>
  <c r="DV22" i="2" s="1"/>
  <c r="DW22" i="2" s="1"/>
  <c r="DW26" i="2"/>
  <c r="DY26" i="2"/>
  <c r="EA26" i="2" s="1"/>
  <c r="ED26" i="2" s="1"/>
  <c r="EF26" i="2" s="1"/>
  <c r="DU13" i="2"/>
  <c r="DV13" i="2" s="1"/>
  <c r="DU27" i="2"/>
  <c r="DV27" i="2" s="1"/>
  <c r="DU8" i="2"/>
  <c r="DV8" i="2" s="1"/>
  <c r="DW12" i="2" l="1"/>
  <c r="DX12" i="2"/>
  <c r="DY23" i="2"/>
  <c r="EA23" i="2" s="1"/>
  <c r="EB23" i="2" s="1"/>
  <c r="DY9" i="2"/>
  <c r="EA9" i="2" s="1"/>
  <c r="EB9" i="2" s="1"/>
  <c r="DW9" i="2"/>
  <c r="DY28" i="2"/>
  <c r="EA28" i="2" s="1"/>
  <c r="EB28" i="2" s="1"/>
  <c r="DY14" i="2"/>
  <c r="EA14" i="2" s="1"/>
  <c r="EB14" i="2" s="1"/>
  <c r="DW14" i="2"/>
  <c r="DW16" i="2"/>
  <c r="DW5" i="2"/>
  <c r="DY5" i="2"/>
  <c r="EA5" i="2" s="1"/>
  <c r="EB5" i="2" s="1"/>
  <c r="DX28" i="2"/>
  <c r="DW25" i="2"/>
  <c r="DX25" i="2"/>
  <c r="DW6" i="2"/>
  <c r="DW15" i="2"/>
  <c r="DX15" i="2"/>
  <c r="DX16" i="2"/>
  <c r="DX10" i="2"/>
  <c r="DY29" i="2"/>
  <c r="EA29" i="2" s="1"/>
  <c r="ED29" i="2" s="1"/>
  <c r="EF29" i="2" s="1"/>
  <c r="DY17" i="2"/>
  <c r="EA17" i="2" s="1"/>
  <c r="ED17" i="2" s="1"/>
  <c r="EF17" i="2" s="1"/>
  <c r="DW17" i="2"/>
  <c r="DX4" i="2"/>
  <c r="DW19" i="2"/>
  <c r="DY4" i="2"/>
  <c r="EA4" i="2" s="1"/>
  <c r="ED4" i="2" s="1"/>
  <c r="EF4" i="2" s="1"/>
  <c r="DW3" i="2"/>
  <c r="DY10" i="2"/>
  <c r="EA10" i="2" s="1"/>
  <c r="EB10" i="2" s="1"/>
  <c r="DW20" i="2"/>
  <c r="DX20" i="2"/>
  <c r="DY3" i="2"/>
  <c r="EA3" i="2" s="1"/>
  <c r="ED3" i="2" s="1"/>
  <c r="DY7" i="2"/>
  <c r="EA7" i="2" s="1"/>
  <c r="ED7" i="2" s="1"/>
  <c r="EF7" i="2" s="1"/>
  <c r="DY19" i="2"/>
  <c r="EA19" i="2" s="1"/>
  <c r="EB19" i="2" s="1"/>
  <c r="DW11" i="2"/>
  <c r="DX22" i="2"/>
  <c r="DX11" i="2"/>
  <c r="DX29" i="2"/>
  <c r="DY22" i="2"/>
  <c r="EA22" i="2" s="1"/>
  <c r="ED22" i="2" s="1"/>
  <c r="EF22" i="2" s="1"/>
  <c r="DX24" i="2"/>
  <c r="DX23" i="2"/>
  <c r="DW24" i="2"/>
  <c r="DW7" i="2"/>
  <c r="DY18" i="2"/>
  <c r="EA18" i="2" s="1"/>
  <c r="EB18" i="2" s="1"/>
  <c r="EK26" i="2"/>
  <c r="EI26" i="2"/>
  <c r="EN26" i="2"/>
  <c r="EO26" i="2" s="1"/>
  <c r="EB12" i="2"/>
  <c r="ED12" i="2"/>
  <c r="EF12" i="2" s="1"/>
  <c r="EB25" i="2"/>
  <c r="ED25" i="2"/>
  <c r="EF25" i="2" s="1"/>
  <c r="EN6" i="2"/>
  <c r="EO6" i="2" s="1"/>
  <c r="EK6" i="2"/>
  <c r="EI6" i="2"/>
  <c r="EB16" i="2"/>
  <c r="ED16" i="2"/>
  <c r="EF16" i="2" s="1"/>
  <c r="EB15" i="2"/>
  <c r="ED15" i="2"/>
  <c r="EF15" i="2" s="1"/>
  <c r="EB20" i="2"/>
  <c r="ED20" i="2"/>
  <c r="EF20" i="2" s="1"/>
  <c r="EB11" i="2"/>
  <c r="ED11" i="2"/>
  <c r="EF11" i="2" s="1"/>
  <c r="DX18" i="2"/>
  <c r="DJ43" i="2"/>
  <c r="DY21" i="2"/>
  <c r="EA21" i="2" s="1"/>
  <c r="DW21" i="2"/>
  <c r="DW27" i="2"/>
  <c r="DX27" i="2"/>
  <c r="DY27" i="2"/>
  <c r="EA27" i="2" s="1"/>
  <c r="DY8" i="2"/>
  <c r="EA8" i="2" s="1"/>
  <c r="DX8" i="2"/>
  <c r="DW8" i="2"/>
  <c r="DU37" i="2"/>
  <c r="DU40" i="2" s="1"/>
  <c r="DZ24" i="2" s="1"/>
  <c r="DZ37" i="2" s="1"/>
  <c r="EA42" i="2" s="1"/>
  <c r="DY13" i="2"/>
  <c r="EA13" i="2" s="1"/>
  <c r="DX13" i="2"/>
  <c r="DW13" i="2"/>
  <c r="DV37" i="2"/>
  <c r="ED23" i="2" l="1"/>
  <c r="EF23" i="2" s="1"/>
  <c r="EN23" i="2" s="1"/>
  <c r="EO23" i="2" s="1"/>
  <c r="ED14" i="2"/>
  <c r="EF14" i="2" s="1"/>
  <c r="EN14" i="2" s="1"/>
  <c r="EO14" i="2" s="1"/>
  <c r="ED9" i="2"/>
  <c r="EF9" i="2" s="1"/>
  <c r="EN9" i="2" s="1"/>
  <c r="EO9" i="2" s="1"/>
  <c r="ED28" i="2"/>
  <c r="EF28" i="2" s="1"/>
  <c r="EN28" i="2" s="1"/>
  <c r="EO28" i="2" s="1"/>
  <c r="ED5" i="2"/>
  <c r="EF5" i="2" s="1"/>
  <c r="EN5" i="2" s="1"/>
  <c r="EO5" i="2" s="1"/>
  <c r="EB29" i="2"/>
  <c r="EB22" i="2"/>
  <c r="EB17" i="2"/>
  <c r="ED19" i="2"/>
  <c r="EF19" i="2" s="1"/>
  <c r="EN19" i="2" s="1"/>
  <c r="EO19" i="2" s="1"/>
  <c r="EB7" i="2"/>
  <c r="EB4" i="2"/>
  <c r="ED10" i="2"/>
  <c r="EF10" i="2" s="1"/>
  <c r="EN10" i="2" s="1"/>
  <c r="EO10" i="2" s="1"/>
  <c r="ED18" i="2"/>
  <c r="EF18" i="2" s="1"/>
  <c r="EN18" i="2" s="1"/>
  <c r="EO18" i="2" s="1"/>
  <c r="DW37" i="2"/>
  <c r="EI22" i="2"/>
  <c r="EK22" i="2"/>
  <c r="EN22" i="2"/>
  <c r="EO22" i="2" s="1"/>
  <c r="EI12" i="2"/>
  <c r="EK12" i="2"/>
  <c r="EN12" i="2"/>
  <c r="EO12" i="2" s="1"/>
  <c r="EK15" i="2"/>
  <c r="EI15" i="2"/>
  <c r="EN15" i="2"/>
  <c r="EO15" i="2" s="1"/>
  <c r="EK25" i="2"/>
  <c r="EI25" i="2"/>
  <c r="EN25" i="2"/>
  <c r="EO25" i="2" s="1"/>
  <c r="EI20" i="2"/>
  <c r="EK20" i="2"/>
  <c r="EN20" i="2"/>
  <c r="EO20" i="2" s="1"/>
  <c r="EI29" i="2"/>
  <c r="EN29" i="2"/>
  <c r="EO29" i="2" s="1"/>
  <c r="EK29" i="2"/>
  <c r="EB13" i="2"/>
  <c r="ED13" i="2"/>
  <c r="EF13" i="2" s="1"/>
  <c r="EI4" i="2"/>
  <c r="EN4" i="2"/>
  <c r="EO4" i="2" s="1"/>
  <c r="EK4" i="2"/>
  <c r="EK16" i="2"/>
  <c r="EI16" i="2"/>
  <c r="EN16" i="2"/>
  <c r="EO16" i="2" s="1"/>
  <c r="EI7" i="2"/>
  <c r="EN7" i="2"/>
  <c r="EO7" i="2" s="1"/>
  <c r="EK7" i="2"/>
  <c r="EK17" i="2"/>
  <c r="EI17" i="2"/>
  <c r="EN17" i="2"/>
  <c r="EO17" i="2" s="1"/>
  <c r="EB8" i="2"/>
  <c r="ED8" i="2"/>
  <c r="EF8" i="2" s="1"/>
  <c r="EF3" i="2"/>
  <c r="EI11" i="2"/>
  <c r="EN11" i="2"/>
  <c r="EO11" i="2" s="1"/>
  <c r="EK11" i="2"/>
  <c r="EB27" i="2"/>
  <c r="ED27" i="2"/>
  <c r="EF27" i="2" s="1"/>
  <c r="EA39" i="2"/>
  <c r="ED21" i="2"/>
  <c r="EF21" i="2" s="1"/>
  <c r="EA24" i="2"/>
  <c r="EA37" i="2" s="1"/>
  <c r="DY37" i="2"/>
  <c r="EB3" i="2"/>
  <c r="EI23" i="2" l="1"/>
  <c r="EK23" i="2"/>
  <c r="EI14" i="2"/>
  <c r="EK14" i="2"/>
  <c r="EI9" i="2"/>
  <c r="EK9" i="2"/>
  <c r="EK28" i="2"/>
  <c r="EI28" i="2"/>
  <c r="EI19" i="2"/>
  <c r="EI10" i="2"/>
  <c r="EK19" i="2"/>
  <c r="EK5" i="2"/>
  <c r="EI5" i="2"/>
  <c r="EK10" i="2"/>
  <c r="EI18" i="2"/>
  <c r="EK18" i="2"/>
  <c r="EI3" i="2"/>
  <c r="EN3" i="2"/>
  <c r="EK3" i="2"/>
  <c r="EI27" i="2"/>
  <c r="EK27" i="2"/>
  <c r="EN27" i="2"/>
  <c r="EO27" i="2" s="1"/>
  <c r="EK8" i="2"/>
  <c r="EI8" i="2"/>
  <c r="EN8" i="2"/>
  <c r="EO8" i="2" s="1"/>
  <c r="EN13" i="2"/>
  <c r="EO13" i="2" s="1"/>
  <c r="EI13" i="2"/>
  <c r="EK13" i="2"/>
  <c r="EB24" i="2"/>
  <c r="EB43" i="2" s="1"/>
  <c r="ED24" i="2"/>
  <c r="EF24" i="2" s="1"/>
  <c r="EN21" i="2"/>
  <c r="EO21" i="2" s="1"/>
  <c r="EI21" i="2"/>
  <c r="EK21" i="2"/>
  <c r="EB39" i="2"/>
  <c r="EA40" i="2"/>
  <c r="EB37" i="2" l="1"/>
  <c r="EB41" i="2"/>
  <c r="ED37" i="2"/>
  <c r="EI24" i="2"/>
  <c r="EN24" i="2"/>
  <c r="EO24" i="2" s="1"/>
  <c r="EK24" i="2"/>
  <c r="EK37" i="2" s="1"/>
  <c r="EL21" i="2" s="1"/>
  <c r="EO3" i="2"/>
  <c r="EF37" i="2"/>
  <c r="EL8" i="2" l="1"/>
  <c r="EL13" i="2"/>
  <c r="EN37" i="2"/>
  <c r="EL3" i="2"/>
  <c r="EO37" i="2"/>
  <c r="EL26" i="2"/>
  <c r="EL6" i="2"/>
  <c r="EL11" i="2"/>
  <c r="EL7" i="2"/>
  <c r="EL10" i="2"/>
  <c r="EL17" i="2"/>
  <c r="EL4" i="2"/>
  <c r="EL15" i="2"/>
  <c r="EL23" i="2"/>
  <c r="EL12" i="2"/>
  <c r="EL22" i="2"/>
  <c r="EL19" i="2"/>
  <c r="EL14" i="2"/>
  <c r="EL5" i="2"/>
  <c r="EL18" i="2"/>
  <c r="EL20" i="2"/>
  <c r="EL28" i="2"/>
  <c r="EL29" i="2"/>
  <c r="EL9" i="2"/>
  <c r="EL25" i="2"/>
  <c r="EL16" i="2"/>
  <c r="EL24" i="2"/>
  <c r="EL27" i="2"/>
  <c r="EL37" i="2" l="1"/>
  <c r="EL40" i="2" s="1"/>
  <c r="EP10" i="2" s="1"/>
  <c r="EQ10" i="2" s="1"/>
  <c r="EP9" i="2" l="1"/>
  <c r="EQ9" i="2" s="1"/>
  <c r="ES9" i="2" s="1"/>
  <c r="EP29" i="2"/>
  <c r="EQ29" i="2" s="1"/>
  <c r="ET29" i="2" s="1"/>
  <c r="EV29" i="2" s="1"/>
  <c r="EP17" i="2"/>
  <c r="EQ17" i="2" s="1"/>
  <c r="ET17" i="2" s="1"/>
  <c r="EV17" i="2" s="1"/>
  <c r="EP5" i="2"/>
  <c r="EQ5" i="2" s="1"/>
  <c r="ER5" i="2" s="1"/>
  <c r="EP22" i="2"/>
  <c r="EQ22" i="2" s="1"/>
  <c r="ET22" i="2" s="1"/>
  <c r="EV22" i="2" s="1"/>
  <c r="EP8" i="2"/>
  <c r="EQ8" i="2" s="1"/>
  <c r="ET8" i="2" s="1"/>
  <c r="EV8" i="2" s="1"/>
  <c r="EP27" i="2"/>
  <c r="EQ27" i="2" s="1"/>
  <c r="ER27" i="2" s="1"/>
  <c r="EP7" i="2"/>
  <c r="EQ7" i="2" s="1"/>
  <c r="ES7" i="2" s="1"/>
  <c r="EP21" i="2"/>
  <c r="EQ21" i="2" s="1"/>
  <c r="ET21" i="2" s="1"/>
  <c r="EV21" i="2" s="1"/>
  <c r="EY21" i="2" s="1"/>
  <c r="FA21" i="2" s="1"/>
  <c r="EP20" i="2"/>
  <c r="EQ20" i="2" s="1"/>
  <c r="ET20" i="2" s="1"/>
  <c r="EV20" i="2" s="1"/>
  <c r="EP4" i="2"/>
  <c r="EQ4" i="2" s="1"/>
  <c r="ET4" i="2" s="1"/>
  <c r="EV4" i="2" s="1"/>
  <c r="EP19" i="2"/>
  <c r="EQ19" i="2" s="1"/>
  <c r="ET19" i="2" s="1"/>
  <c r="EV19" i="2" s="1"/>
  <c r="EP18" i="2"/>
  <c r="EQ18" i="2" s="1"/>
  <c r="ER18" i="2" s="1"/>
  <c r="EP16" i="2"/>
  <c r="EQ16" i="2" s="1"/>
  <c r="ET16" i="2" s="1"/>
  <c r="EV16" i="2" s="1"/>
  <c r="EP13" i="2"/>
  <c r="EQ13" i="2" s="1"/>
  <c r="ES13" i="2" s="1"/>
  <c r="EP6" i="2"/>
  <c r="EQ6" i="2" s="1"/>
  <c r="ER6" i="2" s="1"/>
  <c r="EP28" i="2"/>
  <c r="EQ28" i="2" s="1"/>
  <c r="ER28" i="2" s="1"/>
  <c r="EP15" i="2"/>
  <c r="EQ15" i="2" s="1"/>
  <c r="ER15" i="2" s="1"/>
  <c r="EP12" i="2"/>
  <c r="EQ12" i="2" s="1"/>
  <c r="ER12" i="2" s="1"/>
  <c r="ER10" i="2"/>
  <c r="ET10" i="2"/>
  <c r="EV10" i="2" s="1"/>
  <c r="ES10" i="2"/>
  <c r="EP11" i="2"/>
  <c r="EQ11" i="2" s="1"/>
  <c r="EP3" i="2"/>
  <c r="EP23" i="2"/>
  <c r="EQ23" i="2" s="1"/>
  <c r="EP25" i="2"/>
  <c r="EQ25" i="2" s="1"/>
  <c r="EP14" i="2"/>
  <c r="EQ14" i="2" s="1"/>
  <c r="EP26" i="2"/>
  <c r="EQ26" i="2" s="1"/>
  <c r="EP24" i="2"/>
  <c r="EQ24" i="2" s="1"/>
  <c r="ER22" i="2" l="1"/>
  <c r="ER20" i="2"/>
  <c r="ER29" i="2"/>
  <c r="ES20" i="2"/>
  <c r="ES29" i="2"/>
  <c r="ER17" i="2"/>
  <c r="ES5" i="2"/>
  <c r="ES17" i="2"/>
  <c r="ER19" i="2"/>
  <c r="ET5" i="2"/>
  <c r="EV5" i="2" s="1"/>
  <c r="EW5" i="2" s="1"/>
  <c r="ET18" i="2"/>
  <c r="EV18" i="2" s="1"/>
  <c r="EW18" i="2" s="1"/>
  <c r="ER9" i="2"/>
  <c r="ET9" i="2"/>
  <c r="EV9" i="2" s="1"/>
  <c r="EW9" i="2" s="1"/>
  <c r="ER21" i="2"/>
  <c r="ER4" i="2"/>
  <c r="ET15" i="2"/>
  <c r="EV15" i="2" s="1"/>
  <c r="EY15" i="2" s="1"/>
  <c r="FA15" i="2" s="1"/>
  <c r="ES4" i="2"/>
  <c r="ES22" i="2"/>
  <c r="ER8" i="2"/>
  <c r="ES8" i="2"/>
  <c r="ES19" i="2"/>
  <c r="ER16" i="2"/>
  <c r="ES18" i="2"/>
  <c r="ET7" i="2"/>
  <c r="EV7" i="2" s="1"/>
  <c r="EY7" i="2" s="1"/>
  <c r="FA7" i="2" s="1"/>
  <c r="ES16" i="2"/>
  <c r="ER13" i="2"/>
  <c r="ET13" i="2"/>
  <c r="EV13" i="2" s="1"/>
  <c r="EW13" i="2" s="1"/>
  <c r="ES27" i="2"/>
  <c r="ET6" i="2"/>
  <c r="EV6" i="2" s="1"/>
  <c r="EY6" i="2" s="1"/>
  <c r="FA6" i="2" s="1"/>
  <c r="FF6" i="2" s="1"/>
  <c r="ET27" i="2"/>
  <c r="EV27" i="2" s="1"/>
  <c r="EW27" i="2" s="1"/>
  <c r="ER7" i="2"/>
  <c r="EW10" i="2"/>
  <c r="EY10" i="2"/>
  <c r="FA10" i="2" s="1"/>
  <c r="EW8" i="2"/>
  <c r="EY8" i="2"/>
  <c r="FA8" i="2" s="1"/>
  <c r="EW19" i="2"/>
  <c r="EY19" i="2"/>
  <c r="FA19" i="2" s="1"/>
  <c r="EW22" i="2"/>
  <c r="EY22" i="2"/>
  <c r="FA22" i="2" s="1"/>
  <c r="EW16" i="2"/>
  <c r="EY16" i="2"/>
  <c r="FA16" i="2" s="1"/>
  <c r="EW29" i="2"/>
  <c r="EY29" i="2"/>
  <c r="FA29" i="2" s="1"/>
  <c r="EW4" i="2"/>
  <c r="EY4" i="2"/>
  <c r="FA4" i="2" s="1"/>
  <c r="EW20" i="2"/>
  <c r="EY20" i="2"/>
  <c r="FA20" i="2" s="1"/>
  <c r="EW17" i="2"/>
  <c r="EY17" i="2"/>
  <c r="FA17" i="2" s="1"/>
  <c r="FI21" i="2"/>
  <c r="FJ21" i="2" s="1"/>
  <c r="FD21" i="2"/>
  <c r="FF21" i="2"/>
  <c r="ES12" i="2"/>
  <c r="ET12" i="2"/>
  <c r="EV12" i="2" s="1"/>
  <c r="ES15" i="2"/>
  <c r="ET28" i="2"/>
  <c r="EV28" i="2" s="1"/>
  <c r="ES28" i="2"/>
  <c r="EE43" i="2"/>
  <c r="ET25" i="2"/>
  <c r="EV25" i="2" s="1"/>
  <c r="ES25" i="2"/>
  <c r="ER25" i="2"/>
  <c r="ET23" i="2"/>
  <c r="EV23" i="2" s="1"/>
  <c r="ER23" i="2"/>
  <c r="ES23" i="2"/>
  <c r="ET11" i="2"/>
  <c r="EV11" i="2" s="1"/>
  <c r="ES11" i="2"/>
  <c r="ER11" i="2"/>
  <c r="ET24" i="2"/>
  <c r="ER24" i="2"/>
  <c r="ES24" i="2"/>
  <c r="ER26" i="2"/>
  <c r="ET26" i="2"/>
  <c r="EV26" i="2" s="1"/>
  <c r="EY26" i="2" s="1"/>
  <c r="FA26" i="2" s="1"/>
  <c r="ET14" i="2"/>
  <c r="EV14" i="2" s="1"/>
  <c r="ES14" i="2"/>
  <c r="ER14" i="2"/>
  <c r="EP37" i="2"/>
  <c r="EP40" i="2" s="1"/>
  <c r="EQ3" i="2"/>
  <c r="EW15" i="2" l="1"/>
  <c r="EY5" i="2"/>
  <c r="FA5" i="2" s="1"/>
  <c r="FF5" i="2" s="1"/>
  <c r="EY9" i="2"/>
  <c r="FA9" i="2" s="1"/>
  <c r="FI9" i="2" s="1"/>
  <c r="FJ9" i="2" s="1"/>
  <c r="EW7" i="2"/>
  <c r="EY18" i="2"/>
  <c r="FA18" i="2" s="1"/>
  <c r="FD18" i="2" s="1"/>
  <c r="FI6" i="2"/>
  <c r="FJ6" i="2" s="1"/>
  <c r="FD6" i="2"/>
  <c r="EY27" i="2"/>
  <c r="FA27" i="2" s="1"/>
  <c r="FD27" i="2" s="1"/>
  <c r="EY13" i="2"/>
  <c r="FA13" i="2" s="1"/>
  <c r="FD13" i="2" s="1"/>
  <c r="FD20" i="2"/>
  <c r="FI20" i="2"/>
  <c r="FJ20" i="2" s="1"/>
  <c r="FF20" i="2"/>
  <c r="FD4" i="2"/>
  <c r="FI4" i="2"/>
  <c r="FJ4" i="2" s="1"/>
  <c r="FF4" i="2"/>
  <c r="FF16" i="2"/>
  <c r="FD16" i="2"/>
  <c r="FI16" i="2"/>
  <c r="FJ16" i="2" s="1"/>
  <c r="FD22" i="2"/>
  <c r="FI22" i="2"/>
  <c r="FJ22" i="2" s="1"/>
  <c r="FF22" i="2"/>
  <c r="FI8" i="2"/>
  <c r="FJ8" i="2" s="1"/>
  <c r="FF8" i="2"/>
  <c r="FD8" i="2"/>
  <c r="EW11" i="2"/>
  <c r="EY11" i="2"/>
  <c r="FA11" i="2" s="1"/>
  <c r="EW28" i="2"/>
  <c r="EY28" i="2"/>
  <c r="FA28" i="2" s="1"/>
  <c r="FD19" i="2"/>
  <c r="FF19" i="2"/>
  <c r="FI19" i="2"/>
  <c r="FJ19" i="2" s="1"/>
  <c r="FD10" i="2"/>
  <c r="FF10" i="2"/>
  <c r="FI10" i="2"/>
  <c r="FJ10" i="2" s="1"/>
  <c r="EW25" i="2"/>
  <c r="EY25" i="2"/>
  <c r="FA25" i="2" s="1"/>
  <c r="FD15" i="2"/>
  <c r="FI15" i="2"/>
  <c r="FJ15" i="2" s="1"/>
  <c r="FF15" i="2"/>
  <c r="FF26" i="2"/>
  <c r="FD26" i="2"/>
  <c r="FI26" i="2"/>
  <c r="FJ26" i="2" s="1"/>
  <c r="EW23" i="2"/>
  <c r="EY23" i="2"/>
  <c r="FA23" i="2" s="1"/>
  <c r="EW12" i="2"/>
  <c r="EY12" i="2"/>
  <c r="FA12" i="2" s="1"/>
  <c r="FD17" i="2"/>
  <c r="FF17" i="2"/>
  <c r="FI17" i="2"/>
  <c r="FJ17" i="2" s="1"/>
  <c r="FD29" i="2"/>
  <c r="FI29" i="2"/>
  <c r="FJ29" i="2" s="1"/>
  <c r="FF29" i="2"/>
  <c r="FD7" i="2"/>
  <c r="FI7" i="2"/>
  <c r="FJ7" i="2" s="1"/>
  <c r="FF7" i="2"/>
  <c r="EW14" i="2"/>
  <c r="EY14" i="2"/>
  <c r="FA14" i="2" s="1"/>
  <c r="EQ37" i="2"/>
  <c r="ET3" i="2"/>
  <c r="ER3" i="2"/>
  <c r="ER37" i="2" s="1"/>
  <c r="ES3" i="2"/>
  <c r="EV39" i="2"/>
  <c r="EU24" i="2"/>
  <c r="EU37" i="2" s="1"/>
  <c r="EV42" i="2" s="1"/>
  <c r="FI18" i="2" l="1"/>
  <c r="FJ18" i="2" s="1"/>
  <c r="FF9" i="2"/>
  <c r="FD9" i="2"/>
  <c r="FI27" i="2"/>
  <c r="FJ27" i="2" s="1"/>
  <c r="FF27" i="2"/>
  <c r="FF13" i="2"/>
  <c r="FD5" i="2"/>
  <c r="FI5" i="2"/>
  <c r="FJ5" i="2" s="1"/>
  <c r="FF18" i="2"/>
  <c r="FI13" i="2"/>
  <c r="FJ13" i="2" s="1"/>
  <c r="FD12" i="2"/>
  <c r="FF12" i="2"/>
  <c r="FI12" i="2"/>
  <c r="FJ12" i="2" s="1"/>
  <c r="FD11" i="2"/>
  <c r="FF11" i="2"/>
  <c r="FI11" i="2"/>
  <c r="FJ11" i="2" s="1"/>
  <c r="FD23" i="2"/>
  <c r="FF23" i="2"/>
  <c r="FI23" i="2"/>
  <c r="FJ23" i="2" s="1"/>
  <c r="FF25" i="2"/>
  <c r="FD25" i="2"/>
  <c r="FI25" i="2"/>
  <c r="FJ25" i="2" s="1"/>
  <c r="FD14" i="2"/>
  <c r="FF14" i="2"/>
  <c r="FI14" i="2"/>
  <c r="FJ14" i="2" s="1"/>
  <c r="FD28" i="2"/>
  <c r="FF28" i="2"/>
  <c r="FI28" i="2"/>
  <c r="FJ28" i="2" s="1"/>
  <c r="EV24" i="2"/>
  <c r="ET37" i="2"/>
  <c r="EV3" i="2"/>
  <c r="EY3" i="2" s="1"/>
  <c r="FA3" i="2" l="1"/>
  <c r="EW24" i="2"/>
  <c r="EY24" i="2"/>
  <c r="FA24" i="2" s="1"/>
  <c r="EW3" i="2"/>
  <c r="EV37" i="2"/>
  <c r="EY37" i="2" l="1"/>
  <c r="FD24" i="2"/>
  <c r="FF24" i="2"/>
  <c r="FI24" i="2"/>
  <c r="FJ24" i="2" s="1"/>
  <c r="FD3" i="2"/>
  <c r="FA37" i="2"/>
  <c r="FF3" i="2"/>
  <c r="FI3" i="2"/>
  <c r="EW39" i="2"/>
  <c r="EV40" i="2"/>
  <c r="EW43" i="2"/>
  <c r="EW41" i="2"/>
  <c r="EW37" i="2"/>
  <c r="FJ3" i="2" l="1"/>
  <c r="FI37" i="2"/>
  <c r="FF37" i="2"/>
  <c r="FG21" i="2" l="1"/>
  <c r="FG6" i="2"/>
  <c r="FG18" i="2"/>
  <c r="FG16" i="2"/>
  <c r="FG7" i="2"/>
  <c r="FG20" i="2"/>
  <c r="FG10" i="2"/>
  <c r="FG8" i="2"/>
  <c r="FG29" i="2"/>
  <c r="FG15" i="2"/>
  <c r="FG17" i="2"/>
  <c r="FG13" i="2"/>
  <c r="FG22" i="2"/>
  <c r="FG27" i="2"/>
  <c r="FG9" i="2"/>
  <c r="FG26" i="2"/>
  <c r="FG4" i="2"/>
  <c r="FG5" i="2"/>
  <c r="FG19" i="2"/>
  <c r="FG25" i="2"/>
  <c r="FG11" i="2"/>
  <c r="FG23" i="2"/>
  <c r="FG14" i="2"/>
  <c r="FG12" i="2"/>
  <c r="FG28" i="2"/>
  <c r="FG3" i="2"/>
  <c r="FJ37" i="2"/>
  <c r="FG24" i="2"/>
  <c r="FG37" i="2" l="1"/>
  <c r="FG40" i="2" s="1"/>
  <c r="FK6" i="2" s="1"/>
  <c r="FL6" i="2" s="1"/>
  <c r="FK16" i="2" l="1"/>
  <c r="FL16" i="2" s="1"/>
  <c r="FN16" i="2" s="1"/>
  <c r="FK25" i="2"/>
  <c r="FL25" i="2" s="1"/>
  <c r="FN25" i="2" s="1"/>
  <c r="FK27" i="2"/>
  <c r="FL27" i="2" s="1"/>
  <c r="FM27" i="2" s="1"/>
  <c r="FK3" i="2"/>
  <c r="FL3" i="2" s="1"/>
  <c r="FK17" i="2"/>
  <c r="FL17" i="2" s="1"/>
  <c r="FN17" i="2" s="1"/>
  <c r="FK10" i="2"/>
  <c r="FL10" i="2" s="1"/>
  <c r="FO10" i="2" s="1"/>
  <c r="FQ10" i="2" s="1"/>
  <c r="FK15" i="2"/>
  <c r="FL15" i="2" s="1"/>
  <c r="FO15" i="2" s="1"/>
  <c r="FQ15" i="2" s="1"/>
  <c r="FO6" i="2"/>
  <c r="FQ6" i="2" s="1"/>
  <c r="FT6" i="2" s="1"/>
  <c r="FV6" i="2" s="1"/>
  <c r="FM6" i="2"/>
  <c r="FK18" i="2"/>
  <c r="FL18" i="2" s="1"/>
  <c r="FK21" i="2"/>
  <c r="FK24" i="2"/>
  <c r="FL24" i="2" s="1"/>
  <c r="FK20" i="2"/>
  <c r="FL20" i="2" s="1"/>
  <c r="FK7" i="2"/>
  <c r="FL7" i="2" s="1"/>
  <c r="FK9" i="2"/>
  <c r="FL9" i="2" s="1"/>
  <c r="FK19" i="2"/>
  <c r="FL19" i="2" s="1"/>
  <c r="FK14" i="2"/>
  <c r="FL14" i="2" s="1"/>
  <c r="FK4" i="2"/>
  <c r="FL4" i="2" s="1"/>
  <c r="FK13" i="2"/>
  <c r="FL13" i="2" s="1"/>
  <c r="FK12" i="2"/>
  <c r="FL12" i="2" s="1"/>
  <c r="FK28" i="2"/>
  <c r="FL28" i="2" s="1"/>
  <c r="FK5" i="2"/>
  <c r="FL5" i="2" s="1"/>
  <c r="FK26" i="2"/>
  <c r="FL26" i="2" s="1"/>
  <c r="FK29" i="2"/>
  <c r="FL29" i="2" s="1"/>
  <c r="FK11" i="2"/>
  <c r="FL11" i="2" s="1"/>
  <c r="FK23" i="2"/>
  <c r="FL23" i="2" s="1"/>
  <c r="FK22" i="2"/>
  <c r="FL22" i="2" s="1"/>
  <c r="FK8" i="2"/>
  <c r="FL8" i="2" s="1"/>
  <c r="FO25" i="2" l="1"/>
  <c r="FQ25" i="2" s="1"/>
  <c r="FR25" i="2" s="1"/>
  <c r="FM25" i="2"/>
  <c r="FM16" i="2"/>
  <c r="FO16" i="2"/>
  <c r="FQ16" i="2" s="1"/>
  <c r="FR16" i="2" s="1"/>
  <c r="FR10" i="2"/>
  <c r="FT10" i="2"/>
  <c r="FV10" i="2" s="1"/>
  <c r="FR15" i="2"/>
  <c r="FT15" i="2"/>
  <c r="FV15" i="2" s="1"/>
  <c r="FN27" i="2"/>
  <c r="FY6" i="2"/>
  <c r="GD6" i="2"/>
  <c r="GE6" i="2" s="1"/>
  <c r="GA6" i="2"/>
  <c r="FO27" i="2"/>
  <c r="FQ27" i="2" s="1"/>
  <c r="FO17" i="2"/>
  <c r="FQ17" i="2" s="1"/>
  <c r="FN10" i="2"/>
  <c r="FM10" i="2"/>
  <c r="FM17" i="2"/>
  <c r="FM15" i="2"/>
  <c r="FN15" i="2"/>
  <c r="FO24" i="2"/>
  <c r="FM24" i="2"/>
  <c r="FN24" i="2"/>
  <c r="FO4" i="2"/>
  <c r="FQ4" i="2" s="1"/>
  <c r="FM4" i="2"/>
  <c r="FN4" i="2"/>
  <c r="FM18" i="2"/>
  <c r="FO18" i="2"/>
  <c r="FQ18" i="2" s="1"/>
  <c r="FN18" i="2"/>
  <c r="FO23" i="2"/>
  <c r="FQ23" i="2" s="1"/>
  <c r="FM23" i="2"/>
  <c r="FN23" i="2"/>
  <c r="FL21" i="2"/>
  <c r="FL37" i="2" s="1"/>
  <c r="EZ43" i="2"/>
  <c r="FN9" i="2"/>
  <c r="FM9" i="2"/>
  <c r="FO9" i="2"/>
  <c r="FQ9" i="2" s="1"/>
  <c r="FK37" i="2"/>
  <c r="FK40" i="2" s="1"/>
  <c r="FM29" i="2"/>
  <c r="FO29" i="2"/>
  <c r="FQ29" i="2" s="1"/>
  <c r="FN29" i="2"/>
  <c r="FO5" i="2"/>
  <c r="FQ5" i="2" s="1"/>
  <c r="FN5" i="2"/>
  <c r="FM5" i="2"/>
  <c r="FN19" i="2"/>
  <c r="FO19" i="2"/>
  <c r="FQ19" i="2" s="1"/>
  <c r="FM19" i="2"/>
  <c r="FO7" i="2"/>
  <c r="FQ7" i="2" s="1"/>
  <c r="FN7" i="2"/>
  <c r="FM7" i="2"/>
  <c r="FN11" i="2"/>
  <c r="FO11" i="2"/>
  <c r="FQ11" i="2" s="1"/>
  <c r="FM11" i="2"/>
  <c r="FM26" i="2"/>
  <c r="FO26" i="2"/>
  <c r="FQ26" i="2" s="1"/>
  <c r="FT26" i="2" s="1"/>
  <c r="FV26" i="2" s="1"/>
  <c r="FM12" i="2"/>
  <c r="FO12" i="2"/>
  <c r="FQ12" i="2" s="1"/>
  <c r="FN12" i="2"/>
  <c r="FM20" i="2"/>
  <c r="FO20" i="2"/>
  <c r="FQ20" i="2" s="1"/>
  <c r="FN20" i="2"/>
  <c r="FO14" i="2"/>
  <c r="FQ14" i="2" s="1"/>
  <c r="FN14" i="2"/>
  <c r="FM14" i="2"/>
  <c r="FN28" i="2"/>
  <c r="FO28" i="2"/>
  <c r="FQ28" i="2" s="1"/>
  <c r="FM28" i="2"/>
  <c r="FO8" i="2"/>
  <c r="FQ8" i="2" s="1"/>
  <c r="FN8" i="2"/>
  <c r="FM8" i="2"/>
  <c r="FO22" i="2"/>
  <c r="FQ22" i="2" s="1"/>
  <c r="FM22" i="2"/>
  <c r="FN22" i="2"/>
  <c r="FO13" i="2"/>
  <c r="FQ13" i="2" s="1"/>
  <c r="FN13" i="2"/>
  <c r="FM13" i="2"/>
  <c r="FN3" i="2"/>
  <c r="FO3" i="2"/>
  <c r="FM3" i="2"/>
  <c r="FT25" i="2" l="1"/>
  <c r="FV25" i="2" s="1"/>
  <c r="GD25" i="2" s="1"/>
  <c r="GE25" i="2" s="1"/>
  <c r="FT16" i="2"/>
  <c r="FV16" i="2" s="1"/>
  <c r="FY16" i="2" s="1"/>
  <c r="FR7" i="2"/>
  <c r="FT7" i="2"/>
  <c r="FV7" i="2" s="1"/>
  <c r="FR29" i="2"/>
  <c r="FT29" i="2"/>
  <c r="FV29" i="2" s="1"/>
  <c r="FR4" i="2"/>
  <c r="FT4" i="2"/>
  <c r="FV4" i="2" s="1"/>
  <c r="FR23" i="2"/>
  <c r="FT23" i="2"/>
  <c r="FV23" i="2" s="1"/>
  <c r="FR27" i="2"/>
  <c r="FT27" i="2"/>
  <c r="FV27" i="2" s="1"/>
  <c r="GA15" i="2"/>
  <c r="FY15" i="2"/>
  <c r="GD15" i="2"/>
  <c r="GE15" i="2" s="1"/>
  <c r="FR9" i="2"/>
  <c r="FT9" i="2"/>
  <c r="FV9" i="2" s="1"/>
  <c r="FY26" i="2"/>
  <c r="GD26" i="2"/>
  <c r="GE26" i="2" s="1"/>
  <c r="GA26" i="2"/>
  <c r="FR8" i="2"/>
  <c r="FT8" i="2"/>
  <c r="FV8" i="2" s="1"/>
  <c r="FR20" i="2"/>
  <c r="FT20" i="2"/>
  <c r="FV20" i="2" s="1"/>
  <c r="FR11" i="2"/>
  <c r="FT11" i="2"/>
  <c r="FV11" i="2" s="1"/>
  <c r="FR18" i="2"/>
  <c r="FT18" i="2"/>
  <c r="FV18" i="2" s="1"/>
  <c r="FR14" i="2"/>
  <c r="FT14" i="2"/>
  <c r="FV14" i="2" s="1"/>
  <c r="FR19" i="2"/>
  <c r="FT19" i="2"/>
  <c r="FV19" i="2" s="1"/>
  <c r="FR13" i="2"/>
  <c r="FT13" i="2"/>
  <c r="FV13" i="2" s="1"/>
  <c r="FR28" i="2"/>
  <c r="FT28" i="2"/>
  <c r="FV28" i="2" s="1"/>
  <c r="FR5" i="2"/>
  <c r="FT5" i="2"/>
  <c r="FV5" i="2" s="1"/>
  <c r="FY10" i="2"/>
  <c r="GA10" i="2"/>
  <c r="GD10" i="2"/>
  <c r="GE10" i="2" s="1"/>
  <c r="FR22" i="2"/>
  <c r="FT22" i="2"/>
  <c r="FV22" i="2" s="1"/>
  <c r="FR17" i="2"/>
  <c r="FT17" i="2"/>
  <c r="FV17" i="2" s="1"/>
  <c r="FR12" i="2"/>
  <c r="FT12" i="2"/>
  <c r="FV12" i="2" s="1"/>
  <c r="FO21" i="2"/>
  <c r="FQ21" i="2" s="1"/>
  <c r="FM21" i="2"/>
  <c r="FM37" i="2" s="1"/>
  <c r="FQ3" i="2"/>
  <c r="FT3" i="2" s="1"/>
  <c r="FP24" i="2"/>
  <c r="FP37" i="2" s="1"/>
  <c r="FQ42" i="2" s="1"/>
  <c r="FY25" i="2" l="1"/>
  <c r="GA25" i="2"/>
  <c r="GD16" i="2"/>
  <c r="GE16" i="2" s="1"/>
  <c r="GA16" i="2"/>
  <c r="GD13" i="2"/>
  <c r="GE13" i="2" s="1"/>
  <c r="FY13" i="2"/>
  <c r="GA13" i="2"/>
  <c r="FY9" i="2"/>
  <c r="GD9" i="2"/>
  <c r="GE9" i="2" s="1"/>
  <c r="GA9" i="2"/>
  <c r="FY23" i="2"/>
  <c r="GA23" i="2"/>
  <c r="GD23" i="2"/>
  <c r="GE23" i="2" s="1"/>
  <c r="GA8" i="2"/>
  <c r="FY8" i="2"/>
  <c r="GD8" i="2"/>
  <c r="GE8" i="2" s="1"/>
  <c r="FY19" i="2"/>
  <c r="GA19" i="2"/>
  <c r="GD19" i="2"/>
  <c r="GE19" i="2" s="1"/>
  <c r="GD4" i="2"/>
  <c r="GE4" i="2" s="1"/>
  <c r="FY4" i="2"/>
  <c r="GA4" i="2"/>
  <c r="FV3" i="2"/>
  <c r="FY18" i="2"/>
  <c r="GA18" i="2"/>
  <c r="GD18" i="2"/>
  <c r="GE18" i="2" s="1"/>
  <c r="FY14" i="2"/>
  <c r="GD14" i="2"/>
  <c r="GE14" i="2" s="1"/>
  <c r="GA14" i="2"/>
  <c r="FY29" i="2"/>
  <c r="GD29" i="2"/>
  <c r="GE29" i="2" s="1"/>
  <c r="GA29" i="2"/>
  <c r="FY17" i="2"/>
  <c r="GD17" i="2"/>
  <c r="GE17" i="2" s="1"/>
  <c r="GA17" i="2"/>
  <c r="FQ39" i="2"/>
  <c r="FT21" i="2"/>
  <c r="FV21" i="2" s="1"/>
  <c r="FY11" i="2"/>
  <c r="GA11" i="2"/>
  <c r="GD11" i="2"/>
  <c r="GE11" i="2" s="1"/>
  <c r="FY27" i="2"/>
  <c r="GA27" i="2"/>
  <c r="GD27" i="2"/>
  <c r="GE27" i="2" s="1"/>
  <c r="GA7" i="2"/>
  <c r="FY7" i="2"/>
  <c r="GD7" i="2"/>
  <c r="GE7" i="2" s="1"/>
  <c r="GD12" i="2"/>
  <c r="GE12" i="2" s="1"/>
  <c r="FY12" i="2"/>
  <c r="GA12" i="2"/>
  <c r="GD5" i="2"/>
  <c r="GE5" i="2" s="1"/>
  <c r="FY5" i="2"/>
  <c r="GA5" i="2"/>
  <c r="FY22" i="2"/>
  <c r="GD22" i="2"/>
  <c r="GE22" i="2" s="1"/>
  <c r="GA22" i="2"/>
  <c r="FY28" i="2"/>
  <c r="GD28" i="2"/>
  <c r="GE28" i="2" s="1"/>
  <c r="GA28" i="2"/>
  <c r="GD20" i="2"/>
  <c r="GE20" i="2" s="1"/>
  <c r="FY20" i="2"/>
  <c r="GA20" i="2"/>
  <c r="FO37" i="2"/>
  <c r="FQ24" i="2"/>
  <c r="FR3" i="2"/>
  <c r="FR24" i="2" l="1"/>
  <c r="FR43" i="2" s="1"/>
  <c r="FT24" i="2"/>
  <c r="FY3" i="2"/>
  <c r="GA3" i="2"/>
  <c r="GD3" i="2"/>
  <c r="GD21" i="2"/>
  <c r="GE21" i="2" s="1"/>
  <c r="FY21" i="2"/>
  <c r="GA21" i="2"/>
  <c r="FQ37" i="2"/>
  <c r="FR39" i="2" s="1"/>
  <c r="FR37" i="2" l="1"/>
  <c r="FR41" i="2"/>
  <c r="GE3" i="2"/>
  <c r="FV24" i="2"/>
  <c r="FT37" i="2"/>
  <c r="FQ40" i="2"/>
  <c r="FY24" i="2" l="1"/>
  <c r="GA24" i="2"/>
  <c r="GD24" i="2"/>
  <c r="FV37" i="2"/>
  <c r="GE24" i="2" l="1"/>
  <c r="GD37" i="2"/>
  <c r="GA37" i="2"/>
  <c r="GE37" i="2" l="1"/>
  <c r="GB6" i="2"/>
  <c r="GB10" i="2"/>
  <c r="GB26" i="2"/>
  <c r="GB25" i="2"/>
  <c r="GB16" i="2"/>
  <c r="GB15" i="2"/>
  <c r="GB8" i="2"/>
  <c r="GB4" i="2"/>
  <c r="GB18" i="2"/>
  <c r="GB12" i="2"/>
  <c r="GB19" i="2"/>
  <c r="GB7" i="2"/>
  <c r="GB28" i="2"/>
  <c r="GB5" i="2"/>
  <c r="GB14" i="2"/>
  <c r="GB29" i="2"/>
  <c r="GB22" i="2"/>
  <c r="GB11" i="2"/>
  <c r="GB13" i="2"/>
  <c r="GB9" i="2"/>
  <c r="GB27" i="2"/>
  <c r="GB20" i="2"/>
  <c r="GB23" i="2"/>
  <c r="GB17" i="2"/>
  <c r="GB21" i="2"/>
  <c r="GB3" i="2"/>
  <c r="GB24" i="2"/>
  <c r="GB37" i="2" l="1"/>
  <c r="GB40" i="2" s="1"/>
  <c r="GF26" i="2" s="1"/>
  <c r="GG26" i="2" s="1"/>
  <c r="GF24" i="2" l="1"/>
  <c r="GG24" i="2" s="1"/>
  <c r="GH24" i="2" s="1"/>
  <c r="GF4" i="2"/>
  <c r="GG4" i="2" s="1"/>
  <c r="GH4" i="2" s="1"/>
  <c r="GF29" i="2"/>
  <c r="GG29" i="2" s="1"/>
  <c r="GJ29" i="2" s="1"/>
  <c r="GL29" i="2" s="1"/>
  <c r="GF9" i="2"/>
  <c r="GG9" i="2" s="1"/>
  <c r="GI9" i="2" s="1"/>
  <c r="GF20" i="2"/>
  <c r="GG20" i="2" s="1"/>
  <c r="GI20" i="2" s="1"/>
  <c r="GF21" i="2"/>
  <c r="GF10" i="2"/>
  <c r="GG10" i="2" s="1"/>
  <c r="GJ10" i="2" s="1"/>
  <c r="GL10" i="2" s="1"/>
  <c r="GF3" i="2"/>
  <c r="GG3" i="2" s="1"/>
  <c r="GF23" i="2"/>
  <c r="GG23" i="2" s="1"/>
  <c r="GH23" i="2" s="1"/>
  <c r="GF22" i="2"/>
  <c r="GG22" i="2" s="1"/>
  <c r="GJ22" i="2" s="1"/>
  <c r="GL22" i="2" s="1"/>
  <c r="GF19" i="2"/>
  <c r="GG19" i="2" s="1"/>
  <c r="GJ19" i="2" s="1"/>
  <c r="GL19" i="2" s="1"/>
  <c r="GF11" i="2"/>
  <c r="GG11" i="2" s="1"/>
  <c r="GJ11" i="2" s="1"/>
  <c r="GL11" i="2" s="1"/>
  <c r="GF28" i="2"/>
  <c r="GG28" i="2" s="1"/>
  <c r="GH28" i="2" s="1"/>
  <c r="GF6" i="2"/>
  <c r="GG6" i="2" s="1"/>
  <c r="GH6" i="2" s="1"/>
  <c r="GH26" i="2"/>
  <c r="GJ26" i="2"/>
  <c r="GL26" i="2" s="1"/>
  <c r="GO26" i="2" s="1"/>
  <c r="GQ26" i="2" s="1"/>
  <c r="GF16" i="2"/>
  <c r="GG16" i="2" s="1"/>
  <c r="GF5" i="2"/>
  <c r="GG5" i="2" s="1"/>
  <c r="GF12" i="2"/>
  <c r="GG12" i="2" s="1"/>
  <c r="GF17" i="2"/>
  <c r="GG17" i="2" s="1"/>
  <c r="GF14" i="2"/>
  <c r="GG14" i="2" s="1"/>
  <c r="GF25" i="2"/>
  <c r="GG25" i="2" s="1"/>
  <c r="GF18" i="2"/>
  <c r="GG18" i="2" s="1"/>
  <c r="GF13" i="2"/>
  <c r="GG13" i="2" s="1"/>
  <c r="GF27" i="2"/>
  <c r="GG27" i="2" s="1"/>
  <c r="GF8" i="2"/>
  <c r="GG8" i="2" s="1"/>
  <c r="GF7" i="2"/>
  <c r="GG7" i="2" s="1"/>
  <c r="GF15" i="2"/>
  <c r="GG15" i="2" s="1"/>
  <c r="GI4" i="2" l="1"/>
  <c r="GJ4" i="2"/>
  <c r="GL4" i="2" s="1"/>
  <c r="GO4" i="2" s="1"/>
  <c r="GQ4" i="2" s="1"/>
  <c r="GI23" i="2"/>
  <c r="GJ23" i="2"/>
  <c r="GL23" i="2" s="1"/>
  <c r="GO23" i="2" s="1"/>
  <c r="GQ23" i="2" s="1"/>
  <c r="GI24" i="2"/>
  <c r="GJ24" i="2"/>
  <c r="GH29" i="2"/>
  <c r="GH19" i="2"/>
  <c r="FU43" i="2"/>
  <c r="GI22" i="2"/>
  <c r="GH22" i="2"/>
  <c r="GM10" i="2"/>
  <c r="GO10" i="2"/>
  <c r="GQ10" i="2" s="1"/>
  <c r="GM19" i="2"/>
  <c r="GO19" i="2"/>
  <c r="GQ19" i="2" s="1"/>
  <c r="GM29" i="2"/>
  <c r="GO29" i="2"/>
  <c r="GQ29" i="2" s="1"/>
  <c r="GM11" i="2"/>
  <c r="GO11" i="2"/>
  <c r="GQ11" i="2" s="1"/>
  <c r="GM22" i="2"/>
  <c r="GO22" i="2"/>
  <c r="GQ22" i="2" s="1"/>
  <c r="GT26" i="2"/>
  <c r="GY26" i="2"/>
  <c r="GZ26" i="2" s="1"/>
  <c r="GV26" i="2"/>
  <c r="GJ20" i="2"/>
  <c r="GL20" i="2" s="1"/>
  <c r="GI29" i="2"/>
  <c r="GH10" i="2"/>
  <c r="GH11" i="2"/>
  <c r="GJ9" i="2"/>
  <c r="GL9" i="2" s="1"/>
  <c r="GH9" i="2"/>
  <c r="GI28" i="2"/>
  <c r="GJ28" i="2"/>
  <c r="GL28" i="2" s="1"/>
  <c r="GI10" i="2"/>
  <c r="GI19" i="2"/>
  <c r="GG21" i="2"/>
  <c r="GG37" i="2" s="1"/>
  <c r="GJ6" i="2"/>
  <c r="GL6" i="2" s="1"/>
  <c r="GO6" i="2" s="1"/>
  <c r="GQ6" i="2" s="1"/>
  <c r="GI11" i="2"/>
  <c r="GH20" i="2"/>
  <c r="GJ3" i="2"/>
  <c r="GI3" i="2"/>
  <c r="GH3" i="2"/>
  <c r="GJ13" i="2"/>
  <c r="GL13" i="2" s="1"/>
  <c r="GI13" i="2"/>
  <c r="GH13" i="2"/>
  <c r="GJ5" i="2"/>
  <c r="GL5" i="2" s="1"/>
  <c r="GI5" i="2"/>
  <c r="GH5" i="2"/>
  <c r="GJ16" i="2"/>
  <c r="GL16" i="2" s="1"/>
  <c r="GI16" i="2"/>
  <c r="GH16" i="2"/>
  <c r="GJ7" i="2"/>
  <c r="GL7" i="2" s="1"/>
  <c r="GI7" i="2"/>
  <c r="GH7" i="2"/>
  <c r="GJ25" i="2"/>
  <c r="GL25" i="2" s="1"/>
  <c r="GI25" i="2"/>
  <c r="GH25" i="2"/>
  <c r="GJ8" i="2"/>
  <c r="GL8" i="2" s="1"/>
  <c r="GI8" i="2"/>
  <c r="GH8" i="2"/>
  <c r="GH18" i="2"/>
  <c r="GJ18" i="2"/>
  <c r="GL18" i="2" s="1"/>
  <c r="GI18" i="2"/>
  <c r="GJ15" i="2"/>
  <c r="GL15" i="2" s="1"/>
  <c r="GI15" i="2"/>
  <c r="GH15" i="2"/>
  <c r="GJ14" i="2"/>
  <c r="GL14" i="2" s="1"/>
  <c r="GI14" i="2"/>
  <c r="GH14" i="2"/>
  <c r="GI17" i="2"/>
  <c r="GH17" i="2"/>
  <c r="GJ17" i="2"/>
  <c r="GL17" i="2" s="1"/>
  <c r="GF37" i="2"/>
  <c r="GF40" i="2" s="1"/>
  <c r="GH27" i="2"/>
  <c r="GJ27" i="2"/>
  <c r="GL27" i="2" s="1"/>
  <c r="GI27" i="2"/>
  <c r="GJ12" i="2"/>
  <c r="GL12" i="2" s="1"/>
  <c r="GI12" i="2"/>
  <c r="GH12" i="2"/>
  <c r="GM4" i="2" l="1"/>
  <c r="GM23" i="2"/>
  <c r="GK24" i="2"/>
  <c r="GK37" i="2" s="1"/>
  <c r="GL42" i="2" s="1"/>
  <c r="GH21" i="2"/>
  <c r="GH37" i="2" s="1"/>
  <c r="GT29" i="2"/>
  <c r="GY29" i="2"/>
  <c r="GZ29" i="2" s="1"/>
  <c r="GV29" i="2"/>
  <c r="GM5" i="2"/>
  <c r="GO5" i="2"/>
  <c r="GQ5" i="2" s="1"/>
  <c r="GM9" i="2"/>
  <c r="GO9" i="2"/>
  <c r="GQ9" i="2" s="1"/>
  <c r="GT22" i="2"/>
  <c r="GV22" i="2"/>
  <c r="GY22" i="2"/>
  <c r="GZ22" i="2" s="1"/>
  <c r="GT19" i="2"/>
  <c r="GV19" i="2"/>
  <c r="GY19" i="2"/>
  <c r="GZ19" i="2" s="1"/>
  <c r="GT6" i="2"/>
  <c r="GY6" i="2"/>
  <c r="GZ6" i="2" s="1"/>
  <c r="GV6" i="2"/>
  <c r="GM8" i="2"/>
  <c r="GO8" i="2"/>
  <c r="GQ8" i="2" s="1"/>
  <c r="GM13" i="2"/>
  <c r="GO13" i="2"/>
  <c r="GQ13" i="2" s="1"/>
  <c r="GT11" i="2"/>
  <c r="GV11" i="2"/>
  <c r="GY11" i="2"/>
  <c r="GZ11" i="2" s="1"/>
  <c r="GT10" i="2"/>
  <c r="GY10" i="2"/>
  <c r="GZ10" i="2" s="1"/>
  <c r="GV10" i="2"/>
  <c r="GM18" i="2"/>
  <c r="GO18" i="2"/>
  <c r="GQ18" i="2" s="1"/>
  <c r="GM20" i="2"/>
  <c r="GO20" i="2"/>
  <c r="GQ20" i="2" s="1"/>
  <c r="GM14" i="2"/>
  <c r="GO14" i="2"/>
  <c r="GQ14" i="2" s="1"/>
  <c r="GM17" i="2"/>
  <c r="GO17" i="2"/>
  <c r="GQ17" i="2" s="1"/>
  <c r="GM15" i="2"/>
  <c r="GO15" i="2"/>
  <c r="GQ15" i="2" s="1"/>
  <c r="GM16" i="2"/>
  <c r="GO16" i="2"/>
  <c r="GQ16" i="2" s="1"/>
  <c r="GM28" i="2"/>
  <c r="GO28" i="2"/>
  <c r="GQ28" i="2" s="1"/>
  <c r="GT23" i="2"/>
  <c r="GY23" i="2"/>
  <c r="GZ23" i="2" s="1"/>
  <c r="GV23" i="2"/>
  <c r="GY4" i="2"/>
  <c r="GZ4" i="2" s="1"/>
  <c r="GT4" i="2"/>
  <c r="GV4" i="2"/>
  <c r="GM12" i="2"/>
  <c r="GO12" i="2"/>
  <c r="GQ12" i="2" s="1"/>
  <c r="GM7" i="2"/>
  <c r="GO7" i="2"/>
  <c r="GQ7" i="2" s="1"/>
  <c r="GM27" i="2"/>
  <c r="GO27" i="2"/>
  <c r="GQ27" i="2" s="1"/>
  <c r="GM25" i="2"/>
  <c r="GO25" i="2"/>
  <c r="GQ25" i="2" s="1"/>
  <c r="GJ21" i="2"/>
  <c r="GL21" i="2" s="1"/>
  <c r="GL3" i="2"/>
  <c r="GO3" i="2" s="1"/>
  <c r="GL24" i="2" l="1"/>
  <c r="GM24" i="2" s="1"/>
  <c r="GJ37" i="2"/>
  <c r="GT9" i="2"/>
  <c r="GY9" i="2"/>
  <c r="GZ9" i="2" s="1"/>
  <c r="GV9" i="2"/>
  <c r="GQ3" i="2"/>
  <c r="GT28" i="2"/>
  <c r="GV28" i="2"/>
  <c r="GY28" i="2"/>
  <c r="GZ28" i="2" s="1"/>
  <c r="GT14" i="2"/>
  <c r="GY14" i="2"/>
  <c r="GZ14" i="2" s="1"/>
  <c r="GV14" i="2"/>
  <c r="GV8" i="2"/>
  <c r="GY8" i="2"/>
  <c r="GZ8" i="2" s="1"/>
  <c r="GT8" i="2"/>
  <c r="GT5" i="2"/>
  <c r="GY5" i="2"/>
  <c r="GZ5" i="2" s="1"/>
  <c r="GV5" i="2"/>
  <c r="GT13" i="2"/>
  <c r="GY13" i="2"/>
  <c r="GZ13" i="2" s="1"/>
  <c r="GV13" i="2"/>
  <c r="GT27" i="2"/>
  <c r="GY27" i="2"/>
  <c r="GZ27" i="2" s="1"/>
  <c r="GV27" i="2"/>
  <c r="GY20" i="2"/>
  <c r="GZ20" i="2" s="1"/>
  <c r="GT20" i="2"/>
  <c r="GV20" i="2"/>
  <c r="GT17" i="2"/>
  <c r="GY17" i="2"/>
  <c r="GZ17" i="2" s="1"/>
  <c r="GV17" i="2"/>
  <c r="GV25" i="2"/>
  <c r="GT25" i="2"/>
  <c r="GY25" i="2"/>
  <c r="GZ25" i="2" s="1"/>
  <c r="GV7" i="2"/>
  <c r="GT7" i="2"/>
  <c r="GY7" i="2"/>
  <c r="GZ7" i="2" s="1"/>
  <c r="GV15" i="2"/>
  <c r="GT15" i="2"/>
  <c r="GY15" i="2"/>
  <c r="GZ15" i="2" s="1"/>
  <c r="GT18" i="2"/>
  <c r="GY18" i="2"/>
  <c r="GZ18" i="2" s="1"/>
  <c r="GV18" i="2"/>
  <c r="GV16" i="2"/>
  <c r="GY16" i="2"/>
  <c r="GZ16" i="2" s="1"/>
  <c r="GT16" i="2"/>
  <c r="GL39" i="2"/>
  <c r="GO21" i="2"/>
  <c r="GQ21" i="2" s="1"/>
  <c r="GY12" i="2"/>
  <c r="GZ12" i="2" s="1"/>
  <c r="GT12" i="2"/>
  <c r="GV12" i="2"/>
  <c r="GM3" i="2"/>
  <c r="GL37" i="2" l="1"/>
  <c r="GL40" i="2" s="1"/>
  <c r="GO24" i="2"/>
  <c r="GQ24" i="2" s="1"/>
  <c r="GQ37" i="2" s="1"/>
  <c r="GT3" i="2"/>
  <c r="GV3" i="2"/>
  <c r="GY3" i="2"/>
  <c r="GY21" i="2"/>
  <c r="GZ21" i="2" s="1"/>
  <c r="GT21" i="2"/>
  <c r="GV21" i="2"/>
  <c r="GM43" i="2"/>
  <c r="GM41" i="2"/>
  <c r="GM37" i="2"/>
  <c r="GM39" i="2" l="1"/>
  <c r="GV24" i="2"/>
  <c r="GV37" i="2" s="1"/>
  <c r="GW24" i="2" s="1"/>
  <c r="GT24" i="2"/>
  <c r="GY24" i="2"/>
  <c r="GZ24" i="2" s="1"/>
  <c r="GO37" i="2"/>
  <c r="GZ3" i="2"/>
  <c r="GY37" i="2" l="1"/>
  <c r="GW21" i="2"/>
  <c r="GW3" i="2"/>
  <c r="GW26" i="2"/>
  <c r="GW19" i="2"/>
  <c r="GW6" i="2"/>
  <c r="GW22" i="2"/>
  <c r="GW10" i="2"/>
  <c r="GW29" i="2"/>
  <c r="GW11" i="2"/>
  <c r="GW4" i="2"/>
  <c r="GW23" i="2"/>
  <c r="GW28" i="2"/>
  <c r="GW8" i="2"/>
  <c r="GW12" i="2"/>
  <c r="GW5" i="2"/>
  <c r="GW13" i="2"/>
  <c r="GW7" i="2"/>
  <c r="GW9" i="2"/>
  <c r="GW27" i="2"/>
  <c r="GW14" i="2"/>
  <c r="GW15" i="2"/>
  <c r="GW18" i="2"/>
  <c r="GW25" i="2"/>
  <c r="GW17" i="2"/>
  <c r="GW20" i="2"/>
  <c r="GW16" i="2"/>
  <c r="GZ37" i="2"/>
  <c r="GW37" i="2" l="1"/>
  <c r="GW40" i="2" s="1"/>
  <c r="HA19" i="2" s="1"/>
  <c r="HB19" i="2" s="1"/>
  <c r="HA21" i="2" l="1"/>
  <c r="HB21" i="2" s="1"/>
  <c r="HE21" i="2" s="1"/>
  <c r="HG21" i="2" s="1"/>
  <c r="HJ21" i="2" s="1"/>
  <c r="HL21" i="2" s="1"/>
  <c r="HA24" i="2"/>
  <c r="HB24" i="2" s="1"/>
  <c r="HC24" i="2" s="1"/>
  <c r="HA13" i="2"/>
  <c r="HB13" i="2" s="1"/>
  <c r="HC13" i="2" s="1"/>
  <c r="HA17" i="2"/>
  <c r="HB17" i="2" s="1"/>
  <c r="HD17" i="2" s="1"/>
  <c r="HA25" i="2"/>
  <c r="HB25" i="2" s="1"/>
  <c r="HD25" i="2" s="1"/>
  <c r="HA7" i="2"/>
  <c r="HB7" i="2" s="1"/>
  <c r="HE7" i="2" s="1"/>
  <c r="HG7" i="2" s="1"/>
  <c r="HA18" i="2"/>
  <c r="HB18" i="2" s="1"/>
  <c r="HC18" i="2" s="1"/>
  <c r="HA28" i="2"/>
  <c r="HB28" i="2" s="1"/>
  <c r="HC28" i="2" s="1"/>
  <c r="HA16" i="2"/>
  <c r="HB16" i="2" s="1"/>
  <c r="HD16" i="2" s="1"/>
  <c r="HA14" i="2"/>
  <c r="HB14" i="2" s="1"/>
  <c r="HE14" i="2" s="1"/>
  <c r="HG14" i="2" s="1"/>
  <c r="HA8" i="2"/>
  <c r="HB8" i="2" s="1"/>
  <c r="HE8" i="2" s="1"/>
  <c r="HG8" i="2" s="1"/>
  <c r="HA27" i="2"/>
  <c r="HB27" i="2" s="1"/>
  <c r="HD27" i="2" s="1"/>
  <c r="HA9" i="2"/>
  <c r="HB9" i="2" s="1"/>
  <c r="HD9" i="2" s="1"/>
  <c r="HA15" i="2"/>
  <c r="HB15" i="2" s="1"/>
  <c r="HE15" i="2" s="1"/>
  <c r="HG15" i="2" s="1"/>
  <c r="HA29" i="2"/>
  <c r="HB29" i="2" s="1"/>
  <c r="HE29" i="2" s="1"/>
  <c r="HG29" i="2" s="1"/>
  <c r="HA4" i="2"/>
  <c r="HB4" i="2" s="1"/>
  <c r="HC4" i="2" s="1"/>
  <c r="HA22" i="2"/>
  <c r="HB22" i="2" s="1"/>
  <c r="HD22" i="2" s="1"/>
  <c r="HA6" i="2"/>
  <c r="HB6" i="2" s="1"/>
  <c r="HE6" i="2" s="1"/>
  <c r="HG6" i="2" s="1"/>
  <c r="HJ6" i="2" s="1"/>
  <c r="HL6" i="2" s="1"/>
  <c r="HD19" i="2"/>
  <c r="HE19" i="2"/>
  <c r="HG19" i="2" s="1"/>
  <c r="HC19" i="2"/>
  <c r="HA11" i="2"/>
  <c r="HB11" i="2" s="1"/>
  <c r="HA26" i="2"/>
  <c r="HB26" i="2" s="1"/>
  <c r="HA12" i="2"/>
  <c r="HB12" i="2" s="1"/>
  <c r="HA10" i="2"/>
  <c r="HB10" i="2" s="1"/>
  <c r="HA20" i="2"/>
  <c r="HB20" i="2" s="1"/>
  <c r="HA5" i="2"/>
  <c r="HB5" i="2" s="1"/>
  <c r="HA23" i="2"/>
  <c r="HA3" i="2"/>
  <c r="HE24" i="2" l="1"/>
  <c r="HE17" i="2"/>
  <c r="HG17" i="2" s="1"/>
  <c r="HH17" i="2" s="1"/>
  <c r="HC17" i="2"/>
  <c r="HD24" i="2"/>
  <c r="HD13" i="2"/>
  <c r="HC21" i="2"/>
  <c r="HE13" i="2"/>
  <c r="HG13" i="2" s="1"/>
  <c r="HJ13" i="2" s="1"/>
  <c r="HL13" i="2" s="1"/>
  <c r="HD18" i="2"/>
  <c r="HE18" i="2"/>
  <c r="HG18" i="2" s="1"/>
  <c r="HH18" i="2" s="1"/>
  <c r="HE28" i="2"/>
  <c r="HG28" i="2" s="1"/>
  <c r="HJ28" i="2" s="1"/>
  <c r="HL28" i="2" s="1"/>
  <c r="HC7" i="2"/>
  <c r="HD7" i="2"/>
  <c r="HC25" i="2"/>
  <c r="HE25" i="2"/>
  <c r="HG25" i="2" s="1"/>
  <c r="HJ25" i="2" s="1"/>
  <c r="HL25" i="2" s="1"/>
  <c r="HC16" i="2"/>
  <c r="HC14" i="2"/>
  <c r="HE16" i="2"/>
  <c r="HG16" i="2" s="1"/>
  <c r="HH16" i="2" s="1"/>
  <c r="HD28" i="2"/>
  <c r="HD14" i="2"/>
  <c r="HC27" i="2"/>
  <c r="HE27" i="2"/>
  <c r="HG27" i="2" s="1"/>
  <c r="HH27" i="2" s="1"/>
  <c r="HE9" i="2"/>
  <c r="HG9" i="2" s="1"/>
  <c r="HH9" i="2" s="1"/>
  <c r="HC9" i="2"/>
  <c r="HC8" i="2"/>
  <c r="HD8" i="2"/>
  <c r="HC29" i="2"/>
  <c r="HC15" i="2"/>
  <c r="HD15" i="2"/>
  <c r="HD29" i="2"/>
  <c r="HC6" i="2"/>
  <c r="HE22" i="2"/>
  <c r="HG22" i="2" s="1"/>
  <c r="HH22" i="2" s="1"/>
  <c r="HD4" i="2"/>
  <c r="HE4" i="2"/>
  <c r="HG4" i="2" s="1"/>
  <c r="HJ4" i="2" s="1"/>
  <c r="HL4" i="2" s="1"/>
  <c r="HC22" i="2"/>
  <c r="HH15" i="2"/>
  <c r="HJ15" i="2"/>
  <c r="HL15" i="2" s="1"/>
  <c r="HH14" i="2"/>
  <c r="HJ14" i="2"/>
  <c r="HL14" i="2" s="1"/>
  <c r="HQ6" i="2"/>
  <c r="HO6" i="2"/>
  <c r="HT6" i="2"/>
  <c r="HU6" i="2" s="1"/>
  <c r="HH8" i="2"/>
  <c r="HJ8" i="2"/>
  <c r="HL8" i="2" s="1"/>
  <c r="HH7" i="2"/>
  <c r="HJ7" i="2"/>
  <c r="HL7" i="2" s="1"/>
  <c r="HT21" i="2"/>
  <c r="HU21" i="2" s="1"/>
  <c r="HQ21" i="2"/>
  <c r="HO21" i="2"/>
  <c r="HH19" i="2"/>
  <c r="HJ19" i="2"/>
  <c r="HL19" i="2" s="1"/>
  <c r="HH29" i="2"/>
  <c r="HJ29" i="2"/>
  <c r="HL29" i="2" s="1"/>
  <c r="HE5" i="2"/>
  <c r="HG5" i="2" s="1"/>
  <c r="HD5" i="2"/>
  <c r="HC5" i="2"/>
  <c r="HB23" i="2"/>
  <c r="GP43" i="2"/>
  <c r="HE20" i="2"/>
  <c r="HG20" i="2" s="1"/>
  <c r="HD20" i="2"/>
  <c r="HC20" i="2"/>
  <c r="HC26" i="2"/>
  <c r="HE26" i="2"/>
  <c r="HG26" i="2" s="1"/>
  <c r="HJ26" i="2" s="1"/>
  <c r="HL26" i="2" s="1"/>
  <c r="HA37" i="2"/>
  <c r="HA40" i="2" s="1"/>
  <c r="HB3" i="2"/>
  <c r="HC10" i="2"/>
  <c r="HE10" i="2"/>
  <c r="HG10" i="2" s="1"/>
  <c r="HD10" i="2"/>
  <c r="HE12" i="2"/>
  <c r="HG12" i="2" s="1"/>
  <c r="HD12" i="2"/>
  <c r="HC12" i="2"/>
  <c r="HD11" i="2"/>
  <c r="HE11" i="2"/>
  <c r="HG11" i="2" s="1"/>
  <c r="HC11" i="2"/>
  <c r="HH13" i="2" l="1"/>
  <c r="HJ17" i="2"/>
  <c r="HL17" i="2" s="1"/>
  <c r="HO17" i="2" s="1"/>
  <c r="HJ16" i="2"/>
  <c r="HL16" i="2" s="1"/>
  <c r="HQ16" i="2" s="1"/>
  <c r="HH28" i="2"/>
  <c r="HH25" i="2"/>
  <c r="HJ18" i="2"/>
  <c r="HL18" i="2" s="1"/>
  <c r="HO18" i="2" s="1"/>
  <c r="HJ9" i="2"/>
  <c r="HL9" i="2" s="1"/>
  <c r="HO9" i="2" s="1"/>
  <c r="HJ27" i="2"/>
  <c r="HL27" i="2" s="1"/>
  <c r="HO27" i="2" s="1"/>
  <c r="HJ22" i="2"/>
  <c r="HL22" i="2" s="1"/>
  <c r="HO22" i="2" s="1"/>
  <c r="HH4" i="2"/>
  <c r="HO28" i="2"/>
  <c r="HQ28" i="2"/>
  <c r="HT28" i="2"/>
  <c r="HU28" i="2" s="1"/>
  <c r="HQ25" i="2"/>
  <c r="HO25" i="2"/>
  <c r="HT25" i="2"/>
  <c r="HU25" i="2" s="1"/>
  <c r="HH20" i="2"/>
  <c r="HJ20" i="2"/>
  <c r="HL20" i="2" s="1"/>
  <c r="HO19" i="2"/>
  <c r="HQ19" i="2"/>
  <c r="HT19" i="2"/>
  <c r="HU19" i="2" s="1"/>
  <c r="HO4" i="2"/>
  <c r="HT4" i="2"/>
  <c r="HU4" i="2" s="1"/>
  <c r="HQ4" i="2"/>
  <c r="HO29" i="2"/>
  <c r="HT29" i="2"/>
  <c r="HU29" i="2" s="1"/>
  <c r="HQ29" i="2"/>
  <c r="HO7" i="2"/>
  <c r="HT7" i="2"/>
  <c r="HU7" i="2" s="1"/>
  <c r="HQ7" i="2"/>
  <c r="HO26" i="2"/>
  <c r="HQ26" i="2"/>
  <c r="HT26" i="2"/>
  <c r="HU26" i="2" s="1"/>
  <c r="HT13" i="2"/>
  <c r="HU13" i="2" s="1"/>
  <c r="HQ13" i="2"/>
  <c r="HO13" i="2"/>
  <c r="HQ8" i="2"/>
  <c r="HO8" i="2"/>
  <c r="HT8" i="2"/>
  <c r="HU8" i="2" s="1"/>
  <c r="HO14" i="2"/>
  <c r="HQ14" i="2"/>
  <c r="HT14" i="2"/>
  <c r="HU14" i="2" s="1"/>
  <c r="HO15" i="2"/>
  <c r="HT15" i="2"/>
  <c r="HU15" i="2" s="1"/>
  <c r="HQ15" i="2"/>
  <c r="HH12" i="2"/>
  <c r="HJ12" i="2"/>
  <c r="HL12" i="2" s="1"/>
  <c r="HH10" i="2"/>
  <c r="HJ10" i="2"/>
  <c r="HL10" i="2" s="1"/>
  <c r="HH11" i="2"/>
  <c r="HJ11" i="2"/>
  <c r="HL11" i="2" s="1"/>
  <c r="HH5" i="2"/>
  <c r="HJ5" i="2"/>
  <c r="HL5" i="2" s="1"/>
  <c r="HE23" i="2"/>
  <c r="HG23" i="2" s="1"/>
  <c r="HJ23" i="2" s="1"/>
  <c r="HL23" i="2" s="1"/>
  <c r="HC23" i="2"/>
  <c r="HD23" i="2"/>
  <c r="HB37" i="2"/>
  <c r="HE3" i="2"/>
  <c r="HD3" i="2"/>
  <c r="HC3" i="2"/>
  <c r="HF24" i="2"/>
  <c r="HT17" i="2" l="1"/>
  <c r="HU17" i="2" s="1"/>
  <c r="HQ17" i="2"/>
  <c r="HQ18" i="2"/>
  <c r="HT16" i="2"/>
  <c r="HU16" i="2" s="1"/>
  <c r="HO16" i="2"/>
  <c r="HT27" i="2"/>
  <c r="HU27" i="2" s="1"/>
  <c r="HQ27" i="2"/>
  <c r="HT18" i="2"/>
  <c r="HU18" i="2" s="1"/>
  <c r="HT9" i="2"/>
  <c r="HU9" i="2" s="1"/>
  <c r="HQ9" i="2"/>
  <c r="HQ22" i="2"/>
  <c r="HT22" i="2"/>
  <c r="HU22" i="2" s="1"/>
  <c r="HC37" i="2"/>
  <c r="HO10" i="2"/>
  <c r="HT10" i="2"/>
  <c r="HU10" i="2" s="1"/>
  <c r="HQ10" i="2"/>
  <c r="HO20" i="2"/>
  <c r="HQ20" i="2"/>
  <c r="HT20" i="2"/>
  <c r="HU20" i="2" s="1"/>
  <c r="HO11" i="2"/>
  <c r="HQ11" i="2"/>
  <c r="HT11" i="2"/>
  <c r="HU11" i="2" s="1"/>
  <c r="HO23" i="2"/>
  <c r="HQ23" i="2"/>
  <c r="HT23" i="2"/>
  <c r="HU23" i="2" s="1"/>
  <c r="HO12" i="2"/>
  <c r="HT12" i="2"/>
  <c r="HU12" i="2" s="1"/>
  <c r="HQ12" i="2"/>
  <c r="HT5" i="2"/>
  <c r="HU5" i="2" s="1"/>
  <c r="HQ5" i="2"/>
  <c r="HO5" i="2"/>
  <c r="HH23" i="2"/>
  <c r="HG39" i="2"/>
  <c r="HE37" i="2"/>
  <c r="HG3" i="2"/>
  <c r="HJ3" i="2" s="1"/>
  <c r="HF37" i="2"/>
  <c r="HG42" i="2" s="1"/>
  <c r="HG24" i="2"/>
  <c r="HH24" i="2" l="1"/>
  <c r="HJ24" i="2"/>
  <c r="HL24" i="2" s="1"/>
  <c r="HL3" i="2"/>
  <c r="HH3" i="2"/>
  <c r="HG37" i="2"/>
  <c r="HJ37" i="2" l="1"/>
  <c r="HO3" i="2"/>
  <c r="HL37" i="2"/>
  <c r="HT3" i="2"/>
  <c r="HQ3" i="2"/>
  <c r="HO24" i="2"/>
  <c r="HQ24" i="2"/>
  <c r="HT24" i="2"/>
  <c r="HU24" i="2" s="1"/>
  <c r="HH39" i="2"/>
  <c r="HG40" i="2"/>
  <c r="HH43" i="2"/>
  <c r="HH41" i="2"/>
  <c r="HH37" i="2"/>
  <c r="HQ37" i="2" l="1"/>
  <c r="HU3" i="2"/>
  <c r="HT37" i="2"/>
  <c r="HR21" i="2" l="1"/>
  <c r="HR6" i="2"/>
  <c r="HR16" i="2"/>
  <c r="HR15" i="2"/>
  <c r="HR8" i="2"/>
  <c r="HR25" i="2"/>
  <c r="HR17" i="2"/>
  <c r="HR26" i="2"/>
  <c r="HR9" i="2"/>
  <c r="HR27" i="2"/>
  <c r="HR7" i="2"/>
  <c r="HR19" i="2"/>
  <c r="HR14" i="2"/>
  <c r="HR22" i="2"/>
  <c r="HR18" i="2"/>
  <c r="HR29" i="2"/>
  <c r="HR13" i="2"/>
  <c r="HR28" i="2"/>
  <c r="HR4" i="2"/>
  <c r="HR10" i="2"/>
  <c r="HR20" i="2"/>
  <c r="HR23" i="2"/>
  <c r="HR11" i="2"/>
  <c r="HR12" i="2"/>
  <c r="HR5" i="2"/>
  <c r="HU37" i="2"/>
  <c r="HR3" i="2"/>
  <c r="HR24" i="2"/>
  <c r="HR37" i="2" l="1"/>
  <c r="HR40" i="2" s="1"/>
  <c r="HV25" i="2" s="1"/>
  <c r="HW25" i="2" s="1"/>
  <c r="HV15" i="2" l="1"/>
  <c r="HW15" i="2" s="1"/>
  <c r="HY15" i="2" s="1"/>
  <c r="HV23" i="2"/>
  <c r="HW23" i="2" s="1"/>
  <c r="HZ23" i="2" s="1"/>
  <c r="IB23" i="2" s="1"/>
  <c r="HV5" i="2"/>
  <c r="HW5" i="2" s="1"/>
  <c r="HY5" i="2" s="1"/>
  <c r="HV13" i="2"/>
  <c r="HW13" i="2" s="1"/>
  <c r="HY13" i="2" s="1"/>
  <c r="HV11" i="2"/>
  <c r="HW11" i="2" s="1"/>
  <c r="HX11" i="2" s="1"/>
  <c r="HV7" i="2"/>
  <c r="HW7" i="2" s="1"/>
  <c r="HY7" i="2" s="1"/>
  <c r="HV24" i="2"/>
  <c r="HW24" i="2" s="1"/>
  <c r="HZ24" i="2" s="1"/>
  <c r="HV14" i="2"/>
  <c r="HW14" i="2" s="1"/>
  <c r="HZ14" i="2" s="1"/>
  <c r="IB14" i="2" s="1"/>
  <c r="HV12" i="2"/>
  <c r="HW12" i="2" s="1"/>
  <c r="HZ12" i="2" s="1"/>
  <c r="IB12" i="2" s="1"/>
  <c r="HV19" i="2"/>
  <c r="HW19" i="2" s="1"/>
  <c r="HX19" i="2" s="1"/>
  <c r="HV8" i="2"/>
  <c r="HW8" i="2" s="1"/>
  <c r="HY8" i="2" s="1"/>
  <c r="HV27" i="2"/>
  <c r="HW27" i="2" s="1"/>
  <c r="HZ27" i="2" s="1"/>
  <c r="IB27" i="2" s="1"/>
  <c r="HV16" i="2"/>
  <c r="HW16" i="2" s="1"/>
  <c r="HZ16" i="2" s="1"/>
  <c r="IB16" i="2" s="1"/>
  <c r="HV6" i="2"/>
  <c r="HW6" i="2" s="1"/>
  <c r="HZ6" i="2" s="1"/>
  <c r="IB6" i="2" s="1"/>
  <c r="IE6" i="2" s="1"/>
  <c r="IG6" i="2" s="1"/>
  <c r="HV21" i="2"/>
  <c r="HW21" i="2" s="1"/>
  <c r="HZ21" i="2" s="1"/>
  <c r="IB21" i="2" s="1"/>
  <c r="IE21" i="2" s="1"/>
  <c r="IG21" i="2" s="1"/>
  <c r="HV28" i="2"/>
  <c r="HW28" i="2" s="1"/>
  <c r="HZ28" i="2" s="1"/>
  <c r="IB28" i="2" s="1"/>
  <c r="HV20" i="2"/>
  <c r="HW20" i="2" s="1"/>
  <c r="HY20" i="2" s="1"/>
  <c r="HV17" i="2"/>
  <c r="HW17" i="2" s="1"/>
  <c r="HY17" i="2" s="1"/>
  <c r="HZ25" i="2"/>
  <c r="IB25" i="2" s="1"/>
  <c r="HY25" i="2"/>
  <c r="HX25" i="2"/>
  <c r="HV26" i="2"/>
  <c r="HW26" i="2" s="1"/>
  <c r="HV3" i="2"/>
  <c r="HV10" i="2"/>
  <c r="HW10" i="2" s="1"/>
  <c r="HV9" i="2"/>
  <c r="HW9" i="2" s="1"/>
  <c r="HV18" i="2"/>
  <c r="HW18" i="2" s="1"/>
  <c r="HV29" i="2"/>
  <c r="HW29" i="2" s="1"/>
  <c r="HV22" i="2"/>
  <c r="HW22" i="2" s="1"/>
  <c r="HV4" i="2"/>
  <c r="HW4" i="2" s="1"/>
  <c r="HZ5" i="2" l="1"/>
  <c r="IB5" i="2" s="1"/>
  <c r="IC5" i="2" s="1"/>
  <c r="HX5" i="2"/>
  <c r="HX15" i="2"/>
  <c r="HZ15" i="2"/>
  <c r="IB15" i="2" s="1"/>
  <c r="IE15" i="2" s="1"/>
  <c r="IG15" i="2" s="1"/>
  <c r="HY23" i="2"/>
  <c r="HX23" i="2"/>
  <c r="HY11" i="2"/>
  <c r="HZ7" i="2"/>
  <c r="IB7" i="2" s="1"/>
  <c r="IE7" i="2" s="1"/>
  <c r="IG7" i="2" s="1"/>
  <c r="HZ13" i="2"/>
  <c r="IB13" i="2" s="1"/>
  <c r="IC13" i="2" s="1"/>
  <c r="HX13" i="2"/>
  <c r="HX7" i="2"/>
  <c r="HY12" i="2"/>
  <c r="HX12" i="2"/>
  <c r="HX21" i="2"/>
  <c r="HY19" i="2"/>
  <c r="HY24" i="2"/>
  <c r="HZ19" i="2"/>
  <c r="IB19" i="2" s="1"/>
  <c r="IC19" i="2" s="1"/>
  <c r="HX24" i="2"/>
  <c r="HZ11" i="2"/>
  <c r="IB11" i="2" s="1"/>
  <c r="IE11" i="2" s="1"/>
  <c r="IG11" i="2" s="1"/>
  <c r="HX14" i="2"/>
  <c r="HY14" i="2"/>
  <c r="HX27" i="2"/>
  <c r="HX16" i="2"/>
  <c r="HY16" i="2"/>
  <c r="HX8" i="2"/>
  <c r="HZ8" i="2"/>
  <c r="IB8" i="2" s="1"/>
  <c r="IC8" i="2" s="1"/>
  <c r="HY27" i="2"/>
  <c r="HX28" i="2"/>
  <c r="HY28" i="2"/>
  <c r="HX20" i="2"/>
  <c r="HZ20" i="2"/>
  <c r="IB20" i="2" s="1"/>
  <c r="IC20" i="2" s="1"/>
  <c r="HX6" i="2"/>
  <c r="HZ17" i="2"/>
  <c r="IB17" i="2" s="1"/>
  <c r="IC17" i="2" s="1"/>
  <c r="IC27" i="2"/>
  <c r="IE27" i="2"/>
  <c r="IG27" i="2" s="1"/>
  <c r="IC14" i="2"/>
  <c r="IE14" i="2"/>
  <c r="IG14" i="2" s="1"/>
  <c r="HX17" i="2"/>
  <c r="IL6" i="2"/>
  <c r="IJ6" i="2"/>
  <c r="IO6" i="2"/>
  <c r="IP6" i="2" s="1"/>
  <c r="IC23" i="2"/>
  <c r="IE23" i="2"/>
  <c r="IG23" i="2" s="1"/>
  <c r="IC25" i="2"/>
  <c r="IE25" i="2"/>
  <c r="IG25" i="2" s="1"/>
  <c r="IC16" i="2"/>
  <c r="IE16" i="2"/>
  <c r="IG16" i="2" s="1"/>
  <c r="IO21" i="2"/>
  <c r="IP21" i="2" s="1"/>
  <c r="IJ21" i="2"/>
  <c r="IL21" i="2"/>
  <c r="IC28" i="2"/>
  <c r="IE28" i="2"/>
  <c r="IG28" i="2" s="1"/>
  <c r="IC12" i="2"/>
  <c r="IE12" i="2"/>
  <c r="IG12" i="2" s="1"/>
  <c r="HZ22" i="2"/>
  <c r="IB22" i="2" s="1"/>
  <c r="IB39" i="2" s="1"/>
  <c r="HX22" i="2"/>
  <c r="HY22" i="2"/>
  <c r="HV37" i="2"/>
  <c r="HV40" i="2" s="1"/>
  <c r="HW3" i="2"/>
  <c r="HX10" i="2"/>
  <c r="HZ10" i="2"/>
  <c r="IB10" i="2" s="1"/>
  <c r="HY10" i="2"/>
  <c r="HX26" i="2"/>
  <c r="HZ26" i="2"/>
  <c r="IB26" i="2" s="1"/>
  <c r="IE26" i="2" s="1"/>
  <c r="IG26" i="2" s="1"/>
  <c r="HY9" i="2"/>
  <c r="HX9" i="2"/>
  <c r="HZ9" i="2"/>
  <c r="IB9" i="2" s="1"/>
  <c r="HX18" i="2"/>
  <c r="HZ18" i="2"/>
  <c r="IB18" i="2" s="1"/>
  <c r="HY18" i="2"/>
  <c r="HZ29" i="2"/>
  <c r="IB29" i="2" s="1"/>
  <c r="HY29" i="2"/>
  <c r="HX29" i="2"/>
  <c r="HZ4" i="2"/>
  <c r="IB4" i="2" s="1"/>
  <c r="HY4" i="2"/>
  <c r="HX4" i="2"/>
  <c r="HK43" i="2"/>
  <c r="IE5" i="2" l="1"/>
  <c r="IG5" i="2" s="1"/>
  <c r="IO5" i="2" s="1"/>
  <c r="IP5" i="2" s="1"/>
  <c r="IC15" i="2"/>
  <c r="IC7" i="2"/>
  <c r="IE13" i="2"/>
  <c r="IG13" i="2" s="1"/>
  <c r="IJ13" i="2" s="1"/>
  <c r="IC11" i="2"/>
  <c r="IE19" i="2"/>
  <c r="IG19" i="2" s="1"/>
  <c r="IO19" i="2" s="1"/>
  <c r="IP19" i="2" s="1"/>
  <c r="IE8" i="2"/>
  <c r="IG8" i="2" s="1"/>
  <c r="IJ8" i="2" s="1"/>
  <c r="IE17" i="2"/>
  <c r="IG17" i="2" s="1"/>
  <c r="IL17" i="2" s="1"/>
  <c r="IE20" i="2"/>
  <c r="IG20" i="2" s="1"/>
  <c r="IO20" i="2" s="1"/>
  <c r="IP20" i="2" s="1"/>
  <c r="IC18" i="2"/>
  <c r="IE18" i="2"/>
  <c r="IG18" i="2" s="1"/>
  <c r="IC10" i="2"/>
  <c r="IE10" i="2"/>
  <c r="IG10" i="2" s="1"/>
  <c r="IJ14" i="2"/>
  <c r="IL14" i="2"/>
  <c r="IO14" i="2"/>
  <c r="IP14" i="2" s="1"/>
  <c r="IJ23" i="2"/>
  <c r="IL23" i="2"/>
  <c r="IO23" i="2"/>
  <c r="IP23" i="2" s="1"/>
  <c r="IJ28" i="2"/>
  <c r="IO28" i="2"/>
  <c r="IP28" i="2" s="1"/>
  <c r="IL28" i="2"/>
  <c r="IJ15" i="2"/>
  <c r="IO15" i="2"/>
  <c r="IP15" i="2" s="1"/>
  <c r="IL15" i="2"/>
  <c r="IC9" i="2"/>
  <c r="IE9" i="2"/>
  <c r="IG9" i="2" s="1"/>
  <c r="IC4" i="2"/>
  <c r="IE4" i="2"/>
  <c r="IG4" i="2" s="1"/>
  <c r="IJ27" i="2"/>
  <c r="IL27" i="2"/>
  <c r="IO27" i="2"/>
  <c r="IP27" i="2" s="1"/>
  <c r="IL26" i="2"/>
  <c r="IJ26" i="2"/>
  <c r="IO26" i="2"/>
  <c r="IP26" i="2" s="1"/>
  <c r="IJ11" i="2"/>
  <c r="IO11" i="2"/>
  <c r="IP11" i="2" s="1"/>
  <c r="IL11" i="2"/>
  <c r="IL16" i="2"/>
  <c r="IJ16" i="2"/>
  <c r="IO16" i="2"/>
  <c r="IP16" i="2" s="1"/>
  <c r="IC29" i="2"/>
  <c r="IE29" i="2"/>
  <c r="IG29" i="2" s="1"/>
  <c r="IC22" i="2"/>
  <c r="IE22" i="2"/>
  <c r="IG22" i="2" s="1"/>
  <c r="IO7" i="2"/>
  <c r="IP7" i="2" s="1"/>
  <c r="IJ7" i="2"/>
  <c r="IL7" i="2"/>
  <c r="IO12" i="2"/>
  <c r="IP12" i="2" s="1"/>
  <c r="IJ12" i="2"/>
  <c r="IL12" i="2"/>
  <c r="IJ25" i="2"/>
  <c r="IO25" i="2"/>
  <c r="IP25" i="2" s="1"/>
  <c r="IL25" i="2"/>
  <c r="IA24" i="2"/>
  <c r="HW37" i="2"/>
  <c r="HZ3" i="2"/>
  <c r="HY3" i="2"/>
  <c r="HX3" i="2"/>
  <c r="HX37" i="2" s="1"/>
  <c r="IJ5" i="2" l="1"/>
  <c r="IL5" i="2"/>
  <c r="IL19" i="2"/>
  <c r="IJ19" i="2"/>
  <c r="IL13" i="2"/>
  <c r="IO13" i="2"/>
  <c r="IP13" i="2" s="1"/>
  <c r="IJ17" i="2"/>
  <c r="IO8" i="2"/>
  <c r="IP8" i="2" s="1"/>
  <c r="IL8" i="2"/>
  <c r="IL20" i="2"/>
  <c r="IO17" i="2"/>
  <c r="IP17" i="2" s="1"/>
  <c r="IJ20" i="2"/>
  <c r="IJ29" i="2"/>
  <c r="IO29" i="2"/>
  <c r="IP29" i="2" s="1"/>
  <c r="IL29" i="2"/>
  <c r="IJ4" i="2"/>
  <c r="IO4" i="2"/>
  <c r="IP4" i="2" s="1"/>
  <c r="IL4" i="2"/>
  <c r="IJ9" i="2"/>
  <c r="IL9" i="2"/>
  <c r="IO9" i="2"/>
  <c r="IP9" i="2" s="1"/>
  <c r="IJ10" i="2"/>
  <c r="IL10" i="2"/>
  <c r="IO10" i="2"/>
  <c r="IP10" i="2" s="1"/>
  <c r="IJ22" i="2"/>
  <c r="IO22" i="2"/>
  <c r="IP22" i="2" s="1"/>
  <c r="IL22" i="2"/>
  <c r="IJ18" i="2"/>
  <c r="IL18" i="2"/>
  <c r="IO18" i="2"/>
  <c r="IP18" i="2" s="1"/>
  <c r="HZ37" i="2"/>
  <c r="IB3" i="2"/>
  <c r="IE3" i="2" s="1"/>
  <c r="IA37" i="2"/>
  <c r="IB42" i="2" s="1"/>
  <c r="IB24" i="2"/>
  <c r="IC24" i="2" l="1"/>
  <c r="IE24" i="2"/>
  <c r="IG24" i="2" s="1"/>
  <c r="IG3" i="2"/>
  <c r="IC3" i="2"/>
  <c r="IB37" i="2"/>
  <c r="IE37" i="2" l="1"/>
  <c r="IJ3" i="2"/>
  <c r="IG37" i="2"/>
  <c r="IL3" i="2"/>
  <c r="IO3" i="2"/>
  <c r="IJ24" i="2"/>
  <c r="IO24" i="2"/>
  <c r="IP24" i="2" s="1"/>
  <c r="IL24" i="2"/>
  <c r="IC39" i="2"/>
  <c r="IB40" i="2"/>
  <c r="IC43" i="2"/>
  <c r="IC41" i="2"/>
  <c r="IC37" i="2"/>
  <c r="IP3" i="2" l="1"/>
  <c r="IO37" i="2"/>
  <c r="IL37" i="2"/>
  <c r="IM3" i="2" s="1"/>
  <c r="IM24" i="2" l="1"/>
  <c r="IM6" i="2"/>
  <c r="IM21" i="2"/>
  <c r="IM17" i="2"/>
  <c r="IM8" i="2"/>
  <c r="IM26" i="2"/>
  <c r="IM7" i="2"/>
  <c r="IM23" i="2"/>
  <c r="IM11" i="2"/>
  <c r="IM27" i="2"/>
  <c r="IM13" i="2"/>
  <c r="IM25" i="2"/>
  <c r="IM16" i="2"/>
  <c r="IM14" i="2"/>
  <c r="IM19" i="2"/>
  <c r="IM20" i="2"/>
  <c r="IM5" i="2"/>
  <c r="IM15" i="2"/>
  <c r="IM12" i="2"/>
  <c r="IM28" i="2"/>
  <c r="IM10" i="2"/>
  <c r="IM29" i="2"/>
  <c r="IM4" i="2"/>
  <c r="IM22" i="2"/>
  <c r="IM9" i="2"/>
  <c r="IM18" i="2"/>
  <c r="IP37" i="2"/>
  <c r="IM37" i="2" l="1"/>
  <c r="IM40" i="2" s="1"/>
  <c r="IQ21" i="2" s="1"/>
  <c r="IQ3" i="2" l="1"/>
  <c r="IR3" i="2" s="1"/>
  <c r="IQ24" i="2"/>
  <c r="IR24" i="2" s="1"/>
  <c r="IS24" i="2" s="1"/>
  <c r="IR21" i="2"/>
  <c r="IQ28" i="2"/>
  <c r="IR28" i="2" s="1"/>
  <c r="IQ17" i="2"/>
  <c r="IR17" i="2" s="1"/>
  <c r="IQ8" i="2"/>
  <c r="IR8" i="2" s="1"/>
  <c r="IQ13" i="2"/>
  <c r="IR13" i="2" s="1"/>
  <c r="IQ5" i="2"/>
  <c r="IR5" i="2" s="1"/>
  <c r="IQ4" i="2"/>
  <c r="IR4" i="2" s="1"/>
  <c r="IQ20" i="2"/>
  <c r="IR20" i="2" s="1"/>
  <c r="IQ16" i="2"/>
  <c r="IR16" i="2" s="1"/>
  <c r="IQ12" i="2"/>
  <c r="IR12" i="2" s="1"/>
  <c r="IQ19" i="2"/>
  <c r="IR19" i="2" s="1"/>
  <c r="IQ7" i="2"/>
  <c r="IR7" i="2" s="1"/>
  <c r="IQ26" i="2"/>
  <c r="IR26" i="2" s="1"/>
  <c r="IQ6" i="2"/>
  <c r="IR6" i="2" s="1"/>
  <c r="IQ9" i="2"/>
  <c r="IR9" i="2" s="1"/>
  <c r="IQ11" i="2"/>
  <c r="IR11" i="2" s="1"/>
  <c r="IQ10" i="2"/>
  <c r="IR10" i="2" s="1"/>
  <c r="IQ27" i="2"/>
  <c r="IR27" i="2" s="1"/>
  <c r="IQ15" i="2"/>
  <c r="IR15" i="2" s="1"/>
  <c r="IQ23" i="2"/>
  <c r="IR23" i="2" s="1"/>
  <c r="IQ22" i="2"/>
  <c r="IR22" i="2" s="1"/>
  <c r="IQ29" i="2"/>
  <c r="IR29" i="2" s="1"/>
  <c r="IQ18" i="2"/>
  <c r="IR18" i="2" s="1"/>
  <c r="IQ25" i="2"/>
  <c r="IR25" i="2" s="1"/>
  <c r="IQ14" i="2"/>
  <c r="IR14" i="2" s="1"/>
  <c r="IU24" i="2" l="1"/>
  <c r="IT24" i="2"/>
  <c r="IU7" i="2"/>
  <c r="IW7" i="2" s="1"/>
  <c r="IT7" i="2"/>
  <c r="IS7" i="2"/>
  <c r="IU13" i="2"/>
  <c r="IW13" i="2" s="1"/>
  <c r="IT13" i="2"/>
  <c r="IS13" i="2"/>
  <c r="IU11" i="2"/>
  <c r="IW11" i="2" s="1"/>
  <c r="IS11" i="2"/>
  <c r="IT11" i="2"/>
  <c r="IU12" i="2"/>
  <c r="IW12" i="2" s="1"/>
  <c r="IT12" i="2"/>
  <c r="IS12" i="2"/>
  <c r="IT17" i="2"/>
  <c r="IS17" i="2"/>
  <c r="IU17" i="2"/>
  <c r="IW17" i="2" s="1"/>
  <c r="IU25" i="2"/>
  <c r="IW25" i="2" s="1"/>
  <c r="IT25" i="2"/>
  <c r="IS25" i="2"/>
  <c r="IT9" i="2"/>
  <c r="IS9" i="2"/>
  <c r="IU9" i="2"/>
  <c r="IW9" i="2" s="1"/>
  <c r="IU29" i="2"/>
  <c r="IW29" i="2" s="1"/>
  <c r="IT29" i="2"/>
  <c r="IS29" i="2"/>
  <c r="IU6" i="2"/>
  <c r="IW6" i="2" s="1"/>
  <c r="IZ6" i="2" s="1"/>
  <c r="JB6" i="2" s="1"/>
  <c r="IS6" i="2"/>
  <c r="IU16" i="2"/>
  <c r="IW16" i="2" s="1"/>
  <c r="IT16" i="2"/>
  <c r="IS16" i="2"/>
  <c r="IU28" i="2"/>
  <c r="IW28" i="2" s="1"/>
  <c r="IS28" i="2"/>
  <c r="IT28" i="2"/>
  <c r="IU19" i="2"/>
  <c r="IW19" i="2" s="1"/>
  <c r="IS19" i="2"/>
  <c r="IT19" i="2"/>
  <c r="IU22" i="2"/>
  <c r="IW22" i="2" s="1"/>
  <c r="IS22" i="2"/>
  <c r="IT22" i="2"/>
  <c r="IU20" i="2"/>
  <c r="IW20" i="2" s="1"/>
  <c r="IT20" i="2"/>
  <c r="IS20" i="2"/>
  <c r="IS3" i="2"/>
  <c r="IR37" i="2"/>
  <c r="IU3" i="2"/>
  <c r="IT3" i="2"/>
  <c r="IU14" i="2"/>
  <c r="IW14" i="2" s="1"/>
  <c r="IT14" i="2"/>
  <c r="IS14" i="2"/>
  <c r="IU8" i="2"/>
  <c r="IW8" i="2" s="1"/>
  <c r="IT8" i="2"/>
  <c r="IS8" i="2"/>
  <c r="IU23" i="2"/>
  <c r="IW23" i="2" s="1"/>
  <c r="IS23" i="2"/>
  <c r="IT23" i="2"/>
  <c r="IQ37" i="2"/>
  <c r="IQ40" i="2" s="1"/>
  <c r="IU15" i="2"/>
  <c r="IW15" i="2" s="1"/>
  <c r="IT15" i="2"/>
  <c r="IS15" i="2"/>
  <c r="IU21" i="2"/>
  <c r="IW21" i="2" s="1"/>
  <c r="IZ21" i="2" s="1"/>
  <c r="JB21" i="2" s="1"/>
  <c r="IS21" i="2"/>
  <c r="IS10" i="2"/>
  <c r="IU10" i="2"/>
  <c r="IW10" i="2" s="1"/>
  <c r="IT10" i="2"/>
  <c r="IS18" i="2"/>
  <c r="IT18" i="2"/>
  <c r="IU18" i="2"/>
  <c r="IW18" i="2" s="1"/>
  <c r="IS26" i="2"/>
  <c r="IU26" i="2"/>
  <c r="IW26" i="2" s="1"/>
  <c r="IZ26" i="2" s="1"/>
  <c r="JB26" i="2" s="1"/>
  <c r="IU4" i="2"/>
  <c r="IW4" i="2" s="1"/>
  <c r="IT4" i="2"/>
  <c r="IS4" i="2"/>
  <c r="IS27" i="2"/>
  <c r="IT27" i="2"/>
  <c r="IU27" i="2"/>
  <c r="IW27" i="2" s="1"/>
  <c r="IU5" i="2"/>
  <c r="IW5" i="2" s="1"/>
  <c r="IT5" i="2"/>
  <c r="IS5" i="2"/>
  <c r="IF43" i="2"/>
  <c r="IV24" i="2" l="1"/>
  <c r="IV37" i="2" s="1"/>
  <c r="IW42" i="2" s="1"/>
  <c r="IX25" i="2"/>
  <c r="IZ25" i="2"/>
  <c r="JB25" i="2" s="1"/>
  <c r="IX17" i="2"/>
  <c r="IZ17" i="2"/>
  <c r="JB17" i="2" s="1"/>
  <c r="IX11" i="2"/>
  <c r="IZ11" i="2"/>
  <c r="JB11" i="2" s="1"/>
  <c r="IX14" i="2"/>
  <c r="IZ14" i="2"/>
  <c r="JB14" i="2" s="1"/>
  <c r="IX28" i="2"/>
  <c r="IZ28" i="2"/>
  <c r="JB28" i="2" s="1"/>
  <c r="IX29" i="2"/>
  <c r="IZ29" i="2"/>
  <c r="JB29" i="2" s="1"/>
  <c r="IX20" i="2"/>
  <c r="IZ20" i="2"/>
  <c r="JB20" i="2" s="1"/>
  <c r="IX4" i="2"/>
  <c r="IZ4" i="2"/>
  <c r="JB4" i="2" s="1"/>
  <c r="IX9" i="2"/>
  <c r="IZ9" i="2"/>
  <c r="JB9" i="2" s="1"/>
  <c r="JE26" i="2"/>
  <c r="JJ26" i="2"/>
  <c r="JK26" i="2" s="1"/>
  <c r="JG26" i="2"/>
  <c r="IX23" i="2"/>
  <c r="IZ23" i="2"/>
  <c r="JB23" i="2" s="1"/>
  <c r="IX22" i="2"/>
  <c r="IZ22" i="2"/>
  <c r="JB22" i="2" s="1"/>
  <c r="IX13" i="2"/>
  <c r="IZ13" i="2"/>
  <c r="JB13" i="2" s="1"/>
  <c r="IX15" i="2"/>
  <c r="IZ15" i="2"/>
  <c r="JB15" i="2" s="1"/>
  <c r="JJ21" i="2"/>
  <c r="JK21" i="2" s="1"/>
  <c r="JE21" i="2"/>
  <c r="JG21" i="2"/>
  <c r="IX16" i="2"/>
  <c r="IZ16" i="2"/>
  <c r="JB16" i="2" s="1"/>
  <c r="IX10" i="2"/>
  <c r="IZ10" i="2"/>
  <c r="JB10" i="2" s="1"/>
  <c r="IX18" i="2"/>
  <c r="IZ18" i="2"/>
  <c r="JB18" i="2" s="1"/>
  <c r="IX12" i="2"/>
  <c r="IZ12" i="2"/>
  <c r="JB12" i="2" s="1"/>
  <c r="IX5" i="2"/>
  <c r="IZ5" i="2"/>
  <c r="JB5" i="2" s="1"/>
  <c r="IX27" i="2"/>
  <c r="IZ27" i="2"/>
  <c r="JB27" i="2" s="1"/>
  <c r="IX8" i="2"/>
  <c r="IZ8" i="2"/>
  <c r="JB8" i="2" s="1"/>
  <c r="IX19" i="2"/>
  <c r="IZ19" i="2"/>
  <c r="JB19" i="2" s="1"/>
  <c r="JG6" i="2"/>
  <c r="JE6" i="2"/>
  <c r="JJ6" i="2"/>
  <c r="JK6" i="2" s="1"/>
  <c r="IX7" i="2"/>
  <c r="IZ7" i="2"/>
  <c r="JB7" i="2" s="1"/>
  <c r="IW39" i="2"/>
  <c r="IU37" i="2"/>
  <c r="IW3" i="2"/>
  <c r="IZ3" i="2" s="1"/>
  <c r="IS37" i="2"/>
  <c r="IW24" i="2" l="1"/>
  <c r="IW37" i="2" s="1"/>
  <c r="JE23" i="2"/>
  <c r="JJ23" i="2"/>
  <c r="JK23" i="2" s="1"/>
  <c r="JG23" i="2"/>
  <c r="JE4" i="2"/>
  <c r="JG4" i="2"/>
  <c r="JJ4" i="2"/>
  <c r="JK4" i="2" s="1"/>
  <c r="JG14" i="2"/>
  <c r="JE14" i="2"/>
  <c r="JJ14" i="2"/>
  <c r="JK14" i="2" s="1"/>
  <c r="JG7" i="2"/>
  <c r="JE7" i="2"/>
  <c r="JJ7" i="2"/>
  <c r="JK7" i="2" s="1"/>
  <c r="JE27" i="2"/>
  <c r="JG27" i="2"/>
  <c r="JJ27" i="2"/>
  <c r="JK27" i="2" s="1"/>
  <c r="JE15" i="2"/>
  <c r="JJ15" i="2"/>
  <c r="JK15" i="2" s="1"/>
  <c r="JG15" i="2"/>
  <c r="JE20" i="2"/>
  <c r="JG20" i="2"/>
  <c r="JJ20" i="2"/>
  <c r="JK20" i="2" s="1"/>
  <c r="JE11" i="2"/>
  <c r="JJ11" i="2"/>
  <c r="JK11" i="2" s="1"/>
  <c r="JG11" i="2"/>
  <c r="JG16" i="2"/>
  <c r="JE16" i="2"/>
  <c r="JJ16" i="2"/>
  <c r="JK16" i="2" s="1"/>
  <c r="JJ13" i="2"/>
  <c r="JK13" i="2" s="1"/>
  <c r="JE13" i="2"/>
  <c r="JG13" i="2"/>
  <c r="JE29" i="2"/>
  <c r="JJ29" i="2"/>
  <c r="JK29" i="2" s="1"/>
  <c r="JG29" i="2"/>
  <c r="JE17" i="2"/>
  <c r="JG17" i="2"/>
  <c r="JJ17" i="2"/>
  <c r="JK17" i="2" s="1"/>
  <c r="JE18" i="2"/>
  <c r="JG18" i="2"/>
  <c r="JJ18" i="2"/>
  <c r="JK18" i="2" s="1"/>
  <c r="JE10" i="2"/>
  <c r="JG10" i="2"/>
  <c r="JJ10" i="2"/>
  <c r="JK10" i="2" s="1"/>
  <c r="JG8" i="2"/>
  <c r="JE8" i="2"/>
  <c r="JJ8" i="2"/>
  <c r="JK8" i="2" s="1"/>
  <c r="JE22" i="2"/>
  <c r="JG22" i="2"/>
  <c r="JJ22" i="2"/>
  <c r="JK22" i="2" s="1"/>
  <c r="JE9" i="2"/>
  <c r="JJ9" i="2"/>
  <c r="JK9" i="2" s="1"/>
  <c r="JG9" i="2"/>
  <c r="JE28" i="2"/>
  <c r="JJ28" i="2"/>
  <c r="JK28" i="2" s="1"/>
  <c r="JG28" i="2"/>
  <c r="JG25" i="2"/>
  <c r="JE25" i="2"/>
  <c r="JJ25" i="2"/>
  <c r="JK25" i="2" s="1"/>
  <c r="JB3" i="2"/>
  <c r="JJ5" i="2"/>
  <c r="JK5" i="2" s="1"/>
  <c r="JE5" i="2"/>
  <c r="JG5" i="2"/>
  <c r="JE19" i="2"/>
  <c r="JJ19" i="2"/>
  <c r="JK19" i="2" s="1"/>
  <c r="JG19" i="2"/>
  <c r="JE12" i="2"/>
  <c r="JG12" i="2"/>
  <c r="JJ12" i="2"/>
  <c r="JK12" i="2" s="1"/>
  <c r="IX3" i="2"/>
  <c r="IZ24" i="2" l="1"/>
  <c r="JB24" i="2" s="1"/>
  <c r="JG24" i="2" s="1"/>
  <c r="IX24" i="2"/>
  <c r="IX43" i="2" s="1"/>
  <c r="JE3" i="2"/>
  <c r="JJ3" i="2"/>
  <c r="JG3" i="2"/>
  <c r="IX39" i="2"/>
  <c r="IW40" i="2"/>
  <c r="IX41" i="2" l="1"/>
  <c r="JJ24" i="2"/>
  <c r="JK24" i="2" s="1"/>
  <c r="IX37" i="2"/>
  <c r="JE24" i="2"/>
  <c r="JB37" i="2"/>
  <c r="IZ37" i="2"/>
  <c r="JK3" i="2"/>
  <c r="JG37" i="2"/>
  <c r="JJ37" i="2" l="1"/>
  <c r="JH26" i="2"/>
  <c r="JH21" i="2"/>
  <c r="JH6" i="2"/>
  <c r="JH5" i="2"/>
  <c r="JH27" i="2"/>
  <c r="JH29" i="2"/>
  <c r="JH22" i="2"/>
  <c r="JH10" i="2"/>
  <c r="JH13" i="2"/>
  <c r="JH8" i="2"/>
  <c r="JH16" i="2"/>
  <c r="JH23" i="2"/>
  <c r="JH17" i="2"/>
  <c r="JH15" i="2"/>
  <c r="JH20" i="2"/>
  <c r="JH9" i="2"/>
  <c r="JH7" i="2"/>
  <c r="JH11" i="2"/>
  <c r="JH18" i="2"/>
  <c r="JH19" i="2"/>
  <c r="JH14" i="2"/>
  <c r="JH28" i="2"/>
  <c r="JH25" i="2"/>
  <c r="JH12" i="2"/>
  <c r="JH4" i="2"/>
  <c r="JH3" i="2"/>
  <c r="JH24" i="2"/>
  <c r="JK37" i="2"/>
  <c r="JH37" i="2" l="1"/>
  <c r="JH40" i="2" s="1"/>
  <c r="JL13" i="2" s="1"/>
  <c r="JM13" i="2" s="1"/>
  <c r="JL5" i="2" l="1"/>
  <c r="JM5" i="2" s="1"/>
  <c r="JN5" i="2" s="1"/>
  <c r="JL24" i="2"/>
  <c r="JM24" i="2" s="1"/>
  <c r="JP24" i="2" s="1"/>
  <c r="JL20" i="2"/>
  <c r="JM20" i="2" s="1"/>
  <c r="JN20" i="2" s="1"/>
  <c r="JL19" i="2"/>
  <c r="JM19" i="2" s="1"/>
  <c r="JP19" i="2" s="1"/>
  <c r="JR19" i="2" s="1"/>
  <c r="JL8" i="2"/>
  <c r="JM8" i="2" s="1"/>
  <c r="JP8" i="2" s="1"/>
  <c r="JR8" i="2" s="1"/>
  <c r="JL9" i="2"/>
  <c r="JM9" i="2" s="1"/>
  <c r="JO9" i="2" s="1"/>
  <c r="JL26" i="2"/>
  <c r="JM26" i="2" s="1"/>
  <c r="JP26" i="2" s="1"/>
  <c r="JR26" i="2" s="1"/>
  <c r="JU26" i="2" s="1"/>
  <c r="JW26" i="2" s="1"/>
  <c r="JP13" i="2"/>
  <c r="JR13" i="2" s="1"/>
  <c r="JO13" i="2"/>
  <c r="JN13" i="2"/>
  <c r="JL21" i="2"/>
  <c r="JL15" i="2"/>
  <c r="JM15" i="2" s="1"/>
  <c r="JL11" i="2"/>
  <c r="JM11" i="2" s="1"/>
  <c r="JL6" i="2"/>
  <c r="JM6" i="2" s="1"/>
  <c r="JL17" i="2"/>
  <c r="JM17" i="2" s="1"/>
  <c r="JL27" i="2"/>
  <c r="JM27" i="2" s="1"/>
  <c r="JL14" i="2"/>
  <c r="JM14" i="2" s="1"/>
  <c r="JL7" i="2"/>
  <c r="JM7" i="2" s="1"/>
  <c r="JL22" i="2"/>
  <c r="JM22" i="2" s="1"/>
  <c r="JL12" i="2"/>
  <c r="JM12" i="2" s="1"/>
  <c r="JL23" i="2"/>
  <c r="JM23" i="2" s="1"/>
  <c r="JL10" i="2"/>
  <c r="JM10" i="2" s="1"/>
  <c r="JL25" i="2"/>
  <c r="JM25" i="2" s="1"/>
  <c r="JL28" i="2"/>
  <c r="JM28" i="2" s="1"/>
  <c r="JL3" i="2"/>
  <c r="JL29" i="2"/>
  <c r="JM29" i="2" s="1"/>
  <c r="JL4" i="2"/>
  <c r="JM4" i="2" s="1"/>
  <c r="JL16" i="2"/>
  <c r="JM16" i="2" s="1"/>
  <c r="JL18" i="2"/>
  <c r="JM18" i="2" s="1"/>
  <c r="JP20" i="2" l="1"/>
  <c r="JR20" i="2" s="1"/>
  <c r="JS20" i="2" s="1"/>
  <c r="JO5" i="2"/>
  <c r="JP5" i="2"/>
  <c r="JR5" i="2" s="1"/>
  <c r="JU5" i="2" s="1"/>
  <c r="JW5" i="2" s="1"/>
  <c r="KB26" i="2"/>
  <c r="JZ26" i="2"/>
  <c r="KE26" i="2"/>
  <c r="KF26" i="2" s="1"/>
  <c r="JS8" i="2"/>
  <c r="JU8" i="2"/>
  <c r="JW8" i="2" s="1"/>
  <c r="JS19" i="2"/>
  <c r="JU19" i="2"/>
  <c r="JW19" i="2" s="1"/>
  <c r="JS13" i="2"/>
  <c r="JU13" i="2"/>
  <c r="JW13" i="2" s="1"/>
  <c r="JP9" i="2"/>
  <c r="JR9" i="2" s="1"/>
  <c r="JN9" i="2"/>
  <c r="JO19" i="2"/>
  <c r="JO20" i="2"/>
  <c r="JN8" i="2"/>
  <c r="JO8" i="2"/>
  <c r="JO24" i="2"/>
  <c r="JN24" i="2"/>
  <c r="JN19" i="2"/>
  <c r="JN26" i="2"/>
  <c r="JP12" i="2"/>
  <c r="JR12" i="2" s="1"/>
  <c r="JO12" i="2"/>
  <c r="JN12" i="2"/>
  <c r="JP11" i="2"/>
  <c r="JR11" i="2" s="1"/>
  <c r="JO11" i="2"/>
  <c r="JN11" i="2"/>
  <c r="JP7" i="2"/>
  <c r="JR7" i="2" s="1"/>
  <c r="JO7" i="2"/>
  <c r="JN7" i="2"/>
  <c r="JL37" i="2"/>
  <c r="JL40" i="2" s="1"/>
  <c r="JQ24" i="2" s="1"/>
  <c r="JQ37" i="2" s="1"/>
  <c r="JR42" i="2" s="1"/>
  <c r="JM3" i="2"/>
  <c r="JP28" i="2"/>
  <c r="JR28" i="2" s="1"/>
  <c r="JO28" i="2"/>
  <c r="JN28" i="2"/>
  <c r="JP14" i="2"/>
  <c r="JR14" i="2" s="1"/>
  <c r="JO14" i="2"/>
  <c r="JN14" i="2"/>
  <c r="JP15" i="2"/>
  <c r="JR15" i="2" s="1"/>
  <c r="JO15" i="2"/>
  <c r="JN15" i="2"/>
  <c r="JN27" i="2"/>
  <c r="JP27" i="2"/>
  <c r="JR27" i="2" s="1"/>
  <c r="JO27" i="2"/>
  <c r="JP23" i="2"/>
  <c r="JR23" i="2" s="1"/>
  <c r="JN23" i="2"/>
  <c r="JO23" i="2"/>
  <c r="JM21" i="2"/>
  <c r="JA43" i="2"/>
  <c r="JP25" i="2"/>
  <c r="JR25" i="2" s="1"/>
  <c r="JO25" i="2"/>
  <c r="JN25" i="2"/>
  <c r="JN10" i="2"/>
  <c r="JP10" i="2"/>
  <c r="JR10" i="2" s="1"/>
  <c r="JO10" i="2"/>
  <c r="JO17" i="2"/>
  <c r="JN17" i="2"/>
  <c r="JP17" i="2"/>
  <c r="JR17" i="2" s="1"/>
  <c r="JP29" i="2"/>
  <c r="JR29" i="2" s="1"/>
  <c r="JO29" i="2"/>
  <c r="JN29" i="2"/>
  <c r="JP22" i="2"/>
  <c r="JR22" i="2" s="1"/>
  <c r="JN22" i="2"/>
  <c r="JO22" i="2"/>
  <c r="JN18" i="2"/>
  <c r="JP18" i="2"/>
  <c r="JR18" i="2" s="1"/>
  <c r="JO18" i="2"/>
  <c r="JP16" i="2"/>
  <c r="JR16" i="2" s="1"/>
  <c r="JO16" i="2"/>
  <c r="JN16" i="2"/>
  <c r="JP4" i="2"/>
  <c r="JR4" i="2" s="1"/>
  <c r="JO4" i="2"/>
  <c r="JN4" i="2"/>
  <c r="JP6" i="2"/>
  <c r="JR6" i="2" s="1"/>
  <c r="JU6" i="2" s="1"/>
  <c r="JW6" i="2" s="1"/>
  <c r="JN6" i="2"/>
  <c r="JS5" i="2" l="1"/>
  <c r="JU20" i="2"/>
  <c r="JW20" i="2" s="1"/>
  <c r="KE20" i="2" s="1"/>
  <c r="KF20" i="2" s="1"/>
  <c r="JS23" i="2"/>
  <c r="JU23" i="2"/>
  <c r="JW23" i="2" s="1"/>
  <c r="JZ19" i="2"/>
  <c r="KB19" i="2"/>
  <c r="KE19" i="2"/>
  <c r="KF19" i="2" s="1"/>
  <c r="JS14" i="2"/>
  <c r="JU14" i="2"/>
  <c r="JW14" i="2" s="1"/>
  <c r="JS7" i="2"/>
  <c r="JU7" i="2"/>
  <c r="JW7" i="2" s="1"/>
  <c r="JS9" i="2"/>
  <c r="JU9" i="2"/>
  <c r="JW9" i="2" s="1"/>
  <c r="JS27" i="2"/>
  <c r="JU27" i="2"/>
  <c r="JW27" i="2" s="1"/>
  <c r="JZ8" i="2"/>
  <c r="KE8" i="2"/>
  <c r="KF8" i="2" s="1"/>
  <c r="KB8" i="2"/>
  <c r="JS17" i="2"/>
  <c r="JU17" i="2"/>
  <c r="JW17" i="2" s="1"/>
  <c r="JS29" i="2"/>
  <c r="JU29" i="2"/>
  <c r="JW29" i="2" s="1"/>
  <c r="JS28" i="2"/>
  <c r="JU28" i="2"/>
  <c r="JW28" i="2" s="1"/>
  <c r="JS11" i="2"/>
  <c r="JU11" i="2"/>
  <c r="JW11" i="2" s="1"/>
  <c r="JZ13" i="2"/>
  <c r="KB13" i="2"/>
  <c r="KE13" i="2"/>
  <c r="KF13" i="2" s="1"/>
  <c r="KE6" i="2"/>
  <c r="KF6" i="2" s="1"/>
  <c r="JZ6" i="2"/>
  <c r="KB6" i="2"/>
  <c r="JS18" i="2"/>
  <c r="JU18" i="2"/>
  <c r="JW18" i="2" s="1"/>
  <c r="JS15" i="2"/>
  <c r="JU15" i="2"/>
  <c r="JW15" i="2" s="1"/>
  <c r="JZ5" i="2"/>
  <c r="KB5" i="2"/>
  <c r="KE5" i="2"/>
  <c r="KF5" i="2" s="1"/>
  <c r="JS16" i="2"/>
  <c r="JU16" i="2"/>
  <c r="JW16" i="2" s="1"/>
  <c r="JS25" i="2"/>
  <c r="JU25" i="2"/>
  <c r="JW25" i="2" s="1"/>
  <c r="JS4" i="2"/>
  <c r="JU4" i="2"/>
  <c r="JW4" i="2" s="1"/>
  <c r="JS22" i="2"/>
  <c r="JU22" i="2"/>
  <c r="JW22" i="2" s="1"/>
  <c r="JS10" i="2"/>
  <c r="JU10" i="2"/>
  <c r="JW10" i="2" s="1"/>
  <c r="JS12" i="2"/>
  <c r="JU12" i="2"/>
  <c r="JW12" i="2" s="1"/>
  <c r="JR24" i="2"/>
  <c r="JP21" i="2"/>
  <c r="JR21" i="2" s="1"/>
  <c r="JN21" i="2"/>
  <c r="JM37" i="2"/>
  <c r="JP3" i="2"/>
  <c r="JO3" i="2"/>
  <c r="JN3" i="2"/>
  <c r="KB20" i="2" l="1"/>
  <c r="JZ20" i="2"/>
  <c r="KB17" i="2"/>
  <c r="JZ17" i="2"/>
  <c r="KE17" i="2"/>
  <c r="KF17" i="2" s="1"/>
  <c r="KE14" i="2"/>
  <c r="KF14" i="2" s="1"/>
  <c r="JZ14" i="2"/>
  <c r="KB14" i="2"/>
  <c r="JZ11" i="2"/>
  <c r="KB11" i="2"/>
  <c r="KE11" i="2"/>
  <c r="KF11" i="2" s="1"/>
  <c r="JZ27" i="2"/>
  <c r="KE27" i="2"/>
  <c r="KF27" i="2" s="1"/>
  <c r="KB27" i="2"/>
  <c r="JZ22" i="2"/>
  <c r="KE22" i="2"/>
  <c r="KF22" i="2" s="1"/>
  <c r="KB22" i="2"/>
  <c r="JZ28" i="2"/>
  <c r="KB28" i="2"/>
  <c r="KE28" i="2"/>
  <c r="KF28" i="2" s="1"/>
  <c r="KB9" i="2"/>
  <c r="JZ9" i="2"/>
  <c r="KE9" i="2"/>
  <c r="KF9" i="2" s="1"/>
  <c r="JN37" i="2"/>
  <c r="KE12" i="2"/>
  <c r="KF12" i="2" s="1"/>
  <c r="JZ12" i="2"/>
  <c r="KB12" i="2"/>
  <c r="KB25" i="2"/>
  <c r="JZ25" i="2"/>
  <c r="KE25" i="2"/>
  <c r="KF25" i="2" s="1"/>
  <c r="KB15" i="2"/>
  <c r="JZ15" i="2"/>
  <c r="KE15" i="2"/>
  <c r="KF15" i="2" s="1"/>
  <c r="JR39" i="2"/>
  <c r="JU21" i="2"/>
  <c r="JW21" i="2" s="1"/>
  <c r="KE4" i="2"/>
  <c r="KF4" i="2" s="1"/>
  <c r="JZ4" i="2"/>
  <c r="KB4" i="2"/>
  <c r="KE29" i="2"/>
  <c r="KF29" i="2" s="1"/>
  <c r="JZ29" i="2"/>
  <c r="KB29" i="2"/>
  <c r="KB7" i="2"/>
  <c r="JZ7" i="2"/>
  <c r="KE7" i="2"/>
  <c r="KF7" i="2" s="1"/>
  <c r="JZ23" i="2"/>
  <c r="KB23" i="2"/>
  <c r="KE23" i="2"/>
  <c r="KF23" i="2" s="1"/>
  <c r="JS24" i="2"/>
  <c r="JU24" i="2"/>
  <c r="JW24" i="2" s="1"/>
  <c r="JZ10" i="2"/>
  <c r="KE10" i="2"/>
  <c r="KF10" i="2" s="1"/>
  <c r="KB10" i="2"/>
  <c r="KE16" i="2"/>
  <c r="KF16" i="2" s="1"/>
  <c r="KB16" i="2"/>
  <c r="JZ16" i="2"/>
  <c r="JZ18" i="2"/>
  <c r="KE18" i="2"/>
  <c r="KF18" i="2" s="1"/>
  <c r="KB18" i="2"/>
  <c r="JP37" i="2"/>
  <c r="JR3" i="2"/>
  <c r="JU3" i="2" s="1"/>
  <c r="JZ24" i="2" l="1"/>
  <c r="KE24" i="2"/>
  <c r="KF24" i="2" s="1"/>
  <c r="KB24" i="2"/>
  <c r="JW3" i="2"/>
  <c r="JU37" i="2"/>
  <c r="KE21" i="2"/>
  <c r="KF21" i="2" s="1"/>
  <c r="KB21" i="2"/>
  <c r="JZ21" i="2"/>
  <c r="JS3" i="2"/>
  <c r="JR37" i="2"/>
  <c r="JZ3" i="2" l="1"/>
  <c r="JW37" i="2"/>
  <c r="KB3" i="2"/>
  <c r="KE3" i="2"/>
  <c r="JS39" i="2"/>
  <c r="JR40" i="2"/>
  <c r="JS43" i="2"/>
  <c r="JS41" i="2"/>
  <c r="JS37" i="2"/>
  <c r="KB37" i="2" l="1"/>
  <c r="KF3" i="2"/>
  <c r="KE37" i="2"/>
  <c r="KF37" i="2" l="1"/>
  <c r="KC26" i="2"/>
  <c r="KC6" i="2"/>
  <c r="KC5" i="2"/>
  <c r="KC19" i="2"/>
  <c r="KC20" i="2"/>
  <c r="KC13" i="2"/>
  <c r="KC8" i="2"/>
  <c r="KC7" i="2"/>
  <c r="KC23" i="2"/>
  <c r="KC10" i="2"/>
  <c r="KC28" i="2"/>
  <c r="KC18" i="2"/>
  <c r="KC16" i="2"/>
  <c r="KC12" i="2"/>
  <c r="KC9" i="2"/>
  <c r="KC14" i="2"/>
  <c r="KC15" i="2"/>
  <c r="KC25" i="2"/>
  <c r="KC11" i="2"/>
  <c r="KC29" i="2"/>
  <c r="KC17" i="2"/>
  <c r="KC4" i="2"/>
  <c r="KC27" i="2"/>
  <c r="KC22" i="2"/>
  <c r="KC21" i="2"/>
  <c r="KC24" i="2"/>
  <c r="KC3" i="2"/>
  <c r="KC37" i="2" l="1"/>
  <c r="KC40" i="2" s="1"/>
  <c r="KG19" i="2" s="1"/>
  <c r="KH19" i="2" s="1"/>
  <c r="KG26" i="2" l="1"/>
  <c r="KH26" i="2" s="1"/>
  <c r="KK26" i="2" s="1"/>
  <c r="KM26" i="2" s="1"/>
  <c r="KP26" i="2" s="1"/>
  <c r="KR26" i="2" s="1"/>
  <c r="KG28" i="2"/>
  <c r="KH28" i="2" s="1"/>
  <c r="KJ28" i="2" s="1"/>
  <c r="KG9" i="2"/>
  <c r="KH9" i="2" s="1"/>
  <c r="KJ9" i="2" s="1"/>
  <c r="KG15" i="2"/>
  <c r="KH15" i="2" s="1"/>
  <c r="KK15" i="2" s="1"/>
  <c r="KM15" i="2" s="1"/>
  <c r="KG17" i="2"/>
  <c r="KH17" i="2" s="1"/>
  <c r="KI17" i="2" s="1"/>
  <c r="KG21" i="2"/>
  <c r="KH21" i="2" s="1"/>
  <c r="KG7" i="2"/>
  <c r="KH7" i="2" s="1"/>
  <c r="KK7" i="2" s="1"/>
  <c r="KM7" i="2" s="1"/>
  <c r="KG12" i="2"/>
  <c r="KH12" i="2" s="1"/>
  <c r="KK12" i="2" s="1"/>
  <c r="KM12" i="2" s="1"/>
  <c r="KG8" i="2"/>
  <c r="KH8" i="2" s="1"/>
  <c r="KK8" i="2" s="1"/>
  <c r="KM8" i="2" s="1"/>
  <c r="KG24" i="2"/>
  <c r="KH24" i="2" s="1"/>
  <c r="KK24" i="2" s="1"/>
  <c r="KG5" i="2"/>
  <c r="KH5" i="2" s="1"/>
  <c r="KK5" i="2" s="1"/>
  <c r="KM5" i="2" s="1"/>
  <c r="KG29" i="2"/>
  <c r="KH29" i="2" s="1"/>
  <c r="KJ29" i="2" s="1"/>
  <c r="KG20" i="2"/>
  <c r="KH20" i="2" s="1"/>
  <c r="KI20" i="2" s="1"/>
  <c r="KG22" i="2"/>
  <c r="KH22" i="2" s="1"/>
  <c r="KI22" i="2" s="1"/>
  <c r="KG16" i="2"/>
  <c r="KH16" i="2" s="1"/>
  <c r="KK16" i="2" s="1"/>
  <c r="KM16" i="2" s="1"/>
  <c r="KG25" i="2"/>
  <c r="KH25" i="2" s="1"/>
  <c r="KK25" i="2" s="1"/>
  <c r="KM25" i="2" s="1"/>
  <c r="KG14" i="2"/>
  <c r="KH14" i="2" s="1"/>
  <c r="KI14" i="2" s="1"/>
  <c r="KG27" i="2"/>
  <c r="KH27" i="2" s="1"/>
  <c r="KI27" i="2" s="1"/>
  <c r="KG6" i="2"/>
  <c r="KH6" i="2" s="1"/>
  <c r="KK6" i="2" s="1"/>
  <c r="KM6" i="2" s="1"/>
  <c r="KP6" i="2" s="1"/>
  <c r="KR6" i="2" s="1"/>
  <c r="KG11" i="2"/>
  <c r="KH11" i="2" s="1"/>
  <c r="KK11" i="2" s="1"/>
  <c r="KM11" i="2" s="1"/>
  <c r="KG18" i="2"/>
  <c r="KH18" i="2" s="1"/>
  <c r="KI18" i="2" s="1"/>
  <c r="KG3" i="2"/>
  <c r="KH3" i="2" s="1"/>
  <c r="KG4" i="2"/>
  <c r="KH4" i="2" s="1"/>
  <c r="KI4" i="2" s="1"/>
  <c r="KG10" i="2"/>
  <c r="KH10" i="2" s="1"/>
  <c r="KI10" i="2" s="1"/>
  <c r="KK19" i="2"/>
  <c r="KM19" i="2" s="1"/>
  <c r="KJ19" i="2"/>
  <c r="KI19" i="2"/>
  <c r="KG23" i="2"/>
  <c r="KH23" i="2" s="1"/>
  <c r="KG13" i="2"/>
  <c r="KH13" i="2" s="1"/>
  <c r="KI8" i="2" l="1"/>
  <c r="KI26" i="2"/>
  <c r="KJ8" i="2"/>
  <c r="KJ14" i="2"/>
  <c r="KI28" i="2"/>
  <c r="KI15" i="2"/>
  <c r="KJ15" i="2"/>
  <c r="KJ17" i="2"/>
  <c r="KK9" i="2"/>
  <c r="KM9" i="2" s="1"/>
  <c r="KN9" i="2" s="1"/>
  <c r="KI9" i="2"/>
  <c r="KK29" i="2"/>
  <c r="KM29" i="2" s="1"/>
  <c r="KP29" i="2" s="1"/>
  <c r="KR29" i="2" s="1"/>
  <c r="KJ18" i="2"/>
  <c r="KK28" i="2"/>
  <c r="KM28" i="2" s="1"/>
  <c r="KP28" i="2" s="1"/>
  <c r="KR28" i="2" s="1"/>
  <c r="KI5" i="2"/>
  <c r="KI6" i="2"/>
  <c r="KJ5" i="2"/>
  <c r="KK14" i="2"/>
  <c r="KM14" i="2" s="1"/>
  <c r="KN14" i="2" s="1"/>
  <c r="KJ27" i="2"/>
  <c r="KJ24" i="2"/>
  <c r="KK27" i="2"/>
  <c r="KM27" i="2" s="1"/>
  <c r="KN27" i="2" s="1"/>
  <c r="KI24" i="2"/>
  <c r="KK22" i="2"/>
  <c r="KM22" i="2" s="1"/>
  <c r="KN22" i="2" s="1"/>
  <c r="KN25" i="2"/>
  <c r="KP25" i="2"/>
  <c r="KR25" i="2" s="1"/>
  <c r="KN12" i="2"/>
  <c r="KP12" i="2"/>
  <c r="KR12" i="2" s="1"/>
  <c r="KN16" i="2"/>
  <c r="KP16" i="2"/>
  <c r="KR16" i="2" s="1"/>
  <c r="KN7" i="2"/>
  <c r="KP7" i="2"/>
  <c r="KR7" i="2" s="1"/>
  <c r="KN19" i="2"/>
  <c r="KP19" i="2"/>
  <c r="KR19" i="2" s="1"/>
  <c r="KN11" i="2"/>
  <c r="KP11" i="2"/>
  <c r="KR11" i="2" s="1"/>
  <c r="KN15" i="2"/>
  <c r="KP15" i="2"/>
  <c r="KR15" i="2" s="1"/>
  <c r="KW6" i="2"/>
  <c r="KU6" i="2"/>
  <c r="KZ6" i="2"/>
  <c r="LA6" i="2" s="1"/>
  <c r="KN8" i="2"/>
  <c r="KP8" i="2"/>
  <c r="KR8" i="2" s="1"/>
  <c r="KN5" i="2"/>
  <c r="KP5" i="2"/>
  <c r="KR5" i="2" s="1"/>
  <c r="KU26" i="2"/>
  <c r="KZ26" i="2"/>
  <c r="LA26" i="2" s="1"/>
  <c r="KW26" i="2"/>
  <c r="KJ11" i="2"/>
  <c r="KI16" i="2"/>
  <c r="KJ22" i="2"/>
  <c r="KI29" i="2"/>
  <c r="KK17" i="2"/>
  <c r="KM17" i="2" s="1"/>
  <c r="KI11" i="2"/>
  <c r="KK4" i="2"/>
  <c r="KM4" i="2" s="1"/>
  <c r="KK18" i="2"/>
  <c r="KM18" i="2" s="1"/>
  <c r="KJ20" i="2"/>
  <c r="KK20" i="2"/>
  <c r="KM20" i="2" s="1"/>
  <c r="KJ12" i="2"/>
  <c r="KI25" i="2"/>
  <c r="KJ10" i="2"/>
  <c r="KI12" i="2"/>
  <c r="KJ25" i="2"/>
  <c r="KK10" i="2"/>
  <c r="KM10" i="2" s="1"/>
  <c r="KJ16" i="2"/>
  <c r="KI7" i="2"/>
  <c r="KJ4" i="2"/>
  <c r="KJ7" i="2"/>
  <c r="KK21" i="2"/>
  <c r="KM21" i="2" s="1"/>
  <c r="KP21" i="2" s="1"/>
  <c r="KR21" i="2" s="1"/>
  <c r="KI21" i="2"/>
  <c r="JV43" i="2"/>
  <c r="KG37" i="2"/>
  <c r="KG40" i="2" s="1"/>
  <c r="KJ3" i="2"/>
  <c r="KH37" i="2"/>
  <c r="KK3" i="2"/>
  <c r="KI3" i="2"/>
  <c r="KK13" i="2"/>
  <c r="KM13" i="2" s="1"/>
  <c r="KJ13" i="2"/>
  <c r="KI13" i="2"/>
  <c r="KK23" i="2"/>
  <c r="KM23" i="2" s="1"/>
  <c r="KI23" i="2"/>
  <c r="KJ23" i="2"/>
  <c r="KN29" i="2" l="1"/>
  <c r="KN28" i="2"/>
  <c r="KP9" i="2"/>
  <c r="KR9" i="2" s="1"/>
  <c r="KU9" i="2" s="1"/>
  <c r="KP14" i="2"/>
  <c r="KR14" i="2" s="1"/>
  <c r="KZ14" i="2" s="1"/>
  <c r="LA14" i="2" s="1"/>
  <c r="KP27" i="2"/>
  <c r="KR27" i="2" s="1"/>
  <c r="KU27" i="2" s="1"/>
  <c r="KP22" i="2"/>
  <c r="KR22" i="2" s="1"/>
  <c r="KU22" i="2" s="1"/>
  <c r="KN10" i="2"/>
  <c r="KP10" i="2"/>
  <c r="KR10" i="2" s="1"/>
  <c r="KU11" i="2"/>
  <c r="KW11" i="2"/>
  <c r="KZ11" i="2"/>
  <c r="LA11" i="2" s="1"/>
  <c r="KW16" i="2"/>
  <c r="KZ16" i="2"/>
  <c r="LA16" i="2" s="1"/>
  <c r="KU16" i="2"/>
  <c r="KN20" i="2"/>
  <c r="KP20" i="2"/>
  <c r="KR20" i="2" s="1"/>
  <c r="KN4" i="2"/>
  <c r="KP4" i="2"/>
  <c r="KR4" i="2" s="1"/>
  <c r="KU15" i="2"/>
  <c r="KZ15" i="2"/>
  <c r="LA15" i="2" s="1"/>
  <c r="KW15" i="2"/>
  <c r="KU19" i="2"/>
  <c r="KW19" i="2"/>
  <c r="KZ19" i="2"/>
  <c r="LA19" i="2" s="1"/>
  <c r="KU12" i="2"/>
  <c r="KZ12" i="2"/>
  <c r="LA12" i="2" s="1"/>
  <c r="KW12" i="2"/>
  <c r="KU7" i="2"/>
  <c r="KZ7" i="2"/>
  <c r="LA7" i="2" s="1"/>
  <c r="KW7" i="2"/>
  <c r="KN18" i="2"/>
  <c r="KP18" i="2"/>
  <c r="KR18" i="2" s="1"/>
  <c r="KZ21" i="2"/>
  <c r="LA21" i="2" s="1"/>
  <c r="KU21" i="2"/>
  <c r="KW21" i="2"/>
  <c r="KN17" i="2"/>
  <c r="KP17" i="2"/>
  <c r="KR17" i="2" s="1"/>
  <c r="KN23" i="2"/>
  <c r="KP23" i="2"/>
  <c r="KR23" i="2" s="1"/>
  <c r="KN13" i="2"/>
  <c r="KP13" i="2"/>
  <c r="KR13" i="2" s="1"/>
  <c r="KU28" i="2"/>
  <c r="KW28" i="2"/>
  <c r="KZ28" i="2"/>
  <c r="LA28" i="2" s="1"/>
  <c r="KZ5" i="2"/>
  <c r="LA5" i="2" s="1"/>
  <c r="KU5" i="2"/>
  <c r="KW5" i="2"/>
  <c r="KU29" i="2"/>
  <c r="KZ29" i="2"/>
  <c r="LA29" i="2" s="1"/>
  <c r="KW29" i="2"/>
  <c r="KW25" i="2"/>
  <c r="KU25" i="2"/>
  <c r="KZ25" i="2"/>
  <c r="LA25" i="2" s="1"/>
  <c r="KW8" i="2"/>
  <c r="KU8" i="2"/>
  <c r="KZ8" i="2"/>
  <c r="LA8" i="2" s="1"/>
  <c r="KI37" i="2"/>
  <c r="KK37" i="2"/>
  <c r="KM3" i="2"/>
  <c r="KP3" i="2" s="1"/>
  <c r="KL24" i="2"/>
  <c r="KM39" i="2"/>
  <c r="KW9" i="2" l="1"/>
  <c r="KZ9" i="2"/>
  <c r="LA9" i="2" s="1"/>
  <c r="KZ27" i="2"/>
  <c r="LA27" i="2" s="1"/>
  <c r="KW27" i="2"/>
  <c r="KU14" i="2"/>
  <c r="KW14" i="2"/>
  <c r="KZ22" i="2"/>
  <c r="LA22" i="2" s="1"/>
  <c r="KW22" i="2"/>
  <c r="KU20" i="2"/>
  <c r="KW20" i="2"/>
  <c r="KZ20" i="2"/>
  <c r="LA20" i="2" s="1"/>
  <c r="KU23" i="2"/>
  <c r="KW23" i="2"/>
  <c r="KZ23" i="2"/>
  <c r="LA23" i="2" s="1"/>
  <c r="KU18" i="2"/>
  <c r="KW18" i="2"/>
  <c r="KZ18" i="2"/>
  <c r="LA18" i="2" s="1"/>
  <c r="KU10" i="2"/>
  <c r="KW10" i="2"/>
  <c r="KZ10" i="2"/>
  <c r="LA10" i="2" s="1"/>
  <c r="KR3" i="2"/>
  <c r="KU17" i="2"/>
  <c r="KW17" i="2"/>
  <c r="KZ17" i="2"/>
  <c r="LA17" i="2" s="1"/>
  <c r="KU4" i="2"/>
  <c r="KZ4" i="2"/>
  <c r="LA4" i="2" s="1"/>
  <c r="KW4" i="2"/>
  <c r="KZ13" i="2"/>
  <c r="LA13" i="2" s="1"/>
  <c r="KU13" i="2"/>
  <c r="KW13" i="2"/>
  <c r="KL37" i="2"/>
  <c r="KM42" i="2" s="1"/>
  <c r="KM24" i="2"/>
  <c r="KN3" i="2"/>
  <c r="KN24" i="2" l="1"/>
  <c r="KN43" i="2" s="1"/>
  <c r="KP24" i="2"/>
  <c r="KM37" i="2"/>
  <c r="KN39" i="2" s="1"/>
  <c r="KU3" i="2"/>
  <c r="KW3" i="2"/>
  <c r="KZ3" i="2"/>
  <c r="KN41" i="2" l="1"/>
  <c r="KN37" i="2"/>
  <c r="KM40" i="2"/>
  <c r="LA3" i="2"/>
  <c r="KR24" i="2"/>
  <c r="KP37" i="2"/>
  <c r="KU24" i="2" l="1"/>
  <c r="KW24" i="2"/>
  <c r="KZ24" i="2"/>
  <c r="KR37" i="2"/>
  <c r="KW37" i="2" l="1"/>
  <c r="LA24" i="2"/>
  <c r="KZ37" i="2"/>
  <c r="LA37" i="2" l="1"/>
  <c r="KX6" i="2"/>
  <c r="KX26" i="2"/>
  <c r="KX14" i="2"/>
  <c r="KX27" i="2"/>
  <c r="KX5" i="2"/>
  <c r="KX25" i="2"/>
  <c r="KX7" i="2"/>
  <c r="KX28" i="2"/>
  <c r="KX9" i="2"/>
  <c r="KX21" i="2"/>
  <c r="KX29" i="2"/>
  <c r="KX16" i="2"/>
  <c r="KX22" i="2"/>
  <c r="KX12" i="2"/>
  <c r="KX11" i="2"/>
  <c r="KX8" i="2"/>
  <c r="KX19" i="2"/>
  <c r="KX15" i="2"/>
  <c r="KX13" i="2"/>
  <c r="KX4" i="2"/>
  <c r="KX23" i="2"/>
  <c r="KX18" i="2"/>
  <c r="KX17" i="2"/>
  <c r="KX10" i="2"/>
  <c r="KX20" i="2"/>
  <c r="KX3" i="2"/>
  <c r="KX24" i="2"/>
  <c r="KX37" i="2" l="1"/>
  <c r="KX40" i="2" s="1"/>
  <c r="LB5" i="2" s="1"/>
  <c r="LC5" i="2" s="1"/>
  <c r="LB20" i="2" l="1"/>
  <c r="LC20" i="2" s="1"/>
  <c r="LF20" i="2" s="1"/>
  <c r="LH20" i="2" s="1"/>
  <c r="LB3" i="2"/>
  <c r="LC3" i="2" s="1"/>
  <c r="LE3" i="2" s="1"/>
  <c r="LB17" i="2"/>
  <c r="LC17" i="2" s="1"/>
  <c r="LD17" i="2" s="1"/>
  <c r="LB24" i="2"/>
  <c r="LC24" i="2" s="1"/>
  <c r="LF24" i="2" s="1"/>
  <c r="LB18" i="2"/>
  <c r="LC18" i="2" s="1"/>
  <c r="LD18" i="2" s="1"/>
  <c r="LB13" i="2"/>
  <c r="LC13" i="2" s="1"/>
  <c r="LE13" i="2" s="1"/>
  <c r="LB4" i="2"/>
  <c r="LC4" i="2" s="1"/>
  <c r="LF4" i="2" s="1"/>
  <c r="LH4" i="2" s="1"/>
  <c r="LB14" i="2"/>
  <c r="LC14" i="2" s="1"/>
  <c r="LE14" i="2" s="1"/>
  <c r="LB9" i="2"/>
  <c r="LC9" i="2" s="1"/>
  <c r="LF9" i="2" s="1"/>
  <c r="LH9" i="2" s="1"/>
  <c r="LB25" i="2"/>
  <c r="LC25" i="2" s="1"/>
  <c r="LF25" i="2" s="1"/>
  <c r="LH25" i="2" s="1"/>
  <c r="LB11" i="2"/>
  <c r="LC11" i="2" s="1"/>
  <c r="LF11" i="2" s="1"/>
  <c r="LH11" i="2" s="1"/>
  <c r="LB7" i="2"/>
  <c r="LC7" i="2" s="1"/>
  <c r="LF7" i="2" s="1"/>
  <c r="LH7" i="2" s="1"/>
  <c r="LB28" i="2"/>
  <c r="LC28" i="2" s="1"/>
  <c r="LF28" i="2" s="1"/>
  <c r="LH28" i="2" s="1"/>
  <c r="LB10" i="2"/>
  <c r="LC10" i="2" s="1"/>
  <c r="LD10" i="2" s="1"/>
  <c r="LB23" i="2"/>
  <c r="LC23" i="2" s="1"/>
  <c r="LF23" i="2" s="1"/>
  <c r="LH23" i="2" s="1"/>
  <c r="LB29" i="2"/>
  <c r="LC29" i="2" s="1"/>
  <c r="LE29" i="2" s="1"/>
  <c r="LB15" i="2"/>
  <c r="LC15" i="2" s="1"/>
  <c r="LF15" i="2" s="1"/>
  <c r="LH15" i="2" s="1"/>
  <c r="LB22" i="2"/>
  <c r="LC22" i="2" s="1"/>
  <c r="LD22" i="2" s="1"/>
  <c r="LB19" i="2"/>
  <c r="LC19" i="2" s="1"/>
  <c r="LD19" i="2" s="1"/>
  <c r="LB8" i="2"/>
  <c r="LC8" i="2" s="1"/>
  <c r="LF8" i="2" s="1"/>
  <c r="LH8" i="2" s="1"/>
  <c r="LB16" i="2"/>
  <c r="LC16" i="2" s="1"/>
  <c r="LF16" i="2" s="1"/>
  <c r="LH16" i="2" s="1"/>
  <c r="LB12" i="2"/>
  <c r="LC12" i="2" s="1"/>
  <c r="LE12" i="2" s="1"/>
  <c r="LB27" i="2"/>
  <c r="LC27" i="2" s="1"/>
  <c r="LD27" i="2" s="1"/>
  <c r="LB6" i="2"/>
  <c r="LC6" i="2" s="1"/>
  <c r="LD6" i="2" s="1"/>
  <c r="LF5" i="2"/>
  <c r="LH5" i="2" s="1"/>
  <c r="LE5" i="2"/>
  <c r="LD5" i="2"/>
  <c r="LB21" i="2"/>
  <c r="LB26" i="2"/>
  <c r="LC26" i="2" s="1"/>
  <c r="LE11" i="2" l="1"/>
  <c r="LF17" i="2"/>
  <c r="LH17" i="2" s="1"/>
  <c r="LK17" i="2" s="1"/>
  <c r="LM17" i="2" s="1"/>
  <c r="LE17" i="2"/>
  <c r="LD25" i="2"/>
  <c r="LE25" i="2"/>
  <c r="LF22" i="2"/>
  <c r="LH22" i="2" s="1"/>
  <c r="LI22" i="2" s="1"/>
  <c r="LE24" i="2"/>
  <c r="LD7" i="2"/>
  <c r="LE7" i="2"/>
  <c r="LD3" i="2"/>
  <c r="LF3" i="2"/>
  <c r="LH3" i="2" s="1"/>
  <c r="LK3" i="2" s="1"/>
  <c r="LD24" i="2"/>
  <c r="LD11" i="2"/>
  <c r="LD14" i="2"/>
  <c r="LD13" i="2"/>
  <c r="LE28" i="2"/>
  <c r="LF18" i="2"/>
  <c r="LH18" i="2" s="1"/>
  <c r="LI18" i="2" s="1"/>
  <c r="LF13" i="2"/>
  <c r="LH13" i="2" s="1"/>
  <c r="LK13" i="2" s="1"/>
  <c r="LM13" i="2" s="1"/>
  <c r="LD4" i="2"/>
  <c r="LF14" i="2"/>
  <c r="LH14" i="2" s="1"/>
  <c r="LI14" i="2" s="1"/>
  <c r="LD9" i="2"/>
  <c r="LE18" i="2"/>
  <c r="LD20" i="2"/>
  <c r="LE20" i="2"/>
  <c r="LE4" i="2"/>
  <c r="LE9" i="2"/>
  <c r="LF29" i="2"/>
  <c r="LH29" i="2" s="1"/>
  <c r="LI29" i="2" s="1"/>
  <c r="LE23" i="2"/>
  <c r="LE10" i="2"/>
  <c r="LF10" i="2"/>
  <c r="LH10" i="2" s="1"/>
  <c r="LK10" i="2" s="1"/>
  <c r="LM10" i="2" s="1"/>
  <c r="LD28" i="2"/>
  <c r="LD29" i="2"/>
  <c r="LD23" i="2"/>
  <c r="LD15" i="2"/>
  <c r="LE15" i="2"/>
  <c r="LD8" i="2"/>
  <c r="LE8" i="2"/>
  <c r="LF19" i="2"/>
  <c r="LH19" i="2" s="1"/>
  <c r="LK19" i="2" s="1"/>
  <c r="LM19" i="2" s="1"/>
  <c r="LE19" i="2"/>
  <c r="LE22" i="2"/>
  <c r="LE16" i="2"/>
  <c r="LD16" i="2"/>
  <c r="LF6" i="2"/>
  <c r="LH6" i="2" s="1"/>
  <c r="LK6" i="2" s="1"/>
  <c r="LM6" i="2" s="1"/>
  <c r="LP6" i="2" s="1"/>
  <c r="LF12" i="2"/>
  <c r="LH12" i="2" s="1"/>
  <c r="LI12" i="2" s="1"/>
  <c r="LE27" i="2"/>
  <c r="LF27" i="2"/>
  <c r="LH27" i="2" s="1"/>
  <c r="LK27" i="2" s="1"/>
  <c r="LM27" i="2" s="1"/>
  <c r="LD12" i="2"/>
  <c r="LI28" i="2"/>
  <c r="LK28" i="2"/>
  <c r="LM28" i="2" s="1"/>
  <c r="LI25" i="2"/>
  <c r="LK25" i="2"/>
  <c r="LM25" i="2" s="1"/>
  <c r="LI9" i="2"/>
  <c r="LK9" i="2"/>
  <c r="LM9" i="2" s="1"/>
  <c r="LI20" i="2"/>
  <c r="LK20" i="2"/>
  <c r="LM20" i="2" s="1"/>
  <c r="LI7" i="2"/>
  <c r="LK7" i="2"/>
  <c r="LM7" i="2" s="1"/>
  <c r="LI8" i="2"/>
  <c r="LK8" i="2"/>
  <c r="LM8" i="2" s="1"/>
  <c r="LI23" i="2"/>
  <c r="LK23" i="2"/>
  <c r="LM23" i="2" s="1"/>
  <c r="LI4" i="2"/>
  <c r="LK4" i="2"/>
  <c r="LM4" i="2" s="1"/>
  <c r="LI11" i="2"/>
  <c r="LK11" i="2"/>
  <c r="LM11" i="2" s="1"/>
  <c r="LI15" i="2"/>
  <c r="LK15" i="2"/>
  <c r="LM15" i="2" s="1"/>
  <c r="LI16" i="2"/>
  <c r="LK16" i="2"/>
  <c r="LM16" i="2" s="1"/>
  <c r="LI5" i="2"/>
  <c r="LK5" i="2"/>
  <c r="LM5" i="2" s="1"/>
  <c r="LB37" i="2"/>
  <c r="LB40" i="2" s="1"/>
  <c r="LG24" i="2" s="1"/>
  <c r="LG37" i="2" s="1"/>
  <c r="LH42" i="2" s="1"/>
  <c r="LD26" i="2"/>
  <c r="LF26" i="2"/>
  <c r="LH26" i="2" s="1"/>
  <c r="LK26" i="2" s="1"/>
  <c r="LM26" i="2" s="1"/>
  <c r="KQ43" i="2"/>
  <c r="LC21" i="2"/>
  <c r="LI17" i="2" l="1"/>
  <c r="LI13" i="2"/>
  <c r="LK22" i="2"/>
  <c r="LM22" i="2" s="1"/>
  <c r="LU22" i="2" s="1"/>
  <c r="LV22" i="2" s="1"/>
  <c r="LK18" i="2"/>
  <c r="LM18" i="2" s="1"/>
  <c r="LP18" i="2" s="1"/>
  <c r="LK29" i="2"/>
  <c r="LM29" i="2" s="1"/>
  <c r="LP29" i="2" s="1"/>
  <c r="LK14" i="2"/>
  <c r="LM14" i="2" s="1"/>
  <c r="LP14" i="2" s="1"/>
  <c r="LI10" i="2"/>
  <c r="LI19" i="2"/>
  <c r="LU6" i="2"/>
  <c r="LV6" i="2" s="1"/>
  <c r="LR6" i="2"/>
  <c r="LI27" i="2"/>
  <c r="LK12" i="2"/>
  <c r="LM12" i="2" s="1"/>
  <c r="LP12" i="2" s="1"/>
  <c r="LP27" i="2"/>
  <c r="LR27" i="2"/>
  <c r="LU27" i="2"/>
  <c r="LV27" i="2" s="1"/>
  <c r="LR25" i="2"/>
  <c r="LP25" i="2"/>
  <c r="LU25" i="2"/>
  <c r="LV25" i="2" s="1"/>
  <c r="LP8" i="2"/>
  <c r="LU8" i="2"/>
  <c r="LV8" i="2" s="1"/>
  <c r="LR8" i="2"/>
  <c r="LR7" i="2"/>
  <c r="LP7" i="2"/>
  <c r="LU7" i="2"/>
  <c r="LV7" i="2" s="1"/>
  <c r="LP10" i="2"/>
  <c r="LU10" i="2"/>
  <c r="LV10" i="2" s="1"/>
  <c r="LR10" i="2"/>
  <c r="LU4" i="2"/>
  <c r="LV4" i="2" s="1"/>
  <c r="LP4" i="2"/>
  <c r="LR4" i="2"/>
  <c r="LM3" i="2"/>
  <c r="LR15" i="2"/>
  <c r="LP15" i="2"/>
  <c r="LU15" i="2"/>
  <c r="LV15" i="2" s="1"/>
  <c r="LU13" i="2"/>
  <c r="LV13" i="2" s="1"/>
  <c r="LP13" i="2"/>
  <c r="LR13" i="2"/>
  <c r="LP20" i="2"/>
  <c r="LR20" i="2"/>
  <c r="LU20" i="2"/>
  <c r="LV20" i="2" s="1"/>
  <c r="LP19" i="2"/>
  <c r="LR19" i="2"/>
  <c r="LU19" i="2"/>
  <c r="LV19" i="2" s="1"/>
  <c r="LR26" i="2"/>
  <c r="LP26" i="2"/>
  <c r="LU26" i="2"/>
  <c r="LV26" i="2" s="1"/>
  <c r="LR16" i="2"/>
  <c r="LP16" i="2"/>
  <c r="LU16" i="2"/>
  <c r="LV16" i="2" s="1"/>
  <c r="LP5" i="2"/>
  <c r="LR5" i="2"/>
  <c r="LU5" i="2"/>
  <c r="LV5" i="2" s="1"/>
  <c r="LP11" i="2"/>
  <c r="LR11" i="2"/>
  <c r="LU11" i="2"/>
  <c r="LV11" i="2" s="1"/>
  <c r="LP23" i="2"/>
  <c r="LR23" i="2"/>
  <c r="LU23" i="2"/>
  <c r="LV23" i="2" s="1"/>
  <c r="LP22" i="2"/>
  <c r="LR9" i="2"/>
  <c r="LP9" i="2"/>
  <c r="LU9" i="2"/>
  <c r="LV9" i="2" s="1"/>
  <c r="LP28" i="2"/>
  <c r="LR28" i="2"/>
  <c r="LU28" i="2"/>
  <c r="LV28" i="2" s="1"/>
  <c r="LR17" i="2"/>
  <c r="LP17" i="2"/>
  <c r="LU17" i="2"/>
  <c r="LV17" i="2" s="1"/>
  <c r="LI3" i="2"/>
  <c r="LF21" i="2"/>
  <c r="LD21" i="2"/>
  <c r="LD37" i="2" s="1"/>
  <c r="LC37" i="2"/>
  <c r="LH24" i="2"/>
  <c r="LR22" i="2" l="1"/>
  <c r="LU29" i="2"/>
  <c r="LV29" i="2" s="1"/>
  <c r="LR29" i="2"/>
  <c r="LU14" i="2"/>
  <c r="LV14" i="2" s="1"/>
  <c r="LR18" i="2"/>
  <c r="LU18" i="2"/>
  <c r="LV18" i="2" s="1"/>
  <c r="LU12" i="2"/>
  <c r="LV12" i="2" s="1"/>
  <c r="LR14" i="2"/>
  <c r="LR12" i="2"/>
  <c r="LI24" i="2"/>
  <c r="LI41" i="2" s="1"/>
  <c r="LK24" i="2"/>
  <c r="LM24" i="2" s="1"/>
  <c r="LP3" i="2"/>
  <c r="LR3" i="2"/>
  <c r="LU3" i="2"/>
  <c r="LH21" i="2"/>
  <c r="LK21" i="2" s="1"/>
  <c r="LF37" i="2"/>
  <c r="LI37" i="2" l="1"/>
  <c r="LI43" i="2"/>
  <c r="LM21" i="2"/>
  <c r="LK37" i="2"/>
  <c r="LP24" i="2"/>
  <c r="LU24" i="2"/>
  <c r="LV24" i="2" s="1"/>
  <c r="LR24" i="2"/>
  <c r="LV3" i="2"/>
  <c r="LH39" i="2"/>
  <c r="LH37" i="2"/>
  <c r="LP21" i="2" l="1"/>
  <c r="LU21" i="2"/>
  <c r="LR21" i="2"/>
  <c r="LM37" i="2"/>
  <c r="LI39" i="2"/>
  <c r="LH40" i="2"/>
  <c r="LV21" i="2" l="1"/>
  <c r="LU37" i="2"/>
  <c r="LR37" i="2"/>
  <c r="LS6" i="2" l="1"/>
  <c r="LS29" i="2"/>
  <c r="LS8" i="2"/>
  <c r="LS13" i="2"/>
  <c r="LS27" i="2"/>
  <c r="LS23" i="2"/>
  <c r="LS25" i="2"/>
  <c r="LS19" i="2"/>
  <c r="LS18" i="2"/>
  <c r="LS20" i="2"/>
  <c r="LS12" i="2"/>
  <c r="LS11" i="2"/>
  <c r="LS7" i="2"/>
  <c r="LS26" i="2"/>
  <c r="LS4" i="2"/>
  <c r="LS10" i="2"/>
  <c r="LS22" i="2"/>
  <c r="LS17" i="2"/>
  <c r="LS9" i="2"/>
  <c r="LS28" i="2"/>
  <c r="LS16" i="2"/>
  <c r="LS15" i="2"/>
  <c r="LS14" i="2"/>
  <c r="LS5" i="2"/>
  <c r="LS3" i="2"/>
  <c r="LS24" i="2"/>
  <c r="LS21" i="2"/>
  <c r="LV37" i="2"/>
  <c r="LS37" i="2" l="1"/>
  <c r="LS40" i="2" s="1"/>
  <c r="LW6" i="2" s="1"/>
  <c r="LX6" i="2" s="1"/>
  <c r="LW7" i="2" l="1"/>
  <c r="LX7" i="2" s="1"/>
  <c r="LZ7" i="2" s="1"/>
  <c r="LW13" i="2"/>
  <c r="LX13" i="2" s="1"/>
  <c r="MA13" i="2" s="1"/>
  <c r="MC13" i="2" s="1"/>
  <c r="LW4" i="2"/>
  <c r="LX4" i="2" s="1"/>
  <c r="MA4" i="2" s="1"/>
  <c r="MC4" i="2" s="1"/>
  <c r="LW9" i="2"/>
  <c r="LX9" i="2" s="1"/>
  <c r="MA9" i="2" s="1"/>
  <c r="MC9" i="2" s="1"/>
  <c r="LW18" i="2"/>
  <c r="LX18" i="2" s="1"/>
  <c r="LY18" i="2" s="1"/>
  <c r="LW10" i="2"/>
  <c r="LX10" i="2" s="1"/>
  <c r="LY10" i="2" s="1"/>
  <c r="LW24" i="2"/>
  <c r="LX24" i="2" s="1"/>
  <c r="MA24" i="2" s="1"/>
  <c r="LW8" i="2"/>
  <c r="LX8" i="2" s="1"/>
  <c r="MA8" i="2" s="1"/>
  <c r="MC8" i="2" s="1"/>
  <c r="LW3" i="2"/>
  <c r="LX3" i="2" s="1"/>
  <c r="MA3" i="2" s="1"/>
  <c r="LW25" i="2"/>
  <c r="LX25" i="2" s="1"/>
  <c r="MA25" i="2" s="1"/>
  <c r="MC25" i="2" s="1"/>
  <c r="LW23" i="2"/>
  <c r="LX23" i="2" s="1"/>
  <c r="MA23" i="2" s="1"/>
  <c r="MC23" i="2" s="1"/>
  <c r="MA6" i="2"/>
  <c r="MC6" i="2" s="1"/>
  <c r="MF6" i="2" s="1"/>
  <c r="MH6" i="2" s="1"/>
  <c r="LY6" i="2"/>
  <c r="LW16" i="2"/>
  <c r="LX16" i="2" s="1"/>
  <c r="LW15" i="2"/>
  <c r="LX15" i="2" s="1"/>
  <c r="LW21" i="2"/>
  <c r="LW27" i="2"/>
  <c r="LX27" i="2" s="1"/>
  <c r="LW28" i="2"/>
  <c r="LX28" i="2" s="1"/>
  <c r="LW14" i="2"/>
  <c r="LX14" i="2" s="1"/>
  <c r="LW20" i="2"/>
  <c r="LX20" i="2" s="1"/>
  <c r="LW19" i="2"/>
  <c r="LX19" i="2" s="1"/>
  <c r="LW11" i="2"/>
  <c r="LX11" i="2" s="1"/>
  <c r="LW26" i="2"/>
  <c r="LX26" i="2" s="1"/>
  <c r="LW12" i="2"/>
  <c r="LX12" i="2" s="1"/>
  <c r="LW17" i="2"/>
  <c r="LX17" i="2" s="1"/>
  <c r="LW22" i="2"/>
  <c r="LX22" i="2" s="1"/>
  <c r="LW29" i="2"/>
  <c r="LX29" i="2" s="1"/>
  <c r="LW5" i="2"/>
  <c r="LX5" i="2" s="1"/>
  <c r="MA7" i="2" l="1"/>
  <c r="MC7" i="2" s="1"/>
  <c r="MF7" i="2" s="1"/>
  <c r="MH7" i="2" s="1"/>
  <c r="LY4" i="2"/>
  <c r="LZ4" i="2"/>
  <c r="LZ3" i="2"/>
  <c r="LY3" i="2"/>
  <c r="LY7" i="2"/>
  <c r="LY25" i="2"/>
  <c r="LZ13" i="2"/>
  <c r="LY9" i="2"/>
  <c r="LZ9" i="2"/>
  <c r="LZ18" i="2"/>
  <c r="LY23" i="2"/>
  <c r="MA18" i="2"/>
  <c r="MC18" i="2" s="1"/>
  <c r="MD18" i="2" s="1"/>
  <c r="LZ25" i="2"/>
  <c r="LY13" i="2"/>
  <c r="MD8" i="2"/>
  <c r="MF8" i="2"/>
  <c r="MH8" i="2" s="1"/>
  <c r="MD4" i="2"/>
  <c r="MF4" i="2"/>
  <c r="MH4" i="2" s="1"/>
  <c r="MM6" i="2"/>
  <c r="MK6" i="2"/>
  <c r="MP6" i="2"/>
  <c r="MQ6" i="2" s="1"/>
  <c r="MD9" i="2"/>
  <c r="MF9" i="2"/>
  <c r="MH9" i="2" s="1"/>
  <c r="MD13" i="2"/>
  <c r="MF13" i="2"/>
  <c r="MH13" i="2" s="1"/>
  <c r="MD23" i="2"/>
  <c r="MF23" i="2"/>
  <c r="MH23" i="2" s="1"/>
  <c r="LZ10" i="2"/>
  <c r="MD25" i="2"/>
  <c r="MF25" i="2"/>
  <c r="MH25" i="2" s="1"/>
  <c r="LZ23" i="2"/>
  <c r="MA10" i="2"/>
  <c r="MC10" i="2" s="1"/>
  <c r="LZ24" i="2"/>
  <c r="LY24" i="2"/>
  <c r="LY8" i="2"/>
  <c r="LZ8" i="2"/>
  <c r="MA14" i="2"/>
  <c r="MC14" i="2" s="1"/>
  <c r="LZ14" i="2"/>
  <c r="LY14" i="2"/>
  <c r="LZ11" i="2"/>
  <c r="MA11" i="2"/>
  <c r="MC11" i="2" s="1"/>
  <c r="LY11" i="2"/>
  <c r="LZ28" i="2"/>
  <c r="MA28" i="2"/>
  <c r="MC28" i="2" s="1"/>
  <c r="LY28" i="2"/>
  <c r="MC3" i="2"/>
  <c r="MF3" i="2" s="1"/>
  <c r="LY29" i="2"/>
  <c r="MA29" i="2"/>
  <c r="MC29" i="2" s="1"/>
  <c r="LZ29" i="2"/>
  <c r="LL43" i="2"/>
  <c r="LX21" i="2"/>
  <c r="LX37" i="2" s="1"/>
  <c r="LY26" i="2"/>
  <c r="MA26" i="2"/>
  <c r="MC26" i="2" s="1"/>
  <c r="MF26" i="2" s="1"/>
  <c r="MH26" i="2" s="1"/>
  <c r="MA5" i="2"/>
  <c r="MC5" i="2" s="1"/>
  <c r="LZ5" i="2"/>
  <c r="LY5" i="2"/>
  <c r="MA15" i="2"/>
  <c r="MC15" i="2" s="1"/>
  <c r="LZ15" i="2"/>
  <c r="LY15" i="2"/>
  <c r="LY27" i="2"/>
  <c r="MA27" i="2"/>
  <c r="MC27" i="2" s="1"/>
  <c r="LZ27" i="2"/>
  <c r="LZ17" i="2"/>
  <c r="LY17" i="2"/>
  <c r="MA17" i="2"/>
  <c r="MC17" i="2" s="1"/>
  <c r="MA16" i="2"/>
  <c r="MC16" i="2" s="1"/>
  <c r="LZ16" i="2"/>
  <c r="LY16" i="2"/>
  <c r="LW37" i="2"/>
  <c r="LW40" i="2" s="1"/>
  <c r="MB24" i="2" s="1"/>
  <c r="MA22" i="2"/>
  <c r="MC22" i="2" s="1"/>
  <c r="LY22" i="2"/>
  <c r="LZ22" i="2"/>
  <c r="LZ19" i="2"/>
  <c r="MA19" i="2"/>
  <c r="MC19" i="2" s="1"/>
  <c r="LY19" i="2"/>
  <c r="LY12" i="2"/>
  <c r="MA12" i="2"/>
  <c r="MC12" i="2" s="1"/>
  <c r="LZ12" i="2"/>
  <c r="MA20" i="2"/>
  <c r="MC20" i="2" s="1"/>
  <c r="LY20" i="2"/>
  <c r="LZ20" i="2"/>
  <c r="MD7" i="2" l="1"/>
  <c r="MF18" i="2"/>
  <c r="MH18" i="2" s="1"/>
  <c r="MK18" i="2" s="1"/>
  <c r="MD29" i="2"/>
  <c r="MF29" i="2"/>
  <c r="MH29" i="2" s="1"/>
  <c r="MK7" i="2"/>
  <c r="MP7" i="2"/>
  <c r="MQ7" i="2" s="1"/>
  <c r="MM7" i="2"/>
  <c r="MD15" i="2"/>
  <c r="MF15" i="2"/>
  <c r="MH15" i="2" s="1"/>
  <c r="MP13" i="2"/>
  <c r="MQ13" i="2" s="1"/>
  <c r="MM13" i="2"/>
  <c r="MK13" i="2"/>
  <c r="MD11" i="2"/>
  <c r="MF11" i="2"/>
  <c r="MH11" i="2" s="1"/>
  <c r="MD22" i="2"/>
  <c r="MF22" i="2"/>
  <c r="MH22" i="2" s="1"/>
  <c r="MD5" i="2"/>
  <c r="MF5" i="2"/>
  <c r="MH5" i="2" s="1"/>
  <c r="MH3" i="2"/>
  <c r="MD10" i="2"/>
  <c r="MF10" i="2"/>
  <c r="MH10" i="2" s="1"/>
  <c r="MD12" i="2"/>
  <c r="MF12" i="2"/>
  <c r="MH12" i="2" s="1"/>
  <c r="MD27" i="2"/>
  <c r="MF27" i="2"/>
  <c r="MH27" i="2" s="1"/>
  <c r="MK26" i="2"/>
  <c r="MM26" i="2"/>
  <c r="MP26" i="2"/>
  <c r="MQ26" i="2" s="1"/>
  <c r="MD14" i="2"/>
  <c r="MF14" i="2"/>
  <c r="MH14" i="2" s="1"/>
  <c r="MK9" i="2"/>
  <c r="MM9" i="2"/>
  <c r="MP9" i="2"/>
  <c r="MQ9" i="2" s="1"/>
  <c r="MK4" i="2"/>
  <c r="MP4" i="2"/>
  <c r="MQ4" i="2" s="1"/>
  <c r="MM4" i="2"/>
  <c r="MD17" i="2"/>
  <c r="MF17" i="2"/>
  <c r="MH17" i="2" s="1"/>
  <c r="MD20" i="2"/>
  <c r="MF20" i="2"/>
  <c r="MH20" i="2" s="1"/>
  <c r="MD28" i="2"/>
  <c r="MF28" i="2"/>
  <c r="MH28" i="2" s="1"/>
  <c r="MM25" i="2"/>
  <c r="MK25" i="2"/>
  <c r="MP25" i="2"/>
  <c r="MQ25" i="2" s="1"/>
  <c r="MM8" i="2"/>
  <c r="MK8" i="2"/>
  <c r="MP8" i="2"/>
  <c r="MQ8" i="2" s="1"/>
  <c r="MK23" i="2"/>
  <c r="MP23" i="2"/>
  <c r="MQ23" i="2" s="1"/>
  <c r="MM23" i="2"/>
  <c r="MD19" i="2"/>
  <c r="MF19" i="2"/>
  <c r="MH19" i="2" s="1"/>
  <c r="MD16" i="2"/>
  <c r="MF16" i="2"/>
  <c r="MH16" i="2" s="1"/>
  <c r="MB37" i="2"/>
  <c r="MC42" i="2" s="1"/>
  <c r="MC24" i="2"/>
  <c r="MD3" i="2"/>
  <c r="MA21" i="2"/>
  <c r="MC21" i="2" s="1"/>
  <c r="LY21" i="2"/>
  <c r="LY37" i="2" s="1"/>
  <c r="MM18" i="2" l="1"/>
  <c r="MP18" i="2"/>
  <c r="MQ18" i="2" s="1"/>
  <c r="MK17" i="2"/>
  <c r="MM17" i="2"/>
  <c r="MP17" i="2"/>
  <c r="MQ17" i="2" s="1"/>
  <c r="MK27" i="2"/>
  <c r="MM27" i="2"/>
  <c r="MP27" i="2"/>
  <c r="MQ27" i="2" s="1"/>
  <c r="MP5" i="2"/>
  <c r="MQ5" i="2" s="1"/>
  <c r="MM5" i="2"/>
  <c r="MK5" i="2"/>
  <c r="MK14" i="2"/>
  <c r="MP14" i="2"/>
  <c r="MQ14" i="2" s="1"/>
  <c r="MM14" i="2"/>
  <c r="MK12" i="2"/>
  <c r="MP12" i="2"/>
  <c r="MQ12" i="2" s="1"/>
  <c r="MM12" i="2"/>
  <c r="MK22" i="2"/>
  <c r="MM22" i="2"/>
  <c r="MP22" i="2"/>
  <c r="MQ22" i="2" s="1"/>
  <c r="MP28" i="2"/>
  <c r="MQ28" i="2" s="1"/>
  <c r="MM28" i="2"/>
  <c r="MK28" i="2"/>
  <c r="MK10" i="2"/>
  <c r="MP10" i="2"/>
  <c r="MQ10" i="2" s="1"/>
  <c r="MM10" i="2"/>
  <c r="MM11" i="2"/>
  <c r="MK11" i="2"/>
  <c r="MP11" i="2"/>
  <c r="MQ11" i="2" s="1"/>
  <c r="MC39" i="2"/>
  <c r="MF21" i="2"/>
  <c r="MH21" i="2" s="1"/>
  <c r="MK19" i="2"/>
  <c r="MM19" i="2"/>
  <c r="MP19" i="2"/>
  <c r="MQ19" i="2" s="1"/>
  <c r="MK29" i="2"/>
  <c r="MM29" i="2"/>
  <c r="MP29" i="2"/>
  <c r="MQ29" i="2" s="1"/>
  <c r="MP3" i="2"/>
  <c r="MK3" i="2"/>
  <c r="MM3" i="2"/>
  <c r="MD24" i="2"/>
  <c r="MD37" i="2" s="1"/>
  <c r="MF24" i="2"/>
  <c r="MH24" i="2" s="1"/>
  <c r="MM16" i="2"/>
  <c r="MK16" i="2"/>
  <c r="MP16" i="2"/>
  <c r="MQ16" i="2" s="1"/>
  <c r="MA37" i="2"/>
  <c r="MK20" i="2"/>
  <c r="MP20" i="2"/>
  <c r="MQ20" i="2" s="1"/>
  <c r="MM20" i="2"/>
  <c r="MK15" i="2"/>
  <c r="MP15" i="2"/>
  <c r="MQ15" i="2" s="1"/>
  <c r="MM15" i="2"/>
  <c r="MC37" i="2"/>
  <c r="MH37" i="2" l="1"/>
  <c r="MD41" i="2"/>
  <c r="MD43" i="2"/>
  <c r="MF37" i="2"/>
  <c r="MQ3" i="2"/>
  <c r="MK24" i="2"/>
  <c r="MM24" i="2"/>
  <c r="MP24" i="2"/>
  <c r="MQ24" i="2" s="1"/>
  <c r="MP21" i="2"/>
  <c r="MQ21" i="2" s="1"/>
  <c r="MM21" i="2"/>
  <c r="MK21" i="2"/>
  <c r="MC40" i="2"/>
  <c r="MD39" i="2"/>
  <c r="MP37" i="2" l="1"/>
  <c r="MQ37" i="2"/>
  <c r="MM37" i="2"/>
  <c r="MN24" i="2" s="1"/>
  <c r="MN21" i="2" l="1"/>
  <c r="MN6" i="2"/>
  <c r="MN4" i="2"/>
  <c r="MN25" i="2"/>
  <c r="MN13" i="2"/>
  <c r="MN18" i="2"/>
  <c r="MN26" i="2"/>
  <c r="MN8" i="2"/>
  <c r="MN9" i="2"/>
  <c r="MN7" i="2"/>
  <c r="MN23" i="2"/>
  <c r="MN16" i="2"/>
  <c r="MN10" i="2"/>
  <c r="MN19" i="2"/>
  <c r="MN5" i="2"/>
  <c r="MN15" i="2"/>
  <c r="MN22" i="2"/>
  <c r="MN29" i="2"/>
  <c r="MN14" i="2"/>
  <c r="MN12" i="2"/>
  <c r="MN17" i="2"/>
  <c r="MN28" i="2"/>
  <c r="MN27" i="2"/>
  <c r="MN20" i="2"/>
  <c r="MN3" i="2"/>
  <c r="MN11" i="2"/>
  <c r="MN37" i="2" l="1"/>
  <c r="MN40" i="2" s="1"/>
  <c r="MR24" i="2" l="1"/>
  <c r="MS24" i="2" s="1"/>
  <c r="MR4" i="2"/>
  <c r="MS4" i="2" s="1"/>
  <c r="MR11" i="2"/>
  <c r="MS11" i="2" s="1"/>
  <c r="MR19" i="2"/>
  <c r="MS19" i="2" s="1"/>
  <c r="MR10" i="2"/>
  <c r="MS10" i="2" s="1"/>
  <c r="MR14" i="2"/>
  <c r="MS14" i="2" s="1"/>
  <c r="MR27" i="2"/>
  <c r="MS27" i="2" s="1"/>
  <c r="MR23" i="2"/>
  <c r="MS23" i="2" s="1"/>
  <c r="MR12" i="2"/>
  <c r="MS12" i="2" s="1"/>
  <c r="MR3" i="2"/>
  <c r="MR8" i="2"/>
  <c r="MS8" i="2" s="1"/>
  <c r="MR16" i="2"/>
  <c r="MS16" i="2" s="1"/>
  <c r="MR5" i="2"/>
  <c r="MS5" i="2" s="1"/>
  <c r="MR15" i="2"/>
  <c r="MS15" i="2" s="1"/>
  <c r="MR26" i="2"/>
  <c r="MS26" i="2" s="1"/>
  <c r="MR21" i="2"/>
  <c r="MR7" i="2"/>
  <c r="MS7" i="2" s="1"/>
  <c r="MR28" i="2"/>
  <c r="MS28" i="2" s="1"/>
  <c r="MR9" i="2"/>
  <c r="MS9" i="2" s="1"/>
  <c r="MR22" i="2"/>
  <c r="MS22" i="2" s="1"/>
  <c r="MR20" i="2"/>
  <c r="MS20" i="2" s="1"/>
  <c r="MR25" i="2"/>
  <c r="MS25" i="2" s="1"/>
  <c r="MR17" i="2"/>
  <c r="MS17" i="2" s="1"/>
  <c r="MR29" i="2"/>
  <c r="MS29" i="2" s="1"/>
  <c r="MR6" i="2"/>
  <c r="MS6" i="2" s="1"/>
  <c r="MR18" i="2"/>
  <c r="MS18" i="2" s="1"/>
  <c r="MR13" i="2"/>
  <c r="MS13" i="2" s="1"/>
  <c r="MV14" i="2" l="1"/>
  <c r="MX14" i="2" s="1"/>
  <c r="NA14" i="2" s="1"/>
  <c r="NC14" i="2" s="1"/>
  <c r="MU14" i="2"/>
  <c r="MT14" i="2"/>
  <c r="MU25" i="2"/>
  <c r="MT25" i="2"/>
  <c r="MV25" i="2"/>
  <c r="MX25" i="2" s="1"/>
  <c r="NA25" i="2" s="1"/>
  <c r="NC25" i="2" s="1"/>
  <c r="MT17" i="2"/>
  <c r="MU17" i="2"/>
  <c r="MV17" i="2"/>
  <c r="MX17" i="2" s="1"/>
  <c r="NA17" i="2" s="1"/>
  <c r="NC17" i="2" s="1"/>
  <c r="MV5" i="2"/>
  <c r="MX5" i="2" s="1"/>
  <c r="NA5" i="2" s="1"/>
  <c r="NC5" i="2" s="1"/>
  <c r="MU5" i="2"/>
  <c r="MT5" i="2"/>
  <c r="MT22" i="2"/>
  <c r="MV22" i="2"/>
  <c r="MX22" i="2" s="1"/>
  <c r="NA22" i="2" s="1"/>
  <c r="NC22" i="2" s="1"/>
  <c r="MU22" i="2"/>
  <c r="MU16" i="2"/>
  <c r="MT16" i="2"/>
  <c r="MV16" i="2"/>
  <c r="MX16" i="2" s="1"/>
  <c r="NA16" i="2" s="1"/>
  <c r="NC16" i="2" s="1"/>
  <c r="MV19" i="2"/>
  <c r="MX19" i="2" s="1"/>
  <c r="NA19" i="2" s="1"/>
  <c r="NC19" i="2" s="1"/>
  <c r="MU19" i="2"/>
  <c r="MT19" i="2"/>
  <c r="MT27" i="2"/>
  <c r="MV27" i="2"/>
  <c r="MX27" i="2" s="1"/>
  <c r="NA27" i="2" s="1"/>
  <c r="NC27" i="2" s="1"/>
  <c r="MU27" i="2"/>
  <c r="MT9" i="2"/>
  <c r="MU9" i="2"/>
  <c r="MV9" i="2"/>
  <c r="MX9" i="2" s="1"/>
  <c r="NA9" i="2" s="1"/>
  <c r="NC9" i="2" s="1"/>
  <c r="MV11" i="2"/>
  <c r="MX11" i="2" s="1"/>
  <c r="NA11" i="2" s="1"/>
  <c r="NC11" i="2" s="1"/>
  <c r="MU11" i="2"/>
  <c r="MT11" i="2"/>
  <c r="MV15" i="2"/>
  <c r="MX15" i="2" s="1"/>
  <c r="NA15" i="2" s="1"/>
  <c r="NC15" i="2" s="1"/>
  <c r="MU15" i="2"/>
  <c r="MT15" i="2"/>
  <c r="MT10" i="2"/>
  <c r="MV10" i="2"/>
  <c r="MX10" i="2" s="1"/>
  <c r="NA10" i="2" s="1"/>
  <c r="NC10" i="2" s="1"/>
  <c r="MU10" i="2"/>
  <c r="MV28" i="2"/>
  <c r="MX28" i="2" s="1"/>
  <c r="NA28" i="2" s="1"/>
  <c r="NC28" i="2" s="1"/>
  <c r="MU28" i="2"/>
  <c r="MT28" i="2"/>
  <c r="MR37" i="2"/>
  <c r="MR40" i="2" s="1"/>
  <c r="MS3" i="2"/>
  <c r="MV4" i="2"/>
  <c r="MX4" i="2" s="1"/>
  <c r="NA4" i="2" s="1"/>
  <c r="NC4" i="2" s="1"/>
  <c r="MU4" i="2"/>
  <c r="MT4" i="2"/>
  <c r="MT26" i="2"/>
  <c r="MV26" i="2"/>
  <c r="MX26" i="2" s="1"/>
  <c r="NA26" i="2" s="1"/>
  <c r="NC26" i="2" s="1"/>
  <c r="MV18" i="2"/>
  <c r="MX18" i="2" s="1"/>
  <c r="NA18" i="2" s="1"/>
  <c r="NC18" i="2" s="1"/>
  <c r="MT18" i="2"/>
  <c r="MU18" i="2"/>
  <c r="MV6" i="2"/>
  <c r="MX6" i="2" s="1"/>
  <c r="NA6" i="2" s="1"/>
  <c r="NC6" i="2" s="1"/>
  <c r="MT6" i="2"/>
  <c r="MV7" i="2"/>
  <c r="MX7" i="2" s="1"/>
  <c r="NA7" i="2" s="1"/>
  <c r="NC7" i="2" s="1"/>
  <c r="MU7" i="2"/>
  <c r="MT7" i="2"/>
  <c r="MV12" i="2"/>
  <c r="MX12" i="2" s="1"/>
  <c r="NA12" i="2" s="1"/>
  <c r="NC12" i="2" s="1"/>
  <c r="MU12" i="2"/>
  <c r="MT12" i="2"/>
  <c r="MV24" i="2"/>
  <c r="MT24" i="2"/>
  <c r="MU24" i="2"/>
  <c r="MV20" i="2"/>
  <c r="MX20" i="2" s="1"/>
  <c r="NA20" i="2" s="1"/>
  <c r="NC20" i="2" s="1"/>
  <c r="MU20" i="2"/>
  <c r="MT20" i="2"/>
  <c r="MV13" i="2"/>
  <c r="MX13" i="2" s="1"/>
  <c r="NA13" i="2" s="1"/>
  <c r="NC13" i="2" s="1"/>
  <c r="MU13" i="2"/>
  <c r="MT13" i="2"/>
  <c r="MU8" i="2"/>
  <c r="MT8" i="2"/>
  <c r="MV8" i="2"/>
  <c r="MX8" i="2" s="1"/>
  <c r="NA8" i="2" s="1"/>
  <c r="NC8" i="2" s="1"/>
  <c r="MV29" i="2"/>
  <c r="MX29" i="2" s="1"/>
  <c r="NA29" i="2" s="1"/>
  <c r="NC29" i="2" s="1"/>
  <c r="MU29" i="2"/>
  <c r="MT29" i="2"/>
  <c r="MS21" i="2"/>
  <c r="MG43" i="2"/>
  <c r="MV23" i="2"/>
  <c r="MX23" i="2" s="1"/>
  <c r="NA23" i="2" s="1"/>
  <c r="NC23" i="2" s="1"/>
  <c r="MT23" i="2"/>
  <c r="MU23" i="2"/>
  <c r="NF12" i="2" l="1"/>
  <c r="NK12" i="2"/>
  <c r="NL12" i="2" s="1"/>
  <c r="NH12" i="2"/>
  <c r="NF18" i="2"/>
  <c r="NK18" i="2"/>
  <c r="NL18" i="2" s="1"/>
  <c r="NH18" i="2"/>
  <c r="NK15" i="2"/>
  <c r="NL15" i="2" s="1"/>
  <c r="NF15" i="2"/>
  <c r="NH15" i="2"/>
  <c r="NF27" i="2"/>
  <c r="NK27" i="2"/>
  <c r="NL27" i="2" s="1"/>
  <c r="NH27" i="2"/>
  <c r="NF22" i="2"/>
  <c r="NK22" i="2"/>
  <c r="NL22" i="2" s="1"/>
  <c r="NH22" i="2"/>
  <c r="NF25" i="2"/>
  <c r="NH25" i="2"/>
  <c r="NK25" i="2"/>
  <c r="NL25" i="2" s="1"/>
  <c r="NH26" i="2"/>
  <c r="NF26" i="2"/>
  <c r="NK26" i="2"/>
  <c r="NL26" i="2" s="1"/>
  <c r="NF28" i="2"/>
  <c r="NH28" i="2"/>
  <c r="NK28" i="2"/>
  <c r="NL28" i="2" s="1"/>
  <c r="NK8" i="2"/>
  <c r="NL8" i="2" s="1"/>
  <c r="NH8" i="2"/>
  <c r="NF8" i="2"/>
  <c r="NH7" i="2"/>
  <c r="NF7" i="2"/>
  <c r="NK7" i="2"/>
  <c r="NL7" i="2" s="1"/>
  <c r="NF11" i="2"/>
  <c r="NK11" i="2"/>
  <c r="NL11" i="2" s="1"/>
  <c r="NH11" i="2"/>
  <c r="NF23" i="2"/>
  <c r="NK23" i="2"/>
  <c r="NL23" i="2" s="1"/>
  <c r="NH23" i="2"/>
  <c r="NF10" i="2"/>
  <c r="NH10" i="2"/>
  <c r="NK10" i="2"/>
  <c r="NL10" i="2" s="1"/>
  <c r="NH9" i="2"/>
  <c r="NF9" i="2"/>
  <c r="NK9" i="2"/>
  <c r="NL9" i="2" s="1"/>
  <c r="NF19" i="2"/>
  <c r="NH19" i="2"/>
  <c r="NK19" i="2"/>
  <c r="NL19" i="2" s="1"/>
  <c r="NK29" i="2"/>
  <c r="NL29" i="2" s="1"/>
  <c r="NF29" i="2"/>
  <c r="NH29" i="2"/>
  <c r="NK20" i="2"/>
  <c r="NL20" i="2" s="1"/>
  <c r="NF20" i="2"/>
  <c r="NH20" i="2"/>
  <c r="NK6" i="2"/>
  <c r="NL6" i="2" s="1"/>
  <c r="NF6" i="2"/>
  <c r="NH6" i="2"/>
  <c r="NF4" i="2"/>
  <c r="NH4" i="2"/>
  <c r="NK4" i="2"/>
  <c r="NL4" i="2" s="1"/>
  <c r="NH16" i="2"/>
  <c r="NF16" i="2"/>
  <c r="NK16" i="2"/>
  <c r="NL16" i="2" s="1"/>
  <c r="NF5" i="2"/>
  <c r="NH5" i="2"/>
  <c r="NK5" i="2"/>
  <c r="NL5" i="2" s="1"/>
  <c r="NH13" i="2"/>
  <c r="NF13" i="2"/>
  <c r="NK13" i="2"/>
  <c r="NL13" i="2" s="1"/>
  <c r="NF17" i="2"/>
  <c r="NH17" i="2"/>
  <c r="NK17" i="2"/>
  <c r="NL17" i="2" s="1"/>
  <c r="NF14" i="2"/>
  <c r="NH14" i="2"/>
  <c r="NK14" i="2"/>
  <c r="NL14" i="2" s="1"/>
  <c r="MY12" i="2"/>
  <c r="MY18" i="2"/>
  <c r="MY15" i="2"/>
  <c r="MY27" i="2"/>
  <c r="MY22" i="2"/>
  <c r="MY25" i="2"/>
  <c r="MY8" i="2"/>
  <c r="MY20" i="2"/>
  <c r="MY28" i="2"/>
  <c r="MY7" i="2"/>
  <c r="MY11" i="2"/>
  <c r="MY29" i="2"/>
  <c r="MY23" i="2"/>
  <c r="MY10" i="2"/>
  <c r="MY9" i="2"/>
  <c r="MY19" i="2"/>
  <c r="MY4" i="2"/>
  <c r="MY16" i="2"/>
  <c r="MY5" i="2"/>
  <c r="MY13" i="2"/>
  <c r="MY17" i="2"/>
  <c r="MY14" i="2"/>
  <c r="MW24" i="2"/>
  <c r="MW37" i="2" s="1"/>
  <c r="MX42" i="2" s="1"/>
  <c r="MV21" i="2"/>
  <c r="MX21" i="2" s="1"/>
  <c r="NA21" i="2" s="1"/>
  <c r="NC21" i="2" s="1"/>
  <c r="MT21" i="2"/>
  <c r="MS37" i="2"/>
  <c r="MV3" i="2"/>
  <c r="MU3" i="2"/>
  <c r="MT3" i="2"/>
  <c r="NH21" i="2" l="1"/>
  <c r="NF21" i="2"/>
  <c r="NK21" i="2"/>
  <c r="NL21" i="2" s="1"/>
  <c r="MX39" i="2"/>
  <c r="MX3" i="2"/>
  <c r="NA3" i="2" s="1"/>
  <c r="MV37" i="2"/>
  <c r="MX24" i="2"/>
  <c r="NA24" i="2" s="1"/>
  <c r="NC24" i="2" s="1"/>
  <c r="MT37" i="2"/>
  <c r="NF24" i="2" l="1"/>
  <c r="NK24" i="2"/>
  <c r="NL24" i="2" s="1"/>
  <c r="NH24" i="2"/>
  <c r="NA37" i="2"/>
  <c r="NC3" i="2"/>
  <c r="MY24" i="2"/>
  <c r="MY3" i="2"/>
  <c r="MX37" i="2"/>
  <c r="NC37" i="2" l="1"/>
  <c r="NF3" i="2"/>
  <c r="NK3" i="2"/>
  <c r="NH3" i="2"/>
  <c r="MY39" i="2"/>
  <c r="MX40" i="2"/>
  <c r="MY41" i="2"/>
  <c r="MY37" i="2"/>
  <c r="MY43" i="2"/>
  <c r="NK37" i="2" l="1"/>
  <c r="NL3" i="2"/>
  <c r="NH37" i="2"/>
  <c r="NI3" i="2" s="1"/>
  <c r="NI11" i="2" l="1"/>
  <c r="NI5" i="2"/>
  <c r="NI27" i="2"/>
  <c r="NI20" i="2"/>
  <c r="NI22" i="2"/>
  <c r="NI17" i="2"/>
  <c r="NI8" i="2"/>
  <c r="NI29" i="2"/>
  <c r="NI13" i="2"/>
  <c r="NI4" i="2"/>
  <c r="NI26" i="2"/>
  <c r="NI9" i="2"/>
  <c r="NI18" i="2"/>
  <c r="NI16" i="2"/>
  <c r="NI19" i="2"/>
  <c r="NI28" i="2"/>
  <c r="NI6" i="2"/>
  <c r="NI15" i="2"/>
  <c r="NI10" i="2"/>
  <c r="NI23" i="2"/>
  <c r="NI25" i="2"/>
  <c r="NI12" i="2"/>
  <c r="NI7" i="2"/>
  <c r="NI14" i="2"/>
  <c r="NI21" i="2"/>
  <c r="NI24" i="2"/>
  <c r="NL37" i="2"/>
  <c r="NI37" i="2" l="1"/>
  <c r="NI40" i="2" s="1"/>
  <c r="NM16" i="2" s="1"/>
  <c r="NN16" i="2" s="1"/>
  <c r="NQ16" i="2" l="1"/>
  <c r="NS16" i="2" s="1"/>
  <c r="NP16" i="2"/>
  <c r="NO16" i="2"/>
  <c r="NM20" i="2"/>
  <c r="NN20" i="2" s="1"/>
  <c r="NM28" i="2"/>
  <c r="NN28" i="2" s="1"/>
  <c r="NM21" i="2"/>
  <c r="NM13" i="2"/>
  <c r="NN13" i="2" s="1"/>
  <c r="NM23" i="2"/>
  <c r="NN23" i="2" s="1"/>
  <c r="NM14" i="2"/>
  <c r="NN14" i="2" s="1"/>
  <c r="NM27" i="2"/>
  <c r="NN27" i="2" s="1"/>
  <c r="NM9" i="2"/>
  <c r="NN9" i="2" s="1"/>
  <c r="NM24" i="2"/>
  <c r="NN24" i="2" s="1"/>
  <c r="NM4" i="2"/>
  <c r="NN4" i="2" s="1"/>
  <c r="NM7" i="2"/>
  <c r="NN7" i="2" s="1"/>
  <c r="NM15" i="2"/>
  <c r="NN15" i="2" s="1"/>
  <c r="NM17" i="2"/>
  <c r="NN17" i="2" s="1"/>
  <c r="NM12" i="2"/>
  <c r="NN12" i="2" s="1"/>
  <c r="NM10" i="2"/>
  <c r="NN10" i="2" s="1"/>
  <c r="NM6" i="2"/>
  <c r="NN6" i="2" s="1"/>
  <c r="NM8" i="2"/>
  <c r="NN8" i="2" s="1"/>
  <c r="NM25" i="2"/>
  <c r="NN25" i="2" s="1"/>
  <c r="NM29" i="2"/>
  <c r="NN29" i="2" s="1"/>
  <c r="NM5" i="2"/>
  <c r="NN5" i="2" s="1"/>
  <c r="NM18" i="2"/>
  <c r="NN18" i="2" s="1"/>
  <c r="NM22" i="2"/>
  <c r="NN22" i="2" s="1"/>
  <c r="NM11" i="2"/>
  <c r="NN11" i="2" s="1"/>
  <c r="NM19" i="2"/>
  <c r="NN19" i="2" s="1"/>
  <c r="NM26" i="2"/>
  <c r="NN26" i="2" s="1"/>
  <c r="NM3" i="2"/>
  <c r="NQ23" i="2" l="1"/>
  <c r="NS23" i="2" s="1"/>
  <c r="NO23" i="2"/>
  <c r="NP23" i="2"/>
  <c r="NQ13" i="2"/>
  <c r="NS13" i="2" s="1"/>
  <c r="NP13" i="2"/>
  <c r="NO13" i="2"/>
  <c r="NO25" i="2"/>
  <c r="NQ25" i="2"/>
  <c r="NS25" i="2" s="1"/>
  <c r="NP25" i="2"/>
  <c r="NB43" i="2"/>
  <c r="NN21" i="2"/>
  <c r="NQ5" i="2"/>
  <c r="NS5" i="2" s="1"/>
  <c r="NP5" i="2"/>
  <c r="NO5" i="2"/>
  <c r="NQ26" i="2"/>
  <c r="NS26" i="2" s="1"/>
  <c r="NV26" i="2" s="1"/>
  <c r="NX26" i="2" s="1"/>
  <c r="NO26" i="2"/>
  <c r="NQ8" i="2"/>
  <c r="NS8" i="2" s="1"/>
  <c r="NP8" i="2"/>
  <c r="NO8" i="2"/>
  <c r="NQ24" i="2"/>
  <c r="NO24" i="2"/>
  <c r="NP24" i="2"/>
  <c r="NQ28" i="2"/>
  <c r="NS28" i="2" s="1"/>
  <c r="NP28" i="2"/>
  <c r="NO28" i="2"/>
  <c r="NQ29" i="2"/>
  <c r="NS29" i="2" s="1"/>
  <c r="NP29" i="2"/>
  <c r="NO29" i="2"/>
  <c r="NQ19" i="2"/>
  <c r="NS19" i="2" s="1"/>
  <c r="NP19" i="2"/>
  <c r="NO19" i="2"/>
  <c r="NQ20" i="2"/>
  <c r="NS20" i="2" s="1"/>
  <c r="NP20" i="2"/>
  <c r="NO20" i="2"/>
  <c r="NQ4" i="2"/>
  <c r="NS4" i="2" s="1"/>
  <c r="NP4" i="2"/>
  <c r="NO4" i="2"/>
  <c r="NP11" i="2"/>
  <c r="NQ11" i="2"/>
  <c r="NS11" i="2" s="1"/>
  <c r="NO11" i="2"/>
  <c r="NQ27" i="2"/>
  <c r="NS27" i="2" s="1"/>
  <c r="NP27" i="2"/>
  <c r="NO27" i="2"/>
  <c r="NQ15" i="2"/>
  <c r="NS15" i="2" s="1"/>
  <c r="NP15" i="2"/>
  <c r="NO15" i="2"/>
  <c r="NM37" i="2"/>
  <c r="NM40" i="2" s="1"/>
  <c r="NN3" i="2"/>
  <c r="NQ9" i="2"/>
  <c r="NS9" i="2" s="1"/>
  <c r="NP9" i="2"/>
  <c r="NO9" i="2"/>
  <c r="NQ22" i="2"/>
  <c r="NS22" i="2" s="1"/>
  <c r="NO22" i="2"/>
  <c r="NP22" i="2"/>
  <c r="NQ12" i="2"/>
  <c r="NS12" i="2" s="1"/>
  <c r="NP12" i="2"/>
  <c r="NO12" i="2"/>
  <c r="NO14" i="2"/>
  <c r="NP14" i="2"/>
  <c r="NQ14" i="2"/>
  <c r="NS14" i="2" s="1"/>
  <c r="NP7" i="2"/>
  <c r="NO7" i="2"/>
  <c r="NQ7" i="2"/>
  <c r="NS7" i="2" s="1"/>
  <c r="NQ6" i="2"/>
  <c r="NS6" i="2" s="1"/>
  <c r="NV6" i="2" s="1"/>
  <c r="NX6" i="2" s="1"/>
  <c r="NO6" i="2"/>
  <c r="NP10" i="2"/>
  <c r="NO10" i="2"/>
  <c r="NQ10" i="2"/>
  <c r="NS10" i="2" s="1"/>
  <c r="NQ18" i="2"/>
  <c r="NS18" i="2" s="1"/>
  <c r="NP18" i="2"/>
  <c r="NO18" i="2"/>
  <c r="NQ17" i="2"/>
  <c r="NS17" i="2" s="1"/>
  <c r="NO17" i="2"/>
  <c r="NP17" i="2"/>
  <c r="NV16" i="2"/>
  <c r="NX16" i="2" s="1"/>
  <c r="NT16" i="2"/>
  <c r="NV11" i="2" l="1"/>
  <c r="NX11" i="2" s="1"/>
  <c r="NT11" i="2"/>
  <c r="NV28" i="2"/>
  <c r="NX28" i="2" s="1"/>
  <c r="NT28" i="2"/>
  <c r="OF26" i="2"/>
  <c r="OG26" i="2" s="1"/>
  <c r="OA26" i="2"/>
  <c r="OC26" i="2"/>
  <c r="NN37" i="2"/>
  <c r="NQ3" i="2"/>
  <c r="NP3" i="2"/>
  <c r="NO3" i="2"/>
  <c r="NV19" i="2"/>
  <c r="NX19" i="2" s="1"/>
  <c r="NT19" i="2"/>
  <c r="OC6" i="2"/>
  <c r="OA6" i="2"/>
  <c r="OF6" i="2"/>
  <c r="OG6" i="2" s="1"/>
  <c r="NV18" i="2"/>
  <c r="NX18" i="2" s="1"/>
  <c r="NT18" i="2"/>
  <c r="NT10" i="2"/>
  <c r="NV10" i="2"/>
  <c r="NX10" i="2" s="1"/>
  <c r="NV14" i="2"/>
  <c r="NX14" i="2" s="1"/>
  <c r="NT14" i="2"/>
  <c r="NV22" i="2"/>
  <c r="NX22" i="2" s="1"/>
  <c r="NT22" i="2"/>
  <c r="NV15" i="2"/>
  <c r="NX15" i="2" s="1"/>
  <c r="NT15" i="2"/>
  <c r="NR24" i="2"/>
  <c r="NR37" i="2" s="1"/>
  <c r="NS42" i="2" s="1"/>
  <c r="NV5" i="2"/>
  <c r="NX5" i="2" s="1"/>
  <c r="NT5" i="2"/>
  <c r="NT13" i="2"/>
  <c r="NV13" i="2"/>
  <c r="NX13" i="2" s="1"/>
  <c r="NT20" i="2"/>
  <c r="NV20" i="2"/>
  <c r="NX20" i="2" s="1"/>
  <c r="NV12" i="2"/>
  <c r="NX12" i="2" s="1"/>
  <c r="NT12" i="2"/>
  <c r="OA16" i="2"/>
  <c r="OF16" i="2"/>
  <c r="OG16" i="2" s="1"/>
  <c r="OC16" i="2"/>
  <c r="NV4" i="2"/>
  <c r="NX4" i="2" s="1"/>
  <c r="NT4" i="2"/>
  <c r="NO21" i="2"/>
  <c r="NQ21" i="2"/>
  <c r="NS21" i="2" s="1"/>
  <c r="NV7" i="2"/>
  <c r="NX7" i="2" s="1"/>
  <c r="NT7" i="2"/>
  <c r="NT29" i="2"/>
  <c r="NV29" i="2"/>
  <c r="NX29" i="2" s="1"/>
  <c r="NV17" i="2"/>
  <c r="NX17" i="2" s="1"/>
  <c r="NT17" i="2"/>
  <c r="NV25" i="2"/>
  <c r="NX25" i="2" s="1"/>
  <c r="NT25" i="2"/>
  <c r="NV9" i="2"/>
  <c r="NX9" i="2" s="1"/>
  <c r="NT9" i="2"/>
  <c r="NV27" i="2"/>
  <c r="NX27" i="2" s="1"/>
  <c r="NT27" i="2"/>
  <c r="NV8" i="2"/>
  <c r="NX8" i="2" s="1"/>
  <c r="NT8" i="2"/>
  <c r="NV23" i="2"/>
  <c r="NX23" i="2" s="1"/>
  <c r="NT23" i="2"/>
  <c r="OA14" i="2" l="1"/>
  <c r="OF14" i="2"/>
  <c r="OG14" i="2" s="1"/>
  <c r="OC14" i="2"/>
  <c r="OF5" i="2"/>
  <c r="OG5" i="2" s="1"/>
  <c r="OC5" i="2"/>
  <c r="OA5" i="2"/>
  <c r="OA10" i="2"/>
  <c r="OC10" i="2"/>
  <c r="OF10" i="2"/>
  <c r="OG10" i="2" s="1"/>
  <c r="NS39" i="2"/>
  <c r="NV21" i="2"/>
  <c r="NX21" i="2" s="1"/>
  <c r="OA23" i="2"/>
  <c r="OF23" i="2"/>
  <c r="OG23" i="2" s="1"/>
  <c r="OC23" i="2"/>
  <c r="OA25" i="2"/>
  <c r="OC25" i="2"/>
  <c r="OF25" i="2"/>
  <c r="OG25" i="2" s="1"/>
  <c r="OA12" i="2"/>
  <c r="OC12" i="2"/>
  <c r="OF12" i="2"/>
  <c r="OG12" i="2" s="1"/>
  <c r="NS24" i="2"/>
  <c r="OF19" i="2"/>
  <c r="OG19" i="2" s="1"/>
  <c r="OA19" i="2"/>
  <c r="OC19" i="2"/>
  <c r="OA9" i="2"/>
  <c r="OF9" i="2"/>
  <c r="OG9" i="2" s="1"/>
  <c r="OC9" i="2"/>
  <c r="OF17" i="2"/>
  <c r="OG17" i="2" s="1"/>
  <c r="OA17" i="2"/>
  <c r="OC17" i="2"/>
  <c r="OC4" i="2"/>
  <c r="OA4" i="2"/>
  <c r="OF4" i="2"/>
  <c r="OG4" i="2" s="1"/>
  <c r="OC15" i="2"/>
  <c r="OA15" i="2"/>
  <c r="OF15" i="2"/>
  <c r="OG15" i="2" s="1"/>
  <c r="OA18" i="2"/>
  <c r="OF18" i="2"/>
  <c r="OG18" i="2" s="1"/>
  <c r="OC18" i="2"/>
  <c r="NO37" i="2"/>
  <c r="OF29" i="2"/>
  <c r="OG29" i="2" s="1"/>
  <c r="OA29" i="2"/>
  <c r="OC29" i="2"/>
  <c r="OF28" i="2"/>
  <c r="OG28" i="2" s="1"/>
  <c r="OA28" i="2"/>
  <c r="OC28" i="2"/>
  <c r="OA8" i="2"/>
  <c r="OC8" i="2"/>
  <c r="OF8" i="2"/>
  <c r="OG8" i="2" s="1"/>
  <c r="OA13" i="2"/>
  <c r="OF13" i="2"/>
  <c r="OG13" i="2" s="1"/>
  <c r="OC13" i="2"/>
  <c r="OA22" i="2"/>
  <c r="OF22" i="2"/>
  <c r="OG22" i="2" s="1"/>
  <c r="OC22" i="2"/>
  <c r="NQ37" i="2"/>
  <c r="NS3" i="2"/>
  <c r="OA7" i="2"/>
  <c r="OC7" i="2"/>
  <c r="OF7" i="2"/>
  <c r="OG7" i="2" s="1"/>
  <c r="OC20" i="2"/>
  <c r="OF20" i="2"/>
  <c r="OG20" i="2" s="1"/>
  <c r="OA20" i="2"/>
  <c r="OA27" i="2"/>
  <c r="OF27" i="2"/>
  <c r="OG27" i="2" s="1"/>
  <c r="OC27" i="2"/>
  <c r="OA11" i="2"/>
  <c r="OF11" i="2"/>
  <c r="OG11" i="2" s="1"/>
  <c r="OC11" i="2"/>
  <c r="OA21" i="2" l="1"/>
  <c r="OF21" i="2"/>
  <c r="OG21" i="2" s="1"/>
  <c r="OC21" i="2"/>
  <c r="NS37" i="2"/>
  <c r="NV3" i="2"/>
  <c r="NT3" i="2"/>
  <c r="NV24" i="2"/>
  <c r="NX24" i="2" s="1"/>
  <c r="NT24" i="2"/>
  <c r="OA24" i="2" l="1"/>
  <c r="OF24" i="2"/>
  <c r="OG24" i="2" s="1"/>
  <c r="OC24" i="2"/>
  <c r="NV37" i="2"/>
  <c r="NX3" i="2"/>
  <c r="NS40" i="2"/>
  <c r="NT39" i="2"/>
  <c r="NT41" i="2"/>
  <c r="NT43" i="2"/>
  <c r="NT37" i="2"/>
  <c r="NX37" i="2" l="1"/>
  <c r="OF3" i="2"/>
  <c r="OA3" i="2"/>
  <c r="OC3" i="2"/>
  <c r="OC37" i="2" l="1"/>
  <c r="OD3" i="2" s="1"/>
  <c r="OF37" i="2"/>
  <c r="OG3" i="2"/>
  <c r="OG37" i="2" l="1"/>
  <c r="OD6" i="2"/>
  <c r="OD26" i="2"/>
  <c r="OD16" i="2"/>
  <c r="OD11" i="2"/>
  <c r="OD10" i="2"/>
  <c r="OD8" i="2"/>
  <c r="OD17" i="2"/>
  <c r="OD22" i="2"/>
  <c r="OD4" i="2"/>
  <c r="OD7" i="2"/>
  <c r="OD13" i="2"/>
  <c r="OD5" i="2"/>
  <c r="OD27" i="2"/>
  <c r="OD29" i="2"/>
  <c r="OD20" i="2"/>
  <c r="OD19" i="2"/>
  <c r="OD15" i="2"/>
  <c r="OD23" i="2"/>
  <c r="OD9" i="2"/>
  <c r="OD28" i="2"/>
  <c r="OD25" i="2"/>
  <c r="OD14" i="2"/>
  <c r="OD12" i="2"/>
  <c r="OD18" i="2"/>
  <c r="OD21" i="2"/>
  <c r="OD24" i="2"/>
  <c r="OD37" i="2" l="1"/>
  <c r="OD40" i="2" s="1"/>
  <c r="OH16" i="2" s="1"/>
  <c r="OI16" i="2" s="1"/>
  <c r="OH23" i="2" l="1"/>
  <c r="OI23" i="2" s="1"/>
  <c r="OJ23" i="2" s="1"/>
  <c r="OH8" i="2"/>
  <c r="OI8" i="2" s="1"/>
  <c r="OJ8" i="2" s="1"/>
  <c r="OH25" i="2"/>
  <c r="OI25" i="2" s="1"/>
  <c r="OL25" i="2" s="1"/>
  <c r="ON25" i="2" s="1"/>
  <c r="OH14" i="2"/>
  <c r="OI14" i="2" s="1"/>
  <c r="OJ14" i="2" s="1"/>
  <c r="OH15" i="2"/>
  <c r="OI15" i="2" s="1"/>
  <c r="OL15" i="2" s="1"/>
  <c r="ON15" i="2" s="1"/>
  <c r="OH29" i="2"/>
  <c r="OI29" i="2" s="1"/>
  <c r="OK29" i="2" s="1"/>
  <c r="OH4" i="2"/>
  <c r="OI4" i="2" s="1"/>
  <c r="OK4" i="2" s="1"/>
  <c r="OH17" i="2"/>
  <c r="OI17" i="2" s="1"/>
  <c r="OL17" i="2" s="1"/>
  <c r="ON17" i="2" s="1"/>
  <c r="OH22" i="2"/>
  <c r="OI22" i="2" s="1"/>
  <c r="OL22" i="2" s="1"/>
  <c r="ON22" i="2" s="1"/>
  <c r="OH7" i="2"/>
  <c r="OI7" i="2" s="1"/>
  <c r="OL7" i="2" s="1"/>
  <c r="ON7" i="2" s="1"/>
  <c r="OH12" i="2"/>
  <c r="OI12" i="2" s="1"/>
  <c r="OL12" i="2" s="1"/>
  <c r="ON12" i="2" s="1"/>
  <c r="OH9" i="2"/>
  <c r="OI9" i="2" s="1"/>
  <c r="OL9" i="2" s="1"/>
  <c r="ON9" i="2" s="1"/>
  <c r="OH20" i="2"/>
  <c r="OI20" i="2" s="1"/>
  <c r="OL20" i="2" s="1"/>
  <c r="ON20" i="2" s="1"/>
  <c r="OH19" i="2"/>
  <c r="OI19" i="2" s="1"/>
  <c r="OJ19" i="2" s="1"/>
  <c r="OH5" i="2"/>
  <c r="OI5" i="2" s="1"/>
  <c r="OL5" i="2" s="1"/>
  <c r="ON5" i="2" s="1"/>
  <c r="OH6" i="2"/>
  <c r="OI6" i="2" s="1"/>
  <c r="OL6" i="2" s="1"/>
  <c r="ON6" i="2" s="1"/>
  <c r="OQ6" i="2" s="1"/>
  <c r="OS6" i="2" s="1"/>
  <c r="OH18" i="2"/>
  <c r="OI18" i="2" s="1"/>
  <c r="OL18" i="2" s="1"/>
  <c r="ON18" i="2" s="1"/>
  <c r="OH28" i="2"/>
  <c r="OI28" i="2" s="1"/>
  <c r="OL28" i="2" s="1"/>
  <c r="ON28" i="2" s="1"/>
  <c r="OH10" i="2"/>
  <c r="OI10" i="2" s="1"/>
  <c r="OJ10" i="2" s="1"/>
  <c r="OH26" i="2"/>
  <c r="OI26" i="2" s="1"/>
  <c r="OL26" i="2" s="1"/>
  <c r="ON26" i="2" s="1"/>
  <c r="OQ26" i="2" s="1"/>
  <c r="OS26" i="2" s="1"/>
  <c r="OH13" i="2"/>
  <c r="OI13" i="2" s="1"/>
  <c r="OJ13" i="2" s="1"/>
  <c r="OH24" i="2"/>
  <c r="OI24" i="2" s="1"/>
  <c r="OL24" i="2" s="1"/>
  <c r="OH21" i="2"/>
  <c r="OH11" i="2"/>
  <c r="OI11" i="2" s="1"/>
  <c r="OL11" i="2" s="1"/>
  <c r="ON11" i="2" s="1"/>
  <c r="OH27" i="2"/>
  <c r="OI27" i="2" s="1"/>
  <c r="OK27" i="2" s="1"/>
  <c r="OK16" i="2"/>
  <c r="OJ16" i="2"/>
  <c r="OL16" i="2"/>
  <c r="ON16" i="2" s="1"/>
  <c r="OH3" i="2"/>
  <c r="OK25" i="2" l="1"/>
  <c r="OJ25" i="2"/>
  <c r="OK8" i="2"/>
  <c r="OL8" i="2"/>
  <c r="ON8" i="2" s="1"/>
  <c r="OQ8" i="2" s="1"/>
  <c r="OS8" i="2" s="1"/>
  <c r="OK22" i="2"/>
  <c r="OK23" i="2"/>
  <c r="OJ22" i="2"/>
  <c r="OL23" i="2"/>
  <c r="ON23" i="2" s="1"/>
  <c r="OQ23" i="2" s="1"/>
  <c r="OS23" i="2" s="1"/>
  <c r="OL14" i="2"/>
  <c r="ON14" i="2" s="1"/>
  <c r="OQ14" i="2" s="1"/>
  <c r="OS14" i="2" s="1"/>
  <c r="OJ7" i="2"/>
  <c r="OL29" i="2"/>
  <c r="ON29" i="2" s="1"/>
  <c r="OQ29" i="2" s="1"/>
  <c r="OS29" i="2" s="1"/>
  <c r="OJ15" i="2"/>
  <c r="OK15" i="2"/>
  <c r="OK14" i="2"/>
  <c r="NW43" i="2"/>
  <c r="OJ29" i="2"/>
  <c r="OJ17" i="2"/>
  <c r="OK17" i="2"/>
  <c r="OJ12" i="2"/>
  <c r="OL4" i="2"/>
  <c r="ON4" i="2" s="1"/>
  <c r="OO4" i="2" s="1"/>
  <c r="OJ4" i="2"/>
  <c r="OK12" i="2"/>
  <c r="OK10" i="2"/>
  <c r="OL10" i="2"/>
  <c r="ON10" i="2" s="1"/>
  <c r="OQ10" i="2" s="1"/>
  <c r="OS10" i="2" s="1"/>
  <c r="OJ26" i="2"/>
  <c r="OL19" i="2"/>
  <c r="ON19" i="2" s="1"/>
  <c r="OO19" i="2" s="1"/>
  <c r="OK24" i="2"/>
  <c r="OK19" i="2"/>
  <c r="OK13" i="2"/>
  <c r="OJ28" i="2"/>
  <c r="OK28" i="2"/>
  <c r="OK7" i="2"/>
  <c r="OL13" i="2"/>
  <c r="ON13" i="2" s="1"/>
  <c r="OO13" i="2" s="1"/>
  <c r="OJ5" i="2"/>
  <c r="OJ24" i="2"/>
  <c r="OJ20" i="2"/>
  <c r="OK11" i="2"/>
  <c r="OK20" i="2"/>
  <c r="OJ11" i="2"/>
  <c r="OJ18" i="2"/>
  <c r="OJ9" i="2"/>
  <c r="OI21" i="2"/>
  <c r="OL21" i="2" s="1"/>
  <c r="ON21" i="2" s="1"/>
  <c r="OK18" i="2"/>
  <c r="OK9" i="2"/>
  <c r="OL27" i="2"/>
  <c r="ON27" i="2" s="1"/>
  <c r="OQ27" i="2" s="1"/>
  <c r="OS27" i="2" s="1"/>
  <c r="OJ6" i="2"/>
  <c r="OJ27" i="2"/>
  <c r="OK5" i="2"/>
  <c r="OV6" i="2"/>
  <c r="PA6" i="2"/>
  <c r="PB6" i="2" s="1"/>
  <c r="OX6" i="2"/>
  <c r="OQ9" i="2"/>
  <c r="OS9" i="2" s="1"/>
  <c r="OO9" i="2"/>
  <c r="OQ28" i="2"/>
  <c r="OS28" i="2" s="1"/>
  <c r="OO28" i="2"/>
  <c r="OQ18" i="2"/>
  <c r="OS18" i="2" s="1"/>
  <c r="OO18" i="2"/>
  <c r="OQ5" i="2"/>
  <c r="OS5" i="2" s="1"/>
  <c r="OO5" i="2"/>
  <c r="OQ11" i="2"/>
  <c r="OS11" i="2" s="1"/>
  <c r="OO11" i="2"/>
  <c r="OQ12" i="2"/>
  <c r="OS12" i="2" s="1"/>
  <c r="OO12" i="2"/>
  <c r="OQ25" i="2"/>
  <c r="OS25" i="2" s="1"/>
  <c r="OO25" i="2"/>
  <c r="OQ20" i="2"/>
  <c r="OS20" i="2" s="1"/>
  <c r="OO20" i="2"/>
  <c r="OQ4" i="2"/>
  <c r="OS4" i="2" s="1"/>
  <c r="OO17" i="2"/>
  <c r="OQ17" i="2"/>
  <c r="OS17" i="2" s="1"/>
  <c r="OO15" i="2"/>
  <c r="OQ15" i="2"/>
  <c r="OS15" i="2" s="1"/>
  <c r="OQ16" i="2"/>
  <c r="OS16" i="2" s="1"/>
  <c r="OO16" i="2"/>
  <c r="OX26" i="2"/>
  <c r="OV26" i="2"/>
  <c r="PA26" i="2"/>
  <c r="PB26" i="2" s="1"/>
  <c r="OH37" i="2"/>
  <c r="OH40" i="2" s="1"/>
  <c r="OI3" i="2"/>
  <c r="OQ22" i="2"/>
  <c r="OS22" i="2" s="1"/>
  <c r="OO22" i="2"/>
  <c r="OQ7" i="2"/>
  <c r="OS7" i="2" s="1"/>
  <c r="OO7" i="2"/>
  <c r="OO8" i="2" l="1"/>
  <c r="OO23" i="2"/>
  <c r="OO14" i="2"/>
  <c r="OO29" i="2"/>
  <c r="OO10" i="2"/>
  <c r="OQ19" i="2"/>
  <c r="OS19" i="2" s="1"/>
  <c r="OV19" i="2" s="1"/>
  <c r="OJ21" i="2"/>
  <c r="OO27" i="2"/>
  <c r="OQ13" i="2"/>
  <c r="OS13" i="2" s="1"/>
  <c r="OX13" i="2" s="1"/>
  <c r="OX15" i="2"/>
  <c r="OV15" i="2"/>
  <c r="PA15" i="2"/>
  <c r="PB15" i="2" s="1"/>
  <c r="PA17" i="2"/>
  <c r="PB17" i="2" s="1"/>
  <c r="OV17" i="2"/>
  <c r="OX17" i="2"/>
  <c r="OI37" i="2"/>
  <c r="OL3" i="2"/>
  <c r="OK3" i="2"/>
  <c r="OJ3" i="2"/>
  <c r="OV20" i="2"/>
  <c r="PA20" i="2"/>
  <c r="PB20" i="2" s="1"/>
  <c r="OX20" i="2"/>
  <c r="OV9" i="2"/>
  <c r="PA9" i="2"/>
  <c r="PB9" i="2" s="1"/>
  <c r="OX9" i="2"/>
  <c r="OV4" i="2"/>
  <c r="OX4" i="2"/>
  <c r="PA4" i="2"/>
  <c r="PB4" i="2" s="1"/>
  <c r="OM24" i="2"/>
  <c r="OV11" i="2"/>
  <c r="OX11" i="2"/>
  <c r="PA11" i="2"/>
  <c r="PB11" i="2" s="1"/>
  <c r="OV22" i="2"/>
  <c r="PA22" i="2"/>
  <c r="PB22" i="2" s="1"/>
  <c r="OX22" i="2"/>
  <c r="PA25" i="2"/>
  <c r="PB25" i="2" s="1"/>
  <c r="OV25" i="2"/>
  <c r="OX25" i="2"/>
  <c r="ON39" i="2"/>
  <c r="OQ21" i="2"/>
  <c r="OS21" i="2" s="1"/>
  <c r="OV5" i="2"/>
  <c r="OX5" i="2"/>
  <c r="PA5" i="2"/>
  <c r="PB5" i="2" s="1"/>
  <c r="OV27" i="2"/>
  <c r="OX27" i="2"/>
  <c r="PA27" i="2"/>
  <c r="PB27" i="2" s="1"/>
  <c r="OV10" i="2"/>
  <c r="PA10" i="2"/>
  <c r="PB10" i="2" s="1"/>
  <c r="OX10" i="2"/>
  <c r="OV7" i="2"/>
  <c r="OX7" i="2"/>
  <c r="PA7" i="2"/>
  <c r="PB7" i="2" s="1"/>
  <c r="OX28" i="2"/>
  <c r="OV28" i="2"/>
  <c r="PA28" i="2"/>
  <c r="PB28" i="2" s="1"/>
  <c r="OV23" i="2"/>
  <c r="OX23" i="2"/>
  <c r="PA23" i="2"/>
  <c r="PB23" i="2" s="1"/>
  <c r="PA8" i="2"/>
  <c r="PB8" i="2" s="1"/>
  <c r="OV8" i="2"/>
  <c r="OX8" i="2"/>
  <c r="OV29" i="2"/>
  <c r="PA29" i="2"/>
  <c r="PB29" i="2" s="1"/>
  <c r="OX29" i="2"/>
  <c r="OV16" i="2"/>
  <c r="OX16" i="2"/>
  <c r="PA16" i="2"/>
  <c r="PB16" i="2" s="1"/>
  <c r="PA14" i="2"/>
  <c r="PB14" i="2" s="1"/>
  <c r="OV14" i="2"/>
  <c r="OX14" i="2"/>
  <c r="OV12" i="2"/>
  <c r="OX12" i="2"/>
  <c r="PA12" i="2"/>
  <c r="PB12" i="2" s="1"/>
  <c r="OV18" i="2"/>
  <c r="OX18" i="2"/>
  <c r="PA18" i="2"/>
  <c r="PB18" i="2" s="1"/>
  <c r="OJ37" i="2" l="1"/>
  <c r="OX19" i="2"/>
  <c r="PA19" i="2"/>
  <c r="PB19" i="2" s="1"/>
  <c r="OV13" i="2"/>
  <c r="PA13" i="2"/>
  <c r="PB13" i="2" s="1"/>
  <c r="OV21" i="2"/>
  <c r="PA21" i="2"/>
  <c r="PB21" i="2" s="1"/>
  <c r="OX21" i="2"/>
  <c r="OM37" i="2"/>
  <c r="ON42" i="2" s="1"/>
  <c r="ON24" i="2"/>
  <c r="OL37" i="2"/>
  <c r="ON3" i="2"/>
  <c r="OQ24" i="2" l="1"/>
  <c r="OS24" i="2" s="1"/>
  <c r="OO24" i="2"/>
  <c r="ON37" i="2"/>
  <c r="OO3" i="2"/>
  <c r="OQ3" i="2"/>
  <c r="OQ37" i="2" l="1"/>
  <c r="OS3" i="2"/>
  <c r="OO39" i="2"/>
  <c r="ON40" i="2"/>
  <c r="OO43" i="2"/>
  <c r="OO41" i="2"/>
  <c r="OO37" i="2"/>
  <c r="OV24" i="2"/>
  <c r="PA24" i="2"/>
  <c r="PB24" i="2" s="1"/>
  <c r="OX24" i="2"/>
  <c r="OS37" i="2" l="1"/>
  <c r="OX3" i="2"/>
  <c r="OV3" i="2"/>
  <c r="PA3" i="2"/>
  <c r="OX37" i="2" l="1"/>
  <c r="PA37" i="2"/>
  <c r="PB3" i="2"/>
  <c r="OY6" i="2" l="1"/>
  <c r="OY26" i="2"/>
  <c r="OY8" i="2"/>
  <c r="OY5" i="2"/>
  <c r="OY9" i="2"/>
  <c r="OY17" i="2"/>
  <c r="OY14" i="2"/>
  <c r="OY12" i="2"/>
  <c r="OY15" i="2"/>
  <c r="OY22" i="2"/>
  <c r="OY27" i="2"/>
  <c r="OY11" i="2"/>
  <c r="OY20" i="2"/>
  <c r="OY23" i="2"/>
  <c r="OY19" i="2"/>
  <c r="OY16" i="2"/>
  <c r="OY18" i="2"/>
  <c r="OY29" i="2"/>
  <c r="OY10" i="2"/>
  <c r="OY25" i="2"/>
  <c r="OY4" i="2"/>
  <c r="OY13" i="2"/>
  <c r="OY7" i="2"/>
  <c r="OY28" i="2"/>
  <c r="OY21" i="2"/>
  <c r="OY24" i="2"/>
  <c r="PB37" i="2"/>
  <c r="OY3" i="2"/>
  <c r="OY37" i="2" l="1"/>
  <c r="OY40" i="2" s="1"/>
  <c r="PC11" i="2" s="1"/>
  <c r="PD11" i="2" s="1"/>
  <c r="PC15" i="2" l="1"/>
  <c r="PD15" i="2" s="1"/>
  <c r="PF15" i="2" s="1"/>
  <c r="PC24" i="2"/>
  <c r="PD24" i="2" s="1"/>
  <c r="PE24" i="2" s="1"/>
  <c r="PC21" i="2"/>
  <c r="PD21" i="2" s="1"/>
  <c r="PE21" i="2" s="1"/>
  <c r="PC27" i="2"/>
  <c r="PD27" i="2" s="1"/>
  <c r="PE27" i="2" s="1"/>
  <c r="PC9" i="2"/>
  <c r="PD9" i="2" s="1"/>
  <c r="PG9" i="2" s="1"/>
  <c r="PI9" i="2" s="1"/>
  <c r="PC28" i="2"/>
  <c r="PD28" i="2" s="1"/>
  <c r="PE28" i="2" s="1"/>
  <c r="PC23" i="2"/>
  <c r="PD23" i="2" s="1"/>
  <c r="PG23" i="2" s="1"/>
  <c r="PI23" i="2" s="1"/>
  <c r="PC10" i="2"/>
  <c r="PD10" i="2" s="1"/>
  <c r="PG10" i="2" s="1"/>
  <c r="PI10" i="2" s="1"/>
  <c r="PC18" i="2"/>
  <c r="PD18" i="2" s="1"/>
  <c r="PG18" i="2" s="1"/>
  <c r="PI18" i="2" s="1"/>
  <c r="PC17" i="2"/>
  <c r="PD17" i="2" s="1"/>
  <c r="PG17" i="2" s="1"/>
  <c r="PI17" i="2" s="1"/>
  <c r="PC25" i="2"/>
  <c r="PD25" i="2" s="1"/>
  <c r="PF25" i="2" s="1"/>
  <c r="PC19" i="2"/>
  <c r="PD19" i="2" s="1"/>
  <c r="PG19" i="2" s="1"/>
  <c r="PI19" i="2" s="1"/>
  <c r="PC14" i="2"/>
  <c r="PD14" i="2" s="1"/>
  <c r="PE14" i="2" s="1"/>
  <c r="PC7" i="2"/>
  <c r="PD7" i="2" s="1"/>
  <c r="PG7" i="2" s="1"/>
  <c r="PI7" i="2" s="1"/>
  <c r="PC5" i="2"/>
  <c r="PD5" i="2" s="1"/>
  <c r="PG5" i="2" s="1"/>
  <c r="PI5" i="2" s="1"/>
  <c r="PC4" i="2"/>
  <c r="PD4" i="2" s="1"/>
  <c r="PE4" i="2" s="1"/>
  <c r="PC12" i="2"/>
  <c r="PD12" i="2" s="1"/>
  <c r="PE12" i="2" s="1"/>
  <c r="PC6" i="2"/>
  <c r="PD6" i="2" s="1"/>
  <c r="PE6" i="2" s="1"/>
  <c r="PC22" i="2"/>
  <c r="PD22" i="2" s="1"/>
  <c r="PG22" i="2" s="1"/>
  <c r="PI22" i="2" s="1"/>
  <c r="PC26" i="2"/>
  <c r="PD26" i="2" s="1"/>
  <c r="PG26" i="2" s="1"/>
  <c r="PI26" i="2" s="1"/>
  <c r="PL26" i="2" s="1"/>
  <c r="PN26" i="2" s="1"/>
  <c r="PC16" i="2"/>
  <c r="PD16" i="2" s="1"/>
  <c r="PE16" i="2" s="1"/>
  <c r="PC13" i="2"/>
  <c r="PD13" i="2" s="1"/>
  <c r="PF13" i="2" s="1"/>
  <c r="PC29" i="2"/>
  <c r="PD29" i="2" s="1"/>
  <c r="PE29" i="2" s="1"/>
  <c r="PC8" i="2"/>
  <c r="PD8" i="2" s="1"/>
  <c r="PG8" i="2" s="1"/>
  <c r="PI8" i="2" s="1"/>
  <c r="PC20" i="2"/>
  <c r="PD20" i="2" s="1"/>
  <c r="PE20" i="2" s="1"/>
  <c r="PE11" i="2"/>
  <c r="PG11" i="2"/>
  <c r="PI11" i="2" s="1"/>
  <c r="PF11" i="2"/>
  <c r="PC3" i="2"/>
  <c r="PF27" i="2" l="1"/>
  <c r="PE18" i="2"/>
  <c r="PG15" i="2"/>
  <c r="PI15" i="2" s="1"/>
  <c r="PJ15" i="2" s="1"/>
  <c r="PF24" i="2"/>
  <c r="PF18" i="2"/>
  <c r="PE15" i="2"/>
  <c r="PG27" i="2"/>
  <c r="PI27" i="2" s="1"/>
  <c r="PJ27" i="2" s="1"/>
  <c r="PF19" i="2"/>
  <c r="PF12" i="2"/>
  <c r="PG25" i="2"/>
  <c r="PI25" i="2" s="1"/>
  <c r="PJ25" i="2" s="1"/>
  <c r="PE25" i="2"/>
  <c r="PG12" i="2"/>
  <c r="PI12" i="2" s="1"/>
  <c r="PJ12" i="2" s="1"/>
  <c r="PF14" i="2"/>
  <c r="PG6" i="2"/>
  <c r="PI6" i="2" s="1"/>
  <c r="PL6" i="2" s="1"/>
  <c r="PN6" i="2" s="1"/>
  <c r="PV6" i="2" s="1"/>
  <c r="PW6" i="2" s="1"/>
  <c r="PG24" i="2"/>
  <c r="PE9" i="2"/>
  <c r="PE19" i="2"/>
  <c r="PF9" i="2"/>
  <c r="PF28" i="2"/>
  <c r="PE17" i="2"/>
  <c r="PF17" i="2"/>
  <c r="PG28" i="2"/>
  <c r="PI28" i="2" s="1"/>
  <c r="PL28" i="2" s="1"/>
  <c r="PN28" i="2" s="1"/>
  <c r="PF23" i="2"/>
  <c r="PG14" i="2"/>
  <c r="PI14" i="2" s="1"/>
  <c r="PL14" i="2" s="1"/>
  <c r="PN14" i="2" s="1"/>
  <c r="PE7" i="2"/>
  <c r="PE10" i="2"/>
  <c r="PF7" i="2"/>
  <c r="PE5" i="2"/>
  <c r="PE23" i="2"/>
  <c r="PF5" i="2"/>
  <c r="PF10" i="2"/>
  <c r="PF4" i="2"/>
  <c r="PG4" i="2"/>
  <c r="PI4" i="2" s="1"/>
  <c r="PJ4" i="2" s="1"/>
  <c r="PE26" i="2"/>
  <c r="PF16" i="2"/>
  <c r="PG16" i="2"/>
  <c r="PI16" i="2" s="1"/>
  <c r="PJ16" i="2" s="1"/>
  <c r="PF29" i="2"/>
  <c r="PG29" i="2"/>
  <c r="PI29" i="2" s="1"/>
  <c r="PJ29" i="2" s="1"/>
  <c r="PG21" i="2"/>
  <c r="PI21" i="2" s="1"/>
  <c r="PI39" i="2" s="1"/>
  <c r="PF22" i="2"/>
  <c r="PE22" i="2"/>
  <c r="OR43" i="2"/>
  <c r="PE8" i="2"/>
  <c r="PF8" i="2"/>
  <c r="PG20" i="2"/>
  <c r="PI20" i="2" s="1"/>
  <c r="PJ20" i="2" s="1"/>
  <c r="PG13" i="2"/>
  <c r="PI13" i="2" s="1"/>
  <c r="PJ13" i="2" s="1"/>
  <c r="PE13" i="2"/>
  <c r="PF20" i="2"/>
  <c r="PJ17" i="2"/>
  <c r="PL17" i="2"/>
  <c r="PN17" i="2" s="1"/>
  <c r="PJ19" i="2"/>
  <c r="PL19" i="2"/>
  <c r="PN19" i="2" s="1"/>
  <c r="PJ5" i="2"/>
  <c r="PL5" i="2"/>
  <c r="PN5" i="2" s="1"/>
  <c r="PJ8" i="2"/>
  <c r="PL8" i="2"/>
  <c r="PN8" i="2" s="1"/>
  <c r="PJ18" i="2"/>
  <c r="PL18" i="2"/>
  <c r="PN18" i="2" s="1"/>
  <c r="PJ22" i="2"/>
  <c r="PL22" i="2"/>
  <c r="PN22" i="2" s="1"/>
  <c r="PJ10" i="2"/>
  <c r="PL10" i="2"/>
  <c r="PN10" i="2" s="1"/>
  <c r="PJ11" i="2"/>
  <c r="PL11" i="2"/>
  <c r="PN11" i="2" s="1"/>
  <c r="PJ7" i="2"/>
  <c r="PL7" i="2"/>
  <c r="PN7" i="2" s="1"/>
  <c r="PV26" i="2"/>
  <c r="PW26" i="2" s="1"/>
  <c r="PS26" i="2"/>
  <c r="PQ26" i="2"/>
  <c r="PJ23" i="2"/>
  <c r="PL23" i="2"/>
  <c r="PN23" i="2" s="1"/>
  <c r="PJ9" i="2"/>
  <c r="PL9" i="2"/>
  <c r="PN9" i="2" s="1"/>
  <c r="PC37" i="2"/>
  <c r="PC40" i="2" s="1"/>
  <c r="PD3" i="2"/>
  <c r="PL15" i="2" l="1"/>
  <c r="PN15" i="2" s="1"/>
  <c r="PS15" i="2" s="1"/>
  <c r="PL27" i="2"/>
  <c r="PN27" i="2" s="1"/>
  <c r="PQ27" i="2" s="1"/>
  <c r="PL25" i="2"/>
  <c r="PN25" i="2" s="1"/>
  <c r="PQ25" i="2" s="1"/>
  <c r="PQ6" i="2"/>
  <c r="PS6" i="2"/>
  <c r="PJ14" i="2"/>
  <c r="PL12" i="2"/>
  <c r="PN12" i="2" s="1"/>
  <c r="PS12" i="2" s="1"/>
  <c r="PJ28" i="2"/>
  <c r="PL29" i="2"/>
  <c r="PN29" i="2" s="1"/>
  <c r="PQ29" i="2" s="1"/>
  <c r="PL4" i="2"/>
  <c r="PN4" i="2" s="1"/>
  <c r="PQ4" i="2" s="1"/>
  <c r="PL21" i="2"/>
  <c r="PN21" i="2" s="1"/>
  <c r="PQ21" i="2" s="1"/>
  <c r="PL16" i="2"/>
  <c r="PN16" i="2" s="1"/>
  <c r="PV16" i="2" s="1"/>
  <c r="PW16" i="2" s="1"/>
  <c r="PL20" i="2"/>
  <c r="PN20" i="2" s="1"/>
  <c r="PS20" i="2" s="1"/>
  <c r="PL13" i="2"/>
  <c r="PN13" i="2" s="1"/>
  <c r="PS13" i="2" s="1"/>
  <c r="PQ18" i="2"/>
  <c r="PS18" i="2"/>
  <c r="PV18" i="2"/>
  <c r="PW18" i="2" s="1"/>
  <c r="PS17" i="2"/>
  <c r="PQ17" i="2"/>
  <c r="PV17" i="2"/>
  <c r="PW17" i="2" s="1"/>
  <c r="PQ8" i="2"/>
  <c r="PV8" i="2"/>
  <c r="PW8" i="2" s="1"/>
  <c r="PS8" i="2"/>
  <c r="PQ11" i="2"/>
  <c r="PS11" i="2"/>
  <c r="PV11" i="2"/>
  <c r="PW11" i="2" s="1"/>
  <c r="PV28" i="2"/>
  <c r="PW28" i="2" s="1"/>
  <c r="PS28" i="2"/>
  <c r="PQ28" i="2"/>
  <c r="PS9" i="2"/>
  <c r="PQ9" i="2"/>
  <c r="PV9" i="2"/>
  <c r="PW9" i="2" s="1"/>
  <c r="PQ5" i="2"/>
  <c r="PV5" i="2"/>
  <c r="PW5" i="2" s="1"/>
  <c r="PS5" i="2"/>
  <c r="PV7" i="2"/>
  <c r="PW7" i="2" s="1"/>
  <c r="PQ7" i="2"/>
  <c r="PS7" i="2"/>
  <c r="PQ22" i="2"/>
  <c r="PV22" i="2"/>
  <c r="PW22" i="2" s="1"/>
  <c r="PS22" i="2"/>
  <c r="PV19" i="2"/>
  <c r="PW19" i="2" s="1"/>
  <c r="PQ19" i="2"/>
  <c r="PS19" i="2"/>
  <c r="PQ23" i="2"/>
  <c r="PS23" i="2"/>
  <c r="PV23" i="2"/>
  <c r="PW23" i="2" s="1"/>
  <c r="PQ10" i="2"/>
  <c r="PV10" i="2"/>
  <c r="PW10" i="2" s="1"/>
  <c r="PS10" i="2"/>
  <c r="PQ14" i="2"/>
  <c r="PV14" i="2"/>
  <c r="PW14" i="2" s="1"/>
  <c r="PS14" i="2"/>
  <c r="PD37" i="2"/>
  <c r="PG3" i="2"/>
  <c r="PF3" i="2"/>
  <c r="PE3" i="2"/>
  <c r="PE37" i="2" s="1"/>
  <c r="PH24" i="2"/>
  <c r="PQ15" i="2" l="1"/>
  <c r="PV15" i="2"/>
  <c r="PW15" i="2" s="1"/>
  <c r="PV27" i="2"/>
  <c r="PW27" i="2" s="1"/>
  <c r="PS27" i="2"/>
  <c r="PS25" i="2"/>
  <c r="PV25" i="2"/>
  <c r="PW25" i="2" s="1"/>
  <c r="PQ12" i="2"/>
  <c r="PV4" i="2"/>
  <c r="PW4" i="2" s="1"/>
  <c r="PS4" i="2"/>
  <c r="PV12" i="2"/>
  <c r="PW12" i="2" s="1"/>
  <c r="PS29" i="2"/>
  <c r="PS16" i="2"/>
  <c r="PV29" i="2"/>
  <c r="PW29" i="2" s="1"/>
  <c r="PQ16" i="2"/>
  <c r="PV20" i="2"/>
  <c r="PW20" i="2" s="1"/>
  <c r="PV21" i="2"/>
  <c r="PW21" i="2" s="1"/>
  <c r="PS21" i="2"/>
  <c r="PQ13" i="2"/>
  <c r="PQ20" i="2"/>
  <c r="PV13" i="2"/>
  <c r="PW13" i="2" s="1"/>
  <c r="PH37" i="2"/>
  <c r="PI42" i="2" s="1"/>
  <c r="PI24" i="2"/>
  <c r="PG37" i="2"/>
  <c r="PI3" i="2"/>
  <c r="PL3" i="2" s="1"/>
  <c r="PN3" i="2" l="1"/>
  <c r="PJ24" i="2"/>
  <c r="PL24" i="2"/>
  <c r="PN24" i="2" s="1"/>
  <c r="PI37" i="2"/>
  <c r="PJ3" i="2"/>
  <c r="PN37" i="2" l="1"/>
  <c r="PS3" i="2"/>
  <c r="PV3" i="2"/>
  <c r="PQ3" i="2"/>
  <c r="PQ24" i="2"/>
  <c r="PS24" i="2"/>
  <c r="PV24" i="2"/>
  <c r="PW24" i="2" s="1"/>
  <c r="PL37" i="2"/>
  <c r="PJ43" i="2"/>
  <c r="PJ41" i="2"/>
  <c r="PJ37" i="2"/>
  <c r="PI40" i="2"/>
  <c r="PJ39" i="2"/>
  <c r="PV37" i="2" l="1"/>
  <c r="PW3" i="2"/>
  <c r="PS37" i="2"/>
  <c r="PT3" i="2" s="1"/>
  <c r="PT24" i="2" l="1"/>
  <c r="PW37" i="2"/>
  <c r="PT26" i="2"/>
  <c r="PT6" i="2"/>
  <c r="PT16" i="2"/>
  <c r="PT5" i="2"/>
  <c r="PT27" i="2"/>
  <c r="PT17" i="2"/>
  <c r="PT12" i="2"/>
  <c r="PT28" i="2"/>
  <c r="PT10" i="2"/>
  <c r="PT19" i="2"/>
  <c r="PT4" i="2"/>
  <c r="PT9" i="2"/>
  <c r="PT20" i="2"/>
  <c r="PT11" i="2"/>
  <c r="PT15" i="2"/>
  <c r="PT22" i="2"/>
  <c r="PT25" i="2"/>
  <c r="PT8" i="2"/>
  <c r="PT29" i="2"/>
  <c r="PT23" i="2"/>
  <c r="PT14" i="2"/>
  <c r="PT13" i="2"/>
  <c r="PT21" i="2"/>
  <c r="PT7" i="2"/>
  <c r="PT18" i="2"/>
  <c r="PT37" i="2" l="1"/>
  <c r="PT40" i="2" s="1"/>
  <c r="PX21" i="2" s="1"/>
  <c r="PY21" i="2" s="1"/>
  <c r="PX24" i="2" l="1"/>
  <c r="PY24" i="2" s="1"/>
  <c r="QA24" i="2" s="1"/>
  <c r="PX10" i="2"/>
  <c r="PY10" i="2" s="1"/>
  <c r="QA10" i="2" s="1"/>
  <c r="PX18" i="2"/>
  <c r="PY18" i="2" s="1"/>
  <c r="PZ18" i="2" s="1"/>
  <c r="PX16" i="2"/>
  <c r="PY16" i="2" s="1"/>
  <c r="PZ16" i="2" s="1"/>
  <c r="PX22" i="2"/>
  <c r="PY22" i="2" s="1"/>
  <c r="QB22" i="2" s="1"/>
  <c r="QD22" i="2" s="1"/>
  <c r="PX20" i="2"/>
  <c r="PY20" i="2" s="1"/>
  <c r="PZ20" i="2" s="1"/>
  <c r="PX15" i="2"/>
  <c r="PY15" i="2" s="1"/>
  <c r="PZ15" i="2" s="1"/>
  <c r="PX25" i="2"/>
  <c r="PY25" i="2" s="1"/>
  <c r="QB25" i="2" s="1"/>
  <c r="QD25" i="2" s="1"/>
  <c r="PX17" i="2"/>
  <c r="PY17" i="2" s="1"/>
  <c r="QB17" i="2" s="1"/>
  <c r="QD17" i="2" s="1"/>
  <c r="PX7" i="2"/>
  <c r="PY7" i="2" s="1"/>
  <c r="PZ7" i="2" s="1"/>
  <c r="PX19" i="2"/>
  <c r="PY19" i="2" s="1"/>
  <c r="QA19" i="2" s="1"/>
  <c r="PX9" i="2"/>
  <c r="PY9" i="2" s="1"/>
  <c r="PZ9" i="2" s="1"/>
  <c r="PX8" i="2"/>
  <c r="PY8" i="2" s="1"/>
  <c r="PZ8" i="2" s="1"/>
  <c r="PX27" i="2"/>
  <c r="PY27" i="2" s="1"/>
  <c r="QB27" i="2" s="1"/>
  <c r="QD27" i="2" s="1"/>
  <c r="PX23" i="2"/>
  <c r="PY23" i="2" s="1"/>
  <c r="QA23" i="2" s="1"/>
  <c r="PX6" i="2"/>
  <c r="PY6" i="2" s="1"/>
  <c r="PZ6" i="2" s="1"/>
  <c r="PX26" i="2"/>
  <c r="PY26" i="2" s="1"/>
  <c r="QB26" i="2" s="1"/>
  <c r="QD26" i="2" s="1"/>
  <c r="QG26" i="2" s="1"/>
  <c r="QI26" i="2" s="1"/>
  <c r="PZ21" i="2"/>
  <c r="QB21" i="2"/>
  <c r="QD21" i="2" s="1"/>
  <c r="PX3" i="2"/>
  <c r="PX11" i="2"/>
  <c r="PY11" i="2" s="1"/>
  <c r="PX4" i="2"/>
  <c r="PY4" i="2" s="1"/>
  <c r="PX12" i="2"/>
  <c r="PY12" i="2" s="1"/>
  <c r="PX14" i="2"/>
  <c r="PY14" i="2" s="1"/>
  <c r="PX5" i="2"/>
  <c r="PY5" i="2" s="1"/>
  <c r="PX13" i="2"/>
  <c r="PY13" i="2" s="1"/>
  <c r="PX28" i="2"/>
  <c r="PY28" i="2" s="1"/>
  <c r="PX29" i="2"/>
  <c r="PY29" i="2" s="1"/>
  <c r="QB18" i="2" l="1"/>
  <c r="QD18" i="2" s="1"/>
  <c r="QG18" i="2" s="1"/>
  <c r="QI18" i="2" s="1"/>
  <c r="QB19" i="2"/>
  <c r="QD19" i="2" s="1"/>
  <c r="QE19" i="2" s="1"/>
  <c r="QB10" i="2"/>
  <c r="QD10" i="2" s="1"/>
  <c r="QG10" i="2" s="1"/>
  <c r="QI10" i="2" s="1"/>
  <c r="PZ24" i="2"/>
  <c r="QB24" i="2"/>
  <c r="QA18" i="2"/>
  <c r="PZ19" i="2"/>
  <c r="PZ10" i="2"/>
  <c r="QA16" i="2"/>
  <c r="QA15" i="2"/>
  <c r="QB15" i="2"/>
  <c r="QD15" i="2" s="1"/>
  <c r="QE15" i="2" s="1"/>
  <c r="QA20" i="2"/>
  <c r="QA22" i="2"/>
  <c r="QB16" i="2"/>
  <c r="QD16" i="2" s="1"/>
  <c r="QG16" i="2" s="1"/>
  <c r="QI16" i="2" s="1"/>
  <c r="QA25" i="2"/>
  <c r="QB20" i="2"/>
  <c r="QD20" i="2" s="1"/>
  <c r="QG20" i="2" s="1"/>
  <c r="QI20" i="2" s="1"/>
  <c r="PZ22" i="2"/>
  <c r="QB7" i="2"/>
  <c r="QD7" i="2" s="1"/>
  <c r="QE7" i="2" s="1"/>
  <c r="PZ26" i="2"/>
  <c r="QA17" i="2"/>
  <c r="PZ17" i="2"/>
  <c r="PZ25" i="2"/>
  <c r="QA9" i="2"/>
  <c r="QB9" i="2"/>
  <c r="QD9" i="2" s="1"/>
  <c r="QG9" i="2" s="1"/>
  <c r="QI9" i="2" s="1"/>
  <c r="QA7" i="2"/>
  <c r="PM43" i="2"/>
  <c r="QA8" i="2"/>
  <c r="QB8" i="2"/>
  <c r="QD8" i="2" s="1"/>
  <c r="QG8" i="2" s="1"/>
  <c r="QI8" i="2" s="1"/>
  <c r="PZ27" i="2"/>
  <c r="PZ23" i="2"/>
  <c r="QA27" i="2"/>
  <c r="QB23" i="2"/>
  <c r="QD23" i="2" s="1"/>
  <c r="QD39" i="2" s="1"/>
  <c r="QB6" i="2"/>
  <c r="QD6" i="2" s="1"/>
  <c r="QG6" i="2" s="1"/>
  <c r="QI6" i="2" s="1"/>
  <c r="QL6" i="2" s="1"/>
  <c r="QA14" i="2"/>
  <c r="QB14" i="2"/>
  <c r="QD14" i="2" s="1"/>
  <c r="PZ14" i="2"/>
  <c r="PX37" i="2"/>
  <c r="PX40" i="2" s="1"/>
  <c r="PY3" i="2"/>
  <c r="QG27" i="2"/>
  <c r="QI27" i="2" s="1"/>
  <c r="QE27" i="2"/>
  <c r="QB29" i="2"/>
  <c r="QD29" i="2" s="1"/>
  <c r="QA29" i="2"/>
  <c r="PZ29" i="2"/>
  <c r="QB12" i="2"/>
  <c r="QD12" i="2" s="1"/>
  <c r="PZ12" i="2"/>
  <c r="QA12" i="2"/>
  <c r="QG22" i="2"/>
  <c r="QI22" i="2" s="1"/>
  <c r="QE22" i="2"/>
  <c r="QB4" i="2"/>
  <c r="QD4" i="2" s="1"/>
  <c r="QA4" i="2"/>
  <c r="PZ4" i="2"/>
  <c r="QG25" i="2"/>
  <c r="QI25" i="2" s="1"/>
  <c r="QE25" i="2"/>
  <c r="QB28" i="2"/>
  <c r="QD28" i="2" s="1"/>
  <c r="PZ28" i="2"/>
  <c r="QA28" i="2"/>
  <c r="QB11" i="2"/>
  <c r="QD11" i="2" s="1"/>
  <c r="QA11" i="2"/>
  <c r="PZ11" i="2"/>
  <c r="QN26" i="2"/>
  <c r="QL26" i="2"/>
  <c r="QQ26" i="2"/>
  <c r="QR26" i="2" s="1"/>
  <c r="QG21" i="2"/>
  <c r="QI21" i="2" s="1"/>
  <c r="QB5" i="2"/>
  <c r="QD5" i="2" s="1"/>
  <c r="QA5" i="2"/>
  <c r="PZ5" i="2"/>
  <c r="QA13" i="2"/>
  <c r="PZ13" i="2"/>
  <c r="QB13" i="2"/>
  <c r="QD13" i="2" s="1"/>
  <c r="QG17" i="2"/>
  <c r="QI17" i="2" s="1"/>
  <c r="QE17" i="2"/>
  <c r="QG19" i="2" l="1"/>
  <c r="QI19" i="2" s="1"/>
  <c r="QL19" i="2" s="1"/>
  <c r="QE10" i="2"/>
  <c r="QE18" i="2"/>
  <c r="QG15" i="2"/>
  <c r="QI15" i="2" s="1"/>
  <c r="QL15" i="2" s="1"/>
  <c r="QE16" i="2"/>
  <c r="QE20" i="2"/>
  <c r="QG7" i="2"/>
  <c r="QI7" i="2" s="1"/>
  <c r="QQ7" i="2" s="1"/>
  <c r="QR7" i="2" s="1"/>
  <c r="QE8" i="2"/>
  <c r="QE9" i="2"/>
  <c r="QE23" i="2"/>
  <c r="QG23" i="2"/>
  <c r="QI23" i="2" s="1"/>
  <c r="QQ23" i="2" s="1"/>
  <c r="QR23" i="2" s="1"/>
  <c r="QQ6" i="2"/>
  <c r="QR6" i="2" s="1"/>
  <c r="QN6" i="2"/>
  <c r="QL8" i="2"/>
  <c r="QQ8" i="2"/>
  <c r="QR8" i="2" s="1"/>
  <c r="QN8" i="2"/>
  <c r="QL27" i="2"/>
  <c r="QN27" i="2"/>
  <c r="QQ27" i="2"/>
  <c r="QR27" i="2" s="1"/>
  <c r="QL17" i="2"/>
  <c r="QQ17" i="2"/>
  <c r="QR17" i="2" s="1"/>
  <c r="QN17" i="2"/>
  <c r="QL10" i="2"/>
  <c r="QQ10" i="2"/>
  <c r="QR10" i="2" s="1"/>
  <c r="QN10" i="2"/>
  <c r="QE12" i="2"/>
  <c r="QG12" i="2"/>
  <c r="QI12" i="2" s="1"/>
  <c r="QE13" i="2"/>
  <c r="QG13" i="2"/>
  <c r="QI13" i="2" s="1"/>
  <c r="QG28" i="2"/>
  <c r="QI28" i="2" s="1"/>
  <c r="QE28" i="2"/>
  <c r="QE11" i="2"/>
  <c r="QG11" i="2"/>
  <c r="QI11" i="2" s="1"/>
  <c r="QL9" i="2"/>
  <c r="QN9" i="2"/>
  <c r="QQ9" i="2"/>
  <c r="QR9" i="2" s="1"/>
  <c r="QG29" i="2"/>
  <c r="QI29" i="2" s="1"/>
  <c r="QE29" i="2"/>
  <c r="QG14" i="2"/>
  <c r="QI14" i="2" s="1"/>
  <c r="QE14" i="2"/>
  <c r="QG4" i="2"/>
  <c r="QI4" i="2" s="1"/>
  <c r="QE4" i="2"/>
  <c r="QL21" i="2"/>
  <c r="QQ21" i="2"/>
  <c r="QR21" i="2" s="1"/>
  <c r="QN21" i="2"/>
  <c r="QQ25" i="2"/>
  <c r="QR25" i="2" s="1"/>
  <c r="QN25" i="2"/>
  <c r="QL25" i="2"/>
  <c r="QL18" i="2"/>
  <c r="QN18" i="2"/>
  <c r="QQ18" i="2"/>
  <c r="QR18" i="2" s="1"/>
  <c r="PY37" i="2"/>
  <c r="QB3" i="2"/>
  <c r="QA3" i="2"/>
  <c r="PZ3" i="2"/>
  <c r="PZ37" i="2" s="1"/>
  <c r="QL22" i="2"/>
  <c r="QN22" i="2"/>
  <c r="QQ22" i="2"/>
  <c r="QR22" i="2" s="1"/>
  <c r="QC24" i="2"/>
  <c r="QL20" i="2"/>
  <c r="QN20" i="2"/>
  <c r="QQ20" i="2"/>
  <c r="QR20" i="2" s="1"/>
  <c r="QL16" i="2"/>
  <c r="QN16" i="2"/>
  <c r="QQ16" i="2"/>
  <c r="QR16" i="2" s="1"/>
  <c r="QE5" i="2"/>
  <c r="QG5" i="2"/>
  <c r="QI5" i="2" s="1"/>
  <c r="QQ19" i="2" l="1"/>
  <c r="QR19" i="2" s="1"/>
  <c r="QN19" i="2"/>
  <c r="QN15" i="2"/>
  <c r="QN7" i="2"/>
  <c r="QL7" i="2"/>
  <c r="QQ15" i="2"/>
  <c r="QR15" i="2" s="1"/>
  <c r="QL23" i="2"/>
  <c r="QN23" i="2"/>
  <c r="QB37" i="2"/>
  <c r="QD3" i="2"/>
  <c r="QL11" i="2"/>
  <c r="QQ11" i="2"/>
  <c r="QR11" i="2" s="1"/>
  <c r="QN11" i="2"/>
  <c r="QN5" i="2"/>
  <c r="QL5" i="2"/>
  <c r="QQ5" i="2"/>
  <c r="QR5" i="2" s="1"/>
  <c r="QN14" i="2"/>
  <c r="QL14" i="2"/>
  <c r="QQ14" i="2"/>
  <c r="QR14" i="2" s="1"/>
  <c r="QL13" i="2"/>
  <c r="QN13" i="2"/>
  <c r="QQ13" i="2"/>
  <c r="QR13" i="2" s="1"/>
  <c r="QQ4" i="2"/>
  <c r="QR4" i="2" s="1"/>
  <c r="QL4" i="2"/>
  <c r="QN4" i="2"/>
  <c r="QN29" i="2"/>
  <c r="QL29" i="2"/>
  <c r="QQ29" i="2"/>
  <c r="QR29" i="2" s="1"/>
  <c r="QL12" i="2"/>
  <c r="QQ12" i="2"/>
  <c r="QR12" i="2" s="1"/>
  <c r="QN12" i="2"/>
  <c r="QL28" i="2"/>
  <c r="QQ28" i="2"/>
  <c r="QR28" i="2" s="1"/>
  <c r="QN28" i="2"/>
  <c r="QC37" i="2"/>
  <c r="QD42" i="2" s="1"/>
  <c r="QD24" i="2"/>
  <c r="QD37" i="2" l="1"/>
  <c r="QG3" i="2"/>
  <c r="QE3" i="2"/>
  <c r="QG24" i="2"/>
  <c r="QI24" i="2" s="1"/>
  <c r="QE24" i="2"/>
  <c r="QD40" i="2" l="1"/>
  <c r="QE39" i="2"/>
  <c r="QE37" i="2"/>
  <c r="QE43" i="2"/>
  <c r="QE41" i="2"/>
  <c r="QG37" i="2"/>
  <c r="QI3" i="2"/>
  <c r="QL24" i="2"/>
  <c r="QQ24" i="2"/>
  <c r="QR24" i="2" s="1"/>
  <c r="QN24" i="2"/>
  <c r="QI37" i="2" l="1"/>
  <c r="QL3" i="2"/>
  <c r="QQ3" i="2"/>
  <c r="QN3" i="2"/>
  <c r="QN37" i="2" l="1"/>
  <c r="QO3" i="2" s="1"/>
  <c r="QQ37" i="2"/>
  <c r="QR3" i="2"/>
  <c r="QR37" i="2" l="1"/>
  <c r="QO6" i="2"/>
  <c r="QO26" i="2"/>
  <c r="QO22" i="2"/>
  <c r="QO18" i="2"/>
  <c r="QO9" i="2"/>
  <c r="QO23" i="2"/>
  <c r="QO7" i="2"/>
  <c r="QO21" i="2"/>
  <c r="QO27" i="2"/>
  <c r="QO15" i="2"/>
  <c r="QO17" i="2"/>
  <c r="QO8" i="2"/>
  <c r="QO19" i="2"/>
  <c r="QO10" i="2"/>
  <c r="QO25" i="2"/>
  <c r="QO20" i="2"/>
  <c r="QO16" i="2"/>
  <c r="QO13" i="2"/>
  <c r="QO28" i="2"/>
  <c r="QO4" i="2"/>
  <c r="QO29" i="2"/>
  <c r="QO11" i="2"/>
  <c r="QO14" i="2"/>
  <c r="QO12" i="2"/>
  <c r="QO5" i="2"/>
  <c r="QO24" i="2"/>
  <c r="QO37" i="2" l="1"/>
  <c r="QO40" i="2" s="1"/>
  <c r="QS22" i="2" s="1"/>
  <c r="QT22" i="2" s="1"/>
  <c r="QU22" i="2" l="1"/>
  <c r="QW22" i="2"/>
  <c r="QY22" i="2" s="1"/>
  <c r="QV22" i="2"/>
  <c r="QS28" i="2"/>
  <c r="QT28" i="2" s="1"/>
  <c r="QS25" i="2"/>
  <c r="QT25" i="2" s="1"/>
  <c r="QS27" i="2"/>
  <c r="QT27" i="2" s="1"/>
  <c r="QS23" i="2"/>
  <c r="QT23" i="2" s="1"/>
  <c r="QS5" i="2"/>
  <c r="QT5" i="2" s="1"/>
  <c r="QS9" i="2"/>
  <c r="QT9" i="2" s="1"/>
  <c r="QS15" i="2"/>
  <c r="QT15" i="2" s="1"/>
  <c r="QS17" i="2"/>
  <c r="QT17" i="2" s="1"/>
  <c r="QS12" i="2"/>
  <c r="QT12" i="2" s="1"/>
  <c r="QS16" i="2"/>
  <c r="QT16" i="2" s="1"/>
  <c r="QS26" i="2"/>
  <c r="QT26" i="2" s="1"/>
  <c r="QS19" i="2"/>
  <c r="QT19" i="2" s="1"/>
  <c r="QS8" i="2"/>
  <c r="QT8" i="2" s="1"/>
  <c r="QS24" i="2"/>
  <c r="QT24" i="2" s="1"/>
  <c r="QS13" i="2"/>
  <c r="QT13" i="2" s="1"/>
  <c r="QS20" i="2"/>
  <c r="QT20" i="2" s="1"/>
  <c r="QS10" i="2"/>
  <c r="QT10" i="2" s="1"/>
  <c r="QS6" i="2"/>
  <c r="QT6" i="2" s="1"/>
  <c r="QS4" i="2"/>
  <c r="QT4" i="2" s="1"/>
  <c r="QS21" i="2"/>
  <c r="QS11" i="2"/>
  <c r="QT11" i="2" s="1"/>
  <c r="QS14" i="2"/>
  <c r="QT14" i="2" s="1"/>
  <c r="QS29" i="2"/>
  <c r="QT29" i="2" s="1"/>
  <c r="QS7" i="2"/>
  <c r="QT7" i="2" s="1"/>
  <c r="QS18" i="2"/>
  <c r="QT18" i="2" s="1"/>
  <c r="QS3" i="2"/>
  <c r="QW23" i="2" l="1"/>
  <c r="QY23" i="2" s="1"/>
  <c r="QU23" i="2"/>
  <c r="QV23" i="2"/>
  <c r="QW26" i="2"/>
  <c r="QY26" i="2" s="1"/>
  <c r="RB26" i="2" s="1"/>
  <c r="RD26" i="2" s="1"/>
  <c r="QU26" i="2"/>
  <c r="QU27" i="2"/>
  <c r="QW27" i="2"/>
  <c r="QY27" i="2" s="1"/>
  <c r="QV27" i="2"/>
  <c r="QU6" i="2"/>
  <c r="QW6" i="2"/>
  <c r="QY6" i="2" s="1"/>
  <c r="RB6" i="2" s="1"/>
  <c r="RD6" i="2" s="1"/>
  <c r="QW16" i="2"/>
  <c r="QY16" i="2" s="1"/>
  <c r="QU16" i="2"/>
  <c r="QV16" i="2"/>
  <c r="QW25" i="2"/>
  <c r="QY25" i="2" s="1"/>
  <c r="QU25" i="2"/>
  <c r="QV25" i="2"/>
  <c r="QW18" i="2"/>
  <c r="QY18" i="2" s="1"/>
  <c r="QV18" i="2"/>
  <c r="QU18" i="2"/>
  <c r="QV10" i="2"/>
  <c r="QU10" i="2"/>
  <c r="QW10" i="2"/>
  <c r="QY10" i="2" s="1"/>
  <c r="QW12" i="2"/>
  <c r="QY12" i="2" s="1"/>
  <c r="QV12" i="2"/>
  <c r="QU12" i="2"/>
  <c r="QW28" i="2"/>
  <c r="QY28" i="2" s="1"/>
  <c r="QV28" i="2"/>
  <c r="QU28" i="2"/>
  <c r="QT21" i="2"/>
  <c r="QH43" i="2"/>
  <c r="QW20" i="2"/>
  <c r="QY20" i="2" s="1"/>
  <c r="QV20" i="2"/>
  <c r="QU20" i="2"/>
  <c r="QW17" i="2"/>
  <c r="QY17" i="2" s="1"/>
  <c r="QU17" i="2"/>
  <c r="QV17" i="2"/>
  <c r="QS37" i="2"/>
  <c r="QS40" i="2" s="1"/>
  <c r="QT3" i="2"/>
  <c r="QU13" i="2"/>
  <c r="QV13" i="2"/>
  <c r="QW13" i="2"/>
  <c r="QY13" i="2" s="1"/>
  <c r="QW15" i="2"/>
  <c r="QY15" i="2" s="1"/>
  <c r="QV15" i="2"/>
  <c r="QU15" i="2"/>
  <c r="QW4" i="2"/>
  <c r="QY4" i="2" s="1"/>
  <c r="QU4" i="2"/>
  <c r="QV4" i="2"/>
  <c r="QW29" i="2"/>
  <c r="QY29" i="2" s="1"/>
  <c r="QV29" i="2"/>
  <c r="QU29" i="2"/>
  <c r="QW24" i="2"/>
  <c r="QU24" i="2"/>
  <c r="QV24" i="2"/>
  <c r="QW9" i="2"/>
  <c r="QY9" i="2" s="1"/>
  <c r="QV9" i="2"/>
  <c r="QU9" i="2"/>
  <c r="RB22" i="2"/>
  <c r="RD22" i="2" s="1"/>
  <c r="QZ22" i="2"/>
  <c r="QW19" i="2"/>
  <c r="QY19" i="2" s="1"/>
  <c r="QV19" i="2"/>
  <c r="QU19" i="2"/>
  <c r="QW7" i="2"/>
  <c r="QY7" i="2" s="1"/>
  <c r="QV7" i="2"/>
  <c r="QU7" i="2"/>
  <c r="QW14" i="2"/>
  <c r="QY14" i="2" s="1"/>
  <c r="QU14" i="2"/>
  <c r="QV14" i="2"/>
  <c r="QV11" i="2"/>
  <c r="QU11" i="2"/>
  <c r="QW11" i="2"/>
  <c r="QY11" i="2" s="1"/>
  <c r="QW8" i="2"/>
  <c r="QY8" i="2" s="1"/>
  <c r="QV8" i="2"/>
  <c r="QU8" i="2"/>
  <c r="QW5" i="2"/>
  <c r="QY5" i="2" s="1"/>
  <c r="QV5" i="2"/>
  <c r="QU5" i="2"/>
  <c r="QZ29" i="2" l="1"/>
  <c r="RB29" i="2"/>
  <c r="RD29" i="2" s="1"/>
  <c r="QZ20" i="2"/>
  <c r="RB20" i="2"/>
  <c r="RD20" i="2" s="1"/>
  <c r="RB12" i="2"/>
  <c r="RD12" i="2" s="1"/>
  <c r="QZ12" i="2"/>
  <c r="RB27" i="2"/>
  <c r="RD27" i="2" s="1"/>
  <c r="QZ27" i="2"/>
  <c r="RB11" i="2"/>
  <c r="RD11" i="2" s="1"/>
  <c r="QZ11" i="2"/>
  <c r="QZ10" i="2"/>
  <c r="RB10" i="2"/>
  <c r="RD10" i="2" s="1"/>
  <c r="RB25" i="2"/>
  <c r="RD25" i="2" s="1"/>
  <c r="QZ25" i="2"/>
  <c r="RB7" i="2"/>
  <c r="RD7" i="2" s="1"/>
  <c r="QZ7" i="2"/>
  <c r="QU21" i="2"/>
  <c r="QW21" i="2"/>
  <c r="QY21" i="2" s="1"/>
  <c r="RB4" i="2"/>
  <c r="RD4" i="2" s="1"/>
  <c r="QZ4" i="2"/>
  <c r="RI26" i="2"/>
  <c r="RG26" i="2"/>
  <c r="RL26" i="2"/>
  <c r="RM26" i="2" s="1"/>
  <c r="RB8" i="2"/>
  <c r="RD8" i="2" s="1"/>
  <c r="QZ8" i="2"/>
  <c r="QZ9" i="2"/>
  <c r="RB9" i="2"/>
  <c r="RD9" i="2" s="1"/>
  <c r="RB19" i="2"/>
  <c r="RD19" i="2" s="1"/>
  <c r="QZ19" i="2"/>
  <c r="QX24" i="2"/>
  <c r="QX37" i="2" s="1"/>
  <c r="QY42" i="2" s="1"/>
  <c r="QZ16" i="2"/>
  <c r="RB16" i="2"/>
  <c r="RD16" i="2" s="1"/>
  <c r="RB15" i="2"/>
  <c r="RD15" i="2" s="1"/>
  <c r="QZ15" i="2"/>
  <c r="RB17" i="2"/>
  <c r="RD17" i="2" s="1"/>
  <c r="QZ17" i="2"/>
  <c r="RB28" i="2"/>
  <c r="RD28" i="2" s="1"/>
  <c r="QZ28" i="2"/>
  <c r="RG6" i="2"/>
  <c r="RI6" i="2"/>
  <c r="RL6" i="2"/>
  <c r="RM6" i="2" s="1"/>
  <c r="QT37" i="2"/>
  <c r="QV3" i="2"/>
  <c r="QU3" i="2"/>
  <c r="QW3" i="2"/>
  <c r="QZ5" i="2"/>
  <c r="RB5" i="2"/>
  <c r="RD5" i="2" s="1"/>
  <c r="RB14" i="2"/>
  <c r="RD14" i="2" s="1"/>
  <c r="QZ14" i="2"/>
  <c r="RG22" i="2"/>
  <c r="RL22" i="2"/>
  <c r="RM22" i="2" s="1"/>
  <c r="RI22" i="2"/>
  <c r="RB13" i="2"/>
  <c r="RD13" i="2" s="1"/>
  <c r="QZ13" i="2"/>
  <c r="RB18" i="2"/>
  <c r="RD18" i="2" s="1"/>
  <c r="QZ18" i="2"/>
  <c r="RB23" i="2"/>
  <c r="RD23" i="2" s="1"/>
  <c r="QZ23" i="2"/>
  <c r="QU37" i="2" l="1"/>
  <c r="QY24" i="2"/>
  <c r="RB24" i="2" s="1"/>
  <c r="RD24" i="2" s="1"/>
  <c r="RI28" i="2"/>
  <c r="RG28" i="2"/>
  <c r="RL28" i="2"/>
  <c r="RM28" i="2" s="1"/>
  <c r="RG7" i="2"/>
  <c r="RL7" i="2"/>
  <c r="RM7" i="2" s="1"/>
  <c r="RI7" i="2"/>
  <c r="RG27" i="2"/>
  <c r="RL27" i="2"/>
  <c r="RM27" i="2" s="1"/>
  <c r="RI27" i="2"/>
  <c r="RG17" i="2"/>
  <c r="RL17" i="2"/>
  <c r="RM17" i="2" s="1"/>
  <c r="RI17" i="2"/>
  <c r="RL19" i="2"/>
  <c r="RM19" i="2" s="1"/>
  <c r="RI19" i="2"/>
  <c r="RG19" i="2"/>
  <c r="RG23" i="2"/>
  <c r="RL23" i="2"/>
  <c r="RM23" i="2" s="1"/>
  <c r="RI23" i="2"/>
  <c r="RL9" i="2"/>
  <c r="RM9" i="2" s="1"/>
  <c r="RG9" i="2"/>
  <c r="RI9" i="2"/>
  <c r="RG25" i="2"/>
  <c r="RI25" i="2"/>
  <c r="RL25" i="2"/>
  <c r="RM25" i="2" s="1"/>
  <c r="RG12" i="2"/>
  <c r="RI12" i="2"/>
  <c r="RL12" i="2"/>
  <c r="RM12" i="2" s="1"/>
  <c r="RG15" i="2"/>
  <c r="RL15" i="2"/>
  <c r="RM15" i="2" s="1"/>
  <c r="RI15" i="2"/>
  <c r="RL4" i="2"/>
  <c r="RM4" i="2" s="1"/>
  <c r="RG4" i="2"/>
  <c r="RI4" i="2"/>
  <c r="RG10" i="2"/>
  <c r="RI10" i="2"/>
  <c r="RL10" i="2"/>
  <c r="RM10" i="2" s="1"/>
  <c r="RI20" i="2"/>
  <c r="RG20" i="2"/>
  <c r="RL20" i="2"/>
  <c r="RM20" i="2" s="1"/>
  <c r="RG14" i="2"/>
  <c r="RL14" i="2"/>
  <c r="RM14" i="2" s="1"/>
  <c r="RI14" i="2"/>
  <c r="RI5" i="2"/>
  <c r="RG5" i="2"/>
  <c r="RL5" i="2"/>
  <c r="RM5" i="2" s="1"/>
  <c r="RG16" i="2"/>
  <c r="RL16" i="2"/>
  <c r="RM16" i="2" s="1"/>
  <c r="RI16" i="2"/>
  <c r="QY39" i="2"/>
  <c r="RB21" i="2"/>
  <c r="RD21" i="2" s="1"/>
  <c r="RG18" i="2"/>
  <c r="RL18" i="2"/>
  <c r="RM18" i="2" s="1"/>
  <c r="RI18" i="2"/>
  <c r="RG13" i="2"/>
  <c r="RI13" i="2"/>
  <c r="RL13" i="2"/>
  <c r="RM13" i="2" s="1"/>
  <c r="RG8" i="2"/>
  <c r="RI8" i="2"/>
  <c r="RL8" i="2"/>
  <c r="RM8" i="2" s="1"/>
  <c r="RG29" i="2"/>
  <c r="RL29" i="2"/>
  <c r="RM29" i="2" s="1"/>
  <c r="RI29" i="2"/>
  <c r="QW37" i="2"/>
  <c r="QY3" i="2"/>
  <c r="RG11" i="2"/>
  <c r="RI11" i="2"/>
  <c r="RL11" i="2"/>
  <c r="RM11" i="2" s="1"/>
  <c r="QZ24" i="2" l="1"/>
  <c r="RL21" i="2"/>
  <c r="RM21" i="2" s="1"/>
  <c r="RI21" i="2"/>
  <c r="RG21" i="2"/>
  <c r="RG24" i="2"/>
  <c r="RI24" i="2"/>
  <c r="RL24" i="2"/>
  <c r="RM24" i="2" s="1"/>
  <c r="QY37" i="2"/>
  <c r="RB3" i="2"/>
  <c r="QZ3" i="2"/>
  <c r="QZ43" i="2" l="1"/>
  <c r="QZ37" i="2"/>
  <c r="QZ41" i="2"/>
  <c r="RB37" i="2"/>
  <c r="RD3" i="2"/>
  <c r="QZ39" i="2"/>
  <c r="QY40" i="2"/>
  <c r="RD37" i="2" l="1"/>
  <c r="RG3" i="2"/>
  <c r="RL3" i="2"/>
  <c r="RI3" i="2"/>
  <c r="RL37" i="2" l="1"/>
  <c r="RM3" i="2"/>
  <c r="RI37" i="2"/>
  <c r="RJ6" i="2" l="1"/>
  <c r="RJ22" i="2"/>
  <c r="RJ26" i="2"/>
  <c r="RJ16" i="2"/>
  <c r="RJ14" i="2"/>
  <c r="RJ8" i="2"/>
  <c r="RJ27" i="2"/>
  <c r="RJ9" i="2"/>
  <c r="RJ12" i="2"/>
  <c r="RJ4" i="2"/>
  <c r="RJ17" i="2"/>
  <c r="RJ19" i="2"/>
  <c r="RJ11" i="2"/>
  <c r="RJ15" i="2"/>
  <c r="RJ25" i="2"/>
  <c r="RJ29" i="2"/>
  <c r="RJ13" i="2"/>
  <c r="RJ23" i="2"/>
  <c r="RJ5" i="2"/>
  <c r="RJ10" i="2"/>
  <c r="RJ7" i="2"/>
  <c r="RJ28" i="2"/>
  <c r="RJ20" i="2"/>
  <c r="RJ18" i="2"/>
  <c r="RJ24" i="2"/>
  <c r="RJ21" i="2"/>
  <c r="RJ3" i="2"/>
  <c r="RM37" i="2"/>
  <c r="RJ37" i="2" l="1"/>
  <c r="RJ40" i="2" s="1"/>
  <c r="RN5" i="2" s="1"/>
  <c r="RO5" i="2" s="1"/>
  <c r="RN24" i="2" l="1"/>
  <c r="RO24" i="2" s="1"/>
  <c r="RR24" i="2" s="1"/>
  <c r="RN9" i="2"/>
  <c r="RO9" i="2" s="1"/>
  <c r="RR9" i="2" s="1"/>
  <c r="RT9" i="2" s="1"/>
  <c r="RN18" i="2"/>
  <c r="RO18" i="2" s="1"/>
  <c r="RQ18" i="2" s="1"/>
  <c r="RN27" i="2"/>
  <c r="RO27" i="2" s="1"/>
  <c r="RP27" i="2" s="1"/>
  <c r="RN13" i="2"/>
  <c r="RO13" i="2" s="1"/>
  <c r="RP13" i="2" s="1"/>
  <c r="RN10" i="2"/>
  <c r="RO10" i="2" s="1"/>
  <c r="RQ10" i="2" s="1"/>
  <c r="RN28" i="2"/>
  <c r="RO28" i="2" s="1"/>
  <c r="RR28" i="2" s="1"/>
  <c r="RT28" i="2" s="1"/>
  <c r="RN11" i="2"/>
  <c r="RO11" i="2" s="1"/>
  <c r="RP11" i="2" s="1"/>
  <c r="RN14" i="2"/>
  <c r="RO14" i="2" s="1"/>
  <c r="RQ14" i="2" s="1"/>
  <c r="RN4" i="2"/>
  <c r="RO4" i="2" s="1"/>
  <c r="RR4" i="2" s="1"/>
  <c r="RT4" i="2" s="1"/>
  <c r="RN20" i="2"/>
  <c r="RO20" i="2" s="1"/>
  <c r="RQ20" i="2" s="1"/>
  <c r="RN19" i="2"/>
  <c r="RO19" i="2" s="1"/>
  <c r="RQ19" i="2" s="1"/>
  <c r="RN17" i="2"/>
  <c r="RO17" i="2" s="1"/>
  <c r="RQ17" i="2" s="1"/>
  <c r="RN12" i="2"/>
  <c r="RO12" i="2" s="1"/>
  <c r="RP12" i="2" s="1"/>
  <c r="RN15" i="2"/>
  <c r="RO15" i="2" s="1"/>
  <c r="RR15" i="2" s="1"/>
  <c r="RT15" i="2" s="1"/>
  <c r="RN22" i="2"/>
  <c r="RO22" i="2" s="1"/>
  <c r="RR22" i="2" s="1"/>
  <c r="RT22" i="2" s="1"/>
  <c r="RN3" i="2"/>
  <c r="RN26" i="2"/>
  <c r="RO26" i="2" s="1"/>
  <c r="RR5" i="2"/>
  <c r="RT5" i="2" s="1"/>
  <c r="RQ5" i="2"/>
  <c r="RP5" i="2"/>
  <c r="RN23" i="2"/>
  <c r="RO23" i="2" s="1"/>
  <c r="RN16" i="2"/>
  <c r="RO16" i="2" s="1"/>
  <c r="RN6" i="2"/>
  <c r="RO6" i="2" s="1"/>
  <c r="RN21" i="2"/>
  <c r="RN25" i="2"/>
  <c r="RO25" i="2" s="1"/>
  <c r="RN8" i="2"/>
  <c r="RO8" i="2" s="1"/>
  <c r="RN29" i="2"/>
  <c r="RO29" i="2" s="1"/>
  <c r="RN7" i="2"/>
  <c r="RO7" i="2" s="1"/>
  <c r="RP24" i="2" l="1"/>
  <c r="RQ24" i="2"/>
  <c r="RP9" i="2"/>
  <c r="RQ9" i="2"/>
  <c r="RR27" i="2"/>
  <c r="RT27" i="2" s="1"/>
  <c r="RW27" i="2" s="1"/>
  <c r="RY27" i="2" s="1"/>
  <c r="RP4" i="2"/>
  <c r="RQ4" i="2"/>
  <c r="RQ27" i="2"/>
  <c r="RR10" i="2"/>
  <c r="RT10" i="2" s="1"/>
  <c r="RU10" i="2" s="1"/>
  <c r="RR13" i="2"/>
  <c r="RT13" i="2" s="1"/>
  <c r="RU13" i="2" s="1"/>
  <c r="RR18" i="2"/>
  <c r="RT18" i="2" s="1"/>
  <c r="RU18" i="2" s="1"/>
  <c r="RR19" i="2"/>
  <c r="RT19" i="2" s="1"/>
  <c r="RW19" i="2" s="1"/>
  <c r="RY19" i="2" s="1"/>
  <c r="RP10" i="2"/>
  <c r="RQ12" i="2"/>
  <c r="RP18" i="2"/>
  <c r="RR12" i="2"/>
  <c r="RT12" i="2" s="1"/>
  <c r="RU12" i="2" s="1"/>
  <c r="RQ11" i="2"/>
  <c r="RR20" i="2"/>
  <c r="RT20" i="2" s="1"/>
  <c r="RU20" i="2" s="1"/>
  <c r="RR17" i="2"/>
  <c r="RT17" i="2" s="1"/>
  <c r="RU17" i="2" s="1"/>
  <c r="RP20" i="2"/>
  <c r="RP17" i="2"/>
  <c r="RP22" i="2"/>
  <c r="RQ22" i="2"/>
  <c r="RQ13" i="2"/>
  <c r="RR14" i="2"/>
  <c r="RT14" i="2" s="1"/>
  <c r="RU14" i="2" s="1"/>
  <c r="RP14" i="2"/>
  <c r="RP15" i="2"/>
  <c r="RR11" i="2"/>
  <c r="RT11" i="2" s="1"/>
  <c r="RU11" i="2" s="1"/>
  <c r="RQ15" i="2"/>
  <c r="RP28" i="2"/>
  <c r="RQ28" i="2"/>
  <c r="RP19" i="2"/>
  <c r="RU9" i="2"/>
  <c r="RW9" i="2"/>
  <c r="RY9" i="2" s="1"/>
  <c r="RU4" i="2"/>
  <c r="RW4" i="2"/>
  <c r="RY4" i="2" s="1"/>
  <c r="RU27" i="2"/>
  <c r="RU5" i="2"/>
  <c r="RW5" i="2"/>
  <c r="RY5" i="2" s="1"/>
  <c r="RU22" i="2"/>
  <c r="RW22" i="2"/>
  <c r="RY22" i="2" s="1"/>
  <c r="RU15" i="2"/>
  <c r="RW15" i="2"/>
  <c r="RY15" i="2" s="1"/>
  <c r="RU28" i="2"/>
  <c r="RW28" i="2"/>
  <c r="RY28" i="2" s="1"/>
  <c r="RQ8" i="2"/>
  <c r="RR8" i="2"/>
  <c r="RT8" i="2" s="1"/>
  <c r="RP8" i="2"/>
  <c r="RQ29" i="2"/>
  <c r="RP29" i="2"/>
  <c r="RR29" i="2"/>
  <c r="RT29" i="2" s="1"/>
  <c r="RR25" i="2"/>
  <c r="RT25" i="2" s="1"/>
  <c r="RQ25" i="2"/>
  <c r="RP25" i="2"/>
  <c r="RR6" i="2"/>
  <c r="RT6" i="2" s="1"/>
  <c r="RW6" i="2" s="1"/>
  <c r="RY6" i="2" s="1"/>
  <c r="RP6" i="2"/>
  <c r="RQ16" i="2"/>
  <c r="RP16" i="2"/>
  <c r="RR16" i="2"/>
  <c r="RT16" i="2" s="1"/>
  <c r="RQ7" i="2"/>
  <c r="RP7" i="2"/>
  <c r="RR7" i="2"/>
  <c r="RT7" i="2" s="1"/>
  <c r="RR26" i="2"/>
  <c r="RT26" i="2" s="1"/>
  <c r="RW26" i="2" s="1"/>
  <c r="RY26" i="2" s="1"/>
  <c r="RP26" i="2"/>
  <c r="RC43" i="2"/>
  <c r="RO21" i="2"/>
  <c r="RR23" i="2"/>
  <c r="RT23" i="2" s="1"/>
  <c r="RP23" i="2"/>
  <c r="RQ23" i="2"/>
  <c r="RN37" i="2"/>
  <c r="RN40" i="2" s="1"/>
  <c r="RS24" i="2" s="1"/>
  <c r="RO3" i="2"/>
  <c r="RW13" i="2" l="1"/>
  <c r="RY13" i="2" s="1"/>
  <c r="SB13" i="2" s="1"/>
  <c r="RU19" i="2"/>
  <c r="RW10" i="2"/>
  <c r="RY10" i="2" s="1"/>
  <c r="SD10" i="2" s="1"/>
  <c r="RW20" i="2"/>
  <c r="RY20" i="2" s="1"/>
  <c r="SG20" i="2" s="1"/>
  <c r="SH20" i="2" s="1"/>
  <c r="RW12" i="2"/>
  <c r="RY12" i="2" s="1"/>
  <c r="SG12" i="2" s="1"/>
  <c r="SH12" i="2" s="1"/>
  <c r="RW18" i="2"/>
  <c r="RY18" i="2" s="1"/>
  <c r="SB18" i="2" s="1"/>
  <c r="RW17" i="2"/>
  <c r="RY17" i="2" s="1"/>
  <c r="SG17" i="2" s="1"/>
  <c r="SH17" i="2" s="1"/>
  <c r="RW11" i="2"/>
  <c r="RY11" i="2" s="1"/>
  <c r="SB11" i="2" s="1"/>
  <c r="RW14" i="2"/>
  <c r="RY14" i="2" s="1"/>
  <c r="SD14" i="2" s="1"/>
  <c r="SB19" i="2"/>
  <c r="SD19" i="2"/>
  <c r="SG19" i="2"/>
  <c r="SH19" i="2" s="1"/>
  <c r="SG5" i="2"/>
  <c r="SH5" i="2" s="1"/>
  <c r="SD5" i="2"/>
  <c r="SB5" i="2"/>
  <c r="RU25" i="2"/>
  <c r="RW25" i="2"/>
  <c r="RY25" i="2" s="1"/>
  <c r="RU16" i="2"/>
  <c r="RW16" i="2"/>
  <c r="RY16" i="2" s="1"/>
  <c r="RU29" i="2"/>
  <c r="RW29" i="2"/>
  <c r="RY29" i="2" s="1"/>
  <c r="SB15" i="2"/>
  <c r="SD15" i="2"/>
  <c r="SG15" i="2"/>
  <c r="SH15" i="2" s="1"/>
  <c r="SG4" i="2"/>
  <c r="SH4" i="2" s="1"/>
  <c r="SD4" i="2"/>
  <c r="SB4" i="2"/>
  <c r="RU23" i="2"/>
  <c r="RW23" i="2"/>
  <c r="RY23" i="2" s="1"/>
  <c r="SB9" i="2"/>
  <c r="SG9" i="2"/>
  <c r="SH9" i="2" s="1"/>
  <c r="SD9" i="2"/>
  <c r="SG26" i="2"/>
  <c r="SH26" i="2" s="1"/>
  <c r="SB26" i="2"/>
  <c r="SD26" i="2"/>
  <c r="SD6" i="2"/>
  <c r="SB6" i="2"/>
  <c r="SG6" i="2"/>
  <c r="SH6" i="2" s="1"/>
  <c r="RU8" i="2"/>
  <c r="RW8" i="2"/>
  <c r="RY8" i="2" s="1"/>
  <c r="SB28" i="2"/>
  <c r="SG28" i="2"/>
  <c r="SH28" i="2" s="1"/>
  <c r="SD28" i="2"/>
  <c r="SB22" i="2"/>
  <c r="SG22" i="2"/>
  <c r="SH22" i="2" s="1"/>
  <c r="SD22" i="2"/>
  <c r="SD27" i="2"/>
  <c r="SB27" i="2"/>
  <c r="SG27" i="2"/>
  <c r="SH27" i="2" s="1"/>
  <c r="RU7" i="2"/>
  <c r="RW7" i="2"/>
  <c r="RY7" i="2" s="1"/>
  <c r="RS37" i="2"/>
  <c r="RT42" i="2" s="1"/>
  <c r="RT24" i="2"/>
  <c r="RO37" i="2"/>
  <c r="RP3" i="2"/>
  <c r="RQ3" i="2"/>
  <c r="RR3" i="2"/>
  <c r="RR21" i="2"/>
  <c r="RT21" i="2" s="1"/>
  <c r="RP21" i="2"/>
  <c r="SG13" i="2" l="1"/>
  <c r="SH13" i="2" s="1"/>
  <c r="SD13" i="2"/>
  <c r="SD20" i="2"/>
  <c r="SB20" i="2"/>
  <c r="SG10" i="2"/>
  <c r="SH10" i="2" s="1"/>
  <c r="SB10" i="2"/>
  <c r="SD18" i="2"/>
  <c r="SG18" i="2"/>
  <c r="SH18" i="2" s="1"/>
  <c r="SG11" i="2"/>
  <c r="SH11" i="2" s="1"/>
  <c r="SD11" i="2"/>
  <c r="SD12" i="2"/>
  <c r="SB12" i="2"/>
  <c r="SD17" i="2"/>
  <c r="SB17" i="2"/>
  <c r="SG14" i="2"/>
  <c r="SH14" i="2" s="1"/>
  <c r="SB14" i="2"/>
  <c r="SB23" i="2"/>
  <c r="SD23" i="2"/>
  <c r="SG23" i="2"/>
  <c r="SH23" i="2" s="1"/>
  <c r="SB16" i="2"/>
  <c r="SG16" i="2"/>
  <c r="SH16" i="2" s="1"/>
  <c r="SD16" i="2"/>
  <c r="SD25" i="2"/>
  <c r="SB25" i="2"/>
  <c r="SG25" i="2"/>
  <c r="SH25" i="2" s="1"/>
  <c r="RU24" i="2"/>
  <c r="RW24" i="2"/>
  <c r="RY24" i="2" s="1"/>
  <c r="RT39" i="2"/>
  <c r="RW21" i="2"/>
  <c r="RY21" i="2" s="1"/>
  <c r="SB8" i="2"/>
  <c r="SD8" i="2"/>
  <c r="SG8" i="2"/>
  <c r="SH8" i="2" s="1"/>
  <c r="SD29" i="2"/>
  <c r="SB29" i="2"/>
  <c r="SG29" i="2"/>
  <c r="SH29" i="2" s="1"/>
  <c r="SB7" i="2"/>
  <c r="SD7" i="2"/>
  <c r="SG7" i="2"/>
  <c r="SH7" i="2" s="1"/>
  <c r="RR37" i="2"/>
  <c r="RT3" i="2"/>
  <c r="RW3" i="2" s="1"/>
  <c r="RP37" i="2"/>
  <c r="SB24" i="2" l="1"/>
  <c r="SG24" i="2"/>
  <c r="SH24" i="2" s="1"/>
  <c r="SD24" i="2"/>
  <c r="SB21" i="2"/>
  <c r="SG21" i="2"/>
  <c r="SH21" i="2" s="1"/>
  <c r="SD21" i="2"/>
  <c r="RW37" i="2"/>
  <c r="RY3" i="2"/>
  <c r="RT37" i="2"/>
  <c r="RU3" i="2"/>
  <c r="RY37" i="2" l="1"/>
  <c r="SD3" i="2"/>
  <c r="SB3" i="2"/>
  <c r="SG3" i="2"/>
  <c r="RU41" i="2"/>
  <c r="RU37" i="2"/>
  <c r="RU43" i="2"/>
  <c r="RT40" i="2"/>
  <c r="RU39" i="2"/>
  <c r="SD37" i="2" l="1"/>
  <c r="SE3" i="2" s="1"/>
  <c r="SG37" i="2"/>
  <c r="SH3" i="2"/>
  <c r="SH37" i="2" l="1"/>
  <c r="SE20" i="2"/>
  <c r="SE10" i="2"/>
  <c r="SE28" i="2"/>
  <c r="SE14" i="2"/>
  <c r="SE9" i="2"/>
  <c r="SE6" i="2"/>
  <c r="SE19" i="2"/>
  <c r="SE17" i="2"/>
  <c r="SE11" i="2"/>
  <c r="SE13" i="2"/>
  <c r="SE27" i="2"/>
  <c r="SE18" i="2"/>
  <c r="SE22" i="2"/>
  <c r="SE5" i="2"/>
  <c r="SE15" i="2"/>
  <c r="SE4" i="2"/>
  <c r="SE12" i="2"/>
  <c r="SE26" i="2"/>
  <c r="SE16" i="2"/>
  <c r="SE23" i="2"/>
  <c r="SE7" i="2"/>
  <c r="SE29" i="2"/>
  <c r="SE8" i="2"/>
  <c r="SE25" i="2"/>
  <c r="SE24" i="2"/>
  <c r="SE21" i="2"/>
  <c r="SE37" i="2" l="1"/>
  <c r="SE40" i="2" s="1"/>
  <c r="SI11" i="2" s="1"/>
  <c r="SJ11" i="2" s="1"/>
  <c r="SI8" i="2" l="1"/>
  <c r="SJ8" i="2" s="1"/>
  <c r="SM8" i="2" s="1"/>
  <c r="SO8" i="2" s="1"/>
  <c r="SI24" i="2"/>
  <c r="SJ24" i="2" s="1"/>
  <c r="SM24" i="2" s="1"/>
  <c r="SI6" i="2"/>
  <c r="SJ6" i="2" s="1"/>
  <c r="SM6" i="2" s="1"/>
  <c r="SO6" i="2" s="1"/>
  <c r="SR6" i="2" s="1"/>
  <c r="ST6" i="2" s="1"/>
  <c r="SL11" i="2"/>
  <c r="SM11" i="2"/>
  <c r="SO11" i="2" s="1"/>
  <c r="SK11" i="2"/>
  <c r="SI14" i="2"/>
  <c r="SJ14" i="2" s="1"/>
  <c r="SI7" i="2"/>
  <c r="SJ7" i="2" s="1"/>
  <c r="SI3" i="2"/>
  <c r="SI25" i="2"/>
  <c r="SJ25" i="2" s="1"/>
  <c r="SI5" i="2"/>
  <c r="SJ5" i="2" s="1"/>
  <c r="SI13" i="2"/>
  <c r="SJ13" i="2" s="1"/>
  <c r="SI4" i="2"/>
  <c r="SJ4" i="2" s="1"/>
  <c r="SI29" i="2"/>
  <c r="SJ29" i="2" s="1"/>
  <c r="SI9" i="2"/>
  <c r="SJ9" i="2" s="1"/>
  <c r="SI26" i="2"/>
  <c r="SJ26" i="2" s="1"/>
  <c r="SI19" i="2"/>
  <c r="SJ19" i="2" s="1"/>
  <c r="SI18" i="2"/>
  <c r="SJ18" i="2" s="1"/>
  <c r="SI27" i="2"/>
  <c r="SJ27" i="2" s="1"/>
  <c r="SI22" i="2"/>
  <c r="SJ22" i="2" s="1"/>
  <c r="SI23" i="2"/>
  <c r="SJ23" i="2" s="1"/>
  <c r="SI20" i="2"/>
  <c r="SJ20" i="2" s="1"/>
  <c r="SI28" i="2"/>
  <c r="SJ28" i="2" s="1"/>
  <c r="SI17" i="2"/>
  <c r="SJ17" i="2" s="1"/>
  <c r="SI16" i="2"/>
  <c r="SJ16" i="2" s="1"/>
  <c r="SI21" i="2"/>
  <c r="SI12" i="2"/>
  <c r="SJ12" i="2" s="1"/>
  <c r="SI15" i="2"/>
  <c r="SJ15" i="2" s="1"/>
  <c r="SI10" i="2"/>
  <c r="SJ10" i="2" s="1"/>
  <c r="SK8" i="2" l="1"/>
  <c r="SL8" i="2"/>
  <c r="SL24" i="2"/>
  <c r="SK24" i="2"/>
  <c r="SK6" i="2"/>
  <c r="SK25" i="2"/>
  <c r="SL25" i="2"/>
  <c r="SM25" i="2"/>
  <c r="SO25" i="2" s="1"/>
  <c r="SK19" i="2"/>
  <c r="SM19" i="2"/>
  <c r="SO19" i="2" s="1"/>
  <c r="SL19" i="2"/>
  <c r="SI37" i="2"/>
  <c r="SI40" i="2" s="1"/>
  <c r="SJ3" i="2"/>
  <c r="SM16" i="2"/>
  <c r="SO16" i="2" s="1"/>
  <c r="SK16" i="2"/>
  <c r="SL16" i="2"/>
  <c r="SM17" i="2"/>
  <c r="SO17" i="2" s="1"/>
  <c r="SL17" i="2"/>
  <c r="SK17" i="2"/>
  <c r="SM26" i="2"/>
  <c r="SO26" i="2" s="1"/>
  <c r="SR26" i="2" s="1"/>
  <c r="ST26" i="2" s="1"/>
  <c r="SK26" i="2"/>
  <c r="SM9" i="2"/>
  <c r="SO9" i="2" s="1"/>
  <c r="SK9" i="2"/>
  <c r="SL9" i="2"/>
  <c r="SM7" i="2"/>
  <c r="SO7" i="2" s="1"/>
  <c r="SL7" i="2"/>
  <c r="SK7" i="2"/>
  <c r="RX43" i="2"/>
  <c r="SJ21" i="2"/>
  <c r="SM20" i="2"/>
  <c r="SO20" i="2" s="1"/>
  <c r="SL20" i="2"/>
  <c r="SK20" i="2"/>
  <c r="SM29" i="2"/>
  <c r="SO29" i="2" s="1"/>
  <c r="SL29" i="2"/>
  <c r="SK29" i="2"/>
  <c r="SK14" i="2"/>
  <c r="SM14" i="2"/>
  <c r="SO14" i="2" s="1"/>
  <c r="SL14" i="2"/>
  <c r="SR8" i="2"/>
  <c r="ST8" i="2" s="1"/>
  <c r="SP8" i="2"/>
  <c r="SM18" i="2"/>
  <c r="SO18" i="2" s="1"/>
  <c r="SL18" i="2"/>
  <c r="SK18" i="2"/>
  <c r="SK23" i="2"/>
  <c r="SM23" i="2"/>
  <c r="SO23" i="2" s="1"/>
  <c r="SL23" i="2"/>
  <c r="SM4" i="2"/>
  <c r="SO4" i="2" s="1"/>
  <c r="SL4" i="2"/>
  <c r="SK4" i="2"/>
  <c r="SL10" i="2"/>
  <c r="SK10" i="2"/>
  <c r="SM10" i="2"/>
  <c r="SO10" i="2" s="1"/>
  <c r="SM22" i="2"/>
  <c r="SO22" i="2" s="1"/>
  <c r="SK22" i="2"/>
  <c r="SL22" i="2"/>
  <c r="SK13" i="2"/>
  <c r="SM13" i="2"/>
  <c r="SO13" i="2" s="1"/>
  <c r="SL13" i="2"/>
  <c r="SW6" i="2"/>
  <c r="SY6" i="2"/>
  <c r="TB6" i="2"/>
  <c r="TC6" i="2" s="1"/>
  <c r="SR11" i="2"/>
  <c r="ST11" i="2" s="1"/>
  <c r="SP11" i="2"/>
  <c r="SK28" i="2"/>
  <c r="SL28" i="2"/>
  <c r="SM28" i="2"/>
  <c r="SO28" i="2" s="1"/>
  <c r="SM15" i="2"/>
  <c r="SO15" i="2" s="1"/>
  <c r="SL15" i="2"/>
  <c r="SK15" i="2"/>
  <c r="SM12" i="2"/>
  <c r="SO12" i="2" s="1"/>
  <c r="SK12" i="2"/>
  <c r="SL12" i="2"/>
  <c r="SM27" i="2"/>
  <c r="SO27" i="2" s="1"/>
  <c r="SL27" i="2"/>
  <c r="SK27" i="2"/>
  <c r="SK5" i="2"/>
  <c r="SM5" i="2"/>
  <c r="SO5" i="2" s="1"/>
  <c r="SL5" i="2"/>
  <c r="SJ37" i="2" l="1"/>
  <c r="SL3" i="2"/>
  <c r="SK3" i="2"/>
  <c r="SM3" i="2"/>
  <c r="SR18" i="2"/>
  <c r="ST18" i="2" s="1"/>
  <c r="SP18" i="2"/>
  <c r="SP29" i="2"/>
  <c r="SR29" i="2"/>
  <c r="ST29" i="2" s="1"/>
  <c r="SR7" i="2"/>
  <c r="ST7" i="2" s="1"/>
  <c r="SP7" i="2"/>
  <c r="SR17" i="2"/>
  <c r="ST17" i="2" s="1"/>
  <c r="SP17" i="2"/>
  <c r="SP27" i="2"/>
  <c r="SR27" i="2"/>
  <c r="ST27" i="2" s="1"/>
  <c r="SR13" i="2"/>
  <c r="ST13" i="2" s="1"/>
  <c r="SP13" i="2"/>
  <c r="SR19" i="2"/>
  <c r="ST19" i="2" s="1"/>
  <c r="SP19" i="2"/>
  <c r="SY11" i="2"/>
  <c r="SW11" i="2"/>
  <c r="TB11" i="2"/>
  <c r="TC11" i="2" s="1"/>
  <c r="SR4" i="2"/>
  <c r="ST4" i="2" s="1"/>
  <c r="SP4" i="2"/>
  <c r="TB8" i="2"/>
  <c r="TC8" i="2" s="1"/>
  <c r="SW8" i="2"/>
  <c r="SY8" i="2"/>
  <c r="SR28" i="2"/>
  <c r="ST28" i="2" s="1"/>
  <c r="SP28" i="2"/>
  <c r="SP20" i="2"/>
  <c r="SR20" i="2"/>
  <c r="ST20" i="2" s="1"/>
  <c r="SR9" i="2"/>
  <c r="ST9" i="2" s="1"/>
  <c r="SP9" i="2"/>
  <c r="SR16" i="2"/>
  <c r="ST16" i="2" s="1"/>
  <c r="SP16" i="2"/>
  <c r="SR25" i="2"/>
  <c r="ST25" i="2" s="1"/>
  <c r="SP25" i="2"/>
  <c r="SR12" i="2"/>
  <c r="ST12" i="2" s="1"/>
  <c r="SP12" i="2"/>
  <c r="SR22" i="2"/>
  <c r="ST22" i="2" s="1"/>
  <c r="SP22" i="2"/>
  <c r="SR23" i="2"/>
  <c r="ST23" i="2" s="1"/>
  <c r="SP23" i="2"/>
  <c r="SR14" i="2"/>
  <c r="ST14" i="2" s="1"/>
  <c r="SP14" i="2"/>
  <c r="SM21" i="2"/>
  <c r="SO21" i="2" s="1"/>
  <c r="SK21" i="2"/>
  <c r="SR5" i="2"/>
  <c r="ST5" i="2" s="1"/>
  <c r="SP5" i="2"/>
  <c r="SR15" i="2"/>
  <c r="ST15" i="2" s="1"/>
  <c r="SP15" i="2"/>
  <c r="SP10" i="2"/>
  <c r="SR10" i="2"/>
  <c r="ST10" i="2" s="1"/>
  <c r="SY26" i="2"/>
  <c r="SW26" i="2"/>
  <c r="TB26" i="2"/>
  <c r="TC26" i="2" s="1"/>
  <c r="SN24" i="2"/>
  <c r="SW4" i="2" l="1"/>
  <c r="TB4" i="2"/>
  <c r="TC4" i="2" s="1"/>
  <c r="SY4" i="2"/>
  <c r="SW13" i="2"/>
  <c r="SY13" i="2"/>
  <c r="TB13" i="2"/>
  <c r="TC13" i="2" s="1"/>
  <c r="SW27" i="2"/>
  <c r="TB27" i="2"/>
  <c r="TC27" i="2" s="1"/>
  <c r="SY27" i="2"/>
  <c r="TB14" i="2"/>
  <c r="TC14" i="2" s="1"/>
  <c r="SW14" i="2"/>
  <c r="SY14" i="2"/>
  <c r="SY15" i="2"/>
  <c r="SW15" i="2"/>
  <c r="TB15" i="2"/>
  <c r="TC15" i="2" s="1"/>
  <c r="SW23" i="2"/>
  <c r="SY23" i="2"/>
  <c r="TB23" i="2"/>
  <c r="TC23" i="2" s="1"/>
  <c r="TB28" i="2"/>
  <c r="TC28" i="2" s="1"/>
  <c r="SW28" i="2"/>
  <c r="SY28" i="2"/>
  <c r="SW18" i="2"/>
  <c r="SY18" i="2"/>
  <c r="TB18" i="2"/>
  <c r="TC18" i="2" s="1"/>
  <c r="SW16" i="2"/>
  <c r="TB16" i="2"/>
  <c r="TC16" i="2" s="1"/>
  <c r="SY16" i="2"/>
  <c r="SW25" i="2"/>
  <c r="TB25" i="2"/>
  <c r="TC25" i="2" s="1"/>
  <c r="SY25" i="2"/>
  <c r="SW22" i="2"/>
  <c r="SY22" i="2"/>
  <c r="TB22" i="2"/>
  <c r="TC22" i="2" s="1"/>
  <c r="SW17" i="2"/>
  <c r="SY17" i="2"/>
  <c r="TB17" i="2"/>
  <c r="TC17" i="2" s="1"/>
  <c r="SM37" i="2"/>
  <c r="SO3" i="2"/>
  <c r="SK37" i="2"/>
  <c r="SW5" i="2"/>
  <c r="SY5" i="2"/>
  <c r="TB5" i="2"/>
  <c r="TC5" i="2" s="1"/>
  <c r="SW9" i="2"/>
  <c r="SY9" i="2"/>
  <c r="TB9" i="2"/>
  <c r="TC9" i="2" s="1"/>
  <c r="SR21" i="2"/>
  <c r="ST21" i="2" s="1"/>
  <c r="SO39" i="2"/>
  <c r="SY20" i="2"/>
  <c r="SW20" i="2"/>
  <c r="TB20" i="2"/>
  <c r="TC20" i="2" s="1"/>
  <c r="TB19" i="2"/>
  <c r="TC19" i="2" s="1"/>
  <c r="SW19" i="2"/>
  <c r="SY19" i="2"/>
  <c r="SW7" i="2"/>
  <c r="SY7" i="2"/>
  <c r="TB7" i="2"/>
  <c r="TC7" i="2" s="1"/>
  <c r="SN37" i="2"/>
  <c r="SO42" i="2" s="1"/>
  <c r="SO24" i="2"/>
  <c r="SW10" i="2"/>
  <c r="TB10" i="2"/>
  <c r="TC10" i="2" s="1"/>
  <c r="SY10" i="2"/>
  <c r="SW12" i="2"/>
  <c r="SY12" i="2"/>
  <c r="TB12" i="2"/>
  <c r="TC12" i="2" s="1"/>
  <c r="SY29" i="2"/>
  <c r="SW29" i="2"/>
  <c r="TB29" i="2"/>
  <c r="TC29" i="2" s="1"/>
  <c r="SO37" i="2" l="1"/>
  <c r="SR3" i="2"/>
  <c r="SP3" i="2"/>
  <c r="SR24" i="2"/>
  <c r="ST24" i="2" s="1"/>
  <c r="SP24" i="2"/>
  <c r="SY21" i="2"/>
  <c r="SW21" i="2"/>
  <c r="TB21" i="2"/>
  <c r="TC21" i="2" s="1"/>
  <c r="SW24" i="2" l="1"/>
  <c r="SY24" i="2"/>
  <c r="TB24" i="2"/>
  <c r="TC24" i="2" s="1"/>
  <c r="SP41" i="2"/>
  <c r="SP37" i="2"/>
  <c r="SP43" i="2"/>
  <c r="SR37" i="2"/>
  <c r="ST3" i="2"/>
  <c r="SO40" i="2"/>
  <c r="SP39" i="2"/>
  <c r="ST37" i="2" l="1"/>
  <c r="SW3" i="2"/>
  <c r="TB3" i="2"/>
  <c r="SY3" i="2"/>
  <c r="SY37" i="2" l="1"/>
  <c r="SZ3" i="2" s="1"/>
  <c r="TB37" i="2"/>
  <c r="TC3" i="2"/>
  <c r="TC37" i="2" l="1"/>
  <c r="SZ6" i="2"/>
  <c r="SZ26" i="2"/>
  <c r="SZ11" i="2"/>
  <c r="SZ8" i="2"/>
  <c r="SZ10" i="2"/>
  <c r="SZ29" i="2"/>
  <c r="SZ14" i="2"/>
  <c r="SZ28" i="2"/>
  <c r="SZ12" i="2"/>
  <c r="SZ23" i="2"/>
  <c r="SZ20" i="2"/>
  <c r="SZ19" i="2"/>
  <c r="SZ5" i="2"/>
  <c r="SZ25" i="2"/>
  <c r="SZ18" i="2"/>
  <c r="SZ9" i="2"/>
  <c r="SZ27" i="2"/>
  <c r="SZ22" i="2"/>
  <c r="SZ17" i="2"/>
  <c r="SZ7" i="2"/>
  <c r="SZ13" i="2"/>
  <c r="SZ16" i="2"/>
  <c r="SZ15" i="2"/>
  <c r="SZ4" i="2"/>
  <c r="SZ21" i="2"/>
  <c r="SZ24" i="2"/>
  <c r="SZ37" i="2" l="1"/>
  <c r="SZ40" i="2" s="1"/>
  <c r="TD15" i="2" s="1"/>
  <c r="TE15" i="2" s="1"/>
  <c r="TD21" i="2" l="1"/>
  <c r="TE21" i="2" s="1"/>
  <c r="TG15" i="2"/>
  <c r="TF15" i="2"/>
  <c r="TH15" i="2"/>
  <c r="TJ15" i="2" s="1"/>
  <c r="TD6" i="2"/>
  <c r="TE6" i="2" s="1"/>
  <c r="TD23" i="2"/>
  <c r="TE23" i="2" s="1"/>
  <c r="TD10" i="2"/>
  <c r="TE10" i="2" s="1"/>
  <c r="TD25" i="2"/>
  <c r="TE25" i="2" s="1"/>
  <c r="TD5" i="2"/>
  <c r="TE5" i="2" s="1"/>
  <c r="TD29" i="2"/>
  <c r="TE29" i="2" s="1"/>
  <c r="TD22" i="2"/>
  <c r="TE22" i="2" s="1"/>
  <c r="TD3" i="2"/>
  <c r="TD20" i="2"/>
  <c r="TE20" i="2" s="1"/>
  <c r="TD13" i="2"/>
  <c r="TE13" i="2" s="1"/>
  <c r="TD7" i="2"/>
  <c r="TE7" i="2" s="1"/>
  <c r="TD27" i="2"/>
  <c r="TE27" i="2" s="1"/>
  <c r="TD8" i="2"/>
  <c r="TE8" i="2" s="1"/>
  <c r="TD28" i="2"/>
  <c r="TE28" i="2" s="1"/>
  <c r="TD14" i="2"/>
  <c r="TE14" i="2" s="1"/>
  <c r="TD16" i="2"/>
  <c r="TE16" i="2" s="1"/>
  <c r="TD17" i="2"/>
  <c r="TE17" i="2" s="1"/>
  <c r="TD26" i="2"/>
  <c r="TE26" i="2" s="1"/>
  <c r="TD19" i="2"/>
  <c r="TE19" i="2" s="1"/>
  <c r="TD18" i="2"/>
  <c r="TE18" i="2" s="1"/>
  <c r="TD9" i="2"/>
  <c r="TE9" i="2" s="1"/>
  <c r="TD24" i="2"/>
  <c r="TE24" i="2" s="1"/>
  <c r="TD4" i="2"/>
  <c r="TE4" i="2" s="1"/>
  <c r="TD12" i="2"/>
  <c r="TE12" i="2" s="1"/>
  <c r="TD11" i="2"/>
  <c r="TE11" i="2" s="1"/>
  <c r="TF25" i="2" l="1"/>
  <c r="TG25" i="2"/>
  <c r="TH25" i="2"/>
  <c r="TJ25" i="2" s="1"/>
  <c r="TF10" i="2"/>
  <c r="TG10" i="2"/>
  <c r="TH10" i="2"/>
  <c r="TJ10" i="2" s="1"/>
  <c r="TH12" i="2"/>
  <c r="TJ12" i="2" s="1"/>
  <c r="TG12" i="2"/>
  <c r="TF12" i="2"/>
  <c r="TG20" i="2"/>
  <c r="TF20" i="2"/>
  <c r="TH20" i="2"/>
  <c r="TJ20" i="2" s="1"/>
  <c r="TF23" i="2"/>
  <c r="TH23" i="2"/>
  <c r="TJ23" i="2" s="1"/>
  <c r="TG23" i="2"/>
  <c r="TG17" i="2"/>
  <c r="TF17" i="2"/>
  <c r="TH17" i="2"/>
  <c r="TJ17" i="2" s="1"/>
  <c r="TH4" i="2"/>
  <c r="TJ4" i="2" s="1"/>
  <c r="TG4" i="2"/>
  <c r="TF4" i="2"/>
  <c r="TF21" i="2"/>
  <c r="TH21" i="2"/>
  <c r="TJ21" i="2" s="1"/>
  <c r="TD37" i="2"/>
  <c r="TD40" i="2" s="1"/>
  <c r="TE3" i="2"/>
  <c r="TH6" i="2"/>
  <c r="TJ6" i="2" s="1"/>
  <c r="TM6" i="2" s="1"/>
  <c r="TO6" i="2" s="1"/>
  <c r="TF6" i="2"/>
  <c r="TG7" i="2"/>
  <c r="TH7" i="2"/>
  <c r="TJ7" i="2" s="1"/>
  <c r="TF7" i="2"/>
  <c r="TH24" i="2"/>
  <c r="TF24" i="2"/>
  <c r="TG24" i="2"/>
  <c r="TF14" i="2"/>
  <c r="TG14" i="2"/>
  <c r="TH14" i="2"/>
  <c r="TJ14" i="2" s="1"/>
  <c r="SS43" i="2"/>
  <c r="TH13" i="2"/>
  <c r="TJ13" i="2" s="1"/>
  <c r="TG13" i="2"/>
  <c r="TF13" i="2"/>
  <c r="TH28" i="2"/>
  <c r="TJ28" i="2" s="1"/>
  <c r="TF28" i="2"/>
  <c r="TG28" i="2"/>
  <c r="TH22" i="2"/>
  <c r="TJ22" i="2" s="1"/>
  <c r="TF22" i="2"/>
  <c r="TG22" i="2"/>
  <c r="TK15" i="2"/>
  <c r="TM15" i="2"/>
  <c r="TO15" i="2" s="1"/>
  <c r="TH26" i="2"/>
  <c r="TJ26" i="2" s="1"/>
  <c r="TM26" i="2" s="1"/>
  <c r="TO26" i="2" s="1"/>
  <c r="TF26" i="2"/>
  <c r="TG16" i="2"/>
  <c r="TH16" i="2"/>
  <c r="TJ16" i="2" s="1"/>
  <c r="TF16" i="2"/>
  <c r="TG8" i="2"/>
  <c r="TF8" i="2"/>
  <c r="TH8" i="2"/>
  <c r="TJ8" i="2" s="1"/>
  <c r="TH29" i="2"/>
  <c r="TJ29" i="2" s="1"/>
  <c r="TG29" i="2"/>
  <c r="TF29" i="2"/>
  <c r="TF11" i="2"/>
  <c r="TH11" i="2"/>
  <c r="TJ11" i="2" s="1"/>
  <c r="TG11" i="2"/>
  <c r="TH9" i="2"/>
  <c r="TJ9" i="2" s="1"/>
  <c r="TG9" i="2"/>
  <c r="TF9" i="2"/>
  <c r="TG18" i="2"/>
  <c r="TH18" i="2"/>
  <c r="TJ18" i="2" s="1"/>
  <c r="TF18" i="2"/>
  <c r="TH19" i="2"/>
  <c r="TJ19" i="2" s="1"/>
  <c r="TF19" i="2"/>
  <c r="TG19" i="2"/>
  <c r="TG27" i="2"/>
  <c r="TF27" i="2"/>
  <c r="TH27" i="2"/>
  <c r="TJ27" i="2" s="1"/>
  <c r="TH5" i="2"/>
  <c r="TJ5" i="2" s="1"/>
  <c r="TG5" i="2"/>
  <c r="TF5" i="2"/>
  <c r="TI24" i="2" l="1"/>
  <c r="TI37" i="2" s="1"/>
  <c r="TJ42" i="2" s="1"/>
  <c r="TJ39" i="2"/>
  <c r="TM21" i="2"/>
  <c r="TO21" i="2" s="1"/>
  <c r="TM12" i="2"/>
  <c r="TO12" i="2" s="1"/>
  <c r="TK12" i="2"/>
  <c r="TK13" i="2"/>
  <c r="TM13" i="2"/>
  <c r="TO13" i="2" s="1"/>
  <c r="TM23" i="2"/>
  <c r="TO23" i="2" s="1"/>
  <c r="TK23" i="2"/>
  <c r="TM10" i="2"/>
  <c r="TO10" i="2" s="1"/>
  <c r="TK10" i="2"/>
  <c r="TK19" i="2"/>
  <c r="TM19" i="2"/>
  <c r="TO19" i="2" s="1"/>
  <c r="TK7" i="2"/>
  <c r="TM7" i="2"/>
  <c r="TO7" i="2" s="1"/>
  <c r="TM11" i="2"/>
  <c r="TO11" i="2" s="1"/>
  <c r="TK11" i="2"/>
  <c r="TM16" i="2"/>
  <c r="TO16" i="2" s="1"/>
  <c r="TK16" i="2"/>
  <c r="TM22" i="2"/>
  <c r="TO22" i="2" s="1"/>
  <c r="TK22" i="2"/>
  <c r="TK14" i="2"/>
  <c r="TM14" i="2"/>
  <c r="TO14" i="2" s="1"/>
  <c r="TK20" i="2"/>
  <c r="TM20" i="2"/>
  <c r="TO20" i="2" s="1"/>
  <c r="TM8" i="2"/>
  <c r="TO8" i="2" s="1"/>
  <c r="TK8" i="2"/>
  <c r="TM18" i="2"/>
  <c r="TO18" i="2" s="1"/>
  <c r="TK18" i="2"/>
  <c r="TM4" i="2"/>
  <c r="TO4" i="2" s="1"/>
  <c r="TK4" i="2"/>
  <c r="TM25" i="2"/>
  <c r="TO25" i="2" s="1"/>
  <c r="TK25" i="2"/>
  <c r="TM9" i="2"/>
  <c r="TO9" i="2" s="1"/>
  <c r="TK9" i="2"/>
  <c r="TK5" i="2"/>
  <c r="TM5" i="2"/>
  <c r="TO5" i="2" s="1"/>
  <c r="TM27" i="2"/>
  <c r="TO27" i="2" s="1"/>
  <c r="TK27" i="2"/>
  <c r="TT6" i="2"/>
  <c r="TR6" i="2"/>
  <c r="TW6" i="2"/>
  <c r="TX6" i="2" s="1"/>
  <c r="TK17" i="2"/>
  <c r="TM17" i="2"/>
  <c r="TO17" i="2" s="1"/>
  <c r="TR15" i="2"/>
  <c r="TW15" i="2"/>
  <c r="TX15" i="2" s="1"/>
  <c r="TT15" i="2"/>
  <c r="TK29" i="2"/>
  <c r="TM29" i="2"/>
  <c r="TO29" i="2" s="1"/>
  <c r="TT26" i="2"/>
  <c r="TR26" i="2"/>
  <c r="TW26" i="2"/>
  <c r="TX26" i="2" s="1"/>
  <c r="TM28" i="2"/>
  <c r="TO28" i="2" s="1"/>
  <c r="TK28" i="2"/>
  <c r="TE37" i="2"/>
  <c r="TG3" i="2"/>
  <c r="TF3" i="2"/>
  <c r="TF37" i="2" s="1"/>
  <c r="TH3" i="2"/>
  <c r="TR27" i="2" l="1"/>
  <c r="TW27" i="2"/>
  <c r="TX27" i="2" s="1"/>
  <c r="TT27" i="2"/>
  <c r="TR4" i="2"/>
  <c r="TT4" i="2"/>
  <c r="TW4" i="2"/>
  <c r="TX4" i="2" s="1"/>
  <c r="TH37" i="2"/>
  <c r="TJ3" i="2"/>
  <c r="TR19" i="2"/>
  <c r="TW19" i="2"/>
  <c r="TX19" i="2" s="1"/>
  <c r="TT19" i="2"/>
  <c r="TR18" i="2"/>
  <c r="TT18" i="2"/>
  <c r="TW18" i="2"/>
  <c r="TX18" i="2" s="1"/>
  <c r="TR22" i="2"/>
  <c r="TW22" i="2"/>
  <c r="TX22" i="2" s="1"/>
  <c r="TT22" i="2"/>
  <c r="TT12" i="2"/>
  <c r="TR12" i="2"/>
  <c r="TW12" i="2"/>
  <c r="TX12" i="2" s="1"/>
  <c r="TR29" i="2"/>
  <c r="TW29" i="2"/>
  <c r="TX29" i="2" s="1"/>
  <c r="TT29" i="2"/>
  <c r="TR21" i="2"/>
  <c r="TT21" i="2"/>
  <c r="TW21" i="2"/>
  <c r="TX21" i="2" s="1"/>
  <c r="TR17" i="2"/>
  <c r="TT17" i="2"/>
  <c r="TW17" i="2"/>
  <c r="TX17" i="2" s="1"/>
  <c r="TR9" i="2"/>
  <c r="TW9" i="2"/>
  <c r="TX9" i="2" s="1"/>
  <c r="TT9" i="2"/>
  <c r="TT8" i="2"/>
  <c r="TR8" i="2"/>
  <c r="TW8" i="2"/>
  <c r="TX8" i="2" s="1"/>
  <c r="TT16" i="2"/>
  <c r="TR16" i="2"/>
  <c r="TW16" i="2"/>
  <c r="TX16" i="2" s="1"/>
  <c r="TR10" i="2"/>
  <c r="TT10" i="2"/>
  <c r="TW10" i="2"/>
  <c r="TX10" i="2" s="1"/>
  <c r="TR20" i="2"/>
  <c r="TW20" i="2"/>
  <c r="TX20" i="2" s="1"/>
  <c r="TT20" i="2"/>
  <c r="TW5" i="2"/>
  <c r="TX5" i="2" s="1"/>
  <c r="TR5" i="2"/>
  <c r="TT5" i="2"/>
  <c r="TW25" i="2"/>
  <c r="TX25" i="2" s="1"/>
  <c r="TR25" i="2"/>
  <c r="TT25" i="2"/>
  <c r="TW11" i="2"/>
  <c r="TX11" i="2" s="1"/>
  <c r="TR11" i="2"/>
  <c r="TT11" i="2"/>
  <c r="TR23" i="2"/>
  <c r="TW23" i="2"/>
  <c r="TX23" i="2" s="1"/>
  <c r="TT23" i="2"/>
  <c r="TJ24" i="2"/>
  <c r="TW28" i="2"/>
  <c r="TX28" i="2" s="1"/>
  <c r="TR28" i="2"/>
  <c r="TT28" i="2"/>
  <c r="TT14" i="2"/>
  <c r="TR14" i="2"/>
  <c r="TW14" i="2"/>
  <c r="TX14" i="2" s="1"/>
  <c r="TW7" i="2"/>
  <c r="TX7" i="2" s="1"/>
  <c r="TR7" i="2"/>
  <c r="TT7" i="2"/>
  <c r="TW13" i="2"/>
  <c r="TX13" i="2" s="1"/>
  <c r="TR13" i="2"/>
  <c r="TT13" i="2"/>
  <c r="TJ37" i="2" l="1"/>
  <c r="TM3" i="2"/>
  <c r="TK3" i="2"/>
  <c r="TM24" i="2"/>
  <c r="TO24" i="2" s="1"/>
  <c r="TK24" i="2"/>
  <c r="TK43" i="2" l="1"/>
  <c r="TK37" i="2"/>
  <c r="TK41" i="2"/>
  <c r="TM37" i="2"/>
  <c r="TO3" i="2"/>
  <c r="TK39" i="2"/>
  <c r="TJ40" i="2"/>
  <c r="TR24" i="2"/>
  <c r="TW24" i="2"/>
  <c r="TX24" i="2" s="1"/>
  <c r="TT24" i="2"/>
  <c r="TO37" i="2" l="1"/>
  <c r="TR3" i="2"/>
  <c r="TT3" i="2"/>
  <c r="TW3" i="2"/>
  <c r="TT37" i="2" l="1"/>
  <c r="TU3" i="2" s="1"/>
  <c r="TW37" i="2"/>
  <c r="TX3" i="2"/>
  <c r="TX37" i="2" l="1"/>
  <c r="TU15" i="2"/>
  <c r="TU6" i="2"/>
  <c r="TU26" i="2"/>
  <c r="TU22" i="2"/>
  <c r="TU14" i="2"/>
  <c r="TU5" i="2"/>
  <c r="TU19" i="2"/>
  <c r="TU29" i="2"/>
  <c r="TU9" i="2"/>
  <c r="TU4" i="2"/>
  <c r="TU7" i="2"/>
  <c r="TU10" i="2"/>
  <c r="TU11" i="2"/>
  <c r="TU13" i="2"/>
  <c r="TU23" i="2"/>
  <c r="TU20" i="2"/>
  <c r="TU27" i="2"/>
  <c r="TU25" i="2"/>
  <c r="TU8" i="2"/>
  <c r="TU16" i="2"/>
  <c r="TU28" i="2"/>
  <c r="TU12" i="2"/>
  <c r="TU18" i="2"/>
  <c r="TU21" i="2"/>
  <c r="TU17" i="2"/>
  <c r="TU24" i="2"/>
  <c r="TU37" i="2" l="1"/>
  <c r="TU40" i="2" s="1"/>
  <c r="TY3" i="2" l="1"/>
  <c r="TY29" i="2"/>
  <c r="TZ29" i="2" s="1"/>
  <c r="TY22" i="2"/>
  <c r="TZ22" i="2" s="1"/>
  <c r="TY26" i="2"/>
  <c r="TZ26" i="2" s="1"/>
  <c r="TY13" i="2"/>
  <c r="TZ13" i="2" s="1"/>
  <c r="TY6" i="2"/>
  <c r="TZ6" i="2" s="1"/>
  <c r="TY25" i="2"/>
  <c r="TZ25" i="2" s="1"/>
  <c r="TY15" i="2"/>
  <c r="TZ15" i="2" s="1"/>
  <c r="TY18" i="2"/>
  <c r="TZ18" i="2" s="1"/>
  <c r="TY23" i="2"/>
  <c r="TZ23" i="2" s="1"/>
  <c r="TY12" i="2"/>
  <c r="TZ12" i="2" s="1"/>
  <c r="TY19" i="2"/>
  <c r="TZ19" i="2" s="1"/>
  <c r="TY24" i="2"/>
  <c r="TZ24" i="2" s="1"/>
  <c r="TY5" i="2"/>
  <c r="TZ5" i="2" s="1"/>
  <c r="TY4" i="2"/>
  <c r="TZ4" i="2" s="1"/>
  <c r="TY11" i="2"/>
  <c r="TZ11" i="2" s="1"/>
  <c r="TY9" i="2"/>
  <c r="TZ9" i="2" s="1"/>
  <c r="TY10" i="2"/>
  <c r="TZ10" i="2" s="1"/>
  <c r="TY7" i="2"/>
  <c r="TZ7" i="2" s="1"/>
  <c r="TY8" i="2"/>
  <c r="TZ8" i="2" s="1"/>
  <c r="TY27" i="2"/>
  <c r="TZ27" i="2" s="1"/>
  <c r="TY28" i="2"/>
  <c r="TZ28" i="2" s="1"/>
  <c r="TY14" i="2"/>
  <c r="TZ14" i="2" s="1"/>
  <c r="TY16" i="2"/>
  <c r="TZ16" i="2" s="1"/>
  <c r="TY17" i="2"/>
  <c r="TZ17" i="2" s="1"/>
  <c r="TY20" i="2"/>
  <c r="TZ20" i="2" s="1"/>
  <c r="TY21" i="2"/>
  <c r="UC25" i="2" l="1"/>
  <c r="UE25" i="2" s="1"/>
  <c r="UB25" i="2"/>
  <c r="UA25" i="2"/>
  <c r="UA6" i="2"/>
  <c r="UC6" i="2"/>
  <c r="UE6" i="2" s="1"/>
  <c r="UH6" i="2" s="1"/>
  <c r="UJ6" i="2" s="1"/>
  <c r="UA27" i="2"/>
  <c r="UB27" i="2"/>
  <c r="UC27" i="2"/>
  <c r="UE27" i="2" s="1"/>
  <c r="UC24" i="2"/>
  <c r="UA24" i="2"/>
  <c r="UB24" i="2"/>
  <c r="UB13" i="2"/>
  <c r="UA13" i="2"/>
  <c r="UC13" i="2"/>
  <c r="UE13" i="2" s="1"/>
  <c r="UC14" i="2"/>
  <c r="UE14" i="2" s="1"/>
  <c r="UB14" i="2"/>
  <c r="UA14" i="2"/>
  <c r="UA8" i="2"/>
  <c r="UC8" i="2"/>
  <c r="UE8" i="2" s="1"/>
  <c r="UB8" i="2"/>
  <c r="UC19" i="2"/>
  <c r="UE19" i="2" s="1"/>
  <c r="UB19" i="2"/>
  <c r="UA19" i="2"/>
  <c r="UC26" i="2"/>
  <c r="UE26" i="2" s="1"/>
  <c r="UH26" i="2" s="1"/>
  <c r="UJ26" i="2" s="1"/>
  <c r="UA26" i="2"/>
  <c r="UA7" i="2"/>
  <c r="UC7" i="2"/>
  <c r="UE7" i="2" s="1"/>
  <c r="UB7" i="2"/>
  <c r="UB12" i="2"/>
  <c r="UA12" i="2"/>
  <c r="UC12" i="2"/>
  <c r="UE12" i="2" s="1"/>
  <c r="UC22" i="2"/>
  <c r="UE22" i="2" s="1"/>
  <c r="UA22" i="2"/>
  <c r="UB22" i="2"/>
  <c r="UB5" i="2"/>
  <c r="UA5" i="2"/>
  <c r="UC5" i="2"/>
  <c r="UE5" i="2" s="1"/>
  <c r="UC10" i="2"/>
  <c r="UE10" i="2" s="1"/>
  <c r="UB10" i="2"/>
  <c r="UA10" i="2"/>
  <c r="UC23" i="2"/>
  <c r="UE23" i="2" s="1"/>
  <c r="UA23" i="2"/>
  <c r="UB23" i="2"/>
  <c r="UC29" i="2"/>
  <c r="UE29" i="2" s="1"/>
  <c r="UB29" i="2"/>
  <c r="UA29" i="2"/>
  <c r="UC28" i="2"/>
  <c r="UE28" i="2" s="1"/>
  <c r="UB28" i="2"/>
  <c r="UA28" i="2"/>
  <c r="UA17" i="2"/>
  <c r="UB17" i="2"/>
  <c r="UC17" i="2"/>
  <c r="UE17" i="2" s="1"/>
  <c r="UA18" i="2"/>
  <c r="UB18" i="2"/>
  <c r="UC18" i="2"/>
  <c r="UE18" i="2" s="1"/>
  <c r="TY37" i="2"/>
  <c r="TY40" i="2" s="1"/>
  <c r="TZ3" i="2"/>
  <c r="UB4" i="2"/>
  <c r="UC4" i="2"/>
  <c r="UE4" i="2" s="1"/>
  <c r="UA4" i="2"/>
  <c r="TN43" i="2"/>
  <c r="TZ21" i="2"/>
  <c r="UC20" i="2"/>
  <c r="UE20" i="2" s="1"/>
  <c r="UA20" i="2"/>
  <c r="UB20" i="2"/>
  <c r="UC9" i="2"/>
  <c r="UE9" i="2" s="1"/>
  <c r="UB9" i="2"/>
  <c r="UA9" i="2"/>
  <c r="UA16" i="2"/>
  <c r="UB16" i="2"/>
  <c r="UC16" i="2"/>
  <c r="UE16" i="2" s="1"/>
  <c r="UC11" i="2"/>
  <c r="UE11" i="2" s="1"/>
  <c r="UB11" i="2"/>
  <c r="UA11" i="2"/>
  <c r="UA15" i="2"/>
  <c r="UC15" i="2"/>
  <c r="UE15" i="2" s="1"/>
  <c r="UB15" i="2"/>
  <c r="UF22" i="2" l="1"/>
  <c r="UH22" i="2"/>
  <c r="UJ22" i="2" s="1"/>
  <c r="UO26" i="2"/>
  <c r="UM26" i="2"/>
  <c r="UR26" i="2"/>
  <c r="US26" i="2" s="1"/>
  <c r="UF27" i="2"/>
  <c r="UH27" i="2"/>
  <c r="UJ27" i="2" s="1"/>
  <c r="UF18" i="2"/>
  <c r="UH18" i="2"/>
  <c r="UJ18" i="2" s="1"/>
  <c r="UF14" i="2"/>
  <c r="UH14" i="2"/>
  <c r="UJ14" i="2" s="1"/>
  <c r="UF16" i="2"/>
  <c r="UH16" i="2"/>
  <c r="UJ16" i="2" s="1"/>
  <c r="UF20" i="2"/>
  <c r="UH20" i="2"/>
  <c r="UJ20" i="2" s="1"/>
  <c r="UF28" i="2"/>
  <c r="UH28" i="2"/>
  <c r="UJ28" i="2" s="1"/>
  <c r="UF12" i="2"/>
  <c r="UH12" i="2"/>
  <c r="UJ12" i="2" s="1"/>
  <c r="UF10" i="2"/>
  <c r="UH10" i="2"/>
  <c r="UJ10" i="2" s="1"/>
  <c r="UF13" i="2"/>
  <c r="UH13" i="2"/>
  <c r="UJ13" i="2" s="1"/>
  <c r="UF11" i="2"/>
  <c r="UH11" i="2"/>
  <c r="UJ11" i="2" s="1"/>
  <c r="UF19" i="2"/>
  <c r="UH19" i="2"/>
  <c r="UJ19" i="2" s="1"/>
  <c r="UO6" i="2"/>
  <c r="UM6" i="2"/>
  <c r="UR6" i="2"/>
  <c r="US6" i="2" s="1"/>
  <c r="UF5" i="2"/>
  <c r="UH5" i="2"/>
  <c r="UJ5" i="2" s="1"/>
  <c r="UF17" i="2"/>
  <c r="UH17" i="2"/>
  <c r="UJ17" i="2" s="1"/>
  <c r="UF29" i="2"/>
  <c r="UH29" i="2"/>
  <c r="UJ29" i="2" s="1"/>
  <c r="UF4" i="2"/>
  <c r="UH4" i="2"/>
  <c r="UJ4" i="2" s="1"/>
  <c r="UF7" i="2"/>
  <c r="UH7" i="2"/>
  <c r="UJ7" i="2" s="1"/>
  <c r="UF8" i="2"/>
  <c r="UH8" i="2"/>
  <c r="UJ8" i="2" s="1"/>
  <c r="UF15" i="2"/>
  <c r="UH15" i="2"/>
  <c r="UJ15" i="2" s="1"/>
  <c r="UF9" i="2"/>
  <c r="UH9" i="2"/>
  <c r="UJ9" i="2" s="1"/>
  <c r="UF23" i="2"/>
  <c r="UH23" i="2"/>
  <c r="UJ23" i="2" s="1"/>
  <c r="UF25" i="2"/>
  <c r="UH25" i="2"/>
  <c r="UJ25" i="2" s="1"/>
  <c r="UA21" i="2"/>
  <c r="UC21" i="2"/>
  <c r="UE21" i="2" s="1"/>
  <c r="TZ37" i="2"/>
  <c r="UC3" i="2"/>
  <c r="UB3" i="2"/>
  <c r="UA3" i="2"/>
  <c r="UD24" i="2"/>
  <c r="UD37" i="2" s="1"/>
  <c r="UE42" i="2" s="1"/>
  <c r="UR13" i="2" l="1"/>
  <c r="US13" i="2" s="1"/>
  <c r="UM13" i="2"/>
  <c r="UO13" i="2"/>
  <c r="UM20" i="2"/>
  <c r="UR20" i="2"/>
  <c r="US20" i="2" s="1"/>
  <c r="UO20" i="2"/>
  <c r="UM27" i="2"/>
  <c r="UR27" i="2"/>
  <c r="US27" i="2" s="1"/>
  <c r="UO27" i="2"/>
  <c r="UM4" i="2"/>
  <c r="UO4" i="2"/>
  <c r="UR4" i="2"/>
  <c r="US4" i="2" s="1"/>
  <c r="UR9" i="2"/>
  <c r="US9" i="2" s="1"/>
  <c r="UM9" i="2"/>
  <c r="UO9" i="2"/>
  <c r="UE39" i="2"/>
  <c r="UH21" i="2"/>
  <c r="UJ21" i="2" s="1"/>
  <c r="UO15" i="2"/>
  <c r="UM15" i="2"/>
  <c r="UR15" i="2"/>
  <c r="US15" i="2" s="1"/>
  <c r="UR29" i="2"/>
  <c r="US29" i="2" s="1"/>
  <c r="UO29" i="2"/>
  <c r="UM29" i="2"/>
  <c r="UM10" i="2"/>
  <c r="UR10" i="2"/>
  <c r="US10" i="2" s="1"/>
  <c r="UO10" i="2"/>
  <c r="UR16" i="2"/>
  <c r="US16" i="2" s="1"/>
  <c r="UM16" i="2"/>
  <c r="UO16" i="2"/>
  <c r="UM25" i="2"/>
  <c r="UR25" i="2"/>
  <c r="US25" i="2" s="1"/>
  <c r="UO25" i="2"/>
  <c r="UR8" i="2"/>
  <c r="US8" i="2" s="1"/>
  <c r="UM8" i="2"/>
  <c r="UO8" i="2"/>
  <c r="UM17" i="2"/>
  <c r="UR17" i="2"/>
  <c r="US17" i="2" s="1"/>
  <c r="UO17" i="2"/>
  <c r="UO19" i="2"/>
  <c r="UR19" i="2"/>
  <c r="US19" i="2" s="1"/>
  <c r="UM19" i="2"/>
  <c r="UM12" i="2"/>
  <c r="UO12" i="2"/>
  <c r="UR12" i="2"/>
  <c r="US12" i="2" s="1"/>
  <c r="UM14" i="2"/>
  <c r="UO14" i="2"/>
  <c r="UR14" i="2"/>
  <c r="US14" i="2" s="1"/>
  <c r="UA37" i="2"/>
  <c r="UM23" i="2"/>
  <c r="UO23" i="2"/>
  <c r="UR23" i="2"/>
  <c r="US23" i="2" s="1"/>
  <c r="UM7" i="2"/>
  <c r="UR7" i="2"/>
  <c r="US7" i="2" s="1"/>
  <c r="UO7" i="2"/>
  <c r="UM5" i="2"/>
  <c r="UR5" i="2"/>
  <c r="US5" i="2" s="1"/>
  <c r="UO5" i="2"/>
  <c r="UO11" i="2"/>
  <c r="UM11" i="2"/>
  <c r="UR11" i="2"/>
  <c r="US11" i="2" s="1"/>
  <c r="UM28" i="2"/>
  <c r="UR28" i="2"/>
  <c r="US28" i="2" s="1"/>
  <c r="UO28" i="2"/>
  <c r="UR18" i="2"/>
  <c r="US18" i="2" s="1"/>
  <c r="UM18" i="2"/>
  <c r="UO18" i="2"/>
  <c r="UM22" i="2"/>
  <c r="UR22" i="2"/>
  <c r="US22" i="2" s="1"/>
  <c r="UO22" i="2"/>
  <c r="UC37" i="2"/>
  <c r="UE3" i="2"/>
  <c r="UH3" i="2" s="1"/>
  <c r="UE24" i="2"/>
  <c r="UM21" i="2" l="1"/>
  <c r="UO21" i="2"/>
  <c r="UR21" i="2"/>
  <c r="US21" i="2" s="1"/>
  <c r="UF24" i="2"/>
  <c r="UH24" i="2"/>
  <c r="UJ24" i="2" s="1"/>
  <c r="UJ3" i="2"/>
  <c r="UE37" i="2"/>
  <c r="UF3" i="2"/>
  <c r="UH37" i="2" l="1"/>
  <c r="UM24" i="2"/>
  <c r="UR24" i="2"/>
  <c r="US24" i="2" s="1"/>
  <c r="UO24" i="2"/>
  <c r="UJ37" i="2"/>
  <c r="UM3" i="2"/>
  <c r="UO3" i="2"/>
  <c r="UR3" i="2"/>
  <c r="UF43" i="2"/>
  <c r="UF41" i="2"/>
  <c r="UF37" i="2"/>
  <c r="UE40" i="2"/>
  <c r="UF39" i="2"/>
  <c r="UR37" i="2" l="1"/>
  <c r="US3" i="2"/>
  <c r="UO37" i="2"/>
  <c r="UP3" i="2" s="1"/>
  <c r="UP6" i="2" l="1"/>
  <c r="UP26" i="2"/>
  <c r="UP16" i="2"/>
  <c r="UP23" i="2"/>
  <c r="UP13" i="2"/>
  <c r="UP18" i="2"/>
  <c r="UP7" i="2"/>
  <c r="UP15" i="2"/>
  <c r="UP19" i="2"/>
  <c r="UP11" i="2"/>
  <c r="UP8" i="2"/>
  <c r="UP22" i="2"/>
  <c r="UP12" i="2"/>
  <c r="UP20" i="2"/>
  <c r="UP17" i="2"/>
  <c r="UP4" i="2"/>
  <c r="UP10" i="2"/>
  <c r="UP25" i="2"/>
  <c r="UP28" i="2"/>
  <c r="UP27" i="2"/>
  <c r="UP5" i="2"/>
  <c r="UP29" i="2"/>
  <c r="UP9" i="2"/>
  <c r="UP14" i="2"/>
  <c r="UP21" i="2"/>
  <c r="US37" i="2"/>
  <c r="UP24" i="2"/>
  <c r="UP37" i="2" l="1"/>
  <c r="UP40" i="2" s="1"/>
  <c r="UT8" i="2" s="1"/>
  <c r="UU8" i="2" s="1"/>
  <c r="UW8" i="2" l="1"/>
  <c r="UX8" i="2"/>
  <c r="UZ8" i="2" s="1"/>
  <c r="VC8" i="2" s="1"/>
  <c r="VE8" i="2" s="1"/>
  <c r="UV8" i="2"/>
  <c r="UT26" i="2"/>
  <c r="UU26" i="2" s="1"/>
  <c r="UT17" i="2"/>
  <c r="UU17" i="2" s="1"/>
  <c r="UT15" i="2"/>
  <c r="UU15" i="2" s="1"/>
  <c r="UT6" i="2"/>
  <c r="UU6" i="2" s="1"/>
  <c r="UT24" i="2"/>
  <c r="UU24" i="2" s="1"/>
  <c r="UT21" i="2"/>
  <c r="UT19" i="2"/>
  <c r="UU19" i="2" s="1"/>
  <c r="UT27" i="2"/>
  <c r="UU27" i="2" s="1"/>
  <c r="UT16" i="2"/>
  <c r="UU16" i="2" s="1"/>
  <c r="UT29" i="2"/>
  <c r="UU29" i="2" s="1"/>
  <c r="UT28" i="2"/>
  <c r="UU28" i="2" s="1"/>
  <c r="UT11" i="2"/>
  <c r="UU11" i="2" s="1"/>
  <c r="UT25" i="2"/>
  <c r="UU25" i="2" s="1"/>
  <c r="UT5" i="2"/>
  <c r="UU5" i="2" s="1"/>
  <c r="UT9" i="2"/>
  <c r="UU9" i="2" s="1"/>
  <c r="UT12" i="2"/>
  <c r="UU12" i="2" s="1"/>
  <c r="UT7" i="2"/>
  <c r="UU7" i="2" s="1"/>
  <c r="UT20" i="2"/>
  <c r="UU20" i="2" s="1"/>
  <c r="UT23" i="2"/>
  <c r="UU23" i="2" s="1"/>
  <c r="UT13" i="2"/>
  <c r="UU13" i="2" s="1"/>
  <c r="UT10" i="2"/>
  <c r="UU10" i="2" s="1"/>
  <c r="UT4" i="2"/>
  <c r="UU4" i="2" s="1"/>
  <c r="UT22" i="2"/>
  <c r="UU22" i="2" s="1"/>
  <c r="UT18" i="2"/>
  <c r="UU18" i="2" s="1"/>
  <c r="UT14" i="2"/>
  <c r="UU14" i="2" s="1"/>
  <c r="UT3" i="2"/>
  <c r="VJ8" i="2" l="1"/>
  <c r="VH8" i="2"/>
  <c r="VM8" i="2"/>
  <c r="VN8" i="2" s="1"/>
  <c r="UV24" i="2"/>
  <c r="UX24" i="2"/>
  <c r="UW24" i="2"/>
  <c r="UX6" i="2"/>
  <c r="UZ6" i="2" s="1"/>
  <c r="VC6" i="2" s="1"/>
  <c r="VE6" i="2" s="1"/>
  <c r="UV6" i="2"/>
  <c r="UT37" i="2"/>
  <c r="UT40" i="2" s="1"/>
  <c r="UU3" i="2"/>
  <c r="UX20" i="2"/>
  <c r="UZ20" i="2" s="1"/>
  <c r="VC20" i="2" s="1"/>
  <c r="VE20" i="2" s="1"/>
  <c r="UV20" i="2"/>
  <c r="UW20" i="2"/>
  <c r="UX28" i="2"/>
  <c r="UZ28" i="2" s="1"/>
  <c r="VC28" i="2" s="1"/>
  <c r="VE28" i="2" s="1"/>
  <c r="UV28" i="2"/>
  <c r="UW28" i="2"/>
  <c r="UV15" i="2"/>
  <c r="UX15" i="2"/>
  <c r="UZ15" i="2" s="1"/>
  <c r="VC15" i="2" s="1"/>
  <c r="VE15" i="2" s="1"/>
  <c r="UW15" i="2"/>
  <c r="UX7" i="2"/>
  <c r="UZ7" i="2" s="1"/>
  <c r="VC7" i="2" s="1"/>
  <c r="VE7" i="2" s="1"/>
  <c r="UW7" i="2"/>
  <c r="UV7" i="2"/>
  <c r="UX17" i="2"/>
  <c r="UZ17" i="2" s="1"/>
  <c r="VC17" i="2" s="1"/>
  <c r="VE17" i="2" s="1"/>
  <c r="UW17" i="2"/>
  <c r="UV17" i="2"/>
  <c r="UX23" i="2"/>
  <c r="UZ23" i="2" s="1"/>
  <c r="VC23" i="2" s="1"/>
  <c r="VE23" i="2" s="1"/>
  <c r="UV23" i="2"/>
  <c r="UW23" i="2"/>
  <c r="UX16" i="2"/>
  <c r="UZ16" i="2" s="1"/>
  <c r="VC16" i="2" s="1"/>
  <c r="VE16" i="2" s="1"/>
  <c r="UW16" i="2"/>
  <c r="UV16" i="2"/>
  <c r="UX26" i="2"/>
  <c r="UZ26" i="2" s="1"/>
  <c r="VC26" i="2" s="1"/>
  <c r="VE26" i="2" s="1"/>
  <c r="UV26" i="2"/>
  <c r="UV14" i="2"/>
  <c r="UX14" i="2"/>
  <c r="UZ14" i="2" s="1"/>
  <c r="VC14" i="2" s="1"/>
  <c r="VE14" i="2" s="1"/>
  <c r="UW14" i="2"/>
  <c r="UW12" i="2"/>
  <c r="UV12" i="2"/>
  <c r="UX12" i="2"/>
  <c r="UZ12" i="2" s="1"/>
  <c r="VC12" i="2" s="1"/>
  <c r="VE12" i="2" s="1"/>
  <c r="UX9" i="2"/>
  <c r="UZ9" i="2" s="1"/>
  <c r="VC9" i="2" s="1"/>
  <c r="VE9" i="2" s="1"/>
  <c r="UW9" i="2"/>
  <c r="UV9" i="2"/>
  <c r="UX27" i="2"/>
  <c r="UZ27" i="2" s="1"/>
  <c r="VC27" i="2" s="1"/>
  <c r="VE27" i="2" s="1"/>
  <c r="UW27" i="2"/>
  <c r="UV27" i="2"/>
  <c r="UX13" i="2"/>
  <c r="UZ13" i="2" s="1"/>
  <c r="VC13" i="2" s="1"/>
  <c r="VE13" i="2" s="1"/>
  <c r="UW13" i="2"/>
  <c r="UV13" i="2"/>
  <c r="UW18" i="2"/>
  <c r="UV18" i="2"/>
  <c r="UX18" i="2"/>
  <c r="UZ18" i="2" s="1"/>
  <c r="VC18" i="2" s="1"/>
  <c r="VE18" i="2" s="1"/>
  <c r="UX4" i="2"/>
  <c r="UZ4" i="2" s="1"/>
  <c r="VC4" i="2" s="1"/>
  <c r="VE4" i="2" s="1"/>
  <c r="UW4" i="2"/>
  <c r="UV4" i="2"/>
  <c r="UV5" i="2"/>
  <c r="UW5" i="2"/>
  <c r="UX5" i="2"/>
  <c r="UZ5" i="2" s="1"/>
  <c r="VC5" i="2" s="1"/>
  <c r="VE5" i="2" s="1"/>
  <c r="UX19" i="2"/>
  <c r="UZ19" i="2" s="1"/>
  <c r="VC19" i="2" s="1"/>
  <c r="VE19" i="2" s="1"/>
  <c r="UV19" i="2"/>
  <c r="UW19" i="2"/>
  <c r="VA8" i="2"/>
  <c r="UV11" i="2"/>
  <c r="UX11" i="2"/>
  <c r="UZ11" i="2" s="1"/>
  <c r="VC11" i="2" s="1"/>
  <c r="VE11" i="2" s="1"/>
  <c r="UW11" i="2"/>
  <c r="UX29" i="2"/>
  <c r="UZ29" i="2" s="1"/>
  <c r="VC29" i="2" s="1"/>
  <c r="VE29" i="2" s="1"/>
  <c r="UW29" i="2"/>
  <c r="UV29" i="2"/>
  <c r="UX22" i="2"/>
  <c r="UZ22" i="2" s="1"/>
  <c r="VC22" i="2" s="1"/>
  <c r="VE22" i="2" s="1"/>
  <c r="UV22" i="2"/>
  <c r="UW22" i="2"/>
  <c r="UX10" i="2"/>
  <c r="UZ10" i="2" s="1"/>
  <c r="VC10" i="2" s="1"/>
  <c r="VE10" i="2" s="1"/>
  <c r="UW10" i="2"/>
  <c r="UV10" i="2"/>
  <c r="UW25" i="2"/>
  <c r="UX25" i="2"/>
  <c r="UZ25" i="2" s="1"/>
  <c r="VC25" i="2" s="1"/>
  <c r="VE25" i="2" s="1"/>
  <c r="UV25" i="2"/>
  <c r="UI43" i="2"/>
  <c r="UU21" i="2"/>
  <c r="VM12" i="2" l="1"/>
  <c r="VN12" i="2" s="1"/>
  <c r="VH12" i="2"/>
  <c r="VJ12" i="2"/>
  <c r="VM6" i="2"/>
  <c r="VN6" i="2" s="1"/>
  <c r="VJ6" i="2"/>
  <c r="VH6" i="2"/>
  <c r="VH10" i="2"/>
  <c r="VJ10" i="2"/>
  <c r="VM10" i="2"/>
  <c r="VN10" i="2" s="1"/>
  <c r="VH28" i="2"/>
  <c r="VJ28" i="2"/>
  <c r="VM28" i="2"/>
  <c r="VN28" i="2" s="1"/>
  <c r="VJ16" i="2"/>
  <c r="VH16" i="2"/>
  <c r="VM16" i="2"/>
  <c r="VN16" i="2" s="1"/>
  <c r="VJ17" i="2"/>
  <c r="VH17" i="2"/>
  <c r="VM17" i="2"/>
  <c r="VN17" i="2" s="1"/>
  <c r="VH22" i="2"/>
  <c r="VJ22" i="2"/>
  <c r="VM22" i="2"/>
  <c r="VN22" i="2" s="1"/>
  <c r="VM4" i="2"/>
  <c r="VN4" i="2" s="1"/>
  <c r="VH4" i="2"/>
  <c r="VJ4" i="2"/>
  <c r="VJ7" i="2"/>
  <c r="VH7" i="2"/>
  <c r="VM7" i="2"/>
  <c r="VN7" i="2" s="1"/>
  <c r="VM13" i="2"/>
  <c r="VN13" i="2" s="1"/>
  <c r="VH13" i="2"/>
  <c r="VJ13" i="2"/>
  <c r="VJ25" i="2"/>
  <c r="VH25" i="2"/>
  <c r="VM25" i="2"/>
  <c r="VN25" i="2" s="1"/>
  <c r="VH18" i="2"/>
  <c r="VJ18" i="2"/>
  <c r="VM18" i="2"/>
  <c r="VN18" i="2" s="1"/>
  <c r="VH27" i="2"/>
  <c r="VJ27" i="2"/>
  <c r="VM27" i="2"/>
  <c r="VN27" i="2" s="1"/>
  <c r="VM14" i="2"/>
  <c r="VN14" i="2" s="1"/>
  <c r="VH14" i="2"/>
  <c r="VJ14" i="2"/>
  <c r="VM20" i="2"/>
  <c r="VN20" i="2" s="1"/>
  <c r="VH20" i="2"/>
  <c r="VJ20" i="2"/>
  <c r="VH23" i="2"/>
  <c r="VJ23" i="2"/>
  <c r="VM23" i="2"/>
  <c r="VN23" i="2" s="1"/>
  <c r="VJ15" i="2"/>
  <c r="VH15" i="2"/>
  <c r="VM15" i="2"/>
  <c r="VN15" i="2" s="1"/>
  <c r="VH11" i="2"/>
  <c r="VJ11" i="2"/>
  <c r="VM11" i="2"/>
  <c r="VN11" i="2" s="1"/>
  <c r="VM5" i="2"/>
  <c r="VN5" i="2" s="1"/>
  <c r="VH5" i="2"/>
  <c r="VJ5" i="2"/>
  <c r="VH19" i="2"/>
  <c r="VJ19" i="2"/>
  <c r="VM19" i="2"/>
  <c r="VN19" i="2" s="1"/>
  <c r="VH29" i="2"/>
  <c r="VJ29" i="2"/>
  <c r="VM29" i="2"/>
  <c r="VN29" i="2" s="1"/>
  <c r="VJ9" i="2"/>
  <c r="VH9" i="2"/>
  <c r="VM9" i="2"/>
  <c r="VN9" i="2" s="1"/>
  <c r="VJ26" i="2"/>
  <c r="VH26" i="2"/>
  <c r="VM26" i="2"/>
  <c r="VN26" i="2" s="1"/>
  <c r="VA18" i="2"/>
  <c r="VA27" i="2"/>
  <c r="VA14" i="2"/>
  <c r="VA20" i="2"/>
  <c r="UU37" i="2"/>
  <c r="UX3" i="2"/>
  <c r="UW3" i="2"/>
  <c r="UV3" i="2"/>
  <c r="VA5" i="2"/>
  <c r="VA9" i="2"/>
  <c r="VA29" i="2"/>
  <c r="VA15" i="2"/>
  <c r="VA17" i="2"/>
  <c r="VA23" i="2"/>
  <c r="VA10" i="2"/>
  <c r="UV21" i="2"/>
  <c r="UX21" i="2"/>
  <c r="UZ21" i="2" s="1"/>
  <c r="VC21" i="2" s="1"/>
  <c r="VE21" i="2" s="1"/>
  <c r="VA12" i="2"/>
  <c r="VA13" i="2"/>
  <c r="VA28" i="2"/>
  <c r="VA11" i="2"/>
  <c r="VA22" i="2"/>
  <c r="VA16" i="2"/>
  <c r="UY24" i="2"/>
  <c r="UY37" i="2" s="1"/>
  <c r="UZ42" i="2" s="1"/>
  <c r="VA19" i="2"/>
  <c r="VA25" i="2"/>
  <c r="VA4" i="2"/>
  <c r="VA7" i="2"/>
  <c r="VM21" i="2" l="1"/>
  <c r="VN21" i="2" s="1"/>
  <c r="VH21" i="2"/>
  <c r="VJ21" i="2"/>
  <c r="UZ24" i="2"/>
  <c r="UV37" i="2"/>
  <c r="UZ39" i="2"/>
  <c r="UX37" i="2"/>
  <c r="UZ3" i="2"/>
  <c r="VC3" i="2" s="1"/>
  <c r="VA24" i="2" l="1"/>
  <c r="VC24" i="2"/>
  <c r="VE24" i="2" s="1"/>
  <c r="VE3" i="2"/>
  <c r="UZ37" i="2"/>
  <c r="VA3" i="2"/>
  <c r="VC37" i="2" l="1"/>
  <c r="VH3" i="2"/>
  <c r="VE37" i="2"/>
  <c r="VM3" i="2"/>
  <c r="VJ3" i="2"/>
  <c r="VH24" i="2"/>
  <c r="VM24" i="2"/>
  <c r="VN24" i="2" s="1"/>
  <c r="VJ24" i="2"/>
  <c r="VA41" i="2"/>
  <c r="VA37" i="2"/>
  <c r="VA43" i="2"/>
  <c r="UZ40" i="2"/>
  <c r="VA39" i="2"/>
  <c r="VJ37" i="2" l="1"/>
  <c r="VK24" i="2" s="1"/>
  <c r="VN3" i="2"/>
  <c r="VM37" i="2"/>
  <c r="VN37" i="2" l="1"/>
  <c r="VK8" i="2"/>
  <c r="VK11" i="2"/>
  <c r="VK6" i="2"/>
  <c r="VK17" i="2"/>
  <c r="VK12" i="2"/>
  <c r="VK15" i="2"/>
  <c r="VK16" i="2"/>
  <c r="VK23" i="2"/>
  <c r="VK27" i="2"/>
  <c r="VK10" i="2"/>
  <c r="VK26" i="2"/>
  <c r="VK14" i="2"/>
  <c r="VK22" i="2"/>
  <c r="VK18" i="2"/>
  <c r="VK29" i="2"/>
  <c r="VK5" i="2"/>
  <c r="VK13" i="2"/>
  <c r="VK9" i="2"/>
  <c r="VK7" i="2"/>
  <c r="VK4" i="2"/>
  <c r="VK28" i="2"/>
  <c r="VK20" i="2"/>
  <c r="VK19" i="2"/>
  <c r="VK25" i="2"/>
  <c r="VK21" i="2"/>
  <c r="VK3" i="2"/>
  <c r="VK37" i="2" l="1"/>
  <c r="VK40" i="2" s="1"/>
  <c r="VO15" i="2" s="1"/>
  <c r="VP15" i="2" s="1"/>
  <c r="VS15" i="2" l="1"/>
  <c r="VU15" i="2" s="1"/>
  <c r="VR15" i="2"/>
  <c r="VQ15" i="2"/>
  <c r="VO4" i="2"/>
  <c r="VP4" i="2" s="1"/>
  <c r="VO20" i="2"/>
  <c r="VP20" i="2" s="1"/>
  <c r="VO9" i="2"/>
  <c r="VP9" i="2" s="1"/>
  <c r="VO6" i="2"/>
  <c r="VP6" i="2" s="1"/>
  <c r="VO21" i="2"/>
  <c r="VO23" i="2"/>
  <c r="VP23" i="2" s="1"/>
  <c r="VO8" i="2"/>
  <c r="VP8" i="2" s="1"/>
  <c r="VO29" i="2"/>
  <c r="VP29" i="2" s="1"/>
  <c r="VO13" i="2"/>
  <c r="VP13" i="2" s="1"/>
  <c r="VO25" i="2"/>
  <c r="VP25" i="2" s="1"/>
  <c r="VO18" i="2"/>
  <c r="VP18" i="2" s="1"/>
  <c r="VO24" i="2"/>
  <c r="VP24" i="2" s="1"/>
  <c r="VO28" i="2"/>
  <c r="VP28" i="2" s="1"/>
  <c r="VO10" i="2"/>
  <c r="VP10" i="2" s="1"/>
  <c r="VO5" i="2"/>
  <c r="VP5" i="2" s="1"/>
  <c r="VO19" i="2"/>
  <c r="VP19" i="2" s="1"/>
  <c r="VO7" i="2"/>
  <c r="VP7" i="2" s="1"/>
  <c r="VO11" i="2"/>
  <c r="VP11" i="2" s="1"/>
  <c r="VO22" i="2"/>
  <c r="VP22" i="2" s="1"/>
  <c r="VO16" i="2"/>
  <c r="VP16" i="2" s="1"/>
  <c r="VO27" i="2"/>
  <c r="VP27" i="2" s="1"/>
  <c r="VO3" i="2"/>
  <c r="VO26" i="2"/>
  <c r="VP26" i="2" s="1"/>
  <c r="VO14" i="2"/>
  <c r="VP14" i="2" s="1"/>
  <c r="VO17" i="2"/>
  <c r="VP17" i="2" s="1"/>
  <c r="VO12" i="2"/>
  <c r="VP12" i="2" s="1"/>
  <c r="VV15" i="2" l="1"/>
  <c r="VX15" i="2"/>
  <c r="VZ15" i="2" s="1"/>
  <c r="VS6" i="2"/>
  <c r="VU6" i="2" s="1"/>
  <c r="VX6" i="2" s="1"/>
  <c r="VZ6" i="2" s="1"/>
  <c r="VQ6" i="2"/>
  <c r="VS12" i="2"/>
  <c r="VU12" i="2" s="1"/>
  <c r="VQ12" i="2"/>
  <c r="VR12" i="2"/>
  <c r="VQ18" i="2"/>
  <c r="VS18" i="2"/>
  <c r="VU18" i="2" s="1"/>
  <c r="VR18" i="2"/>
  <c r="VR9" i="2"/>
  <c r="VQ9" i="2"/>
  <c r="VS9" i="2"/>
  <c r="VU9" i="2" s="1"/>
  <c r="VS7" i="2"/>
  <c r="VU7" i="2" s="1"/>
  <c r="VR7" i="2"/>
  <c r="VQ7" i="2"/>
  <c r="VS25" i="2"/>
  <c r="VU25" i="2" s="1"/>
  <c r="VR25" i="2"/>
  <c r="VQ25" i="2"/>
  <c r="VQ20" i="2"/>
  <c r="VS20" i="2"/>
  <c r="VU20" i="2" s="1"/>
  <c r="VR20" i="2"/>
  <c r="VD43" i="2"/>
  <c r="VP21" i="2"/>
  <c r="VR17" i="2"/>
  <c r="VQ17" i="2"/>
  <c r="VS17" i="2"/>
  <c r="VU17" i="2" s="1"/>
  <c r="VS14" i="2"/>
  <c r="VU14" i="2" s="1"/>
  <c r="VR14" i="2"/>
  <c r="VQ14" i="2"/>
  <c r="VR19" i="2"/>
  <c r="VS19" i="2"/>
  <c r="VU19" i="2" s="1"/>
  <c r="VQ19" i="2"/>
  <c r="VS13" i="2"/>
  <c r="VU13" i="2" s="1"/>
  <c r="VR13" i="2"/>
  <c r="VQ13" i="2"/>
  <c r="VS4" i="2"/>
  <c r="VU4" i="2" s="1"/>
  <c r="VQ4" i="2"/>
  <c r="VR4" i="2"/>
  <c r="VS22" i="2"/>
  <c r="VU22" i="2" s="1"/>
  <c r="VQ22" i="2"/>
  <c r="VR22" i="2"/>
  <c r="VS5" i="2"/>
  <c r="VU5" i="2" s="1"/>
  <c r="VR5" i="2"/>
  <c r="VQ5" i="2"/>
  <c r="VS29" i="2"/>
  <c r="VU29" i="2" s="1"/>
  <c r="VQ29" i="2"/>
  <c r="VR29" i="2"/>
  <c r="VS16" i="2"/>
  <c r="VU16" i="2" s="1"/>
  <c r="VR16" i="2"/>
  <c r="VQ16" i="2"/>
  <c r="VQ26" i="2"/>
  <c r="VS26" i="2"/>
  <c r="VU26" i="2" s="1"/>
  <c r="VX26" i="2" s="1"/>
  <c r="VZ26" i="2" s="1"/>
  <c r="VQ10" i="2"/>
  <c r="VS10" i="2"/>
  <c r="VU10" i="2" s="1"/>
  <c r="VR10" i="2"/>
  <c r="VS8" i="2"/>
  <c r="VU8" i="2" s="1"/>
  <c r="VR8" i="2"/>
  <c r="VQ8" i="2"/>
  <c r="VS24" i="2"/>
  <c r="VQ24" i="2"/>
  <c r="VR24" i="2"/>
  <c r="VR11" i="2"/>
  <c r="VS11" i="2"/>
  <c r="VU11" i="2" s="1"/>
  <c r="VQ11" i="2"/>
  <c r="VO37" i="2"/>
  <c r="VO40" i="2" s="1"/>
  <c r="VP3" i="2"/>
  <c r="VQ27" i="2"/>
  <c r="VS27" i="2"/>
  <c r="VU27" i="2" s="1"/>
  <c r="VR27" i="2"/>
  <c r="VR28" i="2"/>
  <c r="VS28" i="2"/>
  <c r="VU28" i="2" s="1"/>
  <c r="VQ28" i="2"/>
  <c r="VS23" i="2"/>
  <c r="VU23" i="2" s="1"/>
  <c r="VQ23" i="2"/>
  <c r="VR23" i="2"/>
  <c r="VV28" i="2" l="1"/>
  <c r="VX28" i="2"/>
  <c r="VZ28" i="2" s="1"/>
  <c r="VV11" i="2"/>
  <c r="VX11" i="2"/>
  <c r="VZ11" i="2" s="1"/>
  <c r="VV22" i="2"/>
  <c r="VX22" i="2"/>
  <c r="VZ22" i="2" s="1"/>
  <c r="VV19" i="2"/>
  <c r="VX19" i="2"/>
  <c r="VZ19" i="2" s="1"/>
  <c r="VV29" i="2"/>
  <c r="VX29" i="2"/>
  <c r="VZ29" i="2" s="1"/>
  <c r="VV7" i="2"/>
  <c r="VX7" i="2"/>
  <c r="VZ7" i="2" s="1"/>
  <c r="WE26" i="2"/>
  <c r="WC26" i="2"/>
  <c r="WH26" i="2"/>
  <c r="WI26" i="2" s="1"/>
  <c r="VV4" i="2"/>
  <c r="VX4" i="2"/>
  <c r="VZ4" i="2" s="1"/>
  <c r="VV20" i="2"/>
  <c r="VX20" i="2"/>
  <c r="VZ20" i="2" s="1"/>
  <c r="VV9" i="2"/>
  <c r="VX9" i="2"/>
  <c r="VZ9" i="2" s="1"/>
  <c r="VV12" i="2"/>
  <c r="VX12" i="2"/>
  <c r="VZ12" i="2" s="1"/>
  <c r="VV14" i="2"/>
  <c r="VX14" i="2"/>
  <c r="VZ14" i="2" s="1"/>
  <c r="VV10" i="2"/>
  <c r="VX10" i="2"/>
  <c r="VZ10" i="2" s="1"/>
  <c r="VV5" i="2"/>
  <c r="VX5" i="2"/>
  <c r="VZ5" i="2" s="1"/>
  <c r="VV17" i="2"/>
  <c r="VX17" i="2"/>
  <c r="VZ17" i="2" s="1"/>
  <c r="WH6" i="2"/>
  <c r="WI6" i="2" s="1"/>
  <c r="WC6" i="2"/>
  <c r="WE6" i="2"/>
  <c r="VV27" i="2"/>
  <c r="VX27" i="2"/>
  <c r="VZ27" i="2" s="1"/>
  <c r="VV23" i="2"/>
  <c r="VX23" i="2"/>
  <c r="VZ23" i="2" s="1"/>
  <c r="VV13" i="2"/>
  <c r="VX13" i="2"/>
  <c r="VZ13" i="2" s="1"/>
  <c r="WE15" i="2"/>
  <c r="WC15" i="2"/>
  <c r="WH15" i="2"/>
  <c r="WI15" i="2" s="1"/>
  <c r="VV8" i="2"/>
  <c r="VX8" i="2"/>
  <c r="VZ8" i="2" s="1"/>
  <c r="VV16" i="2"/>
  <c r="VX16" i="2"/>
  <c r="VZ16" i="2" s="1"/>
  <c r="VV25" i="2"/>
  <c r="VX25" i="2"/>
  <c r="VZ25" i="2" s="1"/>
  <c r="VV18" i="2"/>
  <c r="VX18" i="2"/>
  <c r="VZ18" i="2" s="1"/>
  <c r="VS21" i="2"/>
  <c r="VU21" i="2" s="1"/>
  <c r="VQ21" i="2"/>
  <c r="VT24" i="2"/>
  <c r="VT37" i="2" s="1"/>
  <c r="VU42" i="2" s="1"/>
  <c r="VP37" i="2"/>
  <c r="VS3" i="2"/>
  <c r="VQ3" i="2"/>
  <c r="VR3" i="2"/>
  <c r="WC8" i="2" l="1"/>
  <c r="WE8" i="2"/>
  <c r="WH8" i="2"/>
  <c r="WI8" i="2" s="1"/>
  <c r="WE12" i="2"/>
  <c r="WH12" i="2"/>
  <c r="WI12" i="2" s="1"/>
  <c r="WC12" i="2"/>
  <c r="WC19" i="2"/>
  <c r="WH19" i="2"/>
  <c r="WI19" i="2" s="1"/>
  <c r="WE19" i="2"/>
  <c r="VU39" i="2"/>
  <c r="VX21" i="2"/>
  <c r="VZ21" i="2" s="1"/>
  <c r="WC27" i="2"/>
  <c r="WE27" i="2"/>
  <c r="WH27" i="2"/>
  <c r="WI27" i="2" s="1"/>
  <c r="WC5" i="2"/>
  <c r="WH5" i="2"/>
  <c r="WI5" i="2" s="1"/>
  <c r="WE5" i="2"/>
  <c r="WE9" i="2"/>
  <c r="WC9" i="2"/>
  <c r="WH9" i="2"/>
  <c r="WI9" i="2" s="1"/>
  <c r="WC22" i="2"/>
  <c r="WE22" i="2"/>
  <c r="WH22" i="2"/>
  <c r="WI22" i="2" s="1"/>
  <c r="WE17" i="2"/>
  <c r="WC17" i="2"/>
  <c r="WH17" i="2"/>
  <c r="WI17" i="2" s="1"/>
  <c r="WC25" i="2"/>
  <c r="WE25" i="2"/>
  <c r="WH25" i="2"/>
  <c r="WI25" i="2" s="1"/>
  <c r="WC10" i="2"/>
  <c r="WE10" i="2"/>
  <c r="WH10" i="2"/>
  <c r="WI10" i="2" s="1"/>
  <c r="WH20" i="2"/>
  <c r="WI20" i="2" s="1"/>
  <c r="WE20" i="2"/>
  <c r="WC20" i="2"/>
  <c r="WE7" i="2"/>
  <c r="WC7" i="2"/>
  <c r="WH7" i="2"/>
  <c r="WI7" i="2" s="1"/>
  <c r="WC11" i="2"/>
  <c r="WH11" i="2"/>
  <c r="WI11" i="2" s="1"/>
  <c r="WE11" i="2"/>
  <c r="VQ37" i="2"/>
  <c r="WC23" i="2"/>
  <c r="WE23" i="2"/>
  <c r="WH23" i="2"/>
  <c r="WI23" i="2" s="1"/>
  <c r="WC18" i="2"/>
  <c r="WE18" i="2"/>
  <c r="WH18" i="2"/>
  <c r="WI18" i="2" s="1"/>
  <c r="WC16" i="2"/>
  <c r="WE16" i="2"/>
  <c r="WH16" i="2"/>
  <c r="WI16" i="2" s="1"/>
  <c r="WC13" i="2"/>
  <c r="WE13" i="2"/>
  <c r="WH13" i="2"/>
  <c r="WI13" i="2" s="1"/>
  <c r="WH14" i="2"/>
  <c r="WI14" i="2" s="1"/>
  <c r="WC14" i="2"/>
  <c r="WE14" i="2"/>
  <c r="WH4" i="2"/>
  <c r="WI4" i="2" s="1"/>
  <c r="WE4" i="2"/>
  <c r="WC4" i="2"/>
  <c r="WH29" i="2"/>
  <c r="WI29" i="2" s="1"/>
  <c r="WE29" i="2"/>
  <c r="WC29" i="2"/>
  <c r="WC28" i="2"/>
  <c r="WE28" i="2"/>
  <c r="WH28" i="2"/>
  <c r="WI28" i="2" s="1"/>
  <c r="VS37" i="2"/>
  <c r="VU3" i="2"/>
  <c r="VX3" i="2" s="1"/>
  <c r="VU24" i="2"/>
  <c r="VV24" i="2" l="1"/>
  <c r="VX24" i="2"/>
  <c r="VZ24" i="2" s="1"/>
  <c r="VZ3" i="2"/>
  <c r="WC21" i="2"/>
  <c r="WE21" i="2"/>
  <c r="WH21" i="2"/>
  <c r="WI21" i="2" s="1"/>
  <c r="VV3" i="2"/>
  <c r="VU37" i="2"/>
  <c r="WC24" i="2" l="1"/>
  <c r="WH24" i="2"/>
  <c r="WI24" i="2" s="1"/>
  <c r="WE24" i="2"/>
  <c r="VX37" i="2"/>
  <c r="WC3" i="2"/>
  <c r="VZ37" i="2"/>
  <c r="WE3" i="2"/>
  <c r="WH3" i="2"/>
  <c r="VV39" i="2"/>
  <c r="VU40" i="2"/>
  <c r="VV43" i="2"/>
  <c r="VV41" i="2"/>
  <c r="VV37" i="2"/>
  <c r="WI3" i="2" l="1"/>
  <c r="WH37" i="2"/>
  <c r="WE37" i="2"/>
  <c r="WF3" i="2" s="1"/>
  <c r="WF24" i="2" l="1"/>
  <c r="WF6" i="2"/>
  <c r="WF26" i="2"/>
  <c r="WF15" i="2"/>
  <c r="WF14" i="2"/>
  <c r="WF25" i="2"/>
  <c r="WF7" i="2"/>
  <c r="WF4" i="2"/>
  <c r="WF9" i="2"/>
  <c r="WF11" i="2"/>
  <c r="WF29" i="2"/>
  <c r="WF13" i="2"/>
  <c r="WF16" i="2"/>
  <c r="WF27" i="2"/>
  <c r="WF20" i="2"/>
  <c r="WF17" i="2"/>
  <c r="WF18" i="2"/>
  <c r="WF22" i="2"/>
  <c r="WF19" i="2"/>
  <c r="WF5" i="2"/>
  <c r="WF8" i="2"/>
  <c r="WF28" i="2"/>
  <c r="WF10" i="2"/>
  <c r="WF23" i="2"/>
  <c r="WF12" i="2"/>
  <c r="WF21" i="2"/>
  <c r="WI37" i="2"/>
  <c r="WF37" i="2" l="1"/>
  <c r="WF40" i="2" s="1"/>
  <c r="WJ26" i="2" l="1"/>
  <c r="WK26" i="2" s="1"/>
  <c r="WJ14" i="2"/>
  <c r="WK14" i="2" s="1"/>
  <c r="WJ25" i="2"/>
  <c r="WK25" i="2" s="1"/>
  <c r="WJ22" i="2"/>
  <c r="WK22" i="2" s="1"/>
  <c r="WJ28" i="2"/>
  <c r="WK28" i="2" s="1"/>
  <c r="WJ16" i="2"/>
  <c r="WK16" i="2" s="1"/>
  <c r="WJ7" i="2"/>
  <c r="WK7" i="2" s="1"/>
  <c r="WJ5" i="2"/>
  <c r="WK5" i="2" s="1"/>
  <c r="WJ20" i="2"/>
  <c r="WK20" i="2" s="1"/>
  <c r="WJ17" i="2"/>
  <c r="WK17" i="2" s="1"/>
  <c r="WJ12" i="2"/>
  <c r="WK12" i="2" s="1"/>
  <c r="WJ21" i="2"/>
  <c r="WJ18" i="2"/>
  <c r="WK18" i="2" s="1"/>
  <c r="WJ11" i="2"/>
  <c r="WK11" i="2" s="1"/>
  <c r="WJ24" i="2"/>
  <c r="WK24" i="2" s="1"/>
  <c r="WJ3" i="2"/>
  <c r="WJ29" i="2"/>
  <c r="WK29" i="2" s="1"/>
  <c r="WJ19" i="2"/>
  <c r="WK19" i="2" s="1"/>
  <c r="WJ9" i="2"/>
  <c r="WK9" i="2" s="1"/>
  <c r="WJ23" i="2"/>
  <c r="WK23" i="2" s="1"/>
  <c r="WJ6" i="2"/>
  <c r="WK6" i="2" s="1"/>
  <c r="WJ8" i="2"/>
  <c r="WK8" i="2" s="1"/>
  <c r="WJ4" i="2"/>
  <c r="WK4" i="2" s="1"/>
  <c r="WJ27" i="2"/>
  <c r="WK27" i="2" s="1"/>
  <c r="WJ10" i="2"/>
  <c r="WK10" i="2" s="1"/>
  <c r="WJ13" i="2"/>
  <c r="WK13" i="2" s="1"/>
  <c r="WJ15" i="2"/>
  <c r="WK15" i="2" s="1"/>
  <c r="WN24" i="2" l="1"/>
  <c r="WL24" i="2"/>
  <c r="WM24" i="2"/>
  <c r="WN7" i="2"/>
  <c r="WP7" i="2" s="1"/>
  <c r="WM7" i="2"/>
  <c r="WL7" i="2"/>
  <c r="WN8" i="2"/>
  <c r="WP8" i="2" s="1"/>
  <c r="WM8" i="2"/>
  <c r="WL8" i="2"/>
  <c r="WN6" i="2"/>
  <c r="WP6" i="2" s="1"/>
  <c r="WL6" i="2"/>
  <c r="WL23" i="2"/>
  <c r="WN23" i="2"/>
  <c r="WP23" i="2" s="1"/>
  <c r="WM23" i="2"/>
  <c r="VY43" i="2"/>
  <c r="WK21" i="2"/>
  <c r="WN22" i="2"/>
  <c r="WP22" i="2" s="1"/>
  <c r="WL22" i="2"/>
  <c r="WM22" i="2"/>
  <c r="WM4" i="2"/>
  <c r="WN4" i="2"/>
  <c r="WP4" i="2" s="1"/>
  <c r="WL4" i="2"/>
  <c r="WN16" i="2"/>
  <c r="WP16" i="2" s="1"/>
  <c r="WM16" i="2"/>
  <c r="WL16" i="2"/>
  <c r="WM9" i="2"/>
  <c r="WL9" i="2"/>
  <c r="WN9" i="2"/>
  <c r="WP9" i="2" s="1"/>
  <c r="WM12" i="2"/>
  <c r="WN12" i="2"/>
  <c r="WP12" i="2" s="1"/>
  <c r="WL12" i="2"/>
  <c r="WN25" i="2"/>
  <c r="WP25" i="2" s="1"/>
  <c r="WM25" i="2"/>
  <c r="WL25" i="2"/>
  <c r="WL18" i="2"/>
  <c r="WM18" i="2"/>
  <c r="WN18" i="2"/>
  <c r="WP18" i="2" s="1"/>
  <c r="WL13" i="2"/>
  <c r="WN13" i="2"/>
  <c r="WP13" i="2" s="1"/>
  <c r="WM13" i="2"/>
  <c r="WM17" i="2"/>
  <c r="WL17" i="2"/>
  <c r="WN17" i="2"/>
  <c r="WP17" i="2" s="1"/>
  <c r="WN14" i="2"/>
  <c r="WP14" i="2" s="1"/>
  <c r="WM14" i="2"/>
  <c r="WL14" i="2"/>
  <c r="WL28" i="2"/>
  <c r="WN28" i="2"/>
  <c r="WP28" i="2" s="1"/>
  <c r="WM28" i="2"/>
  <c r="WN19" i="2"/>
  <c r="WP19" i="2" s="1"/>
  <c r="WL19" i="2"/>
  <c r="WM19" i="2"/>
  <c r="WL10" i="2"/>
  <c r="WM10" i="2"/>
  <c r="WN10" i="2"/>
  <c r="WP10" i="2" s="1"/>
  <c r="WN29" i="2"/>
  <c r="WP29" i="2" s="1"/>
  <c r="WM29" i="2"/>
  <c r="WL29" i="2"/>
  <c r="WM20" i="2"/>
  <c r="WN20" i="2"/>
  <c r="WP20" i="2" s="1"/>
  <c r="WL20" i="2"/>
  <c r="WL26" i="2"/>
  <c r="WN26" i="2"/>
  <c r="WP26" i="2" s="1"/>
  <c r="WN11" i="2"/>
  <c r="WP11" i="2" s="1"/>
  <c r="WL11" i="2"/>
  <c r="WM11" i="2"/>
  <c r="WN15" i="2"/>
  <c r="WP15" i="2" s="1"/>
  <c r="WM15" i="2"/>
  <c r="WL15" i="2"/>
  <c r="WL27" i="2"/>
  <c r="WM27" i="2"/>
  <c r="WN27" i="2"/>
  <c r="WP27" i="2" s="1"/>
  <c r="WJ37" i="2"/>
  <c r="WJ40" i="2" s="1"/>
  <c r="WK3" i="2"/>
  <c r="WL5" i="2"/>
  <c r="WN5" i="2"/>
  <c r="WP5" i="2" s="1"/>
  <c r="WM5" i="2"/>
  <c r="XO27" i="2" l="1"/>
  <c r="WS27" i="2"/>
  <c r="WU27" i="2" s="1"/>
  <c r="XO11" i="2"/>
  <c r="WS11" i="2"/>
  <c r="WU11" i="2" s="1"/>
  <c r="XO29" i="2"/>
  <c r="WS29" i="2"/>
  <c r="WU29" i="2" s="1"/>
  <c r="XO28" i="2"/>
  <c r="XP28" i="2" s="1"/>
  <c r="XQ28" i="2" s="1"/>
  <c r="WS28" i="2"/>
  <c r="WU28" i="2" s="1"/>
  <c r="XO25" i="2"/>
  <c r="WS25" i="2"/>
  <c r="WU25" i="2" s="1"/>
  <c r="XO13" i="2"/>
  <c r="WS13" i="2"/>
  <c r="WU13" i="2" s="1"/>
  <c r="XO16" i="2"/>
  <c r="XP16" i="2" s="1"/>
  <c r="XQ16" i="2" s="1"/>
  <c r="WS16" i="2"/>
  <c r="WU16" i="2" s="1"/>
  <c r="XO8" i="2"/>
  <c r="XP8" i="2" s="1"/>
  <c r="XQ8" i="2" s="1"/>
  <c r="WS8" i="2"/>
  <c r="WU8" i="2" s="1"/>
  <c r="XO26" i="2"/>
  <c r="WS26" i="2"/>
  <c r="WU26" i="2" s="1"/>
  <c r="XO12" i="2"/>
  <c r="XP12" i="2" s="1"/>
  <c r="XQ12" i="2" s="1"/>
  <c r="WS12" i="2"/>
  <c r="WU12" i="2" s="1"/>
  <c r="XO18" i="2"/>
  <c r="XP18" i="2" s="1"/>
  <c r="XQ18" i="2" s="1"/>
  <c r="WS18" i="2"/>
  <c r="WU18" i="2" s="1"/>
  <c r="XO4" i="2"/>
  <c r="XP4" i="2" s="1"/>
  <c r="XQ4" i="2" s="1"/>
  <c r="WS4" i="2"/>
  <c r="WU4" i="2" s="1"/>
  <c r="XO23" i="2"/>
  <c r="WS23" i="2"/>
  <c r="WU23" i="2" s="1"/>
  <c r="XO5" i="2"/>
  <c r="WS5" i="2"/>
  <c r="WU5" i="2" s="1"/>
  <c r="XO20" i="2"/>
  <c r="XP20" i="2" s="1"/>
  <c r="XQ20" i="2" s="1"/>
  <c r="WS20" i="2"/>
  <c r="WU20" i="2" s="1"/>
  <c r="XO14" i="2"/>
  <c r="XP14" i="2" s="1"/>
  <c r="XQ14" i="2" s="1"/>
  <c r="WS14" i="2"/>
  <c r="WU14" i="2" s="1"/>
  <c r="XO9" i="2"/>
  <c r="WS9" i="2"/>
  <c r="WU9" i="2" s="1"/>
  <c r="XO7" i="2"/>
  <c r="XP7" i="2" s="1"/>
  <c r="XQ7" i="2" s="1"/>
  <c r="WS7" i="2"/>
  <c r="WU7" i="2" s="1"/>
  <c r="XO15" i="2"/>
  <c r="XP15" i="2" s="1"/>
  <c r="XQ15" i="2" s="1"/>
  <c r="WS15" i="2"/>
  <c r="WU15" i="2" s="1"/>
  <c r="XO17" i="2"/>
  <c r="XP17" i="2" s="1"/>
  <c r="XQ17" i="2" s="1"/>
  <c r="WS17" i="2"/>
  <c r="WU17" i="2" s="1"/>
  <c r="XO10" i="2"/>
  <c r="WS10" i="2"/>
  <c r="WU10" i="2" s="1"/>
  <c r="XO19" i="2"/>
  <c r="XP19" i="2" s="1"/>
  <c r="XQ19" i="2" s="1"/>
  <c r="WS19" i="2"/>
  <c r="WU19" i="2" s="1"/>
  <c r="XO6" i="2"/>
  <c r="XP6" i="2" s="1"/>
  <c r="WS6" i="2"/>
  <c r="WU6" i="2" s="1"/>
  <c r="XO22" i="2"/>
  <c r="XP22" i="2" s="1"/>
  <c r="XQ22" i="2" s="1"/>
  <c r="WS22" i="2"/>
  <c r="WU22" i="2" s="1"/>
  <c r="XP26" i="2"/>
  <c r="WQ27" i="2"/>
  <c r="XP27" i="2"/>
  <c r="XQ27" i="2" s="1"/>
  <c r="WQ11" i="2"/>
  <c r="XP11" i="2"/>
  <c r="XQ11" i="2" s="1"/>
  <c r="WQ29" i="2"/>
  <c r="XP29" i="2"/>
  <c r="XQ29" i="2" s="1"/>
  <c r="WQ28" i="2"/>
  <c r="WQ25" i="2"/>
  <c r="XP25" i="2"/>
  <c r="XQ25" i="2" s="1"/>
  <c r="WQ16" i="2"/>
  <c r="WQ8" i="2"/>
  <c r="WQ10" i="2"/>
  <c r="XP10" i="2"/>
  <c r="XQ10" i="2" s="1"/>
  <c r="WQ18" i="2"/>
  <c r="WQ4" i="2"/>
  <c r="WQ23" i="2"/>
  <c r="XP23" i="2"/>
  <c r="XQ23" i="2" s="1"/>
  <c r="WQ5" i="2"/>
  <c r="XP5" i="2"/>
  <c r="XQ5" i="2" s="1"/>
  <c r="WQ20" i="2"/>
  <c r="WQ14" i="2"/>
  <c r="WQ9" i="2"/>
  <c r="XP9" i="2"/>
  <c r="XQ9" i="2" s="1"/>
  <c r="WQ7" i="2"/>
  <c r="WQ15" i="2"/>
  <c r="WQ17" i="2"/>
  <c r="WQ13" i="2"/>
  <c r="XP13" i="2"/>
  <c r="XQ13" i="2" s="1"/>
  <c r="WQ12" i="2"/>
  <c r="WQ19" i="2"/>
  <c r="WQ22" i="2"/>
  <c r="WN21" i="2"/>
  <c r="WP21" i="2" s="1"/>
  <c r="WL21" i="2"/>
  <c r="WK37" i="2"/>
  <c r="WN3" i="2"/>
  <c r="WM3" i="2"/>
  <c r="WL3" i="2"/>
  <c r="WO24" i="2"/>
  <c r="WO37" i="2" s="1"/>
  <c r="WP42" i="2" s="1"/>
  <c r="WX22" i="2" l="1"/>
  <c r="WZ22" i="2"/>
  <c r="XC22" i="2"/>
  <c r="XD22" i="2" s="1"/>
  <c r="WZ17" i="2"/>
  <c r="WX17" i="2"/>
  <c r="XC17" i="2"/>
  <c r="XD17" i="2" s="1"/>
  <c r="XC14" i="2"/>
  <c r="XD14" i="2" s="1"/>
  <c r="WX14" i="2"/>
  <c r="WZ14" i="2"/>
  <c r="WX4" i="2"/>
  <c r="WZ4" i="2"/>
  <c r="XC4" i="2"/>
  <c r="XD4" i="2" s="1"/>
  <c r="WX8" i="2"/>
  <c r="XC8" i="2"/>
  <c r="XD8" i="2" s="1"/>
  <c r="WZ8" i="2"/>
  <c r="WX28" i="2"/>
  <c r="WZ28" i="2"/>
  <c r="XC28" i="2"/>
  <c r="XD28" i="2" s="1"/>
  <c r="XC6" i="2"/>
  <c r="XD6" i="2" s="1"/>
  <c r="WX6" i="2"/>
  <c r="WZ6" i="2"/>
  <c r="WX15" i="2"/>
  <c r="XC15" i="2"/>
  <c r="XD15" i="2" s="1"/>
  <c r="WZ15" i="2"/>
  <c r="XC20" i="2"/>
  <c r="XD20" i="2" s="1"/>
  <c r="WX20" i="2"/>
  <c r="WZ20" i="2"/>
  <c r="WX18" i="2"/>
  <c r="XC18" i="2"/>
  <c r="XD18" i="2" s="1"/>
  <c r="WZ18" i="2"/>
  <c r="WX16" i="2"/>
  <c r="WZ16" i="2"/>
  <c r="XC16" i="2"/>
  <c r="XD16" i="2" s="1"/>
  <c r="WX29" i="2"/>
  <c r="XC29" i="2"/>
  <c r="XD29" i="2" s="1"/>
  <c r="WZ29" i="2"/>
  <c r="XO21" i="2"/>
  <c r="XP21" i="2" s="1"/>
  <c r="WS21" i="2"/>
  <c r="WU21" i="2" s="1"/>
  <c r="WX19" i="2"/>
  <c r="XC19" i="2"/>
  <c r="XD19" i="2" s="1"/>
  <c r="WZ19" i="2"/>
  <c r="WX7" i="2"/>
  <c r="XC7" i="2"/>
  <c r="XD7" i="2" s="1"/>
  <c r="WZ7" i="2"/>
  <c r="WZ5" i="2"/>
  <c r="WX5" i="2"/>
  <c r="XC5" i="2"/>
  <c r="XD5" i="2" s="1"/>
  <c r="XC12" i="2"/>
  <c r="XD12" i="2" s="1"/>
  <c r="WX12" i="2"/>
  <c r="WZ12" i="2"/>
  <c r="WZ13" i="2"/>
  <c r="WX13" i="2"/>
  <c r="XC13" i="2"/>
  <c r="XD13" i="2" s="1"/>
  <c r="WX11" i="2"/>
  <c r="WZ11" i="2"/>
  <c r="XC11" i="2"/>
  <c r="XD11" i="2" s="1"/>
  <c r="XC10" i="2"/>
  <c r="XD10" i="2" s="1"/>
  <c r="WX10" i="2"/>
  <c r="WZ10" i="2"/>
  <c r="WZ9" i="2"/>
  <c r="WX9" i="2"/>
  <c r="XC9" i="2"/>
  <c r="XD9" i="2" s="1"/>
  <c r="WX23" i="2"/>
  <c r="XC23" i="2"/>
  <c r="XD23" i="2" s="1"/>
  <c r="WZ23" i="2"/>
  <c r="WZ26" i="2"/>
  <c r="WX26" i="2"/>
  <c r="XC26" i="2"/>
  <c r="XD26" i="2" s="1"/>
  <c r="WX25" i="2"/>
  <c r="XC25" i="2"/>
  <c r="XD25" i="2" s="1"/>
  <c r="WZ25" i="2"/>
  <c r="WX27" i="2"/>
  <c r="XC27" i="2"/>
  <c r="XD27" i="2" s="1"/>
  <c r="WZ27" i="2"/>
  <c r="WP39" i="2"/>
  <c r="WL37" i="2"/>
  <c r="WN37" i="2"/>
  <c r="WP3" i="2"/>
  <c r="WP24" i="2"/>
  <c r="XO24" i="2" l="1"/>
  <c r="XP24" i="2" s="1"/>
  <c r="XQ24" i="2" s="1"/>
  <c r="WS24" i="2"/>
  <c r="WU24" i="2" s="1"/>
  <c r="XO3" i="2"/>
  <c r="WS3" i="2"/>
  <c r="WZ21" i="2"/>
  <c r="WX21" i="2"/>
  <c r="XC21" i="2"/>
  <c r="XD21" i="2" s="1"/>
  <c r="WQ24" i="2"/>
  <c r="WQ3" i="2"/>
  <c r="WP37" i="2"/>
  <c r="XO30" i="2" l="1"/>
  <c r="WU3" i="2"/>
  <c r="WS37" i="2"/>
  <c r="XP3" i="2"/>
  <c r="XQ3" i="2" s="1"/>
  <c r="WX24" i="2"/>
  <c r="XC24" i="2"/>
  <c r="XD24" i="2" s="1"/>
  <c r="WZ24" i="2"/>
  <c r="WQ43" i="2"/>
  <c r="WQ41" i="2"/>
  <c r="WQ37" i="2"/>
  <c r="WQ39" i="2"/>
  <c r="WP40" i="2"/>
  <c r="WX3" i="2" l="1"/>
  <c r="WU37" i="2"/>
  <c r="WZ3" i="2"/>
  <c r="XC3" i="2"/>
  <c r="XD3" i="2" l="1"/>
  <c r="XC37" i="2"/>
  <c r="WZ37" i="2"/>
  <c r="XA29" i="2" l="1"/>
  <c r="XA5" i="2"/>
  <c r="XA11" i="2"/>
  <c r="XA10" i="2"/>
  <c r="XA18" i="2"/>
  <c r="XA20" i="2"/>
  <c r="XA16" i="2"/>
  <c r="XA27" i="2"/>
  <c r="XA7" i="2"/>
  <c r="XA9" i="2"/>
  <c r="XA25" i="2"/>
  <c r="XA13" i="2"/>
  <c r="XA15" i="2"/>
  <c r="XA28" i="2"/>
  <c r="XA19" i="2"/>
  <c r="XA6" i="2"/>
  <c r="XA12" i="2"/>
  <c r="XA4" i="2"/>
  <c r="XA22" i="2"/>
  <c r="XA8" i="2"/>
  <c r="XA17" i="2"/>
  <c r="XA14" i="2"/>
  <c r="XA23" i="2"/>
  <c r="XA26" i="2"/>
  <c r="XA21" i="2"/>
  <c r="XA24" i="2"/>
  <c r="XA3" i="2"/>
  <c r="XD37" i="2"/>
  <c r="XA37" i="2" l="1"/>
  <c r="XA40" i="2" s="1"/>
  <c r="XE18" i="2" s="1"/>
  <c r="XF18" i="2" s="1"/>
  <c r="XE29" i="2" l="1"/>
  <c r="XF29" i="2" s="1"/>
  <c r="XH29" i="2" s="1"/>
  <c r="XE21" i="2"/>
  <c r="XF21" i="2" s="1"/>
  <c r="XE22" i="2"/>
  <c r="XF22" i="2" s="1"/>
  <c r="XI22" i="2" s="1"/>
  <c r="XE19" i="2"/>
  <c r="XF19" i="2" s="1"/>
  <c r="XI19" i="2" s="1"/>
  <c r="XE11" i="2"/>
  <c r="XF11" i="2" s="1"/>
  <c r="XH11" i="2" s="1"/>
  <c r="XI21" i="2"/>
  <c r="XG21" i="2"/>
  <c r="XG18" i="2"/>
  <c r="XH18" i="2"/>
  <c r="XI18" i="2"/>
  <c r="XE5" i="2"/>
  <c r="XF5" i="2" s="1"/>
  <c r="XE15" i="2"/>
  <c r="XF15" i="2" s="1"/>
  <c r="XE23" i="2"/>
  <c r="XF23" i="2" s="1"/>
  <c r="XE14" i="2"/>
  <c r="XF14" i="2" s="1"/>
  <c r="XE28" i="2"/>
  <c r="XF28" i="2" s="1"/>
  <c r="XE12" i="2"/>
  <c r="XF12" i="2" s="1"/>
  <c r="XE20" i="2"/>
  <c r="XF20" i="2" s="1"/>
  <c r="XE7" i="2"/>
  <c r="XF7" i="2" s="1"/>
  <c r="XE4" i="2"/>
  <c r="XF4" i="2" s="1"/>
  <c r="XE9" i="2"/>
  <c r="XF9" i="2" s="1"/>
  <c r="XE3" i="2"/>
  <c r="XE26" i="2"/>
  <c r="XF26" i="2" s="1"/>
  <c r="XE27" i="2"/>
  <c r="XF27" i="2" s="1"/>
  <c r="XE16" i="2"/>
  <c r="XF16" i="2" s="1"/>
  <c r="XE17" i="2"/>
  <c r="XF17" i="2" s="1"/>
  <c r="XE10" i="2"/>
  <c r="XF10" i="2" s="1"/>
  <c r="XE25" i="2"/>
  <c r="XF25" i="2" s="1"/>
  <c r="XE24" i="2"/>
  <c r="XF24" i="2" s="1"/>
  <c r="XE6" i="2"/>
  <c r="XF6" i="2" s="1"/>
  <c r="XE8" i="2"/>
  <c r="XF8" i="2" s="1"/>
  <c r="XE13" i="2"/>
  <c r="XF13" i="2" s="1"/>
  <c r="XI11" i="2" l="1"/>
  <c r="XH22" i="2"/>
  <c r="XG22" i="2"/>
  <c r="XI29" i="2"/>
  <c r="XG29" i="2"/>
  <c r="XJ21" i="2"/>
  <c r="XK21" i="2" s="1"/>
  <c r="XJ29" i="2"/>
  <c r="XK29" i="2" s="1"/>
  <c r="XL29" i="2" s="1"/>
  <c r="XJ22" i="2"/>
  <c r="XK22" i="2" s="1"/>
  <c r="XL22" i="2" s="1"/>
  <c r="XJ19" i="2"/>
  <c r="XK19" i="2" s="1"/>
  <c r="XL19" i="2" s="1"/>
  <c r="XJ18" i="2"/>
  <c r="XK18" i="2" s="1"/>
  <c r="XL18" i="2" s="1"/>
  <c r="XJ11" i="2"/>
  <c r="XK11" i="2" s="1"/>
  <c r="XL11" i="2" s="1"/>
  <c r="XH19" i="2"/>
  <c r="XG11" i="2"/>
  <c r="XG19" i="2"/>
  <c r="XG27" i="2"/>
  <c r="XI27" i="2"/>
  <c r="XH27" i="2"/>
  <c r="XH13" i="2"/>
  <c r="XI13" i="2"/>
  <c r="XG13" i="2"/>
  <c r="XE37" i="2"/>
  <c r="XE40" i="2" s="1"/>
  <c r="XF3" i="2"/>
  <c r="XG14" i="2"/>
  <c r="XI14" i="2"/>
  <c r="XH14" i="2"/>
  <c r="XG6" i="2"/>
  <c r="XI6" i="2"/>
  <c r="WT43" i="2"/>
  <c r="XI23" i="2"/>
  <c r="XG23" i="2"/>
  <c r="XH23" i="2"/>
  <c r="XI8" i="2"/>
  <c r="XH8" i="2"/>
  <c r="XG8" i="2"/>
  <c r="XH9" i="2"/>
  <c r="XG9" i="2"/>
  <c r="XI9" i="2"/>
  <c r="XI15" i="2"/>
  <c r="XH15" i="2"/>
  <c r="XG15" i="2"/>
  <c r="XI12" i="2"/>
  <c r="XH12" i="2"/>
  <c r="XG12" i="2"/>
  <c r="XG10" i="2"/>
  <c r="XI10" i="2"/>
  <c r="XH10" i="2"/>
  <c r="XI4" i="2"/>
  <c r="XH4" i="2"/>
  <c r="XG4" i="2"/>
  <c r="XH5" i="2"/>
  <c r="XI5" i="2"/>
  <c r="XJ5" i="2" s="1"/>
  <c r="XG5" i="2"/>
  <c r="XI28" i="2"/>
  <c r="XH28" i="2"/>
  <c r="XG28" i="2"/>
  <c r="XI25" i="2"/>
  <c r="XH25" i="2"/>
  <c r="XG25" i="2"/>
  <c r="XH17" i="2"/>
  <c r="XG17" i="2"/>
  <c r="XI17" i="2"/>
  <c r="XI7" i="2"/>
  <c r="XH7" i="2"/>
  <c r="XG7" i="2"/>
  <c r="XG26" i="2"/>
  <c r="XI26" i="2"/>
  <c r="XI24" i="2"/>
  <c r="XG24" i="2"/>
  <c r="XH24" i="2"/>
  <c r="XI16" i="2"/>
  <c r="XH16" i="2"/>
  <c r="XG16" i="2"/>
  <c r="XI20" i="2"/>
  <c r="XH20" i="2"/>
  <c r="XG20" i="2"/>
  <c r="XJ26" i="2" l="1"/>
  <c r="XK26" i="2" s="1"/>
  <c r="XK13" i="2"/>
  <c r="XL13" i="2" s="1"/>
  <c r="XJ6" i="2"/>
  <c r="XK6" i="2" s="1"/>
  <c r="XJ4" i="2"/>
  <c r="XK4" i="2" s="1"/>
  <c r="XL4" i="2" s="1"/>
  <c r="XJ14" i="2"/>
  <c r="XK14" i="2" s="1"/>
  <c r="XL14" i="2" s="1"/>
  <c r="XJ15" i="2"/>
  <c r="XK15" i="2" s="1"/>
  <c r="XL15" i="2" s="1"/>
  <c r="XJ28" i="2"/>
  <c r="XK28" i="2" s="1"/>
  <c r="XL28" i="2" s="1"/>
  <c r="XJ27" i="2"/>
  <c r="XK27" i="2" s="1"/>
  <c r="XL27" i="2" s="1"/>
  <c r="XJ25" i="2"/>
  <c r="XK25" i="2" s="1"/>
  <c r="XL25" i="2" s="1"/>
  <c r="XJ23" i="2"/>
  <c r="XK23" i="2" s="1"/>
  <c r="XJ20" i="2"/>
  <c r="XK20" i="2" s="1"/>
  <c r="XL20" i="2" s="1"/>
  <c r="XJ17" i="2"/>
  <c r="XK17" i="2" s="1"/>
  <c r="XL17" i="2" s="1"/>
  <c r="XJ16" i="2"/>
  <c r="XK16" i="2" s="1"/>
  <c r="XL16" i="2" s="1"/>
  <c r="XJ12" i="2"/>
  <c r="XK12" i="2" s="1"/>
  <c r="XL12" i="2" s="1"/>
  <c r="XJ10" i="2"/>
  <c r="XK10" i="2" s="1"/>
  <c r="XL10" i="2" s="1"/>
  <c r="XJ9" i="2"/>
  <c r="XK9" i="2" s="1"/>
  <c r="XL9" i="2" s="1"/>
  <c r="XJ8" i="2"/>
  <c r="XK8" i="2" s="1"/>
  <c r="XL8" i="2" s="1"/>
  <c r="XJ7" i="2"/>
  <c r="XK7" i="2" s="1"/>
  <c r="XL7" i="2" s="1"/>
  <c r="XF37" i="2"/>
  <c r="XI3" i="2"/>
  <c r="XJ3" i="2" s="1"/>
  <c r="XH3" i="2"/>
  <c r="XG3" i="2"/>
  <c r="XG37" i="2" s="1"/>
  <c r="XL23" i="2" l="1"/>
  <c r="XK39" i="2"/>
  <c r="XI37" i="2"/>
  <c r="XK3" i="2"/>
  <c r="XL3" i="2" l="1"/>
  <c r="XJ24" i="2"/>
  <c r="XK24" i="2" s="1"/>
  <c r="XK5" i="2"/>
  <c r="XL5" i="2" s="1"/>
  <c r="XJ37" i="2" l="1"/>
  <c r="XK42" i="2" s="1"/>
  <c r="XL24" i="2"/>
  <c r="XL41" i="2" s="1"/>
  <c r="XK37" i="2"/>
  <c r="XL43" i="2" l="1"/>
  <c r="XK40" i="2"/>
  <c r="XL39" i="2"/>
  <c r="XL37" i="2"/>
</calcChain>
</file>

<file path=xl/sharedStrings.xml><?xml version="1.0" encoding="utf-8"?>
<sst xmlns="http://schemas.openxmlformats.org/spreadsheetml/2006/main" count="11056" uniqueCount="1121">
  <si>
    <t>Status</t>
  </si>
  <si>
    <t>Idk</t>
  </si>
  <si>
    <t>Date</t>
  </si>
  <si>
    <t>Custom Description</t>
  </si>
  <si>
    <t>Auto Description</t>
  </si>
  <si>
    <t>Amount</t>
  </si>
  <si>
    <t>posted</t>
  </si>
  <si>
    <t>ATM/Cash Withdrawals</t>
  </si>
  <si>
    <t>Automotive Expenses</t>
  </si>
  <si>
    <t>Entertainment</t>
  </si>
  <si>
    <t>Gasoline/Fuel</t>
  </si>
  <si>
    <t>General Merchandise</t>
  </si>
  <si>
    <t>Groceries</t>
  </si>
  <si>
    <t>Healthcare/Medical</t>
  </si>
  <si>
    <t>USAA INSURANCE PAYMENT</t>
  </si>
  <si>
    <t>Insurance</t>
  </si>
  <si>
    <t>INTEREST PAID</t>
  </si>
  <si>
    <t>Interest</t>
  </si>
  <si>
    <t>Office Supplies</t>
  </si>
  <si>
    <t>Online Services</t>
  </si>
  <si>
    <t>Other Expenses</t>
  </si>
  <si>
    <t>DIAMOND SPRINGS BP5765 NOVIRGINIA BEACVA</t>
  </si>
  <si>
    <t>Personal Care</t>
  </si>
  <si>
    <t>ATM SURCHARGE REBATE</t>
  </si>
  <si>
    <t>Refunds/Adjustments</t>
  </si>
  <si>
    <t>Restaurants/Dining</t>
  </si>
  <si>
    <t>Service Charges/Fees</t>
  </si>
  <si>
    <t>Travel</t>
  </si>
  <si>
    <t>Rent</t>
  </si>
  <si>
    <t>Utilities</t>
  </si>
  <si>
    <t>Internet</t>
  </si>
  <si>
    <t>Medical Insurance</t>
  </si>
  <si>
    <t>401k</t>
  </si>
  <si>
    <t>Long-term</t>
  </si>
  <si>
    <t>Unexpected Fund</t>
  </si>
  <si>
    <t>Food - nice</t>
  </si>
  <si>
    <t>Decoration</t>
  </si>
  <si>
    <t>Dates</t>
  </si>
  <si>
    <t>Self-improvement</t>
  </si>
  <si>
    <t>Games</t>
  </si>
  <si>
    <t>Going out</t>
  </si>
  <si>
    <t>Books</t>
  </si>
  <si>
    <t>Big Fun</t>
  </si>
  <si>
    <t>Specific</t>
  </si>
  <si>
    <t>Broad</t>
  </si>
  <si>
    <t>Housing</t>
  </si>
  <si>
    <t>Medical/Dental</t>
  </si>
  <si>
    <t>Personal Care / Clothing</t>
  </si>
  <si>
    <t>Auto</t>
  </si>
  <si>
    <t>Food</t>
  </si>
  <si>
    <t>Investments/Savings</t>
  </si>
  <si>
    <t>Education</t>
  </si>
  <si>
    <t>Car - Other</t>
  </si>
  <si>
    <t>Entertainment - Other</t>
  </si>
  <si>
    <t>Grand Total</t>
  </si>
  <si>
    <t>USAA Category</t>
  </si>
  <si>
    <t>My Category</t>
  </si>
  <si>
    <t>Other</t>
  </si>
  <si>
    <t>Start</t>
  </si>
  <si>
    <t>VILLAGE CAFE             PHILADELPHIA PA</t>
  </si>
  <si>
    <t>CHICK-FIL-A #x1482       PHILADELPHIA PA</t>
  </si>
  <si>
    <t>SQ *AJH MANAGEMENT       LAKEWOOD     NJ</t>
  </si>
  <si>
    <t>ACME #7719               CORNWELLS HEIPA</t>
  </si>
  <si>
    <t>PROPERTY PAYMENT-RENT    xxx-xxx2040  CA</t>
  </si>
  <si>
    <t>AVE C MKT xxxxxx0062     TROY         MI</t>
  </si>
  <si>
    <t>Application Fee</t>
  </si>
  <si>
    <t>WENDY'S 111              PHILADELPHIA PA</t>
  </si>
  <si>
    <t>WAWA STORE xxxxxxx0648   PHILADELPHIA PA</t>
  </si>
  <si>
    <t>TARGET        xxxx1833   BENSALEM     PA</t>
  </si>
  <si>
    <t>WAWA xxx      xxxx2774   TREVOSE      PA</t>
  </si>
  <si>
    <t>CHIPOTLE 1514            TREVOSE      PA</t>
  </si>
  <si>
    <t>TRANSPORTATION &amp;amp; PARKI   PHILADELPHIA PA</t>
  </si>
  <si>
    <t>SHOPRITE BENSALEM S1     BENSALEM     PA</t>
  </si>
  <si>
    <t>AMAZON MKTPLACE PMTS WWW.WWW.AMAZON.COWA</t>
  </si>
  <si>
    <t>ON THE BORDER            BENSALEM     PA</t>
  </si>
  <si>
    <t>PARKING xxxxx-2201 FAI   xxx-xxx-8400 PA</t>
  </si>
  <si>
    <t>EXXONMOBIL    xxxx4372   BENSALEM     PA</t>
  </si>
  <si>
    <t>SHOPRITE BENSALEM S1 2   BENSALEM     PA</t>
  </si>
  <si>
    <t>PAYPAL *FACEBOOKPAY      xxx-xxx-7733 CA</t>
  </si>
  <si>
    <t>AGUSTAWESTLAND P DIRECT DEP ***********2BHQ</t>
  </si>
  <si>
    <t>Paychecks/Salary</t>
  </si>
  <si>
    <t>HONDA PMT        xxxxxxxxxx ***********8966</t>
  </si>
  <si>
    <t>Loans</t>
  </si>
  <si>
    <t>USAA P&amp;amp;C INT     AUTOPAY    ***********1608</t>
  </si>
  <si>
    <t>HONDA PMT        xxxxxxxxxx ***********7862</t>
  </si>
  <si>
    <t>PAYPAL *SPOTIFYUSAI      xxx-xxx-7733 NY</t>
  </si>
  <si>
    <t>DEPOSIT@MOBILE</t>
  </si>
  <si>
    <t>Other Income</t>
  </si>
  <si>
    <t>Wells Fargo BanACADEMY PLPHILADELPHIA PA</t>
  </si>
  <si>
    <t>WAWA STORE 8064          PHILADELPHIA PA</t>
  </si>
  <si>
    <t>Income</t>
  </si>
  <si>
    <t>Salary</t>
  </si>
  <si>
    <t>Abs Amt</t>
  </si>
  <si>
    <t>Car - Note</t>
  </si>
  <si>
    <t>Change</t>
  </si>
  <si>
    <t>Final</t>
  </si>
  <si>
    <t>cash</t>
  </si>
  <si>
    <t>Is Full</t>
  </si>
  <si>
    <t>Expenses</t>
  </si>
  <si>
    <t>Actual</t>
  </si>
  <si>
    <t>After Expenses</t>
  </si>
  <si>
    <t>Parental Funds</t>
  </si>
  <si>
    <t>ADJUSTMENT TO ACCOUNT    SAN ANTONIO  TX</t>
  </si>
  <si>
    <t>PAYMENT - THANK YOU</t>
  </si>
  <si>
    <t>Credit Card Payments</t>
  </si>
  <si>
    <t>USAA CREDIT CARD PAYMENT SAN ANTONIO  TX</t>
  </si>
  <si>
    <t>SUPERCUTS ELDRIDGE       HOUSTON      TX</t>
  </si>
  <si>
    <t>TX DPS DL                xxx-xxx-5967 TX</t>
  </si>
  <si>
    <t>AMC WILLOWBROOK 24 #162  HOUSTON      TX</t>
  </si>
  <si>
    <t>AMERICAN AIRxxxxxxxxx3337FORT WORTH   TX</t>
  </si>
  <si>
    <t>HCTRA EZ TAG ONLINE      xxx-xxx3279  TX</t>
  </si>
  <si>
    <t>PAYPAL *RIOTGAMESIN      xxx-xxx-7733 CA</t>
  </si>
  <si>
    <t>Pho Ton Restaurant       Houston      TX</t>
  </si>
  <si>
    <t>WHISKEY RIVER            HOUSTON      TX</t>
  </si>
  <si>
    <t>Home Improvement</t>
  </si>
  <si>
    <t>TARGET T- 800 Rock Hil   BENSALEM     PA</t>
  </si>
  <si>
    <t>THE FRANKLIN INSTITUTE   xxx-xxx-1200 PA</t>
  </si>
  <si>
    <t>WORLD CAFE LIVE TICKET   WORLDCAFELIVEPA</t>
  </si>
  <si>
    <t>PP*HUMBLEBUNDL HUMBLEB   xxx-xxx-7733 CA</t>
  </si>
  <si>
    <t>THE VALLEY PIZZA         BENSALEM     PA</t>
  </si>
  <si>
    <t>PAYPAL *NETFLIX.COM      xxx-xxx-7733 CA</t>
  </si>
  <si>
    <t>#x7719 ACME              CORNWELLS HEIPA</t>
  </si>
  <si>
    <t>DOMINO'S xxxx            xxx-xxx-3415 PA</t>
  </si>
  <si>
    <t>MOLINA HEALTHCARE INC    xxx-xxx-2025 TX</t>
  </si>
  <si>
    <t>BOSCOVS 62               BENSALEM     PA</t>
  </si>
  <si>
    <t>AMERICAN AIRxxxxxx4532   FORT WORTH   TX</t>
  </si>
  <si>
    <t>USAA INTERNAL CREDIT</t>
  </si>
  <si>
    <t>STAPLES 1919             FEASTERVILLE PA</t>
  </si>
  <si>
    <t>PPA PHL AIRPORT          PHILADELPHIA PA</t>
  </si>
  <si>
    <t>LEOPOLD'S ICE CREAM IN   SAVANNAH     GA</t>
  </si>
  <si>
    <t>ROYAL FARMS # xxx 2497   NEW CHURCH   VA</t>
  </si>
  <si>
    <t>SPEEDWAY xxxxx 155       SUFFOLK      VA</t>
  </si>
  <si>
    <t>COMFORT INN &amp;amp; SUITES O   CRESTVIEW    FL</t>
  </si>
  <si>
    <t>SHELL Service Station    SAVANNAH     GA</t>
  </si>
  <si>
    <t>SHELL Service Station    DAPHNE       AL</t>
  </si>
  <si>
    <t>CHEVRON xxx3419          TALLAHASSEE  FL</t>
  </si>
  <si>
    <t>BUC-EE'S #34             BAYTOWN      TX</t>
  </si>
  <si>
    <t>SUBWAY        xxxx3391   COVINGTON    LA</t>
  </si>
  <si>
    <t>USAA CREDIT CARD PAYMENT</t>
  </si>
  <si>
    <t>SHELL Service Station    GROSSE TETE  LA</t>
  </si>
  <si>
    <t>BUC-EE'S #xx 4080 EAST   BAYTOWN      TX</t>
  </si>
  <si>
    <t>RegionsHuffmeister       CYPRESS      TX</t>
  </si>
  <si>
    <t>USAA FUNDS TRANSFER CR</t>
  </si>
  <si>
    <t>Transfers</t>
  </si>
  <si>
    <t>Income - Other</t>
  </si>
  <si>
    <t>Housing - Other</t>
  </si>
  <si>
    <t>Medical - Other</t>
  </si>
  <si>
    <t>Other - Other</t>
  </si>
  <si>
    <t>manual</t>
  </si>
  <si>
    <t>Total</t>
  </si>
  <si>
    <t>EXPEDITE FEE             SAN ANTONIO  TX</t>
  </si>
  <si>
    <t>Row Labels</t>
  </si>
  <si>
    <t>January starting balance in Checking</t>
  </si>
  <si>
    <t>Initial Conditions</t>
  </si>
  <si>
    <t>Initial Condition</t>
  </si>
  <si>
    <t>Remainder</t>
  </si>
  <si>
    <t>Cash</t>
  </si>
  <si>
    <t>Secured Credit</t>
  </si>
  <si>
    <t>Credit Card</t>
  </si>
  <si>
    <t>CC Payments</t>
  </si>
  <si>
    <t>Checking</t>
  </si>
  <si>
    <t>Internal Transfers</t>
  </si>
  <si>
    <t>Dump to checking</t>
  </si>
  <si>
    <t>CD close-out</t>
  </si>
  <si>
    <t>Account</t>
  </si>
  <si>
    <t>Wendy's</t>
  </si>
  <si>
    <t>Security Deposit</t>
  </si>
  <si>
    <t>CD closeout</t>
  </si>
  <si>
    <t>Surplus</t>
  </si>
  <si>
    <t>Car - Parking Pass</t>
  </si>
  <si>
    <t>Max Bucket</t>
  </si>
  <si>
    <t>% Filled</t>
  </si>
  <si>
    <t>Unfilled</t>
  </si>
  <si>
    <t>Monthly Net</t>
  </si>
  <si>
    <t>AGUSTAWESTLAND P DIRECT DEP ***********7BHQ</t>
  </si>
  <si>
    <t>HONDA PMT        xxxxxxxxxx ***********0780</t>
  </si>
  <si>
    <t>Note</t>
  </si>
  <si>
    <t>AGUSTAWESTLAND P DIRECT DEP ***********1BHQ</t>
  </si>
  <si>
    <t>AGUSTAWESTLAND P DIRECT DEP ***********0BHQ</t>
  </si>
  <si>
    <t>xxxxxxxxx                xxx-xxx-4532 MD</t>
  </si>
  <si>
    <t>LOWES #xx980*            TREVOSE      PA</t>
  </si>
  <si>
    <t>MATTRESS FIRM xx8044     NEWTOWN      PA</t>
  </si>
  <si>
    <t>Home Maintenance</t>
  </si>
  <si>
    <t>8636 GREAT CLIPS AT LOWERFEASTERVILLE PA</t>
  </si>
  <si>
    <t>DGX - PHILADELPHIA       PHILADELPHIA PA</t>
  </si>
  <si>
    <t>URBAN VILLAGE BREWING    PHILADELPHIA PA</t>
  </si>
  <si>
    <t>RAMEN BAR                PHILADELPHIA PA</t>
  </si>
  <si>
    <t>AmazonPrime Membership   amzn.com/prmeWA</t>
  </si>
  <si>
    <t>COMCAST                  800-COMCAST  NJ</t>
  </si>
  <si>
    <t>Cable/Satellite Services</t>
  </si>
  <si>
    <t>Ikea furniture</t>
  </si>
  <si>
    <t>adjusted</t>
  </si>
  <si>
    <t>Ikea decorative</t>
  </si>
  <si>
    <t>Credit Card balance</t>
  </si>
  <si>
    <t>IGNORING THIS, REFERENCE ONLY</t>
  </si>
  <si>
    <t>Secured Card balance (from backtracking payments/transactions)</t>
  </si>
  <si>
    <t>ATM</t>
  </si>
  <si>
    <t>Max Monthly</t>
  </si>
  <si>
    <t>inf</t>
  </si>
  <si>
    <t>Capped</t>
  </si>
  <si>
    <t>PTC EZPASS CSC WEB IVR   state.pa.us  PA</t>
  </si>
  <si>
    <t>WAHLBURGERS PHILLY       PHILADELPHIA PA</t>
  </si>
  <si>
    <t>USPS.COM MOVER'S GUIDE   xxx-xxx-3150 TN</t>
  </si>
  <si>
    <t>Postage and Shipping</t>
  </si>
  <si>
    <t>Pizza Rustica</t>
  </si>
  <si>
    <t>UNITED      xxxxxxxxxxxxxxxx-xxx-2732 TX</t>
  </si>
  <si>
    <t>TARGET        xxxx0750   PHILADELPHIA PA</t>
  </si>
  <si>
    <t>PAYPAL *GRUBHUBFOOD SOU  xxx-xxx-7733 IL</t>
  </si>
  <si>
    <t>BEASTNODE                xxx-xxx9005  CA</t>
  </si>
  <si>
    <t>BEST BUY      xxxx8987   PHILADELPHIA PA</t>
  </si>
  <si>
    <t>Electronics</t>
  </si>
  <si>
    <t>BESTBUYCOMxxxxxxxx6599   888-BESTBUY  MN</t>
  </si>
  <si>
    <t>SPRINGFIELD DINER        SPRINGFIELD  PA</t>
  </si>
  <si>
    <t>BOOKS A MILLION 861      SPRINGFIELD  PA</t>
  </si>
  <si>
    <t>Hobbies</t>
  </si>
  <si>
    <t>BARCADE                  PHILADELPHIA PA</t>
  </si>
  <si>
    <t>SEPTA FARE MACHINE       xxxxxx8231   PA</t>
  </si>
  <si>
    <t>#0291 ACME               PHILADELPHIA PA</t>
  </si>
  <si>
    <t>Westminster-ERBE WEB PMTS   ***********N1Y2</t>
  </si>
  <si>
    <t>HONDA PMT        xxxxxxxxxx ***********7325</t>
  </si>
  <si>
    <t>TD AMERITRADE    ACH RECAPT ***********CF22</t>
  </si>
  <si>
    <t>Securities Trades</t>
  </si>
  <si>
    <t>TD AMERITRADE    ACH OUT    ***********TRDM</t>
  </si>
  <si>
    <t>TD AMERITRADE    ACH MICRO  ***********CF20</t>
  </si>
  <si>
    <t>Predicted</t>
  </si>
  <si>
    <t>PAYPAL *FANDANGOMED      xxx-xxx-7733 CA</t>
  </si>
  <si>
    <t>THE BELGIAN CAFE         PHILADELPHIA PA</t>
  </si>
  <si>
    <t>CVS/PHARMACY #x2170      PHILADELPHIA PA</t>
  </si>
  <si>
    <t>SQ *SCHMEAR IT 3601      PHILADELPHIA PA</t>
  </si>
  <si>
    <t>WINE AND SPIRITS 5185    PHILADELPHIA PA</t>
  </si>
  <si>
    <t>PECO - WALLET AC BILL PAY   ***********2951</t>
  </si>
  <si>
    <t>Karishma advance payment</t>
  </si>
  <si>
    <t>PAYPAL           INST XFER  ***********ACHA</t>
  </si>
  <si>
    <t>PAYPAL           VERIFYBANK ***********TWSQ</t>
  </si>
  <si>
    <t>UBER   TRIP EXOGT        HELP.UBER.COMCA</t>
  </si>
  <si>
    <t>Going Out</t>
  </si>
  <si>
    <t>UBER   TRIP LI2KZ        HELP.UBER.COMCA</t>
  </si>
  <si>
    <t>PAYPAL           VERIFYBANK ***********7NSQ</t>
  </si>
  <si>
    <t>PAYPAL           VERIFYBANK ***********GNSQ</t>
  </si>
  <si>
    <t>Wells Fargo BanNORTHERN LPHILADELPHIA PA</t>
  </si>
  <si>
    <t>Booze</t>
  </si>
  <si>
    <t>Car/Rental Insurance</t>
  </si>
  <si>
    <t>CASH REWARDS CREDIT</t>
  </si>
  <si>
    <t>PAYPAL           INST XFER  ***********USAI</t>
  </si>
  <si>
    <t>Westminster-ERBE WEB PMTS   ***********2403</t>
  </si>
  <si>
    <t>HONDA PMT        8004489307 ***********7434</t>
  </si>
  <si>
    <t>PAYPAL           INST XFER  ***********.COM</t>
  </si>
  <si>
    <t>UBER   TRIP AMYB5        HELP.UBER.COMCA</t>
  </si>
  <si>
    <t>UBER   TRIP RBQWO        HELP.UBER.COMCA</t>
  </si>
  <si>
    <t>Infinity War</t>
  </si>
  <si>
    <t>Spotify</t>
  </si>
  <si>
    <t>Netflix</t>
  </si>
  <si>
    <t>STAPLES       00100255   BENSALEM     PA</t>
  </si>
  <si>
    <t>WAWA 267      00002675   BELSALEM     PA</t>
  </si>
  <si>
    <t>8641 GREAT CLIPS AT BROOKBENSALEM     PA</t>
  </si>
  <si>
    <t>WAWA STORE 80600080648   PHILADELPHIA PA</t>
  </si>
  <si>
    <t>AUNTIE ANNE'S PA 252     PHILADELPHIA PA</t>
  </si>
  <si>
    <t>THREE MONKEYS CAFE       PHILADELPHIA PA</t>
  </si>
  <si>
    <t>YPS*HOMEAWAY HA-19T5X8   866-210-6106 TX</t>
  </si>
  <si>
    <t>UNITED      0162398172786800-932-2732 TX</t>
  </si>
  <si>
    <t>KLONDIKE KATES           NEWARK       DE</t>
  </si>
  <si>
    <t>BEASTNODE                323-5529005  CA</t>
  </si>
  <si>
    <t>PAYPAL *GOG LTD          35314369001  CY</t>
  </si>
  <si>
    <t>MISSION BBQ NE PHI       PHILADELPHIA PA</t>
  </si>
  <si>
    <t>Summer Trip</t>
  </si>
  <si>
    <t>AGUSTAWESTLAND P DIRECT DEP ***********5BHQ</t>
  </si>
  <si>
    <t>POST-PZ1CUSOP    WEB PMTS   ***********6T33</t>
  </si>
  <si>
    <t>HONDA PMT        8004489307 ***********9575</t>
  </si>
  <si>
    <t>AGUSTAWESTLAND P DIRECT DEP ***********3BHQ</t>
  </si>
  <si>
    <t>PECO - WALLET AC BILL PAY   ***********4321</t>
  </si>
  <si>
    <t>CHIPOTLE 2732            PHILADELPHIA PA</t>
  </si>
  <si>
    <t>WHATABURGER 815    Q26   HOUSTON      TX</t>
  </si>
  <si>
    <t>JASON'S DELI CHP #       HOUSTON      TX</t>
  </si>
  <si>
    <t>MOVIE TAVERN - WIL       HOUSTON      TX</t>
  </si>
  <si>
    <t>CHICK-FIL-A #01199       HOUSTON      TX</t>
  </si>
  <si>
    <t>C.O.G. PARKING           4097973565   TX</t>
  </si>
  <si>
    <t>BUC-EE'S #33             TEXAS CITY   TX</t>
  </si>
  <si>
    <t>YAGAS CAFE               GALVESTON    TX</t>
  </si>
  <si>
    <t>MOSQUITO CAFE            GALVESTON    TX</t>
  </si>
  <si>
    <t>SQ *HEY MIKEY'S ICE CREAMGalveston    TX</t>
  </si>
  <si>
    <t>CVS/PHARMACY #04456      HOUSTON      TX</t>
  </si>
  <si>
    <t>WM SUPERCENTER #504      GALVESTON    TX</t>
  </si>
  <si>
    <t>SPECS #35                GALVESTON    TX</t>
  </si>
  <si>
    <t>PEETS COFFEE- 416        HOUSTON      TX</t>
  </si>
  <si>
    <t>BURGER KING #431         PHILADELPHIA PA</t>
  </si>
  <si>
    <t>MAGGIES WATERFRONT CAF   000-0000000  PA</t>
  </si>
  <si>
    <t>YAMATO JAPANESE SUSHI &amp;amp;  PHILADELPHIA PA</t>
  </si>
  <si>
    <t>PAYPAL *STEAM GAMES      425-952-2985 WA</t>
  </si>
  <si>
    <t>PTC EZ PASS AUTO RE.     877-736-6727 PA</t>
  </si>
  <si>
    <t>SHAKE SHACK 1109         646-747-7200 NY</t>
  </si>
  <si>
    <t>BROOKLYN METRO PARKING LLBROOKLYN     NY</t>
  </si>
  <si>
    <t>WAWA 8072     00080721   BENSALEM     PA</t>
  </si>
  <si>
    <t>SQ *BK JANI DEKALB       Brooklyn     NY</t>
  </si>
  <si>
    <t>Memphis Trip</t>
  </si>
  <si>
    <t>Marijke wolf painting</t>
  </si>
  <si>
    <t>PAID - Marijke Serenity painting</t>
  </si>
  <si>
    <t>Galvy Trip</t>
  </si>
  <si>
    <t>APRICOT STONE            PHILADELPHIA PA</t>
  </si>
  <si>
    <t>THE FRANKLIN INSTITUTE   215-448-1200 PA</t>
  </si>
  <si>
    <t>GEORGESPIZZA             HTTPSWWW.SIMPNY</t>
  </si>
  <si>
    <t>Business Miscellaneous</t>
  </si>
  <si>
    <t>CHICK-FIL-A #01482       PHILADELPHIA PA</t>
  </si>
  <si>
    <t>ZIPCAR INC.              866-494-7227 MA</t>
  </si>
  <si>
    <t>UBER   TRIP 2HWMI        HELP.UBER.COMCA</t>
  </si>
  <si>
    <t>PECO - WALLET AC BILL PAY   ***********8851</t>
  </si>
  <si>
    <t>ANTHONYS COAL FIRED PIZZALIVINGSTON   NJ</t>
  </si>
  <si>
    <t>SALADWORKS - TREMONT SHOPPHILADELPHIA PA</t>
  </si>
  <si>
    <t>Retirement</t>
  </si>
  <si>
    <t>THE HALAL GUYS PHI       PHILADELPHIA PA</t>
  </si>
  <si>
    <t>CVS/PHARMACY #02170      PHILADELPHIA PA</t>
  </si>
  <si>
    <t>UBER   TRIP AH4HB        HELP.UBER.COMCA</t>
  </si>
  <si>
    <t>AGUSTAWESTLAND P DIRECT DEP ***********9BHQ</t>
  </si>
  <si>
    <t>UBER   TRIP 3SDBZ        HELP.UBER.COMCA</t>
  </si>
  <si>
    <t>POST-PZ1CUSOP    WEB PMTS   ***********VR53</t>
  </si>
  <si>
    <t>HONDA PMT        8004489307 ***********9542</t>
  </si>
  <si>
    <t>THREE MONKEYS CAFE       724-2831878  PA</t>
  </si>
  <si>
    <t>AUTOMATIC PAYMENT - THANK YOU</t>
  </si>
  <si>
    <t>DAYS INN PENN STATE      STATE COLLEGEPA</t>
  </si>
  <si>
    <t>TST* INFERNO BRICK OVEN &amp;amp;STATE COLLEGEPA</t>
  </si>
  <si>
    <t>AVIS RENT-A-CAR 1        PHILADELPHIA PA</t>
  </si>
  <si>
    <t>SUNOCO 0816609200        BOWMANSVILLE PA</t>
  </si>
  <si>
    <t>PSU CREAMERY             UNIVERSITY PKPA</t>
  </si>
  <si>
    <t>THE CORNER ROOM          STATE COLLEGEPA</t>
  </si>
  <si>
    <t>KAARMA INC               STATE COLLEGEPA</t>
  </si>
  <si>
    <t>SUBWAY        03018819   STATE COLLEGEPA</t>
  </si>
  <si>
    <t>TARGET        00021246   PHILADELPHIA PA</t>
  </si>
  <si>
    <t>WAWA 263      00002634   PARKESBURG   PA</t>
  </si>
  <si>
    <t>BRICKHOUSE BAR &amp;amp; GRILLE  PHILADELPHIA PA</t>
  </si>
  <si>
    <t>SHAGUN PALACE            BENSALEM     PA</t>
  </si>
  <si>
    <t>Amazon Services-Kindle   866-321-8851 WA</t>
  </si>
  <si>
    <t>AMAZON DIGITAL SVCS 888-8888-802-3080 WA</t>
  </si>
  <si>
    <t>USAA CREDIT CARD PAYMENT    ***********0051</t>
  </si>
  <si>
    <t>PAYPAL           INST XFER  ***********KPAY</t>
  </si>
  <si>
    <t>UBER   TRIP PJ5GP        HELP.UBER.COMCA</t>
  </si>
  <si>
    <t>POST-PZ1CUSOP    WEB PMTS   ***********1983</t>
  </si>
  <si>
    <t>HONDA PMT        8004489307 ***********4184</t>
  </si>
  <si>
    <t>PECO - WALLET AC BILL PAY   ***********5191</t>
  </si>
  <si>
    <t>UBER   TRIP YVW5N        HELP.UBER.COMCA</t>
  </si>
  <si>
    <t>AGUSTAWESTLAND P DIRECT DEP ***********6BHQ</t>
  </si>
  <si>
    <t>AGUSTAWESTLAND P DIRECT-PAY ***********2840</t>
  </si>
  <si>
    <t>Karishma balance</t>
  </si>
  <si>
    <t>Taylor's Bday donation</t>
  </si>
  <si>
    <t>To Dr. Mink's Office</t>
  </si>
  <si>
    <t>GO VERTICAL              PHILADELPHIA PA</t>
  </si>
  <si>
    <t>AMZN Mktp US             Amzn.com/billWA</t>
  </si>
  <si>
    <t>ACME #0291               PHILADELPHIA PA</t>
  </si>
  <si>
    <t>PAYPAL *STEAM GAMES      402-935-7733 WA</t>
  </si>
  <si>
    <t>TST* FRANKIE ANN S BAR ANPHILADELPHIA PA</t>
  </si>
  <si>
    <t>MAGGIANO KING OF PRUSSIA KING OF PRUSSPA</t>
  </si>
  <si>
    <t>POPEYES GRANT            PHILADELPHIA PA</t>
  </si>
  <si>
    <t>IKEA PENNS LANDING       PHILADELPHIA PA</t>
  </si>
  <si>
    <t>MUSCLE MAKER GRILL - G - OFFER REBATE</t>
  </si>
  <si>
    <t>WAHLBURGERS              PHILADELPHIA PA</t>
  </si>
  <si>
    <t>NEW DECK TAVERN          PHILADELPHIA PA</t>
  </si>
  <si>
    <t>MUSCLE MAKER GRILL - G   PHILADELPHIA PA</t>
  </si>
  <si>
    <t>RiotGam*LoL LN8UYG8FRC   866-373-9211 CA</t>
  </si>
  <si>
    <t>PAYPAL *GRUBHUBFOOD CHO  402-935-7733 IL</t>
  </si>
  <si>
    <t>AMZN MKTP US AMZN.COM/BILAMZN.COM/BILLWA</t>
  </si>
  <si>
    <t>UBER   TRIP 6IESB        HELP.UBER.COMCA</t>
  </si>
  <si>
    <t>UBER   TRIP HFMMW        HELP.UBER.COMCA</t>
  </si>
  <si>
    <t>UBER   TRIP F6STD        HELP.UBER.COMCA</t>
  </si>
  <si>
    <t>UBER   TRIP 5V4D3        HELP.UBER.COMCA</t>
  </si>
  <si>
    <t>HONDA PMT        8004489307 ***********8934</t>
  </si>
  <si>
    <t>POST-PZ1CUSOP    WEB PMTS   ***********Q9D3</t>
  </si>
  <si>
    <t>PECO - WALLET AC BILL PAY   ***********9831</t>
  </si>
  <si>
    <t>Rock climbing gear</t>
  </si>
  <si>
    <t>Clothes/Personal care</t>
  </si>
  <si>
    <t>POST-PZ1CUSOP    WEB PMTS   ***********VRH3</t>
  </si>
  <si>
    <t>HONDA PMT        8004489307 ***********9466</t>
  </si>
  <si>
    <t>Amazon.com*MT3XT3Q22     Amzn.com/billWA</t>
  </si>
  <si>
    <t>TARGET        00024182   PHILADELPHIA PA</t>
  </si>
  <si>
    <t>Kindle Svcs*MT5R51V90    866-321-8851 WA</t>
  </si>
  <si>
    <t>AMERICAN AIR0012313382902FORT WORTH   TX</t>
  </si>
  <si>
    <t>SQ *LOVE &amp;amp; HONEY FRIED CHPhiladelphia PA</t>
  </si>
  <si>
    <t>Saved</t>
  </si>
  <si>
    <t>Wells Fargo Ban1001 N 2NDPHILADELPHIA PA</t>
  </si>
  <si>
    <t>USAA IMCO INT    TRANSFER   ***********7541</t>
  </si>
  <si>
    <t>UBER   TRIP OIQNZ        HELP.UBER.COMCA</t>
  </si>
  <si>
    <t>WINE AND SPIRITS 5112    PHILADELPHIA PA</t>
  </si>
  <si>
    <t>AMZN Mktp US*MT3Q17IT2   Amzn.com/billWA</t>
  </si>
  <si>
    <t>AMZN Mktp US*MT6O38U00   Amzn.com/billWA</t>
  </si>
  <si>
    <t>GIANT 6468               PHILADELPHIA PA</t>
  </si>
  <si>
    <t>AC MOORE STR 148         215-392-9347 PA</t>
  </si>
  <si>
    <t>BURLNGTON STORES197      PHILADELPHIA PA</t>
  </si>
  <si>
    <t>Clothing/Shoes</t>
  </si>
  <si>
    <t>SPIRIT HALLOWEEN 60652   HOWELL       PA</t>
  </si>
  <si>
    <t>OLD NAVY US 5436         PHILADELPHIA PA</t>
  </si>
  <si>
    <t>AMZN Mktp US*MT8RZ8SO1   Amzn.com/billWA</t>
  </si>
  <si>
    <t>VICTORY BEER HALL        PHILADELPHIA PA</t>
  </si>
  <si>
    <t>Kindle Svcs*MT73T96S0    866-321-8851 WA</t>
  </si>
  <si>
    <t>Prime Video*MT5554D40    888-802-3080 WA</t>
  </si>
  <si>
    <t>Hanna B-Day gift</t>
  </si>
  <si>
    <t>COUNTRY SQUIRE DINER     BROOMALL     PA</t>
  </si>
  <si>
    <t>TARGET        00023127   SPRINGFIELD  PA</t>
  </si>
  <si>
    <t>RE *PAX UNPLUGGED 877-   877-674-8241 CT</t>
  </si>
  <si>
    <t>Kindle Svcs*M820Z9Q02    866-321-8851 WA</t>
  </si>
  <si>
    <t>BAAN THAI                PHILADELPHIA PA</t>
  </si>
  <si>
    <t>SLOANE HONDA             PHILADELPHIA PA</t>
  </si>
  <si>
    <t>BUFFALO WILD WINGS 0310  PHILADELPHIA PA</t>
  </si>
  <si>
    <t>PAYPAL *FANDANGOMED      402-935-7733 CA</t>
  </si>
  <si>
    <t>PAYPAL *KABOBEESH        402-935-7733 IL</t>
  </si>
  <si>
    <t>Prime Video*M87ON7GX2    888-802-3080 WA</t>
  </si>
  <si>
    <t>STARBUCKS STORE 11938    PHILADELPHIA PA</t>
  </si>
  <si>
    <t>TGI FRIDAY'S #1758       PHILADELPHIA PA</t>
  </si>
  <si>
    <t>Kindle Svcs*M83V731X0    866-321-8851 WA</t>
  </si>
  <si>
    <t>BOSTON MARKET 0111       PHILADELPHIA PA</t>
  </si>
  <si>
    <t>PARTY CITY BOPIS         973-453-8600 IL</t>
  </si>
  <si>
    <t>SUPERCUTS COTTMAN        ROOSEVELT    PA</t>
  </si>
  <si>
    <t>PAYPAL *GRUBHUBFOOD WAH  402-935-7733 IL</t>
  </si>
  <si>
    <t>Kindle Svcs*M89GX6NE2    866-321-8851 WA</t>
  </si>
  <si>
    <t>KHYBER PASS PUB          PHILADELPHIA PA</t>
  </si>
  <si>
    <t>AMZN Mktp US*M87YK6FT1   Amzn.com/billWA</t>
  </si>
  <si>
    <t>AMZN Mktp US*M82AP3LH2   Amzn.com/billWA</t>
  </si>
  <si>
    <t>Kindle Svcs*MT8ZQ1RC1    866-321-8851 WA</t>
  </si>
  <si>
    <t>AMZN Mktp US*MT5271I80   Amzn.com/billWA</t>
  </si>
  <si>
    <t>AMZN Mktp US*MT94Q8UI0   Amzn.com/billWA</t>
  </si>
  <si>
    <t>GRUBHUBWAHLBURGERS       GRUBHUB.COM  NY</t>
  </si>
  <si>
    <t>UBER   TRIP S5MMX        HELP.UBER.COMCA</t>
  </si>
  <si>
    <t>UBER   TRIP LMBMH        HELP.UBER.COMCA</t>
  </si>
  <si>
    <t>POST-PZ1CUSOP    WEB PMTS   ***********JYK3</t>
  </si>
  <si>
    <t>HONDA PMT        8004489307 ***********7402</t>
  </si>
  <si>
    <t>AGUSTAWESTLAND P DIRECT-PAY ***********5207</t>
  </si>
  <si>
    <t>UBER   TRIP NCGL2        HELP.UBER.COMCA</t>
  </si>
  <si>
    <t>PECOENERGY       UTIL_BIL   ***********1017</t>
  </si>
  <si>
    <t>Costume</t>
  </si>
  <si>
    <t>Purple's b-day gift</t>
  </si>
  <si>
    <t>UBER   TRIP LFXYT        HELP.UBER.COMCA</t>
  </si>
  <si>
    <t>PECOENERGY       UTIL_BIL   ***********1115</t>
  </si>
  <si>
    <t>Kindle Svcs*M07BY8CK0    866-321-8851 WA</t>
  </si>
  <si>
    <t>GACHI SUSHI NOODLE       PHILADELPHIA PA</t>
  </si>
  <si>
    <t>ALDAN FUELS              ALDAN        PA</t>
  </si>
  <si>
    <t>POST-PZ1CUSOP    WEB PMTS   ***********YDP3</t>
  </si>
  <si>
    <t>P1812799645 JAMES ST     PHILA        PA</t>
  </si>
  <si>
    <t>SQ *GALE FORCE NINE      PHILADELPHIA PA</t>
  </si>
  <si>
    <t>SQ *NORSE FOUNDRY L      PHILADELPHIA PA</t>
  </si>
  <si>
    <t>SEPTA FARE MACHINE       2155618231   PA</t>
  </si>
  <si>
    <t>KFC K071074              PHILADELPHIA PA</t>
  </si>
  <si>
    <t>ACME #3742               PHILADELPHIA PA</t>
  </si>
  <si>
    <t>UNITED      0162427495806800-932-2732 TX</t>
  </si>
  <si>
    <t>EL CAMINO REAL PHILADELPHPHILADELPHIA PA</t>
  </si>
  <si>
    <t>WORLDDUTYFREEST2581      HOUSTON      TX</t>
  </si>
  <si>
    <t>HOUSTON GEORGE BUSH 0377AHOUSTON      TX</t>
  </si>
  <si>
    <t>AMZN Mktp US*M05MX73Y0   Amzn.com/billWA</t>
  </si>
  <si>
    <t>AMZN Mktp US*M05C86ND0   Amzn.com/billWA</t>
  </si>
  <si>
    <t>SUBWAY        00027227   HOUSTON      TX</t>
  </si>
  <si>
    <t>IHOP 1945                HOUSTON      TX</t>
  </si>
  <si>
    <t>Kassie's Ticket</t>
  </si>
  <si>
    <t>Dice</t>
  </si>
  <si>
    <t>Firefly game</t>
  </si>
  <si>
    <t>Christmas Airfare</t>
  </si>
  <si>
    <t>UBER   TRIP 2NVYA        HELP.UBER.COMCA</t>
  </si>
  <si>
    <t>HONDA PMT        8004489307 ***********6827</t>
  </si>
  <si>
    <t>GIANT 6083               ALDAN        PA</t>
  </si>
  <si>
    <t>LOLLI AND POPS - K       KING OF PRUSSPA</t>
  </si>
  <si>
    <t>CLARKVILLE               PHILADELPHIA PA</t>
  </si>
  <si>
    <t>5GUYS 1329 QSR           PHILADELPHIA PA</t>
  </si>
  <si>
    <t>UBER                     HELP.UBER.COMCA</t>
  </si>
  <si>
    <t>VENMO            CASHOUT    ***********8044</t>
  </si>
  <si>
    <t>PECOENERGY       UTIL_BIL   ***********1218</t>
  </si>
  <si>
    <t>THE PIAZZA AT S1001 NORTHPHILADELPHIA PA</t>
  </si>
  <si>
    <t>USAA FUNDS TRANSFER DB</t>
  </si>
  <si>
    <t>WHATABURGER 1078         CYPRESS      TX</t>
  </si>
  <si>
    <t>CHEVRON 0161054          CYPRESS      TX</t>
  </si>
  <si>
    <t>GROUPON INC              GROUPON.COM  IL</t>
  </si>
  <si>
    <t>COLOR ME MINE - CYPRESS  CYPRESS      TX</t>
  </si>
  <si>
    <t>ANOTHER BROKEN EGG - HOUSHOUSTON      TX</t>
  </si>
  <si>
    <t>Amazon.com*M249465I0     Amzn.com/billWA</t>
  </si>
  <si>
    <t>PAYPAL *WORLDBUILDE      402-935-7733 WI</t>
  </si>
  <si>
    <t>Kindle Svcs*M23DQ68V1    866-321-8851 WA</t>
  </si>
  <si>
    <t>LEES HOAGIE HOUSE - NORTHPHILADELPHIA PA</t>
  </si>
  <si>
    <t>ACME #3786               NEWTOWN SQUARPA</t>
  </si>
  <si>
    <t>AMC MARPLE 10 #0596      SPRINGFIELD  PA</t>
  </si>
  <si>
    <t>PANERA BREAD #203996 K   NEWTOWN SQUARPA</t>
  </si>
  <si>
    <t>Alan Christmas Gift</t>
  </si>
  <si>
    <t>Danielle Christmas Gift</t>
  </si>
  <si>
    <t>PECOENERGY       UTIL_BIL   ***********0118</t>
  </si>
  <si>
    <t>AGUSTAWESTLAND P DIRECT DEP ***********8BHQ</t>
  </si>
  <si>
    <t>HONDA PMT        8004489307 ***********4481</t>
  </si>
  <si>
    <t>POST-PZ1CUSOP    WEB PMTS   ***********FHS3</t>
  </si>
  <si>
    <t>NET COST MARKET 9        PHILADELPHIA PA</t>
  </si>
  <si>
    <t>Amazon.com*MB6YK3OZ1     Amzn.com/billWA</t>
  </si>
  <si>
    <t>Kindle Svcs*M248L7DD2    866-321-8851 WA</t>
  </si>
  <si>
    <t>COPABANANA               PHILADELPHIA PA</t>
  </si>
  <si>
    <t>TORCHYS TACOS - VINTAGE  HOUSTON      TX</t>
  </si>
  <si>
    <t>BARNES &amp;amp; NOBLE #2847     HOUSTON      TX</t>
  </si>
  <si>
    <t>Gift exchange gift</t>
  </si>
  <si>
    <t>Car Down Payment</t>
  </si>
  <si>
    <t>Marijke repay Color Me Mine</t>
  </si>
  <si>
    <t>Transfer to USAA</t>
  </si>
  <si>
    <t>Venmo</t>
  </si>
  <si>
    <t>venmo</t>
  </si>
  <si>
    <t>From parth patel (Brickhouse)</t>
  </si>
  <si>
    <t>From Alex Nocera (Brickhouse)</t>
  </si>
  <si>
    <t>From Christopher Wisel (Brickhouse)</t>
  </si>
  <si>
    <t>From Ryan Miller (Brickhouse)</t>
  </si>
  <si>
    <t>From Nick Scotto (Brickhouse)</t>
  </si>
  <si>
    <t>To Kassandra Zimmerman (Spiderman + booze)</t>
  </si>
  <si>
    <t>To Alex Nocera (Brickhouse)</t>
  </si>
  <si>
    <t>From Kassandra Zimmerman (Copabanana)</t>
  </si>
  <si>
    <t>From Ilenna Jones (Copabanana)</t>
  </si>
  <si>
    <t>From Kassandra Zimmerman (Groceries + booze)</t>
  </si>
  <si>
    <t>To Kassandra Zimmerman (Mary Poppins)</t>
  </si>
  <si>
    <t>To Kassandra Zimmerman (wine for mom)</t>
  </si>
  <si>
    <t>To Kassandra Zimmerman (bombs?)</t>
  </si>
  <si>
    <t>From Ilenna Jones (Clarkville Pizza)</t>
  </si>
  <si>
    <t>From Kassandra Zimmerman (not sure)</t>
  </si>
  <si>
    <t>From Ilenna Jones (not sure)</t>
  </si>
  <si>
    <t>To Dan Connelly (square pizza)</t>
  </si>
  <si>
    <t>From Elena Albenze (potato skins)</t>
  </si>
  <si>
    <t>Fishtown Tavern          Philadelphia PA</t>
  </si>
  <si>
    <t>WAWA 8035     00080358   PHILADELPHIA PA</t>
  </si>
  <si>
    <t>PAYPAL *GOG              402-935-7733 CA</t>
  </si>
  <si>
    <t>RITE AID STORE 7834      PHILADELPHIA PA</t>
  </si>
  <si>
    <t>AMZN Mktp US*MB89W38Q1   Amzn.com/billWA</t>
  </si>
  <si>
    <t>TARGET        00018093   PHILADELPHIA PA</t>
  </si>
  <si>
    <t>PAYPAL *WAHLBURGERS      402-935-7733 IL</t>
  </si>
  <si>
    <t>POST-PZ1CUSOP    WEB PMTS   ***********ZYW3</t>
  </si>
  <si>
    <t>HONDA PMT        8004489307 ***********9817</t>
  </si>
  <si>
    <t>PAI ISO903 N 2ND ST      PHILADELPHIA PA</t>
  </si>
  <si>
    <t>Divinity</t>
  </si>
  <si>
    <t>Space heater</t>
  </si>
  <si>
    <t>PTO payout</t>
  </si>
  <si>
    <t>Pillow</t>
  </si>
  <si>
    <t>Niche</t>
  </si>
  <si>
    <t>UNICEF Donation (Alyssa)</t>
  </si>
  <si>
    <t>Franklin Institute</t>
  </si>
  <si>
    <t>House Hunting</t>
  </si>
  <si>
    <t>ARITOM PROPERTIES        610-353-4925 PA</t>
  </si>
  <si>
    <t>PECOENERGY       UTIL_BIL   ***********0220</t>
  </si>
  <si>
    <t>THIRSTY DICE             PHILADELPHIA PA</t>
  </si>
  <si>
    <t>STANDARD TAP             PHILADELPHIA PA</t>
  </si>
  <si>
    <t>KABOBI                   PHILADELPHIA PA</t>
  </si>
  <si>
    <t>POST-PZ1CUSOP    WEB PMTS   ***********3C04</t>
  </si>
  <si>
    <t>HONDA PMT        8004489307 ***********3676</t>
  </si>
  <si>
    <t>HAMILTON STREET81133     PHILADELPHIA PA</t>
  </si>
  <si>
    <t>RITE AID STORE - 11133   PHILADELPHIA PA</t>
  </si>
  <si>
    <t>PECOENERGY       UTIL_BIL   ***********0321</t>
  </si>
  <si>
    <t>BIG LOTS STORES - #1984  PHILADELPHIA PA</t>
  </si>
  <si>
    <t>HARBOR FREIGHT TOOLS 215 PHILADELPHIA PA</t>
  </si>
  <si>
    <t>U-HAUL-PHILADLPHIA #80842800-528-0463 PA</t>
  </si>
  <si>
    <t>KFC H730076              PHILADELPHIA PA</t>
  </si>
  <si>
    <t>Amazon Prime             Amzn.com/billWA</t>
  </si>
  <si>
    <t>Curtains, sheets</t>
  </si>
  <si>
    <t>Dollies, tool box, rope, tarp</t>
  </si>
  <si>
    <t>Totes</t>
  </si>
  <si>
    <t>Prime membership</t>
  </si>
  <si>
    <t>Includes Teresa's cigs</t>
  </si>
  <si>
    <t>Teresa paid me back for cigarettes</t>
  </si>
  <si>
    <t>EVIL GENIUS ON FRONT     PHILADELPHIA PA</t>
  </si>
  <si>
    <t>KOSTAS BAR RESTAURANT    PHILADELPHIA PA</t>
  </si>
  <si>
    <t>HAIR CUTTERY #190        PHILADELPHIA PA</t>
  </si>
  <si>
    <t>FAIRMOUNT PIZZERIA       215-7631985  PA</t>
  </si>
  <si>
    <t>AMAZON.COM*MW68W2UG2 AMZNAMZN.COM/BILLWA</t>
  </si>
  <si>
    <t>FAIRMOUNT HARDWARE       PHILADELPHIA PA</t>
  </si>
  <si>
    <t>TELAS MARKET &amp;amp; KITCHEN   PHILADELPHIA PA</t>
  </si>
  <si>
    <t>RYBREAD INC              PHILADELPHIA PA</t>
  </si>
  <si>
    <t>RITE AID STORE - 3434    PHILADELPHIA PA</t>
  </si>
  <si>
    <t>USPS.COM MOVER'S GUIDE   800-238-3150 TN</t>
  </si>
  <si>
    <t>U-HAUL-PHILADLPHIA #80842PHILADELPHIA PA</t>
  </si>
  <si>
    <t>SHELL OIL 57542380001    PHILADELPHIA PA</t>
  </si>
  <si>
    <t>ENTERPRISE RENT-A-CAR    PHILADELPHIA PA</t>
  </si>
  <si>
    <t>ABRA - 6510 NE Philadl   PHILADELPHIA PA</t>
  </si>
  <si>
    <t>Ladder (+other?)</t>
  </si>
  <si>
    <t>Work food</t>
  </si>
  <si>
    <t>Moving van gas</t>
  </si>
  <si>
    <t>Damage waiver</t>
  </si>
  <si>
    <t>AGUSTAWESTLAND P DIRECT DEP ***********7CLD</t>
  </si>
  <si>
    <t>POST-PZ1CUSOP    WEB PMTS   ***********0Q54</t>
  </si>
  <si>
    <t>HONDA PMT        8004489307 ***********2741</t>
  </si>
  <si>
    <t>AGUSTAWESTLAND P DIRECT DEP ***********4CLD</t>
  </si>
  <si>
    <t>PAYPAL           INST XFER  ***********  EB</t>
  </si>
  <si>
    <t>Geiger going away</t>
  </si>
  <si>
    <t>Moving</t>
  </si>
  <si>
    <t>Curtain rods</t>
  </si>
  <si>
    <t>Unplugged dating</t>
  </si>
  <si>
    <t>PECO RESIDENTAL  UTIL PMT   ***********8888</t>
  </si>
  <si>
    <t>HONDA PMT        8004489307 ***********HQJP</t>
  </si>
  <si>
    <t>PECOENERGY       UTIL_BIL   ***********0502</t>
  </si>
  <si>
    <t>INTESASPAO94547VIA AGUSTAGALLARATE  VA</t>
  </si>
  <si>
    <t>UBER   TRIP              HELP.UBER.COMCA</t>
  </si>
  <si>
    <t>AGUSTAWESTLAND P DIRECT DEP ***********8CLD</t>
  </si>
  <si>
    <t>VERIZON          PAYMENTREC ***********0001</t>
  </si>
  <si>
    <t>Telephone Services</t>
  </si>
  <si>
    <t>PECOENERGY       UTIL_BIL   ***********0422</t>
  </si>
  <si>
    <t>PERSONALINCOME   PAINDIVLTX ***********7107</t>
  </si>
  <si>
    <t>IRS              USATAXPYMT ***********9219</t>
  </si>
  <si>
    <t>Taxes</t>
  </si>
  <si>
    <t>TARGET        00032276   PHILADELPHIA PA</t>
  </si>
  <si>
    <t>DUFRITAL  SPA            FERNO        IT</t>
  </si>
  <si>
    <t>UNITED      0161506877837800-932-2732 TX</t>
  </si>
  <si>
    <t>PAYPAL *CUSTOMTEES       402-935-7733 UT</t>
  </si>
  <si>
    <t>CROWNE PLAZA MILAN - MAL SOMMA LOMBARDIT</t>
  </si>
  <si>
    <t>C2 - LITTLE PURSE        NEWARK       NJ</t>
  </si>
  <si>
    <t>C2 CIBO EXPRESS C104-EMV NEWARK       NJ</t>
  </si>
  <si>
    <t>UNITED      0161506384509800-932-2732 TX</t>
  </si>
  <si>
    <t>REGAL CINEMAS MOBILE APP 877-835-5734 TN</t>
  </si>
  <si>
    <t>ALDI 60091               PHILADELPHIA PA</t>
  </si>
  <si>
    <t>AMAZON.COM*MZ5GK3052 AMZNAMZN.COM/BILLWA</t>
  </si>
  <si>
    <t>PAYPAL *HELLOFRESH       402-935-7733 NY</t>
  </si>
  <si>
    <t>FAIRMOUNT PIZZERIA       PHILADELPHIA PA</t>
  </si>
  <si>
    <t>Endgame uber</t>
  </si>
  <si>
    <t>Captain Marvel</t>
  </si>
  <si>
    <t>Rug</t>
  </si>
  <si>
    <t>Italy Trip Economy Plus</t>
  </si>
  <si>
    <t>Italy Trip Hotel</t>
  </si>
  <si>
    <t>AGUSTAWESTLAND P DIRECT-PAY ***********5382</t>
  </si>
  <si>
    <t>AGUSTAWESTLAND P DIRECT DEP ***********9CLD</t>
  </si>
  <si>
    <t>AGUSTAWESTLAND P DIRECT DEP ***********0CLD</t>
  </si>
  <si>
    <t>PECOENERGY       UTIL_BIL   ***********0517</t>
  </si>
  <si>
    <t>Bonus</t>
  </si>
  <si>
    <t>Surviving Mars</t>
  </si>
  <si>
    <t>GLICKS RIB SHACK         PHILADELPHIA PA</t>
  </si>
  <si>
    <t>HBO NOW (855) 942-6669   HTTPSHBO.COM NY</t>
  </si>
  <si>
    <t>SPRINT STORE #1266       PHILADELPHIA PA</t>
  </si>
  <si>
    <t>LYFT   *RIDE SAT 5PM     LYFT.COM     CA</t>
  </si>
  <si>
    <t>ARAMARK CITIZENS BANK PARPHILADELPHIA PA</t>
  </si>
  <si>
    <t>LYFT   *RIDE FRI 7PM     LYFT.COM     CA</t>
  </si>
  <si>
    <t>LYFT   *RIDE SAT 3PM     LYFT.COM     CA</t>
  </si>
  <si>
    <t>LYFT   *RIDE FRI 5PM     LYFT.COM     CA</t>
  </si>
  <si>
    <t>IPHO                     PHILADELPHIA PA</t>
  </si>
  <si>
    <t>SPRINT *WIRELESS         800-639-6111 KS</t>
  </si>
  <si>
    <t>UA RIVERVIEW PLAZA 17    PHILADELPHIA PA</t>
  </si>
  <si>
    <t>AMZN MKTP US*MN2LF7UM0 AMAMZN.COM/BILLWA</t>
  </si>
  <si>
    <t>SWEET LUCYS SMOKE HOUSE  PHILADELPHIA PA</t>
  </si>
  <si>
    <t>FRESHLY.COM              HTTPSWWW.FRESNY</t>
  </si>
  <si>
    <t>PAYPAL *THESUPERWOK      402-935-7733 IL</t>
  </si>
  <si>
    <t>AGUSTAWESTLAND P DIRECT DEP ***********1CLD</t>
  </si>
  <si>
    <t>HONDA PMT        8004489307 ***********XD2K</t>
  </si>
  <si>
    <t>Fire Blankets</t>
  </si>
  <si>
    <t>AMZN MKTP US*M68WA5DG2 AMAMZN.COM/BILLWA</t>
  </si>
  <si>
    <t>WHOLEFDS PCC #10514      PHILADELPHIA PA</t>
  </si>
  <si>
    <t>PECOENERGY       UTIL_BIL   ***********0618</t>
  </si>
  <si>
    <t>Raw Amount</t>
  </si>
  <si>
    <t>SQ *STONE'S BEER CO      PHILADELPHIA PA</t>
  </si>
  <si>
    <t>LYFT   *RIDE THU 4PM     LYFT.COM     CA</t>
  </si>
  <si>
    <t>GRAND CHINA BUFFET       PHILADELPHIA PA</t>
  </si>
  <si>
    <t>SUNOCO 0905508800        PHILADELPHIA PA</t>
  </si>
  <si>
    <t>LORRAINE BAR             PHILADELPHIA PA</t>
  </si>
  <si>
    <t>Amazon.com*MH8CI1F72     Amzn.com/billWA</t>
  </si>
  <si>
    <t>BUBBAKOO BURRITOS        PHILADELPHIA PA</t>
  </si>
  <si>
    <t>FortressCraft</t>
  </si>
  <si>
    <t>Brutal Legends</t>
  </si>
  <si>
    <t>AGUSTAWESTLAND P DIRECT DEP ***********5CLD</t>
  </si>
  <si>
    <t>HONDA PMT        8004489307 ***********7VBW</t>
  </si>
  <si>
    <t>PGW WEBPAY       UTILITY    ***********1143</t>
  </si>
  <si>
    <t>Board games</t>
  </si>
  <si>
    <t>7/6/2019 USAA accounts had everything posted. Total balance:</t>
  </si>
  <si>
    <t>THE HALAL GUYS PHILADELPHPURGATORY    CO</t>
  </si>
  <si>
    <t>AMERICAN AIR0012368675738PAYPAL COM   TX</t>
  </si>
  <si>
    <t>UNITED AIR  0162464922253PAYPAL COM   TX</t>
  </si>
  <si>
    <t>LYFT   *RIDE SAT 9PM     lyft.com     CA</t>
  </si>
  <si>
    <t>LYFT   *RIDE SAT 6PM     lyft.com     CA</t>
  </si>
  <si>
    <t>AMZN Mktp US*MA1PJ53S1   Amzn.com/billWA</t>
  </si>
  <si>
    <t>PP*EB SPEED DATING-AGES  402-935-7733 CA</t>
  </si>
  <si>
    <t>WAWA 744      00007443   MANAHAWKIN   NJ</t>
  </si>
  <si>
    <t>AMAZON.COM*MH4LU9KK1 AMZNAMZN.COM/BILLWA</t>
  </si>
  <si>
    <t>AMZN Mktp US*MH7TI1DU2   Amzn.com/billWA</t>
  </si>
  <si>
    <t>PAYPAL *GIVING FUND      402-935-7733 DC</t>
  </si>
  <si>
    <t>PAYPAL *FANDANGO         402-935-7733 CA</t>
  </si>
  <si>
    <t>HONDA PMT        8004489307 ***********OPQA</t>
  </si>
  <si>
    <t>PNC BANK1400 ROUTE 72    MANAHAWKIN   NJ</t>
  </si>
  <si>
    <t>AGUSTAWESTLAND P DIRECT DEP ***********6CLD</t>
  </si>
  <si>
    <t>PECOENERGY       UTIL_BIL   ***********0717</t>
  </si>
  <si>
    <t>Spiderman</t>
  </si>
  <si>
    <t>Rohina</t>
  </si>
  <si>
    <t>Thanksgiving</t>
  </si>
  <si>
    <t>D&amp;D</t>
  </si>
  <si>
    <t>Clark Park Shakespeare</t>
  </si>
  <si>
    <t>Water guns and baseball stuff</t>
  </si>
  <si>
    <t>Bento boxes</t>
  </si>
  <si>
    <t>Wire shelf</t>
  </si>
  <si>
    <t>MISSION BBQ NE PHILLY  PAPHILADELPHIA PA</t>
  </si>
  <si>
    <t>AMZN Digital*MA58L6I90   888-802-3080 WA</t>
  </si>
  <si>
    <t>THE HALAL GUYS PHILADELPHCHESTERBROOK PA</t>
  </si>
  <si>
    <t>3-AVENUE C SECURE PAY    TROY         MI</t>
  </si>
  <si>
    <t>PAYPAL *PETESFAMOUSPIZ   402-935-7733 IL</t>
  </si>
  <si>
    <t>POPEYES 11202            PHILADELPHIA PA</t>
  </si>
  <si>
    <t>BURGER KING #10740       PHILADELPHIA PA</t>
  </si>
  <si>
    <t>PAYPAL *MENSWEARHSE      402-935-7733 TX</t>
  </si>
  <si>
    <t>MAGGIE'S WATERFRONT CA   215-6376716  PA</t>
  </si>
  <si>
    <t>LYFT   *RIDE FRI 9PM     LYFT.COM     CA</t>
  </si>
  <si>
    <t>LYFT   *RIDE FRI 6PM     LYFT.COM     CA</t>
  </si>
  <si>
    <t>PECOENERGY       UTIL_BIL   ***********0816</t>
  </si>
  <si>
    <t>PGW WEBPAY       UTILITY    ***********7749</t>
  </si>
  <si>
    <t>Julianne + my stuff</t>
  </si>
  <si>
    <t>A00076231924-40 FAIRMONT PHILADELPHIA PA</t>
  </si>
  <si>
    <t>PGW WEBPAY       UTILITY    ***********2700</t>
  </si>
  <si>
    <t>HONDA PMT        8004489307 ***********146Q</t>
  </si>
  <si>
    <t>PAYPAL *MAPLESTAR        402-935-7733 IL</t>
  </si>
  <si>
    <t>PAYPAL *PAZZOPAZZOPIZZ   402-935-7733 IL</t>
  </si>
  <si>
    <t>LYFT   *RIDE SAT 1PM     lyft.com     CA</t>
  </si>
  <si>
    <t>AMERICAN AIR0012375016288PAYPAL COM   TX</t>
  </si>
  <si>
    <t>UNITED AIR  0162470201445PAYPAL COM   TX</t>
  </si>
  <si>
    <t>UNITED AIR  0161531606369PAYPAL COM   TX</t>
  </si>
  <si>
    <t>PAYPAL *FAIRMOUNTPIZZA   402-935-7733 IL</t>
  </si>
  <si>
    <t>BARNES &amp;amp; NOBLE #2850     PHILADELPHIA PA</t>
  </si>
  <si>
    <t>AMAZON.COM*MO5ZI9H41 AMZNAMZN.COM/BILLWA</t>
  </si>
  <si>
    <t>PAYPAL *PAULIESPIZZA     402-935-7733 IL</t>
  </si>
  <si>
    <t>REENS DELI               PHILADELPHIA PA</t>
  </si>
  <si>
    <t>PGW WEBPAY       UTILITY    ***********9510</t>
  </si>
  <si>
    <t>HONDA PMT        8004489307 ***********ZLE2</t>
  </si>
  <si>
    <t>PECOENERGY       UTIL_BIL   ***********0916</t>
  </si>
  <si>
    <t>P3299432775 LEBANON RD   MANHEIM      PA</t>
  </si>
  <si>
    <t>AC MOORE STR 62          215-752-9506 PA</t>
  </si>
  <si>
    <t>TARGET        00014431   PHILADELPHIA PA</t>
  </si>
  <si>
    <t>T.J. MAXX #1507          PHILADELPHIA PA</t>
  </si>
  <si>
    <t>AMZN Mktp US*2A1Z25Z53   Amzn.com/billWA</t>
  </si>
  <si>
    <t>ALLENSLANEARTCENTER      215-248-0546 PA</t>
  </si>
  <si>
    <t>Charitable Giving</t>
  </si>
  <si>
    <t>FUEL RESTAURANT          PHILADELPHIA PA</t>
  </si>
  <si>
    <t>EXXONMOBIL    48276307   MANHEIM      PA</t>
  </si>
  <si>
    <t>LYFT   *RIDE SAT 8PM     lyft.com     CA</t>
  </si>
  <si>
    <t>MAZZAVINYRDS/PARENFAIR   717-665-7021 PA</t>
  </si>
  <si>
    <t>To Joshua Mitchell (Tailgate)</t>
  </si>
  <si>
    <t>To Molly Blakely (Vikings)</t>
  </si>
  <si>
    <t>To Darren Taillie (Lunch)</t>
  </si>
  <si>
    <t>From Molly Blakely (Idk)</t>
  </si>
  <si>
    <t>To Alex Nocera (Annoying Alex)</t>
  </si>
  <si>
    <t>To Brian Garneau (Brickhouse)</t>
  </si>
  <si>
    <t>To Joshua Mitchell (Drinks)</t>
  </si>
  <si>
    <t>To Allison Lock (Drinks)</t>
  </si>
  <si>
    <t>To Nick Scotto (Brickhouse)</t>
  </si>
  <si>
    <t>From Dan Connelly (Thirsty Dice)</t>
  </si>
  <si>
    <t>From Joshua Mitchell (Thirsty Dice)</t>
  </si>
  <si>
    <t>From Molly Blakely (Thirsty Dice)</t>
  </si>
  <si>
    <t>From Allison Lock (Thirsty Dice)</t>
  </si>
  <si>
    <t>From Kevin McBride (Thirsty Dice)</t>
  </si>
  <si>
    <t>From Hank Finnin (Thirsty Dice)</t>
  </si>
  <si>
    <t>From Tom Mazza (Thirsty Dice)</t>
  </si>
  <si>
    <t>From Kassandra Zimmerman (Food)</t>
  </si>
  <si>
    <t>To Molly Blakely (Idk)</t>
  </si>
  <si>
    <t>To Molly Blakely (Godzilla)</t>
  </si>
  <si>
    <t>To Molly Blakely (Lyft)</t>
  </si>
  <si>
    <t>To Nate Albuck (Las Margs)</t>
  </si>
  <si>
    <t>From Kassandra Zimmerman (Idk)</t>
  </si>
  <si>
    <t>From Ilenna Jones (Thirsty Dice)</t>
  </si>
  <si>
    <t>To Dan Connelly (Beach pass)</t>
  </si>
  <si>
    <t>To Joshua Mitchell (Gas money)</t>
  </si>
  <si>
    <t>To Allison Lock (Ice cream)</t>
  </si>
  <si>
    <t>To Darren Taillie (Brickhouse)</t>
  </si>
  <si>
    <t>To Dan Connelly (Fantasy Football)</t>
  </si>
  <si>
    <t>From Paul Torres (Brickhouse)</t>
  </si>
  <si>
    <t>Film Noir w Julianne</t>
  </si>
  <si>
    <t>Brickhouse (approximate)</t>
  </si>
  <si>
    <t>From Maggie Mulhern (Yamato)</t>
  </si>
  <si>
    <t>From Nate Albuck (Yamato)</t>
  </si>
  <si>
    <t>Maggie's (approximate)</t>
  </si>
  <si>
    <t>Deposits</t>
  </si>
  <si>
    <t>PECOENERGY       UTIL_BIL   ***********1114</t>
  </si>
  <si>
    <t>Rewards</t>
  </si>
  <si>
    <t>PGW WEBPAY       UTILITY    ***********1594</t>
  </si>
  <si>
    <t>HONDA PMT        8004489307 ***********UXSC</t>
  </si>
  <si>
    <t>PECOENERGY       UTIL_BIL   ***********1016</t>
  </si>
  <si>
    <t>Housing allowance</t>
  </si>
  <si>
    <t>Salary + medical rebate</t>
  </si>
  <si>
    <t>NONTRACKED</t>
  </si>
  <si>
    <t>PANDA EXPRESS TERMINAL A HOUSTON      TX</t>
  </si>
  <si>
    <t>CYPRESS TRAIL HIDEOUT    CYPRESS      TX</t>
  </si>
  <si>
    <t>LYFT   *RIDE FRI 2PM     lyft.com     CA</t>
  </si>
  <si>
    <t>AUNTIE ANNE'S #PA 331    PHILADELPHIA PA</t>
  </si>
  <si>
    <t>SALADWORKS - BENSALEM    BENSALEM     PA</t>
  </si>
  <si>
    <t>PAYPAL *MICROSOFT STORE  402-935-7733 WA</t>
  </si>
  <si>
    <t>PAYPAL *RIOT GAMES INC.  402-935-7733 CA</t>
  </si>
  <si>
    <t>CALIFORNIA TORTILLA #50  PHILADELPHIA PA</t>
  </si>
  <si>
    <t>RE *PAX UNPLUGGED        877-674-8241 CT</t>
  </si>
  <si>
    <t>SUBWAY        04291068   PHILADELPHIA PA</t>
  </si>
  <si>
    <t>PAYPAL *SIMPLEMENU       402-935-7733 NY</t>
  </si>
  <si>
    <t>AMZN Mktp US*ON97Q9BH3   Amzn.com/billWA</t>
  </si>
  <si>
    <t>AMZN Mktp US*NZ3PQ6153   Amzn.com/billWA</t>
  </si>
  <si>
    <t>AMZN Mktp US*KQ7WJ7G63   Amzn.com/billWA</t>
  </si>
  <si>
    <t>RIVERVIEW PLAZA 17 IMAX  PHILADELPHIA PA</t>
  </si>
  <si>
    <t>NICK'S ROAST BEEF        NORTHEAST PHIPA</t>
  </si>
  <si>
    <t>Prime Video*976OM6MR3    888-802-3080 WA</t>
  </si>
  <si>
    <t>AMZN Mktp US*LO9VJ9JV3   Amzn.com/billWA</t>
  </si>
  <si>
    <t>LOWES #01848*            PHILADELPHIA PA</t>
  </si>
  <si>
    <t>AMZN Mktp US*YR0QQ4K03   Amzn.com/billWA</t>
  </si>
  <si>
    <t>AMZN Digital*XO36E0R43   888-802-3080 WA</t>
  </si>
  <si>
    <t>MICHAELS STORES 4726     PHILADELPHIA PA</t>
  </si>
  <si>
    <t>JOANN STORES #2357       PHILADELPHIA PA</t>
  </si>
  <si>
    <t>BATH AND BODY WORKS 4560 PHILADELPHIA PA</t>
  </si>
  <si>
    <t>Dinner with family</t>
  </si>
  <si>
    <t>Halloween party mixers</t>
  </si>
  <si>
    <t>Halloween party food</t>
  </si>
  <si>
    <t>Joker</t>
  </si>
  <si>
    <t>Halloween - 10</t>
  </si>
  <si>
    <t>Halloween - 9</t>
  </si>
  <si>
    <t>Halloween - 8</t>
  </si>
  <si>
    <t>Halloween - 7</t>
  </si>
  <si>
    <t>Halloween - 6</t>
  </si>
  <si>
    <t>Halloween - 12</t>
  </si>
  <si>
    <t>Halloween - 1</t>
  </si>
  <si>
    <t>Halloween - 13</t>
  </si>
  <si>
    <t>Halloween - 14</t>
  </si>
  <si>
    <t>Halloween - 15</t>
  </si>
  <si>
    <t>Halloween - 16</t>
  </si>
  <si>
    <t>Halloween - 17</t>
  </si>
  <si>
    <t>Halloween - 18</t>
  </si>
  <si>
    <t>Halloween - 2</t>
  </si>
  <si>
    <t>Halloween - 3</t>
  </si>
  <si>
    <t>Halloween - 4</t>
  </si>
  <si>
    <t>Halloween - 5</t>
  </si>
  <si>
    <t>Halloween - 11</t>
  </si>
  <si>
    <t>Halloween - 19</t>
  </si>
  <si>
    <t>Halloween - 15 - gift card refund</t>
  </si>
  <si>
    <t>Julianne's target stuff</t>
  </si>
  <si>
    <t>Atlantis Movie</t>
  </si>
  <si>
    <t>Halloween - Total</t>
  </si>
  <si>
    <t>Halloween - Total - Housing - Other</t>
  </si>
  <si>
    <t>Halloween - Total - Housing - Decoration</t>
  </si>
  <si>
    <t>Halloween - Total - Dates</t>
  </si>
  <si>
    <t>Halloween - Total - Big Fun</t>
  </si>
  <si>
    <t>Halloween - Total - Groceries</t>
  </si>
  <si>
    <t>Halloween - Total - Clothes/Personal care</t>
  </si>
  <si>
    <t>From Brian Glassman (Nick's Roast Beef)</t>
  </si>
  <si>
    <t>To Patricia McNamee (Good Friendship)</t>
  </si>
  <si>
    <t>To Umut Ulun (Po-ta-to)</t>
  </si>
  <si>
    <t>To Sid Xiao (Lunch)</t>
  </si>
  <si>
    <t>To Julianne Layden (Birthday Drink)</t>
  </si>
  <si>
    <t>LYFT   *RIDE MON 12AM    lyft.com     CA</t>
  </si>
  <si>
    <t>LYFT   *CANCEL FEE       lyft.com     CA</t>
  </si>
  <si>
    <t>PICK UP STIX-219         HOUSTON      TX</t>
  </si>
  <si>
    <t>UNITED      0161556912392800-932-2732 TX</t>
  </si>
  <si>
    <t>PANERA BREAD #202500 P   HOUSTON      TX</t>
  </si>
  <si>
    <t>PAYPAL *VELLABOX         402-935-7733 CA</t>
  </si>
  <si>
    <t>BARNES &amp;amp; NOBLE #2183     HOUSTON      TX</t>
  </si>
  <si>
    <t>SKECHERS-USA #317        SAN ANTONIO  TX</t>
  </si>
  <si>
    <t>RACEWAY 6884  09468844   HOUSTON      TX</t>
  </si>
  <si>
    <t>TARGET        00021444   HOUSTON      TX</t>
  </si>
  <si>
    <t>PHI BOOK STORE           PHILADELPHIA PA</t>
  </si>
  <si>
    <t>AMERICAN AIR0011502703530FORT WORTH   TX</t>
  </si>
  <si>
    <t>LYFT   *RIDE THU 6AM     lyft.com     CA</t>
  </si>
  <si>
    <t>ALDO LAMBERTI TRATTORIA  PHILADELPHIA PA</t>
  </si>
  <si>
    <t>BUBBAKOOS BURRITOS LOC 25PHILADELPHIA PA</t>
  </si>
  <si>
    <t>PAYPAL *WIKIPEDIA        402-935-7733 CA</t>
  </si>
  <si>
    <t>ARAMARK PA CONV CTR CONC PHILADELPHIA PA</t>
  </si>
  <si>
    <t>SQ *PANDEMONIUM BOO      CAMBRIDGE    MA</t>
  </si>
  <si>
    <t>LYFT   *RIDE WED 10PM    lyft.com     CA</t>
  </si>
  <si>
    <t>LYFT   *RIDE WED 6PM     lyft.com     CA</t>
  </si>
  <si>
    <t>WAL-MART #5130           PHILADELPHIA PA</t>
  </si>
  <si>
    <t>HARRIS VEHREG            EGOV.COM     TX</t>
  </si>
  <si>
    <t>TX.GOV*SERVICEFEE-DIR    EGOV.COM     TX</t>
  </si>
  <si>
    <t>PAYPAL *BESTBUY COM      402-935-7733 MN</t>
  </si>
  <si>
    <t>TAXI SVC LONG ISLAND C   ASTORIA      NY</t>
  </si>
  <si>
    <t>HONDA PMT        8004489307 ***********JBCL</t>
  </si>
  <si>
    <t>Cardtronics CCS200 E MARKSAN ANTONIO  TX</t>
  </si>
  <si>
    <t>PECOENERGY       UTIL_BIL   ***********1213</t>
  </si>
  <si>
    <t>PGW WEBPAY       UTILITY    ***********7279</t>
  </si>
  <si>
    <t>AGUSTAWESTLAND P DIRECT DEP ***********3CLD</t>
  </si>
  <si>
    <t>HONDA PMT        8004489307 ***********T16E</t>
  </si>
  <si>
    <t>Jill Christmas gift</t>
  </si>
  <si>
    <t>Printer Ink</t>
  </si>
  <si>
    <t>Christmas baggage</t>
  </si>
  <si>
    <t>Christmas travel</t>
  </si>
  <si>
    <t>Thanksgiving travel</t>
  </si>
  <si>
    <t>Stellaris DLC</t>
  </si>
  <si>
    <t>Neck pillow</t>
  </si>
  <si>
    <t>Chairs</t>
  </si>
  <si>
    <t>Marijke Christmas Gift</t>
  </si>
  <si>
    <t>Thanksgiving potluck</t>
  </si>
  <si>
    <t>Spendable</t>
  </si>
  <si>
    <t>Savings</t>
  </si>
  <si>
    <t>BEST BUY      00005892   PHILADELPHIA PA</t>
  </si>
  <si>
    <t>HAIR CUTTERY #136        PHILADELPHIA PA</t>
  </si>
  <si>
    <t>PECOENERGY       UTIL_BIL   ***********0117</t>
  </si>
  <si>
    <t>PGW WEBPAY       UTILITY    ***********4224</t>
  </si>
  <si>
    <t>LYFT   *RIDE SAT 10PM    lyft.com     CA</t>
  </si>
  <si>
    <t>PAYPAL *GROUPON INC      402-935-7733 KY</t>
  </si>
  <si>
    <t>ACT*Phila Woodworks      800-6634991  TX</t>
  </si>
  <si>
    <t>BAD BROTHER              PHILADELPHIA PA</t>
  </si>
  <si>
    <t>zeros for formula consistency</t>
  </si>
  <si>
    <t>$ Left</t>
  </si>
  <si>
    <t>Days Left</t>
  </si>
  <si>
    <t>Haircut</t>
  </si>
  <si>
    <t>Alyssa</t>
  </si>
  <si>
    <t>Ilenna</t>
  </si>
  <si>
    <t>Kassie</t>
  </si>
  <si>
    <t>Kassie dragon</t>
  </si>
  <si>
    <t>Danielle flight</t>
  </si>
  <si>
    <t>Phone charger - Penn state trip</t>
  </si>
  <si>
    <t>Gross 288.45 Retro from raise</t>
  </si>
  <si>
    <t>rollover</t>
  </si>
  <si>
    <t>Housewarming</t>
  </si>
  <si>
    <t>Shoes for AMI event</t>
  </si>
  <si>
    <t>Pastel Smurf Shirt return</t>
  </si>
  <si>
    <t>Work clothes</t>
  </si>
  <si>
    <t>Julianne's candles</t>
  </si>
  <si>
    <t>Insanity of Mary Girard</t>
  </si>
  <si>
    <t>PA Ren Faire</t>
  </si>
  <si>
    <t>Unplugged dating refund</t>
  </si>
  <si>
    <t>AMI pay</t>
  </si>
  <si>
    <t>Loan to Jill</t>
  </si>
  <si>
    <t>Salary + 73.09 Retro</t>
  </si>
  <si>
    <t>First month + activation etc.</t>
  </si>
  <si>
    <t>Water bill</t>
  </si>
  <si>
    <t>IRS              USATAXPYMT ***********5530</t>
  </si>
  <si>
    <t>AGUSTAWESTLAND P DIRECT DEP ***********2CLD</t>
  </si>
  <si>
    <t>PGW WEBPAY       UTILITY    ***********4167</t>
  </si>
  <si>
    <t>HONDA PMT        8004489307 ***********3U3T</t>
  </si>
  <si>
    <t>PNC BANK3341 GRANT AVE   PHILADELPHIA PA</t>
  </si>
  <si>
    <t>THIRSTY DICE             THIRSTYDICE.CPA</t>
  </si>
  <si>
    <t>RPG Night</t>
  </si>
  <si>
    <t>D&amp;D&amp;D</t>
  </si>
  <si>
    <t>PTO Payout</t>
  </si>
  <si>
    <t>TopHat Dance</t>
  </si>
  <si>
    <t>Manually copy the amount/days remaining columns to the new year as transactions</t>
  </si>
  <si>
    <t>TODO</t>
  </si>
  <si>
    <t>Make something that warns if the rmaining/previous don't match between years</t>
  </si>
  <si>
    <t>Data from accounts is fed into "Log [Year]" sheets (table name is "Log_[Year]")</t>
  </si>
  <si>
    <t>"Log_[Year]" tables includes formulas to apply splits to each month of the year, carrying over to next month as needed</t>
  </si>
  <si>
    <t>"Totals [Year]" sheets totals values from "Log_[Year]" tables (table name is "Totals_[Year]")</t>
  </si>
  <si>
    <t>"Buckets" sheet pulls from "Totals_[Year]" tables and applies the refilling logic</t>
  </si>
  <si>
    <t>1/1/18</t>
  </si>
  <si>
    <t>2/1/18</t>
  </si>
  <si>
    <t>3/1/18</t>
  </si>
  <si>
    <t>4/1/18</t>
  </si>
  <si>
    <t>5/1/18</t>
  </si>
  <si>
    <t>6/1/18</t>
  </si>
  <si>
    <t>7/1/18</t>
  </si>
  <si>
    <t>8/1/18</t>
  </si>
  <si>
    <t>9/1/18</t>
  </si>
  <si>
    <t>10/1/18</t>
  </si>
  <si>
    <t>11/1/18</t>
  </si>
  <si>
    <t>12/1/18</t>
  </si>
  <si>
    <t>1/1/19</t>
  </si>
  <si>
    <t>2/1/19</t>
  </si>
  <si>
    <t>3/1/19</t>
  </si>
  <si>
    <t>4/1/19</t>
  </si>
  <si>
    <t>5/1/19</t>
  </si>
  <si>
    <t>6/1/19</t>
  </si>
  <si>
    <t>7/1/19</t>
  </si>
  <si>
    <t>8/1/19</t>
  </si>
  <si>
    <t>9/1/19</t>
  </si>
  <si>
    <t>10/1/19</t>
  </si>
  <si>
    <t>11/1/19</t>
  </si>
  <si>
    <t>12/1/19</t>
  </si>
  <si>
    <t>1/1/20</t>
  </si>
  <si>
    <t>2/1/20</t>
  </si>
  <si>
    <t>3/1/20</t>
  </si>
  <si>
    <t>4/1/20</t>
  </si>
  <si>
    <t>5/1/20</t>
  </si>
  <si>
    <t>6/1/20</t>
  </si>
  <si>
    <t>7/1/20</t>
  </si>
  <si>
    <t>8/1/20</t>
  </si>
  <si>
    <t>9/1/20</t>
  </si>
  <si>
    <t>10/1/20</t>
  </si>
  <si>
    <t>11/1/20</t>
  </si>
  <si>
    <t>12/1/20</t>
  </si>
  <si>
    <t>3% of net</t>
  </si>
  <si>
    <t>12% of net</t>
  </si>
  <si>
    <t>4% of net</t>
  </si>
  <si>
    <t>Split_apply</t>
  </si>
  <si>
    <t>Split_raw</t>
  </si>
  <si>
    <t>Use for average</t>
  </si>
  <si>
    <t>SourceTable</t>
  </si>
  <si>
    <t>Internal</t>
  </si>
  <si>
    <t>Total Income</t>
  </si>
  <si>
    <t>Net</t>
  </si>
  <si>
    <t>Total Expenses</t>
  </si>
  <si>
    <t>Total Internal</t>
  </si>
  <si>
    <t>Checksum</t>
  </si>
  <si>
    <t>adj. date&amp;split for consistency</t>
  </si>
  <si>
    <t>Fake first payment (from down - 13 one-off)</t>
  </si>
  <si>
    <t>REFERENCE ONLY, NOT FOR USE AS INPUT DATA</t>
  </si>
  <si>
    <t>Sum of Car - Note</t>
  </si>
  <si>
    <t>Sum of Car/Rental Insurance</t>
  </si>
  <si>
    <t>Sum of Car - Other</t>
  </si>
  <si>
    <t>Sum of Car - Parking Pass</t>
  </si>
  <si>
    <t>2018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</si>
  <si>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</si>
  <si>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</si>
  <si>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</si>
  <si>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</si>
  <si>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</si>
  <si>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</si>
  <si>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</si>
  <si>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</si>
  <si>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</si>
  <si>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</si>
  <si>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</si>
  <si>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</si>
  <si>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2019</t>
  </si>
  <si>
    <t>2020</t>
  </si>
  <si>
    <t>Sum of Self-improvement</t>
  </si>
  <si>
    <t>Sum of Clothes/Personal care</t>
  </si>
  <si>
    <t>Sum of Dates</t>
  </si>
  <si>
    <t>Sum of Entertainment - Other</t>
  </si>
  <si>
    <t>Sum of Games</t>
  </si>
  <si>
    <t>Sum of Going out</t>
  </si>
  <si>
    <t>Sum of Books</t>
  </si>
  <si>
    <t>Sum of Big Fun</t>
  </si>
  <si>
    <t>Sum of Groceries</t>
  </si>
  <si>
    <t>Sum of Food - nice</t>
  </si>
  <si>
    <t>Sum of Rent</t>
  </si>
  <si>
    <t>Sum of Utilities</t>
  </si>
  <si>
    <t>Sum of Internet</t>
  </si>
  <si>
    <t>Sum of Housing - Other</t>
  </si>
  <si>
    <t>Sum of Decoration</t>
  </si>
  <si>
    <t>Sum of 401k</t>
  </si>
  <si>
    <t>Sum of Retirement</t>
  </si>
  <si>
    <t>Sum of Long-term</t>
  </si>
  <si>
    <t>Sum of Unexpected Fund</t>
  </si>
  <si>
    <t>Sum of Medical - Other</t>
  </si>
  <si>
    <t>Sum of Medical Insurance</t>
  </si>
  <si>
    <t>Sum of ATM</t>
  </si>
  <si>
    <t>Sum of Other - Other</t>
  </si>
  <si>
    <t>Sum of Salary</t>
  </si>
  <si>
    <t>Sum of Income - Other</t>
  </si>
  <si>
    <t>Sum of CC Payments</t>
  </si>
  <si>
    <t>Sum of Internal Transfers</t>
  </si>
  <si>
    <t>Sum of Parental Funds</t>
  </si>
  <si>
    <t>Sum of NONTRACKED</t>
  </si>
  <si>
    <t>(Collapsing the year makes data inaccessable)</t>
  </si>
  <si>
    <t>What was this?</t>
  </si>
  <si>
    <t>Bumper repair</t>
  </si>
  <si>
    <t>15k mile</t>
  </si>
  <si>
    <t>2018 phone plan, adj. for const.</t>
  </si>
  <si>
    <t>Last month utilities Piazza</t>
  </si>
  <si>
    <t>First month paid early</t>
  </si>
  <si>
    <t>Aritom security deposit</t>
  </si>
  <si>
    <t>Aritom application fee</t>
  </si>
  <si>
    <t>Adjustments</t>
  </si>
  <si>
    <t>Available</t>
  </si>
  <si>
    <t>Spent</t>
  </si>
  <si>
    <t>Critical</t>
  </si>
  <si>
    <t>Non-critical</t>
  </si>
  <si>
    <t>Is Critical</t>
  </si>
  <si>
    <t>Is Non-Crit</t>
  </si>
  <si>
    <t>Needed</t>
  </si>
  <si>
    <t>Scaled</t>
  </si>
  <si>
    <t>After Criticals</t>
  </si>
  <si>
    <t>Funds available:</t>
  </si>
  <si>
    <t>Initially</t>
  </si>
  <si>
    <t>After Non-crit</t>
  </si>
  <si>
    <t>Avg %</t>
  </si>
  <si>
    <t>Overall %</t>
  </si>
  <si>
    <t>5k Gross Relo (back dated)</t>
  </si>
  <si>
    <t>Stock cash-out</t>
  </si>
  <si>
    <t>Overfill</t>
  </si>
  <si>
    <t>Negative</t>
  </si>
  <si>
    <t>Road Trip (back date and split)</t>
  </si>
  <si>
    <t>Penn State (back date)</t>
  </si>
  <si>
    <t>Penn State</t>
  </si>
  <si>
    <t>Italy Trip (back date and split)</t>
  </si>
  <si>
    <t>April Piazza (UXF for consistency)</t>
  </si>
  <si>
    <t>Piazza Security Deposit (back date)</t>
  </si>
  <si>
    <t>CHEVRON 0208912          MADISON      AL</t>
  </si>
  <si>
    <t>PECOENERGY       UTIL_BIL   ***********0219</t>
  </si>
  <si>
    <t>EB ROLL PLAY AN IMPRO    8014137200   CA</t>
  </si>
  <si>
    <t>MARRIOTT HUNTSVILLE      HUNTSVILLE   AL</t>
  </si>
  <si>
    <t>GREAT AMER BAG B14 ORD   CHICAGO      IL</t>
  </si>
  <si>
    <t>ENTERPRISE RENT-A-CAR    MADISON      AL</t>
  </si>
  <si>
    <t>US SPACE AND ROCKET CENTEHUNTSVILLE   AL</t>
  </si>
  <si>
    <t>PHIL SANDOVAL'S MEXICA   256-4895711  AL</t>
  </si>
  <si>
    <t>SKY BRIDGE ORD           CHICAGO      IL</t>
  </si>
  <si>
    <t>4849 GREEN LEAF'S/BANA   215-3653351  PA</t>
  </si>
  <si>
    <t>AMZN Digital*B95DA3WN3   888-802-3080 WA</t>
  </si>
  <si>
    <t>LYFT   *RIDE MON 5AM     lyft.com     CA</t>
  </si>
  <si>
    <t>PECOENERGY       UTIL_BIL   ***********0319</t>
  </si>
  <si>
    <t>PGW WEBPAY       UTILITY    ***********8575</t>
  </si>
  <si>
    <t>AGUSTAWESTLAND P DIRECT-PAY ***********9208</t>
  </si>
  <si>
    <t>HONDA PMT        8004489307 ***********UD4M</t>
  </si>
  <si>
    <t>VFS HQ</t>
  </si>
  <si>
    <t>PAYPAL *GRUBHUBFOOD TACOB402-935-7733 IL</t>
  </si>
  <si>
    <t>KICKSTARTER GLADIUS $    HTTPSWWW.KICKWA</t>
  </si>
  <si>
    <t>BIG ASS SLICES           PHILADELPHIA PA</t>
  </si>
  <si>
    <t>AMZN MKTP US*IA1773WX3 AMAMZN.COM/BILLWA</t>
  </si>
  <si>
    <t>SQ *STONE'S BEER &amp;amp; BEVERAPhiladelphia PA</t>
  </si>
  <si>
    <t>Amazon Prime*J635T1SK3   Amzn.com/billWA</t>
  </si>
  <si>
    <t>LANTERN THEATER COMPANY  PHILADELPHIA PA</t>
  </si>
  <si>
    <t>Prime Video*GZ9GP06W3    888-802-3080 WA</t>
  </si>
  <si>
    <t>LYFT   *RIDE SAT 3PM     lyft.com     CA</t>
  </si>
  <si>
    <t>SQ *CARLO'S BAKERY PHILADPhiladelphia PA</t>
  </si>
  <si>
    <t>HDMI adapter</t>
  </si>
  <si>
    <t>Christopher Robin</t>
  </si>
  <si>
    <t>VENMO            PAYMENT    ***********6022</t>
  </si>
  <si>
    <t>PGW WEBPAY       UTILITY    ***********2078</t>
  </si>
  <si>
    <t>HONDA PMT        8004489307 ***********04VQ</t>
  </si>
  <si>
    <t>PAYPAL *GRUBHUBFOOD LUIGI402-935-7733 IL</t>
  </si>
  <si>
    <t>PAYPAL *GRUBHUBFOOD KENSH402-935-7733 IL</t>
  </si>
  <si>
    <t>PAYPAL *GRUBHUBFOOD GENNA402-935-7733 IL</t>
  </si>
  <si>
    <t>AMZN Mktp US*SB7R31AK3   Amzn.com/billWA</t>
  </si>
  <si>
    <t>ACME VIA INSTACART       HTTPSINSTACARCA</t>
  </si>
  <si>
    <t>Refund Vegas for play</t>
  </si>
  <si>
    <t>Chair mat</t>
  </si>
  <si>
    <t>Last month minus down</t>
  </si>
  <si>
    <t>Down payment</t>
  </si>
  <si>
    <t>VFS HQ ; backdated</t>
  </si>
  <si>
    <t>invest</t>
  </si>
  <si>
    <t>rem</t>
  </si>
  <si>
    <t>ratio</t>
  </si>
  <si>
    <t>HONDA PMT        8004489307 ***********K1GN</t>
  </si>
  <si>
    <t>PECOENERGY       UTIL_BIL   ***********0417</t>
  </si>
  <si>
    <t>FID BKG SVC LLC  MONEYLINE  ***********4NVX</t>
  </si>
  <si>
    <t>PAYPAL *GRUBHUBFOOD ASIAO402-935-7733 IL</t>
  </si>
  <si>
    <t>PAYPAL *WERGOURMETF      402-935-7733 CA</t>
  </si>
  <si>
    <t>PAYPAL *GRUBHUBFOOD LAZOS402-935-7733 IL</t>
  </si>
  <si>
    <t>PAYPAL *GRUBHUBFOOD REXPI402-935-7733 IL</t>
  </si>
  <si>
    <t>PAYPAL *GRUBHUBFOOD ZUZUS402-935-7733 IL</t>
  </si>
  <si>
    <t>PAYPAL *GRUBHUBFOOD PITAC402-935-7733 IL</t>
  </si>
  <si>
    <t>ASHLEY FOODS             215-426-4103 PA</t>
  </si>
  <si>
    <t>PAYPAL *GRUBHUBFOOD DELRO402-935-7733 IL</t>
  </si>
  <si>
    <t>PAYPAL *GRUBHUBFOOD MASAL402-935-7733 IL</t>
  </si>
  <si>
    <t>M1 FINANCE (MOFI ACH        ***********4775</t>
  </si>
  <si>
    <t>M1 FINANCE (MOFI ACH        ***********4599</t>
  </si>
  <si>
    <t>M1 FINANCE (MOFI ACH        ***********4598</t>
  </si>
  <si>
    <t>M1 FINANCE (MOFI ACH        ***********5479</t>
  </si>
  <si>
    <t>M1 FINANCE (MOFI ACH        ***********5478</t>
  </si>
  <si>
    <t>M1 FINANCE (MOFI ACH        ***********5543</t>
  </si>
  <si>
    <t>M1 FINANCE (MOFI ACH        ***********5544</t>
  </si>
  <si>
    <t>PECOENERGY       UTIL_BIL   ***********0518</t>
  </si>
  <si>
    <t>M1 FINANCE (MOFI ACH        ***********0063</t>
  </si>
  <si>
    <t>M1 FINANCE (MOFI ACH        ***********0060</t>
  </si>
  <si>
    <t>IRS  TREAS 310     TAX REF  ***********0908</t>
  </si>
  <si>
    <t>PGW WEBPAY       UTILITY    ***********2683</t>
  </si>
  <si>
    <t>PAYPAL *GRUBHUBFOOD ZES  402-935-7733 IL</t>
  </si>
  <si>
    <t>Amazon Tips*M71K52AN0    Amzn.com/billWA</t>
  </si>
  <si>
    <t>AMAZON.COM*MC5WJ2WU2 AMZNAMZN.COM/BILLWA</t>
  </si>
  <si>
    <t>AMAZON.COM*M76XD3LH0 AMZNAMZN.COM/BILLWA</t>
  </si>
  <si>
    <t>PAYPAL *GRUBHUBFOOD MAS  402-935-7733 IL</t>
  </si>
  <si>
    <t>PAYPAL *GRUBHUBFOOD SPRIN402-935-7733 IL</t>
  </si>
  <si>
    <t>Raw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</si>
</sst>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[Blue]#,##0.00;#,##0.00;#,##0.00"/>
    <numFmt numFmtId="165" formatCode="[Blue]#,##0.00;\-#,##0.00;#,##0.00"/>
    <numFmt numFmtId="166" formatCode="0.0%"/>
    <numFmt numFmtId="167" formatCode="[Blue]#,##0.00_);[Red]\(#,##0.00\);0"/>
    <numFmt numFmtId="168" formatCode="mm/dd/yy;@"/>
    <numFmt numFmtId="169" formatCode="m/d/yy;@"/>
    <numFmt numFmtId="170" formatCode="mmmm\ \-\ 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1"/>
      <color theme="0" tint="-0.249977111117893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E7E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9BC2E6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4" applyNumberFormat="0" applyAlignment="0" applyProtection="0"/>
    <xf numFmtId="0" fontId="13" fillId="8" borderId="5" applyNumberFormat="0" applyAlignment="0" applyProtection="0"/>
    <xf numFmtId="0" fontId="14" fillId="8" borderId="4" applyNumberFormat="0" applyAlignment="0" applyProtection="0"/>
    <xf numFmtId="0" fontId="15" fillId="0" borderId="6" applyNumberFormat="0" applyFill="0" applyAlignment="0" applyProtection="0"/>
    <xf numFmtId="0" fontId="2" fillId="9" borderId="7" applyNumberFormat="0" applyAlignment="0" applyProtection="0"/>
    <xf numFmtId="0" fontId="16" fillId="0" borderId="0" applyNumberFormat="0" applyFill="0" applyBorder="0" applyAlignment="0" applyProtection="0"/>
    <xf numFmtId="0" fontId="1" fillId="10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1" applyNumberFormat="1" applyFont="1"/>
    <xf numFmtId="0" fontId="0" fillId="35" borderId="0" xfId="0" applyFill="1"/>
    <xf numFmtId="0" fontId="0" fillId="0" borderId="0" xfId="0" applyAlignment="1">
      <alignment horizontal="center"/>
    </xf>
    <xf numFmtId="0" fontId="4" fillId="36" borderId="0" xfId="0" applyFont="1" applyFill="1"/>
    <xf numFmtId="0" fontId="0" fillId="36" borderId="0" xfId="0" applyFill="1"/>
    <xf numFmtId="0" fontId="3" fillId="36" borderId="0" xfId="0" applyFont="1" applyFill="1"/>
    <xf numFmtId="0" fontId="3" fillId="36" borderId="0" xfId="0" applyFont="1" applyFill="1" applyAlignment="1">
      <alignment horizontal="right"/>
    </xf>
    <xf numFmtId="40" fontId="0" fillId="36" borderId="0" xfId="0" applyNumberFormat="1" applyFill="1"/>
    <xf numFmtId="40" fontId="0" fillId="2" borderId="0" xfId="0" applyNumberFormat="1" applyFill="1"/>
    <xf numFmtId="40" fontId="0" fillId="0" borderId="0" xfId="0" applyNumberFormat="1"/>
    <xf numFmtId="40" fontId="0" fillId="3" borderId="0" xfId="0" applyNumberFormat="1" applyFill="1"/>
    <xf numFmtId="40" fontId="0" fillId="36" borderId="0" xfId="0" applyNumberFormat="1" applyFill="1" applyAlignment="1">
      <alignment horizontal="right"/>
    </xf>
    <xf numFmtId="40" fontId="3" fillId="36" borderId="0" xfId="0" applyNumberFormat="1" applyFont="1" applyFill="1"/>
    <xf numFmtId="40" fontId="3" fillId="36" borderId="0" xfId="0" applyNumberFormat="1" applyFont="1" applyFill="1" applyAlignment="1">
      <alignment horizontal="right"/>
    </xf>
    <xf numFmtId="164" fontId="0" fillId="0" borderId="0" xfId="0" applyNumberFormat="1"/>
    <xf numFmtId="166" fontId="0" fillId="0" borderId="0" xfId="43" applyNumberFormat="1" applyFont="1"/>
    <xf numFmtId="40" fontId="0" fillId="37" borderId="0" xfId="0" applyNumberFormat="1" applyFill="1"/>
    <xf numFmtId="167" fontId="0" fillId="36" borderId="0" xfId="0" applyNumberFormat="1" applyFill="1"/>
    <xf numFmtId="0" fontId="0" fillId="0" borderId="0" xfId="0" applyAlignment="1">
      <alignment horizontal="right"/>
    </xf>
    <xf numFmtId="0" fontId="2" fillId="0" borderId="10" xfId="0" applyFont="1" applyBorder="1"/>
    <xf numFmtId="0" fontId="2" fillId="0" borderId="11" xfId="0" applyFont="1" applyBorder="1"/>
    <xf numFmtId="164" fontId="2" fillId="0" borderId="11" xfId="1" applyNumberFormat="1" applyFont="1" applyBorder="1"/>
    <xf numFmtId="0" fontId="2" fillId="0" borderId="0" xfId="0" applyFont="1"/>
    <xf numFmtId="14" fontId="0" fillId="0" borderId="0" xfId="0" applyNumberFormat="1"/>
    <xf numFmtId="40" fontId="0" fillId="36" borderId="0" xfId="0" applyNumberFormat="1" applyFill="1" applyAlignment="1">
      <alignment horizontal="center"/>
    </xf>
    <xf numFmtId="40" fontId="4" fillId="2" borderId="0" xfId="0" applyNumberFormat="1" applyFont="1" applyFill="1"/>
    <xf numFmtId="14" fontId="0" fillId="0" borderId="13" xfId="0" applyNumberFormat="1" applyBorder="1"/>
    <xf numFmtId="1" fontId="0" fillId="0" borderId="0" xfId="0" applyNumberFormat="1"/>
    <xf numFmtId="14" fontId="0" fillId="0" borderId="12" xfId="0" applyNumberFormat="1" applyBorder="1"/>
    <xf numFmtId="40" fontId="4" fillId="3" borderId="0" xfId="0" applyNumberFormat="1" applyFont="1" applyFill="1"/>
    <xf numFmtId="40" fontId="4" fillId="37" borderId="0" xfId="0" applyNumberFormat="1" applyFont="1" applyFill="1"/>
    <xf numFmtId="0" fontId="0" fillId="0" borderId="0" xfId="0" applyFont="1" applyFill="1"/>
    <xf numFmtId="14" fontId="0" fillId="0" borderId="0" xfId="0" applyNumberFormat="1" applyFont="1" applyFill="1"/>
    <xf numFmtId="165" fontId="0" fillId="0" borderId="0" xfId="1" applyNumberFormat="1" applyFont="1" applyFill="1"/>
    <xf numFmtId="164" fontId="0" fillId="0" borderId="0" xfId="0" applyNumberFormat="1" applyFont="1" applyFill="1"/>
    <xf numFmtId="0" fontId="0" fillId="0" borderId="0" xfId="0" applyNumberFormat="1" applyFont="1" applyFill="1" applyAlignment="1">
      <alignment horizontal="center"/>
    </xf>
    <xf numFmtId="14" fontId="0" fillId="0" borderId="0" xfId="0" applyNumberFormat="1" applyBorder="1"/>
    <xf numFmtId="0" fontId="0" fillId="0" borderId="0" xfId="0" applyFont="1" applyFill="1" applyBorder="1"/>
    <xf numFmtId="14" fontId="0" fillId="0" borderId="0" xfId="0" applyNumberFormat="1" applyFont="1" applyFill="1" applyBorder="1"/>
    <xf numFmtId="165" fontId="0" fillId="0" borderId="0" xfId="1" applyNumberFormat="1" applyFont="1" applyFill="1" applyBorder="1"/>
    <xf numFmtId="164" fontId="0" fillId="0" borderId="0" xfId="1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8" fontId="0" fillId="0" borderId="0" xfId="0" applyNumberFormat="1"/>
    <xf numFmtId="8" fontId="0" fillId="0" borderId="0" xfId="0" applyNumberFormat="1" applyBorder="1"/>
    <xf numFmtId="164" fontId="0" fillId="0" borderId="0" xfId="0" applyNumberFormat="1" applyFont="1" applyFill="1" applyBorder="1"/>
    <xf numFmtId="40" fontId="0" fillId="38" borderId="0" xfId="0" applyNumberFormat="1" applyFill="1"/>
    <xf numFmtId="0" fontId="2" fillId="0" borderId="14" xfId="0" applyFont="1" applyFill="1" applyBorder="1"/>
    <xf numFmtId="0" fontId="0" fillId="36" borderId="12" xfId="0" applyFill="1" applyBorder="1"/>
    <xf numFmtId="0" fontId="0" fillId="0" borderId="14" xfId="0" applyFill="1" applyBorder="1"/>
    <xf numFmtId="165" fontId="0" fillId="0" borderId="12" xfId="1" applyNumberFormat="1" applyFont="1" applyFill="1" applyBorder="1"/>
    <xf numFmtId="168" fontId="2" fillId="0" borderId="14" xfId="0" applyNumberFormat="1" applyFont="1" applyFill="1" applyBorder="1"/>
    <xf numFmtId="165" fontId="0" fillId="36" borderId="0" xfId="0" applyNumberFormat="1" applyFill="1"/>
    <xf numFmtId="0" fontId="2" fillId="0" borderId="15" xfId="0" applyFont="1" applyFill="1" applyBorder="1"/>
    <xf numFmtId="0" fontId="0" fillId="0" borderId="15" xfId="0" applyFill="1" applyBorder="1"/>
    <xf numFmtId="0" fontId="0" fillId="39" borderId="0" xfId="0" applyFill="1"/>
    <xf numFmtId="164" fontId="0" fillId="0" borderId="0" xfId="0" applyNumberFormat="1" applyFill="1"/>
    <xf numFmtId="164" fontId="0" fillId="36" borderId="0" xfId="0" applyNumberFormat="1" applyFont="1" applyFill="1"/>
    <xf numFmtId="165" fontId="0" fillId="0" borderId="13" xfId="1" applyNumberFormat="1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70" fontId="4" fillId="36" borderId="0" xfId="0" applyNumberFormat="1" applyFont="1" applyFill="1"/>
    <xf numFmtId="164" fontId="2" fillId="0" borderId="11" xfId="1" applyNumberFormat="1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NumberFormat="1"/>
    <xf numFmtId="165" fontId="0" fillId="0" borderId="14" xfId="1" applyNumberFormat="1" applyFont="1" applyFill="1" applyBorder="1"/>
    <xf numFmtId="165" fontId="0" fillId="36" borderId="14" xfId="1" applyNumberFormat="1" applyFont="1" applyFill="1" applyBorder="1"/>
    <xf numFmtId="165" fontId="0" fillId="36" borderId="13" xfId="1" applyNumberFormat="1" applyFont="1" applyFill="1" applyBorder="1"/>
    <xf numFmtId="165" fontId="0" fillId="36" borderId="12" xfId="1" applyNumberFormat="1" applyFont="1" applyFill="1" applyBorder="1"/>
    <xf numFmtId="169" fontId="0" fillId="36" borderId="0" xfId="0" applyNumberFormat="1" applyFill="1"/>
    <xf numFmtId="0" fontId="0" fillId="36" borderId="0" xfId="0" applyFill="1" applyAlignment="1">
      <alignment horizontal="left"/>
    </xf>
    <xf numFmtId="0" fontId="0" fillId="36" borderId="0" xfId="0" applyNumberFormat="1" applyFill="1"/>
    <xf numFmtId="169" fontId="0" fillId="36" borderId="0" xfId="0" applyNumberFormat="1" applyFill="1" applyBorder="1"/>
    <xf numFmtId="0" fontId="0" fillId="36" borderId="0" xfId="0" applyNumberFormat="1" applyFill="1" applyBorder="1"/>
    <xf numFmtId="165" fontId="0" fillId="36" borderId="12" xfId="0" applyNumberFormat="1" applyFont="1" applyFill="1" applyBorder="1"/>
    <xf numFmtId="0" fontId="0" fillId="36" borderId="12" xfId="0" applyFont="1" applyFill="1" applyBorder="1"/>
    <xf numFmtId="40" fontId="0" fillId="0" borderId="0" xfId="0" applyNumberFormat="1" applyFill="1"/>
    <xf numFmtId="169" fontId="0" fillId="0" borderId="0" xfId="0" applyNumberFormat="1" applyAlignment="1">
      <alignment horizontal="left" indent="1"/>
    </xf>
    <xf numFmtId="0" fontId="0" fillId="0" borderId="0" xfId="0" applyFill="1"/>
    <xf numFmtId="14" fontId="22" fillId="36" borderId="0" xfId="0" applyNumberFormat="1" applyFont="1" applyFill="1"/>
    <xf numFmtId="0" fontId="2" fillId="0" borderId="16" xfId="0" applyFont="1" applyFill="1" applyBorder="1" applyAlignment="1">
      <alignment horizontal="left" vertical="center" textRotation="45" wrapText="1"/>
    </xf>
    <xf numFmtId="0" fontId="0" fillId="0" borderId="16" xfId="0" applyBorder="1" applyAlignment="1">
      <alignment horizontal="left" vertical="center" textRotation="90" wrapText="1"/>
    </xf>
    <xf numFmtId="164" fontId="0" fillId="36" borderId="0" xfId="0" applyNumberFormat="1" applyFill="1"/>
    <xf numFmtId="14" fontId="0" fillId="39" borderId="0" xfId="0" applyNumberFormat="1" applyFont="1" applyFill="1"/>
    <xf numFmtId="0" fontId="4" fillId="36" borderId="0" xfId="0" applyFont="1" applyFill="1" applyAlignment="1">
      <alignment horizontal="center" vertical="center" textRotation="15"/>
    </xf>
    <xf numFmtId="0" fontId="3" fillId="36" borderId="0" xfId="0" applyFont="1" applyFill="1" applyAlignment="1">
      <alignment horizontal="center"/>
    </xf>
    <xf numFmtId="0" fontId="3" fillId="40" borderId="0" xfId="0" applyFont="1" applyFill="1" applyAlignment="1">
      <alignment horizontal="right"/>
    </xf>
    <xf numFmtId="0" fontId="3" fillId="41" borderId="0" xfId="0" applyFont="1" applyFill="1" applyAlignment="1">
      <alignment horizontal="right"/>
    </xf>
    <xf numFmtId="0" fontId="3" fillId="40" borderId="0" xfId="0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4" fillId="36" borderId="0" xfId="0" applyFont="1" applyFill="1" applyAlignment="1">
      <alignment horizontal="right"/>
    </xf>
    <xf numFmtId="0" fontId="0" fillId="3" borderId="0" xfId="0" applyNumberFormat="1" applyFill="1" applyAlignment="1">
      <alignment horizontal="center"/>
    </xf>
    <xf numFmtId="0" fontId="0" fillId="38" borderId="0" xfId="0" applyFill="1"/>
    <xf numFmtId="0" fontId="0" fillId="38" borderId="0" xfId="0" applyNumberFormat="1" applyFill="1" applyAlignment="1">
      <alignment horizontal="center"/>
    </xf>
    <xf numFmtId="40" fontId="4" fillId="38" borderId="0" xfId="0" applyNumberFormat="1" applyFont="1" applyFill="1"/>
    <xf numFmtId="166" fontId="0" fillId="38" borderId="0" xfId="43" applyNumberFormat="1" applyFont="1" applyFill="1"/>
    <xf numFmtId="40" fontId="4" fillId="36" borderId="0" xfId="0" applyNumberFormat="1" applyFont="1" applyFill="1"/>
    <xf numFmtId="0" fontId="0" fillId="37" borderId="0" xfId="0" applyNumberFormat="1" applyFill="1" applyAlignment="1">
      <alignment horizontal="center"/>
    </xf>
    <xf numFmtId="167" fontId="0" fillId="36" borderId="0" xfId="0" applyNumberFormat="1" applyFont="1" applyFill="1"/>
    <xf numFmtId="9" fontId="0" fillId="0" borderId="0" xfId="43" applyFont="1"/>
    <xf numFmtId="44" fontId="0" fillId="0" borderId="0" xfId="1" applyFont="1"/>
    <xf numFmtId="40" fontId="0" fillId="42" borderId="0" xfId="0" applyNumberFormat="1" applyFill="1"/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36" borderId="0" xfId="0" applyFont="1" applyFill="1" applyAlignment="1">
      <alignment horizontal="center"/>
    </xf>
    <xf numFmtId="0" fontId="4" fillId="0" borderId="0" xfId="0" applyFont="1" applyAlignment="1">
      <alignment horizontal="center" vertical="center" textRotation="15"/>
    </xf>
    <xf numFmtId="14" fontId="19" fillId="36" borderId="0" xfId="0" applyNumberFormat="1" applyFont="1" applyFill="1" applyAlignment="1">
      <alignment horizontal="center"/>
    </xf>
    <xf numFmtId="0" fontId="4" fillId="0" borderId="0" xfId="0" applyFont="1" applyAlignment="1">
      <alignment horizontal="center" vertical="center" textRotation="90"/>
    </xf>
    <xf numFmtId="0" fontId="2" fillId="0" borderId="17" xfId="0" applyFont="1" applyFill="1" applyBorder="1"/>
    <xf numFmtId="2" fontId="0" fillId="0" borderId="0" xfId="0" applyNumberFormat="1"/>
    <xf numFmtId="0" fontId="0" fillId="0" borderId="0" xfId="1" applyNumberFormat="1" applyFont="1" applyFill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212"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4" formatCode="[Blue]#,##0.00;#,##0.00;#,##0.00"/>
      <fill>
        <patternFill patternType="none">
          <fgColor rgb="FF000000"/>
          <bgColor auto="1"/>
        </patternFill>
      </fill>
    </dxf>
    <dxf>
      <font>
        <b/>
        <i val="0"/>
        <color rgb="FFC00000"/>
      </font>
    </dxf>
    <dxf>
      <numFmt numFmtId="165" formatCode="[Blue]#,##0.00;\-#,##0.00;#,##0.00"/>
      <fill>
        <patternFill patternType="none">
          <fgColor rgb="FF000000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9" formatCode="m/d/yy;@"/>
      <fill>
        <patternFill patternType="solid">
          <fgColor indexed="64"/>
          <bgColor theme="0" tint="-0.14999847407452621"/>
        </patternFill>
      </fill>
    </dxf>
    <dxf>
      <numFmt numFmtId="169" formatCode="m/d/yy;@"/>
      <fill>
        <patternFill patternType="solid">
          <fgColor indexed="64"/>
          <bgColor theme="0" tint="-0.14999847407452621"/>
        </patternFill>
      </fill>
    </dxf>
    <dxf>
      <numFmt numFmtId="169" formatCode="m/d/yy;@"/>
      <fill>
        <patternFill patternType="solid">
          <fgColor indexed="64"/>
          <bgColor theme="0" tint="-0.14999847407452621"/>
        </patternFill>
      </fill>
    </dxf>
    <dxf>
      <numFmt numFmtId="169" formatCode="m/d/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border outline="0">
        <top style="thin">
          <color theme="4" tint="0.39997558519241921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45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4" formatCode="[Blue]#,##0.00;#,##0.00;#,##0.00"/>
      <fill>
        <patternFill patternType="solid">
          <fgColor indexed="64"/>
          <bgColor theme="0" tint="-0.14999847407452621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numFmt numFmtId="164" formatCode="[Blue]#,##0.00;#,##0.00;#,##0.00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rgb="FF9BC2E6"/>
        </top>
      </border>
    </dxf>
    <dxf>
      <border outline="0">
        <left style="thin">
          <color rgb="FF9BC2E6"/>
        </left>
        <top style="thin">
          <color rgb="FF9BC2E6"/>
        </top>
        <bottom style="thin">
          <color rgb="FF9BC2E6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9BC2E6"/>
        </bottom>
      </border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5" formatCode="[Blue]#,##0.00;\-#,##0.00;#,##0.00"/>
      <fill>
        <patternFill patternType="solid">
          <fgColor indexed="64"/>
          <bgColor theme="0" tint="-0.14999847407452621"/>
        </patternFill>
      </fill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rgb="FF9BC2E6"/>
        </top>
      </border>
    </dxf>
    <dxf>
      <border outline="0">
        <left style="thin">
          <color rgb="FF9BC2E6"/>
        </left>
        <top style="thin">
          <color rgb="FF9BC2E6"/>
        </top>
        <bottom style="thin">
          <color rgb="FF9BC2E6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9BC2E6"/>
        </bottom>
      </border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5" formatCode="[Blue]#,##0.00;\-#,##0.00;#,##0.00"/>
      <fill>
        <patternFill patternType="solid">
          <fgColor indexed="64"/>
          <bgColor theme="0" tint="-0.14999847407452621"/>
        </patternFill>
      </fill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5" formatCode="[Blue]#,##0.00;\-#,##0.00;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,##0.00;#,##0.00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Blue]#,##0.00;\-#,##0.00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E7E7"/>
      <color rgb="FFFF9999"/>
      <color rgb="FFFFBDBD"/>
      <color rgb="FFFF9966"/>
      <color rgb="FF9685FF"/>
      <color rgb="FFCCCCFF"/>
      <color rgb="FFFF7C80"/>
      <color rgb="FF2300F6"/>
      <color rgb="FFD6A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" refreshedDate="43956.951484490739" createdVersion="6" refreshedVersion="6" minRefreshableVersion="3" recordCount="36" xr:uid="{4CC04835-28F7-434A-BB0F-A9C8EC229C1C}">
  <cacheSource type="worksheet">
    <worksheetSource name="Totals"/>
  </cacheSource>
  <cacheFields count="39">
    <cacheField name="Date" numFmtId="169">
      <sharedItems containsSemiMixedTypes="0" containsNonDate="0" containsDate="1" containsString="0" minDate="2018-01-01T00:00:00" maxDate="2020-12-02T00:00:00" count="36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</sharedItems>
      <fieldGroup par="38" base="0">
        <rangePr groupBy="months" startDate="2018-01-01T00:00:00" endDate="2020-12-02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/2020"/>
        </groupItems>
      </fieldGroup>
    </cacheField>
    <cacheField name="Use for average" numFmtId="169">
      <sharedItems/>
    </cacheField>
    <cacheField name="SourceTable" numFmtId="0">
      <sharedItems/>
    </cacheField>
    <cacheField name="Car - Note" numFmtId="165">
      <sharedItems containsSemiMixedTypes="0" containsString="0" containsNumber="1" minValue="-320" maxValue="0"/>
    </cacheField>
    <cacheField name="Car/Rental Insurance" numFmtId="165">
      <sharedItems containsSemiMixedTypes="0" containsString="0" containsNumber="1" minValue="-255.17866666666666" maxValue="0"/>
    </cacheField>
    <cacheField name="Car - Other" numFmtId="165">
      <sharedItems containsSemiMixedTypes="0" containsString="0" containsNumber="1" minValue="-265.68" maxValue="0"/>
    </cacheField>
    <cacheField name="Car - Parking Pass" numFmtId="165">
      <sharedItems containsSemiMixedTypes="0" containsString="0" containsNumber="1" containsInteger="1" minValue="0" maxValue="0"/>
    </cacheField>
    <cacheField name="Self-improvement" numFmtId="165">
      <sharedItems containsSemiMixedTypes="0" containsString="0" containsNumber="1" minValue="-30.32" maxValue="11.850000000000023"/>
    </cacheField>
    <cacheField name="Clothes/Personal care" numFmtId="165">
      <sharedItems containsSemiMixedTypes="0" containsString="0" containsNumber="1" minValue="-220.15" maxValue="29.75"/>
    </cacheField>
    <cacheField name="Dates" numFmtId="165">
      <sharedItems containsSemiMixedTypes="0" containsString="0" containsNumber="1" minValue="-180.45" maxValue="19"/>
    </cacheField>
    <cacheField name="Entertainment - Other" numFmtId="165">
      <sharedItems containsSemiMixedTypes="0" containsString="0" containsNumber="1" minValue="-169.10533333333333" maxValue="0"/>
    </cacheField>
    <cacheField name="Games" numFmtId="165">
      <sharedItems containsSemiMixedTypes="0" containsString="0" containsNumber="1" minValue="-114.46" maxValue="0"/>
    </cacheField>
    <cacheField name="Going out" numFmtId="165">
      <sharedItems containsSemiMixedTypes="0" containsString="0" containsNumber="1" minValue="-172.49" maxValue="0"/>
    </cacheField>
    <cacheField name="Books" numFmtId="165">
      <sharedItems containsSemiMixedTypes="0" containsString="0" containsNumber="1" minValue="-123.09" maxValue="0"/>
    </cacheField>
    <cacheField name="Big Fun" numFmtId="165">
      <sharedItems containsSemiMixedTypes="0" containsString="0" containsNumber="1" minValue="-533.46999999999991" maxValue="17.75"/>
    </cacheField>
    <cacheField name="Groceries" numFmtId="165">
      <sharedItems containsSemiMixedTypes="0" containsString="0" containsNumber="1" minValue="-483.21999999999997" maxValue="0"/>
    </cacheField>
    <cacheField name="Food - nice" numFmtId="165">
      <sharedItems containsSemiMixedTypes="0" containsString="0" containsNumber="1" minValue="-350.22" maxValue="0"/>
    </cacheField>
    <cacheField name="Rent" numFmtId="165">
      <sharedItems containsSemiMixedTypes="0" containsString="0" containsNumber="1" minValue="-1813.3333333333333" maxValue="0"/>
    </cacheField>
    <cacheField name="Utilities" numFmtId="165">
      <sharedItems containsSemiMixedTypes="0" containsString="0" containsNumber="1" minValue="-207.179" maxValue="0"/>
    </cacheField>
    <cacheField name="Internet" numFmtId="165">
      <sharedItems containsSemiMixedTypes="0" containsString="0" containsNumber="1" minValue="-110.47300000000001" maxValue="0"/>
    </cacheField>
    <cacheField name="Housing - Other" numFmtId="165">
      <sharedItems containsSemiMixedTypes="0" containsString="0" containsNumber="1" minValue="-3803.75" maxValue="0"/>
    </cacheField>
    <cacheField name="Decoration" numFmtId="165">
      <sharedItems containsSemiMixedTypes="0" containsString="0" containsNumber="1" minValue="-433.67" maxValue="0"/>
    </cacheField>
    <cacheField name="401k" numFmtId="165">
      <sharedItems containsSemiMixedTypes="0" containsString="0" containsNumber="1" containsInteger="1" minValue="0" maxValue="0"/>
    </cacheField>
    <cacheField name="Retirement" numFmtId="165">
      <sharedItems containsSemiMixedTypes="0" containsString="0" containsNumber="1" containsInteger="1" minValue="0" maxValue="0"/>
    </cacheField>
    <cacheField name="Long-term" numFmtId="165">
      <sharedItems containsSemiMixedTypes="0" containsString="0" containsNumber="1" containsInteger="1" minValue="0" maxValue="0"/>
    </cacheField>
    <cacheField name="Unexpected Fund" numFmtId="165">
      <sharedItems containsSemiMixedTypes="0" containsString="0" containsNumber="1" minValue="-2315.69" maxValue="0"/>
    </cacheField>
    <cacheField name="Medical - Other" numFmtId="165">
      <sharedItems containsSemiMixedTypes="0" containsString="0" containsNumber="1" minValue="-90.41" maxValue="0"/>
    </cacheField>
    <cacheField name="Medical Insurance" numFmtId="165">
      <sharedItems containsSemiMixedTypes="0" containsString="0" containsNumber="1" minValue="-211.08" maxValue="22.62"/>
    </cacheField>
    <cacheField name="ATM" numFmtId="165">
      <sharedItems containsSemiMixedTypes="0" containsString="0" containsNumber="1" minValue="-203" maxValue="2"/>
    </cacheField>
    <cacheField name="Other - Other" numFmtId="165">
      <sharedItems containsSemiMixedTypes="0" containsString="0" containsNumber="1" minValue="-158.35087671232878" maxValue="0"/>
    </cacheField>
    <cacheField name="Salary" numFmtId="165">
      <sharedItems containsSemiMixedTypes="0" containsString="0" containsNumber="1" minValue="0" maxValue="4244.3900000000003"/>
    </cacheField>
    <cacheField name="Income - Other" numFmtId="165">
      <sharedItems containsSemiMixedTypes="0" containsString="0" containsNumber="1" minValue="0" maxValue="4683.03"/>
    </cacheField>
    <cacheField name="CC Payments" numFmtId="165">
      <sharedItems containsSemiMixedTypes="0" containsString="0" containsNumber="1" containsInteger="1" minValue="0" maxValue="0"/>
    </cacheField>
    <cacheField name="Internal Transfers" numFmtId="165">
      <sharedItems containsSemiMixedTypes="0" containsString="0" containsNumber="1" containsInteger="1" minValue="0" maxValue="0"/>
    </cacheField>
    <cacheField name="Parental Funds" numFmtId="165">
      <sharedItems containsSemiMixedTypes="0" containsString="0" containsNumber="1" minValue="-798.48356164383551" maxValue="1639.9890410958903"/>
    </cacheField>
    <cacheField name="NONTRACKED" numFmtId="165">
      <sharedItems containsSemiMixedTypes="0" containsString="0" containsNumber="1" containsInteger="1" minValue="0" maxValue="0"/>
    </cacheField>
    <cacheField name="Total" numFmtId="165">
      <sharedItems containsSemiMixedTypes="0" containsString="0" containsNumber="1" minValue="-1901.3635722475383" maxValue="2853.2318669275928"/>
    </cacheField>
    <cacheField name="Quarters" numFmtId="0" databaseField="0">
      <fieldGroup base="0">
        <rangePr groupBy="quarters" startDate="2018-01-01T00:00:00" endDate="2020-12-02T00:00:00"/>
        <groupItems count="6">
          <s v="&lt;1/1/2018"/>
          <s v="Qtr1"/>
          <s v="Qtr2"/>
          <s v="Qtr3"/>
          <s v="Qtr4"/>
          <s v="&gt;12/2/2020"/>
        </groupItems>
      </fieldGroup>
    </cacheField>
    <cacheField name="Years" numFmtId="0" databaseField="0">
      <fieldGroup base="0">
        <rangePr groupBy="years" startDate="2018-01-01T00:00:00" endDate="2020-12-02T00:00:00"/>
        <groupItems count="5">
          <s v="&lt;1/1/2018"/>
          <s v="2018"/>
          <s v="2019"/>
          <s v="2020"/>
          <s v="&gt;12/2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b v="1"/>
    <s v="Log_2018"/>
    <n v="-320"/>
    <n v="-113.22"/>
    <n v="-73.38"/>
    <n v="0"/>
    <n v="0"/>
    <n v="-152.89999999999998"/>
    <n v="0"/>
    <n v="-9.5129999999999999"/>
    <n v="-35"/>
    <n v="-114.06"/>
    <n v="0"/>
    <n v="17.75"/>
    <n v="-261.52999999999997"/>
    <n v="-146.83999999999997"/>
    <n v="0"/>
    <n v="-30.575342465753423"/>
    <n v="0"/>
    <n v="-176.27"/>
    <n v="0"/>
    <n v="0"/>
    <n v="0"/>
    <n v="0"/>
    <n v="0"/>
    <n v="0"/>
    <n v="-211.08"/>
    <n v="-100"/>
    <n v="-35.549999999999997"/>
    <n v="0"/>
    <n v="4683.03"/>
    <n v="0"/>
    <n v="0"/>
    <n v="-398.58356164383559"/>
    <n v="0"/>
    <n v="2522.2780958904109"/>
  </r>
  <r>
    <x v="1"/>
    <b v="1"/>
    <s v="Log_2018"/>
    <n v="-320"/>
    <n v="-59.029666666666671"/>
    <n v="-83.9"/>
    <n v="0"/>
    <n v="0"/>
    <n v="-117.94"/>
    <n v="0"/>
    <n v="-16.361000000000001"/>
    <n v="0"/>
    <n v="-26"/>
    <n v="0"/>
    <n v="0"/>
    <n v="-250.68"/>
    <n v="-184.68"/>
    <n v="-660.22500000000002"/>
    <n v="-27.61643835616438"/>
    <n v="0"/>
    <n v="-194.42"/>
    <n v="0"/>
    <n v="0"/>
    <n v="0"/>
    <n v="0"/>
    <n v="0"/>
    <n v="0"/>
    <n v="0"/>
    <n v="-100"/>
    <n v="-20"/>
    <n v="2922.27"/>
    <n v="0.02"/>
    <n v="0"/>
    <n v="0"/>
    <n v="1639.9890410958903"/>
    <n v="0"/>
    <n v="2501.4269360730596"/>
  </r>
  <r>
    <x v="2"/>
    <b v="1"/>
    <s v="Log_2018"/>
    <n v="-320"/>
    <n v="-141.30033333333336"/>
    <n v="-88.259999999999991"/>
    <n v="0"/>
    <n v="0"/>
    <n v="-18"/>
    <n v="0"/>
    <n v="-21.405999999999999"/>
    <n v="-11.99"/>
    <n v="-68.400000000000006"/>
    <n v="-21.14"/>
    <n v="0"/>
    <n v="-94.91"/>
    <n v="-194.79999999999995"/>
    <n v="-992.02499999999998"/>
    <n v="-30.575342465753423"/>
    <n v="-0.83333333333333337"/>
    <n v="-3803.75"/>
    <n v="-188.99"/>
    <n v="0"/>
    <n v="0"/>
    <n v="0"/>
    <n v="0"/>
    <n v="0"/>
    <n v="22.62"/>
    <n v="0"/>
    <n v="-7.7531780821917815"/>
    <n v="4236.8871428571429"/>
    <n v="4505.21"/>
    <n v="0"/>
    <n v="0"/>
    <n v="-398.58356164383554"/>
    <n v="0"/>
    <n v="2362.0003939986964"/>
  </r>
  <r>
    <x v="3"/>
    <b v="1"/>
    <s v="Log_2018"/>
    <n v="-320"/>
    <n v="-81.85799999999999"/>
    <n v="-68.819999999999993"/>
    <n v="0"/>
    <n v="0"/>
    <n v="0"/>
    <n v="0"/>
    <n v="-169.10533333333333"/>
    <n v="-16.98"/>
    <n v="-61.54"/>
    <n v="0"/>
    <n v="0"/>
    <n v="-254.88"/>
    <n v="-197.79"/>
    <n v="-1430.76"/>
    <n v="-30.589041095890408"/>
    <n v="-65.782666666666671"/>
    <n v="-250.8"/>
    <n v="-40"/>
    <n v="0"/>
    <n v="0"/>
    <n v="0"/>
    <n v="0"/>
    <n v="-22.38"/>
    <n v="0"/>
    <n v="-100"/>
    <n v="-8.8084931506849315"/>
    <n v="4078.971428571429"/>
    <n v="2280.08"/>
    <n v="0"/>
    <n v="0"/>
    <n v="-385.7260273972604"/>
    <n v="0"/>
    <n v="2853.2318669275928"/>
  </r>
  <r>
    <x v="4"/>
    <b v="1"/>
    <s v="Log_2018"/>
    <n v="-320"/>
    <n v="-183.72733333333332"/>
    <n v="-89.039999999999992"/>
    <n v="0"/>
    <n v="0"/>
    <n v="-17"/>
    <n v="-14.4"/>
    <n v="-20.396999999999998"/>
    <n v="-8"/>
    <n v="-110.48"/>
    <n v="0"/>
    <n v="-533.46999999999991"/>
    <n v="-223.31"/>
    <n v="-262.32"/>
    <n v="-1466.65"/>
    <n v="-55.83367579908677"/>
    <n v="-85.037333333333336"/>
    <n v="-34.4"/>
    <n v="-105"/>
    <n v="0"/>
    <n v="0"/>
    <n v="0"/>
    <n v="0"/>
    <n v="0"/>
    <n v="0"/>
    <n v="0"/>
    <n v="-9.102109589041099"/>
    <n v="3980.8785714285714"/>
    <n v="165.09"/>
    <n v="0"/>
    <n v="0"/>
    <n v="-798.48356164383551"/>
    <n v="0"/>
    <n v="-190.68244227005857"/>
  </r>
  <r>
    <x v="5"/>
    <b v="1"/>
    <s v="Log_2018"/>
    <n v="-320"/>
    <n v="-215.30699999999999"/>
    <n v="-63.33"/>
    <n v="0"/>
    <n v="0"/>
    <n v="0"/>
    <n v="-35.64"/>
    <n v="-18.739333333333335"/>
    <n v="-20.02"/>
    <n v="-71.39"/>
    <n v="0"/>
    <n v="-99"/>
    <n v="-141.42000000000002"/>
    <n v="-224.37999999999997"/>
    <n v="-1430.77"/>
    <n v="-89.514041095890391"/>
    <n v="-79.614666666666665"/>
    <n v="0"/>
    <n v="0"/>
    <n v="0"/>
    <n v="0"/>
    <n v="0"/>
    <n v="0"/>
    <n v="-12.31"/>
    <n v="0"/>
    <n v="0"/>
    <n v="-33.808493150684932"/>
    <n v="3808.1476190476187"/>
    <n v="18.61"/>
    <n v="0"/>
    <n v="0"/>
    <n v="14.273972602739605"/>
    <n v="0"/>
    <n v="985.78805740378277"/>
  </r>
  <r>
    <x v="6"/>
    <b v="1"/>
    <s v="Log_2018"/>
    <n v="-320"/>
    <n v="-255.17866666666666"/>
    <n v="-61.15"/>
    <n v="0"/>
    <n v="0"/>
    <n v="0"/>
    <n v="0"/>
    <n v="-19.892333333333333"/>
    <n v="0"/>
    <n v="-19.600000000000001"/>
    <n v="-28.37"/>
    <n v="0"/>
    <n v="-218.97000000000003"/>
    <n v="-176.74"/>
    <n v="-1574.58"/>
    <n v="-93.2700091324201"/>
    <n v="-85.105333333333334"/>
    <n v="-63.54"/>
    <n v="-40"/>
    <n v="0"/>
    <n v="0"/>
    <n v="0"/>
    <n v="0"/>
    <n v="-10.89"/>
    <n v="0"/>
    <n v="0"/>
    <n v="-40.792109589041104"/>
    <n v="3935.568349206349"/>
    <n v="11.120000000000001"/>
    <n v="0"/>
    <n v="0"/>
    <n v="-398.58356164383576"/>
    <n v="0"/>
    <n v="540.02633550771918"/>
  </r>
  <r>
    <x v="7"/>
    <b v="1"/>
    <s v="Log_2018"/>
    <n v="-320"/>
    <n v="-223.28133333333332"/>
    <n v="-57.84"/>
    <n v="0"/>
    <n v="-16.249999999999922"/>
    <n v="0"/>
    <n v="0"/>
    <n v="-20.036666666666669"/>
    <n v="-41.980000000000004"/>
    <n v="-172.49"/>
    <n v="0"/>
    <n v="0"/>
    <n v="-241.85"/>
    <n v="-285.52"/>
    <n v="-1566.22"/>
    <n v="-82.541342465753416"/>
    <n v="-82.201666666666654"/>
    <n v="-134.97999999999999"/>
    <n v="0"/>
    <n v="0"/>
    <n v="0"/>
    <n v="0"/>
    <n v="0"/>
    <n v="-21.36"/>
    <n v="0"/>
    <n v="0"/>
    <n v="-56.832109589041096"/>
    <n v="3951.2468888888893"/>
    <n v="24.61"/>
    <n v="0"/>
    <n v="0"/>
    <n v="-398.58356164383531"/>
    <n v="0"/>
    <n v="253.89020852359261"/>
  </r>
  <r>
    <x v="8"/>
    <b v="1"/>
    <s v="Log_2018"/>
    <n v="-320"/>
    <n v="-247.22433333333333"/>
    <n v="-56.61"/>
    <n v="0"/>
    <n v="0"/>
    <n v="0"/>
    <n v="-26.13"/>
    <n v="-26.596333333333334"/>
    <n v="-29.99"/>
    <n v="-75.91"/>
    <n v="-14.06"/>
    <n v="-441.4"/>
    <n v="-124.03000000000002"/>
    <n v="-252.44000000000003"/>
    <n v="-1609.51"/>
    <n v="-89.435707762557058"/>
    <n v="-79.430999999999997"/>
    <n v="-29.66"/>
    <n v="0"/>
    <n v="0"/>
    <n v="0"/>
    <n v="0"/>
    <n v="0"/>
    <n v="-41.04"/>
    <n v="0"/>
    <n v="0"/>
    <n v="-8.8084931506849315"/>
    <n v="4042.5085714285715"/>
    <n v="16.82"/>
    <n v="0"/>
    <n v="0"/>
    <n v="-385.72602739726062"/>
    <n v="0"/>
    <n v="201.32667645140225"/>
  </r>
  <r>
    <x v="9"/>
    <b v="1"/>
    <s v="Log_2018"/>
    <n v="-320"/>
    <n v="-221.16733333333332"/>
    <n v="-60.63"/>
    <n v="0"/>
    <n v="0"/>
    <n v="-197.2"/>
    <n v="-88.14"/>
    <n v="-54.295333333333332"/>
    <n v="-42.97"/>
    <n v="-24.23"/>
    <n v="-44.760000000000005"/>
    <n v="-200.98999999999995"/>
    <n v="-343.4"/>
    <n v="-204.25"/>
    <n v="-1564.74"/>
    <n v="-96.08467579908681"/>
    <n v="-84.909000000000006"/>
    <n v="-75.569999999999993"/>
    <n v="0"/>
    <n v="0"/>
    <n v="0"/>
    <n v="0"/>
    <n v="0"/>
    <n v="0"/>
    <n v="0"/>
    <n v="-203"/>
    <n v="-19.662109589041101"/>
    <n v="4177.2914285714287"/>
    <n v="21.12"/>
    <n v="0"/>
    <n v="0"/>
    <n v="-398.58356164383531"/>
    <n v="0"/>
    <n v="-46.170585127201207"/>
  </r>
  <r>
    <x v="10"/>
    <b v="1"/>
    <s v="Log_2018"/>
    <n v="-320"/>
    <n v="-175.084"/>
    <n v="-139.29"/>
    <n v="0"/>
    <n v="0"/>
    <n v="-54.92"/>
    <n v="-52.54"/>
    <n v="-28.82866666666667"/>
    <n v="-19.989999999999998"/>
    <n v="-55.83"/>
    <n v="-17.3"/>
    <n v="-473.46999999999997"/>
    <n v="-35.910000000000004"/>
    <n v="-226.64000000000004"/>
    <n v="-1566.77"/>
    <n v="-84.45370776255703"/>
    <n v="-79.41500000000002"/>
    <n v="0"/>
    <n v="0"/>
    <n v="0"/>
    <n v="0"/>
    <n v="0"/>
    <n v="0"/>
    <n v="0"/>
    <n v="0"/>
    <n v="-97"/>
    <n v="-38.798493150684941"/>
    <n v="4185.0514285714289"/>
    <n v="21.37"/>
    <n v="0"/>
    <n v="0"/>
    <n v="-385.72602739726062"/>
    <n v="0"/>
    <n v="354.45553359425969"/>
  </r>
  <r>
    <x v="11"/>
    <b v="1"/>
    <s v="Log_2018"/>
    <n v="-320"/>
    <n v="-228.95600000000002"/>
    <n v="-47.31"/>
    <n v="0"/>
    <n v="0"/>
    <n v="0"/>
    <n v="-64.900000000000006"/>
    <n v="-36.689666666666668"/>
    <n v="-114.46"/>
    <n v="-159.98999999999998"/>
    <n v="-10.81"/>
    <n v="-23.13"/>
    <n v="-179.26"/>
    <n v="-142.15999999999997"/>
    <n v="-1585.18"/>
    <n v="-69.229342465753462"/>
    <n v="-84.888333333333335"/>
    <n v="0"/>
    <n v="0"/>
    <n v="0"/>
    <n v="0"/>
    <n v="0"/>
    <n v="0"/>
    <n v="-8.99"/>
    <n v="0"/>
    <n v="-140"/>
    <n v="-92.442109589041095"/>
    <n v="4042.5442857142853"/>
    <n v="18.329999999999998"/>
    <n v="0"/>
    <n v="0"/>
    <n v="-398.58356164383531"/>
    <n v="0"/>
    <n v="353.895272015655"/>
  </r>
  <r>
    <x v="12"/>
    <b v="1"/>
    <s v="Log_2019"/>
    <n v="-320"/>
    <n v="-202.02"/>
    <n v="-69.31"/>
    <n v="0"/>
    <n v="0"/>
    <n v="-17.7"/>
    <n v="-31.75"/>
    <n v="-18.306666666666665"/>
    <n v="-37.840000000000003"/>
    <n v="-27.339999999999996"/>
    <n v="-4.1399999999999997"/>
    <n v="0"/>
    <n v="-205.04000000000002"/>
    <n v="-181.37"/>
    <n v="-1622.2"/>
    <n v="-37.354666666666667"/>
    <n v="-82.15"/>
    <n v="-99.58"/>
    <n v="0"/>
    <n v="0"/>
    <n v="0"/>
    <n v="0"/>
    <n v="0"/>
    <n v="0"/>
    <n v="0"/>
    <n v="-102"/>
    <n v="-9.1021095890410937"/>
    <n v="4187.9742857142865"/>
    <n v="76.290000000000006"/>
    <n v="0"/>
    <n v="0"/>
    <n v="0"/>
    <n v="0"/>
    <n v="1197.0608427919124"/>
  </r>
  <r>
    <x v="13"/>
    <b v="1"/>
    <s v="Log_2019"/>
    <n v="-320"/>
    <n v="-175.11800000000005"/>
    <n v="-48.33"/>
    <n v="0"/>
    <n v="0"/>
    <n v="0"/>
    <n v="-96.59"/>
    <n v="-9.657"/>
    <n v="-6.11"/>
    <n v="-109.39999999999999"/>
    <n v="0"/>
    <n v="0"/>
    <n v="-125.94"/>
    <n v="-173.35000000000002"/>
    <n v="-1328.1416666666667"/>
    <n v="-26.921666666666667"/>
    <n v="-76.083666666666659"/>
    <n v="-105.71000000000001"/>
    <n v="0"/>
    <n v="0"/>
    <n v="0"/>
    <n v="0"/>
    <n v="0"/>
    <n v="0"/>
    <n v="0"/>
    <n v="2"/>
    <n v="-28.221260273972597"/>
    <n v="3783.36"/>
    <n v="12.430000000000001"/>
    <n v="0"/>
    <n v="0"/>
    <n v="0"/>
    <n v="0"/>
    <n v="1168.2167397260266"/>
  </r>
  <r>
    <x v="14"/>
    <b v="1"/>
    <s v="Log_2019"/>
    <n v="-320"/>
    <n v="-221.36133333333333"/>
    <n v="-78.680000000000007"/>
    <n v="0"/>
    <n v="0"/>
    <n v="0"/>
    <n v="-33.46"/>
    <n v="-21.406000000000002"/>
    <n v="0"/>
    <n v="-12"/>
    <n v="0"/>
    <n v="0"/>
    <n v="-132.41"/>
    <n v="-171.4"/>
    <n v="-1771.375"/>
    <n v="-33.002000000000002"/>
    <n v="-93.587999999999994"/>
    <n v="-266.34000000000003"/>
    <n v="0"/>
    <n v="0"/>
    <n v="0"/>
    <n v="0"/>
    <n v="-603"/>
    <n v="-90.41"/>
    <n v="0"/>
    <n v="0"/>
    <n v="-10.476356164383562"/>
    <n v="4188.6971428571433"/>
    <n v="10.799999999999999"/>
    <n v="0"/>
    <n v="0"/>
    <n v="0"/>
    <n v="0"/>
    <n v="340.58845335942652"/>
  </r>
  <r>
    <x v="15"/>
    <b v="1"/>
    <s v="Log_2019"/>
    <n v="-320"/>
    <n v="-215.33"/>
    <n v="-70.27"/>
    <n v="0"/>
    <n v="-12.370000000000005"/>
    <n v="-23"/>
    <n v="0"/>
    <n v="-61.165333333333336"/>
    <n v="0"/>
    <n v="-29.14"/>
    <n v="0"/>
    <n v="0"/>
    <n v="-119.86"/>
    <n v="-291.85999999999996"/>
    <n v="-1707.5533333333333"/>
    <n v="-62.656817518248175"/>
    <n v="-110.47300000000001"/>
    <n v="-446.59"/>
    <n v="0"/>
    <n v="0"/>
    <n v="0"/>
    <n v="0"/>
    <n v="-2315.69"/>
    <n v="-22"/>
    <n v="0"/>
    <n v="-164.1"/>
    <n v="-10.58794520547945"/>
    <n v="4053.5928571428572"/>
    <n v="27.69"/>
    <n v="0"/>
    <n v="0"/>
    <n v="0"/>
    <n v="0"/>
    <n v="-1901.3635722475383"/>
  </r>
  <r>
    <x v="16"/>
    <b v="1"/>
    <s v="Log_2019"/>
    <n v="-320"/>
    <n v="-215.22833333333332"/>
    <n v="-43.94"/>
    <n v="0"/>
    <n v="11.850000000000023"/>
    <n v="-49.44"/>
    <n v="19"/>
    <n v="-29.448666666666668"/>
    <n v="-10.19"/>
    <n v="-72.06"/>
    <n v="0"/>
    <n v="-26.910000000000011"/>
    <n v="-483.21999999999997"/>
    <n v="-230.57"/>
    <n v="-1600"/>
    <n v="-116.82736940653761"/>
    <n v="-19.796999999999997"/>
    <n v="-18.010000000000002"/>
    <n v="0"/>
    <n v="0"/>
    <n v="0"/>
    <n v="0"/>
    <n v="0"/>
    <n v="0"/>
    <n v="0"/>
    <n v="0"/>
    <n v="-33.940876712328773"/>
    <n v="4188.71"/>
    <n v="1578.1899999999998"/>
    <n v="0"/>
    <n v="0"/>
    <n v="0"/>
    <n v="0"/>
    <n v="2528.1677538811336"/>
  </r>
  <r>
    <x v="17"/>
    <b v="1"/>
    <s v="Log_2019"/>
    <n v="-320"/>
    <n v="-230.07166666666669"/>
    <n v="-84.03"/>
    <n v="0"/>
    <n v="0"/>
    <n v="0"/>
    <n v="6.4600000000000009"/>
    <n v="-26.332666666666668"/>
    <n v="-43.29"/>
    <n v="-106.22"/>
    <n v="0"/>
    <n v="0"/>
    <n v="-82.65"/>
    <n v="-195.9"/>
    <n v="-1386.6666666666667"/>
    <n v="-94.880426213900336"/>
    <n v="-47.655000000000001"/>
    <n v="-25.23"/>
    <n v="0"/>
    <n v="0"/>
    <n v="0"/>
    <n v="0"/>
    <n v="0"/>
    <n v="0"/>
    <n v="0"/>
    <n v="0"/>
    <n v="-10.58794520547945"/>
    <n v="4053.59"/>
    <n v="15.030000000000001"/>
    <n v="0"/>
    <n v="0"/>
    <n v="0"/>
    <n v="0"/>
    <n v="1421.5656285806201"/>
  </r>
  <r>
    <x v="18"/>
    <b v="1"/>
    <s v="Log_2019"/>
    <n v="-320"/>
    <n v="-230.07166666666669"/>
    <n v="-56.51"/>
    <n v="0"/>
    <n v="0"/>
    <n v="-20"/>
    <n v="-52.260000000000005"/>
    <n v="-46.440333333333335"/>
    <n v="-2.2400000000000002"/>
    <n v="-94.070000000000007"/>
    <n v="0"/>
    <n v="-196.44"/>
    <n v="-181.87"/>
    <n v="-163.16000000000003"/>
    <n v="-1813.3333333333333"/>
    <n v="-200.3123114355231"/>
    <n v="-58.245000000000005"/>
    <n v="-137.71"/>
    <n v="0"/>
    <n v="0"/>
    <n v="0"/>
    <n v="0"/>
    <n v="0"/>
    <n v="-17.27"/>
    <n v="0"/>
    <n v="-60"/>
    <n v="-11.940876712328766"/>
    <n v="4244.3900000000003"/>
    <n v="0.15"/>
    <n v="0"/>
    <n v="0"/>
    <n v="0"/>
    <n v="0"/>
    <n v="582.66647851881532"/>
  </r>
  <r>
    <x v="19"/>
    <b v="1"/>
    <s v="Log_2019"/>
    <n v="-320"/>
    <n v="-207.80666666666664"/>
    <n v="-52.18"/>
    <n v="0"/>
    <n v="0"/>
    <n v="-220.15"/>
    <n v="-23.67"/>
    <n v="-10.089333333333334"/>
    <n v="0"/>
    <n v="-42.55"/>
    <n v="-123.09"/>
    <n v="-281.60000000000002"/>
    <n v="-136.72999999999999"/>
    <n v="-350.22"/>
    <n v="-1600"/>
    <n v="-167.28397810218979"/>
    <n v="-52.95"/>
    <n v="-125.79"/>
    <n v="0"/>
    <n v="0"/>
    <n v="0"/>
    <n v="0"/>
    <n v="0"/>
    <n v="0"/>
    <n v="0"/>
    <n v="0"/>
    <n v="-10.940876712328766"/>
    <n v="4203.7471428571425"/>
    <n v="27.169999999999998"/>
    <n v="0"/>
    <n v="0"/>
    <n v="0"/>
    <n v="0"/>
    <n v="505.86628804262403"/>
  </r>
  <r>
    <x v="20"/>
    <b v="1"/>
    <s v="Log_2019"/>
    <n v="-320"/>
    <n v="-230.07833333333335"/>
    <n v="-265.68"/>
    <n v="0"/>
    <n v="0"/>
    <n v="0"/>
    <n v="-76.11999999999999"/>
    <n v="-16.170333333333332"/>
    <n v="0"/>
    <n v="0"/>
    <n v="0"/>
    <n v="0"/>
    <n v="-187.35"/>
    <n v="-252.31000000000003"/>
    <n v="-1440"/>
    <n v="-144.45881751824817"/>
    <n v="-49.42"/>
    <n v="0"/>
    <n v="0"/>
    <n v="0"/>
    <n v="0"/>
    <n v="0"/>
    <n v="0"/>
    <n v="0"/>
    <n v="0"/>
    <n v="-160"/>
    <n v="-10.587945205479457"/>
    <n v="4068.1542857142858"/>
    <n v="20.56"/>
    <n v="0"/>
    <n v="0"/>
    <n v="0"/>
    <n v="0"/>
    <n v="936.53885632389165"/>
  </r>
  <r>
    <x v="21"/>
    <b v="1"/>
    <s v="Log_2019"/>
    <n v="-320"/>
    <n v="-227.87699999999998"/>
    <n v="-79.410000000000011"/>
    <n v="0"/>
    <n v="0"/>
    <n v="-73.959999999999994"/>
    <n v="-180.45"/>
    <n v="-32.790333333333336"/>
    <n v="0"/>
    <n v="-13.59"/>
    <n v="0"/>
    <n v="-303.5"/>
    <n v="-354.95000000000005"/>
    <n v="-221.92999999999995"/>
    <n v="-1760"/>
    <n v="-142.02564476885644"/>
    <n v="-56.480000000000004"/>
    <n v="-234.7"/>
    <n v="-433.67"/>
    <n v="0"/>
    <n v="0"/>
    <n v="0"/>
    <n v="0"/>
    <n v="0"/>
    <n v="0"/>
    <n v="0"/>
    <n v="-10.940876712328759"/>
    <n v="4203.7542857142862"/>
    <n v="22.4"/>
    <n v="0"/>
    <n v="0"/>
    <n v="0"/>
    <n v="0"/>
    <n v="-220.11956910023181"/>
  </r>
  <r>
    <x v="22"/>
    <b v="1"/>
    <s v="Log_2019"/>
    <n v="-320"/>
    <n v="-197.12700000000001"/>
    <n v="-26.9"/>
    <n v="0"/>
    <n v="0"/>
    <n v="29.75"/>
    <n v="0"/>
    <n v="-9.729000000000001"/>
    <n v="-68.759999999999991"/>
    <n v="-18.64"/>
    <n v="0"/>
    <n v="-171.81"/>
    <n v="-28.61"/>
    <n v="-205.6"/>
    <n v="-1440"/>
    <n v="-127.65881751824818"/>
    <n v="-51.185000000000002"/>
    <n v="0"/>
    <n v="0"/>
    <n v="0"/>
    <n v="0"/>
    <n v="0"/>
    <n v="0"/>
    <n v="0"/>
    <n v="0"/>
    <n v="0"/>
    <n v="-23.587945205479457"/>
    <n v="4081.3842857142859"/>
    <n v="16.760000000000002"/>
    <n v="0"/>
    <n v="0"/>
    <n v="0"/>
    <n v="0"/>
    <n v="1438.2865229905581"/>
  </r>
  <r>
    <x v="23"/>
    <b v="1"/>
    <s v="Log_2019"/>
    <n v="-320"/>
    <n v="-227.91499999999999"/>
    <n v="-143.19999999999999"/>
    <n v="0"/>
    <n v="0"/>
    <n v="-81.19"/>
    <n v="0"/>
    <n v="-11.891"/>
    <n v="0"/>
    <n v="-36.35"/>
    <n v="-25.96"/>
    <n v="-128.4"/>
    <n v="-108.32"/>
    <n v="-154.13000000000002"/>
    <n v="-1706.6666666666667"/>
    <n v="-131.75815085158149"/>
    <n v="-52.95"/>
    <n v="-99.300000000000011"/>
    <n v="0"/>
    <n v="0"/>
    <n v="0"/>
    <n v="0"/>
    <n v="0"/>
    <n v="0"/>
    <n v="0"/>
    <n v="-82.75"/>
    <n v="-158.35087671232878"/>
    <n v="4203.7549999999992"/>
    <n v="146.61999999999998"/>
    <n v="0"/>
    <n v="0"/>
    <n v="0"/>
    <n v="0"/>
    <n v="881.24330576942214"/>
  </r>
  <r>
    <x v="24"/>
    <b v="1"/>
    <s v="Log_2020"/>
    <n v="-320"/>
    <n v="-193.08233333333334"/>
    <n v="-53.07"/>
    <n v="0"/>
    <n v="-30.32"/>
    <n v="-21"/>
    <n v="0"/>
    <n v="-10.81"/>
    <n v="0"/>
    <n v="-82.5"/>
    <n v="0"/>
    <n v="0"/>
    <n v="-252.42"/>
    <n v="-116.35"/>
    <n v="-1653.3333333333333"/>
    <n v="-136.74433333333334"/>
    <n v="-54.715000000000003"/>
    <n v="-30.23"/>
    <n v="0"/>
    <n v="0"/>
    <n v="0"/>
    <n v="0"/>
    <n v="0"/>
    <n v="0"/>
    <n v="0"/>
    <n v="0"/>
    <n v="-10.940876712328762"/>
    <n v="4208.7021428571425"/>
    <n v="12.33"/>
    <n v="0"/>
    <n v="0"/>
    <n v="0"/>
    <n v="0"/>
    <n v="1255.5162661448135"/>
  </r>
  <r>
    <x v="25"/>
    <b v="1"/>
    <s v="Log_2020"/>
    <n v="-320"/>
    <n v="-209.90433333333334"/>
    <n v="-42.32"/>
    <n v="0"/>
    <n v="-27.909999999999997"/>
    <n v="0"/>
    <n v="-74.03"/>
    <n v="-10.089333333333334"/>
    <n v="0"/>
    <n v="0"/>
    <n v="-21.73"/>
    <n v="-45"/>
    <n v="-268.8"/>
    <n v="-124.19999999999999"/>
    <n v="-1600"/>
    <n v="-207.179"/>
    <n v="-48.081034482758618"/>
    <n v="0"/>
    <n v="0"/>
    <n v="0"/>
    <n v="0"/>
    <n v="0"/>
    <n v="-499"/>
    <n v="0"/>
    <n v="0"/>
    <n v="-100"/>
    <n v="-10.23501369863013"/>
    <n v="3941.5135714285711"/>
    <n v="1534.81"/>
    <n v="0"/>
    <n v="0"/>
    <n v="0"/>
    <n v="0"/>
    <n v="1867.8448565805152"/>
  </r>
  <r>
    <x v="26"/>
    <b v="1"/>
    <s v="Log_2020"/>
    <n v="-320"/>
    <n v="-225.01733333333334"/>
    <n v="-48.34"/>
    <n v="0"/>
    <n v="0"/>
    <n v="0"/>
    <n v="-69.28"/>
    <n v="-39.530666666666669"/>
    <n v="-46.64"/>
    <n v="0"/>
    <n v="0"/>
    <n v="0"/>
    <n v="-133.01"/>
    <n v="-77.55"/>
    <n v="-1600"/>
    <n v="-196.34"/>
    <n v="-54.28896551724138"/>
    <n v="-51.61"/>
    <n v="0"/>
    <n v="0"/>
    <n v="0"/>
    <n v="0"/>
    <n v="0"/>
    <n v="0"/>
    <n v="0"/>
    <n v="0"/>
    <n v="-10.587945205479453"/>
    <n v="4213.3449999999993"/>
    <n v="20.169999999999998"/>
    <n v="0"/>
    <n v="0"/>
    <n v="0"/>
    <n v="0"/>
    <n v="1361.3200892772784"/>
  </r>
  <r>
    <x v="27"/>
    <b v="1"/>
    <s v="Log_2020"/>
    <n v="-320"/>
    <n v="-214.773"/>
    <n v="0"/>
    <n v="0"/>
    <n v="0"/>
    <n v="0"/>
    <n v="0"/>
    <n v="-10.449666666666667"/>
    <n v="-51.04"/>
    <n v="0"/>
    <n v="0"/>
    <n v="0"/>
    <n v="-275.63"/>
    <n v="-339"/>
    <n v="-1650"/>
    <n v="-193.12033333333332"/>
    <n v="-59.215000000000003"/>
    <n v="0"/>
    <n v="0"/>
    <n v="0"/>
    <n v="0"/>
    <n v="0"/>
    <n v="0"/>
    <n v="0"/>
    <n v="0"/>
    <n v="0"/>
    <n v="-35.58794520547945"/>
    <n v="4077.4285714285716"/>
    <n v="8.59"/>
    <n v="0"/>
    <n v="0"/>
    <n v="0"/>
    <n v="0"/>
    <n v="937.2026262230919"/>
  </r>
  <r>
    <x v="28"/>
    <b v="0"/>
    <s v="Log_2020"/>
    <n v="-21.333333333333332"/>
    <n v="-42.034999999999997"/>
    <n v="0"/>
    <n v="0"/>
    <n v="0"/>
    <n v="0"/>
    <n v="0"/>
    <n v="-1.8016666666666659"/>
    <n v="0"/>
    <n v="0"/>
    <n v="0"/>
    <n v="0"/>
    <n v="0"/>
    <n v="0"/>
    <n v="-106.45161290322581"/>
    <n v="-26.092311827956983"/>
    <n v="-11.324999999999999"/>
    <n v="0"/>
    <n v="0"/>
    <n v="0"/>
    <n v="0"/>
    <n v="0"/>
    <n v="0"/>
    <n v="0"/>
    <n v="0"/>
    <n v="0"/>
    <n v="-1.7646575342465773"/>
    <n v="679.57142857142844"/>
    <n v="0"/>
    <n v="0"/>
    <n v="0"/>
    <n v="0"/>
    <n v="0"/>
    <n v="468.76784630599911"/>
  </r>
  <r>
    <x v="29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0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1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2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5"/>
    <b v="0"/>
    <s v="Log_20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AA7C7F-E813-422B-A62D-CE6E4E0ABF6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6:AH22" firstHeaderRow="0" firstDataRow="1" firstDataCol="1"/>
  <pivotFields count="39">
    <pivotField axis="axisRow" numFmtId="169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x="3"/>
        <item sd="0" x="4"/>
        <item t="default"/>
      </items>
    </pivotField>
  </pivotFields>
  <rowFields count="2">
    <field x="38"/>
    <field x="0"/>
  </rowFields>
  <rowItems count="16">
    <i>
      <x v="1"/>
    </i>
    <i>
      <x v="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3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</colItems>
  <dataFields count="33">
    <dataField name="Sum of Car - Note" fld="3" baseField="38" baseItem="1"/>
    <dataField name="Sum of Car/Rental Insurance" fld="4" baseField="0" baseItem="0"/>
    <dataField name="Sum of Car - Other" fld="5" baseField="0" baseItem="0"/>
    <dataField name="Sum of Car - Parking Pass" fld="6" baseField="0" baseItem="0"/>
    <dataField name="Sum of Self-improvement" fld="7" baseField="0" baseItem="0"/>
    <dataField name="Sum of Clothes/Personal care" fld="8" baseField="0" baseItem="0"/>
    <dataField name="Sum of Dates" fld="9" baseField="0" baseItem="0"/>
    <dataField name="Sum of Entertainment - Other" fld="10" baseField="0" baseItem="0"/>
    <dataField name="Sum of Games" fld="11" baseField="0" baseItem="0"/>
    <dataField name="Sum of Going out" fld="12" baseField="0" baseItem="0"/>
    <dataField name="Sum of Books" fld="13" baseField="0" baseItem="0"/>
    <dataField name="Sum of Big Fun" fld="14" baseField="0" baseItem="0"/>
    <dataField name="Sum of Groceries" fld="15" baseField="0" baseItem="0"/>
    <dataField name="Sum of Food - nice" fld="16" baseField="0" baseItem="0"/>
    <dataField name="Sum of Rent" fld="17" baseField="0" baseItem="0"/>
    <dataField name="Sum of Utilities" fld="18" baseField="0" baseItem="0"/>
    <dataField name="Sum of Internet" fld="19" baseField="0" baseItem="0"/>
    <dataField name="Sum of Housing - Other" fld="20" baseField="0" baseItem="0"/>
    <dataField name="Sum of Decoration" fld="21" baseField="0" baseItem="0"/>
    <dataField name="Sum of 401k" fld="22" baseField="0" baseItem="0"/>
    <dataField name="Sum of Retirement" fld="23" baseField="0" baseItem="0"/>
    <dataField name="Sum of Long-term" fld="24" baseField="0" baseItem="0"/>
    <dataField name="Sum of Unexpected Fund" fld="25" baseField="0" baseItem="0"/>
    <dataField name="Sum of Medical - Other" fld="26" baseField="0" baseItem="0"/>
    <dataField name="Sum of Medical Insurance" fld="27" baseField="0" baseItem="0"/>
    <dataField name="Sum of ATM" fld="28" baseField="0" baseItem="0"/>
    <dataField name="Sum of Other - Other" fld="29" baseField="0" baseItem="0"/>
    <dataField name="Sum of Salary" fld="30" baseField="0" baseItem="0"/>
    <dataField name="Sum of Income - Other" fld="31" baseField="0" baseItem="0"/>
    <dataField name="Sum of CC Payments" fld="32" baseField="0" baseItem="0"/>
    <dataField name="Sum of Internal Transfers" fld="33" baseField="0" baseItem="0"/>
    <dataField name="Sum of Parental Funds" fld="34" baseField="0" baseItem="0"/>
    <dataField name="Sum of NONTRACKED" fld="3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D5CE27-F0F7-4EF3-BFFF-4BB80DE3AE4D}" name="Log_2018" displayName="Log_2018" ref="A1:AC760" totalsRowShown="0" headerRowDxfId="211" dataDxfId="209" headerRowBorderDxfId="210" tableBorderDxfId="208" totalsRowBorderDxfId="207">
  <autoFilter ref="A1:AC760" xr:uid="{09622AF9-D25C-4638-A9F4-3740B74DE04B}">
    <filterColumn colId="13">
      <filters>
        <filter val="Secured Credit"/>
      </filters>
    </filterColumn>
  </autoFilter>
  <tableColumns count="29">
    <tableColumn id="28" xr3:uid="{C5CBD263-E67D-47E4-B0D2-A093950D05A1}" name="Raw ID" dataDxfId="0" dataCellStyle="Currency"/>
    <tableColumn id="1" xr3:uid="{6111E417-073A-4138-BDCC-D3C10B7043DF}" name="Status" dataDxfId="1" totalsRowDxfId="206"/>
    <tableColumn id="2" xr3:uid="{7B962534-BF4D-4A30-965A-406C901840C0}" name="Idk" dataDxfId="205" totalsRowDxfId="204"/>
    <tableColumn id="3" xr3:uid="{0B3B2448-CE75-412A-A179-FBA7815EE4A7}" name="Date" dataDxfId="203" totalsRowDxfId="202"/>
    <tableColumn id="4" xr3:uid="{6D26943D-BFB8-4B02-84E8-70B03B683864}" name="Custom Description" dataDxfId="201" totalsRowDxfId="200"/>
    <tableColumn id="5" xr3:uid="{A5E9B75E-22A8-4E39-ABD9-82E043AE94AF}" name="Auto Description" dataDxfId="199" totalsRowDxfId="198"/>
    <tableColumn id="6" xr3:uid="{0B0A5C8A-2EFF-4E73-B022-29A8226825DF}" name="USAA Category" dataDxfId="197" totalsRowDxfId="196"/>
    <tableColumn id="12" xr3:uid="{2E7BB291-59BD-421F-B6EC-C1E3CF198833}" name="Raw Amount" totalsRowDxfId="195"/>
    <tableColumn id="7" xr3:uid="{1822854F-F993-4D23-B9BD-89118D332C13}" name="Amount" dataDxfId="194" dataCellStyle="Currency">
      <calculatedColumnFormula>IF(Log_2018[[#This Row],[My Category]]="NONTRACKED",0,Log_2018[[#This Row],[Raw Amount]])</calculatedColumnFormula>
    </tableColumn>
    <tableColumn id="8" xr3:uid="{D5CEB2A4-7564-4E8C-A113-DF3210771598}" name="Abs Amt" dataDxfId="193" totalsRowDxfId="192">
      <calculatedColumnFormula>ABS(Log_2018[[#This Row],[Amount]])</calculatedColumnFormula>
    </tableColumn>
    <tableColumn id="9" xr3:uid="{7AFCC48C-4C91-4CB6-A358-2A45606B3B53}" name="Split_raw" dataDxfId="191" totalsRowDxfId="190"/>
    <tableColumn id="29" xr3:uid="{F579F2A9-7D20-4ADF-A83A-DBAF340486C9}" name="Split_apply" dataDxfId="189">
      <calculatedColumnFormula>IF(Log_2018[[#This Row],[Date]]&lt;=TODAY(), MIN(Log_2018[[#This Row],[Split_raw]], TODAY()-Log_2018[[#This Row],[Date]]+1), 0)</calculatedColumnFormula>
    </tableColumn>
    <tableColumn id="10" xr3:uid="{3CA3B872-98CC-4E4A-9207-42525CB61DBE}" name="My Category" dataDxfId="188" totalsRowDxfId="187"/>
    <tableColumn id="11" xr3:uid="{655B5F18-5BC8-470C-8426-09B603D4FF42}" name="Account" dataDxfId="186" totalsRowDxfId="185"/>
    <tableColumn id="13" xr3:uid="{53FCAD48-7D20-47DC-BF1E-31B351D0F442}" name="zeros for formula consistency" dataDxfId="184"/>
    <tableColumn id="14" xr3:uid="{902DD24A-F244-467F-B217-8132E1C17A04}" name="1/1/18" dataDxfId="183" dataCellStyle="Currency">
      <calculatedColumnFormula>Log_2018[[#This Row],[Amount]]/Log_2018[[#This Row],[Split_raw]]*MAX(0,MIN(_xlfn.DAYS(EDATE(P$1,1),Log_2018[[#This Row],[Date]]),Log_2018[[#This Row],[Split_apply]])) - SUM($O2:O2)</calculatedColumnFormula>
    </tableColumn>
    <tableColumn id="15" xr3:uid="{28114F6D-009E-46C3-97EE-91DB792F650D}" name="2/1/18" dataDxfId="182" dataCellStyle="Currency">
      <calculatedColumnFormula>Log_2018[[#This Row],[Amount]]/Log_2018[[#This Row],[Split_raw]]*MAX(0,MIN(_xlfn.DAYS(EDATE(Q$1,1),Log_2018[[#This Row],[Date]]),Log_2018[[#This Row],[Split_apply]])) - SUM($O2:P2)</calculatedColumnFormula>
    </tableColumn>
    <tableColumn id="16" xr3:uid="{FC98E990-9297-4993-A9DD-2A066F9FB9C1}" name="3/1/18" dataDxfId="181" dataCellStyle="Currency">
      <calculatedColumnFormula>Log_2018[[#This Row],[Amount]]/Log_2018[[#This Row],[Split_raw]]*MAX(0,MIN(_xlfn.DAYS(EDATE(R$1,1),Log_2018[[#This Row],[Date]]),Log_2018[[#This Row],[Split_apply]])) - SUM($O2:Q2)</calculatedColumnFormula>
    </tableColumn>
    <tableColumn id="17" xr3:uid="{E280F94E-A144-4B37-839F-936F1DA1E8E8}" name="4/1/18" dataDxfId="180" dataCellStyle="Currency">
      <calculatedColumnFormula>Log_2018[[#This Row],[Amount]]/Log_2018[[#This Row],[Split_raw]]*MAX(0,MIN(_xlfn.DAYS(EDATE(S$1,1),Log_2018[[#This Row],[Date]]),Log_2018[[#This Row],[Split_apply]])) - SUM($O2:R2)</calculatedColumnFormula>
    </tableColumn>
    <tableColumn id="18" xr3:uid="{32430876-E40B-4743-AF4E-EE1420CEE896}" name="5/1/18" dataDxfId="179" dataCellStyle="Currency">
      <calculatedColumnFormula>Log_2018[[#This Row],[Amount]]/Log_2018[[#This Row],[Split_raw]]*MAX(0,MIN(_xlfn.DAYS(EDATE(T$1,1),Log_2018[[#This Row],[Date]]),Log_2018[[#This Row],[Split_apply]])) - SUM($O2:S2)</calculatedColumnFormula>
    </tableColumn>
    <tableColumn id="19" xr3:uid="{38C1D4BE-42FB-4682-A98F-03E05E061FAC}" name="6/1/18" dataDxfId="178" dataCellStyle="Currency">
      <calculatedColumnFormula>Log_2018[[#This Row],[Amount]]/Log_2018[[#This Row],[Split_raw]]*MAX(0,MIN(_xlfn.DAYS(EDATE(U$1,1),Log_2018[[#This Row],[Date]]),Log_2018[[#This Row],[Split_apply]])) - SUM($O2:T2)</calculatedColumnFormula>
    </tableColumn>
    <tableColumn id="20" xr3:uid="{557C53CE-CA0F-4B47-9E04-1758ADA07AA2}" name="7/1/18" dataDxfId="177" dataCellStyle="Currency">
      <calculatedColumnFormula>Log_2018[[#This Row],[Amount]]/Log_2018[[#This Row],[Split_raw]]*MAX(0,MIN(_xlfn.DAYS(EDATE(V$1,1),Log_2018[[#This Row],[Date]]),Log_2018[[#This Row],[Split_apply]])) - SUM($O2:U2)</calculatedColumnFormula>
    </tableColumn>
    <tableColumn id="21" xr3:uid="{ABC1C4F8-6442-4A57-A8BE-E0342F35168A}" name="8/1/18" dataDxfId="176" dataCellStyle="Currency">
      <calculatedColumnFormula>Log_2018[[#This Row],[Amount]]/Log_2018[[#This Row],[Split_raw]]*MAX(0,MIN(_xlfn.DAYS(EDATE(W$1,1),Log_2018[[#This Row],[Date]]),Log_2018[[#This Row],[Split_apply]])) - SUM($O2:V2)</calculatedColumnFormula>
    </tableColumn>
    <tableColumn id="22" xr3:uid="{6D3093B0-626D-4310-92B5-CFD26BC6FBF4}" name="9/1/18" dataDxfId="175" dataCellStyle="Currency">
      <calculatedColumnFormula>Log_2018[[#This Row],[Amount]]/Log_2018[[#This Row],[Split_raw]]*MAX(0,MIN(_xlfn.DAYS(EDATE(X$1,1),Log_2018[[#This Row],[Date]]),Log_2018[[#This Row],[Split_apply]])) - SUM($O2:W2)</calculatedColumnFormula>
    </tableColumn>
    <tableColumn id="23" xr3:uid="{32814A57-D30E-46D6-B82A-A83C485558C5}" name="10/1/18" dataDxfId="174" dataCellStyle="Currency">
      <calculatedColumnFormula>Log_2018[[#This Row],[Amount]]/Log_2018[[#This Row],[Split_raw]]*MAX(0,MIN(_xlfn.DAYS(EDATE(Y$1,1),Log_2018[[#This Row],[Date]]),Log_2018[[#This Row],[Split_apply]])) - SUM($O2:X2)</calculatedColumnFormula>
    </tableColumn>
    <tableColumn id="24" xr3:uid="{18649332-4965-4F7A-AAE4-B5349D21C554}" name="11/1/18" dataDxfId="173" dataCellStyle="Currency">
      <calculatedColumnFormula>Log_2018[[#This Row],[Amount]]/Log_2018[[#This Row],[Split_raw]]*MAX(0,MIN(_xlfn.DAYS(EDATE(Z$1,1),Log_2018[[#This Row],[Date]]),Log_2018[[#This Row],[Split_apply]])) - SUM($O2:Y2)</calculatedColumnFormula>
    </tableColumn>
    <tableColumn id="25" xr3:uid="{FBF11A11-3D8F-4699-B356-A97E777513D6}" name="12/1/18" dataDxfId="172" dataCellStyle="Currency">
      <calculatedColumnFormula>Log_2018[[#This Row],[Amount]]/Log_2018[[#This Row],[Split_raw]]*MAX(0,MIN(_xlfn.DAYS(EDATE(AA$1,1),Log_2018[[#This Row],[Date]]),Log_2018[[#This Row],[Split_apply]])) - SUM($O2:Z2)</calculatedColumnFormula>
    </tableColumn>
    <tableColumn id="26" xr3:uid="{37BFCF4D-5C55-47EF-8B5D-13EBF68412F1}" name="$ Left" dataDxfId="171">
      <calculatedColumnFormula>Log_2018[[#This Row],[Amount]]-SUM(O2:AA2)</calculatedColumnFormula>
    </tableColumn>
    <tableColumn id="27" xr3:uid="{DE308823-91E3-4AF7-B0FC-92ABAEE8C0C1}" name="Days Left" dataDxfId="170">
      <calculatedColumnFormula>MAX(0,Log_2018[[#This Row],[Split_apply]] - (EDATE(AA$1,1)-Log_2018[[#This Row],[Date]]))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4384A-FBBD-4ACF-BDE0-C93538EE41FE}" name="Log_2019" displayName="Log_2019" ref="A1:AC790" totalsRowShown="0" headerRowDxfId="169" dataDxfId="167" headerRowBorderDxfId="168" tableBorderDxfId="166" totalsRowBorderDxfId="165">
  <autoFilter ref="A1:AC790" xr:uid="{09622AF9-D25C-4638-A9F4-3740B74DE04B}"/>
  <tableColumns count="29">
    <tableColumn id="29" xr3:uid="{19E6E3B6-B37E-4858-A848-95C839BA5F21}" name="Raw ID" dataDxfId="4" dataCellStyle="Currency"/>
    <tableColumn id="1" xr3:uid="{A12AAD71-B104-4794-8903-0FE83830C4E5}" name="Status" dataDxfId="164" totalsRowDxfId="163"/>
    <tableColumn id="2" xr3:uid="{5EA6439E-C402-43CE-ABCB-091122673449}" name="Idk" dataDxfId="162" totalsRowDxfId="161"/>
    <tableColumn id="3" xr3:uid="{E226F4F6-2E19-4769-B7B0-DA7AA768C636}" name="Date" dataDxfId="160" totalsRowDxfId="159"/>
    <tableColumn id="4" xr3:uid="{AB7BADFE-3305-4DAE-B379-9C51352B0677}" name="Custom Description" dataDxfId="158" totalsRowDxfId="157"/>
    <tableColumn id="5" xr3:uid="{65C1AD4A-D0A2-4459-A086-2B024301411A}" name="Auto Description" dataDxfId="156" totalsRowDxfId="155"/>
    <tableColumn id="6" xr3:uid="{F035425B-AC0A-4FE2-BC07-12B3CBC6ABDC}" name="USAA Category" dataDxfId="154" totalsRowDxfId="153"/>
    <tableColumn id="12" xr3:uid="{3457A286-5BA2-439B-8BF8-C6CBF2F2C389}" name="Raw Amount" totalsRowDxfId="152"/>
    <tableColumn id="7" xr3:uid="{520B45B2-12FB-4E22-B05E-D05459910564}" name="Amount" dataDxfId="151" totalsRowDxfId="150" dataCellStyle="Currency">
      <calculatedColumnFormula>IF(Log_2019[[#This Row],[My Category]]="NONTRACKED",0,Log_2019[[#This Row],[Raw Amount]])</calculatedColumnFormula>
    </tableColumn>
    <tableColumn id="8" xr3:uid="{9CE857FB-B13C-4EA8-AA1D-5EE85C911C86}" name="Abs Amt" dataDxfId="149" totalsRowDxfId="148">
      <calculatedColumnFormula>ABS(Log_2019[[#This Row],[Amount]])</calculatedColumnFormula>
    </tableColumn>
    <tableColumn id="28" xr3:uid="{3FA71292-125B-4D58-8C85-6B2942E10F36}" name="Split_raw" dataDxfId="147"/>
    <tableColumn id="9" xr3:uid="{576E78D0-8924-429A-8104-870F1A9D5839}" name="Split_apply" dataDxfId="146" totalsRowDxfId="145">
      <calculatedColumnFormula>IF(Log_2019[[#This Row],[Date]]&lt;=TODAY(), MIN(Log_2019[[#This Row],[Split_raw]], TODAY()-Log_2019[[#This Row],[Date]]+1), 0)</calculatedColumnFormula>
    </tableColumn>
    <tableColumn id="10" xr3:uid="{138143C2-6F99-44C3-9113-D1CB7009BD93}" name="My Category" dataDxfId="144" totalsRowDxfId="143"/>
    <tableColumn id="11" xr3:uid="{1B9991AC-3549-490C-AB18-CD0BB6A1C96E}" name="Account" dataDxfId="142" totalsRowDxfId="141"/>
    <tableColumn id="13" xr3:uid="{6071D228-0849-4838-A391-6D4138514272}" name="zeros for formula consistency" dataDxfId="140"/>
    <tableColumn id="14" xr3:uid="{192CE319-F54D-4E6A-8FB4-329A31864E8C}" name="1/1/19" dataDxfId="139" dataCellStyle="Currency">
      <calculatedColumnFormula>Log_2019[[#This Row],[Amount]]/Log_2019[[#This Row],[Split_raw]]*MAX(0,MIN(_xlfn.DAYS(EDATE(P$1,1),Log_2019[[#This Row],[Date]]),Log_2019[[#This Row],[Split_apply]])) - SUM($O2:O2)</calculatedColumnFormula>
    </tableColumn>
    <tableColumn id="15" xr3:uid="{AEDE78D9-A049-48E7-8494-5CEC1F6C4BBB}" name="2/1/19" dataDxfId="138" dataCellStyle="Currency">
      <calculatedColumnFormula>Log_2019[[#This Row],[Amount]]/Log_2019[[#This Row],[Split_raw]]*MAX(0,MIN(_xlfn.DAYS(EDATE(Q$1,1),Log_2019[[#This Row],[Date]]),Log_2019[[#This Row],[Split_apply]])) - SUM($O2:P2)</calculatedColumnFormula>
    </tableColumn>
    <tableColumn id="16" xr3:uid="{B66AA93A-31FA-4A0D-B505-C1350D7B4A4C}" name="3/1/19" dataDxfId="137" dataCellStyle="Currency">
      <calculatedColumnFormula>Log_2019[[#This Row],[Amount]]/Log_2019[[#This Row],[Split_raw]]*MAX(0,MIN(_xlfn.DAYS(EDATE(R$1,1),Log_2019[[#This Row],[Date]]),Log_2019[[#This Row],[Split_apply]])) - SUM($O2:Q2)</calculatedColumnFormula>
    </tableColumn>
    <tableColumn id="17" xr3:uid="{02D45F06-C08C-462E-BEE4-2EC1117D716F}" name="4/1/19" dataDxfId="136" dataCellStyle="Currency">
      <calculatedColumnFormula>Log_2019[[#This Row],[Amount]]/Log_2019[[#This Row],[Split_raw]]*MAX(0,MIN(_xlfn.DAYS(EDATE(S$1,1),Log_2019[[#This Row],[Date]]),Log_2019[[#This Row],[Split_apply]])) - SUM($O2:R2)</calculatedColumnFormula>
    </tableColumn>
    <tableColumn id="18" xr3:uid="{5FCA17CE-130E-4132-9B8C-6B7AFE0409AD}" name="5/1/19" dataDxfId="135" dataCellStyle="Currency">
      <calculatedColumnFormula>Log_2019[[#This Row],[Amount]]/Log_2019[[#This Row],[Split_raw]]*MAX(0,MIN(_xlfn.DAYS(EDATE(T$1,1),Log_2019[[#This Row],[Date]]),Log_2019[[#This Row],[Split_apply]])) - SUM($O2:S2)</calculatedColumnFormula>
    </tableColumn>
    <tableColumn id="19" xr3:uid="{D34E4781-5A41-4DF2-86A6-07B814B415C0}" name="6/1/19" dataDxfId="134" dataCellStyle="Currency">
      <calculatedColumnFormula>Log_2019[[#This Row],[Amount]]/Log_2019[[#This Row],[Split_raw]]*MAX(0,MIN(_xlfn.DAYS(EDATE(U$1,1),Log_2019[[#This Row],[Date]]),Log_2019[[#This Row],[Split_apply]])) - SUM($O2:T2)</calculatedColumnFormula>
    </tableColumn>
    <tableColumn id="20" xr3:uid="{A24DEBA4-6935-4A1E-B71C-B8FFC558A21F}" name="7/1/19" dataDxfId="133" dataCellStyle="Currency">
      <calculatedColumnFormula>Log_2019[[#This Row],[Amount]]/Log_2019[[#This Row],[Split_raw]]*MAX(0,MIN(_xlfn.DAYS(EDATE(V$1,1),Log_2019[[#This Row],[Date]]),Log_2019[[#This Row],[Split_apply]])) - SUM($O2:U2)</calculatedColumnFormula>
    </tableColumn>
    <tableColumn id="21" xr3:uid="{2A949BE1-D246-4798-88EC-E3C0C8B2A8C4}" name="8/1/19" dataDxfId="132" dataCellStyle="Currency">
      <calculatedColumnFormula>Log_2019[[#This Row],[Amount]]/Log_2019[[#This Row],[Split_raw]]*MAX(0,MIN(_xlfn.DAYS(EDATE(W$1,1),Log_2019[[#This Row],[Date]]),Log_2019[[#This Row],[Split_apply]])) - SUM($O2:V2)</calculatedColumnFormula>
    </tableColumn>
    <tableColumn id="22" xr3:uid="{54A9F16E-8F4C-4F7F-8FC9-5A892981859D}" name="9/1/19" dataDxfId="131" dataCellStyle="Currency">
      <calculatedColumnFormula>Log_2019[[#This Row],[Amount]]/Log_2019[[#This Row],[Split_raw]]*MAX(0,MIN(_xlfn.DAYS(EDATE(X$1,1),Log_2019[[#This Row],[Date]]),Log_2019[[#This Row],[Split_apply]])) - SUM($O2:W2)</calculatedColumnFormula>
    </tableColumn>
    <tableColumn id="23" xr3:uid="{36371A24-9067-436D-9121-71499C438F8A}" name="10/1/19" dataDxfId="130" dataCellStyle="Currency">
      <calculatedColumnFormula>Log_2019[[#This Row],[Amount]]/Log_2019[[#This Row],[Split_raw]]*MAX(0,MIN(_xlfn.DAYS(EDATE(Y$1,1),Log_2019[[#This Row],[Date]]),Log_2019[[#This Row],[Split_apply]])) - SUM($O2:X2)</calculatedColumnFormula>
    </tableColumn>
    <tableColumn id="24" xr3:uid="{5BFEC89B-95F3-49E6-AF41-72E1000FF80E}" name="11/1/19" dataDxfId="129" dataCellStyle="Currency">
      <calculatedColumnFormula>Log_2019[[#This Row],[Amount]]/Log_2019[[#This Row],[Split_raw]]*MAX(0,MIN(_xlfn.DAYS(EDATE(Z$1,1),Log_2019[[#This Row],[Date]]),Log_2019[[#This Row],[Split_apply]])) - SUM($O2:Y2)</calculatedColumnFormula>
    </tableColumn>
    <tableColumn id="25" xr3:uid="{BB6B4128-7AB9-4861-947A-38E75AA66BB8}" name="12/1/19" dataDxfId="128" dataCellStyle="Currency">
      <calculatedColumnFormula>Log_2019[[#This Row],[Amount]]/Log_2019[[#This Row],[Split_raw]]*MAX(0,MIN(_xlfn.DAYS(EDATE(AA$1,1),Log_2019[[#This Row],[Date]]),Log_2019[[#This Row],[Split_apply]])) - SUM($O2:Z2)</calculatedColumnFormula>
    </tableColumn>
    <tableColumn id="26" xr3:uid="{86D013A2-E0E4-40E1-A8D8-423EB02DE404}" name="$ Left" dataDxfId="127">
      <calculatedColumnFormula>Log_2019[[#This Row],[Amount]]-SUM(O2:AA2)</calculatedColumnFormula>
    </tableColumn>
    <tableColumn id="27" xr3:uid="{07B6C9C4-A8A8-467F-B3CC-3C59065B5CFA}" name="Days Left" dataDxfId="126">
      <calculatedColumnFormula>MAX(0,Log_2019[[#This Row],[Split_raw]] - (EDATE(AA$1,1)-Log_2019[[#This Row],[Date]]))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8DB62C-890C-45C8-9DF9-DD05A513C424}" name="Log_2020" displayName="Log_2020" ref="A1:AC207" totalsRowShown="0" headerRowDxfId="125" dataDxfId="123" headerRowBorderDxfId="124" tableBorderDxfId="122" totalsRowBorderDxfId="121">
  <autoFilter ref="A1:AC207" xr:uid="{09622AF9-D25C-4638-A9F4-3740B74DE04B}"/>
  <tableColumns count="29">
    <tableColumn id="29" xr3:uid="{AFBFADD7-E361-4CD5-B41D-2D0018E7CD59}" name="Raw ID" dataDxfId="2"/>
    <tableColumn id="1" xr3:uid="{65ECEEAC-208C-494A-859C-99FA74774D06}" name="Status" dataDxfId="120" totalsRowDxfId="119"/>
    <tableColumn id="2" xr3:uid="{68C3AAB9-B598-4B53-948E-5B9DE9D48DB4}" name="Idk" dataDxfId="118" totalsRowDxfId="117"/>
    <tableColumn id="3" xr3:uid="{A87CCDEF-00A6-4E03-8620-286FCED79F53}" name="Date" dataDxfId="116" totalsRowDxfId="115"/>
    <tableColumn id="4" xr3:uid="{3F392A59-0EA9-4CB7-A1FE-431139DDD2A2}" name="Custom Description" dataDxfId="114" totalsRowDxfId="113"/>
    <tableColumn id="5" xr3:uid="{84BF1F03-A5F0-4FBB-8DDE-8F3BD95247AB}" name="Auto Description" dataDxfId="112" totalsRowDxfId="111"/>
    <tableColumn id="6" xr3:uid="{E8671F32-0504-496A-AAD5-536ABF955482}" name="USAA Category" dataDxfId="110" totalsRowDxfId="109"/>
    <tableColumn id="12" xr3:uid="{F0566E90-AD65-4F7B-A43D-5B0D69AA75F6}" name="Raw Amount" totalsRowDxfId="108"/>
    <tableColumn id="7" xr3:uid="{CC530AD3-CBC7-4176-9259-CF29259683C4}" name="Amount" dataDxfId="107" totalsRowDxfId="106" dataCellStyle="Currency">
      <calculatedColumnFormula>IF(Log_2020[[#This Row],[My Category]]="NONTRACKED",0,Log_2020[[#This Row],[Raw Amount]])</calculatedColumnFormula>
    </tableColumn>
    <tableColumn id="8" xr3:uid="{999D0CAF-0AFD-4A45-9067-D92425E8FE08}" name="Abs Amt" dataDxfId="105" totalsRowDxfId="104">
      <calculatedColumnFormula>ABS(Log_2020[[#This Row],[Amount]])</calculatedColumnFormula>
    </tableColumn>
    <tableColumn id="28" xr3:uid="{0C2DFF67-E011-413C-AB9E-5C1B1D3663E2}" name="Split_raw" dataDxfId="103"/>
    <tableColumn id="9" xr3:uid="{616ED03F-9775-4454-BEC2-4F51C88D4FAE}" name="Split_apply" dataDxfId="102">
      <calculatedColumnFormula>IF(Log_2020[[#This Row],[Date]]&lt;=TODAY(), MIN(Log_2020[[#This Row],[Split_raw]], TODAY()-Log_2020[[#This Row],[Date]]+1), 0)</calculatedColumnFormula>
    </tableColumn>
    <tableColumn id="10" xr3:uid="{E9CC6D3A-C6DF-4975-917D-3778BA197CC4}" name="My Category" dataDxfId="101" totalsRowDxfId="100"/>
    <tableColumn id="11" xr3:uid="{503B981F-A945-4C4B-868F-AD44DF348E03}" name="Account" dataDxfId="99" totalsRowDxfId="98"/>
    <tableColumn id="13" xr3:uid="{80B14D7E-7FF9-493C-8B85-A26E6FF8EE63}" name="zeros for formula consistency" dataDxfId="97"/>
    <tableColumn id="14" xr3:uid="{99EF8A63-092C-4ED2-807E-31D2E42257F4}" name="1/1/20" dataDxfId="96">
      <calculatedColumnFormula>Log_2020[[#This Row],[Amount]]/Log_2020[[#This Row],[Split_raw]]*MAX(0,MIN(_xlfn.DAYS(EDATE(P$1,1),Log_2020[[#This Row],[Date]]),Log_2020[[#This Row],[Split_apply]])) - SUM($O2:O2)</calculatedColumnFormula>
    </tableColumn>
    <tableColumn id="15" xr3:uid="{95BA2DBA-0C71-42D0-A599-C8205ED963CD}" name="2/1/20" dataDxfId="95">
      <calculatedColumnFormula>Log_2020[[#This Row],[Amount]]/Log_2020[[#This Row],[Split_raw]]*MAX(0,MIN(_xlfn.DAYS(EDATE(Q$1,1),Log_2020[[#This Row],[Date]]),Log_2020[[#This Row],[Split_apply]])) - SUM($O2:P2)</calculatedColumnFormula>
    </tableColumn>
    <tableColumn id="16" xr3:uid="{189B8CB0-DA44-4783-846B-6C277E211A73}" name="3/1/20" dataDxfId="94">
      <calculatedColumnFormula>Log_2020[[#This Row],[Amount]]/Log_2020[[#This Row],[Split_raw]]*MAX(0,MIN(_xlfn.DAYS(EDATE(R$1,1),Log_2020[[#This Row],[Date]]),Log_2020[[#This Row],[Split_apply]])) - SUM($O2:Q2)</calculatedColumnFormula>
    </tableColumn>
    <tableColumn id="17" xr3:uid="{3034A6F5-7B91-4FD6-B8B3-84451C711563}" name="4/1/20" dataDxfId="93">
      <calculatedColumnFormula>Log_2020[[#This Row],[Amount]]/Log_2020[[#This Row],[Split_raw]]*MAX(0,MIN(_xlfn.DAYS(EDATE(S$1,1),Log_2020[[#This Row],[Date]]),Log_2020[[#This Row],[Split_apply]])) - SUM($O2:R2)</calculatedColumnFormula>
    </tableColumn>
    <tableColumn id="18" xr3:uid="{008FBA38-A4A1-4CE1-A98E-305A0DAA5B88}" name="5/1/20" dataDxfId="92">
      <calculatedColumnFormula>Log_2020[[#This Row],[Amount]]/Log_2020[[#This Row],[Split_raw]]*MAX(0,MIN(_xlfn.DAYS(EDATE(T$1,1),Log_2020[[#This Row],[Date]]),Log_2020[[#This Row],[Split_apply]])) - SUM($O2:S2)</calculatedColumnFormula>
    </tableColumn>
    <tableColumn id="19" xr3:uid="{94E7DBF3-1D63-43E3-8403-6B7F49FF9634}" name="6/1/20" dataDxfId="91">
      <calculatedColumnFormula>Log_2020[[#This Row],[Amount]]/Log_2020[[#This Row],[Split_raw]]*MAX(0,MIN(_xlfn.DAYS(EDATE(U$1,1),Log_2020[[#This Row],[Date]]),Log_2020[[#This Row],[Split_apply]])) - SUM($O2:T2)</calculatedColumnFormula>
    </tableColumn>
    <tableColumn id="20" xr3:uid="{3D110EA5-12BB-4156-96D3-CC4E4F2B71D0}" name="7/1/20" dataDxfId="90">
      <calculatedColumnFormula>Log_2020[[#This Row],[Amount]]/Log_2020[[#This Row],[Split_raw]]*MAX(0,MIN(_xlfn.DAYS(EDATE(V$1,1),Log_2020[[#This Row],[Date]]),Log_2020[[#This Row],[Split_apply]])) - SUM($O2:U2)</calculatedColumnFormula>
    </tableColumn>
    <tableColumn id="21" xr3:uid="{AC04DA5C-9BCF-4EB0-8854-7F5997AAC0BE}" name="8/1/20" dataDxfId="89">
      <calculatedColumnFormula>Log_2020[[#This Row],[Amount]]/Log_2020[[#This Row],[Split_raw]]*MAX(0,MIN(_xlfn.DAYS(EDATE(W$1,1),Log_2020[[#This Row],[Date]]),Log_2020[[#This Row],[Split_apply]])) - SUM($O2:V2)</calculatedColumnFormula>
    </tableColumn>
    <tableColumn id="22" xr3:uid="{90BDE734-EE67-4999-9B26-3BAD6058CD3F}" name="9/1/20" dataDxfId="88">
      <calculatedColumnFormula>Log_2020[[#This Row],[Amount]]/Log_2020[[#This Row],[Split_raw]]*MAX(0,MIN(_xlfn.DAYS(EDATE(X$1,1),Log_2020[[#This Row],[Date]]),Log_2020[[#This Row],[Split_apply]])) - SUM($O2:W2)</calculatedColumnFormula>
    </tableColumn>
    <tableColumn id="23" xr3:uid="{C1462915-FD3F-4EA1-B8FA-7B550CC23DD4}" name="10/1/20" dataDxfId="87">
      <calculatedColumnFormula>Log_2020[[#This Row],[Amount]]/Log_2020[[#This Row],[Split_raw]]*MAX(0,MIN(_xlfn.DAYS(EDATE(Y$1,1),Log_2020[[#This Row],[Date]]),Log_2020[[#This Row],[Split_apply]])) - SUM($O2:X2)</calculatedColumnFormula>
    </tableColumn>
    <tableColumn id="24" xr3:uid="{7EF17A3E-9EB8-466D-A811-969E9A36F21C}" name="11/1/20" dataDxfId="86">
      <calculatedColumnFormula>Log_2020[[#This Row],[Amount]]/Log_2020[[#This Row],[Split_raw]]*MAX(0,MIN(_xlfn.DAYS(EDATE(Z$1,1),Log_2020[[#This Row],[Date]]),Log_2020[[#This Row],[Split_apply]])) - SUM($O2:Y2)</calculatedColumnFormula>
    </tableColumn>
    <tableColumn id="25" xr3:uid="{7ACDBF9F-5BB8-4895-9162-27B1BF07A162}" name="12/1/20" dataDxfId="85">
      <calculatedColumnFormula>Log_2020[[#This Row],[Amount]]/Log_2020[[#This Row],[Split_raw]]*MAX(0,MIN(_xlfn.DAYS(EDATE(AA$1,1),Log_2020[[#This Row],[Date]]),Log_2020[[#This Row],[Split_apply]])) - SUM($O2:Z2)</calculatedColumnFormula>
    </tableColumn>
    <tableColumn id="26" xr3:uid="{1584703F-EEA5-4E3C-952E-1FE5FDC2338E}" name="$ Left" dataDxfId="84">
      <calculatedColumnFormula>Log_2020[[#This Row],[Amount]]*Log_2020[[#This Row],[Split_apply]]/Log_2020[[#This Row],[Split_raw]]-SUM(O2:AA2)</calculatedColumnFormula>
    </tableColumn>
    <tableColumn id="27" xr3:uid="{5391F1D0-A72B-4BB9-831F-18D21DEBBB01}" name="Days Left" dataDxfId="83">
      <calculatedColumnFormula>MAX(0,Log_2020[[#This Row],[Split_raw]] - (EDATE(AA$1,1)-Log_2020[[#This Row],[Date]]))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2BAC4E-9226-4848-82E6-5258FD4758D7}" name="Totals" displayName="Totals" ref="A3:AK40" totalsRowCount="1" headerRowDxfId="82" totalsRowDxfId="79" headerRowBorderDxfId="81" tableBorderDxfId="80">
  <autoFilter ref="A3:AK39" xr:uid="{372BB2B9-94BD-4772-B33E-EE241E857A52}"/>
  <tableColumns count="37">
    <tableColumn id="1" xr3:uid="{BBCAE846-527E-4F6C-A663-2AD06E4ECB0D}" name="Date" dataDxfId="78" totalsRowDxfId="77">
      <calculatedColumnFormula>EDATE(DATEVALUE("1/1/2018"),ROW(Totals[[#This Row],[Date]])-ROW(Totals[[#Headers],[Date]])-1)</calculatedColumnFormula>
    </tableColumn>
    <tableColumn id="36" xr3:uid="{213D4956-3294-403C-90D9-C12A3AB27A77}" name="Use for average" dataDxfId="76" totalsRowDxfId="75">
      <calculatedColumnFormula>IF(TODAY()&gt;EDATE(Totals[[#This Row],[Date]],1),TRUE,FALSE)</calculatedColumnFormula>
    </tableColumn>
    <tableColumn id="35" xr3:uid="{7E1265E2-9764-4F94-9480-A2D0E50E7E84}" name="SourceTable" dataDxfId="74" totalsRowDxfId="73">
      <calculatedColumnFormula>"Log_" &amp; YEAR(Totals[[#This Row],[Date]])</calculatedColumnFormula>
    </tableColumn>
    <tableColumn id="2" xr3:uid="{AB783CC9-8742-42EC-99EF-AE1DA57E6FEF}" name="Car - Note" totalsRowFunction="custom" dataDxfId="72" totalsRowDxfId="71" dataCellStyle="Currency">
      <calculatedColumnFormula>SUMIF(INDIRECT(Totals[[#This Row],[SourceTable]] &amp; "[My Category]"),D$3,INDIRECT(Totals[[#This Row],[SourceTable]] &amp; "[" &amp; TEXT(Totals[[#This Row],[Date]],"m/d/yy") &amp; "]"))</calculatedColumnFormula>
      <totalsRowFormula>AVERAGEIF(Totals[Use for average],"TRUE",INDIRECT("Totals[" &amp; D$3 &amp; "]"))</totalsRowFormula>
    </tableColumn>
    <tableColumn id="3" xr3:uid="{B3624D6F-CDB1-4997-AE6B-91BA4DFE0A0F}" name="Car/Rental Insurance" totalsRowFunction="custom" dataDxfId="70" totalsRowDxfId="69" dataCellStyle="Currency">
      <calculatedColumnFormula>SUMIF(INDIRECT(Totals[[#This Row],[SourceTable]] &amp; "[My Category]"),E$3,INDIRECT(Totals[[#This Row],[SourceTable]] &amp; "[" &amp; TEXT(Totals[[#This Row],[Date]],"m/d/yy") &amp; "]"))</calculatedColumnFormula>
      <totalsRowFormula>AVERAGEIF(Totals[Use for average],"TRUE",INDIRECT("Totals[" &amp; E$3 &amp; "]"))</totalsRowFormula>
    </tableColumn>
    <tableColumn id="4" xr3:uid="{A1C65502-360C-4275-9004-0328EDE6B7A5}" name="Car - Other" totalsRowFunction="custom" dataDxfId="68" totalsRowDxfId="67" dataCellStyle="Currency">
      <calculatedColumnFormula>SUMIF(INDIRECT(Totals[[#This Row],[SourceTable]] &amp; "[My Category]"),F$3,INDIRECT(Totals[[#This Row],[SourceTable]] &amp; "[" &amp; TEXT(Totals[[#This Row],[Date]],"m/d/yy") &amp; "]"))</calculatedColumnFormula>
      <totalsRowFormula>AVERAGEIF(Totals[Use for average],"TRUE",INDIRECT("Totals[" &amp; F$3 &amp; "]"))</totalsRowFormula>
    </tableColumn>
    <tableColumn id="5" xr3:uid="{BAD93D9B-33F9-4218-AC54-309F89783C1C}" name="Car - Parking Pass" totalsRowFunction="custom" dataDxfId="66" totalsRowDxfId="65" dataCellStyle="Currency">
      <calculatedColumnFormula>SUMIF(INDIRECT(Totals[[#This Row],[SourceTable]] &amp; "[My Category]"),G$3,INDIRECT(Totals[[#This Row],[SourceTable]] &amp; "[" &amp; TEXT(Totals[[#This Row],[Date]],"m/d/yy") &amp; "]"))</calculatedColumnFormula>
      <totalsRowFormula>AVERAGEIF(Totals[Use for average],"TRUE",INDIRECT("Totals[" &amp; G$3 &amp; "]"))</totalsRowFormula>
    </tableColumn>
    <tableColumn id="6" xr3:uid="{A59872A7-48C1-4628-AABD-7A677EC76D9F}" name="Self-improvement" totalsRowFunction="custom" dataDxfId="64" totalsRowDxfId="63" dataCellStyle="Currency">
      <calculatedColumnFormula>SUMIF(INDIRECT(Totals[[#This Row],[SourceTable]] &amp; "[My Category]"),H$3,INDIRECT(Totals[[#This Row],[SourceTable]] &amp; "[" &amp; TEXT(Totals[[#This Row],[Date]],"m/d/yy") &amp; "]"))</calculatedColumnFormula>
      <totalsRowFormula>AVERAGEIF(Totals[Use for average],"TRUE",INDIRECT("Totals[" &amp; H$3 &amp; "]"))</totalsRowFormula>
    </tableColumn>
    <tableColumn id="7" xr3:uid="{6DB20833-1850-4FF7-9A4D-8D199E5593E2}" name="Clothes/Personal care" totalsRowFunction="custom" dataDxfId="62" totalsRowDxfId="61" dataCellStyle="Currency">
      <calculatedColumnFormula>SUMIF(INDIRECT(Totals[[#This Row],[SourceTable]] &amp; "[My Category]"),I$3,INDIRECT(Totals[[#This Row],[SourceTable]] &amp; "[" &amp; TEXT(Totals[[#This Row],[Date]],"m/d/yy") &amp; "]"))</calculatedColumnFormula>
      <totalsRowFormula>AVERAGEIF(Totals[Use for average],"TRUE",INDIRECT("Totals[" &amp; I$3 &amp; "]"))</totalsRowFormula>
    </tableColumn>
    <tableColumn id="8" xr3:uid="{07DDF163-1AB7-4B03-BE56-6C20E772B5E7}" name="Dates" totalsRowFunction="custom" dataDxfId="60" totalsRowDxfId="59" dataCellStyle="Currency">
      <calculatedColumnFormula>SUMIF(INDIRECT(Totals[[#This Row],[SourceTable]] &amp; "[My Category]"),J$3,INDIRECT(Totals[[#This Row],[SourceTable]] &amp; "[" &amp; TEXT(Totals[[#This Row],[Date]],"m/d/yy") &amp; "]"))</calculatedColumnFormula>
      <totalsRowFormula>AVERAGEIF(Totals[Use for average],"TRUE",INDIRECT("Totals[" &amp; J$3 &amp; "]"))</totalsRowFormula>
    </tableColumn>
    <tableColumn id="9" xr3:uid="{39B7A12D-55D9-48A3-AFE8-16DBD944B84B}" name="Entertainment - Other" totalsRowFunction="custom" dataDxfId="58" totalsRowDxfId="57" dataCellStyle="Currency">
      <calculatedColumnFormula>SUMIF(INDIRECT(Totals[[#This Row],[SourceTable]] &amp; "[My Category]"),K$3,INDIRECT(Totals[[#This Row],[SourceTable]] &amp; "[" &amp; TEXT(Totals[[#This Row],[Date]],"m/d/yy") &amp; "]"))</calculatedColumnFormula>
      <totalsRowFormula>AVERAGEIF(Totals[Use for average],"TRUE",INDIRECT("Totals[" &amp; K$3 &amp; "]"))</totalsRowFormula>
    </tableColumn>
    <tableColumn id="10" xr3:uid="{F4441128-9501-4A65-B987-9E4A64889068}" name="Games" totalsRowFunction="custom" dataDxfId="56" totalsRowDxfId="55" dataCellStyle="Currency">
      <calculatedColumnFormula>SUMIF(INDIRECT(Totals[[#This Row],[SourceTable]] &amp; "[My Category]"),L$3,INDIRECT(Totals[[#This Row],[SourceTable]] &amp; "[" &amp; TEXT(Totals[[#This Row],[Date]],"m/d/yy") &amp; "]"))</calculatedColumnFormula>
      <totalsRowFormula>AVERAGEIF(Totals[Use for average],"TRUE",INDIRECT("Totals[" &amp; L$3 &amp; "]"))</totalsRowFormula>
    </tableColumn>
    <tableColumn id="11" xr3:uid="{393D5115-A64A-4B7C-B72C-0A6F322A5C5B}" name="Going out" totalsRowFunction="custom" dataDxfId="54" totalsRowDxfId="53" dataCellStyle="Currency">
      <calculatedColumnFormula>SUMIF(INDIRECT(Totals[[#This Row],[SourceTable]] &amp; "[My Category]"),M$3,INDIRECT(Totals[[#This Row],[SourceTable]] &amp; "[" &amp; TEXT(Totals[[#This Row],[Date]],"m/d/yy") &amp; "]"))</calculatedColumnFormula>
      <totalsRowFormula>AVERAGEIF(Totals[Use for average],"TRUE",INDIRECT("Totals[" &amp; M$3 &amp; "]"))</totalsRowFormula>
    </tableColumn>
    <tableColumn id="12" xr3:uid="{AF59ABBB-DA03-4654-AF07-C0D96ECB0E0C}" name="Books" totalsRowFunction="custom" dataDxfId="52" totalsRowDxfId="51" dataCellStyle="Currency">
      <calculatedColumnFormula>SUMIF(INDIRECT(Totals[[#This Row],[SourceTable]] &amp; "[My Category]"),N$3,INDIRECT(Totals[[#This Row],[SourceTable]] &amp; "[" &amp; TEXT(Totals[[#This Row],[Date]],"m/d/yy") &amp; "]"))</calculatedColumnFormula>
      <totalsRowFormula>AVERAGEIF(Totals[Use for average],"TRUE",INDIRECT("Totals[" &amp; N$3 &amp; "]"))</totalsRowFormula>
    </tableColumn>
    <tableColumn id="13" xr3:uid="{BC4F9AD3-A664-4CA3-B5CA-D5D42849CE9C}" name="Big Fun" totalsRowFunction="custom" dataDxfId="50" totalsRowDxfId="49" dataCellStyle="Currency">
      <calculatedColumnFormula>SUMIF(INDIRECT(Totals[[#This Row],[SourceTable]] &amp; "[My Category]"),O$3,INDIRECT(Totals[[#This Row],[SourceTable]] &amp; "[" &amp; TEXT(Totals[[#This Row],[Date]],"m/d/yy") &amp; "]"))</calculatedColumnFormula>
      <totalsRowFormula>AVERAGEIF(Totals[Use for average],"TRUE",INDIRECT("Totals[" &amp; O$3 &amp; "]"))</totalsRowFormula>
    </tableColumn>
    <tableColumn id="14" xr3:uid="{42CFA5F0-BDD3-4CDF-B6DB-01DD15B92B9C}" name="Groceries" totalsRowFunction="custom" dataDxfId="48" totalsRowDxfId="47" dataCellStyle="Currency">
      <calculatedColumnFormula>SUMIF(INDIRECT(Totals[[#This Row],[SourceTable]] &amp; "[My Category]"),P$3,INDIRECT(Totals[[#This Row],[SourceTable]] &amp; "[" &amp; TEXT(Totals[[#This Row],[Date]],"m/d/yy") &amp; "]"))</calculatedColumnFormula>
      <totalsRowFormula>AVERAGEIF(Totals[Use for average],"TRUE",INDIRECT("Totals[" &amp; P$3 &amp; "]"))</totalsRowFormula>
    </tableColumn>
    <tableColumn id="15" xr3:uid="{3A6FA71D-0528-42EB-AEF4-2FC15C03FBAA}" name="Food - nice" totalsRowFunction="custom" dataDxfId="46" totalsRowDxfId="45" dataCellStyle="Currency">
      <calculatedColumnFormula>SUMIF(INDIRECT(Totals[[#This Row],[SourceTable]] &amp; "[My Category]"),Q$3,INDIRECT(Totals[[#This Row],[SourceTable]] &amp; "[" &amp; TEXT(Totals[[#This Row],[Date]],"m/d/yy") &amp; "]"))</calculatedColumnFormula>
      <totalsRowFormula>AVERAGEIF(Totals[Use for average],"TRUE",INDIRECT("Totals[" &amp; Q$3 &amp; "]"))</totalsRowFormula>
    </tableColumn>
    <tableColumn id="16" xr3:uid="{9D78E8E7-BFD3-40F7-B06A-5EE1BC794F37}" name="Rent" totalsRowFunction="custom" dataDxfId="44" totalsRowDxfId="43" dataCellStyle="Currency">
      <calculatedColumnFormula>SUMIF(INDIRECT(Totals[[#This Row],[SourceTable]] &amp; "[My Category]"),R$3,INDIRECT(Totals[[#This Row],[SourceTable]] &amp; "[" &amp; TEXT(Totals[[#This Row],[Date]],"m/d/yy") &amp; "]"))</calculatedColumnFormula>
      <totalsRowFormula>AVERAGEIF(Totals[Use for average],"TRUE",INDIRECT("Totals[" &amp; R$3 &amp; "]"))</totalsRowFormula>
    </tableColumn>
    <tableColumn id="17" xr3:uid="{CC5D3508-34E7-4048-9D5F-1A87D9CAC075}" name="Utilities" totalsRowFunction="custom" dataDxfId="42" totalsRowDxfId="41" dataCellStyle="Currency">
      <calculatedColumnFormula>SUMIF(INDIRECT(Totals[[#This Row],[SourceTable]] &amp; "[My Category]"),S$3,INDIRECT(Totals[[#This Row],[SourceTable]] &amp; "[" &amp; TEXT(Totals[[#This Row],[Date]],"m/d/yy") &amp; "]"))</calculatedColumnFormula>
      <totalsRowFormula>AVERAGEIF(Totals[Use for average],"TRUE",INDIRECT("Totals[" &amp; S$3 &amp; "]"))</totalsRowFormula>
    </tableColumn>
    <tableColumn id="18" xr3:uid="{95842A9A-2E66-4460-B9C4-D5941EBF0603}" name="Internet" totalsRowFunction="custom" dataDxfId="40" totalsRowDxfId="39" dataCellStyle="Currency">
      <calculatedColumnFormula>SUMIF(INDIRECT(Totals[[#This Row],[SourceTable]] &amp; "[My Category]"),T$3,INDIRECT(Totals[[#This Row],[SourceTable]] &amp; "[" &amp; TEXT(Totals[[#This Row],[Date]],"m/d/yy") &amp; "]"))</calculatedColumnFormula>
      <totalsRowFormula>AVERAGEIF(Totals[Use for average],"TRUE",INDIRECT("Totals[" &amp; T$3 &amp; "]"))</totalsRowFormula>
    </tableColumn>
    <tableColumn id="19" xr3:uid="{F130CCBD-613E-4CEC-8392-40876A73AA2F}" name="Housing - Other" totalsRowFunction="custom" dataDxfId="38" totalsRowDxfId="37" dataCellStyle="Currency">
      <calculatedColumnFormula>SUMIF(INDIRECT(Totals[[#This Row],[SourceTable]] &amp; "[My Category]"),U$3,INDIRECT(Totals[[#This Row],[SourceTable]] &amp; "[" &amp; TEXT(Totals[[#This Row],[Date]],"m/d/yy") &amp; "]"))</calculatedColumnFormula>
      <totalsRowFormula>AVERAGEIF(Totals[Use for average],"TRUE",INDIRECT("Totals[" &amp; U$3 &amp; "]"))</totalsRowFormula>
    </tableColumn>
    <tableColumn id="20" xr3:uid="{3A9FC26D-C093-4F86-9EB5-ADF66D7CF118}" name="Decoration" totalsRowFunction="custom" dataDxfId="36" totalsRowDxfId="35" dataCellStyle="Currency">
      <calculatedColumnFormula>SUMIF(INDIRECT(Totals[[#This Row],[SourceTable]] &amp; "[My Category]"),V$3,INDIRECT(Totals[[#This Row],[SourceTable]] &amp; "[" &amp; TEXT(Totals[[#This Row],[Date]],"m/d/yy") &amp; "]"))</calculatedColumnFormula>
      <totalsRowFormula>AVERAGEIF(Totals[Use for average],"TRUE",INDIRECT("Totals[" &amp; V$3 &amp; "]"))</totalsRowFormula>
    </tableColumn>
    <tableColumn id="21" xr3:uid="{0508FC1B-9921-43EB-A159-3D76A8D01851}" name="401k" totalsRowFunction="custom" dataDxfId="34" totalsRowDxfId="33" dataCellStyle="Currency">
      <calculatedColumnFormula>SUMIF(INDIRECT(Totals[[#This Row],[SourceTable]] &amp; "[My Category]"),W$3,INDIRECT(Totals[[#This Row],[SourceTable]] &amp; "[" &amp; TEXT(Totals[[#This Row],[Date]],"m/d/yy") &amp; "]"))</calculatedColumnFormula>
      <totalsRowFormula>AVERAGEIF(Totals[Use for average],"TRUE",INDIRECT("Totals[" &amp; W$3 &amp; "]"))</totalsRowFormula>
    </tableColumn>
    <tableColumn id="22" xr3:uid="{786B04C4-EC2A-4CF1-A806-0B92E4C84ED7}" name="Retirement" totalsRowFunction="custom" dataDxfId="32" totalsRowDxfId="31" dataCellStyle="Currency">
      <calculatedColumnFormula>SUMIF(INDIRECT(Totals[[#This Row],[SourceTable]] &amp; "[My Category]"),X$3,INDIRECT(Totals[[#This Row],[SourceTable]] &amp; "[" &amp; TEXT(Totals[[#This Row],[Date]],"m/d/yy") &amp; "]"))</calculatedColumnFormula>
      <totalsRowFormula>AVERAGEIF(Totals[Use for average],"TRUE",INDIRECT("Totals[" &amp; X$3 &amp; "]"))</totalsRowFormula>
    </tableColumn>
    <tableColumn id="23" xr3:uid="{39562F82-9BE6-440F-ABF5-A1CE1C96BC96}" name="Long-term" totalsRowFunction="custom" dataDxfId="30" totalsRowDxfId="29" dataCellStyle="Currency">
      <calculatedColumnFormula>SUMIF(INDIRECT(Totals[[#This Row],[SourceTable]] &amp; "[My Category]"),Y$3,INDIRECT(Totals[[#This Row],[SourceTable]] &amp; "[" &amp; TEXT(Totals[[#This Row],[Date]],"m/d/yy") &amp; "]"))</calculatedColumnFormula>
      <totalsRowFormula>AVERAGEIF(Totals[Use for average],"TRUE",INDIRECT("Totals[" &amp; Y$3 &amp; "]"))</totalsRowFormula>
    </tableColumn>
    <tableColumn id="24" xr3:uid="{CE89D48A-84A1-4F29-835B-E0E13A7ABC50}" name="Unexpected Fund" totalsRowFunction="custom" dataDxfId="28" totalsRowDxfId="27" dataCellStyle="Currency">
      <calculatedColumnFormula>SUMIF(INDIRECT(Totals[[#This Row],[SourceTable]] &amp; "[My Category]"),Z$3,INDIRECT(Totals[[#This Row],[SourceTable]] &amp; "[" &amp; TEXT(Totals[[#This Row],[Date]],"m/d/yy") &amp; "]"))</calculatedColumnFormula>
      <totalsRowFormula>AVERAGEIF(Totals[Use for average],"TRUE",INDIRECT("Totals[" &amp; Z$3 &amp; "]"))</totalsRowFormula>
    </tableColumn>
    <tableColumn id="25" xr3:uid="{4E77670B-6858-4824-BAAE-B82597721DE5}" name="Medical - Other" totalsRowFunction="custom" dataDxfId="26" totalsRowDxfId="25" dataCellStyle="Currency">
      <calculatedColumnFormula>SUMIF(INDIRECT(Totals[[#This Row],[SourceTable]] &amp; "[My Category]"),AA$3,INDIRECT(Totals[[#This Row],[SourceTable]] &amp; "[" &amp; TEXT(Totals[[#This Row],[Date]],"m/d/yy") &amp; "]"))</calculatedColumnFormula>
      <totalsRowFormula>AVERAGEIF(Totals[Use for average],"TRUE",INDIRECT("Totals[" &amp; AA$3 &amp; "]"))</totalsRowFormula>
    </tableColumn>
    <tableColumn id="26" xr3:uid="{F8FED7B4-6846-45E1-986C-B77D3E496087}" name="Medical Insurance" totalsRowFunction="custom" dataDxfId="24" totalsRowDxfId="23" dataCellStyle="Currency">
      <calculatedColumnFormula>SUMIF(INDIRECT(Totals[[#This Row],[SourceTable]] &amp; "[My Category]"),AB$3,INDIRECT(Totals[[#This Row],[SourceTable]] &amp; "[" &amp; TEXT(Totals[[#This Row],[Date]],"m/d/yy") &amp; "]"))</calculatedColumnFormula>
      <totalsRowFormula>AVERAGEIF(Totals[Use for average],"TRUE",INDIRECT("Totals[" &amp; AB$3 &amp; "]"))</totalsRowFormula>
    </tableColumn>
    <tableColumn id="27" xr3:uid="{074BC5AE-2E33-461B-A5AD-E3EF1C774F98}" name="ATM" totalsRowFunction="custom" dataDxfId="22" totalsRowDxfId="21" dataCellStyle="Currency">
      <calculatedColumnFormula>SUMIF(INDIRECT(Totals[[#This Row],[SourceTable]] &amp; "[My Category]"),AC$3,INDIRECT(Totals[[#This Row],[SourceTable]] &amp; "[" &amp; TEXT(Totals[[#This Row],[Date]],"m/d/yy") &amp; "]"))</calculatedColumnFormula>
      <totalsRowFormula>AVERAGEIF(Totals[Use for average],"TRUE",INDIRECT("Totals[" &amp; AC$3 &amp; "]"))</totalsRowFormula>
    </tableColumn>
    <tableColumn id="28" xr3:uid="{49EC2D1A-C9A0-49E8-A9F8-3E1FD3C640F6}" name="Other - Other" totalsRowFunction="custom" dataDxfId="20" totalsRowDxfId="19" dataCellStyle="Currency">
      <calculatedColumnFormula>SUMIF(INDIRECT(Totals[[#This Row],[SourceTable]] &amp; "[My Category]"),AD$3,INDIRECT(Totals[[#This Row],[SourceTable]] &amp; "[" &amp; TEXT(Totals[[#This Row],[Date]],"m/d/yy") &amp; "]"))</calculatedColumnFormula>
      <totalsRowFormula>AVERAGEIF(Totals[Use for average],"TRUE",INDIRECT("Totals[" &amp; AD$3 &amp; "]"))</totalsRowFormula>
    </tableColumn>
    <tableColumn id="29" xr3:uid="{813E5BE5-83E7-4026-AB60-E83DD208C1EB}" name="Salary" totalsRowFunction="custom" dataDxfId="18" totalsRowDxfId="17" dataCellStyle="Currency">
      <calculatedColumnFormula>SUMIF(INDIRECT(Totals[[#This Row],[SourceTable]] &amp; "[My Category]"),AE$3,INDIRECT(Totals[[#This Row],[SourceTable]] &amp; "[" &amp; TEXT(Totals[[#This Row],[Date]],"m/d/yy") &amp; "]"))</calculatedColumnFormula>
      <totalsRowFormula>AVERAGEIF(Totals[Use for average],"TRUE",INDIRECT("Totals[" &amp; AE$3 &amp; "]"))</totalsRowFormula>
    </tableColumn>
    <tableColumn id="30" xr3:uid="{C6DD220F-6C67-4B1F-AB31-2E4D10521FE2}" name="Income - Other" totalsRowFunction="custom" dataDxfId="16" totalsRowDxfId="15" dataCellStyle="Currency">
      <calculatedColumnFormula>SUMIF(INDIRECT(Totals[[#This Row],[SourceTable]] &amp; "[My Category]"),AF$3,INDIRECT(Totals[[#This Row],[SourceTable]] &amp; "[" &amp; TEXT(Totals[[#This Row],[Date]],"m/d/yy") &amp; "]"))</calculatedColumnFormula>
      <totalsRowFormula>AVERAGEIF(Totals[Use for average],"TRUE",INDIRECT("Totals[" &amp; AF$3 &amp; "]"))</totalsRowFormula>
    </tableColumn>
    <tableColumn id="31" xr3:uid="{242C7BEC-FD14-4E77-AED7-100A391BBDA6}" name="CC Payments" totalsRowFunction="custom" dataDxfId="14" totalsRowDxfId="13" dataCellStyle="Currency">
      <calculatedColumnFormula>SUMIF(INDIRECT(Totals[[#This Row],[SourceTable]] &amp; "[My Category]"),AG$3,INDIRECT(Totals[[#This Row],[SourceTable]] &amp; "[" &amp; TEXT(Totals[[#This Row],[Date]],"m/d/yy") &amp; "]"))</calculatedColumnFormula>
      <totalsRowFormula>AVERAGEIF(Totals[Use for average],"TRUE",INDIRECT("Totals[" &amp; AG$3 &amp; "]"))</totalsRowFormula>
    </tableColumn>
    <tableColumn id="32" xr3:uid="{4DF422CE-7DD2-48D9-BA47-8BF50FC741FB}" name="Internal Transfers" totalsRowFunction="custom" dataDxfId="12" totalsRowDxfId="11" dataCellStyle="Currency">
      <calculatedColumnFormula>SUMIF(INDIRECT(Totals[[#This Row],[SourceTable]] &amp; "[My Category]"),AH$3,INDIRECT(Totals[[#This Row],[SourceTable]] &amp; "[" &amp; TEXT(Totals[[#This Row],[Date]],"m/d/yy") &amp; "]"))</calculatedColumnFormula>
      <totalsRowFormula>AVERAGEIF(Totals[Use for average],"TRUE",INDIRECT("Totals[" &amp; AH$3 &amp; "]"))</totalsRowFormula>
    </tableColumn>
    <tableColumn id="33" xr3:uid="{E0E246A8-1BD9-4026-90F1-645895B88221}" name="Parental Funds" totalsRowFunction="custom" dataDxfId="10" totalsRowDxfId="9" dataCellStyle="Currency">
      <calculatedColumnFormula>SUMIF(INDIRECT(Totals[[#This Row],[SourceTable]] &amp; "[My Category]"),AI$3,INDIRECT(Totals[[#This Row],[SourceTable]] &amp; "[" &amp; TEXT(Totals[[#This Row],[Date]],"m/d/yy") &amp; "]"))</calculatedColumnFormula>
      <totalsRowFormula>AVERAGEIF(Totals[Use for average],"TRUE",INDIRECT("Totals[" &amp; AI$3 &amp; "]"))</totalsRowFormula>
    </tableColumn>
    <tableColumn id="34" xr3:uid="{7E6E1A3B-1DB7-4BDC-B0BC-5C78E7AE6EEF}" name="NONTRACKED" totalsRowFunction="custom" dataDxfId="8" totalsRowDxfId="7" dataCellStyle="Currency">
      <calculatedColumnFormula>SUMIF(INDIRECT(Totals[[#This Row],[SourceTable]] &amp; "[My Category]"),AJ$3,INDIRECT(Totals[[#This Row],[SourceTable]] &amp; "[" &amp; TEXT(Totals[[#This Row],[Date]],"m/d/yy") &amp; "]"))</calculatedColumnFormula>
      <totalsRowFormula>AVERAGEIF(Totals[Use for average],"TRUE",INDIRECT("Totals[" &amp; AJ$3 &amp; "]"))</totalsRowFormula>
    </tableColumn>
    <tableColumn id="37" xr3:uid="{46A37B10-7B7F-4606-AD40-291390D0AEB4}" name="Total" dataDxfId="6" totalsRowDxfId="5" dataCellStyle="Currency">
      <calculatedColumnFormula>SUM(Totals[[#This Row],[Car - Note]:[NONTRACKED]])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9BEE-2297-45F4-8BFD-6CB2A4B888DA}">
  <sheetPr codeName="Sheet2"/>
  <dimension ref="A1:M35"/>
  <sheetViews>
    <sheetView workbookViewId="0">
      <selection activeCell="J12" sqref="J12"/>
    </sheetView>
  </sheetViews>
  <sheetFormatPr defaultRowHeight="15" x14ac:dyDescent="0.25"/>
  <cols>
    <col min="12" max="12" width="17" bestFit="1" customWidth="1"/>
    <col min="13" max="13" width="9.85546875" bestFit="1" customWidth="1"/>
  </cols>
  <sheetData>
    <row r="1" spans="1:10" x14ac:dyDescent="0.25">
      <c r="A1" t="s">
        <v>152</v>
      </c>
    </row>
    <row r="2" spans="1:10" x14ac:dyDescent="0.25">
      <c r="A2">
        <v>2861.12</v>
      </c>
      <c r="G2" t="s">
        <v>194</v>
      </c>
    </row>
    <row r="3" spans="1:10" x14ac:dyDescent="0.25">
      <c r="G3" t="s">
        <v>167</v>
      </c>
    </row>
    <row r="4" spans="1:10" x14ac:dyDescent="0.25">
      <c r="A4" t="s">
        <v>193</v>
      </c>
      <c r="G4">
        <v>1516.55</v>
      </c>
    </row>
    <row r="5" spans="1:10" x14ac:dyDescent="0.25">
      <c r="A5">
        <v>0</v>
      </c>
    </row>
    <row r="7" spans="1:10" x14ac:dyDescent="0.25">
      <c r="A7" t="s">
        <v>195</v>
      </c>
    </row>
    <row r="8" spans="1:10" x14ac:dyDescent="0.25">
      <c r="A8">
        <v>-759.73</v>
      </c>
    </row>
    <row r="10" spans="1:10" x14ac:dyDescent="0.25">
      <c r="A10" t="s">
        <v>154</v>
      </c>
      <c r="J10" t="s">
        <v>646</v>
      </c>
    </row>
    <row r="11" spans="1:10" x14ac:dyDescent="0.25">
      <c r="A11" s="4">
        <f>A2+A5+A8</f>
        <v>2101.39</v>
      </c>
      <c r="J11">
        <f>17539.57-500.74+29.37</f>
        <v>17068.199999999997</v>
      </c>
    </row>
    <row r="21" spans="6:13" x14ac:dyDescent="0.25">
      <c r="F21" s="21"/>
    </row>
    <row r="22" spans="6:13" x14ac:dyDescent="0.25">
      <c r="F22" s="21"/>
      <c r="G22" s="12"/>
    </row>
    <row r="26" spans="6:13" x14ac:dyDescent="0.25">
      <c r="M26" s="12"/>
    </row>
    <row r="27" spans="6:13" x14ac:dyDescent="0.25">
      <c r="M27" s="12"/>
    </row>
    <row r="29" spans="6:13" x14ac:dyDescent="0.25">
      <c r="M29" s="12"/>
    </row>
    <row r="33" spans="13:13" x14ac:dyDescent="0.25">
      <c r="M33" s="12"/>
    </row>
    <row r="35" spans="13:13" x14ac:dyDescent="0.25">
      <c r="M35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D14E-17FC-4469-BC2D-22454610AAC9}">
  <sheetPr codeName="Sheet9"/>
  <dimension ref="A1:B6"/>
  <sheetViews>
    <sheetView workbookViewId="0">
      <selection activeCell="B10" sqref="B10"/>
    </sheetView>
  </sheetViews>
  <sheetFormatPr defaultRowHeight="15" x14ac:dyDescent="0.25"/>
  <cols>
    <col min="2" max="2" width="122.140625" customWidth="1"/>
  </cols>
  <sheetData>
    <row r="1" spans="1:2" x14ac:dyDescent="0.25">
      <c r="A1">
        <v>1</v>
      </c>
      <c r="B1" t="s">
        <v>907</v>
      </c>
    </row>
    <row r="2" spans="1:2" x14ac:dyDescent="0.25">
      <c r="A2">
        <v>2</v>
      </c>
      <c r="B2" t="s">
        <v>904</v>
      </c>
    </row>
    <row r="3" spans="1:2" x14ac:dyDescent="0.25">
      <c r="A3" t="s">
        <v>905</v>
      </c>
      <c r="B3" t="s">
        <v>906</v>
      </c>
    </row>
    <row r="4" spans="1:2" x14ac:dyDescent="0.25">
      <c r="A4">
        <v>3</v>
      </c>
      <c r="B4" t="s">
        <v>908</v>
      </c>
    </row>
    <row r="5" spans="1:2" x14ac:dyDescent="0.25">
      <c r="A5">
        <v>4</v>
      </c>
      <c r="B5" t="s">
        <v>909</v>
      </c>
    </row>
    <row r="6" spans="1:2" x14ac:dyDescent="0.25">
      <c r="A6">
        <v>5</v>
      </c>
      <c r="B6" t="s">
        <v>910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A9543-8213-4505-BD2A-49BB0D9D4752}">
  <sheetPr codeName="Sheet5"/>
  <dimension ref="A1:AC760"/>
  <sheetViews>
    <sheetView tabSelected="1" zoomScaleNormal="100" workbookViewId="0">
      <pane ySplit="1" topLeftCell="A2" activePane="bottomLeft" state="frozen"/>
      <selection pane="bottomLeft" activeCell="H759" sqref="H759"/>
    </sheetView>
  </sheetViews>
  <sheetFormatPr defaultRowHeight="15" outlineLevelCol="1" x14ac:dyDescent="0.25"/>
  <cols>
    <col min="1" max="1" width="10.28515625" style="114" bestFit="1" customWidth="1"/>
    <col min="2" max="2" width="8.7109375" bestFit="1" customWidth="1"/>
    <col min="3" max="3" width="20.28515625" hidden="1" customWidth="1" outlineLevel="1"/>
    <col min="4" max="4" width="10.7109375" bestFit="1" customWidth="1" collapsed="1"/>
    <col min="5" max="5" width="29.85546875" bestFit="1" customWidth="1"/>
    <col min="6" max="6" width="52.7109375" bestFit="1" customWidth="1"/>
    <col min="7" max="7" width="22.42578125" customWidth="1" outlineLevel="1"/>
    <col min="8" max="8" width="14.5703125" customWidth="1" outlineLevel="1"/>
    <col min="9" max="9" width="10.42578125" customWidth="1"/>
    <col min="10" max="10" width="10.7109375" customWidth="1" outlineLevel="1"/>
    <col min="11" max="11" width="11.5703125" style="5" customWidth="1" outlineLevel="1"/>
    <col min="12" max="12" width="13.140625" style="66" customWidth="1" outlineLevel="1"/>
    <col min="13" max="13" width="20.85546875" bestFit="1" customWidth="1"/>
    <col min="14" max="14" width="14.140625" bestFit="1" customWidth="1"/>
    <col min="15" max="15" width="29.7109375" customWidth="1" outlineLevel="1"/>
    <col min="16" max="27" width="11" bestFit="1" customWidth="1"/>
    <col min="28" max="28" width="8.140625" bestFit="1" customWidth="1"/>
    <col min="29" max="29" width="11.28515625" bestFit="1" customWidth="1"/>
  </cols>
  <sheetData>
    <row r="1" spans="1:29" x14ac:dyDescent="0.25">
      <c r="A1" s="114" t="s">
        <v>1120</v>
      </c>
      <c r="B1" s="22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55</v>
      </c>
      <c r="H1" t="s">
        <v>632</v>
      </c>
      <c r="I1" s="24" t="s">
        <v>5</v>
      </c>
      <c r="J1" s="24" t="s">
        <v>92</v>
      </c>
      <c r="K1" s="64" t="s">
        <v>951</v>
      </c>
      <c r="L1" s="65" t="s">
        <v>950</v>
      </c>
      <c r="M1" s="23" t="s">
        <v>56</v>
      </c>
      <c r="N1" s="25" t="s">
        <v>164</v>
      </c>
      <c r="O1" s="49" t="s">
        <v>869</v>
      </c>
      <c r="P1" s="62" t="s">
        <v>911</v>
      </c>
      <c r="Q1" s="62" t="s">
        <v>912</v>
      </c>
      <c r="R1" s="62" t="s">
        <v>913</v>
      </c>
      <c r="S1" s="62" t="s">
        <v>914</v>
      </c>
      <c r="T1" s="62" t="s">
        <v>915</v>
      </c>
      <c r="U1" s="62" t="s">
        <v>916</v>
      </c>
      <c r="V1" s="62" t="s">
        <v>917</v>
      </c>
      <c r="W1" s="62" t="s">
        <v>918</v>
      </c>
      <c r="X1" s="62" t="s">
        <v>919</v>
      </c>
      <c r="Y1" s="62" t="s">
        <v>920</v>
      </c>
      <c r="Z1" s="62" t="s">
        <v>921</v>
      </c>
      <c r="AA1" s="62" t="s">
        <v>922</v>
      </c>
      <c r="AB1" s="49" t="s">
        <v>870</v>
      </c>
      <c r="AC1" s="51" t="s">
        <v>871</v>
      </c>
    </row>
    <row r="2" spans="1:29" hidden="1" x14ac:dyDescent="0.25">
      <c r="A2" s="115"/>
      <c r="B2" t="s">
        <v>6</v>
      </c>
      <c r="D2" s="39">
        <v>43465</v>
      </c>
      <c r="F2" t="s">
        <v>184</v>
      </c>
      <c r="G2" t="s">
        <v>11</v>
      </c>
      <c r="H2" s="3">
        <v>-9.35</v>
      </c>
      <c r="I2" s="36">
        <f>IF(Log_2018[[#This Row],[My Category]]="NONTRACKED",0,Log_2018[[#This Row],[Raw Amount]])</f>
        <v>-9.35</v>
      </c>
      <c r="J2" s="17">
        <f>ABS(Log_2018[[#This Row],[Amount]])</f>
        <v>9.35</v>
      </c>
      <c r="K2" s="66">
        <v>1</v>
      </c>
      <c r="L2" s="66">
        <f ca="1">IF(Log_2018[[#This Row],[Date]]&lt;=TODAY(), MIN(Log_2018[[#This Row],[Split_raw]], TODAY()-Log_2018[[#This Row],[Date]]+1), 0)</f>
        <v>1</v>
      </c>
      <c r="M2" t="s">
        <v>12</v>
      </c>
      <c r="N2" t="s">
        <v>158</v>
      </c>
      <c r="O2" s="50">
        <v>0</v>
      </c>
      <c r="P2" s="52">
        <f ca="1">Log_2018[[#This Row],[Amount]]/Log_2018[[#This Row],[Split_raw]]*MAX(0,MIN(_xlfn.DAYS(EDATE(P$1,1),Log_2018[[#This Row],[Date]]),Log_2018[[#This Row],[Split_apply]])) - SUM($O2:O2)</f>
        <v>0</v>
      </c>
      <c r="Q2" s="52">
        <f ca="1">Log_2018[[#This Row],[Amount]]/Log_2018[[#This Row],[Split_raw]]*MAX(0,MIN(_xlfn.DAYS(EDATE(Q$1,1),Log_2018[[#This Row],[Date]]),Log_2018[[#This Row],[Split_apply]])) - SUM($O2:P2)</f>
        <v>0</v>
      </c>
      <c r="R2" s="52">
        <f ca="1">Log_2018[[#This Row],[Amount]]/Log_2018[[#This Row],[Split_raw]]*MAX(0,MIN(_xlfn.DAYS(EDATE(R$1,1),Log_2018[[#This Row],[Date]]),Log_2018[[#This Row],[Split_apply]])) - SUM($O2:Q2)</f>
        <v>0</v>
      </c>
      <c r="S2" s="52">
        <f ca="1">Log_2018[[#This Row],[Amount]]/Log_2018[[#This Row],[Split_raw]]*MAX(0,MIN(_xlfn.DAYS(EDATE(S$1,1),Log_2018[[#This Row],[Date]]),Log_2018[[#This Row],[Split_apply]])) - SUM($O2:R2)</f>
        <v>0</v>
      </c>
      <c r="T2" s="52">
        <f ca="1">Log_2018[[#This Row],[Amount]]/Log_2018[[#This Row],[Split_raw]]*MAX(0,MIN(_xlfn.DAYS(EDATE(T$1,1),Log_2018[[#This Row],[Date]]),Log_2018[[#This Row],[Split_apply]])) - SUM($O2:S2)</f>
        <v>0</v>
      </c>
      <c r="U2" s="52">
        <f ca="1">Log_2018[[#This Row],[Amount]]/Log_2018[[#This Row],[Split_raw]]*MAX(0,MIN(_xlfn.DAYS(EDATE(U$1,1),Log_2018[[#This Row],[Date]]),Log_2018[[#This Row],[Split_apply]])) - SUM($O2:T2)</f>
        <v>0</v>
      </c>
      <c r="V2" s="52">
        <f ca="1">Log_2018[[#This Row],[Amount]]/Log_2018[[#This Row],[Split_raw]]*MAX(0,MIN(_xlfn.DAYS(EDATE(V$1,1),Log_2018[[#This Row],[Date]]),Log_2018[[#This Row],[Split_apply]])) - SUM($O2:U2)</f>
        <v>0</v>
      </c>
      <c r="W2" s="52">
        <f ca="1">Log_2018[[#This Row],[Amount]]/Log_2018[[#This Row],[Split_raw]]*MAX(0,MIN(_xlfn.DAYS(EDATE(W$1,1),Log_2018[[#This Row],[Date]]),Log_2018[[#This Row],[Split_apply]])) - SUM($O2:V2)</f>
        <v>0</v>
      </c>
      <c r="X2" s="52">
        <f ca="1">Log_2018[[#This Row],[Amount]]/Log_2018[[#This Row],[Split_raw]]*MAX(0,MIN(_xlfn.DAYS(EDATE(X$1,1),Log_2018[[#This Row],[Date]]),Log_2018[[#This Row],[Split_apply]])) - SUM($O2:W2)</f>
        <v>0</v>
      </c>
      <c r="Y2" s="52">
        <f ca="1">Log_2018[[#This Row],[Amount]]/Log_2018[[#This Row],[Split_raw]]*MAX(0,MIN(_xlfn.DAYS(EDATE(Y$1,1),Log_2018[[#This Row],[Date]]),Log_2018[[#This Row],[Split_apply]])) - SUM($O2:X2)</f>
        <v>0</v>
      </c>
      <c r="Z2" s="52">
        <f ca="1">Log_2018[[#This Row],[Amount]]/Log_2018[[#This Row],[Split_raw]]*MAX(0,MIN(_xlfn.DAYS(EDATE(Z$1,1),Log_2018[[#This Row],[Date]]),Log_2018[[#This Row],[Split_apply]])) - SUM($O2:Y2)</f>
        <v>0</v>
      </c>
      <c r="AA2" s="52">
        <f ca="1">Log_2018[[#This Row],[Amount]]/Log_2018[[#This Row],[Split_raw]]*MAX(0,MIN(_xlfn.DAYS(EDATE(AA$1,1),Log_2018[[#This Row],[Date]]),Log_2018[[#This Row],[Split_apply]])) - SUM($O2:Z2)</f>
        <v>-9.35</v>
      </c>
      <c r="AB2" s="54">
        <f ca="1">Log_2018[[#This Row],[Amount]]-SUM(O2:AA2)</f>
        <v>0</v>
      </c>
      <c r="AC2" s="7">
        <f ca="1">MAX(0,Log_2018[[#This Row],[Split_apply]] - (EDATE(AA$1,1)-Log_2018[[#This Row],[Date]]))</f>
        <v>0</v>
      </c>
    </row>
    <row r="3" spans="1:29" hidden="1" x14ac:dyDescent="0.25">
      <c r="A3" s="115"/>
      <c r="B3" t="s">
        <v>6</v>
      </c>
      <c r="D3" s="39">
        <v>43465</v>
      </c>
      <c r="F3" t="s">
        <v>345</v>
      </c>
      <c r="G3" t="s">
        <v>12</v>
      </c>
      <c r="H3" s="3">
        <v>-35.880000000000003</v>
      </c>
      <c r="I3" s="36">
        <f>IF(Log_2018[[#This Row],[My Category]]="NONTRACKED",0,Log_2018[[#This Row],[Raw Amount]])</f>
        <v>-35.880000000000003</v>
      </c>
      <c r="J3" s="17">
        <f>ABS(Log_2018[[#This Row],[Amount]])</f>
        <v>35.880000000000003</v>
      </c>
      <c r="K3" s="66">
        <v>1</v>
      </c>
      <c r="L3" s="66">
        <f ca="1">IF(Log_2018[[#This Row],[Date]]&lt;=TODAY(), MIN(Log_2018[[#This Row],[Split_raw]], TODAY()-Log_2018[[#This Row],[Date]]+1), 0)</f>
        <v>1</v>
      </c>
      <c r="M3" t="s">
        <v>12</v>
      </c>
      <c r="N3" t="s">
        <v>158</v>
      </c>
      <c r="O3" s="50">
        <v>0</v>
      </c>
      <c r="P3" s="52">
        <f ca="1">Log_2018[[#This Row],[Amount]]/Log_2018[[#This Row],[Split_raw]]*MAX(0,MIN(_xlfn.DAYS(EDATE(P$1,1),Log_2018[[#This Row],[Date]]),Log_2018[[#This Row],[Split_apply]])) - SUM($O3:O3)</f>
        <v>0</v>
      </c>
      <c r="Q3" s="52">
        <f ca="1">Log_2018[[#This Row],[Amount]]/Log_2018[[#This Row],[Split_raw]]*MAX(0,MIN(_xlfn.DAYS(EDATE(Q$1,1),Log_2018[[#This Row],[Date]]),Log_2018[[#This Row],[Split_apply]])) - SUM($O3:P3)</f>
        <v>0</v>
      </c>
      <c r="R3" s="52">
        <f ca="1">Log_2018[[#This Row],[Amount]]/Log_2018[[#This Row],[Split_raw]]*MAX(0,MIN(_xlfn.DAYS(EDATE(R$1,1),Log_2018[[#This Row],[Date]]),Log_2018[[#This Row],[Split_apply]])) - SUM($O3:Q3)</f>
        <v>0</v>
      </c>
      <c r="S3" s="52">
        <f ca="1">Log_2018[[#This Row],[Amount]]/Log_2018[[#This Row],[Split_raw]]*MAX(0,MIN(_xlfn.DAYS(EDATE(S$1,1),Log_2018[[#This Row],[Date]]),Log_2018[[#This Row],[Split_apply]])) - SUM($O3:R3)</f>
        <v>0</v>
      </c>
      <c r="T3" s="52">
        <f ca="1">Log_2018[[#This Row],[Amount]]/Log_2018[[#This Row],[Split_raw]]*MAX(0,MIN(_xlfn.DAYS(EDATE(T$1,1),Log_2018[[#This Row],[Date]]),Log_2018[[#This Row],[Split_apply]])) - SUM($O3:S3)</f>
        <v>0</v>
      </c>
      <c r="U3" s="52">
        <f ca="1">Log_2018[[#This Row],[Amount]]/Log_2018[[#This Row],[Split_raw]]*MAX(0,MIN(_xlfn.DAYS(EDATE(U$1,1),Log_2018[[#This Row],[Date]]),Log_2018[[#This Row],[Split_apply]])) - SUM($O3:T3)</f>
        <v>0</v>
      </c>
      <c r="V3" s="52">
        <f ca="1">Log_2018[[#This Row],[Amount]]/Log_2018[[#This Row],[Split_raw]]*MAX(0,MIN(_xlfn.DAYS(EDATE(V$1,1),Log_2018[[#This Row],[Date]]),Log_2018[[#This Row],[Split_apply]])) - SUM($O3:U3)</f>
        <v>0</v>
      </c>
      <c r="W3" s="52">
        <f ca="1">Log_2018[[#This Row],[Amount]]/Log_2018[[#This Row],[Split_raw]]*MAX(0,MIN(_xlfn.DAYS(EDATE(W$1,1),Log_2018[[#This Row],[Date]]),Log_2018[[#This Row],[Split_apply]])) - SUM($O3:V3)</f>
        <v>0</v>
      </c>
      <c r="X3" s="52">
        <f ca="1">Log_2018[[#This Row],[Amount]]/Log_2018[[#This Row],[Split_raw]]*MAX(0,MIN(_xlfn.DAYS(EDATE(X$1,1),Log_2018[[#This Row],[Date]]),Log_2018[[#This Row],[Split_apply]])) - SUM($O3:W3)</f>
        <v>0</v>
      </c>
      <c r="Y3" s="52">
        <f ca="1">Log_2018[[#This Row],[Amount]]/Log_2018[[#This Row],[Split_raw]]*MAX(0,MIN(_xlfn.DAYS(EDATE(Y$1,1),Log_2018[[#This Row],[Date]]),Log_2018[[#This Row],[Split_apply]])) - SUM($O3:X3)</f>
        <v>0</v>
      </c>
      <c r="Z3" s="52">
        <f ca="1">Log_2018[[#This Row],[Amount]]/Log_2018[[#This Row],[Split_raw]]*MAX(0,MIN(_xlfn.DAYS(EDATE(Z$1,1),Log_2018[[#This Row],[Date]]),Log_2018[[#This Row],[Split_apply]])) - SUM($O3:Y3)</f>
        <v>0</v>
      </c>
      <c r="AA3" s="52">
        <f ca="1">Log_2018[[#This Row],[Amount]]/Log_2018[[#This Row],[Split_raw]]*MAX(0,MIN(_xlfn.DAYS(EDATE(AA$1,1),Log_2018[[#This Row],[Date]]),Log_2018[[#This Row],[Split_apply]])) - SUM($O3:Z3)</f>
        <v>-35.880000000000003</v>
      </c>
      <c r="AB3" s="54">
        <f ca="1">Log_2018[[#This Row],[Amount]]-SUM(O3:AA3)</f>
        <v>0</v>
      </c>
      <c r="AC3" s="7">
        <f ca="1">MAX(0,Log_2018[[#This Row],[Split_apply]] - (EDATE(AA$1,1)-Log_2018[[#This Row],[Date]]))</f>
        <v>0</v>
      </c>
    </row>
    <row r="4" spans="1:29" hidden="1" x14ac:dyDescent="0.25">
      <c r="A4" s="115"/>
      <c r="B4" t="s">
        <v>6</v>
      </c>
      <c r="D4" s="39">
        <v>43465</v>
      </c>
      <c r="F4" t="s">
        <v>345</v>
      </c>
      <c r="G4" t="s">
        <v>12</v>
      </c>
      <c r="H4" s="3">
        <v>-35.72</v>
      </c>
      <c r="I4" s="36">
        <f>IF(Log_2018[[#This Row],[My Category]]="NONTRACKED",0,Log_2018[[#This Row],[Raw Amount]])</f>
        <v>-35.72</v>
      </c>
      <c r="J4" s="17">
        <f>ABS(Log_2018[[#This Row],[Amount]])</f>
        <v>35.72</v>
      </c>
      <c r="K4" s="66">
        <v>1</v>
      </c>
      <c r="L4" s="66">
        <f ca="1">IF(Log_2018[[#This Row],[Date]]&lt;=TODAY(), MIN(Log_2018[[#This Row],[Split_raw]], TODAY()-Log_2018[[#This Row],[Date]]+1), 0)</f>
        <v>1</v>
      </c>
      <c r="M4" t="s">
        <v>12</v>
      </c>
      <c r="N4" t="s">
        <v>158</v>
      </c>
      <c r="O4" s="50">
        <v>0</v>
      </c>
      <c r="P4" s="52">
        <f ca="1">Log_2018[[#This Row],[Amount]]/Log_2018[[#This Row],[Split_raw]]*MAX(0,MIN(_xlfn.DAYS(EDATE(P$1,1),Log_2018[[#This Row],[Date]]),Log_2018[[#This Row],[Split_apply]])) - SUM($O4:O4)</f>
        <v>0</v>
      </c>
      <c r="Q4" s="52">
        <f ca="1">Log_2018[[#This Row],[Amount]]/Log_2018[[#This Row],[Split_raw]]*MAX(0,MIN(_xlfn.DAYS(EDATE(Q$1,1),Log_2018[[#This Row],[Date]]),Log_2018[[#This Row],[Split_apply]])) - SUM($O4:P4)</f>
        <v>0</v>
      </c>
      <c r="R4" s="52">
        <f ca="1">Log_2018[[#This Row],[Amount]]/Log_2018[[#This Row],[Split_raw]]*MAX(0,MIN(_xlfn.DAYS(EDATE(R$1,1),Log_2018[[#This Row],[Date]]),Log_2018[[#This Row],[Split_apply]])) - SUM($O4:Q4)</f>
        <v>0</v>
      </c>
      <c r="S4" s="52">
        <f ca="1">Log_2018[[#This Row],[Amount]]/Log_2018[[#This Row],[Split_raw]]*MAX(0,MIN(_xlfn.DAYS(EDATE(S$1,1),Log_2018[[#This Row],[Date]]),Log_2018[[#This Row],[Split_apply]])) - SUM($O4:R4)</f>
        <v>0</v>
      </c>
      <c r="T4" s="52">
        <f ca="1">Log_2018[[#This Row],[Amount]]/Log_2018[[#This Row],[Split_raw]]*MAX(0,MIN(_xlfn.DAYS(EDATE(T$1,1),Log_2018[[#This Row],[Date]]),Log_2018[[#This Row],[Split_apply]])) - SUM($O4:S4)</f>
        <v>0</v>
      </c>
      <c r="U4" s="52">
        <f ca="1">Log_2018[[#This Row],[Amount]]/Log_2018[[#This Row],[Split_raw]]*MAX(0,MIN(_xlfn.DAYS(EDATE(U$1,1),Log_2018[[#This Row],[Date]]),Log_2018[[#This Row],[Split_apply]])) - SUM($O4:T4)</f>
        <v>0</v>
      </c>
      <c r="V4" s="52">
        <f ca="1">Log_2018[[#This Row],[Amount]]/Log_2018[[#This Row],[Split_raw]]*MAX(0,MIN(_xlfn.DAYS(EDATE(V$1,1),Log_2018[[#This Row],[Date]]),Log_2018[[#This Row],[Split_apply]])) - SUM($O4:U4)</f>
        <v>0</v>
      </c>
      <c r="W4" s="52">
        <f ca="1">Log_2018[[#This Row],[Amount]]/Log_2018[[#This Row],[Split_raw]]*MAX(0,MIN(_xlfn.DAYS(EDATE(W$1,1),Log_2018[[#This Row],[Date]]),Log_2018[[#This Row],[Split_apply]])) - SUM($O4:V4)</f>
        <v>0</v>
      </c>
      <c r="X4" s="52">
        <f ca="1">Log_2018[[#This Row],[Amount]]/Log_2018[[#This Row],[Split_raw]]*MAX(0,MIN(_xlfn.DAYS(EDATE(X$1,1),Log_2018[[#This Row],[Date]]),Log_2018[[#This Row],[Split_apply]])) - SUM($O4:W4)</f>
        <v>0</v>
      </c>
      <c r="Y4" s="52">
        <f ca="1">Log_2018[[#This Row],[Amount]]/Log_2018[[#This Row],[Split_raw]]*MAX(0,MIN(_xlfn.DAYS(EDATE(Y$1,1),Log_2018[[#This Row],[Date]]),Log_2018[[#This Row],[Split_apply]])) - SUM($O4:X4)</f>
        <v>0</v>
      </c>
      <c r="Z4" s="52">
        <f ca="1">Log_2018[[#This Row],[Amount]]/Log_2018[[#This Row],[Split_raw]]*MAX(0,MIN(_xlfn.DAYS(EDATE(Z$1,1),Log_2018[[#This Row],[Date]]),Log_2018[[#This Row],[Split_apply]])) - SUM($O4:Y4)</f>
        <v>0</v>
      </c>
      <c r="AA4" s="52">
        <f ca="1">Log_2018[[#This Row],[Amount]]/Log_2018[[#This Row],[Split_raw]]*MAX(0,MIN(_xlfn.DAYS(EDATE(AA$1,1),Log_2018[[#This Row],[Date]]),Log_2018[[#This Row],[Split_apply]])) - SUM($O4:Z4)</f>
        <v>-35.72</v>
      </c>
      <c r="AB4" s="54">
        <f ca="1">Log_2018[[#This Row],[Amount]]-SUM(O4:AA4)</f>
        <v>0</v>
      </c>
      <c r="AC4" s="7">
        <f ca="1">MAX(0,Log_2018[[#This Row],[Split_apply]] - (EDATE(AA$1,1)-Log_2018[[#This Row],[Date]]))</f>
        <v>0</v>
      </c>
    </row>
    <row r="5" spans="1:29" hidden="1" x14ac:dyDescent="0.25">
      <c r="A5" s="115"/>
      <c r="B5" t="s">
        <v>6</v>
      </c>
      <c r="D5" s="39">
        <v>43464</v>
      </c>
      <c r="F5" t="s">
        <v>483</v>
      </c>
      <c r="G5" t="s">
        <v>25</v>
      </c>
      <c r="H5" s="3">
        <v>-29.28</v>
      </c>
      <c r="I5" s="36">
        <f>IF(Log_2018[[#This Row],[My Category]]="NONTRACKED",0,Log_2018[[#This Row],[Raw Amount]])</f>
        <v>-29.28</v>
      </c>
      <c r="J5" s="17">
        <f>ABS(Log_2018[[#This Row],[Amount]])</f>
        <v>29.28</v>
      </c>
      <c r="K5" s="66">
        <v>1</v>
      </c>
      <c r="L5" s="66">
        <f ca="1">IF(Log_2018[[#This Row],[Date]]&lt;=TODAY(), MIN(Log_2018[[#This Row],[Split_raw]], TODAY()-Log_2018[[#This Row],[Date]]+1), 0)</f>
        <v>1</v>
      </c>
      <c r="M5" t="s">
        <v>40</v>
      </c>
      <c r="N5" t="s">
        <v>158</v>
      </c>
      <c r="O5" s="50">
        <v>0</v>
      </c>
      <c r="P5" s="52">
        <f ca="1">Log_2018[[#This Row],[Amount]]/Log_2018[[#This Row],[Split_raw]]*MAX(0,MIN(_xlfn.DAYS(EDATE(P$1,1),Log_2018[[#This Row],[Date]]),Log_2018[[#This Row],[Split_apply]])) - SUM($O5:O5)</f>
        <v>0</v>
      </c>
      <c r="Q5" s="52">
        <f ca="1">Log_2018[[#This Row],[Amount]]/Log_2018[[#This Row],[Split_raw]]*MAX(0,MIN(_xlfn.DAYS(EDATE(Q$1,1),Log_2018[[#This Row],[Date]]),Log_2018[[#This Row],[Split_apply]])) - SUM($O5:P5)</f>
        <v>0</v>
      </c>
      <c r="R5" s="52">
        <f ca="1">Log_2018[[#This Row],[Amount]]/Log_2018[[#This Row],[Split_raw]]*MAX(0,MIN(_xlfn.DAYS(EDATE(R$1,1),Log_2018[[#This Row],[Date]]),Log_2018[[#This Row],[Split_apply]])) - SUM($O5:Q5)</f>
        <v>0</v>
      </c>
      <c r="S5" s="52">
        <f ca="1">Log_2018[[#This Row],[Amount]]/Log_2018[[#This Row],[Split_raw]]*MAX(0,MIN(_xlfn.DAYS(EDATE(S$1,1),Log_2018[[#This Row],[Date]]),Log_2018[[#This Row],[Split_apply]])) - SUM($O5:R5)</f>
        <v>0</v>
      </c>
      <c r="T5" s="52">
        <f ca="1">Log_2018[[#This Row],[Amount]]/Log_2018[[#This Row],[Split_raw]]*MAX(0,MIN(_xlfn.DAYS(EDATE(T$1,1),Log_2018[[#This Row],[Date]]),Log_2018[[#This Row],[Split_apply]])) - SUM($O5:S5)</f>
        <v>0</v>
      </c>
      <c r="U5" s="52">
        <f ca="1">Log_2018[[#This Row],[Amount]]/Log_2018[[#This Row],[Split_raw]]*MAX(0,MIN(_xlfn.DAYS(EDATE(U$1,1),Log_2018[[#This Row],[Date]]),Log_2018[[#This Row],[Split_apply]])) - SUM($O5:T5)</f>
        <v>0</v>
      </c>
      <c r="V5" s="52">
        <f ca="1">Log_2018[[#This Row],[Amount]]/Log_2018[[#This Row],[Split_raw]]*MAX(0,MIN(_xlfn.DAYS(EDATE(V$1,1),Log_2018[[#This Row],[Date]]),Log_2018[[#This Row],[Split_apply]])) - SUM($O5:U5)</f>
        <v>0</v>
      </c>
      <c r="W5" s="52">
        <f ca="1">Log_2018[[#This Row],[Amount]]/Log_2018[[#This Row],[Split_raw]]*MAX(0,MIN(_xlfn.DAYS(EDATE(W$1,1),Log_2018[[#This Row],[Date]]),Log_2018[[#This Row],[Split_apply]])) - SUM($O5:V5)</f>
        <v>0</v>
      </c>
      <c r="X5" s="52">
        <f ca="1">Log_2018[[#This Row],[Amount]]/Log_2018[[#This Row],[Split_raw]]*MAX(0,MIN(_xlfn.DAYS(EDATE(X$1,1),Log_2018[[#This Row],[Date]]),Log_2018[[#This Row],[Split_apply]])) - SUM($O5:W5)</f>
        <v>0</v>
      </c>
      <c r="Y5" s="52">
        <f ca="1">Log_2018[[#This Row],[Amount]]/Log_2018[[#This Row],[Split_raw]]*MAX(0,MIN(_xlfn.DAYS(EDATE(Y$1,1),Log_2018[[#This Row],[Date]]),Log_2018[[#This Row],[Split_apply]])) - SUM($O5:X5)</f>
        <v>0</v>
      </c>
      <c r="Z5" s="52">
        <f ca="1">Log_2018[[#This Row],[Amount]]/Log_2018[[#This Row],[Split_raw]]*MAX(0,MIN(_xlfn.DAYS(EDATE(Z$1,1),Log_2018[[#This Row],[Date]]),Log_2018[[#This Row],[Split_apply]])) - SUM($O5:Y5)</f>
        <v>0</v>
      </c>
      <c r="AA5" s="52">
        <f ca="1">Log_2018[[#This Row],[Amount]]/Log_2018[[#This Row],[Split_raw]]*MAX(0,MIN(_xlfn.DAYS(EDATE(AA$1,1),Log_2018[[#This Row],[Date]]),Log_2018[[#This Row],[Split_apply]])) - SUM($O5:Z5)</f>
        <v>-29.28</v>
      </c>
      <c r="AB5" s="54">
        <f ca="1">Log_2018[[#This Row],[Amount]]-SUM(O5:AA5)</f>
        <v>0</v>
      </c>
      <c r="AC5" s="7">
        <f ca="1">MAX(0,Log_2018[[#This Row],[Split_apply]] - (EDATE(AA$1,1)-Log_2018[[#This Row],[Date]]))</f>
        <v>0</v>
      </c>
    </row>
    <row r="6" spans="1:29" hidden="1" x14ac:dyDescent="0.25">
      <c r="A6" s="115"/>
      <c r="B6" t="s">
        <v>6</v>
      </c>
      <c r="D6" s="39">
        <v>43463</v>
      </c>
      <c r="E6" t="s">
        <v>485</v>
      </c>
      <c r="F6" t="s">
        <v>484</v>
      </c>
      <c r="G6" t="s">
        <v>214</v>
      </c>
      <c r="H6" s="3">
        <v>-28.1</v>
      </c>
      <c r="I6" s="36">
        <f>IF(Log_2018[[#This Row],[My Category]]="NONTRACKED",0,Log_2018[[#This Row],[Raw Amount]])</f>
        <v>-28.1</v>
      </c>
      <c r="J6" s="17">
        <f>ABS(Log_2018[[#This Row],[Amount]])</f>
        <v>28.1</v>
      </c>
      <c r="K6" s="66">
        <v>1</v>
      </c>
      <c r="L6" s="66">
        <f ca="1">IF(Log_2018[[#This Row],[Date]]&lt;=TODAY(), MIN(Log_2018[[#This Row],[Split_raw]], TODAY()-Log_2018[[#This Row],[Date]]+1), 0)</f>
        <v>1</v>
      </c>
      <c r="M6" t="s">
        <v>147</v>
      </c>
      <c r="N6" t="s">
        <v>158</v>
      </c>
      <c r="O6" s="50">
        <v>0</v>
      </c>
      <c r="P6" s="52">
        <f ca="1">Log_2018[[#This Row],[Amount]]/Log_2018[[#This Row],[Split_raw]]*MAX(0,MIN(_xlfn.DAYS(EDATE(P$1,1),Log_2018[[#This Row],[Date]]),Log_2018[[#This Row],[Split_apply]])) - SUM($O6:O6)</f>
        <v>0</v>
      </c>
      <c r="Q6" s="52">
        <f ca="1">Log_2018[[#This Row],[Amount]]/Log_2018[[#This Row],[Split_raw]]*MAX(0,MIN(_xlfn.DAYS(EDATE(Q$1,1),Log_2018[[#This Row],[Date]]),Log_2018[[#This Row],[Split_apply]])) - SUM($O6:P6)</f>
        <v>0</v>
      </c>
      <c r="R6" s="52">
        <f ca="1">Log_2018[[#This Row],[Amount]]/Log_2018[[#This Row],[Split_raw]]*MAX(0,MIN(_xlfn.DAYS(EDATE(R$1,1),Log_2018[[#This Row],[Date]]),Log_2018[[#This Row],[Split_apply]])) - SUM($O6:Q6)</f>
        <v>0</v>
      </c>
      <c r="S6" s="52">
        <f ca="1">Log_2018[[#This Row],[Amount]]/Log_2018[[#This Row],[Split_raw]]*MAX(0,MIN(_xlfn.DAYS(EDATE(S$1,1),Log_2018[[#This Row],[Date]]),Log_2018[[#This Row],[Split_apply]])) - SUM($O6:R6)</f>
        <v>0</v>
      </c>
      <c r="T6" s="52">
        <f ca="1">Log_2018[[#This Row],[Amount]]/Log_2018[[#This Row],[Split_raw]]*MAX(0,MIN(_xlfn.DAYS(EDATE(T$1,1),Log_2018[[#This Row],[Date]]),Log_2018[[#This Row],[Split_apply]])) - SUM($O6:S6)</f>
        <v>0</v>
      </c>
      <c r="U6" s="52">
        <f ca="1">Log_2018[[#This Row],[Amount]]/Log_2018[[#This Row],[Split_raw]]*MAX(0,MIN(_xlfn.DAYS(EDATE(U$1,1),Log_2018[[#This Row],[Date]]),Log_2018[[#This Row],[Split_apply]])) - SUM($O6:T6)</f>
        <v>0</v>
      </c>
      <c r="V6" s="52">
        <f ca="1">Log_2018[[#This Row],[Amount]]/Log_2018[[#This Row],[Split_raw]]*MAX(0,MIN(_xlfn.DAYS(EDATE(V$1,1),Log_2018[[#This Row],[Date]]),Log_2018[[#This Row],[Split_apply]])) - SUM($O6:U6)</f>
        <v>0</v>
      </c>
      <c r="W6" s="52">
        <f ca="1">Log_2018[[#This Row],[Amount]]/Log_2018[[#This Row],[Split_raw]]*MAX(0,MIN(_xlfn.DAYS(EDATE(W$1,1),Log_2018[[#This Row],[Date]]),Log_2018[[#This Row],[Split_apply]])) - SUM($O6:V6)</f>
        <v>0</v>
      </c>
      <c r="X6" s="52">
        <f ca="1">Log_2018[[#This Row],[Amount]]/Log_2018[[#This Row],[Split_raw]]*MAX(0,MIN(_xlfn.DAYS(EDATE(X$1,1),Log_2018[[#This Row],[Date]]),Log_2018[[#This Row],[Split_apply]])) - SUM($O6:W6)</f>
        <v>0</v>
      </c>
      <c r="Y6" s="52">
        <f ca="1">Log_2018[[#This Row],[Amount]]/Log_2018[[#This Row],[Split_raw]]*MAX(0,MIN(_xlfn.DAYS(EDATE(Y$1,1),Log_2018[[#This Row],[Date]]),Log_2018[[#This Row],[Split_apply]])) - SUM($O6:X6)</f>
        <v>0</v>
      </c>
      <c r="Z6" s="52">
        <f ca="1">Log_2018[[#This Row],[Amount]]/Log_2018[[#This Row],[Split_raw]]*MAX(0,MIN(_xlfn.DAYS(EDATE(Z$1,1),Log_2018[[#This Row],[Date]]),Log_2018[[#This Row],[Split_apply]])) - SUM($O6:Y6)</f>
        <v>0</v>
      </c>
      <c r="AA6" s="52">
        <f ca="1">Log_2018[[#This Row],[Amount]]/Log_2018[[#This Row],[Split_raw]]*MAX(0,MIN(_xlfn.DAYS(EDATE(AA$1,1),Log_2018[[#This Row],[Date]]),Log_2018[[#This Row],[Split_apply]])) - SUM($O6:Z6)</f>
        <v>-28.1</v>
      </c>
      <c r="AB6" s="54">
        <f ca="1">Log_2018[[#This Row],[Amount]]-SUM(O6:AA6)</f>
        <v>0</v>
      </c>
      <c r="AC6" s="7">
        <f ca="1">MAX(0,Log_2018[[#This Row],[Split_apply]] - (EDATE(AA$1,1)-Log_2018[[#This Row],[Date]]))</f>
        <v>0</v>
      </c>
    </row>
    <row r="7" spans="1:29" hidden="1" x14ac:dyDescent="0.25">
      <c r="A7" s="115"/>
      <c r="B7" t="s">
        <v>6</v>
      </c>
      <c r="D7" s="39">
        <v>43462</v>
      </c>
      <c r="F7" t="s">
        <v>16</v>
      </c>
      <c r="G7" t="s">
        <v>17</v>
      </c>
      <c r="H7" s="3">
        <f>--0.13</f>
        <v>0.13</v>
      </c>
      <c r="I7" s="36">
        <f>IF(Log_2018[[#This Row],[My Category]]="NONTRACKED",0,Log_2018[[#This Row],[Raw Amount]])</f>
        <v>0.13</v>
      </c>
      <c r="J7" s="17">
        <f>ABS(Log_2018[[#This Row],[Amount]])</f>
        <v>0.13</v>
      </c>
      <c r="K7" s="66">
        <v>1</v>
      </c>
      <c r="L7" s="66">
        <f ca="1">IF(Log_2018[[#This Row],[Date]]&lt;=TODAY(), MIN(Log_2018[[#This Row],[Split_raw]], TODAY()-Log_2018[[#This Row],[Date]]+1), 0)</f>
        <v>1</v>
      </c>
      <c r="M7" t="s">
        <v>144</v>
      </c>
      <c r="N7" t="s">
        <v>160</v>
      </c>
      <c r="O7" s="50">
        <v>0</v>
      </c>
      <c r="P7" s="52">
        <f ca="1">Log_2018[[#This Row],[Amount]]/Log_2018[[#This Row],[Split_raw]]*MAX(0,MIN(_xlfn.DAYS(EDATE(P$1,1),Log_2018[[#This Row],[Date]]),Log_2018[[#This Row],[Split_apply]])) - SUM($O7:O7)</f>
        <v>0</v>
      </c>
      <c r="Q7" s="52">
        <f ca="1">Log_2018[[#This Row],[Amount]]/Log_2018[[#This Row],[Split_raw]]*MAX(0,MIN(_xlfn.DAYS(EDATE(Q$1,1),Log_2018[[#This Row],[Date]]),Log_2018[[#This Row],[Split_apply]])) - SUM($O7:P7)</f>
        <v>0</v>
      </c>
      <c r="R7" s="52">
        <f ca="1">Log_2018[[#This Row],[Amount]]/Log_2018[[#This Row],[Split_raw]]*MAX(0,MIN(_xlfn.DAYS(EDATE(R$1,1),Log_2018[[#This Row],[Date]]),Log_2018[[#This Row],[Split_apply]])) - SUM($O7:Q7)</f>
        <v>0</v>
      </c>
      <c r="S7" s="52">
        <f ca="1">Log_2018[[#This Row],[Amount]]/Log_2018[[#This Row],[Split_raw]]*MAX(0,MIN(_xlfn.DAYS(EDATE(S$1,1),Log_2018[[#This Row],[Date]]),Log_2018[[#This Row],[Split_apply]])) - SUM($O7:R7)</f>
        <v>0</v>
      </c>
      <c r="T7" s="52">
        <f ca="1">Log_2018[[#This Row],[Amount]]/Log_2018[[#This Row],[Split_raw]]*MAX(0,MIN(_xlfn.DAYS(EDATE(T$1,1),Log_2018[[#This Row],[Date]]),Log_2018[[#This Row],[Split_apply]])) - SUM($O7:S7)</f>
        <v>0</v>
      </c>
      <c r="U7" s="52">
        <f ca="1">Log_2018[[#This Row],[Amount]]/Log_2018[[#This Row],[Split_raw]]*MAX(0,MIN(_xlfn.DAYS(EDATE(U$1,1),Log_2018[[#This Row],[Date]]),Log_2018[[#This Row],[Split_apply]])) - SUM($O7:T7)</f>
        <v>0</v>
      </c>
      <c r="V7" s="52">
        <f ca="1">Log_2018[[#This Row],[Amount]]/Log_2018[[#This Row],[Split_raw]]*MAX(0,MIN(_xlfn.DAYS(EDATE(V$1,1),Log_2018[[#This Row],[Date]]),Log_2018[[#This Row],[Split_apply]])) - SUM($O7:U7)</f>
        <v>0</v>
      </c>
      <c r="W7" s="52">
        <f ca="1">Log_2018[[#This Row],[Amount]]/Log_2018[[#This Row],[Split_raw]]*MAX(0,MIN(_xlfn.DAYS(EDATE(W$1,1),Log_2018[[#This Row],[Date]]),Log_2018[[#This Row],[Split_apply]])) - SUM($O7:V7)</f>
        <v>0</v>
      </c>
      <c r="X7" s="52">
        <f ca="1">Log_2018[[#This Row],[Amount]]/Log_2018[[#This Row],[Split_raw]]*MAX(0,MIN(_xlfn.DAYS(EDATE(X$1,1),Log_2018[[#This Row],[Date]]),Log_2018[[#This Row],[Split_apply]])) - SUM($O7:W7)</f>
        <v>0</v>
      </c>
      <c r="Y7" s="52">
        <f ca="1">Log_2018[[#This Row],[Amount]]/Log_2018[[#This Row],[Split_raw]]*MAX(0,MIN(_xlfn.DAYS(EDATE(Y$1,1),Log_2018[[#This Row],[Date]]),Log_2018[[#This Row],[Split_apply]])) - SUM($O7:X7)</f>
        <v>0</v>
      </c>
      <c r="Z7" s="52">
        <f ca="1">Log_2018[[#This Row],[Amount]]/Log_2018[[#This Row],[Split_raw]]*MAX(0,MIN(_xlfn.DAYS(EDATE(Z$1,1),Log_2018[[#This Row],[Date]]),Log_2018[[#This Row],[Split_apply]])) - SUM($O7:Y7)</f>
        <v>0</v>
      </c>
      <c r="AA7" s="52">
        <f ca="1">Log_2018[[#This Row],[Amount]]/Log_2018[[#This Row],[Split_raw]]*MAX(0,MIN(_xlfn.DAYS(EDATE(AA$1,1),Log_2018[[#This Row],[Date]]),Log_2018[[#This Row],[Split_apply]])) - SUM($O7:Z7)</f>
        <v>0.13</v>
      </c>
      <c r="AB7" s="54">
        <f ca="1">Log_2018[[#This Row],[Amount]]-SUM(O7:AA7)</f>
        <v>0</v>
      </c>
      <c r="AC7" s="7">
        <f ca="1">MAX(0,Log_2018[[#This Row],[Split_apply]] - (EDATE(AA$1,1)-Log_2018[[#This Row],[Date]]))</f>
        <v>0</v>
      </c>
    </row>
    <row r="8" spans="1:29" hidden="1" x14ac:dyDescent="0.25">
      <c r="A8" s="115"/>
      <c r="B8" t="s">
        <v>6</v>
      </c>
      <c r="D8" s="39">
        <v>43462</v>
      </c>
      <c r="F8" t="s">
        <v>23</v>
      </c>
      <c r="G8" t="s">
        <v>24</v>
      </c>
      <c r="H8" s="3">
        <f>--2.5</f>
        <v>2.5</v>
      </c>
      <c r="I8" s="36">
        <f>IF(Log_2018[[#This Row],[My Category]]="NONTRACKED",0,Log_2018[[#This Row],[Raw Amount]])</f>
        <v>2.5</v>
      </c>
      <c r="J8" s="17">
        <f>ABS(Log_2018[[#This Row],[Amount]])</f>
        <v>2.5</v>
      </c>
      <c r="K8" s="66">
        <v>1</v>
      </c>
      <c r="L8" s="66">
        <f ca="1">IF(Log_2018[[#This Row],[Date]]&lt;=TODAY(), MIN(Log_2018[[#This Row],[Split_raw]], TODAY()-Log_2018[[#This Row],[Date]]+1), 0)</f>
        <v>1</v>
      </c>
      <c r="M8" t="s">
        <v>196</v>
      </c>
      <c r="N8" t="s">
        <v>160</v>
      </c>
      <c r="O8" s="50">
        <v>0</v>
      </c>
      <c r="P8" s="52">
        <f ca="1">Log_2018[[#This Row],[Amount]]/Log_2018[[#This Row],[Split_raw]]*MAX(0,MIN(_xlfn.DAYS(EDATE(P$1,1),Log_2018[[#This Row],[Date]]),Log_2018[[#This Row],[Split_apply]])) - SUM($O8:O8)</f>
        <v>0</v>
      </c>
      <c r="Q8" s="52">
        <f ca="1">Log_2018[[#This Row],[Amount]]/Log_2018[[#This Row],[Split_raw]]*MAX(0,MIN(_xlfn.DAYS(EDATE(Q$1,1),Log_2018[[#This Row],[Date]]),Log_2018[[#This Row],[Split_apply]])) - SUM($O8:P8)</f>
        <v>0</v>
      </c>
      <c r="R8" s="52">
        <f ca="1">Log_2018[[#This Row],[Amount]]/Log_2018[[#This Row],[Split_raw]]*MAX(0,MIN(_xlfn.DAYS(EDATE(R$1,1),Log_2018[[#This Row],[Date]]),Log_2018[[#This Row],[Split_apply]])) - SUM($O8:Q8)</f>
        <v>0</v>
      </c>
      <c r="S8" s="52">
        <f ca="1">Log_2018[[#This Row],[Amount]]/Log_2018[[#This Row],[Split_raw]]*MAX(0,MIN(_xlfn.DAYS(EDATE(S$1,1),Log_2018[[#This Row],[Date]]),Log_2018[[#This Row],[Split_apply]])) - SUM($O8:R8)</f>
        <v>0</v>
      </c>
      <c r="T8" s="52">
        <f ca="1">Log_2018[[#This Row],[Amount]]/Log_2018[[#This Row],[Split_raw]]*MAX(0,MIN(_xlfn.DAYS(EDATE(T$1,1),Log_2018[[#This Row],[Date]]),Log_2018[[#This Row],[Split_apply]])) - SUM($O8:S8)</f>
        <v>0</v>
      </c>
      <c r="U8" s="52">
        <f ca="1">Log_2018[[#This Row],[Amount]]/Log_2018[[#This Row],[Split_raw]]*MAX(0,MIN(_xlfn.DAYS(EDATE(U$1,1),Log_2018[[#This Row],[Date]]),Log_2018[[#This Row],[Split_apply]])) - SUM($O8:T8)</f>
        <v>0</v>
      </c>
      <c r="V8" s="52">
        <f ca="1">Log_2018[[#This Row],[Amount]]/Log_2018[[#This Row],[Split_raw]]*MAX(0,MIN(_xlfn.DAYS(EDATE(V$1,1),Log_2018[[#This Row],[Date]]),Log_2018[[#This Row],[Split_apply]])) - SUM($O8:U8)</f>
        <v>0</v>
      </c>
      <c r="W8" s="52">
        <f ca="1">Log_2018[[#This Row],[Amount]]/Log_2018[[#This Row],[Split_raw]]*MAX(0,MIN(_xlfn.DAYS(EDATE(W$1,1),Log_2018[[#This Row],[Date]]),Log_2018[[#This Row],[Split_apply]])) - SUM($O8:V8)</f>
        <v>0</v>
      </c>
      <c r="X8" s="52">
        <f ca="1">Log_2018[[#This Row],[Amount]]/Log_2018[[#This Row],[Split_raw]]*MAX(0,MIN(_xlfn.DAYS(EDATE(X$1,1),Log_2018[[#This Row],[Date]]),Log_2018[[#This Row],[Split_apply]])) - SUM($O8:W8)</f>
        <v>0</v>
      </c>
      <c r="Y8" s="52">
        <f ca="1">Log_2018[[#This Row],[Amount]]/Log_2018[[#This Row],[Split_raw]]*MAX(0,MIN(_xlfn.DAYS(EDATE(Y$1,1),Log_2018[[#This Row],[Date]]),Log_2018[[#This Row],[Split_apply]])) - SUM($O8:X8)</f>
        <v>0</v>
      </c>
      <c r="Z8" s="52">
        <f ca="1">Log_2018[[#This Row],[Amount]]/Log_2018[[#This Row],[Split_raw]]*MAX(0,MIN(_xlfn.DAYS(EDATE(Z$1,1),Log_2018[[#This Row],[Date]]),Log_2018[[#This Row],[Split_apply]])) - SUM($O8:Y8)</f>
        <v>0</v>
      </c>
      <c r="AA8" s="52">
        <f ca="1">Log_2018[[#This Row],[Amount]]/Log_2018[[#This Row],[Split_raw]]*MAX(0,MIN(_xlfn.DAYS(EDATE(AA$1,1),Log_2018[[#This Row],[Date]]),Log_2018[[#This Row],[Split_apply]])) - SUM($O8:Z8)</f>
        <v>2.5</v>
      </c>
      <c r="AB8" s="54">
        <f ca="1">Log_2018[[#This Row],[Amount]]-SUM(O8:AA8)</f>
        <v>0</v>
      </c>
      <c r="AC8" s="7">
        <f ca="1">MAX(0,Log_2018[[#This Row],[Split_apply]] - (EDATE(AA$1,1)-Log_2018[[#This Row],[Date]]))</f>
        <v>0</v>
      </c>
    </row>
    <row r="9" spans="1:29" hidden="1" x14ac:dyDescent="0.25">
      <c r="A9" s="115"/>
      <c r="B9" t="s">
        <v>6</v>
      </c>
      <c r="D9" s="39">
        <v>43462</v>
      </c>
      <c r="E9" t="s">
        <v>251</v>
      </c>
      <c r="F9" t="s">
        <v>246</v>
      </c>
      <c r="G9" t="s">
        <v>143</v>
      </c>
      <c r="H9" s="3">
        <v>-8.65</v>
      </c>
      <c r="I9" s="36">
        <f>IF(Log_2018[[#This Row],[My Category]]="NONTRACKED",0,Log_2018[[#This Row],[Raw Amount]])</f>
        <v>-8.65</v>
      </c>
      <c r="J9" s="17">
        <f>ABS(Log_2018[[#This Row],[Amount]])</f>
        <v>8.65</v>
      </c>
      <c r="K9" s="66">
        <v>30</v>
      </c>
      <c r="L9" s="66">
        <f ca="1">IF(Log_2018[[#This Row],[Date]]&lt;=TODAY(), MIN(Log_2018[[#This Row],[Split_raw]], TODAY()-Log_2018[[#This Row],[Date]]+1), 0)</f>
        <v>30</v>
      </c>
      <c r="M9" t="s">
        <v>53</v>
      </c>
      <c r="N9" t="s">
        <v>160</v>
      </c>
      <c r="O9" s="50">
        <v>0</v>
      </c>
      <c r="P9" s="52">
        <f ca="1">Log_2018[[#This Row],[Amount]]/Log_2018[[#This Row],[Split_raw]]*MAX(0,MIN(_xlfn.DAYS(EDATE(P$1,1),Log_2018[[#This Row],[Date]]),Log_2018[[#This Row],[Split_apply]])) - SUM($O9:O9)</f>
        <v>0</v>
      </c>
      <c r="Q9" s="52">
        <f ca="1">Log_2018[[#This Row],[Amount]]/Log_2018[[#This Row],[Split_raw]]*MAX(0,MIN(_xlfn.DAYS(EDATE(Q$1,1),Log_2018[[#This Row],[Date]]),Log_2018[[#This Row],[Split_apply]])) - SUM($O9:P9)</f>
        <v>0</v>
      </c>
      <c r="R9" s="52">
        <f ca="1">Log_2018[[#This Row],[Amount]]/Log_2018[[#This Row],[Split_raw]]*MAX(0,MIN(_xlfn.DAYS(EDATE(R$1,1),Log_2018[[#This Row],[Date]]),Log_2018[[#This Row],[Split_apply]])) - SUM($O9:Q9)</f>
        <v>0</v>
      </c>
      <c r="S9" s="52">
        <f ca="1">Log_2018[[#This Row],[Amount]]/Log_2018[[#This Row],[Split_raw]]*MAX(0,MIN(_xlfn.DAYS(EDATE(S$1,1),Log_2018[[#This Row],[Date]]),Log_2018[[#This Row],[Split_apply]])) - SUM($O9:R9)</f>
        <v>0</v>
      </c>
      <c r="T9" s="52">
        <f ca="1">Log_2018[[#This Row],[Amount]]/Log_2018[[#This Row],[Split_raw]]*MAX(0,MIN(_xlfn.DAYS(EDATE(T$1,1),Log_2018[[#This Row],[Date]]),Log_2018[[#This Row],[Split_apply]])) - SUM($O9:S9)</f>
        <v>0</v>
      </c>
      <c r="U9" s="52">
        <f ca="1">Log_2018[[#This Row],[Amount]]/Log_2018[[#This Row],[Split_raw]]*MAX(0,MIN(_xlfn.DAYS(EDATE(U$1,1),Log_2018[[#This Row],[Date]]),Log_2018[[#This Row],[Split_apply]])) - SUM($O9:T9)</f>
        <v>0</v>
      </c>
      <c r="V9" s="52">
        <f ca="1">Log_2018[[#This Row],[Amount]]/Log_2018[[#This Row],[Split_raw]]*MAX(0,MIN(_xlfn.DAYS(EDATE(V$1,1),Log_2018[[#This Row],[Date]]),Log_2018[[#This Row],[Split_apply]])) - SUM($O9:U9)</f>
        <v>0</v>
      </c>
      <c r="W9" s="52">
        <f ca="1">Log_2018[[#This Row],[Amount]]/Log_2018[[#This Row],[Split_raw]]*MAX(0,MIN(_xlfn.DAYS(EDATE(W$1,1),Log_2018[[#This Row],[Date]]),Log_2018[[#This Row],[Split_apply]])) - SUM($O9:V9)</f>
        <v>0</v>
      </c>
      <c r="X9" s="52">
        <f ca="1">Log_2018[[#This Row],[Amount]]/Log_2018[[#This Row],[Split_raw]]*MAX(0,MIN(_xlfn.DAYS(EDATE(X$1,1),Log_2018[[#This Row],[Date]]),Log_2018[[#This Row],[Split_apply]])) - SUM($O9:W9)</f>
        <v>0</v>
      </c>
      <c r="Y9" s="52">
        <f ca="1">Log_2018[[#This Row],[Amount]]/Log_2018[[#This Row],[Split_raw]]*MAX(0,MIN(_xlfn.DAYS(EDATE(Y$1,1),Log_2018[[#This Row],[Date]]),Log_2018[[#This Row],[Split_apply]])) - SUM($O9:X9)</f>
        <v>0</v>
      </c>
      <c r="Z9" s="52">
        <f ca="1">Log_2018[[#This Row],[Amount]]/Log_2018[[#This Row],[Split_raw]]*MAX(0,MIN(_xlfn.DAYS(EDATE(Z$1,1),Log_2018[[#This Row],[Date]]),Log_2018[[#This Row],[Split_apply]])) - SUM($O9:Y9)</f>
        <v>0</v>
      </c>
      <c r="AA9" s="52">
        <f ca="1">Log_2018[[#This Row],[Amount]]/Log_2018[[#This Row],[Split_raw]]*MAX(0,MIN(_xlfn.DAYS(EDATE(AA$1,1),Log_2018[[#This Row],[Date]]),Log_2018[[#This Row],[Split_apply]])) - SUM($O9:Z9)</f>
        <v>-1.1533333333333333</v>
      </c>
      <c r="AB9" s="54">
        <f ca="1">Log_2018[[#This Row],[Amount]]-SUM(O9:AA9)</f>
        <v>-7.496666666666667</v>
      </c>
      <c r="AC9" s="7">
        <f ca="1">MAX(0,Log_2018[[#This Row],[Split_apply]] - (EDATE(AA$1,1)-Log_2018[[#This Row],[Date]]))</f>
        <v>26</v>
      </c>
    </row>
    <row r="10" spans="1:29" hidden="1" x14ac:dyDescent="0.25">
      <c r="A10" s="115"/>
      <c r="B10" t="s">
        <v>6</v>
      </c>
      <c r="D10" s="39">
        <v>43459</v>
      </c>
      <c r="F10" t="s">
        <v>346</v>
      </c>
      <c r="G10" t="s">
        <v>9</v>
      </c>
      <c r="H10" s="3">
        <v>-4.9400000000000004</v>
      </c>
      <c r="I10" s="36">
        <f>IF(Log_2018[[#This Row],[My Category]]="NONTRACKED",0,Log_2018[[#This Row],[Raw Amount]])</f>
        <v>-4.9400000000000004</v>
      </c>
      <c r="J10" s="17">
        <f>ABS(Log_2018[[#This Row],[Amount]])</f>
        <v>4.9400000000000004</v>
      </c>
      <c r="K10" s="66">
        <v>1</v>
      </c>
      <c r="L10" s="66">
        <f ca="1">IF(Log_2018[[#This Row],[Date]]&lt;=TODAY(), MIN(Log_2018[[#This Row],[Split_raw]], TODAY()-Log_2018[[#This Row],[Date]]+1), 0)</f>
        <v>1</v>
      </c>
      <c r="M10" t="s">
        <v>39</v>
      </c>
      <c r="N10" t="s">
        <v>158</v>
      </c>
      <c r="O10" s="50">
        <v>0</v>
      </c>
      <c r="P10" s="52">
        <f ca="1">Log_2018[[#This Row],[Amount]]/Log_2018[[#This Row],[Split_raw]]*MAX(0,MIN(_xlfn.DAYS(EDATE(P$1,1),Log_2018[[#This Row],[Date]]),Log_2018[[#This Row],[Split_apply]])) - SUM($O10:O10)</f>
        <v>0</v>
      </c>
      <c r="Q10" s="52">
        <f ca="1">Log_2018[[#This Row],[Amount]]/Log_2018[[#This Row],[Split_raw]]*MAX(0,MIN(_xlfn.DAYS(EDATE(Q$1,1),Log_2018[[#This Row],[Date]]),Log_2018[[#This Row],[Split_apply]])) - SUM($O10:P10)</f>
        <v>0</v>
      </c>
      <c r="R10" s="52">
        <f ca="1">Log_2018[[#This Row],[Amount]]/Log_2018[[#This Row],[Split_raw]]*MAX(0,MIN(_xlfn.DAYS(EDATE(R$1,1),Log_2018[[#This Row],[Date]]),Log_2018[[#This Row],[Split_apply]])) - SUM($O10:Q10)</f>
        <v>0</v>
      </c>
      <c r="S10" s="52">
        <f ca="1">Log_2018[[#This Row],[Amount]]/Log_2018[[#This Row],[Split_raw]]*MAX(0,MIN(_xlfn.DAYS(EDATE(S$1,1),Log_2018[[#This Row],[Date]]),Log_2018[[#This Row],[Split_apply]])) - SUM($O10:R10)</f>
        <v>0</v>
      </c>
      <c r="T10" s="52">
        <f ca="1">Log_2018[[#This Row],[Amount]]/Log_2018[[#This Row],[Split_raw]]*MAX(0,MIN(_xlfn.DAYS(EDATE(T$1,1),Log_2018[[#This Row],[Date]]),Log_2018[[#This Row],[Split_apply]])) - SUM($O10:S10)</f>
        <v>0</v>
      </c>
      <c r="U10" s="52">
        <f ca="1">Log_2018[[#This Row],[Amount]]/Log_2018[[#This Row],[Split_raw]]*MAX(0,MIN(_xlfn.DAYS(EDATE(U$1,1),Log_2018[[#This Row],[Date]]),Log_2018[[#This Row],[Split_apply]])) - SUM($O10:T10)</f>
        <v>0</v>
      </c>
      <c r="V10" s="52">
        <f ca="1">Log_2018[[#This Row],[Amount]]/Log_2018[[#This Row],[Split_raw]]*MAX(0,MIN(_xlfn.DAYS(EDATE(V$1,1),Log_2018[[#This Row],[Date]]),Log_2018[[#This Row],[Split_apply]])) - SUM($O10:U10)</f>
        <v>0</v>
      </c>
      <c r="W10" s="52">
        <f ca="1">Log_2018[[#This Row],[Amount]]/Log_2018[[#This Row],[Split_raw]]*MAX(0,MIN(_xlfn.DAYS(EDATE(W$1,1),Log_2018[[#This Row],[Date]]),Log_2018[[#This Row],[Split_apply]])) - SUM($O10:V10)</f>
        <v>0</v>
      </c>
      <c r="X10" s="52">
        <f ca="1">Log_2018[[#This Row],[Amount]]/Log_2018[[#This Row],[Split_raw]]*MAX(0,MIN(_xlfn.DAYS(EDATE(X$1,1),Log_2018[[#This Row],[Date]]),Log_2018[[#This Row],[Split_apply]])) - SUM($O10:W10)</f>
        <v>0</v>
      </c>
      <c r="Y10" s="52">
        <f ca="1">Log_2018[[#This Row],[Amount]]/Log_2018[[#This Row],[Split_raw]]*MAX(0,MIN(_xlfn.DAYS(EDATE(Y$1,1),Log_2018[[#This Row],[Date]]),Log_2018[[#This Row],[Split_apply]])) - SUM($O10:X10)</f>
        <v>0</v>
      </c>
      <c r="Z10" s="52">
        <f ca="1">Log_2018[[#This Row],[Amount]]/Log_2018[[#This Row],[Split_raw]]*MAX(0,MIN(_xlfn.DAYS(EDATE(Z$1,1),Log_2018[[#This Row],[Date]]),Log_2018[[#This Row],[Split_apply]])) - SUM($O10:Y10)</f>
        <v>0</v>
      </c>
      <c r="AA10" s="52">
        <f ca="1">Log_2018[[#This Row],[Amount]]/Log_2018[[#This Row],[Split_raw]]*MAX(0,MIN(_xlfn.DAYS(EDATE(AA$1,1),Log_2018[[#This Row],[Date]]),Log_2018[[#This Row],[Split_apply]])) - SUM($O10:Z10)</f>
        <v>-4.9400000000000004</v>
      </c>
      <c r="AB10" s="54">
        <f ca="1">Log_2018[[#This Row],[Amount]]-SUM(O10:AA10)</f>
        <v>0</v>
      </c>
      <c r="AC10" s="7">
        <f ca="1">MAX(0,Log_2018[[#This Row],[Split_apply]] - (EDATE(AA$1,1)-Log_2018[[#This Row],[Date]]))</f>
        <v>0</v>
      </c>
    </row>
    <row r="11" spans="1:29" hidden="1" x14ac:dyDescent="0.25">
      <c r="A11" s="115"/>
      <c r="B11" t="s">
        <v>96</v>
      </c>
      <c r="D11" s="39">
        <v>43455</v>
      </c>
      <c r="E11" t="s">
        <v>487</v>
      </c>
      <c r="H11" s="3">
        <v>25</v>
      </c>
      <c r="I11" s="36">
        <f>IF(Log_2018[[#This Row],[My Category]]="NONTRACKED",0,Log_2018[[#This Row],[Raw Amount]])</f>
        <v>25</v>
      </c>
      <c r="J11" s="17">
        <f>ABS(Log_2018[[#This Row],[Amount]])</f>
        <v>25</v>
      </c>
      <c r="K11" s="66">
        <v>1</v>
      </c>
      <c r="L11" s="66">
        <f ca="1">IF(Log_2018[[#This Row],[Date]]&lt;=TODAY(), MIN(Log_2018[[#This Row],[Split_raw]], TODAY()-Log_2018[[#This Row],[Date]]+1), 0)</f>
        <v>1</v>
      </c>
      <c r="M11" t="s">
        <v>40</v>
      </c>
      <c r="N11" t="s">
        <v>156</v>
      </c>
      <c r="O11" s="50">
        <v>0</v>
      </c>
      <c r="P11" s="52">
        <f ca="1">Log_2018[[#This Row],[Amount]]/Log_2018[[#This Row],[Split_raw]]*MAX(0,MIN(_xlfn.DAYS(EDATE(P$1,1),Log_2018[[#This Row],[Date]]),Log_2018[[#This Row],[Split_apply]])) - SUM($O11:O11)</f>
        <v>0</v>
      </c>
      <c r="Q11" s="52">
        <f ca="1">Log_2018[[#This Row],[Amount]]/Log_2018[[#This Row],[Split_raw]]*MAX(0,MIN(_xlfn.DAYS(EDATE(Q$1,1),Log_2018[[#This Row],[Date]]),Log_2018[[#This Row],[Split_apply]])) - SUM($O11:P11)</f>
        <v>0</v>
      </c>
      <c r="R11" s="52">
        <f ca="1">Log_2018[[#This Row],[Amount]]/Log_2018[[#This Row],[Split_raw]]*MAX(0,MIN(_xlfn.DAYS(EDATE(R$1,1),Log_2018[[#This Row],[Date]]),Log_2018[[#This Row],[Split_apply]])) - SUM($O11:Q11)</f>
        <v>0</v>
      </c>
      <c r="S11" s="52">
        <f ca="1">Log_2018[[#This Row],[Amount]]/Log_2018[[#This Row],[Split_raw]]*MAX(0,MIN(_xlfn.DAYS(EDATE(S$1,1),Log_2018[[#This Row],[Date]]),Log_2018[[#This Row],[Split_apply]])) - SUM($O11:R11)</f>
        <v>0</v>
      </c>
      <c r="T11" s="52">
        <f ca="1">Log_2018[[#This Row],[Amount]]/Log_2018[[#This Row],[Split_raw]]*MAX(0,MIN(_xlfn.DAYS(EDATE(T$1,1),Log_2018[[#This Row],[Date]]),Log_2018[[#This Row],[Split_apply]])) - SUM($O11:S11)</f>
        <v>0</v>
      </c>
      <c r="U11" s="52">
        <f ca="1">Log_2018[[#This Row],[Amount]]/Log_2018[[#This Row],[Split_raw]]*MAX(0,MIN(_xlfn.DAYS(EDATE(U$1,1),Log_2018[[#This Row],[Date]]),Log_2018[[#This Row],[Split_apply]])) - SUM($O11:T11)</f>
        <v>0</v>
      </c>
      <c r="V11" s="52">
        <f ca="1">Log_2018[[#This Row],[Amount]]/Log_2018[[#This Row],[Split_raw]]*MAX(0,MIN(_xlfn.DAYS(EDATE(V$1,1),Log_2018[[#This Row],[Date]]),Log_2018[[#This Row],[Split_apply]])) - SUM($O11:U11)</f>
        <v>0</v>
      </c>
      <c r="W11" s="52">
        <f ca="1">Log_2018[[#This Row],[Amount]]/Log_2018[[#This Row],[Split_raw]]*MAX(0,MIN(_xlfn.DAYS(EDATE(W$1,1),Log_2018[[#This Row],[Date]]),Log_2018[[#This Row],[Split_apply]])) - SUM($O11:V11)</f>
        <v>0</v>
      </c>
      <c r="X11" s="52">
        <f ca="1">Log_2018[[#This Row],[Amount]]/Log_2018[[#This Row],[Split_raw]]*MAX(0,MIN(_xlfn.DAYS(EDATE(X$1,1),Log_2018[[#This Row],[Date]]),Log_2018[[#This Row],[Split_apply]])) - SUM($O11:W11)</f>
        <v>0</v>
      </c>
      <c r="Y11" s="52">
        <f ca="1">Log_2018[[#This Row],[Amount]]/Log_2018[[#This Row],[Split_raw]]*MAX(0,MIN(_xlfn.DAYS(EDATE(Y$1,1),Log_2018[[#This Row],[Date]]),Log_2018[[#This Row],[Split_apply]])) - SUM($O11:X11)</f>
        <v>0</v>
      </c>
      <c r="Z11" s="52">
        <f ca="1">Log_2018[[#This Row],[Amount]]/Log_2018[[#This Row],[Split_raw]]*MAX(0,MIN(_xlfn.DAYS(EDATE(Z$1,1),Log_2018[[#This Row],[Date]]),Log_2018[[#This Row],[Split_apply]])) - SUM($O11:Y11)</f>
        <v>0</v>
      </c>
      <c r="AA11" s="52">
        <f ca="1">Log_2018[[#This Row],[Amount]]/Log_2018[[#This Row],[Split_raw]]*MAX(0,MIN(_xlfn.DAYS(EDATE(AA$1,1),Log_2018[[#This Row],[Date]]),Log_2018[[#This Row],[Split_apply]])) - SUM($O11:Z11)</f>
        <v>25</v>
      </c>
      <c r="AB11" s="54">
        <f ca="1">Log_2018[[#This Row],[Amount]]-SUM(O11:AA11)</f>
        <v>0</v>
      </c>
      <c r="AC11" s="7">
        <f ca="1">MAX(0,Log_2018[[#This Row],[Split_apply]] - (EDATE(AA$1,1)-Log_2018[[#This Row],[Date]]))</f>
        <v>0</v>
      </c>
    </row>
    <row r="12" spans="1:29" hidden="1" x14ac:dyDescent="0.25">
      <c r="A12" s="115"/>
      <c r="B12" t="s">
        <v>6</v>
      </c>
      <c r="D12" s="39">
        <v>43455</v>
      </c>
      <c r="F12" t="s">
        <v>461</v>
      </c>
      <c r="G12" t="s">
        <v>25</v>
      </c>
      <c r="H12" s="3">
        <v>-9.61</v>
      </c>
      <c r="I12" s="36">
        <f>IF(Log_2018[[#This Row],[My Category]]="NONTRACKED",0,Log_2018[[#This Row],[Raw Amount]])</f>
        <v>-9.61</v>
      </c>
      <c r="J12" s="17">
        <f>ABS(Log_2018[[#This Row],[Amount]])</f>
        <v>9.61</v>
      </c>
      <c r="K12" s="66">
        <v>1</v>
      </c>
      <c r="L12" s="66">
        <f ca="1">IF(Log_2018[[#This Row],[Date]]&lt;=TODAY(), MIN(Log_2018[[#This Row],[Split_raw]], TODAY()-Log_2018[[#This Row],[Date]]+1), 0)</f>
        <v>1</v>
      </c>
      <c r="M12" t="s">
        <v>35</v>
      </c>
      <c r="N12" t="s">
        <v>158</v>
      </c>
      <c r="O12" s="50">
        <v>0</v>
      </c>
      <c r="P12" s="52">
        <f ca="1">Log_2018[[#This Row],[Amount]]/Log_2018[[#This Row],[Split_raw]]*MAX(0,MIN(_xlfn.DAYS(EDATE(P$1,1),Log_2018[[#This Row],[Date]]),Log_2018[[#This Row],[Split_apply]])) - SUM($O12:O12)</f>
        <v>0</v>
      </c>
      <c r="Q12" s="52">
        <f ca="1">Log_2018[[#This Row],[Amount]]/Log_2018[[#This Row],[Split_raw]]*MAX(0,MIN(_xlfn.DAYS(EDATE(Q$1,1),Log_2018[[#This Row],[Date]]),Log_2018[[#This Row],[Split_apply]])) - SUM($O12:P12)</f>
        <v>0</v>
      </c>
      <c r="R12" s="52">
        <f ca="1">Log_2018[[#This Row],[Amount]]/Log_2018[[#This Row],[Split_raw]]*MAX(0,MIN(_xlfn.DAYS(EDATE(R$1,1),Log_2018[[#This Row],[Date]]),Log_2018[[#This Row],[Split_apply]])) - SUM($O12:Q12)</f>
        <v>0</v>
      </c>
      <c r="S12" s="52">
        <f ca="1">Log_2018[[#This Row],[Amount]]/Log_2018[[#This Row],[Split_raw]]*MAX(0,MIN(_xlfn.DAYS(EDATE(S$1,1),Log_2018[[#This Row],[Date]]),Log_2018[[#This Row],[Split_apply]])) - SUM($O12:R12)</f>
        <v>0</v>
      </c>
      <c r="T12" s="52">
        <f ca="1">Log_2018[[#This Row],[Amount]]/Log_2018[[#This Row],[Split_raw]]*MAX(0,MIN(_xlfn.DAYS(EDATE(T$1,1),Log_2018[[#This Row],[Date]]),Log_2018[[#This Row],[Split_apply]])) - SUM($O12:S12)</f>
        <v>0</v>
      </c>
      <c r="U12" s="52">
        <f ca="1">Log_2018[[#This Row],[Amount]]/Log_2018[[#This Row],[Split_raw]]*MAX(0,MIN(_xlfn.DAYS(EDATE(U$1,1),Log_2018[[#This Row],[Date]]),Log_2018[[#This Row],[Split_apply]])) - SUM($O12:T12)</f>
        <v>0</v>
      </c>
      <c r="V12" s="52">
        <f ca="1">Log_2018[[#This Row],[Amount]]/Log_2018[[#This Row],[Split_raw]]*MAX(0,MIN(_xlfn.DAYS(EDATE(V$1,1),Log_2018[[#This Row],[Date]]),Log_2018[[#This Row],[Split_apply]])) - SUM($O12:U12)</f>
        <v>0</v>
      </c>
      <c r="W12" s="52">
        <f ca="1">Log_2018[[#This Row],[Amount]]/Log_2018[[#This Row],[Split_raw]]*MAX(0,MIN(_xlfn.DAYS(EDATE(W$1,1),Log_2018[[#This Row],[Date]]),Log_2018[[#This Row],[Split_apply]])) - SUM($O12:V12)</f>
        <v>0</v>
      </c>
      <c r="X12" s="52">
        <f ca="1">Log_2018[[#This Row],[Amount]]/Log_2018[[#This Row],[Split_raw]]*MAX(0,MIN(_xlfn.DAYS(EDATE(X$1,1),Log_2018[[#This Row],[Date]]),Log_2018[[#This Row],[Split_apply]])) - SUM($O12:W12)</f>
        <v>0</v>
      </c>
      <c r="Y12" s="52">
        <f ca="1">Log_2018[[#This Row],[Amount]]/Log_2018[[#This Row],[Split_raw]]*MAX(0,MIN(_xlfn.DAYS(EDATE(Y$1,1),Log_2018[[#This Row],[Date]]),Log_2018[[#This Row],[Split_apply]])) - SUM($O12:X12)</f>
        <v>0</v>
      </c>
      <c r="Z12" s="52">
        <f ca="1">Log_2018[[#This Row],[Amount]]/Log_2018[[#This Row],[Split_raw]]*MAX(0,MIN(_xlfn.DAYS(EDATE(Z$1,1),Log_2018[[#This Row],[Date]]),Log_2018[[#This Row],[Split_apply]])) - SUM($O12:Y12)</f>
        <v>0</v>
      </c>
      <c r="AA12" s="52">
        <f ca="1">Log_2018[[#This Row],[Amount]]/Log_2018[[#This Row],[Split_raw]]*MAX(0,MIN(_xlfn.DAYS(EDATE(AA$1,1),Log_2018[[#This Row],[Date]]),Log_2018[[#This Row],[Split_apply]])) - SUM($O12:Z12)</f>
        <v>-9.61</v>
      </c>
      <c r="AB12" s="54">
        <f ca="1">Log_2018[[#This Row],[Amount]]-SUM(O12:AA12)</f>
        <v>0</v>
      </c>
      <c r="AC12" s="7">
        <f ca="1">MAX(0,Log_2018[[#This Row],[Split_apply]] - (EDATE(AA$1,1)-Log_2018[[#This Row],[Date]]))</f>
        <v>0</v>
      </c>
    </row>
    <row r="13" spans="1:29" hidden="1" x14ac:dyDescent="0.25">
      <c r="A13" s="115"/>
      <c r="B13" t="s">
        <v>6</v>
      </c>
      <c r="D13" s="39">
        <v>43455</v>
      </c>
      <c r="F13" t="s">
        <v>462</v>
      </c>
      <c r="G13" t="s">
        <v>10</v>
      </c>
      <c r="H13" s="3">
        <v>-21.32</v>
      </c>
      <c r="I13" s="36">
        <f>IF(Log_2018[[#This Row],[My Category]]="NONTRACKED",0,Log_2018[[#This Row],[Raw Amount]])</f>
        <v>-21.32</v>
      </c>
      <c r="J13" s="17">
        <f>ABS(Log_2018[[#This Row],[Amount]])</f>
        <v>21.32</v>
      </c>
      <c r="K13" s="66">
        <v>1</v>
      </c>
      <c r="L13" s="66">
        <f ca="1">IF(Log_2018[[#This Row],[Date]]&lt;=TODAY(), MIN(Log_2018[[#This Row],[Split_raw]], TODAY()-Log_2018[[#This Row],[Date]]+1), 0)</f>
        <v>1</v>
      </c>
      <c r="M13" t="s">
        <v>52</v>
      </c>
      <c r="N13" t="s">
        <v>158</v>
      </c>
      <c r="O13" s="50">
        <v>0</v>
      </c>
      <c r="P13" s="52">
        <f ca="1">Log_2018[[#This Row],[Amount]]/Log_2018[[#This Row],[Split_raw]]*MAX(0,MIN(_xlfn.DAYS(EDATE(P$1,1),Log_2018[[#This Row],[Date]]),Log_2018[[#This Row],[Split_apply]])) - SUM($O13:O13)</f>
        <v>0</v>
      </c>
      <c r="Q13" s="52">
        <f ca="1">Log_2018[[#This Row],[Amount]]/Log_2018[[#This Row],[Split_raw]]*MAX(0,MIN(_xlfn.DAYS(EDATE(Q$1,1),Log_2018[[#This Row],[Date]]),Log_2018[[#This Row],[Split_apply]])) - SUM($O13:P13)</f>
        <v>0</v>
      </c>
      <c r="R13" s="52">
        <f ca="1">Log_2018[[#This Row],[Amount]]/Log_2018[[#This Row],[Split_raw]]*MAX(0,MIN(_xlfn.DAYS(EDATE(R$1,1),Log_2018[[#This Row],[Date]]),Log_2018[[#This Row],[Split_apply]])) - SUM($O13:Q13)</f>
        <v>0</v>
      </c>
      <c r="S13" s="52">
        <f ca="1">Log_2018[[#This Row],[Amount]]/Log_2018[[#This Row],[Split_raw]]*MAX(0,MIN(_xlfn.DAYS(EDATE(S$1,1),Log_2018[[#This Row],[Date]]),Log_2018[[#This Row],[Split_apply]])) - SUM($O13:R13)</f>
        <v>0</v>
      </c>
      <c r="T13" s="52">
        <f ca="1">Log_2018[[#This Row],[Amount]]/Log_2018[[#This Row],[Split_raw]]*MAX(0,MIN(_xlfn.DAYS(EDATE(T$1,1),Log_2018[[#This Row],[Date]]),Log_2018[[#This Row],[Split_apply]])) - SUM($O13:S13)</f>
        <v>0</v>
      </c>
      <c r="U13" s="52">
        <f ca="1">Log_2018[[#This Row],[Amount]]/Log_2018[[#This Row],[Split_raw]]*MAX(0,MIN(_xlfn.DAYS(EDATE(U$1,1),Log_2018[[#This Row],[Date]]),Log_2018[[#This Row],[Split_apply]])) - SUM($O13:T13)</f>
        <v>0</v>
      </c>
      <c r="V13" s="52">
        <f ca="1">Log_2018[[#This Row],[Amount]]/Log_2018[[#This Row],[Split_raw]]*MAX(0,MIN(_xlfn.DAYS(EDATE(V$1,1),Log_2018[[#This Row],[Date]]),Log_2018[[#This Row],[Split_apply]])) - SUM($O13:U13)</f>
        <v>0</v>
      </c>
      <c r="W13" s="52">
        <f ca="1">Log_2018[[#This Row],[Amount]]/Log_2018[[#This Row],[Split_raw]]*MAX(0,MIN(_xlfn.DAYS(EDATE(W$1,1),Log_2018[[#This Row],[Date]]),Log_2018[[#This Row],[Split_apply]])) - SUM($O13:V13)</f>
        <v>0</v>
      </c>
      <c r="X13" s="52">
        <f ca="1">Log_2018[[#This Row],[Amount]]/Log_2018[[#This Row],[Split_raw]]*MAX(0,MIN(_xlfn.DAYS(EDATE(X$1,1),Log_2018[[#This Row],[Date]]),Log_2018[[#This Row],[Split_apply]])) - SUM($O13:W13)</f>
        <v>0</v>
      </c>
      <c r="Y13" s="52">
        <f ca="1">Log_2018[[#This Row],[Amount]]/Log_2018[[#This Row],[Split_raw]]*MAX(0,MIN(_xlfn.DAYS(EDATE(Y$1,1),Log_2018[[#This Row],[Date]]),Log_2018[[#This Row],[Split_apply]])) - SUM($O13:X13)</f>
        <v>0</v>
      </c>
      <c r="Z13" s="52">
        <f ca="1">Log_2018[[#This Row],[Amount]]/Log_2018[[#This Row],[Split_raw]]*MAX(0,MIN(_xlfn.DAYS(EDATE(Z$1,1),Log_2018[[#This Row],[Date]]),Log_2018[[#This Row],[Split_apply]])) - SUM($O13:Y13)</f>
        <v>0</v>
      </c>
      <c r="AA13" s="52">
        <f ca="1">Log_2018[[#This Row],[Amount]]/Log_2018[[#This Row],[Split_raw]]*MAX(0,MIN(_xlfn.DAYS(EDATE(AA$1,1),Log_2018[[#This Row],[Date]]),Log_2018[[#This Row],[Split_apply]])) - SUM($O13:Z13)</f>
        <v>-21.32</v>
      </c>
      <c r="AB13" s="54">
        <f ca="1">Log_2018[[#This Row],[Amount]]-SUM(O13:AA13)</f>
        <v>0</v>
      </c>
      <c r="AC13" s="7">
        <f ca="1">MAX(0,Log_2018[[#This Row],[Split_apply]] - (EDATE(AA$1,1)-Log_2018[[#This Row],[Date]]))</f>
        <v>0</v>
      </c>
    </row>
    <row r="14" spans="1:29" hidden="1" x14ac:dyDescent="0.25">
      <c r="A14" s="115"/>
      <c r="B14" t="s">
        <v>6</v>
      </c>
      <c r="D14" s="39">
        <v>43455</v>
      </c>
      <c r="F14" t="s">
        <v>463</v>
      </c>
      <c r="G14" t="s">
        <v>19</v>
      </c>
      <c r="H14" s="3">
        <v>-15.5</v>
      </c>
      <c r="I14" s="36">
        <f>IF(Log_2018[[#This Row],[My Category]]="NONTRACKED",0,Log_2018[[#This Row],[Raw Amount]])</f>
        <v>-15.5</v>
      </c>
      <c r="J14" s="17">
        <f>ABS(Log_2018[[#This Row],[Amount]])</f>
        <v>15.5</v>
      </c>
      <c r="K14" s="66">
        <v>1</v>
      </c>
      <c r="L14" s="66">
        <f ca="1">IF(Log_2018[[#This Row],[Date]]&lt;=TODAY(), MIN(Log_2018[[#This Row],[Split_raw]], TODAY()-Log_2018[[#This Row],[Date]]+1), 0)</f>
        <v>1</v>
      </c>
      <c r="M14" t="s">
        <v>40</v>
      </c>
      <c r="N14" t="s">
        <v>158</v>
      </c>
      <c r="O14" s="50">
        <v>0</v>
      </c>
      <c r="P14" s="52">
        <f ca="1">Log_2018[[#This Row],[Amount]]/Log_2018[[#This Row],[Split_raw]]*MAX(0,MIN(_xlfn.DAYS(EDATE(P$1,1),Log_2018[[#This Row],[Date]]),Log_2018[[#This Row],[Split_apply]])) - SUM($O14:O14)</f>
        <v>0</v>
      </c>
      <c r="Q14" s="52">
        <f ca="1">Log_2018[[#This Row],[Amount]]/Log_2018[[#This Row],[Split_raw]]*MAX(0,MIN(_xlfn.DAYS(EDATE(Q$1,1),Log_2018[[#This Row],[Date]]),Log_2018[[#This Row],[Split_apply]])) - SUM($O14:P14)</f>
        <v>0</v>
      </c>
      <c r="R14" s="52">
        <f ca="1">Log_2018[[#This Row],[Amount]]/Log_2018[[#This Row],[Split_raw]]*MAX(0,MIN(_xlfn.DAYS(EDATE(R$1,1),Log_2018[[#This Row],[Date]]),Log_2018[[#This Row],[Split_apply]])) - SUM($O14:Q14)</f>
        <v>0</v>
      </c>
      <c r="S14" s="52">
        <f ca="1">Log_2018[[#This Row],[Amount]]/Log_2018[[#This Row],[Split_raw]]*MAX(0,MIN(_xlfn.DAYS(EDATE(S$1,1),Log_2018[[#This Row],[Date]]),Log_2018[[#This Row],[Split_apply]])) - SUM($O14:R14)</f>
        <v>0</v>
      </c>
      <c r="T14" s="52">
        <f ca="1">Log_2018[[#This Row],[Amount]]/Log_2018[[#This Row],[Split_raw]]*MAX(0,MIN(_xlfn.DAYS(EDATE(T$1,1),Log_2018[[#This Row],[Date]]),Log_2018[[#This Row],[Split_apply]])) - SUM($O14:S14)</f>
        <v>0</v>
      </c>
      <c r="U14" s="52">
        <f ca="1">Log_2018[[#This Row],[Amount]]/Log_2018[[#This Row],[Split_raw]]*MAX(0,MIN(_xlfn.DAYS(EDATE(U$1,1),Log_2018[[#This Row],[Date]]),Log_2018[[#This Row],[Split_apply]])) - SUM($O14:T14)</f>
        <v>0</v>
      </c>
      <c r="V14" s="52">
        <f ca="1">Log_2018[[#This Row],[Amount]]/Log_2018[[#This Row],[Split_raw]]*MAX(0,MIN(_xlfn.DAYS(EDATE(V$1,1),Log_2018[[#This Row],[Date]]),Log_2018[[#This Row],[Split_apply]])) - SUM($O14:U14)</f>
        <v>0</v>
      </c>
      <c r="W14" s="52">
        <f ca="1">Log_2018[[#This Row],[Amount]]/Log_2018[[#This Row],[Split_raw]]*MAX(0,MIN(_xlfn.DAYS(EDATE(W$1,1),Log_2018[[#This Row],[Date]]),Log_2018[[#This Row],[Split_apply]])) - SUM($O14:V14)</f>
        <v>0</v>
      </c>
      <c r="X14" s="52">
        <f ca="1">Log_2018[[#This Row],[Amount]]/Log_2018[[#This Row],[Split_raw]]*MAX(0,MIN(_xlfn.DAYS(EDATE(X$1,1),Log_2018[[#This Row],[Date]]),Log_2018[[#This Row],[Split_apply]])) - SUM($O14:W14)</f>
        <v>0</v>
      </c>
      <c r="Y14" s="52">
        <f ca="1">Log_2018[[#This Row],[Amount]]/Log_2018[[#This Row],[Split_raw]]*MAX(0,MIN(_xlfn.DAYS(EDATE(Y$1,1),Log_2018[[#This Row],[Date]]),Log_2018[[#This Row],[Split_apply]])) - SUM($O14:X14)</f>
        <v>0</v>
      </c>
      <c r="Z14" s="52">
        <f ca="1">Log_2018[[#This Row],[Amount]]/Log_2018[[#This Row],[Split_raw]]*MAX(0,MIN(_xlfn.DAYS(EDATE(Z$1,1),Log_2018[[#This Row],[Date]]),Log_2018[[#This Row],[Split_apply]])) - SUM($O14:Y14)</f>
        <v>0</v>
      </c>
      <c r="AA14" s="52">
        <f ca="1">Log_2018[[#This Row],[Amount]]/Log_2018[[#This Row],[Split_raw]]*MAX(0,MIN(_xlfn.DAYS(EDATE(AA$1,1),Log_2018[[#This Row],[Date]]),Log_2018[[#This Row],[Split_apply]])) - SUM($O14:Z14)</f>
        <v>-15.5</v>
      </c>
      <c r="AB14" s="54">
        <f ca="1">Log_2018[[#This Row],[Amount]]-SUM(O14:AA14)</f>
        <v>0</v>
      </c>
      <c r="AC14" s="7">
        <f ca="1">MAX(0,Log_2018[[#This Row],[Split_apply]] - (EDATE(AA$1,1)-Log_2018[[#This Row],[Date]]))</f>
        <v>0</v>
      </c>
    </row>
    <row r="15" spans="1:29" hidden="1" x14ac:dyDescent="0.25">
      <c r="A15" s="115"/>
      <c r="B15" t="s">
        <v>6</v>
      </c>
      <c r="D15" s="39">
        <v>43455</v>
      </c>
      <c r="F15" t="s">
        <v>464</v>
      </c>
      <c r="G15" t="s">
        <v>214</v>
      </c>
      <c r="H15" s="3">
        <v>-34.79</v>
      </c>
      <c r="I15" s="36">
        <f>IF(Log_2018[[#This Row],[My Category]]="NONTRACKED",0,Log_2018[[#This Row],[Raw Amount]])</f>
        <v>-34.79</v>
      </c>
      <c r="J15" s="17">
        <f>ABS(Log_2018[[#This Row],[Amount]])</f>
        <v>34.79</v>
      </c>
      <c r="K15" s="66">
        <v>1</v>
      </c>
      <c r="L15" s="66">
        <f ca="1">IF(Log_2018[[#This Row],[Date]]&lt;=TODAY(), MIN(Log_2018[[#This Row],[Split_raw]], TODAY()-Log_2018[[#This Row],[Date]]+1), 0)</f>
        <v>1</v>
      </c>
      <c r="M15" t="s">
        <v>40</v>
      </c>
      <c r="N15" t="s">
        <v>158</v>
      </c>
      <c r="O15" s="50">
        <v>0</v>
      </c>
      <c r="P15" s="52">
        <f ca="1">Log_2018[[#This Row],[Amount]]/Log_2018[[#This Row],[Split_raw]]*MAX(0,MIN(_xlfn.DAYS(EDATE(P$1,1),Log_2018[[#This Row],[Date]]),Log_2018[[#This Row],[Split_apply]])) - SUM($O15:O15)</f>
        <v>0</v>
      </c>
      <c r="Q15" s="52">
        <f ca="1">Log_2018[[#This Row],[Amount]]/Log_2018[[#This Row],[Split_raw]]*MAX(0,MIN(_xlfn.DAYS(EDATE(Q$1,1),Log_2018[[#This Row],[Date]]),Log_2018[[#This Row],[Split_apply]])) - SUM($O15:P15)</f>
        <v>0</v>
      </c>
      <c r="R15" s="52">
        <f ca="1">Log_2018[[#This Row],[Amount]]/Log_2018[[#This Row],[Split_raw]]*MAX(0,MIN(_xlfn.DAYS(EDATE(R$1,1),Log_2018[[#This Row],[Date]]),Log_2018[[#This Row],[Split_apply]])) - SUM($O15:Q15)</f>
        <v>0</v>
      </c>
      <c r="S15" s="52">
        <f ca="1">Log_2018[[#This Row],[Amount]]/Log_2018[[#This Row],[Split_raw]]*MAX(0,MIN(_xlfn.DAYS(EDATE(S$1,1),Log_2018[[#This Row],[Date]]),Log_2018[[#This Row],[Split_apply]])) - SUM($O15:R15)</f>
        <v>0</v>
      </c>
      <c r="T15" s="52">
        <f ca="1">Log_2018[[#This Row],[Amount]]/Log_2018[[#This Row],[Split_raw]]*MAX(0,MIN(_xlfn.DAYS(EDATE(T$1,1),Log_2018[[#This Row],[Date]]),Log_2018[[#This Row],[Split_apply]])) - SUM($O15:S15)</f>
        <v>0</v>
      </c>
      <c r="U15" s="52">
        <f ca="1">Log_2018[[#This Row],[Amount]]/Log_2018[[#This Row],[Split_raw]]*MAX(0,MIN(_xlfn.DAYS(EDATE(U$1,1),Log_2018[[#This Row],[Date]]),Log_2018[[#This Row],[Split_apply]])) - SUM($O15:T15)</f>
        <v>0</v>
      </c>
      <c r="V15" s="52">
        <f ca="1">Log_2018[[#This Row],[Amount]]/Log_2018[[#This Row],[Split_raw]]*MAX(0,MIN(_xlfn.DAYS(EDATE(V$1,1),Log_2018[[#This Row],[Date]]),Log_2018[[#This Row],[Split_apply]])) - SUM($O15:U15)</f>
        <v>0</v>
      </c>
      <c r="W15" s="52">
        <f ca="1">Log_2018[[#This Row],[Amount]]/Log_2018[[#This Row],[Split_raw]]*MAX(0,MIN(_xlfn.DAYS(EDATE(W$1,1),Log_2018[[#This Row],[Date]]),Log_2018[[#This Row],[Split_apply]])) - SUM($O15:V15)</f>
        <v>0</v>
      </c>
      <c r="X15" s="52">
        <f ca="1">Log_2018[[#This Row],[Amount]]/Log_2018[[#This Row],[Split_raw]]*MAX(0,MIN(_xlfn.DAYS(EDATE(X$1,1),Log_2018[[#This Row],[Date]]),Log_2018[[#This Row],[Split_apply]])) - SUM($O15:W15)</f>
        <v>0</v>
      </c>
      <c r="Y15" s="52">
        <f ca="1">Log_2018[[#This Row],[Amount]]/Log_2018[[#This Row],[Split_raw]]*MAX(0,MIN(_xlfn.DAYS(EDATE(Y$1,1),Log_2018[[#This Row],[Date]]),Log_2018[[#This Row],[Split_apply]])) - SUM($O15:X15)</f>
        <v>0</v>
      </c>
      <c r="Z15" s="52">
        <f ca="1">Log_2018[[#This Row],[Amount]]/Log_2018[[#This Row],[Split_raw]]*MAX(0,MIN(_xlfn.DAYS(EDATE(Z$1,1),Log_2018[[#This Row],[Date]]),Log_2018[[#This Row],[Split_apply]])) - SUM($O15:Y15)</f>
        <v>0</v>
      </c>
      <c r="AA15" s="52">
        <f ca="1">Log_2018[[#This Row],[Amount]]/Log_2018[[#This Row],[Split_raw]]*MAX(0,MIN(_xlfn.DAYS(EDATE(AA$1,1),Log_2018[[#This Row],[Date]]),Log_2018[[#This Row],[Split_apply]])) - SUM($O15:Z15)</f>
        <v>-34.79</v>
      </c>
      <c r="AB15" s="54">
        <f ca="1">Log_2018[[#This Row],[Amount]]-SUM(O15:AA15)</f>
        <v>0</v>
      </c>
      <c r="AC15" s="7">
        <f ca="1">MAX(0,Log_2018[[#This Row],[Split_apply]] - (EDATE(AA$1,1)-Log_2018[[#This Row],[Date]]))</f>
        <v>0</v>
      </c>
    </row>
    <row r="16" spans="1:29" hidden="1" x14ac:dyDescent="0.25">
      <c r="A16" s="115"/>
      <c r="B16" t="s">
        <v>6</v>
      </c>
      <c r="D16" s="39">
        <v>43455</v>
      </c>
      <c r="F16" t="s">
        <v>465</v>
      </c>
      <c r="G16" t="s">
        <v>25</v>
      </c>
      <c r="H16" s="3">
        <v>-42</v>
      </c>
      <c r="I16" s="36">
        <f>IF(Log_2018[[#This Row],[My Category]]="NONTRACKED",0,Log_2018[[#This Row],[Raw Amount]])</f>
        <v>-42</v>
      </c>
      <c r="J16" s="17">
        <f>ABS(Log_2018[[#This Row],[Amount]])</f>
        <v>42</v>
      </c>
      <c r="K16" s="66">
        <v>1</v>
      </c>
      <c r="L16" s="66">
        <f ca="1">IF(Log_2018[[#This Row],[Date]]&lt;=TODAY(), MIN(Log_2018[[#This Row],[Split_raw]], TODAY()-Log_2018[[#This Row],[Date]]+1), 0)</f>
        <v>1</v>
      </c>
      <c r="M16" t="s">
        <v>40</v>
      </c>
      <c r="N16" t="s">
        <v>158</v>
      </c>
      <c r="O16" s="50">
        <v>0</v>
      </c>
      <c r="P16" s="52">
        <f ca="1">Log_2018[[#This Row],[Amount]]/Log_2018[[#This Row],[Split_raw]]*MAX(0,MIN(_xlfn.DAYS(EDATE(P$1,1),Log_2018[[#This Row],[Date]]),Log_2018[[#This Row],[Split_apply]])) - SUM($O16:O16)</f>
        <v>0</v>
      </c>
      <c r="Q16" s="52">
        <f ca="1">Log_2018[[#This Row],[Amount]]/Log_2018[[#This Row],[Split_raw]]*MAX(0,MIN(_xlfn.DAYS(EDATE(Q$1,1),Log_2018[[#This Row],[Date]]),Log_2018[[#This Row],[Split_apply]])) - SUM($O16:P16)</f>
        <v>0</v>
      </c>
      <c r="R16" s="52">
        <f ca="1">Log_2018[[#This Row],[Amount]]/Log_2018[[#This Row],[Split_raw]]*MAX(0,MIN(_xlfn.DAYS(EDATE(R$1,1),Log_2018[[#This Row],[Date]]),Log_2018[[#This Row],[Split_apply]])) - SUM($O16:Q16)</f>
        <v>0</v>
      </c>
      <c r="S16" s="52">
        <f ca="1">Log_2018[[#This Row],[Amount]]/Log_2018[[#This Row],[Split_raw]]*MAX(0,MIN(_xlfn.DAYS(EDATE(S$1,1),Log_2018[[#This Row],[Date]]),Log_2018[[#This Row],[Split_apply]])) - SUM($O16:R16)</f>
        <v>0</v>
      </c>
      <c r="T16" s="52">
        <f ca="1">Log_2018[[#This Row],[Amount]]/Log_2018[[#This Row],[Split_raw]]*MAX(0,MIN(_xlfn.DAYS(EDATE(T$1,1),Log_2018[[#This Row],[Date]]),Log_2018[[#This Row],[Split_apply]])) - SUM($O16:S16)</f>
        <v>0</v>
      </c>
      <c r="U16" s="52">
        <f ca="1">Log_2018[[#This Row],[Amount]]/Log_2018[[#This Row],[Split_raw]]*MAX(0,MIN(_xlfn.DAYS(EDATE(U$1,1),Log_2018[[#This Row],[Date]]),Log_2018[[#This Row],[Split_apply]])) - SUM($O16:T16)</f>
        <v>0</v>
      </c>
      <c r="V16" s="52">
        <f ca="1">Log_2018[[#This Row],[Amount]]/Log_2018[[#This Row],[Split_raw]]*MAX(0,MIN(_xlfn.DAYS(EDATE(V$1,1),Log_2018[[#This Row],[Date]]),Log_2018[[#This Row],[Split_apply]])) - SUM($O16:U16)</f>
        <v>0</v>
      </c>
      <c r="W16" s="52">
        <f ca="1">Log_2018[[#This Row],[Amount]]/Log_2018[[#This Row],[Split_raw]]*MAX(0,MIN(_xlfn.DAYS(EDATE(W$1,1),Log_2018[[#This Row],[Date]]),Log_2018[[#This Row],[Split_apply]])) - SUM($O16:V16)</f>
        <v>0</v>
      </c>
      <c r="X16" s="52">
        <f ca="1">Log_2018[[#This Row],[Amount]]/Log_2018[[#This Row],[Split_raw]]*MAX(0,MIN(_xlfn.DAYS(EDATE(X$1,1),Log_2018[[#This Row],[Date]]),Log_2018[[#This Row],[Split_apply]])) - SUM($O16:W16)</f>
        <v>0</v>
      </c>
      <c r="Y16" s="52">
        <f ca="1">Log_2018[[#This Row],[Amount]]/Log_2018[[#This Row],[Split_raw]]*MAX(0,MIN(_xlfn.DAYS(EDATE(Y$1,1),Log_2018[[#This Row],[Date]]),Log_2018[[#This Row],[Split_apply]])) - SUM($O16:X16)</f>
        <v>0</v>
      </c>
      <c r="Z16" s="52">
        <f ca="1">Log_2018[[#This Row],[Amount]]/Log_2018[[#This Row],[Split_raw]]*MAX(0,MIN(_xlfn.DAYS(EDATE(Z$1,1),Log_2018[[#This Row],[Date]]),Log_2018[[#This Row],[Split_apply]])) - SUM($O16:Y16)</f>
        <v>0</v>
      </c>
      <c r="AA16" s="52">
        <f ca="1">Log_2018[[#This Row],[Amount]]/Log_2018[[#This Row],[Split_raw]]*MAX(0,MIN(_xlfn.DAYS(EDATE(AA$1,1),Log_2018[[#This Row],[Date]]),Log_2018[[#This Row],[Split_apply]])) - SUM($O16:Z16)</f>
        <v>-42</v>
      </c>
      <c r="AB16" s="54">
        <f ca="1">Log_2018[[#This Row],[Amount]]-SUM(O16:AA16)</f>
        <v>0</v>
      </c>
      <c r="AC16" s="7">
        <f ca="1">MAX(0,Log_2018[[#This Row],[Split_apply]] - (EDATE(AA$1,1)-Log_2018[[#This Row],[Date]]))</f>
        <v>0</v>
      </c>
    </row>
    <row r="17" spans="1:29" hidden="1" x14ac:dyDescent="0.25">
      <c r="A17" s="115"/>
      <c r="B17" t="s">
        <v>6</v>
      </c>
      <c r="D17" s="39">
        <v>43455</v>
      </c>
      <c r="E17" t="s">
        <v>473</v>
      </c>
      <c r="F17" t="s">
        <v>466</v>
      </c>
      <c r="G17" t="s">
        <v>11</v>
      </c>
      <c r="H17" s="3">
        <v>-15.14</v>
      </c>
      <c r="I17" s="36">
        <f>IF(Log_2018[[#This Row],[My Category]]="NONTRACKED",0,Log_2018[[#This Row],[Raw Amount]])</f>
        <v>-15.14</v>
      </c>
      <c r="J17" s="17">
        <f>ABS(Log_2018[[#This Row],[Amount]])</f>
        <v>15.14</v>
      </c>
      <c r="K17" s="66">
        <v>1</v>
      </c>
      <c r="L17" s="66">
        <f ca="1">IF(Log_2018[[#This Row],[Date]]&lt;=TODAY(), MIN(Log_2018[[#This Row],[Split_raw]], TODAY()-Log_2018[[#This Row],[Date]]+1), 0)</f>
        <v>1</v>
      </c>
      <c r="M17" t="s">
        <v>147</v>
      </c>
      <c r="N17" t="s">
        <v>158</v>
      </c>
      <c r="O17" s="50">
        <v>0</v>
      </c>
      <c r="P17" s="52">
        <f ca="1">Log_2018[[#This Row],[Amount]]/Log_2018[[#This Row],[Split_raw]]*MAX(0,MIN(_xlfn.DAYS(EDATE(P$1,1),Log_2018[[#This Row],[Date]]),Log_2018[[#This Row],[Split_apply]])) - SUM($O17:O17)</f>
        <v>0</v>
      </c>
      <c r="Q17" s="52">
        <f ca="1">Log_2018[[#This Row],[Amount]]/Log_2018[[#This Row],[Split_raw]]*MAX(0,MIN(_xlfn.DAYS(EDATE(Q$1,1),Log_2018[[#This Row],[Date]]),Log_2018[[#This Row],[Split_apply]])) - SUM($O17:P17)</f>
        <v>0</v>
      </c>
      <c r="R17" s="52">
        <f ca="1">Log_2018[[#This Row],[Amount]]/Log_2018[[#This Row],[Split_raw]]*MAX(0,MIN(_xlfn.DAYS(EDATE(R$1,1),Log_2018[[#This Row],[Date]]),Log_2018[[#This Row],[Split_apply]])) - SUM($O17:Q17)</f>
        <v>0</v>
      </c>
      <c r="S17" s="52">
        <f ca="1">Log_2018[[#This Row],[Amount]]/Log_2018[[#This Row],[Split_raw]]*MAX(0,MIN(_xlfn.DAYS(EDATE(S$1,1),Log_2018[[#This Row],[Date]]),Log_2018[[#This Row],[Split_apply]])) - SUM($O17:R17)</f>
        <v>0</v>
      </c>
      <c r="T17" s="52">
        <f ca="1">Log_2018[[#This Row],[Amount]]/Log_2018[[#This Row],[Split_raw]]*MAX(0,MIN(_xlfn.DAYS(EDATE(T$1,1),Log_2018[[#This Row],[Date]]),Log_2018[[#This Row],[Split_apply]])) - SUM($O17:S17)</f>
        <v>0</v>
      </c>
      <c r="U17" s="52">
        <f ca="1">Log_2018[[#This Row],[Amount]]/Log_2018[[#This Row],[Split_raw]]*MAX(0,MIN(_xlfn.DAYS(EDATE(U$1,1),Log_2018[[#This Row],[Date]]),Log_2018[[#This Row],[Split_apply]])) - SUM($O17:T17)</f>
        <v>0</v>
      </c>
      <c r="V17" s="52">
        <f ca="1">Log_2018[[#This Row],[Amount]]/Log_2018[[#This Row],[Split_raw]]*MAX(0,MIN(_xlfn.DAYS(EDATE(V$1,1),Log_2018[[#This Row],[Date]]),Log_2018[[#This Row],[Split_apply]])) - SUM($O17:U17)</f>
        <v>0</v>
      </c>
      <c r="W17" s="52">
        <f ca="1">Log_2018[[#This Row],[Amount]]/Log_2018[[#This Row],[Split_raw]]*MAX(0,MIN(_xlfn.DAYS(EDATE(W$1,1),Log_2018[[#This Row],[Date]]),Log_2018[[#This Row],[Split_apply]])) - SUM($O17:V17)</f>
        <v>0</v>
      </c>
      <c r="X17" s="52">
        <f ca="1">Log_2018[[#This Row],[Amount]]/Log_2018[[#This Row],[Split_raw]]*MAX(0,MIN(_xlfn.DAYS(EDATE(X$1,1),Log_2018[[#This Row],[Date]]),Log_2018[[#This Row],[Split_apply]])) - SUM($O17:W17)</f>
        <v>0</v>
      </c>
      <c r="Y17" s="52">
        <f ca="1">Log_2018[[#This Row],[Amount]]/Log_2018[[#This Row],[Split_raw]]*MAX(0,MIN(_xlfn.DAYS(EDATE(Y$1,1),Log_2018[[#This Row],[Date]]),Log_2018[[#This Row],[Split_apply]])) - SUM($O17:X17)</f>
        <v>0</v>
      </c>
      <c r="Z17" s="52">
        <f ca="1">Log_2018[[#This Row],[Amount]]/Log_2018[[#This Row],[Split_raw]]*MAX(0,MIN(_xlfn.DAYS(EDATE(Z$1,1),Log_2018[[#This Row],[Date]]),Log_2018[[#This Row],[Split_apply]])) - SUM($O17:Y17)</f>
        <v>0</v>
      </c>
      <c r="AA17" s="52">
        <f ca="1">Log_2018[[#This Row],[Amount]]/Log_2018[[#This Row],[Split_raw]]*MAX(0,MIN(_xlfn.DAYS(EDATE(AA$1,1),Log_2018[[#This Row],[Date]]),Log_2018[[#This Row],[Split_apply]])) - SUM($O17:Z17)</f>
        <v>-15.14</v>
      </c>
      <c r="AB17" s="54">
        <f ca="1">Log_2018[[#This Row],[Amount]]-SUM(O17:AA17)</f>
        <v>0</v>
      </c>
      <c r="AC17" s="7">
        <f ca="1">MAX(0,Log_2018[[#This Row],[Split_apply]] - (EDATE(AA$1,1)-Log_2018[[#This Row],[Date]]))</f>
        <v>0</v>
      </c>
    </row>
    <row r="18" spans="1:29" hidden="1" x14ac:dyDescent="0.25">
      <c r="A18" s="115"/>
      <c r="B18" t="s">
        <v>6</v>
      </c>
      <c r="D18" s="39">
        <v>43455</v>
      </c>
      <c r="F18" t="s">
        <v>456</v>
      </c>
      <c r="G18" t="s">
        <v>27</v>
      </c>
      <c r="H18" s="3">
        <v>-23.13</v>
      </c>
      <c r="I18" s="36">
        <f>IF(Log_2018[[#This Row],[My Category]]="NONTRACKED",0,Log_2018[[#This Row],[Raw Amount]])</f>
        <v>-23.13</v>
      </c>
      <c r="J18" s="17">
        <f>ABS(Log_2018[[#This Row],[Amount]])</f>
        <v>23.13</v>
      </c>
      <c r="K18" s="66">
        <v>1</v>
      </c>
      <c r="L18" s="66">
        <f ca="1">IF(Log_2018[[#This Row],[Date]]&lt;=TODAY(), MIN(Log_2018[[#This Row],[Split_raw]], TODAY()-Log_2018[[#This Row],[Date]]+1), 0)</f>
        <v>1</v>
      </c>
      <c r="M18" t="s">
        <v>42</v>
      </c>
      <c r="N18" t="s">
        <v>160</v>
      </c>
      <c r="O18" s="50">
        <v>0</v>
      </c>
      <c r="P18" s="52">
        <f ca="1">Log_2018[[#This Row],[Amount]]/Log_2018[[#This Row],[Split_raw]]*MAX(0,MIN(_xlfn.DAYS(EDATE(P$1,1),Log_2018[[#This Row],[Date]]),Log_2018[[#This Row],[Split_apply]])) - SUM($O18:O18)</f>
        <v>0</v>
      </c>
      <c r="Q18" s="52">
        <f ca="1">Log_2018[[#This Row],[Amount]]/Log_2018[[#This Row],[Split_raw]]*MAX(0,MIN(_xlfn.DAYS(EDATE(Q$1,1),Log_2018[[#This Row],[Date]]),Log_2018[[#This Row],[Split_apply]])) - SUM($O18:P18)</f>
        <v>0</v>
      </c>
      <c r="R18" s="52">
        <f ca="1">Log_2018[[#This Row],[Amount]]/Log_2018[[#This Row],[Split_raw]]*MAX(0,MIN(_xlfn.DAYS(EDATE(R$1,1),Log_2018[[#This Row],[Date]]),Log_2018[[#This Row],[Split_apply]])) - SUM($O18:Q18)</f>
        <v>0</v>
      </c>
      <c r="S18" s="52">
        <f ca="1">Log_2018[[#This Row],[Amount]]/Log_2018[[#This Row],[Split_raw]]*MAX(0,MIN(_xlfn.DAYS(EDATE(S$1,1),Log_2018[[#This Row],[Date]]),Log_2018[[#This Row],[Split_apply]])) - SUM($O18:R18)</f>
        <v>0</v>
      </c>
      <c r="T18" s="52">
        <f ca="1">Log_2018[[#This Row],[Amount]]/Log_2018[[#This Row],[Split_raw]]*MAX(0,MIN(_xlfn.DAYS(EDATE(T$1,1),Log_2018[[#This Row],[Date]]),Log_2018[[#This Row],[Split_apply]])) - SUM($O18:S18)</f>
        <v>0</v>
      </c>
      <c r="U18" s="52">
        <f ca="1">Log_2018[[#This Row],[Amount]]/Log_2018[[#This Row],[Split_raw]]*MAX(0,MIN(_xlfn.DAYS(EDATE(U$1,1),Log_2018[[#This Row],[Date]]),Log_2018[[#This Row],[Split_apply]])) - SUM($O18:T18)</f>
        <v>0</v>
      </c>
      <c r="V18" s="52">
        <f ca="1">Log_2018[[#This Row],[Amount]]/Log_2018[[#This Row],[Split_raw]]*MAX(0,MIN(_xlfn.DAYS(EDATE(V$1,1),Log_2018[[#This Row],[Date]]),Log_2018[[#This Row],[Split_apply]])) - SUM($O18:U18)</f>
        <v>0</v>
      </c>
      <c r="W18" s="52">
        <f ca="1">Log_2018[[#This Row],[Amount]]/Log_2018[[#This Row],[Split_raw]]*MAX(0,MIN(_xlfn.DAYS(EDATE(W$1,1),Log_2018[[#This Row],[Date]]),Log_2018[[#This Row],[Split_apply]])) - SUM($O18:V18)</f>
        <v>0</v>
      </c>
      <c r="X18" s="52">
        <f ca="1">Log_2018[[#This Row],[Amount]]/Log_2018[[#This Row],[Split_raw]]*MAX(0,MIN(_xlfn.DAYS(EDATE(X$1,1),Log_2018[[#This Row],[Date]]),Log_2018[[#This Row],[Split_apply]])) - SUM($O18:W18)</f>
        <v>0</v>
      </c>
      <c r="Y18" s="52">
        <f ca="1">Log_2018[[#This Row],[Amount]]/Log_2018[[#This Row],[Split_raw]]*MAX(0,MIN(_xlfn.DAYS(EDATE(Y$1,1),Log_2018[[#This Row],[Date]]),Log_2018[[#This Row],[Split_apply]])) - SUM($O18:X18)</f>
        <v>0</v>
      </c>
      <c r="Z18" s="52">
        <f ca="1">Log_2018[[#This Row],[Amount]]/Log_2018[[#This Row],[Split_raw]]*MAX(0,MIN(_xlfn.DAYS(EDATE(Z$1,1),Log_2018[[#This Row],[Date]]),Log_2018[[#This Row],[Split_apply]])) - SUM($O18:Y18)</f>
        <v>0</v>
      </c>
      <c r="AA18" s="52">
        <f ca="1">Log_2018[[#This Row],[Amount]]/Log_2018[[#This Row],[Split_raw]]*MAX(0,MIN(_xlfn.DAYS(EDATE(AA$1,1),Log_2018[[#This Row],[Date]]),Log_2018[[#This Row],[Split_apply]])) - SUM($O18:Z18)</f>
        <v>-23.13</v>
      </c>
      <c r="AB18" s="54">
        <f ca="1">Log_2018[[#This Row],[Amount]]-SUM(O18:AA18)</f>
        <v>0</v>
      </c>
      <c r="AC18" s="7">
        <f ca="1">MAX(0,Log_2018[[#This Row],[Split_apply]] - (EDATE(AA$1,1)-Log_2018[[#This Row],[Date]]))</f>
        <v>0</v>
      </c>
    </row>
    <row r="19" spans="1:29" hidden="1" x14ac:dyDescent="0.25">
      <c r="A19" s="115"/>
      <c r="B19" t="s">
        <v>6</v>
      </c>
      <c r="D19" s="39">
        <v>43454</v>
      </c>
      <c r="F19" t="s">
        <v>138</v>
      </c>
      <c r="G19" t="s">
        <v>104</v>
      </c>
      <c r="H19" s="3">
        <v>-383.5</v>
      </c>
      <c r="I19" s="36">
        <f>IF(Log_2018[[#This Row],[My Category]]="NONTRACKED",0,Log_2018[[#This Row],[Raw Amount]])</f>
        <v>-383.5</v>
      </c>
      <c r="J19" s="17">
        <f>ABS(Log_2018[[#This Row],[Amount]])</f>
        <v>383.5</v>
      </c>
      <c r="K19" s="66">
        <v>1</v>
      </c>
      <c r="L19" s="66">
        <f ca="1">IF(Log_2018[[#This Row],[Date]]&lt;=TODAY(), MIN(Log_2018[[#This Row],[Split_raw]], TODAY()-Log_2018[[#This Row],[Date]]+1), 0)</f>
        <v>1</v>
      </c>
      <c r="M19" t="s">
        <v>159</v>
      </c>
      <c r="N19" t="s">
        <v>160</v>
      </c>
      <c r="O19" s="50">
        <v>0</v>
      </c>
      <c r="P19" s="52">
        <f ca="1">Log_2018[[#This Row],[Amount]]/Log_2018[[#This Row],[Split_raw]]*MAX(0,MIN(_xlfn.DAYS(EDATE(P$1,1),Log_2018[[#This Row],[Date]]),Log_2018[[#This Row],[Split_apply]])) - SUM($O19:O19)</f>
        <v>0</v>
      </c>
      <c r="Q19" s="52">
        <f ca="1">Log_2018[[#This Row],[Amount]]/Log_2018[[#This Row],[Split_raw]]*MAX(0,MIN(_xlfn.DAYS(EDATE(Q$1,1),Log_2018[[#This Row],[Date]]),Log_2018[[#This Row],[Split_apply]])) - SUM($O19:P19)</f>
        <v>0</v>
      </c>
      <c r="R19" s="52">
        <f ca="1">Log_2018[[#This Row],[Amount]]/Log_2018[[#This Row],[Split_raw]]*MAX(0,MIN(_xlfn.DAYS(EDATE(R$1,1),Log_2018[[#This Row],[Date]]),Log_2018[[#This Row],[Split_apply]])) - SUM($O19:Q19)</f>
        <v>0</v>
      </c>
      <c r="S19" s="52">
        <f ca="1">Log_2018[[#This Row],[Amount]]/Log_2018[[#This Row],[Split_raw]]*MAX(0,MIN(_xlfn.DAYS(EDATE(S$1,1),Log_2018[[#This Row],[Date]]),Log_2018[[#This Row],[Split_apply]])) - SUM($O19:R19)</f>
        <v>0</v>
      </c>
      <c r="T19" s="52">
        <f ca="1">Log_2018[[#This Row],[Amount]]/Log_2018[[#This Row],[Split_raw]]*MAX(0,MIN(_xlfn.DAYS(EDATE(T$1,1),Log_2018[[#This Row],[Date]]),Log_2018[[#This Row],[Split_apply]])) - SUM($O19:S19)</f>
        <v>0</v>
      </c>
      <c r="U19" s="52">
        <f ca="1">Log_2018[[#This Row],[Amount]]/Log_2018[[#This Row],[Split_raw]]*MAX(0,MIN(_xlfn.DAYS(EDATE(U$1,1),Log_2018[[#This Row],[Date]]),Log_2018[[#This Row],[Split_apply]])) - SUM($O19:T19)</f>
        <v>0</v>
      </c>
      <c r="V19" s="52">
        <f ca="1">Log_2018[[#This Row],[Amount]]/Log_2018[[#This Row],[Split_raw]]*MAX(0,MIN(_xlfn.DAYS(EDATE(V$1,1),Log_2018[[#This Row],[Date]]),Log_2018[[#This Row],[Split_apply]])) - SUM($O19:U19)</f>
        <v>0</v>
      </c>
      <c r="W19" s="52">
        <f ca="1">Log_2018[[#This Row],[Amount]]/Log_2018[[#This Row],[Split_raw]]*MAX(0,MIN(_xlfn.DAYS(EDATE(W$1,1),Log_2018[[#This Row],[Date]]),Log_2018[[#This Row],[Split_apply]])) - SUM($O19:V19)</f>
        <v>0</v>
      </c>
      <c r="X19" s="52">
        <f ca="1">Log_2018[[#This Row],[Amount]]/Log_2018[[#This Row],[Split_raw]]*MAX(0,MIN(_xlfn.DAYS(EDATE(X$1,1),Log_2018[[#This Row],[Date]]),Log_2018[[#This Row],[Split_apply]])) - SUM($O19:W19)</f>
        <v>0</v>
      </c>
      <c r="Y19" s="52">
        <f ca="1">Log_2018[[#This Row],[Amount]]/Log_2018[[#This Row],[Split_raw]]*MAX(0,MIN(_xlfn.DAYS(EDATE(Y$1,1),Log_2018[[#This Row],[Date]]),Log_2018[[#This Row],[Split_apply]])) - SUM($O19:X19)</f>
        <v>0</v>
      </c>
      <c r="Z19" s="52">
        <f ca="1">Log_2018[[#This Row],[Amount]]/Log_2018[[#This Row],[Split_raw]]*MAX(0,MIN(_xlfn.DAYS(EDATE(Z$1,1),Log_2018[[#This Row],[Date]]),Log_2018[[#This Row],[Split_apply]])) - SUM($O19:Y19)</f>
        <v>0</v>
      </c>
      <c r="AA19" s="52">
        <f ca="1">Log_2018[[#This Row],[Amount]]/Log_2018[[#This Row],[Split_raw]]*MAX(0,MIN(_xlfn.DAYS(EDATE(AA$1,1),Log_2018[[#This Row],[Date]]),Log_2018[[#This Row],[Split_apply]])) - SUM($O19:Z19)</f>
        <v>-383.5</v>
      </c>
      <c r="AB19" s="54">
        <f ca="1">Log_2018[[#This Row],[Amount]]-SUM(O19:AA19)</f>
        <v>0</v>
      </c>
      <c r="AC19" s="7">
        <f ca="1">MAX(0,Log_2018[[#This Row],[Split_apply]] - (EDATE(AA$1,1)-Log_2018[[#This Row],[Date]]))</f>
        <v>0</v>
      </c>
    </row>
    <row r="20" spans="1:29" hidden="1" x14ac:dyDescent="0.25">
      <c r="A20" s="115"/>
      <c r="B20" t="s">
        <v>6</v>
      </c>
      <c r="D20" s="39">
        <v>43454</v>
      </c>
      <c r="E20" t="s">
        <v>474</v>
      </c>
      <c r="F20" t="s">
        <v>467</v>
      </c>
      <c r="G20" t="s">
        <v>19</v>
      </c>
      <c r="H20" s="3">
        <v>-40.1</v>
      </c>
      <c r="I20" s="36">
        <f>IF(Log_2018[[#This Row],[My Category]]="NONTRACKED",0,Log_2018[[#This Row],[Raw Amount]])</f>
        <v>-40.1</v>
      </c>
      <c r="J20" s="17">
        <f>ABS(Log_2018[[#This Row],[Amount]])</f>
        <v>40.1</v>
      </c>
      <c r="K20" s="66">
        <v>1</v>
      </c>
      <c r="L20" s="66">
        <f ca="1">IF(Log_2018[[#This Row],[Date]]&lt;=TODAY(), MIN(Log_2018[[#This Row],[Split_raw]], TODAY()-Log_2018[[#This Row],[Date]]+1), 0)</f>
        <v>1</v>
      </c>
      <c r="M20" t="s">
        <v>147</v>
      </c>
      <c r="N20" t="s">
        <v>158</v>
      </c>
      <c r="O20" s="50">
        <v>0</v>
      </c>
      <c r="P20" s="52">
        <f ca="1">Log_2018[[#This Row],[Amount]]/Log_2018[[#This Row],[Split_raw]]*MAX(0,MIN(_xlfn.DAYS(EDATE(P$1,1),Log_2018[[#This Row],[Date]]),Log_2018[[#This Row],[Split_apply]])) - SUM($O20:O20)</f>
        <v>0</v>
      </c>
      <c r="Q20" s="52">
        <f ca="1">Log_2018[[#This Row],[Amount]]/Log_2018[[#This Row],[Split_raw]]*MAX(0,MIN(_xlfn.DAYS(EDATE(Q$1,1),Log_2018[[#This Row],[Date]]),Log_2018[[#This Row],[Split_apply]])) - SUM($O20:P20)</f>
        <v>0</v>
      </c>
      <c r="R20" s="52">
        <f ca="1">Log_2018[[#This Row],[Amount]]/Log_2018[[#This Row],[Split_raw]]*MAX(0,MIN(_xlfn.DAYS(EDATE(R$1,1),Log_2018[[#This Row],[Date]]),Log_2018[[#This Row],[Split_apply]])) - SUM($O20:Q20)</f>
        <v>0</v>
      </c>
      <c r="S20" s="52">
        <f ca="1">Log_2018[[#This Row],[Amount]]/Log_2018[[#This Row],[Split_raw]]*MAX(0,MIN(_xlfn.DAYS(EDATE(S$1,1),Log_2018[[#This Row],[Date]]),Log_2018[[#This Row],[Split_apply]])) - SUM($O20:R20)</f>
        <v>0</v>
      </c>
      <c r="T20" s="52">
        <f ca="1">Log_2018[[#This Row],[Amount]]/Log_2018[[#This Row],[Split_raw]]*MAX(0,MIN(_xlfn.DAYS(EDATE(T$1,1),Log_2018[[#This Row],[Date]]),Log_2018[[#This Row],[Split_apply]])) - SUM($O20:S20)</f>
        <v>0</v>
      </c>
      <c r="U20" s="52">
        <f ca="1">Log_2018[[#This Row],[Amount]]/Log_2018[[#This Row],[Split_raw]]*MAX(0,MIN(_xlfn.DAYS(EDATE(U$1,1),Log_2018[[#This Row],[Date]]),Log_2018[[#This Row],[Split_apply]])) - SUM($O20:T20)</f>
        <v>0</v>
      </c>
      <c r="V20" s="52">
        <f ca="1">Log_2018[[#This Row],[Amount]]/Log_2018[[#This Row],[Split_raw]]*MAX(0,MIN(_xlfn.DAYS(EDATE(V$1,1),Log_2018[[#This Row],[Date]]),Log_2018[[#This Row],[Split_apply]])) - SUM($O20:U20)</f>
        <v>0</v>
      </c>
      <c r="W20" s="52">
        <f ca="1">Log_2018[[#This Row],[Amount]]/Log_2018[[#This Row],[Split_raw]]*MAX(0,MIN(_xlfn.DAYS(EDATE(W$1,1),Log_2018[[#This Row],[Date]]),Log_2018[[#This Row],[Split_apply]])) - SUM($O20:V20)</f>
        <v>0</v>
      </c>
      <c r="X20" s="52">
        <f ca="1">Log_2018[[#This Row],[Amount]]/Log_2018[[#This Row],[Split_raw]]*MAX(0,MIN(_xlfn.DAYS(EDATE(X$1,1),Log_2018[[#This Row],[Date]]),Log_2018[[#This Row],[Split_apply]])) - SUM($O20:W20)</f>
        <v>0</v>
      </c>
      <c r="Y20" s="52">
        <f ca="1">Log_2018[[#This Row],[Amount]]/Log_2018[[#This Row],[Split_raw]]*MAX(0,MIN(_xlfn.DAYS(EDATE(Y$1,1),Log_2018[[#This Row],[Date]]),Log_2018[[#This Row],[Split_apply]])) - SUM($O20:X20)</f>
        <v>0</v>
      </c>
      <c r="Z20" s="52">
        <f ca="1">Log_2018[[#This Row],[Amount]]/Log_2018[[#This Row],[Split_raw]]*MAX(0,MIN(_xlfn.DAYS(EDATE(Z$1,1),Log_2018[[#This Row],[Date]]),Log_2018[[#This Row],[Split_apply]])) - SUM($O20:Y20)</f>
        <v>0</v>
      </c>
      <c r="AA20" s="52">
        <f ca="1">Log_2018[[#This Row],[Amount]]/Log_2018[[#This Row],[Split_raw]]*MAX(0,MIN(_xlfn.DAYS(EDATE(AA$1,1),Log_2018[[#This Row],[Date]]),Log_2018[[#This Row],[Split_apply]])) - SUM($O20:Z20)</f>
        <v>-40.1</v>
      </c>
      <c r="AB20" s="54">
        <f ca="1">Log_2018[[#This Row],[Amount]]-SUM(O20:AA20)</f>
        <v>0</v>
      </c>
      <c r="AC20" s="7">
        <f ca="1">MAX(0,Log_2018[[#This Row],[Split_apply]] - (EDATE(AA$1,1)-Log_2018[[#This Row],[Date]]))</f>
        <v>0</v>
      </c>
    </row>
    <row r="21" spans="1:29" hidden="1" x14ac:dyDescent="0.25">
      <c r="A21" s="115"/>
      <c r="B21" t="s">
        <v>6</v>
      </c>
      <c r="D21" s="26">
        <v>43454</v>
      </c>
      <c r="F21" t="s">
        <v>105</v>
      </c>
      <c r="G21" t="s">
        <v>104</v>
      </c>
      <c r="H21" s="3">
        <f>--383.5</f>
        <v>383.5</v>
      </c>
      <c r="I21" s="36">
        <f>IF(Log_2018[[#This Row],[My Category]]="NONTRACKED",0,Log_2018[[#This Row],[Raw Amount]])</f>
        <v>383.5</v>
      </c>
      <c r="J21" s="17">
        <f>ABS(Log_2018[[#This Row],[Amount]])</f>
        <v>383.5</v>
      </c>
      <c r="K21" s="66">
        <v>1</v>
      </c>
      <c r="L21" s="66">
        <f ca="1">IF(Log_2018[[#This Row],[Date]]&lt;=TODAY(), MIN(Log_2018[[#This Row],[Split_raw]], TODAY()-Log_2018[[#This Row],[Date]]+1), 0)</f>
        <v>1</v>
      </c>
      <c r="M21" t="s">
        <v>159</v>
      </c>
      <c r="N21" t="s">
        <v>158</v>
      </c>
      <c r="O21" s="50">
        <v>0</v>
      </c>
      <c r="P21" s="52">
        <f ca="1">Log_2018[[#This Row],[Amount]]/Log_2018[[#This Row],[Split_raw]]*MAX(0,MIN(_xlfn.DAYS(EDATE(P$1,1),Log_2018[[#This Row],[Date]]),Log_2018[[#This Row],[Split_apply]])) - SUM($O21:O21)</f>
        <v>0</v>
      </c>
      <c r="Q21" s="52">
        <f ca="1">Log_2018[[#This Row],[Amount]]/Log_2018[[#This Row],[Split_raw]]*MAX(0,MIN(_xlfn.DAYS(EDATE(Q$1,1),Log_2018[[#This Row],[Date]]),Log_2018[[#This Row],[Split_apply]])) - SUM($O21:P21)</f>
        <v>0</v>
      </c>
      <c r="R21" s="52">
        <f ca="1">Log_2018[[#This Row],[Amount]]/Log_2018[[#This Row],[Split_raw]]*MAX(0,MIN(_xlfn.DAYS(EDATE(R$1,1),Log_2018[[#This Row],[Date]]),Log_2018[[#This Row],[Split_apply]])) - SUM($O21:Q21)</f>
        <v>0</v>
      </c>
      <c r="S21" s="52">
        <f ca="1">Log_2018[[#This Row],[Amount]]/Log_2018[[#This Row],[Split_raw]]*MAX(0,MIN(_xlfn.DAYS(EDATE(S$1,1),Log_2018[[#This Row],[Date]]),Log_2018[[#This Row],[Split_apply]])) - SUM($O21:R21)</f>
        <v>0</v>
      </c>
      <c r="T21" s="52">
        <f ca="1">Log_2018[[#This Row],[Amount]]/Log_2018[[#This Row],[Split_raw]]*MAX(0,MIN(_xlfn.DAYS(EDATE(T$1,1),Log_2018[[#This Row],[Date]]),Log_2018[[#This Row],[Split_apply]])) - SUM($O21:S21)</f>
        <v>0</v>
      </c>
      <c r="U21" s="52">
        <f ca="1">Log_2018[[#This Row],[Amount]]/Log_2018[[#This Row],[Split_raw]]*MAX(0,MIN(_xlfn.DAYS(EDATE(U$1,1),Log_2018[[#This Row],[Date]]),Log_2018[[#This Row],[Split_apply]])) - SUM($O21:T21)</f>
        <v>0</v>
      </c>
      <c r="V21" s="52">
        <f ca="1">Log_2018[[#This Row],[Amount]]/Log_2018[[#This Row],[Split_raw]]*MAX(0,MIN(_xlfn.DAYS(EDATE(V$1,1),Log_2018[[#This Row],[Date]]),Log_2018[[#This Row],[Split_apply]])) - SUM($O21:U21)</f>
        <v>0</v>
      </c>
      <c r="W21" s="52">
        <f ca="1">Log_2018[[#This Row],[Amount]]/Log_2018[[#This Row],[Split_raw]]*MAX(0,MIN(_xlfn.DAYS(EDATE(W$1,1),Log_2018[[#This Row],[Date]]),Log_2018[[#This Row],[Split_apply]])) - SUM($O21:V21)</f>
        <v>0</v>
      </c>
      <c r="X21" s="52">
        <f ca="1">Log_2018[[#This Row],[Amount]]/Log_2018[[#This Row],[Split_raw]]*MAX(0,MIN(_xlfn.DAYS(EDATE(X$1,1),Log_2018[[#This Row],[Date]]),Log_2018[[#This Row],[Split_apply]])) - SUM($O21:W21)</f>
        <v>0</v>
      </c>
      <c r="Y21" s="52">
        <f ca="1">Log_2018[[#This Row],[Amount]]/Log_2018[[#This Row],[Split_raw]]*MAX(0,MIN(_xlfn.DAYS(EDATE(Y$1,1),Log_2018[[#This Row],[Date]]),Log_2018[[#This Row],[Split_apply]])) - SUM($O21:X21)</f>
        <v>0</v>
      </c>
      <c r="Z21" s="52">
        <f ca="1">Log_2018[[#This Row],[Amount]]/Log_2018[[#This Row],[Split_raw]]*MAX(0,MIN(_xlfn.DAYS(EDATE(Z$1,1),Log_2018[[#This Row],[Date]]),Log_2018[[#This Row],[Split_apply]])) - SUM($O21:Y21)</f>
        <v>0</v>
      </c>
      <c r="AA21" s="52">
        <f ca="1">Log_2018[[#This Row],[Amount]]/Log_2018[[#This Row],[Split_raw]]*MAX(0,MIN(_xlfn.DAYS(EDATE(AA$1,1),Log_2018[[#This Row],[Date]]),Log_2018[[#This Row],[Split_apply]])) - SUM($O21:Z21)</f>
        <v>383.5</v>
      </c>
      <c r="AB21" s="54">
        <f ca="1">Log_2018[[#This Row],[Amount]]-SUM(O21:AA21)</f>
        <v>0</v>
      </c>
      <c r="AC21" s="7">
        <f ca="1">MAX(0,Log_2018[[#This Row],[Split_apply]] - (EDATE(AA$1,1)-Log_2018[[#This Row],[Date]]))</f>
        <v>0</v>
      </c>
    </row>
    <row r="22" spans="1:29" hidden="1" x14ac:dyDescent="0.25">
      <c r="A22" s="115"/>
      <c r="B22" t="s">
        <v>6</v>
      </c>
      <c r="D22" s="26">
        <v>43454</v>
      </c>
      <c r="F22" t="s">
        <v>468</v>
      </c>
      <c r="G22" t="s">
        <v>25</v>
      </c>
      <c r="H22" s="3">
        <v>-10.81</v>
      </c>
      <c r="I22" s="36">
        <f>IF(Log_2018[[#This Row],[My Category]]="NONTRACKED",0,Log_2018[[#This Row],[Raw Amount]])</f>
        <v>-10.81</v>
      </c>
      <c r="J22" s="17">
        <f>ABS(Log_2018[[#This Row],[Amount]])</f>
        <v>10.81</v>
      </c>
      <c r="K22" s="66">
        <v>1</v>
      </c>
      <c r="L22" s="66">
        <f ca="1">IF(Log_2018[[#This Row],[Date]]&lt;=TODAY(), MIN(Log_2018[[#This Row],[Split_raw]], TODAY()-Log_2018[[#This Row],[Date]]+1), 0)</f>
        <v>1</v>
      </c>
      <c r="M22" t="s">
        <v>41</v>
      </c>
      <c r="N22" t="s">
        <v>158</v>
      </c>
      <c r="O22" s="50">
        <v>0</v>
      </c>
      <c r="P22" s="52">
        <f ca="1">Log_2018[[#This Row],[Amount]]/Log_2018[[#This Row],[Split_raw]]*MAX(0,MIN(_xlfn.DAYS(EDATE(P$1,1),Log_2018[[#This Row],[Date]]),Log_2018[[#This Row],[Split_apply]])) - SUM($O22:O22)</f>
        <v>0</v>
      </c>
      <c r="Q22" s="52">
        <f ca="1">Log_2018[[#This Row],[Amount]]/Log_2018[[#This Row],[Split_raw]]*MAX(0,MIN(_xlfn.DAYS(EDATE(Q$1,1),Log_2018[[#This Row],[Date]]),Log_2018[[#This Row],[Split_apply]])) - SUM($O22:P22)</f>
        <v>0</v>
      </c>
      <c r="R22" s="52">
        <f ca="1">Log_2018[[#This Row],[Amount]]/Log_2018[[#This Row],[Split_raw]]*MAX(0,MIN(_xlfn.DAYS(EDATE(R$1,1),Log_2018[[#This Row],[Date]]),Log_2018[[#This Row],[Split_apply]])) - SUM($O22:Q22)</f>
        <v>0</v>
      </c>
      <c r="S22" s="52">
        <f ca="1">Log_2018[[#This Row],[Amount]]/Log_2018[[#This Row],[Split_raw]]*MAX(0,MIN(_xlfn.DAYS(EDATE(S$1,1),Log_2018[[#This Row],[Date]]),Log_2018[[#This Row],[Split_apply]])) - SUM($O22:R22)</f>
        <v>0</v>
      </c>
      <c r="T22" s="52">
        <f ca="1">Log_2018[[#This Row],[Amount]]/Log_2018[[#This Row],[Split_raw]]*MAX(0,MIN(_xlfn.DAYS(EDATE(T$1,1),Log_2018[[#This Row],[Date]]),Log_2018[[#This Row],[Split_apply]])) - SUM($O22:S22)</f>
        <v>0</v>
      </c>
      <c r="U22" s="52">
        <f ca="1">Log_2018[[#This Row],[Amount]]/Log_2018[[#This Row],[Split_raw]]*MAX(0,MIN(_xlfn.DAYS(EDATE(U$1,1),Log_2018[[#This Row],[Date]]),Log_2018[[#This Row],[Split_apply]])) - SUM($O22:T22)</f>
        <v>0</v>
      </c>
      <c r="V22" s="52">
        <f ca="1">Log_2018[[#This Row],[Amount]]/Log_2018[[#This Row],[Split_raw]]*MAX(0,MIN(_xlfn.DAYS(EDATE(V$1,1),Log_2018[[#This Row],[Date]]),Log_2018[[#This Row],[Split_apply]])) - SUM($O22:U22)</f>
        <v>0</v>
      </c>
      <c r="W22" s="52">
        <f ca="1">Log_2018[[#This Row],[Amount]]/Log_2018[[#This Row],[Split_raw]]*MAX(0,MIN(_xlfn.DAYS(EDATE(W$1,1),Log_2018[[#This Row],[Date]]),Log_2018[[#This Row],[Split_apply]])) - SUM($O22:V22)</f>
        <v>0</v>
      </c>
      <c r="X22" s="52">
        <f ca="1">Log_2018[[#This Row],[Amount]]/Log_2018[[#This Row],[Split_raw]]*MAX(0,MIN(_xlfn.DAYS(EDATE(X$1,1),Log_2018[[#This Row],[Date]]),Log_2018[[#This Row],[Split_apply]])) - SUM($O22:W22)</f>
        <v>0</v>
      </c>
      <c r="Y22" s="52">
        <f ca="1">Log_2018[[#This Row],[Amount]]/Log_2018[[#This Row],[Split_raw]]*MAX(0,MIN(_xlfn.DAYS(EDATE(Y$1,1),Log_2018[[#This Row],[Date]]),Log_2018[[#This Row],[Split_apply]])) - SUM($O22:X22)</f>
        <v>0</v>
      </c>
      <c r="Z22" s="52">
        <f ca="1">Log_2018[[#This Row],[Amount]]/Log_2018[[#This Row],[Split_raw]]*MAX(0,MIN(_xlfn.DAYS(EDATE(Z$1,1),Log_2018[[#This Row],[Date]]),Log_2018[[#This Row],[Split_apply]])) - SUM($O22:Y22)</f>
        <v>0</v>
      </c>
      <c r="AA22" s="52">
        <f ca="1">Log_2018[[#This Row],[Amount]]/Log_2018[[#This Row],[Split_raw]]*MAX(0,MIN(_xlfn.DAYS(EDATE(AA$1,1),Log_2018[[#This Row],[Date]]),Log_2018[[#This Row],[Split_apply]])) - SUM($O22:Z22)</f>
        <v>-10.81</v>
      </c>
      <c r="AB22" s="54">
        <f ca="1">Log_2018[[#This Row],[Amount]]-SUM(O22:AA22)</f>
        <v>0</v>
      </c>
      <c r="AC22" s="7">
        <f ca="1">MAX(0,Log_2018[[#This Row],[Split_apply]] - (EDATE(AA$1,1)-Log_2018[[#This Row],[Date]]))</f>
        <v>0</v>
      </c>
    </row>
    <row r="23" spans="1:29" hidden="1" x14ac:dyDescent="0.25">
      <c r="A23" s="115"/>
      <c r="B23" t="s">
        <v>6</v>
      </c>
      <c r="D23" s="26">
        <v>43454</v>
      </c>
      <c r="F23" t="s">
        <v>177</v>
      </c>
      <c r="G23" t="s">
        <v>87</v>
      </c>
      <c r="H23" s="3">
        <f>--1886.53</f>
        <v>1886.53</v>
      </c>
      <c r="I23" s="36">
        <f>IF(Log_2018[[#This Row],[My Category]]="NONTRACKED",0,Log_2018[[#This Row],[Raw Amount]])</f>
        <v>1886.53</v>
      </c>
      <c r="J23" s="17">
        <f>ABS(Log_2018[[#This Row],[Amount]])</f>
        <v>1886.53</v>
      </c>
      <c r="K23" s="66">
        <v>14</v>
      </c>
      <c r="L23" s="66">
        <f ca="1">IF(Log_2018[[#This Row],[Date]]&lt;=TODAY(), MIN(Log_2018[[#This Row],[Split_raw]], TODAY()-Log_2018[[#This Row],[Date]]+1), 0)</f>
        <v>14</v>
      </c>
      <c r="M23" t="s">
        <v>91</v>
      </c>
      <c r="N23" t="s">
        <v>160</v>
      </c>
      <c r="O23" s="50">
        <v>0</v>
      </c>
      <c r="P23" s="52">
        <f ca="1">Log_2018[[#This Row],[Amount]]/Log_2018[[#This Row],[Split_raw]]*MAX(0,MIN(_xlfn.DAYS(EDATE(P$1,1),Log_2018[[#This Row],[Date]]),Log_2018[[#This Row],[Split_apply]])) - SUM($O23:O23)</f>
        <v>0</v>
      </c>
      <c r="Q23" s="52">
        <f ca="1">Log_2018[[#This Row],[Amount]]/Log_2018[[#This Row],[Split_raw]]*MAX(0,MIN(_xlfn.DAYS(EDATE(Q$1,1),Log_2018[[#This Row],[Date]]),Log_2018[[#This Row],[Split_apply]])) - SUM($O23:P23)</f>
        <v>0</v>
      </c>
      <c r="R23" s="52">
        <f ca="1">Log_2018[[#This Row],[Amount]]/Log_2018[[#This Row],[Split_raw]]*MAX(0,MIN(_xlfn.DAYS(EDATE(R$1,1),Log_2018[[#This Row],[Date]]),Log_2018[[#This Row],[Split_apply]])) - SUM($O23:Q23)</f>
        <v>0</v>
      </c>
      <c r="S23" s="52">
        <f ca="1">Log_2018[[#This Row],[Amount]]/Log_2018[[#This Row],[Split_raw]]*MAX(0,MIN(_xlfn.DAYS(EDATE(S$1,1),Log_2018[[#This Row],[Date]]),Log_2018[[#This Row],[Split_apply]])) - SUM($O23:R23)</f>
        <v>0</v>
      </c>
      <c r="T23" s="52">
        <f ca="1">Log_2018[[#This Row],[Amount]]/Log_2018[[#This Row],[Split_raw]]*MAX(0,MIN(_xlfn.DAYS(EDATE(T$1,1),Log_2018[[#This Row],[Date]]),Log_2018[[#This Row],[Split_apply]])) - SUM($O23:S23)</f>
        <v>0</v>
      </c>
      <c r="U23" s="52">
        <f ca="1">Log_2018[[#This Row],[Amount]]/Log_2018[[#This Row],[Split_raw]]*MAX(0,MIN(_xlfn.DAYS(EDATE(U$1,1),Log_2018[[#This Row],[Date]]),Log_2018[[#This Row],[Split_apply]])) - SUM($O23:T23)</f>
        <v>0</v>
      </c>
      <c r="V23" s="52">
        <f ca="1">Log_2018[[#This Row],[Amount]]/Log_2018[[#This Row],[Split_raw]]*MAX(0,MIN(_xlfn.DAYS(EDATE(V$1,1),Log_2018[[#This Row],[Date]]),Log_2018[[#This Row],[Split_apply]])) - SUM($O23:U23)</f>
        <v>0</v>
      </c>
      <c r="W23" s="52">
        <f ca="1">Log_2018[[#This Row],[Amount]]/Log_2018[[#This Row],[Split_raw]]*MAX(0,MIN(_xlfn.DAYS(EDATE(W$1,1),Log_2018[[#This Row],[Date]]),Log_2018[[#This Row],[Split_apply]])) - SUM($O23:V23)</f>
        <v>0</v>
      </c>
      <c r="X23" s="52">
        <f ca="1">Log_2018[[#This Row],[Amount]]/Log_2018[[#This Row],[Split_raw]]*MAX(0,MIN(_xlfn.DAYS(EDATE(X$1,1),Log_2018[[#This Row],[Date]]),Log_2018[[#This Row],[Split_apply]])) - SUM($O23:W23)</f>
        <v>0</v>
      </c>
      <c r="Y23" s="52">
        <f ca="1">Log_2018[[#This Row],[Amount]]/Log_2018[[#This Row],[Split_raw]]*MAX(0,MIN(_xlfn.DAYS(EDATE(Y$1,1),Log_2018[[#This Row],[Date]]),Log_2018[[#This Row],[Split_apply]])) - SUM($O23:X23)</f>
        <v>0</v>
      </c>
      <c r="Z23" s="52">
        <f ca="1">Log_2018[[#This Row],[Amount]]/Log_2018[[#This Row],[Split_raw]]*MAX(0,MIN(_xlfn.DAYS(EDATE(Z$1,1),Log_2018[[#This Row],[Date]]),Log_2018[[#This Row],[Split_apply]])) - SUM($O23:Y23)</f>
        <v>0</v>
      </c>
      <c r="AA23" s="52">
        <f ca="1">Log_2018[[#This Row],[Amount]]/Log_2018[[#This Row],[Split_raw]]*MAX(0,MIN(_xlfn.DAYS(EDATE(AA$1,1),Log_2018[[#This Row],[Date]]),Log_2018[[#This Row],[Split_apply]])) - SUM($O23:Z23)</f>
        <v>1617.025714285714</v>
      </c>
      <c r="AB23" s="54">
        <f ca="1">Log_2018[[#This Row],[Amount]]-SUM(O23:AA23)</f>
        <v>269.50428571428597</v>
      </c>
      <c r="AC23" s="7">
        <f ca="1">MAX(0,Log_2018[[#This Row],[Split_apply]] - (EDATE(AA$1,1)-Log_2018[[#This Row],[Date]]))</f>
        <v>2</v>
      </c>
    </row>
    <row r="24" spans="1:29" hidden="1" x14ac:dyDescent="0.25">
      <c r="A24" s="115"/>
      <c r="B24" t="s">
        <v>6</v>
      </c>
      <c r="D24" s="26">
        <v>43453</v>
      </c>
      <c r="F24" t="s">
        <v>327</v>
      </c>
      <c r="G24" t="s">
        <v>25</v>
      </c>
      <c r="H24" s="3">
        <v>-30</v>
      </c>
      <c r="I24" s="36">
        <f>IF(Log_2018[[#This Row],[My Category]]="NONTRACKED",0,Log_2018[[#This Row],[Raw Amount]])</f>
        <v>-30</v>
      </c>
      <c r="J24" s="17">
        <f>ABS(Log_2018[[#This Row],[Amount]])</f>
        <v>30</v>
      </c>
      <c r="K24" s="66">
        <v>1</v>
      </c>
      <c r="L24" s="66">
        <f ca="1">IF(Log_2018[[#This Row],[Date]]&lt;=TODAY(), MIN(Log_2018[[#This Row],[Split_raw]], TODAY()-Log_2018[[#This Row],[Date]]+1), 0)</f>
        <v>1</v>
      </c>
      <c r="M24" t="s">
        <v>35</v>
      </c>
      <c r="N24" t="s">
        <v>158</v>
      </c>
      <c r="O24" s="50">
        <v>0</v>
      </c>
      <c r="P24" s="52">
        <f ca="1">Log_2018[[#This Row],[Amount]]/Log_2018[[#This Row],[Split_raw]]*MAX(0,MIN(_xlfn.DAYS(EDATE(P$1,1),Log_2018[[#This Row],[Date]]),Log_2018[[#This Row],[Split_apply]])) - SUM($O24:O24)</f>
        <v>0</v>
      </c>
      <c r="Q24" s="52">
        <f ca="1">Log_2018[[#This Row],[Amount]]/Log_2018[[#This Row],[Split_raw]]*MAX(0,MIN(_xlfn.DAYS(EDATE(Q$1,1),Log_2018[[#This Row],[Date]]),Log_2018[[#This Row],[Split_apply]])) - SUM($O24:P24)</f>
        <v>0</v>
      </c>
      <c r="R24" s="52">
        <f ca="1">Log_2018[[#This Row],[Amount]]/Log_2018[[#This Row],[Split_raw]]*MAX(0,MIN(_xlfn.DAYS(EDATE(R$1,1),Log_2018[[#This Row],[Date]]),Log_2018[[#This Row],[Split_apply]])) - SUM($O24:Q24)</f>
        <v>0</v>
      </c>
      <c r="S24" s="52">
        <f ca="1">Log_2018[[#This Row],[Amount]]/Log_2018[[#This Row],[Split_raw]]*MAX(0,MIN(_xlfn.DAYS(EDATE(S$1,1),Log_2018[[#This Row],[Date]]),Log_2018[[#This Row],[Split_apply]])) - SUM($O24:R24)</f>
        <v>0</v>
      </c>
      <c r="T24" s="52">
        <f ca="1">Log_2018[[#This Row],[Amount]]/Log_2018[[#This Row],[Split_raw]]*MAX(0,MIN(_xlfn.DAYS(EDATE(T$1,1),Log_2018[[#This Row],[Date]]),Log_2018[[#This Row],[Split_apply]])) - SUM($O24:S24)</f>
        <v>0</v>
      </c>
      <c r="U24" s="52">
        <f ca="1">Log_2018[[#This Row],[Amount]]/Log_2018[[#This Row],[Split_raw]]*MAX(0,MIN(_xlfn.DAYS(EDATE(U$1,1),Log_2018[[#This Row],[Date]]),Log_2018[[#This Row],[Split_apply]])) - SUM($O24:T24)</f>
        <v>0</v>
      </c>
      <c r="V24" s="52">
        <f ca="1">Log_2018[[#This Row],[Amount]]/Log_2018[[#This Row],[Split_raw]]*MAX(0,MIN(_xlfn.DAYS(EDATE(V$1,1),Log_2018[[#This Row],[Date]]),Log_2018[[#This Row],[Split_apply]])) - SUM($O24:U24)</f>
        <v>0</v>
      </c>
      <c r="W24" s="52">
        <f ca="1">Log_2018[[#This Row],[Amount]]/Log_2018[[#This Row],[Split_raw]]*MAX(0,MIN(_xlfn.DAYS(EDATE(W$1,1),Log_2018[[#This Row],[Date]]),Log_2018[[#This Row],[Split_apply]])) - SUM($O24:V24)</f>
        <v>0</v>
      </c>
      <c r="X24" s="52">
        <f ca="1">Log_2018[[#This Row],[Amount]]/Log_2018[[#This Row],[Split_raw]]*MAX(0,MIN(_xlfn.DAYS(EDATE(X$1,1),Log_2018[[#This Row],[Date]]),Log_2018[[#This Row],[Split_apply]])) - SUM($O24:W24)</f>
        <v>0</v>
      </c>
      <c r="Y24" s="52">
        <f ca="1">Log_2018[[#This Row],[Amount]]/Log_2018[[#This Row],[Split_raw]]*MAX(0,MIN(_xlfn.DAYS(EDATE(Y$1,1),Log_2018[[#This Row],[Date]]),Log_2018[[#This Row],[Split_apply]])) - SUM($O24:X24)</f>
        <v>0</v>
      </c>
      <c r="Z24" s="52">
        <f ca="1">Log_2018[[#This Row],[Amount]]/Log_2018[[#This Row],[Split_raw]]*MAX(0,MIN(_xlfn.DAYS(EDATE(Z$1,1),Log_2018[[#This Row],[Date]]),Log_2018[[#This Row],[Split_apply]])) - SUM($O24:Y24)</f>
        <v>0</v>
      </c>
      <c r="AA24" s="52">
        <f ca="1">Log_2018[[#This Row],[Amount]]/Log_2018[[#This Row],[Split_raw]]*MAX(0,MIN(_xlfn.DAYS(EDATE(AA$1,1),Log_2018[[#This Row],[Date]]),Log_2018[[#This Row],[Split_apply]])) - SUM($O24:Z24)</f>
        <v>-30</v>
      </c>
      <c r="AB24" s="54">
        <f ca="1">Log_2018[[#This Row],[Amount]]-SUM(O24:AA24)</f>
        <v>0</v>
      </c>
      <c r="AC24" s="7">
        <f ca="1">MAX(0,Log_2018[[#This Row],[Split_apply]] - (EDATE(AA$1,1)-Log_2018[[#This Row],[Date]]))</f>
        <v>0</v>
      </c>
    </row>
    <row r="25" spans="1:29" hidden="1" x14ac:dyDescent="0.25">
      <c r="A25" s="115"/>
      <c r="B25" t="s">
        <v>6</v>
      </c>
      <c r="D25" s="26">
        <v>43453</v>
      </c>
      <c r="F25" t="s">
        <v>255</v>
      </c>
      <c r="G25" t="s">
        <v>25</v>
      </c>
      <c r="H25" s="3">
        <v>-7.63</v>
      </c>
      <c r="I25" s="36">
        <f>IF(Log_2018[[#This Row],[My Category]]="NONTRACKED",0,Log_2018[[#This Row],[Raw Amount]])</f>
        <v>-7.63</v>
      </c>
      <c r="J25" s="17">
        <f>ABS(Log_2018[[#This Row],[Amount]])</f>
        <v>7.63</v>
      </c>
      <c r="K25" s="66">
        <v>1</v>
      </c>
      <c r="L25" s="66">
        <f ca="1">IF(Log_2018[[#This Row],[Date]]&lt;=TODAY(), MIN(Log_2018[[#This Row],[Split_raw]], TODAY()-Log_2018[[#This Row],[Date]]+1), 0)</f>
        <v>1</v>
      </c>
      <c r="M25" t="s">
        <v>35</v>
      </c>
      <c r="N25" t="s">
        <v>158</v>
      </c>
      <c r="O25" s="50">
        <v>0</v>
      </c>
      <c r="P25" s="52">
        <f ca="1">Log_2018[[#This Row],[Amount]]/Log_2018[[#This Row],[Split_raw]]*MAX(0,MIN(_xlfn.DAYS(EDATE(P$1,1),Log_2018[[#This Row],[Date]]),Log_2018[[#This Row],[Split_apply]])) - SUM($O25:O25)</f>
        <v>0</v>
      </c>
      <c r="Q25" s="52">
        <f ca="1">Log_2018[[#This Row],[Amount]]/Log_2018[[#This Row],[Split_raw]]*MAX(0,MIN(_xlfn.DAYS(EDATE(Q$1,1),Log_2018[[#This Row],[Date]]),Log_2018[[#This Row],[Split_apply]])) - SUM($O25:P25)</f>
        <v>0</v>
      </c>
      <c r="R25" s="52">
        <f ca="1">Log_2018[[#This Row],[Amount]]/Log_2018[[#This Row],[Split_raw]]*MAX(0,MIN(_xlfn.DAYS(EDATE(R$1,1),Log_2018[[#This Row],[Date]]),Log_2018[[#This Row],[Split_apply]])) - SUM($O25:Q25)</f>
        <v>0</v>
      </c>
      <c r="S25" s="52">
        <f ca="1">Log_2018[[#This Row],[Amount]]/Log_2018[[#This Row],[Split_raw]]*MAX(0,MIN(_xlfn.DAYS(EDATE(S$1,1),Log_2018[[#This Row],[Date]]),Log_2018[[#This Row],[Split_apply]])) - SUM($O25:R25)</f>
        <v>0</v>
      </c>
      <c r="T25" s="52">
        <f ca="1">Log_2018[[#This Row],[Amount]]/Log_2018[[#This Row],[Split_raw]]*MAX(0,MIN(_xlfn.DAYS(EDATE(T$1,1),Log_2018[[#This Row],[Date]]),Log_2018[[#This Row],[Split_apply]])) - SUM($O25:S25)</f>
        <v>0</v>
      </c>
      <c r="U25" s="52">
        <f ca="1">Log_2018[[#This Row],[Amount]]/Log_2018[[#This Row],[Split_raw]]*MAX(0,MIN(_xlfn.DAYS(EDATE(U$1,1),Log_2018[[#This Row],[Date]]),Log_2018[[#This Row],[Split_apply]])) - SUM($O25:T25)</f>
        <v>0</v>
      </c>
      <c r="V25" s="52">
        <f ca="1">Log_2018[[#This Row],[Amount]]/Log_2018[[#This Row],[Split_raw]]*MAX(0,MIN(_xlfn.DAYS(EDATE(V$1,1),Log_2018[[#This Row],[Date]]),Log_2018[[#This Row],[Split_apply]])) - SUM($O25:U25)</f>
        <v>0</v>
      </c>
      <c r="W25" s="52">
        <f ca="1">Log_2018[[#This Row],[Amount]]/Log_2018[[#This Row],[Split_raw]]*MAX(0,MIN(_xlfn.DAYS(EDATE(W$1,1),Log_2018[[#This Row],[Date]]),Log_2018[[#This Row],[Split_apply]])) - SUM($O25:V25)</f>
        <v>0</v>
      </c>
      <c r="X25" s="52">
        <f ca="1">Log_2018[[#This Row],[Amount]]/Log_2018[[#This Row],[Split_raw]]*MAX(0,MIN(_xlfn.DAYS(EDATE(X$1,1),Log_2018[[#This Row],[Date]]),Log_2018[[#This Row],[Split_apply]])) - SUM($O25:W25)</f>
        <v>0</v>
      </c>
      <c r="Y25" s="52">
        <f ca="1">Log_2018[[#This Row],[Amount]]/Log_2018[[#This Row],[Split_raw]]*MAX(0,MIN(_xlfn.DAYS(EDATE(Y$1,1),Log_2018[[#This Row],[Date]]),Log_2018[[#This Row],[Split_apply]])) - SUM($O25:X25)</f>
        <v>0</v>
      </c>
      <c r="Z25" s="52">
        <f ca="1">Log_2018[[#This Row],[Amount]]/Log_2018[[#This Row],[Split_raw]]*MAX(0,MIN(_xlfn.DAYS(EDATE(Z$1,1),Log_2018[[#This Row],[Date]]),Log_2018[[#This Row],[Split_apply]])) - SUM($O25:Y25)</f>
        <v>0</v>
      </c>
      <c r="AA25" s="52">
        <f ca="1">Log_2018[[#This Row],[Amount]]/Log_2018[[#This Row],[Split_raw]]*MAX(0,MIN(_xlfn.DAYS(EDATE(AA$1,1),Log_2018[[#This Row],[Date]]),Log_2018[[#This Row],[Split_apply]])) - SUM($O25:Z25)</f>
        <v>-7.63</v>
      </c>
      <c r="AB25" s="54">
        <f ca="1">Log_2018[[#This Row],[Amount]]-SUM(O25:AA25)</f>
        <v>0</v>
      </c>
      <c r="AC25" s="7">
        <f ca="1">MAX(0,Log_2018[[#This Row],[Split_apply]] - (EDATE(AA$1,1)-Log_2018[[#This Row],[Date]]))</f>
        <v>0</v>
      </c>
    </row>
    <row r="26" spans="1:29" hidden="1" x14ac:dyDescent="0.25">
      <c r="A26" s="115"/>
      <c r="B26" t="s">
        <v>6</v>
      </c>
      <c r="D26" s="26">
        <v>43453</v>
      </c>
      <c r="F26" t="s">
        <v>184</v>
      </c>
      <c r="G26" t="s">
        <v>11</v>
      </c>
      <c r="H26" s="3">
        <v>-6.5</v>
      </c>
      <c r="I26" s="36">
        <f>IF(Log_2018[[#This Row],[My Category]]="NONTRACKED",0,Log_2018[[#This Row],[Raw Amount]])</f>
        <v>-6.5</v>
      </c>
      <c r="J26" s="17">
        <f>ABS(Log_2018[[#This Row],[Amount]])</f>
        <v>6.5</v>
      </c>
      <c r="K26" s="66">
        <v>1</v>
      </c>
      <c r="L26" s="66">
        <f ca="1">IF(Log_2018[[#This Row],[Date]]&lt;=TODAY(), MIN(Log_2018[[#This Row],[Split_raw]], TODAY()-Log_2018[[#This Row],[Date]]+1), 0)</f>
        <v>1</v>
      </c>
      <c r="M26" t="s">
        <v>12</v>
      </c>
      <c r="N26" t="s">
        <v>158</v>
      </c>
      <c r="O26" s="50">
        <v>0</v>
      </c>
      <c r="P26" s="52">
        <f ca="1">Log_2018[[#This Row],[Amount]]/Log_2018[[#This Row],[Split_raw]]*MAX(0,MIN(_xlfn.DAYS(EDATE(P$1,1),Log_2018[[#This Row],[Date]]),Log_2018[[#This Row],[Split_apply]])) - SUM($O26:O26)</f>
        <v>0</v>
      </c>
      <c r="Q26" s="52">
        <f ca="1">Log_2018[[#This Row],[Amount]]/Log_2018[[#This Row],[Split_raw]]*MAX(0,MIN(_xlfn.DAYS(EDATE(Q$1,1),Log_2018[[#This Row],[Date]]),Log_2018[[#This Row],[Split_apply]])) - SUM($O26:P26)</f>
        <v>0</v>
      </c>
      <c r="R26" s="52">
        <f ca="1">Log_2018[[#This Row],[Amount]]/Log_2018[[#This Row],[Split_raw]]*MAX(0,MIN(_xlfn.DAYS(EDATE(R$1,1),Log_2018[[#This Row],[Date]]),Log_2018[[#This Row],[Split_apply]])) - SUM($O26:Q26)</f>
        <v>0</v>
      </c>
      <c r="S26" s="52">
        <f ca="1">Log_2018[[#This Row],[Amount]]/Log_2018[[#This Row],[Split_raw]]*MAX(0,MIN(_xlfn.DAYS(EDATE(S$1,1),Log_2018[[#This Row],[Date]]),Log_2018[[#This Row],[Split_apply]])) - SUM($O26:R26)</f>
        <v>0</v>
      </c>
      <c r="T26" s="52">
        <f ca="1">Log_2018[[#This Row],[Amount]]/Log_2018[[#This Row],[Split_raw]]*MAX(0,MIN(_xlfn.DAYS(EDATE(T$1,1),Log_2018[[#This Row],[Date]]),Log_2018[[#This Row],[Split_apply]])) - SUM($O26:S26)</f>
        <v>0</v>
      </c>
      <c r="U26" s="52">
        <f ca="1">Log_2018[[#This Row],[Amount]]/Log_2018[[#This Row],[Split_raw]]*MAX(0,MIN(_xlfn.DAYS(EDATE(U$1,1),Log_2018[[#This Row],[Date]]),Log_2018[[#This Row],[Split_apply]])) - SUM($O26:T26)</f>
        <v>0</v>
      </c>
      <c r="V26" s="52">
        <f ca="1">Log_2018[[#This Row],[Amount]]/Log_2018[[#This Row],[Split_raw]]*MAX(0,MIN(_xlfn.DAYS(EDATE(V$1,1),Log_2018[[#This Row],[Date]]),Log_2018[[#This Row],[Split_apply]])) - SUM($O26:U26)</f>
        <v>0</v>
      </c>
      <c r="W26" s="52">
        <f ca="1">Log_2018[[#This Row],[Amount]]/Log_2018[[#This Row],[Split_raw]]*MAX(0,MIN(_xlfn.DAYS(EDATE(W$1,1),Log_2018[[#This Row],[Date]]),Log_2018[[#This Row],[Split_apply]])) - SUM($O26:V26)</f>
        <v>0</v>
      </c>
      <c r="X26" s="52">
        <f ca="1">Log_2018[[#This Row],[Amount]]/Log_2018[[#This Row],[Split_raw]]*MAX(0,MIN(_xlfn.DAYS(EDATE(X$1,1),Log_2018[[#This Row],[Date]]),Log_2018[[#This Row],[Split_apply]])) - SUM($O26:W26)</f>
        <v>0</v>
      </c>
      <c r="Y26" s="52">
        <f ca="1">Log_2018[[#This Row],[Amount]]/Log_2018[[#This Row],[Split_raw]]*MAX(0,MIN(_xlfn.DAYS(EDATE(Y$1,1),Log_2018[[#This Row],[Date]]),Log_2018[[#This Row],[Split_apply]])) - SUM($O26:X26)</f>
        <v>0</v>
      </c>
      <c r="Z26" s="52">
        <f ca="1">Log_2018[[#This Row],[Amount]]/Log_2018[[#This Row],[Split_raw]]*MAX(0,MIN(_xlfn.DAYS(EDATE(Z$1,1),Log_2018[[#This Row],[Date]]),Log_2018[[#This Row],[Split_apply]])) - SUM($O26:Y26)</f>
        <v>0</v>
      </c>
      <c r="AA26" s="52">
        <f ca="1">Log_2018[[#This Row],[Amount]]/Log_2018[[#This Row],[Split_raw]]*MAX(0,MIN(_xlfn.DAYS(EDATE(AA$1,1),Log_2018[[#This Row],[Date]]),Log_2018[[#This Row],[Split_apply]])) - SUM($O26:Z26)</f>
        <v>-6.5</v>
      </c>
      <c r="AB26" s="54">
        <f ca="1">Log_2018[[#This Row],[Amount]]-SUM(O26:AA26)</f>
        <v>0</v>
      </c>
      <c r="AC26" s="7">
        <f ca="1">MAX(0,Log_2018[[#This Row],[Split_apply]] - (EDATE(AA$1,1)-Log_2018[[#This Row],[Date]]))</f>
        <v>0</v>
      </c>
    </row>
    <row r="27" spans="1:29" hidden="1" x14ac:dyDescent="0.25">
      <c r="A27" s="115"/>
      <c r="B27" t="s">
        <v>6</v>
      </c>
      <c r="D27" s="26">
        <v>43453</v>
      </c>
      <c r="F27" t="s">
        <v>457</v>
      </c>
      <c r="G27" t="s">
        <v>87</v>
      </c>
      <c r="H27" s="3">
        <f>--125.05</f>
        <v>125.05</v>
      </c>
      <c r="I27" s="36">
        <f>IF(Log_2018[[#This Row],[My Category]]="NONTRACKED",0,Log_2018[[#This Row],[Raw Amount]])</f>
        <v>125.05</v>
      </c>
      <c r="J27" s="17">
        <f>ABS(Log_2018[[#This Row],[Amount]])</f>
        <v>125.05</v>
      </c>
      <c r="K27" s="66">
        <v>1</v>
      </c>
      <c r="L27" s="66">
        <f ca="1">IF(Log_2018[[#This Row],[Date]]&lt;=TODAY(), MIN(Log_2018[[#This Row],[Split_raw]], TODAY()-Log_2018[[#This Row],[Date]]+1), 0)</f>
        <v>1</v>
      </c>
      <c r="M27" t="s">
        <v>161</v>
      </c>
      <c r="N27" t="s">
        <v>160</v>
      </c>
      <c r="O27" s="50">
        <v>0</v>
      </c>
      <c r="P27" s="52">
        <f ca="1">Log_2018[[#This Row],[Amount]]/Log_2018[[#This Row],[Split_raw]]*MAX(0,MIN(_xlfn.DAYS(EDATE(P$1,1),Log_2018[[#This Row],[Date]]),Log_2018[[#This Row],[Split_apply]])) - SUM($O27:O27)</f>
        <v>0</v>
      </c>
      <c r="Q27" s="52">
        <f ca="1">Log_2018[[#This Row],[Amount]]/Log_2018[[#This Row],[Split_raw]]*MAX(0,MIN(_xlfn.DAYS(EDATE(Q$1,1),Log_2018[[#This Row],[Date]]),Log_2018[[#This Row],[Split_apply]])) - SUM($O27:P27)</f>
        <v>0</v>
      </c>
      <c r="R27" s="52">
        <f ca="1">Log_2018[[#This Row],[Amount]]/Log_2018[[#This Row],[Split_raw]]*MAX(0,MIN(_xlfn.DAYS(EDATE(R$1,1),Log_2018[[#This Row],[Date]]),Log_2018[[#This Row],[Split_apply]])) - SUM($O27:Q27)</f>
        <v>0</v>
      </c>
      <c r="S27" s="52">
        <f ca="1">Log_2018[[#This Row],[Amount]]/Log_2018[[#This Row],[Split_raw]]*MAX(0,MIN(_xlfn.DAYS(EDATE(S$1,1),Log_2018[[#This Row],[Date]]),Log_2018[[#This Row],[Split_apply]])) - SUM($O27:R27)</f>
        <v>0</v>
      </c>
      <c r="T27" s="52">
        <f ca="1">Log_2018[[#This Row],[Amount]]/Log_2018[[#This Row],[Split_raw]]*MAX(0,MIN(_xlfn.DAYS(EDATE(T$1,1),Log_2018[[#This Row],[Date]]),Log_2018[[#This Row],[Split_apply]])) - SUM($O27:S27)</f>
        <v>0</v>
      </c>
      <c r="U27" s="52">
        <f ca="1">Log_2018[[#This Row],[Amount]]/Log_2018[[#This Row],[Split_raw]]*MAX(0,MIN(_xlfn.DAYS(EDATE(U$1,1),Log_2018[[#This Row],[Date]]),Log_2018[[#This Row],[Split_apply]])) - SUM($O27:T27)</f>
        <v>0</v>
      </c>
      <c r="V27" s="52">
        <f ca="1">Log_2018[[#This Row],[Amount]]/Log_2018[[#This Row],[Split_raw]]*MAX(0,MIN(_xlfn.DAYS(EDATE(V$1,1),Log_2018[[#This Row],[Date]]),Log_2018[[#This Row],[Split_apply]])) - SUM($O27:U27)</f>
        <v>0</v>
      </c>
      <c r="W27" s="52">
        <f ca="1">Log_2018[[#This Row],[Amount]]/Log_2018[[#This Row],[Split_raw]]*MAX(0,MIN(_xlfn.DAYS(EDATE(W$1,1),Log_2018[[#This Row],[Date]]),Log_2018[[#This Row],[Split_apply]])) - SUM($O27:V27)</f>
        <v>0</v>
      </c>
      <c r="X27" s="52">
        <f ca="1">Log_2018[[#This Row],[Amount]]/Log_2018[[#This Row],[Split_raw]]*MAX(0,MIN(_xlfn.DAYS(EDATE(X$1,1),Log_2018[[#This Row],[Date]]),Log_2018[[#This Row],[Split_apply]])) - SUM($O27:W27)</f>
        <v>0</v>
      </c>
      <c r="Y27" s="52">
        <f ca="1">Log_2018[[#This Row],[Amount]]/Log_2018[[#This Row],[Split_raw]]*MAX(0,MIN(_xlfn.DAYS(EDATE(Y$1,1),Log_2018[[#This Row],[Date]]),Log_2018[[#This Row],[Split_apply]])) - SUM($O27:X27)</f>
        <v>0</v>
      </c>
      <c r="Z27" s="52">
        <f ca="1">Log_2018[[#This Row],[Amount]]/Log_2018[[#This Row],[Split_raw]]*MAX(0,MIN(_xlfn.DAYS(EDATE(Z$1,1),Log_2018[[#This Row],[Date]]),Log_2018[[#This Row],[Split_apply]])) - SUM($O27:Y27)</f>
        <v>0</v>
      </c>
      <c r="AA27" s="52">
        <f ca="1">Log_2018[[#This Row],[Amount]]/Log_2018[[#This Row],[Split_raw]]*MAX(0,MIN(_xlfn.DAYS(EDATE(AA$1,1),Log_2018[[#This Row],[Date]]),Log_2018[[#This Row],[Split_apply]])) - SUM($O27:Z27)</f>
        <v>125.05</v>
      </c>
      <c r="AB27" s="54">
        <f ca="1">Log_2018[[#This Row],[Amount]]-SUM(O27:AA27)</f>
        <v>0</v>
      </c>
      <c r="AC27" s="7">
        <f ca="1">MAX(0,Log_2018[[#This Row],[Split_apply]] - (EDATE(AA$1,1)-Log_2018[[#This Row],[Date]]))</f>
        <v>0</v>
      </c>
    </row>
    <row r="28" spans="1:29" hidden="1" x14ac:dyDescent="0.25">
      <c r="A28" s="115"/>
      <c r="B28" t="s">
        <v>490</v>
      </c>
      <c r="C28" s="30">
        <v>2.6372788093588598E+18</v>
      </c>
      <c r="D28" s="26">
        <v>43452</v>
      </c>
      <c r="F28" t="s">
        <v>491</v>
      </c>
      <c r="H28" s="3">
        <v>10</v>
      </c>
      <c r="I28" s="36">
        <f>IF(Log_2018[[#This Row],[My Category]]="NONTRACKED",0,Log_2018[[#This Row],[Raw Amount]])</f>
        <v>10</v>
      </c>
      <c r="J28" s="17">
        <f>ABS(Log_2018[[#This Row],[Amount]])</f>
        <v>10</v>
      </c>
      <c r="K28" s="66">
        <v>1</v>
      </c>
      <c r="L28" s="66">
        <f ca="1">IF(Log_2018[[#This Row],[Date]]&lt;=TODAY(), MIN(Log_2018[[#This Row],[Split_raw]], TODAY()-Log_2018[[#This Row],[Date]]+1), 0)</f>
        <v>1</v>
      </c>
      <c r="M28" t="s">
        <v>35</v>
      </c>
      <c r="N28" t="s">
        <v>489</v>
      </c>
      <c r="O28" s="50">
        <v>0</v>
      </c>
      <c r="P28" s="52">
        <f ca="1">Log_2018[[#This Row],[Amount]]/Log_2018[[#This Row],[Split_raw]]*MAX(0,MIN(_xlfn.DAYS(EDATE(P$1,1),Log_2018[[#This Row],[Date]]),Log_2018[[#This Row],[Split_apply]])) - SUM($O28:O28)</f>
        <v>0</v>
      </c>
      <c r="Q28" s="52">
        <f ca="1">Log_2018[[#This Row],[Amount]]/Log_2018[[#This Row],[Split_raw]]*MAX(0,MIN(_xlfn.DAYS(EDATE(Q$1,1),Log_2018[[#This Row],[Date]]),Log_2018[[#This Row],[Split_apply]])) - SUM($O28:P28)</f>
        <v>0</v>
      </c>
      <c r="R28" s="52">
        <f ca="1">Log_2018[[#This Row],[Amount]]/Log_2018[[#This Row],[Split_raw]]*MAX(0,MIN(_xlfn.DAYS(EDATE(R$1,1),Log_2018[[#This Row],[Date]]),Log_2018[[#This Row],[Split_apply]])) - SUM($O28:Q28)</f>
        <v>0</v>
      </c>
      <c r="S28" s="52">
        <f ca="1">Log_2018[[#This Row],[Amount]]/Log_2018[[#This Row],[Split_raw]]*MAX(0,MIN(_xlfn.DAYS(EDATE(S$1,1),Log_2018[[#This Row],[Date]]),Log_2018[[#This Row],[Split_apply]])) - SUM($O28:R28)</f>
        <v>0</v>
      </c>
      <c r="T28" s="52">
        <f ca="1">Log_2018[[#This Row],[Amount]]/Log_2018[[#This Row],[Split_raw]]*MAX(0,MIN(_xlfn.DAYS(EDATE(T$1,1),Log_2018[[#This Row],[Date]]),Log_2018[[#This Row],[Split_apply]])) - SUM($O28:S28)</f>
        <v>0</v>
      </c>
      <c r="U28" s="52">
        <f ca="1">Log_2018[[#This Row],[Amount]]/Log_2018[[#This Row],[Split_raw]]*MAX(0,MIN(_xlfn.DAYS(EDATE(U$1,1),Log_2018[[#This Row],[Date]]),Log_2018[[#This Row],[Split_apply]])) - SUM($O28:T28)</f>
        <v>0</v>
      </c>
      <c r="V28" s="52">
        <f ca="1">Log_2018[[#This Row],[Amount]]/Log_2018[[#This Row],[Split_raw]]*MAX(0,MIN(_xlfn.DAYS(EDATE(V$1,1),Log_2018[[#This Row],[Date]]),Log_2018[[#This Row],[Split_apply]])) - SUM($O28:U28)</f>
        <v>0</v>
      </c>
      <c r="W28" s="52">
        <f ca="1">Log_2018[[#This Row],[Amount]]/Log_2018[[#This Row],[Split_raw]]*MAX(0,MIN(_xlfn.DAYS(EDATE(W$1,1),Log_2018[[#This Row],[Date]]),Log_2018[[#This Row],[Split_apply]])) - SUM($O28:V28)</f>
        <v>0</v>
      </c>
      <c r="X28" s="52">
        <f ca="1">Log_2018[[#This Row],[Amount]]/Log_2018[[#This Row],[Split_raw]]*MAX(0,MIN(_xlfn.DAYS(EDATE(X$1,1),Log_2018[[#This Row],[Date]]),Log_2018[[#This Row],[Split_apply]])) - SUM($O28:W28)</f>
        <v>0</v>
      </c>
      <c r="Y28" s="52">
        <f ca="1">Log_2018[[#This Row],[Amount]]/Log_2018[[#This Row],[Split_raw]]*MAX(0,MIN(_xlfn.DAYS(EDATE(Y$1,1),Log_2018[[#This Row],[Date]]),Log_2018[[#This Row],[Split_apply]])) - SUM($O28:X28)</f>
        <v>0</v>
      </c>
      <c r="Z28" s="52">
        <f ca="1">Log_2018[[#This Row],[Amount]]/Log_2018[[#This Row],[Split_raw]]*MAX(0,MIN(_xlfn.DAYS(EDATE(Z$1,1),Log_2018[[#This Row],[Date]]),Log_2018[[#This Row],[Split_apply]])) - SUM($O28:Y28)</f>
        <v>0</v>
      </c>
      <c r="AA28" s="52">
        <f ca="1">Log_2018[[#This Row],[Amount]]/Log_2018[[#This Row],[Split_raw]]*MAX(0,MIN(_xlfn.DAYS(EDATE(AA$1,1),Log_2018[[#This Row],[Date]]),Log_2018[[#This Row],[Split_apply]])) - SUM($O28:Z28)</f>
        <v>10</v>
      </c>
      <c r="AB28" s="54">
        <f ca="1">Log_2018[[#This Row],[Amount]]-SUM(O28:AA28)</f>
        <v>0</v>
      </c>
      <c r="AC28" s="7">
        <f ca="1">MAX(0,Log_2018[[#This Row],[Split_apply]] - (EDATE(AA$1,1)-Log_2018[[#This Row],[Date]]))</f>
        <v>0</v>
      </c>
    </row>
    <row r="29" spans="1:29" hidden="1" x14ac:dyDescent="0.25">
      <c r="A29" s="115"/>
      <c r="B29" t="s">
        <v>490</v>
      </c>
      <c r="C29" s="30">
        <v>1594208044</v>
      </c>
      <c r="D29" s="26">
        <v>43452</v>
      </c>
      <c r="F29" t="s">
        <v>488</v>
      </c>
      <c r="H29" s="3">
        <v>-125.05</v>
      </c>
      <c r="I29" s="36">
        <f>IF(Log_2018[[#This Row],[My Category]]="NONTRACKED",0,Log_2018[[#This Row],[Raw Amount]])</f>
        <v>-125.05</v>
      </c>
      <c r="J29" s="17">
        <f>ABS(Log_2018[[#This Row],[Amount]])</f>
        <v>125.05</v>
      </c>
      <c r="K29" s="66">
        <v>1</v>
      </c>
      <c r="L29" s="66">
        <f ca="1">IF(Log_2018[[#This Row],[Date]]&lt;=TODAY(), MIN(Log_2018[[#This Row],[Split_raw]], TODAY()-Log_2018[[#This Row],[Date]]+1), 0)</f>
        <v>1</v>
      </c>
      <c r="M29" t="s">
        <v>161</v>
      </c>
      <c r="N29" t="s">
        <v>489</v>
      </c>
      <c r="O29" s="50">
        <v>0</v>
      </c>
      <c r="P29" s="52">
        <f ca="1">Log_2018[[#This Row],[Amount]]/Log_2018[[#This Row],[Split_raw]]*MAX(0,MIN(_xlfn.DAYS(EDATE(P$1,1),Log_2018[[#This Row],[Date]]),Log_2018[[#This Row],[Split_apply]])) - SUM($O29:O29)</f>
        <v>0</v>
      </c>
      <c r="Q29" s="52">
        <f ca="1">Log_2018[[#This Row],[Amount]]/Log_2018[[#This Row],[Split_raw]]*MAX(0,MIN(_xlfn.DAYS(EDATE(Q$1,1),Log_2018[[#This Row],[Date]]),Log_2018[[#This Row],[Split_apply]])) - SUM($O29:P29)</f>
        <v>0</v>
      </c>
      <c r="R29" s="52">
        <f ca="1">Log_2018[[#This Row],[Amount]]/Log_2018[[#This Row],[Split_raw]]*MAX(0,MIN(_xlfn.DAYS(EDATE(R$1,1),Log_2018[[#This Row],[Date]]),Log_2018[[#This Row],[Split_apply]])) - SUM($O29:Q29)</f>
        <v>0</v>
      </c>
      <c r="S29" s="52">
        <f ca="1">Log_2018[[#This Row],[Amount]]/Log_2018[[#This Row],[Split_raw]]*MAX(0,MIN(_xlfn.DAYS(EDATE(S$1,1),Log_2018[[#This Row],[Date]]),Log_2018[[#This Row],[Split_apply]])) - SUM($O29:R29)</f>
        <v>0</v>
      </c>
      <c r="T29" s="52">
        <f ca="1">Log_2018[[#This Row],[Amount]]/Log_2018[[#This Row],[Split_raw]]*MAX(0,MIN(_xlfn.DAYS(EDATE(T$1,1),Log_2018[[#This Row],[Date]]),Log_2018[[#This Row],[Split_apply]])) - SUM($O29:S29)</f>
        <v>0</v>
      </c>
      <c r="U29" s="52">
        <f ca="1">Log_2018[[#This Row],[Amount]]/Log_2018[[#This Row],[Split_raw]]*MAX(0,MIN(_xlfn.DAYS(EDATE(U$1,1),Log_2018[[#This Row],[Date]]),Log_2018[[#This Row],[Split_apply]])) - SUM($O29:T29)</f>
        <v>0</v>
      </c>
      <c r="V29" s="52">
        <f ca="1">Log_2018[[#This Row],[Amount]]/Log_2018[[#This Row],[Split_raw]]*MAX(0,MIN(_xlfn.DAYS(EDATE(V$1,1),Log_2018[[#This Row],[Date]]),Log_2018[[#This Row],[Split_apply]])) - SUM($O29:U29)</f>
        <v>0</v>
      </c>
      <c r="W29" s="52">
        <f ca="1">Log_2018[[#This Row],[Amount]]/Log_2018[[#This Row],[Split_raw]]*MAX(0,MIN(_xlfn.DAYS(EDATE(W$1,1),Log_2018[[#This Row],[Date]]),Log_2018[[#This Row],[Split_apply]])) - SUM($O29:V29)</f>
        <v>0</v>
      </c>
      <c r="X29" s="52">
        <f ca="1">Log_2018[[#This Row],[Amount]]/Log_2018[[#This Row],[Split_raw]]*MAX(0,MIN(_xlfn.DAYS(EDATE(X$1,1),Log_2018[[#This Row],[Date]]),Log_2018[[#This Row],[Split_apply]])) - SUM($O29:W29)</f>
        <v>0</v>
      </c>
      <c r="Y29" s="52">
        <f ca="1">Log_2018[[#This Row],[Amount]]/Log_2018[[#This Row],[Split_raw]]*MAX(0,MIN(_xlfn.DAYS(EDATE(Y$1,1),Log_2018[[#This Row],[Date]]),Log_2018[[#This Row],[Split_apply]])) - SUM($O29:X29)</f>
        <v>0</v>
      </c>
      <c r="Z29" s="52">
        <f ca="1">Log_2018[[#This Row],[Amount]]/Log_2018[[#This Row],[Split_raw]]*MAX(0,MIN(_xlfn.DAYS(EDATE(Z$1,1),Log_2018[[#This Row],[Date]]),Log_2018[[#This Row],[Split_apply]])) - SUM($O29:Y29)</f>
        <v>0</v>
      </c>
      <c r="AA29" s="52">
        <f ca="1">Log_2018[[#This Row],[Amount]]/Log_2018[[#This Row],[Split_raw]]*MAX(0,MIN(_xlfn.DAYS(EDATE(AA$1,1),Log_2018[[#This Row],[Date]]),Log_2018[[#This Row],[Split_apply]])) - SUM($O29:Z29)</f>
        <v>-125.05</v>
      </c>
      <c r="AB29" s="54">
        <f ca="1">Log_2018[[#This Row],[Amount]]-SUM(O29:AA29)</f>
        <v>0</v>
      </c>
      <c r="AC29" s="7">
        <f ca="1">MAX(0,Log_2018[[#This Row],[Split_apply]] - (EDATE(AA$1,1)-Log_2018[[#This Row],[Date]]))</f>
        <v>0</v>
      </c>
    </row>
    <row r="30" spans="1:29" hidden="1" x14ac:dyDescent="0.25">
      <c r="A30" s="115"/>
      <c r="B30" t="s">
        <v>6</v>
      </c>
      <c r="D30" s="26">
        <v>43452</v>
      </c>
      <c r="F30" t="s">
        <v>458</v>
      </c>
      <c r="G30" t="s">
        <v>29</v>
      </c>
      <c r="H30" s="3">
        <v>-38.89</v>
      </c>
      <c r="I30" s="36">
        <f>IF(Log_2018[[#This Row],[My Category]]="NONTRACKED",0,Log_2018[[#This Row],[Raw Amount]])</f>
        <v>-38.89</v>
      </c>
      <c r="J30" s="17">
        <f>ABS(Log_2018[[#This Row],[Amount]])</f>
        <v>38.89</v>
      </c>
      <c r="K30" s="66">
        <v>30</v>
      </c>
      <c r="L30" s="66">
        <f ca="1">IF(Log_2018[[#This Row],[Date]]&lt;=TODAY(), MIN(Log_2018[[#This Row],[Split_raw]], TODAY()-Log_2018[[#This Row],[Date]]+1), 0)</f>
        <v>30</v>
      </c>
      <c r="M30" t="s">
        <v>29</v>
      </c>
      <c r="N30" t="s">
        <v>160</v>
      </c>
      <c r="O30" s="50">
        <v>0</v>
      </c>
      <c r="P30" s="52">
        <f ca="1">Log_2018[[#This Row],[Amount]]/Log_2018[[#This Row],[Split_raw]]*MAX(0,MIN(_xlfn.DAYS(EDATE(P$1,1),Log_2018[[#This Row],[Date]]),Log_2018[[#This Row],[Split_apply]])) - SUM($O30:O30)</f>
        <v>0</v>
      </c>
      <c r="Q30" s="52">
        <f ca="1">Log_2018[[#This Row],[Amount]]/Log_2018[[#This Row],[Split_raw]]*MAX(0,MIN(_xlfn.DAYS(EDATE(Q$1,1),Log_2018[[#This Row],[Date]]),Log_2018[[#This Row],[Split_apply]])) - SUM($O30:P30)</f>
        <v>0</v>
      </c>
      <c r="R30" s="52">
        <f ca="1">Log_2018[[#This Row],[Amount]]/Log_2018[[#This Row],[Split_raw]]*MAX(0,MIN(_xlfn.DAYS(EDATE(R$1,1),Log_2018[[#This Row],[Date]]),Log_2018[[#This Row],[Split_apply]])) - SUM($O30:Q30)</f>
        <v>0</v>
      </c>
      <c r="S30" s="52">
        <f ca="1">Log_2018[[#This Row],[Amount]]/Log_2018[[#This Row],[Split_raw]]*MAX(0,MIN(_xlfn.DAYS(EDATE(S$1,1),Log_2018[[#This Row],[Date]]),Log_2018[[#This Row],[Split_apply]])) - SUM($O30:R30)</f>
        <v>0</v>
      </c>
      <c r="T30" s="52">
        <f ca="1">Log_2018[[#This Row],[Amount]]/Log_2018[[#This Row],[Split_raw]]*MAX(0,MIN(_xlfn.DAYS(EDATE(T$1,1),Log_2018[[#This Row],[Date]]),Log_2018[[#This Row],[Split_apply]])) - SUM($O30:S30)</f>
        <v>0</v>
      </c>
      <c r="U30" s="52">
        <f ca="1">Log_2018[[#This Row],[Amount]]/Log_2018[[#This Row],[Split_raw]]*MAX(0,MIN(_xlfn.DAYS(EDATE(U$1,1),Log_2018[[#This Row],[Date]]),Log_2018[[#This Row],[Split_apply]])) - SUM($O30:T30)</f>
        <v>0</v>
      </c>
      <c r="V30" s="52">
        <f ca="1">Log_2018[[#This Row],[Amount]]/Log_2018[[#This Row],[Split_raw]]*MAX(0,MIN(_xlfn.DAYS(EDATE(V$1,1),Log_2018[[#This Row],[Date]]),Log_2018[[#This Row],[Split_apply]])) - SUM($O30:U30)</f>
        <v>0</v>
      </c>
      <c r="W30" s="52">
        <f ca="1">Log_2018[[#This Row],[Amount]]/Log_2018[[#This Row],[Split_raw]]*MAX(0,MIN(_xlfn.DAYS(EDATE(W$1,1),Log_2018[[#This Row],[Date]]),Log_2018[[#This Row],[Split_apply]])) - SUM($O30:V30)</f>
        <v>0</v>
      </c>
      <c r="X30" s="52">
        <f ca="1">Log_2018[[#This Row],[Amount]]/Log_2018[[#This Row],[Split_raw]]*MAX(0,MIN(_xlfn.DAYS(EDATE(X$1,1),Log_2018[[#This Row],[Date]]),Log_2018[[#This Row],[Split_apply]])) - SUM($O30:W30)</f>
        <v>0</v>
      </c>
      <c r="Y30" s="52">
        <f ca="1">Log_2018[[#This Row],[Amount]]/Log_2018[[#This Row],[Split_raw]]*MAX(0,MIN(_xlfn.DAYS(EDATE(Y$1,1),Log_2018[[#This Row],[Date]]),Log_2018[[#This Row],[Split_apply]])) - SUM($O30:X30)</f>
        <v>0</v>
      </c>
      <c r="Z30" s="52">
        <f ca="1">Log_2018[[#This Row],[Amount]]/Log_2018[[#This Row],[Split_raw]]*MAX(0,MIN(_xlfn.DAYS(EDATE(Z$1,1),Log_2018[[#This Row],[Date]]),Log_2018[[#This Row],[Split_apply]])) - SUM($O30:Y30)</f>
        <v>0</v>
      </c>
      <c r="AA30" s="52">
        <f ca="1">Log_2018[[#This Row],[Amount]]/Log_2018[[#This Row],[Split_raw]]*MAX(0,MIN(_xlfn.DAYS(EDATE(AA$1,1),Log_2018[[#This Row],[Date]]),Log_2018[[#This Row],[Split_apply]])) - SUM($O30:Z30)</f>
        <v>-18.148666666666667</v>
      </c>
      <c r="AB30" s="54">
        <f ca="1">Log_2018[[#This Row],[Amount]]-SUM(O30:AA30)</f>
        <v>-20.741333333333333</v>
      </c>
      <c r="AC30" s="7">
        <f ca="1">MAX(0,Log_2018[[#This Row],[Split_apply]] - (EDATE(AA$1,1)-Log_2018[[#This Row],[Date]]))</f>
        <v>16</v>
      </c>
    </row>
    <row r="31" spans="1:29" hidden="1" x14ac:dyDescent="0.25">
      <c r="A31" s="115"/>
      <c r="B31" t="s">
        <v>6</v>
      </c>
      <c r="D31" s="26">
        <v>43451</v>
      </c>
      <c r="F31" t="s">
        <v>469</v>
      </c>
      <c r="G31" t="s">
        <v>25</v>
      </c>
      <c r="H31" s="3">
        <v>-8.9</v>
      </c>
      <c r="I31" s="36">
        <f>IF(Log_2018[[#This Row],[My Category]]="NONTRACKED",0,Log_2018[[#This Row],[Raw Amount]])</f>
        <v>-8.9</v>
      </c>
      <c r="J31" s="17">
        <f>ABS(Log_2018[[#This Row],[Amount]])</f>
        <v>8.9</v>
      </c>
      <c r="K31" s="66">
        <v>1</v>
      </c>
      <c r="L31" s="66">
        <f ca="1">IF(Log_2018[[#This Row],[Date]]&lt;=TODAY(), MIN(Log_2018[[#This Row],[Split_raw]], TODAY()-Log_2018[[#This Row],[Date]]+1), 0)</f>
        <v>1</v>
      </c>
      <c r="M31" t="s">
        <v>35</v>
      </c>
      <c r="N31" t="s">
        <v>158</v>
      </c>
      <c r="O31" s="50">
        <v>0</v>
      </c>
      <c r="P31" s="52">
        <f ca="1">Log_2018[[#This Row],[Amount]]/Log_2018[[#This Row],[Split_raw]]*MAX(0,MIN(_xlfn.DAYS(EDATE(P$1,1),Log_2018[[#This Row],[Date]]),Log_2018[[#This Row],[Split_apply]])) - SUM($O31:O31)</f>
        <v>0</v>
      </c>
      <c r="Q31" s="52">
        <f ca="1">Log_2018[[#This Row],[Amount]]/Log_2018[[#This Row],[Split_raw]]*MAX(0,MIN(_xlfn.DAYS(EDATE(Q$1,1),Log_2018[[#This Row],[Date]]),Log_2018[[#This Row],[Split_apply]])) - SUM($O31:P31)</f>
        <v>0</v>
      </c>
      <c r="R31" s="52">
        <f ca="1">Log_2018[[#This Row],[Amount]]/Log_2018[[#This Row],[Split_raw]]*MAX(0,MIN(_xlfn.DAYS(EDATE(R$1,1),Log_2018[[#This Row],[Date]]),Log_2018[[#This Row],[Split_apply]])) - SUM($O31:Q31)</f>
        <v>0</v>
      </c>
      <c r="S31" s="52">
        <f ca="1">Log_2018[[#This Row],[Amount]]/Log_2018[[#This Row],[Split_raw]]*MAX(0,MIN(_xlfn.DAYS(EDATE(S$1,1),Log_2018[[#This Row],[Date]]),Log_2018[[#This Row],[Split_apply]])) - SUM($O31:R31)</f>
        <v>0</v>
      </c>
      <c r="T31" s="52">
        <f ca="1">Log_2018[[#This Row],[Amount]]/Log_2018[[#This Row],[Split_raw]]*MAX(0,MIN(_xlfn.DAYS(EDATE(T$1,1),Log_2018[[#This Row],[Date]]),Log_2018[[#This Row],[Split_apply]])) - SUM($O31:S31)</f>
        <v>0</v>
      </c>
      <c r="U31" s="52">
        <f ca="1">Log_2018[[#This Row],[Amount]]/Log_2018[[#This Row],[Split_raw]]*MAX(0,MIN(_xlfn.DAYS(EDATE(U$1,1),Log_2018[[#This Row],[Date]]),Log_2018[[#This Row],[Split_apply]])) - SUM($O31:T31)</f>
        <v>0</v>
      </c>
      <c r="V31" s="52">
        <f ca="1">Log_2018[[#This Row],[Amount]]/Log_2018[[#This Row],[Split_raw]]*MAX(0,MIN(_xlfn.DAYS(EDATE(V$1,1),Log_2018[[#This Row],[Date]]),Log_2018[[#This Row],[Split_apply]])) - SUM($O31:U31)</f>
        <v>0</v>
      </c>
      <c r="W31" s="52">
        <f ca="1">Log_2018[[#This Row],[Amount]]/Log_2018[[#This Row],[Split_raw]]*MAX(0,MIN(_xlfn.DAYS(EDATE(W$1,1),Log_2018[[#This Row],[Date]]),Log_2018[[#This Row],[Split_apply]])) - SUM($O31:V31)</f>
        <v>0</v>
      </c>
      <c r="X31" s="52">
        <f ca="1">Log_2018[[#This Row],[Amount]]/Log_2018[[#This Row],[Split_raw]]*MAX(0,MIN(_xlfn.DAYS(EDATE(X$1,1),Log_2018[[#This Row],[Date]]),Log_2018[[#This Row],[Split_apply]])) - SUM($O31:W31)</f>
        <v>0</v>
      </c>
      <c r="Y31" s="52">
        <f ca="1">Log_2018[[#This Row],[Amount]]/Log_2018[[#This Row],[Split_raw]]*MAX(0,MIN(_xlfn.DAYS(EDATE(Y$1,1),Log_2018[[#This Row],[Date]]),Log_2018[[#This Row],[Split_apply]])) - SUM($O31:X31)</f>
        <v>0</v>
      </c>
      <c r="Z31" s="52">
        <f ca="1">Log_2018[[#This Row],[Amount]]/Log_2018[[#This Row],[Split_raw]]*MAX(0,MIN(_xlfn.DAYS(EDATE(Z$1,1),Log_2018[[#This Row],[Date]]),Log_2018[[#This Row],[Split_apply]])) - SUM($O31:Y31)</f>
        <v>0</v>
      </c>
      <c r="AA31" s="52">
        <f ca="1">Log_2018[[#This Row],[Amount]]/Log_2018[[#This Row],[Split_raw]]*MAX(0,MIN(_xlfn.DAYS(EDATE(AA$1,1),Log_2018[[#This Row],[Date]]),Log_2018[[#This Row],[Split_apply]])) - SUM($O31:Z31)</f>
        <v>-8.9</v>
      </c>
      <c r="AB31" s="54">
        <f ca="1">Log_2018[[#This Row],[Amount]]-SUM(O31:AA31)</f>
        <v>0</v>
      </c>
      <c r="AC31" s="7">
        <f ca="1">MAX(0,Log_2018[[#This Row],[Split_apply]] - (EDATE(AA$1,1)-Log_2018[[#This Row],[Date]]))</f>
        <v>0</v>
      </c>
    </row>
    <row r="32" spans="1:29" hidden="1" x14ac:dyDescent="0.25">
      <c r="A32" s="115"/>
      <c r="B32" t="s">
        <v>6</v>
      </c>
      <c r="D32" s="26">
        <v>43449</v>
      </c>
      <c r="F32" t="s">
        <v>470</v>
      </c>
      <c r="G32" t="s">
        <v>12</v>
      </c>
      <c r="H32" s="3">
        <v>-8.99</v>
      </c>
      <c r="I32" s="36">
        <f>IF(Log_2018[[#This Row],[My Category]]="NONTRACKED",0,Log_2018[[#This Row],[Raw Amount]])</f>
        <v>-8.99</v>
      </c>
      <c r="J32" s="17">
        <f>ABS(Log_2018[[#This Row],[Amount]])</f>
        <v>8.99</v>
      </c>
      <c r="K32" s="66">
        <v>1</v>
      </c>
      <c r="L32" s="66">
        <f ca="1">IF(Log_2018[[#This Row],[Date]]&lt;=TODAY(), MIN(Log_2018[[#This Row],[Split_raw]], TODAY()-Log_2018[[#This Row],[Date]]+1), 0)</f>
        <v>1</v>
      </c>
      <c r="M32" t="s">
        <v>146</v>
      </c>
      <c r="N32" t="s">
        <v>158</v>
      </c>
      <c r="O32" s="50">
        <v>0</v>
      </c>
      <c r="P32" s="52">
        <f ca="1">Log_2018[[#This Row],[Amount]]/Log_2018[[#This Row],[Split_raw]]*MAX(0,MIN(_xlfn.DAYS(EDATE(P$1,1),Log_2018[[#This Row],[Date]]),Log_2018[[#This Row],[Split_apply]])) - SUM($O32:O32)</f>
        <v>0</v>
      </c>
      <c r="Q32" s="52">
        <f ca="1">Log_2018[[#This Row],[Amount]]/Log_2018[[#This Row],[Split_raw]]*MAX(0,MIN(_xlfn.DAYS(EDATE(Q$1,1),Log_2018[[#This Row],[Date]]),Log_2018[[#This Row],[Split_apply]])) - SUM($O32:P32)</f>
        <v>0</v>
      </c>
      <c r="R32" s="52">
        <f ca="1">Log_2018[[#This Row],[Amount]]/Log_2018[[#This Row],[Split_raw]]*MAX(0,MIN(_xlfn.DAYS(EDATE(R$1,1),Log_2018[[#This Row],[Date]]),Log_2018[[#This Row],[Split_apply]])) - SUM($O32:Q32)</f>
        <v>0</v>
      </c>
      <c r="S32" s="52">
        <f ca="1">Log_2018[[#This Row],[Amount]]/Log_2018[[#This Row],[Split_raw]]*MAX(0,MIN(_xlfn.DAYS(EDATE(S$1,1),Log_2018[[#This Row],[Date]]),Log_2018[[#This Row],[Split_apply]])) - SUM($O32:R32)</f>
        <v>0</v>
      </c>
      <c r="T32" s="52">
        <f ca="1">Log_2018[[#This Row],[Amount]]/Log_2018[[#This Row],[Split_raw]]*MAX(0,MIN(_xlfn.DAYS(EDATE(T$1,1),Log_2018[[#This Row],[Date]]),Log_2018[[#This Row],[Split_apply]])) - SUM($O32:S32)</f>
        <v>0</v>
      </c>
      <c r="U32" s="52">
        <f ca="1">Log_2018[[#This Row],[Amount]]/Log_2018[[#This Row],[Split_raw]]*MAX(0,MIN(_xlfn.DAYS(EDATE(U$1,1),Log_2018[[#This Row],[Date]]),Log_2018[[#This Row],[Split_apply]])) - SUM($O32:T32)</f>
        <v>0</v>
      </c>
      <c r="V32" s="52">
        <f ca="1">Log_2018[[#This Row],[Amount]]/Log_2018[[#This Row],[Split_raw]]*MAX(0,MIN(_xlfn.DAYS(EDATE(V$1,1),Log_2018[[#This Row],[Date]]),Log_2018[[#This Row],[Split_apply]])) - SUM($O32:U32)</f>
        <v>0</v>
      </c>
      <c r="W32" s="52">
        <f ca="1">Log_2018[[#This Row],[Amount]]/Log_2018[[#This Row],[Split_raw]]*MAX(0,MIN(_xlfn.DAYS(EDATE(W$1,1),Log_2018[[#This Row],[Date]]),Log_2018[[#This Row],[Split_apply]])) - SUM($O32:V32)</f>
        <v>0</v>
      </c>
      <c r="X32" s="52">
        <f ca="1">Log_2018[[#This Row],[Amount]]/Log_2018[[#This Row],[Split_raw]]*MAX(0,MIN(_xlfn.DAYS(EDATE(X$1,1),Log_2018[[#This Row],[Date]]),Log_2018[[#This Row],[Split_apply]])) - SUM($O32:W32)</f>
        <v>0</v>
      </c>
      <c r="Y32" s="52">
        <f ca="1">Log_2018[[#This Row],[Amount]]/Log_2018[[#This Row],[Split_raw]]*MAX(0,MIN(_xlfn.DAYS(EDATE(Y$1,1),Log_2018[[#This Row],[Date]]),Log_2018[[#This Row],[Split_apply]])) - SUM($O32:X32)</f>
        <v>0</v>
      </c>
      <c r="Z32" s="52">
        <f ca="1">Log_2018[[#This Row],[Amount]]/Log_2018[[#This Row],[Split_raw]]*MAX(0,MIN(_xlfn.DAYS(EDATE(Z$1,1),Log_2018[[#This Row],[Date]]),Log_2018[[#This Row],[Split_apply]])) - SUM($O32:Y32)</f>
        <v>0</v>
      </c>
      <c r="AA32" s="52">
        <f ca="1">Log_2018[[#This Row],[Amount]]/Log_2018[[#This Row],[Split_raw]]*MAX(0,MIN(_xlfn.DAYS(EDATE(AA$1,1),Log_2018[[#This Row],[Date]]),Log_2018[[#This Row],[Split_apply]])) - SUM($O32:Z32)</f>
        <v>-8.99</v>
      </c>
      <c r="AB32" s="54">
        <f ca="1">Log_2018[[#This Row],[Amount]]-SUM(O32:AA32)</f>
        <v>0</v>
      </c>
      <c r="AC32" s="7">
        <f ca="1">MAX(0,Log_2018[[#This Row],[Split_apply]] - (EDATE(AA$1,1)-Log_2018[[#This Row],[Date]]))</f>
        <v>0</v>
      </c>
    </row>
    <row r="33" spans="1:29" hidden="1" x14ac:dyDescent="0.25">
      <c r="A33" s="115"/>
      <c r="B33" t="s">
        <v>6</v>
      </c>
      <c r="D33" s="26">
        <v>43449</v>
      </c>
      <c r="F33" t="s">
        <v>471</v>
      </c>
      <c r="G33" t="s">
        <v>9</v>
      </c>
      <c r="H33" s="3">
        <v>-8.4700000000000006</v>
      </c>
      <c r="I33" s="36">
        <f>IF(Log_2018[[#This Row],[My Category]]="NONTRACKED",0,Log_2018[[#This Row],[Raw Amount]])</f>
        <v>-8.4700000000000006</v>
      </c>
      <c r="J33" s="17">
        <f>ABS(Log_2018[[#This Row],[Amount]])</f>
        <v>8.4700000000000006</v>
      </c>
      <c r="K33" s="66">
        <v>1</v>
      </c>
      <c r="L33" s="66">
        <f ca="1">IF(Log_2018[[#This Row],[Date]]&lt;=TODAY(), MIN(Log_2018[[#This Row],[Split_raw]], TODAY()-Log_2018[[#This Row],[Date]]+1), 0)</f>
        <v>1</v>
      </c>
      <c r="M33" t="s">
        <v>35</v>
      </c>
      <c r="N33" t="s">
        <v>158</v>
      </c>
      <c r="O33" s="50">
        <v>0</v>
      </c>
      <c r="P33" s="52">
        <f ca="1">Log_2018[[#This Row],[Amount]]/Log_2018[[#This Row],[Split_raw]]*MAX(0,MIN(_xlfn.DAYS(EDATE(P$1,1),Log_2018[[#This Row],[Date]]),Log_2018[[#This Row],[Split_apply]])) - SUM($O33:O33)</f>
        <v>0</v>
      </c>
      <c r="Q33" s="52">
        <f ca="1">Log_2018[[#This Row],[Amount]]/Log_2018[[#This Row],[Split_raw]]*MAX(0,MIN(_xlfn.DAYS(EDATE(Q$1,1),Log_2018[[#This Row],[Date]]),Log_2018[[#This Row],[Split_apply]])) - SUM($O33:P33)</f>
        <v>0</v>
      </c>
      <c r="R33" s="52">
        <f ca="1">Log_2018[[#This Row],[Amount]]/Log_2018[[#This Row],[Split_raw]]*MAX(0,MIN(_xlfn.DAYS(EDATE(R$1,1),Log_2018[[#This Row],[Date]]),Log_2018[[#This Row],[Split_apply]])) - SUM($O33:Q33)</f>
        <v>0</v>
      </c>
      <c r="S33" s="52">
        <f ca="1">Log_2018[[#This Row],[Amount]]/Log_2018[[#This Row],[Split_raw]]*MAX(0,MIN(_xlfn.DAYS(EDATE(S$1,1),Log_2018[[#This Row],[Date]]),Log_2018[[#This Row],[Split_apply]])) - SUM($O33:R33)</f>
        <v>0</v>
      </c>
      <c r="T33" s="52">
        <f ca="1">Log_2018[[#This Row],[Amount]]/Log_2018[[#This Row],[Split_raw]]*MAX(0,MIN(_xlfn.DAYS(EDATE(T$1,1),Log_2018[[#This Row],[Date]]),Log_2018[[#This Row],[Split_apply]])) - SUM($O33:S33)</f>
        <v>0</v>
      </c>
      <c r="U33" s="52">
        <f ca="1">Log_2018[[#This Row],[Amount]]/Log_2018[[#This Row],[Split_raw]]*MAX(0,MIN(_xlfn.DAYS(EDATE(U$1,1),Log_2018[[#This Row],[Date]]),Log_2018[[#This Row],[Split_apply]])) - SUM($O33:T33)</f>
        <v>0</v>
      </c>
      <c r="V33" s="52">
        <f ca="1">Log_2018[[#This Row],[Amount]]/Log_2018[[#This Row],[Split_raw]]*MAX(0,MIN(_xlfn.DAYS(EDATE(V$1,1),Log_2018[[#This Row],[Date]]),Log_2018[[#This Row],[Split_apply]])) - SUM($O33:U33)</f>
        <v>0</v>
      </c>
      <c r="W33" s="52">
        <f ca="1">Log_2018[[#This Row],[Amount]]/Log_2018[[#This Row],[Split_raw]]*MAX(0,MIN(_xlfn.DAYS(EDATE(W$1,1),Log_2018[[#This Row],[Date]]),Log_2018[[#This Row],[Split_apply]])) - SUM($O33:V33)</f>
        <v>0</v>
      </c>
      <c r="X33" s="52">
        <f ca="1">Log_2018[[#This Row],[Amount]]/Log_2018[[#This Row],[Split_raw]]*MAX(0,MIN(_xlfn.DAYS(EDATE(X$1,1),Log_2018[[#This Row],[Date]]),Log_2018[[#This Row],[Split_apply]])) - SUM($O33:W33)</f>
        <v>0</v>
      </c>
      <c r="Y33" s="52">
        <f ca="1">Log_2018[[#This Row],[Amount]]/Log_2018[[#This Row],[Split_raw]]*MAX(0,MIN(_xlfn.DAYS(EDATE(Y$1,1),Log_2018[[#This Row],[Date]]),Log_2018[[#This Row],[Split_apply]])) - SUM($O33:X33)</f>
        <v>0</v>
      </c>
      <c r="Z33" s="52">
        <f ca="1">Log_2018[[#This Row],[Amount]]/Log_2018[[#This Row],[Split_raw]]*MAX(0,MIN(_xlfn.DAYS(EDATE(Z$1,1),Log_2018[[#This Row],[Date]]),Log_2018[[#This Row],[Split_apply]])) - SUM($O33:Y33)</f>
        <v>0</v>
      </c>
      <c r="AA33" s="52">
        <f ca="1">Log_2018[[#This Row],[Amount]]/Log_2018[[#This Row],[Split_raw]]*MAX(0,MIN(_xlfn.DAYS(EDATE(AA$1,1),Log_2018[[#This Row],[Date]]),Log_2018[[#This Row],[Split_apply]])) - SUM($O33:Z33)</f>
        <v>-8.4700000000000006</v>
      </c>
      <c r="AB33" s="54">
        <f ca="1">Log_2018[[#This Row],[Amount]]-SUM(O33:AA33)</f>
        <v>0</v>
      </c>
      <c r="AC33" s="7">
        <f ca="1">MAX(0,Log_2018[[#This Row],[Split_apply]] - (EDATE(AA$1,1)-Log_2018[[#This Row],[Date]]))</f>
        <v>0</v>
      </c>
    </row>
    <row r="34" spans="1:29" hidden="1" x14ac:dyDescent="0.25">
      <c r="A34" s="115"/>
      <c r="B34" t="s">
        <v>6</v>
      </c>
      <c r="D34" s="26">
        <v>43449</v>
      </c>
      <c r="F34" t="s">
        <v>472</v>
      </c>
      <c r="G34" t="s">
        <v>25</v>
      </c>
      <c r="H34" s="3">
        <v>-10.15</v>
      </c>
      <c r="I34" s="36">
        <f>IF(Log_2018[[#This Row],[My Category]]="NONTRACKED",0,Log_2018[[#This Row],[Raw Amount]])</f>
        <v>-10.15</v>
      </c>
      <c r="J34" s="17">
        <f>ABS(Log_2018[[#This Row],[Amount]])</f>
        <v>10.15</v>
      </c>
      <c r="K34" s="66">
        <v>1</v>
      </c>
      <c r="L34" s="66">
        <f ca="1">IF(Log_2018[[#This Row],[Date]]&lt;=TODAY(), MIN(Log_2018[[#This Row],[Split_raw]], TODAY()-Log_2018[[#This Row],[Date]]+1), 0)</f>
        <v>1</v>
      </c>
      <c r="M34" t="s">
        <v>35</v>
      </c>
      <c r="N34" t="s">
        <v>158</v>
      </c>
      <c r="O34" s="50">
        <v>0</v>
      </c>
      <c r="P34" s="52">
        <f ca="1">Log_2018[[#This Row],[Amount]]/Log_2018[[#This Row],[Split_raw]]*MAX(0,MIN(_xlfn.DAYS(EDATE(P$1,1),Log_2018[[#This Row],[Date]]),Log_2018[[#This Row],[Split_apply]])) - SUM($O34:O34)</f>
        <v>0</v>
      </c>
      <c r="Q34" s="52">
        <f ca="1">Log_2018[[#This Row],[Amount]]/Log_2018[[#This Row],[Split_raw]]*MAX(0,MIN(_xlfn.DAYS(EDATE(Q$1,1),Log_2018[[#This Row],[Date]]),Log_2018[[#This Row],[Split_apply]])) - SUM($O34:P34)</f>
        <v>0</v>
      </c>
      <c r="R34" s="52">
        <f ca="1">Log_2018[[#This Row],[Amount]]/Log_2018[[#This Row],[Split_raw]]*MAX(0,MIN(_xlfn.DAYS(EDATE(R$1,1),Log_2018[[#This Row],[Date]]),Log_2018[[#This Row],[Split_apply]])) - SUM($O34:Q34)</f>
        <v>0</v>
      </c>
      <c r="S34" s="52">
        <f ca="1">Log_2018[[#This Row],[Amount]]/Log_2018[[#This Row],[Split_raw]]*MAX(0,MIN(_xlfn.DAYS(EDATE(S$1,1),Log_2018[[#This Row],[Date]]),Log_2018[[#This Row],[Split_apply]])) - SUM($O34:R34)</f>
        <v>0</v>
      </c>
      <c r="T34" s="52">
        <f ca="1">Log_2018[[#This Row],[Amount]]/Log_2018[[#This Row],[Split_raw]]*MAX(0,MIN(_xlfn.DAYS(EDATE(T$1,1),Log_2018[[#This Row],[Date]]),Log_2018[[#This Row],[Split_apply]])) - SUM($O34:S34)</f>
        <v>0</v>
      </c>
      <c r="U34" s="52">
        <f ca="1">Log_2018[[#This Row],[Amount]]/Log_2018[[#This Row],[Split_raw]]*MAX(0,MIN(_xlfn.DAYS(EDATE(U$1,1),Log_2018[[#This Row],[Date]]),Log_2018[[#This Row],[Split_apply]])) - SUM($O34:T34)</f>
        <v>0</v>
      </c>
      <c r="V34" s="52">
        <f ca="1">Log_2018[[#This Row],[Amount]]/Log_2018[[#This Row],[Split_raw]]*MAX(0,MIN(_xlfn.DAYS(EDATE(V$1,1),Log_2018[[#This Row],[Date]]),Log_2018[[#This Row],[Split_apply]])) - SUM($O34:U34)</f>
        <v>0</v>
      </c>
      <c r="W34" s="52">
        <f ca="1">Log_2018[[#This Row],[Amount]]/Log_2018[[#This Row],[Split_raw]]*MAX(0,MIN(_xlfn.DAYS(EDATE(W$1,1),Log_2018[[#This Row],[Date]]),Log_2018[[#This Row],[Split_apply]])) - SUM($O34:V34)</f>
        <v>0</v>
      </c>
      <c r="X34" s="52">
        <f ca="1">Log_2018[[#This Row],[Amount]]/Log_2018[[#This Row],[Split_raw]]*MAX(0,MIN(_xlfn.DAYS(EDATE(X$1,1),Log_2018[[#This Row],[Date]]),Log_2018[[#This Row],[Split_apply]])) - SUM($O34:W34)</f>
        <v>0</v>
      </c>
      <c r="Y34" s="52">
        <f ca="1">Log_2018[[#This Row],[Amount]]/Log_2018[[#This Row],[Split_raw]]*MAX(0,MIN(_xlfn.DAYS(EDATE(Y$1,1),Log_2018[[#This Row],[Date]]),Log_2018[[#This Row],[Split_apply]])) - SUM($O34:X34)</f>
        <v>0</v>
      </c>
      <c r="Z34" s="52">
        <f ca="1">Log_2018[[#This Row],[Amount]]/Log_2018[[#This Row],[Split_raw]]*MAX(0,MIN(_xlfn.DAYS(EDATE(Z$1,1),Log_2018[[#This Row],[Date]]),Log_2018[[#This Row],[Split_apply]])) - SUM($O34:Y34)</f>
        <v>0</v>
      </c>
      <c r="AA34" s="52">
        <f ca="1">Log_2018[[#This Row],[Amount]]/Log_2018[[#This Row],[Split_raw]]*MAX(0,MIN(_xlfn.DAYS(EDATE(AA$1,1),Log_2018[[#This Row],[Date]]),Log_2018[[#This Row],[Split_apply]])) - SUM($O34:Z34)</f>
        <v>-10.15</v>
      </c>
      <c r="AB34" s="54">
        <f ca="1">Log_2018[[#This Row],[Amount]]-SUM(O34:AA34)</f>
        <v>0</v>
      </c>
      <c r="AC34" s="7">
        <f ca="1">MAX(0,Log_2018[[#This Row],[Split_apply]] - (EDATE(AA$1,1)-Log_2018[[#This Row],[Date]]))</f>
        <v>0</v>
      </c>
    </row>
    <row r="35" spans="1:29" hidden="1" x14ac:dyDescent="0.25">
      <c r="A35" s="115"/>
      <c r="B35" t="s">
        <v>6</v>
      </c>
      <c r="D35" s="26">
        <v>43448</v>
      </c>
      <c r="F35" t="s">
        <v>242</v>
      </c>
      <c r="G35" t="s">
        <v>87</v>
      </c>
      <c r="H35" s="3">
        <f>--18.2</f>
        <v>18.2</v>
      </c>
      <c r="I35" s="36">
        <f>IF(Log_2018[[#This Row],[My Category]]="NONTRACKED",0,Log_2018[[#This Row],[Raw Amount]])</f>
        <v>18.2</v>
      </c>
      <c r="J35" s="17">
        <f>ABS(Log_2018[[#This Row],[Amount]])</f>
        <v>18.2</v>
      </c>
      <c r="K35" s="66">
        <v>1</v>
      </c>
      <c r="L35" s="66">
        <f ca="1">IF(Log_2018[[#This Row],[Date]]&lt;=TODAY(), MIN(Log_2018[[#This Row],[Split_raw]], TODAY()-Log_2018[[#This Row],[Date]]+1), 0)</f>
        <v>1</v>
      </c>
      <c r="M35" t="s">
        <v>144</v>
      </c>
      <c r="N35" t="s">
        <v>160</v>
      </c>
      <c r="O35" s="50">
        <v>0</v>
      </c>
      <c r="P35" s="52">
        <f ca="1">Log_2018[[#This Row],[Amount]]/Log_2018[[#This Row],[Split_raw]]*MAX(0,MIN(_xlfn.DAYS(EDATE(P$1,1),Log_2018[[#This Row],[Date]]),Log_2018[[#This Row],[Split_apply]])) - SUM($O35:O35)</f>
        <v>0</v>
      </c>
      <c r="Q35" s="52">
        <f ca="1">Log_2018[[#This Row],[Amount]]/Log_2018[[#This Row],[Split_raw]]*MAX(0,MIN(_xlfn.DAYS(EDATE(Q$1,1),Log_2018[[#This Row],[Date]]),Log_2018[[#This Row],[Split_apply]])) - SUM($O35:P35)</f>
        <v>0</v>
      </c>
      <c r="R35" s="52">
        <f ca="1">Log_2018[[#This Row],[Amount]]/Log_2018[[#This Row],[Split_raw]]*MAX(0,MIN(_xlfn.DAYS(EDATE(R$1,1),Log_2018[[#This Row],[Date]]),Log_2018[[#This Row],[Split_apply]])) - SUM($O35:Q35)</f>
        <v>0</v>
      </c>
      <c r="S35" s="52">
        <f ca="1">Log_2018[[#This Row],[Amount]]/Log_2018[[#This Row],[Split_raw]]*MAX(0,MIN(_xlfn.DAYS(EDATE(S$1,1),Log_2018[[#This Row],[Date]]),Log_2018[[#This Row],[Split_apply]])) - SUM($O35:R35)</f>
        <v>0</v>
      </c>
      <c r="T35" s="52">
        <f ca="1">Log_2018[[#This Row],[Amount]]/Log_2018[[#This Row],[Split_raw]]*MAX(0,MIN(_xlfn.DAYS(EDATE(T$1,1),Log_2018[[#This Row],[Date]]),Log_2018[[#This Row],[Split_apply]])) - SUM($O35:S35)</f>
        <v>0</v>
      </c>
      <c r="U35" s="52">
        <f ca="1">Log_2018[[#This Row],[Amount]]/Log_2018[[#This Row],[Split_raw]]*MAX(0,MIN(_xlfn.DAYS(EDATE(U$1,1),Log_2018[[#This Row],[Date]]),Log_2018[[#This Row],[Split_apply]])) - SUM($O35:T35)</f>
        <v>0</v>
      </c>
      <c r="V35" s="52">
        <f ca="1">Log_2018[[#This Row],[Amount]]/Log_2018[[#This Row],[Split_raw]]*MAX(0,MIN(_xlfn.DAYS(EDATE(V$1,1),Log_2018[[#This Row],[Date]]),Log_2018[[#This Row],[Split_apply]])) - SUM($O35:U35)</f>
        <v>0</v>
      </c>
      <c r="W35" s="52">
        <f ca="1">Log_2018[[#This Row],[Amount]]/Log_2018[[#This Row],[Split_raw]]*MAX(0,MIN(_xlfn.DAYS(EDATE(W$1,1),Log_2018[[#This Row],[Date]]),Log_2018[[#This Row],[Split_apply]])) - SUM($O35:V35)</f>
        <v>0</v>
      </c>
      <c r="X35" s="52">
        <f ca="1">Log_2018[[#This Row],[Amount]]/Log_2018[[#This Row],[Split_raw]]*MAX(0,MIN(_xlfn.DAYS(EDATE(X$1,1),Log_2018[[#This Row],[Date]]),Log_2018[[#This Row],[Split_apply]])) - SUM($O35:W35)</f>
        <v>0</v>
      </c>
      <c r="Y35" s="52">
        <f ca="1">Log_2018[[#This Row],[Amount]]/Log_2018[[#This Row],[Split_raw]]*MAX(0,MIN(_xlfn.DAYS(EDATE(Y$1,1),Log_2018[[#This Row],[Date]]),Log_2018[[#This Row],[Split_apply]])) - SUM($O35:X35)</f>
        <v>0</v>
      </c>
      <c r="Z35" s="52">
        <f ca="1">Log_2018[[#This Row],[Amount]]/Log_2018[[#This Row],[Split_raw]]*MAX(0,MIN(_xlfn.DAYS(EDATE(Z$1,1),Log_2018[[#This Row],[Date]]),Log_2018[[#This Row],[Split_apply]])) - SUM($O35:Y35)</f>
        <v>0</v>
      </c>
      <c r="AA35" s="52">
        <f ca="1">Log_2018[[#This Row],[Amount]]/Log_2018[[#This Row],[Split_raw]]*MAX(0,MIN(_xlfn.DAYS(EDATE(AA$1,1),Log_2018[[#This Row],[Date]]),Log_2018[[#This Row],[Split_apply]])) - SUM($O35:Z35)</f>
        <v>18.2</v>
      </c>
      <c r="AB35" s="54">
        <f ca="1">Log_2018[[#This Row],[Amount]]-SUM(O35:AA35)</f>
        <v>0</v>
      </c>
      <c r="AC35" s="7">
        <f ca="1">MAX(0,Log_2018[[#This Row],[Split_apply]] - (EDATE(AA$1,1)-Log_2018[[#This Row],[Date]]))</f>
        <v>0</v>
      </c>
    </row>
    <row r="36" spans="1:29" hidden="1" x14ac:dyDescent="0.25">
      <c r="A36" s="115"/>
      <c r="B36" t="s">
        <v>6</v>
      </c>
      <c r="D36" s="26">
        <v>43447</v>
      </c>
      <c r="F36" t="s">
        <v>255</v>
      </c>
      <c r="G36" t="s">
        <v>25</v>
      </c>
      <c r="H36" s="3">
        <v>-8.84</v>
      </c>
      <c r="I36" s="36">
        <f>IF(Log_2018[[#This Row],[My Category]]="NONTRACKED",0,Log_2018[[#This Row],[Raw Amount]])</f>
        <v>-8.84</v>
      </c>
      <c r="J36" s="17">
        <f>ABS(Log_2018[[#This Row],[Amount]])</f>
        <v>8.84</v>
      </c>
      <c r="K36" s="66">
        <v>1</v>
      </c>
      <c r="L36" s="66">
        <f ca="1">IF(Log_2018[[#This Row],[Date]]&lt;=TODAY(), MIN(Log_2018[[#This Row],[Split_raw]], TODAY()-Log_2018[[#This Row],[Date]]+1), 0)</f>
        <v>1</v>
      </c>
      <c r="M36" t="s">
        <v>35</v>
      </c>
      <c r="N36" t="s">
        <v>158</v>
      </c>
      <c r="O36" s="50">
        <v>0</v>
      </c>
      <c r="P36" s="52">
        <f ca="1">Log_2018[[#This Row],[Amount]]/Log_2018[[#This Row],[Split_raw]]*MAX(0,MIN(_xlfn.DAYS(EDATE(P$1,1),Log_2018[[#This Row],[Date]]),Log_2018[[#This Row],[Split_apply]])) - SUM($O36:O36)</f>
        <v>0</v>
      </c>
      <c r="Q36" s="52">
        <f ca="1">Log_2018[[#This Row],[Amount]]/Log_2018[[#This Row],[Split_raw]]*MAX(0,MIN(_xlfn.DAYS(EDATE(Q$1,1),Log_2018[[#This Row],[Date]]),Log_2018[[#This Row],[Split_apply]])) - SUM($O36:P36)</f>
        <v>0</v>
      </c>
      <c r="R36" s="52">
        <f ca="1">Log_2018[[#This Row],[Amount]]/Log_2018[[#This Row],[Split_raw]]*MAX(0,MIN(_xlfn.DAYS(EDATE(R$1,1),Log_2018[[#This Row],[Date]]),Log_2018[[#This Row],[Split_apply]])) - SUM($O36:Q36)</f>
        <v>0</v>
      </c>
      <c r="S36" s="52">
        <f ca="1">Log_2018[[#This Row],[Amount]]/Log_2018[[#This Row],[Split_raw]]*MAX(0,MIN(_xlfn.DAYS(EDATE(S$1,1),Log_2018[[#This Row],[Date]]),Log_2018[[#This Row],[Split_apply]])) - SUM($O36:R36)</f>
        <v>0</v>
      </c>
      <c r="T36" s="52">
        <f ca="1">Log_2018[[#This Row],[Amount]]/Log_2018[[#This Row],[Split_raw]]*MAX(0,MIN(_xlfn.DAYS(EDATE(T$1,1),Log_2018[[#This Row],[Date]]),Log_2018[[#This Row],[Split_apply]])) - SUM($O36:S36)</f>
        <v>0</v>
      </c>
      <c r="U36" s="52">
        <f ca="1">Log_2018[[#This Row],[Amount]]/Log_2018[[#This Row],[Split_raw]]*MAX(0,MIN(_xlfn.DAYS(EDATE(U$1,1),Log_2018[[#This Row],[Date]]),Log_2018[[#This Row],[Split_apply]])) - SUM($O36:T36)</f>
        <v>0</v>
      </c>
      <c r="V36" s="52">
        <f ca="1">Log_2018[[#This Row],[Amount]]/Log_2018[[#This Row],[Split_raw]]*MAX(0,MIN(_xlfn.DAYS(EDATE(V$1,1),Log_2018[[#This Row],[Date]]),Log_2018[[#This Row],[Split_apply]])) - SUM($O36:U36)</f>
        <v>0</v>
      </c>
      <c r="W36" s="52">
        <f ca="1">Log_2018[[#This Row],[Amount]]/Log_2018[[#This Row],[Split_raw]]*MAX(0,MIN(_xlfn.DAYS(EDATE(W$1,1),Log_2018[[#This Row],[Date]]),Log_2018[[#This Row],[Split_apply]])) - SUM($O36:V36)</f>
        <v>0</v>
      </c>
      <c r="X36" s="52">
        <f ca="1">Log_2018[[#This Row],[Amount]]/Log_2018[[#This Row],[Split_raw]]*MAX(0,MIN(_xlfn.DAYS(EDATE(X$1,1),Log_2018[[#This Row],[Date]]),Log_2018[[#This Row],[Split_apply]])) - SUM($O36:W36)</f>
        <v>0</v>
      </c>
      <c r="Y36" s="52">
        <f ca="1">Log_2018[[#This Row],[Amount]]/Log_2018[[#This Row],[Split_raw]]*MAX(0,MIN(_xlfn.DAYS(EDATE(Y$1,1),Log_2018[[#This Row],[Date]]),Log_2018[[#This Row],[Split_apply]])) - SUM($O36:X36)</f>
        <v>0</v>
      </c>
      <c r="Z36" s="52">
        <f ca="1">Log_2018[[#This Row],[Amount]]/Log_2018[[#This Row],[Split_raw]]*MAX(0,MIN(_xlfn.DAYS(EDATE(Z$1,1),Log_2018[[#This Row],[Date]]),Log_2018[[#This Row],[Split_apply]])) - SUM($O36:Y36)</f>
        <v>0</v>
      </c>
      <c r="AA36" s="52">
        <f ca="1">Log_2018[[#This Row],[Amount]]/Log_2018[[#This Row],[Split_raw]]*MAX(0,MIN(_xlfn.DAYS(EDATE(AA$1,1),Log_2018[[#This Row],[Date]]),Log_2018[[#This Row],[Split_apply]])) - SUM($O36:Z36)</f>
        <v>-8.84</v>
      </c>
      <c r="AB36" s="54">
        <f ca="1">Log_2018[[#This Row],[Amount]]-SUM(O36:AA36)</f>
        <v>0</v>
      </c>
      <c r="AC36" s="7">
        <f ca="1">MAX(0,Log_2018[[#This Row],[Split_apply]] - (EDATE(AA$1,1)-Log_2018[[#This Row],[Date]]))</f>
        <v>0</v>
      </c>
    </row>
    <row r="37" spans="1:29" hidden="1" x14ac:dyDescent="0.25">
      <c r="A37" s="115"/>
      <c r="B37" t="s">
        <v>6</v>
      </c>
      <c r="D37" s="26">
        <v>43446</v>
      </c>
      <c r="F37" t="s">
        <v>345</v>
      </c>
      <c r="G37" t="s">
        <v>12</v>
      </c>
      <c r="H37" s="3">
        <v>-45.5</v>
      </c>
      <c r="I37" s="36">
        <f>IF(Log_2018[[#This Row],[My Category]]="NONTRACKED",0,Log_2018[[#This Row],[Raw Amount]])</f>
        <v>-45.5</v>
      </c>
      <c r="J37" s="17">
        <f>ABS(Log_2018[[#This Row],[Amount]])</f>
        <v>45.5</v>
      </c>
      <c r="K37" s="66">
        <v>1</v>
      </c>
      <c r="L37" s="66">
        <f ca="1">IF(Log_2018[[#This Row],[Date]]&lt;=TODAY(), MIN(Log_2018[[#This Row],[Split_raw]], TODAY()-Log_2018[[#This Row],[Date]]+1), 0)</f>
        <v>1</v>
      </c>
      <c r="M37" t="s">
        <v>12</v>
      </c>
      <c r="N37" t="s">
        <v>158</v>
      </c>
      <c r="O37" s="50">
        <v>0</v>
      </c>
      <c r="P37" s="52">
        <f ca="1">Log_2018[[#This Row],[Amount]]/Log_2018[[#This Row],[Split_raw]]*MAX(0,MIN(_xlfn.DAYS(EDATE(P$1,1),Log_2018[[#This Row],[Date]]),Log_2018[[#This Row],[Split_apply]])) - SUM($O37:O37)</f>
        <v>0</v>
      </c>
      <c r="Q37" s="52">
        <f ca="1">Log_2018[[#This Row],[Amount]]/Log_2018[[#This Row],[Split_raw]]*MAX(0,MIN(_xlfn.DAYS(EDATE(Q$1,1),Log_2018[[#This Row],[Date]]),Log_2018[[#This Row],[Split_apply]])) - SUM($O37:P37)</f>
        <v>0</v>
      </c>
      <c r="R37" s="52">
        <f ca="1">Log_2018[[#This Row],[Amount]]/Log_2018[[#This Row],[Split_raw]]*MAX(0,MIN(_xlfn.DAYS(EDATE(R$1,1),Log_2018[[#This Row],[Date]]),Log_2018[[#This Row],[Split_apply]])) - SUM($O37:Q37)</f>
        <v>0</v>
      </c>
      <c r="S37" s="52">
        <f ca="1">Log_2018[[#This Row],[Amount]]/Log_2018[[#This Row],[Split_raw]]*MAX(0,MIN(_xlfn.DAYS(EDATE(S$1,1),Log_2018[[#This Row],[Date]]),Log_2018[[#This Row],[Split_apply]])) - SUM($O37:R37)</f>
        <v>0</v>
      </c>
      <c r="T37" s="52">
        <f ca="1">Log_2018[[#This Row],[Amount]]/Log_2018[[#This Row],[Split_raw]]*MAX(0,MIN(_xlfn.DAYS(EDATE(T$1,1),Log_2018[[#This Row],[Date]]),Log_2018[[#This Row],[Split_apply]])) - SUM($O37:S37)</f>
        <v>0</v>
      </c>
      <c r="U37" s="52">
        <f ca="1">Log_2018[[#This Row],[Amount]]/Log_2018[[#This Row],[Split_raw]]*MAX(0,MIN(_xlfn.DAYS(EDATE(U$1,1),Log_2018[[#This Row],[Date]]),Log_2018[[#This Row],[Split_apply]])) - SUM($O37:T37)</f>
        <v>0</v>
      </c>
      <c r="V37" s="52">
        <f ca="1">Log_2018[[#This Row],[Amount]]/Log_2018[[#This Row],[Split_raw]]*MAX(0,MIN(_xlfn.DAYS(EDATE(V$1,1),Log_2018[[#This Row],[Date]]),Log_2018[[#This Row],[Split_apply]])) - SUM($O37:U37)</f>
        <v>0</v>
      </c>
      <c r="W37" s="52">
        <f ca="1">Log_2018[[#This Row],[Amount]]/Log_2018[[#This Row],[Split_raw]]*MAX(0,MIN(_xlfn.DAYS(EDATE(W$1,1),Log_2018[[#This Row],[Date]]),Log_2018[[#This Row],[Split_apply]])) - SUM($O37:V37)</f>
        <v>0</v>
      </c>
      <c r="X37" s="52">
        <f ca="1">Log_2018[[#This Row],[Amount]]/Log_2018[[#This Row],[Split_raw]]*MAX(0,MIN(_xlfn.DAYS(EDATE(X$1,1),Log_2018[[#This Row],[Date]]),Log_2018[[#This Row],[Split_apply]])) - SUM($O37:W37)</f>
        <v>0</v>
      </c>
      <c r="Y37" s="52">
        <f ca="1">Log_2018[[#This Row],[Amount]]/Log_2018[[#This Row],[Split_raw]]*MAX(0,MIN(_xlfn.DAYS(EDATE(Y$1,1),Log_2018[[#This Row],[Date]]),Log_2018[[#This Row],[Split_apply]])) - SUM($O37:X37)</f>
        <v>0</v>
      </c>
      <c r="Z37" s="52">
        <f ca="1">Log_2018[[#This Row],[Amount]]/Log_2018[[#This Row],[Split_raw]]*MAX(0,MIN(_xlfn.DAYS(EDATE(Z$1,1),Log_2018[[#This Row],[Date]]),Log_2018[[#This Row],[Split_apply]])) - SUM($O37:Y37)</f>
        <v>0</v>
      </c>
      <c r="AA37" s="52">
        <f ca="1">Log_2018[[#This Row],[Amount]]/Log_2018[[#This Row],[Split_raw]]*MAX(0,MIN(_xlfn.DAYS(EDATE(AA$1,1),Log_2018[[#This Row],[Date]]),Log_2018[[#This Row],[Split_apply]])) - SUM($O37:Z37)</f>
        <v>-45.5</v>
      </c>
      <c r="AB37" s="54">
        <f ca="1">Log_2018[[#This Row],[Amount]]-SUM(O37:AA37)</f>
        <v>0</v>
      </c>
      <c r="AC37" s="7">
        <f ca="1">MAX(0,Log_2018[[#This Row],[Split_apply]] - (EDATE(AA$1,1)-Log_2018[[#This Row],[Date]]))</f>
        <v>0</v>
      </c>
    </row>
    <row r="38" spans="1:29" hidden="1" x14ac:dyDescent="0.25">
      <c r="A38" s="115"/>
      <c r="B38" t="s">
        <v>6</v>
      </c>
      <c r="D38" s="26">
        <v>43446</v>
      </c>
      <c r="F38" t="s">
        <v>270</v>
      </c>
      <c r="G38" t="s">
        <v>25</v>
      </c>
      <c r="H38" s="3">
        <v>-8.1</v>
      </c>
      <c r="I38" s="36">
        <f>IF(Log_2018[[#This Row],[My Category]]="NONTRACKED",0,Log_2018[[#This Row],[Raw Amount]])</f>
        <v>-8.1</v>
      </c>
      <c r="J38" s="17">
        <f>ABS(Log_2018[[#This Row],[Amount]])</f>
        <v>8.1</v>
      </c>
      <c r="K38" s="66">
        <v>1</v>
      </c>
      <c r="L38" s="66">
        <f ca="1">IF(Log_2018[[#This Row],[Date]]&lt;=TODAY(), MIN(Log_2018[[#This Row],[Split_raw]], TODAY()-Log_2018[[#This Row],[Date]]+1), 0)</f>
        <v>1</v>
      </c>
      <c r="M38" t="s">
        <v>35</v>
      </c>
      <c r="N38" t="s">
        <v>158</v>
      </c>
      <c r="O38" s="50">
        <v>0</v>
      </c>
      <c r="P38" s="52">
        <f ca="1">Log_2018[[#This Row],[Amount]]/Log_2018[[#This Row],[Split_raw]]*MAX(0,MIN(_xlfn.DAYS(EDATE(P$1,1),Log_2018[[#This Row],[Date]]),Log_2018[[#This Row],[Split_apply]])) - SUM($O38:O38)</f>
        <v>0</v>
      </c>
      <c r="Q38" s="52">
        <f ca="1">Log_2018[[#This Row],[Amount]]/Log_2018[[#This Row],[Split_raw]]*MAX(0,MIN(_xlfn.DAYS(EDATE(Q$1,1),Log_2018[[#This Row],[Date]]),Log_2018[[#This Row],[Split_apply]])) - SUM($O38:P38)</f>
        <v>0</v>
      </c>
      <c r="R38" s="52">
        <f ca="1">Log_2018[[#This Row],[Amount]]/Log_2018[[#This Row],[Split_raw]]*MAX(0,MIN(_xlfn.DAYS(EDATE(R$1,1),Log_2018[[#This Row],[Date]]),Log_2018[[#This Row],[Split_apply]])) - SUM($O38:Q38)</f>
        <v>0</v>
      </c>
      <c r="S38" s="52">
        <f ca="1">Log_2018[[#This Row],[Amount]]/Log_2018[[#This Row],[Split_raw]]*MAX(0,MIN(_xlfn.DAYS(EDATE(S$1,1),Log_2018[[#This Row],[Date]]),Log_2018[[#This Row],[Split_apply]])) - SUM($O38:R38)</f>
        <v>0</v>
      </c>
      <c r="T38" s="52">
        <f ca="1">Log_2018[[#This Row],[Amount]]/Log_2018[[#This Row],[Split_raw]]*MAX(0,MIN(_xlfn.DAYS(EDATE(T$1,1),Log_2018[[#This Row],[Date]]),Log_2018[[#This Row],[Split_apply]])) - SUM($O38:S38)</f>
        <v>0</v>
      </c>
      <c r="U38" s="52">
        <f ca="1">Log_2018[[#This Row],[Amount]]/Log_2018[[#This Row],[Split_raw]]*MAX(0,MIN(_xlfn.DAYS(EDATE(U$1,1),Log_2018[[#This Row],[Date]]),Log_2018[[#This Row],[Split_apply]])) - SUM($O38:T38)</f>
        <v>0</v>
      </c>
      <c r="V38" s="52">
        <f ca="1">Log_2018[[#This Row],[Amount]]/Log_2018[[#This Row],[Split_raw]]*MAX(0,MIN(_xlfn.DAYS(EDATE(V$1,1),Log_2018[[#This Row],[Date]]),Log_2018[[#This Row],[Split_apply]])) - SUM($O38:U38)</f>
        <v>0</v>
      </c>
      <c r="W38" s="52">
        <f ca="1">Log_2018[[#This Row],[Amount]]/Log_2018[[#This Row],[Split_raw]]*MAX(0,MIN(_xlfn.DAYS(EDATE(W$1,1),Log_2018[[#This Row],[Date]]),Log_2018[[#This Row],[Split_apply]])) - SUM($O38:V38)</f>
        <v>0</v>
      </c>
      <c r="X38" s="52">
        <f ca="1">Log_2018[[#This Row],[Amount]]/Log_2018[[#This Row],[Split_raw]]*MAX(0,MIN(_xlfn.DAYS(EDATE(X$1,1),Log_2018[[#This Row],[Date]]),Log_2018[[#This Row],[Split_apply]])) - SUM($O38:W38)</f>
        <v>0</v>
      </c>
      <c r="Y38" s="52">
        <f ca="1">Log_2018[[#This Row],[Amount]]/Log_2018[[#This Row],[Split_raw]]*MAX(0,MIN(_xlfn.DAYS(EDATE(Y$1,1),Log_2018[[#This Row],[Date]]),Log_2018[[#This Row],[Split_apply]])) - SUM($O38:X38)</f>
        <v>0</v>
      </c>
      <c r="Z38" s="52">
        <f ca="1">Log_2018[[#This Row],[Amount]]/Log_2018[[#This Row],[Split_raw]]*MAX(0,MIN(_xlfn.DAYS(EDATE(Z$1,1),Log_2018[[#This Row],[Date]]),Log_2018[[#This Row],[Split_apply]])) - SUM($O38:Y38)</f>
        <v>0</v>
      </c>
      <c r="AA38" s="52">
        <f ca="1">Log_2018[[#This Row],[Amount]]/Log_2018[[#This Row],[Split_raw]]*MAX(0,MIN(_xlfn.DAYS(EDATE(AA$1,1),Log_2018[[#This Row],[Date]]),Log_2018[[#This Row],[Split_apply]])) - SUM($O38:Z38)</f>
        <v>-8.1</v>
      </c>
      <c r="AB38" s="54">
        <f ca="1">Log_2018[[#This Row],[Amount]]-SUM(O38:AA38)</f>
        <v>0</v>
      </c>
      <c r="AC38" s="7">
        <f ca="1">MAX(0,Log_2018[[#This Row],[Split_apply]] - (EDATE(AA$1,1)-Log_2018[[#This Row],[Date]]))</f>
        <v>0</v>
      </c>
    </row>
    <row r="39" spans="1:29" hidden="1" x14ac:dyDescent="0.25">
      <c r="A39" s="115"/>
      <c r="B39" t="s">
        <v>6</v>
      </c>
      <c r="D39" s="26">
        <v>43446</v>
      </c>
      <c r="F39" t="s">
        <v>459</v>
      </c>
      <c r="G39" t="s">
        <v>20</v>
      </c>
      <c r="H39" s="3">
        <v>-142.5</v>
      </c>
      <c r="I39" s="36">
        <f>IF(Log_2018[[#This Row],[My Category]]="NONTRACKED",0,Log_2018[[#This Row],[Raw Amount]])</f>
        <v>-142.5</v>
      </c>
      <c r="J39" s="17">
        <f>ABS(Log_2018[[#This Row],[Amount]])</f>
        <v>142.5</v>
      </c>
      <c r="K39" s="66">
        <v>1</v>
      </c>
      <c r="L39" s="66">
        <f ca="1">IF(Log_2018[[#This Row],[Date]]&lt;=TODAY(), MIN(Log_2018[[#This Row],[Split_raw]], TODAY()-Log_2018[[#This Row],[Date]]+1), 0)</f>
        <v>1</v>
      </c>
      <c r="M39" t="s">
        <v>196</v>
      </c>
      <c r="N39" t="s">
        <v>160</v>
      </c>
      <c r="O39" s="50">
        <v>0</v>
      </c>
      <c r="P39" s="52">
        <f ca="1">Log_2018[[#This Row],[Amount]]/Log_2018[[#This Row],[Split_raw]]*MAX(0,MIN(_xlfn.DAYS(EDATE(P$1,1),Log_2018[[#This Row],[Date]]),Log_2018[[#This Row],[Split_apply]])) - SUM($O39:O39)</f>
        <v>0</v>
      </c>
      <c r="Q39" s="52">
        <f ca="1">Log_2018[[#This Row],[Amount]]/Log_2018[[#This Row],[Split_raw]]*MAX(0,MIN(_xlfn.DAYS(EDATE(Q$1,1),Log_2018[[#This Row],[Date]]),Log_2018[[#This Row],[Split_apply]])) - SUM($O39:P39)</f>
        <v>0</v>
      </c>
      <c r="R39" s="52">
        <f ca="1">Log_2018[[#This Row],[Amount]]/Log_2018[[#This Row],[Split_raw]]*MAX(0,MIN(_xlfn.DAYS(EDATE(R$1,1),Log_2018[[#This Row],[Date]]),Log_2018[[#This Row],[Split_apply]])) - SUM($O39:Q39)</f>
        <v>0</v>
      </c>
      <c r="S39" s="52">
        <f ca="1">Log_2018[[#This Row],[Amount]]/Log_2018[[#This Row],[Split_raw]]*MAX(0,MIN(_xlfn.DAYS(EDATE(S$1,1),Log_2018[[#This Row],[Date]]),Log_2018[[#This Row],[Split_apply]])) - SUM($O39:R39)</f>
        <v>0</v>
      </c>
      <c r="T39" s="52">
        <f ca="1">Log_2018[[#This Row],[Amount]]/Log_2018[[#This Row],[Split_raw]]*MAX(0,MIN(_xlfn.DAYS(EDATE(T$1,1),Log_2018[[#This Row],[Date]]),Log_2018[[#This Row],[Split_apply]])) - SUM($O39:S39)</f>
        <v>0</v>
      </c>
      <c r="U39" s="52">
        <f ca="1">Log_2018[[#This Row],[Amount]]/Log_2018[[#This Row],[Split_raw]]*MAX(0,MIN(_xlfn.DAYS(EDATE(U$1,1),Log_2018[[#This Row],[Date]]),Log_2018[[#This Row],[Split_apply]])) - SUM($O39:T39)</f>
        <v>0</v>
      </c>
      <c r="V39" s="52">
        <f ca="1">Log_2018[[#This Row],[Amount]]/Log_2018[[#This Row],[Split_raw]]*MAX(0,MIN(_xlfn.DAYS(EDATE(V$1,1),Log_2018[[#This Row],[Date]]),Log_2018[[#This Row],[Split_apply]])) - SUM($O39:U39)</f>
        <v>0</v>
      </c>
      <c r="W39" s="52">
        <f ca="1">Log_2018[[#This Row],[Amount]]/Log_2018[[#This Row],[Split_raw]]*MAX(0,MIN(_xlfn.DAYS(EDATE(W$1,1),Log_2018[[#This Row],[Date]]),Log_2018[[#This Row],[Split_apply]])) - SUM($O39:V39)</f>
        <v>0</v>
      </c>
      <c r="X39" s="52">
        <f ca="1">Log_2018[[#This Row],[Amount]]/Log_2018[[#This Row],[Split_raw]]*MAX(0,MIN(_xlfn.DAYS(EDATE(X$1,1),Log_2018[[#This Row],[Date]]),Log_2018[[#This Row],[Split_apply]])) - SUM($O39:W39)</f>
        <v>0</v>
      </c>
      <c r="Y39" s="52">
        <f ca="1">Log_2018[[#This Row],[Amount]]/Log_2018[[#This Row],[Split_raw]]*MAX(0,MIN(_xlfn.DAYS(EDATE(Y$1,1),Log_2018[[#This Row],[Date]]),Log_2018[[#This Row],[Split_apply]])) - SUM($O39:X39)</f>
        <v>0</v>
      </c>
      <c r="Z39" s="52">
        <f ca="1">Log_2018[[#This Row],[Amount]]/Log_2018[[#This Row],[Split_raw]]*MAX(0,MIN(_xlfn.DAYS(EDATE(Z$1,1),Log_2018[[#This Row],[Date]]),Log_2018[[#This Row],[Split_apply]])) - SUM($O39:Y39)</f>
        <v>0</v>
      </c>
      <c r="AA39" s="52">
        <f ca="1">Log_2018[[#This Row],[Amount]]/Log_2018[[#This Row],[Split_raw]]*MAX(0,MIN(_xlfn.DAYS(EDATE(AA$1,1),Log_2018[[#This Row],[Date]]),Log_2018[[#This Row],[Split_apply]])) - SUM($O39:Z39)</f>
        <v>-142.5</v>
      </c>
      <c r="AB39" s="54">
        <f ca="1">Log_2018[[#This Row],[Amount]]-SUM(O39:AA39)</f>
        <v>0</v>
      </c>
      <c r="AC39" s="7">
        <f ca="1">MAX(0,Log_2018[[#This Row],[Split_apply]] - (EDATE(AA$1,1)-Log_2018[[#This Row],[Date]]))</f>
        <v>0</v>
      </c>
    </row>
    <row r="40" spans="1:29" hidden="1" x14ac:dyDescent="0.25">
      <c r="A40" s="115"/>
      <c r="B40" t="s">
        <v>6</v>
      </c>
      <c r="D40" s="26">
        <v>43445</v>
      </c>
      <c r="F40" t="s">
        <v>184</v>
      </c>
      <c r="G40" t="s">
        <v>11</v>
      </c>
      <c r="H40" s="3">
        <v>-4.0999999999999996</v>
      </c>
      <c r="I40" s="36">
        <f>IF(Log_2018[[#This Row],[My Category]]="NONTRACKED",0,Log_2018[[#This Row],[Raw Amount]])</f>
        <v>-4.0999999999999996</v>
      </c>
      <c r="J40" s="17">
        <f>ABS(Log_2018[[#This Row],[Amount]])</f>
        <v>4.0999999999999996</v>
      </c>
      <c r="K40" s="66">
        <v>1</v>
      </c>
      <c r="L40" s="66">
        <f ca="1">IF(Log_2018[[#This Row],[Date]]&lt;=TODAY(), MIN(Log_2018[[#This Row],[Split_raw]], TODAY()-Log_2018[[#This Row],[Date]]+1), 0)</f>
        <v>1</v>
      </c>
      <c r="M40" t="s">
        <v>12</v>
      </c>
      <c r="N40" t="s">
        <v>158</v>
      </c>
      <c r="O40" s="50">
        <v>0</v>
      </c>
      <c r="P40" s="52">
        <f ca="1">Log_2018[[#This Row],[Amount]]/Log_2018[[#This Row],[Split_raw]]*MAX(0,MIN(_xlfn.DAYS(EDATE(P$1,1),Log_2018[[#This Row],[Date]]),Log_2018[[#This Row],[Split_apply]])) - SUM($O40:O40)</f>
        <v>0</v>
      </c>
      <c r="Q40" s="52">
        <f ca="1">Log_2018[[#This Row],[Amount]]/Log_2018[[#This Row],[Split_raw]]*MAX(0,MIN(_xlfn.DAYS(EDATE(Q$1,1),Log_2018[[#This Row],[Date]]),Log_2018[[#This Row],[Split_apply]])) - SUM($O40:P40)</f>
        <v>0</v>
      </c>
      <c r="R40" s="52">
        <f ca="1">Log_2018[[#This Row],[Amount]]/Log_2018[[#This Row],[Split_raw]]*MAX(0,MIN(_xlfn.DAYS(EDATE(R$1,1),Log_2018[[#This Row],[Date]]),Log_2018[[#This Row],[Split_apply]])) - SUM($O40:Q40)</f>
        <v>0</v>
      </c>
      <c r="S40" s="52">
        <f ca="1">Log_2018[[#This Row],[Amount]]/Log_2018[[#This Row],[Split_raw]]*MAX(0,MIN(_xlfn.DAYS(EDATE(S$1,1),Log_2018[[#This Row],[Date]]),Log_2018[[#This Row],[Split_apply]])) - SUM($O40:R40)</f>
        <v>0</v>
      </c>
      <c r="T40" s="52">
        <f ca="1">Log_2018[[#This Row],[Amount]]/Log_2018[[#This Row],[Split_raw]]*MAX(0,MIN(_xlfn.DAYS(EDATE(T$1,1),Log_2018[[#This Row],[Date]]),Log_2018[[#This Row],[Split_apply]])) - SUM($O40:S40)</f>
        <v>0</v>
      </c>
      <c r="U40" s="52">
        <f ca="1">Log_2018[[#This Row],[Amount]]/Log_2018[[#This Row],[Split_raw]]*MAX(0,MIN(_xlfn.DAYS(EDATE(U$1,1),Log_2018[[#This Row],[Date]]),Log_2018[[#This Row],[Split_apply]])) - SUM($O40:T40)</f>
        <v>0</v>
      </c>
      <c r="V40" s="52">
        <f ca="1">Log_2018[[#This Row],[Amount]]/Log_2018[[#This Row],[Split_raw]]*MAX(0,MIN(_xlfn.DAYS(EDATE(V$1,1),Log_2018[[#This Row],[Date]]),Log_2018[[#This Row],[Split_apply]])) - SUM($O40:U40)</f>
        <v>0</v>
      </c>
      <c r="W40" s="52">
        <f ca="1">Log_2018[[#This Row],[Amount]]/Log_2018[[#This Row],[Split_raw]]*MAX(0,MIN(_xlfn.DAYS(EDATE(W$1,1),Log_2018[[#This Row],[Date]]),Log_2018[[#This Row],[Split_apply]])) - SUM($O40:V40)</f>
        <v>0</v>
      </c>
      <c r="X40" s="52">
        <f ca="1">Log_2018[[#This Row],[Amount]]/Log_2018[[#This Row],[Split_raw]]*MAX(0,MIN(_xlfn.DAYS(EDATE(X$1,1),Log_2018[[#This Row],[Date]]),Log_2018[[#This Row],[Split_apply]])) - SUM($O40:W40)</f>
        <v>0</v>
      </c>
      <c r="Y40" s="52">
        <f ca="1">Log_2018[[#This Row],[Amount]]/Log_2018[[#This Row],[Split_raw]]*MAX(0,MIN(_xlfn.DAYS(EDATE(Y$1,1),Log_2018[[#This Row],[Date]]),Log_2018[[#This Row],[Split_apply]])) - SUM($O40:X40)</f>
        <v>0</v>
      </c>
      <c r="Z40" s="52">
        <f ca="1">Log_2018[[#This Row],[Amount]]/Log_2018[[#This Row],[Split_raw]]*MAX(0,MIN(_xlfn.DAYS(EDATE(Z$1,1),Log_2018[[#This Row],[Date]]),Log_2018[[#This Row],[Split_apply]])) - SUM($O40:Y40)</f>
        <v>0</v>
      </c>
      <c r="AA40" s="52">
        <f ca="1">Log_2018[[#This Row],[Amount]]/Log_2018[[#This Row],[Split_raw]]*MAX(0,MIN(_xlfn.DAYS(EDATE(AA$1,1),Log_2018[[#This Row],[Date]]),Log_2018[[#This Row],[Split_apply]])) - SUM($O40:Z40)</f>
        <v>-4.0999999999999996</v>
      </c>
      <c r="AB40" s="54">
        <f ca="1">Log_2018[[#This Row],[Amount]]-SUM(O40:AA40)</f>
        <v>0</v>
      </c>
      <c r="AC40" s="7">
        <f ca="1">MAX(0,Log_2018[[#This Row],[Split_apply]] - (EDATE(AA$1,1)-Log_2018[[#This Row],[Date]]))</f>
        <v>0</v>
      </c>
    </row>
    <row r="41" spans="1:29" hidden="1" x14ac:dyDescent="0.25">
      <c r="A41" s="115"/>
      <c r="B41" t="s">
        <v>6</v>
      </c>
      <c r="D41" s="26">
        <v>43445</v>
      </c>
      <c r="F41" t="s">
        <v>59</v>
      </c>
      <c r="G41" t="s">
        <v>25</v>
      </c>
      <c r="H41" s="3">
        <v>-7.94</v>
      </c>
      <c r="I41" s="36">
        <f>IF(Log_2018[[#This Row],[My Category]]="NONTRACKED",0,Log_2018[[#This Row],[Raw Amount]])</f>
        <v>-7.94</v>
      </c>
      <c r="J41" s="17">
        <f>ABS(Log_2018[[#This Row],[Amount]])</f>
        <v>7.94</v>
      </c>
      <c r="K41" s="66">
        <v>1</v>
      </c>
      <c r="L41" s="66">
        <f ca="1">IF(Log_2018[[#This Row],[Date]]&lt;=TODAY(), MIN(Log_2018[[#This Row],[Split_raw]], TODAY()-Log_2018[[#This Row],[Date]]+1), 0)</f>
        <v>1</v>
      </c>
      <c r="M41" t="s">
        <v>35</v>
      </c>
      <c r="N41" t="s">
        <v>158</v>
      </c>
      <c r="O41" s="50">
        <v>0</v>
      </c>
      <c r="P41" s="52">
        <f ca="1">Log_2018[[#This Row],[Amount]]/Log_2018[[#This Row],[Split_raw]]*MAX(0,MIN(_xlfn.DAYS(EDATE(P$1,1),Log_2018[[#This Row],[Date]]),Log_2018[[#This Row],[Split_apply]])) - SUM($O41:O41)</f>
        <v>0</v>
      </c>
      <c r="Q41" s="52">
        <f ca="1">Log_2018[[#This Row],[Amount]]/Log_2018[[#This Row],[Split_raw]]*MAX(0,MIN(_xlfn.DAYS(EDATE(Q$1,1),Log_2018[[#This Row],[Date]]),Log_2018[[#This Row],[Split_apply]])) - SUM($O41:P41)</f>
        <v>0</v>
      </c>
      <c r="R41" s="52">
        <f ca="1">Log_2018[[#This Row],[Amount]]/Log_2018[[#This Row],[Split_raw]]*MAX(0,MIN(_xlfn.DAYS(EDATE(R$1,1),Log_2018[[#This Row],[Date]]),Log_2018[[#This Row],[Split_apply]])) - SUM($O41:Q41)</f>
        <v>0</v>
      </c>
      <c r="S41" s="52">
        <f ca="1">Log_2018[[#This Row],[Amount]]/Log_2018[[#This Row],[Split_raw]]*MAX(0,MIN(_xlfn.DAYS(EDATE(S$1,1),Log_2018[[#This Row],[Date]]),Log_2018[[#This Row],[Split_apply]])) - SUM($O41:R41)</f>
        <v>0</v>
      </c>
      <c r="T41" s="52">
        <f ca="1">Log_2018[[#This Row],[Amount]]/Log_2018[[#This Row],[Split_raw]]*MAX(0,MIN(_xlfn.DAYS(EDATE(T$1,1),Log_2018[[#This Row],[Date]]),Log_2018[[#This Row],[Split_apply]])) - SUM($O41:S41)</f>
        <v>0</v>
      </c>
      <c r="U41" s="52">
        <f ca="1">Log_2018[[#This Row],[Amount]]/Log_2018[[#This Row],[Split_raw]]*MAX(0,MIN(_xlfn.DAYS(EDATE(U$1,1),Log_2018[[#This Row],[Date]]),Log_2018[[#This Row],[Split_apply]])) - SUM($O41:T41)</f>
        <v>0</v>
      </c>
      <c r="V41" s="52">
        <f ca="1">Log_2018[[#This Row],[Amount]]/Log_2018[[#This Row],[Split_raw]]*MAX(0,MIN(_xlfn.DAYS(EDATE(V$1,1),Log_2018[[#This Row],[Date]]),Log_2018[[#This Row],[Split_apply]])) - SUM($O41:U41)</f>
        <v>0</v>
      </c>
      <c r="W41" s="52">
        <f ca="1">Log_2018[[#This Row],[Amount]]/Log_2018[[#This Row],[Split_raw]]*MAX(0,MIN(_xlfn.DAYS(EDATE(W$1,1),Log_2018[[#This Row],[Date]]),Log_2018[[#This Row],[Split_apply]])) - SUM($O41:V41)</f>
        <v>0</v>
      </c>
      <c r="X41" s="52">
        <f ca="1">Log_2018[[#This Row],[Amount]]/Log_2018[[#This Row],[Split_raw]]*MAX(0,MIN(_xlfn.DAYS(EDATE(X$1,1),Log_2018[[#This Row],[Date]]),Log_2018[[#This Row],[Split_apply]])) - SUM($O41:W41)</f>
        <v>0</v>
      </c>
      <c r="Y41" s="52">
        <f ca="1">Log_2018[[#This Row],[Amount]]/Log_2018[[#This Row],[Split_raw]]*MAX(0,MIN(_xlfn.DAYS(EDATE(Y$1,1),Log_2018[[#This Row],[Date]]),Log_2018[[#This Row],[Split_apply]])) - SUM($O41:X41)</f>
        <v>0</v>
      </c>
      <c r="Z41" s="52">
        <f ca="1">Log_2018[[#This Row],[Amount]]/Log_2018[[#This Row],[Split_raw]]*MAX(0,MIN(_xlfn.DAYS(EDATE(Z$1,1),Log_2018[[#This Row],[Date]]),Log_2018[[#This Row],[Split_apply]])) - SUM($O41:Y41)</f>
        <v>0</v>
      </c>
      <c r="AA41" s="52">
        <f ca="1">Log_2018[[#This Row],[Amount]]/Log_2018[[#This Row],[Split_raw]]*MAX(0,MIN(_xlfn.DAYS(EDATE(AA$1,1),Log_2018[[#This Row],[Date]]),Log_2018[[#This Row],[Split_apply]])) - SUM($O41:Z41)</f>
        <v>-7.94</v>
      </c>
      <c r="AB41" s="54">
        <f ca="1">Log_2018[[#This Row],[Amount]]-SUM(O41:AA41)</f>
        <v>0</v>
      </c>
      <c r="AC41" s="7">
        <f ca="1">MAX(0,Log_2018[[#This Row],[Split_apply]] - (EDATE(AA$1,1)-Log_2018[[#This Row],[Date]]))</f>
        <v>0</v>
      </c>
    </row>
    <row r="42" spans="1:29" hidden="1" x14ac:dyDescent="0.25">
      <c r="A42" s="115"/>
      <c r="B42" s="34" t="s">
        <v>6</v>
      </c>
      <c r="D42" s="26">
        <v>43445</v>
      </c>
      <c r="F42" t="s">
        <v>83</v>
      </c>
      <c r="G42" t="s">
        <v>15</v>
      </c>
      <c r="H42" s="3">
        <v>-202.02</v>
      </c>
      <c r="I42" s="36">
        <f>IF(Log_2018[[#This Row],[My Category]]="NONTRACKED",0,Log_2018[[#This Row],[Raw Amount]])</f>
        <v>-202.02</v>
      </c>
      <c r="J42" s="17">
        <f>ABS(Log_2018[[#This Row],[Amount]])</f>
        <v>202.02</v>
      </c>
      <c r="K42" s="66">
        <v>30</v>
      </c>
      <c r="L42" s="66">
        <f ca="1">IF(Log_2018[[#This Row],[Date]]&lt;=TODAY(), MIN(Log_2018[[#This Row],[Split_raw]], TODAY()-Log_2018[[#This Row],[Date]]+1), 0)</f>
        <v>30</v>
      </c>
      <c r="M42" t="s">
        <v>241</v>
      </c>
      <c r="N42" t="s">
        <v>160</v>
      </c>
      <c r="O42" s="50">
        <v>0</v>
      </c>
      <c r="P42" s="52">
        <f ca="1">Log_2018[[#This Row],[Amount]]/Log_2018[[#This Row],[Split_raw]]*MAX(0,MIN(_xlfn.DAYS(EDATE(P$1,1),Log_2018[[#This Row],[Date]]),Log_2018[[#This Row],[Split_apply]])) - SUM($O42:O42)</f>
        <v>0</v>
      </c>
      <c r="Q42" s="52">
        <f ca="1">Log_2018[[#This Row],[Amount]]/Log_2018[[#This Row],[Split_raw]]*MAX(0,MIN(_xlfn.DAYS(EDATE(Q$1,1),Log_2018[[#This Row],[Date]]),Log_2018[[#This Row],[Split_apply]])) - SUM($O42:P42)</f>
        <v>0</v>
      </c>
      <c r="R42" s="52">
        <f ca="1">Log_2018[[#This Row],[Amount]]/Log_2018[[#This Row],[Split_raw]]*MAX(0,MIN(_xlfn.DAYS(EDATE(R$1,1),Log_2018[[#This Row],[Date]]),Log_2018[[#This Row],[Split_apply]])) - SUM($O42:Q42)</f>
        <v>0</v>
      </c>
      <c r="S42" s="52">
        <f ca="1">Log_2018[[#This Row],[Amount]]/Log_2018[[#This Row],[Split_raw]]*MAX(0,MIN(_xlfn.DAYS(EDATE(S$1,1),Log_2018[[#This Row],[Date]]),Log_2018[[#This Row],[Split_apply]])) - SUM($O42:R42)</f>
        <v>0</v>
      </c>
      <c r="T42" s="52">
        <f ca="1">Log_2018[[#This Row],[Amount]]/Log_2018[[#This Row],[Split_raw]]*MAX(0,MIN(_xlfn.DAYS(EDATE(T$1,1),Log_2018[[#This Row],[Date]]),Log_2018[[#This Row],[Split_apply]])) - SUM($O42:S42)</f>
        <v>0</v>
      </c>
      <c r="U42" s="52">
        <f ca="1">Log_2018[[#This Row],[Amount]]/Log_2018[[#This Row],[Split_raw]]*MAX(0,MIN(_xlfn.DAYS(EDATE(U$1,1),Log_2018[[#This Row],[Date]]),Log_2018[[#This Row],[Split_apply]])) - SUM($O42:T42)</f>
        <v>0</v>
      </c>
      <c r="V42" s="52">
        <f ca="1">Log_2018[[#This Row],[Amount]]/Log_2018[[#This Row],[Split_raw]]*MAX(0,MIN(_xlfn.DAYS(EDATE(V$1,1),Log_2018[[#This Row],[Date]]),Log_2018[[#This Row],[Split_apply]])) - SUM($O42:U42)</f>
        <v>0</v>
      </c>
      <c r="W42" s="52">
        <f ca="1">Log_2018[[#This Row],[Amount]]/Log_2018[[#This Row],[Split_raw]]*MAX(0,MIN(_xlfn.DAYS(EDATE(W$1,1),Log_2018[[#This Row],[Date]]),Log_2018[[#This Row],[Split_apply]])) - SUM($O42:V42)</f>
        <v>0</v>
      </c>
      <c r="X42" s="52">
        <f ca="1">Log_2018[[#This Row],[Amount]]/Log_2018[[#This Row],[Split_raw]]*MAX(0,MIN(_xlfn.DAYS(EDATE(X$1,1),Log_2018[[#This Row],[Date]]),Log_2018[[#This Row],[Split_apply]])) - SUM($O42:W42)</f>
        <v>0</v>
      </c>
      <c r="Y42" s="52">
        <f ca="1">Log_2018[[#This Row],[Amount]]/Log_2018[[#This Row],[Split_raw]]*MAX(0,MIN(_xlfn.DAYS(EDATE(Y$1,1),Log_2018[[#This Row],[Date]]),Log_2018[[#This Row],[Split_apply]])) - SUM($O42:X42)</f>
        <v>0</v>
      </c>
      <c r="Z42" s="52">
        <f ca="1">Log_2018[[#This Row],[Amount]]/Log_2018[[#This Row],[Split_raw]]*MAX(0,MIN(_xlfn.DAYS(EDATE(Z$1,1),Log_2018[[#This Row],[Date]]),Log_2018[[#This Row],[Split_apply]])) - SUM($O42:Y42)</f>
        <v>0</v>
      </c>
      <c r="AA42" s="52">
        <f ca="1">Log_2018[[#This Row],[Amount]]/Log_2018[[#This Row],[Split_raw]]*MAX(0,MIN(_xlfn.DAYS(EDATE(AA$1,1),Log_2018[[#This Row],[Date]]),Log_2018[[#This Row],[Split_apply]])) - SUM($O42:Z42)</f>
        <v>-141.41399999999999</v>
      </c>
      <c r="AB42" s="54">
        <f ca="1">Log_2018[[#This Row],[Amount]]-SUM(O42:AA42)</f>
        <v>-60.606000000000023</v>
      </c>
      <c r="AC42" s="7">
        <f ca="1">MAX(0,Log_2018[[#This Row],[Split_apply]] - (EDATE(AA$1,1)-Log_2018[[#This Row],[Date]]))</f>
        <v>9</v>
      </c>
    </row>
    <row r="43" spans="1:29" hidden="1" x14ac:dyDescent="0.25">
      <c r="A43" s="115"/>
      <c r="B43" t="s">
        <v>6</v>
      </c>
      <c r="D43" s="26">
        <v>43444</v>
      </c>
      <c r="F43" t="s">
        <v>59</v>
      </c>
      <c r="G43" t="s">
        <v>25</v>
      </c>
      <c r="H43" s="3">
        <v>-7.94</v>
      </c>
      <c r="I43" s="36">
        <f>IF(Log_2018[[#This Row],[My Category]]="NONTRACKED",0,Log_2018[[#This Row],[Raw Amount]])</f>
        <v>-7.94</v>
      </c>
      <c r="J43" s="17">
        <f>ABS(Log_2018[[#This Row],[Amount]])</f>
        <v>7.94</v>
      </c>
      <c r="K43" s="66">
        <v>1</v>
      </c>
      <c r="L43" s="66">
        <f ca="1">IF(Log_2018[[#This Row],[Date]]&lt;=TODAY(), MIN(Log_2018[[#This Row],[Split_raw]], TODAY()-Log_2018[[#This Row],[Date]]+1), 0)</f>
        <v>1</v>
      </c>
      <c r="M43" t="s">
        <v>35</v>
      </c>
      <c r="N43" t="s">
        <v>158</v>
      </c>
      <c r="O43" s="50">
        <v>0</v>
      </c>
      <c r="P43" s="52">
        <f ca="1">Log_2018[[#This Row],[Amount]]/Log_2018[[#This Row],[Split_raw]]*MAX(0,MIN(_xlfn.DAYS(EDATE(P$1,1),Log_2018[[#This Row],[Date]]),Log_2018[[#This Row],[Split_apply]])) - SUM($O43:O43)</f>
        <v>0</v>
      </c>
      <c r="Q43" s="52">
        <f ca="1">Log_2018[[#This Row],[Amount]]/Log_2018[[#This Row],[Split_raw]]*MAX(0,MIN(_xlfn.DAYS(EDATE(Q$1,1),Log_2018[[#This Row],[Date]]),Log_2018[[#This Row],[Split_apply]])) - SUM($O43:P43)</f>
        <v>0</v>
      </c>
      <c r="R43" s="52">
        <f ca="1">Log_2018[[#This Row],[Amount]]/Log_2018[[#This Row],[Split_raw]]*MAX(0,MIN(_xlfn.DAYS(EDATE(R$1,1),Log_2018[[#This Row],[Date]]),Log_2018[[#This Row],[Split_apply]])) - SUM($O43:Q43)</f>
        <v>0</v>
      </c>
      <c r="S43" s="52">
        <f ca="1">Log_2018[[#This Row],[Amount]]/Log_2018[[#This Row],[Split_raw]]*MAX(0,MIN(_xlfn.DAYS(EDATE(S$1,1),Log_2018[[#This Row],[Date]]),Log_2018[[#This Row],[Split_apply]])) - SUM($O43:R43)</f>
        <v>0</v>
      </c>
      <c r="T43" s="52">
        <f ca="1">Log_2018[[#This Row],[Amount]]/Log_2018[[#This Row],[Split_raw]]*MAX(0,MIN(_xlfn.DAYS(EDATE(T$1,1),Log_2018[[#This Row],[Date]]),Log_2018[[#This Row],[Split_apply]])) - SUM($O43:S43)</f>
        <v>0</v>
      </c>
      <c r="U43" s="52">
        <f ca="1">Log_2018[[#This Row],[Amount]]/Log_2018[[#This Row],[Split_raw]]*MAX(0,MIN(_xlfn.DAYS(EDATE(U$1,1),Log_2018[[#This Row],[Date]]),Log_2018[[#This Row],[Split_apply]])) - SUM($O43:T43)</f>
        <v>0</v>
      </c>
      <c r="V43" s="52">
        <f ca="1">Log_2018[[#This Row],[Amount]]/Log_2018[[#This Row],[Split_raw]]*MAX(0,MIN(_xlfn.DAYS(EDATE(V$1,1),Log_2018[[#This Row],[Date]]),Log_2018[[#This Row],[Split_apply]])) - SUM($O43:U43)</f>
        <v>0</v>
      </c>
      <c r="W43" s="52">
        <f ca="1">Log_2018[[#This Row],[Amount]]/Log_2018[[#This Row],[Split_raw]]*MAX(0,MIN(_xlfn.DAYS(EDATE(W$1,1),Log_2018[[#This Row],[Date]]),Log_2018[[#This Row],[Split_apply]])) - SUM($O43:V43)</f>
        <v>0</v>
      </c>
      <c r="X43" s="52">
        <f ca="1">Log_2018[[#This Row],[Amount]]/Log_2018[[#This Row],[Split_raw]]*MAX(0,MIN(_xlfn.DAYS(EDATE(X$1,1),Log_2018[[#This Row],[Date]]),Log_2018[[#This Row],[Split_apply]])) - SUM($O43:W43)</f>
        <v>0</v>
      </c>
      <c r="Y43" s="52">
        <f ca="1">Log_2018[[#This Row],[Amount]]/Log_2018[[#This Row],[Split_raw]]*MAX(0,MIN(_xlfn.DAYS(EDATE(Y$1,1),Log_2018[[#This Row],[Date]]),Log_2018[[#This Row],[Split_apply]])) - SUM($O43:X43)</f>
        <v>0</v>
      </c>
      <c r="Z43" s="52">
        <f ca="1">Log_2018[[#This Row],[Amount]]/Log_2018[[#This Row],[Split_raw]]*MAX(0,MIN(_xlfn.DAYS(EDATE(Z$1,1),Log_2018[[#This Row],[Date]]),Log_2018[[#This Row],[Split_apply]])) - SUM($O43:Y43)</f>
        <v>0</v>
      </c>
      <c r="AA43" s="52">
        <f ca="1">Log_2018[[#This Row],[Amount]]/Log_2018[[#This Row],[Split_raw]]*MAX(0,MIN(_xlfn.DAYS(EDATE(AA$1,1),Log_2018[[#This Row],[Date]]),Log_2018[[#This Row],[Split_apply]])) - SUM($O43:Z43)</f>
        <v>-7.94</v>
      </c>
      <c r="AB43" s="54">
        <f ca="1">Log_2018[[#This Row],[Amount]]-SUM(O43:AA43)</f>
        <v>0</v>
      </c>
      <c r="AC43" s="7">
        <f ca="1">MAX(0,Log_2018[[#This Row],[Split_apply]] - (EDATE(AA$1,1)-Log_2018[[#This Row],[Date]]))</f>
        <v>0</v>
      </c>
    </row>
    <row r="44" spans="1:29" hidden="1" x14ac:dyDescent="0.25">
      <c r="A44" s="115"/>
      <c r="B44" t="s">
        <v>6</v>
      </c>
      <c r="D44" s="26">
        <v>43444</v>
      </c>
      <c r="F44" t="s">
        <v>430</v>
      </c>
      <c r="G44" t="s">
        <v>10</v>
      </c>
      <c r="H44" s="3">
        <v>-25.99</v>
      </c>
      <c r="I44" s="36">
        <f>IF(Log_2018[[#This Row],[My Category]]="NONTRACKED",0,Log_2018[[#This Row],[Raw Amount]])</f>
        <v>-25.99</v>
      </c>
      <c r="J44" s="17">
        <f>ABS(Log_2018[[#This Row],[Amount]])</f>
        <v>25.99</v>
      </c>
      <c r="K44" s="66">
        <v>1</v>
      </c>
      <c r="L44" s="66">
        <f ca="1">IF(Log_2018[[#This Row],[Date]]&lt;=TODAY(), MIN(Log_2018[[#This Row],[Split_raw]], TODAY()-Log_2018[[#This Row],[Date]]+1), 0)</f>
        <v>1</v>
      </c>
      <c r="M44" t="s">
        <v>52</v>
      </c>
      <c r="N44" t="s">
        <v>158</v>
      </c>
      <c r="O44" s="50">
        <v>0</v>
      </c>
      <c r="P44" s="52">
        <f ca="1">Log_2018[[#This Row],[Amount]]/Log_2018[[#This Row],[Split_raw]]*MAX(0,MIN(_xlfn.DAYS(EDATE(P$1,1),Log_2018[[#This Row],[Date]]),Log_2018[[#This Row],[Split_apply]])) - SUM($O44:O44)</f>
        <v>0</v>
      </c>
      <c r="Q44" s="52">
        <f ca="1">Log_2018[[#This Row],[Amount]]/Log_2018[[#This Row],[Split_raw]]*MAX(0,MIN(_xlfn.DAYS(EDATE(Q$1,1),Log_2018[[#This Row],[Date]]),Log_2018[[#This Row],[Split_apply]])) - SUM($O44:P44)</f>
        <v>0</v>
      </c>
      <c r="R44" s="52">
        <f ca="1">Log_2018[[#This Row],[Amount]]/Log_2018[[#This Row],[Split_raw]]*MAX(0,MIN(_xlfn.DAYS(EDATE(R$1,1),Log_2018[[#This Row],[Date]]),Log_2018[[#This Row],[Split_apply]])) - SUM($O44:Q44)</f>
        <v>0</v>
      </c>
      <c r="S44" s="52">
        <f ca="1">Log_2018[[#This Row],[Amount]]/Log_2018[[#This Row],[Split_raw]]*MAX(0,MIN(_xlfn.DAYS(EDATE(S$1,1),Log_2018[[#This Row],[Date]]),Log_2018[[#This Row],[Split_apply]])) - SUM($O44:R44)</f>
        <v>0</v>
      </c>
      <c r="T44" s="52">
        <f ca="1">Log_2018[[#This Row],[Amount]]/Log_2018[[#This Row],[Split_raw]]*MAX(0,MIN(_xlfn.DAYS(EDATE(T$1,1),Log_2018[[#This Row],[Date]]),Log_2018[[#This Row],[Split_apply]])) - SUM($O44:S44)</f>
        <v>0</v>
      </c>
      <c r="U44" s="52">
        <f ca="1">Log_2018[[#This Row],[Amount]]/Log_2018[[#This Row],[Split_raw]]*MAX(0,MIN(_xlfn.DAYS(EDATE(U$1,1),Log_2018[[#This Row],[Date]]),Log_2018[[#This Row],[Split_apply]])) - SUM($O44:T44)</f>
        <v>0</v>
      </c>
      <c r="V44" s="52">
        <f ca="1">Log_2018[[#This Row],[Amount]]/Log_2018[[#This Row],[Split_raw]]*MAX(0,MIN(_xlfn.DAYS(EDATE(V$1,1),Log_2018[[#This Row],[Date]]),Log_2018[[#This Row],[Split_apply]])) - SUM($O44:U44)</f>
        <v>0</v>
      </c>
      <c r="W44" s="52">
        <f ca="1">Log_2018[[#This Row],[Amount]]/Log_2018[[#This Row],[Split_raw]]*MAX(0,MIN(_xlfn.DAYS(EDATE(W$1,1),Log_2018[[#This Row],[Date]]),Log_2018[[#This Row],[Split_apply]])) - SUM($O44:V44)</f>
        <v>0</v>
      </c>
      <c r="X44" s="52">
        <f ca="1">Log_2018[[#This Row],[Amount]]/Log_2018[[#This Row],[Split_raw]]*MAX(0,MIN(_xlfn.DAYS(EDATE(X$1,1),Log_2018[[#This Row],[Date]]),Log_2018[[#This Row],[Split_apply]])) - SUM($O44:W44)</f>
        <v>0</v>
      </c>
      <c r="Y44" s="52">
        <f ca="1">Log_2018[[#This Row],[Amount]]/Log_2018[[#This Row],[Split_raw]]*MAX(0,MIN(_xlfn.DAYS(EDATE(Y$1,1),Log_2018[[#This Row],[Date]]),Log_2018[[#This Row],[Split_apply]])) - SUM($O44:X44)</f>
        <v>0</v>
      </c>
      <c r="Z44" s="52">
        <f ca="1">Log_2018[[#This Row],[Amount]]/Log_2018[[#This Row],[Split_raw]]*MAX(0,MIN(_xlfn.DAYS(EDATE(Z$1,1),Log_2018[[#This Row],[Date]]),Log_2018[[#This Row],[Split_apply]])) - SUM($O44:Y44)</f>
        <v>0</v>
      </c>
      <c r="AA44" s="52">
        <f ca="1">Log_2018[[#This Row],[Amount]]/Log_2018[[#This Row],[Split_raw]]*MAX(0,MIN(_xlfn.DAYS(EDATE(AA$1,1),Log_2018[[#This Row],[Date]]),Log_2018[[#This Row],[Split_apply]])) - SUM($O44:Z44)</f>
        <v>-25.99</v>
      </c>
      <c r="AB44" s="54">
        <f ca="1">Log_2018[[#This Row],[Amount]]-SUM(O44:AA44)</f>
        <v>0</v>
      </c>
      <c r="AC44" s="7">
        <f ca="1">MAX(0,Log_2018[[#This Row],[Split_apply]] - (EDATE(AA$1,1)-Log_2018[[#This Row],[Date]]))</f>
        <v>0</v>
      </c>
    </row>
    <row r="45" spans="1:29" hidden="1" x14ac:dyDescent="0.25">
      <c r="A45" s="115"/>
      <c r="B45" t="s">
        <v>6</v>
      </c>
      <c r="D45" s="26">
        <v>43444</v>
      </c>
      <c r="F45" t="s">
        <v>255</v>
      </c>
      <c r="G45" t="s">
        <v>25</v>
      </c>
      <c r="H45" s="3">
        <v>-4.6100000000000003</v>
      </c>
      <c r="I45" s="36">
        <f>IF(Log_2018[[#This Row],[My Category]]="NONTRACKED",0,Log_2018[[#This Row],[Raw Amount]])</f>
        <v>-4.6100000000000003</v>
      </c>
      <c r="J45" s="17">
        <f>ABS(Log_2018[[#This Row],[Amount]])</f>
        <v>4.6100000000000003</v>
      </c>
      <c r="K45" s="66">
        <v>1</v>
      </c>
      <c r="L45" s="66">
        <f ca="1">IF(Log_2018[[#This Row],[Date]]&lt;=TODAY(), MIN(Log_2018[[#This Row],[Split_raw]], TODAY()-Log_2018[[#This Row],[Date]]+1), 0)</f>
        <v>1</v>
      </c>
      <c r="M45" t="s">
        <v>35</v>
      </c>
      <c r="N45" t="s">
        <v>158</v>
      </c>
      <c r="O45" s="50">
        <v>0</v>
      </c>
      <c r="P45" s="52">
        <f ca="1">Log_2018[[#This Row],[Amount]]/Log_2018[[#This Row],[Split_raw]]*MAX(0,MIN(_xlfn.DAYS(EDATE(P$1,1),Log_2018[[#This Row],[Date]]),Log_2018[[#This Row],[Split_apply]])) - SUM($O45:O45)</f>
        <v>0</v>
      </c>
      <c r="Q45" s="52">
        <f ca="1">Log_2018[[#This Row],[Amount]]/Log_2018[[#This Row],[Split_raw]]*MAX(0,MIN(_xlfn.DAYS(EDATE(Q$1,1),Log_2018[[#This Row],[Date]]),Log_2018[[#This Row],[Split_apply]])) - SUM($O45:P45)</f>
        <v>0</v>
      </c>
      <c r="R45" s="52">
        <f ca="1">Log_2018[[#This Row],[Amount]]/Log_2018[[#This Row],[Split_raw]]*MAX(0,MIN(_xlfn.DAYS(EDATE(R$1,1),Log_2018[[#This Row],[Date]]),Log_2018[[#This Row],[Split_apply]])) - SUM($O45:Q45)</f>
        <v>0</v>
      </c>
      <c r="S45" s="52">
        <f ca="1">Log_2018[[#This Row],[Amount]]/Log_2018[[#This Row],[Split_raw]]*MAX(0,MIN(_xlfn.DAYS(EDATE(S$1,1),Log_2018[[#This Row],[Date]]),Log_2018[[#This Row],[Split_apply]])) - SUM($O45:R45)</f>
        <v>0</v>
      </c>
      <c r="T45" s="52">
        <f ca="1">Log_2018[[#This Row],[Amount]]/Log_2018[[#This Row],[Split_raw]]*MAX(0,MIN(_xlfn.DAYS(EDATE(T$1,1),Log_2018[[#This Row],[Date]]),Log_2018[[#This Row],[Split_apply]])) - SUM($O45:S45)</f>
        <v>0</v>
      </c>
      <c r="U45" s="52">
        <f ca="1">Log_2018[[#This Row],[Amount]]/Log_2018[[#This Row],[Split_raw]]*MAX(0,MIN(_xlfn.DAYS(EDATE(U$1,1),Log_2018[[#This Row],[Date]]),Log_2018[[#This Row],[Split_apply]])) - SUM($O45:T45)</f>
        <v>0</v>
      </c>
      <c r="V45" s="52">
        <f ca="1">Log_2018[[#This Row],[Amount]]/Log_2018[[#This Row],[Split_raw]]*MAX(0,MIN(_xlfn.DAYS(EDATE(V$1,1),Log_2018[[#This Row],[Date]]),Log_2018[[#This Row],[Split_apply]])) - SUM($O45:U45)</f>
        <v>0</v>
      </c>
      <c r="W45" s="52">
        <f ca="1">Log_2018[[#This Row],[Amount]]/Log_2018[[#This Row],[Split_raw]]*MAX(0,MIN(_xlfn.DAYS(EDATE(W$1,1),Log_2018[[#This Row],[Date]]),Log_2018[[#This Row],[Split_apply]])) - SUM($O45:V45)</f>
        <v>0</v>
      </c>
      <c r="X45" s="52">
        <f ca="1">Log_2018[[#This Row],[Amount]]/Log_2018[[#This Row],[Split_raw]]*MAX(0,MIN(_xlfn.DAYS(EDATE(X$1,1),Log_2018[[#This Row],[Date]]),Log_2018[[#This Row],[Split_apply]])) - SUM($O45:W45)</f>
        <v>0</v>
      </c>
      <c r="Y45" s="52">
        <f ca="1">Log_2018[[#This Row],[Amount]]/Log_2018[[#This Row],[Split_raw]]*MAX(0,MIN(_xlfn.DAYS(EDATE(Y$1,1),Log_2018[[#This Row],[Date]]),Log_2018[[#This Row],[Split_apply]])) - SUM($O45:X45)</f>
        <v>0</v>
      </c>
      <c r="Z45" s="52">
        <f ca="1">Log_2018[[#This Row],[Amount]]/Log_2018[[#This Row],[Split_raw]]*MAX(0,MIN(_xlfn.DAYS(EDATE(Z$1,1),Log_2018[[#This Row],[Date]]),Log_2018[[#This Row],[Split_apply]])) - SUM($O45:Y45)</f>
        <v>0</v>
      </c>
      <c r="AA45" s="52">
        <f ca="1">Log_2018[[#This Row],[Amount]]/Log_2018[[#This Row],[Split_raw]]*MAX(0,MIN(_xlfn.DAYS(EDATE(AA$1,1),Log_2018[[#This Row],[Date]]),Log_2018[[#This Row],[Split_apply]])) - SUM($O45:Z45)</f>
        <v>-4.6100000000000003</v>
      </c>
      <c r="AB45" s="54">
        <f ca="1">Log_2018[[#This Row],[Amount]]-SUM(O45:AA45)</f>
        <v>0</v>
      </c>
      <c r="AC45" s="7">
        <f ca="1">MAX(0,Log_2018[[#This Row],[Split_apply]] - (EDATE(AA$1,1)-Log_2018[[#This Row],[Date]]))</f>
        <v>0</v>
      </c>
    </row>
    <row r="46" spans="1:29" hidden="1" x14ac:dyDescent="0.25">
      <c r="A46" s="115"/>
      <c r="B46" t="s">
        <v>6</v>
      </c>
      <c r="D46" s="26">
        <v>43444</v>
      </c>
      <c r="E46" t="s">
        <v>250</v>
      </c>
      <c r="F46" t="s">
        <v>243</v>
      </c>
      <c r="G46" t="s">
        <v>143</v>
      </c>
      <c r="H46" s="3">
        <v>-10.81</v>
      </c>
      <c r="I46" s="36">
        <f>IF(Log_2018[[#This Row],[My Category]]="NONTRACKED",0,Log_2018[[#This Row],[Raw Amount]])</f>
        <v>-10.81</v>
      </c>
      <c r="J46" s="17">
        <f>ABS(Log_2018[[#This Row],[Amount]])</f>
        <v>10.81</v>
      </c>
      <c r="K46" s="66">
        <v>30</v>
      </c>
      <c r="L46" s="66">
        <f ca="1">IF(Log_2018[[#This Row],[Date]]&lt;=TODAY(), MIN(Log_2018[[#This Row],[Split_raw]], TODAY()-Log_2018[[#This Row],[Date]]+1), 0)</f>
        <v>30</v>
      </c>
      <c r="M46" t="s">
        <v>53</v>
      </c>
      <c r="N46" t="s">
        <v>160</v>
      </c>
      <c r="O46" s="50">
        <v>0</v>
      </c>
      <c r="P46" s="52">
        <f ca="1">Log_2018[[#This Row],[Amount]]/Log_2018[[#This Row],[Split_raw]]*MAX(0,MIN(_xlfn.DAYS(EDATE(P$1,1),Log_2018[[#This Row],[Date]]),Log_2018[[#This Row],[Split_apply]])) - SUM($O46:O46)</f>
        <v>0</v>
      </c>
      <c r="Q46" s="52">
        <f ca="1">Log_2018[[#This Row],[Amount]]/Log_2018[[#This Row],[Split_raw]]*MAX(0,MIN(_xlfn.DAYS(EDATE(Q$1,1),Log_2018[[#This Row],[Date]]),Log_2018[[#This Row],[Split_apply]])) - SUM($O46:P46)</f>
        <v>0</v>
      </c>
      <c r="R46" s="52">
        <f ca="1">Log_2018[[#This Row],[Amount]]/Log_2018[[#This Row],[Split_raw]]*MAX(0,MIN(_xlfn.DAYS(EDATE(R$1,1),Log_2018[[#This Row],[Date]]),Log_2018[[#This Row],[Split_apply]])) - SUM($O46:Q46)</f>
        <v>0</v>
      </c>
      <c r="S46" s="52">
        <f ca="1">Log_2018[[#This Row],[Amount]]/Log_2018[[#This Row],[Split_raw]]*MAX(0,MIN(_xlfn.DAYS(EDATE(S$1,1),Log_2018[[#This Row],[Date]]),Log_2018[[#This Row],[Split_apply]])) - SUM($O46:R46)</f>
        <v>0</v>
      </c>
      <c r="T46" s="52">
        <f ca="1">Log_2018[[#This Row],[Amount]]/Log_2018[[#This Row],[Split_raw]]*MAX(0,MIN(_xlfn.DAYS(EDATE(T$1,1),Log_2018[[#This Row],[Date]]),Log_2018[[#This Row],[Split_apply]])) - SUM($O46:S46)</f>
        <v>0</v>
      </c>
      <c r="U46" s="52">
        <f ca="1">Log_2018[[#This Row],[Amount]]/Log_2018[[#This Row],[Split_raw]]*MAX(0,MIN(_xlfn.DAYS(EDATE(U$1,1),Log_2018[[#This Row],[Date]]),Log_2018[[#This Row],[Split_apply]])) - SUM($O46:T46)</f>
        <v>0</v>
      </c>
      <c r="V46" s="52">
        <f ca="1">Log_2018[[#This Row],[Amount]]/Log_2018[[#This Row],[Split_raw]]*MAX(0,MIN(_xlfn.DAYS(EDATE(V$1,1),Log_2018[[#This Row],[Date]]),Log_2018[[#This Row],[Split_apply]])) - SUM($O46:U46)</f>
        <v>0</v>
      </c>
      <c r="W46" s="52">
        <f ca="1">Log_2018[[#This Row],[Amount]]/Log_2018[[#This Row],[Split_raw]]*MAX(0,MIN(_xlfn.DAYS(EDATE(W$1,1),Log_2018[[#This Row],[Date]]),Log_2018[[#This Row],[Split_apply]])) - SUM($O46:V46)</f>
        <v>0</v>
      </c>
      <c r="X46" s="52">
        <f ca="1">Log_2018[[#This Row],[Amount]]/Log_2018[[#This Row],[Split_raw]]*MAX(0,MIN(_xlfn.DAYS(EDATE(X$1,1),Log_2018[[#This Row],[Date]]),Log_2018[[#This Row],[Split_apply]])) - SUM($O46:W46)</f>
        <v>0</v>
      </c>
      <c r="Y46" s="52">
        <f ca="1">Log_2018[[#This Row],[Amount]]/Log_2018[[#This Row],[Split_raw]]*MAX(0,MIN(_xlfn.DAYS(EDATE(Y$1,1),Log_2018[[#This Row],[Date]]),Log_2018[[#This Row],[Split_apply]])) - SUM($O46:X46)</f>
        <v>0</v>
      </c>
      <c r="Z46" s="52">
        <f ca="1">Log_2018[[#This Row],[Amount]]/Log_2018[[#This Row],[Split_raw]]*MAX(0,MIN(_xlfn.DAYS(EDATE(Z$1,1),Log_2018[[#This Row],[Date]]),Log_2018[[#This Row],[Split_apply]])) - SUM($O46:Y46)</f>
        <v>0</v>
      </c>
      <c r="AA46" s="52">
        <f ca="1">Log_2018[[#This Row],[Amount]]/Log_2018[[#This Row],[Split_raw]]*MAX(0,MIN(_xlfn.DAYS(EDATE(AA$1,1),Log_2018[[#This Row],[Date]]),Log_2018[[#This Row],[Split_apply]])) - SUM($O46:Z46)</f>
        <v>-7.9273333333333333</v>
      </c>
      <c r="AB46" s="54">
        <f ca="1">Log_2018[[#This Row],[Amount]]-SUM(O46:AA46)</f>
        <v>-2.8826666666666672</v>
      </c>
      <c r="AC46" s="7">
        <f ca="1">MAX(0,Log_2018[[#This Row],[Split_apply]] - (EDATE(AA$1,1)-Log_2018[[#This Row],[Date]]))</f>
        <v>8</v>
      </c>
    </row>
    <row r="47" spans="1:29" hidden="1" x14ac:dyDescent="0.25">
      <c r="A47" s="115"/>
      <c r="B47" t="s">
        <v>490</v>
      </c>
      <c r="C47" s="30">
        <v>2.63025384469246E+18</v>
      </c>
      <c r="D47" s="26">
        <v>43443</v>
      </c>
      <c r="F47" t="s">
        <v>503</v>
      </c>
      <c r="H47" s="3">
        <v>-9.5</v>
      </c>
      <c r="I47" s="36">
        <f>IF(Log_2018[[#This Row],[My Category]]="NONTRACKED",0,Log_2018[[#This Row],[Raw Amount]])</f>
        <v>-9.5</v>
      </c>
      <c r="J47" s="17">
        <f>ABS(Log_2018[[#This Row],[Amount]])</f>
        <v>9.5</v>
      </c>
      <c r="K47" s="66">
        <v>1</v>
      </c>
      <c r="L47" s="66">
        <f ca="1">IF(Log_2018[[#This Row],[Date]]&lt;=TODAY(), MIN(Log_2018[[#This Row],[Split_raw]], TODAY()-Log_2018[[#This Row],[Date]]+1), 0)</f>
        <v>1</v>
      </c>
      <c r="M47" t="s">
        <v>37</v>
      </c>
      <c r="N47" t="s">
        <v>489</v>
      </c>
      <c r="O47" s="50">
        <v>0</v>
      </c>
      <c r="P47" s="52">
        <f ca="1">Log_2018[[#This Row],[Amount]]/Log_2018[[#This Row],[Split_raw]]*MAX(0,MIN(_xlfn.DAYS(EDATE(P$1,1),Log_2018[[#This Row],[Date]]),Log_2018[[#This Row],[Split_apply]])) - SUM($O47:O47)</f>
        <v>0</v>
      </c>
      <c r="Q47" s="52">
        <f ca="1">Log_2018[[#This Row],[Amount]]/Log_2018[[#This Row],[Split_raw]]*MAX(0,MIN(_xlfn.DAYS(EDATE(Q$1,1),Log_2018[[#This Row],[Date]]),Log_2018[[#This Row],[Split_apply]])) - SUM($O47:P47)</f>
        <v>0</v>
      </c>
      <c r="R47" s="52">
        <f ca="1">Log_2018[[#This Row],[Amount]]/Log_2018[[#This Row],[Split_raw]]*MAX(0,MIN(_xlfn.DAYS(EDATE(R$1,1),Log_2018[[#This Row],[Date]]),Log_2018[[#This Row],[Split_apply]])) - SUM($O47:Q47)</f>
        <v>0</v>
      </c>
      <c r="S47" s="52">
        <f ca="1">Log_2018[[#This Row],[Amount]]/Log_2018[[#This Row],[Split_raw]]*MAX(0,MIN(_xlfn.DAYS(EDATE(S$1,1),Log_2018[[#This Row],[Date]]),Log_2018[[#This Row],[Split_apply]])) - SUM($O47:R47)</f>
        <v>0</v>
      </c>
      <c r="T47" s="52">
        <f ca="1">Log_2018[[#This Row],[Amount]]/Log_2018[[#This Row],[Split_raw]]*MAX(0,MIN(_xlfn.DAYS(EDATE(T$1,1),Log_2018[[#This Row],[Date]]),Log_2018[[#This Row],[Split_apply]])) - SUM($O47:S47)</f>
        <v>0</v>
      </c>
      <c r="U47" s="52">
        <f ca="1">Log_2018[[#This Row],[Amount]]/Log_2018[[#This Row],[Split_raw]]*MAX(0,MIN(_xlfn.DAYS(EDATE(U$1,1),Log_2018[[#This Row],[Date]]),Log_2018[[#This Row],[Split_apply]])) - SUM($O47:T47)</f>
        <v>0</v>
      </c>
      <c r="V47" s="52">
        <f ca="1">Log_2018[[#This Row],[Amount]]/Log_2018[[#This Row],[Split_raw]]*MAX(0,MIN(_xlfn.DAYS(EDATE(V$1,1),Log_2018[[#This Row],[Date]]),Log_2018[[#This Row],[Split_apply]])) - SUM($O47:U47)</f>
        <v>0</v>
      </c>
      <c r="W47" s="52">
        <f ca="1">Log_2018[[#This Row],[Amount]]/Log_2018[[#This Row],[Split_raw]]*MAX(0,MIN(_xlfn.DAYS(EDATE(W$1,1),Log_2018[[#This Row],[Date]]),Log_2018[[#This Row],[Split_apply]])) - SUM($O47:V47)</f>
        <v>0</v>
      </c>
      <c r="X47" s="52">
        <f ca="1">Log_2018[[#This Row],[Amount]]/Log_2018[[#This Row],[Split_raw]]*MAX(0,MIN(_xlfn.DAYS(EDATE(X$1,1),Log_2018[[#This Row],[Date]]),Log_2018[[#This Row],[Split_apply]])) - SUM($O47:W47)</f>
        <v>0</v>
      </c>
      <c r="Y47" s="52">
        <f ca="1">Log_2018[[#This Row],[Amount]]/Log_2018[[#This Row],[Split_raw]]*MAX(0,MIN(_xlfn.DAYS(EDATE(Y$1,1),Log_2018[[#This Row],[Date]]),Log_2018[[#This Row],[Split_apply]])) - SUM($O47:X47)</f>
        <v>0</v>
      </c>
      <c r="Z47" s="52">
        <f ca="1">Log_2018[[#This Row],[Amount]]/Log_2018[[#This Row],[Split_raw]]*MAX(0,MIN(_xlfn.DAYS(EDATE(Z$1,1),Log_2018[[#This Row],[Date]]),Log_2018[[#This Row],[Split_apply]])) - SUM($O47:Y47)</f>
        <v>0</v>
      </c>
      <c r="AA47" s="52">
        <f ca="1">Log_2018[[#This Row],[Amount]]/Log_2018[[#This Row],[Split_raw]]*MAX(0,MIN(_xlfn.DAYS(EDATE(AA$1,1),Log_2018[[#This Row],[Date]]),Log_2018[[#This Row],[Split_apply]])) - SUM($O47:Z47)</f>
        <v>-9.5</v>
      </c>
      <c r="AB47" s="54">
        <f ca="1">Log_2018[[#This Row],[Amount]]-SUM(O47:AA47)</f>
        <v>0</v>
      </c>
      <c r="AC47" s="7">
        <f ca="1">MAX(0,Log_2018[[#This Row],[Split_apply]] - (EDATE(AA$1,1)-Log_2018[[#This Row],[Date]]))</f>
        <v>0</v>
      </c>
    </row>
    <row r="48" spans="1:29" hidden="1" x14ac:dyDescent="0.25">
      <c r="A48" s="115"/>
      <c r="B48" t="s">
        <v>490</v>
      </c>
      <c r="C48" s="30">
        <v>2.6308803457921802E+18</v>
      </c>
      <c r="D48" s="26">
        <v>43443</v>
      </c>
      <c r="F48" t="s">
        <v>502</v>
      </c>
      <c r="H48" s="3">
        <v>-10.59</v>
      </c>
      <c r="I48" s="36">
        <f>IF(Log_2018[[#This Row],[My Category]]="NONTRACKED",0,Log_2018[[#This Row],[Raw Amount]])</f>
        <v>-10.59</v>
      </c>
      <c r="J48" s="17">
        <f>ABS(Log_2018[[#This Row],[Amount]])</f>
        <v>10.59</v>
      </c>
      <c r="K48" s="66">
        <v>1</v>
      </c>
      <c r="L48" s="66">
        <f ca="1">IF(Log_2018[[#This Row],[Date]]&lt;=TODAY(), MIN(Log_2018[[#This Row],[Split_raw]], TODAY()-Log_2018[[#This Row],[Date]]+1), 0)</f>
        <v>1</v>
      </c>
      <c r="M48" t="s">
        <v>37</v>
      </c>
      <c r="N48" t="s">
        <v>489</v>
      </c>
      <c r="O48" s="50">
        <v>0</v>
      </c>
      <c r="P48" s="52">
        <f ca="1">Log_2018[[#This Row],[Amount]]/Log_2018[[#This Row],[Split_raw]]*MAX(0,MIN(_xlfn.DAYS(EDATE(P$1,1),Log_2018[[#This Row],[Date]]),Log_2018[[#This Row],[Split_apply]])) - SUM($O48:O48)</f>
        <v>0</v>
      </c>
      <c r="Q48" s="52">
        <f ca="1">Log_2018[[#This Row],[Amount]]/Log_2018[[#This Row],[Split_raw]]*MAX(0,MIN(_xlfn.DAYS(EDATE(Q$1,1),Log_2018[[#This Row],[Date]]),Log_2018[[#This Row],[Split_apply]])) - SUM($O48:P48)</f>
        <v>0</v>
      </c>
      <c r="R48" s="52">
        <f ca="1">Log_2018[[#This Row],[Amount]]/Log_2018[[#This Row],[Split_raw]]*MAX(0,MIN(_xlfn.DAYS(EDATE(R$1,1),Log_2018[[#This Row],[Date]]),Log_2018[[#This Row],[Split_apply]])) - SUM($O48:Q48)</f>
        <v>0</v>
      </c>
      <c r="S48" s="52">
        <f ca="1">Log_2018[[#This Row],[Amount]]/Log_2018[[#This Row],[Split_raw]]*MAX(0,MIN(_xlfn.DAYS(EDATE(S$1,1),Log_2018[[#This Row],[Date]]),Log_2018[[#This Row],[Split_apply]])) - SUM($O48:R48)</f>
        <v>0</v>
      </c>
      <c r="T48" s="52">
        <f ca="1">Log_2018[[#This Row],[Amount]]/Log_2018[[#This Row],[Split_raw]]*MAX(0,MIN(_xlfn.DAYS(EDATE(T$1,1),Log_2018[[#This Row],[Date]]),Log_2018[[#This Row],[Split_apply]])) - SUM($O48:S48)</f>
        <v>0</v>
      </c>
      <c r="U48" s="52">
        <f ca="1">Log_2018[[#This Row],[Amount]]/Log_2018[[#This Row],[Split_raw]]*MAX(0,MIN(_xlfn.DAYS(EDATE(U$1,1),Log_2018[[#This Row],[Date]]),Log_2018[[#This Row],[Split_apply]])) - SUM($O48:T48)</f>
        <v>0</v>
      </c>
      <c r="V48" s="52">
        <f ca="1">Log_2018[[#This Row],[Amount]]/Log_2018[[#This Row],[Split_raw]]*MAX(0,MIN(_xlfn.DAYS(EDATE(V$1,1),Log_2018[[#This Row],[Date]]),Log_2018[[#This Row],[Split_apply]])) - SUM($O48:U48)</f>
        <v>0</v>
      </c>
      <c r="W48" s="52">
        <f ca="1">Log_2018[[#This Row],[Amount]]/Log_2018[[#This Row],[Split_raw]]*MAX(0,MIN(_xlfn.DAYS(EDATE(W$1,1),Log_2018[[#This Row],[Date]]),Log_2018[[#This Row],[Split_apply]])) - SUM($O48:V48)</f>
        <v>0</v>
      </c>
      <c r="X48" s="52">
        <f ca="1">Log_2018[[#This Row],[Amount]]/Log_2018[[#This Row],[Split_raw]]*MAX(0,MIN(_xlfn.DAYS(EDATE(X$1,1),Log_2018[[#This Row],[Date]]),Log_2018[[#This Row],[Split_apply]])) - SUM($O48:W48)</f>
        <v>0</v>
      </c>
      <c r="Y48" s="52">
        <f ca="1">Log_2018[[#This Row],[Amount]]/Log_2018[[#This Row],[Split_raw]]*MAX(0,MIN(_xlfn.DAYS(EDATE(Y$1,1),Log_2018[[#This Row],[Date]]),Log_2018[[#This Row],[Split_apply]])) - SUM($O48:X48)</f>
        <v>0</v>
      </c>
      <c r="Z48" s="52">
        <f ca="1">Log_2018[[#This Row],[Amount]]/Log_2018[[#This Row],[Split_raw]]*MAX(0,MIN(_xlfn.DAYS(EDATE(Z$1,1),Log_2018[[#This Row],[Date]]),Log_2018[[#This Row],[Split_apply]])) - SUM($O48:Y48)</f>
        <v>0</v>
      </c>
      <c r="AA48" s="52">
        <f ca="1">Log_2018[[#This Row],[Amount]]/Log_2018[[#This Row],[Split_raw]]*MAX(0,MIN(_xlfn.DAYS(EDATE(AA$1,1),Log_2018[[#This Row],[Date]]),Log_2018[[#This Row],[Split_apply]])) - SUM($O48:Z48)</f>
        <v>-10.59</v>
      </c>
      <c r="AB48" s="54">
        <f ca="1">Log_2018[[#This Row],[Amount]]-SUM(O48:AA48)</f>
        <v>0</v>
      </c>
      <c r="AC48" s="7">
        <f ca="1">MAX(0,Log_2018[[#This Row],[Split_apply]] - (EDATE(AA$1,1)-Log_2018[[#This Row],[Date]]))</f>
        <v>0</v>
      </c>
    </row>
    <row r="49" spans="1:29" hidden="1" x14ac:dyDescent="0.25">
      <c r="A49" s="115"/>
      <c r="B49" t="s">
        <v>6</v>
      </c>
      <c r="D49" s="26">
        <v>43442</v>
      </c>
      <c r="F49" t="s">
        <v>452</v>
      </c>
      <c r="G49" t="s">
        <v>12</v>
      </c>
      <c r="H49" s="3">
        <v>-7.31</v>
      </c>
      <c r="I49" s="36">
        <f>IF(Log_2018[[#This Row],[My Category]]="NONTRACKED",0,Log_2018[[#This Row],[Raw Amount]])</f>
        <v>-7.31</v>
      </c>
      <c r="J49" s="17">
        <f>ABS(Log_2018[[#This Row],[Amount]])</f>
        <v>7.31</v>
      </c>
      <c r="K49" s="66">
        <v>1</v>
      </c>
      <c r="L49" s="66">
        <f ca="1">IF(Log_2018[[#This Row],[Date]]&lt;=TODAY(), MIN(Log_2018[[#This Row],[Split_raw]], TODAY()-Log_2018[[#This Row],[Date]]+1), 0)</f>
        <v>1</v>
      </c>
      <c r="M49" t="s">
        <v>37</v>
      </c>
      <c r="N49" t="s">
        <v>158</v>
      </c>
      <c r="O49" s="50">
        <v>0</v>
      </c>
      <c r="P49" s="52">
        <f ca="1">Log_2018[[#This Row],[Amount]]/Log_2018[[#This Row],[Split_raw]]*MAX(0,MIN(_xlfn.DAYS(EDATE(P$1,1),Log_2018[[#This Row],[Date]]),Log_2018[[#This Row],[Split_apply]])) - SUM($O49:O49)</f>
        <v>0</v>
      </c>
      <c r="Q49" s="52">
        <f ca="1">Log_2018[[#This Row],[Amount]]/Log_2018[[#This Row],[Split_raw]]*MAX(0,MIN(_xlfn.DAYS(EDATE(Q$1,1),Log_2018[[#This Row],[Date]]),Log_2018[[#This Row],[Split_apply]])) - SUM($O49:P49)</f>
        <v>0</v>
      </c>
      <c r="R49" s="52">
        <f ca="1">Log_2018[[#This Row],[Amount]]/Log_2018[[#This Row],[Split_raw]]*MAX(0,MIN(_xlfn.DAYS(EDATE(R$1,1),Log_2018[[#This Row],[Date]]),Log_2018[[#This Row],[Split_apply]])) - SUM($O49:Q49)</f>
        <v>0</v>
      </c>
      <c r="S49" s="52">
        <f ca="1">Log_2018[[#This Row],[Amount]]/Log_2018[[#This Row],[Split_raw]]*MAX(0,MIN(_xlfn.DAYS(EDATE(S$1,1),Log_2018[[#This Row],[Date]]),Log_2018[[#This Row],[Split_apply]])) - SUM($O49:R49)</f>
        <v>0</v>
      </c>
      <c r="T49" s="52">
        <f ca="1">Log_2018[[#This Row],[Amount]]/Log_2018[[#This Row],[Split_raw]]*MAX(0,MIN(_xlfn.DAYS(EDATE(T$1,1),Log_2018[[#This Row],[Date]]),Log_2018[[#This Row],[Split_apply]])) - SUM($O49:S49)</f>
        <v>0</v>
      </c>
      <c r="U49" s="52">
        <f ca="1">Log_2018[[#This Row],[Amount]]/Log_2018[[#This Row],[Split_raw]]*MAX(0,MIN(_xlfn.DAYS(EDATE(U$1,1),Log_2018[[#This Row],[Date]]),Log_2018[[#This Row],[Split_apply]])) - SUM($O49:T49)</f>
        <v>0</v>
      </c>
      <c r="V49" s="52">
        <f ca="1">Log_2018[[#This Row],[Amount]]/Log_2018[[#This Row],[Split_raw]]*MAX(0,MIN(_xlfn.DAYS(EDATE(V$1,1),Log_2018[[#This Row],[Date]]),Log_2018[[#This Row],[Split_apply]])) - SUM($O49:U49)</f>
        <v>0</v>
      </c>
      <c r="W49" s="52">
        <f ca="1">Log_2018[[#This Row],[Amount]]/Log_2018[[#This Row],[Split_raw]]*MAX(0,MIN(_xlfn.DAYS(EDATE(W$1,1),Log_2018[[#This Row],[Date]]),Log_2018[[#This Row],[Split_apply]])) - SUM($O49:V49)</f>
        <v>0</v>
      </c>
      <c r="X49" s="52">
        <f ca="1">Log_2018[[#This Row],[Amount]]/Log_2018[[#This Row],[Split_raw]]*MAX(0,MIN(_xlfn.DAYS(EDATE(X$1,1),Log_2018[[#This Row],[Date]]),Log_2018[[#This Row],[Split_apply]])) - SUM($O49:W49)</f>
        <v>0</v>
      </c>
      <c r="Y49" s="52">
        <f ca="1">Log_2018[[#This Row],[Amount]]/Log_2018[[#This Row],[Split_raw]]*MAX(0,MIN(_xlfn.DAYS(EDATE(Y$1,1),Log_2018[[#This Row],[Date]]),Log_2018[[#This Row],[Split_apply]])) - SUM($O49:X49)</f>
        <v>0</v>
      </c>
      <c r="Z49" s="52">
        <f ca="1">Log_2018[[#This Row],[Amount]]/Log_2018[[#This Row],[Split_raw]]*MAX(0,MIN(_xlfn.DAYS(EDATE(Z$1,1),Log_2018[[#This Row],[Date]]),Log_2018[[#This Row],[Split_apply]])) - SUM($O49:Y49)</f>
        <v>0</v>
      </c>
      <c r="AA49" s="52">
        <f ca="1">Log_2018[[#This Row],[Amount]]/Log_2018[[#This Row],[Split_raw]]*MAX(0,MIN(_xlfn.DAYS(EDATE(AA$1,1),Log_2018[[#This Row],[Date]]),Log_2018[[#This Row],[Split_apply]])) - SUM($O49:Z49)</f>
        <v>-7.31</v>
      </c>
      <c r="AB49" s="54">
        <f ca="1">Log_2018[[#This Row],[Amount]]-SUM(O49:AA49)</f>
        <v>0</v>
      </c>
      <c r="AC49" s="7">
        <f ca="1">MAX(0,Log_2018[[#This Row],[Split_apply]] - (EDATE(AA$1,1)-Log_2018[[#This Row],[Date]]))</f>
        <v>0</v>
      </c>
    </row>
    <row r="50" spans="1:29" hidden="1" x14ac:dyDescent="0.25">
      <c r="A50" s="115"/>
      <c r="B50" t="s">
        <v>6</v>
      </c>
      <c r="D50" s="26">
        <v>43442</v>
      </c>
      <c r="F50" t="s">
        <v>453</v>
      </c>
      <c r="G50" t="s">
        <v>25</v>
      </c>
      <c r="H50" s="3">
        <v>-15.5</v>
      </c>
      <c r="I50" s="36">
        <f>IF(Log_2018[[#This Row],[My Category]]="NONTRACKED",0,Log_2018[[#This Row],[Raw Amount]])</f>
        <v>-15.5</v>
      </c>
      <c r="J50" s="17">
        <f>ABS(Log_2018[[#This Row],[Amount]])</f>
        <v>15.5</v>
      </c>
      <c r="K50" s="66">
        <v>1</v>
      </c>
      <c r="L50" s="66">
        <f ca="1">IF(Log_2018[[#This Row],[Date]]&lt;=TODAY(), MIN(Log_2018[[#This Row],[Split_raw]], TODAY()-Log_2018[[#This Row],[Date]]+1), 0)</f>
        <v>1</v>
      </c>
      <c r="M50" t="s">
        <v>53</v>
      </c>
      <c r="N50" t="s">
        <v>158</v>
      </c>
      <c r="O50" s="50">
        <v>0</v>
      </c>
      <c r="P50" s="52">
        <f ca="1">Log_2018[[#This Row],[Amount]]/Log_2018[[#This Row],[Split_raw]]*MAX(0,MIN(_xlfn.DAYS(EDATE(P$1,1),Log_2018[[#This Row],[Date]]),Log_2018[[#This Row],[Split_apply]])) - SUM($O50:O50)</f>
        <v>0</v>
      </c>
      <c r="Q50" s="52">
        <f ca="1">Log_2018[[#This Row],[Amount]]/Log_2018[[#This Row],[Split_raw]]*MAX(0,MIN(_xlfn.DAYS(EDATE(Q$1,1),Log_2018[[#This Row],[Date]]),Log_2018[[#This Row],[Split_apply]])) - SUM($O50:P50)</f>
        <v>0</v>
      </c>
      <c r="R50" s="52">
        <f ca="1">Log_2018[[#This Row],[Amount]]/Log_2018[[#This Row],[Split_raw]]*MAX(0,MIN(_xlfn.DAYS(EDATE(R$1,1),Log_2018[[#This Row],[Date]]),Log_2018[[#This Row],[Split_apply]])) - SUM($O50:Q50)</f>
        <v>0</v>
      </c>
      <c r="S50" s="52">
        <f ca="1">Log_2018[[#This Row],[Amount]]/Log_2018[[#This Row],[Split_raw]]*MAX(0,MIN(_xlfn.DAYS(EDATE(S$1,1),Log_2018[[#This Row],[Date]]),Log_2018[[#This Row],[Split_apply]])) - SUM($O50:R50)</f>
        <v>0</v>
      </c>
      <c r="T50" s="52">
        <f ca="1">Log_2018[[#This Row],[Amount]]/Log_2018[[#This Row],[Split_raw]]*MAX(0,MIN(_xlfn.DAYS(EDATE(T$1,1),Log_2018[[#This Row],[Date]]),Log_2018[[#This Row],[Split_apply]])) - SUM($O50:S50)</f>
        <v>0</v>
      </c>
      <c r="U50" s="52">
        <f ca="1">Log_2018[[#This Row],[Amount]]/Log_2018[[#This Row],[Split_raw]]*MAX(0,MIN(_xlfn.DAYS(EDATE(U$1,1),Log_2018[[#This Row],[Date]]),Log_2018[[#This Row],[Split_apply]])) - SUM($O50:T50)</f>
        <v>0</v>
      </c>
      <c r="V50" s="52">
        <f ca="1">Log_2018[[#This Row],[Amount]]/Log_2018[[#This Row],[Split_raw]]*MAX(0,MIN(_xlfn.DAYS(EDATE(V$1,1),Log_2018[[#This Row],[Date]]),Log_2018[[#This Row],[Split_apply]])) - SUM($O50:U50)</f>
        <v>0</v>
      </c>
      <c r="W50" s="52">
        <f ca="1">Log_2018[[#This Row],[Amount]]/Log_2018[[#This Row],[Split_raw]]*MAX(0,MIN(_xlfn.DAYS(EDATE(W$1,1),Log_2018[[#This Row],[Date]]),Log_2018[[#This Row],[Split_apply]])) - SUM($O50:V50)</f>
        <v>0</v>
      </c>
      <c r="X50" s="52">
        <f ca="1">Log_2018[[#This Row],[Amount]]/Log_2018[[#This Row],[Split_raw]]*MAX(0,MIN(_xlfn.DAYS(EDATE(X$1,1),Log_2018[[#This Row],[Date]]),Log_2018[[#This Row],[Split_apply]])) - SUM($O50:W50)</f>
        <v>0</v>
      </c>
      <c r="Y50" s="52">
        <f ca="1">Log_2018[[#This Row],[Amount]]/Log_2018[[#This Row],[Split_raw]]*MAX(0,MIN(_xlfn.DAYS(EDATE(Y$1,1),Log_2018[[#This Row],[Date]]),Log_2018[[#This Row],[Split_apply]])) - SUM($O50:X50)</f>
        <v>0</v>
      </c>
      <c r="Z50" s="52">
        <f ca="1">Log_2018[[#This Row],[Amount]]/Log_2018[[#This Row],[Split_raw]]*MAX(0,MIN(_xlfn.DAYS(EDATE(Z$1,1),Log_2018[[#This Row],[Date]]),Log_2018[[#This Row],[Split_apply]])) - SUM($O50:Y50)</f>
        <v>0</v>
      </c>
      <c r="AA50" s="52">
        <f ca="1">Log_2018[[#This Row],[Amount]]/Log_2018[[#This Row],[Split_raw]]*MAX(0,MIN(_xlfn.DAYS(EDATE(AA$1,1),Log_2018[[#This Row],[Date]]),Log_2018[[#This Row],[Split_apply]])) - SUM($O50:Z50)</f>
        <v>-15.5</v>
      </c>
      <c r="AB50" s="54">
        <f ca="1">Log_2018[[#This Row],[Amount]]-SUM(O50:AA50)</f>
        <v>0</v>
      </c>
      <c r="AC50" s="7">
        <f ca="1">MAX(0,Log_2018[[#This Row],[Split_apply]] - (EDATE(AA$1,1)-Log_2018[[#This Row],[Date]]))</f>
        <v>0</v>
      </c>
    </row>
    <row r="51" spans="1:29" hidden="1" x14ac:dyDescent="0.25">
      <c r="A51" s="115"/>
      <c r="B51" t="s">
        <v>6</v>
      </c>
      <c r="D51" s="26">
        <v>43441</v>
      </c>
      <c r="F51" t="s">
        <v>188</v>
      </c>
      <c r="G51" t="s">
        <v>189</v>
      </c>
      <c r="H51" s="3">
        <v>-82.15</v>
      </c>
      <c r="I51" s="36">
        <f>IF(Log_2018[[#This Row],[My Category]]="NONTRACKED",0,Log_2018[[#This Row],[Raw Amount]])</f>
        <v>-82.15</v>
      </c>
      <c r="J51" s="17">
        <f>ABS(Log_2018[[#This Row],[Amount]])</f>
        <v>82.15</v>
      </c>
      <c r="K51" s="66">
        <v>30</v>
      </c>
      <c r="L51" s="66">
        <f ca="1">IF(Log_2018[[#This Row],[Date]]&lt;=TODAY(), MIN(Log_2018[[#This Row],[Split_raw]], TODAY()-Log_2018[[#This Row],[Date]]+1), 0)</f>
        <v>30</v>
      </c>
      <c r="M51" t="s">
        <v>30</v>
      </c>
      <c r="N51" t="s">
        <v>158</v>
      </c>
      <c r="O51" s="50">
        <v>0</v>
      </c>
      <c r="P51" s="52">
        <f ca="1">Log_2018[[#This Row],[Amount]]/Log_2018[[#This Row],[Split_raw]]*MAX(0,MIN(_xlfn.DAYS(EDATE(P$1,1),Log_2018[[#This Row],[Date]]),Log_2018[[#This Row],[Split_apply]])) - SUM($O51:O51)</f>
        <v>0</v>
      </c>
      <c r="Q51" s="52">
        <f ca="1">Log_2018[[#This Row],[Amount]]/Log_2018[[#This Row],[Split_raw]]*MAX(0,MIN(_xlfn.DAYS(EDATE(Q$1,1),Log_2018[[#This Row],[Date]]),Log_2018[[#This Row],[Split_apply]])) - SUM($O51:P51)</f>
        <v>0</v>
      </c>
      <c r="R51" s="52">
        <f ca="1">Log_2018[[#This Row],[Amount]]/Log_2018[[#This Row],[Split_raw]]*MAX(0,MIN(_xlfn.DAYS(EDATE(R$1,1),Log_2018[[#This Row],[Date]]),Log_2018[[#This Row],[Split_apply]])) - SUM($O51:Q51)</f>
        <v>0</v>
      </c>
      <c r="S51" s="52">
        <f ca="1">Log_2018[[#This Row],[Amount]]/Log_2018[[#This Row],[Split_raw]]*MAX(0,MIN(_xlfn.DAYS(EDATE(S$1,1),Log_2018[[#This Row],[Date]]),Log_2018[[#This Row],[Split_apply]])) - SUM($O51:R51)</f>
        <v>0</v>
      </c>
      <c r="T51" s="52">
        <f ca="1">Log_2018[[#This Row],[Amount]]/Log_2018[[#This Row],[Split_raw]]*MAX(0,MIN(_xlfn.DAYS(EDATE(T$1,1),Log_2018[[#This Row],[Date]]),Log_2018[[#This Row],[Split_apply]])) - SUM($O51:S51)</f>
        <v>0</v>
      </c>
      <c r="U51" s="52">
        <f ca="1">Log_2018[[#This Row],[Amount]]/Log_2018[[#This Row],[Split_raw]]*MAX(0,MIN(_xlfn.DAYS(EDATE(U$1,1),Log_2018[[#This Row],[Date]]),Log_2018[[#This Row],[Split_apply]])) - SUM($O51:T51)</f>
        <v>0</v>
      </c>
      <c r="V51" s="52">
        <f ca="1">Log_2018[[#This Row],[Amount]]/Log_2018[[#This Row],[Split_raw]]*MAX(0,MIN(_xlfn.DAYS(EDATE(V$1,1),Log_2018[[#This Row],[Date]]),Log_2018[[#This Row],[Split_apply]])) - SUM($O51:U51)</f>
        <v>0</v>
      </c>
      <c r="W51" s="52">
        <f ca="1">Log_2018[[#This Row],[Amount]]/Log_2018[[#This Row],[Split_raw]]*MAX(0,MIN(_xlfn.DAYS(EDATE(W$1,1),Log_2018[[#This Row],[Date]]),Log_2018[[#This Row],[Split_apply]])) - SUM($O51:V51)</f>
        <v>0</v>
      </c>
      <c r="X51" s="52">
        <f ca="1">Log_2018[[#This Row],[Amount]]/Log_2018[[#This Row],[Split_raw]]*MAX(0,MIN(_xlfn.DAYS(EDATE(X$1,1),Log_2018[[#This Row],[Date]]),Log_2018[[#This Row],[Split_apply]])) - SUM($O51:W51)</f>
        <v>0</v>
      </c>
      <c r="Y51" s="52">
        <f ca="1">Log_2018[[#This Row],[Amount]]/Log_2018[[#This Row],[Split_raw]]*MAX(0,MIN(_xlfn.DAYS(EDATE(Y$1,1),Log_2018[[#This Row],[Date]]),Log_2018[[#This Row],[Split_apply]])) - SUM($O51:X51)</f>
        <v>0</v>
      </c>
      <c r="Z51" s="52">
        <f ca="1">Log_2018[[#This Row],[Amount]]/Log_2018[[#This Row],[Split_raw]]*MAX(0,MIN(_xlfn.DAYS(EDATE(Z$1,1),Log_2018[[#This Row],[Date]]),Log_2018[[#This Row],[Split_apply]])) - SUM($O51:Y51)</f>
        <v>0</v>
      </c>
      <c r="AA51" s="52">
        <f ca="1">Log_2018[[#This Row],[Amount]]/Log_2018[[#This Row],[Split_raw]]*MAX(0,MIN(_xlfn.DAYS(EDATE(AA$1,1),Log_2018[[#This Row],[Date]]),Log_2018[[#This Row],[Split_apply]])) - SUM($O51:Z51)</f>
        <v>-68.458333333333343</v>
      </c>
      <c r="AB51" s="54">
        <f ca="1">Log_2018[[#This Row],[Amount]]-SUM(O51:AA51)</f>
        <v>-13.691666666666663</v>
      </c>
      <c r="AC51" s="7">
        <f ca="1">MAX(0,Log_2018[[#This Row],[Split_apply]] - (EDATE(AA$1,1)-Log_2018[[#This Row],[Date]]))</f>
        <v>5</v>
      </c>
    </row>
    <row r="52" spans="1:29" hidden="1" x14ac:dyDescent="0.25">
      <c r="A52" s="115"/>
      <c r="B52" t="s">
        <v>6</v>
      </c>
      <c r="D52" s="26">
        <v>43440</v>
      </c>
      <c r="F52" t="s">
        <v>450</v>
      </c>
      <c r="G52" t="s">
        <v>27</v>
      </c>
      <c r="H52" s="3">
        <v>-14.3</v>
      </c>
      <c r="I52" s="36">
        <f>IF(Log_2018[[#This Row],[My Category]]="NONTRACKED",0,Log_2018[[#This Row],[Raw Amount]])</f>
        <v>-14.3</v>
      </c>
      <c r="J52" s="17">
        <f>ABS(Log_2018[[#This Row],[Amount]])</f>
        <v>14.3</v>
      </c>
      <c r="K52" s="66">
        <v>1</v>
      </c>
      <c r="L52" s="66">
        <f ca="1">IF(Log_2018[[#This Row],[Date]]&lt;=TODAY(), MIN(Log_2018[[#This Row],[Split_raw]], TODAY()-Log_2018[[#This Row],[Date]]+1), 0)</f>
        <v>1</v>
      </c>
      <c r="M52" t="s">
        <v>40</v>
      </c>
      <c r="N52" t="s">
        <v>160</v>
      </c>
      <c r="O52" s="50">
        <v>0</v>
      </c>
      <c r="P52" s="52">
        <f ca="1">Log_2018[[#This Row],[Amount]]/Log_2018[[#This Row],[Split_raw]]*MAX(0,MIN(_xlfn.DAYS(EDATE(P$1,1),Log_2018[[#This Row],[Date]]),Log_2018[[#This Row],[Split_apply]])) - SUM($O52:O52)</f>
        <v>0</v>
      </c>
      <c r="Q52" s="52">
        <f ca="1">Log_2018[[#This Row],[Amount]]/Log_2018[[#This Row],[Split_raw]]*MAX(0,MIN(_xlfn.DAYS(EDATE(Q$1,1),Log_2018[[#This Row],[Date]]),Log_2018[[#This Row],[Split_apply]])) - SUM($O52:P52)</f>
        <v>0</v>
      </c>
      <c r="R52" s="52">
        <f ca="1">Log_2018[[#This Row],[Amount]]/Log_2018[[#This Row],[Split_raw]]*MAX(0,MIN(_xlfn.DAYS(EDATE(R$1,1),Log_2018[[#This Row],[Date]]),Log_2018[[#This Row],[Split_apply]])) - SUM($O52:Q52)</f>
        <v>0</v>
      </c>
      <c r="S52" s="52">
        <f ca="1">Log_2018[[#This Row],[Amount]]/Log_2018[[#This Row],[Split_raw]]*MAX(0,MIN(_xlfn.DAYS(EDATE(S$1,1),Log_2018[[#This Row],[Date]]),Log_2018[[#This Row],[Split_apply]])) - SUM($O52:R52)</f>
        <v>0</v>
      </c>
      <c r="T52" s="52">
        <f ca="1">Log_2018[[#This Row],[Amount]]/Log_2018[[#This Row],[Split_raw]]*MAX(0,MIN(_xlfn.DAYS(EDATE(T$1,1),Log_2018[[#This Row],[Date]]),Log_2018[[#This Row],[Split_apply]])) - SUM($O52:S52)</f>
        <v>0</v>
      </c>
      <c r="U52" s="52">
        <f ca="1">Log_2018[[#This Row],[Amount]]/Log_2018[[#This Row],[Split_raw]]*MAX(0,MIN(_xlfn.DAYS(EDATE(U$1,1),Log_2018[[#This Row],[Date]]),Log_2018[[#This Row],[Split_apply]])) - SUM($O52:T52)</f>
        <v>0</v>
      </c>
      <c r="V52" s="52">
        <f ca="1">Log_2018[[#This Row],[Amount]]/Log_2018[[#This Row],[Split_raw]]*MAX(0,MIN(_xlfn.DAYS(EDATE(V$1,1),Log_2018[[#This Row],[Date]]),Log_2018[[#This Row],[Split_apply]])) - SUM($O52:U52)</f>
        <v>0</v>
      </c>
      <c r="W52" s="52">
        <f ca="1">Log_2018[[#This Row],[Amount]]/Log_2018[[#This Row],[Split_raw]]*MAX(0,MIN(_xlfn.DAYS(EDATE(W$1,1),Log_2018[[#This Row],[Date]]),Log_2018[[#This Row],[Split_apply]])) - SUM($O52:V52)</f>
        <v>0</v>
      </c>
      <c r="X52" s="52">
        <f ca="1">Log_2018[[#This Row],[Amount]]/Log_2018[[#This Row],[Split_raw]]*MAX(0,MIN(_xlfn.DAYS(EDATE(X$1,1),Log_2018[[#This Row],[Date]]),Log_2018[[#This Row],[Split_apply]])) - SUM($O52:W52)</f>
        <v>0</v>
      </c>
      <c r="Y52" s="52">
        <f ca="1">Log_2018[[#This Row],[Amount]]/Log_2018[[#This Row],[Split_raw]]*MAX(0,MIN(_xlfn.DAYS(EDATE(Y$1,1),Log_2018[[#This Row],[Date]]),Log_2018[[#This Row],[Split_apply]])) - SUM($O52:X52)</f>
        <v>0</v>
      </c>
      <c r="Z52" s="52">
        <f ca="1">Log_2018[[#This Row],[Amount]]/Log_2018[[#This Row],[Split_raw]]*MAX(0,MIN(_xlfn.DAYS(EDATE(Z$1,1),Log_2018[[#This Row],[Date]]),Log_2018[[#This Row],[Split_apply]])) - SUM($O52:Y52)</f>
        <v>0</v>
      </c>
      <c r="AA52" s="52">
        <f ca="1">Log_2018[[#This Row],[Amount]]/Log_2018[[#This Row],[Split_raw]]*MAX(0,MIN(_xlfn.DAYS(EDATE(AA$1,1),Log_2018[[#This Row],[Date]]),Log_2018[[#This Row],[Split_apply]])) - SUM($O52:Z52)</f>
        <v>-14.3</v>
      </c>
      <c r="AB52" s="54">
        <f ca="1">Log_2018[[#This Row],[Amount]]-SUM(O52:AA52)</f>
        <v>0</v>
      </c>
      <c r="AC52" s="7">
        <f ca="1">MAX(0,Log_2018[[#This Row],[Split_apply]] - (EDATE(AA$1,1)-Log_2018[[#This Row],[Date]]))</f>
        <v>0</v>
      </c>
    </row>
    <row r="53" spans="1:29" hidden="1" x14ac:dyDescent="0.25">
      <c r="A53" s="115"/>
      <c r="B53" t="s">
        <v>6</v>
      </c>
      <c r="D53" s="26">
        <v>43440</v>
      </c>
      <c r="F53" t="s">
        <v>59</v>
      </c>
      <c r="G53" t="s">
        <v>25</v>
      </c>
      <c r="H53" s="3">
        <v>-7.94</v>
      </c>
      <c r="I53" s="36">
        <f>IF(Log_2018[[#This Row],[My Category]]="NONTRACKED",0,Log_2018[[#This Row],[Raw Amount]])</f>
        <v>-7.94</v>
      </c>
      <c r="J53" s="17">
        <f>ABS(Log_2018[[#This Row],[Amount]])</f>
        <v>7.94</v>
      </c>
      <c r="K53" s="66">
        <v>1</v>
      </c>
      <c r="L53" s="66">
        <f ca="1">IF(Log_2018[[#This Row],[Date]]&lt;=TODAY(), MIN(Log_2018[[#This Row],[Split_raw]], TODAY()-Log_2018[[#This Row],[Date]]+1), 0)</f>
        <v>1</v>
      </c>
      <c r="M53" t="s">
        <v>35</v>
      </c>
      <c r="N53" t="s">
        <v>158</v>
      </c>
      <c r="O53" s="50">
        <v>0</v>
      </c>
      <c r="P53" s="52">
        <f ca="1">Log_2018[[#This Row],[Amount]]/Log_2018[[#This Row],[Split_raw]]*MAX(0,MIN(_xlfn.DAYS(EDATE(P$1,1),Log_2018[[#This Row],[Date]]),Log_2018[[#This Row],[Split_apply]])) - SUM($O53:O53)</f>
        <v>0</v>
      </c>
      <c r="Q53" s="52">
        <f ca="1">Log_2018[[#This Row],[Amount]]/Log_2018[[#This Row],[Split_raw]]*MAX(0,MIN(_xlfn.DAYS(EDATE(Q$1,1),Log_2018[[#This Row],[Date]]),Log_2018[[#This Row],[Split_apply]])) - SUM($O53:P53)</f>
        <v>0</v>
      </c>
      <c r="R53" s="52">
        <f ca="1">Log_2018[[#This Row],[Amount]]/Log_2018[[#This Row],[Split_raw]]*MAX(0,MIN(_xlfn.DAYS(EDATE(R$1,1),Log_2018[[#This Row],[Date]]),Log_2018[[#This Row],[Split_apply]])) - SUM($O53:Q53)</f>
        <v>0</v>
      </c>
      <c r="S53" s="52">
        <f ca="1">Log_2018[[#This Row],[Amount]]/Log_2018[[#This Row],[Split_raw]]*MAX(0,MIN(_xlfn.DAYS(EDATE(S$1,1),Log_2018[[#This Row],[Date]]),Log_2018[[#This Row],[Split_apply]])) - SUM($O53:R53)</f>
        <v>0</v>
      </c>
      <c r="T53" s="52">
        <f ca="1">Log_2018[[#This Row],[Amount]]/Log_2018[[#This Row],[Split_raw]]*MAX(0,MIN(_xlfn.DAYS(EDATE(T$1,1),Log_2018[[#This Row],[Date]]),Log_2018[[#This Row],[Split_apply]])) - SUM($O53:S53)</f>
        <v>0</v>
      </c>
      <c r="U53" s="52">
        <f ca="1">Log_2018[[#This Row],[Amount]]/Log_2018[[#This Row],[Split_raw]]*MAX(0,MIN(_xlfn.DAYS(EDATE(U$1,1),Log_2018[[#This Row],[Date]]),Log_2018[[#This Row],[Split_apply]])) - SUM($O53:T53)</f>
        <v>0</v>
      </c>
      <c r="V53" s="52">
        <f ca="1">Log_2018[[#This Row],[Amount]]/Log_2018[[#This Row],[Split_raw]]*MAX(0,MIN(_xlfn.DAYS(EDATE(V$1,1),Log_2018[[#This Row],[Date]]),Log_2018[[#This Row],[Split_apply]])) - SUM($O53:U53)</f>
        <v>0</v>
      </c>
      <c r="W53" s="52">
        <f ca="1">Log_2018[[#This Row],[Amount]]/Log_2018[[#This Row],[Split_raw]]*MAX(0,MIN(_xlfn.DAYS(EDATE(W$1,1),Log_2018[[#This Row],[Date]]),Log_2018[[#This Row],[Split_apply]])) - SUM($O53:V53)</f>
        <v>0</v>
      </c>
      <c r="X53" s="52">
        <f ca="1">Log_2018[[#This Row],[Amount]]/Log_2018[[#This Row],[Split_raw]]*MAX(0,MIN(_xlfn.DAYS(EDATE(X$1,1),Log_2018[[#This Row],[Date]]),Log_2018[[#This Row],[Split_apply]])) - SUM($O53:W53)</f>
        <v>0</v>
      </c>
      <c r="Y53" s="52">
        <f ca="1">Log_2018[[#This Row],[Amount]]/Log_2018[[#This Row],[Split_raw]]*MAX(0,MIN(_xlfn.DAYS(EDATE(Y$1,1),Log_2018[[#This Row],[Date]]),Log_2018[[#This Row],[Split_apply]])) - SUM($O53:X53)</f>
        <v>0</v>
      </c>
      <c r="Z53" s="52">
        <f ca="1">Log_2018[[#This Row],[Amount]]/Log_2018[[#This Row],[Split_raw]]*MAX(0,MIN(_xlfn.DAYS(EDATE(Z$1,1),Log_2018[[#This Row],[Date]]),Log_2018[[#This Row],[Split_apply]])) - SUM($O53:Y53)</f>
        <v>0</v>
      </c>
      <c r="AA53" s="52">
        <f ca="1">Log_2018[[#This Row],[Amount]]/Log_2018[[#This Row],[Split_raw]]*MAX(0,MIN(_xlfn.DAYS(EDATE(AA$1,1),Log_2018[[#This Row],[Date]]),Log_2018[[#This Row],[Split_apply]])) - SUM($O53:Z53)</f>
        <v>-7.94</v>
      </c>
      <c r="AB53" s="54">
        <f ca="1">Log_2018[[#This Row],[Amount]]-SUM(O53:AA53)</f>
        <v>0</v>
      </c>
      <c r="AC53" s="7">
        <f ca="1">MAX(0,Log_2018[[#This Row],[Split_apply]] - (EDATE(AA$1,1)-Log_2018[[#This Row],[Date]]))</f>
        <v>0</v>
      </c>
    </row>
    <row r="54" spans="1:29" hidden="1" x14ac:dyDescent="0.25">
      <c r="A54" s="115"/>
      <c r="B54" t="s">
        <v>6</v>
      </c>
      <c r="D54" s="26">
        <v>43440</v>
      </c>
      <c r="F54" t="s">
        <v>454</v>
      </c>
      <c r="G54" t="s">
        <v>25</v>
      </c>
      <c r="H54" s="3">
        <v>-18.12</v>
      </c>
      <c r="I54" s="36">
        <f>IF(Log_2018[[#This Row],[My Category]]="NONTRACKED",0,Log_2018[[#This Row],[Raw Amount]])</f>
        <v>-18.12</v>
      </c>
      <c r="J54" s="17">
        <f>ABS(Log_2018[[#This Row],[Amount]])</f>
        <v>18.12</v>
      </c>
      <c r="K54" s="66">
        <v>1</v>
      </c>
      <c r="L54" s="66">
        <f ca="1">IF(Log_2018[[#This Row],[Date]]&lt;=TODAY(), MIN(Log_2018[[#This Row],[Split_raw]], TODAY()-Log_2018[[#This Row],[Date]]+1), 0)</f>
        <v>1</v>
      </c>
      <c r="M54" t="s">
        <v>40</v>
      </c>
      <c r="N54" t="s">
        <v>158</v>
      </c>
      <c r="O54" s="50">
        <v>0</v>
      </c>
      <c r="P54" s="52">
        <f ca="1">Log_2018[[#This Row],[Amount]]/Log_2018[[#This Row],[Split_raw]]*MAX(0,MIN(_xlfn.DAYS(EDATE(P$1,1),Log_2018[[#This Row],[Date]]),Log_2018[[#This Row],[Split_apply]])) - SUM($O54:O54)</f>
        <v>0</v>
      </c>
      <c r="Q54" s="52">
        <f ca="1">Log_2018[[#This Row],[Amount]]/Log_2018[[#This Row],[Split_raw]]*MAX(0,MIN(_xlfn.DAYS(EDATE(Q$1,1),Log_2018[[#This Row],[Date]]),Log_2018[[#This Row],[Split_apply]])) - SUM($O54:P54)</f>
        <v>0</v>
      </c>
      <c r="R54" s="52">
        <f ca="1">Log_2018[[#This Row],[Amount]]/Log_2018[[#This Row],[Split_raw]]*MAX(0,MIN(_xlfn.DAYS(EDATE(R$1,1),Log_2018[[#This Row],[Date]]),Log_2018[[#This Row],[Split_apply]])) - SUM($O54:Q54)</f>
        <v>0</v>
      </c>
      <c r="S54" s="52">
        <f ca="1">Log_2018[[#This Row],[Amount]]/Log_2018[[#This Row],[Split_raw]]*MAX(0,MIN(_xlfn.DAYS(EDATE(S$1,1),Log_2018[[#This Row],[Date]]),Log_2018[[#This Row],[Split_apply]])) - SUM($O54:R54)</f>
        <v>0</v>
      </c>
      <c r="T54" s="52">
        <f ca="1">Log_2018[[#This Row],[Amount]]/Log_2018[[#This Row],[Split_raw]]*MAX(0,MIN(_xlfn.DAYS(EDATE(T$1,1),Log_2018[[#This Row],[Date]]),Log_2018[[#This Row],[Split_apply]])) - SUM($O54:S54)</f>
        <v>0</v>
      </c>
      <c r="U54" s="52">
        <f ca="1">Log_2018[[#This Row],[Amount]]/Log_2018[[#This Row],[Split_raw]]*MAX(0,MIN(_xlfn.DAYS(EDATE(U$1,1),Log_2018[[#This Row],[Date]]),Log_2018[[#This Row],[Split_apply]])) - SUM($O54:T54)</f>
        <v>0</v>
      </c>
      <c r="V54" s="52">
        <f ca="1">Log_2018[[#This Row],[Amount]]/Log_2018[[#This Row],[Split_raw]]*MAX(0,MIN(_xlfn.DAYS(EDATE(V$1,1),Log_2018[[#This Row],[Date]]),Log_2018[[#This Row],[Split_apply]])) - SUM($O54:U54)</f>
        <v>0</v>
      </c>
      <c r="W54" s="52">
        <f ca="1">Log_2018[[#This Row],[Amount]]/Log_2018[[#This Row],[Split_raw]]*MAX(0,MIN(_xlfn.DAYS(EDATE(W$1,1),Log_2018[[#This Row],[Date]]),Log_2018[[#This Row],[Split_apply]])) - SUM($O54:V54)</f>
        <v>0</v>
      </c>
      <c r="X54" s="52">
        <f ca="1">Log_2018[[#This Row],[Amount]]/Log_2018[[#This Row],[Split_raw]]*MAX(0,MIN(_xlfn.DAYS(EDATE(X$1,1),Log_2018[[#This Row],[Date]]),Log_2018[[#This Row],[Split_apply]])) - SUM($O54:W54)</f>
        <v>0</v>
      </c>
      <c r="Y54" s="52">
        <f ca="1">Log_2018[[#This Row],[Amount]]/Log_2018[[#This Row],[Split_raw]]*MAX(0,MIN(_xlfn.DAYS(EDATE(Y$1,1),Log_2018[[#This Row],[Date]]),Log_2018[[#This Row],[Split_apply]])) - SUM($O54:X54)</f>
        <v>0</v>
      </c>
      <c r="Z54" s="52">
        <f ca="1">Log_2018[[#This Row],[Amount]]/Log_2018[[#This Row],[Split_raw]]*MAX(0,MIN(_xlfn.DAYS(EDATE(Z$1,1),Log_2018[[#This Row],[Date]]),Log_2018[[#This Row],[Split_apply]])) - SUM($O54:Y54)</f>
        <v>0</v>
      </c>
      <c r="AA54" s="52">
        <f ca="1">Log_2018[[#This Row],[Amount]]/Log_2018[[#This Row],[Split_raw]]*MAX(0,MIN(_xlfn.DAYS(EDATE(AA$1,1),Log_2018[[#This Row],[Date]]),Log_2018[[#This Row],[Split_apply]])) - SUM($O54:Z54)</f>
        <v>-18.12</v>
      </c>
      <c r="AB54" s="54">
        <f ca="1">Log_2018[[#This Row],[Amount]]-SUM(O54:AA54)</f>
        <v>0</v>
      </c>
      <c r="AC54" s="7">
        <f ca="1">MAX(0,Log_2018[[#This Row],[Split_apply]] - (EDATE(AA$1,1)-Log_2018[[#This Row],[Date]]))</f>
        <v>0</v>
      </c>
    </row>
    <row r="55" spans="1:29" hidden="1" x14ac:dyDescent="0.25">
      <c r="A55" s="115"/>
      <c r="B55" t="s">
        <v>490</v>
      </c>
      <c r="C55" s="30">
        <v>2.6280619843770102E+18</v>
      </c>
      <c r="D55" s="26">
        <v>43440</v>
      </c>
      <c r="F55" t="s">
        <v>504</v>
      </c>
      <c r="H55" s="3">
        <v>9</v>
      </c>
      <c r="I55" s="36">
        <f>IF(Log_2018[[#This Row],[My Category]]="NONTRACKED",0,Log_2018[[#This Row],[Raw Amount]])</f>
        <v>9</v>
      </c>
      <c r="J55" s="17">
        <f>ABS(Log_2018[[#This Row],[Amount]])</f>
        <v>9</v>
      </c>
      <c r="K55" s="66">
        <v>1</v>
      </c>
      <c r="L55" s="66">
        <f ca="1">IF(Log_2018[[#This Row],[Date]]&lt;=TODAY(), MIN(Log_2018[[#This Row],[Split_raw]], TODAY()-Log_2018[[#This Row],[Date]]+1), 0)</f>
        <v>1</v>
      </c>
      <c r="M55" t="s">
        <v>40</v>
      </c>
      <c r="N55" t="s">
        <v>489</v>
      </c>
      <c r="O55" s="50">
        <v>0</v>
      </c>
      <c r="P55" s="52">
        <f ca="1">Log_2018[[#This Row],[Amount]]/Log_2018[[#This Row],[Split_raw]]*MAX(0,MIN(_xlfn.DAYS(EDATE(P$1,1),Log_2018[[#This Row],[Date]]),Log_2018[[#This Row],[Split_apply]])) - SUM($O55:O55)</f>
        <v>0</v>
      </c>
      <c r="Q55" s="52">
        <f ca="1">Log_2018[[#This Row],[Amount]]/Log_2018[[#This Row],[Split_raw]]*MAX(0,MIN(_xlfn.DAYS(EDATE(Q$1,1),Log_2018[[#This Row],[Date]]),Log_2018[[#This Row],[Split_apply]])) - SUM($O55:P55)</f>
        <v>0</v>
      </c>
      <c r="R55" s="52">
        <f ca="1">Log_2018[[#This Row],[Amount]]/Log_2018[[#This Row],[Split_raw]]*MAX(0,MIN(_xlfn.DAYS(EDATE(R$1,1),Log_2018[[#This Row],[Date]]),Log_2018[[#This Row],[Split_apply]])) - SUM($O55:Q55)</f>
        <v>0</v>
      </c>
      <c r="S55" s="52">
        <f ca="1">Log_2018[[#This Row],[Amount]]/Log_2018[[#This Row],[Split_raw]]*MAX(0,MIN(_xlfn.DAYS(EDATE(S$1,1),Log_2018[[#This Row],[Date]]),Log_2018[[#This Row],[Split_apply]])) - SUM($O55:R55)</f>
        <v>0</v>
      </c>
      <c r="T55" s="52">
        <f ca="1">Log_2018[[#This Row],[Amount]]/Log_2018[[#This Row],[Split_raw]]*MAX(0,MIN(_xlfn.DAYS(EDATE(T$1,1),Log_2018[[#This Row],[Date]]),Log_2018[[#This Row],[Split_apply]])) - SUM($O55:S55)</f>
        <v>0</v>
      </c>
      <c r="U55" s="52">
        <f ca="1">Log_2018[[#This Row],[Amount]]/Log_2018[[#This Row],[Split_raw]]*MAX(0,MIN(_xlfn.DAYS(EDATE(U$1,1),Log_2018[[#This Row],[Date]]),Log_2018[[#This Row],[Split_apply]])) - SUM($O55:T55)</f>
        <v>0</v>
      </c>
      <c r="V55" s="52">
        <f ca="1">Log_2018[[#This Row],[Amount]]/Log_2018[[#This Row],[Split_raw]]*MAX(0,MIN(_xlfn.DAYS(EDATE(V$1,1),Log_2018[[#This Row],[Date]]),Log_2018[[#This Row],[Split_apply]])) - SUM($O55:U55)</f>
        <v>0</v>
      </c>
      <c r="W55" s="52">
        <f ca="1">Log_2018[[#This Row],[Amount]]/Log_2018[[#This Row],[Split_raw]]*MAX(0,MIN(_xlfn.DAYS(EDATE(W$1,1),Log_2018[[#This Row],[Date]]),Log_2018[[#This Row],[Split_apply]])) - SUM($O55:V55)</f>
        <v>0</v>
      </c>
      <c r="X55" s="52">
        <f ca="1">Log_2018[[#This Row],[Amount]]/Log_2018[[#This Row],[Split_raw]]*MAX(0,MIN(_xlfn.DAYS(EDATE(X$1,1),Log_2018[[#This Row],[Date]]),Log_2018[[#This Row],[Split_apply]])) - SUM($O55:W55)</f>
        <v>0</v>
      </c>
      <c r="Y55" s="52">
        <f ca="1">Log_2018[[#This Row],[Amount]]/Log_2018[[#This Row],[Split_raw]]*MAX(0,MIN(_xlfn.DAYS(EDATE(Y$1,1),Log_2018[[#This Row],[Date]]),Log_2018[[#This Row],[Split_apply]])) - SUM($O55:X55)</f>
        <v>0</v>
      </c>
      <c r="Z55" s="52">
        <f ca="1">Log_2018[[#This Row],[Amount]]/Log_2018[[#This Row],[Split_raw]]*MAX(0,MIN(_xlfn.DAYS(EDATE(Z$1,1),Log_2018[[#This Row],[Date]]),Log_2018[[#This Row],[Split_apply]])) - SUM($O55:Y55)</f>
        <v>0</v>
      </c>
      <c r="AA55" s="52">
        <f ca="1">Log_2018[[#This Row],[Amount]]/Log_2018[[#This Row],[Split_raw]]*MAX(0,MIN(_xlfn.DAYS(EDATE(AA$1,1),Log_2018[[#This Row],[Date]]),Log_2018[[#This Row],[Split_apply]])) - SUM($O55:Z55)</f>
        <v>9</v>
      </c>
      <c r="AB55" s="54">
        <f ca="1">Log_2018[[#This Row],[Amount]]-SUM(O55:AA55)</f>
        <v>0</v>
      </c>
      <c r="AC55" s="7">
        <f ca="1">MAX(0,Log_2018[[#This Row],[Split_apply]] - (EDATE(AA$1,1)-Log_2018[[#This Row],[Date]]))</f>
        <v>0</v>
      </c>
    </row>
    <row r="56" spans="1:29" hidden="1" x14ac:dyDescent="0.25">
      <c r="A56" s="115"/>
      <c r="B56" t="s">
        <v>6</v>
      </c>
      <c r="D56" s="26">
        <v>43440</v>
      </c>
      <c r="F56" t="s">
        <v>338</v>
      </c>
      <c r="G56" t="s">
        <v>87</v>
      </c>
      <c r="H56" s="3">
        <f>--1886.51</f>
        <v>1886.51</v>
      </c>
      <c r="I56" s="36">
        <f>IF(Log_2018[[#This Row],[My Category]]="NONTRACKED",0,Log_2018[[#This Row],[Raw Amount]])</f>
        <v>1886.51</v>
      </c>
      <c r="J56" s="17">
        <f>ABS(Log_2018[[#This Row],[Amount]])</f>
        <v>1886.51</v>
      </c>
      <c r="K56" s="66">
        <v>14</v>
      </c>
      <c r="L56" s="66">
        <f ca="1">IF(Log_2018[[#This Row],[Date]]&lt;=TODAY(), MIN(Log_2018[[#This Row],[Split_raw]], TODAY()-Log_2018[[#This Row],[Date]]+1), 0)</f>
        <v>14</v>
      </c>
      <c r="M56" t="s">
        <v>91</v>
      </c>
      <c r="N56" t="s">
        <v>160</v>
      </c>
      <c r="O56" s="50">
        <v>0</v>
      </c>
      <c r="P56" s="52">
        <f ca="1">Log_2018[[#This Row],[Amount]]/Log_2018[[#This Row],[Split_raw]]*MAX(0,MIN(_xlfn.DAYS(EDATE(P$1,1),Log_2018[[#This Row],[Date]]),Log_2018[[#This Row],[Split_apply]])) - SUM($O56:O56)</f>
        <v>0</v>
      </c>
      <c r="Q56" s="52">
        <f ca="1">Log_2018[[#This Row],[Amount]]/Log_2018[[#This Row],[Split_raw]]*MAX(0,MIN(_xlfn.DAYS(EDATE(Q$1,1),Log_2018[[#This Row],[Date]]),Log_2018[[#This Row],[Split_apply]])) - SUM($O56:P56)</f>
        <v>0</v>
      </c>
      <c r="R56" s="52">
        <f ca="1">Log_2018[[#This Row],[Amount]]/Log_2018[[#This Row],[Split_raw]]*MAX(0,MIN(_xlfn.DAYS(EDATE(R$1,1),Log_2018[[#This Row],[Date]]),Log_2018[[#This Row],[Split_apply]])) - SUM($O56:Q56)</f>
        <v>0</v>
      </c>
      <c r="S56" s="52">
        <f ca="1">Log_2018[[#This Row],[Amount]]/Log_2018[[#This Row],[Split_raw]]*MAX(0,MIN(_xlfn.DAYS(EDATE(S$1,1),Log_2018[[#This Row],[Date]]),Log_2018[[#This Row],[Split_apply]])) - SUM($O56:R56)</f>
        <v>0</v>
      </c>
      <c r="T56" s="52">
        <f ca="1">Log_2018[[#This Row],[Amount]]/Log_2018[[#This Row],[Split_raw]]*MAX(0,MIN(_xlfn.DAYS(EDATE(T$1,1),Log_2018[[#This Row],[Date]]),Log_2018[[#This Row],[Split_apply]])) - SUM($O56:S56)</f>
        <v>0</v>
      </c>
      <c r="U56" s="52">
        <f ca="1">Log_2018[[#This Row],[Amount]]/Log_2018[[#This Row],[Split_raw]]*MAX(0,MIN(_xlfn.DAYS(EDATE(U$1,1),Log_2018[[#This Row],[Date]]),Log_2018[[#This Row],[Split_apply]])) - SUM($O56:T56)</f>
        <v>0</v>
      </c>
      <c r="V56" s="52">
        <f ca="1">Log_2018[[#This Row],[Amount]]/Log_2018[[#This Row],[Split_raw]]*MAX(0,MIN(_xlfn.DAYS(EDATE(V$1,1),Log_2018[[#This Row],[Date]]),Log_2018[[#This Row],[Split_apply]])) - SUM($O56:U56)</f>
        <v>0</v>
      </c>
      <c r="W56" s="52">
        <f ca="1">Log_2018[[#This Row],[Amount]]/Log_2018[[#This Row],[Split_raw]]*MAX(0,MIN(_xlfn.DAYS(EDATE(W$1,1),Log_2018[[#This Row],[Date]]),Log_2018[[#This Row],[Split_apply]])) - SUM($O56:V56)</f>
        <v>0</v>
      </c>
      <c r="X56" s="52">
        <f ca="1">Log_2018[[#This Row],[Amount]]/Log_2018[[#This Row],[Split_raw]]*MAX(0,MIN(_xlfn.DAYS(EDATE(X$1,1),Log_2018[[#This Row],[Date]]),Log_2018[[#This Row],[Split_apply]])) - SUM($O56:W56)</f>
        <v>0</v>
      </c>
      <c r="Y56" s="52">
        <f ca="1">Log_2018[[#This Row],[Amount]]/Log_2018[[#This Row],[Split_raw]]*MAX(0,MIN(_xlfn.DAYS(EDATE(Y$1,1),Log_2018[[#This Row],[Date]]),Log_2018[[#This Row],[Split_apply]])) - SUM($O56:X56)</f>
        <v>0</v>
      </c>
      <c r="Z56" s="52">
        <f ca="1">Log_2018[[#This Row],[Amount]]/Log_2018[[#This Row],[Split_raw]]*MAX(0,MIN(_xlfn.DAYS(EDATE(Z$1,1),Log_2018[[#This Row],[Date]]),Log_2018[[#This Row],[Split_apply]])) - SUM($O56:Y56)</f>
        <v>0</v>
      </c>
      <c r="AA56" s="52">
        <f ca="1">Log_2018[[#This Row],[Amount]]/Log_2018[[#This Row],[Split_raw]]*MAX(0,MIN(_xlfn.DAYS(EDATE(AA$1,1),Log_2018[[#This Row],[Date]]),Log_2018[[#This Row],[Split_apply]])) - SUM($O56:Z56)</f>
        <v>1886.51</v>
      </c>
      <c r="AB56" s="54">
        <f ca="1">Log_2018[[#This Row],[Amount]]-SUM(O56:AA56)</f>
        <v>0</v>
      </c>
      <c r="AC56" s="7">
        <f ca="1">MAX(0,Log_2018[[#This Row],[Split_apply]] - (EDATE(AA$1,1)-Log_2018[[#This Row],[Date]]))</f>
        <v>0</v>
      </c>
    </row>
    <row r="57" spans="1:29" hidden="1" x14ac:dyDescent="0.25">
      <c r="A57" s="115"/>
      <c r="B57" t="s">
        <v>6</v>
      </c>
      <c r="D57" s="26">
        <v>43439</v>
      </c>
      <c r="F57" t="s">
        <v>455</v>
      </c>
      <c r="G57" t="s">
        <v>25</v>
      </c>
      <c r="H57" s="3">
        <v>-9.8800000000000008</v>
      </c>
      <c r="I57" s="36">
        <f>IF(Log_2018[[#This Row],[My Category]]="NONTRACKED",0,Log_2018[[#This Row],[Raw Amount]])</f>
        <v>-9.8800000000000008</v>
      </c>
      <c r="J57" s="17">
        <f>ABS(Log_2018[[#This Row],[Amount]])</f>
        <v>9.8800000000000008</v>
      </c>
      <c r="K57" s="66">
        <v>1</v>
      </c>
      <c r="L57" s="66">
        <f ca="1">IF(Log_2018[[#This Row],[Date]]&lt;=TODAY(), MIN(Log_2018[[#This Row],[Split_raw]], TODAY()-Log_2018[[#This Row],[Date]]+1), 0)</f>
        <v>1</v>
      </c>
      <c r="M57" t="s">
        <v>35</v>
      </c>
      <c r="N57" t="s">
        <v>158</v>
      </c>
      <c r="O57" s="50">
        <v>0</v>
      </c>
      <c r="P57" s="52">
        <f ca="1">Log_2018[[#This Row],[Amount]]/Log_2018[[#This Row],[Split_raw]]*MAX(0,MIN(_xlfn.DAYS(EDATE(P$1,1),Log_2018[[#This Row],[Date]]),Log_2018[[#This Row],[Split_apply]])) - SUM($O57:O57)</f>
        <v>0</v>
      </c>
      <c r="Q57" s="52">
        <f ca="1">Log_2018[[#This Row],[Amount]]/Log_2018[[#This Row],[Split_raw]]*MAX(0,MIN(_xlfn.DAYS(EDATE(Q$1,1),Log_2018[[#This Row],[Date]]),Log_2018[[#This Row],[Split_apply]])) - SUM($O57:P57)</f>
        <v>0</v>
      </c>
      <c r="R57" s="52">
        <f ca="1">Log_2018[[#This Row],[Amount]]/Log_2018[[#This Row],[Split_raw]]*MAX(0,MIN(_xlfn.DAYS(EDATE(R$1,1),Log_2018[[#This Row],[Date]]),Log_2018[[#This Row],[Split_apply]])) - SUM($O57:Q57)</f>
        <v>0</v>
      </c>
      <c r="S57" s="52">
        <f ca="1">Log_2018[[#This Row],[Amount]]/Log_2018[[#This Row],[Split_raw]]*MAX(0,MIN(_xlfn.DAYS(EDATE(S$1,1),Log_2018[[#This Row],[Date]]),Log_2018[[#This Row],[Split_apply]])) - SUM($O57:R57)</f>
        <v>0</v>
      </c>
      <c r="T57" s="52">
        <f ca="1">Log_2018[[#This Row],[Amount]]/Log_2018[[#This Row],[Split_raw]]*MAX(0,MIN(_xlfn.DAYS(EDATE(T$1,1),Log_2018[[#This Row],[Date]]),Log_2018[[#This Row],[Split_apply]])) - SUM($O57:S57)</f>
        <v>0</v>
      </c>
      <c r="U57" s="52">
        <f ca="1">Log_2018[[#This Row],[Amount]]/Log_2018[[#This Row],[Split_raw]]*MAX(0,MIN(_xlfn.DAYS(EDATE(U$1,1),Log_2018[[#This Row],[Date]]),Log_2018[[#This Row],[Split_apply]])) - SUM($O57:T57)</f>
        <v>0</v>
      </c>
      <c r="V57" s="52">
        <f ca="1">Log_2018[[#This Row],[Amount]]/Log_2018[[#This Row],[Split_raw]]*MAX(0,MIN(_xlfn.DAYS(EDATE(V$1,1),Log_2018[[#This Row],[Date]]),Log_2018[[#This Row],[Split_apply]])) - SUM($O57:U57)</f>
        <v>0</v>
      </c>
      <c r="W57" s="52">
        <f ca="1">Log_2018[[#This Row],[Amount]]/Log_2018[[#This Row],[Split_raw]]*MAX(0,MIN(_xlfn.DAYS(EDATE(W$1,1),Log_2018[[#This Row],[Date]]),Log_2018[[#This Row],[Split_apply]])) - SUM($O57:V57)</f>
        <v>0</v>
      </c>
      <c r="X57" s="52">
        <f ca="1">Log_2018[[#This Row],[Amount]]/Log_2018[[#This Row],[Split_raw]]*MAX(0,MIN(_xlfn.DAYS(EDATE(X$1,1),Log_2018[[#This Row],[Date]]),Log_2018[[#This Row],[Split_apply]])) - SUM($O57:W57)</f>
        <v>0</v>
      </c>
      <c r="Y57" s="52">
        <f ca="1">Log_2018[[#This Row],[Amount]]/Log_2018[[#This Row],[Split_raw]]*MAX(0,MIN(_xlfn.DAYS(EDATE(Y$1,1),Log_2018[[#This Row],[Date]]),Log_2018[[#This Row],[Split_apply]])) - SUM($O57:X57)</f>
        <v>0</v>
      </c>
      <c r="Z57" s="52">
        <f ca="1">Log_2018[[#This Row],[Amount]]/Log_2018[[#This Row],[Split_raw]]*MAX(0,MIN(_xlfn.DAYS(EDATE(Z$1,1),Log_2018[[#This Row],[Date]]),Log_2018[[#This Row],[Split_apply]])) - SUM($O57:Y57)</f>
        <v>0</v>
      </c>
      <c r="AA57" s="52">
        <f ca="1">Log_2018[[#This Row],[Amount]]/Log_2018[[#This Row],[Split_raw]]*MAX(0,MIN(_xlfn.DAYS(EDATE(AA$1,1),Log_2018[[#This Row],[Date]]),Log_2018[[#This Row],[Split_apply]])) - SUM($O57:Z57)</f>
        <v>-9.8800000000000008</v>
      </c>
      <c r="AB57" s="54">
        <f ca="1">Log_2018[[#This Row],[Amount]]-SUM(O57:AA57)</f>
        <v>0</v>
      </c>
      <c r="AC57" s="7">
        <f ca="1">MAX(0,Log_2018[[#This Row],[Split_apply]] - (EDATE(AA$1,1)-Log_2018[[#This Row],[Date]]))</f>
        <v>0</v>
      </c>
    </row>
    <row r="58" spans="1:29" hidden="1" x14ac:dyDescent="0.25">
      <c r="A58" s="115"/>
      <c r="B58" t="s">
        <v>6</v>
      </c>
      <c r="D58" s="26">
        <v>43438</v>
      </c>
      <c r="F58" t="s">
        <v>345</v>
      </c>
      <c r="G58" t="s">
        <v>12</v>
      </c>
      <c r="H58" s="3">
        <v>-42.21</v>
      </c>
      <c r="I58" s="36">
        <f>IF(Log_2018[[#This Row],[My Category]]="NONTRACKED",0,Log_2018[[#This Row],[Raw Amount]])</f>
        <v>-42.21</v>
      </c>
      <c r="J58" s="17">
        <f>ABS(Log_2018[[#This Row],[Amount]])</f>
        <v>42.21</v>
      </c>
      <c r="K58" s="66">
        <v>1</v>
      </c>
      <c r="L58" s="66">
        <f ca="1">IF(Log_2018[[#This Row],[Date]]&lt;=TODAY(), MIN(Log_2018[[#This Row],[Split_raw]], TODAY()-Log_2018[[#This Row],[Date]]+1), 0)</f>
        <v>1</v>
      </c>
      <c r="M58" t="s">
        <v>12</v>
      </c>
      <c r="N58" t="s">
        <v>158</v>
      </c>
      <c r="O58" s="50">
        <v>0</v>
      </c>
      <c r="P58" s="52">
        <f ca="1">Log_2018[[#This Row],[Amount]]/Log_2018[[#This Row],[Split_raw]]*MAX(0,MIN(_xlfn.DAYS(EDATE(P$1,1),Log_2018[[#This Row],[Date]]),Log_2018[[#This Row],[Split_apply]])) - SUM($O58:O58)</f>
        <v>0</v>
      </c>
      <c r="Q58" s="52">
        <f ca="1">Log_2018[[#This Row],[Amount]]/Log_2018[[#This Row],[Split_raw]]*MAX(0,MIN(_xlfn.DAYS(EDATE(Q$1,1),Log_2018[[#This Row],[Date]]),Log_2018[[#This Row],[Split_apply]])) - SUM($O58:P58)</f>
        <v>0</v>
      </c>
      <c r="R58" s="52">
        <f ca="1">Log_2018[[#This Row],[Amount]]/Log_2018[[#This Row],[Split_raw]]*MAX(0,MIN(_xlfn.DAYS(EDATE(R$1,1),Log_2018[[#This Row],[Date]]),Log_2018[[#This Row],[Split_apply]])) - SUM($O58:Q58)</f>
        <v>0</v>
      </c>
      <c r="S58" s="52">
        <f ca="1">Log_2018[[#This Row],[Amount]]/Log_2018[[#This Row],[Split_raw]]*MAX(0,MIN(_xlfn.DAYS(EDATE(S$1,1),Log_2018[[#This Row],[Date]]),Log_2018[[#This Row],[Split_apply]])) - SUM($O58:R58)</f>
        <v>0</v>
      </c>
      <c r="T58" s="52">
        <f ca="1">Log_2018[[#This Row],[Amount]]/Log_2018[[#This Row],[Split_raw]]*MAX(0,MIN(_xlfn.DAYS(EDATE(T$1,1),Log_2018[[#This Row],[Date]]),Log_2018[[#This Row],[Split_apply]])) - SUM($O58:S58)</f>
        <v>0</v>
      </c>
      <c r="U58" s="52">
        <f ca="1">Log_2018[[#This Row],[Amount]]/Log_2018[[#This Row],[Split_raw]]*MAX(0,MIN(_xlfn.DAYS(EDATE(U$1,1),Log_2018[[#This Row],[Date]]),Log_2018[[#This Row],[Split_apply]])) - SUM($O58:T58)</f>
        <v>0</v>
      </c>
      <c r="V58" s="52">
        <f ca="1">Log_2018[[#This Row],[Amount]]/Log_2018[[#This Row],[Split_raw]]*MAX(0,MIN(_xlfn.DAYS(EDATE(V$1,1),Log_2018[[#This Row],[Date]]),Log_2018[[#This Row],[Split_apply]])) - SUM($O58:U58)</f>
        <v>0</v>
      </c>
      <c r="W58" s="52">
        <f ca="1">Log_2018[[#This Row],[Amount]]/Log_2018[[#This Row],[Split_raw]]*MAX(0,MIN(_xlfn.DAYS(EDATE(W$1,1),Log_2018[[#This Row],[Date]]),Log_2018[[#This Row],[Split_apply]])) - SUM($O58:V58)</f>
        <v>0</v>
      </c>
      <c r="X58" s="52">
        <f ca="1">Log_2018[[#This Row],[Amount]]/Log_2018[[#This Row],[Split_raw]]*MAX(0,MIN(_xlfn.DAYS(EDATE(X$1,1),Log_2018[[#This Row],[Date]]),Log_2018[[#This Row],[Split_apply]])) - SUM($O58:W58)</f>
        <v>0</v>
      </c>
      <c r="Y58" s="52">
        <f ca="1">Log_2018[[#This Row],[Amount]]/Log_2018[[#This Row],[Split_raw]]*MAX(0,MIN(_xlfn.DAYS(EDATE(Y$1,1),Log_2018[[#This Row],[Date]]),Log_2018[[#This Row],[Split_apply]])) - SUM($O58:X58)</f>
        <v>0</v>
      </c>
      <c r="Z58" s="52">
        <f ca="1">Log_2018[[#This Row],[Amount]]/Log_2018[[#This Row],[Split_raw]]*MAX(0,MIN(_xlfn.DAYS(EDATE(Z$1,1),Log_2018[[#This Row],[Date]]),Log_2018[[#This Row],[Split_apply]])) - SUM($O58:Y58)</f>
        <v>0</v>
      </c>
      <c r="AA58" s="52">
        <f ca="1">Log_2018[[#This Row],[Amount]]/Log_2018[[#This Row],[Split_raw]]*MAX(0,MIN(_xlfn.DAYS(EDATE(AA$1,1),Log_2018[[#This Row],[Date]]),Log_2018[[#This Row],[Split_apply]])) - SUM($O58:Z58)</f>
        <v>-42.21</v>
      </c>
      <c r="AB58" s="54">
        <f ca="1">Log_2018[[#This Row],[Amount]]-SUM(O58:AA58)</f>
        <v>0</v>
      </c>
      <c r="AC58" s="7">
        <f ca="1">MAX(0,Log_2018[[#This Row],[Split_apply]] - (EDATE(AA$1,1)-Log_2018[[#This Row],[Date]]))</f>
        <v>0</v>
      </c>
    </row>
    <row r="59" spans="1:29" hidden="1" x14ac:dyDescent="0.25">
      <c r="A59" s="115"/>
      <c r="B59" t="s">
        <v>6</v>
      </c>
      <c r="D59" s="26">
        <v>43438</v>
      </c>
      <c r="F59" t="s">
        <v>105</v>
      </c>
      <c r="G59" t="s">
        <v>104</v>
      </c>
      <c r="H59" s="3">
        <f>--874.85</f>
        <v>874.85</v>
      </c>
      <c r="I59" s="36">
        <f>IF(Log_2018[[#This Row],[My Category]]="NONTRACKED",0,Log_2018[[#This Row],[Raw Amount]])</f>
        <v>874.85</v>
      </c>
      <c r="J59" s="17">
        <f>ABS(Log_2018[[#This Row],[Amount]])</f>
        <v>874.85</v>
      </c>
      <c r="K59" s="66">
        <v>1</v>
      </c>
      <c r="L59" s="66">
        <f ca="1">IF(Log_2018[[#This Row],[Date]]&lt;=TODAY(), MIN(Log_2018[[#This Row],[Split_raw]], TODAY()-Log_2018[[#This Row],[Date]]+1), 0)</f>
        <v>1</v>
      </c>
      <c r="M59" t="s">
        <v>159</v>
      </c>
      <c r="N59" t="s">
        <v>158</v>
      </c>
      <c r="O59" s="50">
        <v>0</v>
      </c>
      <c r="P59" s="52">
        <f ca="1">Log_2018[[#This Row],[Amount]]/Log_2018[[#This Row],[Split_raw]]*MAX(0,MIN(_xlfn.DAYS(EDATE(P$1,1),Log_2018[[#This Row],[Date]]),Log_2018[[#This Row],[Split_apply]])) - SUM($O59:O59)</f>
        <v>0</v>
      </c>
      <c r="Q59" s="52">
        <f ca="1">Log_2018[[#This Row],[Amount]]/Log_2018[[#This Row],[Split_raw]]*MAX(0,MIN(_xlfn.DAYS(EDATE(Q$1,1),Log_2018[[#This Row],[Date]]),Log_2018[[#This Row],[Split_apply]])) - SUM($O59:P59)</f>
        <v>0</v>
      </c>
      <c r="R59" s="52">
        <f ca="1">Log_2018[[#This Row],[Amount]]/Log_2018[[#This Row],[Split_raw]]*MAX(0,MIN(_xlfn.DAYS(EDATE(R$1,1),Log_2018[[#This Row],[Date]]),Log_2018[[#This Row],[Split_apply]])) - SUM($O59:Q59)</f>
        <v>0</v>
      </c>
      <c r="S59" s="52">
        <f ca="1">Log_2018[[#This Row],[Amount]]/Log_2018[[#This Row],[Split_raw]]*MAX(0,MIN(_xlfn.DAYS(EDATE(S$1,1),Log_2018[[#This Row],[Date]]),Log_2018[[#This Row],[Split_apply]])) - SUM($O59:R59)</f>
        <v>0</v>
      </c>
      <c r="T59" s="52">
        <f ca="1">Log_2018[[#This Row],[Amount]]/Log_2018[[#This Row],[Split_raw]]*MAX(0,MIN(_xlfn.DAYS(EDATE(T$1,1),Log_2018[[#This Row],[Date]]),Log_2018[[#This Row],[Split_apply]])) - SUM($O59:S59)</f>
        <v>0</v>
      </c>
      <c r="U59" s="52">
        <f ca="1">Log_2018[[#This Row],[Amount]]/Log_2018[[#This Row],[Split_raw]]*MAX(0,MIN(_xlfn.DAYS(EDATE(U$1,1),Log_2018[[#This Row],[Date]]),Log_2018[[#This Row],[Split_apply]])) - SUM($O59:T59)</f>
        <v>0</v>
      </c>
      <c r="V59" s="52">
        <f ca="1">Log_2018[[#This Row],[Amount]]/Log_2018[[#This Row],[Split_raw]]*MAX(0,MIN(_xlfn.DAYS(EDATE(V$1,1),Log_2018[[#This Row],[Date]]),Log_2018[[#This Row],[Split_apply]])) - SUM($O59:U59)</f>
        <v>0</v>
      </c>
      <c r="W59" s="52">
        <f ca="1">Log_2018[[#This Row],[Amount]]/Log_2018[[#This Row],[Split_raw]]*MAX(0,MIN(_xlfn.DAYS(EDATE(W$1,1),Log_2018[[#This Row],[Date]]),Log_2018[[#This Row],[Split_apply]])) - SUM($O59:V59)</f>
        <v>0</v>
      </c>
      <c r="X59" s="52">
        <f ca="1">Log_2018[[#This Row],[Amount]]/Log_2018[[#This Row],[Split_raw]]*MAX(0,MIN(_xlfn.DAYS(EDATE(X$1,1),Log_2018[[#This Row],[Date]]),Log_2018[[#This Row],[Split_apply]])) - SUM($O59:W59)</f>
        <v>0</v>
      </c>
      <c r="Y59" s="52">
        <f ca="1">Log_2018[[#This Row],[Amount]]/Log_2018[[#This Row],[Split_raw]]*MAX(0,MIN(_xlfn.DAYS(EDATE(Y$1,1),Log_2018[[#This Row],[Date]]),Log_2018[[#This Row],[Split_apply]])) - SUM($O59:X59)</f>
        <v>0</v>
      </c>
      <c r="Z59" s="52">
        <f ca="1">Log_2018[[#This Row],[Amount]]/Log_2018[[#This Row],[Split_raw]]*MAX(0,MIN(_xlfn.DAYS(EDATE(Z$1,1),Log_2018[[#This Row],[Date]]),Log_2018[[#This Row],[Split_apply]])) - SUM($O59:Y59)</f>
        <v>0</v>
      </c>
      <c r="AA59" s="52">
        <f ca="1">Log_2018[[#This Row],[Amount]]/Log_2018[[#This Row],[Split_raw]]*MAX(0,MIN(_xlfn.DAYS(EDATE(AA$1,1),Log_2018[[#This Row],[Date]]),Log_2018[[#This Row],[Split_apply]])) - SUM($O59:Z59)</f>
        <v>874.85</v>
      </c>
      <c r="AB59" s="54">
        <f ca="1">Log_2018[[#This Row],[Amount]]-SUM(O59:AA59)</f>
        <v>0</v>
      </c>
      <c r="AC59" s="7">
        <f ca="1">MAX(0,Log_2018[[#This Row],[Split_apply]] - (EDATE(AA$1,1)-Log_2018[[#This Row],[Date]]))</f>
        <v>0</v>
      </c>
    </row>
    <row r="60" spans="1:29" hidden="1" x14ac:dyDescent="0.25">
      <c r="A60" s="115"/>
      <c r="B60" t="s">
        <v>6</v>
      </c>
      <c r="D60" s="26">
        <v>43438</v>
      </c>
      <c r="F60" t="s">
        <v>255</v>
      </c>
      <c r="G60" t="s">
        <v>25</v>
      </c>
      <c r="H60" s="3">
        <v>-12.64</v>
      </c>
      <c r="I60" s="36">
        <f>IF(Log_2018[[#This Row],[My Category]]="NONTRACKED",0,Log_2018[[#This Row],[Raw Amount]])</f>
        <v>-12.64</v>
      </c>
      <c r="J60" s="17">
        <f>ABS(Log_2018[[#This Row],[Amount]])</f>
        <v>12.64</v>
      </c>
      <c r="K60" s="66">
        <v>1</v>
      </c>
      <c r="L60" s="66">
        <f ca="1">IF(Log_2018[[#This Row],[Date]]&lt;=TODAY(), MIN(Log_2018[[#This Row],[Split_raw]], TODAY()-Log_2018[[#This Row],[Date]]+1), 0)</f>
        <v>1</v>
      </c>
      <c r="M60" t="s">
        <v>35</v>
      </c>
      <c r="N60" t="s">
        <v>158</v>
      </c>
      <c r="O60" s="50">
        <v>0</v>
      </c>
      <c r="P60" s="52">
        <f ca="1">Log_2018[[#This Row],[Amount]]/Log_2018[[#This Row],[Split_raw]]*MAX(0,MIN(_xlfn.DAYS(EDATE(P$1,1),Log_2018[[#This Row],[Date]]),Log_2018[[#This Row],[Split_apply]])) - SUM($O60:O60)</f>
        <v>0</v>
      </c>
      <c r="Q60" s="52">
        <f ca="1">Log_2018[[#This Row],[Amount]]/Log_2018[[#This Row],[Split_raw]]*MAX(0,MIN(_xlfn.DAYS(EDATE(Q$1,1),Log_2018[[#This Row],[Date]]),Log_2018[[#This Row],[Split_apply]])) - SUM($O60:P60)</f>
        <v>0</v>
      </c>
      <c r="R60" s="52">
        <f ca="1">Log_2018[[#This Row],[Amount]]/Log_2018[[#This Row],[Split_raw]]*MAX(0,MIN(_xlfn.DAYS(EDATE(R$1,1),Log_2018[[#This Row],[Date]]),Log_2018[[#This Row],[Split_apply]])) - SUM($O60:Q60)</f>
        <v>0</v>
      </c>
      <c r="S60" s="52">
        <f ca="1">Log_2018[[#This Row],[Amount]]/Log_2018[[#This Row],[Split_raw]]*MAX(0,MIN(_xlfn.DAYS(EDATE(S$1,1),Log_2018[[#This Row],[Date]]),Log_2018[[#This Row],[Split_apply]])) - SUM($O60:R60)</f>
        <v>0</v>
      </c>
      <c r="T60" s="52">
        <f ca="1">Log_2018[[#This Row],[Amount]]/Log_2018[[#This Row],[Split_raw]]*MAX(0,MIN(_xlfn.DAYS(EDATE(T$1,1),Log_2018[[#This Row],[Date]]),Log_2018[[#This Row],[Split_apply]])) - SUM($O60:S60)</f>
        <v>0</v>
      </c>
      <c r="U60" s="52">
        <f ca="1">Log_2018[[#This Row],[Amount]]/Log_2018[[#This Row],[Split_raw]]*MAX(0,MIN(_xlfn.DAYS(EDATE(U$1,1),Log_2018[[#This Row],[Date]]),Log_2018[[#This Row],[Split_apply]])) - SUM($O60:T60)</f>
        <v>0</v>
      </c>
      <c r="V60" s="52">
        <f ca="1">Log_2018[[#This Row],[Amount]]/Log_2018[[#This Row],[Split_raw]]*MAX(0,MIN(_xlfn.DAYS(EDATE(V$1,1),Log_2018[[#This Row],[Date]]),Log_2018[[#This Row],[Split_apply]])) - SUM($O60:U60)</f>
        <v>0</v>
      </c>
      <c r="W60" s="52">
        <f ca="1">Log_2018[[#This Row],[Amount]]/Log_2018[[#This Row],[Split_raw]]*MAX(0,MIN(_xlfn.DAYS(EDATE(W$1,1),Log_2018[[#This Row],[Date]]),Log_2018[[#This Row],[Split_apply]])) - SUM($O60:V60)</f>
        <v>0</v>
      </c>
      <c r="X60" s="52">
        <f ca="1">Log_2018[[#This Row],[Amount]]/Log_2018[[#This Row],[Split_raw]]*MAX(0,MIN(_xlfn.DAYS(EDATE(X$1,1),Log_2018[[#This Row],[Date]]),Log_2018[[#This Row],[Split_apply]])) - SUM($O60:W60)</f>
        <v>0</v>
      </c>
      <c r="Y60" s="52">
        <f ca="1">Log_2018[[#This Row],[Amount]]/Log_2018[[#This Row],[Split_raw]]*MAX(0,MIN(_xlfn.DAYS(EDATE(Y$1,1),Log_2018[[#This Row],[Date]]),Log_2018[[#This Row],[Split_apply]])) - SUM($O60:X60)</f>
        <v>0</v>
      </c>
      <c r="Z60" s="52">
        <f ca="1">Log_2018[[#This Row],[Amount]]/Log_2018[[#This Row],[Split_raw]]*MAX(0,MIN(_xlfn.DAYS(EDATE(Z$1,1),Log_2018[[#This Row],[Date]]),Log_2018[[#This Row],[Split_apply]])) - SUM($O60:Y60)</f>
        <v>0</v>
      </c>
      <c r="AA60" s="52">
        <f ca="1">Log_2018[[#This Row],[Amount]]/Log_2018[[#This Row],[Split_raw]]*MAX(0,MIN(_xlfn.DAYS(EDATE(AA$1,1),Log_2018[[#This Row],[Date]]),Log_2018[[#This Row],[Split_apply]])) - SUM($O60:Z60)</f>
        <v>-12.64</v>
      </c>
      <c r="AB60" s="54">
        <f ca="1">Log_2018[[#This Row],[Amount]]-SUM(O60:AA60)</f>
        <v>0</v>
      </c>
      <c r="AC60" s="7">
        <f ca="1">MAX(0,Log_2018[[#This Row],[Split_apply]] - (EDATE(AA$1,1)-Log_2018[[#This Row],[Date]]))</f>
        <v>0</v>
      </c>
    </row>
    <row r="61" spans="1:29" hidden="1" x14ac:dyDescent="0.25">
      <c r="A61" s="115"/>
      <c r="B61" t="s">
        <v>6</v>
      </c>
      <c r="D61" s="39">
        <v>43438</v>
      </c>
      <c r="F61" t="s">
        <v>138</v>
      </c>
      <c r="G61" t="s">
        <v>104</v>
      </c>
      <c r="H61" s="3">
        <v>-874.85</v>
      </c>
      <c r="I61" s="36">
        <f>IF(Log_2018[[#This Row],[My Category]]="NONTRACKED",0,Log_2018[[#This Row],[Raw Amount]])</f>
        <v>-874.85</v>
      </c>
      <c r="J61" s="17">
        <f>ABS(Log_2018[[#This Row],[Amount]])</f>
        <v>874.85</v>
      </c>
      <c r="K61" s="66">
        <v>1</v>
      </c>
      <c r="L61" s="66">
        <f ca="1">IF(Log_2018[[#This Row],[Date]]&lt;=TODAY(), MIN(Log_2018[[#This Row],[Split_raw]], TODAY()-Log_2018[[#This Row],[Date]]+1), 0)</f>
        <v>1</v>
      </c>
      <c r="M61" t="s">
        <v>159</v>
      </c>
      <c r="N61" t="s">
        <v>160</v>
      </c>
      <c r="O61" s="50">
        <v>0</v>
      </c>
      <c r="P61" s="52">
        <f ca="1">Log_2018[[#This Row],[Amount]]/Log_2018[[#This Row],[Split_raw]]*MAX(0,MIN(_xlfn.DAYS(EDATE(P$1,1),Log_2018[[#This Row],[Date]]),Log_2018[[#This Row],[Split_apply]])) - SUM($O61:O61)</f>
        <v>0</v>
      </c>
      <c r="Q61" s="52">
        <f ca="1">Log_2018[[#This Row],[Amount]]/Log_2018[[#This Row],[Split_raw]]*MAX(0,MIN(_xlfn.DAYS(EDATE(Q$1,1),Log_2018[[#This Row],[Date]]),Log_2018[[#This Row],[Split_apply]])) - SUM($O61:P61)</f>
        <v>0</v>
      </c>
      <c r="R61" s="52">
        <f ca="1">Log_2018[[#This Row],[Amount]]/Log_2018[[#This Row],[Split_raw]]*MAX(0,MIN(_xlfn.DAYS(EDATE(R$1,1),Log_2018[[#This Row],[Date]]),Log_2018[[#This Row],[Split_apply]])) - SUM($O61:Q61)</f>
        <v>0</v>
      </c>
      <c r="S61" s="52">
        <f ca="1">Log_2018[[#This Row],[Amount]]/Log_2018[[#This Row],[Split_raw]]*MAX(0,MIN(_xlfn.DAYS(EDATE(S$1,1),Log_2018[[#This Row],[Date]]),Log_2018[[#This Row],[Split_apply]])) - SUM($O61:R61)</f>
        <v>0</v>
      </c>
      <c r="T61" s="52">
        <f ca="1">Log_2018[[#This Row],[Amount]]/Log_2018[[#This Row],[Split_raw]]*MAX(0,MIN(_xlfn.DAYS(EDATE(T$1,1),Log_2018[[#This Row],[Date]]),Log_2018[[#This Row],[Split_apply]])) - SUM($O61:S61)</f>
        <v>0</v>
      </c>
      <c r="U61" s="52">
        <f ca="1">Log_2018[[#This Row],[Amount]]/Log_2018[[#This Row],[Split_raw]]*MAX(0,MIN(_xlfn.DAYS(EDATE(U$1,1),Log_2018[[#This Row],[Date]]),Log_2018[[#This Row],[Split_apply]])) - SUM($O61:T61)</f>
        <v>0</v>
      </c>
      <c r="V61" s="52">
        <f ca="1">Log_2018[[#This Row],[Amount]]/Log_2018[[#This Row],[Split_raw]]*MAX(0,MIN(_xlfn.DAYS(EDATE(V$1,1),Log_2018[[#This Row],[Date]]),Log_2018[[#This Row],[Split_apply]])) - SUM($O61:U61)</f>
        <v>0</v>
      </c>
      <c r="W61" s="52">
        <f ca="1">Log_2018[[#This Row],[Amount]]/Log_2018[[#This Row],[Split_raw]]*MAX(0,MIN(_xlfn.DAYS(EDATE(W$1,1),Log_2018[[#This Row],[Date]]),Log_2018[[#This Row],[Split_apply]])) - SUM($O61:V61)</f>
        <v>0</v>
      </c>
      <c r="X61" s="52">
        <f ca="1">Log_2018[[#This Row],[Amount]]/Log_2018[[#This Row],[Split_raw]]*MAX(0,MIN(_xlfn.DAYS(EDATE(X$1,1),Log_2018[[#This Row],[Date]]),Log_2018[[#This Row],[Split_apply]])) - SUM($O61:W61)</f>
        <v>0</v>
      </c>
      <c r="Y61" s="52">
        <f ca="1">Log_2018[[#This Row],[Amount]]/Log_2018[[#This Row],[Split_raw]]*MAX(0,MIN(_xlfn.DAYS(EDATE(Y$1,1),Log_2018[[#This Row],[Date]]),Log_2018[[#This Row],[Split_apply]])) - SUM($O61:X61)</f>
        <v>0</v>
      </c>
      <c r="Z61" s="52">
        <f ca="1">Log_2018[[#This Row],[Amount]]/Log_2018[[#This Row],[Split_raw]]*MAX(0,MIN(_xlfn.DAYS(EDATE(Z$1,1),Log_2018[[#This Row],[Date]]),Log_2018[[#This Row],[Split_apply]])) - SUM($O61:Y61)</f>
        <v>0</v>
      </c>
      <c r="AA61" s="52">
        <f ca="1">Log_2018[[#This Row],[Amount]]/Log_2018[[#This Row],[Split_raw]]*MAX(0,MIN(_xlfn.DAYS(EDATE(AA$1,1),Log_2018[[#This Row],[Date]]),Log_2018[[#This Row],[Split_apply]])) - SUM($O61:Z61)</f>
        <v>-874.85</v>
      </c>
      <c r="AB61" s="54">
        <f ca="1">Log_2018[[#This Row],[Amount]]-SUM(O61:AA61)</f>
        <v>0</v>
      </c>
      <c r="AC61" s="7">
        <f ca="1">MAX(0,Log_2018[[#This Row],[Split_apply]] - (EDATE(AA$1,1)-Log_2018[[#This Row],[Date]]))</f>
        <v>0</v>
      </c>
    </row>
    <row r="62" spans="1:29" hidden="1" x14ac:dyDescent="0.25">
      <c r="A62" s="115"/>
      <c r="B62" t="s">
        <v>6</v>
      </c>
      <c r="D62" s="39">
        <v>43437</v>
      </c>
      <c r="F62" t="s">
        <v>255</v>
      </c>
      <c r="G62" t="s">
        <v>25</v>
      </c>
      <c r="H62" s="3">
        <v>-9.51</v>
      </c>
      <c r="I62" s="36">
        <f>IF(Log_2018[[#This Row],[My Category]]="NONTRACKED",0,Log_2018[[#This Row],[Raw Amount]])</f>
        <v>-9.51</v>
      </c>
      <c r="J62" s="17">
        <f>ABS(Log_2018[[#This Row],[Amount]])</f>
        <v>9.51</v>
      </c>
      <c r="K62" s="66">
        <v>1</v>
      </c>
      <c r="L62" s="66">
        <f ca="1">IF(Log_2018[[#This Row],[Date]]&lt;=TODAY(), MIN(Log_2018[[#This Row],[Split_raw]], TODAY()-Log_2018[[#This Row],[Date]]+1), 0)</f>
        <v>1</v>
      </c>
      <c r="M62" t="s">
        <v>35</v>
      </c>
      <c r="N62" t="s">
        <v>158</v>
      </c>
      <c r="O62" s="50">
        <v>0</v>
      </c>
      <c r="P62" s="52">
        <f ca="1">Log_2018[[#This Row],[Amount]]/Log_2018[[#This Row],[Split_raw]]*MAX(0,MIN(_xlfn.DAYS(EDATE(P$1,1),Log_2018[[#This Row],[Date]]),Log_2018[[#This Row],[Split_apply]])) - SUM($O62:O62)</f>
        <v>0</v>
      </c>
      <c r="Q62" s="52">
        <f ca="1">Log_2018[[#This Row],[Amount]]/Log_2018[[#This Row],[Split_raw]]*MAX(0,MIN(_xlfn.DAYS(EDATE(Q$1,1),Log_2018[[#This Row],[Date]]),Log_2018[[#This Row],[Split_apply]])) - SUM($O62:P62)</f>
        <v>0</v>
      </c>
      <c r="R62" s="52">
        <f ca="1">Log_2018[[#This Row],[Amount]]/Log_2018[[#This Row],[Split_raw]]*MAX(0,MIN(_xlfn.DAYS(EDATE(R$1,1),Log_2018[[#This Row],[Date]]),Log_2018[[#This Row],[Split_apply]])) - SUM($O62:Q62)</f>
        <v>0</v>
      </c>
      <c r="S62" s="52">
        <f ca="1">Log_2018[[#This Row],[Amount]]/Log_2018[[#This Row],[Split_raw]]*MAX(0,MIN(_xlfn.DAYS(EDATE(S$1,1),Log_2018[[#This Row],[Date]]),Log_2018[[#This Row],[Split_apply]])) - SUM($O62:R62)</f>
        <v>0</v>
      </c>
      <c r="T62" s="52">
        <f ca="1">Log_2018[[#This Row],[Amount]]/Log_2018[[#This Row],[Split_raw]]*MAX(0,MIN(_xlfn.DAYS(EDATE(T$1,1),Log_2018[[#This Row],[Date]]),Log_2018[[#This Row],[Split_apply]])) - SUM($O62:S62)</f>
        <v>0</v>
      </c>
      <c r="U62" s="52">
        <f ca="1">Log_2018[[#This Row],[Amount]]/Log_2018[[#This Row],[Split_raw]]*MAX(0,MIN(_xlfn.DAYS(EDATE(U$1,1),Log_2018[[#This Row],[Date]]),Log_2018[[#This Row],[Split_apply]])) - SUM($O62:T62)</f>
        <v>0</v>
      </c>
      <c r="V62" s="52">
        <f ca="1">Log_2018[[#This Row],[Amount]]/Log_2018[[#This Row],[Split_raw]]*MAX(0,MIN(_xlfn.DAYS(EDATE(V$1,1),Log_2018[[#This Row],[Date]]),Log_2018[[#This Row],[Split_apply]])) - SUM($O62:U62)</f>
        <v>0</v>
      </c>
      <c r="W62" s="52">
        <f ca="1">Log_2018[[#This Row],[Amount]]/Log_2018[[#This Row],[Split_raw]]*MAX(0,MIN(_xlfn.DAYS(EDATE(W$1,1),Log_2018[[#This Row],[Date]]),Log_2018[[#This Row],[Split_apply]])) - SUM($O62:V62)</f>
        <v>0</v>
      </c>
      <c r="X62" s="52">
        <f ca="1">Log_2018[[#This Row],[Amount]]/Log_2018[[#This Row],[Split_raw]]*MAX(0,MIN(_xlfn.DAYS(EDATE(X$1,1),Log_2018[[#This Row],[Date]]),Log_2018[[#This Row],[Split_apply]])) - SUM($O62:W62)</f>
        <v>0</v>
      </c>
      <c r="Y62" s="52">
        <f ca="1">Log_2018[[#This Row],[Amount]]/Log_2018[[#This Row],[Split_raw]]*MAX(0,MIN(_xlfn.DAYS(EDATE(Y$1,1),Log_2018[[#This Row],[Date]]),Log_2018[[#This Row],[Split_apply]])) - SUM($O62:X62)</f>
        <v>0</v>
      </c>
      <c r="Z62" s="52">
        <f ca="1">Log_2018[[#This Row],[Amount]]/Log_2018[[#This Row],[Split_raw]]*MAX(0,MIN(_xlfn.DAYS(EDATE(Z$1,1),Log_2018[[#This Row],[Date]]),Log_2018[[#This Row],[Split_apply]])) - SUM($O62:Y62)</f>
        <v>0</v>
      </c>
      <c r="AA62" s="52">
        <f ca="1">Log_2018[[#This Row],[Amount]]/Log_2018[[#This Row],[Split_raw]]*MAX(0,MIN(_xlfn.DAYS(EDATE(AA$1,1),Log_2018[[#This Row],[Date]]),Log_2018[[#This Row],[Split_apply]])) - SUM($O62:Z62)</f>
        <v>-9.51</v>
      </c>
      <c r="AB62" s="54">
        <f ca="1">Log_2018[[#This Row],[Amount]]-SUM(O62:AA62)</f>
        <v>0</v>
      </c>
      <c r="AC62" s="7">
        <f ca="1">MAX(0,Log_2018[[#This Row],[Split_apply]] - (EDATE(AA$1,1)-Log_2018[[#This Row],[Date]]))</f>
        <v>0</v>
      </c>
    </row>
    <row r="63" spans="1:29" hidden="1" x14ac:dyDescent="0.25">
      <c r="A63" s="115"/>
      <c r="B63" t="s">
        <v>6</v>
      </c>
      <c r="D63" s="39">
        <v>43436</v>
      </c>
      <c r="E63" t="s">
        <v>446</v>
      </c>
      <c r="F63" t="s">
        <v>394</v>
      </c>
      <c r="G63" t="s">
        <v>300</v>
      </c>
      <c r="H63" s="3">
        <v>-37.5</v>
      </c>
      <c r="I63" s="36">
        <f>IF(Log_2018[[#This Row],[My Category]]="NONTRACKED",0,Log_2018[[#This Row],[Raw Amount]])</f>
        <v>-37.5</v>
      </c>
      <c r="J63" s="17">
        <f>ABS(Log_2018[[#This Row],[Amount]])</f>
        <v>37.5</v>
      </c>
      <c r="K63" s="66">
        <v>1</v>
      </c>
      <c r="L63" s="66">
        <f ca="1">IF(Log_2018[[#This Row],[Date]]&lt;=TODAY(), MIN(Log_2018[[#This Row],[Split_raw]], TODAY()-Log_2018[[#This Row],[Date]]+1), 0)</f>
        <v>1</v>
      </c>
      <c r="M63" t="s">
        <v>37</v>
      </c>
      <c r="N63" t="s">
        <v>158</v>
      </c>
      <c r="O63" s="50">
        <v>0</v>
      </c>
      <c r="P63" s="52">
        <f ca="1">Log_2018[[#This Row],[Amount]]/Log_2018[[#This Row],[Split_raw]]*MAX(0,MIN(_xlfn.DAYS(EDATE(P$1,1),Log_2018[[#This Row],[Date]]),Log_2018[[#This Row],[Split_apply]])) - SUM($O63:O63)</f>
        <v>0</v>
      </c>
      <c r="Q63" s="52">
        <f ca="1">Log_2018[[#This Row],[Amount]]/Log_2018[[#This Row],[Split_raw]]*MAX(0,MIN(_xlfn.DAYS(EDATE(Q$1,1),Log_2018[[#This Row],[Date]]),Log_2018[[#This Row],[Split_apply]])) - SUM($O63:P63)</f>
        <v>0</v>
      </c>
      <c r="R63" s="52">
        <f ca="1">Log_2018[[#This Row],[Amount]]/Log_2018[[#This Row],[Split_raw]]*MAX(0,MIN(_xlfn.DAYS(EDATE(R$1,1),Log_2018[[#This Row],[Date]]),Log_2018[[#This Row],[Split_apply]])) - SUM($O63:Q63)</f>
        <v>0</v>
      </c>
      <c r="S63" s="52">
        <f ca="1">Log_2018[[#This Row],[Amount]]/Log_2018[[#This Row],[Split_raw]]*MAX(0,MIN(_xlfn.DAYS(EDATE(S$1,1),Log_2018[[#This Row],[Date]]),Log_2018[[#This Row],[Split_apply]])) - SUM($O63:R63)</f>
        <v>0</v>
      </c>
      <c r="T63" s="52">
        <f ca="1">Log_2018[[#This Row],[Amount]]/Log_2018[[#This Row],[Split_raw]]*MAX(0,MIN(_xlfn.DAYS(EDATE(T$1,1),Log_2018[[#This Row],[Date]]),Log_2018[[#This Row],[Split_apply]])) - SUM($O63:S63)</f>
        <v>0</v>
      </c>
      <c r="U63" s="52">
        <f ca="1">Log_2018[[#This Row],[Amount]]/Log_2018[[#This Row],[Split_raw]]*MAX(0,MIN(_xlfn.DAYS(EDATE(U$1,1),Log_2018[[#This Row],[Date]]),Log_2018[[#This Row],[Split_apply]])) - SUM($O63:T63)</f>
        <v>0</v>
      </c>
      <c r="V63" s="52">
        <f ca="1">Log_2018[[#This Row],[Amount]]/Log_2018[[#This Row],[Split_raw]]*MAX(0,MIN(_xlfn.DAYS(EDATE(V$1,1),Log_2018[[#This Row],[Date]]),Log_2018[[#This Row],[Split_apply]])) - SUM($O63:U63)</f>
        <v>0</v>
      </c>
      <c r="W63" s="52">
        <f ca="1">Log_2018[[#This Row],[Amount]]/Log_2018[[#This Row],[Split_raw]]*MAX(0,MIN(_xlfn.DAYS(EDATE(W$1,1),Log_2018[[#This Row],[Date]]),Log_2018[[#This Row],[Split_apply]])) - SUM($O63:V63)</f>
        <v>0</v>
      </c>
      <c r="X63" s="52">
        <f ca="1">Log_2018[[#This Row],[Amount]]/Log_2018[[#This Row],[Split_raw]]*MAX(0,MIN(_xlfn.DAYS(EDATE(X$1,1),Log_2018[[#This Row],[Date]]),Log_2018[[#This Row],[Split_apply]])) - SUM($O63:W63)</f>
        <v>0</v>
      </c>
      <c r="Y63" s="52">
        <f ca="1">Log_2018[[#This Row],[Amount]]/Log_2018[[#This Row],[Split_raw]]*MAX(0,MIN(_xlfn.DAYS(EDATE(Y$1,1),Log_2018[[#This Row],[Date]]),Log_2018[[#This Row],[Split_apply]])) - SUM($O63:X63)</f>
        <v>0</v>
      </c>
      <c r="Z63" s="52">
        <f ca="1">Log_2018[[#This Row],[Amount]]/Log_2018[[#This Row],[Split_raw]]*MAX(0,MIN(_xlfn.DAYS(EDATE(Z$1,1),Log_2018[[#This Row],[Date]]),Log_2018[[#This Row],[Split_apply]])) - SUM($O63:Y63)</f>
        <v>0</v>
      </c>
      <c r="AA63" s="52">
        <f ca="1">Log_2018[[#This Row],[Amount]]/Log_2018[[#This Row],[Split_raw]]*MAX(0,MIN(_xlfn.DAYS(EDATE(AA$1,1),Log_2018[[#This Row],[Date]]),Log_2018[[#This Row],[Split_apply]])) - SUM($O63:Z63)</f>
        <v>-37.5</v>
      </c>
      <c r="AB63" s="54">
        <f ca="1">Log_2018[[#This Row],[Amount]]-SUM(O63:AA63)</f>
        <v>0</v>
      </c>
      <c r="AC63" s="7">
        <f ca="1">MAX(0,Log_2018[[#This Row],[Split_apply]] - (EDATE(AA$1,1)-Log_2018[[#This Row],[Date]]))</f>
        <v>0</v>
      </c>
    </row>
    <row r="64" spans="1:29" hidden="1" x14ac:dyDescent="0.25">
      <c r="A64" s="115"/>
      <c r="B64" t="s">
        <v>6</v>
      </c>
      <c r="D64" s="39">
        <v>43436</v>
      </c>
      <c r="E64" t="s">
        <v>448</v>
      </c>
      <c r="F64" t="s">
        <v>433</v>
      </c>
      <c r="G64" t="s">
        <v>11</v>
      </c>
      <c r="H64" s="3">
        <v>-35</v>
      </c>
      <c r="I64" s="36">
        <f>IF(Log_2018[[#This Row],[My Category]]="NONTRACKED",0,Log_2018[[#This Row],[Raw Amount]])</f>
        <v>-35</v>
      </c>
      <c r="J64" s="17">
        <f>ABS(Log_2018[[#This Row],[Amount]])</f>
        <v>35</v>
      </c>
      <c r="K64" s="66">
        <v>1</v>
      </c>
      <c r="L64" s="66">
        <f ca="1">IF(Log_2018[[#This Row],[Date]]&lt;=TODAY(), MIN(Log_2018[[#This Row],[Split_raw]], TODAY()-Log_2018[[#This Row],[Date]]+1), 0)</f>
        <v>1</v>
      </c>
      <c r="M64" t="s">
        <v>39</v>
      </c>
      <c r="N64" t="s">
        <v>158</v>
      </c>
      <c r="O64" s="50">
        <v>0</v>
      </c>
      <c r="P64" s="52">
        <f ca="1">Log_2018[[#This Row],[Amount]]/Log_2018[[#This Row],[Split_raw]]*MAX(0,MIN(_xlfn.DAYS(EDATE(P$1,1),Log_2018[[#This Row],[Date]]),Log_2018[[#This Row],[Split_apply]])) - SUM($O64:O64)</f>
        <v>0</v>
      </c>
      <c r="Q64" s="52">
        <f ca="1">Log_2018[[#This Row],[Amount]]/Log_2018[[#This Row],[Split_raw]]*MAX(0,MIN(_xlfn.DAYS(EDATE(Q$1,1),Log_2018[[#This Row],[Date]]),Log_2018[[#This Row],[Split_apply]])) - SUM($O64:P64)</f>
        <v>0</v>
      </c>
      <c r="R64" s="52">
        <f ca="1">Log_2018[[#This Row],[Amount]]/Log_2018[[#This Row],[Split_raw]]*MAX(0,MIN(_xlfn.DAYS(EDATE(R$1,1),Log_2018[[#This Row],[Date]]),Log_2018[[#This Row],[Split_apply]])) - SUM($O64:Q64)</f>
        <v>0</v>
      </c>
      <c r="S64" s="52">
        <f ca="1">Log_2018[[#This Row],[Amount]]/Log_2018[[#This Row],[Split_raw]]*MAX(0,MIN(_xlfn.DAYS(EDATE(S$1,1),Log_2018[[#This Row],[Date]]),Log_2018[[#This Row],[Split_apply]])) - SUM($O64:R64)</f>
        <v>0</v>
      </c>
      <c r="T64" s="52">
        <f ca="1">Log_2018[[#This Row],[Amount]]/Log_2018[[#This Row],[Split_raw]]*MAX(0,MIN(_xlfn.DAYS(EDATE(T$1,1),Log_2018[[#This Row],[Date]]),Log_2018[[#This Row],[Split_apply]])) - SUM($O64:S64)</f>
        <v>0</v>
      </c>
      <c r="U64" s="52">
        <f ca="1">Log_2018[[#This Row],[Amount]]/Log_2018[[#This Row],[Split_raw]]*MAX(0,MIN(_xlfn.DAYS(EDATE(U$1,1),Log_2018[[#This Row],[Date]]),Log_2018[[#This Row],[Split_apply]])) - SUM($O64:T64)</f>
        <v>0</v>
      </c>
      <c r="V64" s="52">
        <f ca="1">Log_2018[[#This Row],[Amount]]/Log_2018[[#This Row],[Split_raw]]*MAX(0,MIN(_xlfn.DAYS(EDATE(V$1,1),Log_2018[[#This Row],[Date]]),Log_2018[[#This Row],[Split_apply]])) - SUM($O64:U64)</f>
        <v>0</v>
      </c>
      <c r="W64" s="52">
        <f ca="1">Log_2018[[#This Row],[Amount]]/Log_2018[[#This Row],[Split_raw]]*MAX(0,MIN(_xlfn.DAYS(EDATE(W$1,1),Log_2018[[#This Row],[Date]]),Log_2018[[#This Row],[Split_apply]])) - SUM($O64:V64)</f>
        <v>0</v>
      </c>
      <c r="X64" s="52">
        <f ca="1">Log_2018[[#This Row],[Amount]]/Log_2018[[#This Row],[Split_raw]]*MAX(0,MIN(_xlfn.DAYS(EDATE(X$1,1),Log_2018[[#This Row],[Date]]),Log_2018[[#This Row],[Split_apply]])) - SUM($O64:W64)</f>
        <v>0</v>
      </c>
      <c r="Y64" s="52">
        <f ca="1">Log_2018[[#This Row],[Amount]]/Log_2018[[#This Row],[Split_raw]]*MAX(0,MIN(_xlfn.DAYS(EDATE(Y$1,1),Log_2018[[#This Row],[Date]]),Log_2018[[#This Row],[Split_apply]])) - SUM($O64:X64)</f>
        <v>0</v>
      </c>
      <c r="Z64" s="52">
        <f ca="1">Log_2018[[#This Row],[Amount]]/Log_2018[[#This Row],[Split_raw]]*MAX(0,MIN(_xlfn.DAYS(EDATE(Z$1,1),Log_2018[[#This Row],[Date]]),Log_2018[[#This Row],[Split_apply]])) - SUM($O64:Y64)</f>
        <v>0</v>
      </c>
      <c r="AA64" s="52">
        <f ca="1">Log_2018[[#This Row],[Amount]]/Log_2018[[#This Row],[Split_raw]]*MAX(0,MIN(_xlfn.DAYS(EDATE(AA$1,1),Log_2018[[#This Row],[Date]]),Log_2018[[#This Row],[Split_apply]])) - SUM($O64:Z64)</f>
        <v>-35</v>
      </c>
      <c r="AB64" s="54">
        <f ca="1">Log_2018[[#This Row],[Amount]]-SUM(O64:AA64)</f>
        <v>0</v>
      </c>
      <c r="AC64" s="7">
        <f ca="1">MAX(0,Log_2018[[#This Row],[Split_apply]] - (EDATE(AA$1,1)-Log_2018[[#This Row],[Date]]))</f>
        <v>0</v>
      </c>
    </row>
    <row r="65" spans="1:29" hidden="1" x14ac:dyDescent="0.25">
      <c r="A65" s="115"/>
      <c r="B65" t="s">
        <v>6</v>
      </c>
      <c r="D65" s="39">
        <v>43436</v>
      </c>
      <c r="E65" t="s">
        <v>447</v>
      </c>
      <c r="F65" t="s">
        <v>434</v>
      </c>
      <c r="G65" t="s">
        <v>214</v>
      </c>
      <c r="H65" s="3">
        <v>-74.52</v>
      </c>
      <c r="I65" s="36">
        <f>IF(Log_2018[[#This Row],[My Category]]="NONTRACKED",0,Log_2018[[#This Row],[Raw Amount]])</f>
        <v>-74.52</v>
      </c>
      <c r="J65" s="17">
        <f>ABS(Log_2018[[#This Row],[Amount]])</f>
        <v>74.52</v>
      </c>
      <c r="K65" s="66">
        <v>1</v>
      </c>
      <c r="L65" s="66">
        <f ca="1">IF(Log_2018[[#This Row],[Date]]&lt;=TODAY(), MIN(Log_2018[[#This Row],[Split_raw]], TODAY()-Log_2018[[#This Row],[Date]]+1), 0)</f>
        <v>1</v>
      </c>
      <c r="M65" t="s">
        <v>39</v>
      </c>
      <c r="N65" t="s">
        <v>158</v>
      </c>
      <c r="O65" s="50">
        <v>0</v>
      </c>
      <c r="P65" s="52">
        <f ca="1">Log_2018[[#This Row],[Amount]]/Log_2018[[#This Row],[Split_raw]]*MAX(0,MIN(_xlfn.DAYS(EDATE(P$1,1),Log_2018[[#This Row],[Date]]),Log_2018[[#This Row],[Split_apply]])) - SUM($O65:O65)</f>
        <v>0</v>
      </c>
      <c r="Q65" s="52">
        <f ca="1">Log_2018[[#This Row],[Amount]]/Log_2018[[#This Row],[Split_raw]]*MAX(0,MIN(_xlfn.DAYS(EDATE(Q$1,1),Log_2018[[#This Row],[Date]]),Log_2018[[#This Row],[Split_apply]])) - SUM($O65:P65)</f>
        <v>0</v>
      </c>
      <c r="R65" s="52">
        <f ca="1">Log_2018[[#This Row],[Amount]]/Log_2018[[#This Row],[Split_raw]]*MAX(0,MIN(_xlfn.DAYS(EDATE(R$1,1),Log_2018[[#This Row],[Date]]),Log_2018[[#This Row],[Split_apply]])) - SUM($O65:Q65)</f>
        <v>0</v>
      </c>
      <c r="S65" s="52">
        <f ca="1">Log_2018[[#This Row],[Amount]]/Log_2018[[#This Row],[Split_raw]]*MAX(0,MIN(_xlfn.DAYS(EDATE(S$1,1),Log_2018[[#This Row],[Date]]),Log_2018[[#This Row],[Split_apply]])) - SUM($O65:R65)</f>
        <v>0</v>
      </c>
      <c r="T65" s="52">
        <f ca="1">Log_2018[[#This Row],[Amount]]/Log_2018[[#This Row],[Split_raw]]*MAX(0,MIN(_xlfn.DAYS(EDATE(T$1,1),Log_2018[[#This Row],[Date]]),Log_2018[[#This Row],[Split_apply]])) - SUM($O65:S65)</f>
        <v>0</v>
      </c>
      <c r="U65" s="52">
        <f ca="1">Log_2018[[#This Row],[Amount]]/Log_2018[[#This Row],[Split_raw]]*MAX(0,MIN(_xlfn.DAYS(EDATE(U$1,1),Log_2018[[#This Row],[Date]]),Log_2018[[#This Row],[Split_apply]])) - SUM($O65:T65)</f>
        <v>0</v>
      </c>
      <c r="V65" s="52">
        <f ca="1">Log_2018[[#This Row],[Amount]]/Log_2018[[#This Row],[Split_raw]]*MAX(0,MIN(_xlfn.DAYS(EDATE(V$1,1),Log_2018[[#This Row],[Date]]),Log_2018[[#This Row],[Split_apply]])) - SUM($O65:U65)</f>
        <v>0</v>
      </c>
      <c r="W65" s="52">
        <f ca="1">Log_2018[[#This Row],[Amount]]/Log_2018[[#This Row],[Split_raw]]*MAX(0,MIN(_xlfn.DAYS(EDATE(W$1,1),Log_2018[[#This Row],[Date]]),Log_2018[[#This Row],[Split_apply]])) - SUM($O65:V65)</f>
        <v>0</v>
      </c>
      <c r="X65" s="52">
        <f ca="1">Log_2018[[#This Row],[Amount]]/Log_2018[[#This Row],[Split_raw]]*MAX(0,MIN(_xlfn.DAYS(EDATE(X$1,1),Log_2018[[#This Row],[Date]]),Log_2018[[#This Row],[Split_apply]])) - SUM($O65:W65)</f>
        <v>0</v>
      </c>
      <c r="Y65" s="52">
        <f ca="1">Log_2018[[#This Row],[Amount]]/Log_2018[[#This Row],[Split_raw]]*MAX(0,MIN(_xlfn.DAYS(EDATE(Y$1,1),Log_2018[[#This Row],[Date]]),Log_2018[[#This Row],[Split_apply]])) - SUM($O65:X65)</f>
        <v>0</v>
      </c>
      <c r="Z65" s="52">
        <f ca="1">Log_2018[[#This Row],[Amount]]/Log_2018[[#This Row],[Split_raw]]*MAX(0,MIN(_xlfn.DAYS(EDATE(Z$1,1),Log_2018[[#This Row],[Date]]),Log_2018[[#This Row],[Split_apply]])) - SUM($O65:Y65)</f>
        <v>0</v>
      </c>
      <c r="AA65" s="52">
        <f ca="1">Log_2018[[#This Row],[Amount]]/Log_2018[[#This Row],[Split_raw]]*MAX(0,MIN(_xlfn.DAYS(EDATE(AA$1,1),Log_2018[[#This Row],[Date]]),Log_2018[[#This Row],[Split_apply]])) - SUM($O65:Z65)</f>
        <v>-74.52</v>
      </c>
      <c r="AB65" s="54">
        <f ca="1">Log_2018[[#This Row],[Amount]]-SUM(O65:AA65)</f>
        <v>0</v>
      </c>
      <c r="AC65" s="7">
        <f ca="1">MAX(0,Log_2018[[#This Row],[Split_apply]] - (EDATE(AA$1,1)-Log_2018[[#This Row],[Date]]))</f>
        <v>0</v>
      </c>
    </row>
    <row r="66" spans="1:29" hidden="1" x14ac:dyDescent="0.25">
      <c r="A66" s="115"/>
      <c r="B66" s="34" t="s">
        <v>6</v>
      </c>
      <c r="D66" s="26">
        <v>43435</v>
      </c>
      <c r="E66" t="s">
        <v>960</v>
      </c>
      <c r="F66" t="s">
        <v>431</v>
      </c>
      <c r="G66" t="s">
        <v>20</v>
      </c>
      <c r="H66" s="3">
        <v>-1585.18</v>
      </c>
      <c r="I66" s="36">
        <f>IF(Log_2018[[#This Row],[My Category]]="NONTRACKED",0,Log_2018[[#This Row],[Raw Amount]])</f>
        <v>-1585.18</v>
      </c>
      <c r="J66" s="17">
        <f>ABS(Log_2018[[#This Row],[Amount]])</f>
        <v>1585.18</v>
      </c>
      <c r="K66" s="66">
        <v>31</v>
      </c>
      <c r="L66" s="66">
        <f ca="1">IF(Log_2018[[#This Row],[Date]]&lt;=TODAY(), MIN(Log_2018[[#This Row],[Split_raw]], TODAY()-Log_2018[[#This Row],[Date]]+1), 0)</f>
        <v>31</v>
      </c>
      <c r="M66" t="s">
        <v>28</v>
      </c>
      <c r="N66" t="s">
        <v>160</v>
      </c>
      <c r="O66" s="50">
        <v>0</v>
      </c>
      <c r="P66" s="52">
        <f ca="1">Log_2018[[#This Row],[Amount]]/Log_2018[[#This Row],[Split_raw]]*MAX(0,MIN(_xlfn.DAYS(EDATE(P$1,1),Log_2018[[#This Row],[Date]]),Log_2018[[#This Row],[Split_apply]])) - SUM($O66:O66)</f>
        <v>0</v>
      </c>
      <c r="Q66" s="52">
        <f ca="1">Log_2018[[#This Row],[Amount]]/Log_2018[[#This Row],[Split_raw]]*MAX(0,MIN(_xlfn.DAYS(EDATE(Q$1,1),Log_2018[[#This Row],[Date]]),Log_2018[[#This Row],[Split_apply]])) - SUM($O66:P66)</f>
        <v>0</v>
      </c>
      <c r="R66" s="52">
        <f ca="1">Log_2018[[#This Row],[Amount]]/Log_2018[[#This Row],[Split_raw]]*MAX(0,MIN(_xlfn.DAYS(EDATE(R$1,1),Log_2018[[#This Row],[Date]]),Log_2018[[#This Row],[Split_apply]])) - SUM($O66:Q66)</f>
        <v>0</v>
      </c>
      <c r="S66" s="52">
        <f ca="1">Log_2018[[#This Row],[Amount]]/Log_2018[[#This Row],[Split_raw]]*MAX(0,MIN(_xlfn.DAYS(EDATE(S$1,1),Log_2018[[#This Row],[Date]]),Log_2018[[#This Row],[Split_apply]])) - SUM($O66:R66)</f>
        <v>0</v>
      </c>
      <c r="T66" s="52">
        <f ca="1">Log_2018[[#This Row],[Amount]]/Log_2018[[#This Row],[Split_raw]]*MAX(0,MIN(_xlfn.DAYS(EDATE(T$1,1),Log_2018[[#This Row],[Date]]),Log_2018[[#This Row],[Split_apply]])) - SUM($O66:S66)</f>
        <v>0</v>
      </c>
      <c r="U66" s="52">
        <f ca="1">Log_2018[[#This Row],[Amount]]/Log_2018[[#This Row],[Split_raw]]*MAX(0,MIN(_xlfn.DAYS(EDATE(U$1,1),Log_2018[[#This Row],[Date]]),Log_2018[[#This Row],[Split_apply]])) - SUM($O66:T66)</f>
        <v>0</v>
      </c>
      <c r="V66" s="52">
        <f ca="1">Log_2018[[#This Row],[Amount]]/Log_2018[[#This Row],[Split_raw]]*MAX(0,MIN(_xlfn.DAYS(EDATE(V$1,1),Log_2018[[#This Row],[Date]]),Log_2018[[#This Row],[Split_apply]])) - SUM($O66:U66)</f>
        <v>0</v>
      </c>
      <c r="W66" s="52">
        <f ca="1">Log_2018[[#This Row],[Amount]]/Log_2018[[#This Row],[Split_raw]]*MAX(0,MIN(_xlfn.DAYS(EDATE(W$1,1),Log_2018[[#This Row],[Date]]),Log_2018[[#This Row],[Split_apply]])) - SUM($O66:V66)</f>
        <v>0</v>
      </c>
      <c r="X66" s="52">
        <f ca="1">Log_2018[[#This Row],[Amount]]/Log_2018[[#This Row],[Split_raw]]*MAX(0,MIN(_xlfn.DAYS(EDATE(X$1,1),Log_2018[[#This Row],[Date]]),Log_2018[[#This Row],[Split_apply]])) - SUM($O66:W66)</f>
        <v>0</v>
      </c>
      <c r="Y66" s="52">
        <f ca="1">Log_2018[[#This Row],[Amount]]/Log_2018[[#This Row],[Split_raw]]*MAX(0,MIN(_xlfn.DAYS(EDATE(Y$1,1),Log_2018[[#This Row],[Date]]),Log_2018[[#This Row],[Split_apply]])) - SUM($O66:X66)</f>
        <v>0</v>
      </c>
      <c r="Z66" s="52">
        <f ca="1">Log_2018[[#This Row],[Amount]]/Log_2018[[#This Row],[Split_raw]]*MAX(0,MIN(_xlfn.DAYS(EDATE(Z$1,1),Log_2018[[#This Row],[Date]]),Log_2018[[#This Row],[Split_apply]])) - SUM($O66:Y66)</f>
        <v>0</v>
      </c>
      <c r="AA66" s="52">
        <f ca="1">Log_2018[[#This Row],[Amount]]/Log_2018[[#This Row],[Split_raw]]*MAX(0,MIN(_xlfn.DAYS(EDATE(AA$1,1),Log_2018[[#This Row],[Date]]),Log_2018[[#This Row],[Split_apply]])) - SUM($O66:Z66)</f>
        <v>-1585.18</v>
      </c>
      <c r="AB66" s="54">
        <f ca="1">Log_2018[[#This Row],[Amount]]-SUM(O66:AA66)</f>
        <v>0</v>
      </c>
      <c r="AC66" s="7">
        <f ca="1">MAX(0,Log_2018[[#This Row],[Split_apply]] - (EDATE(AA$1,1)-Log_2018[[#This Row],[Date]]))</f>
        <v>0</v>
      </c>
    </row>
    <row r="67" spans="1:29" hidden="1" x14ac:dyDescent="0.25">
      <c r="A67" s="115"/>
      <c r="B67" t="s">
        <v>191</v>
      </c>
      <c r="D67" s="26">
        <v>43435</v>
      </c>
      <c r="E67" t="s">
        <v>960</v>
      </c>
      <c r="F67" t="s">
        <v>451</v>
      </c>
      <c r="G67" t="s">
        <v>176</v>
      </c>
      <c r="H67" s="3">
        <v>-320</v>
      </c>
      <c r="I67" s="36">
        <f>IF(Log_2018[[#This Row],[My Category]]="NONTRACKED",0,Log_2018[[#This Row],[Raw Amount]])</f>
        <v>-320</v>
      </c>
      <c r="J67" s="17">
        <f>ABS(Log_2018[[#This Row],[Amount]])</f>
        <v>320</v>
      </c>
      <c r="K67" s="66">
        <v>31</v>
      </c>
      <c r="L67" s="66">
        <f ca="1">IF(Log_2018[[#This Row],[Date]]&lt;=TODAY(), MIN(Log_2018[[#This Row],[Split_raw]], TODAY()-Log_2018[[#This Row],[Date]]+1), 0)</f>
        <v>31</v>
      </c>
      <c r="M67" t="s">
        <v>93</v>
      </c>
      <c r="N67" t="s">
        <v>160</v>
      </c>
      <c r="O67" s="50">
        <v>0</v>
      </c>
      <c r="P67" s="52">
        <f ca="1">Log_2018[[#This Row],[Amount]]/Log_2018[[#This Row],[Split_raw]]*MAX(0,MIN(_xlfn.DAYS(EDATE(P$1,1),Log_2018[[#This Row],[Date]]),Log_2018[[#This Row],[Split_apply]])) - SUM($O67:O67)</f>
        <v>0</v>
      </c>
      <c r="Q67" s="52">
        <f ca="1">Log_2018[[#This Row],[Amount]]/Log_2018[[#This Row],[Split_raw]]*MAX(0,MIN(_xlfn.DAYS(EDATE(Q$1,1),Log_2018[[#This Row],[Date]]),Log_2018[[#This Row],[Split_apply]])) - SUM($O67:P67)</f>
        <v>0</v>
      </c>
      <c r="R67" s="52">
        <f ca="1">Log_2018[[#This Row],[Amount]]/Log_2018[[#This Row],[Split_raw]]*MAX(0,MIN(_xlfn.DAYS(EDATE(R$1,1),Log_2018[[#This Row],[Date]]),Log_2018[[#This Row],[Split_apply]])) - SUM($O67:Q67)</f>
        <v>0</v>
      </c>
      <c r="S67" s="52">
        <f ca="1">Log_2018[[#This Row],[Amount]]/Log_2018[[#This Row],[Split_raw]]*MAX(0,MIN(_xlfn.DAYS(EDATE(S$1,1),Log_2018[[#This Row],[Date]]),Log_2018[[#This Row],[Split_apply]])) - SUM($O67:R67)</f>
        <v>0</v>
      </c>
      <c r="T67" s="52">
        <f ca="1">Log_2018[[#This Row],[Amount]]/Log_2018[[#This Row],[Split_raw]]*MAX(0,MIN(_xlfn.DAYS(EDATE(T$1,1),Log_2018[[#This Row],[Date]]),Log_2018[[#This Row],[Split_apply]])) - SUM($O67:S67)</f>
        <v>0</v>
      </c>
      <c r="U67" s="52">
        <f ca="1">Log_2018[[#This Row],[Amount]]/Log_2018[[#This Row],[Split_raw]]*MAX(0,MIN(_xlfn.DAYS(EDATE(U$1,1),Log_2018[[#This Row],[Date]]),Log_2018[[#This Row],[Split_apply]])) - SUM($O67:T67)</f>
        <v>0</v>
      </c>
      <c r="V67" s="52">
        <f ca="1">Log_2018[[#This Row],[Amount]]/Log_2018[[#This Row],[Split_raw]]*MAX(0,MIN(_xlfn.DAYS(EDATE(V$1,1),Log_2018[[#This Row],[Date]]),Log_2018[[#This Row],[Split_apply]])) - SUM($O67:U67)</f>
        <v>0</v>
      </c>
      <c r="W67" s="52">
        <f ca="1">Log_2018[[#This Row],[Amount]]/Log_2018[[#This Row],[Split_raw]]*MAX(0,MIN(_xlfn.DAYS(EDATE(W$1,1),Log_2018[[#This Row],[Date]]),Log_2018[[#This Row],[Split_apply]])) - SUM($O67:V67)</f>
        <v>0</v>
      </c>
      <c r="X67" s="52">
        <f ca="1">Log_2018[[#This Row],[Amount]]/Log_2018[[#This Row],[Split_raw]]*MAX(0,MIN(_xlfn.DAYS(EDATE(X$1,1),Log_2018[[#This Row],[Date]]),Log_2018[[#This Row],[Split_apply]])) - SUM($O67:W67)</f>
        <v>0</v>
      </c>
      <c r="Y67" s="52">
        <f ca="1">Log_2018[[#This Row],[Amount]]/Log_2018[[#This Row],[Split_raw]]*MAX(0,MIN(_xlfn.DAYS(EDATE(Y$1,1),Log_2018[[#This Row],[Date]]),Log_2018[[#This Row],[Split_apply]])) - SUM($O67:X67)</f>
        <v>0</v>
      </c>
      <c r="Z67" s="52">
        <f ca="1">Log_2018[[#This Row],[Amount]]/Log_2018[[#This Row],[Split_raw]]*MAX(0,MIN(_xlfn.DAYS(EDATE(Z$1,1),Log_2018[[#This Row],[Date]]),Log_2018[[#This Row],[Split_apply]])) - SUM($O67:Y67)</f>
        <v>0</v>
      </c>
      <c r="AA67" s="52">
        <f ca="1">Log_2018[[#This Row],[Amount]]/Log_2018[[#This Row],[Split_raw]]*MAX(0,MIN(_xlfn.DAYS(EDATE(AA$1,1),Log_2018[[#This Row],[Date]]),Log_2018[[#This Row],[Split_apply]])) - SUM($O67:Z67)</f>
        <v>-320</v>
      </c>
      <c r="AB67" s="54">
        <f ca="1">Log_2018[[#This Row],[Amount]]-SUM(O67:AA67)</f>
        <v>0</v>
      </c>
      <c r="AC67" s="7">
        <f ca="1">MAX(0,Log_2018[[#This Row],[Split_apply]] - (EDATE(AA$1,1)-Log_2018[[#This Row],[Date]]))</f>
        <v>0</v>
      </c>
    </row>
    <row r="68" spans="1:29" hidden="1" x14ac:dyDescent="0.25">
      <c r="A68" s="115"/>
      <c r="B68" t="s">
        <v>6</v>
      </c>
      <c r="D68" s="39">
        <v>43435</v>
      </c>
      <c r="F68" t="s">
        <v>435</v>
      </c>
      <c r="G68" t="s">
        <v>27</v>
      </c>
      <c r="H68" s="3">
        <v>-40</v>
      </c>
      <c r="I68" s="36">
        <f>IF(Log_2018[[#This Row],[My Category]]="NONTRACKED",0,Log_2018[[#This Row],[Raw Amount]])</f>
        <v>-40</v>
      </c>
      <c r="J68" s="17">
        <f>ABS(Log_2018[[#This Row],[Amount]])</f>
        <v>40</v>
      </c>
      <c r="K68" s="66">
        <v>1</v>
      </c>
      <c r="L68" s="66">
        <f ca="1">IF(Log_2018[[#This Row],[Date]]&lt;=TODAY(), MIN(Log_2018[[#This Row],[Split_raw]], TODAY()-Log_2018[[#This Row],[Date]]+1), 0)</f>
        <v>1</v>
      </c>
      <c r="M68" t="s">
        <v>40</v>
      </c>
      <c r="N68" t="s">
        <v>158</v>
      </c>
      <c r="O68" s="50">
        <v>0</v>
      </c>
      <c r="P68" s="52">
        <f ca="1">Log_2018[[#This Row],[Amount]]/Log_2018[[#This Row],[Split_raw]]*MAX(0,MIN(_xlfn.DAYS(EDATE(P$1,1),Log_2018[[#This Row],[Date]]),Log_2018[[#This Row],[Split_apply]])) - SUM($O68:O68)</f>
        <v>0</v>
      </c>
      <c r="Q68" s="52">
        <f ca="1">Log_2018[[#This Row],[Amount]]/Log_2018[[#This Row],[Split_raw]]*MAX(0,MIN(_xlfn.DAYS(EDATE(Q$1,1),Log_2018[[#This Row],[Date]]),Log_2018[[#This Row],[Split_apply]])) - SUM($O68:P68)</f>
        <v>0</v>
      </c>
      <c r="R68" s="52">
        <f ca="1">Log_2018[[#This Row],[Amount]]/Log_2018[[#This Row],[Split_raw]]*MAX(0,MIN(_xlfn.DAYS(EDATE(R$1,1),Log_2018[[#This Row],[Date]]),Log_2018[[#This Row],[Split_apply]])) - SUM($O68:Q68)</f>
        <v>0</v>
      </c>
      <c r="S68" s="52">
        <f ca="1">Log_2018[[#This Row],[Amount]]/Log_2018[[#This Row],[Split_raw]]*MAX(0,MIN(_xlfn.DAYS(EDATE(S$1,1),Log_2018[[#This Row],[Date]]),Log_2018[[#This Row],[Split_apply]])) - SUM($O68:R68)</f>
        <v>0</v>
      </c>
      <c r="T68" s="52">
        <f ca="1">Log_2018[[#This Row],[Amount]]/Log_2018[[#This Row],[Split_raw]]*MAX(0,MIN(_xlfn.DAYS(EDATE(T$1,1),Log_2018[[#This Row],[Date]]),Log_2018[[#This Row],[Split_apply]])) - SUM($O68:S68)</f>
        <v>0</v>
      </c>
      <c r="U68" s="52">
        <f ca="1">Log_2018[[#This Row],[Amount]]/Log_2018[[#This Row],[Split_raw]]*MAX(0,MIN(_xlfn.DAYS(EDATE(U$1,1),Log_2018[[#This Row],[Date]]),Log_2018[[#This Row],[Split_apply]])) - SUM($O68:T68)</f>
        <v>0</v>
      </c>
      <c r="V68" s="52">
        <f ca="1">Log_2018[[#This Row],[Amount]]/Log_2018[[#This Row],[Split_raw]]*MAX(0,MIN(_xlfn.DAYS(EDATE(V$1,1),Log_2018[[#This Row],[Date]]),Log_2018[[#This Row],[Split_apply]])) - SUM($O68:U68)</f>
        <v>0</v>
      </c>
      <c r="W68" s="52">
        <f ca="1">Log_2018[[#This Row],[Amount]]/Log_2018[[#This Row],[Split_raw]]*MAX(0,MIN(_xlfn.DAYS(EDATE(W$1,1),Log_2018[[#This Row],[Date]]),Log_2018[[#This Row],[Split_apply]])) - SUM($O68:V68)</f>
        <v>0</v>
      </c>
      <c r="X68" s="52">
        <f ca="1">Log_2018[[#This Row],[Amount]]/Log_2018[[#This Row],[Split_raw]]*MAX(0,MIN(_xlfn.DAYS(EDATE(X$1,1),Log_2018[[#This Row],[Date]]),Log_2018[[#This Row],[Split_apply]])) - SUM($O68:W68)</f>
        <v>0</v>
      </c>
      <c r="Y68" s="52">
        <f ca="1">Log_2018[[#This Row],[Amount]]/Log_2018[[#This Row],[Split_raw]]*MAX(0,MIN(_xlfn.DAYS(EDATE(Y$1,1),Log_2018[[#This Row],[Date]]),Log_2018[[#This Row],[Split_apply]])) - SUM($O68:X68)</f>
        <v>0</v>
      </c>
      <c r="Z68" s="52">
        <f ca="1">Log_2018[[#This Row],[Amount]]/Log_2018[[#This Row],[Split_raw]]*MAX(0,MIN(_xlfn.DAYS(EDATE(Z$1,1),Log_2018[[#This Row],[Date]]),Log_2018[[#This Row],[Split_apply]])) - SUM($O68:Y68)</f>
        <v>0</v>
      </c>
      <c r="AA68" s="52">
        <f ca="1">Log_2018[[#This Row],[Amount]]/Log_2018[[#This Row],[Split_raw]]*MAX(0,MIN(_xlfn.DAYS(EDATE(AA$1,1),Log_2018[[#This Row],[Date]]),Log_2018[[#This Row],[Split_apply]])) - SUM($O68:Z68)</f>
        <v>-40</v>
      </c>
      <c r="AB68" s="54">
        <f ca="1">Log_2018[[#This Row],[Amount]]-SUM(O68:AA68)</f>
        <v>0</v>
      </c>
      <c r="AC68" s="7">
        <f ca="1">MAX(0,Log_2018[[#This Row],[Split_apply]] - (EDATE(AA$1,1)-Log_2018[[#This Row],[Date]]))</f>
        <v>0</v>
      </c>
    </row>
    <row r="69" spans="1:29" hidden="1" x14ac:dyDescent="0.25">
      <c r="A69" s="115"/>
      <c r="B69" t="s">
        <v>6</v>
      </c>
      <c r="D69" s="39">
        <v>43434</v>
      </c>
      <c r="F69" t="s">
        <v>352</v>
      </c>
      <c r="G69" t="s">
        <v>25</v>
      </c>
      <c r="H69" s="3">
        <v>-13.78</v>
      </c>
      <c r="I69" s="36">
        <f>IF(Log_2018[[#This Row],[My Category]]="NONTRACKED",0,Log_2018[[#This Row],[Raw Amount]])</f>
        <v>-13.78</v>
      </c>
      <c r="J69" s="17">
        <f>ABS(Log_2018[[#This Row],[Amount]])</f>
        <v>13.78</v>
      </c>
      <c r="K69" s="66">
        <v>1</v>
      </c>
      <c r="L69" s="66">
        <f ca="1">IF(Log_2018[[#This Row],[Date]]&lt;=TODAY(), MIN(Log_2018[[#This Row],[Split_raw]], TODAY()-Log_2018[[#This Row],[Date]]+1), 0)</f>
        <v>1</v>
      </c>
      <c r="M69" t="s">
        <v>35</v>
      </c>
      <c r="N69" t="s">
        <v>158</v>
      </c>
      <c r="O69" s="50">
        <v>0</v>
      </c>
      <c r="P69" s="52">
        <f ca="1">Log_2018[[#This Row],[Amount]]/Log_2018[[#This Row],[Split_raw]]*MAX(0,MIN(_xlfn.DAYS(EDATE(P$1,1),Log_2018[[#This Row],[Date]]),Log_2018[[#This Row],[Split_apply]])) - SUM($O69:O69)</f>
        <v>0</v>
      </c>
      <c r="Q69" s="52">
        <f ca="1">Log_2018[[#This Row],[Amount]]/Log_2018[[#This Row],[Split_raw]]*MAX(0,MIN(_xlfn.DAYS(EDATE(Q$1,1),Log_2018[[#This Row],[Date]]),Log_2018[[#This Row],[Split_apply]])) - SUM($O69:P69)</f>
        <v>0</v>
      </c>
      <c r="R69" s="52">
        <f ca="1">Log_2018[[#This Row],[Amount]]/Log_2018[[#This Row],[Split_raw]]*MAX(0,MIN(_xlfn.DAYS(EDATE(R$1,1),Log_2018[[#This Row],[Date]]),Log_2018[[#This Row],[Split_apply]])) - SUM($O69:Q69)</f>
        <v>0</v>
      </c>
      <c r="S69" s="52">
        <f ca="1">Log_2018[[#This Row],[Amount]]/Log_2018[[#This Row],[Split_raw]]*MAX(0,MIN(_xlfn.DAYS(EDATE(S$1,1),Log_2018[[#This Row],[Date]]),Log_2018[[#This Row],[Split_apply]])) - SUM($O69:R69)</f>
        <v>0</v>
      </c>
      <c r="T69" s="52">
        <f ca="1">Log_2018[[#This Row],[Amount]]/Log_2018[[#This Row],[Split_raw]]*MAX(0,MIN(_xlfn.DAYS(EDATE(T$1,1),Log_2018[[#This Row],[Date]]),Log_2018[[#This Row],[Split_apply]])) - SUM($O69:S69)</f>
        <v>0</v>
      </c>
      <c r="U69" s="52">
        <f ca="1">Log_2018[[#This Row],[Amount]]/Log_2018[[#This Row],[Split_raw]]*MAX(0,MIN(_xlfn.DAYS(EDATE(U$1,1),Log_2018[[#This Row],[Date]]),Log_2018[[#This Row],[Split_apply]])) - SUM($O69:T69)</f>
        <v>0</v>
      </c>
      <c r="V69" s="52">
        <f ca="1">Log_2018[[#This Row],[Amount]]/Log_2018[[#This Row],[Split_raw]]*MAX(0,MIN(_xlfn.DAYS(EDATE(V$1,1),Log_2018[[#This Row],[Date]]),Log_2018[[#This Row],[Split_apply]])) - SUM($O69:U69)</f>
        <v>0</v>
      </c>
      <c r="W69" s="52">
        <f ca="1">Log_2018[[#This Row],[Amount]]/Log_2018[[#This Row],[Split_raw]]*MAX(0,MIN(_xlfn.DAYS(EDATE(W$1,1),Log_2018[[#This Row],[Date]]),Log_2018[[#This Row],[Split_apply]])) - SUM($O69:V69)</f>
        <v>0</v>
      </c>
      <c r="X69" s="52">
        <f ca="1">Log_2018[[#This Row],[Amount]]/Log_2018[[#This Row],[Split_raw]]*MAX(0,MIN(_xlfn.DAYS(EDATE(X$1,1),Log_2018[[#This Row],[Date]]),Log_2018[[#This Row],[Split_apply]])) - SUM($O69:W69)</f>
        <v>0</v>
      </c>
      <c r="Y69" s="52">
        <f ca="1">Log_2018[[#This Row],[Amount]]/Log_2018[[#This Row],[Split_raw]]*MAX(0,MIN(_xlfn.DAYS(EDATE(Y$1,1),Log_2018[[#This Row],[Date]]),Log_2018[[#This Row],[Split_apply]])) - SUM($O69:X69)</f>
        <v>0</v>
      </c>
      <c r="Z69" s="52">
        <f ca="1">Log_2018[[#This Row],[Amount]]/Log_2018[[#This Row],[Split_raw]]*MAX(0,MIN(_xlfn.DAYS(EDATE(Z$1,1),Log_2018[[#This Row],[Date]]),Log_2018[[#This Row],[Split_apply]])) - SUM($O69:Y69)</f>
        <v>-13.78</v>
      </c>
      <c r="AA69" s="52">
        <f ca="1">Log_2018[[#This Row],[Amount]]/Log_2018[[#This Row],[Split_raw]]*MAX(0,MIN(_xlfn.DAYS(EDATE(AA$1,1),Log_2018[[#This Row],[Date]]),Log_2018[[#This Row],[Split_apply]])) - SUM($O69:Z69)</f>
        <v>0</v>
      </c>
      <c r="AB69" s="54">
        <f ca="1">Log_2018[[#This Row],[Amount]]-SUM(O69:AA69)</f>
        <v>0</v>
      </c>
      <c r="AC69" s="7">
        <f ca="1">MAX(0,Log_2018[[#This Row],[Split_apply]] - (EDATE(AA$1,1)-Log_2018[[#This Row],[Date]]))</f>
        <v>0</v>
      </c>
    </row>
    <row r="70" spans="1:29" hidden="1" x14ac:dyDescent="0.25">
      <c r="A70" s="115"/>
      <c r="B70" t="s">
        <v>6</v>
      </c>
      <c r="D70" s="39">
        <v>43434</v>
      </c>
      <c r="F70" t="s">
        <v>184</v>
      </c>
      <c r="G70" t="s">
        <v>11</v>
      </c>
      <c r="H70" s="3">
        <v>-8.35</v>
      </c>
      <c r="I70" s="36">
        <f>IF(Log_2018[[#This Row],[My Category]]="NONTRACKED",0,Log_2018[[#This Row],[Raw Amount]])</f>
        <v>-8.35</v>
      </c>
      <c r="J70" s="17">
        <f>ABS(Log_2018[[#This Row],[Amount]])</f>
        <v>8.35</v>
      </c>
      <c r="K70" s="66">
        <v>1</v>
      </c>
      <c r="L70" s="66">
        <f ca="1">IF(Log_2018[[#This Row],[Date]]&lt;=TODAY(), MIN(Log_2018[[#This Row],[Split_raw]], TODAY()-Log_2018[[#This Row],[Date]]+1), 0)</f>
        <v>1</v>
      </c>
      <c r="M70" t="s">
        <v>12</v>
      </c>
      <c r="N70" t="s">
        <v>158</v>
      </c>
      <c r="O70" s="50">
        <v>0</v>
      </c>
      <c r="P70" s="52">
        <f ca="1">Log_2018[[#This Row],[Amount]]/Log_2018[[#This Row],[Split_raw]]*MAX(0,MIN(_xlfn.DAYS(EDATE(P$1,1),Log_2018[[#This Row],[Date]]),Log_2018[[#This Row],[Split_apply]])) - SUM($O70:O70)</f>
        <v>0</v>
      </c>
      <c r="Q70" s="52">
        <f ca="1">Log_2018[[#This Row],[Amount]]/Log_2018[[#This Row],[Split_raw]]*MAX(0,MIN(_xlfn.DAYS(EDATE(Q$1,1),Log_2018[[#This Row],[Date]]),Log_2018[[#This Row],[Split_apply]])) - SUM($O70:P70)</f>
        <v>0</v>
      </c>
      <c r="R70" s="52">
        <f ca="1">Log_2018[[#This Row],[Amount]]/Log_2018[[#This Row],[Split_raw]]*MAX(0,MIN(_xlfn.DAYS(EDATE(R$1,1),Log_2018[[#This Row],[Date]]),Log_2018[[#This Row],[Split_apply]])) - SUM($O70:Q70)</f>
        <v>0</v>
      </c>
      <c r="S70" s="52">
        <f ca="1">Log_2018[[#This Row],[Amount]]/Log_2018[[#This Row],[Split_raw]]*MAX(0,MIN(_xlfn.DAYS(EDATE(S$1,1),Log_2018[[#This Row],[Date]]),Log_2018[[#This Row],[Split_apply]])) - SUM($O70:R70)</f>
        <v>0</v>
      </c>
      <c r="T70" s="52">
        <f ca="1">Log_2018[[#This Row],[Amount]]/Log_2018[[#This Row],[Split_raw]]*MAX(0,MIN(_xlfn.DAYS(EDATE(T$1,1),Log_2018[[#This Row],[Date]]),Log_2018[[#This Row],[Split_apply]])) - SUM($O70:S70)</f>
        <v>0</v>
      </c>
      <c r="U70" s="52">
        <f ca="1">Log_2018[[#This Row],[Amount]]/Log_2018[[#This Row],[Split_raw]]*MAX(0,MIN(_xlfn.DAYS(EDATE(U$1,1),Log_2018[[#This Row],[Date]]),Log_2018[[#This Row],[Split_apply]])) - SUM($O70:T70)</f>
        <v>0</v>
      </c>
      <c r="V70" s="52">
        <f ca="1">Log_2018[[#This Row],[Amount]]/Log_2018[[#This Row],[Split_raw]]*MAX(0,MIN(_xlfn.DAYS(EDATE(V$1,1),Log_2018[[#This Row],[Date]]),Log_2018[[#This Row],[Split_apply]])) - SUM($O70:U70)</f>
        <v>0</v>
      </c>
      <c r="W70" s="52">
        <f ca="1">Log_2018[[#This Row],[Amount]]/Log_2018[[#This Row],[Split_raw]]*MAX(0,MIN(_xlfn.DAYS(EDATE(W$1,1),Log_2018[[#This Row],[Date]]),Log_2018[[#This Row],[Split_apply]])) - SUM($O70:V70)</f>
        <v>0</v>
      </c>
      <c r="X70" s="52">
        <f ca="1">Log_2018[[#This Row],[Amount]]/Log_2018[[#This Row],[Split_raw]]*MAX(0,MIN(_xlfn.DAYS(EDATE(X$1,1),Log_2018[[#This Row],[Date]]),Log_2018[[#This Row],[Split_apply]])) - SUM($O70:W70)</f>
        <v>0</v>
      </c>
      <c r="Y70" s="52">
        <f ca="1">Log_2018[[#This Row],[Amount]]/Log_2018[[#This Row],[Split_raw]]*MAX(0,MIN(_xlfn.DAYS(EDATE(Y$1,1),Log_2018[[#This Row],[Date]]),Log_2018[[#This Row],[Split_apply]])) - SUM($O70:X70)</f>
        <v>0</v>
      </c>
      <c r="Z70" s="52">
        <f ca="1">Log_2018[[#This Row],[Amount]]/Log_2018[[#This Row],[Split_raw]]*MAX(0,MIN(_xlfn.DAYS(EDATE(Z$1,1),Log_2018[[#This Row],[Date]]),Log_2018[[#This Row],[Split_apply]])) - SUM($O70:Y70)</f>
        <v>-8.35</v>
      </c>
      <c r="AA70" s="52">
        <f ca="1">Log_2018[[#This Row],[Amount]]/Log_2018[[#This Row],[Split_raw]]*MAX(0,MIN(_xlfn.DAYS(EDATE(AA$1,1),Log_2018[[#This Row],[Date]]),Log_2018[[#This Row],[Split_apply]])) - SUM($O70:Z70)</f>
        <v>0</v>
      </c>
      <c r="AB70" s="54">
        <f ca="1">Log_2018[[#This Row],[Amount]]-SUM(O70:AA70)</f>
        <v>0</v>
      </c>
      <c r="AC70" s="7">
        <f ca="1">MAX(0,Log_2018[[#This Row],[Split_apply]] - (EDATE(AA$1,1)-Log_2018[[#This Row],[Date]]))</f>
        <v>0</v>
      </c>
    </row>
    <row r="71" spans="1:29" hidden="1" x14ac:dyDescent="0.25">
      <c r="A71" s="115"/>
      <c r="B71" t="s">
        <v>6</v>
      </c>
      <c r="D71" s="39">
        <v>43434</v>
      </c>
      <c r="F71" t="s">
        <v>270</v>
      </c>
      <c r="G71" t="s">
        <v>25</v>
      </c>
      <c r="H71" s="3">
        <v>-9.77</v>
      </c>
      <c r="I71" s="36">
        <f>IF(Log_2018[[#This Row],[My Category]]="NONTRACKED",0,Log_2018[[#This Row],[Raw Amount]])</f>
        <v>-9.77</v>
      </c>
      <c r="J71" s="17">
        <f>ABS(Log_2018[[#This Row],[Amount]])</f>
        <v>9.77</v>
      </c>
      <c r="K71" s="66">
        <v>1</v>
      </c>
      <c r="L71" s="66">
        <f ca="1">IF(Log_2018[[#This Row],[Date]]&lt;=TODAY(), MIN(Log_2018[[#This Row],[Split_raw]], TODAY()-Log_2018[[#This Row],[Date]]+1), 0)</f>
        <v>1</v>
      </c>
      <c r="M71" t="s">
        <v>35</v>
      </c>
      <c r="N71" t="s">
        <v>158</v>
      </c>
      <c r="O71" s="50">
        <v>0</v>
      </c>
      <c r="P71" s="52">
        <f ca="1">Log_2018[[#This Row],[Amount]]/Log_2018[[#This Row],[Split_raw]]*MAX(0,MIN(_xlfn.DAYS(EDATE(P$1,1),Log_2018[[#This Row],[Date]]),Log_2018[[#This Row],[Split_apply]])) - SUM($O71:O71)</f>
        <v>0</v>
      </c>
      <c r="Q71" s="52">
        <f ca="1">Log_2018[[#This Row],[Amount]]/Log_2018[[#This Row],[Split_raw]]*MAX(0,MIN(_xlfn.DAYS(EDATE(Q$1,1),Log_2018[[#This Row],[Date]]),Log_2018[[#This Row],[Split_apply]])) - SUM($O71:P71)</f>
        <v>0</v>
      </c>
      <c r="R71" s="52">
        <f ca="1">Log_2018[[#This Row],[Amount]]/Log_2018[[#This Row],[Split_raw]]*MAX(0,MIN(_xlfn.DAYS(EDATE(R$1,1),Log_2018[[#This Row],[Date]]),Log_2018[[#This Row],[Split_apply]])) - SUM($O71:Q71)</f>
        <v>0</v>
      </c>
      <c r="S71" s="52">
        <f ca="1">Log_2018[[#This Row],[Amount]]/Log_2018[[#This Row],[Split_raw]]*MAX(0,MIN(_xlfn.DAYS(EDATE(S$1,1),Log_2018[[#This Row],[Date]]),Log_2018[[#This Row],[Split_apply]])) - SUM($O71:R71)</f>
        <v>0</v>
      </c>
      <c r="T71" s="52">
        <f ca="1">Log_2018[[#This Row],[Amount]]/Log_2018[[#This Row],[Split_raw]]*MAX(0,MIN(_xlfn.DAYS(EDATE(T$1,1),Log_2018[[#This Row],[Date]]),Log_2018[[#This Row],[Split_apply]])) - SUM($O71:S71)</f>
        <v>0</v>
      </c>
      <c r="U71" s="52">
        <f ca="1">Log_2018[[#This Row],[Amount]]/Log_2018[[#This Row],[Split_raw]]*MAX(0,MIN(_xlfn.DAYS(EDATE(U$1,1),Log_2018[[#This Row],[Date]]),Log_2018[[#This Row],[Split_apply]])) - SUM($O71:T71)</f>
        <v>0</v>
      </c>
      <c r="V71" s="52">
        <f ca="1">Log_2018[[#This Row],[Amount]]/Log_2018[[#This Row],[Split_raw]]*MAX(0,MIN(_xlfn.DAYS(EDATE(V$1,1),Log_2018[[#This Row],[Date]]),Log_2018[[#This Row],[Split_apply]])) - SUM($O71:U71)</f>
        <v>0</v>
      </c>
      <c r="W71" s="52">
        <f ca="1">Log_2018[[#This Row],[Amount]]/Log_2018[[#This Row],[Split_raw]]*MAX(0,MIN(_xlfn.DAYS(EDATE(W$1,1),Log_2018[[#This Row],[Date]]),Log_2018[[#This Row],[Split_apply]])) - SUM($O71:V71)</f>
        <v>0</v>
      </c>
      <c r="X71" s="52">
        <f ca="1">Log_2018[[#This Row],[Amount]]/Log_2018[[#This Row],[Split_raw]]*MAX(0,MIN(_xlfn.DAYS(EDATE(X$1,1),Log_2018[[#This Row],[Date]]),Log_2018[[#This Row],[Split_apply]])) - SUM($O71:W71)</f>
        <v>0</v>
      </c>
      <c r="Y71" s="52">
        <f ca="1">Log_2018[[#This Row],[Amount]]/Log_2018[[#This Row],[Split_raw]]*MAX(0,MIN(_xlfn.DAYS(EDATE(Y$1,1),Log_2018[[#This Row],[Date]]),Log_2018[[#This Row],[Split_apply]])) - SUM($O71:X71)</f>
        <v>0</v>
      </c>
      <c r="Z71" s="52">
        <f ca="1">Log_2018[[#This Row],[Amount]]/Log_2018[[#This Row],[Split_raw]]*MAX(0,MIN(_xlfn.DAYS(EDATE(Z$1,1),Log_2018[[#This Row],[Date]]),Log_2018[[#This Row],[Split_apply]])) - SUM($O71:Y71)</f>
        <v>-9.77</v>
      </c>
      <c r="AA71" s="52">
        <f ca="1">Log_2018[[#This Row],[Amount]]/Log_2018[[#This Row],[Split_raw]]*MAX(0,MIN(_xlfn.DAYS(EDATE(AA$1,1),Log_2018[[#This Row],[Date]]),Log_2018[[#This Row],[Split_apply]])) - SUM($O71:Z71)</f>
        <v>0</v>
      </c>
      <c r="AB71" s="54">
        <f ca="1">Log_2018[[#This Row],[Amount]]-SUM(O71:AA71)</f>
        <v>0</v>
      </c>
      <c r="AC71" s="7">
        <f ca="1">MAX(0,Log_2018[[#This Row],[Split_apply]] - (EDATE(AA$1,1)-Log_2018[[#This Row],[Date]]))</f>
        <v>0</v>
      </c>
    </row>
    <row r="72" spans="1:29" hidden="1" x14ac:dyDescent="0.25">
      <c r="A72" s="115"/>
      <c r="B72" t="s">
        <v>6</v>
      </c>
      <c r="D72" s="39">
        <v>43433</v>
      </c>
      <c r="F72" t="s">
        <v>16</v>
      </c>
      <c r="G72" t="s">
        <v>17</v>
      </c>
      <c r="H72" s="3">
        <f>--0.16</f>
        <v>0.16</v>
      </c>
      <c r="I72" s="36">
        <f>IF(Log_2018[[#This Row],[My Category]]="NONTRACKED",0,Log_2018[[#This Row],[Raw Amount]])</f>
        <v>0.16</v>
      </c>
      <c r="J72" s="17">
        <f>ABS(Log_2018[[#This Row],[Amount]])</f>
        <v>0.16</v>
      </c>
      <c r="K72" s="66">
        <v>1</v>
      </c>
      <c r="L72" s="66">
        <f ca="1">IF(Log_2018[[#This Row],[Date]]&lt;=TODAY(), MIN(Log_2018[[#This Row],[Split_raw]], TODAY()-Log_2018[[#This Row],[Date]]+1), 0)</f>
        <v>1</v>
      </c>
      <c r="M72" t="s">
        <v>144</v>
      </c>
      <c r="N72" t="s">
        <v>160</v>
      </c>
      <c r="O72" s="50">
        <v>0</v>
      </c>
      <c r="P72" s="52">
        <f ca="1">Log_2018[[#This Row],[Amount]]/Log_2018[[#This Row],[Split_raw]]*MAX(0,MIN(_xlfn.DAYS(EDATE(P$1,1),Log_2018[[#This Row],[Date]]),Log_2018[[#This Row],[Split_apply]])) - SUM($O72:O72)</f>
        <v>0</v>
      </c>
      <c r="Q72" s="52">
        <f ca="1">Log_2018[[#This Row],[Amount]]/Log_2018[[#This Row],[Split_raw]]*MAX(0,MIN(_xlfn.DAYS(EDATE(Q$1,1),Log_2018[[#This Row],[Date]]),Log_2018[[#This Row],[Split_apply]])) - SUM($O72:P72)</f>
        <v>0</v>
      </c>
      <c r="R72" s="52">
        <f ca="1">Log_2018[[#This Row],[Amount]]/Log_2018[[#This Row],[Split_raw]]*MAX(0,MIN(_xlfn.DAYS(EDATE(R$1,1),Log_2018[[#This Row],[Date]]),Log_2018[[#This Row],[Split_apply]])) - SUM($O72:Q72)</f>
        <v>0</v>
      </c>
      <c r="S72" s="52">
        <f ca="1">Log_2018[[#This Row],[Amount]]/Log_2018[[#This Row],[Split_raw]]*MAX(0,MIN(_xlfn.DAYS(EDATE(S$1,1),Log_2018[[#This Row],[Date]]),Log_2018[[#This Row],[Split_apply]])) - SUM($O72:R72)</f>
        <v>0</v>
      </c>
      <c r="T72" s="52">
        <f ca="1">Log_2018[[#This Row],[Amount]]/Log_2018[[#This Row],[Split_raw]]*MAX(0,MIN(_xlfn.DAYS(EDATE(T$1,1),Log_2018[[#This Row],[Date]]),Log_2018[[#This Row],[Split_apply]])) - SUM($O72:S72)</f>
        <v>0</v>
      </c>
      <c r="U72" s="52">
        <f ca="1">Log_2018[[#This Row],[Amount]]/Log_2018[[#This Row],[Split_raw]]*MAX(0,MIN(_xlfn.DAYS(EDATE(U$1,1),Log_2018[[#This Row],[Date]]),Log_2018[[#This Row],[Split_apply]])) - SUM($O72:T72)</f>
        <v>0</v>
      </c>
      <c r="V72" s="52">
        <f ca="1">Log_2018[[#This Row],[Amount]]/Log_2018[[#This Row],[Split_raw]]*MAX(0,MIN(_xlfn.DAYS(EDATE(V$1,1),Log_2018[[#This Row],[Date]]),Log_2018[[#This Row],[Split_apply]])) - SUM($O72:U72)</f>
        <v>0</v>
      </c>
      <c r="W72" s="52">
        <f ca="1">Log_2018[[#This Row],[Amount]]/Log_2018[[#This Row],[Split_raw]]*MAX(0,MIN(_xlfn.DAYS(EDATE(W$1,1),Log_2018[[#This Row],[Date]]),Log_2018[[#This Row],[Split_apply]])) - SUM($O72:V72)</f>
        <v>0</v>
      </c>
      <c r="X72" s="52">
        <f ca="1">Log_2018[[#This Row],[Amount]]/Log_2018[[#This Row],[Split_raw]]*MAX(0,MIN(_xlfn.DAYS(EDATE(X$1,1),Log_2018[[#This Row],[Date]]),Log_2018[[#This Row],[Split_apply]])) - SUM($O72:W72)</f>
        <v>0</v>
      </c>
      <c r="Y72" s="52">
        <f ca="1">Log_2018[[#This Row],[Amount]]/Log_2018[[#This Row],[Split_raw]]*MAX(0,MIN(_xlfn.DAYS(EDATE(Y$1,1),Log_2018[[#This Row],[Date]]),Log_2018[[#This Row],[Split_apply]])) - SUM($O72:X72)</f>
        <v>0</v>
      </c>
      <c r="Z72" s="52">
        <f ca="1">Log_2018[[#This Row],[Amount]]/Log_2018[[#This Row],[Split_raw]]*MAX(0,MIN(_xlfn.DAYS(EDATE(Z$1,1),Log_2018[[#This Row],[Date]]),Log_2018[[#This Row],[Split_apply]])) - SUM($O72:Y72)</f>
        <v>0.16</v>
      </c>
      <c r="AA72" s="52">
        <f ca="1">Log_2018[[#This Row],[Amount]]/Log_2018[[#This Row],[Split_raw]]*MAX(0,MIN(_xlfn.DAYS(EDATE(AA$1,1),Log_2018[[#This Row],[Date]]),Log_2018[[#This Row],[Split_apply]])) - SUM($O72:Z72)</f>
        <v>0</v>
      </c>
      <c r="AB72" s="54">
        <f ca="1">Log_2018[[#This Row],[Amount]]-SUM(O72:AA72)</f>
        <v>0</v>
      </c>
      <c r="AC72" s="7">
        <f ca="1">MAX(0,Log_2018[[#This Row],[Split_apply]] - (EDATE(AA$1,1)-Log_2018[[#This Row],[Date]]))</f>
        <v>0</v>
      </c>
    </row>
    <row r="73" spans="1:29" hidden="1" x14ac:dyDescent="0.25">
      <c r="A73" s="115"/>
      <c r="B73" t="s">
        <v>6</v>
      </c>
      <c r="D73" s="39">
        <v>43433</v>
      </c>
      <c r="F73" t="s">
        <v>255</v>
      </c>
      <c r="G73" t="s">
        <v>25</v>
      </c>
      <c r="H73" s="3">
        <v>-10.67</v>
      </c>
      <c r="I73" s="36">
        <f>IF(Log_2018[[#This Row],[My Category]]="NONTRACKED",0,Log_2018[[#This Row],[Raw Amount]])</f>
        <v>-10.67</v>
      </c>
      <c r="J73" s="17">
        <f>ABS(Log_2018[[#This Row],[Amount]])</f>
        <v>10.67</v>
      </c>
      <c r="K73" s="66">
        <v>1</v>
      </c>
      <c r="L73" s="66">
        <f ca="1">IF(Log_2018[[#This Row],[Date]]&lt;=TODAY(), MIN(Log_2018[[#This Row],[Split_raw]], TODAY()-Log_2018[[#This Row],[Date]]+1), 0)</f>
        <v>1</v>
      </c>
      <c r="M73" t="s">
        <v>35</v>
      </c>
      <c r="N73" t="s">
        <v>158</v>
      </c>
      <c r="O73" s="50">
        <v>0</v>
      </c>
      <c r="P73" s="52">
        <f ca="1">Log_2018[[#This Row],[Amount]]/Log_2018[[#This Row],[Split_raw]]*MAX(0,MIN(_xlfn.DAYS(EDATE(P$1,1),Log_2018[[#This Row],[Date]]),Log_2018[[#This Row],[Split_apply]])) - SUM($O73:O73)</f>
        <v>0</v>
      </c>
      <c r="Q73" s="52">
        <f ca="1">Log_2018[[#This Row],[Amount]]/Log_2018[[#This Row],[Split_raw]]*MAX(0,MIN(_xlfn.DAYS(EDATE(Q$1,1),Log_2018[[#This Row],[Date]]),Log_2018[[#This Row],[Split_apply]])) - SUM($O73:P73)</f>
        <v>0</v>
      </c>
      <c r="R73" s="52">
        <f ca="1">Log_2018[[#This Row],[Amount]]/Log_2018[[#This Row],[Split_raw]]*MAX(0,MIN(_xlfn.DAYS(EDATE(R$1,1),Log_2018[[#This Row],[Date]]),Log_2018[[#This Row],[Split_apply]])) - SUM($O73:Q73)</f>
        <v>0</v>
      </c>
      <c r="S73" s="52">
        <f ca="1">Log_2018[[#This Row],[Amount]]/Log_2018[[#This Row],[Split_raw]]*MAX(0,MIN(_xlfn.DAYS(EDATE(S$1,1),Log_2018[[#This Row],[Date]]),Log_2018[[#This Row],[Split_apply]])) - SUM($O73:R73)</f>
        <v>0</v>
      </c>
      <c r="T73" s="52">
        <f ca="1">Log_2018[[#This Row],[Amount]]/Log_2018[[#This Row],[Split_raw]]*MAX(0,MIN(_xlfn.DAYS(EDATE(T$1,1),Log_2018[[#This Row],[Date]]),Log_2018[[#This Row],[Split_apply]])) - SUM($O73:S73)</f>
        <v>0</v>
      </c>
      <c r="U73" s="52">
        <f ca="1">Log_2018[[#This Row],[Amount]]/Log_2018[[#This Row],[Split_raw]]*MAX(0,MIN(_xlfn.DAYS(EDATE(U$1,1),Log_2018[[#This Row],[Date]]),Log_2018[[#This Row],[Split_apply]])) - SUM($O73:T73)</f>
        <v>0</v>
      </c>
      <c r="V73" s="52">
        <f ca="1">Log_2018[[#This Row],[Amount]]/Log_2018[[#This Row],[Split_raw]]*MAX(0,MIN(_xlfn.DAYS(EDATE(V$1,1),Log_2018[[#This Row],[Date]]),Log_2018[[#This Row],[Split_apply]])) - SUM($O73:U73)</f>
        <v>0</v>
      </c>
      <c r="W73" s="52">
        <f ca="1">Log_2018[[#This Row],[Amount]]/Log_2018[[#This Row],[Split_raw]]*MAX(0,MIN(_xlfn.DAYS(EDATE(W$1,1),Log_2018[[#This Row],[Date]]),Log_2018[[#This Row],[Split_apply]])) - SUM($O73:V73)</f>
        <v>0</v>
      </c>
      <c r="X73" s="52">
        <f ca="1">Log_2018[[#This Row],[Amount]]/Log_2018[[#This Row],[Split_raw]]*MAX(0,MIN(_xlfn.DAYS(EDATE(X$1,1),Log_2018[[#This Row],[Date]]),Log_2018[[#This Row],[Split_apply]])) - SUM($O73:W73)</f>
        <v>0</v>
      </c>
      <c r="Y73" s="52">
        <f ca="1">Log_2018[[#This Row],[Amount]]/Log_2018[[#This Row],[Split_raw]]*MAX(0,MIN(_xlfn.DAYS(EDATE(Y$1,1),Log_2018[[#This Row],[Date]]),Log_2018[[#This Row],[Split_apply]])) - SUM($O73:X73)</f>
        <v>0</v>
      </c>
      <c r="Z73" s="52">
        <f ca="1">Log_2018[[#This Row],[Amount]]/Log_2018[[#This Row],[Split_raw]]*MAX(0,MIN(_xlfn.DAYS(EDATE(Z$1,1),Log_2018[[#This Row],[Date]]),Log_2018[[#This Row],[Split_apply]])) - SUM($O73:Y73)</f>
        <v>-10.67</v>
      </c>
      <c r="AA73" s="52">
        <f ca="1">Log_2018[[#This Row],[Amount]]/Log_2018[[#This Row],[Split_raw]]*MAX(0,MIN(_xlfn.DAYS(EDATE(AA$1,1),Log_2018[[#This Row],[Date]]),Log_2018[[#This Row],[Split_apply]])) - SUM($O73:Z73)</f>
        <v>0</v>
      </c>
      <c r="AB73" s="54">
        <f ca="1">Log_2018[[#This Row],[Amount]]-SUM(O73:AA73)</f>
        <v>0</v>
      </c>
      <c r="AC73" s="7">
        <f ca="1">MAX(0,Log_2018[[#This Row],[Split_apply]] - (EDATE(AA$1,1)-Log_2018[[#This Row],[Date]]))</f>
        <v>0</v>
      </c>
    </row>
    <row r="74" spans="1:29" hidden="1" x14ac:dyDescent="0.25">
      <c r="A74" s="115"/>
      <c r="B74" t="s">
        <v>6</v>
      </c>
      <c r="D74" s="39">
        <v>43433</v>
      </c>
      <c r="F74" t="s">
        <v>23</v>
      </c>
      <c r="G74" t="s">
        <v>24</v>
      </c>
      <c r="H74" s="3">
        <f>--5.75</f>
        <v>5.75</v>
      </c>
      <c r="I74" s="36">
        <f>IF(Log_2018[[#This Row],[My Category]]="NONTRACKED",0,Log_2018[[#This Row],[Raw Amount]])</f>
        <v>5.75</v>
      </c>
      <c r="J74" s="17">
        <f>ABS(Log_2018[[#This Row],[Amount]])</f>
        <v>5.75</v>
      </c>
      <c r="K74" s="66">
        <v>1</v>
      </c>
      <c r="L74" s="66">
        <f ca="1">IF(Log_2018[[#This Row],[Date]]&lt;=TODAY(), MIN(Log_2018[[#This Row],[Split_raw]], TODAY()-Log_2018[[#This Row],[Date]]+1), 0)</f>
        <v>1</v>
      </c>
      <c r="M74" t="s">
        <v>196</v>
      </c>
      <c r="N74" t="s">
        <v>160</v>
      </c>
      <c r="O74" s="50">
        <v>0</v>
      </c>
      <c r="P74" s="52">
        <f ca="1">Log_2018[[#This Row],[Amount]]/Log_2018[[#This Row],[Split_raw]]*MAX(0,MIN(_xlfn.DAYS(EDATE(P$1,1),Log_2018[[#This Row],[Date]]),Log_2018[[#This Row],[Split_apply]])) - SUM($O74:O74)</f>
        <v>0</v>
      </c>
      <c r="Q74" s="52">
        <f ca="1">Log_2018[[#This Row],[Amount]]/Log_2018[[#This Row],[Split_raw]]*MAX(0,MIN(_xlfn.DAYS(EDATE(Q$1,1),Log_2018[[#This Row],[Date]]),Log_2018[[#This Row],[Split_apply]])) - SUM($O74:P74)</f>
        <v>0</v>
      </c>
      <c r="R74" s="52">
        <f ca="1">Log_2018[[#This Row],[Amount]]/Log_2018[[#This Row],[Split_raw]]*MAX(0,MIN(_xlfn.DAYS(EDATE(R$1,1),Log_2018[[#This Row],[Date]]),Log_2018[[#This Row],[Split_apply]])) - SUM($O74:Q74)</f>
        <v>0</v>
      </c>
      <c r="S74" s="52">
        <f ca="1">Log_2018[[#This Row],[Amount]]/Log_2018[[#This Row],[Split_raw]]*MAX(0,MIN(_xlfn.DAYS(EDATE(S$1,1),Log_2018[[#This Row],[Date]]),Log_2018[[#This Row],[Split_apply]])) - SUM($O74:R74)</f>
        <v>0</v>
      </c>
      <c r="T74" s="52">
        <f ca="1">Log_2018[[#This Row],[Amount]]/Log_2018[[#This Row],[Split_raw]]*MAX(0,MIN(_xlfn.DAYS(EDATE(T$1,1),Log_2018[[#This Row],[Date]]),Log_2018[[#This Row],[Split_apply]])) - SUM($O74:S74)</f>
        <v>0</v>
      </c>
      <c r="U74" s="52">
        <f ca="1">Log_2018[[#This Row],[Amount]]/Log_2018[[#This Row],[Split_raw]]*MAX(0,MIN(_xlfn.DAYS(EDATE(U$1,1),Log_2018[[#This Row],[Date]]),Log_2018[[#This Row],[Split_apply]])) - SUM($O74:T74)</f>
        <v>0</v>
      </c>
      <c r="V74" s="52">
        <f ca="1">Log_2018[[#This Row],[Amount]]/Log_2018[[#This Row],[Split_raw]]*MAX(0,MIN(_xlfn.DAYS(EDATE(V$1,1),Log_2018[[#This Row],[Date]]),Log_2018[[#This Row],[Split_apply]])) - SUM($O74:U74)</f>
        <v>0</v>
      </c>
      <c r="W74" s="52">
        <f ca="1">Log_2018[[#This Row],[Amount]]/Log_2018[[#This Row],[Split_raw]]*MAX(0,MIN(_xlfn.DAYS(EDATE(W$1,1),Log_2018[[#This Row],[Date]]),Log_2018[[#This Row],[Split_apply]])) - SUM($O74:V74)</f>
        <v>0</v>
      </c>
      <c r="X74" s="52">
        <f ca="1">Log_2018[[#This Row],[Amount]]/Log_2018[[#This Row],[Split_raw]]*MAX(0,MIN(_xlfn.DAYS(EDATE(X$1,1),Log_2018[[#This Row],[Date]]),Log_2018[[#This Row],[Split_apply]])) - SUM($O74:W74)</f>
        <v>0</v>
      </c>
      <c r="Y74" s="52">
        <f ca="1">Log_2018[[#This Row],[Amount]]/Log_2018[[#This Row],[Split_raw]]*MAX(0,MIN(_xlfn.DAYS(EDATE(Y$1,1),Log_2018[[#This Row],[Date]]),Log_2018[[#This Row],[Split_apply]])) - SUM($O74:X74)</f>
        <v>0</v>
      </c>
      <c r="Z74" s="52">
        <f ca="1">Log_2018[[#This Row],[Amount]]/Log_2018[[#This Row],[Split_raw]]*MAX(0,MIN(_xlfn.DAYS(EDATE(Z$1,1),Log_2018[[#This Row],[Date]]),Log_2018[[#This Row],[Split_apply]])) - SUM($O74:Y74)</f>
        <v>5.75</v>
      </c>
      <c r="AA74" s="52">
        <f ca="1">Log_2018[[#This Row],[Amount]]/Log_2018[[#This Row],[Split_raw]]*MAX(0,MIN(_xlfn.DAYS(EDATE(AA$1,1),Log_2018[[#This Row],[Date]]),Log_2018[[#This Row],[Split_apply]])) - SUM($O74:Z74)</f>
        <v>0</v>
      </c>
      <c r="AB74" s="54">
        <f ca="1">Log_2018[[#This Row],[Amount]]-SUM(O74:AA74)</f>
        <v>0</v>
      </c>
      <c r="AC74" s="7">
        <f ca="1">MAX(0,Log_2018[[#This Row],[Split_apply]] - (EDATE(AA$1,1)-Log_2018[[#This Row],[Date]]))</f>
        <v>0</v>
      </c>
    </row>
    <row r="75" spans="1:29" hidden="1" x14ac:dyDescent="0.25">
      <c r="A75" s="115"/>
      <c r="B75" t="s">
        <v>6</v>
      </c>
      <c r="D75" s="39">
        <v>43432</v>
      </c>
      <c r="E75" t="s">
        <v>251</v>
      </c>
      <c r="F75" t="s">
        <v>246</v>
      </c>
      <c r="G75" t="s">
        <v>143</v>
      </c>
      <c r="H75" s="3">
        <v>-8.65</v>
      </c>
      <c r="I75" s="36">
        <f>IF(Log_2018[[#This Row],[My Category]]="NONTRACKED",0,Log_2018[[#This Row],[Raw Amount]])</f>
        <v>-8.65</v>
      </c>
      <c r="J75" s="17">
        <f>ABS(Log_2018[[#This Row],[Amount]])</f>
        <v>8.65</v>
      </c>
      <c r="K75" s="66">
        <v>30</v>
      </c>
      <c r="L75" s="66">
        <f ca="1">IF(Log_2018[[#This Row],[Date]]&lt;=TODAY(), MIN(Log_2018[[#This Row],[Split_raw]], TODAY()-Log_2018[[#This Row],[Date]]+1), 0)</f>
        <v>30</v>
      </c>
      <c r="M75" t="s">
        <v>53</v>
      </c>
      <c r="N75" t="s">
        <v>160</v>
      </c>
      <c r="O75" s="50">
        <v>0</v>
      </c>
      <c r="P75" s="52">
        <f ca="1">Log_2018[[#This Row],[Amount]]/Log_2018[[#This Row],[Split_raw]]*MAX(0,MIN(_xlfn.DAYS(EDATE(P$1,1),Log_2018[[#This Row],[Date]]),Log_2018[[#This Row],[Split_apply]])) - SUM($O75:O75)</f>
        <v>0</v>
      </c>
      <c r="Q75" s="52">
        <f ca="1">Log_2018[[#This Row],[Amount]]/Log_2018[[#This Row],[Split_raw]]*MAX(0,MIN(_xlfn.DAYS(EDATE(Q$1,1),Log_2018[[#This Row],[Date]]),Log_2018[[#This Row],[Split_apply]])) - SUM($O75:P75)</f>
        <v>0</v>
      </c>
      <c r="R75" s="52">
        <f ca="1">Log_2018[[#This Row],[Amount]]/Log_2018[[#This Row],[Split_raw]]*MAX(0,MIN(_xlfn.DAYS(EDATE(R$1,1),Log_2018[[#This Row],[Date]]),Log_2018[[#This Row],[Split_apply]])) - SUM($O75:Q75)</f>
        <v>0</v>
      </c>
      <c r="S75" s="52">
        <f ca="1">Log_2018[[#This Row],[Amount]]/Log_2018[[#This Row],[Split_raw]]*MAX(0,MIN(_xlfn.DAYS(EDATE(S$1,1),Log_2018[[#This Row],[Date]]),Log_2018[[#This Row],[Split_apply]])) - SUM($O75:R75)</f>
        <v>0</v>
      </c>
      <c r="T75" s="52">
        <f ca="1">Log_2018[[#This Row],[Amount]]/Log_2018[[#This Row],[Split_raw]]*MAX(0,MIN(_xlfn.DAYS(EDATE(T$1,1),Log_2018[[#This Row],[Date]]),Log_2018[[#This Row],[Split_apply]])) - SUM($O75:S75)</f>
        <v>0</v>
      </c>
      <c r="U75" s="52">
        <f ca="1">Log_2018[[#This Row],[Amount]]/Log_2018[[#This Row],[Split_raw]]*MAX(0,MIN(_xlfn.DAYS(EDATE(U$1,1),Log_2018[[#This Row],[Date]]),Log_2018[[#This Row],[Split_apply]])) - SUM($O75:T75)</f>
        <v>0</v>
      </c>
      <c r="V75" s="52">
        <f ca="1">Log_2018[[#This Row],[Amount]]/Log_2018[[#This Row],[Split_raw]]*MAX(0,MIN(_xlfn.DAYS(EDATE(V$1,1),Log_2018[[#This Row],[Date]]),Log_2018[[#This Row],[Split_apply]])) - SUM($O75:U75)</f>
        <v>0</v>
      </c>
      <c r="W75" s="52">
        <f ca="1">Log_2018[[#This Row],[Amount]]/Log_2018[[#This Row],[Split_raw]]*MAX(0,MIN(_xlfn.DAYS(EDATE(W$1,1),Log_2018[[#This Row],[Date]]),Log_2018[[#This Row],[Split_apply]])) - SUM($O75:V75)</f>
        <v>0</v>
      </c>
      <c r="X75" s="52">
        <f ca="1">Log_2018[[#This Row],[Amount]]/Log_2018[[#This Row],[Split_raw]]*MAX(0,MIN(_xlfn.DAYS(EDATE(X$1,1),Log_2018[[#This Row],[Date]]),Log_2018[[#This Row],[Split_apply]])) - SUM($O75:W75)</f>
        <v>0</v>
      </c>
      <c r="Y75" s="52">
        <f ca="1">Log_2018[[#This Row],[Amount]]/Log_2018[[#This Row],[Split_raw]]*MAX(0,MIN(_xlfn.DAYS(EDATE(Y$1,1),Log_2018[[#This Row],[Date]]),Log_2018[[#This Row],[Split_apply]])) - SUM($O75:X75)</f>
        <v>0</v>
      </c>
      <c r="Z75" s="52">
        <f ca="1">Log_2018[[#This Row],[Amount]]/Log_2018[[#This Row],[Split_raw]]*MAX(0,MIN(_xlfn.DAYS(EDATE(Z$1,1),Log_2018[[#This Row],[Date]]),Log_2018[[#This Row],[Split_apply]])) - SUM($O75:Y75)</f>
        <v>-0.86499999999999999</v>
      </c>
      <c r="AA75" s="52">
        <f ca="1">Log_2018[[#This Row],[Amount]]/Log_2018[[#This Row],[Split_raw]]*MAX(0,MIN(_xlfn.DAYS(EDATE(AA$1,1),Log_2018[[#This Row],[Date]]),Log_2018[[#This Row],[Split_apply]])) - SUM($O75:Z75)</f>
        <v>-7.7850000000000001</v>
      </c>
      <c r="AB75" s="54">
        <f ca="1">Log_2018[[#This Row],[Amount]]-SUM(O75:AA75)</f>
        <v>0</v>
      </c>
      <c r="AC75" s="7">
        <f ca="1">MAX(0,Log_2018[[#This Row],[Split_apply]] - (EDATE(AA$1,1)-Log_2018[[#This Row],[Date]]))</f>
        <v>0</v>
      </c>
    </row>
    <row r="76" spans="1:29" hidden="1" x14ac:dyDescent="0.25">
      <c r="A76" s="115"/>
      <c r="B76" t="s">
        <v>6</v>
      </c>
      <c r="D76" s="39">
        <v>43432</v>
      </c>
      <c r="F76" t="s">
        <v>436</v>
      </c>
      <c r="G76" t="s">
        <v>25</v>
      </c>
      <c r="H76" s="3">
        <v>-5.73</v>
      </c>
      <c r="I76" s="36">
        <f>IF(Log_2018[[#This Row],[My Category]]="NONTRACKED",0,Log_2018[[#This Row],[Raw Amount]])</f>
        <v>-5.73</v>
      </c>
      <c r="J76" s="17">
        <f>ABS(Log_2018[[#This Row],[Amount]])</f>
        <v>5.73</v>
      </c>
      <c r="K76" s="66">
        <v>1</v>
      </c>
      <c r="L76" s="66">
        <f ca="1">IF(Log_2018[[#This Row],[Date]]&lt;=TODAY(), MIN(Log_2018[[#This Row],[Split_raw]], TODAY()-Log_2018[[#This Row],[Date]]+1), 0)</f>
        <v>1</v>
      </c>
      <c r="M76" t="s">
        <v>35</v>
      </c>
      <c r="N76" t="s">
        <v>158</v>
      </c>
      <c r="O76" s="50">
        <v>0</v>
      </c>
      <c r="P76" s="52">
        <f ca="1">Log_2018[[#This Row],[Amount]]/Log_2018[[#This Row],[Split_raw]]*MAX(0,MIN(_xlfn.DAYS(EDATE(P$1,1),Log_2018[[#This Row],[Date]]),Log_2018[[#This Row],[Split_apply]])) - SUM($O76:O76)</f>
        <v>0</v>
      </c>
      <c r="Q76" s="52">
        <f ca="1">Log_2018[[#This Row],[Amount]]/Log_2018[[#This Row],[Split_raw]]*MAX(0,MIN(_xlfn.DAYS(EDATE(Q$1,1),Log_2018[[#This Row],[Date]]),Log_2018[[#This Row],[Split_apply]])) - SUM($O76:P76)</f>
        <v>0</v>
      </c>
      <c r="R76" s="52">
        <f ca="1">Log_2018[[#This Row],[Amount]]/Log_2018[[#This Row],[Split_raw]]*MAX(0,MIN(_xlfn.DAYS(EDATE(R$1,1),Log_2018[[#This Row],[Date]]),Log_2018[[#This Row],[Split_apply]])) - SUM($O76:Q76)</f>
        <v>0</v>
      </c>
      <c r="S76" s="52">
        <f ca="1">Log_2018[[#This Row],[Amount]]/Log_2018[[#This Row],[Split_raw]]*MAX(0,MIN(_xlfn.DAYS(EDATE(S$1,1),Log_2018[[#This Row],[Date]]),Log_2018[[#This Row],[Split_apply]])) - SUM($O76:R76)</f>
        <v>0</v>
      </c>
      <c r="T76" s="52">
        <f ca="1">Log_2018[[#This Row],[Amount]]/Log_2018[[#This Row],[Split_raw]]*MAX(0,MIN(_xlfn.DAYS(EDATE(T$1,1),Log_2018[[#This Row],[Date]]),Log_2018[[#This Row],[Split_apply]])) - SUM($O76:S76)</f>
        <v>0</v>
      </c>
      <c r="U76" s="52">
        <f ca="1">Log_2018[[#This Row],[Amount]]/Log_2018[[#This Row],[Split_raw]]*MAX(0,MIN(_xlfn.DAYS(EDATE(U$1,1),Log_2018[[#This Row],[Date]]),Log_2018[[#This Row],[Split_apply]])) - SUM($O76:T76)</f>
        <v>0</v>
      </c>
      <c r="V76" s="52">
        <f ca="1">Log_2018[[#This Row],[Amount]]/Log_2018[[#This Row],[Split_raw]]*MAX(0,MIN(_xlfn.DAYS(EDATE(V$1,1),Log_2018[[#This Row],[Date]]),Log_2018[[#This Row],[Split_apply]])) - SUM($O76:U76)</f>
        <v>0</v>
      </c>
      <c r="W76" s="52">
        <f ca="1">Log_2018[[#This Row],[Amount]]/Log_2018[[#This Row],[Split_raw]]*MAX(0,MIN(_xlfn.DAYS(EDATE(W$1,1),Log_2018[[#This Row],[Date]]),Log_2018[[#This Row],[Split_apply]])) - SUM($O76:V76)</f>
        <v>0</v>
      </c>
      <c r="X76" s="52">
        <f ca="1">Log_2018[[#This Row],[Amount]]/Log_2018[[#This Row],[Split_raw]]*MAX(0,MIN(_xlfn.DAYS(EDATE(X$1,1),Log_2018[[#This Row],[Date]]),Log_2018[[#This Row],[Split_apply]])) - SUM($O76:W76)</f>
        <v>0</v>
      </c>
      <c r="Y76" s="52">
        <f ca="1">Log_2018[[#This Row],[Amount]]/Log_2018[[#This Row],[Split_raw]]*MAX(0,MIN(_xlfn.DAYS(EDATE(Y$1,1),Log_2018[[#This Row],[Date]]),Log_2018[[#This Row],[Split_apply]])) - SUM($O76:X76)</f>
        <v>0</v>
      </c>
      <c r="Z76" s="52">
        <f ca="1">Log_2018[[#This Row],[Amount]]/Log_2018[[#This Row],[Split_raw]]*MAX(0,MIN(_xlfn.DAYS(EDATE(Z$1,1),Log_2018[[#This Row],[Date]]),Log_2018[[#This Row],[Split_apply]])) - SUM($O76:Y76)</f>
        <v>-5.73</v>
      </c>
      <c r="AA76" s="52">
        <f ca="1">Log_2018[[#This Row],[Amount]]/Log_2018[[#This Row],[Split_raw]]*MAX(0,MIN(_xlfn.DAYS(EDATE(AA$1,1),Log_2018[[#This Row],[Date]]),Log_2018[[#This Row],[Split_apply]])) - SUM($O76:Z76)</f>
        <v>0</v>
      </c>
      <c r="AB76" s="54">
        <f ca="1">Log_2018[[#This Row],[Amount]]-SUM(O76:AA76)</f>
        <v>0</v>
      </c>
      <c r="AC76" s="7">
        <f ca="1">MAX(0,Log_2018[[#This Row],[Split_apply]] - (EDATE(AA$1,1)-Log_2018[[#This Row],[Date]]))</f>
        <v>0</v>
      </c>
    </row>
    <row r="77" spans="1:29" hidden="1" x14ac:dyDescent="0.25">
      <c r="A77" s="115"/>
      <c r="B77" t="s">
        <v>6</v>
      </c>
      <c r="D77" s="39">
        <v>43432</v>
      </c>
      <c r="F77" t="s">
        <v>432</v>
      </c>
      <c r="G77" t="s">
        <v>20</v>
      </c>
      <c r="H77" s="3">
        <v>-102.75</v>
      </c>
      <c r="I77" s="36">
        <f>IF(Log_2018[[#This Row],[My Category]]="NONTRACKED",0,Log_2018[[#This Row],[Raw Amount]])</f>
        <v>-102.75</v>
      </c>
      <c r="J77" s="17">
        <f>ABS(Log_2018[[#This Row],[Amount]])</f>
        <v>102.75</v>
      </c>
      <c r="K77" s="66">
        <v>1</v>
      </c>
      <c r="L77" s="66">
        <f ca="1">IF(Log_2018[[#This Row],[Date]]&lt;=TODAY(), MIN(Log_2018[[#This Row],[Split_raw]], TODAY()-Log_2018[[#This Row],[Date]]+1), 0)</f>
        <v>1</v>
      </c>
      <c r="M77" t="s">
        <v>196</v>
      </c>
      <c r="N77" t="s">
        <v>160</v>
      </c>
      <c r="O77" s="50">
        <v>0</v>
      </c>
      <c r="P77" s="52">
        <f ca="1">Log_2018[[#This Row],[Amount]]/Log_2018[[#This Row],[Split_raw]]*MAX(0,MIN(_xlfn.DAYS(EDATE(P$1,1),Log_2018[[#This Row],[Date]]),Log_2018[[#This Row],[Split_apply]])) - SUM($O77:O77)</f>
        <v>0</v>
      </c>
      <c r="Q77" s="52">
        <f ca="1">Log_2018[[#This Row],[Amount]]/Log_2018[[#This Row],[Split_raw]]*MAX(0,MIN(_xlfn.DAYS(EDATE(Q$1,1),Log_2018[[#This Row],[Date]]),Log_2018[[#This Row],[Split_apply]])) - SUM($O77:P77)</f>
        <v>0</v>
      </c>
      <c r="R77" s="52">
        <f ca="1">Log_2018[[#This Row],[Amount]]/Log_2018[[#This Row],[Split_raw]]*MAX(0,MIN(_xlfn.DAYS(EDATE(R$1,1),Log_2018[[#This Row],[Date]]),Log_2018[[#This Row],[Split_apply]])) - SUM($O77:Q77)</f>
        <v>0</v>
      </c>
      <c r="S77" s="52">
        <f ca="1">Log_2018[[#This Row],[Amount]]/Log_2018[[#This Row],[Split_raw]]*MAX(0,MIN(_xlfn.DAYS(EDATE(S$1,1),Log_2018[[#This Row],[Date]]),Log_2018[[#This Row],[Split_apply]])) - SUM($O77:R77)</f>
        <v>0</v>
      </c>
      <c r="T77" s="52">
        <f ca="1">Log_2018[[#This Row],[Amount]]/Log_2018[[#This Row],[Split_raw]]*MAX(0,MIN(_xlfn.DAYS(EDATE(T$1,1),Log_2018[[#This Row],[Date]]),Log_2018[[#This Row],[Split_apply]])) - SUM($O77:S77)</f>
        <v>0</v>
      </c>
      <c r="U77" s="52">
        <f ca="1">Log_2018[[#This Row],[Amount]]/Log_2018[[#This Row],[Split_raw]]*MAX(0,MIN(_xlfn.DAYS(EDATE(U$1,1),Log_2018[[#This Row],[Date]]),Log_2018[[#This Row],[Split_apply]])) - SUM($O77:T77)</f>
        <v>0</v>
      </c>
      <c r="V77" s="52">
        <f ca="1">Log_2018[[#This Row],[Amount]]/Log_2018[[#This Row],[Split_raw]]*MAX(0,MIN(_xlfn.DAYS(EDATE(V$1,1),Log_2018[[#This Row],[Date]]),Log_2018[[#This Row],[Split_apply]])) - SUM($O77:U77)</f>
        <v>0</v>
      </c>
      <c r="W77" s="52">
        <f ca="1">Log_2018[[#This Row],[Amount]]/Log_2018[[#This Row],[Split_raw]]*MAX(0,MIN(_xlfn.DAYS(EDATE(W$1,1),Log_2018[[#This Row],[Date]]),Log_2018[[#This Row],[Split_apply]])) - SUM($O77:V77)</f>
        <v>0</v>
      </c>
      <c r="X77" s="52">
        <f ca="1">Log_2018[[#This Row],[Amount]]/Log_2018[[#This Row],[Split_raw]]*MAX(0,MIN(_xlfn.DAYS(EDATE(X$1,1),Log_2018[[#This Row],[Date]]),Log_2018[[#This Row],[Split_apply]])) - SUM($O77:W77)</f>
        <v>0</v>
      </c>
      <c r="Y77" s="52">
        <f ca="1">Log_2018[[#This Row],[Amount]]/Log_2018[[#This Row],[Split_raw]]*MAX(0,MIN(_xlfn.DAYS(EDATE(Y$1,1),Log_2018[[#This Row],[Date]]),Log_2018[[#This Row],[Split_apply]])) - SUM($O77:X77)</f>
        <v>0</v>
      </c>
      <c r="Z77" s="52">
        <f ca="1">Log_2018[[#This Row],[Amount]]/Log_2018[[#This Row],[Split_raw]]*MAX(0,MIN(_xlfn.DAYS(EDATE(Z$1,1),Log_2018[[#This Row],[Date]]),Log_2018[[#This Row],[Split_apply]])) - SUM($O77:Y77)</f>
        <v>-102.75</v>
      </c>
      <c r="AA77" s="52">
        <f ca="1">Log_2018[[#This Row],[Amount]]/Log_2018[[#This Row],[Split_raw]]*MAX(0,MIN(_xlfn.DAYS(EDATE(AA$1,1),Log_2018[[#This Row],[Date]]),Log_2018[[#This Row],[Split_apply]])) - SUM($O77:Z77)</f>
        <v>0</v>
      </c>
      <c r="AB77" s="54">
        <f ca="1">Log_2018[[#This Row],[Amount]]-SUM(O77:AA77)</f>
        <v>0</v>
      </c>
      <c r="AC77" s="7">
        <f ca="1">MAX(0,Log_2018[[#This Row],[Split_apply]] - (EDATE(AA$1,1)-Log_2018[[#This Row],[Date]]))</f>
        <v>0</v>
      </c>
    </row>
    <row r="78" spans="1:29" hidden="1" x14ac:dyDescent="0.25">
      <c r="A78" s="115"/>
      <c r="B78" t="s">
        <v>6</v>
      </c>
      <c r="D78" s="39">
        <v>43431</v>
      </c>
      <c r="F78" t="s">
        <v>437</v>
      </c>
      <c r="G78" t="s">
        <v>12</v>
      </c>
      <c r="H78" s="3">
        <v>-19.96</v>
      </c>
      <c r="I78" s="36">
        <f>IF(Log_2018[[#This Row],[My Category]]="NONTRACKED",0,Log_2018[[#This Row],[Raw Amount]])</f>
        <v>-19.96</v>
      </c>
      <c r="J78" s="17">
        <f>ABS(Log_2018[[#This Row],[Amount]])</f>
        <v>19.96</v>
      </c>
      <c r="K78" s="66">
        <v>1</v>
      </c>
      <c r="L78" s="66">
        <f ca="1">IF(Log_2018[[#This Row],[Date]]&lt;=TODAY(), MIN(Log_2018[[#This Row],[Split_raw]], TODAY()-Log_2018[[#This Row],[Date]]+1), 0)</f>
        <v>1</v>
      </c>
      <c r="M78" t="s">
        <v>12</v>
      </c>
      <c r="N78" t="s">
        <v>158</v>
      </c>
      <c r="O78" s="50">
        <v>0</v>
      </c>
      <c r="P78" s="52">
        <f ca="1">Log_2018[[#This Row],[Amount]]/Log_2018[[#This Row],[Split_raw]]*MAX(0,MIN(_xlfn.DAYS(EDATE(P$1,1),Log_2018[[#This Row],[Date]]),Log_2018[[#This Row],[Split_apply]])) - SUM($O78:O78)</f>
        <v>0</v>
      </c>
      <c r="Q78" s="52">
        <f ca="1">Log_2018[[#This Row],[Amount]]/Log_2018[[#This Row],[Split_raw]]*MAX(0,MIN(_xlfn.DAYS(EDATE(Q$1,1),Log_2018[[#This Row],[Date]]),Log_2018[[#This Row],[Split_apply]])) - SUM($O78:P78)</f>
        <v>0</v>
      </c>
      <c r="R78" s="52">
        <f ca="1">Log_2018[[#This Row],[Amount]]/Log_2018[[#This Row],[Split_raw]]*MAX(0,MIN(_xlfn.DAYS(EDATE(R$1,1),Log_2018[[#This Row],[Date]]),Log_2018[[#This Row],[Split_apply]])) - SUM($O78:Q78)</f>
        <v>0</v>
      </c>
      <c r="S78" s="52">
        <f ca="1">Log_2018[[#This Row],[Amount]]/Log_2018[[#This Row],[Split_raw]]*MAX(0,MIN(_xlfn.DAYS(EDATE(S$1,1),Log_2018[[#This Row],[Date]]),Log_2018[[#This Row],[Split_apply]])) - SUM($O78:R78)</f>
        <v>0</v>
      </c>
      <c r="T78" s="52">
        <f ca="1">Log_2018[[#This Row],[Amount]]/Log_2018[[#This Row],[Split_raw]]*MAX(0,MIN(_xlfn.DAYS(EDATE(T$1,1),Log_2018[[#This Row],[Date]]),Log_2018[[#This Row],[Split_apply]])) - SUM($O78:S78)</f>
        <v>0</v>
      </c>
      <c r="U78" s="52">
        <f ca="1">Log_2018[[#This Row],[Amount]]/Log_2018[[#This Row],[Split_raw]]*MAX(0,MIN(_xlfn.DAYS(EDATE(U$1,1),Log_2018[[#This Row],[Date]]),Log_2018[[#This Row],[Split_apply]])) - SUM($O78:T78)</f>
        <v>0</v>
      </c>
      <c r="V78" s="52">
        <f ca="1">Log_2018[[#This Row],[Amount]]/Log_2018[[#This Row],[Split_raw]]*MAX(0,MIN(_xlfn.DAYS(EDATE(V$1,1),Log_2018[[#This Row],[Date]]),Log_2018[[#This Row],[Split_apply]])) - SUM($O78:U78)</f>
        <v>0</v>
      </c>
      <c r="W78" s="52">
        <f ca="1">Log_2018[[#This Row],[Amount]]/Log_2018[[#This Row],[Split_raw]]*MAX(0,MIN(_xlfn.DAYS(EDATE(W$1,1),Log_2018[[#This Row],[Date]]),Log_2018[[#This Row],[Split_apply]])) - SUM($O78:V78)</f>
        <v>0</v>
      </c>
      <c r="X78" s="52">
        <f ca="1">Log_2018[[#This Row],[Amount]]/Log_2018[[#This Row],[Split_raw]]*MAX(0,MIN(_xlfn.DAYS(EDATE(X$1,1),Log_2018[[#This Row],[Date]]),Log_2018[[#This Row],[Split_apply]])) - SUM($O78:W78)</f>
        <v>0</v>
      </c>
      <c r="Y78" s="52">
        <f ca="1">Log_2018[[#This Row],[Amount]]/Log_2018[[#This Row],[Split_raw]]*MAX(0,MIN(_xlfn.DAYS(EDATE(Y$1,1),Log_2018[[#This Row],[Date]]),Log_2018[[#This Row],[Split_apply]])) - SUM($O78:X78)</f>
        <v>0</v>
      </c>
      <c r="Z78" s="52">
        <f ca="1">Log_2018[[#This Row],[Amount]]/Log_2018[[#This Row],[Split_raw]]*MAX(0,MIN(_xlfn.DAYS(EDATE(Z$1,1),Log_2018[[#This Row],[Date]]),Log_2018[[#This Row],[Split_apply]])) - SUM($O78:Y78)</f>
        <v>-19.96</v>
      </c>
      <c r="AA78" s="52">
        <f ca="1">Log_2018[[#This Row],[Amount]]/Log_2018[[#This Row],[Split_raw]]*MAX(0,MIN(_xlfn.DAYS(EDATE(AA$1,1),Log_2018[[#This Row],[Date]]),Log_2018[[#This Row],[Split_apply]])) - SUM($O78:Z78)</f>
        <v>0</v>
      </c>
      <c r="AB78" s="54">
        <f ca="1">Log_2018[[#This Row],[Amount]]-SUM(O78:AA78)</f>
        <v>0</v>
      </c>
      <c r="AC78" s="7">
        <f ca="1">MAX(0,Log_2018[[#This Row],[Split_apply]] - (EDATE(AA$1,1)-Log_2018[[#This Row],[Date]]))</f>
        <v>0</v>
      </c>
    </row>
    <row r="79" spans="1:29" hidden="1" x14ac:dyDescent="0.25">
      <c r="A79" s="115"/>
      <c r="B79" t="s">
        <v>6</v>
      </c>
      <c r="D79" s="39">
        <v>43431</v>
      </c>
      <c r="F79" t="s">
        <v>255</v>
      </c>
      <c r="G79" t="s">
        <v>25</v>
      </c>
      <c r="H79" s="3">
        <v>-8.7799999999999994</v>
      </c>
      <c r="I79" s="36">
        <f>IF(Log_2018[[#This Row],[My Category]]="NONTRACKED",0,Log_2018[[#This Row],[Raw Amount]])</f>
        <v>-8.7799999999999994</v>
      </c>
      <c r="J79" s="17">
        <f>ABS(Log_2018[[#This Row],[Amount]])</f>
        <v>8.7799999999999994</v>
      </c>
      <c r="K79" s="66">
        <v>1</v>
      </c>
      <c r="L79" s="66">
        <f ca="1">IF(Log_2018[[#This Row],[Date]]&lt;=TODAY(), MIN(Log_2018[[#This Row],[Split_raw]], TODAY()-Log_2018[[#This Row],[Date]]+1), 0)</f>
        <v>1</v>
      </c>
      <c r="M79" t="s">
        <v>35</v>
      </c>
      <c r="N79" t="s">
        <v>158</v>
      </c>
      <c r="O79" s="50">
        <v>0</v>
      </c>
      <c r="P79" s="52">
        <f ca="1">Log_2018[[#This Row],[Amount]]/Log_2018[[#This Row],[Split_raw]]*MAX(0,MIN(_xlfn.DAYS(EDATE(P$1,1),Log_2018[[#This Row],[Date]]),Log_2018[[#This Row],[Split_apply]])) - SUM($O79:O79)</f>
        <v>0</v>
      </c>
      <c r="Q79" s="52">
        <f ca="1">Log_2018[[#This Row],[Amount]]/Log_2018[[#This Row],[Split_raw]]*MAX(0,MIN(_xlfn.DAYS(EDATE(Q$1,1),Log_2018[[#This Row],[Date]]),Log_2018[[#This Row],[Split_apply]])) - SUM($O79:P79)</f>
        <v>0</v>
      </c>
      <c r="R79" s="52">
        <f ca="1">Log_2018[[#This Row],[Amount]]/Log_2018[[#This Row],[Split_raw]]*MAX(0,MIN(_xlfn.DAYS(EDATE(R$1,1),Log_2018[[#This Row],[Date]]),Log_2018[[#This Row],[Split_apply]])) - SUM($O79:Q79)</f>
        <v>0</v>
      </c>
      <c r="S79" s="52">
        <f ca="1">Log_2018[[#This Row],[Amount]]/Log_2018[[#This Row],[Split_raw]]*MAX(0,MIN(_xlfn.DAYS(EDATE(S$1,1),Log_2018[[#This Row],[Date]]),Log_2018[[#This Row],[Split_apply]])) - SUM($O79:R79)</f>
        <v>0</v>
      </c>
      <c r="T79" s="52">
        <f ca="1">Log_2018[[#This Row],[Amount]]/Log_2018[[#This Row],[Split_raw]]*MAX(0,MIN(_xlfn.DAYS(EDATE(T$1,1),Log_2018[[#This Row],[Date]]),Log_2018[[#This Row],[Split_apply]])) - SUM($O79:S79)</f>
        <v>0</v>
      </c>
      <c r="U79" s="52">
        <f ca="1">Log_2018[[#This Row],[Amount]]/Log_2018[[#This Row],[Split_raw]]*MAX(0,MIN(_xlfn.DAYS(EDATE(U$1,1),Log_2018[[#This Row],[Date]]),Log_2018[[#This Row],[Split_apply]])) - SUM($O79:T79)</f>
        <v>0</v>
      </c>
      <c r="V79" s="52">
        <f ca="1">Log_2018[[#This Row],[Amount]]/Log_2018[[#This Row],[Split_raw]]*MAX(0,MIN(_xlfn.DAYS(EDATE(V$1,1),Log_2018[[#This Row],[Date]]),Log_2018[[#This Row],[Split_apply]])) - SUM($O79:U79)</f>
        <v>0</v>
      </c>
      <c r="W79" s="52">
        <f ca="1">Log_2018[[#This Row],[Amount]]/Log_2018[[#This Row],[Split_raw]]*MAX(0,MIN(_xlfn.DAYS(EDATE(W$1,1),Log_2018[[#This Row],[Date]]),Log_2018[[#This Row],[Split_apply]])) - SUM($O79:V79)</f>
        <v>0</v>
      </c>
      <c r="X79" s="52">
        <f ca="1">Log_2018[[#This Row],[Amount]]/Log_2018[[#This Row],[Split_raw]]*MAX(0,MIN(_xlfn.DAYS(EDATE(X$1,1),Log_2018[[#This Row],[Date]]),Log_2018[[#This Row],[Split_apply]])) - SUM($O79:W79)</f>
        <v>0</v>
      </c>
      <c r="Y79" s="52">
        <f ca="1">Log_2018[[#This Row],[Amount]]/Log_2018[[#This Row],[Split_raw]]*MAX(0,MIN(_xlfn.DAYS(EDATE(Y$1,1),Log_2018[[#This Row],[Date]]),Log_2018[[#This Row],[Split_apply]])) - SUM($O79:X79)</f>
        <v>0</v>
      </c>
      <c r="Z79" s="52">
        <f ca="1">Log_2018[[#This Row],[Amount]]/Log_2018[[#This Row],[Split_raw]]*MAX(0,MIN(_xlfn.DAYS(EDATE(Z$1,1),Log_2018[[#This Row],[Date]]),Log_2018[[#This Row],[Split_apply]])) - SUM($O79:Y79)</f>
        <v>-8.7799999999999994</v>
      </c>
      <c r="AA79" s="52">
        <f ca="1">Log_2018[[#This Row],[Amount]]/Log_2018[[#This Row],[Split_raw]]*MAX(0,MIN(_xlfn.DAYS(EDATE(AA$1,1),Log_2018[[#This Row],[Date]]),Log_2018[[#This Row],[Split_apply]])) - SUM($O79:Z79)</f>
        <v>0</v>
      </c>
      <c r="AB79" s="54">
        <f ca="1">Log_2018[[#This Row],[Amount]]-SUM(O79:AA79)</f>
        <v>0</v>
      </c>
      <c r="AC79" s="7">
        <f ca="1">MAX(0,Log_2018[[#This Row],[Split_apply]] - (EDATE(AA$1,1)-Log_2018[[#This Row],[Date]]))</f>
        <v>0</v>
      </c>
    </row>
    <row r="80" spans="1:29" hidden="1" x14ac:dyDescent="0.25">
      <c r="A80" s="115"/>
      <c r="B80" t="s">
        <v>6</v>
      </c>
      <c r="D80" s="39">
        <v>43430</v>
      </c>
      <c r="E80" t="s">
        <v>449</v>
      </c>
      <c r="F80" t="s">
        <v>438</v>
      </c>
      <c r="G80" t="s">
        <v>27</v>
      </c>
      <c r="H80" s="3">
        <v>-383.4</v>
      </c>
      <c r="I80" s="36">
        <f>IF(Log_2018[[#This Row],[My Category]]="NONTRACKED",0,Log_2018[[#This Row],[Raw Amount]])</f>
        <v>-383.4</v>
      </c>
      <c r="J80" s="17">
        <f>ABS(Log_2018[[#This Row],[Amount]])</f>
        <v>383.4</v>
      </c>
      <c r="K80" s="66">
        <v>1</v>
      </c>
      <c r="L80" s="66">
        <f ca="1">IF(Log_2018[[#This Row],[Date]]&lt;=TODAY(), MIN(Log_2018[[#This Row],[Split_raw]], TODAY()-Log_2018[[#This Row],[Date]]+1), 0)</f>
        <v>1</v>
      </c>
      <c r="M80" t="s">
        <v>42</v>
      </c>
      <c r="N80" t="s">
        <v>158</v>
      </c>
      <c r="O80" s="50">
        <v>0</v>
      </c>
      <c r="P80" s="52">
        <f ca="1">Log_2018[[#This Row],[Amount]]/Log_2018[[#This Row],[Split_raw]]*MAX(0,MIN(_xlfn.DAYS(EDATE(P$1,1),Log_2018[[#This Row],[Date]]),Log_2018[[#This Row],[Split_apply]])) - SUM($O80:O80)</f>
        <v>0</v>
      </c>
      <c r="Q80" s="52">
        <f ca="1">Log_2018[[#This Row],[Amount]]/Log_2018[[#This Row],[Split_raw]]*MAX(0,MIN(_xlfn.DAYS(EDATE(Q$1,1),Log_2018[[#This Row],[Date]]),Log_2018[[#This Row],[Split_apply]])) - SUM($O80:P80)</f>
        <v>0</v>
      </c>
      <c r="R80" s="52">
        <f ca="1">Log_2018[[#This Row],[Amount]]/Log_2018[[#This Row],[Split_raw]]*MAX(0,MIN(_xlfn.DAYS(EDATE(R$1,1),Log_2018[[#This Row],[Date]]),Log_2018[[#This Row],[Split_apply]])) - SUM($O80:Q80)</f>
        <v>0</v>
      </c>
      <c r="S80" s="52">
        <f ca="1">Log_2018[[#This Row],[Amount]]/Log_2018[[#This Row],[Split_raw]]*MAX(0,MIN(_xlfn.DAYS(EDATE(S$1,1),Log_2018[[#This Row],[Date]]),Log_2018[[#This Row],[Split_apply]])) - SUM($O80:R80)</f>
        <v>0</v>
      </c>
      <c r="T80" s="52">
        <f ca="1">Log_2018[[#This Row],[Amount]]/Log_2018[[#This Row],[Split_raw]]*MAX(0,MIN(_xlfn.DAYS(EDATE(T$1,1),Log_2018[[#This Row],[Date]]),Log_2018[[#This Row],[Split_apply]])) - SUM($O80:S80)</f>
        <v>0</v>
      </c>
      <c r="U80" s="52">
        <f ca="1">Log_2018[[#This Row],[Amount]]/Log_2018[[#This Row],[Split_raw]]*MAX(0,MIN(_xlfn.DAYS(EDATE(U$1,1),Log_2018[[#This Row],[Date]]),Log_2018[[#This Row],[Split_apply]])) - SUM($O80:T80)</f>
        <v>0</v>
      </c>
      <c r="V80" s="52">
        <f ca="1">Log_2018[[#This Row],[Amount]]/Log_2018[[#This Row],[Split_raw]]*MAX(0,MIN(_xlfn.DAYS(EDATE(V$1,1),Log_2018[[#This Row],[Date]]),Log_2018[[#This Row],[Split_apply]])) - SUM($O80:U80)</f>
        <v>0</v>
      </c>
      <c r="W80" s="52">
        <f ca="1">Log_2018[[#This Row],[Amount]]/Log_2018[[#This Row],[Split_raw]]*MAX(0,MIN(_xlfn.DAYS(EDATE(W$1,1),Log_2018[[#This Row],[Date]]),Log_2018[[#This Row],[Split_apply]])) - SUM($O80:V80)</f>
        <v>0</v>
      </c>
      <c r="X80" s="52">
        <f ca="1">Log_2018[[#This Row],[Amount]]/Log_2018[[#This Row],[Split_raw]]*MAX(0,MIN(_xlfn.DAYS(EDATE(X$1,1),Log_2018[[#This Row],[Date]]),Log_2018[[#This Row],[Split_apply]])) - SUM($O80:W80)</f>
        <v>0</v>
      </c>
      <c r="Y80" s="52">
        <f ca="1">Log_2018[[#This Row],[Amount]]/Log_2018[[#This Row],[Split_raw]]*MAX(0,MIN(_xlfn.DAYS(EDATE(Y$1,1),Log_2018[[#This Row],[Date]]),Log_2018[[#This Row],[Split_apply]])) - SUM($O80:X80)</f>
        <v>0</v>
      </c>
      <c r="Z80" s="52">
        <f ca="1">Log_2018[[#This Row],[Amount]]/Log_2018[[#This Row],[Split_raw]]*MAX(0,MIN(_xlfn.DAYS(EDATE(Z$1,1),Log_2018[[#This Row],[Date]]),Log_2018[[#This Row],[Split_apply]])) - SUM($O80:Y80)</f>
        <v>-383.4</v>
      </c>
      <c r="AA80" s="52">
        <f ca="1">Log_2018[[#This Row],[Amount]]/Log_2018[[#This Row],[Split_raw]]*MAX(0,MIN(_xlfn.DAYS(EDATE(AA$1,1),Log_2018[[#This Row],[Date]]),Log_2018[[#This Row],[Split_apply]])) - SUM($O80:Z80)</f>
        <v>0</v>
      </c>
      <c r="AB80" s="54">
        <f ca="1">Log_2018[[#This Row],[Amount]]-SUM(O80:AA80)</f>
        <v>0</v>
      </c>
      <c r="AC80" s="7">
        <f ca="1">MAX(0,Log_2018[[#This Row],[Split_apply]] - (EDATE(AA$1,1)-Log_2018[[#This Row],[Date]]))</f>
        <v>0</v>
      </c>
    </row>
    <row r="81" spans="1:29" hidden="1" x14ac:dyDescent="0.25">
      <c r="A81" s="115"/>
      <c r="B81" t="s">
        <v>6</v>
      </c>
      <c r="D81" s="39">
        <v>43430</v>
      </c>
      <c r="F81" t="s">
        <v>439</v>
      </c>
      <c r="G81" t="s">
        <v>25</v>
      </c>
      <c r="H81" s="3">
        <v>-30.92</v>
      </c>
      <c r="I81" s="36">
        <f>IF(Log_2018[[#This Row],[My Category]]="NONTRACKED",0,Log_2018[[#This Row],[Raw Amount]])</f>
        <v>-30.92</v>
      </c>
      <c r="J81" s="17">
        <f>ABS(Log_2018[[#This Row],[Amount]])</f>
        <v>30.92</v>
      </c>
      <c r="K81" s="66">
        <v>1</v>
      </c>
      <c r="L81" s="66">
        <f ca="1">IF(Log_2018[[#This Row],[Date]]&lt;=TODAY(), MIN(Log_2018[[#This Row],[Split_raw]], TODAY()-Log_2018[[#This Row],[Date]]+1), 0)</f>
        <v>1</v>
      </c>
      <c r="M81" t="s">
        <v>37</v>
      </c>
      <c r="N81" t="s">
        <v>158</v>
      </c>
      <c r="O81" s="50">
        <v>0</v>
      </c>
      <c r="P81" s="52">
        <f ca="1">Log_2018[[#This Row],[Amount]]/Log_2018[[#This Row],[Split_raw]]*MAX(0,MIN(_xlfn.DAYS(EDATE(P$1,1),Log_2018[[#This Row],[Date]]),Log_2018[[#This Row],[Split_apply]])) - SUM($O81:O81)</f>
        <v>0</v>
      </c>
      <c r="Q81" s="52">
        <f ca="1">Log_2018[[#This Row],[Amount]]/Log_2018[[#This Row],[Split_raw]]*MAX(0,MIN(_xlfn.DAYS(EDATE(Q$1,1),Log_2018[[#This Row],[Date]]),Log_2018[[#This Row],[Split_apply]])) - SUM($O81:P81)</f>
        <v>0</v>
      </c>
      <c r="R81" s="52">
        <f ca="1">Log_2018[[#This Row],[Amount]]/Log_2018[[#This Row],[Split_raw]]*MAX(0,MIN(_xlfn.DAYS(EDATE(R$1,1),Log_2018[[#This Row],[Date]]),Log_2018[[#This Row],[Split_apply]])) - SUM($O81:Q81)</f>
        <v>0</v>
      </c>
      <c r="S81" s="52">
        <f ca="1">Log_2018[[#This Row],[Amount]]/Log_2018[[#This Row],[Split_raw]]*MAX(0,MIN(_xlfn.DAYS(EDATE(S$1,1),Log_2018[[#This Row],[Date]]),Log_2018[[#This Row],[Split_apply]])) - SUM($O81:R81)</f>
        <v>0</v>
      </c>
      <c r="T81" s="52">
        <f ca="1">Log_2018[[#This Row],[Amount]]/Log_2018[[#This Row],[Split_raw]]*MAX(0,MIN(_xlfn.DAYS(EDATE(T$1,1),Log_2018[[#This Row],[Date]]),Log_2018[[#This Row],[Split_apply]])) - SUM($O81:S81)</f>
        <v>0</v>
      </c>
      <c r="U81" s="52">
        <f ca="1">Log_2018[[#This Row],[Amount]]/Log_2018[[#This Row],[Split_raw]]*MAX(0,MIN(_xlfn.DAYS(EDATE(U$1,1),Log_2018[[#This Row],[Date]]),Log_2018[[#This Row],[Split_apply]])) - SUM($O81:T81)</f>
        <v>0</v>
      </c>
      <c r="V81" s="52">
        <f ca="1">Log_2018[[#This Row],[Amount]]/Log_2018[[#This Row],[Split_raw]]*MAX(0,MIN(_xlfn.DAYS(EDATE(V$1,1),Log_2018[[#This Row],[Date]]),Log_2018[[#This Row],[Split_apply]])) - SUM($O81:U81)</f>
        <v>0</v>
      </c>
      <c r="W81" s="52">
        <f ca="1">Log_2018[[#This Row],[Amount]]/Log_2018[[#This Row],[Split_raw]]*MAX(0,MIN(_xlfn.DAYS(EDATE(W$1,1),Log_2018[[#This Row],[Date]]),Log_2018[[#This Row],[Split_apply]])) - SUM($O81:V81)</f>
        <v>0</v>
      </c>
      <c r="X81" s="52">
        <f ca="1">Log_2018[[#This Row],[Amount]]/Log_2018[[#This Row],[Split_raw]]*MAX(0,MIN(_xlfn.DAYS(EDATE(X$1,1),Log_2018[[#This Row],[Date]]),Log_2018[[#This Row],[Split_apply]])) - SUM($O81:W81)</f>
        <v>0</v>
      </c>
      <c r="Y81" s="52">
        <f ca="1">Log_2018[[#This Row],[Amount]]/Log_2018[[#This Row],[Split_raw]]*MAX(0,MIN(_xlfn.DAYS(EDATE(Y$1,1),Log_2018[[#This Row],[Date]]),Log_2018[[#This Row],[Split_apply]])) - SUM($O81:X81)</f>
        <v>0</v>
      </c>
      <c r="Z81" s="52">
        <f ca="1">Log_2018[[#This Row],[Amount]]/Log_2018[[#This Row],[Split_raw]]*MAX(0,MIN(_xlfn.DAYS(EDATE(Z$1,1),Log_2018[[#This Row],[Date]]),Log_2018[[#This Row],[Split_apply]])) - SUM($O81:Y81)</f>
        <v>-30.92</v>
      </c>
      <c r="AA81" s="52">
        <f ca="1">Log_2018[[#This Row],[Amount]]/Log_2018[[#This Row],[Split_raw]]*MAX(0,MIN(_xlfn.DAYS(EDATE(AA$1,1),Log_2018[[#This Row],[Date]]),Log_2018[[#This Row],[Split_apply]])) - SUM($O81:Z81)</f>
        <v>0</v>
      </c>
      <c r="AB81" s="54">
        <f ca="1">Log_2018[[#This Row],[Amount]]-SUM(O81:AA81)</f>
        <v>0</v>
      </c>
      <c r="AC81" s="7">
        <f ca="1">MAX(0,Log_2018[[#This Row],[Split_apply]] - (EDATE(AA$1,1)-Log_2018[[#This Row],[Date]]))</f>
        <v>0</v>
      </c>
    </row>
    <row r="82" spans="1:29" hidden="1" x14ac:dyDescent="0.25">
      <c r="A82" s="115"/>
      <c r="B82" t="s">
        <v>6</v>
      </c>
      <c r="D82" s="39">
        <v>43430</v>
      </c>
      <c r="E82" t="s">
        <v>876</v>
      </c>
      <c r="F82" t="s">
        <v>440</v>
      </c>
      <c r="G82" t="s">
        <v>11</v>
      </c>
      <c r="H82" s="3">
        <v>-20.059999999999999</v>
      </c>
      <c r="I82" s="36">
        <f>IF(Log_2018[[#This Row],[My Category]]="NONTRACKED",0,Log_2018[[#This Row],[Raw Amount]])</f>
        <v>-20.059999999999999</v>
      </c>
      <c r="J82" s="17">
        <f>ABS(Log_2018[[#This Row],[Amount]])</f>
        <v>20.059999999999999</v>
      </c>
      <c r="K82" s="66">
        <v>1</v>
      </c>
      <c r="L82" s="66">
        <f ca="1">IF(Log_2018[[#This Row],[Date]]&lt;=TODAY(), MIN(Log_2018[[#This Row],[Split_raw]], TODAY()-Log_2018[[#This Row],[Date]]+1), 0)</f>
        <v>1</v>
      </c>
      <c r="M82" t="s">
        <v>37</v>
      </c>
      <c r="N82" t="s">
        <v>158</v>
      </c>
      <c r="O82" s="50">
        <v>0</v>
      </c>
      <c r="P82" s="52">
        <f ca="1">Log_2018[[#This Row],[Amount]]/Log_2018[[#This Row],[Split_raw]]*MAX(0,MIN(_xlfn.DAYS(EDATE(P$1,1),Log_2018[[#This Row],[Date]]),Log_2018[[#This Row],[Split_apply]])) - SUM($O82:O82)</f>
        <v>0</v>
      </c>
      <c r="Q82" s="52">
        <f ca="1">Log_2018[[#This Row],[Amount]]/Log_2018[[#This Row],[Split_raw]]*MAX(0,MIN(_xlfn.DAYS(EDATE(Q$1,1),Log_2018[[#This Row],[Date]]),Log_2018[[#This Row],[Split_apply]])) - SUM($O82:P82)</f>
        <v>0</v>
      </c>
      <c r="R82" s="52">
        <f ca="1">Log_2018[[#This Row],[Amount]]/Log_2018[[#This Row],[Split_raw]]*MAX(0,MIN(_xlfn.DAYS(EDATE(R$1,1),Log_2018[[#This Row],[Date]]),Log_2018[[#This Row],[Split_apply]])) - SUM($O82:Q82)</f>
        <v>0</v>
      </c>
      <c r="S82" s="52">
        <f ca="1">Log_2018[[#This Row],[Amount]]/Log_2018[[#This Row],[Split_raw]]*MAX(0,MIN(_xlfn.DAYS(EDATE(S$1,1),Log_2018[[#This Row],[Date]]),Log_2018[[#This Row],[Split_apply]])) - SUM($O82:R82)</f>
        <v>0</v>
      </c>
      <c r="T82" s="52">
        <f ca="1">Log_2018[[#This Row],[Amount]]/Log_2018[[#This Row],[Split_raw]]*MAX(0,MIN(_xlfn.DAYS(EDATE(T$1,1),Log_2018[[#This Row],[Date]]),Log_2018[[#This Row],[Split_apply]])) - SUM($O82:S82)</f>
        <v>0</v>
      </c>
      <c r="U82" s="52">
        <f ca="1">Log_2018[[#This Row],[Amount]]/Log_2018[[#This Row],[Split_raw]]*MAX(0,MIN(_xlfn.DAYS(EDATE(U$1,1),Log_2018[[#This Row],[Date]]),Log_2018[[#This Row],[Split_apply]])) - SUM($O82:T82)</f>
        <v>0</v>
      </c>
      <c r="V82" s="52">
        <f ca="1">Log_2018[[#This Row],[Amount]]/Log_2018[[#This Row],[Split_raw]]*MAX(0,MIN(_xlfn.DAYS(EDATE(V$1,1),Log_2018[[#This Row],[Date]]),Log_2018[[#This Row],[Split_apply]])) - SUM($O82:U82)</f>
        <v>0</v>
      </c>
      <c r="W82" s="52">
        <f ca="1">Log_2018[[#This Row],[Amount]]/Log_2018[[#This Row],[Split_raw]]*MAX(0,MIN(_xlfn.DAYS(EDATE(W$1,1),Log_2018[[#This Row],[Date]]),Log_2018[[#This Row],[Split_apply]])) - SUM($O82:V82)</f>
        <v>0</v>
      </c>
      <c r="X82" s="52">
        <f ca="1">Log_2018[[#This Row],[Amount]]/Log_2018[[#This Row],[Split_raw]]*MAX(0,MIN(_xlfn.DAYS(EDATE(X$1,1),Log_2018[[#This Row],[Date]]),Log_2018[[#This Row],[Split_apply]])) - SUM($O82:W82)</f>
        <v>0</v>
      </c>
      <c r="Y82" s="52">
        <f ca="1">Log_2018[[#This Row],[Amount]]/Log_2018[[#This Row],[Split_raw]]*MAX(0,MIN(_xlfn.DAYS(EDATE(Y$1,1),Log_2018[[#This Row],[Date]]),Log_2018[[#This Row],[Split_apply]])) - SUM($O82:X82)</f>
        <v>0</v>
      </c>
      <c r="Z82" s="52">
        <f ca="1">Log_2018[[#This Row],[Amount]]/Log_2018[[#This Row],[Split_raw]]*MAX(0,MIN(_xlfn.DAYS(EDATE(Z$1,1),Log_2018[[#This Row],[Date]]),Log_2018[[#This Row],[Split_apply]])) - SUM($O82:Y82)</f>
        <v>-20.059999999999999</v>
      </c>
      <c r="AA82" s="52">
        <f ca="1">Log_2018[[#This Row],[Amount]]/Log_2018[[#This Row],[Split_raw]]*MAX(0,MIN(_xlfn.DAYS(EDATE(AA$1,1),Log_2018[[#This Row],[Date]]),Log_2018[[#This Row],[Split_apply]])) - SUM($O82:Z82)</f>
        <v>0</v>
      </c>
      <c r="AB82" s="54">
        <f ca="1">Log_2018[[#This Row],[Amount]]-SUM(O82:AA82)</f>
        <v>0</v>
      </c>
      <c r="AC82" s="7">
        <f ca="1">MAX(0,Log_2018[[#This Row],[Split_apply]] - (EDATE(AA$1,1)-Log_2018[[#This Row],[Date]]))</f>
        <v>0</v>
      </c>
    </row>
    <row r="83" spans="1:29" hidden="1" x14ac:dyDescent="0.25">
      <c r="A83" s="115"/>
      <c r="B83" t="s">
        <v>6</v>
      </c>
      <c r="D83" s="39">
        <v>43430</v>
      </c>
      <c r="F83" t="s">
        <v>441</v>
      </c>
      <c r="G83" t="s">
        <v>11</v>
      </c>
      <c r="H83" s="3">
        <v>-9.73</v>
      </c>
      <c r="I83" s="36">
        <f>IF(Log_2018[[#This Row],[My Category]]="NONTRACKED",0,Log_2018[[#This Row],[Raw Amount]])</f>
        <v>-9.73</v>
      </c>
      <c r="J83" s="17">
        <f>ABS(Log_2018[[#This Row],[Amount]])</f>
        <v>9.73</v>
      </c>
      <c r="K83" s="66">
        <v>1</v>
      </c>
      <c r="L83" s="66">
        <f ca="1">IF(Log_2018[[#This Row],[Date]]&lt;=TODAY(), MIN(Log_2018[[#This Row],[Split_raw]], TODAY()-Log_2018[[#This Row],[Date]]+1), 0)</f>
        <v>1</v>
      </c>
      <c r="M83" t="s">
        <v>35</v>
      </c>
      <c r="N83" t="s">
        <v>158</v>
      </c>
      <c r="O83" s="50">
        <v>0</v>
      </c>
      <c r="P83" s="52">
        <f ca="1">Log_2018[[#This Row],[Amount]]/Log_2018[[#This Row],[Split_raw]]*MAX(0,MIN(_xlfn.DAYS(EDATE(P$1,1),Log_2018[[#This Row],[Date]]),Log_2018[[#This Row],[Split_apply]])) - SUM($O83:O83)</f>
        <v>0</v>
      </c>
      <c r="Q83" s="52">
        <f ca="1">Log_2018[[#This Row],[Amount]]/Log_2018[[#This Row],[Split_raw]]*MAX(0,MIN(_xlfn.DAYS(EDATE(Q$1,1),Log_2018[[#This Row],[Date]]),Log_2018[[#This Row],[Split_apply]])) - SUM($O83:P83)</f>
        <v>0</v>
      </c>
      <c r="R83" s="52">
        <f ca="1">Log_2018[[#This Row],[Amount]]/Log_2018[[#This Row],[Split_raw]]*MAX(0,MIN(_xlfn.DAYS(EDATE(R$1,1),Log_2018[[#This Row],[Date]]),Log_2018[[#This Row],[Split_apply]])) - SUM($O83:Q83)</f>
        <v>0</v>
      </c>
      <c r="S83" s="52">
        <f ca="1">Log_2018[[#This Row],[Amount]]/Log_2018[[#This Row],[Split_raw]]*MAX(0,MIN(_xlfn.DAYS(EDATE(S$1,1),Log_2018[[#This Row],[Date]]),Log_2018[[#This Row],[Split_apply]])) - SUM($O83:R83)</f>
        <v>0</v>
      </c>
      <c r="T83" s="52">
        <f ca="1">Log_2018[[#This Row],[Amount]]/Log_2018[[#This Row],[Split_raw]]*MAX(0,MIN(_xlfn.DAYS(EDATE(T$1,1),Log_2018[[#This Row],[Date]]),Log_2018[[#This Row],[Split_apply]])) - SUM($O83:S83)</f>
        <v>0</v>
      </c>
      <c r="U83" s="52">
        <f ca="1">Log_2018[[#This Row],[Amount]]/Log_2018[[#This Row],[Split_raw]]*MAX(0,MIN(_xlfn.DAYS(EDATE(U$1,1),Log_2018[[#This Row],[Date]]),Log_2018[[#This Row],[Split_apply]])) - SUM($O83:T83)</f>
        <v>0</v>
      </c>
      <c r="V83" s="52">
        <f ca="1">Log_2018[[#This Row],[Amount]]/Log_2018[[#This Row],[Split_raw]]*MAX(0,MIN(_xlfn.DAYS(EDATE(V$1,1),Log_2018[[#This Row],[Date]]),Log_2018[[#This Row],[Split_apply]])) - SUM($O83:U83)</f>
        <v>0</v>
      </c>
      <c r="W83" s="52">
        <f ca="1">Log_2018[[#This Row],[Amount]]/Log_2018[[#This Row],[Split_raw]]*MAX(0,MIN(_xlfn.DAYS(EDATE(W$1,1),Log_2018[[#This Row],[Date]]),Log_2018[[#This Row],[Split_apply]])) - SUM($O83:V83)</f>
        <v>0</v>
      </c>
      <c r="X83" s="52">
        <f ca="1">Log_2018[[#This Row],[Amount]]/Log_2018[[#This Row],[Split_raw]]*MAX(0,MIN(_xlfn.DAYS(EDATE(X$1,1),Log_2018[[#This Row],[Date]]),Log_2018[[#This Row],[Split_apply]])) - SUM($O83:W83)</f>
        <v>0</v>
      </c>
      <c r="Y83" s="52">
        <f ca="1">Log_2018[[#This Row],[Amount]]/Log_2018[[#This Row],[Split_raw]]*MAX(0,MIN(_xlfn.DAYS(EDATE(Y$1,1),Log_2018[[#This Row],[Date]]),Log_2018[[#This Row],[Split_apply]])) - SUM($O83:X83)</f>
        <v>0</v>
      </c>
      <c r="Z83" s="52">
        <f ca="1">Log_2018[[#This Row],[Amount]]/Log_2018[[#This Row],[Split_raw]]*MAX(0,MIN(_xlfn.DAYS(EDATE(Z$1,1),Log_2018[[#This Row],[Date]]),Log_2018[[#This Row],[Split_apply]])) - SUM($O83:Y83)</f>
        <v>-9.73</v>
      </c>
      <c r="AA83" s="52">
        <f ca="1">Log_2018[[#This Row],[Amount]]/Log_2018[[#This Row],[Split_raw]]*MAX(0,MIN(_xlfn.DAYS(EDATE(AA$1,1),Log_2018[[#This Row],[Date]]),Log_2018[[#This Row],[Split_apply]])) - SUM($O83:Z83)</f>
        <v>0</v>
      </c>
      <c r="AB83" s="54">
        <f ca="1">Log_2018[[#This Row],[Amount]]-SUM(O83:AA83)</f>
        <v>0</v>
      </c>
      <c r="AC83" s="7">
        <f ca="1">MAX(0,Log_2018[[#This Row],[Split_apply]] - (EDATE(AA$1,1)-Log_2018[[#This Row],[Date]]))</f>
        <v>0</v>
      </c>
    </row>
    <row r="84" spans="1:29" hidden="1" x14ac:dyDescent="0.25">
      <c r="A84" s="115"/>
      <c r="B84" t="s">
        <v>6</v>
      </c>
      <c r="D84" s="39">
        <v>43430</v>
      </c>
      <c r="F84" t="s">
        <v>442</v>
      </c>
      <c r="G84" t="s">
        <v>11</v>
      </c>
      <c r="H84" s="3">
        <v>-16.989999999999998</v>
      </c>
      <c r="I84" s="36">
        <f>IF(Log_2018[[#This Row],[My Category]]="NONTRACKED",0,Log_2018[[#This Row],[Raw Amount]])</f>
        <v>-16.989999999999998</v>
      </c>
      <c r="J84" s="17">
        <f>ABS(Log_2018[[#This Row],[Amount]])</f>
        <v>16.989999999999998</v>
      </c>
      <c r="K84" s="66">
        <v>1</v>
      </c>
      <c r="L84" s="66">
        <f ca="1">IF(Log_2018[[#This Row],[Date]]&lt;=TODAY(), MIN(Log_2018[[#This Row],[Split_raw]], TODAY()-Log_2018[[#This Row],[Date]]+1), 0)</f>
        <v>1</v>
      </c>
      <c r="M84" t="s">
        <v>366</v>
      </c>
      <c r="N84" t="s">
        <v>158</v>
      </c>
      <c r="O84" s="50">
        <v>0</v>
      </c>
      <c r="P84" s="52">
        <f ca="1">Log_2018[[#This Row],[Amount]]/Log_2018[[#This Row],[Split_raw]]*MAX(0,MIN(_xlfn.DAYS(EDATE(P$1,1),Log_2018[[#This Row],[Date]]),Log_2018[[#This Row],[Split_apply]])) - SUM($O84:O84)</f>
        <v>0</v>
      </c>
      <c r="Q84" s="52">
        <f ca="1">Log_2018[[#This Row],[Amount]]/Log_2018[[#This Row],[Split_raw]]*MAX(0,MIN(_xlfn.DAYS(EDATE(Q$1,1),Log_2018[[#This Row],[Date]]),Log_2018[[#This Row],[Split_apply]])) - SUM($O84:P84)</f>
        <v>0</v>
      </c>
      <c r="R84" s="52">
        <f ca="1">Log_2018[[#This Row],[Amount]]/Log_2018[[#This Row],[Split_raw]]*MAX(0,MIN(_xlfn.DAYS(EDATE(R$1,1),Log_2018[[#This Row],[Date]]),Log_2018[[#This Row],[Split_apply]])) - SUM($O84:Q84)</f>
        <v>0</v>
      </c>
      <c r="S84" s="52">
        <f ca="1">Log_2018[[#This Row],[Amount]]/Log_2018[[#This Row],[Split_raw]]*MAX(0,MIN(_xlfn.DAYS(EDATE(S$1,1),Log_2018[[#This Row],[Date]]),Log_2018[[#This Row],[Split_apply]])) - SUM($O84:R84)</f>
        <v>0</v>
      </c>
      <c r="T84" s="52">
        <f ca="1">Log_2018[[#This Row],[Amount]]/Log_2018[[#This Row],[Split_raw]]*MAX(0,MIN(_xlfn.DAYS(EDATE(T$1,1),Log_2018[[#This Row],[Date]]),Log_2018[[#This Row],[Split_apply]])) - SUM($O84:S84)</f>
        <v>0</v>
      </c>
      <c r="U84" s="52">
        <f ca="1">Log_2018[[#This Row],[Amount]]/Log_2018[[#This Row],[Split_raw]]*MAX(0,MIN(_xlfn.DAYS(EDATE(U$1,1),Log_2018[[#This Row],[Date]]),Log_2018[[#This Row],[Split_apply]])) - SUM($O84:T84)</f>
        <v>0</v>
      </c>
      <c r="V84" s="52">
        <f ca="1">Log_2018[[#This Row],[Amount]]/Log_2018[[#This Row],[Split_raw]]*MAX(0,MIN(_xlfn.DAYS(EDATE(V$1,1),Log_2018[[#This Row],[Date]]),Log_2018[[#This Row],[Split_apply]])) - SUM($O84:U84)</f>
        <v>0</v>
      </c>
      <c r="W84" s="52">
        <f ca="1">Log_2018[[#This Row],[Amount]]/Log_2018[[#This Row],[Split_raw]]*MAX(0,MIN(_xlfn.DAYS(EDATE(W$1,1),Log_2018[[#This Row],[Date]]),Log_2018[[#This Row],[Split_apply]])) - SUM($O84:V84)</f>
        <v>0</v>
      </c>
      <c r="X84" s="52">
        <f ca="1">Log_2018[[#This Row],[Amount]]/Log_2018[[#This Row],[Split_raw]]*MAX(0,MIN(_xlfn.DAYS(EDATE(X$1,1),Log_2018[[#This Row],[Date]]),Log_2018[[#This Row],[Split_apply]])) - SUM($O84:W84)</f>
        <v>0</v>
      </c>
      <c r="Y84" s="52">
        <f ca="1">Log_2018[[#This Row],[Amount]]/Log_2018[[#This Row],[Split_raw]]*MAX(0,MIN(_xlfn.DAYS(EDATE(Y$1,1),Log_2018[[#This Row],[Date]]),Log_2018[[#This Row],[Split_apply]])) - SUM($O84:X84)</f>
        <v>0</v>
      </c>
      <c r="Z84" s="52">
        <f ca="1">Log_2018[[#This Row],[Amount]]/Log_2018[[#This Row],[Split_raw]]*MAX(0,MIN(_xlfn.DAYS(EDATE(Z$1,1),Log_2018[[#This Row],[Date]]),Log_2018[[#This Row],[Split_apply]])) - SUM($O84:Y84)</f>
        <v>-16.989999999999998</v>
      </c>
      <c r="AA84" s="52">
        <f ca="1">Log_2018[[#This Row],[Amount]]/Log_2018[[#This Row],[Split_raw]]*MAX(0,MIN(_xlfn.DAYS(EDATE(AA$1,1),Log_2018[[#This Row],[Date]]),Log_2018[[#This Row],[Split_apply]])) - SUM($O84:Z84)</f>
        <v>0</v>
      </c>
      <c r="AB84" s="54">
        <f ca="1">Log_2018[[#This Row],[Amount]]-SUM(O84:AA84)</f>
        <v>0</v>
      </c>
      <c r="AC84" s="7">
        <f ca="1">MAX(0,Log_2018[[#This Row],[Split_apply]] - (EDATE(AA$1,1)-Log_2018[[#This Row],[Date]]))</f>
        <v>0</v>
      </c>
    </row>
    <row r="85" spans="1:29" hidden="1" x14ac:dyDescent="0.25">
      <c r="A85" s="115"/>
      <c r="B85" t="s">
        <v>6</v>
      </c>
      <c r="D85" s="39">
        <v>43429</v>
      </c>
      <c r="F85" t="s">
        <v>443</v>
      </c>
      <c r="G85" t="s">
        <v>11</v>
      </c>
      <c r="H85" s="3">
        <v>-37.93</v>
      </c>
      <c r="I85" s="36">
        <f>IF(Log_2018[[#This Row],[My Category]]="NONTRACKED",0,Log_2018[[#This Row],[Raw Amount]])</f>
        <v>-37.93</v>
      </c>
      <c r="J85" s="17">
        <f>ABS(Log_2018[[#This Row],[Amount]])</f>
        <v>37.93</v>
      </c>
      <c r="K85" s="66">
        <v>1</v>
      </c>
      <c r="L85" s="66">
        <f ca="1">IF(Log_2018[[#This Row],[Date]]&lt;=TODAY(), MIN(Log_2018[[#This Row],[Split_raw]], TODAY()-Log_2018[[#This Row],[Date]]+1), 0)</f>
        <v>1</v>
      </c>
      <c r="M85" t="s">
        <v>366</v>
      </c>
      <c r="N85" t="s">
        <v>158</v>
      </c>
      <c r="O85" s="50">
        <v>0</v>
      </c>
      <c r="P85" s="52">
        <f ca="1">Log_2018[[#This Row],[Amount]]/Log_2018[[#This Row],[Split_raw]]*MAX(0,MIN(_xlfn.DAYS(EDATE(P$1,1),Log_2018[[#This Row],[Date]]),Log_2018[[#This Row],[Split_apply]])) - SUM($O85:O85)</f>
        <v>0</v>
      </c>
      <c r="Q85" s="52">
        <f ca="1">Log_2018[[#This Row],[Amount]]/Log_2018[[#This Row],[Split_raw]]*MAX(0,MIN(_xlfn.DAYS(EDATE(Q$1,1),Log_2018[[#This Row],[Date]]),Log_2018[[#This Row],[Split_apply]])) - SUM($O85:P85)</f>
        <v>0</v>
      </c>
      <c r="R85" s="52">
        <f ca="1">Log_2018[[#This Row],[Amount]]/Log_2018[[#This Row],[Split_raw]]*MAX(0,MIN(_xlfn.DAYS(EDATE(R$1,1),Log_2018[[#This Row],[Date]]),Log_2018[[#This Row],[Split_apply]])) - SUM($O85:Q85)</f>
        <v>0</v>
      </c>
      <c r="S85" s="52">
        <f ca="1">Log_2018[[#This Row],[Amount]]/Log_2018[[#This Row],[Split_raw]]*MAX(0,MIN(_xlfn.DAYS(EDATE(S$1,1),Log_2018[[#This Row],[Date]]),Log_2018[[#This Row],[Split_apply]])) - SUM($O85:R85)</f>
        <v>0</v>
      </c>
      <c r="T85" s="52">
        <f ca="1">Log_2018[[#This Row],[Amount]]/Log_2018[[#This Row],[Split_raw]]*MAX(0,MIN(_xlfn.DAYS(EDATE(T$1,1),Log_2018[[#This Row],[Date]]),Log_2018[[#This Row],[Split_apply]])) - SUM($O85:S85)</f>
        <v>0</v>
      </c>
      <c r="U85" s="52">
        <f ca="1">Log_2018[[#This Row],[Amount]]/Log_2018[[#This Row],[Split_raw]]*MAX(0,MIN(_xlfn.DAYS(EDATE(U$1,1),Log_2018[[#This Row],[Date]]),Log_2018[[#This Row],[Split_apply]])) - SUM($O85:T85)</f>
        <v>0</v>
      </c>
      <c r="V85" s="52">
        <f ca="1">Log_2018[[#This Row],[Amount]]/Log_2018[[#This Row],[Split_raw]]*MAX(0,MIN(_xlfn.DAYS(EDATE(V$1,1),Log_2018[[#This Row],[Date]]),Log_2018[[#This Row],[Split_apply]])) - SUM($O85:U85)</f>
        <v>0</v>
      </c>
      <c r="W85" s="52">
        <f ca="1">Log_2018[[#This Row],[Amount]]/Log_2018[[#This Row],[Split_raw]]*MAX(0,MIN(_xlfn.DAYS(EDATE(W$1,1),Log_2018[[#This Row],[Date]]),Log_2018[[#This Row],[Split_apply]])) - SUM($O85:V85)</f>
        <v>0</v>
      </c>
      <c r="X85" s="52">
        <f ca="1">Log_2018[[#This Row],[Amount]]/Log_2018[[#This Row],[Split_raw]]*MAX(0,MIN(_xlfn.DAYS(EDATE(X$1,1),Log_2018[[#This Row],[Date]]),Log_2018[[#This Row],[Split_apply]])) - SUM($O85:W85)</f>
        <v>0</v>
      </c>
      <c r="Y85" s="52">
        <f ca="1">Log_2018[[#This Row],[Amount]]/Log_2018[[#This Row],[Split_raw]]*MAX(0,MIN(_xlfn.DAYS(EDATE(Y$1,1),Log_2018[[#This Row],[Date]]),Log_2018[[#This Row],[Split_apply]])) - SUM($O85:X85)</f>
        <v>0</v>
      </c>
      <c r="Z85" s="52">
        <f ca="1">Log_2018[[#This Row],[Amount]]/Log_2018[[#This Row],[Split_raw]]*MAX(0,MIN(_xlfn.DAYS(EDATE(Z$1,1),Log_2018[[#This Row],[Date]]),Log_2018[[#This Row],[Split_apply]])) - SUM($O85:Y85)</f>
        <v>-37.93</v>
      </c>
      <c r="AA85" s="52">
        <f ca="1">Log_2018[[#This Row],[Amount]]/Log_2018[[#This Row],[Split_raw]]*MAX(0,MIN(_xlfn.DAYS(EDATE(AA$1,1),Log_2018[[#This Row],[Date]]),Log_2018[[#This Row],[Split_apply]])) - SUM($O85:Z85)</f>
        <v>0</v>
      </c>
      <c r="AB85" s="54">
        <f ca="1">Log_2018[[#This Row],[Amount]]-SUM(O85:AA85)</f>
        <v>0</v>
      </c>
      <c r="AC85" s="7">
        <f ca="1">MAX(0,Log_2018[[#This Row],[Split_apply]] - (EDATE(AA$1,1)-Log_2018[[#This Row],[Date]]))</f>
        <v>0</v>
      </c>
    </row>
    <row r="86" spans="1:29" hidden="1" x14ac:dyDescent="0.25">
      <c r="A86" s="115"/>
      <c r="B86" t="s">
        <v>6</v>
      </c>
      <c r="D86" s="39">
        <v>43429</v>
      </c>
      <c r="F86" t="s">
        <v>444</v>
      </c>
      <c r="G86" t="s">
        <v>25</v>
      </c>
      <c r="H86" s="3">
        <v>-16.22</v>
      </c>
      <c r="I86" s="36">
        <f>IF(Log_2018[[#This Row],[My Category]]="NONTRACKED",0,Log_2018[[#This Row],[Raw Amount]])</f>
        <v>-16.22</v>
      </c>
      <c r="J86" s="17">
        <f>ABS(Log_2018[[#This Row],[Amount]])</f>
        <v>16.22</v>
      </c>
      <c r="K86" s="66">
        <v>1</v>
      </c>
      <c r="L86" s="66">
        <f ca="1">IF(Log_2018[[#This Row],[Date]]&lt;=TODAY(), MIN(Log_2018[[#This Row],[Split_raw]], TODAY()-Log_2018[[#This Row],[Date]]+1), 0)</f>
        <v>1</v>
      </c>
      <c r="M86" t="s">
        <v>35</v>
      </c>
      <c r="N86" t="s">
        <v>158</v>
      </c>
      <c r="O86" s="50">
        <v>0</v>
      </c>
      <c r="P86" s="52">
        <f ca="1">Log_2018[[#This Row],[Amount]]/Log_2018[[#This Row],[Split_raw]]*MAX(0,MIN(_xlfn.DAYS(EDATE(P$1,1),Log_2018[[#This Row],[Date]]),Log_2018[[#This Row],[Split_apply]])) - SUM($O86:O86)</f>
        <v>0</v>
      </c>
      <c r="Q86" s="52">
        <f ca="1">Log_2018[[#This Row],[Amount]]/Log_2018[[#This Row],[Split_raw]]*MAX(0,MIN(_xlfn.DAYS(EDATE(Q$1,1),Log_2018[[#This Row],[Date]]),Log_2018[[#This Row],[Split_apply]])) - SUM($O86:P86)</f>
        <v>0</v>
      </c>
      <c r="R86" s="52">
        <f ca="1">Log_2018[[#This Row],[Amount]]/Log_2018[[#This Row],[Split_raw]]*MAX(0,MIN(_xlfn.DAYS(EDATE(R$1,1),Log_2018[[#This Row],[Date]]),Log_2018[[#This Row],[Split_apply]])) - SUM($O86:Q86)</f>
        <v>0</v>
      </c>
      <c r="S86" s="52">
        <f ca="1">Log_2018[[#This Row],[Amount]]/Log_2018[[#This Row],[Split_raw]]*MAX(0,MIN(_xlfn.DAYS(EDATE(S$1,1),Log_2018[[#This Row],[Date]]),Log_2018[[#This Row],[Split_apply]])) - SUM($O86:R86)</f>
        <v>0</v>
      </c>
      <c r="T86" s="52">
        <f ca="1">Log_2018[[#This Row],[Amount]]/Log_2018[[#This Row],[Split_raw]]*MAX(0,MIN(_xlfn.DAYS(EDATE(T$1,1),Log_2018[[#This Row],[Date]]),Log_2018[[#This Row],[Split_apply]])) - SUM($O86:S86)</f>
        <v>0</v>
      </c>
      <c r="U86" s="52">
        <f ca="1">Log_2018[[#This Row],[Amount]]/Log_2018[[#This Row],[Split_raw]]*MAX(0,MIN(_xlfn.DAYS(EDATE(U$1,1),Log_2018[[#This Row],[Date]]),Log_2018[[#This Row],[Split_apply]])) - SUM($O86:T86)</f>
        <v>0</v>
      </c>
      <c r="V86" s="52">
        <f ca="1">Log_2018[[#This Row],[Amount]]/Log_2018[[#This Row],[Split_raw]]*MAX(0,MIN(_xlfn.DAYS(EDATE(V$1,1),Log_2018[[#This Row],[Date]]),Log_2018[[#This Row],[Split_apply]])) - SUM($O86:U86)</f>
        <v>0</v>
      </c>
      <c r="W86" s="52">
        <f ca="1">Log_2018[[#This Row],[Amount]]/Log_2018[[#This Row],[Split_raw]]*MAX(0,MIN(_xlfn.DAYS(EDATE(W$1,1),Log_2018[[#This Row],[Date]]),Log_2018[[#This Row],[Split_apply]])) - SUM($O86:V86)</f>
        <v>0</v>
      </c>
      <c r="X86" s="52">
        <f ca="1">Log_2018[[#This Row],[Amount]]/Log_2018[[#This Row],[Split_raw]]*MAX(0,MIN(_xlfn.DAYS(EDATE(X$1,1),Log_2018[[#This Row],[Date]]),Log_2018[[#This Row],[Split_apply]])) - SUM($O86:W86)</f>
        <v>0</v>
      </c>
      <c r="Y86" s="52">
        <f ca="1">Log_2018[[#This Row],[Amount]]/Log_2018[[#This Row],[Split_raw]]*MAX(0,MIN(_xlfn.DAYS(EDATE(Y$1,1),Log_2018[[#This Row],[Date]]),Log_2018[[#This Row],[Split_apply]])) - SUM($O86:X86)</f>
        <v>0</v>
      </c>
      <c r="Z86" s="52">
        <f ca="1">Log_2018[[#This Row],[Amount]]/Log_2018[[#This Row],[Split_raw]]*MAX(0,MIN(_xlfn.DAYS(EDATE(Z$1,1),Log_2018[[#This Row],[Date]]),Log_2018[[#This Row],[Split_apply]])) - SUM($O86:Y86)</f>
        <v>-16.22</v>
      </c>
      <c r="AA86" s="52">
        <f ca="1">Log_2018[[#This Row],[Amount]]/Log_2018[[#This Row],[Split_raw]]*MAX(0,MIN(_xlfn.DAYS(EDATE(AA$1,1),Log_2018[[#This Row],[Date]]),Log_2018[[#This Row],[Split_apply]])) - SUM($O86:Z86)</f>
        <v>0</v>
      </c>
      <c r="AB86" s="54">
        <f ca="1">Log_2018[[#This Row],[Amount]]-SUM(O86:AA86)</f>
        <v>0</v>
      </c>
      <c r="AC86" s="7">
        <f ca="1">MAX(0,Log_2018[[#This Row],[Split_apply]] - (EDATE(AA$1,1)-Log_2018[[#This Row],[Date]]))</f>
        <v>0</v>
      </c>
    </row>
    <row r="87" spans="1:29" hidden="1" x14ac:dyDescent="0.25">
      <c r="A87" s="115"/>
      <c r="B87" t="s">
        <v>6</v>
      </c>
      <c r="D87" s="39">
        <v>43425</v>
      </c>
      <c r="F87" t="s">
        <v>445</v>
      </c>
      <c r="G87" t="s">
        <v>25</v>
      </c>
      <c r="H87" s="3">
        <v>-20.64</v>
      </c>
      <c r="I87" s="36">
        <f>IF(Log_2018[[#This Row],[My Category]]="NONTRACKED",0,Log_2018[[#This Row],[Raw Amount]])</f>
        <v>-20.64</v>
      </c>
      <c r="J87" s="17">
        <f>ABS(Log_2018[[#This Row],[Amount]])</f>
        <v>20.64</v>
      </c>
      <c r="K87" s="66">
        <v>1</v>
      </c>
      <c r="L87" s="66">
        <f ca="1">IF(Log_2018[[#This Row],[Date]]&lt;=TODAY(), MIN(Log_2018[[#This Row],[Split_raw]], TODAY()-Log_2018[[#This Row],[Date]]+1), 0)</f>
        <v>1</v>
      </c>
      <c r="M87" t="s">
        <v>40</v>
      </c>
      <c r="N87" t="s">
        <v>158</v>
      </c>
      <c r="O87" s="50">
        <v>0</v>
      </c>
      <c r="P87" s="52">
        <f ca="1">Log_2018[[#This Row],[Amount]]/Log_2018[[#This Row],[Split_raw]]*MAX(0,MIN(_xlfn.DAYS(EDATE(P$1,1),Log_2018[[#This Row],[Date]]),Log_2018[[#This Row],[Split_apply]])) - SUM($O87:O87)</f>
        <v>0</v>
      </c>
      <c r="Q87" s="52">
        <f ca="1">Log_2018[[#This Row],[Amount]]/Log_2018[[#This Row],[Split_raw]]*MAX(0,MIN(_xlfn.DAYS(EDATE(Q$1,1),Log_2018[[#This Row],[Date]]),Log_2018[[#This Row],[Split_apply]])) - SUM($O87:P87)</f>
        <v>0</v>
      </c>
      <c r="R87" s="52">
        <f ca="1">Log_2018[[#This Row],[Amount]]/Log_2018[[#This Row],[Split_raw]]*MAX(0,MIN(_xlfn.DAYS(EDATE(R$1,1),Log_2018[[#This Row],[Date]]),Log_2018[[#This Row],[Split_apply]])) - SUM($O87:Q87)</f>
        <v>0</v>
      </c>
      <c r="S87" s="52">
        <f ca="1">Log_2018[[#This Row],[Amount]]/Log_2018[[#This Row],[Split_raw]]*MAX(0,MIN(_xlfn.DAYS(EDATE(S$1,1),Log_2018[[#This Row],[Date]]),Log_2018[[#This Row],[Split_apply]])) - SUM($O87:R87)</f>
        <v>0</v>
      </c>
      <c r="T87" s="52">
        <f ca="1">Log_2018[[#This Row],[Amount]]/Log_2018[[#This Row],[Split_raw]]*MAX(0,MIN(_xlfn.DAYS(EDATE(T$1,1),Log_2018[[#This Row],[Date]]),Log_2018[[#This Row],[Split_apply]])) - SUM($O87:S87)</f>
        <v>0</v>
      </c>
      <c r="U87" s="52">
        <f ca="1">Log_2018[[#This Row],[Amount]]/Log_2018[[#This Row],[Split_raw]]*MAX(0,MIN(_xlfn.DAYS(EDATE(U$1,1),Log_2018[[#This Row],[Date]]),Log_2018[[#This Row],[Split_apply]])) - SUM($O87:T87)</f>
        <v>0</v>
      </c>
      <c r="V87" s="52">
        <f ca="1">Log_2018[[#This Row],[Amount]]/Log_2018[[#This Row],[Split_raw]]*MAX(0,MIN(_xlfn.DAYS(EDATE(V$1,1),Log_2018[[#This Row],[Date]]),Log_2018[[#This Row],[Split_apply]])) - SUM($O87:U87)</f>
        <v>0</v>
      </c>
      <c r="W87" s="52">
        <f ca="1">Log_2018[[#This Row],[Amount]]/Log_2018[[#This Row],[Split_raw]]*MAX(0,MIN(_xlfn.DAYS(EDATE(W$1,1),Log_2018[[#This Row],[Date]]),Log_2018[[#This Row],[Split_apply]])) - SUM($O87:V87)</f>
        <v>0</v>
      </c>
      <c r="X87" s="52">
        <f ca="1">Log_2018[[#This Row],[Amount]]/Log_2018[[#This Row],[Split_raw]]*MAX(0,MIN(_xlfn.DAYS(EDATE(X$1,1),Log_2018[[#This Row],[Date]]),Log_2018[[#This Row],[Split_apply]])) - SUM($O87:W87)</f>
        <v>0</v>
      </c>
      <c r="Y87" s="52">
        <f ca="1">Log_2018[[#This Row],[Amount]]/Log_2018[[#This Row],[Split_raw]]*MAX(0,MIN(_xlfn.DAYS(EDATE(Y$1,1),Log_2018[[#This Row],[Date]]),Log_2018[[#This Row],[Split_apply]])) - SUM($O87:X87)</f>
        <v>0</v>
      </c>
      <c r="Z87" s="52">
        <f ca="1">Log_2018[[#This Row],[Amount]]/Log_2018[[#This Row],[Split_raw]]*MAX(0,MIN(_xlfn.DAYS(EDATE(Z$1,1),Log_2018[[#This Row],[Date]]),Log_2018[[#This Row],[Split_apply]])) - SUM($O87:Y87)</f>
        <v>-20.64</v>
      </c>
      <c r="AA87" s="52">
        <f ca="1">Log_2018[[#This Row],[Amount]]/Log_2018[[#This Row],[Split_raw]]*MAX(0,MIN(_xlfn.DAYS(EDATE(AA$1,1),Log_2018[[#This Row],[Date]]),Log_2018[[#This Row],[Split_apply]])) - SUM($O87:Z87)</f>
        <v>0</v>
      </c>
      <c r="AB87" s="54">
        <f ca="1">Log_2018[[#This Row],[Amount]]-SUM(O87:AA87)</f>
        <v>0</v>
      </c>
      <c r="AC87" s="7">
        <f ca="1">MAX(0,Log_2018[[#This Row],[Split_apply]] - (EDATE(AA$1,1)-Log_2018[[#This Row],[Date]]))</f>
        <v>0</v>
      </c>
    </row>
    <row r="88" spans="1:29" hidden="1" x14ac:dyDescent="0.25">
      <c r="A88" s="115"/>
      <c r="B88" t="s">
        <v>6</v>
      </c>
      <c r="D88" s="39">
        <v>43425</v>
      </c>
      <c r="F88" t="s">
        <v>338</v>
      </c>
      <c r="G88" t="s">
        <v>87</v>
      </c>
      <c r="H88" s="3">
        <f>--1886.53</f>
        <v>1886.53</v>
      </c>
      <c r="I88" s="36">
        <f>IF(Log_2018[[#This Row],[My Category]]="NONTRACKED",0,Log_2018[[#This Row],[Raw Amount]])</f>
        <v>1886.53</v>
      </c>
      <c r="J88" s="17">
        <f>ABS(Log_2018[[#This Row],[Amount]])</f>
        <v>1886.53</v>
      </c>
      <c r="K88" s="66">
        <v>14</v>
      </c>
      <c r="L88" s="66">
        <f ca="1">IF(Log_2018[[#This Row],[Date]]&lt;=TODAY(), MIN(Log_2018[[#This Row],[Split_raw]], TODAY()-Log_2018[[#This Row],[Date]]+1), 0)</f>
        <v>14</v>
      </c>
      <c r="M88" t="s">
        <v>91</v>
      </c>
      <c r="N88" t="s">
        <v>160</v>
      </c>
      <c r="O88" s="50">
        <v>0</v>
      </c>
      <c r="P88" s="52">
        <f ca="1">Log_2018[[#This Row],[Amount]]/Log_2018[[#This Row],[Split_raw]]*MAX(0,MIN(_xlfn.DAYS(EDATE(P$1,1),Log_2018[[#This Row],[Date]]),Log_2018[[#This Row],[Split_apply]])) - SUM($O88:O88)</f>
        <v>0</v>
      </c>
      <c r="Q88" s="52">
        <f ca="1">Log_2018[[#This Row],[Amount]]/Log_2018[[#This Row],[Split_raw]]*MAX(0,MIN(_xlfn.DAYS(EDATE(Q$1,1),Log_2018[[#This Row],[Date]]),Log_2018[[#This Row],[Split_apply]])) - SUM($O88:P88)</f>
        <v>0</v>
      </c>
      <c r="R88" s="52">
        <f ca="1">Log_2018[[#This Row],[Amount]]/Log_2018[[#This Row],[Split_raw]]*MAX(0,MIN(_xlfn.DAYS(EDATE(R$1,1),Log_2018[[#This Row],[Date]]),Log_2018[[#This Row],[Split_apply]])) - SUM($O88:Q88)</f>
        <v>0</v>
      </c>
      <c r="S88" s="52">
        <f ca="1">Log_2018[[#This Row],[Amount]]/Log_2018[[#This Row],[Split_raw]]*MAX(0,MIN(_xlfn.DAYS(EDATE(S$1,1),Log_2018[[#This Row],[Date]]),Log_2018[[#This Row],[Split_apply]])) - SUM($O88:R88)</f>
        <v>0</v>
      </c>
      <c r="T88" s="52">
        <f ca="1">Log_2018[[#This Row],[Amount]]/Log_2018[[#This Row],[Split_raw]]*MAX(0,MIN(_xlfn.DAYS(EDATE(T$1,1),Log_2018[[#This Row],[Date]]),Log_2018[[#This Row],[Split_apply]])) - SUM($O88:S88)</f>
        <v>0</v>
      </c>
      <c r="U88" s="52">
        <f ca="1">Log_2018[[#This Row],[Amount]]/Log_2018[[#This Row],[Split_raw]]*MAX(0,MIN(_xlfn.DAYS(EDATE(U$1,1),Log_2018[[#This Row],[Date]]),Log_2018[[#This Row],[Split_apply]])) - SUM($O88:T88)</f>
        <v>0</v>
      </c>
      <c r="V88" s="52">
        <f ca="1">Log_2018[[#This Row],[Amount]]/Log_2018[[#This Row],[Split_raw]]*MAX(0,MIN(_xlfn.DAYS(EDATE(V$1,1),Log_2018[[#This Row],[Date]]),Log_2018[[#This Row],[Split_apply]])) - SUM($O88:U88)</f>
        <v>0</v>
      </c>
      <c r="W88" s="52">
        <f ca="1">Log_2018[[#This Row],[Amount]]/Log_2018[[#This Row],[Split_raw]]*MAX(0,MIN(_xlfn.DAYS(EDATE(W$1,1),Log_2018[[#This Row],[Date]]),Log_2018[[#This Row],[Split_apply]])) - SUM($O88:V88)</f>
        <v>0</v>
      </c>
      <c r="X88" s="52">
        <f ca="1">Log_2018[[#This Row],[Amount]]/Log_2018[[#This Row],[Split_raw]]*MAX(0,MIN(_xlfn.DAYS(EDATE(X$1,1),Log_2018[[#This Row],[Date]]),Log_2018[[#This Row],[Split_apply]])) - SUM($O88:W88)</f>
        <v>0</v>
      </c>
      <c r="Y88" s="52">
        <f ca="1">Log_2018[[#This Row],[Amount]]/Log_2018[[#This Row],[Split_raw]]*MAX(0,MIN(_xlfn.DAYS(EDATE(Y$1,1),Log_2018[[#This Row],[Date]]),Log_2018[[#This Row],[Split_apply]])) - SUM($O88:X88)</f>
        <v>0</v>
      </c>
      <c r="Z88" s="52">
        <f ca="1">Log_2018[[#This Row],[Amount]]/Log_2018[[#This Row],[Split_raw]]*MAX(0,MIN(_xlfn.DAYS(EDATE(Z$1,1),Log_2018[[#This Row],[Date]]),Log_2018[[#This Row],[Split_apply]])) - SUM($O88:Y88)</f>
        <v>1347.5214285714285</v>
      </c>
      <c r="AA88" s="52">
        <f ca="1">Log_2018[[#This Row],[Amount]]/Log_2018[[#This Row],[Split_raw]]*MAX(0,MIN(_xlfn.DAYS(EDATE(AA$1,1),Log_2018[[#This Row],[Date]]),Log_2018[[#This Row],[Split_apply]])) - SUM($O88:Z88)</f>
        <v>539.00857142857126</v>
      </c>
      <c r="AB88" s="54">
        <f ca="1">Log_2018[[#This Row],[Amount]]-SUM(O88:AA88)</f>
        <v>0</v>
      </c>
      <c r="AC88" s="7">
        <f ca="1">MAX(0,Log_2018[[#This Row],[Split_apply]] - (EDATE(AA$1,1)-Log_2018[[#This Row],[Date]]))</f>
        <v>0</v>
      </c>
    </row>
    <row r="89" spans="1:29" hidden="1" x14ac:dyDescent="0.25">
      <c r="A89" s="115"/>
      <c r="B89" t="s">
        <v>6</v>
      </c>
      <c r="D89" s="39">
        <v>43424</v>
      </c>
      <c r="F89" t="s">
        <v>426</v>
      </c>
      <c r="G89" t="s">
        <v>27</v>
      </c>
      <c r="H89" s="3">
        <v>-23.57</v>
      </c>
      <c r="I89" s="36">
        <f>IF(Log_2018[[#This Row],[My Category]]="NONTRACKED",0,Log_2018[[#This Row],[Raw Amount]])</f>
        <v>-23.57</v>
      </c>
      <c r="J89" s="17">
        <f>ABS(Log_2018[[#This Row],[Amount]])</f>
        <v>23.57</v>
      </c>
      <c r="K89" s="66">
        <v>1</v>
      </c>
      <c r="L89" s="66">
        <f ca="1">IF(Log_2018[[#This Row],[Date]]&lt;=TODAY(), MIN(Log_2018[[#This Row],[Split_raw]], TODAY()-Log_2018[[#This Row],[Date]]+1), 0)</f>
        <v>1</v>
      </c>
      <c r="M89" t="s">
        <v>42</v>
      </c>
      <c r="N89" t="s">
        <v>160</v>
      </c>
      <c r="O89" s="50">
        <v>0</v>
      </c>
      <c r="P89" s="52">
        <f ca="1">Log_2018[[#This Row],[Amount]]/Log_2018[[#This Row],[Split_raw]]*MAX(0,MIN(_xlfn.DAYS(EDATE(P$1,1),Log_2018[[#This Row],[Date]]),Log_2018[[#This Row],[Split_apply]])) - SUM($O89:O89)</f>
        <v>0</v>
      </c>
      <c r="Q89" s="52">
        <f ca="1">Log_2018[[#This Row],[Amount]]/Log_2018[[#This Row],[Split_raw]]*MAX(0,MIN(_xlfn.DAYS(EDATE(Q$1,1),Log_2018[[#This Row],[Date]]),Log_2018[[#This Row],[Split_apply]])) - SUM($O89:P89)</f>
        <v>0</v>
      </c>
      <c r="R89" s="52">
        <f ca="1">Log_2018[[#This Row],[Amount]]/Log_2018[[#This Row],[Split_raw]]*MAX(0,MIN(_xlfn.DAYS(EDATE(R$1,1),Log_2018[[#This Row],[Date]]),Log_2018[[#This Row],[Split_apply]])) - SUM($O89:Q89)</f>
        <v>0</v>
      </c>
      <c r="S89" s="52">
        <f ca="1">Log_2018[[#This Row],[Amount]]/Log_2018[[#This Row],[Split_raw]]*MAX(0,MIN(_xlfn.DAYS(EDATE(S$1,1),Log_2018[[#This Row],[Date]]),Log_2018[[#This Row],[Split_apply]])) - SUM($O89:R89)</f>
        <v>0</v>
      </c>
      <c r="T89" s="52">
        <f ca="1">Log_2018[[#This Row],[Amount]]/Log_2018[[#This Row],[Split_raw]]*MAX(0,MIN(_xlfn.DAYS(EDATE(T$1,1),Log_2018[[#This Row],[Date]]),Log_2018[[#This Row],[Split_apply]])) - SUM($O89:S89)</f>
        <v>0</v>
      </c>
      <c r="U89" s="52">
        <f ca="1">Log_2018[[#This Row],[Amount]]/Log_2018[[#This Row],[Split_raw]]*MAX(0,MIN(_xlfn.DAYS(EDATE(U$1,1),Log_2018[[#This Row],[Date]]),Log_2018[[#This Row],[Split_apply]])) - SUM($O89:T89)</f>
        <v>0</v>
      </c>
      <c r="V89" s="52">
        <f ca="1">Log_2018[[#This Row],[Amount]]/Log_2018[[#This Row],[Split_raw]]*MAX(0,MIN(_xlfn.DAYS(EDATE(V$1,1),Log_2018[[#This Row],[Date]]),Log_2018[[#This Row],[Split_apply]])) - SUM($O89:U89)</f>
        <v>0</v>
      </c>
      <c r="W89" s="52">
        <f ca="1">Log_2018[[#This Row],[Amount]]/Log_2018[[#This Row],[Split_raw]]*MAX(0,MIN(_xlfn.DAYS(EDATE(W$1,1),Log_2018[[#This Row],[Date]]),Log_2018[[#This Row],[Split_apply]])) - SUM($O89:V89)</f>
        <v>0</v>
      </c>
      <c r="X89" s="52">
        <f ca="1">Log_2018[[#This Row],[Amount]]/Log_2018[[#This Row],[Split_raw]]*MAX(0,MIN(_xlfn.DAYS(EDATE(X$1,1),Log_2018[[#This Row],[Date]]),Log_2018[[#This Row],[Split_apply]])) - SUM($O89:W89)</f>
        <v>0</v>
      </c>
      <c r="Y89" s="52">
        <f ca="1">Log_2018[[#This Row],[Amount]]/Log_2018[[#This Row],[Split_raw]]*MAX(0,MIN(_xlfn.DAYS(EDATE(Y$1,1),Log_2018[[#This Row],[Date]]),Log_2018[[#This Row],[Split_apply]])) - SUM($O89:X89)</f>
        <v>0</v>
      </c>
      <c r="Z89" s="52">
        <f ca="1">Log_2018[[#This Row],[Amount]]/Log_2018[[#This Row],[Split_raw]]*MAX(0,MIN(_xlfn.DAYS(EDATE(Z$1,1),Log_2018[[#This Row],[Date]]),Log_2018[[#This Row],[Split_apply]])) - SUM($O89:Y89)</f>
        <v>-23.57</v>
      </c>
      <c r="AA89" s="52">
        <f ca="1">Log_2018[[#This Row],[Amount]]/Log_2018[[#This Row],[Split_raw]]*MAX(0,MIN(_xlfn.DAYS(EDATE(AA$1,1),Log_2018[[#This Row],[Date]]),Log_2018[[#This Row],[Split_apply]])) - SUM($O89:Z89)</f>
        <v>0</v>
      </c>
      <c r="AB89" s="54">
        <f ca="1">Log_2018[[#This Row],[Amount]]-SUM(O89:AA89)</f>
        <v>0</v>
      </c>
      <c r="AC89" s="7">
        <f ca="1">MAX(0,Log_2018[[#This Row],[Split_apply]] - (EDATE(AA$1,1)-Log_2018[[#This Row],[Date]]))</f>
        <v>0</v>
      </c>
    </row>
    <row r="90" spans="1:29" hidden="1" x14ac:dyDescent="0.25">
      <c r="A90" s="115"/>
      <c r="B90" t="s">
        <v>6</v>
      </c>
      <c r="D90" s="26">
        <v>43424</v>
      </c>
      <c r="F90" t="s">
        <v>426</v>
      </c>
      <c r="G90" t="s">
        <v>27</v>
      </c>
      <c r="H90" s="3">
        <v>-2</v>
      </c>
      <c r="I90" s="36">
        <f>IF(Log_2018[[#This Row],[My Category]]="NONTRACKED",0,Log_2018[[#This Row],[Raw Amount]])</f>
        <v>-2</v>
      </c>
      <c r="J90" s="17">
        <f>ABS(Log_2018[[#This Row],[Amount]])</f>
        <v>2</v>
      </c>
      <c r="K90" s="66">
        <v>1</v>
      </c>
      <c r="L90" s="66">
        <f ca="1">IF(Log_2018[[#This Row],[Date]]&lt;=TODAY(), MIN(Log_2018[[#This Row],[Split_raw]], TODAY()-Log_2018[[#This Row],[Date]]+1), 0)</f>
        <v>1</v>
      </c>
      <c r="M90" t="s">
        <v>42</v>
      </c>
      <c r="N90" t="s">
        <v>160</v>
      </c>
      <c r="O90" s="50">
        <v>0</v>
      </c>
      <c r="P90" s="52">
        <f ca="1">Log_2018[[#This Row],[Amount]]/Log_2018[[#This Row],[Split_raw]]*MAX(0,MIN(_xlfn.DAYS(EDATE(P$1,1),Log_2018[[#This Row],[Date]]),Log_2018[[#This Row],[Split_apply]])) - SUM($O90:O90)</f>
        <v>0</v>
      </c>
      <c r="Q90" s="52">
        <f ca="1">Log_2018[[#This Row],[Amount]]/Log_2018[[#This Row],[Split_raw]]*MAX(0,MIN(_xlfn.DAYS(EDATE(Q$1,1),Log_2018[[#This Row],[Date]]),Log_2018[[#This Row],[Split_apply]])) - SUM($O90:P90)</f>
        <v>0</v>
      </c>
      <c r="R90" s="52">
        <f ca="1">Log_2018[[#This Row],[Amount]]/Log_2018[[#This Row],[Split_raw]]*MAX(0,MIN(_xlfn.DAYS(EDATE(R$1,1),Log_2018[[#This Row],[Date]]),Log_2018[[#This Row],[Split_apply]])) - SUM($O90:Q90)</f>
        <v>0</v>
      </c>
      <c r="S90" s="52">
        <f ca="1">Log_2018[[#This Row],[Amount]]/Log_2018[[#This Row],[Split_raw]]*MAX(0,MIN(_xlfn.DAYS(EDATE(S$1,1),Log_2018[[#This Row],[Date]]),Log_2018[[#This Row],[Split_apply]])) - SUM($O90:R90)</f>
        <v>0</v>
      </c>
      <c r="T90" s="52">
        <f ca="1">Log_2018[[#This Row],[Amount]]/Log_2018[[#This Row],[Split_raw]]*MAX(0,MIN(_xlfn.DAYS(EDATE(T$1,1),Log_2018[[#This Row],[Date]]),Log_2018[[#This Row],[Split_apply]])) - SUM($O90:S90)</f>
        <v>0</v>
      </c>
      <c r="U90" s="52">
        <f ca="1">Log_2018[[#This Row],[Amount]]/Log_2018[[#This Row],[Split_raw]]*MAX(0,MIN(_xlfn.DAYS(EDATE(U$1,1),Log_2018[[#This Row],[Date]]),Log_2018[[#This Row],[Split_apply]])) - SUM($O90:T90)</f>
        <v>0</v>
      </c>
      <c r="V90" s="52">
        <f ca="1">Log_2018[[#This Row],[Amount]]/Log_2018[[#This Row],[Split_raw]]*MAX(0,MIN(_xlfn.DAYS(EDATE(V$1,1),Log_2018[[#This Row],[Date]]),Log_2018[[#This Row],[Split_apply]])) - SUM($O90:U90)</f>
        <v>0</v>
      </c>
      <c r="W90" s="52">
        <f ca="1">Log_2018[[#This Row],[Amount]]/Log_2018[[#This Row],[Split_raw]]*MAX(0,MIN(_xlfn.DAYS(EDATE(W$1,1),Log_2018[[#This Row],[Date]]),Log_2018[[#This Row],[Split_apply]])) - SUM($O90:V90)</f>
        <v>0</v>
      </c>
      <c r="X90" s="52">
        <f ca="1">Log_2018[[#This Row],[Amount]]/Log_2018[[#This Row],[Split_raw]]*MAX(0,MIN(_xlfn.DAYS(EDATE(X$1,1),Log_2018[[#This Row],[Date]]),Log_2018[[#This Row],[Split_apply]])) - SUM($O90:W90)</f>
        <v>0</v>
      </c>
      <c r="Y90" s="52">
        <f ca="1">Log_2018[[#This Row],[Amount]]/Log_2018[[#This Row],[Split_raw]]*MAX(0,MIN(_xlfn.DAYS(EDATE(Y$1,1),Log_2018[[#This Row],[Date]]),Log_2018[[#This Row],[Split_apply]])) - SUM($O90:X90)</f>
        <v>0</v>
      </c>
      <c r="Z90" s="52">
        <f ca="1">Log_2018[[#This Row],[Amount]]/Log_2018[[#This Row],[Split_raw]]*MAX(0,MIN(_xlfn.DAYS(EDATE(Z$1,1),Log_2018[[#This Row],[Date]]),Log_2018[[#This Row],[Split_apply]])) - SUM($O90:Y90)</f>
        <v>-2</v>
      </c>
      <c r="AA90" s="52">
        <f ca="1">Log_2018[[#This Row],[Amount]]/Log_2018[[#This Row],[Split_raw]]*MAX(0,MIN(_xlfn.DAYS(EDATE(AA$1,1),Log_2018[[#This Row],[Date]]),Log_2018[[#This Row],[Split_apply]])) - SUM($O90:Z90)</f>
        <v>0</v>
      </c>
      <c r="AB90" s="54">
        <f ca="1">Log_2018[[#This Row],[Amount]]-SUM(O90:AA90)</f>
        <v>0</v>
      </c>
      <c r="AC90" s="7">
        <f ca="1">MAX(0,Log_2018[[#This Row],[Split_apply]] - (EDATE(AA$1,1)-Log_2018[[#This Row],[Date]]))</f>
        <v>0</v>
      </c>
    </row>
    <row r="91" spans="1:29" hidden="1" x14ac:dyDescent="0.25">
      <c r="A91" s="115"/>
      <c r="B91" t="s">
        <v>6</v>
      </c>
      <c r="D91" s="26">
        <v>43423</v>
      </c>
      <c r="F91" t="s">
        <v>428</v>
      </c>
      <c r="G91" t="s">
        <v>25</v>
      </c>
      <c r="H91" s="3">
        <v>-3.24</v>
      </c>
      <c r="I91" s="36">
        <f>IF(Log_2018[[#This Row],[My Category]]="NONTRACKED",0,Log_2018[[#This Row],[Raw Amount]])</f>
        <v>-3.24</v>
      </c>
      <c r="J91" s="17">
        <f>ABS(Log_2018[[#This Row],[Amount]])</f>
        <v>3.24</v>
      </c>
      <c r="K91" s="66">
        <v>1</v>
      </c>
      <c r="L91" s="66">
        <f ca="1">IF(Log_2018[[#This Row],[Date]]&lt;=TODAY(), MIN(Log_2018[[#This Row],[Split_raw]], TODAY()-Log_2018[[#This Row],[Date]]+1), 0)</f>
        <v>1</v>
      </c>
      <c r="M91" t="s">
        <v>41</v>
      </c>
      <c r="N91" t="s">
        <v>158</v>
      </c>
      <c r="O91" s="50">
        <v>0</v>
      </c>
      <c r="P91" s="52">
        <f ca="1">Log_2018[[#This Row],[Amount]]/Log_2018[[#This Row],[Split_raw]]*MAX(0,MIN(_xlfn.DAYS(EDATE(P$1,1),Log_2018[[#This Row],[Date]]),Log_2018[[#This Row],[Split_apply]])) - SUM($O91:O91)</f>
        <v>0</v>
      </c>
      <c r="Q91" s="52">
        <f ca="1">Log_2018[[#This Row],[Amount]]/Log_2018[[#This Row],[Split_raw]]*MAX(0,MIN(_xlfn.DAYS(EDATE(Q$1,1),Log_2018[[#This Row],[Date]]),Log_2018[[#This Row],[Split_apply]])) - SUM($O91:P91)</f>
        <v>0</v>
      </c>
      <c r="R91" s="52">
        <f ca="1">Log_2018[[#This Row],[Amount]]/Log_2018[[#This Row],[Split_raw]]*MAX(0,MIN(_xlfn.DAYS(EDATE(R$1,1),Log_2018[[#This Row],[Date]]),Log_2018[[#This Row],[Split_apply]])) - SUM($O91:Q91)</f>
        <v>0</v>
      </c>
      <c r="S91" s="52">
        <f ca="1">Log_2018[[#This Row],[Amount]]/Log_2018[[#This Row],[Split_raw]]*MAX(0,MIN(_xlfn.DAYS(EDATE(S$1,1),Log_2018[[#This Row],[Date]]),Log_2018[[#This Row],[Split_apply]])) - SUM($O91:R91)</f>
        <v>0</v>
      </c>
      <c r="T91" s="52">
        <f ca="1">Log_2018[[#This Row],[Amount]]/Log_2018[[#This Row],[Split_raw]]*MAX(0,MIN(_xlfn.DAYS(EDATE(T$1,1),Log_2018[[#This Row],[Date]]),Log_2018[[#This Row],[Split_apply]])) - SUM($O91:S91)</f>
        <v>0</v>
      </c>
      <c r="U91" s="52">
        <f ca="1">Log_2018[[#This Row],[Amount]]/Log_2018[[#This Row],[Split_raw]]*MAX(0,MIN(_xlfn.DAYS(EDATE(U$1,1),Log_2018[[#This Row],[Date]]),Log_2018[[#This Row],[Split_apply]])) - SUM($O91:T91)</f>
        <v>0</v>
      </c>
      <c r="V91" s="52">
        <f ca="1">Log_2018[[#This Row],[Amount]]/Log_2018[[#This Row],[Split_raw]]*MAX(0,MIN(_xlfn.DAYS(EDATE(V$1,1),Log_2018[[#This Row],[Date]]),Log_2018[[#This Row],[Split_apply]])) - SUM($O91:U91)</f>
        <v>0</v>
      </c>
      <c r="W91" s="52">
        <f ca="1">Log_2018[[#This Row],[Amount]]/Log_2018[[#This Row],[Split_raw]]*MAX(0,MIN(_xlfn.DAYS(EDATE(W$1,1),Log_2018[[#This Row],[Date]]),Log_2018[[#This Row],[Split_apply]])) - SUM($O91:V91)</f>
        <v>0</v>
      </c>
      <c r="X91" s="52">
        <f ca="1">Log_2018[[#This Row],[Amount]]/Log_2018[[#This Row],[Split_raw]]*MAX(0,MIN(_xlfn.DAYS(EDATE(X$1,1),Log_2018[[#This Row],[Date]]),Log_2018[[#This Row],[Split_apply]])) - SUM($O91:W91)</f>
        <v>0</v>
      </c>
      <c r="Y91" s="52">
        <f ca="1">Log_2018[[#This Row],[Amount]]/Log_2018[[#This Row],[Split_raw]]*MAX(0,MIN(_xlfn.DAYS(EDATE(Y$1,1),Log_2018[[#This Row],[Date]]),Log_2018[[#This Row],[Split_apply]])) - SUM($O91:X91)</f>
        <v>0</v>
      </c>
      <c r="Z91" s="52">
        <f ca="1">Log_2018[[#This Row],[Amount]]/Log_2018[[#This Row],[Split_raw]]*MAX(0,MIN(_xlfn.DAYS(EDATE(Z$1,1),Log_2018[[#This Row],[Date]]),Log_2018[[#This Row],[Split_apply]])) - SUM($O91:Y91)</f>
        <v>-3.24</v>
      </c>
      <c r="AA91" s="52">
        <f ca="1">Log_2018[[#This Row],[Amount]]/Log_2018[[#This Row],[Split_raw]]*MAX(0,MIN(_xlfn.DAYS(EDATE(AA$1,1),Log_2018[[#This Row],[Date]]),Log_2018[[#This Row],[Split_apply]])) - SUM($O91:Z91)</f>
        <v>0</v>
      </c>
      <c r="AB91" s="54">
        <f ca="1">Log_2018[[#This Row],[Amount]]-SUM(O91:AA91)</f>
        <v>0</v>
      </c>
      <c r="AC91" s="7">
        <f ca="1">MAX(0,Log_2018[[#This Row],[Split_apply]] - (EDATE(AA$1,1)-Log_2018[[#This Row],[Date]]))</f>
        <v>0</v>
      </c>
    </row>
    <row r="92" spans="1:29" hidden="1" x14ac:dyDescent="0.25">
      <c r="A92" s="115"/>
      <c r="B92" t="s">
        <v>6</v>
      </c>
      <c r="D92" s="26">
        <v>43423</v>
      </c>
      <c r="F92" t="s">
        <v>346</v>
      </c>
      <c r="G92" t="s">
        <v>9</v>
      </c>
      <c r="H92" s="3">
        <v>-19.989999999999998</v>
      </c>
      <c r="I92" s="36">
        <f>IF(Log_2018[[#This Row],[My Category]]="NONTRACKED",0,Log_2018[[#This Row],[Raw Amount]])</f>
        <v>-19.989999999999998</v>
      </c>
      <c r="J92" s="17">
        <f>ABS(Log_2018[[#This Row],[Amount]])</f>
        <v>19.989999999999998</v>
      </c>
      <c r="K92" s="66">
        <v>1</v>
      </c>
      <c r="L92" s="66">
        <f ca="1">IF(Log_2018[[#This Row],[Date]]&lt;=TODAY(), MIN(Log_2018[[#This Row],[Split_raw]], TODAY()-Log_2018[[#This Row],[Date]]+1), 0)</f>
        <v>1</v>
      </c>
      <c r="M92" t="s">
        <v>39</v>
      </c>
      <c r="N92" t="s">
        <v>158</v>
      </c>
      <c r="O92" s="50">
        <v>0</v>
      </c>
      <c r="P92" s="52">
        <f ca="1">Log_2018[[#This Row],[Amount]]/Log_2018[[#This Row],[Split_raw]]*MAX(0,MIN(_xlfn.DAYS(EDATE(P$1,1),Log_2018[[#This Row],[Date]]),Log_2018[[#This Row],[Split_apply]])) - SUM($O92:O92)</f>
        <v>0</v>
      </c>
      <c r="Q92" s="52">
        <f ca="1">Log_2018[[#This Row],[Amount]]/Log_2018[[#This Row],[Split_raw]]*MAX(0,MIN(_xlfn.DAYS(EDATE(Q$1,1),Log_2018[[#This Row],[Date]]),Log_2018[[#This Row],[Split_apply]])) - SUM($O92:P92)</f>
        <v>0</v>
      </c>
      <c r="R92" s="52">
        <f ca="1">Log_2018[[#This Row],[Amount]]/Log_2018[[#This Row],[Split_raw]]*MAX(0,MIN(_xlfn.DAYS(EDATE(R$1,1),Log_2018[[#This Row],[Date]]),Log_2018[[#This Row],[Split_apply]])) - SUM($O92:Q92)</f>
        <v>0</v>
      </c>
      <c r="S92" s="52">
        <f ca="1">Log_2018[[#This Row],[Amount]]/Log_2018[[#This Row],[Split_raw]]*MAX(0,MIN(_xlfn.DAYS(EDATE(S$1,1),Log_2018[[#This Row],[Date]]),Log_2018[[#This Row],[Split_apply]])) - SUM($O92:R92)</f>
        <v>0</v>
      </c>
      <c r="T92" s="52">
        <f ca="1">Log_2018[[#This Row],[Amount]]/Log_2018[[#This Row],[Split_raw]]*MAX(0,MIN(_xlfn.DAYS(EDATE(T$1,1),Log_2018[[#This Row],[Date]]),Log_2018[[#This Row],[Split_apply]])) - SUM($O92:S92)</f>
        <v>0</v>
      </c>
      <c r="U92" s="52">
        <f ca="1">Log_2018[[#This Row],[Amount]]/Log_2018[[#This Row],[Split_raw]]*MAX(0,MIN(_xlfn.DAYS(EDATE(U$1,1),Log_2018[[#This Row],[Date]]),Log_2018[[#This Row],[Split_apply]])) - SUM($O92:T92)</f>
        <v>0</v>
      </c>
      <c r="V92" s="52">
        <f ca="1">Log_2018[[#This Row],[Amount]]/Log_2018[[#This Row],[Split_raw]]*MAX(0,MIN(_xlfn.DAYS(EDATE(V$1,1),Log_2018[[#This Row],[Date]]),Log_2018[[#This Row],[Split_apply]])) - SUM($O92:U92)</f>
        <v>0</v>
      </c>
      <c r="W92" s="52">
        <f ca="1">Log_2018[[#This Row],[Amount]]/Log_2018[[#This Row],[Split_raw]]*MAX(0,MIN(_xlfn.DAYS(EDATE(W$1,1),Log_2018[[#This Row],[Date]]),Log_2018[[#This Row],[Split_apply]])) - SUM($O92:V92)</f>
        <v>0</v>
      </c>
      <c r="X92" s="52">
        <f ca="1">Log_2018[[#This Row],[Amount]]/Log_2018[[#This Row],[Split_raw]]*MAX(0,MIN(_xlfn.DAYS(EDATE(X$1,1),Log_2018[[#This Row],[Date]]),Log_2018[[#This Row],[Split_apply]])) - SUM($O92:W92)</f>
        <v>0</v>
      </c>
      <c r="Y92" s="52">
        <f ca="1">Log_2018[[#This Row],[Amount]]/Log_2018[[#This Row],[Split_raw]]*MAX(0,MIN(_xlfn.DAYS(EDATE(Y$1,1),Log_2018[[#This Row],[Date]]),Log_2018[[#This Row],[Split_apply]])) - SUM($O92:X92)</f>
        <v>0</v>
      </c>
      <c r="Z92" s="52">
        <f ca="1">Log_2018[[#This Row],[Amount]]/Log_2018[[#This Row],[Split_raw]]*MAX(0,MIN(_xlfn.DAYS(EDATE(Z$1,1),Log_2018[[#This Row],[Date]]),Log_2018[[#This Row],[Split_apply]])) - SUM($O92:Y92)</f>
        <v>-19.989999999999998</v>
      </c>
      <c r="AA92" s="52">
        <f ca="1">Log_2018[[#This Row],[Amount]]/Log_2018[[#This Row],[Split_raw]]*MAX(0,MIN(_xlfn.DAYS(EDATE(AA$1,1),Log_2018[[#This Row],[Date]]),Log_2018[[#This Row],[Split_apply]])) - SUM($O92:Z92)</f>
        <v>0</v>
      </c>
      <c r="AB92" s="54">
        <f ca="1">Log_2018[[#This Row],[Amount]]-SUM(O92:AA92)</f>
        <v>0</v>
      </c>
      <c r="AC92" s="7">
        <f ca="1">MAX(0,Log_2018[[#This Row],[Split_apply]] - (EDATE(AA$1,1)-Log_2018[[#This Row],[Date]]))</f>
        <v>0</v>
      </c>
    </row>
    <row r="93" spans="1:29" hidden="1" x14ac:dyDescent="0.25">
      <c r="A93" s="115"/>
      <c r="B93" t="s">
        <v>6</v>
      </c>
      <c r="D93" s="26">
        <v>43423</v>
      </c>
      <c r="F93" t="s">
        <v>429</v>
      </c>
      <c r="G93" t="s">
        <v>25</v>
      </c>
      <c r="H93" s="3">
        <v>-12.96</v>
      </c>
      <c r="I93" s="36">
        <f>IF(Log_2018[[#This Row],[My Category]]="NONTRACKED",0,Log_2018[[#This Row],[Raw Amount]])</f>
        <v>-12.96</v>
      </c>
      <c r="J93" s="17">
        <f>ABS(Log_2018[[#This Row],[Amount]])</f>
        <v>12.96</v>
      </c>
      <c r="K93" s="66">
        <v>1</v>
      </c>
      <c r="L93" s="66">
        <f ca="1">IF(Log_2018[[#This Row],[Date]]&lt;=TODAY(), MIN(Log_2018[[#This Row],[Split_raw]], TODAY()-Log_2018[[#This Row],[Date]]+1), 0)</f>
        <v>1</v>
      </c>
      <c r="M93" t="s">
        <v>35</v>
      </c>
      <c r="N93" t="s">
        <v>158</v>
      </c>
      <c r="O93" s="50">
        <v>0</v>
      </c>
      <c r="P93" s="52">
        <f ca="1">Log_2018[[#This Row],[Amount]]/Log_2018[[#This Row],[Split_raw]]*MAX(0,MIN(_xlfn.DAYS(EDATE(P$1,1),Log_2018[[#This Row],[Date]]),Log_2018[[#This Row],[Split_apply]])) - SUM($O93:O93)</f>
        <v>0</v>
      </c>
      <c r="Q93" s="52">
        <f ca="1">Log_2018[[#This Row],[Amount]]/Log_2018[[#This Row],[Split_raw]]*MAX(0,MIN(_xlfn.DAYS(EDATE(Q$1,1),Log_2018[[#This Row],[Date]]),Log_2018[[#This Row],[Split_apply]])) - SUM($O93:P93)</f>
        <v>0</v>
      </c>
      <c r="R93" s="52">
        <f ca="1">Log_2018[[#This Row],[Amount]]/Log_2018[[#This Row],[Split_raw]]*MAX(0,MIN(_xlfn.DAYS(EDATE(R$1,1),Log_2018[[#This Row],[Date]]),Log_2018[[#This Row],[Split_apply]])) - SUM($O93:Q93)</f>
        <v>0</v>
      </c>
      <c r="S93" s="52">
        <f ca="1">Log_2018[[#This Row],[Amount]]/Log_2018[[#This Row],[Split_raw]]*MAX(0,MIN(_xlfn.DAYS(EDATE(S$1,1),Log_2018[[#This Row],[Date]]),Log_2018[[#This Row],[Split_apply]])) - SUM($O93:R93)</f>
        <v>0</v>
      </c>
      <c r="T93" s="52">
        <f ca="1">Log_2018[[#This Row],[Amount]]/Log_2018[[#This Row],[Split_raw]]*MAX(0,MIN(_xlfn.DAYS(EDATE(T$1,1),Log_2018[[#This Row],[Date]]),Log_2018[[#This Row],[Split_apply]])) - SUM($O93:S93)</f>
        <v>0</v>
      </c>
      <c r="U93" s="52">
        <f ca="1">Log_2018[[#This Row],[Amount]]/Log_2018[[#This Row],[Split_raw]]*MAX(0,MIN(_xlfn.DAYS(EDATE(U$1,1),Log_2018[[#This Row],[Date]]),Log_2018[[#This Row],[Split_apply]])) - SUM($O93:T93)</f>
        <v>0</v>
      </c>
      <c r="V93" s="52">
        <f ca="1">Log_2018[[#This Row],[Amount]]/Log_2018[[#This Row],[Split_raw]]*MAX(0,MIN(_xlfn.DAYS(EDATE(V$1,1),Log_2018[[#This Row],[Date]]),Log_2018[[#This Row],[Split_apply]])) - SUM($O93:U93)</f>
        <v>0</v>
      </c>
      <c r="W93" s="52">
        <f ca="1">Log_2018[[#This Row],[Amount]]/Log_2018[[#This Row],[Split_raw]]*MAX(0,MIN(_xlfn.DAYS(EDATE(W$1,1),Log_2018[[#This Row],[Date]]),Log_2018[[#This Row],[Split_apply]])) - SUM($O93:V93)</f>
        <v>0</v>
      </c>
      <c r="X93" s="52">
        <f ca="1">Log_2018[[#This Row],[Amount]]/Log_2018[[#This Row],[Split_raw]]*MAX(0,MIN(_xlfn.DAYS(EDATE(X$1,1),Log_2018[[#This Row],[Date]]),Log_2018[[#This Row],[Split_apply]])) - SUM($O93:W93)</f>
        <v>0</v>
      </c>
      <c r="Y93" s="52">
        <f ca="1">Log_2018[[#This Row],[Amount]]/Log_2018[[#This Row],[Split_raw]]*MAX(0,MIN(_xlfn.DAYS(EDATE(Y$1,1),Log_2018[[#This Row],[Date]]),Log_2018[[#This Row],[Split_apply]])) - SUM($O93:X93)</f>
        <v>0</v>
      </c>
      <c r="Z93" s="52">
        <f ca="1">Log_2018[[#This Row],[Amount]]/Log_2018[[#This Row],[Split_raw]]*MAX(0,MIN(_xlfn.DAYS(EDATE(Z$1,1),Log_2018[[#This Row],[Date]]),Log_2018[[#This Row],[Split_apply]])) - SUM($O93:Y93)</f>
        <v>-12.96</v>
      </c>
      <c r="AA93" s="52">
        <f ca="1">Log_2018[[#This Row],[Amount]]/Log_2018[[#This Row],[Split_raw]]*MAX(0,MIN(_xlfn.DAYS(EDATE(AA$1,1),Log_2018[[#This Row],[Date]]),Log_2018[[#This Row],[Split_apply]])) - SUM($O93:Z93)</f>
        <v>0</v>
      </c>
      <c r="AB93" s="54">
        <f ca="1">Log_2018[[#This Row],[Amount]]-SUM(O93:AA93)</f>
        <v>0</v>
      </c>
      <c r="AC93" s="7">
        <f ca="1">MAX(0,Log_2018[[#This Row],[Split_apply]] - (EDATE(AA$1,1)-Log_2018[[#This Row],[Date]]))</f>
        <v>0</v>
      </c>
    </row>
    <row r="94" spans="1:29" hidden="1" x14ac:dyDescent="0.25">
      <c r="A94" s="115"/>
      <c r="B94" t="s">
        <v>6</v>
      </c>
      <c r="D94" s="26">
        <v>43423</v>
      </c>
      <c r="F94" t="s">
        <v>138</v>
      </c>
      <c r="G94" t="s">
        <v>104</v>
      </c>
      <c r="H94" s="3">
        <v>-609.91</v>
      </c>
      <c r="I94" s="36">
        <f>IF(Log_2018[[#This Row],[My Category]]="NONTRACKED",0,Log_2018[[#This Row],[Raw Amount]])</f>
        <v>-609.91</v>
      </c>
      <c r="J94" s="17">
        <f>ABS(Log_2018[[#This Row],[Amount]])</f>
        <v>609.91</v>
      </c>
      <c r="K94" s="66">
        <v>1</v>
      </c>
      <c r="L94" s="66">
        <f ca="1">IF(Log_2018[[#This Row],[Date]]&lt;=TODAY(), MIN(Log_2018[[#This Row],[Split_raw]], TODAY()-Log_2018[[#This Row],[Date]]+1), 0)</f>
        <v>1</v>
      </c>
      <c r="M94" t="s">
        <v>159</v>
      </c>
      <c r="N94" t="s">
        <v>160</v>
      </c>
      <c r="O94" s="50">
        <v>0</v>
      </c>
      <c r="P94" s="52">
        <f ca="1">Log_2018[[#This Row],[Amount]]/Log_2018[[#This Row],[Split_raw]]*MAX(0,MIN(_xlfn.DAYS(EDATE(P$1,1),Log_2018[[#This Row],[Date]]),Log_2018[[#This Row],[Split_apply]])) - SUM($O94:O94)</f>
        <v>0</v>
      </c>
      <c r="Q94" s="52">
        <f ca="1">Log_2018[[#This Row],[Amount]]/Log_2018[[#This Row],[Split_raw]]*MAX(0,MIN(_xlfn.DAYS(EDATE(Q$1,1),Log_2018[[#This Row],[Date]]),Log_2018[[#This Row],[Split_apply]])) - SUM($O94:P94)</f>
        <v>0</v>
      </c>
      <c r="R94" s="52">
        <f ca="1">Log_2018[[#This Row],[Amount]]/Log_2018[[#This Row],[Split_raw]]*MAX(0,MIN(_xlfn.DAYS(EDATE(R$1,1),Log_2018[[#This Row],[Date]]),Log_2018[[#This Row],[Split_apply]])) - SUM($O94:Q94)</f>
        <v>0</v>
      </c>
      <c r="S94" s="52">
        <f ca="1">Log_2018[[#This Row],[Amount]]/Log_2018[[#This Row],[Split_raw]]*MAX(0,MIN(_xlfn.DAYS(EDATE(S$1,1),Log_2018[[#This Row],[Date]]),Log_2018[[#This Row],[Split_apply]])) - SUM($O94:R94)</f>
        <v>0</v>
      </c>
      <c r="T94" s="52">
        <f ca="1">Log_2018[[#This Row],[Amount]]/Log_2018[[#This Row],[Split_raw]]*MAX(0,MIN(_xlfn.DAYS(EDATE(T$1,1),Log_2018[[#This Row],[Date]]),Log_2018[[#This Row],[Split_apply]])) - SUM($O94:S94)</f>
        <v>0</v>
      </c>
      <c r="U94" s="52">
        <f ca="1">Log_2018[[#This Row],[Amount]]/Log_2018[[#This Row],[Split_raw]]*MAX(0,MIN(_xlfn.DAYS(EDATE(U$1,1),Log_2018[[#This Row],[Date]]),Log_2018[[#This Row],[Split_apply]])) - SUM($O94:T94)</f>
        <v>0</v>
      </c>
      <c r="V94" s="52">
        <f ca="1">Log_2018[[#This Row],[Amount]]/Log_2018[[#This Row],[Split_raw]]*MAX(0,MIN(_xlfn.DAYS(EDATE(V$1,1),Log_2018[[#This Row],[Date]]),Log_2018[[#This Row],[Split_apply]])) - SUM($O94:U94)</f>
        <v>0</v>
      </c>
      <c r="W94" s="52">
        <f ca="1">Log_2018[[#This Row],[Amount]]/Log_2018[[#This Row],[Split_raw]]*MAX(0,MIN(_xlfn.DAYS(EDATE(W$1,1),Log_2018[[#This Row],[Date]]),Log_2018[[#This Row],[Split_apply]])) - SUM($O94:V94)</f>
        <v>0</v>
      </c>
      <c r="X94" s="52">
        <f ca="1">Log_2018[[#This Row],[Amount]]/Log_2018[[#This Row],[Split_raw]]*MAX(0,MIN(_xlfn.DAYS(EDATE(X$1,1),Log_2018[[#This Row],[Date]]),Log_2018[[#This Row],[Split_apply]])) - SUM($O94:W94)</f>
        <v>0</v>
      </c>
      <c r="Y94" s="52">
        <f ca="1">Log_2018[[#This Row],[Amount]]/Log_2018[[#This Row],[Split_raw]]*MAX(0,MIN(_xlfn.DAYS(EDATE(Y$1,1),Log_2018[[#This Row],[Date]]),Log_2018[[#This Row],[Split_apply]])) - SUM($O94:X94)</f>
        <v>0</v>
      </c>
      <c r="Z94" s="52">
        <f ca="1">Log_2018[[#This Row],[Amount]]/Log_2018[[#This Row],[Split_raw]]*MAX(0,MIN(_xlfn.DAYS(EDATE(Z$1,1),Log_2018[[#This Row],[Date]]),Log_2018[[#This Row],[Split_apply]])) - SUM($O94:Y94)</f>
        <v>-609.91</v>
      </c>
      <c r="AA94" s="52">
        <f ca="1">Log_2018[[#This Row],[Amount]]/Log_2018[[#This Row],[Split_raw]]*MAX(0,MIN(_xlfn.DAYS(EDATE(AA$1,1),Log_2018[[#This Row],[Date]]),Log_2018[[#This Row],[Split_apply]])) - SUM($O94:Z94)</f>
        <v>0</v>
      </c>
      <c r="AB94" s="54">
        <f ca="1">Log_2018[[#This Row],[Amount]]-SUM(O94:AA94)</f>
        <v>0</v>
      </c>
      <c r="AC94" s="7">
        <f ca="1">MAX(0,Log_2018[[#This Row],[Split_apply]] - (EDATE(AA$1,1)-Log_2018[[#This Row],[Date]]))</f>
        <v>0</v>
      </c>
    </row>
    <row r="95" spans="1:29" hidden="1" x14ac:dyDescent="0.25">
      <c r="A95" s="115"/>
      <c r="B95" t="s">
        <v>6</v>
      </c>
      <c r="D95" s="26">
        <v>43422</v>
      </c>
      <c r="F95" t="s">
        <v>105</v>
      </c>
      <c r="G95" t="s">
        <v>104</v>
      </c>
      <c r="H95" s="3">
        <f>--609.91</f>
        <v>609.91</v>
      </c>
      <c r="I95" s="36">
        <f>IF(Log_2018[[#This Row],[My Category]]="NONTRACKED",0,Log_2018[[#This Row],[Raw Amount]])</f>
        <v>609.91</v>
      </c>
      <c r="J95" s="17">
        <f>ABS(Log_2018[[#This Row],[Amount]])</f>
        <v>609.91</v>
      </c>
      <c r="K95" s="66">
        <v>1</v>
      </c>
      <c r="L95" s="66">
        <f ca="1">IF(Log_2018[[#This Row],[Date]]&lt;=TODAY(), MIN(Log_2018[[#This Row],[Split_raw]], TODAY()-Log_2018[[#This Row],[Date]]+1), 0)</f>
        <v>1</v>
      </c>
      <c r="M95" t="s">
        <v>159</v>
      </c>
      <c r="N95" t="s">
        <v>158</v>
      </c>
      <c r="O95" s="50">
        <v>0</v>
      </c>
      <c r="P95" s="52">
        <f ca="1">Log_2018[[#This Row],[Amount]]/Log_2018[[#This Row],[Split_raw]]*MAX(0,MIN(_xlfn.DAYS(EDATE(P$1,1),Log_2018[[#This Row],[Date]]),Log_2018[[#This Row],[Split_apply]])) - SUM($O95:O95)</f>
        <v>0</v>
      </c>
      <c r="Q95" s="52">
        <f ca="1">Log_2018[[#This Row],[Amount]]/Log_2018[[#This Row],[Split_raw]]*MAX(0,MIN(_xlfn.DAYS(EDATE(Q$1,1),Log_2018[[#This Row],[Date]]),Log_2018[[#This Row],[Split_apply]])) - SUM($O95:P95)</f>
        <v>0</v>
      </c>
      <c r="R95" s="52">
        <f ca="1">Log_2018[[#This Row],[Amount]]/Log_2018[[#This Row],[Split_raw]]*MAX(0,MIN(_xlfn.DAYS(EDATE(R$1,1),Log_2018[[#This Row],[Date]]),Log_2018[[#This Row],[Split_apply]])) - SUM($O95:Q95)</f>
        <v>0</v>
      </c>
      <c r="S95" s="52">
        <f ca="1">Log_2018[[#This Row],[Amount]]/Log_2018[[#This Row],[Split_raw]]*MAX(0,MIN(_xlfn.DAYS(EDATE(S$1,1),Log_2018[[#This Row],[Date]]),Log_2018[[#This Row],[Split_apply]])) - SUM($O95:R95)</f>
        <v>0</v>
      </c>
      <c r="T95" s="52">
        <f ca="1">Log_2018[[#This Row],[Amount]]/Log_2018[[#This Row],[Split_raw]]*MAX(0,MIN(_xlfn.DAYS(EDATE(T$1,1),Log_2018[[#This Row],[Date]]),Log_2018[[#This Row],[Split_apply]])) - SUM($O95:S95)</f>
        <v>0</v>
      </c>
      <c r="U95" s="52">
        <f ca="1">Log_2018[[#This Row],[Amount]]/Log_2018[[#This Row],[Split_raw]]*MAX(0,MIN(_xlfn.DAYS(EDATE(U$1,1),Log_2018[[#This Row],[Date]]),Log_2018[[#This Row],[Split_apply]])) - SUM($O95:T95)</f>
        <v>0</v>
      </c>
      <c r="V95" s="52">
        <f ca="1">Log_2018[[#This Row],[Amount]]/Log_2018[[#This Row],[Split_raw]]*MAX(0,MIN(_xlfn.DAYS(EDATE(V$1,1),Log_2018[[#This Row],[Date]]),Log_2018[[#This Row],[Split_apply]])) - SUM($O95:U95)</f>
        <v>0</v>
      </c>
      <c r="W95" s="52">
        <f ca="1">Log_2018[[#This Row],[Amount]]/Log_2018[[#This Row],[Split_raw]]*MAX(0,MIN(_xlfn.DAYS(EDATE(W$1,1),Log_2018[[#This Row],[Date]]),Log_2018[[#This Row],[Split_apply]])) - SUM($O95:V95)</f>
        <v>0</v>
      </c>
      <c r="X95" s="52">
        <f ca="1">Log_2018[[#This Row],[Amount]]/Log_2018[[#This Row],[Split_raw]]*MAX(0,MIN(_xlfn.DAYS(EDATE(X$1,1),Log_2018[[#This Row],[Date]]),Log_2018[[#This Row],[Split_apply]])) - SUM($O95:W95)</f>
        <v>0</v>
      </c>
      <c r="Y95" s="52">
        <f ca="1">Log_2018[[#This Row],[Amount]]/Log_2018[[#This Row],[Split_raw]]*MAX(0,MIN(_xlfn.DAYS(EDATE(Y$1,1),Log_2018[[#This Row],[Date]]),Log_2018[[#This Row],[Split_apply]])) - SUM($O95:X95)</f>
        <v>0</v>
      </c>
      <c r="Z95" s="52">
        <f ca="1">Log_2018[[#This Row],[Amount]]/Log_2018[[#This Row],[Split_raw]]*MAX(0,MIN(_xlfn.DAYS(EDATE(Z$1,1),Log_2018[[#This Row],[Date]]),Log_2018[[#This Row],[Split_apply]])) - SUM($O95:Y95)</f>
        <v>609.91</v>
      </c>
      <c r="AA95" s="52">
        <f ca="1">Log_2018[[#This Row],[Amount]]/Log_2018[[#This Row],[Split_raw]]*MAX(0,MIN(_xlfn.DAYS(EDATE(AA$1,1),Log_2018[[#This Row],[Date]]),Log_2018[[#This Row],[Split_apply]])) - SUM($O95:Z95)</f>
        <v>0</v>
      </c>
      <c r="AB95" s="54">
        <f ca="1">Log_2018[[#This Row],[Amount]]-SUM(O95:AA95)</f>
        <v>0</v>
      </c>
      <c r="AC95" s="7">
        <f ca="1">MAX(0,Log_2018[[#This Row],[Split_apply]] - (EDATE(AA$1,1)-Log_2018[[#This Row],[Date]]))</f>
        <v>0</v>
      </c>
    </row>
    <row r="96" spans="1:29" hidden="1" x14ac:dyDescent="0.25">
      <c r="A96" s="115"/>
      <c r="B96" t="s">
        <v>6</v>
      </c>
      <c r="D96" s="26">
        <v>43421</v>
      </c>
      <c r="F96" t="s">
        <v>430</v>
      </c>
      <c r="G96" t="s">
        <v>10</v>
      </c>
      <c r="H96" s="3">
        <v>-25.16</v>
      </c>
      <c r="I96" s="36">
        <f>IF(Log_2018[[#This Row],[My Category]]="NONTRACKED",0,Log_2018[[#This Row],[Raw Amount]])</f>
        <v>-25.16</v>
      </c>
      <c r="J96" s="17">
        <f>ABS(Log_2018[[#This Row],[Amount]])</f>
        <v>25.16</v>
      </c>
      <c r="K96" s="66">
        <v>1</v>
      </c>
      <c r="L96" s="66">
        <f ca="1">IF(Log_2018[[#This Row],[Date]]&lt;=TODAY(), MIN(Log_2018[[#This Row],[Split_raw]], TODAY()-Log_2018[[#This Row],[Date]]+1), 0)</f>
        <v>1</v>
      </c>
      <c r="M96" t="s">
        <v>52</v>
      </c>
      <c r="N96" t="s">
        <v>158</v>
      </c>
      <c r="O96" s="50">
        <v>0</v>
      </c>
      <c r="P96" s="52">
        <f ca="1">Log_2018[[#This Row],[Amount]]/Log_2018[[#This Row],[Split_raw]]*MAX(0,MIN(_xlfn.DAYS(EDATE(P$1,1),Log_2018[[#This Row],[Date]]),Log_2018[[#This Row],[Split_apply]])) - SUM($O96:O96)</f>
        <v>0</v>
      </c>
      <c r="Q96" s="52">
        <f ca="1">Log_2018[[#This Row],[Amount]]/Log_2018[[#This Row],[Split_raw]]*MAX(0,MIN(_xlfn.DAYS(EDATE(Q$1,1),Log_2018[[#This Row],[Date]]),Log_2018[[#This Row],[Split_apply]])) - SUM($O96:P96)</f>
        <v>0</v>
      </c>
      <c r="R96" s="52">
        <f ca="1">Log_2018[[#This Row],[Amount]]/Log_2018[[#This Row],[Split_raw]]*MAX(0,MIN(_xlfn.DAYS(EDATE(R$1,1),Log_2018[[#This Row],[Date]]),Log_2018[[#This Row],[Split_apply]])) - SUM($O96:Q96)</f>
        <v>0</v>
      </c>
      <c r="S96" s="52">
        <f ca="1">Log_2018[[#This Row],[Amount]]/Log_2018[[#This Row],[Split_raw]]*MAX(0,MIN(_xlfn.DAYS(EDATE(S$1,1),Log_2018[[#This Row],[Date]]),Log_2018[[#This Row],[Split_apply]])) - SUM($O96:R96)</f>
        <v>0</v>
      </c>
      <c r="T96" s="52">
        <f ca="1">Log_2018[[#This Row],[Amount]]/Log_2018[[#This Row],[Split_raw]]*MAX(0,MIN(_xlfn.DAYS(EDATE(T$1,1),Log_2018[[#This Row],[Date]]),Log_2018[[#This Row],[Split_apply]])) - SUM($O96:S96)</f>
        <v>0</v>
      </c>
      <c r="U96" s="52">
        <f ca="1">Log_2018[[#This Row],[Amount]]/Log_2018[[#This Row],[Split_raw]]*MAX(0,MIN(_xlfn.DAYS(EDATE(U$1,1),Log_2018[[#This Row],[Date]]),Log_2018[[#This Row],[Split_apply]])) - SUM($O96:T96)</f>
        <v>0</v>
      </c>
      <c r="V96" s="52">
        <f ca="1">Log_2018[[#This Row],[Amount]]/Log_2018[[#This Row],[Split_raw]]*MAX(0,MIN(_xlfn.DAYS(EDATE(V$1,1),Log_2018[[#This Row],[Date]]),Log_2018[[#This Row],[Split_apply]])) - SUM($O96:U96)</f>
        <v>0</v>
      </c>
      <c r="W96" s="52">
        <f ca="1">Log_2018[[#This Row],[Amount]]/Log_2018[[#This Row],[Split_raw]]*MAX(0,MIN(_xlfn.DAYS(EDATE(W$1,1),Log_2018[[#This Row],[Date]]),Log_2018[[#This Row],[Split_apply]])) - SUM($O96:V96)</f>
        <v>0</v>
      </c>
      <c r="X96" s="52">
        <f ca="1">Log_2018[[#This Row],[Amount]]/Log_2018[[#This Row],[Split_raw]]*MAX(0,MIN(_xlfn.DAYS(EDATE(X$1,1),Log_2018[[#This Row],[Date]]),Log_2018[[#This Row],[Split_apply]])) - SUM($O96:W96)</f>
        <v>0</v>
      </c>
      <c r="Y96" s="52">
        <f ca="1">Log_2018[[#This Row],[Amount]]/Log_2018[[#This Row],[Split_raw]]*MAX(0,MIN(_xlfn.DAYS(EDATE(Y$1,1),Log_2018[[#This Row],[Date]]),Log_2018[[#This Row],[Split_apply]])) - SUM($O96:X96)</f>
        <v>0</v>
      </c>
      <c r="Z96" s="52">
        <f ca="1">Log_2018[[#This Row],[Amount]]/Log_2018[[#This Row],[Split_raw]]*MAX(0,MIN(_xlfn.DAYS(EDATE(Z$1,1),Log_2018[[#This Row],[Date]]),Log_2018[[#This Row],[Split_apply]])) - SUM($O96:Y96)</f>
        <v>-25.16</v>
      </c>
      <c r="AA96" s="52">
        <f ca="1">Log_2018[[#This Row],[Amount]]/Log_2018[[#This Row],[Split_raw]]*MAX(0,MIN(_xlfn.DAYS(EDATE(AA$1,1),Log_2018[[#This Row],[Date]]),Log_2018[[#This Row],[Split_apply]])) - SUM($O96:Z96)</f>
        <v>0</v>
      </c>
      <c r="AB96" s="54">
        <f ca="1">Log_2018[[#This Row],[Amount]]-SUM(O96:AA96)</f>
        <v>0</v>
      </c>
      <c r="AC96" s="7">
        <f ca="1">MAX(0,Log_2018[[#This Row],[Split_apply]] - (EDATE(AA$1,1)-Log_2018[[#This Row],[Date]]))</f>
        <v>0</v>
      </c>
    </row>
    <row r="97" spans="1:29" hidden="1" x14ac:dyDescent="0.25">
      <c r="A97" s="115"/>
      <c r="B97" t="s">
        <v>6</v>
      </c>
      <c r="D97" s="26">
        <v>43421</v>
      </c>
      <c r="F97" t="s">
        <v>308</v>
      </c>
      <c r="G97" t="s">
        <v>25</v>
      </c>
      <c r="H97" s="3">
        <v>-11.86</v>
      </c>
      <c r="I97" s="36">
        <f>IF(Log_2018[[#This Row],[My Category]]="NONTRACKED",0,Log_2018[[#This Row],[Raw Amount]])</f>
        <v>-11.86</v>
      </c>
      <c r="J97" s="17">
        <f>ABS(Log_2018[[#This Row],[Amount]])</f>
        <v>11.86</v>
      </c>
      <c r="K97" s="66">
        <v>1</v>
      </c>
      <c r="L97" s="66">
        <f ca="1">IF(Log_2018[[#This Row],[Date]]&lt;=TODAY(), MIN(Log_2018[[#This Row],[Split_raw]], TODAY()-Log_2018[[#This Row],[Date]]+1), 0)</f>
        <v>1</v>
      </c>
      <c r="M97" t="s">
        <v>35</v>
      </c>
      <c r="N97" t="s">
        <v>158</v>
      </c>
      <c r="O97" s="50">
        <v>0</v>
      </c>
      <c r="P97" s="52">
        <f ca="1">Log_2018[[#This Row],[Amount]]/Log_2018[[#This Row],[Split_raw]]*MAX(0,MIN(_xlfn.DAYS(EDATE(P$1,1),Log_2018[[#This Row],[Date]]),Log_2018[[#This Row],[Split_apply]])) - SUM($O97:O97)</f>
        <v>0</v>
      </c>
      <c r="Q97" s="52">
        <f ca="1">Log_2018[[#This Row],[Amount]]/Log_2018[[#This Row],[Split_raw]]*MAX(0,MIN(_xlfn.DAYS(EDATE(Q$1,1),Log_2018[[#This Row],[Date]]),Log_2018[[#This Row],[Split_apply]])) - SUM($O97:P97)</f>
        <v>0</v>
      </c>
      <c r="R97" s="52">
        <f ca="1">Log_2018[[#This Row],[Amount]]/Log_2018[[#This Row],[Split_raw]]*MAX(0,MIN(_xlfn.DAYS(EDATE(R$1,1),Log_2018[[#This Row],[Date]]),Log_2018[[#This Row],[Split_apply]])) - SUM($O97:Q97)</f>
        <v>0</v>
      </c>
      <c r="S97" s="52">
        <f ca="1">Log_2018[[#This Row],[Amount]]/Log_2018[[#This Row],[Split_raw]]*MAX(0,MIN(_xlfn.DAYS(EDATE(S$1,1),Log_2018[[#This Row],[Date]]),Log_2018[[#This Row],[Split_apply]])) - SUM($O97:R97)</f>
        <v>0</v>
      </c>
      <c r="T97" s="52">
        <f ca="1">Log_2018[[#This Row],[Amount]]/Log_2018[[#This Row],[Split_raw]]*MAX(0,MIN(_xlfn.DAYS(EDATE(T$1,1),Log_2018[[#This Row],[Date]]),Log_2018[[#This Row],[Split_apply]])) - SUM($O97:S97)</f>
        <v>0</v>
      </c>
      <c r="U97" s="52">
        <f ca="1">Log_2018[[#This Row],[Amount]]/Log_2018[[#This Row],[Split_raw]]*MAX(0,MIN(_xlfn.DAYS(EDATE(U$1,1),Log_2018[[#This Row],[Date]]),Log_2018[[#This Row],[Split_apply]])) - SUM($O97:T97)</f>
        <v>0</v>
      </c>
      <c r="V97" s="52">
        <f ca="1">Log_2018[[#This Row],[Amount]]/Log_2018[[#This Row],[Split_raw]]*MAX(0,MIN(_xlfn.DAYS(EDATE(V$1,1),Log_2018[[#This Row],[Date]]),Log_2018[[#This Row],[Split_apply]])) - SUM($O97:U97)</f>
        <v>0</v>
      </c>
      <c r="W97" s="52">
        <f ca="1">Log_2018[[#This Row],[Amount]]/Log_2018[[#This Row],[Split_raw]]*MAX(0,MIN(_xlfn.DAYS(EDATE(W$1,1),Log_2018[[#This Row],[Date]]),Log_2018[[#This Row],[Split_apply]])) - SUM($O97:V97)</f>
        <v>0</v>
      </c>
      <c r="X97" s="52">
        <f ca="1">Log_2018[[#This Row],[Amount]]/Log_2018[[#This Row],[Split_raw]]*MAX(0,MIN(_xlfn.DAYS(EDATE(X$1,1),Log_2018[[#This Row],[Date]]),Log_2018[[#This Row],[Split_apply]])) - SUM($O97:W97)</f>
        <v>0</v>
      </c>
      <c r="Y97" s="52">
        <f ca="1">Log_2018[[#This Row],[Amount]]/Log_2018[[#This Row],[Split_raw]]*MAX(0,MIN(_xlfn.DAYS(EDATE(Y$1,1),Log_2018[[#This Row],[Date]]),Log_2018[[#This Row],[Split_apply]])) - SUM($O97:X97)</f>
        <v>0</v>
      </c>
      <c r="Z97" s="52">
        <f ca="1">Log_2018[[#This Row],[Amount]]/Log_2018[[#This Row],[Split_raw]]*MAX(0,MIN(_xlfn.DAYS(EDATE(Z$1,1),Log_2018[[#This Row],[Date]]),Log_2018[[#This Row],[Split_apply]])) - SUM($O97:Y97)</f>
        <v>-11.86</v>
      </c>
      <c r="AA97" s="52">
        <f ca="1">Log_2018[[#This Row],[Amount]]/Log_2018[[#This Row],[Split_raw]]*MAX(0,MIN(_xlfn.DAYS(EDATE(AA$1,1),Log_2018[[#This Row],[Date]]),Log_2018[[#This Row],[Split_apply]])) - SUM($O97:Z97)</f>
        <v>0</v>
      </c>
      <c r="AB97" s="54">
        <f ca="1">Log_2018[[#This Row],[Amount]]-SUM(O97:AA97)</f>
        <v>0</v>
      </c>
      <c r="AC97" s="7">
        <f ca="1">MAX(0,Log_2018[[#This Row],[Split_apply]] - (EDATE(AA$1,1)-Log_2018[[#This Row],[Date]]))</f>
        <v>0</v>
      </c>
    </row>
    <row r="98" spans="1:29" hidden="1" x14ac:dyDescent="0.25">
      <c r="A98" s="115"/>
      <c r="B98" t="s">
        <v>6</v>
      </c>
      <c r="D98" s="26">
        <v>43421</v>
      </c>
      <c r="F98" t="s">
        <v>255</v>
      </c>
      <c r="G98" t="s">
        <v>25</v>
      </c>
      <c r="H98" s="3">
        <v>-1.69</v>
      </c>
      <c r="I98" s="36">
        <f>IF(Log_2018[[#This Row],[My Category]]="NONTRACKED",0,Log_2018[[#This Row],[Raw Amount]])</f>
        <v>-1.69</v>
      </c>
      <c r="J98" s="17">
        <f>ABS(Log_2018[[#This Row],[Amount]])</f>
        <v>1.69</v>
      </c>
      <c r="K98" s="66">
        <v>1</v>
      </c>
      <c r="L98" s="66">
        <f ca="1">IF(Log_2018[[#This Row],[Date]]&lt;=TODAY(), MIN(Log_2018[[#This Row],[Split_raw]], TODAY()-Log_2018[[#This Row],[Date]]+1), 0)</f>
        <v>1</v>
      </c>
      <c r="M98" t="s">
        <v>35</v>
      </c>
      <c r="N98" t="s">
        <v>158</v>
      </c>
      <c r="O98" s="50">
        <v>0</v>
      </c>
      <c r="P98" s="52">
        <f ca="1">Log_2018[[#This Row],[Amount]]/Log_2018[[#This Row],[Split_raw]]*MAX(0,MIN(_xlfn.DAYS(EDATE(P$1,1),Log_2018[[#This Row],[Date]]),Log_2018[[#This Row],[Split_apply]])) - SUM($O98:O98)</f>
        <v>0</v>
      </c>
      <c r="Q98" s="52">
        <f ca="1">Log_2018[[#This Row],[Amount]]/Log_2018[[#This Row],[Split_raw]]*MAX(0,MIN(_xlfn.DAYS(EDATE(Q$1,1),Log_2018[[#This Row],[Date]]),Log_2018[[#This Row],[Split_apply]])) - SUM($O98:P98)</f>
        <v>0</v>
      </c>
      <c r="R98" s="52">
        <f ca="1">Log_2018[[#This Row],[Amount]]/Log_2018[[#This Row],[Split_raw]]*MAX(0,MIN(_xlfn.DAYS(EDATE(R$1,1),Log_2018[[#This Row],[Date]]),Log_2018[[#This Row],[Split_apply]])) - SUM($O98:Q98)</f>
        <v>0</v>
      </c>
      <c r="S98" s="52">
        <f ca="1">Log_2018[[#This Row],[Amount]]/Log_2018[[#This Row],[Split_raw]]*MAX(0,MIN(_xlfn.DAYS(EDATE(S$1,1),Log_2018[[#This Row],[Date]]),Log_2018[[#This Row],[Split_apply]])) - SUM($O98:R98)</f>
        <v>0</v>
      </c>
      <c r="T98" s="52">
        <f ca="1">Log_2018[[#This Row],[Amount]]/Log_2018[[#This Row],[Split_raw]]*MAX(0,MIN(_xlfn.DAYS(EDATE(T$1,1),Log_2018[[#This Row],[Date]]),Log_2018[[#This Row],[Split_apply]])) - SUM($O98:S98)</f>
        <v>0</v>
      </c>
      <c r="U98" s="52">
        <f ca="1">Log_2018[[#This Row],[Amount]]/Log_2018[[#This Row],[Split_raw]]*MAX(0,MIN(_xlfn.DAYS(EDATE(U$1,1),Log_2018[[#This Row],[Date]]),Log_2018[[#This Row],[Split_apply]])) - SUM($O98:T98)</f>
        <v>0</v>
      </c>
      <c r="V98" s="52">
        <f ca="1">Log_2018[[#This Row],[Amount]]/Log_2018[[#This Row],[Split_raw]]*MAX(0,MIN(_xlfn.DAYS(EDATE(V$1,1),Log_2018[[#This Row],[Date]]),Log_2018[[#This Row],[Split_apply]])) - SUM($O98:U98)</f>
        <v>0</v>
      </c>
      <c r="W98" s="52">
        <f ca="1">Log_2018[[#This Row],[Amount]]/Log_2018[[#This Row],[Split_raw]]*MAX(0,MIN(_xlfn.DAYS(EDATE(W$1,1),Log_2018[[#This Row],[Date]]),Log_2018[[#This Row],[Split_apply]])) - SUM($O98:V98)</f>
        <v>0</v>
      </c>
      <c r="X98" s="52">
        <f ca="1">Log_2018[[#This Row],[Amount]]/Log_2018[[#This Row],[Split_raw]]*MAX(0,MIN(_xlfn.DAYS(EDATE(X$1,1),Log_2018[[#This Row],[Date]]),Log_2018[[#This Row],[Split_apply]])) - SUM($O98:W98)</f>
        <v>0</v>
      </c>
      <c r="Y98" s="52">
        <f ca="1">Log_2018[[#This Row],[Amount]]/Log_2018[[#This Row],[Split_raw]]*MAX(0,MIN(_xlfn.DAYS(EDATE(Y$1,1),Log_2018[[#This Row],[Date]]),Log_2018[[#This Row],[Split_apply]])) - SUM($O98:X98)</f>
        <v>0</v>
      </c>
      <c r="Z98" s="52">
        <f ca="1">Log_2018[[#This Row],[Amount]]/Log_2018[[#This Row],[Split_raw]]*MAX(0,MIN(_xlfn.DAYS(EDATE(Z$1,1),Log_2018[[#This Row],[Date]]),Log_2018[[#This Row],[Split_apply]])) - SUM($O98:Y98)</f>
        <v>-1.69</v>
      </c>
      <c r="AA98" s="52">
        <f ca="1">Log_2018[[#This Row],[Amount]]/Log_2018[[#This Row],[Split_raw]]*MAX(0,MIN(_xlfn.DAYS(EDATE(AA$1,1),Log_2018[[#This Row],[Date]]),Log_2018[[#This Row],[Split_apply]])) - SUM($O98:Z98)</f>
        <v>0</v>
      </c>
      <c r="AB98" s="54">
        <f ca="1">Log_2018[[#This Row],[Amount]]-SUM(O98:AA98)</f>
        <v>0</v>
      </c>
      <c r="AC98" s="7">
        <f ca="1">MAX(0,Log_2018[[#This Row],[Split_apply]] - (EDATE(AA$1,1)-Log_2018[[#This Row],[Date]]))</f>
        <v>0</v>
      </c>
    </row>
    <row r="99" spans="1:29" hidden="1" x14ac:dyDescent="0.25">
      <c r="A99" s="115"/>
      <c r="B99" t="s">
        <v>490</v>
      </c>
      <c r="C99" s="30">
        <v>2.6141923321357199E+18</v>
      </c>
      <c r="D99" s="26">
        <v>43420</v>
      </c>
      <c r="F99" t="s">
        <v>505</v>
      </c>
      <c r="H99" s="3">
        <v>20</v>
      </c>
      <c r="I99" s="36">
        <f>IF(Log_2018[[#This Row],[My Category]]="NONTRACKED",0,Log_2018[[#This Row],[Raw Amount]])</f>
        <v>20</v>
      </c>
      <c r="J99" s="17">
        <f>ABS(Log_2018[[#This Row],[Amount]])</f>
        <v>20</v>
      </c>
      <c r="K99" s="66">
        <v>1</v>
      </c>
      <c r="L99" s="66">
        <f ca="1">IF(Log_2018[[#This Row],[Date]]&lt;=TODAY(), MIN(Log_2018[[#This Row],[Split_raw]], TODAY()-Log_2018[[#This Row],[Date]]+1), 0)</f>
        <v>1</v>
      </c>
      <c r="M99" t="s">
        <v>37</v>
      </c>
      <c r="N99" t="s">
        <v>489</v>
      </c>
      <c r="O99" s="50">
        <v>0</v>
      </c>
      <c r="P99" s="52">
        <f ca="1">Log_2018[[#This Row],[Amount]]/Log_2018[[#This Row],[Split_raw]]*MAX(0,MIN(_xlfn.DAYS(EDATE(P$1,1),Log_2018[[#This Row],[Date]]),Log_2018[[#This Row],[Split_apply]])) - SUM($O99:O99)</f>
        <v>0</v>
      </c>
      <c r="Q99" s="52">
        <f ca="1">Log_2018[[#This Row],[Amount]]/Log_2018[[#This Row],[Split_raw]]*MAX(0,MIN(_xlfn.DAYS(EDATE(Q$1,1),Log_2018[[#This Row],[Date]]),Log_2018[[#This Row],[Split_apply]])) - SUM($O99:P99)</f>
        <v>0</v>
      </c>
      <c r="R99" s="52">
        <f ca="1">Log_2018[[#This Row],[Amount]]/Log_2018[[#This Row],[Split_raw]]*MAX(0,MIN(_xlfn.DAYS(EDATE(R$1,1),Log_2018[[#This Row],[Date]]),Log_2018[[#This Row],[Split_apply]])) - SUM($O99:Q99)</f>
        <v>0</v>
      </c>
      <c r="S99" s="52">
        <f ca="1">Log_2018[[#This Row],[Amount]]/Log_2018[[#This Row],[Split_raw]]*MAX(0,MIN(_xlfn.DAYS(EDATE(S$1,1),Log_2018[[#This Row],[Date]]),Log_2018[[#This Row],[Split_apply]])) - SUM($O99:R99)</f>
        <v>0</v>
      </c>
      <c r="T99" s="52">
        <f ca="1">Log_2018[[#This Row],[Amount]]/Log_2018[[#This Row],[Split_raw]]*MAX(0,MIN(_xlfn.DAYS(EDATE(T$1,1),Log_2018[[#This Row],[Date]]),Log_2018[[#This Row],[Split_apply]])) - SUM($O99:S99)</f>
        <v>0</v>
      </c>
      <c r="U99" s="52">
        <f ca="1">Log_2018[[#This Row],[Amount]]/Log_2018[[#This Row],[Split_raw]]*MAX(0,MIN(_xlfn.DAYS(EDATE(U$1,1),Log_2018[[#This Row],[Date]]),Log_2018[[#This Row],[Split_apply]])) - SUM($O99:T99)</f>
        <v>0</v>
      </c>
      <c r="V99" s="52">
        <f ca="1">Log_2018[[#This Row],[Amount]]/Log_2018[[#This Row],[Split_raw]]*MAX(0,MIN(_xlfn.DAYS(EDATE(V$1,1),Log_2018[[#This Row],[Date]]),Log_2018[[#This Row],[Split_apply]])) - SUM($O99:U99)</f>
        <v>0</v>
      </c>
      <c r="W99" s="52">
        <f ca="1">Log_2018[[#This Row],[Amount]]/Log_2018[[#This Row],[Split_raw]]*MAX(0,MIN(_xlfn.DAYS(EDATE(W$1,1),Log_2018[[#This Row],[Date]]),Log_2018[[#This Row],[Split_apply]])) - SUM($O99:V99)</f>
        <v>0</v>
      </c>
      <c r="X99" s="52">
        <f ca="1">Log_2018[[#This Row],[Amount]]/Log_2018[[#This Row],[Split_raw]]*MAX(0,MIN(_xlfn.DAYS(EDATE(X$1,1),Log_2018[[#This Row],[Date]]),Log_2018[[#This Row],[Split_apply]])) - SUM($O99:W99)</f>
        <v>0</v>
      </c>
      <c r="Y99" s="52">
        <f ca="1">Log_2018[[#This Row],[Amount]]/Log_2018[[#This Row],[Split_raw]]*MAX(0,MIN(_xlfn.DAYS(EDATE(Y$1,1),Log_2018[[#This Row],[Date]]),Log_2018[[#This Row],[Split_apply]])) - SUM($O99:X99)</f>
        <v>0</v>
      </c>
      <c r="Z99" s="52">
        <f ca="1">Log_2018[[#This Row],[Amount]]/Log_2018[[#This Row],[Split_raw]]*MAX(0,MIN(_xlfn.DAYS(EDATE(Z$1,1),Log_2018[[#This Row],[Date]]),Log_2018[[#This Row],[Split_apply]])) - SUM($O99:Y99)</f>
        <v>20</v>
      </c>
      <c r="AA99" s="52">
        <f ca="1">Log_2018[[#This Row],[Amount]]/Log_2018[[#This Row],[Split_raw]]*MAX(0,MIN(_xlfn.DAYS(EDATE(AA$1,1),Log_2018[[#This Row],[Date]]),Log_2018[[#This Row],[Split_apply]])) - SUM($O99:Z99)</f>
        <v>0</v>
      </c>
      <c r="AB99" s="54">
        <f ca="1">Log_2018[[#This Row],[Amount]]-SUM(O99:AA99)</f>
        <v>0</v>
      </c>
      <c r="AC99" s="7">
        <f ca="1">MAX(0,Log_2018[[#This Row],[Split_apply]] - (EDATE(AA$1,1)-Log_2018[[#This Row],[Date]]))</f>
        <v>0</v>
      </c>
    </row>
    <row r="100" spans="1:29" hidden="1" x14ac:dyDescent="0.25">
      <c r="A100" s="115"/>
      <c r="B100" t="s">
        <v>6</v>
      </c>
      <c r="D100" s="26">
        <v>43419</v>
      </c>
      <c r="F100" t="s">
        <v>59</v>
      </c>
      <c r="G100" t="s">
        <v>25</v>
      </c>
      <c r="H100" s="3">
        <v>-7.94</v>
      </c>
      <c r="I100" s="36">
        <f>IF(Log_2018[[#This Row],[My Category]]="NONTRACKED",0,Log_2018[[#This Row],[Raw Amount]])</f>
        <v>-7.94</v>
      </c>
      <c r="J100" s="17">
        <f>ABS(Log_2018[[#This Row],[Amount]])</f>
        <v>7.94</v>
      </c>
      <c r="K100" s="66">
        <v>1</v>
      </c>
      <c r="L100" s="66">
        <f ca="1">IF(Log_2018[[#This Row],[Date]]&lt;=TODAY(), MIN(Log_2018[[#This Row],[Split_raw]], TODAY()-Log_2018[[#This Row],[Date]]+1), 0)</f>
        <v>1</v>
      </c>
      <c r="M100" t="s">
        <v>35</v>
      </c>
      <c r="N100" t="s">
        <v>158</v>
      </c>
      <c r="O100" s="50">
        <v>0</v>
      </c>
      <c r="P100" s="52">
        <f ca="1">Log_2018[[#This Row],[Amount]]/Log_2018[[#This Row],[Split_raw]]*MAX(0,MIN(_xlfn.DAYS(EDATE(P$1,1),Log_2018[[#This Row],[Date]]),Log_2018[[#This Row],[Split_apply]])) - SUM($O100:O100)</f>
        <v>0</v>
      </c>
      <c r="Q100" s="52">
        <f ca="1">Log_2018[[#This Row],[Amount]]/Log_2018[[#This Row],[Split_raw]]*MAX(0,MIN(_xlfn.DAYS(EDATE(Q$1,1),Log_2018[[#This Row],[Date]]),Log_2018[[#This Row],[Split_apply]])) - SUM($O100:P100)</f>
        <v>0</v>
      </c>
      <c r="R100" s="52">
        <f ca="1">Log_2018[[#This Row],[Amount]]/Log_2018[[#This Row],[Split_raw]]*MAX(0,MIN(_xlfn.DAYS(EDATE(R$1,1),Log_2018[[#This Row],[Date]]),Log_2018[[#This Row],[Split_apply]])) - SUM($O100:Q100)</f>
        <v>0</v>
      </c>
      <c r="S100" s="52">
        <f ca="1">Log_2018[[#This Row],[Amount]]/Log_2018[[#This Row],[Split_raw]]*MAX(0,MIN(_xlfn.DAYS(EDATE(S$1,1),Log_2018[[#This Row],[Date]]),Log_2018[[#This Row],[Split_apply]])) - SUM($O100:R100)</f>
        <v>0</v>
      </c>
      <c r="T100" s="52">
        <f ca="1">Log_2018[[#This Row],[Amount]]/Log_2018[[#This Row],[Split_raw]]*MAX(0,MIN(_xlfn.DAYS(EDATE(T$1,1),Log_2018[[#This Row],[Date]]),Log_2018[[#This Row],[Split_apply]])) - SUM($O100:S100)</f>
        <v>0</v>
      </c>
      <c r="U100" s="52">
        <f ca="1">Log_2018[[#This Row],[Amount]]/Log_2018[[#This Row],[Split_raw]]*MAX(0,MIN(_xlfn.DAYS(EDATE(U$1,1),Log_2018[[#This Row],[Date]]),Log_2018[[#This Row],[Split_apply]])) - SUM($O100:T100)</f>
        <v>0</v>
      </c>
      <c r="V100" s="52">
        <f ca="1">Log_2018[[#This Row],[Amount]]/Log_2018[[#This Row],[Split_raw]]*MAX(0,MIN(_xlfn.DAYS(EDATE(V$1,1),Log_2018[[#This Row],[Date]]),Log_2018[[#This Row],[Split_apply]])) - SUM($O100:U100)</f>
        <v>0</v>
      </c>
      <c r="W100" s="52">
        <f ca="1">Log_2018[[#This Row],[Amount]]/Log_2018[[#This Row],[Split_raw]]*MAX(0,MIN(_xlfn.DAYS(EDATE(W$1,1),Log_2018[[#This Row],[Date]]),Log_2018[[#This Row],[Split_apply]])) - SUM($O100:V100)</f>
        <v>0</v>
      </c>
      <c r="X100" s="52">
        <f ca="1">Log_2018[[#This Row],[Amount]]/Log_2018[[#This Row],[Split_raw]]*MAX(0,MIN(_xlfn.DAYS(EDATE(X$1,1),Log_2018[[#This Row],[Date]]),Log_2018[[#This Row],[Split_apply]])) - SUM($O100:W100)</f>
        <v>0</v>
      </c>
      <c r="Y100" s="52">
        <f ca="1">Log_2018[[#This Row],[Amount]]/Log_2018[[#This Row],[Split_raw]]*MAX(0,MIN(_xlfn.DAYS(EDATE(Y$1,1),Log_2018[[#This Row],[Date]]),Log_2018[[#This Row],[Split_apply]])) - SUM($O100:X100)</f>
        <v>0</v>
      </c>
      <c r="Z100" s="52">
        <f ca="1">Log_2018[[#This Row],[Amount]]/Log_2018[[#This Row],[Split_raw]]*MAX(0,MIN(_xlfn.DAYS(EDATE(Z$1,1),Log_2018[[#This Row],[Date]]),Log_2018[[#This Row],[Split_apply]])) - SUM($O100:Y100)</f>
        <v>-7.94</v>
      </c>
      <c r="AA100" s="52">
        <f ca="1">Log_2018[[#This Row],[Amount]]/Log_2018[[#This Row],[Split_raw]]*MAX(0,MIN(_xlfn.DAYS(EDATE(AA$1,1),Log_2018[[#This Row],[Date]]),Log_2018[[#This Row],[Split_apply]])) - SUM($O100:Z100)</f>
        <v>0</v>
      </c>
      <c r="AB100" s="54">
        <f ca="1">Log_2018[[#This Row],[Amount]]-SUM(O100:AA100)</f>
        <v>0</v>
      </c>
      <c r="AC100" s="7">
        <f ca="1">MAX(0,Log_2018[[#This Row],[Split_apply]] - (EDATE(AA$1,1)-Log_2018[[#This Row],[Date]]))</f>
        <v>0</v>
      </c>
    </row>
    <row r="101" spans="1:29" hidden="1" x14ac:dyDescent="0.25">
      <c r="A101" s="115"/>
      <c r="B101" t="s">
        <v>6</v>
      </c>
      <c r="D101" s="26">
        <v>43419</v>
      </c>
      <c r="F101" t="s">
        <v>255</v>
      </c>
      <c r="G101" t="s">
        <v>25</v>
      </c>
      <c r="H101" s="3">
        <v>-4.6100000000000003</v>
      </c>
      <c r="I101" s="36">
        <f>IF(Log_2018[[#This Row],[My Category]]="NONTRACKED",0,Log_2018[[#This Row],[Raw Amount]])</f>
        <v>-4.6100000000000003</v>
      </c>
      <c r="J101" s="17">
        <f>ABS(Log_2018[[#This Row],[Amount]])</f>
        <v>4.6100000000000003</v>
      </c>
      <c r="K101" s="66">
        <v>1</v>
      </c>
      <c r="L101" s="66">
        <f ca="1">IF(Log_2018[[#This Row],[Date]]&lt;=TODAY(), MIN(Log_2018[[#This Row],[Split_raw]], TODAY()-Log_2018[[#This Row],[Date]]+1), 0)</f>
        <v>1</v>
      </c>
      <c r="M101" t="s">
        <v>35</v>
      </c>
      <c r="N101" t="s">
        <v>158</v>
      </c>
      <c r="O101" s="50">
        <v>0</v>
      </c>
      <c r="P101" s="52">
        <f ca="1">Log_2018[[#This Row],[Amount]]/Log_2018[[#This Row],[Split_raw]]*MAX(0,MIN(_xlfn.DAYS(EDATE(P$1,1),Log_2018[[#This Row],[Date]]),Log_2018[[#This Row],[Split_apply]])) - SUM($O101:O101)</f>
        <v>0</v>
      </c>
      <c r="Q101" s="52">
        <f ca="1">Log_2018[[#This Row],[Amount]]/Log_2018[[#This Row],[Split_raw]]*MAX(0,MIN(_xlfn.DAYS(EDATE(Q$1,1),Log_2018[[#This Row],[Date]]),Log_2018[[#This Row],[Split_apply]])) - SUM($O101:P101)</f>
        <v>0</v>
      </c>
      <c r="R101" s="52">
        <f ca="1">Log_2018[[#This Row],[Amount]]/Log_2018[[#This Row],[Split_raw]]*MAX(0,MIN(_xlfn.DAYS(EDATE(R$1,1),Log_2018[[#This Row],[Date]]),Log_2018[[#This Row],[Split_apply]])) - SUM($O101:Q101)</f>
        <v>0</v>
      </c>
      <c r="S101" s="52">
        <f ca="1">Log_2018[[#This Row],[Amount]]/Log_2018[[#This Row],[Split_raw]]*MAX(0,MIN(_xlfn.DAYS(EDATE(S$1,1),Log_2018[[#This Row],[Date]]),Log_2018[[#This Row],[Split_apply]])) - SUM($O101:R101)</f>
        <v>0</v>
      </c>
      <c r="T101" s="52">
        <f ca="1">Log_2018[[#This Row],[Amount]]/Log_2018[[#This Row],[Split_raw]]*MAX(0,MIN(_xlfn.DAYS(EDATE(T$1,1),Log_2018[[#This Row],[Date]]),Log_2018[[#This Row],[Split_apply]])) - SUM($O101:S101)</f>
        <v>0</v>
      </c>
      <c r="U101" s="52">
        <f ca="1">Log_2018[[#This Row],[Amount]]/Log_2018[[#This Row],[Split_raw]]*MAX(0,MIN(_xlfn.DAYS(EDATE(U$1,1),Log_2018[[#This Row],[Date]]),Log_2018[[#This Row],[Split_apply]])) - SUM($O101:T101)</f>
        <v>0</v>
      </c>
      <c r="V101" s="52">
        <f ca="1">Log_2018[[#This Row],[Amount]]/Log_2018[[#This Row],[Split_raw]]*MAX(0,MIN(_xlfn.DAYS(EDATE(V$1,1),Log_2018[[#This Row],[Date]]),Log_2018[[#This Row],[Split_apply]])) - SUM($O101:U101)</f>
        <v>0</v>
      </c>
      <c r="W101" s="52">
        <f ca="1">Log_2018[[#This Row],[Amount]]/Log_2018[[#This Row],[Split_raw]]*MAX(0,MIN(_xlfn.DAYS(EDATE(W$1,1),Log_2018[[#This Row],[Date]]),Log_2018[[#This Row],[Split_apply]])) - SUM($O101:V101)</f>
        <v>0</v>
      </c>
      <c r="X101" s="52">
        <f ca="1">Log_2018[[#This Row],[Amount]]/Log_2018[[#This Row],[Split_raw]]*MAX(0,MIN(_xlfn.DAYS(EDATE(X$1,1),Log_2018[[#This Row],[Date]]),Log_2018[[#This Row],[Split_apply]])) - SUM($O101:W101)</f>
        <v>0</v>
      </c>
      <c r="Y101" s="52">
        <f ca="1">Log_2018[[#This Row],[Amount]]/Log_2018[[#This Row],[Split_raw]]*MAX(0,MIN(_xlfn.DAYS(EDATE(Y$1,1),Log_2018[[#This Row],[Date]]),Log_2018[[#This Row],[Split_apply]])) - SUM($O101:X101)</f>
        <v>0</v>
      </c>
      <c r="Z101" s="52">
        <f ca="1">Log_2018[[#This Row],[Amount]]/Log_2018[[#This Row],[Split_raw]]*MAX(0,MIN(_xlfn.DAYS(EDATE(Z$1,1),Log_2018[[#This Row],[Date]]),Log_2018[[#This Row],[Split_apply]])) - SUM($O101:Y101)</f>
        <v>-4.6100000000000003</v>
      </c>
      <c r="AA101" s="52">
        <f ca="1">Log_2018[[#This Row],[Amount]]/Log_2018[[#This Row],[Split_raw]]*MAX(0,MIN(_xlfn.DAYS(EDATE(AA$1,1),Log_2018[[#This Row],[Date]]),Log_2018[[#This Row],[Split_apply]])) - SUM($O101:Z101)</f>
        <v>0</v>
      </c>
      <c r="AB101" s="54">
        <f ca="1">Log_2018[[#This Row],[Amount]]-SUM(O101:AA101)</f>
        <v>0</v>
      </c>
      <c r="AC101" s="7">
        <f ca="1">MAX(0,Log_2018[[#This Row],[Split_apply]] - (EDATE(AA$1,1)-Log_2018[[#This Row],[Date]]))</f>
        <v>0</v>
      </c>
    </row>
    <row r="102" spans="1:29" hidden="1" x14ac:dyDescent="0.25">
      <c r="A102" s="115"/>
      <c r="B102" t="s">
        <v>6</v>
      </c>
      <c r="D102" s="26">
        <v>43419</v>
      </c>
      <c r="F102" t="s">
        <v>427</v>
      </c>
      <c r="G102" t="s">
        <v>29</v>
      </c>
      <c r="H102" s="3">
        <v>-43.94</v>
      </c>
      <c r="I102" s="36">
        <f>IF(Log_2018[[#This Row],[My Category]]="NONTRACKED",0,Log_2018[[#This Row],[Raw Amount]])</f>
        <v>-43.94</v>
      </c>
      <c r="J102" s="17">
        <f>ABS(Log_2018[[#This Row],[Amount]])</f>
        <v>43.94</v>
      </c>
      <c r="K102" s="66">
        <v>30</v>
      </c>
      <c r="L102" s="66">
        <f ca="1">IF(Log_2018[[#This Row],[Date]]&lt;=TODAY(), MIN(Log_2018[[#This Row],[Split_raw]], TODAY()-Log_2018[[#This Row],[Date]]+1), 0)</f>
        <v>30</v>
      </c>
      <c r="M102" t="s">
        <v>29</v>
      </c>
      <c r="N102" t="s">
        <v>160</v>
      </c>
      <c r="O102" s="50">
        <v>0</v>
      </c>
      <c r="P102" s="52">
        <f ca="1">Log_2018[[#This Row],[Amount]]/Log_2018[[#This Row],[Split_raw]]*MAX(0,MIN(_xlfn.DAYS(EDATE(P$1,1),Log_2018[[#This Row],[Date]]),Log_2018[[#This Row],[Split_apply]])) - SUM($O102:O102)</f>
        <v>0</v>
      </c>
      <c r="Q102" s="52">
        <f ca="1">Log_2018[[#This Row],[Amount]]/Log_2018[[#This Row],[Split_raw]]*MAX(0,MIN(_xlfn.DAYS(EDATE(Q$1,1),Log_2018[[#This Row],[Date]]),Log_2018[[#This Row],[Split_apply]])) - SUM($O102:P102)</f>
        <v>0</v>
      </c>
      <c r="R102" s="52">
        <f ca="1">Log_2018[[#This Row],[Amount]]/Log_2018[[#This Row],[Split_raw]]*MAX(0,MIN(_xlfn.DAYS(EDATE(R$1,1),Log_2018[[#This Row],[Date]]),Log_2018[[#This Row],[Split_apply]])) - SUM($O102:Q102)</f>
        <v>0</v>
      </c>
      <c r="S102" s="52">
        <f ca="1">Log_2018[[#This Row],[Amount]]/Log_2018[[#This Row],[Split_raw]]*MAX(0,MIN(_xlfn.DAYS(EDATE(S$1,1),Log_2018[[#This Row],[Date]]),Log_2018[[#This Row],[Split_apply]])) - SUM($O102:R102)</f>
        <v>0</v>
      </c>
      <c r="T102" s="52">
        <f ca="1">Log_2018[[#This Row],[Amount]]/Log_2018[[#This Row],[Split_raw]]*MAX(0,MIN(_xlfn.DAYS(EDATE(T$1,1),Log_2018[[#This Row],[Date]]),Log_2018[[#This Row],[Split_apply]])) - SUM($O102:S102)</f>
        <v>0</v>
      </c>
      <c r="U102" s="52">
        <f ca="1">Log_2018[[#This Row],[Amount]]/Log_2018[[#This Row],[Split_raw]]*MAX(0,MIN(_xlfn.DAYS(EDATE(U$1,1),Log_2018[[#This Row],[Date]]),Log_2018[[#This Row],[Split_apply]])) - SUM($O102:T102)</f>
        <v>0</v>
      </c>
      <c r="V102" s="52">
        <f ca="1">Log_2018[[#This Row],[Amount]]/Log_2018[[#This Row],[Split_raw]]*MAX(0,MIN(_xlfn.DAYS(EDATE(V$1,1),Log_2018[[#This Row],[Date]]),Log_2018[[#This Row],[Split_apply]])) - SUM($O102:U102)</f>
        <v>0</v>
      </c>
      <c r="W102" s="52">
        <f ca="1">Log_2018[[#This Row],[Amount]]/Log_2018[[#This Row],[Split_raw]]*MAX(0,MIN(_xlfn.DAYS(EDATE(W$1,1),Log_2018[[#This Row],[Date]]),Log_2018[[#This Row],[Split_apply]])) - SUM($O102:V102)</f>
        <v>0</v>
      </c>
      <c r="X102" s="52">
        <f ca="1">Log_2018[[#This Row],[Amount]]/Log_2018[[#This Row],[Split_raw]]*MAX(0,MIN(_xlfn.DAYS(EDATE(X$1,1),Log_2018[[#This Row],[Date]]),Log_2018[[#This Row],[Split_apply]])) - SUM($O102:W102)</f>
        <v>0</v>
      </c>
      <c r="Y102" s="52">
        <f ca="1">Log_2018[[#This Row],[Amount]]/Log_2018[[#This Row],[Split_raw]]*MAX(0,MIN(_xlfn.DAYS(EDATE(Y$1,1),Log_2018[[#This Row],[Date]]),Log_2018[[#This Row],[Split_apply]])) - SUM($O102:X102)</f>
        <v>0</v>
      </c>
      <c r="Z102" s="52">
        <f ca="1">Log_2018[[#This Row],[Amount]]/Log_2018[[#This Row],[Split_raw]]*MAX(0,MIN(_xlfn.DAYS(EDATE(Z$1,1),Log_2018[[#This Row],[Date]]),Log_2018[[#This Row],[Split_apply]])) - SUM($O102:Y102)</f>
        <v>-23.434666666666665</v>
      </c>
      <c r="AA102" s="52">
        <f ca="1">Log_2018[[#This Row],[Amount]]/Log_2018[[#This Row],[Split_raw]]*MAX(0,MIN(_xlfn.DAYS(EDATE(AA$1,1),Log_2018[[#This Row],[Date]]),Log_2018[[#This Row],[Split_apply]])) - SUM($O102:Z102)</f>
        <v>-20.505333333333333</v>
      </c>
      <c r="AB102" s="54">
        <f ca="1">Log_2018[[#This Row],[Amount]]-SUM(O102:AA102)</f>
        <v>0</v>
      </c>
      <c r="AC102" s="7">
        <f ca="1">MAX(0,Log_2018[[#This Row],[Split_apply]] - (EDATE(AA$1,1)-Log_2018[[#This Row],[Date]]))</f>
        <v>0</v>
      </c>
    </row>
    <row r="103" spans="1:29" hidden="1" x14ac:dyDescent="0.25">
      <c r="A103" s="115"/>
      <c r="B103" s="34" t="s">
        <v>6</v>
      </c>
      <c r="D103" s="26">
        <v>43418</v>
      </c>
      <c r="F103" t="s">
        <v>83</v>
      </c>
      <c r="G103" t="s">
        <v>15</v>
      </c>
      <c r="H103" s="3">
        <v>-202.02</v>
      </c>
      <c r="I103" s="36">
        <f>IF(Log_2018[[#This Row],[My Category]]="NONTRACKED",0,Log_2018[[#This Row],[Raw Amount]])</f>
        <v>-202.02</v>
      </c>
      <c r="J103" s="17">
        <f>ABS(Log_2018[[#This Row],[Amount]])</f>
        <v>202.02</v>
      </c>
      <c r="K103" s="66">
        <v>30</v>
      </c>
      <c r="L103" s="66">
        <f ca="1">IF(Log_2018[[#This Row],[Date]]&lt;=TODAY(), MIN(Log_2018[[#This Row],[Split_raw]], TODAY()-Log_2018[[#This Row],[Date]]+1), 0)</f>
        <v>30</v>
      </c>
      <c r="M103" t="s">
        <v>241</v>
      </c>
      <c r="N103" t="s">
        <v>160</v>
      </c>
      <c r="O103" s="50">
        <v>0</v>
      </c>
      <c r="P103" s="52">
        <f ca="1">Log_2018[[#This Row],[Amount]]/Log_2018[[#This Row],[Split_raw]]*MAX(0,MIN(_xlfn.DAYS(EDATE(P$1,1),Log_2018[[#This Row],[Date]]),Log_2018[[#This Row],[Split_apply]])) - SUM($O103:O103)</f>
        <v>0</v>
      </c>
      <c r="Q103" s="52">
        <f ca="1">Log_2018[[#This Row],[Amount]]/Log_2018[[#This Row],[Split_raw]]*MAX(0,MIN(_xlfn.DAYS(EDATE(Q$1,1),Log_2018[[#This Row],[Date]]),Log_2018[[#This Row],[Split_apply]])) - SUM($O103:P103)</f>
        <v>0</v>
      </c>
      <c r="R103" s="52">
        <f ca="1">Log_2018[[#This Row],[Amount]]/Log_2018[[#This Row],[Split_raw]]*MAX(0,MIN(_xlfn.DAYS(EDATE(R$1,1),Log_2018[[#This Row],[Date]]),Log_2018[[#This Row],[Split_apply]])) - SUM($O103:Q103)</f>
        <v>0</v>
      </c>
      <c r="S103" s="52">
        <f ca="1">Log_2018[[#This Row],[Amount]]/Log_2018[[#This Row],[Split_raw]]*MAX(0,MIN(_xlfn.DAYS(EDATE(S$1,1),Log_2018[[#This Row],[Date]]),Log_2018[[#This Row],[Split_apply]])) - SUM($O103:R103)</f>
        <v>0</v>
      </c>
      <c r="T103" s="52">
        <f ca="1">Log_2018[[#This Row],[Amount]]/Log_2018[[#This Row],[Split_raw]]*MAX(0,MIN(_xlfn.DAYS(EDATE(T$1,1),Log_2018[[#This Row],[Date]]),Log_2018[[#This Row],[Split_apply]])) - SUM($O103:S103)</f>
        <v>0</v>
      </c>
      <c r="U103" s="52">
        <f ca="1">Log_2018[[#This Row],[Amount]]/Log_2018[[#This Row],[Split_raw]]*MAX(0,MIN(_xlfn.DAYS(EDATE(U$1,1),Log_2018[[#This Row],[Date]]),Log_2018[[#This Row],[Split_apply]])) - SUM($O103:T103)</f>
        <v>0</v>
      </c>
      <c r="V103" s="52">
        <f ca="1">Log_2018[[#This Row],[Amount]]/Log_2018[[#This Row],[Split_raw]]*MAX(0,MIN(_xlfn.DAYS(EDATE(V$1,1),Log_2018[[#This Row],[Date]]),Log_2018[[#This Row],[Split_apply]])) - SUM($O103:U103)</f>
        <v>0</v>
      </c>
      <c r="W103" s="52">
        <f ca="1">Log_2018[[#This Row],[Amount]]/Log_2018[[#This Row],[Split_raw]]*MAX(0,MIN(_xlfn.DAYS(EDATE(W$1,1),Log_2018[[#This Row],[Date]]),Log_2018[[#This Row],[Split_apply]])) - SUM($O103:V103)</f>
        <v>0</v>
      </c>
      <c r="X103" s="52">
        <f ca="1">Log_2018[[#This Row],[Amount]]/Log_2018[[#This Row],[Split_raw]]*MAX(0,MIN(_xlfn.DAYS(EDATE(X$1,1),Log_2018[[#This Row],[Date]]),Log_2018[[#This Row],[Split_apply]])) - SUM($O103:W103)</f>
        <v>0</v>
      </c>
      <c r="Y103" s="52">
        <f ca="1">Log_2018[[#This Row],[Amount]]/Log_2018[[#This Row],[Split_raw]]*MAX(0,MIN(_xlfn.DAYS(EDATE(Y$1,1),Log_2018[[#This Row],[Date]]),Log_2018[[#This Row],[Split_apply]])) - SUM($O103:X103)</f>
        <v>0</v>
      </c>
      <c r="Z103" s="52">
        <f ca="1">Log_2018[[#This Row],[Amount]]/Log_2018[[#This Row],[Split_raw]]*MAX(0,MIN(_xlfn.DAYS(EDATE(Z$1,1),Log_2018[[#This Row],[Date]]),Log_2018[[#This Row],[Split_apply]])) - SUM($O103:Y103)</f>
        <v>-114.47799999999999</v>
      </c>
      <c r="AA103" s="52">
        <f ca="1">Log_2018[[#This Row],[Amount]]/Log_2018[[#This Row],[Split_raw]]*MAX(0,MIN(_xlfn.DAYS(EDATE(AA$1,1),Log_2018[[#This Row],[Date]]),Log_2018[[#This Row],[Split_apply]])) - SUM($O103:Z103)</f>
        <v>-87.542000000000016</v>
      </c>
      <c r="AB103" s="54">
        <f ca="1">Log_2018[[#This Row],[Amount]]-SUM(O103:AA103)</f>
        <v>0</v>
      </c>
      <c r="AC103" s="7">
        <f ca="1">MAX(0,Log_2018[[#This Row],[Split_apply]] - (EDATE(AA$1,1)-Log_2018[[#This Row],[Date]]))</f>
        <v>0</v>
      </c>
    </row>
    <row r="104" spans="1:29" hidden="1" x14ac:dyDescent="0.25">
      <c r="A104" s="115"/>
      <c r="B104" t="s">
        <v>6</v>
      </c>
      <c r="D104" s="26">
        <v>43418</v>
      </c>
      <c r="F104" t="s">
        <v>270</v>
      </c>
      <c r="G104" t="s">
        <v>25</v>
      </c>
      <c r="H104" s="3">
        <v>-12.15</v>
      </c>
      <c r="I104" s="36">
        <f>IF(Log_2018[[#This Row],[My Category]]="NONTRACKED",0,Log_2018[[#This Row],[Raw Amount]])</f>
        <v>-12.15</v>
      </c>
      <c r="J104" s="17">
        <f>ABS(Log_2018[[#This Row],[Amount]])</f>
        <v>12.15</v>
      </c>
      <c r="K104" s="66">
        <v>1</v>
      </c>
      <c r="L104" s="66">
        <f ca="1">IF(Log_2018[[#This Row],[Date]]&lt;=TODAY(), MIN(Log_2018[[#This Row],[Split_raw]], TODAY()-Log_2018[[#This Row],[Date]]+1), 0)</f>
        <v>1</v>
      </c>
      <c r="M104" t="s">
        <v>35</v>
      </c>
      <c r="N104" t="s">
        <v>158</v>
      </c>
      <c r="O104" s="50">
        <v>0</v>
      </c>
      <c r="P104" s="52">
        <f ca="1">Log_2018[[#This Row],[Amount]]/Log_2018[[#This Row],[Split_raw]]*MAX(0,MIN(_xlfn.DAYS(EDATE(P$1,1),Log_2018[[#This Row],[Date]]),Log_2018[[#This Row],[Split_apply]])) - SUM($O104:O104)</f>
        <v>0</v>
      </c>
      <c r="Q104" s="52">
        <f ca="1">Log_2018[[#This Row],[Amount]]/Log_2018[[#This Row],[Split_raw]]*MAX(0,MIN(_xlfn.DAYS(EDATE(Q$1,1),Log_2018[[#This Row],[Date]]),Log_2018[[#This Row],[Split_apply]])) - SUM($O104:P104)</f>
        <v>0</v>
      </c>
      <c r="R104" s="52">
        <f ca="1">Log_2018[[#This Row],[Amount]]/Log_2018[[#This Row],[Split_raw]]*MAX(0,MIN(_xlfn.DAYS(EDATE(R$1,1),Log_2018[[#This Row],[Date]]),Log_2018[[#This Row],[Split_apply]])) - SUM($O104:Q104)</f>
        <v>0</v>
      </c>
      <c r="S104" s="52">
        <f ca="1">Log_2018[[#This Row],[Amount]]/Log_2018[[#This Row],[Split_raw]]*MAX(0,MIN(_xlfn.DAYS(EDATE(S$1,1),Log_2018[[#This Row],[Date]]),Log_2018[[#This Row],[Split_apply]])) - SUM($O104:R104)</f>
        <v>0</v>
      </c>
      <c r="T104" s="52">
        <f ca="1">Log_2018[[#This Row],[Amount]]/Log_2018[[#This Row],[Split_raw]]*MAX(0,MIN(_xlfn.DAYS(EDATE(T$1,1),Log_2018[[#This Row],[Date]]),Log_2018[[#This Row],[Split_apply]])) - SUM($O104:S104)</f>
        <v>0</v>
      </c>
      <c r="U104" s="52">
        <f ca="1">Log_2018[[#This Row],[Amount]]/Log_2018[[#This Row],[Split_raw]]*MAX(0,MIN(_xlfn.DAYS(EDATE(U$1,1),Log_2018[[#This Row],[Date]]),Log_2018[[#This Row],[Split_apply]])) - SUM($O104:T104)</f>
        <v>0</v>
      </c>
      <c r="V104" s="52">
        <f ca="1">Log_2018[[#This Row],[Amount]]/Log_2018[[#This Row],[Split_raw]]*MAX(0,MIN(_xlfn.DAYS(EDATE(V$1,1),Log_2018[[#This Row],[Date]]),Log_2018[[#This Row],[Split_apply]])) - SUM($O104:U104)</f>
        <v>0</v>
      </c>
      <c r="W104" s="52">
        <f ca="1">Log_2018[[#This Row],[Amount]]/Log_2018[[#This Row],[Split_raw]]*MAX(0,MIN(_xlfn.DAYS(EDATE(W$1,1),Log_2018[[#This Row],[Date]]),Log_2018[[#This Row],[Split_apply]])) - SUM($O104:V104)</f>
        <v>0</v>
      </c>
      <c r="X104" s="52">
        <f ca="1">Log_2018[[#This Row],[Amount]]/Log_2018[[#This Row],[Split_raw]]*MAX(0,MIN(_xlfn.DAYS(EDATE(X$1,1),Log_2018[[#This Row],[Date]]),Log_2018[[#This Row],[Split_apply]])) - SUM($O104:W104)</f>
        <v>0</v>
      </c>
      <c r="Y104" s="52">
        <f ca="1">Log_2018[[#This Row],[Amount]]/Log_2018[[#This Row],[Split_raw]]*MAX(0,MIN(_xlfn.DAYS(EDATE(Y$1,1),Log_2018[[#This Row],[Date]]),Log_2018[[#This Row],[Split_apply]])) - SUM($O104:X104)</f>
        <v>0</v>
      </c>
      <c r="Z104" s="52">
        <f ca="1">Log_2018[[#This Row],[Amount]]/Log_2018[[#This Row],[Split_raw]]*MAX(0,MIN(_xlfn.DAYS(EDATE(Z$1,1),Log_2018[[#This Row],[Date]]),Log_2018[[#This Row],[Split_apply]])) - SUM($O104:Y104)</f>
        <v>-12.15</v>
      </c>
      <c r="AA104" s="52">
        <f ca="1">Log_2018[[#This Row],[Amount]]/Log_2018[[#This Row],[Split_raw]]*MAX(0,MIN(_xlfn.DAYS(EDATE(AA$1,1),Log_2018[[#This Row],[Date]]),Log_2018[[#This Row],[Split_apply]])) - SUM($O104:Z104)</f>
        <v>0</v>
      </c>
      <c r="AB104" s="54">
        <f ca="1">Log_2018[[#This Row],[Amount]]-SUM(O104:AA104)</f>
        <v>0</v>
      </c>
      <c r="AC104" s="7">
        <f ca="1">MAX(0,Log_2018[[#This Row],[Split_apply]] - (EDATE(AA$1,1)-Log_2018[[#This Row],[Date]]))</f>
        <v>0</v>
      </c>
    </row>
    <row r="105" spans="1:29" hidden="1" x14ac:dyDescent="0.25">
      <c r="A105" s="115"/>
      <c r="B105" t="s">
        <v>6</v>
      </c>
      <c r="D105" s="26">
        <v>43418</v>
      </c>
      <c r="F105" t="s">
        <v>242</v>
      </c>
      <c r="G105" t="s">
        <v>87</v>
      </c>
      <c r="H105" s="3">
        <f>--21.21</f>
        <v>21.21</v>
      </c>
      <c r="I105" s="36">
        <f>IF(Log_2018[[#This Row],[My Category]]="NONTRACKED",0,Log_2018[[#This Row],[Raw Amount]])</f>
        <v>21.21</v>
      </c>
      <c r="J105" s="17">
        <f>ABS(Log_2018[[#This Row],[Amount]])</f>
        <v>21.21</v>
      </c>
      <c r="K105" s="66">
        <v>1</v>
      </c>
      <c r="L105" s="66">
        <f ca="1">IF(Log_2018[[#This Row],[Date]]&lt;=TODAY(), MIN(Log_2018[[#This Row],[Split_raw]], TODAY()-Log_2018[[#This Row],[Date]]+1), 0)</f>
        <v>1</v>
      </c>
      <c r="M105" t="s">
        <v>144</v>
      </c>
      <c r="N105" t="s">
        <v>160</v>
      </c>
      <c r="O105" s="50">
        <v>0</v>
      </c>
      <c r="P105" s="52">
        <f ca="1">Log_2018[[#This Row],[Amount]]/Log_2018[[#This Row],[Split_raw]]*MAX(0,MIN(_xlfn.DAYS(EDATE(P$1,1),Log_2018[[#This Row],[Date]]),Log_2018[[#This Row],[Split_apply]])) - SUM($O105:O105)</f>
        <v>0</v>
      </c>
      <c r="Q105" s="52">
        <f ca="1">Log_2018[[#This Row],[Amount]]/Log_2018[[#This Row],[Split_raw]]*MAX(0,MIN(_xlfn.DAYS(EDATE(Q$1,1),Log_2018[[#This Row],[Date]]),Log_2018[[#This Row],[Split_apply]])) - SUM($O105:P105)</f>
        <v>0</v>
      </c>
      <c r="R105" s="52">
        <f ca="1">Log_2018[[#This Row],[Amount]]/Log_2018[[#This Row],[Split_raw]]*MAX(0,MIN(_xlfn.DAYS(EDATE(R$1,1),Log_2018[[#This Row],[Date]]),Log_2018[[#This Row],[Split_apply]])) - SUM($O105:Q105)</f>
        <v>0</v>
      </c>
      <c r="S105" s="52">
        <f ca="1">Log_2018[[#This Row],[Amount]]/Log_2018[[#This Row],[Split_raw]]*MAX(0,MIN(_xlfn.DAYS(EDATE(S$1,1),Log_2018[[#This Row],[Date]]),Log_2018[[#This Row],[Split_apply]])) - SUM($O105:R105)</f>
        <v>0</v>
      </c>
      <c r="T105" s="52">
        <f ca="1">Log_2018[[#This Row],[Amount]]/Log_2018[[#This Row],[Split_raw]]*MAX(0,MIN(_xlfn.DAYS(EDATE(T$1,1),Log_2018[[#This Row],[Date]]),Log_2018[[#This Row],[Split_apply]])) - SUM($O105:S105)</f>
        <v>0</v>
      </c>
      <c r="U105" s="52">
        <f ca="1">Log_2018[[#This Row],[Amount]]/Log_2018[[#This Row],[Split_raw]]*MAX(0,MIN(_xlfn.DAYS(EDATE(U$1,1),Log_2018[[#This Row],[Date]]),Log_2018[[#This Row],[Split_apply]])) - SUM($O105:T105)</f>
        <v>0</v>
      </c>
      <c r="V105" s="52">
        <f ca="1">Log_2018[[#This Row],[Amount]]/Log_2018[[#This Row],[Split_raw]]*MAX(0,MIN(_xlfn.DAYS(EDATE(V$1,1),Log_2018[[#This Row],[Date]]),Log_2018[[#This Row],[Split_apply]])) - SUM($O105:U105)</f>
        <v>0</v>
      </c>
      <c r="W105" s="52">
        <f ca="1">Log_2018[[#This Row],[Amount]]/Log_2018[[#This Row],[Split_raw]]*MAX(0,MIN(_xlfn.DAYS(EDATE(W$1,1),Log_2018[[#This Row],[Date]]),Log_2018[[#This Row],[Split_apply]])) - SUM($O105:V105)</f>
        <v>0</v>
      </c>
      <c r="X105" s="52">
        <f ca="1">Log_2018[[#This Row],[Amount]]/Log_2018[[#This Row],[Split_raw]]*MAX(0,MIN(_xlfn.DAYS(EDATE(X$1,1),Log_2018[[#This Row],[Date]]),Log_2018[[#This Row],[Split_apply]])) - SUM($O105:W105)</f>
        <v>0</v>
      </c>
      <c r="Y105" s="52">
        <f ca="1">Log_2018[[#This Row],[Amount]]/Log_2018[[#This Row],[Split_raw]]*MAX(0,MIN(_xlfn.DAYS(EDATE(Y$1,1),Log_2018[[#This Row],[Date]]),Log_2018[[#This Row],[Split_apply]])) - SUM($O105:X105)</f>
        <v>0</v>
      </c>
      <c r="Z105" s="52">
        <f ca="1">Log_2018[[#This Row],[Amount]]/Log_2018[[#This Row],[Split_raw]]*MAX(0,MIN(_xlfn.DAYS(EDATE(Z$1,1),Log_2018[[#This Row],[Date]]),Log_2018[[#This Row],[Split_apply]])) - SUM($O105:Y105)</f>
        <v>21.21</v>
      </c>
      <c r="AA105" s="52">
        <f ca="1">Log_2018[[#This Row],[Amount]]/Log_2018[[#This Row],[Split_raw]]*MAX(0,MIN(_xlfn.DAYS(EDATE(AA$1,1),Log_2018[[#This Row],[Date]]),Log_2018[[#This Row],[Split_apply]])) - SUM($O105:Z105)</f>
        <v>0</v>
      </c>
      <c r="AB105" s="54">
        <f ca="1">Log_2018[[#This Row],[Amount]]-SUM(O105:AA105)</f>
        <v>0</v>
      </c>
      <c r="AC105" s="7">
        <f ca="1">MAX(0,Log_2018[[#This Row],[Split_apply]] - (EDATE(AA$1,1)-Log_2018[[#This Row],[Date]]))</f>
        <v>0</v>
      </c>
    </row>
    <row r="106" spans="1:29" hidden="1" x14ac:dyDescent="0.25">
      <c r="A106" s="115"/>
      <c r="B106" t="s">
        <v>6</v>
      </c>
      <c r="D106" s="26">
        <v>43417</v>
      </c>
      <c r="F106" t="s">
        <v>306</v>
      </c>
      <c r="G106" t="s">
        <v>25</v>
      </c>
      <c r="H106" s="3">
        <v>-10.25</v>
      </c>
      <c r="I106" s="36">
        <f>IF(Log_2018[[#This Row],[My Category]]="NONTRACKED",0,Log_2018[[#This Row],[Raw Amount]])</f>
        <v>-10.25</v>
      </c>
      <c r="J106" s="17">
        <f>ABS(Log_2018[[#This Row],[Amount]])</f>
        <v>10.25</v>
      </c>
      <c r="K106" s="66">
        <v>1</v>
      </c>
      <c r="L106" s="66">
        <f ca="1">IF(Log_2018[[#This Row],[Date]]&lt;=TODAY(), MIN(Log_2018[[#This Row],[Split_raw]], TODAY()-Log_2018[[#This Row],[Date]]+1), 0)</f>
        <v>1</v>
      </c>
      <c r="M106" t="s">
        <v>35</v>
      </c>
      <c r="N106" t="s">
        <v>158</v>
      </c>
      <c r="O106" s="50">
        <v>0</v>
      </c>
      <c r="P106" s="52">
        <f ca="1">Log_2018[[#This Row],[Amount]]/Log_2018[[#This Row],[Split_raw]]*MAX(0,MIN(_xlfn.DAYS(EDATE(P$1,1),Log_2018[[#This Row],[Date]]),Log_2018[[#This Row],[Split_apply]])) - SUM($O106:O106)</f>
        <v>0</v>
      </c>
      <c r="Q106" s="52">
        <f ca="1">Log_2018[[#This Row],[Amount]]/Log_2018[[#This Row],[Split_raw]]*MAX(0,MIN(_xlfn.DAYS(EDATE(Q$1,1),Log_2018[[#This Row],[Date]]),Log_2018[[#This Row],[Split_apply]])) - SUM($O106:P106)</f>
        <v>0</v>
      </c>
      <c r="R106" s="52">
        <f ca="1">Log_2018[[#This Row],[Amount]]/Log_2018[[#This Row],[Split_raw]]*MAX(0,MIN(_xlfn.DAYS(EDATE(R$1,1),Log_2018[[#This Row],[Date]]),Log_2018[[#This Row],[Split_apply]])) - SUM($O106:Q106)</f>
        <v>0</v>
      </c>
      <c r="S106" s="52">
        <f ca="1">Log_2018[[#This Row],[Amount]]/Log_2018[[#This Row],[Split_raw]]*MAX(0,MIN(_xlfn.DAYS(EDATE(S$1,1),Log_2018[[#This Row],[Date]]),Log_2018[[#This Row],[Split_apply]])) - SUM($O106:R106)</f>
        <v>0</v>
      </c>
      <c r="T106" s="52">
        <f ca="1">Log_2018[[#This Row],[Amount]]/Log_2018[[#This Row],[Split_raw]]*MAX(0,MIN(_xlfn.DAYS(EDATE(T$1,1),Log_2018[[#This Row],[Date]]),Log_2018[[#This Row],[Split_apply]])) - SUM($O106:S106)</f>
        <v>0</v>
      </c>
      <c r="U106" s="52">
        <f ca="1">Log_2018[[#This Row],[Amount]]/Log_2018[[#This Row],[Split_raw]]*MAX(0,MIN(_xlfn.DAYS(EDATE(U$1,1),Log_2018[[#This Row],[Date]]),Log_2018[[#This Row],[Split_apply]])) - SUM($O106:T106)</f>
        <v>0</v>
      </c>
      <c r="V106" s="52">
        <f ca="1">Log_2018[[#This Row],[Amount]]/Log_2018[[#This Row],[Split_raw]]*MAX(0,MIN(_xlfn.DAYS(EDATE(V$1,1),Log_2018[[#This Row],[Date]]),Log_2018[[#This Row],[Split_apply]])) - SUM($O106:U106)</f>
        <v>0</v>
      </c>
      <c r="W106" s="52">
        <f ca="1">Log_2018[[#This Row],[Amount]]/Log_2018[[#This Row],[Split_raw]]*MAX(0,MIN(_xlfn.DAYS(EDATE(W$1,1),Log_2018[[#This Row],[Date]]),Log_2018[[#This Row],[Split_apply]])) - SUM($O106:V106)</f>
        <v>0</v>
      </c>
      <c r="X106" s="52">
        <f ca="1">Log_2018[[#This Row],[Amount]]/Log_2018[[#This Row],[Split_raw]]*MAX(0,MIN(_xlfn.DAYS(EDATE(X$1,1),Log_2018[[#This Row],[Date]]),Log_2018[[#This Row],[Split_apply]])) - SUM($O106:W106)</f>
        <v>0</v>
      </c>
      <c r="Y106" s="52">
        <f ca="1">Log_2018[[#This Row],[Amount]]/Log_2018[[#This Row],[Split_raw]]*MAX(0,MIN(_xlfn.DAYS(EDATE(Y$1,1),Log_2018[[#This Row],[Date]]),Log_2018[[#This Row],[Split_apply]])) - SUM($O106:X106)</f>
        <v>0</v>
      </c>
      <c r="Z106" s="52">
        <f ca="1">Log_2018[[#This Row],[Amount]]/Log_2018[[#This Row],[Split_raw]]*MAX(0,MIN(_xlfn.DAYS(EDATE(Z$1,1),Log_2018[[#This Row],[Date]]),Log_2018[[#This Row],[Split_apply]])) - SUM($O106:Y106)</f>
        <v>-10.25</v>
      </c>
      <c r="AA106" s="52">
        <f ca="1">Log_2018[[#This Row],[Amount]]/Log_2018[[#This Row],[Split_raw]]*MAX(0,MIN(_xlfn.DAYS(EDATE(AA$1,1),Log_2018[[#This Row],[Date]]),Log_2018[[#This Row],[Split_apply]])) - SUM($O106:Z106)</f>
        <v>0</v>
      </c>
      <c r="AB106" s="54">
        <f ca="1">Log_2018[[#This Row],[Amount]]-SUM(O106:AA106)</f>
        <v>0</v>
      </c>
      <c r="AC106" s="7">
        <f ca="1">MAX(0,Log_2018[[#This Row],[Split_apply]] - (EDATE(AA$1,1)-Log_2018[[#This Row],[Date]]))</f>
        <v>0</v>
      </c>
    </row>
    <row r="107" spans="1:29" hidden="1" x14ac:dyDescent="0.25">
      <c r="A107" s="115"/>
      <c r="B107" t="s">
        <v>6</v>
      </c>
      <c r="D107" s="26">
        <v>43417</v>
      </c>
      <c r="E107" t="s">
        <v>875</v>
      </c>
      <c r="F107" t="s">
        <v>392</v>
      </c>
      <c r="G107" t="s">
        <v>25</v>
      </c>
      <c r="H107" s="3">
        <v>-19.940000000000001</v>
      </c>
      <c r="I107" s="36">
        <f>IF(Log_2018[[#This Row],[My Category]]="NONTRACKED",0,Log_2018[[#This Row],[Raw Amount]])</f>
        <v>-19.940000000000001</v>
      </c>
      <c r="J107" s="17">
        <f>ABS(Log_2018[[#This Row],[Amount]])</f>
        <v>19.940000000000001</v>
      </c>
      <c r="K107" s="66">
        <v>1</v>
      </c>
      <c r="L107" s="66">
        <f ca="1">IF(Log_2018[[#This Row],[Date]]&lt;=TODAY(), MIN(Log_2018[[#This Row],[Split_raw]], TODAY()-Log_2018[[#This Row],[Date]]+1), 0)</f>
        <v>1</v>
      </c>
      <c r="M107" t="s">
        <v>37</v>
      </c>
      <c r="N107" t="s">
        <v>158</v>
      </c>
      <c r="O107" s="50">
        <v>0</v>
      </c>
      <c r="P107" s="52">
        <f ca="1">Log_2018[[#This Row],[Amount]]/Log_2018[[#This Row],[Split_raw]]*MAX(0,MIN(_xlfn.DAYS(EDATE(P$1,1),Log_2018[[#This Row],[Date]]),Log_2018[[#This Row],[Split_apply]])) - SUM($O107:O107)</f>
        <v>0</v>
      </c>
      <c r="Q107" s="52">
        <f ca="1">Log_2018[[#This Row],[Amount]]/Log_2018[[#This Row],[Split_raw]]*MAX(0,MIN(_xlfn.DAYS(EDATE(Q$1,1),Log_2018[[#This Row],[Date]]),Log_2018[[#This Row],[Split_apply]])) - SUM($O107:P107)</f>
        <v>0</v>
      </c>
      <c r="R107" s="52">
        <f ca="1">Log_2018[[#This Row],[Amount]]/Log_2018[[#This Row],[Split_raw]]*MAX(0,MIN(_xlfn.DAYS(EDATE(R$1,1),Log_2018[[#This Row],[Date]]),Log_2018[[#This Row],[Split_apply]])) - SUM($O107:Q107)</f>
        <v>0</v>
      </c>
      <c r="S107" s="52">
        <f ca="1">Log_2018[[#This Row],[Amount]]/Log_2018[[#This Row],[Split_raw]]*MAX(0,MIN(_xlfn.DAYS(EDATE(S$1,1),Log_2018[[#This Row],[Date]]),Log_2018[[#This Row],[Split_apply]])) - SUM($O107:R107)</f>
        <v>0</v>
      </c>
      <c r="T107" s="52">
        <f ca="1">Log_2018[[#This Row],[Amount]]/Log_2018[[#This Row],[Split_raw]]*MAX(0,MIN(_xlfn.DAYS(EDATE(T$1,1),Log_2018[[#This Row],[Date]]),Log_2018[[#This Row],[Split_apply]])) - SUM($O107:S107)</f>
        <v>0</v>
      </c>
      <c r="U107" s="52">
        <f ca="1">Log_2018[[#This Row],[Amount]]/Log_2018[[#This Row],[Split_raw]]*MAX(0,MIN(_xlfn.DAYS(EDATE(U$1,1),Log_2018[[#This Row],[Date]]),Log_2018[[#This Row],[Split_apply]])) - SUM($O107:T107)</f>
        <v>0</v>
      </c>
      <c r="V107" s="52">
        <f ca="1">Log_2018[[#This Row],[Amount]]/Log_2018[[#This Row],[Split_raw]]*MAX(0,MIN(_xlfn.DAYS(EDATE(V$1,1),Log_2018[[#This Row],[Date]]),Log_2018[[#This Row],[Split_apply]])) - SUM($O107:U107)</f>
        <v>0</v>
      </c>
      <c r="W107" s="52">
        <f ca="1">Log_2018[[#This Row],[Amount]]/Log_2018[[#This Row],[Split_raw]]*MAX(0,MIN(_xlfn.DAYS(EDATE(W$1,1),Log_2018[[#This Row],[Date]]),Log_2018[[#This Row],[Split_apply]])) - SUM($O107:V107)</f>
        <v>0</v>
      </c>
      <c r="X107" s="52">
        <f ca="1">Log_2018[[#This Row],[Amount]]/Log_2018[[#This Row],[Split_raw]]*MAX(0,MIN(_xlfn.DAYS(EDATE(X$1,1),Log_2018[[#This Row],[Date]]),Log_2018[[#This Row],[Split_apply]])) - SUM($O107:W107)</f>
        <v>0</v>
      </c>
      <c r="Y107" s="52">
        <f ca="1">Log_2018[[#This Row],[Amount]]/Log_2018[[#This Row],[Split_raw]]*MAX(0,MIN(_xlfn.DAYS(EDATE(Y$1,1),Log_2018[[#This Row],[Date]]),Log_2018[[#This Row],[Split_apply]])) - SUM($O107:X107)</f>
        <v>0</v>
      </c>
      <c r="Z107" s="52">
        <f ca="1">Log_2018[[#This Row],[Amount]]/Log_2018[[#This Row],[Split_raw]]*MAX(0,MIN(_xlfn.DAYS(EDATE(Z$1,1),Log_2018[[#This Row],[Date]]),Log_2018[[#This Row],[Split_apply]])) - SUM($O107:Y107)</f>
        <v>-19.940000000000001</v>
      </c>
      <c r="AA107" s="52">
        <f ca="1">Log_2018[[#This Row],[Amount]]/Log_2018[[#This Row],[Split_raw]]*MAX(0,MIN(_xlfn.DAYS(EDATE(AA$1,1),Log_2018[[#This Row],[Date]]),Log_2018[[#This Row],[Split_apply]])) - SUM($O107:Z107)</f>
        <v>0</v>
      </c>
      <c r="AB107" s="54">
        <f ca="1">Log_2018[[#This Row],[Amount]]-SUM(O107:AA107)</f>
        <v>0</v>
      </c>
      <c r="AC107" s="7">
        <f ca="1">MAX(0,Log_2018[[#This Row],[Split_apply]] - (EDATE(AA$1,1)-Log_2018[[#This Row],[Date]]))</f>
        <v>0</v>
      </c>
    </row>
    <row r="108" spans="1:29" hidden="1" x14ac:dyDescent="0.25">
      <c r="A108" s="115"/>
      <c r="B108" t="s">
        <v>6</v>
      </c>
      <c r="D108" s="26">
        <v>43417</v>
      </c>
      <c r="F108" t="s">
        <v>393</v>
      </c>
      <c r="G108" t="s">
        <v>11</v>
      </c>
      <c r="H108" s="3">
        <v>-9.99</v>
      </c>
      <c r="I108" s="36">
        <f>IF(Log_2018[[#This Row],[My Category]]="NONTRACKED",0,Log_2018[[#This Row],[Raw Amount]])</f>
        <v>-9.99</v>
      </c>
      <c r="J108" s="17">
        <f>ABS(Log_2018[[#This Row],[Amount]])</f>
        <v>9.99</v>
      </c>
      <c r="K108" s="66">
        <v>1</v>
      </c>
      <c r="L108" s="66">
        <f ca="1">IF(Log_2018[[#This Row],[Date]]&lt;=TODAY(), MIN(Log_2018[[#This Row],[Split_raw]], TODAY()-Log_2018[[#This Row],[Date]]+1), 0)</f>
        <v>1</v>
      </c>
      <c r="M108" t="s">
        <v>147</v>
      </c>
      <c r="N108" t="s">
        <v>158</v>
      </c>
      <c r="O108" s="50">
        <v>0</v>
      </c>
      <c r="P108" s="52">
        <f ca="1">Log_2018[[#This Row],[Amount]]/Log_2018[[#This Row],[Split_raw]]*MAX(0,MIN(_xlfn.DAYS(EDATE(P$1,1),Log_2018[[#This Row],[Date]]),Log_2018[[#This Row],[Split_apply]])) - SUM($O108:O108)</f>
        <v>0</v>
      </c>
      <c r="Q108" s="52">
        <f ca="1">Log_2018[[#This Row],[Amount]]/Log_2018[[#This Row],[Split_raw]]*MAX(0,MIN(_xlfn.DAYS(EDATE(Q$1,1),Log_2018[[#This Row],[Date]]),Log_2018[[#This Row],[Split_apply]])) - SUM($O108:P108)</f>
        <v>0</v>
      </c>
      <c r="R108" s="52">
        <f ca="1">Log_2018[[#This Row],[Amount]]/Log_2018[[#This Row],[Split_raw]]*MAX(0,MIN(_xlfn.DAYS(EDATE(R$1,1),Log_2018[[#This Row],[Date]]),Log_2018[[#This Row],[Split_apply]])) - SUM($O108:Q108)</f>
        <v>0</v>
      </c>
      <c r="S108" s="52">
        <f ca="1">Log_2018[[#This Row],[Amount]]/Log_2018[[#This Row],[Split_raw]]*MAX(0,MIN(_xlfn.DAYS(EDATE(S$1,1),Log_2018[[#This Row],[Date]]),Log_2018[[#This Row],[Split_apply]])) - SUM($O108:R108)</f>
        <v>0</v>
      </c>
      <c r="T108" s="52">
        <f ca="1">Log_2018[[#This Row],[Amount]]/Log_2018[[#This Row],[Split_raw]]*MAX(0,MIN(_xlfn.DAYS(EDATE(T$1,1),Log_2018[[#This Row],[Date]]),Log_2018[[#This Row],[Split_apply]])) - SUM($O108:S108)</f>
        <v>0</v>
      </c>
      <c r="U108" s="52">
        <f ca="1">Log_2018[[#This Row],[Amount]]/Log_2018[[#This Row],[Split_raw]]*MAX(0,MIN(_xlfn.DAYS(EDATE(U$1,1),Log_2018[[#This Row],[Date]]),Log_2018[[#This Row],[Split_apply]])) - SUM($O108:T108)</f>
        <v>0</v>
      </c>
      <c r="V108" s="52">
        <f ca="1">Log_2018[[#This Row],[Amount]]/Log_2018[[#This Row],[Split_raw]]*MAX(0,MIN(_xlfn.DAYS(EDATE(V$1,1),Log_2018[[#This Row],[Date]]),Log_2018[[#This Row],[Split_apply]])) - SUM($O108:U108)</f>
        <v>0</v>
      </c>
      <c r="W108" s="52">
        <f ca="1">Log_2018[[#This Row],[Amount]]/Log_2018[[#This Row],[Split_raw]]*MAX(0,MIN(_xlfn.DAYS(EDATE(W$1,1),Log_2018[[#This Row],[Date]]),Log_2018[[#This Row],[Split_apply]])) - SUM($O108:V108)</f>
        <v>0</v>
      </c>
      <c r="X108" s="52">
        <f ca="1">Log_2018[[#This Row],[Amount]]/Log_2018[[#This Row],[Split_raw]]*MAX(0,MIN(_xlfn.DAYS(EDATE(X$1,1),Log_2018[[#This Row],[Date]]),Log_2018[[#This Row],[Split_apply]])) - SUM($O108:W108)</f>
        <v>0</v>
      </c>
      <c r="Y108" s="52">
        <f ca="1">Log_2018[[#This Row],[Amount]]/Log_2018[[#This Row],[Split_raw]]*MAX(0,MIN(_xlfn.DAYS(EDATE(Y$1,1),Log_2018[[#This Row],[Date]]),Log_2018[[#This Row],[Split_apply]])) - SUM($O108:X108)</f>
        <v>0</v>
      </c>
      <c r="Z108" s="52">
        <f ca="1">Log_2018[[#This Row],[Amount]]/Log_2018[[#This Row],[Split_raw]]*MAX(0,MIN(_xlfn.DAYS(EDATE(Z$1,1),Log_2018[[#This Row],[Date]]),Log_2018[[#This Row],[Split_apply]])) - SUM($O108:Y108)</f>
        <v>-9.99</v>
      </c>
      <c r="AA108" s="52">
        <f ca="1">Log_2018[[#This Row],[Amount]]/Log_2018[[#This Row],[Split_raw]]*MAX(0,MIN(_xlfn.DAYS(EDATE(AA$1,1),Log_2018[[#This Row],[Date]]),Log_2018[[#This Row],[Split_apply]])) - SUM($O108:Z108)</f>
        <v>0</v>
      </c>
      <c r="AB108" s="54">
        <f ca="1">Log_2018[[#This Row],[Amount]]-SUM(O108:AA108)</f>
        <v>0</v>
      </c>
      <c r="AC108" s="7">
        <f ca="1">MAX(0,Log_2018[[#This Row],[Split_apply]] - (EDATE(AA$1,1)-Log_2018[[#This Row],[Date]]))</f>
        <v>0</v>
      </c>
    </row>
    <row r="109" spans="1:29" hidden="1" x14ac:dyDescent="0.25">
      <c r="A109" s="115"/>
      <c r="B109" t="s">
        <v>6</v>
      </c>
      <c r="D109" s="26">
        <v>43417</v>
      </c>
      <c r="E109" t="s">
        <v>250</v>
      </c>
      <c r="F109" t="s">
        <v>243</v>
      </c>
      <c r="G109" t="s">
        <v>143</v>
      </c>
      <c r="H109" s="3">
        <v>-10.81</v>
      </c>
      <c r="I109" s="36">
        <f>IF(Log_2018[[#This Row],[My Category]]="NONTRACKED",0,Log_2018[[#This Row],[Raw Amount]])</f>
        <v>-10.81</v>
      </c>
      <c r="J109" s="17">
        <f>ABS(Log_2018[[#This Row],[Amount]])</f>
        <v>10.81</v>
      </c>
      <c r="K109" s="66">
        <v>30</v>
      </c>
      <c r="L109" s="66">
        <f ca="1">IF(Log_2018[[#This Row],[Date]]&lt;=TODAY(), MIN(Log_2018[[#This Row],[Split_raw]], TODAY()-Log_2018[[#This Row],[Date]]+1), 0)</f>
        <v>30</v>
      </c>
      <c r="M109" t="s">
        <v>53</v>
      </c>
      <c r="N109" t="s">
        <v>160</v>
      </c>
      <c r="O109" s="50">
        <v>0</v>
      </c>
      <c r="P109" s="52">
        <f ca="1">Log_2018[[#This Row],[Amount]]/Log_2018[[#This Row],[Split_raw]]*MAX(0,MIN(_xlfn.DAYS(EDATE(P$1,1),Log_2018[[#This Row],[Date]]),Log_2018[[#This Row],[Split_apply]])) - SUM($O109:O109)</f>
        <v>0</v>
      </c>
      <c r="Q109" s="52">
        <f ca="1">Log_2018[[#This Row],[Amount]]/Log_2018[[#This Row],[Split_raw]]*MAX(0,MIN(_xlfn.DAYS(EDATE(Q$1,1),Log_2018[[#This Row],[Date]]),Log_2018[[#This Row],[Split_apply]])) - SUM($O109:P109)</f>
        <v>0</v>
      </c>
      <c r="R109" s="52">
        <f ca="1">Log_2018[[#This Row],[Amount]]/Log_2018[[#This Row],[Split_raw]]*MAX(0,MIN(_xlfn.DAYS(EDATE(R$1,1),Log_2018[[#This Row],[Date]]),Log_2018[[#This Row],[Split_apply]])) - SUM($O109:Q109)</f>
        <v>0</v>
      </c>
      <c r="S109" s="52">
        <f ca="1">Log_2018[[#This Row],[Amount]]/Log_2018[[#This Row],[Split_raw]]*MAX(0,MIN(_xlfn.DAYS(EDATE(S$1,1),Log_2018[[#This Row],[Date]]),Log_2018[[#This Row],[Split_apply]])) - SUM($O109:R109)</f>
        <v>0</v>
      </c>
      <c r="T109" s="52">
        <f ca="1">Log_2018[[#This Row],[Amount]]/Log_2018[[#This Row],[Split_raw]]*MAX(0,MIN(_xlfn.DAYS(EDATE(T$1,1),Log_2018[[#This Row],[Date]]),Log_2018[[#This Row],[Split_apply]])) - SUM($O109:S109)</f>
        <v>0</v>
      </c>
      <c r="U109" s="52">
        <f ca="1">Log_2018[[#This Row],[Amount]]/Log_2018[[#This Row],[Split_raw]]*MAX(0,MIN(_xlfn.DAYS(EDATE(U$1,1),Log_2018[[#This Row],[Date]]),Log_2018[[#This Row],[Split_apply]])) - SUM($O109:T109)</f>
        <v>0</v>
      </c>
      <c r="V109" s="52">
        <f ca="1">Log_2018[[#This Row],[Amount]]/Log_2018[[#This Row],[Split_raw]]*MAX(0,MIN(_xlfn.DAYS(EDATE(V$1,1),Log_2018[[#This Row],[Date]]),Log_2018[[#This Row],[Split_apply]])) - SUM($O109:U109)</f>
        <v>0</v>
      </c>
      <c r="W109" s="52">
        <f ca="1">Log_2018[[#This Row],[Amount]]/Log_2018[[#This Row],[Split_raw]]*MAX(0,MIN(_xlfn.DAYS(EDATE(W$1,1),Log_2018[[#This Row],[Date]]),Log_2018[[#This Row],[Split_apply]])) - SUM($O109:V109)</f>
        <v>0</v>
      </c>
      <c r="X109" s="52">
        <f ca="1">Log_2018[[#This Row],[Amount]]/Log_2018[[#This Row],[Split_raw]]*MAX(0,MIN(_xlfn.DAYS(EDATE(X$1,1),Log_2018[[#This Row],[Date]]),Log_2018[[#This Row],[Split_apply]])) - SUM($O109:W109)</f>
        <v>0</v>
      </c>
      <c r="Y109" s="52">
        <f ca="1">Log_2018[[#This Row],[Amount]]/Log_2018[[#This Row],[Split_raw]]*MAX(0,MIN(_xlfn.DAYS(EDATE(Y$1,1),Log_2018[[#This Row],[Date]]),Log_2018[[#This Row],[Split_apply]])) - SUM($O109:X109)</f>
        <v>0</v>
      </c>
      <c r="Z109" s="52">
        <f ca="1">Log_2018[[#This Row],[Amount]]/Log_2018[[#This Row],[Split_raw]]*MAX(0,MIN(_xlfn.DAYS(EDATE(Z$1,1),Log_2018[[#This Row],[Date]]),Log_2018[[#This Row],[Split_apply]])) - SUM($O109:Y109)</f>
        <v>-6.4859999999999998</v>
      </c>
      <c r="AA109" s="52">
        <f ca="1">Log_2018[[#This Row],[Amount]]/Log_2018[[#This Row],[Split_raw]]*MAX(0,MIN(_xlfn.DAYS(EDATE(AA$1,1),Log_2018[[#This Row],[Date]]),Log_2018[[#This Row],[Split_apply]])) - SUM($O109:Z109)</f>
        <v>-4.3240000000000007</v>
      </c>
      <c r="AB109" s="54">
        <f ca="1">Log_2018[[#This Row],[Amount]]-SUM(O109:AA109)</f>
        <v>0</v>
      </c>
      <c r="AC109" s="7">
        <f ca="1">MAX(0,Log_2018[[#This Row],[Split_apply]] - (EDATE(AA$1,1)-Log_2018[[#This Row],[Date]]))</f>
        <v>0</v>
      </c>
    </row>
    <row r="110" spans="1:29" hidden="1" x14ac:dyDescent="0.25">
      <c r="A110" s="115"/>
      <c r="B110" t="s">
        <v>6</v>
      </c>
      <c r="D110" s="26">
        <v>43417</v>
      </c>
      <c r="F110" t="s">
        <v>416</v>
      </c>
      <c r="G110" t="s">
        <v>25</v>
      </c>
      <c r="H110" s="3">
        <v>-15.43</v>
      </c>
      <c r="I110" s="36">
        <f>IF(Log_2018[[#This Row],[My Category]]="NONTRACKED",0,Log_2018[[#This Row],[Raw Amount]])</f>
        <v>-15.43</v>
      </c>
      <c r="J110" s="17">
        <f>ABS(Log_2018[[#This Row],[Amount]])</f>
        <v>15.43</v>
      </c>
      <c r="K110" s="66">
        <v>1</v>
      </c>
      <c r="L110" s="66">
        <f ca="1">IF(Log_2018[[#This Row],[Date]]&lt;=TODAY(), MIN(Log_2018[[#This Row],[Split_raw]], TODAY()-Log_2018[[#This Row],[Date]]+1), 0)</f>
        <v>1</v>
      </c>
      <c r="M110" t="s">
        <v>35</v>
      </c>
      <c r="N110" t="s">
        <v>160</v>
      </c>
      <c r="O110" s="50">
        <v>0</v>
      </c>
      <c r="P110" s="52">
        <f ca="1">Log_2018[[#This Row],[Amount]]/Log_2018[[#This Row],[Split_raw]]*MAX(0,MIN(_xlfn.DAYS(EDATE(P$1,1),Log_2018[[#This Row],[Date]]),Log_2018[[#This Row],[Split_apply]])) - SUM($O110:O110)</f>
        <v>0</v>
      </c>
      <c r="Q110" s="52">
        <f ca="1">Log_2018[[#This Row],[Amount]]/Log_2018[[#This Row],[Split_raw]]*MAX(0,MIN(_xlfn.DAYS(EDATE(Q$1,1),Log_2018[[#This Row],[Date]]),Log_2018[[#This Row],[Split_apply]])) - SUM($O110:P110)</f>
        <v>0</v>
      </c>
      <c r="R110" s="52">
        <f ca="1">Log_2018[[#This Row],[Amount]]/Log_2018[[#This Row],[Split_raw]]*MAX(0,MIN(_xlfn.DAYS(EDATE(R$1,1),Log_2018[[#This Row],[Date]]),Log_2018[[#This Row],[Split_apply]])) - SUM($O110:Q110)</f>
        <v>0</v>
      </c>
      <c r="S110" s="52">
        <f ca="1">Log_2018[[#This Row],[Amount]]/Log_2018[[#This Row],[Split_raw]]*MAX(0,MIN(_xlfn.DAYS(EDATE(S$1,1),Log_2018[[#This Row],[Date]]),Log_2018[[#This Row],[Split_apply]])) - SUM($O110:R110)</f>
        <v>0</v>
      </c>
      <c r="T110" s="52">
        <f ca="1">Log_2018[[#This Row],[Amount]]/Log_2018[[#This Row],[Split_raw]]*MAX(0,MIN(_xlfn.DAYS(EDATE(T$1,1),Log_2018[[#This Row],[Date]]),Log_2018[[#This Row],[Split_apply]])) - SUM($O110:S110)</f>
        <v>0</v>
      </c>
      <c r="U110" s="52">
        <f ca="1">Log_2018[[#This Row],[Amount]]/Log_2018[[#This Row],[Split_raw]]*MAX(0,MIN(_xlfn.DAYS(EDATE(U$1,1),Log_2018[[#This Row],[Date]]),Log_2018[[#This Row],[Split_apply]])) - SUM($O110:T110)</f>
        <v>0</v>
      </c>
      <c r="V110" s="52">
        <f ca="1">Log_2018[[#This Row],[Amount]]/Log_2018[[#This Row],[Split_raw]]*MAX(0,MIN(_xlfn.DAYS(EDATE(V$1,1),Log_2018[[#This Row],[Date]]),Log_2018[[#This Row],[Split_apply]])) - SUM($O110:U110)</f>
        <v>0</v>
      </c>
      <c r="W110" s="52">
        <f ca="1">Log_2018[[#This Row],[Amount]]/Log_2018[[#This Row],[Split_raw]]*MAX(0,MIN(_xlfn.DAYS(EDATE(W$1,1),Log_2018[[#This Row],[Date]]),Log_2018[[#This Row],[Split_apply]])) - SUM($O110:V110)</f>
        <v>0</v>
      </c>
      <c r="X110" s="52">
        <f ca="1">Log_2018[[#This Row],[Amount]]/Log_2018[[#This Row],[Split_raw]]*MAX(0,MIN(_xlfn.DAYS(EDATE(X$1,1),Log_2018[[#This Row],[Date]]),Log_2018[[#This Row],[Split_apply]])) - SUM($O110:W110)</f>
        <v>0</v>
      </c>
      <c r="Y110" s="52">
        <f ca="1">Log_2018[[#This Row],[Amount]]/Log_2018[[#This Row],[Split_raw]]*MAX(0,MIN(_xlfn.DAYS(EDATE(Y$1,1),Log_2018[[#This Row],[Date]]),Log_2018[[#This Row],[Split_apply]])) - SUM($O110:X110)</f>
        <v>0</v>
      </c>
      <c r="Z110" s="52">
        <f ca="1">Log_2018[[#This Row],[Amount]]/Log_2018[[#This Row],[Split_raw]]*MAX(0,MIN(_xlfn.DAYS(EDATE(Z$1,1),Log_2018[[#This Row],[Date]]),Log_2018[[#This Row],[Split_apply]])) - SUM($O110:Y110)</f>
        <v>-15.43</v>
      </c>
      <c r="AA110" s="52">
        <f ca="1">Log_2018[[#This Row],[Amount]]/Log_2018[[#This Row],[Split_raw]]*MAX(0,MIN(_xlfn.DAYS(EDATE(AA$1,1),Log_2018[[#This Row],[Date]]),Log_2018[[#This Row],[Split_apply]])) - SUM($O110:Z110)</f>
        <v>0</v>
      </c>
      <c r="AB110" s="54">
        <f ca="1">Log_2018[[#This Row],[Amount]]-SUM(O110:AA110)</f>
        <v>0</v>
      </c>
      <c r="AC110" s="7">
        <f ca="1">MAX(0,Log_2018[[#This Row],[Split_apply]] - (EDATE(AA$1,1)-Log_2018[[#This Row],[Date]]))</f>
        <v>0</v>
      </c>
    </row>
    <row r="111" spans="1:29" hidden="1" x14ac:dyDescent="0.25">
      <c r="A111" s="115"/>
      <c r="B111" t="s">
        <v>6</v>
      </c>
      <c r="D111" s="26">
        <v>43416</v>
      </c>
      <c r="F111" t="s">
        <v>255</v>
      </c>
      <c r="G111" t="s">
        <v>25</v>
      </c>
      <c r="H111" s="3">
        <v>-10.65</v>
      </c>
      <c r="I111" s="36">
        <f>IF(Log_2018[[#This Row],[My Category]]="NONTRACKED",0,Log_2018[[#This Row],[Raw Amount]])</f>
        <v>-10.65</v>
      </c>
      <c r="J111" s="17">
        <f>ABS(Log_2018[[#This Row],[Amount]])</f>
        <v>10.65</v>
      </c>
      <c r="K111" s="66">
        <v>1</v>
      </c>
      <c r="L111" s="66">
        <f ca="1">IF(Log_2018[[#This Row],[Date]]&lt;=TODAY(), MIN(Log_2018[[#This Row],[Split_raw]], TODAY()-Log_2018[[#This Row],[Date]]+1), 0)</f>
        <v>1</v>
      </c>
      <c r="M111" t="s">
        <v>52</v>
      </c>
      <c r="N111" t="s">
        <v>158</v>
      </c>
      <c r="O111" s="50">
        <v>0</v>
      </c>
      <c r="P111" s="52">
        <f ca="1">Log_2018[[#This Row],[Amount]]/Log_2018[[#This Row],[Split_raw]]*MAX(0,MIN(_xlfn.DAYS(EDATE(P$1,1),Log_2018[[#This Row],[Date]]),Log_2018[[#This Row],[Split_apply]])) - SUM($O111:O111)</f>
        <v>0</v>
      </c>
      <c r="Q111" s="52">
        <f ca="1">Log_2018[[#This Row],[Amount]]/Log_2018[[#This Row],[Split_raw]]*MAX(0,MIN(_xlfn.DAYS(EDATE(Q$1,1),Log_2018[[#This Row],[Date]]),Log_2018[[#This Row],[Split_apply]])) - SUM($O111:P111)</f>
        <v>0</v>
      </c>
      <c r="R111" s="52">
        <f ca="1">Log_2018[[#This Row],[Amount]]/Log_2018[[#This Row],[Split_raw]]*MAX(0,MIN(_xlfn.DAYS(EDATE(R$1,1),Log_2018[[#This Row],[Date]]),Log_2018[[#This Row],[Split_apply]])) - SUM($O111:Q111)</f>
        <v>0</v>
      </c>
      <c r="S111" s="52">
        <f ca="1">Log_2018[[#This Row],[Amount]]/Log_2018[[#This Row],[Split_raw]]*MAX(0,MIN(_xlfn.DAYS(EDATE(S$1,1),Log_2018[[#This Row],[Date]]),Log_2018[[#This Row],[Split_apply]])) - SUM($O111:R111)</f>
        <v>0</v>
      </c>
      <c r="T111" s="52">
        <f ca="1">Log_2018[[#This Row],[Amount]]/Log_2018[[#This Row],[Split_raw]]*MAX(0,MIN(_xlfn.DAYS(EDATE(T$1,1),Log_2018[[#This Row],[Date]]),Log_2018[[#This Row],[Split_apply]])) - SUM($O111:S111)</f>
        <v>0</v>
      </c>
      <c r="U111" s="52">
        <f ca="1">Log_2018[[#This Row],[Amount]]/Log_2018[[#This Row],[Split_raw]]*MAX(0,MIN(_xlfn.DAYS(EDATE(U$1,1),Log_2018[[#This Row],[Date]]),Log_2018[[#This Row],[Split_apply]])) - SUM($O111:T111)</f>
        <v>0</v>
      </c>
      <c r="V111" s="52">
        <f ca="1">Log_2018[[#This Row],[Amount]]/Log_2018[[#This Row],[Split_raw]]*MAX(0,MIN(_xlfn.DAYS(EDATE(V$1,1),Log_2018[[#This Row],[Date]]),Log_2018[[#This Row],[Split_apply]])) - SUM($O111:U111)</f>
        <v>0</v>
      </c>
      <c r="W111" s="52">
        <f ca="1">Log_2018[[#This Row],[Amount]]/Log_2018[[#This Row],[Split_raw]]*MAX(0,MIN(_xlfn.DAYS(EDATE(W$1,1),Log_2018[[#This Row],[Date]]),Log_2018[[#This Row],[Split_apply]])) - SUM($O111:V111)</f>
        <v>0</v>
      </c>
      <c r="X111" s="52">
        <f ca="1">Log_2018[[#This Row],[Amount]]/Log_2018[[#This Row],[Split_raw]]*MAX(0,MIN(_xlfn.DAYS(EDATE(X$1,1),Log_2018[[#This Row],[Date]]),Log_2018[[#This Row],[Split_apply]])) - SUM($O111:W111)</f>
        <v>0</v>
      </c>
      <c r="Y111" s="52">
        <f ca="1">Log_2018[[#This Row],[Amount]]/Log_2018[[#This Row],[Split_raw]]*MAX(0,MIN(_xlfn.DAYS(EDATE(Y$1,1),Log_2018[[#This Row],[Date]]),Log_2018[[#This Row],[Split_apply]])) - SUM($O111:X111)</f>
        <v>0</v>
      </c>
      <c r="Z111" s="52">
        <f ca="1">Log_2018[[#This Row],[Amount]]/Log_2018[[#This Row],[Split_raw]]*MAX(0,MIN(_xlfn.DAYS(EDATE(Z$1,1),Log_2018[[#This Row],[Date]]),Log_2018[[#This Row],[Split_apply]])) - SUM($O111:Y111)</f>
        <v>-10.65</v>
      </c>
      <c r="AA111" s="52">
        <f ca="1">Log_2018[[#This Row],[Amount]]/Log_2018[[#This Row],[Split_raw]]*MAX(0,MIN(_xlfn.DAYS(EDATE(AA$1,1),Log_2018[[#This Row],[Date]]),Log_2018[[#This Row],[Split_apply]])) - SUM($O111:Z111)</f>
        <v>0</v>
      </c>
      <c r="AB111" s="54">
        <f ca="1">Log_2018[[#This Row],[Amount]]-SUM(O111:AA111)</f>
        <v>0</v>
      </c>
      <c r="AC111" s="7">
        <f ca="1">MAX(0,Log_2018[[#This Row],[Split_apply]] - (EDATE(AA$1,1)-Log_2018[[#This Row],[Date]]))</f>
        <v>0</v>
      </c>
    </row>
    <row r="112" spans="1:29" hidden="1" x14ac:dyDescent="0.25">
      <c r="A112" s="115"/>
      <c r="B112" t="s">
        <v>6</v>
      </c>
      <c r="D112" s="26">
        <v>43416</v>
      </c>
      <c r="F112" t="s">
        <v>255</v>
      </c>
      <c r="G112" t="s">
        <v>25</v>
      </c>
      <c r="H112" s="3">
        <v>-8.16</v>
      </c>
      <c r="I112" s="36">
        <f>IF(Log_2018[[#This Row],[My Category]]="NONTRACKED",0,Log_2018[[#This Row],[Raw Amount]])</f>
        <v>-8.16</v>
      </c>
      <c r="J112" s="17">
        <f>ABS(Log_2018[[#This Row],[Amount]])</f>
        <v>8.16</v>
      </c>
      <c r="K112" s="66">
        <v>1</v>
      </c>
      <c r="L112" s="66">
        <f ca="1">IF(Log_2018[[#This Row],[Date]]&lt;=TODAY(), MIN(Log_2018[[#This Row],[Split_raw]], TODAY()-Log_2018[[#This Row],[Date]]+1), 0)</f>
        <v>1</v>
      </c>
      <c r="M112" t="s">
        <v>35</v>
      </c>
      <c r="N112" t="s">
        <v>158</v>
      </c>
      <c r="O112" s="50">
        <v>0</v>
      </c>
      <c r="P112" s="52">
        <f ca="1">Log_2018[[#This Row],[Amount]]/Log_2018[[#This Row],[Split_raw]]*MAX(0,MIN(_xlfn.DAYS(EDATE(P$1,1),Log_2018[[#This Row],[Date]]),Log_2018[[#This Row],[Split_apply]])) - SUM($O112:O112)</f>
        <v>0</v>
      </c>
      <c r="Q112" s="52">
        <f ca="1">Log_2018[[#This Row],[Amount]]/Log_2018[[#This Row],[Split_raw]]*MAX(0,MIN(_xlfn.DAYS(EDATE(Q$1,1),Log_2018[[#This Row],[Date]]),Log_2018[[#This Row],[Split_apply]])) - SUM($O112:P112)</f>
        <v>0</v>
      </c>
      <c r="R112" s="52">
        <f ca="1">Log_2018[[#This Row],[Amount]]/Log_2018[[#This Row],[Split_raw]]*MAX(0,MIN(_xlfn.DAYS(EDATE(R$1,1),Log_2018[[#This Row],[Date]]),Log_2018[[#This Row],[Split_apply]])) - SUM($O112:Q112)</f>
        <v>0</v>
      </c>
      <c r="S112" s="52">
        <f ca="1">Log_2018[[#This Row],[Amount]]/Log_2018[[#This Row],[Split_raw]]*MAX(0,MIN(_xlfn.DAYS(EDATE(S$1,1),Log_2018[[#This Row],[Date]]),Log_2018[[#This Row],[Split_apply]])) - SUM($O112:R112)</f>
        <v>0</v>
      </c>
      <c r="T112" s="52">
        <f ca="1">Log_2018[[#This Row],[Amount]]/Log_2018[[#This Row],[Split_raw]]*MAX(0,MIN(_xlfn.DAYS(EDATE(T$1,1),Log_2018[[#This Row],[Date]]),Log_2018[[#This Row],[Split_apply]])) - SUM($O112:S112)</f>
        <v>0</v>
      </c>
      <c r="U112" s="52">
        <f ca="1">Log_2018[[#This Row],[Amount]]/Log_2018[[#This Row],[Split_raw]]*MAX(0,MIN(_xlfn.DAYS(EDATE(U$1,1),Log_2018[[#This Row],[Date]]),Log_2018[[#This Row],[Split_apply]])) - SUM($O112:T112)</f>
        <v>0</v>
      </c>
      <c r="V112" s="52">
        <f ca="1">Log_2018[[#This Row],[Amount]]/Log_2018[[#This Row],[Split_raw]]*MAX(0,MIN(_xlfn.DAYS(EDATE(V$1,1),Log_2018[[#This Row],[Date]]),Log_2018[[#This Row],[Split_apply]])) - SUM($O112:U112)</f>
        <v>0</v>
      </c>
      <c r="W112" s="52">
        <f ca="1">Log_2018[[#This Row],[Amount]]/Log_2018[[#This Row],[Split_raw]]*MAX(0,MIN(_xlfn.DAYS(EDATE(W$1,1),Log_2018[[#This Row],[Date]]),Log_2018[[#This Row],[Split_apply]])) - SUM($O112:V112)</f>
        <v>0</v>
      </c>
      <c r="X112" s="52">
        <f ca="1">Log_2018[[#This Row],[Amount]]/Log_2018[[#This Row],[Split_raw]]*MAX(0,MIN(_xlfn.DAYS(EDATE(X$1,1),Log_2018[[#This Row],[Date]]),Log_2018[[#This Row],[Split_apply]])) - SUM($O112:W112)</f>
        <v>0</v>
      </c>
      <c r="Y112" s="52">
        <f ca="1">Log_2018[[#This Row],[Amount]]/Log_2018[[#This Row],[Split_raw]]*MAX(0,MIN(_xlfn.DAYS(EDATE(Y$1,1),Log_2018[[#This Row],[Date]]),Log_2018[[#This Row],[Split_apply]])) - SUM($O112:X112)</f>
        <v>0</v>
      </c>
      <c r="Z112" s="52">
        <f ca="1">Log_2018[[#This Row],[Amount]]/Log_2018[[#This Row],[Split_raw]]*MAX(0,MIN(_xlfn.DAYS(EDATE(Z$1,1),Log_2018[[#This Row],[Date]]),Log_2018[[#This Row],[Split_apply]])) - SUM($O112:Y112)</f>
        <v>-8.16</v>
      </c>
      <c r="AA112" s="52">
        <f ca="1">Log_2018[[#This Row],[Amount]]/Log_2018[[#This Row],[Split_raw]]*MAX(0,MIN(_xlfn.DAYS(EDATE(AA$1,1),Log_2018[[#This Row],[Date]]),Log_2018[[#This Row],[Split_apply]])) - SUM($O112:Z112)</f>
        <v>0</v>
      </c>
      <c r="AB112" s="54">
        <f ca="1">Log_2018[[#This Row],[Amount]]-SUM(O112:AA112)</f>
        <v>0</v>
      </c>
      <c r="AC112" s="7">
        <f ca="1">MAX(0,Log_2018[[#This Row],[Split_apply]] - (EDATE(AA$1,1)-Log_2018[[#This Row],[Date]]))</f>
        <v>0</v>
      </c>
    </row>
    <row r="113" spans="1:29" hidden="1" x14ac:dyDescent="0.25">
      <c r="A113" s="115"/>
      <c r="B113" t="s">
        <v>6</v>
      </c>
      <c r="D113" s="26">
        <v>43414</v>
      </c>
      <c r="F113" t="s">
        <v>394</v>
      </c>
      <c r="G113" t="s">
        <v>300</v>
      </c>
      <c r="H113" s="3">
        <v>-64.5</v>
      </c>
      <c r="I113" s="36">
        <f>IF(Log_2018[[#This Row],[My Category]]="NONTRACKED",0,Log_2018[[#This Row],[Raw Amount]])</f>
        <v>-64.5</v>
      </c>
      <c r="J113" s="17">
        <f>ABS(Log_2018[[#This Row],[Amount]])</f>
        <v>64.5</v>
      </c>
      <c r="K113" s="66">
        <v>1</v>
      </c>
      <c r="L113" s="66">
        <f ca="1">IF(Log_2018[[#This Row],[Date]]&lt;=TODAY(), MIN(Log_2018[[#This Row],[Split_raw]], TODAY()-Log_2018[[#This Row],[Date]]+1), 0)</f>
        <v>1</v>
      </c>
      <c r="M113" t="s">
        <v>42</v>
      </c>
      <c r="N113" t="s">
        <v>158</v>
      </c>
      <c r="O113" s="50">
        <v>0</v>
      </c>
      <c r="P113" s="52">
        <f ca="1">Log_2018[[#This Row],[Amount]]/Log_2018[[#This Row],[Split_raw]]*MAX(0,MIN(_xlfn.DAYS(EDATE(P$1,1),Log_2018[[#This Row],[Date]]),Log_2018[[#This Row],[Split_apply]])) - SUM($O113:O113)</f>
        <v>0</v>
      </c>
      <c r="Q113" s="52">
        <f ca="1">Log_2018[[#This Row],[Amount]]/Log_2018[[#This Row],[Split_raw]]*MAX(0,MIN(_xlfn.DAYS(EDATE(Q$1,1),Log_2018[[#This Row],[Date]]),Log_2018[[#This Row],[Split_apply]])) - SUM($O113:P113)</f>
        <v>0</v>
      </c>
      <c r="R113" s="52">
        <f ca="1">Log_2018[[#This Row],[Amount]]/Log_2018[[#This Row],[Split_raw]]*MAX(0,MIN(_xlfn.DAYS(EDATE(R$1,1),Log_2018[[#This Row],[Date]]),Log_2018[[#This Row],[Split_apply]])) - SUM($O113:Q113)</f>
        <v>0</v>
      </c>
      <c r="S113" s="52">
        <f ca="1">Log_2018[[#This Row],[Amount]]/Log_2018[[#This Row],[Split_raw]]*MAX(0,MIN(_xlfn.DAYS(EDATE(S$1,1),Log_2018[[#This Row],[Date]]),Log_2018[[#This Row],[Split_apply]])) - SUM($O113:R113)</f>
        <v>0</v>
      </c>
      <c r="T113" s="52">
        <f ca="1">Log_2018[[#This Row],[Amount]]/Log_2018[[#This Row],[Split_raw]]*MAX(0,MIN(_xlfn.DAYS(EDATE(T$1,1),Log_2018[[#This Row],[Date]]),Log_2018[[#This Row],[Split_apply]])) - SUM($O113:S113)</f>
        <v>0</v>
      </c>
      <c r="U113" s="52">
        <f ca="1">Log_2018[[#This Row],[Amount]]/Log_2018[[#This Row],[Split_raw]]*MAX(0,MIN(_xlfn.DAYS(EDATE(U$1,1),Log_2018[[#This Row],[Date]]),Log_2018[[#This Row],[Split_apply]])) - SUM($O113:T113)</f>
        <v>0</v>
      </c>
      <c r="V113" s="52">
        <f ca="1">Log_2018[[#This Row],[Amount]]/Log_2018[[#This Row],[Split_raw]]*MAX(0,MIN(_xlfn.DAYS(EDATE(V$1,1),Log_2018[[#This Row],[Date]]),Log_2018[[#This Row],[Split_apply]])) - SUM($O113:U113)</f>
        <v>0</v>
      </c>
      <c r="W113" s="52">
        <f ca="1">Log_2018[[#This Row],[Amount]]/Log_2018[[#This Row],[Split_raw]]*MAX(0,MIN(_xlfn.DAYS(EDATE(W$1,1),Log_2018[[#This Row],[Date]]),Log_2018[[#This Row],[Split_apply]])) - SUM($O113:V113)</f>
        <v>0</v>
      </c>
      <c r="X113" s="52">
        <f ca="1">Log_2018[[#This Row],[Amount]]/Log_2018[[#This Row],[Split_raw]]*MAX(0,MIN(_xlfn.DAYS(EDATE(X$1,1),Log_2018[[#This Row],[Date]]),Log_2018[[#This Row],[Split_apply]])) - SUM($O113:W113)</f>
        <v>0</v>
      </c>
      <c r="Y113" s="52">
        <f ca="1">Log_2018[[#This Row],[Amount]]/Log_2018[[#This Row],[Split_raw]]*MAX(0,MIN(_xlfn.DAYS(EDATE(Y$1,1),Log_2018[[#This Row],[Date]]),Log_2018[[#This Row],[Split_apply]])) - SUM($O113:X113)</f>
        <v>0</v>
      </c>
      <c r="Z113" s="52">
        <f ca="1">Log_2018[[#This Row],[Amount]]/Log_2018[[#This Row],[Split_raw]]*MAX(0,MIN(_xlfn.DAYS(EDATE(Z$1,1),Log_2018[[#This Row],[Date]]),Log_2018[[#This Row],[Split_apply]])) - SUM($O113:Y113)</f>
        <v>-64.5</v>
      </c>
      <c r="AA113" s="52">
        <f ca="1">Log_2018[[#This Row],[Amount]]/Log_2018[[#This Row],[Split_raw]]*MAX(0,MIN(_xlfn.DAYS(EDATE(AA$1,1),Log_2018[[#This Row],[Date]]),Log_2018[[#This Row],[Split_apply]])) - SUM($O113:Z113)</f>
        <v>0</v>
      </c>
      <c r="AB113" s="54">
        <f ca="1">Log_2018[[#This Row],[Amount]]-SUM(O113:AA113)</f>
        <v>0</v>
      </c>
      <c r="AC113" s="7">
        <f ca="1">MAX(0,Log_2018[[#This Row],[Split_apply]] - (EDATE(AA$1,1)-Log_2018[[#This Row],[Date]]))</f>
        <v>0</v>
      </c>
    </row>
    <row r="114" spans="1:29" hidden="1" x14ac:dyDescent="0.25">
      <c r="A114" s="115"/>
      <c r="B114" t="s">
        <v>490</v>
      </c>
      <c r="C114" s="30">
        <v>2.6098288842034299E+18</v>
      </c>
      <c r="D114" s="26">
        <v>43414</v>
      </c>
      <c r="F114" t="s">
        <v>506</v>
      </c>
      <c r="H114" s="3">
        <v>30</v>
      </c>
      <c r="I114" s="36">
        <f>IF(Log_2018[[#This Row],[My Category]]="NONTRACKED",0,Log_2018[[#This Row],[Raw Amount]])</f>
        <v>30</v>
      </c>
      <c r="J114" s="17">
        <f>ABS(Log_2018[[#This Row],[Amount]])</f>
        <v>30</v>
      </c>
      <c r="K114" s="66">
        <v>1</v>
      </c>
      <c r="L114" s="66">
        <f ca="1">IF(Log_2018[[#This Row],[Date]]&lt;=TODAY(), MIN(Log_2018[[#This Row],[Split_raw]], TODAY()-Log_2018[[#This Row],[Date]]+1), 0)</f>
        <v>1</v>
      </c>
      <c r="M114" t="s">
        <v>37</v>
      </c>
      <c r="N114" t="s">
        <v>489</v>
      </c>
      <c r="O114" s="50">
        <v>0</v>
      </c>
      <c r="P114" s="52">
        <f ca="1">Log_2018[[#This Row],[Amount]]/Log_2018[[#This Row],[Split_raw]]*MAX(0,MIN(_xlfn.DAYS(EDATE(P$1,1),Log_2018[[#This Row],[Date]]),Log_2018[[#This Row],[Split_apply]])) - SUM($O114:O114)</f>
        <v>0</v>
      </c>
      <c r="Q114" s="52">
        <f ca="1">Log_2018[[#This Row],[Amount]]/Log_2018[[#This Row],[Split_raw]]*MAX(0,MIN(_xlfn.DAYS(EDATE(Q$1,1),Log_2018[[#This Row],[Date]]),Log_2018[[#This Row],[Split_apply]])) - SUM($O114:P114)</f>
        <v>0</v>
      </c>
      <c r="R114" s="52">
        <f ca="1">Log_2018[[#This Row],[Amount]]/Log_2018[[#This Row],[Split_raw]]*MAX(0,MIN(_xlfn.DAYS(EDATE(R$1,1),Log_2018[[#This Row],[Date]]),Log_2018[[#This Row],[Split_apply]])) - SUM($O114:Q114)</f>
        <v>0</v>
      </c>
      <c r="S114" s="52">
        <f ca="1">Log_2018[[#This Row],[Amount]]/Log_2018[[#This Row],[Split_raw]]*MAX(0,MIN(_xlfn.DAYS(EDATE(S$1,1),Log_2018[[#This Row],[Date]]),Log_2018[[#This Row],[Split_apply]])) - SUM($O114:R114)</f>
        <v>0</v>
      </c>
      <c r="T114" s="52">
        <f ca="1">Log_2018[[#This Row],[Amount]]/Log_2018[[#This Row],[Split_raw]]*MAX(0,MIN(_xlfn.DAYS(EDATE(T$1,1),Log_2018[[#This Row],[Date]]),Log_2018[[#This Row],[Split_apply]])) - SUM($O114:S114)</f>
        <v>0</v>
      </c>
      <c r="U114" s="52">
        <f ca="1">Log_2018[[#This Row],[Amount]]/Log_2018[[#This Row],[Split_raw]]*MAX(0,MIN(_xlfn.DAYS(EDATE(U$1,1),Log_2018[[#This Row],[Date]]),Log_2018[[#This Row],[Split_apply]])) - SUM($O114:T114)</f>
        <v>0</v>
      </c>
      <c r="V114" s="52">
        <f ca="1">Log_2018[[#This Row],[Amount]]/Log_2018[[#This Row],[Split_raw]]*MAX(0,MIN(_xlfn.DAYS(EDATE(V$1,1),Log_2018[[#This Row],[Date]]),Log_2018[[#This Row],[Split_apply]])) - SUM($O114:U114)</f>
        <v>0</v>
      </c>
      <c r="W114" s="52">
        <f ca="1">Log_2018[[#This Row],[Amount]]/Log_2018[[#This Row],[Split_raw]]*MAX(0,MIN(_xlfn.DAYS(EDATE(W$1,1),Log_2018[[#This Row],[Date]]),Log_2018[[#This Row],[Split_apply]])) - SUM($O114:V114)</f>
        <v>0</v>
      </c>
      <c r="X114" s="52">
        <f ca="1">Log_2018[[#This Row],[Amount]]/Log_2018[[#This Row],[Split_raw]]*MAX(0,MIN(_xlfn.DAYS(EDATE(X$1,1),Log_2018[[#This Row],[Date]]),Log_2018[[#This Row],[Split_apply]])) - SUM($O114:W114)</f>
        <v>0</v>
      </c>
      <c r="Y114" s="52">
        <f ca="1">Log_2018[[#This Row],[Amount]]/Log_2018[[#This Row],[Split_raw]]*MAX(0,MIN(_xlfn.DAYS(EDATE(Y$1,1),Log_2018[[#This Row],[Date]]),Log_2018[[#This Row],[Split_apply]])) - SUM($O114:X114)</f>
        <v>0</v>
      </c>
      <c r="Z114" s="52">
        <f ca="1">Log_2018[[#This Row],[Amount]]/Log_2018[[#This Row],[Split_raw]]*MAX(0,MIN(_xlfn.DAYS(EDATE(Z$1,1),Log_2018[[#This Row],[Date]]),Log_2018[[#This Row],[Split_apply]])) - SUM($O114:Y114)</f>
        <v>30</v>
      </c>
      <c r="AA114" s="52">
        <f ca="1">Log_2018[[#This Row],[Amount]]/Log_2018[[#This Row],[Split_raw]]*MAX(0,MIN(_xlfn.DAYS(EDATE(AA$1,1),Log_2018[[#This Row],[Date]]),Log_2018[[#This Row],[Split_apply]])) - SUM($O114:Z114)</f>
        <v>0</v>
      </c>
      <c r="AB114" s="54">
        <f ca="1">Log_2018[[#This Row],[Amount]]-SUM(O114:AA114)</f>
        <v>0</v>
      </c>
      <c r="AC114" s="7">
        <f ca="1">MAX(0,Log_2018[[#This Row],[Split_apply]] - (EDATE(AA$1,1)-Log_2018[[#This Row],[Date]]))</f>
        <v>0</v>
      </c>
    </row>
    <row r="115" spans="1:29" hidden="1" x14ac:dyDescent="0.25">
      <c r="A115" s="115"/>
      <c r="B115" t="s">
        <v>6</v>
      </c>
      <c r="D115" s="26">
        <v>43413</v>
      </c>
      <c r="F115" t="s">
        <v>395</v>
      </c>
      <c r="G115" t="s">
        <v>25</v>
      </c>
      <c r="H115" s="3">
        <v>-14.06</v>
      </c>
      <c r="I115" s="36">
        <f>IF(Log_2018[[#This Row],[My Category]]="NONTRACKED",0,Log_2018[[#This Row],[Raw Amount]])</f>
        <v>-14.06</v>
      </c>
      <c r="J115" s="17">
        <f>ABS(Log_2018[[#This Row],[Amount]])</f>
        <v>14.06</v>
      </c>
      <c r="K115" s="66">
        <v>1</v>
      </c>
      <c r="L115" s="66">
        <f ca="1">IF(Log_2018[[#This Row],[Date]]&lt;=TODAY(), MIN(Log_2018[[#This Row],[Split_raw]], TODAY()-Log_2018[[#This Row],[Date]]+1), 0)</f>
        <v>1</v>
      </c>
      <c r="M115" t="s">
        <v>41</v>
      </c>
      <c r="N115" t="s">
        <v>158</v>
      </c>
      <c r="O115" s="50">
        <v>0</v>
      </c>
      <c r="P115" s="52">
        <f ca="1">Log_2018[[#This Row],[Amount]]/Log_2018[[#This Row],[Split_raw]]*MAX(0,MIN(_xlfn.DAYS(EDATE(P$1,1),Log_2018[[#This Row],[Date]]),Log_2018[[#This Row],[Split_apply]])) - SUM($O115:O115)</f>
        <v>0</v>
      </c>
      <c r="Q115" s="52">
        <f ca="1">Log_2018[[#This Row],[Amount]]/Log_2018[[#This Row],[Split_raw]]*MAX(0,MIN(_xlfn.DAYS(EDATE(Q$1,1),Log_2018[[#This Row],[Date]]),Log_2018[[#This Row],[Split_apply]])) - SUM($O115:P115)</f>
        <v>0</v>
      </c>
      <c r="R115" s="52">
        <f ca="1">Log_2018[[#This Row],[Amount]]/Log_2018[[#This Row],[Split_raw]]*MAX(0,MIN(_xlfn.DAYS(EDATE(R$1,1),Log_2018[[#This Row],[Date]]),Log_2018[[#This Row],[Split_apply]])) - SUM($O115:Q115)</f>
        <v>0</v>
      </c>
      <c r="S115" s="52">
        <f ca="1">Log_2018[[#This Row],[Amount]]/Log_2018[[#This Row],[Split_raw]]*MAX(0,MIN(_xlfn.DAYS(EDATE(S$1,1),Log_2018[[#This Row],[Date]]),Log_2018[[#This Row],[Split_apply]])) - SUM($O115:R115)</f>
        <v>0</v>
      </c>
      <c r="T115" s="52">
        <f ca="1">Log_2018[[#This Row],[Amount]]/Log_2018[[#This Row],[Split_raw]]*MAX(0,MIN(_xlfn.DAYS(EDATE(T$1,1),Log_2018[[#This Row],[Date]]),Log_2018[[#This Row],[Split_apply]])) - SUM($O115:S115)</f>
        <v>0</v>
      </c>
      <c r="U115" s="52">
        <f ca="1">Log_2018[[#This Row],[Amount]]/Log_2018[[#This Row],[Split_raw]]*MAX(0,MIN(_xlfn.DAYS(EDATE(U$1,1),Log_2018[[#This Row],[Date]]),Log_2018[[#This Row],[Split_apply]])) - SUM($O115:T115)</f>
        <v>0</v>
      </c>
      <c r="V115" s="52">
        <f ca="1">Log_2018[[#This Row],[Amount]]/Log_2018[[#This Row],[Split_raw]]*MAX(0,MIN(_xlfn.DAYS(EDATE(V$1,1),Log_2018[[#This Row],[Date]]),Log_2018[[#This Row],[Split_apply]])) - SUM($O115:U115)</f>
        <v>0</v>
      </c>
      <c r="W115" s="52">
        <f ca="1">Log_2018[[#This Row],[Amount]]/Log_2018[[#This Row],[Split_raw]]*MAX(0,MIN(_xlfn.DAYS(EDATE(W$1,1),Log_2018[[#This Row],[Date]]),Log_2018[[#This Row],[Split_apply]])) - SUM($O115:V115)</f>
        <v>0</v>
      </c>
      <c r="X115" s="52">
        <f ca="1">Log_2018[[#This Row],[Amount]]/Log_2018[[#This Row],[Split_raw]]*MAX(0,MIN(_xlfn.DAYS(EDATE(X$1,1),Log_2018[[#This Row],[Date]]),Log_2018[[#This Row],[Split_apply]])) - SUM($O115:W115)</f>
        <v>0</v>
      </c>
      <c r="Y115" s="52">
        <f ca="1">Log_2018[[#This Row],[Amount]]/Log_2018[[#This Row],[Split_raw]]*MAX(0,MIN(_xlfn.DAYS(EDATE(Y$1,1),Log_2018[[#This Row],[Date]]),Log_2018[[#This Row],[Split_apply]])) - SUM($O115:X115)</f>
        <v>0</v>
      </c>
      <c r="Z115" s="52">
        <f ca="1">Log_2018[[#This Row],[Amount]]/Log_2018[[#This Row],[Split_raw]]*MAX(0,MIN(_xlfn.DAYS(EDATE(Z$1,1),Log_2018[[#This Row],[Date]]),Log_2018[[#This Row],[Split_apply]])) - SUM($O115:Y115)</f>
        <v>-14.06</v>
      </c>
      <c r="AA115" s="52">
        <f ca="1">Log_2018[[#This Row],[Amount]]/Log_2018[[#This Row],[Split_raw]]*MAX(0,MIN(_xlfn.DAYS(EDATE(AA$1,1),Log_2018[[#This Row],[Date]]),Log_2018[[#This Row],[Split_apply]])) - SUM($O115:Z115)</f>
        <v>0</v>
      </c>
      <c r="AB115" s="54">
        <f ca="1">Log_2018[[#This Row],[Amount]]-SUM(O115:AA115)</f>
        <v>0</v>
      </c>
      <c r="AC115" s="7">
        <f ca="1">MAX(0,Log_2018[[#This Row],[Split_apply]] - (EDATE(AA$1,1)-Log_2018[[#This Row],[Date]]))</f>
        <v>0</v>
      </c>
    </row>
    <row r="116" spans="1:29" hidden="1" x14ac:dyDescent="0.25">
      <c r="A116" s="115"/>
      <c r="B116" t="s">
        <v>6</v>
      </c>
      <c r="D116" s="26">
        <v>43413</v>
      </c>
      <c r="F116" t="s">
        <v>396</v>
      </c>
      <c r="G116" t="s">
        <v>25</v>
      </c>
      <c r="H116" s="3">
        <v>-16.86</v>
      </c>
      <c r="I116" s="36">
        <f>IF(Log_2018[[#This Row],[My Category]]="NONTRACKED",0,Log_2018[[#This Row],[Raw Amount]])</f>
        <v>-16.86</v>
      </c>
      <c r="J116" s="17">
        <f>ABS(Log_2018[[#This Row],[Amount]])</f>
        <v>16.86</v>
      </c>
      <c r="K116" s="66">
        <v>1</v>
      </c>
      <c r="L116" s="66">
        <f ca="1">IF(Log_2018[[#This Row],[Date]]&lt;=TODAY(), MIN(Log_2018[[#This Row],[Split_raw]], TODAY()-Log_2018[[#This Row],[Date]]+1), 0)</f>
        <v>1</v>
      </c>
      <c r="M116" t="s">
        <v>37</v>
      </c>
      <c r="N116" t="s">
        <v>158</v>
      </c>
      <c r="O116" s="50">
        <v>0</v>
      </c>
      <c r="P116" s="52">
        <f ca="1">Log_2018[[#This Row],[Amount]]/Log_2018[[#This Row],[Split_raw]]*MAX(0,MIN(_xlfn.DAYS(EDATE(P$1,1),Log_2018[[#This Row],[Date]]),Log_2018[[#This Row],[Split_apply]])) - SUM($O116:O116)</f>
        <v>0</v>
      </c>
      <c r="Q116" s="52">
        <f ca="1">Log_2018[[#This Row],[Amount]]/Log_2018[[#This Row],[Split_raw]]*MAX(0,MIN(_xlfn.DAYS(EDATE(Q$1,1),Log_2018[[#This Row],[Date]]),Log_2018[[#This Row],[Split_apply]])) - SUM($O116:P116)</f>
        <v>0</v>
      </c>
      <c r="R116" s="52">
        <f ca="1">Log_2018[[#This Row],[Amount]]/Log_2018[[#This Row],[Split_raw]]*MAX(0,MIN(_xlfn.DAYS(EDATE(R$1,1),Log_2018[[#This Row],[Date]]),Log_2018[[#This Row],[Split_apply]])) - SUM($O116:Q116)</f>
        <v>0</v>
      </c>
      <c r="S116" s="52">
        <f ca="1">Log_2018[[#This Row],[Amount]]/Log_2018[[#This Row],[Split_raw]]*MAX(0,MIN(_xlfn.DAYS(EDATE(S$1,1),Log_2018[[#This Row],[Date]]),Log_2018[[#This Row],[Split_apply]])) - SUM($O116:R116)</f>
        <v>0</v>
      </c>
      <c r="T116" s="52">
        <f ca="1">Log_2018[[#This Row],[Amount]]/Log_2018[[#This Row],[Split_raw]]*MAX(0,MIN(_xlfn.DAYS(EDATE(T$1,1),Log_2018[[#This Row],[Date]]),Log_2018[[#This Row],[Split_apply]])) - SUM($O116:S116)</f>
        <v>0</v>
      </c>
      <c r="U116" s="52">
        <f ca="1">Log_2018[[#This Row],[Amount]]/Log_2018[[#This Row],[Split_raw]]*MAX(0,MIN(_xlfn.DAYS(EDATE(U$1,1),Log_2018[[#This Row],[Date]]),Log_2018[[#This Row],[Split_apply]])) - SUM($O116:T116)</f>
        <v>0</v>
      </c>
      <c r="V116" s="52">
        <f ca="1">Log_2018[[#This Row],[Amount]]/Log_2018[[#This Row],[Split_raw]]*MAX(0,MIN(_xlfn.DAYS(EDATE(V$1,1),Log_2018[[#This Row],[Date]]),Log_2018[[#This Row],[Split_apply]])) - SUM($O116:U116)</f>
        <v>0</v>
      </c>
      <c r="W116" s="52">
        <f ca="1">Log_2018[[#This Row],[Amount]]/Log_2018[[#This Row],[Split_raw]]*MAX(0,MIN(_xlfn.DAYS(EDATE(W$1,1),Log_2018[[#This Row],[Date]]),Log_2018[[#This Row],[Split_apply]])) - SUM($O116:V116)</f>
        <v>0</v>
      </c>
      <c r="X116" s="52">
        <f ca="1">Log_2018[[#This Row],[Amount]]/Log_2018[[#This Row],[Split_raw]]*MAX(0,MIN(_xlfn.DAYS(EDATE(X$1,1),Log_2018[[#This Row],[Date]]),Log_2018[[#This Row],[Split_apply]])) - SUM($O116:W116)</f>
        <v>0</v>
      </c>
      <c r="Y116" s="52">
        <f ca="1">Log_2018[[#This Row],[Amount]]/Log_2018[[#This Row],[Split_raw]]*MAX(0,MIN(_xlfn.DAYS(EDATE(Y$1,1),Log_2018[[#This Row],[Date]]),Log_2018[[#This Row],[Split_apply]])) - SUM($O116:X116)</f>
        <v>0</v>
      </c>
      <c r="Z116" s="52">
        <f ca="1">Log_2018[[#This Row],[Amount]]/Log_2018[[#This Row],[Split_raw]]*MAX(0,MIN(_xlfn.DAYS(EDATE(Z$1,1),Log_2018[[#This Row],[Date]]),Log_2018[[#This Row],[Split_apply]])) - SUM($O116:Y116)</f>
        <v>-16.86</v>
      </c>
      <c r="AA116" s="52">
        <f ca="1">Log_2018[[#This Row],[Amount]]/Log_2018[[#This Row],[Split_raw]]*MAX(0,MIN(_xlfn.DAYS(EDATE(AA$1,1),Log_2018[[#This Row],[Date]]),Log_2018[[#This Row],[Split_apply]])) - SUM($O116:Z116)</f>
        <v>0</v>
      </c>
      <c r="AB116" s="54">
        <f ca="1">Log_2018[[#This Row],[Amount]]-SUM(O116:AA116)</f>
        <v>0</v>
      </c>
      <c r="AC116" s="7">
        <f ca="1">MAX(0,Log_2018[[#This Row],[Split_apply]] - (EDATE(AA$1,1)-Log_2018[[#This Row],[Date]]))</f>
        <v>0</v>
      </c>
    </row>
    <row r="117" spans="1:29" hidden="1" x14ac:dyDescent="0.25">
      <c r="A117" s="115"/>
      <c r="B117" t="s">
        <v>6</v>
      </c>
      <c r="D117" s="26">
        <v>43413</v>
      </c>
      <c r="E117" s="57" t="s">
        <v>1012</v>
      </c>
      <c r="F117" t="s">
        <v>397</v>
      </c>
      <c r="G117" t="s">
        <v>8</v>
      </c>
      <c r="H117" s="3">
        <v>-86.64</v>
      </c>
      <c r="I117" s="36">
        <f>IF(Log_2018[[#This Row],[My Category]]="NONTRACKED",0,Log_2018[[#This Row],[Raw Amount]])</f>
        <v>-86.64</v>
      </c>
      <c r="J117" s="17">
        <f>ABS(Log_2018[[#This Row],[Amount]])</f>
        <v>86.64</v>
      </c>
      <c r="K117" s="66">
        <v>1</v>
      </c>
      <c r="L117" s="66">
        <f ca="1">IF(Log_2018[[#This Row],[Date]]&lt;=TODAY(), MIN(Log_2018[[#This Row],[Split_raw]], TODAY()-Log_2018[[#This Row],[Date]]+1), 0)</f>
        <v>1</v>
      </c>
      <c r="M117" t="s">
        <v>52</v>
      </c>
      <c r="N117" t="s">
        <v>158</v>
      </c>
      <c r="O117" s="50">
        <v>0</v>
      </c>
      <c r="P117" s="52">
        <f ca="1">Log_2018[[#This Row],[Amount]]/Log_2018[[#This Row],[Split_raw]]*MAX(0,MIN(_xlfn.DAYS(EDATE(P$1,1),Log_2018[[#This Row],[Date]]),Log_2018[[#This Row],[Split_apply]])) - SUM($O117:O117)</f>
        <v>0</v>
      </c>
      <c r="Q117" s="52">
        <f ca="1">Log_2018[[#This Row],[Amount]]/Log_2018[[#This Row],[Split_raw]]*MAX(0,MIN(_xlfn.DAYS(EDATE(Q$1,1),Log_2018[[#This Row],[Date]]),Log_2018[[#This Row],[Split_apply]])) - SUM($O117:P117)</f>
        <v>0</v>
      </c>
      <c r="R117" s="52">
        <f ca="1">Log_2018[[#This Row],[Amount]]/Log_2018[[#This Row],[Split_raw]]*MAX(0,MIN(_xlfn.DAYS(EDATE(R$1,1),Log_2018[[#This Row],[Date]]),Log_2018[[#This Row],[Split_apply]])) - SUM($O117:Q117)</f>
        <v>0</v>
      </c>
      <c r="S117" s="52">
        <f ca="1">Log_2018[[#This Row],[Amount]]/Log_2018[[#This Row],[Split_raw]]*MAX(0,MIN(_xlfn.DAYS(EDATE(S$1,1),Log_2018[[#This Row],[Date]]),Log_2018[[#This Row],[Split_apply]])) - SUM($O117:R117)</f>
        <v>0</v>
      </c>
      <c r="T117" s="52">
        <f ca="1">Log_2018[[#This Row],[Amount]]/Log_2018[[#This Row],[Split_raw]]*MAX(0,MIN(_xlfn.DAYS(EDATE(T$1,1),Log_2018[[#This Row],[Date]]),Log_2018[[#This Row],[Split_apply]])) - SUM($O117:S117)</f>
        <v>0</v>
      </c>
      <c r="U117" s="52">
        <f ca="1">Log_2018[[#This Row],[Amount]]/Log_2018[[#This Row],[Split_raw]]*MAX(0,MIN(_xlfn.DAYS(EDATE(U$1,1),Log_2018[[#This Row],[Date]]),Log_2018[[#This Row],[Split_apply]])) - SUM($O117:T117)</f>
        <v>0</v>
      </c>
      <c r="V117" s="52">
        <f ca="1">Log_2018[[#This Row],[Amount]]/Log_2018[[#This Row],[Split_raw]]*MAX(0,MIN(_xlfn.DAYS(EDATE(V$1,1),Log_2018[[#This Row],[Date]]),Log_2018[[#This Row],[Split_apply]])) - SUM($O117:U117)</f>
        <v>0</v>
      </c>
      <c r="W117" s="52">
        <f ca="1">Log_2018[[#This Row],[Amount]]/Log_2018[[#This Row],[Split_raw]]*MAX(0,MIN(_xlfn.DAYS(EDATE(W$1,1),Log_2018[[#This Row],[Date]]),Log_2018[[#This Row],[Split_apply]])) - SUM($O117:V117)</f>
        <v>0</v>
      </c>
      <c r="X117" s="52">
        <f ca="1">Log_2018[[#This Row],[Amount]]/Log_2018[[#This Row],[Split_raw]]*MAX(0,MIN(_xlfn.DAYS(EDATE(X$1,1),Log_2018[[#This Row],[Date]]),Log_2018[[#This Row],[Split_apply]])) - SUM($O117:W117)</f>
        <v>0</v>
      </c>
      <c r="Y117" s="52">
        <f ca="1">Log_2018[[#This Row],[Amount]]/Log_2018[[#This Row],[Split_raw]]*MAX(0,MIN(_xlfn.DAYS(EDATE(Y$1,1),Log_2018[[#This Row],[Date]]),Log_2018[[#This Row],[Split_apply]])) - SUM($O117:X117)</f>
        <v>0</v>
      </c>
      <c r="Z117" s="52">
        <f ca="1">Log_2018[[#This Row],[Amount]]/Log_2018[[#This Row],[Split_raw]]*MAX(0,MIN(_xlfn.DAYS(EDATE(Z$1,1),Log_2018[[#This Row],[Date]]),Log_2018[[#This Row],[Split_apply]])) - SUM($O117:Y117)</f>
        <v>-86.64</v>
      </c>
      <c r="AA117" s="52">
        <f ca="1">Log_2018[[#This Row],[Amount]]/Log_2018[[#This Row],[Split_raw]]*MAX(0,MIN(_xlfn.DAYS(EDATE(AA$1,1),Log_2018[[#This Row],[Date]]),Log_2018[[#This Row],[Split_apply]])) - SUM($O117:Z117)</f>
        <v>0</v>
      </c>
      <c r="AB117" s="54">
        <f ca="1">Log_2018[[#This Row],[Amount]]-SUM(O117:AA117)</f>
        <v>0</v>
      </c>
      <c r="AC117" s="7">
        <f ca="1">MAX(0,Log_2018[[#This Row],[Split_apply]] - (EDATE(AA$1,1)-Log_2018[[#This Row],[Date]]))</f>
        <v>0</v>
      </c>
    </row>
    <row r="118" spans="1:29" hidden="1" x14ac:dyDescent="0.25">
      <c r="A118" s="115"/>
      <c r="B118" t="s">
        <v>6</v>
      </c>
      <c r="D118" s="26">
        <v>43412</v>
      </c>
      <c r="F118" t="s">
        <v>177</v>
      </c>
      <c r="G118" t="s">
        <v>87</v>
      </c>
      <c r="H118" s="3">
        <f>--1894.27</f>
        <v>1894.27</v>
      </c>
      <c r="I118" s="36">
        <f>IF(Log_2018[[#This Row],[My Category]]="NONTRACKED",0,Log_2018[[#This Row],[Raw Amount]])</f>
        <v>1894.27</v>
      </c>
      <c r="J118" s="17">
        <f>ABS(Log_2018[[#This Row],[Amount]])</f>
        <v>1894.27</v>
      </c>
      <c r="K118" s="66">
        <v>14</v>
      </c>
      <c r="L118" s="66">
        <f ca="1">IF(Log_2018[[#This Row],[Date]]&lt;=TODAY(), MIN(Log_2018[[#This Row],[Split_raw]], TODAY()-Log_2018[[#This Row],[Date]]+1), 0)</f>
        <v>14</v>
      </c>
      <c r="M118" t="s">
        <v>91</v>
      </c>
      <c r="N118" t="s">
        <v>160</v>
      </c>
      <c r="O118" s="50">
        <v>0</v>
      </c>
      <c r="P118" s="52">
        <f ca="1">Log_2018[[#This Row],[Amount]]/Log_2018[[#This Row],[Split_raw]]*MAX(0,MIN(_xlfn.DAYS(EDATE(P$1,1),Log_2018[[#This Row],[Date]]),Log_2018[[#This Row],[Split_apply]])) - SUM($O118:O118)</f>
        <v>0</v>
      </c>
      <c r="Q118" s="52">
        <f ca="1">Log_2018[[#This Row],[Amount]]/Log_2018[[#This Row],[Split_raw]]*MAX(0,MIN(_xlfn.DAYS(EDATE(Q$1,1),Log_2018[[#This Row],[Date]]),Log_2018[[#This Row],[Split_apply]])) - SUM($O118:P118)</f>
        <v>0</v>
      </c>
      <c r="R118" s="52">
        <f ca="1">Log_2018[[#This Row],[Amount]]/Log_2018[[#This Row],[Split_raw]]*MAX(0,MIN(_xlfn.DAYS(EDATE(R$1,1),Log_2018[[#This Row],[Date]]),Log_2018[[#This Row],[Split_apply]])) - SUM($O118:Q118)</f>
        <v>0</v>
      </c>
      <c r="S118" s="52">
        <f ca="1">Log_2018[[#This Row],[Amount]]/Log_2018[[#This Row],[Split_raw]]*MAX(0,MIN(_xlfn.DAYS(EDATE(S$1,1),Log_2018[[#This Row],[Date]]),Log_2018[[#This Row],[Split_apply]])) - SUM($O118:R118)</f>
        <v>0</v>
      </c>
      <c r="T118" s="52">
        <f ca="1">Log_2018[[#This Row],[Amount]]/Log_2018[[#This Row],[Split_raw]]*MAX(0,MIN(_xlfn.DAYS(EDATE(T$1,1),Log_2018[[#This Row],[Date]]),Log_2018[[#This Row],[Split_apply]])) - SUM($O118:S118)</f>
        <v>0</v>
      </c>
      <c r="U118" s="52">
        <f ca="1">Log_2018[[#This Row],[Amount]]/Log_2018[[#This Row],[Split_raw]]*MAX(0,MIN(_xlfn.DAYS(EDATE(U$1,1),Log_2018[[#This Row],[Date]]),Log_2018[[#This Row],[Split_apply]])) - SUM($O118:T118)</f>
        <v>0</v>
      </c>
      <c r="V118" s="52">
        <f ca="1">Log_2018[[#This Row],[Amount]]/Log_2018[[#This Row],[Split_raw]]*MAX(0,MIN(_xlfn.DAYS(EDATE(V$1,1),Log_2018[[#This Row],[Date]]),Log_2018[[#This Row],[Split_apply]])) - SUM($O118:U118)</f>
        <v>0</v>
      </c>
      <c r="W118" s="52">
        <f ca="1">Log_2018[[#This Row],[Amount]]/Log_2018[[#This Row],[Split_raw]]*MAX(0,MIN(_xlfn.DAYS(EDATE(W$1,1),Log_2018[[#This Row],[Date]]),Log_2018[[#This Row],[Split_apply]])) - SUM($O118:V118)</f>
        <v>0</v>
      </c>
      <c r="X118" s="52">
        <f ca="1">Log_2018[[#This Row],[Amount]]/Log_2018[[#This Row],[Split_raw]]*MAX(0,MIN(_xlfn.DAYS(EDATE(X$1,1),Log_2018[[#This Row],[Date]]),Log_2018[[#This Row],[Split_apply]])) - SUM($O118:W118)</f>
        <v>0</v>
      </c>
      <c r="Y118" s="52">
        <f ca="1">Log_2018[[#This Row],[Amount]]/Log_2018[[#This Row],[Split_raw]]*MAX(0,MIN(_xlfn.DAYS(EDATE(Y$1,1),Log_2018[[#This Row],[Date]]),Log_2018[[#This Row],[Split_apply]])) - SUM($O118:X118)</f>
        <v>0</v>
      </c>
      <c r="Z118" s="52">
        <f ca="1">Log_2018[[#This Row],[Amount]]/Log_2018[[#This Row],[Split_raw]]*MAX(0,MIN(_xlfn.DAYS(EDATE(Z$1,1),Log_2018[[#This Row],[Date]]),Log_2018[[#This Row],[Split_apply]])) - SUM($O118:Y118)</f>
        <v>1894.27</v>
      </c>
      <c r="AA118" s="52">
        <f ca="1">Log_2018[[#This Row],[Amount]]/Log_2018[[#This Row],[Split_raw]]*MAX(0,MIN(_xlfn.DAYS(EDATE(AA$1,1),Log_2018[[#This Row],[Date]]),Log_2018[[#This Row],[Split_apply]])) - SUM($O118:Z118)</f>
        <v>0</v>
      </c>
      <c r="AB118" s="54">
        <f ca="1">Log_2018[[#This Row],[Amount]]-SUM(O118:AA118)</f>
        <v>0</v>
      </c>
      <c r="AC118" s="7">
        <f ca="1">MAX(0,Log_2018[[#This Row],[Split_apply]] - (EDATE(AA$1,1)-Log_2018[[#This Row],[Date]]))</f>
        <v>0</v>
      </c>
    </row>
    <row r="119" spans="1:29" hidden="1" x14ac:dyDescent="0.25">
      <c r="A119" s="115"/>
      <c r="B119" t="s">
        <v>6</v>
      </c>
      <c r="D119" s="26">
        <v>43411</v>
      </c>
      <c r="F119" t="s">
        <v>255</v>
      </c>
      <c r="G119" t="s">
        <v>25</v>
      </c>
      <c r="H119" s="3">
        <v>-10.24</v>
      </c>
      <c r="I119" s="36">
        <f>IF(Log_2018[[#This Row],[My Category]]="NONTRACKED",0,Log_2018[[#This Row],[Raw Amount]])</f>
        <v>-10.24</v>
      </c>
      <c r="J119" s="17">
        <f>ABS(Log_2018[[#This Row],[Amount]])</f>
        <v>10.24</v>
      </c>
      <c r="K119" s="66">
        <v>1</v>
      </c>
      <c r="L119" s="66">
        <f ca="1">IF(Log_2018[[#This Row],[Date]]&lt;=TODAY(), MIN(Log_2018[[#This Row],[Split_raw]], TODAY()-Log_2018[[#This Row],[Date]]+1), 0)</f>
        <v>1</v>
      </c>
      <c r="M119" t="s">
        <v>35</v>
      </c>
      <c r="N119" t="s">
        <v>158</v>
      </c>
      <c r="O119" s="50">
        <v>0</v>
      </c>
      <c r="P119" s="52">
        <f ca="1">Log_2018[[#This Row],[Amount]]/Log_2018[[#This Row],[Split_raw]]*MAX(0,MIN(_xlfn.DAYS(EDATE(P$1,1),Log_2018[[#This Row],[Date]]),Log_2018[[#This Row],[Split_apply]])) - SUM($O119:O119)</f>
        <v>0</v>
      </c>
      <c r="Q119" s="52">
        <f ca="1">Log_2018[[#This Row],[Amount]]/Log_2018[[#This Row],[Split_raw]]*MAX(0,MIN(_xlfn.DAYS(EDATE(Q$1,1),Log_2018[[#This Row],[Date]]),Log_2018[[#This Row],[Split_apply]])) - SUM($O119:P119)</f>
        <v>0</v>
      </c>
      <c r="R119" s="52">
        <f ca="1">Log_2018[[#This Row],[Amount]]/Log_2018[[#This Row],[Split_raw]]*MAX(0,MIN(_xlfn.DAYS(EDATE(R$1,1),Log_2018[[#This Row],[Date]]),Log_2018[[#This Row],[Split_apply]])) - SUM($O119:Q119)</f>
        <v>0</v>
      </c>
      <c r="S119" s="52">
        <f ca="1">Log_2018[[#This Row],[Amount]]/Log_2018[[#This Row],[Split_raw]]*MAX(0,MIN(_xlfn.DAYS(EDATE(S$1,1),Log_2018[[#This Row],[Date]]),Log_2018[[#This Row],[Split_apply]])) - SUM($O119:R119)</f>
        <v>0</v>
      </c>
      <c r="T119" s="52">
        <f ca="1">Log_2018[[#This Row],[Amount]]/Log_2018[[#This Row],[Split_raw]]*MAX(0,MIN(_xlfn.DAYS(EDATE(T$1,1),Log_2018[[#This Row],[Date]]),Log_2018[[#This Row],[Split_apply]])) - SUM($O119:S119)</f>
        <v>0</v>
      </c>
      <c r="U119" s="52">
        <f ca="1">Log_2018[[#This Row],[Amount]]/Log_2018[[#This Row],[Split_raw]]*MAX(0,MIN(_xlfn.DAYS(EDATE(U$1,1),Log_2018[[#This Row],[Date]]),Log_2018[[#This Row],[Split_apply]])) - SUM($O119:T119)</f>
        <v>0</v>
      </c>
      <c r="V119" s="52">
        <f ca="1">Log_2018[[#This Row],[Amount]]/Log_2018[[#This Row],[Split_raw]]*MAX(0,MIN(_xlfn.DAYS(EDATE(V$1,1),Log_2018[[#This Row],[Date]]),Log_2018[[#This Row],[Split_apply]])) - SUM($O119:U119)</f>
        <v>0</v>
      </c>
      <c r="W119" s="52">
        <f ca="1">Log_2018[[#This Row],[Amount]]/Log_2018[[#This Row],[Split_raw]]*MAX(0,MIN(_xlfn.DAYS(EDATE(W$1,1),Log_2018[[#This Row],[Date]]),Log_2018[[#This Row],[Split_apply]])) - SUM($O119:V119)</f>
        <v>0</v>
      </c>
      <c r="X119" s="52">
        <f ca="1">Log_2018[[#This Row],[Amount]]/Log_2018[[#This Row],[Split_raw]]*MAX(0,MIN(_xlfn.DAYS(EDATE(X$1,1),Log_2018[[#This Row],[Date]]),Log_2018[[#This Row],[Split_apply]])) - SUM($O119:W119)</f>
        <v>0</v>
      </c>
      <c r="Y119" s="52">
        <f ca="1">Log_2018[[#This Row],[Amount]]/Log_2018[[#This Row],[Split_raw]]*MAX(0,MIN(_xlfn.DAYS(EDATE(Y$1,1),Log_2018[[#This Row],[Date]]),Log_2018[[#This Row],[Split_apply]])) - SUM($O119:X119)</f>
        <v>0</v>
      </c>
      <c r="Z119" s="52">
        <f ca="1">Log_2018[[#This Row],[Amount]]/Log_2018[[#This Row],[Split_raw]]*MAX(0,MIN(_xlfn.DAYS(EDATE(Z$1,1),Log_2018[[#This Row],[Date]]),Log_2018[[#This Row],[Split_apply]])) - SUM($O119:Y119)</f>
        <v>-10.24</v>
      </c>
      <c r="AA119" s="52">
        <f ca="1">Log_2018[[#This Row],[Amount]]/Log_2018[[#This Row],[Split_raw]]*MAX(0,MIN(_xlfn.DAYS(EDATE(AA$1,1),Log_2018[[#This Row],[Date]]),Log_2018[[#This Row],[Split_apply]])) - SUM($O119:Z119)</f>
        <v>0</v>
      </c>
      <c r="AB119" s="54">
        <f ca="1">Log_2018[[#This Row],[Amount]]-SUM(O119:AA119)</f>
        <v>0</v>
      </c>
      <c r="AC119" s="7">
        <f ca="1">MAX(0,Log_2018[[#This Row],[Split_apply]] - (EDATE(AA$1,1)-Log_2018[[#This Row],[Date]]))</f>
        <v>0</v>
      </c>
    </row>
    <row r="120" spans="1:29" hidden="1" x14ac:dyDescent="0.25">
      <c r="A120" s="115"/>
      <c r="B120" t="s">
        <v>6</v>
      </c>
      <c r="D120" s="26">
        <v>43411</v>
      </c>
      <c r="F120" t="s">
        <v>255</v>
      </c>
      <c r="G120" t="s">
        <v>25</v>
      </c>
      <c r="H120" s="3">
        <v>-16.84</v>
      </c>
      <c r="I120" s="36">
        <f>IF(Log_2018[[#This Row],[My Category]]="NONTRACKED",0,Log_2018[[#This Row],[Raw Amount]])</f>
        <v>-16.84</v>
      </c>
      <c r="J120" s="17">
        <f>ABS(Log_2018[[#This Row],[Amount]])</f>
        <v>16.84</v>
      </c>
      <c r="K120" s="66">
        <v>1</v>
      </c>
      <c r="L120" s="66">
        <f ca="1">IF(Log_2018[[#This Row],[Date]]&lt;=TODAY(), MIN(Log_2018[[#This Row],[Split_raw]], TODAY()-Log_2018[[#This Row],[Date]]+1), 0)</f>
        <v>1</v>
      </c>
      <c r="M120" t="s">
        <v>52</v>
      </c>
      <c r="N120" t="s">
        <v>158</v>
      </c>
      <c r="O120" s="50">
        <v>0</v>
      </c>
      <c r="P120" s="52">
        <f ca="1">Log_2018[[#This Row],[Amount]]/Log_2018[[#This Row],[Split_raw]]*MAX(0,MIN(_xlfn.DAYS(EDATE(P$1,1),Log_2018[[#This Row],[Date]]),Log_2018[[#This Row],[Split_apply]])) - SUM($O120:O120)</f>
        <v>0</v>
      </c>
      <c r="Q120" s="52">
        <f ca="1">Log_2018[[#This Row],[Amount]]/Log_2018[[#This Row],[Split_raw]]*MAX(0,MIN(_xlfn.DAYS(EDATE(Q$1,1),Log_2018[[#This Row],[Date]]),Log_2018[[#This Row],[Split_apply]])) - SUM($O120:P120)</f>
        <v>0</v>
      </c>
      <c r="R120" s="52">
        <f ca="1">Log_2018[[#This Row],[Amount]]/Log_2018[[#This Row],[Split_raw]]*MAX(0,MIN(_xlfn.DAYS(EDATE(R$1,1),Log_2018[[#This Row],[Date]]),Log_2018[[#This Row],[Split_apply]])) - SUM($O120:Q120)</f>
        <v>0</v>
      </c>
      <c r="S120" s="52">
        <f ca="1">Log_2018[[#This Row],[Amount]]/Log_2018[[#This Row],[Split_raw]]*MAX(0,MIN(_xlfn.DAYS(EDATE(S$1,1),Log_2018[[#This Row],[Date]]),Log_2018[[#This Row],[Split_apply]])) - SUM($O120:R120)</f>
        <v>0</v>
      </c>
      <c r="T120" s="52">
        <f ca="1">Log_2018[[#This Row],[Amount]]/Log_2018[[#This Row],[Split_raw]]*MAX(0,MIN(_xlfn.DAYS(EDATE(T$1,1),Log_2018[[#This Row],[Date]]),Log_2018[[#This Row],[Split_apply]])) - SUM($O120:S120)</f>
        <v>0</v>
      </c>
      <c r="U120" s="52">
        <f ca="1">Log_2018[[#This Row],[Amount]]/Log_2018[[#This Row],[Split_raw]]*MAX(0,MIN(_xlfn.DAYS(EDATE(U$1,1),Log_2018[[#This Row],[Date]]),Log_2018[[#This Row],[Split_apply]])) - SUM($O120:T120)</f>
        <v>0</v>
      </c>
      <c r="V120" s="52">
        <f ca="1">Log_2018[[#This Row],[Amount]]/Log_2018[[#This Row],[Split_raw]]*MAX(0,MIN(_xlfn.DAYS(EDATE(V$1,1),Log_2018[[#This Row],[Date]]),Log_2018[[#This Row],[Split_apply]])) - SUM($O120:U120)</f>
        <v>0</v>
      </c>
      <c r="W120" s="52">
        <f ca="1">Log_2018[[#This Row],[Amount]]/Log_2018[[#This Row],[Split_raw]]*MAX(0,MIN(_xlfn.DAYS(EDATE(W$1,1),Log_2018[[#This Row],[Date]]),Log_2018[[#This Row],[Split_apply]])) - SUM($O120:V120)</f>
        <v>0</v>
      </c>
      <c r="X120" s="52">
        <f ca="1">Log_2018[[#This Row],[Amount]]/Log_2018[[#This Row],[Split_raw]]*MAX(0,MIN(_xlfn.DAYS(EDATE(X$1,1),Log_2018[[#This Row],[Date]]),Log_2018[[#This Row],[Split_apply]])) - SUM($O120:W120)</f>
        <v>0</v>
      </c>
      <c r="Y120" s="52">
        <f ca="1">Log_2018[[#This Row],[Amount]]/Log_2018[[#This Row],[Split_raw]]*MAX(0,MIN(_xlfn.DAYS(EDATE(Y$1,1),Log_2018[[#This Row],[Date]]),Log_2018[[#This Row],[Split_apply]])) - SUM($O120:X120)</f>
        <v>0</v>
      </c>
      <c r="Z120" s="52">
        <f ca="1">Log_2018[[#This Row],[Amount]]/Log_2018[[#This Row],[Split_raw]]*MAX(0,MIN(_xlfn.DAYS(EDATE(Z$1,1),Log_2018[[#This Row],[Date]]),Log_2018[[#This Row],[Split_apply]])) - SUM($O120:Y120)</f>
        <v>-16.84</v>
      </c>
      <c r="AA120" s="52">
        <f ca="1">Log_2018[[#This Row],[Amount]]/Log_2018[[#This Row],[Split_raw]]*MAX(0,MIN(_xlfn.DAYS(EDATE(AA$1,1),Log_2018[[#This Row],[Date]]),Log_2018[[#This Row],[Split_apply]])) - SUM($O120:Z120)</f>
        <v>0</v>
      </c>
      <c r="AB120" s="54">
        <f ca="1">Log_2018[[#This Row],[Amount]]-SUM(O120:AA120)</f>
        <v>0</v>
      </c>
      <c r="AC120" s="7">
        <f ca="1">MAX(0,Log_2018[[#This Row],[Split_apply]] - (EDATE(AA$1,1)-Log_2018[[#This Row],[Date]]))</f>
        <v>0</v>
      </c>
    </row>
    <row r="121" spans="1:29" hidden="1" x14ac:dyDescent="0.25">
      <c r="A121" s="115"/>
      <c r="B121" t="s">
        <v>6</v>
      </c>
      <c r="D121" s="26">
        <v>43411</v>
      </c>
      <c r="F121" t="s">
        <v>255</v>
      </c>
      <c r="G121" t="s">
        <v>25</v>
      </c>
      <c r="H121" s="3">
        <v>-5.15</v>
      </c>
      <c r="I121" s="36">
        <f>IF(Log_2018[[#This Row],[My Category]]="NONTRACKED",0,Log_2018[[#This Row],[Raw Amount]])</f>
        <v>-5.15</v>
      </c>
      <c r="J121" s="17">
        <f>ABS(Log_2018[[#This Row],[Amount]])</f>
        <v>5.15</v>
      </c>
      <c r="K121" s="66">
        <v>1</v>
      </c>
      <c r="L121" s="66">
        <f ca="1">IF(Log_2018[[#This Row],[Date]]&lt;=TODAY(), MIN(Log_2018[[#This Row],[Split_raw]], TODAY()-Log_2018[[#This Row],[Date]]+1), 0)</f>
        <v>1</v>
      </c>
      <c r="M121" t="s">
        <v>35</v>
      </c>
      <c r="N121" t="s">
        <v>158</v>
      </c>
      <c r="O121" s="50">
        <v>0</v>
      </c>
      <c r="P121" s="52">
        <f ca="1">Log_2018[[#This Row],[Amount]]/Log_2018[[#This Row],[Split_raw]]*MAX(0,MIN(_xlfn.DAYS(EDATE(P$1,1),Log_2018[[#This Row],[Date]]),Log_2018[[#This Row],[Split_apply]])) - SUM($O121:O121)</f>
        <v>0</v>
      </c>
      <c r="Q121" s="52">
        <f ca="1">Log_2018[[#This Row],[Amount]]/Log_2018[[#This Row],[Split_raw]]*MAX(0,MIN(_xlfn.DAYS(EDATE(Q$1,1),Log_2018[[#This Row],[Date]]),Log_2018[[#This Row],[Split_apply]])) - SUM($O121:P121)</f>
        <v>0</v>
      </c>
      <c r="R121" s="52">
        <f ca="1">Log_2018[[#This Row],[Amount]]/Log_2018[[#This Row],[Split_raw]]*MAX(0,MIN(_xlfn.DAYS(EDATE(R$1,1),Log_2018[[#This Row],[Date]]),Log_2018[[#This Row],[Split_apply]])) - SUM($O121:Q121)</f>
        <v>0</v>
      </c>
      <c r="S121" s="52">
        <f ca="1">Log_2018[[#This Row],[Amount]]/Log_2018[[#This Row],[Split_raw]]*MAX(0,MIN(_xlfn.DAYS(EDATE(S$1,1),Log_2018[[#This Row],[Date]]),Log_2018[[#This Row],[Split_apply]])) - SUM($O121:R121)</f>
        <v>0</v>
      </c>
      <c r="T121" s="52">
        <f ca="1">Log_2018[[#This Row],[Amount]]/Log_2018[[#This Row],[Split_raw]]*MAX(0,MIN(_xlfn.DAYS(EDATE(T$1,1),Log_2018[[#This Row],[Date]]),Log_2018[[#This Row],[Split_apply]])) - SUM($O121:S121)</f>
        <v>0</v>
      </c>
      <c r="U121" s="52">
        <f ca="1">Log_2018[[#This Row],[Amount]]/Log_2018[[#This Row],[Split_raw]]*MAX(0,MIN(_xlfn.DAYS(EDATE(U$1,1),Log_2018[[#This Row],[Date]]),Log_2018[[#This Row],[Split_apply]])) - SUM($O121:T121)</f>
        <v>0</v>
      </c>
      <c r="V121" s="52">
        <f ca="1">Log_2018[[#This Row],[Amount]]/Log_2018[[#This Row],[Split_raw]]*MAX(0,MIN(_xlfn.DAYS(EDATE(V$1,1),Log_2018[[#This Row],[Date]]),Log_2018[[#This Row],[Split_apply]])) - SUM($O121:U121)</f>
        <v>0</v>
      </c>
      <c r="W121" s="52">
        <f ca="1">Log_2018[[#This Row],[Amount]]/Log_2018[[#This Row],[Split_raw]]*MAX(0,MIN(_xlfn.DAYS(EDATE(W$1,1),Log_2018[[#This Row],[Date]]),Log_2018[[#This Row],[Split_apply]])) - SUM($O121:V121)</f>
        <v>0</v>
      </c>
      <c r="X121" s="52">
        <f ca="1">Log_2018[[#This Row],[Amount]]/Log_2018[[#This Row],[Split_raw]]*MAX(0,MIN(_xlfn.DAYS(EDATE(X$1,1),Log_2018[[#This Row],[Date]]),Log_2018[[#This Row],[Split_apply]])) - SUM($O121:W121)</f>
        <v>0</v>
      </c>
      <c r="Y121" s="52">
        <f ca="1">Log_2018[[#This Row],[Amount]]/Log_2018[[#This Row],[Split_raw]]*MAX(0,MIN(_xlfn.DAYS(EDATE(Y$1,1),Log_2018[[#This Row],[Date]]),Log_2018[[#This Row],[Split_apply]])) - SUM($O121:X121)</f>
        <v>0</v>
      </c>
      <c r="Z121" s="52">
        <f ca="1">Log_2018[[#This Row],[Amount]]/Log_2018[[#This Row],[Split_raw]]*MAX(0,MIN(_xlfn.DAYS(EDATE(Z$1,1),Log_2018[[#This Row],[Date]]),Log_2018[[#This Row],[Split_apply]])) - SUM($O121:Y121)</f>
        <v>-5.15</v>
      </c>
      <c r="AA121" s="52">
        <f ca="1">Log_2018[[#This Row],[Amount]]/Log_2018[[#This Row],[Split_raw]]*MAX(0,MIN(_xlfn.DAYS(EDATE(AA$1,1),Log_2018[[#This Row],[Date]]),Log_2018[[#This Row],[Split_apply]])) - SUM($O121:Z121)</f>
        <v>0</v>
      </c>
      <c r="AB121" s="54">
        <f ca="1">Log_2018[[#This Row],[Amount]]-SUM(O121:AA121)</f>
        <v>0</v>
      </c>
      <c r="AC121" s="7">
        <f ca="1">MAX(0,Log_2018[[#This Row],[Split_apply]] - (EDATE(AA$1,1)-Log_2018[[#This Row],[Date]]))</f>
        <v>0</v>
      </c>
    </row>
    <row r="122" spans="1:29" hidden="1" x14ac:dyDescent="0.25">
      <c r="A122" s="115"/>
      <c r="B122" t="s">
        <v>6</v>
      </c>
      <c r="D122" s="26">
        <v>43411</v>
      </c>
      <c r="F122" t="s">
        <v>188</v>
      </c>
      <c r="G122" t="s">
        <v>189</v>
      </c>
      <c r="H122" s="3">
        <v>-82.15</v>
      </c>
      <c r="I122" s="36">
        <f>IF(Log_2018[[#This Row],[My Category]]="NONTRACKED",0,Log_2018[[#This Row],[Raw Amount]])</f>
        <v>-82.15</v>
      </c>
      <c r="J122" s="17">
        <f>ABS(Log_2018[[#This Row],[Amount]])</f>
        <v>82.15</v>
      </c>
      <c r="K122" s="66">
        <v>30</v>
      </c>
      <c r="L122" s="66">
        <f ca="1">IF(Log_2018[[#This Row],[Date]]&lt;=TODAY(), MIN(Log_2018[[#This Row],[Split_raw]], TODAY()-Log_2018[[#This Row],[Date]]+1), 0)</f>
        <v>30</v>
      </c>
      <c r="M122" t="s">
        <v>30</v>
      </c>
      <c r="N122" t="s">
        <v>158</v>
      </c>
      <c r="O122" s="50">
        <v>0</v>
      </c>
      <c r="P122" s="52">
        <f ca="1">Log_2018[[#This Row],[Amount]]/Log_2018[[#This Row],[Split_raw]]*MAX(0,MIN(_xlfn.DAYS(EDATE(P$1,1),Log_2018[[#This Row],[Date]]),Log_2018[[#This Row],[Split_apply]])) - SUM($O122:O122)</f>
        <v>0</v>
      </c>
      <c r="Q122" s="52">
        <f ca="1">Log_2018[[#This Row],[Amount]]/Log_2018[[#This Row],[Split_raw]]*MAX(0,MIN(_xlfn.DAYS(EDATE(Q$1,1),Log_2018[[#This Row],[Date]]),Log_2018[[#This Row],[Split_apply]])) - SUM($O122:P122)</f>
        <v>0</v>
      </c>
      <c r="R122" s="52">
        <f ca="1">Log_2018[[#This Row],[Amount]]/Log_2018[[#This Row],[Split_raw]]*MAX(0,MIN(_xlfn.DAYS(EDATE(R$1,1),Log_2018[[#This Row],[Date]]),Log_2018[[#This Row],[Split_apply]])) - SUM($O122:Q122)</f>
        <v>0</v>
      </c>
      <c r="S122" s="52">
        <f ca="1">Log_2018[[#This Row],[Amount]]/Log_2018[[#This Row],[Split_raw]]*MAX(0,MIN(_xlfn.DAYS(EDATE(S$1,1),Log_2018[[#This Row],[Date]]),Log_2018[[#This Row],[Split_apply]])) - SUM($O122:R122)</f>
        <v>0</v>
      </c>
      <c r="T122" s="52">
        <f ca="1">Log_2018[[#This Row],[Amount]]/Log_2018[[#This Row],[Split_raw]]*MAX(0,MIN(_xlfn.DAYS(EDATE(T$1,1),Log_2018[[#This Row],[Date]]),Log_2018[[#This Row],[Split_apply]])) - SUM($O122:S122)</f>
        <v>0</v>
      </c>
      <c r="U122" s="52">
        <f ca="1">Log_2018[[#This Row],[Amount]]/Log_2018[[#This Row],[Split_raw]]*MAX(0,MIN(_xlfn.DAYS(EDATE(U$1,1),Log_2018[[#This Row],[Date]]),Log_2018[[#This Row],[Split_apply]])) - SUM($O122:T122)</f>
        <v>0</v>
      </c>
      <c r="V122" s="52">
        <f ca="1">Log_2018[[#This Row],[Amount]]/Log_2018[[#This Row],[Split_raw]]*MAX(0,MIN(_xlfn.DAYS(EDATE(V$1,1),Log_2018[[#This Row],[Date]]),Log_2018[[#This Row],[Split_apply]])) - SUM($O122:U122)</f>
        <v>0</v>
      </c>
      <c r="W122" s="52">
        <f ca="1">Log_2018[[#This Row],[Amount]]/Log_2018[[#This Row],[Split_raw]]*MAX(0,MIN(_xlfn.DAYS(EDATE(W$1,1),Log_2018[[#This Row],[Date]]),Log_2018[[#This Row],[Split_apply]])) - SUM($O122:V122)</f>
        <v>0</v>
      </c>
      <c r="X122" s="52">
        <f ca="1">Log_2018[[#This Row],[Amount]]/Log_2018[[#This Row],[Split_raw]]*MAX(0,MIN(_xlfn.DAYS(EDATE(X$1,1),Log_2018[[#This Row],[Date]]),Log_2018[[#This Row],[Split_apply]])) - SUM($O122:W122)</f>
        <v>0</v>
      </c>
      <c r="Y122" s="52">
        <f ca="1">Log_2018[[#This Row],[Amount]]/Log_2018[[#This Row],[Split_raw]]*MAX(0,MIN(_xlfn.DAYS(EDATE(Y$1,1),Log_2018[[#This Row],[Date]]),Log_2018[[#This Row],[Split_apply]])) - SUM($O122:X122)</f>
        <v>0</v>
      </c>
      <c r="Z122" s="52">
        <f ca="1">Log_2018[[#This Row],[Amount]]/Log_2018[[#This Row],[Split_raw]]*MAX(0,MIN(_xlfn.DAYS(EDATE(Z$1,1),Log_2018[[#This Row],[Date]]),Log_2018[[#This Row],[Split_apply]])) - SUM($O122:Y122)</f>
        <v>-65.720000000000013</v>
      </c>
      <c r="AA122" s="52">
        <f ca="1">Log_2018[[#This Row],[Amount]]/Log_2018[[#This Row],[Split_raw]]*MAX(0,MIN(_xlfn.DAYS(EDATE(AA$1,1),Log_2018[[#This Row],[Date]]),Log_2018[[#This Row],[Split_apply]])) - SUM($O122:Z122)</f>
        <v>-16.429999999999993</v>
      </c>
      <c r="AB122" s="54">
        <f ca="1">Log_2018[[#This Row],[Amount]]-SUM(O122:AA122)</f>
        <v>0</v>
      </c>
      <c r="AC122" s="7">
        <f ca="1">MAX(0,Log_2018[[#This Row],[Split_apply]] - (EDATE(AA$1,1)-Log_2018[[#This Row],[Date]]))</f>
        <v>0</v>
      </c>
    </row>
    <row r="123" spans="1:29" hidden="1" x14ac:dyDescent="0.25">
      <c r="A123" s="115"/>
      <c r="B123" t="s">
        <v>6</v>
      </c>
      <c r="D123" s="26">
        <v>43410</v>
      </c>
      <c r="F123" t="s">
        <v>59</v>
      </c>
      <c r="G123" t="s">
        <v>25</v>
      </c>
      <c r="H123" s="3">
        <v>-7.94</v>
      </c>
      <c r="I123" s="36">
        <f>IF(Log_2018[[#This Row],[My Category]]="NONTRACKED",0,Log_2018[[#This Row],[Raw Amount]])</f>
        <v>-7.94</v>
      </c>
      <c r="J123" s="17">
        <f>ABS(Log_2018[[#This Row],[Amount]])</f>
        <v>7.94</v>
      </c>
      <c r="K123" s="66">
        <v>1</v>
      </c>
      <c r="L123" s="66">
        <f ca="1">IF(Log_2018[[#This Row],[Date]]&lt;=TODAY(), MIN(Log_2018[[#This Row],[Split_raw]], TODAY()-Log_2018[[#This Row],[Date]]+1), 0)</f>
        <v>1</v>
      </c>
      <c r="M123" t="s">
        <v>35</v>
      </c>
      <c r="N123" t="s">
        <v>158</v>
      </c>
      <c r="O123" s="50">
        <v>0</v>
      </c>
      <c r="P123" s="52">
        <f ca="1">Log_2018[[#This Row],[Amount]]/Log_2018[[#This Row],[Split_raw]]*MAX(0,MIN(_xlfn.DAYS(EDATE(P$1,1),Log_2018[[#This Row],[Date]]),Log_2018[[#This Row],[Split_apply]])) - SUM($O123:O123)</f>
        <v>0</v>
      </c>
      <c r="Q123" s="52">
        <f ca="1">Log_2018[[#This Row],[Amount]]/Log_2018[[#This Row],[Split_raw]]*MAX(0,MIN(_xlfn.DAYS(EDATE(Q$1,1),Log_2018[[#This Row],[Date]]),Log_2018[[#This Row],[Split_apply]])) - SUM($O123:P123)</f>
        <v>0</v>
      </c>
      <c r="R123" s="52">
        <f ca="1">Log_2018[[#This Row],[Amount]]/Log_2018[[#This Row],[Split_raw]]*MAX(0,MIN(_xlfn.DAYS(EDATE(R$1,1),Log_2018[[#This Row],[Date]]),Log_2018[[#This Row],[Split_apply]])) - SUM($O123:Q123)</f>
        <v>0</v>
      </c>
      <c r="S123" s="52">
        <f ca="1">Log_2018[[#This Row],[Amount]]/Log_2018[[#This Row],[Split_raw]]*MAX(0,MIN(_xlfn.DAYS(EDATE(S$1,1),Log_2018[[#This Row],[Date]]),Log_2018[[#This Row],[Split_apply]])) - SUM($O123:R123)</f>
        <v>0</v>
      </c>
      <c r="T123" s="52">
        <f ca="1">Log_2018[[#This Row],[Amount]]/Log_2018[[#This Row],[Split_raw]]*MAX(0,MIN(_xlfn.DAYS(EDATE(T$1,1),Log_2018[[#This Row],[Date]]),Log_2018[[#This Row],[Split_apply]])) - SUM($O123:S123)</f>
        <v>0</v>
      </c>
      <c r="U123" s="52">
        <f ca="1">Log_2018[[#This Row],[Amount]]/Log_2018[[#This Row],[Split_raw]]*MAX(0,MIN(_xlfn.DAYS(EDATE(U$1,1),Log_2018[[#This Row],[Date]]),Log_2018[[#This Row],[Split_apply]])) - SUM($O123:T123)</f>
        <v>0</v>
      </c>
      <c r="V123" s="52">
        <f ca="1">Log_2018[[#This Row],[Amount]]/Log_2018[[#This Row],[Split_raw]]*MAX(0,MIN(_xlfn.DAYS(EDATE(V$1,1),Log_2018[[#This Row],[Date]]),Log_2018[[#This Row],[Split_apply]])) - SUM($O123:U123)</f>
        <v>0</v>
      </c>
      <c r="W123" s="52">
        <f ca="1">Log_2018[[#This Row],[Amount]]/Log_2018[[#This Row],[Split_raw]]*MAX(0,MIN(_xlfn.DAYS(EDATE(W$1,1),Log_2018[[#This Row],[Date]]),Log_2018[[#This Row],[Split_apply]])) - SUM($O123:V123)</f>
        <v>0</v>
      </c>
      <c r="X123" s="52">
        <f ca="1">Log_2018[[#This Row],[Amount]]/Log_2018[[#This Row],[Split_raw]]*MAX(0,MIN(_xlfn.DAYS(EDATE(X$1,1),Log_2018[[#This Row],[Date]]),Log_2018[[#This Row],[Split_apply]])) - SUM($O123:W123)</f>
        <v>0</v>
      </c>
      <c r="Y123" s="52">
        <f ca="1">Log_2018[[#This Row],[Amount]]/Log_2018[[#This Row],[Split_raw]]*MAX(0,MIN(_xlfn.DAYS(EDATE(Y$1,1),Log_2018[[#This Row],[Date]]),Log_2018[[#This Row],[Split_apply]])) - SUM($O123:X123)</f>
        <v>0</v>
      </c>
      <c r="Z123" s="52">
        <f ca="1">Log_2018[[#This Row],[Amount]]/Log_2018[[#This Row],[Split_raw]]*MAX(0,MIN(_xlfn.DAYS(EDATE(Z$1,1),Log_2018[[#This Row],[Date]]),Log_2018[[#This Row],[Split_apply]])) - SUM($O123:Y123)</f>
        <v>-7.94</v>
      </c>
      <c r="AA123" s="52">
        <f ca="1">Log_2018[[#This Row],[Amount]]/Log_2018[[#This Row],[Split_raw]]*MAX(0,MIN(_xlfn.DAYS(EDATE(AA$1,1),Log_2018[[#This Row],[Date]]),Log_2018[[#This Row],[Split_apply]])) - SUM($O123:Z123)</f>
        <v>0</v>
      </c>
      <c r="AB123" s="54">
        <f ca="1">Log_2018[[#This Row],[Amount]]-SUM(O123:AA123)</f>
        <v>0</v>
      </c>
      <c r="AC123" s="7">
        <f ca="1">MAX(0,Log_2018[[#This Row],[Split_apply]] - (EDATE(AA$1,1)-Log_2018[[#This Row],[Date]]))</f>
        <v>0</v>
      </c>
    </row>
    <row r="124" spans="1:29" hidden="1" x14ac:dyDescent="0.25">
      <c r="A124" s="115"/>
      <c r="B124" t="s">
        <v>6</v>
      </c>
      <c r="D124" s="26">
        <v>43409</v>
      </c>
      <c r="F124" t="s">
        <v>398</v>
      </c>
      <c r="G124" t="s">
        <v>25</v>
      </c>
      <c r="H124" s="3">
        <v>-10.210000000000001</v>
      </c>
      <c r="I124" s="36">
        <f>IF(Log_2018[[#This Row],[My Category]]="NONTRACKED",0,Log_2018[[#This Row],[Raw Amount]])</f>
        <v>-10.210000000000001</v>
      </c>
      <c r="J124" s="17">
        <f>ABS(Log_2018[[#This Row],[Amount]])</f>
        <v>10.210000000000001</v>
      </c>
      <c r="K124" s="66">
        <v>1</v>
      </c>
      <c r="L124" s="66">
        <f ca="1">IF(Log_2018[[#This Row],[Date]]&lt;=TODAY(), MIN(Log_2018[[#This Row],[Split_raw]], TODAY()-Log_2018[[#This Row],[Date]]+1), 0)</f>
        <v>1</v>
      </c>
      <c r="M124" t="s">
        <v>35</v>
      </c>
      <c r="N124" t="s">
        <v>158</v>
      </c>
      <c r="O124" s="50">
        <v>0</v>
      </c>
      <c r="P124" s="52">
        <f ca="1">Log_2018[[#This Row],[Amount]]/Log_2018[[#This Row],[Split_raw]]*MAX(0,MIN(_xlfn.DAYS(EDATE(P$1,1),Log_2018[[#This Row],[Date]]),Log_2018[[#This Row],[Split_apply]])) - SUM($O124:O124)</f>
        <v>0</v>
      </c>
      <c r="Q124" s="52">
        <f ca="1">Log_2018[[#This Row],[Amount]]/Log_2018[[#This Row],[Split_raw]]*MAX(0,MIN(_xlfn.DAYS(EDATE(Q$1,1),Log_2018[[#This Row],[Date]]),Log_2018[[#This Row],[Split_apply]])) - SUM($O124:P124)</f>
        <v>0</v>
      </c>
      <c r="R124" s="52">
        <f ca="1">Log_2018[[#This Row],[Amount]]/Log_2018[[#This Row],[Split_raw]]*MAX(0,MIN(_xlfn.DAYS(EDATE(R$1,1),Log_2018[[#This Row],[Date]]),Log_2018[[#This Row],[Split_apply]])) - SUM($O124:Q124)</f>
        <v>0</v>
      </c>
      <c r="S124" s="52">
        <f ca="1">Log_2018[[#This Row],[Amount]]/Log_2018[[#This Row],[Split_raw]]*MAX(0,MIN(_xlfn.DAYS(EDATE(S$1,1),Log_2018[[#This Row],[Date]]),Log_2018[[#This Row],[Split_apply]])) - SUM($O124:R124)</f>
        <v>0</v>
      </c>
      <c r="T124" s="52">
        <f ca="1">Log_2018[[#This Row],[Amount]]/Log_2018[[#This Row],[Split_raw]]*MAX(0,MIN(_xlfn.DAYS(EDATE(T$1,1),Log_2018[[#This Row],[Date]]),Log_2018[[#This Row],[Split_apply]])) - SUM($O124:S124)</f>
        <v>0</v>
      </c>
      <c r="U124" s="52">
        <f ca="1">Log_2018[[#This Row],[Amount]]/Log_2018[[#This Row],[Split_raw]]*MAX(0,MIN(_xlfn.DAYS(EDATE(U$1,1),Log_2018[[#This Row],[Date]]),Log_2018[[#This Row],[Split_apply]])) - SUM($O124:T124)</f>
        <v>0</v>
      </c>
      <c r="V124" s="52">
        <f ca="1">Log_2018[[#This Row],[Amount]]/Log_2018[[#This Row],[Split_raw]]*MAX(0,MIN(_xlfn.DAYS(EDATE(V$1,1),Log_2018[[#This Row],[Date]]),Log_2018[[#This Row],[Split_apply]])) - SUM($O124:U124)</f>
        <v>0</v>
      </c>
      <c r="W124" s="52">
        <f ca="1">Log_2018[[#This Row],[Amount]]/Log_2018[[#This Row],[Split_raw]]*MAX(0,MIN(_xlfn.DAYS(EDATE(W$1,1),Log_2018[[#This Row],[Date]]),Log_2018[[#This Row],[Split_apply]])) - SUM($O124:V124)</f>
        <v>0</v>
      </c>
      <c r="X124" s="52">
        <f ca="1">Log_2018[[#This Row],[Amount]]/Log_2018[[#This Row],[Split_raw]]*MAX(0,MIN(_xlfn.DAYS(EDATE(X$1,1),Log_2018[[#This Row],[Date]]),Log_2018[[#This Row],[Split_apply]])) - SUM($O124:W124)</f>
        <v>0</v>
      </c>
      <c r="Y124" s="52">
        <f ca="1">Log_2018[[#This Row],[Amount]]/Log_2018[[#This Row],[Split_raw]]*MAX(0,MIN(_xlfn.DAYS(EDATE(Y$1,1),Log_2018[[#This Row],[Date]]),Log_2018[[#This Row],[Split_apply]])) - SUM($O124:X124)</f>
        <v>0</v>
      </c>
      <c r="Z124" s="52">
        <f ca="1">Log_2018[[#This Row],[Amount]]/Log_2018[[#This Row],[Split_raw]]*MAX(0,MIN(_xlfn.DAYS(EDATE(Z$1,1),Log_2018[[#This Row],[Date]]),Log_2018[[#This Row],[Split_apply]])) - SUM($O124:Y124)</f>
        <v>-10.210000000000001</v>
      </c>
      <c r="AA124" s="52">
        <f ca="1">Log_2018[[#This Row],[Amount]]/Log_2018[[#This Row],[Split_raw]]*MAX(0,MIN(_xlfn.DAYS(EDATE(AA$1,1),Log_2018[[#This Row],[Date]]),Log_2018[[#This Row],[Split_apply]])) - SUM($O124:Z124)</f>
        <v>0</v>
      </c>
      <c r="AB124" s="54">
        <f ca="1">Log_2018[[#This Row],[Amount]]-SUM(O124:AA124)</f>
        <v>0</v>
      </c>
      <c r="AC124" s="7">
        <f ca="1">MAX(0,Log_2018[[#This Row],[Split_apply]] - (EDATE(AA$1,1)-Log_2018[[#This Row],[Date]]))</f>
        <v>0</v>
      </c>
    </row>
    <row r="125" spans="1:29" hidden="1" x14ac:dyDescent="0.25">
      <c r="A125" s="115"/>
      <c r="B125" t="s">
        <v>6</v>
      </c>
      <c r="D125" s="26">
        <v>43409</v>
      </c>
      <c r="E125" t="s">
        <v>425</v>
      </c>
      <c r="F125" t="s">
        <v>332</v>
      </c>
      <c r="G125" t="s">
        <v>143</v>
      </c>
      <c r="H125" s="3">
        <v>-20</v>
      </c>
      <c r="I125" s="36">
        <f>IF(Log_2018[[#This Row],[My Category]]="NONTRACKED",0,Log_2018[[#This Row],[Raw Amount]])</f>
        <v>-20</v>
      </c>
      <c r="J125" s="17">
        <f>ABS(Log_2018[[#This Row],[Amount]])</f>
        <v>20</v>
      </c>
      <c r="K125" s="66">
        <v>1</v>
      </c>
      <c r="L125" s="66">
        <f ca="1">IF(Log_2018[[#This Row],[Date]]&lt;=TODAY(), MIN(Log_2018[[#This Row],[Split_raw]], TODAY()-Log_2018[[#This Row],[Date]]+1), 0)</f>
        <v>1</v>
      </c>
      <c r="M125" t="s">
        <v>147</v>
      </c>
      <c r="N125" t="s">
        <v>160</v>
      </c>
      <c r="O125" s="50">
        <v>0</v>
      </c>
      <c r="P125" s="52">
        <f ca="1">Log_2018[[#This Row],[Amount]]/Log_2018[[#This Row],[Split_raw]]*MAX(0,MIN(_xlfn.DAYS(EDATE(P$1,1),Log_2018[[#This Row],[Date]]),Log_2018[[#This Row],[Split_apply]])) - SUM($O125:O125)</f>
        <v>0</v>
      </c>
      <c r="Q125" s="52">
        <f ca="1">Log_2018[[#This Row],[Amount]]/Log_2018[[#This Row],[Split_raw]]*MAX(0,MIN(_xlfn.DAYS(EDATE(Q$1,1),Log_2018[[#This Row],[Date]]),Log_2018[[#This Row],[Split_apply]])) - SUM($O125:P125)</f>
        <v>0</v>
      </c>
      <c r="R125" s="52">
        <f ca="1">Log_2018[[#This Row],[Amount]]/Log_2018[[#This Row],[Split_raw]]*MAX(0,MIN(_xlfn.DAYS(EDATE(R$1,1),Log_2018[[#This Row],[Date]]),Log_2018[[#This Row],[Split_apply]])) - SUM($O125:Q125)</f>
        <v>0</v>
      </c>
      <c r="S125" s="52">
        <f ca="1">Log_2018[[#This Row],[Amount]]/Log_2018[[#This Row],[Split_raw]]*MAX(0,MIN(_xlfn.DAYS(EDATE(S$1,1),Log_2018[[#This Row],[Date]]),Log_2018[[#This Row],[Split_apply]])) - SUM($O125:R125)</f>
        <v>0</v>
      </c>
      <c r="T125" s="52">
        <f ca="1">Log_2018[[#This Row],[Amount]]/Log_2018[[#This Row],[Split_raw]]*MAX(0,MIN(_xlfn.DAYS(EDATE(T$1,1),Log_2018[[#This Row],[Date]]),Log_2018[[#This Row],[Split_apply]])) - SUM($O125:S125)</f>
        <v>0</v>
      </c>
      <c r="U125" s="52">
        <f ca="1">Log_2018[[#This Row],[Amount]]/Log_2018[[#This Row],[Split_raw]]*MAX(0,MIN(_xlfn.DAYS(EDATE(U$1,1),Log_2018[[#This Row],[Date]]),Log_2018[[#This Row],[Split_apply]])) - SUM($O125:T125)</f>
        <v>0</v>
      </c>
      <c r="V125" s="52">
        <f ca="1">Log_2018[[#This Row],[Amount]]/Log_2018[[#This Row],[Split_raw]]*MAX(0,MIN(_xlfn.DAYS(EDATE(V$1,1),Log_2018[[#This Row],[Date]]),Log_2018[[#This Row],[Split_apply]])) - SUM($O125:U125)</f>
        <v>0</v>
      </c>
      <c r="W125" s="52">
        <f ca="1">Log_2018[[#This Row],[Amount]]/Log_2018[[#This Row],[Split_raw]]*MAX(0,MIN(_xlfn.DAYS(EDATE(W$1,1),Log_2018[[#This Row],[Date]]),Log_2018[[#This Row],[Split_apply]])) - SUM($O125:V125)</f>
        <v>0</v>
      </c>
      <c r="X125" s="52">
        <f ca="1">Log_2018[[#This Row],[Amount]]/Log_2018[[#This Row],[Split_raw]]*MAX(0,MIN(_xlfn.DAYS(EDATE(X$1,1),Log_2018[[#This Row],[Date]]),Log_2018[[#This Row],[Split_apply]])) - SUM($O125:W125)</f>
        <v>0</v>
      </c>
      <c r="Y125" s="52">
        <f ca="1">Log_2018[[#This Row],[Amount]]/Log_2018[[#This Row],[Split_raw]]*MAX(0,MIN(_xlfn.DAYS(EDATE(Y$1,1),Log_2018[[#This Row],[Date]]),Log_2018[[#This Row],[Split_apply]])) - SUM($O125:X125)</f>
        <v>0</v>
      </c>
      <c r="Z125" s="52">
        <f ca="1">Log_2018[[#This Row],[Amount]]/Log_2018[[#This Row],[Split_raw]]*MAX(0,MIN(_xlfn.DAYS(EDATE(Z$1,1),Log_2018[[#This Row],[Date]]),Log_2018[[#This Row],[Split_apply]])) - SUM($O125:Y125)</f>
        <v>-20</v>
      </c>
      <c r="AA125" s="52">
        <f ca="1">Log_2018[[#This Row],[Amount]]/Log_2018[[#This Row],[Split_raw]]*MAX(0,MIN(_xlfn.DAYS(EDATE(AA$1,1),Log_2018[[#This Row],[Date]]),Log_2018[[#This Row],[Split_apply]])) - SUM($O125:Z125)</f>
        <v>0</v>
      </c>
      <c r="AB125" s="54">
        <f ca="1">Log_2018[[#This Row],[Amount]]-SUM(O125:AA125)</f>
        <v>0</v>
      </c>
      <c r="AC125" s="7">
        <f ca="1">MAX(0,Log_2018[[#This Row],[Split_apply]] - (EDATE(AA$1,1)-Log_2018[[#This Row],[Date]]))</f>
        <v>0</v>
      </c>
    </row>
    <row r="126" spans="1:29" hidden="1" x14ac:dyDescent="0.25">
      <c r="A126" s="115"/>
      <c r="B126" t="s">
        <v>6</v>
      </c>
      <c r="D126" s="26">
        <v>43409</v>
      </c>
      <c r="F126" t="s">
        <v>417</v>
      </c>
      <c r="G126" t="s">
        <v>27</v>
      </c>
      <c r="H126" s="3">
        <v>-11.12</v>
      </c>
      <c r="I126" s="36">
        <f>IF(Log_2018[[#This Row],[My Category]]="NONTRACKED",0,Log_2018[[#This Row],[Raw Amount]])</f>
        <v>-11.12</v>
      </c>
      <c r="J126" s="17">
        <f>ABS(Log_2018[[#This Row],[Amount]])</f>
        <v>11.12</v>
      </c>
      <c r="K126" s="66">
        <v>1</v>
      </c>
      <c r="L126" s="66">
        <f ca="1">IF(Log_2018[[#This Row],[Date]]&lt;=TODAY(), MIN(Log_2018[[#This Row],[Split_raw]], TODAY()-Log_2018[[#This Row],[Date]]+1), 0)</f>
        <v>1</v>
      </c>
      <c r="M126" t="s">
        <v>40</v>
      </c>
      <c r="N126" t="s">
        <v>160</v>
      </c>
      <c r="O126" s="50">
        <v>0</v>
      </c>
      <c r="P126" s="52">
        <f ca="1">Log_2018[[#This Row],[Amount]]/Log_2018[[#This Row],[Split_raw]]*MAX(0,MIN(_xlfn.DAYS(EDATE(P$1,1),Log_2018[[#This Row],[Date]]),Log_2018[[#This Row],[Split_apply]])) - SUM($O126:O126)</f>
        <v>0</v>
      </c>
      <c r="Q126" s="52">
        <f ca="1">Log_2018[[#This Row],[Amount]]/Log_2018[[#This Row],[Split_raw]]*MAX(0,MIN(_xlfn.DAYS(EDATE(Q$1,1),Log_2018[[#This Row],[Date]]),Log_2018[[#This Row],[Split_apply]])) - SUM($O126:P126)</f>
        <v>0</v>
      </c>
      <c r="R126" s="52">
        <f ca="1">Log_2018[[#This Row],[Amount]]/Log_2018[[#This Row],[Split_raw]]*MAX(0,MIN(_xlfn.DAYS(EDATE(R$1,1),Log_2018[[#This Row],[Date]]),Log_2018[[#This Row],[Split_apply]])) - SUM($O126:Q126)</f>
        <v>0</v>
      </c>
      <c r="S126" s="52">
        <f ca="1">Log_2018[[#This Row],[Amount]]/Log_2018[[#This Row],[Split_raw]]*MAX(0,MIN(_xlfn.DAYS(EDATE(S$1,1),Log_2018[[#This Row],[Date]]),Log_2018[[#This Row],[Split_apply]])) - SUM($O126:R126)</f>
        <v>0</v>
      </c>
      <c r="T126" s="52">
        <f ca="1">Log_2018[[#This Row],[Amount]]/Log_2018[[#This Row],[Split_raw]]*MAX(0,MIN(_xlfn.DAYS(EDATE(T$1,1),Log_2018[[#This Row],[Date]]),Log_2018[[#This Row],[Split_apply]])) - SUM($O126:S126)</f>
        <v>0</v>
      </c>
      <c r="U126" s="52">
        <f ca="1">Log_2018[[#This Row],[Amount]]/Log_2018[[#This Row],[Split_raw]]*MAX(0,MIN(_xlfn.DAYS(EDATE(U$1,1),Log_2018[[#This Row],[Date]]),Log_2018[[#This Row],[Split_apply]])) - SUM($O126:T126)</f>
        <v>0</v>
      </c>
      <c r="V126" s="52">
        <f ca="1">Log_2018[[#This Row],[Amount]]/Log_2018[[#This Row],[Split_raw]]*MAX(0,MIN(_xlfn.DAYS(EDATE(V$1,1),Log_2018[[#This Row],[Date]]),Log_2018[[#This Row],[Split_apply]])) - SUM($O126:U126)</f>
        <v>0</v>
      </c>
      <c r="W126" s="52">
        <f ca="1">Log_2018[[#This Row],[Amount]]/Log_2018[[#This Row],[Split_raw]]*MAX(0,MIN(_xlfn.DAYS(EDATE(W$1,1),Log_2018[[#This Row],[Date]]),Log_2018[[#This Row],[Split_apply]])) - SUM($O126:V126)</f>
        <v>0</v>
      </c>
      <c r="X126" s="52">
        <f ca="1">Log_2018[[#This Row],[Amount]]/Log_2018[[#This Row],[Split_raw]]*MAX(0,MIN(_xlfn.DAYS(EDATE(X$1,1),Log_2018[[#This Row],[Date]]),Log_2018[[#This Row],[Split_apply]])) - SUM($O126:W126)</f>
        <v>0</v>
      </c>
      <c r="Y126" s="52">
        <f ca="1">Log_2018[[#This Row],[Amount]]/Log_2018[[#This Row],[Split_raw]]*MAX(0,MIN(_xlfn.DAYS(EDATE(Y$1,1),Log_2018[[#This Row],[Date]]),Log_2018[[#This Row],[Split_apply]])) - SUM($O126:X126)</f>
        <v>0</v>
      </c>
      <c r="Z126" s="52">
        <f ca="1">Log_2018[[#This Row],[Amount]]/Log_2018[[#This Row],[Split_raw]]*MAX(0,MIN(_xlfn.DAYS(EDATE(Z$1,1),Log_2018[[#This Row],[Date]]),Log_2018[[#This Row],[Split_apply]])) - SUM($O126:Y126)</f>
        <v>-11.12</v>
      </c>
      <c r="AA126" s="52">
        <f ca="1">Log_2018[[#This Row],[Amount]]/Log_2018[[#This Row],[Split_raw]]*MAX(0,MIN(_xlfn.DAYS(EDATE(AA$1,1),Log_2018[[#This Row],[Date]]),Log_2018[[#This Row],[Split_apply]])) - SUM($O126:Z126)</f>
        <v>0</v>
      </c>
      <c r="AB126" s="54">
        <f ca="1">Log_2018[[#This Row],[Amount]]-SUM(O126:AA126)</f>
        <v>0</v>
      </c>
      <c r="AC126" s="7">
        <f ca="1">MAX(0,Log_2018[[#This Row],[Split_apply]] - (EDATE(AA$1,1)-Log_2018[[#This Row],[Date]]))</f>
        <v>0</v>
      </c>
    </row>
    <row r="127" spans="1:29" hidden="1" x14ac:dyDescent="0.25">
      <c r="A127" s="115"/>
      <c r="B127" t="s">
        <v>6</v>
      </c>
      <c r="D127" s="26">
        <v>43409</v>
      </c>
      <c r="F127" t="s">
        <v>418</v>
      </c>
      <c r="G127" t="s">
        <v>27</v>
      </c>
      <c r="H127" s="3">
        <v>-10.98</v>
      </c>
      <c r="I127" s="36">
        <f>IF(Log_2018[[#This Row],[My Category]]="NONTRACKED",0,Log_2018[[#This Row],[Raw Amount]])</f>
        <v>-10.98</v>
      </c>
      <c r="J127" s="17">
        <f>ABS(Log_2018[[#This Row],[Amount]])</f>
        <v>10.98</v>
      </c>
      <c r="K127" s="66">
        <v>1</v>
      </c>
      <c r="L127" s="66">
        <f ca="1">IF(Log_2018[[#This Row],[Date]]&lt;=TODAY(), MIN(Log_2018[[#This Row],[Split_raw]], TODAY()-Log_2018[[#This Row],[Date]]+1), 0)</f>
        <v>1</v>
      </c>
      <c r="M127" t="s">
        <v>40</v>
      </c>
      <c r="N127" t="s">
        <v>160</v>
      </c>
      <c r="O127" s="50">
        <v>0</v>
      </c>
      <c r="P127" s="52">
        <f ca="1">Log_2018[[#This Row],[Amount]]/Log_2018[[#This Row],[Split_raw]]*MAX(0,MIN(_xlfn.DAYS(EDATE(P$1,1),Log_2018[[#This Row],[Date]]),Log_2018[[#This Row],[Split_apply]])) - SUM($O127:O127)</f>
        <v>0</v>
      </c>
      <c r="Q127" s="52">
        <f ca="1">Log_2018[[#This Row],[Amount]]/Log_2018[[#This Row],[Split_raw]]*MAX(0,MIN(_xlfn.DAYS(EDATE(Q$1,1),Log_2018[[#This Row],[Date]]),Log_2018[[#This Row],[Split_apply]])) - SUM($O127:P127)</f>
        <v>0</v>
      </c>
      <c r="R127" s="52">
        <f ca="1">Log_2018[[#This Row],[Amount]]/Log_2018[[#This Row],[Split_raw]]*MAX(0,MIN(_xlfn.DAYS(EDATE(R$1,1),Log_2018[[#This Row],[Date]]),Log_2018[[#This Row],[Split_apply]])) - SUM($O127:Q127)</f>
        <v>0</v>
      </c>
      <c r="S127" s="52">
        <f ca="1">Log_2018[[#This Row],[Amount]]/Log_2018[[#This Row],[Split_raw]]*MAX(0,MIN(_xlfn.DAYS(EDATE(S$1,1),Log_2018[[#This Row],[Date]]),Log_2018[[#This Row],[Split_apply]])) - SUM($O127:R127)</f>
        <v>0</v>
      </c>
      <c r="T127" s="52">
        <f ca="1">Log_2018[[#This Row],[Amount]]/Log_2018[[#This Row],[Split_raw]]*MAX(0,MIN(_xlfn.DAYS(EDATE(T$1,1),Log_2018[[#This Row],[Date]]),Log_2018[[#This Row],[Split_apply]])) - SUM($O127:S127)</f>
        <v>0</v>
      </c>
      <c r="U127" s="52">
        <f ca="1">Log_2018[[#This Row],[Amount]]/Log_2018[[#This Row],[Split_raw]]*MAX(0,MIN(_xlfn.DAYS(EDATE(U$1,1),Log_2018[[#This Row],[Date]]),Log_2018[[#This Row],[Split_apply]])) - SUM($O127:T127)</f>
        <v>0</v>
      </c>
      <c r="V127" s="52">
        <f ca="1">Log_2018[[#This Row],[Amount]]/Log_2018[[#This Row],[Split_raw]]*MAX(0,MIN(_xlfn.DAYS(EDATE(V$1,1),Log_2018[[#This Row],[Date]]),Log_2018[[#This Row],[Split_apply]])) - SUM($O127:U127)</f>
        <v>0</v>
      </c>
      <c r="W127" s="52">
        <f ca="1">Log_2018[[#This Row],[Amount]]/Log_2018[[#This Row],[Split_raw]]*MAX(0,MIN(_xlfn.DAYS(EDATE(W$1,1),Log_2018[[#This Row],[Date]]),Log_2018[[#This Row],[Split_apply]])) - SUM($O127:V127)</f>
        <v>0</v>
      </c>
      <c r="X127" s="52">
        <f ca="1">Log_2018[[#This Row],[Amount]]/Log_2018[[#This Row],[Split_raw]]*MAX(0,MIN(_xlfn.DAYS(EDATE(X$1,1),Log_2018[[#This Row],[Date]]),Log_2018[[#This Row],[Split_apply]])) - SUM($O127:W127)</f>
        <v>0</v>
      </c>
      <c r="Y127" s="52">
        <f ca="1">Log_2018[[#This Row],[Amount]]/Log_2018[[#This Row],[Split_raw]]*MAX(0,MIN(_xlfn.DAYS(EDATE(Y$1,1),Log_2018[[#This Row],[Date]]),Log_2018[[#This Row],[Split_apply]])) - SUM($O127:X127)</f>
        <v>0</v>
      </c>
      <c r="Z127" s="52">
        <f ca="1">Log_2018[[#This Row],[Amount]]/Log_2018[[#This Row],[Split_raw]]*MAX(0,MIN(_xlfn.DAYS(EDATE(Z$1,1),Log_2018[[#This Row],[Date]]),Log_2018[[#This Row],[Split_apply]])) - SUM($O127:Y127)</f>
        <v>-10.98</v>
      </c>
      <c r="AA127" s="52">
        <f ca="1">Log_2018[[#This Row],[Amount]]/Log_2018[[#This Row],[Split_raw]]*MAX(0,MIN(_xlfn.DAYS(EDATE(AA$1,1),Log_2018[[#This Row],[Date]]),Log_2018[[#This Row],[Split_apply]])) - SUM($O127:Z127)</f>
        <v>0</v>
      </c>
      <c r="AB127" s="54">
        <f ca="1">Log_2018[[#This Row],[Amount]]-SUM(O127:AA127)</f>
        <v>0</v>
      </c>
      <c r="AC127" s="7">
        <f ca="1">MAX(0,Log_2018[[#This Row],[Split_apply]] - (EDATE(AA$1,1)-Log_2018[[#This Row],[Date]]))</f>
        <v>0</v>
      </c>
    </row>
    <row r="128" spans="1:29" hidden="1" x14ac:dyDescent="0.25">
      <c r="A128" s="115"/>
      <c r="B128" t="s">
        <v>6</v>
      </c>
      <c r="D128" s="26">
        <v>43407</v>
      </c>
      <c r="F128" t="s">
        <v>184</v>
      </c>
      <c r="G128" t="s">
        <v>11</v>
      </c>
      <c r="H128" s="3">
        <v>-7.6</v>
      </c>
      <c r="I128" s="36">
        <f>IF(Log_2018[[#This Row],[My Category]]="NONTRACKED",0,Log_2018[[#This Row],[Raw Amount]])</f>
        <v>-7.6</v>
      </c>
      <c r="J128" s="17">
        <f>ABS(Log_2018[[#This Row],[Amount]])</f>
        <v>7.6</v>
      </c>
      <c r="K128" s="66">
        <v>1</v>
      </c>
      <c r="L128" s="66">
        <f ca="1">IF(Log_2018[[#This Row],[Date]]&lt;=TODAY(), MIN(Log_2018[[#This Row],[Split_raw]], TODAY()-Log_2018[[#This Row],[Date]]+1), 0)</f>
        <v>1</v>
      </c>
      <c r="M128" t="s">
        <v>12</v>
      </c>
      <c r="N128" t="s">
        <v>158</v>
      </c>
      <c r="O128" s="50">
        <v>0</v>
      </c>
      <c r="P128" s="52">
        <f ca="1">Log_2018[[#This Row],[Amount]]/Log_2018[[#This Row],[Split_raw]]*MAX(0,MIN(_xlfn.DAYS(EDATE(P$1,1),Log_2018[[#This Row],[Date]]),Log_2018[[#This Row],[Split_apply]])) - SUM($O128:O128)</f>
        <v>0</v>
      </c>
      <c r="Q128" s="52">
        <f ca="1">Log_2018[[#This Row],[Amount]]/Log_2018[[#This Row],[Split_raw]]*MAX(0,MIN(_xlfn.DAYS(EDATE(Q$1,1),Log_2018[[#This Row],[Date]]),Log_2018[[#This Row],[Split_apply]])) - SUM($O128:P128)</f>
        <v>0</v>
      </c>
      <c r="R128" s="52">
        <f ca="1">Log_2018[[#This Row],[Amount]]/Log_2018[[#This Row],[Split_raw]]*MAX(0,MIN(_xlfn.DAYS(EDATE(R$1,1),Log_2018[[#This Row],[Date]]),Log_2018[[#This Row],[Split_apply]])) - SUM($O128:Q128)</f>
        <v>0</v>
      </c>
      <c r="S128" s="52">
        <f ca="1">Log_2018[[#This Row],[Amount]]/Log_2018[[#This Row],[Split_raw]]*MAX(0,MIN(_xlfn.DAYS(EDATE(S$1,1),Log_2018[[#This Row],[Date]]),Log_2018[[#This Row],[Split_apply]])) - SUM($O128:R128)</f>
        <v>0</v>
      </c>
      <c r="T128" s="52">
        <f ca="1">Log_2018[[#This Row],[Amount]]/Log_2018[[#This Row],[Split_raw]]*MAX(0,MIN(_xlfn.DAYS(EDATE(T$1,1),Log_2018[[#This Row],[Date]]),Log_2018[[#This Row],[Split_apply]])) - SUM($O128:S128)</f>
        <v>0</v>
      </c>
      <c r="U128" s="52">
        <f ca="1">Log_2018[[#This Row],[Amount]]/Log_2018[[#This Row],[Split_raw]]*MAX(0,MIN(_xlfn.DAYS(EDATE(U$1,1),Log_2018[[#This Row],[Date]]),Log_2018[[#This Row],[Split_apply]])) - SUM($O128:T128)</f>
        <v>0</v>
      </c>
      <c r="V128" s="52">
        <f ca="1">Log_2018[[#This Row],[Amount]]/Log_2018[[#This Row],[Split_raw]]*MAX(0,MIN(_xlfn.DAYS(EDATE(V$1,1),Log_2018[[#This Row],[Date]]),Log_2018[[#This Row],[Split_apply]])) - SUM($O128:U128)</f>
        <v>0</v>
      </c>
      <c r="W128" s="52">
        <f ca="1">Log_2018[[#This Row],[Amount]]/Log_2018[[#This Row],[Split_raw]]*MAX(0,MIN(_xlfn.DAYS(EDATE(W$1,1),Log_2018[[#This Row],[Date]]),Log_2018[[#This Row],[Split_apply]])) - SUM($O128:V128)</f>
        <v>0</v>
      </c>
      <c r="X128" s="52">
        <f ca="1">Log_2018[[#This Row],[Amount]]/Log_2018[[#This Row],[Split_raw]]*MAX(0,MIN(_xlfn.DAYS(EDATE(X$1,1),Log_2018[[#This Row],[Date]]),Log_2018[[#This Row],[Split_apply]])) - SUM($O128:W128)</f>
        <v>0</v>
      </c>
      <c r="Y128" s="52">
        <f ca="1">Log_2018[[#This Row],[Amount]]/Log_2018[[#This Row],[Split_raw]]*MAX(0,MIN(_xlfn.DAYS(EDATE(Y$1,1),Log_2018[[#This Row],[Date]]),Log_2018[[#This Row],[Split_apply]])) - SUM($O128:X128)</f>
        <v>0</v>
      </c>
      <c r="Z128" s="52">
        <f ca="1">Log_2018[[#This Row],[Amount]]/Log_2018[[#This Row],[Split_raw]]*MAX(0,MIN(_xlfn.DAYS(EDATE(Z$1,1),Log_2018[[#This Row],[Date]]),Log_2018[[#This Row],[Split_apply]])) - SUM($O128:Y128)</f>
        <v>-7.6</v>
      </c>
      <c r="AA128" s="52">
        <f ca="1">Log_2018[[#This Row],[Amount]]/Log_2018[[#This Row],[Split_raw]]*MAX(0,MIN(_xlfn.DAYS(EDATE(AA$1,1),Log_2018[[#This Row],[Date]]),Log_2018[[#This Row],[Split_apply]])) - SUM($O128:Z128)</f>
        <v>0</v>
      </c>
      <c r="AB128" s="54">
        <f ca="1">Log_2018[[#This Row],[Amount]]-SUM(O128:AA128)</f>
        <v>0</v>
      </c>
      <c r="AC128" s="7">
        <f ca="1">MAX(0,Log_2018[[#This Row],[Split_apply]] - (EDATE(AA$1,1)-Log_2018[[#This Row],[Date]]))</f>
        <v>0</v>
      </c>
    </row>
    <row r="129" spans="1:29" hidden="1" x14ac:dyDescent="0.25">
      <c r="A129" s="115"/>
      <c r="B129" t="s">
        <v>490</v>
      </c>
      <c r="C129" s="30">
        <v>2.6047870045960202E+18</v>
      </c>
      <c r="D129" s="26">
        <v>43407</v>
      </c>
      <c r="F129" t="s">
        <v>507</v>
      </c>
      <c r="H129" s="3">
        <v>-6</v>
      </c>
      <c r="I129" s="36">
        <f>IF(Log_2018[[#This Row],[My Category]]="NONTRACKED",0,Log_2018[[#This Row],[Raw Amount]])</f>
        <v>-6</v>
      </c>
      <c r="J129" s="17">
        <f>ABS(Log_2018[[#This Row],[Amount]])</f>
        <v>6</v>
      </c>
      <c r="K129" s="66">
        <v>1</v>
      </c>
      <c r="L129" s="66">
        <f ca="1">IF(Log_2018[[#This Row],[Date]]&lt;=TODAY(), MIN(Log_2018[[#This Row],[Split_raw]], TODAY()-Log_2018[[#This Row],[Date]]+1), 0)</f>
        <v>1</v>
      </c>
      <c r="M129" t="s">
        <v>35</v>
      </c>
      <c r="N129" t="s">
        <v>489</v>
      </c>
      <c r="O129" s="50">
        <v>0</v>
      </c>
      <c r="P129" s="52">
        <f ca="1">Log_2018[[#This Row],[Amount]]/Log_2018[[#This Row],[Split_raw]]*MAX(0,MIN(_xlfn.DAYS(EDATE(P$1,1),Log_2018[[#This Row],[Date]]),Log_2018[[#This Row],[Split_apply]])) - SUM($O129:O129)</f>
        <v>0</v>
      </c>
      <c r="Q129" s="52">
        <f ca="1">Log_2018[[#This Row],[Amount]]/Log_2018[[#This Row],[Split_raw]]*MAX(0,MIN(_xlfn.DAYS(EDATE(Q$1,1),Log_2018[[#This Row],[Date]]),Log_2018[[#This Row],[Split_apply]])) - SUM($O129:P129)</f>
        <v>0</v>
      </c>
      <c r="R129" s="52">
        <f ca="1">Log_2018[[#This Row],[Amount]]/Log_2018[[#This Row],[Split_raw]]*MAX(0,MIN(_xlfn.DAYS(EDATE(R$1,1),Log_2018[[#This Row],[Date]]),Log_2018[[#This Row],[Split_apply]])) - SUM($O129:Q129)</f>
        <v>0</v>
      </c>
      <c r="S129" s="52">
        <f ca="1">Log_2018[[#This Row],[Amount]]/Log_2018[[#This Row],[Split_raw]]*MAX(0,MIN(_xlfn.DAYS(EDATE(S$1,1),Log_2018[[#This Row],[Date]]),Log_2018[[#This Row],[Split_apply]])) - SUM($O129:R129)</f>
        <v>0</v>
      </c>
      <c r="T129" s="52">
        <f ca="1">Log_2018[[#This Row],[Amount]]/Log_2018[[#This Row],[Split_raw]]*MAX(0,MIN(_xlfn.DAYS(EDATE(T$1,1),Log_2018[[#This Row],[Date]]),Log_2018[[#This Row],[Split_apply]])) - SUM($O129:S129)</f>
        <v>0</v>
      </c>
      <c r="U129" s="52">
        <f ca="1">Log_2018[[#This Row],[Amount]]/Log_2018[[#This Row],[Split_raw]]*MAX(0,MIN(_xlfn.DAYS(EDATE(U$1,1),Log_2018[[#This Row],[Date]]),Log_2018[[#This Row],[Split_apply]])) - SUM($O129:T129)</f>
        <v>0</v>
      </c>
      <c r="V129" s="52">
        <f ca="1">Log_2018[[#This Row],[Amount]]/Log_2018[[#This Row],[Split_raw]]*MAX(0,MIN(_xlfn.DAYS(EDATE(V$1,1),Log_2018[[#This Row],[Date]]),Log_2018[[#This Row],[Split_apply]])) - SUM($O129:U129)</f>
        <v>0</v>
      </c>
      <c r="W129" s="52">
        <f ca="1">Log_2018[[#This Row],[Amount]]/Log_2018[[#This Row],[Split_raw]]*MAX(0,MIN(_xlfn.DAYS(EDATE(W$1,1),Log_2018[[#This Row],[Date]]),Log_2018[[#This Row],[Split_apply]])) - SUM($O129:V129)</f>
        <v>0</v>
      </c>
      <c r="X129" s="52">
        <f ca="1">Log_2018[[#This Row],[Amount]]/Log_2018[[#This Row],[Split_raw]]*MAX(0,MIN(_xlfn.DAYS(EDATE(X$1,1),Log_2018[[#This Row],[Date]]),Log_2018[[#This Row],[Split_apply]])) - SUM($O129:W129)</f>
        <v>0</v>
      </c>
      <c r="Y129" s="52">
        <f ca="1">Log_2018[[#This Row],[Amount]]/Log_2018[[#This Row],[Split_raw]]*MAX(0,MIN(_xlfn.DAYS(EDATE(Y$1,1),Log_2018[[#This Row],[Date]]),Log_2018[[#This Row],[Split_apply]])) - SUM($O129:X129)</f>
        <v>0</v>
      </c>
      <c r="Z129" s="52">
        <f ca="1">Log_2018[[#This Row],[Amount]]/Log_2018[[#This Row],[Split_raw]]*MAX(0,MIN(_xlfn.DAYS(EDATE(Z$1,1),Log_2018[[#This Row],[Date]]),Log_2018[[#This Row],[Split_apply]])) - SUM($O129:Y129)</f>
        <v>-6</v>
      </c>
      <c r="AA129" s="52">
        <f ca="1">Log_2018[[#This Row],[Amount]]/Log_2018[[#This Row],[Split_raw]]*MAX(0,MIN(_xlfn.DAYS(EDATE(AA$1,1),Log_2018[[#This Row],[Date]]),Log_2018[[#This Row],[Split_apply]])) - SUM($O129:Z129)</f>
        <v>0</v>
      </c>
      <c r="AB129" s="54">
        <f ca="1">Log_2018[[#This Row],[Amount]]-SUM(O129:AA129)</f>
        <v>0</v>
      </c>
      <c r="AC129" s="7">
        <f ca="1">MAX(0,Log_2018[[#This Row],[Split_apply]] - (EDATE(AA$1,1)-Log_2018[[#This Row],[Date]]))</f>
        <v>0</v>
      </c>
    </row>
    <row r="130" spans="1:29" hidden="1" x14ac:dyDescent="0.25">
      <c r="A130" s="115"/>
      <c r="B130" t="s">
        <v>6</v>
      </c>
      <c r="D130" s="26">
        <v>43406</v>
      </c>
      <c r="F130" t="s">
        <v>399</v>
      </c>
      <c r="G130" t="s">
        <v>19</v>
      </c>
      <c r="H130" s="3">
        <v>-13.09</v>
      </c>
      <c r="I130" s="36">
        <f>IF(Log_2018[[#This Row],[My Category]]="NONTRACKED",0,Log_2018[[#This Row],[Raw Amount]])</f>
        <v>-13.09</v>
      </c>
      <c r="J130" s="17">
        <f>ABS(Log_2018[[#This Row],[Amount]])</f>
        <v>13.09</v>
      </c>
      <c r="K130" s="66">
        <v>1</v>
      </c>
      <c r="L130" s="66">
        <f ca="1">IF(Log_2018[[#This Row],[Date]]&lt;=TODAY(), MIN(Log_2018[[#This Row],[Split_raw]], TODAY()-Log_2018[[#This Row],[Date]]+1), 0)</f>
        <v>1</v>
      </c>
      <c r="M130" t="s">
        <v>40</v>
      </c>
      <c r="N130" t="s">
        <v>158</v>
      </c>
      <c r="O130" s="50">
        <v>0</v>
      </c>
      <c r="P130" s="52">
        <f ca="1">Log_2018[[#This Row],[Amount]]/Log_2018[[#This Row],[Split_raw]]*MAX(0,MIN(_xlfn.DAYS(EDATE(P$1,1),Log_2018[[#This Row],[Date]]),Log_2018[[#This Row],[Split_apply]])) - SUM($O130:O130)</f>
        <v>0</v>
      </c>
      <c r="Q130" s="52">
        <f ca="1">Log_2018[[#This Row],[Amount]]/Log_2018[[#This Row],[Split_raw]]*MAX(0,MIN(_xlfn.DAYS(EDATE(Q$1,1),Log_2018[[#This Row],[Date]]),Log_2018[[#This Row],[Split_apply]])) - SUM($O130:P130)</f>
        <v>0</v>
      </c>
      <c r="R130" s="52">
        <f ca="1">Log_2018[[#This Row],[Amount]]/Log_2018[[#This Row],[Split_raw]]*MAX(0,MIN(_xlfn.DAYS(EDATE(R$1,1),Log_2018[[#This Row],[Date]]),Log_2018[[#This Row],[Split_apply]])) - SUM($O130:Q130)</f>
        <v>0</v>
      </c>
      <c r="S130" s="52">
        <f ca="1">Log_2018[[#This Row],[Amount]]/Log_2018[[#This Row],[Split_raw]]*MAX(0,MIN(_xlfn.DAYS(EDATE(S$1,1),Log_2018[[#This Row],[Date]]),Log_2018[[#This Row],[Split_apply]])) - SUM($O130:R130)</f>
        <v>0</v>
      </c>
      <c r="T130" s="52">
        <f ca="1">Log_2018[[#This Row],[Amount]]/Log_2018[[#This Row],[Split_raw]]*MAX(0,MIN(_xlfn.DAYS(EDATE(T$1,1),Log_2018[[#This Row],[Date]]),Log_2018[[#This Row],[Split_apply]])) - SUM($O130:S130)</f>
        <v>0</v>
      </c>
      <c r="U130" s="52">
        <f ca="1">Log_2018[[#This Row],[Amount]]/Log_2018[[#This Row],[Split_raw]]*MAX(0,MIN(_xlfn.DAYS(EDATE(U$1,1),Log_2018[[#This Row],[Date]]),Log_2018[[#This Row],[Split_apply]])) - SUM($O130:T130)</f>
        <v>0</v>
      </c>
      <c r="V130" s="52">
        <f ca="1">Log_2018[[#This Row],[Amount]]/Log_2018[[#This Row],[Split_raw]]*MAX(0,MIN(_xlfn.DAYS(EDATE(V$1,1),Log_2018[[#This Row],[Date]]),Log_2018[[#This Row],[Split_apply]])) - SUM($O130:U130)</f>
        <v>0</v>
      </c>
      <c r="W130" s="52">
        <f ca="1">Log_2018[[#This Row],[Amount]]/Log_2018[[#This Row],[Split_raw]]*MAX(0,MIN(_xlfn.DAYS(EDATE(W$1,1),Log_2018[[#This Row],[Date]]),Log_2018[[#This Row],[Split_apply]])) - SUM($O130:V130)</f>
        <v>0</v>
      </c>
      <c r="X130" s="52">
        <f ca="1">Log_2018[[#This Row],[Amount]]/Log_2018[[#This Row],[Split_raw]]*MAX(0,MIN(_xlfn.DAYS(EDATE(X$1,1),Log_2018[[#This Row],[Date]]),Log_2018[[#This Row],[Split_apply]])) - SUM($O130:W130)</f>
        <v>0</v>
      </c>
      <c r="Y130" s="52">
        <f ca="1">Log_2018[[#This Row],[Amount]]/Log_2018[[#This Row],[Split_raw]]*MAX(0,MIN(_xlfn.DAYS(EDATE(Y$1,1),Log_2018[[#This Row],[Date]]),Log_2018[[#This Row],[Split_apply]])) - SUM($O130:X130)</f>
        <v>0</v>
      </c>
      <c r="Z130" s="52">
        <f ca="1">Log_2018[[#This Row],[Amount]]/Log_2018[[#This Row],[Split_raw]]*MAX(0,MIN(_xlfn.DAYS(EDATE(Z$1,1),Log_2018[[#This Row],[Date]]),Log_2018[[#This Row],[Split_apply]])) - SUM($O130:Y130)</f>
        <v>-13.09</v>
      </c>
      <c r="AA130" s="52">
        <f ca="1">Log_2018[[#This Row],[Amount]]/Log_2018[[#This Row],[Split_raw]]*MAX(0,MIN(_xlfn.DAYS(EDATE(AA$1,1),Log_2018[[#This Row],[Date]]),Log_2018[[#This Row],[Split_apply]])) - SUM($O130:Z130)</f>
        <v>0</v>
      </c>
      <c r="AB130" s="54">
        <f ca="1">Log_2018[[#This Row],[Amount]]-SUM(O130:AA130)</f>
        <v>0</v>
      </c>
      <c r="AC130" s="7">
        <f ca="1">MAX(0,Log_2018[[#This Row],[Split_apply]] - (EDATE(AA$1,1)-Log_2018[[#This Row],[Date]]))</f>
        <v>0</v>
      </c>
    </row>
    <row r="131" spans="1:29" hidden="1" x14ac:dyDescent="0.25">
      <c r="A131" s="115"/>
      <c r="B131" t="s">
        <v>6</v>
      </c>
      <c r="D131" s="26">
        <v>43406</v>
      </c>
      <c r="F131" t="s">
        <v>327</v>
      </c>
      <c r="G131" t="s">
        <v>25</v>
      </c>
      <c r="H131" s="3">
        <v>-11.59</v>
      </c>
      <c r="I131" s="36">
        <f>IF(Log_2018[[#This Row],[My Category]]="NONTRACKED",0,Log_2018[[#This Row],[Raw Amount]])</f>
        <v>-11.59</v>
      </c>
      <c r="J131" s="17">
        <f>ABS(Log_2018[[#This Row],[Amount]])</f>
        <v>11.59</v>
      </c>
      <c r="K131" s="66">
        <v>1</v>
      </c>
      <c r="L131" s="66">
        <f ca="1">IF(Log_2018[[#This Row],[Date]]&lt;=TODAY(), MIN(Log_2018[[#This Row],[Split_raw]], TODAY()-Log_2018[[#This Row],[Date]]+1), 0)</f>
        <v>1</v>
      </c>
      <c r="M131" t="s">
        <v>35</v>
      </c>
      <c r="N131" t="s">
        <v>158</v>
      </c>
      <c r="O131" s="50">
        <v>0</v>
      </c>
      <c r="P131" s="52">
        <f ca="1">Log_2018[[#This Row],[Amount]]/Log_2018[[#This Row],[Split_raw]]*MAX(0,MIN(_xlfn.DAYS(EDATE(P$1,1),Log_2018[[#This Row],[Date]]),Log_2018[[#This Row],[Split_apply]])) - SUM($O131:O131)</f>
        <v>0</v>
      </c>
      <c r="Q131" s="52">
        <f ca="1">Log_2018[[#This Row],[Amount]]/Log_2018[[#This Row],[Split_raw]]*MAX(0,MIN(_xlfn.DAYS(EDATE(Q$1,1),Log_2018[[#This Row],[Date]]),Log_2018[[#This Row],[Split_apply]])) - SUM($O131:P131)</f>
        <v>0</v>
      </c>
      <c r="R131" s="52">
        <f ca="1">Log_2018[[#This Row],[Amount]]/Log_2018[[#This Row],[Split_raw]]*MAX(0,MIN(_xlfn.DAYS(EDATE(R$1,1),Log_2018[[#This Row],[Date]]),Log_2018[[#This Row],[Split_apply]])) - SUM($O131:Q131)</f>
        <v>0</v>
      </c>
      <c r="S131" s="52">
        <f ca="1">Log_2018[[#This Row],[Amount]]/Log_2018[[#This Row],[Split_raw]]*MAX(0,MIN(_xlfn.DAYS(EDATE(S$1,1),Log_2018[[#This Row],[Date]]),Log_2018[[#This Row],[Split_apply]])) - SUM($O131:R131)</f>
        <v>0</v>
      </c>
      <c r="T131" s="52">
        <f ca="1">Log_2018[[#This Row],[Amount]]/Log_2018[[#This Row],[Split_raw]]*MAX(0,MIN(_xlfn.DAYS(EDATE(T$1,1),Log_2018[[#This Row],[Date]]),Log_2018[[#This Row],[Split_apply]])) - SUM($O131:S131)</f>
        <v>0</v>
      </c>
      <c r="U131" s="52">
        <f ca="1">Log_2018[[#This Row],[Amount]]/Log_2018[[#This Row],[Split_raw]]*MAX(0,MIN(_xlfn.DAYS(EDATE(U$1,1),Log_2018[[#This Row],[Date]]),Log_2018[[#This Row],[Split_apply]])) - SUM($O131:T131)</f>
        <v>0</v>
      </c>
      <c r="V131" s="52">
        <f ca="1">Log_2018[[#This Row],[Amount]]/Log_2018[[#This Row],[Split_raw]]*MAX(0,MIN(_xlfn.DAYS(EDATE(V$1,1),Log_2018[[#This Row],[Date]]),Log_2018[[#This Row],[Split_apply]])) - SUM($O131:U131)</f>
        <v>0</v>
      </c>
      <c r="W131" s="52">
        <f ca="1">Log_2018[[#This Row],[Amount]]/Log_2018[[#This Row],[Split_raw]]*MAX(0,MIN(_xlfn.DAYS(EDATE(W$1,1),Log_2018[[#This Row],[Date]]),Log_2018[[#This Row],[Split_apply]])) - SUM($O131:V131)</f>
        <v>0</v>
      </c>
      <c r="X131" s="52">
        <f ca="1">Log_2018[[#This Row],[Amount]]/Log_2018[[#This Row],[Split_raw]]*MAX(0,MIN(_xlfn.DAYS(EDATE(X$1,1),Log_2018[[#This Row],[Date]]),Log_2018[[#This Row],[Split_apply]])) - SUM($O131:W131)</f>
        <v>0</v>
      </c>
      <c r="Y131" s="52">
        <f ca="1">Log_2018[[#This Row],[Amount]]/Log_2018[[#This Row],[Split_raw]]*MAX(0,MIN(_xlfn.DAYS(EDATE(Y$1,1),Log_2018[[#This Row],[Date]]),Log_2018[[#This Row],[Split_apply]])) - SUM($O131:X131)</f>
        <v>0</v>
      </c>
      <c r="Z131" s="52">
        <f ca="1">Log_2018[[#This Row],[Amount]]/Log_2018[[#This Row],[Split_raw]]*MAX(0,MIN(_xlfn.DAYS(EDATE(Z$1,1),Log_2018[[#This Row],[Date]]),Log_2018[[#This Row],[Split_apply]])) - SUM($O131:Y131)</f>
        <v>-11.59</v>
      </c>
      <c r="AA131" s="52">
        <f ca="1">Log_2018[[#This Row],[Amount]]/Log_2018[[#This Row],[Split_raw]]*MAX(0,MIN(_xlfn.DAYS(EDATE(AA$1,1),Log_2018[[#This Row],[Date]]),Log_2018[[#This Row],[Split_apply]])) - SUM($O131:Z131)</f>
        <v>0</v>
      </c>
      <c r="AB131" s="54">
        <f ca="1">Log_2018[[#This Row],[Amount]]-SUM(O131:AA131)</f>
        <v>0</v>
      </c>
      <c r="AC131" s="7">
        <f ca="1">MAX(0,Log_2018[[#This Row],[Split_apply]] - (EDATE(AA$1,1)-Log_2018[[#This Row],[Date]]))</f>
        <v>0</v>
      </c>
    </row>
    <row r="132" spans="1:29" hidden="1" x14ac:dyDescent="0.25">
      <c r="A132" s="115"/>
      <c r="B132" s="34" t="s">
        <v>6</v>
      </c>
      <c r="D132" s="26">
        <v>43405</v>
      </c>
      <c r="E132" t="s">
        <v>960</v>
      </c>
      <c r="F132" t="s">
        <v>419</v>
      </c>
      <c r="G132" t="s">
        <v>20</v>
      </c>
      <c r="H132" s="3">
        <v>-1566.77</v>
      </c>
      <c r="I132" s="36">
        <f>IF(Log_2018[[#This Row],[My Category]]="NONTRACKED",0,Log_2018[[#This Row],[Raw Amount]])</f>
        <v>-1566.77</v>
      </c>
      <c r="J132" s="17">
        <f>ABS(Log_2018[[#This Row],[Amount]])</f>
        <v>1566.77</v>
      </c>
      <c r="K132" s="66">
        <v>30</v>
      </c>
      <c r="L132" s="66">
        <f ca="1">IF(Log_2018[[#This Row],[Date]]&lt;=TODAY(), MIN(Log_2018[[#This Row],[Split_raw]], TODAY()-Log_2018[[#This Row],[Date]]+1), 0)</f>
        <v>30</v>
      </c>
      <c r="M132" t="s">
        <v>28</v>
      </c>
      <c r="N132" t="s">
        <v>160</v>
      </c>
      <c r="O132" s="50">
        <v>0</v>
      </c>
      <c r="P132" s="52">
        <f ca="1">Log_2018[[#This Row],[Amount]]/Log_2018[[#This Row],[Split_raw]]*MAX(0,MIN(_xlfn.DAYS(EDATE(P$1,1),Log_2018[[#This Row],[Date]]),Log_2018[[#This Row],[Split_apply]])) - SUM($O132:O132)</f>
        <v>0</v>
      </c>
      <c r="Q132" s="52">
        <f ca="1">Log_2018[[#This Row],[Amount]]/Log_2018[[#This Row],[Split_raw]]*MAX(0,MIN(_xlfn.DAYS(EDATE(Q$1,1),Log_2018[[#This Row],[Date]]),Log_2018[[#This Row],[Split_apply]])) - SUM($O132:P132)</f>
        <v>0</v>
      </c>
      <c r="R132" s="52">
        <f ca="1">Log_2018[[#This Row],[Amount]]/Log_2018[[#This Row],[Split_raw]]*MAX(0,MIN(_xlfn.DAYS(EDATE(R$1,1),Log_2018[[#This Row],[Date]]),Log_2018[[#This Row],[Split_apply]])) - SUM($O132:Q132)</f>
        <v>0</v>
      </c>
      <c r="S132" s="52">
        <f ca="1">Log_2018[[#This Row],[Amount]]/Log_2018[[#This Row],[Split_raw]]*MAX(0,MIN(_xlfn.DAYS(EDATE(S$1,1),Log_2018[[#This Row],[Date]]),Log_2018[[#This Row],[Split_apply]])) - SUM($O132:R132)</f>
        <v>0</v>
      </c>
      <c r="T132" s="52">
        <f ca="1">Log_2018[[#This Row],[Amount]]/Log_2018[[#This Row],[Split_raw]]*MAX(0,MIN(_xlfn.DAYS(EDATE(T$1,1),Log_2018[[#This Row],[Date]]),Log_2018[[#This Row],[Split_apply]])) - SUM($O132:S132)</f>
        <v>0</v>
      </c>
      <c r="U132" s="52">
        <f ca="1">Log_2018[[#This Row],[Amount]]/Log_2018[[#This Row],[Split_raw]]*MAX(0,MIN(_xlfn.DAYS(EDATE(U$1,1),Log_2018[[#This Row],[Date]]),Log_2018[[#This Row],[Split_apply]])) - SUM($O132:T132)</f>
        <v>0</v>
      </c>
      <c r="V132" s="52">
        <f ca="1">Log_2018[[#This Row],[Amount]]/Log_2018[[#This Row],[Split_raw]]*MAX(0,MIN(_xlfn.DAYS(EDATE(V$1,1),Log_2018[[#This Row],[Date]]),Log_2018[[#This Row],[Split_apply]])) - SUM($O132:U132)</f>
        <v>0</v>
      </c>
      <c r="W132" s="52">
        <f ca="1">Log_2018[[#This Row],[Amount]]/Log_2018[[#This Row],[Split_raw]]*MAX(0,MIN(_xlfn.DAYS(EDATE(W$1,1),Log_2018[[#This Row],[Date]]),Log_2018[[#This Row],[Split_apply]])) - SUM($O132:V132)</f>
        <v>0</v>
      </c>
      <c r="X132" s="52">
        <f ca="1">Log_2018[[#This Row],[Amount]]/Log_2018[[#This Row],[Split_raw]]*MAX(0,MIN(_xlfn.DAYS(EDATE(X$1,1),Log_2018[[#This Row],[Date]]),Log_2018[[#This Row],[Split_apply]])) - SUM($O132:W132)</f>
        <v>0</v>
      </c>
      <c r="Y132" s="52">
        <f ca="1">Log_2018[[#This Row],[Amount]]/Log_2018[[#This Row],[Split_raw]]*MAX(0,MIN(_xlfn.DAYS(EDATE(Y$1,1),Log_2018[[#This Row],[Date]]),Log_2018[[#This Row],[Split_apply]])) - SUM($O132:X132)</f>
        <v>0</v>
      </c>
      <c r="Z132" s="52">
        <f ca="1">Log_2018[[#This Row],[Amount]]/Log_2018[[#This Row],[Split_raw]]*MAX(0,MIN(_xlfn.DAYS(EDATE(Z$1,1),Log_2018[[#This Row],[Date]]),Log_2018[[#This Row],[Split_apply]])) - SUM($O132:Y132)</f>
        <v>-1566.77</v>
      </c>
      <c r="AA132" s="52">
        <f ca="1">Log_2018[[#This Row],[Amount]]/Log_2018[[#This Row],[Split_raw]]*MAX(0,MIN(_xlfn.DAYS(EDATE(AA$1,1),Log_2018[[#This Row],[Date]]),Log_2018[[#This Row],[Split_apply]])) - SUM($O132:Z132)</f>
        <v>0</v>
      </c>
      <c r="AB132" s="54">
        <f ca="1">Log_2018[[#This Row],[Amount]]-SUM(O132:AA132)</f>
        <v>0</v>
      </c>
      <c r="AC132" s="7">
        <f ca="1">MAX(0,Log_2018[[#This Row],[Split_apply]] - (EDATE(AA$1,1)-Log_2018[[#This Row],[Date]]))</f>
        <v>0</v>
      </c>
    </row>
    <row r="133" spans="1:29" hidden="1" x14ac:dyDescent="0.25">
      <c r="A133" s="115"/>
      <c r="B133" t="s">
        <v>191</v>
      </c>
      <c r="D133" s="26">
        <v>43405</v>
      </c>
      <c r="E133" t="s">
        <v>960</v>
      </c>
      <c r="F133" t="s">
        <v>420</v>
      </c>
      <c r="G133" t="s">
        <v>176</v>
      </c>
      <c r="H133" s="3">
        <v>-320</v>
      </c>
      <c r="I133" s="36">
        <f>IF(Log_2018[[#This Row],[My Category]]="NONTRACKED",0,Log_2018[[#This Row],[Raw Amount]])</f>
        <v>-320</v>
      </c>
      <c r="J133" s="17">
        <f>ABS(Log_2018[[#This Row],[Amount]])</f>
        <v>320</v>
      </c>
      <c r="K133" s="66">
        <v>30</v>
      </c>
      <c r="L133" s="66">
        <f ca="1">IF(Log_2018[[#This Row],[Date]]&lt;=TODAY(), MIN(Log_2018[[#This Row],[Split_raw]], TODAY()-Log_2018[[#This Row],[Date]]+1), 0)</f>
        <v>30</v>
      </c>
      <c r="M133" t="s">
        <v>93</v>
      </c>
      <c r="N133" t="s">
        <v>160</v>
      </c>
      <c r="O133" s="50">
        <v>0</v>
      </c>
      <c r="P133" s="52">
        <f ca="1">Log_2018[[#This Row],[Amount]]/Log_2018[[#This Row],[Split_raw]]*MAX(0,MIN(_xlfn.DAYS(EDATE(P$1,1),Log_2018[[#This Row],[Date]]),Log_2018[[#This Row],[Split_apply]])) - SUM($O133:O133)</f>
        <v>0</v>
      </c>
      <c r="Q133" s="52">
        <f ca="1">Log_2018[[#This Row],[Amount]]/Log_2018[[#This Row],[Split_raw]]*MAX(0,MIN(_xlfn.DAYS(EDATE(Q$1,1),Log_2018[[#This Row],[Date]]),Log_2018[[#This Row],[Split_apply]])) - SUM($O133:P133)</f>
        <v>0</v>
      </c>
      <c r="R133" s="52">
        <f ca="1">Log_2018[[#This Row],[Amount]]/Log_2018[[#This Row],[Split_raw]]*MAX(0,MIN(_xlfn.DAYS(EDATE(R$1,1),Log_2018[[#This Row],[Date]]),Log_2018[[#This Row],[Split_apply]])) - SUM($O133:Q133)</f>
        <v>0</v>
      </c>
      <c r="S133" s="52">
        <f ca="1">Log_2018[[#This Row],[Amount]]/Log_2018[[#This Row],[Split_raw]]*MAX(0,MIN(_xlfn.DAYS(EDATE(S$1,1),Log_2018[[#This Row],[Date]]),Log_2018[[#This Row],[Split_apply]])) - SUM($O133:R133)</f>
        <v>0</v>
      </c>
      <c r="T133" s="52">
        <f ca="1">Log_2018[[#This Row],[Amount]]/Log_2018[[#This Row],[Split_raw]]*MAX(0,MIN(_xlfn.DAYS(EDATE(T$1,1),Log_2018[[#This Row],[Date]]),Log_2018[[#This Row],[Split_apply]])) - SUM($O133:S133)</f>
        <v>0</v>
      </c>
      <c r="U133" s="52">
        <f ca="1">Log_2018[[#This Row],[Amount]]/Log_2018[[#This Row],[Split_raw]]*MAX(0,MIN(_xlfn.DAYS(EDATE(U$1,1),Log_2018[[#This Row],[Date]]),Log_2018[[#This Row],[Split_apply]])) - SUM($O133:T133)</f>
        <v>0</v>
      </c>
      <c r="V133" s="52">
        <f ca="1">Log_2018[[#This Row],[Amount]]/Log_2018[[#This Row],[Split_raw]]*MAX(0,MIN(_xlfn.DAYS(EDATE(V$1,1),Log_2018[[#This Row],[Date]]),Log_2018[[#This Row],[Split_apply]])) - SUM($O133:U133)</f>
        <v>0</v>
      </c>
      <c r="W133" s="52">
        <f ca="1">Log_2018[[#This Row],[Amount]]/Log_2018[[#This Row],[Split_raw]]*MAX(0,MIN(_xlfn.DAYS(EDATE(W$1,1),Log_2018[[#This Row],[Date]]),Log_2018[[#This Row],[Split_apply]])) - SUM($O133:V133)</f>
        <v>0</v>
      </c>
      <c r="X133" s="52">
        <f ca="1">Log_2018[[#This Row],[Amount]]/Log_2018[[#This Row],[Split_raw]]*MAX(0,MIN(_xlfn.DAYS(EDATE(X$1,1),Log_2018[[#This Row],[Date]]),Log_2018[[#This Row],[Split_apply]])) - SUM($O133:W133)</f>
        <v>0</v>
      </c>
      <c r="Y133" s="52">
        <f ca="1">Log_2018[[#This Row],[Amount]]/Log_2018[[#This Row],[Split_raw]]*MAX(0,MIN(_xlfn.DAYS(EDATE(Y$1,1),Log_2018[[#This Row],[Date]]),Log_2018[[#This Row],[Split_apply]])) - SUM($O133:X133)</f>
        <v>0</v>
      </c>
      <c r="Z133" s="52">
        <f ca="1">Log_2018[[#This Row],[Amount]]/Log_2018[[#This Row],[Split_raw]]*MAX(0,MIN(_xlfn.DAYS(EDATE(Z$1,1),Log_2018[[#This Row],[Date]]),Log_2018[[#This Row],[Split_apply]])) - SUM($O133:Y133)</f>
        <v>-320</v>
      </c>
      <c r="AA133" s="52">
        <f ca="1">Log_2018[[#This Row],[Amount]]/Log_2018[[#This Row],[Split_raw]]*MAX(0,MIN(_xlfn.DAYS(EDATE(AA$1,1),Log_2018[[#This Row],[Date]]),Log_2018[[#This Row],[Split_apply]])) - SUM($O133:Z133)</f>
        <v>0</v>
      </c>
      <c r="AB133" s="54">
        <f ca="1">Log_2018[[#This Row],[Amount]]-SUM(O133:AA133)</f>
        <v>0</v>
      </c>
      <c r="AC133" s="7">
        <f ca="1">MAX(0,Log_2018[[#This Row],[Split_apply]] - (EDATE(AA$1,1)-Log_2018[[#This Row],[Date]]))</f>
        <v>0</v>
      </c>
    </row>
    <row r="134" spans="1:29" hidden="1" x14ac:dyDescent="0.25">
      <c r="A134" s="115"/>
      <c r="B134" t="s">
        <v>6</v>
      </c>
      <c r="D134" s="26">
        <v>43405</v>
      </c>
      <c r="E134" t="s">
        <v>874</v>
      </c>
      <c r="F134" t="s">
        <v>400</v>
      </c>
      <c r="G134" t="s">
        <v>25</v>
      </c>
      <c r="H134" s="3">
        <v>-14.76</v>
      </c>
      <c r="I134" s="36">
        <f>IF(Log_2018[[#This Row],[My Category]]="NONTRACKED",0,Log_2018[[#This Row],[Raw Amount]])</f>
        <v>-14.76</v>
      </c>
      <c r="J134" s="17">
        <f>ABS(Log_2018[[#This Row],[Amount]])</f>
        <v>14.76</v>
      </c>
      <c r="K134" s="66">
        <v>1</v>
      </c>
      <c r="L134" s="66">
        <f ca="1">IF(Log_2018[[#This Row],[Date]]&lt;=TODAY(), MIN(Log_2018[[#This Row],[Split_raw]], TODAY()-Log_2018[[#This Row],[Date]]+1), 0)</f>
        <v>1</v>
      </c>
      <c r="M134" t="s">
        <v>37</v>
      </c>
      <c r="N134" t="s">
        <v>158</v>
      </c>
      <c r="O134" s="50">
        <v>0</v>
      </c>
      <c r="P134" s="52">
        <f ca="1">Log_2018[[#This Row],[Amount]]/Log_2018[[#This Row],[Split_raw]]*MAX(0,MIN(_xlfn.DAYS(EDATE(P$1,1),Log_2018[[#This Row],[Date]]),Log_2018[[#This Row],[Split_apply]])) - SUM($O134:O134)</f>
        <v>0</v>
      </c>
      <c r="Q134" s="52">
        <f ca="1">Log_2018[[#This Row],[Amount]]/Log_2018[[#This Row],[Split_raw]]*MAX(0,MIN(_xlfn.DAYS(EDATE(Q$1,1),Log_2018[[#This Row],[Date]]),Log_2018[[#This Row],[Split_apply]])) - SUM($O134:P134)</f>
        <v>0</v>
      </c>
      <c r="R134" s="52">
        <f ca="1">Log_2018[[#This Row],[Amount]]/Log_2018[[#This Row],[Split_raw]]*MAX(0,MIN(_xlfn.DAYS(EDATE(R$1,1),Log_2018[[#This Row],[Date]]),Log_2018[[#This Row],[Split_apply]])) - SUM($O134:Q134)</f>
        <v>0</v>
      </c>
      <c r="S134" s="52">
        <f ca="1">Log_2018[[#This Row],[Amount]]/Log_2018[[#This Row],[Split_raw]]*MAX(0,MIN(_xlfn.DAYS(EDATE(S$1,1),Log_2018[[#This Row],[Date]]),Log_2018[[#This Row],[Split_apply]])) - SUM($O134:R134)</f>
        <v>0</v>
      </c>
      <c r="T134" s="52">
        <f ca="1">Log_2018[[#This Row],[Amount]]/Log_2018[[#This Row],[Split_raw]]*MAX(0,MIN(_xlfn.DAYS(EDATE(T$1,1),Log_2018[[#This Row],[Date]]),Log_2018[[#This Row],[Split_apply]])) - SUM($O134:S134)</f>
        <v>0</v>
      </c>
      <c r="U134" s="52">
        <f ca="1">Log_2018[[#This Row],[Amount]]/Log_2018[[#This Row],[Split_raw]]*MAX(0,MIN(_xlfn.DAYS(EDATE(U$1,1),Log_2018[[#This Row],[Date]]),Log_2018[[#This Row],[Split_apply]])) - SUM($O134:T134)</f>
        <v>0</v>
      </c>
      <c r="V134" s="52">
        <f ca="1">Log_2018[[#This Row],[Amount]]/Log_2018[[#This Row],[Split_raw]]*MAX(0,MIN(_xlfn.DAYS(EDATE(V$1,1),Log_2018[[#This Row],[Date]]),Log_2018[[#This Row],[Split_apply]])) - SUM($O134:U134)</f>
        <v>0</v>
      </c>
      <c r="W134" s="52">
        <f ca="1">Log_2018[[#This Row],[Amount]]/Log_2018[[#This Row],[Split_raw]]*MAX(0,MIN(_xlfn.DAYS(EDATE(W$1,1),Log_2018[[#This Row],[Date]]),Log_2018[[#This Row],[Split_apply]])) - SUM($O134:V134)</f>
        <v>0</v>
      </c>
      <c r="X134" s="52">
        <f ca="1">Log_2018[[#This Row],[Amount]]/Log_2018[[#This Row],[Split_raw]]*MAX(0,MIN(_xlfn.DAYS(EDATE(X$1,1),Log_2018[[#This Row],[Date]]),Log_2018[[#This Row],[Split_apply]])) - SUM($O134:W134)</f>
        <v>0</v>
      </c>
      <c r="Y134" s="52">
        <f ca="1">Log_2018[[#This Row],[Amount]]/Log_2018[[#This Row],[Split_raw]]*MAX(0,MIN(_xlfn.DAYS(EDATE(Y$1,1),Log_2018[[#This Row],[Date]]),Log_2018[[#This Row],[Split_apply]])) - SUM($O134:X134)</f>
        <v>0</v>
      </c>
      <c r="Z134" s="52">
        <f ca="1">Log_2018[[#This Row],[Amount]]/Log_2018[[#This Row],[Split_raw]]*MAX(0,MIN(_xlfn.DAYS(EDATE(Z$1,1),Log_2018[[#This Row],[Date]]),Log_2018[[#This Row],[Split_apply]])) - SUM($O134:Y134)</f>
        <v>-14.76</v>
      </c>
      <c r="AA134" s="52">
        <f ca="1">Log_2018[[#This Row],[Amount]]/Log_2018[[#This Row],[Split_raw]]*MAX(0,MIN(_xlfn.DAYS(EDATE(AA$1,1),Log_2018[[#This Row],[Date]]),Log_2018[[#This Row],[Split_apply]])) - SUM($O134:Z134)</f>
        <v>0</v>
      </c>
      <c r="AB134" s="54">
        <f ca="1">Log_2018[[#This Row],[Amount]]-SUM(O134:AA134)</f>
        <v>0</v>
      </c>
      <c r="AC134" s="7">
        <f ca="1">MAX(0,Log_2018[[#This Row],[Split_apply]] - (EDATE(AA$1,1)-Log_2018[[#This Row],[Date]]))</f>
        <v>0</v>
      </c>
    </row>
    <row r="135" spans="1:29" hidden="1" x14ac:dyDescent="0.25">
      <c r="A135" s="115"/>
      <c r="B135" t="s">
        <v>6</v>
      </c>
      <c r="D135" s="26">
        <v>43405</v>
      </c>
      <c r="F135" t="s">
        <v>270</v>
      </c>
      <c r="G135" t="s">
        <v>25</v>
      </c>
      <c r="H135" s="3">
        <v>-9.2899999999999991</v>
      </c>
      <c r="I135" s="36">
        <f>IF(Log_2018[[#This Row],[My Category]]="NONTRACKED",0,Log_2018[[#This Row],[Raw Amount]])</f>
        <v>-9.2899999999999991</v>
      </c>
      <c r="J135" s="17">
        <f>ABS(Log_2018[[#This Row],[Amount]])</f>
        <v>9.2899999999999991</v>
      </c>
      <c r="K135" s="66">
        <v>1</v>
      </c>
      <c r="L135" s="66">
        <f ca="1">IF(Log_2018[[#This Row],[Date]]&lt;=TODAY(), MIN(Log_2018[[#This Row],[Split_raw]], TODAY()-Log_2018[[#This Row],[Date]]+1), 0)</f>
        <v>1</v>
      </c>
      <c r="M135" t="s">
        <v>35</v>
      </c>
      <c r="N135" t="s">
        <v>158</v>
      </c>
      <c r="O135" s="50">
        <v>0</v>
      </c>
      <c r="P135" s="52">
        <f ca="1">Log_2018[[#This Row],[Amount]]/Log_2018[[#This Row],[Split_raw]]*MAX(0,MIN(_xlfn.DAYS(EDATE(P$1,1),Log_2018[[#This Row],[Date]]),Log_2018[[#This Row],[Split_apply]])) - SUM($O135:O135)</f>
        <v>0</v>
      </c>
      <c r="Q135" s="52">
        <f ca="1">Log_2018[[#This Row],[Amount]]/Log_2018[[#This Row],[Split_raw]]*MAX(0,MIN(_xlfn.DAYS(EDATE(Q$1,1),Log_2018[[#This Row],[Date]]),Log_2018[[#This Row],[Split_apply]])) - SUM($O135:P135)</f>
        <v>0</v>
      </c>
      <c r="R135" s="52">
        <f ca="1">Log_2018[[#This Row],[Amount]]/Log_2018[[#This Row],[Split_raw]]*MAX(0,MIN(_xlfn.DAYS(EDATE(R$1,1),Log_2018[[#This Row],[Date]]),Log_2018[[#This Row],[Split_apply]])) - SUM($O135:Q135)</f>
        <v>0</v>
      </c>
      <c r="S135" s="52">
        <f ca="1">Log_2018[[#This Row],[Amount]]/Log_2018[[#This Row],[Split_raw]]*MAX(0,MIN(_xlfn.DAYS(EDATE(S$1,1),Log_2018[[#This Row],[Date]]),Log_2018[[#This Row],[Split_apply]])) - SUM($O135:R135)</f>
        <v>0</v>
      </c>
      <c r="T135" s="52">
        <f ca="1">Log_2018[[#This Row],[Amount]]/Log_2018[[#This Row],[Split_raw]]*MAX(0,MIN(_xlfn.DAYS(EDATE(T$1,1),Log_2018[[#This Row],[Date]]),Log_2018[[#This Row],[Split_apply]])) - SUM($O135:S135)</f>
        <v>0</v>
      </c>
      <c r="U135" s="52">
        <f ca="1">Log_2018[[#This Row],[Amount]]/Log_2018[[#This Row],[Split_raw]]*MAX(0,MIN(_xlfn.DAYS(EDATE(U$1,1),Log_2018[[#This Row],[Date]]),Log_2018[[#This Row],[Split_apply]])) - SUM($O135:T135)</f>
        <v>0</v>
      </c>
      <c r="V135" s="52">
        <f ca="1">Log_2018[[#This Row],[Amount]]/Log_2018[[#This Row],[Split_raw]]*MAX(0,MIN(_xlfn.DAYS(EDATE(V$1,1),Log_2018[[#This Row],[Date]]),Log_2018[[#This Row],[Split_apply]])) - SUM($O135:U135)</f>
        <v>0</v>
      </c>
      <c r="W135" s="52">
        <f ca="1">Log_2018[[#This Row],[Amount]]/Log_2018[[#This Row],[Split_raw]]*MAX(0,MIN(_xlfn.DAYS(EDATE(W$1,1),Log_2018[[#This Row],[Date]]),Log_2018[[#This Row],[Split_apply]])) - SUM($O135:V135)</f>
        <v>0</v>
      </c>
      <c r="X135" s="52">
        <f ca="1">Log_2018[[#This Row],[Amount]]/Log_2018[[#This Row],[Split_raw]]*MAX(0,MIN(_xlfn.DAYS(EDATE(X$1,1),Log_2018[[#This Row],[Date]]),Log_2018[[#This Row],[Split_apply]])) - SUM($O135:W135)</f>
        <v>0</v>
      </c>
      <c r="Y135" s="52">
        <f ca="1">Log_2018[[#This Row],[Amount]]/Log_2018[[#This Row],[Split_raw]]*MAX(0,MIN(_xlfn.DAYS(EDATE(Y$1,1),Log_2018[[#This Row],[Date]]),Log_2018[[#This Row],[Split_apply]])) - SUM($O135:X135)</f>
        <v>0</v>
      </c>
      <c r="Z135" s="52">
        <f ca="1">Log_2018[[#This Row],[Amount]]/Log_2018[[#This Row],[Split_raw]]*MAX(0,MIN(_xlfn.DAYS(EDATE(Z$1,1),Log_2018[[#This Row],[Date]]),Log_2018[[#This Row],[Split_apply]])) - SUM($O135:Y135)</f>
        <v>-9.2899999999999991</v>
      </c>
      <c r="AA135" s="52">
        <f ca="1">Log_2018[[#This Row],[Amount]]/Log_2018[[#This Row],[Split_raw]]*MAX(0,MIN(_xlfn.DAYS(EDATE(AA$1,1),Log_2018[[#This Row],[Date]]),Log_2018[[#This Row],[Split_apply]])) - SUM($O135:Z135)</f>
        <v>0</v>
      </c>
      <c r="AB135" s="54">
        <f ca="1">Log_2018[[#This Row],[Amount]]-SUM(O135:AA135)</f>
        <v>0</v>
      </c>
      <c r="AC135" s="7">
        <f ca="1">MAX(0,Log_2018[[#This Row],[Split_apply]] - (EDATE(AA$1,1)-Log_2018[[#This Row],[Date]]))</f>
        <v>0</v>
      </c>
    </row>
    <row r="136" spans="1:29" hidden="1" x14ac:dyDescent="0.25">
      <c r="A136" s="115"/>
      <c r="B136" t="s">
        <v>6</v>
      </c>
      <c r="D136" s="26">
        <v>43405</v>
      </c>
      <c r="F136" t="s">
        <v>255</v>
      </c>
      <c r="G136" t="s">
        <v>25</v>
      </c>
      <c r="H136" s="3">
        <v>-6.49</v>
      </c>
      <c r="I136" s="36">
        <f>IF(Log_2018[[#This Row],[My Category]]="NONTRACKED",0,Log_2018[[#This Row],[Raw Amount]])</f>
        <v>-6.49</v>
      </c>
      <c r="J136" s="17">
        <f>ABS(Log_2018[[#This Row],[Amount]])</f>
        <v>6.49</v>
      </c>
      <c r="K136" s="66">
        <v>1</v>
      </c>
      <c r="L136" s="66">
        <f ca="1">IF(Log_2018[[#This Row],[Date]]&lt;=TODAY(), MIN(Log_2018[[#This Row],[Split_raw]], TODAY()-Log_2018[[#This Row],[Date]]+1), 0)</f>
        <v>1</v>
      </c>
      <c r="M136" t="s">
        <v>35</v>
      </c>
      <c r="N136" t="s">
        <v>158</v>
      </c>
      <c r="O136" s="50">
        <v>0</v>
      </c>
      <c r="P136" s="52">
        <f ca="1">Log_2018[[#This Row],[Amount]]/Log_2018[[#This Row],[Split_raw]]*MAX(0,MIN(_xlfn.DAYS(EDATE(P$1,1),Log_2018[[#This Row],[Date]]),Log_2018[[#This Row],[Split_apply]])) - SUM($O136:O136)</f>
        <v>0</v>
      </c>
      <c r="Q136" s="52">
        <f ca="1">Log_2018[[#This Row],[Amount]]/Log_2018[[#This Row],[Split_raw]]*MAX(0,MIN(_xlfn.DAYS(EDATE(Q$1,1),Log_2018[[#This Row],[Date]]),Log_2018[[#This Row],[Split_apply]])) - SUM($O136:P136)</f>
        <v>0</v>
      </c>
      <c r="R136" s="52">
        <f ca="1">Log_2018[[#This Row],[Amount]]/Log_2018[[#This Row],[Split_raw]]*MAX(0,MIN(_xlfn.DAYS(EDATE(R$1,1),Log_2018[[#This Row],[Date]]),Log_2018[[#This Row],[Split_apply]])) - SUM($O136:Q136)</f>
        <v>0</v>
      </c>
      <c r="S136" s="52">
        <f ca="1">Log_2018[[#This Row],[Amount]]/Log_2018[[#This Row],[Split_raw]]*MAX(0,MIN(_xlfn.DAYS(EDATE(S$1,1),Log_2018[[#This Row],[Date]]),Log_2018[[#This Row],[Split_apply]])) - SUM($O136:R136)</f>
        <v>0</v>
      </c>
      <c r="T136" s="52">
        <f ca="1">Log_2018[[#This Row],[Amount]]/Log_2018[[#This Row],[Split_raw]]*MAX(0,MIN(_xlfn.DAYS(EDATE(T$1,1),Log_2018[[#This Row],[Date]]),Log_2018[[#This Row],[Split_apply]])) - SUM($O136:S136)</f>
        <v>0</v>
      </c>
      <c r="U136" s="52">
        <f ca="1">Log_2018[[#This Row],[Amount]]/Log_2018[[#This Row],[Split_raw]]*MAX(0,MIN(_xlfn.DAYS(EDATE(U$1,1),Log_2018[[#This Row],[Date]]),Log_2018[[#This Row],[Split_apply]])) - SUM($O136:T136)</f>
        <v>0</v>
      </c>
      <c r="V136" s="52">
        <f ca="1">Log_2018[[#This Row],[Amount]]/Log_2018[[#This Row],[Split_raw]]*MAX(0,MIN(_xlfn.DAYS(EDATE(V$1,1),Log_2018[[#This Row],[Date]]),Log_2018[[#This Row],[Split_apply]])) - SUM($O136:U136)</f>
        <v>0</v>
      </c>
      <c r="W136" s="52">
        <f ca="1">Log_2018[[#This Row],[Amount]]/Log_2018[[#This Row],[Split_raw]]*MAX(0,MIN(_xlfn.DAYS(EDATE(W$1,1),Log_2018[[#This Row],[Date]]),Log_2018[[#This Row],[Split_apply]])) - SUM($O136:V136)</f>
        <v>0</v>
      </c>
      <c r="X136" s="52">
        <f ca="1">Log_2018[[#This Row],[Amount]]/Log_2018[[#This Row],[Split_raw]]*MAX(0,MIN(_xlfn.DAYS(EDATE(X$1,1),Log_2018[[#This Row],[Date]]),Log_2018[[#This Row],[Split_apply]])) - SUM($O136:W136)</f>
        <v>0</v>
      </c>
      <c r="Y136" s="52">
        <f ca="1">Log_2018[[#This Row],[Amount]]/Log_2018[[#This Row],[Split_raw]]*MAX(0,MIN(_xlfn.DAYS(EDATE(Y$1,1),Log_2018[[#This Row],[Date]]),Log_2018[[#This Row],[Split_apply]])) - SUM($O136:X136)</f>
        <v>0</v>
      </c>
      <c r="Z136" s="52">
        <f ca="1">Log_2018[[#This Row],[Amount]]/Log_2018[[#This Row],[Split_raw]]*MAX(0,MIN(_xlfn.DAYS(EDATE(Z$1,1),Log_2018[[#This Row],[Date]]),Log_2018[[#This Row],[Split_apply]])) - SUM($O136:Y136)</f>
        <v>-6.49</v>
      </c>
      <c r="AA136" s="52">
        <f ca="1">Log_2018[[#This Row],[Amount]]/Log_2018[[#This Row],[Split_raw]]*MAX(0,MIN(_xlfn.DAYS(EDATE(AA$1,1),Log_2018[[#This Row],[Date]]),Log_2018[[#This Row],[Split_apply]])) - SUM($O136:Z136)</f>
        <v>0</v>
      </c>
      <c r="AB136" s="54">
        <f ca="1">Log_2018[[#This Row],[Amount]]-SUM(O136:AA136)</f>
        <v>0</v>
      </c>
      <c r="AC136" s="7">
        <f ca="1">MAX(0,Log_2018[[#This Row],[Split_apply]] - (EDATE(AA$1,1)-Log_2018[[#This Row],[Date]]))</f>
        <v>0</v>
      </c>
    </row>
    <row r="137" spans="1:29" hidden="1" x14ac:dyDescent="0.25">
      <c r="A137" s="115"/>
      <c r="B137" t="s">
        <v>6</v>
      </c>
      <c r="D137" s="26">
        <v>43405</v>
      </c>
      <c r="F137" t="s">
        <v>401</v>
      </c>
      <c r="G137" t="s">
        <v>9</v>
      </c>
      <c r="H137" s="3">
        <v>-10.81</v>
      </c>
      <c r="I137" s="36">
        <f>IF(Log_2018[[#This Row],[My Category]]="NONTRACKED",0,Log_2018[[#This Row],[Raw Amount]])</f>
        <v>-10.81</v>
      </c>
      <c r="J137" s="17">
        <f>ABS(Log_2018[[#This Row],[Amount]])</f>
        <v>10.81</v>
      </c>
      <c r="K137" s="66">
        <v>1</v>
      </c>
      <c r="L137" s="66">
        <f ca="1">IF(Log_2018[[#This Row],[Date]]&lt;=TODAY(), MIN(Log_2018[[#This Row],[Split_raw]], TODAY()-Log_2018[[#This Row],[Date]]+1), 0)</f>
        <v>1</v>
      </c>
      <c r="M137" t="s">
        <v>53</v>
      </c>
      <c r="N137" t="s">
        <v>158</v>
      </c>
      <c r="O137" s="50">
        <v>0</v>
      </c>
      <c r="P137" s="52">
        <f ca="1">Log_2018[[#This Row],[Amount]]/Log_2018[[#This Row],[Split_raw]]*MAX(0,MIN(_xlfn.DAYS(EDATE(P$1,1),Log_2018[[#This Row],[Date]]),Log_2018[[#This Row],[Split_apply]])) - SUM($O137:O137)</f>
        <v>0</v>
      </c>
      <c r="Q137" s="52">
        <f ca="1">Log_2018[[#This Row],[Amount]]/Log_2018[[#This Row],[Split_raw]]*MAX(0,MIN(_xlfn.DAYS(EDATE(Q$1,1),Log_2018[[#This Row],[Date]]),Log_2018[[#This Row],[Split_apply]])) - SUM($O137:P137)</f>
        <v>0</v>
      </c>
      <c r="R137" s="52">
        <f ca="1">Log_2018[[#This Row],[Amount]]/Log_2018[[#This Row],[Split_raw]]*MAX(0,MIN(_xlfn.DAYS(EDATE(R$1,1),Log_2018[[#This Row],[Date]]),Log_2018[[#This Row],[Split_apply]])) - SUM($O137:Q137)</f>
        <v>0</v>
      </c>
      <c r="S137" s="52">
        <f ca="1">Log_2018[[#This Row],[Amount]]/Log_2018[[#This Row],[Split_raw]]*MAX(0,MIN(_xlfn.DAYS(EDATE(S$1,1),Log_2018[[#This Row],[Date]]),Log_2018[[#This Row],[Split_apply]])) - SUM($O137:R137)</f>
        <v>0</v>
      </c>
      <c r="T137" s="52">
        <f ca="1">Log_2018[[#This Row],[Amount]]/Log_2018[[#This Row],[Split_raw]]*MAX(0,MIN(_xlfn.DAYS(EDATE(T$1,1),Log_2018[[#This Row],[Date]]),Log_2018[[#This Row],[Split_apply]])) - SUM($O137:S137)</f>
        <v>0</v>
      </c>
      <c r="U137" s="52">
        <f ca="1">Log_2018[[#This Row],[Amount]]/Log_2018[[#This Row],[Split_raw]]*MAX(0,MIN(_xlfn.DAYS(EDATE(U$1,1),Log_2018[[#This Row],[Date]]),Log_2018[[#This Row],[Split_apply]])) - SUM($O137:T137)</f>
        <v>0</v>
      </c>
      <c r="V137" s="52">
        <f ca="1">Log_2018[[#This Row],[Amount]]/Log_2018[[#This Row],[Split_raw]]*MAX(0,MIN(_xlfn.DAYS(EDATE(V$1,1),Log_2018[[#This Row],[Date]]),Log_2018[[#This Row],[Split_apply]])) - SUM($O137:U137)</f>
        <v>0</v>
      </c>
      <c r="W137" s="52">
        <f ca="1">Log_2018[[#This Row],[Amount]]/Log_2018[[#This Row],[Split_raw]]*MAX(0,MIN(_xlfn.DAYS(EDATE(W$1,1),Log_2018[[#This Row],[Date]]),Log_2018[[#This Row],[Split_apply]])) - SUM($O137:V137)</f>
        <v>0</v>
      </c>
      <c r="X137" s="52">
        <f ca="1">Log_2018[[#This Row],[Amount]]/Log_2018[[#This Row],[Split_raw]]*MAX(0,MIN(_xlfn.DAYS(EDATE(X$1,1),Log_2018[[#This Row],[Date]]),Log_2018[[#This Row],[Split_apply]])) - SUM($O137:W137)</f>
        <v>0</v>
      </c>
      <c r="Y137" s="52">
        <f ca="1">Log_2018[[#This Row],[Amount]]/Log_2018[[#This Row],[Split_raw]]*MAX(0,MIN(_xlfn.DAYS(EDATE(Y$1,1),Log_2018[[#This Row],[Date]]),Log_2018[[#This Row],[Split_apply]])) - SUM($O137:X137)</f>
        <v>0</v>
      </c>
      <c r="Z137" s="52">
        <f ca="1">Log_2018[[#This Row],[Amount]]/Log_2018[[#This Row],[Split_raw]]*MAX(0,MIN(_xlfn.DAYS(EDATE(Z$1,1),Log_2018[[#This Row],[Date]]),Log_2018[[#This Row],[Split_apply]])) - SUM($O137:Y137)</f>
        <v>-10.81</v>
      </c>
      <c r="AA137" s="52">
        <f ca="1">Log_2018[[#This Row],[Amount]]/Log_2018[[#This Row],[Split_raw]]*MAX(0,MIN(_xlfn.DAYS(EDATE(AA$1,1),Log_2018[[#This Row],[Date]]),Log_2018[[#This Row],[Split_apply]])) - SUM($O137:Z137)</f>
        <v>0</v>
      </c>
      <c r="AB137" s="54">
        <f ca="1">Log_2018[[#This Row],[Amount]]-SUM(O137:AA137)</f>
        <v>0</v>
      </c>
      <c r="AC137" s="7">
        <f ca="1">MAX(0,Log_2018[[#This Row],[Split_apply]] - (EDATE(AA$1,1)-Log_2018[[#This Row],[Date]]))</f>
        <v>0</v>
      </c>
    </row>
    <row r="138" spans="1:29" hidden="1" x14ac:dyDescent="0.25">
      <c r="A138" s="115"/>
      <c r="B138" t="s">
        <v>6</v>
      </c>
      <c r="D138" s="26">
        <v>43404</v>
      </c>
      <c r="F138" t="s">
        <v>375</v>
      </c>
      <c r="G138" t="s">
        <v>20</v>
      </c>
      <c r="H138" s="3">
        <v>-103</v>
      </c>
      <c r="I138" s="36">
        <f>IF(Log_2018[[#This Row],[My Category]]="NONTRACKED",0,Log_2018[[#This Row],[Raw Amount]])</f>
        <v>-103</v>
      </c>
      <c r="J138" s="17">
        <f>ABS(Log_2018[[#This Row],[Amount]])</f>
        <v>103</v>
      </c>
      <c r="K138" s="66">
        <v>1</v>
      </c>
      <c r="L138" s="66">
        <f ca="1">IF(Log_2018[[#This Row],[Date]]&lt;=TODAY(), MIN(Log_2018[[#This Row],[Split_raw]], TODAY()-Log_2018[[#This Row],[Date]]+1), 0)</f>
        <v>1</v>
      </c>
      <c r="M138" t="s">
        <v>196</v>
      </c>
      <c r="N138" t="s">
        <v>160</v>
      </c>
      <c r="O138" s="50">
        <v>0</v>
      </c>
      <c r="P138" s="52">
        <f ca="1">Log_2018[[#This Row],[Amount]]/Log_2018[[#This Row],[Split_raw]]*MAX(0,MIN(_xlfn.DAYS(EDATE(P$1,1),Log_2018[[#This Row],[Date]]),Log_2018[[#This Row],[Split_apply]])) - SUM($O138:O138)</f>
        <v>0</v>
      </c>
      <c r="Q138" s="52">
        <f ca="1">Log_2018[[#This Row],[Amount]]/Log_2018[[#This Row],[Split_raw]]*MAX(0,MIN(_xlfn.DAYS(EDATE(Q$1,1),Log_2018[[#This Row],[Date]]),Log_2018[[#This Row],[Split_apply]])) - SUM($O138:P138)</f>
        <v>0</v>
      </c>
      <c r="R138" s="52">
        <f ca="1">Log_2018[[#This Row],[Amount]]/Log_2018[[#This Row],[Split_raw]]*MAX(0,MIN(_xlfn.DAYS(EDATE(R$1,1),Log_2018[[#This Row],[Date]]),Log_2018[[#This Row],[Split_apply]])) - SUM($O138:Q138)</f>
        <v>0</v>
      </c>
      <c r="S138" s="52">
        <f ca="1">Log_2018[[#This Row],[Amount]]/Log_2018[[#This Row],[Split_raw]]*MAX(0,MIN(_xlfn.DAYS(EDATE(S$1,1),Log_2018[[#This Row],[Date]]),Log_2018[[#This Row],[Split_apply]])) - SUM($O138:R138)</f>
        <v>0</v>
      </c>
      <c r="T138" s="52">
        <f ca="1">Log_2018[[#This Row],[Amount]]/Log_2018[[#This Row],[Split_raw]]*MAX(0,MIN(_xlfn.DAYS(EDATE(T$1,1),Log_2018[[#This Row],[Date]]),Log_2018[[#This Row],[Split_apply]])) - SUM($O138:S138)</f>
        <v>0</v>
      </c>
      <c r="U138" s="52">
        <f ca="1">Log_2018[[#This Row],[Amount]]/Log_2018[[#This Row],[Split_raw]]*MAX(0,MIN(_xlfn.DAYS(EDATE(U$1,1),Log_2018[[#This Row],[Date]]),Log_2018[[#This Row],[Split_apply]])) - SUM($O138:T138)</f>
        <v>0</v>
      </c>
      <c r="V138" s="52">
        <f ca="1">Log_2018[[#This Row],[Amount]]/Log_2018[[#This Row],[Split_raw]]*MAX(0,MIN(_xlfn.DAYS(EDATE(V$1,1),Log_2018[[#This Row],[Date]]),Log_2018[[#This Row],[Split_apply]])) - SUM($O138:U138)</f>
        <v>0</v>
      </c>
      <c r="W138" s="52">
        <f ca="1">Log_2018[[#This Row],[Amount]]/Log_2018[[#This Row],[Split_raw]]*MAX(0,MIN(_xlfn.DAYS(EDATE(W$1,1),Log_2018[[#This Row],[Date]]),Log_2018[[#This Row],[Split_apply]])) - SUM($O138:V138)</f>
        <v>0</v>
      </c>
      <c r="X138" s="52">
        <f ca="1">Log_2018[[#This Row],[Amount]]/Log_2018[[#This Row],[Split_raw]]*MAX(0,MIN(_xlfn.DAYS(EDATE(X$1,1),Log_2018[[#This Row],[Date]]),Log_2018[[#This Row],[Split_apply]])) - SUM($O138:W138)</f>
        <v>0</v>
      </c>
      <c r="Y138" s="52">
        <f ca="1">Log_2018[[#This Row],[Amount]]/Log_2018[[#This Row],[Split_raw]]*MAX(0,MIN(_xlfn.DAYS(EDATE(Y$1,1),Log_2018[[#This Row],[Date]]),Log_2018[[#This Row],[Split_apply]])) - SUM($O138:X138)</f>
        <v>-103</v>
      </c>
      <c r="Z138" s="52">
        <f ca="1">Log_2018[[#This Row],[Amount]]/Log_2018[[#This Row],[Split_raw]]*MAX(0,MIN(_xlfn.DAYS(EDATE(Z$1,1),Log_2018[[#This Row],[Date]]),Log_2018[[#This Row],[Split_apply]])) - SUM($O138:Y138)</f>
        <v>0</v>
      </c>
      <c r="AA138" s="52">
        <f ca="1">Log_2018[[#This Row],[Amount]]/Log_2018[[#This Row],[Split_raw]]*MAX(0,MIN(_xlfn.DAYS(EDATE(AA$1,1),Log_2018[[#This Row],[Date]]),Log_2018[[#This Row],[Split_apply]])) - SUM($O138:Z138)</f>
        <v>0</v>
      </c>
      <c r="AB138" s="54">
        <f ca="1">Log_2018[[#This Row],[Amount]]-SUM(O138:AA138)</f>
        <v>0</v>
      </c>
      <c r="AC138" s="7">
        <f ca="1">MAX(0,Log_2018[[#This Row],[Split_apply]] - (EDATE(AA$1,1)-Log_2018[[#This Row],[Date]]))</f>
        <v>0</v>
      </c>
    </row>
    <row r="139" spans="1:29" hidden="1" x14ac:dyDescent="0.25">
      <c r="A139" s="115"/>
      <c r="B139" t="s">
        <v>6</v>
      </c>
      <c r="D139" s="26">
        <v>43403</v>
      </c>
      <c r="F139" t="s">
        <v>402</v>
      </c>
      <c r="G139" t="s">
        <v>25</v>
      </c>
      <c r="H139" s="3">
        <v>-3.73</v>
      </c>
      <c r="I139" s="36">
        <f>IF(Log_2018[[#This Row],[My Category]]="NONTRACKED",0,Log_2018[[#This Row],[Raw Amount]])</f>
        <v>-3.73</v>
      </c>
      <c r="J139" s="17">
        <f>ABS(Log_2018[[#This Row],[Amount]])</f>
        <v>3.73</v>
      </c>
      <c r="K139" s="66">
        <v>1</v>
      </c>
      <c r="L139" s="66">
        <f ca="1">IF(Log_2018[[#This Row],[Date]]&lt;=TODAY(), MIN(Log_2018[[#This Row],[Split_raw]], TODAY()-Log_2018[[#This Row],[Date]]+1), 0)</f>
        <v>1</v>
      </c>
      <c r="M139" t="s">
        <v>37</v>
      </c>
      <c r="N139" t="s">
        <v>158</v>
      </c>
      <c r="O139" s="50">
        <v>0</v>
      </c>
      <c r="P139" s="52">
        <f ca="1">Log_2018[[#This Row],[Amount]]/Log_2018[[#This Row],[Split_raw]]*MAX(0,MIN(_xlfn.DAYS(EDATE(P$1,1),Log_2018[[#This Row],[Date]]),Log_2018[[#This Row],[Split_apply]])) - SUM($O139:O139)</f>
        <v>0</v>
      </c>
      <c r="Q139" s="52">
        <f ca="1">Log_2018[[#This Row],[Amount]]/Log_2018[[#This Row],[Split_raw]]*MAX(0,MIN(_xlfn.DAYS(EDATE(Q$1,1),Log_2018[[#This Row],[Date]]),Log_2018[[#This Row],[Split_apply]])) - SUM($O139:P139)</f>
        <v>0</v>
      </c>
      <c r="R139" s="52">
        <f ca="1">Log_2018[[#This Row],[Amount]]/Log_2018[[#This Row],[Split_raw]]*MAX(0,MIN(_xlfn.DAYS(EDATE(R$1,1),Log_2018[[#This Row],[Date]]),Log_2018[[#This Row],[Split_apply]])) - SUM($O139:Q139)</f>
        <v>0</v>
      </c>
      <c r="S139" s="52">
        <f ca="1">Log_2018[[#This Row],[Amount]]/Log_2018[[#This Row],[Split_raw]]*MAX(0,MIN(_xlfn.DAYS(EDATE(S$1,1),Log_2018[[#This Row],[Date]]),Log_2018[[#This Row],[Split_apply]])) - SUM($O139:R139)</f>
        <v>0</v>
      </c>
      <c r="T139" s="52">
        <f ca="1">Log_2018[[#This Row],[Amount]]/Log_2018[[#This Row],[Split_raw]]*MAX(0,MIN(_xlfn.DAYS(EDATE(T$1,1),Log_2018[[#This Row],[Date]]),Log_2018[[#This Row],[Split_apply]])) - SUM($O139:S139)</f>
        <v>0</v>
      </c>
      <c r="U139" s="52">
        <f ca="1">Log_2018[[#This Row],[Amount]]/Log_2018[[#This Row],[Split_raw]]*MAX(0,MIN(_xlfn.DAYS(EDATE(U$1,1),Log_2018[[#This Row],[Date]]),Log_2018[[#This Row],[Split_apply]])) - SUM($O139:T139)</f>
        <v>0</v>
      </c>
      <c r="V139" s="52">
        <f ca="1">Log_2018[[#This Row],[Amount]]/Log_2018[[#This Row],[Split_raw]]*MAX(0,MIN(_xlfn.DAYS(EDATE(V$1,1),Log_2018[[#This Row],[Date]]),Log_2018[[#This Row],[Split_apply]])) - SUM($O139:U139)</f>
        <v>0</v>
      </c>
      <c r="W139" s="52">
        <f ca="1">Log_2018[[#This Row],[Amount]]/Log_2018[[#This Row],[Split_raw]]*MAX(0,MIN(_xlfn.DAYS(EDATE(W$1,1),Log_2018[[#This Row],[Date]]),Log_2018[[#This Row],[Split_apply]])) - SUM($O139:V139)</f>
        <v>0</v>
      </c>
      <c r="X139" s="52">
        <f ca="1">Log_2018[[#This Row],[Amount]]/Log_2018[[#This Row],[Split_raw]]*MAX(0,MIN(_xlfn.DAYS(EDATE(X$1,1),Log_2018[[#This Row],[Date]]),Log_2018[[#This Row],[Split_apply]])) - SUM($O139:W139)</f>
        <v>0</v>
      </c>
      <c r="Y139" s="52">
        <f ca="1">Log_2018[[#This Row],[Amount]]/Log_2018[[#This Row],[Split_raw]]*MAX(0,MIN(_xlfn.DAYS(EDATE(Y$1,1),Log_2018[[#This Row],[Date]]),Log_2018[[#This Row],[Split_apply]])) - SUM($O139:X139)</f>
        <v>-3.73</v>
      </c>
      <c r="Z139" s="52">
        <f ca="1">Log_2018[[#This Row],[Amount]]/Log_2018[[#This Row],[Split_raw]]*MAX(0,MIN(_xlfn.DAYS(EDATE(Z$1,1),Log_2018[[#This Row],[Date]]),Log_2018[[#This Row],[Split_apply]])) - SUM($O139:Y139)</f>
        <v>0</v>
      </c>
      <c r="AA139" s="52">
        <f ca="1">Log_2018[[#This Row],[Amount]]/Log_2018[[#This Row],[Split_raw]]*MAX(0,MIN(_xlfn.DAYS(EDATE(AA$1,1),Log_2018[[#This Row],[Date]]),Log_2018[[#This Row],[Split_apply]])) - SUM($O139:Z139)</f>
        <v>0</v>
      </c>
      <c r="AB139" s="54">
        <f ca="1">Log_2018[[#This Row],[Amount]]-SUM(O139:AA139)</f>
        <v>0</v>
      </c>
      <c r="AC139" s="7">
        <f ca="1">MAX(0,Log_2018[[#This Row],[Split_apply]] - (EDATE(AA$1,1)-Log_2018[[#This Row],[Date]]))</f>
        <v>0</v>
      </c>
    </row>
    <row r="140" spans="1:29" hidden="1" x14ac:dyDescent="0.25">
      <c r="A140" s="115"/>
      <c r="B140" t="s">
        <v>6</v>
      </c>
      <c r="D140" s="26">
        <v>43403</v>
      </c>
      <c r="F140" t="s">
        <v>287</v>
      </c>
      <c r="G140" t="s">
        <v>9</v>
      </c>
      <c r="H140" s="3">
        <v>-42.97</v>
      </c>
      <c r="I140" s="36">
        <f>IF(Log_2018[[#This Row],[My Category]]="NONTRACKED",0,Log_2018[[#This Row],[Raw Amount]])</f>
        <v>-42.97</v>
      </c>
      <c r="J140" s="17">
        <f>ABS(Log_2018[[#This Row],[Amount]])</f>
        <v>42.97</v>
      </c>
      <c r="K140" s="66">
        <v>1</v>
      </c>
      <c r="L140" s="66">
        <f ca="1">IF(Log_2018[[#This Row],[Date]]&lt;=TODAY(), MIN(Log_2018[[#This Row],[Split_raw]], TODAY()-Log_2018[[#This Row],[Date]]+1), 0)</f>
        <v>1</v>
      </c>
      <c r="M140" t="s">
        <v>39</v>
      </c>
      <c r="N140" t="s">
        <v>158</v>
      </c>
      <c r="O140" s="50">
        <v>0</v>
      </c>
      <c r="P140" s="52">
        <f ca="1">Log_2018[[#This Row],[Amount]]/Log_2018[[#This Row],[Split_raw]]*MAX(0,MIN(_xlfn.DAYS(EDATE(P$1,1),Log_2018[[#This Row],[Date]]),Log_2018[[#This Row],[Split_apply]])) - SUM($O140:O140)</f>
        <v>0</v>
      </c>
      <c r="Q140" s="52">
        <f ca="1">Log_2018[[#This Row],[Amount]]/Log_2018[[#This Row],[Split_raw]]*MAX(0,MIN(_xlfn.DAYS(EDATE(Q$1,1),Log_2018[[#This Row],[Date]]),Log_2018[[#This Row],[Split_apply]])) - SUM($O140:P140)</f>
        <v>0</v>
      </c>
      <c r="R140" s="52">
        <f ca="1">Log_2018[[#This Row],[Amount]]/Log_2018[[#This Row],[Split_raw]]*MAX(0,MIN(_xlfn.DAYS(EDATE(R$1,1),Log_2018[[#This Row],[Date]]),Log_2018[[#This Row],[Split_apply]])) - SUM($O140:Q140)</f>
        <v>0</v>
      </c>
      <c r="S140" s="52">
        <f ca="1">Log_2018[[#This Row],[Amount]]/Log_2018[[#This Row],[Split_raw]]*MAX(0,MIN(_xlfn.DAYS(EDATE(S$1,1),Log_2018[[#This Row],[Date]]),Log_2018[[#This Row],[Split_apply]])) - SUM($O140:R140)</f>
        <v>0</v>
      </c>
      <c r="T140" s="52">
        <f ca="1">Log_2018[[#This Row],[Amount]]/Log_2018[[#This Row],[Split_raw]]*MAX(0,MIN(_xlfn.DAYS(EDATE(T$1,1),Log_2018[[#This Row],[Date]]),Log_2018[[#This Row],[Split_apply]])) - SUM($O140:S140)</f>
        <v>0</v>
      </c>
      <c r="U140" s="52">
        <f ca="1">Log_2018[[#This Row],[Amount]]/Log_2018[[#This Row],[Split_raw]]*MAX(0,MIN(_xlfn.DAYS(EDATE(U$1,1),Log_2018[[#This Row],[Date]]),Log_2018[[#This Row],[Split_apply]])) - SUM($O140:T140)</f>
        <v>0</v>
      </c>
      <c r="V140" s="52">
        <f ca="1">Log_2018[[#This Row],[Amount]]/Log_2018[[#This Row],[Split_raw]]*MAX(0,MIN(_xlfn.DAYS(EDATE(V$1,1),Log_2018[[#This Row],[Date]]),Log_2018[[#This Row],[Split_apply]])) - SUM($O140:U140)</f>
        <v>0</v>
      </c>
      <c r="W140" s="52">
        <f ca="1">Log_2018[[#This Row],[Amount]]/Log_2018[[#This Row],[Split_raw]]*MAX(0,MIN(_xlfn.DAYS(EDATE(W$1,1),Log_2018[[#This Row],[Date]]),Log_2018[[#This Row],[Split_apply]])) - SUM($O140:V140)</f>
        <v>0</v>
      </c>
      <c r="X140" s="52">
        <f ca="1">Log_2018[[#This Row],[Amount]]/Log_2018[[#This Row],[Split_raw]]*MAX(0,MIN(_xlfn.DAYS(EDATE(X$1,1),Log_2018[[#This Row],[Date]]),Log_2018[[#This Row],[Split_apply]])) - SUM($O140:W140)</f>
        <v>0</v>
      </c>
      <c r="Y140" s="52">
        <f ca="1">Log_2018[[#This Row],[Amount]]/Log_2018[[#This Row],[Split_raw]]*MAX(0,MIN(_xlfn.DAYS(EDATE(Y$1,1),Log_2018[[#This Row],[Date]]),Log_2018[[#This Row],[Split_apply]])) - SUM($O140:X140)</f>
        <v>-42.97</v>
      </c>
      <c r="Z140" s="52">
        <f ca="1">Log_2018[[#This Row],[Amount]]/Log_2018[[#This Row],[Split_raw]]*MAX(0,MIN(_xlfn.DAYS(EDATE(Z$1,1),Log_2018[[#This Row],[Date]]),Log_2018[[#This Row],[Split_apply]])) - SUM($O140:Y140)</f>
        <v>0</v>
      </c>
      <c r="AA140" s="52">
        <f ca="1">Log_2018[[#This Row],[Amount]]/Log_2018[[#This Row],[Split_raw]]*MAX(0,MIN(_xlfn.DAYS(EDATE(AA$1,1),Log_2018[[#This Row],[Date]]),Log_2018[[#This Row],[Split_apply]])) - SUM($O140:Z140)</f>
        <v>0</v>
      </c>
      <c r="AB140" s="54">
        <f ca="1">Log_2018[[#This Row],[Amount]]-SUM(O140:AA140)</f>
        <v>0</v>
      </c>
      <c r="AC140" s="7">
        <f ca="1">MAX(0,Log_2018[[#This Row],[Split_apply]] - (EDATE(AA$1,1)-Log_2018[[#This Row],[Date]]))</f>
        <v>0</v>
      </c>
    </row>
    <row r="141" spans="1:29" hidden="1" x14ac:dyDescent="0.25">
      <c r="A141" s="115"/>
      <c r="B141" t="s">
        <v>6</v>
      </c>
      <c r="D141" s="26">
        <v>43403</v>
      </c>
      <c r="F141" t="s">
        <v>403</v>
      </c>
      <c r="G141" t="s">
        <v>25</v>
      </c>
      <c r="H141" s="3">
        <v>-34.200000000000003</v>
      </c>
      <c r="I141" s="36">
        <f>IF(Log_2018[[#This Row],[My Category]]="NONTRACKED",0,Log_2018[[#This Row],[Raw Amount]])</f>
        <v>-34.200000000000003</v>
      </c>
      <c r="J141" s="17">
        <f>ABS(Log_2018[[#This Row],[Amount]])</f>
        <v>34.200000000000003</v>
      </c>
      <c r="K141" s="66">
        <v>1</v>
      </c>
      <c r="L141" s="66">
        <f ca="1">IF(Log_2018[[#This Row],[Date]]&lt;=TODAY(), MIN(Log_2018[[#This Row],[Split_raw]], TODAY()-Log_2018[[#This Row],[Date]]+1), 0)</f>
        <v>1</v>
      </c>
      <c r="M141" t="s">
        <v>37</v>
      </c>
      <c r="N141" t="s">
        <v>158</v>
      </c>
      <c r="O141" s="50">
        <v>0</v>
      </c>
      <c r="P141" s="52">
        <f ca="1">Log_2018[[#This Row],[Amount]]/Log_2018[[#This Row],[Split_raw]]*MAX(0,MIN(_xlfn.DAYS(EDATE(P$1,1),Log_2018[[#This Row],[Date]]),Log_2018[[#This Row],[Split_apply]])) - SUM($O141:O141)</f>
        <v>0</v>
      </c>
      <c r="Q141" s="52">
        <f ca="1">Log_2018[[#This Row],[Amount]]/Log_2018[[#This Row],[Split_raw]]*MAX(0,MIN(_xlfn.DAYS(EDATE(Q$1,1),Log_2018[[#This Row],[Date]]),Log_2018[[#This Row],[Split_apply]])) - SUM($O141:P141)</f>
        <v>0</v>
      </c>
      <c r="R141" s="52">
        <f ca="1">Log_2018[[#This Row],[Amount]]/Log_2018[[#This Row],[Split_raw]]*MAX(0,MIN(_xlfn.DAYS(EDATE(R$1,1),Log_2018[[#This Row],[Date]]),Log_2018[[#This Row],[Split_apply]])) - SUM($O141:Q141)</f>
        <v>0</v>
      </c>
      <c r="S141" s="52">
        <f ca="1">Log_2018[[#This Row],[Amount]]/Log_2018[[#This Row],[Split_raw]]*MAX(0,MIN(_xlfn.DAYS(EDATE(S$1,1),Log_2018[[#This Row],[Date]]),Log_2018[[#This Row],[Split_apply]])) - SUM($O141:R141)</f>
        <v>0</v>
      </c>
      <c r="T141" s="52">
        <f ca="1">Log_2018[[#This Row],[Amount]]/Log_2018[[#This Row],[Split_raw]]*MAX(0,MIN(_xlfn.DAYS(EDATE(T$1,1),Log_2018[[#This Row],[Date]]),Log_2018[[#This Row],[Split_apply]])) - SUM($O141:S141)</f>
        <v>0</v>
      </c>
      <c r="U141" s="52">
        <f ca="1">Log_2018[[#This Row],[Amount]]/Log_2018[[#This Row],[Split_raw]]*MAX(0,MIN(_xlfn.DAYS(EDATE(U$1,1),Log_2018[[#This Row],[Date]]),Log_2018[[#This Row],[Split_apply]])) - SUM($O141:T141)</f>
        <v>0</v>
      </c>
      <c r="V141" s="52">
        <f ca="1">Log_2018[[#This Row],[Amount]]/Log_2018[[#This Row],[Split_raw]]*MAX(0,MIN(_xlfn.DAYS(EDATE(V$1,1),Log_2018[[#This Row],[Date]]),Log_2018[[#This Row],[Split_apply]])) - SUM($O141:U141)</f>
        <v>0</v>
      </c>
      <c r="W141" s="52">
        <f ca="1">Log_2018[[#This Row],[Amount]]/Log_2018[[#This Row],[Split_raw]]*MAX(0,MIN(_xlfn.DAYS(EDATE(W$1,1),Log_2018[[#This Row],[Date]]),Log_2018[[#This Row],[Split_apply]])) - SUM($O141:V141)</f>
        <v>0</v>
      </c>
      <c r="X141" s="52">
        <f ca="1">Log_2018[[#This Row],[Amount]]/Log_2018[[#This Row],[Split_raw]]*MAX(0,MIN(_xlfn.DAYS(EDATE(X$1,1),Log_2018[[#This Row],[Date]]),Log_2018[[#This Row],[Split_apply]])) - SUM($O141:W141)</f>
        <v>0</v>
      </c>
      <c r="Y141" s="52">
        <f ca="1">Log_2018[[#This Row],[Amount]]/Log_2018[[#This Row],[Split_raw]]*MAX(0,MIN(_xlfn.DAYS(EDATE(Y$1,1),Log_2018[[#This Row],[Date]]),Log_2018[[#This Row],[Split_apply]])) - SUM($O141:X141)</f>
        <v>-34.200000000000003</v>
      </c>
      <c r="Z141" s="52">
        <f ca="1">Log_2018[[#This Row],[Amount]]/Log_2018[[#This Row],[Split_raw]]*MAX(0,MIN(_xlfn.DAYS(EDATE(Z$1,1),Log_2018[[#This Row],[Date]]),Log_2018[[#This Row],[Split_apply]])) - SUM($O141:Y141)</f>
        <v>0</v>
      </c>
      <c r="AA141" s="52">
        <f ca="1">Log_2018[[#This Row],[Amount]]/Log_2018[[#This Row],[Split_raw]]*MAX(0,MIN(_xlfn.DAYS(EDATE(AA$1,1),Log_2018[[#This Row],[Date]]),Log_2018[[#This Row],[Split_apply]])) - SUM($O141:Z141)</f>
        <v>0</v>
      </c>
      <c r="AB141" s="54">
        <f ca="1">Log_2018[[#This Row],[Amount]]-SUM(O141:AA141)</f>
        <v>0</v>
      </c>
      <c r="AC141" s="7">
        <f ca="1">MAX(0,Log_2018[[#This Row],[Split_apply]] - (EDATE(AA$1,1)-Log_2018[[#This Row],[Date]]))</f>
        <v>0</v>
      </c>
    </row>
    <row r="142" spans="1:29" hidden="1" x14ac:dyDescent="0.25">
      <c r="A142" s="115"/>
      <c r="B142" t="s">
        <v>6</v>
      </c>
      <c r="D142" s="26">
        <v>43403</v>
      </c>
      <c r="F142" t="s">
        <v>105</v>
      </c>
      <c r="G142" t="s">
        <v>104</v>
      </c>
      <c r="H142" s="3">
        <f>--605.88</f>
        <v>605.88</v>
      </c>
      <c r="I142" s="36">
        <f>IF(Log_2018[[#This Row],[My Category]]="NONTRACKED",0,Log_2018[[#This Row],[Raw Amount]])</f>
        <v>605.88</v>
      </c>
      <c r="J142" s="17">
        <f>ABS(Log_2018[[#This Row],[Amount]])</f>
        <v>605.88</v>
      </c>
      <c r="K142" s="66">
        <v>1</v>
      </c>
      <c r="L142" s="66">
        <f ca="1">IF(Log_2018[[#This Row],[Date]]&lt;=TODAY(), MIN(Log_2018[[#This Row],[Split_raw]], TODAY()-Log_2018[[#This Row],[Date]]+1), 0)</f>
        <v>1</v>
      </c>
      <c r="M142" t="s">
        <v>159</v>
      </c>
      <c r="N142" t="s">
        <v>158</v>
      </c>
      <c r="O142" s="50">
        <v>0</v>
      </c>
      <c r="P142" s="52">
        <f ca="1">Log_2018[[#This Row],[Amount]]/Log_2018[[#This Row],[Split_raw]]*MAX(0,MIN(_xlfn.DAYS(EDATE(P$1,1),Log_2018[[#This Row],[Date]]),Log_2018[[#This Row],[Split_apply]])) - SUM($O142:O142)</f>
        <v>0</v>
      </c>
      <c r="Q142" s="52">
        <f ca="1">Log_2018[[#This Row],[Amount]]/Log_2018[[#This Row],[Split_raw]]*MAX(0,MIN(_xlfn.DAYS(EDATE(Q$1,1),Log_2018[[#This Row],[Date]]),Log_2018[[#This Row],[Split_apply]])) - SUM($O142:P142)</f>
        <v>0</v>
      </c>
      <c r="R142" s="52">
        <f ca="1">Log_2018[[#This Row],[Amount]]/Log_2018[[#This Row],[Split_raw]]*MAX(0,MIN(_xlfn.DAYS(EDATE(R$1,1),Log_2018[[#This Row],[Date]]),Log_2018[[#This Row],[Split_apply]])) - SUM($O142:Q142)</f>
        <v>0</v>
      </c>
      <c r="S142" s="52">
        <f ca="1">Log_2018[[#This Row],[Amount]]/Log_2018[[#This Row],[Split_raw]]*MAX(0,MIN(_xlfn.DAYS(EDATE(S$1,1),Log_2018[[#This Row],[Date]]),Log_2018[[#This Row],[Split_apply]])) - SUM($O142:R142)</f>
        <v>0</v>
      </c>
      <c r="T142" s="52">
        <f ca="1">Log_2018[[#This Row],[Amount]]/Log_2018[[#This Row],[Split_raw]]*MAX(0,MIN(_xlfn.DAYS(EDATE(T$1,1),Log_2018[[#This Row],[Date]]),Log_2018[[#This Row],[Split_apply]])) - SUM($O142:S142)</f>
        <v>0</v>
      </c>
      <c r="U142" s="52">
        <f ca="1">Log_2018[[#This Row],[Amount]]/Log_2018[[#This Row],[Split_raw]]*MAX(0,MIN(_xlfn.DAYS(EDATE(U$1,1),Log_2018[[#This Row],[Date]]),Log_2018[[#This Row],[Split_apply]])) - SUM($O142:T142)</f>
        <v>0</v>
      </c>
      <c r="V142" s="52">
        <f ca="1">Log_2018[[#This Row],[Amount]]/Log_2018[[#This Row],[Split_raw]]*MAX(0,MIN(_xlfn.DAYS(EDATE(V$1,1),Log_2018[[#This Row],[Date]]),Log_2018[[#This Row],[Split_apply]])) - SUM($O142:U142)</f>
        <v>0</v>
      </c>
      <c r="W142" s="52">
        <f ca="1">Log_2018[[#This Row],[Amount]]/Log_2018[[#This Row],[Split_raw]]*MAX(0,MIN(_xlfn.DAYS(EDATE(W$1,1),Log_2018[[#This Row],[Date]]),Log_2018[[#This Row],[Split_apply]])) - SUM($O142:V142)</f>
        <v>0</v>
      </c>
      <c r="X142" s="52">
        <f ca="1">Log_2018[[#This Row],[Amount]]/Log_2018[[#This Row],[Split_raw]]*MAX(0,MIN(_xlfn.DAYS(EDATE(X$1,1),Log_2018[[#This Row],[Date]]),Log_2018[[#This Row],[Split_apply]])) - SUM($O142:W142)</f>
        <v>0</v>
      </c>
      <c r="Y142" s="52">
        <f ca="1">Log_2018[[#This Row],[Amount]]/Log_2018[[#This Row],[Split_raw]]*MAX(0,MIN(_xlfn.DAYS(EDATE(Y$1,1),Log_2018[[#This Row],[Date]]),Log_2018[[#This Row],[Split_apply]])) - SUM($O142:X142)</f>
        <v>605.88</v>
      </c>
      <c r="Z142" s="52">
        <f ca="1">Log_2018[[#This Row],[Amount]]/Log_2018[[#This Row],[Split_raw]]*MAX(0,MIN(_xlfn.DAYS(EDATE(Z$1,1),Log_2018[[#This Row],[Date]]),Log_2018[[#This Row],[Split_apply]])) - SUM($O142:Y142)</f>
        <v>0</v>
      </c>
      <c r="AA142" s="52">
        <f ca="1">Log_2018[[#This Row],[Amount]]/Log_2018[[#This Row],[Split_raw]]*MAX(0,MIN(_xlfn.DAYS(EDATE(AA$1,1),Log_2018[[#This Row],[Date]]),Log_2018[[#This Row],[Split_apply]])) - SUM($O142:Z142)</f>
        <v>0</v>
      </c>
      <c r="AB142" s="54">
        <f ca="1">Log_2018[[#This Row],[Amount]]-SUM(O142:AA142)</f>
        <v>0</v>
      </c>
      <c r="AC142" s="7">
        <f ca="1">MAX(0,Log_2018[[#This Row],[Split_apply]] - (EDATE(AA$1,1)-Log_2018[[#This Row],[Date]]))</f>
        <v>0</v>
      </c>
    </row>
    <row r="143" spans="1:29" hidden="1" x14ac:dyDescent="0.25">
      <c r="A143" s="115"/>
      <c r="B143" t="s">
        <v>6</v>
      </c>
      <c r="D143" s="26">
        <v>43403</v>
      </c>
      <c r="F143" t="s">
        <v>404</v>
      </c>
      <c r="G143" t="s">
        <v>25</v>
      </c>
      <c r="H143" s="3">
        <v>-12.98</v>
      </c>
      <c r="I143" s="36">
        <f>IF(Log_2018[[#This Row],[My Category]]="NONTRACKED",0,Log_2018[[#This Row],[Raw Amount]])</f>
        <v>-12.98</v>
      </c>
      <c r="J143" s="17">
        <f>ABS(Log_2018[[#This Row],[Amount]])</f>
        <v>12.98</v>
      </c>
      <c r="K143" s="66">
        <v>1</v>
      </c>
      <c r="L143" s="66">
        <f ca="1">IF(Log_2018[[#This Row],[Date]]&lt;=TODAY(), MIN(Log_2018[[#This Row],[Split_raw]], TODAY()-Log_2018[[#This Row],[Date]]+1), 0)</f>
        <v>1</v>
      </c>
      <c r="M143" t="s">
        <v>41</v>
      </c>
      <c r="N143" t="s">
        <v>158</v>
      </c>
      <c r="O143" s="50">
        <v>0</v>
      </c>
      <c r="P143" s="52">
        <f ca="1">Log_2018[[#This Row],[Amount]]/Log_2018[[#This Row],[Split_raw]]*MAX(0,MIN(_xlfn.DAYS(EDATE(P$1,1),Log_2018[[#This Row],[Date]]),Log_2018[[#This Row],[Split_apply]])) - SUM($O143:O143)</f>
        <v>0</v>
      </c>
      <c r="Q143" s="52">
        <f ca="1">Log_2018[[#This Row],[Amount]]/Log_2018[[#This Row],[Split_raw]]*MAX(0,MIN(_xlfn.DAYS(EDATE(Q$1,1),Log_2018[[#This Row],[Date]]),Log_2018[[#This Row],[Split_apply]])) - SUM($O143:P143)</f>
        <v>0</v>
      </c>
      <c r="R143" s="52">
        <f ca="1">Log_2018[[#This Row],[Amount]]/Log_2018[[#This Row],[Split_raw]]*MAX(0,MIN(_xlfn.DAYS(EDATE(R$1,1),Log_2018[[#This Row],[Date]]),Log_2018[[#This Row],[Split_apply]])) - SUM($O143:Q143)</f>
        <v>0</v>
      </c>
      <c r="S143" s="52">
        <f ca="1">Log_2018[[#This Row],[Amount]]/Log_2018[[#This Row],[Split_raw]]*MAX(0,MIN(_xlfn.DAYS(EDATE(S$1,1),Log_2018[[#This Row],[Date]]),Log_2018[[#This Row],[Split_apply]])) - SUM($O143:R143)</f>
        <v>0</v>
      </c>
      <c r="T143" s="52">
        <f ca="1">Log_2018[[#This Row],[Amount]]/Log_2018[[#This Row],[Split_raw]]*MAX(0,MIN(_xlfn.DAYS(EDATE(T$1,1),Log_2018[[#This Row],[Date]]),Log_2018[[#This Row],[Split_apply]])) - SUM($O143:S143)</f>
        <v>0</v>
      </c>
      <c r="U143" s="52">
        <f ca="1">Log_2018[[#This Row],[Amount]]/Log_2018[[#This Row],[Split_raw]]*MAX(0,MIN(_xlfn.DAYS(EDATE(U$1,1),Log_2018[[#This Row],[Date]]),Log_2018[[#This Row],[Split_apply]])) - SUM($O143:T143)</f>
        <v>0</v>
      </c>
      <c r="V143" s="52">
        <f ca="1">Log_2018[[#This Row],[Amount]]/Log_2018[[#This Row],[Split_raw]]*MAX(0,MIN(_xlfn.DAYS(EDATE(V$1,1),Log_2018[[#This Row],[Date]]),Log_2018[[#This Row],[Split_apply]])) - SUM($O143:U143)</f>
        <v>0</v>
      </c>
      <c r="W143" s="52">
        <f ca="1">Log_2018[[#This Row],[Amount]]/Log_2018[[#This Row],[Split_raw]]*MAX(0,MIN(_xlfn.DAYS(EDATE(W$1,1),Log_2018[[#This Row],[Date]]),Log_2018[[#This Row],[Split_apply]])) - SUM($O143:V143)</f>
        <v>0</v>
      </c>
      <c r="X143" s="52">
        <f ca="1">Log_2018[[#This Row],[Amount]]/Log_2018[[#This Row],[Split_raw]]*MAX(0,MIN(_xlfn.DAYS(EDATE(X$1,1),Log_2018[[#This Row],[Date]]),Log_2018[[#This Row],[Split_apply]])) - SUM($O143:W143)</f>
        <v>0</v>
      </c>
      <c r="Y143" s="52">
        <f ca="1">Log_2018[[#This Row],[Amount]]/Log_2018[[#This Row],[Split_raw]]*MAX(0,MIN(_xlfn.DAYS(EDATE(Y$1,1),Log_2018[[#This Row],[Date]]),Log_2018[[#This Row],[Split_apply]])) - SUM($O143:X143)</f>
        <v>-12.98</v>
      </c>
      <c r="Z143" s="52">
        <f ca="1">Log_2018[[#This Row],[Amount]]/Log_2018[[#This Row],[Split_raw]]*MAX(0,MIN(_xlfn.DAYS(EDATE(Z$1,1),Log_2018[[#This Row],[Date]]),Log_2018[[#This Row],[Split_apply]])) - SUM($O143:Y143)</f>
        <v>0</v>
      </c>
      <c r="AA143" s="52">
        <f ca="1">Log_2018[[#This Row],[Amount]]/Log_2018[[#This Row],[Split_raw]]*MAX(0,MIN(_xlfn.DAYS(EDATE(AA$1,1),Log_2018[[#This Row],[Date]]),Log_2018[[#This Row],[Split_apply]])) - SUM($O143:Z143)</f>
        <v>0</v>
      </c>
      <c r="AB143" s="54">
        <f ca="1">Log_2018[[#This Row],[Amount]]-SUM(O143:AA143)</f>
        <v>0</v>
      </c>
      <c r="AC143" s="7">
        <f ca="1">MAX(0,Log_2018[[#This Row],[Split_apply]] - (EDATE(AA$1,1)-Log_2018[[#This Row],[Date]]))</f>
        <v>0</v>
      </c>
    </row>
    <row r="144" spans="1:29" hidden="1" x14ac:dyDescent="0.25">
      <c r="A144" s="115"/>
      <c r="B144" t="s">
        <v>6</v>
      </c>
      <c r="D144" s="26">
        <v>43403</v>
      </c>
      <c r="F144" t="s">
        <v>16</v>
      </c>
      <c r="G144" t="s">
        <v>17</v>
      </c>
      <c r="H144" s="3">
        <f>--0.16</f>
        <v>0.16</v>
      </c>
      <c r="I144" s="36">
        <f>IF(Log_2018[[#This Row],[My Category]]="NONTRACKED",0,Log_2018[[#This Row],[Raw Amount]])</f>
        <v>0.16</v>
      </c>
      <c r="J144" s="17">
        <f>ABS(Log_2018[[#This Row],[Amount]])</f>
        <v>0.16</v>
      </c>
      <c r="K144" s="66">
        <v>1</v>
      </c>
      <c r="L144" s="66">
        <f ca="1">IF(Log_2018[[#This Row],[Date]]&lt;=TODAY(), MIN(Log_2018[[#This Row],[Split_raw]], TODAY()-Log_2018[[#This Row],[Date]]+1), 0)</f>
        <v>1</v>
      </c>
      <c r="M144" t="s">
        <v>144</v>
      </c>
      <c r="N144" t="s">
        <v>160</v>
      </c>
      <c r="O144" s="50">
        <v>0</v>
      </c>
      <c r="P144" s="52">
        <f ca="1">Log_2018[[#This Row],[Amount]]/Log_2018[[#This Row],[Split_raw]]*MAX(0,MIN(_xlfn.DAYS(EDATE(P$1,1),Log_2018[[#This Row],[Date]]),Log_2018[[#This Row],[Split_apply]])) - SUM($O144:O144)</f>
        <v>0</v>
      </c>
      <c r="Q144" s="52">
        <f ca="1">Log_2018[[#This Row],[Amount]]/Log_2018[[#This Row],[Split_raw]]*MAX(0,MIN(_xlfn.DAYS(EDATE(Q$1,1),Log_2018[[#This Row],[Date]]),Log_2018[[#This Row],[Split_apply]])) - SUM($O144:P144)</f>
        <v>0</v>
      </c>
      <c r="R144" s="52">
        <f ca="1">Log_2018[[#This Row],[Amount]]/Log_2018[[#This Row],[Split_raw]]*MAX(0,MIN(_xlfn.DAYS(EDATE(R$1,1),Log_2018[[#This Row],[Date]]),Log_2018[[#This Row],[Split_apply]])) - SUM($O144:Q144)</f>
        <v>0</v>
      </c>
      <c r="S144" s="52">
        <f ca="1">Log_2018[[#This Row],[Amount]]/Log_2018[[#This Row],[Split_raw]]*MAX(0,MIN(_xlfn.DAYS(EDATE(S$1,1),Log_2018[[#This Row],[Date]]),Log_2018[[#This Row],[Split_apply]])) - SUM($O144:R144)</f>
        <v>0</v>
      </c>
      <c r="T144" s="52">
        <f ca="1">Log_2018[[#This Row],[Amount]]/Log_2018[[#This Row],[Split_raw]]*MAX(0,MIN(_xlfn.DAYS(EDATE(T$1,1),Log_2018[[#This Row],[Date]]),Log_2018[[#This Row],[Split_apply]])) - SUM($O144:S144)</f>
        <v>0</v>
      </c>
      <c r="U144" s="52">
        <f ca="1">Log_2018[[#This Row],[Amount]]/Log_2018[[#This Row],[Split_raw]]*MAX(0,MIN(_xlfn.DAYS(EDATE(U$1,1),Log_2018[[#This Row],[Date]]),Log_2018[[#This Row],[Split_apply]])) - SUM($O144:T144)</f>
        <v>0</v>
      </c>
      <c r="V144" s="52">
        <f ca="1">Log_2018[[#This Row],[Amount]]/Log_2018[[#This Row],[Split_raw]]*MAX(0,MIN(_xlfn.DAYS(EDATE(V$1,1),Log_2018[[#This Row],[Date]]),Log_2018[[#This Row],[Split_apply]])) - SUM($O144:U144)</f>
        <v>0</v>
      </c>
      <c r="W144" s="52">
        <f ca="1">Log_2018[[#This Row],[Amount]]/Log_2018[[#This Row],[Split_raw]]*MAX(0,MIN(_xlfn.DAYS(EDATE(W$1,1),Log_2018[[#This Row],[Date]]),Log_2018[[#This Row],[Split_apply]])) - SUM($O144:V144)</f>
        <v>0</v>
      </c>
      <c r="X144" s="52">
        <f ca="1">Log_2018[[#This Row],[Amount]]/Log_2018[[#This Row],[Split_raw]]*MAX(0,MIN(_xlfn.DAYS(EDATE(X$1,1),Log_2018[[#This Row],[Date]]),Log_2018[[#This Row],[Split_apply]])) - SUM($O144:W144)</f>
        <v>0</v>
      </c>
      <c r="Y144" s="52">
        <f ca="1">Log_2018[[#This Row],[Amount]]/Log_2018[[#This Row],[Split_raw]]*MAX(0,MIN(_xlfn.DAYS(EDATE(Y$1,1),Log_2018[[#This Row],[Date]]),Log_2018[[#This Row],[Split_apply]])) - SUM($O144:X144)</f>
        <v>0.16</v>
      </c>
      <c r="Z144" s="52">
        <f ca="1">Log_2018[[#This Row],[Amount]]/Log_2018[[#This Row],[Split_raw]]*MAX(0,MIN(_xlfn.DAYS(EDATE(Z$1,1),Log_2018[[#This Row],[Date]]),Log_2018[[#This Row],[Split_apply]])) - SUM($O144:Y144)</f>
        <v>0</v>
      </c>
      <c r="AA144" s="52">
        <f ca="1">Log_2018[[#This Row],[Amount]]/Log_2018[[#This Row],[Split_raw]]*MAX(0,MIN(_xlfn.DAYS(EDATE(AA$1,1),Log_2018[[#This Row],[Date]]),Log_2018[[#This Row],[Split_apply]])) - SUM($O144:Z144)</f>
        <v>0</v>
      </c>
      <c r="AB144" s="54">
        <f ca="1">Log_2018[[#This Row],[Amount]]-SUM(O144:AA144)</f>
        <v>0</v>
      </c>
      <c r="AC144" s="7">
        <f ca="1">MAX(0,Log_2018[[#This Row],[Split_apply]] - (EDATE(AA$1,1)-Log_2018[[#This Row],[Date]]))</f>
        <v>0</v>
      </c>
    </row>
    <row r="145" spans="1:29" hidden="1" x14ac:dyDescent="0.25">
      <c r="A145" s="115"/>
      <c r="B145" t="s">
        <v>6</v>
      </c>
      <c r="D145" s="26">
        <v>43403</v>
      </c>
      <c r="F145" t="s">
        <v>23</v>
      </c>
      <c r="G145" t="s">
        <v>24</v>
      </c>
      <c r="H145" s="3">
        <f>--3</f>
        <v>3</v>
      </c>
      <c r="I145" s="36">
        <f>IF(Log_2018[[#This Row],[My Category]]="NONTRACKED",0,Log_2018[[#This Row],[Raw Amount]])</f>
        <v>3</v>
      </c>
      <c r="J145" s="17">
        <f>ABS(Log_2018[[#This Row],[Amount]])</f>
        <v>3</v>
      </c>
      <c r="K145" s="66">
        <v>1</v>
      </c>
      <c r="L145" s="66">
        <f ca="1">IF(Log_2018[[#This Row],[Date]]&lt;=TODAY(), MIN(Log_2018[[#This Row],[Split_raw]], TODAY()-Log_2018[[#This Row],[Date]]+1), 0)</f>
        <v>1</v>
      </c>
      <c r="M145" t="s">
        <v>196</v>
      </c>
      <c r="N145" t="s">
        <v>160</v>
      </c>
      <c r="O145" s="50">
        <v>0</v>
      </c>
      <c r="P145" s="52">
        <f ca="1">Log_2018[[#This Row],[Amount]]/Log_2018[[#This Row],[Split_raw]]*MAX(0,MIN(_xlfn.DAYS(EDATE(P$1,1),Log_2018[[#This Row],[Date]]),Log_2018[[#This Row],[Split_apply]])) - SUM($O145:O145)</f>
        <v>0</v>
      </c>
      <c r="Q145" s="52">
        <f ca="1">Log_2018[[#This Row],[Amount]]/Log_2018[[#This Row],[Split_raw]]*MAX(0,MIN(_xlfn.DAYS(EDATE(Q$1,1),Log_2018[[#This Row],[Date]]),Log_2018[[#This Row],[Split_apply]])) - SUM($O145:P145)</f>
        <v>0</v>
      </c>
      <c r="R145" s="52">
        <f ca="1">Log_2018[[#This Row],[Amount]]/Log_2018[[#This Row],[Split_raw]]*MAX(0,MIN(_xlfn.DAYS(EDATE(R$1,1),Log_2018[[#This Row],[Date]]),Log_2018[[#This Row],[Split_apply]])) - SUM($O145:Q145)</f>
        <v>0</v>
      </c>
      <c r="S145" s="52">
        <f ca="1">Log_2018[[#This Row],[Amount]]/Log_2018[[#This Row],[Split_raw]]*MAX(0,MIN(_xlfn.DAYS(EDATE(S$1,1),Log_2018[[#This Row],[Date]]),Log_2018[[#This Row],[Split_apply]])) - SUM($O145:R145)</f>
        <v>0</v>
      </c>
      <c r="T145" s="52">
        <f ca="1">Log_2018[[#This Row],[Amount]]/Log_2018[[#This Row],[Split_raw]]*MAX(0,MIN(_xlfn.DAYS(EDATE(T$1,1),Log_2018[[#This Row],[Date]]),Log_2018[[#This Row],[Split_apply]])) - SUM($O145:S145)</f>
        <v>0</v>
      </c>
      <c r="U145" s="52">
        <f ca="1">Log_2018[[#This Row],[Amount]]/Log_2018[[#This Row],[Split_raw]]*MAX(0,MIN(_xlfn.DAYS(EDATE(U$1,1),Log_2018[[#This Row],[Date]]),Log_2018[[#This Row],[Split_apply]])) - SUM($O145:T145)</f>
        <v>0</v>
      </c>
      <c r="V145" s="52">
        <f ca="1">Log_2018[[#This Row],[Amount]]/Log_2018[[#This Row],[Split_raw]]*MAX(0,MIN(_xlfn.DAYS(EDATE(V$1,1),Log_2018[[#This Row],[Date]]),Log_2018[[#This Row],[Split_apply]])) - SUM($O145:U145)</f>
        <v>0</v>
      </c>
      <c r="W145" s="52">
        <f ca="1">Log_2018[[#This Row],[Amount]]/Log_2018[[#This Row],[Split_raw]]*MAX(0,MIN(_xlfn.DAYS(EDATE(W$1,1),Log_2018[[#This Row],[Date]]),Log_2018[[#This Row],[Split_apply]])) - SUM($O145:V145)</f>
        <v>0</v>
      </c>
      <c r="X145" s="52">
        <f ca="1">Log_2018[[#This Row],[Amount]]/Log_2018[[#This Row],[Split_raw]]*MAX(0,MIN(_xlfn.DAYS(EDATE(X$1,1),Log_2018[[#This Row],[Date]]),Log_2018[[#This Row],[Split_apply]])) - SUM($O145:W145)</f>
        <v>0</v>
      </c>
      <c r="Y145" s="52">
        <f ca="1">Log_2018[[#This Row],[Amount]]/Log_2018[[#This Row],[Split_raw]]*MAX(0,MIN(_xlfn.DAYS(EDATE(Y$1,1),Log_2018[[#This Row],[Date]]),Log_2018[[#This Row],[Split_apply]])) - SUM($O145:X145)</f>
        <v>3</v>
      </c>
      <c r="Z145" s="52">
        <f ca="1">Log_2018[[#This Row],[Amount]]/Log_2018[[#This Row],[Split_raw]]*MAX(0,MIN(_xlfn.DAYS(EDATE(Z$1,1),Log_2018[[#This Row],[Date]]),Log_2018[[#This Row],[Split_apply]])) - SUM($O145:Y145)</f>
        <v>0</v>
      </c>
      <c r="AA145" s="52">
        <f ca="1">Log_2018[[#This Row],[Amount]]/Log_2018[[#This Row],[Split_raw]]*MAX(0,MIN(_xlfn.DAYS(EDATE(AA$1,1),Log_2018[[#This Row],[Date]]),Log_2018[[#This Row],[Split_apply]])) - SUM($O145:Z145)</f>
        <v>0</v>
      </c>
      <c r="AB145" s="54">
        <f ca="1">Log_2018[[#This Row],[Amount]]-SUM(O145:AA145)</f>
        <v>0</v>
      </c>
      <c r="AC145" s="7">
        <f ca="1">MAX(0,Log_2018[[#This Row],[Split_apply]] - (EDATE(AA$1,1)-Log_2018[[#This Row],[Date]]))</f>
        <v>0</v>
      </c>
    </row>
    <row r="146" spans="1:29" hidden="1" x14ac:dyDescent="0.25">
      <c r="A146" s="115"/>
      <c r="B146" t="s">
        <v>490</v>
      </c>
      <c r="C146" s="30">
        <v>2.60193305010739E+18</v>
      </c>
      <c r="D146" s="26">
        <v>43403</v>
      </c>
      <c r="F146" t="s">
        <v>508</v>
      </c>
      <c r="H146" s="3">
        <v>17</v>
      </c>
      <c r="I146" s="36">
        <f>IF(Log_2018[[#This Row],[My Category]]="NONTRACKED",0,Log_2018[[#This Row],[Raw Amount]])</f>
        <v>17</v>
      </c>
      <c r="J146" s="17">
        <f>ABS(Log_2018[[#This Row],[Amount]])</f>
        <v>17</v>
      </c>
      <c r="K146" s="66">
        <v>1</v>
      </c>
      <c r="L146" s="66">
        <f ca="1">IF(Log_2018[[#This Row],[Date]]&lt;=TODAY(), MIN(Log_2018[[#This Row],[Split_raw]], TODAY()-Log_2018[[#This Row],[Date]]+1), 0)</f>
        <v>1</v>
      </c>
      <c r="M146" t="s">
        <v>37</v>
      </c>
      <c r="N146" t="s">
        <v>489</v>
      </c>
      <c r="O146" s="50">
        <v>0</v>
      </c>
      <c r="P146" s="52">
        <f ca="1">Log_2018[[#This Row],[Amount]]/Log_2018[[#This Row],[Split_raw]]*MAX(0,MIN(_xlfn.DAYS(EDATE(P$1,1),Log_2018[[#This Row],[Date]]),Log_2018[[#This Row],[Split_apply]])) - SUM($O146:O146)</f>
        <v>0</v>
      </c>
      <c r="Q146" s="52">
        <f ca="1">Log_2018[[#This Row],[Amount]]/Log_2018[[#This Row],[Split_raw]]*MAX(0,MIN(_xlfn.DAYS(EDATE(Q$1,1),Log_2018[[#This Row],[Date]]),Log_2018[[#This Row],[Split_apply]])) - SUM($O146:P146)</f>
        <v>0</v>
      </c>
      <c r="R146" s="52">
        <f ca="1">Log_2018[[#This Row],[Amount]]/Log_2018[[#This Row],[Split_raw]]*MAX(0,MIN(_xlfn.DAYS(EDATE(R$1,1),Log_2018[[#This Row],[Date]]),Log_2018[[#This Row],[Split_apply]])) - SUM($O146:Q146)</f>
        <v>0</v>
      </c>
      <c r="S146" s="52">
        <f ca="1">Log_2018[[#This Row],[Amount]]/Log_2018[[#This Row],[Split_raw]]*MAX(0,MIN(_xlfn.DAYS(EDATE(S$1,1),Log_2018[[#This Row],[Date]]),Log_2018[[#This Row],[Split_apply]])) - SUM($O146:R146)</f>
        <v>0</v>
      </c>
      <c r="T146" s="52">
        <f ca="1">Log_2018[[#This Row],[Amount]]/Log_2018[[#This Row],[Split_raw]]*MAX(0,MIN(_xlfn.DAYS(EDATE(T$1,1),Log_2018[[#This Row],[Date]]),Log_2018[[#This Row],[Split_apply]])) - SUM($O146:S146)</f>
        <v>0</v>
      </c>
      <c r="U146" s="52">
        <f ca="1">Log_2018[[#This Row],[Amount]]/Log_2018[[#This Row],[Split_raw]]*MAX(0,MIN(_xlfn.DAYS(EDATE(U$1,1),Log_2018[[#This Row],[Date]]),Log_2018[[#This Row],[Split_apply]])) - SUM($O146:T146)</f>
        <v>0</v>
      </c>
      <c r="V146" s="52">
        <f ca="1">Log_2018[[#This Row],[Amount]]/Log_2018[[#This Row],[Split_raw]]*MAX(0,MIN(_xlfn.DAYS(EDATE(V$1,1),Log_2018[[#This Row],[Date]]),Log_2018[[#This Row],[Split_apply]])) - SUM($O146:U146)</f>
        <v>0</v>
      </c>
      <c r="W146" s="52">
        <f ca="1">Log_2018[[#This Row],[Amount]]/Log_2018[[#This Row],[Split_raw]]*MAX(0,MIN(_xlfn.DAYS(EDATE(W$1,1),Log_2018[[#This Row],[Date]]),Log_2018[[#This Row],[Split_apply]])) - SUM($O146:V146)</f>
        <v>0</v>
      </c>
      <c r="X146" s="52">
        <f ca="1">Log_2018[[#This Row],[Amount]]/Log_2018[[#This Row],[Split_raw]]*MAX(0,MIN(_xlfn.DAYS(EDATE(X$1,1),Log_2018[[#This Row],[Date]]),Log_2018[[#This Row],[Split_apply]])) - SUM($O146:W146)</f>
        <v>0</v>
      </c>
      <c r="Y146" s="52">
        <f ca="1">Log_2018[[#This Row],[Amount]]/Log_2018[[#This Row],[Split_raw]]*MAX(0,MIN(_xlfn.DAYS(EDATE(Y$1,1),Log_2018[[#This Row],[Date]]),Log_2018[[#This Row],[Split_apply]])) - SUM($O146:X146)</f>
        <v>17</v>
      </c>
      <c r="Z146" s="52">
        <f ca="1">Log_2018[[#This Row],[Amount]]/Log_2018[[#This Row],[Split_raw]]*MAX(0,MIN(_xlfn.DAYS(EDATE(Z$1,1),Log_2018[[#This Row],[Date]]),Log_2018[[#This Row],[Split_apply]])) - SUM($O146:Y146)</f>
        <v>0</v>
      </c>
      <c r="AA146" s="52">
        <f ca="1">Log_2018[[#This Row],[Amount]]/Log_2018[[#This Row],[Split_raw]]*MAX(0,MIN(_xlfn.DAYS(EDATE(AA$1,1),Log_2018[[#This Row],[Date]]),Log_2018[[#This Row],[Split_apply]])) - SUM($O146:Z146)</f>
        <v>0</v>
      </c>
      <c r="AB146" s="54">
        <f ca="1">Log_2018[[#This Row],[Amount]]-SUM(O146:AA146)</f>
        <v>0</v>
      </c>
      <c r="AC146" s="7">
        <f ca="1">MAX(0,Log_2018[[#This Row],[Split_apply]] - (EDATE(AA$1,1)-Log_2018[[#This Row],[Date]]))</f>
        <v>0</v>
      </c>
    </row>
    <row r="147" spans="1:29" hidden="1" x14ac:dyDescent="0.25">
      <c r="A147" s="115"/>
      <c r="B147" t="s">
        <v>6</v>
      </c>
      <c r="D147" s="26">
        <v>43403</v>
      </c>
      <c r="F147" t="s">
        <v>138</v>
      </c>
      <c r="G147" t="s">
        <v>104</v>
      </c>
      <c r="H147" s="3">
        <v>-605.88</v>
      </c>
      <c r="I147" s="36">
        <f>IF(Log_2018[[#This Row],[My Category]]="NONTRACKED",0,Log_2018[[#This Row],[Raw Amount]])</f>
        <v>-605.88</v>
      </c>
      <c r="J147" s="17">
        <f>ABS(Log_2018[[#This Row],[Amount]])</f>
        <v>605.88</v>
      </c>
      <c r="K147" s="66">
        <v>1</v>
      </c>
      <c r="L147" s="66">
        <f ca="1">IF(Log_2018[[#This Row],[Date]]&lt;=TODAY(), MIN(Log_2018[[#This Row],[Split_raw]], TODAY()-Log_2018[[#This Row],[Date]]+1), 0)</f>
        <v>1</v>
      </c>
      <c r="M147" t="s">
        <v>159</v>
      </c>
      <c r="N147" t="s">
        <v>160</v>
      </c>
      <c r="O147" s="50">
        <v>0</v>
      </c>
      <c r="P147" s="52">
        <f ca="1">Log_2018[[#This Row],[Amount]]/Log_2018[[#This Row],[Split_raw]]*MAX(0,MIN(_xlfn.DAYS(EDATE(P$1,1),Log_2018[[#This Row],[Date]]),Log_2018[[#This Row],[Split_apply]])) - SUM($O147:O147)</f>
        <v>0</v>
      </c>
      <c r="Q147" s="52">
        <f ca="1">Log_2018[[#This Row],[Amount]]/Log_2018[[#This Row],[Split_raw]]*MAX(0,MIN(_xlfn.DAYS(EDATE(Q$1,1),Log_2018[[#This Row],[Date]]),Log_2018[[#This Row],[Split_apply]])) - SUM($O147:P147)</f>
        <v>0</v>
      </c>
      <c r="R147" s="52">
        <f ca="1">Log_2018[[#This Row],[Amount]]/Log_2018[[#This Row],[Split_raw]]*MAX(0,MIN(_xlfn.DAYS(EDATE(R$1,1),Log_2018[[#This Row],[Date]]),Log_2018[[#This Row],[Split_apply]])) - SUM($O147:Q147)</f>
        <v>0</v>
      </c>
      <c r="S147" s="52">
        <f ca="1">Log_2018[[#This Row],[Amount]]/Log_2018[[#This Row],[Split_raw]]*MAX(0,MIN(_xlfn.DAYS(EDATE(S$1,1),Log_2018[[#This Row],[Date]]),Log_2018[[#This Row],[Split_apply]])) - SUM($O147:R147)</f>
        <v>0</v>
      </c>
      <c r="T147" s="52">
        <f ca="1">Log_2018[[#This Row],[Amount]]/Log_2018[[#This Row],[Split_raw]]*MAX(0,MIN(_xlfn.DAYS(EDATE(T$1,1),Log_2018[[#This Row],[Date]]),Log_2018[[#This Row],[Split_apply]])) - SUM($O147:S147)</f>
        <v>0</v>
      </c>
      <c r="U147" s="52">
        <f ca="1">Log_2018[[#This Row],[Amount]]/Log_2018[[#This Row],[Split_raw]]*MAX(0,MIN(_xlfn.DAYS(EDATE(U$1,1),Log_2018[[#This Row],[Date]]),Log_2018[[#This Row],[Split_apply]])) - SUM($O147:T147)</f>
        <v>0</v>
      </c>
      <c r="V147" s="52">
        <f ca="1">Log_2018[[#This Row],[Amount]]/Log_2018[[#This Row],[Split_raw]]*MAX(0,MIN(_xlfn.DAYS(EDATE(V$1,1),Log_2018[[#This Row],[Date]]),Log_2018[[#This Row],[Split_apply]])) - SUM($O147:U147)</f>
        <v>0</v>
      </c>
      <c r="W147" s="52">
        <f ca="1">Log_2018[[#This Row],[Amount]]/Log_2018[[#This Row],[Split_raw]]*MAX(0,MIN(_xlfn.DAYS(EDATE(W$1,1),Log_2018[[#This Row],[Date]]),Log_2018[[#This Row],[Split_apply]])) - SUM($O147:V147)</f>
        <v>0</v>
      </c>
      <c r="X147" s="52">
        <f ca="1">Log_2018[[#This Row],[Amount]]/Log_2018[[#This Row],[Split_raw]]*MAX(0,MIN(_xlfn.DAYS(EDATE(X$1,1),Log_2018[[#This Row],[Date]]),Log_2018[[#This Row],[Split_apply]])) - SUM($O147:W147)</f>
        <v>0</v>
      </c>
      <c r="Y147" s="52">
        <f ca="1">Log_2018[[#This Row],[Amount]]/Log_2018[[#This Row],[Split_raw]]*MAX(0,MIN(_xlfn.DAYS(EDATE(Y$1,1),Log_2018[[#This Row],[Date]]),Log_2018[[#This Row],[Split_apply]])) - SUM($O147:X147)</f>
        <v>-605.88</v>
      </c>
      <c r="Z147" s="52">
        <f ca="1">Log_2018[[#This Row],[Amount]]/Log_2018[[#This Row],[Split_raw]]*MAX(0,MIN(_xlfn.DAYS(EDATE(Z$1,1),Log_2018[[#This Row],[Date]]),Log_2018[[#This Row],[Split_apply]])) - SUM($O147:Y147)</f>
        <v>0</v>
      </c>
      <c r="AA147" s="52">
        <f ca="1">Log_2018[[#This Row],[Amount]]/Log_2018[[#This Row],[Split_raw]]*MAX(0,MIN(_xlfn.DAYS(EDATE(AA$1,1),Log_2018[[#This Row],[Date]]),Log_2018[[#This Row],[Split_apply]])) - SUM($O147:Z147)</f>
        <v>0</v>
      </c>
      <c r="AB147" s="54">
        <f ca="1">Log_2018[[#This Row],[Amount]]-SUM(O147:AA147)</f>
        <v>0</v>
      </c>
      <c r="AC147" s="7">
        <f ca="1">MAX(0,Log_2018[[#This Row],[Split_apply]] - (EDATE(AA$1,1)-Log_2018[[#This Row],[Date]]))</f>
        <v>0</v>
      </c>
    </row>
    <row r="148" spans="1:29" hidden="1" x14ac:dyDescent="0.25">
      <c r="A148" s="115"/>
      <c r="B148" t="s">
        <v>6</v>
      </c>
      <c r="D148" s="26">
        <v>43402</v>
      </c>
      <c r="F148" t="s">
        <v>308</v>
      </c>
      <c r="G148" t="s">
        <v>25</v>
      </c>
      <c r="H148" s="3">
        <v>-9.7100000000000009</v>
      </c>
      <c r="I148" s="36">
        <f>IF(Log_2018[[#This Row],[My Category]]="NONTRACKED",0,Log_2018[[#This Row],[Raw Amount]])</f>
        <v>-9.7100000000000009</v>
      </c>
      <c r="J148" s="17">
        <f>ABS(Log_2018[[#This Row],[Amount]])</f>
        <v>9.7100000000000009</v>
      </c>
      <c r="K148" s="66">
        <v>1</v>
      </c>
      <c r="L148" s="66">
        <f ca="1">IF(Log_2018[[#This Row],[Date]]&lt;=TODAY(), MIN(Log_2018[[#This Row],[Split_raw]], TODAY()-Log_2018[[#This Row],[Date]]+1), 0)</f>
        <v>1</v>
      </c>
      <c r="M148" t="s">
        <v>35</v>
      </c>
      <c r="N148" t="s">
        <v>158</v>
      </c>
      <c r="O148" s="50">
        <v>0</v>
      </c>
      <c r="P148" s="52">
        <f ca="1">Log_2018[[#This Row],[Amount]]/Log_2018[[#This Row],[Split_raw]]*MAX(0,MIN(_xlfn.DAYS(EDATE(P$1,1),Log_2018[[#This Row],[Date]]),Log_2018[[#This Row],[Split_apply]])) - SUM($O148:O148)</f>
        <v>0</v>
      </c>
      <c r="Q148" s="52">
        <f ca="1">Log_2018[[#This Row],[Amount]]/Log_2018[[#This Row],[Split_raw]]*MAX(0,MIN(_xlfn.DAYS(EDATE(Q$1,1),Log_2018[[#This Row],[Date]]),Log_2018[[#This Row],[Split_apply]])) - SUM($O148:P148)</f>
        <v>0</v>
      </c>
      <c r="R148" s="52">
        <f ca="1">Log_2018[[#This Row],[Amount]]/Log_2018[[#This Row],[Split_raw]]*MAX(0,MIN(_xlfn.DAYS(EDATE(R$1,1),Log_2018[[#This Row],[Date]]),Log_2018[[#This Row],[Split_apply]])) - SUM($O148:Q148)</f>
        <v>0</v>
      </c>
      <c r="S148" s="52">
        <f ca="1">Log_2018[[#This Row],[Amount]]/Log_2018[[#This Row],[Split_raw]]*MAX(0,MIN(_xlfn.DAYS(EDATE(S$1,1),Log_2018[[#This Row],[Date]]),Log_2018[[#This Row],[Split_apply]])) - SUM($O148:R148)</f>
        <v>0</v>
      </c>
      <c r="T148" s="52">
        <f ca="1">Log_2018[[#This Row],[Amount]]/Log_2018[[#This Row],[Split_raw]]*MAX(0,MIN(_xlfn.DAYS(EDATE(T$1,1),Log_2018[[#This Row],[Date]]),Log_2018[[#This Row],[Split_apply]])) - SUM($O148:S148)</f>
        <v>0</v>
      </c>
      <c r="U148" s="52">
        <f ca="1">Log_2018[[#This Row],[Amount]]/Log_2018[[#This Row],[Split_raw]]*MAX(0,MIN(_xlfn.DAYS(EDATE(U$1,1),Log_2018[[#This Row],[Date]]),Log_2018[[#This Row],[Split_apply]])) - SUM($O148:T148)</f>
        <v>0</v>
      </c>
      <c r="V148" s="52">
        <f ca="1">Log_2018[[#This Row],[Amount]]/Log_2018[[#This Row],[Split_raw]]*MAX(0,MIN(_xlfn.DAYS(EDATE(V$1,1),Log_2018[[#This Row],[Date]]),Log_2018[[#This Row],[Split_apply]])) - SUM($O148:U148)</f>
        <v>0</v>
      </c>
      <c r="W148" s="52">
        <f ca="1">Log_2018[[#This Row],[Amount]]/Log_2018[[#This Row],[Split_raw]]*MAX(0,MIN(_xlfn.DAYS(EDATE(W$1,1),Log_2018[[#This Row],[Date]]),Log_2018[[#This Row],[Split_apply]])) - SUM($O148:V148)</f>
        <v>0</v>
      </c>
      <c r="X148" s="52">
        <f ca="1">Log_2018[[#This Row],[Amount]]/Log_2018[[#This Row],[Split_raw]]*MAX(0,MIN(_xlfn.DAYS(EDATE(X$1,1),Log_2018[[#This Row],[Date]]),Log_2018[[#This Row],[Split_apply]])) - SUM($O148:W148)</f>
        <v>0</v>
      </c>
      <c r="Y148" s="52">
        <f ca="1">Log_2018[[#This Row],[Amount]]/Log_2018[[#This Row],[Split_raw]]*MAX(0,MIN(_xlfn.DAYS(EDATE(Y$1,1),Log_2018[[#This Row],[Date]]),Log_2018[[#This Row],[Split_apply]])) - SUM($O148:X148)</f>
        <v>-9.7100000000000009</v>
      </c>
      <c r="Z148" s="52">
        <f ca="1">Log_2018[[#This Row],[Amount]]/Log_2018[[#This Row],[Split_raw]]*MAX(0,MIN(_xlfn.DAYS(EDATE(Z$1,1),Log_2018[[#This Row],[Date]]),Log_2018[[#This Row],[Split_apply]])) - SUM($O148:Y148)</f>
        <v>0</v>
      </c>
      <c r="AA148" s="52">
        <f ca="1">Log_2018[[#This Row],[Amount]]/Log_2018[[#This Row],[Split_raw]]*MAX(0,MIN(_xlfn.DAYS(EDATE(AA$1,1),Log_2018[[#This Row],[Date]]),Log_2018[[#This Row],[Split_apply]])) - SUM($O148:Z148)</f>
        <v>0</v>
      </c>
      <c r="AB148" s="54">
        <f ca="1">Log_2018[[#This Row],[Amount]]-SUM(O148:AA148)</f>
        <v>0</v>
      </c>
      <c r="AC148" s="7">
        <f ca="1">MAX(0,Log_2018[[#This Row],[Split_apply]] - (EDATE(AA$1,1)-Log_2018[[#This Row],[Date]]))</f>
        <v>0</v>
      </c>
    </row>
    <row r="149" spans="1:29" hidden="1" x14ac:dyDescent="0.25">
      <c r="A149" s="115"/>
      <c r="B149" t="s">
        <v>6</v>
      </c>
      <c r="D149" s="26">
        <v>43402</v>
      </c>
      <c r="F149" t="s">
        <v>255</v>
      </c>
      <c r="G149" t="s">
        <v>25</v>
      </c>
      <c r="H149" s="3">
        <v>-28.85</v>
      </c>
      <c r="I149" s="36">
        <f>IF(Log_2018[[#This Row],[My Category]]="NONTRACKED",0,Log_2018[[#This Row],[Raw Amount]])</f>
        <v>-28.85</v>
      </c>
      <c r="J149" s="17">
        <f>ABS(Log_2018[[#This Row],[Amount]])</f>
        <v>28.85</v>
      </c>
      <c r="K149" s="66">
        <v>1</v>
      </c>
      <c r="L149" s="66">
        <f ca="1">IF(Log_2018[[#This Row],[Date]]&lt;=TODAY(), MIN(Log_2018[[#This Row],[Split_raw]], TODAY()-Log_2018[[#This Row],[Date]]+1), 0)</f>
        <v>1</v>
      </c>
      <c r="M149" t="s">
        <v>52</v>
      </c>
      <c r="N149" t="s">
        <v>158</v>
      </c>
      <c r="O149" s="50">
        <v>0</v>
      </c>
      <c r="P149" s="52">
        <f ca="1">Log_2018[[#This Row],[Amount]]/Log_2018[[#This Row],[Split_raw]]*MAX(0,MIN(_xlfn.DAYS(EDATE(P$1,1),Log_2018[[#This Row],[Date]]),Log_2018[[#This Row],[Split_apply]])) - SUM($O149:O149)</f>
        <v>0</v>
      </c>
      <c r="Q149" s="52">
        <f ca="1">Log_2018[[#This Row],[Amount]]/Log_2018[[#This Row],[Split_raw]]*MAX(0,MIN(_xlfn.DAYS(EDATE(Q$1,1),Log_2018[[#This Row],[Date]]),Log_2018[[#This Row],[Split_apply]])) - SUM($O149:P149)</f>
        <v>0</v>
      </c>
      <c r="R149" s="52">
        <f ca="1">Log_2018[[#This Row],[Amount]]/Log_2018[[#This Row],[Split_raw]]*MAX(0,MIN(_xlfn.DAYS(EDATE(R$1,1),Log_2018[[#This Row],[Date]]),Log_2018[[#This Row],[Split_apply]])) - SUM($O149:Q149)</f>
        <v>0</v>
      </c>
      <c r="S149" s="52">
        <f ca="1">Log_2018[[#This Row],[Amount]]/Log_2018[[#This Row],[Split_raw]]*MAX(0,MIN(_xlfn.DAYS(EDATE(S$1,1),Log_2018[[#This Row],[Date]]),Log_2018[[#This Row],[Split_apply]])) - SUM($O149:R149)</f>
        <v>0</v>
      </c>
      <c r="T149" s="52">
        <f ca="1">Log_2018[[#This Row],[Amount]]/Log_2018[[#This Row],[Split_raw]]*MAX(0,MIN(_xlfn.DAYS(EDATE(T$1,1),Log_2018[[#This Row],[Date]]),Log_2018[[#This Row],[Split_apply]])) - SUM($O149:S149)</f>
        <v>0</v>
      </c>
      <c r="U149" s="52">
        <f ca="1">Log_2018[[#This Row],[Amount]]/Log_2018[[#This Row],[Split_raw]]*MAX(0,MIN(_xlfn.DAYS(EDATE(U$1,1),Log_2018[[#This Row],[Date]]),Log_2018[[#This Row],[Split_apply]])) - SUM($O149:T149)</f>
        <v>0</v>
      </c>
      <c r="V149" s="52">
        <f ca="1">Log_2018[[#This Row],[Amount]]/Log_2018[[#This Row],[Split_raw]]*MAX(0,MIN(_xlfn.DAYS(EDATE(V$1,1),Log_2018[[#This Row],[Date]]),Log_2018[[#This Row],[Split_apply]])) - SUM($O149:U149)</f>
        <v>0</v>
      </c>
      <c r="W149" s="52">
        <f ca="1">Log_2018[[#This Row],[Amount]]/Log_2018[[#This Row],[Split_raw]]*MAX(0,MIN(_xlfn.DAYS(EDATE(W$1,1),Log_2018[[#This Row],[Date]]),Log_2018[[#This Row],[Split_apply]])) - SUM($O149:V149)</f>
        <v>0</v>
      </c>
      <c r="X149" s="52">
        <f ca="1">Log_2018[[#This Row],[Amount]]/Log_2018[[#This Row],[Split_raw]]*MAX(0,MIN(_xlfn.DAYS(EDATE(X$1,1),Log_2018[[#This Row],[Date]]),Log_2018[[#This Row],[Split_apply]])) - SUM($O149:W149)</f>
        <v>0</v>
      </c>
      <c r="Y149" s="52">
        <f ca="1">Log_2018[[#This Row],[Amount]]/Log_2018[[#This Row],[Split_raw]]*MAX(0,MIN(_xlfn.DAYS(EDATE(Y$1,1),Log_2018[[#This Row],[Date]]),Log_2018[[#This Row],[Split_apply]])) - SUM($O149:X149)</f>
        <v>-28.85</v>
      </c>
      <c r="Z149" s="52">
        <f ca="1">Log_2018[[#This Row],[Amount]]/Log_2018[[#This Row],[Split_raw]]*MAX(0,MIN(_xlfn.DAYS(EDATE(Z$1,1),Log_2018[[#This Row],[Date]]),Log_2018[[#This Row],[Split_apply]])) - SUM($O149:Y149)</f>
        <v>0</v>
      </c>
      <c r="AA149" s="52">
        <f ca="1">Log_2018[[#This Row],[Amount]]/Log_2018[[#This Row],[Split_raw]]*MAX(0,MIN(_xlfn.DAYS(EDATE(AA$1,1),Log_2018[[#This Row],[Date]]),Log_2018[[#This Row],[Split_apply]])) - SUM($O149:Z149)</f>
        <v>0</v>
      </c>
      <c r="AB149" s="54">
        <f ca="1">Log_2018[[#This Row],[Amount]]-SUM(O149:AA149)</f>
        <v>0</v>
      </c>
      <c r="AC149" s="7">
        <f ca="1">MAX(0,Log_2018[[#This Row],[Split_apply]] - (EDATE(AA$1,1)-Log_2018[[#This Row],[Date]]))</f>
        <v>0</v>
      </c>
    </row>
    <row r="150" spans="1:29" hidden="1" x14ac:dyDescent="0.25">
      <c r="A150" s="115"/>
      <c r="B150" t="s">
        <v>6</v>
      </c>
      <c r="D150" s="26">
        <v>43402</v>
      </c>
      <c r="E150" t="s">
        <v>251</v>
      </c>
      <c r="F150" t="s">
        <v>246</v>
      </c>
      <c r="G150" t="s">
        <v>143</v>
      </c>
      <c r="H150" s="3">
        <v>-8.65</v>
      </c>
      <c r="I150" s="36">
        <f>IF(Log_2018[[#This Row],[My Category]]="NONTRACKED",0,Log_2018[[#This Row],[Raw Amount]])</f>
        <v>-8.65</v>
      </c>
      <c r="J150" s="17">
        <f>ABS(Log_2018[[#This Row],[Amount]])</f>
        <v>8.65</v>
      </c>
      <c r="K150" s="66">
        <v>30</v>
      </c>
      <c r="L150" s="66">
        <f ca="1">IF(Log_2018[[#This Row],[Date]]&lt;=TODAY(), MIN(Log_2018[[#This Row],[Split_raw]], TODAY()-Log_2018[[#This Row],[Date]]+1), 0)</f>
        <v>30</v>
      </c>
      <c r="M150" t="s">
        <v>53</v>
      </c>
      <c r="N150" t="s">
        <v>160</v>
      </c>
      <c r="O150" s="50">
        <v>0</v>
      </c>
      <c r="P150" s="52">
        <f ca="1">Log_2018[[#This Row],[Amount]]/Log_2018[[#This Row],[Split_raw]]*MAX(0,MIN(_xlfn.DAYS(EDATE(P$1,1),Log_2018[[#This Row],[Date]]),Log_2018[[#This Row],[Split_apply]])) - SUM($O150:O150)</f>
        <v>0</v>
      </c>
      <c r="Q150" s="52">
        <f ca="1">Log_2018[[#This Row],[Amount]]/Log_2018[[#This Row],[Split_raw]]*MAX(0,MIN(_xlfn.DAYS(EDATE(Q$1,1),Log_2018[[#This Row],[Date]]),Log_2018[[#This Row],[Split_apply]])) - SUM($O150:P150)</f>
        <v>0</v>
      </c>
      <c r="R150" s="52">
        <f ca="1">Log_2018[[#This Row],[Amount]]/Log_2018[[#This Row],[Split_raw]]*MAX(0,MIN(_xlfn.DAYS(EDATE(R$1,1),Log_2018[[#This Row],[Date]]),Log_2018[[#This Row],[Split_apply]])) - SUM($O150:Q150)</f>
        <v>0</v>
      </c>
      <c r="S150" s="52">
        <f ca="1">Log_2018[[#This Row],[Amount]]/Log_2018[[#This Row],[Split_raw]]*MAX(0,MIN(_xlfn.DAYS(EDATE(S$1,1),Log_2018[[#This Row],[Date]]),Log_2018[[#This Row],[Split_apply]])) - SUM($O150:R150)</f>
        <v>0</v>
      </c>
      <c r="T150" s="52">
        <f ca="1">Log_2018[[#This Row],[Amount]]/Log_2018[[#This Row],[Split_raw]]*MAX(0,MIN(_xlfn.DAYS(EDATE(T$1,1),Log_2018[[#This Row],[Date]]),Log_2018[[#This Row],[Split_apply]])) - SUM($O150:S150)</f>
        <v>0</v>
      </c>
      <c r="U150" s="52">
        <f ca="1">Log_2018[[#This Row],[Amount]]/Log_2018[[#This Row],[Split_raw]]*MAX(0,MIN(_xlfn.DAYS(EDATE(U$1,1),Log_2018[[#This Row],[Date]]),Log_2018[[#This Row],[Split_apply]])) - SUM($O150:T150)</f>
        <v>0</v>
      </c>
      <c r="V150" s="52">
        <f ca="1">Log_2018[[#This Row],[Amount]]/Log_2018[[#This Row],[Split_raw]]*MAX(0,MIN(_xlfn.DAYS(EDATE(V$1,1),Log_2018[[#This Row],[Date]]),Log_2018[[#This Row],[Split_apply]])) - SUM($O150:U150)</f>
        <v>0</v>
      </c>
      <c r="W150" s="52">
        <f ca="1">Log_2018[[#This Row],[Amount]]/Log_2018[[#This Row],[Split_raw]]*MAX(0,MIN(_xlfn.DAYS(EDATE(W$1,1),Log_2018[[#This Row],[Date]]),Log_2018[[#This Row],[Split_apply]])) - SUM($O150:V150)</f>
        <v>0</v>
      </c>
      <c r="X150" s="52">
        <f ca="1">Log_2018[[#This Row],[Amount]]/Log_2018[[#This Row],[Split_raw]]*MAX(0,MIN(_xlfn.DAYS(EDATE(X$1,1),Log_2018[[#This Row],[Date]]),Log_2018[[#This Row],[Split_apply]])) - SUM($O150:W150)</f>
        <v>0</v>
      </c>
      <c r="Y150" s="52">
        <f ca="1">Log_2018[[#This Row],[Amount]]/Log_2018[[#This Row],[Split_raw]]*MAX(0,MIN(_xlfn.DAYS(EDATE(Y$1,1),Log_2018[[#This Row],[Date]]),Log_2018[[#This Row],[Split_apply]])) - SUM($O150:X150)</f>
        <v>-0.86499999999999999</v>
      </c>
      <c r="Z150" s="52">
        <f ca="1">Log_2018[[#This Row],[Amount]]/Log_2018[[#This Row],[Split_raw]]*MAX(0,MIN(_xlfn.DAYS(EDATE(Z$1,1),Log_2018[[#This Row],[Date]]),Log_2018[[#This Row],[Split_apply]])) - SUM($O150:Y150)</f>
        <v>-7.7850000000000001</v>
      </c>
      <c r="AA150" s="52">
        <f ca="1">Log_2018[[#This Row],[Amount]]/Log_2018[[#This Row],[Split_raw]]*MAX(0,MIN(_xlfn.DAYS(EDATE(AA$1,1),Log_2018[[#This Row],[Date]]),Log_2018[[#This Row],[Split_apply]])) - SUM($O150:Z150)</f>
        <v>0</v>
      </c>
      <c r="AB150" s="54">
        <f ca="1">Log_2018[[#This Row],[Amount]]-SUM(O150:AA150)</f>
        <v>0</v>
      </c>
      <c r="AC150" s="7">
        <f ca="1">MAX(0,Log_2018[[#This Row],[Split_apply]] - (EDATE(AA$1,1)-Log_2018[[#This Row],[Date]]))</f>
        <v>0</v>
      </c>
    </row>
    <row r="151" spans="1:29" hidden="1" x14ac:dyDescent="0.25">
      <c r="A151" s="115"/>
      <c r="B151" t="s">
        <v>6</v>
      </c>
      <c r="D151" s="26">
        <v>43402</v>
      </c>
      <c r="F151" t="s">
        <v>422</v>
      </c>
      <c r="G151" t="s">
        <v>27</v>
      </c>
      <c r="H151" s="3">
        <v>-8.48</v>
      </c>
      <c r="I151" s="36">
        <f>IF(Log_2018[[#This Row],[My Category]]="NONTRACKED",0,Log_2018[[#This Row],[Raw Amount]])</f>
        <v>-8.48</v>
      </c>
      <c r="J151" s="17">
        <f>ABS(Log_2018[[#This Row],[Amount]])</f>
        <v>8.48</v>
      </c>
      <c r="K151" s="66">
        <v>1</v>
      </c>
      <c r="L151" s="66">
        <f ca="1">IF(Log_2018[[#This Row],[Date]]&lt;=TODAY(), MIN(Log_2018[[#This Row],[Split_raw]], TODAY()-Log_2018[[#This Row],[Date]]+1), 0)</f>
        <v>1</v>
      </c>
      <c r="M151" t="s">
        <v>40</v>
      </c>
      <c r="N151" t="s">
        <v>160</v>
      </c>
      <c r="O151" s="50">
        <v>0</v>
      </c>
      <c r="P151" s="52">
        <f ca="1">Log_2018[[#This Row],[Amount]]/Log_2018[[#This Row],[Split_raw]]*MAX(0,MIN(_xlfn.DAYS(EDATE(P$1,1),Log_2018[[#This Row],[Date]]),Log_2018[[#This Row],[Split_apply]])) - SUM($O151:O151)</f>
        <v>0</v>
      </c>
      <c r="Q151" s="52">
        <f ca="1">Log_2018[[#This Row],[Amount]]/Log_2018[[#This Row],[Split_raw]]*MAX(0,MIN(_xlfn.DAYS(EDATE(Q$1,1),Log_2018[[#This Row],[Date]]),Log_2018[[#This Row],[Split_apply]])) - SUM($O151:P151)</f>
        <v>0</v>
      </c>
      <c r="R151" s="52">
        <f ca="1">Log_2018[[#This Row],[Amount]]/Log_2018[[#This Row],[Split_raw]]*MAX(0,MIN(_xlfn.DAYS(EDATE(R$1,1),Log_2018[[#This Row],[Date]]),Log_2018[[#This Row],[Split_apply]])) - SUM($O151:Q151)</f>
        <v>0</v>
      </c>
      <c r="S151" s="52">
        <f ca="1">Log_2018[[#This Row],[Amount]]/Log_2018[[#This Row],[Split_raw]]*MAX(0,MIN(_xlfn.DAYS(EDATE(S$1,1),Log_2018[[#This Row],[Date]]),Log_2018[[#This Row],[Split_apply]])) - SUM($O151:R151)</f>
        <v>0</v>
      </c>
      <c r="T151" s="52">
        <f ca="1">Log_2018[[#This Row],[Amount]]/Log_2018[[#This Row],[Split_raw]]*MAX(0,MIN(_xlfn.DAYS(EDATE(T$1,1),Log_2018[[#This Row],[Date]]),Log_2018[[#This Row],[Split_apply]])) - SUM($O151:S151)</f>
        <v>0</v>
      </c>
      <c r="U151" s="52">
        <f ca="1">Log_2018[[#This Row],[Amount]]/Log_2018[[#This Row],[Split_raw]]*MAX(0,MIN(_xlfn.DAYS(EDATE(U$1,1),Log_2018[[#This Row],[Date]]),Log_2018[[#This Row],[Split_apply]])) - SUM($O151:T151)</f>
        <v>0</v>
      </c>
      <c r="V151" s="52">
        <f ca="1">Log_2018[[#This Row],[Amount]]/Log_2018[[#This Row],[Split_raw]]*MAX(0,MIN(_xlfn.DAYS(EDATE(V$1,1),Log_2018[[#This Row],[Date]]),Log_2018[[#This Row],[Split_apply]])) - SUM($O151:U151)</f>
        <v>0</v>
      </c>
      <c r="W151" s="52">
        <f ca="1">Log_2018[[#This Row],[Amount]]/Log_2018[[#This Row],[Split_raw]]*MAX(0,MIN(_xlfn.DAYS(EDATE(W$1,1),Log_2018[[#This Row],[Date]]),Log_2018[[#This Row],[Split_apply]])) - SUM($O151:V151)</f>
        <v>0</v>
      </c>
      <c r="X151" s="52">
        <f ca="1">Log_2018[[#This Row],[Amount]]/Log_2018[[#This Row],[Split_raw]]*MAX(0,MIN(_xlfn.DAYS(EDATE(X$1,1),Log_2018[[#This Row],[Date]]),Log_2018[[#This Row],[Split_apply]])) - SUM($O151:W151)</f>
        <v>0</v>
      </c>
      <c r="Y151" s="52">
        <f ca="1">Log_2018[[#This Row],[Amount]]/Log_2018[[#This Row],[Split_raw]]*MAX(0,MIN(_xlfn.DAYS(EDATE(Y$1,1),Log_2018[[#This Row],[Date]]),Log_2018[[#This Row],[Split_apply]])) - SUM($O151:X151)</f>
        <v>-8.48</v>
      </c>
      <c r="Z151" s="52">
        <f ca="1">Log_2018[[#This Row],[Amount]]/Log_2018[[#This Row],[Split_raw]]*MAX(0,MIN(_xlfn.DAYS(EDATE(Z$1,1),Log_2018[[#This Row],[Date]]),Log_2018[[#This Row],[Split_apply]])) - SUM($O151:Y151)</f>
        <v>0</v>
      </c>
      <c r="AA151" s="52">
        <f ca="1">Log_2018[[#This Row],[Amount]]/Log_2018[[#This Row],[Split_raw]]*MAX(0,MIN(_xlfn.DAYS(EDATE(AA$1,1),Log_2018[[#This Row],[Date]]),Log_2018[[#This Row],[Split_apply]])) - SUM($O151:Z151)</f>
        <v>0</v>
      </c>
      <c r="AB151" s="54">
        <f ca="1">Log_2018[[#This Row],[Amount]]-SUM(O151:AA151)</f>
        <v>0</v>
      </c>
      <c r="AC151" s="7">
        <f ca="1">MAX(0,Log_2018[[#This Row],[Split_apply]] - (EDATE(AA$1,1)-Log_2018[[#This Row],[Date]]))</f>
        <v>0</v>
      </c>
    </row>
    <row r="152" spans="1:29" hidden="1" x14ac:dyDescent="0.25">
      <c r="A152" s="115"/>
      <c r="B152" t="s">
        <v>6</v>
      </c>
      <c r="D152" s="26">
        <v>43401</v>
      </c>
      <c r="F152" t="s">
        <v>184</v>
      </c>
      <c r="G152" t="s">
        <v>11</v>
      </c>
      <c r="H152" s="3">
        <v>-5.56</v>
      </c>
      <c r="I152" s="36">
        <f>IF(Log_2018[[#This Row],[My Category]]="NONTRACKED",0,Log_2018[[#This Row],[Raw Amount]])</f>
        <v>-5.56</v>
      </c>
      <c r="J152" s="17">
        <f>ABS(Log_2018[[#This Row],[Amount]])</f>
        <v>5.56</v>
      </c>
      <c r="K152" s="66">
        <v>1</v>
      </c>
      <c r="L152" s="66">
        <f ca="1">IF(Log_2018[[#This Row],[Date]]&lt;=TODAY(), MIN(Log_2018[[#This Row],[Split_raw]], TODAY()-Log_2018[[#This Row],[Date]]+1), 0)</f>
        <v>1</v>
      </c>
      <c r="M152" t="s">
        <v>12</v>
      </c>
      <c r="N152" t="s">
        <v>158</v>
      </c>
      <c r="O152" s="50">
        <v>0</v>
      </c>
      <c r="P152" s="52">
        <f ca="1">Log_2018[[#This Row],[Amount]]/Log_2018[[#This Row],[Split_raw]]*MAX(0,MIN(_xlfn.DAYS(EDATE(P$1,1),Log_2018[[#This Row],[Date]]),Log_2018[[#This Row],[Split_apply]])) - SUM($O152:O152)</f>
        <v>0</v>
      </c>
      <c r="Q152" s="52">
        <f ca="1">Log_2018[[#This Row],[Amount]]/Log_2018[[#This Row],[Split_raw]]*MAX(0,MIN(_xlfn.DAYS(EDATE(Q$1,1),Log_2018[[#This Row],[Date]]),Log_2018[[#This Row],[Split_apply]])) - SUM($O152:P152)</f>
        <v>0</v>
      </c>
      <c r="R152" s="52">
        <f ca="1">Log_2018[[#This Row],[Amount]]/Log_2018[[#This Row],[Split_raw]]*MAX(0,MIN(_xlfn.DAYS(EDATE(R$1,1),Log_2018[[#This Row],[Date]]),Log_2018[[#This Row],[Split_apply]])) - SUM($O152:Q152)</f>
        <v>0</v>
      </c>
      <c r="S152" s="52">
        <f ca="1">Log_2018[[#This Row],[Amount]]/Log_2018[[#This Row],[Split_raw]]*MAX(0,MIN(_xlfn.DAYS(EDATE(S$1,1),Log_2018[[#This Row],[Date]]),Log_2018[[#This Row],[Split_apply]])) - SUM($O152:R152)</f>
        <v>0</v>
      </c>
      <c r="T152" s="52">
        <f ca="1">Log_2018[[#This Row],[Amount]]/Log_2018[[#This Row],[Split_raw]]*MAX(0,MIN(_xlfn.DAYS(EDATE(T$1,1),Log_2018[[#This Row],[Date]]),Log_2018[[#This Row],[Split_apply]])) - SUM($O152:S152)</f>
        <v>0</v>
      </c>
      <c r="U152" s="52">
        <f ca="1">Log_2018[[#This Row],[Amount]]/Log_2018[[#This Row],[Split_raw]]*MAX(0,MIN(_xlfn.DAYS(EDATE(U$1,1),Log_2018[[#This Row],[Date]]),Log_2018[[#This Row],[Split_apply]])) - SUM($O152:T152)</f>
        <v>0</v>
      </c>
      <c r="V152" s="52">
        <f ca="1">Log_2018[[#This Row],[Amount]]/Log_2018[[#This Row],[Split_raw]]*MAX(0,MIN(_xlfn.DAYS(EDATE(V$1,1),Log_2018[[#This Row],[Date]]),Log_2018[[#This Row],[Split_apply]])) - SUM($O152:U152)</f>
        <v>0</v>
      </c>
      <c r="W152" s="52">
        <f ca="1">Log_2018[[#This Row],[Amount]]/Log_2018[[#This Row],[Split_raw]]*MAX(0,MIN(_xlfn.DAYS(EDATE(W$1,1),Log_2018[[#This Row],[Date]]),Log_2018[[#This Row],[Split_apply]])) - SUM($O152:V152)</f>
        <v>0</v>
      </c>
      <c r="X152" s="52">
        <f ca="1">Log_2018[[#This Row],[Amount]]/Log_2018[[#This Row],[Split_raw]]*MAX(0,MIN(_xlfn.DAYS(EDATE(X$1,1),Log_2018[[#This Row],[Date]]),Log_2018[[#This Row],[Split_apply]])) - SUM($O152:W152)</f>
        <v>0</v>
      </c>
      <c r="Y152" s="52">
        <f ca="1">Log_2018[[#This Row],[Amount]]/Log_2018[[#This Row],[Split_raw]]*MAX(0,MIN(_xlfn.DAYS(EDATE(Y$1,1),Log_2018[[#This Row],[Date]]),Log_2018[[#This Row],[Split_apply]])) - SUM($O152:X152)</f>
        <v>-5.56</v>
      </c>
      <c r="Z152" s="52">
        <f ca="1">Log_2018[[#This Row],[Amount]]/Log_2018[[#This Row],[Split_raw]]*MAX(0,MIN(_xlfn.DAYS(EDATE(Z$1,1),Log_2018[[#This Row],[Date]]),Log_2018[[#This Row],[Split_apply]])) - SUM($O152:Y152)</f>
        <v>0</v>
      </c>
      <c r="AA152" s="52">
        <f ca="1">Log_2018[[#This Row],[Amount]]/Log_2018[[#This Row],[Split_raw]]*MAX(0,MIN(_xlfn.DAYS(EDATE(AA$1,1),Log_2018[[#This Row],[Date]]),Log_2018[[#This Row],[Split_apply]])) - SUM($O152:Z152)</f>
        <v>0</v>
      </c>
      <c r="AB152" s="54">
        <f ca="1">Log_2018[[#This Row],[Amount]]-SUM(O152:AA152)</f>
        <v>0</v>
      </c>
      <c r="AC152" s="7">
        <f ca="1">MAX(0,Log_2018[[#This Row],[Split_apply]] - (EDATE(AA$1,1)-Log_2018[[#This Row],[Date]]))</f>
        <v>0</v>
      </c>
    </row>
    <row r="153" spans="1:29" hidden="1" x14ac:dyDescent="0.25">
      <c r="A153" s="115"/>
      <c r="B153" t="s">
        <v>6</v>
      </c>
      <c r="D153" s="26">
        <v>43400</v>
      </c>
      <c r="F153" t="s">
        <v>345</v>
      </c>
      <c r="G153" t="s">
        <v>12</v>
      </c>
      <c r="H153" s="3">
        <v>-68.760000000000005</v>
      </c>
      <c r="I153" s="36">
        <f>IF(Log_2018[[#This Row],[My Category]]="NONTRACKED",0,Log_2018[[#This Row],[Raw Amount]])</f>
        <v>-68.760000000000005</v>
      </c>
      <c r="J153" s="17">
        <f>ABS(Log_2018[[#This Row],[Amount]])</f>
        <v>68.760000000000005</v>
      </c>
      <c r="K153" s="66">
        <v>1</v>
      </c>
      <c r="L153" s="66">
        <f ca="1">IF(Log_2018[[#This Row],[Date]]&lt;=TODAY(), MIN(Log_2018[[#This Row],[Split_raw]], TODAY()-Log_2018[[#This Row],[Date]]+1), 0)</f>
        <v>1</v>
      </c>
      <c r="M153" t="s">
        <v>12</v>
      </c>
      <c r="N153" t="s">
        <v>158</v>
      </c>
      <c r="O153" s="50">
        <v>0</v>
      </c>
      <c r="P153" s="52">
        <f ca="1">Log_2018[[#This Row],[Amount]]/Log_2018[[#This Row],[Split_raw]]*MAX(0,MIN(_xlfn.DAYS(EDATE(P$1,1),Log_2018[[#This Row],[Date]]),Log_2018[[#This Row],[Split_apply]])) - SUM($O153:O153)</f>
        <v>0</v>
      </c>
      <c r="Q153" s="52">
        <f ca="1">Log_2018[[#This Row],[Amount]]/Log_2018[[#This Row],[Split_raw]]*MAX(0,MIN(_xlfn.DAYS(EDATE(Q$1,1),Log_2018[[#This Row],[Date]]),Log_2018[[#This Row],[Split_apply]])) - SUM($O153:P153)</f>
        <v>0</v>
      </c>
      <c r="R153" s="52">
        <f ca="1">Log_2018[[#This Row],[Amount]]/Log_2018[[#This Row],[Split_raw]]*MAX(0,MIN(_xlfn.DAYS(EDATE(R$1,1),Log_2018[[#This Row],[Date]]),Log_2018[[#This Row],[Split_apply]])) - SUM($O153:Q153)</f>
        <v>0</v>
      </c>
      <c r="S153" s="52">
        <f ca="1">Log_2018[[#This Row],[Amount]]/Log_2018[[#This Row],[Split_raw]]*MAX(0,MIN(_xlfn.DAYS(EDATE(S$1,1),Log_2018[[#This Row],[Date]]),Log_2018[[#This Row],[Split_apply]])) - SUM($O153:R153)</f>
        <v>0</v>
      </c>
      <c r="T153" s="52">
        <f ca="1">Log_2018[[#This Row],[Amount]]/Log_2018[[#This Row],[Split_raw]]*MAX(0,MIN(_xlfn.DAYS(EDATE(T$1,1),Log_2018[[#This Row],[Date]]),Log_2018[[#This Row],[Split_apply]])) - SUM($O153:S153)</f>
        <v>0</v>
      </c>
      <c r="U153" s="52">
        <f ca="1">Log_2018[[#This Row],[Amount]]/Log_2018[[#This Row],[Split_raw]]*MAX(0,MIN(_xlfn.DAYS(EDATE(U$1,1),Log_2018[[#This Row],[Date]]),Log_2018[[#This Row],[Split_apply]])) - SUM($O153:T153)</f>
        <v>0</v>
      </c>
      <c r="V153" s="52">
        <f ca="1">Log_2018[[#This Row],[Amount]]/Log_2018[[#This Row],[Split_raw]]*MAX(0,MIN(_xlfn.DAYS(EDATE(V$1,1),Log_2018[[#This Row],[Date]]),Log_2018[[#This Row],[Split_apply]])) - SUM($O153:U153)</f>
        <v>0</v>
      </c>
      <c r="W153" s="52">
        <f ca="1">Log_2018[[#This Row],[Amount]]/Log_2018[[#This Row],[Split_raw]]*MAX(0,MIN(_xlfn.DAYS(EDATE(W$1,1),Log_2018[[#This Row],[Date]]),Log_2018[[#This Row],[Split_apply]])) - SUM($O153:V153)</f>
        <v>0</v>
      </c>
      <c r="X153" s="52">
        <f ca="1">Log_2018[[#This Row],[Amount]]/Log_2018[[#This Row],[Split_raw]]*MAX(0,MIN(_xlfn.DAYS(EDATE(X$1,1),Log_2018[[#This Row],[Date]]),Log_2018[[#This Row],[Split_apply]])) - SUM($O153:W153)</f>
        <v>0</v>
      </c>
      <c r="Y153" s="52">
        <f ca="1">Log_2018[[#This Row],[Amount]]/Log_2018[[#This Row],[Split_raw]]*MAX(0,MIN(_xlfn.DAYS(EDATE(Y$1,1),Log_2018[[#This Row],[Date]]),Log_2018[[#This Row],[Split_apply]])) - SUM($O153:X153)</f>
        <v>-68.760000000000005</v>
      </c>
      <c r="Z153" s="52">
        <f ca="1">Log_2018[[#This Row],[Amount]]/Log_2018[[#This Row],[Split_raw]]*MAX(0,MIN(_xlfn.DAYS(EDATE(Z$1,1),Log_2018[[#This Row],[Date]]),Log_2018[[#This Row],[Split_apply]])) - SUM($O153:Y153)</f>
        <v>0</v>
      </c>
      <c r="AA153" s="52">
        <f ca="1">Log_2018[[#This Row],[Amount]]/Log_2018[[#This Row],[Split_raw]]*MAX(0,MIN(_xlfn.DAYS(EDATE(AA$1,1),Log_2018[[#This Row],[Date]]),Log_2018[[#This Row],[Split_apply]])) - SUM($O153:Z153)</f>
        <v>0</v>
      </c>
      <c r="AB153" s="54">
        <f ca="1">Log_2018[[#This Row],[Amount]]-SUM(O153:AA153)</f>
        <v>0</v>
      </c>
      <c r="AC153" s="7">
        <f ca="1">MAX(0,Log_2018[[#This Row],[Split_apply]] - (EDATE(AA$1,1)-Log_2018[[#This Row],[Date]]))</f>
        <v>0</v>
      </c>
    </row>
    <row r="154" spans="1:29" hidden="1" x14ac:dyDescent="0.25">
      <c r="A154" s="115"/>
      <c r="B154" t="s">
        <v>6</v>
      </c>
      <c r="D154" s="26">
        <v>43399</v>
      </c>
      <c r="E154" t="s">
        <v>424</v>
      </c>
      <c r="F154" t="s">
        <v>382</v>
      </c>
      <c r="G154" t="s">
        <v>214</v>
      </c>
      <c r="H154" s="3">
        <v>-48.02</v>
      </c>
      <c r="I154" s="36">
        <f>IF(Log_2018[[#This Row],[My Category]]="NONTRACKED",0,Log_2018[[#This Row],[Raw Amount]])</f>
        <v>-48.02</v>
      </c>
      <c r="J154" s="17">
        <f>ABS(Log_2018[[#This Row],[Amount]])</f>
        <v>48.02</v>
      </c>
      <c r="K154" s="66">
        <v>1</v>
      </c>
      <c r="L154" s="66">
        <f ca="1">IF(Log_2018[[#This Row],[Date]]&lt;=TODAY(), MIN(Log_2018[[#This Row],[Split_raw]], TODAY()-Log_2018[[#This Row],[Date]]+1), 0)</f>
        <v>1</v>
      </c>
      <c r="M154" t="s">
        <v>42</v>
      </c>
      <c r="N154" t="s">
        <v>158</v>
      </c>
      <c r="O154" s="50">
        <v>0</v>
      </c>
      <c r="P154" s="52">
        <f ca="1">Log_2018[[#This Row],[Amount]]/Log_2018[[#This Row],[Split_raw]]*MAX(0,MIN(_xlfn.DAYS(EDATE(P$1,1),Log_2018[[#This Row],[Date]]),Log_2018[[#This Row],[Split_apply]])) - SUM($O154:O154)</f>
        <v>0</v>
      </c>
      <c r="Q154" s="52">
        <f ca="1">Log_2018[[#This Row],[Amount]]/Log_2018[[#This Row],[Split_raw]]*MAX(0,MIN(_xlfn.DAYS(EDATE(Q$1,1),Log_2018[[#This Row],[Date]]),Log_2018[[#This Row],[Split_apply]])) - SUM($O154:P154)</f>
        <v>0</v>
      </c>
      <c r="R154" s="52">
        <f ca="1">Log_2018[[#This Row],[Amount]]/Log_2018[[#This Row],[Split_raw]]*MAX(0,MIN(_xlfn.DAYS(EDATE(R$1,1),Log_2018[[#This Row],[Date]]),Log_2018[[#This Row],[Split_apply]])) - SUM($O154:Q154)</f>
        <v>0</v>
      </c>
      <c r="S154" s="52">
        <f ca="1">Log_2018[[#This Row],[Amount]]/Log_2018[[#This Row],[Split_raw]]*MAX(0,MIN(_xlfn.DAYS(EDATE(S$1,1),Log_2018[[#This Row],[Date]]),Log_2018[[#This Row],[Split_apply]])) - SUM($O154:R154)</f>
        <v>0</v>
      </c>
      <c r="T154" s="52">
        <f ca="1">Log_2018[[#This Row],[Amount]]/Log_2018[[#This Row],[Split_raw]]*MAX(0,MIN(_xlfn.DAYS(EDATE(T$1,1),Log_2018[[#This Row],[Date]]),Log_2018[[#This Row],[Split_apply]])) - SUM($O154:S154)</f>
        <v>0</v>
      </c>
      <c r="U154" s="52">
        <f ca="1">Log_2018[[#This Row],[Amount]]/Log_2018[[#This Row],[Split_raw]]*MAX(0,MIN(_xlfn.DAYS(EDATE(U$1,1),Log_2018[[#This Row],[Date]]),Log_2018[[#This Row],[Split_apply]])) - SUM($O154:T154)</f>
        <v>0</v>
      </c>
      <c r="V154" s="52">
        <f ca="1">Log_2018[[#This Row],[Amount]]/Log_2018[[#This Row],[Split_raw]]*MAX(0,MIN(_xlfn.DAYS(EDATE(V$1,1),Log_2018[[#This Row],[Date]]),Log_2018[[#This Row],[Split_apply]])) - SUM($O154:U154)</f>
        <v>0</v>
      </c>
      <c r="W154" s="52">
        <f ca="1">Log_2018[[#This Row],[Amount]]/Log_2018[[#This Row],[Split_raw]]*MAX(0,MIN(_xlfn.DAYS(EDATE(W$1,1),Log_2018[[#This Row],[Date]]),Log_2018[[#This Row],[Split_apply]])) - SUM($O154:V154)</f>
        <v>0</v>
      </c>
      <c r="X154" s="52">
        <f ca="1">Log_2018[[#This Row],[Amount]]/Log_2018[[#This Row],[Split_raw]]*MAX(0,MIN(_xlfn.DAYS(EDATE(X$1,1),Log_2018[[#This Row],[Date]]),Log_2018[[#This Row],[Split_apply]])) - SUM($O154:W154)</f>
        <v>0</v>
      </c>
      <c r="Y154" s="52">
        <f ca="1">Log_2018[[#This Row],[Amount]]/Log_2018[[#This Row],[Split_raw]]*MAX(0,MIN(_xlfn.DAYS(EDATE(Y$1,1),Log_2018[[#This Row],[Date]]),Log_2018[[#This Row],[Split_apply]])) - SUM($O154:X154)</f>
        <v>-48.02</v>
      </c>
      <c r="Z154" s="52">
        <f ca="1">Log_2018[[#This Row],[Amount]]/Log_2018[[#This Row],[Split_raw]]*MAX(0,MIN(_xlfn.DAYS(EDATE(Z$1,1),Log_2018[[#This Row],[Date]]),Log_2018[[#This Row],[Split_apply]])) - SUM($O154:Y154)</f>
        <v>0</v>
      </c>
      <c r="AA154" s="52">
        <f ca="1">Log_2018[[#This Row],[Amount]]/Log_2018[[#This Row],[Split_raw]]*MAX(0,MIN(_xlfn.DAYS(EDATE(AA$1,1),Log_2018[[#This Row],[Date]]),Log_2018[[#This Row],[Split_apply]])) - SUM($O154:Z154)</f>
        <v>0</v>
      </c>
      <c r="AB154" s="54">
        <f ca="1">Log_2018[[#This Row],[Amount]]-SUM(O154:AA154)</f>
        <v>0</v>
      </c>
      <c r="AC154" s="7">
        <f ca="1">MAX(0,Log_2018[[#This Row],[Split_apply]] - (EDATE(AA$1,1)-Log_2018[[#This Row],[Date]]))</f>
        <v>0</v>
      </c>
    </row>
    <row r="155" spans="1:29" hidden="1" x14ac:dyDescent="0.25">
      <c r="A155" s="115"/>
      <c r="B155" t="s">
        <v>6</v>
      </c>
      <c r="D155" s="26">
        <v>43399</v>
      </c>
      <c r="F155" t="s">
        <v>405</v>
      </c>
      <c r="G155" t="s">
        <v>25</v>
      </c>
      <c r="H155" s="3">
        <v>-11.1</v>
      </c>
      <c r="I155" s="36">
        <f>IF(Log_2018[[#This Row],[My Category]]="NONTRACKED",0,Log_2018[[#This Row],[Raw Amount]])</f>
        <v>-11.1</v>
      </c>
      <c r="J155" s="17">
        <f>ABS(Log_2018[[#This Row],[Amount]])</f>
        <v>11.1</v>
      </c>
      <c r="K155" s="66">
        <v>1</v>
      </c>
      <c r="L155" s="66">
        <f ca="1">IF(Log_2018[[#This Row],[Date]]&lt;=TODAY(), MIN(Log_2018[[#This Row],[Split_raw]], TODAY()-Log_2018[[#This Row],[Date]]+1), 0)</f>
        <v>1</v>
      </c>
      <c r="M155" t="s">
        <v>35</v>
      </c>
      <c r="N155" t="s">
        <v>158</v>
      </c>
      <c r="O155" s="50">
        <v>0</v>
      </c>
      <c r="P155" s="52">
        <f ca="1">Log_2018[[#This Row],[Amount]]/Log_2018[[#This Row],[Split_raw]]*MAX(0,MIN(_xlfn.DAYS(EDATE(P$1,1),Log_2018[[#This Row],[Date]]),Log_2018[[#This Row],[Split_apply]])) - SUM($O155:O155)</f>
        <v>0</v>
      </c>
      <c r="Q155" s="52">
        <f ca="1">Log_2018[[#This Row],[Amount]]/Log_2018[[#This Row],[Split_raw]]*MAX(0,MIN(_xlfn.DAYS(EDATE(Q$1,1),Log_2018[[#This Row],[Date]]),Log_2018[[#This Row],[Split_apply]])) - SUM($O155:P155)</f>
        <v>0</v>
      </c>
      <c r="R155" s="52">
        <f ca="1">Log_2018[[#This Row],[Amount]]/Log_2018[[#This Row],[Split_raw]]*MAX(0,MIN(_xlfn.DAYS(EDATE(R$1,1),Log_2018[[#This Row],[Date]]),Log_2018[[#This Row],[Split_apply]])) - SUM($O155:Q155)</f>
        <v>0</v>
      </c>
      <c r="S155" s="52">
        <f ca="1">Log_2018[[#This Row],[Amount]]/Log_2018[[#This Row],[Split_raw]]*MAX(0,MIN(_xlfn.DAYS(EDATE(S$1,1),Log_2018[[#This Row],[Date]]),Log_2018[[#This Row],[Split_apply]])) - SUM($O155:R155)</f>
        <v>0</v>
      </c>
      <c r="T155" s="52">
        <f ca="1">Log_2018[[#This Row],[Amount]]/Log_2018[[#This Row],[Split_raw]]*MAX(0,MIN(_xlfn.DAYS(EDATE(T$1,1),Log_2018[[#This Row],[Date]]),Log_2018[[#This Row],[Split_apply]])) - SUM($O155:S155)</f>
        <v>0</v>
      </c>
      <c r="U155" s="52">
        <f ca="1">Log_2018[[#This Row],[Amount]]/Log_2018[[#This Row],[Split_raw]]*MAX(0,MIN(_xlfn.DAYS(EDATE(U$1,1),Log_2018[[#This Row],[Date]]),Log_2018[[#This Row],[Split_apply]])) - SUM($O155:T155)</f>
        <v>0</v>
      </c>
      <c r="V155" s="52">
        <f ca="1">Log_2018[[#This Row],[Amount]]/Log_2018[[#This Row],[Split_raw]]*MAX(0,MIN(_xlfn.DAYS(EDATE(V$1,1),Log_2018[[#This Row],[Date]]),Log_2018[[#This Row],[Split_apply]])) - SUM($O155:U155)</f>
        <v>0</v>
      </c>
      <c r="W155" s="52">
        <f ca="1">Log_2018[[#This Row],[Amount]]/Log_2018[[#This Row],[Split_raw]]*MAX(0,MIN(_xlfn.DAYS(EDATE(W$1,1),Log_2018[[#This Row],[Date]]),Log_2018[[#This Row],[Split_apply]])) - SUM($O155:V155)</f>
        <v>0</v>
      </c>
      <c r="X155" s="52">
        <f ca="1">Log_2018[[#This Row],[Amount]]/Log_2018[[#This Row],[Split_raw]]*MAX(0,MIN(_xlfn.DAYS(EDATE(X$1,1),Log_2018[[#This Row],[Date]]),Log_2018[[#This Row],[Split_apply]])) - SUM($O155:W155)</f>
        <v>0</v>
      </c>
      <c r="Y155" s="52">
        <f ca="1">Log_2018[[#This Row],[Amount]]/Log_2018[[#This Row],[Split_raw]]*MAX(0,MIN(_xlfn.DAYS(EDATE(Y$1,1),Log_2018[[#This Row],[Date]]),Log_2018[[#This Row],[Split_apply]])) - SUM($O155:X155)</f>
        <v>-11.1</v>
      </c>
      <c r="Z155" s="52">
        <f ca="1">Log_2018[[#This Row],[Amount]]/Log_2018[[#This Row],[Split_raw]]*MAX(0,MIN(_xlfn.DAYS(EDATE(Z$1,1),Log_2018[[#This Row],[Date]]),Log_2018[[#This Row],[Split_apply]])) - SUM($O155:Y155)</f>
        <v>0</v>
      </c>
      <c r="AA155" s="52">
        <f ca="1">Log_2018[[#This Row],[Amount]]/Log_2018[[#This Row],[Split_raw]]*MAX(0,MIN(_xlfn.DAYS(EDATE(AA$1,1),Log_2018[[#This Row],[Date]]),Log_2018[[#This Row],[Split_apply]])) - SUM($O155:Z155)</f>
        <v>0</v>
      </c>
      <c r="AB155" s="54">
        <f ca="1">Log_2018[[#This Row],[Amount]]-SUM(O155:AA155)</f>
        <v>0</v>
      </c>
      <c r="AC155" s="7">
        <f ca="1">MAX(0,Log_2018[[#This Row],[Split_apply]] - (EDATE(AA$1,1)-Log_2018[[#This Row],[Date]]))</f>
        <v>0</v>
      </c>
    </row>
    <row r="156" spans="1:29" hidden="1" x14ac:dyDescent="0.25">
      <c r="A156" s="115"/>
      <c r="B156" t="s">
        <v>6</v>
      </c>
      <c r="D156" s="26">
        <v>43398</v>
      </c>
      <c r="F156" t="s">
        <v>255</v>
      </c>
      <c r="G156" t="s">
        <v>25</v>
      </c>
      <c r="H156" s="3">
        <v>-12.5</v>
      </c>
      <c r="I156" s="36">
        <f>IF(Log_2018[[#This Row],[My Category]]="NONTRACKED",0,Log_2018[[#This Row],[Raw Amount]])</f>
        <v>-12.5</v>
      </c>
      <c r="J156" s="17">
        <f>ABS(Log_2018[[#This Row],[Amount]])</f>
        <v>12.5</v>
      </c>
      <c r="K156" s="66">
        <v>1</v>
      </c>
      <c r="L156" s="66">
        <f ca="1">IF(Log_2018[[#This Row],[Date]]&lt;=TODAY(), MIN(Log_2018[[#This Row],[Split_raw]], TODAY()-Log_2018[[#This Row],[Date]]+1), 0)</f>
        <v>1</v>
      </c>
      <c r="M156" t="s">
        <v>35</v>
      </c>
      <c r="N156" t="s">
        <v>158</v>
      </c>
      <c r="O156" s="50">
        <v>0</v>
      </c>
      <c r="P156" s="52">
        <f ca="1">Log_2018[[#This Row],[Amount]]/Log_2018[[#This Row],[Split_raw]]*MAX(0,MIN(_xlfn.DAYS(EDATE(P$1,1),Log_2018[[#This Row],[Date]]),Log_2018[[#This Row],[Split_apply]])) - SUM($O156:O156)</f>
        <v>0</v>
      </c>
      <c r="Q156" s="52">
        <f ca="1">Log_2018[[#This Row],[Amount]]/Log_2018[[#This Row],[Split_raw]]*MAX(0,MIN(_xlfn.DAYS(EDATE(Q$1,1),Log_2018[[#This Row],[Date]]),Log_2018[[#This Row],[Split_apply]])) - SUM($O156:P156)</f>
        <v>0</v>
      </c>
      <c r="R156" s="52">
        <f ca="1">Log_2018[[#This Row],[Amount]]/Log_2018[[#This Row],[Split_raw]]*MAX(0,MIN(_xlfn.DAYS(EDATE(R$1,1),Log_2018[[#This Row],[Date]]),Log_2018[[#This Row],[Split_apply]])) - SUM($O156:Q156)</f>
        <v>0</v>
      </c>
      <c r="S156" s="52">
        <f ca="1">Log_2018[[#This Row],[Amount]]/Log_2018[[#This Row],[Split_raw]]*MAX(0,MIN(_xlfn.DAYS(EDATE(S$1,1),Log_2018[[#This Row],[Date]]),Log_2018[[#This Row],[Split_apply]])) - SUM($O156:R156)</f>
        <v>0</v>
      </c>
      <c r="T156" s="52">
        <f ca="1">Log_2018[[#This Row],[Amount]]/Log_2018[[#This Row],[Split_raw]]*MAX(0,MIN(_xlfn.DAYS(EDATE(T$1,1),Log_2018[[#This Row],[Date]]),Log_2018[[#This Row],[Split_apply]])) - SUM($O156:S156)</f>
        <v>0</v>
      </c>
      <c r="U156" s="52">
        <f ca="1">Log_2018[[#This Row],[Amount]]/Log_2018[[#This Row],[Split_raw]]*MAX(0,MIN(_xlfn.DAYS(EDATE(U$1,1),Log_2018[[#This Row],[Date]]),Log_2018[[#This Row],[Split_apply]])) - SUM($O156:T156)</f>
        <v>0</v>
      </c>
      <c r="V156" s="52">
        <f ca="1">Log_2018[[#This Row],[Amount]]/Log_2018[[#This Row],[Split_raw]]*MAX(0,MIN(_xlfn.DAYS(EDATE(V$1,1),Log_2018[[#This Row],[Date]]),Log_2018[[#This Row],[Split_apply]])) - SUM($O156:U156)</f>
        <v>0</v>
      </c>
      <c r="W156" s="52">
        <f ca="1">Log_2018[[#This Row],[Amount]]/Log_2018[[#This Row],[Split_raw]]*MAX(0,MIN(_xlfn.DAYS(EDATE(W$1,1),Log_2018[[#This Row],[Date]]),Log_2018[[#This Row],[Split_apply]])) - SUM($O156:V156)</f>
        <v>0</v>
      </c>
      <c r="X156" s="52">
        <f ca="1">Log_2018[[#This Row],[Amount]]/Log_2018[[#This Row],[Split_raw]]*MAX(0,MIN(_xlfn.DAYS(EDATE(X$1,1),Log_2018[[#This Row],[Date]]),Log_2018[[#This Row],[Split_apply]])) - SUM($O156:W156)</f>
        <v>0</v>
      </c>
      <c r="Y156" s="52">
        <f ca="1">Log_2018[[#This Row],[Amount]]/Log_2018[[#This Row],[Split_raw]]*MAX(0,MIN(_xlfn.DAYS(EDATE(Y$1,1),Log_2018[[#This Row],[Date]]),Log_2018[[#This Row],[Split_apply]])) - SUM($O156:X156)</f>
        <v>-12.5</v>
      </c>
      <c r="Z156" s="52">
        <f ca="1">Log_2018[[#This Row],[Amount]]/Log_2018[[#This Row],[Split_raw]]*MAX(0,MIN(_xlfn.DAYS(EDATE(Z$1,1),Log_2018[[#This Row],[Date]]),Log_2018[[#This Row],[Split_apply]])) - SUM($O156:Y156)</f>
        <v>0</v>
      </c>
      <c r="AA156" s="52">
        <f ca="1">Log_2018[[#This Row],[Amount]]/Log_2018[[#This Row],[Split_raw]]*MAX(0,MIN(_xlfn.DAYS(EDATE(AA$1,1),Log_2018[[#This Row],[Date]]),Log_2018[[#This Row],[Split_apply]])) - SUM($O156:Z156)</f>
        <v>0</v>
      </c>
      <c r="AB156" s="54">
        <f ca="1">Log_2018[[#This Row],[Amount]]-SUM(O156:AA156)</f>
        <v>0</v>
      </c>
      <c r="AC156" s="7">
        <f ca="1">MAX(0,Log_2018[[#This Row],[Split_apply]] - (EDATE(AA$1,1)-Log_2018[[#This Row],[Date]]))</f>
        <v>0</v>
      </c>
    </row>
    <row r="157" spans="1:29" hidden="1" x14ac:dyDescent="0.25">
      <c r="A157" s="115"/>
      <c r="B157" t="s">
        <v>6</v>
      </c>
      <c r="D157" s="26">
        <v>43398</v>
      </c>
      <c r="F157" t="s">
        <v>268</v>
      </c>
      <c r="G157" t="s">
        <v>87</v>
      </c>
      <c r="H157" s="3">
        <f>--1886.52</f>
        <v>1886.52</v>
      </c>
      <c r="I157" s="36">
        <f>IF(Log_2018[[#This Row],[My Category]]="NONTRACKED",0,Log_2018[[#This Row],[Raw Amount]])</f>
        <v>1886.52</v>
      </c>
      <c r="J157" s="17">
        <f>ABS(Log_2018[[#This Row],[Amount]])</f>
        <v>1886.52</v>
      </c>
      <c r="K157" s="66">
        <v>14</v>
      </c>
      <c r="L157" s="66">
        <f ca="1">IF(Log_2018[[#This Row],[Date]]&lt;=TODAY(), MIN(Log_2018[[#This Row],[Split_raw]], TODAY()-Log_2018[[#This Row],[Date]]+1), 0)</f>
        <v>14</v>
      </c>
      <c r="M157" t="s">
        <v>91</v>
      </c>
      <c r="N157" t="s">
        <v>160</v>
      </c>
      <c r="O157" s="50">
        <v>0</v>
      </c>
      <c r="P157" s="52">
        <f ca="1">Log_2018[[#This Row],[Amount]]/Log_2018[[#This Row],[Split_raw]]*MAX(0,MIN(_xlfn.DAYS(EDATE(P$1,1),Log_2018[[#This Row],[Date]]),Log_2018[[#This Row],[Split_apply]])) - SUM($O157:O157)</f>
        <v>0</v>
      </c>
      <c r="Q157" s="52">
        <f ca="1">Log_2018[[#This Row],[Amount]]/Log_2018[[#This Row],[Split_raw]]*MAX(0,MIN(_xlfn.DAYS(EDATE(Q$1,1),Log_2018[[#This Row],[Date]]),Log_2018[[#This Row],[Split_apply]])) - SUM($O157:P157)</f>
        <v>0</v>
      </c>
      <c r="R157" s="52">
        <f ca="1">Log_2018[[#This Row],[Amount]]/Log_2018[[#This Row],[Split_raw]]*MAX(0,MIN(_xlfn.DAYS(EDATE(R$1,1),Log_2018[[#This Row],[Date]]),Log_2018[[#This Row],[Split_apply]])) - SUM($O157:Q157)</f>
        <v>0</v>
      </c>
      <c r="S157" s="52">
        <f ca="1">Log_2018[[#This Row],[Amount]]/Log_2018[[#This Row],[Split_raw]]*MAX(0,MIN(_xlfn.DAYS(EDATE(S$1,1),Log_2018[[#This Row],[Date]]),Log_2018[[#This Row],[Split_apply]])) - SUM($O157:R157)</f>
        <v>0</v>
      </c>
      <c r="T157" s="52">
        <f ca="1">Log_2018[[#This Row],[Amount]]/Log_2018[[#This Row],[Split_raw]]*MAX(0,MIN(_xlfn.DAYS(EDATE(T$1,1),Log_2018[[#This Row],[Date]]),Log_2018[[#This Row],[Split_apply]])) - SUM($O157:S157)</f>
        <v>0</v>
      </c>
      <c r="U157" s="52">
        <f ca="1">Log_2018[[#This Row],[Amount]]/Log_2018[[#This Row],[Split_raw]]*MAX(0,MIN(_xlfn.DAYS(EDATE(U$1,1),Log_2018[[#This Row],[Date]]),Log_2018[[#This Row],[Split_apply]])) - SUM($O157:T157)</f>
        <v>0</v>
      </c>
      <c r="V157" s="52">
        <f ca="1">Log_2018[[#This Row],[Amount]]/Log_2018[[#This Row],[Split_raw]]*MAX(0,MIN(_xlfn.DAYS(EDATE(V$1,1),Log_2018[[#This Row],[Date]]),Log_2018[[#This Row],[Split_apply]])) - SUM($O157:U157)</f>
        <v>0</v>
      </c>
      <c r="W157" s="52">
        <f ca="1">Log_2018[[#This Row],[Amount]]/Log_2018[[#This Row],[Split_raw]]*MAX(0,MIN(_xlfn.DAYS(EDATE(W$1,1),Log_2018[[#This Row],[Date]]),Log_2018[[#This Row],[Split_apply]])) - SUM($O157:V157)</f>
        <v>0</v>
      </c>
      <c r="X157" s="52">
        <f ca="1">Log_2018[[#This Row],[Amount]]/Log_2018[[#This Row],[Split_raw]]*MAX(0,MIN(_xlfn.DAYS(EDATE(X$1,1),Log_2018[[#This Row],[Date]]),Log_2018[[#This Row],[Split_apply]])) - SUM($O157:W157)</f>
        <v>0</v>
      </c>
      <c r="Y157" s="52">
        <f ca="1">Log_2018[[#This Row],[Amount]]/Log_2018[[#This Row],[Split_raw]]*MAX(0,MIN(_xlfn.DAYS(EDATE(Y$1,1),Log_2018[[#This Row],[Date]]),Log_2018[[#This Row],[Split_apply]])) - SUM($O157:X157)</f>
        <v>943.26</v>
      </c>
      <c r="Z157" s="52">
        <f ca="1">Log_2018[[#This Row],[Amount]]/Log_2018[[#This Row],[Split_raw]]*MAX(0,MIN(_xlfn.DAYS(EDATE(Z$1,1),Log_2018[[#This Row],[Date]]),Log_2018[[#This Row],[Split_apply]])) - SUM($O157:Y157)</f>
        <v>943.26</v>
      </c>
      <c r="AA157" s="52">
        <f ca="1">Log_2018[[#This Row],[Amount]]/Log_2018[[#This Row],[Split_raw]]*MAX(0,MIN(_xlfn.DAYS(EDATE(AA$1,1),Log_2018[[#This Row],[Date]]),Log_2018[[#This Row],[Split_apply]])) - SUM($O157:Z157)</f>
        <v>0</v>
      </c>
      <c r="AB157" s="54">
        <f ca="1">Log_2018[[#This Row],[Amount]]-SUM(O157:AA157)</f>
        <v>0</v>
      </c>
      <c r="AC157" s="7">
        <f ca="1">MAX(0,Log_2018[[#This Row],[Split_apply]] - (EDATE(AA$1,1)-Log_2018[[#This Row],[Date]]))</f>
        <v>0</v>
      </c>
    </row>
    <row r="158" spans="1:29" hidden="1" x14ac:dyDescent="0.25">
      <c r="A158" s="115"/>
      <c r="B158" t="s">
        <v>6</v>
      </c>
      <c r="D158" s="26">
        <v>43396</v>
      </c>
      <c r="E158" t="s">
        <v>424</v>
      </c>
      <c r="F158" t="s">
        <v>382</v>
      </c>
      <c r="G158" t="s">
        <v>214</v>
      </c>
      <c r="H158" s="3">
        <v>-50.26</v>
      </c>
      <c r="I158" s="36">
        <f>IF(Log_2018[[#This Row],[My Category]]="NONTRACKED",0,Log_2018[[#This Row],[Raw Amount]])</f>
        <v>-50.26</v>
      </c>
      <c r="J158" s="17">
        <f>ABS(Log_2018[[#This Row],[Amount]])</f>
        <v>50.26</v>
      </c>
      <c r="K158" s="66">
        <v>1</v>
      </c>
      <c r="L158" s="66">
        <f ca="1">IF(Log_2018[[#This Row],[Date]]&lt;=TODAY(), MIN(Log_2018[[#This Row],[Split_raw]], TODAY()-Log_2018[[#This Row],[Date]]+1), 0)</f>
        <v>1</v>
      </c>
      <c r="M158" t="s">
        <v>42</v>
      </c>
      <c r="N158" t="s">
        <v>158</v>
      </c>
      <c r="O158" s="50">
        <v>0</v>
      </c>
      <c r="P158" s="52">
        <f ca="1">Log_2018[[#This Row],[Amount]]/Log_2018[[#This Row],[Split_raw]]*MAX(0,MIN(_xlfn.DAYS(EDATE(P$1,1),Log_2018[[#This Row],[Date]]),Log_2018[[#This Row],[Split_apply]])) - SUM($O158:O158)</f>
        <v>0</v>
      </c>
      <c r="Q158" s="52">
        <f ca="1">Log_2018[[#This Row],[Amount]]/Log_2018[[#This Row],[Split_raw]]*MAX(0,MIN(_xlfn.DAYS(EDATE(Q$1,1),Log_2018[[#This Row],[Date]]),Log_2018[[#This Row],[Split_apply]])) - SUM($O158:P158)</f>
        <v>0</v>
      </c>
      <c r="R158" s="52">
        <f ca="1">Log_2018[[#This Row],[Amount]]/Log_2018[[#This Row],[Split_raw]]*MAX(0,MIN(_xlfn.DAYS(EDATE(R$1,1),Log_2018[[#This Row],[Date]]),Log_2018[[#This Row],[Split_apply]])) - SUM($O158:Q158)</f>
        <v>0</v>
      </c>
      <c r="S158" s="52">
        <f ca="1">Log_2018[[#This Row],[Amount]]/Log_2018[[#This Row],[Split_raw]]*MAX(0,MIN(_xlfn.DAYS(EDATE(S$1,1),Log_2018[[#This Row],[Date]]),Log_2018[[#This Row],[Split_apply]])) - SUM($O158:R158)</f>
        <v>0</v>
      </c>
      <c r="T158" s="52">
        <f ca="1">Log_2018[[#This Row],[Amount]]/Log_2018[[#This Row],[Split_raw]]*MAX(0,MIN(_xlfn.DAYS(EDATE(T$1,1),Log_2018[[#This Row],[Date]]),Log_2018[[#This Row],[Split_apply]])) - SUM($O158:S158)</f>
        <v>0</v>
      </c>
      <c r="U158" s="52">
        <f ca="1">Log_2018[[#This Row],[Amount]]/Log_2018[[#This Row],[Split_raw]]*MAX(0,MIN(_xlfn.DAYS(EDATE(U$1,1),Log_2018[[#This Row],[Date]]),Log_2018[[#This Row],[Split_apply]])) - SUM($O158:T158)</f>
        <v>0</v>
      </c>
      <c r="V158" s="52">
        <f ca="1">Log_2018[[#This Row],[Amount]]/Log_2018[[#This Row],[Split_raw]]*MAX(0,MIN(_xlfn.DAYS(EDATE(V$1,1),Log_2018[[#This Row],[Date]]),Log_2018[[#This Row],[Split_apply]])) - SUM($O158:U158)</f>
        <v>0</v>
      </c>
      <c r="W158" s="52">
        <f ca="1">Log_2018[[#This Row],[Amount]]/Log_2018[[#This Row],[Split_raw]]*MAX(0,MIN(_xlfn.DAYS(EDATE(W$1,1),Log_2018[[#This Row],[Date]]),Log_2018[[#This Row],[Split_apply]])) - SUM($O158:V158)</f>
        <v>0</v>
      </c>
      <c r="X158" s="52">
        <f ca="1">Log_2018[[#This Row],[Amount]]/Log_2018[[#This Row],[Split_raw]]*MAX(0,MIN(_xlfn.DAYS(EDATE(X$1,1),Log_2018[[#This Row],[Date]]),Log_2018[[#This Row],[Split_apply]])) - SUM($O158:W158)</f>
        <v>0</v>
      </c>
      <c r="Y158" s="52">
        <f ca="1">Log_2018[[#This Row],[Amount]]/Log_2018[[#This Row],[Split_raw]]*MAX(0,MIN(_xlfn.DAYS(EDATE(Y$1,1),Log_2018[[#This Row],[Date]]),Log_2018[[#This Row],[Split_apply]])) - SUM($O158:X158)</f>
        <v>-50.26</v>
      </c>
      <c r="Z158" s="52">
        <f ca="1">Log_2018[[#This Row],[Amount]]/Log_2018[[#This Row],[Split_raw]]*MAX(0,MIN(_xlfn.DAYS(EDATE(Z$1,1),Log_2018[[#This Row],[Date]]),Log_2018[[#This Row],[Split_apply]])) - SUM($O158:Y158)</f>
        <v>0</v>
      </c>
      <c r="AA158" s="52">
        <f ca="1">Log_2018[[#This Row],[Amount]]/Log_2018[[#This Row],[Split_raw]]*MAX(0,MIN(_xlfn.DAYS(EDATE(AA$1,1),Log_2018[[#This Row],[Date]]),Log_2018[[#This Row],[Split_apply]])) - SUM($O158:Z158)</f>
        <v>0</v>
      </c>
      <c r="AB158" s="54">
        <f ca="1">Log_2018[[#This Row],[Amount]]-SUM(O158:AA158)</f>
        <v>0</v>
      </c>
      <c r="AC158" s="7">
        <f ca="1">MAX(0,Log_2018[[#This Row],[Split_apply]] - (EDATE(AA$1,1)-Log_2018[[#This Row],[Date]]))</f>
        <v>0</v>
      </c>
    </row>
    <row r="159" spans="1:29" hidden="1" x14ac:dyDescent="0.25">
      <c r="A159" s="115"/>
      <c r="B159" t="s">
        <v>6</v>
      </c>
      <c r="D159" s="26">
        <v>43396</v>
      </c>
      <c r="F159" t="s">
        <v>270</v>
      </c>
      <c r="G159" t="s">
        <v>25</v>
      </c>
      <c r="H159" s="3">
        <v>-9.2899999999999991</v>
      </c>
      <c r="I159" s="36">
        <f>IF(Log_2018[[#This Row],[My Category]]="NONTRACKED",0,Log_2018[[#This Row],[Raw Amount]])</f>
        <v>-9.2899999999999991</v>
      </c>
      <c r="J159" s="17">
        <f>ABS(Log_2018[[#This Row],[Amount]])</f>
        <v>9.2899999999999991</v>
      </c>
      <c r="K159" s="66">
        <v>1</v>
      </c>
      <c r="L159" s="66">
        <f ca="1">IF(Log_2018[[#This Row],[Date]]&lt;=TODAY(), MIN(Log_2018[[#This Row],[Split_raw]], TODAY()-Log_2018[[#This Row],[Date]]+1), 0)</f>
        <v>1</v>
      </c>
      <c r="M159" t="s">
        <v>35</v>
      </c>
      <c r="N159" t="s">
        <v>158</v>
      </c>
      <c r="O159" s="50">
        <v>0</v>
      </c>
      <c r="P159" s="52">
        <f ca="1">Log_2018[[#This Row],[Amount]]/Log_2018[[#This Row],[Split_raw]]*MAX(0,MIN(_xlfn.DAYS(EDATE(P$1,1),Log_2018[[#This Row],[Date]]),Log_2018[[#This Row],[Split_apply]])) - SUM($O159:O159)</f>
        <v>0</v>
      </c>
      <c r="Q159" s="52">
        <f ca="1">Log_2018[[#This Row],[Amount]]/Log_2018[[#This Row],[Split_raw]]*MAX(0,MIN(_xlfn.DAYS(EDATE(Q$1,1),Log_2018[[#This Row],[Date]]),Log_2018[[#This Row],[Split_apply]])) - SUM($O159:P159)</f>
        <v>0</v>
      </c>
      <c r="R159" s="52">
        <f ca="1">Log_2018[[#This Row],[Amount]]/Log_2018[[#This Row],[Split_raw]]*MAX(0,MIN(_xlfn.DAYS(EDATE(R$1,1),Log_2018[[#This Row],[Date]]),Log_2018[[#This Row],[Split_apply]])) - SUM($O159:Q159)</f>
        <v>0</v>
      </c>
      <c r="S159" s="52">
        <f ca="1">Log_2018[[#This Row],[Amount]]/Log_2018[[#This Row],[Split_raw]]*MAX(0,MIN(_xlfn.DAYS(EDATE(S$1,1),Log_2018[[#This Row],[Date]]),Log_2018[[#This Row],[Split_apply]])) - SUM($O159:R159)</f>
        <v>0</v>
      </c>
      <c r="T159" s="52">
        <f ca="1">Log_2018[[#This Row],[Amount]]/Log_2018[[#This Row],[Split_raw]]*MAX(0,MIN(_xlfn.DAYS(EDATE(T$1,1),Log_2018[[#This Row],[Date]]),Log_2018[[#This Row],[Split_apply]])) - SUM($O159:S159)</f>
        <v>0</v>
      </c>
      <c r="U159" s="52">
        <f ca="1">Log_2018[[#This Row],[Amount]]/Log_2018[[#This Row],[Split_raw]]*MAX(0,MIN(_xlfn.DAYS(EDATE(U$1,1),Log_2018[[#This Row],[Date]]),Log_2018[[#This Row],[Split_apply]])) - SUM($O159:T159)</f>
        <v>0</v>
      </c>
      <c r="V159" s="52">
        <f ca="1">Log_2018[[#This Row],[Amount]]/Log_2018[[#This Row],[Split_raw]]*MAX(0,MIN(_xlfn.DAYS(EDATE(V$1,1),Log_2018[[#This Row],[Date]]),Log_2018[[#This Row],[Split_apply]])) - SUM($O159:U159)</f>
        <v>0</v>
      </c>
      <c r="W159" s="52">
        <f ca="1">Log_2018[[#This Row],[Amount]]/Log_2018[[#This Row],[Split_raw]]*MAX(0,MIN(_xlfn.DAYS(EDATE(W$1,1),Log_2018[[#This Row],[Date]]),Log_2018[[#This Row],[Split_apply]])) - SUM($O159:V159)</f>
        <v>0</v>
      </c>
      <c r="X159" s="52">
        <f ca="1">Log_2018[[#This Row],[Amount]]/Log_2018[[#This Row],[Split_raw]]*MAX(0,MIN(_xlfn.DAYS(EDATE(X$1,1),Log_2018[[#This Row],[Date]]),Log_2018[[#This Row],[Split_apply]])) - SUM($O159:W159)</f>
        <v>0</v>
      </c>
      <c r="Y159" s="52">
        <f ca="1">Log_2018[[#This Row],[Amount]]/Log_2018[[#This Row],[Split_raw]]*MAX(0,MIN(_xlfn.DAYS(EDATE(Y$1,1),Log_2018[[#This Row],[Date]]),Log_2018[[#This Row],[Split_apply]])) - SUM($O159:X159)</f>
        <v>-9.2899999999999991</v>
      </c>
      <c r="Z159" s="52">
        <f ca="1">Log_2018[[#This Row],[Amount]]/Log_2018[[#This Row],[Split_raw]]*MAX(0,MIN(_xlfn.DAYS(EDATE(Z$1,1),Log_2018[[#This Row],[Date]]),Log_2018[[#This Row],[Split_apply]])) - SUM($O159:Y159)</f>
        <v>0</v>
      </c>
      <c r="AA159" s="52">
        <f ca="1">Log_2018[[#This Row],[Amount]]/Log_2018[[#This Row],[Split_raw]]*MAX(0,MIN(_xlfn.DAYS(EDATE(AA$1,1),Log_2018[[#This Row],[Date]]),Log_2018[[#This Row],[Split_apply]])) - SUM($O159:Z159)</f>
        <v>0</v>
      </c>
      <c r="AB159" s="54">
        <f ca="1">Log_2018[[#This Row],[Amount]]-SUM(O159:AA159)</f>
        <v>0</v>
      </c>
      <c r="AC159" s="7">
        <f ca="1">MAX(0,Log_2018[[#This Row],[Split_apply]] - (EDATE(AA$1,1)-Log_2018[[#This Row],[Date]]))</f>
        <v>0</v>
      </c>
    </row>
    <row r="160" spans="1:29" hidden="1" x14ac:dyDescent="0.25">
      <c r="A160" s="115"/>
      <c r="B160" t="s">
        <v>6</v>
      </c>
      <c r="D160" s="39">
        <v>43396</v>
      </c>
      <c r="E160" t="s">
        <v>424</v>
      </c>
      <c r="F160" t="s">
        <v>406</v>
      </c>
      <c r="G160" t="s">
        <v>9</v>
      </c>
      <c r="H160" s="3">
        <v>-54.09</v>
      </c>
      <c r="I160" s="36">
        <f>IF(Log_2018[[#This Row],[My Category]]="NONTRACKED",0,Log_2018[[#This Row],[Raw Amount]])</f>
        <v>-54.09</v>
      </c>
      <c r="J160" s="17">
        <f>ABS(Log_2018[[#This Row],[Amount]])</f>
        <v>54.09</v>
      </c>
      <c r="K160" s="66">
        <v>1</v>
      </c>
      <c r="L160" s="66">
        <f ca="1">IF(Log_2018[[#This Row],[Date]]&lt;=TODAY(), MIN(Log_2018[[#This Row],[Split_raw]], TODAY()-Log_2018[[#This Row],[Date]]+1), 0)</f>
        <v>1</v>
      </c>
      <c r="M160" t="s">
        <v>42</v>
      </c>
      <c r="N160" t="s">
        <v>158</v>
      </c>
      <c r="O160" s="50">
        <v>0</v>
      </c>
      <c r="P160" s="52">
        <f ca="1">Log_2018[[#This Row],[Amount]]/Log_2018[[#This Row],[Split_raw]]*MAX(0,MIN(_xlfn.DAYS(EDATE(P$1,1),Log_2018[[#This Row],[Date]]),Log_2018[[#This Row],[Split_apply]])) - SUM($O160:O160)</f>
        <v>0</v>
      </c>
      <c r="Q160" s="52">
        <f ca="1">Log_2018[[#This Row],[Amount]]/Log_2018[[#This Row],[Split_raw]]*MAX(0,MIN(_xlfn.DAYS(EDATE(Q$1,1),Log_2018[[#This Row],[Date]]),Log_2018[[#This Row],[Split_apply]])) - SUM($O160:P160)</f>
        <v>0</v>
      </c>
      <c r="R160" s="52">
        <f ca="1">Log_2018[[#This Row],[Amount]]/Log_2018[[#This Row],[Split_raw]]*MAX(0,MIN(_xlfn.DAYS(EDATE(R$1,1),Log_2018[[#This Row],[Date]]),Log_2018[[#This Row],[Split_apply]])) - SUM($O160:Q160)</f>
        <v>0</v>
      </c>
      <c r="S160" s="52">
        <f ca="1">Log_2018[[#This Row],[Amount]]/Log_2018[[#This Row],[Split_raw]]*MAX(0,MIN(_xlfn.DAYS(EDATE(S$1,1),Log_2018[[#This Row],[Date]]),Log_2018[[#This Row],[Split_apply]])) - SUM($O160:R160)</f>
        <v>0</v>
      </c>
      <c r="T160" s="52">
        <f ca="1">Log_2018[[#This Row],[Amount]]/Log_2018[[#This Row],[Split_raw]]*MAX(0,MIN(_xlfn.DAYS(EDATE(T$1,1),Log_2018[[#This Row],[Date]]),Log_2018[[#This Row],[Split_apply]])) - SUM($O160:S160)</f>
        <v>0</v>
      </c>
      <c r="U160" s="52">
        <f ca="1">Log_2018[[#This Row],[Amount]]/Log_2018[[#This Row],[Split_raw]]*MAX(0,MIN(_xlfn.DAYS(EDATE(U$1,1),Log_2018[[#This Row],[Date]]),Log_2018[[#This Row],[Split_apply]])) - SUM($O160:T160)</f>
        <v>0</v>
      </c>
      <c r="V160" s="52">
        <f ca="1">Log_2018[[#This Row],[Amount]]/Log_2018[[#This Row],[Split_raw]]*MAX(0,MIN(_xlfn.DAYS(EDATE(V$1,1),Log_2018[[#This Row],[Date]]),Log_2018[[#This Row],[Split_apply]])) - SUM($O160:U160)</f>
        <v>0</v>
      </c>
      <c r="W160" s="52">
        <f ca="1">Log_2018[[#This Row],[Amount]]/Log_2018[[#This Row],[Split_raw]]*MAX(0,MIN(_xlfn.DAYS(EDATE(W$1,1),Log_2018[[#This Row],[Date]]),Log_2018[[#This Row],[Split_apply]])) - SUM($O160:V160)</f>
        <v>0</v>
      </c>
      <c r="X160" s="52">
        <f ca="1">Log_2018[[#This Row],[Amount]]/Log_2018[[#This Row],[Split_raw]]*MAX(0,MIN(_xlfn.DAYS(EDATE(X$1,1),Log_2018[[#This Row],[Date]]),Log_2018[[#This Row],[Split_apply]])) - SUM($O160:W160)</f>
        <v>0</v>
      </c>
      <c r="Y160" s="52">
        <f ca="1">Log_2018[[#This Row],[Amount]]/Log_2018[[#This Row],[Split_raw]]*MAX(0,MIN(_xlfn.DAYS(EDATE(Y$1,1),Log_2018[[#This Row],[Date]]),Log_2018[[#This Row],[Split_apply]])) - SUM($O160:X160)</f>
        <v>-54.09</v>
      </c>
      <c r="Z160" s="52">
        <f ca="1">Log_2018[[#This Row],[Amount]]/Log_2018[[#This Row],[Split_raw]]*MAX(0,MIN(_xlfn.DAYS(EDATE(Z$1,1),Log_2018[[#This Row],[Date]]),Log_2018[[#This Row],[Split_apply]])) - SUM($O160:Y160)</f>
        <v>0</v>
      </c>
      <c r="AA160" s="52">
        <f ca="1">Log_2018[[#This Row],[Amount]]/Log_2018[[#This Row],[Split_raw]]*MAX(0,MIN(_xlfn.DAYS(EDATE(AA$1,1),Log_2018[[#This Row],[Date]]),Log_2018[[#This Row],[Split_apply]])) - SUM($O160:Z160)</f>
        <v>0</v>
      </c>
      <c r="AB160" s="54">
        <f ca="1">Log_2018[[#This Row],[Amount]]-SUM(O160:AA160)</f>
        <v>0</v>
      </c>
      <c r="AC160" s="7">
        <f ca="1">MAX(0,Log_2018[[#This Row],[Split_apply]] - (EDATE(AA$1,1)-Log_2018[[#This Row],[Date]]))</f>
        <v>0</v>
      </c>
    </row>
    <row r="161" spans="1:29" hidden="1" x14ac:dyDescent="0.25">
      <c r="A161" s="115"/>
      <c r="B161" t="s">
        <v>6</v>
      </c>
      <c r="D161" s="39">
        <v>43395</v>
      </c>
      <c r="F161" t="s">
        <v>345</v>
      </c>
      <c r="G161" t="s">
        <v>12</v>
      </c>
      <c r="H161" s="3">
        <v>-151.16999999999999</v>
      </c>
      <c r="I161" s="36">
        <f>IF(Log_2018[[#This Row],[My Category]]="NONTRACKED",0,Log_2018[[#This Row],[Raw Amount]])</f>
        <v>-151.16999999999999</v>
      </c>
      <c r="J161" s="17">
        <f>ABS(Log_2018[[#This Row],[Amount]])</f>
        <v>151.16999999999999</v>
      </c>
      <c r="K161" s="66">
        <v>1</v>
      </c>
      <c r="L161" s="66">
        <f ca="1">IF(Log_2018[[#This Row],[Date]]&lt;=TODAY(), MIN(Log_2018[[#This Row],[Split_raw]], TODAY()-Log_2018[[#This Row],[Date]]+1), 0)</f>
        <v>1</v>
      </c>
      <c r="M161" t="s">
        <v>12</v>
      </c>
      <c r="N161" t="s">
        <v>158</v>
      </c>
      <c r="O161" s="50">
        <v>0</v>
      </c>
      <c r="P161" s="52">
        <f ca="1">Log_2018[[#This Row],[Amount]]/Log_2018[[#This Row],[Split_raw]]*MAX(0,MIN(_xlfn.DAYS(EDATE(P$1,1),Log_2018[[#This Row],[Date]]),Log_2018[[#This Row],[Split_apply]])) - SUM($O161:O161)</f>
        <v>0</v>
      </c>
      <c r="Q161" s="52">
        <f ca="1">Log_2018[[#This Row],[Amount]]/Log_2018[[#This Row],[Split_raw]]*MAX(0,MIN(_xlfn.DAYS(EDATE(Q$1,1),Log_2018[[#This Row],[Date]]),Log_2018[[#This Row],[Split_apply]])) - SUM($O161:P161)</f>
        <v>0</v>
      </c>
      <c r="R161" s="52">
        <f ca="1">Log_2018[[#This Row],[Amount]]/Log_2018[[#This Row],[Split_raw]]*MAX(0,MIN(_xlfn.DAYS(EDATE(R$1,1),Log_2018[[#This Row],[Date]]),Log_2018[[#This Row],[Split_apply]])) - SUM($O161:Q161)</f>
        <v>0</v>
      </c>
      <c r="S161" s="52">
        <f ca="1">Log_2018[[#This Row],[Amount]]/Log_2018[[#This Row],[Split_raw]]*MAX(0,MIN(_xlfn.DAYS(EDATE(S$1,1),Log_2018[[#This Row],[Date]]),Log_2018[[#This Row],[Split_apply]])) - SUM($O161:R161)</f>
        <v>0</v>
      </c>
      <c r="T161" s="52">
        <f ca="1">Log_2018[[#This Row],[Amount]]/Log_2018[[#This Row],[Split_raw]]*MAX(0,MIN(_xlfn.DAYS(EDATE(T$1,1),Log_2018[[#This Row],[Date]]),Log_2018[[#This Row],[Split_apply]])) - SUM($O161:S161)</f>
        <v>0</v>
      </c>
      <c r="U161" s="52">
        <f ca="1">Log_2018[[#This Row],[Amount]]/Log_2018[[#This Row],[Split_raw]]*MAX(0,MIN(_xlfn.DAYS(EDATE(U$1,1),Log_2018[[#This Row],[Date]]),Log_2018[[#This Row],[Split_apply]])) - SUM($O161:T161)</f>
        <v>0</v>
      </c>
      <c r="V161" s="52">
        <f ca="1">Log_2018[[#This Row],[Amount]]/Log_2018[[#This Row],[Split_raw]]*MAX(0,MIN(_xlfn.DAYS(EDATE(V$1,1),Log_2018[[#This Row],[Date]]),Log_2018[[#This Row],[Split_apply]])) - SUM($O161:U161)</f>
        <v>0</v>
      </c>
      <c r="W161" s="52">
        <f ca="1">Log_2018[[#This Row],[Amount]]/Log_2018[[#This Row],[Split_raw]]*MAX(0,MIN(_xlfn.DAYS(EDATE(W$1,1),Log_2018[[#This Row],[Date]]),Log_2018[[#This Row],[Split_apply]])) - SUM($O161:V161)</f>
        <v>0</v>
      </c>
      <c r="X161" s="52">
        <f ca="1">Log_2018[[#This Row],[Amount]]/Log_2018[[#This Row],[Split_raw]]*MAX(0,MIN(_xlfn.DAYS(EDATE(X$1,1),Log_2018[[#This Row],[Date]]),Log_2018[[#This Row],[Split_apply]])) - SUM($O161:W161)</f>
        <v>0</v>
      </c>
      <c r="Y161" s="52">
        <f ca="1">Log_2018[[#This Row],[Amount]]/Log_2018[[#This Row],[Split_raw]]*MAX(0,MIN(_xlfn.DAYS(EDATE(Y$1,1),Log_2018[[#This Row],[Date]]),Log_2018[[#This Row],[Split_apply]])) - SUM($O161:X161)</f>
        <v>-151.16999999999999</v>
      </c>
      <c r="Z161" s="52">
        <f ca="1">Log_2018[[#This Row],[Amount]]/Log_2018[[#This Row],[Split_raw]]*MAX(0,MIN(_xlfn.DAYS(EDATE(Z$1,1),Log_2018[[#This Row],[Date]]),Log_2018[[#This Row],[Split_apply]])) - SUM($O161:Y161)</f>
        <v>0</v>
      </c>
      <c r="AA161" s="52">
        <f ca="1">Log_2018[[#This Row],[Amount]]/Log_2018[[#This Row],[Split_raw]]*MAX(0,MIN(_xlfn.DAYS(EDATE(AA$1,1),Log_2018[[#This Row],[Date]]),Log_2018[[#This Row],[Split_apply]])) - SUM($O161:Z161)</f>
        <v>0</v>
      </c>
      <c r="AB161" s="54">
        <f ca="1">Log_2018[[#This Row],[Amount]]-SUM(O161:AA161)</f>
        <v>0</v>
      </c>
      <c r="AC161" s="7">
        <f ca="1">MAX(0,Log_2018[[#This Row],[Split_apply]] - (EDATE(AA$1,1)-Log_2018[[#This Row],[Date]]))</f>
        <v>0</v>
      </c>
    </row>
    <row r="162" spans="1:29" hidden="1" x14ac:dyDescent="0.25">
      <c r="A162" s="115"/>
      <c r="B162" t="s">
        <v>6</v>
      </c>
      <c r="D162" s="39">
        <v>43395</v>
      </c>
      <c r="E162" t="s">
        <v>872</v>
      </c>
      <c r="F162" t="s">
        <v>407</v>
      </c>
      <c r="G162" t="s">
        <v>22</v>
      </c>
      <c r="H162" s="3">
        <v>-15</v>
      </c>
      <c r="I162" s="36">
        <f>IF(Log_2018[[#This Row],[My Category]]="NONTRACKED",0,Log_2018[[#This Row],[Raw Amount]])</f>
        <v>-15</v>
      </c>
      <c r="J162" s="17">
        <f>ABS(Log_2018[[#This Row],[Amount]])</f>
        <v>15</v>
      </c>
      <c r="K162" s="66">
        <v>1</v>
      </c>
      <c r="L162" s="66">
        <f ca="1">IF(Log_2018[[#This Row],[Date]]&lt;=TODAY(), MIN(Log_2018[[#This Row],[Split_raw]], TODAY()-Log_2018[[#This Row],[Date]]+1), 0)</f>
        <v>1</v>
      </c>
      <c r="M162" t="s">
        <v>366</v>
      </c>
      <c r="N162" t="s">
        <v>158</v>
      </c>
      <c r="O162" s="50">
        <v>0</v>
      </c>
      <c r="P162" s="52">
        <f ca="1">Log_2018[[#This Row],[Amount]]/Log_2018[[#This Row],[Split_raw]]*MAX(0,MIN(_xlfn.DAYS(EDATE(P$1,1),Log_2018[[#This Row],[Date]]),Log_2018[[#This Row],[Split_apply]])) - SUM($O162:O162)</f>
        <v>0</v>
      </c>
      <c r="Q162" s="52">
        <f ca="1">Log_2018[[#This Row],[Amount]]/Log_2018[[#This Row],[Split_raw]]*MAX(0,MIN(_xlfn.DAYS(EDATE(Q$1,1),Log_2018[[#This Row],[Date]]),Log_2018[[#This Row],[Split_apply]])) - SUM($O162:P162)</f>
        <v>0</v>
      </c>
      <c r="R162" s="52">
        <f ca="1">Log_2018[[#This Row],[Amount]]/Log_2018[[#This Row],[Split_raw]]*MAX(0,MIN(_xlfn.DAYS(EDATE(R$1,1),Log_2018[[#This Row],[Date]]),Log_2018[[#This Row],[Split_apply]])) - SUM($O162:Q162)</f>
        <v>0</v>
      </c>
      <c r="S162" s="52">
        <f ca="1">Log_2018[[#This Row],[Amount]]/Log_2018[[#This Row],[Split_raw]]*MAX(0,MIN(_xlfn.DAYS(EDATE(S$1,1),Log_2018[[#This Row],[Date]]),Log_2018[[#This Row],[Split_apply]])) - SUM($O162:R162)</f>
        <v>0</v>
      </c>
      <c r="T162" s="52">
        <f ca="1">Log_2018[[#This Row],[Amount]]/Log_2018[[#This Row],[Split_raw]]*MAX(0,MIN(_xlfn.DAYS(EDATE(T$1,1),Log_2018[[#This Row],[Date]]),Log_2018[[#This Row],[Split_apply]])) - SUM($O162:S162)</f>
        <v>0</v>
      </c>
      <c r="U162" s="52">
        <f ca="1">Log_2018[[#This Row],[Amount]]/Log_2018[[#This Row],[Split_raw]]*MAX(0,MIN(_xlfn.DAYS(EDATE(U$1,1),Log_2018[[#This Row],[Date]]),Log_2018[[#This Row],[Split_apply]])) - SUM($O162:T162)</f>
        <v>0</v>
      </c>
      <c r="V162" s="52">
        <f ca="1">Log_2018[[#This Row],[Amount]]/Log_2018[[#This Row],[Split_raw]]*MAX(0,MIN(_xlfn.DAYS(EDATE(V$1,1),Log_2018[[#This Row],[Date]]),Log_2018[[#This Row],[Split_apply]])) - SUM($O162:U162)</f>
        <v>0</v>
      </c>
      <c r="W162" s="52">
        <f ca="1">Log_2018[[#This Row],[Amount]]/Log_2018[[#This Row],[Split_raw]]*MAX(0,MIN(_xlfn.DAYS(EDATE(W$1,1),Log_2018[[#This Row],[Date]]),Log_2018[[#This Row],[Split_apply]])) - SUM($O162:V162)</f>
        <v>0</v>
      </c>
      <c r="X162" s="52">
        <f ca="1">Log_2018[[#This Row],[Amount]]/Log_2018[[#This Row],[Split_raw]]*MAX(0,MIN(_xlfn.DAYS(EDATE(X$1,1),Log_2018[[#This Row],[Date]]),Log_2018[[#This Row],[Split_apply]])) - SUM($O162:W162)</f>
        <v>0</v>
      </c>
      <c r="Y162" s="52">
        <f ca="1">Log_2018[[#This Row],[Amount]]/Log_2018[[#This Row],[Split_raw]]*MAX(0,MIN(_xlfn.DAYS(EDATE(Y$1,1),Log_2018[[#This Row],[Date]]),Log_2018[[#This Row],[Split_apply]])) - SUM($O162:X162)</f>
        <v>-15</v>
      </c>
      <c r="Z162" s="52">
        <f ca="1">Log_2018[[#This Row],[Amount]]/Log_2018[[#This Row],[Split_raw]]*MAX(0,MIN(_xlfn.DAYS(EDATE(Z$1,1),Log_2018[[#This Row],[Date]]),Log_2018[[#This Row],[Split_apply]])) - SUM($O162:Y162)</f>
        <v>0</v>
      </c>
      <c r="AA162" s="52">
        <f ca="1">Log_2018[[#This Row],[Amount]]/Log_2018[[#This Row],[Split_raw]]*MAX(0,MIN(_xlfn.DAYS(EDATE(AA$1,1),Log_2018[[#This Row],[Date]]),Log_2018[[#This Row],[Split_apply]])) - SUM($O162:Z162)</f>
        <v>0</v>
      </c>
      <c r="AB162" s="54">
        <f ca="1">Log_2018[[#This Row],[Amount]]-SUM(O162:AA162)</f>
        <v>0</v>
      </c>
      <c r="AC162" s="7">
        <f ca="1">MAX(0,Log_2018[[#This Row],[Split_apply]] - (EDATE(AA$1,1)-Log_2018[[#This Row],[Date]]))</f>
        <v>0</v>
      </c>
    </row>
    <row r="163" spans="1:29" hidden="1" x14ac:dyDescent="0.25">
      <c r="A163" s="115"/>
      <c r="B163" t="s">
        <v>6</v>
      </c>
      <c r="D163" s="39">
        <v>43395</v>
      </c>
      <c r="F163" t="s">
        <v>408</v>
      </c>
      <c r="G163" t="s">
        <v>25</v>
      </c>
      <c r="H163" s="3">
        <v>-14.03</v>
      </c>
      <c r="I163" s="36">
        <f>IF(Log_2018[[#This Row],[My Category]]="NONTRACKED",0,Log_2018[[#This Row],[Raw Amount]])</f>
        <v>-14.03</v>
      </c>
      <c r="J163" s="17">
        <f>ABS(Log_2018[[#This Row],[Amount]])</f>
        <v>14.03</v>
      </c>
      <c r="K163" s="66">
        <v>1</v>
      </c>
      <c r="L163" s="66">
        <f ca="1">IF(Log_2018[[#This Row],[Date]]&lt;=TODAY(), MIN(Log_2018[[#This Row],[Split_raw]], TODAY()-Log_2018[[#This Row],[Date]]+1), 0)</f>
        <v>1</v>
      </c>
      <c r="M163" t="s">
        <v>35</v>
      </c>
      <c r="N163" t="s">
        <v>158</v>
      </c>
      <c r="O163" s="50">
        <v>0</v>
      </c>
      <c r="P163" s="52">
        <f ca="1">Log_2018[[#This Row],[Amount]]/Log_2018[[#This Row],[Split_raw]]*MAX(0,MIN(_xlfn.DAYS(EDATE(P$1,1),Log_2018[[#This Row],[Date]]),Log_2018[[#This Row],[Split_apply]])) - SUM($O163:O163)</f>
        <v>0</v>
      </c>
      <c r="Q163" s="52">
        <f ca="1">Log_2018[[#This Row],[Amount]]/Log_2018[[#This Row],[Split_raw]]*MAX(0,MIN(_xlfn.DAYS(EDATE(Q$1,1),Log_2018[[#This Row],[Date]]),Log_2018[[#This Row],[Split_apply]])) - SUM($O163:P163)</f>
        <v>0</v>
      </c>
      <c r="R163" s="52">
        <f ca="1">Log_2018[[#This Row],[Amount]]/Log_2018[[#This Row],[Split_raw]]*MAX(0,MIN(_xlfn.DAYS(EDATE(R$1,1),Log_2018[[#This Row],[Date]]),Log_2018[[#This Row],[Split_apply]])) - SUM($O163:Q163)</f>
        <v>0</v>
      </c>
      <c r="S163" s="52">
        <f ca="1">Log_2018[[#This Row],[Amount]]/Log_2018[[#This Row],[Split_raw]]*MAX(0,MIN(_xlfn.DAYS(EDATE(S$1,1),Log_2018[[#This Row],[Date]]),Log_2018[[#This Row],[Split_apply]])) - SUM($O163:R163)</f>
        <v>0</v>
      </c>
      <c r="T163" s="52">
        <f ca="1">Log_2018[[#This Row],[Amount]]/Log_2018[[#This Row],[Split_raw]]*MAX(0,MIN(_xlfn.DAYS(EDATE(T$1,1),Log_2018[[#This Row],[Date]]),Log_2018[[#This Row],[Split_apply]])) - SUM($O163:S163)</f>
        <v>0</v>
      </c>
      <c r="U163" s="52">
        <f ca="1">Log_2018[[#This Row],[Amount]]/Log_2018[[#This Row],[Split_raw]]*MAX(0,MIN(_xlfn.DAYS(EDATE(U$1,1),Log_2018[[#This Row],[Date]]),Log_2018[[#This Row],[Split_apply]])) - SUM($O163:T163)</f>
        <v>0</v>
      </c>
      <c r="V163" s="52">
        <f ca="1">Log_2018[[#This Row],[Amount]]/Log_2018[[#This Row],[Split_raw]]*MAX(0,MIN(_xlfn.DAYS(EDATE(V$1,1),Log_2018[[#This Row],[Date]]),Log_2018[[#This Row],[Split_apply]])) - SUM($O163:U163)</f>
        <v>0</v>
      </c>
      <c r="W163" s="52">
        <f ca="1">Log_2018[[#This Row],[Amount]]/Log_2018[[#This Row],[Split_raw]]*MAX(0,MIN(_xlfn.DAYS(EDATE(W$1,1),Log_2018[[#This Row],[Date]]),Log_2018[[#This Row],[Split_apply]])) - SUM($O163:V163)</f>
        <v>0</v>
      </c>
      <c r="X163" s="52">
        <f ca="1">Log_2018[[#This Row],[Amount]]/Log_2018[[#This Row],[Split_raw]]*MAX(0,MIN(_xlfn.DAYS(EDATE(X$1,1),Log_2018[[#This Row],[Date]]),Log_2018[[#This Row],[Split_apply]])) - SUM($O163:W163)</f>
        <v>0</v>
      </c>
      <c r="Y163" s="52">
        <f ca="1">Log_2018[[#This Row],[Amount]]/Log_2018[[#This Row],[Split_raw]]*MAX(0,MIN(_xlfn.DAYS(EDATE(Y$1,1),Log_2018[[#This Row],[Date]]),Log_2018[[#This Row],[Split_apply]])) - SUM($O163:X163)</f>
        <v>-14.03</v>
      </c>
      <c r="Z163" s="52">
        <f ca="1">Log_2018[[#This Row],[Amount]]/Log_2018[[#This Row],[Split_raw]]*MAX(0,MIN(_xlfn.DAYS(EDATE(Z$1,1),Log_2018[[#This Row],[Date]]),Log_2018[[#This Row],[Split_apply]])) - SUM($O163:Y163)</f>
        <v>0</v>
      </c>
      <c r="AA163" s="52">
        <f ca="1">Log_2018[[#This Row],[Amount]]/Log_2018[[#This Row],[Split_raw]]*MAX(0,MIN(_xlfn.DAYS(EDATE(AA$1,1),Log_2018[[#This Row],[Date]]),Log_2018[[#This Row],[Split_apply]])) - SUM($O163:Z163)</f>
        <v>0</v>
      </c>
      <c r="AB163" s="54">
        <f ca="1">Log_2018[[#This Row],[Amount]]-SUM(O163:AA163)</f>
        <v>0</v>
      </c>
      <c r="AC163" s="7">
        <f ca="1">MAX(0,Log_2018[[#This Row],[Split_apply]] - (EDATE(AA$1,1)-Log_2018[[#This Row],[Date]]))</f>
        <v>0</v>
      </c>
    </row>
    <row r="164" spans="1:29" hidden="1" x14ac:dyDescent="0.25">
      <c r="A164" s="115"/>
      <c r="B164" t="s">
        <v>6</v>
      </c>
      <c r="D164" s="39">
        <v>43395</v>
      </c>
      <c r="F164" t="s">
        <v>255</v>
      </c>
      <c r="G164" t="s">
        <v>25</v>
      </c>
      <c r="H164" s="3">
        <v>-9.3800000000000008</v>
      </c>
      <c r="I164" s="36">
        <f>IF(Log_2018[[#This Row],[My Category]]="NONTRACKED",0,Log_2018[[#This Row],[Raw Amount]])</f>
        <v>-9.3800000000000008</v>
      </c>
      <c r="J164" s="17">
        <f>ABS(Log_2018[[#This Row],[Amount]])</f>
        <v>9.3800000000000008</v>
      </c>
      <c r="K164" s="66">
        <v>1</v>
      </c>
      <c r="L164" s="66">
        <f ca="1">IF(Log_2018[[#This Row],[Date]]&lt;=TODAY(), MIN(Log_2018[[#This Row],[Split_raw]], TODAY()-Log_2018[[#This Row],[Date]]+1), 0)</f>
        <v>1</v>
      </c>
      <c r="M164" t="s">
        <v>35</v>
      </c>
      <c r="N164" t="s">
        <v>158</v>
      </c>
      <c r="O164" s="50">
        <v>0</v>
      </c>
      <c r="P164" s="52">
        <f ca="1">Log_2018[[#This Row],[Amount]]/Log_2018[[#This Row],[Split_raw]]*MAX(0,MIN(_xlfn.DAYS(EDATE(P$1,1),Log_2018[[#This Row],[Date]]),Log_2018[[#This Row],[Split_apply]])) - SUM($O164:O164)</f>
        <v>0</v>
      </c>
      <c r="Q164" s="52">
        <f ca="1">Log_2018[[#This Row],[Amount]]/Log_2018[[#This Row],[Split_raw]]*MAX(0,MIN(_xlfn.DAYS(EDATE(Q$1,1),Log_2018[[#This Row],[Date]]),Log_2018[[#This Row],[Split_apply]])) - SUM($O164:P164)</f>
        <v>0</v>
      </c>
      <c r="R164" s="52">
        <f ca="1">Log_2018[[#This Row],[Amount]]/Log_2018[[#This Row],[Split_raw]]*MAX(0,MIN(_xlfn.DAYS(EDATE(R$1,1),Log_2018[[#This Row],[Date]]),Log_2018[[#This Row],[Split_apply]])) - SUM($O164:Q164)</f>
        <v>0</v>
      </c>
      <c r="S164" s="52">
        <f ca="1">Log_2018[[#This Row],[Amount]]/Log_2018[[#This Row],[Split_raw]]*MAX(0,MIN(_xlfn.DAYS(EDATE(S$1,1),Log_2018[[#This Row],[Date]]),Log_2018[[#This Row],[Split_apply]])) - SUM($O164:R164)</f>
        <v>0</v>
      </c>
      <c r="T164" s="52">
        <f ca="1">Log_2018[[#This Row],[Amount]]/Log_2018[[#This Row],[Split_raw]]*MAX(0,MIN(_xlfn.DAYS(EDATE(T$1,1),Log_2018[[#This Row],[Date]]),Log_2018[[#This Row],[Split_apply]])) - SUM($O164:S164)</f>
        <v>0</v>
      </c>
      <c r="U164" s="52">
        <f ca="1">Log_2018[[#This Row],[Amount]]/Log_2018[[#This Row],[Split_raw]]*MAX(0,MIN(_xlfn.DAYS(EDATE(U$1,1),Log_2018[[#This Row],[Date]]),Log_2018[[#This Row],[Split_apply]])) - SUM($O164:T164)</f>
        <v>0</v>
      </c>
      <c r="V164" s="52">
        <f ca="1">Log_2018[[#This Row],[Amount]]/Log_2018[[#This Row],[Split_raw]]*MAX(0,MIN(_xlfn.DAYS(EDATE(V$1,1),Log_2018[[#This Row],[Date]]),Log_2018[[#This Row],[Split_apply]])) - SUM($O164:U164)</f>
        <v>0</v>
      </c>
      <c r="W164" s="52">
        <f ca="1">Log_2018[[#This Row],[Amount]]/Log_2018[[#This Row],[Split_raw]]*MAX(0,MIN(_xlfn.DAYS(EDATE(W$1,1),Log_2018[[#This Row],[Date]]),Log_2018[[#This Row],[Split_apply]])) - SUM($O164:V164)</f>
        <v>0</v>
      </c>
      <c r="X164" s="52">
        <f ca="1">Log_2018[[#This Row],[Amount]]/Log_2018[[#This Row],[Split_raw]]*MAX(0,MIN(_xlfn.DAYS(EDATE(X$1,1),Log_2018[[#This Row],[Date]]),Log_2018[[#This Row],[Split_apply]])) - SUM($O164:W164)</f>
        <v>0</v>
      </c>
      <c r="Y164" s="52">
        <f ca="1">Log_2018[[#This Row],[Amount]]/Log_2018[[#This Row],[Split_raw]]*MAX(0,MIN(_xlfn.DAYS(EDATE(Y$1,1),Log_2018[[#This Row],[Date]]),Log_2018[[#This Row],[Split_apply]])) - SUM($O164:X164)</f>
        <v>-9.3800000000000008</v>
      </c>
      <c r="Z164" s="52">
        <f ca="1">Log_2018[[#This Row],[Amount]]/Log_2018[[#This Row],[Split_raw]]*MAX(0,MIN(_xlfn.DAYS(EDATE(Z$1,1),Log_2018[[#This Row],[Date]]),Log_2018[[#This Row],[Split_apply]])) - SUM($O164:Y164)</f>
        <v>0</v>
      </c>
      <c r="AA164" s="52">
        <f ca="1">Log_2018[[#This Row],[Amount]]/Log_2018[[#This Row],[Split_raw]]*MAX(0,MIN(_xlfn.DAYS(EDATE(AA$1,1),Log_2018[[#This Row],[Date]]),Log_2018[[#This Row],[Split_apply]])) - SUM($O164:Z164)</f>
        <v>0</v>
      </c>
      <c r="AB164" s="54">
        <f ca="1">Log_2018[[#This Row],[Amount]]-SUM(O164:AA164)</f>
        <v>0</v>
      </c>
      <c r="AC164" s="7">
        <f ca="1">MAX(0,Log_2018[[#This Row],[Split_apply]] - (EDATE(AA$1,1)-Log_2018[[#This Row],[Date]]))</f>
        <v>0</v>
      </c>
    </row>
    <row r="165" spans="1:29" hidden="1" x14ac:dyDescent="0.25">
      <c r="A165" s="115"/>
      <c r="B165" t="s">
        <v>6</v>
      </c>
      <c r="D165" s="39">
        <v>43395</v>
      </c>
      <c r="F165" t="s">
        <v>409</v>
      </c>
      <c r="G165" t="s">
        <v>25</v>
      </c>
      <c r="H165" s="3">
        <v>-5.82</v>
      </c>
      <c r="I165" s="36">
        <f>IF(Log_2018[[#This Row],[My Category]]="NONTRACKED",0,Log_2018[[#This Row],[Raw Amount]])</f>
        <v>-5.82</v>
      </c>
      <c r="J165" s="17">
        <f>ABS(Log_2018[[#This Row],[Amount]])</f>
        <v>5.82</v>
      </c>
      <c r="K165" s="66">
        <v>1</v>
      </c>
      <c r="L165" s="66">
        <f ca="1">IF(Log_2018[[#This Row],[Date]]&lt;=TODAY(), MIN(Log_2018[[#This Row],[Split_raw]], TODAY()-Log_2018[[#This Row],[Date]]+1), 0)</f>
        <v>1</v>
      </c>
      <c r="M165" t="s">
        <v>41</v>
      </c>
      <c r="N165" t="s">
        <v>158</v>
      </c>
      <c r="O165" s="50">
        <v>0</v>
      </c>
      <c r="P165" s="52">
        <f ca="1">Log_2018[[#This Row],[Amount]]/Log_2018[[#This Row],[Split_raw]]*MAX(0,MIN(_xlfn.DAYS(EDATE(P$1,1),Log_2018[[#This Row],[Date]]),Log_2018[[#This Row],[Split_apply]])) - SUM($O165:O165)</f>
        <v>0</v>
      </c>
      <c r="Q165" s="52">
        <f ca="1">Log_2018[[#This Row],[Amount]]/Log_2018[[#This Row],[Split_raw]]*MAX(0,MIN(_xlfn.DAYS(EDATE(Q$1,1),Log_2018[[#This Row],[Date]]),Log_2018[[#This Row],[Split_apply]])) - SUM($O165:P165)</f>
        <v>0</v>
      </c>
      <c r="R165" s="52">
        <f ca="1">Log_2018[[#This Row],[Amount]]/Log_2018[[#This Row],[Split_raw]]*MAX(0,MIN(_xlfn.DAYS(EDATE(R$1,1),Log_2018[[#This Row],[Date]]),Log_2018[[#This Row],[Split_apply]])) - SUM($O165:Q165)</f>
        <v>0</v>
      </c>
      <c r="S165" s="52">
        <f ca="1">Log_2018[[#This Row],[Amount]]/Log_2018[[#This Row],[Split_raw]]*MAX(0,MIN(_xlfn.DAYS(EDATE(S$1,1),Log_2018[[#This Row],[Date]]),Log_2018[[#This Row],[Split_apply]])) - SUM($O165:R165)</f>
        <v>0</v>
      </c>
      <c r="T165" s="52">
        <f ca="1">Log_2018[[#This Row],[Amount]]/Log_2018[[#This Row],[Split_raw]]*MAX(0,MIN(_xlfn.DAYS(EDATE(T$1,1),Log_2018[[#This Row],[Date]]),Log_2018[[#This Row],[Split_apply]])) - SUM($O165:S165)</f>
        <v>0</v>
      </c>
      <c r="U165" s="52">
        <f ca="1">Log_2018[[#This Row],[Amount]]/Log_2018[[#This Row],[Split_raw]]*MAX(0,MIN(_xlfn.DAYS(EDATE(U$1,1),Log_2018[[#This Row],[Date]]),Log_2018[[#This Row],[Split_apply]])) - SUM($O165:T165)</f>
        <v>0</v>
      </c>
      <c r="V165" s="52">
        <f ca="1">Log_2018[[#This Row],[Amount]]/Log_2018[[#This Row],[Split_raw]]*MAX(0,MIN(_xlfn.DAYS(EDATE(V$1,1),Log_2018[[#This Row],[Date]]),Log_2018[[#This Row],[Split_apply]])) - SUM($O165:U165)</f>
        <v>0</v>
      </c>
      <c r="W165" s="52">
        <f ca="1">Log_2018[[#This Row],[Amount]]/Log_2018[[#This Row],[Split_raw]]*MAX(0,MIN(_xlfn.DAYS(EDATE(W$1,1),Log_2018[[#This Row],[Date]]),Log_2018[[#This Row],[Split_apply]])) - SUM($O165:V165)</f>
        <v>0</v>
      </c>
      <c r="X165" s="52">
        <f ca="1">Log_2018[[#This Row],[Amount]]/Log_2018[[#This Row],[Split_raw]]*MAX(0,MIN(_xlfn.DAYS(EDATE(X$1,1),Log_2018[[#This Row],[Date]]),Log_2018[[#This Row],[Split_apply]])) - SUM($O165:W165)</f>
        <v>0</v>
      </c>
      <c r="Y165" s="52">
        <f ca="1">Log_2018[[#This Row],[Amount]]/Log_2018[[#This Row],[Split_raw]]*MAX(0,MIN(_xlfn.DAYS(EDATE(Y$1,1),Log_2018[[#This Row],[Date]]),Log_2018[[#This Row],[Split_apply]])) - SUM($O165:X165)</f>
        <v>-5.82</v>
      </c>
      <c r="Z165" s="52">
        <f ca="1">Log_2018[[#This Row],[Amount]]/Log_2018[[#This Row],[Split_raw]]*MAX(0,MIN(_xlfn.DAYS(EDATE(Z$1,1),Log_2018[[#This Row],[Date]]),Log_2018[[#This Row],[Split_apply]])) - SUM($O165:Y165)</f>
        <v>0</v>
      </c>
      <c r="AA165" s="52">
        <f ca="1">Log_2018[[#This Row],[Amount]]/Log_2018[[#This Row],[Split_raw]]*MAX(0,MIN(_xlfn.DAYS(EDATE(AA$1,1),Log_2018[[#This Row],[Date]]),Log_2018[[#This Row],[Split_apply]])) - SUM($O165:Z165)</f>
        <v>0</v>
      </c>
      <c r="AB165" s="54">
        <f ca="1">Log_2018[[#This Row],[Amount]]-SUM(O165:AA165)</f>
        <v>0</v>
      </c>
      <c r="AC165" s="7">
        <f ca="1">MAX(0,Log_2018[[#This Row],[Split_apply]] - (EDATE(AA$1,1)-Log_2018[[#This Row],[Date]]))</f>
        <v>0</v>
      </c>
    </row>
    <row r="166" spans="1:29" hidden="1" x14ac:dyDescent="0.25">
      <c r="A166" s="115"/>
      <c r="B166" t="s">
        <v>6</v>
      </c>
      <c r="D166" s="39">
        <v>43393</v>
      </c>
      <c r="F166" t="s">
        <v>184</v>
      </c>
      <c r="G166" t="s">
        <v>11</v>
      </c>
      <c r="H166" s="3">
        <v>-6.2</v>
      </c>
      <c r="I166" s="36">
        <f>IF(Log_2018[[#This Row],[My Category]]="NONTRACKED",0,Log_2018[[#This Row],[Raw Amount]])</f>
        <v>-6.2</v>
      </c>
      <c r="J166" s="17">
        <f>ABS(Log_2018[[#This Row],[Amount]])</f>
        <v>6.2</v>
      </c>
      <c r="K166" s="66">
        <v>1</v>
      </c>
      <c r="L166" s="66">
        <f ca="1">IF(Log_2018[[#This Row],[Date]]&lt;=TODAY(), MIN(Log_2018[[#This Row],[Split_raw]], TODAY()-Log_2018[[#This Row],[Date]]+1), 0)</f>
        <v>1</v>
      </c>
      <c r="M166" t="s">
        <v>12</v>
      </c>
      <c r="N166" t="s">
        <v>158</v>
      </c>
      <c r="O166" s="50">
        <v>0</v>
      </c>
      <c r="P166" s="52">
        <f ca="1">Log_2018[[#This Row],[Amount]]/Log_2018[[#This Row],[Split_raw]]*MAX(0,MIN(_xlfn.DAYS(EDATE(P$1,1),Log_2018[[#This Row],[Date]]),Log_2018[[#This Row],[Split_apply]])) - SUM($O166:O166)</f>
        <v>0</v>
      </c>
      <c r="Q166" s="52">
        <f ca="1">Log_2018[[#This Row],[Amount]]/Log_2018[[#This Row],[Split_raw]]*MAX(0,MIN(_xlfn.DAYS(EDATE(Q$1,1),Log_2018[[#This Row],[Date]]),Log_2018[[#This Row],[Split_apply]])) - SUM($O166:P166)</f>
        <v>0</v>
      </c>
      <c r="R166" s="52">
        <f ca="1">Log_2018[[#This Row],[Amount]]/Log_2018[[#This Row],[Split_raw]]*MAX(0,MIN(_xlfn.DAYS(EDATE(R$1,1),Log_2018[[#This Row],[Date]]),Log_2018[[#This Row],[Split_apply]])) - SUM($O166:Q166)</f>
        <v>0</v>
      </c>
      <c r="S166" s="52">
        <f ca="1">Log_2018[[#This Row],[Amount]]/Log_2018[[#This Row],[Split_raw]]*MAX(0,MIN(_xlfn.DAYS(EDATE(S$1,1),Log_2018[[#This Row],[Date]]),Log_2018[[#This Row],[Split_apply]])) - SUM($O166:R166)</f>
        <v>0</v>
      </c>
      <c r="T166" s="52">
        <f ca="1">Log_2018[[#This Row],[Amount]]/Log_2018[[#This Row],[Split_raw]]*MAX(0,MIN(_xlfn.DAYS(EDATE(T$1,1),Log_2018[[#This Row],[Date]]),Log_2018[[#This Row],[Split_apply]])) - SUM($O166:S166)</f>
        <v>0</v>
      </c>
      <c r="U166" s="52">
        <f ca="1">Log_2018[[#This Row],[Amount]]/Log_2018[[#This Row],[Split_raw]]*MAX(0,MIN(_xlfn.DAYS(EDATE(U$1,1),Log_2018[[#This Row],[Date]]),Log_2018[[#This Row],[Split_apply]])) - SUM($O166:T166)</f>
        <v>0</v>
      </c>
      <c r="V166" s="52">
        <f ca="1">Log_2018[[#This Row],[Amount]]/Log_2018[[#This Row],[Split_raw]]*MAX(0,MIN(_xlfn.DAYS(EDATE(V$1,1),Log_2018[[#This Row],[Date]]),Log_2018[[#This Row],[Split_apply]])) - SUM($O166:U166)</f>
        <v>0</v>
      </c>
      <c r="W166" s="52">
        <f ca="1">Log_2018[[#This Row],[Amount]]/Log_2018[[#This Row],[Split_raw]]*MAX(0,MIN(_xlfn.DAYS(EDATE(W$1,1),Log_2018[[#This Row],[Date]]),Log_2018[[#This Row],[Split_apply]])) - SUM($O166:V166)</f>
        <v>0</v>
      </c>
      <c r="X166" s="52">
        <f ca="1">Log_2018[[#This Row],[Amount]]/Log_2018[[#This Row],[Split_raw]]*MAX(0,MIN(_xlfn.DAYS(EDATE(X$1,1),Log_2018[[#This Row],[Date]]),Log_2018[[#This Row],[Split_apply]])) - SUM($O166:W166)</f>
        <v>0</v>
      </c>
      <c r="Y166" s="52">
        <f ca="1">Log_2018[[#This Row],[Amount]]/Log_2018[[#This Row],[Split_raw]]*MAX(0,MIN(_xlfn.DAYS(EDATE(Y$1,1),Log_2018[[#This Row],[Date]]),Log_2018[[#This Row],[Split_apply]])) - SUM($O166:X166)</f>
        <v>-6.2</v>
      </c>
      <c r="Z166" s="52">
        <f ca="1">Log_2018[[#This Row],[Amount]]/Log_2018[[#This Row],[Split_raw]]*MAX(0,MIN(_xlfn.DAYS(EDATE(Z$1,1),Log_2018[[#This Row],[Date]]),Log_2018[[#This Row],[Split_apply]])) - SUM($O166:Y166)</f>
        <v>0</v>
      </c>
      <c r="AA166" s="52">
        <f ca="1">Log_2018[[#This Row],[Amount]]/Log_2018[[#This Row],[Split_raw]]*MAX(0,MIN(_xlfn.DAYS(EDATE(AA$1,1),Log_2018[[#This Row],[Date]]),Log_2018[[#This Row],[Split_apply]])) - SUM($O166:Z166)</f>
        <v>0</v>
      </c>
      <c r="AB166" s="54">
        <f ca="1">Log_2018[[#This Row],[Amount]]-SUM(O166:AA166)</f>
        <v>0</v>
      </c>
      <c r="AC166" s="7">
        <f ca="1">MAX(0,Log_2018[[#This Row],[Split_apply]] - (EDATE(AA$1,1)-Log_2018[[#This Row],[Date]]))</f>
        <v>0</v>
      </c>
    </row>
    <row r="167" spans="1:29" hidden="1" x14ac:dyDescent="0.25">
      <c r="A167" s="115"/>
      <c r="B167" t="s">
        <v>6</v>
      </c>
      <c r="D167" s="39">
        <v>43393</v>
      </c>
      <c r="F167" t="s">
        <v>410</v>
      </c>
      <c r="G167" t="s">
        <v>25</v>
      </c>
      <c r="H167" s="3">
        <v>-32.51</v>
      </c>
      <c r="I167" s="36">
        <f>IF(Log_2018[[#This Row],[My Category]]="NONTRACKED",0,Log_2018[[#This Row],[Raw Amount]])</f>
        <v>-32.51</v>
      </c>
      <c r="J167" s="17">
        <f>ABS(Log_2018[[#This Row],[Amount]])</f>
        <v>32.51</v>
      </c>
      <c r="K167" s="66">
        <v>1</v>
      </c>
      <c r="L167" s="66">
        <f ca="1">IF(Log_2018[[#This Row],[Date]]&lt;=TODAY(), MIN(Log_2018[[#This Row],[Split_raw]], TODAY()-Log_2018[[#This Row],[Date]]+1), 0)</f>
        <v>1</v>
      </c>
      <c r="M167" t="s">
        <v>37</v>
      </c>
      <c r="N167" t="s">
        <v>158</v>
      </c>
      <c r="O167" s="50">
        <v>0</v>
      </c>
      <c r="P167" s="52">
        <f ca="1">Log_2018[[#This Row],[Amount]]/Log_2018[[#This Row],[Split_raw]]*MAX(0,MIN(_xlfn.DAYS(EDATE(P$1,1),Log_2018[[#This Row],[Date]]),Log_2018[[#This Row],[Split_apply]])) - SUM($O167:O167)</f>
        <v>0</v>
      </c>
      <c r="Q167" s="52">
        <f ca="1">Log_2018[[#This Row],[Amount]]/Log_2018[[#This Row],[Split_raw]]*MAX(0,MIN(_xlfn.DAYS(EDATE(Q$1,1),Log_2018[[#This Row],[Date]]),Log_2018[[#This Row],[Split_apply]])) - SUM($O167:P167)</f>
        <v>0</v>
      </c>
      <c r="R167" s="52">
        <f ca="1">Log_2018[[#This Row],[Amount]]/Log_2018[[#This Row],[Split_raw]]*MAX(0,MIN(_xlfn.DAYS(EDATE(R$1,1),Log_2018[[#This Row],[Date]]),Log_2018[[#This Row],[Split_apply]])) - SUM($O167:Q167)</f>
        <v>0</v>
      </c>
      <c r="S167" s="52">
        <f ca="1">Log_2018[[#This Row],[Amount]]/Log_2018[[#This Row],[Split_raw]]*MAX(0,MIN(_xlfn.DAYS(EDATE(S$1,1),Log_2018[[#This Row],[Date]]),Log_2018[[#This Row],[Split_apply]])) - SUM($O167:R167)</f>
        <v>0</v>
      </c>
      <c r="T167" s="52">
        <f ca="1">Log_2018[[#This Row],[Amount]]/Log_2018[[#This Row],[Split_raw]]*MAX(0,MIN(_xlfn.DAYS(EDATE(T$1,1),Log_2018[[#This Row],[Date]]),Log_2018[[#This Row],[Split_apply]])) - SUM($O167:S167)</f>
        <v>0</v>
      </c>
      <c r="U167" s="52">
        <f ca="1">Log_2018[[#This Row],[Amount]]/Log_2018[[#This Row],[Split_raw]]*MAX(0,MIN(_xlfn.DAYS(EDATE(U$1,1),Log_2018[[#This Row],[Date]]),Log_2018[[#This Row],[Split_apply]])) - SUM($O167:T167)</f>
        <v>0</v>
      </c>
      <c r="V167" s="52">
        <f ca="1">Log_2018[[#This Row],[Amount]]/Log_2018[[#This Row],[Split_raw]]*MAX(0,MIN(_xlfn.DAYS(EDATE(V$1,1),Log_2018[[#This Row],[Date]]),Log_2018[[#This Row],[Split_apply]])) - SUM($O167:U167)</f>
        <v>0</v>
      </c>
      <c r="W167" s="52">
        <f ca="1">Log_2018[[#This Row],[Amount]]/Log_2018[[#This Row],[Split_raw]]*MAX(0,MIN(_xlfn.DAYS(EDATE(W$1,1),Log_2018[[#This Row],[Date]]),Log_2018[[#This Row],[Split_apply]])) - SUM($O167:V167)</f>
        <v>0</v>
      </c>
      <c r="X167" s="52">
        <f ca="1">Log_2018[[#This Row],[Amount]]/Log_2018[[#This Row],[Split_raw]]*MAX(0,MIN(_xlfn.DAYS(EDATE(X$1,1),Log_2018[[#This Row],[Date]]),Log_2018[[#This Row],[Split_apply]])) - SUM($O167:W167)</f>
        <v>0</v>
      </c>
      <c r="Y167" s="52">
        <f ca="1">Log_2018[[#This Row],[Amount]]/Log_2018[[#This Row],[Split_raw]]*MAX(0,MIN(_xlfn.DAYS(EDATE(Y$1,1),Log_2018[[#This Row],[Date]]),Log_2018[[#This Row],[Split_apply]])) - SUM($O167:X167)</f>
        <v>-32.51</v>
      </c>
      <c r="Z167" s="52">
        <f ca="1">Log_2018[[#This Row],[Amount]]/Log_2018[[#This Row],[Split_raw]]*MAX(0,MIN(_xlfn.DAYS(EDATE(Z$1,1),Log_2018[[#This Row],[Date]]),Log_2018[[#This Row],[Split_apply]])) - SUM($O167:Y167)</f>
        <v>0</v>
      </c>
      <c r="AA167" s="52">
        <f ca="1">Log_2018[[#This Row],[Amount]]/Log_2018[[#This Row],[Split_raw]]*MAX(0,MIN(_xlfn.DAYS(EDATE(AA$1,1),Log_2018[[#This Row],[Date]]),Log_2018[[#This Row],[Split_apply]])) - SUM($O167:Z167)</f>
        <v>0</v>
      </c>
      <c r="AB167" s="54">
        <f ca="1">Log_2018[[#This Row],[Amount]]-SUM(O167:AA167)</f>
        <v>0</v>
      </c>
      <c r="AC167" s="7">
        <f ca="1">MAX(0,Log_2018[[#This Row],[Split_apply]] - (EDATE(AA$1,1)-Log_2018[[#This Row],[Date]]))</f>
        <v>0</v>
      </c>
    </row>
    <row r="168" spans="1:29" hidden="1" x14ac:dyDescent="0.25">
      <c r="A168" s="115"/>
      <c r="B168" t="s">
        <v>6</v>
      </c>
      <c r="D168" s="39">
        <v>43392</v>
      </c>
      <c r="F168" t="s">
        <v>411</v>
      </c>
      <c r="G168" t="s">
        <v>11</v>
      </c>
      <c r="H168" s="3">
        <v>-9.5299999999999994</v>
      </c>
      <c r="I168" s="36">
        <f>IF(Log_2018[[#This Row],[My Category]]="NONTRACKED",0,Log_2018[[#This Row],[Raw Amount]])</f>
        <v>-9.5299999999999994</v>
      </c>
      <c r="J168" s="17">
        <f>ABS(Log_2018[[#This Row],[Amount]])</f>
        <v>9.5299999999999994</v>
      </c>
      <c r="K168" s="66">
        <v>1</v>
      </c>
      <c r="L168" s="66">
        <f ca="1">IF(Log_2018[[#This Row],[Date]]&lt;=TODAY(), MIN(Log_2018[[#This Row],[Split_raw]], TODAY()-Log_2018[[#This Row],[Date]]+1), 0)</f>
        <v>1</v>
      </c>
      <c r="M168" t="s">
        <v>42</v>
      </c>
      <c r="N168" t="s">
        <v>158</v>
      </c>
      <c r="O168" s="50">
        <v>0</v>
      </c>
      <c r="P168" s="52">
        <f ca="1">Log_2018[[#This Row],[Amount]]/Log_2018[[#This Row],[Split_raw]]*MAX(0,MIN(_xlfn.DAYS(EDATE(P$1,1),Log_2018[[#This Row],[Date]]),Log_2018[[#This Row],[Split_apply]])) - SUM($O168:O168)</f>
        <v>0</v>
      </c>
      <c r="Q168" s="52">
        <f ca="1">Log_2018[[#This Row],[Amount]]/Log_2018[[#This Row],[Split_raw]]*MAX(0,MIN(_xlfn.DAYS(EDATE(Q$1,1),Log_2018[[#This Row],[Date]]),Log_2018[[#This Row],[Split_apply]])) - SUM($O168:P168)</f>
        <v>0</v>
      </c>
      <c r="R168" s="52">
        <f ca="1">Log_2018[[#This Row],[Amount]]/Log_2018[[#This Row],[Split_raw]]*MAX(0,MIN(_xlfn.DAYS(EDATE(R$1,1),Log_2018[[#This Row],[Date]]),Log_2018[[#This Row],[Split_apply]])) - SUM($O168:Q168)</f>
        <v>0</v>
      </c>
      <c r="S168" s="52">
        <f ca="1">Log_2018[[#This Row],[Amount]]/Log_2018[[#This Row],[Split_raw]]*MAX(0,MIN(_xlfn.DAYS(EDATE(S$1,1),Log_2018[[#This Row],[Date]]),Log_2018[[#This Row],[Split_apply]])) - SUM($O168:R168)</f>
        <v>0</v>
      </c>
      <c r="T168" s="52">
        <f ca="1">Log_2018[[#This Row],[Amount]]/Log_2018[[#This Row],[Split_raw]]*MAX(0,MIN(_xlfn.DAYS(EDATE(T$1,1),Log_2018[[#This Row],[Date]]),Log_2018[[#This Row],[Split_apply]])) - SUM($O168:S168)</f>
        <v>0</v>
      </c>
      <c r="U168" s="52">
        <f ca="1">Log_2018[[#This Row],[Amount]]/Log_2018[[#This Row],[Split_raw]]*MAX(0,MIN(_xlfn.DAYS(EDATE(U$1,1),Log_2018[[#This Row],[Date]]),Log_2018[[#This Row],[Split_apply]])) - SUM($O168:T168)</f>
        <v>0</v>
      </c>
      <c r="V168" s="52">
        <f ca="1">Log_2018[[#This Row],[Amount]]/Log_2018[[#This Row],[Split_raw]]*MAX(0,MIN(_xlfn.DAYS(EDATE(V$1,1),Log_2018[[#This Row],[Date]]),Log_2018[[#This Row],[Split_apply]])) - SUM($O168:U168)</f>
        <v>0</v>
      </c>
      <c r="W168" s="52">
        <f ca="1">Log_2018[[#This Row],[Amount]]/Log_2018[[#This Row],[Split_raw]]*MAX(0,MIN(_xlfn.DAYS(EDATE(W$1,1),Log_2018[[#This Row],[Date]]),Log_2018[[#This Row],[Split_apply]])) - SUM($O168:V168)</f>
        <v>0</v>
      </c>
      <c r="X168" s="52">
        <f ca="1">Log_2018[[#This Row],[Amount]]/Log_2018[[#This Row],[Split_raw]]*MAX(0,MIN(_xlfn.DAYS(EDATE(X$1,1),Log_2018[[#This Row],[Date]]),Log_2018[[#This Row],[Split_apply]])) - SUM($O168:W168)</f>
        <v>0</v>
      </c>
      <c r="Y168" s="52">
        <f ca="1">Log_2018[[#This Row],[Amount]]/Log_2018[[#This Row],[Split_raw]]*MAX(0,MIN(_xlfn.DAYS(EDATE(Y$1,1),Log_2018[[#This Row],[Date]]),Log_2018[[#This Row],[Split_apply]])) - SUM($O168:X168)</f>
        <v>-9.5299999999999994</v>
      </c>
      <c r="Z168" s="52">
        <f ca="1">Log_2018[[#This Row],[Amount]]/Log_2018[[#This Row],[Split_raw]]*MAX(0,MIN(_xlfn.DAYS(EDATE(Z$1,1),Log_2018[[#This Row],[Date]]),Log_2018[[#This Row],[Split_apply]])) - SUM($O168:Y168)</f>
        <v>0</v>
      </c>
      <c r="AA168" s="52">
        <f ca="1">Log_2018[[#This Row],[Amount]]/Log_2018[[#This Row],[Split_raw]]*MAX(0,MIN(_xlfn.DAYS(EDATE(AA$1,1),Log_2018[[#This Row],[Date]]),Log_2018[[#This Row],[Split_apply]])) - SUM($O168:Z168)</f>
        <v>0</v>
      </c>
      <c r="AB168" s="54">
        <f ca="1">Log_2018[[#This Row],[Amount]]-SUM(O168:AA168)</f>
        <v>0</v>
      </c>
      <c r="AC168" s="7">
        <f ca="1">MAX(0,Log_2018[[#This Row],[Split_apply]] - (EDATE(AA$1,1)-Log_2018[[#This Row],[Date]]))</f>
        <v>0</v>
      </c>
    </row>
    <row r="169" spans="1:29" hidden="1" x14ac:dyDescent="0.25">
      <c r="A169" s="115"/>
      <c r="B169" t="s">
        <v>6</v>
      </c>
      <c r="D169" s="39">
        <v>43392</v>
      </c>
      <c r="F169" t="s">
        <v>301</v>
      </c>
      <c r="G169" t="s">
        <v>25</v>
      </c>
      <c r="H169" s="3">
        <v>-7.45</v>
      </c>
      <c r="I169" s="36">
        <f>IF(Log_2018[[#This Row],[My Category]]="NONTRACKED",0,Log_2018[[#This Row],[Raw Amount]])</f>
        <v>-7.45</v>
      </c>
      <c r="J169" s="17">
        <f>ABS(Log_2018[[#This Row],[Amount]])</f>
        <v>7.45</v>
      </c>
      <c r="K169" s="66">
        <v>1</v>
      </c>
      <c r="L169" s="66">
        <f ca="1">IF(Log_2018[[#This Row],[Date]]&lt;=TODAY(), MIN(Log_2018[[#This Row],[Split_raw]], TODAY()-Log_2018[[#This Row],[Date]]+1), 0)</f>
        <v>1</v>
      </c>
      <c r="M169" t="s">
        <v>35</v>
      </c>
      <c r="N169" t="s">
        <v>158</v>
      </c>
      <c r="O169" s="50">
        <v>0</v>
      </c>
      <c r="P169" s="52">
        <f ca="1">Log_2018[[#This Row],[Amount]]/Log_2018[[#This Row],[Split_raw]]*MAX(0,MIN(_xlfn.DAYS(EDATE(P$1,1),Log_2018[[#This Row],[Date]]),Log_2018[[#This Row],[Split_apply]])) - SUM($O169:O169)</f>
        <v>0</v>
      </c>
      <c r="Q169" s="52">
        <f ca="1">Log_2018[[#This Row],[Amount]]/Log_2018[[#This Row],[Split_raw]]*MAX(0,MIN(_xlfn.DAYS(EDATE(Q$1,1),Log_2018[[#This Row],[Date]]),Log_2018[[#This Row],[Split_apply]])) - SUM($O169:P169)</f>
        <v>0</v>
      </c>
      <c r="R169" s="52">
        <f ca="1">Log_2018[[#This Row],[Amount]]/Log_2018[[#This Row],[Split_raw]]*MAX(0,MIN(_xlfn.DAYS(EDATE(R$1,1),Log_2018[[#This Row],[Date]]),Log_2018[[#This Row],[Split_apply]])) - SUM($O169:Q169)</f>
        <v>0</v>
      </c>
      <c r="S169" s="52">
        <f ca="1">Log_2018[[#This Row],[Amount]]/Log_2018[[#This Row],[Split_raw]]*MAX(0,MIN(_xlfn.DAYS(EDATE(S$1,1),Log_2018[[#This Row],[Date]]),Log_2018[[#This Row],[Split_apply]])) - SUM($O169:R169)</f>
        <v>0</v>
      </c>
      <c r="T169" s="52">
        <f ca="1">Log_2018[[#This Row],[Amount]]/Log_2018[[#This Row],[Split_raw]]*MAX(0,MIN(_xlfn.DAYS(EDATE(T$1,1),Log_2018[[#This Row],[Date]]),Log_2018[[#This Row],[Split_apply]])) - SUM($O169:S169)</f>
        <v>0</v>
      </c>
      <c r="U169" s="52">
        <f ca="1">Log_2018[[#This Row],[Amount]]/Log_2018[[#This Row],[Split_raw]]*MAX(0,MIN(_xlfn.DAYS(EDATE(U$1,1),Log_2018[[#This Row],[Date]]),Log_2018[[#This Row],[Split_apply]])) - SUM($O169:T169)</f>
        <v>0</v>
      </c>
      <c r="V169" s="52">
        <f ca="1">Log_2018[[#This Row],[Amount]]/Log_2018[[#This Row],[Split_raw]]*MAX(0,MIN(_xlfn.DAYS(EDATE(V$1,1),Log_2018[[#This Row],[Date]]),Log_2018[[#This Row],[Split_apply]])) - SUM($O169:U169)</f>
        <v>0</v>
      </c>
      <c r="W169" s="52">
        <f ca="1">Log_2018[[#This Row],[Amount]]/Log_2018[[#This Row],[Split_raw]]*MAX(0,MIN(_xlfn.DAYS(EDATE(W$1,1),Log_2018[[#This Row],[Date]]),Log_2018[[#This Row],[Split_apply]])) - SUM($O169:V169)</f>
        <v>0</v>
      </c>
      <c r="X169" s="52">
        <f ca="1">Log_2018[[#This Row],[Amount]]/Log_2018[[#This Row],[Split_raw]]*MAX(0,MIN(_xlfn.DAYS(EDATE(X$1,1),Log_2018[[#This Row],[Date]]),Log_2018[[#This Row],[Split_apply]])) - SUM($O169:W169)</f>
        <v>0</v>
      </c>
      <c r="Y169" s="52">
        <f ca="1">Log_2018[[#This Row],[Amount]]/Log_2018[[#This Row],[Split_raw]]*MAX(0,MIN(_xlfn.DAYS(EDATE(Y$1,1),Log_2018[[#This Row],[Date]]),Log_2018[[#This Row],[Split_apply]])) - SUM($O169:X169)</f>
        <v>-7.45</v>
      </c>
      <c r="Z169" s="52">
        <f ca="1">Log_2018[[#This Row],[Amount]]/Log_2018[[#This Row],[Split_raw]]*MAX(0,MIN(_xlfn.DAYS(EDATE(Z$1,1),Log_2018[[#This Row],[Date]]),Log_2018[[#This Row],[Split_apply]])) - SUM($O169:Y169)</f>
        <v>0</v>
      </c>
      <c r="AA169" s="52">
        <f ca="1">Log_2018[[#This Row],[Amount]]/Log_2018[[#This Row],[Split_raw]]*MAX(0,MIN(_xlfn.DAYS(EDATE(AA$1,1),Log_2018[[#This Row],[Date]]),Log_2018[[#This Row],[Split_apply]])) - SUM($O169:Z169)</f>
        <v>0</v>
      </c>
      <c r="AB169" s="54">
        <f ca="1">Log_2018[[#This Row],[Amount]]-SUM(O169:AA169)</f>
        <v>0</v>
      </c>
      <c r="AC169" s="7">
        <f ca="1">MAX(0,Log_2018[[#This Row],[Split_apply]] - (EDATE(AA$1,1)-Log_2018[[#This Row],[Date]]))</f>
        <v>0</v>
      </c>
    </row>
    <row r="170" spans="1:29" hidden="1" x14ac:dyDescent="0.25">
      <c r="A170" s="115"/>
      <c r="B170" t="s">
        <v>6</v>
      </c>
      <c r="D170" s="39">
        <v>43392</v>
      </c>
      <c r="F170" t="s">
        <v>255</v>
      </c>
      <c r="G170" t="s">
        <v>25</v>
      </c>
      <c r="H170" s="3">
        <v>-6.71</v>
      </c>
      <c r="I170" s="36">
        <f>IF(Log_2018[[#This Row],[My Category]]="NONTRACKED",0,Log_2018[[#This Row],[Raw Amount]])</f>
        <v>-6.71</v>
      </c>
      <c r="J170" s="17">
        <f>ABS(Log_2018[[#This Row],[Amount]])</f>
        <v>6.71</v>
      </c>
      <c r="K170" s="66">
        <v>1</v>
      </c>
      <c r="L170" s="66">
        <f ca="1">IF(Log_2018[[#This Row],[Date]]&lt;=TODAY(), MIN(Log_2018[[#This Row],[Split_raw]], TODAY()-Log_2018[[#This Row],[Date]]+1), 0)</f>
        <v>1</v>
      </c>
      <c r="M170" t="s">
        <v>35</v>
      </c>
      <c r="N170" t="s">
        <v>158</v>
      </c>
      <c r="O170" s="50">
        <v>0</v>
      </c>
      <c r="P170" s="52">
        <f ca="1">Log_2018[[#This Row],[Amount]]/Log_2018[[#This Row],[Split_raw]]*MAX(0,MIN(_xlfn.DAYS(EDATE(P$1,1),Log_2018[[#This Row],[Date]]),Log_2018[[#This Row],[Split_apply]])) - SUM($O170:O170)</f>
        <v>0</v>
      </c>
      <c r="Q170" s="52">
        <f ca="1">Log_2018[[#This Row],[Amount]]/Log_2018[[#This Row],[Split_raw]]*MAX(0,MIN(_xlfn.DAYS(EDATE(Q$1,1),Log_2018[[#This Row],[Date]]),Log_2018[[#This Row],[Split_apply]])) - SUM($O170:P170)</f>
        <v>0</v>
      </c>
      <c r="R170" s="52">
        <f ca="1">Log_2018[[#This Row],[Amount]]/Log_2018[[#This Row],[Split_raw]]*MAX(0,MIN(_xlfn.DAYS(EDATE(R$1,1),Log_2018[[#This Row],[Date]]),Log_2018[[#This Row],[Split_apply]])) - SUM($O170:Q170)</f>
        <v>0</v>
      </c>
      <c r="S170" s="52">
        <f ca="1">Log_2018[[#This Row],[Amount]]/Log_2018[[#This Row],[Split_raw]]*MAX(0,MIN(_xlfn.DAYS(EDATE(S$1,1),Log_2018[[#This Row],[Date]]),Log_2018[[#This Row],[Split_apply]])) - SUM($O170:R170)</f>
        <v>0</v>
      </c>
      <c r="T170" s="52">
        <f ca="1">Log_2018[[#This Row],[Amount]]/Log_2018[[#This Row],[Split_raw]]*MAX(0,MIN(_xlfn.DAYS(EDATE(T$1,1),Log_2018[[#This Row],[Date]]),Log_2018[[#This Row],[Split_apply]])) - SUM($O170:S170)</f>
        <v>0</v>
      </c>
      <c r="U170" s="52">
        <f ca="1">Log_2018[[#This Row],[Amount]]/Log_2018[[#This Row],[Split_raw]]*MAX(0,MIN(_xlfn.DAYS(EDATE(U$1,1),Log_2018[[#This Row],[Date]]),Log_2018[[#This Row],[Split_apply]])) - SUM($O170:T170)</f>
        <v>0</v>
      </c>
      <c r="V170" s="52">
        <f ca="1">Log_2018[[#This Row],[Amount]]/Log_2018[[#This Row],[Split_raw]]*MAX(0,MIN(_xlfn.DAYS(EDATE(V$1,1),Log_2018[[#This Row],[Date]]),Log_2018[[#This Row],[Split_apply]])) - SUM($O170:U170)</f>
        <v>0</v>
      </c>
      <c r="W170" s="52">
        <f ca="1">Log_2018[[#This Row],[Amount]]/Log_2018[[#This Row],[Split_raw]]*MAX(0,MIN(_xlfn.DAYS(EDATE(W$1,1),Log_2018[[#This Row],[Date]]),Log_2018[[#This Row],[Split_apply]])) - SUM($O170:V170)</f>
        <v>0</v>
      </c>
      <c r="X170" s="52">
        <f ca="1">Log_2018[[#This Row],[Amount]]/Log_2018[[#This Row],[Split_raw]]*MAX(0,MIN(_xlfn.DAYS(EDATE(X$1,1),Log_2018[[#This Row],[Date]]),Log_2018[[#This Row],[Split_apply]])) - SUM($O170:W170)</f>
        <v>0</v>
      </c>
      <c r="Y170" s="52">
        <f ca="1">Log_2018[[#This Row],[Amount]]/Log_2018[[#This Row],[Split_raw]]*MAX(0,MIN(_xlfn.DAYS(EDATE(Y$1,1),Log_2018[[#This Row],[Date]]),Log_2018[[#This Row],[Split_apply]])) - SUM($O170:X170)</f>
        <v>-6.71</v>
      </c>
      <c r="Z170" s="52">
        <f ca="1">Log_2018[[#This Row],[Amount]]/Log_2018[[#This Row],[Split_raw]]*MAX(0,MIN(_xlfn.DAYS(EDATE(Z$1,1),Log_2018[[#This Row],[Date]]),Log_2018[[#This Row],[Split_apply]])) - SUM($O170:Y170)</f>
        <v>0</v>
      </c>
      <c r="AA170" s="52">
        <f ca="1">Log_2018[[#This Row],[Amount]]/Log_2018[[#This Row],[Split_raw]]*MAX(0,MIN(_xlfn.DAYS(EDATE(AA$1,1),Log_2018[[#This Row],[Date]]),Log_2018[[#This Row],[Split_apply]])) - SUM($O170:Z170)</f>
        <v>0</v>
      </c>
      <c r="AB170" s="54">
        <f ca="1">Log_2018[[#This Row],[Amount]]-SUM(O170:AA170)</f>
        <v>0</v>
      </c>
      <c r="AC170" s="7">
        <f ca="1">MAX(0,Log_2018[[#This Row],[Split_apply]] - (EDATE(AA$1,1)-Log_2018[[#This Row],[Date]]))</f>
        <v>0</v>
      </c>
    </row>
    <row r="171" spans="1:29" hidden="1" x14ac:dyDescent="0.25">
      <c r="A171" s="115"/>
      <c r="B171" t="s">
        <v>6</v>
      </c>
      <c r="D171" s="39">
        <v>43392</v>
      </c>
      <c r="F171" t="s">
        <v>412</v>
      </c>
      <c r="G171" t="s">
        <v>11</v>
      </c>
      <c r="H171" s="3">
        <v>-26.43</v>
      </c>
      <c r="I171" s="36">
        <f>IF(Log_2018[[#This Row],[My Category]]="NONTRACKED",0,Log_2018[[#This Row],[Raw Amount]])</f>
        <v>-26.43</v>
      </c>
      <c r="J171" s="17">
        <f>ABS(Log_2018[[#This Row],[Amount]])</f>
        <v>26.43</v>
      </c>
      <c r="K171" s="66">
        <v>1</v>
      </c>
      <c r="L171" s="66">
        <f ca="1">IF(Log_2018[[#This Row],[Date]]&lt;=TODAY(), MIN(Log_2018[[#This Row],[Split_raw]], TODAY()-Log_2018[[#This Row],[Date]]+1), 0)</f>
        <v>1</v>
      </c>
      <c r="M171" t="s">
        <v>42</v>
      </c>
      <c r="N171" t="s">
        <v>158</v>
      </c>
      <c r="O171" s="50">
        <v>0</v>
      </c>
      <c r="P171" s="52">
        <f ca="1">Log_2018[[#This Row],[Amount]]/Log_2018[[#This Row],[Split_raw]]*MAX(0,MIN(_xlfn.DAYS(EDATE(P$1,1),Log_2018[[#This Row],[Date]]),Log_2018[[#This Row],[Split_apply]])) - SUM($O171:O171)</f>
        <v>0</v>
      </c>
      <c r="Q171" s="52">
        <f ca="1">Log_2018[[#This Row],[Amount]]/Log_2018[[#This Row],[Split_raw]]*MAX(0,MIN(_xlfn.DAYS(EDATE(Q$1,1),Log_2018[[#This Row],[Date]]),Log_2018[[#This Row],[Split_apply]])) - SUM($O171:P171)</f>
        <v>0</v>
      </c>
      <c r="R171" s="52">
        <f ca="1">Log_2018[[#This Row],[Amount]]/Log_2018[[#This Row],[Split_raw]]*MAX(0,MIN(_xlfn.DAYS(EDATE(R$1,1),Log_2018[[#This Row],[Date]]),Log_2018[[#This Row],[Split_apply]])) - SUM($O171:Q171)</f>
        <v>0</v>
      </c>
      <c r="S171" s="52">
        <f ca="1">Log_2018[[#This Row],[Amount]]/Log_2018[[#This Row],[Split_raw]]*MAX(0,MIN(_xlfn.DAYS(EDATE(S$1,1),Log_2018[[#This Row],[Date]]),Log_2018[[#This Row],[Split_apply]])) - SUM($O171:R171)</f>
        <v>0</v>
      </c>
      <c r="T171" s="52">
        <f ca="1">Log_2018[[#This Row],[Amount]]/Log_2018[[#This Row],[Split_raw]]*MAX(0,MIN(_xlfn.DAYS(EDATE(T$1,1),Log_2018[[#This Row],[Date]]),Log_2018[[#This Row],[Split_apply]])) - SUM($O171:S171)</f>
        <v>0</v>
      </c>
      <c r="U171" s="52">
        <f ca="1">Log_2018[[#This Row],[Amount]]/Log_2018[[#This Row],[Split_raw]]*MAX(0,MIN(_xlfn.DAYS(EDATE(U$1,1),Log_2018[[#This Row],[Date]]),Log_2018[[#This Row],[Split_apply]])) - SUM($O171:T171)</f>
        <v>0</v>
      </c>
      <c r="V171" s="52">
        <f ca="1">Log_2018[[#This Row],[Amount]]/Log_2018[[#This Row],[Split_raw]]*MAX(0,MIN(_xlfn.DAYS(EDATE(V$1,1),Log_2018[[#This Row],[Date]]),Log_2018[[#This Row],[Split_apply]])) - SUM($O171:U171)</f>
        <v>0</v>
      </c>
      <c r="W171" s="52">
        <f ca="1">Log_2018[[#This Row],[Amount]]/Log_2018[[#This Row],[Split_raw]]*MAX(0,MIN(_xlfn.DAYS(EDATE(W$1,1),Log_2018[[#This Row],[Date]]),Log_2018[[#This Row],[Split_apply]])) - SUM($O171:V171)</f>
        <v>0</v>
      </c>
      <c r="X171" s="52">
        <f ca="1">Log_2018[[#This Row],[Amount]]/Log_2018[[#This Row],[Split_raw]]*MAX(0,MIN(_xlfn.DAYS(EDATE(X$1,1),Log_2018[[#This Row],[Date]]),Log_2018[[#This Row],[Split_apply]])) - SUM($O171:W171)</f>
        <v>0</v>
      </c>
      <c r="Y171" s="52">
        <f ca="1">Log_2018[[#This Row],[Amount]]/Log_2018[[#This Row],[Split_raw]]*MAX(0,MIN(_xlfn.DAYS(EDATE(Y$1,1),Log_2018[[#This Row],[Date]]),Log_2018[[#This Row],[Split_apply]])) - SUM($O171:X171)</f>
        <v>-26.43</v>
      </c>
      <c r="Z171" s="52">
        <f ca="1">Log_2018[[#This Row],[Amount]]/Log_2018[[#This Row],[Split_raw]]*MAX(0,MIN(_xlfn.DAYS(EDATE(Z$1,1),Log_2018[[#This Row],[Date]]),Log_2018[[#This Row],[Split_apply]])) - SUM($O171:Y171)</f>
        <v>0</v>
      </c>
      <c r="AA171" s="52">
        <f ca="1">Log_2018[[#This Row],[Amount]]/Log_2018[[#This Row],[Split_raw]]*MAX(0,MIN(_xlfn.DAYS(EDATE(AA$1,1),Log_2018[[#This Row],[Date]]),Log_2018[[#This Row],[Split_apply]])) - SUM($O171:Z171)</f>
        <v>0</v>
      </c>
      <c r="AB171" s="54">
        <f ca="1">Log_2018[[#This Row],[Amount]]-SUM(O171:AA171)</f>
        <v>0</v>
      </c>
      <c r="AC171" s="7">
        <f ca="1">MAX(0,Log_2018[[#This Row],[Split_apply]] - (EDATE(AA$1,1)-Log_2018[[#This Row],[Date]]))</f>
        <v>0</v>
      </c>
    </row>
    <row r="172" spans="1:29" hidden="1" x14ac:dyDescent="0.25">
      <c r="A172" s="115"/>
      <c r="B172" t="s">
        <v>6</v>
      </c>
      <c r="D172" s="39">
        <v>43390</v>
      </c>
      <c r="F172" t="s">
        <v>423</v>
      </c>
      <c r="G172" t="s">
        <v>29</v>
      </c>
      <c r="H172" s="3">
        <v>-62.86</v>
      </c>
      <c r="I172" s="36">
        <f>IF(Log_2018[[#This Row],[My Category]]="NONTRACKED",0,Log_2018[[#This Row],[Raw Amount]])</f>
        <v>-62.86</v>
      </c>
      <c r="J172" s="17">
        <f>ABS(Log_2018[[#This Row],[Amount]])</f>
        <v>62.86</v>
      </c>
      <c r="K172" s="66">
        <v>30</v>
      </c>
      <c r="L172" s="66">
        <f ca="1">IF(Log_2018[[#This Row],[Date]]&lt;=TODAY(), MIN(Log_2018[[#This Row],[Split_raw]], TODAY()-Log_2018[[#This Row],[Date]]+1), 0)</f>
        <v>30</v>
      </c>
      <c r="M172" t="s">
        <v>29</v>
      </c>
      <c r="N172" t="s">
        <v>160</v>
      </c>
      <c r="O172" s="50">
        <v>0</v>
      </c>
      <c r="P172" s="52">
        <f ca="1">Log_2018[[#This Row],[Amount]]/Log_2018[[#This Row],[Split_raw]]*MAX(0,MIN(_xlfn.DAYS(EDATE(P$1,1),Log_2018[[#This Row],[Date]]),Log_2018[[#This Row],[Split_apply]])) - SUM($O172:O172)</f>
        <v>0</v>
      </c>
      <c r="Q172" s="52">
        <f ca="1">Log_2018[[#This Row],[Amount]]/Log_2018[[#This Row],[Split_raw]]*MAX(0,MIN(_xlfn.DAYS(EDATE(Q$1,1),Log_2018[[#This Row],[Date]]),Log_2018[[#This Row],[Split_apply]])) - SUM($O172:P172)</f>
        <v>0</v>
      </c>
      <c r="R172" s="52">
        <f ca="1">Log_2018[[#This Row],[Amount]]/Log_2018[[#This Row],[Split_raw]]*MAX(0,MIN(_xlfn.DAYS(EDATE(R$1,1),Log_2018[[#This Row],[Date]]),Log_2018[[#This Row],[Split_apply]])) - SUM($O172:Q172)</f>
        <v>0</v>
      </c>
      <c r="S172" s="52">
        <f ca="1">Log_2018[[#This Row],[Amount]]/Log_2018[[#This Row],[Split_raw]]*MAX(0,MIN(_xlfn.DAYS(EDATE(S$1,1),Log_2018[[#This Row],[Date]]),Log_2018[[#This Row],[Split_apply]])) - SUM($O172:R172)</f>
        <v>0</v>
      </c>
      <c r="T172" s="52">
        <f ca="1">Log_2018[[#This Row],[Amount]]/Log_2018[[#This Row],[Split_raw]]*MAX(0,MIN(_xlfn.DAYS(EDATE(T$1,1),Log_2018[[#This Row],[Date]]),Log_2018[[#This Row],[Split_apply]])) - SUM($O172:S172)</f>
        <v>0</v>
      </c>
      <c r="U172" s="52">
        <f ca="1">Log_2018[[#This Row],[Amount]]/Log_2018[[#This Row],[Split_raw]]*MAX(0,MIN(_xlfn.DAYS(EDATE(U$1,1),Log_2018[[#This Row],[Date]]),Log_2018[[#This Row],[Split_apply]])) - SUM($O172:T172)</f>
        <v>0</v>
      </c>
      <c r="V172" s="52">
        <f ca="1">Log_2018[[#This Row],[Amount]]/Log_2018[[#This Row],[Split_raw]]*MAX(0,MIN(_xlfn.DAYS(EDATE(V$1,1),Log_2018[[#This Row],[Date]]),Log_2018[[#This Row],[Split_apply]])) - SUM($O172:U172)</f>
        <v>0</v>
      </c>
      <c r="W172" s="52">
        <f ca="1">Log_2018[[#This Row],[Amount]]/Log_2018[[#This Row],[Split_raw]]*MAX(0,MIN(_xlfn.DAYS(EDATE(W$1,1),Log_2018[[#This Row],[Date]]),Log_2018[[#This Row],[Split_apply]])) - SUM($O172:V172)</f>
        <v>0</v>
      </c>
      <c r="X172" s="52">
        <f ca="1">Log_2018[[#This Row],[Amount]]/Log_2018[[#This Row],[Split_raw]]*MAX(0,MIN(_xlfn.DAYS(EDATE(X$1,1),Log_2018[[#This Row],[Date]]),Log_2018[[#This Row],[Split_apply]])) - SUM($O172:W172)</f>
        <v>0</v>
      </c>
      <c r="Y172" s="52">
        <f ca="1">Log_2018[[#This Row],[Amount]]/Log_2018[[#This Row],[Split_raw]]*MAX(0,MIN(_xlfn.DAYS(EDATE(Y$1,1),Log_2018[[#This Row],[Date]]),Log_2018[[#This Row],[Split_apply]])) - SUM($O172:X172)</f>
        <v>-31.430000000000003</v>
      </c>
      <c r="Z172" s="52">
        <f ca="1">Log_2018[[#This Row],[Amount]]/Log_2018[[#This Row],[Split_raw]]*MAX(0,MIN(_xlfn.DAYS(EDATE(Z$1,1),Log_2018[[#This Row],[Date]]),Log_2018[[#This Row],[Split_apply]])) - SUM($O172:Y172)</f>
        <v>-31.430000000000003</v>
      </c>
      <c r="AA172" s="52">
        <f ca="1">Log_2018[[#This Row],[Amount]]/Log_2018[[#This Row],[Split_raw]]*MAX(0,MIN(_xlfn.DAYS(EDATE(AA$1,1),Log_2018[[#This Row],[Date]]),Log_2018[[#This Row],[Split_apply]])) - SUM($O172:Z172)</f>
        <v>0</v>
      </c>
      <c r="AB172" s="54">
        <f ca="1">Log_2018[[#This Row],[Amount]]-SUM(O172:AA172)</f>
        <v>0</v>
      </c>
      <c r="AC172" s="7">
        <f ca="1">MAX(0,Log_2018[[#This Row],[Split_apply]] - (EDATE(AA$1,1)-Log_2018[[#This Row],[Date]]))</f>
        <v>0</v>
      </c>
    </row>
    <row r="173" spans="1:29" hidden="1" x14ac:dyDescent="0.25">
      <c r="A173" s="115"/>
      <c r="B173" t="s">
        <v>6</v>
      </c>
      <c r="D173" s="39">
        <v>43389</v>
      </c>
      <c r="F173" t="s">
        <v>105</v>
      </c>
      <c r="G173" t="s">
        <v>104</v>
      </c>
      <c r="H173" s="3">
        <f>--498.16</f>
        <v>498.16</v>
      </c>
      <c r="I173" s="36">
        <f>IF(Log_2018[[#This Row],[My Category]]="NONTRACKED",0,Log_2018[[#This Row],[Raw Amount]])</f>
        <v>498.16</v>
      </c>
      <c r="J173" s="17">
        <f>ABS(Log_2018[[#This Row],[Amount]])</f>
        <v>498.16</v>
      </c>
      <c r="K173" s="66">
        <v>1</v>
      </c>
      <c r="L173" s="66">
        <f ca="1">IF(Log_2018[[#This Row],[Date]]&lt;=TODAY(), MIN(Log_2018[[#This Row],[Split_raw]], TODAY()-Log_2018[[#This Row],[Date]]+1), 0)</f>
        <v>1</v>
      </c>
      <c r="M173" t="s">
        <v>159</v>
      </c>
      <c r="N173" t="s">
        <v>158</v>
      </c>
      <c r="O173" s="50">
        <v>0</v>
      </c>
      <c r="P173" s="52">
        <f ca="1">Log_2018[[#This Row],[Amount]]/Log_2018[[#This Row],[Split_raw]]*MAX(0,MIN(_xlfn.DAYS(EDATE(P$1,1),Log_2018[[#This Row],[Date]]),Log_2018[[#This Row],[Split_apply]])) - SUM($O173:O173)</f>
        <v>0</v>
      </c>
      <c r="Q173" s="52">
        <f ca="1">Log_2018[[#This Row],[Amount]]/Log_2018[[#This Row],[Split_raw]]*MAX(0,MIN(_xlfn.DAYS(EDATE(Q$1,1),Log_2018[[#This Row],[Date]]),Log_2018[[#This Row],[Split_apply]])) - SUM($O173:P173)</f>
        <v>0</v>
      </c>
      <c r="R173" s="52">
        <f ca="1">Log_2018[[#This Row],[Amount]]/Log_2018[[#This Row],[Split_raw]]*MAX(0,MIN(_xlfn.DAYS(EDATE(R$1,1),Log_2018[[#This Row],[Date]]),Log_2018[[#This Row],[Split_apply]])) - SUM($O173:Q173)</f>
        <v>0</v>
      </c>
      <c r="S173" s="52">
        <f ca="1">Log_2018[[#This Row],[Amount]]/Log_2018[[#This Row],[Split_raw]]*MAX(0,MIN(_xlfn.DAYS(EDATE(S$1,1),Log_2018[[#This Row],[Date]]),Log_2018[[#This Row],[Split_apply]])) - SUM($O173:R173)</f>
        <v>0</v>
      </c>
      <c r="T173" s="52">
        <f ca="1">Log_2018[[#This Row],[Amount]]/Log_2018[[#This Row],[Split_raw]]*MAX(0,MIN(_xlfn.DAYS(EDATE(T$1,1),Log_2018[[#This Row],[Date]]),Log_2018[[#This Row],[Split_apply]])) - SUM($O173:S173)</f>
        <v>0</v>
      </c>
      <c r="U173" s="52">
        <f ca="1">Log_2018[[#This Row],[Amount]]/Log_2018[[#This Row],[Split_raw]]*MAX(0,MIN(_xlfn.DAYS(EDATE(U$1,1),Log_2018[[#This Row],[Date]]),Log_2018[[#This Row],[Split_apply]])) - SUM($O173:T173)</f>
        <v>0</v>
      </c>
      <c r="V173" s="52">
        <f ca="1">Log_2018[[#This Row],[Amount]]/Log_2018[[#This Row],[Split_raw]]*MAX(0,MIN(_xlfn.DAYS(EDATE(V$1,1),Log_2018[[#This Row],[Date]]),Log_2018[[#This Row],[Split_apply]])) - SUM($O173:U173)</f>
        <v>0</v>
      </c>
      <c r="W173" s="52">
        <f ca="1">Log_2018[[#This Row],[Amount]]/Log_2018[[#This Row],[Split_raw]]*MAX(0,MIN(_xlfn.DAYS(EDATE(W$1,1),Log_2018[[#This Row],[Date]]),Log_2018[[#This Row],[Split_apply]])) - SUM($O173:V173)</f>
        <v>0</v>
      </c>
      <c r="X173" s="52">
        <f ca="1">Log_2018[[#This Row],[Amount]]/Log_2018[[#This Row],[Split_raw]]*MAX(0,MIN(_xlfn.DAYS(EDATE(X$1,1),Log_2018[[#This Row],[Date]]),Log_2018[[#This Row],[Split_apply]])) - SUM($O173:W173)</f>
        <v>0</v>
      </c>
      <c r="Y173" s="52">
        <f ca="1">Log_2018[[#This Row],[Amount]]/Log_2018[[#This Row],[Split_raw]]*MAX(0,MIN(_xlfn.DAYS(EDATE(Y$1,1),Log_2018[[#This Row],[Date]]),Log_2018[[#This Row],[Split_apply]])) - SUM($O173:X173)</f>
        <v>498.16</v>
      </c>
      <c r="Z173" s="52">
        <f ca="1">Log_2018[[#This Row],[Amount]]/Log_2018[[#This Row],[Split_raw]]*MAX(0,MIN(_xlfn.DAYS(EDATE(Z$1,1),Log_2018[[#This Row],[Date]]),Log_2018[[#This Row],[Split_apply]])) - SUM($O173:Y173)</f>
        <v>0</v>
      </c>
      <c r="AA173" s="52">
        <f ca="1">Log_2018[[#This Row],[Amount]]/Log_2018[[#This Row],[Split_raw]]*MAX(0,MIN(_xlfn.DAYS(EDATE(AA$1,1),Log_2018[[#This Row],[Date]]),Log_2018[[#This Row],[Split_apply]])) - SUM($O173:Z173)</f>
        <v>0</v>
      </c>
      <c r="AB173" s="54">
        <f ca="1">Log_2018[[#This Row],[Amount]]-SUM(O173:AA173)</f>
        <v>0</v>
      </c>
      <c r="AC173" s="7">
        <f ca="1">MAX(0,Log_2018[[#This Row],[Split_apply]] - (EDATE(AA$1,1)-Log_2018[[#This Row],[Date]]))</f>
        <v>0</v>
      </c>
    </row>
    <row r="174" spans="1:29" hidden="1" x14ac:dyDescent="0.25">
      <c r="A174" s="115"/>
      <c r="B174" t="s">
        <v>6</v>
      </c>
      <c r="D174" s="39">
        <v>43389</v>
      </c>
      <c r="F174" t="s">
        <v>349</v>
      </c>
      <c r="G174" t="s">
        <v>25</v>
      </c>
      <c r="H174" s="3">
        <v>-9.17</v>
      </c>
      <c r="I174" s="36">
        <f>IF(Log_2018[[#This Row],[My Category]]="NONTRACKED",0,Log_2018[[#This Row],[Raw Amount]])</f>
        <v>-9.17</v>
      </c>
      <c r="J174" s="17">
        <f>ABS(Log_2018[[#This Row],[Amount]])</f>
        <v>9.17</v>
      </c>
      <c r="K174" s="66">
        <v>1</v>
      </c>
      <c r="L174" s="66">
        <f ca="1">IF(Log_2018[[#This Row],[Date]]&lt;=TODAY(), MIN(Log_2018[[#This Row],[Split_raw]], TODAY()-Log_2018[[#This Row],[Date]]+1), 0)</f>
        <v>1</v>
      </c>
      <c r="M174" t="s">
        <v>35</v>
      </c>
      <c r="N174" t="s">
        <v>158</v>
      </c>
      <c r="O174" s="50">
        <v>0</v>
      </c>
      <c r="P174" s="52">
        <f ca="1">Log_2018[[#This Row],[Amount]]/Log_2018[[#This Row],[Split_raw]]*MAX(0,MIN(_xlfn.DAYS(EDATE(P$1,1),Log_2018[[#This Row],[Date]]),Log_2018[[#This Row],[Split_apply]])) - SUM($O174:O174)</f>
        <v>0</v>
      </c>
      <c r="Q174" s="52">
        <f ca="1">Log_2018[[#This Row],[Amount]]/Log_2018[[#This Row],[Split_raw]]*MAX(0,MIN(_xlfn.DAYS(EDATE(Q$1,1),Log_2018[[#This Row],[Date]]),Log_2018[[#This Row],[Split_apply]])) - SUM($O174:P174)</f>
        <v>0</v>
      </c>
      <c r="R174" s="52">
        <f ca="1">Log_2018[[#This Row],[Amount]]/Log_2018[[#This Row],[Split_raw]]*MAX(0,MIN(_xlfn.DAYS(EDATE(R$1,1),Log_2018[[#This Row],[Date]]),Log_2018[[#This Row],[Split_apply]])) - SUM($O174:Q174)</f>
        <v>0</v>
      </c>
      <c r="S174" s="52">
        <f ca="1">Log_2018[[#This Row],[Amount]]/Log_2018[[#This Row],[Split_raw]]*MAX(0,MIN(_xlfn.DAYS(EDATE(S$1,1),Log_2018[[#This Row],[Date]]),Log_2018[[#This Row],[Split_apply]])) - SUM($O174:R174)</f>
        <v>0</v>
      </c>
      <c r="T174" s="52">
        <f ca="1">Log_2018[[#This Row],[Amount]]/Log_2018[[#This Row],[Split_raw]]*MAX(0,MIN(_xlfn.DAYS(EDATE(T$1,1),Log_2018[[#This Row],[Date]]),Log_2018[[#This Row],[Split_apply]])) - SUM($O174:S174)</f>
        <v>0</v>
      </c>
      <c r="U174" s="52">
        <f ca="1">Log_2018[[#This Row],[Amount]]/Log_2018[[#This Row],[Split_raw]]*MAX(0,MIN(_xlfn.DAYS(EDATE(U$1,1),Log_2018[[#This Row],[Date]]),Log_2018[[#This Row],[Split_apply]])) - SUM($O174:T174)</f>
        <v>0</v>
      </c>
      <c r="V174" s="52">
        <f ca="1">Log_2018[[#This Row],[Amount]]/Log_2018[[#This Row],[Split_raw]]*MAX(0,MIN(_xlfn.DAYS(EDATE(V$1,1),Log_2018[[#This Row],[Date]]),Log_2018[[#This Row],[Split_apply]])) - SUM($O174:U174)</f>
        <v>0</v>
      </c>
      <c r="W174" s="52">
        <f ca="1">Log_2018[[#This Row],[Amount]]/Log_2018[[#This Row],[Split_raw]]*MAX(0,MIN(_xlfn.DAYS(EDATE(W$1,1),Log_2018[[#This Row],[Date]]),Log_2018[[#This Row],[Split_apply]])) - SUM($O174:V174)</f>
        <v>0</v>
      </c>
      <c r="X174" s="52">
        <f ca="1">Log_2018[[#This Row],[Amount]]/Log_2018[[#This Row],[Split_raw]]*MAX(0,MIN(_xlfn.DAYS(EDATE(X$1,1),Log_2018[[#This Row],[Date]]),Log_2018[[#This Row],[Split_apply]])) - SUM($O174:W174)</f>
        <v>0</v>
      </c>
      <c r="Y174" s="52">
        <f ca="1">Log_2018[[#This Row],[Amount]]/Log_2018[[#This Row],[Split_raw]]*MAX(0,MIN(_xlfn.DAYS(EDATE(Y$1,1),Log_2018[[#This Row],[Date]]),Log_2018[[#This Row],[Split_apply]])) - SUM($O174:X174)</f>
        <v>-9.17</v>
      </c>
      <c r="Z174" s="52">
        <f ca="1">Log_2018[[#This Row],[Amount]]/Log_2018[[#This Row],[Split_raw]]*MAX(0,MIN(_xlfn.DAYS(EDATE(Z$1,1),Log_2018[[#This Row],[Date]]),Log_2018[[#This Row],[Split_apply]])) - SUM($O174:Y174)</f>
        <v>0</v>
      </c>
      <c r="AA174" s="52">
        <f ca="1">Log_2018[[#This Row],[Amount]]/Log_2018[[#This Row],[Split_raw]]*MAX(0,MIN(_xlfn.DAYS(EDATE(AA$1,1),Log_2018[[#This Row],[Date]]),Log_2018[[#This Row],[Split_apply]])) - SUM($O174:Z174)</f>
        <v>0</v>
      </c>
      <c r="AB174" s="54">
        <f ca="1">Log_2018[[#This Row],[Amount]]-SUM(O174:AA174)</f>
        <v>0</v>
      </c>
      <c r="AC174" s="7">
        <f ca="1">MAX(0,Log_2018[[#This Row],[Split_apply]] - (EDATE(AA$1,1)-Log_2018[[#This Row],[Date]]))</f>
        <v>0</v>
      </c>
    </row>
    <row r="175" spans="1:29" hidden="1" x14ac:dyDescent="0.25">
      <c r="A175" s="115"/>
      <c r="B175" t="s">
        <v>6</v>
      </c>
      <c r="D175" s="39">
        <v>43389</v>
      </c>
      <c r="F175" t="s">
        <v>138</v>
      </c>
      <c r="G175" t="s">
        <v>104</v>
      </c>
      <c r="H175" s="3">
        <v>-498.16</v>
      </c>
      <c r="I175" s="36">
        <f>IF(Log_2018[[#This Row],[My Category]]="NONTRACKED",0,Log_2018[[#This Row],[Raw Amount]])</f>
        <v>-498.16</v>
      </c>
      <c r="J175" s="17">
        <f>ABS(Log_2018[[#This Row],[Amount]])</f>
        <v>498.16</v>
      </c>
      <c r="K175" s="66">
        <v>1</v>
      </c>
      <c r="L175" s="66">
        <f ca="1">IF(Log_2018[[#This Row],[Date]]&lt;=TODAY(), MIN(Log_2018[[#This Row],[Split_raw]], TODAY()-Log_2018[[#This Row],[Date]]+1), 0)</f>
        <v>1</v>
      </c>
      <c r="M175" t="s">
        <v>159</v>
      </c>
      <c r="N175" t="s">
        <v>160</v>
      </c>
      <c r="O175" s="50">
        <v>0</v>
      </c>
      <c r="P175" s="52">
        <f ca="1">Log_2018[[#This Row],[Amount]]/Log_2018[[#This Row],[Split_raw]]*MAX(0,MIN(_xlfn.DAYS(EDATE(P$1,1),Log_2018[[#This Row],[Date]]),Log_2018[[#This Row],[Split_apply]])) - SUM($O175:O175)</f>
        <v>0</v>
      </c>
      <c r="Q175" s="52">
        <f ca="1">Log_2018[[#This Row],[Amount]]/Log_2018[[#This Row],[Split_raw]]*MAX(0,MIN(_xlfn.DAYS(EDATE(Q$1,1),Log_2018[[#This Row],[Date]]),Log_2018[[#This Row],[Split_apply]])) - SUM($O175:P175)</f>
        <v>0</v>
      </c>
      <c r="R175" s="52">
        <f ca="1">Log_2018[[#This Row],[Amount]]/Log_2018[[#This Row],[Split_raw]]*MAX(0,MIN(_xlfn.DAYS(EDATE(R$1,1),Log_2018[[#This Row],[Date]]),Log_2018[[#This Row],[Split_apply]])) - SUM($O175:Q175)</f>
        <v>0</v>
      </c>
      <c r="S175" s="52">
        <f ca="1">Log_2018[[#This Row],[Amount]]/Log_2018[[#This Row],[Split_raw]]*MAX(0,MIN(_xlfn.DAYS(EDATE(S$1,1),Log_2018[[#This Row],[Date]]),Log_2018[[#This Row],[Split_apply]])) - SUM($O175:R175)</f>
        <v>0</v>
      </c>
      <c r="T175" s="52">
        <f ca="1">Log_2018[[#This Row],[Amount]]/Log_2018[[#This Row],[Split_raw]]*MAX(0,MIN(_xlfn.DAYS(EDATE(T$1,1),Log_2018[[#This Row],[Date]]),Log_2018[[#This Row],[Split_apply]])) - SUM($O175:S175)</f>
        <v>0</v>
      </c>
      <c r="U175" s="52">
        <f ca="1">Log_2018[[#This Row],[Amount]]/Log_2018[[#This Row],[Split_raw]]*MAX(0,MIN(_xlfn.DAYS(EDATE(U$1,1),Log_2018[[#This Row],[Date]]),Log_2018[[#This Row],[Split_apply]])) - SUM($O175:T175)</f>
        <v>0</v>
      </c>
      <c r="V175" s="52">
        <f ca="1">Log_2018[[#This Row],[Amount]]/Log_2018[[#This Row],[Split_raw]]*MAX(0,MIN(_xlfn.DAYS(EDATE(V$1,1),Log_2018[[#This Row],[Date]]),Log_2018[[#This Row],[Split_apply]])) - SUM($O175:U175)</f>
        <v>0</v>
      </c>
      <c r="W175" s="52">
        <f ca="1">Log_2018[[#This Row],[Amount]]/Log_2018[[#This Row],[Split_raw]]*MAX(0,MIN(_xlfn.DAYS(EDATE(W$1,1),Log_2018[[#This Row],[Date]]),Log_2018[[#This Row],[Split_apply]])) - SUM($O175:V175)</f>
        <v>0</v>
      </c>
      <c r="X175" s="52">
        <f ca="1">Log_2018[[#This Row],[Amount]]/Log_2018[[#This Row],[Split_raw]]*MAX(0,MIN(_xlfn.DAYS(EDATE(X$1,1),Log_2018[[#This Row],[Date]]),Log_2018[[#This Row],[Split_apply]])) - SUM($O175:W175)</f>
        <v>0</v>
      </c>
      <c r="Y175" s="52">
        <f ca="1">Log_2018[[#This Row],[Amount]]/Log_2018[[#This Row],[Split_raw]]*MAX(0,MIN(_xlfn.DAYS(EDATE(Y$1,1),Log_2018[[#This Row],[Date]]),Log_2018[[#This Row],[Split_apply]])) - SUM($O175:X175)</f>
        <v>-498.16</v>
      </c>
      <c r="Z175" s="52">
        <f ca="1">Log_2018[[#This Row],[Amount]]/Log_2018[[#This Row],[Split_raw]]*MAX(0,MIN(_xlfn.DAYS(EDATE(Z$1,1),Log_2018[[#This Row],[Date]]),Log_2018[[#This Row],[Split_apply]])) - SUM($O175:Y175)</f>
        <v>0</v>
      </c>
      <c r="AA175" s="52">
        <f ca="1">Log_2018[[#This Row],[Amount]]/Log_2018[[#This Row],[Split_raw]]*MAX(0,MIN(_xlfn.DAYS(EDATE(AA$1,1),Log_2018[[#This Row],[Date]]),Log_2018[[#This Row],[Split_apply]])) - SUM($O175:Z175)</f>
        <v>0</v>
      </c>
      <c r="AB175" s="54">
        <f ca="1">Log_2018[[#This Row],[Amount]]-SUM(O175:AA175)</f>
        <v>0</v>
      </c>
      <c r="AC175" s="7">
        <f ca="1">MAX(0,Log_2018[[#This Row],[Split_apply]] - (EDATE(AA$1,1)-Log_2018[[#This Row],[Date]]))</f>
        <v>0</v>
      </c>
    </row>
    <row r="176" spans="1:29" hidden="1" x14ac:dyDescent="0.25">
      <c r="A176" s="115"/>
      <c r="B176" t="s">
        <v>6</v>
      </c>
      <c r="D176" s="39">
        <v>43388</v>
      </c>
      <c r="F176" t="s">
        <v>184</v>
      </c>
      <c r="G176" t="s">
        <v>11</v>
      </c>
      <c r="H176" s="3">
        <v>-11.84</v>
      </c>
      <c r="I176" s="36">
        <f>IF(Log_2018[[#This Row],[My Category]]="NONTRACKED",0,Log_2018[[#This Row],[Raw Amount]])</f>
        <v>-11.84</v>
      </c>
      <c r="J176" s="17">
        <f>ABS(Log_2018[[#This Row],[Amount]])</f>
        <v>11.84</v>
      </c>
      <c r="K176" s="66">
        <v>1</v>
      </c>
      <c r="L176" s="66">
        <f ca="1">IF(Log_2018[[#This Row],[Date]]&lt;=TODAY(), MIN(Log_2018[[#This Row],[Split_raw]], TODAY()-Log_2018[[#This Row],[Date]]+1), 0)</f>
        <v>1</v>
      </c>
      <c r="M176" t="s">
        <v>12</v>
      </c>
      <c r="N176" t="s">
        <v>158</v>
      </c>
      <c r="O176" s="50">
        <v>0</v>
      </c>
      <c r="P176" s="52">
        <f ca="1">Log_2018[[#This Row],[Amount]]/Log_2018[[#This Row],[Split_raw]]*MAX(0,MIN(_xlfn.DAYS(EDATE(P$1,1),Log_2018[[#This Row],[Date]]),Log_2018[[#This Row],[Split_apply]])) - SUM($O176:O176)</f>
        <v>0</v>
      </c>
      <c r="Q176" s="52">
        <f ca="1">Log_2018[[#This Row],[Amount]]/Log_2018[[#This Row],[Split_raw]]*MAX(0,MIN(_xlfn.DAYS(EDATE(Q$1,1),Log_2018[[#This Row],[Date]]),Log_2018[[#This Row],[Split_apply]])) - SUM($O176:P176)</f>
        <v>0</v>
      </c>
      <c r="R176" s="52">
        <f ca="1">Log_2018[[#This Row],[Amount]]/Log_2018[[#This Row],[Split_raw]]*MAX(0,MIN(_xlfn.DAYS(EDATE(R$1,1),Log_2018[[#This Row],[Date]]),Log_2018[[#This Row],[Split_apply]])) - SUM($O176:Q176)</f>
        <v>0</v>
      </c>
      <c r="S176" s="52">
        <f ca="1">Log_2018[[#This Row],[Amount]]/Log_2018[[#This Row],[Split_raw]]*MAX(0,MIN(_xlfn.DAYS(EDATE(S$1,1),Log_2018[[#This Row],[Date]]),Log_2018[[#This Row],[Split_apply]])) - SUM($O176:R176)</f>
        <v>0</v>
      </c>
      <c r="T176" s="52">
        <f ca="1">Log_2018[[#This Row],[Amount]]/Log_2018[[#This Row],[Split_raw]]*MAX(0,MIN(_xlfn.DAYS(EDATE(T$1,1),Log_2018[[#This Row],[Date]]),Log_2018[[#This Row],[Split_apply]])) - SUM($O176:S176)</f>
        <v>0</v>
      </c>
      <c r="U176" s="52">
        <f ca="1">Log_2018[[#This Row],[Amount]]/Log_2018[[#This Row],[Split_raw]]*MAX(0,MIN(_xlfn.DAYS(EDATE(U$1,1),Log_2018[[#This Row],[Date]]),Log_2018[[#This Row],[Split_apply]])) - SUM($O176:T176)</f>
        <v>0</v>
      </c>
      <c r="V176" s="52">
        <f ca="1">Log_2018[[#This Row],[Amount]]/Log_2018[[#This Row],[Split_raw]]*MAX(0,MIN(_xlfn.DAYS(EDATE(V$1,1),Log_2018[[#This Row],[Date]]),Log_2018[[#This Row],[Split_apply]])) - SUM($O176:U176)</f>
        <v>0</v>
      </c>
      <c r="W176" s="52">
        <f ca="1">Log_2018[[#This Row],[Amount]]/Log_2018[[#This Row],[Split_raw]]*MAX(0,MIN(_xlfn.DAYS(EDATE(W$1,1),Log_2018[[#This Row],[Date]]),Log_2018[[#This Row],[Split_apply]])) - SUM($O176:V176)</f>
        <v>0</v>
      </c>
      <c r="X176" s="52">
        <f ca="1">Log_2018[[#This Row],[Amount]]/Log_2018[[#This Row],[Split_raw]]*MAX(0,MIN(_xlfn.DAYS(EDATE(X$1,1),Log_2018[[#This Row],[Date]]),Log_2018[[#This Row],[Split_apply]])) - SUM($O176:W176)</f>
        <v>0</v>
      </c>
      <c r="Y176" s="52">
        <f ca="1">Log_2018[[#This Row],[Amount]]/Log_2018[[#This Row],[Split_raw]]*MAX(0,MIN(_xlfn.DAYS(EDATE(Y$1,1),Log_2018[[#This Row],[Date]]),Log_2018[[#This Row],[Split_apply]])) - SUM($O176:X176)</f>
        <v>-11.84</v>
      </c>
      <c r="Z176" s="52">
        <f ca="1">Log_2018[[#This Row],[Amount]]/Log_2018[[#This Row],[Split_raw]]*MAX(0,MIN(_xlfn.DAYS(EDATE(Z$1,1),Log_2018[[#This Row],[Date]]),Log_2018[[#This Row],[Split_apply]])) - SUM($O176:Y176)</f>
        <v>0</v>
      </c>
      <c r="AA176" s="52">
        <f ca="1">Log_2018[[#This Row],[Amount]]/Log_2018[[#This Row],[Split_raw]]*MAX(0,MIN(_xlfn.DAYS(EDATE(AA$1,1),Log_2018[[#This Row],[Date]]),Log_2018[[#This Row],[Split_apply]])) - SUM($O176:Z176)</f>
        <v>0</v>
      </c>
      <c r="AB176" s="54">
        <f ca="1">Log_2018[[#This Row],[Amount]]-SUM(O176:AA176)</f>
        <v>0</v>
      </c>
      <c r="AC176" s="7">
        <f ca="1">MAX(0,Log_2018[[#This Row],[Split_apply]] - (EDATE(AA$1,1)-Log_2018[[#This Row],[Date]]))</f>
        <v>0</v>
      </c>
    </row>
    <row r="177" spans="1:29" hidden="1" x14ac:dyDescent="0.25">
      <c r="A177" s="115"/>
      <c r="B177" t="s">
        <v>6</v>
      </c>
      <c r="D177" s="39">
        <v>43388</v>
      </c>
      <c r="F177" t="s">
        <v>270</v>
      </c>
      <c r="G177" t="s">
        <v>25</v>
      </c>
      <c r="H177" s="3">
        <v>-9.77</v>
      </c>
      <c r="I177" s="36">
        <f>IF(Log_2018[[#This Row],[My Category]]="NONTRACKED",0,Log_2018[[#This Row],[Raw Amount]])</f>
        <v>-9.77</v>
      </c>
      <c r="J177" s="17">
        <f>ABS(Log_2018[[#This Row],[Amount]])</f>
        <v>9.77</v>
      </c>
      <c r="K177" s="66">
        <v>1</v>
      </c>
      <c r="L177" s="66">
        <f ca="1">IF(Log_2018[[#This Row],[Date]]&lt;=TODAY(), MIN(Log_2018[[#This Row],[Split_raw]], TODAY()-Log_2018[[#This Row],[Date]]+1), 0)</f>
        <v>1</v>
      </c>
      <c r="M177" t="s">
        <v>35</v>
      </c>
      <c r="N177" t="s">
        <v>158</v>
      </c>
      <c r="O177" s="50">
        <v>0</v>
      </c>
      <c r="P177" s="52">
        <f ca="1">Log_2018[[#This Row],[Amount]]/Log_2018[[#This Row],[Split_raw]]*MAX(0,MIN(_xlfn.DAYS(EDATE(P$1,1),Log_2018[[#This Row],[Date]]),Log_2018[[#This Row],[Split_apply]])) - SUM($O177:O177)</f>
        <v>0</v>
      </c>
      <c r="Q177" s="52">
        <f ca="1">Log_2018[[#This Row],[Amount]]/Log_2018[[#This Row],[Split_raw]]*MAX(0,MIN(_xlfn.DAYS(EDATE(Q$1,1),Log_2018[[#This Row],[Date]]),Log_2018[[#This Row],[Split_apply]])) - SUM($O177:P177)</f>
        <v>0</v>
      </c>
      <c r="R177" s="52">
        <f ca="1">Log_2018[[#This Row],[Amount]]/Log_2018[[#This Row],[Split_raw]]*MAX(0,MIN(_xlfn.DAYS(EDATE(R$1,1),Log_2018[[#This Row],[Date]]),Log_2018[[#This Row],[Split_apply]])) - SUM($O177:Q177)</f>
        <v>0</v>
      </c>
      <c r="S177" s="52">
        <f ca="1">Log_2018[[#This Row],[Amount]]/Log_2018[[#This Row],[Split_raw]]*MAX(0,MIN(_xlfn.DAYS(EDATE(S$1,1),Log_2018[[#This Row],[Date]]),Log_2018[[#This Row],[Split_apply]])) - SUM($O177:R177)</f>
        <v>0</v>
      </c>
      <c r="T177" s="52">
        <f ca="1">Log_2018[[#This Row],[Amount]]/Log_2018[[#This Row],[Split_raw]]*MAX(0,MIN(_xlfn.DAYS(EDATE(T$1,1),Log_2018[[#This Row],[Date]]),Log_2018[[#This Row],[Split_apply]])) - SUM($O177:S177)</f>
        <v>0</v>
      </c>
      <c r="U177" s="52">
        <f ca="1">Log_2018[[#This Row],[Amount]]/Log_2018[[#This Row],[Split_raw]]*MAX(0,MIN(_xlfn.DAYS(EDATE(U$1,1),Log_2018[[#This Row],[Date]]),Log_2018[[#This Row],[Split_apply]])) - SUM($O177:T177)</f>
        <v>0</v>
      </c>
      <c r="V177" s="52">
        <f ca="1">Log_2018[[#This Row],[Amount]]/Log_2018[[#This Row],[Split_raw]]*MAX(0,MIN(_xlfn.DAYS(EDATE(V$1,1),Log_2018[[#This Row],[Date]]),Log_2018[[#This Row],[Split_apply]])) - SUM($O177:U177)</f>
        <v>0</v>
      </c>
      <c r="W177" s="52">
        <f ca="1">Log_2018[[#This Row],[Amount]]/Log_2018[[#This Row],[Split_raw]]*MAX(0,MIN(_xlfn.DAYS(EDATE(W$1,1),Log_2018[[#This Row],[Date]]),Log_2018[[#This Row],[Split_apply]])) - SUM($O177:V177)</f>
        <v>0</v>
      </c>
      <c r="X177" s="52">
        <f ca="1">Log_2018[[#This Row],[Amount]]/Log_2018[[#This Row],[Split_raw]]*MAX(0,MIN(_xlfn.DAYS(EDATE(X$1,1),Log_2018[[#This Row],[Date]]),Log_2018[[#This Row],[Split_apply]])) - SUM($O177:W177)</f>
        <v>0</v>
      </c>
      <c r="Y177" s="52">
        <f ca="1">Log_2018[[#This Row],[Amount]]/Log_2018[[#This Row],[Split_raw]]*MAX(0,MIN(_xlfn.DAYS(EDATE(Y$1,1),Log_2018[[#This Row],[Date]]),Log_2018[[#This Row],[Split_apply]])) - SUM($O177:X177)</f>
        <v>-9.77</v>
      </c>
      <c r="Z177" s="52">
        <f ca="1">Log_2018[[#This Row],[Amount]]/Log_2018[[#This Row],[Split_raw]]*MAX(0,MIN(_xlfn.DAYS(EDATE(Z$1,1),Log_2018[[#This Row],[Date]]),Log_2018[[#This Row],[Split_apply]])) - SUM($O177:Y177)</f>
        <v>0</v>
      </c>
      <c r="AA177" s="52">
        <f ca="1">Log_2018[[#This Row],[Amount]]/Log_2018[[#This Row],[Split_raw]]*MAX(0,MIN(_xlfn.DAYS(EDATE(AA$1,1),Log_2018[[#This Row],[Date]]),Log_2018[[#This Row],[Split_apply]])) - SUM($O177:Z177)</f>
        <v>0</v>
      </c>
      <c r="AB177" s="54">
        <f ca="1">Log_2018[[#This Row],[Amount]]-SUM(O177:AA177)</f>
        <v>0</v>
      </c>
      <c r="AC177" s="7">
        <f ca="1">MAX(0,Log_2018[[#This Row],[Split_apply]] - (EDATE(AA$1,1)-Log_2018[[#This Row],[Date]]))</f>
        <v>0</v>
      </c>
    </row>
    <row r="178" spans="1:29" hidden="1" x14ac:dyDescent="0.25">
      <c r="A178" s="115"/>
      <c r="B178" t="s">
        <v>6</v>
      </c>
      <c r="D178" s="39">
        <v>43388</v>
      </c>
      <c r="F178" t="s">
        <v>255</v>
      </c>
      <c r="G178" t="s">
        <v>25</v>
      </c>
      <c r="H178" s="3">
        <v>-31.78</v>
      </c>
      <c r="I178" s="36">
        <f>IF(Log_2018[[#This Row],[My Category]]="NONTRACKED",0,Log_2018[[#This Row],[Raw Amount]])</f>
        <v>-31.78</v>
      </c>
      <c r="J178" s="17">
        <f>ABS(Log_2018[[#This Row],[Amount]])</f>
        <v>31.78</v>
      </c>
      <c r="K178" s="66">
        <v>1</v>
      </c>
      <c r="L178" s="66">
        <f ca="1">IF(Log_2018[[#This Row],[Date]]&lt;=TODAY(), MIN(Log_2018[[#This Row],[Split_raw]], TODAY()-Log_2018[[#This Row],[Date]]+1), 0)</f>
        <v>1</v>
      </c>
      <c r="M178" t="s">
        <v>52</v>
      </c>
      <c r="N178" t="s">
        <v>158</v>
      </c>
      <c r="O178" s="50">
        <v>0</v>
      </c>
      <c r="P178" s="52">
        <f ca="1">Log_2018[[#This Row],[Amount]]/Log_2018[[#This Row],[Split_raw]]*MAX(0,MIN(_xlfn.DAYS(EDATE(P$1,1),Log_2018[[#This Row],[Date]]),Log_2018[[#This Row],[Split_apply]])) - SUM($O178:O178)</f>
        <v>0</v>
      </c>
      <c r="Q178" s="52">
        <f ca="1">Log_2018[[#This Row],[Amount]]/Log_2018[[#This Row],[Split_raw]]*MAX(0,MIN(_xlfn.DAYS(EDATE(Q$1,1),Log_2018[[#This Row],[Date]]),Log_2018[[#This Row],[Split_apply]])) - SUM($O178:P178)</f>
        <v>0</v>
      </c>
      <c r="R178" s="52">
        <f ca="1">Log_2018[[#This Row],[Amount]]/Log_2018[[#This Row],[Split_raw]]*MAX(0,MIN(_xlfn.DAYS(EDATE(R$1,1),Log_2018[[#This Row],[Date]]),Log_2018[[#This Row],[Split_apply]])) - SUM($O178:Q178)</f>
        <v>0</v>
      </c>
      <c r="S178" s="52">
        <f ca="1">Log_2018[[#This Row],[Amount]]/Log_2018[[#This Row],[Split_raw]]*MAX(0,MIN(_xlfn.DAYS(EDATE(S$1,1),Log_2018[[#This Row],[Date]]),Log_2018[[#This Row],[Split_apply]])) - SUM($O178:R178)</f>
        <v>0</v>
      </c>
      <c r="T178" s="52">
        <f ca="1">Log_2018[[#This Row],[Amount]]/Log_2018[[#This Row],[Split_raw]]*MAX(0,MIN(_xlfn.DAYS(EDATE(T$1,1),Log_2018[[#This Row],[Date]]),Log_2018[[#This Row],[Split_apply]])) - SUM($O178:S178)</f>
        <v>0</v>
      </c>
      <c r="U178" s="52">
        <f ca="1">Log_2018[[#This Row],[Amount]]/Log_2018[[#This Row],[Split_raw]]*MAX(0,MIN(_xlfn.DAYS(EDATE(U$1,1),Log_2018[[#This Row],[Date]]),Log_2018[[#This Row],[Split_apply]])) - SUM($O178:T178)</f>
        <v>0</v>
      </c>
      <c r="V178" s="52">
        <f ca="1">Log_2018[[#This Row],[Amount]]/Log_2018[[#This Row],[Split_raw]]*MAX(0,MIN(_xlfn.DAYS(EDATE(V$1,1),Log_2018[[#This Row],[Date]]),Log_2018[[#This Row],[Split_apply]])) - SUM($O178:U178)</f>
        <v>0</v>
      </c>
      <c r="W178" s="52">
        <f ca="1">Log_2018[[#This Row],[Amount]]/Log_2018[[#This Row],[Split_raw]]*MAX(0,MIN(_xlfn.DAYS(EDATE(W$1,1),Log_2018[[#This Row],[Date]]),Log_2018[[#This Row],[Split_apply]])) - SUM($O178:V178)</f>
        <v>0</v>
      </c>
      <c r="X178" s="52">
        <f ca="1">Log_2018[[#This Row],[Amount]]/Log_2018[[#This Row],[Split_raw]]*MAX(0,MIN(_xlfn.DAYS(EDATE(X$1,1),Log_2018[[#This Row],[Date]]),Log_2018[[#This Row],[Split_apply]])) - SUM($O178:W178)</f>
        <v>0</v>
      </c>
      <c r="Y178" s="52">
        <f ca="1">Log_2018[[#This Row],[Amount]]/Log_2018[[#This Row],[Split_raw]]*MAX(0,MIN(_xlfn.DAYS(EDATE(Y$1,1),Log_2018[[#This Row],[Date]]),Log_2018[[#This Row],[Split_apply]])) - SUM($O178:X178)</f>
        <v>-31.78</v>
      </c>
      <c r="Z178" s="52">
        <f ca="1">Log_2018[[#This Row],[Amount]]/Log_2018[[#This Row],[Split_raw]]*MAX(0,MIN(_xlfn.DAYS(EDATE(Z$1,1),Log_2018[[#This Row],[Date]]),Log_2018[[#This Row],[Split_apply]])) - SUM($O178:Y178)</f>
        <v>0</v>
      </c>
      <c r="AA178" s="52">
        <f ca="1">Log_2018[[#This Row],[Amount]]/Log_2018[[#This Row],[Split_raw]]*MAX(0,MIN(_xlfn.DAYS(EDATE(AA$1,1),Log_2018[[#This Row],[Date]]),Log_2018[[#This Row],[Split_apply]])) - SUM($O178:Z178)</f>
        <v>0</v>
      </c>
      <c r="AB178" s="54">
        <f ca="1">Log_2018[[#This Row],[Amount]]-SUM(O178:AA178)</f>
        <v>0</v>
      </c>
      <c r="AC178" s="7">
        <f ca="1">MAX(0,Log_2018[[#This Row],[Split_apply]] - (EDATE(AA$1,1)-Log_2018[[#This Row],[Date]]))</f>
        <v>0</v>
      </c>
    </row>
    <row r="179" spans="1:29" hidden="1" x14ac:dyDescent="0.25">
      <c r="A179" s="115"/>
      <c r="B179" t="s">
        <v>6</v>
      </c>
      <c r="D179" s="26">
        <v>43388</v>
      </c>
      <c r="F179" t="s">
        <v>255</v>
      </c>
      <c r="G179" t="s">
        <v>25</v>
      </c>
      <c r="H179" s="3">
        <v>-5.07</v>
      </c>
      <c r="I179" s="36">
        <f>IF(Log_2018[[#This Row],[My Category]]="NONTRACKED",0,Log_2018[[#This Row],[Raw Amount]])</f>
        <v>-5.07</v>
      </c>
      <c r="J179" s="17">
        <f>ABS(Log_2018[[#This Row],[Amount]])</f>
        <v>5.07</v>
      </c>
      <c r="K179" s="66">
        <v>1</v>
      </c>
      <c r="L179" s="66">
        <f ca="1">IF(Log_2018[[#This Row],[Date]]&lt;=TODAY(), MIN(Log_2018[[#This Row],[Split_raw]], TODAY()-Log_2018[[#This Row],[Date]]+1), 0)</f>
        <v>1</v>
      </c>
      <c r="M179" t="s">
        <v>35</v>
      </c>
      <c r="N179" t="s">
        <v>158</v>
      </c>
      <c r="O179" s="50">
        <v>0</v>
      </c>
      <c r="P179" s="52">
        <f ca="1">Log_2018[[#This Row],[Amount]]/Log_2018[[#This Row],[Split_raw]]*MAX(0,MIN(_xlfn.DAYS(EDATE(P$1,1),Log_2018[[#This Row],[Date]]),Log_2018[[#This Row],[Split_apply]])) - SUM($O179:O179)</f>
        <v>0</v>
      </c>
      <c r="Q179" s="52">
        <f ca="1">Log_2018[[#This Row],[Amount]]/Log_2018[[#This Row],[Split_raw]]*MAX(0,MIN(_xlfn.DAYS(EDATE(Q$1,1),Log_2018[[#This Row],[Date]]),Log_2018[[#This Row],[Split_apply]])) - SUM($O179:P179)</f>
        <v>0</v>
      </c>
      <c r="R179" s="52">
        <f ca="1">Log_2018[[#This Row],[Amount]]/Log_2018[[#This Row],[Split_raw]]*MAX(0,MIN(_xlfn.DAYS(EDATE(R$1,1),Log_2018[[#This Row],[Date]]),Log_2018[[#This Row],[Split_apply]])) - SUM($O179:Q179)</f>
        <v>0</v>
      </c>
      <c r="S179" s="52">
        <f ca="1">Log_2018[[#This Row],[Amount]]/Log_2018[[#This Row],[Split_raw]]*MAX(0,MIN(_xlfn.DAYS(EDATE(S$1,1),Log_2018[[#This Row],[Date]]),Log_2018[[#This Row],[Split_apply]])) - SUM($O179:R179)</f>
        <v>0</v>
      </c>
      <c r="T179" s="52">
        <f ca="1">Log_2018[[#This Row],[Amount]]/Log_2018[[#This Row],[Split_raw]]*MAX(0,MIN(_xlfn.DAYS(EDATE(T$1,1),Log_2018[[#This Row],[Date]]),Log_2018[[#This Row],[Split_apply]])) - SUM($O179:S179)</f>
        <v>0</v>
      </c>
      <c r="U179" s="52">
        <f ca="1">Log_2018[[#This Row],[Amount]]/Log_2018[[#This Row],[Split_raw]]*MAX(0,MIN(_xlfn.DAYS(EDATE(U$1,1),Log_2018[[#This Row],[Date]]),Log_2018[[#This Row],[Split_apply]])) - SUM($O179:T179)</f>
        <v>0</v>
      </c>
      <c r="V179" s="52">
        <f ca="1">Log_2018[[#This Row],[Amount]]/Log_2018[[#This Row],[Split_raw]]*MAX(0,MIN(_xlfn.DAYS(EDATE(V$1,1),Log_2018[[#This Row],[Date]]),Log_2018[[#This Row],[Split_apply]])) - SUM($O179:U179)</f>
        <v>0</v>
      </c>
      <c r="W179" s="52">
        <f ca="1">Log_2018[[#This Row],[Amount]]/Log_2018[[#This Row],[Split_raw]]*MAX(0,MIN(_xlfn.DAYS(EDATE(W$1,1),Log_2018[[#This Row],[Date]]),Log_2018[[#This Row],[Split_apply]])) - SUM($O179:V179)</f>
        <v>0</v>
      </c>
      <c r="X179" s="52">
        <f ca="1">Log_2018[[#This Row],[Amount]]/Log_2018[[#This Row],[Split_raw]]*MAX(0,MIN(_xlfn.DAYS(EDATE(X$1,1),Log_2018[[#This Row],[Date]]),Log_2018[[#This Row],[Split_apply]])) - SUM($O179:W179)</f>
        <v>0</v>
      </c>
      <c r="Y179" s="52">
        <f ca="1">Log_2018[[#This Row],[Amount]]/Log_2018[[#This Row],[Split_raw]]*MAX(0,MIN(_xlfn.DAYS(EDATE(Y$1,1),Log_2018[[#This Row],[Date]]),Log_2018[[#This Row],[Split_apply]])) - SUM($O179:X179)</f>
        <v>-5.07</v>
      </c>
      <c r="Z179" s="52">
        <f ca="1">Log_2018[[#This Row],[Amount]]/Log_2018[[#This Row],[Split_raw]]*MAX(0,MIN(_xlfn.DAYS(EDATE(Z$1,1),Log_2018[[#This Row],[Date]]),Log_2018[[#This Row],[Split_apply]])) - SUM($O179:Y179)</f>
        <v>0</v>
      </c>
      <c r="AA179" s="52">
        <f ca="1">Log_2018[[#This Row],[Amount]]/Log_2018[[#This Row],[Split_raw]]*MAX(0,MIN(_xlfn.DAYS(EDATE(AA$1,1),Log_2018[[#This Row],[Date]]),Log_2018[[#This Row],[Split_apply]])) - SUM($O179:Z179)</f>
        <v>0</v>
      </c>
      <c r="AB179" s="54">
        <f ca="1">Log_2018[[#This Row],[Amount]]-SUM(O179:AA179)</f>
        <v>0</v>
      </c>
      <c r="AC179" s="7">
        <f ca="1">MAX(0,Log_2018[[#This Row],[Split_apply]] - (EDATE(AA$1,1)-Log_2018[[#This Row],[Date]]))</f>
        <v>0</v>
      </c>
    </row>
    <row r="180" spans="1:29" hidden="1" x14ac:dyDescent="0.25">
      <c r="A180" s="115"/>
      <c r="B180" t="s">
        <v>6</v>
      </c>
      <c r="D180" s="26">
        <v>43388</v>
      </c>
      <c r="F180" t="s">
        <v>413</v>
      </c>
      <c r="G180" t="s">
        <v>25</v>
      </c>
      <c r="H180" s="3">
        <v>-12.98</v>
      </c>
      <c r="I180" s="36">
        <f>IF(Log_2018[[#This Row],[My Category]]="NONTRACKED",0,Log_2018[[#This Row],[Raw Amount]])</f>
        <v>-12.98</v>
      </c>
      <c r="J180" s="17">
        <f>ABS(Log_2018[[#This Row],[Amount]])</f>
        <v>12.98</v>
      </c>
      <c r="K180" s="66">
        <v>1</v>
      </c>
      <c r="L180" s="66">
        <f ca="1">IF(Log_2018[[#This Row],[Date]]&lt;=TODAY(), MIN(Log_2018[[#This Row],[Split_raw]], TODAY()-Log_2018[[#This Row],[Date]]+1), 0)</f>
        <v>1</v>
      </c>
      <c r="M180" t="s">
        <v>41</v>
      </c>
      <c r="N180" t="s">
        <v>158</v>
      </c>
      <c r="O180" s="50">
        <v>0</v>
      </c>
      <c r="P180" s="52">
        <f ca="1">Log_2018[[#This Row],[Amount]]/Log_2018[[#This Row],[Split_raw]]*MAX(0,MIN(_xlfn.DAYS(EDATE(P$1,1),Log_2018[[#This Row],[Date]]),Log_2018[[#This Row],[Split_apply]])) - SUM($O180:O180)</f>
        <v>0</v>
      </c>
      <c r="Q180" s="52">
        <f ca="1">Log_2018[[#This Row],[Amount]]/Log_2018[[#This Row],[Split_raw]]*MAX(0,MIN(_xlfn.DAYS(EDATE(Q$1,1),Log_2018[[#This Row],[Date]]),Log_2018[[#This Row],[Split_apply]])) - SUM($O180:P180)</f>
        <v>0</v>
      </c>
      <c r="R180" s="52">
        <f ca="1">Log_2018[[#This Row],[Amount]]/Log_2018[[#This Row],[Split_raw]]*MAX(0,MIN(_xlfn.DAYS(EDATE(R$1,1),Log_2018[[#This Row],[Date]]),Log_2018[[#This Row],[Split_apply]])) - SUM($O180:Q180)</f>
        <v>0</v>
      </c>
      <c r="S180" s="52">
        <f ca="1">Log_2018[[#This Row],[Amount]]/Log_2018[[#This Row],[Split_raw]]*MAX(0,MIN(_xlfn.DAYS(EDATE(S$1,1),Log_2018[[#This Row],[Date]]),Log_2018[[#This Row],[Split_apply]])) - SUM($O180:R180)</f>
        <v>0</v>
      </c>
      <c r="T180" s="52">
        <f ca="1">Log_2018[[#This Row],[Amount]]/Log_2018[[#This Row],[Split_raw]]*MAX(0,MIN(_xlfn.DAYS(EDATE(T$1,1),Log_2018[[#This Row],[Date]]),Log_2018[[#This Row],[Split_apply]])) - SUM($O180:S180)</f>
        <v>0</v>
      </c>
      <c r="U180" s="52">
        <f ca="1">Log_2018[[#This Row],[Amount]]/Log_2018[[#This Row],[Split_raw]]*MAX(0,MIN(_xlfn.DAYS(EDATE(U$1,1),Log_2018[[#This Row],[Date]]),Log_2018[[#This Row],[Split_apply]])) - SUM($O180:T180)</f>
        <v>0</v>
      </c>
      <c r="V180" s="52">
        <f ca="1">Log_2018[[#This Row],[Amount]]/Log_2018[[#This Row],[Split_raw]]*MAX(0,MIN(_xlfn.DAYS(EDATE(V$1,1),Log_2018[[#This Row],[Date]]),Log_2018[[#This Row],[Split_apply]])) - SUM($O180:U180)</f>
        <v>0</v>
      </c>
      <c r="W180" s="52">
        <f ca="1">Log_2018[[#This Row],[Amount]]/Log_2018[[#This Row],[Split_raw]]*MAX(0,MIN(_xlfn.DAYS(EDATE(W$1,1),Log_2018[[#This Row],[Date]]),Log_2018[[#This Row],[Split_apply]])) - SUM($O180:V180)</f>
        <v>0</v>
      </c>
      <c r="X180" s="52">
        <f ca="1">Log_2018[[#This Row],[Amount]]/Log_2018[[#This Row],[Split_raw]]*MAX(0,MIN(_xlfn.DAYS(EDATE(X$1,1),Log_2018[[#This Row],[Date]]),Log_2018[[#This Row],[Split_apply]])) - SUM($O180:W180)</f>
        <v>0</v>
      </c>
      <c r="Y180" s="52">
        <f ca="1">Log_2018[[#This Row],[Amount]]/Log_2018[[#This Row],[Split_raw]]*MAX(0,MIN(_xlfn.DAYS(EDATE(Y$1,1),Log_2018[[#This Row],[Date]]),Log_2018[[#This Row],[Split_apply]])) - SUM($O180:X180)</f>
        <v>-12.98</v>
      </c>
      <c r="Z180" s="52">
        <f ca="1">Log_2018[[#This Row],[Amount]]/Log_2018[[#This Row],[Split_raw]]*MAX(0,MIN(_xlfn.DAYS(EDATE(Z$1,1),Log_2018[[#This Row],[Date]]),Log_2018[[#This Row],[Split_apply]])) - SUM($O180:Y180)</f>
        <v>0</v>
      </c>
      <c r="AA180" s="52">
        <f ca="1">Log_2018[[#This Row],[Amount]]/Log_2018[[#This Row],[Split_raw]]*MAX(0,MIN(_xlfn.DAYS(EDATE(AA$1,1),Log_2018[[#This Row],[Date]]),Log_2018[[#This Row],[Split_apply]])) - SUM($O180:Z180)</f>
        <v>0</v>
      </c>
      <c r="AB180" s="54">
        <f ca="1">Log_2018[[#This Row],[Amount]]-SUM(O180:AA180)</f>
        <v>0</v>
      </c>
      <c r="AC180" s="7">
        <f ca="1">MAX(0,Log_2018[[#This Row],[Split_apply]] - (EDATE(AA$1,1)-Log_2018[[#This Row],[Date]]))</f>
        <v>0</v>
      </c>
    </row>
    <row r="181" spans="1:29" hidden="1" x14ac:dyDescent="0.25">
      <c r="A181" s="115"/>
      <c r="B181" t="s">
        <v>6</v>
      </c>
      <c r="D181" s="26">
        <v>43388</v>
      </c>
      <c r="F181" t="s">
        <v>242</v>
      </c>
      <c r="G181" t="s">
        <v>87</v>
      </c>
      <c r="H181" s="3">
        <f>--20.96</f>
        <v>20.96</v>
      </c>
      <c r="I181" s="36">
        <f>IF(Log_2018[[#This Row],[My Category]]="NONTRACKED",0,Log_2018[[#This Row],[Raw Amount]])</f>
        <v>20.96</v>
      </c>
      <c r="J181" s="17">
        <f>ABS(Log_2018[[#This Row],[Amount]])</f>
        <v>20.96</v>
      </c>
      <c r="K181" s="66">
        <v>1</v>
      </c>
      <c r="L181" s="66">
        <f ca="1">IF(Log_2018[[#This Row],[Date]]&lt;=TODAY(), MIN(Log_2018[[#This Row],[Split_raw]], TODAY()-Log_2018[[#This Row],[Date]]+1), 0)</f>
        <v>1</v>
      </c>
      <c r="M181" t="s">
        <v>144</v>
      </c>
      <c r="N181" t="s">
        <v>160</v>
      </c>
      <c r="O181" s="50">
        <v>0</v>
      </c>
      <c r="P181" s="52">
        <f ca="1">Log_2018[[#This Row],[Amount]]/Log_2018[[#This Row],[Split_raw]]*MAX(0,MIN(_xlfn.DAYS(EDATE(P$1,1),Log_2018[[#This Row],[Date]]),Log_2018[[#This Row],[Split_apply]])) - SUM($O181:O181)</f>
        <v>0</v>
      </c>
      <c r="Q181" s="52">
        <f ca="1">Log_2018[[#This Row],[Amount]]/Log_2018[[#This Row],[Split_raw]]*MAX(0,MIN(_xlfn.DAYS(EDATE(Q$1,1),Log_2018[[#This Row],[Date]]),Log_2018[[#This Row],[Split_apply]])) - SUM($O181:P181)</f>
        <v>0</v>
      </c>
      <c r="R181" s="52">
        <f ca="1">Log_2018[[#This Row],[Amount]]/Log_2018[[#This Row],[Split_raw]]*MAX(0,MIN(_xlfn.DAYS(EDATE(R$1,1),Log_2018[[#This Row],[Date]]),Log_2018[[#This Row],[Split_apply]])) - SUM($O181:Q181)</f>
        <v>0</v>
      </c>
      <c r="S181" s="52">
        <f ca="1">Log_2018[[#This Row],[Amount]]/Log_2018[[#This Row],[Split_raw]]*MAX(0,MIN(_xlfn.DAYS(EDATE(S$1,1),Log_2018[[#This Row],[Date]]),Log_2018[[#This Row],[Split_apply]])) - SUM($O181:R181)</f>
        <v>0</v>
      </c>
      <c r="T181" s="52">
        <f ca="1">Log_2018[[#This Row],[Amount]]/Log_2018[[#This Row],[Split_raw]]*MAX(0,MIN(_xlfn.DAYS(EDATE(T$1,1),Log_2018[[#This Row],[Date]]),Log_2018[[#This Row],[Split_apply]])) - SUM($O181:S181)</f>
        <v>0</v>
      </c>
      <c r="U181" s="52">
        <f ca="1">Log_2018[[#This Row],[Amount]]/Log_2018[[#This Row],[Split_raw]]*MAX(0,MIN(_xlfn.DAYS(EDATE(U$1,1),Log_2018[[#This Row],[Date]]),Log_2018[[#This Row],[Split_apply]])) - SUM($O181:T181)</f>
        <v>0</v>
      </c>
      <c r="V181" s="52">
        <f ca="1">Log_2018[[#This Row],[Amount]]/Log_2018[[#This Row],[Split_raw]]*MAX(0,MIN(_xlfn.DAYS(EDATE(V$1,1),Log_2018[[#This Row],[Date]]),Log_2018[[#This Row],[Split_apply]])) - SUM($O181:U181)</f>
        <v>0</v>
      </c>
      <c r="W181" s="52">
        <f ca="1">Log_2018[[#This Row],[Amount]]/Log_2018[[#This Row],[Split_raw]]*MAX(0,MIN(_xlfn.DAYS(EDATE(W$1,1),Log_2018[[#This Row],[Date]]),Log_2018[[#This Row],[Split_apply]])) - SUM($O181:V181)</f>
        <v>0</v>
      </c>
      <c r="X181" s="52">
        <f ca="1">Log_2018[[#This Row],[Amount]]/Log_2018[[#This Row],[Split_raw]]*MAX(0,MIN(_xlfn.DAYS(EDATE(X$1,1),Log_2018[[#This Row],[Date]]),Log_2018[[#This Row],[Split_apply]])) - SUM($O181:W181)</f>
        <v>0</v>
      </c>
      <c r="Y181" s="52">
        <f ca="1">Log_2018[[#This Row],[Amount]]/Log_2018[[#This Row],[Split_raw]]*MAX(0,MIN(_xlfn.DAYS(EDATE(Y$1,1),Log_2018[[#This Row],[Date]]),Log_2018[[#This Row],[Split_apply]])) - SUM($O181:X181)</f>
        <v>20.96</v>
      </c>
      <c r="Z181" s="52">
        <f ca="1">Log_2018[[#This Row],[Amount]]/Log_2018[[#This Row],[Split_raw]]*MAX(0,MIN(_xlfn.DAYS(EDATE(Z$1,1),Log_2018[[#This Row],[Date]]),Log_2018[[#This Row],[Split_apply]])) - SUM($O181:Y181)</f>
        <v>0</v>
      </c>
      <c r="AA181" s="52">
        <f ca="1">Log_2018[[#This Row],[Amount]]/Log_2018[[#This Row],[Split_raw]]*MAX(0,MIN(_xlfn.DAYS(EDATE(AA$1,1),Log_2018[[#This Row],[Date]]),Log_2018[[#This Row],[Split_apply]])) - SUM($O181:Z181)</f>
        <v>0</v>
      </c>
      <c r="AB181" s="54">
        <f ca="1">Log_2018[[#This Row],[Amount]]-SUM(O181:AA181)</f>
        <v>0</v>
      </c>
      <c r="AC181" s="7">
        <f ca="1">MAX(0,Log_2018[[#This Row],[Split_apply]] - (EDATE(AA$1,1)-Log_2018[[#This Row],[Date]]))</f>
        <v>0</v>
      </c>
    </row>
    <row r="182" spans="1:29" hidden="1" x14ac:dyDescent="0.25">
      <c r="A182" s="115"/>
      <c r="B182" t="s">
        <v>6</v>
      </c>
      <c r="D182" s="26">
        <v>43387</v>
      </c>
      <c r="F182" t="s">
        <v>414</v>
      </c>
      <c r="G182" t="s">
        <v>11</v>
      </c>
      <c r="H182" s="3">
        <v>-8.4700000000000006</v>
      </c>
      <c r="I182" s="36">
        <f>IF(Log_2018[[#This Row],[My Category]]="NONTRACKED",0,Log_2018[[#This Row],[Raw Amount]])</f>
        <v>-8.4700000000000006</v>
      </c>
      <c r="J182" s="17">
        <f>ABS(Log_2018[[#This Row],[Amount]])</f>
        <v>8.4700000000000006</v>
      </c>
      <c r="K182" s="66">
        <v>1</v>
      </c>
      <c r="L182" s="66">
        <f ca="1">IF(Log_2018[[#This Row],[Date]]&lt;=TODAY(), MIN(Log_2018[[#This Row],[Split_raw]], TODAY()-Log_2018[[#This Row],[Date]]+1), 0)</f>
        <v>1</v>
      </c>
      <c r="M182" t="s">
        <v>42</v>
      </c>
      <c r="N182" t="s">
        <v>158</v>
      </c>
      <c r="O182" s="50">
        <v>0</v>
      </c>
      <c r="P182" s="52">
        <f ca="1">Log_2018[[#This Row],[Amount]]/Log_2018[[#This Row],[Split_raw]]*MAX(0,MIN(_xlfn.DAYS(EDATE(P$1,1),Log_2018[[#This Row],[Date]]),Log_2018[[#This Row],[Split_apply]])) - SUM($O182:O182)</f>
        <v>0</v>
      </c>
      <c r="Q182" s="52">
        <f ca="1">Log_2018[[#This Row],[Amount]]/Log_2018[[#This Row],[Split_raw]]*MAX(0,MIN(_xlfn.DAYS(EDATE(Q$1,1),Log_2018[[#This Row],[Date]]),Log_2018[[#This Row],[Split_apply]])) - SUM($O182:P182)</f>
        <v>0</v>
      </c>
      <c r="R182" s="52">
        <f ca="1">Log_2018[[#This Row],[Amount]]/Log_2018[[#This Row],[Split_raw]]*MAX(0,MIN(_xlfn.DAYS(EDATE(R$1,1),Log_2018[[#This Row],[Date]]),Log_2018[[#This Row],[Split_apply]])) - SUM($O182:Q182)</f>
        <v>0</v>
      </c>
      <c r="S182" s="52">
        <f ca="1">Log_2018[[#This Row],[Amount]]/Log_2018[[#This Row],[Split_raw]]*MAX(0,MIN(_xlfn.DAYS(EDATE(S$1,1),Log_2018[[#This Row],[Date]]),Log_2018[[#This Row],[Split_apply]])) - SUM($O182:R182)</f>
        <v>0</v>
      </c>
      <c r="T182" s="52">
        <f ca="1">Log_2018[[#This Row],[Amount]]/Log_2018[[#This Row],[Split_raw]]*MAX(0,MIN(_xlfn.DAYS(EDATE(T$1,1),Log_2018[[#This Row],[Date]]),Log_2018[[#This Row],[Split_apply]])) - SUM($O182:S182)</f>
        <v>0</v>
      </c>
      <c r="U182" s="52">
        <f ca="1">Log_2018[[#This Row],[Amount]]/Log_2018[[#This Row],[Split_raw]]*MAX(0,MIN(_xlfn.DAYS(EDATE(U$1,1),Log_2018[[#This Row],[Date]]),Log_2018[[#This Row],[Split_apply]])) - SUM($O182:T182)</f>
        <v>0</v>
      </c>
      <c r="V182" s="52">
        <f ca="1">Log_2018[[#This Row],[Amount]]/Log_2018[[#This Row],[Split_raw]]*MAX(0,MIN(_xlfn.DAYS(EDATE(V$1,1),Log_2018[[#This Row],[Date]]),Log_2018[[#This Row],[Split_apply]])) - SUM($O182:U182)</f>
        <v>0</v>
      </c>
      <c r="W182" s="52">
        <f ca="1">Log_2018[[#This Row],[Amount]]/Log_2018[[#This Row],[Split_raw]]*MAX(0,MIN(_xlfn.DAYS(EDATE(W$1,1),Log_2018[[#This Row],[Date]]),Log_2018[[#This Row],[Split_apply]])) - SUM($O182:V182)</f>
        <v>0</v>
      </c>
      <c r="X182" s="52">
        <f ca="1">Log_2018[[#This Row],[Amount]]/Log_2018[[#This Row],[Split_raw]]*MAX(0,MIN(_xlfn.DAYS(EDATE(X$1,1),Log_2018[[#This Row],[Date]]),Log_2018[[#This Row],[Split_apply]])) - SUM($O182:W182)</f>
        <v>0</v>
      </c>
      <c r="Y182" s="52">
        <f ca="1">Log_2018[[#This Row],[Amount]]/Log_2018[[#This Row],[Split_raw]]*MAX(0,MIN(_xlfn.DAYS(EDATE(Y$1,1),Log_2018[[#This Row],[Date]]),Log_2018[[#This Row],[Split_apply]])) - SUM($O182:X182)</f>
        <v>-8.4700000000000006</v>
      </c>
      <c r="Z182" s="52">
        <f ca="1">Log_2018[[#This Row],[Amount]]/Log_2018[[#This Row],[Split_raw]]*MAX(0,MIN(_xlfn.DAYS(EDATE(Z$1,1),Log_2018[[#This Row],[Date]]),Log_2018[[#This Row],[Split_apply]])) - SUM($O182:Y182)</f>
        <v>0</v>
      </c>
      <c r="AA182" s="52">
        <f ca="1">Log_2018[[#This Row],[Amount]]/Log_2018[[#This Row],[Split_raw]]*MAX(0,MIN(_xlfn.DAYS(EDATE(AA$1,1),Log_2018[[#This Row],[Date]]),Log_2018[[#This Row],[Split_apply]])) - SUM($O182:Z182)</f>
        <v>0</v>
      </c>
      <c r="AB182" s="54">
        <f ca="1">Log_2018[[#This Row],[Amount]]-SUM(O182:AA182)</f>
        <v>0</v>
      </c>
      <c r="AC182" s="7">
        <f ca="1">MAX(0,Log_2018[[#This Row],[Split_apply]] - (EDATE(AA$1,1)-Log_2018[[#This Row],[Date]]))</f>
        <v>0</v>
      </c>
    </row>
    <row r="183" spans="1:29" hidden="1" x14ac:dyDescent="0.25">
      <c r="A183" s="115"/>
      <c r="B183" t="s">
        <v>6</v>
      </c>
      <c r="D183" s="26">
        <v>43386</v>
      </c>
      <c r="F183" t="s">
        <v>415</v>
      </c>
      <c r="G183" t="s">
        <v>11</v>
      </c>
      <c r="H183" s="3">
        <v>-57.1</v>
      </c>
      <c r="I183" s="36">
        <f>IF(Log_2018[[#This Row],[My Category]]="NONTRACKED",0,Log_2018[[#This Row],[Raw Amount]])</f>
        <v>-57.1</v>
      </c>
      <c r="J183" s="17">
        <f>ABS(Log_2018[[#This Row],[Amount]])</f>
        <v>57.1</v>
      </c>
      <c r="K183" s="66">
        <v>1</v>
      </c>
      <c r="L183" s="66">
        <f ca="1">IF(Log_2018[[#This Row],[Date]]&lt;=TODAY(), MIN(Log_2018[[#This Row],[Split_raw]], TODAY()-Log_2018[[#This Row],[Date]]+1), 0)</f>
        <v>1</v>
      </c>
      <c r="M183" t="s">
        <v>42</v>
      </c>
      <c r="N183" t="s">
        <v>158</v>
      </c>
      <c r="O183" s="50">
        <v>0</v>
      </c>
      <c r="P183" s="52">
        <f ca="1">Log_2018[[#This Row],[Amount]]/Log_2018[[#This Row],[Split_raw]]*MAX(0,MIN(_xlfn.DAYS(EDATE(P$1,1),Log_2018[[#This Row],[Date]]),Log_2018[[#This Row],[Split_apply]])) - SUM($O183:O183)</f>
        <v>0</v>
      </c>
      <c r="Q183" s="52">
        <f ca="1">Log_2018[[#This Row],[Amount]]/Log_2018[[#This Row],[Split_raw]]*MAX(0,MIN(_xlfn.DAYS(EDATE(Q$1,1),Log_2018[[#This Row],[Date]]),Log_2018[[#This Row],[Split_apply]])) - SUM($O183:P183)</f>
        <v>0</v>
      </c>
      <c r="R183" s="52">
        <f ca="1">Log_2018[[#This Row],[Amount]]/Log_2018[[#This Row],[Split_raw]]*MAX(0,MIN(_xlfn.DAYS(EDATE(R$1,1),Log_2018[[#This Row],[Date]]),Log_2018[[#This Row],[Split_apply]])) - SUM($O183:Q183)</f>
        <v>0</v>
      </c>
      <c r="S183" s="52">
        <f ca="1">Log_2018[[#This Row],[Amount]]/Log_2018[[#This Row],[Split_raw]]*MAX(0,MIN(_xlfn.DAYS(EDATE(S$1,1),Log_2018[[#This Row],[Date]]),Log_2018[[#This Row],[Split_apply]])) - SUM($O183:R183)</f>
        <v>0</v>
      </c>
      <c r="T183" s="52">
        <f ca="1">Log_2018[[#This Row],[Amount]]/Log_2018[[#This Row],[Split_raw]]*MAX(0,MIN(_xlfn.DAYS(EDATE(T$1,1),Log_2018[[#This Row],[Date]]),Log_2018[[#This Row],[Split_apply]])) - SUM($O183:S183)</f>
        <v>0</v>
      </c>
      <c r="U183" s="52">
        <f ca="1">Log_2018[[#This Row],[Amount]]/Log_2018[[#This Row],[Split_raw]]*MAX(0,MIN(_xlfn.DAYS(EDATE(U$1,1),Log_2018[[#This Row],[Date]]),Log_2018[[#This Row],[Split_apply]])) - SUM($O183:T183)</f>
        <v>0</v>
      </c>
      <c r="V183" s="52">
        <f ca="1">Log_2018[[#This Row],[Amount]]/Log_2018[[#This Row],[Split_raw]]*MAX(0,MIN(_xlfn.DAYS(EDATE(V$1,1),Log_2018[[#This Row],[Date]]),Log_2018[[#This Row],[Split_apply]])) - SUM($O183:U183)</f>
        <v>0</v>
      </c>
      <c r="W183" s="52">
        <f ca="1">Log_2018[[#This Row],[Amount]]/Log_2018[[#This Row],[Split_raw]]*MAX(0,MIN(_xlfn.DAYS(EDATE(W$1,1),Log_2018[[#This Row],[Date]]),Log_2018[[#This Row],[Split_apply]])) - SUM($O183:V183)</f>
        <v>0</v>
      </c>
      <c r="X183" s="52">
        <f ca="1">Log_2018[[#This Row],[Amount]]/Log_2018[[#This Row],[Split_raw]]*MAX(0,MIN(_xlfn.DAYS(EDATE(X$1,1),Log_2018[[#This Row],[Date]]),Log_2018[[#This Row],[Split_apply]])) - SUM($O183:W183)</f>
        <v>0</v>
      </c>
      <c r="Y183" s="52">
        <f ca="1">Log_2018[[#This Row],[Amount]]/Log_2018[[#This Row],[Split_raw]]*MAX(0,MIN(_xlfn.DAYS(EDATE(Y$1,1),Log_2018[[#This Row],[Date]]),Log_2018[[#This Row],[Split_apply]])) - SUM($O183:X183)</f>
        <v>-57.1</v>
      </c>
      <c r="Z183" s="52">
        <f ca="1">Log_2018[[#This Row],[Amount]]/Log_2018[[#This Row],[Split_raw]]*MAX(0,MIN(_xlfn.DAYS(EDATE(Z$1,1),Log_2018[[#This Row],[Date]]),Log_2018[[#This Row],[Split_apply]])) - SUM($O183:Y183)</f>
        <v>0</v>
      </c>
      <c r="AA183" s="52">
        <f ca="1">Log_2018[[#This Row],[Amount]]/Log_2018[[#This Row],[Split_raw]]*MAX(0,MIN(_xlfn.DAYS(EDATE(AA$1,1),Log_2018[[#This Row],[Date]]),Log_2018[[#This Row],[Split_apply]])) - SUM($O183:Z183)</f>
        <v>0</v>
      </c>
      <c r="AB183" s="54">
        <f ca="1">Log_2018[[#This Row],[Amount]]-SUM(O183:AA183)</f>
        <v>0</v>
      </c>
      <c r="AC183" s="7">
        <f ca="1">MAX(0,Log_2018[[#This Row],[Split_apply]] - (EDATE(AA$1,1)-Log_2018[[#This Row],[Date]]))</f>
        <v>0</v>
      </c>
    </row>
    <row r="184" spans="1:29" hidden="1" x14ac:dyDescent="0.25">
      <c r="A184" s="115"/>
      <c r="B184" t="s">
        <v>6</v>
      </c>
      <c r="D184" s="26">
        <v>43385</v>
      </c>
      <c r="E184" t="s">
        <v>424</v>
      </c>
      <c r="F184" t="s">
        <v>378</v>
      </c>
      <c r="G184" t="s">
        <v>12</v>
      </c>
      <c r="H184" s="3">
        <v>-37.29</v>
      </c>
      <c r="I184" s="36">
        <f>IF(Log_2018[[#This Row],[My Category]]="NONTRACKED",0,Log_2018[[#This Row],[Raw Amount]])</f>
        <v>-37.29</v>
      </c>
      <c r="J184" s="17">
        <f>ABS(Log_2018[[#This Row],[Amount]])</f>
        <v>37.29</v>
      </c>
      <c r="K184" s="66">
        <v>1</v>
      </c>
      <c r="L184" s="66">
        <f ca="1">IF(Log_2018[[#This Row],[Date]]&lt;=TODAY(), MIN(Log_2018[[#This Row],[Split_raw]], TODAY()-Log_2018[[#This Row],[Date]]+1), 0)</f>
        <v>1</v>
      </c>
      <c r="M184" t="s">
        <v>42</v>
      </c>
      <c r="N184" t="s">
        <v>158</v>
      </c>
      <c r="O184" s="50">
        <v>0</v>
      </c>
      <c r="P184" s="52">
        <f ca="1">Log_2018[[#This Row],[Amount]]/Log_2018[[#This Row],[Split_raw]]*MAX(0,MIN(_xlfn.DAYS(EDATE(P$1,1),Log_2018[[#This Row],[Date]]),Log_2018[[#This Row],[Split_apply]])) - SUM($O184:O184)</f>
        <v>0</v>
      </c>
      <c r="Q184" s="52">
        <f ca="1">Log_2018[[#This Row],[Amount]]/Log_2018[[#This Row],[Split_raw]]*MAX(0,MIN(_xlfn.DAYS(EDATE(Q$1,1),Log_2018[[#This Row],[Date]]),Log_2018[[#This Row],[Split_apply]])) - SUM($O184:P184)</f>
        <v>0</v>
      </c>
      <c r="R184" s="52">
        <f ca="1">Log_2018[[#This Row],[Amount]]/Log_2018[[#This Row],[Split_raw]]*MAX(0,MIN(_xlfn.DAYS(EDATE(R$1,1),Log_2018[[#This Row],[Date]]),Log_2018[[#This Row],[Split_apply]])) - SUM($O184:Q184)</f>
        <v>0</v>
      </c>
      <c r="S184" s="52">
        <f ca="1">Log_2018[[#This Row],[Amount]]/Log_2018[[#This Row],[Split_raw]]*MAX(0,MIN(_xlfn.DAYS(EDATE(S$1,1),Log_2018[[#This Row],[Date]]),Log_2018[[#This Row],[Split_apply]])) - SUM($O184:R184)</f>
        <v>0</v>
      </c>
      <c r="T184" s="52">
        <f ca="1">Log_2018[[#This Row],[Amount]]/Log_2018[[#This Row],[Split_raw]]*MAX(0,MIN(_xlfn.DAYS(EDATE(T$1,1),Log_2018[[#This Row],[Date]]),Log_2018[[#This Row],[Split_apply]])) - SUM($O184:S184)</f>
        <v>0</v>
      </c>
      <c r="U184" s="52">
        <f ca="1">Log_2018[[#This Row],[Amount]]/Log_2018[[#This Row],[Split_raw]]*MAX(0,MIN(_xlfn.DAYS(EDATE(U$1,1),Log_2018[[#This Row],[Date]]),Log_2018[[#This Row],[Split_apply]])) - SUM($O184:T184)</f>
        <v>0</v>
      </c>
      <c r="V184" s="52">
        <f ca="1">Log_2018[[#This Row],[Amount]]/Log_2018[[#This Row],[Split_raw]]*MAX(0,MIN(_xlfn.DAYS(EDATE(V$1,1),Log_2018[[#This Row],[Date]]),Log_2018[[#This Row],[Split_apply]])) - SUM($O184:U184)</f>
        <v>0</v>
      </c>
      <c r="W184" s="52">
        <f ca="1">Log_2018[[#This Row],[Amount]]/Log_2018[[#This Row],[Split_raw]]*MAX(0,MIN(_xlfn.DAYS(EDATE(W$1,1),Log_2018[[#This Row],[Date]]),Log_2018[[#This Row],[Split_apply]])) - SUM($O184:V184)</f>
        <v>0</v>
      </c>
      <c r="X184" s="52">
        <f ca="1">Log_2018[[#This Row],[Amount]]/Log_2018[[#This Row],[Split_raw]]*MAX(0,MIN(_xlfn.DAYS(EDATE(X$1,1),Log_2018[[#This Row],[Date]]),Log_2018[[#This Row],[Split_apply]])) - SUM($O184:W184)</f>
        <v>0</v>
      </c>
      <c r="Y184" s="52">
        <f ca="1">Log_2018[[#This Row],[Amount]]/Log_2018[[#This Row],[Split_raw]]*MAX(0,MIN(_xlfn.DAYS(EDATE(Y$1,1),Log_2018[[#This Row],[Date]]),Log_2018[[#This Row],[Split_apply]])) - SUM($O184:X184)</f>
        <v>-37.29</v>
      </c>
      <c r="Z184" s="52">
        <f ca="1">Log_2018[[#This Row],[Amount]]/Log_2018[[#This Row],[Split_raw]]*MAX(0,MIN(_xlfn.DAYS(EDATE(Z$1,1),Log_2018[[#This Row],[Date]]),Log_2018[[#This Row],[Split_apply]])) - SUM($O184:Y184)</f>
        <v>0</v>
      </c>
      <c r="AA184" s="52">
        <f ca="1">Log_2018[[#This Row],[Amount]]/Log_2018[[#This Row],[Split_raw]]*MAX(0,MIN(_xlfn.DAYS(EDATE(AA$1,1),Log_2018[[#This Row],[Date]]),Log_2018[[#This Row],[Split_apply]])) - SUM($O184:Z184)</f>
        <v>0</v>
      </c>
      <c r="AB184" s="54">
        <f ca="1">Log_2018[[#This Row],[Amount]]-SUM(O184:AA184)</f>
        <v>0</v>
      </c>
      <c r="AC184" s="7">
        <f ca="1">MAX(0,Log_2018[[#This Row],[Split_apply]] - (EDATE(AA$1,1)-Log_2018[[#This Row],[Date]]))</f>
        <v>0</v>
      </c>
    </row>
    <row r="185" spans="1:29" hidden="1" x14ac:dyDescent="0.25">
      <c r="A185" s="115"/>
      <c r="B185" t="s">
        <v>6</v>
      </c>
      <c r="D185" s="26">
        <v>43385</v>
      </c>
      <c r="E185" t="s">
        <v>424</v>
      </c>
      <c r="F185" t="s">
        <v>379</v>
      </c>
      <c r="G185" t="s">
        <v>11</v>
      </c>
      <c r="H185" s="3">
        <v>-22.21</v>
      </c>
      <c r="I185" s="36">
        <f>IF(Log_2018[[#This Row],[My Category]]="NONTRACKED",0,Log_2018[[#This Row],[Raw Amount]])</f>
        <v>-22.21</v>
      </c>
      <c r="J185" s="17">
        <f>ABS(Log_2018[[#This Row],[Amount]])</f>
        <v>22.21</v>
      </c>
      <c r="K185" s="66">
        <v>1</v>
      </c>
      <c r="L185" s="66">
        <f ca="1">IF(Log_2018[[#This Row],[Date]]&lt;=TODAY(), MIN(Log_2018[[#This Row],[Split_raw]], TODAY()-Log_2018[[#This Row],[Date]]+1), 0)</f>
        <v>1</v>
      </c>
      <c r="M185" t="s">
        <v>42</v>
      </c>
      <c r="N185" t="s">
        <v>158</v>
      </c>
      <c r="O185" s="50">
        <v>0</v>
      </c>
      <c r="P185" s="52">
        <f ca="1">Log_2018[[#This Row],[Amount]]/Log_2018[[#This Row],[Split_raw]]*MAX(0,MIN(_xlfn.DAYS(EDATE(P$1,1),Log_2018[[#This Row],[Date]]),Log_2018[[#This Row],[Split_apply]])) - SUM($O185:O185)</f>
        <v>0</v>
      </c>
      <c r="Q185" s="52">
        <f ca="1">Log_2018[[#This Row],[Amount]]/Log_2018[[#This Row],[Split_raw]]*MAX(0,MIN(_xlfn.DAYS(EDATE(Q$1,1),Log_2018[[#This Row],[Date]]),Log_2018[[#This Row],[Split_apply]])) - SUM($O185:P185)</f>
        <v>0</v>
      </c>
      <c r="R185" s="52">
        <f ca="1">Log_2018[[#This Row],[Amount]]/Log_2018[[#This Row],[Split_raw]]*MAX(0,MIN(_xlfn.DAYS(EDATE(R$1,1),Log_2018[[#This Row],[Date]]),Log_2018[[#This Row],[Split_apply]])) - SUM($O185:Q185)</f>
        <v>0</v>
      </c>
      <c r="S185" s="52">
        <f ca="1">Log_2018[[#This Row],[Amount]]/Log_2018[[#This Row],[Split_raw]]*MAX(0,MIN(_xlfn.DAYS(EDATE(S$1,1),Log_2018[[#This Row],[Date]]),Log_2018[[#This Row],[Split_apply]])) - SUM($O185:R185)</f>
        <v>0</v>
      </c>
      <c r="T185" s="52">
        <f ca="1">Log_2018[[#This Row],[Amount]]/Log_2018[[#This Row],[Split_raw]]*MAX(0,MIN(_xlfn.DAYS(EDATE(T$1,1),Log_2018[[#This Row],[Date]]),Log_2018[[#This Row],[Split_apply]])) - SUM($O185:S185)</f>
        <v>0</v>
      </c>
      <c r="U185" s="52">
        <f ca="1">Log_2018[[#This Row],[Amount]]/Log_2018[[#This Row],[Split_raw]]*MAX(0,MIN(_xlfn.DAYS(EDATE(U$1,1),Log_2018[[#This Row],[Date]]),Log_2018[[#This Row],[Split_apply]])) - SUM($O185:T185)</f>
        <v>0</v>
      </c>
      <c r="V185" s="52">
        <f ca="1">Log_2018[[#This Row],[Amount]]/Log_2018[[#This Row],[Split_raw]]*MAX(0,MIN(_xlfn.DAYS(EDATE(V$1,1),Log_2018[[#This Row],[Date]]),Log_2018[[#This Row],[Split_apply]])) - SUM($O185:U185)</f>
        <v>0</v>
      </c>
      <c r="W185" s="52">
        <f ca="1">Log_2018[[#This Row],[Amount]]/Log_2018[[#This Row],[Split_raw]]*MAX(0,MIN(_xlfn.DAYS(EDATE(W$1,1),Log_2018[[#This Row],[Date]]),Log_2018[[#This Row],[Split_apply]])) - SUM($O185:V185)</f>
        <v>0</v>
      </c>
      <c r="X185" s="52">
        <f ca="1">Log_2018[[#This Row],[Amount]]/Log_2018[[#This Row],[Split_raw]]*MAX(0,MIN(_xlfn.DAYS(EDATE(X$1,1),Log_2018[[#This Row],[Date]]),Log_2018[[#This Row],[Split_apply]])) - SUM($O185:W185)</f>
        <v>0</v>
      </c>
      <c r="Y185" s="52">
        <f ca="1">Log_2018[[#This Row],[Amount]]/Log_2018[[#This Row],[Split_raw]]*MAX(0,MIN(_xlfn.DAYS(EDATE(Y$1,1),Log_2018[[#This Row],[Date]]),Log_2018[[#This Row],[Split_apply]])) - SUM($O185:X185)</f>
        <v>-22.21</v>
      </c>
      <c r="Z185" s="52">
        <f ca="1">Log_2018[[#This Row],[Amount]]/Log_2018[[#This Row],[Split_raw]]*MAX(0,MIN(_xlfn.DAYS(EDATE(Z$1,1),Log_2018[[#This Row],[Date]]),Log_2018[[#This Row],[Split_apply]])) - SUM($O185:Y185)</f>
        <v>0</v>
      </c>
      <c r="AA185" s="52">
        <f ca="1">Log_2018[[#This Row],[Amount]]/Log_2018[[#This Row],[Split_raw]]*MAX(0,MIN(_xlfn.DAYS(EDATE(AA$1,1),Log_2018[[#This Row],[Date]]),Log_2018[[#This Row],[Split_apply]])) - SUM($O185:Z185)</f>
        <v>0</v>
      </c>
      <c r="AB185" s="54">
        <f ca="1">Log_2018[[#This Row],[Amount]]-SUM(O185:AA185)</f>
        <v>0</v>
      </c>
      <c r="AC185" s="7">
        <f ca="1">MAX(0,Log_2018[[#This Row],[Split_apply]] - (EDATE(AA$1,1)-Log_2018[[#This Row],[Date]]))</f>
        <v>0</v>
      </c>
    </row>
    <row r="186" spans="1:29" hidden="1" x14ac:dyDescent="0.25">
      <c r="A186" s="115"/>
      <c r="B186" t="s">
        <v>6</v>
      </c>
      <c r="D186" s="26">
        <v>43385</v>
      </c>
      <c r="E186" t="s">
        <v>424</v>
      </c>
      <c r="F186" t="s">
        <v>380</v>
      </c>
      <c r="G186" t="s">
        <v>11</v>
      </c>
      <c r="H186" s="3">
        <v>-31.75</v>
      </c>
      <c r="I186" s="36">
        <f>IF(Log_2018[[#This Row],[My Category]]="NONTRACKED",0,Log_2018[[#This Row],[Raw Amount]])</f>
        <v>-31.75</v>
      </c>
      <c r="J186" s="17">
        <f>ABS(Log_2018[[#This Row],[Amount]])</f>
        <v>31.75</v>
      </c>
      <c r="K186" s="66">
        <v>1</v>
      </c>
      <c r="L186" s="66">
        <f ca="1">IF(Log_2018[[#This Row],[Date]]&lt;=TODAY(), MIN(Log_2018[[#This Row],[Split_raw]], TODAY()-Log_2018[[#This Row],[Date]]+1), 0)</f>
        <v>1</v>
      </c>
      <c r="M186" t="s">
        <v>42</v>
      </c>
      <c r="N186" t="s">
        <v>158</v>
      </c>
      <c r="O186" s="50">
        <v>0</v>
      </c>
      <c r="P186" s="52">
        <f ca="1">Log_2018[[#This Row],[Amount]]/Log_2018[[#This Row],[Split_raw]]*MAX(0,MIN(_xlfn.DAYS(EDATE(P$1,1),Log_2018[[#This Row],[Date]]),Log_2018[[#This Row],[Split_apply]])) - SUM($O186:O186)</f>
        <v>0</v>
      </c>
      <c r="Q186" s="52">
        <f ca="1">Log_2018[[#This Row],[Amount]]/Log_2018[[#This Row],[Split_raw]]*MAX(0,MIN(_xlfn.DAYS(EDATE(Q$1,1),Log_2018[[#This Row],[Date]]),Log_2018[[#This Row],[Split_apply]])) - SUM($O186:P186)</f>
        <v>0</v>
      </c>
      <c r="R186" s="52">
        <f ca="1">Log_2018[[#This Row],[Amount]]/Log_2018[[#This Row],[Split_raw]]*MAX(0,MIN(_xlfn.DAYS(EDATE(R$1,1),Log_2018[[#This Row],[Date]]),Log_2018[[#This Row],[Split_apply]])) - SUM($O186:Q186)</f>
        <v>0</v>
      </c>
      <c r="S186" s="52">
        <f ca="1">Log_2018[[#This Row],[Amount]]/Log_2018[[#This Row],[Split_raw]]*MAX(0,MIN(_xlfn.DAYS(EDATE(S$1,1),Log_2018[[#This Row],[Date]]),Log_2018[[#This Row],[Split_apply]])) - SUM($O186:R186)</f>
        <v>0</v>
      </c>
      <c r="T186" s="52">
        <f ca="1">Log_2018[[#This Row],[Amount]]/Log_2018[[#This Row],[Split_raw]]*MAX(0,MIN(_xlfn.DAYS(EDATE(T$1,1),Log_2018[[#This Row],[Date]]),Log_2018[[#This Row],[Split_apply]])) - SUM($O186:S186)</f>
        <v>0</v>
      </c>
      <c r="U186" s="52">
        <f ca="1">Log_2018[[#This Row],[Amount]]/Log_2018[[#This Row],[Split_raw]]*MAX(0,MIN(_xlfn.DAYS(EDATE(U$1,1),Log_2018[[#This Row],[Date]]),Log_2018[[#This Row],[Split_apply]])) - SUM($O186:T186)</f>
        <v>0</v>
      </c>
      <c r="V186" s="52">
        <f ca="1">Log_2018[[#This Row],[Amount]]/Log_2018[[#This Row],[Split_raw]]*MAX(0,MIN(_xlfn.DAYS(EDATE(V$1,1),Log_2018[[#This Row],[Date]]),Log_2018[[#This Row],[Split_apply]])) - SUM($O186:U186)</f>
        <v>0</v>
      </c>
      <c r="W186" s="52">
        <f ca="1">Log_2018[[#This Row],[Amount]]/Log_2018[[#This Row],[Split_raw]]*MAX(0,MIN(_xlfn.DAYS(EDATE(W$1,1),Log_2018[[#This Row],[Date]]),Log_2018[[#This Row],[Split_apply]])) - SUM($O186:V186)</f>
        <v>0</v>
      </c>
      <c r="X186" s="52">
        <f ca="1">Log_2018[[#This Row],[Amount]]/Log_2018[[#This Row],[Split_raw]]*MAX(0,MIN(_xlfn.DAYS(EDATE(X$1,1),Log_2018[[#This Row],[Date]]),Log_2018[[#This Row],[Split_apply]])) - SUM($O186:W186)</f>
        <v>0</v>
      </c>
      <c r="Y186" s="52">
        <f ca="1">Log_2018[[#This Row],[Amount]]/Log_2018[[#This Row],[Split_raw]]*MAX(0,MIN(_xlfn.DAYS(EDATE(Y$1,1),Log_2018[[#This Row],[Date]]),Log_2018[[#This Row],[Split_apply]])) - SUM($O186:X186)</f>
        <v>-31.75</v>
      </c>
      <c r="Z186" s="52">
        <f ca="1">Log_2018[[#This Row],[Amount]]/Log_2018[[#This Row],[Split_raw]]*MAX(0,MIN(_xlfn.DAYS(EDATE(Z$1,1),Log_2018[[#This Row],[Date]]),Log_2018[[#This Row],[Split_apply]])) - SUM($O186:Y186)</f>
        <v>0</v>
      </c>
      <c r="AA186" s="52">
        <f ca="1">Log_2018[[#This Row],[Amount]]/Log_2018[[#This Row],[Split_raw]]*MAX(0,MIN(_xlfn.DAYS(EDATE(AA$1,1),Log_2018[[#This Row],[Date]]),Log_2018[[#This Row],[Split_apply]])) - SUM($O186:Z186)</f>
        <v>0</v>
      </c>
      <c r="AB186" s="54">
        <f ca="1">Log_2018[[#This Row],[Amount]]-SUM(O186:AA186)</f>
        <v>0</v>
      </c>
      <c r="AC186" s="7">
        <f ca="1">MAX(0,Log_2018[[#This Row],[Split_apply]] - (EDATE(AA$1,1)-Log_2018[[#This Row],[Date]]))</f>
        <v>0</v>
      </c>
    </row>
    <row r="187" spans="1:29" hidden="1" x14ac:dyDescent="0.25">
      <c r="A187" s="115"/>
      <c r="B187" t="s">
        <v>6</v>
      </c>
      <c r="D187" s="26">
        <v>43385</v>
      </c>
      <c r="E187" t="s">
        <v>240</v>
      </c>
      <c r="F187" t="s">
        <v>381</v>
      </c>
      <c r="G187" t="s">
        <v>12</v>
      </c>
      <c r="H187" s="3">
        <v>-13.19</v>
      </c>
      <c r="I187" s="36">
        <f>IF(Log_2018[[#This Row],[My Category]]="NONTRACKED",0,Log_2018[[#This Row],[Raw Amount]])</f>
        <v>-13.19</v>
      </c>
      <c r="J187" s="17">
        <f>ABS(Log_2018[[#This Row],[Amount]])</f>
        <v>13.19</v>
      </c>
      <c r="K187" s="66">
        <v>1</v>
      </c>
      <c r="L187" s="66">
        <f ca="1">IF(Log_2018[[#This Row],[Date]]&lt;=TODAY(), MIN(Log_2018[[#This Row],[Split_raw]], TODAY()-Log_2018[[#This Row],[Date]]+1), 0)</f>
        <v>1</v>
      </c>
      <c r="M187" t="s">
        <v>53</v>
      </c>
      <c r="N187" t="s">
        <v>158</v>
      </c>
      <c r="O187" s="50">
        <v>0</v>
      </c>
      <c r="P187" s="52">
        <f ca="1">Log_2018[[#This Row],[Amount]]/Log_2018[[#This Row],[Split_raw]]*MAX(0,MIN(_xlfn.DAYS(EDATE(P$1,1),Log_2018[[#This Row],[Date]]),Log_2018[[#This Row],[Split_apply]])) - SUM($O187:O187)</f>
        <v>0</v>
      </c>
      <c r="Q187" s="52">
        <f ca="1">Log_2018[[#This Row],[Amount]]/Log_2018[[#This Row],[Split_raw]]*MAX(0,MIN(_xlfn.DAYS(EDATE(Q$1,1),Log_2018[[#This Row],[Date]]),Log_2018[[#This Row],[Split_apply]])) - SUM($O187:P187)</f>
        <v>0</v>
      </c>
      <c r="R187" s="52">
        <f ca="1">Log_2018[[#This Row],[Amount]]/Log_2018[[#This Row],[Split_raw]]*MAX(0,MIN(_xlfn.DAYS(EDATE(R$1,1),Log_2018[[#This Row],[Date]]),Log_2018[[#This Row],[Split_apply]])) - SUM($O187:Q187)</f>
        <v>0</v>
      </c>
      <c r="S187" s="52">
        <f ca="1">Log_2018[[#This Row],[Amount]]/Log_2018[[#This Row],[Split_raw]]*MAX(0,MIN(_xlfn.DAYS(EDATE(S$1,1),Log_2018[[#This Row],[Date]]),Log_2018[[#This Row],[Split_apply]])) - SUM($O187:R187)</f>
        <v>0</v>
      </c>
      <c r="T187" s="52">
        <f ca="1">Log_2018[[#This Row],[Amount]]/Log_2018[[#This Row],[Split_raw]]*MAX(0,MIN(_xlfn.DAYS(EDATE(T$1,1),Log_2018[[#This Row],[Date]]),Log_2018[[#This Row],[Split_apply]])) - SUM($O187:S187)</f>
        <v>0</v>
      </c>
      <c r="U187" s="52">
        <f ca="1">Log_2018[[#This Row],[Amount]]/Log_2018[[#This Row],[Split_raw]]*MAX(0,MIN(_xlfn.DAYS(EDATE(U$1,1),Log_2018[[#This Row],[Date]]),Log_2018[[#This Row],[Split_apply]])) - SUM($O187:T187)</f>
        <v>0</v>
      </c>
      <c r="V187" s="52">
        <f ca="1">Log_2018[[#This Row],[Amount]]/Log_2018[[#This Row],[Split_raw]]*MAX(0,MIN(_xlfn.DAYS(EDATE(V$1,1),Log_2018[[#This Row],[Date]]),Log_2018[[#This Row],[Split_apply]])) - SUM($O187:U187)</f>
        <v>0</v>
      </c>
      <c r="W187" s="52">
        <f ca="1">Log_2018[[#This Row],[Amount]]/Log_2018[[#This Row],[Split_raw]]*MAX(0,MIN(_xlfn.DAYS(EDATE(W$1,1),Log_2018[[#This Row],[Date]]),Log_2018[[#This Row],[Split_apply]])) - SUM($O187:V187)</f>
        <v>0</v>
      </c>
      <c r="X187" s="52">
        <f ca="1">Log_2018[[#This Row],[Amount]]/Log_2018[[#This Row],[Split_raw]]*MAX(0,MIN(_xlfn.DAYS(EDATE(X$1,1),Log_2018[[#This Row],[Date]]),Log_2018[[#This Row],[Split_apply]])) - SUM($O187:W187)</f>
        <v>0</v>
      </c>
      <c r="Y187" s="52">
        <f ca="1">Log_2018[[#This Row],[Amount]]/Log_2018[[#This Row],[Split_raw]]*MAX(0,MIN(_xlfn.DAYS(EDATE(Y$1,1),Log_2018[[#This Row],[Date]]),Log_2018[[#This Row],[Split_apply]])) - SUM($O187:X187)</f>
        <v>-13.19</v>
      </c>
      <c r="Z187" s="52">
        <f ca="1">Log_2018[[#This Row],[Amount]]/Log_2018[[#This Row],[Split_raw]]*MAX(0,MIN(_xlfn.DAYS(EDATE(Z$1,1),Log_2018[[#This Row],[Date]]),Log_2018[[#This Row],[Split_apply]])) - SUM($O187:Y187)</f>
        <v>0</v>
      </c>
      <c r="AA187" s="52">
        <f ca="1">Log_2018[[#This Row],[Amount]]/Log_2018[[#This Row],[Split_raw]]*MAX(0,MIN(_xlfn.DAYS(EDATE(AA$1,1),Log_2018[[#This Row],[Date]]),Log_2018[[#This Row],[Split_apply]])) - SUM($O187:Z187)</f>
        <v>0</v>
      </c>
      <c r="AB187" s="54">
        <f ca="1">Log_2018[[#This Row],[Amount]]-SUM(O187:AA187)</f>
        <v>0</v>
      </c>
      <c r="AC187" s="7">
        <f ca="1">MAX(0,Log_2018[[#This Row],[Split_apply]] - (EDATE(AA$1,1)-Log_2018[[#This Row],[Date]]))</f>
        <v>0</v>
      </c>
    </row>
    <row r="188" spans="1:29" hidden="1" x14ac:dyDescent="0.25">
      <c r="A188" s="115"/>
      <c r="B188" t="s">
        <v>6</v>
      </c>
      <c r="D188" s="26">
        <v>43385</v>
      </c>
      <c r="E188" t="s">
        <v>424</v>
      </c>
      <c r="F188" t="s">
        <v>382</v>
      </c>
      <c r="G188" t="s">
        <v>214</v>
      </c>
      <c r="H188" s="3">
        <v>-19.84</v>
      </c>
      <c r="I188" s="36">
        <f>IF(Log_2018[[#This Row],[My Category]]="NONTRACKED",0,Log_2018[[#This Row],[Raw Amount]])</f>
        <v>-19.84</v>
      </c>
      <c r="J188" s="17">
        <f>ABS(Log_2018[[#This Row],[Amount]])</f>
        <v>19.84</v>
      </c>
      <c r="K188" s="66">
        <v>1</v>
      </c>
      <c r="L188" s="66">
        <f ca="1">IF(Log_2018[[#This Row],[Date]]&lt;=TODAY(), MIN(Log_2018[[#This Row],[Split_raw]], TODAY()-Log_2018[[#This Row],[Date]]+1), 0)</f>
        <v>1</v>
      </c>
      <c r="M188" t="s">
        <v>42</v>
      </c>
      <c r="N188" t="s">
        <v>158</v>
      </c>
      <c r="O188" s="50">
        <v>0</v>
      </c>
      <c r="P188" s="52">
        <f ca="1">Log_2018[[#This Row],[Amount]]/Log_2018[[#This Row],[Split_raw]]*MAX(0,MIN(_xlfn.DAYS(EDATE(P$1,1),Log_2018[[#This Row],[Date]]),Log_2018[[#This Row],[Split_apply]])) - SUM($O188:O188)</f>
        <v>0</v>
      </c>
      <c r="Q188" s="52">
        <f ca="1">Log_2018[[#This Row],[Amount]]/Log_2018[[#This Row],[Split_raw]]*MAX(0,MIN(_xlfn.DAYS(EDATE(Q$1,1),Log_2018[[#This Row],[Date]]),Log_2018[[#This Row],[Split_apply]])) - SUM($O188:P188)</f>
        <v>0</v>
      </c>
      <c r="R188" s="52">
        <f ca="1">Log_2018[[#This Row],[Amount]]/Log_2018[[#This Row],[Split_raw]]*MAX(0,MIN(_xlfn.DAYS(EDATE(R$1,1),Log_2018[[#This Row],[Date]]),Log_2018[[#This Row],[Split_apply]])) - SUM($O188:Q188)</f>
        <v>0</v>
      </c>
      <c r="S188" s="52">
        <f ca="1">Log_2018[[#This Row],[Amount]]/Log_2018[[#This Row],[Split_raw]]*MAX(0,MIN(_xlfn.DAYS(EDATE(S$1,1),Log_2018[[#This Row],[Date]]),Log_2018[[#This Row],[Split_apply]])) - SUM($O188:R188)</f>
        <v>0</v>
      </c>
      <c r="T188" s="52">
        <f ca="1">Log_2018[[#This Row],[Amount]]/Log_2018[[#This Row],[Split_raw]]*MAX(0,MIN(_xlfn.DAYS(EDATE(T$1,1),Log_2018[[#This Row],[Date]]),Log_2018[[#This Row],[Split_apply]])) - SUM($O188:S188)</f>
        <v>0</v>
      </c>
      <c r="U188" s="52">
        <f ca="1">Log_2018[[#This Row],[Amount]]/Log_2018[[#This Row],[Split_raw]]*MAX(0,MIN(_xlfn.DAYS(EDATE(U$1,1),Log_2018[[#This Row],[Date]]),Log_2018[[#This Row],[Split_apply]])) - SUM($O188:T188)</f>
        <v>0</v>
      </c>
      <c r="V188" s="52">
        <f ca="1">Log_2018[[#This Row],[Amount]]/Log_2018[[#This Row],[Split_raw]]*MAX(0,MIN(_xlfn.DAYS(EDATE(V$1,1),Log_2018[[#This Row],[Date]]),Log_2018[[#This Row],[Split_apply]])) - SUM($O188:U188)</f>
        <v>0</v>
      </c>
      <c r="W188" s="52">
        <f ca="1">Log_2018[[#This Row],[Amount]]/Log_2018[[#This Row],[Split_raw]]*MAX(0,MIN(_xlfn.DAYS(EDATE(W$1,1),Log_2018[[#This Row],[Date]]),Log_2018[[#This Row],[Split_apply]])) - SUM($O188:V188)</f>
        <v>0</v>
      </c>
      <c r="X188" s="52">
        <f ca="1">Log_2018[[#This Row],[Amount]]/Log_2018[[#This Row],[Split_raw]]*MAX(0,MIN(_xlfn.DAYS(EDATE(X$1,1),Log_2018[[#This Row],[Date]]),Log_2018[[#This Row],[Split_apply]])) - SUM($O188:W188)</f>
        <v>0</v>
      </c>
      <c r="Y188" s="52">
        <f ca="1">Log_2018[[#This Row],[Amount]]/Log_2018[[#This Row],[Split_raw]]*MAX(0,MIN(_xlfn.DAYS(EDATE(Y$1,1),Log_2018[[#This Row],[Date]]),Log_2018[[#This Row],[Split_apply]])) - SUM($O188:X188)</f>
        <v>-19.84</v>
      </c>
      <c r="Z188" s="52">
        <f ca="1">Log_2018[[#This Row],[Amount]]/Log_2018[[#This Row],[Split_raw]]*MAX(0,MIN(_xlfn.DAYS(EDATE(Z$1,1),Log_2018[[#This Row],[Date]]),Log_2018[[#This Row],[Split_apply]])) - SUM($O188:Y188)</f>
        <v>0</v>
      </c>
      <c r="AA188" s="52">
        <f ca="1">Log_2018[[#This Row],[Amount]]/Log_2018[[#This Row],[Split_raw]]*MAX(0,MIN(_xlfn.DAYS(EDATE(AA$1,1),Log_2018[[#This Row],[Date]]),Log_2018[[#This Row],[Split_apply]])) - SUM($O188:Z188)</f>
        <v>0</v>
      </c>
      <c r="AB188" s="54">
        <f ca="1">Log_2018[[#This Row],[Amount]]-SUM(O188:AA188)</f>
        <v>0</v>
      </c>
      <c r="AC188" s="7">
        <f ca="1">MAX(0,Log_2018[[#This Row],[Split_apply]] - (EDATE(AA$1,1)-Log_2018[[#This Row],[Date]]))</f>
        <v>0</v>
      </c>
    </row>
    <row r="189" spans="1:29" hidden="1" x14ac:dyDescent="0.25">
      <c r="A189" s="115"/>
      <c r="B189" t="s">
        <v>6</v>
      </c>
      <c r="D189" s="26">
        <v>43385</v>
      </c>
      <c r="F189" t="s">
        <v>383</v>
      </c>
      <c r="G189" t="s">
        <v>384</v>
      </c>
      <c r="H189" s="3">
        <v>-41.97</v>
      </c>
      <c r="I189" s="36">
        <f>IF(Log_2018[[#This Row],[My Category]]="NONTRACKED",0,Log_2018[[#This Row],[Raw Amount]])</f>
        <v>-41.97</v>
      </c>
      <c r="J189" s="17">
        <f>ABS(Log_2018[[#This Row],[Amount]])</f>
        <v>41.97</v>
      </c>
      <c r="K189" s="66">
        <v>1</v>
      </c>
      <c r="L189" s="66">
        <f ca="1">IF(Log_2018[[#This Row],[Date]]&lt;=TODAY(), MIN(Log_2018[[#This Row],[Split_raw]], TODAY()-Log_2018[[#This Row],[Date]]+1), 0)</f>
        <v>1</v>
      </c>
      <c r="M189" t="s">
        <v>366</v>
      </c>
      <c r="N189" t="s">
        <v>158</v>
      </c>
      <c r="O189" s="50">
        <v>0</v>
      </c>
      <c r="P189" s="52">
        <f ca="1">Log_2018[[#This Row],[Amount]]/Log_2018[[#This Row],[Split_raw]]*MAX(0,MIN(_xlfn.DAYS(EDATE(P$1,1),Log_2018[[#This Row],[Date]]),Log_2018[[#This Row],[Split_apply]])) - SUM($O189:O189)</f>
        <v>0</v>
      </c>
      <c r="Q189" s="52">
        <f ca="1">Log_2018[[#This Row],[Amount]]/Log_2018[[#This Row],[Split_raw]]*MAX(0,MIN(_xlfn.DAYS(EDATE(Q$1,1),Log_2018[[#This Row],[Date]]),Log_2018[[#This Row],[Split_apply]])) - SUM($O189:P189)</f>
        <v>0</v>
      </c>
      <c r="R189" s="52">
        <f ca="1">Log_2018[[#This Row],[Amount]]/Log_2018[[#This Row],[Split_raw]]*MAX(0,MIN(_xlfn.DAYS(EDATE(R$1,1),Log_2018[[#This Row],[Date]]),Log_2018[[#This Row],[Split_apply]])) - SUM($O189:Q189)</f>
        <v>0</v>
      </c>
      <c r="S189" s="52">
        <f ca="1">Log_2018[[#This Row],[Amount]]/Log_2018[[#This Row],[Split_raw]]*MAX(0,MIN(_xlfn.DAYS(EDATE(S$1,1),Log_2018[[#This Row],[Date]]),Log_2018[[#This Row],[Split_apply]])) - SUM($O189:R189)</f>
        <v>0</v>
      </c>
      <c r="T189" s="52">
        <f ca="1">Log_2018[[#This Row],[Amount]]/Log_2018[[#This Row],[Split_raw]]*MAX(0,MIN(_xlfn.DAYS(EDATE(T$1,1),Log_2018[[#This Row],[Date]]),Log_2018[[#This Row],[Split_apply]])) - SUM($O189:S189)</f>
        <v>0</v>
      </c>
      <c r="U189" s="52">
        <f ca="1">Log_2018[[#This Row],[Amount]]/Log_2018[[#This Row],[Split_raw]]*MAX(0,MIN(_xlfn.DAYS(EDATE(U$1,1),Log_2018[[#This Row],[Date]]),Log_2018[[#This Row],[Split_apply]])) - SUM($O189:T189)</f>
        <v>0</v>
      </c>
      <c r="V189" s="52">
        <f ca="1">Log_2018[[#This Row],[Amount]]/Log_2018[[#This Row],[Split_raw]]*MAX(0,MIN(_xlfn.DAYS(EDATE(V$1,1),Log_2018[[#This Row],[Date]]),Log_2018[[#This Row],[Split_apply]])) - SUM($O189:U189)</f>
        <v>0</v>
      </c>
      <c r="W189" s="52">
        <f ca="1">Log_2018[[#This Row],[Amount]]/Log_2018[[#This Row],[Split_raw]]*MAX(0,MIN(_xlfn.DAYS(EDATE(W$1,1),Log_2018[[#This Row],[Date]]),Log_2018[[#This Row],[Split_apply]])) - SUM($O189:V189)</f>
        <v>0</v>
      </c>
      <c r="X189" s="52">
        <f ca="1">Log_2018[[#This Row],[Amount]]/Log_2018[[#This Row],[Split_raw]]*MAX(0,MIN(_xlfn.DAYS(EDATE(X$1,1),Log_2018[[#This Row],[Date]]),Log_2018[[#This Row],[Split_apply]])) - SUM($O189:W189)</f>
        <v>0</v>
      </c>
      <c r="Y189" s="52">
        <f ca="1">Log_2018[[#This Row],[Amount]]/Log_2018[[#This Row],[Split_raw]]*MAX(0,MIN(_xlfn.DAYS(EDATE(Y$1,1),Log_2018[[#This Row],[Date]]),Log_2018[[#This Row],[Split_apply]])) - SUM($O189:X189)</f>
        <v>-41.97</v>
      </c>
      <c r="Z189" s="52">
        <f ca="1">Log_2018[[#This Row],[Amount]]/Log_2018[[#This Row],[Split_raw]]*MAX(0,MIN(_xlfn.DAYS(EDATE(Z$1,1),Log_2018[[#This Row],[Date]]),Log_2018[[#This Row],[Split_apply]])) - SUM($O189:Y189)</f>
        <v>0</v>
      </c>
      <c r="AA189" s="52">
        <f ca="1">Log_2018[[#This Row],[Amount]]/Log_2018[[#This Row],[Split_raw]]*MAX(0,MIN(_xlfn.DAYS(EDATE(AA$1,1),Log_2018[[#This Row],[Date]]),Log_2018[[#This Row],[Split_apply]])) - SUM($O189:Z189)</f>
        <v>0</v>
      </c>
      <c r="AB189" s="54">
        <f ca="1">Log_2018[[#This Row],[Amount]]-SUM(O189:AA189)</f>
        <v>0</v>
      </c>
      <c r="AC189" s="7">
        <f ca="1">MAX(0,Log_2018[[#This Row],[Split_apply]] - (EDATE(AA$1,1)-Log_2018[[#This Row],[Date]]))</f>
        <v>0</v>
      </c>
    </row>
    <row r="190" spans="1:29" hidden="1" x14ac:dyDescent="0.25">
      <c r="A190" s="115"/>
      <c r="B190" t="s">
        <v>6</v>
      </c>
      <c r="D190" s="26">
        <v>43385</v>
      </c>
      <c r="F190" t="s">
        <v>375</v>
      </c>
      <c r="G190" t="s">
        <v>20</v>
      </c>
      <c r="H190" s="3">
        <v>-103</v>
      </c>
      <c r="I190" s="36">
        <f>IF(Log_2018[[#This Row],[My Category]]="NONTRACKED",0,Log_2018[[#This Row],[Raw Amount]])</f>
        <v>-103</v>
      </c>
      <c r="J190" s="17">
        <f>ABS(Log_2018[[#This Row],[Amount]])</f>
        <v>103</v>
      </c>
      <c r="K190" s="66">
        <v>1</v>
      </c>
      <c r="L190" s="66">
        <f ca="1">IF(Log_2018[[#This Row],[Date]]&lt;=TODAY(), MIN(Log_2018[[#This Row],[Split_raw]], TODAY()-Log_2018[[#This Row],[Date]]+1), 0)</f>
        <v>1</v>
      </c>
      <c r="M190" t="s">
        <v>196</v>
      </c>
      <c r="N190" t="s">
        <v>160</v>
      </c>
      <c r="O190" s="50">
        <v>0</v>
      </c>
      <c r="P190" s="52">
        <f ca="1">Log_2018[[#This Row],[Amount]]/Log_2018[[#This Row],[Split_raw]]*MAX(0,MIN(_xlfn.DAYS(EDATE(P$1,1),Log_2018[[#This Row],[Date]]),Log_2018[[#This Row],[Split_apply]])) - SUM($O190:O190)</f>
        <v>0</v>
      </c>
      <c r="Q190" s="52">
        <f ca="1">Log_2018[[#This Row],[Amount]]/Log_2018[[#This Row],[Split_raw]]*MAX(0,MIN(_xlfn.DAYS(EDATE(Q$1,1),Log_2018[[#This Row],[Date]]),Log_2018[[#This Row],[Split_apply]])) - SUM($O190:P190)</f>
        <v>0</v>
      </c>
      <c r="R190" s="52">
        <f ca="1">Log_2018[[#This Row],[Amount]]/Log_2018[[#This Row],[Split_raw]]*MAX(0,MIN(_xlfn.DAYS(EDATE(R$1,1),Log_2018[[#This Row],[Date]]),Log_2018[[#This Row],[Split_apply]])) - SUM($O190:Q190)</f>
        <v>0</v>
      </c>
      <c r="S190" s="52">
        <f ca="1">Log_2018[[#This Row],[Amount]]/Log_2018[[#This Row],[Split_raw]]*MAX(0,MIN(_xlfn.DAYS(EDATE(S$1,1),Log_2018[[#This Row],[Date]]),Log_2018[[#This Row],[Split_apply]])) - SUM($O190:R190)</f>
        <v>0</v>
      </c>
      <c r="T190" s="52">
        <f ca="1">Log_2018[[#This Row],[Amount]]/Log_2018[[#This Row],[Split_raw]]*MAX(0,MIN(_xlfn.DAYS(EDATE(T$1,1),Log_2018[[#This Row],[Date]]),Log_2018[[#This Row],[Split_apply]])) - SUM($O190:S190)</f>
        <v>0</v>
      </c>
      <c r="U190" s="52">
        <f ca="1">Log_2018[[#This Row],[Amount]]/Log_2018[[#This Row],[Split_raw]]*MAX(0,MIN(_xlfn.DAYS(EDATE(U$1,1),Log_2018[[#This Row],[Date]]),Log_2018[[#This Row],[Split_apply]])) - SUM($O190:T190)</f>
        <v>0</v>
      </c>
      <c r="V190" s="52">
        <f ca="1">Log_2018[[#This Row],[Amount]]/Log_2018[[#This Row],[Split_raw]]*MAX(0,MIN(_xlfn.DAYS(EDATE(V$1,1),Log_2018[[#This Row],[Date]]),Log_2018[[#This Row],[Split_apply]])) - SUM($O190:U190)</f>
        <v>0</v>
      </c>
      <c r="W190" s="52">
        <f ca="1">Log_2018[[#This Row],[Amount]]/Log_2018[[#This Row],[Split_raw]]*MAX(0,MIN(_xlfn.DAYS(EDATE(W$1,1),Log_2018[[#This Row],[Date]]),Log_2018[[#This Row],[Split_apply]])) - SUM($O190:V190)</f>
        <v>0</v>
      </c>
      <c r="X190" s="52">
        <f ca="1">Log_2018[[#This Row],[Amount]]/Log_2018[[#This Row],[Split_raw]]*MAX(0,MIN(_xlfn.DAYS(EDATE(X$1,1),Log_2018[[#This Row],[Date]]),Log_2018[[#This Row],[Split_apply]])) - SUM($O190:W190)</f>
        <v>0</v>
      </c>
      <c r="Y190" s="52">
        <f ca="1">Log_2018[[#This Row],[Amount]]/Log_2018[[#This Row],[Split_raw]]*MAX(0,MIN(_xlfn.DAYS(EDATE(Y$1,1),Log_2018[[#This Row],[Date]]),Log_2018[[#This Row],[Split_apply]])) - SUM($O190:X190)</f>
        <v>-103</v>
      </c>
      <c r="Z190" s="52">
        <f ca="1">Log_2018[[#This Row],[Amount]]/Log_2018[[#This Row],[Split_raw]]*MAX(0,MIN(_xlfn.DAYS(EDATE(Z$1,1),Log_2018[[#This Row],[Date]]),Log_2018[[#This Row],[Split_apply]])) - SUM($O190:Y190)</f>
        <v>0</v>
      </c>
      <c r="AA190" s="52">
        <f ca="1">Log_2018[[#This Row],[Amount]]/Log_2018[[#This Row],[Split_raw]]*MAX(0,MIN(_xlfn.DAYS(EDATE(AA$1,1),Log_2018[[#This Row],[Date]]),Log_2018[[#This Row],[Split_apply]])) - SUM($O190:Z190)</f>
        <v>0</v>
      </c>
      <c r="AB190" s="54">
        <f ca="1">Log_2018[[#This Row],[Amount]]-SUM(O190:AA190)</f>
        <v>0</v>
      </c>
      <c r="AC190" s="7">
        <f ca="1">MAX(0,Log_2018[[#This Row],[Split_apply]] - (EDATE(AA$1,1)-Log_2018[[#This Row],[Date]]))</f>
        <v>0</v>
      </c>
    </row>
    <row r="191" spans="1:29" hidden="1" x14ac:dyDescent="0.25">
      <c r="A191" s="115"/>
      <c r="B191" s="34" t="s">
        <v>6</v>
      </c>
      <c r="D191" s="26">
        <v>43384</v>
      </c>
      <c r="F191" t="s">
        <v>83</v>
      </c>
      <c r="G191" t="s">
        <v>15</v>
      </c>
      <c r="H191" s="3">
        <v>-202.02</v>
      </c>
      <c r="I191" s="36">
        <f>IF(Log_2018[[#This Row],[My Category]]="NONTRACKED",0,Log_2018[[#This Row],[Raw Amount]])</f>
        <v>-202.02</v>
      </c>
      <c r="J191" s="17">
        <f>ABS(Log_2018[[#This Row],[Amount]])</f>
        <v>202.02</v>
      </c>
      <c r="K191" s="66">
        <v>30</v>
      </c>
      <c r="L191" s="66">
        <f ca="1">IF(Log_2018[[#This Row],[Date]]&lt;=TODAY(), MIN(Log_2018[[#This Row],[Split_raw]], TODAY()-Log_2018[[#This Row],[Date]]+1), 0)</f>
        <v>30</v>
      </c>
      <c r="M191" t="s">
        <v>241</v>
      </c>
      <c r="N191" t="s">
        <v>160</v>
      </c>
      <c r="O191" s="50">
        <v>0</v>
      </c>
      <c r="P191" s="52">
        <f ca="1">Log_2018[[#This Row],[Amount]]/Log_2018[[#This Row],[Split_raw]]*MAX(0,MIN(_xlfn.DAYS(EDATE(P$1,1),Log_2018[[#This Row],[Date]]),Log_2018[[#This Row],[Split_apply]])) - SUM($O191:O191)</f>
        <v>0</v>
      </c>
      <c r="Q191" s="52">
        <f ca="1">Log_2018[[#This Row],[Amount]]/Log_2018[[#This Row],[Split_raw]]*MAX(0,MIN(_xlfn.DAYS(EDATE(Q$1,1),Log_2018[[#This Row],[Date]]),Log_2018[[#This Row],[Split_apply]])) - SUM($O191:P191)</f>
        <v>0</v>
      </c>
      <c r="R191" s="52">
        <f ca="1">Log_2018[[#This Row],[Amount]]/Log_2018[[#This Row],[Split_raw]]*MAX(0,MIN(_xlfn.DAYS(EDATE(R$1,1),Log_2018[[#This Row],[Date]]),Log_2018[[#This Row],[Split_apply]])) - SUM($O191:Q191)</f>
        <v>0</v>
      </c>
      <c r="S191" s="52">
        <f ca="1">Log_2018[[#This Row],[Amount]]/Log_2018[[#This Row],[Split_raw]]*MAX(0,MIN(_xlfn.DAYS(EDATE(S$1,1),Log_2018[[#This Row],[Date]]),Log_2018[[#This Row],[Split_apply]])) - SUM($O191:R191)</f>
        <v>0</v>
      </c>
      <c r="T191" s="52">
        <f ca="1">Log_2018[[#This Row],[Amount]]/Log_2018[[#This Row],[Split_raw]]*MAX(0,MIN(_xlfn.DAYS(EDATE(T$1,1),Log_2018[[#This Row],[Date]]),Log_2018[[#This Row],[Split_apply]])) - SUM($O191:S191)</f>
        <v>0</v>
      </c>
      <c r="U191" s="52">
        <f ca="1">Log_2018[[#This Row],[Amount]]/Log_2018[[#This Row],[Split_raw]]*MAX(0,MIN(_xlfn.DAYS(EDATE(U$1,1),Log_2018[[#This Row],[Date]]),Log_2018[[#This Row],[Split_apply]])) - SUM($O191:T191)</f>
        <v>0</v>
      </c>
      <c r="V191" s="52">
        <f ca="1">Log_2018[[#This Row],[Amount]]/Log_2018[[#This Row],[Split_raw]]*MAX(0,MIN(_xlfn.DAYS(EDATE(V$1,1),Log_2018[[#This Row],[Date]]),Log_2018[[#This Row],[Split_apply]])) - SUM($O191:U191)</f>
        <v>0</v>
      </c>
      <c r="W191" s="52">
        <f ca="1">Log_2018[[#This Row],[Amount]]/Log_2018[[#This Row],[Split_raw]]*MAX(0,MIN(_xlfn.DAYS(EDATE(W$1,1),Log_2018[[#This Row],[Date]]),Log_2018[[#This Row],[Split_apply]])) - SUM($O191:V191)</f>
        <v>0</v>
      </c>
      <c r="X191" s="52">
        <f ca="1">Log_2018[[#This Row],[Amount]]/Log_2018[[#This Row],[Split_raw]]*MAX(0,MIN(_xlfn.DAYS(EDATE(X$1,1),Log_2018[[#This Row],[Date]]),Log_2018[[#This Row],[Split_apply]])) - SUM($O191:W191)</f>
        <v>0</v>
      </c>
      <c r="Y191" s="52">
        <f ca="1">Log_2018[[#This Row],[Amount]]/Log_2018[[#This Row],[Split_raw]]*MAX(0,MIN(_xlfn.DAYS(EDATE(Y$1,1),Log_2018[[#This Row],[Date]]),Log_2018[[#This Row],[Split_apply]])) - SUM($O191:X191)</f>
        <v>-141.41399999999999</v>
      </c>
      <c r="Z191" s="52">
        <f ca="1">Log_2018[[#This Row],[Amount]]/Log_2018[[#This Row],[Split_raw]]*MAX(0,MIN(_xlfn.DAYS(EDATE(Z$1,1),Log_2018[[#This Row],[Date]]),Log_2018[[#This Row],[Split_apply]])) - SUM($O191:Y191)</f>
        <v>-60.606000000000023</v>
      </c>
      <c r="AA191" s="52">
        <f ca="1">Log_2018[[#This Row],[Amount]]/Log_2018[[#This Row],[Split_raw]]*MAX(0,MIN(_xlfn.DAYS(EDATE(AA$1,1),Log_2018[[#This Row],[Date]]),Log_2018[[#This Row],[Split_apply]])) - SUM($O191:Z191)</f>
        <v>0</v>
      </c>
      <c r="AB191" s="54">
        <f ca="1">Log_2018[[#This Row],[Amount]]-SUM(O191:AA191)</f>
        <v>0</v>
      </c>
      <c r="AC191" s="7">
        <f ca="1">MAX(0,Log_2018[[#This Row],[Split_apply]] - (EDATE(AA$1,1)-Log_2018[[#This Row],[Date]]))</f>
        <v>0</v>
      </c>
    </row>
    <row r="192" spans="1:29" hidden="1" x14ac:dyDescent="0.25">
      <c r="A192" s="115"/>
      <c r="B192" t="s">
        <v>6</v>
      </c>
      <c r="D192" s="26">
        <v>43384</v>
      </c>
      <c r="E192" t="s">
        <v>424</v>
      </c>
      <c r="F192" t="s">
        <v>385</v>
      </c>
      <c r="G192" t="s">
        <v>384</v>
      </c>
      <c r="H192" s="3">
        <v>-56</v>
      </c>
      <c r="I192" s="36">
        <f>IF(Log_2018[[#This Row],[My Category]]="NONTRACKED",0,Log_2018[[#This Row],[Raw Amount]])</f>
        <v>-56</v>
      </c>
      <c r="J192" s="17">
        <f>ABS(Log_2018[[#This Row],[Amount]])</f>
        <v>56</v>
      </c>
      <c r="K192" s="66">
        <v>1</v>
      </c>
      <c r="L192" s="66">
        <f ca="1">IF(Log_2018[[#This Row],[Date]]&lt;=TODAY(), MIN(Log_2018[[#This Row],[Split_raw]], TODAY()-Log_2018[[#This Row],[Date]]+1), 0)</f>
        <v>1</v>
      </c>
      <c r="M192" t="s">
        <v>42</v>
      </c>
      <c r="N192" t="s">
        <v>158</v>
      </c>
      <c r="O192" s="50">
        <v>0</v>
      </c>
      <c r="P192" s="52">
        <f ca="1">Log_2018[[#This Row],[Amount]]/Log_2018[[#This Row],[Split_raw]]*MAX(0,MIN(_xlfn.DAYS(EDATE(P$1,1),Log_2018[[#This Row],[Date]]),Log_2018[[#This Row],[Split_apply]])) - SUM($O192:O192)</f>
        <v>0</v>
      </c>
      <c r="Q192" s="52">
        <f ca="1">Log_2018[[#This Row],[Amount]]/Log_2018[[#This Row],[Split_raw]]*MAX(0,MIN(_xlfn.DAYS(EDATE(Q$1,1),Log_2018[[#This Row],[Date]]),Log_2018[[#This Row],[Split_apply]])) - SUM($O192:P192)</f>
        <v>0</v>
      </c>
      <c r="R192" s="52">
        <f ca="1">Log_2018[[#This Row],[Amount]]/Log_2018[[#This Row],[Split_raw]]*MAX(0,MIN(_xlfn.DAYS(EDATE(R$1,1),Log_2018[[#This Row],[Date]]),Log_2018[[#This Row],[Split_apply]])) - SUM($O192:Q192)</f>
        <v>0</v>
      </c>
      <c r="S192" s="52">
        <f ca="1">Log_2018[[#This Row],[Amount]]/Log_2018[[#This Row],[Split_raw]]*MAX(0,MIN(_xlfn.DAYS(EDATE(S$1,1),Log_2018[[#This Row],[Date]]),Log_2018[[#This Row],[Split_apply]])) - SUM($O192:R192)</f>
        <v>0</v>
      </c>
      <c r="T192" s="52">
        <f ca="1">Log_2018[[#This Row],[Amount]]/Log_2018[[#This Row],[Split_raw]]*MAX(0,MIN(_xlfn.DAYS(EDATE(T$1,1),Log_2018[[#This Row],[Date]]),Log_2018[[#This Row],[Split_apply]])) - SUM($O192:S192)</f>
        <v>0</v>
      </c>
      <c r="U192" s="52">
        <f ca="1">Log_2018[[#This Row],[Amount]]/Log_2018[[#This Row],[Split_raw]]*MAX(0,MIN(_xlfn.DAYS(EDATE(U$1,1),Log_2018[[#This Row],[Date]]),Log_2018[[#This Row],[Split_apply]])) - SUM($O192:T192)</f>
        <v>0</v>
      </c>
      <c r="V192" s="52">
        <f ca="1">Log_2018[[#This Row],[Amount]]/Log_2018[[#This Row],[Split_raw]]*MAX(0,MIN(_xlfn.DAYS(EDATE(V$1,1),Log_2018[[#This Row],[Date]]),Log_2018[[#This Row],[Split_apply]])) - SUM($O192:U192)</f>
        <v>0</v>
      </c>
      <c r="W192" s="52">
        <f ca="1">Log_2018[[#This Row],[Amount]]/Log_2018[[#This Row],[Split_raw]]*MAX(0,MIN(_xlfn.DAYS(EDATE(W$1,1),Log_2018[[#This Row],[Date]]),Log_2018[[#This Row],[Split_apply]])) - SUM($O192:V192)</f>
        <v>0</v>
      </c>
      <c r="X192" s="52">
        <f ca="1">Log_2018[[#This Row],[Amount]]/Log_2018[[#This Row],[Split_raw]]*MAX(0,MIN(_xlfn.DAYS(EDATE(X$1,1),Log_2018[[#This Row],[Date]]),Log_2018[[#This Row],[Split_apply]])) - SUM($O192:W192)</f>
        <v>0</v>
      </c>
      <c r="Y192" s="52">
        <f ca="1">Log_2018[[#This Row],[Amount]]/Log_2018[[#This Row],[Split_raw]]*MAX(0,MIN(_xlfn.DAYS(EDATE(Y$1,1),Log_2018[[#This Row],[Date]]),Log_2018[[#This Row],[Split_apply]])) - SUM($O192:X192)</f>
        <v>-56</v>
      </c>
      <c r="Z192" s="52">
        <f ca="1">Log_2018[[#This Row],[Amount]]/Log_2018[[#This Row],[Split_raw]]*MAX(0,MIN(_xlfn.DAYS(EDATE(Z$1,1),Log_2018[[#This Row],[Date]]),Log_2018[[#This Row],[Split_apply]])) - SUM($O192:Y192)</f>
        <v>0</v>
      </c>
      <c r="AA192" s="52">
        <f ca="1">Log_2018[[#This Row],[Amount]]/Log_2018[[#This Row],[Split_raw]]*MAX(0,MIN(_xlfn.DAYS(EDATE(AA$1,1),Log_2018[[#This Row],[Date]]),Log_2018[[#This Row],[Split_apply]])) - SUM($O192:Z192)</f>
        <v>0</v>
      </c>
      <c r="AB192" s="54">
        <f ca="1">Log_2018[[#This Row],[Amount]]-SUM(O192:AA192)</f>
        <v>0</v>
      </c>
      <c r="AC192" s="7">
        <f ca="1">MAX(0,Log_2018[[#This Row],[Split_apply]] - (EDATE(AA$1,1)-Log_2018[[#This Row],[Date]]))</f>
        <v>0</v>
      </c>
    </row>
    <row r="193" spans="1:29" hidden="1" x14ac:dyDescent="0.25">
      <c r="A193" s="115"/>
      <c r="B193" t="s">
        <v>6</v>
      </c>
      <c r="D193" s="26">
        <v>43384</v>
      </c>
      <c r="F193" t="s">
        <v>386</v>
      </c>
      <c r="G193" t="s">
        <v>384</v>
      </c>
      <c r="H193" s="3">
        <v>-98.98</v>
      </c>
      <c r="I193" s="36">
        <f>IF(Log_2018[[#This Row],[My Category]]="NONTRACKED",0,Log_2018[[#This Row],[Raw Amount]])</f>
        <v>-98.98</v>
      </c>
      <c r="J193" s="17">
        <f>ABS(Log_2018[[#This Row],[Amount]])</f>
        <v>98.98</v>
      </c>
      <c r="K193" s="66">
        <v>1</v>
      </c>
      <c r="L193" s="66">
        <f ca="1">IF(Log_2018[[#This Row],[Date]]&lt;=TODAY(), MIN(Log_2018[[#This Row],[Split_raw]], TODAY()-Log_2018[[#This Row],[Date]]+1), 0)</f>
        <v>1</v>
      </c>
      <c r="M193" t="s">
        <v>366</v>
      </c>
      <c r="N193" t="s">
        <v>158</v>
      </c>
      <c r="O193" s="50">
        <v>0</v>
      </c>
      <c r="P193" s="52">
        <f ca="1">Log_2018[[#This Row],[Amount]]/Log_2018[[#This Row],[Split_raw]]*MAX(0,MIN(_xlfn.DAYS(EDATE(P$1,1),Log_2018[[#This Row],[Date]]),Log_2018[[#This Row],[Split_apply]])) - SUM($O193:O193)</f>
        <v>0</v>
      </c>
      <c r="Q193" s="52">
        <f ca="1">Log_2018[[#This Row],[Amount]]/Log_2018[[#This Row],[Split_raw]]*MAX(0,MIN(_xlfn.DAYS(EDATE(Q$1,1),Log_2018[[#This Row],[Date]]),Log_2018[[#This Row],[Split_apply]])) - SUM($O193:P193)</f>
        <v>0</v>
      </c>
      <c r="R193" s="52">
        <f ca="1">Log_2018[[#This Row],[Amount]]/Log_2018[[#This Row],[Split_raw]]*MAX(0,MIN(_xlfn.DAYS(EDATE(R$1,1),Log_2018[[#This Row],[Date]]),Log_2018[[#This Row],[Split_apply]])) - SUM($O193:Q193)</f>
        <v>0</v>
      </c>
      <c r="S193" s="52">
        <f ca="1">Log_2018[[#This Row],[Amount]]/Log_2018[[#This Row],[Split_raw]]*MAX(0,MIN(_xlfn.DAYS(EDATE(S$1,1),Log_2018[[#This Row],[Date]]),Log_2018[[#This Row],[Split_apply]])) - SUM($O193:R193)</f>
        <v>0</v>
      </c>
      <c r="T193" s="52">
        <f ca="1">Log_2018[[#This Row],[Amount]]/Log_2018[[#This Row],[Split_raw]]*MAX(0,MIN(_xlfn.DAYS(EDATE(T$1,1),Log_2018[[#This Row],[Date]]),Log_2018[[#This Row],[Split_apply]])) - SUM($O193:S193)</f>
        <v>0</v>
      </c>
      <c r="U193" s="52">
        <f ca="1">Log_2018[[#This Row],[Amount]]/Log_2018[[#This Row],[Split_raw]]*MAX(0,MIN(_xlfn.DAYS(EDATE(U$1,1),Log_2018[[#This Row],[Date]]),Log_2018[[#This Row],[Split_apply]])) - SUM($O193:T193)</f>
        <v>0</v>
      </c>
      <c r="V193" s="52">
        <f ca="1">Log_2018[[#This Row],[Amount]]/Log_2018[[#This Row],[Split_raw]]*MAX(0,MIN(_xlfn.DAYS(EDATE(V$1,1),Log_2018[[#This Row],[Date]]),Log_2018[[#This Row],[Split_apply]])) - SUM($O193:U193)</f>
        <v>0</v>
      </c>
      <c r="W193" s="52">
        <f ca="1">Log_2018[[#This Row],[Amount]]/Log_2018[[#This Row],[Split_raw]]*MAX(0,MIN(_xlfn.DAYS(EDATE(W$1,1),Log_2018[[#This Row],[Date]]),Log_2018[[#This Row],[Split_apply]])) - SUM($O193:V193)</f>
        <v>0</v>
      </c>
      <c r="X193" s="52">
        <f ca="1">Log_2018[[#This Row],[Amount]]/Log_2018[[#This Row],[Split_raw]]*MAX(0,MIN(_xlfn.DAYS(EDATE(X$1,1),Log_2018[[#This Row],[Date]]),Log_2018[[#This Row],[Split_apply]])) - SUM($O193:W193)</f>
        <v>0</v>
      </c>
      <c r="Y193" s="52">
        <f ca="1">Log_2018[[#This Row],[Amount]]/Log_2018[[#This Row],[Split_raw]]*MAX(0,MIN(_xlfn.DAYS(EDATE(Y$1,1),Log_2018[[#This Row],[Date]]),Log_2018[[#This Row],[Split_apply]])) - SUM($O193:X193)</f>
        <v>-98.98</v>
      </c>
      <c r="Z193" s="52">
        <f ca="1">Log_2018[[#This Row],[Amount]]/Log_2018[[#This Row],[Split_raw]]*MAX(0,MIN(_xlfn.DAYS(EDATE(Z$1,1),Log_2018[[#This Row],[Date]]),Log_2018[[#This Row],[Split_apply]])) - SUM($O193:Y193)</f>
        <v>0</v>
      </c>
      <c r="AA193" s="52">
        <f ca="1">Log_2018[[#This Row],[Amount]]/Log_2018[[#This Row],[Split_raw]]*MAX(0,MIN(_xlfn.DAYS(EDATE(AA$1,1),Log_2018[[#This Row],[Date]]),Log_2018[[#This Row],[Split_apply]])) - SUM($O193:Z193)</f>
        <v>0</v>
      </c>
      <c r="AB193" s="54">
        <f ca="1">Log_2018[[#This Row],[Amount]]-SUM(O193:AA193)</f>
        <v>0</v>
      </c>
      <c r="AC193" s="7">
        <f ca="1">MAX(0,Log_2018[[#This Row],[Split_apply]] - (EDATE(AA$1,1)-Log_2018[[#This Row],[Date]]))</f>
        <v>0</v>
      </c>
    </row>
    <row r="194" spans="1:29" hidden="1" x14ac:dyDescent="0.25">
      <c r="A194" s="115"/>
      <c r="B194" t="s">
        <v>6</v>
      </c>
      <c r="D194" s="39">
        <v>43384</v>
      </c>
      <c r="F194" t="s">
        <v>59</v>
      </c>
      <c r="G194" t="s">
        <v>25</v>
      </c>
      <c r="H194" s="3">
        <v>-7.94</v>
      </c>
      <c r="I194" s="36">
        <f>IF(Log_2018[[#This Row],[My Category]]="NONTRACKED",0,Log_2018[[#This Row],[Raw Amount]])</f>
        <v>-7.94</v>
      </c>
      <c r="J194" s="17">
        <f>ABS(Log_2018[[#This Row],[Amount]])</f>
        <v>7.94</v>
      </c>
      <c r="K194" s="66">
        <v>1</v>
      </c>
      <c r="L194" s="66">
        <f ca="1">IF(Log_2018[[#This Row],[Date]]&lt;=TODAY(), MIN(Log_2018[[#This Row],[Split_raw]], TODAY()-Log_2018[[#This Row],[Date]]+1), 0)</f>
        <v>1</v>
      </c>
      <c r="M194" t="s">
        <v>35</v>
      </c>
      <c r="N194" t="s">
        <v>158</v>
      </c>
      <c r="O194" s="50">
        <v>0</v>
      </c>
      <c r="P194" s="52">
        <f ca="1">Log_2018[[#This Row],[Amount]]/Log_2018[[#This Row],[Split_raw]]*MAX(0,MIN(_xlfn.DAYS(EDATE(P$1,1),Log_2018[[#This Row],[Date]]),Log_2018[[#This Row],[Split_apply]])) - SUM($O194:O194)</f>
        <v>0</v>
      </c>
      <c r="Q194" s="52">
        <f ca="1">Log_2018[[#This Row],[Amount]]/Log_2018[[#This Row],[Split_raw]]*MAX(0,MIN(_xlfn.DAYS(EDATE(Q$1,1),Log_2018[[#This Row],[Date]]),Log_2018[[#This Row],[Split_apply]])) - SUM($O194:P194)</f>
        <v>0</v>
      </c>
      <c r="R194" s="52">
        <f ca="1">Log_2018[[#This Row],[Amount]]/Log_2018[[#This Row],[Split_raw]]*MAX(0,MIN(_xlfn.DAYS(EDATE(R$1,1),Log_2018[[#This Row],[Date]]),Log_2018[[#This Row],[Split_apply]])) - SUM($O194:Q194)</f>
        <v>0</v>
      </c>
      <c r="S194" s="52">
        <f ca="1">Log_2018[[#This Row],[Amount]]/Log_2018[[#This Row],[Split_raw]]*MAX(0,MIN(_xlfn.DAYS(EDATE(S$1,1),Log_2018[[#This Row],[Date]]),Log_2018[[#This Row],[Split_apply]])) - SUM($O194:R194)</f>
        <v>0</v>
      </c>
      <c r="T194" s="52">
        <f ca="1">Log_2018[[#This Row],[Amount]]/Log_2018[[#This Row],[Split_raw]]*MAX(0,MIN(_xlfn.DAYS(EDATE(T$1,1),Log_2018[[#This Row],[Date]]),Log_2018[[#This Row],[Split_apply]])) - SUM($O194:S194)</f>
        <v>0</v>
      </c>
      <c r="U194" s="52">
        <f ca="1">Log_2018[[#This Row],[Amount]]/Log_2018[[#This Row],[Split_raw]]*MAX(0,MIN(_xlfn.DAYS(EDATE(U$1,1),Log_2018[[#This Row],[Date]]),Log_2018[[#This Row],[Split_apply]])) - SUM($O194:T194)</f>
        <v>0</v>
      </c>
      <c r="V194" s="52">
        <f ca="1">Log_2018[[#This Row],[Amount]]/Log_2018[[#This Row],[Split_raw]]*MAX(0,MIN(_xlfn.DAYS(EDATE(V$1,1),Log_2018[[#This Row],[Date]]),Log_2018[[#This Row],[Split_apply]])) - SUM($O194:U194)</f>
        <v>0</v>
      </c>
      <c r="W194" s="52">
        <f ca="1">Log_2018[[#This Row],[Amount]]/Log_2018[[#This Row],[Split_raw]]*MAX(0,MIN(_xlfn.DAYS(EDATE(W$1,1),Log_2018[[#This Row],[Date]]),Log_2018[[#This Row],[Split_apply]])) - SUM($O194:V194)</f>
        <v>0</v>
      </c>
      <c r="X194" s="52">
        <f ca="1">Log_2018[[#This Row],[Amount]]/Log_2018[[#This Row],[Split_raw]]*MAX(0,MIN(_xlfn.DAYS(EDATE(X$1,1),Log_2018[[#This Row],[Date]]),Log_2018[[#This Row],[Split_apply]])) - SUM($O194:W194)</f>
        <v>0</v>
      </c>
      <c r="Y194" s="52">
        <f ca="1">Log_2018[[#This Row],[Amount]]/Log_2018[[#This Row],[Split_raw]]*MAX(0,MIN(_xlfn.DAYS(EDATE(Y$1,1),Log_2018[[#This Row],[Date]]),Log_2018[[#This Row],[Split_apply]])) - SUM($O194:X194)</f>
        <v>-7.94</v>
      </c>
      <c r="Z194" s="52">
        <f ca="1">Log_2018[[#This Row],[Amount]]/Log_2018[[#This Row],[Split_raw]]*MAX(0,MIN(_xlfn.DAYS(EDATE(Z$1,1),Log_2018[[#This Row],[Date]]),Log_2018[[#This Row],[Split_apply]])) - SUM($O194:Y194)</f>
        <v>0</v>
      </c>
      <c r="AA194" s="52">
        <f ca="1">Log_2018[[#This Row],[Amount]]/Log_2018[[#This Row],[Split_raw]]*MAX(0,MIN(_xlfn.DAYS(EDATE(AA$1,1),Log_2018[[#This Row],[Date]]),Log_2018[[#This Row],[Split_apply]])) - SUM($O194:Z194)</f>
        <v>0</v>
      </c>
      <c r="AB194" s="54">
        <f ca="1">Log_2018[[#This Row],[Amount]]-SUM(O194:AA194)</f>
        <v>0</v>
      </c>
      <c r="AC194" s="7">
        <f ca="1">MAX(0,Log_2018[[#This Row],[Split_apply]] - (EDATE(AA$1,1)-Log_2018[[#This Row],[Date]]))</f>
        <v>0</v>
      </c>
    </row>
    <row r="195" spans="1:29" hidden="1" x14ac:dyDescent="0.25">
      <c r="A195" s="115"/>
      <c r="B195" t="s">
        <v>6</v>
      </c>
      <c r="D195" s="39">
        <v>43384</v>
      </c>
      <c r="F195" t="s">
        <v>79</v>
      </c>
      <c r="G195" t="s">
        <v>87</v>
      </c>
      <c r="H195" s="3">
        <f>--1886.51</f>
        <v>1886.51</v>
      </c>
      <c r="I195" s="36">
        <f>IF(Log_2018[[#This Row],[My Category]]="NONTRACKED",0,Log_2018[[#This Row],[Raw Amount]])</f>
        <v>1886.51</v>
      </c>
      <c r="J195" s="17">
        <f>ABS(Log_2018[[#This Row],[Amount]])</f>
        <v>1886.51</v>
      </c>
      <c r="K195" s="66">
        <v>14</v>
      </c>
      <c r="L195" s="66">
        <f ca="1">IF(Log_2018[[#This Row],[Date]]&lt;=TODAY(), MIN(Log_2018[[#This Row],[Split_raw]], TODAY()-Log_2018[[#This Row],[Date]]+1), 0)</f>
        <v>14</v>
      </c>
      <c r="M195" t="s">
        <v>91</v>
      </c>
      <c r="N195" t="s">
        <v>160</v>
      </c>
      <c r="O195" s="50">
        <v>0</v>
      </c>
      <c r="P195" s="52">
        <f ca="1">Log_2018[[#This Row],[Amount]]/Log_2018[[#This Row],[Split_raw]]*MAX(0,MIN(_xlfn.DAYS(EDATE(P$1,1),Log_2018[[#This Row],[Date]]),Log_2018[[#This Row],[Split_apply]])) - SUM($O195:O195)</f>
        <v>0</v>
      </c>
      <c r="Q195" s="52">
        <f ca="1">Log_2018[[#This Row],[Amount]]/Log_2018[[#This Row],[Split_raw]]*MAX(0,MIN(_xlfn.DAYS(EDATE(Q$1,1),Log_2018[[#This Row],[Date]]),Log_2018[[#This Row],[Split_apply]])) - SUM($O195:P195)</f>
        <v>0</v>
      </c>
      <c r="R195" s="52">
        <f ca="1">Log_2018[[#This Row],[Amount]]/Log_2018[[#This Row],[Split_raw]]*MAX(0,MIN(_xlfn.DAYS(EDATE(R$1,1),Log_2018[[#This Row],[Date]]),Log_2018[[#This Row],[Split_apply]])) - SUM($O195:Q195)</f>
        <v>0</v>
      </c>
      <c r="S195" s="52">
        <f ca="1">Log_2018[[#This Row],[Amount]]/Log_2018[[#This Row],[Split_raw]]*MAX(0,MIN(_xlfn.DAYS(EDATE(S$1,1),Log_2018[[#This Row],[Date]]),Log_2018[[#This Row],[Split_apply]])) - SUM($O195:R195)</f>
        <v>0</v>
      </c>
      <c r="T195" s="52">
        <f ca="1">Log_2018[[#This Row],[Amount]]/Log_2018[[#This Row],[Split_raw]]*MAX(0,MIN(_xlfn.DAYS(EDATE(T$1,1),Log_2018[[#This Row],[Date]]),Log_2018[[#This Row],[Split_apply]])) - SUM($O195:S195)</f>
        <v>0</v>
      </c>
      <c r="U195" s="52">
        <f ca="1">Log_2018[[#This Row],[Amount]]/Log_2018[[#This Row],[Split_raw]]*MAX(0,MIN(_xlfn.DAYS(EDATE(U$1,1),Log_2018[[#This Row],[Date]]),Log_2018[[#This Row],[Split_apply]])) - SUM($O195:T195)</f>
        <v>0</v>
      </c>
      <c r="V195" s="52">
        <f ca="1">Log_2018[[#This Row],[Amount]]/Log_2018[[#This Row],[Split_raw]]*MAX(0,MIN(_xlfn.DAYS(EDATE(V$1,1),Log_2018[[#This Row],[Date]]),Log_2018[[#This Row],[Split_apply]])) - SUM($O195:U195)</f>
        <v>0</v>
      </c>
      <c r="W195" s="52">
        <f ca="1">Log_2018[[#This Row],[Amount]]/Log_2018[[#This Row],[Split_raw]]*MAX(0,MIN(_xlfn.DAYS(EDATE(W$1,1),Log_2018[[#This Row],[Date]]),Log_2018[[#This Row],[Split_apply]])) - SUM($O195:V195)</f>
        <v>0</v>
      </c>
      <c r="X195" s="52">
        <f ca="1">Log_2018[[#This Row],[Amount]]/Log_2018[[#This Row],[Split_raw]]*MAX(0,MIN(_xlfn.DAYS(EDATE(X$1,1),Log_2018[[#This Row],[Date]]),Log_2018[[#This Row],[Split_apply]])) - SUM($O195:W195)</f>
        <v>0</v>
      </c>
      <c r="Y195" s="52">
        <f ca="1">Log_2018[[#This Row],[Amount]]/Log_2018[[#This Row],[Split_raw]]*MAX(0,MIN(_xlfn.DAYS(EDATE(Y$1,1),Log_2018[[#This Row],[Date]]),Log_2018[[#This Row],[Split_apply]])) - SUM($O195:X195)</f>
        <v>1886.51</v>
      </c>
      <c r="Z195" s="52">
        <f ca="1">Log_2018[[#This Row],[Amount]]/Log_2018[[#This Row],[Split_raw]]*MAX(0,MIN(_xlfn.DAYS(EDATE(Z$1,1),Log_2018[[#This Row],[Date]]),Log_2018[[#This Row],[Split_apply]])) - SUM($O195:Y195)</f>
        <v>0</v>
      </c>
      <c r="AA195" s="52">
        <f ca="1">Log_2018[[#This Row],[Amount]]/Log_2018[[#This Row],[Split_raw]]*MAX(0,MIN(_xlfn.DAYS(EDATE(AA$1,1),Log_2018[[#This Row],[Date]]),Log_2018[[#This Row],[Split_apply]])) - SUM($O195:Z195)</f>
        <v>0</v>
      </c>
      <c r="AB195" s="54">
        <f ca="1">Log_2018[[#This Row],[Amount]]-SUM(O195:AA195)</f>
        <v>0</v>
      </c>
      <c r="AC195" s="7">
        <f ca="1">MAX(0,Log_2018[[#This Row],[Split_apply]] - (EDATE(AA$1,1)-Log_2018[[#This Row],[Date]]))</f>
        <v>0</v>
      </c>
    </row>
    <row r="196" spans="1:29" hidden="1" x14ac:dyDescent="0.25">
      <c r="A196" s="115"/>
      <c r="B196" t="s">
        <v>6</v>
      </c>
      <c r="D196" s="39">
        <v>43383</v>
      </c>
      <c r="E196" t="s">
        <v>250</v>
      </c>
      <c r="F196" t="s">
        <v>243</v>
      </c>
      <c r="G196" t="s">
        <v>143</v>
      </c>
      <c r="H196" s="3">
        <v>-10.81</v>
      </c>
      <c r="I196" s="36">
        <f>IF(Log_2018[[#This Row],[My Category]]="NONTRACKED",0,Log_2018[[#This Row],[Raw Amount]])</f>
        <v>-10.81</v>
      </c>
      <c r="J196" s="17">
        <f>ABS(Log_2018[[#This Row],[Amount]])</f>
        <v>10.81</v>
      </c>
      <c r="K196" s="66">
        <v>30</v>
      </c>
      <c r="L196" s="66">
        <f ca="1">IF(Log_2018[[#This Row],[Date]]&lt;=TODAY(), MIN(Log_2018[[#This Row],[Split_raw]], TODAY()-Log_2018[[#This Row],[Date]]+1), 0)</f>
        <v>30</v>
      </c>
      <c r="M196" t="s">
        <v>53</v>
      </c>
      <c r="N196" t="s">
        <v>160</v>
      </c>
      <c r="O196" s="50">
        <v>0</v>
      </c>
      <c r="P196" s="52">
        <f ca="1">Log_2018[[#This Row],[Amount]]/Log_2018[[#This Row],[Split_raw]]*MAX(0,MIN(_xlfn.DAYS(EDATE(P$1,1),Log_2018[[#This Row],[Date]]),Log_2018[[#This Row],[Split_apply]])) - SUM($O196:O196)</f>
        <v>0</v>
      </c>
      <c r="Q196" s="52">
        <f ca="1">Log_2018[[#This Row],[Amount]]/Log_2018[[#This Row],[Split_raw]]*MAX(0,MIN(_xlfn.DAYS(EDATE(Q$1,1),Log_2018[[#This Row],[Date]]),Log_2018[[#This Row],[Split_apply]])) - SUM($O196:P196)</f>
        <v>0</v>
      </c>
      <c r="R196" s="52">
        <f ca="1">Log_2018[[#This Row],[Amount]]/Log_2018[[#This Row],[Split_raw]]*MAX(0,MIN(_xlfn.DAYS(EDATE(R$1,1),Log_2018[[#This Row],[Date]]),Log_2018[[#This Row],[Split_apply]])) - SUM($O196:Q196)</f>
        <v>0</v>
      </c>
      <c r="S196" s="52">
        <f ca="1">Log_2018[[#This Row],[Amount]]/Log_2018[[#This Row],[Split_raw]]*MAX(0,MIN(_xlfn.DAYS(EDATE(S$1,1),Log_2018[[#This Row],[Date]]),Log_2018[[#This Row],[Split_apply]])) - SUM($O196:R196)</f>
        <v>0</v>
      </c>
      <c r="T196" s="52">
        <f ca="1">Log_2018[[#This Row],[Amount]]/Log_2018[[#This Row],[Split_raw]]*MAX(0,MIN(_xlfn.DAYS(EDATE(T$1,1),Log_2018[[#This Row],[Date]]),Log_2018[[#This Row],[Split_apply]])) - SUM($O196:S196)</f>
        <v>0</v>
      </c>
      <c r="U196" s="52">
        <f ca="1">Log_2018[[#This Row],[Amount]]/Log_2018[[#This Row],[Split_raw]]*MAX(0,MIN(_xlfn.DAYS(EDATE(U$1,1),Log_2018[[#This Row],[Date]]),Log_2018[[#This Row],[Split_apply]])) - SUM($O196:T196)</f>
        <v>0</v>
      </c>
      <c r="V196" s="52">
        <f ca="1">Log_2018[[#This Row],[Amount]]/Log_2018[[#This Row],[Split_raw]]*MAX(0,MIN(_xlfn.DAYS(EDATE(V$1,1),Log_2018[[#This Row],[Date]]),Log_2018[[#This Row],[Split_apply]])) - SUM($O196:U196)</f>
        <v>0</v>
      </c>
      <c r="W196" s="52">
        <f ca="1">Log_2018[[#This Row],[Amount]]/Log_2018[[#This Row],[Split_raw]]*MAX(0,MIN(_xlfn.DAYS(EDATE(W$1,1),Log_2018[[#This Row],[Date]]),Log_2018[[#This Row],[Split_apply]])) - SUM($O196:V196)</f>
        <v>0</v>
      </c>
      <c r="X196" s="52">
        <f ca="1">Log_2018[[#This Row],[Amount]]/Log_2018[[#This Row],[Split_raw]]*MAX(0,MIN(_xlfn.DAYS(EDATE(X$1,1),Log_2018[[#This Row],[Date]]),Log_2018[[#This Row],[Split_apply]])) - SUM($O196:W196)</f>
        <v>0</v>
      </c>
      <c r="Y196" s="52">
        <f ca="1">Log_2018[[#This Row],[Amount]]/Log_2018[[#This Row],[Split_raw]]*MAX(0,MIN(_xlfn.DAYS(EDATE(Y$1,1),Log_2018[[#This Row],[Date]]),Log_2018[[#This Row],[Split_apply]])) - SUM($O196:X196)</f>
        <v>-7.9273333333333333</v>
      </c>
      <c r="Z196" s="52">
        <f ca="1">Log_2018[[#This Row],[Amount]]/Log_2018[[#This Row],[Split_raw]]*MAX(0,MIN(_xlfn.DAYS(EDATE(Z$1,1),Log_2018[[#This Row],[Date]]),Log_2018[[#This Row],[Split_apply]])) - SUM($O196:Y196)</f>
        <v>-2.8826666666666672</v>
      </c>
      <c r="AA196" s="52">
        <f ca="1">Log_2018[[#This Row],[Amount]]/Log_2018[[#This Row],[Split_raw]]*MAX(0,MIN(_xlfn.DAYS(EDATE(AA$1,1),Log_2018[[#This Row],[Date]]),Log_2018[[#This Row],[Split_apply]])) - SUM($O196:Z196)</f>
        <v>0</v>
      </c>
      <c r="AB196" s="54">
        <f ca="1">Log_2018[[#This Row],[Amount]]-SUM(O196:AA196)</f>
        <v>0</v>
      </c>
      <c r="AC196" s="7">
        <f ca="1">MAX(0,Log_2018[[#This Row],[Split_apply]] - (EDATE(AA$1,1)-Log_2018[[#This Row],[Date]]))</f>
        <v>0</v>
      </c>
    </row>
    <row r="197" spans="1:29" hidden="1" x14ac:dyDescent="0.25">
      <c r="A197" s="115"/>
      <c r="B197" t="s">
        <v>6</v>
      </c>
      <c r="D197" s="39">
        <v>43383</v>
      </c>
      <c r="F197" t="s">
        <v>315</v>
      </c>
      <c r="G197" t="s">
        <v>25</v>
      </c>
      <c r="H197" s="3">
        <v>-20.68</v>
      </c>
      <c r="I197" s="36">
        <f>IF(Log_2018[[#This Row],[My Category]]="NONTRACKED",0,Log_2018[[#This Row],[Raw Amount]])</f>
        <v>-20.68</v>
      </c>
      <c r="J197" s="17">
        <f>ABS(Log_2018[[#This Row],[Amount]])</f>
        <v>20.68</v>
      </c>
      <c r="K197" s="66">
        <v>1</v>
      </c>
      <c r="L197" s="66">
        <f ca="1">IF(Log_2018[[#This Row],[Date]]&lt;=TODAY(), MIN(Log_2018[[#This Row],[Split_raw]], TODAY()-Log_2018[[#This Row],[Date]]+1), 0)</f>
        <v>1</v>
      </c>
      <c r="M197" t="s">
        <v>35</v>
      </c>
      <c r="N197" t="s">
        <v>158</v>
      </c>
      <c r="O197" s="50">
        <v>0</v>
      </c>
      <c r="P197" s="52">
        <f ca="1">Log_2018[[#This Row],[Amount]]/Log_2018[[#This Row],[Split_raw]]*MAX(0,MIN(_xlfn.DAYS(EDATE(P$1,1),Log_2018[[#This Row],[Date]]),Log_2018[[#This Row],[Split_apply]])) - SUM($O197:O197)</f>
        <v>0</v>
      </c>
      <c r="Q197" s="52">
        <f ca="1">Log_2018[[#This Row],[Amount]]/Log_2018[[#This Row],[Split_raw]]*MAX(0,MIN(_xlfn.DAYS(EDATE(Q$1,1),Log_2018[[#This Row],[Date]]),Log_2018[[#This Row],[Split_apply]])) - SUM($O197:P197)</f>
        <v>0</v>
      </c>
      <c r="R197" s="52">
        <f ca="1">Log_2018[[#This Row],[Amount]]/Log_2018[[#This Row],[Split_raw]]*MAX(0,MIN(_xlfn.DAYS(EDATE(R$1,1),Log_2018[[#This Row],[Date]]),Log_2018[[#This Row],[Split_apply]])) - SUM($O197:Q197)</f>
        <v>0</v>
      </c>
      <c r="S197" s="52">
        <f ca="1">Log_2018[[#This Row],[Amount]]/Log_2018[[#This Row],[Split_raw]]*MAX(0,MIN(_xlfn.DAYS(EDATE(S$1,1),Log_2018[[#This Row],[Date]]),Log_2018[[#This Row],[Split_apply]])) - SUM($O197:R197)</f>
        <v>0</v>
      </c>
      <c r="T197" s="52">
        <f ca="1">Log_2018[[#This Row],[Amount]]/Log_2018[[#This Row],[Split_raw]]*MAX(0,MIN(_xlfn.DAYS(EDATE(T$1,1),Log_2018[[#This Row],[Date]]),Log_2018[[#This Row],[Split_apply]])) - SUM($O197:S197)</f>
        <v>0</v>
      </c>
      <c r="U197" s="52">
        <f ca="1">Log_2018[[#This Row],[Amount]]/Log_2018[[#This Row],[Split_raw]]*MAX(0,MIN(_xlfn.DAYS(EDATE(U$1,1),Log_2018[[#This Row],[Date]]),Log_2018[[#This Row],[Split_apply]])) - SUM($O197:T197)</f>
        <v>0</v>
      </c>
      <c r="V197" s="52">
        <f ca="1">Log_2018[[#This Row],[Amount]]/Log_2018[[#This Row],[Split_raw]]*MAX(0,MIN(_xlfn.DAYS(EDATE(V$1,1),Log_2018[[#This Row],[Date]]),Log_2018[[#This Row],[Split_apply]])) - SUM($O197:U197)</f>
        <v>0</v>
      </c>
      <c r="W197" s="52">
        <f ca="1">Log_2018[[#This Row],[Amount]]/Log_2018[[#This Row],[Split_raw]]*MAX(0,MIN(_xlfn.DAYS(EDATE(W$1,1),Log_2018[[#This Row],[Date]]),Log_2018[[#This Row],[Split_apply]])) - SUM($O197:V197)</f>
        <v>0</v>
      </c>
      <c r="X197" s="52">
        <f ca="1">Log_2018[[#This Row],[Amount]]/Log_2018[[#This Row],[Split_raw]]*MAX(0,MIN(_xlfn.DAYS(EDATE(X$1,1),Log_2018[[#This Row],[Date]]),Log_2018[[#This Row],[Split_apply]])) - SUM($O197:W197)</f>
        <v>0</v>
      </c>
      <c r="Y197" s="52">
        <f ca="1">Log_2018[[#This Row],[Amount]]/Log_2018[[#This Row],[Split_raw]]*MAX(0,MIN(_xlfn.DAYS(EDATE(Y$1,1),Log_2018[[#This Row],[Date]]),Log_2018[[#This Row],[Split_apply]])) - SUM($O197:X197)</f>
        <v>-20.68</v>
      </c>
      <c r="Z197" s="52">
        <f ca="1">Log_2018[[#This Row],[Amount]]/Log_2018[[#This Row],[Split_raw]]*MAX(0,MIN(_xlfn.DAYS(EDATE(Z$1,1),Log_2018[[#This Row],[Date]]),Log_2018[[#This Row],[Split_apply]])) - SUM($O197:Y197)</f>
        <v>0</v>
      </c>
      <c r="AA197" s="52">
        <f ca="1">Log_2018[[#This Row],[Amount]]/Log_2018[[#This Row],[Split_raw]]*MAX(0,MIN(_xlfn.DAYS(EDATE(AA$1,1),Log_2018[[#This Row],[Date]]),Log_2018[[#This Row],[Split_apply]])) - SUM($O197:Z197)</f>
        <v>0</v>
      </c>
      <c r="AB197" s="54">
        <f ca="1">Log_2018[[#This Row],[Amount]]-SUM(O197:AA197)</f>
        <v>0</v>
      </c>
      <c r="AC197" s="7">
        <f ca="1">MAX(0,Log_2018[[#This Row],[Split_apply]] - (EDATE(AA$1,1)-Log_2018[[#This Row],[Date]]))</f>
        <v>0</v>
      </c>
    </row>
    <row r="198" spans="1:29" hidden="1" x14ac:dyDescent="0.25">
      <c r="A198" s="115"/>
      <c r="B198" t="s">
        <v>6</v>
      </c>
      <c r="D198" s="39">
        <v>43383</v>
      </c>
      <c r="F198" t="s">
        <v>376</v>
      </c>
      <c r="G198" t="s">
        <v>143</v>
      </c>
      <c r="H198" s="3">
        <f>--220</f>
        <v>220</v>
      </c>
      <c r="I198" s="36">
        <f>IF(Log_2018[[#This Row],[My Category]]="NONTRACKED",0,Log_2018[[#This Row],[Raw Amount]])</f>
        <v>220</v>
      </c>
      <c r="J198" s="17">
        <f>ABS(Log_2018[[#This Row],[Amount]])</f>
        <v>220</v>
      </c>
      <c r="K198" s="66">
        <v>1</v>
      </c>
      <c r="L198" s="66">
        <f ca="1">IF(Log_2018[[#This Row],[Date]]&lt;=TODAY(), MIN(Log_2018[[#This Row],[Split_raw]], TODAY()-Log_2018[[#This Row],[Date]]+1), 0)</f>
        <v>1</v>
      </c>
      <c r="M198" t="s">
        <v>42</v>
      </c>
      <c r="N198" t="s">
        <v>160</v>
      </c>
      <c r="O198" s="50">
        <v>0</v>
      </c>
      <c r="P198" s="52">
        <f ca="1">Log_2018[[#This Row],[Amount]]/Log_2018[[#This Row],[Split_raw]]*MAX(0,MIN(_xlfn.DAYS(EDATE(P$1,1),Log_2018[[#This Row],[Date]]),Log_2018[[#This Row],[Split_apply]])) - SUM($O198:O198)</f>
        <v>0</v>
      </c>
      <c r="Q198" s="52">
        <f ca="1">Log_2018[[#This Row],[Amount]]/Log_2018[[#This Row],[Split_raw]]*MAX(0,MIN(_xlfn.DAYS(EDATE(Q$1,1),Log_2018[[#This Row],[Date]]),Log_2018[[#This Row],[Split_apply]])) - SUM($O198:P198)</f>
        <v>0</v>
      </c>
      <c r="R198" s="52">
        <f ca="1">Log_2018[[#This Row],[Amount]]/Log_2018[[#This Row],[Split_raw]]*MAX(0,MIN(_xlfn.DAYS(EDATE(R$1,1),Log_2018[[#This Row],[Date]]),Log_2018[[#This Row],[Split_apply]])) - SUM($O198:Q198)</f>
        <v>0</v>
      </c>
      <c r="S198" s="52">
        <f ca="1">Log_2018[[#This Row],[Amount]]/Log_2018[[#This Row],[Split_raw]]*MAX(0,MIN(_xlfn.DAYS(EDATE(S$1,1),Log_2018[[#This Row],[Date]]),Log_2018[[#This Row],[Split_apply]])) - SUM($O198:R198)</f>
        <v>0</v>
      </c>
      <c r="T198" s="52">
        <f ca="1">Log_2018[[#This Row],[Amount]]/Log_2018[[#This Row],[Split_raw]]*MAX(0,MIN(_xlfn.DAYS(EDATE(T$1,1),Log_2018[[#This Row],[Date]]),Log_2018[[#This Row],[Split_apply]])) - SUM($O198:S198)</f>
        <v>0</v>
      </c>
      <c r="U198" s="52">
        <f ca="1">Log_2018[[#This Row],[Amount]]/Log_2018[[#This Row],[Split_raw]]*MAX(0,MIN(_xlfn.DAYS(EDATE(U$1,1),Log_2018[[#This Row],[Date]]),Log_2018[[#This Row],[Split_apply]])) - SUM($O198:T198)</f>
        <v>0</v>
      </c>
      <c r="V198" s="52">
        <f ca="1">Log_2018[[#This Row],[Amount]]/Log_2018[[#This Row],[Split_raw]]*MAX(0,MIN(_xlfn.DAYS(EDATE(V$1,1),Log_2018[[#This Row],[Date]]),Log_2018[[#This Row],[Split_apply]])) - SUM($O198:U198)</f>
        <v>0</v>
      </c>
      <c r="W198" s="52">
        <f ca="1">Log_2018[[#This Row],[Amount]]/Log_2018[[#This Row],[Split_raw]]*MAX(0,MIN(_xlfn.DAYS(EDATE(W$1,1),Log_2018[[#This Row],[Date]]),Log_2018[[#This Row],[Split_apply]])) - SUM($O198:V198)</f>
        <v>0</v>
      </c>
      <c r="X198" s="52">
        <f ca="1">Log_2018[[#This Row],[Amount]]/Log_2018[[#This Row],[Split_raw]]*MAX(0,MIN(_xlfn.DAYS(EDATE(X$1,1),Log_2018[[#This Row],[Date]]),Log_2018[[#This Row],[Split_apply]])) - SUM($O198:W198)</f>
        <v>0</v>
      </c>
      <c r="Y198" s="52">
        <f ca="1">Log_2018[[#This Row],[Amount]]/Log_2018[[#This Row],[Split_raw]]*MAX(0,MIN(_xlfn.DAYS(EDATE(Y$1,1),Log_2018[[#This Row],[Date]]),Log_2018[[#This Row],[Split_apply]])) - SUM($O198:X198)</f>
        <v>220</v>
      </c>
      <c r="Z198" s="52">
        <f ca="1">Log_2018[[#This Row],[Amount]]/Log_2018[[#This Row],[Split_raw]]*MAX(0,MIN(_xlfn.DAYS(EDATE(Z$1,1),Log_2018[[#This Row],[Date]]),Log_2018[[#This Row],[Split_apply]])) - SUM($O198:Y198)</f>
        <v>0</v>
      </c>
      <c r="AA198" s="52">
        <f ca="1">Log_2018[[#This Row],[Amount]]/Log_2018[[#This Row],[Split_raw]]*MAX(0,MIN(_xlfn.DAYS(EDATE(AA$1,1),Log_2018[[#This Row],[Date]]),Log_2018[[#This Row],[Split_apply]])) - SUM($O198:Z198)</f>
        <v>0</v>
      </c>
      <c r="AB198" s="54">
        <f ca="1">Log_2018[[#This Row],[Amount]]-SUM(O198:AA198)</f>
        <v>0</v>
      </c>
      <c r="AC198" s="7">
        <f ca="1">MAX(0,Log_2018[[#This Row],[Split_apply]] - (EDATE(AA$1,1)-Log_2018[[#This Row],[Date]]))</f>
        <v>0</v>
      </c>
    </row>
    <row r="199" spans="1:29" hidden="1" x14ac:dyDescent="0.25">
      <c r="A199" s="115"/>
      <c r="B199" t="s">
        <v>6</v>
      </c>
      <c r="D199" s="39">
        <v>43382</v>
      </c>
      <c r="F199" t="s">
        <v>138</v>
      </c>
      <c r="G199" t="s">
        <v>104</v>
      </c>
      <c r="H199" s="3">
        <v>-966.42</v>
      </c>
      <c r="I199" s="36">
        <f>IF(Log_2018[[#This Row],[My Category]]="NONTRACKED",0,Log_2018[[#This Row],[Raw Amount]])</f>
        <v>-966.42</v>
      </c>
      <c r="J199" s="17">
        <f>ABS(Log_2018[[#This Row],[Amount]])</f>
        <v>966.42</v>
      </c>
      <c r="K199" s="66">
        <v>1</v>
      </c>
      <c r="L199" s="66">
        <f ca="1">IF(Log_2018[[#This Row],[Date]]&lt;=TODAY(), MIN(Log_2018[[#This Row],[Split_raw]], TODAY()-Log_2018[[#This Row],[Date]]+1), 0)</f>
        <v>1</v>
      </c>
      <c r="M199" t="s">
        <v>159</v>
      </c>
      <c r="N199" t="s">
        <v>160</v>
      </c>
      <c r="O199" s="50">
        <v>0</v>
      </c>
      <c r="P199" s="52">
        <f ca="1">Log_2018[[#This Row],[Amount]]/Log_2018[[#This Row],[Split_raw]]*MAX(0,MIN(_xlfn.DAYS(EDATE(P$1,1),Log_2018[[#This Row],[Date]]),Log_2018[[#This Row],[Split_apply]])) - SUM($O199:O199)</f>
        <v>0</v>
      </c>
      <c r="Q199" s="52">
        <f ca="1">Log_2018[[#This Row],[Amount]]/Log_2018[[#This Row],[Split_raw]]*MAX(0,MIN(_xlfn.DAYS(EDATE(Q$1,1),Log_2018[[#This Row],[Date]]),Log_2018[[#This Row],[Split_apply]])) - SUM($O199:P199)</f>
        <v>0</v>
      </c>
      <c r="R199" s="52">
        <f ca="1">Log_2018[[#This Row],[Amount]]/Log_2018[[#This Row],[Split_raw]]*MAX(0,MIN(_xlfn.DAYS(EDATE(R$1,1),Log_2018[[#This Row],[Date]]),Log_2018[[#This Row],[Split_apply]])) - SUM($O199:Q199)</f>
        <v>0</v>
      </c>
      <c r="S199" s="52">
        <f ca="1">Log_2018[[#This Row],[Amount]]/Log_2018[[#This Row],[Split_raw]]*MAX(0,MIN(_xlfn.DAYS(EDATE(S$1,1),Log_2018[[#This Row],[Date]]),Log_2018[[#This Row],[Split_apply]])) - SUM($O199:R199)</f>
        <v>0</v>
      </c>
      <c r="T199" s="52">
        <f ca="1">Log_2018[[#This Row],[Amount]]/Log_2018[[#This Row],[Split_raw]]*MAX(0,MIN(_xlfn.DAYS(EDATE(T$1,1),Log_2018[[#This Row],[Date]]),Log_2018[[#This Row],[Split_apply]])) - SUM($O199:S199)</f>
        <v>0</v>
      </c>
      <c r="U199" s="52">
        <f ca="1">Log_2018[[#This Row],[Amount]]/Log_2018[[#This Row],[Split_raw]]*MAX(0,MIN(_xlfn.DAYS(EDATE(U$1,1),Log_2018[[#This Row],[Date]]),Log_2018[[#This Row],[Split_apply]])) - SUM($O199:T199)</f>
        <v>0</v>
      </c>
      <c r="V199" s="52">
        <f ca="1">Log_2018[[#This Row],[Amount]]/Log_2018[[#This Row],[Split_raw]]*MAX(0,MIN(_xlfn.DAYS(EDATE(V$1,1),Log_2018[[#This Row],[Date]]),Log_2018[[#This Row],[Split_apply]])) - SUM($O199:U199)</f>
        <v>0</v>
      </c>
      <c r="W199" s="52">
        <f ca="1">Log_2018[[#This Row],[Amount]]/Log_2018[[#This Row],[Split_raw]]*MAX(0,MIN(_xlfn.DAYS(EDATE(W$1,1),Log_2018[[#This Row],[Date]]),Log_2018[[#This Row],[Split_apply]])) - SUM($O199:V199)</f>
        <v>0</v>
      </c>
      <c r="X199" s="52">
        <f ca="1">Log_2018[[#This Row],[Amount]]/Log_2018[[#This Row],[Split_raw]]*MAX(0,MIN(_xlfn.DAYS(EDATE(X$1,1),Log_2018[[#This Row],[Date]]),Log_2018[[#This Row],[Split_apply]])) - SUM($O199:W199)</f>
        <v>0</v>
      </c>
      <c r="Y199" s="52">
        <f ca="1">Log_2018[[#This Row],[Amount]]/Log_2018[[#This Row],[Split_raw]]*MAX(0,MIN(_xlfn.DAYS(EDATE(Y$1,1),Log_2018[[#This Row],[Date]]),Log_2018[[#This Row],[Split_apply]])) - SUM($O199:X199)</f>
        <v>-966.42</v>
      </c>
      <c r="Z199" s="52">
        <f ca="1">Log_2018[[#This Row],[Amount]]/Log_2018[[#This Row],[Split_raw]]*MAX(0,MIN(_xlfn.DAYS(EDATE(Z$1,1),Log_2018[[#This Row],[Date]]),Log_2018[[#This Row],[Split_apply]])) - SUM($O199:Y199)</f>
        <v>0</v>
      </c>
      <c r="AA199" s="52">
        <f ca="1">Log_2018[[#This Row],[Amount]]/Log_2018[[#This Row],[Split_raw]]*MAX(0,MIN(_xlfn.DAYS(EDATE(AA$1,1),Log_2018[[#This Row],[Date]]),Log_2018[[#This Row],[Split_apply]])) - SUM($O199:Z199)</f>
        <v>0</v>
      </c>
      <c r="AB199" s="54">
        <f ca="1">Log_2018[[#This Row],[Amount]]-SUM(O199:AA199)</f>
        <v>0</v>
      </c>
      <c r="AC199" s="7">
        <f ca="1">MAX(0,Log_2018[[#This Row],[Split_apply]] - (EDATE(AA$1,1)-Log_2018[[#This Row],[Date]]))</f>
        <v>0</v>
      </c>
    </row>
    <row r="200" spans="1:29" hidden="1" x14ac:dyDescent="0.25">
      <c r="A200" s="115"/>
      <c r="B200" t="s">
        <v>6</v>
      </c>
      <c r="D200" s="39">
        <v>43382</v>
      </c>
      <c r="E200" t="s">
        <v>391</v>
      </c>
      <c r="F200" t="s">
        <v>387</v>
      </c>
      <c r="G200" t="s">
        <v>11</v>
      </c>
      <c r="H200" s="3">
        <v>-10.56</v>
      </c>
      <c r="I200" s="36">
        <f>IF(Log_2018[[#This Row],[My Category]]="NONTRACKED",0,Log_2018[[#This Row],[Raw Amount]])</f>
        <v>-10.56</v>
      </c>
      <c r="J200" s="17">
        <f>ABS(Log_2018[[#This Row],[Amount]])</f>
        <v>10.56</v>
      </c>
      <c r="K200" s="66">
        <v>1</v>
      </c>
      <c r="L200" s="66">
        <f ca="1">IF(Log_2018[[#This Row],[Date]]&lt;=TODAY(), MIN(Log_2018[[#This Row],[Split_raw]], TODAY()-Log_2018[[#This Row],[Date]]+1), 0)</f>
        <v>1</v>
      </c>
      <c r="M200" t="s">
        <v>147</v>
      </c>
      <c r="N200" t="s">
        <v>158</v>
      </c>
      <c r="O200" s="50">
        <v>0</v>
      </c>
      <c r="P200" s="52">
        <f ca="1">Log_2018[[#This Row],[Amount]]/Log_2018[[#This Row],[Split_raw]]*MAX(0,MIN(_xlfn.DAYS(EDATE(P$1,1),Log_2018[[#This Row],[Date]]),Log_2018[[#This Row],[Split_apply]])) - SUM($O200:O200)</f>
        <v>0</v>
      </c>
      <c r="Q200" s="52">
        <f ca="1">Log_2018[[#This Row],[Amount]]/Log_2018[[#This Row],[Split_raw]]*MAX(0,MIN(_xlfn.DAYS(EDATE(Q$1,1),Log_2018[[#This Row],[Date]]),Log_2018[[#This Row],[Split_apply]])) - SUM($O200:P200)</f>
        <v>0</v>
      </c>
      <c r="R200" s="52">
        <f ca="1">Log_2018[[#This Row],[Amount]]/Log_2018[[#This Row],[Split_raw]]*MAX(0,MIN(_xlfn.DAYS(EDATE(R$1,1),Log_2018[[#This Row],[Date]]),Log_2018[[#This Row],[Split_apply]])) - SUM($O200:Q200)</f>
        <v>0</v>
      </c>
      <c r="S200" s="52">
        <f ca="1">Log_2018[[#This Row],[Amount]]/Log_2018[[#This Row],[Split_raw]]*MAX(0,MIN(_xlfn.DAYS(EDATE(S$1,1),Log_2018[[#This Row],[Date]]),Log_2018[[#This Row],[Split_apply]])) - SUM($O200:R200)</f>
        <v>0</v>
      </c>
      <c r="T200" s="52">
        <f ca="1">Log_2018[[#This Row],[Amount]]/Log_2018[[#This Row],[Split_raw]]*MAX(0,MIN(_xlfn.DAYS(EDATE(T$1,1),Log_2018[[#This Row],[Date]]),Log_2018[[#This Row],[Split_apply]])) - SUM($O200:S200)</f>
        <v>0</v>
      </c>
      <c r="U200" s="52">
        <f ca="1">Log_2018[[#This Row],[Amount]]/Log_2018[[#This Row],[Split_raw]]*MAX(0,MIN(_xlfn.DAYS(EDATE(U$1,1),Log_2018[[#This Row],[Date]]),Log_2018[[#This Row],[Split_apply]])) - SUM($O200:T200)</f>
        <v>0</v>
      </c>
      <c r="V200" s="52">
        <f ca="1">Log_2018[[#This Row],[Amount]]/Log_2018[[#This Row],[Split_raw]]*MAX(0,MIN(_xlfn.DAYS(EDATE(V$1,1),Log_2018[[#This Row],[Date]]),Log_2018[[#This Row],[Split_apply]])) - SUM($O200:U200)</f>
        <v>0</v>
      </c>
      <c r="W200" s="52">
        <f ca="1">Log_2018[[#This Row],[Amount]]/Log_2018[[#This Row],[Split_raw]]*MAX(0,MIN(_xlfn.DAYS(EDATE(W$1,1),Log_2018[[#This Row],[Date]]),Log_2018[[#This Row],[Split_apply]])) - SUM($O200:V200)</f>
        <v>0</v>
      </c>
      <c r="X200" s="52">
        <f ca="1">Log_2018[[#This Row],[Amount]]/Log_2018[[#This Row],[Split_raw]]*MAX(0,MIN(_xlfn.DAYS(EDATE(X$1,1),Log_2018[[#This Row],[Date]]),Log_2018[[#This Row],[Split_apply]])) - SUM($O200:W200)</f>
        <v>0</v>
      </c>
      <c r="Y200" s="52">
        <f ca="1">Log_2018[[#This Row],[Amount]]/Log_2018[[#This Row],[Split_raw]]*MAX(0,MIN(_xlfn.DAYS(EDATE(Y$1,1),Log_2018[[#This Row],[Date]]),Log_2018[[#This Row],[Split_apply]])) - SUM($O200:X200)</f>
        <v>-10.56</v>
      </c>
      <c r="Z200" s="52">
        <f ca="1">Log_2018[[#This Row],[Amount]]/Log_2018[[#This Row],[Split_raw]]*MAX(0,MIN(_xlfn.DAYS(EDATE(Z$1,1),Log_2018[[#This Row],[Date]]),Log_2018[[#This Row],[Split_apply]])) - SUM($O200:Y200)</f>
        <v>0</v>
      </c>
      <c r="AA200" s="52">
        <f ca="1">Log_2018[[#This Row],[Amount]]/Log_2018[[#This Row],[Split_raw]]*MAX(0,MIN(_xlfn.DAYS(EDATE(AA$1,1),Log_2018[[#This Row],[Date]]),Log_2018[[#This Row],[Split_apply]])) - SUM($O200:Z200)</f>
        <v>0</v>
      </c>
      <c r="AB200" s="54">
        <f ca="1">Log_2018[[#This Row],[Amount]]-SUM(O200:AA200)</f>
        <v>0</v>
      </c>
      <c r="AC200" s="7">
        <f ca="1">MAX(0,Log_2018[[#This Row],[Split_apply]] - (EDATE(AA$1,1)-Log_2018[[#This Row],[Date]]))</f>
        <v>0</v>
      </c>
    </row>
    <row r="201" spans="1:29" hidden="1" x14ac:dyDescent="0.25">
      <c r="A201" s="115"/>
      <c r="B201" t="s">
        <v>6</v>
      </c>
      <c r="D201" s="39">
        <v>43382</v>
      </c>
      <c r="F201" t="s">
        <v>255</v>
      </c>
      <c r="G201" t="s">
        <v>25</v>
      </c>
      <c r="H201" s="3">
        <v>-21.26</v>
      </c>
      <c r="I201" s="36">
        <f>IF(Log_2018[[#This Row],[My Category]]="NONTRACKED",0,Log_2018[[#This Row],[Raw Amount]])</f>
        <v>-21.26</v>
      </c>
      <c r="J201" s="17">
        <f>ABS(Log_2018[[#This Row],[Amount]])</f>
        <v>21.26</v>
      </c>
      <c r="K201" s="66">
        <v>1</v>
      </c>
      <c r="L201" s="66">
        <f ca="1">IF(Log_2018[[#This Row],[Date]]&lt;=TODAY(), MIN(Log_2018[[#This Row],[Split_raw]], TODAY()-Log_2018[[#This Row],[Date]]+1), 0)</f>
        <v>1</v>
      </c>
      <c r="M201" t="s">
        <v>35</v>
      </c>
      <c r="N201" t="s">
        <v>158</v>
      </c>
      <c r="O201" s="50">
        <v>0</v>
      </c>
      <c r="P201" s="52">
        <f ca="1">Log_2018[[#This Row],[Amount]]/Log_2018[[#This Row],[Split_raw]]*MAX(0,MIN(_xlfn.DAYS(EDATE(P$1,1),Log_2018[[#This Row],[Date]]),Log_2018[[#This Row],[Split_apply]])) - SUM($O201:O201)</f>
        <v>0</v>
      </c>
      <c r="Q201" s="52">
        <f ca="1">Log_2018[[#This Row],[Amount]]/Log_2018[[#This Row],[Split_raw]]*MAX(0,MIN(_xlfn.DAYS(EDATE(Q$1,1),Log_2018[[#This Row],[Date]]),Log_2018[[#This Row],[Split_apply]])) - SUM($O201:P201)</f>
        <v>0</v>
      </c>
      <c r="R201" s="52">
        <f ca="1">Log_2018[[#This Row],[Amount]]/Log_2018[[#This Row],[Split_raw]]*MAX(0,MIN(_xlfn.DAYS(EDATE(R$1,1),Log_2018[[#This Row],[Date]]),Log_2018[[#This Row],[Split_apply]])) - SUM($O201:Q201)</f>
        <v>0</v>
      </c>
      <c r="S201" s="52">
        <f ca="1">Log_2018[[#This Row],[Amount]]/Log_2018[[#This Row],[Split_raw]]*MAX(0,MIN(_xlfn.DAYS(EDATE(S$1,1),Log_2018[[#This Row],[Date]]),Log_2018[[#This Row],[Split_apply]])) - SUM($O201:R201)</f>
        <v>0</v>
      </c>
      <c r="T201" s="52">
        <f ca="1">Log_2018[[#This Row],[Amount]]/Log_2018[[#This Row],[Split_raw]]*MAX(0,MIN(_xlfn.DAYS(EDATE(T$1,1),Log_2018[[#This Row],[Date]]),Log_2018[[#This Row],[Split_apply]])) - SUM($O201:S201)</f>
        <v>0</v>
      </c>
      <c r="U201" s="52">
        <f ca="1">Log_2018[[#This Row],[Amount]]/Log_2018[[#This Row],[Split_raw]]*MAX(0,MIN(_xlfn.DAYS(EDATE(U$1,1),Log_2018[[#This Row],[Date]]),Log_2018[[#This Row],[Split_apply]])) - SUM($O201:T201)</f>
        <v>0</v>
      </c>
      <c r="V201" s="52">
        <f ca="1">Log_2018[[#This Row],[Amount]]/Log_2018[[#This Row],[Split_raw]]*MAX(0,MIN(_xlfn.DAYS(EDATE(V$1,1),Log_2018[[#This Row],[Date]]),Log_2018[[#This Row],[Split_apply]])) - SUM($O201:U201)</f>
        <v>0</v>
      </c>
      <c r="W201" s="52">
        <f ca="1">Log_2018[[#This Row],[Amount]]/Log_2018[[#This Row],[Split_raw]]*MAX(0,MIN(_xlfn.DAYS(EDATE(W$1,1),Log_2018[[#This Row],[Date]]),Log_2018[[#This Row],[Split_apply]])) - SUM($O201:V201)</f>
        <v>0</v>
      </c>
      <c r="X201" s="52">
        <f ca="1">Log_2018[[#This Row],[Amount]]/Log_2018[[#This Row],[Split_raw]]*MAX(0,MIN(_xlfn.DAYS(EDATE(X$1,1),Log_2018[[#This Row],[Date]]),Log_2018[[#This Row],[Split_apply]])) - SUM($O201:W201)</f>
        <v>0</v>
      </c>
      <c r="Y201" s="52">
        <f ca="1">Log_2018[[#This Row],[Amount]]/Log_2018[[#This Row],[Split_raw]]*MAX(0,MIN(_xlfn.DAYS(EDATE(Y$1,1),Log_2018[[#This Row],[Date]]),Log_2018[[#This Row],[Split_apply]])) - SUM($O201:X201)</f>
        <v>-21.26</v>
      </c>
      <c r="Z201" s="52">
        <f ca="1">Log_2018[[#This Row],[Amount]]/Log_2018[[#This Row],[Split_raw]]*MAX(0,MIN(_xlfn.DAYS(EDATE(Z$1,1),Log_2018[[#This Row],[Date]]),Log_2018[[#This Row],[Split_apply]])) - SUM($O201:Y201)</f>
        <v>0</v>
      </c>
      <c r="AA201" s="52">
        <f ca="1">Log_2018[[#This Row],[Amount]]/Log_2018[[#This Row],[Split_raw]]*MAX(0,MIN(_xlfn.DAYS(EDATE(AA$1,1),Log_2018[[#This Row],[Date]]),Log_2018[[#This Row],[Split_apply]])) - SUM($O201:Z201)</f>
        <v>0</v>
      </c>
      <c r="AB201" s="54">
        <f ca="1">Log_2018[[#This Row],[Amount]]-SUM(O201:AA201)</f>
        <v>0</v>
      </c>
      <c r="AC201" s="7">
        <f ca="1">MAX(0,Log_2018[[#This Row],[Split_apply]] - (EDATE(AA$1,1)-Log_2018[[#This Row],[Date]]))</f>
        <v>0</v>
      </c>
    </row>
    <row r="202" spans="1:29" hidden="1" x14ac:dyDescent="0.25">
      <c r="A202" s="115"/>
      <c r="B202" t="s">
        <v>6</v>
      </c>
      <c r="D202" s="39">
        <v>43382</v>
      </c>
      <c r="F202" t="s">
        <v>377</v>
      </c>
      <c r="G202" t="s">
        <v>27</v>
      </c>
      <c r="H202" s="3">
        <v>-10.1</v>
      </c>
      <c r="I202" s="36">
        <f>IF(Log_2018[[#This Row],[My Category]]="NONTRACKED",0,Log_2018[[#This Row],[Raw Amount]])</f>
        <v>-10.1</v>
      </c>
      <c r="J202" s="17">
        <f>ABS(Log_2018[[#This Row],[Amount]])</f>
        <v>10.1</v>
      </c>
      <c r="K202" s="66">
        <v>1</v>
      </c>
      <c r="L202" s="66">
        <f ca="1">IF(Log_2018[[#This Row],[Date]]&lt;=TODAY(), MIN(Log_2018[[#This Row],[Split_raw]], TODAY()-Log_2018[[#This Row],[Date]]+1), 0)</f>
        <v>1</v>
      </c>
      <c r="M202" t="s">
        <v>37</v>
      </c>
      <c r="N202" t="s">
        <v>160</v>
      </c>
      <c r="O202" s="50">
        <v>0</v>
      </c>
      <c r="P202" s="52">
        <f ca="1">Log_2018[[#This Row],[Amount]]/Log_2018[[#This Row],[Split_raw]]*MAX(0,MIN(_xlfn.DAYS(EDATE(P$1,1),Log_2018[[#This Row],[Date]]),Log_2018[[#This Row],[Split_apply]])) - SUM($O202:O202)</f>
        <v>0</v>
      </c>
      <c r="Q202" s="52">
        <f ca="1">Log_2018[[#This Row],[Amount]]/Log_2018[[#This Row],[Split_raw]]*MAX(0,MIN(_xlfn.DAYS(EDATE(Q$1,1),Log_2018[[#This Row],[Date]]),Log_2018[[#This Row],[Split_apply]])) - SUM($O202:P202)</f>
        <v>0</v>
      </c>
      <c r="R202" s="52">
        <f ca="1">Log_2018[[#This Row],[Amount]]/Log_2018[[#This Row],[Split_raw]]*MAX(0,MIN(_xlfn.DAYS(EDATE(R$1,1),Log_2018[[#This Row],[Date]]),Log_2018[[#This Row],[Split_apply]])) - SUM($O202:Q202)</f>
        <v>0</v>
      </c>
      <c r="S202" s="52">
        <f ca="1">Log_2018[[#This Row],[Amount]]/Log_2018[[#This Row],[Split_raw]]*MAX(0,MIN(_xlfn.DAYS(EDATE(S$1,1),Log_2018[[#This Row],[Date]]),Log_2018[[#This Row],[Split_apply]])) - SUM($O202:R202)</f>
        <v>0</v>
      </c>
      <c r="T202" s="52">
        <f ca="1">Log_2018[[#This Row],[Amount]]/Log_2018[[#This Row],[Split_raw]]*MAX(0,MIN(_xlfn.DAYS(EDATE(T$1,1),Log_2018[[#This Row],[Date]]),Log_2018[[#This Row],[Split_apply]])) - SUM($O202:S202)</f>
        <v>0</v>
      </c>
      <c r="U202" s="52">
        <f ca="1">Log_2018[[#This Row],[Amount]]/Log_2018[[#This Row],[Split_raw]]*MAX(0,MIN(_xlfn.DAYS(EDATE(U$1,1),Log_2018[[#This Row],[Date]]),Log_2018[[#This Row],[Split_apply]])) - SUM($O202:T202)</f>
        <v>0</v>
      </c>
      <c r="V202" s="52">
        <f ca="1">Log_2018[[#This Row],[Amount]]/Log_2018[[#This Row],[Split_raw]]*MAX(0,MIN(_xlfn.DAYS(EDATE(V$1,1),Log_2018[[#This Row],[Date]]),Log_2018[[#This Row],[Split_apply]])) - SUM($O202:U202)</f>
        <v>0</v>
      </c>
      <c r="W202" s="52">
        <f ca="1">Log_2018[[#This Row],[Amount]]/Log_2018[[#This Row],[Split_raw]]*MAX(0,MIN(_xlfn.DAYS(EDATE(W$1,1),Log_2018[[#This Row],[Date]]),Log_2018[[#This Row],[Split_apply]])) - SUM($O202:V202)</f>
        <v>0</v>
      </c>
      <c r="X202" s="52">
        <f ca="1">Log_2018[[#This Row],[Amount]]/Log_2018[[#This Row],[Split_raw]]*MAX(0,MIN(_xlfn.DAYS(EDATE(X$1,1),Log_2018[[#This Row],[Date]]),Log_2018[[#This Row],[Split_apply]])) - SUM($O202:W202)</f>
        <v>0</v>
      </c>
      <c r="Y202" s="52">
        <f ca="1">Log_2018[[#This Row],[Amount]]/Log_2018[[#This Row],[Split_raw]]*MAX(0,MIN(_xlfn.DAYS(EDATE(Y$1,1),Log_2018[[#This Row],[Date]]),Log_2018[[#This Row],[Split_apply]])) - SUM($O202:X202)</f>
        <v>-10.1</v>
      </c>
      <c r="Z202" s="52">
        <f ca="1">Log_2018[[#This Row],[Amount]]/Log_2018[[#This Row],[Split_raw]]*MAX(0,MIN(_xlfn.DAYS(EDATE(Z$1,1),Log_2018[[#This Row],[Date]]),Log_2018[[#This Row],[Split_apply]])) - SUM($O202:Y202)</f>
        <v>0</v>
      </c>
      <c r="AA202" s="52">
        <f ca="1">Log_2018[[#This Row],[Amount]]/Log_2018[[#This Row],[Split_raw]]*MAX(0,MIN(_xlfn.DAYS(EDATE(AA$1,1),Log_2018[[#This Row],[Date]]),Log_2018[[#This Row],[Split_apply]])) - SUM($O202:Z202)</f>
        <v>0</v>
      </c>
      <c r="AB202" s="54">
        <f ca="1">Log_2018[[#This Row],[Amount]]-SUM(O202:AA202)</f>
        <v>0</v>
      </c>
      <c r="AC202" s="7">
        <f ca="1">MAX(0,Log_2018[[#This Row],[Split_apply]] - (EDATE(AA$1,1)-Log_2018[[#This Row],[Date]]))</f>
        <v>0</v>
      </c>
    </row>
    <row r="203" spans="1:29" hidden="1" x14ac:dyDescent="0.25">
      <c r="A203" s="115"/>
      <c r="B203" t="s">
        <v>6</v>
      </c>
      <c r="D203" s="39">
        <v>43381</v>
      </c>
      <c r="F203" t="s">
        <v>105</v>
      </c>
      <c r="G203" t="s">
        <v>104</v>
      </c>
      <c r="H203" s="3">
        <f>--966.42</f>
        <v>966.42</v>
      </c>
      <c r="I203" s="36">
        <f>IF(Log_2018[[#This Row],[My Category]]="NONTRACKED",0,Log_2018[[#This Row],[Raw Amount]])</f>
        <v>966.42</v>
      </c>
      <c r="J203" s="17">
        <f>ABS(Log_2018[[#This Row],[Amount]])</f>
        <v>966.42</v>
      </c>
      <c r="K203" s="66">
        <v>1</v>
      </c>
      <c r="L203" s="66">
        <f ca="1">IF(Log_2018[[#This Row],[Date]]&lt;=TODAY(), MIN(Log_2018[[#This Row],[Split_raw]], TODAY()-Log_2018[[#This Row],[Date]]+1), 0)</f>
        <v>1</v>
      </c>
      <c r="M203" t="s">
        <v>159</v>
      </c>
      <c r="N203" t="s">
        <v>158</v>
      </c>
      <c r="O203" s="50">
        <v>0</v>
      </c>
      <c r="P203" s="52">
        <f ca="1">Log_2018[[#This Row],[Amount]]/Log_2018[[#This Row],[Split_raw]]*MAX(0,MIN(_xlfn.DAYS(EDATE(P$1,1),Log_2018[[#This Row],[Date]]),Log_2018[[#This Row],[Split_apply]])) - SUM($O203:O203)</f>
        <v>0</v>
      </c>
      <c r="Q203" s="52">
        <f ca="1">Log_2018[[#This Row],[Amount]]/Log_2018[[#This Row],[Split_raw]]*MAX(0,MIN(_xlfn.DAYS(EDATE(Q$1,1),Log_2018[[#This Row],[Date]]),Log_2018[[#This Row],[Split_apply]])) - SUM($O203:P203)</f>
        <v>0</v>
      </c>
      <c r="R203" s="52">
        <f ca="1">Log_2018[[#This Row],[Amount]]/Log_2018[[#This Row],[Split_raw]]*MAX(0,MIN(_xlfn.DAYS(EDATE(R$1,1),Log_2018[[#This Row],[Date]]),Log_2018[[#This Row],[Split_apply]])) - SUM($O203:Q203)</f>
        <v>0</v>
      </c>
      <c r="S203" s="52">
        <f ca="1">Log_2018[[#This Row],[Amount]]/Log_2018[[#This Row],[Split_raw]]*MAX(0,MIN(_xlfn.DAYS(EDATE(S$1,1),Log_2018[[#This Row],[Date]]),Log_2018[[#This Row],[Split_apply]])) - SUM($O203:R203)</f>
        <v>0</v>
      </c>
      <c r="T203" s="52">
        <f ca="1">Log_2018[[#This Row],[Amount]]/Log_2018[[#This Row],[Split_raw]]*MAX(0,MIN(_xlfn.DAYS(EDATE(T$1,1),Log_2018[[#This Row],[Date]]),Log_2018[[#This Row],[Split_apply]])) - SUM($O203:S203)</f>
        <v>0</v>
      </c>
      <c r="U203" s="52">
        <f ca="1">Log_2018[[#This Row],[Amount]]/Log_2018[[#This Row],[Split_raw]]*MAX(0,MIN(_xlfn.DAYS(EDATE(U$1,1),Log_2018[[#This Row],[Date]]),Log_2018[[#This Row],[Split_apply]])) - SUM($O203:T203)</f>
        <v>0</v>
      </c>
      <c r="V203" s="52">
        <f ca="1">Log_2018[[#This Row],[Amount]]/Log_2018[[#This Row],[Split_raw]]*MAX(0,MIN(_xlfn.DAYS(EDATE(V$1,1),Log_2018[[#This Row],[Date]]),Log_2018[[#This Row],[Split_apply]])) - SUM($O203:U203)</f>
        <v>0</v>
      </c>
      <c r="W203" s="52">
        <f ca="1">Log_2018[[#This Row],[Amount]]/Log_2018[[#This Row],[Split_raw]]*MAX(0,MIN(_xlfn.DAYS(EDATE(W$1,1),Log_2018[[#This Row],[Date]]),Log_2018[[#This Row],[Split_apply]])) - SUM($O203:V203)</f>
        <v>0</v>
      </c>
      <c r="X203" s="52">
        <f ca="1">Log_2018[[#This Row],[Amount]]/Log_2018[[#This Row],[Split_raw]]*MAX(0,MIN(_xlfn.DAYS(EDATE(X$1,1),Log_2018[[#This Row],[Date]]),Log_2018[[#This Row],[Split_apply]])) - SUM($O203:W203)</f>
        <v>0</v>
      </c>
      <c r="Y203" s="52">
        <f ca="1">Log_2018[[#This Row],[Amount]]/Log_2018[[#This Row],[Split_raw]]*MAX(0,MIN(_xlfn.DAYS(EDATE(Y$1,1),Log_2018[[#This Row],[Date]]),Log_2018[[#This Row],[Split_apply]])) - SUM($O203:X203)</f>
        <v>966.42</v>
      </c>
      <c r="Z203" s="52">
        <f ca="1">Log_2018[[#This Row],[Amount]]/Log_2018[[#This Row],[Split_raw]]*MAX(0,MIN(_xlfn.DAYS(EDATE(Z$1,1),Log_2018[[#This Row],[Date]]),Log_2018[[#This Row],[Split_apply]])) - SUM($O203:Y203)</f>
        <v>0</v>
      </c>
      <c r="AA203" s="52">
        <f ca="1">Log_2018[[#This Row],[Amount]]/Log_2018[[#This Row],[Split_raw]]*MAX(0,MIN(_xlfn.DAYS(EDATE(AA$1,1),Log_2018[[#This Row],[Date]]),Log_2018[[#This Row],[Split_apply]])) - SUM($O203:Z203)</f>
        <v>0</v>
      </c>
      <c r="AB203" s="54">
        <f ca="1">Log_2018[[#This Row],[Amount]]-SUM(O203:AA203)</f>
        <v>0</v>
      </c>
      <c r="AC203" s="7">
        <f ca="1">MAX(0,Log_2018[[#This Row],[Split_apply]] - (EDATE(AA$1,1)-Log_2018[[#This Row],[Date]]))</f>
        <v>0</v>
      </c>
    </row>
    <row r="204" spans="1:29" hidden="1" x14ac:dyDescent="0.25">
      <c r="A204" s="115"/>
      <c r="B204" t="s">
        <v>6</v>
      </c>
      <c r="D204" s="39">
        <v>43381</v>
      </c>
      <c r="F204" t="s">
        <v>255</v>
      </c>
      <c r="G204" t="s">
        <v>25</v>
      </c>
      <c r="H204" s="3">
        <v>-13.34</v>
      </c>
      <c r="I204" s="36">
        <f>IF(Log_2018[[#This Row],[My Category]]="NONTRACKED",0,Log_2018[[#This Row],[Raw Amount]])</f>
        <v>-13.34</v>
      </c>
      <c r="J204" s="17">
        <f>ABS(Log_2018[[#This Row],[Amount]])</f>
        <v>13.34</v>
      </c>
      <c r="K204" s="66">
        <v>1</v>
      </c>
      <c r="L204" s="66">
        <f ca="1">IF(Log_2018[[#This Row],[Date]]&lt;=TODAY(), MIN(Log_2018[[#This Row],[Split_raw]], TODAY()-Log_2018[[#This Row],[Date]]+1), 0)</f>
        <v>1</v>
      </c>
      <c r="M204" t="s">
        <v>35</v>
      </c>
      <c r="N204" t="s">
        <v>158</v>
      </c>
      <c r="O204" s="50">
        <v>0</v>
      </c>
      <c r="P204" s="52">
        <f ca="1">Log_2018[[#This Row],[Amount]]/Log_2018[[#This Row],[Split_raw]]*MAX(0,MIN(_xlfn.DAYS(EDATE(P$1,1),Log_2018[[#This Row],[Date]]),Log_2018[[#This Row],[Split_apply]])) - SUM($O204:O204)</f>
        <v>0</v>
      </c>
      <c r="Q204" s="52">
        <f ca="1">Log_2018[[#This Row],[Amount]]/Log_2018[[#This Row],[Split_raw]]*MAX(0,MIN(_xlfn.DAYS(EDATE(Q$1,1),Log_2018[[#This Row],[Date]]),Log_2018[[#This Row],[Split_apply]])) - SUM($O204:P204)</f>
        <v>0</v>
      </c>
      <c r="R204" s="52">
        <f ca="1">Log_2018[[#This Row],[Amount]]/Log_2018[[#This Row],[Split_raw]]*MAX(0,MIN(_xlfn.DAYS(EDATE(R$1,1),Log_2018[[#This Row],[Date]]),Log_2018[[#This Row],[Split_apply]])) - SUM($O204:Q204)</f>
        <v>0</v>
      </c>
      <c r="S204" s="52">
        <f ca="1">Log_2018[[#This Row],[Amount]]/Log_2018[[#This Row],[Split_raw]]*MAX(0,MIN(_xlfn.DAYS(EDATE(S$1,1),Log_2018[[#This Row],[Date]]),Log_2018[[#This Row],[Split_apply]])) - SUM($O204:R204)</f>
        <v>0</v>
      </c>
      <c r="T204" s="52">
        <f ca="1">Log_2018[[#This Row],[Amount]]/Log_2018[[#This Row],[Split_raw]]*MAX(0,MIN(_xlfn.DAYS(EDATE(T$1,1),Log_2018[[#This Row],[Date]]),Log_2018[[#This Row],[Split_apply]])) - SUM($O204:S204)</f>
        <v>0</v>
      </c>
      <c r="U204" s="52">
        <f ca="1">Log_2018[[#This Row],[Amount]]/Log_2018[[#This Row],[Split_raw]]*MAX(0,MIN(_xlfn.DAYS(EDATE(U$1,1),Log_2018[[#This Row],[Date]]),Log_2018[[#This Row],[Split_apply]])) - SUM($O204:T204)</f>
        <v>0</v>
      </c>
      <c r="V204" s="52">
        <f ca="1">Log_2018[[#This Row],[Amount]]/Log_2018[[#This Row],[Split_raw]]*MAX(0,MIN(_xlfn.DAYS(EDATE(V$1,1),Log_2018[[#This Row],[Date]]),Log_2018[[#This Row],[Split_apply]])) - SUM($O204:U204)</f>
        <v>0</v>
      </c>
      <c r="W204" s="52">
        <f ca="1">Log_2018[[#This Row],[Amount]]/Log_2018[[#This Row],[Split_raw]]*MAX(0,MIN(_xlfn.DAYS(EDATE(W$1,1),Log_2018[[#This Row],[Date]]),Log_2018[[#This Row],[Split_apply]])) - SUM($O204:V204)</f>
        <v>0</v>
      </c>
      <c r="X204" s="52">
        <f ca="1">Log_2018[[#This Row],[Amount]]/Log_2018[[#This Row],[Split_raw]]*MAX(0,MIN(_xlfn.DAYS(EDATE(X$1,1),Log_2018[[#This Row],[Date]]),Log_2018[[#This Row],[Split_apply]])) - SUM($O204:W204)</f>
        <v>0</v>
      </c>
      <c r="Y204" s="52">
        <f ca="1">Log_2018[[#This Row],[Amount]]/Log_2018[[#This Row],[Split_raw]]*MAX(0,MIN(_xlfn.DAYS(EDATE(Y$1,1),Log_2018[[#This Row],[Date]]),Log_2018[[#This Row],[Split_apply]])) - SUM($O204:X204)</f>
        <v>-13.34</v>
      </c>
      <c r="Z204" s="52">
        <f ca="1">Log_2018[[#This Row],[Amount]]/Log_2018[[#This Row],[Split_raw]]*MAX(0,MIN(_xlfn.DAYS(EDATE(Z$1,1),Log_2018[[#This Row],[Date]]),Log_2018[[#This Row],[Split_apply]])) - SUM($O204:Y204)</f>
        <v>0</v>
      </c>
      <c r="AA204" s="52">
        <f ca="1">Log_2018[[#This Row],[Amount]]/Log_2018[[#This Row],[Split_raw]]*MAX(0,MIN(_xlfn.DAYS(EDATE(AA$1,1),Log_2018[[#This Row],[Date]]),Log_2018[[#This Row],[Split_apply]])) - SUM($O204:Z204)</f>
        <v>0</v>
      </c>
      <c r="AB204" s="54">
        <f ca="1">Log_2018[[#This Row],[Amount]]-SUM(O204:AA204)</f>
        <v>0</v>
      </c>
      <c r="AC204" s="7">
        <f ca="1">MAX(0,Log_2018[[#This Row],[Split_apply]] - (EDATE(AA$1,1)-Log_2018[[#This Row],[Date]]))</f>
        <v>0</v>
      </c>
    </row>
    <row r="205" spans="1:29" hidden="1" x14ac:dyDescent="0.25">
      <c r="A205" s="115"/>
      <c r="B205" t="s">
        <v>6</v>
      </c>
      <c r="D205" s="39">
        <v>43380</v>
      </c>
      <c r="F205" t="s">
        <v>188</v>
      </c>
      <c r="G205" t="s">
        <v>189</v>
      </c>
      <c r="H205" s="3">
        <v>-82.17</v>
      </c>
      <c r="I205" s="36">
        <f>IF(Log_2018[[#This Row],[My Category]]="NONTRACKED",0,Log_2018[[#This Row],[Raw Amount]])</f>
        <v>-82.17</v>
      </c>
      <c r="J205" s="17">
        <f>ABS(Log_2018[[#This Row],[Amount]])</f>
        <v>82.17</v>
      </c>
      <c r="K205" s="66">
        <v>30</v>
      </c>
      <c r="L205" s="66">
        <f ca="1">IF(Log_2018[[#This Row],[Date]]&lt;=TODAY(), MIN(Log_2018[[#This Row],[Split_raw]], TODAY()-Log_2018[[#This Row],[Date]]+1), 0)</f>
        <v>30</v>
      </c>
      <c r="M205" t="s">
        <v>30</v>
      </c>
      <c r="N205" t="s">
        <v>158</v>
      </c>
      <c r="O205" s="50">
        <v>0</v>
      </c>
      <c r="P205" s="52">
        <f ca="1">Log_2018[[#This Row],[Amount]]/Log_2018[[#This Row],[Split_raw]]*MAX(0,MIN(_xlfn.DAYS(EDATE(P$1,1),Log_2018[[#This Row],[Date]]),Log_2018[[#This Row],[Split_apply]])) - SUM($O205:O205)</f>
        <v>0</v>
      </c>
      <c r="Q205" s="52">
        <f ca="1">Log_2018[[#This Row],[Amount]]/Log_2018[[#This Row],[Split_raw]]*MAX(0,MIN(_xlfn.DAYS(EDATE(Q$1,1),Log_2018[[#This Row],[Date]]),Log_2018[[#This Row],[Split_apply]])) - SUM($O205:P205)</f>
        <v>0</v>
      </c>
      <c r="R205" s="52">
        <f ca="1">Log_2018[[#This Row],[Amount]]/Log_2018[[#This Row],[Split_raw]]*MAX(0,MIN(_xlfn.DAYS(EDATE(R$1,1),Log_2018[[#This Row],[Date]]),Log_2018[[#This Row],[Split_apply]])) - SUM($O205:Q205)</f>
        <v>0</v>
      </c>
      <c r="S205" s="52">
        <f ca="1">Log_2018[[#This Row],[Amount]]/Log_2018[[#This Row],[Split_raw]]*MAX(0,MIN(_xlfn.DAYS(EDATE(S$1,1),Log_2018[[#This Row],[Date]]),Log_2018[[#This Row],[Split_apply]])) - SUM($O205:R205)</f>
        <v>0</v>
      </c>
      <c r="T205" s="52">
        <f ca="1">Log_2018[[#This Row],[Amount]]/Log_2018[[#This Row],[Split_raw]]*MAX(0,MIN(_xlfn.DAYS(EDATE(T$1,1),Log_2018[[#This Row],[Date]]),Log_2018[[#This Row],[Split_apply]])) - SUM($O205:S205)</f>
        <v>0</v>
      </c>
      <c r="U205" s="52">
        <f ca="1">Log_2018[[#This Row],[Amount]]/Log_2018[[#This Row],[Split_raw]]*MAX(0,MIN(_xlfn.DAYS(EDATE(U$1,1),Log_2018[[#This Row],[Date]]),Log_2018[[#This Row],[Split_apply]])) - SUM($O205:T205)</f>
        <v>0</v>
      </c>
      <c r="V205" s="52">
        <f ca="1">Log_2018[[#This Row],[Amount]]/Log_2018[[#This Row],[Split_raw]]*MAX(0,MIN(_xlfn.DAYS(EDATE(V$1,1),Log_2018[[#This Row],[Date]]),Log_2018[[#This Row],[Split_apply]])) - SUM($O205:U205)</f>
        <v>0</v>
      </c>
      <c r="W205" s="52">
        <f ca="1">Log_2018[[#This Row],[Amount]]/Log_2018[[#This Row],[Split_raw]]*MAX(0,MIN(_xlfn.DAYS(EDATE(W$1,1),Log_2018[[#This Row],[Date]]),Log_2018[[#This Row],[Split_apply]])) - SUM($O205:V205)</f>
        <v>0</v>
      </c>
      <c r="X205" s="52">
        <f ca="1">Log_2018[[#This Row],[Amount]]/Log_2018[[#This Row],[Split_raw]]*MAX(0,MIN(_xlfn.DAYS(EDATE(X$1,1),Log_2018[[#This Row],[Date]]),Log_2018[[#This Row],[Split_apply]])) - SUM($O205:W205)</f>
        <v>0</v>
      </c>
      <c r="Y205" s="52">
        <f ca="1">Log_2018[[#This Row],[Amount]]/Log_2018[[#This Row],[Split_raw]]*MAX(0,MIN(_xlfn.DAYS(EDATE(Y$1,1),Log_2018[[#This Row],[Date]]),Log_2018[[#This Row],[Split_apply]])) - SUM($O205:X205)</f>
        <v>-68.474999999999994</v>
      </c>
      <c r="Z205" s="52">
        <f ca="1">Log_2018[[#This Row],[Amount]]/Log_2018[[#This Row],[Split_raw]]*MAX(0,MIN(_xlfn.DAYS(EDATE(Z$1,1),Log_2018[[#This Row],[Date]]),Log_2018[[#This Row],[Split_apply]])) - SUM($O205:Y205)</f>
        <v>-13.695000000000007</v>
      </c>
      <c r="AA205" s="52">
        <f ca="1">Log_2018[[#This Row],[Amount]]/Log_2018[[#This Row],[Split_raw]]*MAX(0,MIN(_xlfn.DAYS(EDATE(AA$1,1),Log_2018[[#This Row],[Date]]),Log_2018[[#This Row],[Split_apply]])) - SUM($O205:Z205)</f>
        <v>0</v>
      </c>
      <c r="AB205" s="54">
        <f ca="1">Log_2018[[#This Row],[Amount]]-SUM(O205:AA205)</f>
        <v>0</v>
      </c>
      <c r="AC205" s="7">
        <f ca="1">MAX(0,Log_2018[[#This Row],[Split_apply]] - (EDATE(AA$1,1)-Log_2018[[#This Row],[Date]]))</f>
        <v>0</v>
      </c>
    </row>
    <row r="206" spans="1:29" hidden="1" x14ac:dyDescent="0.25">
      <c r="A206" s="115"/>
      <c r="B206" t="s">
        <v>6</v>
      </c>
      <c r="D206" s="39">
        <v>43379</v>
      </c>
      <c r="F206" t="s">
        <v>352</v>
      </c>
      <c r="G206" t="s">
        <v>25</v>
      </c>
      <c r="H206" s="3">
        <v>-24.6</v>
      </c>
      <c r="I206" s="36">
        <f>IF(Log_2018[[#This Row],[My Category]]="NONTRACKED",0,Log_2018[[#This Row],[Raw Amount]])</f>
        <v>-24.6</v>
      </c>
      <c r="J206" s="17">
        <f>ABS(Log_2018[[#This Row],[Amount]])</f>
        <v>24.6</v>
      </c>
      <c r="K206" s="66">
        <v>1</v>
      </c>
      <c r="L206" s="66">
        <f ca="1">IF(Log_2018[[#This Row],[Date]]&lt;=TODAY(), MIN(Log_2018[[#This Row],[Split_raw]], TODAY()-Log_2018[[#This Row],[Date]]+1), 0)</f>
        <v>1</v>
      </c>
      <c r="M206" t="s">
        <v>37</v>
      </c>
      <c r="N206" t="s">
        <v>158</v>
      </c>
      <c r="O206" s="50">
        <v>0</v>
      </c>
      <c r="P206" s="52">
        <f ca="1">Log_2018[[#This Row],[Amount]]/Log_2018[[#This Row],[Split_raw]]*MAX(0,MIN(_xlfn.DAYS(EDATE(P$1,1),Log_2018[[#This Row],[Date]]),Log_2018[[#This Row],[Split_apply]])) - SUM($O206:O206)</f>
        <v>0</v>
      </c>
      <c r="Q206" s="52">
        <f ca="1">Log_2018[[#This Row],[Amount]]/Log_2018[[#This Row],[Split_raw]]*MAX(0,MIN(_xlfn.DAYS(EDATE(Q$1,1),Log_2018[[#This Row],[Date]]),Log_2018[[#This Row],[Split_apply]])) - SUM($O206:P206)</f>
        <v>0</v>
      </c>
      <c r="R206" s="52">
        <f ca="1">Log_2018[[#This Row],[Amount]]/Log_2018[[#This Row],[Split_raw]]*MAX(0,MIN(_xlfn.DAYS(EDATE(R$1,1),Log_2018[[#This Row],[Date]]),Log_2018[[#This Row],[Split_apply]])) - SUM($O206:Q206)</f>
        <v>0</v>
      </c>
      <c r="S206" s="52">
        <f ca="1">Log_2018[[#This Row],[Amount]]/Log_2018[[#This Row],[Split_raw]]*MAX(0,MIN(_xlfn.DAYS(EDATE(S$1,1),Log_2018[[#This Row],[Date]]),Log_2018[[#This Row],[Split_apply]])) - SUM($O206:R206)</f>
        <v>0</v>
      </c>
      <c r="T206" s="52">
        <f ca="1">Log_2018[[#This Row],[Amount]]/Log_2018[[#This Row],[Split_raw]]*MAX(0,MIN(_xlfn.DAYS(EDATE(T$1,1),Log_2018[[#This Row],[Date]]),Log_2018[[#This Row],[Split_apply]])) - SUM($O206:S206)</f>
        <v>0</v>
      </c>
      <c r="U206" s="52">
        <f ca="1">Log_2018[[#This Row],[Amount]]/Log_2018[[#This Row],[Split_raw]]*MAX(0,MIN(_xlfn.DAYS(EDATE(U$1,1),Log_2018[[#This Row],[Date]]),Log_2018[[#This Row],[Split_apply]])) - SUM($O206:T206)</f>
        <v>0</v>
      </c>
      <c r="V206" s="52">
        <f ca="1">Log_2018[[#This Row],[Amount]]/Log_2018[[#This Row],[Split_raw]]*MAX(0,MIN(_xlfn.DAYS(EDATE(V$1,1),Log_2018[[#This Row],[Date]]),Log_2018[[#This Row],[Split_apply]])) - SUM($O206:U206)</f>
        <v>0</v>
      </c>
      <c r="W206" s="52">
        <f ca="1">Log_2018[[#This Row],[Amount]]/Log_2018[[#This Row],[Split_raw]]*MAX(0,MIN(_xlfn.DAYS(EDATE(W$1,1),Log_2018[[#This Row],[Date]]),Log_2018[[#This Row],[Split_apply]])) - SUM($O206:V206)</f>
        <v>0</v>
      </c>
      <c r="X206" s="52">
        <f ca="1">Log_2018[[#This Row],[Amount]]/Log_2018[[#This Row],[Split_raw]]*MAX(0,MIN(_xlfn.DAYS(EDATE(X$1,1),Log_2018[[#This Row],[Date]]),Log_2018[[#This Row],[Split_apply]])) - SUM($O206:W206)</f>
        <v>0</v>
      </c>
      <c r="Y206" s="52">
        <f ca="1">Log_2018[[#This Row],[Amount]]/Log_2018[[#This Row],[Split_raw]]*MAX(0,MIN(_xlfn.DAYS(EDATE(Y$1,1),Log_2018[[#This Row],[Date]]),Log_2018[[#This Row],[Split_apply]])) - SUM($O206:X206)</f>
        <v>-24.6</v>
      </c>
      <c r="Z206" s="52">
        <f ca="1">Log_2018[[#This Row],[Amount]]/Log_2018[[#This Row],[Split_raw]]*MAX(0,MIN(_xlfn.DAYS(EDATE(Z$1,1),Log_2018[[#This Row],[Date]]),Log_2018[[#This Row],[Split_apply]])) - SUM($O206:Y206)</f>
        <v>0</v>
      </c>
      <c r="AA206" s="52">
        <f ca="1">Log_2018[[#This Row],[Amount]]/Log_2018[[#This Row],[Split_raw]]*MAX(0,MIN(_xlfn.DAYS(EDATE(AA$1,1),Log_2018[[#This Row],[Date]]),Log_2018[[#This Row],[Split_apply]])) - SUM($O206:Z206)</f>
        <v>0</v>
      </c>
      <c r="AB206" s="54">
        <f ca="1">Log_2018[[#This Row],[Amount]]-SUM(O206:AA206)</f>
        <v>0</v>
      </c>
      <c r="AC206" s="7">
        <f ca="1">MAX(0,Log_2018[[#This Row],[Split_apply]] - (EDATE(AA$1,1)-Log_2018[[#This Row],[Date]]))</f>
        <v>0</v>
      </c>
    </row>
    <row r="207" spans="1:29" hidden="1" x14ac:dyDescent="0.25">
      <c r="A207" s="115"/>
      <c r="B207" t="s">
        <v>6</v>
      </c>
      <c r="D207" s="39">
        <v>43379</v>
      </c>
      <c r="F207" t="s">
        <v>184</v>
      </c>
      <c r="G207" t="s">
        <v>11</v>
      </c>
      <c r="H207" s="3">
        <v>-9.8699999999999992</v>
      </c>
      <c r="I207" s="36">
        <f>IF(Log_2018[[#This Row],[My Category]]="NONTRACKED",0,Log_2018[[#This Row],[Raw Amount]])</f>
        <v>-9.8699999999999992</v>
      </c>
      <c r="J207" s="17">
        <f>ABS(Log_2018[[#This Row],[Amount]])</f>
        <v>9.8699999999999992</v>
      </c>
      <c r="K207" s="66">
        <v>1</v>
      </c>
      <c r="L207" s="66">
        <f ca="1">IF(Log_2018[[#This Row],[Date]]&lt;=TODAY(), MIN(Log_2018[[#This Row],[Split_raw]], TODAY()-Log_2018[[#This Row],[Date]]+1), 0)</f>
        <v>1</v>
      </c>
      <c r="M207" t="s">
        <v>12</v>
      </c>
      <c r="N207" t="s">
        <v>158</v>
      </c>
      <c r="O207" s="50">
        <v>0</v>
      </c>
      <c r="P207" s="52">
        <f ca="1">Log_2018[[#This Row],[Amount]]/Log_2018[[#This Row],[Split_raw]]*MAX(0,MIN(_xlfn.DAYS(EDATE(P$1,1),Log_2018[[#This Row],[Date]]),Log_2018[[#This Row],[Split_apply]])) - SUM($O207:O207)</f>
        <v>0</v>
      </c>
      <c r="Q207" s="52">
        <f ca="1">Log_2018[[#This Row],[Amount]]/Log_2018[[#This Row],[Split_raw]]*MAX(0,MIN(_xlfn.DAYS(EDATE(Q$1,1),Log_2018[[#This Row],[Date]]),Log_2018[[#This Row],[Split_apply]])) - SUM($O207:P207)</f>
        <v>0</v>
      </c>
      <c r="R207" s="52">
        <f ca="1">Log_2018[[#This Row],[Amount]]/Log_2018[[#This Row],[Split_raw]]*MAX(0,MIN(_xlfn.DAYS(EDATE(R$1,1),Log_2018[[#This Row],[Date]]),Log_2018[[#This Row],[Split_apply]])) - SUM($O207:Q207)</f>
        <v>0</v>
      </c>
      <c r="S207" s="52">
        <f ca="1">Log_2018[[#This Row],[Amount]]/Log_2018[[#This Row],[Split_raw]]*MAX(0,MIN(_xlfn.DAYS(EDATE(S$1,1),Log_2018[[#This Row],[Date]]),Log_2018[[#This Row],[Split_apply]])) - SUM($O207:R207)</f>
        <v>0</v>
      </c>
      <c r="T207" s="52">
        <f ca="1">Log_2018[[#This Row],[Amount]]/Log_2018[[#This Row],[Split_raw]]*MAX(0,MIN(_xlfn.DAYS(EDATE(T$1,1),Log_2018[[#This Row],[Date]]),Log_2018[[#This Row],[Split_apply]])) - SUM($O207:S207)</f>
        <v>0</v>
      </c>
      <c r="U207" s="52">
        <f ca="1">Log_2018[[#This Row],[Amount]]/Log_2018[[#This Row],[Split_raw]]*MAX(0,MIN(_xlfn.DAYS(EDATE(U$1,1),Log_2018[[#This Row],[Date]]),Log_2018[[#This Row],[Split_apply]])) - SUM($O207:T207)</f>
        <v>0</v>
      </c>
      <c r="V207" s="52">
        <f ca="1">Log_2018[[#This Row],[Amount]]/Log_2018[[#This Row],[Split_raw]]*MAX(0,MIN(_xlfn.DAYS(EDATE(V$1,1),Log_2018[[#This Row],[Date]]),Log_2018[[#This Row],[Split_apply]])) - SUM($O207:U207)</f>
        <v>0</v>
      </c>
      <c r="W207" s="52">
        <f ca="1">Log_2018[[#This Row],[Amount]]/Log_2018[[#This Row],[Split_raw]]*MAX(0,MIN(_xlfn.DAYS(EDATE(W$1,1),Log_2018[[#This Row],[Date]]),Log_2018[[#This Row],[Split_apply]])) - SUM($O207:V207)</f>
        <v>0</v>
      </c>
      <c r="X207" s="52">
        <f ca="1">Log_2018[[#This Row],[Amount]]/Log_2018[[#This Row],[Split_raw]]*MAX(0,MIN(_xlfn.DAYS(EDATE(X$1,1),Log_2018[[#This Row],[Date]]),Log_2018[[#This Row],[Split_apply]])) - SUM($O207:W207)</f>
        <v>0</v>
      </c>
      <c r="Y207" s="52">
        <f ca="1">Log_2018[[#This Row],[Amount]]/Log_2018[[#This Row],[Split_raw]]*MAX(0,MIN(_xlfn.DAYS(EDATE(Y$1,1),Log_2018[[#This Row],[Date]]),Log_2018[[#This Row],[Split_apply]])) - SUM($O207:X207)</f>
        <v>-9.8699999999999992</v>
      </c>
      <c r="Z207" s="52">
        <f ca="1">Log_2018[[#This Row],[Amount]]/Log_2018[[#This Row],[Split_raw]]*MAX(0,MIN(_xlfn.DAYS(EDATE(Z$1,1),Log_2018[[#This Row],[Date]]),Log_2018[[#This Row],[Split_apply]])) - SUM($O207:Y207)</f>
        <v>0</v>
      </c>
      <c r="AA207" s="52">
        <f ca="1">Log_2018[[#This Row],[Amount]]/Log_2018[[#This Row],[Split_raw]]*MAX(0,MIN(_xlfn.DAYS(EDATE(AA$1,1),Log_2018[[#This Row],[Date]]),Log_2018[[#This Row],[Split_apply]])) - SUM($O207:Z207)</f>
        <v>0</v>
      </c>
      <c r="AB207" s="54">
        <f ca="1">Log_2018[[#This Row],[Amount]]-SUM(O207:AA207)</f>
        <v>0</v>
      </c>
      <c r="AC207" s="7">
        <f ca="1">MAX(0,Log_2018[[#This Row],[Split_apply]] - (EDATE(AA$1,1)-Log_2018[[#This Row],[Date]]))</f>
        <v>0</v>
      </c>
    </row>
    <row r="208" spans="1:29" hidden="1" x14ac:dyDescent="0.25">
      <c r="A208" s="115"/>
      <c r="B208" t="s">
        <v>6</v>
      </c>
      <c r="D208" s="39">
        <v>43379</v>
      </c>
      <c r="F208" t="s">
        <v>388</v>
      </c>
      <c r="G208" t="s">
        <v>12</v>
      </c>
      <c r="H208" s="3">
        <v>-15.75</v>
      </c>
      <c r="I208" s="36">
        <f>IF(Log_2018[[#This Row],[My Category]]="NONTRACKED",0,Log_2018[[#This Row],[Raw Amount]])</f>
        <v>-15.75</v>
      </c>
      <c r="J208" s="17">
        <f>ABS(Log_2018[[#This Row],[Amount]])</f>
        <v>15.75</v>
      </c>
      <c r="K208" s="66">
        <v>1</v>
      </c>
      <c r="L208" s="66">
        <f ca="1">IF(Log_2018[[#This Row],[Date]]&lt;=TODAY(), MIN(Log_2018[[#This Row],[Split_raw]], TODAY()-Log_2018[[#This Row],[Date]]+1), 0)</f>
        <v>1</v>
      </c>
      <c r="M208" t="s">
        <v>40</v>
      </c>
      <c r="N208" t="s">
        <v>158</v>
      </c>
      <c r="O208" s="50">
        <v>0</v>
      </c>
      <c r="P208" s="52">
        <f ca="1">Log_2018[[#This Row],[Amount]]/Log_2018[[#This Row],[Split_raw]]*MAX(0,MIN(_xlfn.DAYS(EDATE(P$1,1),Log_2018[[#This Row],[Date]]),Log_2018[[#This Row],[Split_apply]])) - SUM($O208:O208)</f>
        <v>0</v>
      </c>
      <c r="Q208" s="52">
        <f ca="1">Log_2018[[#This Row],[Amount]]/Log_2018[[#This Row],[Split_raw]]*MAX(0,MIN(_xlfn.DAYS(EDATE(Q$1,1),Log_2018[[#This Row],[Date]]),Log_2018[[#This Row],[Split_apply]])) - SUM($O208:P208)</f>
        <v>0</v>
      </c>
      <c r="R208" s="52">
        <f ca="1">Log_2018[[#This Row],[Amount]]/Log_2018[[#This Row],[Split_raw]]*MAX(0,MIN(_xlfn.DAYS(EDATE(R$1,1),Log_2018[[#This Row],[Date]]),Log_2018[[#This Row],[Split_apply]])) - SUM($O208:Q208)</f>
        <v>0</v>
      </c>
      <c r="S208" s="52">
        <f ca="1">Log_2018[[#This Row],[Amount]]/Log_2018[[#This Row],[Split_raw]]*MAX(0,MIN(_xlfn.DAYS(EDATE(S$1,1),Log_2018[[#This Row],[Date]]),Log_2018[[#This Row],[Split_apply]])) - SUM($O208:R208)</f>
        <v>0</v>
      </c>
      <c r="T208" s="52">
        <f ca="1">Log_2018[[#This Row],[Amount]]/Log_2018[[#This Row],[Split_raw]]*MAX(0,MIN(_xlfn.DAYS(EDATE(T$1,1),Log_2018[[#This Row],[Date]]),Log_2018[[#This Row],[Split_apply]])) - SUM($O208:S208)</f>
        <v>0</v>
      </c>
      <c r="U208" s="52">
        <f ca="1">Log_2018[[#This Row],[Amount]]/Log_2018[[#This Row],[Split_raw]]*MAX(0,MIN(_xlfn.DAYS(EDATE(U$1,1),Log_2018[[#This Row],[Date]]),Log_2018[[#This Row],[Split_apply]])) - SUM($O208:T208)</f>
        <v>0</v>
      </c>
      <c r="V208" s="52">
        <f ca="1">Log_2018[[#This Row],[Amount]]/Log_2018[[#This Row],[Split_raw]]*MAX(0,MIN(_xlfn.DAYS(EDATE(V$1,1),Log_2018[[#This Row],[Date]]),Log_2018[[#This Row],[Split_apply]])) - SUM($O208:U208)</f>
        <v>0</v>
      </c>
      <c r="W208" s="52">
        <f ca="1">Log_2018[[#This Row],[Amount]]/Log_2018[[#This Row],[Split_raw]]*MAX(0,MIN(_xlfn.DAYS(EDATE(W$1,1),Log_2018[[#This Row],[Date]]),Log_2018[[#This Row],[Split_apply]])) - SUM($O208:V208)</f>
        <v>0</v>
      </c>
      <c r="X208" s="52">
        <f ca="1">Log_2018[[#This Row],[Amount]]/Log_2018[[#This Row],[Split_raw]]*MAX(0,MIN(_xlfn.DAYS(EDATE(X$1,1),Log_2018[[#This Row],[Date]]),Log_2018[[#This Row],[Split_apply]])) - SUM($O208:W208)</f>
        <v>0</v>
      </c>
      <c r="Y208" s="52">
        <f ca="1">Log_2018[[#This Row],[Amount]]/Log_2018[[#This Row],[Split_raw]]*MAX(0,MIN(_xlfn.DAYS(EDATE(Y$1,1),Log_2018[[#This Row],[Date]]),Log_2018[[#This Row],[Split_apply]])) - SUM($O208:X208)</f>
        <v>-15.75</v>
      </c>
      <c r="Z208" s="52">
        <f ca="1">Log_2018[[#This Row],[Amount]]/Log_2018[[#This Row],[Split_raw]]*MAX(0,MIN(_xlfn.DAYS(EDATE(Z$1,1),Log_2018[[#This Row],[Date]]),Log_2018[[#This Row],[Split_apply]])) - SUM($O208:Y208)</f>
        <v>0</v>
      </c>
      <c r="AA208" s="52">
        <f ca="1">Log_2018[[#This Row],[Amount]]/Log_2018[[#This Row],[Split_raw]]*MAX(0,MIN(_xlfn.DAYS(EDATE(AA$1,1),Log_2018[[#This Row],[Date]]),Log_2018[[#This Row],[Split_apply]])) - SUM($O208:Z208)</f>
        <v>0</v>
      </c>
      <c r="AB208" s="54">
        <f ca="1">Log_2018[[#This Row],[Amount]]-SUM(O208:AA208)</f>
        <v>0</v>
      </c>
      <c r="AC208" s="7">
        <f ca="1">MAX(0,Log_2018[[#This Row],[Split_apply]] - (EDATE(AA$1,1)-Log_2018[[#This Row],[Date]]))</f>
        <v>0</v>
      </c>
    </row>
    <row r="209" spans="1:29" hidden="1" x14ac:dyDescent="0.25">
      <c r="A209" s="115"/>
      <c r="B209" t="s">
        <v>6</v>
      </c>
      <c r="D209" s="39">
        <v>43379</v>
      </c>
      <c r="F209" t="s">
        <v>389</v>
      </c>
      <c r="G209" t="s">
        <v>25</v>
      </c>
      <c r="H209" s="3">
        <v>-12.98</v>
      </c>
      <c r="I209" s="36">
        <f>IF(Log_2018[[#This Row],[My Category]]="NONTRACKED",0,Log_2018[[#This Row],[Raw Amount]])</f>
        <v>-12.98</v>
      </c>
      <c r="J209" s="17">
        <f>ABS(Log_2018[[#This Row],[Amount]])</f>
        <v>12.98</v>
      </c>
      <c r="K209" s="66">
        <v>1</v>
      </c>
      <c r="L209" s="66">
        <f ca="1">IF(Log_2018[[#This Row],[Date]]&lt;=TODAY(), MIN(Log_2018[[#This Row],[Split_raw]], TODAY()-Log_2018[[#This Row],[Date]]+1), 0)</f>
        <v>1</v>
      </c>
      <c r="M209" t="s">
        <v>41</v>
      </c>
      <c r="N209" t="s">
        <v>158</v>
      </c>
      <c r="O209" s="50">
        <v>0</v>
      </c>
      <c r="P209" s="52">
        <f ca="1">Log_2018[[#This Row],[Amount]]/Log_2018[[#This Row],[Split_raw]]*MAX(0,MIN(_xlfn.DAYS(EDATE(P$1,1),Log_2018[[#This Row],[Date]]),Log_2018[[#This Row],[Split_apply]])) - SUM($O209:O209)</f>
        <v>0</v>
      </c>
      <c r="Q209" s="52">
        <f ca="1">Log_2018[[#This Row],[Amount]]/Log_2018[[#This Row],[Split_raw]]*MAX(0,MIN(_xlfn.DAYS(EDATE(Q$1,1),Log_2018[[#This Row],[Date]]),Log_2018[[#This Row],[Split_apply]])) - SUM($O209:P209)</f>
        <v>0</v>
      </c>
      <c r="R209" s="52">
        <f ca="1">Log_2018[[#This Row],[Amount]]/Log_2018[[#This Row],[Split_raw]]*MAX(0,MIN(_xlfn.DAYS(EDATE(R$1,1),Log_2018[[#This Row],[Date]]),Log_2018[[#This Row],[Split_apply]])) - SUM($O209:Q209)</f>
        <v>0</v>
      </c>
      <c r="S209" s="52">
        <f ca="1">Log_2018[[#This Row],[Amount]]/Log_2018[[#This Row],[Split_raw]]*MAX(0,MIN(_xlfn.DAYS(EDATE(S$1,1),Log_2018[[#This Row],[Date]]),Log_2018[[#This Row],[Split_apply]])) - SUM($O209:R209)</f>
        <v>0</v>
      </c>
      <c r="T209" s="52">
        <f ca="1">Log_2018[[#This Row],[Amount]]/Log_2018[[#This Row],[Split_raw]]*MAX(0,MIN(_xlfn.DAYS(EDATE(T$1,1),Log_2018[[#This Row],[Date]]),Log_2018[[#This Row],[Split_apply]])) - SUM($O209:S209)</f>
        <v>0</v>
      </c>
      <c r="U209" s="52">
        <f ca="1">Log_2018[[#This Row],[Amount]]/Log_2018[[#This Row],[Split_raw]]*MAX(0,MIN(_xlfn.DAYS(EDATE(U$1,1),Log_2018[[#This Row],[Date]]),Log_2018[[#This Row],[Split_apply]])) - SUM($O209:T209)</f>
        <v>0</v>
      </c>
      <c r="V209" s="52">
        <f ca="1">Log_2018[[#This Row],[Amount]]/Log_2018[[#This Row],[Split_raw]]*MAX(0,MIN(_xlfn.DAYS(EDATE(V$1,1),Log_2018[[#This Row],[Date]]),Log_2018[[#This Row],[Split_apply]])) - SUM($O209:U209)</f>
        <v>0</v>
      </c>
      <c r="W209" s="52">
        <f ca="1">Log_2018[[#This Row],[Amount]]/Log_2018[[#This Row],[Split_raw]]*MAX(0,MIN(_xlfn.DAYS(EDATE(W$1,1),Log_2018[[#This Row],[Date]]),Log_2018[[#This Row],[Split_apply]])) - SUM($O209:V209)</f>
        <v>0</v>
      </c>
      <c r="X209" s="52">
        <f ca="1">Log_2018[[#This Row],[Amount]]/Log_2018[[#This Row],[Split_raw]]*MAX(0,MIN(_xlfn.DAYS(EDATE(X$1,1),Log_2018[[#This Row],[Date]]),Log_2018[[#This Row],[Split_apply]])) - SUM($O209:W209)</f>
        <v>0</v>
      </c>
      <c r="Y209" s="52">
        <f ca="1">Log_2018[[#This Row],[Amount]]/Log_2018[[#This Row],[Split_raw]]*MAX(0,MIN(_xlfn.DAYS(EDATE(Y$1,1),Log_2018[[#This Row],[Date]]),Log_2018[[#This Row],[Split_apply]])) - SUM($O209:X209)</f>
        <v>-12.98</v>
      </c>
      <c r="Z209" s="52">
        <f ca="1">Log_2018[[#This Row],[Amount]]/Log_2018[[#This Row],[Split_raw]]*MAX(0,MIN(_xlfn.DAYS(EDATE(Z$1,1),Log_2018[[#This Row],[Date]]),Log_2018[[#This Row],[Split_apply]])) - SUM($O209:Y209)</f>
        <v>0</v>
      </c>
      <c r="AA209" s="52">
        <f ca="1">Log_2018[[#This Row],[Amount]]/Log_2018[[#This Row],[Split_raw]]*MAX(0,MIN(_xlfn.DAYS(EDATE(AA$1,1),Log_2018[[#This Row],[Date]]),Log_2018[[#This Row],[Split_apply]])) - SUM($O209:Z209)</f>
        <v>0</v>
      </c>
      <c r="AB209" s="54">
        <f ca="1">Log_2018[[#This Row],[Amount]]-SUM(O209:AA209)</f>
        <v>0</v>
      </c>
      <c r="AC209" s="7">
        <f ca="1">MAX(0,Log_2018[[#This Row],[Split_apply]] - (EDATE(AA$1,1)-Log_2018[[#This Row],[Date]]))</f>
        <v>0</v>
      </c>
    </row>
    <row r="210" spans="1:29" hidden="1" x14ac:dyDescent="0.25">
      <c r="A210" s="115"/>
      <c r="B210" t="s">
        <v>6</v>
      </c>
      <c r="D210" s="39">
        <v>43379</v>
      </c>
      <c r="F210" t="s">
        <v>390</v>
      </c>
      <c r="G210" t="s">
        <v>9</v>
      </c>
      <c r="H210" s="3">
        <v>-3.24</v>
      </c>
      <c r="I210" s="36">
        <f>IF(Log_2018[[#This Row],[My Category]]="NONTRACKED",0,Log_2018[[#This Row],[Raw Amount]])</f>
        <v>-3.24</v>
      </c>
      <c r="J210" s="17">
        <f>ABS(Log_2018[[#This Row],[Amount]])</f>
        <v>3.24</v>
      </c>
      <c r="K210" s="66">
        <v>1</v>
      </c>
      <c r="L210" s="66">
        <f ca="1">IF(Log_2018[[#This Row],[Date]]&lt;=TODAY(), MIN(Log_2018[[#This Row],[Split_raw]], TODAY()-Log_2018[[#This Row],[Date]]+1), 0)</f>
        <v>1</v>
      </c>
      <c r="M210" t="s">
        <v>53</v>
      </c>
      <c r="N210" t="s">
        <v>158</v>
      </c>
      <c r="O210" s="50">
        <v>0</v>
      </c>
      <c r="P210" s="52">
        <f ca="1">Log_2018[[#This Row],[Amount]]/Log_2018[[#This Row],[Split_raw]]*MAX(0,MIN(_xlfn.DAYS(EDATE(P$1,1),Log_2018[[#This Row],[Date]]),Log_2018[[#This Row],[Split_apply]])) - SUM($O210:O210)</f>
        <v>0</v>
      </c>
      <c r="Q210" s="52">
        <f ca="1">Log_2018[[#This Row],[Amount]]/Log_2018[[#This Row],[Split_raw]]*MAX(0,MIN(_xlfn.DAYS(EDATE(Q$1,1),Log_2018[[#This Row],[Date]]),Log_2018[[#This Row],[Split_apply]])) - SUM($O210:P210)</f>
        <v>0</v>
      </c>
      <c r="R210" s="52">
        <f ca="1">Log_2018[[#This Row],[Amount]]/Log_2018[[#This Row],[Split_raw]]*MAX(0,MIN(_xlfn.DAYS(EDATE(R$1,1),Log_2018[[#This Row],[Date]]),Log_2018[[#This Row],[Split_apply]])) - SUM($O210:Q210)</f>
        <v>0</v>
      </c>
      <c r="S210" s="52">
        <f ca="1">Log_2018[[#This Row],[Amount]]/Log_2018[[#This Row],[Split_raw]]*MAX(0,MIN(_xlfn.DAYS(EDATE(S$1,1),Log_2018[[#This Row],[Date]]),Log_2018[[#This Row],[Split_apply]])) - SUM($O210:R210)</f>
        <v>0</v>
      </c>
      <c r="T210" s="52">
        <f ca="1">Log_2018[[#This Row],[Amount]]/Log_2018[[#This Row],[Split_raw]]*MAX(0,MIN(_xlfn.DAYS(EDATE(T$1,1),Log_2018[[#This Row],[Date]]),Log_2018[[#This Row],[Split_apply]])) - SUM($O210:S210)</f>
        <v>0</v>
      </c>
      <c r="U210" s="52">
        <f ca="1">Log_2018[[#This Row],[Amount]]/Log_2018[[#This Row],[Split_raw]]*MAX(0,MIN(_xlfn.DAYS(EDATE(U$1,1),Log_2018[[#This Row],[Date]]),Log_2018[[#This Row],[Split_apply]])) - SUM($O210:T210)</f>
        <v>0</v>
      </c>
      <c r="V210" s="52">
        <f ca="1">Log_2018[[#This Row],[Amount]]/Log_2018[[#This Row],[Split_raw]]*MAX(0,MIN(_xlfn.DAYS(EDATE(V$1,1),Log_2018[[#This Row],[Date]]),Log_2018[[#This Row],[Split_apply]])) - SUM($O210:U210)</f>
        <v>0</v>
      </c>
      <c r="W210" s="52">
        <f ca="1">Log_2018[[#This Row],[Amount]]/Log_2018[[#This Row],[Split_raw]]*MAX(0,MIN(_xlfn.DAYS(EDATE(W$1,1),Log_2018[[#This Row],[Date]]),Log_2018[[#This Row],[Split_apply]])) - SUM($O210:V210)</f>
        <v>0</v>
      </c>
      <c r="X210" s="52">
        <f ca="1">Log_2018[[#This Row],[Amount]]/Log_2018[[#This Row],[Split_raw]]*MAX(0,MIN(_xlfn.DAYS(EDATE(X$1,1),Log_2018[[#This Row],[Date]]),Log_2018[[#This Row],[Split_apply]])) - SUM($O210:W210)</f>
        <v>0</v>
      </c>
      <c r="Y210" s="52">
        <f ca="1">Log_2018[[#This Row],[Amount]]/Log_2018[[#This Row],[Split_raw]]*MAX(0,MIN(_xlfn.DAYS(EDATE(Y$1,1),Log_2018[[#This Row],[Date]]),Log_2018[[#This Row],[Split_apply]])) - SUM($O210:X210)</f>
        <v>-3.24</v>
      </c>
      <c r="Z210" s="52">
        <f ca="1">Log_2018[[#This Row],[Amount]]/Log_2018[[#This Row],[Split_raw]]*MAX(0,MIN(_xlfn.DAYS(EDATE(Z$1,1),Log_2018[[#This Row],[Date]]),Log_2018[[#This Row],[Split_apply]])) - SUM($O210:Y210)</f>
        <v>0</v>
      </c>
      <c r="AA210" s="52">
        <f ca="1">Log_2018[[#This Row],[Amount]]/Log_2018[[#This Row],[Split_raw]]*MAX(0,MIN(_xlfn.DAYS(EDATE(AA$1,1),Log_2018[[#This Row],[Date]]),Log_2018[[#This Row],[Split_apply]])) - SUM($O210:Z210)</f>
        <v>0</v>
      </c>
      <c r="AB210" s="54">
        <f ca="1">Log_2018[[#This Row],[Amount]]-SUM(O210:AA210)</f>
        <v>0</v>
      </c>
      <c r="AC210" s="7">
        <f ca="1">MAX(0,Log_2018[[#This Row],[Split_apply]] - (EDATE(AA$1,1)-Log_2018[[#This Row],[Date]]))</f>
        <v>0</v>
      </c>
    </row>
    <row r="211" spans="1:29" hidden="1" x14ac:dyDescent="0.25">
      <c r="A211" s="115"/>
      <c r="B211" t="s">
        <v>6</v>
      </c>
      <c r="D211" s="39">
        <v>43377</v>
      </c>
      <c r="F211" t="s">
        <v>255</v>
      </c>
      <c r="G211" t="s">
        <v>25</v>
      </c>
      <c r="H211" s="3">
        <v>-11.11</v>
      </c>
      <c r="I211" s="36">
        <f>IF(Log_2018[[#This Row],[My Category]]="NONTRACKED",0,Log_2018[[#This Row],[Raw Amount]])</f>
        <v>-11.11</v>
      </c>
      <c r="J211" s="17">
        <f>ABS(Log_2018[[#This Row],[Amount]])</f>
        <v>11.11</v>
      </c>
      <c r="K211" s="66">
        <v>1</v>
      </c>
      <c r="L211" s="66">
        <f ca="1">IF(Log_2018[[#This Row],[Date]]&lt;=TODAY(), MIN(Log_2018[[#This Row],[Split_raw]], TODAY()-Log_2018[[#This Row],[Date]]+1), 0)</f>
        <v>1</v>
      </c>
      <c r="M211" t="s">
        <v>35</v>
      </c>
      <c r="N211" t="s">
        <v>158</v>
      </c>
      <c r="O211" s="50">
        <v>0</v>
      </c>
      <c r="P211" s="52">
        <f ca="1">Log_2018[[#This Row],[Amount]]/Log_2018[[#This Row],[Split_raw]]*MAX(0,MIN(_xlfn.DAYS(EDATE(P$1,1),Log_2018[[#This Row],[Date]]),Log_2018[[#This Row],[Split_apply]])) - SUM($O211:O211)</f>
        <v>0</v>
      </c>
      <c r="Q211" s="52">
        <f ca="1">Log_2018[[#This Row],[Amount]]/Log_2018[[#This Row],[Split_raw]]*MAX(0,MIN(_xlfn.DAYS(EDATE(Q$1,1),Log_2018[[#This Row],[Date]]),Log_2018[[#This Row],[Split_apply]])) - SUM($O211:P211)</f>
        <v>0</v>
      </c>
      <c r="R211" s="52">
        <f ca="1">Log_2018[[#This Row],[Amount]]/Log_2018[[#This Row],[Split_raw]]*MAX(0,MIN(_xlfn.DAYS(EDATE(R$1,1),Log_2018[[#This Row],[Date]]),Log_2018[[#This Row],[Split_apply]])) - SUM($O211:Q211)</f>
        <v>0</v>
      </c>
      <c r="S211" s="52">
        <f ca="1">Log_2018[[#This Row],[Amount]]/Log_2018[[#This Row],[Split_raw]]*MAX(0,MIN(_xlfn.DAYS(EDATE(S$1,1),Log_2018[[#This Row],[Date]]),Log_2018[[#This Row],[Split_apply]])) - SUM($O211:R211)</f>
        <v>0</v>
      </c>
      <c r="T211" s="52">
        <f ca="1">Log_2018[[#This Row],[Amount]]/Log_2018[[#This Row],[Split_raw]]*MAX(0,MIN(_xlfn.DAYS(EDATE(T$1,1),Log_2018[[#This Row],[Date]]),Log_2018[[#This Row],[Split_apply]])) - SUM($O211:S211)</f>
        <v>0</v>
      </c>
      <c r="U211" s="52">
        <f ca="1">Log_2018[[#This Row],[Amount]]/Log_2018[[#This Row],[Split_raw]]*MAX(0,MIN(_xlfn.DAYS(EDATE(U$1,1),Log_2018[[#This Row],[Date]]),Log_2018[[#This Row],[Split_apply]])) - SUM($O211:T211)</f>
        <v>0</v>
      </c>
      <c r="V211" s="52">
        <f ca="1">Log_2018[[#This Row],[Amount]]/Log_2018[[#This Row],[Split_raw]]*MAX(0,MIN(_xlfn.DAYS(EDATE(V$1,1),Log_2018[[#This Row],[Date]]),Log_2018[[#This Row],[Split_apply]])) - SUM($O211:U211)</f>
        <v>0</v>
      </c>
      <c r="W211" s="52">
        <f ca="1">Log_2018[[#This Row],[Amount]]/Log_2018[[#This Row],[Split_raw]]*MAX(0,MIN(_xlfn.DAYS(EDATE(W$1,1),Log_2018[[#This Row],[Date]]),Log_2018[[#This Row],[Split_apply]])) - SUM($O211:V211)</f>
        <v>0</v>
      </c>
      <c r="X211" s="52">
        <f ca="1">Log_2018[[#This Row],[Amount]]/Log_2018[[#This Row],[Split_raw]]*MAX(0,MIN(_xlfn.DAYS(EDATE(X$1,1),Log_2018[[#This Row],[Date]]),Log_2018[[#This Row],[Split_apply]])) - SUM($O211:W211)</f>
        <v>0</v>
      </c>
      <c r="Y211" s="52">
        <f ca="1">Log_2018[[#This Row],[Amount]]/Log_2018[[#This Row],[Split_raw]]*MAX(0,MIN(_xlfn.DAYS(EDATE(Y$1,1),Log_2018[[#This Row],[Date]]),Log_2018[[#This Row],[Split_apply]])) - SUM($O211:X211)</f>
        <v>-11.11</v>
      </c>
      <c r="Z211" s="52">
        <f ca="1">Log_2018[[#This Row],[Amount]]/Log_2018[[#This Row],[Split_raw]]*MAX(0,MIN(_xlfn.DAYS(EDATE(Z$1,1),Log_2018[[#This Row],[Date]]),Log_2018[[#This Row],[Split_apply]])) - SUM($O211:Y211)</f>
        <v>0</v>
      </c>
      <c r="AA211" s="52">
        <f ca="1">Log_2018[[#This Row],[Amount]]/Log_2018[[#This Row],[Split_raw]]*MAX(0,MIN(_xlfn.DAYS(EDATE(AA$1,1),Log_2018[[#This Row],[Date]]),Log_2018[[#This Row],[Split_apply]])) - SUM($O211:Z211)</f>
        <v>0</v>
      </c>
      <c r="AB211" s="54">
        <f ca="1">Log_2018[[#This Row],[Amount]]-SUM(O211:AA211)</f>
        <v>0</v>
      </c>
      <c r="AC211" s="7">
        <f ca="1">MAX(0,Log_2018[[#This Row],[Split_apply]] - (EDATE(AA$1,1)-Log_2018[[#This Row],[Date]]))</f>
        <v>0</v>
      </c>
    </row>
    <row r="212" spans="1:29" hidden="1" x14ac:dyDescent="0.25">
      <c r="A212" s="115"/>
      <c r="B212" t="s">
        <v>6</v>
      </c>
      <c r="D212" s="26">
        <v>43376</v>
      </c>
      <c r="F212" t="s">
        <v>306</v>
      </c>
      <c r="G212" t="s">
        <v>25</v>
      </c>
      <c r="H212" s="3">
        <v>-10.25</v>
      </c>
      <c r="I212" s="36">
        <f>IF(Log_2018[[#This Row],[My Category]]="NONTRACKED",0,Log_2018[[#This Row],[Raw Amount]])</f>
        <v>-10.25</v>
      </c>
      <c r="J212" s="17">
        <f>ABS(Log_2018[[#This Row],[Amount]])</f>
        <v>10.25</v>
      </c>
      <c r="K212" s="66">
        <v>1</v>
      </c>
      <c r="L212" s="66">
        <f ca="1">IF(Log_2018[[#This Row],[Date]]&lt;=TODAY(), MIN(Log_2018[[#This Row],[Split_raw]], TODAY()-Log_2018[[#This Row],[Date]]+1), 0)</f>
        <v>1</v>
      </c>
      <c r="M212" t="s">
        <v>35</v>
      </c>
      <c r="N212" t="s">
        <v>158</v>
      </c>
      <c r="O212" s="50">
        <v>0</v>
      </c>
      <c r="P212" s="52">
        <f ca="1">Log_2018[[#This Row],[Amount]]/Log_2018[[#This Row],[Split_raw]]*MAX(0,MIN(_xlfn.DAYS(EDATE(P$1,1),Log_2018[[#This Row],[Date]]),Log_2018[[#This Row],[Split_apply]])) - SUM($O212:O212)</f>
        <v>0</v>
      </c>
      <c r="Q212" s="52">
        <f ca="1">Log_2018[[#This Row],[Amount]]/Log_2018[[#This Row],[Split_raw]]*MAX(0,MIN(_xlfn.DAYS(EDATE(Q$1,1),Log_2018[[#This Row],[Date]]),Log_2018[[#This Row],[Split_apply]])) - SUM($O212:P212)</f>
        <v>0</v>
      </c>
      <c r="R212" s="52">
        <f ca="1">Log_2018[[#This Row],[Amount]]/Log_2018[[#This Row],[Split_raw]]*MAX(0,MIN(_xlfn.DAYS(EDATE(R$1,1),Log_2018[[#This Row],[Date]]),Log_2018[[#This Row],[Split_apply]])) - SUM($O212:Q212)</f>
        <v>0</v>
      </c>
      <c r="S212" s="52">
        <f ca="1">Log_2018[[#This Row],[Amount]]/Log_2018[[#This Row],[Split_raw]]*MAX(0,MIN(_xlfn.DAYS(EDATE(S$1,1),Log_2018[[#This Row],[Date]]),Log_2018[[#This Row],[Split_apply]])) - SUM($O212:R212)</f>
        <v>0</v>
      </c>
      <c r="T212" s="52">
        <f ca="1">Log_2018[[#This Row],[Amount]]/Log_2018[[#This Row],[Split_raw]]*MAX(0,MIN(_xlfn.DAYS(EDATE(T$1,1),Log_2018[[#This Row],[Date]]),Log_2018[[#This Row],[Split_apply]])) - SUM($O212:S212)</f>
        <v>0</v>
      </c>
      <c r="U212" s="52">
        <f ca="1">Log_2018[[#This Row],[Amount]]/Log_2018[[#This Row],[Split_raw]]*MAX(0,MIN(_xlfn.DAYS(EDATE(U$1,1),Log_2018[[#This Row],[Date]]),Log_2018[[#This Row],[Split_apply]])) - SUM($O212:T212)</f>
        <v>0</v>
      </c>
      <c r="V212" s="52">
        <f ca="1">Log_2018[[#This Row],[Amount]]/Log_2018[[#This Row],[Split_raw]]*MAX(0,MIN(_xlfn.DAYS(EDATE(V$1,1),Log_2018[[#This Row],[Date]]),Log_2018[[#This Row],[Split_apply]])) - SUM($O212:U212)</f>
        <v>0</v>
      </c>
      <c r="W212" s="52">
        <f ca="1">Log_2018[[#This Row],[Amount]]/Log_2018[[#This Row],[Split_raw]]*MAX(0,MIN(_xlfn.DAYS(EDATE(W$1,1),Log_2018[[#This Row],[Date]]),Log_2018[[#This Row],[Split_apply]])) - SUM($O212:V212)</f>
        <v>0</v>
      </c>
      <c r="X212" s="52">
        <f ca="1">Log_2018[[#This Row],[Amount]]/Log_2018[[#This Row],[Split_raw]]*MAX(0,MIN(_xlfn.DAYS(EDATE(X$1,1),Log_2018[[#This Row],[Date]]),Log_2018[[#This Row],[Split_apply]])) - SUM($O212:W212)</f>
        <v>0</v>
      </c>
      <c r="Y212" s="52">
        <f ca="1">Log_2018[[#This Row],[Amount]]/Log_2018[[#This Row],[Split_raw]]*MAX(0,MIN(_xlfn.DAYS(EDATE(Y$1,1),Log_2018[[#This Row],[Date]]),Log_2018[[#This Row],[Split_apply]])) - SUM($O212:X212)</f>
        <v>-10.25</v>
      </c>
      <c r="Z212" s="52">
        <f ca="1">Log_2018[[#This Row],[Amount]]/Log_2018[[#This Row],[Split_raw]]*MAX(0,MIN(_xlfn.DAYS(EDATE(Z$1,1),Log_2018[[#This Row],[Date]]),Log_2018[[#This Row],[Split_apply]])) - SUM($O212:Y212)</f>
        <v>0</v>
      </c>
      <c r="AA212" s="52">
        <f ca="1">Log_2018[[#This Row],[Amount]]/Log_2018[[#This Row],[Split_raw]]*MAX(0,MIN(_xlfn.DAYS(EDATE(AA$1,1),Log_2018[[#This Row],[Date]]),Log_2018[[#This Row],[Split_apply]])) - SUM($O212:Z212)</f>
        <v>0</v>
      </c>
      <c r="AB212" s="54">
        <f ca="1">Log_2018[[#This Row],[Amount]]-SUM(O212:AA212)</f>
        <v>0</v>
      </c>
      <c r="AC212" s="7">
        <f ca="1">MAX(0,Log_2018[[#This Row],[Split_apply]] - (EDATE(AA$1,1)-Log_2018[[#This Row],[Date]]))</f>
        <v>0</v>
      </c>
    </row>
    <row r="213" spans="1:29" hidden="1" x14ac:dyDescent="0.25">
      <c r="A213" s="115"/>
      <c r="B213" t="s">
        <v>6</v>
      </c>
      <c r="D213" s="26">
        <v>43376</v>
      </c>
      <c r="F213" t="s">
        <v>369</v>
      </c>
      <c r="G213" t="s">
        <v>11</v>
      </c>
      <c r="H213" s="3">
        <v>-41.25</v>
      </c>
      <c r="I213" s="36">
        <f>IF(Log_2018[[#This Row],[My Category]]="NONTRACKED",0,Log_2018[[#This Row],[Raw Amount]])</f>
        <v>-41.25</v>
      </c>
      <c r="J213" s="17">
        <f>ABS(Log_2018[[#This Row],[Amount]])</f>
        <v>41.25</v>
      </c>
      <c r="K213" s="66">
        <v>1</v>
      </c>
      <c r="L213" s="66">
        <f ca="1">IF(Log_2018[[#This Row],[Date]]&lt;=TODAY(), MIN(Log_2018[[#This Row],[Split_raw]], TODAY()-Log_2018[[#This Row],[Date]]+1), 0)</f>
        <v>1</v>
      </c>
      <c r="M213" t="s">
        <v>366</v>
      </c>
      <c r="N213" t="s">
        <v>158</v>
      </c>
      <c r="O213" s="50">
        <v>0</v>
      </c>
      <c r="P213" s="52">
        <f ca="1">Log_2018[[#This Row],[Amount]]/Log_2018[[#This Row],[Split_raw]]*MAX(0,MIN(_xlfn.DAYS(EDATE(P$1,1),Log_2018[[#This Row],[Date]]),Log_2018[[#This Row],[Split_apply]])) - SUM($O213:O213)</f>
        <v>0</v>
      </c>
      <c r="Q213" s="52">
        <f ca="1">Log_2018[[#This Row],[Amount]]/Log_2018[[#This Row],[Split_raw]]*MAX(0,MIN(_xlfn.DAYS(EDATE(Q$1,1),Log_2018[[#This Row],[Date]]),Log_2018[[#This Row],[Split_apply]])) - SUM($O213:P213)</f>
        <v>0</v>
      </c>
      <c r="R213" s="52">
        <f ca="1">Log_2018[[#This Row],[Amount]]/Log_2018[[#This Row],[Split_raw]]*MAX(0,MIN(_xlfn.DAYS(EDATE(R$1,1),Log_2018[[#This Row],[Date]]),Log_2018[[#This Row],[Split_apply]])) - SUM($O213:Q213)</f>
        <v>0</v>
      </c>
      <c r="S213" s="52">
        <f ca="1">Log_2018[[#This Row],[Amount]]/Log_2018[[#This Row],[Split_raw]]*MAX(0,MIN(_xlfn.DAYS(EDATE(S$1,1),Log_2018[[#This Row],[Date]]),Log_2018[[#This Row],[Split_apply]])) - SUM($O213:R213)</f>
        <v>0</v>
      </c>
      <c r="T213" s="52">
        <f ca="1">Log_2018[[#This Row],[Amount]]/Log_2018[[#This Row],[Split_raw]]*MAX(0,MIN(_xlfn.DAYS(EDATE(T$1,1),Log_2018[[#This Row],[Date]]),Log_2018[[#This Row],[Split_apply]])) - SUM($O213:S213)</f>
        <v>0</v>
      </c>
      <c r="U213" s="52">
        <f ca="1">Log_2018[[#This Row],[Amount]]/Log_2018[[#This Row],[Split_raw]]*MAX(0,MIN(_xlfn.DAYS(EDATE(U$1,1),Log_2018[[#This Row],[Date]]),Log_2018[[#This Row],[Split_apply]])) - SUM($O213:T213)</f>
        <v>0</v>
      </c>
      <c r="V213" s="52">
        <f ca="1">Log_2018[[#This Row],[Amount]]/Log_2018[[#This Row],[Split_raw]]*MAX(0,MIN(_xlfn.DAYS(EDATE(V$1,1),Log_2018[[#This Row],[Date]]),Log_2018[[#This Row],[Split_apply]])) - SUM($O213:U213)</f>
        <v>0</v>
      </c>
      <c r="W213" s="52">
        <f ca="1">Log_2018[[#This Row],[Amount]]/Log_2018[[#This Row],[Split_raw]]*MAX(0,MIN(_xlfn.DAYS(EDATE(W$1,1),Log_2018[[#This Row],[Date]]),Log_2018[[#This Row],[Split_apply]])) - SUM($O213:V213)</f>
        <v>0</v>
      </c>
      <c r="X213" s="52">
        <f ca="1">Log_2018[[#This Row],[Amount]]/Log_2018[[#This Row],[Split_raw]]*MAX(0,MIN(_xlfn.DAYS(EDATE(X$1,1),Log_2018[[#This Row],[Date]]),Log_2018[[#This Row],[Split_apply]])) - SUM($O213:W213)</f>
        <v>0</v>
      </c>
      <c r="Y213" s="52">
        <f ca="1">Log_2018[[#This Row],[Amount]]/Log_2018[[#This Row],[Split_raw]]*MAX(0,MIN(_xlfn.DAYS(EDATE(Y$1,1),Log_2018[[#This Row],[Date]]),Log_2018[[#This Row],[Split_apply]])) - SUM($O213:X213)</f>
        <v>-41.25</v>
      </c>
      <c r="Z213" s="52">
        <f ca="1">Log_2018[[#This Row],[Amount]]/Log_2018[[#This Row],[Split_raw]]*MAX(0,MIN(_xlfn.DAYS(EDATE(Z$1,1),Log_2018[[#This Row],[Date]]),Log_2018[[#This Row],[Split_apply]])) - SUM($O213:Y213)</f>
        <v>0</v>
      </c>
      <c r="AA213" s="52">
        <f ca="1">Log_2018[[#This Row],[Amount]]/Log_2018[[#This Row],[Split_raw]]*MAX(0,MIN(_xlfn.DAYS(EDATE(AA$1,1),Log_2018[[#This Row],[Date]]),Log_2018[[#This Row],[Split_apply]])) - SUM($O213:Z213)</f>
        <v>0</v>
      </c>
      <c r="AB213" s="54">
        <f ca="1">Log_2018[[#This Row],[Amount]]-SUM(O213:AA213)</f>
        <v>0</v>
      </c>
      <c r="AC213" s="7">
        <f ca="1">MAX(0,Log_2018[[#This Row],[Split_apply]] - (EDATE(AA$1,1)-Log_2018[[#This Row],[Date]]))</f>
        <v>0</v>
      </c>
    </row>
    <row r="214" spans="1:29" hidden="1" x14ac:dyDescent="0.25">
      <c r="A214" s="115"/>
      <c r="B214" t="s">
        <v>6</v>
      </c>
      <c r="D214" s="26">
        <v>43375</v>
      </c>
      <c r="F214" t="s">
        <v>59</v>
      </c>
      <c r="G214" t="s">
        <v>25</v>
      </c>
      <c r="H214" s="3">
        <v>-7.94</v>
      </c>
      <c r="I214" s="36">
        <f>IF(Log_2018[[#This Row],[My Category]]="NONTRACKED",0,Log_2018[[#This Row],[Raw Amount]])</f>
        <v>-7.94</v>
      </c>
      <c r="J214" s="17">
        <f>ABS(Log_2018[[#This Row],[Amount]])</f>
        <v>7.94</v>
      </c>
      <c r="K214" s="66">
        <v>1</v>
      </c>
      <c r="L214" s="66">
        <f ca="1">IF(Log_2018[[#This Row],[Date]]&lt;=TODAY(), MIN(Log_2018[[#This Row],[Split_raw]], TODAY()-Log_2018[[#This Row],[Date]]+1), 0)</f>
        <v>1</v>
      </c>
      <c r="M214" t="s">
        <v>35</v>
      </c>
      <c r="N214" t="s">
        <v>158</v>
      </c>
      <c r="O214" s="50">
        <v>0</v>
      </c>
      <c r="P214" s="52">
        <f ca="1">Log_2018[[#This Row],[Amount]]/Log_2018[[#This Row],[Split_raw]]*MAX(0,MIN(_xlfn.DAYS(EDATE(P$1,1),Log_2018[[#This Row],[Date]]),Log_2018[[#This Row],[Split_apply]])) - SUM($O214:O214)</f>
        <v>0</v>
      </c>
      <c r="Q214" s="52">
        <f ca="1">Log_2018[[#This Row],[Amount]]/Log_2018[[#This Row],[Split_raw]]*MAX(0,MIN(_xlfn.DAYS(EDATE(Q$1,1),Log_2018[[#This Row],[Date]]),Log_2018[[#This Row],[Split_apply]])) - SUM($O214:P214)</f>
        <v>0</v>
      </c>
      <c r="R214" s="52">
        <f ca="1">Log_2018[[#This Row],[Amount]]/Log_2018[[#This Row],[Split_raw]]*MAX(0,MIN(_xlfn.DAYS(EDATE(R$1,1),Log_2018[[#This Row],[Date]]),Log_2018[[#This Row],[Split_apply]])) - SUM($O214:Q214)</f>
        <v>0</v>
      </c>
      <c r="S214" s="52">
        <f ca="1">Log_2018[[#This Row],[Amount]]/Log_2018[[#This Row],[Split_raw]]*MAX(0,MIN(_xlfn.DAYS(EDATE(S$1,1),Log_2018[[#This Row],[Date]]),Log_2018[[#This Row],[Split_apply]])) - SUM($O214:R214)</f>
        <v>0</v>
      </c>
      <c r="T214" s="52">
        <f ca="1">Log_2018[[#This Row],[Amount]]/Log_2018[[#This Row],[Split_raw]]*MAX(0,MIN(_xlfn.DAYS(EDATE(T$1,1),Log_2018[[#This Row],[Date]]),Log_2018[[#This Row],[Split_apply]])) - SUM($O214:S214)</f>
        <v>0</v>
      </c>
      <c r="U214" s="52">
        <f ca="1">Log_2018[[#This Row],[Amount]]/Log_2018[[#This Row],[Split_raw]]*MAX(0,MIN(_xlfn.DAYS(EDATE(U$1,1),Log_2018[[#This Row],[Date]]),Log_2018[[#This Row],[Split_apply]])) - SUM($O214:T214)</f>
        <v>0</v>
      </c>
      <c r="V214" s="52">
        <f ca="1">Log_2018[[#This Row],[Amount]]/Log_2018[[#This Row],[Split_raw]]*MAX(0,MIN(_xlfn.DAYS(EDATE(V$1,1),Log_2018[[#This Row],[Date]]),Log_2018[[#This Row],[Split_apply]])) - SUM($O214:U214)</f>
        <v>0</v>
      </c>
      <c r="W214" s="52">
        <f ca="1">Log_2018[[#This Row],[Amount]]/Log_2018[[#This Row],[Split_raw]]*MAX(0,MIN(_xlfn.DAYS(EDATE(W$1,1),Log_2018[[#This Row],[Date]]),Log_2018[[#This Row],[Split_apply]])) - SUM($O214:V214)</f>
        <v>0</v>
      </c>
      <c r="X214" s="52">
        <f ca="1">Log_2018[[#This Row],[Amount]]/Log_2018[[#This Row],[Split_raw]]*MAX(0,MIN(_xlfn.DAYS(EDATE(X$1,1),Log_2018[[#This Row],[Date]]),Log_2018[[#This Row],[Split_apply]])) - SUM($O214:W214)</f>
        <v>0</v>
      </c>
      <c r="Y214" s="52">
        <f ca="1">Log_2018[[#This Row],[Amount]]/Log_2018[[#This Row],[Split_raw]]*MAX(0,MIN(_xlfn.DAYS(EDATE(Y$1,1),Log_2018[[#This Row],[Date]]),Log_2018[[#This Row],[Split_apply]])) - SUM($O214:X214)</f>
        <v>-7.94</v>
      </c>
      <c r="Z214" s="52">
        <f ca="1">Log_2018[[#This Row],[Amount]]/Log_2018[[#This Row],[Split_raw]]*MAX(0,MIN(_xlfn.DAYS(EDATE(Z$1,1),Log_2018[[#This Row],[Date]]),Log_2018[[#This Row],[Split_apply]])) - SUM($O214:Y214)</f>
        <v>0</v>
      </c>
      <c r="AA214" s="52">
        <f ca="1">Log_2018[[#This Row],[Amount]]/Log_2018[[#This Row],[Split_raw]]*MAX(0,MIN(_xlfn.DAYS(EDATE(AA$1,1),Log_2018[[#This Row],[Date]]),Log_2018[[#This Row],[Split_apply]])) - SUM($O214:Z214)</f>
        <v>0</v>
      </c>
      <c r="AB214" s="54">
        <f ca="1">Log_2018[[#This Row],[Amount]]-SUM(O214:AA214)</f>
        <v>0</v>
      </c>
      <c r="AC214" s="7">
        <f ca="1">MAX(0,Log_2018[[#This Row],[Split_apply]] - (EDATE(AA$1,1)-Log_2018[[#This Row],[Date]]))</f>
        <v>0</v>
      </c>
    </row>
    <row r="215" spans="1:29" hidden="1" x14ac:dyDescent="0.25">
      <c r="A215" s="115"/>
      <c r="B215" s="34" t="s">
        <v>6</v>
      </c>
      <c r="D215" s="26">
        <v>43374</v>
      </c>
      <c r="E215" t="s">
        <v>960</v>
      </c>
      <c r="F215" t="s">
        <v>367</v>
      </c>
      <c r="G215" t="s">
        <v>20</v>
      </c>
      <c r="H215" s="3">
        <v>-1564.74</v>
      </c>
      <c r="I215" s="36">
        <f>IF(Log_2018[[#This Row],[My Category]]="NONTRACKED",0,Log_2018[[#This Row],[Raw Amount]])</f>
        <v>-1564.74</v>
      </c>
      <c r="J215" s="17">
        <f>ABS(Log_2018[[#This Row],[Amount]])</f>
        <v>1564.74</v>
      </c>
      <c r="K215" s="66">
        <v>31</v>
      </c>
      <c r="L215" s="66">
        <f ca="1">IF(Log_2018[[#This Row],[Date]]&lt;=TODAY(), MIN(Log_2018[[#This Row],[Split_raw]], TODAY()-Log_2018[[#This Row],[Date]]+1), 0)</f>
        <v>31</v>
      </c>
      <c r="M215" t="s">
        <v>28</v>
      </c>
      <c r="N215" t="s">
        <v>160</v>
      </c>
      <c r="O215" s="50">
        <v>0</v>
      </c>
      <c r="P215" s="52">
        <f ca="1">Log_2018[[#This Row],[Amount]]/Log_2018[[#This Row],[Split_raw]]*MAX(0,MIN(_xlfn.DAYS(EDATE(P$1,1),Log_2018[[#This Row],[Date]]),Log_2018[[#This Row],[Split_apply]])) - SUM($O215:O215)</f>
        <v>0</v>
      </c>
      <c r="Q215" s="52">
        <f ca="1">Log_2018[[#This Row],[Amount]]/Log_2018[[#This Row],[Split_raw]]*MAX(0,MIN(_xlfn.DAYS(EDATE(Q$1,1),Log_2018[[#This Row],[Date]]),Log_2018[[#This Row],[Split_apply]])) - SUM($O215:P215)</f>
        <v>0</v>
      </c>
      <c r="R215" s="52">
        <f ca="1">Log_2018[[#This Row],[Amount]]/Log_2018[[#This Row],[Split_raw]]*MAX(0,MIN(_xlfn.DAYS(EDATE(R$1,1),Log_2018[[#This Row],[Date]]),Log_2018[[#This Row],[Split_apply]])) - SUM($O215:Q215)</f>
        <v>0</v>
      </c>
      <c r="S215" s="52">
        <f ca="1">Log_2018[[#This Row],[Amount]]/Log_2018[[#This Row],[Split_raw]]*MAX(0,MIN(_xlfn.DAYS(EDATE(S$1,1),Log_2018[[#This Row],[Date]]),Log_2018[[#This Row],[Split_apply]])) - SUM($O215:R215)</f>
        <v>0</v>
      </c>
      <c r="T215" s="52">
        <f ca="1">Log_2018[[#This Row],[Amount]]/Log_2018[[#This Row],[Split_raw]]*MAX(0,MIN(_xlfn.DAYS(EDATE(T$1,1),Log_2018[[#This Row],[Date]]),Log_2018[[#This Row],[Split_apply]])) - SUM($O215:S215)</f>
        <v>0</v>
      </c>
      <c r="U215" s="52">
        <f ca="1">Log_2018[[#This Row],[Amount]]/Log_2018[[#This Row],[Split_raw]]*MAX(0,MIN(_xlfn.DAYS(EDATE(U$1,1),Log_2018[[#This Row],[Date]]),Log_2018[[#This Row],[Split_apply]])) - SUM($O215:T215)</f>
        <v>0</v>
      </c>
      <c r="V215" s="52">
        <f ca="1">Log_2018[[#This Row],[Amount]]/Log_2018[[#This Row],[Split_raw]]*MAX(0,MIN(_xlfn.DAYS(EDATE(V$1,1),Log_2018[[#This Row],[Date]]),Log_2018[[#This Row],[Split_apply]])) - SUM($O215:U215)</f>
        <v>0</v>
      </c>
      <c r="W215" s="52">
        <f ca="1">Log_2018[[#This Row],[Amount]]/Log_2018[[#This Row],[Split_raw]]*MAX(0,MIN(_xlfn.DAYS(EDATE(W$1,1),Log_2018[[#This Row],[Date]]),Log_2018[[#This Row],[Split_apply]])) - SUM($O215:V215)</f>
        <v>0</v>
      </c>
      <c r="X215" s="52">
        <f ca="1">Log_2018[[#This Row],[Amount]]/Log_2018[[#This Row],[Split_raw]]*MAX(0,MIN(_xlfn.DAYS(EDATE(X$1,1),Log_2018[[#This Row],[Date]]),Log_2018[[#This Row],[Split_apply]])) - SUM($O215:W215)</f>
        <v>0</v>
      </c>
      <c r="Y215" s="52">
        <f ca="1">Log_2018[[#This Row],[Amount]]/Log_2018[[#This Row],[Split_raw]]*MAX(0,MIN(_xlfn.DAYS(EDATE(Y$1,1),Log_2018[[#This Row],[Date]]),Log_2018[[#This Row],[Split_apply]])) - SUM($O215:X215)</f>
        <v>-1564.74</v>
      </c>
      <c r="Z215" s="52">
        <f ca="1">Log_2018[[#This Row],[Amount]]/Log_2018[[#This Row],[Split_raw]]*MAX(0,MIN(_xlfn.DAYS(EDATE(Z$1,1),Log_2018[[#This Row],[Date]]),Log_2018[[#This Row],[Split_apply]])) - SUM($O215:Y215)</f>
        <v>0</v>
      </c>
      <c r="AA215" s="52">
        <f ca="1">Log_2018[[#This Row],[Amount]]/Log_2018[[#This Row],[Split_raw]]*MAX(0,MIN(_xlfn.DAYS(EDATE(AA$1,1),Log_2018[[#This Row],[Date]]),Log_2018[[#This Row],[Split_apply]])) - SUM($O215:Z215)</f>
        <v>0</v>
      </c>
      <c r="AB215" s="54">
        <f ca="1">Log_2018[[#This Row],[Amount]]-SUM(O215:AA215)</f>
        <v>0</v>
      </c>
      <c r="AC215" s="7">
        <f ca="1">MAX(0,Log_2018[[#This Row],[Split_apply]] - (EDATE(AA$1,1)-Log_2018[[#This Row],[Date]]))</f>
        <v>0</v>
      </c>
    </row>
    <row r="216" spans="1:29" hidden="1" x14ac:dyDescent="0.25">
      <c r="A216" s="115"/>
      <c r="B216" t="s">
        <v>191</v>
      </c>
      <c r="D216" s="26">
        <v>43374</v>
      </c>
      <c r="E216" t="s">
        <v>960</v>
      </c>
      <c r="F216" t="s">
        <v>368</v>
      </c>
      <c r="G216" t="s">
        <v>176</v>
      </c>
      <c r="H216" s="3">
        <v>-320</v>
      </c>
      <c r="I216" s="36">
        <f>IF(Log_2018[[#This Row],[My Category]]="NONTRACKED",0,Log_2018[[#This Row],[Raw Amount]])</f>
        <v>-320</v>
      </c>
      <c r="J216" s="17">
        <f>ABS(Log_2018[[#This Row],[Amount]])</f>
        <v>320</v>
      </c>
      <c r="K216" s="66">
        <v>31</v>
      </c>
      <c r="L216" s="66">
        <f ca="1">IF(Log_2018[[#This Row],[Date]]&lt;=TODAY(), MIN(Log_2018[[#This Row],[Split_raw]], TODAY()-Log_2018[[#This Row],[Date]]+1), 0)</f>
        <v>31</v>
      </c>
      <c r="M216" t="s">
        <v>93</v>
      </c>
      <c r="N216" t="s">
        <v>160</v>
      </c>
      <c r="O216" s="50">
        <v>0</v>
      </c>
      <c r="P216" s="52">
        <f ca="1">Log_2018[[#This Row],[Amount]]/Log_2018[[#This Row],[Split_raw]]*MAX(0,MIN(_xlfn.DAYS(EDATE(P$1,1),Log_2018[[#This Row],[Date]]),Log_2018[[#This Row],[Split_apply]])) - SUM($O216:O216)</f>
        <v>0</v>
      </c>
      <c r="Q216" s="52">
        <f ca="1">Log_2018[[#This Row],[Amount]]/Log_2018[[#This Row],[Split_raw]]*MAX(0,MIN(_xlfn.DAYS(EDATE(Q$1,1),Log_2018[[#This Row],[Date]]),Log_2018[[#This Row],[Split_apply]])) - SUM($O216:P216)</f>
        <v>0</v>
      </c>
      <c r="R216" s="52">
        <f ca="1">Log_2018[[#This Row],[Amount]]/Log_2018[[#This Row],[Split_raw]]*MAX(0,MIN(_xlfn.DAYS(EDATE(R$1,1),Log_2018[[#This Row],[Date]]),Log_2018[[#This Row],[Split_apply]])) - SUM($O216:Q216)</f>
        <v>0</v>
      </c>
      <c r="S216" s="52">
        <f ca="1">Log_2018[[#This Row],[Amount]]/Log_2018[[#This Row],[Split_raw]]*MAX(0,MIN(_xlfn.DAYS(EDATE(S$1,1),Log_2018[[#This Row],[Date]]),Log_2018[[#This Row],[Split_apply]])) - SUM($O216:R216)</f>
        <v>0</v>
      </c>
      <c r="T216" s="52">
        <f ca="1">Log_2018[[#This Row],[Amount]]/Log_2018[[#This Row],[Split_raw]]*MAX(0,MIN(_xlfn.DAYS(EDATE(T$1,1),Log_2018[[#This Row],[Date]]),Log_2018[[#This Row],[Split_apply]])) - SUM($O216:S216)</f>
        <v>0</v>
      </c>
      <c r="U216" s="52">
        <f ca="1">Log_2018[[#This Row],[Amount]]/Log_2018[[#This Row],[Split_raw]]*MAX(0,MIN(_xlfn.DAYS(EDATE(U$1,1),Log_2018[[#This Row],[Date]]),Log_2018[[#This Row],[Split_apply]])) - SUM($O216:T216)</f>
        <v>0</v>
      </c>
      <c r="V216" s="52">
        <f ca="1">Log_2018[[#This Row],[Amount]]/Log_2018[[#This Row],[Split_raw]]*MAX(0,MIN(_xlfn.DAYS(EDATE(V$1,1),Log_2018[[#This Row],[Date]]),Log_2018[[#This Row],[Split_apply]])) - SUM($O216:U216)</f>
        <v>0</v>
      </c>
      <c r="W216" s="52">
        <f ca="1">Log_2018[[#This Row],[Amount]]/Log_2018[[#This Row],[Split_raw]]*MAX(0,MIN(_xlfn.DAYS(EDATE(W$1,1),Log_2018[[#This Row],[Date]]),Log_2018[[#This Row],[Split_apply]])) - SUM($O216:V216)</f>
        <v>0</v>
      </c>
      <c r="X216" s="52">
        <f ca="1">Log_2018[[#This Row],[Amount]]/Log_2018[[#This Row],[Split_raw]]*MAX(0,MIN(_xlfn.DAYS(EDATE(X$1,1),Log_2018[[#This Row],[Date]]),Log_2018[[#This Row],[Split_apply]])) - SUM($O216:W216)</f>
        <v>0</v>
      </c>
      <c r="Y216" s="52">
        <f ca="1">Log_2018[[#This Row],[Amount]]/Log_2018[[#This Row],[Split_raw]]*MAX(0,MIN(_xlfn.DAYS(EDATE(Y$1,1),Log_2018[[#This Row],[Date]]),Log_2018[[#This Row],[Split_apply]])) - SUM($O216:X216)</f>
        <v>-320</v>
      </c>
      <c r="Z216" s="52">
        <f ca="1">Log_2018[[#This Row],[Amount]]/Log_2018[[#This Row],[Split_raw]]*MAX(0,MIN(_xlfn.DAYS(EDATE(Z$1,1),Log_2018[[#This Row],[Date]]),Log_2018[[#This Row],[Split_apply]])) - SUM($O216:Y216)</f>
        <v>0</v>
      </c>
      <c r="AA216" s="52">
        <f ca="1">Log_2018[[#This Row],[Amount]]/Log_2018[[#This Row],[Split_raw]]*MAX(0,MIN(_xlfn.DAYS(EDATE(AA$1,1),Log_2018[[#This Row],[Date]]),Log_2018[[#This Row],[Split_apply]])) - SUM($O216:Z216)</f>
        <v>0</v>
      </c>
      <c r="AB216" s="54">
        <f ca="1">Log_2018[[#This Row],[Amount]]-SUM(O216:AA216)</f>
        <v>0</v>
      </c>
      <c r="AC216" s="7">
        <f ca="1">MAX(0,Log_2018[[#This Row],[Split_apply]] - (EDATE(AA$1,1)-Log_2018[[#This Row],[Date]]))</f>
        <v>0</v>
      </c>
    </row>
    <row r="217" spans="1:29" hidden="1" x14ac:dyDescent="0.25">
      <c r="A217" s="115"/>
      <c r="B217" t="s">
        <v>6</v>
      </c>
      <c r="D217" s="26">
        <v>43374</v>
      </c>
      <c r="E217" t="s">
        <v>240</v>
      </c>
      <c r="F217" t="s">
        <v>345</v>
      </c>
      <c r="G217" t="s">
        <v>12</v>
      </c>
      <c r="H217" s="3">
        <v>-25.83</v>
      </c>
      <c r="I217" s="36">
        <f>IF(Log_2018[[#This Row],[My Category]]="NONTRACKED",0,Log_2018[[#This Row],[Raw Amount]])</f>
        <v>-25.83</v>
      </c>
      <c r="J217" s="17">
        <f>ABS(Log_2018[[#This Row],[Amount]])</f>
        <v>25.83</v>
      </c>
      <c r="K217" s="66">
        <v>1</v>
      </c>
      <c r="L217" s="66">
        <f ca="1">IF(Log_2018[[#This Row],[Date]]&lt;=TODAY(), MIN(Log_2018[[#This Row],[Split_raw]], TODAY()-Log_2018[[#This Row],[Date]]+1), 0)</f>
        <v>1</v>
      </c>
      <c r="M217" t="s">
        <v>53</v>
      </c>
      <c r="N217" t="s">
        <v>158</v>
      </c>
      <c r="O217" s="50">
        <v>0</v>
      </c>
      <c r="P217" s="52">
        <f ca="1">Log_2018[[#This Row],[Amount]]/Log_2018[[#This Row],[Split_raw]]*MAX(0,MIN(_xlfn.DAYS(EDATE(P$1,1),Log_2018[[#This Row],[Date]]),Log_2018[[#This Row],[Split_apply]])) - SUM($O217:O217)</f>
        <v>0</v>
      </c>
      <c r="Q217" s="52">
        <f ca="1">Log_2018[[#This Row],[Amount]]/Log_2018[[#This Row],[Split_raw]]*MAX(0,MIN(_xlfn.DAYS(EDATE(Q$1,1),Log_2018[[#This Row],[Date]]),Log_2018[[#This Row],[Split_apply]])) - SUM($O217:P217)</f>
        <v>0</v>
      </c>
      <c r="R217" s="52">
        <f ca="1">Log_2018[[#This Row],[Amount]]/Log_2018[[#This Row],[Split_raw]]*MAX(0,MIN(_xlfn.DAYS(EDATE(R$1,1),Log_2018[[#This Row],[Date]]),Log_2018[[#This Row],[Split_apply]])) - SUM($O217:Q217)</f>
        <v>0</v>
      </c>
      <c r="S217" s="52">
        <f ca="1">Log_2018[[#This Row],[Amount]]/Log_2018[[#This Row],[Split_raw]]*MAX(0,MIN(_xlfn.DAYS(EDATE(S$1,1),Log_2018[[#This Row],[Date]]),Log_2018[[#This Row],[Split_apply]])) - SUM($O217:R217)</f>
        <v>0</v>
      </c>
      <c r="T217" s="52">
        <f ca="1">Log_2018[[#This Row],[Amount]]/Log_2018[[#This Row],[Split_raw]]*MAX(0,MIN(_xlfn.DAYS(EDATE(T$1,1),Log_2018[[#This Row],[Date]]),Log_2018[[#This Row],[Split_apply]])) - SUM($O217:S217)</f>
        <v>0</v>
      </c>
      <c r="U217" s="52">
        <f ca="1">Log_2018[[#This Row],[Amount]]/Log_2018[[#This Row],[Split_raw]]*MAX(0,MIN(_xlfn.DAYS(EDATE(U$1,1),Log_2018[[#This Row],[Date]]),Log_2018[[#This Row],[Split_apply]])) - SUM($O217:T217)</f>
        <v>0</v>
      </c>
      <c r="V217" s="52">
        <f ca="1">Log_2018[[#This Row],[Amount]]/Log_2018[[#This Row],[Split_raw]]*MAX(0,MIN(_xlfn.DAYS(EDATE(V$1,1),Log_2018[[#This Row],[Date]]),Log_2018[[#This Row],[Split_apply]])) - SUM($O217:U217)</f>
        <v>0</v>
      </c>
      <c r="W217" s="52">
        <f ca="1">Log_2018[[#This Row],[Amount]]/Log_2018[[#This Row],[Split_raw]]*MAX(0,MIN(_xlfn.DAYS(EDATE(W$1,1),Log_2018[[#This Row],[Date]]),Log_2018[[#This Row],[Split_apply]])) - SUM($O217:V217)</f>
        <v>0</v>
      </c>
      <c r="X217" s="52">
        <f ca="1">Log_2018[[#This Row],[Amount]]/Log_2018[[#This Row],[Split_raw]]*MAX(0,MIN(_xlfn.DAYS(EDATE(X$1,1),Log_2018[[#This Row],[Date]]),Log_2018[[#This Row],[Split_apply]])) - SUM($O217:W217)</f>
        <v>0</v>
      </c>
      <c r="Y217" s="52">
        <f ca="1">Log_2018[[#This Row],[Amount]]/Log_2018[[#This Row],[Split_raw]]*MAX(0,MIN(_xlfn.DAYS(EDATE(Y$1,1),Log_2018[[#This Row],[Date]]),Log_2018[[#This Row],[Split_apply]])) - SUM($O217:X217)</f>
        <v>-25.83</v>
      </c>
      <c r="Z217" s="52">
        <f ca="1">Log_2018[[#This Row],[Amount]]/Log_2018[[#This Row],[Split_raw]]*MAX(0,MIN(_xlfn.DAYS(EDATE(Z$1,1),Log_2018[[#This Row],[Date]]),Log_2018[[#This Row],[Split_apply]])) - SUM($O217:Y217)</f>
        <v>0</v>
      </c>
      <c r="AA217" s="52">
        <f ca="1">Log_2018[[#This Row],[Amount]]/Log_2018[[#This Row],[Split_raw]]*MAX(0,MIN(_xlfn.DAYS(EDATE(AA$1,1),Log_2018[[#This Row],[Date]]),Log_2018[[#This Row],[Split_apply]])) - SUM($O217:Z217)</f>
        <v>0</v>
      </c>
      <c r="AB217" s="54">
        <f ca="1">Log_2018[[#This Row],[Amount]]-SUM(O217:AA217)</f>
        <v>0</v>
      </c>
      <c r="AC217" s="7">
        <f ca="1">MAX(0,Log_2018[[#This Row],[Split_apply]] - (EDATE(AA$1,1)-Log_2018[[#This Row],[Date]]))</f>
        <v>0</v>
      </c>
    </row>
    <row r="218" spans="1:29" hidden="1" x14ac:dyDescent="0.25">
      <c r="A218" s="115"/>
      <c r="B218" t="s">
        <v>6</v>
      </c>
      <c r="D218" s="26">
        <v>43374</v>
      </c>
      <c r="F218" t="s">
        <v>345</v>
      </c>
      <c r="G218" t="s">
        <v>12</v>
      </c>
      <c r="H218" s="3">
        <v>-90</v>
      </c>
      <c r="I218" s="36">
        <f>IF(Log_2018[[#This Row],[My Category]]="NONTRACKED",0,Log_2018[[#This Row],[Raw Amount]])</f>
        <v>-90</v>
      </c>
      <c r="J218" s="17">
        <f>ABS(Log_2018[[#This Row],[Amount]])</f>
        <v>90</v>
      </c>
      <c r="K218" s="66">
        <v>1</v>
      </c>
      <c r="L218" s="66">
        <f ca="1">IF(Log_2018[[#This Row],[Date]]&lt;=TODAY(), MIN(Log_2018[[#This Row],[Split_raw]], TODAY()-Log_2018[[#This Row],[Date]]+1), 0)</f>
        <v>1</v>
      </c>
      <c r="M218" t="s">
        <v>12</v>
      </c>
      <c r="N218" t="s">
        <v>158</v>
      </c>
      <c r="O218" s="50">
        <v>0</v>
      </c>
      <c r="P218" s="52">
        <f ca="1">Log_2018[[#This Row],[Amount]]/Log_2018[[#This Row],[Split_raw]]*MAX(0,MIN(_xlfn.DAYS(EDATE(P$1,1),Log_2018[[#This Row],[Date]]),Log_2018[[#This Row],[Split_apply]])) - SUM($O218:O218)</f>
        <v>0</v>
      </c>
      <c r="Q218" s="52">
        <f ca="1">Log_2018[[#This Row],[Amount]]/Log_2018[[#This Row],[Split_raw]]*MAX(0,MIN(_xlfn.DAYS(EDATE(Q$1,1),Log_2018[[#This Row],[Date]]),Log_2018[[#This Row],[Split_apply]])) - SUM($O218:P218)</f>
        <v>0</v>
      </c>
      <c r="R218" s="52">
        <f ca="1">Log_2018[[#This Row],[Amount]]/Log_2018[[#This Row],[Split_raw]]*MAX(0,MIN(_xlfn.DAYS(EDATE(R$1,1),Log_2018[[#This Row],[Date]]),Log_2018[[#This Row],[Split_apply]])) - SUM($O218:Q218)</f>
        <v>0</v>
      </c>
      <c r="S218" s="52">
        <f ca="1">Log_2018[[#This Row],[Amount]]/Log_2018[[#This Row],[Split_raw]]*MAX(0,MIN(_xlfn.DAYS(EDATE(S$1,1),Log_2018[[#This Row],[Date]]),Log_2018[[#This Row],[Split_apply]])) - SUM($O218:R218)</f>
        <v>0</v>
      </c>
      <c r="T218" s="52">
        <f ca="1">Log_2018[[#This Row],[Amount]]/Log_2018[[#This Row],[Split_raw]]*MAX(0,MIN(_xlfn.DAYS(EDATE(T$1,1),Log_2018[[#This Row],[Date]]),Log_2018[[#This Row],[Split_apply]])) - SUM($O218:S218)</f>
        <v>0</v>
      </c>
      <c r="U218" s="52">
        <f ca="1">Log_2018[[#This Row],[Amount]]/Log_2018[[#This Row],[Split_raw]]*MAX(0,MIN(_xlfn.DAYS(EDATE(U$1,1),Log_2018[[#This Row],[Date]]),Log_2018[[#This Row],[Split_apply]])) - SUM($O218:T218)</f>
        <v>0</v>
      </c>
      <c r="V218" s="52">
        <f ca="1">Log_2018[[#This Row],[Amount]]/Log_2018[[#This Row],[Split_raw]]*MAX(0,MIN(_xlfn.DAYS(EDATE(V$1,1),Log_2018[[#This Row],[Date]]),Log_2018[[#This Row],[Split_apply]])) - SUM($O218:U218)</f>
        <v>0</v>
      </c>
      <c r="W218" s="52">
        <f ca="1">Log_2018[[#This Row],[Amount]]/Log_2018[[#This Row],[Split_raw]]*MAX(0,MIN(_xlfn.DAYS(EDATE(W$1,1),Log_2018[[#This Row],[Date]]),Log_2018[[#This Row],[Split_apply]])) - SUM($O218:V218)</f>
        <v>0</v>
      </c>
      <c r="X218" s="52">
        <f ca="1">Log_2018[[#This Row],[Amount]]/Log_2018[[#This Row],[Split_raw]]*MAX(0,MIN(_xlfn.DAYS(EDATE(X$1,1),Log_2018[[#This Row],[Date]]),Log_2018[[#This Row],[Split_apply]])) - SUM($O218:W218)</f>
        <v>0</v>
      </c>
      <c r="Y218" s="52">
        <f ca="1">Log_2018[[#This Row],[Amount]]/Log_2018[[#This Row],[Split_raw]]*MAX(0,MIN(_xlfn.DAYS(EDATE(Y$1,1),Log_2018[[#This Row],[Date]]),Log_2018[[#This Row],[Split_apply]])) - SUM($O218:X218)</f>
        <v>-90</v>
      </c>
      <c r="Z218" s="52">
        <f ca="1">Log_2018[[#This Row],[Amount]]/Log_2018[[#This Row],[Split_raw]]*MAX(0,MIN(_xlfn.DAYS(EDATE(Z$1,1),Log_2018[[#This Row],[Date]]),Log_2018[[#This Row],[Split_apply]])) - SUM($O218:Y218)</f>
        <v>0</v>
      </c>
      <c r="AA218" s="52">
        <f ca="1">Log_2018[[#This Row],[Amount]]/Log_2018[[#This Row],[Split_raw]]*MAX(0,MIN(_xlfn.DAYS(EDATE(AA$1,1),Log_2018[[#This Row],[Date]]),Log_2018[[#This Row],[Split_apply]])) - SUM($O218:Z218)</f>
        <v>0</v>
      </c>
      <c r="AB218" s="54">
        <f ca="1">Log_2018[[#This Row],[Amount]]-SUM(O218:AA218)</f>
        <v>0</v>
      </c>
      <c r="AC218" s="7">
        <f ca="1">MAX(0,Log_2018[[#This Row],[Split_apply]] - (EDATE(AA$1,1)-Log_2018[[#This Row],[Date]]))</f>
        <v>0</v>
      </c>
    </row>
    <row r="219" spans="1:29" hidden="1" x14ac:dyDescent="0.25">
      <c r="A219" s="115"/>
      <c r="B219" t="s">
        <v>6</v>
      </c>
      <c r="D219" s="26">
        <v>43374</v>
      </c>
      <c r="F219" t="s">
        <v>308</v>
      </c>
      <c r="G219" t="s">
        <v>25</v>
      </c>
      <c r="H219" s="3">
        <v>-7.55</v>
      </c>
      <c r="I219" s="36">
        <f>IF(Log_2018[[#This Row],[My Category]]="NONTRACKED",0,Log_2018[[#This Row],[Raw Amount]])</f>
        <v>-7.55</v>
      </c>
      <c r="J219" s="17">
        <f>ABS(Log_2018[[#This Row],[Amount]])</f>
        <v>7.55</v>
      </c>
      <c r="K219" s="66">
        <v>1</v>
      </c>
      <c r="L219" s="66">
        <f ca="1">IF(Log_2018[[#This Row],[Date]]&lt;=TODAY(), MIN(Log_2018[[#This Row],[Split_raw]], TODAY()-Log_2018[[#This Row],[Date]]+1), 0)</f>
        <v>1</v>
      </c>
      <c r="M219" t="s">
        <v>35</v>
      </c>
      <c r="N219" t="s">
        <v>158</v>
      </c>
      <c r="O219" s="50">
        <v>0</v>
      </c>
      <c r="P219" s="52">
        <f ca="1">Log_2018[[#This Row],[Amount]]/Log_2018[[#This Row],[Split_raw]]*MAX(0,MIN(_xlfn.DAYS(EDATE(P$1,1),Log_2018[[#This Row],[Date]]),Log_2018[[#This Row],[Split_apply]])) - SUM($O219:O219)</f>
        <v>0</v>
      </c>
      <c r="Q219" s="52">
        <f ca="1">Log_2018[[#This Row],[Amount]]/Log_2018[[#This Row],[Split_raw]]*MAX(0,MIN(_xlfn.DAYS(EDATE(Q$1,1),Log_2018[[#This Row],[Date]]),Log_2018[[#This Row],[Split_apply]])) - SUM($O219:P219)</f>
        <v>0</v>
      </c>
      <c r="R219" s="52">
        <f ca="1">Log_2018[[#This Row],[Amount]]/Log_2018[[#This Row],[Split_raw]]*MAX(0,MIN(_xlfn.DAYS(EDATE(R$1,1),Log_2018[[#This Row],[Date]]),Log_2018[[#This Row],[Split_apply]])) - SUM($O219:Q219)</f>
        <v>0</v>
      </c>
      <c r="S219" s="52">
        <f ca="1">Log_2018[[#This Row],[Amount]]/Log_2018[[#This Row],[Split_raw]]*MAX(0,MIN(_xlfn.DAYS(EDATE(S$1,1),Log_2018[[#This Row],[Date]]),Log_2018[[#This Row],[Split_apply]])) - SUM($O219:R219)</f>
        <v>0</v>
      </c>
      <c r="T219" s="52">
        <f ca="1">Log_2018[[#This Row],[Amount]]/Log_2018[[#This Row],[Split_raw]]*MAX(0,MIN(_xlfn.DAYS(EDATE(T$1,1),Log_2018[[#This Row],[Date]]),Log_2018[[#This Row],[Split_apply]])) - SUM($O219:S219)</f>
        <v>0</v>
      </c>
      <c r="U219" s="52">
        <f ca="1">Log_2018[[#This Row],[Amount]]/Log_2018[[#This Row],[Split_raw]]*MAX(0,MIN(_xlfn.DAYS(EDATE(U$1,1),Log_2018[[#This Row],[Date]]),Log_2018[[#This Row],[Split_apply]])) - SUM($O219:T219)</f>
        <v>0</v>
      </c>
      <c r="V219" s="52">
        <f ca="1">Log_2018[[#This Row],[Amount]]/Log_2018[[#This Row],[Split_raw]]*MAX(0,MIN(_xlfn.DAYS(EDATE(V$1,1),Log_2018[[#This Row],[Date]]),Log_2018[[#This Row],[Split_apply]])) - SUM($O219:U219)</f>
        <v>0</v>
      </c>
      <c r="W219" s="52">
        <f ca="1">Log_2018[[#This Row],[Amount]]/Log_2018[[#This Row],[Split_raw]]*MAX(0,MIN(_xlfn.DAYS(EDATE(W$1,1),Log_2018[[#This Row],[Date]]),Log_2018[[#This Row],[Split_apply]])) - SUM($O219:V219)</f>
        <v>0</v>
      </c>
      <c r="X219" s="52">
        <f ca="1">Log_2018[[#This Row],[Amount]]/Log_2018[[#This Row],[Split_raw]]*MAX(0,MIN(_xlfn.DAYS(EDATE(X$1,1),Log_2018[[#This Row],[Date]]),Log_2018[[#This Row],[Split_apply]])) - SUM($O219:W219)</f>
        <v>0</v>
      </c>
      <c r="Y219" s="52">
        <f ca="1">Log_2018[[#This Row],[Amount]]/Log_2018[[#This Row],[Split_raw]]*MAX(0,MIN(_xlfn.DAYS(EDATE(Y$1,1),Log_2018[[#This Row],[Date]]),Log_2018[[#This Row],[Split_apply]])) - SUM($O219:X219)</f>
        <v>-7.55</v>
      </c>
      <c r="Z219" s="52">
        <f ca="1">Log_2018[[#This Row],[Amount]]/Log_2018[[#This Row],[Split_raw]]*MAX(0,MIN(_xlfn.DAYS(EDATE(Z$1,1),Log_2018[[#This Row],[Date]]),Log_2018[[#This Row],[Split_apply]])) - SUM($O219:Y219)</f>
        <v>0</v>
      </c>
      <c r="AA219" s="52">
        <f ca="1">Log_2018[[#This Row],[Amount]]/Log_2018[[#This Row],[Split_raw]]*MAX(0,MIN(_xlfn.DAYS(EDATE(AA$1,1),Log_2018[[#This Row],[Date]]),Log_2018[[#This Row],[Split_apply]])) - SUM($O219:Z219)</f>
        <v>0</v>
      </c>
      <c r="AB219" s="54">
        <f ca="1">Log_2018[[#This Row],[Amount]]-SUM(O219:AA219)</f>
        <v>0</v>
      </c>
      <c r="AC219" s="7">
        <f ca="1">MAX(0,Log_2018[[#This Row],[Split_apply]] - (EDATE(AA$1,1)-Log_2018[[#This Row],[Date]]))</f>
        <v>0</v>
      </c>
    </row>
    <row r="220" spans="1:29" hidden="1" x14ac:dyDescent="0.25">
      <c r="A220" s="115"/>
      <c r="B220" t="s">
        <v>6</v>
      </c>
      <c r="D220" s="26">
        <v>43374</v>
      </c>
      <c r="F220" t="s">
        <v>370</v>
      </c>
      <c r="G220" t="s">
        <v>9</v>
      </c>
      <c r="H220" s="3">
        <v>-75.569999999999993</v>
      </c>
      <c r="I220" s="36">
        <f>IF(Log_2018[[#This Row],[My Category]]="NONTRACKED",0,Log_2018[[#This Row],[Raw Amount]])</f>
        <v>-75.569999999999993</v>
      </c>
      <c r="J220" s="17">
        <f>ABS(Log_2018[[#This Row],[Amount]])</f>
        <v>75.569999999999993</v>
      </c>
      <c r="K220" s="66">
        <v>1</v>
      </c>
      <c r="L220" s="66">
        <f ca="1">IF(Log_2018[[#This Row],[Date]]&lt;=TODAY(), MIN(Log_2018[[#This Row],[Split_raw]], TODAY()-Log_2018[[#This Row],[Date]]+1), 0)</f>
        <v>1</v>
      </c>
      <c r="M220" t="s">
        <v>145</v>
      </c>
      <c r="N220" t="s">
        <v>158</v>
      </c>
      <c r="O220" s="50">
        <v>0</v>
      </c>
      <c r="P220" s="52">
        <f ca="1">Log_2018[[#This Row],[Amount]]/Log_2018[[#This Row],[Split_raw]]*MAX(0,MIN(_xlfn.DAYS(EDATE(P$1,1),Log_2018[[#This Row],[Date]]),Log_2018[[#This Row],[Split_apply]])) - SUM($O220:O220)</f>
        <v>0</v>
      </c>
      <c r="Q220" s="52">
        <f ca="1">Log_2018[[#This Row],[Amount]]/Log_2018[[#This Row],[Split_raw]]*MAX(0,MIN(_xlfn.DAYS(EDATE(Q$1,1),Log_2018[[#This Row],[Date]]),Log_2018[[#This Row],[Split_apply]])) - SUM($O220:P220)</f>
        <v>0</v>
      </c>
      <c r="R220" s="52">
        <f ca="1">Log_2018[[#This Row],[Amount]]/Log_2018[[#This Row],[Split_raw]]*MAX(0,MIN(_xlfn.DAYS(EDATE(R$1,1),Log_2018[[#This Row],[Date]]),Log_2018[[#This Row],[Split_apply]])) - SUM($O220:Q220)</f>
        <v>0</v>
      </c>
      <c r="S220" s="52">
        <f ca="1">Log_2018[[#This Row],[Amount]]/Log_2018[[#This Row],[Split_raw]]*MAX(0,MIN(_xlfn.DAYS(EDATE(S$1,1),Log_2018[[#This Row],[Date]]),Log_2018[[#This Row],[Split_apply]])) - SUM($O220:R220)</f>
        <v>0</v>
      </c>
      <c r="T220" s="52">
        <f ca="1">Log_2018[[#This Row],[Amount]]/Log_2018[[#This Row],[Split_raw]]*MAX(0,MIN(_xlfn.DAYS(EDATE(T$1,1),Log_2018[[#This Row],[Date]]),Log_2018[[#This Row],[Split_apply]])) - SUM($O220:S220)</f>
        <v>0</v>
      </c>
      <c r="U220" s="52">
        <f ca="1">Log_2018[[#This Row],[Amount]]/Log_2018[[#This Row],[Split_raw]]*MAX(0,MIN(_xlfn.DAYS(EDATE(U$1,1),Log_2018[[#This Row],[Date]]),Log_2018[[#This Row],[Split_apply]])) - SUM($O220:T220)</f>
        <v>0</v>
      </c>
      <c r="V220" s="52">
        <f ca="1">Log_2018[[#This Row],[Amount]]/Log_2018[[#This Row],[Split_raw]]*MAX(0,MIN(_xlfn.DAYS(EDATE(V$1,1),Log_2018[[#This Row],[Date]]),Log_2018[[#This Row],[Split_apply]])) - SUM($O220:U220)</f>
        <v>0</v>
      </c>
      <c r="W220" s="52">
        <f ca="1">Log_2018[[#This Row],[Amount]]/Log_2018[[#This Row],[Split_raw]]*MAX(0,MIN(_xlfn.DAYS(EDATE(W$1,1),Log_2018[[#This Row],[Date]]),Log_2018[[#This Row],[Split_apply]])) - SUM($O220:V220)</f>
        <v>0</v>
      </c>
      <c r="X220" s="52">
        <f ca="1">Log_2018[[#This Row],[Amount]]/Log_2018[[#This Row],[Split_raw]]*MAX(0,MIN(_xlfn.DAYS(EDATE(X$1,1),Log_2018[[#This Row],[Date]]),Log_2018[[#This Row],[Split_apply]])) - SUM($O220:W220)</f>
        <v>0</v>
      </c>
      <c r="Y220" s="52">
        <f ca="1">Log_2018[[#This Row],[Amount]]/Log_2018[[#This Row],[Split_raw]]*MAX(0,MIN(_xlfn.DAYS(EDATE(Y$1,1),Log_2018[[#This Row],[Date]]),Log_2018[[#This Row],[Split_apply]])) - SUM($O220:X220)</f>
        <v>-75.569999999999993</v>
      </c>
      <c r="Z220" s="52">
        <f ca="1">Log_2018[[#This Row],[Amount]]/Log_2018[[#This Row],[Split_raw]]*MAX(0,MIN(_xlfn.DAYS(EDATE(Z$1,1),Log_2018[[#This Row],[Date]]),Log_2018[[#This Row],[Split_apply]])) - SUM($O220:Y220)</f>
        <v>0</v>
      </c>
      <c r="AA220" s="52">
        <f ca="1">Log_2018[[#This Row],[Amount]]/Log_2018[[#This Row],[Split_raw]]*MAX(0,MIN(_xlfn.DAYS(EDATE(AA$1,1),Log_2018[[#This Row],[Date]]),Log_2018[[#This Row],[Split_apply]])) - SUM($O220:Z220)</f>
        <v>0</v>
      </c>
      <c r="AB220" s="54">
        <f ca="1">Log_2018[[#This Row],[Amount]]-SUM(O220:AA220)</f>
        <v>0</v>
      </c>
      <c r="AC220" s="7">
        <f ca="1">MAX(0,Log_2018[[#This Row],[Split_apply]] - (EDATE(AA$1,1)-Log_2018[[#This Row],[Date]]))</f>
        <v>0</v>
      </c>
    </row>
    <row r="221" spans="1:29" hidden="1" x14ac:dyDescent="0.25">
      <c r="A221" s="115"/>
      <c r="B221" t="s">
        <v>6</v>
      </c>
      <c r="D221" s="26">
        <v>43372</v>
      </c>
      <c r="F221" t="s">
        <v>212</v>
      </c>
      <c r="G221" t="s">
        <v>25</v>
      </c>
      <c r="H221" s="3">
        <v>-26.13</v>
      </c>
      <c r="I221" s="36">
        <f>IF(Log_2018[[#This Row],[My Category]]="NONTRACKED",0,Log_2018[[#This Row],[Raw Amount]])</f>
        <v>-26.13</v>
      </c>
      <c r="J221" s="17">
        <f>ABS(Log_2018[[#This Row],[Amount]])</f>
        <v>26.13</v>
      </c>
      <c r="K221" s="66">
        <v>1</v>
      </c>
      <c r="L221" s="66">
        <f ca="1">IF(Log_2018[[#This Row],[Date]]&lt;=TODAY(), MIN(Log_2018[[#This Row],[Split_raw]], TODAY()-Log_2018[[#This Row],[Date]]+1), 0)</f>
        <v>1</v>
      </c>
      <c r="M221" t="s">
        <v>37</v>
      </c>
      <c r="N221" t="s">
        <v>158</v>
      </c>
      <c r="O221" s="50">
        <v>0</v>
      </c>
      <c r="P221" s="52">
        <f ca="1">Log_2018[[#This Row],[Amount]]/Log_2018[[#This Row],[Split_raw]]*MAX(0,MIN(_xlfn.DAYS(EDATE(P$1,1),Log_2018[[#This Row],[Date]]),Log_2018[[#This Row],[Split_apply]])) - SUM($O221:O221)</f>
        <v>0</v>
      </c>
      <c r="Q221" s="52">
        <f ca="1">Log_2018[[#This Row],[Amount]]/Log_2018[[#This Row],[Split_raw]]*MAX(0,MIN(_xlfn.DAYS(EDATE(Q$1,1),Log_2018[[#This Row],[Date]]),Log_2018[[#This Row],[Split_apply]])) - SUM($O221:P221)</f>
        <v>0</v>
      </c>
      <c r="R221" s="52">
        <f ca="1">Log_2018[[#This Row],[Amount]]/Log_2018[[#This Row],[Split_raw]]*MAX(0,MIN(_xlfn.DAYS(EDATE(R$1,1),Log_2018[[#This Row],[Date]]),Log_2018[[#This Row],[Split_apply]])) - SUM($O221:Q221)</f>
        <v>0</v>
      </c>
      <c r="S221" s="52">
        <f ca="1">Log_2018[[#This Row],[Amount]]/Log_2018[[#This Row],[Split_raw]]*MAX(0,MIN(_xlfn.DAYS(EDATE(S$1,1),Log_2018[[#This Row],[Date]]),Log_2018[[#This Row],[Split_apply]])) - SUM($O221:R221)</f>
        <v>0</v>
      </c>
      <c r="T221" s="52">
        <f ca="1">Log_2018[[#This Row],[Amount]]/Log_2018[[#This Row],[Split_raw]]*MAX(0,MIN(_xlfn.DAYS(EDATE(T$1,1),Log_2018[[#This Row],[Date]]),Log_2018[[#This Row],[Split_apply]])) - SUM($O221:S221)</f>
        <v>0</v>
      </c>
      <c r="U221" s="52">
        <f ca="1">Log_2018[[#This Row],[Amount]]/Log_2018[[#This Row],[Split_raw]]*MAX(0,MIN(_xlfn.DAYS(EDATE(U$1,1),Log_2018[[#This Row],[Date]]),Log_2018[[#This Row],[Split_apply]])) - SUM($O221:T221)</f>
        <v>0</v>
      </c>
      <c r="V221" s="52">
        <f ca="1">Log_2018[[#This Row],[Amount]]/Log_2018[[#This Row],[Split_raw]]*MAX(0,MIN(_xlfn.DAYS(EDATE(V$1,1),Log_2018[[#This Row],[Date]]),Log_2018[[#This Row],[Split_apply]])) - SUM($O221:U221)</f>
        <v>0</v>
      </c>
      <c r="W221" s="52">
        <f ca="1">Log_2018[[#This Row],[Amount]]/Log_2018[[#This Row],[Split_raw]]*MAX(0,MIN(_xlfn.DAYS(EDATE(W$1,1),Log_2018[[#This Row],[Date]]),Log_2018[[#This Row],[Split_apply]])) - SUM($O221:V221)</f>
        <v>0</v>
      </c>
      <c r="X221" s="52">
        <f ca="1">Log_2018[[#This Row],[Amount]]/Log_2018[[#This Row],[Split_raw]]*MAX(0,MIN(_xlfn.DAYS(EDATE(X$1,1),Log_2018[[#This Row],[Date]]),Log_2018[[#This Row],[Split_apply]])) - SUM($O221:W221)</f>
        <v>-26.13</v>
      </c>
      <c r="Y221" s="52">
        <f ca="1">Log_2018[[#This Row],[Amount]]/Log_2018[[#This Row],[Split_raw]]*MAX(0,MIN(_xlfn.DAYS(EDATE(Y$1,1),Log_2018[[#This Row],[Date]]),Log_2018[[#This Row],[Split_apply]])) - SUM($O221:X221)</f>
        <v>0</v>
      </c>
      <c r="Z221" s="52">
        <f ca="1">Log_2018[[#This Row],[Amount]]/Log_2018[[#This Row],[Split_raw]]*MAX(0,MIN(_xlfn.DAYS(EDATE(Z$1,1),Log_2018[[#This Row],[Date]]),Log_2018[[#This Row],[Split_apply]])) - SUM($O221:Y221)</f>
        <v>0</v>
      </c>
      <c r="AA221" s="52">
        <f ca="1">Log_2018[[#This Row],[Amount]]/Log_2018[[#This Row],[Split_raw]]*MAX(0,MIN(_xlfn.DAYS(EDATE(AA$1,1),Log_2018[[#This Row],[Date]]),Log_2018[[#This Row],[Split_apply]])) - SUM($O221:Z221)</f>
        <v>0</v>
      </c>
      <c r="AB221" s="54">
        <f ca="1">Log_2018[[#This Row],[Amount]]-SUM(O221:AA221)</f>
        <v>0</v>
      </c>
      <c r="AC221" s="7">
        <f ca="1">MAX(0,Log_2018[[#This Row],[Split_apply]] - (EDATE(AA$1,1)-Log_2018[[#This Row],[Date]]))</f>
        <v>0</v>
      </c>
    </row>
    <row r="222" spans="1:29" hidden="1" x14ac:dyDescent="0.25">
      <c r="A222" s="115"/>
      <c r="B222" t="s">
        <v>6</v>
      </c>
      <c r="D222" s="26">
        <v>43372</v>
      </c>
      <c r="F222" t="s">
        <v>371</v>
      </c>
      <c r="G222" t="s">
        <v>25</v>
      </c>
      <c r="H222" s="3">
        <v>-14.06</v>
      </c>
      <c r="I222" s="36">
        <f>IF(Log_2018[[#This Row],[My Category]]="NONTRACKED",0,Log_2018[[#This Row],[Raw Amount]])</f>
        <v>-14.06</v>
      </c>
      <c r="J222" s="17">
        <f>ABS(Log_2018[[#This Row],[Amount]])</f>
        <v>14.06</v>
      </c>
      <c r="K222" s="66">
        <v>1</v>
      </c>
      <c r="L222" s="66">
        <f ca="1">IF(Log_2018[[#This Row],[Date]]&lt;=TODAY(), MIN(Log_2018[[#This Row],[Split_raw]], TODAY()-Log_2018[[#This Row],[Date]]+1), 0)</f>
        <v>1</v>
      </c>
      <c r="M222" t="s">
        <v>41</v>
      </c>
      <c r="N222" t="s">
        <v>158</v>
      </c>
      <c r="O222" s="50">
        <v>0</v>
      </c>
      <c r="P222" s="52">
        <f ca="1">Log_2018[[#This Row],[Amount]]/Log_2018[[#This Row],[Split_raw]]*MAX(0,MIN(_xlfn.DAYS(EDATE(P$1,1),Log_2018[[#This Row],[Date]]),Log_2018[[#This Row],[Split_apply]])) - SUM($O222:O222)</f>
        <v>0</v>
      </c>
      <c r="Q222" s="52">
        <f ca="1">Log_2018[[#This Row],[Amount]]/Log_2018[[#This Row],[Split_raw]]*MAX(0,MIN(_xlfn.DAYS(EDATE(Q$1,1),Log_2018[[#This Row],[Date]]),Log_2018[[#This Row],[Split_apply]])) - SUM($O222:P222)</f>
        <v>0</v>
      </c>
      <c r="R222" s="52">
        <f ca="1">Log_2018[[#This Row],[Amount]]/Log_2018[[#This Row],[Split_raw]]*MAX(0,MIN(_xlfn.DAYS(EDATE(R$1,1),Log_2018[[#This Row],[Date]]),Log_2018[[#This Row],[Split_apply]])) - SUM($O222:Q222)</f>
        <v>0</v>
      </c>
      <c r="S222" s="52">
        <f ca="1">Log_2018[[#This Row],[Amount]]/Log_2018[[#This Row],[Split_raw]]*MAX(0,MIN(_xlfn.DAYS(EDATE(S$1,1),Log_2018[[#This Row],[Date]]),Log_2018[[#This Row],[Split_apply]])) - SUM($O222:R222)</f>
        <v>0</v>
      </c>
      <c r="T222" s="52">
        <f ca="1">Log_2018[[#This Row],[Amount]]/Log_2018[[#This Row],[Split_raw]]*MAX(0,MIN(_xlfn.DAYS(EDATE(T$1,1),Log_2018[[#This Row],[Date]]),Log_2018[[#This Row],[Split_apply]])) - SUM($O222:S222)</f>
        <v>0</v>
      </c>
      <c r="U222" s="52">
        <f ca="1">Log_2018[[#This Row],[Amount]]/Log_2018[[#This Row],[Split_raw]]*MAX(0,MIN(_xlfn.DAYS(EDATE(U$1,1),Log_2018[[#This Row],[Date]]),Log_2018[[#This Row],[Split_apply]])) - SUM($O222:T222)</f>
        <v>0</v>
      </c>
      <c r="V222" s="52">
        <f ca="1">Log_2018[[#This Row],[Amount]]/Log_2018[[#This Row],[Split_raw]]*MAX(0,MIN(_xlfn.DAYS(EDATE(V$1,1),Log_2018[[#This Row],[Date]]),Log_2018[[#This Row],[Split_apply]])) - SUM($O222:U222)</f>
        <v>0</v>
      </c>
      <c r="W222" s="52">
        <f ca="1">Log_2018[[#This Row],[Amount]]/Log_2018[[#This Row],[Split_raw]]*MAX(0,MIN(_xlfn.DAYS(EDATE(W$1,1),Log_2018[[#This Row],[Date]]),Log_2018[[#This Row],[Split_apply]])) - SUM($O222:V222)</f>
        <v>0</v>
      </c>
      <c r="X222" s="52">
        <f ca="1">Log_2018[[#This Row],[Amount]]/Log_2018[[#This Row],[Split_raw]]*MAX(0,MIN(_xlfn.DAYS(EDATE(X$1,1),Log_2018[[#This Row],[Date]]),Log_2018[[#This Row],[Split_apply]])) - SUM($O222:W222)</f>
        <v>-14.06</v>
      </c>
      <c r="Y222" s="52">
        <f ca="1">Log_2018[[#This Row],[Amount]]/Log_2018[[#This Row],[Split_raw]]*MAX(0,MIN(_xlfn.DAYS(EDATE(Y$1,1),Log_2018[[#This Row],[Date]]),Log_2018[[#This Row],[Split_apply]])) - SUM($O222:X222)</f>
        <v>0</v>
      </c>
      <c r="Z222" s="52">
        <f ca="1">Log_2018[[#This Row],[Amount]]/Log_2018[[#This Row],[Split_raw]]*MAX(0,MIN(_xlfn.DAYS(EDATE(Z$1,1),Log_2018[[#This Row],[Date]]),Log_2018[[#This Row],[Split_apply]])) - SUM($O222:Y222)</f>
        <v>0</v>
      </c>
      <c r="AA222" s="52">
        <f ca="1">Log_2018[[#This Row],[Amount]]/Log_2018[[#This Row],[Split_raw]]*MAX(0,MIN(_xlfn.DAYS(EDATE(AA$1,1),Log_2018[[#This Row],[Date]]),Log_2018[[#This Row],[Split_apply]])) - SUM($O222:Z222)</f>
        <v>0</v>
      </c>
      <c r="AB222" s="54">
        <f ca="1">Log_2018[[#This Row],[Amount]]-SUM(O222:AA222)</f>
        <v>0</v>
      </c>
      <c r="AC222" s="7">
        <f ca="1">MAX(0,Log_2018[[#This Row],[Split_apply]] - (EDATE(AA$1,1)-Log_2018[[#This Row],[Date]]))</f>
        <v>0</v>
      </c>
    </row>
    <row r="223" spans="1:29" hidden="1" x14ac:dyDescent="0.25">
      <c r="A223" s="115"/>
      <c r="B223" t="s">
        <v>6</v>
      </c>
      <c r="D223" s="26">
        <v>43371</v>
      </c>
      <c r="F223" t="s">
        <v>246</v>
      </c>
      <c r="G223" t="s">
        <v>143</v>
      </c>
      <c r="H223" s="3">
        <v>-8.65</v>
      </c>
      <c r="I223" s="36">
        <f>IF(Log_2018[[#This Row],[My Category]]="NONTRACKED",0,Log_2018[[#This Row],[Raw Amount]])</f>
        <v>-8.65</v>
      </c>
      <c r="J223" s="17">
        <f>ABS(Log_2018[[#This Row],[Amount]])</f>
        <v>8.65</v>
      </c>
      <c r="K223" s="66">
        <v>1</v>
      </c>
      <c r="L223" s="66">
        <f ca="1">IF(Log_2018[[#This Row],[Date]]&lt;=TODAY(), MIN(Log_2018[[#This Row],[Split_raw]], TODAY()-Log_2018[[#This Row],[Date]]+1), 0)</f>
        <v>1</v>
      </c>
      <c r="M223" t="s">
        <v>53</v>
      </c>
      <c r="N223" t="s">
        <v>160</v>
      </c>
      <c r="O223" s="50">
        <v>0</v>
      </c>
      <c r="P223" s="52">
        <f ca="1">Log_2018[[#This Row],[Amount]]/Log_2018[[#This Row],[Split_raw]]*MAX(0,MIN(_xlfn.DAYS(EDATE(P$1,1),Log_2018[[#This Row],[Date]]),Log_2018[[#This Row],[Split_apply]])) - SUM($O223:O223)</f>
        <v>0</v>
      </c>
      <c r="Q223" s="52">
        <f ca="1">Log_2018[[#This Row],[Amount]]/Log_2018[[#This Row],[Split_raw]]*MAX(0,MIN(_xlfn.DAYS(EDATE(Q$1,1),Log_2018[[#This Row],[Date]]),Log_2018[[#This Row],[Split_apply]])) - SUM($O223:P223)</f>
        <v>0</v>
      </c>
      <c r="R223" s="52">
        <f ca="1">Log_2018[[#This Row],[Amount]]/Log_2018[[#This Row],[Split_raw]]*MAX(0,MIN(_xlfn.DAYS(EDATE(R$1,1),Log_2018[[#This Row],[Date]]),Log_2018[[#This Row],[Split_apply]])) - SUM($O223:Q223)</f>
        <v>0</v>
      </c>
      <c r="S223" s="52">
        <f ca="1">Log_2018[[#This Row],[Amount]]/Log_2018[[#This Row],[Split_raw]]*MAX(0,MIN(_xlfn.DAYS(EDATE(S$1,1),Log_2018[[#This Row],[Date]]),Log_2018[[#This Row],[Split_apply]])) - SUM($O223:R223)</f>
        <v>0</v>
      </c>
      <c r="T223" s="52">
        <f ca="1">Log_2018[[#This Row],[Amount]]/Log_2018[[#This Row],[Split_raw]]*MAX(0,MIN(_xlfn.DAYS(EDATE(T$1,1),Log_2018[[#This Row],[Date]]),Log_2018[[#This Row],[Split_apply]])) - SUM($O223:S223)</f>
        <v>0</v>
      </c>
      <c r="U223" s="52">
        <f ca="1">Log_2018[[#This Row],[Amount]]/Log_2018[[#This Row],[Split_raw]]*MAX(0,MIN(_xlfn.DAYS(EDATE(U$1,1),Log_2018[[#This Row],[Date]]),Log_2018[[#This Row],[Split_apply]])) - SUM($O223:T223)</f>
        <v>0</v>
      </c>
      <c r="V223" s="52">
        <f ca="1">Log_2018[[#This Row],[Amount]]/Log_2018[[#This Row],[Split_raw]]*MAX(0,MIN(_xlfn.DAYS(EDATE(V$1,1),Log_2018[[#This Row],[Date]]),Log_2018[[#This Row],[Split_apply]])) - SUM($O223:U223)</f>
        <v>0</v>
      </c>
      <c r="W223" s="52">
        <f ca="1">Log_2018[[#This Row],[Amount]]/Log_2018[[#This Row],[Split_raw]]*MAX(0,MIN(_xlfn.DAYS(EDATE(W$1,1),Log_2018[[#This Row],[Date]]),Log_2018[[#This Row],[Split_apply]])) - SUM($O223:V223)</f>
        <v>0</v>
      </c>
      <c r="X223" s="52">
        <f ca="1">Log_2018[[#This Row],[Amount]]/Log_2018[[#This Row],[Split_raw]]*MAX(0,MIN(_xlfn.DAYS(EDATE(X$1,1),Log_2018[[#This Row],[Date]]),Log_2018[[#This Row],[Split_apply]])) - SUM($O223:W223)</f>
        <v>-8.65</v>
      </c>
      <c r="Y223" s="52">
        <f ca="1">Log_2018[[#This Row],[Amount]]/Log_2018[[#This Row],[Split_raw]]*MAX(0,MIN(_xlfn.DAYS(EDATE(Y$1,1),Log_2018[[#This Row],[Date]]),Log_2018[[#This Row],[Split_apply]])) - SUM($O223:X223)</f>
        <v>0</v>
      </c>
      <c r="Z223" s="52">
        <f ca="1">Log_2018[[#This Row],[Amount]]/Log_2018[[#This Row],[Split_raw]]*MAX(0,MIN(_xlfn.DAYS(EDATE(Z$1,1),Log_2018[[#This Row],[Date]]),Log_2018[[#This Row],[Split_apply]])) - SUM($O223:Y223)</f>
        <v>0</v>
      </c>
      <c r="AA223" s="52">
        <f ca="1">Log_2018[[#This Row],[Amount]]/Log_2018[[#This Row],[Split_raw]]*MAX(0,MIN(_xlfn.DAYS(EDATE(AA$1,1),Log_2018[[#This Row],[Date]]),Log_2018[[#This Row],[Split_apply]])) - SUM($O223:Z223)</f>
        <v>0</v>
      </c>
      <c r="AB223" s="54">
        <f ca="1">Log_2018[[#This Row],[Amount]]-SUM(O223:AA223)</f>
        <v>0</v>
      </c>
      <c r="AC223" s="7">
        <f ca="1">MAX(0,Log_2018[[#This Row],[Split_apply]] - (EDATE(AA$1,1)-Log_2018[[#This Row],[Date]]))</f>
        <v>0</v>
      </c>
    </row>
    <row r="224" spans="1:29" hidden="1" x14ac:dyDescent="0.25">
      <c r="A224" s="115"/>
      <c r="B224" t="s">
        <v>6</v>
      </c>
      <c r="D224" s="26">
        <v>43370</v>
      </c>
      <c r="F224" t="s">
        <v>16</v>
      </c>
      <c r="G224" t="s">
        <v>17</v>
      </c>
      <c r="H224" s="3">
        <f>--0.13</f>
        <v>0.13</v>
      </c>
      <c r="I224" s="36">
        <f>IF(Log_2018[[#This Row],[My Category]]="NONTRACKED",0,Log_2018[[#This Row],[Raw Amount]])</f>
        <v>0.13</v>
      </c>
      <c r="J224" s="17">
        <f>ABS(Log_2018[[#This Row],[Amount]])</f>
        <v>0.13</v>
      </c>
      <c r="K224" s="66">
        <v>1</v>
      </c>
      <c r="L224" s="66">
        <f ca="1">IF(Log_2018[[#This Row],[Date]]&lt;=TODAY(), MIN(Log_2018[[#This Row],[Split_raw]], TODAY()-Log_2018[[#This Row],[Date]]+1), 0)</f>
        <v>1</v>
      </c>
      <c r="M224" t="s">
        <v>144</v>
      </c>
      <c r="N224" t="s">
        <v>160</v>
      </c>
      <c r="O224" s="50">
        <v>0</v>
      </c>
      <c r="P224" s="52">
        <f ca="1">Log_2018[[#This Row],[Amount]]/Log_2018[[#This Row],[Split_raw]]*MAX(0,MIN(_xlfn.DAYS(EDATE(P$1,1),Log_2018[[#This Row],[Date]]),Log_2018[[#This Row],[Split_apply]])) - SUM($O224:O224)</f>
        <v>0</v>
      </c>
      <c r="Q224" s="52">
        <f ca="1">Log_2018[[#This Row],[Amount]]/Log_2018[[#This Row],[Split_raw]]*MAX(0,MIN(_xlfn.DAYS(EDATE(Q$1,1),Log_2018[[#This Row],[Date]]),Log_2018[[#This Row],[Split_apply]])) - SUM($O224:P224)</f>
        <v>0</v>
      </c>
      <c r="R224" s="52">
        <f ca="1">Log_2018[[#This Row],[Amount]]/Log_2018[[#This Row],[Split_raw]]*MAX(0,MIN(_xlfn.DAYS(EDATE(R$1,1),Log_2018[[#This Row],[Date]]),Log_2018[[#This Row],[Split_apply]])) - SUM($O224:Q224)</f>
        <v>0</v>
      </c>
      <c r="S224" s="52">
        <f ca="1">Log_2018[[#This Row],[Amount]]/Log_2018[[#This Row],[Split_raw]]*MAX(0,MIN(_xlfn.DAYS(EDATE(S$1,1),Log_2018[[#This Row],[Date]]),Log_2018[[#This Row],[Split_apply]])) - SUM($O224:R224)</f>
        <v>0</v>
      </c>
      <c r="T224" s="52">
        <f ca="1">Log_2018[[#This Row],[Amount]]/Log_2018[[#This Row],[Split_raw]]*MAX(0,MIN(_xlfn.DAYS(EDATE(T$1,1),Log_2018[[#This Row],[Date]]),Log_2018[[#This Row],[Split_apply]])) - SUM($O224:S224)</f>
        <v>0</v>
      </c>
      <c r="U224" s="52">
        <f ca="1">Log_2018[[#This Row],[Amount]]/Log_2018[[#This Row],[Split_raw]]*MAX(0,MIN(_xlfn.DAYS(EDATE(U$1,1),Log_2018[[#This Row],[Date]]),Log_2018[[#This Row],[Split_apply]])) - SUM($O224:T224)</f>
        <v>0</v>
      </c>
      <c r="V224" s="52">
        <f ca="1">Log_2018[[#This Row],[Amount]]/Log_2018[[#This Row],[Split_raw]]*MAX(0,MIN(_xlfn.DAYS(EDATE(V$1,1),Log_2018[[#This Row],[Date]]),Log_2018[[#This Row],[Split_apply]])) - SUM($O224:U224)</f>
        <v>0</v>
      </c>
      <c r="W224" s="52">
        <f ca="1">Log_2018[[#This Row],[Amount]]/Log_2018[[#This Row],[Split_raw]]*MAX(0,MIN(_xlfn.DAYS(EDATE(W$1,1),Log_2018[[#This Row],[Date]]),Log_2018[[#This Row],[Split_apply]])) - SUM($O224:V224)</f>
        <v>0</v>
      </c>
      <c r="X224" s="52">
        <f ca="1">Log_2018[[#This Row],[Amount]]/Log_2018[[#This Row],[Split_raw]]*MAX(0,MIN(_xlfn.DAYS(EDATE(X$1,1),Log_2018[[#This Row],[Date]]),Log_2018[[#This Row],[Split_apply]])) - SUM($O224:W224)</f>
        <v>0.13</v>
      </c>
      <c r="Y224" s="52">
        <f ca="1">Log_2018[[#This Row],[Amount]]/Log_2018[[#This Row],[Split_raw]]*MAX(0,MIN(_xlfn.DAYS(EDATE(Y$1,1),Log_2018[[#This Row],[Date]]),Log_2018[[#This Row],[Split_apply]])) - SUM($O224:X224)</f>
        <v>0</v>
      </c>
      <c r="Z224" s="52">
        <f ca="1">Log_2018[[#This Row],[Amount]]/Log_2018[[#This Row],[Split_raw]]*MAX(0,MIN(_xlfn.DAYS(EDATE(Z$1,1),Log_2018[[#This Row],[Date]]),Log_2018[[#This Row],[Split_apply]])) - SUM($O224:Y224)</f>
        <v>0</v>
      </c>
      <c r="AA224" s="52">
        <f ca="1">Log_2018[[#This Row],[Amount]]/Log_2018[[#This Row],[Split_raw]]*MAX(0,MIN(_xlfn.DAYS(EDATE(AA$1,1),Log_2018[[#This Row],[Date]]),Log_2018[[#This Row],[Split_apply]])) - SUM($O224:Z224)</f>
        <v>0</v>
      </c>
      <c r="AB224" s="54">
        <f ca="1">Log_2018[[#This Row],[Amount]]-SUM(O224:AA224)</f>
        <v>0</v>
      </c>
      <c r="AC224" s="7">
        <f ca="1">MAX(0,Log_2018[[#This Row],[Split_apply]] - (EDATE(AA$1,1)-Log_2018[[#This Row],[Date]]))</f>
        <v>0</v>
      </c>
    </row>
    <row r="225" spans="1:29" hidden="1" x14ac:dyDescent="0.25">
      <c r="A225" s="115"/>
      <c r="B225" t="s">
        <v>6</v>
      </c>
      <c r="D225" s="26">
        <v>43370</v>
      </c>
      <c r="F225" t="s">
        <v>372</v>
      </c>
      <c r="G225" t="s">
        <v>27</v>
      </c>
      <c r="H225" s="3">
        <v>-441.4</v>
      </c>
      <c r="I225" s="36">
        <f>IF(Log_2018[[#This Row],[My Category]]="NONTRACKED",0,Log_2018[[#This Row],[Raw Amount]])</f>
        <v>-441.4</v>
      </c>
      <c r="J225" s="17">
        <f>ABS(Log_2018[[#This Row],[Amount]])</f>
        <v>441.4</v>
      </c>
      <c r="K225" s="66">
        <v>1</v>
      </c>
      <c r="L225" s="66">
        <f ca="1">IF(Log_2018[[#This Row],[Date]]&lt;=TODAY(), MIN(Log_2018[[#This Row],[Split_raw]], TODAY()-Log_2018[[#This Row],[Date]]+1), 0)</f>
        <v>1</v>
      </c>
      <c r="M225" t="s">
        <v>42</v>
      </c>
      <c r="N225" t="s">
        <v>158</v>
      </c>
      <c r="O225" s="50">
        <v>0</v>
      </c>
      <c r="P225" s="52">
        <f ca="1">Log_2018[[#This Row],[Amount]]/Log_2018[[#This Row],[Split_raw]]*MAX(0,MIN(_xlfn.DAYS(EDATE(P$1,1),Log_2018[[#This Row],[Date]]),Log_2018[[#This Row],[Split_apply]])) - SUM($O225:O225)</f>
        <v>0</v>
      </c>
      <c r="Q225" s="52">
        <f ca="1">Log_2018[[#This Row],[Amount]]/Log_2018[[#This Row],[Split_raw]]*MAX(0,MIN(_xlfn.DAYS(EDATE(Q$1,1),Log_2018[[#This Row],[Date]]),Log_2018[[#This Row],[Split_apply]])) - SUM($O225:P225)</f>
        <v>0</v>
      </c>
      <c r="R225" s="52">
        <f ca="1">Log_2018[[#This Row],[Amount]]/Log_2018[[#This Row],[Split_raw]]*MAX(0,MIN(_xlfn.DAYS(EDATE(R$1,1),Log_2018[[#This Row],[Date]]),Log_2018[[#This Row],[Split_apply]])) - SUM($O225:Q225)</f>
        <v>0</v>
      </c>
      <c r="S225" s="52">
        <f ca="1">Log_2018[[#This Row],[Amount]]/Log_2018[[#This Row],[Split_raw]]*MAX(0,MIN(_xlfn.DAYS(EDATE(S$1,1),Log_2018[[#This Row],[Date]]),Log_2018[[#This Row],[Split_apply]])) - SUM($O225:R225)</f>
        <v>0</v>
      </c>
      <c r="T225" s="52">
        <f ca="1">Log_2018[[#This Row],[Amount]]/Log_2018[[#This Row],[Split_raw]]*MAX(0,MIN(_xlfn.DAYS(EDATE(T$1,1),Log_2018[[#This Row],[Date]]),Log_2018[[#This Row],[Split_apply]])) - SUM($O225:S225)</f>
        <v>0</v>
      </c>
      <c r="U225" s="52">
        <f ca="1">Log_2018[[#This Row],[Amount]]/Log_2018[[#This Row],[Split_raw]]*MAX(0,MIN(_xlfn.DAYS(EDATE(U$1,1),Log_2018[[#This Row],[Date]]),Log_2018[[#This Row],[Split_apply]])) - SUM($O225:T225)</f>
        <v>0</v>
      </c>
      <c r="V225" s="52">
        <f ca="1">Log_2018[[#This Row],[Amount]]/Log_2018[[#This Row],[Split_raw]]*MAX(0,MIN(_xlfn.DAYS(EDATE(V$1,1),Log_2018[[#This Row],[Date]]),Log_2018[[#This Row],[Split_apply]])) - SUM($O225:U225)</f>
        <v>0</v>
      </c>
      <c r="W225" s="52">
        <f ca="1">Log_2018[[#This Row],[Amount]]/Log_2018[[#This Row],[Split_raw]]*MAX(0,MIN(_xlfn.DAYS(EDATE(W$1,1),Log_2018[[#This Row],[Date]]),Log_2018[[#This Row],[Split_apply]])) - SUM($O225:V225)</f>
        <v>0</v>
      </c>
      <c r="X225" s="52">
        <f ca="1">Log_2018[[#This Row],[Amount]]/Log_2018[[#This Row],[Split_raw]]*MAX(0,MIN(_xlfn.DAYS(EDATE(X$1,1),Log_2018[[#This Row],[Date]]),Log_2018[[#This Row],[Split_apply]])) - SUM($O225:W225)</f>
        <v>-441.4</v>
      </c>
      <c r="Y225" s="52">
        <f ca="1">Log_2018[[#This Row],[Amount]]/Log_2018[[#This Row],[Split_raw]]*MAX(0,MIN(_xlfn.DAYS(EDATE(Y$1,1),Log_2018[[#This Row],[Date]]),Log_2018[[#This Row],[Split_apply]])) - SUM($O225:X225)</f>
        <v>0</v>
      </c>
      <c r="Z225" s="52">
        <f ca="1">Log_2018[[#This Row],[Amount]]/Log_2018[[#This Row],[Split_raw]]*MAX(0,MIN(_xlfn.DAYS(EDATE(Z$1,1),Log_2018[[#This Row],[Date]]),Log_2018[[#This Row],[Split_apply]])) - SUM($O225:Y225)</f>
        <v>0</v>
      </c>
      <c r="AA225" s="52">
        <f ca="1">Log_2018[[#This Row],[Amount]]/Log_2018[[#This Row],[Split_raw]]*MAX(0,MIN(_xlfn.DAYS(EDATE(AA$1,1),Log_2018[[#This Row],[Date]]),Log_2018[[#This Row],[Split_apply]])) - SUM($O225:Z225)</f>
        <v>0</v>
      </c>
      <c r="AB225" s="54">
        <f ca="1">Log_2018[[#This Row],[Amount]]-SUM(O225:AA225)</f>
        <v>0</v>
      </c>
      <c r="AC225" s="7">
        <f ca="1">MAX(0,Log_2018[[#This Row],[Split_apply]] - (EDATE(AA$1,1)-Log_2018[[#This Row],[Date]]))</f>
        <v>0</v>
      </c>
    </row>
    <row r="226" spans="1:29" hidden="1" x14ac:dyDescent="0.25">
      <c r="A226" s="115"/>
      <c r="B226" t="s">
        <v>6</v>
      </c>
      <c r="D226" s="26">
        <v>43370</v>
      </c>
      <c r="F226" t="s">
        <v>327</v>
      </c>
      <c r="G226" t="s">
        <v>25</v>
      </c>
      <c r="H226" s="3">
        <v>-11.66</v>
      </c>
      <c r="I226" s="36">
        <f>IF(Log_2018[[#This Row],[My Category]]="NONTRACKED",0,Log_2018[[#This Row],[Raw Amount]])</f>
        <v>-11.66</v>
      </c>
      <c r="J226" s="17">
        <f>ABS(Log_2018[[#This Row],[Amount]])</f>
        <v>11.66</v>
      </c>
      <c r="K226" s="66">
        <v>1</v>
      </c>
      <c r="L226" s="66">
        <f ca="1">IF(Log_2018[[#This Row],[Date]]&lt;=TODAY(), MIN(Log_2018[[#This Row],[Split_raw]], TODAY()-Log_2018[[#This Row],[Date]]+1), 0)</f>
        <v>1</v>
      </c>
      <c r="M226" t="s">
        <v>35</v>
      </c>
      <c r="N226" t="s">
        <v>158</v>
      </c>
      <c r="O226" s="50">
        <v>0</v>
      </c>
      <c r="P226" s="52">
        <f ca="1">Log_2018[[#This Row],[Amount]]/Log_2018[[#This Row],[Split_raw]]*MAX(0,MIN(_xlfn.DAYS(EDATE(P$1,1),Log_2018[[#This Row],[Date]]),Log_2018[[#This Row],[Split_apply]])) - SUM($O226:O226)</f>
        <v>0</v>
      </c>
      <c r="Q226" s="52">
        <f ca="1">Log_2018[[#This Row],[Amount]]/Log_2018[[#This Row],[Split_raw]]*MAX(0,MIN(_xlfn.DAYS(EDATE(Q$1,1),Log_2018[[#This Row],[Date]]),Log_2018[[#This Row],[Split_apply]])) - SUM($O226:P226)</f>
        <v>0</v>
      </c>
      <c r="R226" s="52">
        <f ca="1">Log_2018[[#This Row],[Amount]]/Log_2018[[#This Row],[Split_raw]]*MAX(0,MIN(_xlfn.DAYS(EDATE(R$1,1),Log_2018[[#This Row],[Date]]),Log_2018[[#This Row],[Split_apply]])) - SUM($O226:Q226)</f>
        <v>0</v>
      </c>
      <c r="S226" s="52">
        <f ca="1">Log_2018[[#This Row],[Amount]]/Log_2018[[#This Row],[Split_raw]]*MAX(0,MIN(_xlfn.DAYS(EDATE(S$1,1),Log_2018[[#This Row],[Date]]),Log_2018[[#This Row],[Split_apply]])) - SUM($O226:R226)</f>
        <v>0</v>
      </c>
      <c r="T226" s="52">
        <f ca="1">Log_2018[[#This Row],[Amount]]/Log_2018[[#This Row],[Split_raw]]*MAX(0,MIN(_xlfn.DAYS(EDATE(T$1,1),Log_2018[[#This Row],[Date]]),Log_2018[[#This Row],[Split_apply]])) - SUM($O226:S226)</f>
        <v>0</v>
      </c>
      <c r="U226" s="52">
        <f ca="1">Log_2018[[#This Row],[Amount]]/Log_2018[[#This Row],[Split_raw]]*MAX(0,MIN(_xlfn.DAYS(EDATE(U$1,1),Log_2018[[#This Row],[Date]]),Log_2018[[#This Row],[Split_apply]])) - SUM($O226:T226)</f>
        <v>0</v>
      </c>
      <c r="V226" s="52">
        <f ca="1">Log_2018[[#This Row],[Amount]]/Log_2018[[#This Row],[Split_raw]]*MAX(0,MIN(_xlfn.DAYS(EDATE(V$1,1),Log_2018[[#This Row],[Date]]),Log_2018[[#This Row],[Split_apply]])) - SUM($O226:U226)</f>
        <v>0</v>
      </c>
      <c r="W226" s="52">
        <f ca="1">Log_2018[[#This Row],[Amount]]/Log_2018[[#This Row],[Split_raw]]*MAX(0,MIN(_xlfn.DAYS(EDATE(W$1,1),Log_2018[[#This Row],[Date]]),Log_2018[[#This Row],[Split_apply]])) - SUM($O226:V226)</f>
        <v>0</v>
      </c>
      <c r="X226" s="52">
        <f ca="1">Log_2018[[#This Row],[Amount]]/Log_2018[[#This Row],[Split_raw]]*MAX(0,MIN(_xlfn.DAYS(EDATE(X$1,1),Log_2018[[#This Row],[Date]]),Log_2018[[#This Row],[Split_apply]])) - SUM($O226:W226)</f>
        <v>-11.66</v>
      </c>
      <c r="Y226" s="52">
        <f ca="1">Log_2018[[#This Row],[Amount]]/Log_2018[[#This Row],[Split_raw]]*MAX(0,MIN(_xlfn.DAYS(EDATE(Y$1,1),Log_2018[[#This Row],[Date]]),Log_2018[[#This Row],[Split_apply]])) - SUM($O226:X226)</f>
        <v>0</v>
      </c>
      <c r="Z226" s="52">
        <f ca="1">Log_2018[[#This Row],[Amount]]/Log_2018[[#This Row],[Split_raw]]*MAX(0,MIN(_xlfn.DAYS(EDATE(Z$1,1),Log_2018[[#This Row],[Date]]),Log_2018[[#This Row],[Split_apply]])) - SUM($O226:Y226)</f>
        <v>0</v>
      </c>
      <c r="AA226" s="52">
        <f ca="1">Log_2018[[#This Row],[Amount]]/Log_2018[[#This Row],[Split_raw]]*MAX(0,MIN(_xlfn.DAYS(EDATE(AA$1,1),Log_2018[[#This Row],[Date]]),Log_2018[[#This Row],[Split_apply]])) - SUM($O226:Z226)</f>
        <v>0</v>
      </c>
      <c r="AB226" s="54">
        <f ca="1">Log_2018[[#This Row],[Amount]]-SUM(O226:AA226)</f>
        <v>0</v>
      </c>
      <c r="AC226" s="7">
        <f ca="1">MAX(0,Log_2018[[#This Row],[Split_apply]] - (EDATE(AA$1,1)-Log_2018[[#This Row],[Date]]))</f>
        <v>0</v>
      </c>
    </row>
    <row r="227" spans="1:29" hidden="1" x14ac:dyDescent="0.25">
      <c r="A227" s="115"/>
      <c r="B227" t="s">
        <v>6</v>
      </c>
      <c r="D227" s="26">
        <v>43370</v>
      </c>
      <c r="F227" t="s">
        <v>79</v>
      </c>
      <c r="G227" t="s">
        <v>87</v>
      </c>
      <c r="H227" s="3">
        <f>--1886.53</f>
        <v>1886.53</v>
      </c>
      <c r="I227" s="36">
        <f>IF(Log_2018[[#This Row],[My Category]]="NONTRACKED",0,Log_2018[[#This Row],[Raw Amount]])</f>
        <v>1886.53</v>
      </c>
      <c r="J227" s="17">
        <f>ABS(Log_2018[[#This Row],[Amount]])</f>
        <v>1886.53</v>
      </c>
      <c r="K227" s="66">
        <v>14</v>
      </c>
      <c r="L227" s="66">
        <f ca="1">IF(Log_2018[[#This Row],[Date]]&lt;=TODAY(), MIN(Log_2018[[#This Row],[Split_raw]], TODAY()-Log_2018[[#This Row],[Date]]+1), 0)</f>
        <v>14</v>
      </c>
      <c r="M227" t="s">
        <v>91</v>
      </c>
      <c r="N227" t="s">
        <v>160</v>
      </c>
      <c r="O227" s="50">
        <v>0</v>
      </c>
      <c r="P227" s="52">
        <f ca="1">Log_2018[[#This Row],[Amount]]/Log_2018[[#This Row],[Split_raw]]*MAX(0,MIN(_xlfn.DAYS(EDATE(P$1,1),Log_2018[[#This Row],[Date]]),Log_2018[[#This Row],[Split_apply]])) - SUM($O227:O227)</f>
        <v>0</v>
      </c>
      <c r="Q227" s="52">
        <f ca="1">Log_2018[[#This Row],[Amount]]/Log_2018[[#This Row],[Split_raw]]*MAX(0,MIN(_xlfn.DAYS(EDATE(Q$1,1),Log_2018[[#This Row],[Date]]),Log_2018[[#This Row],[Split_apply]])) - SUM($O227:P227)</f>
        <v>0</v>
      </c>
      <c r="R227" s="52">
        <f ca="1">Log_2018[[#This Row],[Amount]]/Log_2018[[#This Row],[Split_raw]]*MAX(0,MIN(_xlfn.DAYS(EDATE(R$1,1),Log_2018[[#This Row],[Date]]),Log_2018[[#This Row],[Split_apply]])) - SUM($O227:Q227)</f>
        <v>0</v>
      </c>
      <c r="S227" s="52">
        <f ca="1">Log_2018[[#This Row],[Amount]]/Log_2018[[#This Row],[Split_raw]]*MAX(0,MIN(_xlfn.DAYS(EDATE(S$1,1),Log_2018[[#This Row],[Date]]),Log_2018[[#This Row],[Split_apply]])) - SUM($O227:R227)</f>
        <v>0</v>
      </c>
      <c r="T227" s="52">
        <f ca="1">Log_2018[[#This Row],[Amount]]/Log_2018[[#This Row],[Split_raw]]*MAX(0,MIN(_xlfn.DAYS(EDATE(T$1,1),Log_2018[[#This Row],[Date]]),Log_2018[[#This Row],[Split_apply]])) - SUM($O227:S227)</f>
        <v>0</v>
      </c>
      <c r="U227" s="52">
        <f ca="1">Log_2018[[#This Row],[Amount]]/Log_2018[[#This Row],[Split_raw]]*MAX(0,MIN(_xlfn.DAYS(EDATE(U$1,1),Log_2018[[#This Row],[Date]]),Log_2018[[#This Row],[Split_apply]])) - SUM($O227:T227)</f>
        <v>0</v>
      </c>
      <c r="V227" s="52">
        <f ca="1">Log_2018[[#This Row],[Amount]]/Log_2018[[#This Row],[Split_raw]]*MAX(0,MIN(_xlfn.DAYS(EDATE(V$1,1),Log_2018[[#This Row],[Date]]),Log_2018[[#This Row],[Split_apply]])) - SUM($O227:U227)</f>
        <v>0</v>
      </c>
      <c r="W227" s="52">
        <f ca="1">Log_2018[[#This Row],[Amount]]/Log_2018[[#This Row],[Split_raw]]*MAX(0,MIN(_xlfn.DAYS(EDATE(W$1,1),Log_2018[[#This Row],[Date]]),Log_2018[[#This Row],[Split_apply]])) - SUM($O227:V227)</f>
        <v>0</v>
      </c>
      <c r="X227" s="52">
        <f ca="1">Log_2018[[#This Row],[Amount]]/Log_2018[[#This Row],[Split_raw]]*MAX(0,MIN(_xlfn.DAYS(EDATE(X$1,1),Log_2018[[#This Row],[Date]]),Log_2018[[#This Row],[Split_apply]])) - SUM($O227:W227)</f>
        <v>539.00857142857137</v>
      </c>
      <c r="Y227" s="52">
        <f ca="1">Log_2018[[#This Row],[Amount]]/Log_2018[[#This Row],[Split_raw]]*MAX(0,MIN(_xlfn.DAYS(EDATE(Y$1,1),Log_2018[[#This Row],[Date]]),Log_2018[[#This Row],[Split_apply]])) - SUM($O227:X227)</f>
        <v>1347.5214285714283</v>
      </c>
      <c r="Z227" s="52">
        <f ca="1">Log_2018[[#This Row],[Amount]]/Log_2018[[#This Row],[Split_raw]]*MAX(0,MIN(_xlfn.DAYS(EDATE(Z$1,1),Log_2018[[#This Row],[Date]]),Log_2018[[#This Row],[Split_apply]])) - SUM($O227:Y227)</f>
        <v>0</v>
      </c>
      <c r="AA227" s="52">
        <f ca="1">Log_2018[[#This Row],[Amount]]/Log_2018[[#This Row],[Split_raw]]*MAX(0,MIN(_xlfn.DAYS(EDATE(AA$1,1),Log_2018[[#This Row],[Date]]),Log_2018[[#This Row],[Split_apply]])) - SUM($O227:Z227)</f>
        <v>0</v>
      </c>
      <c r="AB227" s="54">
        <f ca="1">Log_2018[[#This Row],[Amount]]-SUM(O227:AA227)</f>
        <v>0</v>
      </c>
      <c r="AC227" s="7">
        <f ca="1">MAX(0,Log_2018[[#This Row],[Split_apply]] - (EDATE(AA$1,1)-Log_2018[[#This Row],[Date]]))</f>
        <v>0</v>
      </c>
    </row>
    <row r="228" spans="1:29" hidden="1" x14ac:dyDescent="0.25">
      <c r="A228" s="115"/>
      <c r="B228" t="s">
        <v>6</v>
      </c>
      <c r="D228" s="26">
        <v>43369</v>
      </c>
      <c r="F228" t="s">
        <v>301</v>
      </c>
      <c r="G228" t="s">
        <v>25</v>
      </c>
      <c r="H228" s="3">
        <v>-7.12</v>
      </c>
      <c r="I228" s="36">
        <f>IF(Log_2018[[#This Row],[My Category]]="NONTRACKED",0,Log_2018[[#This Row],[Raw Amount]])</f>
        <v>-7.12</v>
      </c>
      <c r="J228" s="17">
        <f>ABS(Log_2018[[#This Row],[Amount]])</f>
        <v>7.12</v>
      </c>
      <c r="K228" s="66">
        <v>1</v>
      </c>
      <c r="L228" s="66">
        <f ca="1">IF(Log_2018[[#This Row],[Date]]&lt;=TODAY(), MIN(Log_2018[[#This Row],[Split_raw]], TODAY()-Log_2018[[#This Row],[Date]]+1), 0)</f>
        <v>1</v>
      </c>
      <c r="M228" t="s">
        <v>35</v>
      </c>
      <c r="N228" t="s">
        <v>158</v>
      </c>
      <c r="O228" s="50">
        <v>0</v>
      </c>
      <c r="P228" s="52">
        <f ca="1">Log_2018[[#This Row],[Amount]]/Log_2018[[#This Row],[Split_raw]]*MAX(0,MIN(_xlfn.DAYS(EDATE(P$1,1),Log_2018[[#This Row],[Date]]),Log_2018[[#This Row],[Split_apply]])) - SUM($O228:O228)</f>
        <v>0</v>
      </c>
      <c r="Q228" s="52">
        <f ca="1">Log_2018[[#This Row],[Amount]]/Log_2018[[#This Row],[Split_raw]]*MAX(0,MIN(_xlfn.DAYS(EDATE(Q$1,1),Log_2018[[#This Row],[Date]]),Log_2018[[#This Row],[Split_apply]])) - SUM($O228:P228)</f>
        <v>0</v>
      </c>
      <c r="R228" s="52">
        <f ca="1">Log_2018[[#This Row],[Amount]]/Log_2018[[#This Row],[Split_raw]]*MAX(0,MIN(_xlfn.DAYS(EDATE(R$1,1),Log_2018[[#This Row],[Date]]),Log_2018[[#This Row],[Split_apply]])) - SUM($O228:Q228)</f>
        <v>0</v>
      </c>
      <c r="S228" s="52">
        <f ca="1">Log_2018[[#This Row],[Amount]]/Log_2018[[#This Row],[Split_raw]]*MAX(0,MIN(_xlfn.DAYS(EDATE(S$1,1),Log_2018[[#This Row],[Date]]),Log_2018[[#This Row],[Split_apply]])) - SUM($O228:R228)</f>
        <v>0</v>
      </c>
      <c r="T228" s="52">
        <f ca="1">Log_2018[[#This Row],[Amount]]/Log_2018[[#This Row],[Split_raw]]*MAX(0,MIN(_xlfn.DAYS(EDATE(T$1,1),Log_2018[[#This Row],[Date]]),Log_2018[[#This Row],[Split_apply]])) - SUM($O228:S228)</f>
        <v>0</v>
      </c>
      <c r="U228" s="52">
        <f ca="1">Log_2018[[#This Row],[Amount]]/Log_2018[[#This Row],[Split_raw]]*MAX(0,MIN(_xlfn.DAYS(EDATE(U$1,1),Log_2018[[#This Row],[Date]]),Log_2018[[#This Row],[Split_apply]])) - SUM($O228:T228)</f>
        <v>0</v>
      </c>
      <c r="V228" s="52">
        <f ca="1">Log_2018[[#This Row],[Amount]]/Log_2018[[#This Row],[Split_raw]]*MAX(0,MIN(_xlfn.DAYS(EDATE(V$1,1),Log_2018[[#This Row],[Date]]),Log_2018[[#This Row],[Split_apply]])) - SUM($O228:U228)</f>
        <v>0</v>
      </c>
      <c r="W228" s="52">
        <f ca="1">Log_2018[[#This Row],[Amount]]/Log_2018[[#This Row],[Split_raw]]*MAX(0,MIN(_xlfn.DAYS(EDATE(W$1,1),Log_2018[[#This Row],[Date]]),Log_2018[[#This Row],[Split_apply]])) - SUM($O228:V228)</f>
        <v>0</v>
      </c>
      <c r="X228" s="52">
        <f ca="1">Log_2018[[#This Row],[Amount]]/Log_2018[[#This Row],[Split_raw]]*MAX(0,MIN(_xlfn.DAYS(EDATE(X$1,1),Log_2018[[#This Row],[Date]]),Log_2018[[#This Row],[Split_apply]])) - SUM($O228:W228)</f>
        <v>-7.12</v>
      </c>
      <c r="Y228" s="52">
        <f ca="1">Log_2018[[#This Row],[Amount]]/Log_2018[[#This Row],[Split_raw]]*MAX(0,MIN(_xlfn.DAYS(EDATE(Y$1,1),Log_2018[[#This Row],[Date]]),Log_2018[[#This Row],[Split_apply]])) - SUM($O228:X228)</f>
        <v>0</v>
      </c>
      <c r="Z228" s="52">
        <f ca="1">Log_2018[[#This Row],[Amount]]/Log_2018[[#This Row],[Split_raw]]*MAX(0,MIN(_xlfn.DAYS(EDATE(Z$1,1),Log_2018[[#This Row],[Date]]),Log_2018[[#This Row],[Split_apply]])) - SUM($O228:Y228)</f>
        <v>0</v>
      </c>
      <c r="AA228" s="52">
        <f ca="1">Log_2018[[#This Row],[Amount]]/Log_2018[[#This Row],[Split_raw]]*MAX(0,MIN(_xlfn.DAYS(EDATE(AA$1,1),Log_2018[[#This Row],[Date]]),Log_2018[[#This Row],[Split_apply]])) - SUM($O228:Z228)</f>
        <v>0</v>
      </c>
      <c r="AB228" s="54">
        <f ca="1">Log_2018[[#This Row],[Amount]]-SUM(O228:AA228)</f>
        <v>0</v>
      </c>
      <c r="AC228" s="7">
        <f ca="1">MAX(0,Log_2018[[#This Row],[Split_apply]] - (EDATE(AA$1,1)-Log_2018[[#This Row],[Date]]))</f>
        <v>0</v>
      </c>
    </row>
    <row r="229" spans="1:29" hidden="1" x14ac:dyDescent="0.25">
      <c r="A229" s="115"/>
      <c r="B229" t="s">
        <v>6</v>
      </c>
      <c r="D229" s="26">
        <v>43368</v>
      </c>
      <c r="F229" t="s">
        <v>255</v>
      </c>
      <c r="G229" t="s">
        <v>25</v>
      </c>
      <c r="H229" s="3">
        <v>-26.02</v>
      </c>
      <c r="I229" s="36">
        <f>IF(Log_2018[[#This Row],[My Category]]="NONTRACKED",0,Log_2018[[#This Row],[Raw Amount]])</f>
        <v>-26.02</v>
      </c>
      <c r="J229" s="17">
        <f>ABS(Log_2018[[#This Row],[Amount]])</f>
        <v>26.02</v>
      </c>
      <c r="K229" s="66">
        <v>1</v>
      </c>
      <c r="L229" s="66">
        <f ca="1">IF(Log_2018[[#This Row],[Date]]&lt;=TODAY(), MIN(Log_2018[[#This Row],[Split_raw]], TODAY()-Log_2018[[#This Row],[Date]]+1), 0)</f>
        <v>1</v>
      </c>
      <c r="M229" t="s">
        <v>52</v>
      </c>
      <c r="N229" t="s">
        <v>158</v>
      </c>
      <c r="O229" s="50">
        <v>0</v>
      </c>
      <c r="P229" s="52">
        <f ca="1">Log_2018[[#This Row],[Amount]]/Log_2018[[#This Row],[Split_raw]]*MAX(0,MIN(_xlfn.DAYS(EDATE(P$1,1),Log_2018[[#This Row],[Date]]),Log_2018[[#This Row],[Split_apply]])) - SUM($O229:O229)</f>
        <v>0</v>
      </c>
      <c r="Q229" s="52">
        <f ca="1">Log_2018[[#This Row],[Amount]]/Log_2018[[#This Row],[Split_raw]]*MAX(0,MIN(_xlfn.DAYS(EDATE(Q$1,1),Log_2018[[#This Row],[Date]]),Log_2018[[#This Row],[Split_apply]])) - SUM($O229:P229)</f>
        <v>0</v>
      </c>
      <c r="R229" s="52">
        <f ca="1">Log_2018[[#This Row],[Amount]]/Log_2018[[#This Row],[Split_raw]]*MAX(0,MIN(_xlfn.DAYS(EDATE(R$1,1),Log_2018[[#This Row],[Date]]),Log_2018[[#This Row],[Split_apply]])) - SUM($O229:Q229)</f>
        <v>0</v>
      </c>
      <c r="S229" s="52">
        <f ca="1">Log_2018[[#This Row],[Amount]]/Log_2018[[#This Row],[Split_raw]]*MAX(0,MIN(_xlfn.DAYS(EDATE(S$1,1),Log_2018[[#This Row],[Date]]),Log_2018[[#This Row],[Split_apply]])) - SUM($O229:R229)</f>
        <v>0</v>
      </c>
      <c r="T229" s="52">
        <f ca="1">Log_2018[[#This Row],[Amount]]/Log_2018[[#This Row],[Split_raw]]*MAX(0,MIN(_xlfn.DAYS(EDATE(T$1,1),Log_2018[[#This Row],[Date]]),Log_2018[[#This Row],[Split_apply]])) - SUM($O229:S229)</f>
        <v>0</v>
      </c>
      <c r="U229" s="52">
        <f ca="1">Log_2018[[#This Row],[Amount]]/Log_2018[[#This Row],[Split_raw]]*MAX(0,MIN(_xlfn.DAYS(EDATE(U$1,1),Log_2018[[#This Row],[Date]]),Log_2018[[#This Row],[Split_apply]])) - SUM($O229:T229)</f>
        <v>0</v>
      </c>
      <c r="V229" s="52">
        <f ca="1">Log_2018[[#This Row],[Amount]]/Log_2018[[#This Row],[Split_raw]]*MAX(0,MIN(_xlfn.DAYS(EDATE(V$1,1),Log_2018[[#This Row],[Date]]),Log_2018[[#This Row],[Split_apply]])) - SUM($O229:U229)</f>
        <v>0</v>
      </c>
      <c r="W229" s="52">
        <f ca="1">Log_2018[[#This Row],[Amount]]/Log_2018[[#This Row],[Split_raw]]*MAX(0,MIN(_xlfn.DAYS(EDATE(W$1,1),Log_2018[[#This Row],[Date]]),Log_2018[[#This Row],[Split_apply]])) - SUM($O229:V229)</f>
        <v>0</v>
      </c>
      <c r="X229" s="52">
        <f ca="1">Log_2018[[#This Row],[Amount]]/Log_2018[[#This Row],[Split_raw]]*MAX(0,MIN(_xlfn.DAYS(EDATE(X$1,1),Log_2018[[#This Row],[Date]]),Log_2018[[#This Row],[Split_apply]])) - SUM($O229:W229)</f>
        <v>-26.02</v>
      </c>
      <c r="Y229" s="52">
        <f ca="1">Log_2018[[#This Row],[Amount]]/Log_2018[[#This Row],[Split_raw]]*MAX(0,MIN(_xlfn.DAYS(EDATE(Y$1,1),Log_2018[[#This Row],[Date]]),Log_2018[[#This Row],[Split_apply]])) - SUM($O229:X229)</f>
        <v>0</v>
      </c>
      <c r="Z229" s="52">
        <f ca="1">Log_2018[[#This Row],[Amount]]/Log_2018[[#This Row],[Split_raw]]*MAX(0,MIN(_xlfn.DAYS(EDATE(Z$1,1),Log_2018[[#This Row],[Date]]),Log_2018[[#This Row],[Split_apply]])) - SUM($O229:Y229)</f>
        <v>0</v>
      </c>
      <c r="AA229" s="52">
        <f ca="1">Log_2018[[#This Row],[Amount]]/Log_2018[[#This Row],[Split_raw]]*MAX(0,MIN(_xlfn.DAYS(EDATE(AA$1,1),Log_2018[[#This Row],[Date]]),Log_2018[[#This Row],[Split_apply]])) - SUM($O229:Z229)</f>
        <v>0</v>
      </c>
      <c r="AB229" s="54">
        <f ca="1">Log_2018[[#This Row],[Amount]]-SUM(O229:AA229)</f>
        <v>0</v>
      </c>
      <c r="AC229" s="7">
        <f ca="1">MAX(0,Log_2018[[#This Row],[Split_apply]] - (EDATE(AA$1,1)-Log_2018[[#This Row],[Date]]))</f>
        <v>0</v>
      </c>
    </row>
    <row r="230" spans="1:29" hidden="1" x14ac:dyDescent="0.25">
      <c r="A230" s="115"/>
      <c r="B230" t="s">
        <v>6</v>
      </c>
      <c r="D230" s="26">
        <v>43368</v>
      </c>
      <c r="F230" t="s">
        <v>255</v>
      </c>
      <c r="G230" t="s">
        <v>25</v>
      </c>
      <c r="H230" s="3">
        <v>-10.67</v>
      </c>
      <c r="I230" s="36">
        <f>IF(Log_2018[[#This Row],[My Category]]="NONTRACKED",0,Log_2018[[#This Row],[Raw Amount]])</f>
        <v>-10.67</v>
      </c>
      <c r="J230" s="17">
        <f>ABS(Log_2018[[#This Row],[Amount]])</f>
        <v>10.67</v>
      </c>
      <c r="K230" s="66">
        <v>1</v>
      </c>
      <c r="L230" s="66">
        <f ca="1">IF(Log_2018[[#This Row],[Date]]&lt;=TODAY(), MIN(Log_2018[[#This Row],[Split_raw]], TODAY()-Log_2018[[#This Row],[Date]]+1), 0)</f>
        <v>1</v>
      </c>
      <c r="M230" t="s">
        <v>35</v>
      </c>
      <c r="N230" t="s">
        <v>158</v>
      </c>
      <c r="O230" s="50">
        <v>0</v>
      </c>
      <c r="P230" s="52">
        <f ca="1">Log_2018[[#This Row],[Amount]]/Log_2018[[#This Row],[Split_raw]]*MAX(0,MIN(_xlfn.DAYS(EDATE(P$1,1),Log_2018[[#This Row],[Date]]),Log_2018[[#This Row],[Split_apply]])) - SUM($O230:O230)</f>
        <v>0</v>
      </c>
      <c r="Q230" s="52">
        <f ca="1">Log_2018[[#This Row],[Amount]]/Log_2018[[#This Row],[Split_raw]]*MAX(0,MIN(_xlfn.DAYS(EDATE(Q$1,1),Log_2018[[#This Row],[Date]]),Log_2018[[#This Row],[Split_apply]])) - SUM($O230:P230)</f>
        <v>0</v>
      </c>
      <c r="R230" s="52">
        <f ca="1">Log_2018[[#This Row],[Amount]]/Log_2018[[#This Row],[Split_raw]]*MAX(0,MIN(_xlfn.DAYS(EDATE(R$1,1),Log_2018[[#This Row],[Date]]),Log_2018[[#This Row],[Split_apply]])) - SUM($O230:Q230)</f>
        <v>0</v>
      </c>
      <c r="S230" s="52">
        <f ca="1">Log_2018[[#This Row],[Amount]]/Log_2018[[#This Row],[Split_raw]]*MAX(0,MIN(_xlfn.DAYS(EDATE(S$1,1),Log_2018[[#This Row],[Date]]),Log_2018[[#This Row],[Split_apply]])) - SUM($O230:R230)</f>
        <v>0</v>
      </c>
      <c r="T230" s="52">
        <f ca="1">Log_2018[[#This Row],[Amount]]/Log_2018[[#This Row],[Split_raw]]*MAX(0,MIN(_xlfn.DAYS(EDATE(T$1,1),Log_2018[[#This Row],[Date]]),Log_2018[[#This Row],[Split_apply]])) - SUM($O230:S230)</f>
        <v>0</v>
      </c>
      <c r="U230" s="52">
        <f ca="1">Log_2018[[#This Row],[Amount]]/Log_2018[[#This Row],[Split_raw]]*MAX(0,MIN(_xlfn.DAYS(EDATE(U$1,1),Log_2018[[#This Row],[Date]]),Log_2018[[#This Row],[Split_apply]])) - SUM($O230:T230)</f>
        <v>0</v>
      </c>
      <c r="V230" s="52">
        <f ca="1">Log_2018[[#This Row],[Amount]]/Log_2018[[#This Row],[Split_raw]]*MAX(0,MIN(_xlfn.DAYS(EDATE(V$1,1),Log_2018[[#This Row],[Date]]),Log_2018[[#This Row],[Split_apply]])) - SUM($O230:U230)</f>
        <v>0</v>
      </c>
      <c r="W230" s="52">
        <f ca="1">Log_2018[[#This Row],[Amount]]/Log_2018[[#This Row],[Split_raw]]*MAX(0,MIN(_xlfn.DAYS(EDATE(W$1,1),Log_2018[[#This Row],[Date]]),Log_2018[[#This Row],[Split_apply]])) - SUM($O230:V230)</f>
        <v>0</v>
      </c>
      <c r="X230" s="52">
        <f ca="1">Log_2018[[#This Row],[Amount]]/Log_2018[[#This Row],[Split_raw]]*MAX(0,MIN(_xlfn.DAYS(EDATE(X$1,1),Log_2018[[#This Row],[Date]]),Log_2018[[#This Row],[Split_apply]])) - SUM($O230:W230)</f>
        <v>-10.67</v>
      </c>
      <c r="Y230" s="52">
        <f ca="1">Log_2018[[#This Row],[Amount]]/Log_2018[[#This Row],[Split_raw]]*MAX(0,MIN(_xlfn.DAYS(EDATE(Y$1,1),Log_2018[[#This Row],[Date]]),Log_2018[[#This Row],[Split_apply]])) - SUM($O230:X230)</f>
        <v>0</v>
      </c>
      <c r="Z230" s="52">
        <f ca="1">Log_2018[[#This Row],[Amount]]/Log_2018[[#This Row],[Split_raw]]*MAX(0,MIN(_xlfn.DAYS(EDATE(Z$1,1),Log_2018[[#This Row],[Date]]),Log_2018[[#This Row],[Split_apply]])) - SUM($O230:Y230)</f>
        <v>0</v>
      </c>
      <c r="AA230" s="52">
        <f ca="1">Log_2018[[#This Row],[Amount]]/Log_2018[[#This Row],[Split_raw]]*MAX(0,MIN(_xlfn.DAYS(EDATE(AA$1,1),Log_2018[[#This Row],[Date]]),Log_2018[[#This Row],[Split_apply]])) - SUM($O230:Z230)</f>
        <v>0</v>
      </c>
      <c r="AB230" s="54">
        <f ca="1">Log_2018[[#This Row],[Amount]]-SUM(O230:AA230)</f>
        <v>0</v>
      </c>
      <c r="AC230" s="7">
        <f ca="1">MAX(0,Log_2018[[#This Row],[Split_apply]] - (EDATE(AA$1,1)-Log_2018[[#This Row],[Date]]))</f>
        <v>0</v>
      </c>
    </row>
    <row r="231" spans="1:29" hidden="1" x14ac:dyDescent="0.25">
      <c r="A231" s="115"/>
      <c r="B231" t="s">
        <v>6</v>
      </c>
      <c r="D231" s="26">
        <v>43367</v>
      </c>
      <c r="F231" t="s">
        <v>270</v>
      </c>
      <c r="G231" t="s">
        <v>25</v>
      </c>
      <c r="H231" s="3">
        <v>-10.37</v>
      </c>
      <c r="I231" s="36">
        <f>IF(Log_2018[[#This Row],[My Category]]="NONTRACKED",0,Log_2018[[#This Row],[Raw Amount]])</f>
        <v>-10.37</v>
      </c>
      <c r="J231" s="17">
        <f>ABS(Log_2018[[#This Row],[Amount]])</f>
        <v>10.37</v>
      </c>
      <c r="K231" s="66">
        <v>1</v>
      </c>
      <c r="L231" s="66">
        <f ca="1">IF(Log_2018[[#This Row],[Date]]&lt;=TODAY(), MIN(Log_2018[[#This Row],[Split_raw]], TODAY()-Log_2018[[#This Row],[Date]]+1), 0)</f>
        <v>1</v>
      </c>
      <c r="M231" t="s">
        <v>35</v>
      </c>
      <c r="N231" t="s">
        <v>158</v>
      </c>
      <c r="O231" s="50">
        <v>0</v>
      </c>
      <c r="P231" s="52">
        <f ca="1">Log_2018[[#This Row],[Amount]]/Log_2018[[#This Row],[Split_raw]]*MAX(0,MIN(_xlfn.DAYS(EDATE(P$1,1),Log_2018[[#This Row],[Date]]),Log_2018[[#This Row],[Split_apply]])) - SUM($O231:O231)</f>
        <v>0</v>
      </c>
      <c r="Q231" s="52">
        <f ca="1">Log_2018[[#This Row],[Amount]]/Log_2018[[#This Row],[Split_raw]]*MAX(0,MIN(_xlfn.DAYS(EDATE(Q$1,1),Log_2018[[#This Row],[Date]]),Log_2018[[#This Row],[Split_apply]])) - SUM($O231:P231)</f>
        <v>0</v>
      </c>
      <c r="R231" s="52">
        <f ca="1">Log_2018[[#This Row],[Amount]]/Log_2018[[#This Row],[Split_raw]]*MAX(0,MIN(_xlfn.DAYS(EDATE(R$1,1),Log_2018[[#This Row],[Date]]),Log_2018[[#This Row],[Split_apply]])) - SUM($O231:Q231)</f>
        <v>0</v>
      </c>
      <c r="S231" s="52">
        <f ca="1">Log_2018[[#This Row],[Amount]]/Log_2018[[#This Row],[Split_raw]]*MAX(0,MIN(_xlfn.DAYS(EDATE(S$1,1),Log_2018[[#This Row],[Date]]),Log_2018[[#This Row],[Split_apply]])) - SUM($O231:R231)</f>
        <v>0</v>
      </c>
      <c r="T231" s="52">
        <f ca="1">Log_2018[[#This Row],[Amount]]/Log_2018[[#This Row],[Split_raw]]*MAX(0,MIN(_xlfn.DAYS(EDATE(T$1,1),Log_2018[[#This Row],[Date]]),Log_2018[[#This Row],[Split_apply]])) - SUM($O231:S231)</f>
        <v>0</v>
      </c>
      <c r="U231" s="52">
        <f ca="1">Log_2018[[#This Row],[Amount]]/Log_2018[[#This Row],[Split_raw]]*MAX(0,MIN(_xlfn.DAYS(EDATE(U$1,1),Log_2018[[#This Row],[Date]]),Log_2018[[#This Row],[Split_apply]])) - SUM($O231:T231)</f>
        <v>0</v>
      </c>
      <c r="V231" s="52">
        <f ca="1">Log_2018[[#This Row],[Amount]]/Log_2018[[#This Row],[Split_raw]]*MAX(0,MIN(_xlfn.DAYS(EDATE(V$1,1),Log_2018[[#This Row],[Date]]),Log_2018[[#This Row],[Split_apply]])) - SUM($O231:U231)</f>
        <v>0</v>
      </c>
      <c r="W231" s="52">
        <f ca="1">Log_2018[[#This Row],[Amount]]/Log_2018[[#This Row],[Split_raw]]*MAX(0,MIN(_xlfn.DAYS(EDATE(W$1,1),Log_2018[[#This Row],[Date]]),Log_2018[[#This Row],[Split_apply]])) - SUM($O231:V231)</f>
        <v>0</v>
      </c>
      <c r="X231" s="52">
        <f ca="1">Log_2018[[#This Row],[Amount]]/Log_2018[[#This Row],[Split_raw]]*MAX(0,MIN(_xlfn.DAYS(EDATE(X$1,1),Log_2018[[#This Row],[Date]]),Log_2018[[#This Row],[Split_apply]])) - SUM($O231:W231)</f>
        <v>-10.37</v>
      </c>
      <c r="Y231" s="52">
        <f ca="1">Log_2018[[#This Row],[Amount]]/Log_2018[[#This Row],[Split_raw]]*MAX(0,MIN(_xlfn.DAYS(EDATE(Y$1,1),Log_2018[[#This Row],[Date]]),Log_2018[[#This Row],[Split_apply]])) - SUM($O231:X231)</f>
        <v>0</v>
      </c>
      <c r="Z231" s="52">
        <f ca="1">Log_2018[[#This Row],[Amount]]/Log_2018[[#This Row],[Split_raw]]*MAX(0,MIN(_xlfn.DAYS(EDATE(Z$1,1),Log_2018[[#This Row],[Date]]),Log_2018[[#This Row],[Split_apply]])) - SUM($O231:Y231)</f>
        <v>0</v>
      </c>
      <c r="AA231" s="52">
        <f ca="1">Log_2018[[#This Row],[Amount]]/Log_2018[[#This Row],[Split_raw]]*MAX(0,MIN(_xlfn.DAYS(EDATE(AA$1,1),Log_2018[[#This Row],[Date]]),Log_2018[[#This Row],[Split_apply]])) - SUM($O231:Z231)</f>
        <v>0</v>
      </c>
      <c r="AB231" s="54">
        <f ca="1">Log_2018[[#This Row],[Amount]]-SUM(O231:AA231)</f>
        <v>0</v>
      </c>
      <c r="AC231" s="7">
        <f ca="1">MAX(0,Log_2018[[#This Row],[Split_apply]] - (EDATE(AA$1,1)-Log_2018[[#This Row],[Date]]))</f>
        <v>0</v>
      </c>
    </row>
    <row r="232" spans="1:29" hidden="1" x14ac:dyDescent="0.25">
      <c r="A232" s="115"/>
      <c r="B232" t="s">
        <v>6</v>
      </c>
      <c r="D232" s="26">
        <v>43367</v>
      </c>
      <c r="F232" t="s">
        <v>138</v>
      </c>
      <c r="G232" t="s">
        <v>104</v>
      </c>
      <c r="H232" s="3">
        <v>-586.02</v>
      </c>
      <c r="I232" s="36">
        <f>IF(Log_2018[[#This Row],[My Category]]="NONTRACKED",0,Log_2018[[#This Row],[Raw Amount]])</f>
        <v>-586.02</v>
      </c>
      <c r="J232" s="17">
        <f>ABS(Log_2018[[#This Row],[Amount]])</f>
        <v>586.02</v>
      </c>
      <c r="K232" s="66">
        <v>1</v>
      </c>
      <c r="L232" s="66">
        <f ca="1">IF(Log_2018[[#This Row],[Date]]&lt;=TODAY(), MIN(Log_2018[[#This Row],[Split_raw]], TODAY()-Log_2018[[#This Row],[Date]]+1), 0)</f>
        <v>1</v>
      </c>
      <c r="M232" t="s">
        <v>159</v>
      </c>
      <c r="N232" t="s">
        <v>160</v>
      </c>
      <c r="O232" s="50">
        <v>0</v>
      </c>
      <c r="P232" s="52">
        <f ca="1">Log_2018[[#This Row],[Amount]]/Log_2018[[#This Row],[Split_raw]]*MAX(0,MIN(_xlfn.DAYS(EDATE(P$1,1),Log_2018[[#This Row],[Date]]),Log_2018[[#This Row],[Split_apply]])) - SUM($O232:O232)</f>
        <v>0</v>
      </c>
      <c r="Q232" s="52">
        <f ca="1">Log_2018[[#This Row],[Amount]]/Log_2018[[#This Row],[Split_raw]]*MAX(0,MIN(_xlfn.DAYS(EDATE(Q$1,1),Log_2018[[#This Row],[Date]]),Log_2018[[#This Row],[Split_apply]])) - SUM($O232:P232)</f>
        <v>0</v>
      </c>
      <c r="R232" s="52">
        <f ca="1">Log_2018[[#This Row],[Amount]]/Log_2018[[#This Row],[Split_raw]]*MAX(0,MIN(_xlfn.DAYS(EDATE(R$1,1),Log_2018[[#This Row],[Date]]),Log_2018[[#This Row],[Split_apply]])) - SUM($O232:Q232)</f>
        <v>0</v>
      </c>
      <c r="S232" s="52">
        <f ca="1">Log_2018[[#This Row],[Amount]]/Log_2018[[#This Row],[Split_raw]]*MAX(0,MIN(_xlfn.DAYS(EDATE(S$1,1),Log_2018[[#This Row],[Date]]),Log_2018[[#This Row],[Split_apply]])) - SUM($O232:R232)</f>
        <v>0</v>
      </c>
      <c r="T232" s="52">
        <f ca="1">Log_2018[[#This Row],[Amount]]/Log_2018[[#This Row],[Split_raw]]*MAX(0,MIN(_xlfn.DAYS(EDATE(T$1,1),Log_2018[[#This Row],[Date]]),Log_2018[[#This Row],[Split_apply]])) - SUM($O232:S232)</f>
        <v>0</v>
      </c>
      <c r="U232" s="52">
        <f ca="1">Log_2018[[#This Row],[Amount]]/Log_2018[[#This Row],[Split_raw]]*MAX(0,MIN(_xlfn.DAYS(EDATE(U$1,1),Log_2018[[#This Row],[Date]]),Log_2018[[#This Row],[Split_apply]])) - SUM($O232:T232)</f>
        <v>0</v>
      </c>
      <c r="V232" s="52">
        <f ca="1">Log_2018[[#This Row],[Amount]]/Log_2018[[#This Row],[Split_raw]]*MAX(0,MIN(_xlfn.DAYS(EDATE(V$1,1),Log_2018[[#This Row],[Date]]),Log_2018[[#This Row],[Split_apply]])) - SUM($O232:U232)</f>
        <v>0</v>
      </c>
      <c r="W232" s="52">
        <f ca="1">Log_2018[[#This Row],[Amount]]/Log_2018[[#This Row],[Split_raw]]*MAX(0,MIN(_xlfn.DAYS(EDATE(W$1,1),Log_2018[[#This Row],[Date]]),Log_2018[[#This Row],[Split_apply]])) - SUM($O232:V232)</f>
        <v>0</v>
      </c>
      <c r="X232" s="52">
        <f ca="1">Log_2018[[#This Row],[Amount]]/Log_2018[[#This Row],[Split_raw]]*MAX(0,MIN(_xlfn.DAYS(EDATE(X$1,1),Log_2018[[#This Row],[Date]]),Log_2018[[#This Row],[Split_apply]])) - SUM($O232:W232)</f>
        <v>-586.02</v>
      </c>
      <c r="Y232" s="52">
        <f ca="1">Log_2018[[#This Row],[Amount]]/Log_2018[[#This Row],[Split_raw]]*MAX(0,MIN(_xlfn.DAYS(EDATE(Y$1,1),Log_2018[[#This Row],[Date]]),Log_2018[[#This Row],[Split_apply]])) - SUM($O232:X232)</f>
        <v>0</v>
      </c>
      <c r="Z232" s="52">
        <f ca="1">Log_2018[[#This Row],[Amount]]/Log_2018[[#This Row],[Split_raw]]*MAX(0,MIN(_xlfn.DAYS(EDATE(Z$1,1),Log_2018[[#This Row],[Date]]),Log_2018[[#This Row],[Split_apply]])) - SUM($O232:Y232)</f>
        <v>0</v>
      </c>
      <c r="AA232" s="52">
        <f ca="1">Log_2018[[#This Row],[Amount]]/Log_2018[[#This Row],[Split_raw]]*MAX(0,MIN(_xlfn.DAYS(EDATE(AA$1,1),Log_2018[[#This Row],[Date]]),Log_2018[[#This Row],[Split_apply]])) - SUM($O232:Z232)</f>
        <v>0</v>
      </c>
      <c r="AB232" s="54">
        <f ca="1">Log_2018[[#This Row],[Amount]]-SUM(O232:AA232)</f>
        <v>0</v>
      </c>
      <c r="AC232" s="7">
        <f ca="1">MAX(0,Log_2018[[#This Row],[Split_apply]] - (EDATE(AA$1,1)-Log_2018[[#This Row],[Date]]))</f>
        <v>0</v>
      </c>
    </row>
    <row r="233" spans="1:29" hidden="1" x14ac:dyDescent="0.25">
      <c r="A233" s="115"/>
      <c r="B233" t="s">
        <v>6</v>
      </c>
      <c r="D233" s="26">
        <v>43366</v>
      </c>
      <c r="F233" t="s">
        <v>105</v>
      </c>
      <c r="G233" t="s">
        <v>104</v>
      </c>
      <c r="H233" s="3">
        <f>--586.02</f>
        <v>586.02</v>
      </c>
      <c r="I233" s="36">
        <f>IF(Log_2018[[#This Row],[My Category]]="NONTRACKED",0,Log_2018[[#This Row],[Raw Amount]])</f>
        <v>586.02</v>
      </c>
      <c r="J233" s="17">
        <f>ABS(Log_2018[[#This Row],[Amount]])</f>
        <v>586.02</v>
      </c>
      <c r="K233" s="66">
        <v>1</v>
      </c>
      <c r="L233" s="66">
        <f ca="1">IF(Log_2018[[#This Row],[Date]]&lt;=TODAY(), MIN(Log_2018[[#This Row],[Split_raw]], TODAY()-Log_2018[[#This Row],[Date]]+1), 0)</f>
        <v>1</v>
      </c>
      <c r="M233" t="s">
        <v>159</v>
      </c>
      <c r="N233" t="s">
        <v>158</v>
      </c>
      <c r="O233" s="50">
        <v>0</v>
      </c>
      <c r="P233" s="52">
        <f ca="1">Log_2018[[#This Row],[Amount]]/Log_2018[[#This Row],[Split_raw]]*MAX(0,MIN(_xlfn.DAYS(EDATE(P$1,1),Log_2018[[#This Row],[Date]]),Log_2018[[#This Row],[Split_apply]])) - SUM($O233:O233)</f>
        <v>0</v>
      </c>
      <c r="Q233" s="52">
        <f ca="1">Log_2018[[#This Row],[Amount]]/Log_2018[[#This Row],[Split_raw]]*MAX(0,MIN(_xlfn.DAYS(EDATE(Q$1,1),Log_2018[[#This Row],[Date]]),Log_2018[[#This Row],[Split_apply]])) - SUM($O233:P233)</f>
        <v>0</v>
      </c>
      <c r="R233" s="52">
        <f ca="1">Log_2018[[#This Row],[Amount]]/Log_2018[[#This Row],[Split_raw]]*MAX(0,MIN(_xlfn.DAYS(EDATE(R$1,1),Log_2018[[#This Row],[Date]]),Log_2018[[#This Row],[Split_apply]])) - SUM($O233:Q233)</f>
        <v>0</v>
      </c>
      <c r="S233" s="52">
        <f ca="1">Log_2018[[#This Row],[Amount]]/Log_2018[[#This Row],[Split_raw]]*MAX(0,MIN(_xlfn.DAYS(EDATE(S$1,1),Log_2018[[#This Row],[Date]]),Log_2018[[#This Row],[Split_apply]])) - SUM($O233:R233)</f>
        <v>0</v>
      </c>
      <c r="T233" s="52">
        <f ca="1">Log_2018[[#This Row],[Amount]]/Log_2018[[#This Row],[Split_raw]]*MAX(0,MIN(_xlfn.DAYS(EDATE(T$1,1),Log_2018[[#This Row],[Date]]),Log_2018[[#This Row],[Split_apply]])) - SUM($O233:S233)</f>
        <v>0</v>
      </c>
      <c r="U233" s="52">
        <f ca="1">Log_2018[[#This Row],[Amount]]/Log_2018[[#This Row],[Split_raw]]*MAX(0,MIN(_xlfn.DAYS(EDATE(U$1,1),Log_2018[[#This Row],[Date]]),Log_2018[[#This Row],[Split_apply]])) - SUM($O233:T233)</f>
        <v>0</v>
      </c>
      <c r="V233" s="52">
        <f ca="1">Log_2018[[#This Row],[Amount]]/Log_2018[[#This Row],[Split_raw]]*MAX(0,MIN(_xlfn.DAYS(EDATE(V$1,1),Log_2018[[#This Row],[Date]]),Log_2018[[#This Row],[Split_apply]])) - SUM($O233:U233)</f>
        <v>0</v>
      </c>
      <c r="W233" s="52">
        <f ca="1">Log_2018[[#This Row],[Amount]]/Log_2018[[#This Row],[Split_raw]]*MAX(0,MIN(_xlfn.DAYS(EDATE(W$1,1),Log_2018[[#This Row],[Date]]),Log_2018[[#This Row],[Split_apply]])) - SUM($O233:V233)</f>
        <v>0</v>
      </c>
      <c r="X233" s="52">
        <f ca="1">Log_2018[[#This Row],[Amount]]/Log_2018[[#This Row],[Split_raw]]*MAX(0,MIN(_xlfn.DAYS(EDATE(X$1,1),Log_2018[[#This Row],[Date]]),Log_2018[[#This Row],[Split_apply]])) - SUM($O233:W233)</f>
        <v>586.02</v>
      </c>
      <c r="Y233" s="52">
        <f ca="1">Log_2018[[#This Row],[Amount]]/Log_2018[[#This Row],[Split_raw]]*MAX(0,MIN(_xlfn.DAYS(EDATE(Y$1,1),Log_2018[[#This Row],[Date]]),Log_2018[[#This Row],[Split_apply]])) - SUM($O233:X233)</f>
        <v>0</v>
      </c>
      <c r="Z233" s="52">
        <f ca="1">Log_2018[[#This Row],[Amount]]/Log_2018[[#This Row],[Split_raw]]*MAX(0,MIN(_xlfn.DAYS(EDATE(Z$1,1),Log_2018[[#This Row],[Date]]),Log_2018[[#This Row],[Split_apply]])) - SUM($O233:Y233)</f>
        <v>0</v>
      </c>
      <c r="AA233" s="52">
        <f ca="1">Log_2018[[#This Row],[Amount]]/Log_2018[[#This Row],[Split_raw]]*MAX(0,MIN(_xlfn.DAYS(EDATE(AA$1,1),Log_2018[[#This Row],[Date]]),Log_2018[[#This Row],[Split_apply]])) - SUM($O233:Z233)</f>
        <v>0</v>
      </c>
      <c r="AB233" s="54">
        <f ca="1">Log_2018[[#This Row],[Amount]]-SUM(O233:AA233)</f>
        <v>0</v>
      </c>
      <c r="AC233" s="7">
        <f ca="1">MAX(0,Log_2018[[#This Row],[Split_apply]] - (EDATE(AA$1,1)-Log_2018[[#This Row],[Date]]))</f>
        <v>0</v>
      </c>
    </row>
    <row r="234" spans="1:29" hidden="1" x14ac:dyDescent="0.25">
      <c r="A234" s="115"/>
      <c r="B234" t="s">
        <v>6</v>
      </c>
      <c r="D234" s="26">
        <v>43365</v>
      </c>
      <c r="F234" t="s">
        <v>184</v>
      </c>
      <c r="G234" t="s">
        <v>11</v>
      </c>
      <c r="H234" s="3">
        <v>-9.4499999999999993</v>
      </c>
      <c r="I234" s="36">
        <f>IF(Log_2018[[#This Row],[My Category]]="NONTRACKED",0,Log_2018[[#This Row],[Raw Amount]])</f>
        <v>-9.4499999999999993</v>
      </c>
      <c r="J234" s="17">
        <f>ABS(Log_2018[[#This Row],[Amount]])</f>
        <v>9.4499999999999993</v>
      </c>
      <c r="K234" s="66">
        <v>1</v>
      </c>
      <c r="L234" s="66">
        <f ca="1">IF(Log_2018[[#This Row],[Date]]&lt;=TODAY(), MIN(Log_2018[[#This Row],[Split_raw]], TODAY()-Log_2018[[#This Row],[Date]]+1), 0)</f>
        <v>1</v>
      </c>
      <c r="M234" t="s">
        <v>12</v>
      </c>
      <c r="N234" t="s">
        <v>158</v>
      </c>
      <c r="O234" s="50">
        <v>0</v>
      </c>
      <c r="P234" s="52">
        <f ca="1">Log_2018[[#This Row],[Amount]]/Log_2018[[#This Row],[Split_raw]]*MAX(0,MIN(_xlfn.DAYS(EDATE(P$1,1),Log_2018[[#This Row],[Date]]),Log_2018[[#This Row],[Split_apply]])) - SUM($O234:O234)</f>
        <v>0</v>
      </c>
      <c r="Q234" s="52">
        <f ca="1">Log_2018[[#This Row],[Amount]]/Log_2018[[#This Row],[Split_raw]]*MAX(0,MIN(_xlfn.DAYS(EDATE(Q$1,1),Log_2018[[#This Row],[Date]]),Log_2018[[#This Row],[Split_apply]])) - SUM($O234:P234)</f>
        <v>0</v>
      </c>
      <c r="R234" s="52">
        <f ca="1">Log_2018[[#This Row],[Amount]]/Log_2018[[#This Row],[Split_raw]]*MAX(0,MIN(_xlfn.DAYS(EDATE(R$1,1),Log_2018[[#This Row],[Date]]),Log_2018[[#This Row],[Split_apply]])) - SUM($O234:Q234)</f>
        <v>0</v>
      </c>
      <c r="S234" s="52">
        <f ca="1">Log_2018[[#This Row],[Amount]]/Log_2018[[#This Row],[Split_raw]]*MAX(0,MIN(_xlfn.DAYS(EDATE(S$1,1),Log_2018[[#This Row],[Date]]),Log_2018[[#This Row],[Split_apply]])) - SUM($O234:R234)</f>
        <v>0</v>
      </c>
      <c r="T234" s="52">
        <f ca="1">Log_2018[[#This Row],[Amount]]/Log_2018[[#This Row],[Split_raw]]*MAX(0,MIN(_xlfn.DAYS(EDATE(T$1,1),Log_2018[[#This Row],[Date]]),Log_2018[[#This Row],[Split_apply]])) - SUM($O234:S234)</f>
        <v>0</v>
      </c>
      <c r="U234" s="52">
        <f ca="1">Log_2018[[#This Row],[Amount]]/Log_2018[[#This Row],[Split_raw]]*MAX(0,MIN(_xlfn.DAYS(EDATE(U$1,1),Log_2018[[#This Row],[Date]]),Log_2018[[#This Row],[Split_apply]])) - SUM($O234:T234)</f>
        <v>0</v>
      </c>
      <c r="V234" s="52">
        <f ca="1">Log_2018[[#This Row],[Amount]]/Log_2018[[#This Row],[Split_raw]]*MAX(0,MIN(_xlfn.DAYS(EDATE(V$1,1),Log_2018[[#This Row],[Date]]),Log_2018[[#This Row],[Split_apply]])) - SUM($O234:U234)</f>
        <v>0</v>
      </c>
      <c r="W234" s="52">
        <f ca="1">Log_2018[[#This Row],[Amount]]/Log_2018[[#This Row],[Split_raw]]*MAX(0,MIN(_xlfn.DAYS(EDATE(W$1,1),Log_2018[[#This Row],[Date]]),Log_2018[[#This Row],[Split_apply]])) - SUM($O234:V234)</f>
        <v>0</v>
      </c>
      <c r="X234" s="52">
        <f ca="1">Log_2018[[#This Row],[Amount]]/Log_2018[[#This Row],[Split_raw]]*MAX(0,MIN(_xlfn.DAYS(EDATE(X$1,1),Log_2018[[#This Row],[Date]]),Log_2018[[#This Row],[Split_apply]])) - SUM($O234:W234)</f>
        <v>-9.4499999999999993</v>
      </c>
      <c r="Y234" s="52">
        <f ca="1">Log_2018[[#This Row],[Amount]]/Log_2018[[#This Row],[Split_raw]]*MAX(0,MIN(_xlfn.DAYS(EDATE(Y$1,1),Log_2018[[#This Row],[Date]]),Log_2018[[#This Row],[Split_apply]])) - SUM($O234:X234)</f>
        <v>0</v>
      </c>
      <c r="Z234" s="52">
        <f ca="1">Log_2018[[#This Row],[Amount]]/Log_2018[[#This Row],[Split_raw]]*MAX(0,MIN(_xlfn.DAYS(EDATE(Z$1,1),Log_2018[[#This Row],[Date]]),Log_2018[[#This Row],[Split_apply]])) - SUM($O234:Y234)</f>
        <v>0</v>
      </c>
      <c r="AA234" s="52">
        <f ca="1">Log_2018[[#This Row],[Amount]]/Log_2018[[#This Row],[Split_raw]]*MAX(0,MIN(_xlfn.DAYS(EDATE(AA$1,1),Log_2018[[#This Row],[Date]]),Log_2018[[#This Row],[Split_apply]])) - SUM($O234:Z234)</f>
        <v>0</v>
      </c>
      <c r="AB234" s="54">
        <f ca="1">Log_2018[[#This Row],[Amount]]-SUM(O234:AA234)</f>
        <v>0</v>
      </c>
      <c r="AC234" s="7">
        <f ca="1">MAX(0,Log_2018[[#This Row],[Split_apply]] - (EDATE(AA$1,1)-Log_2018[[#This Row],[Date]]))</f>
        <v>0</v>
      </c>
    </row>
    <row r="235" spans="1:29" hidden="1" x14ac:dyDescent="0.25">
      <c r="A235" s="115"/>
      <c r="B235" t="s">
        <v>6</v>
      </c>
      <c r="D235" s="26">
        <v>43364</v>
      </c>
      <c r="F235" t="s">
        <v>309</v>
      </c>
      <c r="G235" t="s">
        <v>13</v>
      </c>
      <c r="H235" s="3">
        <v>-4.51</v>
      </c>
      <c r="I235" s="36">
        <f>IF(Log_2018[[#This Row],[My Category]]="NONTRACKED",0,Log_2018[[#This Row],[Raw Amount]])</f>
        <v>-4.51</v>
      </c>
      <c r="J235" s="17">
        <f>ABS(Log_2018[[#This Row],[Amount]])</f>
        <v>4.51</v>
      </c>
      <c r="K235" s="66">
        <v>1</v>
      </c>
      <c r="L235" s="66">
        <f ca="1">IF(Log_2018[[#This Row],[Date]]&lt;=TODAY(), MIN(Log_2018[[#This Row],[Split_raw]], TODAY()-Log_2018[[#This Row],[Date]]+1), 0)</f>
        <v>1</v>
      </c>
      <c r="M235" t="s">
        <v>146</v>
      </c>
      <c r="N235" t="s">
        <v>158</v>
      </c>
      <c r="O235" s="50">
        <v>0</v>
      </c>
      <c r="P235" s="52">
        <f ca="1">Log_2018[[#This Row],[Amount]]/Log_2018[[#This Row],[Split_raw]]*MAX(0,MIN(_xlfn.DAYS(EDATE(P$1,1),Log_2018[[#This Row],[Date]]),Log_2018[[#This Row],[Split_apply]])) - SUM($O235:O235)</f>
        <v>0</v>
      </c>
      <c r="Q235" s="52">
        <f ca="1">Log_2018[[#This Row],[Amount]]/Log_2018[[#This Row],[Split_raw]]*MAX(0,MIN(_xlfn.DAYS(EDATE(Q$1,1),Log_2018[[#This Row],[Date]]),Log_2018[[#This Row],[Split_apply]])) - SUM($O235:P235)</f>
        <v>0</v>
      </c>
      <c r="R235" s="52">
        <f ca="1">Log_2018[[#This Row],[Amount]]/Log_2018[[#This Row],[Split_raw]]*MAX(0,MIN(_xlfn.DAYS(EDATE(R$1,1),Log_2018[[#This Row],[Date]]),Log_2018[[#This Row],[Split_apply]])) - SUM($O235:Q235)</f>
        <v>0</v>
      </c>
      <c r="S235" s="52">
        <f ca="1">Log_2018[[#This Row],[Amount]]/Log_2018[[#This Row],[Split_raw]]*MAX(0,MIN(_xlfn.DAYS(EDATE(S$1,1),Log_2018[[#This Row],[Date]]),Log_2018[[#This Row],[Split_apply]])) - SUM($O235:R235)</f>
        <v>0</v>
      </c>
      <c r="T235" s="52">
        <f ca="1">Log_2018[[#This Row],[Amount]]/Log_2018[[#This Row],[Split_raw]]*MAX(0,MIN(_xlfn.DAYS(EDATE(T$1,1),Log_2018[[#This Row],[Date]]),Log_2018[[#This Row],[Split_apply]])) - SUM($O235:S235)</f>
        <v>0</v>
      </c>
      <c r="U235" s="52">
        <f ca="1">Log_2018[[#This Row],[Amount]]/Log_2018[[#This Row],[Split_raw]]*MAX(0,MIN(_xlfn.DAYS(EDATE(U$1,1),Log_2018[[#This Row],[Date]]),Log_2018[[#This Row],[Split_apply]])) - SUM($O235:T235)</f>
        <v>0</v>
      </c>
      <c r="V235" s="52">
        <f ca="1">Log_2018[[#This Row],[Amount]]/Log_2018[[#This Row],[Split_raw]]*MAX(0,MIN(_xlfn.DAYS(EDATE(V$1,1),Log_2018[[#This Row],[Date]]),Log_2018[[#This Row],[Split_apply]])) - SUM($O235:U235)</f>
        <v>0</v>
      </c>
      <c r="W235" s="52">
        <f ca="1">Log_2018[[#This Row],[Amount]]/Log_2018[[#This Row],[Split_raw]]*MAX(0,MIN(_xlfn.DAYS(EDATE(W$1,1),Log_2018[[#This Row],[Date]]),Log_2018[[#This Row],[Split_apply]])) - SUM($O235:V235)</f>
        <v>0</v>
      </c>
      <c r="X235" s="52">
        <f ca="1">Log_2018[[#This Row],[Amount]]/Log_2018[[#This Row],[Split_raw]]*MAX(0,MIN(_xlfn.DAYS(EDATE(X$1,1),Log_2018[[#This Row],[Date]]),Log_2018[[#This Row],[Split_apply]])) - SUM($O235:W235)</f>
        <v>-4.51</v>
      </c>
      <c r="Y235" s="52">
        <f ca="1">Log_2018[[#This Row],[Amount]]/Log_2018[[#This Row],[Split_raw]]*MAX(0,MIN(_xlfn.DAYS(EDATE(Y$1,1),Log_2018[[#This Row],[Date]]),Log_2018[[#This Row],[Split_apply]])) - SUM($O235:X235)</f>
        <v>0</v>
      </c>
      <c r="Z235" s="52">
        <f ca="1">Log_2018[[#This Row],[Amount]]/Log_2018[[#This Row],[Split_raw]]*MAX(0,MIN(_xlfn.DAYS(EDATE(Z$1,1),Log_2018[[#This Row],[Date]]),Log_2018[[#This Row],[Split_apply]])) - SUM($O235:Y235)</f>
        <v>0</v>
      </c>
      <c r="AA235" s="52">
        <f ca="1">Log_2018[[#This Row],[Amount]]/Log_2018[[#This Row],[Split_raw]]*MAX(0,MIN(_xlfn.DAYS(EDATE(AA$1,1),Log_2018[[#This Row],[Date]]),Log_2018[[#This Row],[Split_apply]])) - SUM($O235:Z235)</f>
        <v>0</v>
      </c>
      <c r="AB235" s="54">
        <f ca="1">Log_2018[[#This Row],[Amount]]-SUM(O235:AA235)</f>
        <v>0</v>
      </c>
      <c r="AC235" s="7">
        <f ca="1">MAX(0,Log_2018[[#This Row],[Split_apply]] - (EDATE(AA$1,1)-Log_2018[[#This Row],[Date]]))</f>
        <v>0</v>
      </c>
    </row>
    <row r="236" spans="1:29" hidden="1" x14ac:dyDescent="0.25">
      <c r="A236" s="115"/>
      <c r="B236" t="s">
        <v>6</v>
      </c>
      <c r="D236" s="39">
        <v>43364</v>
      </c>
      <c r="F236" t="s">
        <v>255</v>
      </c>
      <c r="G236" t="s">
        <v>25</v>
      </c>
      <c r="H236" s="3">
        <v>-11.52</v>
      </c>
      <c r="I236" s="36">
        <f>IF(Log_2018[[#This Row],[My Category]]="NONTRACKED",0,Log_2018[[#This Row],[Raw Amount]])</f>
        <v>-11.52</v>
      </c>
      <c r="J236" s="17">
        <f>ABS(Log_2018[[#This Row],[Amount]])</f>
        <v>11.52</v>
      </c>
      <c r="K236" s="66">
        <v>1</v>
      </c>
      <c r="L236" s="66">
        <f ca="1">IF(Log_2018[[#This Row],[Date]]&lt;=TODAY(), MIN(Log_2018[[#This Row],[Split_raw]], TODAY()-Log_2018[[#This Row],[Date]]+1), 0)</f>
        <v>1</v>
      </c>
      <c r="M236" t="s">
        <v>35</v>
      </c>
      <c r="N236" t="s">
        <v>158</v>
      </c>
      <c r="O236" s="50">
        <v>0</v>
      </c>
      <c r="P236" s="52">
        <f ca="1">Log_2018[[#This Row],[Amount]]/Log_2018[[#This Row],[Split_raw]]*MAX(0,MIN(_xlfn.DAYS(EDATE(P$1,1),Log_2018[[#This Row],[Date]]),Log_2018[[#This Row],[Split_apply]])) - SUM($O236:O236)</f>
        <v>0</v>
      </c>
      <c r="Q236" s="52">
        <f ca="1">Log_2018[[#This Row],[Amount]]/Log_2018[[#This Row],[Split_raw]]*MAX(0,MIN(_xlfn.DAYS(EDATE(Q$1,1),Log_2018[[#This Row],[Date]]),Log_2018[[#This Row],[Split_apply]])) - SUM($O236:P236)</f>
        <v>0</v>
      </c>
      <c r="R236" s="52">
        <f ca="1">Log_2018[[#This Row],[Amount]]/Log_2018[[#This Row],[Split_raw]]*MAX(0,MIN(_xlfn.DAYS(EDATE(R$1,1),Log_2018[[#This Row],[Date]]),Log_2018[[#This Row],[Split_apply]])) - SUM($O236:Q236)</f>
        <v>0</v>
      </c>
      <c r="S236" s="52">
        <f ca="1">Log_2018[[#This Row],[Amount]]/Log_2018[[#This Row],[Split_raw]]*MAX(0,MIN(_xlfn.DAYS(EDATE(S$1,1),Log_2018[[#This Row],[Date]]),Log_2018[[#This Row],[Split_apply]])) - SUM($O236:R236)</f>
        <v>0</v>
      </c>
      <c r="T236" s="52">
        <f ca="1">Log_2018[[#This Row],[Amount]]/Log_2018[[#This Row],[Split_raw]]*MAX(0,MIN(_xlfn.DAYS(EDATE(T$1,1),Log_2018[[#This Row],[Date]]),Log_2018[[#This Row],[Split_apply]])) - SUM($O236:S236)</f>
        <v>0</v>
      </c>
      <c r="U236" s="52">
        <f ca="1">Log_2018[[#This Row],[Amount]]/Log_2018[[#This Row],[Split_raw]]*MAX(0,MIN(_xlfn.DAYS(EDATE(U$1,1),Log_2018[[#This Row],[Date]]),Log_2018[[#This Row],[Split_apply]])) - SUM($O236:T236)</f>
        <v>0</v>
      </c>
      <c r="V236" s="52">
        <f ca="1">Log_2018[[#This Row],[Amount]]/Log_2018[[#This Row],[Split_raw]]*MAX(0,MIN(_xlfn.DAYS(EDATE(V$1,1),Log_2018[[#This Row],[Date]]),Log_2018[[#This Row],[Split_apply]])) - SUM($O236:U236)</f>
        <v>0</v>
      </c>
      <c r="W236" s="52">
        <f ca="1">Log_2018[[#This Row],[Amount]]/Log_2018[[#This Row],[Split_raw]]*MAX(0,MIN(_xlfn.DAYS(EDATE(W$1,1),Log_2018[[#This Row],[Date]]),Log_2018[[#This Row],[Split_apply]])) - SUM($O236:V236)</f>
        <v>0</v>
      </c>
      <c r="X236" s="52">
        <f ca="1">Log_2018[[#This Row],[Amount]]/Log_2018[[#This Row],[Split_raw]]*MAX(0,MIN(_xlfn.DAYS(EDATE(X$1,1),Log_2018[[#This Row],[Date]]),Log_2018[[#This Row],[Split_apply]])) - SUM($O236:W236)</f>
        <v>-11.52</v>
      </c>
      <c r="Y236" s="52">
        <f ca="1">Log_2018[[#This Row],[Amount]]/Log_2018[[#This Row],[Split_raw]]*MAX(0,MIN(_xlfn.DAYS(EDATE(Y$1,1),Log_2018[[#This Row],[Date]]),Log_2018[[#This Row],[Split_apply]])) - SUM($O236:X236)</f>
        <v>0</v>
      </c>
      <c r="Z236" s="52">
        <f ca="1">Log_2018[[#This Row],[Amount]]/Log_2018[[#This Row],[Split_raw]]*MAX(0,MIN(_xlfn.DAYS(EDATE(Z$1,1),Log_2018[[#This Row],[Date]]),Log_2018[[#This Row],[Split_apply]])) - SUM($O236:Y236)</f>
        <v>0</v>
      </c>
      <c r="AA236" s="52">
        <f ca="1">Log_2018[[#This Row],[Amount]]/Log_2018[[#This Row],[Split_raw]]*MAX(0,MIN(_xlfn.DAYS(EDATE(AA$1,1),Log_2018[[#This Row],[Date]]),Log_2018[[#This Row],[Split_apply]])) - SUM($O236:Z236)</f>
        <v>0</v>
      </c>
      <c r="AB236" s="54">
        <f ca="1">Log_2018[[#This Row],[Amount]]-SUM(O236:AA236)</f>
        <v>0</v>
      </c>
      <c r="AC236" s="7">
        <f ca="1">MAX(0,Log_2018[[#This Row],[Split_apply]] - (EDATE(AA$1,1)-Log_2018[[#This Row],[Date]]))</f>
        <v>0</v>
      </c>
    </row>
    <row r="237" spans="1:29" hidden="1" x14ac:dyDescent="0.25">
      <c r="A237" s="115"/>
      <c r="B237" t="s">
        <v>6</v>
      </c>
      <c r="D237" s="39">
        <v>43363</v>
      </c>
      <c r="F237" t="s">
        <v>373</v>
      </c>
      <c r="G237" t="s">
        <v>25</v>
      </c>
      <c r="H237" s="3">
        <v>-9.99</v>
      </c>
      <c r="I237" s="36">
        <f>IF(Log_2018[[#This Row],[My Category]]="NONTRACKED",0,Log_2018[[#This Row],[Raw Amount]])</f>
        <v>-9.99</v>
      </c>
      <c r="J237" s="17">
        <f>ABS(Log_2018[[#This Row],[Amount]])</f>
        <v>9.99</v>
      </c>
      <c r="K237" s="66">
        <v>1</v>
      </c>
      <c r="L237" s="66">
        <f ca="1">IF(Log_2018[[#This Row],[Date]]&lt;=TODAY(), MIN(Log_2018[[#This Row],[Split_raw]], TODAY()-Log_2018[[#This Row],[Date]]+1), 0)</f>
        <v>1</v>
      </c>
      <c r="M237" t="s">
        <v>35</v>
      </c>
      <c r="N237" t="s">
        <v>158</v>
      </c>
      <c r="O237" s="50">
        <v>0</v>
      </c>
      <c r="P237" s="52">
        <f ca="1">Log_2018[[#This Row],[Amount]]/Log_2018[[#This Row],[Split_raw]]*MAX(0,MIN(_xlfn.DAYS(EDATE(P$1,1),Log_2018[[#This Row],[Date]]),Log_2018[[#This Row],[Split_apply]])) - SUM($O237:O237)</f>
        <v>0</v>
      </c>
      <c r="Q237" s="52">
        <f ca="1">Log_2018[[#This Row],[Amount]]/Log_2018[[#This Row],[Split_raw]]*MAX(0,MIN(_xlfn.DAYS(EDATE(Q$1,1),Log_2018[[#This Row],[Date]]),Log_2018[[#This Row],[Split_apply]])) - SUM($O237:P237)</f>
        <v>0</v>
      </c>
      <c r="R237" s="52">
        <f ca="1">Log_2018[[#This Row],[Amount]]/Log_2018[[#This Row],[Split_raw]]*MAX(0,MIN(_xlfn.DAYS(EDATE(R$1,1),Log_2018[[#This Row],[Date]]),Log_2018[[#This Row],[Split_apply]])) - SUM($O237:Q237)</f>
        <v>0</v>
      </c>
      <c r="S237" s="52">
        <f ca="1">Log_2018[[#This Row],[Amount]]/Log_2018[[#This Row],[Split_raw]]*MAX(0,MIN(_xlfn.DAYS(EDATE(S$1,1),Log_2018[[#This Row],[Date]]),Log_2018[[#This Row],[Split_apply]])) - SUM($O237:R237)</f>
        <v>0</v>
      </c>
      <c r="T237" s="52">
        <f ca="1">Log_2018[[#This Row],[Amount]]/Log_2018[[#This Row],[Split_raw]]*MAX(0,MIN(_xlfn.DAYS(EDATE(T$1,1),Log_2018[[#This Row],[Date]]),Log_2018[[#This Row],[Split_apply]])) - SUM($O237:S237)</f>
        <v>0</v>
      </c>
      <c r="U237" s="52">
        <f ca="1">Log_2018[[#This Row],[Amount]]/Log_2018[[#This Row],[Split_raw]]*MAX(0,MIN(_xlfn.DAYS(EDATE(U$1,1),Log_2018[[#This Row],[Date]]),Log_2018[[#This Row],[Split_apply]])) - SUM($O237:T237)</f>
        <v>0</v>
      </c>
      <c r="V237" s="52">
        <f ca="1">Log_2018[[#This Row],[Amount]]/Log_2018[[#This Row],[Split_raw]]*MAX(0,MIN(_xlfn.DAYS(EDATE(V$1,1),Log_2018[[#This Row],[Date]]),Log_2018[[#This Row],[Split_apply]])) - SUM($O237:U237)</f>
        <v>0</v>
      </c>
      <c r="W237" s="52">
        <f ca="1">Log_2018[[#This Row],[Amount]]/Log_2018[[#This Row],[Split_raw]]*MAX(0,MIN(_xlfn.DAYS(EDATE(W$1,1),Log_2018[[#This Row],[Date]]),Log_2018[[#This Row],[Split_apply]])) - SUM($O237:V237)</f>
        <v>0</v>
      </c>
      <c r="X237" s="52">
        <f ca="1">Log_2018[[#This Row],[Amount]]/Log_2018[[#This Row],[Split_raw]]*MAX(0,MIN(_xlfn.DAYS(EDATE(X$1,1),Log_2018[[#This Row],[Date]]),Log_2018[[#This Row],[Split_apply]])) - SUM($O237:W237)</f>
        <v>-9.99</v>
      </c>
      <c r="Y237" s="52">
        <f ca="1">Log_2018[[#This Row],[Amount]]/Log_2018[[#This Row],[Split_raw]]*MAX(0,MIN(_xlfn.DAYS(EDATE(Y$1,1),Log_2018[[#This Row],[Date]]),Log_2018[[#This Row],[Split_apply]])) - SUM($O237:X237)</f>
        <v>0</v>
      </c>
      <c r="Z237" s="52">
        <f ca="1">Log_2018[[#This Row],[Amount]]/Log_2018[[#This Row],[Split_raw]]*MAX(0,MIN(_xlfn.DAYS(EDATE(Z$1,1),Log_2018[[#This Row],[Date]]),Log_2018[[#This Row],[Split_apply]])) - SUM($O237:Y237)</f>
        <v>0</v>
      </c>
      <c r="AA237" s="52">
        <f ca="1">Log_2018[[#This Row],[Amount]]/Log_2018[[#This Row],[Split_raw]]*MAX(0,MIN(_xlfn.DAYS(EDATE(AA$1,1),Log_2018[[#This Row],[Date]]),Log_2018[[#This Row],[Split_apply]])) - SUM($O237:Z237)</f>
        <v>0</v>
      </c>
      <c r="AB237" s="54">
        <f ca="1">Log_2018[[#This Row],[Amount]]-SUM(O237:AA237)</f>
        <v>0</v>
      </c>
      <c r="AC237" s="7">
        <f ca="1">MAX(0,Log_2018[[#This Row],[Split_apply]] - (EDATE(AA$1,1)-Log_2018[[#This Row],[Date]]))</f>
        <v>0</v>
      </c>
    </row>
    <row r="238" spans="1:29" hidden="1" x14ac:dyDescent="0.25">
      <c r="A238" s="115"/>
      <c r="B238" t="s">
        <v>6</v>
      </c>
      <c r="D238" s="39">
        <v>43361</v>
      </c>
      <c r="F238" t="s">
        <v>308</v>
      </c>
      <c r="G238" t="s">
        <v>25</v>
      </c>
      <c r="H238" s="3">
        <v>-11.86</v>
      </c>
      <c r="I238" s="36">
        <f>IF(Log_2018[[#This Row],[My Category]]="NONTRACKED",0,Log_2018[[#This Row],[Raw Amount]])</f>
        <v>-11.86</v>
      </c>
      <c r="J238" s="17">
        <f>ABS(Log_2018[[#This Row],[Amount]])</f>
        <v>11.86</v>
      </c>
      <c r="K238" s="66">
        <v>1</v>
      </c>
      <c r="L238" s="66">
        <f ca="1">IF(Log_2018[[#This Row],[Date]]&lt;=TODAY(), MIN(Log_2018[[#This Row],[Split_raw]], TODAY()-Log_2018[[#This Row],[Date]]+1), 0)</f>
        <v>1</v>
      </c>
      <c r="M238" t="s">
        <v>35</v>
      </c>
      <c r="N238" t="s">
        <v>158</v>
      </c>
      <c r="O238" s="50">
        <v>0</v>
      </c>
      <c r="P238" s="52">
        <f ca="1">Log_2018[[#This Row],[Amount]]/Log_2018[[#This Row],[Split_raw]]*MAX(0,MIN(_xlfn.DAYS(EDATE(P$1,1),Log_2018[[#This Row],[Date]]),Log_2018[[#This Row],[Split_apply]])) - SUM($O238:O238)</f>
        <v>0</v>
      </c>
      <c r="Q238" s="52">
        <f ca="1">Log_2018[[#This Row],[Amount]]/Log_2018[[#This Row],[Split_raw]]*MAX(0,MIN(_xlfn.DAYS(EDATE(Q$1,1),Log_2018[[#This Row],[Date]]),Log_2018[[#This Row],[Split_apply]])) - SUM($O238:P238)</f>
        <v>0</v>
      </c>
      <c r="R238" s="52">
        <f ca="1">Log_2018[[#This Row],[Amount]]/Log_2018[[#This Row],[Split_raw]]*MAX(0,MIN(_xlfn.DAYS(EDATE(R$1,1),Log_2018[[#This Row],[Date]]),Log_2018[[#This Row],[Split_apply]])) - SUM($O238:Q238)</f>
        <v>0</v>
      </c>
      <c r="S238" s="52">
        <f ca="1">Log_2018[[#This Row],[Amount]]/Log_2018[[#This Row],[Split_raw]]*MAX(0,MIN(_xlfn.DAYS(EDATE(S$1,1),Log_2018[[#This Row],[Date]]),Log_2018[[#This Row],[Split_apply]])) - SUM($O238:R238)</f>
        <v>0</v>
      </c>
      <c r="T238" s="52">
        <f ca="1">Log_2018[[#This Row],[Amount]]/Log_2018[[#This Row],[Split_raw]]*MAX(0,MIN(_xlfn.DAYS(EDATE(T$1,1),Log_2018[[#This Row],[Date]]),Log_2018[[#This Row],[Split_apply]])) - SUM($O238:S238)</f>
        <v>0</v>
      </c>
      <c r="U238" s="52">
        <f ca="1">Log_2018[[#This Row],[Amount]]/Log_2018[[#This Row],[Split_raw]]*MAX(0,MIN(_xlfn.DAYS(EDATE(U$1,1),Log_2018[[#This Row],[Date]]),Log_2018[[#This Row],[Split_apply]])) - SUM($O238:T238)</f>
        <v>0</v>
      </c>
      <c r="V238" s="52">
        <f ca="1">Log_2018[[#This Row],[Amount]]/Log_2018[[#This Row],[Split_raw]]*MAX(0,MIN(_xlfn.DAYS(EDATE(V$1,1),Log_2018[[#This Row],[Date]]),Log_2018[[#This Row],[Split_apply]])) - SUM($O238:U238)</f>
        <v>0</v>
      </c>
      <c r="W238" s="52">
        <f ca="1">Log_2018[[#This Row],[Amount]]/Log_2018[[#This Row],[Split_raw]]*MAX(0,MIN(_xlfn.DAYS(EDATE(W$1,1),Log_2018[[#This Row],[Date]]),Log_2018[[#This Row],[Split_apply]])) - SUM($O238:V238)</f>
        <v>0</v>
      </c>
      <c r="X238" s="52">
        <f ca="1">Log_2018[[#This Row],[Amount]]/Log_2018[[#This Row],[Split_raw]]*MAX(0,MIN(_xlfn.DAYS(EDATE(X$1,1),Log_2018[[#This Row],[Date]]),Log_2018[[#This Row],[Split_apply]])) - SUM($O238:W238)</f>
        <v>-11.86</v>
      </c>
      <c r="Y238" s="52">
        <f ca="1">Log_2018[[#This Row],[Amount]]/Log_2018[[#This Row],[Split_raw]]*MAX(0,MIN(_xlfn.DAYS(EDATE(Y$1,1),Log_2018[[#This Row],[Date]]),Log_2018[[#This Row],[Split_apply]])) - SUM($O238:X238)</f>
        <v>0</v>
      </c>
      <c r="Z238" s="52">
        <f ca="1">Log_2018[[#This Row],[Amount]]/Log_2018[[#This Row],[Split_raw]]*MAX(0,MIN(_xlfn.DAYS(EDATE(Z$1,1),Log_2018[[#This Row],[Date]]),Log_2018[[#This Row],[Split_apply]])) - SUM($O238:Y238)</f>
        <v>0</v>
      </c>
      <c r="AA238" s="52">
        <f ca="1">Log_2018[[#This Row],[Amount]]/Log_2018[[#This Row],[Split_raw]]*MAX(0,MIN(_xlfn.DAYS(EDATE(AA$1,1),Log_2018[[#This Row],[Date]]),Log_2018[[#This Row],[Split_apply]])) - SUM($O238:Z238)</f>
        <v>0</v>
      </c>
      <c r="AB238" s="54">
        <f ca="1">Log_2018[[#This Row],[Amount]]-SUM(O238:AA238)</f>
        <v>0</v>
      </c>
      <c r="AC238" s="7">
        <f ca="1">MAX(0,Log_2018[[#This Row],[Split_apply]] - (EDATE(AA$1,1)-Log_2018[[#This Row],[Date]]))</f>
        <v>0</v>
      </c>
    </row>
    <row r="239" spans="1:29" hidden="1" x14ac:dyDescent="0.25">
      <c r="A239" s="115"/>
      <c r="B239" t="s">
        <v>6</v>
      </c>
      <c r="D239" s="39">
        <v>43361</v>
      </c>
      <c r="F239" t="s">
        <v>184</v>
      </c>
      <c r="G239" t="s">
        <v>11</v>
      </c>
      <c r="H239" s="3">
        <v>-5.3</v>
      </c>
      <c r="I239" s="36">
        <f>IF(Log_2018[[#This Row],[My Category]]="NONTRACKED",0,Log_2018[[#This Row],[Raw Amount]])</f>
        <v>-5.3</v>
      </c>
      <c r="J239" s="17">
        <f>ABS(Log_2018[[#This Row],[Amount]])</f>
        <v>5.3</v>
      </c>
      <c r="K239" s="66">
        <v>1</v>
      </c>
      <c r="L239" s="66">
        <f ca="1">IF(Log_2018[[#This Row],[Date]]&lt;=TODAY(), MIN(Log_2018[[#This Row],[Split_raw]], TODAY()-Log_2018[[#This Row],[Date]]+1), 0)</f>
        <v>1</v>
      </c>
      <c r="M239" t="s">
        <v>12</v>
      </c>
      <c r="N239" t="s">
        <v>158</v>
      </c>
      <c r="O239" s="50">
        <v>0</v>
      </c>
      <c r="P239" s="52">
        <f ca="1">Log_2018[[#This Row],[Amount]]/Log_2018[[#This Row],[Split_raw]]*MAX(0,MIN(_xlfn.DAYS(EDATE(P$1,1),Log_2018[[#This Row],[Date]]),Log_2018[[#This Row],[Split_apply]])) - SUM($O239:O239)</f>
        <v>0</v>
      </c>
      <c r="Q239" s="52">
        <f ca="1">Log_2018[[#This Row],[Amount]]/Log_2018[[#This Row],[Split_raw]]*MAX(0,MIN(_xlfn.DAYS(EDATE(Q$1,1),Log_2018[[#This Row],[Date]]),Log_2018[[#This Row],[Split_apply]])) - SUM($O239:P239)</f>
        <v>0</v>
      </c>
      <c r="R239" s="52">
        <f ca="1">Log_2018[[#This Row],[Amount]]/Log_2018[[#This Row],[Split_raw]]*MAX(0,MIN(_xlfn.DAYS(EDATE(R$1,1),Log_2018[[#This Row],[Date]]),Log_2018[[#This Row],[Split_apply]])) - SUM($O239:Q239)</f>
        <v>0</v>
      </c>
      <c r="S239" s="52">
        <f ca="1">Log_2018[[#This Row],[Amount]]/Log_2018[[#This Row],[Split_raw]]*MAX(0,MIN(_xlfn.DAYS(EDATE(S$1,1),Log_2018[[#This Row],[Date]]),Log_2018[[#This Row],[Split_apply]])) - SUM($O239:R239)</f>
        <v>0</v>
      </c>
      <c r="T239" s="52">
        <f ca="1">Log_2018[[#This Row],[Amount]]/Log_2018[[#This Row],[Split_raw]]*MAX(0,MIN(_xlfn.DAYS(EDATE(T$1,1),Log_2018[[#This Row],[Date]]),Log_2018[[#This Row],[Split_apply]])) - SUM($O239:S239)</f>
        <v>0</v>
      </c>
      <c r="U239" s="52">
        <f ca="1">Log_2018[[#This Row],[Amount]]/Log_2018[[#This Row],[Split_raw]]*MAX(0,MIN(_xlfn.DAYS(EDATE(U$1,1),Log_2018[[#This Row],[Date]]),Log_2018[[#This Row],[Split_apply]])) - SUM($O239:T239)</f>
        <v>0</v>
      </c>
      <c r="V239" s="52">
        <f ca="1">Log_2018[[#This Row],[Amount]]/Log_2018[[#This Row],[Split_raw]]*MAX(0,MIN(_xlfn.DAYS(EDATE(V$1,1),Log_2018[[#This Row],[Date]]),Log_2018[[#This Row],[Split_apply]])) - SUM($O239:U239)</f>
        <v>0</v>
      </c>
      <c r="W239" s="52">
        <f ca="1">Log_2018[[#This Row],[Amount]]/Log_2018[[#This Row],[Split_raw]]*MAX(0,MIN(_xlfn.DAYS(EDATE(W$1,1),Log_2018[[#This Row],[Date]]),Log_2018[[#This Row],[Split_apply]])) - SUM($O239:V239)</f>
        <v>0</v>
      </c>
      <c r="X239" s="52">
        <f ca="1">Log_2018[[#This Row],[Amount]]/Log_2018[[#This Row],[Split_raw]]*MAX(0,MIN(_xlfn.DAYS(EDATE(X$1,1),Log_2018[[#This Row],[Date]]),Log_2018[[#This Row],[Split_apply]])) - SUM($O239:W239)</f>
        <v>-5.3</v>
      </c>
      <c r="Y239" s="52">
        <f ca="1">Log_2018[[#This Row],[Amount]]/Log_2018[[#This Row],[Split_raw]]*MAX(0,MIN(_xlfn.DAYS(EDATE(Y$1,1),Log_2018[[#This Row],[Date]]),Log_2018[[#This Row],[Split_apply]])) - SUM($O239:X239)</f>
        <v>0</v>
      </c>
      <c r="Z239" s="52">
        <f ca="1">Log_2018[[#This Row],[Amount]]/Log_2018[[#This Row],[Split_raw]]*MAX(0,MIN(_xlfn.DAYS(EDATE(Z$1,1),Log_2018[[#This Row],[Date]]),Log_2018[[#This Row],[Split_apply]])) - SUM($O239:Y239)</f>
        <v>0</v>
      </c>
      <c r="AA239" s="52">
        <f ca="1">Log_2018[[#This Row],[Amount]]/Log_2018[[#This Row],[Split_raw]]*MAX(0,MIN(_xlfn.DAYS(EDATE(AA$1,1),Log_2018[[#This Row],[Date]]),Log_2018[[#This Row],[Split_apply]])) - SUM($O239:Z239)</f>
        <v>0</v>
      </c>
      <c r="AB239" s="54">
        <f ca="1">Log_2018[[#This Row],[Amount]]-SUM(O239:AA239)</f>
        <v>0</v>
      </c>
      <c r="AC239" s="7">
        <f ca="1">MAX(0,Log_2018[[#This Row],[Split_apply]] - (EDATE(AA$1,1)-Log_2018[[#This Row],[Date]]))</f>
        <v>0</v>
      </c>
    </row>
    <row r="240" spans="1:29" hidden="1" x14ac:dyDescent="0.25">
      <c r="A240" s="115"/>
      <c r="B240" t="s">
        <v>6</v>
      </c>
      <c r="D240" s="39">
        <v>43361</v>
      </c>
      <c r="F240" t="s">
        <v>309</v>
      </c>
      <c r="G240" t="s">
        <v>13</v>
      </c>
      <c r="H240" s="3">
        <v>-20.78</v>
      </c>
      <c r="I240" s="36">
        <f>IF(Log_2018[[#This Row],[My Category]]="NONTRACKED",0,Log_2018[[#This Row],[Raw Amount]])</f>
        <v>-20.78</v>
      </c>
      <c r="J240" s="17">
        <f>ABS(Log_2018[[#This Row],[Amount]])</f>
        <v>20.78</v>
      </c>
      <c r="K240" s="66">
        <v>1</v>
      </c>
      <c r="L240" s="66">
        <f ca="1">IF(Log_2018[[#This Row],[Date]]&lt;=TODAY(), MIN(Log_2018[[#This Row],[Split_raw]], TODAY()-Log_2018[[#This Row],[Date]]+1), 0)</f>
        <v>1</v>
      </c>
      <c r="M240" t="s">
        <v>146</v>
      </c>
      <c r="N240" t="s">
        <v>158</v>
      </c>
      <c r="O240" s="50">
        <v>0</v>
      </c>
      <c r="P240" s="52">
        <f ca="1">Log_2018[[#This Row],[Amount]]/Log_2018[[#This Row],[Split_raw]]*MAX(0,MIN(_xlfn.DAYS(EDATE(P$1,1),Log_2018[[#This Row],[Date]]),Log_2018[[#This Row],[Split_apply]])) - SUM($O240:O240)</f>
        <v>0</v>
      </c>
      <c r="Q240" s="52">
        <f ca="1">Log_2018[[#This Row],[Amount]]/Log_2018[[#This Row],[Split_raw]]*MAX(0,MIN(_xlfn.DAYS(EDATE(Q$1,1),Log_2018[[#This Row],[Date]]),Log_2018[[#This Row],[Split_apply]])) - SUM($O240:P240)</f>
        <v>0</v>
      </c>
      <c r="R240" s="52">
        <f ca="1">Log_2018[[#This Row],[Amount]]/Log_2018[[#This Row],[Split_raw]]*MAX(0,MIN(_xlfn.DAYS(EDATE(R$1,1),Log_2018[[#This Row],[Date]]),Log_2018[[#This Row],[Split_apply]])) - SUM($O240:Q240)</f>
        <v>0</v>
      </c>
      <c r="S240" s="52">
        <f ca="1">Log_2018[[#This Row],[Amount]]/Log_2018[[#This Row],[Split_raw]]*MAX(0,MIN(_xlfn.DAYS(EDATE(S$1,1),Log_2018[[#This Row],[Date]]),Log_2018[[#This Row],[Split_apply]])) - SUM($O240:R240)</f>
        <v>0</v>
      </c>
      <c r="T240" s="52">
        <f ca="1">Log_2018[[#This Row],[Amount]]/Log_2018[[#This Row],[Split_raw]]*MAX(0,MIN(_xlfn.DAYS(EDATE(T$1,1),Log_2018[[#This Row],[Date]]),Log_2018[[#This Row],[Split_apply]])) - SUM($O240:S240)</f>
        <v>0</v>
      </c>
      <c r="U240" s="52">
        <f ca="1">Log_2018[[#This Row],[Amount]]/Log_2018[[#This Row],[Split_raw]]*MAX(0,MIN(_xlfn.DAYS(EDATE(U$1,1),Log_2018[[#This Row],[Date]]),Log_2018[[#This Row],[Split_apply]])) - SUM($O240:T240)</f>
        <v>0</v>
      </c>
      <c r="V240" s="52">
        <f ca="1">Log_2018[[#This Row],[Amount]]/Log_2018[[#This Row],[Split_raw]]*MAX(0,MIN(_xlfn.DAYS(EDATE(V$1,1),Log_2018[[#This Row],[Date]]),Log_2018[[#This Row],[Split_apply]])) - SUM($O240:U240)</f>
        <v>0</v>
      </c>
      <c r="W240" s="52">
        <f ca="1">Log_2018[[#This Row],[Amount]]/Log_2018[[#This Row],[Split_raw]]*MAX(0,MIN(_xlfn.DAYS(EDATE(W$1,1),Log_2018[[#This Row],[Date]]),Log_2018[[#This Row],[Split_apply]])) - SUM($O240:V240)</f>
        <v>0</v>
      </c>
      <c r="X240" s="52">
        <f ca="1">Log_2018[[#This Row],[Amount]]/Log_2018[[#This Row],[Split_raw]]*MAX(0,MIN(_xlfn.DAYS(EDATE(X$1,1),Log_2018[[#This Row],[Date]]),Log_2018[[#This Row],[Split_apply]])) - SUM($O240:W240)</f>
        <v>-20.78</v>
      </c>
      <c r="Y240" s="52">
        <f ca="1">Log_2018[[#This Row],[Amount]]/Log_2018[[#This Row],[Split_raw]]*MAX(0,MIN(_xlfn.DAYS(EDATE(Y$1,1),Log_2018[[#This Row],[Date]]),Log_2018[[#This Row],[Split_apply]])) - SUM($O240:X240)</f>
        <v>0</v>
      </c>
      <c r="Z240" s="52">
        <f ca="1">Log_2018[[#This Row],[Amount]]/Log_2018[[#This Row],[Split_raw]]*MAX(0,MIN(_xlfn.DAYS(EDATE(Z$1,1),Log_2018[[#This Row],[Date]]),Log_2018[[#This Row],[Split_apply]])) - SUM($O240:Y240)</f>
        <v>0</v>
      </c>
      <c r="AA240" s="52">
        <f ca="1">Log_2018[[#This Row],[Amount]]/Log_2018[[#This Row],[Split_raw]]*MAX(0,MIN(_xlfn.DAYS(EDATE(AA$1,1),Log_2018[[#This Row],[Date]]),Log_2018[[#This Row],[Split_apply]])) - SUM($O240:Z240)</f>
        <v>0</v>
      </c>
      <c r="AB240" s="54">
        <f ca="1">Log_2018[[#This Row],[Amount]]-SUM(O240:AA240)</f>
        <v>0</v>
      </c>
      <c r="AC240" s="7">
        <f ca="1">MAX(0,Log_2018[[#This Row],[Split_apply]] - (EDATE(AA$1,1)-Log_2018[[#This Row],[Date]]))</f>
        <v>0</v>
      </c>
    </row>
    <row r="241" spans="1:29" hidden="1" x14ac:dyDescent="0.25">
      <c r="A241" s="115"/>
      <c r="B241" t="s">
        <v>6</v>
      </c>
      <c r="D241" s="39">
        <v>43361</v>
      </c>
      <c r="F241" t="s">
        <v>255</v>
      </c>
      <c r="G241" t="s">
        <v>25</v>
      </c>
      <c r="H241" s="3">
        <v>-9.27</v>
      </c>
      <c r="I241" s="36">
        <f>IF(Log_2018[[#This Row],[My Category]]="NONTRACKED",0,Log_2018[[#This Row],[Raw Amount]])</f>
        <v>-9.27</v>
      </c>
      <c r="J241" s="17">
        <f>ABS(Log_2018[[#This Row],[Amount]])</f>
        <v>9.27</v>
      </c>
      <c r="K241" s="66">
        <v>1</v>
      </c>
      <c r="L241" s="66">
        <f ca="1">IF(Log_2018[[#This Row],[Date]]&lt;=TODAY(), MIN(Log_2018[[#This Row],[Split_raw]], TODAY()-Log_2018[[#This Row],[Date]]+1), 0)</f>
        <v>1</v>
      </c>
      <c r="M241" t="s">
        <v>35</v>
      </c>
      <c r="N241" t="s">
        <v>158</v>
      </c>
      <c r="O241" s="50">
        <v>0</v>
      </c>
      <c r="P241" s="52">
        <f ca="1">Log_2018[[#This Row],[Amount]]/Log_2018[[#This Row],[Split_raw]]*MAX(0,MIN(_xlfn.DAYS(EDATE(P$1,1),Log_2018[[#This Row],[Date]]),Log_2018[[#This Row],[Split_apply]])) - SUM($O241:O241)</f>
        <v>0</v>
      </c>
      <c r="Q241" s="52">
        <f ca="1">Log_2018[[#This Row],[Amount]]/Log_2018[[#This Row],[Split_raw]]*MAX(0,MIN(_xlfn.DAYS(EDATE(Q$1,1),Log_2018[[#This Row],[Date]]),Log_2018[[#This Row],[Split_apply]])) - SUM($O241:P241)</f>
        <v>0</v>
      </c>
      <c r="R241" s="52">
        <f ca="1">Log_2018[[#This Row],[Amount]]/Log_2018[[#This Row],[Split_raw]]*MAX(0,MIN(_xlfn.DAYS(EDATE(R$1,1),Log_2018[[#This Row],[Date]]),Log_2018[[#This Row],[Split_apply]])) - SUM($O241:Q241)</f>
        <v>0</v>
      </c>
      <c r="S241" s="52">
        <f ca="1">Log_2018[[#This Row],[Amount]]/Log_2018[[#This Row],[Split_raw]]*MAX(0,MIN(_xlfn.DAYS(EDATE(S$1,1),Log_2018[[#This Row],[Date]]),Log_2018[[#This Row],[Split_apply]])) - SUM($O241:R241)</f>
        <v>0</v>
      </c>
      <c r="T241" s="52">
        <f ca="1">Log_2018[[#This Row],[Amount]]/Log_2018[[#This Row],[Split_raw]]*MAX(0,MIN(_xlfn.DAYS(EDATE(T$1,1),Log_2018[[#This Row],[Date]]),Log_2018[[#This Row],[Split_apply]])) - SUM($O241:S241)</f>
        <v>0</v>
      </c>
      <c r="U241" s="52">
        <f ca="1">Log_2018[[#This Row],[Amount]]/Log_2018[[#This Row],[Split_raw]]*MAX(0,MIN(_xlfn.DAYS(EDATE(U$1,1),Log_2018[[#This Row],[Date]]),Log_2018[[#This Row],[Split_apply]])) - SUM($O241:T241)</f>
        <v>0</v>
      </c>
      <c r="V241" s="52">
        <f ca="1">Log_2018[[#This Row],[Amount]]/Log_2018[[#This Row],[Split_raw]]*MAX(0,MIN(_xlfn.DAYS(EDATE(V$1,1),Log_2018[[#This Row],[Date]]),Log_2018[[#This Row],[Split_apply]])) - SUM($O241:U241)</f>
        <v>0</v>
      </c>
      <c r="W241" s="52">
        <f ca="1">Log_2018[[#This Row],[Amount]]/Log_2018[[#This Row],[Split_raw]]*MAX(0,MIN(_xlfn.DAYS(EDATE(W$1,1),Log_2018[[#This Row],[Date]]),Log_2018[[#This Row],[Split_apply]])) - SUM($O241:V241)</f>
        <v>0</v>
      </c>
      <c r="X241" s="52">
        <f ca="1">Log_2018[[#This Row],[Amount]]/Log_2018[[#This Row],[Split_raw]]*MAX(0,MIN(_xlfn.DAYS(EDATE(X$1,1),Log_2018[[#This Row],[Date]]),Log_2018[[#This Row],[Split_apply]])) - SUM($O241:W241)</f>
        <v>-9.27</v>
      </c>
      <c r="Y241" s="52">
        <f ca="1">Log_2018[[#This Row],[Amount]]/Log_2018[[#This Row],[Split_raw]]*MAX(0,MIN(_xlfn.DAYS(EDATE(Y$1,1),Log_2018[[#This Row],[Date]]),Log_2018[[#This Row],[Split_apply]])) - SUM($O241:X241)</f>
        <v>0</v>
      </c>
      <c r="Z241" s="52">
        <f ca="1">Log_2018[[#This Row],[Amount]]/Log_2018[[#This Row],[Split_raw]]*MAX(0,MIN(_xlfn.DAYS(EDATE(Z$1,1),Log_2018[[#This Row],[Date]]),Log_2018[[#This Row],[Split_apply]])) - SUM($O241:Y241)</f>
        <v>0</v>
      </c>
      <c r="AA241" s="52">
        <f ca="1">Log_2018[[#This Row],[Amount]]/Log_2018[[#This Row],[Split_raw]]*MAX(0,MIN(_xlfn.DAYS(EDATE(AA$1,1),Log_2018[[#This Row],[Date]]),Log_2018[[#This Row],[Split_apply]])) - SUM($O241:Z241)</f>
        <v>0</v>
      </c>
      <c r="AB241" s="54">
        <f ca="1">Log_2018[[#This Row],[Amount]]-SUM(O241:AA241)</f>
        <v>0</v>
      </c>
      <c r="AC241" s="7">
        <f ca="1">MAX(0,Log_2018[[#This Row],[Split_apply]] - (EDATE(AA$1,1)-Log_2018[[#This Row],[Date]]))</f>
        <v>0</v>
      </c>
    </row>
    <row r="242" spans="1:29" hidden="1" x14ac:dyDescent="0.25">
      <c r="A242" s="115"/>
      <c r="B242" t="s">
        <v>6</v>
      </c>
      <c r="D242" s="39">
        <v>43361</v>
      </c>
      <c r="F242" t="s">
        <v>230</v>
      </c>
      <c r="G242" t="s">
        <v>29</v>
      </c>
      <c r="H242" s="3">
        <v>-60.14</v>
      </c>
      <c r="I242" s="36">
        <f>IF(Log_2018[[#This Row],[My Category]]="NONTRACKED",0,Log_2018[[#This Row],[Raw Amount]])</f>
        <v>-60.14</v>
      </c>
      <c r="J242" s="17">
        <f>ABS(Log_2018[[#This Row],[Amount]])</f>
        <v>60.14</v>
      </c>
      <c r="K242" s="66">
        <v>30</v>
      </c>
      <c r="L242" s="66">
        <f ca="1">IF(Log_2018[[#This Row],[Date]]&lt;=TODAY(), MIN(Log_2018[[#This Row],[Split_raw]], TODAY()-Log_2018[[#This Row],[Date]]+1), 0)</f>
        <v>30</v>
      </c>
      <c r="M242" t="s">
        <v>29</v>
      </c>
      <c r="N242" t="s">
        <v>160</v>
      </c>
      <c r="O242" s="50">
        <v>0</v>
      </c>
      <c r="P242" s="52">
        <f ca="1">Log_2018[[#This Row],[Amount]]/Log_2018[[#This Row],[Split_raw]]*MAX(0,MIN(_xlfn.DAYS(EDATE(P$1,1),Log_2018[[#This Row],[Date]]),Log_2018[[#This Row],[Split_apply]])) - SUM($O242:O242)</f>
        <v>0</v>
      </c>
      <c r="Q242" s="52">
        <f ca="1">Log_2018[[#This Row],[Amount]]/Log_2018[[#This Row],[Split_raw]]*MAX(0,MIN(_xlfn.DAYS(EDATE(Q$1,1),Log_2018[[#This Row],[Date]]),Log_2018[[#This Row],[Split_apply]])) - SUM($O242:P242)</f>
        <v>0</v>
      </c>
      <c r="R242" s="52">
        <f ca="1">Log_2018[[#This Row],[Amount]]/Log_2018[[#This Row],[Split_raw]]*MAX(0,MIN(_xlfn.DAYS(EDATE(R$1,1),Log_2018[[#This Row],[Date]]),Log_2018[[#This Row],[Split_apply]])) - SUM($O242:Q242)</f>
        <v>0</v>
      </c>
      <c r="S242" s="52">
        <f ca="1">Log_2018[[#This Row],[Amount]]/Log_2018[[#This Row],[Split_raw]]*MAX(0,MIN(_xlfn.DAYS(EDATE(S$1,1),Log_2018[[#This Row],[Date]]),Log_2018[[#This Row],[Split_apply]])) - SUM($O242:R242)</f>
        <v>0</v>
      </c>
      <c r="T242" s="52">
        <f ca="1">Log_2018[[#This Row],[Amount]]/Log_2018[[#This Row],[Split_raw]]*MAX(0,MIN(_xlfn.DAYS(EDATE(T$1,1),Log_2018[[#This Row],[Date]]),Log_2018[[#This Row],[Split_apply]])) - SUM($O242:S242)</f>
        <v>0</v>
      </c>
      <c r="U242" s="52">
        <f ca="1">Log_2018[[#This Row],[Amount]]/Log_2018[[#This Row],[Split_raw]]*MAX(0,MIN(_xlfn.DAYS(EDATE(U$1,1),Log_2018[[#This Row],[Date]]),Log_2018[[#This Row],[Split_apply]])) - SUM($O242:T242)</f>
        <v>0</v>
      </c>
      <c r="V242" s="52">
        <f ca="1">Log_2018[[#This Row],[Amount]]/Log_2018[[#This Row],[Split_raw]]*MAX(0,MIN(_xlfn.DAYS(EDATE(V$1,1),Log_2018[[#This Row],[Date]]),Log_2018[[#This Row],[Split_apply]])) - SUM($O242:U242)</f>
        <v>0</v>
      </c>
      <c r="W242" s="52">
        <f ca="1">Log_2018[[#This Row],[Amount]]/Log_2018[[#This Row],[Split_raw]]*MAX(0,MIN(_xlfn.DAYS(EDATE(W$1,1),Log_2018[[#This Row],[Date]]),Log_2018[[#This Row],[Split_apply]])) - SUM($O242:V242)</f>
        <v>0</v>
      </c>
      <c r="X242" s="52">
        <f ca="1">Log_2018[[#This Row],[Amount]]/Log_2018[[#This Row],[Split_raw]]*MAX(0,MIN(_xlfn.DAYS(EDATE(X$1,1),Log_2018[[#This Row],[Date]]),Log_2018[[#This Row],[Split_apply]])) - SUM($O242:W242)</f>
        <v>-26.060666666666666</v>
      </c>
      <c r="Y242" s="52">
        <f ca="1">Log_2018[[#This Row],[Amount]]/Log_2018[[#This Row],[Split_raw]]*MAX(0,MIN(_xlfn.DAYS(EDATE(Y$1,1),Log_2018[[#This Row],[Date]]),Log_2018[[#This Row],[Split_apply]])) - SUM($O242:X242)</f>
        <v>-34.079333333333338</v>
      </c>
      <c r="Z242" s="52">
        <f ca="1">Log_2018[[#This Row],[Amount]]/Log_2018[[#This Row],[Split_raw]]*MAX(0,MIN(_xlfn.DAYS(EDATE(Z$1,1),Log_2018[[#This Row],[Date]]),Log_2018[[#This Row],[Split_apply]])) - SUM($O242:Y242)</f>
        <v>0</v>
      </c>
      <c r="AA242" s="52">
        <f ca="1">Log_2018[[#This Row],[Amount]]/Log_2018[[#This Row],[Split_raw]]*MAX(0,MIN(_xlfn.DAYS(EDATE(AA$1,1),Log_2018[[#This Row],[Date]]),Log_2018[[#This Row],[Split_apply]])) - SUM($O242:Z242)</f>
        <v>0</v>
      </c>
      <c r="AB242" s="54">
        <f ca="1">Log_2018[[#This Row],[Amount]]-SUM(O242:AA242)</f>
        <v>0</v>
      </c>
      <c r="AC242" s="7">
        <f ca="1">MAX(0,Log_2018[[#This Row],[Split_apply]] - (EDATE(AA$1,1)-Log_2018[[#This Row],[Date]]))</f>
        <v>0</v>
      </c>
    </row>
    <row r="243" spans="1:29" hidden="1" x14ac:dyDescent="0.25">
      <c r="A243" s="115"/>
      <c r="B243" t="s">
        <v>6</v>
      </c>
      <c r="D243" s="39">
        <v>43357</v>
      </c>
      <c r="F243" t="s">
        <v>242</v>
      </c>
      <c r="G243" t="s">
        <v>87</v>
      </c>
      <c r="H243" s="3">
        <f>--16.69</f>
        <v>16.690000000000001</v>
      </c>
      <c r="I243" s="36">
        <f>IF(Log_2018[[#This Row],[My Category]]="NONTRACKED",0,Log_2018[[#This Row],[Raw Amount]])</f>
        <v>16.690000000000001</v>
      </c>
      <c r="J243" s="17">
        <f>ABS(Log_2018[[#This Row],[Amount]])</f>
        <v>16.690000000000001</v>
      </c>
      <c r="K243" s="66">
        <v>1</v>
      </c>
      <c r="L243" s="66">
        <f ca="1">IF(Log_2018[[#This Row],[Date]]&lt;=TODAY(), MIN(Log_2018[[#This Row],[Split_raw]], TODAY()-Log_2018[[#This Row],[Date]]+1), 0)</f>
        <v>1</v>
      </c>
      <c r="M243" t="s">
        <v>144</v>
      </c>
      <c r="N243" t="s">
        <v>160</v>
      </c>
      <c r="O243" s="50">
        <v>0</v>
      </c>
      <c r="P243" s="52">
        <f ca="1">Log_2018[[#This Row],[Amount]]/Log_2018[[#This Row],[Split_raw]]*MAX(0,MIN(_xlfn.DAYS(EDATE(P$1,1),Log_2018[[#This Row],[Date]]),Log_2018[[#This Row],[Split_apply]])) - SUM($O243:O243)</f>
        <v>0</v>
      </c>
      <c r="Q243" s="52">
        <f ca="1">Log_2018[[#This Row],[Amount]]/Log_2018[[#This Row],[Split_raw]]*MAX(0,MIN(_xlfn.DAYS(EDATE(Q$1,1),Log_2018[[#This Row],[Date]]),Log_2018[[#This Row],[Split_apply]])) - SUM($O243:P243)</f>
        <v>0</v>
      </c>
      <c r="R243" s="52">
        <f ca="1">Log_2018[[#This Row],[Amount]]/Log_2018[[#This Row],[Split_raw]]*MAX(0,MIN(_xlfn.DAYS(EDATE(R$1,1),Log_2018[[#This Row],[Date]]),Log_2018[[#This Row],[Split_apply]])) - SUM($O243:Q243)</f>
        <v>0</v>
      </c>
      <c r="S243" s="52">
        <f ca="1">Log_2018[[#This Row],[Amount]]/Log_2018[[#This Row],[Split_raw]]*MAX(0,MIN(_xlfn.DAYS(EDATE(S$1,1),Log_2018[[#This Row],[Date]]),Log_2018[[#This Row],[Split_apply]])) - SUM($O243:R243)</f>
        <v>0</v>
      </c>
      <c r="T243" s="52">
        <f ca="1">Log_2018[[#This Row],[Amount]]/Log_2018[[#This Row],[Split_raw]]*MAX(0,MIN(_xlfn.DAYS(EDATE(T$1,1),Log_2018[[#This Row],[Date]]),Log_2018[[#This Row],[Split_apply]])) - SUM($O243:S243)</f>
        <v>0</v>
      </c>
      <c r="U243" s="52">
        <f ca="1">Log_2018[[#This Row],[Amount]]/Log_2018[[#This Row],[Split_raw]]*MAX(0,MIN(_xlfn.DAYS(EDATE(U$1,1),Log_2018[[#This Row],[Date]]),Log_2018[[#This Row],[Split_apply]])) - SUM($O243:T243)</f>
        <v>0</v>
      </c>
      <c r="V243" s="52">
        <f ca="1">Log_2018[[#This Row],[Amount]]/Log_2018[[#This Row],[Split_raw]]*MAX(0,MIN(_xlfn.DAYS(EDATE(V$1,1),Log_2018[[#This Row],[Date]]),Log_2018[[#This Row],[Split_apply]])) - SUM($O243:U243)</f>
        <v>0</v>
      </c>
      <c r="W243" s="52">
        <f ca="1">Log_2018[[#This Row],[Amount]]/Log_2018[[#This Row],[Split_raw]]*MAX(0,MIN(_xlfn.DAYS(EDATE(W$1,1),Log_2018[[#This Row],[Date]]),Log_2018[[#This Row],[Split_apply]])) - SUM($O243:V243)</f>
        <v>0</v>
      </c>
      <c r="X243" s="52">
        <f ca="1">Log_2018[[#This Row],[Amount]]/Log_2018[[#This Row],[Split_raw]]*MAX(0,MIN(_xlfn.DAYS(EDATE(X$1,1),Log_2018[[#This Row],[Date]]),Log_2018[[#This Row],[Split_apply]])) - SUM($O243:W243)</f>
        <v>16.690000000000001</v>
      </c>
      <c r="Y243" s="52">
        <f ca="1">Log_2018[[#This Row],[Amount]]/Log_2018[[#This Row],[Split_raw]]*MAX(0,MIN(_xlfn.DAYS(EDATE(Y$1,1),Log_2018[[#This Row],[Date]]),Log_2018[[#This Row],[Split_apply]])) - SUM($O243:X243)</f>
        <v>0</v>
      </c>
      <c r="Z243" s="52">
        <f ca="1">Log_2018[[#This Row],[Amount]]/Log_2018[[#This Row],[Split_raw]]*MAX(0,MIN(_xlfn.DAYS(EDATE(Z$1,1),Log_2018[[#This Row],[Date]]),Log_2018[[#This Row],[Split_apply]])) - SUM($O243:Y243)</f>
        <v>0</v>
      </c>
      <c r="AA243" s="52">
        <f ca="1">Log_2018[[#This Row],[Amount]]/Log_2018[[#This Row],[Split_raw]]*MAX(0,MIN(_xlfn.DAYS(EDATE(AA$1,1),Log_2018[[#This Row],[Date]]),Log_2018[[#This Row],[Split_apply]])) - SUM($O243:Z243)</f>
        <v>0</v>
      </c>
      <c r="AB243" s="54">
        <f ca="1">Log_2018[[#This Row],[Amount]]-SUM(O243:AA243)</f>
        <v>0</v>
      </c>
      <c r="AC243" s="7">
        <f ca="1">MAX(0,Log_2018[[#This Row],[Split_apply]] - (EDATE(AA$1,1)-Log_2018[[#This Row],[Date]]))</f>
        <v>0</v>
      </c>
    </row>
    <row r="244" spans="1:29" hidden="1" x14ac:dyDescent="0.25">
      <c r="A244" s="115"/>
      <c r="B244" t="s">
        <v>6</v>
      </c>
      <c r="D244" s="39">
        <v>43356</v>
      </c>
      <c r="F244" t="s">
        <v>184</v>
      </c>
      <c r="G244" t="s">
        <v>11</v>
      </c>
      <c r="H244" s="3">
        <v>-8.6</v>
      </c>
      <c r="I244" s="36">
        <f>IF(Log_2018[[#This Row],[My Category]]="NONTRACKED",0,Log_2018[[#This Row],[Raw Amount]])</f>
        <v>-8.6</v>
      </c>
      <c r="J244" s="17">
        <f>ABS(Log_2018[[#This Row],[Amount]])</f>
        <v>8.6</v>
      </c>
      <c r="K244" s="66">
        <v>1</v>
      </c>
      <c r="L244" s="66">
        <f ca="1">IF(Log_2018[[#This Row],[Date]]&lt;=TODAY(), MIN(Log_2018[[#This Row],[Split_raw]], TODAY()-Log_2018[[#This Row],[Date]]+1), 0)</f>
        <v>1</v>
      </c>
      <c r="M244" t="s">
        <v>12</v>
      </c>
      <c r="N244" t="s">
        <v>158</v>
      </c>
      <c r="O244" s="50">
        <v>0</v>
      </c>
      <c r="P244" s="52">
        <f ca="1">Log_2018[[#This Row],[Amount]]/Log_2018[[#This Row],[Split_raw]]*MAX(0,MIN(_xlfn.DAYS(EDATE(P$1,1),Log_2018[[#This Row],[Date]]),Log_2018[[#This Row],[Split_apply]])) - SUM($O244:O244)</f>
        <v>0</v>
      </c>
      <c r="Q244" s="52">
        <f ca="1">Log_2018[[#This Row],[Amount]]/Log_2018[[#This Row],[Split_raw]]*MAX(0,MIN(_xlfn.DAYS(EDATE(Q$1,1),Log_2018[[#This Row],[Date]]),Log_2018[[#This Row],[Split_apply]])) - SUM($O244:P244)</f>
        <v>0</v>
      </c>
      <c r="R244" s="52">
        <f ca="1">Log_2018[[#This Row],[Amount]]/Log_2018[[#This Row],[Split_raw]]*MAX(0,MIN(_xlfn.DAYS(EDATE(R$1,1),Log_2018[[#This Row],[Date]]),Log_2018[[#This Row],[Split_apply]])) - SUM($O244:Q244)</f>
        <v>0</v>
      </c>
      <c r="S244" s="52">
        <f ca="1">Log_2018[[#This Row],[Amount]]/Log_2018[[#This Row],[Split_raw]]*MAX(0,MIN(_xlfn.DAYS(EDATE(S$1,1),Log_2018[[#This Row],[Date]]),Log_2018[[#This Row],[Split_apply]])) - SUM($O244:R244)</f>
        <v>0</v>
      </c>
      <c r="T244" s="52">
        <f ca="1">Log_2018[[#This Row],[Amount]]/Log_2018[[#This Row],[Split_raw]]*MAX(0,MIN(_xlfn.DAYS(EDATE(T$1,1),Log_2018[[#This Row],[Date]]),Log_2018[[#This Row],[Split_apply]])) - SUM($O244:S244)</f>
        <v>0</v>
      </c>
      <c r="U244" s="52">
        <f ca="1">Log_2018[[#This Row],[Amount]]/Log_2018[[#This Row],[Split_raw]]*MAX(0,MIN(_xlfn.DAYS(EDATE(U$1,1),Log_2018[[#This Row],[Date]]),Log_2018[[#This Row],[Split_apply]])) - SUM($O244:T244)</f>
        <v>0</v>
      </c>
      <c r="V244" s="52">
        <f ca="1">Log_2018[[#This Row],[Amount]]/Log_2018[[#This Row],[Split_raw]]*MAX(0,MIN(_xlfn.DAYS(EDATE(V$1,1),Log_2018[[#This Row],[Date]]),Log_2018[[#This Row],[Split_apply]])) - SUM($O244:U244)</f>
        <v>0</v>
      </c>
      <c r="W244" s="52">
        <f ca="1">Log_2018[[#This Row],[Amount]]/Log_2018[[#This Row],[Split_raw]]*MAX(0,MIN(_xlfn.DAYS(EDATE(W$1,1),Log_2018[[#This Row],[Date]]),Log_2018[[#This Row],[Split_apply]])) - SUM($O244:V244)</f>
        <v>0</v>
      </c>
      <c r="X244" s="52">
        <f ca="1">Log_2018[[#This Row],[Amount]]/Log_2018[[#This Row],[Split_raw]]*MAX(0,MIN(_xlfn.DAYS(EDATE(X$1,1),Log_2018[[#This Row],[Date]]),Log_2018[[#This Row],[Split_apply]])) - SUM($O244:W244)</f>
        <v>-8.6</v>
      </c>
      <c r="Y244" s="52">
        <f ca="1">Log_2018[[#This Row],[Amount]]/Log_2018[[#This Row],[Split_raw]]*MAX(0,MIN(_xlfn.DAYS(EDATE(Y$1,1),Log_2018[[#This Row],[Date]]),Log_2018[[#This Row],[Split_apply]])) - SUM($O244:X244)</f>
        <v>0</v>
      </c>
      <c r="Z244" s="52">
        <f ca="1">Log_2018[[#This Row],[Amount]]/Log_2018[[#This Row],[Split_raw]]*MAX(0,MIN(_xlfn.DAYS(EDATE(Z$1,1),Log_2018[[#This Row],[Date]]),Log_2018[[#This Row],[Split_apply]])) - SUM($O244:Y244)</f>
        <v>0</v>
      </c>
      <c r="AA244" s="52">
        <f ca="1">Log_2018[[#This Row],[Amount]]/Log_2018[[#This Row],[Split_raw]]*MAX(0,MIN(_xlfn.DAYS(EDATE(AA$1,1),Log_2018[[#This Row],[Date]]),Log_2018[[#This Row],[Split_apply]])) - SUM($O244:Z244)</f>
        <v>0</v>
      </c>
      <c r="AB244" s="54">
        <f ca="1">Log_2018[[#This Row],[Amount]]-SUM(O244:AA244)</f>
        <v>0</v>
      </c>
      <c r="AC244" s="7">
        <f ca="1">MAX(0,Log_2018[[#This Row],[Split_apply]] - (EDATE(AA$1,1)-Log_2018[[#This Row],[Date]]))</f>
        <v>0</v>
      </c>
    </row>
    <row r="245" spans="1:29" hidden="1" x14ac:dyDescent="0.25">
      <c r="A245" s="115"/>
      <c r="B245" t="s">
        <v>6</v>
      </c>
      <c r="D245" s="39">
        <v>43356</v>
      </c>
      <c r="F245" t="s">
        <v>343</v>
      </c>
      <c r="G245" t="s">
        <v>9</v>
      </c>
      <c r="H245" s="3">
        <v>-25</v>
      </c>
      <c r="I245" s="36">
        <f>IF(Log_2018[[#This Row],[My Category]]="NONTRACKED",0,Log_2018[[#This Row],[Raw Amount]])</f>
        <v>-25</v>
      </c>
      <c r="J245" s="17">
        <f>ABS(Log_2018[[#This Row],[Amount]])</f>
        <v>25</v>
      </c>
      <c r="K245" s="66">
        <v>1</v>
      </c>
      <c r="L245" s="66">
        <f ca="1">IF(Log_2018[[#This Row],[Date]]&lt;=TODAY(), MIN(Log_2018[[#This Row],[Split_raw]], TODAY()-Log_2018[[#This Row],[Date]]+1), 0)</f>
        <v>1</v>
      </c>
      <c r="M245" t="s">
        <v>40</v>
      </c>
      <c r="N245" t="s">
        <v>158</v>
      </c>
      <c r="O245" s="50">
        <v>0</v>
      </c>
      <c r="P245" s="52">
        <f ca="1">Log_2018[[#This Row],[Amount]]/Log_2018[[#This Row],[Split_raw]]*MAX(0,MIN(_xlfn.DAYS(EDATE(P$1,1),Log_2018[[#This Row],[Date]]),Log_2018[[#This Row],[Split_apply]])) - SUM($O245:O245)</f>
        <v>0</v>
      </c>
      <c r="Q245" s="52">
        <f ca="1">Log_2018[[#This Row],[Amount]]/Log_2018[[#This Row],[Split_raw]]*MAX(0,MIN(_xlfn.DAYS(EDATE(Q$1,1),Log_2018[[#This Row],[Date]]),Log_2018[[#This Row],[Split_apply]])) - SUM($O245:P245)</f>
        <v>0</v>
      </c>
      <c r="R245" s="52">
        <f ca="1">Log_2018[[#This Row],[Amount]]/Log_2018[[#This Row],[Split_raw]]*MAX(0,MIN(_xlfn.DAYS(EDATE(R$1,1),Log_2018[[#This Row],[Date]]),Log_2018[[#This Row],[Split_apply]])) - SUM($O245:Q245)</f>
        <v>0</v>
      </c>
      <c r="S245" s="52">
        <f ca="1">Log_2018[[#This Row],[Amount]]/Log_2018[[#This Row],[Split_raw]]*MAX(0,MIN(_xlfn.DAYS(EDATE(S$1,1),Log_2018[[#This Row],[Date]]),Log_2018[[#This Row],[Split_apply]])) - SUM($O245:R245)</f>
        <v>0</v>
      </c>
      <c r="T245" s="52">
        <f ca="1">Log_2018[[#This Row],[Amount]]/Log_2018[[#This Row],[Split_raw]]*MAX(0,MIN(_xlfn.DAYS(EDATE(T$1,1),Log_2018[[#This Row],[Date]]),Log_2018[[#This Row],[Split_apply]])) - SUM($O245:S245)</f>
        <v>0</v>
      </c>
      <c r="U245" s="52">
        <f ca="1">Log_2018[[#This Row],[Amount]]/Log_2018[[#This Row],[Split_raw]]*MAX(0,MIN(_xlfn.DAYS(EDATE(U$1,1),Log_2018[[#This Row],[Date]]),Log_2018[[#This Row],[Split_apply]])) - SUM($O245:T245)</f>
        <v>0</v>
      </c>
      <c r="V245" s="52">
        <f ca="1">Log_2018[[#This Row],[Amount]]/Log_2018[[#This Row],[Split_raw]]*MAX(0,MIN(_xlfn.DAYS(EDATE(V$1,1),Log_2018[[#This Row],[Date]]),Log_2018[[#This Row],[Split_apply]])) - SUM($O245:U245)</f>
        <v>0</v>
      </c>
      <c r="W245" s="52">
        <f ca="1">Log_2018[[#This Row],[Amount]]/Log_2018[[#This Row],[Split_raw]]*MAX(0,MIN(_xlfn.DAYS(EDATE(W$1,1),Log_2018[[#This Row],[Date]]),Log_2018[[#This Row],[Split_apply]])) - SUM($O245:V245)</f>
        <v>0</v>
      </c>
      <c r="X245" s="52">
        <f ca="1">Log_2018[[#This Row],[Amount]]/Log_2018[[#This Row],[Split_raw]]*MAX(0,MIN(_xlfn.DAYS(EDATE(X$1,1),Log_2018[[#This Row],[Date]]),Log_2018[[#This Row],[Split_apply]])) - SUM($O245:W245)</f>
        <v>-25</v>
      </c>
      <c r="Y245" s="52">
        <f ca="1">Log_2018[[#This Row],[Amount]]/Log_2018[[#This Row],[Split_raw]]*MAX(0,MIN(_xlfn.DAYS(EDATE(Y$1,1),Log_2018[[#This Row],[Date]]),Log_2018[[#This Row],[Split_apply]])) - SUM($O245:X245)</f>
        <v>0</v>
      </c>
      <c r="Z245" s="52">
        <f ca="1">Log_2018[[#This Row],[Amount]]/Log_2018[[#This Row],[Split_raw]]*MAX(0,MIN(_xlfn.DAYS(EDATE(Z$1,1),Log_2018[[#This Row],[Date]]),Log_2018[[#This Row],[Split_apply]])) - SUM($O245:Y245)</f>
        <v>0</v>
      </c>
      <c r="AA245" s="52">
        <f ca="1">Log_2018[[#This Row],[Amount]]/Log_2018[[#This Row],[Split_raw]]*MAX(0,MIN(_xlfn.DAYS(EDATE(AA$1,1),Log_2018[[#This Row],[Date]]),Log_2018[[#This Row],[Split_apply]])) - SUM($O245:Z245)</f>
        <v>0</v>
      </c>
      <c r="AB245" s="54">
        <f ca="1">Log_2018[[#This Row],[Amount]]-SUM(O245:AA245)</f>
        <v>0</v>
      </c>
      <c r="AC245" s="7">
        <f ca="1">MAX(0,Log_2018[[#This Row],[Split_apply]] - (EDATE(AA$1,1)-Log_2018[[#This Row],[Date]]))</f>
        <v>0</v>
      </c>
    </row>
    <row r="246" spans="1:29" hidden="1" x14ac:dyDescent="0.25">
      <c r="A246" s="115"/>
      <c r="B246" t="s">
        <v>6</v>
      </c>
      <c r="D246" s="39">
        <v>43356</v>
      </c>
      <c r="F246" t="s">
        <v>255</v>
      </c>
      <c r="G246" t="s">
        <v>25</v>
      </c>
      <c r="H246" s="3">
        <v>-11.06</v>
      </c>
      <c r="I246" s="36">
        <f>IF(Log_2018[[#This Row],[My Category]]="NONTRACKED",0,Log_2018[[#This Row],[Raw Amount]])</f>
        <v>-11.06</v>
      </c>
      <c r="J246" s="17">
        <f>ABS(Log_2018[[#This Row],[Amount]])</f>
        <v>11.06</v>
      </c>
      <c r="K246" s="66">
        <v>1</v>
      </c>
      <c r="L246" s="66">
        <f ca="1">IF(Log_2018[[#This Row],[Date]]&lt;=TODAY(), MIN(Log_2018[[#This Row],[Split_raw]], TODAY()-Log_2018[[#This Row],[Date]]+1), 0)</f>
        <v>1</v>
      </c>
      <c r="M246" t="s">
        <v>35</v>
      </c>
      <c r="N246" t="s">
        <v>158</v>
      </c>
      <c r="O246" s="50">
        <v>0</v>
      </c>
      <c r="P246" s="52">
        <f ca="1">Log_2018[[#This Row],[Amount]]/Log_2018[[#This Row],[Split_raw]]*MAX(0,MIN(_xlfn.DAYS(EDATE(P$1,1),Log_2018[[#This Row],[Date]]),Log_2018[[#This Row],[Split_apply]])) - SUM($O246:O246)</f>
        <v>0</v>
      </c>
      <c r="Q246" s="52">
        <f ca="1">Log_2018[[#This Row],[Amount]]/Log_2018[[#This Row],[Split_raw]]*MAX(0,MIN(_xlfn.DAYS(EDATE(Q$1,1),Log_2018[[#This Row],[Date]]),Log_2018[[#This Row],[Split_apply]])) - SUM($O246:P246)</f>
        <v>0</v>
      </c>
      <c r="R246" s="52">
        <f ca="1">Log_2018[[#This Row],[Amount]]/Log_2018[[#This Row],[Split_raw]]*MAX(0,MIN(_xlfn.DAYS(EDATE(R$1,1),Log_2018[[#This Row],[Date]]),Log_2018[[#This Row],[Split_apply]])) - SUM($O246:Q246)</f>
        <v>0</v>
      </c>
      <c r="S246" s="52">
        <f ca="1">Log_2018[[#This Row],[Amount]]/Log_2018[[#This Row],[Split_raw]]*MAX(0,MIN(_xlfn.DAYS(EDATE(S$1,1),Log_2018[[#This Row],[Date]]),Log_2018[[#This Row],[Split_apply]])) - SUM($O246:R246)</f>
        <v>0</v>
      </c>
      <c r="T246" s="52">
        <f ca="1">Log_2018[[#This Row],[Amount]]/Log_2018[[#This Row],[Split_raw]]*MAX(0,MIN(_xlfn.DAYS(EDATE(T$1,1),Log_2018[[#This Row],[Date]]),Log_2018[[#This Row],[Split_apply]])) - SUM($O246:S246)</f>
        <v>0</v>
      </c>
      <c r="U246" s="52">
        <f ca="1">Log_2018[[#This Row],[Amount]]/Log_2018[[#This Row],[Split_raw]]*MAX(0,MIN(_xlfn.DAYS(EDATE(U$1,1),Log_2018[[#This Row],[Date]]),Log_2018[[#This Row],[Split_apply]])) - SUM($O246:T246)</f>
        <v>0</v>
      </c>
      <c r="V246" s="52">
        <f ca="1">Log_2018[[#This Row],[Amount]]/Log_2018[[#This Row],[Split_raw]]*MAX(0,MIN(_xlfn.DAYS(EDATE(V$1,1),Log_2018[[#This Row],[Date]]),Log_2018[[#This Row],[Split_apply]])) - SUM($O246:U246)</f>
        <v>0</v>
      </c>
      <c r="W246" s="52">
        <f ca="1">Log_2018[[#This Row],[Amount]]/Log_2018[[#This Row],[Split_raw]]*MAX(0,MIN(_xlfn.DAYS(EDATE(W$1,1),Log_2018[[#This Row],[Date]]),Log_2018[[#This Row],[Split_apply]])) - SUM($O246:V246)</f>
        <v>0</v>
      </c>
      <c r="X246" s="52">
        <f ca="1">Log_2018[[#This Row],[Amount]]/Log_2018[[#This Row],[Split_raw]]*MAX(0,MIN(_xlfn.DAYS(EDATE(X$1,1),Log_2018[[#This Row],[Date]]),Log_2018[[#This Row],[Split_apply]])) - SUM($O246:W246)</f>
        <v>-11.06</v>
      </c>
      <c r="Y246" s="52">
        <f ca="1">Log_2018[[#This Row],[Amount]]/Log_2018[[#This Row],[Split_raw]]*MAX(0,MIN(_xlfn.DAYS(EDATE(Y$1,1),Log_2018[[#This Row],[Date]]),Log_2018[[#This Row],[Split_apply]])) - SUM($O246:X246)</f>
        <v>0</v>
      </c>
      <c r="Z246" s="52">
        <f ca="1">Log_2018[[#This Row],[Amount]]/Log_2018[[#This Row],[Split_raw]]*MAX(0,MIN(_xlfn.DAYS(EDATE(Z$1,1),Log_2018[[#This Row],[Date]]),Log_2018[[#This Row],[Split_apply]])) - SUM($O246:Y246)</f>
        <v>0</v>
      </c>
      <c r="AA246" s="52">
        <f ca="1">Log_2018[[#This Row],[Amount]]/Log_2018[[#This Row],[Split_raw]]*MAX(0,MIN(_xlfn.DAYS(EDATE(AA$1,1),Log_2018[[#This Row],[Date]]),Log_2018[[#This Row],[Split_apply]])) - SUM($O246:Z246)</f>
        <v>0</v>
      </c>
      <c r="AB246" s="54">
        <f ca="1">Log_2018[[#This Row],[Amount]]-SUM(O246:AA246)</f>
        <v>0</v>
      </c>
      <c r="AC246" s="7">
        <f ca="1">MAX(0,Log_2018[[#This Row],[Split_apply]] - (EDATE(AA$1,1)-Log_2018[[#This Row],[Date]]))</f>
        <v>0</v>
      </c>
    </row>
    <row r="247" spans="1:29" hidden="1" x14ac:dyDescent="0.25">
      <c r="A247" s="115"/>
      <c r="B247" t="s">
        <v>6</v>
      </c>
      <c r="D247" s="39">
        <v>43356</v>
      </c>
      <c r="F247" t="s">
        <v>174</v>
      </c>
      <c r="G247" t="s">
        <v>87</v>
      </c>
      <c r="H247" s="3">
        <f>--1886.5</f>
        <v>1886.5</v>
      </c>
      <c r="I247" s="36">
        <f>IF(Log_2018[[#This Row],[My Category]]="NONTRACKED",0,Log_2018[[#This Row],[Raw Amount]])</f>
        <v>1886.5</v>
      </c>
      <c r="J247" s="17">
        <f>ABS(Log_2018[[#This Row],[Amount]])</f>
        <v>1886.5</v>
      </c>
      <c r="K247" s="66">
        <v>14</v>
      </c>
      <c r="L247" s="66">
        <f ca="1">IF(Log_2018[[#This Row],[Date]]&lt;=TODAY(), MIN(Log_2018[[#This Row],[Split_raw]], TODAY()-Log_2018[[#This Row],[Date]]+1), 0)</f>
        <v>14</v>
      </c>
      <c r="M247" t="s">
        <v>91</v>
      </c>
      <c r="N247" t="s">
        <v>160</v>
      </c>
      <c r="O247" s="50">
        <v>0</v>
      </c>
      <c r="P247" s="52">
        <f ca="1">Log_2018[[#This Row],[Amount]]/Log_2018[[#This Row],[Split_raw]]*MAX(0,MIN(_xlfn.DAYS(EDATE(P$1,1),Log_2018[[#This Row],[Date]]),Log_2018[[#This Row],[Split_apply]])) - SUM($O247:O247)</f>
        <v>0</v>
      </c>
      <c r="Q247" s="52">
        <f ca="1">Log_2018[[#This Row],[Amount]]/Log_2018[[#This Row],[Split_raw]]*MAX(0,MIN(_xlfn.DAYS(EDATE(Q$1,1),Log_2018[[#This Row],[Date]]),Log_2018[[#This Row],[Split_apply]])) - SUM($O247:P247)</f>
        <v>0</v>
      </c>
      <c r="R247" s="52">
        <f ca="1">Log_2018[[#This Row],[Amount]]/Log_2018[[#This Row],[Split_raw]]*MAX(0,MIN(_xlfn.DAYS(EDATE(R$1,1),Log_2018[[#This Row],[Date]]),Log_2018[[#This Row],[Split_apply]])) - SUM($O247:Q247)</f>
        <v>0</v>
      </c>
      <c r="S247" s="52">
        <f ca="1">Log_2018[[#This Row],[Amount]]/Log_2018[[#This Row],[Split_raw]]*MAX(0,MIN(_xlfn.DAYS(EDATE(S$1,1),Log_2018[[#This Row],[Date]]),Log_2018[[#This Row],[Split_apply]])) - SUM($O247:R247)</f>
        <v>0</v>
      </c>
      <c r="T247" s="52">
        <f ca="1">Log_2018[[#This Row],[Amount]]/Log_2018[[#This Row],[Split_raw]]*MAX(0,MIN(_xlfn.DAYS(EDATE(T$1,1),Log_2018[[#This Row],[Date]]),Log_2018[[#This Row],[Split_apply]])) - SUM($O247:S247)</f>
        <v>0</v>
      </c>
      <c r="U247" s="52">
        <f ca="1">Log_2018[[#This Row],[Amount]]/Log_2018[[#This Row],[Split_raw]]*MAX(0,MIN(_xlfn.DAYS(EDATE(U$1,1),Log_2018[[#This Row],[Date]]),Log_2018[[#This Row],[Split_apply]])) - SUM($O247:T247)</f>
        <v>0</v>
      </c>
      <c r="V247" s="52">
        <f ca="1">Log_2018[[#This Row],[Amount]]/Log_2018[[#This Row],[Split_raw]]*MAX(0,MIN(_xlfn.DAYS(EDATE(V$1,1),Log_2018[[#This Row],[Date]]),Log_2018[[#This Row],[Split_apply]])) - SUM($O247:U247)</f>
        <v>0</v>
      </c>
      <c r="W247" s="52">
        <f ca="1">Log_2018[[#This Row],[Amount]]/Log_2018[[#This Row],[Split_raw]]*MAX(0,MIN(_xlfn.DAYS(EDATE(W$1,1),Log_2018[[#This Row],[Date]]),Log_2018[[#This Row],[Split_apply]])) - SUM($O247:V247)</f>
        <v>0</v>
      </c>
      <c r="X247" s="52">
        <f ca="1">Log_2018[[#This Row],[Amount]]/Log_2018[[#This Row],[Split_raw]]*MAX(0,MIN(_xlfn.DAYS(EDATE(X$1,1),Log_2018[[#This Row],[Date]]),Log_2018[[#This Row],[Split_apply]])) - SUM($O247:W247)</f>
        <v>1886.5</v>
      </c>
      <c r="Y247" s="52">
        <f ca="1">Log_2018[[#This Row],[Amount]]/Log_2018[[#This Row],[Split_raw]]*MAX(0,MIN(_xlfn.DAYS(EDATE(Y$1,1),Log_2018[[#This Row],[Date]]),Log_2018[[#This Row],[Split_apply]])) - SUM($O247:X247)</f>
        <v>0</v>
      </c>
      <c r="Z247" s="52">
        <f ca="1">Log_2018[[#This Row],[Amount]]/Log_2018[[#This Row],[Split_raw]]*MAX(0,MIN(_xlfn.DAYS(EDATE(Z$1,1),Log_2018[[#This Row],[Date]]),Log_2018[[#This Row],[Split_apply]])) - SUM($O247:Y247)</f>
        <v>0</v>
      </c>
      <c r="AA247" s="52">
        <f ca="1">Log_2018[[#This Row],[Amount]]/Log_2018[[#This Row],[Split_raw]]*MAX(0,MIN(_xlfn.DAYS(EDATE(AA$1,1),Log_2018[[#This Row],[Date]]),Log_2018[[#This Row],[Split_apply]])) - SUM($O247:Z247)</f>
        <v>0</v>
      </c>
      <c r="AB247" s="54">
        <f ca="1">Log_2018[[#This Row],[Amount]]-SUM(O247:AA247)</f>
        <v>0</v>
      </c>
      <c r="AC247" s="7">
        <f ca="1">MAX(0,Log_2018[[#This Row],[Split_apply]] - (EDATE(AA$1,1)-Log_2018[[#This Row],[Date]]))</f>
        <v>0</v>
      </c>
    </row>
    <row r="248" spans="1:29" hidden="1" x14ac:dyDescent="0.25">
      <c r="A248" s="115"/>
      <c r="B248" t="s">
        <v>6</v>
      </c>
      <c r="D248" s="39">
        <v>43355</v>
      </c>
      <c r="F248" t="s">
        <v>344</v>
      </c>
      <c r="G248" t="s">
        <v>11</v>
      </c>
      <c r="H248" s="3">
        <v>-29.66</v>
      </c>
      <c r="I248" s="36">
        <f>IF(Log_2018[[#This Row],[My Category]]="NONTRACKED",0,Log_2018[[#This Row],[Raw Amount]])</f>
        <v>-29.66</v>
      </c>
      <c r="J248" s="17">
        <f>ABS(Log_2018[[#This Row],[Amount]])</f>
        <v>29.66</v>
      </c>
      <c r="K248" s="66">
        <v>1</v>
      </c>
      <c r="L248" s="66">
        <f ca="1">IF(Log_2018[[#This Row],[Date]]&lt;=TODAY(), MIN(Log_2018[[#This Row],[Split_raw]], TODAY()-Log_2018[[#This Row],[Date]]+1), 0)</f>
        <v>1</v>
      </c>
      <c r="M248" t="s">
        <v>145</v>
      </c>
      <c r="N248" t="s">
        <v>158</v>
      </c>
      <c r="O248" s="50">
        <v>0</v>
      </c>
      <c r="P248" s="52">
        <f ca="1">Log_2018[[#This Row],[Amount]]/Log_2018[[#This Row],[Split_raw]]*MAX(0,MIN(_xlfn.DAYS(EDATE(P$1,1),Log_2018[[#This Row],[Date]]),Log_2018[[#This Row],[Split_apply]])) - SUM($O248:O248)</f>
        <v>0</v>
      </c>
      <c r="Q248" s="52">
        <f ca="1">Log_2018[[#This Row],[Amount]]/Log_2018[[#This Row],[Split_raw]]*MAX(0,MIN(_xlfn.DAYS(EDATE(Q$1,1),Log_2018[[#This Row],[Date]]),Log_2018[[#This Row],[Split_apply]])) - SUM($O248:P248)</f>
        <v>0</v>
      </c>
      <c r="R248" s="52">
        <f ca="1">Log_2018[[#This Row],[Amount]]/Log_2018[[#This Row],[Split_raw]]*MAX(0,MIN(_xlfn.DAYS(EDATE(R$1,1),Log_2018[[#This Row],[Date]]),Log_2018[[#This Row],[Split_apply]])) - SUM($O248:Q248)</f>
        <v>0</v>
      </c>
      <c r="S248" s="52">
        <f ca="1">Log_2018[[#This Row],[Amount]]/Log_2018[[#This Row],[Split_raw]]*MAX(0,MIN(_xlfn.DAYS(EDATE(S$1,1),Log_2018[[#This Row],[Date]]),Log_2018[[#This Row],[Split_apply]])) - SUM($O248:R248)</f>
        <v>0</v>
      </c>
      <c r="T248" s="52">
        <f ca="1">Log_2018[[#This Row],[Amount]]/Log_2018[[#This Row],[Split_raw]]*MAX(0,MIN(_xlfn.DAYS(EDATE(T$1,1),Log_2018[[#This Row],[Date]]),Log_2018[[#This Row],[Split_apply]])) - SUM($O248:S248)</f>
        <v>0</v>
      </c>
      <c r="U248" s="52">
        <f ca="1">Log_2018[[#This Row],[Amount]]/Log_2018[[#This Row],[Split_raw]]*MAX(0,MIN(_xlfn.DAYS(EDATE(U$1,1),Log_2018[[#This Row],[Date]]),Log_2018[[#This Row],[Split_apply]])) - SUM($O248:T248)</f>
        <v>0</v>
      </c>
      <c r="V248" s="52">
        <f ca="1">Log_2018[[#This Row],[Amount]]/Log_2018[[#This Row],[Split_raw]]*MAX(0,MIN(_xlfn.DAYS(EDATE(V$1,1),Log_2018[[#This Row],[Date]]),Log_2018[[#This Row],[Split_apply]])) - SUM($O248:U248)</f>
        <v>0</v>
      </c>
      <c r="W248" s="52">
        <f ca="1">Log_2018[[#This Row],[Amount]]/Log_2018[[#This Row],[Split_raw]]*MAX(0,MIN(_xlfn.DAYS(EDATE(W$1,1),Log_2018[[#This Row],[Date]]),Log_2018[[#This Row],[Split_apply]])) - SUM($O248:V248)</f>
        <v>0</v>
      </c>
      <c r="X248" s="52">
        <f ca="1">Log_2018[[#This Row],[Amount]]/Log_2018[[#This Row],[Split_raw]]*MAX(0,MIN(_xlfn.DAYS(EDATE(X$1,1),Log_2018[[#This Row],[Date]]),Log_2018[[#This Row],[Split_apply]])) - SUM($O248:W248)</f>
        <v>-29.66</v>
      </c>
      <c r="Y248" s="52">
        <f ca="1">Log_2018[[#This Row],[Amount]]/Log_2018[[#This Row],[Split_raw]]*MAX(0,MIN(_xlfn.DAYS(EDATE(Y$1,1),Log_2018[[#This Row],[Date]]),Log_2018[[#This Row],[Split_apply]])) - SUM($O248:X248)</f>
        <v>0</v>
      </c>
      <c r="Z248" s="52">
        <f ca="1">Log_2018[[#This Row],[Amount]]/Log_2018[[#This Row],[Split_raw]]*MAX(0,MIN(_xlfn.DAYS(EDATE(Z$1,1),Log_2018[[#This Row],[Date]]),Log_2018[[#This Row],[Split_apply]])) - SUM($O248:Y248)</f>
        <v>0</v>
      </c>
      <c r="AA248" s="52">
        <f ca="1">Log_2018[[#This Row],[Amount]]/Log_2018[[#This Row],[Split_raw]]*MAX(0,MIN(_xlfn.DAYS(EDATE(AA$1,1),Log_2018[[#This Row],[Date]]),Log_2018[[#This Row],[Split_apply]])) - SUM($O248:Z248)</f>
        <v>0</v>
      </c>
      <c r="AB248" s="54">
        <f ca="1">Log_2018[[#This Row],[Amount]]-SUM(O248:AA248)</f>
        <v>0</v>
      </c>
      <c r="AC248" s="7">
        <f ca="1">MAX(0,Log_2018[[#This Row],[Split_apply]] - (EDATE(AA$1,1)-Log_2018[[#This Row],[Date]]))</f>
        <v>0</v>
      </c>
    </row>
    <row r="249" spans="1:29" hidden="1" x14ac:dyDescent="0.25">
      <c r="A249" s="115"/>
      <c r="B249" t="s">
        <v>6</v>
      </c>
      <c r="D249" s="39">
        <v>43355</v>
      </c>
      <c r="F249" t="s">
        <v>308</v>
      </c>
      <c r="G249" t="s">
        <v>25</v>
      </c>
      <c r="H249" s="3">
        <v>-9.7100000000000009</v>
      </c>
      <c r="I249" s="36">
        <f>IF(Log_2018[[#This Row],[My Category]]="NONTRACKED",0,Log_2018[[#This Row],[Raw Amount]])</f>
        <v>-9.7100000000000009</v>
      </c>
      <c r="J249" s="17">
        <f>ABS(Log_2018[[#This Row],[Amount]])</f>
        <v>9.7100000000000009</v>
      </c>
      <c r="K249" s="66">
        <v>1</v>
      </c>
      <c r="L249" s="66">
        <f ca="1">IF(Log_2018[[#This Row],[Date]]&lt;=TODAY(), MIN(Log_2018[[#This Row],[Split_raw]], TODAY()-Log_2018[[#This Row],[Date]]+1), 0)</f>
        <v>1</v>
      </c>
      <c r="M249" t="s">
        <v>35</v>
      </c>
      <c r="N249" t="s">
        <v>158</v>
      </c>
      <c r="O249" s="50">
        <v>0</v>
      </c>
      <c r="P249" s="52">
        <f ca="1">Log_2018[[#This Row],[Amount]]/Log_2018[[#This Row],[Split_raw]]*MAX(0,MIN(_xlfn.DAYS(EDATE(P$1,1),Log_2018[[#This Row],[Date]]),Log_2018[[#This Row],[Split_apply]])) - SUM($O249:O249)</f>
        <v>0</v>
      </c>
      <c r="Q249" s="52">
        <f ca="1">Log_2018[[#This Row],[Amount]]/Log_2018[[#This Row],[Split_raw]]*MAX(0,MIN(_xlfn.DAYS(EDATE(Q$1,1),Log_2018[[#This Row],[Date]]),Log_2018[[#This Row],[Split_apply]])) - SUM($O249:P249)</f>
        <v>0</v>
      </c>
      <c r="R249" s="52">
        <f ca="1">Log_2018[[#This Row],[Amount]]/Log_2018[[#This Row],[Split_raw]]*MAX(0,MIN(_xlfn.DAYS(EDATE(R$1,1),Log_2018[[#This Row],[Date]]),Log_2018[[#This Row],[Split_apply]])) - SUM($O249:Q249)</f>
        <v>0</v>
      </c>
      <c r="S249" s="52">
        <f ca="1">Log_2018[[#This Row],[Amount]]/Log_2018[[#This Row],[Split_raw]]*MAX(0,MIN(_xlfn.DAYS(EDATE(S$1,1),Log_2018[[#This Row],[Date]]),Log_2018[[#This Row],[Split_apply]])) - SUM($O249:R249)</f>
        <v>0</v>
      </c>
      <c r="T249" s="52">
        <f ca="1">Log_2018[[#This Row],[Amount]]/Log_2018[[#This Row],[Split_raw]]*MAX(0,MIN(_xlfn.DAYS(EDATE(T$1,1),Log_2018[[#This Row],[Date]]),Log_2018[[#This Row],[Split_apply]])) - SUM($O249:S249)</f>
        <v>0</v>
      </c>
      <c r="U249" s="52">
        <f ca="1">Log_2018[[#This Row],[Amount]]/Log_2018[[#This Row],[Split_raw]]*MAX(0,MIN(_xlfn.DAYS(EDATE(U$1,1),Log_2018[[#This Row],[Date]]),Log_2018[[#This Row],[Split_apply]])) - SUM($O249:T249)</f>
        <v>0</v>
      </c>
      <c r="V249" s="52">
        <f ca="1">Log_2018[[#This Row],[Amount]]/Log_2018[[#This Row],[Split_raw]]*MAX(0,MIN(_xlfn.DAYS(EDATE(V$1,1),Log_2018[[#This Row],[Date]]),Log_2018[[#This Row],[Split_apply]])) - SUM($O249:U249)</f>
        <v>0</v>
      </c>
      <c r="W249" s="52">
        <f ca="1">Log_2018[[#This Row],[Amount]]/Log_2018[[#This Row],[Split_raw]]*MAX(0,MIN(_xlfn.DAYS(EDATE(W$1,1),Log_2018[[#This Row],[Date]]),Log_2018[[#This Row],[Split_apply]])) - SUM($O249:V249)</f>
        <v>0</v>
      </c>
      <c r="X249" s="52">
        <f ca="1">Log_2018[[#This Row],[Amount]]/Log_2018[[#This Row],[Split_raw]]*MAX(0,MIN(_xlfn.DAYS(EDATE(X$1,1),Log_2018[[#This Row],[Date]]),Log_2018[[#This Row],[Split_apply]])) - SUM($O249:W249)</f>
        <v>-9.7100000000000009</v>
      </c>
      <c r="Y249" s="52">
        <f ca="1">Log_2018[[#This Row],[Amount]]/Log_2018[[#This Row],[Split_raw]]*MAX(0,MIN(_xlfn.DAYS(EDATE(Y$1,1),Log_2018[[#This Row],[Date]]),Log_2018[[#This Row],[Split_apply]])) - SUM($O249:X249)</f>
        <v>0</v>
      </c>
      <c r="Z249" s="52">
        <f ca="1">Log_2018[[#This Row],[Amount]]/Log_2018[[#This Row],[Split_raw]]*MAX(0,MIN(_xlfn.DAYS(EDATE(Z$1,1),Log_2018[[#This Row],[Date]]),Log_2018[[#This Row],[Split_apply]])) - SUM($O249:Y249)</f>
        <v>0</v>
      </c>
      <c r="AA249" s="52">
        <f ca="1">Log_2018[[#This Row],[Amount]]/Log_2018[[#This Row],[Split_raw]]*MAX(0,MIN(_xlfn.DAYS(EDATE(AA$1,1),Log_2018[[#This Row],[Date]]),Log_2018[[#This Row],[Split_apply]])) - SUM($O249:Z249)</f>
        <v>0</v>
      </c>
      <c r="AB249" s="54">
        <f ca="1">Log_2018[[#This Row],[Amount]]-SUM(O249:AA249)</f>
        <v>0</v>
      </c>
      <c r="AC249" s="7">
        <f ca="1">MAX(0,Log_2018[[#This Row],[Split_apply]] - (EDATE(AA$1,1)-Log_2018[[#This Row],[Date]]))</f>
        <v>0</v>
      </c>
    </row>
    <row r="250" spans="1:29" hidden="1" x14ac:dyDescent="0.25">
      <c r="A250" s="115"/>
      <c r="B250" t="s">
        <v>6</v>
      </c>
      <c r="D250" s="39">
        <v>43354</v>
      </c>
      <c r="F250" t="s">
        <v>345</v>
      </c>
      <c r="G250" t="s">
        <v>12</v>
      </c>
      <c r="H250" s="3">
        <v>-1.08</v>
      </c>
      <c r="I250" s="36">
        <f>IF(Log_2018[[#This Row],[My Category]]="NONTRACKED",0,Log_2018[[#This Row],[Raw Amount]])</f>
        <v>-1.08</v>
      </c>
      <c r="J250" s="17">
        <f>ABS(Log_2018[[#This Row],[Amount]])</f>
        <v>1.08</v>
      </c>
      <c r="K250" s="66">
        <v>1</v>
      </c>
      <c r="L250" s="66">
        <f ca="1">IF(Log_2018[[#This Row],[Date]]&lt;=TODAY(), MIN(Log_2018[[#This Row],[Split_raw]], TODAY()-Log_2018[[#This Row],[Date]]+1), 0)</f>
        <v>1</v>
      </c>
      <c r="M250" t="s">
        <v>12</v>
      </c>
      <c r="N250" t="s">
        <v>158</v>
      </c>
      <c r="O250" s="50">
        <v>0</v>
      </c>
      <c r="P250" s="52">
        <f ca="1">Log_2018[[#This Row],[Amount]]/Log_2018[[#This Row],[Split_raw]]*MAX(0,MIN(_xlfn.DAYS(EDATE(P$1,1),Log_2018[[#This Row],[Date]]),Log_2018[[#This Row],[Split_apply]])) - SUM($O250:O250)</f>
        <v>0</v>
      </c>
      <c r="Q250" s="52">
        <f ca="1">Log_2018[[#This Row],[Amount]]/Log_2018[[#This Row],[Split_raw]]*MAX(0,MIN(_xlfn.DAYS(EDATE(Q$1,1),Log_2018[[#This Row],[Date]]),Log_2018[[#This Row],[Split_apply]])) - SUM($O250:P250)</f>
        <v>0</v>
      </c>
      <c r="R250" s="52">
        <f ca="1">Log_2018[[#This Row],[Amount]]/Log_2018[[#This Row],[Split_raw]]*MAX(0,MIN(_xlfn.DAYS(EDATE(R$1,1),Log_2018[[#This Row],[Date]]),Log_2018[[#This Row],[Split_apply]])) - SUM($O250:Q250)</f>
        <v>0</v>
      </c>
      <c r="S250" s="52">
        <f ca="1">Log_2018[[#This Row],[Amount]]/Log_2018[[#This Row],[Split_raw]]*MAX(0,MIN(_xlfn.DAYS(EDATE(S$1,1),Log_2018[[#This Row],[Date]]),Log_2018[[#This Row],[Split_apply]])) - SUM($O250:R250)</f>
        <v>0</v>
      </c>
      <c r="T250" s="52">
        <f ca="1">Log_2018[[#This Row],[Amount]]/Log_2018[[#This Row],[Split_raw]]*MAX(0,MIN(_xlfn.DAYS(EDATE(T$1,1),Log_2018[[#This Row],[Date]]),Log_2018[[#This Row],[Split_apply]])) - SUM($O250:S250)</f>
        <v>0</v>
      </c>
      <c r="U250" s="52">
        <f ca="1">Log_2018[[#This Row],[Amount]]/Log_2018[[#This Row],[Split_raw]]*MAX(0,MIN(_xlfn.DAYS(EDATE(U$1,1),Log_2018[[#This Row],[Date]]),Log_2018[[#This Row],[Split_apply]])) - SUM($O250:T250)</f>
        <v>0</v>
      </c>
      <c r="V250" s="52">
        <f ca="1">Log_2018[[#This Row],[Amount]]/Log_2018[[#This Row],[Split_raw]]*MAX(0,MIN(_xlfn.DAYS(EDATE(V$1,1),Log_2018[[#This Row],[Date]]),Log_2018[[#This Row],[Split_apply]])) - SUM($O250:U250)</f>
        <v>0</v>
      </c>
      <c r="W250" s="52">
        <f ca="1">Log_2018[[#This Row],[Amount]]/Log_2018[[#This Row],[Split_raw]]*MAX(0,MIN(_xlfn.DAYS(EDATE(W$1,1),Log_2018[[#This Row],[Date]]),Log_2018[[#This Row],[Split_apply]])) - SUM($O250:V250)</f>
        <v>0</v>
      </c>
      <c r="X250" s="52">
        <f ca="1">Log_2018[[#This Row],[Amount]]/Log_2018[[#This Row],[Split_raw]]*MAX(0,MIN(_xlfn.DAYS(EDATE(X$1,1),Log_2018[[#This Row],[Date]]),Log_2018[[#This Row],[Split_apply]])) - SUM($O250:W250)</f>
        <v>-1.08</v>
      </c>
      <c r="Y250" s="52">
        <f ca="1">Log_2018[[#This Row],[Amount]]/Log_2018[[#This Row],[Split_raw]]*MAX(0,MIN(_xlfn.DAYS(EDATE(Y$1,1),Log_2018[[#This Row],[Date]]),Log_2018[[#This Row],[Split_apply]])) - SUM($O250:X250)</f>
        <v>0</v>
      </c>
      <c r="Z250" s="52">
        <f ca="1">Log_2018[[#This Row],[Amount]]/Log_2018[[#This Row],[Split_raw]]*MAX(0,MIN(_xlfn.DAYS(EDATE(Z$1,1),Log_2018[[#This Row],[Date]]),Log_2018[[#This Row],[Split_apply]])) - SUM($O250:Y250)</f>
        <v>0</v>
      </c>
      <c r="AA250" s="52">
        <f ca="1">Log_2018[[#This Row],[Amount]]/Log_2018[[#This Row],[Split_raw]]*MAX(0,MIN(_xlfn.DAYS(EDATE(AA$1,1),Log_2018[[#This Row],[Date]]),Log_2018[[#This Row],[Split_apply]])) - SUM($O250:Z250)</f>
        <v>0</v>
      </c>
      <c r="AB250" s="54">
        <f ca="1">Log_2018[[#This Row],[Amount]]-SUM(O250:AA250)</f>
        <v>0</v>
      </c>
      <c r="AC250" s="7">
        <f ca="1">MAX(0,Log_2018[[#This Row],[Split_apply]] - (EDATE(AA$1,1)-Log_2018[[#This Row],[Date]]))</f>
        <v>0</v>
      </c>
    </row>
    <row r="251" spans="1:29" hidden="1" x14ac:dyDescent="0.25">
      <c r="A251" s="115"/>
      <c r="B251" t="s">
        <v>6</v>
      </c>
      <c r="D251" s="39">
        <v>43354</v>
      </c>
      <c r="F251" t="s">
        <v>345</v>
      </c>
      <c r="G251" t="s">
        <v>12</v>
      </c>
      <c r="H251" s="3">
        <v>-94.65</v>
      </c>
      <c r="I251" s="36">
        <f>IF(Log_2018[[#This Row],[My Category]]="NONTRACKED",0,Log_2018[[#This Row],[Raw Amount]])</f>
        <v>-94.65</v>
      </c>
      <c r="J251" s="17">
        <f>ABS(Log_2018[[#This Row],[Amount]])</f>
        <v>94.65</v>
      </c>
      <c r="K251" s="66">
        <v>1</v>
      </c>
      <c r="L251" s="66">
        <f ca="1">IF(Log_2018[[#This Row],[Date]]&lt;=TODAY(), MIN(Log_2018[[#This Row],[Split_raw]], TODAY()-Log_2018[[#This Row],[Date]]+1), 0)</f>
        <v>1</v>
      </c>
      <c r="M251" t="s">
        <v>12</v>
      </c>
      <c r="N251" t="s">
        <v>158</v>
      </c>
      <c r="O251" s="50">
        <v>0</v>
      </c>
      <c r="P251" s="52">
        <f ca="1">Log_2018[[#This Row],[Amount]]/Log_2018[[#This Row],[Split_raw]]*MAX(0,MIN(_xlfn.DAYS(EDATE(P$1,1),Log_2018[[#This Row],[Date]]),Log_2018[[#This Row],[Split_apply]])) - SUM($O251:O251)</f>
        <v>0</v>
      </c>
      <c r="Q251" s="52">
        <f ca="1">Log_2018[[#This Row],[Amount]]/Log_2018[[#This Row],[Split_raw]]*MAX(0,MIN(_xlfn.DAYS(EDATE(Q$1,1),Log_2018[[#This Row],[Date]]),Log_2018[[#This Row],[Split_apply]])) - SUM($O251:P251)</f>
        <v>0</v>
      </c>
      <c r="R251" s="52">
        <f ca="1">Log_2018[[#This Row],[Amount]]/Log_2018[[#This Row],[Split_raw]]*MAX(0,MIN(_xlfn.DAYS(EDATE(R$1,1),Log_2018[[#This Row],[Date]]),Log_2018[[#This Row],[Split_apply]])) - SUM($O251:Q251)</f>
        <v>0</v>
      </c>
      <c r="S251" s="52">
        <f ca="1">Log_2018[[#This Row],[Amount]]/Log_2018[[#This Row],[Split_raw]]*MAX(0,MIN(_xlfn.DAYS(EDATE(S$1,1),Log_2018[[#This Row],[Date]]),Log_2018[[#This Row],[Split_apply]])) - SUM($O251:R251)</f>
        <v>0</v>
      </c>
      <c r="T251" s="52">
        <f ca="1">Log_2018[[#This Row],[Amount]]/Log_2018[[#This Row],[Split_raw]]*MAX(0,MIN(_xlfn.DAYS(EDATE(T$1,1),Log_2018[[#This Row],[Date]]),Log_2018[[#This Row],[Split_apply]])) - SUM($O251:S251)</f>
        <v>0</v>
      </c>
      <c r="U251" s="52">
        <f ca="1">Log_2018[[#This Row],[Amount]]/Log_2018[[#This Row],[Split_raw]]*MAX(0,MIN(_xlfn.DAYS(EDATE(U$1,1),Log_2018[[#This Row],[Date]]),Log_2018[[#This Row],[Split_apply]])) - SUM($O251:T251)</f>
        <v>0</v>
      </c>
      <c r="V251" s="52">
        <f ca="1">Log_2018[[#This Row],[Amount]]/Log_2018[[#This Row],[Split_raw]]*MAX(0,MIN(_xlfn.DAYS(EDATE(V$1,1),Log_2018[[#This Row],[Date]]),Log_2018[[#This Row],[Split_apply]])) - SUM($O251:U251)</f>
        <v>0</v>
      </c>
      <c r="W251" s="52">
        <f ca="1">Log_2018[[#This Row],[Amount]]/Log_2018[[#This Row],[Split_raw]]*MAX(0,MIN(_xlfn.DAYS(EDATE(W$1,1),Log_2018[[#This Row],[Date]]),Log_2018[[#This Row],[Split_apply]])) - SUM($O251:V251)</f>
        <v>0</v>
      </c>
      <c r="X251" s="52">
        <f ca="1">Log_2018[[#This Row],[Amount]]/Log_2018[[#This Row],[Split_raw]]*MAX(0,MIN(_xlfn.DAYS(EDATE(X$1,1),Log_2018[[#This Row],[Date]]),Log_2018[[#This Row],[Split_apply]])) - SUM($O251:W251)</f>
        <v>-94.65</v>
      </c>
      <c r="Y251" s="52">
        <f ca="1">Log_2018[[#This Row],[Amount]]/Log_2018[[#This Row],[Split_raw]]*MAX(0,MIN(_xlfn.DAYS(EDATE(Y$1,1),Log_2018[[#This Row],[Date]]),Log_2018[[#This Row],[Split_apply]])) - SUM($O251:X251)</f>
        <v>0</v>
      </c>
      <c r="Z251" s="52">
        <f ca="1">Log_2018[[#This Row],[Amount]]/Log_2018[[#This Row],[Split_raw]]*MAX(0,MIN(_xlfn.DAYS(EDATE(Z$1,1),Log_2018[[#This Row],[Date]]),Log_2018[[#This Row],[Split_apply]])) - SUM($O251:Y251)</f>
        <v>0</v>
      </c>
      <c r="AA251" s="52">
        <f ca="1">Log_2018[[#This Row],[Amount]]/Log_2018[[#This Row],[Split_raw]]*MAX(0,MIN(_xlfn.DAYS(EDATE(AA$1,1),Log_2018[[#This Row],[Date]]),Log_2018[[#This Row],[Split_apply]])) - SUM($O251:Z251)</f>
        <v>0</v>
      </c>
      <c r="AB251" s="54">
        <f ca="1">Log_2018[[#This Row],[Amount]]-SUM(O251:AA251)</f>
        <v>0</v>
      </c>
      <c r="AC251" s="7">
        <f ca="1">MAX(0,Log_2018[[#This Row],[Split_apply]] - (EDATE(AA$1,1)-Log_2018[[#This Row],[Date]]))</f>
        <v>0</v>
      </c>
    </row>
    <row r="252" spans="1:29" hidden="1" x14ac:dyDescent="0.25">
      <c r="A252" s="115"/>
      <c r="B252" t="s">
        <v>6</v>
      </c>
      <c r="D252" s="39">
        <v>43354</v>
      </c>
      <c r="F252" t="s">
        <v>306</v>
      </c>
      <c r="G252" t="s">
        <v>25</v>
      </c>
      <c r="H252" s="3">
        <v>-12.18</v>
      </c>
      <c r="I252" s="36">
        <f>IF(Log_2018[[#This Row],[My Category]]="NONTRACKED",0,Log_2018[[#This Row],[Raw Amount]])</f>
        <v>-12.18</v>
      </c>
      <c r="J252" s="17">
        <f>ABS(Log_2018[[#This Row],[Amount]])</f>
        <v>12.18</v>
      </c>
      <c r="K252" s="66">
        <v>1</v>
      </c>
      <c r="L252" s="66">
        <f ca="1">IF(Log_2018[[#This Row],[Date]]&lt;=TODAY(), MIN(Log_2018[[#This Row],[Split_raw]], TODAY()-Log_2018[[#This Row],[Date]]+1), 0)</f>
        <v>1</v>
      </c>
      <c r="M252" t="s">
        <v>35</v>
      </c>
      <c r="N252" t="s">
        <v>158</v>
      </c>
      <c r="O252" s="50">
        <v>0</v>
      </c>
      <c r="P252" s="52">
        <f ca="1">Log_2018[[#This Row],[Amount]]/Log_2018[[#This Row],[Split_raw]]*MAX(0,MIN(_xlfn.DAYS(EDATE(P$1,1),Log_2018[[#This Row],[Date]]),Log_2018[[#This Row],[Split_apply]])) - SUM($O252:O252)</f>
        <v>0</v>
      </c>
      <c r="Q252" s="52">
        <f ca="1">Log_2018[[#This Row],[Amount]]/Log_2018[[#This Row],[Split_raw]]*MAX(0,MIN(_xlfn.DAYS(EDATE(Q$1,1),Log_2018[[#This Row],[Date]]),Log_2018[[#This Row],[Split_apply]])) - SUM($O252:P252)</f>
        <v>0</v>
      </c>
      <c r="R252" s="52">
        <f ca="1">Log_2018[[#This Row],[Amount]]/Log_2018[[#This Row],[Split_raw]]*MAX(0,MIN(_xlfn.DAYS(EDATE(R$1,1),Log_2018[[#This Row],[Date]]),Log_2018[[#This Row],[Split_apply]])) - SUM($O252:Q252)</f>
        <v>0</v>
      </c>
      <c r="S252" s="52">
        <f ca="1">Log_2018[[#This Row],[Amount]]/Log_2018[[#This Row],[Split_raw]]*MAX(0,MIN(_xlfn.DAYS(EDATE(S$1,1),Log_2018[[#This Row],[Date]]),Log_2018[[#This Row],[Split_apply]])) - SUM($O252:R252)</f>
        <v>0</v>
      </c>
      <c r="T252" s="52">
        <f ca="1">Log_2018[[#This Row],[Amount]]/Log_2018[[#This Row],[Split_raw]]*MAX(0,MIN(_xlfn.DAYS(EDATE(T$1,1),Log_2018[[#This Row],[Date]]),Log_2018[[#This Row],[Split_apply]])) - SUM($O252:S252)</f>
        <v>0</v>
      </c>
      <c r="U252" s="52">
        <f ca="1">Log_2018[[#This Row],[Amount]]/Log_2018[[#This Row],[Split_raw]]*MAX(0,MIN(_xlfn.DAYS(EDATE(U$1,1),Log_2018[[#This Row],[Date]]),Log_2018[[#This Row],[Split_apply]])) - SUM($O252:T252)</f>
        <v>0</v>
      </c>
      <c r="V252" s="52">
        <f ca="1">Log_2018[[#This Row],[Amount]]/Log_2018[[#This Row],[Split_raw]]*MAX(0,MIN(_xlfn.DAYS(EDATE(V$1,1),Log_2018[[#This Row],[Date]]),Log_2018[[#This Row],[Split_apply]])) - SUM($O252:U252)</f>
        <v>0</v>
      </c>
      <c r="W252" s="52">
        <f ca="1">Log_2018[[#This Row],[Amount]]/Log_2018[[#This Row],[Split_raw]]*MAX(0,MIN(_xlfn.DAYS(EDATE(W$1,1),Log_2018[[#This Row],[Date]]),Log_2018[[#This Row],[Split_apply]])) - SUM($O252:V252)</f>
        <v>0</v>
      </c>
      <c r="X252" s="52">
        <f ca="1">Log_2018[[#This Row],[Amount]]/Log_2018[[#This Row],[Split_raw]]*MAX(0,MIN(_xlfn.DAYS(EDATE(X$1,1),Log_2018[[#This Row],[Date]]),Log_2018[[#This Row],[Split_apply]])) - SUM($O252:W252)</f>
        <v>-12.18</v>
      </c>
      <c r="Y252" s="52">
        <f ca="1">Log_2018[[#This Row],[Amount]]/Log_2018[[#This Row],[Split_raw]]*MAX(0,MIN(_xlfn.DAYS(EDATE(Y$1,1),Log_2018[[#This Row],[Date]]),Log_2018[[#This Row],[Split_apply]])) - SUM($O252:X252)</f>
        <v>0</v>
      </c>
      <c r="Z252" s="52">
        <f ca="1">Log_2018[[#This Row],[Amount]]/Log_2018[[#This Row],[Split_raw]]*MAX(0,MIN(_xlfn.DAYS(EDATE(Z$1,1),Log_2018[[#This Row],[Date]]),Log_2018[[#This Row],[Split_apply]])) - SUM($O252:Y252)</f>
        <v>0</v>
      </c>
      <c r="AA252" s="52">
        <f ca="1">Log_2018[[#This Row],[Amount]]/Log_2018[[#This Row],[Split_raw]]*MAX(0,MIN(_xlfn.DAYS(EDATE(AA$1,1),Log_2018[[#This Row],[Date]]),Log_2018[[#This Row],[Split_apply]])) - SUM($O252:Z252)</f>
        <v>0</v>
      </c>
      <c r="AB252" s="54">
        <f ca="1">Log_2018[[#This Row],[Amount]]-SUM(O252:AA252)</f>
        <v>0</v>
      </c>
      <c r="AC252" s="7">
        <f ca="1">MAX(0,Log_2018[[#This Row],[Split_apply]] - (EDATE(AA$1,1)-Log_2018[[#This Row],[Date]]))</f>
        <v>0</v>
      </c>
    </row>
    <row r="253" spans="1:29" hidden="1" x14ac:dyDescent="0.25">
      <c r="A253" s="115"/>
      <c r="B253" t="s">
        <v>6</v>
      </c>
      <c r="D253" s="39">
        <v>43354</v>
      </c>
      <c r="F253" t="s">
        <v>309</v>
      </c>
      <c r="G253" t="s">
        <v>13</v>
      </c>
      <c r="H253" s="3">
        <v>-15.75</v>
      </c>
      <c r="I253" s="36">
        <f>IF(Log_2018[[#This Row],[My Category]]="NONTRACKED",0,Log_2018[[#This Row],[Raw Amount]])</f>
        <v>-15.75</v>
      </c>
      <c r="J253" s="17">
        <f>ABS(Log_2018[[#This Row],[Amount]])</f>
        <v>15.75</v>
      </c>
      <c r="K253" s="66">
        <v>1</v>
      </c>
      <c r="L253" s="66">
        <f ca="1">IF(Log_2018[[#This Row],[Date]]&lt;=TODAY(), MIN(Log_2018[[#This Row],[Split_raw]], TODAY()-Log_2018[[#This Row],[Date]]+1), 0)</f>
        <v>1</v>
      </c>
      <c r="M253" t="s">
        <v>146</v>
      </c>
      <c r="N253" t="s">
        <v>158</v>
      </c>
      <c r="O253" s="50">
        <v>0</v>
      </c>
      <c r="P253" s="52">
        <f ca="1">Log_2018[[#This Row],[Amount]]/Log_2018[[#This Row],[Split_raw]]*MAX(0,MIN(_xlfn.DAYS(EDATE(P$1,1),Log_2018[[#This Row],[Date]]),Log_2018[[#This Row],[Split_apply]])) - SUM($O253:O253)</f>
        <v>0</v>
      </c>
      <c r="Q253" s="52">
        <f ca="1">Log_2018[[#This Row],[Amount]]/Log_2018[[#This Row],[Split_raw]]*MAX(0,MIN(_xlfn.DAYS(EDATE(Q$1,1),Log_2018[[#This Row],[Date]]),Log_2018[[#This Row],[Split_apply]])) - SUM($O253:P253)</f>
        <v>0</v>
      </c>
      <c r="R253" s="52">
        <f ca="1">Log_2018[[#This Row],[Amount]]/Log_2018[[#This Row],[Split_raw]]*MAX(0,MIN(_xlfn.DAYS(EDATE(R$1,1),Log_2018[[#This Row],[Date]]),Log_2018[[#This Row],[Split_apply]])) - SUM($O253:Q253)</f>
        <v>0</v>
      </c>
      <c r="S253" s="52">
        <f ca="1">Log_2018[[#This Row],[Amount]]/Log_2018[[#This Row],[Split_raw]]*MAX(0,MIN(_xlfn.DAYS(EDATE(S$1,1),Log_2018[[#This Row],[Date]]),Log_2018[[#This Row],[Split_apply]])) - SUM($O253:R253)</f>
        <v>0</v>
      </c>
      <c r="T253" s="52">
        <f ca="1">Log_2018[[#This Row],[Amount]]/Log_2018[[#This Row],[Split_raw]]*MAX(0,MIN(_xlfn.DAYS(EDATE(T$1,1),Log_2018[[#This Row],[Date]]),Log_2018[[#This Row],[Split_apply]])) - SUM($O253:S253)</f>
        <v>0</v>
      </c>
      <c r="U253" s="52">
        <f ca="1">Log_2018[[#This Row],[Amount]]/Log_2018[[#This Row],[Split_raw]]*MAX(0,MIN(_xlfn.DAYS(EDATE(U$1,1),Log_2018[[#This Row],[Date]]),Log_2018[[#This Row],[Split_apply]])) - SUM($O253:T253)</f>
        <v>0</v>
      </c>
      <c r="V253" s="52">
        <f ca="1">Log_2018[[#This Row],[Amount]]/Log_2018[[#This Row],[Split_raw]]*MAX(0,MIN(_xlfn.DAYS(EDATE(V$1,1),Log_2018[[#This Row],[Date]]),Log_2018[[#This Row],[Split_apply]])) - SUM($O253:U253)</f>
        <v>0</v>
      </c>
      <c r="W253" s="52">
        <f ca="1">Log_2018[[#This Row],[Amount]]/Log_2018[[#This Row],[Split_raw]]*MAX(0,MIN(_xlfn.DAYS(EDATE(W$1,1),Log_2018[[#This Row],[Date]]),Log_2018[[#This Row],[Split_apply]])) - SUM($O253:V253)</f>
        <v>0</v>
      </c>
      <c r="X253" s="52">
        <f ca="1">Log_2018[[#This Row],[Amount]]/Log_2018[[#This Row],[Split_raw]]*MAX(0,MIN(_xlfn.DAYS(EDATE(X$1,1),Log_2018[[#This Row],[Date]]),Log_2018[[#This Row],[Split_apply]])) - SUM($O253:W253)</f>
        <v>-15.75</v>
      </c>
      <c r="Y253" s="52">
        <f ca="1">Log_2018[[#This Row],[Amount]]/Log_2018[[#This Row],[Split_raw]]*MAX(0,MIN(_xlfn.DAYS(EDATE(Y$1,1),Log_2018[[#This Row],[Date]]),Log_2018[[#This Row],[Split_apply]])) - SUM($O253:X253)</f>
        <v>0</v>
      </c>
      <c r="Z253" s="52">
        <f ca="1">Log_2018[[#This Row],[Amount]]/Log_2018[[#This Row],[Split_raw]]*MAX(0,MIN(_xlfn.DAYS(EDATE(Z$1,1),Log_2018[[#This Row],[Date]]),Log_2018[[#This Row],[Split_apply]])) - SUM($O253:Y253)</f>
        <v>0</v>
      </c>
      <c r="AA253" s="52">
        <f ca="1">Log_2018[[#This Row],[Amount]]/Log_2018[[#This Row],[Split_raw]]*MAX(0,MIN(_xlfn.DAYS(EDATE(AA$1,1),Log_2018[[#This Row],[Date]]),Log_2018[[#This Row],[Split_apply]])) - SUM($O253:Z253)</f>
        <v>0</v>
      </c>
      <c r="AB253" s="54">
        <f ca="1">Log_2018[[#This Row],[Amount]]-SUM(O253:AA253)</f>
        <v>0</v>
      </c>
      <c r="AC253" s="7">
        <f ca="1">MAX(0,Log_2018[[#This Row],[Split_apply]] - (EDATE(AA$1,1)-Log_2018[[#This Row],[Date]]))</f>
        <v>0</v>
      </c>
    </row>
    <row r="254" spans="1:29" hidden="1" x14ac:dyDescent="0.25">
      <c r="A254" s="115"/>
      <c r="B254" t="s">
        <v>6</v>
      </c>
      <c r="D254" s="39">
        <v>43354</v>
      </c>
      <c r="F254" t="s">
        <v>255</v>
      </c>
      <c r="G254" t="s">
        <v>25</v>
      </c>
      <c r="H254" s="3">
        <v>-30.59</v>
      </c>
      <c r="I254" s="36">
        <f>IF(Log_2018[[#This Row],[My Category]]="NONTRACKED",0,Log_2018[[#This Row],[Raw Amount]])</f>
        <v>-30.59</v>
      </c>
      <c r="J254" s="17">
        <f>ABS(Log_2018[[#This Row],[Amount]])</f>
        <v>30.59</v>
      </c>
      <c r="K254" s="66">
        <v>1</v>
      </c>
      <c r="L254" s="66">
        <f ca="1">IF(Log_2018[[#This Row],[Date]]&lt;=TODAY(), MIN(Log_2018[[#This Row],[Split_raw]], TODAY()-Log_2018[[#This Row],[Date]]+1), 0)</f>
        <v>1</v>
      </c>
      <c r="M254" t="s">
        <v>52</v>
      </c>
      <c r="N254" t="s">
        <v>158</v>
      </c>
      <c r="O254" s="50">
        <v>0</v>
      </c>
      <c r="P254" s="52">
        <f ca="1">Log_2018[[#This Row],[Amount]]/Log_2018[[#This Row],[Split_raw]]*MAX(0,MIN(_xlfn.DAYS(EDATE(P$1,1),Log_2018[[#This Row],[Date]]),Log_2018[[#This Row],[Split_apply]])) - SUM($O254:O254)</f>
        <v>0</v>
      </c>
      <c r="Q254" s="52">
        <f ca="1">Log_2018[[#This Row],[Amount]]/Log_2018[[#This Row],[Split_raw]]*MAX(0,MIN(_xlfn.DAYS(EDATE(Q$1,1),Log_2018[[#This Row],[Date]]),Log_2018[[#This Row],[Split_apply]])) - SUM($O254:P254)</f>
        <v>0</v>
      </c>
      <c r="R254" s="52">
        <f ca="1">Log_2018[[#This Row],[Amount]]/Log_2018[[#This Row],[Split_raw]]*MAX(0,MIN(_xlfn.DAYS(EDATE(R$1,1),Log_2018[[#This Row],[Date]]),Log_2018[[#This Row],[Split_apply]])) - SUM($O254:Q254)</f>
        <v>0</v>
      </c>
      <c r="S254" s="52">
        <f ca="1">Log_2018[[#This Row],[Amount]]/Log_2018[[#This Row],[Split_raw]]*MAX(0,MIN(_xlfn.DAYS(EDATE(S$1,1),Log_2018[[#This Row],[Date]]),Log_2018[[#This Row],[Split_apply]])) - SUM($O254:R254)</f>
        <v>0</v>
      </c>
      <c r="T254" s="52">
        <f ca="1">Log_2018[[#This Row],[Amount]]/Log_2018[[#This Row],[Split_raw]]*MAX(0,MIN(_xlfn.DAYS(EDATE(T$1,1),Log_2018[[#This Row],[Date]]),Log_2018[[#This Row],[Split_apply]])) - SUM($O254:S254)</f>
        <v>0</v>
      </c>
      <c r="U254" s="52">
        <f ca="1">Log_2018[[#This Row],[Amount]]/Log_2018[[#This Row],[Split_raw]]*MAX(0,MIN(_xlfn.DAYS(EDATE(U$1,1),Log_2018[[#This Row],[Date]]),Log_2018[[#This Row],[Split_apply]])) - SUM($O254:T254)</f>
        <v>0</v>
      </c>
      <c r="V254" s="52">
        <f ca="1">Log_2018[[#This Row],[Amount]]/Log_2018[[#This Row],[Split_raw]]*MAX(0,MIN(_xlfn.DAYS(EDATE(V$1,1),Log_2018[[#This Row],[Date]]),Log_2018[[#This Row],[Split_apply]])) - SUM($O254:U254)</f>
        <v>0</v>
      </c>
      <c r="W254" s="52">
        <f ca="1">Log_2018[[#This Row],[Amount]]/Log_2018[[#This Row],[Split_raw]]*MAX(0,MIN(_xlfn.DAYS(EDATE(W$1,1),Log_2018[[#This Row],[Date]]),Log_2018[[#This Row],[Split_apply]])) - SUM($O254:V254)</f>
        <v>0</v>
      </c>
      <c r="X254" s="52">
        <f ca="1">Log_2018[[#This Row],[Amount]]/Log_2018[[#This Row],[Split_raw]]*MAX(0,MIN(_xlfn.DAYS(EDATE(X$1,1),Log_2018[[#This Row],[Date]]),Log_2018[[#This Row],[Split_apply]])) - SUM($O254:W254)</f>
        <v>-30.59</v>
      </c>
      <c r="Y254" s="52">
        <f ca="1">Log_2018[[#This Row],[Amount]]/Log_2018[[#This Row],[Split_raw]]*MAX(0,MIN(_xlfn.DAYS(EDATE(Y$1,1),Log_2018[[#This Row],[Date]]),Log_2018[[#This Row],[Split_apply]])) - SUM($O254:X254)</f>
        <v>0</v>
      </c>
      <c r="Z254" s="52">
        <f ca="1">Log_2018[[#This Row],[Amount]]/Log_2018[[#This Row],[Split_raw]]*MAX(0,MIN(_xlfn.DAYS(EDATE(Z$1,1),Log_2018[[#This Row],[Date]]),Log_2018[[#This Row],[Split_apply]])) - SUM($O254:Y254)</f>
        <v>0</v>
      </c>
      <c r="AA254" s="52">
        <f ca="1">Log_2018[[#This Row],[Amount]]/Log_2018[[#This Row],[Split_raw]]*MAX(0,MIN(_xlfn.DAYS(EDATE(AA$1,1),Log_2018[[#This Row],[Date]]),Log_2018[[#This Row],[Split_apply]])) - SUM($O254:Z254)</f>
        <v>0</v>
      </c>
      <c r="AB254" s="54">
        <f ca="1">Log_2018[[#This Row],[Amount]]-SUM(O254:AA254)</f>
        <v>0</v>
      </c>
      <c r="AC254" s="7">
        <f ca="1">MAX(0,Log_2018[[#This Row],[Split_apply]] - (EDATE(AA$1,1)-Log_2018[[#This Row],[Date]]))</f>
        <v>0</v>
      </c>
    </row>
    <row r="255" spans="1:29" hidden="1" x14ac:dyDescent="0.25">
      <c r="A255" s="115"/>
      <c r="B255" s="34" t="s">
        <v>6</v>
      </c>
      <c r="D255" s="26">
        <v>43354</v>
      </c>
      <c r="F255" t="s">
        <v>83</v>
      </c>
      <c r="G255" t="s">
        <v>15</v>
      </c>
      <c r="H255" s="3">
        <v>-239.26</v>
      </c>
      <c r="I255" s="36">
        <f>IF(Log_2018[[#This Row],[My Category]]="NONTRACKED",0,Log_2018[[#This Row],[Raw Amount]])</f>
        <v>-239.26</v>
      </c>
      <c r="J255" s="17">
        <f>ABS(Log_2018[[#This Row],[Amount]])</f>
        <v>239.26</v>
      </c>
      <c r="K255" s="66">
        <v>30</v>
      </c>
      <c r="L255" s="66">
        <f ca="1">IF(Log_2018[[#This Row],[Date]]&lt;=TODAY(), MIN(Log_2018[[#This Row],[Split_raw]], TODAY()-Log_2018[[#This Row],[Date]]+1), 0)</f>
        <v>30</v>
      </c>
      <c r="M255" t="s">
        <v>241</v>
      </c>
      <c r="N255" t="s">
        <v>160</v>
      </c>
      <c r="O255" s="50">
        <v>0</v>
      </c>
      <c r="P255" s="52">
        <f ca="1">Log_2018[[#This Row],[Amount]]/Log_2018[[#This Row],[Split_raw]]*MAX(0,MIN(_xlfn.DAYS(EDATE(P$1,1),Log_2018[[#This Row],[Date]]),Log_2018[[#This Row],[Split_apply]])) - SUM($O255:O255)</f>
        <v>0</v>
      </c>
      <c r="Q255" s="52">
        <f ca="1">Log_2018[[#This Row],[Amount]]/Log_2018[[#This Row],[Split_raw]]*MAX(0,MIN(_xlfn.DAYS(EDATE(Q$1,1),Log_2018[[#This Row],[Date]]),Log_2018[[#This Row],[Split_apply]])) - SUM($O255:P255)</f>
        <v>0</v>
      </c>
      <c r="R255" s="52">
        <f ca="1">Log_2018[[#This Row],[Amount]]/Log_2018[[#This Row],[Split_raw]]*MAX(0,MIN(_xlfn.DAYS(EDATE(R$1,1),Log_2018[[#This Row],[Date]]),Log_2018[[#This Row],[Split_apply]])) - SUM($O255:Q255)</f>
        <v>0</v>
      </c>
      <c r="S255" s="52">
        <f ca="1">Log_2018[[#This Row],[Amount]]/Log_2018[[#This Row],[Split_raw]]*MAX(0,MIN(_xlfn.DAYS(EDATE(S$1,1),Log_2018[[#This Row],[Date]]),Log_2018[[#This Row],[Split_apply]])) - SUM($O255:R255)</f>
        <v>0</v>
      </c>
      <c r="T255" s="52">
        <f ca="1">Log_2018[[#This Row],[Amount]]/Log_2018[[#This Row],[Split_raw]]*MAX(0,MIN(_xlfn.DAYS(EDATE(T$1,1),Log_2018[[#This Row],[Date]]),Log_2018[[#This Row],[Split_apply]])) - SUM($O255:S255)</f>
        <v>0</v>
      </c>
      <c r="U255" s="52">
        <f ca="1">Log_2018[[#This Row],[Amount]]/Log_2018[[#This Row],[Split_raw]]*MAX(0,MIN(_xlfn.DAYS(EDATE(U$1,1),Log_2018[[#This Row],[Date]]),Log_2018[[#This Row],[Split_apply]])) - SUM($O255:T255)</f>
        <v>0</v>
      </c>
      <c r="V255" s="52">
        <f ca="1">Log_2018[[#This Row],[Amount]]/Log_2018[[#This Row],[Split_raw]]*MAX(0,MIN(_xlfn.DAYS(EDATE(V$1,1),Log_2018[[#This Row],[Date]]),Log_2018[[#This Row],[Split_apply]])) - SUM($O255:U255)</f>
        <v>0</v>
      </c>
      <c r="W255" s="52">
        <f ca="1">Log_2018[[#This Row],[Amount]]/Log_2018[[#This Row],[Split_raw]]*MAX(0,MIN(_xlfn.DAYS(EDATE(W$1,1),Log_2018[[#This Row],[Date]]),Log_2018[[#This Row],[Split_apply]])) - SUM($O255:V255)</f>
        <v>0</v>
      </c>
      <c r="X255" s="52">
        <f ca="1">Log_2018[[#This Row],[Amount]]/Log_2018[[#This Row],[Split_raw]]*MAX(0,MIN(_xlfn.DAYS(EDATE(X$1,1),Log_2018[[#This Row],[Date]]),Log_2018[[#This Row],[Split_apply]])) - SUM($O255:W255)</f>
        <v>-159.50666666666666</v>
      </c>
      <c r="Y255" s="52">
        <f ca="1">Log_2018[[#This Row],[Amount]]/Log_2018[[#This Row],[Split_raw]]*MAX(0,MIN(_xlfn.DAYS(EDATE(Y$1,1),Log_2018[[#This Row],[Date]]),Log_2018[[#This Row],[Split_apply]])) - SUM($O255:X255)</f>
        <v>-79.75333333333333</v>
      </c>
      <c r="Z255" s="52">
        <f ca="1">Log_2018[[#This Row],[Amount]]/Log_2018[[#This Row],[Split_raw]]*MAX(0,MIN(_xlfn.DAYS(EDATE(Z$1,1),Log_2018[[#This Row],[Date]]),Log_2018[[#This Row],[Split_apply]])) - SUM($O255:Y255)</f>
        <v>0</v>
      </c>
      <c r="AA255" s="52">
        <f ca="1">Log_2018[[#This Row],[Amount]]/Log_2018[[#This Row],[Split_raw]]*MAX(0,MIN(_xlfn.DAYS(EDATE(AA$1,1),Log_2018[[#This Row],[Date]]),Log_2018[[#This Row],[Split_apply]])) - SUM($O255:Z255)</f>
        <v>0</v>
      </c>
      <c r="AB255" s="54">
        <f ca="1">Log_2018[[#This Row],[Amount]]-SUM(O255:AA255)</f>
        <v>0</v>
      </c>
      <c r="AC255" s="7">
        <f ca="1">MAX(0,Log_2018[[#This Row],[Split_apply]] - (EDATE(AA$1,1)-Log_2018[[#This Row],[Date]]))</f>
        <v>0</v>
      </c>
    </row>
    <row r="256" spans="1:29" hidden="1" x14ac:dyDescent="0.25">
      <c r="A256" s="115"/>
      <c r="B256" t="s">
        <v>6</v>
      </c>
      <c r="D256" s="26">
        <v>43353</v>
      </c>
      <c r="E256" t="s">
        <v>250</v>
      </c>
      <c r="F256" t="s">
        <v>243</v>
      </c>
      <c r="G256" t="s">
        <v>143</v>
      </c>
      <c r="H256" s="3">
        <v>-10.81</v>
      </c>
      <c r="I256" s="36">
        <f>IF(Log_2018[[#This Row],[My Category]]="NONTRACKED",0,Log_2018[[#This Row],[Raw Amount]])</f>
        <v>-10.81</v>
      </c>
      <c r="J256" s="17">
        <f>ABS(Log_2018[[#This Row],[Amount]])</f>
        <v>10.81</v>
      </c>
      <c r="K256" s="66">
        <v>30</v>
      </c>
      <c r="L256" s="66">
        <f ca="1">IF(Log_2018[[#This Row],[Date]]&lt;=TODAY(), MIN(Log_2018[[#This Row],[Split_raw]], TODAY()-Log_2018[[#This Row],[Date]]+1), 0)</f>
        <v>30</v>
      </c>
      <c r="M256" t="s">
        <v>53</v>
      </c>
      <c r="N256" t="s">
        <v>160</v>
      </c>
      <c r="O256" s="50">
        <v>0</v>
      </c>
      <c r="P256" s="52">
        <f ca="1">Log_2018[[#This Row],[Amount]]/Log_2018[[#This Row],[Split_raw]]*MAX(0,MIN(_xlfn.DAYS(EDATE(P$1,1),Log_2018[[#This Row],[Date]]),Log_2018[[#This Row],[Split_apply]])) - SUM($O256:O256)</f>
        <v>0</v>
      </c>
      <c r="Q256" s="52">
        <f ca="1">Log_2018[[#This Row],[Amount]]/Log_2018[[#This Row],[Split_raw]]*MAX(0,MIN(_xlfn.DAYS(EDATE(Q$1,1),Log_2018[[#This Row],[Date]]),Log_2018[[#This Row],[Split_apply]])) - SUM($O256:P256)</f>
        <v>0</v>
      </c>
      <c r="R256" s="52">
        <f ca="1">Log_2018[[#This Row],[Amount]]/Log_2018[[#This Row],[Split_raw]]*MAX(0,MIN(_xlfn.DAYS(EDATE(R$1,1),Log_2018[[#This Row],[Date]]),Log_2018[[#This Row],[Split_apply]])) - SUM($O256:Q256)</f>
        <v>0</v>
      </c>
      <c r="S256" s="52">
        <f ca="1">Log_2018[[#This Row],[Amount]]/Log_2018[[#This Row],[Split_raw]]*MAX(0,MIN(_xlfn.DAYS(EDATE(S$1,1),Log_2018[[#This Row],[Date]]),Log_2018[[#This Row],[Split_apply]])) - SUM($O256:R256)</f>
        <v>0</v>
      </c>
      <c r="T256" s="52">
        <f ca="1">Log_2018[[#This Row],[Amount]]/Log_2018[[#This Row],[Split_raw]]*MAX(0,MIN(_xlfn.DAYS(EDATE(T$1,1),Log_2018[[#This Row],[Date]]),Log_2018[[#This Row],[Split_apply]])) - SUM($O256:S256)</f>
        <v>0</v>
      </c>
      <c r="U256" s="52">
        <f ca="1">Log_2018[[#This Row],[Amount]]/Log_2018[[#This Row],[Split_raw]]*MAX(0,MIN(_xlfn.DAYS(EDATE(U$1,1),Log_2018[[#This Row],[Date]]),Log_2018[[#This Row],[Split_apply]])) - SUM($O256:T256)</f>
        <v>0</v>
      </c>
      <c r="V256" s="52">
        <f ca="1">Log_2018[[#This Row],[Amount]]/Log_2018[[#This Row],[Split_raw]]*MAX(0,MIN(_xlfn.DAYS(EDATE(V$1,1),Log_2018[[#This Row],[Date]]),Log_2018[[#This Row],[Split_apply]])) - SUM($O256:U256)</f>
        <v>0</v>
      </c>
      <c r="W256" s="52">
        <f ca="1">Log_2018[[#This Row],[Amount]]/Log_2018[[#This Row],[Split_raw]]*MAX(0,MIN(_xlfn.DAYS(EDATE(W$1,1),Log_2018[[#This Row],[Date]]),Log_2018[[#This Row],[Split_apply]])) - SUM($O256:V256)</f>
        <v>0</v>
      </c>
      <c r="X256" s="52">
        <f ca="1">Log_2018[[#This Row],[Amount]]/Log_2018[[#This Row],[Split_raw]]*MAX(0,MIN(_xlfn.DAYS(EDATE(X$1,1),Log_2018[[#This Row],[Date]]),Log_2018[[#This Row],[Split_apply]])) - SUM($O256:W256)</f>
        <v>-7.5670000000000002</v>
      </c>
      <c r="Y256" s="52">
        <f ca="1">Log_2018[[#This Row],[Amount]]/Log_2018[[#This Row],[Split_raw]]*MAX(0,MIN(_xlfn.DAYS(EDATE(Y$1,1),Log_2018[[#This Row],[Date]]),Log_2018[[#This Row],[Split_apply]])) - SUM($O256:X256)</f>
        <v>-3.2430000000000003</v>
      </c>
      <c r="Z256" s="52">
        <f ca="1">Log_2018[[#This Row],[Amount]]/Log_2018[[#This Row],[Split_raw]]*MAX(0,MIN(_xlfn.DAYS(EDATE(Z$1,1),Log_2018[[#This Row],[Date]]),Log_2018[[#This Row],[Split_apply]])) - SUM($O256:Y256)</f>
        <v>0</v>
      </c>
      <c r="AA256" s="52">
        <f ca="1">Log_2018[[#This Row],[Amount]]/Log_2018[[#This Row],[Split_raw]]*MAX(0,MIN(_xlfn.DAYS(EDATE(AA$1,1),Log_2018[[#This Row],[Date]]),Log_2018[[#This Row],[Split_apply]])) - SUM($O256:Z256)</f>
        <v>0</v>
      </c>
      <c r="AB256" s="54">
        <f ca="1">Log_2018[[#This Row],[Amount]]-SUM(O256:AA256)</f>
        <v>0</v>
      </c>
      <c r="AC256" s="7">
        <f ca="1">MAX(0,Log_2018[[#This Row],[Split_apply]] - (EDATE(AA$1,1)-Log_2018[[#This Row],[Date]]))</f>
        <v>0</v>
      </c>
    </row>
    <row r="257" spans="1:29" hidden="1" x14ac:dyDescent="0.25">
      <c r="A257" s="115"/>
      <c r="B257" t="s">
        <v>6</v>
      </c>
      <c r="D257" s="26">
        <v>43353</v>
      </c>
      <c r="F257" t="s">
        <v>358</v>
      </c>
      <c r="G257" t="s">
        <v>27</v>
      </c>
      <c r="H257" s="3">
        <v>-16.899999999999999</v>
      </c>
      <c r="I257" s="36">
        <f>IF(Log_2018[[#This Row],[My Category]]="NONTRACKED",0,Log_2018[[#This Row],[Raw Amount]])</f>
        <v>-16.899999999999999</v>
      </c>
      <c r="J257" s="17">
        <f>ABS(Log_2018[[#This Row],[Amount]])</f>
        <v>16.899999999999999</v>
      </c>
      <c r="K257" s="66">
        <v>1</v>
      </c>
      <c r="L257" s="66">
        <f ca="1">IF(Log_2018[[#This Row],[Date]]&lt;=TODAY(), MIN(Log_2018[[#This Row],[Split_raw]], TODAY()-Log_2018[[#This Row],[Date]]+1), 0)</f>
        <v>1</v>
      </c>
      <c r="M257" t="s">
        <v>40</v>
      </c>
      <c r="N257" t="s">
        <v>160</v>
      </c>
      <c r="O257" s="50">
        <v>0</v>
      </c>
      <c r="P257" s="52">
        <f ca="1">Log_2018[[#This Row],[Amount]]/Log_2018[[#This Row],[Split_raw]]*MAX(0,MIN(_xlfn.DAYS(EDATE(P$1,1),Log_2018[[#This Row],[Date]]),Log_2018[[#This Row],[Split_apply]])) - SUM($O257:O257)</f>
        <v>0</v>
      </c>
      <c r="Q257" s="52">
        <f ca="1">Log_2018[[#This Row],[Amount]]/Log_2018[[#This Row],[Split_raw]]*MAX(0,MIN(_xlfn.DAYS(EDATE(Q$1,1),Log_2018[[#This Row],[Date]]),Log_2018[[#This Row],[Split_apply]])) - SUM($O257:P257)</f>
        <v>0</v>
      </c>
      <c r="R257" s="52">
        <f ca="1">Log_2018[[#This Row],[Amount]]/Log_2018[[#This Row],[Split_raw]]*MAX(0,MIN(_xlfn.DAYS(EDATE(R$1,1),Log_2018[[#This Row],[Date]]),Log_2018[[#This Row],[Split_apply]])) - SUM($O257:Q257)</f>
        <v>0</v>
      </c>
      <c r="S257" s="52">
        <f ca="1">Log_2018[[#This Row],[Amount]]/Log_2018[[#This Row],[Split_raw]]*MAX(0,MIN(_xlfn.DAYS(EDATE(S$1,1),Log_2018[[#This Row],[Date]]),Log_2018[[#This Row],[Split_apply]])) - SUM($O257:R257)</f>
        <v>0</v>
      </c>
      <c r="T257" s="52">
        <f ca="1">Log_2018[[#This Row],[Amount]]/Log_2018[[#This Row],[Split_raw]]*MAX(0,MIN(_xlfn.DAYS(EDATE(T$1,1),Log_2018[[#This Row],[Date]]),Log_2018[[#This Row],[Split_apply]])) - SUM($O257:S257)</f>
        <v>0</v>
      </c>
      <c r="U257" s="52">
        <f ca="1">Log_2018[[#This Row],[Amount]]/Log_2018[[#This Row],[Split_raw]]*MAX(0,MIN(_xlfn.DAYS(EDATE(U$1,1),Log_2018[[#This Row],[Date]]),Log_2018[[#This Row],[Split_apply]])) - SUM($O257:T257)</f>
        <v>0</v>
      </c>
      <c r="V257" s="52">
        <f ca="1">Log_2018[[#This Row],[Amount]]/Log_2018[[#This Row],[Split_raw]]*MAX(0,MIN(_xlfn.DAYS(EDATE(V$1,1),Log_2018[[#This Row],[Date]]),Log_2018[[#This Row],[Split_apply]])) - SUM($O257:U257)</f>
        <v>0</v>
      </c>
      <c r="W257" s="52">
        <f ca="1">Log_2018[[#This Row],[Amount]]/Log_2018[[#This Row],[Split_raw]]*MAX(0,MIN(_xlfn.DAYS(EDATE(W$1,1),Log_2018[[#This Row],[Date]]),Log_2018[[#This Row],[Split_apply]])) - SUM($O257:V257)</f>
        <v>0</v>
      </c>
      <c r="X257" s="52">
        <f ca="1">Log_2018[[#This Row],[Amount]]/Log_2018[[#This Row],[Split_raw]]*MAX(0,MIN(_xlfn.DAYS(EDATE(X$1,1),Log_2018[[#This Row],[Date]]),Log_2018[[#This Row],[Split_apply]])) - SUM($O257:W257)</f>
        <v>-16.899999999999999</v>
      </c>
      <c r="Y257" s="52">
        <f ca="1">Log_2018[[#This Row],[Amount]]/Log_2018[[#This Row],[Split_raw]]*MAX(0,MIN(_xlfn.DAYS(EDATE(Y$1,1),Log_2018[[#This Row],[Date]]),Log_2018[[#This Row],[Split_apply]])) - SUM($O257:X257)</f>
        <v>0</v>
      </c>
      <c r="Z257" s="52">
        <f ca="1">Log_2018[[#This Row],[Amount]]/Log_2018[[#This Row],[Split_raw]]*MAX(0,MIN(_xlfn.DAYS(EDATE(Z$1,1),Log_2018[[#This Row],[Date]]),Log_2018[[#This Row],[Split_apply]])) - SUM($O257:Y257)</f>
        <v>0</v>
      </c>
      <c r="AA257" s="52">
        <f ca="1">Log_2018[[#This Row],[Amount]]/Log_2018[[#This Row],[Split_raw]]*MAX(0,MIN(_xlfn.DAYS(EDATE(AA$1,1),Log_2018[[#This Row],[Date]]),Log_2018[[#This Row],[Split_apply]])) - SUM($O257:Z257)</f>
        <v>0</v>
      </c>
      <c r="AB257" s="54">
        <f ca="1">Log_2018[[#This Row],[Amount]]-SUM(O257:AA257)</f>
        <v>0</v>
      </c>
      <c r="AC257" s="7">
        <f ca="1">MAX(0,Log_2018[[#This Row],[Split_apply]] - (EDATE(AA$1,1)-Log_2018[[#This Row],[Date]]))</f>
        <v>0</v>
      </c>
    </row>
    <row r="258" spans="1:29" hidden="1" x14ac:dyDescent="0.25">
      <c r="A258" s="115"/>
      <c r="B258" t="s">
        <v>6</v>
      </c>
      <c r="D258" s="26">
        <v>43353</v>
      </c>
      <c r="F258" t="s">
        <v>359</v>
      </c>
      <c r="G258" t="s">
        <v>27</v>
      </c>
      <c r="H258" s="3">
        <v>-15.8</v>
      </c>
      <c r="I258" s="36">
        <f>IF(Log_2018[[#This Row],[My Category]]="NONTRACKED",0,Log_2018[[#This Row],[Raw Amount]])</f>
        <v>-15.8</v>
      </c>
      <c r="J258" s="17">
        <f>ABS(Log_2018[[#This Row],[Amount]])</f>
        <v>15.8</v>
      </c>
      <c r="K258" s="66">
        <v>1</v>
      </c>
      <c r="L258" s="66">
        <f ca="1">IF(Log_2018[[#This Row],[Date]]&lt;=TODAY(), MIN(Log_2018[[#This Row],[Split_raw]], TODAY()-Log_2018[[#This Row],[Date]]+1), 0)</f>
        <v>1</v>
      </c>
      <c r="M258" t="s">
        <v>40</v>
      </c>
      <c r="N258" t="s">
        <v>160</v>
      </c>
      <c r="O258" s="50">
        <v>0</v>
      </c>
      <c r="P258" s="52">
        <f ca="1">Log_2018[[#This Row],[Amount]]/Log_2018[[#This Row],[Split_raw]]*MAX(0,MIN(_xlfn.DAYS(EDATE(P$1,1),Log_2018[[#This Row],[Date]]),Log_2018[[#This Row],[Split_apply]])) - SUM($O258:O258)</f>
        <v>0</v>
      </c>
      <c r="Q258" s="52">
        <f ca="1">Log_2018[[#This Row],[Amount]]/Log_2018[[#This Row],[Split_raw]]*MAX(0,MIN(_xlfn.DAYS(EDATE(Q$1,1),Log_2018[[#This Row],[Date]]),Log_2018[[#This Row],[Split_apply]])) - SUM($O258:P258)</f>
        <v>0</v>
      </c>
      <c r="R258" s="52">
        <f ca="1">Log_2018[[#This Row],[Amount]]/Log_2018[[#This Row],[Split_raw]]*MAX(0,MIN(_xlfn.DAYS(EDATE(R$1,1),Log_2018[[#This Row],[Date]]),Log_2018[[#This Row],[Split_apply]])) - SUM($O258:Q258)</f>
        <v>0</v>
      </c>
      <c r="S258" s="52">
        <f ca="1">Log_2018[[#This Row],[Amount]]/Log_2018[[#This Row],[Split_raw]]*MAX(0,MIN(_xlfn.DAYS(EDATE(S$1,1),Log_2018[[#This Row],[Date]]),Log_2018[[#This Row],[Split_apply]])) - SUM($O258:R258)</f>
        <v>0</v>
      </c>
      <c r="T258" s="52">
        <f ca="1">Log_2018[[#This Row],[Amount]]/Log_2018[[#This Row],[Split_raw]]*MAX(0,MIN(_xlfn.DAYS(EDATE(T$1,1),Log_2018[[#This Row],[Date]]),Log_2018[[#This Row],[Split_apply]])) - SUM($O258:S258)</f>
        <v>0</v>
      </c>
      <c r="U258" s="52">
        <f ca="1">Log_2018[[#This Row],[Amount]]/Log_2018[[#This Row],[Split_raw]]*MAX(0,MIN(_xlfn.DAYS(EDATE(U$1,1),Log_2018[[#This Row],[Date]]),Log_2018[[#This Row],[Split_apply]])) - SUM($O258:T258)</f>
        <v>0</v>
      </c>
      <c r="V258" s="52">
        <f ca="1">Log_2018[[#This Row],[Amount]]/Log_2018[[#This Row],[Split_raw]]*MAX(0,MIN(_xlfn.DAYS(EDATE(V$1,1),Log_2018[[#This Row],[Date]]),Log_2018[[#This Row],[Split_apply]])) - SUM($O258:U258)</f>
        <v>0</v>
      </c>
      <c r="W258" s="52">
        <f ca="1">Log_2018[[#This Row],[Amount]]/Log_2018[[#This Row],[Split_raw]]*MAX(0,MIN(_xlfn.DAYS(EDATE(W$1,1),Log_2018[[#This Row],[Date]]),Log_2018[[#This Row],[Split_apply]])) - SUM($O258:V258)</f>
        <v>0</v>
      </c>
      <c r="X258" s="52">
        <f ca="1">Log_2018[[#This Row],[Amount]]/Log_2018[[#This Row],[Split_raw]]*MAX(0,MIN(_xlfn.DAYS(EDATE(X$1,1),Log_2018[[#This Row],[Date]]),Log_2018[[#This Row],[Split_apply]])) - SUM($O258:W258)</f>
        <v>-15.8</v>
      </c>
      <c r="Y258" s="52">
        <f ca="1">Log_2018[[#This Row],[Amount]]/Log_2018[[#This Row],[Split_raw]]*MAX(0,MIN(_xlfn.DAYS(EDATE(Y$1,1),Log_2018[[#This Row],[Date]]),Log_2018[[#This Row],[Split_apply]])) - SUM($O258:X258)</f>
        <v>0</v>
      </c>
      <c r="Z258" s="52">
        <f ca="1">Log_2018[[#This Row],[Amount]]/Log_2018[[#This Row],[Split_raw]]*MAX(0,MIN(_xlfn.DAYS(EDATE(Z$1,1),Log_2018[[#This Row],[Date]]),Log_2018[[#This Row],[Split_apply]])) - SUM($O258:Y258)</f>
        <v>0</v>
      </c>
      <c r="AA258" s="52">
        <f ca="1">Log_2018[[#This Row],[Amount]]/Log_2018[[#This Row],[Split_raw]]*MAX(0,MIN(_xlfn.DAYS(EDATE(AA$1,1),Log_2018[[#This Row],[Date]]),Log_2018[[#This Row],[Split_apply]])) - SUM($O258:Z258)</f>
        <v>0</v>
      </c>
      <c r="AB258" s="54">
        <f ca="1">Log_2018[[#This Row],[Amount]]-SUM(O258:AA258)</f>
        <v>0</v>
      </c>
      <c r="AC258" s="7">
        <f ca="1">MAX(0,Log_2018[[#This Row],[Split_apply]] - (EDATE(AA$1,1)-Log_2018[[#This Row],[Date]]))</f>
        <v>0</v>
      </c>
    </row>
    <row r="259" spans="1:29" hidden="1" x14ac:dyDescent="0.25">
      <c r="A259" s="115"/>
      <c r="B259" t="s">
        <v>6</v>
      </c>
      <c r="D259" s="26">
        <v>43351</v>
      </c>
      <c r="F259" t="s">
        <v>184</v>
      </c>
      <c r="G259" t="s">
        <v>11</v>
      </c>
      <c r="H259" s="3">
        <v>-4.95</v>
      </c>
      <c r="I259" s="36">
        <f>IF(Log_2018[[#This Row],[My Category]]="NONTRACKED",0,Log_2018[[#This Row],[Raw Amount]])</f>
        <v>-4.95</v>
      </c>
      <c r="J259" s="17">
        <f>ABS(Log_2018[[#This Row],[Amount]])</f>
        <v>4.95</v>
      </c>
      <c r="K259" s="66">
        <v>1</v>
      </c>
      <c r="L259" s="66">
        <f ca="1">IF(Log_2018[[#This Row],[Date]]&lt;=TODAY(), MIN(Log_2018[[#This Row],[Split_raw]], TODAY()-Log_2018[[#This Row],[Date]]+1), 0)</f>
        <v>1</v>
      </c>
      <c r="M259" t="s">
        <v>12</v>
      </c>
      <c r="N259" t="s">
        <v>158</v>
      </c>
      <c r="O259" s="50">
        <v>0</v>
      </c>
      <c r="P259" s="52">
        <f ca="1">Log_2018[[#This Row],[Amount]]/Log_2018[[#This Row],[Split_raw]]*MAX(0,MIN(_xlfn.DAYS(EDATE(P$1,1),Log_2018[[#This Row],[Date]]),Log_2018[[#This Row],[Split_apply]])) - SUM($O259:O259)</f>
        <v>0</v>
      </c>
      <c r="Q259" s="52">
        <f ca="1">Log_2018[[#This Row],[Amount]]/Log_2018[[#This Row],[Split_raw]]*MAX(0,MIN(_xlfn.DAYS(EDATE(Q$1,1),Log_2018[[#This Row],[Date]]),Log_2018[[#This Row],[Split_apply]])) - SUM($O259:P259)</f>
        <v>0</v>
      </c>
      <c r="R259" s="52">
        <f ca="1">Log_2018[[#This Row],[Amount]]/Log_2018[[#This Row],[Split_raw]]*MAX(0,MIN(_xlfn.DAYS(EDATE(R$1,1),Log_2018[[#This Row],[Date]]),Log_2018[[#This Row],[Split_apply]])) - SUM($O259:Q259)</f>
        <v>0</v>
      </c>
      <c r="S259" s="52">
        <f ca="1">Log_2018[[#This Row],[Amount]]/Log_2018[[#This Row],[Split_raw]]*MAX(0,MIN(_xlfn.DAYS(EDATE(S$1,1),Log_2018[[#This Row],[Date]]),Log_2018[[#This Row],[Split_apply]])) - SUM($O259:R259)</f>
        <v>0</v>
      </c>
      <c r="T259" s="52">
        <f ca="1">Log_2018[[#This Row],[Amount]]/Log_2018[[#This Row],[Split_raw]]*MAX(0,MIN(_xlfn.DAYS(EDATE(T$1,1),Log_2018[[#This Row],[Date]]),Log_2018[[#This Row],[Split_apply]])) - SUM($O259:S259)</f>
        <v>0</v>
      </c>
      <c r="U259" s="52">
        <f ca="1">Log_2018[[#This Row],[Amount]]/Log_2018[[#This Row],[Split_raw]]*MAX(0,MIN(_xlfn.DAYS(EDATE(U$1,1),Log_2018[[#This Row],[Date]]),Log_2018[[#This Row],[Split_apply]])) - SUM($O259:T259)</f>
        <v>0</v>
      </c>
      <c r="V259" s="52">
        <f ca="1">Log_2018[[#This Row],[Amount]]/Log_2018[[#This Row],[Split_raw]]*MAX(0,MIN(_xlfn.DAYS(EDATE(V$1,1),Log_2018[[#This Row],[Date]]),Log_2018[[#This Row],[Split_apply]])) - SUM($O259:U259)</f>
        <v>0</v>
      </c>
      <c r="W259" s="52">
        <f ca="1">Log_2018[[#This Row],[Amount]]/Log_2018[[#This Row],[Split_raw]]*MAX(0,MIN(_xlfn.DAYS(EDATE(W$1,1),Log_2018[[#This Row],[Date]]),Log_2018[[#This Row],[Split_apply]])) - SUM($O259:V259)</f>
        <v>0</v>
      </c>
      <c r="X259" s="52">
        <f ca="1">Log_2018[[#This Row],[Amount]]/Log_2018[[#This Row],[Split_raw]]*MAX(0,MIN(_xlfn.DAYS(EDATE(X$1,1),Log_2018[[#This Row],[Date]]),Log_2018[[#This Row],[Split_apply]])) - SUM($O259:W259)</f>
        <v>-4.95</v>
      </c>
      <c r="Y259" s="52">
        <f ca="1">Log_2018[[#This Row],[Amount]]/Log_2018[[#This Row],[Split_raw]]*MAX(0,MIN(_xlfn.DAYS(EDATE(Y$1,1),Log_2018[[#This Row],[Date]]),Log_2018[[#This Row],[Split_apply]])) - SUM($O259:X259)</f>
        <v>0</v>
      </c>
      <c r="Z259" s="52">
        <f ca="1">Log_2018[[#This Row],[Amount]]/Log_2018[[#This Row],[Split_raw]]*MAX(0,MIN(_xlfn.DAYS(EDATE(Z$1,1),Log_2018[[#This Row],[Date]]),Log_2018[[#This Row],[Split_apply]])) - SUM($O259:Y259)</f>
        <v>0</v>
      </c>
      <c r="AA259" s="52">
        <f ca="1">Log_2018[[#This Row],[Amount]]/Log_2018[[#This Row],[Split_raw]]*MAX(0,MIN(_xlfn.DAYS(EDATE(AA$1,1),Log_2018[[#This Row],[Date]]),Log_2018[[#This Row],[Split_apply]])) - SUM($O259:Z259)</f>
        <v>0</v>
      </c>
      <c r="AB259" s="54">
        <f ca="1">Log_2018[[#This Row],[Amount]]-SUM(O259:AA259)</f>
        <v>0</v>
      </c>
      <c r="AC259" s="7">
        <f ca="1">MAX(0,Log_2018[[#This Row],[Split_apply]] - (EDATE(AA$1,1)-Log_2018[[#This Row],[Date]]))</f>
        <v>0</v>
      </c>
    </row>
    <row r="260" spans="1:29" hidden="1" x14ac:dyDescent="0.25">
      <c r="A260" s="115"/>
      <c r="B260" t="s">
        <v>6</v>
      </c>
      <c r="D260" s="26">
        <v>43350</v>
      </c>
      <c r="F260" t="s">
        <v>346</v>
      </c>
      <c r="G260" t="s">
        <v>9</v>
      </c>
      <c r="H260" s="3">
        <v>-29.99</v>
      </c>
      <c r="I260" s="36">
        <f>IF(Log_2018[[#This Row],[My Category]]="NONTRACKED",0,Log_2018[[#This Row],[Raw Amount]])</f>
        <v>-29.99</v>
      </c>
      <c r="J260" s="17">
        <f>ABS(Log_2018[[#This Row],[Amount]])</f>
        <v>29.99</v>
      </c>
      <c r="K260" s="66">
        <v>1</v>
      </c>
      <c r="L260" s="66">
        <f ca="1">IF(Log_2018[[#This Row],[Date]]&lt;=TODAY(), MIN(Log_2018[[#This Row],[Split_raw]], TODAY()-Log_2018[[#This Row],[Date]]+1), 0)</f>
        <v>1</v>
      </c>
      <c r="M260" t="s">
        <v>39</v>
      </c>
      <c r="N260" t="s">
        <v>158</v>
      </c>
      <c r="O260" s="50">
        <v>0</v>
      </c>
      <c r="P260" s="52">
        <f ca="1">Log_2018[[#This Row],[Amount]]/Log_2018[[#This Row],[Split_raw]]*MAX(0,MIN(_xlfn.DAYS(EDATE(P$1,1),Log_2018[[#This Row],[Date]]),Log_2018[[#This Row],[Split_apply]])) - SUM($O260:O260)</f>
        <v>0</v>
      </c>
      <c r="Q260" s="52">
        <f ca="1">Log_2018[[#This Row],[Amount]]/Log_2018[[#This Row],[Split_raw]]*MAX(0,MIN(_xlfn.DAYS(EDATE(Q$1,1),Log_2018[[#This Row],[Date]]),Log_2018[[#This Row],[Split_apply]])) - SUM($O260:P260)</f>
        <v>0</v>
      </c>
      <c r="R260" s="52">
        <f ca="1">Log_2018[[#This Row],[Amount]]/Log_2018[[#This Row],[Split_raw]]*MAX(0,MIN(_xlfn.DAYS(EDATE(R$1,1),Log_2018[[#This Row],[Date]]),Log_2018[[#This Row],[Split_apply]])) - SUM($O260:Q260)</f>
        <v>0</v>
      </c>
      <c r="S260" s="52">
        <f ca="1">Log_2018[[#This Row],[Amount]]/Log_2018[[#This Row],[Split_raw]]*MAX(0,MIN(_xlfn.DAYS(EDATE(S$1,1),Log_2018[[#This Row],[Date]]),Log_2018[[#This Row],[Split_apply]])) - SUM($O260:R260)</f>
        <v>0</v>
      </c>
      <c r="T260" s="52">
        <f ca="1">Log_2018[[#This Row],[Amount]]/Log_2018[[#This Row],[Split_raw]]*MAX(0,MIN(_xlfn.DAYS(EDATE(T$1,1),Log_2018[[#This Row],[Date]]),Log_2018[[#This Row],[Split_apply]])) - SUM($O260:S260)</f>
        <v>0</v>
      </c>
      <c r="U260" s="52">
        <f ca="1">Log_2018[[#This Row],[Amount]]/Log_2018[[#This Row],[Split_raw]]*MAX(0,MIN(_xlfn.DAYS(EDATE(U$1,1),Log_2018[[#This Row],[Date]]),Log_2018[[#This Row],[Split_apply]])) - SUM($O260:T260)</f>
        <v>0</v>
      </c>
      <c r="V260" s="52">
        <f ca="1">Log_2018[[#This Row],[Amount]]/Log_2018[[#This Row],[Split_raw]]*MAX(0,MIN(_xlfn.DAYS(EDATE(V$1,1),Log_2018[[#This Row],[Date]]),Log_2018[[#This Row],[Split_apply]])) - SUM($O260:U260)</f>
        <v>0</v>
      </c>
      <c r="W260" s="52">
        <f ca="1">Log_2018[[#This Row],[Amount]]/Log_2018[[#This Row],[Split_raw]]*MAX(0,MIN(_xlfn.DAYS(EDATE(W$1,1),Log_2018[[#This Row],[Date]]),Log_2018[[#This Row],[Split_apply]])) - SUM($O260:V260)</f>
        <v>0</v>
      </c>
      <c r="X260" s="52">
        <f ca="1">Log_2018[[#This Row],[Amount]]/Log_2018[[#This Row],[Split_raw]]*MAX(0,MIN(_xlfn.DAYS(EDATE(X$1,1),Log_2018[[#This Row],[Date]]),Log_2018[[#This Row],[Split_apply]])) - SUM($O260:W260)</f>
        <v>-29.99</v>
      </c>
      <c r="Y260" s="52">
        <f ca="1">Log_2018[[#This Row],[Amount]]/Log_2018[[#This Row],[Split_raw]]*MAX(0,MIN(_xlfn.DAYS(EDATE(Y$1,1),Log_2018[[#This Row],[Date]]),Log_2018[[#This Row],[Split_apply]])) - SUM($O260:X260)</f>
        <v>0</v>
      </c>
      <c r="Z260" s="52">
        <f ca="1">Log_2018[[#This Row],[Amount]]/Log_2018[[#This Row],[Split_raw]]*MAX(0,MIN(_xlfn.DAYS(EDATE(Z$1,1),Log_2018[[#This Row],[Date]]),Log_2018[[#This Row],[Split_apply]])) - SUM($O260:Y260)</f>
        <v>0</v>
      </c>
      <c r="AA260" s="52">
        <f ca="1">Log_2018[[#This Row],[Amount]]/Log_2018[[#This Row],[Split_raw]]*MAX(0,MIN(_xlfn.DAYS(EDATE(AA$1,1),Log_2018[[#This Row],[Date]]),Log_2018[[#This Row],[Split_apply]])) - SUM($O260:Z260)</f>
        <v>0</v>
      </c>
      <c r="AB260" s="54">
        <f ca="1">Log_2018[[#This Row],[Amount]]-SUM(O260:AA260)</f>
        <v>0</v>
      </c>
      <c r="AC260" s="7">
        <f ca="1">MAX(0,Log_2018[[#This Row],[Split_apply]] - (EDATE(AA$1,1)-Log_2018[[#This Row],[Date]]))</f>
        <v>0</v>
      </c>
    </row>
    <row r="261" spans="1:29" hidden="1" x14ac:dyDescent="0.25">
      <c r="A261" s="115"/>
      <c r="B261" t="s">
        <v>6</v>
      </c>
      <c r="D261" s="26">
        <v>43350</v>
      </c>
      <c r="F261" t="s">
        <v>188</v>
      </c>
      <c r="G261" t="s">
        <v>189</v>
      </c>
      <c r="H261" s="3">
        <v>-82.17</v>
      </c>
      <c r="I261" s="36">
        <f>IF(Log_2018[[#This Row],[My Category]]="NONTRACKED",0,Log_2018[[#This Row],[Raw Amount]])</f>
        <v>-82.17</v>
      </c>
      <c r="J261" s="17">
        <f>ABS(Log_2018[[#This Row],[Amount]])</f>
        <v>82.17</v>
      </c>
      <c r="K261" s="66">
        <v>30</v>
      </c>
      <c r="L261" s="66">
        <f ca="1">IF(Log_2018[[#This Row],[Date]]&lt;=TODAY(), MIN(Log_2018[[#This Row],[Split_raw]], TODAY()-Log_2018[[#This Row],[Date]]+1), 0)</f>
        <v>30</v>
      </c>
      <c r="M261" t="s">
        <v>30</v>
      </c>
      <c r="N261" t="s">
        <v>158</v>
      </c>
      <c r="O261" s="50">
        <v>0</v>
      </c>
      <c r="P261" s="52">
        <f ca="1">Log_2018[[#This Row],[Amount]]/Log_2018[[#This Row],[Split_raw]]*MAX(0,MIN(_xlfn.DAYS(EDATE(P$1,1),Log_2018[[#This Row],[Date]]),Log_2018[[#This Row],[Split_apply]])) - SUM($O261:O261)</f>
        <v>0</v>
      </c>
      <c r="Q261" s="52">
        <f ca="1">Log_2018[[#This Row],[Amount]]/Log_2018[[#This Row],[Split_raw]]*MAX(0,MIN(_xlfn.DAYS(EDATE(Q$1,1),Log_2018[[#This Row],[Date]]),Log_2018[[#This Row],[Split_apply]])) - SUM($O261:P261)</f>
        <v>0</v>
      </c>
      <c r="R261" s="52">
        <f ca="1">Log_2018[[#This Row],[Amount]]/Log_2018[[#This Row],[Split_raw]]*MAX(0,MIN(_xlfn.DAYS(EDATE(R$1,1),Log_2018[[#This Row],[Date]]),Log_2018[[#This Row],[Split_apply]])) - SUM($O261:Q261)</f>
        <v>0</v>
      </c>
      <c r="S261" s="52">
        <f ca="1">Log_2018[[#This Row],[Amount]]/Log_2018[[#This Row],[Split_raw]]*MAX(0,MIN(_xlfn.DAYS(EDATE(S$1,1),Log_2018[[#This Row],[Date]]),Log_2018[[#This Row],[Split_apply]])) - SUM($O261:R261)</f>
        <v>0</v>
      </c>
      <c r="T261" s="52">
        <f ca="1">Log_2018[[#This Row],[Amount]]/Log_2018[[#This Row],[Split_raw]]*MAX(0,MIN(_xlfn.DAYS(EDATE(T$1,1),Log_2018[[#This Row],[Date]]),Log_2018[[#This Row],[Split_apply]])) - SUM($O261:S261)</f>
        <v>0</v>
      </c>
      <c r="U261" s="52">
        <f ca="1">Log_2018[[#This Row],[Amount]]/Log_2018[[#This Row],[Split_raw]]*MAX(0,MIN(_xlfn.DAYS(EDATE(U$1,1),Log_2018[[#This Row],[Date]]),Log_2018[[#This Row],[Split_apply]])) - SUM($O261:T261)</f>
        <v>0</v>
      </c>
      <c r="V261" s="52">
        <f ca="1">Log_2018[[#This Row],[Amount]]/Log_2018[[#This Row],[Split_raw]]*MAX(0,MIN(_xlfn.DAYS(EDATE(V$1,1),Log_2018[[#This Row],[Date]]),Log_2018[[#This Row],[Split_apply]])) - SUM($O261:U261)</f>
        <v>0</v>
      </c>
      <c r="W261" s="52">
        <f ca="1">Log_2018[[#This Row],[Amount]]/Log_2018[[#This Row],[Split_raw]]*MAX(0,MIN(_xlfn.DAYS(EDATE(W$1,1),Log_2018[[#This Row],[Date]]),Log_2018[[#This Row],[Split_apply]])) - SUM($O261:V261)</f>
        <v>0</v>
      </c>
      <c r="X261" s="52">
        <f ca="1">Log_2018[[#This Row],[Amount]]/Log_2018[[#This Row],[Split_raw]]*MAX(0,MIN(_xlfn.DAYS(EDATE(X$1,1),Log_2018[[#This Row],[Date]]),Log_2018[[#This Row],[Split_apply]])) - SUM($O261:W261)</f>
        <v>-65.73599999999999</v>
      </c>
      <c r="Y261" s="52">
        <f ca="1">Log_2018[[#This Row],[Amount]]/Log_2018[[#This Row],[Split_raw]]*MAX(0,MIN(_xlfn.DAYS(EDATE(Y$1,1),Log_2018[[#This Row],[Date]]),Log_2018[[#This Row],[Split_apply]])) - SUM($O261:X261)</f>
        <v>-16.434000000000012</v>
      </c>
      <c r="Z261" s="52">
        <f ca="1">Log_2018[[#This Row],[Amount]]/Log_2018[[#This Row],[Split_raw]]*MAX(0,MIN(_xlfn.DAYS(EDATE(Z$1,1),Log_2018[[#This Row],[Date]]),Log_2018[[#This Row],[Split_apply]])) - SUM($O261:Y261)</f>
        <v>0</v>
      </c>
      <c r="AA261" s="52">
        <f ca="1">Log_2018[[#This Row],[Amount]]/Log_2018[[#This Row],[Split_raw]]*MAX(0,MIN(_xlfn.DAYS(EDATE(AA$1,1),Log_2018[[#This Row],[Date]]),Log_2018[[#This Row],[Split_apply]])) - SUM($O261:Z261)</f>
        <v>0</v>
      </c>
      <c r="AB261" s="54">
        <f ca="1">Log_2018[[#This Row],[Amount]]-SUM(O261:AA261)</f>
        <v>0</v>
      </c>
      <c r="AC261" s="7">
        <f ca="1">MAX(0,Log_2018[[#This Row],[Split_apply]] - (EDATE(AA$1,1)-Log_2018[[#This Row],[Date]]))</f>
        <v>0</v>
      </c>
    </row>
    <row r="262" spans="1:29" hidden="1" x14ac:dyDescent="0.25">
      <c r="A262" s="115"/>
      <c r="B262" t="s">
        <v>6</v>
      </c>
      <c r="D262" s="26">
        <v>43350</v>
      </c>
      <c r="F262" t="s">
        <v>347</v>
      </c>
      <c r="G262" t="s">
        <v>25</v>
      </c>
      <c r="H262" s="3">
        <v>-38.369999999999997</v>
      </c>
      <c r="I262" s="36">
        <f>IF(Log_2018[[#This Row],[My Category]]="NONTRACKED",0,Log_2018[[#This Row],[Raw Amount]])</f>
        <v>-38.369999999999997</v>
      </c>
      <c r="J262" s="17">
        <f>ABS(Log_2018[[#This Row],[Amount]])</f>
        <v>38.369999999999997</v>
      </c>
      <c r="K262" s="66">
        <v>1</v>
      </c>
      <c r="L262" s="66">
        <f ca="1">IF(Log_2018[[#This Row],[Date]]&lt;=TODAY(), MIN(Log_2018[[#This Row],[Split_raw]], TODAY()-Log_2018[[#This Row],[Date]]+1), 0)</f>
        <v>1</v>
      </c>
      <c r="M262" t="s">
        <v>35</v>
      </c>
      <c r="N262" t="s">
        <v>158</v>
      </c>
      <c r="O262" s="50">
        <v>0</v>
      </c>
      <c r="P262" s="52">
        <f ca="1">Log_2018[[#This Row],[Amount]]/Log_2018[[#This Row],[Split_raw]]*MAX(0,MIN(_xlfn.DAYS(EDATE(P$1,1),Log_2018[[#This Row],[Date]]),Log_2018[[#This Row],[Split_apply]])) - SUM($O262:O262)</f>
        <v>0</v>
      </c>
      <c r="Q262" s="52">
        <f ca="1">Log_2018[[#This Row],[Amount]]/Log_2018[[#This Row],[Split_raw]]*MAX(0,MIN(_xlfn.DAYS(EDATE(Q$1,1),Log_2018[[#This Row],[Date]]),Log_2018[[#This Row],[Split_apply]])) - SUM($O262:P262)</f>
        <v>0</v>
      </c>
      <c r="R262" s="52">
        <f ca="1">Log_2018[[#This Row],[Amount]]/Log_2018[[#This Row],[Split_raw]]*MAX(0,MIN(_xlfn.DAYS(EDATE(R$1,1),Log_2018[[#This Row],[Date]]),Log_2018[[#This Row],[Split_apply]])) - SUM($O262:Q262)</f>
        <v>0</v>
      </c>
      <c r="S262" s="52">
        <f ca="1">Log_2018[[#This Row],[Amount]]/Log_2018[[#This Row],[Split_raw]]*MAX(0,MIN(_xlfn.DAYS(EDATE(S$1,1),Log_2018[[#This Row],[Date]]),Log_2018[[#This Row],[Split_apply]])) - SUM($O262:R262)</f>
        <v>0</v>
      </c>
      <c r="T262" s="52">
        <f ca="1">Log_2018[[#This Row],[Amount]]/Log_2018[[#This Row],[Split_raw]]*MAX(0,MIN(_xlfn.DAYS(EDATE(T$1,1),Log_2018[[#This Row],[Date]]),Log_2018[[#This Row],[Split_apply]])) - SUM($O262:S262)</f>
        <v>0</v>
      </c>
      <c r="U262" s="52">
        <f ca="1">Log_2018[[#This Row],[Amount]]/Log_2018[[#This Row],[Split_raw]]*MAX(0,MIN(_xlfn.DAYS(EDATE(U$1,1),Log_2018[[#This Row],[Date]]),Log_2018[[#This Row],[Split_apply]])) - SUM($O262:T262)</f>
        <v>0</v>
      </c>
      <c r="V262" s="52">
        <f ca="1">Log_2018[[#This Row],[Amount]]/Log_2018[[#This Row],[Split_raw]]*MAX(0,MIN(_xlfn.DAYS(EDATE(V$1,1),Log_2018[[#This Row],[Date]]),Log_2018[[#This Row],[Split_apply]])) - SUM($O262:U262)</f>
        <v>0</v>
      </c>
      <c r="W262" s="52">
        <f ca="1">Log_2018[[#This Row],[Amount]]/Log_2018[[#This Row],[Split_raw]]*MAX(0,MIN(_xlfn.DAYS(EDATE(W$1,1),Log_2018[[#This Row],[Date]]),Log_2018[[#This Row],[Split_apply]])) - SUM($O262:V262)</f>
        <v>0</v>
      </c>
      <c r="X262" s="52">
        <f ca="1">Log_2018[[#This Row],[Amount]]/Log_2018[[#This Row],[Split_raw]]*MAX(0,MIN(_xlfn.DAYS(EDATE(X$1,1),Log_2018[[#This Row],[Date]]),Log_2018[[#This Row],[Split_apply]])) - SUM($O262:W262)</f>
        <v>-38.369999999999997</v>
      </c>
      <c r="Y262" s="52">
        <f ca="1">Log_2018[[#This Row],[Amount]]/Log_2018[[#This Row],[Split_raw]]*MAX(0,MIN(_xlfn.DAYS(EDATE(Y$1,1),Log_2018[[#This Row],[Date]]),Log_2018[[#This Row],[Split_apply]])) - SUM($O262:X262)</f>
        <v>0</v>
      </c>
      <c r="Z262" s="52">
        <f ca="1">Log_2018[[#This Row],[Amount]]/Log_2018[[#This Row],[Split_raw]]*MAX(0,MIN(_xlfn.DAYS(EDATE(Z$1,1),Log_2018[[#This Row],[Date]]),Log_2018[[#This Row],[Split_apply]])) - SUM($O262:Y262)</f>
        <v>0</v>
      </c>
      <c r="AA262" s="52">
        <f ca="1">Log_2018[[#This Row],[Amount]]/Log_2018[[#This Row],[Split_raw]]*MAX(0,MIN(_xlfn.DAYS(EDATE(AA$1,1),Log_2018[[#This Row],[Date]]),Log_2018[[#This Row],[Split_apply]])) - SUM($O262:Z262)</f>
        <v>0</v>
      </c>
      <c r="AB262" s="54">
        <f ca="1">Log_2018[[#This Row],[Amount]]-SUM(O262:AA262)</f>
        <v>0</v>
      </c>
      <c r="AC262" s="7">
        <f ca="1">MAX(0,Log_2018[[#This Row],[Split_apply]] - (EDATE(AA$1,1)-Log_2018[[#This Row],[Date]]))</f>
        <v>0</v>
      </c>
    </row>
    <row r="263" spans="1:29" hidden="1" x14ac:dyDescent="0.25">
      <c r="A263" s="115"/>
      <c r="B263" t="s">
        <v>6</v>
      </c>
      <c r="D263" s="26">
        <v>43350</v>
      </c>
      <c r="F263" t="s">
        <v>360</v>
      </c>
      <c r="G263" t="s">
        <v>27</v>
      </c>
      <c r="H263" s="3">
        <v>-9.52</v>
      </c>
      <c r="I263" s="36">
        <f>IF(Log_2018[[#This Row],[My Category]]="NONTRACKED",0,Log_2018[[#This Row],[Raw Amount]])</f>
        <v>-9.52</v>
      </c>
      <c r="J263" s="17">
        <f>ABS(Log_2018[[#This Row],[Amount]])</f>
        <v>9.52</v>
      </c>
      <c r="K263" s="66">
        <v>1</v>
      </c>
      <c r="L263" s="66">
        <f ca="1">IF(Log_2018[[#This Row],[Date]]&lt;=TODAY(), MIN(Log_2018[[#This Row],[Split_raw]], TODAY()-Log_2018[[#This Row],[Date]]+1), 0)</f>
        <v>1</v>
      </c>
      <c r="M263" t="s">
        <v>40</v>
      </c>
      <c r="N263" t="s">
        <v>160</v>
      </c>
      <c r="O263" s="50">
        <v>0</v>
      </c>
      <c r="P263" s="52">
        <f ca="1">Log_2018[[#This Row],[Amount]]/Log_2018[[#This Row],[Split_raw]]*MAX(0,MIN(_xlfn.DAYS(EDATE(P$1,1),Log_2018[[#This Row],[Date]]),Log_2018[[#This Row],[Split_apply]])) - SUM($O263:O263)</f>
        <v>0</v>
      </c>
      <c r="Q263" s="52">
        <f ca="1">Log_2018[[#This Row],[Amount]]/Log_2018[[#This Row],[Split_raw]]*MAX(0,MIN(_xlfn.DAYS(EDATE(Q$1,1),Log_2018[[#This Row],[Date]]),Log_2018[[#This Row],[Split_apply]])) - SUM($O263:P263)</f>
        <v>0</v>
      </c>
      <c r="R263" s="52">
        <f ca="1">Log_2018[[#This Row],[Amount]]/Log_2018[[#This Row],[Split_raw]]*MAX(0,MIN(_xlfn.DAYS(EDATE(R$1,1),Log_2018[[#This Row],[Date]]),Log_2018[[#This Row],[Split_apply]])) - SUM($O263:Q263)</f>
        <v>0</v>
      </c>
      <c r="S263" s="52">
        <f ca="1">Log_2018[[#This Row],[Amount]]/Log_2018[[#This Row],[Split_raw]]*MAX(0,MIN(_xlfn.DAYS(EDATE(S$1,1),Log_2018[[#This Row],[Date]]),Log_2018[[#This Row],[Split_apply]])) - SUM($O263:R263)</f>
        <v>0</v>
      </c>
      <c r="T263" s="52">
        <f ca="1">Log_2018[[#This Row],[Amount]]/Log_2018[[#This Row],[Split_raw]]*MAX(0,MIN(_xlfn.DAYS(EDATE(T$1,1),Log_2018[[#This Row],[Date]]),Log_2018[[#This Row],[Split_apply]])) - SUM($O263:S263)</f>
        <v>0</v>
      </c>
      <c r="U263" s="52">
        <f ca="1">Log_2018[[#This Row],[Amount]]/Log_2018[[#This Row],[Split_raw]]*MAX(0,MIN(_xlfn.DAYS(EDATE(U$1,1),Log_2018[[#This Row],[Date]]),Log_2018[[#This Row],[Split_apply]])) - SUM($O263:T263)</f>
        <v>0</v>
      </c>
      <c r="V263" s="52">
        <f ca="1">Log_2018[[#This Row],[Amount]]/Log_2018[[#This Row],[Split_raw]]*MAX(0,MIN(_xlfn.DAYS(EDATE(V$1,1),Log_2018[[#This Row],[Date]]),Log_2018[[#This Row],[Split_apply]])) - SUM($O263:U263)</f>
        <v>0</v>
      </c>
      <c r="W263" s="52">
        <f ca="1">Log_2018[[#This Row],[Amount]]/Log_2018[[#This Row],[Split_raw]]*MAX(0,MIN(_xlfn.DAYS(EDATE(W$1,1),Log_2018[[#This Row],[Date]]),Log_2018[[#This Row],[Split_apply]])) - SUM($O263:V263)</f>
        <v>0</v>
      </c>
      <c r="X263" s="52">
        <f ca="1">Log_2018[[#This Row],[Amount]]/Log_2018[[#This Row],[Split_raw]]*MAX(0,MIN(_xlfn.DAYS(EDATE(X$1,1),Log_2018[[#This Row],[Date]]),Log_2018[[#This Row],[Split_apply]])) - SUM($O263:W263)</f>
        <v>-9.52</v>
      </c>
      <c r="Y263" s="52">
        <f ca="1">Log_2018[[#This Row],[Amount]]/Log_2018[[#This Row],[Split_raw]]*MAX(0,MIN(_xlfn.DAYS(EDATE(Y$1,1),Log_2018[[#This Row],[Date]]),Log_2018[[#This Row],[Split_apply]])) - SUM($O263:X263)</f>
        <v>0</v>
      </c>
      <c r="Z263" s="52">
        <f ca="1">Log_2018[[#This Row],[Amount]]/Log_2018[[#This Row],[Split_raw]]*MAX(0,MIN(_xlfn.DAYS(EDATE(Z$1,1),Log_2018[[#This Row],[Date]]),Log_2018[[#This Row],[Split_apply]])) - SUM($O263:Y263)</f>
        <v>0</v>
      </c>
      <c r="AA263" s="52">
        <f ca="1">Log_2018[[#This Row],[Amount]]/Log_2018[[#This Row],[Split_raw]]*MAX(0,MIN(_xlfn.DAYS(EDATE(AA$1,1),Log_2018[[#This Row],[Date]]),Log_2018[[#This Row],[Split_apply]])) - SUM($O263:Z263)</f>
        <v>0</v>
      </c>
      <c r="AB263" s="54">
        <f ca="1">Log_2018[[#This Row],[Amount]]-SUM(O263:AA263)</f>
        <v>0</v>
      </c>
      <c r="AC263" s="7">
        <f ca="1">MAX(0,Log_2018[[#This Row],[Split_apply]] - (EDATE(AA$1,1)-Log_2018[[#This Row],[Date]]))</f>
        <v>0</v>
      </c>
    </row>
    <row r="264" spans="1:29" hidden="1" x14ac:dyDescent="0.25">
      <c r="A264" s="115"/>
      <c r="B264" t="s">
        <v>6</v>
      </c>
      <c r="D264" s="26">
        <v>43350</v>
      </c>
      <c r="F264" t="s">
        <v>361</v>
      </c>
      <c r="G264" t="s">
        <v>27</v>
      </c>
      <c r="H264" s="3">
        <v>-8.69</v>
      </c>
      <c r="I264" s="36">
        <f>IF(Log_2018[[#This Row],[My Category]]="NONTRACKED",0,Log_2018[[#This Row],[Raw Amount]])</f>
        <v>-8.69</v>
      </c>
      <c r="J264" s="17">
        <f>ABS(Log_2018[[#This Row],[Amount]])</f>
        <v>8.69</v>
      </c>
      <c r="K264" s="66">
        <v>1</v>
      </c>
      <c r="L264" s="66">
        <f ca="1">IF(Log_2018[[#This Row],[Date]]&lt;=TODAY(), MIN(Log_2018[[#This Row],[Split_raw]], TODAY()-Log_2018[[#This Row],[Date]]+1), 0)</f>
        <v>1</v>
      </c>
      <c r="M264" t="s">
        <v>40</v>
      </c>
      <c r="N264" t="s">
        <v>160</v>
      </c>
      <c r="O264" s="50">
        <v>0</v>
      </c>
      <c r="P264" s="52">
        <f ca="1">Log_2018[[#This Row],[Amount]]/Log_2018[[#This Row],[Split_raw]]*MAX(0,MIN(_xlfn.DAYS(EDATE(P$1,1),Log_2018[[#This Row],[Date]]),Log_2018[[#This Row],[Split_apply]])) - SUM($O264:O264)</f>
        <v>0</v>
      </c>
      <c r="Q264" s="52">
        <f ca="1">Log_2018[[#This Row],[Amount]]/Log_2018[[#This Row],[Split_raw]]*MAX(0,MIN(_xlfn.DAYS(EDATE(Q$1,1),Log_2018[[#This Row],[Date]]),Log_2018[[#This Row],[Split_apply]])) - SUM($O264:P264)</f>
        <v>0</v>
      </c>
      <c r="R264" s="52">
        <f ca="1">Log_2018[[#This Row],[Amount]]/Log_2018[[#This Row],[Split_raw]]*MAX(0,MIN(_xlfn.DAYS(EDATE(R$1,1),Log_2018[[#This Row],[Date]]),Log_2018[[#This Row],[Split_apply]])) - SUM($O264:Q264)</f>
        <v>0</v>
      </c>
      <c r="S264" s="52">
        <f ca="1">Log_2018[[#This Row],[Amount]]/Log_2018[[#This Row],[Split_raw]]*MAX(0,MIN(_xlfn.DAYS(EDATE(S$1,1),Log_2018[[#This Row],[Date]]),Log_2018[[#This Row],[Split_apply]])) - SUM($O264:R264)</f>
        <v>0</v>
      </c>
      <c r="T264" s="52">
        <f ca="1">Log_2018[[#This Row],[Amount]]/Log_2018[[#This Row],[Split_raw]]*MAX(0,MIN(_xlfn.DAYS(EDATE(T$1,1),Log_2018[[#This Row],[Date]]),Log_2018[[#This Row],[Split_apply]])) - SUM($O264:S264)</f>
        <v>0</v>
      </c>
      <c r="U264" s="52">
        <f ca="1">Log_2018[[#This Row],[Amount]]/Log_2018[[#This Row],[Split_raw]]*MAX(0,MIN(_xlfn.DAYS(EDATE(U$1,1),Log_2018[[#This Row],[Date]]),Log_2018[[#This Row],[Split_apply]])) - SUM($O264:T264)</f>
        <v>0</v>
      </c>
      <c r="V264" s="52">
        <f ca="1">Log_2018[[#This Row],[Amount]]/Log_2018[[#This Row],[Split_raw]]*MAX(0,MIN(_xlfn.DAYS(EDATE(V$1,1),Log_2018[[#This Row],[Date]]),Log_2018[[#This Row],[Split_apply]])) - SUM($O264:U264)</f>
        <v>0</v>
      </c>
      <c r="W264" s="52">
        <f ca="1">Log_2018[[#This Row],[Amount]]/Log_2018[[#This Row],[Split_raw]]*MAX(0,MIN(_xlfn.DAYS(EDATE(W$1,1),Log_2018[[#This Row],[Date]]),Log_2018[[#This Row],[Split_apply]])) - SUM($O264:V264)</f>
        <v>0</v>
      </c>
      <c r="X264" s="52">
        <f ca="1">Log_2018[[#This Row],[Amount]]/Log_2018[[#This Row],[Split_raw]]*MAX(0,MIN(_xlfn.DAYS(EDATE(X$1,1),Log_2018[[#This Row],[Date]]),Log_2018[[#This Row],[Split_apply]])) - SUM($O264:W264)</f>
        <v>-8.69</v>
      </c>
      <c r="Y264" s="52">
        <f ca="1">Log_2018[[#This Row],[Amount]]/Log_2018[[#This Row],[Split_raw]]*MAX(0,MIN(_xlfn.DAYS(EDATE(Y$1,1),Log_2018[[#This Row],[Date]]),Log_2018[[#This Row],[Split_apply]])) - SUM($O264:X264)</f>
        <v>0</v>
      </c>
      <c r="Z264" s="52">
        <f ca="1">Log_2018[[#This Row],[Amount]]/Log_2018[[#This Row],[Split_raw]]*MAX(0,MIN(_xlfn.DAYS(EDATE(Z$1,1),Log_2018[[#This Row],[Date]]),Log_2018[[#This Row],[Split_apply]])) - SUM($O264:Y264)</f>
        <v>0</v>
      </c>
      <c r="AA264" s="52">
        <f ca="1">Log_2018[[#This Row],[Amount]]/Log_2018[[#This Row],[Split_raw]]*MAX(0,MIN(_xlfn.DAYS(EDATE(AA$1,1),Log_2018[[#This Row],[Date]]),Log_2018[[#This Row],[Split_apply]])) - SUM($O264:Z264)</f>
        <v>0</v>
      </c>
      <c r="AB264" s="54">
        <f ca="1">Log_2018[[#This Row],[Amount]]-SUM(O264:AA264)</f>
        <v>0</v>
      </c>
      <c r="AC264" s="7">
        <f ca="1">MAX(0,Log_2018[[#This Row],[Split_apply]] - (EDATE(AA$1,1)-Log_2018[[#This Row],[Date]]))</f>
        <v>0</v>
      </c>
    </row>
    <row r="265" spans="1:29" hidden="1" x14ac:dyDescent="0.25">
      <c r="A265" s="115"/>
      <c r="B265" t="s">
        <v>6</v>
      </c>
      <c r="D265" s="26">
        <v>43349</v>
      </c>
      <c r="F265" t="s">
        <v>270</v>
      </c>
      <c r="G265" t="s">
        <v>25</v>
      </c>
      <c r="H265" s="3">
        <v>-9.77</v>
      </c>
      <c r="I265" s="36">
        <f>IF(Log_2018[[#This Row],[My Category]]="NONTRACKED",0,Log_2018[[#This Row],[Raw Amount]])</f>
        <v>-9.77</v>
      </c>
      <c r="J265" s="17">
        <f>ABS(Log_2018[[#This Row],[Amount]])</f>
        <v>9.77</v>
      </c>
      <c r="K265" s="66">
        <v>1</v>
      </c>
      <c r="L265" s="66">
        <f ca="1">IF(Log_2018[[#This Row],[Date]]&lt;=TODAY(), MIN(Log_2018[[#This Row],[Split_raw]], TODAY()-Log_2018[[#This Row],[Date]]+1), 0)</f>
        <v>1</v>
      </c>
      <c r="M265" t="s">
        <v>35</v>
      </c>
      <c r="N265" t="s">
        <v>158</v>
      </c>
      <c r="O265" s="50">
        <v>0</v>
      </c>
      <c r="P265" s="52">
        <f ca="1">Log_2018[[#This Row],[Amount]]/Log_2018[[#This Row],[Split_raw]]*MAX(0,MIN(_xlfn.DAYS(EDATE(P$1,1),Log_2018[[#This Row],[Date]]),Log_2018[[#This Row],[Split_apply]])) - SUM($O265:O265)</f>
        <v>0</v>
      </c>
      <c r="Q265" s="52">
        <f ca="1">Log_2018[[#This Row],[Amount]]/Log_2018[[#This Row],[Split_raw]]*MAX(0,MIN(_xlfn.DAYS(EDATE(Q$1,1),Log_2018[[#This Row],[Date]]),Log_2018[[#This Row],[Split_apply]])) - SUM($O265:P265)</f>
        <v>0</v>
      </c>
      <c r="R265" s="52">
        <f ca="1">Log_2018[[#This Row],[Amount]]/Log_2018[[#This Row],[Split_raw]]*MAX(0,MIN(_xlfn.DAYS(EDATE(R$1,1),Log_2018[[#This Row],[Date]]),Log_2018[[#This Row],[Split_apply]])) - SUM($O265:Q265)</f>
        <v>0</v>
      </c>
      <c r="S265" s="52">
        <f ca="1">Log_2018[[#This Row],[Amount]]/Log_2018[[#This Row],[Split_raw]]*MAX(0,MIN(_xlfn.DAYS(EDATE(S$1,1),Log_2018[[#This Row],[Date]]),Log_2018[[#This Row],[Split_apply]])) - SUM($O265:R265)</f>
        <v>0</v>
      </c>
      <c r="T265" s="52">
        <f ca="1">Log_2018[[#This Row],[Amount]]/Log_2018[[#This Row],[Split_raw]]*MAX(0,MIN(_xlfn.DAYS(EDATE(T$1,1),Log_2018[[#This Row],[Date]]),Log_2018[[#This Row],[Split_apply]])) - SUM($O265:S265)</f>
        <v>0</v>
      </c>
      <c r="U265" s="52">
        <f ca="1">Log_2018[[#This Row],[Amount]]/Log_2018[[#This Row],[Split_raw]]*MAX(0,MIN(_xlfn.DAYS(EDATE(U$1,1),Log_2018[[#This Row],[Date]]),Log_2018[[#This Row],[Split_apply]])) - SUM($O265:T265)</f>
        <v>0</v>
      </c>
      <c r="V265" s="52">
        <f ca="1">Log_2018[[#This Row],[Amount]]/Log_2018[[#This Row],[Split_raw]]*MAX(0,MIN(_xlfn.DAYS(EDATE(V$1,1),Log_2018[[#This Row],[Date]]),Log_2018[[#This Row],[Split_apply]])) - SUM($O265:U265)</f>
        <v>0</v>
      </c>
      <c r="W265" s="52">
        <f ca="1">Log_2018[[#This Row],[Amount]]/Log_2018[[#This Row],[Split_raw]]*MAX(0,MIN(_xlfn.DAYS(EDATE(W$1,1),Log_2018[[#This Row],[Date]]),Log_2018[[#This Row],[Split_apply]])) - SUM($O265:V265)</f>
        <v>0</v>
      </c>
      <c r="X265" s="52">
        <f ca="1">Log_2018[[#This Row],[Amount]]/Log_2018[[#This Row],[Split_raw]]*MAX(0,MIN(_xlfn.DAYS(EDATE(X$1,1),Log_2018[[#This Row],[Date]]),Log_2018[[#This Row],[Split_apply]])) - SUM($O265:W265)</f>
        <v>-9.77</v>
      </c>
      <c r="Y265" s="52">
        <f ca="1">Log_2018[[#This Row],[Amount]]/Log_2018[[#This Row],[Split_raw]]*MAX(0,MIN(_xlfn.DAYS(EDATE(Y$1,1),Log_2018[[#This Row],[Date]]),Log_2018[[#This Row],[Split_apply]])) - SUM($O265:X265)</f>
        <v>0</v>
      </c>
      <c r="Z265" s="52">
        <f ca="1">Log_2018[[#This Row],[Amount]]/Log_2018[[#This Row],[Split_raw]]*MAX(0,MIN(_xlfn.DAYS(EDATE(Z$1,1),Log_2018[[#This Row],[Date]]),Log_2018[[#This Row],[Split_apply]])) - SUM($O265:Y265)</f>
        <v>0</v>
      </c>
      <c r="AA265" s="52">
        <f ca="1">Log_2018[[#This Row],[Amount]]/Log_2018[[#This Row],[Split_raw]]*MAX(0,MIN(_xlfn.DAYS(EDATE(AA$1,1),Log_2018[[#This Row],[Date]]),Log_2018[[#This Row],[Split_apply]])) - SUM($O265:Z265)</f>
        <v>0</v>
      </c>
      <c r="AB265" s="54">
        <f ca="1">Log_2018[[#This Row],[Amount]]-SUM(O265:AA265)</f>
        <v>0</v>
      </c>
      <c r="AC265" s="7">
        <f ca="1">MAX(0,Log_2018[[#This Row],[Split_apply]] - (EDATE(AA$1,1)-Log_2018[[#This Row],[Date]]))</f>
        <v>0</v>
      </c>
    </row>
    <row r="266" spans="1:29" hidden="1" x14ac:dyDescent="0.25">
      <c r="A266" s="115"/>
      <c r="B266" t="s">
        <v>6</v>
      </c>
      <c r="D266" s="26">
        <v>43348</v>
      </c>
      <c r="F266" t="s">
        <v>59</v>
      </c>
      <c r="G266" t="s">
        <v>25</v>
      </c>
      <c r="H266" s="3">
        <v>-7.94</v>
      </c>
      <c r="I266" s="36">
        <f>IF(Log_2018[[#This Row],[My Category]]="NONTRACKED",0,Log_2018[[#This Row],[Raw Amount]])</f>
        <v>-7.94</v>
      </c>
      <c r="J266" s="17">
        <f>ABS(Log_2018[[#This Row],[Amount]])</f>
        <v>7.94</v>
      </c>
      <c r="K266" s="66">
        <v>1</v>
      </c>
      <c r="L266" s="66">
        <f ca="1">IF(Log_2018[[#This Row],[Date]]&lt;=TODAY(), MIN(Log_2018[[#This Row],[Split_raw]], TODAY()-Log_2018[[#This Row],[Date]]+1), 0)</f>
        <v>1</v>
      </c>
      <c r="M266" t="s">
        <v>35</v>
      </c>
      <c r="N266" t="s">
        <v>158</v>
      </c>
      <c r="O266" s="50">
        <v>0</v>
      </c>
      <c r="P266" s="52">
        <f ca="1">Log_2018[[#This Row],[Amount]]/Log_2018[[#This Row],[Split_raw]]*MAX(0,MIN(_xlfn.DAYS(EDATE(P$1,1),Log_2018[[#This Row],[Date]]),Log_2018[[#This Row],[Split_apply]])) - SUM($O266:O266)</f>
        <v>0</v>
      </c>
      <c r="Q266" s="52">
        <f ca="1">Log_2018[[#This Row],[Amount]]/Log_2018[[#This Row],[Split_raw]]*MAX(0,MIN(_xlfn.DAYS(EDATE(Q$1,1),Log_2018[[#This Row],[Date]]),Log_2018[[#This Row],[Split_apply]])) - SUM($O266:P266)</f>
        <v>0</v>
      </c>
      <c r="R266" s="52">
        <f ca="1">Log_2018[[#This Row],[Amount]]/Log_2018[[#This Row],[Split_raw]]*MAX(0,MIN(_xlfn.DAYS(EDATE(R$1,1),Log_2018[[#This Row],[Date]]),Log_2018[[#This Row],[Split_apply]])) - SUM($O266:Q266)</f>
        <v>0</v>
      </c>
      <c r="S266" s="52">
        <f ca="1">Log_2018[[#This Row],[Amount]]/Log_2018[[#This Row],[Split_raw]]*MAX(0,MIN(_xlfn.DAYS(EDATE(S$1,1),Log_2018[[#This Row],[Date]]),Log_2018[[#This Row],[Split_apply]])) - SUM($O266:R266)</f>
        <v>0</v>
      </c>
      <c r="T266" s="52">
        <f ca="1">Log_2018[[#This Row],[Amount]]/Log_2018[[#This Row],[Split_raw]]*MAX(0,MIN(_xlfn.DAYS(EDATE(T$1,1),Log_2018[[#This Row],[Date]]),Log_2018[[#This Row],[Split_apply]])) - SUM($O266:S266)</f>
        <v>0</v>
      </c>
      <c r="U266" s="52">
        <f ca="1">Log_2018[[#This Row],[Amount]]/Log_2018[[#This Row],[Split_raw]]*MAX(0,MIN(_xlfn.DAYS(EDATE(U$1,1),Log_2018[[#This Row],[Date]]),Log_2018[[#This Row],[Split_apply]])) - SUM($O266:T266)</f>
        <v>0</v>
      </c>
      <c r="V266" s="52">
        <f ca="1">Log_2018[[#This Row],[Amount]]/Log_2018[[#This Row],[Split_raw]]*MAX(0,MIN(_xlfn.DAYS(EDATE(V$1,1),Log_2018[[#This Row],[Date]]),Log_2018[[#This Row],[Split_apply]])) - SUM($O266:U266)</f>
        <v>0</v>
      </c>
      <c r="W266" s="52">
        <f ca="1">Log_2018[[#This Row],[Amount]]/Log_2018[[#This Row],[Split_raw]]*MAX(0,MIN(_xlfn.DAYS(EDATE(W$1,1),Log_2018[[#This Row],[Date]]),Log_2018[[#This Row],[Split_apply]])) - SUM($O266:V266)</f>
        <v>0</v>
      </c>
      <c r="X266" s="52">
        <f ca="1">Log_2018[[#This Row],[Amount]]/Log_2018[[#This Row],[Split_raw]]*MAX(0,MIN(_xlfn.DAYS(EDATE(X$1,1),Log_2018[[#This Row],[Date]]),Log_2018[[#This Row],[Split_apply]])) - SUM($O266:W266)</f>
        <v>-7.94</v>
      </c>
      <c r="Y266" s="52">
        <f ca="1">Log_2018[[#This Row],[Amount]]/Log_2018[[#This Row],[Split_raw]]*MAX(0,MIN(_xlfn.DAYS(EDATE(Y$1,1),Log_2018[[#This Row],[Date]]),Log_2018[[#This Row],[Split_apply]])) - SUM($O266:X266)</f>
        <v>0</v>
      </c>
      <c r="Z266" s="52">
        <f ca="1">Log_2018[[#This Row],[Amount]]/Log_2018[[#This Row],[Split_raw]]*MAX(0,MIN(_xlfn.DAYS(EDATE(Z$1,1),Log_2018[[#This Row],[Date]]),Log_2018[[#This Row],[Split_apply]])) - SUM($O266:Y266)</f>
        <v>0</v>
      </c>
      <c r="AA266" s="52">
        <f ca="1">Log_2018[[#This Row],[Amount]]/Log_2018[[#This Row],[Split_raw]]*MAX(0,MIN(_xlfn.DAYS(EDATE(AA$1,1),Log_2018[[#This Row],[Date]]),Log_2018[[#This Row],[Split_apply]])) - SUM($O266:Z266)</f>
        <v>0</v>
      </c>
      <c r="AB266" s="54">
        <f ca="1">Log_2018[[#This Row],[Amount]]-SUM(O266:AA266)</f>
        <v>0</v>
      </c>
      <c r="AC266" s="7">
        <f ca="1">MAX(0,Log_2018[[#This Row],[Split_apply]] - (EDATE(AA$1,1)-Log_2018[[#This Row],[Date]]))</f>
        <v>0</v>
      </c>
    </row>
    <row r="267" spans="1:29" hidden="1" x14ac:dyDescent="0.25">
      <c r="A267" s="115"/>
      <c r="B267" t="s">
        <v>6</v>
      </c>
      <c r="D267" s="26">
        <v>43347</v>
      </c>
      <c r="F267" t="s">
        <v>255</v>
      </c>
      <c r="G267" t="s">
        <v>25</v>
      </c>
      <c r="H267" s="3">
        <v>-12.83</v>
      </c>
      <c r="I267" s="36">
        <f>IF(Log_2018[[#This Row],[My Category]]="NONTRACKED",0,Log_2018[[#This Row],[Raw Amount]])</f>
        <v>-12.83</v>
      </c>
      <c r="J267" s="17">
        <f>ABS(Log_2018[[#This Row],[Amount]])</f>
        <v>12.83</v>
      </c>
      <c r="K267" s="66">
        <v>1</v>
      </c>
      <c r="L267" s="66">
        <f ca="1">IF(Log_2018[[#This Row],[Date]]&lt;=TODAY(), MIN(Log_2018[[#This Row],[Split_raw]], TODAY()-Log_2018[[#This Row],[Date]]+1), 0)</f>
        <v>1</v>
      </c>
      <c r="M267" t="s">
        <v>35</v>
      </c>
      <c r="N267" t="s">
        <v>158</v>
      </c>
      <c r="O267" s="50">
        <v>0</v>
      </c>
      <c r="P267" s="52">
        <f ca="1">Log_2018[[#This Row],[Amount]]/Log_2018[[#This Row],[Split_raw]]*MAX(0,MIN(_xlfn.DAYS(EDATE(P$1,1),Log_2018[[#This Row],[Date]]),Log_2018[[#This Row],[Split_apply]])) - SUM($O267:O267)</f>
        <v>0</v>
      </c>
      <c r="Q267" s="52">
        <f ca="1">Log_2018[[#This Row],[Amount]]/Log_2018[[#This Row],[Split_raw]]*MAX(0,MIN(_xlfn.DAYS(EDATE(Q$1,1),Log_2018[[#This Row],[Date]]),Log_2018[[#This Row],[Split_apply]])) - SUM($O267:P267)</f>
        <v>0</v>
      </c>
      <c r="R267" s="52">
        <f ca="1">Log_2018[[#This Row],[Amount]]/Log_2018[[#This Row],[Split_raw]]*MAX(0,MIN(_xlfn.DAYS(EDATE(R$1,1),Log_2018[[#This Row],[Date]]),Log_2018[[#This Row],[Split_apply]])) - SUM($O267:Q267)</f>
        <v>0</v>
      </c>
      <c r="S267" s="52">
        <f ca="1">Log_2018[[#This Row],[Amount]]/Log_2018[[#This Row],[Split_raw]]*MAX(0,MIN(_xlfn.DAYS(EDATE(S$1,1),Log_2018[[#This Row],[Date]]),Log_2018[[#This Row],[Split_apply]])) - SUM($O267:R267)</f>
        <v>0</v>
      </c>
      <c r="T267" s="52">
        <f ca="1">Log_2018[[#This Row],[Amount]]/Log_2018[[#This Row],[Split_raw]]*MAX(0,MIN(_xlfn.DAYS(EDATE(T$1,1),Log_2018[[#This Row],[Date]]),Log_2018[[#This Row],[Split_apply]])) - SUM($O267:S267)</f>
        <v>0</v>
      </c>
      <c r="U267" s="52">
        <f ca="1">Log_2018[[#This Row],[Amount]]/Log_2018[[#This Row],[Split_raw]]*MAX(0,MIN(_xlfn.DAYS(EDATE(U$1,1),Log_2018[[#This Row],[Date]]),Log_2018[[#This Row],[Split_apply]])) - SUM($O267:T267)</f>
        <v>0</v>
      </c>
      <c r="V267" s="52">
        <f ca="1">Log_2018[[#This Row],[Amount]]/Log_2018[[#This Row],[Split_raw]]*MAX(0,MIN(_xlfn.DAYS(EDATE(V$1,1),Log_2018[[#This Row],[Date]]),Log_2018[[#This Row],[Split_apply]])) - SUM($O267:U267)</f>
        <v>0</v>
      </c>
      <c r="W267" s="52">
        <f ca="1">Log_2018[[#This Row],[Amount]]/Log_2018[[#This Row],[Split_raw]]*MAX(0,MIN(_xlfn.DAYS(EDATE(W$1,1),Log_2018[[#This Row],[Date]]),Log_2018[[#This Row],[Split_apply]])) - SUM($O267:V267)</f>
        <v>0</v>
      </c>
      <c r="X267" s="52">
        <f ca="1">Log_2018[[#This Row],[Amount]]/Log_2018[[#This Row],[Split_raw]]*MAX(0,MIN(_xlfn.DAYS(EDATE(X$1,1),Log_2018[[#This Row],[Date]]),Log_2018[[#This Row],[Split_apply]])) - SUM($O267:W267)</f>
        <v>-12.83</v>
      </c>
      <c r="Y267" s="52">
        <f ca="1">Log_2018[[#This Row],[Amount]]/Log_2018[[#This Row],[Split_raw]]*MAX(0,MIN(_xlfn.DAYS(EDATE(Y$1,1),Log_2018[[#This Row],[Date]]),Log_2018[[#This Row],[Split_apply]])) - SUM($O267:X267)</f>
        <v>0</v>
      </c>
      <c r="Z267" s="52">
        <f ca="1">Log_2018[[#This Row],[Amount]]/Log_2018[[#This Row],[Split_raw]]*MAX(0,MIN(_xlfn.DAYS(EDATE(Z$1,1),Log_2018[[#This Row],[Date]]),Log_2018[[#This Row],[Split_apply]])) - SUM($O267:Y267)</f>
        <v>0</v>
      </c>
      <c r="AA267" s="52">
        <f ca="1">Log_2018[[#This Row],[Amount]]/Log_2018[[#This Row],[Split_raw]]*MAX(0,MIN(_xlfn.DAYS(EDATE(AA$1,1),Log_2018[[#This Row],[Date]]),Log_2018[[#This Row],[Split_apply]])) - SUM($O267:Z267)</f>
        <v>0</v>
      </c>
      <c r="AB267" s="54">
        <f ca="1">Log_2018[[#This Row],[Amount]]-SUM(O267:AA267)</f>
        <v>0</v>
      </c>
      <c r="AC267" s="7">
        <f ca="1">MAX(0,Log_2018[[#This Row],[Split_apply]] - (EDATE(AA$1,1)-Log_2018[[#This Row],[Date]]))</f>
        <v>0</v>
      </c>
    </row>
    <row r="268" spans="1:29" hidden="1" x14ac:dyDescent="0.25">
      <c r="A268" s="115"/>
      <c r="B268" t="s">
        <v>6</v>
      </c>
      <c r="D268" s="26">
        <v>43347</v>
      </c>
      <c r="F268" t="s">
        <v>138</v>
      </c>
      <c r="G268" t="s">
        <v>104</v>
      </c>
      <c r="H268" s="3">
        <v>-2345.9499999999998</v>
      </c>
      <c r="I268" s="36">
        <f>IF(Log_2018[[#This Row],[My Category]]="NONTRACKED",0,Log_2018[[#This Row],[Raw Amount]])</f>
        <v>-2345.9499999999998</v>
      </c>
      <c r="J268" s="17">
        <f>ABS(Log_2018[[#This Row],[Amount]])</f>
        <v>2345.9499999999998</v>
      </c>
      <c r="K268" s="66">
        <v>1</v>
      </c>
      <c r="L268" s="66">
        <f ca="1">IF(Log_2018[[#This Row],[Date]]&lt;=TODAY(), MIN(Log_2018[[#This Row],[Split_raw]], TODAY()-Log_2018[[#This Row],[Date]]+1), 0)</f>
        <v>1</v>
      </c>
      <c r="M268" t="s">
        <v>159</v>
      </c>
      <c r="N268" t="s">
        <v>160</v>
      </c>
      <c r="O268" s="50">
        <v>0</v>
      </c>
      <c r="P268" s="52">
        <f ca="1">Log_2018[[#This Row],[Amount]]/Log_2018[[#This Row],[Split_raw]]*MAX(0,MIN(_xlfn.DAYS(EDATE(P$1,1),Log_2018[[#This Row],[Date]]),Log_2018[[#This Row],[Split_apply]])) - SUM($O268:O268)</f>
        <v>0</v>
      </c>
      <c r="Q268" s="52">
        <f ca="1">Log_2018[[#This Row],[Amount]]/Log_2018[[#This Row],[Split_raw]]*MAX(0,MIN(_xlfn.DAYS(EDATE(Q$1,1),Log_2018[[#This Row],[Date]]),Log_2018[[#This Row],[Split_apply]])) - SUM($O268:P268)</f>
        <v>0</v>
      </c>
      <c r="R268" s="52">
        <f ca="1">Log_2018[[#This Row],[Amount]]/Log_2018[[#This Row],[Split_raw]]*MAX(0,MIN(_xlfn.DAYS(EDATE(R$1,1),Log_2018[[#This Row],[Date]]),Log_2018[[#This Row],[Split_apply]])) - SUM($O268:Q268)</f>
        <v>0</v>
      </c>
      <c r="S268" s="52">
        <f ca="1">Log_2018[[#This Row],[Amount]]/Log_2018[[#This Row],[Split_raw]]*MAX(0,MIN(_xlfn.DAYS(EDATE(S$1,1),Log_2018[[#This Row],[Date]]),Log_2018[[#This Row],[Split_apply]])) - SUM($O268:R268)</f>
        <v>0</v>
      </c>
      <c r="T268" s="52">
        <f ca="1">Log_2018[[#This Row],[Amount]]/Log_2018[[#This Row],[Split_raw]]*MAX(0,MIN(_xlfn.DAYS(EDATE(T$1,1),Log_2018[[#This Row],[Date]]),Log_2018[[#This Row],[Split_apply]])) - SUM($O268:S268)</f>
        <v>0</v>
      </c>
      <c r="U268" s="52">
        <f ca="1">Log_2018[[#This Row],[Amount]]/Log_2018[[#This Row],[Split_raw]]*MAX(0,MIN(_xlfn.DAYS(EDATE(U$1,1),Log_2018[[#This Row],[Date]]),Log_2018[[#This Row],[Split_apply]])) - SUM($O268:T268)</f>
        <v>0</v>
      </c>
      <c r="V268" s="52">
        <f ca="1">Log_2018[[#This Row],[Amount]]/Log_2018[[#This Row],[Split_raw]]*MAX(0,MIN(_xlfn.DAYS(EDATE(V$1,1),Log_2018[[#This Row],[Date]]),Log_2018[[#This Row],[Split_apply]])) - SUM($O268:U268)</f>
        <v>0</v>
      </c>
      <c r="W268" s="52">
        <f ca="1">Log_2018[[#This Row],[Amount]]/Log_2018[[#This Row],[Split_raw]]*MAX(0,MIN(_xlfn.DAYS(EDATE(W$1,1),Log_2018[[#This Row],[Date]]),Log_2018[[#This Row],[Split_apply]])) - SUM($O268:V268)</f>
        <v>0</v>
      </c>
      <c r="X268" s="52">
        <f ca="1">Log_2018[[#This Row],[Amount]]/Log_2018[[#This Row],[Split_raw]]*MAX(0,MIN(_xlfn.DAYS(EDATE(X$1,1),Log_2018[[#This Row],[Date]]),Log_2018[[#This Row],[Split_apply]])) - SUM($O268:W268)</f>
        <v>-2345.9499999999998</v>
      </c>
      <c r="Y268" s="52">
        <f ca="1">Log_2018[[#This Row],[Amount]]/Log_2018[[#This Row],[Split_raw]]*MAX(0,MIN(_xlfn.DAYS(EDATE(Y$1,1),Log_2018[[#This Row],[Date]]),Log_2018[[#This Row],[Split_apply]])) - SUM($O268:X268)</f>
        <v>0</v>
      </c>
      <c r="Z268" s="52">
        <f ca="1">Log_2018[[#This Row],[Amount]]/Log_2018[[#This Row],[Split_raw]]*MAX(0,MIN(_xlfn.DAYS(EDATE(Z$1,1),Log_2018[[#This Row],[Date]]),Log_2018[[#This Row],[Split_apply]])) - SUM($O268:Y268)</f>
        <v>0</v>
      </c>
      <c r="AA268" s="52">
        <f ca="1">Log_2018[[#This Row],[Amount]]/Log_2018[[#This Row],[Split_raw]]*MAX(0,MIN(_xlfn.DAYS(EDATE(AA$1,1),Log_2018[[#This Row],[Date]]),Log_2018[[#This Row],[Split_apply]])) - SUM($O268:Z268)</f>
        <v>0</v>
      </c>
      <c r="AB268" s="54">
        <f ca="1">Log_2018[[#This Row],[Amount]]-SUM(O268:AA268)</f>
        <v>0</v>
      </c>
      <c r="AC268" s="7">
        <f ca="1">MAX(0,Log_2018[[#This Row],[Split_apply]] - (EDATE(AA$1,1)-Log_2018[[#This Row],[Date]]))</f>
        <v>0</v>
      </c>
    </row>
    <row r="269" spans="1:29" hidden="1" x14ac:dyDescent="0.25">
      <c r="A269" s="115"/>
      <c r="B269" t="s">
        <v>6</v>
      </c>
      <c r="D269" s="26">
        <v>43345</v>
      </c>
      <c r="F269" t="s">
        <v>348</v>
      </c>
      <c r="G269" t="s">
        <v>25</v>
      </c>
      <c r="H269" s="3">
        <v>-57.65</v>
      </c>
      <c r="I269" s="36">
        <f>IF(Log_2018[[#This Row],[My Category]]="NONTRACKED",0,Log_2018[[#This Row],[Raw Amount]])</f>
        <v>-57.65</v>
      </c>
      <c r="J269" s="17">
        <f>ABS(Log_2018[[#This Row],[Amount]])</f>
        <v>57.65</v>
      </c>
      <c r="K269" s="66">
        <v>1</v>
      </c>
      <c r="L269" s="66">
        <f ca="1">IF(Log_2018[[#This Row],[Date]]&lt;=TODAY(), MIN(Log_2018[[#This Row],[Split_raw]], TODAY()-Log_2018[[#This Row],[Date]]+1), 0)</f>
        <v>1</v>
      </c>
      <c r="M269" t="s">
        <v>35</v>
      </c>
      <c r="N269" t="s">
        <v>158</v>
      </c>
      <c r="O269" s="50">
        <v>0</v>
      </c>
      <c r="P269" s="52">
        <f ca="1">Log_2018[[#This Row],[Amount]]/Log_2018[[#This Row],[Split_raw]]*MAX(0,MIN(_xlfn.DAYS(EDATE(P$1,1),Log_2018[[#This Row],[Date]]),Log_2018[[#This Row],[Split_apply]])) - SUM($O269:O269)</f>
        <v>0</v>
      </c>
      <c r="Q269" s="52">
        <f ca="1">Log_2018[[#This Row],[Amount]]/Log_2018[[#This Row],[Split_raw]]*MAX(0,MIN(_xlfn.DAYS(EDATE(Q$1,1),Log_2018[[#This Row],[Date]]),Log_2018[[#This Row],[Split_apply]])) - SUM($O269:P269)</f>
        <v>0</v>
      </c>
      <c r="R269" s="52">
        <f ca="1">Log_2018[[#This Row],[Amount]]/Log_2018[[#This Row],[Split_raw]]*MAX(0,MIN(_xlfn.DAYS(EDATE(R$1,1),Log_2018[[#This Row],[Date]]),Log_2018[[#This Row],[Split_apply]])) - SUM($O269:Q269)</f>
        <v>0</v>
      </c>
      <c r="S269" s="52">
        <f ca="1">Log_2018[[#This Row],[Amount]]/Log_2018[[#This Row],[Split_raw]]*MAX(0,MIN(_xlfn.DAYS(EDATE(S$1,1),Log_2018[[#This Row],[Date]]),Log_2018[[#This Row],[Split_apply]])) - SUM($O269:R269)</f>
        <v>0</v>
      </c>
      <c r="T269" s="52">
        <f ca="1">Log_2018[[#This Row],[Amount]]/Log_2018[[#This Row],[Split_raw]]*MAX(0,MIN(_xlfn.DAYS(EDATE(T$1,1),Log_2018[[#This Row],[Date]]),Log_2018[[#This Row],[Split_apply]])) - SUM($O269:S269)</f>
        <v>0</v>
      </c>
      <c r="U269" s="52">
        <f ca="1">Log_2018[[#This Row],[Amount]]/Log_2018[[#This Row],[Split_raw]]*MAX(0,MIN(_xlfn.DAYS(EDATE(U$1,1),Log_2018[[#This Row],[Date]]),Log_2018[[#This Row],[Split_apply]])) - SUM($O269:T269)</f>
        <v>0</v>
      </c>
      <c r="V269" s="52">
        <f ca="1">Log_2018[[#This Row],[Amount]]/Log_2018[[#This Row],[Split_raw]]*MAX(0,MIN(_xlfn.DAYS(EDATE(V$1,1),Log_2018[[#This Row],[Date]]),Log_2018[[#This Row],[Split_apply]])) - SUM($O269:U269)</f>
        <v>0</v>
      </c>
      <c r="W269" s="52">
        <f ca="1">Log_2018[[#This Row],[Amount]]/Log_2018[[#This Row],[Split_raw]]*MAX(0,MIN(_xlfn.DAYS(EDATE(W$1,1),Log_2018[[#This Row],[Date]]),Log_2018[[#This Row],[Split_apply]])) - SUM($O269:V269)</f>
        <v>0</v>
      </c>
      <c r="X269" s="52">
        <f ca="1">Log_2018[[#This Row],[Amount]]/Log_2018[[#This Row],[Split_raw]]*MAX(0,MIN(_xlfn.DAYS(EDATE(X$1,1),Log_2018[[#This Row],[Date]]),Log_2018[[#This Row],[Split_apply]])) - SUM($O269:W269)</f>
        <v>-57.65</v>
      </c>
      <c r="Y269" s="52">
        <f ca="1">Log_2018[[#This Row],[Amount]]/Log_2018[[#This Row],[Split_raw]]*MAX(0,MIN(_xlfn.DAYS(EDATE(Y$1,1),Log_2018[[#This Row],[Date]]),Log_2018[[#This Row],[Split_apply]])) - SUM($O269:X269)</f>
        <v>0</v>
      </c>
      <c r="Z269" s="52">
        <f ca="1">Log_2018[[#This Row],[Amount]]/Log_2018[[#This Row],[Split_raw]]*MAX(0,MIN(_xlfn.DAYS(EDATE(Z$1,1),Log_2018[[#This Row],[Date]]),Log_2018[[#This Row],[Split_apply]])) - SUM($O269:Y269)</f>
        <v>0</v>
      </c>
      <c r="AA269" s="52">
        <f ca="1">Log_2018[[#This Row],[Amount]]/Log_2018[[#This Row],[Split_raw]]*MAX(0,MIN(_xlfn.DAYS(EDATE(AA$1,1),Log_2018[[#This Row],[Date]]),Log_2018[[#This Row],[Split_apply]])) - SUM($O269:Z269)</f>
        <v>0</v>
      </c>
      <c r="AB269" s="54">
        <f ca="1">Log_2018[[#This Row],[Amount]]-SUM(O269:AA269)</f>
        <v>0</v>
      </c>
      <c r="AC269" s="7">
        <f ca="1">MAX(0,Log_2018[[#This Row],[Split_apply]] - (EDATE(AA$1,1)-Log_2018[[#This Row],[Date]]))</f>
        <v>0</v>
      </c>
    </row>
    <row r="270" spans="1:29" hidden="1" x14ac:dyDescent="0.25">
      <c r="A270" s="115"/>
      <c r="B270" s="34" t="s">
        <v>6</v>
      </c>
      <c r="D270" s="26">
        <v>43344</v>
      </c>
      <c r="E270" t="s">
        <v>960</v>
      </c>
      <c r="F270" t="s">
        <v>363</v>
      </c>
      <c r="G270" t="s">
        <v>20</v>
      </c>
      <c r="H270" s="3">
        <v>-1609.51</v>
      </c>
      <c r="I270" s="36">
        <f>IF(Log_2018[[#This Row],[My Category]]="NONTRACKED",0,Log_2018[[#This Row],[Raw Amount]])</f>
        <v>-1609.51</v>
      </c>
      <c r="J270" s="17">
        <f>ABS(Log_2018[[#This Row],[Amount]])</f>
        <v>1609.51</v>
      </c>
      <c r="K270" s="66">
        <v>30</v>
      </c>
      <c r="L270" s="66">
        <f ca="1">IF(Log_2018[[#This Row],[Date]]&lt;=TODAY(), MIN(Log_2018[[#This Row],[Split_raw]], TODAY()-Log_2018[[#This Row],[Date]]+1), 0)</f>
        <v>30</v>
      </c>
      <c r="M270" t="s">
        <v>28</v>
      </c>
      <c r="N270" t="s">
        <v>160</v>
      </c>
      <c r="O270" s="50">
        <v>0</v>
      </c>
      <c r="P270" s="52">
        <f ca="1">Log_2018[[#This Row],[Amount]]/Log_2018[[#This Row],[Split_raw]]*MAX(0,MIN(_xlfn.DAYS(EDATE(P$1,1),Log_2018[[#This Row],[Date]]),Log_2018[[#This Row],[Split_apply]])) - SUM($O270:O270)</f>
        <v>0</v>
      </c>
      <c r="Q270" s="52">
        <f ca="1">Log_2018[[#This Row],[Amount]]/Log_2018[[#This Row],[Split_raw]]*MAX(0,MIN(_xlfn.DAYS(EDATE(Q$1,1),Log_2018[[#This Row],[Date]]),Log_2018[[#This Row],[Split_apply]])) - SUM($O270:P270)</f>
        <v>0</v>
      </c>
      <c r="R270" s="52">
        <f ca="1">Log_2018[[#This Row],[Amount]]/Log_2018[[#This Row],[Split_raw]]*MAX(0,MIN(_xlfn.DAYS(EDATE(R$1,1),Log_2018[[#This Row],[Date]]),Log_2018[[#This Row],[Split_apply]])) - SUM($O270:Q270)</f>
        <v>0</v>
      </c>
      <c r="S270" s="52">
        <f ca="1">Log_2018[[#This Row],[Amount]]/Log_2018[[#This Row],[Split_raw]]*MAX(0,MIN(_xlfn.DAYS(EDATE(S$1,1),Log_2018[[#This Row],[Date]]),Log_2018[[#This Row],[Split_apply]])) - SUM($O270:R270)</f>
        <v>0</v>
      </c>
      <c r="T270" s="52">
        <f ca="1">Log_2018[[#This Row],[Amount]]/Log_2018[[#This Row],[Split_raw]]*MAX(0,MIN(_xlfn.DAYS(EDATE(T$1,1),Log_2018[[#This Row],[Date]]),Log_2018[[#This Row],[Split_apply]])) - SUM($O270:S270)</f>
        <v>0</v>
      </c>
      <c r="U270" s="52">
        <f ca="1">Log_2018[[#This Row],[Amount]]/Log_2018[[#This Row],[Split_raw]]*MAX(0,MIN(_xlfn.DAYS(EDATE(U$1,1),Log_2018[[#This Row],[Date]]),Log_2018[[#This Row],[Split_apply]])) - SUM($O270:T270)</f>
        <v>0</v>
      </c>
      <c r="V270" s="52">
        <f ca="1">Log_2018[[#This Row],[Amount]]/Log_2018[[#This Row],[Split_raw]]*MAX(0,MIN(_xlfn.DAYS(EDATE(V$1,1),Log_2018[[#This Row],[Date]]),Log_2018[[#This Row],[Split_apply]])) - SUM($O270:U270)</f>
        <v>0</v>
      </c>
      <c r="W270" s="52">
        <f ca="1">Log_2018[[#This Row],[Amount]]/Log_2018[[#This Row],[Split_raw]]*MAX(0,MIN(_xlfn.DAYS(EDATE(W$1,1),Log_2018[[#This Row],[Date]]),Log_2018[[#This Row],[Split_apply]])) - SUM($O270:V270)</f>
        <v>0</v>
      </c>
      <c r="X270" s="52">
        <f ca="1">Log_2018[[#This Row],[Amount]]/Log_2018[[#This Row],[Split_raw]]*MAX(0,MIN(_xlfn.DAYS(EDATE(X$1,1),Log_2018[[#This Row],[Date]]),Log_2018[[#This Row],[Split_apply]])) - SUM($O270:W270)</f>
        <v>-1609.51</v>
      </c>
      <c r="Y270" s="52">
        <f ca="1">Log_2018[[#This Row],[Amount]]/Log_2018[[#This Row],[Split_raw]]*MAX(0,MIN(_xlfn.DAYS(EDATE(Y$1,1),Log_2018[[#This Row],[Date]]),Log_2018[[#This Row],[Split_apply]])) - SUM($O270:X270)</f>
        <v>0</v>
      </c>
      <c r="Z270" s="52">
        <f ca="1">Log_2018[[#This Row],[Amount]]/Log_2018[[#This Row],[Split_raw]]*MAX(0,MIN(_xlfn.DAYS(EDATE(Z$1,1),Log_2018[[#This Row],[Date]]),Log_2018[[#This Row],[Split_apply]])) - SUM($O270:Y270)</f>
        <v>0</v>
      </c>
      <c r="AA270" s="52">
        <f ca="1">Log_2018[[#This Row],[Amount]]/Log_2018[[#This Row],[Split_raw]]*MAX(0,MIN(_xlfn.DAYS(EDATE(AA$1,1),Log_2018[[#This Row],[Date]]),Log_2018[[#This Row],[Split_apply]])) - SUM($O270:Z270)</f>
        <v>0</v>
      </c>
      <c r="AB270" s="54">
        <f ca="1">Log_2018[[#This Row],[Amount]]-SUM(O270:AA270)</f>
        <v>0</v>
      </c>
      <c r="AC270" s="7">
        <f ca="1">MAX(0,Log_2018[[#This Row],[Split_apply]] - (EDATE(AA$1,1)-Log_2018[[#This Row],[Date]]))</f>
        <v>0</v>
      </c>
    </row>
    <row r="271" spans="1:29" hidden="1" x14ac:dyDescent="0.25">
      <c r="A271" s="115"/>
      <c r="B271" t="s">
        <v>191</v>
      </c>
      <c r="D271" s="26">
        <v>43344</v>
      </c>
      <c r="E271" t="s">
        <v>960</v>
      </c>
      <c r="F271" t="s">
        <v>362</v>
      </c>
      <c r="G271" t="s">
        <v>176</v>
      </c>
      <c r="H271" s="3">
        <v>-320</v>
      </c>
      <c r="I271" s="36">
        <f>IF(Log_2018[[#This Row],[My Category]]="NONTRACKED",0,Log_2018[[#This Row],[Raw Amount]])</f>
        <v>-320</v>
      </c>
      <c r="J271" s="17">
        <f>ABS(Log_2018[[#This Row],[Amount]])</f>
        <v>320</v>
      </c>
      <c r="K271" s="66">
        <v>30</v>
      </c>
      <c r="L271" s="66">
        <f ca="1">IF(Log_2018[[#This Row],[Date]]&lt;=TODAY(), MIN(Log_2018[[#This Row],[Split_raw]], TODAY()-Log_2018[[#This Row],[Date]]+1), 0)</f>
        <v>30</v>
      </c>
      <c r="M271" t="s">
        <v>93</v>
      </c>
      <c r="N271" t="s">
        <v>160</v>
      </c>
      <c r="O271" s="50">
        <v>0</v>
      </c>
      <c r="P271" s="52">
        <f ca="1">Log_2018[[#This Row],[Amount]]/Log_2018[[#This Row],[Split_raw]]*MAX(0,MIN(_xlfn.DAYS(EDATE(P$1,1),Log_2018[[#This Row],[Date]]),Log_2018[[#This Row],[Split_apply]])) - SUM($O271:O271)</f>
        <v>0</v>
      </c>
      <c r="Q271" s="52">
        <f ca="1">Log_2018[[#This Row],[Amount]]/Log_2018[[#This Row],[Split_raw]]*MAX(0,MIN(_xlfn.DAYS(EDATE(Q$1,1),Log_2018[[#This Row],[Date]]),Log_2018[[#This Row],[Split_apply]])) - SUM($O271:P271)</f>
        <v>0</v>
      </c>
      <c r="R271" s="52">
        <f ca="1">Log_2018[[#This Row],[Amount]]/Log_2018[[#This Row],[Split_raw]]*MAX(0,MIN(_xlfn.DAYS(EDATE(R$1,1),Log_2018[[#This Row],[Date]]),Log_2018[[#This Row],[Split_apply]])) - SUM($O271:Q271)</f>
        <v>0</v>
      </c>
      <c r="S271" s="52">
        <f ca="1">Log_2018[[#This Row],[Amount]]/Log_2018[[#This Row],[Split_raw]]*MAX(0,MIN(_xlfn.DAYS(EDATE(S$1,1),Log_2018[[#This Row],[Date]]),Log_2018[[#This Row],[Split_apply]])) - SUM($O271:R271)</f>
        <v>0</v>
      </c>
      <c r="T271" s="52">
        <f ca="1">Log_2018[[#This Row],[Amount]]/Log_2018[[#This Row],[Split_raw]]*MAX(0,MIN(_xlfn.DAYS(EDATE(T$1,1),Log_2018[[#This Row],[Date]]),Log_2018[[#This Row],[Split_apply]])) - SUM($O271:S271)</f>
        <v>0</v>
      </c>
      <c r="U271" s="52">
        <f ca="1">Log_2018[[#This Row],[Amount]]/Log_2018[[#This Row],[Split_raw]]*MAX(0,MIN(_xlfn.DAYS(EDATE(U$1,1),Log_2018[[#This Row],[Date]]),Log_2018[[#This Row],[Split_apply]])) - SUM($O271:T271)</f>
        <v>0</v>
      </c>
      <c r="V271" s="52">
        <f ca="1">Log_2018[[#This Row],[Amount]]/Log_2018[[#This Row],[Split_raw]]*MAX(0,MIN(_xlfn.DAYS(EDATE(V$1,1),Log_2018[[#This Row],[Date]]),Log_2018[[#This Row],[Split_apply]])) - SUM($O271:U271)</f>
        <v>0</v>
      </c>
      <c r="W271" s="52">
        <f ca="1">Log_2018[[#This Row],[Amount]]/Log_2018[[#This Row],[Split_raw]]*MAX(0,MIN(_xlfn.DAYS(EDATE(W$1,1),Log_2018[[#This Row],[Date]]),Log_2018[[#This Row],[Split_apply]])) - SUM($O271:V271)</f>
        <v>0</v>
      </c>
      <c r="X271" s="52">
        <f ca="1">Log_2018[[#This Row],[Amount]]/Log_2018[[#This Row],[Split_raw]]*MAX(0,MIN(_xlfn.DAYS(EDATE(X$1,1),Log_2018[[#This Row],[Date]]),Log_2018[[#This Row],[Split_apply]])) - SUM($O271:W271)</f>
        <v>-320</v>
      </c>
      <c r="Y271" s="52">
        <f ca="1">Log_2018[[#This Row],[Amount]]/Log_2018[[#This Row],[Split_raw]]*MAX(0,MIN(_xlfn.DAYS(EDATE(Y$1,1),Log_2018[[#This Row],[Date]]),Log_2018[[#This Row],[Split_apply]])) - SUM($O271:X271)</f>
        <v>0</v>
      </c>
      <c r="Z271" s="52">
        <f ca="1">Log_2018[[#This Row],[Amount]]/Log_2018[[#This Row],[Split_raw]]*MAX(0,MIN(_xlfn.DAYS(EDATE(Z$1,1),Log_2018[[#This Row],[Date]]),Log_2018[[#This Row],[Split_apply]])) - SUM($O271:Y271)</f>
        <v>0</v>
      </c>
      <c r="AA271" s="52">
        <f ca="1">Log_2018[[#This Row],[Amount]]/Log_2018[[#This Row],[Split_raw]]*MAX(0,MIN(_xlfn.DAYS(EDATE(AA$1,1),Log_2018[[#This Row],[Date]]),Log_2018[[#This Row],[Split_apply]])) - SUM($O271:Z271)</f>
        <v>0</v>
      </c>
      <c r="AB271" s="54">
        <f ca="1">Log_2018[[#This Row],[Amount]]-SUM(O271:AA271)</f>
        <v>0</v>
      </c>
      <c r="AC271" s="7">
        <f ca="1">MAX(0,Log_2018[[#This Row],[Split_apply]] - (EDATE(AA$1,1)-Log_2018[[#This Row],[Date]]))</f>
        <v>0</v>
      </c>
    </row>
    <row r="272" spans="1:29" hidden="1" x14ac:dyDescent="0.25">
      <c r="A272" s="115"/>
      <c r="B272" t="s">
        <v>6</v>
      </c>
      <c r="D272" s="26">
        <v>43344</v>
      </c>
      <c r="F272" t="s">
        <v>105</v>
      </c>
      <c r="G272" t="s">
        <v>104</v>
      </c>
      <c r="H272" s="3">
        <f>--2345.95</f>
        <v>2345.9499999999998</v>
      </c>
      <c r="I272" s="36">
        <f>IF(Log_2018[[#This Row],[My Category]]="NONTRACKED",0,Log_2018[[#This Row],[Raw Amount]])</f>
        <v>2345.9499999999998</v>
      </c>
      <c r="J272" s="17">
        <f>ABS(Log_2018[[#This Row],[Amount]])</f>
        <v>2345.9499999999998</v>
      </c>
      <c r="K272" s="66">
        <v>1</v>
      </c>
      <c r="L272" s="66">
        <f ca="1">IF(Log_2018[[#This Row],[Date]]&lt;=TODAY(), MIN(Log_2018[[#This Row],[Split_raw]], TODAY()-Log_2018[[#This Row],[Date]]+1), 0)</f>
        <v>1</v>
      </c>
      <c r="M272" t="s">
        <v>159</v>
      </c>
      <c r="N272" t="s">
        <v>158</v>
      </c>
      <c r="O272" s="50">
        <v>0</v>
      </c>
      <c r="P272" s="52">
        <f ca="1">Log_2018[[#This Row],[Amount]]/Log_2018[[#This Row],[Split_raw]]*MAX(0,MIN(_xlfn.DAYS(EDATE(P$1,1),Log_2018[[#This Row],[Date]]),Log_2018[[#This Row],[Split_apply]])) - SUM($O272:O272)</f>
        <v>0</v>
      </c>
      <c r="Q272" s="52">
        <f ca="1">Log_2018[[#This Row],[Amount]]/Log_2018[[#This Row],[Split_raw]]*MAX(0,MIN(_xlfn.DAYS(EDATE(Q$1,1),Log_2018[[#This Row],[Date]]),Log_2018[[#This Row],[Split_apply]])) - SUM($O272:P272)</f>
        <v>0</v>
      </c>
      <c r="R272" s="52">
        <f ca="1">Log_2018[[#This Row],[Amount]]/Log_2018[[#This Row],[Split_raw]]*MAX(0,MIN(_xlfn.DAYS(EDATE(R$1,1),Log_2018[[#This Row],[Date]]),Log_2018[[#This Row],[Split_apply]])) - SUM($O272:Q272)</f>
        <v>0</v>
      </c>
      <c r="S272" s="52">
        <f ca="1">Log_2018[[#This Row],[Amount]]/Log_2018[[#This Row],[Split_raw]]*MAX(0,MIN(_xlfn.DAYS(EDATE(S$1,1),Log_2018[[#This Row],[Date]]),Log_2018[[#This Row],[Split_apply]])) - SUM($O272:R272)</f>
        <v>0</v>
      </c>
      <c r="T272" s="52">
        <f ca="1">Log_2018[[#This Row],[Amount]]/Log_2018[[#This Row],[Split_raw]]*MAX(0,MIN(_xlfn.DAYS(EDATE(T$1,1),Log_2018[[#This Row],[Date]]),Log_2018[[#This Row],[Split_apply]])) - SUM($O272:S272)</f>
        <v>0</v>
      </c>
      <c r="U272" s="52">
        <f ca="1">Log_2018[[#This Row],[Amount]]/Log_2018[[#This Row],[Split_raw]]*MAX(0,MIN(_xlfn.DAYS(EDATE(U$1,1),Log_2018[[#This Row],[Date]]),Log_2018[[#This Row],[Split_apply]])) - SUM($O272:T272)</f>
        <v>0</v>
      </c>
      <c r="V272" s="52">
        <f ca="1">Log_2018[[#This Row],[Amount]]/Log_2018[[#This Row],[Split_raw]]*MAX(0,MIN(_xlfn.DAYS(EDATE(V$1,1),Log_2018[[#This Row],[Date]]),Log_2018[[#This Row],[Split_apply]])) - SUM($O272:U272)</f>
        <v>0</v>
      </c>
      <c r="W272" s="52">
        <f ca="1">Log_2018[[#This Row],[Amount]]/Log_2018[[#This Row],[Split_raw]]*MAX(0,MIN(_xlfn.DAYS(EDATE(W$1,1),Log_2018[[#This Row],[Date]]),Log_2018[[#This Row],[Split_apply]])) - SUM($O272:V272)</f>
        <v>0</v>
      </c>
      <c r="X272" s="52">
        <f ca="1">Log_2018[[#This Row],[Amount]]/Log_2018[[#This Row],[Split_raw]]*MAX(0,MIN(_xlfn.DAYS(EDATE(X$1,1),Log_2018[[#This Row],[Date]]),Log_2018[[#This Row],[Split_apply]])) - SUM($O272:W272)</f>
        <v>2345.9499999999998</v>
      </c>
      <c r="Y272" s="52">
        <f ca="1">Log_2018[[#This Row],[Amount]]/Log_2018[[#This Row],[Split_raw]]*MAX(0,MIN(_xlfn.DAYS(EDATE(Y$1,1),Log_2018[[#This Row],[Date]]),Log_2018[[#This Row],[Split_apply]])) - SUM($O272:X272)</f>
        <v>0</v>
      </c>
      <c r="Z272" s="52">
        <f ca="1">Log_2018[[#This Row],[Amount]]/Log_2018[[#This Row],[Split_raw]]*MAX(0,MIN(_xlfn.DAYS(EDATE(Z$1,1),Log_2018[[#This Row],[Date]]),Log_2018[[#This Row],[Split_apply]])) - SUM($O272:Y272)</f>
        <v>0</v>
      </c>
      <c r="AA272" s="52">
        <f ca="1">Log_2018[[#This Row],[Amount]]/Log_2018[[#This Row],[Split_raw]]*MAX(0,MIN(_xlfn.DAYS(EDATE(AA$1,1),Log_2018[[#This Row],[Date]]),Log_2018[[#This Row],[Split_apply]])) - SUM($O272:Z272)</f>
        <v>0</v>
      </c>
      <c r="AB272" s="54">
        <f ca="1">Log_2018[[#This Row],[Amount]]-SUM(O272:AA272)</f>
        <v>0</v>
      </c>
      <c r="AC272" s="7">
        <f ca="1">MAX(0,Log_2018[[#This Row],[Split_apply]] - (EDATE(AA$1,1)-Log_2018[[#This Row],[Date]]))</f>
        <v>0</v>
      </c>
    </row>
    <row r="273" spans="1:29" hidden="1" x14ac:dyDescent="0.25">
      <c r="A273" s="115"/>
      <c r="B273" t="s">
        <v>6</v>
      </c>
      <c r="D273" s="26">
        <v>43344</v>
      </c>
      <c r="F273" t="s">
        <v>328</v>
      </c>
      <c r="G273" t="s">
        <v>25</v>
      </c>
      <c r="H273" s="3">
        <v>-10.47</v>
      </c>
      <c r="I273" s="36">
        <f>IF(Log_2018[[#This Row],[My Category]]="NONTRACKED",0,Log_2018[[#This Row],[Raw Amount]])</f>
        <v>-10.47</v>
      </c>
      <c r="J273" s="17">
        <f>ABS(Log_2018[[#This Row],[Amount]])</f>
        <v>10.47</v>
      </c>
      <c r="K273" s="66">
        <v>1</v>
      </c>
      <c r="L273" s="66">
        <f ca="1">IF(Log_2018[[#This Row],[Date]]&lt;=TODAY(), MIN(Log_2018[[#This Row],[Split_raw]], TODAY()-Log_2018[[#This Row],[Date]]+1), 0)</f>
        <v>1</v>
      </c>
      <c r="M273" t="s">
        <v>35</v>
      </c>
      <c r="N273" t="s">
        <v>158</v>
      </c>
      <c r="O273" s="50">
        <v>0</v>
      </c>
      <c r="P273" s="52">
        <f ca="1">Log_2018[[#This Row],[Amount]]/Log_2018[[#This Row],[Split_raw]]*MAX(0,MIN(_xlfn.DAYS(EDATE(P$1,1),Log_2018[[#This Row],[Date]]),Log_2018[[#This Row],[Split_apply]])) - SUM($O273:O273)</f>
        <v>0</v>
      </c>
      <c r="Q273" s="52">
        <f ca="1">Log_2018[[#This Row],[Amount]]/Log_2018[[#This Row],[Split_raw]]*MAX(0,MIN(_xlfn.DAYS(EDATE(Q$1,1),Log_2018[[#This Row],[Date]]),Log_2018[[#This Row],[Split_apply]])) - SUM($O273:P273)</f>
        <v>0</v>
      </c>
      <c r="R273" s="52">
        <f ca="1">Log_2018[[#This Row],[Amount]]/Log_2018[[#This Row],[Split_raw]]*MAX(0,MIN(_xlfn.DAYS(EDATE(R$1,1),Log_2018[[#This Row],[Date]]),Log_2018[[#This Row],[Split_apply]])) - SUM($O273:Q273)</f>
        <v>0</v>
      </c>
      <c r="S273" s="52">
        <f ca="1">Log_2018[[#This Row],[Amount]]/Log_2018[[#This Row],[Split_raw]]*MAX(0,MIN(_xlfn.DAYS(EDATE(S$1,1),Log_2018[[#This Row],[Date]]),Log_2018[[#This Row],[Split_apply]])) - SUM($O273:R273)</f>
        <v>0</v>
      </c>
      <c r="T273" s="52">
        <f ca="1">Log_2018[[#This Row],[Amount]]/Log_2018[[#This Row],[Split_raw]]*MAX(0,MIN(_xlfn.DAYS(EDATE(T$1,1),Log_2018[[#This Row],[Date]]),Log_2018[[#This Row],[Split_apply]])) - SUM($O273:S273)</f>
        <v>0</v>
      </c>
      <c r="U273" s="52">
        <f ca="1">Log_2018[[#This Row],[Amount]]/Log_2018[[#This Row],[Split_raw]]*MAX(0,MIN(_xlfn.DAYS(EDATE(U$1,1),Log_2018[[#This Row],[Date]]),Log_2018[[#This Row],[Split_apply]])) - SUM($O273:T273)</f>
        <v>0</v>
      </c>
      <c r="V273" s="52">
        <f ca="1">Log_2018[[#This Row],[Amount]]/Log_2018[[#This Row],[Split_raw]]*MAX(0,MIN(_xlfn.DAYS(EDATE(V$1,1),Log_2018[[#This Row],[Date]]),Log_2018[[#This Row],[Split_apply]])) - SUM($O273:U273)</f>
        <v>0</v>
      </c>
      <c r="W273" s="52">
        <f ca="1">Log_2018[[#This Row],[Amount]]/Log_2018[[#This Row],[Split_raw]]*MAX(0,MIN(_xlfn.DAYS(EDATE(W$1,1),Log_2018[[#This Row],[Date]]),Log_2018[[#This Row],[Split_apply]])) - SUM($O273:V273)</f>
        <v>0</v>
      </c>
      <c r="X273" s="52">
        <f ca="1">Log_2018[[#This Row],[Amount]]/Log_2018[[#This Row],[Split_raw]]*MAX(0,MIN(_xlfn.DAYS(EDATE(X$1,1),Log_2018[[#This Row],[Date]]),Log_2018[[#This Row],[Split_apply]])) - SUM($O273:W273)</f>
        <v>-10.47</v>
      </c>
      <c r="Y273" s="52">
        <f ca="1">Log_2018[[#This Row],[Amount]]/Log_2018[[#This Row],[Split_raw]]*MAX(0,MIN(_xlfn.DAYS(EDATE(Y$1,1),Log_2018[[#This Row],[Date]]),Log_2018[[#This Row],[Split_apply]])) - SUM($O273:X273)</f>
        <v>0</v>
      </c>
      <c r="Z273" s="52">
        <f ca="1">Log_2018[[#This Row],[Amount]]/Log_2018[[#This Row],[Split_raw]]*MAX(0,MIN(_xlfn.DAYS(EDATE(Z$1,1),Log_2018[[#This Row],[Date]]),Log_2018[[#This Row],[Split_apply]])) - SUM($O273:Y273)</f>
        <v>0</v>
      </c>
      <c r="AA273" s="52">
        <f ca="1">Log_2018[[#This Row],[Amount]]/Log_2018[[#This Row],[Split_raw]]*MAX(0,MIN(_xlfn.DAYS(EDATE(AA$1,1),Log_2018[[#This Row],[Date]]),Log_2018[[#This Row],[Split_apply]])) - SUM($O273:Z273)</f>
        <v>0</v>
      </c>
      <c r="AB273" s="54">
        <f ca="1">Log_2018[[#This Row],[Amount]]-SUM(O273:AA273)</f>
        <v>0</v>
      </c>
      <c r="AC273" s="7">
        <f ca="1">MAX(0,Log_2018[[#This Row],[Split_apply]] - (EDATE(AA$1,1)-Log_2018[[#This Row],[Date]]))</f>
        <v>0</v>
      </c>
    </row>
    <row r="274" spans="1:29" hidden="1" x14ac:dyDescent="0.25">
      <c r="A274" s="115"/>
      <c r="B274" t="s">
        <v>6</v>
      </c>
      <c r="D274" s="26">
        <v>43342</v>
      </c>
      <c r="F274" t="s">
        <v>184</v>
      </c>
      <c r="G274" t="s">
        <v>11</v>
      </c>
      <c r="H274" s="3">
        <v>-11.4</v>
      </c>
      <c r="I274" s="36">
        <f>IF(Log_2018[[#This Row],[My Category]]="NONTRACKED",0,Log_2018[[#This Row],[Raw Amount]])</f>
        <v>-11.4</v>
      </c>
      <c r="J274" s="17">
        <f>ABS(Log_2018[[#This Row],[Amount]])</f>
        <v>11.4</v>
      </c>
      <c r="K274" s="66">
        <v>1</v>
      </c>
      <c r="L274" s="66">
        <f ca="1">IF(Log_2018[[#This Row],[Date]]&lt;=TODAY(), MIN(Log_2018[[#This Row],[Split_raw]], TODAY()-Log_2018[[#This Row],[Date]]+1), 0)</f>
        <v>1</v>
      </c>
      <c r="M274" t="s">
        <v>12</v>
      </c>
      <c r="N274" t="s">
        <v>158</v>
      </c>
      <c r="O274" s="50">
        <v>0</v>
      </c>
      <c r="P274" s="52">
        <f ca="1">Log_2018[[#This Row],[Amount]]/Log_2018[[#This Row],[Split_raw]]*MAX(0,MIN(_xlfn.DAYS(EDATE(P$1,1),Log_2018[[#This Row],[Date]]),Log_2018[[#This Row],[Split_apply]])) - SUM($O274:O274)</f>
        <v>0</v>
      </c>
      <c r="Q274" s="52">
        <f ca="1">Log_2018[[#This Row],[Amount]]/Log_2018[[#This Row],[Split_raw]]*MAX(0,MIN(_xlfn.DAYS(EDATE(Q$1,1),Log_2018[[#This Row],[Date]]),Log_2018[[#This Row],[Split_apply]])) - SUM($O274:P274)</f>
        <v>0</v>
      </c>
      <c r="R274" s="52">
        <f ca="1">Log_2018[[#This Row],[Amount]]/Log_2018[[#This Row],[Split_raw]]*MAX(0,MIN(_xlfn.DAYS(EDATE(R$1,1),Log_2018[[#This Row],[Date]]),Log_2018[[#This Row],[Split_apply]])) - SUM($O274:Q274)</f>
        <v>0</v>
      </c>
      <c r="S274" s="52">
        <f ca="1">Log_2018[[#This Row],[Amount]]/Log_2018[[#This Row],[Split_raw]]*MAX(0,MIN(_xlfn.DAYS(EDATE(S$1,1),Log_2018[[#This Row],[Date]]),Log_2018[[#This Row],[Split_apply]])) - SUM($O274:R274)</f>
        <v>0</v>
      </c>
      <c r="T274" s="52">
        <f ca="1">Log_2018[[#This Row],[Amount]]/Log_2018[[#This Row],[Split_raw]]*MAX(0,MIN(_xlfn.DAYS(EDATE(T$1,1),Log_2018[[#This Row],[Date]]),Log_2018[[#This Row],[Split_apply]])) - SUM($O274:S274)</f>
        <v>0</v>
      </c>
      <c r="U274" s="52">
        <f ca="1">Log_2018[[#This Row],[Amount]]/Log_2018[[#This Row],[Split_raw]]*MAX(0,MIN(_xlfn.DAYS(EDATE(U$1,1),Log_2018[[#This Row],[Date]]),Log_2018[[#This Row],[Split_apply]])) - SUM($O274:T274)</f>
        <v>0</v>
      </c>
      <c r="V274" s="52">
        <f ca="1">Log_2018[[#This Row],[Amount]]/Log_2018[[#This Row],[Split_raw]]*MAX(0,MIN(_xlfn.DAYS(EDATE(V$1,1),Log_2018[[#This Row],[Date]]),Log_2018[[#This Row],[Split_apply]])) - SUM($O274:U274)</f>
        <v>0</v>
      </c>
      <c r="W274" s="52">
        <f ca="1">Log_2018[[#This Row],[Amount]]/Log_2018[[#This Row],[Split_raw]]*MAX(0,MIN(_xlfn.DAYS(EDATE(W$1,1),Log_2018[[#This Row],[Date]]),Log_2018[[#This Row],[Split_apply]])) - SUM($O274:V274)</f>
        <v>-11.4</v>
      </c>
      <c r="X274" s="52">
        <f ca="1">Log_2018[[#This Row],[Amount]]/Log_2018[[#This Row],[Split_raw]]*MAX(0,MIN(_xlfn.DAYS(EDATE(X$1,1),Log_2018[[#This Row],[Date]]),Log_2018[[#This Row],[Split_apply]])) - SUM($O274:W274)</f>
        <v>0</v>
      </c>
      <c r="Y274" s="52">
        <f ca="1">Log_2018[[#This Row],[Amount]]/Log_2018[[#This Row],[Split_raw]]*MAX(0,MIN(_xlfn.DAYS(EDATE(Y$1,1),Log_2018[[#This Row],[Date]]),Log_2018[[#This Row],[Split_apply]])) - SUM($O274:X274)</f>
        <v>0</v>
      </c>
      <c r="Z274" s="52">
        <f ca="1">Log_2018[[#This Row],[Amount]]/Log_2018[[#This Row],[Split_raw]]*MAX(0,MIN(_xlfn.DAYS(EDATE(Z$1,1),Log_2018[[#This Row],[Date]]),Log_2018[[#This Row],[Split_apply]])) - SUM($O274:Y274)</f>
        <v>0</v>
      </c>
      <c r="AA274" s="52">
        <f ca="1">Log_2018[[#This Row],[Amount]]/Log_2018[[#This Row],[Split_raw]]*MAX(0,MIN(_xlfn.DAYS(EDATE(AA$1,1),Log_2018[[#This Row],[Date]]),Log_2018[[#This Row],[Split_apply]])) - SUM($O274:Z274)</f>
        <v>0</v>
      </c>
      <c r="AB274" s="54">
        <f ca="1">Log_2018[[#This Row],[Amount]]-SUM(O274:AA274)</f>
        <v>0</v>
      </c>
      <c r="AC274" s="7">
        <f ca="1">MAX(0,Log_2018[[#This Row],[Split_apply]] - (EDATE(AA$1,1)-Log_2018[[#This Row],[Date]]))</f>
        <v>0</v>
      </c>
    </row>
    <row r="275" spans="1:29" hidden="1" x14ac:dyDescent="0.25">
      <c r="A275" s="115"/>
      <c r="B275" t="s">
        <v>6</v>
      </c>
      <c r="D275" s="26">
        <v>43342</v>
      </c>
      <c r="F275" t="s">
        <v>343</v>
      </c>
      <c r="G275" t="s">
        <v>9</v>
      </c>
      <c r="H275" s="3">
        <v>-25</v>
      </c>
      <c r="I275" s="36">
        <f>IF(Log_2018[[#This Row],[My Category]]="NONTRACKED",0,Log_2018[[#This Row],[Raw Amount]])</f>
        <v>-25</v>
      </c>
      <c r="J275" s="17">
        <f>ABS(Log_2018[[#This Row],[Amount]])</f>
        <v>25</v>
      </c>
      <c r="K275" s="66">
        <v>1</v>
      </c>
      <c r="L275" s="66">
        <f ca="1">IF(Log_2018[[#This Row],[Date]]&lt;=TODAY(), MIN(Log_2018[[#This Row],[Split_raw]], TODAY()-Log_2018[[#This Row],[Date]]+1), 0)</f>
        <v>1</v>
      </c>
      <c r="M275" t="s">
        <v>40</v>
      </c>
      <c r="N275" t="s">
        <v>158</v>
      </c>
      <c r="O275" s="50">
        <v>0</v>
      </c>
      <c r="P275" s="52">
        <f ca="1">Log_2018[[#This Row],[Amount]]/Log_2018[[#This Row],[Split_raw]]*MAX(0,MIN(_xlfn.DAYS(EDATE(P$1,1),Log_2018[[#This Row],[Date]]),Log_2018[[#This Row],[Split_apply]])) - SUM($O275:O275)</f>
        <v>0</v>
      </c>
      <c r="Q275" s="52">
        <f ca="1">Log_2018[[#This Row],[Amount]]/Log_2018[[#This Row],[Split_raw]]*MAX(0,MIN(_xlfn.DAYS(EDATE(Q$1,1),Log_2018[[#This Row],[Date]]),Log_2018[[#This Row],[Split_apply]])) - SUM($O275:P275)</f>
        <v>0</v>
      </c>
      <c r="R275" s="52">
        <f ca="1">Log_2018[[#This Row],[Amount]]/Log_2018[[#This Row],[Split_raw]]*MAX(0,MIN(_xlfn.DAYS(EDATE(R$1,1),Log_2018[[#This Row],[Date]]),Log_2018[[#This Row],[Split_apply]])) - SUM($O275:Q275)</f>
        <v>0</v>
      </c>
      <c r="S275" s="52">
        <f ca="1">Log_2018[[#This Row],[Amount]]/Log_2018[[#This Row],[Split_raw]]*MAX(0,MIN(_xlfn.DAYS(EDATE(S$1,1),Log_2018[[#This Row],[Date]]),Log_2018[[#This Row],[Split_apply]])) - SUM($O275:R275)</f>
        <v>0</v>
      </c>
      <c r="T275" s="52">
        <f ca="1">Log_2018[[#This Row],[Amount]]/Log_2018[[#This Row],[Split_raw]]*MAX(0,MIN(_xlfn.DAYS(EDATE(T$1,1),Log_2018[[#This Row],[Date]]),Log_2018[[#This Row],[Split_apply]])) - SUM($O275:S275)</f>
        <v>0</v>
      </c>
      <c r="U275" s="52">
        <f ca="1">Log_2018[[#This Row],[Amount]]/Log_2018[[#This Row],[Split_raw]]*MAX(0,MIN(_xlfn.DAYS(EDATE(U$1,1),Log_2018[[#This Row],[Date]]),Log_2018[[#This Row],[Split_apply]])) - SUM($O275:T275)</f>
        <v>0</v>
      </c>
      <c r="V275" s="52">
        <f ca="1">Log_2018[[#This Row],[Amount]]/Log_2018[[#This Row],[Split_raw]]*MAX(0,MIN(_xlfn.DAYS(EDATE(V$1,1),Log_2018[[#This Row],[Date]]),Log_2018[[#This Row],[Split_apply]])) - SUM($O275:U275)</f>
        <v>0</v>
      </c>
      <c r="W275" s="52">
        <f ca="1">Log_2018[[#This Row],[Amount]]/Log_2018[[#This Row],[Split_raw]]*MAX(0,MIN(_xlfn.DAYS(EDATE(W$1,1),Log_2018[[#This Row],[Date]]),Log_2018[[#This Row],[Split_apply]])) - SUM($O275:V275)</f>
        <v>-25</v>
      </c>
      <c r="X275" s="52">
        <f ca="1">Log_2018[[#This Row],[Amount]]/Log_2018[[#This Row],[Split_raw]]*MAX(0,MIN(_xlfn.DAYS(EDATE(X$1,1),Log_2018[[#This Row],[Date]]),Log_2018[[#This Row],[Split_apply]])) - SUM($O275:W275)</f>
        <v>0</v>
      </c>
      <c r="Y275" s="52">
        <f ca="1">Log_2018[[#This Row],[Amount]]/Log_2018[[#This Row],[Split_raw]]*MAX(0,MIN(_xlfn.DAYS(EDATE(Y$1,1),Log_2018[[#This Row],[Date]]),Log_2018[[#This Row],[Split_apply]])) - SUM($O275:X275)</f>
        <v>0</v>
      </c>
      <c r="Z275" s="52">
        <f ca="1">Log_2018[[#This Row],[Amount]]/Log_2018[[#This Row],[Split_raw]]*MAX(0,MIN(_xlfn.DAYS(EDATE(Z$1,1),Log_2018[[#This Row],[Date]]),Log_2018[[#This Row],[Split_apply]])) - SUM($O275:Y275)</f>
        <v>0</v>
      </c>
      <c r="AA275" s="52">
        <f ca="1">Log_2018[[#This Row],[Amount]]/Log_2018[[#This Row],[Split_raw]]*MAX(0,MIN(_xlfn.DAYS(EDATE(AA$1,1),Log_2018[[#This Row],[Date]]),Log_2018[[#This Row],[Split_apply]])) - SUM($O275:Z275)</f>
        <v>0</v>
      </c>
      <c r="AB275" s="54">
        <f ca="1">Log_2018[[#This Row],[Amount]]-SUM(O275:AA275)</f>
        <v>0</v>
      </c>
      <c r="AC275" s="7">
        <f ca="1">MAX(0,Log_2018[[#This Row],[Split_apply]] - (EDATE(AA$1,1)-Log_2018[[#This Row],[Date]]))</f>
        <v>0</v>
      </c>
    </row>
    <row r="276" spans="1:29" hidden="1" x14ac:dyDescent="0.25">
      <c r="A276" s="115"/>
      <c r="B276" t="s">
        <v>6</v>
      </c>
      <c r="D276" s="26">
        <v>43342</v>
      </c>
      <c r="F276" t="s">
        <v>255</v>
      </c>
      <c r="G276" t="s">
        <v>25</v>
      </c>
      <c r="H276" s="3">
        <v>-9.4</v>
      </c>
      <c r="I276" s="36">
        <f>IF(Log_2018[[#This Row],[My Category]]="NONTRACKED",0,Log_2018[[#This Row],[Raw Amount]])</f>
        <v>-9.4</v>
      </c>
      <c r="J276" s="17">
        <f>ABS(Log_2018[[#This Row],[Amount]])</f>
        <v>9.4</v>
      </c>
      <c r="K276" s="66">
        <v>1</v>
      </c>
      <c r="L276" s="66">
        <f ca="1">IF(Log_2018[[#This Row],[Date]]&lt;=TODAY(), MIN(Log_2018[[#This Row],[Split_raw]], TODAY()-Log_2018[[#This Row],[Date]]+1), 0)</f>
        <v>1</v>
      </c>
      <c r="M276" t="s">
        <v>35</v>
      </c>
      <c r="N276" t="s">
        <v>158</v>
      </c>
      <c r="O276" s="50">
        <v>0</v>
      </c>
      <c r="P276" s="52">
        <f ca="1">Log_2018[[#This Row],[Amount]]/Log_2018[[#This Row],[Split_raw]]*MAX(0,MIN(_xlfn.DAYS(EDATE(P$1,1),Log_2018[[#This Row],[Date]]),Log_2018[[#This Row],[Split_apply]])) - SUM($O276:O276)</f>
        <v>0</v>
      </c>
      <c r="Q276" s="52">
        <f ca="1">Log_2018[[#This Row],[Amount]]/Log_2018[[#This Row],[Split_raw]]*MAX(0,MIN(_xlfn.DAYS(EDATE(Q$1,1),Log_2018[[#This Row],[Date]]),Log_2018[[#This Row],[Split_apply]])) - SUM($O276:P276)</f>
        <v>0</v>
      </c>
      <c r="R276" s="52">
        <f ca="1">Log_2018[[#This Row],[Amount]]/Log_2018[[#This Row],[Split_raw]]*MAX(0,MIN(_xlfn.DAYS(EDATE(R$1,1),Log_2018[[#This Row],[Date]]),Log_2018[[#This Row],[Split_apply]])) - SUM($O276:Q276)</f>
        <v>0</v>
      </c>
      <c r="S276" s="52">
        <f ca="1">Log_2018[[#This Row],[Amount]]/Log_2018[[#This Row],[Split_raw]]*MAX(0,MIN(_xlfn.DAYS(EDATE(S$1,1),Log_2018[[#This Row],[Date]]),Log_2018[[#This Row],[Split_apply]])) - SUM($O276:R276)</f>
        <v>0</v>
      </c>
      <c r="T276" s="52">
        <f ca="1">Log_2018[[#This Row],[Amount]]/Log_2018[[#This Row],[Split_raw]]*MAX(0,MIN(_xlfn.DAYS(EDATE(T$1,1),Log_2018[[#This Row],[Date]]),Log_2018[[#This Row],[Split_apply]])) - SUM($O276:S276)</f>
        <v>0</v>
      </c>
      <c r="U276" s="52">
        <f ca="1">Log_2018[[#This Row],[Amount]]/Log_2018[[#This Row],[Split_raw]]*MAX(0,MIN(_xlfn.DAYS(EDATE(U$1,1),Log_2018[[#This Row],[Date]]),Log_2018[[#This Row],[Split_apply]])) - SUM($O276:T276)</f>
        <v>0</v>
      </c>
      <c r="V276" s="52">
        <f ca="1">Log_2018[[#This Row],[Amount]]/Log_2018[[#This Row],[Split_raw]]*MAX(0,MIN(_xlfn.DAYS(EDATE(V$1,1),Log_2018[[#This Row],[Date]]),Log_2018[[#This Row],[Split_apply]])) - SUM($O276:U276)</f>
        <v>0</v>
      </c>
      <c r="W276" s="52">
        <f ca="1">Log_2018[[#This Row],[Amount]]/Log_2018[[#This Row],[Split_raw]]*MAX(0,MIN(_xlfn.DAYS(EDATE(W$1,1),Log_2018[[#This Row],[Date]]),Log_2018[[#This Row],[Split_apply]])) - SUM($O276:V276)</f>
        <v>-9.4</v>
      </c>
      <c r="X276" s="52">
        <f ca="1">Log_2018[[#This Row],[Amount]]/Log_2018[[#This Row],[Split_raw]]*MAX(0,MIN(_xlfn.DAYS(EDATE(X$1,1),Log_2018[[#This Row],[Date]]),Log_2018[[#This Row],[Split_apply]])) - SUM($O276:W276)</f>
        <v>0</v>
      </c>
      <c r="Y276" s="52">
        <f ca="1">Log_2018[[#This Row],[Amount]]/Log_2018[[#This Row],[Split_raw]]*MAX(0,MIN(_xlfn.DAYS(EDATE(Y$1,1),Log_2018[[#This Row],[Date]]),Log_2018[[#This Row],[Split_apply]])) - SUM($O276:X276)</f>
        <v>0</v>
      </c>
      <c r="Z276" s="52">
        <f ca="1">Log_2018[[#This Row],[Amount]]/Log_2018[[#This Row],[Split_raw]]*MAX(0,MIN(_xlfn.DAYS(EDATE(Z$1,1),Log_2018[[#This Row],[Date]]),Log_2018[[#This Row],[Split_apply]])) - SUM($O276:Y276)</f>
        <v>0</v>
      </c>
      <c r="AA276" s="52">
        <f ca="1">Log_2018[[#This Row],[Amount]]/Log_2018[[#This Row],[Split_raw]]*MAX(0,MIN(_xlfn.DAYS(EDATE(AA$1,1),Log_2018[[#This Row],[Date]]),Log_2018[[#This Row],[Split_apply]])) - SUM($O276:Z276)</f>
        <v>0</v>
      </c>
      <c r="AB276" s="54">
        <f ca="1">Log_2018[[#This Row],[Amount]]-SUM(O276:AA276)</f>
        <v>0</v>
      </c>
      <c r="AC276" s="7">
        <f ca="1">MAX(0,Log_2018[[#This Row],[Split_apply]] - (EDATE(AA$1,1)-Log_2018[[#This Row],[Date]]))</f>
        <v>0</v>
      </c>
    </row>
    <row r="277" spans="1:29" hidden="1" x14ac:dyDescent="0.25">
      <c r="A277" s="115"/>
      <c r="B277" t="s">
        <v>6</v>
      </c>
      <c r="D277" s="39">
        <v>43342</v>
      </c>
      <c r="F277" t="s">
        <v>16</v>
      </c>
      <c r="G277" t="s">
        <v>17</v>
      </c>
      <c r="H277" s="3">
        <f>--0.15</f>
        <v>0.15</v>
      </c>
      <c r="I277" s="36">
        <f>IF(Log_2018[[#This Row],[My Category]]="NONTRACKED",0,Log_2018[[#This Row],[Raw Amount]])</f>
        <v>0.15</v>
      </c>
      <c r="J277" s="17">
        <f>ABS(Log_2018[[#This Row],[Amount]])</f>
        <v>0.15</v>
      </c>
      <c r="K277" s="66">
        <v>1</v>
      </c>
      <c r="L277" s="66">
        <f ca="1">IF(Log_2018[[#This Row],[Date]]&lt;=TODAY(), MIN(Log_2018[[#This Row],[Split_raw]], TODAY()-Log_2018[[#This Row],[Date]]+1), 0)</f>
        <v>1</v>
      </c>
      <c r="M277" t="s">
        <v>144</v>
      </c>
      <c r="N277" t="s">
        <v>160</v>
      </c>
      <c r="O277" s="50">
        <v>0</v>
      </c>
      <c r="P277" s="52">
        <f ca="1">Log_2018[[#This Row],[Amount]]/Log_2018[[#This Row],[Split_raw]]*MAX(0,MIN(_xlfn.DAYS(EDATE(P$1,1),Log_2018[[#This Row],[Date]]),Log_2018[[#This Row],[Split_apply]])) - SUM($O277:O277)</f>
        <v>0</v>
      </c>
      <c r="Q277" s="52">
        <f ca="1">Log_2018[[#This Row],[Amount]]/Log_2018[[#This Row],[Split_raw]]*MAX(0,MIN(_xlfn.DAYS(EDATE(Q$1,1),Log_2018[[#This Row],[Date]]),Log_2018[[#This Row],[Split_apply]])) - SUM($O277:P277)</f>
        <v>0</v>
      </c>
      <c r="R277" s="52">
        <f ca="1">Log_2018[[#This Row],[Amount]]/Log_2018[[#This Row],[Split_raw]]*MAX(0,MIN(_xlfn.DAYS(EDATE(R$1,1),Log_2018[[#This Row],[Date]]),Log_2018[[#This Row],[Split_apply]])) - SUM($O277:Q277)</f>
        <v>0</v>
      </c>
      <c r="S277" s="52">
        <f ca="1">Log_2018[[#This Row],[Amount]]/Log_2018[[#This Row],[Split_raw]]*MAX(0,MIN(_xlfn.DAYS(EDATE(S$1,1),Log_2018[[#This Row],[Date]]),Log_2018[[#This Row],[Split_apply]])) - SUM($O277:R277)</f>
        <v>0</v>
      </c>
      <c r="T277" s="52">
        <f ca="1">Log_2018[[#This Row],[Amount]]/Log_2018[[#This Row],[Split_raw]]*MAX(0,MIN(_xlfn.DAYS(EDATE(T$1,1),Log_2018[[#This Row],[Date]]),Log_2018[[#This Row],[Split_apply]])) - SUM($O277:S277)</f>
        <v>0</v>
      </c>
      <c r="U277" s="52">
        <f ca="1">Log_2018[[#This Row],[Amount]]/Log_2018[[#This Row],[Split_raw]]*MAX(0,MIN(_xlfn.DAYS(EDATE(U$1,1),Log_2018[[#This Row],[Date]]),Log_2018[[#This Row],[Split_apply]])) - SUM($O277:T277)</f>
        <v>0</v>
      </c>
      <c r="V277" s="52">
        <f ca="1">Log_2018[[#This Row],[Amount]]/Log_2018[[#This Row],[Split_raw]]*MAX(0,MIN(_xlfn.DAYS(EDATE(V$1,1),Log_2018[[#This Row],[Date]]),Log_2018[[#This Row],[Split_apply]])) - SUM($O277:U277)</f>
        <v>0</v>
      </c>
      <c r="W277" s="52">
        <f ca="1">Log_2018[[#This Row],[Amount]]/Log_2018[[#This Row],[Split_raw]]*MAX(0,MIN(_xlfn.DAYS(EDATE(W$1,1),Log_2018[[#This Row],[Date]]),Log_2018[[#This Row],[Split_apply]])) - SUM($O277:V277)</f>
        <v>0.15</v>
      </c>
      <c r="X277" s="52">
        <f ca="1">Log_2018[[#This Row],[Amount]]/Log_2018[[#This Row],[Split_raw]]*MAX(0,MIN(_xlfn.DAYS(EDATE(X$1,1),Log_2018[[#This Row],[Date]]),Log_2018[[#This Row],[Split_apply]])) - SUM($O277:W277)</f>
        <v>0</v>
      </c>
      <c r="Y277" s="52">
        <f ca="1">Log_2018[[#This Row],[Amount]]/Log_2018[[#This Row],[Split_raw]]*MAX(0,MIN(_xlfn.DAYS(EDATE(Y$1,1),Log_2018[[#This Row],[Date]]),Log_2018[[#This Row],[Split_apply]])) - SUM($O277:X277)</f>
        <v>0</v>
      </c>
      <c r="Z277" s="52">
        <f ca="1">Log_2018[[#This Row],[Amount]]/Log_2018[[#This Row],[Split_raw]]*MAX(0,MIN(_xlfn.DAYS(EDATE(Z$1,1),Log_2018[[#This Row],[Date]]),Log_2018[[#This Row],[Split_apply]])) - SUM($O277:Y277)</f>
        <v>0</v>
      </c>
      <c r="AA277" s="52">
        <f ca="1">Log_2018[[#This Row],[Amount]]/Log_2018[[#This Row],[Split_raw]]*MAX(0,MIN(_xlfn.DAYS(EDATE(AA$1,1),Log_2018[[#This Row],[Date]]),Log_2018[[#This Row],[Split_apply]])) - SUM($O277:Z277)</f>
        <v>0</v>
      </c>
      <c r="AB277" s="54">
        <f ca="1">Log_2018[[#This Row],[Amount]]-SUM(O277:AA277)</f>
        <v>0</v>
      </c>
      <c r="AC277" s="7">
        <f ca="1">MAX(0,Log_2018[[#This Row],[Split_apply]] - (EDATE(AA$1,1)-Log_2018[[#This Row],[Date]]))</f>
        <v>0</v>
      </c>
    </row>
    <row r="278" spans="1:29" hidden="1" x14ac:dyDescent="0.25">
      <c r="A278" s="115"/>
      <c r="B278" t="s">
        <v>191</v>
      </c>
      <c r="D278" s="39">
        <v>43342</v>
      </c>
      <c r="E278" t="s">
        <v>91</v>
      </c>
      <c r="F278" t="s">
        <v>265</v>
      </c>
      <c r="G278" t="s">
        <v>87</v>
      </c>
      <c r="H278" s="3">
        <f>--1886.5</f>
        <v>1886.5</v>
      </c>
      <c r="I278" s="36">
        <f>IF(Log_2018[[#This Row],[My Category]]="NONTRACKED",0,Log_2018[[#This Row],[Raw Amount]])</f>
        <v>1886.5</v>
      </c>
      <c r="J278" s="17">
        <f>ABS(Log_2018[[#This Row],[Amount]])</f>
        <v>1886.5</v>
      </c>
      <c r="K278" s="66">
        <v>14</v>
      </c>
      <c r="L278" s="66">
        <f ca="1">IF(Log_2018[[#This Row],[Date]]&lt;=TODAY(), MIN(Log_2018[[#This Row],[Split_raw]], TODAY()-Log_2018[[#This Row],[Date]]+1), 0)</f>
        <v>14</v>
      </c>
      <c r="M278" t="s">
        <v>91</v>
      </c>
      <c r="N278" t="s">
        <v>160</v>
      </c>
      <c r="O278" s="50">
        <v>0</v>
      </c>
      <c r="P278" s="52">
        <f ca="1">Log_2018[[#This Row],[Amount]]/Log_2018[[#This Row],[Split_raw]]*MAX(0,MIN(_xlfn.DAYS(EDATE(P$1,1),Log_2018[[#This Row],[Date]]),Log_2018[[#This Row],[Split_apply]])) - SUM($O278:O278)</f>
        <v>0</v>
      </c>
      <c r="Q278" s="52">
        <f ca="1">Log_2018[[#This Row],[Amount]]/Log_2018[[#This Row],[Split_raw]]*MAX(0,MIN(_xlfn.DAYS(EDATE(Q$1,1),Log_2018[[#This Row],[Date]]),Log_2018[[#This Row],[Split_apply]])) - SUM($O278:P278)</f>
        <v>0</v>
      </c>
      <c r="R278" s="52">
        <f ca="1">Log_2018[[#This Row],[Amount]]/Log_2018[[#This Row],[Split_raw]]*MAX(0,MIN(_xlfn.DAYS(EDATE(R$1,1),Log_2018[[#This Row],[Date]]),Log_2018[[#This Row],[Split_apply]])) - SUM($O278:Q278)</f>
        <v>0</v>
      </c>
      <c r="S278" s="52">
        <f ca="1">Log_2018[[#This Row],[Amount]]/Log_2018[[#This Row],[Split_raw]]*MAX(0,MIN(_xlfn.DAYS(EDATE(S$1,1),Log_2018[[#This Row],[Date]]),Log_2018[[#This Row],[Split_apply]])) - SUM($O278:R278)</f>
        <v>0</v>
      </c>
      <c r="T278" s="52">
        <f ca="1">Log_2018[[#This Row],[Amount]]/Log_2018[[#This Row],[Split_raw]]*MAX(0,MIN(_xlfn.DAYS(EDATE(T$1,1),Log_2018[[#This Row],[Date]]),Log_2018[[#This Row],[Split_apply]])) - SUM($O278:S278)</f>
        <v>0</v>
      </c>
      <c r="U278" s="52">
        <f ca="1">Log_2018[[#This Row],[Amount]]/Log_2018[[#This Row],[Split_raw]]*MAX(0,MIN(_xlfn.DAYS(EDATE(U$1,1),Log_2018[[#This Row],[Date]]),Log_2018[[#This Row],[Split_apply]])) - SUM($O278:T278)</f>
        <v>0</v>
      </c>
      <c r="V278" s="52">
        <f ca="1">Log_2018[[#This Row],[Amount]]/Log_2018[[#This Row],[Split_raw]]*MAX(0,MIN(_xlfn.DAYS(EDATE(V$1,1),Log_2018[[#This Row],[Date]]),Log_2018[[#This Row],[Split_apply]])) - SUM($O278:U278)</f>
        <v>0</v>
      </c>
      <c r="W278" s="52">
        <f ca="1">Log_2018[[#This Row],[Amount]]/Log_2018[[#This Row],[Split_raw]]*MAX(0,MIN(_xlfn.DAYS(EDATE(W$1,1),Log_2018[[#This Row],[Date]]),Log_2018[[#This Row],[Split_apply]])) - SUM($O278:V278)</f>
        <v>269.5</v>
      </c>
      <c r="X278" s="52">
        <f ca="1">Log_2018[[#This Row],[Amount]]/Log_2018[[#This Row],[Split_raw]]*MAX(0,MIN(_xlfn.DAYS(EDATE(X$1,1),Log_2018[[#This Row],[Date]]),Log_2018[[#This Row],[Split_apply]])) - SUM($O278:W278)</f>
        <v>1617</v>
      </c>
      <c r="Y278" s="52">
        <f ca="1">Log_2018[[#This Row],[Amount]]/Log_2018[[#This Row],[Split_raw]]*MAX(0,MIN(_xlfn.DAYS(EDATE(Y$1,1),Log_2018[[#This Row],[Date]]),Log_2018[[#This Row],[Split_apply]])) - SUM($O278:X278)</f>
        <v>0</v>
      </c>
      <c r="Z278" s="52">
        <f ca="1">Log_2018[[#This Row],[Amount]]/Log_2018[[#This Row],[Split_raw]]*MAX(0,MIN(_xlfn.DAYS(EDATE(Z$1,1),Log_2018[[#This Row],[Date]]),Log_2018[[#This Row],[Split_apply]])) - SUM($O278:Y278)</f>
        <v>0</v>
      </c>
      <c r="AA278" s="52">
        <f ca="1">Log_2018[[#This Row],[Amount]]/Log_2018[[#This Row],[Split_raw]]*MAX(0,MIN(_xlfn.DAYS(EDATE(AA$1,1),Log_2018[[#This Row],[Date]]),Log_2018[[#This Row],[Split_apply]])) - SUM($O278:Z278)</f>
        <v>0</v>
      </c>
      <c r="AB278" s="54">
        <f ca="1">Log_2018[[#This Row],[Amount]]-SUM(O278:AA278)</f>
        <v>0</v>
      </c>
      <c r="AC278" s="7">
        <f ca="1">MAX(0,Log_2018[[#This Row],[Split_apply]] - (EDATE(AA$1,1)-Log_2018[[#This Row],[Date]]))</f>
        <v>0</v>
      </c>
    </row>
    <row r="279" spans="1:29" hidden="1" x14ac:dyDescent="0.25">
      <c r="A279" s="115"/>
      <c r="B279" t="s">
        <v>6</v>
      </c>
      <c r="D279" s="39">
        <v>43341</v>
      </c>
      <c r="F279" t="s">
        <v>349</v>
      </c>
      <c r="G279" t="s">
        <v>25</v>
      </c>
      <c r="H279" s="3">
        <v>-8.09</v>
      </c>
      <c r="I279" s="36">
        <f>IF(Log_2018[[#This Row],[My Category]]="NONTRACKED",0,Log_2018[[#This Row],[Raw Amount]])</f>
        <v>-8.09</v>
      </c>
      <c r="J279" s="17">
        <f>ABS(Log_2018[[#This Row],[Amount]])</f>
        <v>8.09</v>
      </c>
      <c r="K279" s="66">
        <v>1</v>
      </c>
      <c r="L279" s="66">
        <f ca="1">IF(Log_2018[[#This Row],[Date]]&lt;=TODAY(), MIN(Log_2018[[#This Row],[Split_raw]], TODAY()-Log_2018[[#This Row],[Date]]+1), 0)</f>
        <v>1</v>
      </c>
      <c r="M279" t="s">
        <v>35</v>
      </c>
      <c r="N279" t="s">
        <v>158</v>
      </c>
      <c r="O279" s="50">
        <v>0</v>
      </c>
      <c r="P279" s="52">
        <f ca="1">Log_2018[[#This Row],[Amount]]/Log_2018[[#This Row],[Split_raw]]*MAX(0,MIN(_xlfn.DAYS(EDATE(P$1,1),Log_2018[[#This Row],[Date]]),Log_2018[[#This Row],[Split_apply]])) - SUM($O279:O279)</f>
        <v>0</v>
      </c>
      <c r="Q279" s="52">
        <f ca="1">Log_2018[[#This Row],[Amount]]/Log_2018[[#This Row],[Split_raw]]*MAX(0,MIN(_xlfn.DAYS(EDATE(Q$1,1),Log_2018[[#This Row],[Date]]),Log_2018[[#This Row],[Split_apply]])) - SUM($O279:P279)</f>
        <v>0</v>
      </c>
      <c r="R279" s="52">
        <f ca="1">Log_2018[[#This Row],[Amount]]/Log_2018[[#This Row],[Split_raw]]*MAX(0,MIN(_xlfn.DAYS(EDATE(R$1,1),Log_2018[[#This Row],[Date]]),Log_2018[[#This Row],[Split_apply]])) - SUM($O279:Q279)</f>
        <v>0</v>
      </c>
      <c r="S279" s="52">
        <f ca="1">Log_2018[[#This Row],[Amount]]/Log_2018[[#This Row],[Split_raw]]*MAX(0,MIN(_xlfn.DAYS(EDATE(S$1,1),Log_2018[[#This Row],[Date]]),Log_2018[[#This Row],[Split_apply]])) - SUM($O279:R279)</f>
        <v>0</v>
      </c>
      <c r="T279" s="52">
        <f ca="1">Log_2018[[#This Row],[Amount]]/Log_2018[[#This Row],[Split_raw]]*MAX(0,MIN(_xlfn.DAYS(EDATE(T$1,1),Log_2018[[#This Row],[Date]]),Log_2018[[#This Row],[Split_apply]])) - SUM($O279:S279)</f>
        <v>0</v>
      </c>
      <c r="U279" s="52">
        <f ca="1">Log_2018[[#This Row],[Amount]]/Log_2018[[#This Row],[Split_raw]]*MAX(0,MIN(_xlfn.DAYS(EDATE(U$1,1),Log_2018[[#This Row],[Date]]),Log_2018[[#This Row],[Split_apply]])) - SUM($O279:T279)</f>
        <v>0</v>
      </c>
      <c r="V279" s="52">
        <f ca="1">Log_2018[[#This Row],[Amount]]/Log_2018[[#This Row],[Split_raw]]*MAX(0,MIN(_xlfn.DAYS(EDATE(V$1,1),Log_2018[[#This Row],[Date]]),Log_2018[[#This Row],[Split_apply]])) - SUM($O279:U279)</f>
        <v>0</v>
      </c>
      <c r="W279" s="52">
        <f ca="1">Log_2018[[#This Row],[Amount]]/Log_2018[[#This Row],[Split_raw]]*MAX(0,MIN(_xlfn.DAYS(EDATE(W$1,1),Log_2018[[#This Row],[Date]]),Log_2018[[#This Row],[Split_apply]])) - SUM($O279:V279)</f>
        <v>-8.09</v>
      </c>
      <c r="X279" s="52">
        <f ca="1">Log_2018[[#This Row],[Amount]]/Log_2018[[#This Row],[Split_raw]]*MAX(0,MIN(_xlfn.DAYS(EDATE(X$1,1),Log_2018[[#This Row],[Date]]),Log_2018[[#This Row],[Split_apply]])) - SUM($O279:W279)</f>
        <v>0</v>
      </c>
      <c r="Y279" s="52">
        <f ca="1">Log_2018[[#This Row],[Amount]]/Log_2018[[#This Row],[Split_raw]]*MAX(0,MIN(_xlfn.DAYS(EDATE(Y$1,1),Log_2018[[#This Row],[Date]]),Log_2018[[#This Row],[Split_apply]])) - SUM($O279:X279)</f>
        <v>0</v>
      </c>
      <c r="Z279" s="52">
        <f ca="1">Log_2018[[#This Row],[Amount]]/Log_2018[[#This Row],[Split_raw]]*MAX(0,MIN(_xlfn.DAYS(EDATE(Z$1,1),Log_2018[[#This Row],[Date]]),Log_2018[[#This Row],[Split_apply]])) - SUM($O279:Y279)</f>
        <v>0</v>
      </c>
      <c r="AA279" s="52">
        <f ca="1">Log_2018[[#This Row],[Amount]]/Log_2018[[#This Row],[Split_raw]]*MAX(0,MIN(_xlfn.DAYS(EDATE(AA$1,1),Log_2018[[#This Row],[Date]]),Log_2018[[#This Row],[Split_apply]])) - SUM($O279:Z279)</f>
        <v>0</v>
      </c>
      <c r="AB279" s="54">
        <f ca="1">Log_2018[[#This Row],[Amount]]-SUM(O279:AA279)</f>
        <v>0</v>
      </c>
      <c r="AC279" s="7">
        <f ca="1">MAX(0,Log_2018[[#This Row],[Split_apply]] - (EDATE(AA$1,1)-Log_2018[[#This Row],[Date]]))</f>
        <v>0</v>
      </c>
    </row>
    <row r="280" spans="1:29" hidden="1" x14ac:dyDescent="0.25">
      <c r="A280" s="115"/>
      <c r="B280" t="s">
        <v>6</v>
      </c>
      <c r="D280" s="39">
        <v>43340</v>
      </c>
      <c r="E280" t="s">
        <v>251</v>
      </c>
      <c r="F280" t="s">
        <v>246</v>
      </c>
      <c r="G280" t="s">
        <v>143</v>
      </c>
      <c r="H280" s="3">
        <v>-8.65</v>
      </c>
      <c r="I280" s="36">
        <f>IF(Log_2018[[#This Row],[My Category]]="NONTRACKED",0,Log_2018[[#This Row],[Raw Amount]])</f>
        <v>-8.65</v>
      </c>
      <c r="J280" s="17">
        <f>ABS(Log_2018[[#This Row],[Amount]])</f>
        <v>8.65</v>
      </c>
      <c r="K280" s="66">
        <v>30</v>
      </c>
      <c r="L280" s="66">
        <f ca="1">IF(Log_2018[[#This Row],[Date]]&lt;=TODAY(), MIN(Log_2018[[#This Row],[Split_raw]], TODAY()-Log_2018[[#This Row],[Date]]+1), 0)</f>
        <v>30</v>
      </c>
      <c r="M280" t="s">
        <v>53</v>
      </c>
      <c r="N280" t="s">
        <v>160</v>
      </c>
      <c r="O280" s="50">
        <v>0</v>
      </c>
      <c r="P280" s="52">
        <f ca="1">Log_2018[[#This Row],[Amount]]/Log_2018[[#This Row],[Split_raw]]*MAX(0,MIN(_xlfn.DAYS(EDATE(P$1,1),Log_2018[[#This Row],[Date]]),Log_2018[[#This Row],[Split_apply]])) - SUM($O280:O280)</f>
        <v>0</v>
      </c>
      <c r="Q280" s="52">
        <f ca="1">Log_2018[[#This Row],[Amount]]/Log_2018[[#This Row],[Split_raw]]*MAX(0,MIN(_xlfn.DAYS(EDATE(Q$1,1),Log_2018[[#This Row],[Date]]),Log_2018[[#This Row],[Split_apply]])) - SUM($O280:P280)</f>
        <v>0</v>
      </c>
      <c r="R280" s="52">
        <f ca="1">Log_2018[[#This Row],[Amount]]/Log_2018[[#This Row],[Split_raw]]*MAX(0,MIN(_xlfn.DAYS(EDATE(R$1,1),Log_2018[[#This Row],[Date]]),Log_2018[[#This Row],[Split_apply]])) - SUM($O280:Q280)</f>
        <v>0</v>
      </c>
      <c r="S280" s="52">
        <f ca="1">Log_2018[[#This Row],[Amount]]/Log_2018[[#This Row],[Split_raw]]*MAX(0,MIN(_xlfn.DAYS(EDATE(S$1,1),Log_2018[[#This Row],[Date]]),Log_2018[[#This Row],[Split_apply]])) - SUM($O280:R280)</f>
        <v>0</v>
      </c>
      <c r="T280" s="52">
        <f ca="1">Log_2018[[#This Row],[Amount]]/Log_2018[[#This Row],[Split_raw]]*MAX(0,MIN(_xlfn.DAYS(EDATE(T$1,1),Log_2018[[#This Row],[Date]]),Log_2018[[#This Row],[Split_apply]])) - SUM($O280:S280)</f>
        <v>0</v>
      </c>
      <c r="U280" s="52">
        <f ca="1">Log_2018[[#This Row],[Amount]]/Log_2018[[#This Row],[Split_raw]]*MAX(0,MIN(_xlfn.DAYS(EDATE(U$1,1),Log_2018[[#This Row],[Date]]),Log_2018[[#This Row],[Split_apply]])) - SUM($O280:T280)</f>
        <v>0</v>
      </c>
      <c r="V280" s="52">
        <f ca="1">Log_2018[[#This Row],[Amount]]/Log_2018[[#This Row],[Split_raw]]*MAX(0,MIN(_xlfn.DAYS(EDATE(V$1,1),Log_2018[[#This Row],[Date]]),Log_2018[[#This Row],[Split_apply]])) - SUM($O280:U280)</f>
        <v>0</v>
      </c>
      <c r="W280" s="52">
        <f ca="1">Log_2018[[#This Row],[Amount]]/Log_2018[[#This Row],[Split_raw]]*MAX(0,MIN(_xlfn.DAYS(EDATE(W$1,1),Log_2018[[#This Row],[Date]]),Log_2018[[#This Row],[Split_apply]])) - SUM($O280:V280)</f>
        <v>-1.1533333333333333</v>
      </c>
      <c r="X280" s="52">
        <f ca="1">Log_2018[[#This Row],[Amount]]/Log_2018[[#This Row],[Split_raw]]*MAX(0,MIN(_xlfn.DAYS(EDATE(X$1,1),Log_2018[[#This Row],[Date]]),Log_2018[[#This Row],[Split_apply]])) - SUM($O280:W280)</f>
        <v>-7.496666666666667</v>
      </c>
      <c r="Y280" s="52">
        <f ca="1">Log_2018[[#This Row],[Amount]]/Log_2018[[#This Row],[Split_raw]]*MAX(0,MIN(_xlfn.DAYS(EDATE(Y$1,1),Log_2018[[#This Row],[Date]]),Log_2018[[#This Row],[Split_apply]])) - SUM($O280:X280)</f>
        <v>0</v>
      </c>
      <c r="Z280" s="52">
        <f ca="1">Log_2018[[#This Row],[Amount]]/Log_2018[[#This Row],[Split_raw]]*MAX(0,MIN(_xlfn.DAYS(EDATE(Z$1,1),Log_2018[[#This Row],[Date]]),Log_2018[[#This Row],[Split_apply]])) - SUM($O280:Y280)</f>
        <v>0</v>
      </c>
      <c r="AA280" s="52">
        <f ca="1">Log_2018[[#This Row],[Amount]]/Log_2018[[#This Row],[Split_raw]]*MAX(0,MIN(_xlfn.DAYS(EDATE(AA$1,1),Log_2018[[#This Row],[Date]]),Log_2018[[#This Row],[Split_apply]])) - SUM($O280:Z280)</f>
        <v>0</v>
      </c>
      <c r="AB280" s="54">
        <f ca="1">Log_2018[[#This Row],[Amount]]-SUM(O280:AA280)</f>
        <v>0</v>
      </c>
      <c r="AC280" s="7">
        <f ca="1">MAX(0,Log_2018[[#This Row],[Split_apply]] - (EDATE(AA$1,1)-Log_2018[[#This Row],[Date]]))</f>
        <v>0</v>
      </c>
    </row>
    <row r="281" spans="1:29" hidden="1" x14ac:dyDescent="0.25">
      <c r="A281" s="115"/>
      <c r="B281" t="s">
        <v>6</v>
      </c>
      <c r="D281" s="39">
        <v>43339</v>
      </c>
      <c r="F281" t="s">
        <v>306</v>
      </c>
      <c r="G281" t="s">
        <v>25</v>
      </c>
      <c r="H281" s="3">
        <v>-10.25</v>
      </c>
      <c r="I281" s="36">
        <f>IF(Log_2018[[#This Row],[My Category]]="NONTRACKED",0,Log_2018[[#This Row],[Raw Amount]])</f>
        <v>-10.25</v>
      </c>
      <c r="J281" s="17">
        <f>ABS(Log_2018[[#This Row],[Amount]])</f>
        <v>10.25</v>
      </c>
      <c r="K281" s="66">
        <v>1</v>
      </c>
      <c r="L281" s="66">
        <f ca="1">IF(Log_2018[[#This Row],[Date]]&lt;=TODAY(), MIN(Log_2018[[#This Row],[Split_raw]], TODAY()-Log_2018[[#This Row],[Date]]+1), 0)</f>
        <v>1</v>
      </c>
      <c r="M281" t="s">
        <v>35</v>
      </c>
      <c r="N281" t="s">
        <v>158</v>
      </c>
      <c r="O281" s="50">
        <v>0</v>
      </c>
      <c r="P281" s="52">
        <f ca="1">Log_2018[[#This Row],[Amount]]/Log_2018[[#This Row],[Split_raw]]*MAX(0,MIN(_xlfn.DAYS(EDATE(P$1,1),Log_2018[[#This Row],[Date]]),Log_2018[[#This Row],[Split_apply]])) - SUM($O281:O281)</f>
        <v>0</v>
      </c>
      <c r="Q281" s="52">
        <f ca="1">Log_2018[[#This Row],[Amount]]/Log_2018[[#This Row],[Split_raw]]*MAX(0,MIN(_xlfn.DAYS(EDATE(Q$1,1),Log_2018[[#This Row],[Date]]),Log_2018[[#This Row],[Split_apply]])) - SUM($O281:P281)</f>
        <v>0</v>
      </c>
      <c r="R281" s="52">
        <f ca="1">Log_2018[[#This Row],[Amount]]/Log_2018[[#This Row],[Split_raw]]*MAX(0,MIN(_xlfn.DAYS(EDATE(R$1,1),Log_2018[[#This Row],[Date]]),Log_2018[[#This Row],[Split_apply]])) - SUM($O281:Q281)</f>
        <v>0</v>
      </c>
      <c r="S281" s="52">
        <f ca="1">Log_2018[[#This Row],[Amount]]/Log_2018[[#This Row],[Split_raw]]*MAX(0,MIN(_xlfn.DAYS(EDATE(S$1,1),Log_2018[[#This Row],[Date]]),Log_2018[[#This Row],[Split_apply]])) - SUM($O281:R281)</f>
        <v>0</v>
      </c>
      <c r="T281" s="52">
        <f ca="1">Log_2018[[#This Row],[Amount]]/Log_2018[[#This Row],[Split_raw]]*MAX(0,MIN(_xlfn.DAYS(EDATE(T$1,1),Log_2018[[#This Row],[Date]]),Log_2018[[#This Row],[Split_apply]])) - SUM($O281:S281)</f>
        <v>0</v>
      </c>
      <c r="U281" s="52">
        <f ca="1">Log_2018[[#This Row],[Amount]]/Log_2018[[#This Row],[Split_raw]]*MAX(0,MIN(_xlfn.DAYS(EDATE(U$1,1),Log_2018[[#This Row],[Date]]),Log_2018[[#This Row],[Split_apply]])) - SUM($O281:T281)</f>
        <v>0</v>
      </c>
      <c r="V281" s="52">
        <f ca="1">Log_2018[[#This Row],[Amount]]/Log_2018[[#This Row],[Split_raw]]*MAX(0,MIN(_xlfn.DAYS(EDATE(V$1,1),Log_2018[[#This Row],[Date]]),Log_2018[[#This Row],[Split_apply]])) - SUM($O281:U281)</f>
        <v>0</v>
      </c>
      <c r="W281" s="52">
        <f ca="1">Log_2018[[#This Row],[Amount]]/Log_2018[[#This Row],[Split_raw]]*MAX(0,MIN(_xlfn.DAYS(EDATE(W$1,1),Log_2018[[#This Row],[Date]]),Log_2018[[#This Row],[Split_apply]])) - SUM($O281:V281)</f>
        <v>-10.25</v>
      </c>
      <c r="X281" s="52">
        <f ca="1">Log_2018[[#This Row],[Amount]]/Log_2018[[#This Row],[Split_raw]]*MAX(0,MIN(_xlfn.DAYS(EDATE(X$1,1),Log_2018[[#This Row],[Date]]),Log_2018[[#This Row],[Split_apply]])) - SUM($O281:W281)</f>
        <v>0</v>
      </c>
      <c r="Y281" s="52">
        <f ca="1">Log_2018[[#This Row],[Amount]]/Log_2018[[#This Row],[Split_raw]]*MAX(0,MIN(_xlfn.DAYS(EDATE(Y$1,1),Log_2018[[#This Row],[Date]]),Log_2018[[#This Row],[Split_apply]])) - SUM($O281:X281)</f>
        <v>0</v>
      </c>
      <c r="Z281" s="52">
        <f ca="1">Log_2018[[#This Row],[Amount]]/Log_2018[[#This Row],[Split_raw]]*MAX(0,MIN(_xlfn.DAYS(EDATE(Z$1,1),Log_2018[[#This Row],[Date]]),Log_2018[[#This Row],[Split_apply]])) - SUM($O281:Y281)</f>
        <v>0</v>
      </c>
      <c r="AA281" s="52">
        <f ca="1">Log_2018[[#This Row],[Amount]]/Log_2018[[#This Row],[Split_raw]]*MAX(0,MIN(_xlfn.DAYS(EDATE(AA$1,1),Log_2018[[#This Row],[Date]]),Log_2018[[#This Row],[Split_apply]])) - SUM($O281:Z281)</f>
        <v>0</v>
      </c>
      <c r="AB281" s="54">
        <f ca="1">Log_2018[[#This Row],[Amount]]-SUM(O281:AA281)</f>
        <v>0</v>
      </c>
      <c r="AC281" s="7">
        <f ca="1">MAX(0,Log_2018[[#This Row],[Split_apply]] - (EDATE(AA$1,1)-Log_2018[[#This Row],[Date]]))</f>
        <v>0</v>
      </c>
    </row>
    <row r="282" spans="1:29" hidden="1" x14ac:dyDescent="0.25">
      <c r="A282" s="115"/>
      <c r="B282" t="s">
        <v>6</v>
      </c>
      <c r="D282" s="39">
        <v>43339</v>
      </c>
      <c r="F282" t="s">
        <v>255</v>
      </c>
      <c r="G282" t="s">
        <v>25</v>
      </c>
      <c r="H282" s="3">
        <v>-29.57</v>
      </c>
      <c r="I282" s="36">
        <f>IF(Log_2018[[#This Row],[My Category]]="NONTRACKED",0,Log_2018[[#This Row],[Raw Amount]])</f>
        <v>-29.57</v>
      </c>
      <c r="J282" s="17">
        <f>ABS(Log_2018[[#This Row],[Amount]])</f>
        <v>29.57</v>
      </c>
      <c r="K282" s="66">
        <v>1</v>
      </c>
      <c r="L282" s="66">
        <f ca="1">IF(Log_2018[[#This Row],[Date]]&lt;=TODAY(), MIN(Log_2018[[#This Row],[Split_raw]], TODAY()-Log_2018[[#This Row],[Date]]+1), 0)</f>
        <v>1</v>
      </c>
      <c r="M282" t="s">
        <v>52</v>
      </c>
      <c r="N282" t="s">
        <v>158</v>
      </c>
      <c r="O282" s="50">
        <v>0</v>
      </c>
      <c r="P282" s="52">
        <f ca="1">Log_2018[[#This Row],[Amount]]/Log_2018[[#This Row],[Split_raw]]*MAX(0,MIN(_xlfn.DAYS(EDATE(P$1,1),Log_2018[[#This Row],[Date]]),Log_2018[[#This Row],[Split_apply]])) - SUM($O282:O282)</f>
        <v>0</v>
      </c>
      <c r="Q282" s="52">
        <f ca="1">Log_2018[[#This Row],[Amount]]/Log_2018[[#This Row],[Split_raw]]*MAX(0,MIN(_xlfn.DAYS(EDATE(Q$1,1),Log_2018[[#This Row],[Date]]),Log_2018[[#This Row],[Split_apply]])) - SUM($O282:P282)</f>
        <v>0</v>
      </c>
      <c r="R282" s="52">
        <f ca="1">Log_2018[[#This Row],[Amount]]/Log_2018[[#This Row],[Split_raw]]*MAX(0,MIN(_xlfn.DAYS(EDATE(R$1,1),Log_2018[[#This Row],[Date]]),Log_2018[[#This Row],[Split_apply]])) - SUM($O282:Q282)</f>
        <v>0</v>
      </c>
      <c r="S282" s="52">
        <f ca="1">Log_2018[[#This Row],[Amount]]/Log_2018[[#This Row],[Split_raw]]*MAX(0,MIN(_xlfn.DAYS(EDATE(S$1,1),Log_2018[[#This Row],[Date]]),Log_2018[[#This Row],[Split_apply]])) - SUM($O282:R282)</f>
        <v>0</v>
      </c>
      <c r="T282" s="52">
        <f ca="1">Log_2018[[#This Row],[Amount]]/Log_2018[[#This Row],[Split_raw]]*MAX(0,MIN(_xlfn.DAYS(EDATE(T$1,1),Log_2018[[#This Row],[Date]]),Log_2018[[#This Row],[Split_apply]])) - SUM($O282:S282)</f>
        <v>0</v>
      </c>
      <c r="U282" s="52">
        <f ca="1">Log_2018[[#This Row],[Amount]]/Log_2018[[#This Row],[Split_raw]]*MAX(0,MIN(_xlfn.DAYS(EDATE(U$1,1),Log_2018[[#This Row],[Date]]),Log_2018[[#This Row],[Split_apply]])) - SUM($O282:T282)</f>
        <v>0</v>
      </c>
      <c r="V282" s="52">
        <f ca="1">Log_2018[[#This Row],[Amount]]/Log_2018[[#This Row],[Split_raw]]*MAX(0,MIN(_xlfn.DAYS(EDATE(V$1,1),Log_2018[[#This Row],[Date]]),Log_2018[[#This Row],[Split_apply]])) - SUM($O282:U282)</f>
        <v>0</v>
      </c>
      <c r="W282" s="52">
        <f ca="1">Log_2018[[#This Row],[Amount]]/Log_2018[[#This Row],[Split_raw]]*MAX(0,MIN(_xlfn.DAYS(EDATE(W$1,1),Log_2018[[#This Row],[Date]]),Log_2018[[#This Row],[Split_apply]])) - SUM($O282:V282)</f>
        <v>-29.57</v>
      </c>
      <c r="X282" s="52">
        <f ca="1">Log_2018[[#This Row],[Amount]]/Log_2018[[#This Row],[Split_raw]]*MAX(0,MIN(_xlfn.DAYS(EDATE(X$1,1),Log_2018[[#This Row],[Date]]),Log_2018[[#This Row],[Split_apply]])) - SUM($O282:W282)</f>
        <v>0</v>
      </c>
      <c r="Y282" s="52">
        <f ca="1">Log_2018[[#This Row],[Amount]]/Log_2018[[#This Row],[Split_raw]]*MAX(0,MIN(_xlfn.DAYS(EDATE(Y$1,1),Log_2018[[#This Row],[Date]]),Log_2018[[#This Row],[Split_apply]])) - SUM($O282:X282)</f>
        <v>0</v>
      </c>
      <c r="Z282" s="52">
        <f ca="1">Log_2018[[#This Row],[Amount]]/Log_2018[[#This Row],[Split_raw]]*MAX(0,MIN(_xlfn.DAYS(EDATE(Z$1,1),Log_2018[[#This Row],[Date]]),Log_2018[[#This Row],[Split_apply]])) - SUM($O282:Y282)</f>
        <v>0</v>
      </c>
      <c r="AA282" s="52">
        <f ca="1">Log_2018[[#This Row],[Amount]]/Log_2018[[#This Row],[Split_raw]]*MAX(0,MIN(_xlfn.DAYS(EDATE(AA$1,1),Log_2018[[#This Row],[Date]]),Log_2018[[#This Row],[Split_apply]])) - SUM($O282:Z282)</f>
        <v>0</v>
      </c>
      <c r="AB282" s="54">
        <f ca="1">Log_2018[[#This Row],[Amount]]-SUM(O282:AA282)</f>
        <v>0</v>
      </c>
      <c r="AC282" s="7">
        <f ca="1">MAX(0,Log_2018[[#This Row],[Split_apply]] - (EDATE(AA$1,1)-Log_2018[[#This Row],[Date]]))</f>
        <v>0</v>
      </c>
    </row>
    <row r="283" spans="1:29" hidden="1" x14ac:dyDescent="0.25">
      <c r="A283" s="115"/>
      <c r="B283" t="s">
        <v>6</v>
      </c>
      <c r="D283" s="39">
        <v>43338</v>
      </c>
      <c r="F283" t="s">
        <v>350</v>
      </c>
      <c r="G283" t="s">
        <v>114</v>
      </c>
      <c r="H283" s="3">
        <v>-134.97999999999999</v>
      </c>
      <c r="I283" s="36">
        <f>IF(Log_2018[[#This Row],[My Category]]="NONTRACKED",0,Log_2018[[#This Row],[Raw Amount]])</f>
        <v>-134.97999999999999</v>
      </c>
      <c r="J283" s="17">
        <f>ABS(Log_2018[[#This Row],[Amount]])</f>
        <v>134.97999999999999</v>
      </c>
      <c r="K283" s="66">
        <v>1</v>
      </c>
      <c r="L283" s="66">
        <f ca="1">IF(Log_2018[[#This Row],[Date]]&lt;=TODAY(), MIN(Log_2018[[#This Row],[Split_raw]], TODAY()-Log_2018[[#This Row],[Date]]+1), 0)</f>
        <v>1</v>
      </c>
      <c r="M283" t="s">
        <v>145</v>
      </c>
      <c r="N283" t="s">
        <v>158</v>
      </c>
      <c r="O283" s="50">
        <v>0</v>
      </c>
      <c r="P283" s="52">
        <f ca="1">Log_2018[[#This Row],[Amount]]/Log_2018[[#This Row],[Split_raw]]*MAX(0,MIN(_xlfn.DAYS(EDATE(P$1,1),Log_2018[[#This Row],[Date]]),Log_2018[[#This Row],[Split_apply]])) - SUM($O283:O283)</f>
        <v>0</v>
      </c>
      <c r="Q283" s="52">
        <f ca="1">Log_2018[[#This Row],[Amount]]/Log_2018[[#This Row],[Split_raw]]*MAX(0,MIN(_xlfn.DAYS(EDATE(Q$1,1),Log_2018[[#This Row],[Date]]),Log_2018[[#This Row],[Split_apply]])) - SUM($O283:P283)</f>
        <v>0</v>
      </c>
      <c r="R283" s="52">
        <f ca="1">Log_2018[[#This Row],[Amount]]/Log_2018[[#This Row],[Split_raw]]*MAX(0,MIN(_xlfn.DAYS(EDATE(R$1,1),Log_2018[[#This Row],[Date]]),Log_2018[[#This Row],[Split_apply]])) - SUM($O283:Q283)</f>
        <v>0</v>
      </c>
      <c r="S283" s="52">
        <f ca="1">Log_2018[[#This Row],[Amount]]/Log_2018[[#This Row],[Split_raw]]*MAX(0,MIN(_xlfn.DAYS(EDATE(S$1,1),Log_2018[[#This Row],[Date]]),Log_2018[[#This Row],[Split_apply]])) - SUM($O283:R283)</f>
        <v>0</v>
      </c>
      <c r="T283" s="52">
        <f ca="1">Log_2018[[#This Row],[Amount]]/Log_2018[[#This Row],[Split_raw]]*MAX(0,MIN(_xlfn.DAYS(EDATE(T$1,1),Log_2018[[#This Row],[Date]]),Log_2018[[#This Row],[Split_apply]])) - SUM($O283:S283)</f>
        <v>0</v>
      </c>
      <c r="U283" s="52">
        <f ca="1">Log_2018[[#This Row],[Amount]]/Log_2018[[#This Row],[Split_raw]]*MAX(0,MIN(_xlfn.DAYS(EDATE(U$1,1),Log_2018[[#This Row],[Date]]),Log_2018[[#This Row],[Split_apply]])) - SUM($O283:T283)</f>
        <v>0</v>
      </c>
      <c r="V283" s="52">
        <f ca="1">Log_2018[[#This Row],[Amount]]/Log_2018[[#This Row],[Split_raw]]*MAX(0,MIN(_xlfn.DAYS(EDATE(V$1,1),Log_2018[[#This Row],[Date]]),Log_2018[[#This Row],[Split_apply]])) - SUM($O283:U283)</f>
        <v>0</v>
      </c>
      <c r="W283" s="52">
        <f ca="1">Log_2018[[#This Row],[Amount]]/Log_2018[[#This Row],[Split_raw]]*MAX(0,MIN(_xlfn.DAYS(EDATE(W$1,1),Log_2018[[#This Row],[Date]]),Log_2018[[#This Row],[Split_apply]])) - SUM($O283:V283)</f>
        <v>-134.97999999999999</v>
      </c>
      <c r="X283" s="52">
        <f ca="1">Log_2018[[#This Row],[Amount]]/Log_2018[[#This Row],[Split_raw]]*MAX(0,MIN(_xlfn.DAYS(EDATE(X$1,1),Log_2018[[#This Row],[Date]]),Log_2018[[#This Row],[Split_apply]])) - SUM($O283:W283)</f>
        <v>0</v>
      </c>
      <c r="Y283" s="52">
        <f ca="1">Log_2018[[#This Row],[Amount]]/Log_2018[[#This Row],[Split_raw]]*MAX(0,MIN(_xlfn.DAYS(EDATE(Y$1,1),Log_2018[[#This Row],[Date]]),Log_2018[[#This Row],[Split_apply]])) - SUM($O283:X283)</f>
        <v>0</v>
      </c>
      <c r="Z283" s="52">
        <f ca="1">Log_2018[[#This Row],[Amount]]/Log_2018[[#This Row],[Split_raw]]*MAX(0,MIN(_xlfn.DAYS(EDATE(Z$1,1),Log_2018[[#This Row],[Date]]),Log_2018[[#This Row],[Split_apply]])) - SUM($O283:Y283)</f>
        <v>0</v>
      </c>
      <c r="AA283" s="52">
        <f ca="1">Log_2018[[#This Row],[Amount]]/Log_2018[[#This Row],[Split_raw]]*MAX(0,MIN(_xlfn.DAYS(EDATE(AA$1,1),Log_2018[[#This Row],[Date]]),Log_2018[[#This Row],[Split_apply]])) - SUM($O283:Z283)</f>
        <v>0</v>
      </c>
      <c r="AB283" s="54">
        <f ca="1">Log_2018[[#This Row],[Amount]]-SUM(O283:AA283)</f>
        <v>0</v>
      </c>
      <c r="AC283" s="7">
        <f ca="1">MAX(0,Log_2018[[#This Row],[Split_apply]] - (EDATE(AA$1,1)-Log_2018[[#This Row],[Date]]))</f>
        <v>0</v>
      </c>
    </row>
    <row r="284" spans="1:29" hidden="1" x14ac:dyDescent="0.25">
      <c r="A284" s="115"/>
      <c r="B284" t="s">
        <v>6</v>
      </c>
      <c r="D284" s="39">
        <v>43338</v>
      </c>
      <c r="F284" t="s">
        <v>217</v>
      </c>
      <c r="G284" t="s">
        <v>12</v>
      </c>
      <c r="H284" s="3">
        <v>-162.12</v>
      </c>
      <c r="I284" s="36">
        <f>IF(Log_2018[[#This Row],[My Category]]="NONTRACKED",0,Log_2018[[#This Row],[Raw Amount]])</f>
        <v>-162.12</v>
      </c>
      <c r="J284" s="17">
        <f>ABS(Log_2018[[#This Row],[Amount]])</f>
        <v>162.12</v>
      </c>
      <c r="K284" s="66">
        <v>1</v>
      </c>
      <c r="L284" s="66">
        <f ca="1">IF(Log_2018[[#This Row],[Date]]&lt;=TODAY(), MIN(Log_2018[[#This Row],[Split_raw]], TODAY()-Log_2018[[#This Row],[Date]]+1), 0)</f>
        <v>1</v>
      </c>
      <c r="M284" t="s">
        <v>12</v>
      </c>
      <c r="N284" t="s">
        <v>158</v>
      </c>
      <c r="O284" s="50">
        <v>0</v>
      </c>
      <c r="P284" s="52">
        <f ca="1">Log_2018[[#This Row],[Amount]]/Log_2018[[#This Row],[Split_raw]]*MAX(0,MIN(_xlfn.DAYS(EDATE(P$1,1),Log_2018[[#This Row],[Date]]),Log_2018[[#This Row],[Split_apply]])) - SUM($O284:O284)</f>
        <v>0</v>
      </c>
      <c r="Q284" s="52">
        <f ca="1">Log_2018[[#This Row],[Amount]]/Log_2018[[#This Row],[Split_raw]]*MAX(0,MIN(_xlfn.DAYS(EDATE(Q$1,1),Log_2018[[#This Row],[Date]]),Log_2018[[#This Row],[Split_apply]])) - SUM($O284:P284)</f>
        <v>0</v>
      </c>
      <c r="R284" s="52">
        <f ca="1">Log_2018[[#This Row],[Amount]]/Log_2018[[#This Row],[Split_raw]]*MAX(0,MIN(_xlfn.DAYS(EDATE(R$1,1),Log_2018[[#This Row],[Date]]),Log_2018[[#This Row],[Split_apply]])) - SUM($O284:Q284)</f>
        <v>0</v>
      </c>
      <c r="S284" s="52">
        <f ca="1">Log_2018[[#This Row],[Amount]]/Log_2018[[#This Row],[Split_raw]]*MAX(0,MIN(_xlfn.DAYS(EDATE(S$1,1),Log_2018[[#This Row],[Date]]),Log_2018[[#This Row],[Split_apply]])) - SUM($O284:R284)</f>
        <v>0</v>
      </c>
      <c r="T284" s="52">
        <f ca="1">Log_2018[[#This Row],[Amount]]/Log_2018[[#This Row],[Split_raw]]*MAX(0,MIN(_xlfn.DAYS(EDATE(T$1,1),Log_2018[[#This Row],[Date]]),Log_2018[[#This Row],[Split_apply]])) - SUM($O284:S284)</f>
        <v>0</v>
      </c>
      <c r="U284" s="52">
        <f ca="1">Log_2018[[#This Row],[Amount]]/Log_2018[[#This Row],[Split_raw]]*MAX(0,MIN(_xlfn.DAYS(EDATE(U$1,1),Log_2018[[#This Row],[Date]]),Log_2018[[#This Row],[Split_apply]])) - SUM($O284:T284)</f>
        <v>0</v>
      </c>
      <c r="V284" s="52">
        <f ca="1">Log_2018[[#This Row],[Amount]]/Log_2018[[#This Row],[Split_raw]]*MAX(0,MIN(_xlfn.DAYS(EDATE(V$1,1),Log_2018[[#This Row],[Date]]),Log_2018[[#This Row],[Split_apply]])) - SUM($O284:U284)</f>
        <v>0</v>
      </c>
      <c r="W284" s="52">
        <f ca="1">Log_2018[[#This Row],[Amount]]/Log_2018[[#This Row],[Split_raw]]*MAX(0,MIN(_xlfn.DAYS(EDATE(W$1,1),Log_2018[[#This Row],[Date]]),Log_2018[[#This Row],[Split_apply]])) - SUM($O284:V284)</f>
        <v>-162.12</v>
      </c>
      <c r="X284" s="52">
        <f ca="1">Log_2018[[#This Row],[Amount]]/Log_2018[[#This Row],[Split_raw]]*MAX(0,MIN(_xlfn.DAYS(EDATE(X$1,1),Log_2018[[#This Row],[Date]]),Log_2018[[#This Row],[Split_apply]])) - SUM($O284:W284)</f>
        <v>0</v>
      </c>
      <c r="Y284" s="52">
        <f ca="1">Log_2018[[#This Row],[Amount]]/Log_2018[[#This Row],[Split_raw]]*MAX(0,MIN(_xlfn.DAYS(EDATE(Y$1,1),Log_2018[[#This Row],[Date]]),Log_2018[[#This Row],[Split_apply]])) - SUM($O284:X284)</f>
        <v>0</v>
      </c>
      <c r="Z284" s="52">
        <f ca="1">Log_2018[[#This Row],[Amount]]/Log_2018[[#This Row],[Split_raw]]*MAX(0,MIN(_xlfn.DAYS(EDATE(Z$1,1),Log_2018[[#This Row],[Date]]),Log_2018[[#This Row],[Split_apply]])) - SUM($O284:Y284)</f>
        <v>0</v>
      </c>
      <c r="AA284" s="52">
        <f ca="1">Log_2018[[#This Row],[Amount]]/Log_2018[[#This Row],[Split_raw]]*MAX(0,MIN(_xlfn.DAYS(EDATE(AA$1,1),Log_2018[[#This Row],[Date]]),Log_2018[[#This Row],[Split_apply]])) - SUM($O284:Z284)</f>
        <v>0</v>
      </c>
      <c r="AB284" s="54">
        <f ca="1">Log_2018[[#This Row],[Amount]]-SUM(O284:AA284)</f>
        <v>0</v>
      </c>
      <c r="AC284" s="7">
        <f ca="1">MAX(0,Log_2018[[#This Row],[Split_apply]] - (EDATE(AA$1,1)-Log_2018[[#This Row],[Date]]))</f>
        <v>0</v>
      </c>
    </row>
    <row r="285" spans="1:29" hidden="1" x14ac:dyDescent="0.25">
      <c r="A285" s="115"/>
      <c r="B285" t="s">
        <v>6</v>
      </c>
      <c r="D285" s="39">
        <v>43338</v>
      </c>
      <c r="F285" t="s">
        <v>351</v>
      </c>
      <c r="G285" t="s">
        <v>12</v>
      </c>
      <c r="H285" s="3">
        <f>--0.61</f>
        <v>0.61</v>
      </c>
      <c r="I285" s="36">
        <f>IF(Log_2018[[#This Row],[My Category]]="NONTRACKED",0,Log_2018[[#This Row],[Raw Amount]])</f>
        <v>0.61</v>
      </c>
      <c r="J285" s="17">
        <f>ABS(Log_2018[[#This Row],[Amount]])</f>
        <v>0.61</v>
      </c>
      <c r="K285" s="66">
        <v>1</v>
      </c>
      <c r="L285" s="66">
        <f ca="1">IF(Log_2018[[#This Row],[Date]]&lt;=TODAY(), MIN(Log_2018[[#This Row],[Split_raw]], TODAY()-Log_2018[[#This Row],[Date]]+1), 0)</f>
        <v>1</v>
      </c>
      <c r="M285" t="s">
        <v>35</v>
      </c>
      <c r="N285" t="s">
        <v>158</v>
      </c>
      <c r="O285" s="50">
        <v>0</v>
      </c>
      <c r="P285" s="52">
        <f ca="1">Log_2018[[#This Row],[Amount]]/Log_2018[[#This Row],[Split_raw]]*MAX(0,MIN(_xlfn.DAYS(EDATE(P$1,1),Log_2018[[#This Row],[Date]]),Log_2018[[#This Row],[Split_apply]])) - SUM($O285:O285)</f>
        <v>0</v>
      </c>
      <c r="Q285" s="52">
        <f ca="1">Log_2018[[#This Row],[Amount]]/Log_2018[[#This Row],[Split_raw]]*MAX(0,MIN(_xlfn.DAYS(EDATE(Q$1,1),Log_2018[[#This Row],[Date]]),Log_2018[[#This Row],[Split_apply]])) - SUM($O285:P285)</f>
        <v>0</v>
      </c>
      <c r="R285" s="52">
        <f ca="1">Log_2018[[#This Row],[Amount]]/Log_2018[[#This Row],[Split_raw]]*MAX(0,MIN(_xlfn.DAYS(EDATE(R$1,1),Log_2018[[#This Row],[Date]]),Log_2018[[#This Row],[Split_apply]])) - SUM($O285:Q285)</f>
        <v>0</v>
      </c>
      <c r="S285" s="52">
        <f ca="1">Log_2018[[#This Row],[Amount]]/Log_2018[[#This Row],[Split_raw]]*MAX(0,MIN(_xlfn.DAYS(EDATE(S$1,1),Log_2018[[#This Row],[Date]]),Log_2018[[#This Row],[Split_apply]])) - SUM($O285:R285)</f>
        <v>0</v>
      </c>
      <c r="T285" s="52">
        <f ca="1">Log_2018[[#This Row],[Amount]]/Log_2018[[#This Row],[Split_raw]]*MAX(0,MIN(_xlfn.DAYS(EDATE(T$1,1),Log_2018[[#This Row],[Date]]),Log_2018[[#This Row],[Split_apply]])) - SUM($O285:S285)</f>
        <v>0</v>
      </c>
      <c r="U285" s="52">
        <f ca="1">Log_2018[[#This Row],[Amount]]/Log_2018[[#This Row],[Split_raw]]*MAX(0,MIN(_xlfn.DAYS(EDATE(U$1,1),Log_2018[[#This Row],[Date]]),Log_2018[[#This Row],[Split_apply]])) - SUM($O285:T285)</f>
        <v>0</v>
      </c>
      <c r="V285" s="52">
        <f ca="1">Log_2018[[#This Row],[Amount]]/Log_2018[[#This Row],[Split_raw]]*MAX(0,MIN(_xlfn.DAYS(EDATE(V$1,1),Log_2018[[#This Row],[Date]]),Log_2018[[#This Row],[Split_apply]])) - SUM($O285:U285)</f>
        <v>0</v>
      </c>
      <c r="W285" s="52">
        <f ca="1">Log_2018[[#This Row],[Amount]]/Log_2018[[#This Row],[Split_raw]]*MAX(0,MIN(_xlfn.DAYS(EDATE(W$1,1),Log_2018[[#This Row],[Date]]),Log_2018[[#This Row],[Split_apply]])) - SUM($O285:V285)</f>
        <v>0.61</v>
      </c>
      <c r="X285" s="52">
        <f ca="1">Log_2018[[#This Row],[Amount]]/Log_2018[[#This Row],[Split_raw]]*MAX(0,MIN(_xlfn.DAYS(EDATE(X$1,1),Log_2018[[#This Row],[Date]]),Log_2018[[#This Row],[Split_apply]])) - SUM($O285:W285)</f>
        <v>0</v>
      </c>
      <c r="Y285" s="52">
        <f ca="1">Log_2018[[#This Row],[Amount]]/Log_2018[[#This Row],[Split_raw]]*MAX(0,MIN(_xlfn.DAYS(EDATE(Y$1,1),Log_2018[[#This Row],[Date]]),Log_2018[[#This Row],[Split_apply]])) - SUM($O285:X285)</f>
        <v>0</v>
      </c>
      <c r="Z285" s="52">
        <f ca="1">Log_2018[[#This Row],[Amount]]/Log_2018[[#This Row],[Split_raw]]*MAX(0,MIN(_xlfn.DAYS(EDATE(Z$1,1),Log_2018[[#This Row],[Date]]),Log_2018[[#This Row],[Split_apply]])) - SUM($O285:Y285)</f>
        <v>0</v>
      </c>
      <c r="AA285" s="52">
        <f ca="1">Log_2018[[#This Row],[Amount]]/Log_2018[[#This Row],[Split_raw]]*MAX(0,MIN(_xlfn.DAYS(EDATE(AA$1,1),Log_2018[[#This Row],[Date]]),Log_2018[[#This Row],[Split_apply]])) - SUM($O285:Z285)</f>
        <v>0</v>
      </c>
      <c r="AB285" s="54">
        <f ca="1">Log_2018[[#This Row],[Amount]]-SUM(O285:AA285)</f>
        <v>0</v>
      </c>
      <c r="AC285" s="7">
        <f ca="1">MAX(0,Log_2018[[#This Row],[Split_apply]] - (EDATE(AA$1,1)-Log_2018[[#This Row],[Date]]))</f>
        <v>0</v>
      </c>
    </row>
    <row r="286" spans="1:29" hidden="1" x14ac:dyDescent="0.25">
      <c r="A286" s="115"/>
      <c r="B286" t="s">
        <v>6</v>
      </c>
      <c r="D286" s="39">
        <v>43337</v>
      </c>
      <c r="F286" t="s">
        <v>352</v>
      </c>
      <c r="G286" t="s">
        <v>25</v>
      </c>
      <c r="H286" s="3">
        <v>-12.16</v>
      </c>
      <c r="I286" s="36">
        <f>IF(Log_2018[[#This Row],[My Category]]="NONTRACKED",0,Log_2018[[#This Row],[Raw Amount]])</f>
        <v>-12.16</v>
      </c>
      <c r="J286" s="17">
        <f>ABS(Log_2018[[#This Row],[Amount]])</f>
        <v>12.16</v>
      </c>
      <c r="K286" s="66">
        <v>1</v>
      </c>
      <c r="L286" s="66">
        <f ca="1">IF(Log_2018[[#This Row],[Date]]&lt;=TODAY(), MIN(Log_2018[[#This Row],[Split_raw]], TODAY()-Log_2018[[#This Row],[Date]]+1), 0)</f>
        <v>1</v>
      </c>
      <c r="M286" t="s">
        <v>35</v>
      </c>
      <c r="N286" t="s">
        <v>158</v>
      </c>
      <c r="O286" s="50">
        <v>0</v>
      </c>
      <c r="P286" s="52">
        <f ca="1">Log_2018[[#This Row],[Amount]]/Log_2018[[#This Row],[Split_raw]]*MAX(0,MIN(_xlfn.DAYS(EDATE(P$1,1),Log_2018[[#This Row],[Date]]),Log_2018[[#This Row],[Split_apply]])) - SUM($O286:O286)</f>
        <v>0</v>
      </c>
      <c r="Q286" s="52">
        <f ca="1">Log_2018[[#This Row],[Amount]]/Log_2018[[#This Row],[Split_raw]]*MAX(0,MIN(_xlfn.DAYS(EDATE(Q$1,1),Log_2018[[#This Row],[Date]]),Log_2018[[#This Row],[Split_apply]])) - SUM($O286:P286)</f>
        <v>0</v>
      </c>
      <c r="R286" s="52">
        <f ca="1">Log_2018[[#This Row],[Amount]]/Log_2018[[#This Row],[Split_raw]]*MAX(0,MIN(_xlfn.DAYS(EDATE(R$1,1),Log_2018[[#This Row],[Date]]),Log_2018[[#This Row],[Split_apply]])) - SUM($O286:Q286)</f>
        <v>0</v>
      </c>
      <c r="S286" s="52">
        <f ca="1">Log_2018[[#This Row],[Amount]]/Log_2018[[#This Row],[Split_raw]]*MAX(0,MIN(_xlfn.DAYS(EDATE(S$1,1),Log_2018[[#This Row],[Date]]),Log_2018[[#This Row],[Split_apply]])) - SUM($O286:R286)</f>
        <v>0</v>
      </c>
      <c r="T286" s="52">
        <f ca="1">Log_2018[[#This Row],[Amount]]/Log_2018[[#This Row],[Split_raw]]*MAX(0,MIN(_xlfn.DAYS(EDATE(T$1,1),Log_2018[[#This Row],[Date]]),Log_2018[[#This Row],[Split_apply]])) - SUM($O286:S286)</f>
        <v>0</v>
      </c>
      <c r="U286" s="52">
        <f ca="1">Log_2018[[#This Row],[Amount]]/Log_2018[[#This Row],[Split_raw]]*MAX(0,MIN(_xlfn.DAYS(EDATE(U$1,1),Log_2018[[#This Row],[Date]]),Log_2018[[#This Row],[Split_apply]])) - SUM($O286:T286)</f>
        <v>0</v>
      </c>
      <c r="V286" s="52">
        <f ca="1">Log_2018[[#This Row],[Amount]]/Log_2018[[#This Row],[Split_raw]]*MAX(0,MIN(_xlfn.DAYS(EDATE(V$1,1),Log_2018[[#This Row],[Date]]),Log_2018[[#This Row],[Split_apply]])) - SUM($O286:U286)</f>
        <v>0</v>
      </c>
      <c r="W286" s="52">
        <f ca="1">Log_2018[[#This Row],[Amount]]/Log_2018[[#This Row],[Split_raw]]*MAX(0,MIN(_xlfn.DAYS(EDATE(W$1,1),Log_2018[[#This Row],[Date]]),Log_2018[[#This Row],[Split_apply]])) - SUM($O286:V286)</f>
        <v>-12.16</v>
      </c>
      <c r="X286" s="52">
        <f ca="1">Log_2018[[#This Row],[Amount]]/Log_2018[[#This Row],[Split_raw]]*MAX(0,MIN(_xlfn.DAYS(EDATE(X$1,1),Log_2018[[#This Row],[Date]]),Log_2018[[#This Row],[Split_apply]])) - SUM($O286:W286)</f>
        <v>0</v>
      </c>
      <c r="Y286" s="52">
        <f ca="1">Log_2018[[#This Row],[Amount]]/Log_2018[[#This Row],[Split_raw]]*MAX(0,MIN(_xlfn.DAYS(EDATE(Y$1,1),Log_2018[[#This Row],[Date]]),Log_2018[[#This Row],[Split_apply]])) - SUM($O286:X286)</f>
        <v>0</v>
      </c>
      <c r="Z286" s="52">
        <f ca="1">Log_2018[[#This Row],[Amount]]/Log_2018[[#This Row],[Split_raw]]*MAX(0,MIN(_xlfn.DAYS(EDATE(Z$1,1),Log_2018[[#This Row],[Date]]),Log_2018[[#This Row],[Split_apply]])) - SUM($O286:Y286)</f>
        <v>0</v>
      </c>
      <c r="AA286" s="52">
        <f ca="1">Log_2018[[#This Row],[Amount]]/Log_2018[[#This Row],[Split_raw]]*MAX(0,MIN(_xlfn.DAYS(EDATE(AA$1,1),Log_2018[[#This Row],[Date]]),Log_2018[[#This Row],[Split_apply]])) - SUM($O286:Z286)</f>
        <v>0</v>
      </c>
      <c r="AB286" s="54">
        <f ca="1">Log_2018[[#This Row],[Amount]]-SUM(O286:AA286)</f>
        <v>0</v>
      </c>
      <c r="AC286" s="7">
        <f ca="1">MAX(0,Log_2018[[#This Row],[Split_apply]] - (EDATE(AA$1,1)-Log_2018[[#This Row],[Date]]))</f>
        <v>0</v>
      </c>
    </row>
    <row r="287" spans="1:29" hidden="1" x14ac:dyDescent="0.25">
      <c r="A287" s="115"/>
      <c r="B287" t="s">
        <v>6</v>
      </c>
      <c r="D287" s="39">
        <v>43336</v>
      </c>
      <c r="F287" t="s">
        <v>353</v>
      </c>
      <c r="G287" t="s">
        <v>25</v>
      </c>
      <c r="H287" s="3">
        <v>-16.75</v>
      </c>
      <c r="I287" s="36">
        <f>IF(Log_2018[[#This Row],[My Category]]="NONTRACKED",0,Log_2018[[#This Row],[Raw Amount]])</f>
        <v>-16.75</v>
      </c>
      <c r="J287" s="17">
        <f>ABS(Log_2018[[#This Row],[Amount]])</f>
        <v>16.75</v>
      </c>
      <c r="K287" s="66">
        <v>1</v>
      </c>
      <c r="L287" s="66">
        <f ca="1">IF(Log_2018[[#This Row],[Date]]&lt;=TODAY(), MIN(Log_2018[[#This Row],[Split_raw]], TODAY()-Log_2018[[#This Row],[Date]]+1), 0)</f>
        <v>1</v>
      </c>
      <c r="M287" t="s">
        <v>35</v>
      </c>
      <c r="N287" t="s">
        <v>158</v>
      </c>
      <c r="O287" s="50">
        <v>0</v>
      </c>
      <c r="P287" s="52">
        <f ca="1">Log_2018[[#This Row],[Amount]]/Log_2018[[#This Row],[Split_raw]]*MAX(0,MIN(_xlfn.DAYS(EDATE(P$1,1),Log_2018[[#This Row],[Date]]),Log_2018[[#This Row],[Split_apply]])) - SUM($O287:O287)</f>
        <v>0</v>
      </c>
      <c r="Q287" s="52">
        <f ca="1">Log_2018[[#This Row],[Amount]]/Log_2018[[#This Row],[Split_raw]]*MAX(0,MIN(_xlfn.DAYS(EDATE(Q$1,1),Log_2018[[#This Row],[Date]]),Log_2018[[#This Row],[Split_apply]])) - SUM($O287:P287)</f>
        <v>0</v>
      </c>
      <c r="R287" s="52">
        <f ca="1">Log_2018[[#This Row],[Amount]]/Log_2018[[#This Row],[Split_raw]]*MAX(0,MIN(_xlfn.DAYS(EDATE(R$1,1),Log_2018[[#This Row],[Date]]),Log_2018[[#This Row],[Split_apply]])) - SUM($O287:Q287)</f>
        <v>0</v>
      </c>
      <c r="S287" s="52">
        <f ca="1">Log_2018[[#This Row],[Amount]]/Log_2018[[#This Row],[Split_raw]]*MAX(0,MIN(_xlfn.DAYS(EDATE(S$1,1),Log_2018[[#This Row],[Date]]),Log_2018[[#This Row],[Split_apply]])) - SUM($O287:R287)</f>
        <v>0</v>
      </c>
      <c r="T287" s="52">
        <f ca="1">Log_2018[[#This Row],[Amount]]/Log_2018[[#This Row],[Split_raw]]*MAX(0,MIN(_xlfn.DAYS(EDATE(T$1,1),Log_2018[[#This Row],[Date]]),Log_2018[[#This Row],[Split_apply]])) - SUM($O287:S287)</f>
        <v>0</v>
      </c>
      <c r="U287" s="52">
        <f ca="1">Log_2018[[#This Row],[Amount]]/Log_2018[[#This Row],[Split_raw]]*MAX(0,MIN(_xlfn.DAYS(EDATE(U$1,1),Log_2018[[#This Row],[Date]]),Log_2018[[#This Row],[Split_apply]])) - SUM($O287:T287)</f>
        <v>0</v>
      </c>
      <c r="V287" s="52">
        <f ca="1">Log_2018[[#This Row],[Amount]]/Log_2018[[#This Row],[Split_raw]]*MAX(0,MIN(_xlfn.DAYS(EDATE(V$1,1),Log_2018[[#This Row],[Date]]),Log_2018[[#This Row],[Split_apply]])) - SUM($O287:U287)</f>
        <v>0</v>
      </c>
      <c r="W287" s="52">
        <f ca="1">Log_2018[[#This Row],[Amount]]/Log_2018[[#This Row],[Split_raw]]*MAX(0,MIN(_xlfn.DAYS(EDATE(W$1,1),Log_2018[[#This Row],[Date]]),Log_2018[[#This Row],[Split_apply]])) - SUM($O287:V287)</f>
        <v>-16.75</v>
      </c>
      <c r="X287" s="52">
        <f ca="1">Log_2018[[#This Row],[Amount]]/Log_2018[[#This Row],[Split_raw]]*MAX(0,MIN(_xlfn.DAYS(EDATE(X$1,1),Log_2018[[#This Row],[Date]]),Log_2018[[#This Row],[Split_apply]])) - SUM($O287:W287)</f>
        <v>0</v>
      </c>
      <c r="Y287" s="52">
        <f ca="1">Log_2018[[#This Row],[Amount]]/Log_2018[[#This Row],[Split_raw]]*MAX(0,MIN(_xlfn.DAYS(EDATE(Y$1,1),Log_2018[[#This Row],[Date]]),Log_2018[[#This Row],[Split_apply]])) - SUM($O287:X287)</f>
        <v>0</v>
      </c>
      <c r="Z287" s="52">
        <f ca="1">Log_2018[[#This Row],[Amount]]/Log_2018[[#This Row],[Split_raw]]*MAX(0,MIN(_xlfn.DAYS(EDATE(Z$1,1),Log_2018[[#This Row],[Date]]),Log_2018[[#This Row],[Split_apply]])) - SUM($O287:Y287)</f>
        <v>0</v>
      </c>
      <c r="AA287" s="52">
        <f ca="1">Log_2018[[#This Row],[Amount]]/Log_2018[[#This Row],[Split_raw]]*MAX(0,MIN(_xlfn.DAYS(EDATE(AA$1,1),Log_2018[[#This Row],[Date]]),Log_2018[[#This Row],[Split_apply]])) - SUM($O287:Z287)</f>
        <v>0</v>
      </c>
      <c r="AB287" s="54">
        <f ca="1">Log_2018[[#This Row],[Amount]]-SUM(O287:AA287)</f>
        <v>0</v>
      </c>
      <c r="AC287" s="7">
        <f ca="1">MAX(0,Log_2018[[#This Row],[Split_apply]] - (EDATE(AA$1,1)-Log_2018[[#This Row],[Date]]))</f>
        <v>0</v>
      </c>
    </row>
    <row r="288" spans="1:29" hidden="1" x14ac:dyDescent="0.25">
      <c r="A288" s="115"/>
      <c r="B288" t="s">
        <v>6</v>
      </c>
      <c r="D288" s="39">
        <v>43335</v>
      </c>
      <c r="F288" t="s">
        <v>255</v>
      </c>
      <c r="G288" t="s">
        <v>25</v>
      </c>
      <c r="H288" s="3">
        <v>-15.25</v>
      </c>
      <c r="I288" s="36">
        <f>IF(Log_2018[[#This Row],[My Category]]="NONTRACKED",0,Log_2018[[#This Row],[Raw Amount]])</f>
        <v>-15.25</v>
      </c>
      <c r="J288" s="17">
        <f>ABS(Log_2018[[#This Row],[Amount]])</f>
        <v>15.25</v>
      </c>
      <c r="K288" s="66">
        <v>1</v>
      </c>
      <c r="L288" s="66">
        <f ca="1">IF(Log_2018[[#This Row],[Date]]&lt;=TODAY(), MIN(Log_2018[[#This Row],[Split_raw]], TODAY()-Log_2018[[#This Row],[Date]]+1), 0)</f>
        <v>1</v>
      </c>
      <c r="M288" t="s">
        <v>35</v>
      </c>
      <c r="N288" t="s">
        <v>158</v>
      </c>
      <c r="O288" s="50">
        <v>0</v>
      </c>
      <c r="P288" s="52">
        <f ca="1">Log_2018[[#This Row],[Amount]]/Log_2018[[#This Row],[Split_raw]]*MAX(0,MIN(_xlfn.DAYS(EDATE(P$1,1),Log_2018[[#This Row],[Date]]),Log_2018[[#This Row],[Split_apply]])) - SUM($O288:O288)</f>
        <v>0</v>
      </c>
      <c r="Q288" s="52">
        <f ca="1">Log_2018[[#This Row],[Amount]]/Log_2018[[#This Row],[Split_raw]]*MAX(0,MIN(_xlfn.DAYS(EDATE(Q$1,1),Log_2018[[#This Row],[Date]]),Log_2018[[#This Row],[Split_apply]])) - SUM($O288:P288)</f>
        <v>0</v>
      </c>
      <c r="R288" s="52">
        <f ca="1">Log_2018[[#This Row],[Amount]]/Log_2018[[#This Row],[Split_raw]]*MAX(0,MIN(_xlfn.DAYS(EDATE(R$1,1),Log_2018[[#This Row],[Date]]),Log_2018[[#This Row],[Split_apply]])) - SUM($O288:Q288)</f>
        <v>0</v>
      </c>
      <c r="S288" s="52">
        <f ca="1">Log_2018[[#This Row],[Amount]]/Log_2018[[#This Row],[Split_raw]]*MAX(0,MIN(_xlfn.DAYS(EDATE(S$1,1),Log_2018[[#This Row],[Date]]),Log_2018[[#This Row],[Split_apply]])) - SUM($O288:R288)</f>
        <v>0</v>
      </c>
      <c r="T288" s="52">
        <f ca="1">Log_2018[[#This Row],[Amount]]/Log_2018[[#This Row],[Split_raw]]*MAX(0,MIN(_xlfn.DAYS(EDATE(T$1,1),Log_2018[[#This Row],[Date]]),Log_2018[[#This Row],[Split_apply]])) - SUM($O288:S288)</f>
        <v>0</v>
      </c>
      <c r="U288" s="52">
        <f ca="1">Log_2018[[#This Row],[Amount]]/Log_2018[[#This Row],[Split_raw]]*MAX(0,MIN(_xlfn.DAYS(EDATE(U$1,1),Log_2018[[#This Row],[Date]]),Log_2018[[#This Row],[Split_apply]])) - SUM($O288:T288)</f>
        <v>0</v>
      </c>
      <c r="V288" s="52">
        <f ca="1">Log_2018[[#This Row],[Amount]]/Log_2018[[#This Row],[Split_raw]]*MAX(0,MIN(_xlfn.DAYS(EDATE(V$1,1),Log_2018[[#This Row],[Date]]),Log_2018[[#This Row],[Split_apply]])) - SUM($O288:U288)</f>
        <v>0</v>
      </c>
      <c r="W288" s="52">
        <f ca="1">Log_2018[[#This Row],[Amount]]/Log_2018[[#This Row],[Split_raw]]*MAX(0,MIN(_xlfn.DAYS(EDATE(W$1,1),Log_2018[[#This Row],[Date]]),Log_2018[[#This Row],[Split_apply]])) - SUM($O288:V288)</f>
        <v>-15.25</v>
      </c>
      <c r="X288" s="52">
        <f ca="1">Log_2018[[#This Row],[Amount]]/Log_2018[[#This Row],[Split_raw]]*MAX(0,MIN(_xlfn.DAYS(EDATE(X$1,1),Log_2018[[#This Row],[Date]]),Log_2018[[#This Row],[Split_apply]])) - SUM($O288:W288)</f>
        <v>0</v>
      </c>
      <c r="Y288" s="52">
        <f ca="1">Log_2018[[#This Row],[Amount]]/Log_2018[[#This Row],[Split_raw]]*MAX(0,MIN(_xlfn.DAYS(EDATE(Y$1,1),Log_2018[[#This Row],[Date]]),Log_2018[[#This Row],[Split_apply]])) - SUM($O288:X288)</f>
        <v>0</v>
      </c>
      <c r="Z288" s="52">
        <f ca="1">Log_2018[[#This Row],[Amount]]/Log_2018[[#This Row],[Split_raw]]*MAX(0,MIN(_xlfn.DAYS(EDATE(Z$1,1),Log_2018[[#This Row],[Date]]),Log_2018[[#This Row],[Split_apply]])) - SUM($O288:Y288)</f>
        <v>0</v>
      </c>
      <c r="AA288" s="52">
        <f ca="1">Log_2018[[#This Row],[Amount]]/Log_2018[[#This Row],[Split_raw]]*MAX(0,MIN(_xlfn.DAYS(EDATE(AA$1,1),Log_2018[[#This Row],[Date]]),Log_2018[[#This Row],[Split_apply]])) - SUM($O288:Z288)</f>
        <v>0</v>
      </c>
      <c r="AB288" s="54">
        <f ca="1">Log_2018[[#This Row],[Amount]]-SUM(O288:AA288)</f>
        <v>0</v>
      </c>
      <c r="AC288" s="7">
        <f ca="1">MAX(0,Log_2018[[#This Row],[Split_apply]] - (EDATE(AA$1,1)-Log_2018[[#This Row],[Date]]))</f>
        <v>0</v>
      </c>
    </row>
    <row r="289" spans="1:29" hidden="1" x14ac:dyDescent="0.25">
      <c r="A289" s="115"/>
      <c r="B289" t="s">
        <v>6</v>
      </c>
      <c r="D289" s="39">
        <v>43334</v>
      </c>
      <c r="F289" t="s">
        <v>354</v>
      </c>
      <c r="G289" t="s">
        <v>12</v>
      </c>
      <c r="H289" s="3">
        <v>-12.25</v>
      </c>
      <c r="I289" s="36">
        <f>IF(Log_2018[[#This Row],[My Category]]="NONTRACKED",0,Log_2018[[#This Row],[Raw Amount]])</f>
        <v>-12.25</v>
      </c>
      <c r="J289" s="17">
        <f>ABS(Log_2018[[#This Row],[Amount]])</f>
        <v>12.25</v>
      </c>
      <c r="K289" s="66">
        <v>1</v>
      </c>
      <c r="L289" s="66">
        <f ca="1">IF(Log_2018[[#This Row],[Date]]&lt;=TODAY(), MIN(Log_2018[[#This Row],[Split_raw]], TODAY()-Log_2018[[#This Row],[Date]]+1), 0)</f>
        <v>1</v>
      </c>
      <c r="M289" t="s">
        <v>35</v>
      </c>
      <c r="N289" t="s">
        <v>158</v>
      </c>
      <c r="O289" s="50">
        <v>0</v>
      </c>
      <c r="P289" s="52">
        <f ca="1">Log_2018[[#This Row],[Amount]]/Log_2018[[#This Row],[Split_raw]]*MAX(0,MIN(_xlfn.DAYS(EDATE(P$1,1),Log_2018[[#This Row],[Date]]),Log_2018[[#This Row],[Split_apply]])) - SUM($O289:O289)</f>
        <v>0</v>
      </c>
      <c r="Q289" s="52">
        <f ca="1">Log_2018[[#This Row],[Amount]]/Log_2018[[#This Row],[Split_raw]]*MAX(0,MIN(_xlfn.DAYS(EDATE(Q$1,1),Log_2018[[#This Row],[Date]]),Log_2018[[#This Row],[Split_apply]])) - SUM($O289:P289)</f>
        <v>0</v>
      </c>
      <c r="R289" s="52">
        <f ca="1">Log_2018[[#This Row],[Amount]]/Log_2018[[#This Row],[Split_raw]]*MAX(0,MIN(_xlfn.DAYS(EDATE(R$1,1),Log_2018[[#This Row],[Date]]),Log_2018[[#This Row],[Split_apply]])) - SUM($O289:Q289)</f>
        <v>0</v>
      </c>
      <c r="S289" s="52">
        <f ca="1">Log_2018[[#This Row],[Amount]]/Log_2018[[#This Row],[Split_raw]]*MAX(0,MIN(_xlfn.DAYS(EDATE(S$1,1),Log_2018[[#This Row],[Date]]),Log_2018[[#This Row],[Split_apply]])) - SUM($O289:R289)</f>
        <v>0</v>
      </c>
      <c r="T289" s="52">
        <f ca="1">Log_2018[[#This Row],[Amount]]/Log_2018[[#This Row],[Split_raw]]*MAX(0,MIN(_xlfn.DAYS(EDATE(T$1,1),Log_2018[[#This Row],[Date]]),Log_2018[[#This Row],[Split_apply]])) - SUM($O289:S289)</f>
        <v>0</v>
      </c>
      <c r="U289" s="52">
        <f ca="1">Log_2018[[#This Row],[Amount]]/Log_2018[[#This Row],[Split_raw]]*MAX(0,MIN(_xlfn.DAYS(EDATE(U$1,1),Log_2018[[#This Row],[Date]]),Log_2018[[#This Row],[Split_apply]])) - SUM($O289:T289)</f>
        <v>0</v>
      </c>
      <c r="V289" s="52">
        <f ca="1">Log_2018[[#This Row],[Amount]]/Log_2018[[#This Row],[Split_raw]]*MAX(0,MIN(_xlfn.DAYS(EDATE(V$1,1),Log_2018[[#This Row],[Date]]),Log_2018[[#This Row],[Split_apply]])) - SUM($O289:U289)</f>
        <v>0</v>
      </c>
      <c r="W289" s="52">
        <f ca="1">Log_2018[[#This Row],[Amount]]/Log_2018[[#This Row],[Split_raw]]*MAX(0,MIN(_xlfn.DAYS(EDATE(W$1,1),Log_2018[[#This Row],[Date]]),Log_2018[[#This Row],[Split_apply]])) - SUM($O289:V289)</f>
        <v>-12.25</v>
      </c>
      <c r="X289" s="52">
        <f ca="1">Log_2018[[#This Row],[Amount]]/Log_2018[[#This Row],[Split_raw]]*MAX(0,MIN(_xlfn.DAYS(EDATE(X$1,1),Log_2018[[#This Row],[Date]]),Log_2018[[#This Row],[Split_apply]])) - SUM($O289:W289)</f>
        <v>0</v>
      </c>
      <c r="Y289" s="52">
        <f ca="1">Log_2018[[#This Row],[Amount]]/Log_2018[[#This Row],[Split_raw]]*MAX(0,MIN(_xlfn.DAYS(EDATE(Y$1,1),Log_2018[[#This Row],[Date]]),Log_2018[[#This Row],[Split_apply]])) - SUM($O289:X289)</f>
        <v>0</v>
      </c>
      <c r="Z289" s="52">
        <f ca="1">Log_2018[[#This Row],[Amount]]/Log_2018[[#This Row],[Split_raw]]*MAX(0,MIN(_xlfn.DAYS(EDATE(Z$1,1),Log_2018[[#This Row],[Date]]),Log_2018[[#This Row],[Split_apply]])) - SUM($O289:Y289)</f>
        <v>0</v>
      </c>
      <c r="AA289" s="52">
        <f ca="1">Log_2018[[#This Row],[Amount]]/Log_2018[[#This Row],[Split_raw]]*MAX(0,MIN(_xlfn.DAYS(EDATE(AA$1,1),Log_2018[[#This Row],[Date]]),Log_2018[[#This Row],[Split_apply]])) - SUM($O289:Z289)</f>
        <v>0</v>
      </c>
      <c r="AB289" s="54">
        <f ca="1">Log_2018[[#This Row],[Amount]]-SUM(O289:AA289)</f>
        <v>0</v>
      </c>
      <c r="AC289" s="7">
        <f ca="1">MAX(0,Log_2018[[#This Row],[Split_apply]] - (EDATE(AA$1,1)-Log_2018[[#This Row],[Date]]))</f>
        <v>0</v>
      </c>
    </row>
    <row r="290" spans="1:29" hidden="1" x14ac:dyDescent="0.25">
      <c r="A290" s="115"/>
      <c r="B290" t="s">
        <v>6</v>
      </c>
      <c r="D290" s="39">
        <v>43334</v>
      </c>
      <c r="F290" t="s">
        <v>309</v>
      </c>
      <c r="G290" t="s">
        <v>13</v>
      </c>
      <c r="H290" s="3">
        <v>-21.36</v>
      </c>
      <c r="I290" s="36">
        <f>IF(Log_2018[[#This Row],[My Category]]="NONTRACKED",0,Log_2018[[#This Row],[Raw Amount]])</f>
        <v>-21.36</v>
      </c>
      <c r="J290" s="17">
        <f>ABS(Log_2018[[#This Row],[Amount]])</f>
        <v>21.36</v>
      </c>
      <c r="K290" s="66">
        <v>1</v>
      </c>
      <c r="L290" s="66">
        <f ca="1">IF(Log_2018[[#This Row],[Date]]&lt;=TODAY(), MIN(Log_2018[[#This Row],[Split_raw]], TODAY()-Log_2018[[#This Row],[Date]]+1), 0)</f>
        <v>1</v>
      </c>
      <c r="M290" t="s">
        <v>146</v>
      </c>
      <c r="N290" t="s">
        <v>158</v>
      </c>
      <c r="O290" s="50">
        <v>0</v>
      </c>
      <c r="P290" s="52">
        <f ca="1">Log_2018[[#This Row],[Amount]]/Log_2018[[#This Row],[Split_raw]]*MAX(0,MIN(_xlfn.DAYS(EDATE(P$1,1),Log_2018[[#This Row],[Date]]),Log_2018[[#This Row],[Split_apply]])) - SUM($O290:O290)</f>
        <v>0</v>
      </c>
      <c r="Q290" s="52">
        <f ca="1">Log_2018[[#This Row],[Amount]]/Log_2018[[#This Row],[Split_raw]]*MAX(0,MIN(_xlfn.DAYS(EDATE(Q$1,1),Log_2018[[#This Row],[Date]]),Log_2018[[#This Row],[Split_apply]])) - SUM($O290:P290)</f>
        <v>0</v>
      </c>
      <c r="R290" s="52">
        <f ca="1">Log_2018[[#This Row],[Amount]]/Log_2018[[#This Row],[Split_raw]]*MAX(0,MIN(_xlfn.DAYS(EDATE(R$1,1),Log_2018[[#This Row],[Date]]),Log_2018[[#This Row],[Split_apply]])) - SUM($O290:Q290)</f>
        <v>0</v>
      </c>
      <c r="S290" s="52">
        <f ca="1">Log_2018[[#This Row],[Amount]]/Log_2018[[#This Row],[Split_raw]]*MAX(0,MIN(_xlfn.DAYS(EDATE(S$1,1),Log_2018[[#This Row],[Date]]),Log_2018[[#This Row],[Split_apply]])) - SUM($O290:R290)</f>
        <v>0</v>
      </c>
      <c r="T290" s="52">
        <f ca="1">Log_2018[[#This Row],[Amount]]/Log_2018[[#This Row],[Split_raw]]*MAX(0,MIN(_xlfn.DAYS(EDATE(T$1,1),Log_2018[[#This Row],[Date]]),Log_2018[[#This Row],[Split_apply]])) - SUM($O290:S290)</f>
        <v>0</v>
      </c>
      <c r="U290" s="52">
        <f ca="1">Log_2018[[#This Row],[Amount]]/Log_2018[[#This Row],[Split_raw]]*MAX(0,MIN(_xlfn.DAYS(EDATE(U$1,1),Log_2018[[#This Row],[Date]]),Log_2018[[#This Row],[Split_apply]])) - SUM($O290:T290)</f>
        <v>0</v>
      </c>
      <c r="V290" s="52">
        <f ca="1">Log_2018[[#This Row],[Amount]]/Log_2018[[#This Row],[Split_raw]]*MAX(0,MIN(_xlfn.DAYS(EDATE(V$1,1),Log_2018[[#This Row],[Date]]),Log_2018[[#This Row],[Split_apply]])) - SUM($O290:U290)</f>
        <v>0</v>
      </c>
      <c r="W290" s="52">
        <f ca="1">Log_2018[[#This Row],[Amount]]/Log_2018[[#This Row],[Split_raw]]*MAX(0,MIN(_xlfn.DAYS(EDATE(W$1,1),Log_2018[[#This Row],[Date]]),Log_2018[[#This Row],[Split_apply]])) - SUM($O290:V290)</f>
        <v>-21.36</v>
      </c>
      <c r="X290" s="52">
        <f ca="1">Log_2018[[#This Row],[Amount]]/Log_2018[[#This Row],[Split_raw]]*MAX(0,MIN(_xlfn.DAYS(EDATE(X$1,1),Log_2018[[#This Row],[Date]]),Log_2018[[#This Row],[Split_apply]])) - SUM($O290:W290)</f>
        <v>0</v>
      </c>
      <c r="Y290" s="52">
        <f ca="1">Log_2018[[#This Row],[Amount]]/Log_2018[[#This Row],[Split_raw]]*MAX(0,MIN(_xlfn.DAYS(EDATE(Y$1,1),Log_2018[[#This Row],[Date]]),Log_2018[[#This Row],[Split_apply]])) - SUM($O290:X290)</f>
        <v>0</v>
      </c>
      <c r="Z290" s="52">
        <f ca="1">Log_2018[[#This Row],[Amount]]/Log_2018[[#This Row],[Split_raw]]*MAX(0,MIN(_xlfn.DAYS(EDATE(Z$1,1),Log_2018[[#This Row],[Date]]),Log_2018[[#This Row],[Split_apply]])) - SUM($O290:Y290)</f>
        <v>0</v>
      </c>
      <c r="AA290" s="52">
        <f ca="1">Log_2018[[#This Row],[Amount]]/Log_2018[[#This Row],[Split_raw]]*MAX(0,MIN(_xlfn.DAYS(EDATE(AA$1,1),Log_2018[[#This Row],[Date]]),Log_2018[[#This Row],[Split_apply]])) - SUM($O290:Z290)</f>
        <v>0</v>
      </c>
      <c r="AB290" s="54">
        <f ca="1">Log_2018[[#This Row],[Amount]]-SUM(O290:AA290)</f>
        <v>0</v>
      </c>
      <c r="AC290" s="7">
        <f ca="1">MAX(0,Log_2018[[#This Row],[Split_apply]] - (EDATE(AA$1,1)-Log_2018[[#This Row],[Date]]))</f>
        <v>0</v>
      </c>
    </row>
    <row r="291" spans="1:29" hidden="1" x14ac:dyDescent="0.25">
      <c r="A291" s="115"/>
      <c r="B291" t="s">
        <v>6</v>
      </c>
      <c r="D291" s="39">
        <v>43334</v>
      </c>
      <c r="F291" t="s">
        <v>355</v>
      </c>
      <c r="G291" t="s">
        <v>9</v>
      </c>
      <c r="H291" s="3">
        <v>-20</v>
      </c>
      <c r="I291" s="36">
        <f>IF(Log_2018[[#This Row],[My Category]]="NONTRACKED",0,Log_2018[[#This Row],[Raw Amount]])</f>
        <v>-20</v>
      </c>
      <c r="J291" s="17">
        <f>ABS(Log_2018[[#This Row],[Amount]])</f>
        <v>20</v>
      </c>
      <c r="K291" s="66">
        <v>1</v>
      </c>
      <c r="L291" s="66">
        <f ca="1">IF(Log_2018[[#This Row],[Date]]&lt;=TODAY(), MIN(Log_2018[[#This Row],[Split_raw]], TODAY()-Log_2018[[#This Row],[Date]]+1), 0)</f>
        <v>1</v>
      </c>
      <c r="M291" t="s">
        <v>39</v>
      </c>
      <c r="N291" t="s">
        <v>158</v>
      </c>
      <c r="O291" s="50">
        <v>0</v>
      </c>
      <c r="P291" s="52">
        <f ca="1">Log_2018[[#This Row],[Amount]]/Log_2018[[#This Row],[Split_raw]]*MAX(0,MIN(_xlfn.DAYS(EDATE(P$1,1),Log_2018[[#This Row],[Date]]),Log_2018[[#This Row],[Split_apply]])) - SUM($O291:O291)</f>
        <v>0</v>
      </c>
      <c r="Q291" s="52">
        <f ca="1">Log_2018[[#This Row],[Amount]]/Log_2018[[#This Row],[Split_raw]]*MAX(0,MIN(_xlfn.DAYS(EDATE(Q$1,1),Log_2018[[#This Row],[Date]]),Log_2018[[#This Row],[Split_apply]])) - SUM($O291:P291)</f>
        <v>0</v>
      </c>
      <c r="R291" s="52">
        <f ca="1">Log_2018[[#This Row],[Amount]]/Log_2018[[#This Row],[Split_raw]]*MAX(0,MIN(_xlfn.DAYS(EDATE(R$1,1),Log_2018[[#This Row],[Date]]),Log_2018[[#This Row],[Split_apply]])) - SUM($O291:Q291)</f>
        <v>0</v>
      </c>
      <c r="S291" s="52">
        <f ca="1">Log_2018[[#This Row],[Amount]]/Log_2018[[#This Row],[Split_raw]]*MAX(0,MIN(_xlfn.DAYS(EDATE(S$1,1),Log_2018[[#This Row],[Date]]),Log_2018[[#This Row],[Split_apply]])) - SUM($O291:R291)</f>
        <v>0</v>
      </c>
      <c r="T291" s="52">
        <f ca="1">Log_2018[[#This Row],[Amount]]/Log_2018[[#This Row],[Split_raw]]*MAX(0,MIN(_xlfn.DAYS(EDATE(T$1,1),Log_2018[[#This Row],[Date]]),Log_2018[[#This Row],[Split_apply]])) - SUM($O291:S291)</f>
        <v>0</v>
      </c>
      <c r="U291" s="52">
        <f ca="1">Log_2018[[#This Row],[Amount]]/Log_2018[[#This Row],[Split_raw]]*MAX(0,MIN(_xlfn.DAYS(EDATE(U$1,1),Log_2018[[#This Row],[Date]]),Log_2018[[#This Row],[Split_apply]])) - SUM($O291:T291)</f>
        <v>0</v>
      </c>
      <c r="V291" s="52">
        <f ca="1">Log_2018[[#This Row],[Amount]]/Log_2018[[#This Row],[Split_raw]]*MAX(0,MIN(_xlfn.DAYS(EDATE(V$1,1),Log_2018[[#This Row],[Date]]),Log_2018[[#This Row],[Split_apply]])) - SUM($O291:U291)</f>
        <v>0</v>
      </c>
      <c r="W291" s="52">
        <f ca="1">Log_2018[[#This Row],[Amount]]/Log_2018[[#This Row],[Split_raw]]*MAX(0,MIN(_xlfn.DAYS(EDATE(W$1,1),Log_2018[[#This Row],[Date]]),Log_2018[[#This Row],[Split_apply]])) - SUM($O291:V291)</f>
        <v>-20</v>
      </c>
      <c r="X291" s="52">
        <f ca="1">Log_2018[[#This Row],[Amount]]/Log_2018[[#This Row],[Split_raw]]*MAX(0,MIN(_xlfn.DAYS(EDATE(X$1,1),Log_2018[[#This Row],[Date]]),Log_2018[[#This Row],[Split_apply]])) - SUM($O291:W291)</f>
        <v>0</v>
      </c>
      <c r="Y291" s="52">
        <f ca="1">Log_2018[[#This Row],[Amount]]/Log_2018[[#This Row],[Split_raw]]*MAX(0,MIN(_xlfn.DAYS(EDATE(Y$1,1),Log_2018[[#This Row],[Date]]),Log_2018[[#This Row],[Split_apply]])) - SUM($O291:X291)</f>
        <v>0</v>
      </c>
      <c r="Z291" s="52">
        <f ca="1">Log_2018[[#This Row],[Amount]]/Log_2018[[#This Row],[Split_raw]]*MAX(0,MIN(_xlfn.DAYS(EDATE(Z$1,1),Log_2018[[#This Row],[Date]]),Log_2018[[#This Row],[Split_apply]])) - SUM($O291:Y291)</f>
        <v>0</v>
      </c>
      <c r="AA291" s="52">
        <f ca="1">Log_2018[[#This Row],[Amount]]/Log_2018[[#This Row],[Split_raw]]*MAX(0,MIN(_xlfn.DAYS(EDATE(AA$1,1),Log_2018[[#This Row],[Date]]),Log_2018[[#This Row],[Split_apply]])) - SUM($O291:Z291)</f>
        <v>0</v>
      </c>
      <c r="AB291" s="54">
        <f ca="1">Log_2018[[#This Row],[Amount]]-SUM(O291:AA291)</f>
        <v>0</v>
      </c>
      <c r="AC291" s="7">
        <f ca="1">MAX(0,Log_2018[[#This Row],[Split_apply]] - (EDATE(AA$1,1)-Log_2018[[#This Row],[Date]]))</f>
        <v>0</v>
      </c>
    </row>
    <row r="292" spans="1:29" hidden="1" x14ac:dyDescent="0.25">
      <c r="A292" s="115"/>
      <c r="B292" t="s">
        <v>6</v>
      </c>
      <c r="D292" s="39">
        <v>43333</v>
      </c>
      <c r="F292" t="s">
        <v>217</v>
      </c>
      <c r="G292" t="s">
        <v>12</v>
      </c>
      <c r="H292" s="3">
        <v>-8.98</v>
      </c>
      <c r="I292" s="36">
        <f>IF(Log_2018[[#This Row],[My Category]]="NONTRACKED",0,Log_2018[[#This Row],[Raw Amount]])</f>
        <v>-8.98</v>
      </c>
      <c r="J292" s="17">
        <f>ABS(Log_2018[[#This Row],[Amount]])</f>
        <v>8.98</v>
      </c>
      <c r="K292" s="66">
        <v>1</v>
      </c>
      <c r="L292" s="66">
        <f ca="1">IF(Log_2018[[#This Row],[Date]]&lt;=TODAY(), MIN(Log_2018[[#This Row],[Split_raw]], TODAY()-Log_2018[[#This Row],[Date]]+1), 0)</f>
        <v>1</v>
      </c>
      <c r="M292" t="s">
        <v>12</v>
      </c>
      <c r="N292" t="s">
        <v>158</v>
      </c>
      <c r="O292" s="50">
        <v>0</v>
      </c>
      <c r="P292" s="52">
        <f ca="1">Log_2018[[#This Row],[Amount]]/Log_2018[[#This Row],[Split_raw]]*MAX(0,MIN(_xlfn.DAYS(EDATE(P$1,1),Log_2018[[#This Row],[Date]]),Log_2018[[#This Row],[Split_apply]])) - SUM($O292:O292)</f>
        <v>0</v>
      </c>
      <c r="Q292" s="52">
        <f ca="1">Log_2018[[#This Row],[Amount]]/Log_2018[[#This Row],[Split_raw]]*MAX(0,MIN(_xlfn.DAYS(EDATE(Q$1,1),Log_2018[[#This Row],[Date]]),Log_2018[[#This Row],[Split_apply]])) - SUM($O292:P292)</f>
        <v>0</v>
      </c>
      <c r="R292" s="52">
        <f ca="1">Log_2018[[#This Row],[Amount]]/Log_2018[[#This Row],[Split_raw]]*MAX(0,MIN(_xlfn.DAYS(EDATE(R$1,1),Log_2018[[#This Row],[Date]]),Log_2018[[#This Row],[Split_apply]])) - SUM($O292:Q292)</f>
        <v>0</v>
      </c>
      <c r="S292" s="52">
        <f ca="1">Log_2018[[#This Row],[Amount]]/Log_2018[[#This Row],[Split_raw]]*MAX(0,MIN(_xlfn.DAYS(EDATE(S$1,1),Log_2018[[#This Row],[Date]]),Log_2018[[#This Row],[Split_apply]])) - SUM($O292:R292)</f>
        <v>0</v>
      </c>
      <c r="T292" s="52">
        <f ca="1">Log_2018[[#This Row],[Amount]]/Log_2018[[#This Row],[Split_raw]]*MAX(0,MIN(_xlfn.DAYS(EDATE(T$1,1),Log_2018[[#This Row],[Date]]),Log_2018[[#This Row],[Split_apply]])) - SUM($O292:S292)</f>
        <v>0</v>
      </c>
      <c r="U292" s="52">
        <f ca="1">Log_2018[[#This Row],[Amount]]/Log_2018[[#This Row],[Split_raw]]*MAX(0,MIN(_xlfn.DAYS(EDATE(U$1,1),Log_2018[[#This Row],[Date]]),Log_2018[[#This Row],[Split_apply]])) - SUM($O292:T292)</f>
        <v>0</v>
      </c>
      <c r="V292" s="52">
        <f ca="1">Log_2018[[#This Row],[Amount]]/Log_2018[[#This Row],[Split_raw]]*MAX(0,MIN(_xlfn.DAYS(EDATE(V$1,1),Log_2018[[#This Row],[Date]]),Log_2018[[#This Row],[Split_apply]])) - SUM($O292:U292)</f>
        <v>0</v>
      </c>
      <c r="W292" s="52">
        <f ca="1">Log_2018[[#This Row],[Amount]]/Log_2018[[#This Row],[Split_raw]]*MAX(0,MIN(_xlfn.DAYS(EDATE(W$1,1),Log_2018[[#This Row],[Date]]),Log_2018[[#This Row],[Split_apply]])) - SUM($O292:V292)</f>
        <v>-8.98</v>
      </c>
      <c r="X292" s="52">
        <f ca="1">Log_2018[[#This Row],[Amount]]/Log_2018[[#This Row],[Split_raw]]*MAX(0,MIN(_xlfn.DAYS(EDATE(X$1,1),Log_2018[[#This Row],[Date]]),Log_2018[[#This Row],[Split_apply]])) - SUM($O292:W292)</f>
        <v>0</v>
      </c>
      <c r="Y292" s="52">
        <f ca="1">Log_2018[[#This Row],[Amount]]/Log_2018[[#This Row],[Split_raw]]*MAX(0,MIN(_xlfn.DAYS(EDATE(Y$1,1),Log_2018[[#This Row],[Date]]),Log_2018[[#This Row],[Split_apply]])) - SUM($O292:X292)</f>
        <v>0</v>
      </c>
      <c r="Z292" s="52">
        <f ca="1">Log_2018[[#This Row],[Amount]]/Log_2018[[#This Row],[Split_raw]]*MAX(0,MIN(_xlfn.DAYS(EDATE(Z$1,1),Log_2018[[#This Row],[Date]]),Log_2018[[#This Row],[Split_apply]])) - SUM($O292:Y292)</f>
        <v>0</v>
      </c>
      <c r="AA292" s="52">
        <f ca="1">Log_2018[[#This Row],[Amount]]/Log_2018[[#This Row],[Split_raw]]*MAX(0,MIN(_xlfn.DAYS(EDATE(AA$1,1),Log_2018[[#This Row],[Date]]),Log_2018[[#This Row],[Split_apply]])) - SUM($O292:Z292)</f>
        <v>0</v>
      </c>
      <c r="AB292" s="54">
        <f ca="1">Log_2018[[#This Row],[Amount]]-SUM(O292:AA292)</f>
        <v>0</v>
      </c>
      <c r="AC292" s="7">
        <f ca="1">MAX(0,Log_2018[[#This Row],[Split_apply]] - (EDATE(AA$1,1)-Log_2018[[#This Row],[Date]]))</f>
        <v>0</v>
      </c>
    </row>
    <row r="293" spans="1:29" hidden="1" x14ac:dyDescent="0.25">
      <c r="A293" s="115"/>
      <c r="B293" t="s">
        <v>6</v>
      </c>
      <c r="D293" s="39">
        <v>43333</v>
      </c>
      <c r="F293" t="s">
        <v>308</v>
      </c>
      <c r="G293" t="s">
        <v>25</v>
      </c>
      <c r="H293" s="3">
        <v>-11.86</v>
      </c>
      <c r="I293" s="36">
        <f>IF(Log_2018[[#This Row],[My Category]]="NONTRACKED",0,Log_2018[[#This Row],[Raw Amount]])</f>
        <v>-11.86</v>
      </c>
      <c r="J293" s="17">
        <f>ABS(Log_2018[[#This Row],[Amount]])</f>
        <v>11.86</v>
      </c>
      <c r="K293" s="66">
        <v>1</v>
      </c>
      <c r="L293" s="66">
        <f ca="1">IF(Log_2018[[#This Row],[Date]]&lt;=TODAY(), MIN(Log_2018[[#This Row],[Split_raw]], TODAY()-Log_2018[[#This Row],[Date]]+1), 0)</f>
        <v>1</v>
      </c>
      <c r="M293" t="s">
        <v>35</v>
      </c>
      <c r="N293" t="s">
        <v>158</v>
      </c>
      <c r="O293" s="50">
        <v>0</v>
      </c>
      <c r="P293" s="52">
        <f ca="1">Log_2018[[#This Row],[Amount]]/Log_2018[[#This Row],[Split_raw]]*MAX(0,MIN(_xlfn.DAYS(EDATE(P$1,1),Log_2018[[#This Row],[Date]]),Log_2018[[#This Row],[Split_apply]])) - SUM($O293:O293)</f>
        <v>0</v>
      </c>
      <c r="Q293" s="52">
        <f ca="1">Log_2018[[#This Row],[Amount]]/Log_2018[[#This Row],[Split_raw]]*MAX(0,MIN(_xlfn.DAYS(EDATE(Q$1,1),Log_2018[[#This Row],[Date]]),Log_2018[[#This Row],[Split_apply]])) - SUM($O293:P293)</f>
        <v>0</v>
      </c>
      <c r="R293" s="52">
        <f ca="1">Log_2018[[#This Row],[Amount]]/Log_2018[[#This Row],[Split_raw]]*MAX(0,MIN(_xlfn.DAYS(EDATE(R$1,1),Log_2018[[#This Row],[Date]]),Log_2018[[#This Row],[Split_apply]])) - SUM($O293:Q293)</f>
        <v>0</v>
      </c>
      <c r="S293" s="52">
        <f ca="1">Log_2018[[#This Row],[Amount]]/Log_2018[[#This Row],[Split_raw]]*MAX(0,MIN(_xlfn.DAYS(EDATE(S$1,1),Log_2018[[#This Row],[Date]]),Log_2018[[#This Row],[Split_apply]])) - SUM($O293:R293)</f>
        <v>0</v>
      </c>
      <c r="T293" s="52">
        <f ca="1">Log_2018[[#This Row],[Amount]]/Log_2018[[#This Row],[Split_raw]]*MAX(0,MIN(_xlfn.DAYS(EDATE(T$1,1),Log_2018[[#This Row],[Date]]),Log_2018[[#This Row],[Split_apply]])) - SUM($O293:S293)</f>
        <v>0</v>
      </c>
      <c r="U293" s="52">
        <f ca="1">Log_2018[[#This Row],[Amount]]/Log_2018[[#This Row],[Split_raw]]*MAX(0,MIN(_xlfn.DAYS(EDATE(U$1,1),Log_2018[[#This Row],[Date]]),Log_2018[[#This Row],[Split_apply]])) - SUM($O293:T293)</f>
        <v>0</v>
      </c>
      <c r="V293" s="52">
        <f ca="1">Log_2018[[#This Row],[Amount]]/Log_2018[[#This Row],[Split_raw]]*MAX(0,MIN(_xlfn.DAYS(EDATE(V$1,1),Log_2018[[#This Row],[Date]]),Log_2018[[#This Row],[Split_apply]])) - SUM($O293:U293)</f>
        <v>0</v>
      </c>
      <c r="W293" s="52">
        <f ca="1">Log_2018[[#This Row],[Amount]]/Log_2018[[#This Row],[Split_raw]]*MAX(0,MIN(_xlfn.DAYS(EDATE(W$1,1),Log_2018[[#This Row],[Date]]),Log_2018[[#This Row],[Split_apply]])) - SUM($O293:V293)</f>
        <v>-11.86</v>
      </c>
      <c r="X293" s="52">
        <f ca="1">Log_2018[[#This Row],[Amount]]/Log_2018[[#This Row],[Split_raw]]*MAX(0,MIN(_xlfn.DAYS(EDATE(X$1,1),Log_2018[[#This Row],[Date]]),Log_2018[[#This Row],[Split_apply]])) - SUM($O293:W293)</f>
        <v>0</v>
      </c>
      <c r="Y293" s="52">
        <f ca="1">Log_2018[[#This Row],[Amount]]/Log_2018[[#This Row],[Split_raw]]*MAX(0,MIN(_xlfn.DAYS(EDATE(Y$1,1),Log_2018[[#This Row],[Date]]),Log_2018[[#This Row],[Split_apply]])) - SUM($O293:X293)</f>
        <v>0</v>
      </c>
      <c r="Z293" s="52">
        <f ca="1">Log_2018[[#This Row],[Amount]]/Log_2018[[#This Row],[Split_raw]]*MAX(0,MIN(_xlfn.DAYS(EDATE(Z$1,1),Log_2018[[#This Row],[Date]]),Log_2018[[#This Row],[Split_apply]])) - SUM($O293:Y293)</f>
        <v>0</v>
      </c>
      <c r="AA293" s="52">
        <f ca="1">Log_2018[[#This Row],[Amount]]/Log_2018[[#This Row],[Split_raw]]*MAX(0,MIN(_xlfn.DAYS(EDATE(AA$1,1),Log_2018[[#This Row],[Date]]),Log_2018[[#This Row],[Split_apply]])) - SUM($O293:Z293)</f>
        <v>0</v>
      </c>
      <c r="AB293" s="54">
        <f ca="1">Log_2018[[#This Row],[Amount]]-SUM(O293:AA293)</f>
        <v>0</v>
      </c>
      <c r="AC293" s="7">
        <f ca="1">MAX(0,Log_2018[[#This Row],[Split_apply]] - (EDATE(AA$1,1)-Log_2018[[#This Row],[Date]]))</f>
        <v>0</v>
      </c>
    </row>
    <row r="294" spans="1:29" hidden="1" x14ac:dyDescent="0.25">
      <c r="A294" s="115"/>
      <c r="B294" t="s">
        <v>6</v>
      </c>
      <c r="D294" s="39">
        <v>43332</v>
      </c>
      <c r="F294" t="s">
        <v>255</v>
      </c>
      <c r="G294" t="s">
        <v>25</v>
      </c>
      <c r="H294" s="3">
        <v>-10.65</v>
      </c>
      <c r="I294" s="36">
        <f>IF(Log_2018[[#This Row],[My Category]]="NONTRACKED",0,Log_2018[[#This Row],[Raw Amount]])</f>
        <v>-10.65</v>
      </c>
      <c r="J294" s="17">
        <f>ABS(Log_2018[[#This Row],[Amount]])</f>
        <v>10.65</v>
      </c>
      <c r="K294" s="66">
        <v>1</v>
      </c>
      <c r="L294" s="66">
        <f ca="1">IF(Log_2018[[#This Row],[Date]]&lt;=TODAY(), MIN(Log_2018[[#This Row],[Split_raw]], TODAY()-Log_2018[[#This Row],[Date]]+1), 0)</f>
        <v>1</v>
      </c>
      <c r="M294" t="s">
        <v>35</v>
      </c>
      <c r="N294" t="s">
        <v>158</v>
      </c>
      <c r="O294" s="50">
        <v>0</v>
      </c>
      <c r="P294" s="52">
        <f ca="1">Log_2018[[#This Row],[Amount]]/Log_2018[[#This Row],[Split_raw]]*MAX(0,MIN(_xlfn.DAYS(EDATE(P$1,1),Log_2018[[#This Row],[Date]]),Log_2018[[#This Row],[Split_apply]])) - SUM($O294:O294)</f>
        <v>0</v>
      </c>
      <c r="Q294" s="52">
        <f ca="1">Log_2018[[#This Row],[Amount]]/Log_2018[[#This Row],[Split_raw]]*MAX(0,MIN(_xlfn.DAYS(EDATE(Q$1,1),Log_2018[[#This Row],[Date]]),Log_2018[[#This Row],[Split_apply]])) - SUM($O294:P294)</f>
        <v>0</v>
      </c>
      <c r="R294" s="52">
        <f ca="1">Log_2018[[#This Row],[Amount]]/Log_2018[[#This Row],[Split_raw]]*MAX(0,MIN(_xlfn.DAYS(EDATE(R$1,1),Log_2018[[#This Row],[Date]]),Log_2018[[#This Row],[Split_apply]])) - SUM($O294:Q294)</f>
        <v>0</v>
      </c>
      <c r="S294" s="52">
        <f ca="1">Log_2018[[#This Row],[Amount]]/Log_2018[[#This Row],[Split_raw]]*MAX(0,MIN(_xlfn.DAYS(EDATE(S$1,1),Log_2018[[#This Row],[Date]]),Log_2018[[#This Row],[Split_apply]])) - SUM($O294:R294)</f>
        <v>0</v>
      </c>
      <c r="T294" s="52">
        <f ca="1">Log_2018[[#This Row],[Amount]]/Log_2018[[#This Row],[Split_raw]]*MAX(0,MIN(_xlfn.DAYS(EDATE(T$1,1),Log_2018[[#This Row],[Date]]),Log_2018[[#This Row],[Split_apply]])) - SUM($O294:S294)</f>
        <v>0</v>
      </c>
      <c r="U294" s="52">
        <f ca="1">Log_2018[[#This Row],[Amount]]/Log_2018[[#This Row],[Split_raw]]*MAX(0,MIN(_xlfn.DAYS(EDATE(U$1,1),Log_2018[[#This Row],[Date]]),Log_2018[[#This Row],[Split_apply]])) - SUM($O294:T294)</f>
        <v>0</v>
      </c>
      <c r="V294" s="52">
        <f ca="1">Log_2018[[#This Row],[Amount]]/Log_2018[[#This Row],[Split_raw]]*MAX(0,MIN(_xlfn.DAYS(EDATE(V$1,1),Log_2018[[#This Row],[Date]]),Log_2018[[#This Row],[Split_apply]])) - SUM($O294:U294)</f>
        <v>0</v>
      </c>
      <c r="W294" s="52">
        <f ca="1">Log_2018[[#This Row],[Amount]]/Log_2018[[#This Row],[Split_raw]]*MAX(0,MIN(_xlfn.DAYS(EDATE(W$1,1),Log_2018[[#This Row],[Date]]),Log_2018[[#This Row],[Split_apply]])) - SUM($O294:V294)</f>
        <v>-10.65</v>
      </c>
      <c r="X294" s="52">
        <f ca="1">Log_2018[[#This Row],[Amount]]/Log_2018[[#This Row],[Split_raw]]*MAX(0,MIN(_xlfn.DAYS(EDATE(X$1,1),Log_2018[[#This Row],[Date]]),Log_2018[[#This Row],[Split_apply]])) - SUM($O294:W294)</f>
        <v>0</v>
      </c>
      <c r="Y294" s="52">
        <f ca="1">Log_2018[[#This Row],[Amount]]/Log_2018[[#This Row],[Split_raw]]*MAX(0,MIN(_xlfn.DAYS(EDATE(Y$1,1),Log_2018[[#This Row],[Date]]),Log_2018[[#This Row],[Split_apply]])) - SUM($O294:X294)</f>
        <v>0</v>
      </c>
      <c r="Z294" s="52">
        <f ca="1">Log_2018[[#This Row],[Amount]]/Log_2018[[#This Row],[Split_raw]]*MAX(0,MIN(_xlfn.DAYS(EDATE(Z$1,1),Log_2018[[#This Row],[Date]]),Log_2018[[#This Row],[Split_apply]])) - SUM($O294:Y294)</f>
        <v>0</v>
      </c>
      <c r="AA294" s="52">
        <f ca="1">Log_2018[[#This Row],[Amount]]/Log_2018[[#This Row],[Split_raw]]*MAX(0,MIN(_xlfn.DAYS(EDATE(AA$1,1),Log_2018[[#This Row],[Date]]),Log_2018[[#This Row],[Split_apply]])) - SUM($O294:Z294)</f>
        <v>0</v>
      </c>
      <c r="AB294" s="54">
        <f ca="1">Log_2018[[#This Row],[Amount]]-SUM(O294:AA294)</f>
        <v>0</v>
      </c>
      <c r="AC294" s="7">
        <f ca="1">MAX(0,Log_2018[[#This Row],[Split_apply]] - (EDATE(AA$1,1)-Log_2018[[#This Row],[Date]]))</f>
        <v>0</v>
      </c>
    </row>
    <row r="295" spans="1:29" hidden="1" x14ac:dyDescent="0.25">
      <c r="A295" s="115"/>
      <c r="B295" t="s">
        <v>6</v>
      </c>
      <c r="D295" s="39">
        <v>43332</v>
      </c>
      <c r="F295" t="s">
        <v>255</v>
      </c>
      <c r="G295" t="s">
        <v>25</v>
      </c>
      <c r="H295" s="3">
        <v>-6.46</v>
      </c>
      <c r="I295" s="36">
        <f>IF(Log_2018[[#This Row],[My Category]]="NONTRACKED",0,Log_2018[[#This Row],[Raw Amount]])</f>
        <v>-6.46</v>
      </c>
      <c r="J295" s="17">
        <f>ABS(Log_2018[[#This Row],[Amount]])</f>
        <v>6.46</v>
      </c>
      <c r="K295" s="66">
        <v>1</v>
      </c>
      <c r="L295" s="66">
        <f ca="1">IF(Log_2018[[#This Row],[Date]]&lt;=TODAY(), MIN(Log_2018[[#This Row],[Split_raw]], TODAY()-Log_2018[[#This Row],[Date]]+1), 0)</f>
        <v>1</v>
      </c>
      <c r="M295" t="s">
        <v>35</v>
      </c>
      <c r="N295" t="s">
        <v>158</v>
      </c>
      <c r="O295" s="50">
        <v>0</v>
      </c>
      <c r="P295" s="52">
        <f ca="1">Log_2018[[#This Row],[Amount]]/Log_2018[[#This Row],[Split_raw]]*MAX(0,MIN(_xlfn.DAYS(EDATE(P$1,1),Log_2018[[#This Row],[Date]]),Log_2018[[#This Row],[Split_apply]])) - SUM($O295:O295)</f>
        <v>0</v>
      </c>
      <c r="Q295" s="52">
        <f ca="1">Log_2018[[#This Row],[Amount]]/Log_2018[[#This Row],[Split_raw]]*MAX(0,MIN(_xlfn.DAYS(EDATE(Q$1,1),Log_2018[[#This Row],[Date]]),Log_2018[[#This Row],[Split_apply]])) - SUM($O295:P295)</f>
        <v>0</v>
      </c>
      <c r="R295" s="52">
        <f ca="1">Log_2018[[#This Row],[Amount]]/Log_2018[[#This Row],[Split_raw]]*MAX(0,MIN(_xlfn.DAYS(EDATE(R$1,1),Log_2018[[#This Row],[Date]]),Log_2018[[#This Row],[Split_apply]])) - SUM($O295:Q295)</f>
        <v>0</v>
      </c>
      <c r="S295" s="52">
        <f ca="1">Log_2018[[#This Row],[Amount]]/Log_2018[[#This Row],[Split_raw]]*MAX(0,MIN(_xlfn.DAYS(EDATE(S$1,1),Log_2018[[#This Row],[Date]]),Log_2018[[#This Row],[Split_apply]])) - SUM($O295:R295)</f>
        <v>0</v>
      </c>
      <c r="T295" s="52">
        <f ca="1">Log_2018[[#This Row],[Amount]]/Log_2018[[#This Row],[Split_raw]]*MAX(0,MIN(_xlfn.DAYS(EDATE(T$1,1),Log_2018[[#This Row],[Date]]),Log_2018[[#This Row],[Split_apply]])) - SUM($O295:S295)</f>
        <v>0</v>
      </c>
      <c r="U295" s="52">
        <f ca="1">Log_2018[[#This Row],[Amount]]/Log_2018[[#This Row],[Split_raw]]*MAX(0,MIN(_xlfn.DAYS(EDATE(U$1,1),Log_2018[[#This Row],[Date]]),Log_2018[[#This Row],[Split_apply]])) - SUM($O295:T295)</f>
        <v>0</v>
      </c>
      <c r="V295" s="52">
        <f ca="1">Log_2018[[#This Row],[Amount]]/Log_2018[[#This Row],[Split_raw]]*MAX(0,MIN(_xlfn.DAYS(EDATE(V$1,1),Log_2018[[#This Row],[Date]]),Log_2018[[#This Row],[Split_apply]])) - SUM($O295:U295)</f>
        <v>0</v>
      </c>
      <c r="W295" s="52">
        <f ca="1">Log_2018[[#This Row],[Amount]]/Log_2018[[#This Row],[Split_raw]]*MAX(0,MIN(_xlfn.DAYS(EDATE(W$1,1),Log_2018[[#This Row],[Date]]),Log_2018[[#This Row],[Split_apply]])) - SUM($O295:V295)</f>
        <v>-6.46</v>
      </c>
      <c r="X295" s="52">
        <f ca="1">Log_2018[[#This Row],[Amount]]/Log_2018[[#This Row],[Split_raw]]*MAX(0,MIN(_xlfn.DAYS(EDATE(X$1,1),Log_2018[[#This Row],[Date]]),Log_2018[[#This Row],[Split_apply]])) - SUM($O295:W295)</f>
        <v>0</v>
      </c>
      <c r="Y295" s="52">
        <f ca="1">Log_2018[[#This Row],[Amount]]/Log_2018[[#This Row],[Split_raw]]*MAX(0,MIN(_xlfn.DAYS(EDATE(Y$1,1),Log_2018[[#This Row],[Date]]),Log_2018[[#This Row],[Split_apply]])) - SUM($O295:X295)</f>
        <v>0</v>
      </c>
      <c r="Z295" s="52">
        <f ca="1">Log_2018[[#This Row],[Amount]]/Log_2018[[#This Row],[Split_raw]]*MAX(0,MIN(_xlfn.DAYS(EDATE(Z$1,1),Log_2018[[#This Row],[Date]]),Log_2018[[#This Row],[Split_apply]])) - SUM($O295:Y295)</f>
        <v>0</v>
      </c>
      <c r="AA295" s="52">
        <f ca="1">Log_2018[[#This Row],[Amount]]/Log_2018[[#This Row],[Split_raw]]*MAX(0,MIN(_xlfn.DAYS(EDATE(AA$1,1),Log_2018[[#This Row],[Date]]),Log_2018[[#This Row],[Split_apply]])) - SUM($O295:Z295)</f>
        <v>0</v>
      </c>
      <c r="AB295" s="54">
        <f ca="1">Log_2018[[#This Row],[Amount]]-SUM(O295:AA295)</f>
        <v>0</v>
      </c>
      <c r="AC295" s="7">
        <f ca="1">MAX(0,Log_2018[[#This Row],[Split_apply]] - (EDATE(AA$1,1)-Log_2018[[#This Row],[Date]]))</f>
        <v>0</v>
      </c>
    </row>
    <row r="296" spans="1:29" hidden="1" x14ac:dyDescent="0.25">
      <c r="A296" s="115"/>
      <c r="B296" t="s">
        <v>6</v>
      </c>
      <c r="D296" s="26">
        <v>43332</v>
      </c>
      <c r="F296" t="s">
        <v>364</v>
      </c>
      <c r="G296" t="s">
        <v>29</v>
      </c>
      <c r="H296" s="3">
        <v>-56.31</v>
      </c>
      <c r="I296" s="36">
        <f>IF(Log_2018[[#This Row],[My Category]]="NONTRACKED",0,Log_2018[[#This Row],[Raw Amount]])</f>
        <v>-56.31</v>
      </c>
      <c r="J296" s="17">
        <f>ABS(Log_2018[[#This Row],[Amount]])</f>
        <v>56.31</v>
      </c>
      <c r="K296" s="66">
        <v>30</v>
      </c>
      <c r="L296" s="66">
        <f ca="1">IF(Log_2018[[#This Row],[Date]]&lt;=TODAY(), MIN(Log_2018[[#This Row],[Split_raw]], TODAY()-Log_2018[[#This Row],[Date]]+1), 0)</f>
        <v>30</v>
      </c>
      <c r="M296" t="s">
        <v>29</v>
      </c>
      <c r="N296" t="s">
        <v>160</v>
      </c>
      <c r="O296" s="50">
        <v>0</v>
      </c>
      <c r="P296" s="52">
        <f ca="1">Log_2018[[#This Row],[Amount]]/Log_2018[[#This Row],[Split_raw]]*MAX(0,MIN(_xlfn.DAYS(EDATE(P$1,1),Log_2018[[#This Row],[Date]]),Log_2018[[#This Row],[Split_apply]])) - SUM($O296:O296)</f>
        <v>0</v>
      </c>
      <c r="Q296" s="52">
        <f ca="1">Log_2018[[#This Row],[Amount]]/Log_2018[[#This Row],[Split_raw]]*MAX(0,MIN(_xlfn.DAYS(EDATE(Q$1,1),Log_2018[[#This Row],[Date]]),Log_2018[[#This Row],[Split_apply]])) - SUM($O296:P296)</f>
        <v>0</v>
      </c>
      <c r="R296" s="52">
        <f ca="1">Log_2018[[#This Row],[Amount]]/Log_2018[[#This Row],[Split_raw]]*MAX(0,MIN(_xlfn.DAYS(EDATE(R$1,1),Log_2018[[#This Row],[Date]]),Log_2018[[#This Row],[Split_apply]])) - SUM($O296:Q296)</f>
        <v>0</v>
      </c>
      <c r="S296" s="52">
        <f ca="1">Log_2018[[#This Row],[Amount]]/Log_2018[[#This Row],[Split_raw]]*MAX(0,MIN(_xlfn.DAYS(EDATE(S$1,1),Log_2018[[#This Row],[Date]]),Log_2018[[#This Row],[Split_apply]])) - SUM($O296:R296)</f>
        <v>0</v>
      </c>
      <c r="T296" s="52">
        <f ca="1">Log_2018[[#This Row],[Amount]]/Log_2018[[#This Row],[Split_raw]]*MAX(0,MIN(_xlfn.DAYS(EDATE(T$1,1),Log_2018[[#This Row],[Date]]),Log_2018[[#This Row],[Split_apply]])) - SUM($O296:S296)</f>
        <v>0</v>
      </c>
      <c r="U296" s="52">
        <f ca="1">Log_2018[[#This Row],[Amount]]/Log_2018[[#This Row],[Split_raw]]*MAX(0,MIN(_xlfn.DAYS(EDATE(U$1,1),Log_2018[[#This Row],[Date]]),Log_2018[[#This Row],[Split_apply]])) - SUM($O296:T296)</f>
        <v>0</v>
      </c>
      <c r="V296" s="52">
        <f ca="1">Log_2018[[#This Row],[Amount]]/Log_2018[[#This Row],[Split_raw]]*MAX(0,MIN(_xlfn.DAYS(EDATE(V$1,1),Log_2018[[#This Row],[Date]]),Log_2018[[#This Row],[Split_apply]])) - SUM($O296:U296)</f>
        <v>0</v>
      </c>
      <c r="W296" s="52">
        <f ca="1">Log_2018[[#This Row],[Amount]]/Log_2018[[#This Row],[Split_raw]]*MAX(0,MIN(_xlfn.DAYS(EDATE(W$1,1),Log_2018[[#This Row],[Date]]),Log_2018[[#This Row],[Split_apply]])) - SUM($O296:V296)</f>
        <v>-22.524000000000001</v>
      </c>
      <c r="X296" s="52">
        <f ca="1">Log_2018[[#This Row],[Amount]]/Log_2018[[#This Row],[Split_raw]]*MAX(0,MIN(_xlfn.DAYS(EDATE(X$1,1),Log_2018[[#This Row],[Date]]),Log_2018[[#This Row],[Split_apply]])) - SUM($O296:W296)</f>
        <v>-33.786000000000001</v>
      </c>
      <c r="Y296" s="52">
        <f ca="1">Log_2018[[#This Row],[Amount]]/Log_2018[[#This Row],[Split_raw]]*MAX(0,MIN(_xlfn.DAYS(EDATE(Y$1,1),Log_2018[[#This Row],[Date]]),Log_2018[[#This Row],[Split_apply]])) - SUM($O296:X296)</f>
        <v>0</v>
      </c>
      <c r="Z296" s="52">
        <f ca="1">Log_2018[[#This Row],[Amount]]/Log_2018[[#This Row],[Split_raw]]*MAX(0,MIN(_xlfn.DAYS(EDATE(Z$1,1),Log_2018[[#This Row],[Date]]),Log_2018[[#This Row],[Split_apply]])) - SUM($O296:Y296)</f>
        <v>0</v>
      </c>
      <c r="AA296" s="52">
        <f ca="1">Log_2018[[#This Row],[Amount]]/Log_2018[[#This Row],[Split_raw]]*MAX(0,MIN(_xlfn.DAYS(EDATE(AA$1,1),Log_2018[[#This Row],[Date]]),Log_2018[[#This Row],[Split_apply]])) - SUM($O296:Z296)</f>
        <v>0</v>
      </c>
      <c r="AB296" s="54">
        <f ca="1">Log_2018[[#This Row],[Amount]]-SUM(O296:AA296)</f>
        <v>0</v>
      </c>
      <c r="AC296" s="7">
        <f ca="1">MAX(0,Log_2018[[#This Row],[Split_apply]] - (EDATE(AA$1,1)-Log_2018[[#This Row],[Date]]))</f>
        <v>0</v>
      </c>
    </row>
    <row r="297" spans="1:29" hidden="1" x14ac:dyDescent="0.25">
      <c r="A297" s="115"/>
      <c r="B297" t="s">
        <v>6</v>
      </c>
      <c r="D297" s="26">
        <v>43331</v>
      </c>
      <c r="F297" t="s">
        <v>184</v>
      </c>
      <c r="G297" t="s">
        <v>11</v>
      </c>
      <c r="H297" s="3">
        <v>-9.9</v>
      </c>
      <c r="I297" s="36">
        <f>IF(Log_2018[[#This Row],[My Category]]="NONTRACKED",0,Log_2018[[#This Row],[Raw Amount]])</f>
        <v>-9.9</v>
      </c>
      <c r="J297" s="17">
        <f>ABS(Log_2018[[#This Row],[Amount]])</f>
        <v>9.9</v>
      </c>
      <c r="K297" s="66">
        <v>1</v>
      </c>
      <c r="L297" s="66">
        <f ca="1">IF(Log_2018[[#This Row],[Date]]&lt;=TODAY(), MIN(Log_2018[[#This Row],[Split_raw]], TODAY()-Log_2018[[#This Row],[Date]]+1), 0)</f>
        <v>1</v>
      </c>
      <c r="M297" t="s">
        <v>12</v>
      </c>
      <c r="N297" t="s">
        <v>158</v>
      </c>
      <c r="O297" s="50">
        <v>0</v>
      </c>
      <c r="P297" s="52">
        <f ca="1">Log_2018[[#This Row],[Amount]]/Log_2018[[#This Row],[Split_raw]]*MAX(0,MIN(_xlfn.DAYS(EDATE(P$1,1),Log_2018[[#This Row],[Date]]),Log_2018[[#This Row],[Split_apply]])) - SUM($O297:O297)</f>
        <v>0</v>
      </c>
      <c r="Q297" s="52">
        <f ca="1">Log_2018[[#This Row],[Amount]]/Log_2018[[#This Row],[Split_raw]]*MAX(0,MIN(_xlfn.DAYS(EDATE(Q$1,1),Log_2018[[#This Row],[Date]]),Log_2018[[#This Row],[Split_apply]])) - SUM($O297:P297)</f>
        <v>0</v>
      </c>
      <c r="R297" s="52">
        <f ca="1">Log_2018[[#This Row],[Amount]]/Log_2018[[#This Row],[Split_raw]]*MAX(0,MIN(_xlfn.DAYS(EDATE(R$1,1),Log_2018[[#This Row],[Date]]),Log_2018[[#This Row],[Split_apply]])) - SUM($O297:Q297)</f>
        <v>0</v>
      </c>
      <c r="S297" s="52">
        <f ca="1">Log_2018[[#This Row],[Amount]]/Log_2018[[#This Row],[Split_raw]]*MAX(0,MIN(_xlfn.DAYS(EDATE(S$1,1),Log_2018[[#This Row],[Date]]),Log_2018[[#This Row],[Split_apply]])) - SUM($O297:R297)</f>
        <v>0</v>
      </c>
      <c r="T297" s="52">
        <f ca="1">Log_2018[[#This Row],[Amount]]/Log_2018[[#This Row],[Split_raw]]*MAX(0,MIN(_xlfn.DAYS(EDATE(T$1,1),Log_2018[[#This Row],[Date]]),Log_2018[[#This Row],[Split_apply]])) - SUM($O297:S297)</f>
        <v>0</v>
      </c>
      <c r="U297" s="52">
        <f ca="1">Log_2018[[#This Row],[Amount]]/Log_2018[[#This Row],[Split_raw]]*MAX(0,MIN(_xlfn.DAYS(EDATE(U$1,1),Log_2018[[#This Row],[Date]]),Log_2018[[#This Row],[Split_apply]])) - SUM($O297:T297)</f>
        <v>0</v>
      </c>
      <c r="V297" s="52">
        <f ca="1">Log_2018[[#This Row],[Amount]]/Log_2018[[#This Row],[Split_raw]]*MAX(0,MIN(_xlfn.DAYS(EDATE(V$1,1),Log_2018[[#This Row],[Date]]),Log_2018[[#This Row],[Split_apply]])) - SUM($O297:U297)</f>
        <v>0</v>
      </c>
      <c r="W297" s="52">
        <f ca="1">Log_2018[[#This Row],[Amount]]/Log_2018[[#This Row],[Split_raw]]*MAX(0,MIN(_xlfn.DAYS(EDATE(W$1,1),Log_2018[[#This Row],[Date]]),Log_2018[[#This Row],[Split_apply]])) - SUM($O297:V297)</f>
        <v>-9.9</v>
      </c>
      <c r="X297" s="52">
        <f ca="1">Log_2018[[#This Row],[Amount]]/Log_2018[[#This Row],[Split_raw]]*MAX(0,MIN(_xlfn.DAYS(EDATE(X$1,1),Log_2018[[#This Row],[Date]]),Log_2018[[#This Row],[Split_apply]])) - SUM($O297:W297)</f>
        <v>0</v>
      </c>
      <c r="Y297" s="52">
        <f ca="1">Log_2018[[#This Row],[Amount]]/Log_2018[[#This Row],[Split_raw]]*MAX(0,MIN(_xlfn.DAYS(EDATE(Y$1,1),Log_2018[[#This Row],[Date]]),Log_2018[[#This Row],[Split_apply]])) - SUM($O297:X297)</f>
        <v>0</v>
      </c>
      <c r="Z297" s="52">
        <f ca="1">Log_2018[[#This Row],[Amount]]/Log_2018[[#This Row],[Split_raw]]*MAX(0,MIN(_xlfn.DAYS(EDATE(Z$1,1),Log_2018[[#This Row],[Date]]),Log_2018[[#This Row],[Split_apply]])) - SUM($O297:Y297)</f>
        <v>0</v>
      </c>
      <c r="AA297" s="52">
        <f ca="1">Log_2018[[#This Row],[Amount]]/Log_2018[[#This Row],[Split_raw]]*MAX(0,MIN(_xlfn.DAYS(EDATE(AA$1,1),Log_2018[[#This Row],[Date]]),Log_2018[[#This Row],[Split_apply]])) - SUM($O297:Z297)</f>
        <v>0</v>
      </c>
      <c r="AB297" s="54">
        <f ca="1">Log_2018[[#This Row],[Amount]]-SUM(O297:AA297)</f>
        <v>0</v>
      </c>
      <c r="AC297" s="7">
        <f ca="1">MAX(0,Log_2018[[#This Row],[Split_apply]] - (EDATE(AA$1,1)-Log_2018[[#This Row],[Date]]))</f>
        <v>0</v>
      </c>
    </row>
    <row r="298" spans="1:29" hidden="1" x14ac:dyDescent="0.25">
      <c r="A298" s="115"/>
      <c r="B298" t="s">
        <v>6</v>
      </c>
      <c r="D298" s="26">
        <v>43331</v>
      </c>
      <c r="F298" t="s">
        <v>356</v>
      </c>
      <c r="G298" t="s">
        <v>25</v>
      </c>
      <c r="H298" s="3">
        <v>-23.33</v>
      </c>
      <c r="I298" s="36">
        <f>IF(Log_2018[[#This Row],[My Category]]="NONTRACKED",0,Log_2018[[#This Row],[Raw Amount]])</f>
        <v>-23.33</v>
      </c>
      <c r="J298" s="17">
        <f>ABS(Log_2018[[#This Row],[Amount]])</f>
        <v>23.33</v>
      </c>
      <c r="K298" s="66">
        <v>1</v>
      </c>
      <c r="L298" s="66">
        <f ca="1">IF(Log_2018[[#This Row],[Date]]&lt;=TODAY(), MIN(Log_2018[[#This Row],[Split_raw]], TODAY()-Log_2018[[#This Row],[Date]]+1), 0)</f>
        <v>1</v>
      </c>
      <c r="M298" t="s">
        <v>35</v>
      </c>
      <c r="N298" t="s">
        <v>158</v>
      </c>
      <c r="O298" s="50">
        <v>0</v>
      </c>
      <c r="P298" s="52">
        <f ca="1">Log_2018[[#This Row],[Amount]]/Log_2018[[#This Row],[Split_raw]]*MAX(0,MIN(_xlfn.DAYS(EDATE(P$1,1),Log_2018[[#This Row],[Date]]),Log_2018[[#This Row],[Split_apply]])) - SUM($O298:O298)</f>
        <v>0</v>
      </c>
      <c r="Q298" s="52">
        <f ca="1">Log_2018[[#This Row],[Amount]]/Log_2018[[#This Row],[Split_raw]]*MAX(0,MIN(_xlfn.DAYS(EDATE(Q$1,1),Log_2018[[#This Row],[Date]]),Log_2018[[#This Row],[Split_apply]])) - SUM($O298:P298)</f>
        <v>0</v>
      </c>
      <c r="R298" s="52">
        <f ca="1">Log_2018[[#This Row],[Amount]]/Log_2018[[#This Row],[Split_raw]]*MAX(0,MIN(_xlfn.DAYS(EDATE(R$1,1),Log_2018[[#This Row],[Date]]),Log_2018[[#This Row],[Split_apply]])) - SUM($O298:Q298)</f>
        <v>0</v>
      </c>
      <c r="S298" s="52">
        <f ca="1">Log_2018[[#This Row],[Amount]]/Log_2018[[#This Row],[Split_raw]]*MAX(0,MIN(_xlfn.DAYS(EDATE(S$1,1),Log_2018[[#This Row],[Date]]),Log_2018[[#This Row],[Split_apply]])) - SUM($O298:R298)</f>
        <v>0</v>
      </c>
      <c r="T298" s="52">
        <f ca="1">Log_2018[[#This Row],[Amount]]/Log_2018[[#This Row],[Split_raw]]*MAX(0,MIN(_xlfn.DAYS(EDATE(T$1,1),Log_2018[[#This Row],[Date]]),Log_2018[[#This Row],[Split_apply]])) - SUM($O298:S298)</f>
        <v>0</v>
      </c>
      <c r="U298" s="52">
        <f ca="1">Log_2018[[#This Row],[Amount]]/Log_2018[[#This Row],[Split_raw]]*MAX(0,MIN(_xlfn.DAYS(EDATE(U$1,1),Log_2018[[#This Row],[Date]]),Log_2018[[#This Row],[Split_apply]])) - SUM($O298:T298)</f>
        <v>0</v>
      </c>
      <c r="V298" s="52">
        <f ca="1">Log_2018[[#This Row],[Amount]]/Log_2018[[#This Row],[Split_raw]]*MAX(0,MIN(_xlfn.DAYS(EDATE(V$1,1),Log_2018[[#This Row],[Date]]),Log_2018[[#This Row],[Split_apply]])) - SUM($O298:U298)</f>
        <v>0</v>
      </c>
      <c r="W298" s="52">
        <f ca="1">Log_2018[[#This Row],[Amount]]/Log_2018[[#This Row],[Split_raw]]*MAX(0,MIN(_xlfn.DAYS(EDATE(W$1,1),Log_2018[[#This Row],[Date]]),Log_2018[[#This Row],[Split_apply]])) - SUM($O298:V298)</f>
        <v>-23.33</v>
      </c>
      <c r="X298" s="52">
        <f ca="1">Log_2018[[#This Row],[Amount]]/Log_2018[[#This Row],[Split_raw]]*MAX(0,MIN(_xlfn.DAYS(EDATE(X$1,1),Log_2018[[#This Row],[Date]]),Log_2018[[#This Row],[Split_apply]])) - SUM($O298:W298)</f>
        <v>0</v>
      </c>
      <c r="Y298" s="52">
        <f ca="1">Log_2018[[#This Row],[Amount]]/Log_2018[[#This Row],[Split_raw]]*MAX(0,MIN(_xlfn.DAYS(EDATE(Y$1,1),Log_2018[[#This Row],[Date]]),Log_2018[[#This Row],[Split_apply]])) - SUM($O298:X298)</f>
        <v>0</v>
      </c>
      <c r="Z298" s="52">
        <f ca="1">Log_2018[[#This Row],[Amount]]/Log_2018[[#This Row],[Split_raw]]*MAX(0,MIN(_xlfn.DAYS(EDATE(Z$1,1),Log_2018[[#This Row],[Date]]),Log_2018[[#This Row],[Split_apply]])) - SUM($O298:Y298)</f>
        <v>0</v>
      </c>
      <c r="AA298" s="52">
        <f ca="1">Log_2018[[#This Row],[Amount]]/Log_2018[[#This Row],[Split_raw]]*MAX(0,MIN(_xlfn.DAYS(EDATE(AA$1,1),Log_2018[[#This Row],[Date]]),Log_2018[[#This Row],[Split_apply]])) - SUM($O298:Z298)</f>
        <v>0</v>
      </c>
      <c r="AB298" s="54">
        <f ca="1">Log_2018[[#This Row],[Amount]]-SUM(O298:AA298)</f>
        <v>0</v>
      </c>
      <c r="AC298" s="7">
        <f ca="1">MAX(0,Log_2018[[#This Row],[Split_apply]] - (EDATE(AA$1,1)-Log_2018[[#This Row],[Date]]))</f>
        <v>0</v>
      </c>
    </row>
    <row r="299" spans="1:29" hidden="1" x14ac:dyDescent="0.25">
      <c r="A299" s="115"/>
      <c r="B299" t="s">
        <v>6</v>
      </c>
      <c r="D299" s="26">
        <v>43331</v>
      </c>
      <c r="E299" t="s">
        <v>365</v>
      </c>
      <c r="F299" t="s">
        <v>357</v>
      </c>
      <c r="G299" t="s">
        <v>11</v>
      </c>
      <c r="H299" s="3">
        <v>-22.24</v>
      </c>
      <c r="I299" s="36">
        <f>IF(Log_2018[[#This Row],[My Category]]="NONTRACKED",0,Log_2018[[#This Row],[Raw Amount]])</f>
        <v>-22.24</v>
      </c>
      <c r="J299" s="17">
        <f>ABS(Log_2018[[#This Row],[Amount]])</f>
        <v>22.24</v>
      </c>
      <c r="K299" s="66">
        <v>1</v>
      </c>
      <c r="L299" s="66">
        <f ca="1">IF(Log_2018[[#This Row],[Date]]&lt;=TODAY(), MIN(Log_2018[[#This Row],[Split_raw]], TODAY()-Log_2018[[#This Row],[Date]]+1), 0)</f>
        <v>1</v>
      </c>
      <c r="M299" t="s">
        <v>40</v>
      </c>
      <c r="N299" t="s">
        <v>158</v>
      </c>
      <c r="O299" s="50">
        <v>0</v>
      </c>
      <c r="P299" s="52">
        <f ca="1">Log_2018[[#This Row],[Amount]]/Log_2018[[#This Row],[Split_raw]]*MAX(0,MIN(_xlfn.DAYS(EDATE(P$1,1),Log_2018[[#This Row],[Date]]),Log_2018[[#This Row],[Split_apply]])) - SUM($O299:O299)</f>
        <v>0</v>
      </c>
      <c r="Q299" s="52">
        <f ca="1">Log_2018[[#This Row],[Amount]]/Log_2018[[#This Row],[Split_raw]]*MAX(0,MIN(_xlfn.DAYS(EDATE(Q$1,1),Log_2018[[#This Row],[Date]]),Log_2018[[#This Row],[Split_apply]])) - SUM($O299:P299)</f>
        <v>0</v>
      </c>
      <c r="R299" s="52">
        <f ca="1">Log_2018[[#This Row],[Amount]]/Log_2018[[#This Row],[Split_raw]]*MAX(0,MIN(_xlfn.DAYS(EDATE(R$1,1),Log_2018[[#This Row],[Date]]),Log_2018[[#This Row],[Split_apply]])) - SUM($O299:Q299)</f>
        <v>0</v>
      </c>
      <c r="S299" s="52">
        <f ca="1">Log_2018[[#This Row],[Amount]]/Log_2018[[#This Row],[Split_raw]]*MAX(0,MIN(_xlfn.DAYS(EDATE(S$1,1),Log_2018[[#This Row],[Date]]),Log_2018[[#This Row],[Split_apply]])) - SUM($O299:R299)</f>
        <v>0</v>
      </c>
      <c r="T299" s="52">
        <f ca="1">Log_2018[[#This Row],[Amount]]/Log_2018[[#This Row],[Split_raw]]*MAX(0,MIN(_xlfn.DAYS(EDATE(T$1,1),Log_2018[[#This Row],[Date]]),Log_2018[[#This Row],[Split_apply]])) - SUM($O299:S299)</f>
        <v>0</v>
      </c>
      <c r="U299" s="52">
        <f ca="1">Log_2018[[#This Row],[Amount]]/Log_2018[[#This Row],[Split_raw]]*MAX(0,MIN(_xlfn.DAYS(EDATE(U$1,1),Log_2018[[#This Row],[Date]]),Log_2018[[#This Row],[Split_apply]])) - SUM($O299:T299)</f>
        <v>0</v>
      </c>
      <c r="V299" s="52">
        <f ca="1">Log_2018[[#This Row],[Amount]]/Log_2018[[#This Row],[Split_raw]]*MAX(0,MIN(_xlfn.DAYS(EDATE(V$1,1),Log_2018[[#This Row],[Date]]),Log_2018[[#This Row],[Split_apply]])) - SUM($O299:U299)</f>
        <v>0</v>
      </c>
      <c r="W299" s="52">
        <f ca="1">Log_2018[[#This Row],[Amount]]/Log_2018[[#This Row],[Split_raw]]*MAX(0,MIN(_xlfn.DAYS(EDATE(W$1,1),Log_2018[[#This Row],[Date]]),Log_2018[[#This Row],[Split_apply]])) - SUM($O299:V299)</f>
        <v>-22.24</v>
      </c>
      <c r="X299" s="52">
        <f ca="1">Log_2018[[#This Row],[Amount]]/Log_2018[[#This Row],[Split_raw]]*MAX(0,MIN(_xlfn.DAYS(EDATE(X$1,1),Log_2018[[#This Row],[Date]]),Log_2018[[#This Row],[Split_apply]])) - SUM($O299:W299)</f>
        <v>0</v>
      </c>
      <c r="Y299" s="52">
        <f ca="1">Log_2018[[#This Row],[Amount]]/Log_2018[[#This Row],[Split_raw]]*MAX(0,MIN(_xlfn.DAYS(EDATE(Y$1,1),Log_2018[[#This Row],[Date]]),Log_2018[[#This Row],[Split_apply]])) - SUM($O299:X299)</f>
        <v>0</v>
      </c>
      <c r="Z299" s="52">
        <f ca="1">Log_2018[[#This Row],[Amount]]/Log_2018[[#This Row],[Split_raw]]*MAX(0,MIN(_xlfn.DAYS(EDATE(Z$1,1),Log_2018[[#This Row],[Date]]),Log_2018[[#This Row],[Split_apply]])) - SUM($O299:Y299)</f>
        <v>0</v>
      </c>
      <c r="AA299" s="52">
        <f ca="1">Log_2018[[#This Row],[Amount]]/Log_2018[[#This Row],[Split_raw]]*MAX(0,MIN(_xlfn.DAYS(EDATE(AA$1,1),Log_2018[[#This Row],[Date]]),Log_2018[[#This Row],[Split_apply]])) - SUM($O299:Z299)</f>
        <v>0</v>
      </c>
      <c r="AB299" s="54">
        <f ca="1">Log_2018[[#This Row],[Amount]]-SUM(O299:AA299)</f>
        <v>0</v>
      </c>
      <c r="AC299" s="7">
        <f ca="1">MAX(0,Log_2018[[#This Row],[Split_apply]] - (EDATE(AA$1,1)-Log_2018[[#This Row],[Date]]))</f>
        <v>0</v>
      </c>
    </row>
    <row r="300" spans="1:29" hidden="1" x14ac:dyDescent="0.25">
      <c r="A300" s="115"/>
      <c r="B300" t="s">
        <v>6</v>
      </c>
      <c r="D300" s="26">
        <v>43331</v>
      </c>
      <c r="E300" t="s">
        <v>365</v>
      </c>
      <c r="F300" t="s">
        <v>357</v>
      </c>
      <c r="G300" t="s">
        <v>11</v>
      </c>
      <c r="H300" s="3">
        <v>-96.25</v>
      </c>
      <c r="I300" s="36">
        <f>IF(Log_2018[[#This Row],[My Category]]="NONTRACKED",0,Log_2018[[#This Row],[Raw Amount]])</f>
        <v>-96.25</v>
      </c>
      <c r="J300" s="17">
        <f>ABS(Log_2018[[#This Row],[Amount]])</f>
        <v>96.25</v>
      </c>
      <c r="K300" s="66">
        <v>1</v>
      </c>
      <c r="L300" s="66">
        <f ca="1">IF(Log_2018[[#This Row],[Date]]&lt;=TODAY(), MIN(Log_2018[[#This Row],[Split_raw]], TODAY()-Log_2018[[#This Row],[Date]]+1), 0)</f>
        <v>1</v>
      </c>
      <c r="M300" t="s">
        <v>40</v>
      </c>
      <c r="N300" t="s">
        <v>158</v>
      </c>
      <c r="O300" s="50">
        <v>0</v>
      </c>
      <c r="P300" s="52">
        <f ca="1">Log_2018[[#This Row],[Amount]]/Log_2018[[#This Row],[Split_raw]]*MAX(0,MIN(_xlfn.DAYS(EDATE(P$1,1),Log_2018[[#This Row],[Date]]),Log_2018[[#This Row],[Split_apply]])) - SUM($O300:O300)</f>
        <v>0</v>
      </c>
      <c r="Q300" s="52">
        <f ca="1">Log_2018[[#This Row],[Amount]]/Log_2018[[#This Row],[Split_raw]]*MAX(0,MIN(_xlfn.DAYS(EDATE(Q$1,1),Log_2018[[#This Row],[Date]]),Log_2018[[#This Row],[Split_apply]])) - SUM($O300:P300)</f>
        <v>0</v>
      </c>
      <c r="R300" s="52">
        <f ca="1">Log_2018[[#This Row],[Amount]]/Log_2018[[#This Row],[Split_raw]]*MAX(0,MIN(_xlfn.DAYS(EDATE(R$1,1),Log_2018[[#This Row],[Date]]),Log_2018[[#This Row],[Split_apply]])) - SUM($O300:Q300)</f>
        <v>0</v>
      </c>
      <c r="S300" s="52">
        <f ca="1">Log_2018[[#This Row],[Amount]]/Log_2018[[#This Row],[Split_raw]]*MAX(0,MIN(_xlfn.DAYS(EDATE(S$1,1),Log_2018[[#This Row],[Date]]),Log_2018[[#This Row],[Split_apply]])) - SUM($O300:R300)</f>
        <v>0</v>
      </c>
      <c r="T300" s="52">
        <f ca="1">Log_2018[[#This Row],[Amount]]/Log_2018[[#This Row],[Split_raw]]*MAX(0,MIN(_xlfn.DAYS(EDATE(T$1,1),Log_2018[[#This Row],[Date]]),Log_2018[[#This Row],[Split_apply]])) - SUM($O300:S300)</f>
        <v>0</v>
      </c>
      <c r="U300" s="52">
        <f ca="1">Log_2018[[#This Row],[Amount]]/Log_2018[[#This Row],[Split_raw]]*MAX(0,MIN(_xlfn.DAYS(EDATE(U$1,1),Log_2018[[#This Row],[Date]]),Log_2018[[#This Row],[Split_apply]])) - SUM($O300:T300)</f>
        <v>0</v>
      </c>
      <c r="V300" s="52">
        <f ca="1">Log_2018[[#This Row],[Amount]]/Log_2018[[#This Row],[Split_raw]]*MAX(0,MIN(_xlfn.DAYS(EDATE(V$1,1),Log_2018[[#This Row],[Date]]),Log_2018[[#This Row],[Split_apply]])) - SUM($O300:U300)</f>
        <v>0</v>
      </c>
      <c r="W300" s="52">
        <f ca="1">Log_2018[[#This Row],[Amount]]/Log_2018[[#This Row],[Split_raw]]*MAX(0,MIN(_xlfn.DAYS(EDATE(W$1,1),Log_2018[[#This Row],[Date]]),Log_2018[[#This Row],[Split_apply]])) - SUM($O300:V300)</f>
        <v>-96.25</v>
      </c>
      <c r="X300" s="52">
        <f ca="1">Log_2018[[#This Row],[Amount]]/Log_2018[[#This Row],[Split_raw]]*MAX(0,MIN(_xlfn.DAYS(EDATE(X$1,1),Log_2018[[#This Row],[Date]]),Log_2018[[#This Row],[Split_apply]])) - SUM($O300:W300)</f>
        <v>0</v>
      </c>
      <c r="Y300" s="52">
        <f ca="1">Log_2018[[#This Row],[Amount]]/Log_2018[[#This Row],[Split_raw]]*MAX(0,MIN(_xlfn.DAYS(EDATE(Y$1,1),Log_2018[[#This Row],[Date]]),Log_2018[[#This Row],[Split_apply]])) - SUM($O300:X300)</f>
        <v>0</v>
      </c>
      <c r="Z300" s="52">
        <f ca="1">Log_2018[[#This Row],[Amount]]/Log_2018[[#This Row],[Split_raw]]*MAX(0,MIN(_xlfn.DAYS(EDATE(Z$1,1),Log_2018[[#This Row],[Date]]),Log_2018[[#This Row],[Split_apply]])) - SUM($O300:Y300)</f>
        <v>0</v>
      </c>
      <c r="AA300" s="52">
        <f ca="1">Log_2018[[#This Row],[Amount]]/Log_2018[[#This Row],[Split_raw]]*MAX(0,MIN(_xlfn.DAYS(EDATE(AA$1,1),Log_2018[[#This Row],[Date]]),Log_2018[[#This Row],[Split_apply]])) - SUM($O300:Z300)</f>
        <v>0</v>
      </c>
      <c r="AB300" s="54">
        <f ca="1">Log_2018[[#This Row],[Amount]]-SUM(O300:AA300)</f>
        <v>0</v>
      </c>
      <c r="AC300" s="7">
        <f ca="1">MAX(0,Log_2018[[#This Row],[Split_apply]] - (EDATE(AA$1,1)-Log_2018[[#This Row],[Date]]))</f>
        <v>0</v>
      </c>
    </row>
    <row r="301" spans="1:29" hidden="1" x14ac:dyDescent="0.25">
      <c r="A301" s="115"/>
      <c r="B301" t="s">
        <v>6</v>
      </c>
      <c r="D301" s="26">
        <v>43330</v>
      </c>
      <c r="F301" t="s">
        <v>287</v>
      </c>
      <c r="G301" t="s">
        <v>9</v>
      </c>
      <c r="H301" s="3">
        <v>-11.99</v>
      </c>
      <c r="I301" s="36">
        <f>IF(Log_2018[[#This Row],[My Category]]="NONTRACKED",0,Log_2018[[#This Row],[Raw Amount]])</f>
        <v>-11.99</v>
      </c>
      <c r="J301" s="17">
        <f>ABS(Log_2018[[#This Row],[Amount]])</f>
        <v>11.99</v>
      </c>
      <c r="K301" s="66">
        <v>1</v>
      </c>
      <c r="L301" s="66">
        <f ca="1">IF(Log_2018[[#This Row],[Date]]&lt;=TODAY(), MIN(Log_2018[[#This Row],[Split_raw]], TODAY()-Log_2018[[#This Row],[Date]]+1), 0)</f>
        <v>1</v>
      </c>
      <c r="M301" t="s">
        <v>39</v>
      </c>
      <c r="N301" t="s">
        <v>158</v>
      </c>
      <c r="O301" s="50">
        <v>0</v>
      </c>
      <c r="P301" s="52">
        <f ca="1">Log_2018[[#This Row],[Amount]]/Log_2018[[#This Row],[Split_raw]]*MAX(0,MIN(_xlfn.DAYS(EDATE(P$1,1),Log_2018[[#This Row],[Date]]),Log_2018[[#This Row],[Split_apply]])) - SUM($O301:O301)</f>
        <v>0</v>
      </c>
      <c r="Q301" s="52">
        <f ca="1">Log_2018[[#This Row],[Amount]]/Log_2018[[#This Row],[Split_raw]]*MAX(0,MIN(_xlfn.DAYS(EDATE(Q$1,1),Log_2018[[#This Row],[Date]]),Log_2018[[#This Row],[Split_apply]])) - SUM($O301:P301)</f>
        <v>0</v>
      </c>
      <c r="R301" s="52">
        <f ca="1">Log_2018[[#This Row],[Amount]]/Log_2018[[#This Row],[Split_raw]]*MAX(0,MIN(_xlfn.DAYS(EDATE(R$1,1),Log_2018[[#This Row],[Date]]),Log_2018[[#This Row],[Split_apply]])) - SUM($O301:Q301)</f>
        <v>0</v>
      </c>
      <c r="S301" s="52">
        <f ca="1">Log_2018[[#This Row],[Amount]]/Log_2018[[#This Row],[Split_raw]]*MAX(0,MIN(_xlfn.DAYS(EDATE(S$1,1),Log_2018[[#This Row],[Date]]),Log_2018[[#This Row],[Split_apply]])) - SUM($O301:R301)</f>
        <v>0</v>
      </c>
      <c r="T301" s="52">
        <f ca="1">Log_2018[[#This Row],[Amount]]/Log_2018[[#This Row],[Split_raw]]*MAX(0,MIN(_xlfn.DAYS(EDATE(T$1,1),Log_2018[[#This Row],[Date]]),Log_2018[[#This Row],[Split_apply]])) - SUM($O301:S301)</f>
        <v>0</v>
      </c>
      <c r="U301" s="52">
        <f ca="1">Log_2018[[#This Row],[Amount]]/Log_2018[[#This Row],[Split_raw]]*MAX(0,MIN(_xlfn.DAYS(EDATE(U$1,1),Log_2018[[#This Row],[Date]]),Log_2018[[#This Row],[Split_apply]])) - SUM($O301:T301)</f>
        <v>0</v>
      </c>
      <c r="V301" s="52">
        <f ca="1">Log_2018[[#This Row],[Amount]]/Log_2018[[#This Row],[Split_raw]]*MAX(0,MIN(_xlfn.DAYS(EDATE(V$1,1),Log_2018[[#This Row],[Date]]),Log_2018[[#This Row],[Split_apply]])) - SUM($O301:U301)</f>
        <v>0</v>
      </c>
      <c r="W301" s="52">
        <f ca="1">Log_2018[[#This Row],[Amount]]/Log_2018[[#This Row],[Split_raw]]*MAX(0,MIN(_xlfn.DAYS(EDATE(W$1,1),Log_2018[[#This Row],[Date]]),Log_2018[[#This Row],[Split_apply]])) - SUM($O301:V301)</f>
        <v>-11.99</v>
      </c>
      <c r="X301" s="52">
        <f ca="1">Log_2018[[#This Row],[Amount]]/Log_2018[[#This Row],[Split_raw]]*MAX(0,MIN(_xlfn.DAYS(EDATE(X$1,1),Log_2018[[#This Row],[Date]]),Log_2018[[#This Row],[Split_apply]])) - SUM($O301:W301)</f>
        <v>0</v>
      </c>
      <c r="Y301" s="52">
        <f ca="1">Log_2018[[#This Row],[Amount]]/Log_2018[[#This Row],[Split_raw]]*MAX(0,MIN(_xlfn.DAYS(EDATE(Y$1,1),Log_2018[[#This Row],[Date]]),Log_2018[[#This Row],[Split_apply]])) - SUM($O301:X301)</f>
        <v>0</v>
      </c>
      <c r="Z301" s="52">
        <f ca="1">Log_2018[[#This Row],[Amount]]/Log_2018[[#This Row],[Split_raw]]*MAX(0,MIN(_xlfn.DAYS(EDATE(Z$1,1),Log_2018[[#This Row],[Date]]),Log_2018[[#This Row],[Split_apply]])) - SUM($O301:Y301)</f>
        <v>0</v>
      </c>
      <c r="AA301" s="52">
        <f ca="1">Log_2018[[#This Row],[Amount]]/Log_2018[[#This Row],[Split_raw]]*MAX(0,MIN(_xlfn.DAYS(EDATE(AA$1,1),Log_2018[[#This Row],[Date]]),Log_2018[[#This Row],[Split_apply]])) - SUM($O301:Z301)</f>
        <v>0</v>
      </c>
      <c r="AB301" s="54">
        <f ca="1">Log_2018[[#This Row],[Amount]]-SUM(O301:AA301)</f>
        <v>0</v>
      </c>
      <c r="AC301" s="7">
        <f ca="1">MAX(0,Log_2018[[#This Row],[Split_apply]] - (EDATE(AA$1,1)-Log_2018[[#This Row],[Date]]))</f>
        <v>0</v>
      </c>
    </row>
    <row r="302" spans="1:29" hidden="1" x14ac:dyDescent="0.25">
      <c r="A302" s="115"/>
      <c r="B302" t="s">
        <v>6</v>
      </c>
      <c r="D302" s="26">
        <v>43330</v>
      </c>
      <c r="F302" t="s">
        <v>270</v>
      </c>
      <c r="G302" t="s">
        <v>25</v>
      </c>
      <c r="H302" s="3">
        <v>-9.2899999999999991</v>
      </c>
      <c r="I302" s="36">
        <f>IF(Log_2018[[#This Row],[My Category]]="NONTRACKED",0,Log_2018[[#This Row],[Raw Amount]])</f>
        <v>-9.2899999999999991</v>
      </c>
      <c r="J302" s="17">
        <f>ABS(Log_2018[[#This Row],[Amount]])</f>
        <v>9.2899999999999991</v>
      </c>
      <c r="K302" s="66">
        <v>1</v>
      </c>
      <c r="L302" s="66">
        <f ca="1">IF(Log_2018[[#This Row],[Date]]&lt;=TODAY(), MIN(Log_2018[[#This Row],[Split_raw]], TODAY()-Log_2018[[#This Row],[Date]]+1), 0)</f>
        <v>1</v>
      </c>
      <c r="M302" t="s">
        <v>35</v>
      </c>
      <c r="N302" t="s">
        <v>158</v>
      </c>
      <c r="O302" s="50">
        <v>0</v>
      </c>
      <c r="P302" s="52">
        <f ca="1">Log_2018[[#This Row],[Amount]]/Log_2018[[#This Row],[Split_raw]]*MAX(0,MIN(_xlfn.DAYS(EDATE(P$1,1),Log_2018[[#This Row],[Date]]),Log_2018[[#This Row],[Split_apply]])) - SUM($O302:O302)</f>
        <v>0</v>
      </c>
      <c r="Q302" s="52">
        <f ca="1">Log_2018[[#This Row],[Amount]]/Log_2018[[#This Row],[Split_raw]]*MAX(0,MIN(_xlfn.DAYS(EDATE(Q$1,1),Log_2018[[#This Row],[Date]]),Log_2018[[#This Row],[Split_apply]])) - SUM($O302:P302)</f>
        <v>0</v>
      </c>
      <c r="R302" s="52">
        <f ca="1">Log_2018[[#This Row],[Amount]]/Log_2018[[#This Row],[Split_raw]]*MAX(0,MIN(_xlfn.DAYS(EDATE(R$1,1),Log_2018[[#This Row],[Date]]),Log_2018[[#This Row],[Split_apply]])) - SUM($O302:Q302)</f>
        <v>0</v>
      </c>
      <c r="S302" s="52">
        <f ca="1">Log_2018[[#This Row],[Amount]]/Log_2018[[#This Row],[Split_raw]]*MAX(0,MIN(_xlfn.DAYS(EDATE(S$1,1),Log_2018[[#This Row],[Date]]),Log_2018[[#This Row],[Split_apply]])) - SUM($O302:R302)</f>
        <v>0</v>
      </c>
      <c r="T302" s="52">
        <f ca="1">Log_2018[[#This Row],[Amount]]/Log_2018[[#This Row],[Split_raw]]*MAX(0,MIN(_xlfn.DAYS(EDATE(T$1,1),Log_2018[[#This Row],[Date]]),Log_2018[[#This Row],[Split_apply]])) - SUM($O302:S302)</f>
        <v>0</v>
      </c>
      <c r="U302" s="52">
        <f ca="1">Log_2018[[#This Row],[Amount]]/Log_2018[[#This Row],[Split_raw]]*MAX(0,MIN(_xlfn.DAYS(EDATE(U$1,1),Log_2018[[#This Row],[Date]]),Log_2018[[#This Row],[Split_apply]])) - SUM($O302:T302)</f>
        <v>0</v>
      </c>
      <c r="V302" s="52">
        <f ca="1">Log_2018[[#This Row],[Amount]]/Log_2018[[#This Row],[Split_raw]]*MAX(0,MIN(_xlfn.DAYS(EDATE(V$1,1),Log_2018[[#This Row],[Date]]),Log_2018[[#This Row],[Split_apply]])) - SUM($O302:U302)</f>
        <v>0</v>
      </c>
      <c r="W302" s="52">
        <f ca="1">Log_2018[[#This Row],[Amount]]/Log_2018[[#This Row],[Split_raw]]*MAX(0,MIN(_xlfn.DAYS(EDATE(W$1,1),Log_2018[[#This Row],[Date]]),Log_2018[[#This Row],[Split_apply]])) - SUM($O302:V302)</f>
        <v>-9.2899999999999991</v>
      </c>
      <c r="X302" s="52">
        <f ca="1">Log_2018[[#This Row],[Amount]]/Log_2018[[#This Row],[Split_raw]]*MAX(0,MIN(_xlfn.DAYS(EDATE(X$1,1),Log_2018[[#This Row],[Date]]),Log_2018[[#This Row],[Split_apply]])) - SUM($O302:W302)</f>
        <v>0</v>
      </c>
      <c r="Y302" s="52">
        <f ca="1">Log_2018[[#This Row],[Amount]]/Log_2018[[#This Row],[Split_raw]]*MAX(0,MIN(_xlfn.DAYS(EDATE(Y$1,1),Log_2018[[#This Row],[Date]]),Log_2018[[#This Row],[Split_apply]])) - SUM($O302:X302)</f>
        <v>0</v>
      </c>
      <c r="Z302" s="52">
        <f ca="1">Log_2018[[#This Row],[Amount]]/Log_2018[[#This Row],[Split_raw]]*MAX(0,MIN(_xlfn.DAYS(EDATE(Z$1,1),Log_2018[[#This Row],[Date]]),Log_2018[[#This Row],[Split_apply]])) - SUM($O302:Y302)</f>
        <v>0</v>
      </c>
      <c r="AA302" s="52">
        <f ca="1">Log_2018[[#This Row],[Amount]]/Log_2018[[#This Row],[Split_raw]]*MAX(0,MIN(_xlfn.DAYS(EDATE(AA$1,1),Log_2018[[#This Row],[Date]]),Log_2018[[#This Row],[Split_apply]])) - SUM($O302:Z302)</f>
        <v>0</v>
      </c>
      <c r="AB302" s="54">
        <f ca="1">Log_2018[[#This Row],[Amount]]-SUM(O302:AA302)</f>
        <v>0</v>
      </c>
      <c r="AC302" s="7">
        <f ca="1">MAX(0,Log_2018[[#This Row],[Split_apply]] - (EDATE(AA$1,1)-Log_2018[[#This Row],[Date]]))</f>
        <v>0</v>
      </c>
    </row>
    <row r="303" spans="1:29" hidden="1" x14ac:dyDescent="0.25">
      <c r="A303" s="115"/>
      <c r="B303" t="s">
        <v>6</v>
      </c>
      <c r="D303" s="26">
        <v>43330</v>
      </c>
      <c r="F303" t="s">
        <v>255</v>
      </c>
      <c r="G303" t="s">
        <v>25</v>
      </c>
      <c r="H303" s="3">
        <v>-8.89</v>
      </c>
      <c r="I303" s="36">
        <f>IF(Log_2018[[#This Row],[My Category]]="NONTRACKED",0,Log_2018[[#This Row],[Raw Amount]])</f>
        <v>-8.89</v>
      </c>
      <c r="J303" s="17">
        <f>ABS(Log_2018[[#This Row],[Amount]])</f>
        <v>8.89</v>
      </c>
      <c r="K303" s="66">
        <v>1</v>
      </c>
      <c r="L303" s="66">
        <f ca="1">IF(Log_2018[[#This Row],[Date]]&lt;=TODAY(), MIN(Log_2018[[#This Row],[Split_raw]], TODAY()-Log_2018[[#This Row],[Date]]+1), 0)</f>
        <v>1</v>
      </c>
      <c r="M303" t="s">
        <v>35</v>
      </c>
      <c r="N303" t="s">
        <v>158</v>
      </c>
      <c r="O303" s="50">
        <v>0</v>
      </c>
      <c r="P303" s="52">
        <f ca="1">Log_2018[[#This Row],[Amount]]/Log_2018[[#This Row],[Split_raw]]*MAX(0,MIN(_xlfn.DAYS(EDATE(P$1,1),Log_2018[[#This Row],[Date]]),Log_2018[[#This Row],[Split_apply]])) - SUM($O303:O303)</f>
        <v>0</v>
      </c>
      <c r="Q303" s="52">
        <f ca="1">Log_2018[[#This Row],[Amount]]/Log_2018[[#This Row],[Split_raw]]*MAX(0,MIN(_xlfn.DAYS(EDATE(Q$1,1),Log_2018[[#This Row],[Date]]),Log_2018[[#This Row],[Split_apply]])) - SUM($O303:P303)</f>
        <v>0</v>
      </c>
      <c r="R303" s="52">
        <f ca="1">Log_2018[[#This Row],[Amount]]/Log_2018[[#This Row],[Split_raw]]*MAX(0,MIN(_xlfn.DAYS(EDATE(R$1,1),Log_2018[[#This Row],[Date]]),Log_2018[[#This Row],[Split_apply]])) - SUM($O303:Q303)</f>
        <v>0</v>
      </c>
      <c r="S303" s="52">
        <f ca="1">Log_2018[[#This Row],[Amount]]/Log_2018[[#This Row],[Split_raw]]*MAX(0,MIN(_xlfn.DAYS(EDATE(S$1,1),Log_2018[[#This Row],[Date]]),Log_2018[[#This Row],[Split_apply]])) - SUM($O303:R303)</f>
        <v>0</v>
      </c>
      <c r="T303" s="52">
        <f ca="1">Log_2018[[#This Row],[Amount]]/Log_2018[[#This Row],[Split_raw]]*MAX(0,MIN(_xlfn.DAYS(EDATE(T$1,1),Log_2018[[#This Row],[Date]]),Log_2018[[#This Row],[Split_apply]])) - SUM($O303:S303)</f>
        <v>0</v>
      </c>
      <c r="U303" s="52">
        <f ca="1">Log_2018[[#This Row],[Amount]]/Log_2018[[#This Row],[Split_raw]]*MAX(0,MIN(_xlfn.DAYS(EDATE(U$1,1),Log_2018[[#This Row],[Date]]),Log_2018[[#This Row],[Split_apply]])) - SUM($O303:T303)</f>
        <v>0</v>
      </c>
      <c r="V303" s="52">
        <f ca="1">Log_2018[[#This Row],[Amount]]/Log_2018[[#This Row],[Split_raw]]*MAX(0,MIN(_xlfn.DAYS(EDATE(V$1,1),Log_2018[[#This Row],[Date]]),Log_2018[[#This Row],[Split_apply]])) - SUM($O303:U303)</f>
        <v>0</v>
      </c>
      <c r="W303" s="52">
        <f ca="1">Log_2018[[#This Row],[Amount]]/Log_2018[[#This Row],[Split_raw]]*MAX(0,MIN(_xlfn.DAYS(EDATE(W$1,1),Log_2018[[#This Row],[Date]]),Log_2018[[#This Row],[Split_apply]])) - SUM($O303:V303)</f>
        <v>-8.89</v>
      </c>
      <c r="X303" s="52">
        <f ca="1">Log_2018[[#This Row],[Amount]]/Log_2018[[#This Row],[Split_raw]]*MAX(0,MIN(_xlfn.DAYS(EDATE(X$1,1),Log_2018[[#This Row],[Date]]),Log_2018[[#This Row],[Split_apply]])) - SUM($O303:W303)</f>
        <v>0</v>
      </c>
      <c r="Y303" s="52">
        <f ca="1">Log_2018[[#This Row],[Amount]]/Log_2018[[#This Row],[Split_raw]]*MAX(0,MIN(_xlfn.DAYS(EDATE(Y$1,1),Log_2018[[#This Row],[Date]]),Log_2018[[#This Row],[Split_apply]])) - SUM($O303:X303)</f>
        <v>0</v>
      </c>
      <c r="Z303" s="52">
        <f ca="1">Log_2018[[#This Row],[Amount]]/Log_2018[[#This Row],[Split_raw]]*MAX(0,MIN(_xlfn.DAYS(EDATE(Z$1,1),Log_2018[[#This Row],[Date]]),Log_2018[[#This Row],[Split_apply]])) - SUM($O303:Y303)</f>
        <v>0</v>
      </c>
      <c r="AA303" s="52">
        <f ca="1">Log_2018[[#This Row],[Amount]]/Log_2018[[#This Row],[Split_raw]]*MAX(0,MIN(_xlfn.DAYS(EDATE(AA$1,1),Log_2018[[#This Row],[Date]]),Log_2018[[#This Row],[Split_apply]])) - SUM($O303:Z303)</f>
        <v>0</v>
      </c>
      <c r="AB303" s="54">
        <f ca="1">Log_2018[[#This Row],[Amount]]-SUM(O303:AA303)</f>
        <v>0</v>
      </c>
      <c r="AC303" s="7">
        <f ca="1">MAX(0,Log_2018[[#This Row],[Split_apply]] - (EDATE(AA$1,1)-Log_2018[[#This Row],[Date]]))</f>
        <v>0</v>
      </c>
    </row>
    <row r="304" spans="1:29" hidden="1" x14ac:dyDescent="0.25">
      <c r="A304" s="115"/>
      <c r="B304" t="s">
        <v>6</v>
      </c>
      <c r="D304" s="26">
        <v>43330</v>
      </c>
      <c r="F304" t="s">
        <v>343</v>
      </c>
      <c r="G304" t="s">
        <v>9</v>
      </c>
      <c r="H304" s="3">
        <v>-29</v>
      </c>
      <c r="I304" s="36">
        <f>IF(Log_2018[[#This Row],[My Category]]="NONTRACKED",0,Log_2018[[#This Row],[Raw Amount]])</f>
        <v>-29</v>
      </c>
      <c r="J304" s="17">
        <f>ABS(Log_2018[[#This Row],[Amount]])</f>
        <v>29</v>
      </c>
      <c r="K304" s="66">
        <v>1</v>
      </c>
      <c r="L304" s="66">
        <f ca="1">IF(Log_2018[[#This Row],[Date]]&lt;=TODAY(), MIN(Log_2018[[#This Row],[Split_raw]], TODAY()-Log_2018[[#This Row],[Date]]+1), 0)</f>
        <v>1</v>
      </c>
      <c r="M304" t="s">
        <v>40</v>
      </c>
      <c r="N304" t="s">
        <v>158</v>
      </c>
      <c r="O304" s="50">
        <v>0</v>
      </c>
      <c r="P304" s="52">
        <f ca="1">Log_2018[[#This Row],[Amount]]/Log_2018[[#This Row],[Split_raw]]*MAX(0,MIN(_xlfn.DAYS(EDATE(P$1,1),Log_2018[[#This Row],[Date]]),Log_2018[[#This Row],[Split_apply]])) - SUM($O304:O304)</f>
        <v>0</v>
      </c>
      <c r="Q304" s="52">
        <f ca="1">Log_2018[[#This Row],[Amount]]/Log_2018[[#This Row],[Split_raw]]*MAX(0,MIN(_xlfn.DAYS(EDATE(Q$1,1),Log_2018[[#This Row],[Date]]),Log_2018[[#This Row],[Split_apply]])) - SUM($O304:P304)</f>
        <v>0</v>
      </c>
      <c r="R304" s="52">
        <f ca="1">Log_2018[[#This Row],[Amount]]/Log_2018[[#This Row],[Split_raw]]*MAX(0,MIN(_xlfn.DAYS(EDATE(R$1,1),Log_2018[[#This Row],[Date]]),Log_2018[[#This Row],[Split_apply]])) - SUM($O304:Q304)</f>
        <v>0</v>
      </c>
      <c r="S304" s="52">
        <f ca="1">Log_2018[[#This Row],[Amount]]/Log_2018[[#This Row],[Split_raw]]*MAX(0,MIN(_xlfn.DAYS(EDATE(S$1,1),Log_2018[[#This Row],[Date]]),Log_2018[[#This Row],[Split_apply]])) - SUM($O304:R304)</f>
        <v>0</v>
      </c>
      <c r="T304" s="52">
        <f ca="1">Log_2018[[#This Row],[Amount]]/Log_2018[[#This Row],[Split_raw]]*MAX(0,MIN(_xlfn.DAYS(EDATE(T$1,1),Log_2018[[#This Row],[Date]]),Log_2018[[#This Row],[Split_apply]])) - SUM($O304:S304)</f>
        <v>0</v>
      </c>
      <c r="U304" s="52">
        <f ca="1">Log_2018[[#This Row],[Amount]]/Log_2018[[#This Row],[Split_raw]]*MAX(0,MIN(_xlfn.DAYS(EDATE(U$1,1),Log_2018[[#This Row],[Date]]),Log_2018[[#This Row],[Split_apply]])) - SUM($O304:T304)</f>
        <v>0</v>
      </c>
      <c r="V304" s="52">
        <f ca="1">Log_2018[[#This Row],[Amount]]/Log_2018[[#This Row],[Split_raw]]*MAX(0,MIN(_xlfn.DAYS(EDATE(V$1,1),Log_2018[[#This Row],[Date]]),Log_2018[[#This Row],[Split_apply]])) - SUM($O304:U304)</f>
        <v>0</v>
      </c>
      <c r="W304" s="52">
        <f ca="1">Log_2018[[#This Row],[Amount]]/Log_2018[[#This Row],[Split_raw]]*MAX(0,MIN(_xlfn.DAYS(EDATE(W$1,1),Log_2018[[#This Row],[Date]]),Log_2018[[#This Row],[Split_apply]])) - SUM($O304:V304)</f>
        <v>-29</v>
      </c>
      <c r="X304" s="52">
        <f ca="1">Log_2018[[#This Row],[Amount]]/Log_2018[[#This Row],[Split_raw]]*MAX(0,MIN(_xlfn.DAYS(EDATE(X$1,1),Log_2018[[#This Row],[Date]]),Log_2018[[#This Row],[Split_apply]])) - SUM($O304:W304)</f>
        <v>0</v>
      </c>
      <c r="Y304" s="52">
        <f ca="1">Log_2018[[#This Row],[Amount]]/Log_2018[[#This Row],[Split_raw]]*MAX(0,MIN(_xlfn.DAYS(EDATE(Y$1,1),Log_2018[[#This Row],[Date]]),Log_2018[[#This Row],[Split_apply]])) - SUM($O304:X304)</f>
        <v>0</v>
      </c>
      <c r="Z304" s="52">
        <f ca="1">Log_2018[[#This Row],[Amount]]/Log_2018[[#This Row],[Split_raw]]*MAX(0,MIN(_xlfn.DAYS(EDATE(Z$1,1),Log_2018[[#This Row],[Date]]),Log_2018[[#This Row],[Split_apply]])) - SUM($O304:Y304)</f>
        <v>0</v>
      </c>
      <c r="AA304" s="52">
        <f ca="1">Log_2018[[#This Row],[Amount]]/Log_2018[[#This Row],[Split_raw]]*MAX(0,MIN(_xlfn.DAYS(EDATE(AA$1,1),Log_2018[[#This Row],[Date]]),Log_2018[[#This Row],[Split_apply]])) - SUM($O304:Z304)</f>
        <v>0</v>
      </c>
      <c r="AB304" s="54">
        <f ca="1">Log_2018[[#This Row],[Amount]]-SUM(O304:AA304)</f>
        <v>0</v>
      </c>
      <c r="AC304" s="7">
        <f ca="1">MAX(0,Log_2018[[#This Row],[Split_apply]] - (EDATE(AA$1,1)-Log_2018[[#This Row],[Date]]))</f>
        <v>0</v>
      </c>
    </row>
    <row r="305" spans="1:29" hidden="1" x14ac:dyDescent="0.25">
      <c r="A305" s="115"/>
      <c r="B305" t="s">
        <v>6</v>
      </c>
      <c r="D305" s="26">
        <v>43328</v>
      </c>
      <c r="F305" t="s">
        <v>59</v>
      </c>
      <c r="G305" t="s">
        <v>25</v>
      </c>
      <c r="H305" s="3">
        <v>-5.68</v>
      </c>
      <c r="I305" s="36">
        <f>IF(Log_2018[[#This Row],[My Category]]="NONTRACKED",0,Log_2018[[#This Row],[Raw Amount]])</f>
        <v>-5.68</v>
      </c>
      <c r="J305" s="17">
        <f>ABS(Log_2018[[#This Row],[Amount]])</f>
        <v>5.68</v>
      </c>
      <c r="K305" s="66">
        <v>1</v>
      </c>
      <c r="L305" s="66">
        <f ca="1">IF(Log_2018[[#This Row],[Date]]&lt;=TODAY(), MIN(Log_2018[[#This Row],[Split_raw]], TODAY()-Log_2018[[#This Row],[Date]]+1), 0)</f>
        <v>1</v>
      </c>
      <c r="M305" t="s">
        <v>35</v>
      </c>
      <c r="N305" t="s">
        <v>158</v>
      </c>
      <c r="O305" s="50">
        <v>0</v>
      </c>
      <c r="P305" s="52">
        <f ca="1">Log_2018[[#This Row],[Amount]]/Log_2018[[#This Row],[Split_raw]]*MAX(0,MIN(_xlfn.DAYS(EDATE(P$1,1),Log_2018[[#This Row],[Date]]),Log_2018[[#This Row],[Split_apply]])) - SUM($O305:O305)</f>
        <v>0</v>
      </c>
      <c r="Q305" s="52">
        <f ca="1">Log_2018[[#This Row],[Amount]]/Log_2018[[#This Row],[Split_raw]]*MAX(0,MIN(_xlfn.DAYS(EDATE(Q$1,1),Log_2018[[#This Row],[Date]]),Log_2018[[#This Row],[Split_apply]])) - SUM($O305:P305)</f>
        <v>0</v>
      </c>
      <c r="R305" s="52">
        <f ca="1">Log_2018[[#This Row],[Amount]]/Log_2018[[#This Row],[Split_raw]]*MAX(0,MIN(_xlfn.DAYS(EDATE(R$1,1),Log_2018[[#This Row],[Date]]),Log_2018[[#This Row],[Split_apply]])) - SUM($O305:Q305)</f>
        <v>0</v>
      </c>
      <c r="S305" s="52">
        <f ca="1">Log_2018[[#This Row],[Amount]]/Log_2018[[#This Row],[Split_raw]]*MAX(0,MIN(_xlfn.DAYS(EDATE(S$1,1),Log_2018[[#This Row],[Date]]),Log_2018[[#This Row],[Split_apply]])) - SUM($O305:R305)</f>
        <v>0</v>
      </c>
      <c r="T305" s="52">
        <f ca="1">Log_2018[[#This Row],[Amount]]/Log_2018[[#This Row],[Split_raw]]*MAX(0,MIN(_xlfn.DAYS(EDATE(T$1,1),Log_2018[[#This Row],[Date]]),Log_2018[[#This Row],[Split_apply]])) - SUM($O305:S305)</f>
        <v>0</v>
      </c>
      <c r="U305" s="52">
        <f ca="1">Log_2018[[#This Row],[Amount]]/Log_2018[[#This Row],[Split_raw]]*MAX(0,MIN(_xlfn.DAYS(EDATE(U$1,1),Log_2018[[#This Row],[Date]]),Log_2018[[#This Row],[Split_apply]])) - SUM($O305:T305)</f>
        <v>0</v>
      </c>
      <c r="V305" s="52">
        <f ca="1">Log_2018[[#This Row],[Amount]]/Log_2018[[#This Row],[Split_raw]]*MAX(0,MIN(_xlfn.DAYS(EDATE(V$1,1),Log_2018[[#This Row],[Date]]),Log_2018[[#This Row],[Split_apply]])) - SUM($O305:U305)</f>
        <v>0</v>
      </c>
      <c r="W305" s="52">
        <f ca="1">Log_2018[[#This Row],[Amount]]/Log_2018[[#This Row],[Split_raw]]*MAX(0,MIN(_xlfn.DAYS(EDATE(W$1,1),Log_2018[[#This Row],[Date]]),Log_2018[[#This Row],[Split_apply]])) - SUM($O305:V305)</f>
        <v>-5.68</v>
      </c>
      <c r="X305" s="52">
        <f ca="1">Log_2018[[#This Row],[Amount]]/Log_2018[[#This Row],[Split_raw]]*MAX(0,MIN(_xlfn.DAYS(EDATE(X$1,1),Log_2018[[#This Row],[Date]]),Log_2018[[#This Row],[Split_apply]])) - SUM($O305:W305)</f>
        <v>0</v>
      </c>
      <c r="Y305" s="52">
        <f ca="1">Log_2018[[#This Row],[Amount]]/Log_2018[[#This Row],[Split_raw]]*MAX(0,MIN(_xlfn.DAYS(EDATE(Y$1,1),Log_2018[[#This Row],[Date]]),Log_2018[[#This Row],[Split_apply]])) - SUM($O305:X305)</f>
        <v>0</v>
      </c>
      <c r="Z305" s="52">
        <f ca="1">Log_2018[[#This Row],[Amount]]/Log_2018[[#This Row],[Split_raw]]*MAX(0,MIN(_xlfn.DAYS(EDATE(Z$1,1),Log_2018[[#This Row],[Date]]),Log_2018[[#This Row],[Split_apply]])) - SUM($O305:Y305)</f>
        <v>0</v>
      </c>
      <c r="AA305" s="52">
        <f ca="1">Log_2018[[#This Row],[Amount]]/Log_2018[[#This Row],[Split_raw]]*MAX(0,MIN(_xlfn.DAYS(EDATE(AA$1,1),Log_2018[[#This Row],[Date]]),Log_2018[[#This Row],[Split_apply]])) - SUM($O305:Z305)</f>
        <v>0</v>
      </c>
      <c r="AB305" s="54">
        <f ca="1">Log_2018[[#This Row],[Amount]]-SUM(O305:AA305)</f>
        <v>0</v>
      </c>
      <c r="AC305" s="7">
        <f ca="1">MAX(0,Log_2018[[#This Row],[Split_apply]] - (EDATE(AA$1,1)-Log_2018[[#This Row],[Date]]))</f>
        <v>0</v>
      </c>
    </row>
    <row r="306" spans="1:29" hidden="1" x14ac:dyDescent="0.25">
      <c r="A306" s="115"/>
      <c r="B306" t="s">
        <v>6</v>
      </c>
      <c r="D306" s="26">
        <v>43328</v>
      </c>
      <c r="F306" t="s">
        <v>178</v>
      </c>
      <c r="G306" t="s">
        <v>87</v>
      </c>
      <c r="H306" s="3">
        <f>--1754.83</f>
        <v>1754.83</v>
      </c>
      <c r="I306" s="36">
        <f>IF(Log_2018[[#This Row],[My Category]]="NONTRACKED",0,Log_2018[[#This Row],[Raw Amount]])</f>
        <v>1754.83</v>
      </c>
      <c r="J306" s="17">
        <f>ABS(Log_2018[[#This Row],[Amount]])</f>
        <v>1754.83</v>
      </c>
      <c r="K306" s="66">
        <v>14</v>
      </c>
      <c r="L306" s="66">
        <f ca="1">IF(Log_2018[[#This Row],[Date]]&lt;=TODAY(), MIN(Log_2018[[#This Row],[Split_raw]], TODAY()-Log_2018[[#This Row],[Date]]+1), 0)</f>
        <v>14</v>
      </c>
      <c r="M306" t="s">
        <v>91</v>
      </c>
      <c r="N306" t="s">
        <v>160</v>
      </c>
      <c r="O306" s="50">
        <v>0</v>
      </c>
      <c r="P306" s="52">
        <f ca="1">Log_2018[[#This Row],[Amount]]/Log_2018[[#This Row],[Split_raw]]*MAX(0,MIN(_xlfn.DAYS(EDATE(P$1,1),Log_2018[[#This Row],[Date]]),Log_2018[[#This Row],[Split_apply]])) - SUM($O306:O306)</f>
        <v>0</v>
      </c>
      <c r="Q306" s="52">
        <f ca="1">Log_2018[[#This Row],[Amount]]/Log_2018[[#This Row],[Split_raw]]*MAX(0,MIN(_xlfn.DAYS(EDATE(Q$1,1),Log_2018[[#This Row],[Date]]),Log_2018[[#This Row],[Split_apply]])) - SUM($O306:P306)</f>
        <v>0</v>
      </c>
      <c r="R306" s="52">
        <f ca="1">Log_2018[[#This Row],[Amount]]/Log_2018[[#This Row],[Split_raw]]*MAX(0,MIN(_xlfn.DAYS(EDATE(R$1,1),Log_2018[[#This Row],[Date]]),Log_2018[[#This Row],[Split_apply]])) - SUM($O306:Q306)</f>
        <v>0</v>
      </c>
      <c r="S306" s="52">
        <f ca="1">Log_2018[[#This Row],[Amount]]/Log_2018[[#This Row],[Split_raw]]*MAX(0,MIN(_xlfn.DAYS(EDATE(S$1,1),Log_2018[[#This Row],[Date]]),Log_2018[[#This Row],[Split_apply]])) - SUM($O306:R306)</f>
        <v>0</v>
      </c>
      <c r="T306" s="52">
        <f ca="1">Log_2018[[#This Row],[Amount]]/Log_2018[[#This Row],[Split_raw]]*MAX(0,MIN(_xlfn.DAYS(EDATE(T$1,1),Log_2018[[#This Row],[Date]]),Log_2018[[#This Row],[Split_apply]])) - SUM($O306:S306)</f>
        <v>0</v>
      </c>
      <c r="U306" s="52">
        <f ca="1">Log_2018[[#This Row],[Amount]]/Log_2018[[#This Row],[Split_raw]]*MAX(0,MIN(_xlfn.DAYS(EDATE(U$1,1),Log_2018[[#This Row],[Date]]),Log_2018[[#This Row],[Split_apply]])) - SUM($O306:T306)</f>
        <v>0</v>
      </c>
      <c r="V306" s="52">
        <f ca="1">Log_2018[[#This Row],[Amount]]/Log_2018[[#This Row],[Split_raw]]*MAX(0,MIN(_xlfn.DAYS(EDATE(V$1,1),Log_2018[[#This Row],[Date]]),Log_2018[[#This Row],[Split_apply]])) - SUM($O306:U306)</f>
        <v>0</v>
      </c>
      <c r="W306" s="52">
        <f ca="1">Log_2018[[#This Row],[Amount]]/Log_2018[[#This Row],[Split_raw]]*MAX(0,MIN(_xlfn.DAYS(EDATE(W$1,1),Log_2018[[#This Row],[Date]]),Log_2018[[#This Row],[Split_apply]])) - SUM($O306:V306)</f>
        <v>1754.83</v>
      </c>
      <c r="X306" s="52">
        <f ca="1">Log_2018[[#This Row],[Amount]]/Log_2018[[#This Row],[Split_raw]]*MAX(0,MIN(_xlfn.DAYS(EDATE(X$1,1),Log_2018[[#This Row],[Date]]),Log_2018[[#This Row],[Split_apply]])) - SUM($O306:W306)</f>
        <v>0</v>
      </c>
      <c r="Y306" s="52">
        <f ca="1">Log_2018[[#This Row],[Amount]]/Log_2018[[#This Row],[Split_raw]]*MAX(0,MIN(_xlfn.DAYS(EDATE(Y$1,1),Log_2018[[#This Row],[Date]]),Log_2018[[#This Row],[Split_apply]])) - SUM($O306:X306)</f>
        <v>0</v>
      </c>
      <c r="Z306" s="52">
        <f ca="1">Log_2018[[#This Row],[Amount]]/Log_2018[[#This Row],[Split_raw]]*MAX(0,MIN(_xlfn.DAYS(EDATE(Z$1,1),Log_2018[[#This Row],[Date]]),Log_2018[[#This Row],[Split_apply]])) - SUM($O306:Y306)</f>
        <v>0</v>
      </c>
      <c r="AA306" s="52">
        <f ca="1">Log_2018[[#This Row],[Amount]]/Log_2018[[#This Row],[Split_raw]]*MAX(0,MIN(_xlfn.DAYS(EDATE(AA$1,1),Log_2018[[#This Row],[Date]]),Log_2018[[#This Row],[Split_apply]])) - SUM($O306:Z306)</f>
        <v>0</v>
      </c>
      <c r="AB306" s="54">
        <f ca="1">Log_2018[[#This Row],[Amount]]-SUM(O306:AA306)</f>
        <v>0</v>
      </c>
      <c r="AC306" s="7">
        <f ca="1">MAX(0,Log_2018[[#This Row],[Split_apply]] - (EDATE(AA$1,1)-Log_2018[[#This Row],[Date]]))</f>
        <v>0</v>
      </c>
    </row>
    <row r="307" spans="1:29" hidden="1" x14ac:dyDescent="0.25">
      <c r="A307" s="115"/>
      <c r="B307" t="s">
        <v>6</v>
      </c>
      <c r="D307" s="26">
        <v>43327</v>
      </c>
      <c r="F307" t="s">
        <v>315</v>
      </c>
      <c r="G307" t="s">
        <v>25</v>
      </c>
      <c r="H307" s="3">
        <v>-24.45</v>
      </c>
      <c r="I307" s="36">
        <f>IF(Log_2018[[#This Row],[My Category]]="NONTRACKED",0,Log_2018[[#This Row],[Raw Amount]])</f>
        <v>-24.45</v>
      </c>
      <c r="J307" s="17">
        <f>ABS(Log_2018[[#This Row],[Amount]])</f>
        <v>24.45</v>
      </c>
      <c r="K307" s="66">
        <v>1</v>
      </c>
      <c r="L307" s="66">
        <f ca="1">IF(Log_2018[[#This Row],[Date]]&lt;=TODAY(), MIN(Log_2018[[#This Row],[Split_raw]], TODAY()-Log_2018[[#This Row],[Date]]+1), 0)</f>
        <v>1</v>
      </c>
      <c r="M307" t="s">
        <v>35</v>
      </c>
      <c r="N307" t="s">
        <v>158</v>
      </c>
      <c r="O307" s="50">
        <v>0</v>
      </c>
      <c r="P307" s="52">
        <f ca="1">Log_2018[[#This Row],[Amount]]/Log_2018[[#This Row],[Split_raw]]*MAX(0,MIN(_xlfn.DAYS(EDATE(P$1,1),Log_2018[[#This Row],[Date]]),Log_2018[[#This Row],[Split_apply]])) - SUM($O307:O307)</f>
        <v>0</v>
      </c>
      <c r="Q307" s="52">
        <f ca="1">Log_2018[[#This Row],[Amount]]/Log_2018[[#This Row],[Split_raw]]*MAX(0,MIN(_xlfn.DAYS(EDATE(Q$1,1),Log_2018[[#This Row],[Date]]),Log_2018[[#This Row],[Split_apply]])) - SUM($O307:P307)</f>
        <v>0</v>
      </c>
      <c r="R307" s="52">
        <f ca="1">Log_2018[[#This Row],[Amount]]/Log_2018[[#This Row],[Split_raw]]*MAX(0,MIN(_xlfn.DAYS(EDATE(R$1,1),Log_2018[[#This Row],[Date]]),Log_2018[[#This Row],[Split_apply]])) - SUM($O307:Q307)</f>
        <v>0</v>
      </c>
      <c r="S307" s="52">
        <f ca="1">Log_2018[[#This Row],[Amount]]/Log_2018[[#This Row],[Split_raw]]*MAX(0,MIN(_xlfn.DAYS(EDATE(S$1,1),Log_2018[[#This Row],[Date]]),Log_2018[[#This Row],[Split_apply]])) - SUM($O307:R307)</f>
        <v>0</v>
      </c>
      <c r="T307" s="52">
        <f ca="1">Log_2018[[#This Row],[Amount]]/Log_2018[[#This Row],[Split_raw]]*MAX(0,MIN(_xlfn.DAYS(EDATE(T$1,1),Log_2018[[#This Row],[Date]]),Log_2018[[#This Row],[Split_apply]])) - SUM($O307:S307)</f>
        <v>0</v>
      </c>
      <c r="U307" s="52">
        <f ca="1">Log_2018[[#This Row],[Amount]]/Log_2018[[#This Row],[Split_raw]]*MAX(0,MIN(_xlfn.DAYS(EDATE(U$1,1),Log_2018[[#This Row],[Date]]),Log_2018[[#This Row],[Split_apply]])) - SUM($O307:T307)</f>
        <v>0</v>
      </c>
      <c r="V307" s="52">
        <f ca="1">Log_2018[[#This Row],[Amount]]/Log_2018[[#This Row],[Split_raw]]*MAX(0,MIN(_xlfn.DAYS(EDATE(V$1,1),Log_2018[[#This Row],[Date]]),Log_2018[[#This Row],[Split_apply]])) - SUM($O307:U307)</f>
        <v>0</v>
      </c>
      <c r="W307" s="52">
        <f ca="1">Log_2018[[#This Row],[Amount]]/Log_2018[[#This Row],[Split_raw]]*MAX(0,MIN(_xlfn.DAYS(EDATE(W$1,1),Log_2018[[#This Row],[Date]]),Log_2018[[#This Row],[Split_apply]])) - SUM($O307:V307)</f>
        <v>-24.45</v>
      </c>
      <c r="X307" s="52">
        <f ca="1">Log_2018[[#This Row],[Amount]]/Log_2018[[#This Row],[Split_raw]]*MAX(0,MIN(_xlfn.DAYS(EDATE(X$1,1),Log_2018[[#This Row],[Date]]),Log_2018[[#This Row],[Split_apply]])) - SUM($O307:W307)</f>
        <v>0</v>
      </c>
      <c r="Y307" s="52">
        <f ca="1">Log_2018[[#This Row],[Amount]]/Log_2018[[#This Row],[Split_raw]]*MAX(0,MIN(_xlfn.DAYS(EDATE(Y$1,1),Log_2018[[#This Row],[Date]]),Log_2018[[#This Row],[Split_apply]])) - SUM($O307:X307)</f>
        <v>0</v>
      </c>
      <c r="Z307" s="52">
        <f ca="1">Log_2018[[#This Row],[Amount]]/Log_2018[[#This Row],[Split_raw]]*MAX(0,MIN(_xlfn.DAYS(EDATE(Z$1,1),Log_2018[[#This Row],[Date]]),Log_2018[[#This Row],[Split_apply]])) - SUM($O307:Y307)</f>
        <v>0</v>
      </c>
      <c r="AA307" s="52">
        <f ca="1">Log_2018[[#This Row],[Amount]]/Log_2018[[#This Row],[Split_raw]]*MAX(0,MIN(_xlfn.DAYS(EDATE(AA$1,1),Log_2018[[#This Row],[Date]]),Log_2018[[#This Row],[Split_apply]])) - SUM($O307:Z307)</f>
        <v>0</v>
      </c>
      <c r="AB307" s="54">
        <f ca="1">Log_2018[[#This Row],[Amount]]-SUM(O307:AA307)</f>
        <v>0</v>
      </c>
      <c r="AC307" s="7">
        <f ca="1">MAX(0,Log_2018[[#This Row],[Split_apply]] - (EDATE(AA$1,1)-Log_2018[[#This Row],[Date]]))</f>
        <v>0</v>
      </c>
    </row>
    <row r="308" spans="1:29" hidden="1" x14ac:dyDescent="0.25">
      <c r="A308" s="115"/>
      <c r="B308" t="s">
        <v>6</v>
      </c>
      <c r="D308" s="26">
        <v>43327</v>
      </c>
      <c r="F308" t="s">
        <v>308</v>
      </c>
      <c r="G308" t="s">
        <v>25</v>
      </c>
      <c r="H308" s="3">
        <v>-11.86</v>
      </c>
      <c r="I308" s="36">
        <f>IF(Log_2018[[#This Row],[My Category]]="NONTRACKED",0,Log_2018[[#This Row],[Raw Amount]])</f>
        <v>-11.86</v>
      </c>
      <c r="J308" s="17">
        <f>ABS(Log_2018[[#This Row],[Amount]])</f>
        <v>11.86</v>
      </c>
      <c r="K308" s="66">
        <v>1</v>
      </c>
      <c r="L308" s="66">
        <f ca="1">IF(Log_2018[[#This Row],[Date]]&lt;=TODAY(), MIN(Log_2018[[#This Row],[Split_raw]], TODAY()-Log_2018[[#This Row],[Date]]+1), 0)</f>
        <v>1</v>
      </c>
      <c r="M308" t="s">
        <v>35</v>
      </c>
      <c r="N308" t="s">
        <v>158</v>
      </c>
      <c r="O308" s="50">
        <v>0</v>
      </c>
      <c r="P308" s="52">
        <f ca="1">Log_2018[[#This Row],[Amount]]/Log_2018[[#This Row],[Split_raw]]*MAX(0,MIN(_xlfn.DAYS(EDATE(P$1,1),Log_2018[[#This Row],[Date]]),Log_2018[[#This Row],[Split_apply]])) - SUM($O308:O308)</f>
        <v>0</v>
      </c>
      <c r="Q308" s="52">
        <f ca="1">Log_2018[[#This Row],[Amount]]/Log_2018[[#This Row],[Split_raw]]*MAX(0,MIN(_xlfn.DAYS(EDATE(Q$1,1),Log_2018[[#This Row],[Date]]),Log_2018[[#This Row],[Split_apply]])) - SUM($O308:P308)</f>
        <v>0</v>
      </c>
      <c r="R308" s="52">
        <f ca="1">Log_2018[[#This Row],[Amount]]/Log_2018[[#This Row],[Split_raw]]*MAX(0,MIN(_xlfn.DAYS(EDATE(R$1,1),Log_2018[[#This Row],[Date]]),Log_2018[[#This Row],[Split_apply]])) - SUM($O308:Q308)</f>
        <v>0</v>
      </c>
      <c r="S308" s="52">
        <f ca="1">Log_2018[[#This Row],[Amount]]/Log_2018[[#This Row],[Split_raw]]*MAX(0,MIN(_xlfn.DAYS(EDATE(S$1,1),Log_2018[[#This Row],[Date]]),Log_2018[[#This Row],[Split_apply]])) - SUM($O308:R308)</f>
        <v>0</v>
      </c>
      <c r="T308" s="52">
        <f ca="1">Log_2018[[#This Row],[Amount]]/Log_2018[[#This Row],[Split_raw]]*MAX(0,MIN(_xlfn.DAYS(EDATE(T$1,1),Log_2018[[#This Row],[Date]]),Log_2018[[#This Row],[Split_apply]])) - SUM($O308:S308)</f>
        <v>0</v>
      </c>
      <c r="U308" s="52">
        <f ca="1">Log_2018[[#This Row],[Amount]]/Log_2018[[#This Row],[Split_raw]]*MAX(0,MIN(_xlfn.DAYS(EDATE(U$1,1),Log_2018[[#This Row],[Date]]),Log_2018[[#This Row],[Split_apply]])) - SUM($O308:T308)</f>
        <v>0</v>
      </c>
      <c r="V308" s="52">
        <f ca="1">Log_2018[[#This Row],[Amount]]/Log_2018[[#This Row],[Split_raw]]*MAX(0,MIN(_xlfn.DAYS(EDATE(V$1,1),Log_2018[[#This Row],[Date]]),Log_2018[[#This Row],[Split_apply]])) - SUM($O308:U308)</f>
        <v>0</v>
      </c>
      <c r="W308" s="52">
        <f ca="1">Log_2018[[#This Row],[Amount]]/Log_2018[[#This Row],[Split_raw]]*MAX(0,MIN(_xlfn.DAYS(EDATE(W$1,1),Log_2018[[#This Row],[Date]]),Log_2018[[#This Row],[Split_apply]])) - SUM($O308:V308)</f>
        <v>-11.86</v>
      </c>
      <c r="X308" s="52">
        <f ca="1">Log_2018[[#This Row],[Amount]]/Log_2018[[#This Row],[Split_raw]]*MAX(0,MIN(_xlfn.DAYS(EDATE(X$1,1),Log_2018[[#This Row],[Date]]),Log_2018[[#This Row],[Split_apply]])) - SUM($O308:W308)</f>
        <v>0</v>
      </c>
      <c r="Y308" s="52">
        <f ca="1">Log_2018[[#This Row],[Amount]]/Log_2018[[#This Row],[Split_raw]]*MAX(0,MIN(_xlfn.DAYS(EDATE(Y$1,1),Log_2018[[#This Row],[Date]]),Log_2018[[#This Row],[Split_apply]])) - SUM($O308:X308)</f>
        <v>0</v>
      </c>
      <c r="Z308" s="52">
        <f ca="1">Log_2018[[#This Row],[Amount]]/Log_2018[[#This Row],[Split_raw]]*MAX(0,MIN(_xlfn.DAYS(EDATE(Z$1,1),Log_2018[[#This Row],[Date]]),Log_2018[[#This Row],[Split_apply]])) - SUM($O308:Y308)</f>
        <v>0</v>
      </c>
      <c r="AA308" s="52">
        <f ca="1">Log_2018[[#This Row],[Amount]]/Log_2018[[#This Row],[Split_raw]]*MAX(0,MIN(_xlfn.DAYS(EDATE(AA$1,1),Log_2018[[#This Row],[Date]]),Log_2018[[#This Row],[Split_apply]])) - SUM($O308:Z308)</f>
        <v>0</v>
      </c>
      <c r="AB308" s="54">
        <f ca="1">Log_2018[[#This Row],[Amount]]-SUM(O308:AA308)</f>
        <v>0</v>
      </c>
      <c r="AC308" s="7">
        <f ca="1">MAX(0,Log_2018[[#This Row],[Split_apply]] - (EDATE(AA$1,1)-Log_2018[[#This Row],[Date]]))</f>
        <v>0</v>
      </c>
    </row>
    <row r="309" spans="1:29" hidden="1" x14ac:dyDescent="0.25">
      <c r="A309" s="115"/>
      <c r="B309" t="s">
        <v>6</v>
      </c>
      <c r="D309" s="26">
        <v>43326</v>
      </c>
      <c r="F309" t="s">
        <v>255</v>
      </c>
      <c r="G309" t="s">
        <v>25</v>
      </c>
      <c r="H309" s="3">
        <v>-11.53</v>
      </c>
      <c r="I309" s="36">
        <f>IF(Log_2018[[#This Row],[My Category]]="NONTRACKED",0,Log_2018[[#This Row],[Raw Amount]])</f>
        <v>-11.53</v>
      </c>
      <c r="J309" s="17">
        <f>ABS(Log_2018[[#This Row],[Amount]])</f>
        <v>11.53</v>
      </c>
      <c r="K309" s="66">
        <v>1</v>
      </c>
      <c r="L309" s="66">
        <f ca="1">IF(Log_2018[[#This Row],[Date]]&lt;=TODAY(), MIN(Log_2018[[#This Row],[Split_raw]], TODAY()-Log_2018[[#This Row],[Date]]+1), 0)</f>
        <v>1</v>
      </c>
      <c r="M309" t="s">
        <v>35</v>
      </c>
      <c r="N309" t="s">
        <v>158</v>
      </c>
      <c r="O309" s="50">
        <v>0</v>
      </c>
      <c r="P309" s="52">
        <f ca="1">Log_2018[[#This Row],[Amount]]/Log_2018[[#This Row],[Split_raw]]*MAX(0,MIN(_xlfn.DAYS(EDATE(P$1,1),Log_2018[[#This Row],[Date]]),Log_2018[[#This Row],[Split_apply]])) - SUM($O309:O309)</f>
        <v>0</v>
      </c>
      <c r="Q309" s="52">
        <f ca="1">Log_2018[[#This Row],[Amount]]/Log_2018[[#This Row],[Split_raw]]*MAX(0,MIN(_xlfn.DAYS(EDATE(Q$1,1),Log_2018[[#This Row],[Date]]),Log_2018[[#This Row],[Split_apply]])) - SUM($O309:P309)</f>
        <v>0</v>
      </c>
      <c r="R309" s="52">
        <f ca="1">Log_2018[[#This Row],[Amount]]/Log_2018[[#This Row],[Split_raw]]*MAX(0,MIN(_xlfn.DAYS(EDATE(R$1,1),Log_2018[[#This Row],[Date]]),Log_2018[[#This Row],[Split_apply]])) - SUM($O309:Q309)</f>
        <v>0</v>
      </c>
      <c r="S309" s="52">
        <f ca="1">Log_2018[[#This Row],[Amount]]/Log_2018[[#This Row],[Split_raw]]*MAX(0,MIN(_xlfn.DAYS(EDATE(S$1,1),Log_2018[[#This Row],[Date]]),Log_2018[[#This Row],[Split_apply]])) - SUM($O309:R309)</f>
        <v>0</v>
      </c>
      <c r="T309" s="52">
        <f ca="1">Log_2018[[#This Row],[Amount]]/Log_2018[[#This Row],[Split_raw]]*MAX(0,MIN(_xlfn.DAYS(EDATE(T$1,1),Log_2018[[#This Row],[Date]]),Log_2018[[#This Row],[Split_apply]])) - SUM($O309:S309)</f>
        <v>0</v>
      </c>
      <c r="U309" s="52">
        <f ca="1">Log_2018[[#This Row],[Amount]]/Log_2018[[#This Row],[Split_raw]]*MAX(0,MIN(_xlfn.DAYS(EDATE(U$1,1),Log_2018[[#This Row],[Date]]),Log_2018[[#This Row],[Split_apply]])) - SUM($O309:T309)</f>
        <v>0</v>
      </c>
      <c r="V309" s="52">
        <f ca="1">Log_2018[[#This Row],[Amount]]/Log_2018[[#This Row],[Split_raw]]*MAX(0,MIN(_xlfn.DAYS(EDATE(V$1,1),Log_2018[[#This Row],[Date]]),Log_2018[[#This Row],[Split_apply]])) - SUM($O309:U309)</f>
        <v>0</v>
      </c>
      <c r="W309" s="52">
        <f ca="1">Log_2018[[#This Row],[Amount]]/Log_2018[[#This Row],[Split_raw]]*MAX(0,MIN(_xlfn.DAYS(EDATE(W$1,1),Log_2018[[#This Row],[Date]]),Log_2018[[#This Row],[Split_apply]])) - SUM($O309:V309)</f>
        <v>-11.53</v>
      </c>
      <c r="X309" s="52">
        <f ca="1">Log_2018[[#This Row],[Amount]]/Log_2018[[#This Row],[Split_raw]]*MAX(0,MIN(_xlfn.DAYS(EDATE(X$1,1),Log_2018[[#This Row],[Date]]),Log_2018[[#This Row],[Split_apply]])) - SUM($O309:W309)</f>
        <v>0</v>
      </c>
      <c r="Y309" s="52">
        <f ca="1">Log_2018[[#This Row],[Amount]]/Log_2018[[#This Row],[Split_raw]]*MAX(0,MIN(_xlfn.DAYS(EDATE(Y$1,1),Log_2018[[#This Row],[Date]]),Log_2018[[#This Row],[Split_apply]])) - SUM($O309:X309)</f>
        <v>0</v>
      </c>
      <c r="Z309" s="52">
        <f ca="1">Log_2018[[#This Row],[Amount]]/Log_2018[[#This Row],[Split_raw]]*MAX(0,MIN(_xlfn.DAYS(EDATE(Z$1,1),Log_2018[[#This Row],[Date]]),Log_2018[[#This Row],[Split_apply]])) - SUM($O309:Y309)</f>
        <v>0</v>
      </c>
      <c r="AA309" s="52">
        <f ca="1">Log_2018[[#This Row],[Amount]]/Log_2018[[#This Row],[Split_raw]]*MAX(0,MIN(_xlfn.DAYS(EDATE(AA$1,1),Log_2018[[#This Row],[Date]]),Log_2018[[#This Row],[Split_apply]])) - SUM($O309:Z309)</f>
        <v>0</v>
      </c>
      <c r="AB309" s="54">
        <f ca="1">Log_2018[[#This Row],[Amount]]-SUM(O309:AA309)</f>
        <v>0</v>
      </c>
      <c r="AC309" s="7">
        <f ca="1">MAX(0,Log_2018[[#This Row],[Split_apply]] - (EDATE(AA$1,1)-Log_2018[[#This Row],[Date]]))</f>
        <v>0</v>
      </c>
    </row>
    <row r="310" spans="1:29" hidden="1" x14ac:dyDescent="0.25">
      <c r="A310" s="115"/>
      <c r="B310" t="s">
        <v>6</v>
      </c>
      <c r="D310" s="26">
        <v>43326</v>
      </c>
      <c r="F310" t="s">
        <v>255</v>
      </c>
      <c r="G310" t="s">
        <v>25</v>
      </c>
      <c r="H310" s="3">
        <v>-28.27</v>
      </c>
      <c r="I310" s="36">
        <f>IF(Log_2018[[#This Row],[My Category]]="NONTRACKED",0,Log_2018[[#This Row],[Raw Amount]])</f>
        <v>-28.27</v>
      </c>
      <c r="J310" s="17">
        <f>ABS(Log_2018[[#This Row],[Amount]])</f>
        <v>28.27</v>
      </c>
      <c r="K310" s="66">
        <v>1</v>
      </c>
      <c r="L310" s="66">
        <f ca="1">IF(Log_2018[[#This Row],[Date]]&lt;=TODAY(), MIN(Log_2018[[#This Row],[Split_raw]], TODAY()-Log_2018[[#This Row],[Date]]+1), 0)</f>
        <v>1</v>
      </c>
      <c r="M310" t="s">
        <v>52</v>
      </c>
      <c r="N310" t="s">
        <v>158</v>
      </c>
      <c r="O310" s="50">
        <v>0</v>
      </c>
      <c r="P310" s="52">
        <f ca="1">Log_2018[[#This Row],[Amount]]/Log_2018[[#This Row],[Split_raw]]*MAX(0,MIN(_xlfn.DAYS(EDATE(P$1,1),Log_2018[[#This Row],[Date]]),Log_2018[[#This Row],[Split_apply]])) - SUM($O310:O310)</f>
        <v>0</v>
      </c>
      <c r="Q310" s="52">
        <f ca="1">Log_2018[[#This Row],[Amount]]/Log_2018[[#This Row],[Split_raw]]*MAX(0,MIN(_xlfn.DAYS(EDATE(Q$1,1),Log_2018[[#This Row],[Date]]),Log_2018[[#This Row],[Split_apply]])) - SUM($O310:P310)</f>
        <v>0</v>
      </c>
      <c r="R310" s="52">
        <f ca="1">Log_2018[[#This Row],[Amount]]/Log_2018[[#This Row],[Split_raw]]*MAX(0,MIN(_xlfn.DAYS(EDATE(R$1,1),Log_2018[[#This Row],[Date]]),Log_2018[[#This Row],[Split_apply]])) - SUM($O310:Q310)</f>
        <v>0</v>
      </c>
      <c r="S310" s="52">
        <f ca="1">Log_2018[[#This Row],[Amount]]/Log_2018[[#This Row],[Split_raw]]*MAX(0,MIN(_xlfn.DAYS(EDATE(S$1,1),Log_2018[[#This Row],[Date]]),Log_2018[[#This Row],[Split_apply]])) - SUM($O310:R310)</f>
        <v>0</v>
      </c>
      <c r="T310" s="52">
        <f ca="1">Log_2018[[#This Row],[Amount]]/Log_2018[[#This Row],[Split_raw]]*MAX(0,MIN(_xlfn.DAYS(EDATE(T$1,1),Log_2018[[#This Row],[Date]]),Log_2018[[#This Row],[Split_apply]])) - SUM($O310:S310)</f>
        <v>0</v>
      </c>
      <c r="U310" s="52">
        <f ca="1">Log_2018[[#This Row],[Amount]]/Log_2018[[#This Row],[Split_raw]]*MAX(0,MIN(_xlfn.DAYS(EDATE(U$1,1),Log_2018[[#This Row],[Date]]),Log_2018[[#This Row],[Split_apply]])) - SUM($O310:T310)</f>
        <v>0</v>
      </c>
      <c r="V310" s="52">
        <f ca="1">Log_2018[[#This Row],[Amount]]/Log_2018[[#This Row],[Split_raw]]*MAX(0,MIN(_xlfn.DAYS(EDATE(V$1,1),Log_2018[[#This Row],[Date]]),Log_2018[[#This Row],[Split_apply]])) - SUM($O310:U310)</f>
        <v>0</v>
      </c>
      <c r="W310" s="52">
        <f ca="1">Log_2018[[#This Row],[Amount]]/Log_2018[[#This Row],[Split_raw]]*MAX(0,MIN(_xlfn.DAYS(EDATE(W$1,1),Log_2018[[#This Row],[Date]]),Log_2018[[#This Row],[Split_apply]])) - SUM($O310:V310)</f>
        <v>-28.27</v>
      </c>
      <c r="X310" s="52">
        <f ca="1">Log_2018[[#This Row],[Amount]]/Log_2018[[#This Row],[Split_raw]]*MAX(0,MIN(_xlfn.DAYS(EDATE(X$1,1),Log_2018[[#This Row],[Date]]),Log_2018[[#This Row],[Split_apply]])) - SUM($O310:W310)</f>
        <v>0</v>
      </c>
      <c r="Y310" s="52">
        <f ca="1">Log_2018[[#This Row],[Amount]]/Log_2018[[#This Row],[Split_raw]]*MAX(0,MIN(_xlfn.DAYS(EDATE(Y$1,1),Log_2018[[#This Row],[Date]]),Log_2018[[#This Row],[Split_apply]])) - SUM($O310:X310)</f>
        <v>0</v>
      </c>
      <c r="Z310" s="52">
        <f ca="1">Log_2018[[#This Row],[Amount]]/Log_2018[[#This Row],[Split_raw]]*MAX(0,MIN(_xlfn.DAYS(EDATE(Z$1,1),Log_2018[[#This Row],[Date]]),Log_2018[[#This Row],[Split_apply]])) - SUM($O310:Y310)</f>
        <v>0</v>
      </c>
      <c r="AA310" s="52">
        <f ca="1">Log_2018[[#This Row],[Amount]]/Log_2018[[#This Row],[Split_raw]]*MAX(0,MIN(_xlfn.DAYS(EDATE(AA$1,1),Log_2018[[#This Row],[Date]]),Log_2018[[#This Row],[Split_apply]])) - SUM($O310:Z310)</f>
        <v>0</v>
      </c>
      <c r="AB310" s="54">
        <f ca="1">Log_2018[[#This Row],[Amount]]-SUM(O310:AA310)</f>
        <v>0</v>
      </c>
      <c r="AC310" s="7">
        <f ca="1">MAX(0,Log_2018[[#This Row],[Split_apply]] - (EDATE(AA$1,1)-Log_2018[[#This Row],[Date]]))</f>
        <v>0</v>
      </c>
    </row>
    <row r="311" spans="1:29" hidden="1" x14ac:dyDescent="0.25">
      <c r="A311" s="115"/>
      <c r="B311" t="s">
        <v>6</v>
      </c>
      <c r="D311" s="26">
        <v>43326</v>
      </c>
      <c r="F311" t="s">
        <v>242</v>
      </c>
      <c r="G311" t="s">
        <v>87</v>
      </c>
      <c r="H311" s="3">
        <f>--24.46</f>
        <v>24.46</v>
      </c>
      <c r="I311" s="36">
        <f>IF(Log_2018[[#This Row],[My Category]]="NONTRACKED",0,Log_2018[[#This Row],[Raw Amount]])</f>
        <v>24.46</v>
      </c>
      <c r="J311" s="17">
        <f>ABS(Log_2018[[#This Row],[Amount]])</f>
        <v>24.46</v>
      </c>
      <c r="K311" s="66">
        <v>1</v>
      </c>
      <c r="L311" s="66">
        <f ca="1">IF(Log_2018[[#This Row],[Date]]&lt;=TODAY(), MIN(Log_2018[[#This Row],[Split_raw]], TODAY()-Log_2018[[#This Row],[Date]]+1), 0)</f>
        <v>1</v>
      </c>
      <c r="M311" t="s">
        <v>144</v>
      </c>
      <c r="N311" t="s">
        <v>160</v>
      </c>
      <c r="O311" s="50">
        <v>0</v>
      </c>
      <c r="P311" s="52">
        <f ca="1">Log_2018[[#This Row],[Amount]]/Log_2018[[#This Row],[Split_raw]]*MAX(0,MIN(_xlfn.DAYS(EDATE(P$1,1),Log_2018[[#This Row],[Date]]),Log_2018[[#This Row],[Split_apply]])) - SUM($O311:O311)</f>
        <v>0</v>
      </c>
      <c r="Q311" s="52">
        <f ca="1">Log_2018[[#This Row],[Amount]]/Log_2018[[#This Row],[Split_raw]]*MAX(0,MIN(_xlfn.DAYS(EDATE(Q$1,1),Log_2018[[#This Row],[Date]]),Log_2018[[#This Row],[Split_apply]])) - SUM($O311:P311)</f>
        <v>0</v>
      </c>
      <c r="R311" s="52">
        <f ca="1">Log_2018[[#This Row],[Amount]]/Log_2018[[#This Row],[Split_raw]]*MAX(0,MIN(_xlfn.DAYS(EDATE(R$1,1),Log_2018[[#This Row],[Date]]),Log_2018[[#This Row],[Split_apply]])) - SUM($O311:Q311)</f>
        <v>0</v>
      </c>
      <c r="S311" s="52">
        <f ca="1">Log_2018[[#This Row],[Amount]]/Log_2018[[#This Row],[Split_raw]]*MAX(0,MIN(_xlfn.DAYS(EDATE(S$1,1),Log_2018[[#This Row],[Date]]),Log_2018[[#This Row],[Split_apply]])) - SUM($O311:R311)</f>
        <v>0</v>
      </c>
      <c r="T311" s="52">
        <f ca="1">Log_2018[[#This Row],[Amount]]/Log_2018[[#This Row],[Split_raw]]*MAX(0,MIN(_xlfn.DAYS(EDATE(T$1,1),Log_2018[[#This Row],[Date]]),Log_2018[[#This Row],[Split_apply]])) - SUM($O311:S311)</f>
        <v>0</v>
      </c>
      <c r="U311" s="52">
        <f ca="1">Log_2018[[#This Row],[Amount]]/Log_2018[[#This Row],[Split_raw]]*MAX(0,MIN(_xlfn.DAYS(EDATE(U$1,1),Log_2018[[#This Row],[Date]]),Log_2018[[#This Row],[Split_apply]])) - SUM($O311:T311)</f>
        <v>0</v>
      </c>
      <c r="V311" s="52">
        <f ca="1">Log_2018[[#This Row],[Amount]]/Log_2018[[#This Row],[Split_raw]]*MAX(0,MIN(_xlfn.DAYS(EDATE(V$1,1),Log_2018[[#This Row],[Date]]),Log_2018[[#This Row],[Split_apply]])) - SUM($O311:U311)</f>
        <v>0</v>
      </c>
      <c r="W311" s="52">
        <f ca="1">Log_2018[[#This Row],[Amount]]/Log_2018[[#This Row],[Split_raw]]*MAX(0,MIN(_xlfn.DAYS(EDATE(W$1,1),Log_2018[[#This Row],[Date]]),Log_2018[[#This Row],[Split_apply]])) - SUM($O311:V311)</f>
        <v>24.46</v>
      </c>
      <c r="X311" s="52">
        <f ca="1">Log_2018[[#This Row],[Amount]]/Log_2018[[#This Row],[Split_raw]]*MAX(0,MIN(_xlfn.DAYS(EDATE(X$1,1),Log_2018[[#This Row],[Date]]),Log_2018[[#This Row],[Split_apply]])) - SUM($O311:W311)</f>
        <v>0</v>
      </c>
      <c r="Y311" s="52">
        <f ca="1">Log_2018[[#This Row],[Amount]]/Log_2018[[#This Row],[Split_raw]]*MAX(0,MIN(_xlfn.DAYS(EDATE(Y$1,1),Log_2018[[#This Row],[Date]]),Log_2018[[#This Row],[Split_apply]])) - SUM($O311:X311)</f>
        <v>0</v>
      </c>
      <c r="Z311" s="52">
        <f ca="1">Log_2018[[#This Row],[Amount]]/Log_2018[[#This Row],[Split_raw]]*MAX(0,MIN(_xlfn.DAYS(EDATE(Z$1,1),Log_2018[[#This Row],[Date]]),Log_2018[[#This Row],[Split_apply]])) - SUM($O311:Y311)</f>
        <v>0</v>
      </c>
      <c r="AA311" s="52">
        <f ca="1">Log_2018[[#This Row],[Amount]]/Log_2018[[#This Row],[Split_raw]]*MAX(0,MIN(_xlfn.DAYS(EDATE(AA$1,1),Log_2018[[#This Row],[Date]]),Log_2018[[#This Row],[Split_apply]])) - SUM($O311:Z311)</f>
        <v>0</v>
      </c>
      <c r="AB311" s="54">
        <f ca="1">Log_2018[[#This Row],[Amount]]-SUM(O311:AA311)</f>
        <v>0</v>
      </c>
      <c r="AC311" s="7">
        <f ca="1">MAX(0,Log_2018[[#This Row],[Split_apply]] - (EDATE(AA$1,1)-Log_2018[[#This Row],[Date]]))</f>
        <v>0</v>
      </c>
    </row>
    <row r="312" spans="1:29" hidden="1" x14ac:dyDescent="0.25">
      <c r="A312" s="115"/>
      <c r="B312" t="s">
        <v>6</v>
      </c>
      <c r="D312" s="26">
        <v>43325</v>
      </c>
      <c r="F312" t="s">
        <v>59</v>
      </c>
      <c r="G312" t="s">
        <v>25</v>
      </c>
      <c r="H312" s="3">
        <v>-7.94</v>
      </c>
      <c r="I312" s="36">
        <f>IF(Log_2018[[#This Row],[My Category]]="NONTRACKED",0,Log_2018[[#This Row],[Raw Amount]])</f>
        <v>-7.94</v>
      </c>
      <c r="J312" s="17">
        <f>ABS(Log_2018[[#This Row],[Amount]])</f>
        <v>7.94</v>
      </c>
      <c r="K312" s="66">
        <v>1</v>
      </c>
      <c r="L312" s="66">
        <f ca="1">IF(Log_2018[[#This Row],[Date]]&lt;=TODAY(), MIN(Log_2018[[#This Row],[Split_raw]], TODAY()-Log_2018[[#This Row],[Date]]+1), 0)</f>
        <v>1</v>
      </c>
      <c r="M312" t="s">
        <v>35</v>
      </c>
      <c r="N312" t="s">
        <v>158</v>
      </c>
      <c r="O312" s="50">
        <v>0</v>
      </c>
      <c r="P312" s="52">
        <f ca="1">Log_2018[[#This Row],[Amount]]/Log_2018[[#This Row],[Split_raw]]*MAX(0,MIN(_xlfn.DAYS(EDATE(P$1,1),Log_2018[[#This Row],[Date]]),Log_2018[[#This Row],[Split_apply]])) - SUM($O312:O312)</f>
        <v>0</v>
      </c>
      <c r="Q312" s="52">
        <f ca="1">Log_2018[[#This Row],[Amount]]/Log_2018[[#This Row],[Split_raw]]*MAX(0,MIN(_xlfn.DAYS(EDATE(Q$1,1),Log_2018[[#This Row],[Date]]),Log_2018[[#This Row],[Split_apply]])) - SUM($O312:P312)</f>
        <v>0</v>
      </c>
      <c r="R312" s="52">
        <f ca="1">Log_2018[[#This Row],[Amount]]/Log_2018[[#This Row],[Split_raw]]*MAX(0,MIN(_xlfn.DAYS(EDATE(R$1,1),Log_2018[[#This Row],[Date]]),Log_2018[[#This Row],[Split_apply]])) - SUM($O312:Q312)</f>
        <v>0</v>
      </c>
      <c r="S312" s="52">
        <f ca="1">Log_2018[[#This Row],[Amount]]/Log_2018[[#This Row],[Split_raw]]*MAX(0,MIN(_xlfn.DAYS(EDATE(S$1,1),Log_2018[[#This Row],[Date]]),Log_2018[[#This Row],[Split_apply]])) - SUM($O312:R312)</f>
        <v>0</v>
      </c>
      <c r="T312" s="52">
        <f ca="1">Log_2018[[#This Row],[Amount]]/Log_2018[[#This Row],[Split_raw]]*MAX(0,MIN(_xlfn.DAYS(EDATE(T$1,1),Log_2018[[#This Row],[Date]]),Log_2018[[#This Row],[Split_apply]])) - SUM($O312:S312)</f>
        <v>0</v>
      </c>
      <c r="U312" s="52">
        <f ca="1">Log_2018[[#This Row],[Amount]]/Log_2018[[#This Row],[Split_raw]]*MAX(0,MIN(_xlfn.DAYS(EDATE(U$1,1),Log_2018[[#This Row],[Date]]),Log_2018[[#This Row],[Split_apply]])) - SUM($O312:T312)</f>
        <v>0</v>
      </c>
      <c r="V312" s="52">
        <f ca="1">Log_2018[[#This Row],[Amount]]/Log_2018[[#This Row],[Split_raw]]*MAX(0,MIN(_xlfn.DAYS(EDATE(V$1,1),Log_2018[[#This Row],[Date]]),Log_2018[[#This Row],[Split_apply]])) - SUM($O312:U312)</f>
        <v>0</v>
      </c>
      <c r="W312" s="52">
        <f ca="1">Log_2018[[#This Row],[Amount]]/Log_2018[[#This Row],[Split_raw]]*MAX(0,MIN(_xlfn.DAYS(EDATE(W$1,1),Log_2018[[#This Row],[Date]]),Log_2018[[#This Row],[Split_apply]])) - SUM($O312:V312)</f>
        <v>-7.94</v>
      </c>
      <c r="X312" s="52">
        <f ca="1">Log_2018[[#This Row],[Amount]]/Log_2018[[#This Row],[Split_raw]]*MAX(0,MIN(_xlfn.DAYS(EDATE(X$1,1),Log_2018[[#This Row],[Date]]),Log_2018[[#This Row],[Split_apply]])) - SUM($O312:W312)</f>
        <v>0</v>
      </c>
      <c r="Y312" s="52">
        <f ca="1">Log_2018[[#This Row],[Amount]]/Log_2018[[#This Row],[Split_raw]]*MAX(0,MIN(_xlfn.DAYS(EDATE(Y$1,1),Log_2018[[#This Row],[Date]]),Log_2018[[#This Row],[Split_apply]])) - SUM($O312:X312)</f>
        <v>0</v>
      </c>
      <c r="Z312" s="52">
        <f ca="1">Log_2018[[#This Row],[Amount]]/Log_2018[[#This Row],[Split_raw]]*MAX(0,MIN(_xlfn.DAYS(EDATE(Z$1,1),Log_2018[[#This Row],[Date]]),Log_2018[[#This Row],[Split_apply]])) - SUM($O312:Y312)</f>
        <v>0</v>
      </c>
      <c r="AA312" s="52">
        <f ca="1">Log_2018[[#This Row],[Amount]]/Log_2018[[#This Row],[Split_raw]]*MAX(0,MIN(_xlfn.DAYS(EDATE(AA$1,1),Log_2018[[#This Row],[Date]]),Log_2018[[#This Row],[Split_apply]])) - SUM($O312:Z312)</f>
        <v>0</v>
      </c>
      <c r="AB312" s="54">
        <f ca="1">Log_2018[[#This Row],[Amount]]-SUM(O312:AA312)</f>
        <v>0</v>
      </c>
      <c r="AC312" s="7">
        <f ca="1">MAX(0,Log_2018[[#This Row],[Split_apply]] - (EDATE(AA$1,1)-Log_2018[[#This Row],[Date]]))</f>
        <v>0</v>
      </c>
    </row>
    <row r="313" spans="1:29" hidden="1" x14ac:dyDescent="0.25">
      <c r="A313" s="115"/>
      <c r="B313" s="34" t="s">
        <v>6</v>
      </c>
      <c r="D313" s="26">
        <v>43325</v>
      </c>
      <c r="F313" t="s">
        <v>83</v>
      </c>
      <c r="G313" t="s">
        <v>15</v>
      </c>
      <c r="H313" s="3">
        <v>-239.23</v>
      </c>
      <c r="I313" s="36">
        <f>IF(Log_2018[[#This Row],[My Category]]="NONTRACKED",0,Log_2018[[#This Row],[Raw Amount]])</f>
        <v>-239.23</v>
      </c>
      <c r="J313" s="17">
        <f>ABS(Log_2018[[#This Row],[Amount]])</f>
        <v>239.23</v>
      </c>
      <c r="K313" s="66">
        <v>30</v>
      </c>
      <c r="L313" s="66">
        <f ca="1">IF(Log_2018[[#This Row],[Date]]&lt;=TODAY(), MIN(Log_2018[[#This Row],[Split_raw]], TODAY()-Log_2018[[#This Row],[Date]]+1), 0)</f>
        <v>30</v>
      </c>
      <c r="M313" t="s">
        <v>241</v>
      </c>
      <c r="N313" t="s">
        <v>160</v>
      </c>
      <c r="O313" s="50">
        <v>0</v>
      </c>
      <c r="P313" s="52">
        <f ca="1">Log_2018[[#This Row],[Amount]]/Log_2018[[#This Row],[Split_raw]]*MAX(0,MIN(_xlfn.DAYS(EDATE(P$1,1),Log_2018[[#This Row],[Date]]),Log_2018[[#This Row],[Split_apply]])) - SUM($O313:O313)</f>
        <v>0</v>
      </c>
      <c r="Q313" s="52">
        <f ca="1">Log_2018[[#This Row],[Amount]]/Log_2018[[#This Row],[Split_raw]]*MAX(0,MIN(_xlfn.DAYS(EDATE(Q$1,1),Log_2018[[#This Row],[Date]]),Log_2018[[#This Row],[Split_apply]])) - SUM($O313:P313)</f>
        <v>0</v>
      </c>
      <c r="R313" s="52">
        <f ca="1">Log_2018[[#This Row],[Amount]]/Log_2018[[#This Row],[Split_raw]]*MAX(0,MIN(_xlfn.DAYS(EDATE(R$1,1),Log_2018[[#This Row],[Date]]),Log_2018[[#This Row],[Split_apply]])) - SUM($O313:Q313)</f>
        <v>0</v>
      </c>
      <c r="S313" s="52">
        <f ca="1">Log_2018[[#This Row],[Amount]]/Log_2018[[#This Row],[Split_raw]]*MAX(0,MIN(_xlfn.DAYS(EDATE(S$1,1),Log_2018[[#This Row],[Date]]),Log_2018[[#This Row],[Split_apply]])) - SUM($O313:R313)</f>
        <v>0</v>
      </c>
      <c r="T313" s="52">
        <f ca="1">Log_2018[[#This Row],[Amount]]/Log_2018[[#This Row],[Split_raw]]*MAX(0,MIN(_xlfn.DAYS(EDATE(T$1,1),Log_2018[[#This Row],[Date]]),Log_2018[[#This Row],[Split_apply]])) - SUM($O313:S313)</f>
        <v>0</v>
      </c>
      <c r="U313" s="52">
        <f ca="1">Log_2018[[#This Row],[Amount]]/Log_2018[[#This Row],[Split_raw]]*MAX(0,MIN(_xlfn.DAYS(EDATE(U$1,1),Log_2018[[#This Row],[Date]]),Log_2018[[#This Row],[Split_apply]])) - SUM($O313:T313)</f>
        <v>0</v>
      </c>
      <c r="V313" s="52">
        <f ca="1">Log_2018[[#This Row],[Amount]]/Log_2018[[#This Row],[Split_raw]]*MAX(0,MIN(_xlfn.DAYS(EDATE(V$1,1),Log_2018[[#This Row],[Date]]),Log_2018[[#This Row],[Split_apply]])) - SUM($O313:U313)</f>
        <v>0</v>
      </c>
      <c r="W313" s="52">
        <f ca="1">Log_2018[[#This Row],[Amount]]/Log_2018[[#This Row],[Split_raw]]*MAX(0,MIN(_xlfn.DAYS(EDATE(W$1,1),Log_2018[[#This Row],[Date]]),Log_2018[[#This Row],[Split_apply]])) - SUM($O313:V313)</f>
        <v>-151.51233333333332</v>
      </c>
      <c r="X313" s="52">
        <f ca="1">Log_2018[[#This Row],[Amount]]/Log_2018[[#This Row],[Split_raw]]*MAX(0,MIN(_xlfn.DAYS(EDATE(X$1,1),Log_2018[[#This Row],[Date]]),Log_2018[[#This Row],[Split_apply]])) - SUM($O313:W313)</f>
        <v>-87.717666666666673</v>
      </c>
      <c r="Y313" s="52">
        <f ca="1">Log_2018[[#This Row],[Amount]]/Log_2018[[#This Row],[Split_raw]]*MAX(0,MIN(_xlfn.DAYS(EDATE(Y$1,1),Log_2018[[#This Row],[Date]]),Log_2018[[#This Row],[Split_apply]])) - SUM($O313:X313)</f>
        <v>0</v>
      </c>
      <c r="Z313" s="52">
        <f ca="1">Log_2018[[#This Row],[Amount]]/Log_2018[[#This Row],[Split_raw]]*MAX(0,MIN(_xlfn.DAYS(EDATE(Z$1,1),Log_2018[[#This Row],[Date]]),Log_2018[[#This Row],[Split_apply]])) - SUM($O313:Y313)</f>
        <v>0</v>
      </c>
      <c r="AA313" s="52">
        <f ca="1">Log_2018[[#This Row],[Amount]]/Log_2018[[#This Row],[Split_raw]]*MAX(0,MIN(_xlfn.DAYS(EDATE(AA$1,1),Log_2018[[#This Row],[Date]]),Log_2018[[#This Row],[Split_apply]])) - SUM($O313:Z313)</f>
        <v>0</v>
      </c>
      <c r="AB313" s="54">
        <f ca="1">Log_2018[[#This Row],[Amount]]-SUM(O313:AA313)</f>
        <v>0</v>
      </c>
      <c r="AC313" s="7">
        <f ca="1">MAX(0,Log_2018[[#This Row],[Split_apply]] - (EDATE(AA$1,1)-Log_2018[[#This Row],[Date]]))</f>
        <v>0</v>
      </c>
    </row>
    <row r="314" spans="1:29" hidden="1" x14ac:dyDescent="0.25">
      <c r="A314" s="115"/>
      <c r="B314" t="s">
        <v>6</v>
      </c>
      <c r="D314" s="26">
        <v>43325</v>
      </c>
      <c r="F314" t="s">
        <v>331</v>
      </c>
      <c r="G314" t="s">
        <v>104</v>
      </c>
      <c r="H314" s="3">
        <v>-68.73</v>
      </c>
      <c r="I314" s="36">
        <f>IF(Log_2018[[#This Row],[My Category]]="NONTRACKED",0,Log_2018[[#This Row],[Raw Amount]])</f>
        <v>-68.73</v>
      </c>
      <c r="J314" s="17">
        <f>ABS(Log_2018[[#This Row],[Amount]])</f>
        <v>68.73</v>
      </c>
      <c r="K314" s="66">
        <v>1</v>
      </c>
      <c r="L314" s="66">
        <f ca="1">IF(Log_2018[[#This Row],[Date]]&lt;=TODAY(), MIN(Log_2018[[#This Row],[Split_raw]], TODAY()-Log_2018[[#This Row],[Date]]+1), 0)</f>
        <v>1</v>
      </c>
      <c r="M314" t="s">
        <v>159</v>
      </c>
      <c r="N314" t="s">
        <v>160</v>
      </c>
      <c r="O314" s="50">
        <v>0</v>
      </c>
      <c r="P314" s="52">
        <f ca="1">Log_2018[[#This Row],[Amount]]/Log_2018[[#This Row],[Split_raw]]*MAX(0,MIN(_xlfn.DAYS(EDATE(P$1,1),Log_2018[[#This Row],[Date]]),Log_2018[[#This Row],[Split_apply]])) - SUM($O314:O314)</f>
        <v>0</v>
      </c>
      <c r="Q314" s="52">
        <f ca="1">Log_2018[[#This Row],[Amount]]/Log_2018[[#This Row],[Split_raw]]*MAX(0,MIN(_xlfn.DAYS(EDATE(Q$1,1),Log_2018[[#This Row],[Date]]),Log_2018[[#This Row],[Split_apply]])) - SUM($O314:P314)</f>
        <v>0</v>
      </c>
      <c r="R314" s="52">
        <f ca="1">Log_2018[[#This Row],[Amount]]/Log_2018[[#This Row],[Split_raw]]*MAX(0,MIN(_xlfn.DAYS(EDATE(R$1,1),Log_2018[[#This Row],[Date]]),Log_2018[[#This Row],[Split_apply]])) - SUM($O314:Q314)</f>
        <v>0</v>
      </c>
      <c r="S314" s="52">
        <f ca="1">Log_2018[[#This Row],[Amount]]/Log_2018[[#This Row],[Split_raw]]*MAX(0,MIN(_xlfn.DAYS(EDATE(S$1,1),Log_2018[[#This Row],[Date]]),Log_2018[[#This Row],[Split_apply]])) - SUM($O314:R314)</f>
        <v>0</v>
      </c>
      <c r="T314" s="52">
        <f ca="1">Log_2018[[#This Row],[Amount]]/Log_2018[[#This Row],[Split_raw]]*MAX(0,MIN(_xlfn.DAYS(EDATE(T$1,1),Log_2018[[#This Row],[Date]]),Log_2018[[#This Row],[Split_apply]])) - SUM($O314:S314)</f>
        <v>0</v>
      </c>
      <c r="U314" s="52">
        <f ca="1">Log_2018[[#This Row],[Amount]]/Log_2018[[#This Row],[Split_raw]]*MAX(0,MIN(_xlfn.DAYS(EDATE(U$1,1),Log_2018[[#This Row],[Date]]),Log_2018[[#This Row],[Split_apply]])) - SUM($O314:T314)</f>
        <v>0</v>
      </c>
      <c r="V314" s="52">
        <f ca="1">Log_2018[[#This Row],[Amount]]/Log_2018[[#This Row],[Split_raw]]*MAX(0,MIN(_xlfn.DAYS(EDATE(V$1,1),Log_2018[[#This Row],[Date]]),Log_2018[[#This Row],[Split_apply]])) - SUM($O314:U314)</f>
        <v>0</v>
      </c>
      <c r="W314" s="52">
        <f ca="1">Log_2018[[#This Row],[Amount]]/Log_2018[[#This Row],[Split_raw]]*MAX(0,MIN(_xlfn.DAYS(EDATE(W$1,1),Log_2018[[#This Row],[Date]]),Log_2018[[#This Row],[Split_apply]])) - SUM($O314:V314)</f>
        <v>-68.73</v>
      </c>
      <c r="X314" s="52">
        <f ca="1">Log_2018[[#This Row],[Amount]]/Log_2018[[#This Row],[Split_raw]]*MAX(0,MIN(_xlfn.DAYS(EDATE(X$1,1),Log_2018[[#This Row],[Date]]),Log_2018[[#This Row],[Split_apply]])) - SUM($O314:W314)</f>
        <v>0</v>
      </c>
      <c r="Y314" s="52">
        <f ca="1">Log_2018[[#This Row],[Amount]]/Log_2018[[#This Row],[Split_raw]]*MAX(0,MIN(_xlfn.DAYS(EDATE(Y$1,1),Log_2018[[#This Row],[Date]]),Log_2018[[#This Row],[Split_apply]])) - SUM($O314:X314)</f>
        <v>0</v>
      </c>
      <c r="Z314" s="52">
        <f ca="1">Log_2018[[#This Row],[Amount]]/Log_2018[[#This Row],[Split_raw]]*MAX(0,MIN(_xlfn.DAYS(EDATE(Z$1,1),Log_2018[[#This Row],[Date]]),Log_2018[[#This Row],[Split_apply]])) - SUM($O314:Y314)</f>
        <v>0</v>
      </c>
      <c r="AA314" s="52">
        <f ca="1">Log_2018[[#This Row],[Amount]]/Log_2018[[#This Row],[Split_raw]]*MAX(0,MIN(_xlfn.DAYS(EDATE(AA$1,1),Log_2018[[#This Row],[Date]]),Log_2018[[#This Row],[Split_apply]])) - SUM($O314:Z314)</f>
        <v>0</v>
      </c>
      <c r="AB314" s="54">
        <f ca="1">Log_2018[[#This Row],[Amount]]-SUM(O314:AA314)</f>
        <v>0</v>
      </c>
      <c r="AC314" s="7">
        <f ca="1">MAX(0,Log_2018[[#This Row],[Split_apply]] - (EDATE(AA$1,1)-Log_2018[[#This Row],[Date]]))</f>
        <v>0</v>
      </c>
    </row>
    <row r="315" spans="1:29" hidden="1" x14ac:dyDescent="0.25">
      <c r="A315" s="115"/>
      <c r="B315" t="s">
        <v>6</v>
      </c>
      <c r="D315" s="26">
        <v>43324</v>
      </c>
      <c r="F315" t="s">
        <v>316</v>
      </c>
      <c r="G315" t="s">
        <v>104</v>
      </c>
      <c r="H315" s="3">
        <f>--68.73</f>
        <v>68.73</v>
      </c>
      <c r="I315" s="36">
        <f>IF(Log_2018[[#This Row],[My Category]]="NONTRACKED",0,Log_2018[[#This Row],[Raw Amount]])</f>
        <v>68.73</v>
      </c>
      <c r="J315" s="17">
        <f>ABS(Log_2018[[#This Row],[Amount]])</f>
        <v>68.73</v>
      </c>
      <c r="K315" s="66">
        <v>1</v>
      </c>
      <c r="L315" s="66">
        <f ca="1">IF(Log_2018[[#This Row],[Date]]&lt;=TODAY(), MIN(Log_2018[[#This Row],[Split_raw]], TODAY()-Log_2018[[#This Row],[Date]]+1), 0)</f>
        <v>1</v>
      </c>
      <c r="M315" t="s">
        <v>159</v>
      </c>
      <c r="N315" t="s">
        <v>158</v>
      </c>
      <c r="O315" s="50">
        <v>0</v>
      </c>
      <c r="P315" s="52">
        <f ca="1">Log_2018[[#This Row],[Amount]]/Log_2018[[#This Row],[Split_raw]]*MAX(0,MIN(_xlfn.DAYS(EDATE(P$1,1),Log_2018[[#This Row],[Date]]),Log_2018[[#This Row],[Split_apply]])) - SUM($O315:O315)</f>
        <v>0</v>
      </c>
      <c r="Q315" s="52">
        <f ca="1">Log_2018[[#This Row],[Amount]]/Log_2018[[#This Row],[Split_raw]]*MAX(0,MIN(_xlfn.DAYS(EDATE(Q$1,1),Log_2018[[#This Row],[Date]]),Log_2018[[#This Row],[Split_apply]])) - SUM($O315:P315)</f>
        <v>0</v>
      </c>
      <c r="R315" s="52">
        <f ca="1">Log_2018[[#This Row],[Amount]]/Log_2018[[#This Row],[Split_raw]]*MAX(0,MIN(_xlfn.DAYS(EDATE(R$1,1),Log_2018[[#This Row],[Date]]),Log_2018[[#This Row],[Split_apply]])) - SUM($O315:Q315)</f>
        <v>0</v>
      </c>
      <c r="S315" s="52">
        <f ca="1">Log_2018[[#This Row],[Amount]]/Log_2018[[#This Row],[Split_raw]]*MAX(0,MIN(_xlfn.DAYS(EDATE(S$1,1),Log_2018[[#This Row],[Date]]),Log_2018[[#This Row],[Split_apply]])) - SUM($O315:R315)</f>
        <v>0</v>
      </c>
      <c r="T315" s="52">
        <f ca="1">Log_2018[[#This Row],[Amount]]/Log_2018[[#This Row],[Split_raw]]*MAX(0,MIN(_xlfn.DAYS(EDATE(T$1,1),Log_2018[[#This Row],[Date]]),Log_2018[[#This Row],[Split_apply]])) - SUM($O315:S315)</f>
        <v>0</v>
      </c>
      <c r="U315" s="52">
        <f ca="1">Log_2018[[#This Row],[Amount]]/Log_2018[[#This Row],[Split_raw]]*MAX(0,MIN(_xlfn.DAYS(EDATE(U$1,1),Log_2018[[#This Row],[Date]]),Log_2018[[#This Row],[Split_apply]])) - SUM($O315:T315)</f>
        <v>0</v>
      </c>
      <c r="V315" s="52">
        <f ca="1">Log_2018[[#This Row],[Amount]]/Log_2018[[#This Row],[Split_raw]]*MAX(0,MIN(_xlfn.DAYS(EDATE(V$1,1),Log_2018[[#This Row],[Date]]),Log_2018[[#This Row],[Split_apply]])) - SUM($O315:U315)</f>
        <v>0</v>
      </c>
      <c r="W315" s="52">
        <f ca="1">Log_2018[[#This Row],[Amount]]/Log_2018[[#This Row],[Split_raw]]*MAX(0,MIN(_xlfn.DAYS(EDATE(W$1,1),Log_2018[[#This Row],[Date]]),Log_2018[[#This Row],[Split_apply]])) - SUM($O315:V315)</f>
        <v>68.73</v>
      </c>
      <c r="X315" s="52">
        <f ca="1">Log_2018[[#This Row],[Amount]]/Log_2018[[#This Row],[Split_raw]]*MAX(0,MIN(_xlfn.DAYS(EDATE(X$1,1),Log_2018[[#This Row],[Date]]),Log_2018[[#This Row],[Split_apply]])) - SUM($O315:W315)</f>
        <v>0</v>
      </c>
      <c r="Y315" s="52">
        <f ca="1">Log_2018[[#This Row],[Amount]]/Log_2018[[#This Row],[Split_raw]]*MAX(0,MIN(_xlfn.DAYS(EDATE(Y$1,1),Log_2018[[#This Row],[Date]]),Log_2018[[#This Row],[Split_apply]])) - SUM($O315:X315)</f>
        <v>0</v>
      </c>
      <c r="Z315" s="52">
        <f ca="1">Log_2018[[#This Row],[Amount]]/Log_2018[[#This Row],[Split_raw]]*MAX(0,MIN(_xlfn.DAYS(EDATE(Z$1,1),Log_2018[[#This Row],[Date]]),Log_2018[[#This Row],[Split_apply]])) - SUM($O315:Y315)</f>
        <v>0</v>
      </c>
      <c r="AA315" s="52">
        <f ca="1">Log_2018[[#This Row],[Amount]]/Log_2018[[#This Row],[Split_raw]]*MAX(0,MIN(_xlfn.DAYS(EDATE(AA$1,1),Log_2018[[#This Row],[Date]]),Log_2018[[#This Row],[Split_apply]])) - SUM($O315:Z315)</f>
        <v>0</v>
      </c>
      <c r="AB315" s="54">
        <f ca="1">Log_2018[[#This Row],[Amount]]-SUM(O315:AA315)</f>
        <v>0</v>
      </c>
      <c r="AC315" s="7">
        <f ca="1">MAX(0,Log_2018[[#This Row],[Split_apply]] - (EDATE(AA$1,1)-Log_2018[[#This Row],[Date]]))</f>
        <v>0</v>
      </c>
    </row>
    <row r="316" spans="1:29" hidden="1" x14ac:dyDescent="0.25">
      <c r="A316" s="115"/>
      <c r="B316" t="s">
        <v>6</v>
      </c>
      <c r="D316" s="26">
        <v>43323</v>
      </c>
      <c r="E316" t="s">
        <v>1041</v>
      </c>
      <c r="F316" t="s">
        <v>317</v>
      </c>
      <c r="G316" t="s">
        <v>27</v>
      </c>
      <c r="H316" s="3">
        <v>-680.62</v>
      </c>
      <c r="I316" s="36">
        <f>IF(Log_2018[[#This Row],[My Category]]="NONTRACKED",0,Log_2018[[#This Row],[Raw Amount]])</f>
        <v>-680.62</v>
      </c>
      <c r="J316" s="17">
        <f>ABS(Log_2018[[#This Row],[Amount]])</f>
        <v>680.62</v>
      </c>
      <c r="K316" s="66">
        <v>1</v>
      </c>
      <c r="L316" s="66">
        <f ca="1">IF(Log_2018[[#This Row],[Date]]&lt;=TODAY(), MIN(Log_2018[[#This Row],[Split_raw]], TODAY()-Log_2018[[#This Row],[Date]]+1), 0)</f>
        <v>1</v>
      </c>
      <c r="M316" t="s">
        <v>38</v>
      </c>
      <c r="N316" t="s">
        <v>158</v>
      </c>
      <c r="O316" s="50">
        <v>0</v>
      </c>
      <c r="P316" s="52">
        <f ca="1">Log_2018[[#This Row],[Amount]]/Log_2018[[#This Row],[Split_raw]]*MAX(0,MIN(_xlfn.DAYS(EDATE(P$1,1),Log_2018[[#This Row],[Date]]),Log_2018[[#This Row],[Split_apply]])) - SUM($O316:O316)</f>
        <v>0</v>
      </c>
      <c r="Q316" s="52">
        <f ca="1">Log_2018[[#This Row],[Amount]]/Log_2018[[#This Row],[Split_raw]]*MAX(0,MIN(_xlfn.DAYS(EDATE(Q$1,1),Log_2018[[#This Row],[Date]]),Log_2018[[#This Row],[Split_apply]])) - SUM($O316:P316)</f>
        <v>0</v>
      </c>
      <c r="R316" s="52">
        <f ca="1">Log_2018[[#This Row],[Amount]]/Log_2018[[#This Row],[Split_raw]]*MAX(0,MIN(_xlfn.DAYS(EDATE(R$1,1),Log_2018[[#This Row],[Date]]),Log_2018[[#This Row],[Split_apply]])) - SUM($O316:Q316)</f>
        <v>0</v>
      </c>
      <c r="S316" s="52">
        <f ca="1">Log_2018[[#This Row],[Amount]]/Log_2018[[#This Row],[Split_raw]]*MAX(0,MIN(_xlfn.DAYS(EDATE(S$1,1),Log_2018[[#This Row],[Date]]),Log_2018[[#This Row],[Split_apply]])) - SUM($O316:R316)</f>
        <v>0</v>
      </c>
      <c r="T316" s="52">
        <f ca="1">Log_2018[[#This Row],[Amount]]/Log_2018[[#This Row],[Split_raw]]*MAX(0,MIN(_xlfn.DAYS(EDATE(T$1,1),Log_2018[[#This Row],[Date]]),Log_2018[[#This Row],[Split_apply]])) - SUM($O316:S316)</f>
        <v>0</v>
      </c>
      <c r="U316" s="52">
        <f ca="1">Log_2018[[#This Row],[Amount]]/Log_2018[[#This Row],[Split_raw]]*MAX(0,MIN(_xlfn.DAYS(EDATE(U$1,1),Log_2018[[#This Row],[Date]]),Log_2018[[#This Row],[Split_apply]])) - SUM($O316:T316)</f>
        <v>0</v>
      </c>
      <c r="V316" s="52">
        <f ca="1">Log_2018[[#This Row],[Amount]]/Log_2018[[#This Row],[Split_raw]]*MAX(0,MIN(_xlfn.DAYS(EDATE(V$1,1),Log_2018[[#This Row],[Date]]),Log_2018[[#This Row],[Split_apply]])) - SUM($O316:U316)</f>
        <v>0</v>
      </c>
      <c r="W316" s="52">
        <f ca="1">Log_2018[[#This Row],[Amount]]/Log_2018[[#This Row],[Split_raw]]*MAX(0,MIN(_xlfn.DAYS(EDATE(W$1,1),Log_2018[[#This Row],[Date]]),Log_2018[[#This Row],[Split_apply]])) - SUM($O316:V316)</f>
        <v>-680.62</v>
      </c>
      <c r="X316" s="52">
        <f ca="1">Log_2018[[#This Row],[Amount]]/Log_2018[[#This Row],[Split_raw]]*MAX(0,MIN(_xlfn.DAYS(EDATE(X$1,1),Log_2018[[#This Row],[Date]]),Log_2018[[#This Row],[Split_apply]])) - SUM($O316:W316)</f>
        <v>0</v>
      </c>
      <c r="Y316" s="52">
        <f ca="1">Log_2018[[#This Row],[Amount]]/Log_2018[[#This Row],[Split_raw]]*MAX(0,MIN(_xlfn.DAYS(EDATE(Y$1,1),Log_2018[[#This Row],[Date]]),Log_2018[[#This Row],[Split_apply]])) - SUM($O316:X316)</f>
        <v>0</v>
      </c>
      <c r="Z316" s="52">
        <f ca="1">Log_2018[[#This Row],[Amount]]/Log_2018[[#This Row],[Split_raw]]*MAX(0,MIN(_xlfn.DAYS(EDATE(Z$1,1),Log_2018[[#This Row],[Date]]),Log_2018[[#This Row],[Split_apply]])) - SUM($O316:Y316)</f>
        <v>0</v>
      </c>
      <c r="AA316" s="52">
        <f ca="1">Log_2018[[#This Row],[Amount]]/Log_2018[[#This Row],[Split_raw]]*MAX(0,MIN(_xlfn.DAYS(EDATE(AA$1,1),Log_2018[[#This Row],[Date]]),Log_2018[[#This Row],[Split_apply]])) - SUM($O316:Z316)</f>
        <v>0</v>
      </c>
      <c r="AB316" s="54">
        <f ca="1">Log_2018[[#This Row],[Amount]]-SUM(O316:AA316)</f>
        <v>0</v>
      </c>
      <c r="AC316" s="7">
        <f ca="1">MAX(0,Log_2018[[#This Row],[Split_apply]] - (EDATE(AA$1,1)-Log_2018[[#This Row],[Date]]))</f>
        <v>0</v>
      </c>
    </row>
    <row r="317" spans="1:29" hidden="1" x14ac:dyDescent="0.25">
      <c r="A317" s="115"/>
      <c r="B317" t="s">
        <v>6</v>
      </c>
      <c r="D317" s="26">
        <v>43322</v>
      </c>
      <c r="E317" t="s">
        <v>1040</v>
      </c>
      <c r="F317" t="s">
        <v>421</v>
      </c>
      <c r="G317" t="s">
        <v>87</v>
      </c>
      <c r="H317" s="3">
        <f>--1038.18</f>
        <v>1038.18</v>
      </c>
      <c r="I317" s="36">
        <f>IF(Log_2018[[#This Row],[My Category]]="NONTRACKED",0,Log_2018[[#This Row],[Raw Amount]])</f>
        <v>1038.18</v>
      </c>
      <c r="J317" s="17">
        <f>ABS(Log_2018[[#This Row],[Amount]])</f>
        <v>1038.18</v>
      </c>
      <c r="K317" s="66">
        <v>1</v>
      </c>
      <c r="L317" s="66">
        <f ca="1">IF(Log_2018[[#This Row],[Date]]&lt;=TODAY(), MIN(Log_2018[[#This Row],[Split_raw]], TODAY()-Log_2018[[#This Row],[Date]]+1), 0)</f>
        <v>1</v>
      </c>
      <c r="M317" t="s">
        <v>38</v>
      </c>
      <c r="N317" t="s">
        <v>160</v>
      </c>
      <c r="O317" s="50">
        <v>0</v>
      </c>
      <c r="P317" s="52">
        <f ca="1">Log_2018[[#This Row],[Amount]]/Log_2018[[#This Row],[Split_raw]]*MAX(0,MIN(_xlfn.DAYS(EDATE(P$1,1),Log_2018[[#This Row],[Date]]),Log_2018[[#This Row],[Split_apply]])) - SUM($O317:O317)</f>
        <v>0</v>
      </c>
      <c r="Q317" s="52">
        <f ca="1">Log_2018[[#This Row],[Amount]]/Log_2018[[#This Row],[Split_raw]]*MAX(0,MIN(_xlfn.DAYS(EDATE(Q$1,1),Log_2018[[#This Row],[Date]]),Log_2018[[#This Row],[Split_apply]])) - SUM($O317:P317)</f>
        <v>0</v>
      </c>
      <c r="R317" s="52">
        <f ca="1">Log_2018[[#This Row],[Amount]]/Log_2018[[#This Row],[Split_raw]]*MAX(0,MIN(_xlfn.DAYS(EDATE(R$1,1),Log_2018[[#This Row],[Date]]),Log_2018[[#This Row],[Split_apply]])) - SUM($O317:Q317)</f>
        <v>0</v>
      </c>
      <c r="S317" s="52">
        <f ca="1">Log_2018[[#This Row],[Amount]]/Log_2018[[#This Row],[Split_raw]]*MAX(0,MIN(_xlfn.DAYS(EDATE(S$1,1),Log_2018[[#This Row],[Date]]),Log_2018[[#This Row],[Split_apply]])) - SUM($O317:R317)</f>
        <v>0</v>
      </c>
      <c r="T317" s="52">
        <f ca="1">Log_2018[[#This Row],[Amount]]/Log_2018[[#This Row],[Split_raw]]*MAX(0,MIN(_xlfn.DAYS(EDATE(T$1,1),Log_2018[[#This Row],[Date]]),Log_2018[[#This Row],[Split_apply]])) - SUM($O317:S317)</f>
        <v>0</v>
      </c>
      <c r="U317" s="52">
        <f ca="1">Log_2018[[#This Row],[Amount]]/Log_2018[[#This Row],[Split_raw]]*MAX(0,MIN(_xlfn.DAYS(EDATE(U$1,1),Log_2018[[#This Row],[Date]]),Log_2018[[#This Row],[Split_apply]])) - SUM($O317:T317)</f>
        <v>0</v>
      </c>
      <c r="V317" s="52">
        <f ca="1">Log_2018[[#This Row],[Amount]]/Log_2018[[#This Row],[Split_raw]]*MAX(0,MIN(_xlfn.DAYS(EDATE(V$1,1),Log_2018[[#This Row],[Date]]),Log_2018[[#This Row],[Split_apply]])) - SUM($O317:U317)</f>
        <v>0</v>
      </c>
      <c r="W317" s="52">
        <f ca="1">Log_2018[[#This Row],[Amount]]/Log_2018[[#This Row],[Split_raw]]*MAX(0,MIN(_xlfn.DAYS(EDATE(W$1,1),Log_2018[[#This Row],[Date]]),Log_2018[[#This Row],[Split_apply]])) - SUM($O317:V317)</f>
        <v>1038.18</v>
      </c>
      <c r="X317" s="52">
        <f ca="1">Log_2018[[#This Row],[Amount]]/Log_2018[[#This Row],[Split_raw]]*MAX(0,MIN(_xlfn.DAYS(EDATE(X$1,1),Log_2018[[#This Row],[Date]]),Log_2018[[#This Row],[Split_apply]])) - SUM($O317:W317)</f>
        <v>0</v>
      </c>
      <c r="Y317" s="52">
        <f ca="1">Log_2018[[#This Row],[Amount]]/Log_2018[[#This Row],[Split_raw]]*MAX(0,MIN(_xlfn.DAYS(EDATE(Y$1,1),Log_2018[[#This Row],[Date]]),Log_2018[[#This Row],[Split_apply]])) - SUM($O317:X317)</f>
        <v>0</v>
      </c>
      <c r="Z317" s="52">
        <f ca="1">Log_2018[[#This Row],[Amount]]/Log_2018[[#This Row],[Split_raw]]*MAX(0,MIN(_xlfn.DAYS(EDATE(Z$1,1),Log_2018[[#This Row],[Date]]),Log_2018[[#This Row],[Split_apply]])) - SUM($O317:Y317)</f>
        <v>0</v>
      </c>
      <c r="AA317" s="52">
        <f ca="1">Log_2018[[#This Row],[Amount]]/Log_2018[[#This Row],[Split_raw]]*MAX(0,MIN(_xlfn.DAYS(EDATE(AA$1,1),Log_2018[[#This Row],[Date]]),Log_2018[[#This Row],[Split_apply]])) - SUM($O317:Z317)</f>
        <v>0</v>
      </c>
      <c r="AB317" s="54">
        <f ca="1">Log_2018[[#This Row],[Amount]]-SUM(O317:AA317)</f>
        <v>0</v>
      </c>
      <c r="AC317" s="7">
        <f ca="1">MAX(0,Log_2018[[#This Row],[Split_apply]] - (EDATE(AA$1,1)-Log_2018[[#This Row],[Date]]))</f>
        <v>0</v>
      </c>
    </row>
    <row r="318" spans="1:29" hidden="1" x14ac:dyDescent="0.25">
      <c r="A318" s="115"/>
      <c r="B318" t="s">
        <v>6</v>
      </c>
      <c r="D318" s="26">
        <v>43322</v>
      </c>
      <c r="F318" t="s">
        <v>184</v>
      </c>
      <c r="G318" t="s">
        <v>11</v>
      </c>
      <c r="H318" s="3">
        <v>-6.1</v>
      </c>
      <c r="I318" s="36">
        <f>IF(Log_2018[[#This Row],[My Category]]="NONTRACKED",0,Log_2018[[#This Row],[Raw Amount]])</f>
        <v>-6.1</v>
      </c>
      <c r="J318" s="17">
        <f>ABS(Log_2018[[#This Row],[Amount]])</f>
        <v>6.1</v>
      </c>
      <c r="K318" s="66">
        <v>1</v>
      </c>
      <c r="L318" s="66">
        <f ca="1">IF(Log_2018[[#This Row],[Date]]&lt;=TODAY(), MIN(Log_2018[[#This Row],[Split_raw]], TODAY()-Log_2018[[#This Row],[Date]]+1), 0)</f>
        <v>1</v>
      </c>
      <c r="M318" t="s">
        <v>12</v>
      </c>
      <c r="N318" t="s">
        <v>158</v>
      </c>
      <c r="O318" s="50">
        <v>0</v>
      </c>
      <c r="P318" s="52">
        <f ca="1">Log_2018[[#This Row],[Amount]]/Log_2018[[#This Row],[Split_raw]]*MAX(0,MIN(_xlfn.DAYS(EDATE(P$1,1),Log_2018[[#This Row],[Date]]),Log_2018[[#This Row],[Split_apply]])) - SUM($O318:O318)</f>
        <v>0</v>
      </c>
      <c r="Q318" s="52">
        <f ca="1">Log_2018[[#This Row],[Amount]]/Log_2018[[#This Row],[Split_raw]]*MAX(0,MIN(_xlfn.DAYS(EDATE(Q$1,1),Log_2018[[#This Row],[Date]]),Log_2018[[#This Row],[Split_apply]])) - SUM($O318:P318)</f>
        <v>0</v>
      </c>
      <c r="R318" s="52">
        <f ca="1">Log_2018[[#This Row],[Amount]]/Log_2018[[#This Row],[Split_raw]]*MAX(0,MIN(_xlfn.DAYS(EDATE(R$1,1),Log_2018[[#This Row],[Date]]),Log_2018[[#This Row],[Split_apply]])) - SUM($O318:Q318)</f>
        <v>0</v>
      </c>
      <c r="S318" s="52">
        <f ca="1">Log_2018[[#This Row],[Amount]]/Log_2018[[#This Row],[Split_raw]]*MAX(0,MIN(_xlfn.DAYS(EDATE(S$1,1),Log_2018[[#This Row],[Date]]),Log_2018[[#This Row],[Split_apply]])) - SUM($O318:R318)</f>
        <v>0</v>
      </c>
      <c r="T318" s="52">
        <f ca="1">Log_2018[[#This Row],[Amount]]/Log_2018[[#This Row],[Split_raw]]*MAX(0,MIN(_xlfn.DAYS(EDATE(T$1,1),Log_2018[[#This Row],[Date]]),Log_2018[[#This Row],[Split_apply]])) - SUM($O318:S318)</f>
        <v>0</v>
      </c>
      <c r="U318" s="52">
        <f ca="1">Log_2018[[#This Row],[Amount]]/Log_2018[[#This Row],[Split_raw]]*MAX(0,MIN(_xlfn.DAYS(EDATE(U$1,1),Log_2018[[#This Row],[Date]]),Log_2018[[#This Row],[Split_apply]])) - SUM($O318:T318)</f>
        <v>0</v>
      </c>
      <c r="V318" s="52">
        <f ca="1">Log_2018[[#This Row],[Amount]]/Log_2018[[#This Row],[Split_raw]]*MAX(0,MIN(_xlfn.DAYS(EDATE(V$1,1),Log_2018[[#This Row],[Date]]),Log_2018[[#This Row],[Split_apply]])) - SUM($O318:U318)</f>
        <v>0</v>
      </c>
      <c r="W318" s="52">
        <f ca="1">Log_2018[[#This Row],[Amount]]/Log_2018[[#This Row],[Split_raw]]*MAX(0,MIN(_xlfn.DAYS(EDATE(W$1,1),Log_2018[[#This Row],[Date]]),Log_2018[[#This Row],[Split_apply]])) - SUM($O318:V318)</f>
        <v>-6.1</v>
      </c>
      <c r="X318" s="52">
        <f ca="1">Log_2018[[#This Row],[Amount]]/Log_2018[[#This Row],[Split_raw]]*MAX(0,MIN(_xlfn.DAYS(EDATE(X$1,1),Log_2018[[#This Row],[Date]]),Log_2018[[#This Row],[Split_apply]])) - SUM($O318:W318)</f>
        <v>0</v>
      </c>
      <c r="Y318" s="52">
        <f ca="1">Log_2018[[#This Row],[Amount]]/Log_2018[[#This Row],[Split_raw]]*MAX(0,MIN(_xlfn.DAYS(EDATE(Y$1,1),Log_2018[[#This Row],[Date]]),Log_2018[[#This Row],[Split_apply]])) - SUM($O318:X318)</f>
        <v>0</v>
      </c>
      <c r="Z318" s="52">
        <f ca="1">Log_2018[[#This Row],[Amount]]/Log_2018[[#This Row],[Split_raw]]*MAX(0,MIN(_xlfn.DAYS(EDATE(Z$1,1),Log_2018[[#This Row],[Date]]),Log_2018[[#This Row],[Split_apply]])) - SUM($O318:Y318)</f>
        <v>0</v>
      </c>
      <c r="AA318" s="52">
        <f ca="1">Log_2018[[#This Row],[Amount]]/Log_2018[[#This Row],[Split_raw]]*MAX(0,MIN(_xlfn.DAYS(EDATE(AA$1,1),Log_2018[[#This Row],[Date]]),Log_2018[[#This Row],[Split_apply]])) - SUM($O318:Z318)</f>
        <v>0</v>
      </c>
      <c r="AB318" s="54">
        <f ca="1">Log_2018[[#This Row],[Amount]]-SUM(O318:AA318)</f>
        <v>0</v>
      </c>
      <c r="AC318" s="7">
        <f ca="1">MAX(0,Log_2018[[#This Row],[Split_apply]] - (EDATE(AA$1,1)-Log_2018[[#This Row],[Date]]))</f>
        <v>0</v>
      </c>
    </row>
    <row r="319" spans="1:29" hidden="1" x14ac:dyDescent="0.25">
      <c r="A319" s="115"/>
      <c r="B319" t="s">
        <v>6</v>
      </c>
      <c r="D319" s="26">
        <v>43322</v>
      </c>
      <c r="E319" t="s">
        <v>1041</v>
      </c>
      <c r="F319" t="s">
        <v>318</v>
      </c>
      <c r="G319" t="s">
        <v>25</v>
      </c>
      <c r="H319" s="3">
        <v>-14.87</v>
      </c>
      <c r="I319" s="36">
        <f>IF(Log_2018[[#This Row],[My Category]]="NONTRACKED",0,Log_2018[[#This Row],[Raw Amount]])</f>
        <v>-14.87</v>
      </c>
      <c r="J319" s="17">
        <f>ABS(Log_2018[[#This Row],[Amount]])</f>
        <v>14.87</v>
      </c>
      <c r="K319" s="66">
        <v>1</v>
      </c>
      <c r="L319" s="66">
        <f ca="1">IF(Log_2018[[#This Row],[Date]]&lt;=TODAY(), MIN(Log_2018[[#This Row],[Split_raw]], TODAY()-Log_2018[[#This Row],[Date]]+1), 0)</f>
        <v>1</v>
      </c>
      <c r="M319" t="s">
        <v>38</v>
      </c>
      <c r="N319" t="s">
        <v>158</v>
      </c>
      <c r="O319" s="50">
        <v>0</v>
      </c>
      <c r="P319" s="52">
        <f ca="1">Log_2018[[#This Row],[Amount]]/Log_2018[[#This Row],[Split_raw]]*MAX(0,MIN(_xlfn.DAYS(EDATE(P$1,1),Log_2018[[#This Row],[Date]]),Log_2018[[#This Row],[Split_apply]])) - SUM($O319:O319)</f>
        <v>0</v>
      </c>
      <c r="Q319" s="52">
        <f ca="1">Log_2018[[#This Row],[Amount]]/Log_2018[[#This Row],[Split_raw]]*MAX(0,MIN(_xlfn.DAYS(EDATE(Q$1,1),Log_2018[[#This Row],[Date]]),Log_2018[[#This Row],[Split_apply]])) - SUM($O319:P319)</f>
        <v>0</v>
      </c>
      <c r="R319" s="52">
        <f ca="1">Log_2018[[#This Row],[Amount]]/Log_2018[[#This Row],[Split_raw]]*MAX(0,MIN(_xlfn.DAYS(EDATE(R$1,1),Log_2018[[#This Row],[Date]]),Log_2018[[#This Row],[Split_apply]])) - SUM($O319:Q319)</f>
        <v>0</v>
      </c>
      <c r="S319" s="52">
        <f ca="1">Log_2018[[#This Row],[Amount]]/Log_2018[[#This Row],[Split_raw]]*MAX(0,MIN(_xlfn.DAYS(EDATE(S$1,1),Log_2018[[#This Row],[Date]]),Log_2018[[#This Row],[Split_apply]])) - SUM($O319:R319)</f>
        <v>0</v>
      </c>
      <c r="T319" s="52">
        <f ca="1">Log_2018[[#This Row],[Amount]]/Log_2018[[#This Row],[Split_raw]]*MAX(0,MIN(_xlfn.DAYS(EDATE(T$1,1),Log_2018[[#This Row],[Date]]),Log_2018[[#This Row],[Split_apply]])) - SUM($O319:S319)</f>
        <v>0</v>
      </c>
      <c r="U319" s="52">
        <f ca="1">Log_2018[[#This Row],[Amount]]/Log_2018[[#This Row],[Split_raw]]*MAX(0,MIN(_xlfn.DAYS(EDATE(U$1,1),Log_2018[[#This Row],[Date]]),Log_2018[[#This Row],[Split_apply]])) - SUM($O319:T319)</f>
        <v>0</v>
      </c>
      <c r="V319" s="52">
        <f ca="1">Log_2018[[#This Row],[Amount]]/Log_2018[[#This Row],[Split_raw]]*MAX(0,MIN(_xlfn.DAYS(EDATE(V$1,1),Log_2018[[#This Row],[Date]]),Log_2018[[#This Row],[Split_apply]])) - SUM($O319:U319)</f>
        <v>0</v>
      </c>
      <c r="W319" s="52">
        <f ca="1">Log_2018[[#This Row],[Amount]]/Log_2018[[#This Row],[Split_raw]]*MAX(0,MIN(_xlfn.DAYS(EDATE(W$1,1),Log_2018[[#This Row],[Date]]),Log_2018[[#This Row],[Split_apply]])) - SUM($O319:V319)</f>
        <v>-14.87</v>
      </c>
      <c r="X319" s="52">
        <f ca="1">Log_2018[[#This Row],[Amount]]/Log_2018[[#This Row],[Split_raw]]*MAX(0,MIN(_xlfn.DAYS(EDATE(X$1,1),Log_2018[[#This Row],[Date]]),Log_2018[[#This Row],[Split_apply]])) - SUM($O319:W319)</f>
        <v>0</v>
      </c>
      <c r="Y319" s="52">
        <f ca="1">Log_2018[[#This Row],[Amount]]/Log_2018[[#This Row],[Split_raw]]*MAX(0,MIN(_xlfn.DAYS(EDATE(Y$1,1),Log_2018[[#This Row],[Date]]),Log_2018[[#This Row],[Split_apply]])) - SUM($O319:X319)</f>
        <v>0</v>
      </c>
      <c r="Z319" s="52">
        <f ca="1">Log_2018[[#This Row],[Amount]]/Log_2018[[#This Row],[Split_raw]]*MAX(0,MIN(_xlfn.DAYS(EDATE(Z$1,1),Log_2018[[#This Row],[Date]]),Log_2018[[#This Row],[Split_apply]])) - SUM($O319:Y319)</f>
        <v>0</v>
      </c>
      <c r="AA319" s="52">
        <f ca="1">Log_2018[[#This Row],[Amount]]/Log_2018[[#This Row],[Split_raw]]*MAX(0,MIN(_xlfn.DAYS(EDATE(AA$1,1),Log_2018[[#This Row],[Date]]),Log_2018[[#This Row],[Split_apply]])) - SUM($O319:Z319)</f>
        <v>0</v>
      </c>
      <c r="AB319" s="54">
        <f ca="1">Log_2018[[#This Row],[Amount]]-SUM(O319:AA319)</f>
        <v>0</v>
      </c>
      <c r="AC319" s="7">
        <f ca="1">MAX(0,Log_2018[[#This Row],[Split_apply]] - (EDATE(AA$1,1)-Log_2018[[#This Row],[Date]]))</f>
        <v>0</v>
      </c>
    </row>
    <row r="320" spans="1:29" hidden="1" x14ac:dyDescent="0.25">
      <c r="A320" s="115"/>
      <c r="B320" t="s">
        <v>6</v>
      </c>
      <c r="D320" s="26">
        <v>43322</v>
      </c>
      <c r="E320" t="s">
        <v>1041</v>
      </c>
      <c r="F320" t="s">
        <v>319</v>
      </c>
      <c r="G320" t="s">
        <v>27</v>
      </c>
      <c r="H320" s="3">
        <v>-275.89999999999998</v>
      </c>
      <c r="I320" s="36">
        <f>IF(Log_2018[[#This Row],[My Category]]="NONTRACKED",0,Log_2018[[#This Row],[Raw Amount]])</f>
        <v>-275.89999999999998</v>
      </c>
      <c r="J320" s="17">
        <f>ABS(Log_2018[[#This Row],[Amount]])</f>
        <v>275.89999999999998</v>
      </c>
      <c r="K320" s="66">
        <v>1</v>
      </c>
      <c r="L320" s="66">
        <f ca="1">IF(Log_2018[[#This Row],[Date]]&lt;=TODAY(), MIN(Log_2018[[#This Row],[Split_raw]], TODAY()-Log_2018[[#This Row],[Date]]+1), 0)</f>
        <v>1</v>
      </c>
      <c r="M320" t="s">
        <v>38</v>
      </c>
      <c r="N320" t="s">
        <v>158</v>
      </c>
      <c r="O320" s="50">
        <v>0</v>
      </c>
      <c r="P320" s="52">
        <f ca="1">Log_2018[[#This Row],[Amount]]/Log_2018[[#This Row],[Split_raw]]*MAX(0,MIN(_xlfn.DAYS(EDATE(P$1,1),Log_2018[[#This Row],[Date]]),Log_2018[[#This Row],[Split_apply]])) - SUM($O320:O320)</f>
        <v>0</v>
      </c>
      <c r="Q320" s="52">
        <f ca="1">Log_2018[[#This Row],[Amount]]/Log_2018[[#This Row],[Split_raw]]*MAX(0,MIN(_xlfn.DAYS(EDATE(Q$1,1),Log_2018[[#This Row],[Date]]),Log_2018[[#This Row],[Split_apply]])) - SUM($O320:P320)</f>
        <v>0</v>
      </c>
      <c r="R320" s="52">
        <f ca="1">Log_2018[[#This Row],[Amount]]/Log_2018[[#This Row],[Split_raw]]*MAX(0,MIN(_xlfn.DAYS(EDATE(R$1,1),Log_2018[[#This Row],[Date]]),Log_2018[[#This Row],[Split_apply]])) - SUM($O320:Q320)</f>
        <v>0</v>
      </c>
      <c r="S320" s="52">
        <f ca="1">Log_2018[[#This Row],[Amount]]/Log_2018[[#This Row],[Split_raw]]*MAX(0,MIN(_xlfn.DAYS(EDATE(S$1,1),Log_2018[[#This Row],[Date]]),Log_2018[[#This Row],[Split_apply]])) - SUM($O320:R320)</f>
        <v>0</v>
      </c>
      <c r="T320" s="52">
        <f ca="1">Log_2018[[#This Row],[Amount]]/Log_2018[[#This Row],[Split_raw]]*MAX(0,MIN(_xlfn.DAYS(EDATE(T$1,1),Log_2018[[#This Row],[Date]]),Log_2018[[#This Row],[Split_apply]])) - SUM($O320:S320)</f>
        <v>0</v>
      </c>
      <c r="U320" s="52">
        <f ca="1">Log_2018[[#This Row],[Amount]]/Log_2018[[#This Row],[Split_raw]]*MAX(0,MIN(_xlfn.DAYS(EDATE(U$1,1),Log_2018[[#This Row],[Date]]),Log_2018[[#This Row],[Split_apply]])) - SUM($O320:T320)</f>
        <v>0</v>
      </c>
      <c r="V320" s="52">
        <f ca="1">Log_2018[[#This Row],[Amount]]/Log_2018[[#This Row],[Split_raw]]*MAX(0,MIN(_xlfn.DAYS(EDATE(V$1,1),Log_2018[[#This Row],[Date]]),Log_2018[[#This Row],[Split_apply]])) - SUM($O320:U320)</f>
        <v>0</v>
      </c>
      <c r="W320" s="52">
        <f ca="1">Log_2018[[#This Row],[Amount]]/Log_2018[[#This Row],[Split_raw]]*MAX(0,MIN(_xlfn.DAYS(EDATE(W$1,1),Log_2018[[#This Row],[Date]]),Log_2018[[#This Row],[Split_apply]])) - SUM($O320:V320)</f>
        <v>-275.89999999999998</v>
      </c>
      <c r="X320" s="52">
        <f ca="1">Log_2018[[#This Row],[Amount]]/Log_2018[[#This Row],[Split_raw]]*MAX(0,MIN(_xlfn.DAYS(EDATE(X$1,1),Log_2018[[#This Row],[Date]]),Log_2018[[#This Row],[Split_apply]])) - SUM($O320:W320)</f>
        <v>0</v>
      </c>
      <c r="Y320" s="52">
        <f ca="1">Log_2018[[#This Row],[Amount]]/Log_2018[[#This Row],[Split_raw]]*MAX(0,MIN(_xlfn.DAYS(EDATE(Y$1,1),Log_2018[[#This Row],[Date]]),Log_2018[[#This Row],[Split_apply]])) - SUM($O320:X320)</f>
        <v>0</v>
      </c>
      <c r="Z320" s="52">
        <f ca="1">Log_2018[[#This Row],[Amount]]/Log_2018[[#This Row],[Split_raw]]*MAX(0,MIN(_xlfn.DAYS(EDATE(Z$1,1),Log_2018[[#This Row],[Date]]),Log_2018[[#This Row],[Split_apply]])) - SUM($O320:Y320)</f>
        <v>0</v>
      </c>
      <c r="AA320" s="52">
        <f ca="1">Log_2018[[#This Row],[Amount]]/Log_2018[[#This Row],[Split_raw]]*MAX(0,MIN(_xlfn.DAYS(EDATE(AA$1,1),Log_2018[[#This Row],[Date]]),Log_2018[[#This Row],[Split_apply]])) - SUM($O320:Z320)</f>
        <v>0</v>
      </c>
      <c r="AB320" s="54">
        <f ca="1">Log_2018[[#This Row],[Amount]]-SUM(O320:AA320)</f>
        <v>0</v>
      </c>
      <c r="AC320" s="7">
        <f ca="1">MAX(0,Log_2018[[#This Row],[Split_apply]] - (EDATE(AA$1,1)-Log_2018[[#This Row],[Date]]))</f>
        <v>0</v>
      </c>
    </row>
    <row r="321" spans="1:29" hidden="1" x14ac:dyDescent="0.25">
      <c r="A321" s="115"/>
      <c r="B321" t="s">
        <v>6</v>
      </c>
      <c r="D321" s="39">
        <v>43322</v>
      </c>
      <c r="E321" t="s">
        <v>1041</v>
      </c>
      <c r="F321" t="s">
        <v>320</v>
      </c>
      <c r="G321" t="s">
        <v>10</v>
      </c>
      <c r="H321" s="3">
        <v>-32.25</v>
      </c>
      <c r="I321" s="36">
        <f>IF(Log_2018[[#This Row],[My Category]]="NONTRACKED",0,Log_2018[[#This Row],[Raw Amount]])</f>
        <v>-32.25</v>
      </c>
      <c r="J321" s="17">
        <f>ABS(Log_2018[[#This Row],[Amount]])</f>
        <v>32.25</v>
      </c>
      <c r="K321" s="66">
        <v>1</v>
      </c>
      <c r="L321" s="66">
        <f ca="1">IF(Log_2018[[#This Row],[Date]]&lt;=TODAY(), MIN(Log_2018[[#This Row],[Split_raw]], TODAY()-Log_2018[[#This Row],[Date]]+1), 0)</f>
        <v>1</v>
      </c>
      <c r="M321" t="s">
        <v>38</v>
      </c>
      <c r="N321" t="s">
        <v>158</v>
      </c>
      <c r="O321" s="50">
        <v>0</v>
      </c>
      <c r="P321" s="52">
        <f ca="1">Log_2018[[#This Row],[Amount]]/Log_2018[[#This Row],[Split_raw]]*MAX(0,MIN(_xlfn.DAYS(EDATE(P$1,1),Log_2018[[#This Row],[Date]]),Log_2018[[#This Row],[Split_apply]])) - SUM($O321:O321)</f>
        <v>0</v>
      </c>
      <c r="Q321" s="52">
        <f ca="1">Log_2018[[#This Row],[Amount]]/Log_2018[[#This Row],[Split_raw]]*MAX(0,MIN(_xlfn.DAYS(EDATE(Q$1,1),Log_2018[[#This Row],[Date]]),Log_2018[[#This Row],[Split_apply]])) - SUM($O321:P321)</f>
        <v>0</v>
      </c>
      <c r="R321" s="52">
        <f ca="1">Log_2018[[#This Row],[Amount]]/Log_2018[[#This Row],[Split_raw]]*MAX(0,MIN(_xlfn.DAYS(EDATE(R$1,1),Log_2018[[#This Row],[Date]]),Log_2018[[#This Row],[Split_apply]])) - SUM($O321:Q321)</f>
        <v>0</v>
      </c>
      <c r="S321" s="52">
        <f ca="1">Log_2018[[#This Row],[Amount]]/Log_2018[[#This Row],[Split_raw]]*MAX(0,MIN(_xlfn.DAYS(EDATE(S$1,1),Log_2018[[#This Row],[Date]]),Log_2018[[#This Row],[Split_apply]])) - SUM($O321:R321)</f>
        <v>0</v>
      </c>
      <c r="T321" s="52">
        <f ca="1">Log_2018[[#This Row],[Amount]]/Log_2018[[#This Row],[Split_raw]]*MAX(0,MIN(_xlfn.DAYS(EDATE(T$1,1),Log_2018[[#This Row],[Date]]),Log_2018[[#This Row],[Split_apply]])) - SUM($O321:S321)</f>
        <v>0</v>
      </c>
      <c r="U321" s="52">
        <f ca="1">Log_2018[[#This Row],[Amount]]/Log_2018[[#This Row],[Split_raw]]*MAX(0,MIN(_xlfn.DAYS(EDATE(U$1,1),Log_2018[[#This Row],[Date]]),Log_2018[[#This Row],[Split_apply]])) - SUM($O321:T321)</f>
        <v>0</v>
      </c>
      <c r="V321" s="52">
        <f ca="1">Log_2018[[#This Row],[Amount]]/Log_2018[[#This Row],[Split_raw]]*MAX(0,MIN(_xlfn.DAYS(EDATE(V$1,1),Log_2018[[#This Row],[Date]]),Log_2018[[#This Row],[Split_apply]])) - SUM($O321:U321)</f>
        <v>0</v>
      </c>
      <c r="W321" s="52">
        <f ca="1">Log_2018[[#This Row],[Amount]]/Log_2018[[#This Row],[Split_raw]]*MAX(0,MIN(_xlfn.DAYS(EDATE(W$1,1),Log_2018[[#This Row],[Date]]),Log_2018[[#This Row],[Split_apply]])) - SUM($O321:V321)</f>
        <v>-32.25</v>
      </c>
      <c r="X321" s="52">
        <f ca="1">Log_2018[[#This Row],[Amount]]/Log_2018[[#This Row],[Split_raw]]*MAX(0,MIN(_xlfn.DAYS(EDATE(X$1,1),Log_2018[[#This Row],[Date]]),Log_2018[[#This Row],[Split_apply]])) - SUM($O321:W321)</f>
        <v>0</v>
      </c>
      <c r="Y321" s="52">
        <f ca="1">Log_2018[[#This Row],[Amount]]/Log_2018[[#This Row],[Split_raw]]*MAX(0,MIN(_xlfn.DAYS(EDATE(Y$1,1),Log_2018[[#This Row],[Date]]),Log_2018[[#This Row],[Split_apply]])) - SUM($O321:X321)</f>
        <v>0</v>
      </c>
      <c r="Z321" s="52">
        <f ca="1">Log_2018[[#This Row],[Amount]]/Log_2018[[#This Row],[Split_raw]]*MAX(0,MIN(_xlfn.DAYS(EDATE(Z$1,1),Log_2018[[#This Row],[Date]]),Log_2018[[#This Row],[Split_apply]])) - SUM($O321:Y321)</f>
        <v>0</v>
      </c>
      <c r="AA321" s="52">
        <f ca="1">Log_2018[[#This Row],[Amount]]/Log_2018[[#This Row],[Split_raw]]*MAX(0,MIN(_xlfn.DAYS(EDATE(AA$1,1),Log_2018[[#This Row],[Date]]),Log_2018[[#This Row],[Split_apply]])) - SUM($O321:Z321)</f>
        <v>0</v>
      </c>
      <c r="AB321" s="54">
        <f ca="1">Log_2018[[#This Row],[Amount]]-SUM(O321:AA321)</f>
        <v>0</v>
      </c>
      <c r="AC321" s="7">
        <f ca="1">MAX(0,Log_2018[[#This Row],[Split_apply]] - (EDATE(AA$1,1)-Log_2018[[#This Row],[Date]]))</f>
        <v>0</v>
      </c>
    </row>
    <row r="322" spans="1:29" hidden="1" x14ac:dyDescent="0.25">
      <c r="A322" s="115"/>
      <c r="B322" t="s">
        <v>6</v>
      </c>
      <c r="D322" s="39">
        <v>43322</v>
      </c>
      <c r="E322" t="s">
        <v>250</v>
      </c>
      <c r="F322" t="s">
        <v>243</v>
      </c>
      <c r="G322" t="s">
        <v>143</v>
      </c>
      <c r="H322" s="3">
        <v>-10.81</v>
      </c>
      <c r="I322" s="36">
        <f>IF(Log_2018[[#This Row],[My Category]]="NONTRACKED",0,Log_2018[[#This Row],[Raw Amount]])</f>
        <v>-10.81</v>
      </c>
      <c r="J322" s="17">
        <f>ABS(Log_2018[[#This Row],[Amount]])</f>
        <v>10.81</v>
      </c>
      <c r="K322" s="66">
        <v>30</v>
      </c>
      <c r="L322" s="66">
        <f ca="1">IF(Log_2018[[#This Row],[Date]]&lt;=TODAY(), MIN(Log_2018[[#This Row],[Split_raw]], TODAY()-Log_2018[[#This Row],[Date]]+1), 0)</f>
        <v>30</v>
      </c>
      <c r="M322" t="s">
        <v>53</v>
      </c>
      <c r="N322" t="s">
        <v>160</v>
      </c>
      <c r="O322" s="50">
        <v>0</v>
      </c>
      <c r="P322" s="52">
        <f ca="1">Log_2018[[#This Row],[Amount]]/Log_2018[[#This Row],[Split_raw]]*MAX(0,MIN(_xlfn.DAYS(EDATE(P$1,1),Log_2018[[#This Row],[Date]]),Log_2018[[#This Row],[Split_apply]])) - SUM($O322:O322)</f>
        <v>0</v>
      </c>
      <c r="Q322" s="52">
        <f ca="1">Log_2018[[#This Row],[Amount]]/Log_2018[[#This Row],[Split_raw]]*MAX(0,MIN(_xlfn.DAYS(EDATE(Q$1,1),Log_2018[[#This Row],[Date]]),Log_2018[[#This Row],[Split_apply]])) - SUM($O322:P322)</f>
        <v>0</v>
      </c>
      <c r="R322" s="52">
        <f ca="1">Log_2018[[#This Row],[Amount]]/Log_2018[[#This Row],[Split_raw]]*MAX(0,MIN(_xlfn.DAYS(EDATE(R$1,1),Log_2018[[#This Row],[Date]]),Log_2018[[#This Row],[Split_apply]])) - SUM($O322:Q322)</f>
        <v>0</v>
      </c>
      <c r="S322" s="52">
        <f ca="1">Log_2018[[#This Row],[Amount]]/Log_2018[[#This Row],[Split_raw]]*MAX(0,MIN(_xlfn.DAYS(EDATE(S$1,1),Log_2018[[#This Row],[Date]]),Log_2018[[#This Row],[Split_apply]])) - SUM($O322:R322)</f>
        <v>0</v>
      </c>
      <c r="T322" s="52">
        <f ca="1">Log_2018[[#This Row],[Amount]]/Log_2018[[#This Row],[Split_raw]]*MAX(0,MIN(_xlfn.DAYS(EDATE(T$1,1),Log_2018[[#This Row],[Date]]),Log_2018[[#This Row],[Split_apply]])) - SUM($O322:S322)</f>
        <v>0</v>
      </c>
      <c r="U322" s="52">
        <f ca="1">Log_2018[[#This Row],[Amount]]/Log_2018[[#This Row],[Split_raw]]*MAX(0,MIN(_xlfn.DAYS(EDATE(U$1,1),Log_2018[[#This Row],[Date]]),Log_2018[[#This Row],[Split_apply]])) - SUM($O322:T322)</f>
        <v>0</v>
      </c>
      <c r="V322" s="52">
        <f ca="1">Log_2018[[#This Row],[Amount]]/Log_2018[[#This Row],[Split_raw]]*MAX(0,MIN(_xlfn.DAYS(EDATE(V$1,1),Log_2018[[#This Row],[Date]]),Log_2018[[#This Row],[Split_apply]])) - SUM($O322:U322)</f>
        <v>0</v>
      </c>
      <c r="W322" s="52">
        <f ca="1">Log_2018[[#This Row],[Amount]]/Log_2018[[#This Row],[Split_raw]]*MAX(0,MIN(_xlfn.DAYS(EDATE(W$1,1),Log_2018[[#This Row],[Date]]),Log_2018[[#This Row],[Split_apply]])) - SUM($O322:V322)</f>
        <v>-7.9273333333333333</v>
      </c>
      <c r="X322" s="52">
        <f ca="1">Log_2018[[#This Row],[Amount]]/Log_2018[[#This Row],[Split_raw]]*MAX(0,MIN(_xlfn.DAYS(EDATE(X$1,1),Log_2018[[#This Row],[Date]]),Log_2018[[#This Row],[Split_apply]])) - SUM($O322:W322)</f>
        <v>-2.8826666666666672</v>
      </c>
      <c r="Y322" s="52">
        <f ca="1">Log_2018[[#This Row],[Amount]]/Log_2018[[#This Row],[Split_raw]]*MAX(0,MIN(_xlfn.DAYS(EDATE(Y$1,1),Log_2018[[#This Row],[Date]]),Log_2018[[#This Row],[Split_apply]])) - SUM($O322:X322)</f>
        <v>0</v>
      </c>
      <c r="Z322" s="52">
        <f ca="1">Log_2018[[#This Row],[Amount]]/Log_2018[[#This Row],[Split_raw]]*MAX(0,MIN(_xlfn.DAYS(EDATE(Z$1,1),Log_2018[[#This Row],[Date]]),Log_2018[[#This Row],[Split_apply]])) - SUM($O322:Y322)</f>
        <v>0</v>
      </c>
      <c r="AA322" s="52">
        <f ca="1">Log_2018[[#This Row],[Amount]]/Log_2018[[#This Row],[Split_raw]]*MAX(0,MIN(_xlfn.DAYS(EDATE(AA$1,1),Log_2018[[#This Row],[Date]]),Log_2018[[#This Row],[Split_apply]])) - SUM($O322:Z322)</f>
        <v>0</v>
      </c>
      <c r="AB322" s="54">
        <f ca="1">Log_2018[[#This Row],[Amount]]-SUM(O322:AA322)</f>
        <v>0</v>
      </c>
      <c r="AC322" s="7">
        <f ca="1">MAX(0,Log_2018[[#This Row],[Split_apply]] - (EDATE(AA$1,1)-Log_2018[[#This Row],[Date]]))</f>
        <v>0</v>
      </c>
    </row>
    <row r="323" spans="1:29" hidden="1" x14ac:dyDescent="0.25">
      <c r="A323" s="115"/>
      <c r="B323" t="s">
        <v>6</v>
      </c>
      <c r="D323" s="39">
        <v>43321</v>
      </c>
      <c r="E323" t="s">
        <v>1041</v>
      </c>
      <c r="F323" t="s">
        <v>321</v>
      </c>
      <c r="G323" t="s">
        <v>25</v>
      </c>
      <c r="H323" s="3">
        <v>-4.25</v>
      </c>
      <c r="I323" s="36">
        <f>IF(Log_2018[[#This Row],[My Category]]="NONTRACKED",0,Log_2018[[#This Row],[Raw Amount]])</f>
        <v>-4.25</v>
      </c>
      <c r="J323" s="17">
        <f>ABS(Log_2018[[#This Row],[Amount]])</f>
        <v>4.25</v>
      </c>
      <c r="K323" s="66">
        <v>1</v>
      </c>
      <c r="L323" s="66">
        <f ca="1">IF(Log_2018[[#This Row],[Date]]&lt;=TODAY(), MIN(Log_2018[[#This Row],[Split_raw]], TODAY()-Log_2018[[#This Row],[Date]]+1), 0)</f>
        <v>1</v>
      </c>
      <c r="M323" t="s">
        <v>38</v>
      </c>
      <c r="N323" t="s">
        <v>158</v>
      </c>
      <c r="O323" s="50">
        <v>0</v>
      </c>
      <c r="P323" s="52">
        <f ca="1">Log_2018[[#This Row],[Amount]]/Log_2018[[#This Row],[Split_raw]]*MAX(0,MIN(_xlfn.DAYS(EDATE(P$1,1),Log_2018[[#This Row],[Date]]),Log_2018[[#This Row],[Split_apply]])) - SUM($O323:O323)</f>
        <v>0</v>
      </c>
      <c r="Q323" s="52">
        <f ca="1">Log_2018[[#This Row],[Amount]]/Log_2018[[#This Row],[Split_raw]]*MAX(0,MIN(_xlfn.DAYS(EDATE(Q$1,1),Log_2018[[#This Row],[Date]]),Log_2018[[#This Row],[Split_apply]])) - SUM($O323:P323)</f>
        <v>0</v>
      </c>
      <c r="R323" s="52">
        <f ca="1">Log_2018[[#This Row],[Amount]]/Log_2018[[#This Row],[Split_raw]]*MAX(0,MIN(_xlfn.DAYS(EDATE(R$1,1),Log_2018[[#This Row],[Date]]),Log_2018[[#This Row],[Split_apply]])) - SUM($O323:Q323)</f>
        <v>0</v>
      </c>
      <c r="S323" s="52">
        <f ca="1">Log_2018[[#This Row],[Amount]]/Log_2018[[#This Row],[Split_raw]]*MAX(0,MIN(_xlfn.DAYS(EDATE(S$1,1),Log_2018[[#This Row],[Date]]),Log_2018[[#This Row],[Split_apply]])) - SUM($O323:R323)</f>
        <v>0</v>
      </c>
      <c r="T323" s="52">
        <f ca="1">Log_2018[[#This Row],[Amount]]/Log_2018[[#This Row],[Split_raw]]*MAX(0,MIN(_xlfn.DAYS(EDATE(T$1,1),Log_2018[[#This Row],[Date]]),Log_2018[[#This Row],[Split_apply]])) - SUM($O323:S323)</f>
        <v>0</v>
      </c>
      <c r="U323" s="52">
        <f ca="1">Log_2018[[#This Row],[Amount]]/Log_2018[[#This Row],[Split_raw]]*MAX(0,MIN(_xlfn.DAYS(EDATE(U$1,1),Log_2018[[#This Row],[Date]]),Log_2018[[#This Row],[Split_apply]])) - SUM($O323:T323)</f>
        <v>0</v>
      </c>
      <c r="V323" s="52">
        <f ca="1">Log_2018[[#This Row],[Amount]]/Log_2018[[#This Row],[Split_raw]]*MAX(0,MIN(_xlfn.DAYS(EDATE(V$1,1),Log_2018[[#This Row],[Date]]),Log_2018[[#This Row],[Split_apply]])) - SUM($O323:U323)</f>
        <v>0</v>
      </c>
      <c r="W323" s="52">
        <f ca="1">Log_2018[[#This Row],[Amount]]/Log_2018[[#This Row],[Split_raw]]*MAX(0,MIN(_xlfn.DAYS(EDATE(W$1,1),Log_2018[[#This Row],[Date]]),Log_2018[[#This Row],[Split_apply]])) - SUM($O323:V323)</f>
        <v>-4.25</v>
      </c>
      <c r="X323" s="52">
        <f ca="1">Log_2018[[#This Row],[Amount]]/Log_2018[[#This Row],[Split_raw]]*MAX(0,MIN(_xlfn.DAYS(EDATE(X$1,1),Log_2018[[#This Row],[Date]]),Log_2018[[#This Row],[Split_apply]])) - SUM($O323:W323)</f>
        <v>0</v>
      </c>
      <c r="Y323" s="52">
        <f ca="1">Log_2018[[#This Row],[Amount]]/Log_2018[[#This Row],[Split_raw]]*MAX(0,MIN(_xlfn.DAYS(EDATE(Y$1,1),Log_2018[[#This Row],[Date]]),Log_2018[[#This Row],[Split_apply]])) - SUM($O323:X323)</f>
        <v>0</v>
      </c>
      <c r="Z323" s="52">
        <f ca="1">Log_2018[[#This Row],[Amount]]/Log_2018[[#This Row],[Split_raw]]*MAX(0,MIN(_xlfn.DAYS(EDATE(Z$1,1),Log_2018[[#This Row],[Date]]),Log_2018[[#This Row],[Split_apply]])) - SUM($O323:Y323)</f>
        <v>0</v>
      </c>
      <c r="AA323" s="52">
        <f ca="1">Log_2018[[#This Row],[Amount]]/Log_2018[[#This Row],[Split_raw]]*MAX(0,MIN(_xlfn.DAYS(EDATE(AA$1,1),Log_2018[[#This Row],[Date]]),Log_2018[[#This Row],[Split_apply]])) - SUM($O323:Z323)</f>
        <v>0</v>
      </c>
      <c r="AB323" s="54">
        <f ca="1">Log_2018[[#This Row],[Amount]]-SUM(O323:AA323)</f>
        <v>0</v>
      </c>
      <c r="AC323" s="7">
        <f ca="1">MAX(0,Log_2018[[#This Row],[Split_apply]] - (EDATE(AA$1,1)-Log_2018[[#This Row],[Date]]))</f>
        <v>0</v>
      </c>
    </row>
    <row r="324" spans="1:29" hidden="1" x14ac:dyDescent="0.25">
      <c r="A324" s="115"/>
      <c r="B324" t="s">
        <v>6</v>
      </c>
      <c r="D324" s="39">
        <v>43321</v>
      </c>
      <c r="E324" t="s">
        <v>341</v>
      </c>
      <c r="F324" t="s">
        <v>332</v>
      </c>
      <c r="G324" t="s">
        <v>143</v>
      </c>
      <c r="H324" s="3">
        <v>-20</v>
      </c>
      <c r="I324" s="36">
        <f>IF(Log_2018[[#This Row],[My Category]]="NONTRACKED",0,Log_2018[[#This Row],[Raw Amount]])</f>
        <v>-20</v>
      </c>
      <c r="J324" s="17">
        <f>ABS(Log_2018[[#This Row],[Amount]])</f>
        <v>20</v>
      </c>
      <c r="K324" s="66">
        <v>1</v>
      </c>
      <c r="L324" s="66">
        <f ca="1">IF(Log_2018[[#This Row],[Date]]&lt;=TODAY(), MIN(Log_2018[[#This Row],[Split_raw]], TODAY()-Log_2018[[#This Row],[Date]]+1), 0)</f>
        <v>1</v>
      </c>
      <c r="M324" t="s">
        <v>147</v>
      </c>
      <c r="N324" t="s">
        <v>160</v>
      </c>
      <c r="O324" s="50">
        <v>0</v>
      </c>
      <c r="P324" s="52">
        <f ca="1">Log_2018[[#This Row],[Amount]]/Log_2018[[#This Row],[Split_raw]]*MAX(0,MIN(_xlfn.DAYS(EDATE(P$1,1),Log_2018[[#This Row],[Date]]),Log_2018[[#This Row],[Split_apply]])) - SUM($O324:O324)</f>
        <v>0</v>
      </c>
      <c r="Q324" s="52">
        <f ca="1">Log_2018[[#This Row],[Amount]]/Log_2018[[#This Row],[Split_raw]]*MAX(0,MIN(_xlfn.DAYS(EDATE(Q$1,1),Log_2018[[#This Row],[Date]]),Log_2018[[#This Row],[Split_apply]])) - SUM($O324:P324)</f>
        <v>0</v>
      </c>
      <c r="R324" s="52">
        <f ca="1">Log_2018[[#This Row],[Amount]]/Log_2018[[#This Row],[Split_raw]]*MAX(0,MIN(_xlfn.DAYS(EDATE(R$1,1),Log_2018[[#This Row],[Date]]),Log_2018[[#This Row],[Split_apply]])) - SUM($O324:Q324)</f>
        <v>0</v>
      </c>
      <c r="S324" s="52">
        <f ca="1">Log_2018[[#This Row],[Amount]]/Log_2018[[#This Row],[Split_raw]]*MAX(0,MIN(_xlfn.DAYS(EDATE(S$1,1),Log_2018[[#This Row],[Date]]),Log_2018[[#This Row],[Split_apply]])) - SUM($O324:R324)</f>
        <v>0</v>
      </c>
      <c r="T324" s="52">
        <f ca="1">Log_2018[[#This Row],[Amount]]/Log_2018[[#This Row],[Split_raw]]*MAX(0,MIN(_xlfn.DAYS(EDATE(T$1,1),Log_2018[[#This Row],[Date]]),Log_2018[[#This Row],[Split_apply]])) - SUM($O324:S324)</f>
        <v>0</v>
      </c>
      <c r="U324" s="52">
        <f ca="1">Log_2018[[#This Row],[Amount]]/Log_2018[[#This Row],[Split_raw]]*MAX(0,MIN(_xlfn.DAYS(EDATE(U$1,1),Log_2018[[#This Row],[Date]]),Log_2018[[#This Row],[Split_apply]])) - SUM($O324:T324)</f>
        <v>0</v>
      </c>
      <c r="V324" s="52">
        <f ca="1">Log_2018[[#This Row],[Amount]]/Log_2018[[#This Row],[Split_raw]]*MAX(0,MIN(_xlfn.DAYS(EDATE(V$1,1),Log_2018[[#This Row],[Date]]),Log_2018[[#This Row],[Split_apply]])) - SUM($O324:U324)</f>
        <v>0</v>
      </c>
      <c r="W324" s="52">
        <f ca="1">Log_2018[[#This Row],[Amount]]/Log_2018[[#This Row],[Split_raw]]*MAX(0,MIN(_xlfn.DAYS(EDATE(W$1,1),Log_2018[[#This Row],[Date]]),Log_2018[[#This Row],[Split_apply]])) - SUM($O324:V324)</f>
        <v>-20</v>
      </c>
      <c r="X324" s="52">
        <f ca="1">Log_2018[[#This Row],[Amount]]/Log_2018[[#This Row],[Split_raw]]*MAX(0,MIN(_xlfn.DAYS(EDATE(X$1,1),Log_2018[[#This Row],[Date]]),Log_2018[[#This Row],[Split_apply]])) - SUM($O324:W324)</f>
        <v>0</v>
      </c>
      <c r="Y324" s="52">
        <f ca="1">Log_2018[[#This Row],[Amount]]/Log_2018[[#This Row],[Split_raw]]*MAX(0,MIN(_xlfn.DAYS(EDATE(Y$1,1),Log_2018[[#This Row],[Date]]),Log_2018[[#This Row],[Split_apply]])) - SUM($O324:X324)</f>
        <v>0</v>
      </c>
      <c r="Z324" s="52">
        <f ca="1">Log_2018[[#This Row],[Amount]]/Log_2018[[#This Row],[Split_raw]]*MAX(0,MIN(_xlfn.DAYS(EDATE(Z$1,1),Log_2018[[#This Row],[Date]]),Log_2018[[#This Row],[Split_apply]])) - SUM($O324:Y324)</f>
        <v>0</v>
      </c>
      <c r="AA324" s="52">
        <f ca="1">Log_2018[[#This Row],[Amount]]/Log_2018[[#This Row],[Split_raw]]*MAX(0,MIN(_xlfn.DAYS(EDATE(AA$1,1),Log_2018[[#This Row],[Date]]),Log_2018[[#This Row],[Split_apply]])) - SUM($O324:Z324)</f>
        <v>0</v>
      </c>
      <c r="AB324" s="54">
        <f ca="1">Log_2018[[#This Row],[Amount]]-SUM(O324:AA324)</f>
        <v>0</v>
      </c>
      <c r="AC324" s="7">
        <f ca="1">MAX(0,Log_2018[[#This Row],[Split_apply]] - (EDATE(AA$1,1)-Log_2018[[#This Row],[Date]]))</f>
        <v>0</v>
      </c>
    </row>
    <row r="325" spans="1:29" hidden="1" x14ac:dyDescent="0.25">
      <c r="A325" s="115"/>
      <c r="B325" t="s">
        <v>6</v>
      </c>
      <c r="D325" s="39">
        <v>43320</v>
      </c>
      <c r="E325" t="s">
        <v>1041</v>
      </c>
      <c r="F325" t="s">
        <v>322</v>
      </c>
      <c r="G325" t="s">
        <v>25</v>
      </c>
      <c r="H325" s="3">
        <v>-18.57</v>
      </c>
      <c r="I325" s="36">
        <f>IF(Log_2018[[#This Row],[My Category]]="NONTRACKED",0,Log_2018[[#This Row],[Raw Amount]])</f>
        <v>-18.57</v>
      </c>
      <c r="J325" s="17">
        <f>ABS(Log_2018[[#This Row],[Amount]])</f>
        <v>18.57</v>
      </c>
      <c r="K325" s="66">
        <v>1</v>
      </c>
      <c r="L325" s="66">
        <f ca="1">IF(Log_2018[[#This Row],[Date]]&lt;=TODAY(), MIN(Log_2018[[#This Row],[Split_raw]], TODAY()-Log_2018[[#This Row],[Date]]+1), 0)</f>
        <v>1</v>
      </c>
      <c r="M325" t="s">
        <v>38</v>
      </c>
      <c r="N325" t="s">
        <v>158</v>
      </c>
      <c r="O325" s="50">
        <v>0</v>
      </c>
      <c r="P325" s="52">
        <f ca="1">Log_2018[[#This Row],[Amount]]/Log_2018[[#This Row],[Split_raw]]*MAX(0,MIN(_xlfn.DAYS(EDATE(P$1,1),Log_2018[[#This Row],[Date]]),Log_2018[[#This Row],[Split_apply]])) - SUM($O325:O325)</f>
        <v>0</v>
      </c>
      <c r="Q325" s="52">
        <f ca="1">Log_2018[[#This Row],[Amount]]/Log_2018[[#This Row],[Split_raw]]*MAX(0,MIN(_xlfn.DAYS(EDATE(Q$1,1),Log_2018[[#This Row],[Date]]),Log_2018[[#This Row],[Split_apply]])) - SUM($O325:P325)</f>
        <v>0</v>
      </c>
      <c r="R325" s="52">
        <f ca="1">Log_2018[[#This Row],[Amount]]/Log_2018[[#This Row],[Split_raw]]*MAX(0,MIN(_xlfn.DAYS(EDATE(R$1,1),Log_2018[[#This Row],[Date]]),Log_2018[[#This Row],[Split_apply]])) - SUM($O325:Q325)</f>
        <v>0</v>
      </c>
      <c r="S325" s="52">
        <f ca="1">Log_2018[[#This Row],[Amount]]/Log_2018[[#This Row],[Split_raw]]*MAX(0,MIN(_xlfn.DAYS(EDATE(S$1,1),Log_2018[[#This Row],[Date]]),Log_2018[[#This Row],[Split_apply]])) - SUM($O325:R325)</f>
        <v>0</v>
      </c>
      <c r="T325" s="52">
        <f ca="1">Log_2018[[#This Row],[Amount]]/Log_2018[[#This Row],[Split_raw]]*MAX(0,MIN(_xlfn.DAYS(EDATE(T$1,1),Log_2018[[#This Row],[Date]]),Log_2018[[#This Row],[Split_apply]])) - SUM($O325:S325)</f>
        <v>0</v>
      </c>
      <c r="U325" s="52">
        <f ca="1">Log_2018[[#This Row],[Amount]]/Log_2018[[#This Row],[Split_raw]]*MAX(0,MIN(_xlfn.DAYS(EDATE(U$1,1),Log_2018[[#This Row],[Date]]),Log_2018[[#This Row],[Split_apply]])) - SUM($O325:T325)</f>
        <v>0</v>
      </c>
      <c r="V325" s="52">
        <f ca="1">Log_2018[[#This Row],[Amount]]/Log_2018[[#This Row],[Split_raw]]*MAX(0,MIN(_xlfn.DAYS(EDATE(V$1,1),Log_2018[[#This Row],[Date]]),Log_2018[[#This Row],[Split_apply]])) - SUM($O325:U325)</f>
        <v>0</v>
      </c>
      <c r="W325" s="52">
        <f ca="1">Log_2018[[#This Row],[Amount]]/Log_2018[[#This Row],[Split_raw]]*MAX(0,MIN(_xlfn.DAYS(EDATE(W$1,1),Log_2018[[#This Row],[Date]]),Log_2018[[#This Row],[Split_apply]])) - SUM($O325:V325)</f>
        <v>-18.57</v>
      </c>
      <c r="X325" s="52">
        <f ca="1">Log_2018[[#This Row],[Amount]]/Log_2018[[#This Row],[Split_raw]]*MAX(0,MIN(_xlfn.DAYS(EDATE(X$1,1),Log_2018[[#This Row],[Date]]),Log_2018[[#This Row],[Split_apply]])) - SUM($O325:W325)</f>
        <v>0</v>
      </c>
      <c r="Y325" s="52">
        <f ca="1">Log_2018[[#This Row],[Amount]]/Log_2018[[#This Row],[Split_raw]]*MAX(0,MIN(_xlfn.DAYS(EDATE(Y$1,1),Log_2018[[#This Row],[Date]]),Log_2018[[#This Row],[Split_apply]])) - SUM($O325:X325)</f>
        <v>0</v>
      </c>
      <c r="Z325" s="52">
        <f ca="1">Log_2018[[#This Row],[Amount]]/Log_2018[[#This Row],[Split_raw]]*MAX(0,MIN(_xlfn.DAYS(EDATE(Z$1,1),Log_2018[[#This Row],[Date]]),Log_2018[[#This Row],[Split_apply]])) - SUM($O325:Y325)</f>
        <v>0</v>
      </c>
      <c r="AA325" s="52">
        <f ca="1">Log_2018[[#This Row],[Amount]]/Log_2018[[#This Row],[Split_raw]]*MAX(0,MIN(_xlfn.DAYS(EDATE(AA$1,1),Log_2018[[#This Row],[Date]]),Log_2018[[#This Row],[Split_apply]])) - SUM($O325:Z325)</f>
        <v>0</v>
      </c>
      <c r="AB325" s="54">
        <f ca="1">Log_2018[[#This Row],[Amount]]-SUM(O325:AA325)</f>
        <v>0</v>
      </c>
      <c r="AC325" s="7">
        <f ca="1">MAX(0,Log_2018[[#This Row],[Split_apply]] - (EDATE(AA$1,1)-Log_2018[[#This Row],[Date]]))</f>
        <v>0</v>
      </c>
    </row>
    <row r="326" spans="1:29" hidden="1" x14ac:dyDescent="0.25">
      <c r="A326" s="115"/>
      <c r="B326" t="s">
        <v>6</v>
      </c>
      <c r="D326" s="39">
        <v>43319</v>
      </c>
      <c r="E326" t="s">
        <v>1041</v>
      </c>
      <c r="F326" t="s">
        <v>323</v>
      </c>
      <c r="G326" t="s">
        <v>25</v>
      </c>
      <c r="H326" s="3">
        <v>-11.49</v>
      </c>
      <c r="I326" s="36">
        <f>IF(Log_2018[[#This Row],[My Category]]="NONTRACKED",0,Log_2018[[#This Row],[Raw Amount]])</f>
        <v>-11.49</v>
      </c>
      <c r="J326" s="17">
        <f>ABS(Log_2018[[#This Row],[Amount]])</f>
        <v>11.49</v>
      </c>
      <c r="K326" s="66">
        <v>1</v>
      </c>
      <c r="L326" s="66">
        <f ca="1">IF(Log_2018[[#This Row],[Date]]&lt;=TODAY(), MIN(Log_2018[[#This Row],[Split_raw]], TODAY()-Log_2018[[#This Row],[Date]]+1), 0)</f>
        <v>1</v>
      </c>
      <c r="M326" t="s">
        <v>38</v>
      </c>
      <c r="N326" t="s">
        <v>158</v>
      </c>
      <c r="O326" s="50">
        <v>0</v>
      </c>
      <c r="P326" s="52">
        <f ca="1">Log_2018[[#This Row],[Amount]]/Log_2018[[#This Row],[Split_raw]]*MAX(0,MIN(_xlfn.DAYS(EDATE(P$1,1),Log_2018[[#This Row],[Date]]),Log_2018[[#This Row],[Split_apply]])) - SUM($O326:O326)</f>
        <v>0</v>
      </c>
      <c r="Q326" s="52">
        <f ca="1">Log_2018[[#This Row],[Amount]]/Log_2018[[#This Row],[Split_raw]]*MAX(0,MIN(_xlfn.DAYS(EDATE(Q$1,1),Log_2018[[#This Row],[Date]]),Log_2018[[#This Row],[Split_apply]])) - SUM($O326:P326)</f>
        <v>0</v>
      </c>
      <c r="R326" s="52">
        <f ca="1">Log_2018[[#This Row],[Amount]]/Log_2018[[#This Row],[Split_raw]]*MAX(0,MIN(_xlfn.DAYS(EDATE(R$1,1),Log_2018[[#This Row],[Date]]),Log_2018[[#This Row],[Split_apply]])) - SUM($O326:Q326)</f>
        <v>0</v>
      </c>
      <c r="S326" s="52">
        <f ca="1">Log_2018[[#This Row],[Amount]]/Log_2018[[#This Row],[Split_raw]]*MAX(0,MIN(_xlfn.DAYS(EDATE(S$1,1),Log_2018[[#This Row],[Date]]),Log_2018[[#This Row],[Split_apply]])) - SUM($O326:R326)</f>
        <v>0</v>
      </c>
      <c r="T326" s="52">
        <f ca="1">Log_2018[[#This Row],[Amount]]/Log_2018[[#This Row],[Split_raw]]*MAX(0,MIN(_xlfn.DAYS(EDATE(T$1,1),Log_2018[[#This Row],[Date]]),Log_2018[[#This Row],[Split_apply]])) - SUM($O326:S326)</f>
        <v>0</v>
      </c>
      <c r="U326" s="52">
        <f ca="1">Log_2018[[#This Row],[Amount]]/Log_2018[[#This Row],[Split_raw]]*MAX(0,MIN(_xlfn.DAYS(EDATE(U$1,1),Log_2018[[#This Row],[Date]]),Log_2018[[#This Row],[Split_apply]])) - SUM($O326:T326)</f>
        <v>0</v>
      </c>
      <c r="V326" s="52">
        <f ca="1">Log_2018[[#This Row],[Amount]]/Log_2018[[#This Row],[Split_raw]]*MAX(0,MIN(_xlfn.DAYS(EDATE(V$1,1),Log_2018[[#This Row],[Date]]),Log_2018[[#This Row],[Split_apply]])) - SUM($O326:U326)</f>
        <v>0</v>
      </c>
      <c r="W326" s="52">
        <f ca="1">Log_2018[[#This Row],[Amount]]/Log_2018[[#This Row],[Split_raw]]*MAX(0,MIN(_xlfn.DAYS(EDATE(W$1,1),Log_2018[[#This Row],[Date]]),Log_2018[[#This Row],[Split_apply]])) - SUM($O326:V326)</f>
        <v>-11.49</v>
      </c>
      <c r="X326" s="52">
        <f ca="1">Log_2018[[#This Row],[Amount]]/Log_2018[[#This Row],[Split_raw]]*MAX(0,MIN(_xlfn.DAYS(EDATE(X$1,1),Log_2018[[#This Row],[Date]]),Log_2018[[#This Row],[Split_apply]])) - SUM($O326:W326)</f>
        <v>0</v>
      </c>
      <c r="Y326" s="52">
        <f ca="1">Log_2018[[#This Row],[Amount]]/Log_2018[[#This Row],[Split_raw]]*MAX(0,MIN(_xlfn.DAYS(EDATE(Y$1,1),Log_2018[[#This Row],[Date]]),Log_2018[[#This Row],[Split_apply]])) - SUM($O326:X326)</f>
        <v>0</v>
      </c>
      <c r="Z326" s="52">
        <f ca="1">Log_2018[[#This Row],[Amount]]/Log_2018[[#This Row],[Split_raw]]*MAX(0,MIN(_xlfn.DAYS(EDATE(Z$1,1),Log_2018[[#This Row],[Date]]),Log_2018[[#This Row],[Split_apply]])) - SUM($O326:Y326)</f>
        <v>0</v>
      </c>
      <c r="AA326" s="52">
        <f ca="1">Log_2018[[#This Row],[Amount]]/Log_2018[[#This Row],[Split_raw]]*MAX(0,MIN(_xlfn.DAYS(EDATE(AA$1,1),Log_2018[[#This Row],[Date]]),Log_2018[[#This Row],[Split_apply]])) - SUM($O326:Z326)</f>
        <v>0</v>
      </c>
      <c r="AB326" s="54">
        <f ca="1">Log_2018[[#This Row],[Amount]]-SUM(O326:AA326)</f>
        <v>0</v>
      </c>
      <c r="AC326" s="7">
        <f ca="1">MAX(0,Log_2018[[#This Row],[Split_apply]] - (EDATE(AA$1,1)-Log_2018[[#This Row],[Date]]))</f>
        <v>0</v>
      </c>
    </row>
    <row r="327" spans="1:29" hidden="1" x14ac:dyDescent="0.25">
      <c r="A327" s="115"/>
      <c r="B327" t="s">
        <v>6</v>
      </c>
      <c r="D327" s="39">
        <v>43319</v>
      </c>
      <c r="F327" t="s">
        <v>188</v>
      </c>
      <c r="G327" t="s">
        <v>189</v>
      </c>
      <c r="H327" s="3">
        <v>-82.17</v>
      </c>
      <c r="I327" s="36">
        <f>IF(Log_2018[[#This Row],[My Category]]="NONTRACKED",0,Log_2018[[#This Row],[Raw Amount]])</f>
        <v>-82.17</v>
      </c>
      <c r="J327" s="17">
        <f>ABS(Log_2018[[#This Row],[Amount]])</f>
        <v>82.17</v>
      </c>
      <c r="K327" s="66">
        <v>30</v>
      </c>
      <c r="L327" s="66">
        <f ca="1">IF(Log_2018[[#This Row],[Date]]&lt;=TODAY(), MIN(Log_2018[[#This Row],[Split_raw]], TODAY()-Log_2018[[#This Row],[Date]]+1), 0)</f>
        <v>30</v>
      </c>
      <c r="M327" t="s">
        <v>30</v>
      </c>
      <c r="N327" t="s">
        <v>158</v>
      </c>
      <c r="O327" s="50">
        <v>0</v>
      </c>
      <c r="P327" s="52">
        <f ca="1">Log_2018[[#This Row],[Amount]]/Log_2018[[#This Row],[Split_raw]]*MAX(0,MIN(_xlfn.DAYS(EDATE(P$1,1),Log_2018[[#This Row],[Date]]),Log_2018[[#This Row],[Split_apply]])) - SUM($O327:O327)</f>
        <v>0</v>
      </c>
      <c r="Q327" s="52">
        <f ca="1">Log_2018[[#This Row],[Amount]]/Log_2018[[#This Row],[Split_raw]]*MAX(0,MIN(_xlfn.DAYS(EDATE(Q$1,1),Log_2018[[#This Row],[Date]]),Log_2018[[#This Row],[Split_apply]])) - SUM($O327:P327)</f>
        <v>0</v>
      </c>
      <c r="R327" s="52">
        <f ca="1">Log_2018[[#This Row],[Amount]]/Log_2018[[#This Row],[Split_raw]]*MAX(0,MIN(_xlfn.DAYS(EDATE(R$1,1),Log_2018[[#This Row],[Date]]),Log_2018[[#This Row],[Split_apply]])) - SUM($O327:Q327)</f>
        <v>0</v>
      </c>
      <c r="S327" s="52">
        <f ca="1">Log_2018[[#This Row],[Amount]]/Log_2018[[#This Row],[Split_raw]]*MAX(0,MIN(_xlfn.DAYS(EDATE(S$1,1),Log_2018[[#This Row],[Date]]),Log_2018[[#This Row],[Split_apply]])) - SUM($O327:R327)</f>
        <v>0</v>
      </c>
      <c r="T327" s="52">
        <f ca="1">Log_2018[[#This Row],[Amount]]/Log_2018[[#This Row],[Split_raw]]*MAX(0,MIN(_xlfn.DAYS(EDATE(T$1,1),Log_2018[[#This Row],[Date]]),Log_2018[[#This Row],[Split_apply]])) - SUM($O327:S327)</f>
        <v>0</v>
      </c>
      <c r="U327" s="52">
        <f ca="1">Log_2018[[#This Row],[Amount]]/Log_2018[[#This Row],[Split_raw]]*MAX(0,MIN(_xlfn.DAYS(EDATE(U$1,1),Log_2018[[#This Row],[Date]]),Log_2018[[#This Row],[Split_apply]])) - SUM($O327:T327)</f>
        <v>0</v>
      </c>
      <c r="V327" s="52">
        <f ca="1">Log_2018[[#This Row],[Amount]]/Log_2018[[#This Row],[Split_raw]]*MAX(0,MIN(_xlfn.DAYS(EDATE(V$1,1),Log_2018[[#This Row],[Date]]),Log_2018[[#This Row],[Split_apply]])) - SUM($O327:U327)</f>
        <v>0</v>
      </c>
      <c r="W327" s="52">
        <f ca="1">Log_2018[[#This Row],[Amount]]/Log_2018[[#This Row],[Split_raw]]*MAX(0,MIN(_xlfn.DAYS(EDATE(W$1,1),Log_2018[[#This Row],[Date]]),Log_2018[[#This Row],[Split_apply]])) - SUM($O327:V327)</f>
        <v>-68.474999999999994</v>
      </c>
      <c r="X327" s="52">
        <f ca="1">Log_2018[[#This Row],[Amount]]/Log_2018[[#This Row],[Split_raw]]*MAX(0,MIN(_xlfn.DAYS(EDATE(X$1,1),Log_2018[[#This Row],[Date]]),Log_2018[[#This Row],[Split_apply]])) - SUM($O327:W327)</f>
        <v>-13.695000000000007</v>
      </c>
      <c r="Y327" s="52">
        <f ca="1">Log_2018[[#This Row],[Amount]]/Log_2018[[#This Row],[Split_raw]]*MAX(0,MIN(_xlfn.DAYS(EDATE(Y$1,1),Log_2018[[#This Row],[Date]]),Log_2018[[#This Row],[Split_apply]])) - SUM($O327:X327)</f>
        <v>0</v>
      </c>
      <c r="Z327" s="52">
        <f ca="1">Log_2018[[#This Row],[Amount]]/Log_2018[[#This Row],[Split_raw]]*MAX(0,MIN(_xlfn.DAYS(EDATE(Z$1,1),Log_2018[[#This Row],[Date]]),Log_2018[[#This Row],[Split_apply]])) - SUM($O327:Y327)</f>
        <v>0</v>
      </c>
      <c r="AA327" s="52">
        <f ca="1">Log_2018[[#This Row],[Amount]]/Log_2018[[#This Row],[Split_raw]]*MAX(0,MIN(_xlfn.DAYS(EDATE(AA$1,1),Log_2018[[#This Row],[Date]]),Log_2018[[#This Row],[Split_apply]])) - SUM($O327:Z327)</f>
        <v>0</v>
      </c>
      <c r="AB327" s="54">
        <f ca="1">Log_2018[[#This Row],[Amount]]-SUM(O327:AA327)</f>
        <v>0</v>
      </c>
      <c r="AC327" s="7">
        <f ca="1">MAX(0,Log_2018[[#This Row],[Split_apply]] - (EDATE(AA$1,1)-Log_2018[[#This Row],[Date]]))</f>
        <v>0</v>
      </c>
    </row>
    <row r="328" spans="1:29" hidden="1" x14ac:dyDescent="0.25">
      <c r="A328" s="115"/>
      <c r="B328" t="s">
        <v>6</v>
      </c>
      <c r="D328" s="39">
        <v>43318</v>
      </c>
      <c r="E328" t="s">
        <v>1041</v>
      </c>
      <c r="F328" t="s">
        <v>324</v>
      </c>
      <c r="G328" t="s">
        <v>25</v>
      </c>
      <c r="H328" s="3">
        <v>-9.64</v>
      </c>
      <c r="I328" s="36">
        <f>IF(Log_2018[[#This Row],[My Category]]="NONTRACKED",0,Log_2018[[#This Row],[Raw Amount]])</f>
        <v>-9.64</v>
      </c>
      <c r="J328" s="17">
        <f>ABS(Log_2018[[#This Row],[Amount]])</f>
        <v>9.64</v>
      </c>
      <c r="K328" s="66">
        <v>1</v>
      </c>
      <c r="L328" s="66">
        <f ca="1">IF(Log_2018[[#This Row],[Date]]&lt;=TODAY(), MIN(Log_2018[[#This Row],[Split_raw]], TODAY()-Log_2018[[#This Row],[Date]]+1), 0)</f>
        <v>1</v>
      </c>
      <c r="M328" t="s">
        <v>38</v>
      </c>
      <c r="N328" t="s">
        <v>158</v>
      </c>
      <c r="O328" s="50">
        <v>0</v>
      </c>
      <c r="P328" s="52">
        <f ca="1">Log_2018[[#This Row],[Amount]]/Log_2018[[#This Row],[Split_raw]]*MAX(0,MIN(_xlfn.DAYS(EDATE(P$1,1),Log_2018[[#This Row],[Date]]),Log_2018[[#This Row],[Split_apply]])) - SUM($O328:O328)</f>
        <v>0</v>
      </c>
      <c r="Q328" s="52">
        <f ca="1">Log_2018[[#This Row],[Amount]]/Log_2018[[#This Row],[Split_raw]]*MAX(0,MIN(_xlfn.DAYS(EDATE(Q$1,1),Log_2018[[#This Row],[Date]]),Log_2018[[#This Row],[Split_apply]])) - SUM($O328:P328)</f>
        <v>0</v>
      </c>
      <c r="R328" s="52">
        <f ca="1">Log_2018[[#This Row],[Amount]]/Log_2018[[#This Row],[Split_raw]]*MAX(0,MIN(_xlfn.DAYS(EDATE(R$1,1),Log_2018[[#This Row],[Date]]),Log_2018[[#This Row],[Split_apply]])) - SUM($O328:Q328)</f>
        <v>0</v>
      </c>
      <c r="S328" s="52">
        <f ca="1">Log_2018[[#This Row],[Amount]]/Log_2018[[#This Row],[Split_raw]]*MAX(0,MIN(_xlfn.DAYS(EDATE(S$1,1),Log_2018[[#This Row],[Date]]),Log_2018[[#This Row],[Split_apply]])) - SUM($O328:R328)</f>
        <v>0</v>
      </c>
      <c r="T328" s="52">
        <f ca="1">Log_2018[[#This Row],[Amount]]/Log_2018[[#This Row],[Split_raw]]*MAX(0,MIN(_xlfn.DAYS(EDATE(T$1,1),Log_2018[[#This Row],[Date]]),Log_2018[[#This Row],[Split_apply]])) - SUM($O328:S328)</f>
        <v>0</v>
      </c>
      <c r="U328" s="52">
        <f ca="1">Log_2018[[#This Row],[Amount]]/Log_2018[[#This Row],[Split_raw]]*MAX(0,MIN(_xlfn.DAYS(EDATE(U$1,1),Log_2018[[#This Row],[Date]]),Log_2018[[#This Row],[Split_apply]])) - SUM($O328:T328)</f>
        <v>0</v>
      </c>
      <c r="V328" s="52">
        <f ca="1">Log_2018[[#This Row],[Amount]]/Log_2018[[#This Row],[Split_raw]]*MAX(0,MIN(_xlfn.DAYS(EDATE(V$1,1),Log_2018[[#This Row],[Date]]),Log_2018[[#This Row],[Split_apply]])) - SUM($O328:U328)</f>
        <v>0</v>
      </c>
      <c r="W328" s="52">
        <f ca="1">Log_2018[[#This Row],[Amount]]/Log_2018[[#This Row],[Split_raw]]*MAX(0,MIN(_xlfn.DAYS(EDATE(W$1,1),Log_2018[[#This Row],[Date]]),Log_2018[[#This Row],[Split_apply]])) - SUM($O328:V328)</f>
        <v>-9.64</v>
      </c>
      <c r="X328" s="52">
        <f ca="1">Log_2018[[#This Row],[Amount]]/Log_2018[[#This Row],[Split_raw]]*MAX(0,MIN(_xlfn.DAYS(EDATE(X$1,1),Log_2018[[#This Row],[Date]]),Log_2018[[#This Row],[Split_apply]])) - SUM($O328:W328)</f>
        <v>0</v>
      </c>
      <c r="Y328" s="52">
        <f ca="1">Log_2018[[#This Row],[Amount]]/Log_2018[[#This Row],[Split_raw]]*MAX(0,MIN(_xlfn.DAYS(EDATE(Y$1,1),Log_2018[[#This Row],[Date]]),Log_2018[[#This Row],[Split_apply]])) - SUM($O328:X328)</f>
        <v>0</v>
      </c>
      <c r="Z328" s="52">
        <f ca="1">Log_2018[[#This Row],[Amount]]/Log_2018[[#This Row],[Split_raw]]*MAX(0,MIN(_xlfn.DAYS(EDATE(Z$1,1),Log_2018[[#This Row],[Date]]),Log_2018[[#This Row],[Split_apply]])) - SUM($O328:Y328)</f>
        <v>0</v>
      </c>
      <c r="AA328" s="52">
        <f ca="1">Log_2018[[#This Row],[Amount]]/Log_2018[[#This Row],[Split_raw]]*MAX(0,MIN(_xlfn.DAYS(EDATE(AA$1,1),Log_2018[[#This Row],[Date]]),Log_2018[[#This Row],[Split_apply]])) - SUM($O328:Z328)</f>
        <v>0</v>
      </c>
      <c r="AB328" s="54">
        <f ca="1">Log_2018[[#This Row],[Amount]]-SUM(O328:AA328)</f>
        <v>0</v>
      </c>
      <c r="AC328" s="7">
        <f ca="1">MAX(0,Log_2018[[#This Row],[Split_apply]] - (EDATE(AA$1,1)-Log_2018[[#This Row],[Date]]))</f>
        <v>0</v>
      </c>
    </row>
    <row r="329" spans="1:29" hidden="1" x14ac:dyDescent="0.25">
      <c r="A329" s="115"/>
      <c r="B329" t="s">
        <v>6</v>
      </c>
      <c r="D329" s="39">
        <v>43318</v>
      </c>
      <c r="E329" t="s">
        <v>1041</v>
      </c>
      <c r="F329" t="s">
        <v>333</v>
      </c>
      <c r="G329" t="s">
        <v>27</v>
      </c>
      <c r="H329" s="3">
        <v>-6.84</v>
      </c>
      <c r="I329" s="36">
        <f>IF(Log_2018[[#This Row],[My Category]]="NONTRACKED",0,Log_2018[[#This Row],[Raw Amount]])</f>
        <v>-6.84</v>
      </c>
      <c r="J329" s="17">
        <f>ABS(Log_2018[[#This Row],[Amount]])</f>
        <v>6.84</v>
      </c>
      <c r="K329" s="66">
        <v>1</v>
      </c>
      <c r="L329" s="66">
        <f ca="1">IF(Log_2018[[#This Row],[Date]]&lt;=TODAY(), MIN(Log_2018[[#This Row],[Split_raw]], TODAY()-Log_2018[[#This Row],[Date]]+1), 0)</f>
        <v>1</v>
      </c>
      <c r="M329" t="s">
        <v>38</v>
      </c>
      <c r="N329" t="s">
        <v>160</v>
      </c>
      <c r="O329" s="50">
        <v>0</v>
      </c>
      <c r="P329" s="52">
        <f ca="1">Log_2018[[#This Row],[Amount]]/Log_2018[[#This Row],[Split_raw]]*MAX(0,MIN(_xlfn.DAYS(EDATE(P$1,1),Log_2018[[#This Row],[Date]]),Log_2018[[#This Row],[Split_apply]])) - SUM($O329:O329)</f>
        <v>0</v>
      </c>
      <c r="Q329" s="52">
        <f ca="1">Log_2018[[#This Row],[Amount]]/Log_2018[[#This Row],[Split_raw]]*MAX(0,MIN(_xlfn.DAYS(EDATE(Q$1,1),Log_2018[[#This Row],[Date]]),Log_2018[[#This Row],[Split_apply]])) - SUM($O329:P329)</f>
        <v>0</v>
      </c>
      <c r="R329" s="52">
        <f ca="1">Log_2018[[#This Row],[Amount]]/Log_2018[[#This Row],[Split_raw]]*MAX(0,MIN(_xlfn.DAYS(EDATE(R$1,1),Log_2018[[#This Row],[Date]]),Log_2018[[#This Row],[Split_apply]])) - SUM($O329:Q329)</f>
        <v>0</v>
      </c>
      <c r="S329" s="52">
        <f ca="1">Log_2018[[#This Row],[Amount]]/Log_2018[[#This Row],[Split_raw]]*MAX(0,MIN(_xlfn.DAYS(EDATE(S$1,1),Log_2018[[#This Row],[Date]]),Log_2018[[#This Row],[Split_apply]])) - SUM($O329:R329)</f>
        <v>0</v>
      </c>
      <c r="T329" s="52">
        <f ca="1">Log_2018[[#This Row],[Amount]]/Log_2018[[#This Row],[Split_raw]]*MAX(0,MIN(_xlfn.DAYS(EDATE(T$1,1),Log_2018[[#This Row],[Date]]),Log_2018[[#This Row],[Split_apply]])) - SUM($O329:S329)</f>
        <v>0</v>
      </c>
      <c r="U329" s="52">
        <f ca="1">Log_2018[[#This Row],[Amount]]/Log_2018[[#This Row],[Split_raw]]*MAX(0,MIN(_xlfn.DAYS(EDATE(U$1,1),Log_2018[[#This Row],[Date]]),Log_2018[[#This Row],[Split_apply]])) - SUM($O329:T329)</f>
        <v>0</v>
      </c>
      <c r="V329" s="52">
        <f ca="1">Log_2018[[#This Row],[Amount]]/Log_2018[[#This Row],[Split_raw]]*MAX(0,MIN(_xlfn.DAYS(EDATE(V$1,1),Log_2018[[#This Row],[Date]]),Log_2018[[#This Row],[Split_apply]])) - SUM($O329:U329)</f>
        <v>0</v>
      </c>
      <c r="W329" s="52">
        <f ca="1">Log_2018[[#This Row],[Amount]]/Log_2018[[#This Row],[Split_raw]]*MAX(0,MIN(_xlfn.DAYS(EDATE(W$1,1),Log_2018[[#This Row],[Date]]),Log_2018[[#This Row],[Split_apply]])) - SUM($O329:V329)</f>
        <v>-6.84</v>
      </c>
      <c r="X329" s="52">
        <f ca="1">Log_2018[[#This Row],[Amount]]/Log_2018[[#This Row],[Split_raw]]*MAX(0,MIN(_xlfn.DAYS(EDATE(X$1,1),Log_2018[[#This Row],[Date]]),Log_2018[[#This Row],[Split_apply]])) - SUM($O329:W329)</f>
        <v>0</v>
      </c>
      <c r="Y329" s="52">
        <f ca="1">Log_2018[[#This Row],[Amount]]/Log_2018[[#This Row],[Split_raw]]*MAX(0,MIN(_xlfn.DAYS(EDATE(Y$1,1),Log_2018[[#This Row],[Date]]),Log_2018[[#This Row],[Split_apply]])) - SUM($O329:X329)</f>
        <v>0</v>
      </c>
      <c r="Z329" s="52">
        <f ca="1">Log_2018[[#This Row],[Amount]]/Log_2018[[#This Row],[Split_raw]]*MAX(0,MIN(_xlfn.DAYS(EDATE(Z$1,1),Log_2018[[#This Row],[Date]]),Log_2018[[#This Row],[Split_apply]])) - SUM($O329:Y329)</f>
        <v>0</v>
      </c>
      <c r="AA329" s="52">
        <f ca="1">Log_2018[[#This Row],[Amount]]/Log_2018[[#This Row],[Split_raw]]*MAX(0,MIN(_xlfn.DAYS(EDATE(AA$1,1),Log_2018[[#This Row],[Date]]),Log_2018[[#This Row],[Split_apply]])) - SUM($O329:Z329)</f>
        <v>0</v>
      </c>
      <c r="AB329" s="54">
        <f ca="1">Log_2018[[#This Row],[Amount]]-SUM(O329:AA329)</f>
        <v>0</v>
      </c>
      <c r="AC329" s="7">
        <f ca="1">MAX(0,Log_2018[[#This Row],[Split_apply]] - (EDATE(AA$1,1)-Log_2018[[#This Row],[Date]]))</f>
        <v>0</v>
      </c>
    </row>
    <row r="330" spans="1:29" hidden="1" x14ac:dyDescent="0.25">
      <c r="A330" s="115"/>
      <c r="B330" t="s">
        <v>6</v>
      </c>
      <c r="D330" s="39">
        <v>43317</v>
      </c>
      <c r="F330" t="s">
        <v>325</v>
      </c>
      <c r="G330" t="s">
        <v>9</v>
      </c>
      <c r="H330" s="3">
        <v>-10.79</v>
      </c>
      <c r="I330" s="36">
        <f>IF(Log_2018[[#This Row],[My Category]]="NONTRACKED",0,Log_2018[[#This Row],[Raw Amount]])</f>
        <v>-10.79</v>
      </c>
      <c r="J330" s="17">
        <f>ABS(Log_2018[[#This Row],[Amount]])</f>
        <v>10.79</v>
      </c>
      <c r="K330" s="66">
        <v>1</v>
      </c>
      <c r="L330" s="66">
        <f ca="1">IF(Log_2018[[#This Row],[Date]]&lt;=TODAY(), MIN(Log_2018[[#This Row],[Split_raw]], TODAY()-Log_2018[[#This Row],[Date]]+1), 0)</f>
        <v>1</v>
      </c>
      <c r="M330" t="s">
        <v>147</v>
      </c>
      <c r="N330" t="s">
        <v>158</v>
      </c>
      <c r="O330" s="50">
        <v>0</v>
      </c>
      <c r="P330" s="52">
        <f ca="1">Log_2018[[#This Row],[Amount]]/Log_2018[[#This Row],[Split_raw]]*MAX(0,MIN(_xlfn.DAYS(EDATE(P$1,1),Log_2018[[#This Row],[Date]]),Log_2018[[#This Row],[Split_apply]])) - SUM($O330:O330)</f>
        <v>0</v>
      </c>
      <c r="Q330" s="52">
        <f ca="1">Log_2018[[#This Row],[Amount]]/Log_2018[[#This Row],[Split_raw]]*MAX(0,MIN(_xlfn.DAYS(EDATE(Q$1,1),Log_2018[[#This Row],[Date]]),Log_2018[[#This Row],[Split_apply]])) - SUM($O330:P330)</f>
        <v>0</v>
      </c>
      <c r="R330" s="52">
        <f ca="1">Log_2018[[#This Row],[Amount]]/Log_2018[[#This Row],[Split_raw]]*MAX(0,MIN(_xlfn.DAYS(EDATE(R$1,1),Log_2018[[#This Row],[Date]]),Log_2018[[#This Row],[Split_apply]])) - SUM($O330:Q330)</f>
        <v>0</v>
      </c>
      <c r="S330" s="52">
        <f ca="1">Log_2018[[#This Row],[Amount]]/Log_2018[[#This Row],[Split_raw]]*MAX(0,MIN(_xlfn.DAYS(EDATE(S$1,1),Log_2018[[#This Row],[Date]]),Log_2018[[#This Row],[Split_apply]])) - SUM($O330:R330)</f>
        <v>0</v>
      </c>
      <c r="T330" s="52">
        <f ca="1">Log_2018[[#This Row],[Amount]]/Log_2018[[#This Row],[Split_raw]]*MAX(0,MIN(_xlfn.DAYS(EDATE(T$1,1),Log_2018[[#This Row],[Date]]),Log_2018[[#This Row],[Split_apply]])) - SUM($O330:S330)</f>
        <v>0</v>
      </c>
      <c r="U330" s="52">
        <f ca="1">Log_2018[[#This Row],[Amount]]/Log_2018[[#This Row],[Split_raw]]*MAX(0,MIN(_xlfn.DAYS(EDATE(U$1,1),Log_2018[[#This Row],[Date]]),Log_2018[[#This Row],[Split_apply]])) - SUM($O330:T330)</f>
        <v>0</v>
      </c>
      <c r="V330" s="52">
        <f ca="1">Log_2018[[#This Row],[Amount]]/Log_2018[[#This Row],[Split_raw]]*MAX(0,MIN(_xlfn.DAYS(EDATE(V$1,1),Log_2018[[#This Row],[Date]]),Log_2018[[#This Row],[Split_apply]])) - SUM($O330:U330)</f>
        <v>0</v>
      </c>
      <c r="W330" s="52">
        <f ca="1">Log_2018[[#This Row],[Amount]]/Log_2018[[#This Row],[Split_raw]]*MAX(0,MIN(_xlfn.DAYS(EDATE(W$1,1),Log_2018[[#This Row],[Date]]),Log_2018[[#This Row],[Split_apply]])) - SUM($O330:V330)</f>
        <v>-10.79</v>
      </c>
      <c r="X330" s="52">
        <f ca="1">Log_2018[[#This Row],[Amount]]/Log_2018[[#This Row],[Split_raw]]*MAX(0,MIN(_xlfn.DAYS(EDATE(X$1,1),Log_2018[[#This Row],[Date]]),Log_2018[[#This Row],[Split_apply]])) - SUM($O330:W330)</f>
        <v>0</v>
      </c>
      <c r="Y330" s="52">
        <f ca="1">Log_2018[[#This Row],[Amount]]/Log_2018[[#This Row],[Split_raw]]*MAX(0,MIN(_xlfn.DAYS(EDATE(Y$1,1),Log_2018[[#This Row],[Date]]),Log_2018[[#This Row],[Split_apply]])) - SUM($O330:X330)</f>
        <v>0</v>
      </c>
      <c r="Z330" s="52">
        <f ca="1">Log_2018[[#This Row],[Amount]]/Log_2018[[#This Row],[Split_raw]]*MAX(0,MIN(_xlfn.DAYS(EDATE(Z$1,1),Log_2018[[#This Row],[Date]]),Log_2018[[#This Row],[Split_apply]])) - SUM($O330:Y330)</f>
        <v>0</v>
      </c>
      <c r="AA330" s="52">
        <f ca="1">Log_2018[[#This Row],[Amount]]/Log_2018[[#This Row],[Split_raw]]*MAX(0,MIN(_xlfn.DAYS(EDATE(AA$1,1),Log_2018[[#This Row],[Date]]),Log_2018[[#This Row],[Split_apply]])) - SUM($O330:Z330)</f>
        <v>0</v>
      </c>
      <c r="AB330" s="54">
        <f ca="1">Log_2018[[#This Row],[Amount]]-SUM(O330:AA330)</f>
        <v>0</v>
      </c>
      <c r="AC330" s="7">
        <f ca="1">MAX(0,Log_2018[[#This Row],[Split_apply]] - (EDATE(AA$1,1)-Log_2018[[#This Row],[Date]]))</f>
        <v>0</v>
      </c>
    </row>
    <row r="331" spans="1:29" hidden="1" x14ac:dyDescent="0.25">
      <c r="A331" s="115"/>
      <c r="B331" t="s">
        <v>6</v>
      </c>
      <c r="D331" s="39">
        <v>43317</v>
      </c>
      <c r="E331" t="s">
        <v>878</v>
      </c>
      <c r="F331" t="s">
        <v>326</v>
      </c>
      <c r="G331" t="s">
        <v>25</v>
      </c>
      <c r="H331" s="3">
        <v>-16.940000000000001</v>
      </c>
      <c r="I331" s="36">
        <f>IF(Log_2018[[#This Row],[My Category]]="NONTRACKED",0,Log_2018[[#This Row],[Raw Amount]])</f>
        <v>-16.940000000000001</v>
      </c>
      <c r="J331" s="17">
        <f>ABS(Log_2018[[#This Row],[Amount]])</f>
        <v>16.940000000000001</v>
      </c>
      <c r="K331" s="66">
        <v>1</v>
      </c>
      <c r="L331" s="66">
        <f ca="1">IF(Log_2018[[#This Row],[Date]]&lt;=TODAY(), MIN(Log_2018[[#This Row],[Split_raw]], TODAY()-Log_2018[[#This Row],[Date]]+1), 0)</f>
        <v>1</v>
      </c>
      <c r="M331" t="s">
        <v>147</v>
      </c>
      <c r="N331" t="s">
        <v>158</v>
      </c>
      <c r="O331" s="50">
        <v>0</v>
      </c>
      <c r="P331" s="52">
        <f ca="1">Log_2018[[#This Row],[Amount]]/Log_2018[[#This Row],[Split_raw]]*MAX(0,MIN(_xlfn.DAYS(EDATE(P$1,1),Log_2018[[#This Row],[Date]]),Log_2018[[#This Row],[Split_apply]])) - SUM($O331:O331)</f>
        <v>0</v>
      </c>
      <c r="Q331" s="52">
        <f ca="1">Log_2018[[#This Row],[Amount]]/Log_2018[[#This Row],[Split_raw]]*MAX(0,MIN(_xlfn.DAYS(EDATE(Q$1,1),Log_2018[[#This Row],[Date]]),Log_2018[[#This Row],[Split_apply]])) - SUM($O331:P331)</f>
        <v>0</v>
      </c>
      <c r="R331" s="52">
        <f ca="1">Log_2018[[#This Row],[Amount]]/Log_2018[[#This Row],[Split_raw]]*MAX(0,MIN(_xlfn.DAYS(EDATE(R$1,1),Log_2018[[#This Row],[Date]]),Log_2018[[#This Row],[Split_apply]])) - SUM($O331:Q331)</f>
        <v>0</v>
      </c>
      <c r="S331" s="52">
        <f ca="1">Log_2018[[#This Row],[Amount]]/Log_2018[[#This Row],[Split_raw]]*MAX(0,MIN(_xlfn.DAYS(EDATE(S$1,1),Log_2018[[#This Row],[Date]]),Log_2018[[#This Row],[Split_apply]])) - SUM($O331:R331)</f>
        <v>0</v>
      </c>
      <c r="T331" s="52">
        <f ca="1">Log_2018[[#This Row],[Amount]]/Log_2018[[#This Row],[Split_raw]]*MAX(0,MIN(_xlfn.DAYS(EDATE(T$1,1),Log_2018[[#This Row],[Date]]),Log_2018[[#This Row],[Split_apply]])) - SUM($O331:S331)</f>
        <v>0</v>
      </c>
      <c r="U331" s="52">
        <f ca="1">Log_2018[[#This Row],[Amount]]/Log_2018[[#This Row],[Split_raw]]*MAX(0,MIN(_xlfn.DAYS(EDATE(U$1,1),Log_2018[[#This Row],[Date]]),Log_2018[[#This Row],[Split_apply]])) - SUM($O331:T331)</f>
        <v>0</v>
      </c>
      <c r="V331" s="52">
        <f ca="1">Log_2018[[#This Row],[Amount]]/Log_2018[[#This Row],[Split_raw]]*MAX(0,MIN(_xlfn.DAYS(EDATE(V$1,1),Log_2018[[#This Row],[Date]]),Log_2018[[#This Row],[Split_apply]])) - SUM($O331:U331)</f>
        <v>0</v>
      </c>
      <c r="W331" s="52">
        <f ca="1">Log_2018[[#This Row],[Amount]]/Log_2018[[#This Row],[Split_raw]]*MAX(0,MIN(_xlfn.DAYS(EDATE(W$1,1),Log_2018[[#This Row],[Date]]),Log_2018[[#This Row],[Split_apply]])) - SUM($O331:V331)</f>
        <v>-16.940000000000001</v>
      </c>
      <c r="X331" s="52">
        <f ca="1">Log_2018[[#This Row],[Amount]]/Log_2018[[#This Row],[Split_raw]]*MAX(0,MIN(_xlfn.DAYS(EDATE(X$1,1),Log_2018[[#This Row],[Date]]),Log_2018[[#This Row],[Split_apply]])) - SUM($O331:W331)</f>
        <v>0</v>
      </c>
      <c r="Y331" s="52">
        <f ca="1">Log_2018[[#This Row],[Amount]]/Log_2018[[#This Row],[Split_raw]]*MAX(0,MIN(_xlfn.DAYS(EDATE(Y$1,1),Log_2018[[#This Row],[Date]]),Log_2018[[#This Row],[Split_apply]])) - SUM($O331:X331)</f>
        <v>0</v>
      </c>
      <c r="Z331" s="52">
        <f ca="1">Log_2018[[#This Row],[Amount]]/Log_2018[[#This Row],[Split_raw]]*MAX(0,MIN(_xlfn.DAYS(EDATE(Z$1,1),Log_2018[[#This Row],[Date]]),Log_2018[[#This Row],[Split_apply]])) - SUM($O331:Y331)</f>
        <v>0</v>
      </c>
      <c r="AA331" s="52">
        <f ca="1">Log_2018[[#This Row],[Amount]]/Log_2018[[#This Row],[Split_raw]]*MAX(0,MIN(_xlfn.DAYS(EDATE(AA$1,1),Log_2018[[#This Row],[Date]]),Log_2018[[#This Row],[Split_apply]])) - SUM($O331:Z331)</f>
        <v>0</v>
      </c>
      <c r="AB331" s="54">
        <f ca="1">Log_2018[[#This Row],[Amount]]-SUM(O331:AA331)</f>
        <v>0</v>
      </c>
      <c r="AC331" s="7">
        <f ca="1">MAX(0,Log_2018[[#This Row],[Split_apply]] - (EDATE(AA$1,1)-Log_2018[[#This Row],[Date]]))</f>
        <v>0</v>
      </c>
    </row>
    <row r="332" spans="1:29" hidden="1" x14ac:dyDescent="0.25">
      <c r="A332" s="115"/>
      <c r="B332" t="s">
        <v>6</v>
      </c>
      <c r="D332" s="39">
        <v>43316</v>
      </c>
      <c r="F332" t="s">
        <v>287</v>
      </c>
      <c r="G332" t="s">
        <v>9</v>
      </c>
      <c r="H332" s="3">
        <v>-9.99</v>
      </c>
      <c r="I332" s="36">
        <f>IF(Log_2018[[#This Row],[My Category]]="NONTRACKED",0,Log_2018[[#This Row],[Raw Amount]])</f>
        <v>-9.99</v>
      </c>
      <c r="J332" s="17">
        <f>ABS(Log_2018[[#This Row],[Amount]])</f>
        <v>9.99</v>
      </c>
      <c r="K332" s="66">
        <v>1</v>
      </c>
      <c r="L332" s="66">
        <f ca="1">IF(Log_2018[[#This Row],[Date]]&lt;=TODAY(), MIN(Log_2018[[#This Row],[Split_raw]], TODAY()-Log_2018[[#This Row],[Date]]+1), 0)</f>
        <v>1</v>
      </c>
      <c r="M332" t="s">
        <v>39</v>
      </c>
      <c r="N332" t="s">
        <v>158</v>
      </c>
      <c r="O332" s="50">
        <v>0</v>
      </c>
      <c r="P332" s="52">
        <f ca="1">Log_2018[[#This Row],[Amount]]/Log_2018[[#This Row],[Split_raw]]*MAX(0,MIN(_xlfn.DAYS(EDATE(P$1,1),Log_2018[[#This Row],[Date]]),Log_2018[[#This Row],[Split_apply]])) - SUM($O332:O332)</f>
        <v>0</v>
      </c>
      <c r="Q332" s="52">
        <f ca="1">Log_2018[[#This Row],[Amount]]/Log_2018[[#This Row],[Split_raw]]*MAX(0,MIN(_xlfn.DAYS(EDATE(Q$1,1),Log_2018[[#This Row],[Date]]),Log_2018[[#This Row],[Split_apply]])) - SUM($O332:P332)</f>
        <v>0</v>
      </c>
      <c r="R332" s="52">
        <f ca="1">Log_2018[[#This Row],[Amount]]/Log_2018[[#This Row],[Split_raw]]*MAX(0,MIN(_xlfn.DAYS(EDATE(R$1,1),Log_2018[[#This Row],[Date]]),Log_2018[[#This Row],[Split_apply]])) - SUM($O332:Q332)</f>
        <v>0</v>
      </c>
      <c r="S332" s="52">
        <f ca="1">Log_2018[[#This Row],[Amount]]/Log_2018[[#This Row],[Split_raw]]*MAX(0,MIN(_xlfn.DAYS(EDATE(S$1,1),Log_2018[[#This Row],[Date]]),Log_2018[[#This Row],[Split_apply]])) - SUM($O332:R332)</f>
        <v>0</v>
      </c>
      <c r="T332" s="52">
        <f ca="1">Log_2018[[#This Row],[Amount]]/Log_2018[[#This Row],[Split_raw]]*MAX(0,MIN(_xlfn.DAYS(EDATE(T$1,1),Log_2018[[#This Row],[Date]]),Log_2018[[#This Row],[Split_apply]])) - SUM($O332:S332)</f>
        <v>0</v>
      </c>
      <c r="U332" s="52">
        <f ca="1">Log_2018[[#This Row],[Amount]]/Log_2018[[#This Row],[Split_raw]]*MAX(0,MIN(_xlfn.DAYS(EDATE(U$1,1),Log_2018[[#This Row],[Date]]),Log_2018[[#This Row],[Split_apply]])) - SUM($O332:T332)</f>
        <v>0</v>
      </c>
      <c r="V332" s="52">
        <f ca="1">Log_2018[[#This Row],[Amount]]/Log_2018[[#This Row],[Split_raw]]*MAX(0,MIN(_xlfn.DAYS(EDATE(V$1,1),Log_2018[[#This Row],[Date]]),Log_2018[[#This Row],[Split_apply]])) - SUM($O332:U332)</f>
        <v>0</v>
      </c>
      <c r="W332" s="52">
        <f ca="1">Log_2018[[#This Row],[Amount]]/Log_2018[[#This Row],[Split_raw]]*MAX(0,MIN(_xlfn.DAYS(EDATE(W$1,1),Log_2018[[#This Row],[Date]]),Log_2018[[#This Row],[Split_apply]])) - SUM($O332:V332)</f>
        <v>-9.99</v>
      </c>
      <c r="X332" s="52">
        <f ca="1">Log_2018[[#This Row],[Amount]]/Log_2018[[#This Row],[Split_raw]]*MAX(0,MIN(_xlfn.DAYS(EDATE(X$1,1),Log_2018[[#This Row],[Date]]),Log_2018[[#This Row],[Split_apply]])) - SUM($O332:W332)</f>
        <v>0</v>
      </c>
      <c r="Y332" s="52">
        <f ca="1">Log_2018[[#This Row],[Amount]]/Log_2018[[#This Row],[Split_raw]]*MAX(0,MIN(_xlfn.DAYS(EDATE(Y$1,1),Log_2018[[#This Row],[Date]]),Log_2018[[#This Row],[Split_apply]])) - SUM($O332:X332)</f>
        <v>0</v>
      </c>
      <c r="Z332" s="52">
        <f ca="1">Log_2018[[#This Row],[Amount]]/Log_2018[[#This Row],[Split_raw]]*MAX(0,MIN(_xlfn.DAYS(EDATE(Z$1,1),Log_2018[[#This Row],[Date]]),Log_2018[[#This Row],[Split_apply]])) - SUM($O332:Y332)</f>
        <v>0</v>
      </c>
      <c r="AA332" s="52">
        <f ca="1">Log_2018[[#This Row],[Amount]]/Log_2018[[#This Row],[Split_raw]]*MAX(0,MIN(_xlfn.DAYS(EDATE(AA$1,1),Log_2018[[#This Row],[Date]]),Log_2018[[#This Row],[Split_apply]])) - SUM($O332:Z332)</f>
        <v>0</v>
      </c>
      <c r="AB332" s="54">
        <f ca="1">Log_2018[[#This Row],[Amount]]-SUM(O332:AA332)</f>
        <v>0</v>
      </c>
      <c r="AC332" s="7">
        <f ca="1">MAX(0,Log_2018[[#This Row],[Split_apply]] - (EDATE(AA$1,1)-Log_2018[[#This Row],[Date]]))</f>
        <v>0</v>
      </c>
    </row>
    <row r="333" spans="1:29" hidden="1" x14ac:dyDescent="0.25">
      <c r="A333" s="115"/>
      <c r="B333" t="s">
        <v>6</v>
      </c>
      <c r="D333" s="39">
        <v>43315</v>
      </c>
      <c r="F333" t="s">
        <v>327</v>
      </c>
      <c r="G333" t="s">
        <v>25</v>
      </c>
      <c r="H333" s="3">
        <v>-63.09</v>
      </c>
      <c r="I333" s="36">
        <f>IF(Log_2018[[#This Row],[My Category]]="NONTRACKED",0,Log_2018[[#This Row],[Raw Amount]])</f>
        <v>-63.09</v>
      </c>
      <c r="J333" s="17">
        <f>ABS(Log_2018[[#This Row],[Amount]])</f>
        <v>63.09</v>
      </c>
      <c r="K333" s="66">
        <v>1</v>
      </c>
      <c r="L333" s="66">
        <f ca="1">IF(Log_2018[[#This Row],[Date]]&lt;=TODAY(), MIN(Log_2018[[#This Row],[Split_raw]], TODAY()-Log_2018[[#This Row],[Date]]+1), 0)</f>
        <v>1</v>
      </c>
      <c r="M333" t="s">
        <v>35</v>
      </c>
      <c r="N333" t="s">
        <v>158</v>
      </c>
      <c r="O333" s="50">
        <v>0</v>
      </c>
      <c r="P333" s="52">
        <f ca="1">Log_2018[[#This Row],[Amount]]/Log_2018[[#This Row],[Split_raw]]*MAX(0,MIN(_xlfn.DAYS(EDATE(P$1,1),Log_2018[[#This Row],[Date]]),Log_2018[[#This Row],[Split_apply]])) - SUM($O333:O333)</f>
        <v>0</v>
      </c>
      <c r="Q333" s="52">
        <f ca="1">Log_2018[[#This Row],[Amount]]/Log_2018[[#This Row],[Split_raw]]*MAX(0,MIN(_xlfn.DAYS(EDATE(Q$1,1),Log_2018[[#This Row],[Date]]),Log_2018[[#This Row],[Split_apply]])) - SUM($O333:P333)</f>
        <v>0</v>
      </c>
      <c r="R333" s="52">
        <f ca="1">Log_2018[[#This Row],[Amount]]/Log_2018[[#This Row],[Split_raw]]*MAX(0,MIN(_xlfn.DAYS(EDATE(R$1,1),Log_2018[[#This Row],[Date]]),Log_2018[[#This Row],[Split_apply]])) - SUM($O333:Q333)</f>
        <v>0</v>
      </c>
      <c r="S333" s="52">
        <f ca="1">Log_2018[[#This Row],[Amount]]/Log_2018[[#This Row],[Split_raw]]*MAX(0,MIN(_xlfn.DAYS(EDATE(S$1,1),Log_2018[[#This Row],[Date]]),Log_2018[[#This Row],[Split_apply]])) - SUM($O333:R333)</f>
        <v>0</v>
      </c>
      <c r="T333" s="52">
        <f ca="1">Log_2018[[#This Row],[Amount]]/Log_2018[[#This Row],[Split_raw]]*MAX(0,MIN(_xlfn.DAYS(EDATE(T$1,1),Log_2018[[#This Row],[Date]]),Log_2018[[#This Row],[Split_apply]])) - SUM($O333:S333)</f>
        <v>0</v>
      </c>
      <c r="U333" s="52">
        <f ca="1">Log_2018[[#This Row],[Amount]]/Log_2018[[#This Row],[Split_raw]]*MAX(0,MIN(_xlfn.DAYS(EDATE(U$1,1),Log_2018[[#This Row],[Date]]),Log_2018[[#This Row],[Split_apply]])) - SUM($O333:T333)</f>
        <v>0</v>
      </c>
      <c r="V333" s="52">
        <f ca="1">Log_2018[[#This Row],[Amount]]/Log_2018[[#This Row],[Split_raw]]*MAX(0,MIN(_xlfn.DAYS(EDATE(V$1,1),Log_2018[[#This Row],[Date]]),Log_2018[[#This Row],[Split_apply]])) - SUM($O333:U333)</f>
        <v>0</v>
      </c>
      <c r="W333" s="52">
        <f ca="1">Log_2018[[#This Row],[Amount]]/Log_2018[[#This Row],[Split_raw]]*MAX(0,MIN(_xlfn.DAYS(EDATE(W$1,1),Log_2018[[#This Row],[Date]]),Log_2018[[#This Row],[Split_apply]])) - SUM($O333:V333)</f>
        <v>-63.09</v>
      </c>
      <c r="X333" s="52">
        <f ca="1">Log_2018[[#This Row],[Amount]]/Log_2018[[#This Row],[Split_raw]]*MAX(0,MIN(_xlfn.DAYS(EDATE(X$1,1),Log_2018[[#This Row],[Date]]),Log_2018[[#This Row],[Split_apply]])) - SUM($O333:W333)</f>
        <v>0</v>
      </c>
      <c r="Y333" s="52">
        <f ca="1">Log_2018[[#This Row],[Amount]]/Log_2018[[#This Row],[Split_raw]]*MAX(0,MIN(_xlfn.DAYS(EDATE(Y$1,1),Log_2018[[#This Row],[Date]]),Log_2018[[#This Row],[Split_apply]])) - SUM($O333:X333)</f>
        <v>0</v>
      </c>
      <c r="Z333" s="52">
        <f ca="1">Log_2018[[#This Row],[Amount]]/Log_2018[[#This Row],[Split_raw]]*MAX(0,MIN(_xlfn.DAYS(EDATE(Z$1,1),Log_2018[[#This Row],[Date]]),Log_2018[[#This Row],[Split_apply]])) - SUM($O333:Y333)</f>
        <v>0</v>
      </c>
      <c r="AA333" s="52">
        <f ca="1">Log_2018[[#This Row],[Amount]]/Log_2018[[#This Row],[Split_raw]]*MAX(0,MIN(_xlfn.DAYS(EDATE(AA$1,1),Log_2018[[#This Row],[Date]]),Log_2018[[#This Row],[Split_apply]])) - SUM($O333:Z333)</f>
        <v>0</v>
      </c>
      <c r="AB333" s="54">
        <f ca="1">Log_2018[[#This Row],[Amount]]-SUM(O333:AA333)</f>
        <v>0</v>
      </c>
      <c r="AC333" s="7">
        <f ca="1">MAX(0,Log_2018[[#This Row],[Split_apply]] - (EDATE(AA$1,1)-Log_2018[[#This Row],[Date]]))</f>
        <v>0</v>
      </c>
    </row>
    <row r="334" spans="1:29" hidden="1" x14ac:dyDescent="0.25">
      <c r="A334" s="115"/>
      <c r="B334" t="s">
        <v>6</v>
      </c>
      <c r="D334" s="39">
        <v>43314</v>
      </c>
      <c r="F334" t="s">
        <v>177</v>
      </c>
      <c r="G334" t="s">
        <v>87</v>
      </c>
      <c r="H334" s="3">
        <f>--1754.84</f>
        <v>1754.84</v>
      </c>
      <c r="I334" s="36">
        <f>IF(Log_2018[[#This Row],[My Category]]="NONTRACKED",0,Log_2018[[#This Row],[Raw Amount]])</f>
        <v>1754.84</v>
      </c>
      <c r="J334" s="17">
        <f>ABS(Log_2018[[#This Row],[Amount]])</f>
        <v>1754.84</v>
      </c>
      <c r="K334" s="66">
        <v>14</v>
      </c>
      <c r="L334" s="66">
        <f ca="1">IF(Log_2018[[#This Row],[Date]]&lt;=TODAY(), MIN(Log_2018[[#This Row],[Split_raw]], TODAY()-Log_2018[[#This Row],[Date]]+1), 0)</f>
        <v>14</v>
      </c>
      <c r="M334" t="s">
        <v>91</v>
      </c>
      <c r="N334" t="s">
        <v>160</v>
      </c>
      <c r="O334" s="50">
        <v>0</v>
      </c>
      <c r="P334" s="52">
        <f ca="1">Log_2018[[#This Row],[Amount]]/Log_2018[[#This Row],[Split_raw]]*MAX(0,MIN(_xlfn.DAYS(EDATE(P$1,1),Log_2018[[#This Row],[Date]]),Log_2018[[#This Row],[Split_apply]])) - SUM($O334:O334)</f>
        <v>0</v>
      </c>
      <c r="Q334" s="52">
        <f ca="1">Log_2018[[#This Row],[Amount]]/Log_2018[[#This Row],[Split_raw]]*MAX(0,MIN(_xlfn.DAYS(EDATE(Q$1,1),Log_2018[[#This Row],[Date]]),Log_2018[[#This Row],[Split_apply]])) - SUM($O334:P334)</f>
        <v>0</v>
      </c>
      <c r="R334" s="52">
        <f ca="1">Log_2018[[#This Row],[Amount]]/Log_2018[[#This Row],[Split_raw]]*MAX(0,MIN(_xlfn.DAYS(EDATE(R$1,1),Log_2018[[#This Row],[Date]]),Log_2018[[#This Row],[Split_apply]])) - SUM($O334:Q334)</f>
        <v>0</v>
      </c>
      <c r="S334" s="52">
        <f ca="1">Log_2018[[#This Row],[Amount]]/Log_2018[[#This Row],[Split_raw]]*MAX(0,MIN(_xlfn.DAYS(EDATE(S$1,1),Log_2018[[#This Row],[Date]]),Log_2018[[#This Row],[Split_apply]])) - SUM($O334:R334)</f>
        <v>0</v>
      </c>
      <c r="T334" s="52">
        <f ca="1">Log_2018[[#This Row],[Amount]]/Log_2018[[#This Row],[Split_raw]]*MAX(0,MIN(_xlfn.DAYS(EDATE(T$1,1),Log_2018[[#This Row],[Date]]),Log_2018[[#This Row],[Split_apply]])) - SUM($O334:S334)</f>
        <v>0</v>
      </c>
      <c r="U334" s="52">
        <f ca="1">Log_2018[[#This Row],[Amount]]/Log_2018[[#This Row],[Split_raw]]*MAX(0,MIN(_xlfn.DAYS(EDATE(U$1,1),Log_2018[[#This Row],[Date]]),Log_2018[[#This Row],[Split_apply]])) - SUM($O334:T334)</f>
        <v>0</v>
      </c>
      <c r="V334" s="52">
        <f ca="1">Log_2018[[#This Row],[Amount]]/Log_2018[[#This Row],[Split_raw]]*MAX(0,MIN(_xlfn.DAYS(EDATE(V$1,1),Log_2018[[#This Row],[Date]]),Log_2018[[#This Row],[Split_apply]])) - SUM($O334:U334)</f>
        <v>0</v>
      </c>
      <c r="W334" s="52">
        <f ca="1">Log_2018[[#This Row],[Amount]]/Log_2018[[#This Row],[Split_raw]]*MAX(0,MIN(_xlfn.DAYS(EDATE(W$1,1),Log_2018[[#This Row],[Date]]),Log_2018[[#This Row],[Split_apply]])) - SUM($O334:V334)</f>
        <v>1754.84</v>
      </c>
      <c r="X334" s="52">
        <f ca="1">Log_2018[[#This Row],[Amount]]/Log_2018[[#This Row],[Split_raw]]*MAX(0,MIN(_xlfn.DAYS(EDATE(X$1,1),Log_2018[[#This Row],[Date]]),Log_2018[[#This Row],[Split_apply]])) - SUM($O334:W334)</f>
        <v>0</v>
      </c>
      <c r="Y334" s="52">
        <f ca="1">Log_2018[[#This Row],[Amount]]/Log_2018[[#This Row],[Split_raw]]*MAX(0,MIN(_xlfn.DAYS(EDATE(Y$1,1),Log_2018[[#This Row],[Date]]),Log_2018[[#This Row],[Split_apply]])) - SUM($O334:X334)</f>
        <v>0</v>
      </c>
      <c r="Z334" s="52">
        <f ca="1">Log_2018[[#This Row],[Amount]]/Log_2018[[#This Row],[Split_raw]]*MAX(0,MIN(_xlfn.DAYS(EDATE(Z$1,1),Log_2018[[#This Row],[Date]]),Log_2018[[#This Row],[Split_apply]])) - SUM($O334:Y334)</f>
        <v>0</v>
      </c>
      <c r="AA334" s="52">
        <f ca="1">Log_2018[[#This Row],[Amount]]/Log_2018[[#This Row],[Split_raw]]*MAX(0,MIN(_xlfn.DAYS(EDATE(AA$1,1),Log_2018[[#This Row],[Date]]),Log_2018[[#This Row],[Split_apply]])) - SUM($O334:Z334)</f>
        <v>0</v>
      </c>
      <c r="AB334" s="54">
        <f ca="1">Log_2018[[#This Row],[Amount]]-SUM(O334:AA334)</f>
        <v>0</v>
      </c>
      <c r="AC334" s="7">
        <f ca="1">MAX(0,Log_2018[[#This Row],[Split_apply]] - (EDATE(AA$1,1)-Log_2018[[#This Row],[Date]]))</f>
        <v>0</v>
      </c>
    </row>
    <row r="335" spans="1:29" hidden="1" x14ac:dyDescent="0.25">
      <c r="A335" s="115"/>
      <c r="B335" s="34" t="s">
        <v>6</v>
      </c>
      <c r="D335" s="39">
        <v>43313</v>
      </c>
      <c r="E335" t="s">
        <v>960</v>
      </c>
      <c r="F335" t="s">
        <v>334</v>
      </c>
      <c r="G335" t="s">
        <v>20</v>
      </c>
      <c r="H335" s="3">
        <v>-1566.22</v>
      </c>
      <c r="I335" s="36">
        <f>IF(Log_2018[[#This Row],[My Category]]="NONTRACKED",0,Log_2018[[#This Row],[Raw Amount]])</f>
        <v>-1566.22</v>
      </c>
      <c r="J335" s="17">
        <f>ABS(Log_2018[[#This Row],[Amount]])</f>
        <v>1566.22</v>
      </c>
      <c r="K335" s="66">
        <v>31</v>
      </c>
      <c r="L335" s="66">
        <f ca="1">IF(Log_2018[[#This Row],[Date]]&lt;=TODAY(), MIN(Log_2018[[#This Row],[Split_raw]], TODAY()-Log_2018[[#This Row],[Date]]+1), 0)</f>
        <v>31</v>
      </c>
      <c r="M335" t="s">
        <v>28</v>
      </c>
      <c r="N335" t="s">
        <v>160</v>
      </c>
      <c r="O335" s="50">
        <v>0</v>
      </c>
      <c r="P335" s="52">
        <f ca="1">Log_2018[[#This Row],[Amount]]/Log_2018[[#This Row],[Split_raw]]*MAX(0,MIN(_xlfn.DAYS(EDATE(P$1,1),Log_2018[[#This Row],[Date]]),Log_2018[[#This Row],[Split_apply]])) - SUM($O335:O335)</f>
        <v>0</v>
      </c>
      <c r="Q335" s="52">
        <f ca="1">Log_2018[[#This Row],[Amount]]/Log_2018[[#This Row],[Split_raw]]*MAX(0,MIN(_xlfn.DAYS(EDATE(Q$1,1),Log_2018[[#This Row],[Date]]),Log_2018[[#This Row],[Split_apply]])) - SUM($O335:P335)</f>
        <v>0</v>
      </c>
      <c r="R335" s="52">
        <f ca="1">Log_2018[[#This Row],[Amount]]/Log_2018[[#This Row],[Split_raw]]*MAX(0,MIN(_xlfn.DAYS(EDATE(R$1,1),Log_2018[[#This Row],[Date]]),Log_2018[[#This Row],[Split_apply]])) - SUM($O335:Q335)</f>
        <v>0</v>
      </c>
      <c r="S335" s="52">
        <f ca="1">Log_2018[[#This Row],[Amount]]/Log_2018[[#This Row],[Split_raw]]*MAX(0,MIN(_xlfn.DAYS(EDATE(S$1,1),Log_2018[[#This Row],[Date]]),Log_2018[[#This Row],[Split_apply]])) - SUM($O335:R335)</f>
        <v>0</v>
      </c>
      <c r="T335" s="52">
        <f ca="1">Log_2018[[#This Row],[Amount]]/Log_2018[[#This Row],[Split_raw]]*MAX(0,MIN(_xlfn.DAYS(EDATE(T$1,1),Log_2018[[#This Row],[Date]]),Log_2018[[#This Row],[Split_apply]])) - SUM($O335:S335)</f>
        <v>0</v>
      </c>
      <c r="U335" s="52">
        <f ca="1">Log_2018[[#This Row],[Amount]]/Log_2018[[#This Row],[Split_raw]]*MAX(0,MIN(_xlfn.DAYS(EDATE(U$1,1),Log_2018[[#This Row],[Date]]),Log_2018[[#This Row],[Split_apply]])) - SUM($O335:T335)</f>
        <v>0</v>
      </c>
      <c r="V335" s="52">
        <f ca="1">Log_2018[[#This Row],[Amount]]/Log_2018[[#This Row],[Split_raw]]*MAX(0,MIN(_xlfn.DAYS(EDATE(V$1,1),Log_2018[[#This Row],[Date]]),Log_2018[[#This Row],[Split_apply]])) - SUM($O335:U335)</f>
        <v>0</v>
      </c>
      <c r="W335" s="52">
        <f ca="1">Log_2018[[#This Row],[Amount]]/Log_2018[[#This Row],[Split_raw]]*MAX(0,MIN(_xlfn.DAYS(EDATE(W$1,1),Log_2018[[#This Row],[Date]]),Log_2018[[#This Row],[Split_apply]])) - SUM($O335:V335)</f>
        <v>-1566.22</v>
      </c>
      <c r="X335" s="52">
        <f ca="1">Log_2018[[#This Row],[Amount]]/Log_2018[[#This Row],[Split_raw]]*MAX(0,MIN(_xlfn.DAYS(EDATE(X$1,1),Log_2018[[#This Row],[Date]]),Log_2018[[#This Row],[Split_apply]])) - SUM($O335:W335)</f>
        <v>0</v>
      </c>
      <c r="Y335" s="52">
        <f ca="1">Log_2018[[#This Row],[Amount]]/Log_2018[[#This Row],[Split_raw]]*MAX(0,MIN(_xlfn.DAYS(EDATE(Y$1,1),Log_2018[[#This Row],[Date]]),Log_2018[[#This Row],[Split_apply]])) - SUM($O335:X335)</f>
        <v>0</v>
      </c>
      <c r="Z335" s="52">
        <f ca="1">Log_2018[[#This Row],[Amount]]/Log_2018[[#This Row],[Split_raw]]*MAX(0,MIN(_xlfn.DAYS(EDATE(Z$1,1),Log_2018[[#This Row],[Date]]),Log_2018[[#This Row],[Split_apply]])) - SUM($O335:Y335)</f>
        <v>0</v>
      </c>
      <c r="AA335" s="52">
        <f ca="1">Log_2018[[#This Row],[Amount]]/Log_2018[[#This Row],[Split_raw]]*MAX(0,MIN(_xlfn.DAYS(EDATE(AA$1,1),Log_2018[[#This Row],[Date]]),Log_2018[[#This Row],[Split_apply]])) - SUM($O335:Z335)</f>
        <v>0</v>
      </c>
      <c r="AB335" s="54">
        <f ca="1">Log_2018[[#This Row],[Amount]]-SUM(O335:AA335)</f>
        <v>0</v>
      </c>
      <c r="AC335" s="7">
        <f ca="1">MAX(0,Log_2018[[#This Row],[Split_apply]] - (EDATE(AA$1,1)-Log_2018[[#This Row],[Date]]))</f>
        <v>0</v>
      </c>
    </row>
    <row r="336" spans="1:29" hidden="1" x14ac:dyDescent="0.25">
      <c r="A336" s="115"/>
      <c r="B336" t="s">
        <v>191</v>
      </c>
      <c r="D336" s="39">
        <v>43313</v>
      </c>
      <c r="E336" t="s">
        <v>960</v>
      </c>
      <c r="F336" t="s">
        <v>335</v>
      </c>
      <c r="G336" t="s">
        <v>176</v>
      </c>
      <c r="H336" s="3">
        <v>-320</v>
      </c>
      <c r="I336" s="36">
        <f>IF(Log_2018[[#This Row],[My Category]]="NONTRACKED",0,Log_2018[[#This Row],[Raw Amount]])</f>
        <v>-320</v>
      </c>
      <c r="J336" s="17">
        <f>ABS(Log_2018[[#This Row],[Amount]])</f>
        <v>320</v>
      </c>
      <c r="K336" s="66">
        <v>31</v>
      </c>
      <c r="L336" s="66">
        <f ca="1">IF(Log_2018[[#This Row],[Date]]&lt;=TODAY(), MIN(Log_2018[[#This Row],[Split_raw]], TODAY()-Log_2018[[#This Row],[Date]]+1), 0)</f>
        <v>31</v>
      </c>
      <c r="M336" t="s">
        <v>93</v>
      </c>
      <c r="N336" t="s">
        <v>160</v>
      </c>
      <c r="O336" s="50">
        <v>0</v>
      </c>
      <c r="P336" s="52">
        <f ca="1">Log_2018[[#This Row],[Amount]]/Log_2018[[#This Row],[Split_raw]]*MAX(0,MIN(_xlfn.DAYS(EDATE(P$1,1),Log_2018[[#This Row],[Date]]),Log_2018[[#This Row],[Split_apply]])) - SUM($O336:O336)</f>
        <v>0</v>
      </c>
      <c r="Q336" s="52">
        <f ca="1">Log_2018[[#This Row],[Amount]]/Log_2018[[#This Row],[Split_raw]]*MAX(0,MIN(_xlfn.DAYS(EDATE(Q$1,1),Log_2018[[#This Row],[Date]]),Log_2018[[#This Row],[Split_apply]])) - SUM($O336:P336)</f>
        <v>0</v>
      </c>
      <c r="R336" s="52">
        <f ca="1">Log_2018[[#This Row],[Amount]]/Log_2018[[#This Row],[Split_raw]]*MAX(0,MIN(_xlfn.DAYS(EDATE(R$1,1),Log_2018[[#This Row],[Date]]),Log_2018[[#This Row],[Split_apply]])) - SUM($O336:Q336)</f>
        <v>0</v>
      </c>
      <c r="S336" s="52">
        <f ca="1">Log_2018[[#This Row],[Amount]]/Log_2018[[#This Row],[Split_raw]]*MAX(0,MIN(_xlfn.DAYS(EDATE(S$1,1),Log_2018[[#This Row],[Date]]),Log_2018[[#This Row],[Split_apply]])) - SUM($O336:R336)</f>
        <v>0</v>
      </c>
      <c r="T336" s="52">
        <f ca="1">Log_2018[[#This Row],[Amount]]/Log_2018[[#This Row],[Split_raw]]*MAX(0,MIN(_xlfn.DAYS(EDATE(T$1,1),Log_2018[[#This Row],[Date]]),Log_2018[[#This Row],[Split_apply]])) - SUM($O336:S336)</f>
        <v>0</v>
      </c>
      <c r="U336" s="52">
        <f ca="1">Log_2018[[#This Row],[Amount]]/Log_2018[[#This Row],[Split_raw]]*MAX(0,MIN(_xlfn.DAYS(EDATE(U$1,1),Log_2018[[#This Row],[Date]]),Log_2018[[#This Row],[Split_apply]])) - SUM($O336:T336)</f>
        <v>0</v>
      </c>
      <c r="V336" s="52">
        <f ca="1">Log_2018[[#This Row],[Amount]]/Log_2018[[#This Row],[Split_raw]]*MAX(0,MIN(_xlfn.DAYS(EDATE(V$1,1),Log_2018[[#This Row],[Date]]),Log_2018[[#This Row],[Split_apply]])) - SUM($O336:U336)</f>
        <v>0</v>
      </c>
      <c r="W336" s="52">
        <f ca="1">Log_2018[[#This Row],[Amount]]/Log_2018[[#This Row],[Split_raw]]*MAX(0,MIN(_xlfn.DAYS(EDATE(W$1,1),Log_2018[[#This Row],[Date]]),Log_2018[[#This Row],[Split_apply]])) - SUM($O336:V336)</f>
        <v>-320</v>
      </c>
      <c r="X336" s="52">
        <f ca="1">Log_2018[[#This Row],[Amount]]/Log_2018[[#This Row],[Split_raw]]*MAX(0,MIN(_xlfn.DAYS(EDATE(X$1,1),Log_2018[[#This Row],[Date]]),Log_2018[[#This Row],[Split_apply]])) - SUM($O336:W336)</f>
        <v>0</v>
      </c>
      <c r="Y336" s="52">
        <f ca="1">Log_2018[[#This Row],[Amount]]/Log_2018[[#This Row],[Split_raw]]*MAX(0,MIN(_xlfn.DAYS(EDATE(Y$1,1),Log_2018[[#This Row],[Date]]),Log_2018[[#This Row],[Split_apply]])) - SUM($O336:X336)</f>
        <v>0</v>
      </c>
      <c r="Z336" s="52">
        <f ca="1">Log_2018[[#This Row],[Amount]]/Log_2018[[#This Row],[Split_raw]]*MAX(0,MIN(_xlfn.DAYS(EDATE(Z$1,1),Log_2018[[#This Row],[Date]]),Log_2018[[#This Row],[Split_apply]])) - SUM($O336:Y336)</f>
        <v>0</v>
      </c>
      <c r="AA336" s="52">
        <f ca="1">Log_2018[[#This Row],[Amount]]/Log_2018[[#This Row],[Split_raw]]*MAX(0,MIN(_xlfn.DAYS(EDATE(AA$1,1),Log_2018[[#This Row],[Date]]),Log_2018[[#This Row],[Split_apply]])) - SUM($O336:Z336)</f>
        <v>0</v>
      </c>
      <c r="AB336" s="54">
        <f ca="1">Log_2018[[#This Row],[Amount]]-SUM(O336:AA336)</f>
        <v>0</v>
      </c>
      <c r="AC336" s="7">
        <f ca="1">MAX(0,Log_2018[[#This Row],[Split_apply]] - (EDATE(AA$1,1)-Log_2018[[#This Row],[Date]]))</f>
        <v>0</v>
      </c>
    </row>
    <row r="337" spans="1:29" hidden="1" x14ac:dyDescent="0.25">
      <c r="A337" s="115"/>
      <c r="B337" t="s">
        <v>6</v>
      </c>
      <c r="D337" s="39">
        <v>43313</v>
      </c>
      <c r="F337" t="s">
        <v>217</v>
      </c>
      <c r="G337" t="s">
        <v>12</v>
      </c>
      <c r="H337" s="3">
        <v>-43.35</v>
      </c>
      <c r="I337" s="36">
        <f>IF(Log_2018[[#This Row],[My Category]]="NONTRACKED",0,Log_2018[[#This Row],[Raw Amount]])</f>
        <v>-43.35</v>
      </c>
      <c r="J337" s="17">
        <f>ABS(Log_2018[[#This Row],[Amount]])</f>
        <v>43.35</v>
      </c>
      <c r="K337" s="66">
        <v>1</v>
      </c>
      <c r="L337" s="66">
        <f ca="1">IF(Log_2018[[#This Row],[Date]]&lt;=TODAY(), MIN(Log_2018[[#This Row],[Split_raw]], TODAY()-Log_2018[[#This Row],[Date]]+1), 0)</f>
        <v>1</v>
      </c>
      <c r="M337" t="s">
        <v>12</v>
      </c>
      <c r="N337" t="s">
        <v>158</v>
      </c>
      <c r="O337" s="50">
        <v>0</v>
      </c>
      <c r="P337" s="52">
        <f ca="1">Log_2018[[#This Row],[Amount]]/Log_2018[[#This Row],[Split_raw]]*MAX(0,MIN(_xlfn.DAYS(EDATE(P$1,1),Log_2018[[#This Row],[Date]]),Log_2018[[#This Row],[Split_apply]])) - SUM($O337:O337)</f>
        <v>0</v>
      </c>
      <c r="Q337" s="52">
        <f ca="1">Log_2018[[#This Row],[Amount]]/Log_2018[[#This Row],[Split_raw]]*MAX(0,MIN(_xlfn.DAYS(EDATE(Q$1,1),Log_2018[[#This Row],[Date]]),Log_2018[[#This Row],[Split_apply]])) - SUM($O337:P337)</f>
        <v>0</v>
      </c>
      <c r="R337" s="52">
        <f ca="1">Log_2018[[#This Row],[Amount]]/Log_2018[[#This Row],[Split_raw]]*MAX(0,MIN(_xlfn.DAYS(EDATE(R$1,1),Log_2018[[#This Row],[Date]]),Log_2018[[#This Row],[Split_apply]])) - SUM($O337:Q337)</f>
        <v>0</v>
      </c>
      <c r="S337" s="52">
        <f ca="1">Log_2018[[#This Row],[Amount]]/Log_2018[[#This Row],[Split_raw]]*MAX(0,MIN(_xlfn.DAYS(EDATE(S$1,1),Log_2018[[#This Row],[Date]]),Log_2018[[#This Row],[Split_apply]])) - SUM($O337:R337)</f>
        <v>0</v>
      </c>
      <c r="T337" s="52">
        <f ca="1">Log_2018[[#This Row],[Amount]]/Log_2018[[#This Row],[Split_raw]]*MAX(0,MIN(_xlfn.DAYS(EDATE(T$1,1),Log_2018[[#This Row],[Date]]),Log_2018[[#This Row],[Split_apply]])) - SUM($O337:S337)</f>
        <v>0</v>
      </c>
      <c r="U337" s="52">
        <f ca="1">Log_2018[[#This Row],[Amount]]/Log_2018[[#This Row],[Split_raw]]*MAX(0,MIN(_xlfn.DAYS(EDATE(U$1,1),Log_2018[[#This Row],[Date]]),Log_2018[[#This Row],[Split_apply]])) - SUM($O337:T337)</f>
        <v>0</v>
      </c>
      <c r="V337" s="52">
        <f ca="1">Log_2018[[#This Row],[Amount]]/Log_2018[[#This Row],[Split_raw]]*MAX(0,MIN(_xlfn.DAYS(EDATE(V$1,1),Log_2018[[#This Row],[Date]]),Log_2018[[#This Row],[Split_apply]])) - SUM($O337:U337)</f>
        <v>0</v>
      </c>
      <c r="W337" s="52">
        <f ca="1">Log_2018[[#This Row],[Amount]]/Log_2018[[#This Row],[Split_raw]]*MAX(0,MIN(_xlfn.DAYS(EDATE(W$1,1),Log_2018[[#This Row],[Date]]),Log_2018[[#This Row],[Split_apply]])) - SUM($O337:V337)</f>
        <v>-43.35</v>
      </c>
      <c r="X337" s="52">
        <f ca="1">Log_2018[[#This Row],[Amount]]/Log_2018[[#This Row],[Split_raw]]*MAX(0,MIN(_xlfn.DAYS(EDATE(X$1,1),Log_2018[[#This Row],[Date]]),Log_2018[[#This Row],[Split_apply]])) - SUM($O337:W337)</f>
        <v>0</v>
      </c>
      <c r="Y337" s="52">
        <f ca="1">Log_2018[[#This Row],[Amount]]/Log_2018[[#This Row],[Split_raw]]*MAX(0,MIN(_xlfn.DAYS(EDATE(Y$1,1),Log_2018[[#This Row],[Date]]),Log_2018[[#This Row],[Split_apply]])) - SUM($O337:X337)</f>
        <v>0</v>
      </c>
      <c r="Z337" s="52">
        <f ca="1">Log_2018[[#This Row],[Amount]]/Log_2018[[#This Row],[Split_raw]]*MAX(0,MIN(_xlfn.DAYS(EDATE(Z$1,1),Log_2018[[#This Row],[Date]]),Log_2018[[#This Row],[Split_apply]])) - SUM($O337:Y337)</f>
        <v>0</v>
      </c>
      <c r="AA337" s="52">
        <f ca="1">Log_2018[[#This Row],[Amount]]/Log_2018[[#This Row],[Split_raw]]*MAX(0,MIN(_xlfn.DAYS(EDATE(AA$1,1),Log_2018[[#This Row],[Date]]),Log_2018[[#This Row],[Split_apply]])) - SUM($O337:Z337)</f>
        <v>0</v>
      </c>
      <c r="AB337" s="54">
        <f ca="1">Log_2018[[#This Row],[Amount]]-SUM(O337:AA337)</f>
        <v>0</v>
      </c>
      <c r="AC337" s="7">
        <f ca="1">MAX(0,Log_2018[[#This Row],[Split_apply]] - (EDATE(AA$1,1)-Log_2018[[#This Row],[Date]]))</f>
        <v>0</v>
      </c>
    </row>
    <row r="338" spans="1:29" hidden="1" x14ac:dyDescent="0.25">
      <c r="A338" s="115"/>
      <c r="B338" t="s">
        <v>6</v>
      </c>
      <c r="D338" s="39">
        <v>43313</v>
      </c>
      <c r="F338" t="s">
        <v>255</v>
      </c>
      <c r="G338" t="s">
        <v>25</v>
      </c>
      <c r="H338" s="3">
        <v>-6.95</v>
      </c>
      <c r="I338" s="36">
        <f>IF(Log_2018[[#This Row],[My Category]]="NONTRACKED",0,Log_2018[[#This Row],[Raw Amount]])</f>
        <v>-6.95</v>
      </c>
      <c r="J338" s="17">
        <f>ABS(Log_2018[[#This Row],[Amount]])</f>
        <v>6.95</v>
      </c>
      <c r="K338" s="66">
        <v>1</v>
      </c>
      <c r="L338" s="66">
        <f ca="1">IF(Log_2018[[#This Row],[Date]]&lt;=TODAY(), MIN(Log_2018[[#This Row],[Split_raw]], TODAY()-Log_2018[[#This Row],[Date]]+1), 0)</f>
        <v>1</v>
      </c>
      <c r="M338" t="s">
        <v>35</v>
      </c>
      <c r="N338" t="s">
        <v>158</v>
      </c>
      <c r="O338" s="50">
        <v>0</v>
      </c>
      <c r="P338" s="52">
        <f ca="1">Log_2018[[#This Row],[Amount]]/Log_2018[[#This Row],[Split_raw]]*MAX(0,MIN(_xlfn.DAYS(EDATE(P$1,1),Log_2018[[#This Row],[Date]]),Log_2018[[#This Row],[Split_apply]])) - SUM($O338:O338)</f>
        <v>0</v>
      </c>
      <c r="Q338" s="52">
        <f ca="1">Log_2018[[#This Row],[Amount]]/Log_2018[[#This Row],[Split_raw]]*MAX(0,MIN(_xlfn.DAYS(EDATE(Q$1,1),Log_2018[[#This Row],[Date]]),Log_2018[[#This Row],[Split_apply]])) - SUM($O338:P338)</f>
        <v>0</v>
      </c>
      <c r="R338" s="52">
        <f ca="1">Log_2018[[#This Row],[Amount]]/Log_2018[[#This Row],[Split_raw]]*MAX(0,MIN(_xlfn.DAYS(EDATE(R$1,1),Log_2018[[#This Row],[Date]]),Log_2018[[#This Row],[Split_apply]])) - SUM($O338:Q338)</f>
        <v>0</v>
      </c>
      <c r="S338" s="52">
        <f ca="1">Log_2018[[#This Row],[Amount]]/Log_2018[[#This Row],[Split_raw]]*MAX(0,MIN(_xlfn.DAYS(EDATE(S$1,1),Log_2018[[#This Row],[Date]]),Log_2018[[#This Row],[Split_apply]])) - SUM($O338:R338)</f>
        <v>0</v>
      </c>
      <c r="T338" s="52">
        <f ca="1">Log_2018[[#This Row],[Amount]]/Log_2018[[#This Row],[Split_raw]]*MAX(0,MIN(_xlfn.DAYS(EDATE(T$1,1),Log_2018[[#This Row],[Date]]),Log_2018[[#This Row],[Split_apply]])) - SUM($O338:S338)</f>
        <v>0</v>
      </c>
      <c r="U338" s="52">
        <f ca="1">Log_2018[[#This Row],[Amount]]/Log_2018[[#This Row],[Split_raw]]*MAX(0,MIN(_xlfn.DAYS(EDATE(U$1,1),Log_2018[[#This Row],[Date]]),Log_2018[[#This Row],[Split_apply]])) - SUM($O338:T338)</f>
        <v>0</v>
      </c>
      <c r="V338" s="52">
        <f ca="1">Log_2018[[#This Row],[Amount]]/Log_2018[[#This Row],[Split_raw]]*MAX(0,MIN(_xlfn.DAYS(EDATE(V$1,1),Log_2018[[#This Row],[Date]]),Log_2018[[#This Row],[Split_apply]])) - SUM($O338:U338)</f>
        <v>0</v>
      </c>
      <c r="W338" s="52">
        <f ca="1">Log_2018[[#This Row],[Amount]]/Log_2018[[#This Row],[Split_raw]]*MAX(0,MIN(_xlfn.DAYS(EDATE(W$1,1),Log_2018[[#This Row],[Date]]),Log_2018[[#This Row],[Split_apply]])) - SUM($O338:V338)</f>
        <v>-6.95</v>
      </c>
      <c r="X338" s="52">
        <f ca="1">Log_2018[[#This Row],[Amount]]/Log_2018[[#This Row],[Split_raw]]*MAX(0,MIN(_xlfn.DAYS(EDATE(X$1,1),Log_2018[[#This Row],[Date]]),Log_2018[[#This Row],[Split_apply]])) - SUM($O338:W338)</f>
        <v>0</v>
      </c>
      <c r="Y338" s="52">
        <f ca="1">Log_2018[[#This Row],[Amount]]/Log_2018[[#This Row],[Split_raw]]*MAX(0,MIN(_xlfn.DAYS(EDATE(Y$1,1),Log_2018[[#This Row],[Date]]),Log_2018[[#This Row],[Split_apply]])) - SUM($O338:X338)</f>
        <v>0</v>
      </c>
      <c r="Z338" s="52">
        <f ca="1">Log_2018[[#This Row],[Amount]]/Log_2018[[#This Row],[Split_raw]]*MAX(0,MIN(_xlfn.DAYS(EDATE(Z$1,1),Log_2018[[#This Row],[Date]]),Log_2018[[#This Row],[Split_apply]])) - SUM($O338:Y338)</f>
        <v>0</v>
      </c>
      <c r="AA338" s="52">
        <f ca="1">Log_2018[[#This Row],[Amount]]/Log_2018[[#This Row],[Split_raw]]*MAX(0,MIN(_xlfn.DAYS(EDATE(AA$1,1),Log_2018[[#This Row],[Date]]),Log_2018[[#This Row],[Split_apply]])) - SUM($O338:Z338)</f>
        <v>0</v>
      </c>
      <c r="AB338" s="54">
        <f ca="1">Log_2018[[#This Row],[Amount]]-SUM(O338:AA338)</f>
        <v>0</v>
      </c>
      <c r="AC338" s="7">
        <f ca="1">MAX(0,Log_2018[[#This Row],[Split_apply]] - (EDATE(AA$1,1)-Log_2018[[#This Row],[Date]]))</f>
        <v>0</v>
      </c>
    </row>
    <row r="339" spans="1:29" hidden="1" x14ac:dyDescent="0.25">
      <c r="A339" s="115"/>
      <c r="B339" t="s">
        <v>6</v>
      </c>
      <c r="D339" s="39">
        <v>43311</v>
      </c>
      <c r="F339" t="s">
        <v>59</v>
      </c>
      <c r="G339" t="s">
        <v>25</v>
      </c>
      <c r="H339" s="3">
        <v>-7.94</v>
      </c>
      <c r="I339" s="36">
        <f>IF(Log_2018[[#This Row],[My Category]]="NONTRACKED",0,Log_2018[[#This Row],[Raw Amount]])</f>
        <v>-7.94</v>
      </c>
      <c r="J339" s="17">
        <f>ABS(Log_2018[[#This Row],[Amount]])</f>
        <v>7.94</v>
      </c>
      <c r="K339" s="66">
        <v>1</v>
      </c>
      <c r="L339" s="66">
        <f ca="1">IF(Log_2018[[#This Row],[Date]]&lt;=TODAY(), MIN(Log_2018[[#This Row],[Split_raw]], TODAY()-Log_2018[[#This Row],[Date]]+1), 0)</f>
        <v>1</v>
      </c>
      <c r="M339" t="s">
        <v>35</v>
      </c>
      <c r="N339" t="s">
        <v>158</v>
      </c>
      <c r="O339" s="50">
        <v>0</v>
      </c>
      <c r="P339" s="52">
        <f ca="1">Log_2018[[#This Row],[Amount]]/Log_2018[[#This Row],[Split_raw]]*MAX(0,MIN(_xlfn.DAYS(EDATE(P$1,1),Log_2018[[#This Row],[Date]]),Log_2018[[#This Row],[Split_apply]])) - SUM($O339:O339)</f>
        <v>0</v>
      </c>
      <c r="Q339" s="52">
        <f ca="1">Log_2018[[#This Row],[Amount]]/Log_2018[[#This Row],[Split_raw]]*MAX(0,MIN(_xlfn.DAYS(EDATE(Q$1,1),Log_2018[[#This Row],[Date]]),Log_2018[[#This Row],[Split_apply]])) - SUM($O339:P339)</f>
        <v>0</v>
      </c>
      <c r="R339" s="52">
        <f ca="1">Log_2018[[#This Row],[Amount]]/Log_2018[[#This Row],[Split_raw]]*MAX(0,MIN(_xlfn.DAYS(EDATE(R$1,1),Log_2018[[#This Row],[Date]]),Log_2018[[#This Row],[Split_apply]])) - SUM($O339:Q339)</f>
        <v>0</v>
      </c>
      <c r="S339" s="52">
        <f ca="1">Log_2018[[#This Row],[Amount]]/Log_2018[[#This Row],[Split_raw]]*MAX(0,MIN(_xlfn.DAYS(EDATE(S$1,1),Log_2018[[#This Row],[Date]]),Log_2018[[#This Row],[Split_apply]])) - SUM($O339:R339)</f>
        <v>0</v>
      </c>
      <c r="T339" s="52">
        <f ca="1">Log_2018[[#This Row],[Amount]]/Log_2018[[#This Row],[Split_raw]]*MAX(0,MIN(_xlfn.DAYS(EDATE(T$1,1),Log_2018[[#This Row],[Date]]),Log_2018[[#This Row],[Split_apply]])) - SUM($O339:S339)</f>
        <v>0</v>
      </c>
      <c r="U339" s="52">
        <f ca="1">Log_2018[[#This Row],[Amount]]/Log_2018[[#This Row],[Split_raw]]*MAX(0,MIN(_xlfn.DAYS(EDATE(U$1,1),Log_2018[[#This Row],[Date]]),Log_2018[[#This Row],[Split_apply]])) - SUM($O339:T339)</f>
        <v>0</v>
      </c>
      <c r="V339" s="52">
        <f ca="1">Log_2018[[#This Row],[Amount]]/Log_2018[[#This Row],[Split_raw]]*MAX(0,MIN(_xlfn.DAYS(EDATE(V$1,1),Log_2018[[#This Row],[Date]]),Log_2018[[#This Row],[Split_apply]])) - SUM($O339:U339)</f>
        <v>-7.94</v>
      </c>
      <c r="W339" s="52">
        <f ca="1">Log_2018[[#This Row],[Amount]]/Log_2018[[#This Row],[Split_raw]]*MAX(0,MIN(_xlfn.DAYS(EDATE(W$1,1),Log_2018[[#This Row],[Date]]),Log_2018[[#This Row],[Split_apply]])) - SUM($O339:V339)</f>
        <v>0</v>
      </c>
      <c r="X339" s="52">
        <f ca="1">Log_2018[[#This Row],[Amount]]/Log_2018[[#This Row],[Split_raw]]*MAX(0,MIN(_xlfn.DAYS(EDATE(X$1,1),Log_2018[[#This Row],[Date]]),Log_2018[[#This Row],[Split_apply]])) - SUM($O339:W339)</f>
        <v>0</v>
      </c>
      <c r="Y339" s="52">
        <f ca="1">Log_2018[[#This Row],[Amount]]/Log_2018[[#This Row],[Split_raw]]*MAX(0,MIN(_xlfn.DAYS(EDATE(Y$1,1),Log_2018[[#This Row],[Date]]),Log_2018[[#This Row],[Split_apply]])) - SUM($O339:X339)</f>
        <v>0</v>
      </c>
      <c r="Z339" s="52">
        <f ca="1">Log_2018[[#This Row],[Amount]]/Log_2018[[#This Row],[Split_raw]]*MAX(0,MIN(_xlfn.DAYS(EDATE(Z$1,1),Log_2018[[#This Row],[Date]]),Log_2018[[#This Row],[Split_apply]])) - SUM($O339:Y339)</f>
        <v>0</v>
      </c>
      <c r="AA339" s="52">
        <f ca="1">Log_2018[[#This Row],[Amount]]/Log_2018[[#This Row],[Split_raw]]*MAX(0,MIN(_xlfn.DAYS(EDATE(AA$1,1),Log_2018[[#This Row],[Date]]),Log_2018[[#This Row],[Split_apply]])) - SUM($O339:Z339)</f>
        <v>0</v>
      </c>
      <c r="AB339" s="54">
        <f ca="1">Log_2018[[#This Row],[Amount]]-SUM(O339:AA339)</f>
        <v>0</v>
      </c>
      <c r="AC339" s="7">
        <f ca="1">MAX(0,Log_2018[[#This Row],[Split_apply]] - (EDATE(AA$1,1)-Log_2018[[#This Row],[Date]]))</f>
        <v>0</v>
      </c>
    </row>
    <row r="340" spans="1:29" hidden="1" x14ac:dyDescent="0.25">
      <c r="A340" s="115"/>
      <c r="B340" t="s">
        <v>6</v>
      </c>
      <c r="D340" s="26">
        <v>43311</v>
      </c>
      <c r="F340" t="s">
        <v>16</v>
      </c>
      <c r="G340" t="s">
        <v>17</v>
      </c>
      <c r="H340" s="3">
        <f>--0.14</f>
        <v>0.14000000000000001</v>
      </c>
      <c r="I340" s="36">
        <f>IF(Log_2018[[#This Row],[My Category]]="NONTRACKED",0,Log_2018[[#This Row],[Raw Amount]])</f>
        <v>0.14000000000000001</v>
      </c>
      <c r="J340" s="17">
        <f>ABS(Log_2018[[#This Row],[Amount]])</f>
        <v>0.14000000000000001</v>
      </c>
      <c r="K340" s="66">
        <v>1</v>
      </c>
      <c r="L340" s="66">
        <f ca="1">IF(Log_2018[[#This Row],[Date]]&lt;=TODAY(), MIN(Log_2018[[#This Row],[Split_raw]], TODAY()-Log_2018[[#This Row],[Date]]+1), 0)</f>
        <v>1</v>
      </c>
      <c r="M340" t="s">
        <v>144</v>
      </c>
      <c r="N340" t="s">
        <v>160</v>
      </c>
      <c r="O340" s="50">
        <v>0</v>
      </c>
      <c r="P340" s="52">
        <f ca="1">Log_2018[[#This Row],[Amount]]/Log_2018[[#This Row],[Split_raw]]*MAX(0,MIN(_xlfn.DAYS(EDATE(P$1,1),Log_2018[[#This Row],[Date]]),Log_2018[[#This Row],[Split_apply]])) - SUM($O340:O340)</f>
        <v>0</v>
      </c>
      <c r="Q340" s="52">
        <f ca="1">Log_2018[[#This Row],[Amount]]/Log_2018[[#This Row],[Split_raw]]*MAX(0,MIN(_xlfn.DAYS(EDATE(Q$1,1),Log_2018[[#This Row],[Date]]),Log_2018[[#This Row],[Split_apply]])) - SUM($O340:P340)</f>
        <v>0</v>
      </c>
      <c r="R340" s="52">
        <f ca="1">Log_2018[[#This Row],[Amount]]/Log_2018[[#This Row],[Split_raw]]*MAX(0,MIN(_xlfn.DAYS(EDATE(R$1,1),Log_2018[[#This Row],[Date]]),Log_2018[[#This Row],[Split_apply]])) - SUM($O340:Q340)</f>
        <v>0</v>
      </c>
      <c r="S340" s="52">
        <f ca="1">Log_2018[[#This Row],[Amount]]/Log_2018[[#This Row],[Split_raw]]*MAX(0,MIN(_xlfn.DAYS(EDATE(S$1,1),Log_2018[[#This Row],[Date]]),Log_2018[[#This Row],[Split_apply]])) - SUM($O340:R340)</f>
        <v>0</v>
      </c>
      <c r="T340" s="52">
        <f ca="1">Log_2018[[#This Row],[Amount]]/Log_2018[[#This Row],[Split_raw]]*MAX(0,MIN(_xlfn.DAYS(EDATE(T$1,1),Log_2018[[#This Row],[Date]]),Log_2018[[#This Row],[Split_apply]])) - SUM($O340:S340)</f>
        <v>0</v>
      </c>
      <c r="U340" s="52">
        <f ca="1">Log_2018[[#This Row],[Amount]]/Log_2018[[#This Row],[Split_raw]]*MAX(0,MIN(_xlfn.DAYS(EDATE(U$1,1),Log_2018[[#This Row],[Date]]),Log_2018[[#This Row],[Split_apply]])) - SUM($O340:T340)</f>
        <v>0</v>
      </c>
      <c r="V340" s="52">
        <f ca="1">Log_2018[[#This Row],[Amount]]/Log_2018[[#This Row],[Split_raw]]*MAX(0,MIN(_xlfn.DAYS(EDATE(V$1,1),Log_2018[[#This Row],[Date]]),Log_2018[[#This Row],[Split_apply]])) - SUM($O340:U340)</f>
        <v>0.14000000000000001</v>
      </c>
      <c r="W340" s="52">
        <f ca="1">Log_2018[[#This Row],[Amount]]/Log_2018[[#This Row],[Split_raw]]*MAX(0,MIN(_xlfn.DAYS(EDATE(W$1,1),Log_2018[[#This Row],[Date]]),Log_2018[[#This Row],[Split_apply]])) - SUM($O340:V340)</f>
        <v>0</v>
      </c>
      <c r="X340" s="52">
        <f ca="1">Log_2018[[#This Row],[Amount]]/Log_2018[[#This Row],[Split_raw]]*MAX(0,MIN(_xlfn.DAYS(EDATE(X$1,1),Log_2018[[#This Row],[Date]]),Log_2018[[#This Row],[Split_apply]])) - SUM($O340:W340)</f>
        <v>0</v>
      </c>
      <c r="Y340" s="52">
        <f ca="1">Log_2018[[#This Row],[Amount]]/Log_2018[[#This Row],[Split_raw]]*MAX(0,MIN(_xlfn.DAYS(EDATE(Y$1,1),Log_2018[[#This Row],[Date]]),Log_2018[[#This Row],[Split_apply]])) - SUM($O340:X340)</f>
        <v>0</v>
      </c>
      <c r="Z340" s="52">
        <f ca="1">Log_2018[[#This Row],[Amount]]/Log_2018[[#This Row],[Split_raw]]*MAX(0,MIN(_xlfn.DAYS(EDATE(Z$1,1),Log_2018[[#This Row],[Date]]),Log_2018[[#This Row],[Split_apply]])) - SUM($O340:Y340)</f>
        <v>0</v>
      </c>
      <c r="AA340" s="52">
        <f ca="1">Log_2018[[#This Row],[Amount]]/Log_2018[[#This Row],[Split_raw]]*MAX(0,MIN(_xlfn.DAYS(EDATE(AA$1,1),Log_2018[[#This Row],[Date]]),Log_2018[[#This Row],[Split_apply]])) - SUM($O340:Z340)</f>
        <v>0</v>
      </c>
      <c r="AB340" s="54">
        <f ca="1">Log_2018[[#This Row],[Amount]]-SUM(O340:AA340)</f>
        <v>0</v>
      </c>
      <c r="AC340" s="7">
        <f ca="1">MAX(0,Log_2018[[#This Row],[Split_apply]] - (EDATE(AA$1,1)-Log_2018[[#This Row],[Date]]))</f>
        <v>0</v>
      </c>
    </row>
    <row r="341" spans="1:29" hidden="1" x14ac:dyDescent="0.25">
      <c r="A341" s="115"/>
      <c r="B341" t="s">
        <v>6</v>
      </c>
      <c r="D341" s="26">
        <v>43311</v>
      </c>
      <c r="E341" t="s">
        <v>340</v>
      </c>
      <c r="F341" t="s">
        <v>232</v>
      </c>
      <c r="G341" t="s">
        <v>143</v>
      </c>
      <c r="H341" s="3">
        <v>-40</v>
      </c>
      <c r="I341" s="36">
        <f>IF(Log_2018[[#This Row],[My Category]]="NONTRACKED",0,Log_2018[[#This Row],[Raw Amount]])</f>
        <v>-40</v>
      </c>
      <c r="J341" s="17">
        <f>ABS(Log_2018[[#This Row],[Amount]])</f>
        <v>40</v>
      </c>
      <c r="K341" s="66">
        <v>1</v>
      </c>
      <c r="L341" s="66">
        <f ca="1">IF(Log_2018[[#This Row],[Date]]&lt;=TODAY(), MIN(Log_2018[[#This Row],[Split_raw]], TODAY()-Log_2018[[#This Row],[Date]]+1), 0)</f>
        <v>1</v>
      </c>
      <c r="M341" t="s">
        <v>36</v>
      </c>
      <c r="N341" t="s">
        <v>160</v>
      </c>
      <c r="O341" s="50">
        <v>0</v>
      </c>
      <c r="P341" s="52">
        <f ca="1">Log_2018[[#This Row],[Amount]]/Log_2018[[#This Row],[Split_raw]]*MAX(0,MIN(_xlfn.DAYS(EDATE(P$1,1),Log_2018[[#This Row],[Date]]),Log_2018[[#This Row],[Split_apply]])) - SUM($O341:O341)</f>
        <v>0</v>
      </c>
      <c r="Q341" s="52">
        <f ca="1">Log_2018[[#This Row],[Amount]]/Log_2018[[#This Row],[Split_raw]]*MAX(0,MIN(_xlfn.DAYS(EDATE(Q$1,1),Log_2018[[#This Row],[Date]]),Log_2018[[#This Row],[Split_apply]])) - SUM($O341:P341)</f>
        <v>0</v>
      </c>
      <c r="R341" s="52">
        <f ca="1">Log_2018[[#This Row],[Amount]]/Log_2018[[#This Row],[Split_raw]]*MAX(0,MIN(_xlfn.DAYS(EDATE(R$1,1),Log_2018[[#This Row],[Date]]),Log_2018[[#This Row],[Split_apply]])) - SUM($O341:Q341)</f>
        <v>0</v>
      </c>
      <c r="S341" s="52">
        <f ca="1">Log_2018[[#This Row],[Amount]]/Log_2018[[#This Row],[Split_raw]]*MAX(0,MIN(_xlfn.DAYS(EDATE(S$1,1),Log_2018[[#This Row],[Date]]),Log_2018[[#This Row],[Split_apply]])) - SUM($O341:R341)</f>
        <v>0</v>
      </c>
      <c r="T341" s="52">
        <f ca="1">Log_2018[[#This Row],[Amount]]/Log_2018[[#This Row],[Split_raw]]*MAX(0,MIN(_xlfn.DAYS(EDATE(T$1,1),Log_2018[[#This Row],[Date]]),Log_2018[[#This Row],[Split_apply]])) - SUM($O341:S341)</f>
        <v>0</v>
      </c>
      <c r="U341" s="52">
        <f ca="1">Log_2018[[#This Row],[Amount]]/Log_2018[[#This Row],[Split_raw]]*MAX(0,MIN(_xlfn.DAYS(EDATE(U$1,1),Log_2018[[#This Row],[Date]]),Log_2018[[#This Row],[Split_apply]])) - SUM($O341:T341)</f>
        <v>0</v>
      </c>
      <c r="V341" s="52">
        <f ca="1">Log_2018[[#This Row],[Amount]]/Log_2018[[#This Row],[Split_raw]]*MAX(0,MIN(_xlfn.DAYS(EDATE(V$1,1),Log_2018[[#This Row],[Date]]),Log_2018[[#This Row],[Split_apply]])) - SUM($O341:U341)</f>
        <v>-40</v>
      </c>
      <c r="W341" s="52">
        <f ca="1">Log_2018[[#This Row],[Amount]]/Log_2018[[#This Row],[Split_raw]]*MAX(0,MIN(_xlfn.DAYS(EDATE(W$1,1),Log_2018[[#This Row],[Date]]),Log_2018[[#This Row],[Split_apply]])) - SUM($O341:V341)</f>
        <v>0</v>
      </c>
      <c r="X341" s="52">
        <f ca="1">Log_2018[[#This Row],[Amount]]/Log_2018[[#This Row],[Split_raw]]*MAX(0,MIN(_xlfn.DAYS(EDATE(X$1,1),Log_2018[[#This Row],[Date]]),Log_2018[[#This Row],[Split_apply]])) - SUM($O341:W341)</f>
        <v>0</v>
      </c>
      <c r="Y341" s="52">
        <f ca="1">Log_2018[[#This Row],[Amount]]/Log_2018[[#This Row],[Split_raw]]*MAX(0,MIN(_xlfn.DAYS(EDATE(Y$1,1),Log_2018[[#This Row],[Date]]),Log_2018[[#This Row],[Split_apply]])) - SUM($O341:X341)</f>
        <v>0</v>
      </c>
      <c r="Z341" s="52">
        <f ca="1">Log_2018[[#This Row],[Amount]]/Log_2018[[#This Row],[Split_raw]]*MAX(0,MIN(_xlfn.DAYS(EDATE(Z$1,1),Log_2018[[#This Row],[Date]]),Log_2018[[#This Row],[Split_apply]])) - SUM($O341:Y341)</f>
        <v>0</v>
      </c>
      <c r="AA341" s="52">
        <f ca="1">Log_2018[[#This Row],[Amount]]/Log_2018[[#This Row],[Split_raw]]*MAX(0,MIN(_xlfn.DAYS(EDATE(AA$1,1),Log_2018[[#This Row],[Date]]),Log_2018[[#This Row],[Split_apply]])) - SUM($O341:Z341)</f>
        <v>0</v>
      </c>
      <c r="AB341" s="54">
        <f ca="1">Log_2018[[#This Row],[Amount]]-SUM(O341:AA341)</f>
        <v>0</v>
      </c>
      <c r="AC341" s="7">
        <f ca="1">MAX(0,Log_2018[[#This Row],[Split_apply]] - (EDATE(AA$1,1)-Log_2018[[#This Row],[Date]]))</f>
        <v>0</v>
      </c>
    </row>
    <row r="342" spans="1:29" hidden="1" x14ac:dyDescent="0.25">
      <c r="A342" s="115"/>
      <c r="B342" t="s">
        <v>6</v>
      </c>
      <c r="D342" s="26">
        <v>43311</v>
      </c>
      <c r="E342" t="s">
        <v>251</v>
      </c>
      <c r="F342" t="s">
        <v>246</v>
      </c>
      <c r="G342" t="s">
        <v>143</v>
      </c>
      <c r="H342" s="3">
        <v>-8.65</v>
      </c>
      <c r="I342" s="36">
        <f>IF(Log_2018[[#This Row],[My Category]]="NONTRACKED",0,Log_2018[[#This Row],[Raw Amount]])</f>
        <v>-8.65</v>
      </c>
      <c r="J342" s="17">
        <f>ABS(Log_2018[[#This Row],[Amount]])</f>
        <v>8.65</v>
      </c>
      <c r="K342" s="66">
        <v>30</v>
      </c>
      <c r="L342" s="66">
        <f ca="1">IF(Log_2018[[#This Row],[Date]]&lt;=TODAY(), MIN(Log_2018[[#This Row],[Split_raw]], TODAY()-Log_2018[[#This Row],[Date]]+1), 0)</f>
        <v>30</v>
      </c>
      <c r="M342" t="s">
        <v>53</v>
      </c>
      <c r="N342" t="s">
        <v>160</v>
      </c>
      <c r="O342" s="50">
        <v>0</v>
      </c>
      <c r="P342" s="52">
        <f ca="1">Log_2018[[#This Row],[Amount]]/Log_2018[[#This Row],[Split_raw]]*MAX(0,MIN(_xlfn.DAYS(EDATE(P$1,1),Log_2018[[#This Row],[Date]]),Log_2018[[#This Row],[Split_apply]])) - SUM($O342:O342)</f>
        <v>0</v>
      </c>
      <c r="Q342" s="52">
        <f ca="1">Log_2018[[#This Row],[Amount]]/Log_2018[[#This Row],[Split_raw]]*MAX(0,MIN(_xlfn.DAYS(EDATE(Q$1,1),Log_2018[[#This Row],[Date]]),Log_2018[[#This Row],[Split_apply]])) - SUM($O342:P342)</f>
        <v>0</v>
      </c>
      <c r="R342" s="52">
        <f ca="1">Log_2018[[#This Row],[Amount]]/Log_2018[[#This Row],[Split_raw]]*MAX(0,MIN(_xlfn.DAYS(EDATE(R$1,1),Log_2018[[#This Row],[Date]]),Log_2018[[#This Row],[Split_apply]])) - SUM($O342:Q342)</f>
        <v>0</v>
      </c>
      <c r="S342" s="52">
        <f ca="1">Log_2018[[#This Row],[Amount]]/Log_2018[[#This Row],[Split_raw]]*MAX(0,MIN(_xlfn.DAYS(EDATE(S$1,1),Log_2018[[#This Row],[Date]]),Log_2018[[#This Row],[Split_apply]])) - SUM($O342:R342)</f>
        <v>0</v>
      </c>
      <c r="T342" s="52">
        <f ca="1">Log_2018[[#This Row],[Amount]]/Log_2018[[#This Row],[Split_raw]]*MAX(0,MIN(_xlfn.DAYS(EDATE(T$1,1),Log_2018[[#This Row],[Date]]),Log_2018[[#This Row],[Split_apply]])) - SUM($O342:S342)</f>
        <v>0</v>
      </c>
      <c r="U342" s="52">
        <f ca="1">Log_2018[[#This Row],[Amount]]/Log_2018[[#This Row],[Split_raw]]*MAX(0,MIN(_xlfn.DAYS(EDATE(U$1,1),Log_2018[[#This Row],[Date]]),Log_2018[[#This Row],[Split_apply]])) - SUM($O342:T342)</f>
        <v>0</v>
      </c>
      <c r="V342" s="52">
        <f ca="1">Log_2018[[#This Row],[Amount]]/Log_2018[[#This Row],[Split_raw]]*MAX(0,MIN(_xlfn.DAYS(EDATE(V$1,1),Log_2018[[#This Row],[Date]]),Log_2018[[#This Row],[Split_apply]])) - SUM($O342:U342)</f>
        <v>-0.57666666666666666</v>
      </c>
      <c r="W342" s="52">
        <f ca="1">Log_2018[[#This Row],[Amount]]/Log_2018[[#This Row],[Split_raw]]*MAX(0,MIN(_xlfn.DAYS(EDATE(W$1,1),Log_2018[[#This Row],[Date]]),Log_2018[[#This Row],[Split_apply]])) - SUM($O342:V342)</f>
        <v>-8.0733333333333341</v>
      </c>
      <c r="X342" s="52">
        <f ca="1">Log_2018[[#This Row],[Amount]]/Log_2018[[#This Row],[Split_raw]]*MAX(0,MIN(_xlfn.DAYS(EDATE(X$1,1),Log_2018[[#This Row],[Date]]),Log_2018[[#This Row],[Split_apply]])) - SUM($O342:W342)</f>
        <v>0</v>
      </c>
      <c r="Y342" s="52">
        <f ca="1">Log_2018[[#This Row],[Amount]]/Log_2018[[#This Row],[Split_raw]]*MAX(0,MIN(_xlfn.DAYS(EDATE(Y$1,1),Log_2018[[#This Row],[Date]]),Log_2018[[#This Row],[Split_apply]])) - SUM($O342:X342)</f>
        <v>0</v>
      </c>
      <c r="Z342" s="52">
        <f ca="1">Log_2018[[#This Row],[Amount]]/Log_2018[[#This Row],[Split_raw]]*MAX(0,MIN(_xlfn.DAYS(EDATE(Z$1,1),Log_2018[[#This Row],[Date]]),Log_2018[[#This Row],[Split_apply]])) - SUM($O342:Y342)</f>
        <v>0</v>
      </c>
      <c r="AA342" s="52">
        <f ca="1">Log_2018[[#This Row],[Amount]]/Log_2018[[#This Row],[Split_raw]]*MAX(0,MIN(_xlfn.DAYS(EDATE(AA$1,1),Log_2018[[#This Row],[Date]]),Log_2018[[#This Row],[Split_apply]])) - SUM($O342:Z342)</f>
        <v>0</v>
      </c>
      <c r="AB342" s="54">
        <f ca="1">Log_2018[[#This Row],[Amount]]-SUM(O342:AA342)</f>
        <v>0</v>
      </c>
      <c r="AC342" s="7">
        <f ca="1">MAX(0,Log_2018[[#This Row],[Split_apply]] - (EDATE(AA$1,1)-Log_2018[[#This Row],[Date]]))</f>
        <v>0</v>
      </c>
    </row>
    <row r="343" spans="1:29" hidden="1" x14ac:dyDescent="0.25">
      <c r="A343" s="115"/>
      <c r="B343" t="s">
        <v>6</v>
      </c>
      <c r="D343" s="26">
        <v>43309</v>
      </c>
      <c r="F343" t="s">
        <v>184</v>
      </c>
      <c r="G343" t="s">
        <v>11</v>
      </c>
      <c r="H343" s="3">
        <v>-11.84</v>
      </c>
      <c r="I343" s="36">
        <f>IF(Log_2018[[#This Row],[My Category]]="NONTRACKED",0,Log_2018[[#This Row],[Raw Amount]])</f>
        <v>-11.84</v>
      </c>
      <c r="J343" s="17">
        <f>ABS(Log_2018[[#This Row],[Amount]])</f>
        <v>11.84</v>
      </c>
      <c r="K343" s="66">
        <v>1</v>
      </c>
      <c r="L343" s="66">
        <f ca="1">IF(Log_2018[[#This Row],[Date]]&lt;=TODAY(), MIN(Log_2018[[#This Row],[Split_raw]], TODAY()-Log_2018[[#This Row],[Date]]+1), 0)</f>
        <v>1</v>
      </c>
      <c r="M343" t="s">
        <v>145</v>
      </c>
      <c r="N343" t="s">
        <v>158</v>
      </c>
      <c r="O343" s="50">
        <v>0</v>
      </c>
      <c r="P343" s="52">
        <f ca="1">Log_2018[[#This Row],[Amount]]/Log_2018[[#This Row],[Split_raw]]*MAX(0,MIN(_xlfn.DAYS(EDATE(P$1,1),Log_2018[[#This Row],[Date]]),Log_2018[[#This Row],[Split_apply]])) - SUM($O343:O343)</f>
        <v>0</v>
      </c>
      <c r="Q343" s="52">
        <f ca="1">Log_2018[[#This Row],[Amount]]/Log_2018[[#This Row],[Split_raw]]*MAX(0,MIN(_xlfn.DAYS(EDATE(Q$1,1),Log_2018[[#This Row],[Date]]),Log_2018[[#This Row],[Split_apply]])) - SUM($O343:P343)</f>
        <v>0</v>
      </c>
      <c r="R343" s="52">
        <f ca="1">Log_2018[[#This Row],[Amount]]/Log_2018[[#This Row],[Split_raw]]*MAX(0,MIN(_xlfn.DAYS(EDATE(R$1,1),Log_2018[[#This Row],[Date]]),Log_2018[[#This Row],[Split_apply]])) - SUM($O343:Q343)</f>
        <v>0</v>
      </c>
      <c r="S343" s="52">
        <f ca="1">Log_2018[[#This Row],[Amount]]/Log_2018[[#This Row],[Split_raw]]*MAX(0,MIN(_xlfn.DAYS(EDATE(S$1,1),Log_2018[[#This Row],[Date]]),Log_2018[[#This Row],[Split_apply]])) - SUM($O343:R343)</f>
        <v>0</v>
      </c>
      <c r="T343" s="52">
        <f ca="1">Log_2018[[#This Row],[Amount]]/Log_2018[[#This Row],[Split_raw]]*MAX(0,MIN(_xlfn.DAYS(EDATE(T$1,1),Log_2018[[#This Row],[Date]]),Log_2018[[#This Row],[Split_apply]])) - SUM($O343:S343)</f>
        <v>0</v>
      </c>
      <c r="U343" s="52">
        <f ca="1">Log_2018[[#This Row],[Amount]]/Log_2018[[#This Row],[Split_raw]]*MAX(0,MIN(_xlfn.DAYS(EDATE(U$1,1),Log_2018[[#This Row],[Date]]),Log_2018[[#This Row],[Split_apply]])) - SUM($O343:T343)</f>
        <v>0</v>
      </c>
      <c r="V343" s="52">
        <f ca="1">Log_2018[[#This Row],[Amount]]/Log_2018[[#This Row],[Split_raw]]*MAX(0,MIN(_xlfn.DAYS(EDATE(V$1,1),Log_2018[[#This Row],[Date]]),Log_2018[[#This Row],[Split_apply]])) - SUM($O343:U343)</f>
        <v>-11.84</v>
      </c>
      <c r="W343" s="52">
        <f ca="1">Log_2018[[#This Row],[Amount]]/Log_2018[[#This Row],[Split_raw]]*MAX(0,MIN(_xlfn.DAYS(EDATE(W$1,1),Log_2018[[#This Row],[Date]]),Log_2018[[#This Row],[Split_apply]])) - SUM($O343:V343)</f>
        <v>0</v>
      </c>
      <c r="X343" s="52">
        <f ca="1">Log_2018[[#This Row],[Amount]]/Log_2018[[#This Row],[Split_raw]]*MAX(0,MIN(_xlfn.DAYS(EDATE(X$1,1),Log_2018[[#This Row],[Date]]),Log_2018[[#This Row],[Split_apply]])) - SUM($O343:W343)</f>
        <v>0</v>
      </c>
      <c r="Y343" s="52">
        <f ca="1">Log_2018[[#This Row],[Amount]]/Log_2018[[#This Row],[Split_raw]]*MAX(0,MIN(_xlfn.DAYS(EDATE(Y$1,1),Log_2018[[#This Row],[Date]]),Log_2018[[#This Row],[Split_apply]])) - SUM($O343:X343)</f>
        <v>0</v>
      </c>
      <c r="Z343" s="52">
        <f ca="1">Log_2018[[#This Row],[Amount]]/Log_2018[[#This Row],[Split_raw]]*MAX(0,MIN(_xlfn.DAYS(EDATE(Z$1,1),Log_2018[[#This Row],[Date]]),Log_2018[[#This Row],[Split_apply]])) - SUM($O343:Y343)</f>
        <v>0</v>
      </c>
      <c r="AA343" s="52">
        <f ca="1">Log_2018[[#This Row],[Amount]]/Log_2018[[#This Row],[Split_raw]]*MAX(0,MIN(_xlfn.DAYS(EDATE(AA$1,1),Log_2018[[#This Row],[Date]]),Log_2018[[#This Row],[Split_apply]])) - SUM($O343:Z343)</f>
        <v>0</v>
      </c>
      <c r="AB343" s="54">
        <f ca="1">Log_2018[[#This Row],[Amount]]-SUM(O343:AA343)</f>
        <v>0</v>
      </c>
      <c r="AC343" s="7">
        <f ca="1">MAX(0,Log_2018[[#This Row],[Split_apply]] - (EDATE(AA$1,1)-Log_2018[[#This Row],[Date]]))</f>
        <v>0</v>
      </c>
    </row>
    <row r="344" spans="1:29" hidden="1" x14ac:dyDescent="0.25">
      <c r="A344" s="115"/>
      <c r="B344" t="s">
        <v>6</v>
      </c>
      <c r="D344" s="26">
        <v>43307</v>
      </c>
      <c r="F344" t="s">
        <v>315</v>
      </c>
      <c r="G344" t="s">
        <v>25</v>
      </c>
      <c r="H344" s="3">
        <v>-25.28</v>
      </c>
      <c r="I344" s="36">
        <f>IF(Log_2018[[#This Row],[My Category]]="NONTRACKED",0,Log_2018[[#This Row],[Raw Amount]])</f>
        <v>-25.28</v>
      </c>
      <c r="J344" s="17">
        <f>ABS(Log_2018[[#This Row],[Amount]])</f>
        <v>25.28</v>
      </c>
      <c r="K344" s="66">
        <v>1</v>
      </c>
      <c r="L344" s="66">
        <f ca="1">IF(Log_2018[[#This Row],[Date]]&lt;=TODAY(), MIN(Log_2018[[#This Row],[Split_raw]], TODAY()-Log_2018[[#This Row],[Date]]+1), 0)</f>
        <v>1</v>
      </c>
      <c r="M344" t="s">
        <v>35</v>
      </c>
      <c r="N344" t="s">
        <v>158</v>
      </c>
      <c r="O344" s="50">
        <v>0</v>
      </c>
      <c r="P344" s="52">
        <f ca="1">Log_2018[[#This Row],[Amount]]/Log_2018[[#This Row],[Split_raw]]*MAX(0,MIN(_xlfn.DAYS(EDATE(P$1,1),Log_2018[[#This Row],[Date]]),Log_2018[[#This Row],[Split_apply]])) - SUM($O344:O344)</f>
        <v>0</v>
      </c>
      <c r="Q344" s="52">
        <f ca="1">Log_2018[[#This Row],[Amount]]/Log_2018[[#This Row],[Split_raw]]*MAX(0,MIN(_xlfn.DAYS(EDATE(Q$1,1),Log_2018[[#This Row],[Date]]),Log_2018[[#This Row],[Split_apply]])) - SUM($O344:P344)</f>
        <v>0</v>
      </c>
      <c r="R344" s="52">
        <f ca="1">Log_2018[[#This Row],[Amount]]/Log_2018[[#This Row],[Split_raw]]*MAX(0,MIN(_xlfn.DAYS(EDATE(R$1,1),Log_2018[[#This Row],[Date]]),Log_2018[[#This Row],[Split_apply]])) - SUM($O344:Q344)</f>
        <v>0</v>
      </c>
      <c r="S344" s="52">
        <f ca="1">Log_2018[[#This Row],[Amount]]/Log_2018[[#This Row],[Split_raw]]*MAX(0,MIN(_xlfn.DAYS(EDATE(S$1,1),Log_2018[[#This Row],[Date]]),Log_2018[[#This Row],[Split_apply]])) - SUM($O344:R344)</f>
        <v>0</v>
      </c>
      <c r="T344" s="52">
        <f ca="1">Log_2018[[#This Row],[Amount]]/Log_2018[[#This Row],[Split_raw]]*MAX(0,MIN(_xlfn.DAYS(EDATE(T$1,1),Log_2018[[#This Row],[Date]]),Log_2018[[#This Row],[Split_apply]])) - SUM($O344:S344)</f>
        <v>0</v>
      </c>
      <c r="U344" s="52">
        <f ca="1">Log_2018[[#This Row],[Amount]]/Log_2018[[#This Row],[Split_raw]]*MAX(0,MIN(_xlfn.DAYS(EDATE(U$1,1),Log_2018[[#This Row],[Date]]),Log_2018[[#This Row],[Split_apply]])) - SUM($O344:T344)</f>
        <v>0</v>
      </c>
      <c r="V344" s="52">
        <f ca="1">Log_2018[[#This Row],[Amount]]/Log_2018[[#This Row],[Split_raw]]*MAX(0,MIN(_xlfn.DAYS(EDATE(V$1,1),Log_2018[[#This Row],[Date]]),Log_2018[[#This Row],[Split_apply]])) - SUM($O344:U344)</f>
        <v>-25.28</v>
      </c>
      <c r="W344" s="52">
        <f ca="1">Log_2018[[#This Row],[Amount]]/Log_2018[[#This Row],[Split_raw]]*MAX(0,MIN(_xlfn.DAYS(EDATE(W$1,1),Log_2018[[#This Row],[Date]]),Log_2018[[#This Row],[Split_apply]])) - SUM($O344:V344)</f>
        <v>0</v>
      </c>
      <c r="X344" s="52">
        <f ca="1">Log_2018[[#This Row],[Amount]]/Log_2018[[#This Row],[Split_raw]]*MAX(0,MIN(_xlfn.DAYS(EDATE(X$1,1),Log_2018[[#This Row],[Date]]),Log_2018[[#This Row],[Split_apply]])) - SUM($O344:W344)</f>
        <v>0</v>
      </c>
      <c r="Y344" s="52">
        <f ca="1">Log_2018[[#This Row],[Amount]]/Log_2018[[#This Row],[Split_raw]]*MAX(0,MIN(_xlfn.DAYS(EDATE(Y$1,1),Log_2018[[#This Row],[Date]]),Log_2018[[#This Row],[Split_apply]])) - SUM($O344:X344)</f>
        <v>0</v>
      </c>
      <c r="Z344" s="52">
        <f ca="1">Log_2018[[#This Row],[Amount]]/Log_2018[[#This Row],[Split_raw]]*MAX(0,MIN(_xlfn.DAYS(EDATE(Z$1,1),Log_2018[[#This Row],[Date]]),Log_2018[[#This Row],[Split_apply]])) - SUM($O344:Y344)</f>
        <v>0</v>
      </c>
      <c r="AA344" s="52">
        <f ca="1">Log_2018[[#This Row],[Amount]]/Log_2018[[#This Row],[Split_raw]]*MAX(0,MIN(_xlfn.DAYS(EDATE(AA$1,1),Log_2018[[#This Row],[Date]]),Log_2018[[#This Row],[Split_apply]])) - SUM($O344:Z344)</f>
        <v>0</v>
      </c>
      <c r="AB344" s="54">
        <f ca="1">Log_2018[[#This Row],[Amount]]-SUM(O344:AA344)</f>
        <v>0</v>
      </c>
      <c r="AC344" s="7">
        <f ca="1">MAX(0,Log_2018[[#This Row],[Split_apply]] - (EDATE(AA$1,1)-Log_2018[[#This Row],[Date]]))</f>
        <v>0</v>
      </c>
    </row>
    <row r="345" spans="1:29" hidden="1" x14ac:dyDescent="0.25">
      <c r="A345" s="115"/>
      <c r="B345" t="s">
        <v>6</v>
      </c>
      <c r="D345" s="26">
        <v>43307</v>
      </c>
      <c r="F345" t="s">
        <v>328</v>
      </c>
      <c r="G345" t="s">
        <v>25</v>
      </c>
      <c r="H345" s="3">
        <v>-10.47</v>
      </c>
      <c r="I345" s="36">
        <f>IF(Log_2018[[#This Row],[My Category]]="NONTRACKED",0,Log_2018[[#This Row],[Raw Amount]])</f>
        <v>-10.47</v>
      </c>
      <c r="J345" s="17">
        <f>ABS(Log_2018[[#This Row],[Amount]])</f>
        <v>10.47</v>
      </c>
      <c r="K345" s="66">
        <v>1</v>
      </c>
      <c r="L345" s="66">
        <f ca="1">IF(Log_2018[[#This Row],[Date]]&lt;=TODAY(), MIN(Log_2018[[#This Row],[Split_raw]], TODAY()-Log_2018[[#This Row],[Date]]+1), 0)</f>
        <v>1</v>
      </c>
      <c r="M345" t="s">
        <v>35</v>
      </c>
      <c r="N345" t="s">
        <v>158</v>
      </c>
      <c r="O345" s="50">
        <v>0</v>
      </c>
      <c r="P345" s="52">
        <f ca="1">Log_2018[[#This Row],[Amount]]/Log_2018[[#This Row],[Split_raw]]*MAX(0,MIN(_xlfn.DAYS(EDATE(P$1,1),Log_2018[[#This Row],[Date]]),Log_2018[[#This Row],[Split_apply]])) - SUM($O345:O345)</f>
        <v>0</v>
      </c>
      <c r="Q345" s="52">
        <f ca="1">Log_2018[[#This Row],[Amount]]/Log_2018[[#This Row],[Split_raw]]*MAX(0,MIN(_xlfn.DAYS(EDATE(Q$1,1),Log_2018[[#This Row],[Date]]),Log_2018[[#This Row],[Split_apply]])) - SUM($O345:P345)</f>
        <v>0</v>
      </c>
      <c r="R345" s="52">
        <f ca="1">Log_2018[[#This Row],[Amount]]/Log_2018[[#This Row],[Split_raw]]*MAX(0,MIN(_xlfn.DAYS(EDATE(R$1,1),Log_2018[[#This Row],[Date]]),Log_2018[[#This Row],[Split_apply]])) - SUM($O345:Q345)</f>
        <v>0</v>
      </c>
      <c r="S345" s="52">
        <f ca="1">Log_2018[[#This Row],[Amount]]/Log_2018[[#This Row],[Split_raw]]*MAX(0,MIN(_xlfn.DAYS(EDATE(S$1,1),Log_2018[[#This Row],[Date]]),Log_2018[[#This Row],[Split_apply]])) - SUM($O345:R345)</f>
        <v>0</v>
      </c>
      <c r="T345" s="52">
        <f ca="1">Log_2018[[#This Row],[Amount]]/Log_2018[[#This Row],[Split_raw]]*MAX(0,MIN(_xlfn.DAYS(EDATE(T$1,1),Log_2018[[#This Row],[Date]]),Log_2018[[#This Row],[Split_apply]])) - SUM($O345:S345)</f>
        <v>0</v>
      </c>
      <c r="U345" s="52">
        <f ca="1">Log_2018[[#This Row],[Amount]]/Log_2018[[#This Row],[Split_raw]]*MAX(0,MIN(_xlfn.DAYS(EDATE(U$1,1),Log_2018[[#This Row],[Date]]),Log_2018[[#This Row],[Split_apply]])) - SUM($O345:T345)</f>
        <v>0</v>
      </c>
      <c r="V345" s="52">
        <f ca="1">Log_2018[[#This Row],[Amount]]/Log_2018[[#This Row],[Split_raw]]*MAX(0,MIN(_xlfn.DAYS(EDATE(V$1,1),Log_2018[[#This Row],[Date]]),Log_2018[[#This Row],[Split_apply]])) - SUM($O345:U345)</f>
        <v>-10.47</v>
      </c>
      <c r="W345" s="52">
        <f ca="1">Log_2018[[#This Row],[Amount]]/Log_2018[[#This Row],[Split_raw]]*MAX(0,MIN(_xlfn.DAYS(EDATE(W$1,1),Log_2018[[#This Row],[Date]]),Log_2018[[#This Row],[Split_apply]])) - SUM($O345:V345)</f>
        <v>0</v>
      </c>
      <c r="X345" s="52">
        <f ca="1">Log_2018[[#This Row],[Amount]]/Log_2018[[#This Row],[Split_raw]]*MAX(0,MIN(_xlfn.DAYS(EDATE(X$1,1),Log_2018[[#This Row],[Date]]),Log_2018[[#This Row],[Split_apply]])) - SUM($O345:W345)</f>
        <v>0</v>
      </c>
      <c r="Y345" s="52">
        <f ca="1">Log_2018[[#This Row],[Amount]]/Log_2018[[#This Row],[Split_raw]]*MAX(0,MIN(_xlfn.DAYS(EDATE(Y$1,1),Log_2018[[#This Row],[Date]]),Log_2018[[#This Row],[Split_apply]])) - SUM($O345:X345)</f>
        <v>0</v>
      </c>
      <c r="Z345" s="52">
        <f ca="1">Log_2018[[#This Row],[Amount]]/Log_2018[[#This Row],[Split_raw]]*MAX(0,MIN(_xlfn.DAYS(EDATE(Z$1,1),Log_2018[[#This Row],[Date]]),Log_2018[[#This Row],[Split_apply]])) - SUM($O345:Y345)</f>
        <v>0</v>
      </c>
      <c r="AA345" s="52">
        <f ca="1">Log_2018[[#This Row],[Amount]]/Log_2018[[#This Row],[Split_raw]]*MAX(0,MIN(_xlfn.DAYS(EDATE(AA$1,1),Log_2018[[#This Row],[Date]]),Log_2018[[#This Row],[Split_apply]])) - SUM($O345:Z345)</f>
        <v>0</v>
      </c>
      <c r="AB345" s="54">
        <f ca="1">Log_2018[[#This Row],[Amount]]-SUM(O345:AA345)</f>
        <v>0</v>
      </c>
      <c r="AC345" s="7">
        <f ca="1">MAX(0,Log_2018[[#This Row],[Split_apply]] - (EDATE(AA$1,1)-Log_2018[[#This Row],[Date]]))</f>
        <v>0</v>
      </c>
    </row>
    <row r="346" spans="1:29" hidden="1" x14ac:dyDescent="0.25">
      <c r="A346" s="115"/>
      <c r="B346" t="s">
        <v>6</v>
      </c>
      <c r="D346" s="26">
        <v>43306</v>
      </c>
      <c r="F346" t="s">
        <v>255</v>
      </c>
      <c r="G346" t="s">
        <v>25</v>
      </c>
      <c r="H346" s="3">
        <v>-10.94</v>
      </c>
      <c r="I346" s="36">
        <f>IF(Log_2018[[#This Row],[My Category]]="NONTRACKED",0,Log_2018[[#This Row],[Raw Amount]])</f>
        <v>-10.94</v>
      </c>
      <c r="J346" s="17">
        <f>ABS(Log_2018[[#This Row],[Amount]])</f>
        <v>10.94</v>
      </c>
      <c r="K346" s="66">
        <v>1</v>
      </c>
      <c r="L346" s="66">
        <f ca="1">IF(Log_2018[[#This Row],[Date]]&lt;=TODAY(), MIN(Log_2018[[#This Row],[Split_raw]], TODAY()-Log_2018[[#This Row],[Date]]+1), 0)</f>
        <v>1</v>
      </c>
      <c r="M346" t="s">
        <v>35</v>
      </c>
      <c r="N346" t="s">
        <v>158</v>
      </c>
      <c r="O346" s="50">
        <v>0</v>
      </c>
      <c r="P346" s="52">
        <f ca="1">Log_2018[[#This Row],[Amount]]/Log_2018[[#This Row],[Split_raw]]*MAX(0,MIN(_xlfn.DAYS(EDATE(P$1,1),Log_2018[[#This Row],[Date]]),Log_2018[[#This Row],[Split_apply]])) - SUM($O346:O346)</f>
        <v>0</v>
      </c>
      <c r="Q346" s="52">
        <f ca="1">Log_2018[[#This Row],[Amount]]/Log_2018[[#This Row],[Split_raw]]*MAX(0,MIN(_xlfn.DAYS(EDATE(Q$1,1),Log_2018[[#This Row],[Date]]),Log_2018[[#This Row],[Split_apply]])) - SUM($O346:P346)</f>
        <v>0</v>
      </c>
      <c r="R346" s="52">
        <f ca="1">Log_2018[[#This Row],[Amount]]/Log_2018[[#This Row],[Split_raw]]*MAX(0,MIN(_xlfn.DAYS(EDATE(R$1,1),Log_2018[[#This Row],[Date]]),Log_2018[[#This Row],[Split_apply]])) - SUM($O346:Q346)</f>
        <v>0</v>
      </c>
      <c r="S346" s="52">
        <f ca="1">Log_2018[[#This Row],[Amount]]/Log_2018[[#This Row],[Split_raw]]*MAX(0,MIN(_xlfn.DAYS(EDATE(S$1,1),Log_2018[[#This Row],[Date]]),Log_2018[[#This Row],[Split_apply]])) - SUM($O346:R346)</f>
        <v>0</v>
      </c>
      <c r="T346" s="52">
        <f ca="1">Log_2018[[#This Row],[Amount]]/Log_2018[[#This Row],[Split_raw]]*MAX(0,MIN(_xlfn.DAYS(EDATE(T$1,1),Log_2018[[#This Row],[Date]]),Log_2018[[#This Row],[Split_apply]])) - SUM($O346:S346)</f>
        <v>0</v>
      </c>
      <c r="U346" s="52">
        <f ca="1">Log_2018[[#This Row],[Amount]]/Log_2018[[#This Row],[Split_raw]]*MAX(0,MIN(_xlfn.DAYS(EDATE(U$1,1),Log_2018[[#This Row],[Date]]),Log_2018[[#This Row],[Split_apply]])) - SUM($O346:T346)</f>
        <v>0</v>
      </c>
      <c r="V346" s="52">
        <f ca="1">Log_2018[[#This Row],[Amount]]/Log_2018[[#This Row],[Split_raw]]*MAX(0,MIN(_xlfn.DAYS(EDATE(V$1,1),Log_2018[[#This Row],[Date]]),Log_2018[[#This Row],[Split_apply]])) - SUM($O346:U346)</f>
        <v>-10.94</v>
      </c>
      <c r="W346" s="52">
        <f ca="1">Log_2018[[#This Row],[Amount]]/Log_2018[[#This Row],[Split_raw]]*MAX(0,MIN(_xlfn.DAYS(EDATE(W$1,1),Log_2018[[#This Row],[Date]]),Log_2018[[#This Row],[Split_apply]])) - SUM($O346:V346)</f>
        <v>0</v>
      </c>
      <c r="X346" s="52">
        <f ca="1">Log_2018[[#This Row],[Amount]]/Log_2018[[#This Row],[Split_raw]]*MAX(0,MIN(_xlfn.DAYS(EDATE(X$1,1),Log_2018[[#This Row],[Date]]),Log_2018[[#This Row],[Split_apply]])) - SUM($O346:W346)</f>
        <v>0</v>
      </c>
      <c r="Y346" s="52">
        <f ca="1">Log_2018[[#This Row],[Amount]]/Log_2018[[#This Row],[Split_raw]]*MAX(0,MIN(_xlfn.DAYS(EDATE(Y$1,1),Log_2018[[#This Row],[Date]]),Log_2018[[#This Row],[Split_apply]])) - SUM($O346:X346)</f>
        <v>0</v>
      </c>
      <c r="Z346" s="52">
        <f ca="1">Log_2018[[#This Row],[Amount]]/Log_2018[[#This Row],[Split_raw]]*MAX(0,MIN(_xlfn.DAYS(EDATE(Z$1,1),Log_2018[[#This Row],[Date]]),Log_2018[[#This Row],[Split_apply]])) - SUM($O346:Y346)</f>
        <v>0</v>
      </c>
      <c r="AA346" s="52">
        <f ca="1">Log_2018[[#This Row],[Amount]]/Log_2018[[#This Row],[Split_raw]]*MAX(0,MIN(_xlfn.DAYS(EDATE(AA$1,1),Log_2018[[#This Row],[Date]]),Log_2018[[#This Row],[Split_apply]])) - SUM($O346:Z346)</f>
        <v>0</v>
      </c>
      <c r="AB346" s="54">
        <f ca="1">Log_2018[[#This Row],[Amount]]-SUM(O346:AA346)</f>
        <v>0</v>
      </c>
      <c r="AC346" s="7">
        <f ca="1">MAX(0,Log_2018[[#This Row],[Split_apply]] - (EDATE(AA$1,1)-Log_2018[[#This Row],[Date]]))</f>
        <v>0</v>
      </c>
    </row>
    <row r="347" spans="1:29" hidden="1" x14ac:dyDescent="0.25">
      <c r="A347" s="115"/>
      <c r="B347" t="s">
        <v>6</v>
      </c>
      <c r="D347" s="26">
        <v>43306</v>
      </c>
      <c r="F347" t="s">
        <v>255</v>
      </c>
      <c r="G347" t="s">
        <v>25</v>
      </c>
      <c r="H347" s="3">
        <v>-29.38</v>
      </c>
      <c r="I347" s="36">
        <f>IF(Log_2018[[#This Row],[My Category]]="NONTRACKED",0,Log_2018[[#This Row],[Raw Amount]])</f>
        <v>-29.38</v>
      </c>
      <c r="J347" s="17">
        <f>ABS(Log_2018[[#This Row],[Amount]])</f>
        <v>29.38</v>
      </c>
      <c r="K347" s="66">
        <v>1</v>
      </c>
      <c r="L347" s="66">
        <f ca="1">IF(Log_2018[[#This Row],[Date]]&lt;=TODAY(), MIN(Log_2018[[#This Row],[Split_raw]], TODAY()-Log_2018[[#This Row],[Date]]+1), 0)</f>
        <v>1</v>
      </c>
      <c r="M347" t="s">
        <v>52</v>
      </c>
      <c r="N347" t="s">
        <v>158</v>
      </c>
      <c r="O347" s="50">
        <v>0</v>
      </c>
      <c r="P347" s="52">
        <f ca="1">Log_2018[[#This Row],[Amount]]/Log_2018[[#This Row],[Split_raw]]*MAX(0,MIN(_xlfn.DAYS(EDATE(P$1,1),Log_2018[[#This Row],[Date]]),Log_2018[[#This Row],[Split_apply]])) - SUM($O347:O347)</f>
        <v>0</v>
      </c>
      <c r="Q347" s="52">
        <f ca="1">Log_2018[[#This Row],[Amount]]/Log_2018[[#This Row],[Split_raw]]*MAX(0,MIN(_xlfn.DAYS(EDATE(Q$1,1),Log_2018[[#This Row],[Date]]),Log_2018[[#This Row],[Split_apply]])) - SUM($O347:P347)</f>
        <v>0</v>
      </c>
      <c r="R347" s="52">
        <f ca="1">Log_2018[[#This Row],[Amount]]/Log_2018[[#This Row],[Split_raw]]*MAX(0,MIN(_xlfn.DAYS(EDATE(R$1,1),Log_2018[[#This Row],[Date]]),Log_2018[[#This Row],[Split_apply]])) - SUM($O347:Q347)</f>
        <v>0</v>
      </c>
      <c r="S347" s="52">
        <f ca="1">Log_2018[[#This Row],[Amount]]/Log_2018[[#This Row],[Split_raw]]*MAX(0,MIN(_xlfn.DAYS(EDATE(S$1,1),Log_2018[[#This Row],[Date]]),Log_2018[[#This Row],[Split_apply]])) - SUM($O347:R347)</f>
        <v>0</v>
      </c>
      <c r="T347" s="52">
        <f ca="1">Log_2018[[#This Row],[Amount]]/Log_2018[[#This Row],[Split_raw]]*MAX(0,MIN(_xlfn.DAYS(EDATE(T$1,1),Log_2018[[#This Row],[Date]]),Log_2018[[#This Row],[Split_apply]])) - SUM($O347:S347)</f>
        <v>0</v>
      </c>
      <c r="U347" s="52">
        <f ca="1">Log_2018[[#This Row],[Amount]]/Log_2018[[#This Row],[Split_raw]]*MAX(0,MIN(_xlfn.DAYS(EDATE(U$1,1),Log_2018[[#This Row],[Date]]),Log_2018[[#This Row],[Split_apply]])) - SUM($O347:T347)</f>
        <v>0</v>
      </c>
      <c r="V347" s="52">
        <f ca="1">Log_2018[[#This Row],[Amount]]/Log_2018[[#This Row],[Split_raw]]*MAX(0,MIN(_xlfn.DAYS(EDATE(V$1,1),Log_2018[[#This Row],[Date]]),Log_2018[[#This Row],[Split_apply]])) - SUM($O347:U347)</f>
        <v>-29.38</v>
      </c>
      <c r="W347" s="52">
        <f ca="1">Log_2018[[#This Row],[Amount]]/Log_2018[[#This Row],[Split_raw]]*MAX(0,MIN(_xlfn.DAYS(EDATE(W$1,1),Log_2018[[#This Row],[Date]]),Log_2018[[#This Row],[Split_apply]])) - SUM($O347:V347)</f>
        <v>0</v>
      </c>
      <c r="X347" s="52">
        <f ca="1">Log_2018[[#This Row],[Amount]]/Log_2018[[#This Row],[Split_raw]]*MAX(0,MIN(_xlfn.DAYS(EDATE(X$1,1),Log_2018[[#This Row],[Date]]),Log_2018[[#This Row],[Split_apply]])) - SUM($O347:W347)</f>
        <v>0</v>
      </c>
      <c r="Y347" s="52">
        <f ca="1">Log_2018[[#This Row],[Amount]]/Log_2018[[#This Row],[Split_raw]]*MAX(0,MIN(_xlfn.DAYS(EDATE(Y$1,1),Log_2018[[#This Row],[Date]]),Log_2018[[#This Row],[Split_apply]])) - SUM($O347:X347)</f>
        <v>0</v>
      </c>
      <c r="Z347" s="52">
        <f ca="1">Log_2018[[#This Row],[Amount]]/Log_2018[[#This Row],[Split_raw]]*MAX(0,MIN(_xlfn.DAYS(EDATE(Z$1,1),Log_2018[[#This Row],[Date]]),Log_2018[[#This Row],[Split_apply]])) - SUM($O347:Y347)</f>
        <v>0</v>
      </c>
      <c r="AA347" s="52">
        <f ca="1">Log_2018[[#This Row],[Amount]]/Log_2018[[#This Row],[Split_raw]]*MAX(0,MIN(_xlfn.DAYS(EDATE(AA$1,1),Log_2018[[#This Row],[Date]]),Log_2018[[#This Row],[Split_apply]])) - SUM($O347:Z347)</f>
        <v>0</v>
      </c>
      <c r="AB347" s="54">
        <f ca="1">Log_2018[[#This Row],[Amount]]-SUM(O347:AA347)</f>
        <v>0</v>
      </c>
      <c r="AC347" s="7">
        <f ca="1">MAX(0,Log_2018[[#This Row],[Split_apply]] - (EDATE(AA$1,1)-Log_2018[[#This Row],[Date]]))</f>
        <v>0</v>
      </c>
    </row>
    <row r="348" spans="1:29" hidden="1" x14ac:dyDescent="0.25">
      <c r="A348" s="115"/>
      <c r="B348" t="s">
        <v>6</v>
      </c>
      <c r="D348" s="26">
        <v>43305</v>
      </c>
      <c r="F348" t="s">
        <v>73</v>
      </c>
      <c r="G348" t="s">
        <v>11</v>
      </c>
      <c r="H348" s="3">
        <v>-31.69</v>
      </c>
      <c r="I348" s="36">
        <f>IF(Log_2018[[#This Row],[My Category]]="NONTRACKED",0,Log_2018[[#This Row],[Raw Amount]])</f>
        <v>-31.69</v>
      </c>
      <c r="J348" s="17">
        <f>ABS(Log_2018[[#This Row],[Amount]])</f>
        <v>31.69</v>
      </c>
      <c r="K348" s="66">
        <v>1</v>
      </c>
      <c r="L348" s="66">
        <f ca="1">IF(Log_2018[[#This Row],[Date]]&lt;=TODAY(), MIN(Log_2018[[#This Row],[Split_raw]], TODAY()-Log_2018[[#This Row],[Date]]+1), 0)</f>
        <v>1</v>
      </c>
      <c r="M348" t="s">
        <v>147</v>
      </c>
      <c r="N348" t="s">
        <v>158</v>
      </c>
      <c r="O348" s="50">
        <v>0</v>
      </c>
      <c r="P348" s="52">
        <f ca="1">Log_2018[[#This Row],[Amount]]/Log_2018[[#This Row],[Split_raw]]*MAX(0,MIN(_xlfn.DAYS(EDATE(P$1,1),Log_2018[[#This Row],[Date]]),Log_2018[[#This Row],[Split_apply]])) - SUM($O348:O348)</f>
        <v>0</v>
      </c>
      <c r="Q348" s="52">
        <f ca="1">Log_2018[[#This Row],[Amount]]/Log_2018[[#This Row],[Split_raw]]*MAX(0,MIN(_xlfn.DAYS(EDATE(Q$1,1),Log_2018[[#This Row],[Date]]),Log_2018[[#This Row],[Split_apply]])) - SUM($O348:P348)</f>
        <v>0</v>
      </c>
      <c r="R348" s="52">
        <f ca="1">Log_2018[[#This Row],[Amount]]/Log_2018[[#This Row],[Split_raw]]*MAX(0,MIN(_xlfn.DAYS(EDATE(R$1,1),Log_2018[[#This Row],[Date]]),Log_2018[[#This Row],[Split_apply]])) - SUM($O348:Q348)</f>
        <v>0</v>
      </c>
      <c r="S348" s="52">
        <f ca="1">Log_2018[[#This Row],[Amount]]/Log_2018[[#This Row],[Split_raw]]*MAX(0,MIN(_xlfn.DAYS(EDATE(S$1,1),Log_2018[[#This Row],[Date]]),Log_2018[[#This Row],[Split_apply]])) - SUM($O348:R348)</f>
        <v>0</v>
      </c>
      <c r="T348" s="52">
        <f ca="1">Log_2018[[#This Row],[Amount]]/Log_2018[[#This Row],[Split_raw]]*MAX(0,MIN(_xlfn.DAYS(EDATE(T$1,1),Log_2018[[#This Row],[Date]]),Log_2018[[#This Row],[Split_apply]])) - SUM($O348:S348)</f>
        <v>0</v>
      </c>
      <c r="U348" s="52">
        <f ca="1">Log_2018[[#This Row],[Amount]]/Log_2018[[#This Row],[Split_raw]]*MAX(0,MIN(_xlfn.DAYS(EDATE(U$1,1),Log_2018[[#This Row],[Date]]),Log_2018[[#This Row],[Split_apply]])) - SUM($O348:T348)</f>
        <v>0</v>
      </c>
      <c r="V348" s="52">
        <f ca="1">Log_2018[[#This Row],[Amount]]/Log_2018[[#This Row],[Split_raw]]*MAX(0,MIN(_xlfn.DAYS(EDATE(V$1,1),Log_2018[[#This Row],[Date]]),Log_2018[[#This Row],[Split_apply]])) - SUM($O348:U348)</f>
        <v>-31.69</v>
      </c>
      <c r="W348" s="52">
        <f ca="1">Log_2018[[#This Row],[Amount]]/Log_2018[[#This Row],[Split_raw]]*MAX(0,MIN(_xlfn.DAYS(EDATE(W$1,1),Log_2018[[#This Row],[Date]]),Log_2018[[#This Row],[Split_apply]])) - SUM($O348:V348)</f>
        <v>0</v>
      </c>
      <c r="X348" s="52">
        <f ca="1">Log_2018[[#This Row],[Amount]]/Log_2018[[#This Row],[Split_raw]]*MAX(0,MIN(_xlfn.DAYS(EDATE(X$1,1),Log_2018[[#This Row],[Date]]),Log_2018[[#This Row],[Split_apply]])) - SUM($O348:W348)</f>
        <v>0</v>
      </c>
      <c r="Y348" s="52">
        <f ca="1">Log_2018[[#This Row],[Amount]]/Log_2018[[#This Row],[Split_raw]]*MAX(0,MIN(_xlfn.DAYS(EDATE(Y$1,1),Log_2018[[#This Row],[Date]]),Log_2018[[#This Row],[Split_apply]])) - SUM($O348:X348)</f>
        <v>0</v>
      </c>
      <c r="Z348" s="52">
        <f ca="1">Log_2018[[#This Row],[Amount]]/Log_2018[[#This Row],[Split_raw]]*MAX(0,MIN(_xlfn.DAYS(EDATE(Z$1,1),Log_2018[[#This Row],[Date]]),Log_2018[[#This Row],[Split_apply]])) - SUM($O348:Y348)</f>
        <v>0</v>
      </c>
      <c r="AA348" s="52">
        <f ca="1">Log_2018[[#This Row],[Amount]]/Log_2018[[#This Row],[Split_raw]]*MAX(0,MIN(_xlfn.DAYS(EDATE(AA$1,1),Log_2018[[#This Row],[Date]]),Log_2018[[#This Row],[Split_apply]])) - SUM($O348:Z348)</f>
        <v>0</v>
      </c>
      <c r="AB348" s="54">
        <f ca="1">Log_2018[[#This Row],[Amount]]-SUM(O348:AA348)</f>
        <v>0</v>
      </c>
      <c r="AC348" s="7">
        <f ca="1">MAX(0,Log_2018[[#This Row],[Split_apply]] - (EDATE(AA$1,1)-Log_2018[[#This Row],[Date]]))</f>
        <v>0</v>
      </c>
    </row>
    <row r="349" spans="1:29" hidden="1" x14ac:dyDescent="0.25">
      <c r="A349" s="115"/>
      <c r="B349" t="s">
        <v>6</v>
      </c>
      <c r="D349" s="26">
        <v>43305</v>
      </c>
      <c r="F349" t="s">
        <v>270</v>
      </c>
      <c r="G349" t="s">
        <v>25</v>
      </c>
      <c r="H349" s="3">
        <v>-8.2100000000000009</v>
      </c>
      <c r="I349" s="36">
        <f>IF(Log_2018[[#This Row],[My Category]]="NONTRACKED",0,Log_2018[[#This Row],[Raw Amount]])</f>
        <v>-8.2100000000000009</v>
      </c>
      <c r="J349" s="17">
        <f>ABS(Log_2018[[#This Row],[Amount]])</f>
        <v>8.2100000000000009</v>
      </c>
      <c r="K349" s="66">
        <v>1</v>
      </c>
      <c r="L349" s="66">
        <f ca="1">IF(Log_2018[[#This Row],[Date]]&lt;=TODAY(), MIN(Log_2018[[#This Row],[Split_raw]], TODAY()-Log_2018[[#This Row],[Date]]+1), 0)</f>
        <v>1</v>
      </c>
      <c r="M349" t="s">
        <v>35</v>
      </c>
      <c r="N349" t="s">
        <v>158</v>
      </c>
      <c r="O349" s="50">
        <v>0</v>
      </c>
      <c r="P349" s="52">
        <f ca="1">Log_2018[[#This Row],[Amount]]/Log_2018[[#This Row],[Split_raw]]*MAX(0,MIN(_xlfn.DAYS(EDATE(P$1,1),Log_2018[[#This Row],[Date]]),Log_2018[[#This Row],[Split_apply]])) - SUM($O349:O349)</f>
        <v>0</v>
      </c>
      <c r="Q349" s="52">
        <f ca="1">Log_2018[[#This Row],[Amount]]/Log_2018[[#This Row],[Split_raw]]*MAX(0,MIN(_xlfn.DAYS(EDATE(Q$1,1),Log_2018[[#This Row],[Date]]),Log_2018[[#This Row],[Split_apply]])) - SUM($O349:P349)</f>
        <v>0</v>
      </c>
      <c r="R349" s="52">
        <f ca="1">Log_2018[[#This Row],[Amount]]/Log_2018[[#This Row],[Split_raw]]*MAX(0,MIN(_xlfn.DAYS(EDATE(R$1,1),Log_2018[[#This Row],[Date]]),Log_2018[[#This Row],[Split_apply]])) - SUM($O349:Q349)</f>
        <v>0</v>
      </c>
      <c r="S349" s="52">
        <f ca="1">Log_2018[[#This Row],[Amount]]/Log_2018[[#This Row],[Split_raw]]*MAX(0,MIN(_xlfn.DAYS(EDATE(S$1,1),Log_2018[[#This Row],[Date]]),Log_2018[[#This Row],[Split_apply]])) - SUM($O349:R349)</f>
        <v>0</v>
      </c>
      <c r="T349" s="52">
        <f ca="1">Log_2018[[#This Row],[Amount]]/Log_2018[[#This Row],[Split_raw]]*MAX(0,MIN(_xlfn.DAYS(EDATE(T$1,1),Log_2018[[#This Row],[Date]]),Log_2018[[#This Row],[Split_apply]])) - SUM($O349:S349)</f>
        <v>0</v>
      </c>
      <c r="U349" s="52">
        <f ca="1">Log_2018[[#This Row],[Amount]]/Log_2018[[#This Row],[Split_raw]]*MAX(0,MIN(_xlfn.DAYS(EDATE(U$1,1),Log_2018[[#This Row],[Date]]),Log_2018[[#This Row],[Split_apply]])) - SUM($O349:T349)</f>
        <v>0</v>
      </c>
      <c r="V349" s="52">
        <f ca="1">Log_2018[[#This Row],[Amount]]/Log_2018[[#This Row],[Split_raw]]*MAX(0,MIN(_xlfn.DAYS(EDATE(V$1,1),Log_2018[[#This Row],[Date]]),Log_2018[[#This Row],[Split_apply]])) - SUM($O349:U349)</f>
        <v>-8.2100000000000009</v>
      </c>
      <c r="W349" s="52">
        <f ca="1">Log_2018[[#This Row],[Amount]]/Log_2018[[#This Row],[Split_raw]]*MAX(0,MIN(_xlfn.DAYS(EDATE(W$1,1),Log_2018[[#This Row],[Date]]),Log_2018[[#This Row],[Split_apply]])) - SUM($O349:V349)</f>
        <v>0</v>
      </c>
      <c r="X349" s="52">
        <f ca="1">Log_2018[[#This Row],[Amount]]/Log_2018[[#This Row],[Split_raw]]*MAX(0,MIN(_xlfn.DAYS(EDATE(X$1,1),Log_2018[[#This Row],[Date]]),Log_2018[[#This Row],[Split_apply]])) - SUM($O349:W349)</f>
        <v>0</v>
      </c>
      <c r="Y349" s="52">
        <f ca="1">Log_2018[[#This Row],[Amount]]/Log_2018[[#This Row],[Split_raw]]*MAX(0,MIN(_xlfn.DAYS(EDATE(Y$1,1),Log_2018[[#This Row],[Date]]),Log_2018[[#This Row],[Split_apply]])) - SUM($O349:X349)</f>
        <v>0</v>
      </c>
      <c r="Z349" s="52">
        <f ca="1">Log_2018[[#This Row],[Amount]]/Log_2018[[#This Row],[Split_raw]]*MAX(0,MIN(_xlfn.DAYS(EDATE(Z$1,1),Log_2018[[#This Row],[Date]]),Log_2018[[#This Row],[Split_apply]])) - SUM($O349:Y349)</f>
        <v>0</v>
      </c>
      <c r="AA349" s="52">
        <f ca="1">Log_2018[[#This Row],[Amount]]/Log_2018[[#This Row],[Split_raw]]*MAX(0,MIN(_xlfn.DAYS(EDATE(AA$1,1),Log_2018[[#This Row],[Date]]),Log_2018[[#This Row],[Split_apply]])) - SUM($O349:Z349)</f>
        <v>0</v>
      </c>
      <c r="AB349" s="54">
        <f ca="1">Log_2018[[#This Row],[Amount]]-SUM(O349:AA349)</f>
        <v>0</v>
      </c>
      <c r="AC349" s="7">
        <f ca="1">MAX(0,Log_2018[[#This Row],[Split_apply]] - (EDATE(AA$1,1)-Log_2018[[#This Row],[Date]]))</f>
        <v>0</v>
      </c>
    </row>
    <row r="350" spans="1:29" hidden="1" x14ac:dyDescent="0.25">
      <c r="A350" s="115"/>
      <c r="B350" t="s">
        <v>6</v>
      </c>
      <c r="D350" s="26">
        <v>43304</v>
      </c>
      <c r="F350" t="s">
        <v>217</v>
      </c>
      <c r="G350" t="s">
        <v>12</v>
      </c>
      <c r="H350" s="3">
        <v>-79.37</v>
      </c>
      <c r="I350" s="36">
        <f>IF(Log_2018[[#This Row],[My Category]]="NONTRACKED",0,Log_2018[[#This Row],[Raw Amount]])</f>
        <v>-79.37</v>
      </c>
      <c r="J350" s="17">
        <f>ABS(Log_2018[[#This Row],[Amount]])</f>
        <v>79.37</v>
      </c>
      <c r="K350" s="66">
        <v>1</v>
      </c>
      <c r="L350" s="66">
        <f ca="1">IF(Log_2018[[#This Row],[Date]]&lt;=TODAY(), MIN(Log_2018[[#This Row],[Split_raw]], TODAY()-Log_2018[[#This Row],[Date]]+1), 0)</f>
        <v>1</v>
      </c>
      <c r="M350" t="s">
        <v>12</v>
      </c>
      <c r="N350" t="s">
        <v>158</v>
      </c>
      <c r="O350" s="50">
        <v>0</v>
      </c>
      <c r="P350" s="52">
        <f ca="1">Log_2018[[#This Row],[Amount]]/Log_2018[[#This Row],[Split_raw]]*MAX(0,MIN(_xlfn.DAYS(EDATE(P$1,1),Log_2018[[#This Row],[Date]]),Log_2018[[#This Row],[Split_apply]])) - SUM($O350:O350)</f>
        <v>0</v>
      </c>
      <c r="Q350" s="52">
        <f ca="1">Log_2018[[#This Row],[Amount]]/Log_2018[[#This Row],[Split_raw]]*MAX(0,MIN(_xlfn.DAYS(EDATE(Q$1,1),Log_2018[[#This Row],[Date]]),Log_2018[[#This Row],[Split_apply]])) - SUM($O350:P350)</f>
        <v>0</v>
      </c>
      <c r="R350" s="52">
        <f ca="1">Log_2018[[#This Row],[Amount]]/Log_2018[[#This Row],[Split_raw]]*MAX(0,MIN(_xlfn.DAYS(EDATE(R$1,1),Log_2018[[#This Row],[Date]]),Log_2018[[#This Row],[Split_apply]])) - SUM($O350:Q350)</f>
        <v>0</v>
      </c>
      <c r="S350" s="52">
        <f ca="1">Log_2018[[#This Row],[Amount]]/Log_2018[[#This Row],[Split_raw]]*MAX(0,MIN(_xlfn.DAYS(EDATE(S$1,1),Log_2018[[#This Row],[Date]]),Log_2018[[#This Row],[Split_apply]])) - SUM($O350:R350)</f>
        <v>0</v>
      </c>
      <c r="T350" s="52">
        <f ca="1">Log_2018[[#This Row],[Amount]]/Log_2018[[#This Row],[Split_raw]]*MAX(0,MIN(_xlfn.DAYS(EDATE(T$1,1),Log_2018[[#This Row],[Date]]),Log_2018[[#This Row],[Split_apply]])) - SUM($O350:S350)</f>
        <v>0</v>
      </c>
      <c r="U350" s="52">
        <f ca="1">Log_2018[[#This Row],[Amount]]/Log_2018[[#This Row],[Split_raw]]*MAX(0,MIN(_xlfn.DAYS(EDATE(U$1,1),Log_2018[[#This Row],[Date]]),Log_2018[[#This Row],[Split_apply]])) - SUM($O350:T350)</f>
        <v>0</v>
      </c>
      <c r="V350" s="52">
        <f ca="1">Log_2018[[#This Row],[Amount]]/Log_2018[[#This Row],[Split_raw]]*MAX(0,MIN(_xlfn.DAYS(EDATE(V$1,1),Log_2018[[#This Row],[Date]]),Log_2018[[#This Row],[Split_apply]])) - SUM($O350:U350)</f>
        <v>-79.37</v>
      </c>
      <c r="W350" s="52">
        <f ca="1">Log_2018[[#This Row],[Amount]]/Log_2018[[#This Row],[Split_raw]]*MAX(0,MIN(_xlfn.DAYS(EDATE(W$1,1),Log_2018[[#This Row],[Date]]),Log_2018[[#This Row],[Split_apply]])) - SUM($O350:V350)</f>
        <v>0</v>
      </c>
      <c r="X350" s="52">
        <f ca="1">Log_2018[[#This Row],[Amount]]/Log_2018[[#This Row],[Split_raw]]*MAX(0,MIN(_xlfn.DAYS(EDATE(X$1,1),Log_2018[[#This Row],[Date]]),Log_2018[[#This Row],[Split_apply]])) - SUM($O350:W350)</f>
        <v>0</v>
      </c>
      <c r="Y350" s="52">
        <f ca="1">Log_2018[[#This Row],[Amount]]/Log_2018[[#This Row],[Split_raw]]*MAX(0,MIN(_xlfn.DAYS(EDATE(Y$1,1),Log_2018[[#This Row],[Date]]),Log_2018[[#This Row],[Split_apply]])) - SUM($O350:X350)</f>
        <v>0</v>
      </c>
      <c r="Z350" s="52">
        <f ca="1">Log_2018[[#This Row],[Amount]]/Log_2018[[#This Row],[Split_raw]]*MAX(0,MIN(_xlfn.DAYS(EDATE(Z$1,1),Log_2018[[#This Row],[Date]]),Log_2018[[#This Row],[Split_apply]])) - SUM($O350:Y350)</f>
        <v>0</v>
      </c>
      <c r="AA350" s="52">
        <f ca="1">Log_2018[[#This Row],[Amount]]/Log_2018[[#This Row],[Split_raw]]*MAX(0,MIN(_xlfn.DAYS(EDATE(AA$1,1),Log_2018[[#This Row],[Date]]),Log_2018[[#This Row],[Split_apply]])) - SUM($O350:Z350)</f>
        <v>0</v>
      </c>
      <c r="AB350" s="54">
        <f ca="1">Log_2018[[#This Row],[Amount]]-SUM(O350:AA350)</f>
        <v>0</v>
      </c>
      <c r="AC350" s="7">
        <f ca="1">MAX(0,Log_2018[[#This Row],[Split_apply]] - (EDATE(AA$1,1)-Log_2018[[#This Row],[Date]]))</f>
        <v>0</v>
      </c>
    </row>
    <row r="351" spans="1:29" hidden="1" x14ac:dyDescent="0.25">
      <c r="A351" s="115"/>
      <c r="B351" t="s">
        <v>6</v>
      </c>
      <c r="D351" s="26">
        <v>43304</v>
      </c>
      <c r="F351" t="s">
        <v>59</v>
      </c>
      <c r="G351" t="s">
        <v>25</v>
      </c>
      <c r="H351" s="3">
        <v>-4.53</v>
      </c>
      <c r="I351" s="36">
        <f>IF(Log_2018[[#This Row],[My Category]]="NONTRACKED",0,Log_2018[[#This Row],[Raw Amount]])</f>
        <v>-4.53</v>
      </c>
      <c r="J351" s="17">
        <f>ABS(Log_2018[[#This Row],[Amount]])</f>
        <v>4.53</v>
      </c>
      <c r="K351" s="66">
        <v>1</v>
      </c>
      <c r="L351" s="66">
        <f ca="1">IF(Log_2018[[#This Row],[Date]]&lt;=TODAY(), MIN(Log_2018[[#This Row],[Split_raw]], TODAY()-Log_2018[[#This Row],[Date]]+1), 0)</f>
        <v>1</v>
      </c>
      <c r="M351" t="s">
        <v>35</v>
      </c>
      <c r="N351" t="s">
        <v>158</v>
      </c>
      <c r="O351" s="50">
        <v>0</v>
      </c>
      <c r="P351" s="52">
        <f ca="1">Log_2018[[#This Row],[Amount]]/Log_2018[[#This Row],[Split_raw]]*MAX(0,MIN(_xlfn.DAYS(EDATE(P$1,1),Log_2018[[#This Row],[Date]]),Log_2018[[#This Row],[Split_apply]])) - SUM($O351:O351)</f>
        <v>0</v>
      </c>
      <c r="Q351" s="52">
        <f ca="1">Log_2018[[#This Row],[Amount]]/Log_2018[[#This Row],[Split_raw]]*MAX(0,MIN(_xlfn.DAYS(EDATE(Q$1,1),Log_2018[[#This Row],[Date]]),Log_2018[[#This Row],[Split_apply]])) - SUM($O351:P351)</f>
        <v>0</v>
      </c>
      <c r="R351" s="52">
        <f ca="1">Log_2018[[#This Row],[Amount]]/Log_2018[[#This Row],[Split_raw]]*MAX(0,MIN(_xlfn.DAYS(EDATE(R$1,1),Log_2018[[#This Row],[Date]]),Log_2018[[#This Row],[Split_apply]])) - SUM($O351:Q351)</f>
        <v>0</v>
      </c>
      <c r="S351" s="52">
        <f ca="1">Log_2018[[#This Row],[Amount]]/Log_2018[[#This Row],[Split_raw]]*MAX(0,MIN(_xlfn.DAYS(EDATE(S$1,1),Log_2018[[#This Row],[Date]]),Log_2018[[#This Row],[Split_apply]])) - SUM($O351:R351)</f>
        <v>0</v>
      </c>
      <c r="T351" s="52">
        <f ca="1">Log_2018[[#This Row],[Amount]]/Log_2018[[#This Row],[Split_raw]]*MAX(0,MIN(_xlfn.DAYS(EDATE(T$1,1),Log_2018[[#This Row],[Date]]),Log_2018[[#This Row],[Split_apply]])) - SUM($O351:S351)</f>
        <v>0</v>
      </c>
      <c r="U351" s="52">
        <f ca="1">Log_2018[[#This Row],[Amount]]/Log_2018[[#This Row],[Split_raw]]*MAX(0,MIN(_xlfn.DAYS(EDATE(U$1,1),Log_2018[[#This Row],[Date]]),Log_2018[[#This Row],[Split_apply]])) - SUM($O351:T351)</f>
        <v>0</v>
      </c>
      <c r="V351" s="52">
        <f ca="1">Log_2018[[#This Row],[Amount]]/Log_2018[[#This Row],[Split_raw]]*MAX(0,MIN(_xlfn.DAYS(EDATE(V$1,1),Log_2018[[#This Row],[Date]]),Log_2018[[#This Row],[Split_apply]])) - SUM($O351:U351)</f>
        <v>-4.53</v>
      </c>
      <c r="W351" s="52">
        <f ca="1">Log_2018[[#This Row],[Amount]]/Log_2018[[#This Row],[Split_raw]]*MAX(0,MIN(_xlfn.DAYS(EDATE(W$1,1),Log_2018[[#This Row],[Date]]),Log_2018[[#This Row],[Split_apply]])) - SUM($O351:V351)</f>
        <v>0</v>
      </c>
      <c r="X351" s="52">
        <f ca="1">Log_2018[[#This Row],[Amount]]/Log_2018[[#This Row],[Split_raw]]*MAX(0,MIN(_xlfn.DAYS(EDATE(X$1,1),Log_2018[[#This Row],[Date]]),Log_2018[[#This Row],[Split_apply]])) - SUM($O351:W351)</f>
        <v>0</v>
      </c>
      <c r="Y351" s="52">
        <f ca="1">Log_2018[[#This Row],[Amount]]/Log_2018[[#This Row],[Split_raw]]*MAX(0,MIN(_xlfn.DAYS(EDATE(Y$1,1),Log_2018[[#This Row],[Date]]),Log_2018[[#This Row],[Split_apply]])) - SUM($O351:X351)</f>
        <v>0</v>
      </c>
      <c r="Z351" s="52">
        <f ca="1">Log_2018[[#This Row],[Amount]]/Log_2018[[#This Row],[Split_raw]]*MAX(0,MIN(_xlfn.DAYS(EDATE(Z$1,1),Log_2018[[#This Row],[Date]]),Log_2018[[#This Row],[Split_apply]])) - SUM($O351:Y351)</f>
        <v>0</v>
      </c>
      <c r="AA351" s="52">
        <f ca="1">Log_2018[[#This Row],[Amount]]/Log_2018[[#This Row],[Split_raw]]*MAX(0,MIN(_xlfn.DAYS(EDATE(AA$1,1),Log_2018[[#This Row],[Date]]),Log_2018[[#This Row],[Split_apply]])) - SUM($O351:Z351)</f>
        <v>0</v>
      </c>
      <c r="AB351" s="54">
        <f ca="1">Log_2018[[#This Row],[Amount]]-SUM(O351:AA351)</f>
        <v>0</v>
      </c>
      <c r="AC351" s="7">
        <f ca="1">MAX(0,Log_2018[[#This Row],[Split_apply]] - (EDATE(AA$1,1)-Log_2018[[#This Row],[Date]]))</f>
        <v>0</v>
      </c>
    </row>
    <row r="352" spans="1:29" hidden="1" x14ac:dyDescent="0.25">
      <c r="A352" s="115"/>
      <c r="B352" t="s">
        <v>6</v>
      </c>
      <c r="D352" s="26">
        <v>43303</v>
      </c>
      <c r="F352" t="s">
        <v>329</v>
      </c>
      <c r="G352" t="s">
        <v>9</v>
      </c>
      <c r="H352" s="3">
        <v>-8.65</v>
      </c>
      <c r="I352" s="36">
        <f>IF(Log_2018[[#This Row],[My Category]]="NONTRACKED",0,Log_2018[[#This Row],[Raw Amount]])</f>
        <v>-8.65</v>
      </c>
      <c r="J352" s="17">
        <f>ABS(Log_2018[[#This Row],[Amount]])</f>
        <v>8.65</v>
      </c>
      <c r="K352" s="66">
        <v>1</v>
      </c>
      <c r="L352" s="66">
        <f ca="1">IF(Log_2018[[#This Row],[Date]]&lt;=TODAY(), MIN(Log_2018[[#This Row],[Split_raw]], TODAY()-Log_2018[[#This Row],[Date]]+1), 0)</f>
        <v>1</v>
      </c>
      <c r="M352" t="s">
        <v>41</v>
      </c>
      <c r="N352" t="s">
        <v>158</v>
      </c>
      <c r="O352" s="50">
        <v>0</v>
      </c>
      <c r="P352" s="52">
        <f ca="1">Log_2018[[#This Row],[Amount]]/Log_2018[[#This Row],[Split_raw]]*MAX(0,MIN(_xlfn.DAYS(EDATE(P$1,1),Log_2018[[#This Row],[Date]]),Log_2018[[#This Row],[Split_apply]])) - SUM($O352:O352)</f>
        <v>0</v>
      </c>
      <c r="Q352" s="52">
        <f ca="1">Log_2018[[#This Row],[Amount]]/Log_2018[[#This Row],[Split_raw]]*MAX(0,MIN(_xlfn.DAYS(EDATE(Q$1,1),Log_2018[[#This Row],[Date]]),Log_2018[[#This Row],[Split_apply]])) - SUM($O352:P352)</f>
        <v>0</v>
      </c>
      <c r="R352" s="52">
        <f ca="1">Log_2018[[#This Row],[Amount]]/Log_2018[[#This Row],[Split_raw]]*MAX(0,MIN(_xlfn.DAYS(EDATE(R$1,1),Log_2018[[#This Row],[Date]]),Log_2018[[#This Row],[Split_apply]])) - SUM($O352:Q352)</f>
        <v>0</v>
      </c>
      <c r="S352" s="52">
        <f ca="1">Log_2018[[#This Row],[Amount]]/Log_2018[[#This Row],[Split_raw]]*MAX(0,MIN(_xlfn.DAYS(EDATE(S$1,1),Log_2018[[#This Row],[Date]]),Log_2018[[#This Row],[Split_apply]])) - SUM($O352:R352)</f>
        <v>0</v>
      </c>
      <c r="T352" s="52">
        <f ca="1">Log_2018[[#This Row],[Amount]]/Log_2018[[#This Row],[Split_raw]]*MAX(0,MIN(_xlfn.DAYS(EDATE(T$1,1),Log_2018[[#This Row],[Date]]),Log_2018[[#This Row],[Split_apply]])) - SUM($O352:S352)</f>
        <v>0</v>
      </c>
      <c r="U352" s="52">
        <f ca="1">Log_2018[[#This Row],[Amount]]/Log_2018[[#This Row],[Split_raw]]*MAX(0,MIN(_xlfn.DAYS(EDATE(U$1,1),Log_2018[[#This Row],[Date]]),Log_2018[[#This Row],[Split_apply]])) - SUM($O352:T352)</f>
        <v>0</v>
      </c>
      <c r="V352" s="52">
        <f ca="1">Log_2018[[#This Row],[Amount]]/Log_2018[[#This Row],[Split_raw]]*MAX(0,MIN(_xlfn.DAYS(EDATE(V$1,1),Log_2018[[#This Row],[Date]]),Log_2018[[#This Row],[Split_apply]])) - SUM($O352:U352)</f>
        <v>-8.65</v>
      </c>
      <c r="W352" s="52">
        <f ca="1">Log_2018[[#This Row],[Amount]]/Log_2018[[#This Row],[Split_raw]]*MAX(0,MIN(_xlfn.DAYS(EDATE(W$1,1),Log_2018[[#This Row],[Date]]),Log_2018[[#This Row],[Split_apply]])) - SUM($O352:V352)</f>
        <v>0</v>
      </c>
      <c r="X352" s="52">
        <f ca="1">Log_2018[[#This Row],[Amount]]/Log_2018[[#This Row],[Split_raw]]*MAX(0,MIN(_xlfn.DAYS(EDATE(X$1,1),Log_2018[[#This Row],[Date]]),Log_2018[[#This Row],[Split_apply]])) - SUM($O352:W352)</f>
        <v>0</v>
      </c>
      <c r="Y352" s="52">
        <f ca="1">Log_2018[[#This Row],[Amount]]/Log_2018[[#This Row],[Split_raw]]*MAX(0,MIN(_xlfn.DAYS(EDATE(Y$1,1),Log_2018[[#This Row],[Date]]),Log_2018[[#This Row],[Split_apply]])) - SUM($O352:X352)</f>
        <v>0</v>
      </c>
      <c r="Z352" s="52">
        <f ca="1">Log_2018[[#This Row],[Amount]]/Log_2018[[#This Row],[Split_raw]]*MAX(0,MIN(_xlfn.DAYS(EDATE(Z$1,1),Log_2018[[#This Row],[Date]]),Log_2018[[#This Row],[Split_apply]])) - SUM($O352:Y352)</f>
        <v>0</v>
      </c>
      <c r="AA352" s="52">
        <f ca="1">Log_2018[[#This Row],[Amount]]/Log_2018[[#This Row],[Split_raw]]*MAX(0,MIN(_xlfn.DAYS(EDATE(AA$1,1),Log_2018[[#This Row],[Date]]),Log_2018[[#This Row],[Split_apply]])) - SUM($O352:Z352)</f>
        <v>0</v>
      </c>
      <c r="AB352" s="54">
        <f ca="1">Log_2018[[#This Row],[Amount]]-SUM(O352:AA352)</f>
        <v>0</v>
      </c>
      <c r="AC352" s="7">
        <f ca="1">MAX(0,Log_2018[[#This Row],[Split_apply]] - (EDATE(AA$1,1)-Log_2018[[#This Row],[Date]]))</f>
        <v>0</v>
      </c>
    </row>
    <row r="353" spans="1:29" hidden="1" x14ac:dyDescent="0.25">
      <c r="A353" s="115"/>
      <c r="B353" t="s">
        <v>6</v>
      </c>
      <c r="D353" s="26">
        <v>43302</v>
      </c>
      <c r="F353" t="s">
        <v>329</v>
      </c>
      <c r="G353" t="s">
        <v>9</v>
      </c>
      <c r="H353" s="3">
        <v>-8.65</v>
      </c>
      <c r="I353" s="36">
        <f>IF(Log_2018[[#This Row],[My Category]]="NONTRACKED",0,Log_2018[[#This Row],[Raw Amount]])</f>
        <v>-8.65</v>
      </c>
      <c r="J353" s="17">
        <f>ABS(Log_2018[[#This Row],[Amount]])</f>
        <v>8.65</v>
      </c>
      <c r="K353" s="66">
        <v>1</v>
      </c>
      <c r="L353" s="66">
        <f ca="1">IF(Log_2018[[#This Row],[Date]]&lt;=TODAY(), MIN(Log_2018[[#This Row],[Split_raw]], TODAY()-Log_2018[[#This Row],[Date]]+1), 0)</f>
        <v>1</v>
      </c>
      <c r="M353" t="s">
        <v>41</v>
      </c>
      <c r="N353" t="s">
        <v>158</v>
      </c>
      <c r="O353" s="50">
        <v>0</v>
      </c>
      <c r="P353" s="52">
        <f ca="1">Log_2018[[#This Row],[Amount]]/Log_2018[[#This Row],[Split_raw]]*MAX(0,MIN(_xlfn.DAYS(EDATE(P$1,1),Log_2018[[#This Row],[Date]]),Log_2018[[#This Row],[Split_apply]])) - SUM($O353:O353)</f>
        <v>0</v>
      </c>
      <c r="Q353" s="52">
        <f ca="1">Log_2018[[#This Row],[Amount]]/Log_2018[[#This Row],[Split_raw]]*MAX(0,MIN(_xlfn.DAYS(EDATE(Q$1,1),Log_2018[[#This Row],[Date]]),Log_2018[[#This Row],[Split_apply]])) - SUM($O353:P353)</f>
        <v>0</v>
      </c>
      <c r="R353" s="52">
        <f ca="1">Log_2018[[#This Row],[Amount]]/Log_2018[[#This Row],[Split_raw]]*MAX(0,MIN(_xlfn.DAYS(EDATE(R$1,1),Log_2018[[#This Row],[Date]]),Log_2018[[#This Row],[Split_apply]])) - SUM($O353:Q353)</f>
        <v>0</v>
      </c>
      <c r="S353" s="52">
        <f ca="1">Log_2018[[#This Row],[Amount]]/Log_2018[[#This Row],[Split_raw]]*MAX(0,MIN(_xlfn.DAYS(EDATE(S$1,1),Log_2018[[#This Row],[Date]]),Log_2018[[#This Row],[Split_apply]])) - SUM($O353:R353)</f>
        <v>0</v>
      </c>
      <c r="T353" s="52">
        <f ca="1">Log_2018[[#This Row],[Amount]]/Log_2018[[#This Row],[Split_raw]]*MAX(0,MIN(_xlfn.DAYS(EDATE(T$1,1),Log_2018[[#This Row],[Date]]),Log_2018[[#This Row],[Split_apply]])) - SUM($O353:S353)</f>
        <v>0</v>
      </c>
      <c r="U353" s="52">
        <f ca="1">Log_2018[[#This Row],[Amount]]/Log_2018[[#This Row],[Split_raw]]*MAX(0,MIN(_xlfn.DAYS(EDATE(U$1,1),Log_2018[[#This Row],[Date]]),Log_2018[[#This Row],[Split_apply]])) - SUM($O353:T353)</f>
        <v>0</v>
      </c>
      <c r="V353" s="52">
        <f ca="1">Log_2018[[#This Row],[Amount]]/Log_2018[[#This Row],[Split_raw]]*MAX(0,MIN(_xlfn.DAYS(EDATE(V$1,1),Log_2018[[#This Row],[Date]]),Log_2018[[#This Row],[Split_apply]])) - SUM($O353:U353)</f>
        <v>-8.65</v>
      </c>
      <c r="W353" s="52">
        <f ca="1">Log_2018[[#This Row],[Amount]]/Log_2018[[#This Row],[Split_raw]]*MAX(0,MIN(_xlfn.DAYS(EDATE(W$1,1),Log_2018[[#This Row],[Date]]),Log_2018[[#This Row],[Split_apply]])) - SUM($O353:V353)</f>
        <v>0</v>
      </c>
      <c r="X353" s="52">
        <f ca="1">Log_2018[[#This Row],[Amount]]/Log_2018[[#This Row],[Split_raw]]*MAX(0,MIN(_xlfn.DAYS(EDATE(X$1,1),Log_2018[[#This Row],[Date]]),Log_2018[[#This Row],[Split_apply]])) - SUM($O353:W353)</f>
        <v>0</v>
      </c>
      <c r="Y353" s="52">
        <f ca="1">Log_2018[[#This Row],[Amount]]/Log_2018[[#This Row],[Split_raw]]*MAX(0,MIN(_xlfn.DAYS(EDATE(Y$1,1),Log_2018[[#This Row],[Date]]),Log_2018[[#This Row],[Split_apply]])) - SUM($O353:X353)</f>
        <v>0</v>
      </c>
      <c r="Z353" s="52">
        <f ca="1">Log_2018[[#This Row],[Amount]]/Log_2018[[#This Row],[Split_raw]]*MAX(0,MIN(_xlfn.DAYS(EDATE(Z$1,1),Log_2018[[#This Row],[Date]]),Log_2018[[#This Row],[Split_apply]])) - SUM($O353:Y353)</f>
        <v>0</v>
      </c>
      <c r="AA353" s="52">
        <f ca="1">Log_2018[[#This Row],[Amount]]/Log_2018[[#This Row],[Split_raw]]*MAX(0,MIN(_xlfn.DAYS(EDATE(AA$1,1),Log_2018[[#This Row],[Date]]),Log_2018[[#This Row],[Split_apply]])) - SUM($O353:Z353)</f>
        <v>0</v>
      </c>
      <c r="AB353" s="54">
        <f ca="1">Log_2018[[#This Row],[Amount]]-SUM(O353:AA353)</f>
        <v>0</v>
      </c>
      <c r="AC353" s="7">
        <f ca="1">MAX(0,Log_2018[[#This Row],[Split_apply]] - (EDATE(AA$1,1)-Log_2018[[#This Row],[Date]]))</f>
        <v>0</v>
      </c>
    </row>
    <row r="354" spans="1:29" hidden="1" x14ac:dyDescent="0.25">
      <c r="A354" s="115"/>
      <c r="B354" t="s">
        <v>6</v>
      </c>
      <c r="D354" s="26">
        <v>43301</v>
      </c>
      <c r="F354" t="s">
        <v>306</v>
      </c>
      <c r="G354" t="s">
        <v>25</v>
      </c>
      <c r="H354" s="3">
        <v>-10.25</v>
      </c>
      <c r="I354" s="36">
        <f>IF(Log_2018[[#This Row],[My Category]]="NONTRACKED",0,Log_2018[[#This Row],[Raw Amount]])</f>
        <v>-10.25</v>
      </c>
      <c r="J354" s="17">
        <f>ABS(Log_2018[[#This Row],[Amount]])</f>
        <v>10.25</v>
      </c>
      <c r="K354" s="66">
        <v>1</v>
      </c>
      <c r="L354" s="66">
        <f ca="1">IF(Log_2018[[#This Row],[Date]]&lt;=TODAY(), MIN(Log_2018[[#This Row],[Split_raw]], TODAY()-Log_2018[[#This Row],[Date]]+1), 0)</f>
        <v>1</v>
      </c>
      <c r="M354" t="s">
        <v>35</v>
      </c>
      <c r="N354" t="s">
        <v>158</v>
      </c>
      <c r="O354" s="50">
        <v>0</v>
      </c>
      <c r="P354" s="52">
        <f ca="1">Log_2018[[#This Row],[Amount]]/Log_2018[[#This Row],[Split_raw]]*MAX(0,MIN(_xlfn.DAYS(EDATE(P$1,1),Log_2018[[#This Row],[Date]]),Log_2018[[#This Row],[Split_apply]])) - SUM($O354:O354)</f>
        <v>0</v>
      </c>
      <c r="Q354" s="52">
        <f ca="1">Log_2018[[#This Row],[Amount]]/Log_2018[[#This Row],[Split_raw]]*MAX(0,MIN(_xlfn.DAYS(EDATE(Q$1,1),Log_2018[[#This Row],[Date]]),Log_2018[[#This Row],[Split_apply]])) - SUM($O354:P354)</f>
        <v>0</v>
      </c>
      <c r="R354" s="52">
        <f ca="1">Log_2018[[#This Row],[Amount]]/Log_2018[[#This Row],[Split_raw]]*MAX(0,MIN(_xlfn.DAYS(EDATE(R$1,1),Log_2018[[#This Row],[Date]]),Log_2018[[#This Row],[Split_apply]])) - SUM($O354:Q354)</f>
        <v>0</v>
      </c>
      <c r="S354" s="52">
        <f ca="1">Log_2018[[#This Row],[Amount]]/Log_2018[[#This Row],[Split_raw]]*MAX(0,MIN(_xlfn.DAYS(EDATE(S$1,1),Log_2018[[#This Row],[Date]]),Log_2018[[#This Row],[Split_apply]])) - SUM($O354:R354)</f>
        <v>0</v>
      </c>
      <c r="T354" s="52">
        <f ca="1">Log_2018[[#This Row],[Amount]]/Log_2018[[#This Row],[Split_raw]]*MAX(0,MIN(_xlfn.DAYS(EDATE(T$1,1),Log_2018[[#This Row],[Date]]),Log_2018[[#This Row],[Split_apply]])) - SUM($O354:S354)</f>
        <v>0</v>
      </c>
      <c r="U354" s="52">
        <f ca="1">Log_2018[[#This Row],[Amount]]/Log_2018[[#This Row],[Split_raw]]*MAX(0,MIN(_xlfn.DAYS(EDATE(U$1,1),Log_2018[[#This Row],[Date]]),Log_2018[[#This Row],[Split_apply]])) - SUM($O354:T354)</f>
        <v>0</v>
      </c>
      <c r="V354" s="52">
        <f ca="1">Log_2018[[#This Row],[Amount]]/Log_2018[[#This Row],[Split_raw]]*MAX(0,MIN(_xlfn.DAYS(EDATE(V$1,1),Log_2018[[#This Row],[Date]]),Log_2018[[#This Row],[Split_apply]])) - SUM($O354:U354)</f>
        <v>-10.25</v>
      </c>
      <c r="W354" s="52">
        <f ca="1">Log_2018[[#This Row],[Amount]]/Log_2018[[#This Row],[Split_raw]]*MAX(0,MIN(_xlfn.DAYS(EDATE(W$1,1),Log_2018[[#This Row],[Date]]),Log_2018[[#This Row],[Split_apply]])) - SUM($O354:V354)</f>
        <v>0</v>
      </c>
      <c r="X354" s="52">
        <f ca="1">Log_2018[[#This Row],[Amount]]/Log_2018[[#This Row],[Split_raw]]*MAX(0,MIN(_xlfn.DAYS(EDATE(X$1,1),Log_2018[[#This Row],[Date]]),Log_2018[[#This Row],[Split_apply]])) - SUM($O354:W354)</f>
        <v>0</v>
      </c>
      <c r="Y354" s="52">
        <f ca="1">Log_2018[[#This Row],[Amount]]/Log_2018[[#This Row],[Split_raw]]*MAX(0,MIN(_xlfn.DAYS(EDATE(Y$1,1),Log_2018[[#This Row],[Date]]),Log_2018[[#This Row],[Split_apply]])) - SUM($O354:X354)</f>
        <v>0</v>
      </c>
      <c r="Z354" s="52">
        <f ca="1">Log_2018[[#This Row],[Amount]]/Log_2018[[#This Row],[Split_raw]]*MAX(0,MIN(_xlfn.DAYS(EDATE(Z$1,1),Log_2018[[#This Row],[Date]]),Log_2018[[#This Row],[Split_apply]])) - SUM($O354:Y354)</f>
        <v>0</v>
      </c>
      <c r="AA354" s="52">
        <f ca="1">Log_2018[[#This Row],[Amount]]/Log_2018[[#This Row],[Split_raw]]*MAX(0,MIN(_xlfn.DAYS(EDATE(AA$1,1),Log_2018[[#This Row],[Date]]),Log_2018[[#This Row],[Split_apply]])) - SUM($O354:Z354)</f>
        <v>0</v>
      </c>
      <c r="AB354" s="54">
        <f ca="1">Log_2018[[#This Row],[Amount]]-SUM(O354:AA354)</f>
        <v>0</v>
      </c>
      <c r="AC354" s="7">
        <f ca="1">MAX(0,Log_2018[[#This Row],[Split_apply]] - (EDATE(AA$1,1)-Log_2018[[#This Row],[Date]]))</f>
        <v>0</v>
      </c>
    </row>
    <row r="355" spans="1:29" hidden="1" x14ac:dyDescent="0.25">
      <c r="A355" s="115"/>
      <c r="B355" t="s">
        <v>6</v>
      </c>
      <c r="D355" s="26">
        <v>43301</v>
      </c>
      <c r="E355" t="s">
        <v>342</v>
      </c>
      <c r="F355" t="s">
        <v>337</v>
      </c>
      <c r="G355" t="s">
        <v>27</v>
      </c>
      <c r="H355" s="3">
        <v>-10.89</v>
      </c>
      <c r="I355" s="36">
        <f>IF(Log_2018[[#This Row],[My Category]]="NONTRACKED",0,Log_2018[[#This Row],[Raw Amount]])</f>
        <v>-10.89</v>
      </c>
      <c r="J355" s="17">
        <f>ABS(Log_2018[[#This Row],[Amount]])</f>
        <v>10.89</v>
      </c>
      <c r="K355" s="66">
        <v>1</v>
      </c>
      <c r="L355" s="66">
        <f ca="1">IF(Log_2018[[#This Row],[Date]]&lt;=TODAY(), MIN(Log_2018[[#This Row],[Split_raw]], TODAY()-Log_2018[[#This Row],[Date]]+1), 0)</f>
        <v>1</v>
      </c>
      <c r="M355" t="s">
        <v>146</v>
      </c>
      <c r="N355" t="s">
        <v>160</v>
      </c>
      <c r="O355" s="50">
        <v>0</v>
      </c>
      <c r="P355" s="52">
        <f ca="1">Log_2018[[#This Row],[Amount]]/Log_2018[[#This Row],[Split_raw]]*MAX(0,MIN(_xlfn.DAYS(EDATE(P$1,1),Log_2018[[#This Row],[Date]]),Log_2018[[#This Row],[Split_apply]])) - SUM($O355:O355)</f>
        <v>0</v>
      </c>
      <c r="Q355" s="52">
        <f ca="1">Log_2018[[#This Row],[Amount]]/Log_2018[[#This Row],[Split_raw]]*MAX(0,MIN(_xlfn.DAYS(EDATE(Q$1,1),Log_2018[[#This Row],[Date]]),Log_2018[[#This Row],[Split_apply]])) - SUM($O355:P355)</f>
        <v>0</v>
      </c>
      <c r="R355" s="52">
        <f ca="1">Log_2018[[#This Row],[Amount]]/Log_2018[[#This Row],[Split_raw]]*MAX(0,MIN(_xlfn.DAYS(EDATE(R$1,1),Log_2018[[#This Row],[Date]]),Log_2018[[#This Row],[Split_apply]])) - SUM($O355:Q355)</f>
        <v>0</v>
      </c>
      <c r="S355" s="52">
        <f ca="1">Log_2018[[#This Row],[Amount]]/Log_2018[[#This Row],[Split_raw]]*MAX(0,MIN(_xlfn.DAYS(EDATE(S$1,1),Log_2018[[#This Row],[Date]]),Log_2018[[#This Row],[Split_apply]])) - SUM($O355:R355)</f>
        <v>0</v>
      </c>
      <c r="T355" s="52">
        <f ca="1">Log_2018[[#This Row],[Amount]]/Log_2018[[#This Row],[Split_raw]]*MAX(0,MIN(_xlfn.DAYS(EDATE(T$1,1),Log_2018[[#This Row],[Date]]),Log_2018[[#This Row],[Split_apply]])) - SUM($O355:S355)</f>
        <v>0</v>
      </c>
      <c r="U355" s="52">
        <f ca="1">Log_2018[[#This Row],[Amount]]/Log_2018[[#This Row],[Split_raw]]*MAX(0,MIN(_xlfn.DAYS(EDATE(U$1,1),Log_2018[[#This Row],[Date]]),Log_2018[[#This Row],[Split_apply]])) - SUM($O355:T355)</f>
        <v>0</v>
      </c>
      <c r="V355" s="52">
        <f ca="1">Log_2018[[#This Row],[Amount]]/Log_2018[[#This Row],[Split_raw]]*MAX(0,MIN(_xlfn.DAYS(EDATE(V$1,1),Log_2018[[#This Row],[Date]]),Log_2018[[#This Row],[Split_apply]])) - SUM($O355:U355)</f>
        <v>-10.89</v>
      </c>
      <c r="W355" s="52">
        <f ca="1">Log_2018[[#This Row],[Amount]]/Log_2018[[#This Row],[Split_raw]]*MAX(0,MIN(_xlfn.DAYS(EDATE(W$1,1),Log_2018[[#This Row],[Date]]),Log_2018[[#This Row],[Split_apply]])) - SUM($O355:V355)</f>
        <v>0</v>
      </c>
      <c r="X355" s="52">
        <f ca="1">Log_2018[[#This Row],[Amount]]/Log_2018[[#This Row],[Split_raw]]*MAX(0,MIN(_xlfn.DAYS(EDATE(X$1,1),Log_2018[[#This Row],[Date]]),Log_2018[[#This Row],[Split_apply]])) - SUM($O355:W355)</f>
        <v>0</v>
      </c>
      <c r="Y355" s="52">
        <f ca="1">Log_2018[[#This Row],[Amount]]/Log_2018[[#This Row],[Split_raw]]*MAX(0,MIN(_xlfn.DAYS(EDATE(Y$1,1),Log_2018[[#This Row],[Date]]),Log_2018[[#This Row],[Split_apply]])) - SUM($O355:X355)</f>
        <v>0</v>
      </c>
      <c r="Z355" s="52">
        <f ca="1">Log_2018[[#This Row],[Amount]]/Log_2018[[#This Row],[Split_raw]]*MAX(0,MIN(_xlfn.DAYS(EDATE(Z$1,1),Log_2018[[#This Row],[Date]]),Log_2018[[#This Row],[Split_apply]])) - SUM($O355:Y355)</f>
        <v>0</v>
      </c>
      <c r="AA355" s="52">
        <f ca="1">Log_2018[[#This Row],[Amount]]/Log_2018[[#This Row],[Split_raw]]*MAX(0,MIN(_xlfn.DAYS(EDATE(AA$1,1),Log_2018[[#This Row],[Date]]),Log_2018[[#This Row],[Split_apply]])) - SUM($O355:Z355)</f>
        <v>0</v>
      </c>
      <c r="AB355" s="54">
        <f ca="1">Log_2018[[#This Row],[Amount]]-SUM(O355:AA355)</f>
        <v>0</v>
      </c>
      <c r="AC355" s="7">
        <f ca="1">MAX(0,Log_2018[[#This Row],[Split_apply]] - (EDATE(AA$1,1)-Log_2018[[#This Row],[Date]]))</f>
        <v>0</v>
      </c>
    </row>
    <row r="356" spans="1:29" hidden="1" x14ac:dyDescent="0.25">
      <c r="A356" s="115"/>
      <c r="B356" t="s">
        <v>6</v>
      </c>
      <c r="D356" s="26">
        <v>43301</v>
      </c>
      <c r="F356" t="s">
        <v>336</v>
      </c>
      <c r="G356" t="s">
        <v>29</v>
      </c>
      <c r="H356" s="3">
        <v>-49.07</v>
      </c>
      <c r="I356" s="36">
        <f>IF(Log_2018[[#This Row],[My Category]]="NONTRACKED",0,Log_2018[[#This Row],[Raw Amount]])</f>
        <v>-49.07</v>
      </c>
      <c r="J356" s="17">
        <f>ABS(Log_2018[[#This Row],[Amount]])</f>
        <v>49.07</v>
      </c>
      <c r="K356" s="66">
        <v>30</v>
      </c>
      <c r="L356" s="66">
        <f ca="1">IF(Log_2018[[#This Row],[Date]]&lt;=TODAY(), MIN(Log_2018[[#This Row],[Split_raw]], TODAY()-Log_2018[[#This Row],[Date]]+1), 0)</f>
        <v>30</v>
      </c>
      <c r="M356" t="s">
        <v>29</v>
      </c>
      <c r="N356" t="s">
        <v>160</v>
      </c>
      <c r="O356" s="50">
        <v>0</v>
      </c>
      <c r="P356" s="52">
        <f ca="1">Log_2018[[#This Row],[Amount]]/Log_2018[[#This Row],[Split_raw]]*MAX(0,MIN(_xlfn.DAYS(EDATE(P$1,1),Log_2018[[#This Row],[Date]]),Log_2018[[#This Row],[Split_apply]])) - SUM($O356:O356)</f>
        <v>0</v>
      </c>
      <c r="Q356" s="52">
        <f ca="1">Log_2018[[#This Row],[Amount]]/Log_2018[[#This Row],[Split_raw]]*MAX(0,MIN(_xlfn.DAYS(EDATE(Q$1,1),Log_2018[[#This Row],[Date]]),Log_2018[[#This Row],[Split_apply]])) - SUM($O356:P356)</f>
        <v>0</v>
      </c>
      <c r="R356" s="52">
        <f ca="1">Log_2018[[#This Row],[Amount]]/Log_2018[[#This Row],[Split_raw]]*MAX(0,MIN(_xlfn.DAYS(EDATE(R$1,1),Log_2018[[#This Row],[Date]]),Log_2018[[#This Row],[Split_apply]])) - SUM($O356:Q356)</f>
        <v>0</v>
      </c>
      <c r="S356" s="52">
        <f ca="1">Log_2018[[#This Row],[Amount]]/Log_2018[[#This Row],[Split_raw]]*MAX(0,MIN(_xlfn.DAYS(EDATE(S$1,1),Log_2018[[#This Row],[Date]]),Log_2018[[#This Row],[Split_apply]])) - SUM($O356:R356)</f>
        <v>0</v>
      </c>
      <c r="T356" s="52">
        <f ca="1">Log_2018[[#This Row],[Amount]]/Log_2018[[#This Row],[Split_raw]]*MAX(0,MIN(_xlfn.DAYS(EDATE(T$1,1),Log_2018[[#This Row],[Date]]),Log_2018[[#This Row],[Split_apply]])) - SUM($O356:S356)</f>
        <v>0</v>
      </c>
      <c r="U356" s="52">
        <f ca="1">Log_2018[[#This Row],[Amount]]/Log_2018[[#This Row],[Split_raw]]*MAX(0,MIN(_xlfn.DAYS(EDATE(U$1,1),Log_2018[[#This Row],[Date]]),Log_2018[[#This Row],[Split_apply]])) - SUM($O356:T356)</f>
        <v>0</v>
      </c>
      <c r="V356" s="52">
        <f ca="1">Log_2018[[#This Row],[Amount]]/Log_2018[[#This Row],[Split_raw]]*MAX(0,MIN(_xlfn.DAYS(EDATE(V$1,1),Log_2018[[#This Row],[Date]]),Log_2018[[#This Row],[Split_apply]])) - SUM($O356:U356)</f>
        <v>-19.628</v>
      </c>
      <c r="W356" s="52">
        <f ca="1">Log_2018[[#This Row],[Amount]]/Log_2018[[#This Row],[Split_raw]]*MAX(0,MIN(_xlfn.DAYS(EDATE(W$1,1),Log_2018[[#This Row],[Date]]),Log_2018[[#This Row],[Split_apply]])) - SUM($O356:V356)</f>
        <v>-29.442</v>
      </c>
      <c r="X356" s="52">
        <f ca="1">Log_2018[[#This Row],[Amount]]/Log_2018[[#This Row],[Split_raw]]*MAX(0,MIN(_xlfn.DAYS(EDATE(X$1,1),Log_2018[[#This Row],[Date]]),Log_2018[[#This Row],[Split_apply]])) - SUM($O356:W356)</f>
        <v>0</v>
      </c>
      <c r="Y356" s="52">
        <f ca="1">Log_2018[[#This Row],[Amount]]/Log_2018[[#This Row],[Split_raw]]*MAX(0,MIN(_xlfn.DAYS(EDATE(Y$1,1),Log_2018[[#This Row],[Date]]),Log_2018[[#This Row],[Split_apply]])) - SUM($O356:X356)</f>
        <v>0</v>
      </c>
      <c r="Z356" s="52">
        <f ca="1">Log_2018[[#This Row],[Amount]]/Log_2018[[#This Row],[Split_raw]]*MAX(0,MIN(_xlfn.DAYS(EDATE(Z$1,1),Log_2018[[#This Row],[Date]]),Log_2018[[#This Row],[Split_apply]])) - SUM($O356:Y356)</f>
        <v>0</v>
      </c>
      <c r="AA356" s="52">
        <f ca="1">Log_2018[[#This Row],[Amount]]/Log_2018[[#This Row],[Split_raw]]*MAX(0,MIN(_xlfn.DAYS(EDATE(AA$1,1),Log_2018[[#This Row],[Date]]),Log_2018[[#This Row],[Split_apply]])) - SUM($O356:Z356)</f>
        <v>0</v>
      </c>
      <c r="AB356" s="54">
        <f ca="1">Log_2018[[#This Row],[Amount]]-SUM(O356:AA356)</f>
        <v>0</v>
      </c>
      <c r="AC356" s="7">
        <f ca="1">MAX(0,Log_2018[[#This Row],[Split_apply]] - (EDATE(AA$1,1)-Log_2018[[#This Row],[Date]]))</f>
        <v>0</v>
      </c>
    </row>
    <row r="357" spans="1:29" hidden="1" x14ac:dyDescent="0.25">
      <c r="A357" s="115"/>
      <c r="B357" t="s">
        <v>6</v>
      </c>
      <c r="D357" s="26">
        <v>43300</v>
      </c>
      <c r="F357" t="s">
        <v>59</v>
      </c>
      <c r="G357" t="s">
        <v>25</v>
      </c>
      <c r="H357" s="3">
        <v>-9.07</v>
      </c>
      <c r="I357" s="36">
        <f>IF(Log_2018[[#This Row],[My Category]]="NONTRACKED",0,Log_2018[[#This Row],[Raw Amount]])</f>
        <v>-9.07</v>
      </c>
      <c r="J357" s="17">
        <f>ABS(Log_2018[[#This Row],[Amount]])</f>
        <v>9.07</v>
      </c>
      <c r="K357" s="66">
        <v>1</v>
      </c>
      <c r="L357" s="66">
        <f ca="1">IF(Log_2018[[#This Row],[Date]]&lt;=TODAY(), MIN(Log_2018[[#This Row],[Split_raw]], TODAY()-Log_2018[[#This Row],[Date]]+1), 0)</f>
        <v>1</v>
      </c>
      <c r="M357" t="s">
        <v>35</v>
      </c>
      <c r="N357" t="s">
        <v>158</v>
      </c>
      <c r="O357" s="50">
        <v>0</v>
      </c>
      <c r="P357" s="52">
        <f ca="1">Log_2018[[#This Row],[Amount]]/Log_2018[[#This Row],[Split_raw]]*MAX(0,MIN(_xlfn.DAYS(EDATE(P$1,1),Log_2018[[#This Row],[Date]]),Log_2018[[#This Row],[Split_apply]])) - SUM($O357:O357)</f>
        <v>0</v>
      </c>
      <c r="Q357" s="52">
        <f ca="1">Log_2018[[#This Row],[Amount]]/Log_2018[[#This Row],[Split_raw]]*MAX(0,MIN(_xlfn.DAYS(EDATE(Q$1,1),Log_2018[[#This Row],[Date]]),Log_2018[[#This Row],[Split_apply]])) - SUM($O357:P357)</f>
        <v>0</v>
      </c>
      <c r="R357" s="52">
        <f ca="1">Log_2018[[#This Row],[Amount]]/Log_2018[[#This Row],[Split_raw]]*MAX(0,MIN(_xlfn.DAYS(EDATE(R$1,1),Log_2018[[#This Row],[Date]]),Log_2018[[#This Row],[Split_apply]])) - SUM($O357:Q357)</f>
        <v>0</v>
      </c>
      <c r="S357" s="52">
        <f ca="1">Log_2018[[#This Row],[Amount]]/Log_2018[[#This Row],[Split_raw]]*MAX(0,MIN(_xlfn.DAYS(EDATE(S$1,1),Log_2018[[#This Row],[Date]]),Log_2018[[#This Row],[Split_apply]])) - SUM($O357:R357)</f>
        <v>0</v>
      </c>
      <c r="T357" s="52">
        <f ca="1">Log_2018[[#This Row],[Amount]]/Log_2018[[#This Row],[Split_raw]]*MAX(0,MIN(_xlfn.DAYS(EDATE(T$1,1),Log_2018[[#This Row],[Date]]),Log_2018[[#This Row],[Split_apply]])) - SUM($O357:S357)</f>
        <v>0</v>
      </c>
      <c r="U357" s="52">
        <f ca="1">Log_2018[[#This Row],[Amount]]/Log_2018[[#This Row],[Split_raw]]*MAX(0,MIN(_xlfn.DAYS(EDATE(U$1,1),Log_2018[[#This Row],[Date]]),Log_2018[[#This Row],[Split_apply]])) - SUM($O357:T357)</f>
        <v>0</v>
      </c>
      <c r="V357" s="52">
        <f ca="1">Log_2018[[#This Row],[Amount]]/Log_2018[[#This Row],[Split_raw]]*MAX(0,MIN(_xlfn.DAYS(EDATE(V$1,1),Log_2018[[#This Row],[Date]]),Log_2018[[#This Row],[Split_apply]])) - SUM($O357:U357)</f>
        <v>-9.07</v>
      </c>
      <c r="W357" s="52">
        <f ca="1">Log_2018[[#This Row],[Amount]]/Log_2018[[#This Row],[Split_raw]]*MAX(0,MIN(_xlfn.DAYS(EDATE(W$1,1),Log_2018[[#This Row],[Date]]),Log_2018[[#This Row],[Split_apply]])) - SUM($O357:V357)</f>
        <v>0</v>
      </c>
      <c r="X357" s="52">
        <f ca="1">Log_2018[[#This Row],[Amount]]/Log_2018[[#This Row],[Split_raw]]*MAX(0,MIN(_xlfn.DAYS(EDATE(X$1,1),Log_2018[[#This Row],[Date]]),Log_2018[[#This Row],[Split_apply]])) - SUM($O357:W357)</f>
        <v>0</v>
      </c>
      <c r="Y357" s="52">
        <f ca="1">Log_2018[[#This Row],[Amount]]/Log_2018[[#This Row],[Split_raw]]*MAX(0,MIN(_xlfn.DAYS(EDATE(Y$1,1),Log_2018[[#This Row],[Date]]),Log_2018[[#This Row],[Split_apply]])) - SUM($O357:X357)</f>
        <v>0</v>
      </c>
      <c r="Z357" s="52">
        <f ca="1">Log_2018[[#This Row],[Amount]]/Log_2018[[#This Row],[Split_raw]]*MAX(0,MIN(_xlfn.DAYS(EDATE(Z$1,1),Log_2018[[#This Row],[Date]]),Log_2018[[#This Row],[Split_apply]])) - SUM($O357:Y357)</f>
        <v>0</v>
      </c>
      <c r="AA357" s="52">
        <f ca="1">Log_2018[[#This Row],[Amount]]/Log_2018[[#This Row],[Split_raw]]*MAX(0,MIN(_xlfn.DAYS(EDATE(AA$1,1),Log_2018[[#This Row],[Date]]),Log_2018[[#This Row],[Split_apply]])) - SUM($O357:Z357)</f>
        <v>0</v>
      </c>
      <c r="AB357" s="54">
        <f ca="1">Log_2018[[#This Row],[Amount]]-SUM(O357:AA357)</f>
        <v>0</v>
      </c>
      <c r="AC357" s="7">
        <f ca="1">MAX(0,Log_2018[[#This Row],[Split_apply]] - (EDATE(AA$1,1)-Log_2018[[#This Row],[Date]]))</f>
        <v>0</v>
      </c>
    </row>
    <row r="358" spans="1:29" hidden="1" x14ac:dyDescent="0.25">
      <c r="A358" s="115"/>
      <c r="B358" t="s">
        <v>6</v>
      </c>
      <c r="D358" s="26">
        <v>43300</v>
      </c>
      <c r="F358" t="s">
        <v>255</v>
      </c>
      <c r="G358" t="s">
        <v>25</v>
      </c>
      <c r="H358" s="3">
        <v>-9.7899999999999991</v>
      </c>
      <c r="I358" s="36">
        <f>IF(Log_2018[[#This Row],[My Category]]="NONTRACKED",0,Log_2018[[#This Row],[Raw Amount]])</f>
        <v>-9.7899999999999991</v>
      </c>
      <c r="J358" s="17">
        <f>ABS(Log_2018[[#This Row],[Amount]])</f>
        <v>9.7899999999999991</v>
      </c>
      <c r="K358" s="66">
        <v>1</v>
      </c>
      <c r="L358" s="66">
        <f ca="1">IF(Log_2018[[#This Row],[Date]]&lt;=TODAY(), MIN(Log_2018[[#This Row],[Split_raw]], TODAY()-Log_2018[[#This Row],[Date]]+1), 0)</f>
        <v>1</v>
      </c>
      <c r="M358" t="s">
        <v>35</v>
      </c>
      <c r="N358" t="s">
        <v>158</v>
      </c>
      <c r="O358" s="50">
        <v>0</v>
      </c>
      <c r="P358" s="52">
        <f ca="1">Log_2018[[#This Row],[Amount]]/Log_2018[[#This Row],[Split_raw]]*MAX(0,MIN(_xlfn.DAYS(EDATE(P$1,1),Log_2018[[#This Row],[Date]]),Log_2018[[#This Row],[Split_apply]])) - SUM($O358:O358)</f>
        <v>0</v>
      </c>
      <c r="Q358" s="52">
        <f ca="1">Log_2018[[#This Row],[Amount]]/Log_2018[[#This Row],[Split_raw]]*MAX(0,MIN(_xlfn.DAYS(EDATE(Q$1,1),Log_2018[[#This Row],[Date]]),Log_2018[[#This Row],[Split_apply]])) - SUM($O358:P358)</f>
        <v>0</v>
      </c>
      <c r="R358" s="52">
        <f ca="1">Log_2018[[#This Row],[Amount]]/Log_2018[[#This Row],[Split_raw]]*MAX(0,MIN(_xlfn.DAYS(EDATE(R$1,1),Log_2018[[#This Row],[Date]]),Log_2018[[#This Row],[Split_apply]])) - SUM($O358:Q358)</f>
        <v>0</v>
      </c>
      <c r="S358" s="52">
        <f ca="1">Log_2018[[#This Row],[Amount]]/Log_2018[[#This Row],[Split_raw]]*MAX(0,MIN(_xlfn.DAYS(EDATE(S$1,1),Log_2018[[#This Row],[Date]]),Log_2018[[#This Row],[Split_apply]])) - SUM($O358:R358)</f>
        <v>0</v>
      </c>
      <c r="T358" s="52">
        <f ca="1">Log_2018[[#This Row],[Amount]]/Log_2018[[#This Row],[Split_raw]]*MAX(0,MIN(_xlfn.DAYS(EDATE(T$1,1),Log_2018[[#This Row],[Date]]),Log_2018[[#This Row],[Split_apply]])) - SUM($O358:S358)</f>
        <v>0</v>
      </c>
      <c r="U358" s="52">
        <f ca="1">Log_2018[[#This Row],[Amount]]/Log_2018[[#This Row],[Split_raw]]*MAX(0,MIN(_xlfn.DAYS(EDATE(U$1,1),Log_2018[[#This Row],[Date]]),Log_2018[[#This Row],[Split_apply]])) - SUM($O358:T358)</f>
        <v>0</v>
      </c>
      <c r="V358" s="52">
        <f ca="1">Log_2018[[#This Row],[Amount]]/Log_2018[[#This Row],[Split_raw]]*MAX(0,MIN(_xlfn.DAYS(EDATE(V$1,1),Log_2018[[#This Row],[Date]]),Log_2018[[#This Row],[Split_apply]])) - SUM($O358:U358)</f>
        <v>-9.7899999999999991</v>
      </c>
      <c r="W358" s="52">
        <f ca="1">Log_2018[[#This Row],[Amount]]/Log_2018[[#This Row],[Split_raw]]*MAX(0,MIN(_xlfn.DAYS(EDATE(W$1,1),Log_2018[[#This Row],[Date]]),Log_2018[[#This Row],[Split_apply]])) - SUM($O358:V358)</f>
        <v>0</v>
      </c>
      <c r="X358" s="52">
        <f ca="1">Log_2018[[#This Row],[Amount]]/Log_2018[[#This Row],[Split_raw]]*MAX(0,MIN(_xlfn.DAYS(EDATE(X$1,1),Log_2018[[#This Row],[Date]]),Log_2018[[#This Row],[Split_apply]])) - SUM($O358:W358)</f>
        <v>0</v>
      </c>
      <c r="Y358" s="52">
        <f ca="1">Log_2018[[#This Row],[Amount]]/Log_2018[[#This Row],[Split_raw]]*MAX(0,MIN(_xlfn.DAYS(EDATE(Y$1,1),Log_2018[[#This Row],[Date]]),Log_2018[[#This Row],[Split_apply]])) - SUM($O358:X358)</f>
        <v>0</v>
      </c>
      <c r="Z358" s="52">
        <f ca="1">Log_2018[[#This Row],[Amount]]/Log_2018[[#This Row],[Split_raw]]*MAX(0,MIN(_xlfn.DAYS(EDATE(Z$1,1),Log_2018[[#This Row],[Date]]),Log_2018[[#This Row],[Split_apply]])) - SUM($O358:Y358)</f>
        <v>0</v>
      </c>
      <c r="AA358" s="52">
        <f ca="1">Log_2018[[#This Row],[Amount]]/Log_2018[[#This Row],[Split_raw]]*MAX(0,MIN(_xlfn.DAYS(EDATE(AA$1,1),Log_2018[[#This Row],[Date]]),Log_2018[[#This Row],[Split_apply]])) - SUM($O358:Z358)</f>
        <v>0</v>
      </c>
      <c r="AB358" s="54">
        <f ca="1">Log_2018[[#This Row],[Amount]]-SUM(O358:AA358)</f>
        <v>0</v>
      </c>
      <c r="AC358" s="7">
        <f ca="1">MAX(0,Log_2018[[#This Row],[Split_apply]] - (EDATE(AA$1,1)-Log_2018[[#This Row],[Date]]))</f>
        <v>0</v>
      </c>
    </row>
    <row r="359" spans="1:29" hidden="1" x14ac:dyDescent="0.25">
      <c r="A359" s="115"/>
      <c r="B359" t="s">
        <v>6</v>
      </c>
      <c r="D359" s="26">
        <v>43300</v>
      </c>
      <c r="F359" t="s">
        <v>255</v>
      </c>
      <c r="G359" t="s">
        <v>25</v>
      </c>
      <c r="H359" s="3">
        <v>-2.78</v>
      </c>
      <c r="I359" s="36">
        <f>IF(Log_2018[[#This Row],[My Category]]="NONTRACKED",0,Log_2018[[#This Row],[Raw Amount]])</f>
        <v>-2.78</v>
      </c>
      <c r="J359" s="17">
        <f>ABS(Log_2018[[#This Row],[Amount]])</f>
        <v>2.78</v>
      </c>
      <c r="K359" s="66">
        <v>1</v>
      </c>
      <c r="L359" s="66">
        <f ca="1">IF(Log_2018[[#This Row],[Date]]&lt;=TODAY(), MIN(Log_2018[[#This Row],[Split_raw]], TODAY()-Log_2018[[#This Row],[Date]]+1), 0)</f>
        <v>1</v>
      </c>
      <c r="M359" t="s">
        <v>35</v>
      </c>
      <c r="N359" t="s">
        <v>158</v>
      </c>
      <c r="O359" s="50">
        <v>0</v>
      </c>
      <c r="P359" s="52">
        <f ca="1">Log_2018[[#This Row],[Amount]]/Log_2018[[#This Row],[Split_raw]]*MAX(0,MIN(_xlfn.DAYS(EDATE(P$1,1),Log_2018[[#This Row],[Date]]),Log_2018[[#This Row],[Split_apply]])) - SUM($O359:O359)</f>
        <v>0</v>
      </c>
      <c r="Q359" s="52">
        <f ca="1">Log_2018[[#This Row],[Amount]]/Log_2018[[#This Row],[Split_raw]]*MAX(0,MIN(_xlfn.DAYS(EDATE(Q$1,1),Log_2018[[#This Row],[Date]]),Log_2018[[#This Row],[Split_apply]])) - SUM($O359:P359)</f>
        <v>0</v>
      </c>
      <c r="R359" s="52">
        <f ca="1">Log_2018[[#This Row],[Amount]]/Log_2018[[#This Row],[Split_raw]]*MAX(0,MIN(_xlfn.DAYS(EDATE(R$1,1),Log_2018[[#This Row],[Date]]),Log_2018[[#This Row],[Split_apply]])) - SUM($O359:Q359)</f>
        <v>0</v>
      </c>
      <c r="S359" s="52">
        <f ca="1">Log_2018[[#This Row],[Amount]]/Log_2018[[#This Row],[Split_raw]]*MAX(0,MIN(_xlfn.DAYS(EDATE(S$1,1),Log_2018[[#This Row],[Date]]),Log_2018[[#This Row],[Split_apply]])) - SUM($O359:R359)</f>
        <v>0</v>
      </c>
      <c r="T359" s="52">
        <f ca="1">Log_2018[[#This Row],[Amount]]/Log_2018[[#This Row],[Split_raw]]*MAX(0,MIN(_xlfn.DAYS(EDATE(T$1,1),Log_2018[[#This Row],[Date]]),Log_2018[[#This Row],[Split_apply]])) - SUM($O359:S359)</f>
        <v>0</v>
      </c>
      <c r="U359" s="52">
        <f ca="1">Log_2018[[#This Row],[Amount]]/Log_2018[[#This Row],[Split_raw]]*MAX(0,MIN(_xlfn.DAYS(EDATE(U$1,1),Log_2018[[#This Row],[Date]]),Log_2018[[#This Row],[Split_apply]])) - SUM($O359:T359)</f>
        <v>0</v>
      </c>
      <c r="V359" s="52">
        <f ca="1">Log_2018[[#This Row],[Amount]]/Log_2018[[#This Row],[Split_raw]]*MAX(0,MIN(_xlfn.DAYS(EDATE(V$1,1),Log_2018[[#This Row],[Date]]),Log_2018[[#This Row],[Split_apply]])) - SUM($O359:U359)</f>
        <v>-2.78</v>
      </c>
      <c r="W359" s="52">
        <f ca="1">Log_2018[[#This Row],[Amount]]/Log_2018[[#This Row],[Split_raw]]*MAX(0,MIN(_xlfn.DAYS(EDATE(W$1,1),Log_2018[[#This Row],[Date]]),Log_2018[[#This Row],[Split_apply]])) - SUM($O359:V359)</f>
        <v>0</v>
      </c>
      <c r="X359" s="52">
        <f ca="1">Log_2018[[#This Row],[Amount]]/Log_2018[[#This Row],[Split_raw]]*MAX(0,MIN(_xlfn.DAYS(EDATE(X$1,1),Log_2018[[#This Row],[Date]]),Log_2018[[#This Row],[Split_apply]])) - SUM($O359:W359)</f>
        <v>0</v>
      </c>
      <c r="Y359" s="52">
        <f ca="1">Log_2018[[#This Row],[Amount]]/Log_2018[[#This Row],[Split_raw]]*MAX(0,MIN(_xlfn.DAYS(EDATE(Y$1,1),Log_2018[[#This Row],[Date]]),Log_2018[[#This Row],[Split_apply]])) - SUM($O359:X359)</f>
        <v>0</v>
      </c>
      <c r="Z359" s="52">
        <f ca="1">Log_2018[[#This Row],[Amount]]/Log_2018[[#This Row],[Split_raw]]*MAX(0,MIN(_xlfn.DAYS(EDATE(Z$1,1),Log_2018[[#This Row],[Date]]),Log_2018[[#This Row],[Split_apply]])) - SUM($O359:Y359)</f>
        <v>0</v>
      </c>
      <c r="AA359" s="52">
        <f ca="1">Log_2018[[#This Row],[Amount]]/Log_2018[[#This Row],[Split_raw]]*MAX(0,MIN(_xlfn.DAYS(EDATE(AA$1,1),Log_2018[[#This Row],[Date]]),Log_2018[[#This Row],[Split_apply]])) - SUM($O359:Z359)</f>
        <v>0</v>
      </c>
      <c r="AB359" s="54">
        <f ca="1">Log_2018[[#This Row],[Amount]]-SUM(O359:AA359)</f>
        <v>0</v>
      </c>
      <c r="AC359" s="7">
        <f ca="1">MAX(0,Log_2018[[#This Row],[Split_apply]] - (EDATE(AA$1,1)-Log_2018[[#This Row],[Date]]))</f>
        <v>0</v>
      </c>
    </row>
    <row r="360" spans="1:29" hidden="1" x14ac:dyDescent="0.25">
      <c r="A360" s="115"/>
      <c r="B360" t="s">
        <v>6</v>
      </c>
      <c r="D360" s="26">
        <v>43300</v>
      </c>
      <c r="F360" t="s">
        <v>338</v>
      </c>
      <c r="G360" t="s">
        <v>87</v>
      </c>
      <c r="H360" s="3">
        <f>--1754.83</f>
        <v>1754.83</v>
      </c>
      <c r="I360" s="36">
        <f>IF(Log_2018[[#This Row],[My Category]]="NONTRACKED",0,Log_2018[[#This Row],[Raw Amount]])</f>
        <v>1754.83</v>
      </c>
      <c r="J360" s="17">
        <f>ABS(Log_2018[[#This Row],[Amount]])</f>
        <v>1754.83</v>
      </c>
      <c r="K360" s="66">
        <v>14</v>
      </c>
      <c r="L360" s="66">
        <f ca="1">IF(Log_2018[[#This Row],[Date]]&lt;=TODAY(), MIN(Log_2018[[#This Row],[Split_raw]], TODAY()-Log_2018[[#This Row],[Date]]+1), 0)</f>
        <v>14</v>
      </c>
      <c r="M360" t="s">
        <v>91</v>
      </c>
      <c r="N360" t="s">
        <v>160</v>
      </c>
      <c r="O360" s="50">
        <v>0</v>
      </c>
      <c r="P360" s="52">
        <f ca="1">Log_2018[[#This Row],[Amount]]/Log_2018[[#This Row],[Split_raw]]*MAX(0,MIN(_xlfn.DAYS(EDATE(P$1,1),Log_2018[[#This Row],[Date]]),Log_2018[[#This Row],[Split_apply]])) - SUM($O360:O360)</f>
        <v>0</v>
      </c>
      <c r="Q360" s="52">
        <f ca="1">Log_2018[[#This Row],[Amount]]/Log_2018[[#This Row],[Split_raw]]*MAX(0,MIN(_xlfn.DAYS(EDATE(Q$1,1),Log_2018[[#This Row],[Date]]),Log_2018[[#This Row],[Split_apply]])) - SUM($O360:P360)</f>
        <v>0</v>
      </c>
      <c r="R360" s="52">
        <f ca="1">Log_2018[[#This Row],[Amount]]/Log_2018[[#This Row],[Split_raw]]*MAX(0,MIN(_xlfn.DAYS(EDATE(R$1,1),Log_2018[[#This Row],[Date]]),Log_2018[[#This Row],[Split_apply]])) - SUM($O360:Q360)</f>
        <v>0</v>
      </c>
      <c r="S360" s="52">
        <f ca="1">Log_2018[[#This Row],[Amount]]/Log_2018[[#This Row],[Split_raw]]*MAX(0,MIN(_xlfn.DAYS(EDATE(S$1,1),Log_2018[[#This Row],[Date]]),Log_2018[[#This Row],[Split_apply]])) - SUM($O360:R360)</f>
        <v>0</v>
      </c>
      <c r="T360" s="52">
        <f ca="1">Log_2018[[#This Row],[Amount]]/Log_2018[[#This Row],[Split_raw]]*MAX(0,MIN(_xlfn.DAYS(EDATE(T$1,1),Log_2018[[#This Row],[Date]]),Log_2018[[#This Row],[Split_apply]])) - SUM($O360:S360)</f>
        <v>0</v>
      </c>
      <c r="U360" s="52">
        <f ca="1">Log_2018[[#This Row],[Amount]]/Log_2018[[#This Row],[Split_raw]]*MAX(0,MIN(_xlfn.DAYS(EDATE(U$1,1),Log_2018[[#This Row],[Date]]),Log_2018[[#This Row],[Split_apply]])) - SUM($O360:T360)</f>
        <v>0</v>
      </c>
      <c r="V360" s="52">
        <f ca="1">Log_2018[[#This Row],[Amount]]/Log_2018[[#This Row],[Split_raw]]*MAX(0,MIN(_xlfn.DAYS(EDATE(V$1,1),Log_2018[[#This Row],[Date]]),Log_2018[[#This Row],[Split_apply]])) - SUM($O360:U360)</f>
        <v>1629.4849999999999</v>
      </c>
      <c r="W360" s="52">
        <f ca="1">Log_2018[[#This Row],[Amount]]/Log_2018[[#This Row],[Split_raw]]*MAX(0,MIN(_xlfn.DAYS(EDATE(W$1,1),Log_2018[[#This Row],[Date]]),Log_2018[[#This Row],[Split_apply]])) - SUM($O360:V360)</f>
        <v>125.34500000000003</v>
      </c>
      <c r="X360" s="52">
        <f ca="1">Log_2018[[#This Row],[Amount]]/Log_2018[[#This Row],[Split_raw]]*MAX(0,MIN(_xlfn.DAYS(EDATE(X$1,1),Log_2018[[#This Row],[Date]]),Log_2018[[#This Row],[Split_apply]])) - SUM($O360:W360)</f>
        <v>0</v>
      </c>
      <c r="Y360" s="52">
        <f ca="1">Log_2018[[#This Row],[Amount]]/Log_2018[[#This Row],[Split_raw]]*MAX(0,MIN(_xlfn.DAYS(EDATE(Y$1,1),Log_2018[[#This Row],[Date]]),Log_2018[[#This Row],[Split_apply]])) - SUM($O360:X360)</f>
        <v>0</v>
      </c>
      <c r="Z360" s="52">
        <f ca="1">Log_2018[[#This Row],[Amount]]/Log_2018[[#This Row],[Split_raw]]*MAX(0,MIN(_xlfn.DAYS(EDATE(Z$1,1),Log_2018[[#This Row],[Date]]),Log_2018[[#This Row],[Split_apply]])) - SUM($O360:Y360)</f>
        <v>0</v>
      </c>
      <c r="AA360" s="52">
        <f ca="1">Log_2018[[#This Row],[Amount]]/Log_2018[[#This Row],[Split_raw]]*MAX(0,MIN(_xlfn.DAYS(EDATE(AA$1,1),Log_2018[[#This Row],[Date]]),Log_2018[[#This Row],[Split_apply]])) - SUM($O360:Z360)</f>
        <v>0</v>
      </c>
      <c r="AB360" s="54">
        <f ca="1">Log_2018[[#This Row],[Amount]]-SUM(O360:AA360)</f>
        <v>0</v>
      </c>
      <c r="AC360" s="7">
        <f ca="1">MAX(0,Log_2018[[#This Row],[Split_apply]] - (EDATE(AA$1,1)-Log_2018[[#This Row],[Date]]))</f>
        <v>0</v>
      </c>
    </row>
    <row r="361" spans="1:29" hidden="1" x14ac:dyDescent="0.25">
      <c r="A361" s="115"/>
      <c r="B361" t="s">
        <v>6</v>
      </c>
      <c r="D361" s="26">
        <v>43297</v>
      </c>
      <c r="F361" t="s">
        <v>217</v>
      </c>
      <c r="G361" t="s">
        <v>12</v>
      </c>
      <c r="H361" s="3">
        <v>-33.340000000000003</v>
      </c>
      <c r="I361" s="36">
        <f>IF(Log_2018[[#This Row],[My Category]]="NONTRACKED",0,Log_2018[[#This Row],[Raw Amount]])</f>
        <v>-33.340000000000003</v>
      </c>
      <c r="J361" s="17">
        <f>ABS(Log_2018[[#This Row],[Amount]])</f>
        <v>33.340000000000003</v>
      </c>
      <c r="K361" s="66">
        <v>1</v>
      </c>
      <c r="L361" s="66">
        <f ca="1">IF(Log_2018[[#This Row],[Date]]&lt;=TODAY(), MIN(Log_2018[[#This Row],[Split_raw]], TODAY()-Log_2018[[#This Row],[Date]]+1), 0)</f>
        <v>1</v>
      </c>
      <c r="M361" t="s">
        <v>12</v>
      </c>
      <c r="N361" t="s">
        <v>158</v>
      </c>
      <c r="O361" s="50">
        <v>0</v>
      </c>
      <c r="P361" s="52">
        <f ca="1">Log_2018[[#This Row],[Amount]]/Log_2018[[#This Row],[Split_raw]]*MAX(0,MIN(_xlfn.DAYS(EDATE(P$1,1),Log_2018[[#This Row],[Date]]),Log_2018[[#This Row],[Split_apply]])) - SUM($O361:O361)</f>
        <v>0</v>
      </c>
      <c r="Q361" s="52">
        <f ca="1">Log_2018[[#This Row],[Amount]]/Log_2018[[#This Row],[Split_raw]]*MAX(0,MIN(_xlfn.DAYS(EDATE(Q$1,1),Log_2018[[#This Row],[Date]]),Log_2018[[#This Row],[Split_apply]])) - SUM($O361:P361)</f>
        <v>0</v>
      </c>
      <c r="R361" s="52">
        <f ca="1">Log_2018[[#This Row],[Amount]]/Log_2018[[#This Row],[Split_raw]]*MAX(0,MIN(_xlfn.DAYS(EDATE(R$1,1),Log_2018[[#This Row],[Date]]),Log_2018[[#This Row],[Split_apply]])) - SUM($O361:Q361)</f>
        <v>0</v>
      </c>
      <c r="S361" s="52">
        <f ca="1">Log_2018[[#This Row],[Amount]]/Log_2018[[#This Row],[Split_raw]]*MAX(0,MIN(_xlfn.DAYS(EDATE(S$1,1),Log_2018[[#This Row],[Date]]),Log_2018[[#This Row],[Split_apply]])) - SUM($O361:R361)</f>
        <v>0</v>
      </c>
      <c r="T361" s="52">
        <f ca="1">Log_2018[[#This Row],[Amount]]/Log_2018[[#This Row],[Split_raw]]*MAX(0,MIN(_xlfn.DAYS(EDATE(T$1,1),Log_2018[[#This Row],[Date]]),Log_2018[[#This Row],[Split_apply]])) - SUM($O361:S361)</f>
        <v>0</v>
      </c>
      <c r="U361" s="52">
        <f ca="1">Log_2018[[#This Row],[Amount]]/Log_2018[[#This Row],[Split_raw]]*MAX(0,MIN(_xlfn.DAYS(EDATE(U$1,1),Log_2018[[#This Row],[Date]]),Log_2018[[#This Row],[Split_apply]])) - SUM($O361:T361)</f>
        <v>0</v>
      </c>
      <c r="V361" s="52">
        <f ca="1">Log_2018[[#This Row],[Amount]]/Log_2018[[#This Row],[Split_raw]]*MAX(0,MIN(_xlfn.DAYS(EDATE(V$1,1),Log_2018[[#This Row],[Date]]),Log_2018[[#This Row],[Split_apply]])) - SUM($O361:U361)</f>
        <v>-33.340000000000003</v>
      </c>
      <c r="W361" s="52">
        <f ca="1">Log_2018[[#This Row],[Amount]]/Log_2018[[#This Row],[Split_raw]]*MAX(0,MIN(_xlfn.DAYS(EDATE(W$1,1),Log_2018[[#This Row],[Date]]),Log_2018[[#This Row],[Split_apply]])) - SUM($O361:V361)</f>
        <v>0</v>
      </c>
      <c r="X361" s="52">
        <f ca="1">Log_2018[[#This Row],[Amount]]/Log_2018[[#This Row],[Split_raw]]*MAX(0,MIN(_xlfn.DAYS(EDATE(X$1,1),Log_2018[[#This Row],[Date]]),Log_2018[[#This Row],[Split_apply]])) - SUM($O361:W361)</f>
        <v>0</v>
      </c>
      <c r="Y361" s="52">
        <f ca="1">Log_2018[[#This Row],[Amount]]/Log_2018[[#This Row],[Split_raw]]*MAX(0,MIN(_xlfn.DAYS(EDATE(Y$1,1),Log_2018[[#This Row],[Date]]),Log_2018[[#This Row],[Split_apply]])) - SUM($O361:X361)</f>
        <v>0</v>
      </c>
      <c r="Z361" s="52">
        <f ca="1">Log_2018[[#This Row],[Amount]]/Log_2018[[#This Row],[Split_raw]]*MAX(0,MIN(_xlfn.DAYS(EDATE(Z$1,1),Log_2018[[#This Row],[Date]]),Log_2018[[#This Row],[Split_apply]])) - SUM($O361:Y361)</f>
        <v>0</v>
      </c>
      <c r="AA361" s="52">
        <f ca="1">Log_2018[[#This Row],[Amount]]/Log_2018[[#This Row],[Split_raw]]*MAX(0,MIN(_xlfn.DAYS(EDATE(AA$1,1),Log_2018[[#This Row],[Date]]),Log_2018[[#This Row],[Split_apply]])) - SUM($O361:Z361)</f>
        <v>0</v>
      </c>
      <c r="AB361" s="54">
        <f ca="1">Log_2018[[#This Row],[Amount]]-SUM(O361:AA361)</f>
        <v>0</v>
      </c>
      <c r="AC361" s="7">
        <f ca="1">MAX(0,Log_2018[[#This Row],[Split_apply]] - (EDATE(AA$1,1)-Log_2018[[#This Row],[Date]]))</f>
        <v>0</v>
      </c>
    </row>
    <row r="362" spans="1:29" hidden="1" x14ac:dyDescent="0.25">
      <c r="A362" s="115"/>
      <c r="B362" t="s">
        <v>6</v>
      </c>
      <c r="D362" s="26">
        <v>43297</v>
      </c>
      <c r="F362" t="s">
        <v>59</v>
      </c>
      <c r="G362" t="s">
        <v>25</v>
      </c>
      <c r="H362" s="3">
        <v>-7.94</v>
      </c>
      <c r="I362" s="36">
        <f>IF(Log_2018[[#This Row],[My Category]]="NONTRACKED",0,Log_2018[[#This Row],[Raw Amount]])</f>
        <v>-7.94</v>
      </c>
      <c r="J362" s="17">
        <f>ABS(Log_2018[[#This Row],[Amount]])</f>
        <v>7.94</v>
      </c>
      <c r="K362" s="66">
        <v>1</v>
      </c>
      <c r="L362" s="66">
        <f ca="1">IF(Log_2018[[#This Row],[Date]]&lt;=TODAY(), MIN(Log_2018[[#This Row],[Split_raw]], TODAY()-Log_2018[[#This Row],[Date]]+1), 0)</f>
        <v>1</v>
      </c>
      <c r="M362" t="s">
        <v>35</v>
      </c>
      <c r="N362" t="s">
        <v>158</v>
      </c>
      <c r="O362" s="50">
        <v>0</v>
      </c>
      <c r="P362" s="52">
        <f ca="1">Log_2018[[#This Row],[Amount]]/Log_2018[[#This Row],[Split_raw]]*MAX(0,MIN(_xlfn.DAYS(EDATE(P$1,1),Log_2018[[#This Row],[Date]]),Log_2018[[#This Row],[Split_apply]])) - SUM($O362:O362)</f>
        <v>0</v>
      </c>
      <c r="Q362" s="52">
        <f ca="1">Log_2018[[#This Row],[Amount]]/Log_2018[[#This Row],[Split_raw]]*MAX(0,MIN(_xlfn.DAYS(EDATE(Q$1,1),Log_2018[[#This Row],[Date]]),Log_2018[[#This Row],[Split_apply]])) - SUM($O362:P362)</f>
        <v>0</v>
      </c>
      <c r="R362" s="52">
        <f ca="1">Log_2018[[#This Row],[Amount]]/Log_2018[[#This Row],[Split_raw]]*MAX(0,MIN(_xlfn.DAYS(EDATE(R$1,1),Log_2018[[#This Row],[Date]]),Log_2018[[#This Row],[Split_apply]])) - SUM($O362:Q362)</f>
        <v>0</v>
      </c>
      <c r="S362" s="52">
        <f ca="1">Log_2018[[#This Row],[Amount]]/Log_2018[[#This Row],[Split_raw]]*MAX(0,MIN(_xlfn.DAYS(EDATE(S$1,1),Log_2018[[#This Row],[Date]]),Log_2018[[#This Row],[Split_apply]])) - SUM($O362:R362)</f>
        <v>0</v>
      </c>
      <c r="T362" s="52">
        <f ca="1">Log_2018[[#This Row],[Amount]]/Log_2018[[#This Row],[Split_raw]]*MAX(0,MIN(_xlfn.DAYS(EDATE(T$1,1),Log_2018[[#This Row],[Date]]),Log_2018[[#This Row],[Split_apply]])) - SUM($O362:S362)</f>
        <v>0</v>
      </c>
      <c r="U362" s="52">
        <f ca="1">Log_2018[[#This Row],[Amount]]/Log_2018[[#This Row],[Split_raw]]*MAX(0,MIN(_xlfn.DAYS(EDATE(U$1,1),Log_2018[[#This Row],[Date]]),Log_2018[[#This Row],[Split_apply]])) - SUM($O362:T362)</f>
        <v>0</v>
      </c>
      <c r="V362" s="52">
        <f ca="1">Log_2018[[#This Row],[Amount]]/Log_2018[[#This Row],[Split_raw]]*MAX(0,MIN(_xlfn.DAYS(EDATE(V$1,1),Log_2018[[#This Row],[Date]]),Log_2018[[#This Row],[Split_apply]])) - SUM($O362:U362)</f>
        <v>-7.94</v>
      </c>
      <c r="W362" s="52">
        <f ca="1">Log_2018[[#This Row],[Amount]]/Log_2018[[#This Row],[Split_raw]]*MAX(0,MIN(_xlfn.DAYS(EDATE(W$1,1),Log_2018[[#This Row],[Date]]),Log_2018[[#This Row],[Split_apply]])) - SUM($O362:V362)</f>
        <v>0</v>
      </c>
      <c r="X362" s="52">
        <f ca="1">Log_2018[[#This Row],[Amount]]/Log_2018[[#This Row],[Split_raw]]*MAX(0,MIN(_xlfn.DAYS(EDATE(X$1,1),Log_2018[[#This Row],[Date]]),Log_2018[[#This Row],[Split_apply]])) - SUM($O362:W362)</f>
        <v>0</v>
      </c>
      <c r="Y362" s="52">
        <f ca="1">Log_2018[[#This Row],[Amount]]/Log_2018[[#This Row],[Split_raw]]*MAX(0,MIN(_xlfn.DAYS(EDATE(Y$1,1),Log_2018[[#This Row],[Date]]),Log_2018[[#This Row],[Split_apply]])) - SUM($O362:X362)</f>
        <v>0</v>
      </c>
      <c r="Z362" s="52">
        <f ca="1">Log_2018[[#This Row],[Amount]]/Log_2018[[#This Row],[Split_raw]]*MAX(0,MIN(_xlfn.DAYS(EDATE(Z$1,1),Log_2018[[#This Row],[Date]]),Log_2018[[#This Row],[Split_apply]])) - SUM($O362:Y362)</f>
        <v>0</v>
      </c>
      <c r="AA362" s="52">
        <f ca="1">Log_2018[[#This Row],[Amount]]/Log_2018[[#This Row],[Split_raw]]*MAX(0,MIN(_xlfn.DAYS(EDATE(AA$1,1),Log_2018[[#This Row],[Date]]),Log_2018[[#This Row],[Split_apply]])) - SUM($O362:Z362)</f>
        <v>0</v>
      </c>
      <c r="AB362" s="54">
        <f ca="1">Log_2018[[#This Row],[Amount]]-SUM(O362:AA362)</f>
        <v>0</v>
      </c>
      <c r="AC362" s="7">
        <f ca="1">MAX(0,Log_2018[[#This Row],[Split_apply]] - (EDATE(AA$1,1)-Log_2018[[#This Row],[Date]]))</f>
        <v>0</v>
      </c>
    </row>
    <row r="363" spans="1:29" hidden="1" x14ac:dyDescent="0.25">
      <c r="A363" s="115"/>
      <c r="B363" t="s">
        <v>6</v>
      </c>
      <c r="D363" s="26">
        <v>43297</v>
      </c>
      <c r="F363" t="s">
        <v>330</v>
      </c>
      <c r="G363" t="s">
        <v>9</v>
      </c>
      <c r="H363" s="3">
        <v>-8.44</v>
      </c>
      <c r="I363" s="36">
        <f>IF(Log_2018[[#This Row],[My Category]]="NONTRACKED",0,Log_2018[[#This Row],[Raw Amount]])</f>
        <v>-8.44</v>
      </c>
      <c r="J363" s="17">
        <f>ABS(Log_2018[[#This Row],[Amount]])</f>
        <v>8.44</v>
      </c>
      <c r="K363" s="66">
        <v>1</v>
      </c>
      <c r="L363" s="66">
        <f ca="1">IF(Log_2018[[#This Row],[Date]]&lt;=TODAY(), MIN(Log_2018[[#This Row],[Split_raw]], TODAY()-Log_2018[[#This Row],[Date]]+1), 0)</f>
        <v>1</v>
      </c>
      <c r="M363" t="s">
        <v>145</v>
      </c>
      <c r="N363" t="s">
        <v>158</v>
      </c>
      <c r="O363" s="50">
        <v>0</v>
      </c>
      <c r="P363" s="52">
        <f ca="1">Log_2018[[#This Row],[Amount]]/Log_2018[[#This Row],[Split_raw]]*MAX(0,MIN(_xlfn.DAYS(EDATE(P$1,1),Log_2018[[#This Row],[Date]]),Log_2018[[#This Row],[Split_apply]])) - SUM($O363:O363)</f>
        <v>0</v>
      </c>
      <c r="Q363" s="52">
        <f ca="1">Log_2018[[#This Row],[Amount]]/Log_2018[[#This Row],[Split_raw]]*MAX(0,MIN(_xlfn.DAYS(EDATE(Q$1,1),Log_2018[[#This Row],[Date]]),Log_2018[[#This Row],[Split_apply]])) - SUM($O363:P363)</f>
        <v>0</v>
      </c>
      <c r="R363" s="52">
        <f ca="1">Log_2018[[#This Row],[Amount]]/Log_2018[[#This Row],[Split_raw]]*MAX(0,MIN(_xlfn.DAYS(EDATE(R$1,1),Log_2018[[#This Row],[Date]]),Log_2018[[#This Row],[Split_apply]])) - SUM($O363:Q363)</f>
        <v>0</v>
      </c>
      <c r="S363" s="52">
        <f ca="1">Log_2018[[#This Row],[Amount]]/Log_2018[[#This Row],[Split_raw]]*MAX(0,MIN(_xlfn.DAYS(EDATE(S$1,1),Log_2018[[#This Row],[Date]]),Log_2018[[#This Row],[Split_apply]])) - SUM($O363:R363)</f>
        <v>0</v>
      </c>
      <c r="T363" s="52">
        <f ca="1">Log_2018[[#This Row],[Amount]]/Log_2018[[#This Row],[Split_raw]]*MAX(0,MIN(_xlfn.DAYS(EDATE(T$1,1),Log_2018[[#This Row],[Date]]),Log_2018[[#This Row],[Split_apply]])) - SUM($O363:S363)</f>
        <v>0</v>
      </c>
      <c r="U363" s="52">
        <f ca="1">Log_2018[[#This Row],[Amount]]/Log_2018[[#This Row],[Split_raw]]*MAX(0,MIN(_xlfn.DAYS(EDATE(U$1,1),Log_2018[[#This Row],[Date]]),Log_2018[[#This Row],[Split_apply]])) - SUM($O363:T363)</f>
        <v>0</v>
      </c>
      <c r="V363" s="52">
        <f ca="1">Log_2018[[#This Row],[Amount]]/Log_2018[[#This Row],[Split_raw]]*MAX(0,MIN(_xlfn.DAYS(EDATE(V$1,1),Log_2018[[#This Row],[Date]]),Log_2018[[#This Row],[Split_apply]])) - SUM($O363:U363)</f>
        <v>-8.44</v>
      </c>
      <c r="W363" s="52">
        <f ca="1">Log_2018[[#This Row],[Amount]]/Log_2018[[#This Row],[Split_raw]]*MAX(0,MIN(_xlfn.DAYS(EDATE(W$1,1),Log_2018[[#This Row],[Date]]),Log_2018[[#This Row],[Split_apply]])) - SUM($O363:V363)</f>
        <v>0</v>
      </c>
      <c r="X363" s="52">
        <f ca="1">Log_2018[[#This Row],[Amount]]/Log_2018[[#This Row],[Split_raw]]*MAX(0,MIN(_xlfn.DAYS(EDATE(X$1,1),Log_2018[[#This Row],[Date]]),Log_2018[[#This Row],[Split_apply]])) - SUM($O363:W363)</f>
        <v>0</v>
      </c>
      <c r="Y363" s="52">
        <f ca="1">Log_2018[[#This Row],[Amount]]/Log_2018[[#This Row],[Split_raw]]*MAX(0,MIN(_xlfn.DAYS(EDATE(Y$1,1),Log_2018[[#This Row],[Date]]),Log_2018[[#This Row],[Split_apply]])) - SUM($O363:X363)</f>
        <v>0</v>
      </c>
      <c r="Z363" s="52">
        <f ca="1">Log_2018[[#This Row],[Amount]]/Log_2018[[#This Row],[Split_raw]]*MAX(0,MIN(_xlfn.DAYS(EDATE(Z$1,1),Log_2018[[#This Row],[Date]]),Log_2018[[#This Row],[Split_apply]])) - SUM($O363:Y363)</f>
        <v>0</v>
      </c>
      <c r="AA363" s="52">
        <f ca="1">Log_2018[[#This Row],[Amount]]/Log_2018[[#This Row],[Split_raw]]*MAX(0,MIN(_xlfn.DAYS(EDATE(AA$1,1),Log_2018[[#This Row],[Date]]),Log_2018[[#This Row],[Split_apply]])) - SUM($O363:Z363)</f>
        <v>0</v>
      </c>
      <c r="AB363" s="54">
        <f ca="1">Log_2018[[#This Row],[Amount]]-SUM(O363:AA363)</f>
        <v>0</v>
      </c>
      <c r="AC363" s="7">
        <f ca="1">MAX(0,Log_2018[[#This Row],[Split_apply]] - (EDATE(AA$1,1)-Log_2018[[#This Row],[Date]]))</f>
        <v>0</v>
      </c>
    </row>
    <row r="364" spans="1:29" hidden="1" x14ac:dyDescent="0.25">
      <c r="A364" s="115"/>
      <c r="B364" t="s">
        <v>6</v>
      </c>
      <c r="D364" s="26">
        <v>43297</v>
      </c>
      <c r="F364" t="s">
        <v>138</v>
      </c>
      <c r="G364" t="s">
        <v>104</v>
      </c>
      <c r="H364" s="3">
        <v>-397.12</v>
      </c>
      <c r="I364" s="36">
        <f>IF(Log_2018[[#This Row],[My Category]]="NONTRACKED",0,Log_2018[[#This Row],[Raw Amount]])</f>
        <v>-397.12</v>
      </c>
      <c r="J364" s="17">
        <f>ABS(Log_2018[[#This Row],[Amount]])</f>
        <v>397.12</v>
      </c>
      <c r="K364" s="66">
        <v>1</v>
      </c>
      <c r="L364" s="66">
        <f ca="1">IF(Log_2018[[#This Row],[Date]]&lt;=TODAY(), MIN(Log_2018[[#This Row],[Split_raw]], TODAY()-Log_2018[[#This Row],[Date]]+1), 0)</f>
        <v>1</v>
      </c>
      <c r="M364" t="s">
        <v>159</v>
      </c>
      <c r="N364" t="s">
        <v>160</v>
      </c>
      <c r="O364" s="50">
        <v>0</v>
      </c>
      <c r="P364" s="52">
        <f ca="1">Log_2018[[#This Row],[Amount]]/Log_2018[[#This Row],[Split_raw]]*MAX(0,MIN(_xlfn.DAYS(EDATE(P$1,1),Log_2018[[#This Row],[Date]]),Log_2018[[#This Row],[Split_apply]])) - SUM($O364:O364)</f>
        <v>0</v>
      </c>
      <c r="Q364" s="52">
        <f ca="1">Log_2018[[#This Row],[Amount]]/Log_2018[[#This Row],[Split_raw]]*MAX(0,MIN(_xlfn.DAYS(EDATE(Q$1,1),Log_2018[[#This Row],[Date]]),Log_2018[[#This Row],[Split_apply]])) - SUM($O364:P364)</f>
        <v>0</v>
      </c>
      <c r="R364" s="52">
        <f ca="1">Log_2018[[#This Row],[Amount]]/Log_2018[[#This Row],[Split_raw]]*MAX(0,MIN(_xlfn.DAYS(EDATE(R$1,1),Log_2018[[#This Row],[Date]]),Log_2018[[#This Row],[Split_apply]])) - SUM($O364:Q364)</f>
        <v>0</v>
      </c>
      <c r="S364" s="52">
        <f ca="1">Log_2018[[#This Row],[Amount]]/Log_2018[[#This Row],[Split_raw]]*MAX(0,MIN(_xlfn.DAYS(EDATE(S$1,1),Log_2018[[#This Row],[Date]]),Log_2018[[#This Row],[Split_apply]])) - SUM($O364:R364)</f>
        <v>0</v>
      </c>
      <c r="T364" s="52">
        <f ca="1">Log_2018[[#This Row],[Amount]]/Log_2018[[#This Row],[Split_raw]]*MAX(0,MIN(_xlfn.DAYS(EDATE(T$1,1),Log_2018[[#This Row],[Date]]),Log_2018[[#This Row],[Split_apply]])) - SUM($O364:S364)</f>
        <v>0</v>
      </c>
      <c r="U364" s="52">
        <f ca="1">Log_2018[[#This Row],[Amount]]/Log_2018[[#This Row],[Split_raw]]*MAX(0,MIN(_xlfn.DAYS(EDATE(U$1,1),Log_2018[[#This Row],[Date]]),Log_2018[[#This Row],[Split_apply]])) - SUM($O364:T364)</f>
        <v>0</v>
      </c>
      <c r="V364" s="52">
        <f ca="1">Log_2018[[#This Row],[Amount]]/Log_2018[[#This Row],[Split_raw]]*MAX(0,MIN(_xlfn.DAYS(EDATE(V$1,1),Log_2018[[#This Row],[Date]]),Log_2018[[#This Row],[Split_apply]])) - SUM($O364:U364)</f>
        <v>-397.12</v>
      </c>
      <c r="W364" s="52">
        <f ca="1">Log_2018[[#This Row],[Amount]]/Log_2018[[#This Row],[Split_raw]]*MAX(0,MIN(_xlfn.DAYS(EDATE(W$1,1),Log_2018[[#This Row],[Date]]),Log_2018[[#This Row],[Split_apply]])) - SUM($O364:V364)</f>
        <v>0</v>
      </c>
      <c r="X364" s="52">
        <f ca="1">Log_2018[[#This Row],[Amount]]/Log_2018[[#This Row],[Split_raw]]*MAX(0,MIN(_xlfn.DAYS(EDATE(X$1,1),Log_2018[[#This Row],[Date]]),Log_2018[[#This Row],[Split_apply]])) - SUM($O364:W364)</f>
        <v>0</v>
      </c>
      <c r="Y364" s="52">
        <f ca="1">Log_2018[[#This Row],[Amount]]/Log_2018[[#This Row],[Split_raw]]*MAX(0,MIN(_xlfn.DAYS(EDATE(Y$1,1),Log_2018[[#This Row],[Date]]),Log_2018[[#This Row],[Split_apply]])) - SUM($O364:X364)</f>
        <v>0</v>
      </c>
      <c r="Z364" s="52">
        <f ca="1">Log_2018[[#This Row],[Amount]]/Log_2018[[#This Row],[Split_raw]]*MAX(0,MIN(_xlfn.DAYS(EDATE(Z$1,1),Log_2018[[#This Row],[Date]]),Log_2018[[#This Row],[Split_apply]])) - SUM($O364:Y364)</f>
        <v>0</v>
      </c>
      <c r="AA364" s="52">
        <f ca="1">Log_2018[[#This Row],[Amount]]/Log_2018[[#This Row],[Split_raw]]*MAX(0,MIN(_xlfn.DAYS(EDATE(AA$1,1),Log_2018[[#This Row],[Date]]),Log_2018[[#This Row],[Split_apply]])) - SUM($O364:Z364)</f>
        <v>0</v>
      </c>
      <c r="AB364" s="54">
        <f ca="1">Log_2018[[#This Row],[Amount]]-SUM(O364:AA364)</f>
        <v>0</v>
      </c>
      <c r="AC364" s="7">
        <f ca="1">MAX(0,Log_2018[[#This Row],[Split_apply]] - (EDATE(AA$1,1)-Log_2018[[#This Row],[Date]]))</f>
        <v>0</v>
      </c>
    </row>
    <row r="365" spans="1:29" hidden="1" x14ac:dyDescent="0.25">
      <c r="A365" s="115"/>
      <c r="B365" t="s">
        <v>6</v>
      </c>
      <c r="D365" s="26">
        <v>43297</v>
      </c>
      <c r="F365" t="s">
        <v>242</v>
      </c>
      <c r="G365" t="s">
        <v>87</v>
      </c>
      <c r="H365" s="3">
        <f>--10.98</f>
        <v>10.98</v>
      </c>
      <c r="I365" s="36">
        <f>IF(Log_2018[[#This Row],[My Category]]="NONTRACKED",0,Log_2018[[#This Row],[Raw Amount]])</f>
        <v>10.98</v>
      </c>
      <c r="J365" s="17">
        <f>ABS(Log_2018[[#This Row],[Amount]])</f>
        <v>10.98</v>
      </c>
      <c r="K365" s="66">
        <v>1</v>
      </c>
      <c r="L365" s="66">
        <f ca="1">IF(Log_2018[[#This Row],[Date]]&lt;=TODAY(), MIN(Log_2018[[#This Row],[Split_raw]], TODAY()-Log_2018[[#This Row],[Date]]+1), 0)</f>
        <v>1</v>
      </c>
      <c r="M365" t="s">
        <v>144</v>
      </c>
      <c r="N365" t="s">
        <v>160</v>
      </c>
      <c r="O365" s="50">
        <v>0</v>
      </c>
      <c r="P365" s="52">
        <f ca="1">Log_2018[[#This Row],[Amount]]/Log_2018[[#This Row],[Split_raw]]*MAX(0,MIN(_xlfn.DAYS(EDATE(P$1,1),Log_2018[[#This Row],[Date]]),Log_2018[[#This Row],[Split_apply]])) - SUM($O365:O365)</f>
        <v>0</v>
      </c>
      <c r="Q365" s="52">
        <f ca="1">Log_2018[[#This Row],[Amount]]/Log_2018[[#This Row],[Split_raw]]*MAX(0,MIN(_xlfn.DAYS(EDATE(Q$1,1),Log_2018[[#This Row],[Date]]),Log_2018[[#This Row],[Split_apply]])) - SUM($O365:P365)</f>
        <v>0</v>
      </c>
      <c r="R365" s="52">
        <f ca="1">Log_2018[[#This Row],[Amount]]/Log_2018[[#This Row],[Split_raw]]*MAX(0,MIN(_xlfn.DAYS(EDATE(R$1,1),Log_2018[[#This Row],[Date]]),Log_2018[[#This Row],[Split_apply]])) - SUM($O365:Q365)</f>
        <v>0</v>
      </c>
      <c r="S365" s="52">
        <f ca="1">Log_2018[[#This Row],[Amount]]/Log_2018[[#This Row],[Split_raw]]*MAX(0,MIN(_xlfn.DAYS(EDATE(S$1,1),Log_2018[[#This Row],[Date]]),Log_2018[[#This Row],[Split_apply]])) - SUM($O365:R365)</f>
        <v>0</v>
      </c>
      <c r="T365" s="52">
        <f ca="1">Log_2018[[#This Row],[Amount]]/Log_2018[[#This Row],[Split_raw]]*MAX(0,MIN(_xlfn.DAYS(EDATE(T$1,1),Log_2018[[#This Row],[Date]]),Log_2018[[#This Row],[Split_apply]])) - SUM($O365:S365)</f>
        <v>0</v>
      </c>
      <c r="U365" s="52">
        <f ca="1">Log_2018[[#This Row],[Amount]]/Log_2018[[#This Row],[Split_raw]]*MAX(0,MIN(_xlfn.DAYS(EDATE(U$1,1),Log_2018[[#This Row],[Date]]),Log_2018[[#This Row],[Split_apply]])) - SUM($O365:T365)</f>
        <v>0</v>
      </c>
      <c r="V365" s="52">
        <f ca="1">Log_2018[[#This Row],[Amount]]/Log_2018[[#This Row],[Split_raw]]*MAX(0,MIN(_xlfn.DAYS(EDATE(V$1,1),Log_2018[[#This Row],[Date]]),Log_2018[[#This Row],[Split_apply]])) - SUM($O365:U365)</f>
        <v>10.98</v>
      </c>
      <c r="W365" s="52">
        <f ca="1">Log_2018[[#This Row],[Amount]]/Log_2018[[#This Row],[Split_raw]]*MAX(0,MIN(_xlfn.DAYS(EDATE(W$1,1),Log_2018[[#This Row],[Date]]),Log_2018[[#This Row],[Split_apply]])) - SUM($O365:V365)</f>
        <v>0</v>
      </c>
      <c r="X365" s="52">
        <f ca="1">Log_2018[[#This Row],[Amount]]/Log_2018[[#This Row],[Split_raw]]*MAX(0,MIN(_xlfn.DAYS(EDATE(X$1,1),Log_2018[[#This Row],[Date]]),Log_2018[[#This Row],[Split_apply]])) - SUM($O365:W365)</f>
        <v>0</v>
      </c>
      <c r="Y365" s="52">
        <f ca="1">Log_2018[[#This Row],[Amount]]/Log_2018[[#This Row],[Split_raw]]*MAX(0,MIN(_xlfn.DAYS(EDATE(Y$1,1),Log_2018[[#This Row],[Date]]),Log_2018[[#This Row],[Split_apply]])) - SUM($O365:X365)</f>
        <v>0</v>
      </c>
      <c r="Z365" s="52">
        <f ca="1">Log_2018[[#This Row],[Amount]]/Log_2018[[#This Row],[Split_raw]]*MAX(0,MIN(_xlfn.DAYS(EDATE(Z$1,1),Log_2018[[#This Row],[Date]]),Log_2018[[#This Row],[Split_apply]])) - SUM($O365:Y365)</f>
        <v>0</v>
      </c>
      <c r="AA365" s="52">
        <f ca="1">Log_2018[[#This Row],[Amount]]/Log_2018[[#This Row],[Split_raw]]*MAX(0,MIN(_xlfn.DAYS(EDATE(AA$1,1),Log_2018[[#This Row],[Date]]),Log_2018[[#This Row],[Split_apply]])) - SUM($O365:Z365)</f>
        <v>0</v>
      </c>
      <c r="AB365" s="54">
        <f ca="1">Log_2018[[#This Row],[Amount]]-SUM(O365:AA365)</f>
        <v>0</v>
      </c>
      <c r="AC365" s="7">
        <f ca="1">MAX(0,Log_2018[[#This Row],[Split_apply]] - (EDATE(AA$1,1)-Log_2018[[#This Row],[Date]]))</f>
        <v>0</v>
      </c>
    </row>
    <row r="366" spans="1:29" hidden="1" x14ac:dyDescent="0.25">
      <c r="A366" s="115"/>
      <c r="B366" t="s">
        <v>6</v>
      </c>
      <c r="D366" s="39">
        <v>43296</v>
      </c>
      <c r="F366" t="s">
        <v>105</v>
      </c>
      <c r="G366" t="s">
        <v>104</v>
      </c>
      <c r="H366" s="3">
        <f>--397.12</f>
        <v>397.12</v>
      </c>
      <c r="I366" s="36">
        <f>IF(Log_2018[[#This Row],[My Category]]="NONTRACKED",0,Log_2018[[#This Row],[Raw Amount]])</f>
        <v>397.12</v>
      </c>
      <c r="J366" s="17">
        <f>ABS(Log_2018[[#This Row],[Amount]])</f>
        <v>397.12</v>
      </c>
      <c r="K366" s="66">
        <v>1</v>
      </c>
      <c r="L366" s="66">
        <f ca="1">IF(Log_2018[[#This Row],[Date]]&lt;=TODAY(), MIN(Log_2018[[#This Row],[Split_raw]], TODAY()-Log_2018[[#This Row],[Date]]+1), 0)</f>
        <v>1</v>
      </c>
      <c r="M366" t="s">
        <v>159</v>
      </c>
      <c r="N366" t="s">
        <v>158</v>
      </c>
      <c r="O366" s="50">
        <v>0</v>
      </c>
      <c r="P366" s="52">
        <f ca="1">Log_2018[[#This Row],[Amount]]/Log_2018[[#This Row],[Split_raw]]*MAX(0,MIN(_xlfn.DAYS(EDATE(P$1,1),Log_2018[[#This Row],[Date]]),Log_2018[[#This Row],[Split_apply]])) - SUM($O366:O366)</f>
        <v>0</v>
      </c>
      <c r="Q366" s="52">
        <f ca="1">Log_2018[[#This Row],[Amount]]/Log_2018[[#This Row],[Split_raw]]*MAX(0,MIN(_xlfn.DAYS(EDATE(Q$1,1),Log_2018[[#This Row],[Date]]),Log_2018[[#This Row],[Split_apply]])) - SUM($O366:P366)</f>
        <v>0</v>
      </c>
      <c r="R366" s="52">
        <f ca="1">Log_2018[[#This Row],[Amount]]/Log_2018[[#This Row],[Split_raw]]*MAX(0,MIN(_xlfn.DAYS(EDATE(R$1,1),Log_2018[[#This Row],[Date]]),Log_2018[[#This Row],[Split_apply]])) - SUM($O366:Q366)</f>
        <v>0</v>
      </c>
      <c r="S366" s="52">
        <f ca="1">Log_2018[[#This Row],[Amount]]/Log_2018[[#This Row],[Split_raw]]*MAX(0,MIN(_xlfn.DAYS(EDATE(S$1,1),Log_2018[[#This Row],[Date]]),Log_2018[[#This Row],[Split_apply]])) - SUM($O366:R366)</f>
        <v>0</v>
      </c>
      <c r="T366" s="52">
        <f ca="1">Log_2018[[#This Row],[Amount]]/Log_2018[[#This Row],[Split_raw]]*MAX(0,MIN(_xlfn.DAYS(EDATE(T$1,1),Log_2018[[#This Row],[Date]]),Log_2018[[#This Row],[Split_apply]])) - SUM($O366:S366)</f>
        <v>0</v>
      </c>
      <c r="U366" s="52">
        <f ca="1">Log_2018[[#This Row],[Amount]]/Log_2018[[#This Row],[Split_raw]]*MAX(0,MIN(_xlfn.DAYS(EDATE(U$1,1),Log_2018[[#This Row],[Date]]),Log_2018[[#This Row],[Split_apply]])) - SUM($O366:T366)</f>
        <v>0</v>
      </c>
      <c r="V366" s="52">
        <f ca="1">Log_2018[[#This Row],[Amount]]/Log_2018[[#This Row],[Split_raw]]*MAX(0,MIN(_xlfn.DAYS(EDATE(V$1,1),Log_2018[[#This Row],[Date]]),Log_2018[[#This Row],[Split_apply]])) - SUM($O366:U366)</f>
        <v>397.12</v>
      </c>
      <c r="W366" s="52">
        <f ca="1">Log_2018[[#This Row],[Amount]]/Log_2018[[#This Row],[Split_raw]]*MAX(0,MIN(_xlfn.DAYS(EDATE(W$1,1),Log_2018[[#This Row],[Date]]),Log_2018[[#This Row],[Split_apply]])) - SUM($O366:V366)</f>
        <v>0</v>
      </c>
      <c r="X366" s="52">
        <f ca="1">Log_2018[[#This Row],[Amount]]/Log_2018[[#This Row],[Split_raw]]*MAX(0,MIN(_xlfn.DAYS(EDATE(X$1,1),Log_2018[[#This Row],[Date]]),Log_2018[[#This Row],[Split_apply]])) - SUM($O366:W366)</f>
        <v>0</v>
      </c>
      <c r="Y366" s="52">
        <f ca="1">Log_2018[[#This Row],[Amount]]/Log_2018[[#This Row],[Split_raw]]*MAX(0,MIN(_xlfn.DAYS(EDATE(Y$1,1),Log_2018[[#This Row],[Date]]),Log_2018[[#This Row],[Split_apply]])) - SUM($O366:X366)</f>
        <v>0</v>
      </c>
      <c r="Z366" s="52">
        <f ca="1">Log_2018[[#This Row],[Amount]]/Log_2018[[#This Row],[Split_raw]]*MAX(0,MIN(_xlfn.DAYS(EDATE(Z$1,1),Log_2018[[#This Row],[Date]]),Log_2018[[#This Row],[Split_apply]])) - SUM($O366:Y366)</f>
        <v>0</v>
      </c>
      <c r="AA366" s="52">
        <f ca="1">Log_2018[[#This Row],[Amount]]/Log_2018[[#This Row],[Split_raw]]*MAX(0,MIN(_xlfn.DAYS(EDATE(AA$1,1),Log_2018[[#This Row],[Date]]),Log_2018[[#This Row],[Split_apply]])) - SUM($O366:Z366)</f>
        <v>0</v>
      </c>
      <c r="AB366" s="54">
        <f ca="1">Log_2018[[#This Row],[Amount]]-SUM(O366:AA366)</f>
        <v>0</v>
      </c>
      <c r="AC366" s="7">
        <f ca="1">MAX(0,Log_2018[[#This Row],[Split_apply]] - (EDATE(AA$1,1)-Log_2018[[#This Row],[Date]]))</f>
        <v>0</v>
      </c>
    </row>
    <row r="367" spans="1:29" hidden="1" x14ac:dyDescent="0.25">
      <c r="A367" s="115"/>
      <c r="B367" t="s">
        <v>6</v>
      </c>
      <c r="D367" s="39">
        <v>43296</v>
      </c>
      <c r="F367" t="s">
        <v>329</v>
      </c>
      <c r="G367" t="s">
        <v>9</v>
      </c>
      <c r="H367" s="3">
        <v>-11.07</v>
      </c>
      <c r="I367" s="36">
        <f>IF(Log_2018[[#This Row],[My Category]]="NONTRACKED",0,Log_2018[[#This Row],[Raw Amount]])</f>
        <v>-11.07</v>
      </c>
      <c r="J367" s="17">
        <f>ABS(Log_2018[[#This Row],[Amount]])</f>
        <v>11.07</v>
      </c>
      <c r="K367" s="66">
        <v>1</v>
      </c>
      <c r="L367" s="66">
        <f ca="1">IF(Log_2018[[#This Row],[Date]]&lt;=TODAY(), MIN(Log_2018[[#This Row],[Split_raw]], TODAY()-Log_2018[[#This Row],[Date]]+1), 0)</f>
        <v>1</v>
      </c>
      <c r="M367" t="s">
        <v>41</v>
      </c>
      <c r="N367" t="s">
        <v>158</v>
      </c>
      <c r="O367" s="50">
        <v>0</v>
      </c>
      <c r="P367" s="52">
        <f ca="1">Log_2018[[#This Row],[Amount]]/Log_2018[[#This Row],[Split_raw]]*MAX(0,MIN(_xlfn.DAYS(EDATE(P$1,1),Log_2018[[#This Row],[Date]]),Log_2018[[#This Row],[Split_apply]])) - SUM($O367:O367)</f>
        <v>0</v>
      </c>
      <c r="Q367" s="52">
        <f ca="1">Log_2018[[#This Row],[Amount]]/Log_2018[[#This Row],[Split_raw]]*MAX(0,MIN(_xlfn.DAYS(EDATE(Q$1,1),Log_2018[[#This Row],[Date]]),Log_2018[[#This Row],[Split_apply]])) - SUM($O367:P367)</f>
        <v>0</v>
      </c>
      <c r="R367" s="52">
        <f ca="1">Log_2018[[#This Row],[Amount]]/Log_2018[[#This Row],[Split_raw]]*MAX(0,MIN(_xlfn.DAYS(EDATE(R$1,1),Log_2018[[#This Row],[Date]]),Log_2018[[#This Row],[Split_apply]])) - SUM($O367:Q367)</f>
        <v>0</v>
      </c>
      <c r="S367" s="52">
        <f ca="1">Log_2018[[#This Row],[Amount]]/Log_2018[[#This Row],[Split_raw]]*MAX(0,MIN(_xlfn.DAYS(EDATE(S$1,1),Log_2018[[#This Row],[Date]]),Log_2018[[#This Row],[Split_apply]])) - SUM($O367:R367)</f>
        <v>0</v>
      </c>
      <c r="T367" s="52">
        <f ca="1">Log_2018[[#This Row],[Amount]]/Log_2018[[#This Row],[Split_raw]]*MAX(0,MIN(_xlfn.DAYS(EDATE(T$1,1),Log_2018[[#This Row],[Date]]),Log_2018[[#This Row],[Split_apply]])) - SUM($O367:S367)</f>
        <v>0</v>
      </c>
      <c r="U367" s="52">
        <f ca="1">Log_2018[[#This Row],[Amount]]/Log_2018[[#This Row],[Split_raw]]*MAX(0,MIN(_xlfn.DAYS(EDATE(U$1,1),Log_2018[[#This Row],[Date]]),Log_2018[[#This Row],[Split_apply]])) - SUM($O367:T367)</f>
        <v>0</v>
      </c>
      <c r="V367" s="52">
        <f ca="1">Log_2018[[#This Row],[Amount]]/Log_2018[[#This Row],[Split_raw]]*MAX(0,MIN(_xlfn.DAYS(EDATE(V$1,1),Log_2018[[#This Row],[Date]]),Log_2018[[#This Row],[Split_apply]])) - SUM($O367:U367)</f>
        <v>-11.07</v>
      </c>
      <c r="W367" s="52">
        <f ca="1">Log_2018[[#This Row],[Amount]]/Log_2018[[#This Row],[Split_raw]]*MAX(0,MIN(_xlfn.DAYS(EDATE(W$1,1),Log_2018[[#This Row],[Date]]),Log_2018[[#This Row],[Split_apply]])) - SUM($O367:V367)</f>
        <v>0</v>
      </c>
      <c r="X367" s="52">
        <f ca="1">Log_2018[[#This Row],[Amount]]/Log_2018[[#This Row],[Split_raw]]*MAX(0,MIN(_xlfn.DAYS(EDATE(X$1,1),Log_2018[[#This Row],[Date]]),Log_2018[[#This Row],[Split_apply]])) - SUM($O367:W367)</f>
        <v>0</v>
      </c>
      <c r="Y367" s="52">
        <f ca="1">Log_2018[[#This Row],[Amount]]/Log_2018[[#This Row],[Split_raw]]*MAX(0,MIN(_xlfn.DAYS(EDATE(Y$1,1),Log_2018[[#This Row],[Date]]),Log_2018[[#This Row],[Split_apply]])) - SUM($O367:X367)</f>
        <v>0</v>
      </c>
      <c r="Z367" s="52">
        <f ca="1">Log_2018[[#This Row],[Amount]]/Log_2018[[#This Row],[Split_raw]]*MAX(0,MIN(_xlfn.DAYS(EDATE(Z$1,1),Log_2018[[#This Row],[Date]]),Log_2018[[#This Row],[Split_apply]])) - SUM($O367:Y367)</f>
        <v>0</v>
      </c>
      <c r="AA367" s="52">
        <f ca="1">Log_2018[[#This Row],[Amount]]/Log_2018[[#This Row],[Split_raw]]*MAX(0,MIN(_xlfn.DAYS(EDATE(AA$1,1),Log_2018[[#This Row],[Date]]),Log_2018[[#This Row],[Split_apply]])) - SUM($O367:Z367)</f>
        <v>0</v>
      </c>
      <c r="AB367" s="54">
        <f ca="1">Log_2018[[#This Row],[Amount]]-SUM(O367:AA367)</f>
        <v>0</v>
      </c>
      <c r="AC367" s="7">
        <f ca="1">MAX(0,Log_2018[[#This Row],[Split_apply]] - (EDATE(AA$1,1)-Log_2018[[#This Row],[Date]]))</f>
        <v>0</v>
      </c>
    </row>
    <row r="368" spans="1:29" hidden="1" x14ac:dyDescent="0.25">
      <c r="A368" s="115"/>
      <c r="B368" t="s">
        <v>6</v>
      </c>
      <c r="D368" s="39">
        <v>43294</v>
      </c>
      <c r="F368" t="s">
        <v>59</v>
      </c>
      <c r="G368" t="s">
        <v>25</v>
      </c>
      <c r="H368" s="3">
        <v>-7.94</v>
      </c>
      <c r="I368" s="36">
        <f>IF(Log_2018[[#This Row],[My Category]]="NONTRACKED",0,Log_2018[[#This Row],[Raw Amount]])</f>
        <v>-7.94</v>
      </c>
      <c r="J368" s="17">
        <f>ABS(Log_2018[[#This Row],[Amount]])</f>
        <v>7.94</v>
      </c>
      <c r="K368" s="66">
        <v>1</v>
      </c>
      <c r="L368" s="66">
        <f ca="1">IF(Log_2018[[#This Row],[Date]]&lt;=TODAY(), MIN(Log_2018[[#This Row],[Split_raw]], TODAY()-Log_2018[[#This Row],[Date]]+1), 0)</f>
        <v>1</v>
      </c>
      <c r="M368" t="s">
        <v>35</v>
      </c>
      <c r="N368" t="s">
        <v>158</v>
      </c>
      <c r="O368" s="50">
        <v>0</v>
      </c>
      <c r="P368" s="52">
        <f ca="1">Log_2018[[#This Row],[Amount]]/Log_2018[[#This Row],[Split_raw]]*MAX(0,MIN(_xlfn.DAYS(EDATE(P$1,1),Log_2018[[#This Row],[Date]]),Log_2018[[#This Row],[Split_apply]])) - SUM($O368:O368)</f>
        <v>0</v>
      </c>
      <c r="Q368" s="52">
        <f ca="1">Log_2018[[#This Row],[Amount]]/Log_2018[[#This Row],[Split_raw]]*MAX(0,MIN(_xlfn.DAYS(EDATE(Q$1,1),Log_2018[[#This Row],[Date]]),Log_2018[[#This Row],[Split_apply]])) - SUM($O368:P368)</f>
        <v>0</v>
      </c>
      <c r="R368" s="52">
        <f ca="1">Log_2018[[#This Row],[Amount]]/Log_2018[[#This Row],[Split_raw]]*MAX(0,MIN(_xlfn.DAYS(EDATE(R$1,1),Log_2018[[#This Row],[Date]]),Log_2018[[#This Row],[Split_apply]])) - SUM($O368:Q368)</f>
        <v>0</v>
      </c>
      <c r="S368" s="52">
        <f ca="1">Log_2018[[#This Row],[Amount]]/Log_2018[[#This Row],[Split_raw]]*MAX(0,MIN(_xlfn.DAYS(EDATE(S$1,1),Log_2018[[#This Row],[Date]]),Log_2018[[#This Row],[Split_apply]])) - SUM($O368:R368)</f>
        <v>0</v>
      </c>
      <c r="T368" s="52">
        <f ca="1">Log_2018[[#This Row],[Amount]]/Log_2018[[#This Row],[Split_raw]]*MAX(0,MIN(_xlfn.DAYS(EDATE(T$1,1),Log_2018[[#This Row],[Date]]),Log_2018[[#This Row],[Split_apply]])) - SUM($O368:S368)</f>
        <v>0</v>
      </c>
      <c r="U368" s="52">
        <f ca="1">Log_2018[[#This Row],[Amount]]/Log_2018[[#This Row],[Split_raw]]*MAX(0,MIN(_xlfn.DAYS(EDATE(U$1,1),Log_2018[[#This Row],[Date]]),Log_2018[[#This Row],[Split_apply]])) - SUM($O368:T368)</f>
        <v>0</v>
      </c>
      <c r="V368" s="52">
        <f ca="1">Log_2018[[#This Row],[Amount]]/Log_2018[[#This Row],[Split_raw]]*MAX(0,MIN(_xlfn.DAYS(EDATE(V$1,1),Log_2018[[#This Row],[Date]]),Log_2018[[#This Row],[Split_apply]])) - SUM($O368:U368)</f>
        <v>-7.94</v>
      </c>
      <c r="W368" s="52">
        <f ca="1">Log_2018[[#This Row],[Amount]]/Log_2018[[#This Row],[Split_raw]]*MAX(0,MIN(_xlfn.DAYS(EDATE(W$1,1),Log_2018[[#This Row],[Date]]),Log_2018[[#This Row],[Split_apply]])) - SUM($O368:V368)</f>
        <v>0</v>
      </c>
      <c r="X368" s="52">
        <f ca="1">Log_2018[[#This Row],[Amount]]/Log_2018[[#This Row],[Split_raw]]*MAX(0,MIN(_xlfn.DAYS(EDATE(X$1,1),Log_2018[[#This Row],[Date]]),Log_2018[[#This Row],[Split_apply]])) - SUM($O368:W368)</f>
        <v>0</v>
      </c>
      <c r="Y368" s="52">
        <f ca="1">Log_2018[[#This Row],[Amount]]/Log_2018[[#This Row],[Split_raw]]*MAX(0,MIN(_xlfn.DAYS(EDATE(Y$1,1),Log_2018[[#This Row],[Date]]),Log_2018[[#This Row],[Split_apply]])) - SUM($O368:X368)</f>
        <v>0</v>
      </c>
      <c r="Z368" s="52">
        <f ca="1">Log_2018[[#This Row],[Amount]]/Log_2018[[#This Row],[Split_raw]]*MAX(0,MIN(_xlfn.DAYS(EDATE(Z$1,1),Log_2018[[#This Row],[Date]]),Log_2018[[#This Row],[Split_apply]])) - SUM($O368:Y368)</f>
        <v>0</v>
      </c>
      <c r="AA368" s="52">
        <f ca="1">Log_2018[[#This Row],[Amount]]/Log_2018[[#This Row],[Split_raw]]*MAX(0,MIN(_xlfn.DAYS(EDATE(AA$1,1),Log_2018[[#This Row],[Date]]),Log_2018[[#This Row],[Split_apply]])) - SUM($O368:Z368)</f>
        <v>0</v>
      </c>
      <c r="AB368" s="54">
        <f ca="1">Log_2018[[#This Row],[Amount]]-SUM(O368:AA368)</f>
        <v>0</v>
      </c>
      <c r="AC368" s="7">
        <f ca="1">MAX(0,Log_2018[[#This Row],[Split_apply]] - (EDATE(AA$1,1)-Log_2018[[#This Row],[Date]]))</f>
        <v>0</v>
      </c>
    </row>
    <row r="369" spans="1:29" hidden="1" x14ac:dyDescent="0.25">
      <c r="A369" s="115"/>
      <c r="B369" t="s">
        <v>6</v>
      </c>
      <c r="D369" s="39">
        <v>43293</v>
      </c>
      <c r="F369" t="s">
        <v>308</v>
      </c>
      <c r="G369" t="s">
        <v>25</v>
      </c>
      <c r="H369" s="3">
        <v>-9.7100000000000009</v>
      </c>
      <c r="I369" s="36">
        <f>IF(Log_2018[[#This Row],[My Category]]="NONTRACKED",0,Log_2018[[#This Row],[Raw Amount]])</f>
        <v>-9.7100000000000009</v>
      </c>
      <c r="J369" s="17">
        <f>ABS(Log_2018[[#This Row],[Amount]])</f>
        <v>9.7100000000000009</v>
      </c>
      <c r="K369" s="66">
        <v>1</v>
      </c>
      <c r="L369" s="66">
        <f ca="1">IF(Log_2018[[#This Row],[Date]]&lt;=TODAY(), MIN(Log_2018[[#This Row],[Split_raw]], TODAY()-Log_2018[[#This Row],[Date]]+1), 0)</f>
        <v>1</v>
      </c>
      <c r="M369" t="s">
        <v>35</v>
      </c>
      <c r="N369" t="s">
        <v>158</v>
      </c>
      <c r="O369" s="50">
        <v>0</v>
      </c>
      <c r="P369" s="52">
        <f ca="1">Log_2018[[#This Row],[Amount]]/Log_2018[[#This Row],[Split_raw]]*MAX(0,MIN(_xlfn.DAYS(EDATE(P$1,1),Log_2018[[#This Row],[Date]]),Log_2018[[#This Row],[Split_apply]])) - SUM($O369:O369)</f>
        <v>0</v>
      </c>
      <c r="Q369" s="52">
        <f ca="1">Log_2018[[#This Row],[Amount]]/Log_2018[[#This Row],[Split_raw]]*MAX(0,MIN(_xlfn.DAYS(EDATE(Q$1,1),Log_2018[[#This Row],[Date]]),Log_2018[[#This Row],[Split_apply]])) - SUM($O369:P369)</f>
        <v>0</v>
      </c>
      <c r="R369" s="52">
        <f ca="1">Log_2018[[#This Row],[Amount]]/Log_2018[[#This Row],[Split_raw]]*MAX(0,MIN(_xlfn.DAYS(EDATE(R$1,1),Log_2018[[#This Row],[Date]]),Log_2018[[#This Row],[Split_apply]])) - SUM($O369:Q369)</f>
        <v>0</v>
      </c>
      <c r="S369" s="52">
        <f ca="1">Log_2018[[#This Row],[Amount]]/Log_2018[[#This Row],[Split_raw]]*MAX(0,MIN(_xlfn.DAYS(EDATE(S$1,1),Log_2018[[#This Row],[Date]]),Log_2018[[#This Row],[Split_apply]])) - SUM($O369:R369)</f>
        <v>0</v>
      </c>
      <c r="T369" s="52">
        <f ca="1">Log_2018[[#This Row],[Amount]]/Log_2018[[#This Row],[Split_raw]]*MAX(0,MIN(_xlfn.DAYS(EDATE(T$1,1),Log_2018[[#This Row],[Date]]),Log_2018[[#This Row],[Split_apply]])) - SUM($O369:S369)</f>
        <v>0</v>
      </c>
      <c r="U369" s="52">
        <f ca="1">Log_2018[[#This Row],[Amount]]/Log_2018[[#This Row],[Split_raw]]*MAX(0,MIN(_xlfn.DAYS(EDATE(U$1,1),Log_2018[[#This Row],[Date]]),Log_2018[[#This Row],[Split_apply]])) - SUM($O369:T369)</f>
        <v>0</v>
      </c>
      <c r="V369" s="52">
        <f ca="1">Log_2018[[#This Row],[Amount]]/Log_2018[[#This Row],[Split_raw]]*MAX(0,MIN(_xlfn.DAYS(EDATE(V$1,1),Log_2018[[#This Row],[Date]]),Log_2018[[#This Row],[Split_apply]])) - SUM($O369:U369)</f>
        <v>-9.7100000000000009</v>
      </c>
      <c r="W369" s="52">
        <f ca="1">Log_2018[[#This Row],[Amount]]/Log_2018[[#This Row],[Split_raw]]*MAX(0,MIN(_xlfn.DAYS(EDATE(W$1,1),Log_2018[[#This Row],[Date]]),Log_2018[[#This Row],[Split_apply]])) - SUM($O369:V369)</f>
        <v>0</v>
      </c>
      <c r="X369" s="52">
        <f ca="1">Log_2018[[#This Row],[Amount]]/Log_2018[[#This Row],[Split_raw]]*MAX(0,MIN(_xlfn.DAYS(EDATE(X$1,1),Log_2018[[#This Row],[Date]]),Log_2018[[#This Row],[Split_apply]])) - SUM($O369:W369)</f>
        <v>0</v>
      </c>
      <c r="Y369" s="52">
        <f ca="1">Log_2018[[#This Row],[Amount]]/Log_2018[[#This Row],[Split_raw]]*MAX(0,MIN(_xlfn.DAYS(EDATE(Y$1,1),Log_2018[[#This Row],[Date]]),Log_2018[[#This Row],[Split_apply]])) - SUM($O369:X369)</f>
        <v>0</v>
      </c>
      <c r="Z369" s="52">
        <f ca="1">Log_2018[[#This Row],[Amount]]/Log_2018[[#This Row],[Split_raw]]*MAX(0,MIN(_xlfn.DAYS(EDATE(Z$1,1),Log_2018[[#This Row],[Date]]),Log_2018[[#This Row],[Split_apply]])) - SUM($O369:Y369)</f>
        <v>0</v>
      </c>
      <c r="AA369" s="52">
        <f ca="1">Log_2018[[#This Row],[Amount]]/Log_2018[[#This Row],[Split_raw]]*MAX(0,MIN(_xlfn.DAYS(EDATE(AA$1,1),Log_2018[[#This Row],[Date]]),Log_2018[[#This Row],[Split_apply]])) - SUM($O369:Z369)</f>
        <v>0</v>
      </c>
      <c r="AB369" s="54">
        <f ca="1">Log_2018[[#This Row],[Amount]]-SUM(O369:AA369)</f>
        <v>0</v>
      </c>
      <c r="AC369" s="7">
        <f ca="1">MAX(0,Log_2018[[#This Row],[Split_apply]] - (EDATE(AA$1,1)-Log_2018[[#This Row],[Date]]))</f>
        <v>0</v>
      </c>
    </row>
    <row r="370" spans="1:29" hidden="1" x14ac:dyDescent="0.25">
      <c r="A370" s="115"/>
      <c r="B370" t="s">
        <v>6</v>
      </c>
      <c r="D370" s="39">
        <v>43292</v>
      </c>
      <c r="F370" t="s">
        <v>255</v>
      </c>
      <c r="G370" t="s">
        <v>25</v>
      </c>
      <c r="H370" s="3">
        <v>-9.39</v>
      </c>
      <c r="I370" s="36">
        <f>IF(Log_2018[[#This Row],[My Category]]="NONTRACKED",0,Log_2018[[#This Row],[Raw Amount]])</f>
        <v>-9.39</v>
      </c>
      <c r="J370" s="17">
        <f>ABS(Log_2018[[#This Row],[Amount]])</f>
        <v>9.39</v>
      </c>
      <c r="K370" s="66">
        <v>1</v>
      </c>
      <c r="L370" s="66">
        <f ca="1">IF(Log_2018[[#This Row],[Date]]&lt;=TODAY(), MIN(Log_2018[[#This Row],[Split_raw]], TODAY()-Log_2018[[#This Row],[Date]]+1), 0)</f>
        <v>1</v>
      </c>
      <c r="M370" t="s">
        <v>35</v>
      </c>
      <c r="N370" t="s">
        <v>158</v>
      </c>
      <c r="O370" s="50">
        <v>0</v>
      </c>
      <c r="P370" s="52">
        <f ca="1">Log_2018[[#This Row],[Amount]]/Log_2018[[#This Row],[Split_raw]]*MAX(0,MIN(_xlfn.DAYS(EDATE(P$1,1),Log_2018[[#This Row],[Date]]),Log_2018[[#This Row],[Split_apply]])) - SUM($O370:O370)</f>
        <v>0</v>
      </c>
      <c r="Q370" s="52">
        <f ca="1">Log_2018[[#This Row],[Amount]]/Log_2018[[#This Row],[Split_raw]]*MAX(0,MIN(_xlfn.DAYS(EDATE(Q$1,1),Log_2018[[#This Row],[Date]]),Log_2018[[#This Row],[Split_apply]])) - SUM($O370:P370)</f>
        <v>0</v>
      </c>
      <c r="R370" s="52">
        <f ca="1">Log_2018[[#This Row],[Amount]]/Log_2018[[#This Row],[Split_raw]]*MAX(0,MIN(_xlfn.DAYS(EDATE(R$1,1),Log_2018[[#This Row],[Date]]),Log_2018[[#This Row],[Split_apply]])) - SUM($O370:Q370)</f>
        <v>0</v>
      </c>
      <c r="S370" s="52">
        <f ca="1">Log_2018[[#This Row],[Amount]]/Log_2018[[#This Row],[Split_raw]]*MAX(0,MIN(_xlfn.DAYS(EDATE(S$1,1),Log_2018[[#This Row],[Date]]),Log_2018[[#This Row],[Split_apply]])) - SUM($O370:R370)</f>
        <v>0</v>
      </c>
      <c r="T370" s="52">
        <f ca="1">Log_2018[[#This Row],[Amount]]/Log_2018[[#This Row],[Split_raw]]*MAX(0,MIN(_xlfn.DAYS(EDATE(T$1,1),Log_2018[[#This Row],[Date]]),Log_2018[[#This Row],[Split_apply]])) - SUM($O370:S370)</f>
        <v>0</v>
      </c>
      <c r="U370" s="52">
        <f ca="1">Log_2018[[#This Row],[Amount]]/Log_2018[[#This Row],[Split_raw]]*MAX(0,MIN(_xlfn.DAYS(EDATE(U$1,1),Log_2018[[#This Row],[Date]]),Log_2018[[#This Row],[Split_apply]])) - SUM($O370:T370)</f>
        <v>0</v>
      </c>
      <c r="V370" s="52">
        <f ca="1">Log_2018[[#This Row],[Amount]]/Log_2018[[#This Row],[Split_raw]]*MAX(0,MIN(_xlfn.DAYS(EDATE(V$1,1),Log_2018[[#This Row],[Date]]),Log_2018[[#This Row],[Split_apply]])) - SUM($O370:U370)</f>
        <v>-9.39</v>
      </c>
      <c r="W370" s="52">
        <f ca="1">Log_2018[[#This Row],[Amount]]/Log_2018[[#This Row],[Split_raw]]*MAX(0,MIN(_xlfn.DAYS(EDATE(W$1,1),Log_2018[[#This Row],[Date]]),Log_2018[[#This Row],[Split_apply]])) - SUM($O370:V370)</f>
        <v>0</v>
      </c>
      <c r="X370" s="52">
        <f ca="1">Log_2018[[#This Row],[Amount]]/Log_2018[[#This Row],[Split_raw]]*MAX(0,MIN(_xlfn.DAYS(EDATE(X$1,1),Log_2018[[#This Row],[Date]]),Log_2018[[#This Row],[Split_apply]])) - SUM($O370:W370)</f>
        <v>0</v>
      </c>
      <c r="Y370" s="52">
        <f ca="1">Log_2018[[#This Row],[Amount]]/Log_2018[[#This Row],[Split_raw]]*MAX(0,MIN(_xlfn.DAYS(EDATE(Y$1,1),Log_2018[[#This Row],[Date]]),Log_2018[[#This Row],[Split_apply]])) - SUM($O370:X370)</f>
        <v>0</v>
      </c>
      <c r="Z370" s="52">
        <f ca="1">Log_2018[[#This Row],[Amount]]/Log_2018[[#This Row],[Split_raw]]*MAX(0,MIN(_xlfn.DAYS(EDATE(Z$1,1),Log_2018[[#This Row],[Date]]),Log_2018[[#This Row],[Split_apply]])) - SUM($O370:Y370)</f>
        <v>0</v>
      </c>
      <c r="AA370" s="52">
        <f ca="1">Log_2018[[#This Row],[Amount]]/Log_2018[[#This Row],[Split_raw]]*MAX(0,MIN(_xlfn.DAYS(EDATE(AA$1,1),Log_2018[[#This Row],[Date]]),Log_2018[[#This Row],[Split_apply]])) - SUM($O370:Z370)</f>
        <v>0</v>
      </c>
      <c r="AB370" s="54">
        <f ca="1">Log_2018[[#This Row],[Amount]]-SUM(O370:AA370)</f>
        <v>0</v>
      </c>
      <c r="AC370" s="7">
        <f ca="1">MAX(0,Log_2018[[#This Row],[Split_apply]] - (EDATE(AA$1,1)-Log_2018[[#This Row],[Date]]))</f>
        <v>0</v>
      </c>
    </row>
    <row r="371" spans="1:29" hidden="1" x14ac:dyDescent="0.25">
      <c r="A371" s="115"/>
      <c r="B371" s="34" t="s">
        <v>6</v>
      </c>
      <c r="D371" s="39">
        <v>43292</v>
      </c>
      <c r="F371" t="s">
        <v>83</v>
      </c>
      <c r="G371" t="s">
        <v>15</v>
      </c>
      <c r="H371" s="3">
        <v>-239.23</v>
      </c>
      <c r="I371" s="36">
        <f>IF(Log_2018[[#This Row],[My Category]]="NONTRACKED",0,Log_2018[[#This Row],[Raw Amount]])</f>
        <v>-239.23</v>
      </c>
      <c r="J371" s="17">
        <f>ABS(Log_2018[[#This Row],[Amount]])</f>
        <v>239.23</v>
      </c>
      <c r="K371" s="66">
        <v>30</v>
      </c>
      <c r="L371" s="66">
        <f ca="1">IF(Log_2018[[#This Row],[Date]]&lt;=TODAY(), MIN(Log_2018[[#This Row],[Split_raw]], TODAY()-Log_2018[[#This Row],[Date]]+1), 0)</f>
        <v>30</v>
      </c>
      <c r="M371" t="s">
        <v>241</v>
      </c>
      <c r="N371" t="s">
        <v>160</v>
      </c>
      <c r="O371" s="50">
        <v>0</v>
      </c>
      <c r="P371" s="52">
        <f ca="1">Log_2018[[#This Row],[Amount]]/Log_2018[[#This Row],[Split_raw]]*MAX(0,MIN(_xlfn.DAYS(EDATE(P$1,1),Log_2018[[#This Row],[Date]]),Log_2018[[#This Row],[Split_apply]])) - SUM($O371:O371)</f>
        <v>0</v>
      </c>
      <c r="Q371" s="52">
        <f ca="1">Log_2018[[#This Row],[Amount]]/Log_2018[[#This Row],[Split_raw]]*MAX(0,MIN(_xlfn.DAYS(EDATE(Q$1,1),Log_2018[[#This Row],[Date]]),Log_2018[[#This Row],[Split_apply]])) - SUM($O371:P371)</f>
        <v>0</v>
      </c>
      <c r="R371" s="52">
        <f ca="1">Log_2018[[#This Row],[Amount]]/Log_2018[[#This Row],[Split_raw]]*MAX(0,MIN(_xlfn.DAYS(EDATE(R$1,1),Log_2018[[#This Row],[Date]]),Log_2018[[#This Row],[Split_apply]])) - SUM($O371:Q371)</f>
        <v>0</v>
      </c>
      <c r="S371" s="52">
        <f ca="1">Log_2018[[#This Row],[Amount]]/Log_2018[[#This Row],[Split_raw]]*MAX(0,MIN(_xlfn.DAYS(EDATE(S$1,1),Log_2018[[#This Row],[Date]]),Log_2018[[#This Row],[Split_apply]])) - SUM($O371:R371)</f>
        <v>0</v>
      </c>
      <c r="T371" s="52">
        <f ca="1">Log_2018[[#This Row],[Amount]]/Log_2018[[#This Row],[Split_raw]]*MAX(0,MIN(_xlfn.DAYS(EDATE(T$1,1),Log_2018[[#This Row],[Date]]),Log_2018[[#This Row],[Split_apply]])) - SUM($O371:S371)</f>
        <v>0</v>
      </c>
      <c r="U371" s="52">
        <f ca="1">Log_2018[[#This Row],[Amount]]/Log_2018[[#This Row],[Split_raw]]*MAX(0,MIN(_xlfn.DAYS(EDATE(U$1,1),Log_2018[[#This Row],[Date]]),Log_2018[[#This Row],[Split_apply]])) - SUM($O371:T371)</f>
        <v>0</v>
      </c>
      <c r="V371" s="52">
        <f ca="1">Log_2018[[#This Row],[Amount]]/Log_2018[[#This Row],[Split_raw]]*MAX(0,MIN(_xlfn.DAYS(EDATE(V$1,1),Log_2018[[#This Row],[Date]]),Log_2018[[#This Row],[Split_apply]])) - SUM($O371:U371)</f>
        <v>-167.46099999999998</v>
      </c>
      <c r="W371" s="52">
        <f ca="1">Log_2018[[#This Row],[Amount]]/Log_2018[[#This Row],[Split_raw]]*MAX(0,MIN(_xlfn.DAYS(EDATE(W$1,1),Log_2018[[#This Row],[Date]]),Log_2018[[#This Row],[Split_apply]])) - SUM($O371:V371)</f>
        <v>-71.769000000000005</v>
      </c>
      <c r="X371" s="52">
        <f ca="1">Log_2018[[#This Row],[Amount]]/Log_2018[[#This Row],[Split_raw]]*MAX(0,MIN(_xlfn.DAYS(EDATE(X$1,1),Log_2018[[#This Row],[Date]]),Log_2018[[#This Row],[Split_apply]])) - SUM($O371:W371)</f>
        <v>0</v>
      </c>
      <c r="Y371" s="52">
        <f ca="1">Log_2018[[#This Row],[Amount]]/Log_2018[[#This Row],[Split_raw]]*MAX(0,MIN(_xlfn.DAYS(EDATE(Y$1,1),Log_2018[[#This Row],[Date]]),Log_2018[[#This Row],[Split_apply]])) - SUM($O371:X371)</f>
        <v>0</v>
      </c>
      <c r="Z371" s="52">
        <f ca="1">Log_2018[[#This Row],[Amount]]/Log_2018[[#This Row],[Split_raw]]*MAX(0,MIN(_xlfn.DAYS(EDATE(Z$1,1),Log_2018[[#This Row],[Date]]),Log_2018[[#This Row],[Split_apply]])) - SUM($O371:Y371)</f>
        <v>0</v>
      </c>
      <c r="AA371" s="52">
        <f ca="1">Log_2018[[#This Row],[Amount]]/Log_2018[[#This Row],[Split_raw]]*MAX(0,MIN(_xlfn.DAYS(EDATE(AA$1,1),Log_2018[[#This Row],[Date]]),Log_2018[[#This Row],[Split_apply]])) - SUM($O371:Z371)</f>
        <v>0</v>
      </c>
      <c r="AB371" s="54">
        <f ca="1">Log_2018[[#This Row],[Amount]]-SUM(O371:AA371)</f>
        <v>0</v>
      </c>
      <c r="AC371" s="7">
        <f ca="1">MAX(0,Log_2018[[#This Row],[Split_apply]] - (EDATE(AA$1,1)-Log_2018[[#This Row],[Date]]))</f>
        <v>0</v>
      </c>
    </row>
    <row r="372" spans="1:29" hidden="1" x14ac:dyDescent="0.25">
      <c r="A372" s="115"/>
      <c r="B372" t="s">
        <v>6</v>
      </c>
      <c r="D372" s="39">
        <v>43291</v>
      </c>
      <c r="F372" t="s">
        <v>309</v>
      </c>
      <c r="G372" t="s">
        <v>13</v>
      </c>
      <c r="H372" s="3">
        <v>-43.26</v>
      </c>
      <c r="I372" s="36">
        <f>IF(Log_2018[[#This Row],[My Category]]="NONTRACKED",0,Log_2018[[#This Row],[Raw Amount]])</f>
        <v>-43.26</v>
      </c>
      <c r="J372" s="17">
        <f>ABS(Log_2018[[#This Row],[Amount]])</f>
        <v>43.26</v>
      </c>
      <c r="K372" s="66">
        <v>1</v>
      </c>
      <c r="L372" s="66">
        <f ca="1">IF(Log_2018[[#This Row],[Date]]&lt;=TODAY(), MIN(Log_2018[[#This Row],[Split_raw]], TODAY()-Log_2018[[#This Row],[Date]]+1), 0)</f>
        <v>1</v>
      </c>
      <c r="M372" t="s">
        <v>145</v>
      </c>
      <c r="N372" t="s">
        <v>158</v>
      </c>
      <c r="O372" s="50">
        <v>0</v>
      </c>
      <c r="P372" s="52">
        <f ca="1">Log_2018[[#This Row],[Amount]]/Log_2018[[#This Row],[Split_raw]]*MAX(0,MIN(_xlfn.DAYS(EDATE(P$1,1),Log_2018[[#This Row],[Date]]),Log_2018[[#This Row],[Split_apply]])) - SUM($O372:O372)</f>
        <v>0</v>
      </c>
      <c r="Q372" s="52">
        <f ca="1">Log_2018[[#This Row],[Amount]]/Log_2018[[#This Row],[Split_raw]]*MAX(0,MIN(_xlfn.DAYS(EDATE(Q$1,1),Log_2018[[#This Row],[Date]]),Log_2018[[#This Row],[Split_apply]])) - SUM($O372:P372)</f>
        <v>0</v>
      </c>
      <c r="R372" s="52">
        <f ca="1">Log_2018[[#This Row],[Amount]]/Log_2018[[#This Row],[Split_raw]]*MAX(0,MIN(_xlfn.DAYS(EDATE(R$1,1),Log_2018[[#This Row],[Date]]),Log_2018[[#This Row],[Split_apply]])) - SUM($O372:Q372)</f>
        <v>0</v>
      </c>
      <c r="S372" s="52">
        <f ca="1">Log_2018[[#This Row],[Amount]]/Log_2018[[#This Row],[Split_raw]]*MAX(0,MIN(_xlfn.DAYS(EDATE(S$1,1),Log_2018[[#This Row],[Date]]),Log_2018[[#This Row],[Split_apply]])) - SUM($O372:R372)</f>
        <v>0</v>
      </c>
      <c r="T372" s="52">
        <f ca="1">Log_2018[[#This Row],[Amount]]/Log_2018[[#This Row],[Split_raw]]*MAX(0,MIN(_xlfn.DAYS(EDATE(T$1,1),Log_2018[[#This Row],[Date]]),Log_2018[[#This Row],[Split_apply]])) - SUM($O372:S372)</f>
        <v>0</v>
      </c>
      <c r="U372" s="52">
        <f ca="1">Log_2018[[#This Row],[Amount]]/Log_2018[[#This Row],[Split_raw]]*MAX(0,MIN(_xlfn.DAYS(EDATE(U$1,1),Log_2018[[#This Row],[Date]]),Log_2018[[#This Row],[Split_apply]])) - SUM($O372:T372)</f>
        <v>0</v>
      </c>
      <c r="V372" s="52">
        <f ca="1">Log_2018[[#This Row],[Amount]]/Log_2018[[#This Row],[Split_raw]]*MAX(0,MIN(_xlfn.DAYS(EDATE(V$1,1),Log_2018[[#This Row],[Date]]),Log_2018[[#This Row],[Split_apply]])) - SUM($O372:U372)</f>
        <v>-43.26</v>
      </c>
      <c r="W372" s="52">
        <f ca="1">Log_2018[[#This Row],[Amount]]/Log_2018[[#This Row],[Split_raw]]*MAX(0,MIN(_xlfn.DAYS(EDATE(W$1,1),Log_2018[[#This Row],[Date]]),Log_2018[[#This Row],[Split_apply]])) - SUM($O372:V372)</f>
        <v>0</v>
      </c>
      <c r="X372" s="52">
        <f ca="1">Log_2018[[#This Row],[Amount]]/Log_2018[[#This Row],[Split_raw]]*MAX(0,MIN(_xlfn.DAYS(EDATE(X$1,1),Log_2018[[#This Row],[Date]]),Log_2018[[#This Row],[Split_apply]])) - SUM($O372:W372)</f>
        <v>0</v>
      </c>
      <c r="Y372" s="52">
        <f ca="1">Log_2018[[#This Row],[Amount]]/Log_2018[[#This Row],[Split_raw]]*MAX(0,MIN(_xlfn.DAYS(EDATE(Y$1,1),Log_2018[[#This Row],[Date]]),Log_2018[[#This Row],[Split_apply]])) - SUM($O372:X372)</f>
        <v>0</v>
      </c>
      <c r="Z372" s="52">
        <f ca="1">Log_2018[[#This Row],[Amount]]/Log_2018[[#This Row],[Split_raw]]*MAX(0,MIN(_xlfn.DAYS(EDATE(Z$1,1),Log_2018[[#This Row],[Date]]),Log_2018[[#This Row],[Split_apply]])) - SUM($O372:Y372)</f>
        <v>0</v>
      </c>
      <c r="AA372" s="52">
        <f ca="1">Log_2018[[#This Row],[Amount]]/Log_2018[[#This Row],[Split_raw]]*MAX(0,MIN(_xlfn.DAYS(EDATE(AA$1,1),Log_2018[[#This Row],[Date]]),Log_2018[[#This Row],[Split_apply]])) - SUM($O372:Z372)</f>
        <v>0</v>
      </c>
      <c r="AB372" s="54">
        <f ca="1">Log_2018[[#This Row],[Amount]]-SUM(O372:AA372)</f>
        <v>0</v>
      </c>
      <c r="AC372" s="7">
        <f ca="1">MAX(0,Log_2018[[#This Row],[Split_apply]] - (EDATE(AA$1,1)-Log_2018[[#This Row],[Date]]))</f>
        <v>0</v>
      </c>
    </row>
    <row r="373" spans="1:29" hidden="1" x14ac:dyDescent="0.25">
      <c r="A373" s="115"/>
      <c r="B373" t="s">
        <v>6</v>
      </c>
      <c r="D373" s="39">
        <v>43291</v>
      </c>
      <c r="F373" t="s">
        <v>59</v>
      </c>
      <c r="G373" t="s">
        <v>25</v>
      </c>
      <c r="H373" s="3">
        <v>-7.94</v>
      </c>
      <c r="I373" s="36">
        <f>IF(Log_2018[[#This Row],[My Category]]="NONTRACKED",0,Log_2018[[#This Row],[Raw Amount]])</f>
        <v>-7.94</v>
      </c>
      <c r="J373" s="17">
        <f>ABS(Log_2018[[#This Row],[Amount]])</f>
        <v>7.94</v>
      </c>
      <c r="K373" s="66">
        <v>1</v>
      </c>
      <c r="L373" s="66">
        <f ca="1">IF(Log_2018[[#This Row],[Date]]&lt;=TODAY(), MIN(Log_2018[[#This Row],[Split_raw]], TODAY()-Log_2018[[#This Row],[Date]]+1), 0)</f>
        <v>1</v>
      </c>
      <c r="M373" t="s">
        <v>35</v>
      </c>
      <c r="N373" t="s">
        <v>158</v>
      </c>
      <c r="O373" s="50">
        <v>0</v>
      </c>
      <c r="P373" s="52">
        <f ca="1">Log_2018[[#This Row],[Amount]]/Log_2018[[#This Row],[Split_raw]]*MAX(0,MIN(_xlfn.DAYS(EDATE(P$1,1),Log_2018[[#This Row],[Date]]),Log_2018[[#This Row],[Split_apply]])) - SUM($O373:O373)</f>
        <v>0</v>
      </c>
      <c r="Q373" s="52">
        <f ca="1">Log_2018[[#This Row],[Amount]]/Log_2018[[#This Row],[Split_raw]]*MAX(0,MIN(_xlfn.DAYS(EDATE(Q$1,1),Log_2018[[#This Row],[Date]]),Log_2018[[#This Row],[Split_apply]])) - SUM($O373:P373)</f>
        <v>0</v>
      </c>
      <c r="R373" s="52">
        <f ca="1">Log_2018[[#This Row],[Amount]]/Log_2018[[#This Row],[Split_raw]]*MAX(0,MIN(_xlfn.DAYS(EDATE(R$1,1),Log_2018[[#This Row],[Date]]),Log_2018[[#This Row],[Split_apply]])) - SUM($O373:Q373)</f>
        <v>0</v>
      </c>
      <c r="S373" s="52">
        <f ca="1">Log_2018[[#This Row],[Amount]]/Log_2018[[#This Row],[Split_raw]]*MAX(0,MIN(_xlfn.DAYS(EDATE(S$1,1),Log_2018[[#This Row],[Date]]),Log_2018[[#This Row],[Split_apply]])) - SUM($O373:R373)</f>
        <v>0</v>
      </c>
      <c r="T373" s="52">
        <f ca="1">Log_2018[[#This Row],[Amount]]/Log_2018[[#This Row],[Split_raw]]*MAX(0,MIN(_xlfn.DAYS(EDATE(T$1,1),Log_2018[[#This Row],[Date]]),Log_2018[[#This Row],[Split_apply]])) - SUM($O373:S373)</f>
        <v>0</v>
      </c>
      <c r="U373" s="52">
        <f ca="1">Log_2018[[#This Row],[Amount]]/Log_2018[[#This Row],[Split_raw]]*MAX(0,MIN(_xlfn.DAYS(EDATE(U$1,1),Log_2018[[#This Row],[Date]]),Log_2018[[#This Row],[Split_apply]])) - SUM($O373:T373)</f>
        <v>0</v>
      </c>
      <c r="V373" s="52">
        <f ca="1">Log_2018[[#This Row],[Amount]]/Log_2018[[#This Row],[Split_raw]]*MAX(0,MIN(_xlfn.DAYS(EDATE(V$1,1),Log_2018[[#This Row],[Date]]),Log_2018[[#This Row],[Split_apply]])) - SUM($O373:U373)</f>
        <v>-7.94</v>
      </c>
      <c r="W373" s="52">
        <f ca="1">Log_2018[[#This Row],[Amount]]/Log_2018[[#This Row],[Split_raw]]*MAX(0,MIN(_xlfn.DAYS(EDATE(W$1,1),Log_2018[[#This Row],[Date]]),Log_2018[[#This Row],[Split_apply]])) - SUM($O373:V373)</f>
        <v>0</v>
      </c>
      <c r="X373" s="52">
        <f ca="1">Log_2018[[#This Row],[Amount]]/Log_2018[[#This Row],[Split_raw]]*MAX(0,MIN(_xlfn.DAYS(EDATE(X$1,1),Log_2018[[#This Row],[Date]]),Log_2018[[#This Row],[Split_apply]])) - SUM($O373:W373)</f>
        <v>0</v>
      </c>
      <c r="Y373" s="52">
        <f ca="1">Log_2018[[#This Row],[Amount]]/Log_2018[[#This Row],[Split_raw]]*MAX(0,MIN(_xlfn.DAYS(EDATE(Y$1,1),Log_2018[[#This Row],[Date]]),Log_2018[[#This Row],[Split_apply]])) - SUM($O373:X373)</f>
        <v>0</v>
      </c>
      <c r="Z373" s="52">
        <f ca="1">Log_2018[[#This Row],[Amount]]/Log_2018[[#This Row],[Split_raw]]*MAX(0,MIN(_xlfn.DAYS(EDATE(Z$1,1),Log_2018[[#This Row],[Date]]),Log_2018[[#This Row],[Split_apply]])) - SUM($O373:Y373)</f>
        <v>0</v>
      </c>
      <c r="AA373" s="52">
        <f ca="1">Log_2018[[#This Row],[Amount]]/Log_2018[[#This Row],[Split_raw]]*MAX(0,MIN(_xlfn.DAYS(EDATE(AA$1,1),Log_2018[[#This Row],[Date]]),Log_2018[[#This Row],[Split_apply]])) - SUM($O373:Z373)</f>
        <v>0</v>
      </c>
      <c r="AB373" s="54">
        <f ca="1">Log_2018[[#This Row],[Amount]]-SUM(O373:AA373)</f>
        <v>0</v>
      </c>
      <c r="AC373" s="7">
        <f ca="1">MAX(0,Log_2018[[#This Row],[Split_apply]] - (EDATE(AA$1,1)-Log_2018[[#This Row],[Date]]))</f>
        <v>0</v>
      </c>
    </row>
    <row r="374" spans="1:29" hidden="1" x14ac:dyDescent="0.25">
      <c r="A374" s="115"/>
      <c r="B374" t="s">
        <v>6</v>
      </c>
      <c r="D374" s="39">
        <v>43291</v>
      </c>
      <c r="F374" t="s">
        <v>255</v>
      </c>
      <c r="G374" t="s">
        <v>25</v>
      </c>
      <c r="H374" s="3">
        <v>-31.77</v>
      </c>
      <c r="I374" s="36">
        <f>IF(Log_2018[[#This Row],[My Category]]="NONTRACKED",0,Log_2018[[#This Row],[Raw Amount]])</f>
        <v>-31.77</v>
      </c>
      <c r="J374" s="17">
        <f>ABS(Log_2018[[#This Row],[Amount]])</f>
        <v>31.77</v>
      </c>
      <c r="K374" s="66">
        <v>1</v>
      </c>
      <c r="L374" s="66">
        <f ca="1">IF(Log_2018[[#This Row],[Date]]&lt;=TODAY(), MIN(Log_2018[[#This Row],[Split_raw]], TODAY()-Log_2018[[#This Row],[Date]]+1), 0)</f>
        <v>1</v>
      </c>
      <c r="M374" t="s">
        <v>52</v>
      </c>
      <c r="N374" t="s">
        <v>158</v>
      </c>
      <c r="O374" s="50">
        <v>0</v>
      </c>
      <c r="P374" s="52">
        <f ca="1">Log_2018[[#This Row],[Amount]]/Log_2018[[#This Row],[Split_raw]]*MAX(0,MIN(_xlfn.DAYS(EDATE(P$1,1),Log_2018[[#This Row],[Date]]),Log_2018[[#This Row],[Split_apply]])) - SUM($O374:O374)</f>
        <v>0</v>
      </c>
      <c r="Q374" s="52">
        <f ca="1">Log_2018[[#This Row],[Amount]]/Log_2018[[#This Row],[Split_raw]]*MAX(0,MIN(_xlfn.DAYS(EDATE(Q$1,1),Log_2018[[#This Row],[Date]]),Log_2018[[#This Row],[Split_apply]])) - SUM($O374:P374)</f>
        <v>0</v>
      </c>
      <c r="R374" s="52">
        <f ca="1">Log_2018[[#This Row],[Amount]]/Log_2018[[#This Row],[Split_raw]]*MAX(0,MIN(_xlfn.DAYS(EDATE(R$1,1),Log_2018[[#This Row],[Date]]),Log_2018[[#This Row],[Split_apply]])) - SUM($O374:Q374)</f>
        <v>0</v>
      </c>
      <c r="S374" s="52">
        <f ca="1">Log_2018[[#This Row],[Amount]]/Log_2018[[#This Row],[Split_raw]]*MAX(0,MIN(_xlfn.DAYS(EDATE(S$1,1),Log_2018[[#This Row],[Date]]),Log_2018[[#This Row],[Split_apply]])) - SUM($O374:R374)</f>
        <v>0</v>
      </c>
      <c r="T374" s="52">
        <f ca="1">Log_2018[[#This Row],[Amount]]/Log_2018[[#This Row],[Split_raw]]*MAX(0,MIN(_xlfn.DAYS(EDATE(T$1,1),Log_2018[[#This Row],[Date]]),Log_2018[[#This Row],[Split_apply]])) - SUM($O374:S374)</f>
        <v>0</v>
      </c>
      <c r="U374" s="52">
        <f ca="1">Log_2018[[#This Row],[Amount]]/Log_2018[[#This Row],[Split_raw]]*MAX(0,MIN(_xlfn.DAYS(EDATE(U$1,1),Log_2018[[#This Row],[Date]]),Log_2018[[#This Row],[Split_apply]])) - SUM($O374:T374)</f>
        <v>0</v>
      </c>
      <c r="V374" s="52">
        <f ca="1">Log_2018[[#This Row],[Amount]]/Log_2018[[#This Row],[Split_raw]]*MAX(0,MIN(_xlfn.DAYS(EDATE(V$1,1),Log_2018[[#This Row],[Date]]),Log_2018[[#This Row],[Split_apply]])) - SUM($O374:U374)</f>
        <v>-31.77</v>
      </c>
      <c r="W374" s="52">
        <f ca="1">Log_2018[[#This Row],[Amount]]/Log_2018[[#This Row],[Split_raw]]*MAX(0,MIN(_xlfn.DAYS(EDATE(W$1,1),Log_2018[[#This Row],[Date]]),Log_2018[[#This Row],[Split_apply]])) - SUM($O374:V374)</f>
        <v>0</v>
      </c>
      <c r="X374" s="52">
        <f ca="1">Log_2018[[#This Row],[Amount]]/Log_2018[[#This Row],[Split_raw]]*MAX(0,MIN(_xlfn.DAYS(EDATE(X$1,1),Log_2018[[#This Row],[Date]]),Log_2018[[#This Row],[Split_apply]])) - SUM($O374:W374)</f>
        <v>0</v>
      </c>
      <c r="Y374" s="52">
        <f ca="1">Log_2018[[#This Row],[Amount]]/Log_2018[[#This Row],[Split_raw]]*MAX(0,MIN(_xlfn.DAYS(EDATE(Y$1,1),Log_2018[[#This Row],[Date]]),Log_2018[[#This Row],[Split_apply]])) - SUM($O374:X374)</f>
        <v>0</v>
      </c>
      <c r="Z374" s="52">
        <f ca="1">Log_2018[[#This Row],[Amount]]/Log_2018[[#This Row],[Split_raw]]*MAX(0,MIN(_xlfn.DAYS(EDATE(Z$1,1),Log_2018[[#This Row],[Date]]),Log_2018[[#This Row],[Split_apply]])) - SUM($O374:Y374)</f>
        <v>0</v>
      </c>
      <c r="AA374" s="52">
        <f ca="1">Log_2018[[#This Row],[Amount]]/Log_2018[[#This Row],[Split_raw]]*MAX(0,MIN(_xlfn.DAYS(EDATE(AA$1,1),Log_2018[[#This Row],[Date]]),Log_2018[[#This Row],[Split_apply]])) - SUM($O374:Z374)</f>
        <v>0</v>
      </c>
      <c r="AB374" s="54">
        <f ca="1">Log_2018[[#This Row],[Amount]]-SUM(O374:AA374)</f>
        <v>0</v>
      </c>
      <c r="AC374" s="7">
        <f ca="1">MAX(0,Log_2018[[#This Row],[Split_apply]] - (EDATE(AA$1,1)-Log_2018[[#This Row],[Date]]))</f>
        <v>0</v>
      </c>
    </row>
    <row r="375" spans="1:29" hidden="1" x14ac:dyDescent="0.25">
      <c r="A375" s="115"/>
      <c r="B375" t="s">
        <v>6</v>
      </c>
      <c r="D375" s="39">
        <v>43291</v>
      </c>
      <c r="E375" t="s">
        <v>250</v>
      </c>
      <c r="F375" t="s">
        <v>243</v>
      </c>
      <c r="G375" t="s">
        <v>143</v>
      </c>
      <c r="H375" s="3">
        <v>-10.81</v>
      </c>
      <c r="I375" s="36">
        <f>IF(Log_2018[[#This Row],[My Category]]="NONTRACKED",0,Log_2018[[#This Row],[Raw Amount]])</f>
        <v>-10.81</v>
      </c>
      <c r="J375" s="17">
        <f>ABS(Log_2018[[#This Row],[Amount]])</f>
        <v>10.81</v>
      </c>
      <c r="K375" s="66">
        <v>30</v>
      </c>
      <c r="L375" s="66">
        <f ca="1">IF(Log_2018[[#This Row],[Date]]&lt;=TODAY(), MIN(Log_2018[[#This Row],[Split_raw]], TODAY()-Log_2018[[#This Row],[Date]]+1), 0)</f>
        <v>30</v>
      </c>
      <c r="M375" t="s">
        <v>53</v>
      </c>
      <c r="N375" t="s">
        <v>160</v>
      </c>
      <c r="O375" s="50">
        <v>0</v>
      </c>
      <c r="P375" s="52">
        <f ca="1">Log_2018[[#This Row],[Amount]]/Log_2018[[#This Row],[Split_raw]]*MAX(0,MIN(_xlfn.DAYS(EDATE(P$1,1),Log_2018[[#This Row],[Date]]),Log_2018[[#This Row],[Split_apply]])) - SUM($O375:O375)</f>
        <v>0</v>
      </c>
      <c r="Q375" s="52">
        <f ca="1">Log_2018[[#This Row],[Amount]]/Log_2018[[#This Row],[Split_raw]]*MAX(0,MIN(_xlfn.DAYS(EDATE(Q$1,1),Log_2018[[#This Row],[Date]]),Log_2018[[#This Row],[Split_apply]])) - SUM($O375:P375)</f>
        <v>0</v>
      </c>
      <c r="R375" s="52">
        <f ca="1">Log_2018[[#This Row],[Amount]]/Log_2018[[#This Row],[Split_raw]]*MAX(0,MIN(_xlfn.DAYS(EDATE(R$1,1),Log_2018[[#This Row],[Date]]),Log_2018[[#This Row],[Split_apply]])) - SUM($O375:Q375)</f>
        <v>0</v>
      </c>
      <c r="S375" s="52">
        <f ca="1">Log_2018[[#This Row],[Amount]]/Log_2018[[#This Row],[Split_raw]]*MAX(0,MIN(_xlfn.DAYS(EDATE(S$1,1),Log_2018[[#This Row],[Date]]),Log_2018[[#This Row],[Split_apply]])) - SUM($O375:R375)</f>
        <v>0</v>
      </c>
      <c r="T375" s="52">
        <f ca="1">Log_2018[[#This Row],[Amount]]/Log_2018[[#This Row],[Split_raw]]*MAX(0,MIN(_xlfn.DAYS(EDATE(T$1,1),Log_2018[[#This Row],[Date]]),Log_2018[[#This Row],[Split_apply]])) - SUM($O375:S375)</f>
        <v>0</v>
      </c>
      <c r="U375" s="52">
        <f ca="1">Log_2018[[#This Row],[Amount]]/Log_2018[[#This Row],[Split_raw]]*MAX(0,MIN(_xlfn.DAYS(EDATE(U$1,1),Log_2018[[#This Row],[Date]]),Log_2018[[#This Row],[Split_apply]])) - SUM($O375:T375)</f>
        <v>0</v>
      </c>
      <c r="V375" s="52">
        <f ca="1">Log_2018[[#This Row],[Amount]]/Log_2018[[#This Row],[Split_raw]]*MAX(0,MIN(_xlfn.DAYS(EDATE(V$1,1),Log_2018[[#This Row],[Date]]),Log_2018[[#This Row],[Split_apply]])) - SUM($O375:U375)</f>
        <v>-7.9273333333333333</v>
      </c>
      <c r="W375" s="52">
        <f ca="1">Log_2018[[#This Row],[Amount]]/Log_2018[[#This Row],[Split_raw]]*MAX(0,MIN(_xlfn.DAYS(EDATE(W$1,1),Log_2018[[#This Row],[Date]]),Log_2018[[#This Row],[Split_apply]])) - SUM($O375:V375)</f>
        <v>-2.8826666666666672</v>
      </c>
      <c r="X375" s="52">
        <f ca="1">Log_2018[[#This Row],[Amount]]/Log_2018[[#This Row],[Split_raw]]*MAX(0,MIN(_xlfn.DAYS(EDATE(X$1,1),Log_2018[[#This Row],[Date]]),Log_2018[[#This Row],[Split_apply]])) - SUM($O375:W375)</f>
        <v>0</v>
      </c>
      <c r="Y375" s="52">
        <f ca="1">Log_2018[[#This Row],[Amount]]/Log_2018[[#This Row],[Split_raw]]*MAX(0,MIN(_xlfn.DAYS(EDATE(Y$1,1),Log_2018[[#This Row],[Date]]),Log_2018[[#This Row],[Split_apply]])) - SUM($O375:X375)</f>
        <v>0</v>
      </c>
      <c r="Z375" s="52">
        <f ca="1">Log_2018[[#This Row],[Amount]]/Log_2018[[#This Row],[Split_raw]]*MAX(0,MIN(_xlfn.DAYS(EDATE(Z$1,1),Log_2018[[#This Row],[Date]]),Log_2018[[#This Row],[Split_apply]])) - SUM($O375:Y375)</f>
        <v>0</v>
      </c>
      <c r="AA375" s="52">
        <f ca="1">Log_2018[[#This Row],[Amount]]/Log_2018[[#This Row],[Split_raw]]*MAX(0,MIN(_xlfn.DAYS(EDATE(AA$1,1),Log_2018[[#This Row],[Date]]),Log_2018[[#This Row],[Split_apply]])) - SUM($O375:Z375)</f>
        <v>0</v>
      </c>
      <c r="AB375" s="54">
        <f ca="1">Log_2018[[#This Row],[Amount]]-SUM(O375:AA375)</f>
        <v>0</v>
      </c>
      <c r="AC375" s="7">
        <f ca="1">MAX(0,Log_2018[[#This Row],[Split_apply]] - (EDATE(AA$1,1)-Log_2018[[#This Row],[Date]]))</f>
        <v>0</v>
      </c>
    </row>
    <row r="376" spans="1:29" hidden="1" x14ac:dyDescent="0.25">
      <c r="A376" s="115"/>
      <c r="B376" t="s">
        <v>6</v>
      </c>
      <c r="D376" s="39">
        <v>43290</v>
      </c>
      <c r="F376" t="s">
        <v>66</v>
      </c>
      <c r="G376" t="s">
        <v>25</v>
      </c>
      <c r="H376" s="3">
        <v>-8.9700000000000006</v>
      </c>
      <c r="I376" s="36">
        <f>IF(Log_2018[[#This Row],[My Category]]="NONTRACKED",0,Log_2018[[#This Row],[Raw Amount]])</f>
        <v>-8.9700000000000006</v>
      </c>
      <c r="J376" s="17">
        <f>ABS(Log_2018[[#This Row],[Amount]])</f>
        <v>8.9700000000000006</v>
      </c>
      <c r="K376" s="66">
        <v>1</v>
      </c>
      <c r="L376" s="66">
        <f ca="1">IF(Log_2018[[#This Row],[Date]]&lt;=TODAY(), MIN(Log_2018[[#This Row],[Split_raw]], TODAY()-Log_2018[[#This Row],[Date]]+1), 0)</f>
        <v>1</v>
      </c>
      <c r="M376" t="s">
        <v>35</v>
      </c>
      <c r="N376" t="s">
        <v>158</v>
      </c>
      <c r="O376" s="50">
        <v>0</v>
      </c>
      <c r="P376" s="52">
        <f ca="1">Log_2018[[#This Row],[Amount]]/Log_2018[[#This Row],[Split_raw]]*MAX(0,MIN(_xlfn.DAYS(EDATE(P$1,1),Log_2018[[#This Row],[Date]]),Log_2018[[#This Row],[Split_apply]])) - SUM($O376:O376)</f>
        <v>0</v>
      </c>
      <c r="Q376" s="52">
        <f ca="1">Log_2018[[#This Row],[Amount]]/Log_2018[[#This Row],[Split_raw]]*MAX(0,MIN(_xlfn.DAYS(EDATE(Q$1,1),Log_2018[[#This Row],[Date]]),Log_2018[[#This Row],[Split_apply]])) - SUM($O376:P376)</f>
        <v>0</v>
      </c>
      <c r="R376" s="52">
        <f ca="1">Log_2018[[#This Row],[Amount]]/Log_2018[[#This Row],[Split_raw]]*MAX(0,MIN(_xlfn.DAYS(EDATE(R$1,1),Log_2018[[#This Row],[Date]]),Log_2018[[#This Row],[Split_apply]])) - SUM($O376:Q376)</f>
        <v>0</v>
      </c>
      <c r="S376" s="52">
        <f ca="1">Log_2018[[#This Row],[Amount]]/Log_2018[[#This Row],[Split_raw]]*MAX(0,MIN(_xlfn.DAYS(EDATE(S$1,1),Log_2018[[#This Row],[Date]]),Log_2018[[#This Row],[Split_apply]])) - SUM($O376:R376)</f>
        <v>0</v>
      </c>
      <c r="T376" s="52">
        <f ca="1">Log_2018[[#This Row],[Amount]]/Log_2018[[#This Row],[Split_raw]]*MAX(0,MIN(_xlfn.DAYS(EDATE(T$1,1),Log_2018[[#This Row],[Date]]),Log_2018[[#This Row],[Split_apply]])) - SUM($O376:S376)</f>
        <v>0</v>
      </c>
      <c r="U376" s="52">
        <f ca="1">Log_2018[[#This Row],[Amount]]/Log_2018[[#This Row],[Split_raw]]*MAX(0,MIN(_xlfn.DAYS(EDATE(U$1,1),Log_2018[[#This Row],[Date]]),Log_2018[[#This Row],[Split_apply]])) - SUM($O376:T376)</f>
        <v>0</v>
      </c>
      <c r="V376" s="52">
        <f ca="1">Log_2018[[#This Row],[Amount]]/Log_2018[[#This Row],[Split_raw]]*MAX(0,MIN(_xlfn.DAYS(EDATE(V$1,1),Log_2018[[#This Row],[Date]]),Log_2018[[#This Row],[Split_apply]])) - SUM($O376:U376)</f>
        <v>-8.9700000000000006</v>
      </c>
      <c r="W376" s="52">
        <f ca="1">Log_2018[[#This Row],[Amount]]/Log_2018[[#This Row],[Split_raw]]*MAX(0,MIN(_xlfn.DAYS(EDATE(W$1,1),Log_2018[[#This Row],[Date]]),Log_2018[[#This Row],[Split_apply]])) - SUM($O376:V376)</f>
        <v>0</v>
      </c>
      <c r="X376" s="52">
        <f ca="1">Log_2018[[#This Row],[Amount]]/Log_2018[[#This Row],[Split_raw]]*MAX(0,MIN(_xlfn.DAYS(EDATE(X$1,1),Log_2018[[#This Row],[Date]]),Log_2018[[#This Row],[Split_apply]])) - SUM($O376:W376)</f>
        <v>0</v>
      </c>
      <c r="Y376" s="52">
        <f ca="1">Log_2018[[#This Row],[Amount]]/Log_2018[[#This Row],[Split_raw]]*MAX(0,MIN(_xlfn.DAYS(EDATE(Y$1,1),Log_2018[[#This Row],[Date]]),Log_2018[[#This Row],[Split_apply]])) - SUM($O376:X376)</f>
        <v>0</v>
      </c>
      <c r="Z376" s="52">
        <f ca="1">Log_2018[[#This Row],[Amount]]/Log_2018[[#This Row],[Split_raw]]*MAX(0,MIN(_xlfn.DAYS(EDATE(Z$1,1),Log_2018[[#This Row],[Date]]),Log_2018[[#This Row],[Split_apply]])) - SUM($O376:Y376)</f>
        <v>0</v>
      </c>
      <c r="AA376" s="52">
        <f ca="1">Log_2018[[#This Row],[Amount]]/Log_2018[[#This Row],[Split_raw]]*MAX(0,MIN(_xlfn.DAYS(EDATE(AA$1,1),Log_2018[[#This Row],[Date]]),Log_2018[[#This Row],[Split_apply]])) - SUM($O376:Z376)</f>
        <v>0</v>
      </c>
      <c r="AB376" s="54">
        <f ca="1">Log_2018[[#This Row],[Amount]]-SUM(O376:AA376)</f>
        <v>0</v>
      </c>
      <c r="AC376" s="7">
        <f ca="1">MAX(0,Log_2018[[#This Row],[Split_apply]] - (EDATE(AA$1,1)-Log_2018[[#This Row],[Date]]))</f>
        <v>0</v>
      </c>
    </row>
    <row r="377" spans="1:29" hidden="1" x14ac:dyDescent="0.25">
      <c r="A377" s="115"/>
      <c r="B377" t="s">
        <v>6</v>
      </c>
      <c r="D377" s="39">
        <v>43288</v>
      </c>
      <c r="F377" t="s">
        <v>188</v>
      </c>
      <c r="G377" t="s">
        <v>189</v>
      </c>
      <c r="H377" s="3">
        <v>-82.36</v>
      </c>
      <c r="I377" s="36">
        <f>IF(Log_2018[[#This Row],[My Category]]="NONTRACKED",0,Log_2018[[#This Row],[Raw Amount]])</f>
        <v>-82.36</v>
      </c>
      <c r="J377" s="17">
        <f>ABS(Log_2018[[#This Row],[Amount]])</f>
        <v>82.36</v>
      </c>
      <c r="K377" s="66">
        <v>30</v>
      </c>
      <c r="L377" s="66">
        <f ca="1">IF(Log_2018[[#This Row],[Date]]&lt;=TODAY(), MIN(Log_2018[[#This Row],[Split_raw]], TODAY()-Log_2018[[#This Row],[Date]]+1), 0)</f>
        <v>30</v>
      </c>
      <c r="M377" t="s">
        <v>30</v>
      </c>
      <c r="N377" t="s">
        <v>158</v>
      </c>
      <c r="O377" s="50">
        <v>0</v>
      </c>
      <c r="P377" s="52">
        <f ca="1">Log_2018[[#This Row],[Amount]]/Log_2018[[#This Row],[Split_raw]]*MAX(0,MIN(_xlfn.DAYS(EDATE(P$1,1),Log_2018[[#This Row],[Date]]),Log_2018[[#This Row],[Split_apply]])) - SUM($O377:O377)</f>
        <v>0</v>
      </c>
      <c r="Q377" s="52">
        <f ca="1">Log_2018[[#This Row],[Amount]]/Log_2018[[#This Row],[Split_raw]]*MAX(0,MIN(_xlfn.DAYS(EDATE(Q$1,1),Log_2018[[#This Row],[Date]]),Log_2018[[#This Row],[Split_apply]])) - SUM($O377:P377)</f>
        <v>0</v>
      </c>
      <c r="R377" s="52">
        <f ca="1">Log_2018[[#This Row],[Amount]]/Log_2018[[#This Row],[Split_raw]]*MAX(0,MIN(_xlfn.DAYS(EDATE(R$1,1),Log_2018[[#This Row],[Date]]),Log_2018[[#This Row],[Split_apply]])) - SUM($O377:Q377)</f>
        <v>0</v>
      </c>
      <c r="S377" s="52">
        <f ca="1">Log_2018[[#This Row],[Amount]]/Log_2018[[#This Row],[Split_raw]]*MAX(0,MIN(_xlfn.DAYS(EDATE(S$1,1),Log_2018[[#This Row],[Date]]),Log_2018[[#This Row],[Split_apply]])) - SUM($O377:R377)</f>
        <v>0</v>
      </c>
      <c r="T377" s="52">
        <f ca="1">Log_2018[[#This Row],[Amount]]/Log_2018[[#This Row],[Split_raw]]*MAX(0,MIN(_xlfn.DAYS(EDATE(T$1,1),Log_2018[[#This Row],[Date]]),Log_2018[[#This Row],[Split_apply]])) - SUM($O377:S377)</f>
        <v>0</v>
      </c>
      <c r="U377" s="52">
        <f ca="1">Log_2018[[#This Row],[Amount]]/Log_2018[[#This Row],[Split_raw]]*MAX(0,MIN(_xlfn.DAYS(EDATE(U$1,1),Log_2018[[#This Row],[Date]]),Log_2018[[#This Row],[Split_apply]])) - SUM($O377:T377)</f>
        <v>0</v>
      </c>
      <c r="V377" s="52">
        <f ca="1">Log_2018[[#This Row],[Amount]]/Log_2018[[#This Row],[Split_raw]]*MAX(0,MIN(_xlfn.DAYS(EDATE(V$1,1),Log_2018[[#This Row],[Date]]),Log_2018[[#This Row],[Split_apply]])) - SUM($O377:U377)</f>
        <v>-68.63333333333334</v>
      </c>
      <c r="W377" s="52">
        <f ca="1">Log_2018[[#This Row],[Amount]]/Log_2018[[#This Row],[Split_raw]]*MAX(0,MIN(_xlfn.DAYS(EDATE(W$1,1),Log_2018[[#This Row],[Date]]),Log_2018[[#This Row],[Split_apply]])) - SUM($O377:V377)</f>
        <v>-13.726666666666659</v>
      </c>
      <c r="X377" s="52">
        <f ca="1">Log_2018[[#This Row],[Amount]]/Log_2018[[#This Row],[Split_raw]]*MAX(0,MIN(_xlfn.DAYS(EDATE(X$1,1),Log_2018[[#This Row],[Date]]),Log_2018[[#This Row],[Split_apply]])) - SUM($O377:W377)</f>
        <v>0</v>
      </c>
      <c r="Y377" s="52">
        <f ca="1">Log_2018[[#This Row],[Amount]]/Log_2018[[#This Row],[Split_raw]]*MAX(0,MIN(_xlfn.DAYS(EDATE(Y$1,1),Log_2018[[#This Row],[Date]]),Log_2018[[#This Row],[Split_apply]])) - SUM($O377:X377)</f>
        <v>0</v>
      </c>
      <c r="Z377" s="52">
        <f ca="1">Log_2018[[#This Row],[Amount]]/Log_2018[[#This Row],[Split_raw]]*MAX(0,MIN(_xlfn.DAYS(EDATE(Z$1,1),Log_2018[[#This Row],[Date]]),Log_2018[[#This Row],[Split_apply]])) - SUM($O377:Y377)</f>
        <v>0</v>
      </c>
      <c r="AA377" s="52">
        <f ca="1">Log_2018[[#This Row],[Amount]]/Log_2018[[#This Row],[Split_raw]]*MAX(0,MIN(_xlfn.DAYS(EDATE(AA$1,1),Log_2018[[#This Row],[Date]]),Log_2018[[#This Row],[Split_apply]])) - SUM($O377:Z377)</f>
        <v>0</v>
      </c>
      <c r="AB377" s="54">
        <f ca="1">Log_2018[[#This Row],[Amount]]-SUM(O377:AA377)</f>
        <v>0</v>
      </c>
      <c r="AC377" s="7">
        <f ca="1">MAX(0,Log_2018[[#This Row],[Split_apply]] - (EDATE(AA$1,1)-Log_2018[[#This Row],[Date]]))</f>
        <v>0</v>
      </c>
    </row>
    <row r="378" spans="1:29" hidden="1" x14ac:dyDescent="0.25">
      <c r="A378" s="115"/>
      <c r="B378" t="s">
        <v>6</v>
      </c>
      <c r="D378" s="39">
        <v>43287</v>
      </c>
      <c r="F378" t="s">
        <v>310</v>
      </c>
      <c r="G378" t="s">
        <v>27</v>
      </c>
      <c r="H378" s="3">
        <v>-10.99</v>
      </c>
      <c r="I378" s="36">
        <f>IF(Log_2018[[#This Row],[My Category]]="NONTRACKED",0,Log_2018[[#This Row],[Raw Amount]])</f>
        <v>-10.99</v>
      </c>
      <c r="J378" s="17">
        <f>ABS(Log_2018[[#This Row],[Amount]])</f>
        <v>10.99</v>
      </c>
      <c r="K378" s="66">
        <v>1</v>
      </c>
      <c r="L378" s="66">
        <f ca="1">IF(Log_2018[[#This Row],[Date]]&lt;=TODAY(), MIN(Log_2018[[#This Row],[Split_raw]], TODAY()-Log_2018[[#This Row],[Date]]+1), 0)</f>
        <v>1</v>
      </c>
      <c r="M378" t="s">
        <v>40</v>
      </c>
      <c r="N378" t="s">
        <v>160</v>
      </c>
      <c r="O378" s="50">
        <v>0</v>
      </c>
      <c r="P378" s="52">
        <f ca="1">Log_2018[[#This Row],[Amount]]/Log_2018[[#This Row],[Split_raw]]*MAX(0,MIN(_xlfn.DAYS(EDATE(P$1,1),Log_2018[[#This Row],[Date]]),Log_2018[[#This Row],[Split_apply]])) - SUM($O378:O378)</f>
        <v>0</v>
      </c>
      <c r="Q378" s="52">
        <f ca="1">Log_2018[[#This Row],[Amount]]/Log_2018[[#This Row],[Split_raw]]*MAX(0,MIN(_xlfn.DAYS(EDATE(Q$1,1),Log_2018[[#This Row],[Date]]),Log_2018[[#This Row],[Split_apply]])) - SUM($O378:P378)</f>
        <v>0</v>
      </c>
      <c r="R378" s="52">
        <f ca="1">Log_2018[[#This Row],[Amount]]/Log_2018[[#This Row],[Split_raw]]*MAX(0,MIN(_xlfn.DAYS(EDATE(R$1,1),Log_2018[[#This Row],[Date]]),Log_2018[[#This Row],[Split_apply]])) - SUM($O378:Q378)</f>
        <v>0</v>
      </c>
      <c r="S378" s="52">
        <f ca="1">Log_2018[[#This Row],[Amount]]/Log_2018[[#This Row],[Split_raw]]*MAX(0,MIN(_xlfn.DAYS(EDATE(S$1,1),Log_2018[[#This Row],[Date]]),Log_2018[[#This Row],[Split_apply]])) - SUM($O378:R378)</f>
        <v>0</v>
      </c>
      <c r="T378" s="52">
        <f ca="1">Log_2018[[#This Row],[Amount]]/Log_2018[[#This Row],[Split_raw]]*MAX(0,MIN(_xlfn.DAYS(EDATE(T$1,1),Log_2018[[#This Row],[Date]]),Log_2018[[#This Row],[Split_apply]])) - SUM($O378:S378)</f>
        <v>0</v>
      </c>
      <c r="U378" s="52">
        <f ca="1">Log_2018[[#This Row],[Amount]]/Log_2018[[#This Row],[Split_raw]]*MAX(0,MIN(_xlfn.DAYS(EDATE(U$1,1),Log_2018[[#This Row],[Date]]),Log_2018[[#This Row],[Split_apply]])) - SUM($O378:T378)</f>
        <v>0</v>
      </c>
      <c r="V378" s="52">
        <f ca="1">Log_2018[[#This Row],[Amount]]/Log_2018[[#This Row],[Split_raw]]*MAX(0,MIN(_xlfn.DAYS(EDATE(V$1,1),Log_2018[[#This Row],[Date]]),Log_2018[[#This Row],[Split_apply]])) - SUM($O378:U378)</f>
        <v>-10.99</v>
      </c>
      <c r="W378" s="52">
        <f ca="1">Log_2018[[#This Row],[Amount]]/Log_2018[[#This Row],[Split_raw]]*MAX(0,MIN(_xlfn.DAYS(EDATE(W$1,1),Log_2018[[#This Row],[Date]]),Log_2018[[#This Row],[Split_apply]])) - SUM($O378:V378)</f>
        <v>0</v>
      </c>
      <c r="X378" s="52">
        <f ca="1">Log_2018[[#This Row],[Amount]]/Log_2018[[#This Row],[Split_raw]]*MAX(0,MIN(_xlfn.DAYS(EDATE(X$1,1),Log_2018[[#This Row],[Date]]),Log_2018[[#This Row],[Split_apply]])) - SUM($O378:W378)</f>
        <v>0</v>
      </c>
      <c r="Y378" s="52">
        <f ca="1">Log_2018[[#This Row],[Amount]]/Log_2018[[#This Row],[Split_raw]]*MAX(0,MIN(_xlfn.DAYS(EDATE(Y$1,1),Log_2018[[#This Row],[Date]]),Log_2018[[#This Row],[Split_apply]])) - SUM($O378:X378)</f>
        <v>0</v>
      </c>
      <c r="Z378" s="52">
        <f ca="1">Log_2018[[#This Row],[Amount]]/Log_2018[[#This Row],[Split_raw]]*MAX(0,MIN(_xlfn.DAYS(EDATE(Z$1,1),Log_2018[[#This Row],[Date]]),Log_2018[[#This Row],[Split_apply]])) - SUM($O378:Y378)</f>
        <v>0</v>
      </c>
      <c r="AA378" s="52">
        <f ca="1">Log_2018[[#This Row],[Amount]]/Log_2018[[#This Row],[Split_raw]]*MAX(0,MIN(_xlfn.DAYS(EDATE(AA$1,1),Log_2018[[#This Row],[Date]]),Log_2018[[#This Row],[Split_apply]])) - SUM($O378:Z378)</f>
        <v>0</v>
      </c>
      <c r="AB378" s="54">
        <f ca="1">Log_2018[[#This Row],[Amount]]-SUM(O378:AA378)</f>
        <v>0</v>
      </c>
      <c r="AC378" s="7">
        <f ca="1">MAX(0,Log_2018[[#This Row],[Split_apply]] - (EDATE(AA$1,1)-Log_2018[[#This Row],[Date]]))</f>
        <v>0</v>
      </c>
    </row>
    <row r="379" spans="1:29" hidden="1" x14ac:dyDescent="0.25">
      <c r="A379" s="115"/>
      <c r="B379" t="s">
        <v>6</v>
      </c>
      <c r="D379" s="39">
        <v>43287</v>
      </c>
      <c r="F379" t="s">
        <v>311</v>
      </c>
      <c r="G379" t="s">
        <v>87</v>
      </c>
      <c r="H379" s="3">
        <f>--1754.82</f>
        <v>1754.82</v>
      </c>
      <c r="I379" s="36">
        <f>IF(Log_2018[[#This Row],[My Category]]="NONTRACKED",0,Log_2018[[#This Row],[Raw Amount]])</f>
        <v>1754.82</v>
      </c>
      <c r="J379" s="17">
        <f>ABS(Log_2018[[#This Row],[Amount]])</f>
        <v>1754.82</v>
      </c>
      <c r="K379" s="66">
        <v>14</v>
      </c>
      <c r="L379" s="66">
        <f ca="1">IF(Log_2018[[#This Row],[Date]]&lt;=TODAY(), MIN(Log_2018[[#This Row],[Split_raw]], TODAY()-Log_2018[[#This Row],[Date]]+1), 0)</f>
        <v>14</v>
      </c>
      <c r="M379" t="s">
        <v>91</v>
      </c>
      <c r="N379" t="s">
        <v>160</v>
      </c>
      <c r="O379" s="50">
        <v>0</v>
      </c>
      <c r="P379" s="52">
        <f ca="1">Log_2018[[#This Row],[Amount]]/Log_2018[[#This Row],[Split_raw]]*MAX(0,MIN(_xlfn.DAYS(EDATE(P$1,1),Log_2018[[#This Row],[Date]]),Log_2018[[#This Row],[Split_apply]])) - SUM($O379:O379)</f>
        <v>0</v>
      </c>
      <c r="Q379" s="52">
        <f ca="1">Log_2018[[#This Row],[Amount]]/Log_2018[[#This Row],[Split_raw]]*MAX(0,MIN(_xlfn.DAYS(EDATE(Q$1,1),Log_2018[[#This Row],[Date]]),Log_2018[[#This Row],[Split_apply]])) - SUM($O379:P379)</f>
        <v>0</v>
      </c>
      <c r="R379" s="52">
        <f ca="1">Log_2018[[#This Row],[Amount]]/Log_2018[[#This Row],[Split_raw]]*MAX(0,MIN(_xlfn.DAYS(EDATE(R$1,1),Log_2018[[#This Row],[Date]]),Log_2018[[#This Row],[Split_apply]])) - SUM($O379:Q379)</f>
        <v>0</v>
      </c>
      <c r="S379" s="52">
        <f ca="1">Log_2018[[#This Row],[Amount]]/Log_2018[[#This Row],[Split_raw]]*MAX(0,MIN(_xlfn.DAYS(EDATE(S$1,1),Log_2018[[#This Row],[Date]]),Log_2018[[#This Row],[Split_apply]])) - SUM($O379:R379)</f>
        <v>0</v>
      </c>
      <c r="T379" s="52">
        <f ca="1">Log_2018[[#This Row],[Amount]]/Log_2018[[#This Row],[Split_raw]]*MAX(0,MIN(_xlfn.DAYS(EDATE(T$1,1),Log_2018[[#This Row],[Date]]),Log_2018[[#This Row],[Split_apply]])) - SUM($O379:S379)</f>
        <v>0</v>
      </c>
      <c r="U379" s="52">
        <f ca="1">Log_2018[[#This Row],[Amount]]/Log_2018[[#This Row],[Split_raw]]*MAX(0,MIN(_xlfn.DAYS(EDATE(U$1,1),Log_2018[[#This Row],[Date]]),Log_2018[[#This Row],[Split_apply]])) - SUM($O379:T379)</f>
        <v>0</v>
      </c>
      <c r="V379" s="52">
        <f ca="1">Log_2018[[#This Row],[Amount]]/Log_2018[[#This Row],[Split_raw]]*MAX(0,MIN(_xlfn.DAYS(EDATE(V$1,1),Log_2018[[#This Row],[Date]]),Log_2018[[#This Row],[Split_apply]])) - SUM($O379:U379)</f>
        <v>1754.82</v>
      </c>
      <c r="W379" s="52">
        <f ca="1">Log_2018[[#This Row],[Amount]]/Log_2018[[#This Row],[Split_raw]]*MAX(0,MIN(_xlfn.DAYS(EDATE(W$1,1),Log_2018[[#This Row],[Date]]),Log_2018[[#This Row],[Split_apply]])) - SUM($O379:V379)</f>
        <v>0</v>
      </c>
      <c r="X379" s="52">
        <f ca="1">Log_2018[[#This Row],[Amount]]/Log_2018[[#This Row],[Split_raw]]*MAX(0,MIN(_xlfn.DAYS(EDATE(X$1,1),Log_2018[[#This Row],[Date]]),Log_2018[[#This Row],[Split_apply]])) - SUM($O379:W379)</f>
        <v>0</v>
      </c>
      <c r="Y379" s="52">
        <f ca="1">Log_2018[[#This Row],[Amount]]/Log_2018[[#This Row],[Split_raw]]*MAX(0,MIN(_xlfn.DAYS(EDATE(Y$1,1),Log_2018[[#This Row],[Date]]),Log_2018[[#This Row],[Split_apply]])) - SUM($O379:X379)</f>
        <v>0</v>
      </c>
      <c r="Z379" s="52">
        <f ca="1">Log_2018[[#This Row],[Amount]]/Log_2018[[#This Row],[Split_raw]]*MAX(0,MIN(_xlfn.DAYS(EDATE(Z$1,1),Log_2018[[#This Row],[Date]]),Log_2018[[#This Row],[Split_apply]])) - SUM($O379:Y379)</f>
        <v>0</v>
      </c>
      <c r="AA379" s="52">
        <f ca="1">Log_2018[[#This Row],[Amount]]/Log_2018[[#This Row],[Split_raw]]*MAX(0,MIN(_xlfn.DAYS(EDATE(AA$1,1),Log_2018[[#This Row],[Date]]),Log_2018[[#This Row],[Split_apply]])) - SUM($O379:Z379)</f>
        <v>0</v>
      </c>
      <c r="AB379" s="54">
        <f ca="1">Log_2018[[#This Row],[Amount]]-SUM(O379:AA379)</f>
        <v>0</v>
      </c>
      <c r="AC379" s="7">
        <f ca="1">MAX(0,Log_2018[[#This Row],[Split_apply]] - (EDATE(AA$1,1)-Log_2018[[#This Row],[Date]]))</f>
        <v>0</v>
      </c>
    </row>
    <row r="380" spans="1:29" hidden="1" x14ac:dyDescent="0.25">
      <c r="A380" s="115"/>
      <c r="B380" t="s">
        <v>6</v>
      </c>
      <c r="D380" s="39">
        <v>43286</v>
      </c>
      <c r="F380" t="s">
        <v>59</v>
      </c>
      <c r="G380" t="s">
        <v>25</v>
      </c>
      <c r="H380" s="3">
        <v>-7.94</v>
      </c>
      <c r="I380" s="36">
        <f>IF(Log_2018[[#This Row],[My Category]]="NONTRACKED",0,Log_2018[[#This Row],[Raw Amount]])</f>
        <v>-7.94</v>
      </c>
      <c r="J380" s="17">
        <f>ABS(Log_2018[[#This Row],[Amount]])</f>
        <v>7.94</v>
      </c>
      <c r="K380" s="66">
        <v>1</v>
      </c>
      <c r="L380" s="66">
        <f ca="1">IF(Log_2018[[#This Row],[Date]]&lt;=TODAY(), MIN(Log_2018[[#This Row],[Split_raw]], TODAY()-Log_2018[[#This Row],[Date]]+1), 0)</f>
        <v>1</v>
      </c>
      <c r="M380" t="s">
        <v>35</v>
      </c>
      <c r="N380" t="s">
        <v>158</v>
      </c>
      <c r="O380" s="50">
        <v>0</v>
      </c>
      <c r="P380" s="52">
        <f ca="1">Log_2018[[#This Row],[Amount]]/Log_2018[[#This Row],[Split_raw]]*MAX(0,MIN(_xlfn.DAYS(EDATE(P$1,1),Log_2018[[#This Row],[Date]]),Log_2018[[#This Row],[Split_apply]])) - SUM($O380:O380)</f>
        <v>0</v>
      </c>
      <c r="Q380" s="52">
        <f ca="1">Log_2018[[#This Row],[Amount]]/Log_2018[[#This Row],[Split_raw]]*MAX(0,MIN(_xlfn.DAYS(EDATE(Q$1,1),Log_2018[[#This Row],[Date]]),Log_2018[[#This Row],[Split_apply]])) - SUM($O380:P380)</f>
        <v>0</v>
      </c>
      <c r="R380" s="52">
        <f ca="1">Log_2018[[#This Row],[Amount]]/Log_2018[[#This Row],[Split_raw]]*MAX(0,MIN(_xlfn.DAYS(EDATE(R$1,1),Log_2018[[#This Row],[Date]]),Log_2018[[#This Row],[Split_apply]])) - SUM($O380:Q380)</f>
        <v>0</v>
      </c>
      <c r="S380" s="52">
        <f ca="1">Log_2018[[#This Row],[Amount]]/Log_2018[[#This Row],[Split_raw]]*MAX(0,MIN(_xlfn.DAYS(EDATE(S$1,1),Log_2018[[#This Row],[Date]]),Log_2018[[#This Row],[Split_apply]])) - SUM($O380:R380)</f>
        <v>0</v>
      </c>
      <c r="T380" s="52">
        <f ca="1">Log_2018[[#This Row],[Amount]]/Log_2018[[#This Row],[Split_raw]]*MAX(0,MIN(_xlfn.DAYS(EDATE(T$1,1),Log_2018[[#This Row],[Date]]),Log_2018[[#This Row],[Split_apply]])) - SUM($O380:S380)</f>
        <v>0</v>
      </c>
      <c r="U380" s="52">
        <f ca="1">Log_2018[[#This Row],[Amount]]/Log_2018[[#This Row],[Split_raw]]*MAX(0,MIN(_xlfn.DAYS(EDATE(U$1,1),Log_2018[[#This Row],[Date]]),Log_2018[[#This Row],[Split_apply]])) - SUM($O380:T380)</f>
        <v>0</v>
      </c>
      <c r="V380" s="52">
        <f ca="1">Log_2018[[#This Row],[Amount]]/Log_2018[[#This Row],[Split_raw]]*MAX(0,MIN(_xlfn.DAYS(EDATE(V$1,1),Log_2018[[#This Row],[Date]]),Log_2018[[#This Row],[Split_apply]])) - SUM($O380:U380)</f>
        <v>-7.94</v>
      </c>
      <c r="W380" s="52">
        <f ca="1">Log_2018[[#This Row],[Amount]]/Log_2018[[#This Row],[Split_raw]]*MAX(0,MIN(_xlfn.DAYS(EDATE(W$1,1),Log_2018[[#This Row],[Date]]),Log_2018[[#This Row],[Split_apply]])) - SUM($O380:V380)</f>
        <v>0</v>
      </c>
      <c r="X380" s="52">
        <f ca="1">Log_2018[[#This Row],[Amount]]/Log_2018[[#This Row],[Split_raw]]*MAX(0,MIN(_xlfn.DAYS(EDATE(X$1,1),Log_2018[[#This Row],[Date]]),Log_2018[[#This Row],[Split_apply]])) - SUM($O380:W380)</f>
        <v>0</v>
      </c>
      <c r="Y380" s="52">
        <f ca="1">Log_2018[[#This Row],[Amount]]/Log_2018[[#This Row],[Split_raw]]*MAX(0,MIN(_xlfn.DAYS(EDATE(Y$1,1),Log_2018[[#This Row],[Date]]),Log_2018[[#This Row],[Split_apply]])) - SUM($O380:X380)</f>
        <v>0</v>
      </c>
      <c r="Z380" s="52">
        <f ca="1">Log_2018[[#This Row],[Amount]]/Log_2018[[#This Row],[Split_raw]]*MAX(0,MIN(_xlfn.DAYS(EDATE(Z$1,1),Log_2018[[#This Row],[Date]]),Log_2018[[#This Row],[Split_apply]])) - SUM($O380:Y380)</f>
        <v>0</v>
      </c>
      <c r="AA380" s="52">
        <f ca="1">Log_2018[[#This Row],[Amount]]/Log_2018[[#This Row],[Split_raw]]*MAX(0,MIN(_xlfn.DAYS(EDATE(AA$1,1),Log_2018[[#This Row],[Date]]),Log_2018[[#This Row],[Split_apply]])) - SUM($O380:Z380)</f>
        <v>0</v>
      </c>
      <c r="AB380" s="54">
        <f ca="1">Log_2018[[#This Row],[Amount]]-SUM(O380:AA380)</f>
        <v>0</v>
      </c>
      <c r="AC380" s="7">
        <f ca="1">MAX(0,Log_2018[[#This Row],[Split_apply]] - (EDATE(AA$1,1)-Log_2018[[#This Row],[Date]]))</f>
        <v>0</v>
      </c>
    </row>
    <row r="381" spans="1:29" hidden="1" x14ac:dyDescent="0.25">
      <c r="A381" s="115"/>
      <c r="B381" t="s">
        <v>6</v>
      </c>
      <c r="D381" s="39">
        <v>43286</v>
      </c>
      <c r="F381" t="s">
        <v>312</v>
      </c>
      <c r="G381" t="s">
        <v>27</v>
      </c>
      <c r="H381" s="3">
        <v>-8.61</v>
      </c>
      <c r="I381" s="36">
        <f>IF(Log_2018[[#This Row],[My Category]]="NONTRACKED",0,Log_2018[[#This Row],[Raw Amount]])</f>
        <v>-8.61</v>
      </c>
      <c r="J381" s="17">
        <f>ABS(Log_2018[[#This Row],[Amount]])</f>
        <v>8.61</v>
      </c>
      <c r="K381" s="66">
        <v>1</v>
      </c>
      <c r="L381" s="66">
        <f ca="1">IF(Log_2018[[#This Row],[Date]]&lt;=TODAY(), MIN(Log_2018[[#This Row],[Split_raw]], TODAY()-Log_2018[[#This Row],[Date]]+1), 0)</f>
        <v>1</v>
      </c>
      <c r="M381" t="s">
        <v>40</v>
      </c>
      <c r="N381" t="s">
        <v>160</v>
      </c>
      <c r="O381" s="50">
        <v>0</v>
      </c>
      <c r="P381" s="52">
        <f ca="1">Log_2018[[#This Row],[Amount]]/Log_2018[[#This Row],[Split_raw]]*MAX(0,MIN(_xlfn.DAYS(EDATE(P$1,1),Log_2018[[#This Row],[Date]]),Log_2018[[#This Row],[Split_apply]])) - SUM($O381:O381)</f>
        <v>0</v>
      </c>
      <c r="Q381" s="52">
        <f ca="1">Log_2018[[#This Row],[Amount]]/Log_2018[[#This Row],[Split_raw]]*MAX(0,MIN(_xlfn.DAYS(EDATE(Q$1,1),Log_2018[[#This Row],[Date]]),Log_2018[[#This Row],[Split_apply]])) - SUM($O381:P381)</f>
        <v>0</v>
      </c>
      <c r="R381" s="52">
        <f ca="1">Log_2018[[#This Row],[Amount]]/Log_2018[[#This Row],[Split_raw]]*MAX(0,MIN(_xlfn.DAYS(EDATE(R$1,1),Log_2018[[#This Row],[Date]]),Log_2018[[#This Row],[Split_apply]])) - SUM($O381:Q381)</f>
        <v>0</v>
      </c>
      <c r="S381" s="52">
        <f ca="1">Log_2018[[#This Row],[Amount]]/Log_2018[[#This Row],[Split_raw]]*MAX(0,MIN(_xlfn.DAYS(EDATE(S$1,1),Log_2018[[#This Row],[Date]]),Log_2018[[#This Row],[Split_apply]])) - SUM($O381:R381)</f>
        <v>0</v>
      </c>
      <c r="T381" s="52">
        <f ca="1">Log_2018[[#This Row],[Amount]]/Log_2018[[#This Row],[Split_raw]]*MAX(0,MIN(_xlfn.DAYS(EDATE(T$1,1),Log_2018[[#This Row],[Date]]),Log_2018[[#This Row],[Split_apply]])) - SUM($O381:S381)</f>
        <v>0</v>
      </c>
      <c r="U381" s="52">
        <f ca="1">Log_2018[[#This Row],[Amount]]/Log_2018[[#This Row],[Split_raw]]*MAX(0,MIN(_xlfn.DAYS(EDATE(U$1,1),Log_2018[[#This Row],[Date]]),Log_2018[[#This Row],[Split_apply]])) - SUM($O381:T381)</f>
        <v>0</v>
      </c>
      <c r="V381" s="52">
        <f ca="1">Log_2018[[#This Row],[Amount]]/Log_2018[[#This Row],[Split_raw]]*MAX(0,MIN(_xlfn.DAYS(EDATE(V$1,1),Log_2018[[#This Row],[Date]]),Log_2018[[#This Row],[Split_apply]])) - SUM($O381:U381)</f>
        <v>-8.61</v>
      </c>
      <c r="W381" s="52">
        <f ca="1">Log_2018[[#This Row],[Amount]]/Log_2018[[#This Row],[Split_raw]]*MAX(0,MIN(_xlfn.DAYS(EDATE(W$1,1),Log_2018[[#This Row],[Date]]),Log_2018[[#This Row],[Split_apply]])) - SUM($O381:V381)</f>
        <v>0</v>
      </c>
      <c r="X381" s="52">
        <f ca="1">Log_2018[[#This Row],[Amount]]/Log_2018[[#This Row],[Split_raw]]*MAX(0,MIN(_xlfn.DAYS(EDATE(X$1,1),Log_2018[[#This Row],[Date]]),Log_2018[[#This Row],[Split_apply]])) - SUM($O381:W381)</f>
        <v>0</v>
      </c>
      <c r="Y381" s="52">
        <f ca="1">Log_2018[[#This Row],[Amount]]/Log_2018[[#This Row],[Split_raw]]*MAX(0,MIN(_xlfn.DAYS(EDATE(Y$1,1),Log_2018[[#This Row],[Date]]),Log_2018[[#This Row],[Split_apply]])) - SUM($O381:X381)</f>
        <v>0</v>
      </c>
      <c r="Z381" s="52">
        <f ca="1">Log_2018[[#This Row],[Amount]]/Log_2018[[#This Row],[Split_raw]]*MAX(0,MIN(_xlfn.DAYS(EDATE(Z$1,1),Log_2018[[#This Row],[Date]]),Log_2018[[#This Row],[Split_apply]])) - SUM($O381:Y381)</f>
        <v>0</v>
      </c>
      <c r="AA381" s="52">
        <f ca="1">Log_2018[[#This Row],[Amount]]/Log_2018[[#This Row],[Split_raw]]*MAX(0,MIN(_xlfn.DAYS(EDATE(AA$1,1),Log_2018[[#This Row],[Date]]),Log_2018[[#This Row],[Split_apply]])) - SUM($O381:Z381)</f>
        <v>0</v>
      </c>
      <c r="AB381" s="54">
        <f ca="1">Log_2018[[#This Row],[Amount]]-SUM(O381:AA381)</f>
        <v>0</v>
      </c>
      <c r="AC381" s="7">
        <f ca="1">MAX(0,Log_2018[[#This Row],[Split_apply]] - (EDATE(AA$1,1)-Log_2018[[#This Row],[Date]]))</f>
        <v>0</v>
      </c>
    </row>
    <row r="382" spans="1:29" hidden="1" x14ac:dyDescent="0.25">
      <c r="A382" s="115"/>
      <c r="B382" t="s">
        <v>6</v>
      </c>
      <c r="D382" s="39">
        <v>43284</v>
      </c>
      <c r="F382" t="s">
        <v>184</v>
      </c>
      <c r="G382" t="s">
        <v>11</v>
      </c>
      <c r="H382" s="3">
        <v>-5.25</v>
      </c>
      <c r="I382" s="36">
        <f>IF(Log_2018[[#This Row],[My Category]]="NONTRACKED",0,Log_2018[[#This Row],[Raw Amount]])</f>
        <v>-5.25</v>
      </c>
      <c r="J382" s="17">
        <f>ABS(Log_2018[[#This Row],[Amount]])</f>
        <v>5.25</v>
      </c>
      <c r="K382" s="66">
        <v>1</v>
      </c>
      <c r="L382" s="66">
        <f ca="1">IF(Log_2018[[#This Row],[Date]]&lt;=TODAY(), MIN(Log_2018[[#This Row],[Split_raw]], TODAY()-Log_2018[[#This Row],[Date]]+1), 0)</f>
        <v>1</v>
      </c>
      <c r="M382" t="s">
        <v>12</v>
      </c>
      <c r="N382" t="s">
        <v>158</v>
      </c>
      <c r="O382" s="50">
        <v>0</v>
      </c>
      <c r="P382" s="52">
        <f ca="1">Log_2018[[#This Row],[Amount]]/Log_2018[[#This Row],[Split_raw]]*MAX(0,MIN(_xlfn.DAYS(EDATE(P$1,1),Log_2018[[#This Row],[Date]]),Log_2018[[#This Row],[Split_apply]])) - SUM($O382:O382)</f>
        <v>0</v>
      </c>
      <c r="Q382" s="52">
        <f ca="1">Log_2018[[#This Row],[Amount]]/Log_2018[[#This Row],[Split_raw]]*MAX(0,MIN(_xlfn.DAYS(EDATE(Q$1,1),Log_2018[[#This Row],[Date]]),Log_2018[[#This Row],[Split_apply]])) - SUM($O382:P382)</f>
        <v>0</v>
      </c>
      <c r="R382" s="52">
        <f ca="1">Log_2018[[#This Row],[Amount]]/Log_2018[[#This Row],[Split_raw]]*MAX(0,MIN(_xlfn.DAYS(EDATE(R$1,1),Log_2018[[#This Row],[Date]]),Log_2018[[#This Row],[Split_apply]])) - SUM($O382:Q382)</f>
        <v>0</v>
      </c>
      <c r="S382" s="52">
        <f ca="1">Log_2018[[#This Row],[Amount]]/Log_2018[[#This Row],[Split_raw]]*MAX(0,MIN(_xlfn.DAYS(EDATE(S$1,1),Log_2018[[#This Row],[Date]]),Log_2018[[#This Row],[Split_apply]])) - SUM($O382:R382)</f>
        <v>0</v>
      </c>
      <c r="T382" s="52">
        <f ca="1">Log_2018[[#This Row],[Amount]]/Log_2018[[#This Row],[Split_raw]]*MAX(0,MIN(_xlfn.DAYS(EDATE(T$1,1),Log_2018[[#This Row],[Date]]),Log_2018[[#This Row],[Split_apply]])) - SUM($O382:S382)</f>
        <v>0</v>
      </c>
      <c r="U382" s="52">
        <f ca="1">Log_2018[[#This Row],[Amount]]/Log_2018[[#This Row],[Split_raw]]*MAX(0,MIN(_xlfn.DAYS(EDATE(U$1,1),Log_2018[[#This Row],[Date]]),Log_2018[[#This Row],[Split_apply]])) - SUM($O382:T382)</f>
        <v>0</v>
      </c>
      <c r="V382" s="52">
        <f ca="1">Log_2018[[#This Row],[Amount]]/Log_2018[[#This Row],[Split_raw]]*MAX(0,MIN(_xlfn.DAYS(EDATE(V$1,1),Log_2018[[#This Row],[Date]]),Log_2018[[#This Row],[Split_apply]])) - SUM($O382:U382)</f>
        <v>-5.25</v>
      </c>
      <c r="W382" s="52">
        <f ca="1">Log_2018[[#This Row],[Amount]]/Log_2018[[#This Row],[Split_raw]]*MAX(0,MIN(_xlfn.DAYS(EDATE(W$1,1),Log_2018[[#This Row],[Date]]),Log_2018[[#This Row],[Split_apply]])) - SUM($O382:V382)</f>
        <v>0</v>
      </c>
      <c r="X382" s="52">
        <f ca="1">Log_2018[[#This Row],[Amount]]/Log_2018[[#This Row],[Split_raw]]*MAX(0,MIN(_xlfn.DAYS(EDATE(X$1,1),Log_2018[[#This Row],[Date]]),Log_2018[[#This Row],[Split_apply]])) - SUM($O382:W382)</f>
        <v>0</v>
      </c>
      <c r="Y382" s="52">
        <f ca="1">Log_2018[[#This Row],[Amount]]/Log_2018[[#This Row],[Split_raw]]*MAX(0,MIN(_xlfn.DAYS(EDATE(Y$1,1),Log_2018[[#This Row],[Date]]),Log_2018[[#This Row],[Split_apply]])) - SUM($O382:X382)</f>
        <v>0</v>
      </c>
      <c r="Z382" s="52">
        <f ca="1">Log_2018[[#This Row],[Amount]]/Log_2018[[#This Row],[Split_raw]]*MAX(0,MIN(_xlfn.DAYS(EDATE(Z$1,1),Log_2018[[#This Row],[Date]]),Log_2018[[#This Row],[Split_apply]])) - SUM($O382:Y382)</f>
        <v>0</v>
      </c>
      <c r="AA382" s="52">
        <f ca="1">Log_2018[[#This Row],[Amount]]/Log_2018[[#This Row],[Split_raw]]*MAX(0,MIN(_xlfn.DAYS(EDATE(AA$1,1),Log_2018[[#This Row],[Date]]),Log_2018[[#This Row],[Split_apply]])) - SUM($O382:Z382)</f>
        <v>0</v>
      </c>
      <c r="AB382" s="54">
        <f ca="1">Log_2018[[#This Row],[Amount]]-SUM(O382:AA382)</f>
        <v>0</v>
      </c>
      <c r="AC382" s="7">
        <f ca="1">MAX(0,Log_2018[[#This Row],[Split_apply]] - (EDATE(AA$1,1)-Log_2018[[#This Row],[Date]]))</f>
        <v>0</v>
      </c>
    </row>
    <row r="383" spans="1:29" hidden="1" x14ac:dyDescent="0.25">
      <c r="A383" s="115"/>
      <c r="B383" t="s">
        <v>6</v>
      </c>
      <c r="D383" s="39">
        <v>43284</v>
      </c>
      <c r="F383" t="s">
        <v>308</v>
      </c>
      <c r="G383" t="s">
        <v>25</v>
      </c>
      <c r="H383" s="3">
        <v>-9.7100000000000009</v>
      </c>
      <c r="I383" s="36">
        <f>IF(Log_2018[[#This Row],[My Category]]="NONTRACKED",0,Log_2018[[#This Row],[Raw Amount]])</f>
        <v>-9.7100000000000009</v>
      </c>
      <c r="J383" s="17">
        <f>ABS(Log_2018[[#This Row],[Amount]])</f>
        <v>9.7100000000000009</v>
      </c>
      <c r="K383" s="66">
        <v>1</v>
      </c>
      <c r="L383" s="66">
        <f ca="1">IF(Log_2018[[#This Row],[Date]]&lt;=TODAY(), MIN(Log_2018[[#This Row],[Split_raw]], TODAY()-Log_2018[[#This Row],[Date]]+1), 0)</f>
        <v>1</v>
      </c>
      <c r="M383" t="s">
        <v>35</v>
      </c>
      <c r="N383" t="s">
        <v>158</v>
      </c>
      <c r="O383" s="50">
        <v>0</v>
      </c>
      <c r="P383" s="52">
        <f ca="1">Log_2018[[#This Row],[Amount]]/Log_2018[[#This Row],[Split_raw]]*MAX(0,MIN(_xlfn.DAYS(EDATE(P$1,1),Log_2018[[#This Row],[Date]]),Log_2018[[#This Row],[Split_apply]])) - SUM($O383:O383)</f>
        <v>0</v>
      </c>
      <c r="Q383" s="52">
        <f ca="1">Log_2018[[#This Row],[Amount]]/Log_2018[[#This Row],[Split_raw]]*MAX(0,MIN(_xlfn.DAYS(EDATE(Q$1,1),Log_2018[[#This Row],[Date]]),Log_2018[[#This Row],[Split_apply]])) - SUM($O383:P383)</f>
        <v>0</v>
      </c>
      <c r="R383" s="52">
        <f ca="1">Log_2018[[#This Row],[Amount]]/Log_2018[[#This Row],[Split_raw]]*MAX(0,MIN(_xlfn.DAYS(EDATE(R$1,1),Log_2018[[#This Row],[Date]]),Log_2018[[#This Row],[Split_apply]])) - SUM($O383:Q383)</f>
        <v>0</v>
      </c>
      <c r="S383" s="52">
        <f ca="1">Log_2018[[#This Row],[Amount]]/Log_2018[[#This Row],[Split_raw]]*MAX(0,MIN(_xlfn.DAYS(EDATE(S$1,1),Log_2018[[#This Row],[Date]]),Log_2018[[#This Row],[Split_apply]])) - SUM($O383:R383)</f>
        <v>0</v>
      </c>
      <c r="T383" s="52">
        <f ca="1">Log_2018[[#This Row],[Amount]]/Log_2018[[#This Row],[Split_raw]]*MAX(0,MIN(_xlfn.DAYS(EDATE(T$1,1),Log_2018[[#This Row],[Date]]),Log_2018[[#This Row],[Split_apply]])) - SUM($O383:S383)</f>
        <v>0</v>
      </c>
      <c r="U383" s="52">
        <f ca="1">Log_2018[[#This Row],[Amount]]/Log_2018[[#This Row],[Split_raw]]*MAX(0,MIN(_xlfn.DAYS(EDATE(U$1,1),Log_2018[[#This Row],[Date]]),Log_2018[[#This Row],[Split_apply]])) - SUM($O383:T383)</f>
        <v>0</v>
      </c>
      <c r="V383" s="52">
        <f ca="1">Log_2018[[#This Row],[Amount]]/Log_2018[[#This Row],[Split_raw]]*MAX(0,MIN(_xlfn.DAYS(EDATE(V$1,1),Log_2018[[#This Row],[Date]]),Log_2018[[#This Row],[Split_apply]])) - SUM($O383:U383)</f>
        <v>-9.7100000000000009</v>
      </c>
      <c r="W383" s="52">
        <f ca="1">Log_2018[[#This Row],[Amount]]/Log_2018[[#This Row],[Split_raw]]*MAX(0,MIN(_xlfn.DAYS(EDATE(W$1,1),Log_2018[[#This Row],[Date]]),Log_2018[[#This Row],[Split_apply]])) - SUM($O383:V383)</f>
        <v>0</v>
      </c>
      <c r="X383" s="52">
        <f ca="1">Log_2018[[#This Row],[Amount]]/Log_2018[[#This Row],[Split_raw]]*MAX(0,MIN(_xlfn.DAYS(EDATE(X$1,1),Log_2018[[#This Row],[Date]]),Log_2018[[#This Row],[Split_apply]])) - SUM($O383:W383)</f>
        <v>0</v>
      </c>
      <c r="Y383" s="52">
        <f ca="1">Log_2018[[#This Row],[Amount]]/Log_2018[[#This Row],[Split_raw]]*MAX(0,MIN(_xlfn.DAYS(EDATE(Y$1,1),Log_2018[[#This Row],[Date]]),Log_2018[[#This Row],[Split_apply]])) - SUM($O383:X383)</f>
        <v>0</v>
      </c>
      <c r="Z383" s="52">
        <f ca="1">Log_2018[[#This Row],[Amount]]/Log_2018[[#This Row],[Split_raw]]*MAX(0,MIN(_xlfn.DAYS(EDATE(Z$1,1),Log_2018[[#This Row],[Date]]),Log_2018[[#This Row],[Split_apply]])) - SUM($O383:Y383)</f>
        <v>0</v>
      </c>
      <c r="AA383" s="52">
        <f ca="1">Log_2018[[#This Row],[Amount]]/Log_2018[[#This Row],[Split_raw]]*MAX(0,MIN(_xlfn.DAYS(EDATE(AA$1,1),Log_2018[[#This Row],[Date]]),Log_2018[[#This Row],[Split_apply]])) - SUM($O383:Z383)</f>
        <v>0</v>
      </c>
      <c r="AB383" s="54">
        <f ca="1">Log_2018[[#This Row],[Amount]]-SUM(O383:AA383)</f>
        <v>0</v>
      </c>
      <c r="AC383" s="7">
        <f ca="1">MAX(0,Log_2018[[#This Row],[Split_apply]] - (EDATE(AA$1,1)-Log_2018[[#This Row],[Date]]))</f>
        <v>0</v>
      </c>
    </row>
    <row r="384" spans="1:29" hidden="1" x14ac:dyDescent="0.25">
      <c r="A384" s="115"/>
      <c r="B384" t="s">
        <v>6</v>
      </c>
      <c r="D384" s="39">
        <v>43283</v>
      </c>
      <c r="F384" t="s">
        <v>217</v>
      </c>
      <c r="G384" t="s">
        <v>12</v>
      </c>
      <c r="H384" s="3">
        <v>-101.01</v>
      </c>
      <c r="I384" s="36">
        <f>IF(Log_2018[[#This Row],[My Category]]="NONTRACKED",0,Log_2018[[#This Row],[Raw Amount]])</f>
        <v>-101.01</v>
      </c>
      <c r="J384" s="17">
        <f>ABS(Log_2018[[#This Row],[Amount]])</f>
        <v>101.01</v>
      </c>
      <c r="K384" s="66">
        <v>1</v>
      </c>
      <c r="L384" s="66">
        <f ca="1">IF(Log_2018[[#This Row],[Date]]&lt;=TODAY(), MIN(Log_2018[[#This Row],[Split_raw]], TODAY()-Log_2018[[#This Row],[Date]]+1), 0)</f>
        <v>1</v>
      </c>
      <c r="M384" t="s">
        <v>12</v>
      </c>
      <c r="N384" t="s">
        <v>158</v>
      </c>
      <c r="O384" s="50">
        <v>0</v>
      </c>
      <c r="P384" s="52">
        <f ca="1">Log_2018[[#This Row],[Amount]]/Log_2018[[#This Row],[Split_raw]]*MAX(0,MIN(_xlfn.DAYS(EDATE(P$1,1),Log_2018[[#This Row],[Date]]),Log_2018[[#This Row],[Split_apply]])) - SUM($O384:O384)</f>
        <v>0</v>
      </c>
      <c r="Q384" s="52">
        <f ca="1">Log_2018[[#This Row],[Amount]]/Log_2018[[#This Row],[Split_raw]]*MAX(0,MIN(_xlfn.DAYS(EDATE(Q$1,1),Log_2018[[#This Row],[Date]]),Log_2018[[#This Row],[Split_apply]])) - SUM($O384:P384)</f>
        <v>0</v>
      </c>
      <c r="R384" s="52">
        <f ca="1">Log_2018[[#This Row],[Amount]]/Log_2018[[#This Row],[Split_raw]]*MAX(0,MIN(_xlfn.DAYS(EDATE(R$1,1),Log_2018[[#This Row],[Date]]),Log_2018[[#This Row],[Split_apply]])) - SUM($O384:Q384)</f>
        <v>0</v>
      </c>
      <c r="S384" s="52">
        <f ca="1">Log_2018[[#This Row],[Amount]]/Log_2018[[#This Row],[Split_raw]]*MAX(0,MIN(_xlfn.DAYS(EDATE(S$1,1),Log_2018[[#This Row],[Date]]),Log_2018[[#This Row],[Split_apply]])) - SUM($O384:R384)</f>
        <v>0</v>
      </c>
      <c r="T384" s="52">
        <f ca="1">Log_2018[[#This Row],[Amount]]/Log_2018[[#This Row],[Split_raw]]*MAX(0,MIN(_xlfn.DAYS(EDATE(T$1,1),Log_2018[[#This Row],[Date]]),Log_2018[[#This Row],[Split_apply]])) - SUM($O384:S384)</f>
        <v>0</v>
      </c>
      <c r="U384" s="52">
        <f ca="1">Log_2018[[#This Row],[Amount]]/Log_2018[[#This Row],[Split_raw]]*MAX(0,MIN(_xlfn.DAYS(EDATE(U$1,1),Log_2018[[#This Row],[Date]]),Log_2018[[#This Row],[Split_apply]])) - SUM($O384:T384)</f>
        <v>0</v>
      </c>
      <c r="V384" s="52">
        <f ca="1">Log_2018[[#This Row],[Amount]]/Log_2018[[#This Row],[Split_raw]]*MAX(0,MIN(_xlfn.DAYS(EDATE(V$1,1),Log_2018[[#This Row],[Date]]),Log_2018[[#This Row],[Split_apply]])) - SUM($O384:U384)</f>
        <v>-101.01</v>
      </c>
      <c r="W384" s="52">
        <f ca="1">Log_2018[[#This Row],[Amount]]/Log_2018[[#This Row],[Split_raw]]*MAX(0,MIN(_xlfn.DAYS(EDATE(W$1,1),Log_2018[[#This Row],[Date]]),Log_2018[[#This Row],[Split_apply]])) - SUM($O384:V384)</f>
        <v>0</v>
      </c>
      <c r="X384" s="52">
        <f ca="1">Log_2018[[#This Row],[Amount]]/Log_2018[[#This Row],[Split_raw]]*MAX(0,MIN(_xlfn.DAYS(EDATE(X$1,1),Log_2018[[#This Row],[Date]]),Log_2018[[#This Row],[Split_apply]])) - SUM($O384:W384)</f>
        <v>0</v>
      </c>
      <c r="Y384" s="52">
        <f ca="1">Log_2018[[#This Row],[Amount]]/Log_2018[[#This Row],[Split_raw]]*MAX(0,MIN(_xlfn.DAYS(EDATE(Y$1,1),Log_2018[[#This Row],[Date]]),Log_2018[[#This Row],[Split_apply]])) - SUM($O384:X384)</f>
        <v>0</v>
      </c>
      <c r="Z384" s="52">
        <f ca="1">Log_2018[[#This Row],[Amount]]/Log_2018[[#This Row],[Split_raw]]*MAX(0,MIN(_xlfn.DAYS(EDATE(Z$1,1),Log_2018[[#This Row],[Date]]),Log_2018[[#This Row],[Split_apply]])) - SUM($O384:Y384)</f>
        <v>0</v>
      </c>
      <c r="AA384" s="52">
        <f ca="1">Log_2018[[#This Row],[Amount]]/Log_2018[[#This Row],[Split_raw]]*MAX(0,MIN(_xlfn.DAYS(EDATE(AA$1,1),Log_2018[[#This Row],[Date]]),Log_2018[[#This Row],[Split_apply]])) - SUM($O384:Z384)</f>
        <v>0</v>
      </c>
      <c r="AB384" s="54">
        <f ca="1">Log_2018[[#This Row],[Amount]]-SUM(O384:AA384)</f>
        <v>0</v>
      </c>
      <c r="AC384" s="7">
        <f ca="1">MAX(0,Log_2018[[#This Row],[Split_apply]] - (EDATE(AA$1,1)-Log_2018[[#This Row],[Date]]))</f>
        <v>0</v>
      </c>
    </row>
    <row r="385" spans="1:29" hidden="1" x14ac:dyDescent="0.25">
      <c r="A385" s="115"/>
      <c r="B385" t="s">
        <v>6</v>
      </c>
      <c r="D385" s="39">
        <v>43283</v>
      </c>
      <c r="F385" t="s">
        <v>59</v>
      </c>
      <c r="G385" t="s">
        <v>25</v>
      </c>
      <c r="H385" s="3">
        <v>-7.94</v>
      </c>
      <c r="I385" s="36">
        <f>IF(Log_2018[[#This Row],[My Category]]="NONTRACKED",0,Log_2018[[#This Row],[Raw Amount]])</f>
        <v>-7.94</v>
      </c>
      <c r="J385" s="17">
        <f>ABS(Log_2018[[#This Row],[Amount]])</f>
        <v>7.94</v>
      </c>
      <c r="K385" s="66">
        <v>1</v>
      </c>
      <c r="L385" s="66">
        <f ca="1">IF(Log_2018[[#This Row],[Date]]&lt;=TODAY(), MIN(Log_2018[[#This Row],[Split_raw]], TODAY()-Log_2018[[#This Row],[Date]]+1), 0)</f>
        <v>1</v>
      </c>
      <c r="M385" t="s">
        <v>35</v>
      </c>
      <c r="N385" t="s">
        <v>158</v>
      </c>
      <c r="O385" s="50">
        <v>0</v>
      </c>
      <c r="P385" s="52">
        <f ca="1">Log_2018[[#This Row],[Amount]]/Log_2018[[#This Row],[Split_raw]]*MAX(0,MIN(_xlfn.DAYS(EDATE(P$1,1),Log_2018[[#This Row],[Date]]),Log_2018[[#This Row],[Split_apply]])) - SUM($O385:O385)</f>
        <v>0</v>
      </c>
      <c r="Q385" s="52">
        <f ca="1">Log_2018[[#This Row],[Amount]]/Log_2018[[#This Row],[Split_raw]]*MAX(0,MIN(_xlfn.DAYS(EDATE(Q$1,1),Log_2018[[#This Row],[Date]]),Log_2018[[#This Row],[Split_apply]])) - SUM($O385:P385)</f>
        <v>0</v>
      </c>
      <c r="R385" s="52">
        <f ca="1">Log_2018[[#This Row],[Amount]]/Log_2018[[#This Row],[Split_raw]]*MAX(0,MIN(_xlfn.DAYS(EDATE(R$1,1),Log_2018[[#This Row],[Date]]),Log_2018[[#This Row],[Split_apply]])) - SUM($O385:Q385)</f>
        <v>0</v>
      </c>
      <c r="S385" s="52">
        <f ca="1">Log_2018[[#This Row],[Amount]]/Log_2018[[#This Row],[Split_raw]]*MAX(0,MIN(_xlfn.DAYS(EDATE(S$1,1),Log_2018[[#This Row],[Date]]),Log_2018[[#This Row],[Split_apply]])) - SUM($O385:R385)</f>
        <v>0</v>
      </c>
      <c r="T385" s="52">
        <f ca="1">Log_2018[[#This Row],[Amount]]/Log_2018[[#This Row],[Split_raw]]*MAX(0,MIN(_xlfn.DAYS(EDATE(T$1,1),Log_2018[[#This Row],[Date]]),Log_2018[[#This Row],[Split_apply]])) - SUM($O385:S385)</f>
        <v>0</v>
      </c>
      <c r="U385" s="52">
        <f ca="1">Log_2018[[#This Row],[Amount]]/Log_2018[[#This Row],[Split_raw]]*MAX(0,MIN(_xlfn.DAYS(EDATE(U$1,1),Log_2018[[#This Row],[Date]]),Log_2018[[#This Row],[Split_apply]])) - SUM($O385:T385)</f>
        <v>0</v>
      </c>
      <c r="V385" s="52">
        <f ca="1">Log_2018[[#This Row],[Amount]]/Log_2018[[#This Row],[Split_raw]]*MAX(0,MIN(_xlfn.DAYS(EDATE(V$1,1),Log_2018[[#This Row],[Date]]),Log_2018[[#This Row],[Split_apply]])) - SUM($O385:U385)</f>
        <v>-7.94</v>
      </c>
      <c r="W385" s="52">
        <f ca="1">Log_2018[[#This Row],[Amount]]/Log_2018[[#This Row],[Split_raw]]*MAX(0,MIN(_xlfn.DAYS(EDATE(W$1,1),Log_2018[[#This Row],[Date]]),Log_2018[[#This Row],[Split_apply]])) - SUM($O385:V385)</f>
        <v>0</v>
      </c>
      <c r="X385" s="52">
        <f ca="1">Log_2018[[#This Row],[Amount]]/Log_2018[[#This Row],[Split_raw]]*MAX(0,MIN(_xlfn.DAYS(EDATE(X$1,1),Log_2018[[#This Row],[Date]]),Log_2018[[#This Row],[Split_apply]])) - SUM($O385:W385)</f>
        <v>0</v>
      </c>
      <c r="Y385" s="52">
        <f ca="1">Log_2018[[#This Row],[Amount]]/Log_2018[[#This Row],[Split_raw]]*MAX(0,MIN(_xlfn.DAYS(EDATE(Y$1,1),Log_2018[[#This Row],[Date]]),Log_2018[[#This Row],[Split_apply]])) - SUM($O385:X385)</f>
        <v>0</v>
      </c>
      <c r="Z385" s="52">
        <f ca="1">Log_2018[[#This Row],[Amount]]/Log_2018[[#This Row],[Split_raw]]*MAX(0,MIN(_xlfn.DAYS(EDATE(Z$1,1),Log_2018[[#This Row],[Date]]),Log_2018[[#This Row],[Split_apply]])) - SUM($O385:Y385)</f>
        <v>0</v>
      </c>
      <c r="AA385" s="52">
        <f ca="1">Log_2018[[#This Row],[Amount]]/Log_2018[[#This Row],[Split_raw]]*MAX(0,MIN(_xlfn.DAYS(EDATE(AA$1,1),Log_2018[[#This Row],[Date]]),Log_2018[[#This Row],[Split_apply]])) - SUM($O385:Z385)</f>
        <v>0</v>
      </c>
      <c r="AB385" s="54">
        <f ca="1">Log_2018[[#This Row],[Amount]]-SUM(O385:AA385)</f>
        <v>0</v>
      </c>
      <c r="AC385" s="7">
        <f ca="1">MAX(0,Log_2018[[#This Row],[Split_apply]] - (EDATE(AA$1,1)-Log_2018[[#This Row],[Date]]))</f>
        <v>0</v>
      </c>
    </row>
    <row r="386" spans="1:29" hidden="1" x14ac:dyDescent="0.25">
      <c r="A386" s="115"/>
      <c r="B386" t="s">
        <v>6</v>
      </c>
      <c r="D386" s="39">
        <v>43283</v>
      </c>
      <c r="F386" t="s">
        <v>138</v>
      </c>
      <c r="G386" t="s">
        <v>104</v>
      </c>
      <c r="H386" s="3">
        <v>-265.99</v>
      </c>
      <c r="I386" s="36">
        <f>IF(Log_2018[[#This Row],[My Category]]="NONTRACKED",0,Log_2018[[#This Row],[Raw Amount]])</f>
        <v>-265.99</v>
      </c>
      <c r="J386" s="17">
        <f>ABS(Log_2018[[#This Row],[Amount]])</f>
        <v>265.99</v>
      </c>
      <c r="K386" s="66">
        <v>1</v>
      </c>
      <c r="L386" s="66">
        <f ca="1">IF(Log_2018[[#This Row],[Date]]&lt;=TODAY(), MIN(Log_2018[[#This Row],[Split_raw]], TODAY()-Log_2018[[#This Row],[Date]]+1), 0)</f>
        <v>1</v>
      </c>
      <c r="M386" t="s">
        <v>159</v>
      </c>
      <c r="N386" t="s">
        <v>160</v>
      </c>
      <c r="O386" s="50">
        <v>0</v>
      </c>
      <c r="P386" s="52">
        <f ca="1">Log_2018[[#This Row],[Amount]]/Log_2018[[#This Row],[Split_raw]]*MAX(0,MIN(_xlfn.DAYS(EDATE(P$1,1),Log_2018[[#This Row],[Date]]),Log_2018[[#This Row],[Split_apply]])) - SUM($O386:O386)</f>
        <v>0</v>
      </c>
      <c r="Q386" s="52">
        <f ca="1">Log_2018[[#This Row],[Amount]]/Log_2018[[#This Row],[Split_raw]]*MAX(0,MIN(_xlfn.DAYS(EDATE(Q$1,1),Log_2018[[#This Row],[Date]]),Log_2018[[#This Row],[Split_apply]])) - SUM($O386:P386)</f>
        <v>0</v>
      </c>
      <c r="R386" s="52">
        <f ca="1">Log_2018[[#This Row],[Amount]]/Log_2018[[#This Row],[Split_raw]]*MAX(0,MIN(_xlfn.DAYS(EDATE(R$1,1),Log_2018[[#This Row],[Date]]),Log_2018[[#This Row],[Split_apply]])) - SUM($O386:Q386)</f>
        <v>0</v>
      </c>
      <c r="S386" s="52">
        <f ca="1">Log_2018[[#This Row],[Amount]]/Log_2018[[#This Row],[Split_raw]]*MAX(0,MIN(_xlfn.DAYS(EDATE(S$1,1),Log_2018[[#This Row],[Date]]),Log_2018[[#This Row],[Split_apply]])) - SUM($O386:R386)</f>
        <v>0</v>
      </c>
      <c r="T386" s="52">
        <f ca="1">Log_2018[[#This Row],[Amount]]/Log_2018[[#This Row],[Split_raw]]*MAX(0,MIN(_xlfn.DAYS(EDATE(T$1,1),Log_2018[[#This Row],[Date]]),Log_2018[[#This Row],[Split_apply]])) - SUM($O386:S386)</f>
        <v>0</v>
      </c>
      <c r="U386" s="52">
        <f ca="1">Log_2018[[#This Row],[Amount]]/Log_2018[[#This Row],[Split_raw]]*MAX(0,MIN(_xlfn.DAYS(EDATE(U$1,1),Log_2018[[#This Row],[Date]]),Log_2018[[#This Row],[Split_apply]])) - SUM($O386:T386)</f>
        <v>0</v>
      </c>
      <c r="V386" s="52">
        <f ca="1">Log_2018[[#This Row],[Amount]]/Log_2018[[#This Row],[Split_raw]]*MAX(0,MIN(_xlfn.DAYS(EDATE(V$1,1),Log_2018[[#This Row],[Date]]),Log_2018[[#This Row],[Split_apply]])) - SUM($O386:U386)</f>
        <v>-265.99</v>
      </c>
      <c r="W386" s="52">
        <f ca="1">Log_2018[[#This Row],[Amount]]/Log_2018[[#This Row],[Split_raw]]*MAX(0,MIN(_xlfn.DAYS(EDATE(W$1,1),Log_2018[[#This Row],[Date]]),Log_2018[[#This Row],[Split_apply]])) - SUM($O386:V386)</f>
        <v>0</v>
      </c>
      <c r="X386" s="52">
        <f ca="1">Log_2018[[#This Row],[Amount]]/Log_2018[[#This Row],[Split_raw]]*MAX(0,MIN(_xlfn.DAYS(EDATE(X$1,1),Log_2018[[#This Row],[Date]]),Log_2018[[#This Row],[Split_apply]])) - SUM($O386:W386)</f>
        <v>0</v>
      </c>
      <c r="Y386" s="52">
        <f ca="1">Log_2018[[#This Row],[Amount]]/Log_2018[[#This Row],[Split_raw]]*MAX(0,MIN(_xlfn.DAYS(EDATE(Y$1,1),Log_2018[[#This Row],[Date]]),Log_2018[[#This Row],[Split_apply]])) - SUM($O386:X386)</f>
        <v>0</v>
      </c>
      <c r="Z386" s="52">
        <f ca="1">Log_2018[[#This Row],[Amount]]/Log_2018[[#This Row],[Split_raw]]*MAX(0,MIN(_xlfn.DAYS(EDATE(Z$1,1),Log_2018[[#This Row],[Date]]),Log_2018[[#This Row],[Split_apply]])) - SUM($O386:Y386)</f>
        <v>0</v>
      </c>
      <c r="AA386" s="52">
        <f ca="1">Log_2018[[#This Row],[Amount]]/Log_2018[[#This Row],[Split_raw]]*MAX(0,MIN(_xlfn.DAYS(EDATE(AA$1,1),Log_2018[[#This Row],[Date]]),Log_2018[[#This Row],[Split_apply]])) - SUM($O386:Z386)</f>
        <v>0</v>
      </c>
      <c r="AB386" s="54">
        <f ca="1">Log_2018[[#This Row],[Amount]]-SUM(O386:AA386)</f>
        <v>0</v>
      </c>
      <c r="AC386" s="7">
        <f ca="1">MAX(0,Log_2018[[#This Row],[Split_apply]] - (EDATE(AA$1,1)-Log_2018[[#This Row],[Date]]))</f>
        <v>0</v>
      </c>
    </row>
    <row r="387" spans="1:29" hidden="1" x14ac:dyDescent="0.25">
      <c r="A387" s="115"/>
      <c r="B387" s="34" t="s">
        <v>6</v>
      </c>
      <c r="D387" s="39">
        <v>43282</v>
      </c>
      <c r="E387" t="s">
        <v>960</v>
      </c>
      <c r="F387" t="s">
        <v>313</v>
      </c>
      <c r="G387" t="s">
        <v>20</v>
      </c>
      <c r="H387" s="3">
        <v>-1574.58</v>
      </c>
      <c r="I387" s="36">
        <f>IF(Log_2018[[#This Row],[My Category]]="NONTRACKED",0,Log_2018[[#This Row],[Raw Amount]])</f>
        <v>-1574.58</v>
      </c>
      <c r="J387" s="17">
        <f>ABS(Log_2018[[#This Row],[Amount]])</f>
        <v>1574.58</v>
      </c>
      <c r="K387" s="66">
        <v>31</v>
      </c>
      <c r="L387" s="66">
        <f ca="1">IF(Log_2018[[#This Row],[Date]]&lt;=TODAY(), MIN(Log_2018[[#This Row],[Split_raw]], TODAY()-Log_2018[[#This Row],[Date]]+1), 0)</f>
        <v>31</v>
      </c>
      <c r="M387" t="s">
        <v>28</v>
      </c>
      <c r="N387" t="s">
        <v>160</v>
      </c>
      <c r="O387" s="50">
        <v>0</v>
      </c>
      <c r="P387" s="52">
        <f ca="1">Log_2018[[#This Row],[Amount]]/Log_2018[[#This Row],[Split_raw]]*MAX(0,MIN(_xlfn.DAYS(EDATE(P$1,1),Log_2018[[#This Row],[Date]]),Log_2018[[#This Row],[Split_apply]])) - SUM($O387:O387)</f>
        <v>0</v>
      </c>
      <c r="Q387" s="52">
        <f ca="1">Log_2018[[#This Row],[Amount]]/Log_2018[[#This Row],[Split_raw]]*MAX(0,MIN(_xlfn.DAYS(EDATE(Q$1,1),Log_2018[[#This Row],[Date]]),Log_2018[[#This Row],[Split_apply]])) - SUM($O387:P387)</f>
        <v>0</v>
      </c>
      <c r="R387" s="52">
        <f ca="1">Log_2018[[#This Row],[Amount]]/Log_2018[[#This Row],[Split_raw]]*MAX(0,MIN(_xlfn.DAYS(EDATE(R$1,1),Log_2018[[#This Row],[Date]]),Log_2018[[#This Row],[Split_apply]])) - SUM($O387:Q387)</f>
        <v>0</v>
      </c>
      <c r="S387" s="52">
        <f ca="1">Log_2018[[#This Row],[Amount]]/Log_2018[[#This Row],[Split_raw]]*MAX(0,MIN(_xlfn.DAYS(EDATE(S$1,1),Log_2018[[#This Row],[Date]]),Log_2018[[#This Row],[Split_apply]])) - SUM($O387:R387)</f>
        <v>0</v>
      </c>
      <c r="T387" s="52">
        <f ca="1">Log_2018[[#This Row],[Amount]]/Log_2018[[#This Row],[Split_raw]]*MAX(0,MIN(_xlfn.DAYS(EDATE(T$1,1),Log_2018[[#This Row],[Date]]),Log_2018[[#This Row],[Split_apply]])) - SUM($O387:S387)</f>
        <v>0</v>
      </c>
      <c r="U387" s="52">
        <f ca="1">Log_2018[[#This Row],[Amount]]/Log_2018[[#This Row],[Split_raw]]*MAX(0,MIN(_xlfn.DAYS(EDATE(U$1,1),Log_2018[[#This Row],[Date]]),Log_2018[[#This Row],[Split_apply]])) - SUM($O387:T387)</f>
        <v>0</v>
      </c>
      <c r="V387" s="52">
        <f ca="1">Log_2018[[#This Row],[Amount]]/Log_2018[[#This Row],[Split_raw]]*MAX(0,MIN(_xlfn.DAYS(EDATE(V$1,1),Log_2018[[#This Row],[Date]]),Log_2018[[#This Row],[Split_apply]])) - SUM($O387:U387)</f>
        <v>-1574.58</v>
      </c>
      <c r="W387" s="52">
        <f ca="1">Log_2018[[#This Row],[Amount]]/Log_2018[[#This Row],[Split_raw]]*MAX(0,MIN(_xlfn.DAYS(EDATE(W$1,1),Log_2018[[#This Row],[Date]]),Log_2018[[#This Row],[Split_apply]])) - SUM($O387:V387)</f>
        <v>0</v>
      </c>
      <c r="X387" s="52">
        <f ca="1">Log_2018[[#This Row],[Amount]]/Log_2018[[#This Row],[Split_raw]]*MAX(0,MIN(_xlfn.DAYS(EDATE(X$1,1),Log_2018[[#This Row],[Date]]),Log_2018[[#This Row],[Split_apply]])) - SUM($O387:W387)</f>
        <v>0</v>
      </c>
      <c r="Y387" s="52">
        <f ca="1">Log_2018[[#This Row],[Amount]]/Log_2018[[#This Row],[Split_raw]]*MAX(0,MIN(_xlfn.DAYS(EDATE(Y$1,1),Log_2018[[#This Row],[Date]]),Log_2018[[#This Row],[Split_apply]])) - SUM($O387:X387)</f>
        <v>0</v>
      </c>
      <c r="Z387" s="52">
        <f ca="1">Log_2018[[#This Row],[Amount]]/Log_2018[[#This Row],[Split_raw]]*MAX(0,MIN(_xlfn.DAYS(EDATE(Z$1,1),Log_2018[[#This Row],[Date]]),Log_2018[[#This Row],[Split_apply]])) - SUM($O387:Y387)</f>
        <v>0</v>
      </c>
      <c r="AA387" s="52">
        <f ca="1">Log_2018[[#This Row],[Amount]]/Log_2018[[#This Row],[Split_raw]]*MAX(0,MIN(_xlfn.DAYS(EDATE(AA$1,1),Log_2018[[#This Row],[Date]]),Log_2018[[#This Row],[Split_apply]])) - SUM($O387:Z387)</f>
        <v>0</v>
      </c>
      <c r="AB387" s="54">
        <f ca="1">Log_2018[[#This Row],[Amount]]-SUM(O387:AA387)</f>
        <v>0</v>
      </c>
      <c r="AC387" s="7">
        <f ca="1">MAX(0,Log_2018[[#This Row],[Split_apply]] - (EDATE(AA$1,1)-Log_2018[[#This Row],[Date]]))</f>
        <v>0</v>
      </c>
    </row>
    <row r="388" spans="1:29" hidden="1" x14ac:dyDescent="0.25">
      <c r="A388" s="115"/>
      <c r="B388" t="s">
        <v>191</v>
      </c>
      <c r="D388" s="39">
        <v>43282</v>
      </c>
      <c r="E388" t="s">
        <v>960</v>
      </c>
      <c r="F388" t="s">
        <v>314</v>
      </c>
      <c r="G388" t="s">
        <v>176</v>
      </c>
      <c r="H388" s="3">
        <v>-320</v>
      </c>
      <c r="I388" s="36">
        <f>IF(Log_2018[[#This Row],[My Category]]="NONTRACKED",0,Log_2018[[#This Row],[Raw Amount]])</f>
        <v>-320</v>
      </c>
      <c r="J388" s="17">
        <f>ABS(Log_2018[[#This Row],[Amount]])</f>
        <v>320</v>
      </c>
      <c r="K388" s="66">
        <v>31</v>
      </c>
      <c r="L388" s="66">
        <f ca="1">IF(Log_2018[[#This Row],[Date]]&lt;=TODAY(), MIN(Log_2018[[#This Row],[Split_raw]], TODAY()-Log_2018[[#This Row],[Date]]+1), 0)</f>
        <v>31</v>
      </c>
      <c r="M388" t="s">
        <v>93</v>
      </c>
      <c r="N388" t="s">
        <v>160</v>
      </c>
      <c r="O388" s="50">
        <v>0</v>
      </c>
      <c r="P388" s="52">
        <f ca="1">Log_2018[[#This Row],[Amount]]/Log_2018[[#This Row],[Split_raw]]*MAX(0,MIN(_xlfn.DAYS(EDATE(P$1,1),Log_2018[[#This Row],[Date]]),Log_2018[[#This Row],[Split_apply]])) - SUM($O388:O388)</f>
        <v>0</v>
      </c>
      <c r="Q388" s="52">
        <f ca="1">Log_2018[[#This Row],[Amount]]/Log_2018[[#This Row],[Split_raw]]*MAX(0,MIN(_xlfn.DAYS(EDATE(Q$1,1),Log_2018[[#This Row],[Date]]),Log_2018[[#This Row],[Split_apply]])) - SUM($O388:P388)</f>
        <v>0</v>
      </c>
      <c r="R388" s="52">
        <f ca="1">Log_2018[[#This Row],[Amount]]/Log_2018[[#This Row],[Split_raw]]*MAX(0,MIN(_xlfn.DAYS(EDATE(R$1,1),Log_2018[[#This Row],[Date]]),Log_2018[[#This Row],[Split_apply]])) - SUM($O388:Q388)</f>
        <v>0</v>
      </c>
      <c r="S388" s="52">
        <f ca="1">Log_2018[[#This Row],[Amount]]/Log_2018[[#This Row],[Split_raw]]*MAX(0,MIN(_xlfn.DAYS(EDATE(S$1,1),Log_2018[[#This Row],[Date]]),Log_2018[[#This Row],[Split_apply]])) - SUM($O388:R388)</f>
        <v>0</v>
      </c>
      <c r="T388" s="52">
        <f ca="1">Log_2018[[#This Row],[Amount]]/Log_2018[[#This Row],[Split_raw]]*MAX(0,MIN(_xlfn.DAYS(EDATE(T$1,1),Log_2018[[#This Row],[Date]]),Log_2018[[#This Row],[Split_apply]])) - SUM($O388:S388)</f>
        <v>0</v>
      </c>
      <c r="U388" s="52">
        <f ca="1">Log_2018[[#This Row],[Amount]]/Log_2018[[#This Row],[Split_raw]]*MAX(0,MIN(_xlfn.DAYS(EDATE(U$1,1),Log_2018[[#This Row],[Date]]),Log_2018[[#This Row],[Split_apply]])) - SUM($O388:T388)</f>
        <v>0</v>
      </c>
      <c r="V388" s="52">
        <f ca="1">Log_2018[[#This Row],[Amount]]/Log_2018[[#This Row],[Split_raw]]*MAX(0,MIN(_xlfn.DAYS(EDATE(V$1,1),Log_2018[[#This Row],[Date]]),Log_2018[[#This Row],[Split_apply]])) - SUM($O388:U388)</f>
        <v>-320</v>
      </c>
      <c r="W388" s="52">
        <f ca="1">Log_2018[[#This Row],[Amount]]/Log_2018[[#This Row],[Split_raw]]*MAX(0,MIN(_xlfn.DAYS(EDATE(W$1,1),Log_2018[[#This Row],[Date]]),Log_2018[[#This Row],[Split_apply]])) - SUM($O388:V388)</f>
        <v>0</v>
      </c>
      <c r="X388" s="52">
        <f ca="1">Log_2018[[#This Row],[Amount]]/Log_2018[[#This Row],[Split_raw]]*MAX(0,MIN(_xlfn.DAYS(EDATE(X$1,1),Log_2018[[#This Row],[Date]]),Log_2018[[#This Row],[Split_apply]])) - SUM($O388:W388)</f>
        <v>0</v>
      </c>
      <c r="Y388" s="52">
        <f ca="1">Log_2018[[#This Row],[Amount]]/Log_2018[[#This Row],[Split_raw]]*MAX(0,MIN(_xlfn.DAYS(EDATE(Y$1,1),Log_2018[[#This Row],[Date]]),Log_2018[[#This Row],[Split_apply]])) - SUM($O388:X388)</f>
        <v>0</v>
      </c>
      <c r="Z388" s="52">
        <f ca="1">Log_2018[[#This Row],[Amount]]/Log_2018[[#This Row],[Split_raw]]*MAX(0,MIN(_xlfn.DAYS(EDATE(Z$1,1),Log_2018[[#This Row],[Date]]),Log_2018[[#This Row],[Split_apply]])) - SUM($O388:Y388)</f>
        <v>0</v>
      </c>
      <c r="AA388" s="52">
        <f ca="1">Log_2018[[#This Row],[Amount]]/Log_2018[[#This Row],[Split_raw]]*MAX(0,MIN(_xlfn.DAYS(EDATE(AA$1,1),Log_2018[[#This Row],[Date]]),Log_2018[[#This Row],[Split_apply]])) - SUM($O388:Z388)</f>
        <v>0</v>
      </c>
      <c r="AB388" s="54">
        <f ca="1">Log_2018[[#This Row],[Amount]]-SUM(O388:AA388)</f>
        <v>0</v>
      </c>
      <c r="AC388" s="7">
        <f ca="1">MAX(0,Log_2018[[#This Row],[Split_apply]] - (EDATE(AA$1,1)-Log_2018[[#This Row],[Date]]))</f>
        <v>0</v>
      </c>
    </row>
    <row r="389" spans="1:29" hidden="1" x14ac:dyDescent="0.25">
      <c r="A389" s="115"/>
      <c r="B389" t="s">
        <v>6</v>
      </c>
      <c r="D389" s="39">
        <v>43282</v>
      </c>
      <c r="F389" t="s">
        <v>105</v>
      </c>
      <c r="G389" t="s">
        <v>104</v>
      </c>
      <c r="H389" s="3">
        <v>265.99</v>
      </c>
      <c r="I389" s="36">
        <f>IF(Log_2018[[#This Row],[My Category]]="NONTRACKED",0,Log_2018[[#This Row],[Raw Amount]])</f>
        <v>265.99</v>
      </c>
      <c r="J389" s="17">
        <f>ABS(Log_2018[[#This Row],[Amount]])</f>
        <v>265.99</v>
      </c>
      <c r="K389" s="66">
        <v>1</v>
      </c>
      <c r="L389" s="66">
        <f ca="1">IF(Log_2018[[#This Row],[Date]]&lt;=TODAY(), MIN(Log_2018[[#This Row],[Split_raw]], TODAY()-Log_2018[[#This Row],[Date]]+1), 0)</f>
        <v>1</v>
      </c>
      <c r="M389" t="s">
        <v>159</v>
      </c>
      <c r="N389" t="s">
        <v>158</v>
      </c>
      <c r="O389" s="50">
        <v>0</v>
      </c>
      <c r="P389" s="52">
        <f ca="1">Log_2018[[#This Row],[Amount]]/Log_2018[[#This Row],[Split_raw]]*MAX(0,MIN(_xlfn.DAYS(EDATE(P$1,1),Log_2018[[#This Row],[Date]]),Log_2018[[#This Row],[Split_apply]])) - SUM($O389:O389)</f>
        <v>0</v>
      </c>
      <c r="Q389" s="52">
        <f ca="1">Log_2018[[#This Row],[Amount]]/Log_2018[[#This Row],[Split_raw]]*MAX(0,MIN(_xlfn.DAYS(EDATE(Q$1,1),Log_2018[[#This Row],[Date]]),Log_2018[[#This Row],[Split_apply]])) - SUM($O389:P389)</f>
        <v>0</v>
      </c>
      <c r="R389" s="52">
        <f ca="1">Log_2018[[#This Row],[Amount]]/Log_2018[[#This Row],[Split_raw]]*MAX(0,MIN(_xlfn.DAYS(EDATE(R$1,1),Log_2018[[#This Row],[Date]]),Log_2018[[#This Row],[Split_apply]])) - SUM($O389:Q389)</f>
        <v>0</v>
      </c>
      <c r="S389" s="52">
        <f ca="1">Log_2018[[#This Row],[Amount]]/Log_2018[[#This Row],[Split_raw]]*MAX(0,MIN(_xlfn.DAYS(EDATE(S$1,1),Log_2018[[#This Row],[Date]]),Log_2018[[#This Row],[Split_apply]])) - SUM($O389:R389)</f>
        <v>0</v>
      </c>
      <c r="T389" s="52">
        <f ca="1">Log_2018[[#This Row],[Amount]]/Log_2018[[#This Row],[Split_raw]]*MAX(0,MIN(_xlfn.DAYS(EDATE(T$1,1),Log_2018[[#This Row],[Date]]),Log_2018[[#This Row],[Split_apply]])) - SUM($O389:S389)</f>
        <v>0</v>
      </c>
      <c r="U389" s="52">
        <f ca="1">Log_2018[[#This Row],[Amount]]/Log_2018[[#This Row],[Split_raw]]*MAX(0,MIN(_xlfn.DAYS(EDATE(U$1,1),Log_2018[[#This Row],[Date]]),Log_2018[[#This Row],[Split_apply]])) - SUM($O389:T389)</f>
        <v>0</v>
      </c>
      <c r="V389" s="52">
        <f ca="1">Log_2018[[#This Row],[Amount]]/Log_2018[[#This Row],[Split_raw]]*MAX(0,MIN(_xlfn.DAYS(EDATE(V$1,1),Log_2018[[#This Row],[Date]]),Log_2018[[#This Row],[Split_apply]])) - SUM($O389:U389)</f>
        <v>265.99</v>
      </c>
      <c r="W389" s="52">
        <f ca="1">Log_2018[[#This Row],[Amount]]/Log_2018[[#This Row],[Split_raw]]*MAX(0,MIN(_xlfn.DAYS(EDATE(W$1,1),Log_2018[[#This Row],[Date]]),Log_2018[[#This Row],[Split_apply]])) - SUM($O389:V389)</f>
        <v>0</v>
      </c>
      <c r="X389" s="52">
        <f ca="1">Log_2018[[#This Row],[Amount]]/Log_2018[[#This Row],[Split_raw]]*MAX(0,MIN(_xlfn.DAYS(EDATE(X$1,1),Log_2018[[#This Row],[Date]]),Log_2018[[#This Row],[Split_apply]])) - SUM($O389:W389)</f>
        <v>0</v>
      </c>
      <c r="Y389" s="52">
        <f ca="1">Log_2018[[#This Row],[Amount]]/Log_2018[[#This Row],[Split_raw]]*MAX(0,MIN(_xlfn.DAYS(EDATE(Y$1,1),Log_2018[[#This Row],[Date]]),Log_2018[[#This Row],[Split_apply]])) - SUM($O389:X389)</f>
        <v>0</v>
      </c>
      <c r="Z389" s="52">
        <f ca="1">Log_2018[[#This Row],[Amount]]/Log_2018[[#This Row],[Split_raw]]*MAX(0,MIN(_xlfn.DAYS(EDATE(Z$1,1),Log_2018[[#This Row],[Date]]),Log_2018[[#This Row],[Split_apply]])) - SUM($O389:Y389)</f>
        <v>0</v>
      </c>
      <c r="AA389" s="52">
        <f ca="1">Log_2018[[#This Row],[Amount]]/Log_2018[[#This Row],[Split_raw]]*MAX(0,MIN(_xlfn.DAYS(EDATE(AA$1,1),Log_2018[[#This Row],[Date]]),Log_2018[[#This Row],[Split_apply]])) - SUM($O389:Z389)</f>
        <v>0</v>
      </c>
      <c r="AB389" s="54">
        <f ca="1">Log_2018[[#This Row],[Amount]]-SUM(O389:AA389)</f>
        <v>0</v>
      </c>
      <c r="AC389" s="7">
        <f ca="1">MAX(0,Log_2018[[#This Row],[Split_apply]] - (EDATE(AA$1,1)-Log_2018[[#This Row],[Date]]))</f>
        <v>0</v>
      </c>
    </row>
    <row r="390" spans="1:29" hidden="1" x14ac:dyDescent="0.25">
      <c r="A390" s="115"/>
      <c r="B390" t="s">
        <v>6</v>
      </c>
      <c r="D390" s="39">
        <v>43281</v>
      </c>
      <c r="F390" t="s">
        <v>305</v>
      </c>
      <c r="G390" t="s">
        <v>25</v>
      </c>
      <c r="H390" s="3">
        <v>-26.3</v>
      </c>
      <c r="I390" s="36">
        <f>IF(Log_2018[[#This Row],[My Category]]="NONTRACKED",0,Log_2018[[#This Row],[Raw Amount]])</f>
        <v>-26.3</v>
      </c>
      <c r="J390" s="17">
        <f>ABS(Log_2018[[#This Row],[Amount]])</f>
        <v>26.3</v>
      </c>
      <c r="K390" s="66">
        <v>1</v>
      </c>
      <c r="L390" s="66">
        <f ca="1">IF(Log_2018[[#This Row],[Date]]&lt;=TODAY(), MIN(Log_2018[[#This Row],[Split_raw]], TODAY()-Log_2018[[#This Row],[Date]]+1), 0)</f>
        <v>1</v>
      </c>
      <c r="M390" t="s">
        <v>35</v>
      </c>
      <c r="N390" t="s">
        <v>158</v>
      </c>
      <c r="O390" s="50">
        <v>0</v>
      </c>
      <c r="P390" s="52">
        <f ca="1">Log_2018[[#This Row],[Amount]]/Log_2018[[#This Row],[Split_raw]]*MAX(0,MIN(_xlfn.DAYS(EDATE(P$1,1),Log_2018[[#This Row],[Date]]),Log_2018[[#This Row],[Split_apply]])) - SUM($O390:O390)</f>
        <v>0</v>
      </c>
      <c r="Q390" s="52">
        <f ca="1">Log_2018[[#This Row],[Amount]]/Log_2018[[#This Row],[Split_raw]]*MAX(0,MIN(_xlfn.DAYS(EDATE(Q$1,1),Log_2018[[#This Row],[Date]]),Log_2018[[#This Row],[Split_apply]])) - SUM($O390:P390)</f>
        <v>0</v>
      </c>
      <c r="R390" s="52">
        <f ca="1">Log_2018[[#This Row],[Amount]]/Log_2018[[#This Row],[Split_raw]]*MAX(0,MIN(_xlfn.DAYS(EDATE(R$1,1),Log_2018[[#This Row],[Date]]),Log_2018[[#This Row],[Split_apply]])) - SUM($O390:Q390)</f>
        <v>0</v>
      </c>
      <c r="S390" s="52">
        <f ca="1">Log_2018[[#This Row],[Amount]]/Log_2018[[#This Row],[Split_raw]]*MAX(0,MIN(_xlfn.DAYS(EDATE(S$1,1),Log_2018[[#This Row],[Date]]),Log_2018[[#This Row],[Split_apply]])) - SUM($O390:R390)</f>
        <v>0</v>
      </c>
      <c r="T390" s="52">
        <f ca="1">Log_2018[[#This Row],[Amount]]/Log_2018[[#This Row],[Split_raw]]*MAX(0,MIN(_xlfn.DAYS(EDATE(T$1,1),Log_2018[[#This Row],[Date]]),Log_2018[[#This Row],[Split_apply]])) - SUM($O390:S390)</f>
        <v>0</v>
      </c>
      <c r="U390" s="52">
        <f ca="1">Log_2018[[#This Row],[Amount]]/Log_2018[[#This Row],[Split_raw]]*MAX(0,MIN(_xlfn.DAYS(EDATE(U$1,1),Log_2018[[#This Row],[Date]]),Log_2018[[#This Row],[Split_apply]])) - SUM($O390:T390)</f>
        <v>-26.3</v>
      </c>
      <c r="V390" s="52">
        <f ca="1">Log_2018[[#This Row],[Amount]]/Log_2018[[#This Row],[Split_raw]]*MAX(0,MIN(_xlfn.DAYS(EDATE(V$1,1),Log_2018[[#This Row],[Date]]),Log_2018[[#This Row],[Split_apply]])) - SUM($O390:U390)</f>
        <v>0</v>
      </c>
      <c r="W390" s="52">
        <f ca="1">Log_2018[[#This Row],[Amount]]/Log_2018[[#This Row],[Split_raw]]*MAX(0,MIN(_xlfn.DAYS(EDATE(W$1,1),Log_2018[[#This Row],[Date]]),Log_2018[[#This Row],[Split_apply]])) - SUM($O390:V390)</f>
        <v>0</v>
      </c>
      <c r="X390" s="52">
        <f ca="1">Log_2018[[#This Row],[Amount]]/Log_2018[[#This Row],[Split_raw]]*MAX(0,MIN(_xlfn.DAYS(EDATE(X$1,1),Log_2018[[#This Row],[Date]]),Log_2018[[#This Row],[Split_apply]])) - SUM($O390:W390)</f>
        <v>0</v>
      </c>
      <c r="Y390" s="52">
        <f ca="1">Log_2018[[#This Row],[Amount]]/Log_2018[[#This Row],[Split_raw]]*MAX(0,MIN(_xlfn.DAYS(EDATE(Y$1,1),Log_2018[[#This Row],[Date]]),Log_2018[[#This Row],[Split_apply]])) - SUM($O390:X390)</f>
        <v>0</v>
      </c>
      <c r="Z390" s="52">
        <f ca="1">Log_2018[[#This Row],[Amount]]/Log_2018[[#This Row],[Split_raw]]*MAX(0,MIN(_xlfn.DAYS(EDATE(Z$1,1),Log_2018[[#This Row],[Date]]),Log_2018[[#This Row],[Split_apply]])) - SUM($O390:Y390)</f>
        <v>0</v>
      </c>
      <c r="AA390" s="52">
        <f ca="1">Log_2018[[#This Row],[Amount]]/Log_2018[[#This Row],[Split_raw]]*MAX(0,MIN(_xlfn.DAYS(EDATE(AA$1,1),Log_2018[[#This Row],[Date]]),Log_2018[[#This Row],[Split_apply]])) - SUM($O390:Z390)</f>
        <v>0</v>
      </c>
      <c r="AB390" s="54">
        <f ca="1">Log_2018[[#This Row],[Amount]]-SUM(O390:AA390)</f>
        <v>0</v>
      </c>
      <c r="AC390" s="7">
        <f ca="1">MAX(0,Log_2018[[#This Row],[Split_apply]] - (EDATE(AA$1,1)-Log_2018[[#This Row],[Date]]))</f>
        <v>0</v>
      </c>
    </row>
    <row r="391" spans="1:29" hidden="1" x14ac:dyDescent="0.25">
      <c r="A391" s="115"/>
      <c r="B391" t="s">
        <v>6</v>
      </c>
      <c r="D391" s="39">
        <v>43281</v>
      </c>
      <c r="F391" t="s">
        <v>291</v>
      </c>
      <c r="G391" t="s">
        <v>25</v>
      </c>
      <c r="H391" s="3">
        <v>-12.49</v>
      </c>
      <c r="I391" s="36">
        <f>IF(Log_2018[[#This Row],[My Category]]="NONTRACKED",0,Log_2018[[#This Row],[Raw Amount]])</f>
        <v>-12.49</v>
      </c>
      <c r="J391" s="17">
        <f>ABS(Log_2018[[#This Row],[Amount]])</f>
        <v>12.49</v>
      </c>
      <c r="K391" s="66">
        <v>1</v>
      </c>
      <c r="L391" s="66">
        <f ca="1">IF(Log_2018[[#This Row],[Date]]&lt;=TODAY(), MIN(Log_2018[[#This Row],[Split_raw]], TODAY()-Log_2018[[#This Row],[Date]]+1), 0)</f>
        <v>1</v>
      </c>
      <c r="M391" t="s">
        <v>35</v>
      </c>
      <c r="N391" t="s">
        <v>158</v>
      </c>
      <c r="O391" s="50">
        <v>0</v>
      </c>
      <c r="P391" s="52">
        <f ca="1">Log_2018[[#This Row],[Amount]]/Log_2018[[#This Row],[Split_raw]]*MAX(0,MIN(_xlfn.DAYS(EDATE(P$1,1),Log_2018[[#This Row],[Date]]),Log_2018[[#This Row],[Split_apply]])) - SUM($O391:O391)</f>
        <v>0</v>
      </c>
      <c r="Q391" s="52">
        <f ca="1">Log_2018[[#This Row],[Amount]]/Log_2018[[#This Row],[Split_raw]]*MAX(0,MIN(_xlfn.DAYS(EDATE(Q$1,1),Log_2018[[#This Row],[Date]]),Log_2018[[#This Row],[Split_apply]])) - SUM($O391:P391)</f>
        <v>0</v>
      </c>
      <c r="R391" s="52">
        <f ca="1">Log_2018[[#This Row],[Amount]]/Log_2018[[#This Row],[Split_raw]]*MAX(0,MIN(_xlfn.DAYS(EDATE(R$1,1),Log_2018[[#This Row],[Date]]),Log_2018[[#This Row],[Split_apply]])) - SUM($O391:Q391)</f>
        <v>0</v>
      </c>
      <c r="S391" s="52">
        <f ca="1">Log_2018[[#This Row],[Amount]]/Log_2018[[#This Row],[Split_raw]]*MAX(0,MIN(_xlfn.DAYS(EDATE(S$1,1),Log_2018[[#This Row],[Date]]),Log_2018[[#This Row],[Split_apply]])) - SUM($O391:R391)</f>
        <v>0</v>
      </c>
      <c r="T391" s="52">
        <f ca="1">Log_2018[[#This Row],[Amount]]/Log_2018[[#This Row],[Split_raw]]*MAX(0,MIN(_xlfn.DAYS(EDATE(T$1,1),Log_2018[[#This Row],[Date]]),Log_2018[[#This Row],[Split_apply]])) - SUM($O391:S391)</f>
        <v>0</v>
      </c>
      <c r="U391" s="52">
        <f ca="1">Log_2018[[#This Row],[Amount]]/Log_2018[[#This Row],[Split_raw]]*MAX(0,MIN(_xlfn.DAYS(EDATE(U$1,1),Log_2018[[#This Row],[Date]]),Log_2018[[#This Row],[Split_apply]])) - SUM($O391:T391)</f>
        <v>-12.49</v>
      </c>
      <c r="V391" s="52">
        <f ca="1">Log_2018[[#This Row],[Amount]]/Log_2018[[#This Row],[Split_raw]]*MAX(0,MIN(_xlfn.DAYS(EDATE(V$1,1),Log_2018[[#This Row],[Date]]),Log_2018[[#This Row],[Split_apply]])) - SUM($O391:U391)</f>
        <v>0</v>
      </c>
      <c r="W391" s="52">
        <f ca="1">Log_2018[[#This Row],[Amount]]/Log_2018[[#This Row],[Split_raw]]*MAX(0,MIN(_xlfn.DAYS(EDATE(W$1,1),Log_2018[[#This Row],[Date]]),Log_2018[[#This Row],[Split_apply]])) - SUM($O391:V391)</f>
        <v>0</v>
      </c>
      <c r="X391" s="52">
        <f ca="1">Log_2018[[#This Row],[Amount]]/Log_2018[[#This Row],[Split_raw]]*MAX(0,MIN(_xlfn.DAYS(EDATE(X$1,1),Log_2018[[#This Row],[Date]]),Log_2018[[#This Row],[Split_apply]])) - SUM($O391:W391)</f>
        <v>0</v>
      </c>
      <c r="Y391" s="52">
        <f ca="1">Log_2018[[#This Row],[Amount]]/Log_2018[[#This Row],[Split_raw]]*MAX(0,MIN(_xlfn.DAYS(EDATE(Y$1,1),Log_2018[[#This Row],[Date]]),Log_2018[[#This Row],[Split_apply]])) - SUM($O391:X391)</f>
        <v>0</v>
      </c>
      <c r="Z391" s="52">
        <f ca="1">Log_2018[[#This Row],[Amount]]/Log_2018[[#This Row],[Split_raw]]*MAX(0,MIN(_xlfn.DAYS(EDATE(Z$1,1),Log_2018[[#This Row],[Date]]),Log_2018[[#This Row],[Split_apply]])) - SUM($O391:Y391)</f>
        <v>0</v>
      </c>
      <c r="AA391" s="52">
        <f ca="1">Log_2018[[#This Row],[Amount]]/Log_2018[[#This Row],[Split_raw]]*MAX(0,MIN(_xlfn.DAYS(EDATE(AA$1,1),Log_2018[[#This Row],[Date]]),Log_2018[[#This Row],[Split_apply]])) - SUM($O391:Z391)</f>
        <v>0</v>
      </c>
      <c r="AB391" s="54">
        <f ca="1">Log_2018[[#This Row],[Amount]]-SUM(O391:AA391)</f>
        <v>0</v>
      </c>
      <c r="AC391" s="7">
        <f ca="1">MAX(0,Log_2018[[#This Row],[Split_apply]] - (EDATE(AA$1,1)-Log_2018[[#This Row],[Date]]))</f>
        <v>0</v>
      </c>
    </row>
    <row r="392" spans="1:29" hidden="1" x14ac:dyDescent="0.25">
      <c r="A392" s="115"/>
      <c r="B392" t="s">
        <v>6</v>
      </c>
      <c r="D392" s="39">
        <v>43281</v>
      </c>
      <c r="F392" t="s">
        <v>291</v>
      </c>
      <c r="G392" t="s">
        <v>25</v>
      </c>
      <c r="H392" s="3">
        <v>-33.08</v>
      </c>
      <c r="I392" s="36">
        <f>IF(Log_2018[[#This Row],[My Category]]="NONTRACKED",0,Log_2018[[#This Row],[Raw Amount]])</f>
        <v>-33.08</v>
      </c>
      <c r="J392" s="17">
        <f>ABS(Log_2018[[#This Row],[Amount]])</f>
        <v>33.08</v>
      </c>
      <c r="K392" s="66">
        <v>1</v>
      </c>
      <c r="L392" s="66">
        <f ca="1">IF(Log_2018[[#This Row],[Date]]&lt;=TODAY(), MIN(Log_2018[[#This Row],[Split_raw]], TODAY()-Log_2018[[#This Row],[Date]]+1), 0)</f>
        <v>1</v>
      </c>
      <c r="M392" t="s">
        <v>52</v>
      </c>
      <c r="N392" t="s">
        <v>158</v>
      </c>
      <c r="O392" s="50">
        <v>0</v>
      </c>
      <c r="P392" s="52">
        <f ca="1">Log_2018[[#This Row],[Amount]]/Log_2018[[#This Row],[Split_raw]]*MAX(0,MIN(_xlfn.DAYS(EDATE(P$1,1),Log_2018[[#This Row],[Date]]),Log_2018[[#This Row],[Split_apply]])) - SUM($O392:O392)</f>
        <v>0</v>
      </c>
      <c r="Q392" s="52">
        <f ca="1">Log_2018[[#This Row],[Amount]]/Log_2018[[#This Row],[Split_raw]]*MAX(0,MIN(_xlfn.DAYS(EDATE(Q$1,1),Log_2018[[#This Row],[Date]]),Log_2018[[#This Row],[Split_apply]])) - SUM($O392:P392)</f>
        <v>0</v>
      </c>
      <c r="R392" s="52">
        <f ca="1">Log_2018[[#This Row],[Amount]]/Log_2018[[#This Row],[Split_raw]]*MAX(0,MIN(_xlfn.DAYS(EDATE(R$1,1),Log_2018[[#This Row],[Date]]),Log_2018[[#This Row],[Split_apply]])) - SUM($O392:Q392)</f>
        <v>0</v>
      </c>
      <c r="S392" s="52">
        <f ca="1">Log_2018[[#This Row],[Amount]]/Log_2018[[#This Row],[Split_raw]]*MAX(0,MIN(_xlfn.DAYS(EDATE(S$1,1),Log_2018[[#This Row],[Date]]),Log_2018[[#This Row],[Split_apply]])) - SUM($O392:R392)</f>
        <v>0</v>
      </c>
      <c r="T392" s="52">
        <f ca="1">Log_2018[[#This Row],[Amount]]/Log_2018[[#This Row],[Split_raw]]*MAX(0,MIN(_xlfn.DAYS(EDATE(T$1,1),Log_2018[[#This Row],[Date]]),Log_2018[[#This Row],[Split_apply]])) - SUM($O392:S392)</f>
        <v>0</v>
      </c>
      <c r="U392" s="52">
        <f ca="1">Log_2018[[#This Row],[Amount]]/Log_2018[[#This Row],[Split_raw]]*MAX(0,MIN(_xlfn.DAYS(EDATE(U$1,1),Log_2018[[#This Row],[Date]]),Log_2018[[#This Row],[Split_apply]])) - SUM($O392:T392)</f>
        <v>-33.08</v>
      </c>
      <c r="V392" s="52">
        <f ca="1">Log_2018[[#This Row],[Amount]]/Log_2018[[#This Row],[Split_raw]]*MAX(0,MIN(_xlfn.DAYS(EDATE(V$1,1),Log_2018[[#This Row],[Date]]),Log_2018[[#This Row],[Split_apply]])) - SUM($O392:U392)</f>
        <v>0</v>
      </c>
      <c r="W392" s="52">
        <f ca="1">Log_2018[[#This Row],[Amount]]/Log_2018[[#This Row],[Split_raw]]*MAX(0,MIN(_xlfn.DAYS(EDATE(W$1,1),Log_2018[[#This Row],[Date]]),Log_2018[[#This Row],[Split_apply]])) - SUM($O392:V392)</f>
        <v>0</v>
      </c>
      <c r="X392" s="52">
        <f ca="1">Log_2018[[#This Row],[Amount]]/Log_2018[[#This Row],[Split_raw]]*MAX(0,MIN(_xlfn.DAYS(EDATE(X$1,1),Log_2018[[#This Row],[Date]]),Log_2018[[#This Row],[Split_apply]])) - SUM($O392:W392)</f>
        <v>0</v>
      </c>
      <c r="Y392" s="52">
        <f ca="1">Log_2018[[#This Row],[Amount]]/Log_2018[[#This Row],[Split_raw]]*MAX(0,MIN(_xlfn.DAYS(EDATE(Y$1,1),Log_2018[[#This Row],[Date]]),Log_2018[[#This Row],[Split_apply]])) - SUM($O392:X392)</f>
        <v>0</v>
      </c>
      <c r="Z392" s="52">
        <f ca="1">Log_2018[[#This Row],[Amount]]/Log_2018[[#This Row],[Split_raw]]*MAX(0,MIN(_xlfn.DAYS(EDATE(Z$1,1),Log_2018[[#This Row],[Date]]),Log_2018[[#This Row],[Split_apply]])) - SUM($O392:Y392)</f>
        <v>0</v>
      </c>
      <c r="AA392" s="52">
        <f ca="1">Log_2018[[#This Row],[Amount]]/Log_2018[[#This Row],[Split_raw]]*MAX(0,MIN(_xlfn.DAYS(EDATE(AA$1,1),Log_2018[[#This Row],[Date]]),Log_2018[[#This Row],[Split_apply]])) - SUM($O392:Z392)</f>
        <v>0</v>
      </c>
      <c r="AB392" s="54">
        <f ca="1">Log_2018[[#This Row],[Amount]]-SUM(O392:AA392)</f>
        <v>0</v>
      </c>
      <c r="AC392" s="7">
        <f ca="1">MAX(0,Log_2018[[#This Row],[Split_apply]] - (EDATE(AA$1,1)-Log_2018[[#This Row],[Date]]))</f>
        <v>0</v>
      </c>
    </row>
    <row r="393" spans="1:29" hidden="1" x14ac:dyDescent="0.25">
      <c r="A393" s="115"/>
      <c r="B393" t="s">
        <v>6</v>
      </c>
      <c r="D393" s="39">
        <v>43280</v>
      </c>
      <c r="F393" t="s">
        <v>255</v>
      </c>
      <c r="G393" t="s">
        <v>25</v>
      </c>
      <c r="H393" s="3">
        <v>-7.01</v>
      </c>
      <c r="I393" s="36">
        <f>IF(Log_2018[[#This Row],[My Category]]="NONTRACKED",0,Log_2018[[#This Row],[Raw Amount]])</f>
        <v>-7.01</v>
      </c>
      <c r="J393" s="17">
        <f>ABS(Log_2018[[#This Row],[Amount]])</f>
        <v>7.01</v>
      </c>
      <c r="K393" s="66">
        <v>1</v>
      </c>
      <c r="L393" s="66">
        <f ca="1">IF(Log_2018[[#This Row],[Date]]&lt;=TODAY(), MIN(Log_2018[[#This Row],[Split_raw]], TODAY()-Log_2018[[#This Row],[Date]]+1), 0)</f>
        <v>1</v>
      </c>
      <c r="M393" t="s">
        <v>35</v>
      </c>
      <c r="N393" t="s">
        <v>158</v>
      </c>
      <c r="O393" s="50">
        <v>0</v>
      </c>
      <c r="P393" s="52">
        <f ca="1">Log_2018[[#This Row],[Amount]]/Log_2018[[#This Row],[Split_raw]]*MAX(0,MIN(_xlfn.DAYS(EDATE(P$1,1),Log_2018[[#This Row],[Date]]),Log_2018[[#This Row],[Split_apply]])) - SUM($O393:O393)</f>
        <v>0</v>
      </c>
      <c r="Q393" s="52">
        <f ca="1">Log_2018[[#This Row],[Amount]]/Log_2018[[#This Row],[Split_raw]]*MAX(0,MIN(_xlfn.DAYS(EDATE(Q$1,1),Log_2018[[#This Row],[Date]]),Log_2018[[#This Row],[Split_apply]])) - SUM($O393:P393)</f>
        <v>0</v>
      </c>
      <c r="R393" s="52">
        <f ca="1">Log_2018[[#This Row],[Amount]]/Log_2018[[#This Row],[Split_raw]]*MAX(0,MIN(_xlfn.DAYS(EDATE(R$1,1),Log_2018[[#This Row],[Date]]),Log_2018[[#This Row],[Split_apply]])) - SUM($O393:Q393)</f>
        <v>0</v>
      </c>
      <c r="S393" s="52">
        <f ca="1">Log_2018[[#This Row],[Amount]]/Log_2018[[#This Row],[Split_raw]]*MAX(0,MIN(_xlfn.DAYS(EDATE(S$1,1),Log_2018[[#This Row],[Date]]),Log_2018[[#This Row],[Split_apply]])) - SUM($O393:R393)</f>
        <v>0</v>
      </c>
      <c r="T393" s="52">
        <f ca="1">Log_2018[[#This Row],[Amount]]/Log_2018[[#This Row],[Split_raw]]*MAX(0,MIN(_xlfn.DAYS(EDATE(T$1,1),Log_2018[[#This Row],[Date]]),Log_2018[[#This Row],[Split_apply]])) - SUM($O393:S393)</f>
        <v>0</v>
      </c>
      <c r="U393" s="52">
        <f ca="1">Log_2018[[#This Row],[Amount]]/Log_2018[[#This Row],[Split_raw]]*MAX(0,MIN(_xlfn.DAYS(EDATE(U$1,1),Log_2018[[#This Row],[Date]]),Log_2018[[#This Row],[Split_apply]])) - SUM($O393:T393)</f>
        <v>-7.01</v>
      </c>
      <c r="V393" s="52">
        <f ca="1">Log_2018[[#This Row],[Amount]]/Log_2018[[#This Row],[Split_raw]]*MAX(0,MIN(_xlfn.DAYS(EDATE(V$1,1),Log_2018[[#This Row],[Date]]),Log_2018[[#This Row],[Split_apply]])) - SUM($O393:U393)</f>
        <v>0</v>
      </c>
      <c r="W393" s="52">
        <f ca="1">Log_2018[[#This Row],[Amount]]/Log_2018[[#This Row],[Split_raw]]*MAX(0,MIN(_xlfn.DAYS(EDATE(W$1,1),Log_2018[[#This Row],[Date]]),Log_2018[[#This Row],[Split_apply]])) - SUM($O393:V393)</f>
        <v>0</v>
      </c>
      <c r="X393" s="52">
        <f ca="1">Log_2018[[#This Row],[Amount]]/Log_2018[[#This Row],[Split_raw]]*MAX(0,MIN(_xlfn.DAYS(EDATE(X$1,1),Log_2018[[#This Row],[Date]]),Log_2018[[#This Row],[Split_apply]])) - SUM($O393:W393)</f>
        <v>0</v>
      </c>
      <c r="Y393" s="52">
        <f ca="1">Log_2018[[#This Row],[Amount]]/Log_2018[[#This Row],[Split_raw]]*MAX(0,MIN(_xlfn.DAYS(EDATE(Y$1,1),Log_2018[[#This Row],[Date]]),Log_2018[[#This Row],[Split_apply]])) - SUM($O393:X393)</f>
        <v>0</v>
      </c>
      <c r="Z393" s="52">
        <f ca="1">Log_2018[[#This Row],[Amount]]/Log_2018[[#This Row],[Split_raw]]*MAX(0,MIN(_xlfn.DAYS(EDATE(Z$1,1),Log_2018[[#This Row],[Date]]),Log_2018[[#This Row],[Split_apply]])) - SUM($O393:Y393)</f>
        <v>0</v>
      </c>
      <c r="AA393" s="52">
        <f ca="1">Log_2018[[#This Row],[Amount]]/Log_2018[[#This Row],[Split_raw]]*MAX(0,MIN(_xlfn.DAYS(EDATE(AA$1,1),Log_2018[[#This Row],[Date]]),Log_2018[[#This Row],[Split_apply]])) - SUM($O393:Z393)</f>
        <v>0</v>
      </c>
      <c r="AB393" s="54">
        <f ca="1">Log_2018[[#This Row],[Amount]]-SUM(O393:AA393)</f>
        <v>0</v>
      </c>
      <c r="AC393" s="7">
        <f ca="1">MAX(0,Log_2018[[#This Row],[Split_apply]] - (EDATE(AA$1,1)-Log_2018[[#This Row],[Date]]))</f>
        <v>0</v>
      </c>
    </row>
    <row r="394" spans="1:29" hidden="1" x14ac:dyDescent="0.25">
      <c r="A394" s="115"/>
      <c r="B394" t="s">
        <v>6</v>
      </c>
      <c r="D394" s="39">
        <v>43280</v>
      </c>
      <c r="F394" t="s">
        <v>302</v>
      </c>
      <c r="G394" t="s">
        <v>27</v>
      </c>
      <c r="H394" s="3">
        <v>-25</v>
      </c>
      <c r="I394" s="36">
        <f>IF(Log_2018[[#This Row],[My Category]]="NONTRACKED",0,Log_2018[[#This Row],[Raw Amount]])</f>
        <v>-25</v>
      </c>
      <c r="J394" s="17">
        <f>ABS(Log_2018[[#This Row],[Amount]])</f>
        <v>25</v>
      </c>
      <c r="K394" s="66">
        <v>1</v>
      </c>
      <c r="L394" s="66">
        <f ca="1">IF(Log_2018[[#This Row],[Date]]&lt;=TODAY(), MIN(Log_2018[[#This Row],[Split_raw]], TODAY()-Log_2018[[#This Row],[Date]]+1), 0)</f>
        <v>1</v>
      </c>
      <c r="M394" t="s">
        <v>147</v>
      </c>
      <c r="N394" t="s">
        <v>160</v>
      </c>
      <c r="O394" s="50">
        <v>0</v>
      </c>
      <c r="P394" s="52">
        <f ca="1">Log_2018[[#This Row],[Amount]]/Log_2018[[#This Row],[Split_raw]]*MAX(0,MIN(_xlfn.DAYS(EDATE(P$1,1),Log_2018[[#This Row],[Date]]),Log_2018[[#This Row],[Split_apply]])) - SUM($O394:O394)</f>
        <v>0</v>
      </c>
      <c r="Q394" s="52">
        <f ca="1">Log_2018[[#This Row],[Amount]]/Log_2018[[#This Row],[Split_raw]]*MAX(0,MIN(_xlfn.DAYS(EDATE(Q$1,1),Log_2018[[#This Row],[Date]]),Log_2018[[#This Row],[Split_apply]])) - SUM($O394:P394)</f>
        <v>0</v>
      </c>
      <c r="R394" s="52">
        <f ca="1">Log_2018[[#This Row],[Amount]]/Log_2018[[#This Row],[Split_raw]]*MAX(0,MIN(_xlfn.DAYS(EDATE(R$1,1),Log_2018[[#This Row],[Date]]),Log_2018[[#This Row],[Split_apply]])) - SUM($O394:Q394)</f>
        <v>0</v>
      </c>
      <c r="S394" s="52">
        <f ca="1">Log_2018[[#This Row],[Amount]]/Log_2018[[#This Row],[Split_raw]]*MAX(0,MIN(_xlfn.DAYS(EDATE(S$1,1),Log_2018[[#This Row],[Date]]),Log_2018[[#This Row],[Split_apply]])) - SUM($O394:R394)</f>
        <v>0</v>
      </c>
      <c r="T394" s="52">
        <f ca="1">Log_2018[[#This Row],[Amount]]/Log_2018[[#This Row],[Split_raw]]*MAX(0,MIN(_xlfn.DAYS(EDATE(T$1,1),Log_2018[[#This Row],[Date]]),Log_2018[[#This Row],[Split_apply]])) - SUM($O394:S394)</f>
        <v>0</v>
      </c>
      <c r="U394" s="52">
        <f ca="1">Log_2018[[#This Row],[Amount]]/Log_2018[[#This Row],[Split_raw]]*MAX(0,MIN(_xlfn.DAYS(EDATE(U$1,1),Log_2018[[#This Row],[Date]]),Log_2018[[#This Row],[Split_apply]])) - SUM($O394:T394)</f>
        <v>-25</v>
      </c>
      <c r="V394" s="52">
        <f ca="1">Log_2018[[#This Row],[Amount]]/Log_2018[[#This Row],[Split_raw]]*MAX(0,MIN(_xlfn.DAYS(EDATE(V$1,1),Log_2018[[#This Row],[Date]]),Log_2018[[#This Row],[Split_apply]])) - SUM($O394:U394)</f>
        <v>0</v>
      </c>
      <c r="W394" s="52">
        <f ca="1">Log_2018[[#This Row],[Amount]]/Log_2018[[#This Row],[Split_raw]]*MAX(0,MIN(_xlfn.DAYS(EDATE(W$1,1),Log_2018[[#This Row],[Date]]),Log_2018[[#This Row],[Split_apply]])) - SUM($O394:V394)</f>
        <v>0</v>
      </c>
      <c r="X394" s="52">
        <f ca="1">Log_2018[[#This Row],[Amount]]/Log_2018[[#This Row],[Split_raw]]*MAX(0,MIN(_xlfn.DAYS(EDATE(X$1,1),Log_2018[[#This Row],[Date]]),Log_2018[[#This Row],[Split_apply]])) - SUM($O394:W394)</f>
        <v>0</v>
      </c>
      <c r="Y394" s="52">
        <f ca="1">Log_2018[[#This Row],[Amount]]/Log_2018[[#This Row],[Split_raw]]*MAX(0,MIN(_xlfn.DAYS(EDATE(Y$1,1),Log_2018[[#This Row],[Date]]),Log_2018[[#This Row],[Split_apply]])) - SUM($O394:X394)</f>
        <v>0</v>
      </c>
      <c r="Z394" s="52">
        <f ca="1">Log_2018[[#This Row],[Amount]]/Log_2018[[#This Row],[Split_raw]]*MAX(0,MIN(_xlfn.DAYS(EDATE(Z$1,1),Log_2018[[#This Row],[Date]]),Log_2018[[#This Row],[Split_apply]])) - SUM($O394:Y394)</f>
        <v>0</v>
      </c>
      <c r="AA394" s="52">
        <f ca="1">Log_2018[[#This Row],[Amount]]/Log_2018[[#This Row],[Split_raw]]*MAX(0,MIN(_xlfn.DAYS(EDATE(AA$1,1),Log_2018[[#This Row],[Date]]),Log_2018[[#This Row],[Split_apply]])) - SUM($O394:Z394)</f>
        <v>0</v>
      </c>
      <c r="AB394" s="54">
        <f ca="1">Log_2018[[#This Row],[Amount]]-SUM(O394:AA394)</f>
        <v>0</v>
      </c>
      <c r="AC394" s="7">
        <f ca="1">MAX(0,Log_2018[[#This Row],[Split_apply]] - (EDATE(AA$1,1)-Log_2018[[#This Row],[Date]]))</f>
        <v>0</v>
      </c>
    </row>
    <row r="395" spans="1:29" hidden="1" x14ac:dyDescent="0.25">
      <c r="A395" s="115"/>
      <c r="B395" t="s">
        <v>6</v>
      </c>
      <c r="D395" s="39">
        <v>43279</v>
      </c>
      <c r="F395" t="s">
        <v>16</v>
      </c>
      <c r="G395" t="s">
        <v>17</v>
      </c>
      <c r="H395" s="3">
        <f>--0.12</f>
        <v>0.12</v>
      </c>
      <c r="I395" s="36">
        <f>IF(Log_2018[[#This Row],[My Category]]="NONTRACKED",0,Log_2018[[#This Row],[Raw Amount]])</f>
        <v>0.12</v>
      </c>
      <c r="J395" s="17">
        <f>ABS(Log_2018[[#This Row],[Amount]])</f>
        <v>0.12</v>
      </c>
      <c r="K395" s="66">
        <v>1</v>
      </c>
      <c r="L395" s="66">
        <f ca="1">IF(Log_2018[[#This Row],[Date]]&lt;=TODAY(), MIN(Log_2018[[#This Row],[Split_raw]], TODAY()-Log_2018[[#This Row],[Date]]+1), 0)</f>
        <v>1</v>
      </c>
      <c r="M395" t="s">
        <v>144</v>
      </c>
      <c r="N395" t="s">
        <v>160</v>
      </c>
      <c r="O395" s="50">
        <v>0</v>
      </c>
      <c r="P395" s="52">
        <f ca="1">Log_2018[[#This Row],[Amount]]/Log_2018[[#This Row],[Split_raw]]*MAX(0,MIN(_xlfn.DAYS(EDATE(P$1,1),Log_2018[[#This Row],[Date]]),Log_2018[[#This Row],[Split_apply]])) - SUM($O395:O395)</f>
        <v>0</v>
      </c>
      <c r="Q395" s="52">
        <f ca="1">Log_2018[[#This Row],[Amount]]/Log_2018[[#This Row],[Split_raw]]*MAX(0,MIN(_xlfn.DAYS(EDATE(Q$1,1),Log_2018[[#This Row],[Date]]),Log_2018[[#This Row],[Split_apply]])) - SUM($O395:P395)</f>
        <v>0</v>
      </c>
      <c r="R395" s="52">
        <f ca="1">Log_2018[[#This Row],[Amount]]/Log_2018[[#This Row],[Split_raw]]*MAX(0,MIN(_xlfn.DAYS(EDATE(R$1,1),Log_2018[[#This Row],[Date]]),Log_2018[[#This Row],[Split_apply]])) - SUM($O395:Q395)</f>
        <v>0</v>
      </c>
      <c r="S395" s="52">
        <f ca="1">Log_2018[[#This Row],[Amount]]/Log_2018[[#This Row],[Split_raw]]*MAX(0,MIN(_xlfn.DAYS(EDATE(S$1,1),Log_2018[[#This Row],[Date]]),Log_2018[[#This Row],[Split_apply]])) - SUM($O395:R395)</f>
        <v>0</v>
      </c>
      <c r="T395" s="52">
        <f ca="1">Log_2018[[#This Row],[Amount]]/Log_2018[[#This Row],[Split_raw]]*MAX(0,MIN(_xlfn.DAYS(EDATE(T$1,1),Log_2018[[#This Row],[Date]]),Log_2018[[#This Row],[Split_apply]])) - SUM($O395:S395)</f>
        <v>0</v>
      </c>
      <c r="U395" s="52">
        <f ca="1">Log_2018[[#This Row],[Amount]]/Log_2018[[#This Row],[Split_raw]]*MAX(0,MIN(_xlfn.DAYS(EDATE(U$1,1),Log_2018[[#This Row],[Date]]),Log_2018[[#This Row],[Split_apply]])) - SUM($O395:T395)</f>
        <v>0.12</v>
      </c>
      <c r="V395" s="52">
        <f ca="1">Log_2018[[#This Row],[Amount]]/Log_2018[[#This Row],[Split_raw]]*MAX(0,MIN(_xlfn.DAYS(EDATE(V$1,1),Log_2018[[#This Row],[Date]]),Log_2018[[#This Row],[Split_apply]])) - SUM($O395:U395)</f>
        <v>0</v>
      </c>
      <c r="W395" s="52">
        <f ca="1">Log_2018[[#This Row],[Amount]]/Log_2018[[#This Row],[Split_raw]]*MAX(0,MIN(_xlfn.DAYS(EDATE(W$1,1),Log_2018[[#This Row],[Date]]),Log_2018[[#This Row],[Split_apply]])) - SUM($O395:V395)</f>
        <v>0</v>
      </c>
      <c r="X395" s="52">
        <f ca="1">Log_2018[[#This Row],[Amount]]/Log_2018[[#This Row],[Split_raw]]*MAX(0,MIN(_xlfn.DAYS(EDATE(X$1,1),Log_2018[[#This Row],[Date]]),Log_2018[[#This Row],[Split_apply]])) - SUM($O395:W395)</f>
        <v>0</v>
      </c>
      <c r="Y395" s="52">
        <f ca="1">Log_2018[[#This Row],[Amount]]/Log_2018[[#This Row],[Split_raw]]*MAX(0,MIN(_xlfn.DAYS(EDATE(Y$1,1),Log_2018[[#This Row],[Date]]),Log_2018[[#This Row],[Split_apply]])) - SUM($O395:X395)</f>
        <v>0</v>
      </c>
      <c r="Z395" s="52">
        <f ca="1">Log_2018[[#This Row],[Amount]]/Log_2018[[#This Row],[Split_raw]]*MAX(0,MIN(_xlfn.DAYS(EDATE(Z$1,1),Log_2018[[#This Row],[Date]]),Log_2018[[#This Row],[Split_apply]])) - SUM($O395:Y395)</f>
        <v>0</v>
      </c>
      <c r="AA395" s="52">
        <f ca="1">Log_2018[[#This Row],[Amount]]/Log_2018[[#This Row],[Split_raw]]*MAX(0,MIN(_xlfn.DAYS(EDATE(AA$1,1),Log_2018[[#This Row],[Date]]),Log_2018[[#This Row],[Split_apply]])) - SUM($O395:Z395)</f>
        <v>0</v>
      </c>
      <c r="AB395" s="54">
        <f ca="1">Log_2018[[#This Row],[Amount]]-SUM(O395:AA395)</f>
        <v>0</v>
      </c>
      <c r="AC395" s="7">
        <f ca="1">MAX(0,Log_2018[[#This Row],[Split_apply]] - (EDATE(AA$1,1)-Log_2018[[#This Row],[Date]]))</f>
        <v>0</v>
      </c>
    </row>
    <row r="396" spans="1:29" hidden="1" x14ac:dyDescent="0.25">
      <c r="A396" s="115"/>
      <c r="B396" t="s">
        <v>6</v>
      </c>
      <c r="D396" s="39">
        <v>43279</v>
      </c>
      <c r="F396" t="s">
        <v>306</v>
      </c>
      <c r="G396" t="s">
        <v>25</v>
      </c>
      <c r="H396" s="3">
        <v>-12.83</v>
      </c>
      <c r="I396" s="36">
        <f>IF(Log_2018[[#This Row],[My Category]]="NONTRACKED",0,Log_2018[[#This Row],[Raw Amount]])</f>
        <v>-12.83</v>
      </c>
      <c r="J396" s="17">
        <f>ABS(Log_2018[[#This Row],[Amount]])</f>
        <v>12.83</v>
      </c>
      <c r="K396" s="66">
        <v>1</v>
      </c>
      <c r="L396" s="66">
        <f ca="1">IF(Log_2018[[#This Row],[Date]]&lt;=TODAY(), MIN(Log_2018[[#This Row],[Split_raw]], TODAY()-Log_2018[[#This Row],[Date]]+1), 0)</f>
        <v>1</v>
      </c>
      <c r="M396" t="s">
        <v>35</v>
      </c>
      <c r="N396" t="s">
        <v>158</v>
      </c>
      <c r="O396" s="50">
        <v>0</v>
      </c>
      <c r="P396" s="52">
        <f ca="1">Log_2018[[#This Row],[Amount]]/Log_2018[[#This Row],[Split_raw]]*MAX(0,MIN(_xlfn.DAYS(EDATE(P$1,1),Log_2018[[#This Row],[Date]]),Log_2018[[#This Row],[Split_apply]])) - SUM($O396:O396)</f>
        <v>0</v>
      </c>
      <c r="Q396" s="52">
        <f ca="1">Log_2018[[#This Row],[Amount]]/Log_2018[[#This Row],[Split_raw]]*MAX(0,MIN(_xlfn.DAYS(EDATE(Q$1,1),Log_2018[[#This Row],[Date]]),Log_2018[[#This Row],[Split_apply]])) - SUM($O396:P396)</f>
        <v>0</v>
      </c>
      <c r="R396" s="52">
        <f ca="1">Log_2018[[#This Row],[Amount]]/Log_2018[[#This Row],[Split_raw]]*MAX(0,MIN(_xlfn.DAYS(EDATE(R$1,1),Log_2018[[#This Row],[Date]]),Log_2018[[#This Row],[Split_apply]])) - SUM($O396:Q396)</f>
        <v>0</v>
      </c>
      <c r="S396" s="52">
        <f ca="1">Log_2018[[#This Row],[Amount]]/Log_2018[[#This Row],[Split_raw]]*MAX(0,MIN(_xlfn.DAYS(EDATE(S$1,1),Log_2018[[#This Row],[Date]]),Log_2018[[#This Row],[Split_apply]])) - SUM($O396:R396)</f>
        <v>0</v>
      </c>
      <c r="T396" s="52">
        <f ca="1">Log_2018[[#This Row],[Amount]]/Log_2018[[#This Row],[Split_raw]]*MAX(0,MIN(_xlfn.DAYS(EDATE(T$1,1),Log_2018[[#This Row],[Date]]),Log_2018[[#This Row],[Split_apply]])) - SUM($O396:S396)</f>
        <v>0</v>
      </c>
      <c r="U396" s="52">
        <f ca="1">Log_2018[[#This Row],[Amount]]/Log_2018[[#This Row],[Split_raw]]*MAX(0,MIN(_xlfn.DAYS(EDATE(U$1,1),Log_2018[[#This Row],[Date]]),Log_2018[[#This Row],[Split_apply]])) - SUM($O396:T396)</f>
        <v>-12.83</v>
      </c>
      <c r="V396" s="52">
        <f ca="1">Log_2018[[#This Row],[Amount]]/Log_2018[[#This Row],[Split_raw]]*MAX(0,MIN(_xlfn.DAYS(EDATE(V$1,1),Log_2018[[#This Row],[Date]]),Log_2018[[#This Row],[Split_apply]])) - SUM($O396:U396)</f>
        <v>0</v>
      </c>
      <c r="W396" s="52">
        <f ca="1">Log_2018[[#This Row],[Amount]]/Log_2018[[#This Row],[Split_raw]]*MAX(0,MIN(_xlfn.DAYS(EDATE(W$1,1),Log_2018[[#This Row],[Date]]),Log_2018[[#This Row],[Split_apply]])) - SUM($O396:V396)</f>
        <v>0</v>
      </c>
      <c r="X396" s="52">
        <f ca="1">Log_2018[[#This Row],[Amount]]/Log_2018[[#This Row],[Split_raw]]*MAX(0,MIN(_xlfn.DAYS(EDATE(X$1,1),Log_2018[[#This Row],[Date]]),Log_2018[[#This Row],[Split_apply]])) - SUM($O396:W396)</f>
        <v>0</v>
      </c>
      <c r="Y396" s="52">
        <f ca="1">Log_2018[[#This Row],[Amount]]/Log_2018[[#This Row],[Split_raw]]*MAX(0,MIN(_xlfn.DAYS(EDATE(Y$1,1),Log_2018[[#This Row],[Date]]),Log_2018[[#This Row],[Split_apply]])) - SUM($O396:X396)</f>
        <v>0</v>
      </c>
      <c r="Z396" s="52">
        <f ca="1">Log_2018[[#This Row],[Amount]]/Log_2018[[#This Row],[Split_raw]]*MAX(0,MIN(_xlfn.DAYS(EDATE(Z$1,1),Log_2018[[#This Row],[Date]]),Log_2018[[#This Row],[Split_apply]])) - SUM($O396:Y396)</f>
        <v>0</v>
      </c>
      <c r="AA396" s="52">
        <f ca="1">Log_2018[[#This Row],[Amount]]/Log_2018[[#This Row],[Split_raw]]*MAX(0,MIN(_xlfn.DAYS(EDATE(AA$1,1),Log_2018[[#This Row],[Date]]),Log_2018[[#This Row],[Split_apply]])) - SUM($O396:Z396)</f>
        <v>0</v>
      </c>
      <c r="AB396" s="54">
        <f ca="1">Log_2018[[#This Row],[Amount]]-SUM(O396:AA396)</f>
        <v>0</v>
      </c>
      <c r="AC396" s="7">
        <f ca="1">MAX(0,Log_2018[[#This Row],[Split_apply]] - (EDATE(AA$1,1)-Log_2018[[#This Row],[Date]]))</f>
        <v>0</v>
      </c>
    </row>
    <row r="397" spans="1:29" hidden="1" x14ac:dyDescent="0.25">
      <c r="A397" s="115"/>
      <c r="B397" t="s">
        <v>6</v>
      </c>
      <c r="D397" s="39">
        <v>43279</v>
      </c>
      <c r="E397" t="s">
        <v>251</v>
      </c>
      <c r="F397" t="s">
        <v>246</v>
      </c>
      <c r="G397" t="s">
        <v>143</v>
      </c>
      <c r="H397" s="3">
        <v>-8.65</v>
      </c>
      <c r="I397" s="36">
        <f>IF(Log_2018[[#This Row],[My Category]]="NONTRACKED",0,Log_2018[[#This Row],[Raw Amount]])</f>
        <v>-8.65</v>
      </c>
      <c r="J397" s="17">
        <f>ABS(Log_2018[[#This Row],[Amount]])</f>
        <v>8.65</v>
      </c>
      <c r="K397" s="66">
        <v>30</v>
      </c>
      <c r="L397" s="66">
        <f ca="1">IF(Log_2018[[#This Row],[Date]]&lt;=TODAY(), MIN(Log_2018[[#This Row],[Split_raw]], TODAY()-Log_2018[[#This Row],[Date]]+1), 0)</f>
        <v>30</v>
      </c>
      <c r="M397" t="s">
        <v>53</v>
      </c>
      <c r="N397" t="s">
        <v>160</v>
      </c>
      <c r="O397" s="50">
        <v>0</v>
      </c>
      <c r="P397" s="52">
        <f ca="1">Log_2018[[#This Row],[Amount]]/Log_2018[[#This Row],[Split_raw]]*MAX(0,MIN(_xlfn.DAYS(EDATE(P$1,1),Log_2018[[#This Row],[Date]]),Log_2018[[#This Row],[Split_apply]])) - SUM($O397:O397)</f>
        <v>0</v>
      </c>
      <c r="Q397" s="52">
        <f ca="1">Log_2018[[#This Row],[Amount]]/Log_2018[[#This Row],[Split_raw]]*MAX(0,MIN(_xlfn.DAYS(EDATE(Q$1,1),Log_2018[[#This Row],[Date]]),Log_2018[[#This Row],[Split_apply]])) - SUM($O397:P397)</f>
        <v>0</v>
      </c>
      <c r="R397" s="52">
        <f ca="1">Log_2018[[#This Row],[Amount]]/Log_2018[[#This Row],[Split_raw]]*MAX(0,MIN(_xlfn.DAYS(EDATE(R$1,1),Log_2018[[#This Row],[Date]]),Log_2018[[#This Row],[Split_apply]])) - SUM($O397:Q397)</f>
        <v>0</v>
      </c>
      <c r="S397" s="52">
        <f ca="1">Log_2018[[#This Row],[Amount]]/Log_2018[[#This Row],[Split_raw]]*MAX(0,MIN(_xlfn.DAYS(EDATE(S$1,1),Log_2018[[#This Row],[Date]]),Log_2018[[#This Row],[Split_apply]])) - SUM($O397:R397)</f>
        <v>0</v>
      </c>
      <c r="T397" s="52">
        <f ca="1">Log_2018[[#This Row],[Amount]]/Log_2018[[#This Row],[Split_raw]]*MAX(0,MIN(_xlfn.DAYS(EDATE(T$1,1),Log_2018[[#This Row],[Date]]),Log_2018[[#This Row],[Split_apply]])) - SUM($O397:S397)</f>
        <v>0</v>
      </c>
      <c r="U397" s="52">
        <f ca="1">Log_2018[[#This Row],[Amount]]/Log_2018[[#This Row],[Split_raw]]*MAX(0,MIN(_xlfn.DAYS(EDATE(U$1,1),Log_2018[[#This Row],[Date]]),Log_2018[[#This Row],[Split_apply]])) - SUM($O397:T397)</f>
        <v>-0.86499999999999999</v>
      </c>
      <c r="V397" s="52">
        <f ca="1">Log_2018[[#This Row],[Amount]]/Log_2018[[#This Row],[Split_raw]]*MAX(0,MIN(_xlfn.DAYS(EDATE(V$1,1),Log_2018[[#This Row],[Date]]),Log_2018[[#This Row],[Split_apply]])) - SUM($O397:U397)</f>
        <v>-7.7850000000000001</v>
      </c>
      <c r="W397" s="52">
        <f ca="1">Log_2018[[#This Row],[Amount]]/Log_2018[[#This Row],[Split_raw]]*MAX(0,MIN(_xlfn.DAYS(EDATE(W$1,1),Log_2018[[#This Row],[Date]]),Log_2018[[#This Row],[Split_apply]])) - SUM($O397:V397)</f>
        <v>0</v>
      </c>
      <c r="X397" s="52">
        <f ca="1">Log_2018[[#This Row],[Amount]]/Log_2018[[#This Row],[Split_raw]]*MAX(0,MIN(_xlfn.DAYS(EDATE(X$1,1),Log_2018[[#This Row],[Date]]),Log_2018[[#This Row],[Split_apply]])) - SUM($O397:W397)</f>
        <v>0</v>
      </c>
      <c r="Y397" s="52">
        <f ca="1">Log_2018[[#This Row],[Amount]]/Log_2018[[#This Row],[Split_raw]]*MAX(0,MIN(_xlfn.DAYS(EDATE(Y$1,1),Log_2018[[#This Row],[Date]]),Log_2018[[#This Row],[Split_apply]])) - SUM($O397:X397)</f>
        <v>0</v>
      </c>
      <c r="Z397" s="52">
        <f ca="1">Log_2018[[#This Row],[Amount]]/Log_2018[[#This Row],[Split_raw]]*MAX(0,MIN(_xlfn.DAYS(EDATE(Z$1,1),Log_2018[[#This Row],[Date]]),Log_2018[[#This Row],[Split_apply]])) - SUM($O397:Y397)</f>
        <v>0</v>
      </c>
      <c r="AA397" s="52">
        <f ca="1">Log_2018[[#This Row],[Amount]]/Log_2018[[#This Row],[Split_raw]]*MAX(0,MIN(_xlfn.DAYS(EDATE(AA$1,1),Log_2018[[#This Row],[Date]]),Log_2018[[#This Row],[Split_apply]])) - SUM($O397:Z397)</f>
        <v>0</v>
      </c>
      <c r="AB397" s="54">
        <f ca="1">Log_2018[[#This Row],[Amount]]-SUM(O397:AA397)</f>
        <v>0</v>
      </c>
      <c r="AC397" s="7">
        <f ca="1">MAX(0,Log_2018[[#This Row],[Split_apply]] - (EDATE(AA$1,1)-Log_2018[[#This Row],[Date]]))</f>
        <v>0</v>
      </c>
    </row>
    <row r="398" spans="1:29" hidden="1" x14ac:dyDescent="0.25">
      <c r="A398" s="115"/>
      <c r="B398" t="s">
        <v>6</v>
      </c>
      <c r="D398" s="39">
        <v>43278</v>
      </c>
      <c r="F398" t="s">
        <v>255</v>
      </c>
      <c r="G398" t="s">
        <v>25</v>
      </c>
      <c r="H398" s="3">
        <v>-6.69</v>
      </c>
      <c r="I398" s="36">
        <f>IF(Log_2018[[#This Row],[My Category]]="NONTRACKED",0,Log_2018[[#This Row],[Raw Amount]])</f>
        <v>-6.69</v>
      </c>
      <c r="J398" s="17">
        <f>ABS(Log_2018[[#This Row],[Amount]])</f>
        <v>6.69</v>
      </c>
      <c r="K398" s="66">
        <v>1</v>
      </c>
      <c r="L398" s="66">
        <f ca="1">IF(Log_2018[[#This Row],[Date]]&lt;=TODAY(), MIN(Log_2018[[#This Row],[Split_raw]], TODAY()-Log_2018[[#This Row],[Date]]+1), 0)</f>
        <v>1</v>
      </c>
      <c r="M398" t="s">
        <v>35</v>
      </c>
      <c r="N398" t="s">
        <v>158</v>
      </c>
      <c r="O398" s="50">
        <v>0</v>
      </c>
      <c r="P398" s="52">
        <f ca="1">Log_2018[[#This Row],[Amount]]/Log_2018[[#This Row],[Split_raw]]*MAX(0,MIN(_xlfn.DAYS(EDATE(P$1,1),Log_2018[[#This Row],[Date]]),Log_2018[[#This Row],[Split_apply]])) - SUM($O398:O398)</f>
        <v>0</v>
      </c>
      <c r="Q398" s="52">
        <f ca="1">Log_2018[[#This Row],[Amount]]/Log_2018[[#This Row],[Split_raw]]*MAX(0,MIN(_xlfn.DAYS(EDATE(Q$1,1),Log_2018[[#This Row],[Date]]),Log_2018[[#This Row],[Split_apply]])) - SUM($O398:P398)</f>
        <v>0</v>
      </c>
      <c r="R398" s="52">
        <f ca="1">Log_2018[[#This Row],[Amount]]/Log_2018[[#This Row],[Split_raw]]*MAX(0,MIN(_xlfn.DAYS(EDATE(R$1,1),Log_2018[[#This Row],[Date]]),Log_2018[[#This Row],[Split_apply]])) - SUM($O398:Q398)</f>
        <v>0</v>
      </c>
      <c r="S398" s="52">
        <f ca="1">Log_2018[[#This Row],[Amount]]/Log_2018[[#This Row],[Split_raw]]*MAX(0,MIN(_xlfn.DAYS(EDATE(S$1,1),Log_2018[[#This Row],[Date]]),Log_2018[[#This Row],[Split_apply]])) - SUM($O398:R398)</f>
        <v>0</v>
      </c>
      <c r="T398" s="52">
        <f ca="1">Log_2018[[#This Row],[Amount]]/Log_2018[[#This Row],[Split_raw]]*MAX(0,MIN(_xlfn.DAYS(EDATE(T$1,1),Log_2018[[#This Row],[Date]]),Log_2018[[#This Row],[Split_apply]])) - SUM($O398:S398)</f>
        <v>0</v>
      </c>
      <c r="U398" s="52">
        <f ca="1">Log_2018[[#This Row],[Amount]]/Log_2018[[#This Row],[Split_raw]]*MAX(0,MIN(_xlfn.DAYS(EDATE(U$1,1),Log_2018[[#This Row],[Date]]),Log_2018[[#This Row],[Split_apply]])) - SUM($O398:T398)</f>
        <v>-6.69</v>
      </c>
      <c r="V398" s="52">
        <f ca="1">Log_2018[[#This Row],[Amount]]/Log_2018[[#This Row],[Split_raw]]*MAX(0,MIN(_xlfn.DAYS(EDATE(V$1,1),Log_2018[[#This Row],[Date]]),Log_2018[[#This Row],[Split_apply]])) - SUM($O398:U398)</f>
        <v>0</v>
      </c>
      <c r="W398" s="52">
        <f ca="1">Log_2018[[#This Row],[Amount]]/Log_2018[[#This Row],[Split_raw]]*MAX(0,MIN(_xlfn.DAYS(EDATE(W$1,1),Log_2018[[#This Row],[Date]]),Log_2018[[#This Row],[Split_apply]])) - SUM($O398:V398)</f>
        <v>0</v>
      </c>
      <c r="X398" s="52">
        <f ca="1">Log_2018[[#This Row],[Amount]]/Log_2018[[#This Row],[Split_raw]]*MAX(0,MIN(_xlfn.DAYS(EDATE(X$1,1),Log_2018[[#This Row],[Date]]),Log_2018[[#This Row],[Split_apply]])) - SUM($O398:W398)</f>
        <v>0</v>
      </c>
      <c r="Y398" s="52">
        <f ca="1">Log_2018[[#This Row],[Amount]]/Log_2018[[#This Row],[Split_raw]]*MAX(0,MIN(_xlfn.DAYS(EDATE(Y$1,1),Log_2018[[#This Row],[Date]]),Log_2018[[#This Row],[Split_apply]])) - SUM($O398:X398)</f>
        <v>0</v>
      </c>
      <c r="Z398" s="52">
        <f ca="1">Log_2018[[#This Row],[Amount]]/Log_2018[[#This Row],[Split_raw]]*MAX(0,MIN(_xlfn.DAYS(EDATE(Z$1,1),Log_2018[[#This Row],[Date]]),Log_2018[[#This Row],[Split_apply]])) - SUM($O398:Y398)</f>
        <v>0</v>
      </c>
      <c r="AA398" s="52">
        <f ca="1">Log_2018[[#This Row],[Amount]]/Log_2018[[#This Row],[Split_raw]]*MAX(0,MIN(_xlfn.DAYS(EDATE(AA$1,1),Log_2018[[#This Row],[Date]]),Log_2018[[#This Row],[Split_apply]])) - SUM($O398:Z398)</f>
        <v>0</v>
      </c>
      <c r="AB398" s="54">
        <f ca="1">Log_2018[[#This Row],[Amount]]-SUM(O398:AA398)</f>
        <v>0</v>
      </c>
      <c r="AC398" s="7">
        <f ca="1">MAX(0,Log_2018[[#This Row],[Split_apply]] - (EDATE(AA$1,1)-Log_2018[[#This Row],[Date]]))</f>
        <v>0</v>
      </c>
    </row>
    <row r="399" spans="1:29" hidden="1" x14ac:dyDescent="0.25">
      <c r="A399" s="115"/>
      <c r="B399" t="s">
        <v>6</v>
      </c>
      <c r="D399" s="39">
        <v>43278</v>
      </c>
      <c r="F399" t="s">
        <v>303</v>
      </c>
      <c r="G399" t="s">
        <v>27</v>
      </c>
      <c r="H399" s="3">
        <v>-12.32</v>
      </c>
      <c r="I399" s="36">
        <f>IF(Log_2018[[#This Row],[My Category]]="NONTRACKED",0,Log_2018[[#This Row],[Raw Amount]])</f>
        <v>-12.32</v>
      </c>
      <c r="J399" s="17">
        <f>ABS(Log_2018[[#This Row],[Amount]])</f>
        <v>12.32</v>
      </c>
      <c r="K399" s="66">
        <v>1</v>
      </c>
      <c r="L399" s="66">
        <f ca="1">IF(Log_2018[[#This Row],[Date]]&lt;=TODAY(), MIN(Log_2018[[#This Row],[Split_raw]], TODAY()-Log_2018[[#This Row],[Date]]+1), 0)</f>
        <v>1</v>
      </c>
      <c r="M399" t="s">
        <v>40</v>
      </c>
      <c r="N399" t="s">
        <v>160</v>
      </c>
      <c r="O399" s="50">
        <v>0</v>
      </c>
      <c r="P399" s="52">
        <f ca="1">Log_2018[[#This Row],[Amount]]/Log_2018[[#This Row],[Split_raw]]*MAX(0,MIN(_xlfn.DAYS(EDATE(P$1,1),Log_2018[[#This Row],[Date]]),Log_2018[[#This Row],[Split_apply]])) - SUM($O399:O399)</f>
        <v>0</v>
      </c>
      <c r="Q399" s="52">
        <f ca="1">Log_2018[[#This Row],[Amount]]/Log_2018[[#This Row],[Split_raw]]*MAX(0,MIN(_xlfn.DAYS(EDATE(Q$1,1),Log_2018[[#This Row],[Date]]),Log_2018[[#This Row],[Split_apply]])) - SUM($O399:P399)</f>
        <v>0</v>
      </c>
      <c r="R399" s="52">
        <f ca="1">Log_2018[[#This Row],[Amount]]/Log_2018[[#This Row],[Split_raw]]*MAX(0,MIN(_xlfn.DAYS(EDATE(R$1,1),Log_2018[[#This Row],[Date]]),Log_2018[[#This Row],[Split_apply]])) - SUM($O399:Q399)</f>
        <v>0</v>
      </c>
      <c r="S399" s="52">
        <f ca="1">Log_2018[[#This Row],[Amount]]/Log_2018[[#This Row],[Split_raw]]*MAX(0,MIN(_xlfn.DAYS(EDATE(S$1,1),Log_2018[[#This Row],[Date]]),Log_2018[[#This Row],[Split_apply]])) - SUM($O399:R399)</f>
        <v>0</v>
      </c>
      <c r="T399" s="52">
        <f ca="1">Log_2018[[#This Row],[Amount]]/Log_2018[[#This Row],[Split_raw]]*MAX(0,MIN(_xlfn.DAYS(EDATE(T$1,1),Log_2018[[#This Row],[Date]]),Log_2018[[#This Row],[Split_apply]])) - SUM($O399:S399)</f>
        <v>0</v>
      </c>
      <c r="U399" s="52">
        <f ca="1">Log_2018[[#This Row],[Amount]]/Log_2018[[#This Row],[Split_raw]]*MAX(0,MIN(_xlfn.DAYS(EDATE(U$1,1),Log_2018[[#This Row],[Date]]),Log_2018[[#This Row],[Split_apply]])) - SUM($O399:T399)</f>
        <v>-12.32</v>
      </c>
      <c r="V399" s="52">
        <f ca="1">Log_2018[[#This Row],[Amount]]/Log_2018[[#This Row],[Split_raw]]*MAX(0,MIN(_xlfn.DAYS(EDATE(V$1,1),Log_2018[[#This Row],[Date]]),Log_2018[[#This Row],[Split_apply]])) - SUM($O399:U399)</f>
        <v>0</v>
      </c>
      <c r="W399" s="52">
        <f ca="1">Log_2018[[#This Row],[Amount]]/Log_2018[[#This Row],[Split_raw]]*MAX(0,MIN(_xlfn.DAYS(EDATE(W$1,1),Log_2018[[#This Row],[Date]]),Log_2018[[#This Row],[Split_apply]])) - SUM($O399:V399)</f>
        <v>0</v>
      </c>
      <c r="X399" s="52">
        <f ca="1">Log_2018[[#This Row],[Amount]]/Log_2018[[#This Row],[Split_raw]]*MAX(0,MIN(_xlfn.DAYS(EDATE(X$1,1),Log_2018[[#This Row],[Date]]),Log_2018[[#This Row],[Split_apply]])) - SUM($O399:W399)</f>
        <v>0</v>
      </c>
      <c r="Y399" s="52">
        <f ca="1">Log_2018[[#This Row],[Amount]]/Log_2018[[#This Row],[Split_raw]]*MAX(0,MIN(_xlfn.DAYS(EDATE(Y$1,1),Log_2018[[#This Row],[Date]]),Log_2018[[#This Row],[Split_apply]])) - SUM($O399:X399)</f>
        <v>0</v>
      </c>
      <c r="Z399" s="52">
        <f ca="1">Log_2018[[#This Row],[Amount]]/Log_2018[[#This Row],[Split_raw]]*MAX(0,MIN(_xlfn.DAYS(EDATE(Z$1,1),Log_2018[[#This Row],[Date]]),Log_2018[[#This Row],[Split_apply]])) - SUM($O399:Y399)</f>
        <v>0</v>
      </c>
      <c r="AA399" s="52">
        <f ca="1">Log_2018[[#This Row],[Amount]]/Log_2018[[#This Row],[Split_raw]]*MAX(0,MIN(_xlfn.DAYS(EDATE(AA$1,1),Log_2018[[#This Row],[Date]]),Log_2018[[#This Row],[Split_apply]])) - SUM($O399:Z399)</f>
        <v>0</v>
      </c>
      <c r="AB399" s="54">
        <f ca="1">Log_2018[[#This Row],[Amount]]-SUM(O399:AA399)</f>
        <v>0</v>
      </c>
      <c r="AC399" s="7">
        <f ca="1">MAX(0,Log_2018[[#This Row],[Split_apply]] - (EDATE(AA$1,1)-Log_2018[[#This Row],[Date]]))</f>
        <v>0</v>
      </c>
    </row>
    <row r="400" spans="1:29" hidden="1" x14ac:dyDescent="0.25">
      <c r="A400" s="115"/>
      <c r="B400" t="s">
        <v>6</v>
      </c>
      <c r="D400" s="39">
        <v>43277</v>
      </c>
      <c r="F400" t="s">
        <v>59</v>
      </c>
      <c r="G400" t="s">
        <v>25</v>
      </c>
      <c r="H400" s="3">
        <v>-6.81</v>
      </c>
      <c r="I400" s="36">
        <f>IF(Log_2018[[#This Row],[My Category]]="NONTRACKED",0,Log_2018[[#This Row],[Raw Amount]])</f>
        <v>-6.81</v>
      </c>
      <c r="J400" s="17">
        <f>ABS(Log_2018[[#This Row],[Amount]])</f>
        <v>6.81</v>
      </c>
      <c r="K400" s="66">
        <v>1</v>
      </c>
      <c r="L400" s="66">
        <f ca="1">IF(Log_2018[[#This Row],[Date]]&lt;=TODAY(), MIN(Log_2018[[#This Row],[Split_raw]], TODAY()-Log_2018[[#This Row],[Date]]+1), 0)</f>
        <v>1</v>
      </c>
      <c r="M400" t="s">
        <v>35</v>
      </c>
      <c r="N400" t="s">
        <v>158</v>
      </c>
      <c r="O400" s="50">
        <v>0</v>
      </c>
      <c r="P400" s="52">
        <f ca="1">Log_2018[[#This Row],[Amount]]/Log_2018[[#This Row],[Split_raw]]*MAX(0,MIN(_xlfn.DAYS(EDATE(P$1,1),Log_2018[[#This Row],[Date]]),Log_2018[[#This Row],[Split_apply]])) - SUM($O400:O400)</f>
        <v>0</v>
      </c>
      <c r="Q400" s="52">
        <f ca="1">Log_2018[[#This Row],[Amount]]/Log_2018[[#This Row],[Split_raw]]*MAX(0,MIN(_xlfn.DAYS(EDATE(Q$1,1),Log_2018[[#This Row],[Date]]),Log_2018[[#This Row],[Split_apply]])) - SUM($O400:P400)</f>
        <v>0</v>
      </c>
      <c r="R400" s="52">
        <f ca="1">Log_2018[[#This Row],[Amount]]/Log_2018[[#This Row],[Split_raw]]*MAX(0,MIN(_xlfn.DAYS(EDATE(R$1,1),Log_2018[[#This Row],[Date]]),Log_2018[[#This Row],[Split_apply]])) - SUM($O400:Q400)</f>
        <v>0</v>
      </c>
      <c r="S400" s="52">
        <f ca="1">Log_2018[[#This Row],[Amount]]/Log_2018[[#This Row],[Split_raw]]*MAX(0,MIN(_xlfn.DAYS(EDATE(S$1,1),Log_2018[[#This Row],[Date]]),Log_2018[[#This Row],[Split_apply]])) - SUM($O400:R400)</f>
        <v>0</v>
      </c>
      <c r="T400" s="52">
        <f ca="1">Log_2018[[#This Row],[Amount]]/Log_2018[[#This Row],[Split_raw]]*MAX(0,MIN(_xlfn.DAYS(EDATE(T$1,1),Log_2018[[#This Row],[Date]]),Log_2018[[#This Row],[Split_apply]])) - SUM($O400:S400)</f>
        <v>0</v>
      </c>
      <c r="U400" s="52">
        <f ca="1">Log_2018[[#This Row],[Amount]]/Log_2018[[#This Row],[Split_raw]]*MAX(0,MIN(_xlfn.DAYS(EDATE(U$1,1),Log_2018[[#This Row],[Date]]),Log_2018[[#This Row],[Split_apply]])) - SUM($O400:T400)</f>
        <v>-6.81</v>
      </c>
      <c r="V400" s="52">
        <f ca="1">Log_2018[[#This Row],[Amount]]/Log_2018[[#This Row],[Split_raw]]*MAX(0,MIN(_xlfn.DAYS(EDATE(V$1,1),Log_2018[[#This Row],[Date]]),Log_2018[[#This Row],[Split_apply]])) - SUM($O400:U400)</f>
        <v>0</v>
      </c>
      <c r="W400" s="52">
        <f ca="1">Log_2018[[#This Row],[Amount]]/Log_2018[[#This Row],[Split_raw]]*MAX(0,MIN(_xlfn.DAYS(EDATE(W$1,1),Log_2018[[#This Row],[Date]]),Log_2018[[#This Row],[Split_apply]])) - SUM($O400:V400)</f>
        <v>0</v>
      </c>
      <c r="X400" s="52">
        <f ca="1">Log_2018[[#This Row],[Amount]]/Log_2018[[#This Row],[Split_raw]]*MAX(0,MIN(_xlfn.DAYS(EDATE(X$1,1),Log_2018[[#This Row],[Date]]),Log_2018[[#This Row],[Split_apply]])) - SUM($O400:W400)</f>
        <v>0</v>
      </c>
      <c r="Y400" s="52">
        <f ca="1">Log_2018[[#This Row],[Amount]]/Log_2018[[#This Row],[Split_raw]]*MAX(0,MIN(_xlfn.DAYS(EDATE(Y$1,1),Log_2018[[#This Row],[Date]]),Log_2018[[#This Row],[Split_apply]])) - SUM($O400:X400)</f>
        <v>0</v>
      </c>
      <c r="Z400" s="52">
        <f ca="1">Log_2018[[#This Row],[Amount]]/Log_2018[[#This Row],[Split_raw]]*MAX(0,MIN(_xlfn.DAYS(EDATE(Z$1,1),Log_2018[[#This Row],[Date]]),Log_2018[[#This Row],[Split_apply]])) - SUM($O400:Y400)</f>
        <v>0</v>
      </c>
      <c r="AA400" s="52">
        <f ca="1">Log_2018[[#This Row],[Amount]]/Log_2018[[#This Row],[Split_raw]]*MAX(0,MIN(_xlfn.DAYS(EDATE(AA$1,1),Log_2018[[#This Row],[Date]]),Log_2018[[#This Row],[Split_apply]])) - SUM($O400:Z400)</f>
        <v>0</v>
      </c>
      <c r="AB400" s="54">
        <f ca="1">Log_2018[[#This Row],[Amount]]-SUM(O400:AA400)</f>
        <v>0</v>
      </c>
      <c r="AC400" s="7">
        <f ca="1">MAX(0,Log_2018[[#This Row],[Split_apply]] - (EDATE(AA$1,1)-Log_2018[[#This Row],[Date]]))</f>
        <v>0</v>
      </c>
    </row>
    <row r="401" spans="1:29" hidden="1" x14ac:dyDescent="0.25">
      <c r="A401" s="115"/>
      <c r="B401" t="s">
        <v>6</v>
      </c>
      <c r="D401" s="39">
        <v>43276</v>
      </c>
      <c r="F401" t="s">
        <v>59</v>
      </c>
      <c r="G401" t="s">
        <v>25</v>
      </c>
      <c r="H401" s="3">
        <v>-7.94</v>
      </c>
      <c r="I401" s="36">
        <f>IF(Log_2018[[#This Row],[My Category]]="NONTRACKED",0,Log_2018[[#This Row],[Raw Amount]])</f>
        <v>-7.94</v>
      </c>
      <c r="J401" s="17">
        <f>ABS(Log_2018[[#This Row],[Amount]])</f>
        <v>7.94</v>
      </c>
      <c r="K401" s="66">
        <v>1</v>
      </c>
      <c r="L401" s="66">
        <f ca="1">IF(Log_2018[[#This Row],[Date]]&lt;=TODAY(), MIN(Log_2018[[#This Row],[Split_raw]], TODAY()-Log_2018[[#This Row],[Date]]+1), 0)</f>
        <v>1</v>
      </c>
      <c r="M401" t="s">
        <v>35</v>
      </c>
      <c r="N401" t="s">
        <v>158</v>
      </c>
      <c r="O401" s="50">
        <v>0</v>
      </c>
      <c r="P401" s="52">
        <f ca="1">Log_2018[[#This Row],[Amount]]/Log_2018[[#This Row],[Split_raw]]*MAX(0,MIN(_xlfn.DAYS(EDATE(P$1,1),Log_2018[[#This Row],[Date]]),Log_2018[[#This Row],[Split_apply]])) - SUM($O401:O401)</f>
        <v>0</v>
      </c>
      <c r="Q401" s="52">
        <f ca="1">Log_2018[[#This Row],[Amount]]/Log_2018[[#This Row],[Split_raw]]*MAX(0,MIN(_xlfn.DAYS(EDATE(Q$1,1),Log_2018[[#This Row],[Date]]),Log_2018[[#This Row],[Split_apply]])) - SUM($O401:P401)</f>
        <v>0</v>
      </c>
      <c r="R401" s="52">
        <f ca="1">Log_2018[[#This Row],[Amount]]/Log_2018[[#This Row],[Split_raw]]*MAX(0,MIN(_xlfn.DAYS(EDATE(R$1,1),Log_2018[[#This Row],[Date]]),Log_2018[[#This Row],[Split_apply]])) - SUM($O401:Q401)</f>
        <v>0</v>
      </c>
      <c r="S401" s="52">
        <f ca="1">Log_2018[[#This Row],[Amount]]/Log_2018[[#This Row],[Split_raw]]*MAX(0,MIN(_xlfn.DAYS(EDATE(S$1,1),Log_2018[[#This Row],[Date]]),Log_2018[[#This Row],[Split_apply]])) - SUM($O401:R401)</f>
        <v>0</v>
      </c>
      <c r="T401" s="52">
        <f ca="1">Log_2018[[#This Row],[Amount]]/Log_2018[[#This Row],[Split_raw]]*MAX(0,MIN(_xlfn.DAYS(EDATE(T$1,1),Log_2018[[#This Row],[Date]]),Log_2018[[#This Row],[Split_apply]])) - SUM($O401:S401)</f>
        <v>0</v>
      </c>
      <c r="U401" s="52">
        <f ca="1">Log_2018[[#This Row],[Amount]]/Log_2018[[#This Row],[Split_raw]]*MAX(0,MIN(_xlfn.DAYS(EDATE(U$1,1),Log_2018[[#This Row],[Date]]),Log_2018[[#This Row],[Split_apply]])) - SUM($O401:T401)</f>
        <v>-7.94</v>
      </c>
      <c r="V401" s="52">
        <f ca="1">Log_2018[[#This Row],[Amount]]/Log_2018[[#This Row],[Split_raw]]*MAX(0,MIN(_xlfn.DAYS(EDATE(V$1,1),Log_2018[[#This Row],[Date]]),Log_2018[[#This Row],[Split_apply]])) - SUM($O401:U401)</f>
        <v>0</v>
      </c>
      <c r="W401" s="52">
        <f ca="1">Log_2018[[#This Row],[Amount]]/Log_2018[[#This Row],[Split_raw]]*MAX(0,MIN(_xlfn.DAYS(EDATE(W$1,1),Log_2018[[#This Row],[Date]]),Log_2018[[#This Row],[Split_apply]])) - SUM($O401:V401)</f>
        <v>0</v>
      </c>
      <c r="X401" s="52">
        <f ca="1">Log_2018[[#This Row],[Amount]]/Log_2018[[#This Row],[Split_raw]]*MAX(0,MIN(_xlfn.DAYS(EDATE(X$1,1),Log_2018[[#This Row],[Date]]),Log_2018[[#This Row],[Split_apply]])) - SUM($O401:W401)</f>
        <v>0</v>
      </c>
      <c r="Y401" s="52">
        <f ca="1">Log_2018[[#This Row],[Amount]]/Log_2018[[#This Row],[Split_raw]]*MAX(0,MIN(_xlfn.DAYS(EDATE(Y$1,1),Log_2018[[#This Row],[Date]]),Log_2018[[#This Row],[Split_apply]])) - SUM($O401:X401)</f>
        <v>0</v>
      </c>
      <c r="Z401" s="52">
        <f ca="1">Log_2018[[#This Row],[Amount]]/Log_2018[[#This Row],[Split_raw]]*MAX(0,MIN(_xlfn.DAYS(EDATE(Z$1,1),Log_2018[[#This Row],[Date]]),Log_2018[[#This Row],[Split_apply]])) - SUM($O401:Y401)</f>
        <v>0</v>
      </c>
      <c r="AA401" s="52">
        <f ca="1">Log_2018[[#This Row],[Amount]]/Log_2018[[#This Row],[Split_raw]]*MAX(0,MIN(_xlfn.DAYS(EDATE(AA$1,1),Log_2018[[#This Row],[Date]]),Log_2018[[#This Row],[Split_apply]])) - SUM($O401:Z401)</f>
        <v>0</v>
      </c>
      <c r="AB401" s="54">
        <f ca="1">Log_2018[[#This Row],[Amount]]-SUM(O401:AA401)</f>
        <v>0</v>
      </c>
      <c r="AC401" s="7">
        <f ca="1">MAX(0,Log_2018[[#This Row],[Split_apply]] - (EDATE(AA$1,1)-Log_2018[[#This Row],[Date]]))</f>
        <v>0</v>
      </c>
    </row>
    <row r="402" spans="1:29" hidden="1" x14ac:dyDescent="0.25">
      <c r="A402" s="115"/>
      <c r="B402" t="s">
        <v>6</v>
      </c>
      <c r="D402" s="39">
        <v>43275</v>
      </c>
      <c r="F402" t="s">
        <v>287</v>
      </c>
      <c r="G402" t="s">
        <v>9</v>
      </c>
      <c r="H402" s="3">
        <v>-20.02</v>
      </c>
      <c r="I402" s="36">
        <f>IF(Log_2018[[#This Row],[My Category]]="NONTRACKED",0,Log_2018[[#This Row],[Raw Amount]])</f>
        <v>-20.02</v>
      </c>
      <c r="J402" s="17">
        <f>ABS(Log_2018[[#This Row],[Amount]])</f>
        <v>20.02</v>
      </c>
      <c r="K402" s="66">
        <v>1</v>
      </c>
      <c r="L402" s="66">
        <f ca="1">IF(Log_2018[[#This Row],[Date]]&lt;=TODAY(), MIN(Log_2018[[#This Row],[Split_raw]], TODAY()-Log_2018[[#This Row],[Date]]+1), 0)</f>
        <v>1</v>
      </c>
      <c r="M402" t="s">
        <v>39</v>
      </c>
      <c r="N402" t="s">
        <v>158</v>
      </c>
      <c r="O402" s="50">
        <v>0</v>
      </c>
      <c r="P402" s="52">
        <f ca="1">Log_2018[[#This Row],[Amount]]/Log_2018[[#This Row],[Split_raw]]*MAX(0,MIN(_xlfn.DAYS(EDATE(P$1,1),Log_2018[[#This Row],[Date]]),Log_2018[[#This Row],[Split_apply]])) - SUM($O402:O402)</f>
        <v>0</v>
      </c>
      <c r="Q402" s="52">
        <f ca="1">Log_2018[[#This Row],[Amount]]/Log_2018[[#This Row],[Split_raw]]*MAX(0,MIN(_xlfn.DAYS(EDATE(Q$1,1),Log_2018[[#This Row],[Date]]),Log_2018[[#This Row],[Split_apply]])) - SUM($O402:P402)</f>
        <v>0</v>
      </c>
      <c r="R402" s="52">
        <f ca="1">Log_2018[[#This Row],[Amount]]/Log_2018[[#This Row],[Split_raw]]*MAX(0,MIN(_xlfn.DAYS(EDATE(R$1,1),Log_2018[[#This Row],[Date]]),Log_2018[[#This Row],[Split_apply]])) - SUM($O402:Q402)</f>
        <v>0</v>
      </c>
      <c r="S402" s="52">
        <f ca="1">Log_2018[[#This Row],[Amount]]/Log_2018[[#This Row],[Split_raw]]*MAX(0,MIN(_xlfn.DAYS(EDATE(S$1,1),Log_2018[[#This Row],[Date]]),Log_2018[[#This Row],[Split_apply]])) - SUM($O402:R402)</f>
        <v>0</v>
      </c>
      <c r="T402" s="52">
        <f ca="1">Log_2018[[#This Row],[Amount]]/Log_2018[[#This Row],[Split_raw]]*MAX(0,MIN(_xlfn.DAYS(EDATE(T$1,1),Log_2018[[#This Row],[Date]]),Log_2018[[#This Row],[Split_apply]])) - SUM($O402:S402)</f>
        <v>0</v>
      </c>
      <c r="U402" s="52">
        <f ca="1">Log_2018[[#This Row],[Amount]]/Log_2018[[#This Row],[Split_raw]]*MAX(0,MIN(_xlfn.DAYS(EDATE(U$1,1),Log_2018[[#This Row],[Date]]),Log_2018[[#This Row],[Split_apply]])) - SUM($O402:T402)</f>
        <v>-20.02</v>
      </c>
      <c r="V402" s="52">
        <f ca="1">Log_2018[[#This Row],[Amount]]/Log_2018[[#This Row],[Split_raw]]*MAX(0,MIN(_xlfn.DAYS(EDATE(V$1,1),Log_2018[[#This Row],[Date]]),Log_2018[[#This Row],[Split_apply]])) - SUM($O402:U402)</f>
        <v>0</v>
      </c>
      <c r="W402" s="52">
        <f ca="1">Log_2018[[#This Row],[Amount]]/Log_2018[[#This Row],[Split_raw]]*MAX(0,MIN(_xlfn.DAYS(EDATE(W$1,1),Log_2018[[#This Row],[Date]]),Log_2018[[#This Row],[Split_apply]])) - SUM($O402:V402)</f>
        <v>0</v>
      </c>
      <c r="X402" s="52">
        <f ca="1">Log_2018[[#This Row],[Amount]]/Log_2018[[#This Row],[Split_raw]]*MAX(0,MIN(_xlfn.DAYS(EDATE(X$1,1),Log_2018[[#This Row],[Date]]),Log_2018[[#This Row],[Split_apply]])) - SUM($O402:W402)</f>
        <v>0</v>
      </c>
      <c r="Y402" s="52">
        <f ca="1">Log_2018[[#This Row],[Amount]]/Log_2018[[#This Row],[Split_raw]]*MAX(0,MIN(_xlfn.DAYS(EDATE(Y$1,1),Log_2018[[#This Row],[Date]]),Log_2018[[#This Row],[Split_apply]])) - SUM($O402:X402)</f>
        <v>0</v>
      </c>
      <c r="Z402" s="52">
        <f ca="1">Log_2018[[#This Row],[Amount]]/Log_2018[[#This Row],[Split_raw]]*MAX(0,MIN(_xlfn.DAYS(EDATE(Z$1,1),Log_2018[[#This Row],[Date]]),Log_2018[[#This Row],[Split_apply]])) - SUM($O402:Y402)</f>
        <v>0</v>
      </c>
      <c r="AA402" s="52">
        <f ca="1">Log_2018[[#This Row],[Amount]]/Log_2018[[#This Row],[Split_raw]]*MAX(0,MIN(_xlfn.DAYS(EDATE(AA$1,1),Log_2018[[#This Row],[Date]]),Log_2018[[#This Row],[Split_apply]])) - SUM($O402:Z402)</f>
        <v>0</v>
      </c>
      <c r="AB402" s="54">
        <f ca="1">Log_2018[[#This Row],[Amount]]-SUM(O402:AA402)</f>
        <v>0</v>
      </c>
      <c r="AC402" s="7">
        <f ca="1">MAX(0,Log_2018[[#This Row],[Split_apply]] - (EDATE(AA$1,1)-Log_2018[[#This Row],[Date]]))</f>
        <v>0</v>
      </c>
    </row>
    <row r="403" spans="1:29" hidden="1" x14ac:dyDescent="0.25">
      <c r="A403" s="115"/>
      <c r="B403" t="s">
        <v>6</v>
      </c>
      <c r="D403" s="39">
        <v>43274</v>
      </c>
      <c r="E403" t="s">
        <v>873</v>
      </c>
      <c r="F403" t="s">
        <v>297</v>
      </c>
      <c r="G403" t="s">
        <v>25</v>
      </c>
      <c r="H403" s="3">
        <v>-35.64</v>
      </c>
      <c r="I403" s="36">
        <f>IF(Log_2018[[#This Row],[My Category]]="NONTRACKED",0,Log_2018[[#This Row],[Raw Amount]])</f>
        <v>-35.64</v>
      </c>
      <c r="J403" s="17">
        <f>ABS(Log_2018[[#This Row],[Amount]])</f>
        <v>35.64</v>
      </c>
      <c r="K403" s="66">
        <v>1</v>
      </c>
      <c r="L403" s="66">
        <f ca="1">IF(Log_2018[[#This Row],[Date]]&lt;=TODAY(), MIN(Log_2018[[#This Row],[Split_raw]], TODAY()-Log_2018[[#This Row],[Date]]+1), 0)</f>
        <v>1</v>
      </c>
      <c r="M403" t="s">
        <v>37</v>
      </c>
      <c r="N403" t="s">
        <v>158</v>
      </c>
      <c r="O403" s="50">
        <v>0</v>
      </c>
      <c r="P403" s="52">
        <f ca="1">Log_2018[[#This Row],[Amount]]/Log_2018[[#This Row],[Split_raw]]*MAX(0,MIN(_xlfn.DAYS(EDATE(P$1,1),Log_2018[[#This Row],[Date]]),Log_2018[[#This Row],[Split_apply]])) - SUM($O403:O403)</f>
        <v>0</v>
      </c>
      <c r="Q403" s="52">
        <f ca="1">Log_2018[[#This Row],[Amount]]/Log_2018[[#This Row],[Split_raw]]*MAX(0,MIN(_xlfn.DAYS(EDATE(Q$1,1),Log_2018[[#This Row],[Date]]),Log_2018[[#This Row],[Split_apply]])) - SUM($O403:P403)</f>
        <v>0</v>
      </c>
      <c r="R403" s="52">
        <f ca="1">Log_2018[[#This Row],[Amount]]/Log_2018[[#This Row],[Split_raw]]*MAX(0,MIN(_xlfn.DAYS(EDATE(R$1,1),Log_2018[[#This Row],[Date]]),Log_2018[[#This Row],[Split_apply]])) - SUM($O403:Q403)</f>
        <v>0</v>
      </c>
      <c r="S403" s="52">
        <f ca="1">Log_2018[[#This Row],[Amount]]/Log_2018[[#This Row],[Split_raw]]*MAX(0,MIN(_xlfn.DAYS(EDATE(S$1,1),Log_2018[[#This Row],[Date]]),Log_2018[[#This Row],[Split_apply]])) - SUM($O403:R403)</f>
        <v>0</v>
      </c>
      <c r="T403" s="52">
        <f ca="1">Log_2018[[#This Row],[Amount]]/Log_2018[[#This Row],[Split_raw]]*MAX(0,MIN(_xlfn.DAYS(EDATE(T$1,1),Log_2018[[#This Row],[Date]]),Log_2018[[#This Row],[Split_apply]])) - SUM($O403:S403)</f>
        <v>0</v>
      </c>
      <c r="U403" s="52">
        <f ca="1">Log_2018[[#This Row],[Amount]]/Log_2018[[#This Row],[Split_raw]]*MAX(0,MIN(_xlfn.DAYS(EDATE(U$1,1),Log_2018[[#This Row],[Date]]),Log_2018[[#This Row],[Split_apply]])) - SUM($O403:T403)</f>
        <v>-35.64</v>
      </c>
      <c r="V403" s="52">
        <f ca="1">Log_2018[[#This Row],[Amount]]/Log_2018[[#This Row],[Split_raw]]*MAX(0,MIN(_xlfn.DAYS(EDATE(V$1,1),Log_2018[[#This Row],[Date]]),Log_2018[[#This Row],[Split_apply]])) - SUM($O403:U403)</f>
        <v>0</v>
      </c>
      <c r="W403" s="52">
        <f ca="1">Log_2018[[#This Row],[Amount]]/Log_2018[[#This Row],[Split_raw]]*MAX(0,MIN(_xlfn.DAYS(EDATE(W$1,1),Log_2018[[#This Row],[Date]]),Log_2018[[#This Row],[Split_apply]])) - SUM($O403:V403)</f>
        <v>0</v>
      </c>
      <c r="X403" s="52">
        <f ca="1">Log_2018[[#This Row],[Amount]]/Log_2018[[#This Row],[Split_raw]]*MAX(0,MIN(_xlfn.DAYS(EDATE(X$1,1),Log_2018[[#This Row],[Date]]),Log_2018[[#This Row],[Split_apply]])) - SUM($O403:W403)</f>
        <v>0</v>
      </c>
      <c r="Y403" s="52">
        <f ca="1">Log_2018[[#This Row],[Amount]]/Log_2018[[#This Row],[Split_raw]]*MAX(0,MIN(_xlfn.DAYS(EDATE(Y$1,1),Log_2018[[#This Row],[Date]]),Log_2018[[#This Row],[Split_apply]])) - SUM($O403:X403)</f>
        <v>0</v>
      </c>
      <c r="Z403" s="52">
        <f ca="1">Log_2018[[#This Row],[Amount]]/Log_2018[[#This Row],[Split_raw]]*MAX(0,MIN(_xlfn.DAYS(EDATE(Z$1,1),Log_2018[[#This Row],[Date]]),Log_2018[[#This Row],[Split_apply]])) - SUM($O403:Y403)</f>
        <v>0</v>
      </c>
      <c r="AA403" s="52">
        <f ca="1">Log_2018[[#This Row],[Amount]]/Log_2018[[#This Row],[Split_raw]]*MAX(0,MIN(_xlfn.DAYS(EDATE(AA$1,1),Log_2018[[#This Row],[Date]]),Log_2018[[#This Row],[Split_apply]])) - SUM($O403:Z403)</f>
        <v>0</v>
      </c>
      <c r="AB403" s="54">
        <f ca="1">Log_2018[[#This Row],[Amount]]-SUM(O403:AA403)</f>
        <v>0</v>
      </c>
      <c r="AC403" s="7">
        <f ca="1">MAX(0,Log_2018[[#This Row],[Split_apply]] - (EDATE(AA$1,1)-Log_2018[[#This Row],[Date]]))</f>
        <v>0</v>
      </c>
    </row>
    <row r="404" spans="1:29" hidden="1" x14ac:dyDescent="0.25">
      <c r="A404" s="115"/>
      <c r="B404" t="s">
        <v>6</v>
      </c>
      <c r="D404" s="39">
        <v>43274</v>
      </c>
      <c r="F404" t="s">
        <v>298</v>
      </c>
      <c r="G404" t="s">
        <v>9</v>
      </c>
      <c r="H404" s="3">
        <v>-22</v>
      </c>
      <c r="I404" s="36">
        <f>IF(Log_2018[[#This Row],[My Category]]="NONTRACKED",0,Log_2018[[#This Row],[Raw Amount]])</f>
        <v>-22</v>
      </c>
      <c r="J404" s="17">
        <f>ABS(Log_2018[[#This Row],[Amount]])</f>
        <v>22</v>
      </c>
      <c r="K404" s="66">
        <v>1</v>
      </c>
      <c r="L404" s="66">
        <f ca="1">IF(Log_2018[[#This Row],[Date]]&lt;=TODAY(), MIN(Log_2018[[#This Row],[Split_raw]], TODAY()-Log_2018[[#This Row],[Date]]+1), 0)</f>
        <v>1</v>
      </c>
      <c r="M404" t="s">
        <v>40</v>
      </c>
      <c r="N404" t="s">
        <v>158</v>
      </c>
      <c r="O404" s="50">
        <v>0</v>
      </c>
      <c r="P404" s="52">
        <f ca="1">Log_2018[[#This Row],[Amount]]/Log_2018[[#This Row],[Split_raw]]*MAX(0,MIN(_xlfn.DAYS(EDATE(P$1,1),Log_2018[[#This Row],[Date]]),Log_2018[[#This Row],[Split_apply]])) - SUM($O404:O404)</f>
        <v>0</v>
      </c>
      <c r="Q404" s="52">
        <f ca="1">Log_2018[[#This Row],[Amount]]/Log_2018[[#This Row],[Split_raw]]*MAX(0,MIN(_xlfn.DAYS(EDATE(Q$1,1),Log_2018[[#This Row],[Date]]),Log_2018[[#This Row],[Split_apply]])) - SUM($O404:P404)</f>
        <v>0</v>
      </c>
      <c r="R404" s="52">
        <f ca="1">Log_2018[[#This Row],[Amount]]/Log_2018[[#This Row],[Split_raw]]*MAX(0,MIN(_xlfn.DAYS(EDATE(R$1,1),Log_2018[[#This Row],[Date]]),Log_2018[[#This Row],[Split_apply]])) - SUM($O404:Q404)</f>
        <v>0</v>
      </c>
      <c r="S404" s="52">
        <f ca="1">Log_2018[[#This Row],[Amount]]/Log_2018[[#This Row],[Split_raw]]*MAX(0,MIN(_xlfn.DAYS(EDATE(S$1,1),Log_2018[[#This Row],[Date]]),Log_2018[[#This Row],[Split_apply]])) - SUM($O404:R404)</f>
        <v>0</v>
      </c>
      <c r="T404" s="52">
        <f ca="1">Log_2018[[#This Row],[Amount]]/Log_2018[[#This Row],[Split_raw]]*MAX(0,MIN(_xlfn.DAYS(EDATE(T$1,1),Log_2018[[#This Row],[Date]]),Log_2018[[#This Row],[Split_apply]])) - SUM($O404:S404)</f>
        <v>0</v>
      </c>
      <c r="U404" s="52">
        <f ca="1">Log_2018[[#This Row],[Amount]]/Log_2018[[#This Row],[Split_raw]]*MAX(0,MIN(_xlfn.DAYS(EDATE(U$1,1),Log_2018[[#This Row],[Date]]),Log_2018[[#This Row],[Split_apply]])) - SUM($O404:T404)</f>
        <v>-22</v>
      </c>
      <c r="V404" s="52">
        <f ca="1">Log_2018[[#This Row],[Amount]]/Log_2018[[#This Row],[Split_raw]]*MAX(0,MIN(_xlfn.DAYS(EDATE(V$1,1),Log_2018[[#This Row],[Date]]),Log_2018[[#This Row],[Split_apply]])) - SUM($O404:U404)</f>
        <v>0</v>
      </c>
      <c r="W404" s="52">
        <f ca="1">Log_2018[[#This Row],[Amount]]/Log_2018[[#This Row],[Split_raw]]*MAX(0,MIN(_xlfn.DAYS(EDATE(W$1,1),Log_2018[[#This Row],[Date]]),Log_2018[[#This Row],[Split_apply]])) - SUM($O404:V404)</f>
        <v>0</v>
      </c>
      <c r="X404" s="52">
        <f ca="1">Log_2018[[#This Row],[Amount]]/Log_2018[[#This Row],[Split_raw]]*MAX(0,MIN(_xlfn.DAYS(EDATE(X$1,1),Log_2018[[#This Row],[Date]]),Log_2018[[#This Row],[Split_apply]])) - SUM($O404:W404)</f>
        <v>0</v>
      </c>
      <c r="Y404" s="52">
        <f ca="1">Log_2018[[#This Row],[Amount]]/Log_2018[[#This Row],[Split_raw]]*MAX(0,MIN(_xlfn.DAYS(EDATE(Y$1,1),Log_2018[[#This Row],[Date]]),Log_2018[[#This Row],[Split_apply]])) - SUM($O404:X404)</f>
        <v>0</v>
      </c>
      <c r="Z404" s="52">
        <f ca="1">Log_2018[[#This Row],[Amount]]/Log_2018[[#This Row],[Split_raw]]*MAX(0,MIN(_xlfn.DAYS(EDATE(Z$1,1),Log_2018[[#This Row],[Date]]),Log_2018[[#This Row],[Split_apply]])) - SUM($O404:Y404)</f>
        <v>0</v>
      </c>
      <c r="AA404" s="52">
        <f ca="1">Log_2018[[#This Row],[Amount]]/Log_2018[[#This Row],[Split_raw]]*MAX(0,MIN(_xlfn.DAYS(EDATE(AA$1,1),Log_2018[[#This Row],[Date]]),Log_2018[[#This Row],[Split_apply]])) - SUM($O404:Z404)</f>
        <v>0</v>
      </c>
      <c r="AB404" s="54">
        <f ca="1">Log_2018[[#This Row],[Amount]]-SUM(O404:AA404)</f>
        <v>0</v>
      </c>
      <c r="AC404" s="7">
        <f ca="1">MAX(0,Log_2018[[#This Row],[Split_apply]] - (EDATE(AA$1,1)-Log_2018[[#This Row],[Date]]))</f>
        <v>0</v>
      </c>
    </row>
    <row r="405" spans="1:29" hidden="1" x14ac:dyDescent="0.25">
      <c r="A405" s="115"/>
      <c r="B405" t="s">
        <v>6</v>
      </c>
      <c r="D405" s="39">
        <v>43273</v>
      </c>
      <c r="F405" t="s">
        <v>255</v>
      </c>
      <c r="G405" t="s">
        <v>25</v>
      </c>
      <c r="H405" s="3">
        <v>-5.4</v>
      </c>
      <c r="I405" s="36">
        <f>IF(Log_2018[[#This Row],[My Category]]="NONTRACKED",0,Log_2018[[#This Row],[Raw Amount]])</f>
        <v>-5.4</v>
      </c>
      <c r="J405" s="17">
        <f>ABS(Log_2018[[#This Row],[Amount]])</f>
        <v>5.4</v>
      </c>
      <c r="K405" s="66">
        <v>1</v>
      </c>
      <c r="L405" s="66">
        <f ca="1">IF(Log_2018[[#This Row],[Date]]&lt;=TODAY(), MIN(Log_2018[[#This Row],[Split_raw]], TODAY()-Log_2018[[#This Row],[Date]]+1), 0)</f>
        <v>1</v>
      </c>
      <c r="M405" t="s">
        <v>35</v>
      </c>
      <c r="N405" t="s">
        <v>158</v>
      </c>
      <c r="O405" s="50">
        <v>0</v>
      </c>
      <c r="P405" s="52">
        <f ca="1">Log_2018[[#This Row],[Amount]]/Log_2018[[#This Row],[Split_raw]]*MAX(0,MIN(_xlfn.DAYS(EDATE(P$1,1),Log_2018[[#This Row],[Date]]),Log_2018[[#This Row],[Split_apply]])) - SUM($O405:O405)</f>
        <v>0</v>
      </c>
      <c r="Q405" s="52">
        <f ca="1">Log_2018[[#This Row],[Amount]]/Log_2018[[#This Row],[Split_raw]]*MAX(0,MIN(_xlfn.DAYS(EDATE(Q$1,1),Log_2018[[#This Row],[Date]]),Log_2018[[#This Row],[Split_apply]])) - SUM($O405:P405)</f>
        <v>0</v>
      </c>
      <c r="R405" s="52">
        <f ca="1">Log_2018[[#This Row],[Amount]]/Log_2018[[#This Row],[Split_raw]]*MAX(0,MIN(_xlfn.DAYS(EDATE(R$1,1),Log_2018[[#This Row],[Date]]),Log_2018[[#This Row],[Split_apply]])) - SUM($O405:Q405)</f>
        <v>0</v>
      </c>
      <c r="S405" s="52">
        <f ca="1">Log_2018[[#This Row],[Amount]]/Log_2018[[#This Row],[Split_raw]]*MAX(0,MIN(_xlfn.DAYS(EDATE(S$1,1),Log_2018[[#This Row],[Date]]),Log_2018[[#This Row],[Split_apply]])) - SUM($O405:R405)</f>
        <v>0</v>
      </c>
      <c r="T405" s="52">
        <f ca="1">Log_2018[[#This Row],[Amount]]/Log_2018[[#This Row],[Split_raw]]*MAX(0,MIN(_xlfn.DAYS(EDATE(T$1,1),Log_2018[[#This Row],[Date]]),Log_2018[[#This Row],[Split_apply]])) - SUM($O405:S405)</f>
        <v>0</v>
      </c>
      <c r="U405" s="52">
        <f ca="1">Log_2018[[#This Row],[Amount]]/Log_2018[[#This Row],[Split_raw]]*MAX(0,MIN(_xlfn.DAYS(EDATE(U$1,1),Log_2018[[#This Row],[Date]]),Log_2018[[#This Row],[Split_apply]])) - SUM($O405:T405)</f>
        <v>-5.4</v>
      </c>
      <c r="V405" s="52">
        <f ca="1">Log_2018[[#This Row],[Amount]]/Log_2018[[#This Row],[Split_raw]]*MAX(0,MIN(_xlfn.DAYS(EDATE(V$1,1),Log_2018[[#This Row],[Date]]),Log_2018[[#This Row],[Split_apply]])) - SUM($O405:U405)</f>
        <v>0</v>
      </c>
      <c r="W405" s="52">
        <f ca="1">Log_2018[[#This Row],[Amount]]/Log_2018[[#This Row],[Split_raw]]*MAX(0,MIN(_xlfn.DAYS(EDATE(W$1,1),Log_2018[[#This Row],[Date]]),Log_2018[[#This Row],[Split_apply]])) - SUM($O405:V405)</f>
        <v>0</v>
      </c>
      <c r="X405" s="52">
        <f ca="1">Log_2018[[#This Row],[Amount]]/Log_2018[[#This Row],[Split_raw]]*MAX(0,MIN(_xlfn.DAYS(EDATE(X$1,1),Log_2018[[#This Row],[Date]]),Log_2018[[#This Row],[Split_apply]])) - SUM($O405:W405)</f>
        <v>0</v>
      </c>
      <c r="Y405" s="52">
        <f ca="1">Log_2018[[#This Row],[Amount]]/Log_2018[[#This Row],[Split_raw]]*MAX(0,MIN(_xlfn.DAYS(EDATE(Y$1,1),Log_2018[[#This Row],[Date]]),Log_2018[[#This Row],[Split_apply]])) - SUM($O405:X405)</f>
        <v>0</v>
      </c>
      <c r="Z405" s="52">
        <f ca="1">Log_2018[[#This Row],[Amount]]/Log_2018[[#This Row],[Split_raw]]*MAX(0,MIN(_xlfn.DAYS(EDATE(Z$1,1),Log_2018[[#This Row],[Date]]),Log_2018[[#This Row],[Split_apply]])) - SUM($O405:Y405)</f>
        <v>0</v>
      </c>
      <c r="AA405" s="52">
        <f ca="1">Log_2018[[#This Row],[Amount]]/Log_2018[[#This Row],[Split_raw]]*MAX(0,MIN(_xlfn.DAYS(EDATE(AA$1,1),Log_2018[[#This Row],[Date]]),Log_2018[[#This Row],[Split_apply]])) - SUM($O405:Z405)</f>
        <v>0</v>
      </c>
      <c r="AB405" s="54">
        <f ca="1">Log_2018[[#This Row],[Amount]]-SUM(O405:AA405)</f>
        <v>0</v>
      </c>
      <c r="AC405" s="7">
        <f ca="1">MAX(0,Log_2018[[#This Row],[Split_apply]] - (EDATE(AA$1,1)-Log_2018[[#This Row],[Date]]))</f>
        <v>0</v>
      </c>
    </row>
    <row r="406" spans="1:29" hidden="1" x14ac:dyDescent="0.25">
      <c r="A406" s="115"/>
      <c r="B406" t="s">
        <v>6</v>
      </c>
      <c r="D406" s="39">
        <v>43272</v>
      </c>
      <c r="F406" t="s">
        <v>286</v>
      </c>
      <c r="G406" t="s">
        <v>25</v>
      </c>
      <c r="H406" s="3">
        <v>-14.04</v>
      </c>
      <c r="I406" s="36">
        <f>IF(Log_2018[[#This Row],[My Category]]="NONTRACKED",0,Log_2018[[#This Row],[Raw Amount]])</f>
        <v>-14.04</v>
      </c>
      <c r="J406" s="17">
        <f>ABS(Log_2018[[#This Row],[Amount]])</f>
        <v>14.04</v>
      </c>
      <c r="K406" s="66">
        <v>1</v>
      </c>
      <c r="L406" s="66">
        <f ca="1">IF(Log_2018[[#This Row],[Date]]&lt;=TODAY(), MIN(Log_2018[[#This Row],[Split_raw]], TODAY()-Log_2018[[#This Row],[Date]]+1), 0)</f>
        <v>1</v>
      </c>
      <c r="M406" t="s">
        <v>35</v>
      </c>
      <c r="N406" t="s">
        <v>158</v>
      </c>
      <c r="O406" s="50">
        <v>0</v>
      </c>
      <c r="P406" s="52">
        <f ca="1">Log_2018[[#This Row],[Amount]]/Log_2018[[#This Row],[Split_raw]]*MAX(0,MIN(_xlfn.DAYS(EDATE(P$1,1),Log_2018[[#This Row],[Date]]),Log_2018[[#This Row],[Split_apply]])) - SUM($O406:O406)</f>
        <v>0</v>
      </c>
      <c r="Q406" s="52">
        <f ca="1">Log_2018[[#This Row],[Amount]]/Log_2018[[#This Row],[Split_raw]]*MAX(0,MIN(_xlfn.DAYS(EDATE(Q$1,1),Log_2018[[#This Row],[Date]]),Log_2018[[#This Row],[Split_apply]])) - SUM($O406:P406)</f>
        <v>0</v>
      </c>
      <c r="R406" s="52">
        <f ca="1">Log_2018[[#This Row],[Amount]]/Log_2018[[#This Row],[Split_raw]]*MAX(0,MIN(_xlfn.DAYS(EDATE(R$1,1),Log_2018[[#This Row],[Date]]),Log_2018[[#This Row],[Split_apply]])) - SUM($O406:Q406)</f>
        <v>0</v>
      </c>
      <c r="S406" s="52">
        <f ca="1">Log_2018[[#This Row],[Amount]]/Log_2018[[#This Row],[Split_raw]]*MAX(0,MIN(_xlfn.DAYS(EDATE(S$1,1),Log_2018[[#This Row],[Date]]),Log_2018[[#This Row],[Split_apply]])) - SUM($O406:R406)</f>
        <v>0</v>
      </c>
      <c r="T406" s="52">
        <f ca="1">Log_2018[[#This Row],[Amount]]/Log_2018[[#This Row],[Split_raw]]*MAX(0,MIN(_xlfn.DAYS(EDATE(T$1,1),Log_2018[[#This Row],[Date]]),Log_2018[[#This Row],[Split_apply]])) - SUM($O406:S406)</f>
        <v>0</v>
      </c>
      <c r="U406" s="52">
        <f ca="1">Log_2018[[#This Row],[Amount]]/Log_2018[[#This Row],[Split_raw]]*MAX(0,MIN(_xlfn.DAYS(EDATE(U$1,1),Log_2018[[#This Row],[Date]]),Log_2018[[#This Row],[Split_apply]])) - SUM($O406:T406)</f>
        <v>-14.04</v>
      </c>
      <c r="V406" s="52">
        <f ca="1">Log_2018[[#This Row],[Amount]]/Log_2018[[#This Row],[Split_raw]]*MAX(0,MIN(_xlfn.DAYS(EDATE(V$1,1),Log_2018[[#This Row],[Date]]),Log_2018[[#This Row],[Split_apply]])) - SUM($O406:U406)</f>
        <v>0</v>
      </c>
      <c r="W406" s="52">
        <f ca="1">Log_2018[[#This Row],[Amount]]/Log_2018[[#This Row],[Split_raw]]*MAX(0,MIN(_xlfn.DAYS(EDATE(W$1,1),Log_2018[[#This Row],[Date]]),Log_2018[[#This Row],[Split_apply]])) - SUM($O406:V406)</f>
        <v>0</v>
      </c>
      <c r="X406" s="52">
        <f ca="1">Log_2018[[#This Row],[Amount]]/Log_2018[[#This Row],[Split_raw]]*MAX(0,MIN(_xlfn.DAYS(EDATE(X$1,1),Log_2018[[#This Row],[Date]]),Log_2018[[#This Row],[Split_apply]])) - SUM($O406:W406)</f>
        <v>0</v>
      </c>
      <c r="Y406" s="52">
        <f ca="1">Log_2018[[#This Row],[Amount]]/Log_2018[[#This Row],[Split_raw]]*MAX(0,MIN(_xlfn.DAYS(EDATE(Y$1,1),Log_2018[[#This Row],[Date]]),Log_2018[[#This Row],[Split_apply]])) - SUM($O406:X406)</f>
        <v>0</v>
      </c>
      <c r="Z406" s="52">
        <f ca="1">Log_2018[[#This Row],[Amount]]/Log_2018[[#This Row],[Split_raw]]*MAX(0,MIN(_xlfn.DAYS(EDATE(Z$1,1),Log_2018[[#This Row],[Date]]),Log_2018[[#This Row],[Split_apply]])) - SUM($O406:Y406)</f>
        <v>0</v>
      </c>
      <c r="AA406" s="52">
        <f ca="1">Log_2018[[#This Row],[Amount]]/Log_2018[[#This Row],[Split_raw]]*MAX(0,MIN(_xlfn.DAYS(EDATE(AA$1,1),Log_2018[[#This Row],[Date]]),Log_2018[[#This Row],[Split_apply]])) - SUM($O406:Z406)</f>
        <v>0</v>
      </c>
      <c r="AB406" s="54">
        <f ca="1">Log_2018[[#This Row],[Amount]]-SUM(O406:AA406)</f>
        <v>0</v>
      </c>
      <c r="AC406" s="7">
        <f ca="1">MAX(0,Log_2018[[#This Row],[Split_apply]] - (EDATE(AA$1,1)-Log_2018[[#This Row],[Date]]))</f>
        <v>0</v>
      </c>
    </row>
    <row r="407" spans="1:29" hidden="1" x14ac:dyDescent="0.25">
      <c r="A407" s="115"/>
      <c r="B407" t="s">
        <v>6</v>
      </c>
      <c r="D407" s="39">
        <v>43272</v>
      </c>
      <c r="F407" t="s">
        <v>268</v>
      </c>
      <c r="G407" t="s">
        <v>87</v>
      </c>
      <c r="H407" s="3">
        <f>--1754.58</f>
        <v>1754.58</v>
      </c>
      <c r="I407" s="36">
        <f>IF(Log_2018[[#This Row],[My Category]]="NONTRACKED",0,Log_2018[[#This Row],[Raw Amount]])</f>
        <v>1754.58</v>
      </c>
      <c r="J407" s="17">
        <f>ABS(Log_2018[[#This Row],[Amount]])</f>
        <v>1754.58</v>
      </c>
      <c r="K407" s="66">
        <v>14</v>
      </c>
      <c r="L407" s="66">
        <f ca="1">IF(Log_2018[[#This Row],[Date]]&lt;=TODAY(), MIN(Log_2018[[#This Row],[Split_raw]], TODAY()-Log_2018[[#This Row],[Date]]+1), 0)</f>
        <v>14</v>
      </c>
      <c r="M407" t="s">
        <v>91</v>
      </c>
      <c r="N407" t="s">
        <v>160</v>
      </c>
      <c r="O407" s="50">
        <v>0</v>
      </c>
      <c r="P407" s="52">
        <f ca="1">Log_2018[[#This Row],[Amount]]/Log_2018[[#This Row],[Split_raw]]*MAX(0,MIN(_xlfn.DAYS(EDATE(P$1,1),Log_2018[[#This Row],[Date]]),Log_2018[[#This Row],[Split_apply]])) - SUM($O407:O407)</f>
        <v>0</v>
      </c>
      <c r="Q407" s="52">
        <f ca="1">Log_2018[[#This Row],[Amount]]/Log_2018[[#This Row],[Split_raw]]*MAX(0,MIN(_xlfn.DAYS(EDATE(Q$1,1),Log_2018[[#This Row],[Date]]),Log_2018[[#This Row],[Split_apply]])) - SUM($O407:P407)</f>
        <v>0</v>
      </c>
      <c r="R407" s="52">
        <f ca="1">Log_2018[[#This Row],[Amount]]/Log_2018[[#This Row],[Split_raw]]*MAX(0,MIN(_xlfn.DAYS(EDATE(R$1,1),Log_2018[[#This Row],[Date]]),Log_2018[[#This Row],[Split_apply]])) - SUM($O407:Q407)</f>
        <v>0</v>
      </c>
      <c r="S407" s="52">
        <f ca="1">Log_2018[[#This Row],[Amount]]/Log_2018[[#This Row],[Split_raw]]*MAX(0,MIN(_xlfn.DAYS(EDATE(S$1,1),Log_2018[[#This Row],[Date]]),Log_2018[[#This Row],[Split_apply]])) - SUM($O407:R407)</f>
        <v>0</v>
      </c>
      <c r="T407" s="52">
        <f ca="1">Log_2018[[#This Row],[Amount]]/Log_2018[[#This Row],[Split_raw]]*MAX(0,MIN(_xlfn.DAYS(EDATE(T$1,1),Log_2018[[#This Row],[Date]]),Log_2018[[#This Row],[Split_apply]])) - SUM($O407:S407)</f>
        <v>0</v>
      </c>
      <c r="U407" s="52">
        <f ca="1">Log_2018[[#This Row],[Amount]]/Log_2018[[#This Row],[Split_raw]]*MAX(0,MIN(_xlfn.DAYS(EDATE(U$1,1),Log_2018[[#This Row],[Date]]),Log_2018[[#This Row],[Split_apply]])) - SUM($O407:T407)</f>
        <v>1253.2714285714285</v>
      </c>
      <c r="V407" s="52">
        <f ca="1">Log_2018[[#This Row],[Amount]]/Log_2018[[#This Row],[Split_raw]]*MAX(0,MIN(_xlfn.DAYS(EDATE(V$1,1),Log_2018[[#This Row],[Date]]),Log_2018[[#This Row],[Split_apply]])) - SUM($O407:U407)</f>
        <v>501.30857142857144</v>
      </c>
      <c r="W407" s="52">
        <f ca="1">Log_2018[[#This Row],[Amount]]/Log_2018[[#This Row],[Split_raw]]*MAX(0,MIN(_xlfn.DAYS(EDATE(W$1,1),Log_2018[[#This Row],[Date]]),Log_2018[[#This Row],[Split_apply]])) - SUM($O407:V407)</f>
        <v>0</v>
      </c>
      <c r="X407" s="52">
        <f ca="1">Log_2018[[#This Row],[Amount]]/Log_2018[[#This Row],[Split_raw]]*MAX(0,MIN(_xlfn.DAYS(EDATE(X$1,1),Log_2018[[#This Row],[Date]]),Log_2018[[#This Row],[Split_apply]])) - SUM($O407:W407)</f>
        <v>0</v>
      </c>
      <c r="Y407" s="52">
        <f ca="1">Log_2018[[#This Row],[Amount]]/Log_2018[[#This Row],[Split_raw]]*MAX(0,MIN(_xlfn.DAYS(EDATE(Y$1,1),Log_2018[[#This Row],[Date]]),Log_2018[[#This Row],[Split_apply]])) - SUM($O407:X407)</f>
        <v>0</v>
      </c>
      <c r="Z407" s="52">
        <f ca="1">Log_2018[[#This Row],[Amount]]/Log_2018[[#This Row],[Split_raw]]*MAX(0,MIN(_xlfn.DAYS(EDATE(Z$1,1),Log_2018[[#This Row],[Date]]),Log_2018[[#This Row],[Split_apply]])) - SUM($O407:Y407)</f>
        <v>0</v>
      </c>
      <c r="AA407" s="52">
        <f ca="1">Log_2018[[#This Row],[Amount]]/Log_2018[[#This Row],[Split_raw]]*MAX(0,MIN(_xlfn.DAYS(EDATE(AA$1,1),Log_2018[[#This Row],[Date]]),Log_2018[[#This Row],[Split_apply]])) - SUM($O407:Z407)</f>
        <v>0</v>
      </c>
      <c r="AB407" s="54">
        <f ca="1">Log_2018[[#This Row],[Amount]]-SUM(O407:AA407)</f>
        <v>0</v>
      </c>
      <c r="AC407" s="7">
        <f ca="1">MAX(0,Log_2018[[#This Row],[Split_apply]] - (EDATE(AA$1,1)-Log_2018[[#This Row],[Date]]))</f>
        <v>0</v>
      </c>
    </row>
    <row r="408" spans="1:29" hidden="1" x14ac:dyDescent="0.25">
      <c r="A408" s="115"/>
      <c r="B408" t="s">
        <v>6</v>
      </c>
      <c r="D408" s="39">
        <v>43271</v>
      </c>
      <c r="F408" t="s">
        <v>217</v>
      </c>
      <c r="G408" t="s">
        <v>12</v>
      </c>
      <c r="H408" s="3">
        <v>-89.76</v>
      </c>
      <c r="I408" s="36">
        <f>IF(Log_2018[[#This Row],[My Category]]="NONTRACKED",0,Log_2018[[#This Row],[Raw Amount]])</f>
        <v>-89.76</v>
      </c>
      <c r="J408" s="17">
        <f>ABS(Log_2018[[#This Row],[Amount]])</f>
        <v>89.76</v>
      </c>
      <c r="K408" s="66">
        <v>1</v>
      </c>
      <c r="L408" s="66">
        <f ca="1">IF(Log_2018[[#This Row],[Date]]&lt;=TODAY(), MIN(Log_2018[[#This Row],[Split_raw]], TODAY()-Log_2018[[#This Row],[Date]]+1), 0)</f>
        <v>1</v>
      </c>
      <c r="M408" t="s">
        <v>12</v>
      </c>
      <c r="N408" t="s">
        <v>158</v>
      </c>
      <c r="O408" s="50">
        <v>0</v>
      </c>
      <c r="P408" s="52">
        <f ca="1">Log_2018[[#This Row],[Amount]]/Log_2018[[#This Row],[Split_raw]]*MAX(0,MIN(_xlfn.DAYS(EDATE(P$1,1),Log_2018[[#This Row],[Date]]),Log_2018[[#This Row],[Split_apply]])) - SUM($O408:O408)</f>
        <v>0</v>
      </c>
      <c r="Q408" s="52">
        <f ca="1">Log_2018[[#This Row],[Amount]]/Log_2018[[#This Row],[Split_raw]]*MAX(0,MIN(_xlfn.DAYS(EDATE(Q$1,1),Log_2018[[#This Row],[Date]]),Log_2018[[#This Row],[Split_apply]])) - SUM($O408:P408)</f>
        <v>0</v>
      </c>
      <c r="R408" s="52">
        <f ca="1">Log_2018[[#This Row],[Amount]]/Log_2018[[#This Row],[Split_raw]]*MAX(0,MIN(_xlfn.DAYS(EDATE(R$1,1),Log_2018[[#This Row],[Date]]),Log_2018[[#This Row],[Split_apply]])) - SUM($O408:Q408)</f>
        <v>0</v>
      </c>
      <c r="S408" s="52">
        <f ca="1">Log_2018[[#This Row],[Amount]]/Log_2018[[#This Row],[Split_raw]]*MAX(0,MIN(_xlfn.DAYS(EDATE(S$1,1),Log_2018[[#This Row],[Date]]),Log_2018[[#This Row],[Split_apply]])) - SUM($O408:R408)</f>
        <v>0</v>
      </c>
      <c r="T408" s="52">
        <f ca="1">Log_2018[[#This Row],[Amount]]/Log_2018[[#This Row],[Split_raw]]*MAX(0,MIN(_xlfn.DAYS(EDATE(T$1,1),Log_2018[[#This Row],[Date]]),Log_2018[[#This Row],[Split_apply]])) - SUM($O408:S408)</f>
        <v>0</v>
      </c>
      <c r="U408" s="52">
        <f ca="1">Log_2018[[#This Row],[Amount]]/Log_2018[[#This Row],[Split_raw]]*MAX(0,MIN(_xlfn.DAYS(EDATE(U$1,1),Log_2018[[#This Row],[Date]]),Log_2018[[#This Row],[Split_apply]])) - SUM($O408:T408)</f>
        <v>-89.76</v>
      </c>
      <c r="V408" s="52">
        <f ca="1">Log_2018[[#This Row],[Amount]]/Log_2018[[#This Row],[Split_raw]]*MAX(0,MIN(_xlfn.DAYS(EDATE(V$1,1),Log_2018[[#This Row],[Date]]),Log_2018[[#This Row],[Split_apply]])) - SUM($O408:U408)</f>
        <v>0</v>
      </c>
      <c r="W408" s="52">
        <f ca="1">Log_2018[[#This Row],[Amount]]/Log_2018[[#This Row],[Split_raw]]*MAX(0,MIN(_xlfn.DAYS(EDATE(W$1,1),Log_2018[[#This Row],[Date]]),Log_2018[[#This Row],[Split_apply]])) - SUM($O408:V408)</f>
        <v>0</v>
      </c>
      <c r="X408" s="52">
        <f ca="1">Log_2018[[#This Row],[Amount]]/Log_2018[[#This Row],[Split_raw]]*MAX(0,MIN(_xlfn.DAYS(EDATE(X$1,1),Log_2018[[#This Row],[Date]]),Log_2018[[#This Row],[Split_apply]])) - SUM($O408:W408)</f>
        <v>0</v>
      </c>
      <c r="Y408" s="52">
        <f ca="1">Log_2018[[#This Row],[Amount]]/Log_2018[[#This Row],[Split_raw]]*MAX(0,MIN(_xlfn.DAYS(EDATE(Y$1,1),Log_2018[[#This Row],[Date]]),Log_2018[[#This Row],[Split_apply]])) - SUM($O408:X408)</f>
        <v>0</v>
      </c>
      <c r="Z408" s="52">
        <f ca="1">Log_2018[[#This Row],[Amount]]/Log_2018[[#This Row],[Split_raw]]*MAX(0,MIN(_xlfn.DAYS(EDATE(Z$1,1),Log_2018[[#This Row],[Date]]),Log_2018[[#This Row],[Split_apply]])) - SUM($O408:Y408)</f>
        <v>0</v>
      </c>
      <c r="AA408" s="52">
        <f ca="1">Log_2018[[#This Row],[Amount]]/Log_2018[[#This Row],[Split_raw]]*MAX(0,MIN(_xlfn.DAYS(EDATE(AA$1,1),Log_2018[[#This Row],[Date]]),Log_2018[[#This Row],[Split_apply]])) - SUM($O408:Z408)</f>
        <v>0</v>
      </c>
      <c r="AB408" s="54">
        <f ca="1">Log_2018[[#This Row],[Amount]]-SUM(O408:AA408)</f>
        <v>0</v>
      </c>
      <c r="AC408" s="7">
        <f ca="1">MAX(0,Log_2018[[#This Row],[Split_apply]] - (EDATE(AA$1,1)-Log_2018[[#This Row],[Date]]))</f>
        <v>0</v>
      </c>
    </row>
    <row r="409" spans="1:29" hidden="1" x14ac:dyDescent="0.25">
      <c r="A409" s="115"/>
      <c r="B409" t="s">
        <v>6</v>
      </c>
      <c r="D409" s="39">
        <v>43271</v>
      </c>
      <c r="F409" t="s">
        <v>59</v>
      </c>
      <c r="G409" t="s">
        <v>25</v>
      </c>
      <c r="H409" s="3">
        <v>-7.94</v>
      </c>
      <c r="I409" s="36">
        <f>IF(Log_2018[[#This Row],[My Category]]="NONTRACKED",0,Log_2018[[#This Row],[Raw Amount]])</f>
        <v>-7.94</v>
      </c>
      <c r="J409" s="17">
        <f>ABS(Log_2018[[#This Row],[Amount]])</f>
        <v>7.94</v>
      </c>
      <c r="K409" s="66">
        <v>1</v>
      </c>
      <c r="L409" s="66">
        <f ca="1">IF(Log_2018[[#This Row],[Date]]&lt;=TODAY(), MIN(Log_2018[[#This Row],[Split_raw]], TODAY()-Log_2018[[#This Row],[Date]]+1), 0)</f>
        <v>1</v>
      </c>
      <c r="M409" t="s">
        <v>35</v>
      </c>
      <c r="N409" t="s">
        <v>158</v>
      </c>
      <c r="O409" s="50">
        <v>0</v>
      </c>
      <c r="P409" s="52">
        <f ca="1">Log_2018[[#This Row],[Amount]]/Log_2018[[#This Row],[Split_raw]]*MAX(0,MIN(_xlfn.DAYS(EDATE(P$1,1),Log_2018[[#This Row],[Date]]),Log_2018[[#This Row],[Split_apply]])) - SUM($O409:O409)</f>
        <v>0</v>
      </c>
      <c r="Q409" s="52">
        <f ca="1">Log_2018[[#This Row],[Amount]]/Log_2018[[#This Row],[Split_raw]]*MAX(0,MIN(_xlfn.DAYS(EDATE(Q$1,1),Log_2018[[#This Row],[Date]]),Log_2018[[#This Row],[Split_apply]])) - SUM($O409:P409)</f>
        <v>0</v>
      </c>
      <c r="R409" s="52">
        <f ca="1">Log_2018[[#This Row],[Amount]]/Log_2018[[#This Row],[Split_raw]]*MAX(0,MIN(_xlfn.DAYS(EDATE(R$1,1),Log_2018[[#This Row],[Date]]),Log_2018[[#This Row],[Split_apply]])) - SUM($O409:Q409)</f>
        <v>0</v>
      </c>
      <c r="S409" s="52">
        <f ca="1">Log_2018[[#This Row],[Amount]]/Log_2018[[#This Row],[Split_raw]]*MAX(0,MIN(_xlfn.DAYS(EDATE(S$1,1),Log_2018[[#This Row],[Date]]),Log_2018[[#This Row],[Split_apply]])) - SUM($O409:R409)</f>
        <v>0</v>
      </c>
      <c r="T409" s="52">
        <f ca="1">Log_2018[[#This Row],[Amount]]/Log_2018[[#This Row],[Split_raw]]*MAX(0,MIN(_xlfn.DAYS(EDATE(T$1,1),Log_2018[[#This Row],[Date]]),Log_2018[[#This Row],[Split_apply]])) - SUM($O409:S409)</f>
        <v>0</v>
      </c>
      <c r="U409" s="52">
        <f ca="1">Log_2018[[#This Row],[Amount]]/Log_2018[[#This Row],[Split_raw]]*MAX(0,MIN(_xlfn.DAYS(EDATE(U$1,1),Log_2018[[#This Row],[Date]]),Log_2018[[#This Row],[Split_apply]])) - SUM($O409:T409)</f>
        <v>-7.94</v>
      </c>
      <c r="V409" s="52">
        <f ca="1">Log_2018[[#This Row],[Amount]]/Log_2018[[#This Row],[Split_raw]]*MAX(0,MIN(_xlfn.DAYS(EDATE(V$1,1),Log_2018[[#This Row],[Date]]),Log_2018[[#This Row],[Split_apply]])) - SUM($O409:U409)</f>
        <v>0</v>
      </c>
      <c r="W409" s="52">
        <f ca="1">Log_2018[[#This Row],[Amount]]/Log_2018[[#This Row],[Split_raw]]*MAX(0,MIN(_xlfn.DAYS(EDATE(W$1,1),Log_2018[[#This Row],[Date]]),Log_2018[[#This Row],[Split_apply]])) - SUM($O409:V409)</f>
        <v>0</v>
      </c>
      <c r="X409" s="52">
        <f ca="1">Log_2018[[#This Row],[Amount]]/Log_2018[[#This Row],[Split_raw]]*MAX(0,MIN(_xlfn.DAYS(EDATE(X$1,1),Log_2018[[#This Row],[Date]]),Log_2018[[#This Row],[Split_apply]])) - SUM($O409:W409)</f>
        <v>0</v>
      </c>
      <c r="Y409" s="52">
        <f ca="1">Log_2018[[#This Row],[Amount]]/Log_2018[[#This Row],[Split_raw]]*MAX(0,MIN(_xlfn.DAYS(EDATE(Y$1,1),Log_2018[[#This Row],[Date]]),Log_2018[[#This Row],[Split_apply]])) - SUM($O409:X409)</f>
        <v>0</v>
      </c>
      <c r="Z409" s="52">
        <f ca="1">Log_2018[[#This Row],[Amount]]/Log_2018[[#This Row],[Split_raw]]*MAX(0,MIN(_xlfn.DAYS(EDATE(Z$1,1),Log_2018[[#This Row],[Date]]),Log_2018[[#This Row],[Split_apply]])) - SUM($O409:Y409)</f>
        <v>0</v>
      </c>
      <c r="AA409" s="52">
        <f ca="1">Log_2018[[#This Row],[Amount]]/Log_2018[[#This Row],[Split_raw]]*MAX(0,MIN(_xlfn.DAYS(EDATE(AA$1,1),Log_2018[[#This Row],[Date]]),Log_2018[[#This Row],[Split_apply]])) - SUM($O409:Z409)</f>
        <v>0</v>
      </c>
      <c r="AB409" s="54">
        <f ca="1">Log_2018[[#This Row],[Amount]]-SUM(O409:AA409)</f>
        <v>0</v>
      </c>
      <c r="AC409" s="7">
        <f ca="1">MAX(0,Log_2018[[#This Row],[Split_apply]] - (EDATE(AA$1,1)-Log_2018[[#This Row],[Date]]))</f>
        <v>0</v>
      </c>
    </row>
    <row r="410" spans="1:29" hidden="1" x14ac:dyDescent="0.25">
      <c r="A410" s="115"/>
      <c r="B410" t="s">
        <v>6</v>
      </c>
      <c r="D410" s="39">
        <v>43271</v>
      </c>
      <c r="F410" t="s">
        <v>304</v>
      </c>
      <c r="G410" t="s">
        <v>29</v>
      </c>
      <c r="H410" s="3">
        <v>-68</v>
      </c>
      <c r="I410" s="36">
        <f>IF(Log_2018[[#This Row],[My Category]]="NONTRACKED",0,Log_2018[[#This Row],[Raw Amount]])</f>
        <v>-68</v>
      </c>
      <c r="J410" s="17">
        <f>ABS(Log_2018[[#This Row],[Amount]])</f>
        <v>68</v>
      </c>
      <c r="K410" s="66">
        <v>30</v>
      </c>
      <c r="L410" s="66">
        <f ca="1">IF(Log_2018[[#This Row],[Date]]&lt;=TODAY(), MIN(Log_2018[[#This Row],[Split_raw]], TODAY()-Log_2018[[#This Row],[Date]]+1), 0)</f>
        <v>30</v>
      </c>
      <c r="M410" t="s">
        <v>29</v>
      </c>
      <c r="N410" t="s">
        <v>160</v>
      </c>
      <c r="O410" s="50">
        <v>0</v>
      </c>
      <c r="P410" s="52">
        <f ca="1">Log_2018[[#This Row],[Amount]]/Log_2018[[#This Row],[Split_raw]]*MAX(0,MIN(_xlfn.DAYS(EDATE(P$1,1),Log_2018[[#This Row],[Date]]),Log_2018[[#This Row],[Split_apply]])) - SUM($O410:O410)</f>
        <v>0</v>
      </c>
      <c r="Q410" s="52">
        <f ca="1">Log_2018[[#This Row],[Amount]]/Log_2018[[#This Row],[Split_raw]]*MAX(0,MIN(_xlfn.DAYS(EDATE(Q$1,1),Log_2018[[#This Row],[Date]]),Log_2018[[#This Row],[Split_apply]])) - SUM($O410:P410)</f>
        <v>0</v>
      </c>
      <c r="R410" s="52">
        <f ca="1">Log_2018[[#This Row],[Amount]]/Log_2018[[#This Row],[Split_raw]]*MAX(0,MIN(_xlfn.DAYS(EDATE(R$1,1),Log_2018[[#This Row],[Date]]),Log_2018[[#This Row],[Split_apply]])) - SUM($O410:Q410)</f>
        <v>0</v>
      </c>
      <c r="S410" s="52">
        <f ca="1">Log_2018[[#This Row],[Amount]]/Log_2018[[#This Row],[Split_raw]]*MAX(0,MIN(_xlfn.DAYS(EDATE(S$1,1),Log_2018[[#This Row],[Date]]),Log_2018[[#This Row],[Split_apply]])) - SUM($O410:R410)</f>
        <v>0</v>
      </c>
      <c r="T410" s="52">
        <f ca="1">Log_2018[[#This Row],[Amount]]/Log_2018[[#This Row],[Split_raw]]*MAX(0,MIN(_xlfn.DAYS(EDATE(T$1,1),Log_2018[[#This Row],[Date]]),Log_2018[[#This Row],[Split_apply]])) - SUM($O410:S410)</f>
        <v>0</v>
      </c>
      <c r="U410" s="52">
        <f ca="1">Log_2018[[#This Row],[Amount]]/Log_2018[[#This Row],[Split_raw]]*MAX(0,MIN(_xlfn.DAYS(EDATE(U$1,1),Log_2018[[#This Row],[Date]]),Log_2018[[#This Row],[Split_apply]])) - SUM($O410:T410)</f>
        <v>-24.933333333333334</v>
      </c>
      <c r="V410" s="52">
        <f ca="1">Log_2018[[#This Row],[Amount]]/Log_2018[[#This Row],[Split_raw]]*MAX(0,MIN(_xlfn.DAYS(EDATE(V$1,1),Log_2018[[#This Row],[Date]]),Log_2018[[#This Row],[Split_apply]])) - SUM($O410:U410)</f>
        <v>-43.066666666666663</v>
      </c>
      <c r="W410" s="52">
        <f ca="1">Log_2018[[#This Row],[Amount]]/Log_2018[[#This Row],[Split_raw]]*MAX(0,MIN(_xlfn.DAYS(EDATE(W$1,1),Log_2018[[#This Row],[Date]]),Log_2018[[#This Row],[Split_apply]])) - SUM($O410:V410)</f>
        <v>0</v>
      </c>
      <c r="X410" s="52">
        <f ca="1">Log_2018[[#This Row],[Amount]]/Log_2018[[#This Row],[Split_raw]]*MAX(0,MIN(_xlfn.DAYS(EDATE(X$1,1),Log_2018[[#This Row],[Date]]),Log_2018[[#This Row],[Split_apply]])) - SUM($O410:W410)</f>
        <v>0</v>
      </c>
      <c r="Y410" s="52">
        <f ca="1">Log_2018[[#This Row],[Amount]]/Log_2018[[#This Row],[Split_raw]]*MAX(0,MIN(_xlfn.DAYS(EDATE(Y$1,1),Log_2018[[#This Row],[Date]]),Log_2018[[#This Row],[Split_apply]])) - SUM($O410:X410)</f>
        <v>0</v>
      </c>
      <c r="Z410" s="52">
        <f ca="1">Log_2018[[#This Row],[Amount]]/Log_2018[[#This Row],[Split_raw]]*MAX(0,MIN(_xlfn.DAYS(EDATE(Z$1,1),Log_2018[[#This Row],[Date]]),Log_2018[[#This Row],[Split_apply]])) - SUM($O410:Y410)</f>
        <v>0</v>
      </c>
      <c r="AA410" s="52">
        <f ca="1">Log_2018[[#This Row],[Amount]]/Log_2018[[#This Row],[Split_raw]]*MAX(0,MIN(_xlfn.DAYS(EDATE(AA$1,1),Log_2018[[#This Row],[Date]]),Log_2018[[#This Row],[Split_apply]])) - SUM($O410:Z410)</f>
        <v>0</v>
      </c>
      <c r="AB410" s="54">
        <f ca="1">Log_2018[[#This Row],[Amount]]-SUM(O410:AA410)</f>
        <v>0</v>
      </c>
      <c r="AC410" s="7">
        <f ca="1">MAX(0,Log_2018[[#This Row],[Split_apply]] - (EDATE(AA$1,1)-Log_2018[[#This Row],[Date]]))</f>
        <v>0</v>
      </c>
    </row>
    <row r="411" spans="1:29" hidden="1" x14ac:dyDescent="0.25">
      <c r="A411" s="115"/>
      <c r="B411" t="s">
        <v>6</v>
      </c>
      <c r="D411" s="39">
        <v>43270</v>
      </c>
      <c r="F411" t="s">
        <v>255</v>
      </c>
      <c r="G411" t="s">
        <v>25</v>
      </c>
      <c r="H411" s="3">
        <v>-9.82</v>
      </c>
      <c r="I411" s="36">
        <f>IF(Log_2018[[#This Row],[My Category]]="NONTRACKED",0,Log_2018[[#This Row],[Raw Amount]])</f>
        <v>-9.82</v>
      </c>
      <c r="J411" s="17">
        <f>ABS(Log_2018[[#This Row],[Amount]])</f>
        <v>9.82</v>
      </c>
      <c r="K411" s="66">
        <v>1</v>
      </c>
      <c r="L411" s="66">
        <f ca="1">IF(Log_2018[[#This Row],[Date]]&lt;=TODAY(), MIN(Log_2018[[#This Row],[Split_raw]], TODAY()-Log_2018[[#This Row],[Date]]+1), 0)</f>
        <v>1</v>
      </c>
      <c r="M411" t="s">
        <v>35</v>
      </c>
      <c r="N411" t="s">
        <v>158</v>
      </c>
      <c r="O411" s="50">
        <v>0</v>
      </c>
      <c r="P411" s="52">
        <f ca="1">Log_2018[[#This Row],[Amount]]/Log_2018[[#This Row],[Split_raw]]*MAX(0,MIN(_xlfn.DAYS(EDATE(P$1,1),Log_2018[[#This Row],[Date]]),Log_2018[[#This Row],[Split_apply]])) - SUM($O411:O411)</f>
        <v>0</v>
      </c>
      <c r="Q411" s="52">
        <f ca="1">Log_2018[[#This Row],[Amount]]/Log_2018[[#This Row],[Split_raw]]*MAX(0,MIN(_xlfn.DAYS(EDATE(Q$1,1),Log_2018[[#This Row],[Date]]),Log_2018[[#This Row],[Split_apply]])) - SUM($O411:P411)</f>
        <v>0</v>
      </c>
      <c r="R411" s="52">
        <f ca="1">Log_2018[[#This Row],[Amount]]/Log_2018[[#This Row],[Split_raw]]*MAX(0,MIN(_xlfn.DAYS(EDATE(R$1,1),Log_2018[[#This Row],[Date]]),Log_2018[[#This Row],[Split_apply]])) - SUM($O411:Q411)</f>
        <v>0</v>
      </c>
      <c r="S411" s="52">
        <f ca="1">Log_2018[[#This Row],[Amount]]/Log_2018[[#This Row],[Split_raw]]*MAX(0,MIN(_xlfn.DAYS(EDATE(S$1,1),Log_2018[[#This Row],[Date]]),Log_2018[[#This Row],[Split_apply]])) - SUM($O411:R411)</f>
        <v>0</v>
      </c>
      <c r="T411" s="52">
        <f ca="1">Log_2018[[#This Row],[Amount]]/Log_2018[[#This Row],[Split_raw]]*MAX(0,MIN(_xlfn.DAYS(EDATE(T$1,1),Log_2018[[#This Row],[Date]]),Log_2018[[#This Row],[Split_apply]])) - SUM($O411:S411)</f>
        <v>0</v>
      </c>
      <c r="U411" s="52">
        <f ca="1">Log_2018[[#This Row],[Amount]]/Log_2018[[#This Row],[Split_raw]]*MAX(0,MIN(_xlfn.DAYS(EDATE(U$1,1),Log_2018[[#This Row],[Date]]),Log_2018[[#This Row],[Split_apply]])) - SUM($O411:T411)</f>
        <v>-9.82</v>
      </c>
      <c r="V411" s="52">
        <f ca="1">Log_2018[[#This Row],[Amount]]/Log_2018[[#This Row],[Split_raw]]*MAX(0,MIN(_xlfn.DAYS(EDATE(V$1,1),Log_2018[[#This Row],[Date]]),Log_2018[[#This Row],[Split_apply]])) - SUM($O411:U411)</f>
        <v>0</v>
      </c>
      <c r="W411" s="52">
        <f ca="1">Log_2018[[#This Row],[Amount]]/Log_2018[[#This Row],[Split_raw]]*MAX(0,MIN(_xlfn.DAYS(EDATE(W$1,1),Log_2018[[#This Row],[Date]]),Log_2018[[#This Row],[Split_apply]])) - SUM($O411:V411)</f>
        <v>0</v>
      </c>
      <c r="X411" s="52">
        <f ca="1">Log_2018[[#This Row],[Amount]]/Log_2018[[#This Row],[Split_raw]]*MAX(0,MIN(_xlfn.DAYS(EDATE(X$1,1),Log_2018[[#This Row],[Date]]),Log_2018[[#This Row],[Split_apply]])) - SUM($O411:W411)</f>
        <v>0</v>
      </c>
      <c r="Y411" s="52">
        <f ca="1">Log_2018[[#This Row],[Amount]]/Log_2018[[#This Row],[Split_raw]]*MAX(0,MIN(_xlfn.DAYS(EDATE(Y$1,1),Log_2018[[#This Row],[Date]]),Log_2018[[#This Row],[Split_apply]])) - SUM($O411:X411)</f>
        <v>0</v>
      </c>
      <c r="Z411" s="52">
        <f ca="1">Log_2018[[#This Row],[Amount]]/Log_2018[[#This Row],[Split_raw]]*MAX(0,MIN(_xlfn.DAYS(EDATE(Z$1,1),Log_2018[[#This Row],[Date]]),Log_2018[[#This Row],[Split_apply]])) - SUM($O411:Y411)</f>
        <v>0</v>
      </c>
      <c r="AA411" s="52">
        <f ca="1">Log_2018[[#This Row],[Amount]]/Log_2018[[#This Row],[Split_raw]]*MAX(0,MIN(_xlfn.DAYS(EDATE(AA$1,1),Log_2018[[#This Row],[Date]]),Log_2018[[#This Row],[Split_apply]])) - SUM($O411:Z411)</f>
        <v>0</v>
      </c>
      <c r="AB411" s="54">
        <f ca="1">Log_2018[[#This Row],[Amount]]-SUM(O411:AA411)</f>
        <v>0</v>
      </c>
      <c r="AC411" s="7">
        <f ca="1">MAX(0,Log_2018[[#This Row],[Split_apply]] - (EDATE(AA$1,1)-Log_2018[[#This Row],[Date]]))</f>
        <v>0</v>
      </c>
    </row>
    <row r="412" spans="1:29" hidden="1" x14ac:dyDescent="0.25">
      <c r="A412" s="115"/>
      <c r="B412" t="s">
        <v>6</v>
      </c>
      <c r="D412" s="39">
        <v>43270</v>
      </c>
      <c r="F412" t="s">
        <v>138</v>
      </c>
      <c r="G412" t="s">
        <v>104</v>
      </c>
      <c r="H412" s="3">
        <v>-85.75</v>
      </c>
      <c r="I412" s="36">
        <f>IF(Log_2018[[#This Row],[My Category]]="NONTRACKED",0,Log_2018[[#This Row],[Raw Amount]])</f>
        <v>-85.75</v>
      </c>
      <c r="J412" s="17">
        <f>ABS(Log_2018[[#This Row],[Amount]])</f>
        <v>85.75</v>
      </c>
      <c r="K412" s="66">
        <v>1</v>
      </c>
      <c r="L412" s="66">
        <f ca="1">IF(Log_2018[[#This Row],[Date]]&lt;=TODAY(), MIN(Log_2018[[#This Row],[Split_raw]], TODAY()-Log_2018[[#This Row],[Date]]+1), 0)</f>
        <v>1</v>
      </c>
      <c r="M412" t="s">
        <v>159</v>
      </c>
      <c r="N412" t="s">
        <v>160</v>
      </c>
      <c r="O412" s="50">
        <v>0</v>
      </c>
      <c r="P412" s="52">
        <f ca="1">Log_2018[[#This Row],[Amount]]/Log_2018[[#This Row],[Split_raw]]*MAX(0,MIN(_xlfn.DAYS(EDATE(P$1,1),Log_2018[[#This Row],[Date]]),Log_2018[[#This Row],[Split_apply]])) - SUM($O412:O412)</f>
        <v>0</v>
      </c>
      <c r="Q412" s="52">
        <f ca="1">Log_2018[[#This Row],[Amount]]/Log_2018[[#This Row],[Split_raw]]*MAX(0,MIN(_xlfn.DAYS(EDATE(Q$1,1),Log_2018[[#This Row],[Date]]),Log_2018[[#This Row],[Split_apply]])) - SUM($O412:P412)</f>
        <v>0</v>
      </c>
      <c r="R412" s="52">
        <f ca="1">Log_2018[[#This Row],[Amount]]/Log_2018[[#This Row],[Split_raw]]*MAX(0,MIN(_xlfn.DAYS(EDATE(R$1,1),Log_2018[[#This Row],[Date]]),Log_2018[[#This Row],[Split_apply]])) - SUM($O412:Q412)</f>
        <v>0</v>
      </c>
      <c r="S412" s="52">
        <f ca="1">Log_2018[[#This Row],[Amount]]/Log_2018[[#This Row],[Split_raw]]*MAX(0,MIN(_xlfn.DAYS(EDATE(S$1,1),Log_2018[[#This Row],[Date]]),Log_2018[[#This Row],[Split_apply]])) - SUM($O412:R412)</f>
        <v>0</v>
      </c>
      <c r="T412" s="52">
        <f ca="1">Log_2018[[#This Row],[Amount]]/Log_2018[[#This Row],[Split_raw]]*MAX(0,MIN(_xlfn.DAYS(EDATE(T$1,1),Log_2018[[#This Row],[Date]]),Log_2018[[#This Row],[Split_apply]])) - SUM($O412:S412)</f>
        <v>0</v>
      </c>
      <c r="U412" s="52">
        <f ca="1">Log_2018[[#This Row],[Amount]]/Log_2018[[#This Row],[Split_raw]]*MAX(0,MIN(_xlfn.DAYS(EDATE(U$1,1),Log_2018[[#This Row],[Date]]),Log_2018[[#This Row],[Split_apply]])) - SUM($O412:T412)</f>
        <v>-85.75</v>
      </c>
      <c r="V412" s="52">
        <f ca="1">Log_2018[[#This Row],[Amount]]/Log_2018[[#This Row],[Split_raw]]*MAX(0,MIN(_xlfn.DAYS(EDATE(V$1,1),Log_2018[[#This Row],[Date]]),Log_2018[[#This Row],[Split_apply]])) - SUM($O412:U412)</f>
        <v>0</v>
      </c>
      <c r="W412" s="52">
        <f ca="1">Log_2018[[#This Row],[Amount]]/Log_2018[[#This Row],[Split_raw]]*MAX(0,MIN(_xlfn.DAYS(EDATE(W$1,1),Log_2018[[#This Row],[Date]]),Log_2018[[#This Row],[Split_apply]])) - SUM($O412:V412)</f>
        <v>0</v>
      </c>
      <c r="X412" s="52">
        <f ca="1">Log_2018[[#This Row],[Amount]]/Log_2018[[#This Row],[Split_raw]]*MAX(0,MIN(_xlfn.DAYS(EDATE(X$1,1),Log_2018[[#This Row],[Date]]),Log_2018[[#This Row],[Split_apply]])) - SUM($O412:W412)</f>
        <v>0</v>
      </c>
      <c r="Y412" s="52">
        <f ca="1">Log_2018[[#This Row],[Amount]]/Log_2018[[#This Row],[Split_raw]]*MAX(0,MIN(_xlfn.DAYS(EDATE(Y$1,1),Log_2018[[#This Row],[Date]]),Log_2018[[#This Row],[Split_apply]])) - SUM($O412:X412)</f>
        <v>0</v>
      </c>
      <c r="Z412" s="52">
        <f ca="1">Log_2018[[#This Row],[Amount]]/Log_2018[[#This Row],[Split_raw]]*MAX(0,MIN(_xlfn.DAYS(EDATE(Z$1,1),Log_2018[[#This Row],[Date]]),Log_2018[[#This Row],[Split_apply]])) - SUM($O412:Y412)</f>
        <v>0</v>
      </c>
      <c r="AA412" s="52">
        <f ca="1">Log_2018[[#This Row],[Amount]]/Log_2018[[#This Row],[Split_raw]]*MAX(0,MIN(_xlfn.DAYS(EDATE(AA$1,1),Log_2018[[#This Row],[Date]]),Log_2018[[#This Row],[Split_apply]])) - SUM($O412:Z412)</f>
        <v>0</v>
      </c>
      <c r="AB412" s="54">
        <f ca="1">Log_2018[[#This Row],[Amount]]-SUM(O412:AA412)</f>
        <v>0</v>
      </c>
      <c r="AC412" s="7">
        <f ca="1">MAX(0,Log_2018[[#This Row],[Split_apply]] - (EDATE(AA$1,1)-Log_2018[[#This Row],[Date]]))</f>
        <v>0</v>
      </c>
    </row>
    <row r="413" spans="1:29" hidden="1" x14ac:dyDescent="0.25">
      <c r="A413" s="115"/>
      <c r="B413" t="s">
        <v>6</v>
      </c>
      <c r="D413" s="39">
        <v>43269</v>
      </c>
      <c r="F413" t="s">
        <v>299</v>
      </c>
      <c r="G413" t="s">
        <v>300</v>
      </c>
      <c r="H413" s="3">
        <v>-12.15</v>
      </c>
      <c r="I413" s="36">
        <f>IF(Log_2018[[#This Row],[My Category]]="NONTRACKED",0,Log_2018[[#This Row],[Raw Amount]])</f>
        <v>-12.15</v>
      </c>
      <c r="J413" s="17">
        <f>ABS(Log_2018[[#This Row],[Amount]])</f>
        <v>12.15</v>
      </c>
      <c r="K413" s="66">
        <v>1</v>
      </c>
      <c r="L413" s="66">
        <f ca="1">IF(Log_2018[[#This Row],[Date]]&lt;=TODAY(), MIN(Log_2018[[#This Row],[Split_raw]], TODAY()-Log_2018[[#This Row],[Date]]+1), 0)</f>
        <v>1</v>
      </c>
      <c r="M413" t="s">
        <v>35</v>
      </c>
      <c r="N413" t="s">
        <v>158</v>
      </c>
      <c r="O413" s="50">
        <v>0</v>
      </c>
      <c r="P413" s="52">
        <f ca="1">Log_2018[[#This Row],[Amount]]/Log_2018[[#This Row],[Split_raw]]*MAX(0,MIN(_xlfn.DAYS(EDATE(P$1,1),Log_2018[[#This Row],[Date]]),Log_2018[[#This Row],[Split_apply]])) - SUM($O413:O413)</f>
        <v>0</v>
      </c>
      <c r="Q413" s="52">
        <f ca="1">Log_2018[[#This Row],[Amount]]/Log_2018[[#This Row],[Split_raw]]*MAX(0,MIN(_xlfn.DAYS(EDATE(Q$1,1),Log_2018[[#This Row],[Date]]),Log_2018[[#This Row],[Split_apply]])) - SUM($O413:P413)</f>
        <v>0</v>
      </c>
      <c r="R413" s="52">
        <f ca="1">Log_2018[[#This Row],[Amount]]/Log_2018[[#This Row],[Split_raw]]*MAX(0,MIN(_xlfn.DAYS(EDATE(R$1,1),Log_2018[[#This Row],[Date]]),Log_2018[[#This Row],[Split_apply]])) - SUM($O413:Q413)</f>
        <v>0</v>
      </c>
      <c r="S413" s="52">
        <f ca="1">Log_2018[[#This Row],[Amount]]/Log_2018[[#This Row],[Split_raw]]*MAX(0,MIN(_xlfn.DAYS(EDATE(S$1,1),Log_2018[[#This Row],[Date]]),Log_2018[[#This Row],[Split_apply]])) - SUM($O413:R413)</f>
        <v>0</v>
      </c>
      <c r="T413" s="52">
        <f ca="1">Log_2018[[#This Row],[Amount]]/Log_2018[[#This Row],[Split_raw]]*MAX(0,MIN(_xlfn.DAYS(EDATE(T$1,1),Log_2018[[#This Row],[Date]]),Log_2018[[#This Row],[Split_apply]])) - SUM($O413:S413)</f>
        <v>0</v>
      </c>
      <c r="U413" s="52">
        <f ca="1">Log_2018[[#This Row],[Amount]]/Log_2018[[#This Row],[Split_raw]]*MAX(0,MIN(_xlfn.DAYS(EDATE(U$1,1),Log_2018[[#This Row],[Date]]),Log_2018[[#This Row],[Split_apply]])) - SUM($O413:T413)</f>
        <v>-12.15</v>
      </c>
      <c r="V413" s="52">
        <f ca="1">Log_2018[[#This Row],[Amount]]/Log_2018[[#This Row],[Split_raw]]*MAX(0,MIN(_xlfn.DAYS(EDATE(V$1,1),Log_2018[[#This Row],[Date]]),Log_2018[[#This Row],[Split_apply]])) - SUM($O413:U413)</f>
        <v>0</v>
      </c>
      <c r="W413" s="52">
        <f ca="1">Log_2018[[#This Row],[Amount]]/Log_2018[[#This Row],[Split_raw]]*MAX(0,MIN(_xlfn.DAYS(EDATE(W$1,1),Log_2018[[#This Row],[Date]]),Log_2018[[#This Row],[Split_apply]])) - SUM($O413:V413)</f>
        <v>0</v>
      </c>
      <c r="X413" s="52">
        <f ca="1">Log_2018[[#This Row],[Amount]]/Log_2018[[#This Row],[Split_raw]]*MAX(0,MIN(_xlfn.DAYS(EDATE(X$1,1),Log_2018[[#This Row],[Date]]),Log_2018[[#This Row],[Split_apply]])) - SUM($O413:W413)</f>
        <v>0</v>
      </c>
      <c r="Y413" s="52">
        <f ca="1">Log_2018[[#This Row],[Amount]]/Log_2018[[#This Row],[Split_raw]]*MAX(0,MIN(_xlfn.DAYS(EDATE(Y$1,1),Log_2018[[#This Row],[Date]]),Log_2018[[#This Row],[Split_apply]])) - SUM($O413:X413)</f>
        <v>0</v>
      </c>
      <c r="Z413" s="52">
        <f ca="1">Log_2018[[#This Row],[Amount]]/Log_2018[[#This Row],[Split_raw]]*MAX(0,MIN(_xlfn.DAYS(EDATE(Z$1,1),Log_2018[[#This Row],[Date]]),Log_2018[[#This Row],[Split_apply]])) - SUM($O413:Y413)</f>
        <v>0</v>
      </c>
      <c r="AA413" s="52">
        <f ca="1">Log_2018[[#This Row],[Amount]]/Log_2018[[#This Row],[Split_raw]]*MAX(0,MIN(_xlfn.DAYS(EDATE(AA$1,1),Log_2018[[#This Row],[Date]]),Log_2018[[#This Row],[Split_apply]])) - SUM($O413:Z413)</f>
        <v>0</v>
      </c>
      <c r="AB413" s="54">
        <f ca="1">Log_2018[[#This Row],[Amount]]-SUM(O413:AA413)</f>
        <v>0</v>
      </c>
      <c r="AC413" s="7">
        <f ca="1">MAX(0,Log_2018[[#This Row],[Split_apply]] - (EDATE(AA$1,1)-Log_2018[[#This Row],[Date]]))</f>
        <v>0</v>
      </c>
    </row>
    <row r="414" spans="1:29" hidden="1" x14ac:dyDescent="0.25">
      <c r="A414" s="115"/>
      <c r="B414" t="s">
        <v>6</v>
      </c>
      <c r="D414" s="39">
        <v>43269</v>
      </c>
      <c r="F414" t="s">
        <v>105</v>
      </c>
      <c r="G414" t="s">
        <v>104</v>
      </c>
      <c r="H414" s="3">
        <f>--85.75</f>
        <v>85.75</v>
      </c>
      <c r="I414" s="36">
        <f>IF(Log_2018[[#This Row],[My Category]]="NONTRACKED",0,Log_2018[[#This Row],[Raw Amount]])</f>
        <v>85.75</v>
      </c>
      <c r="J414" s="17">
        <f>ABS(Log_2018[[#This Row],[Amount]])</f>
        <v>85.75</v>
      </c>
      <c r="K414" s="66">
        <v>1</v>
      </c>
      <c r="L414" s="66">
        <f ca="1">IF(Log_2018[[#This Row],[Date]]&lt;=TODAY(), MIN(Log_2018[[#This Row],[Split_raw]], TODAY()-Log_2018[[#This Row],[Date]]+1), 0)</f>
        <v>1</v>
      </c>
      <c r="M414" t="s">
        <v>159</v>
      </c>
      <c r="N414" t="s">
        <v>158</v>
      </c>
      <c r="O414" s="50">
        <v>0</v>
      </c>
      <c r="P414" s="52">
        <f ca="1">Log_2018[[#This Row],[Amount]]/Log_2018[[#This Row],[Split_raw]]*MAX(0,MIN(_xlfn.DAYS(EDATE(P$1,1),Log_2018[[#This Row],[Date]]),Log_2018[[#This Row],[Split_apply]])) - SUM($O414:O414)</f>
        <v>0</v>
      </c>
      <c r="Q414" s="52">
        <f ca="1">Log_2018[[#This Row],[Amount]]/Log_2018[[#This Row],[Split_raw]]*MAX(0,MIN(_xlfn.DAYS(EDATE(Q$1,1),Log_2018[[#This Row],[Date]]),Log_2018[[#This Row],[Split_apply]])) - SUM($O414:P414)</f>
        <v>0</v>
      </c>
      <c r="R414" s="52">
        <f ca="1">Log_2018[[#This Row],[Amount]]/Log_2018[[#This Row],[Split_raw]]*MAX(0,MIN(_xlfn.DAYS(EDATE(R$1,1),Log_2018[[#This Row],[Date]]),Log_2018[[#This Row],[Split_apply]])) - SUM($O414:Q414)</f>
        <v>0</v>
      </c>
      <c r="S414" s="52">
        <f ca="1">Log_2018[[#This Row],[Amount]]/Log_2018[[#This Row],[Split_raw]]*MAX(0,MIN(_xlfn.DAYS(EDATE(S$1,1),Log_2018[[#This Row],[Date]]),Log_2018[[#This Row],[Split_apply]])) - SUM($O414:R414)</f>
        <v>0</v>
      </c>
      <c r="T414" s="52">
        <f ca="1">Log_2018[[#This Row],[Amount]]/Log_2018[[#This Row],[Split_raw]]*MAX(0,MIN(_xlfn.DAYS(EDATE(T$1,1),Log_2018[[#This Row],[Date]]),Log_2018[[#This Row],[Split_apply]])) - SUM($O414:S414)</f>
        <v>0</v>
      </c>
      <c r="U414" s="52">
        <f ca="1">Log_2018[[#This Row],[Amount]]/Log_2018[[#This Row],[Split_raw]]*MAX(0,MIN(_xlfn.DAYS(EDATE(U$1,1),Log_2018[[#This Row],[Date]]),Log_2018[[#This Row],[Split_apply]])) - SUM($O414:T414)</f>
        <v>85.75</v>
      </c>
      <c r="V414" s="52">
        <f ca="1">Log_2018[[#This Row],[Amount]]/Log_2018[[#This Row],[Split_raw]]*MAX(0,MIN(_xlfn.DAYS(EDATE(V$1,1),Log_2018[[#This Row],[Date]]),Log_2018[[#This Row],[Split_apply]])) - SUM($O414:U414)</f>
        <v>0</v>
      </c>
      <c r="W414" s="52">
        <f ca="1">Log_2018[[#This Row],[Amount]]/Log_2018[[#This Row],[Split_raw]]*MAX(0,MIN(_xlfn.DAYS(EDATE(W$1,1),Log_2018[[#This Row],[Date]]),Log_2018[[#This Row],[Split_apply]])) - SUM($O414:V414)</f>
        <v>0</v>
      </c>
      <c r="X414" s="52">
        <f ca="1">Log_2018[[#This Row],[Amount]]/Log_2018[[#This Row],[Split_raw]]*MAX(0,MIN(_xlfn.DAYS(EDATE(X$1,1),Log_2018[[#This Row],[Date]]),Log_2018[[#This Row],[Split_apply]])) - SUM($O414:W414)</f>
        <v>0</v>
      </c>
      <c r="Y414" s="52">
        <f ca="1">Log_2018[[#This Row],[Amount]]/Log_2018[[#This Row],[Split_raw]]*MAX(0,MIN(_xlfn.DAYS(EDATE(Y$1,1),Log_2018[[#This Row],[Date]]),Log_2018[[#This Row],[Split_apply]])) - SUM($O414:X414)</f>
        <v>0</v>
      </c>
      <c r="Z414" s="52">
        <f ca="1">Log_2018[[#This Row],[Amount]]/Log_2018[[#This Row],[Split_raw]]*MAX(0,MIN(_xlfn.DAYS(EDATE(Z$1,1),Log_2018[[#This Row],[Date]]),Log_2018[[#This Row],[Split_apply]])) - SUM($O414:Y414)</f>
        <v>0</v>
      </c>
      <c r="AA414" s="52">
        <f ca="1">Log_2018[[#This Row],[Amount]]/Log_2018[[#This Row],[Split_raw]]*MAX(0,MIN(_xlfn.DAYS(EDATE(AA$1,1),Log_2018[[#This Row],[Date]]),Log_2018[[#This Row],[Split_apply]])) - SUM($O414:Z414)</f>
        <v>0</v>
      </c>
      <c r="AB414" s="54">
        <f ca="1">Log_2018[[#This Row],[Amount]]-SUM(O414:AA414)</f>
        <v>0</v>
      </c>
      <c r="AC414" s="7">
        <f ca="1">MAX(0,Log_2018[[#This Row],[Split_apply]] - (EDATE(AA$1,1)-Log_2018[[#This Row],[Date]]))</f>
        <v>0</v>
      </c>
    </row>
    <row r="415" spans="1:29" hidden="1" x14ac:dyDescent="0.25">
      <c r="A415" s="115"/>
      <c r="B415" t="s">
        <v>6</v>
      </c>
      <c r="D415" s="39">
        <v>43269</v>
      </c>
      <c r="F415" t="s">
        <v>59</v>
      </c>
      <c r="G415" t="s">
        <v>25</v>
      </c>
      <c r="H415" s="3">
        <v>-7.94</v>
      </c>
      <c r="I415" s="36">
        <f>IF(Log_2018[[#This Row],[My Category]]="NONTRACKED",0,Log_2018[[#This Row],[Raw Amount]])</f>
        <v>-7.94</v>
      </c>
      <c r="J415" s="17">
        <f>ABS(Log_2018[[#This Row],[Amount]])</f>
        <v>7.94</v>
      </c>
      <c r="K415" s="66">
        <v>1</v>
      </c>
      <c r="L415" s="66">
        <f ca="1">IF(Log_2018[[#This Row],[Date]]&lt;=TODAY(), MIN(Log_2018[[#This Row],[Split_raw]], TODAY()-Log_2018[[#This Row],[Date]]+1), 0)</f>
        <v>1</v>
      </c>
      <c r="M415" t="s">
        <v>35</v>
      </c>
      <c r="N415" t="s">
        <v>158</v>
      </c>
      <c r="O415" s="50">
        <v>0</v>
      </c>
      <c r="P415" s="52">
        <f ca="1">Log_2018[[#This Row],[Amount]]/Log_2018[[#This Row],[Split_raw]]*MAX(0,MIN(_xlfn.DAYS(EDATE(P$1,1),Log_2018[[#This Row],[Date]]),Log_2018[[#This Row],[Split_apply]])) - SUM($O415:O415)</f>
        <v>0</v>
      </c>
      <c r="Q415" s="52">
        <f ca="1">Log_2018[[#This Row],[Amount]]/Log_2018[[#This Row],[Split_raw]]*MAX(0,MIN(_xlfn.DAYS(EDATE(Q$1,1),Log_2018[[#This Row],[Date]]),Log_2018[[#This Row],[Split_apply]])) - SUM($O415:P415)</f>
        <v>0</v>
      </c>
      <c r="R415" s="52">
        <f ca="1">Log_2018[[#This Row],[Amount]]/Log_2018[[#This Row],[Split_raw]]*MAX(0,MIN(_xlfn.DAYS(EDATE(R$1,1),Log_2018[[#This Row],[Date]]),Log_2018[[#This Row],[Split_apply]])) - SUM($O415:Q415)</f>
        <v>0</v>
      </c>
      <c r="S415" s="52">
        <f ca="1">Log_2018[[#This Row],[Amount]]/Log_2018[[#This Row],[Split_raw]]*MAX(0,MIN(_xlfn.DAYS(EDATE(S$1,1),Log_2018[[#This Row],[Date]]),Log_2018[[#This Row],[Split_apply]])) - SUM($O415:R415)</f>
        <v>0</v>
      </c>
      <c r="T415" s="52">
        <f ca="1">Log_2018[[#This Row],[Amount]]/Log_2018[[#This Row],[Split_raw]]*MAX(0,MIN(_xlfn.DAYS(EDATE(T$1,1),Log_2018[[#This Row],[Date]]),Log_2018[[#This Row],[Split_apply]])) - SUM($O415:S415)</f>
        <v>0</v>
      </c>
      <c r="U415" s="52">
        <f ca="1">Log_2018[[#This Row],[Amount]]/Log_2018[[#This Row],[Split_raw]]*MAX(0,MIN(_xlfn.DAYS(EDATE(U$1,1),Log_2018[[#This Row],[Date]]),Log_2018[[#This Row],[Split_apply]])) - SUM($O415:T415)</f>
        <v>-7.94</v>
      </c>
      <c r="V415" s="52">
        <f ca="1">Log_2018[[#This Row],[Amount]]/Log_2018[[#This Row],[Split_raw]]*MAX(0,MIN(_xlfn.DAYS(EDATE(V$1,1),Log_2018[[#This Row],[Date]]),Log_2018[[#This Row],[Split_apply]])) - SUM($O415:U415)</f>
        <v>0</v>
      </c>
      <c r="W415" s="52">
        <f ca="1">Log_2018[[#This Row],[Amount]]/Log_2018[[#This Row],[Split_raw]]*MAX(0,MIN(_xlfn.DAYS(EDATE(W$1,1),Log_2018[[#This Row],[Date]]),Log_2018[[#This Row],[Split_apply]])) - SUM($O415:V415)</f>
        <v>0</v>
      </c>
      <c r="X415" s="52">
        <f ca="1">Log_2018[[#This Row],[Amount]]/Log_2018[[#This Row],[Split_raw]]*MAX(0,MIN(_xlfn.DAYS(EDATE(X$1,1),Log_2018[[#This Row],[Date]]),Log_2018[[#This Row],[Split_apply]])) - SUM($O415:W415)</f>
        <v>0</v>
      </c>
      <c r="Y415" s="52">
        <f ca="1">Log_2018[[#This Row],[Amount]]/Log_2018[[#This Row],[Split_raw]]*MAX(0,MIN(_xlfn.DAYS(EDATE(Y$1,1),Log_2018[[#This Row],[Date]]),Log_2018[[#This Row],[Split_apply]])) - SUM($O415:X415)</f>
        <v>0</v>
      </c>
      <c r="Z415" s="52">
        <f ca="1">Log_2018[[#This Row],[Amount]]/Log_2018[[#This Row],[Split_raw]]*MAX(0,MIN(_xlfn.DAYS(EDATE(Z$1,1),Log_2018[[#This Row],[Date]]),Log_2018[[#This Row],[Split_apply]])) - SUM($O415:Y415)</f>
        <v>0</v>
      </c>
      <c r="AA415" s="52">
        <f ca="1">Log_2018[[#This Row],[Amount]]/Log_2018[[#This Row],[Split_raw]]*MAX(0,MIN(_xlfn.DAYS(EDATE(AA$1,1),Log_2018[[#This Row],[Date]]),Log_2018[[#This Row],[Split_apply]])) - SUM($O415:Z415)</f>
        <v>0</v>
      </c>
      <c r="AB415" s="54">
        <f ca="1">Log_2018[[#This Row],[Amount]]-SUM(O415:AA415)</f>
        <v>0</v>
      </c>
      <c r="AC415" s="7">
        <f ca="1">MAX(0,Log_2018[[#This Row],[Split_apply]] - (EDATE(AA$1,1)-Log_2018[[#This Row],[Date]]))</f>
        <v>0</v>
      </c>
    </row>
    <row r="416" spans="1:29" hidden="1" x14ac:dyDescent="0.25">
      <c r="A416" s="115"/>
      <c r="B416" t="s">
        <v>6</v>
      </c>
      <c r="D416" s="39">
        <v>43269</v>
      </c>
      <c r="F416" t="s">
        <v>142</v>
      </c>
      <c r="G416" t="s">
        <v>143</v>
      </c>
      <c r="H416" s="3">
        <f>--400</f>
        <v>400</v>
      </c>
      <c r="I416" s="36">
        <f>IF(Log_2018[[#This Row],[My Category]]="NONTRACKED",0,Log_2018[[#This Row],[Raw Amount]])</f>
        <v>400</v>
      </c>
      <c r="J416" s="17">
        <f>ABS(Log_2018[[#This Row],[Amount]])</f>
        <v>400</v>
      </c>
      <c r="K416" s="66">
        <v>1</v>
      </c>
      <c r="L416" s="66">
        <f ca="1">IF(Log_2018[[#This Row],[Date]]&lt;=TODAY(), MIN(Log_2018[[#This Row],[Split_raw]], TODAY()-Log_2018[[#This Row],[Date]]+1), 0)</f>
        <v>1</v>
      </c>
      <c r="M416" t="s">
        <v>101</v>
      </c>
      <c r="N416" t="s">
        <v>160</v>
      </c>
      <c r="O416" s="50">
        <v>0</v>
      </c>
      <c r="P416" s="52">
        <f ca="1">Log_2018[[#This Row],[Amount]]/Log_2018[[#This Row],[Split_raw]]*MAX(0,MIN(_xlfn.DAYS(EDATE(P$1,1),Log_2018[[#This Row],[Date]]),Log_2018[[#This Row],[Split_apply]])) - SUM($O416:O416)</f>
        <v>0</v>
      </c>
      <c r="Q416" s="52">
        <f ca="1">Log_2018[[#This Row],[Amount]]/Log_2018[[#This Row],[Split_raw]]*MAX(0,MIN(_xlfn.DAYS(EDATE(Q$1,1),Log_2018[[#This Row],[Date]]),Log_2018[[#This Row],[Split_apply]])) - SUM($O416:P416)</f>
        <v>0</v>
      </c>
      <c r="R416" s="52">
        <f ca="1">Log_2018[[#This Row],[Amount]]/Log_2018[[#This Row],[Split_raw]]*MAX(0,MIN(_xlfn.DAYS(EDATE(R$1,1),Log_2018[[#This Row],[Date]]),Log_2018[[#This Row],[Split_apply]])) - SUM($O416:Q416)</f>
        <v>0</v>
      </c>
      <c r="S416" s="52">
        <f ca="1">Log_2018[[#This Row],[Amount]]/Log_2018[[#This Row],[Split_raw]]*MAX(0,MIN(_xlfn.DAYS(EDATE(S$1,1),Log_2018[[#This Row],[Date]]),Log_2018[[#This Row],[Split_apply]])) - SUM($O416:R416)</f>
        <v>0</v>
      </c>
      <c r="T416" s="52">
        <f ca="1">Log_2018[[#This Row],[Amount]]/Log_2018[[#This Row],[Split_raw]]*MAX(0,MIN(_xlfn.DAYS(EDATE(T$1,1),Log_2018[[#This Row],[Date]]),Log_2018[[#This Row],[Split_apply]])) - SUM($O416:S416)</f>
        <v>0</v>
      </c>
      <c r="U416" s="52">
        <f ca="1">Log_2018[[#This Row],[Amount]]/Log_2018[[#This Row],[Split_raw]]*MAX(0,MIN(_xlfn.DAYS(EDATE(U$1,1),Log_2018[[#This Row],[Date]]),Log_2018[[#This Row],[Split_apply]])) - SUM($O416:T416)</f>
        <v>400</v>
      </c>
      <c r="V416" s="52">
        <f ca="1">Log_2018[[#This Row],[Amount]]/Log_2018[[#This Row],[Split_raw]]*MAX(0,MIN(_xlfn.DAYS(EDATE(V$1,1),Log_2018[[#This Row],[Date]]),Log_2018[[#This Row],[Split_apply]])) - SUM($O416:U416)</f>
        <v>0</v>
      </c>
      <c r="W416" s="52">
        <f ca="1">Log_2018[[#This Row],[Amount]]/Log_2018[[#This Row],[Split_raw]]*MAX(0,MIN(_xlfn.DAYS(EDATE(W$1,1),Log_2018[[#This Row],[Date]]),Log_2018[[#This Row],[Split_apply]])) - SUM($O416:V416)</f>
        <v>0</v>
      </c>
      <c r="X416" s="52">
        <f ca="1">Log_2018[[#This Row],[Amount]]/Log_2018[[#This Row],[Split_raw]]*MAX(0,MIN(_xlfn.DAYS(EDATE(X$1,1),Log_2018[[#This Row],[Date]]),Log_2018[[#This Row],[Split_apply]])) - SUM($O416:W416)</f>
        <v>0</v>
      </c>
      <c r="Y416" s="52">
        <f ca="1">Log_2018[[#This Row],[Amount]]/Log_2018[[#This Row],[Split_raw]]*MAX(0,MIN(_xlfn.DAYS(EDATE(Y$1,1),Log_2018[[#This Row],[Date]]),Log_2018[[#This Row],[Split_apply]])) - SUM($O416:X416)</f>
        <v>0</v>
      </c>
      <c r="Z416" s="52">
        <f ca="1">Log_2018[[#This Row],[Amount]]/Log_2018[[#This Row],[Split_raw]]*MAX(0,MIN(_xlfn.DAYS(EDATE(Z$1,1),Log_2018[[#This Row],[Date]]),Log_2018[[#This Row],[Split_apply]])) - SUM($O416:Y416)</f>
        <v>0</v>
      </c>
      <c r="AA416" s="52">
        <f ca="1">Log_2018[[#This Row],[Amount]]/Log_2018[[#This Row],[Split_raw]]*MAX(0,MIN(_xlfn.DAYS(EDATE(AA$1,1),Log_2018[[#This Row],[Date]]),Log_2018[[#This Row],[Split_apply]])) - SUM($O416:Z416)</f>
        <v>0</v>
      </c>
      <c r="AB416" s="54">
        <f ca="1">Log_2018[[#This Row],[Amount]]-SUM(O416:AA416)</f>
        <v>0</v>
      </c>
      <c r="AC416" s="7">
        <f ca="1">MAX(0,Log_2018[[#This Row],[Split_apply]] - (EDATE(AA$1,1)-Log_2018[[#This Row],[Date]]))</f>
        <v>0</v>
      </c>
    </row>
    <row r="417" spans="1:29" hidden="1" x14ac:dyDescent="0.25">
      <c r="A417" s="115"/>
      <c r="B417" t="s">
        <v>6</v>
      </c>
      <c r="D417" s="39">
        <v>43266</v>
      </c>
      <c r="F417" t="s">
        <v>301</v>
      </c>
      <c r="G417" t="s">
        <v>25</v>
      </c>
      <c r="H417" s="3">
        <v>-6.87</v>
      </c>
      <c r="I417" s="36">
        <f>IF(Log_2018[[#This Row],[My Category]]="NONTRACKED",0,Log_2018[[#This Row],[Raw Amount]])</f>
        <v>-6.87</v>
      </c>
      <c r="J417" s="17">
        <f>ABS(Log_2018[[#This Row],[Amount]])</f>
        <v>6.87</v>
      </c>
      <c r="K417" s="66">
        <v>1</v>
      </c>
      <c r="L417" s="66">
        <f ca="1">IF(Log_2018[[#This Row],[Date]]&lt;=TODAY(), MIN(Log_2018[[#This Row],[Split_raw]], TODAY()-Log_2018[[#This Row],[Date]]+1), 0)</f>
        <v>1</v>
      </c>
      <c r="M417" t="s">
        <v>35</v>
      </c>
      <c r="N417" t="s">
        <v>158</v>
      </c>
      <c r="O417" s="50">
        <v>0</v>
      </c>
      <c r="P417" s="52">
        <f ca="1">Log_2018[[#This Row],[Amount]]/Log_2018[[#This Row],[Split_raw]]*MAX(0,MIN(_xlfn.DAYS(EDATE(P$1,1),Log_2018[[#This Row],[Date]]),Log_2018[[#This Row],[Split_apply]])) - SUM($O417:O417)</f>
        <v>0</v>
      </c>
      <c r="Q417" s="52">
        <f ca="1">Log_2018[[#This Row],[Amount]]/Log_2018[[#This Row],[Split_raw]]*MAX(0,MIN(_xlfn.DAYS(EDATE(Q$1,1),Log_2018[[#This Row],[Date]]),Log_2018[[#This Row],[Split_apply]])) - SUM($O417:P417)</f>
        <v>0</v>
      </c>
      <c r="R417" s="52">
        <f ca="1">Log_2018[[#This Row],[Amount]]/Log_2018[[#This Row],[Split_raw]]*MAX(0,MIN(_xlfn.DAYS(EDATE(R$1,1),Log_2018[[#This Row],[Date]]),Log_2018[[#This Row],[Split_apply]])) - SUM($O417:Q417)</f>
        <v>0</v>
      </c>
      <c r="S417" s="52">
        <f ca="1">Log_2018[[#This Row],[Amount]]/Log_2018[[#This Row],[Split_raw]]*MAX(0,MIN(_xlfn.DAYS(EDATE(S$1,1),Log_2018[[#This Row],[Date]]),Log_2018[[#This Row],[Split_apply]])) - SUM($O417:R417)</f>
        <v>0</v>
      </c>
      <c r="T417" s="52">
        <f ca="1">Log_2018[[#This Row],[Amount]]/Log_2018[[#This Row],[Split_raw]]*MAX(0,MIN(_xlfn.DAYS(EDATE(T$1,1),Log_2018[[#This Row],[Date]]),Log_2018[[#This Row],[Split_apply]])) - SUM($O417:S417)</f>
        <v>0</v>
      </c>
      <c r="U417" s="52">
        <f ca="1">Log_2018[[#This Row],[Amount]]/Log_2018[[#This Row],[Split_raw]]*MAX(0,MIN(_xlfn.DAYS(EDATE(U$1,1),Log_2018[[#This Row],[Date]]),Log_2018[[#This Row],[Split_apply]])) - SUM($O417:T417)</f>
        <v>-6.87</v>
      </c>
      <c r="V417" s="52">
        <f ca="1">Log_2018[[#This Row],[Amount]]/Log_2018[[#This Row],[Split_raw]]*MAX(0,MIN(_xlfn.DAYS(EDATE(V$1,1),Log_2018[[#This Row],[Date]]),Log_2018[[#This Row],[Split_apply]])) - SUM($O417:U417)</f>
        <v>0</v>
      </c>
      <c r="W417" s="52">
        <f ca="1">Log_2018[[#This Row],[Amount]]/Log_2018[[#This Row],[Split_raw]]*MAX(0,MIN(_xlfn.DAYS(EDATE(W$1,1),Log_2018[[#This Row],[Date]]),Log_2018[[#This Row],[Split_apply]])) - SUM($O417:V417)</f>
        <v>0</v>
      </c>
      <c r="X417" s="52">
        <f ca="1">Log_2018[[#This Row],[Amount]]/Log_2018[[#This Row],[Split_raw]]*MAX(0,MIN(_xlfn.DAYS(EDATE(X$1,1),Log_2018[[#This Row],[Date]]),Log_2018[[#This Row],[Split_apply]])) - SUM($O417:W417)</f>
        <v>0</v>
      </c>
      <c r="Y417" s="52">
        <f ca="1">Log_2018[[#This Row],[Amount]]/Log_2018[[#This Row],[Split_raw]]*MAX(0,MIN(_xlfn.DAYS(EDATE(Y$1,1),Log_2018[[#This Row],[Date]]),Log_2018[[#This Row],[Split_apply]])) - SUM($O417:X417)</f>
        <v>0</v>
      </c>
      <c r="Z417" s="52">
        <f ca="1">Log_2018[[#This Row],[Amount]]/Log_2018[[#This Row],[Split_raw]]*MAX(0,MIN(_xlfn.DAYS(EDATE(Z$1,1),Log_2018[[#This Row],[Date]]),Log_2018[[#This Row],[Split_apply]])) - SUM($O417:Y417)</f>
        <v>0</v>
      </c>
      <c r="AA417" s="52">
        <f ca="1">Log_2018[[#This Row],[Amount]]/Log_2018[[#This Row],[Split_raw]]*MAX(0,MIN(_xlfn.DAYS(EDATE(AA$1,1),Log_2018[[#This Row],[Date]]),Log_2018[[#This Row],[Split_apply]])) - SUM($O417:Z417)</f>
        <v>0</v>
      </c>
      <c r="AB417" s="54">
        <f ca="1">Log_2018[[#This Row],[Amount]]-SUM(O417:AA417)</f>
        <v>0</v>
      </c>
      <c r="AC417" s="7">
        <f ca="1">MAX(0,Log_2018[[#This Row],[Split_apply]] - (EDATE(AA$1,1)-Log_2018[[#This Row],[Date]]))</f>
        <v>0</v>
      </c>
    </row>
    <row r="418" spans="1:29" hidden="1" x14ac:dyDescent="0.25">
      <c r="A418" s="115"/>
      <c r="B418" t="s">
        <v>6</v>
      </c>
      <c r="D418" s="39">
        <v>43266</v>
      </c>
      <c r="F418" t="s">
        <v>255</v>
      </c>
      <c r="G418" t="s">
        <v>25</v>
      </c>
      <c r="H418" s="3">
        <v>-30.25</v>
      </c>
      <c r="I418" s="36">
        <f>IF(Log_2018[[#This Row],[My Category]]="NONTRACKED",0,Log_2018[[#This Row],[Raw Amount]])</f>
        <v>-30.25</v>
      </c>
      <c r="J418" s="17">
        <f>ABS(Log_2018[[#This Row],[Amount]])</f>
        <v>30.25</v>
      </c>
      <c r="K418" s="66">
        <v>1</v>
      </c>
      <c r="L418" s="66">
        <f ca="1">IF(Log_2018[[#This Row],[Date]]&lt;=TODAY(), MIN(Log_2018[[#This Row],[Split_raw]], TODAY()-Log_2018[[#This Row],[Date]]+1), 0)</f>
        <v>1</v>
      </c>
      <c r="M418" t="s">
        <v>52</v>
      </c>
      <c r="N418" t="s">
        <v>158</v>
      </c>
      <c r="O418" s="50">
        <v>0</v>
      </c>
      <c r="P418" s="52">
        <f ca="1">Log_2018[[#This Row],[Amount]]/Log_2018[[#This Row],[Split_raw]]*MAX(0,MIN(_xlfn.DAYS(EDATE(P$1,1),Log_2018[[#This Row],[Date]]),Log_2018[[#This Row],[Split_apply]])) - SUM($O418:O418)</f>
        <v>0</v>
      </c>
      <c r="Q418" s="52">
        <f ca="1">Log_2018[[#This Row],[Amount]]/Log_2018[[#This Row],[Split_raw]]*MAX(0,MIN(_xlfn.DAYS(EDATE(Q$1,1),Log_2018[[#This Row],[Date]]),Log_2018[[#This Row],[Split_apply]])) - SUM($O418:P418)</f>
        <v>0</v>
      </c>
      <c r="R418" s="52">
        <f ca="1">Log_2018[[#This Row],[Amount]]/Log_2018[[#This Row],[Split_raw]]*MAX(0,MIN(_xlfn.DAYS(EDATE(R$1,1),Log_2018[[#This Row],[Date]]),Log_2018[[#This Row],[Split_apply]])) - SUM($O418:Q418)</f>
        <v>0</v>
      </c>
      <c r="S418" s="52">
        <f ca="1">Log_2018[[#This Row],[Amount]]/Log_2018[[#This Row],[Split_raw]]*MAX(0,MIN(_xlfn.DAYS(EDATE(S$1,1),Log_2018[[#This Row],[Date]]),Log_2018[[#This Row],[Split_apply]])) - SUM($O418:R418)</f>
        <v>0</v>
      </c>
      <c r="T418" s="52">
        <f ca="1">Log_2018[[#This Row],[Amount]]/Log_2018[[#This Row],[Split_raw]]*MAX(0,MIN(_xlfn.DAYS(EDATE(T$1,1),Log_2018[[#This Row],[Date]]),Log_2018[[#This Row],[Split_apply]])) - SUM($O418:S418)</f>
        <v>0</v>
      </c>
      <c r="U418" s="52">
        <f ca="1">Log_2018[[#This Row],[Amount]]/Log_2018[[#This Row],[Split_raw]]*MAX(0,MIN(_xlfn.DAYS(EDATE(U$1,1),Log_2018[[#This Row],[Date]]),Log_2018[[#This Row],[Split_apply]])) - SUM($O418:T418)</f>
        <v>-30.25</v>
      </c>
      <c r="V418" s="52">
        <f ca="1">Log_2018[[#This Row],[Amount]]/Log_2018[[#This Row],[Split_raw]]*MAX(0,MIN(_xlfn.DAYS(EDATE(V$1,1),Log_2018[[#This Row],[Date]]),Log_2018[[#This Row],[Split_apply]])) - SUM($O418:U418)</f>
        <v>0</v>
      </c>
      <c r="W418" s="52">
        <f ca="1">Log_2018[[#This Row],[Amount]]/Log_2018[[#This Row],[Split_raw]]*MAX(0,MIN(_xlfn.DAYS(EDATE(W$1,1),Log_2018[[#This Row],[Date]]),Log_2018[[#This Row],[Split_apply]])) - SUM($O418:V418)</f>
        <v>0</v>
      </c>
      <c r="X418" s="52">
        <f ca="1">Log_2018[[#This Row],[Amount]]/Log_2018[[#This Row],[Split_raw]]*MAX(0,MIN(_xlfn.DAYS(EDATE(X$1,1),Log_2018[[#This Row],[Date]]),Log_2018[[#This Row],[Split_apply]])) - SUM($O418:W418)</f>
        <v>0</v>
      </c>
      <c r="Y418" s="52">
        <f ca="1">Log_2018[[#This Row],[Amount]]/Log_2018[[#This Row],[Split_raw]]*MAX(0,MIN(_xlfn.DAYS(EDATE(Y$1,1),Log_2018[[#This Row],[Date]]),Log_2018[[#This Row],[Split_apply]])) - SUM($O418:X418)</f>
        <v>0</v>
      </c>
      <c r="Z418" s="52">
        <f ca="1">Log_2018[[#This Row],[Amount]]/Log_2018[[#This Row],[Split_raw]]*MAX(0,MIN(_xlfn.DAYS(EDATE(Z$1,1),Log_2018[[#This Row],[Date]]),Log_2018[[#This Row],[Split_apply]])) - SUM($O418:Y418)</f>
        <v>0</v>
      </c>
      <c r="AA418" s="52">
        <f ca="1">Log_2018[[#This Row],[Amount]]/Log_2018[[#This Row],[Split_raw]]*MAX(0,MIN(_xlfn.DAYS(EDATE(AA$1,1),Log_2018[[#This Row],[Date]]),Log_2018[[#This Row],[Split_apply]])) - SUM($O418:Z418)</f>
        <v>0</v>
      </c>
      <c r="AB418" s="54">
        <f ca="1">Log_2018[[#This Row],[Amount]]-SUM(O418:AA418)</f>
        <v>0</v>
      </c>
      <c r="AC418" s="7">
        <f ca="1">MAX(0,Log_2018[[#This Row],[Split_apply]] - (EDATE(AA$1,1)-Log_2018[[#This Row],[Date]]))</f>
        <v>0</v>
      </c>
    </row>
    <row r="419" spans="1:29" hidden="1" x14ac:dyDescent="0.25">
      <c r="A419" s="115"/>
      <c r="B419" t="s">
        <v>6</v>
      </c>
      <c r="D419" s="39">
        <v>43265</v>
      </c>
      <c r="F419" t="s">
        <v>59</v>
      </c>
      <c r="G419" t="s">
        <v>25</v>
      </c>
      <c r="H419" s="3">
        <v>-7.94</v>
      </c>
      <c r="I419" s="36">
        <f>IF(Log_2018[[#This Row],[My Category]]="NONTRACKED",0,Log_2018[[#This Row],[Raw Amount]])</f>
        <v>-7.94</v>
      </c>
      <c r="J419" s="17">
        <f>ABS(Log_2018[[#This Row],[Amount]])</f>
        <v>7.94</v>
      </c>
      <c r="K419" s="66">
        <v>1</v>
      </c>
      <c r="L419" s="66">
        <f ca="1">IF(Log_2018[[#This Row],[Date]]&lt;=TODAY(), MIN(Log_2018[[#This Row],[Split_raw]], TODAY()-Log_2018[[#This Row],[Date]]+1), 0)</f>
        <v>1</v>
      </c>
      <c r="M419" t="s">
        <v>35</v>
      </c>
      <c r="N419" t="s">
        <v>158</v>
      </c>
      <c r="O419" s="50">
        <v>0</v>
      </c>
      <c r="P419" s="52">
        <f ca="1">Log_2018[[#This Row],[Amount]]/Log_2018[[#This Row],[Split_raw]]*MAX(0,MIN(_xlfn.DAYS(EDATE(P$1,1),Log_2018[[#This Row],[Date]]),Log_2018[[#This Row],[Split_apply]])) - SUM($O419:O419)</f>
        <v>0</v>
      </c>
      <c r="Q419" s="52">
        <f ca="1">Log_2018[[#This Row],[Amount]]/Log_2018[[#This Row],[Split_raw]]*MAX(0,MIN(_xlfn.DAYS(EDATE(Q$1,1),Log_2018[[#This Row],[Date]]),Log_2018[[#This Row],[Split_apply]])) - SUM($O419:P419)</f>
        <v>0</v>
      </c>
      <c r="R419" s="52">
        <f ca="1">Log_2018[[#This Row],[Amount]]/Log_2018[[#This Row],[Split_raw]]*MAX(0,MIN(_xlfn.DAYS(EDATE(R$1,1),Log_2018[[#This Row],[Date]]),Log_2018[[#This Row],[Split_apply]])) - SUM($O419:Q419)</f>
        <v>0</v>
      </c>
      <c r="S419" s="52">
        <f ca="1">Log_2018[[#This Row],[Amount]]/Log_2018[[#This Row],[Split_raw]]*MAX(0,MIN(_xlfn.DAYS(EDATE(S$1,1),Log_2018[[#This Row],[Date]]),Log_2018[[#This Row],[Split_apply]])) - SUM($O419:R419)</f>
        <v>0</v>
      </c>
      <c r="T419" s="52">
        <f ca="1">Log_2018[[#This Row],[Amount]]/Log_2018[[#This Row],[Split_raw]]*MAX(0,MIN(_xlfn.DAYS(EDATE(T$1,1),Log_2018[[#This Row],[Date]]),Log_2018[[#This Row],[Split_apply]])) - SUM($O419:S419)</f>
        <v>0</v>
      </c>
      <c r="U419" s="52">
        <f ca="1">Log_2018[[#This Row],[Amount]]/Log_2018[[#This Row],[Split_raw]]*MAX(0,MIN(_xlfn.DAYS(EDATE(U$1,1),Log_2018[[#This Row],[Date]]),Log_2018[[#This Row],[Split_apply]])) - SUM($O419:T419)</f>
        <v>-7.94</v>
      </c>
      <c r="V419" s="52">
        <f ca="1">Log_2018[[#This Row],[Amount]]/Log_2018[[#This Row],[Split_raw]]*MAX(0,MIN(_xlfn.DAYS(EDATE(V$1,1),Log_2018[[#This Row],[Date]]),Log_2018[[#This Row],[Split_apply]])) - SUM($O419:U419)</f>
        <v>0</v>
      </c>
      <c r="W419" s="52">
        <f ca="1">Log_2018[[#This Row],[Amount]]/Log_2018[[#This Row],[Split_raw]]*MAX(0,MIN(_xlfn.DAYS(EDATE(W$1,1),Log_2018[[#This Row],[Date]]),Log_2018[[#This Row],[Split_apply]])) - SUM($O419:V419)</f>
        <v>0</v>
      </c>
      <c r="X419" s="52">
        <f ca="1">Log_2018[[#This Row],[Amount]]/Log_2018[[#This Row],[Split_raw]]*MAX(0,MIN(_xlfn.DAYS(EDATE(X$1,1),Log_2018[[#This Row],[Date]]),Log_2018[[#This Row],[Split_apply]])) - SUM($O419:W419)</f>
        <v>0</v>
      </c>
      <c r="Y419" s="52">
        <f ca="1">Log_2018[[#This Row],[Amount]]/Log_2018[[#This Row],[Split_raw]]*MAX(0,MIN(_xlfn.DAYS(EDATE(Y$1,1),Log_2018[[#This Row],[Date]]),Log_2018[[#This Row],[Split_apply]])) - SUM($O419:X419)</f>
        <v>0</v>
      </c>
      <c r="Z419" s="52">
        <f ca="1">Log_2018[[#This Row],[Amount]]/Log_2018[[#This Row],[Split_raw]]*MAX(0,MIN(_xlfn.DAYS(EDATE(Z$1,1),Log_2018[[#This Row],[Date]]),Log_2018[[#This Row],[Split_apply]])) - SUM($O419:Y419)</f>
        <v>0</v>
      </c>
      <c r="AA419" s="52">
        <f ca="1">Log_2018[[#This Row],[Amount]]/Log_2018[[#This Row],[Split_raw]]*MAX(0,MIN(_xlfn.DAYS(EDATE(AA$1,1),Log_2018[[#This Row],[Date]]),Log_2018[[#This Row],[Split_apply]])) - SUM($O419:Z419)</f>
        <v>0</v>
      </c>
      <c r="AB419" s="54">
        <f ca="1">Log_2018[[#This Row],[Amount]]-SUM(O419:AA419)</f>
        <v>0</v>
      </c>
      <c r="AC419" s="7">
        <f ca="1">MAX(0,Log_2018[[#This Row],[Split_apply]] - (EDATE(AA$1,1)-Log_2018[[#This Row],[Date]]))</f>
        <v>0</v>
      </c>
    </row>
    <row r="420" spans="1:29" hidden="1" x14ac:dyDescent="0.25">
      <c r="A420" s="115"/>
      <c r="B420" t="s">
        <v>6</v>
      </c>
      <c r="D420" s="39">
        <v>43265</v>
      </c>
      <c r="F420" t="s">
        <v>242</v>
      </c>
      <c r="G420" t="s">
        <v>87</v>
      </c>
      <c r="H420" s="3">
        <f>--18.49</f>
        <v>18.489999999999998</v>
      </c>
      <c r="I420" s="36">
        <f>IF(Log_2018[[#This Row],[My Category]]="NONTRACKED",0,Log_2018[[#This Row],[Raw Amount]])</f>
        <v>18.489999999999998</v>
      </c>
      <c r="J420" s="17">
        <f>ABS(Log_2018[[#This Row],[Amount]])</f>
        <v>18.489999999999998</v>
      </c>
      <c r="K420" s="66">
        <v>1</v>
      </c>
      <c r="L420" s="66">
        <f ca="1">IF(Log_2018[[#This Row],[Date]]&lt;=TODAY(), MIN(Log_2018[[#This Row],[Split_raw]], TODAY()-Log_2018[[#This Row],[Date]]+1), 0)</f>
        <v>1</v>
      </c>
      <c r="M420" t="s">
        <v>144</v>
      </c>
      <c r="N420" t="s">
        <v>160</v>
      </c>
      <c r="O420" s="50">
        <v>0</v>
      </c>
      <c r="P420" s="52">
        <f ca="1">Log_2018[[#This Row],[Amount]]/Log_2018[[#This Row],[Split_raw]]*MAX(0,MIN(_xlfn.DAYS(EDATE(P$1,1),Log_2018[[#This Row],[Date]]),Log_2018[[#This Row],[Split_apply]])) - SUM($O420:O420)</f>
        <v>0</v>
      </c>
      <c r="Q420" s="52">
        <f ca="1">Log_2018[[#This Row],[Amount]]/Log_2018[[#This Row],[Split_raw]]*MAX(0,MIN(_xlfn.DAYS(EDATE(Q$1,1),Log_2018[[#This Row],[Date]]),Log_2018[[#This Row],[Split_apply]])) - SUM($O420:P420)</f>
        <v>0</v>
      </c>
      <c r="R420" s="52">
        <f ca="1">Log_2018[[#This Row],[Amount]]/Log_2018[[#This Row],[Split_raw]]*MAX(0,MIN(_xlfn.DAYS(EDATE(R$1,1),Log_2018[[#This Row],[Date]]),Log_2018[[#This Row],[Split_apply]])) - SUM($O420:Q420)</f>
        <v>0</v>
      </c>
      <c r="S420" s="52">
        <f ca="1">Log_2018[[#This Row],[Amount]]/Log_2018[[#This Row],[Split_raw]]*MAX(0,MIN(_xlfn.DAYS(EDATE(S$1,1),Log_2018[[#This Row],[Date]]),Log_2018[[#This Row],[Split_apply]])) - SUM($O420:R420)</f>
        <v>0</v>
      </c>
      <c r="T420" s="52">
        <f ca="1">Log_2018[[#This Row],[Amount]]/Log_2018[[#This Row],[Split_raw]]*MAX(0,MIN(_xlfn.DAYS(EDATE(T$1,1),Log_2018[[#This Row],[Date]]),Log_2018[[#This Row],[Split_apply]])) - SUM($O420:S420)</f>
        <v>0</v>
      </c>
      <c r="U420" s="52">
        <f ca="1">Log_2018[[#This Row],[Amount]]/Log_2018[[#This Row],[Split_raw]]*MAX(0,MIN(_xlfn.DAYS(EDATE(U$1,1),Log_2018[[#This Row],[Date]]),Log_2018[[#This Row],[Split_apply]])) - SUM($O420:T420)</f>
        <v>18.489999999999998</v>
      </c>
      <c r="V420" s="52">
        <f ca="1">Log_2018[[#This Row],[Amount]]/Log_2018[[#This Row],[Split_raw]]*MAX(0,MIN(_xlfn.DAYS(EDATE(V$1,1),Log_2018[[#This Row],[Date]]),Log_2018[[#This Row],[Split_apply]])) - SUM($O420:U420)</f>
        <v>0</v>
      </c>
      <c r="W420" s="52">
        <f ca="1">Log_2018[[#This Row],[Amount]]/Log_2018[[#This Row],[Split_raw]]*MAX(0,MIN(_xlfn.DAYS(EDATE(W$1,1),Log_2018[[#This Row],[Date]]),Log_2018[[#This Row],[Split_apply]])) - SUM($O420:V420)</f>
        <v>0</v>
      </c>
      <c r="X420" s="52">
        <f ca="1">Log_2018[[#This Row],[Amount]]/Log_2018[[#This Row],[Split_raw]]*MAX(0,MIN(_xlfn.DAYS(EDATE(X$1,1),Log_2018[[#This Row],[Date]]),Log_2018[[#This Row],[Split_apply]])) - SUM($O420:W420)</f>
        <v>0</v>
      </c>
      <c r="Y420" s="52">
        <f ca="1">Log_2018[[#This Row],[Amount]]/Log_2018[[#This Row],[Split_raw]]*MAX(0,MIN(_xlfn.DAYS(EDATE(Y$1,1),Log_2018[[#This Row],[Date]]),Log_2018[[#This Row],[Split_apply]])) - SUM($O420:X420)</f>
        <v>0</v>
      </c>
      <c r="Z420" s="52">
        <f ca="1">Log_2018[[#This Row],[Amount]]/Log_2018[[#This Row],[Split_raw]]*MAX(0,MIN(_xlfn.DAYS(EDATE(Z$1,1),Log_2018[[#This Row],[Date]]),Log_2018[[#This Row],[Split_apply]])) - SUM($O420:Y420)</f>
        <v>0</v>
      </c>
      <c r="AA420" s="52">
        <f ca="1">Log_2018[[#This Row],[Amount]]/Log_2018[[#This Row],[Split_raw]]*MAX(0,MIN(_xlfn.DAYS(EDATE(AA$1,1),Log_2018[[#This Row],[Date]]),Log_2018[[#This Row],[Split_apply]])) - SUM($O420:Z420)</f>
        <v>0</v>
      </c>
      <c r="AB420" s="54">
        <f ca="1">Log_2018[[#This Row],[Amount]]-SUM(O420:AA420)</f>
        <v>0</v>
      </c>
      <c r="AC420" s="7">
        <f ca="1">MAX(0,Log_2018[[#This Row],[Split_apply]] - (EDATE(AA$1,1)-Log_2018[[#This Row],[Date]]))</f>
        <v>0</v>
      </c>
    </row>
    <row r="421" spans="1:29" hidden="1" x14ac:dyDescent="0.25">
      <c r="A421" s="115"/>
      <c r="B421" t="s">
        <v>6</v>
      </c>
      <c r="D421" s="39">
        <v>43264</v>
      </c>
      <c r="F421" t="s">
        <v>270</v>
      </c>
      <c r="G421" t="s">
        <v>25</v>
      </c>
      <c r="H421" s="3">
        <v>-10.59</v>
      </c>
      <c r="I421" s="36">
        <f>IF(Log_2018[[#This Row],[My Category]]="NONTRACKED",0,Log_2018[[#This Row],[Raw Amount]])</f>
        <v>-10.59</v>
      </c>
      <c r="J421" s="17">
        <f>ABS(Log_2018[[#This Row],[Amount]])</f>
        <v>10.59</v>
      </c>
      <c r="K421" s="66">
        <v>1</v>
      </c>
      <c r="L421" s="66">
        <f ca="1">IF(Log_2018[[#This Row],[Date]]&lt;=TODAY(), MIN(Log_2018[[#This Row],[Split_raw]], TODAY()-Log_2018[[#This Row],[Date]]+1), 0)</f>
        <v>1</v>
      </c>
      <c r="M421" t="s">
        <v>35</v>
      </c>
      <c r="N421" t="s">
        <v>158</v>
      </c>
      <c r="O421" s="50">
        <v>0</v>
      </c>
      <c r="P421" s="52">
        <f ca="1">Log_2018[[#This Row],[Amount]]/Log_2018[[#This Row],[Split_raw]]*MAX(0,MIN(_xlfn.DAYS(EDATE(P$1,1),Log_2018[[#This Row],[Date]]),Log_2018[[#This Row],[Split_apply]])) - SUM($O421:O421)</f>
        <v>0</v>
      </c>
      <c r="Q421" s="52">
        <f ca="1">Log_2018[[#This Row],[Amount]]/Log_2018[[#This Row],[Split_raw]]*MAX(0,MIN(_xlfn.DAYS(EDATE(Q$1,1),Log_2018[[#This Row],[Date]]),Log_2018[[#This Row],[Split_apply]])) - SUM($O421:P421)</f>
        <v>0</v>
      </c>
      <c r="R421" s="52">
        <f ca="1">Log_2018[[#This Row],[Amount]]/Log_2018[[#This Row],[Split_raw]]*MAX(0,MIN(_xlfn.DAYS(EDATE(R$1,1),Log_2018[[#This Row],[Date]]),Log_2018[[#This Row],[Split_apply]])) - SUM($O421:Q421)</f>
        <v>0</v>
      </c>
      <c r="S421" s="52">
        <f ca="1">Log_2018[[#This Row],[Amount]]/Log_2018[[#This Row],[Split_raw]]*MAX(0,MIN(_xlfn.DAYS(EDATE(S$1,1),Log_2018[[#This Row],[Date]]),Log_2018[[#This Row],[Split_apply]])) - SUM($O421:R421)</f>
        <v>0</v>
      </c>
      <c r="T421" s="52">
        <f ca="1">Log_2018[[#This Row],[Amount]]/Log_2018[[#This Row],[Split_raw]]*MAX(0,MIN(_xlfn.DAYS(EDATE(T$1,1),Log_2018[[#This Row],[Date]]),Log_2018[[#This Row],[Split_apply]])) - SUM($O421:S421)</f>
        <v>0</v>
      </c>
      <c r="U421" s="52">
        <f ca="1">Log_2018[[#This Row],[Amount]]/Log_2018[[#This Row],[Split_raw]]*MAX(0,MIN(_xlfn.DAYS(EDATE(U$1,1),Log_2018[[#This Row],[Date]]),Log_2018[[#This Row],[Split_apply]])) - SUM($O421:T421)</f>
        <v>-10.59</v>
      </c>
      <c r="V421" s="52">
        <f ca="1">Log_2018[[#This Row],[Amount]]/Log_2018[[#This Row],[Split_raw]]*MAX(0,MIN(_xlfn.DAYS(EDATE(V$1,1),Log_2018[[#This Row],[Date]]),Log_2018[[#This Row],[Split_apply]])) - SUM($O421:U421)</f>
        <v>0</v>
      </c>
      <c r="W421" s="52">
        <f ca="1">Log_2018[[#This Row],[Amount]]/Log_2018[[#This Row],[Split_raw]]*MAX(0,MIN(_xlfn.DAYS(EDATE(W$1,1),Log_2018[[#This Row],[Date]]),Log_2018[[#This Row],[Split_apply]])) - SUM($O421:V421)</f>
        <v>0</v>
      </c>
      <c r="X421" s="52">
        <f ca="1">Log_2018[[#This Row],[Amount]]/Log_2018[[#This Row],[Split_raw]]*MAX(0,MIN(_xlfn.DAYS(EDATE(X$1,1),Log_2018[[#This Row],[Date]]),Log_2018[[#This Row],[Split_apply]])) - SUM($O421:W421)</f>
        <v>0</v>
      </c>
      <c r="Y421" s="52">
        <f ca="1">Log_2018[[#This Row],[Amount]]/Log_2018[[#This Row],[Split_raw]]*MAX(0,MIN(_xlfn.DAYS(EDATE(Y$1,1),Log_2018[[#This Row],[Date]]),Log_2018[[#This Row],[Split_apply]])) - SUM($O421:X421)</f>
        <v>0</v>
      </c>
      <c r="Z421" s="52">
        <f ca="1">Log_2018[[#This Row],[Amount]]/Log_2018[[#This Row],[Split_raw]]*MAX(0,MIN(_xlfn.DAYS(EDATE(Z$1,1),Log_2018[[#This Row],[Date]]),Log_2018[[#This Row],[Split_apply]])) - SUM($O421:Y421)</f>
        <v>0</v>
      </c>
      <c r="AA421" s="52">
        <f ca="1">Log_2018[[#This Row],[Amount]]/Log_2018[[#This Row],[Split_raw]]*MAX(0,MIN(_xlfn.DAYS(EDATE(AA$1,1),Log_2018[[#This Row],[Date]]),Log_2018[[#This Row],[Split_apply]])) - SUM($O421:Z421)</f>
        <v>0</v>
      </c>
      <c r="AB421" s="54">
        <f ca="1">Log_2018[[#This Row],[Amount]]-SUM(O421:AA421)</f>
        <v>0</v>
      </c>
      <c r="AC421" s="7">
        <f ca="1">MAX(0,Log_2018[[#This Row],[Split_apply]] - (EDATE(AA$1,1)-Log_2018[[#This Row],[Date]]))</f>
        <v>0</v>
      </c>
    </row>
    <row r="422" spans="1:29" hidden="1" x14ac:dyDescent="0.25">
      <c r="A422" s="115"/>
      <c r="B422" t="s">
        <v>6</v>
      </c>
      <c r="D422" s="39">
        <v>43263</v>
      </c>
      <c r="F422" t="s">
        <v>184</v>
      </c>
      <c r="G422" t="s">
        <v>11</v>
      </c>
      <c r="H422" s="3">
        <v>-12.87</v>
      </c>
      <c r="I422" s="36">
        <f>IF(Log_2018[[#This Row],[My Category]]="NONTRACKED",0,Log_2018[[#This Row],[Raw Amount]])</f>
        <v>-12.87</v>
      </c>
      <c r="J422" s="17">
        <f>ABS(Log_2018[[#This Row],[Amount]])</f>
        <v>12.87</v>
      </c>
      <c r="K422" s="66">
        <v>1</v>
      </c>
      <c r="L422" s="66">
        <f ca="1">IF(Log_2018[[#This Row],[Date]]&lt;=TODAY(), MIN(Log_2018[[#This Row],[Split_raw]], TODAY()-Log_2018[[#This Row],[Date]]+1), 0)</f>
        <v>1</v>
      </c>
      <c r="M422" t="s">
        <v>12</v>
      </c>
      <c r="N422" t="s">
        <v>158</v>
      </c>
      <c r="O422" s="50">
        <v>0</v>
      </c>
      <c r="P422" s="52">
        <f ca="1">Log_2018[[#This Row],[Amount]]/Log_2018[[#This Row],[Split_raw]]*MAX(0,MIN(_xlfn.DAYS(EDATE(P$1,1),Log_2018[[#This Row],[Date]]),Log_2018[[#This Row],[Split_apply]])) - SUM($O422:O422)</f>
        <v>0</v>
      </c>
      <c r="Q422" s="52">
        <f ca="1">Log_2018[[#This Row],[Amount]]/Log_2018[[#This Row],[Split_raw]]*MAX(0,MIN(_xlfn.DAYS(EDATE(Q$1,1),Log_2018[[#This Row],[Date]]),Log_2018[[#This Row],[Split_apply]])) - SUM($O422:P422)</f>
        <v>0</v>
      </c>
      <c r="R422" s="52">
        <f ca="1">Log_2018[[#This Row],[Amount]]/Log_2018[[#This Row],[Split_raw]]*MAX(0,MIN(_xlfn.DAYS(EDATE(R$1,1),Log_2018[[#This Row],[Date]]),Log_2018[[#This Row],[Split_apply]])) - SUM($O422:Q422)</f>
        <v>0</v>
      </c>
      <c r="S422" s="52">
        <f ca="1">Log_2018[[#This Row],[Amount]]/Log_2018[[#This Row],[Split_raw]]*MAX(0,MIN(_xlfn.DAYS(EDATE(S$1,1),Log_2018[[#This Row],[Date]]),Log_2018[[#This Row],[Split_apply]])) - SUM($O422:R422)</f>
        <v>0</v>
      </c>
      <c r="T422" s="52">
        <f ca="1">Log_2018[[#This Row],[Amount]]/Log_2018[[#This Row],[Split_raw]]*MAX(0,MIN(_xlfn.DAYS(EDATE(T$1,1),Log_2018[[#This Row],[Date]]),Log_2018[[#This Row],[Split_apply]])) - SUM($O422:S422)</f>
        <v>0</v>
      </c>
      <c r="U422" s="52">
        <f ca="1">Log_2018[[#This Row],[Amount]]/Log_2018[[#This Row],[Split_raw]]*MAX(0,MIN(_xlfn.DAYS(EDATE(U$1,1),Log_2018[[#This Row],[Date]]),Log_2018[[#This Row],[Split_apply]])) - SUM($O422:T422)</f>
        <v>-12.87</v>
      </c>
      <c r="V422" s="52">
        <f ca="1">Log_2018[[#This Row],[Amount]]/Log_2018[[#This Row],[Split_raw]]*MAX(0,MIN(_xlfn.DAYS(EDATE(V$1,1),Log_2018[[#This Row],[Date]]),Log_2018[[#This Row],[Split_apply]])) - SUM($O422:U422)</f>
        <v>0</v>
      </c>
      <c r="W422" s="52">
        <f ca="1">Log_2018[[#This Row],[Amount]]/Log_2018[[#This Row],[Split_raw]]*MAX(0,MIN(_xlfn.DAYS(EDATE(W$1,1),Log_2018[[#This Row],[Date]]),Log_2018[[#This Row],[Split_apply]])) - SUM($O422:V422)</f>
        <v>0</v>
      </c>
      <c r="X422" s="52">
        <f ca="1">Log_2018[[#This Row],[Amount]]/Log_2018[[#This Row],[Split_raw]]*MAX(0,MIN(_xlfn.DAYS(EDATE(X$1,1),Log_2018[[#This Row],[Date]]),Log_2018[[#This Row],[Split_apply]])) - SUM($O422:W422)</f>
        <v>0</v>
      </c>
      <c r="Y422" s="52">
        <f ca="1">Log_2018[[#This Row],[Amount]]/Log_2018[[#This Row],[Split_raw]]*MAX(0,MIN(_xlfn.DAYS(EDATE(Y$1,1),Log_2018[[#This Row],[Date]]),Log_2018[[#This Row],[Split_apply]])) - SUM($O422:X422)</f>
        <v>0</v>
      </c>
      <c r="Z422" s="52">
        <f ca="1">Log_2018[[#This Row],[Amount]]/Log_2018[[#This Row],[Split_raw]]*MAX(0,MIN(_xlfn.DAYS(EDATE(Z$1,1),Log_2018[[#This Row],[Date]]),Log_2018[[#This Row],[Split_apply]])) - SUM($O422:Y422)</f>
        <v>0</v>
      </c>
      <c r="AA422" s="52">
        <f ca="1">Log_2018[[#This Row],[Amount]]/Log_2018[[#This Row],[Split_raw]]*MAX(0,MIN(_xlfn.DAYS(EDATE(AA$1,1),Log_2018[[#This Row],[Date]]),Log_2018[[#This Row],[Split_apply]])) - SUM($O422:Z422)</f>
        <v>0</v>
      </c>
      <c r="AB422" s="54">
        <f ca="1">Log_2018[[#This Row],[Amount]]-SUM(O422:AA422)</f>
        <v>0</v>
      </c>
      <c r="AC422" s="7">
        <f ca="1">MAX(0,Log_2018[[#This Row],[Split_apply]] - (EDATE(AA$1,1)-Log_2018[[#This Row],[Date]]))</f>
        <v>0</v>
      </c>
    </row>
    <row r="423" spans="1:29" hidden="1" x14ac:dyDescent="0.25">
      <c r="A423" s="115"/>
      <c r="B423" t="s">
        <v>6</v>
      </c>
      <c r="D423" s="39">
        <v>43263</v>
      </c>
      <c r="F423" t="s">
        <v>66</v>
      </c>
      <c r="G423" t="s">
        <v>25</v>
      </c>
      <c r="H423" s="3">
        <v>-9.2899999999999991</v>
      </c>
      <c r="I423" s="36">
        <f>IF(Log_2018[[#This Row],[My Category]]="NONTRACKED",0,Log_2018[[#This Row],[Raw Amount]])</f>
        <v>-9.2899999999999991</v>
      </c>
      <c r="J423" s="17">
        <f>ABS(Log_2018[[#This Row],[Amount]])</f>
        <v>9.2899999999999991</v>
      </c>
      <c r="K423" s="66">
        <v>1</v>
      </c>
      <c r="L423" s="66">
        <f ca="1">IF(Log_2018[[#This Row],[Date]]&lt;=TODAY(), MIN(Log_2018[[#This Row],[Split_raw]], TODAY()-Log_2018[[#This Row],[Date]]+1), 0)</f>
        <v>1</v>
      </c>
      <c r="M423" t="s">
        <v>35</v>
      </c>
      <c r="N423" t="s">
        <v>158</v>
      </c>
      <c r="O423" s="50">
        <v>0</v>
      </c>
      <c r="P423" s="52">
        <f ca="1">Log_2018[[#This Row],[Amount]]/Log_2018[[#This Row],[Split_raw]]*MAX(0,MIN(_xlfn.DAYS(EDATE(P$1,1),Log_2018[[#This Row],[Date]]),Log_2018[[#This Row],[Split_apply]])) - SUM($O423:O423)</f>
        <v>0</v>
      </c>
      <c r="Q423" s="52">
        <f ca="1">Log_2018[[#This Row],[Amount]]/Log_2018[[#This Row],[Split_raw]]*MAX(0,MIN(_xlfn.DAYS(EDATE(Q$1,1),Log_2018[[#This Row],[Date]]),Log_2018[[#This Row],[Split_apply]])) - SUM($O423:P423)</f>
        <v>0</v>
      </c>
      <c r="R423" s="52">
        <f ca="1">Log_2018[[#This Row],[Amount]]/Log_2018[[#This Row],[Split_raw]]*MAX(0,MIN(_xlfn.DAYS(EDATE(R$1,1),Log_2018[[#This Row],[Date]]),Log_2018[[#This Row],[Split_apply]])) - SUM($O423:Q423)</f>
        <v>0</v>
      </c>
      <c r="S423" s="52">
        <f ca="1">Log_2018[[#This Row],[Amount]]/Log_2018[[#This Row],[Split_raw]]*MAX(0,MIN(_xlfn.DAYS(EDATE(S$1,1),Log_2018[[#This Row],[Date]]),Log_2018[[#This Row],[Split_apply]])) - SUM($O423:R423)</f>
        <v>0</v>
      </c>
      <c r="T423" s="52">
        <f ca="1">Log_2018[[#This Row],[Amount]]/Log_2018[[#This Row],[Split_raw]]*MAX(0,MIN(_xlfn.DAYS(EDATE(T$1,1),Log_2018[[#This Row],[Date]]),Log_2018[[#This Row],[Split_apply]])) - SUM($O423:S423)</f>
        <v>0</v>
      </c>
      <c r="U423" s="52">
        <f ca="1">Log_2018[[#This Row],[Amount]]/Log_2018[[#This Row],[Split_raw]]*MAX(0,MIN(_xlfn.DAYS(EDATE(U$1,1),Log_2018[[#This Row],[Date]]),Log_2018[[#This Row],[Split_apply]])) - SUM($O423:T423)</f>
        <v>-9.2899999999999991</v>
      </c>
      <c r="V423" s="52">
        <f ca="1">Log_2018[[#This Row],[Amount]]/Log_2018[[#This Row],[Split_raw]]*MAX(0,MIN(_xlfn.DAYS(EDATE(V$1,1),Log_2018[[#This Row],[Date]]),Log_2018[[#This Row],[Split_apply]])) - SUM($O423:U423)</f>
        <v>0</v>
      </c>
      <c r="W423" s="52">
        <f ca="1">Log_2018[[#This Row],[Amount]]/Log_2018[[#This Row],[Split_raw]]*MAX(0,MIN(_xlfn.DAYS(EDATE(W$1,1),Log_2018[[#This Row],[Date]]),Log_2018[[#This Row],[Split_apply]])) - SUM($O423:V423)</f>
        <v>0</v>
      </c>
      <c r="X423" s="52">
        <f ca="1">Log_2018[[#This Row],[Amount]]/Log_2018[[#This Row],[Split_raw]]*MAX(0,MIN(_xlfn.DAYS(EDATE(X$1,1),Log_2018[[#This Row],[Date]]),Log_2018[[#This Row],[Split_apply]])) - SUM($O423:W423)</f>
        <v>0</v>
      </c>
      <c r="Y423" s="52">
        <f ca="1">Log_2018[[#This Row],[Amount]]/Log_2018[[#This Row],[Split_raw]]*MAX(0,MIN(_xlfn.DAYS(EDATE(Y$1,1),Log_2018[[#This Row],[Date]]),Log_2018[[#This Row],[Split_apply]])) - SUM($O423:X423)</f>
        <v>0</v>
      </c>
      <c r="Z423" s="52">
        <f ca="1">Log_2018[[#This Row],[Amount]]/Log_2018[[#This Row],[Split_raw]]*MAX(0,MIN(_xlfn.DAYS(EDATE(Z$1,1),Log_2018[[#This Row],[Date]]),Log_2018[[#This Row],[Split_apply]])) - SUM($O423:Y423)</f>
        <v>0</v>
      </c>
      <c r="AA423" s="52">
        <f ca="1">Log_2018[[#This Row],[Amount]]/Log_2018[[#This Row],[Split_raw]]*MAX(0,MIN(_xlfn.DAYS(EDATE(AA$1,1),Log_2018[[#This Row],[Date]]),Log_2018[[#This Row],[Split_apply]])) - SUM($O423:Z423)</f>
        <v>0</v>
      </c>
      <c r="AB423" s="54">
        <f ca="1">Log_2018[[#This Row],[Amount]]-SUM(O423:AA423)</f>
        <v>0</v>
      </c>
      <c r="AC423" s="7">
        <f ca="1">MAX(0,Log_2018[[#This Row],[Split_apply]] - (EDATE(AA$1,1)-Log_2018[[#This Row],[Date]]))</f>
        <v>0</v>
      </c>
    </row>
    <row r="424" spans="1:29" hidden="1" x14ac:dyDescent="0.25">
      <c r="A424" s="115"/>
      <c r="B424" t="s">
        <v>6</v>
      </c>
      <c r="D424" s="39">
        <v>43263</v>
      </c>
      <c r="F424" t="s">
        <v>83</v>
      </c>
      <c r="G424" t="s">
        <v>15</v>
      </c>
      <c r="H424" s="3">
        <v>-239.23</v>
      </c>
      <c r="I424" s="36">
        <f>IF(Log_2018[[#This Row],[My Category]]="NONTRACKED",0,Log_2018[[#This Row],[Raw Amount]])</f>
        <v>-239.23</v>
      </c>
      <c r="J424" s="17">
        <f>ABS(Log_2018[[#This Row],[Amount]])</f>
        <v>239.23</v>
      </c>
      <c r="K424" s="66">
        <v>30</v>
      </c>
      <c r="L424" s="66">
        <f ca="1">IF(Log_2018[[#This Row],[Date]]&lt;=TODAY(), MIN(Log_2018[[#This Row],[Split_raw]], TODAY()-Log_2018[[#This Row],[Date]]+1), 0)</f>
        <v>30</v>
      </c>
      <c r="M424" t="s">
        <v>241</v>
      </c>
      <c r="N424" t="s">
        <v>160</v>
      </c>
      <c r="O424" s="50">
        <v>0</v>
      </c>
      <c r="P424" s="52">
        <f ca="1">Log_2018[[#This Row],[Amount]]/Log_2018[[#This Row],[Split_raw]]*MAX(0,MIN(_xlfn.DAYS(EDATE(P$1,1),Log_2018[[#This Row],[Date]]),Log_2018[[#This Row],[Split_apply]])) - SUM($O424:O424)</f>
        <v>0</v>
      </c>
      <c r="Q424" s="52">
        <f ca="1">Log_2018[[#This Row],[Amount]]/Log_2018[[#This Row],[Split_raw]]*MAX(0,MIN(_xlfn.DAYS(EDATE(Q$1,1),Log_2018[[#This Row],[Date]]),Log_2018[[#This Row],[Split_apply]])) - SUM($O424:P424)</f>
        <v>0</v>
      </c>
      <c r="R424" s="52">
        <f ca="1">Log_2018[[#This Row],[Amount]]/Log_2018[[#This Row],[Split_raw]]*MAX(0,MIN(_xlfn.DAYS(EDATE(R$1,1),Log_2018[[#This Row],[Date]]),Log_2018[[#This Row],[Split_apply]])) - SUM($O424:Q424)</f>
        <v>0</v>
      </c>
      <c r="S424" s="52">
        <f ca="1">Log_2018[[#This Row],[Amount]]/Log_2018[[#This Row],[Split_raw]]*MAX(0,MIN(_xlfn.DAYS(EDATE(S$1,1),Log_2018[[#This Row],[Date]]),Log_2018[[#This Row],[Split_apply]])) - SUM($O424:R424)</f>
        <v>0</v>
      </c>
      <c r="T424" s="52">
        <f ca="1">Log_2018[[#This Row],[Amount]]/Log_2018[[#This Row],[Split_raw]]*MAX(0,MIN(_xlfn.DAYS(EDATE(T$1,1),Log_2018[[#This Row],[Date]]),Log_2018[[#This Row],[Split_apply]])) - SUM($O424:S424)</f>
        <v>0</v>
      </c>
      <c r="U424" s="52">
        <f ca="1">Log_2018[[#This Row],[Amount]]/Log_2018[[#This Row],[Split_raw]]*MAX(0,MIN(_xlfn.DAYS(EDATE(U$1,1),Log_2018[[#This Row],[Date]]),Log_2018[[#This Row],[Split_apply]])) - SUM($O424:T424)</f>
        <v>-151.51233333333332</v>
      </c>
      <c r="V424" s="52">
        <f ca="1">Log_2018[[#This Row],[Amount]]/Log_2018[[#This Row],[Split_raw]]*MAX(0,MIN(_xlfn.DAYS(EDATE(V$1,1),Log_2018[[#This Row],[Date]]),Log_2018[[#This Row],[Split_apply]])) - SUM($O424:U424)</f>
        <v>-87.717666666666673</v>
      </c>
      <c r="W424" s="52">
        <f ca="1">Log_2018[[#This Row],[Amount]]/Log_2018[[#This Row],[Split_raw]]*MAX(0,MIN(_xlfn.DAYS(EDATE(W$1,1),Log_2018[[#This Row],[Date]]),Log_2018[[#This Row],[Split_apply]])) - SUM($O424:V424)</f>
        <v>0</v>
      </c>
      <c r="X424" s="52">
        <f ca="1">Log_2018[[#This Row],[Amount]]/Log_2018[[#This Row],[Split_raw]]*MAX(0,MIN(_xlfn.DAYS(EDATE(X$1,1),Log_2018[[#This Row],[Date]]),Log_2018[[#This Row],[Split_apply]])) - SUM($O424:W424)</f>
        <v>0</v>
      </c>
      <c r="Y424" s="52">
        <f ca="1">Log_2018[[#This Row],[Amount]]/Log_2018[[#This Row],[Split_raw]]*MAX(0,MIN(_xlfn.DAYS(EDATE(Y$1,1),Log_2018[[#This Row],[Date]]),Log_2018[[#This Row],[Split_apply]])) - SUM($O424:X424)</f>
        <v>0</v>
      </c>
      <c r="Z424" s="52">
        <f ca="1">Log_2018[[#This Row],[Amount]]/Log_2018[[#This Row],[Split_raw]]*MAX(0,MIN(_xlfn.DAYS(EDATE(Z$1,1),Log_2018[[#This Row],[Date]]),Log_2018[[#This Row],[Split_apply]])) - SUM($O424:Y424)</f>
        <v>0</v>
      </c>
      <c r="AA424" s="52">
        <f ca="1">Log_2018[[#This Row],[Amount]]/Log_2018[[#This Row],[Split_raw]]*MAX(0,MIN(_xlfn.DAYS(EDATE(AA$1,1),Log_2018[[#This Row],[Date]]),Log_2018[[#This Row],[Split_apply]])) - SUM($O424:Z424)</f>
        <v>0</v>
      </c>
      <c r="AB424" s="54">
        <f ca="1">Log_2018[[#This Row],[Amount]]-SUM(O424:AA424)</f>
        <v>0</v>
      </c>
      <c r="AC424" s="7">
        <f ca="1">MAX(0,Log_2018[[#This Row],[Split_apply]] - (EDATE(AA$1,1)-Log_2018[[#This Row],[Date]]))</f>
        <v>0</v>
      </c>
    </row>
    <row r="425" spans="1:29" hidden="1" x14ac:dyDescent="0.25">
      <c r="A425" s="115"/>
      <c r="B425" t="s">
        <v>6</v>
      </c>
      <c r="D425" s="39">
        <v>43262</v>
      </c>
      <c r="E425" t="s">
        <v>250</v>
      </c>
      <c r="F425" t="s">
        <v>243</v>
      </c>
      <c r="G425" t="s">
        <v>143</v>
      </c>
      <c r="H425" s="3">
        <v>-10.81</v>
      </c>
      <c r="I425" s="36">
        <f>IF(Log_2018[[#This Row],[My Category]]="NONTRACKED",0,Log_2018[[#This Row],[Raw Amount]])</f>
        <v>-10.81</v>
      </c>
      <c r="J425" s="17">
        <f>ABS(Log_2018[[#This Row],[Amount]])</f>
        <v>10.81</v>
      </c>
      <c r="K425" s="66">
        <v>30</v>
      </c>
      <c r="L425" s="66">
        <f ca="1">IF(Log_2018[[#This Row],[Date]]&lt;=TODAY(), MIN(Log_2018[[#This Row],[Split_raw]], TODAY()-Log_2018[[#This Row],[Date]]+1), 0)</f>
        <v>30</v>
      </c>
      <c r="M425" t="s">
        <v>53</v>
      </c>
      <c r="N425" t="s">
        <v>160</v>
      </c>
      <c r="O425" s="50">
        <v>0</v>
      </c>
      <c r="P425" s="52">
        <f ca="1">Log_2018[[#This Row],[Amount]]/Log_2018[[#This Row],[Split_raw]]*MAX(0,MIN(_xlfn.DAYS(EDATE(P$1,1),Log_2018[[#This Row],[Date]]),Log_2018[[#This Row],[Split_apply]])) - SUM($O425:O425)</f>
        <v>0</v>
      </c>
      <c r="Q425" s="52">
        <f ca="1">Log_2018[[#This Row],[Amount]]/Log_2018[[#This Row],[Split_raw]]*MAX(0,MIN(_xlfn.DAYS(EDATE(Q$1,1),Log_2018[[#This Row],[Date]]),Log_2018[[#This Row],[Split_apply]])) - SUM($O425:P425)</f>
        <v>0</v>
      </c>
      <c r="R425" s="52">
        <f ca="1">Log_2018[[#This Row],[Amount]]/Log_2018[[#This Row],[Split_raw]]*MAX(0,MIN(_xlfn.DAYS(EDATE(R$1,1),Log_2018[[#This Row],[Date]]),Log_2018[[#This Row],[Split_apply]])) - SUM($O425:Q425)</f>
        <v>0</v>
      </c>
      <c r="S425" s="52">
        <f ca="1">Log_2018[[#This Row],[Amount]]/Log_2018[[#This Row],[Split_raw]]*MAX(0,MIN(_xlfn.DAYS(EDATE(S$1,1),Log_2018[[#This Row],[Date]]),Log_2018[[#This Row],[Split_apply]])) - SUM($O425:R425)</f>
        <v>0</v>
      </c>
      <c r="T425" s="52">
        <f ca="1">Log_2018[[#This Row],[Amount]]/Log_2018[[#This Row],[Split_raw]]*MAX(0,MIN(_xlfn.DAYS(EDATE(T$1,1),Log_2018[[#This Row],[Date]]),Log_2018[[#This Row],[Split_apply]])) - SUM($O425:S425)</f>
        <v>0</v>
      </c>
      <c r="U425" s="52">
        <f ca="1">Log_2018[[#This Row],[Amount]]/Log_2018[[#This Row],[Split_raw]]*MAX(0,MIN(_xlfn.DAYS(EDATE(U$1,1),Log_2018[[#This Row],[Date]]),Log_2018[[#This Row],[Split_apply]])) - SUM($O425:T425)</f>
        <v>-7.206666666666667</v>
      </c>
      <c r="V425" s="52">
        <f ca="1">Log_2018[[#This Row],[Amount]]/Log_2018[[#This Row],[Split_raw]]*MAX(0,MIN(_xlfn.DAYS(EDATE(V$1,1),Log_2018[[#This Row],[Date]]),Log_2018[[#This Row],[Split_apply]])) - SUM($O425:U425)</f>
        <v>-3.6033333333333335</v>
      </c>
      <c r="W425" s="52">
        <f ca="1">Log_2018[[#This Row],[Amount]]/Log_2018[[#This Row],[Split_raw]]*MAX(0,MIN(_xlfn.DAYS(EDATE(W$1,1),Log_2018[[#This Row],[Date]]),Log_2018[[#This Row],[Split_apply]])) - SUM($O425:V425)</f>
        <v>0</v>
      </c>
      <c r="X425" s="52">
        <f ca="1">Log_2018[[#This Row],[Amount]]/Log_2018[[#This Row],[Split_raw]]*MAX(0,MIN(_xlfn.DAYS(EDATE(X$1,1),Log_2018[[#This Row],[Date]]),Log_2018[[#This Row],[Split_apply]])) - SUM($O425:W425)</f>
        <v>0</v>
      </c>
      <c r="Y425" s="52">
        <f ca="1">Log_2018[[#This Row],[Amount]]/Log_2018[[#This Row],[Split_raw]]*MAX(0,MIN(_xlfn.DAYS(EDATE(Y$1,1),Log_2018[[#This Row],[Date]]),Log_2018[[#This Row],[Split_apply]])) - SUM($O425:X425)</f>
        <v>0</v>
      </c>
      <c r="Z425" s="52">
        <f ca="1">Log_2018[[#This Row],[Amount]]/Log_2018[[#This Row],[Split_raw]]*MAX(0,MIN(_xlfn.DAYS(EDATE(Z$1,1),Log_2018[[#This Row],[Date]]),Log_2018[[#This Row],[Split_apply]])) - SUM($O425:Y425)</f>
        <v>0</v>
      </c>
      <c r="AA425" s="52">
        <f ca="1">Log_2018[[#This Row],[Amount]]/Log_2018[[#This Row],[Split_raw]]*MAX(0,MIN(_xlfn.DAYS(EDATE(AA$1,1),Log_2018[[#This Row],[Date]]),Log_2018[[#This Row],[Split_apply]])) - SUM($O425:Z425)</f>
        <v>0</v>
      </c>
      <c r="AB425" s="54">
        <f ca="1">Log_2018[[#This Row],[Amount]]-SUM(O425:AA425)</f>
        <v>0</v>
      </c>
      <c r="AC425" s="7">
        <f ca="1">MAX(0,Log_2018[[#This Row],[Split_apply]] - (EDATE(AA$1,1)-Log_2018[[#This Row],[Date]]))</f>
        <v>0</v>
      </c>
    </row>
    <row r="426" spans="1:29" hidden="1" x14ac:dyDescent="0.25">
      <c r="A426" s="115"/>
      <c r="B426" t="s">
        <v>6</v>
      </c>
      <c r="D426" s="39">
        <v>43262</v>
      </c>
      <c r="F426" t="s">
        <v>138</v>
      </c>
      <c r="G426" t="s">
        <v>104</v>
      </c>
      <c r="H426" s="3">
        <v>-2066.44</v>
      </c>
      <c r="I426" s="36">
        <f>IF(Log_2018[[#This Row],[My Category]]="NONTRACKED",0,Log_2018[[#This Row],[Raw Amount]])</f>
        <v>-2066.44</v>
      </c>
      <c r="J426" s="17">
        <f>ABS(Log_2018[[#This Row],[Amount]])</f>
        <v>2066.44</v>
      </c>
      <c r="K426" s="66">
        <v>1</v>
      </c>
      <c r="L426" s="66">
        <f ca="1">IF(Log_2018[[#This Row],[Date]]&lt;=TODAY(), MIN(Log_2018[[#This Row],[Split_raw]], TODAY()-Log_2018[[#This Row],[Date]]+1), 0)</f>
        <v>1</v>
      </c>
      <c r="M426" t="s">
        <v>159</v>
      </c>
      <c r="N426" t="s">
        <v>160</v>
      </c>
      <c r="O426" s="50">
        <v>0</v>
      </c>
      <c r="P426" s="52">
        <f ca="1">Log_2018[[#This Row],[Amount]]/Log_2018[[#This Row],[Split_raw]]*MAX(0,MIN(_xlfn.DAYS(EDATE(P$1,1),Log_2018[[#This Row],[Date]]),Log_2018[[#This Row],[Split_apply]])) - SUM($O426:O426)</f>
        <v>0</v>
      </c>
      <c r="Q426" s="52">
        <f ca="1">Log_2018[[#This Row],[Amount]]/Log_2018[[#This Row],[Split_raw]]*MAX(0,MIN(_xlfn.DAYS(EDATE(Q$1,1),Log_2018[[#This Row],[Date]]),Log_2018[[#This Row],[Split_apply]])) - SUM($O426:P426)</f>
        <v>0</v>
      </c>
      <c r="R426" s="52">
        <f ca="1">Log_2018[[#This Row],[Amount]]/Log_2018[[#This Row],[Split_raw]]*MAX(0,MIN(_xlfn.DAYS(EDATE(R$1,1),Log_2018[[#This Row],[Date]]),Log_2018[[#This Row],[Split_apply]])) - SUM($O426:Q426)</f>
        <v>0</v>
      </c>
      <c r="S426" s="52">
        <f ca="1">Log_2018[[#This Row],[Amount]]/Log_2018[[#This Row],[Split_raw]]*MAX(0,MIN(_xlfn.DAYS(EDATE(S$1,1),Log_2018[[#This Row],[Date]]),Log_2018[[#This Row],[Split_apply]])) - SUM($O426:R426)</f>
        <v>0</v>
      </c>
      <c r="T426" s="52">
        <f ca="1">Log_2018[[#This Row],[Amount]]/Log_2018[[#This Row],[Split_raw]]*MAX(0,MIN(_xlfn.DAYS(EDATE(T$1,1),Log_2018[[#This Row],[Date]]),Log_2018[[#This Row],[Split_apply]])) - SUM($O426:S426)</f>
        <v>0</v>
      </c>
      <c r="U426" s="52">
        <f ca="1">Log_2018[[#This Row],[Amount]]/Log_2018[[#This Row],[Split_raw]]*MAX(0,MIN(_xlfn.DAYS(EDATE(U$1,1),Log_2018[[#This Row],[Date]]),Log_2018[[#This Row],[Split_apply]])) - SUM($O426:T426)</f>
        <v>-2066.44</v>
      </c>
      <c r="V426" s="52">
        <f ca="1">Log_2018[[#This Row],[Amount]]/Log_2018[[#This Row],[Split_raw]]*MAX(0,MIN(_xlfn.DAYS(EDATE(V$1,1),Log_2018[[#This Row],[Date]]),Log_2018[[#This Row],[Split_apply]])) - SUM($O426:U426)</f>
        <v>0</v>
      </c>
      <c r="W426" s="52">
        <f ca="1">Log_2018[[#This Row],[Amount]]/Log_2018[[#This Row],[Split_raw]]*MAX(0,MIN(_xlfn.DAYS(EDATE(W$1,1),Log_2018[[#This Row],[Date]]),Log_2018[[#This Row],[Split_apply]])) - SUM($O426:V426)</f>
        <v>0</v>
      </c>
      <c r="X426" s="52">
        <f ca="1">Log_2018[[#This Row],[Amount]]/Log_2018[[#This Row],[Split_raw]]*MAX(0,MIN(_xlfn.DAYS(EDATE(X$1,1),Log_2018[[#This Row],[Date]]),Log_2018[[#This Row],[Split_apply]])) - SUM($O426:W426)</f>
        <v>0</v>
      </c>
      <c r="Y426" s="52">
        <f ca="1">Log_2018[[#This Row],[Amount]]/Log_2018[[#This Row],[Split_raw]]*MAX(0,MIN(_xlfn.DAYS(EDATE(Y$1,1),Log_2018[[#This Row],[Date]]),Log_2018[[#This Row],[Split_apply]])) - SUM($O426:X426)</f>
        <v>0</v>
      </c>
      <c r="Z426" s="52">
        <f ca="1">Log_2018[[#This Row],[Amount]]/Log_2018[[#This Row],[Split_raw]]*MAX(0,MIN(_xlfn.DAYS(EDATE(Z$1,1),Log_2018[[#This Row],[Date]]),Log_2018[[#This Row],[Split_apply]])) - SUM($O426:Y426)</f>
        <v>0</v>
      </c>
      <c r="AA426" s="52">
        <f ca="1">Log_2018[[#This Row],[Amount]]/Log_2018[[#This Row],[Split_raw]]*MAX(0,MIN(_xlfn.DAYS(EDATE(AA$1,1),Log_2018[[#This Row],[Date]]),Log_2018[[#This Row],[Split_apply]])) - SUM($O426:Z426)</f>
        <v>0</v>
      </c>
      <c r="AB426" s="54">
        <f ca="1">Log_2018[[#This Row],[Amount]]-SUM(O426:AA426)</f>
        <v>0</v>
      </c>
      <c r="AC426" s="7">
        <f ca="1">MAX(0,Log_2018[[#This Row],[Split_apply]] - (EDATE(AA$1,1)-Log_2018[[#This Row],[Date]]))</f>
        <v>0</v>
      </c>
    </row>
    <row r="427" spans="1:29" hidden="1" x14ac:dyDescent="0.25">
      <c r="A427" s="115"/>
      <c r="B427" t="s">
        <v>6</v>
      </c>
      <c r="D427" s="39">
        <v>43260</v>
      </c>
      <c r="F427" t="s">
        <v>105</v>
      </c>
      <c r="G427" t="s">
        <v>104</v>
      </c>
      <c r="H427" s="3">
        <f>--2066.44</f>
        <v>2066.44</v>
      </c>
      <c r="I427" s="36">
        <f>IF(Log_2018[[#This Row],[My Category]]="NONTRACKED",0,Log_2018[[#This Row],[Raw Amount]])</f>
        <v>2066.44</v>
      </c>
      <c r="J427" s="17">
        <f>ABS(Log_2018[[#This Row],[Amount]])</f>
        <v>2066.44</v>
      </c>
      <c r="K427" s="66">
        <v>1</v>
      </c>
      <c r="L427" s="66">
        <f ca="1">IF(Log_2018[[#This Row],[Date]]&lt;=TODAY(), MIN(Log_2018[[#This Row],[Split_raw]], TODAY()-Log_2018[[#This Row],[Date]]+1), 0)</f>
        <v>1</v>
      </c>
      <c r="M427" t="s">
        <v>159</v>
      </c>
      <c r="N427" t="s">
        <v>158</v>
      </c>
      <c r="O427" s="50">
        <v>0</v>
      </c>
      <c r="P427" s="52">
        <f ca="1">Log_2018[[#This Row],[Amount]]/Log_2018[[#This Row],[Split_raw]]*MAX(0,MIN(_xlfn.DAYS(EDATE(P$1,1),Log_2018[[#This Row],[Date]]),Log_2018[[#This Row],[Split_apply]])) - SUM($O427:O427)</f>
        <v>0</v>
      </c>
      <c r="Q427" s="52">
        <f ca="1">Log_2018[[#This Row],[Amount]]/Log_2018[[#This Row],[Split_raw]]*MAX(0,MIN(_xlfn.DAYS(EDATE(Q$1,1),Log_2018[[#This Row],[Date]]),Log_2018[[#This Row],[Split_apply]])) - SUM($O427:P427)</f>
        <v>0</v>
      </c>
      <c r="R427" s="52">
        <f ca="1">Log_2018[[#This Row],[Amount]]/Log_2018[[#This Row],[Split_raw]]*MAX(0,MIN(_xlfn.DAYS(EDATE(R$1,1),Log_2018[[#This Row],[Date]]),Log_2018[[#This Row],[Split_apply]])) - SUM($O427:Q427)</f>
        <v>0</v>
      </c>
      <c r="S427" s="52">
        <f ca="1">Log_2018[[#This Row],[Amount]]/Log_2018[[#This Row],[Split_raw]]*MAX(0,MIN(_xlfn.DAYS(EDATE(S$1,1),Log_2018[[#This Row],[Date]]),Log_2018[[#This Row],[Split_apply]])) - SUM($O427:R427)</f>
        <v>0</v>
      </c>
      <c r="T427" s="52">
        <f ca="1">Log_2018[[#This Row],[Amount]]/Log_2018[[#This Row],[Split_raw]]*MAX(0,MIN(_xlfn.DAYS(EDATE(T$1,1),Log_2018[[#This Row],[Date]]),Log_2018[[#This Row],[Split_apply]])) - SUM($O427:S427)</f>
        <v>0</v>
      </c>
      <c r="U427" s="52">
        <f ca="1">Log_2018[[#This Row],[Amount]]/Log_2018[[#This Row],[Split_raw]]*MAX(0,MIN(_xlfn.DAYS(EDATE(U$1,1),Log_2018[[#This Row],[Date]]),Log_2018[[#This Row],[Split_apply]])) - SUM($O427:T427)</f>
        <v>2066.44</v>
      </c>
      <c r="V427" s="52">
        <f ca="1">Log_2018[[#This Row],[Amount]]/Log_2018[[#This Row],[Split_raw]]*MAX(0,MIN(_xlfn.DAYS(EDATE(V$1,1),Log_2018[[#This Row],[Date]]),Log_2018[[#This Row],[Split_apply]])) - SUM($O427:U427)</f>
        <v>0</v>
      </c>
      <c r="W427" s="52">
        <f ca="1">Log_2018[[#This Row],[Amount]]/Log_2018[[#This Row],[Split_raw]]*MAX(0,MIN(_xlfn.DAYS(EDATE(W$1,1),Log_2018[[#This Row],[Date]]),Log_2018[[#This Row],[Split_apply]])) - SUM($O427:V427)</f>
        <v>0</v>
      </c>
      <c r="X427" s="52">
        <f ca="1">Log_2018[[#This Row],[Amount]]/Log_2018[[#This Row],[Split_raw]]*MAX(0,MIN(_xlfn.DAYS(EDATE(X$1,1),Log_2018[[#This Row],[Date]]),Log_2018[[#This Row],[Split_apply]])) - SUM($O427:W427)</f>
        <v>0</v>
      </c>
      <c r="Y427" s="52">
        <f ca="1">Log_2018[[#This Row],[Amount]]/Log_2018[[#This Row],[Split_raw]]*MAX(0,MIN(_xlfn.DAYS(EDATE(Y$1,1),Log_2018[[#This Row],[Date]]),Log_2018[[#This Row],[Split_apply]])) - SUM($O427:X427)</f>
        <v>0</v>
      </c>
      <c r="Z427" s="52">
        <f ca="1">Log_2018[[#This Row],[Amount]]/Log_2018[[#This Row],[Split_raw]]*MAX(0,MIN(_xlfn.DAYS(EDATE(Z$1,1),Log_2018[[#This Row],[Date]]),Log_2018[[#This Row],[Split_apply]])) - SUM($O427:Y427)</f>
        <v>0</v>
      </c>
      <c r="AA427" s="52">
        <f ca="1">Log_2018[[#This Row],[Amount]]/Log_2018[[#This Row],[Split_raw]]*MAX(0,MIN(_xlfn.DAYS(EDATE(AA$1,1),Log_2018[[#This Row],[Date]]),Log_2018[[#This Row],[Split_apply]])) - SUM($O427:Z427)</f>
        <v>0</v>
      </c>
      <c r="AB427" s="54">
        <f ca="1">Log_2018[[#This Row],[Amount]]-SUM(O427:AA427)</f>
        <v>0</v>
      </c>
      <c r="AC427" s="7">
        <f ca="1">MAX(0,Log_2018[[#This Row],[Split_apply]] - (EDATE(AA$1,1)-Log_2018[[#This Row],[Date]]))</f>
        <v>0</v>
      </c>
    </row>
    <row r="428" spans="1:29" hidden="1" x14ac:dyDescent="0.25">
      <c r="A428" s="115"/>
      <c r="B428" t="s">
        <v>6</v>
      </c>
      <c r="D428" s="39">
        <v>43259</v>
      </c>
      <c r="F428" t="s">
        <v>59</v>
      </c>
      <c r="G428" t="s">
        <v>25</v>
      </c>
      <c r="H428" s="3">
        <v>-7.94</v>
      </c>
      <c r="I428" s="36">
        <f>IF(Log_2018[[#This Row],[My Category]]="NONTRACKED",0,Log_2018[[#This Row],[Raw Amount]])</f>
        <v>-7.94</v>
      </c>
      <c r="J428" s="17">
        <f>ABS(Log_2018[[#This Row],[Amount]])</f>
        <v>7.94</v>
      </c>
      <c r="K428" s="66">
        <v>1</v>
      </c>
      <c r="L428" s="66">
        <f ca="1">IF(Log_2018[[#This Row],[Date]]&lt;=TODAY(), MIN(Log_2018[[#This Row],[Split_raw]], TODAY()-Log_2018[[#This Row],[Date]]+1), 0)</f>
        <v>1</v>
      </c>
      <c r="M428" t="s">
        <v>35</v>
      </c>
      <c r="N428" t="s">
        <v>158</v>
      </c>
      <c r="O428" s="50">
        <v>0</v>
      </c>
      <c r="P428" s="52">
        <f ca="1">Log_2018[[#This Row],[Amount]]/Log_2018[[#This Row],[Split_raw]]*MAX(0,MIN(_xlfn.DAYS(EDATE(P$1,1),Log_2018[[#This Row],[Date]]),Log_2018[[#This Row],[Split_apply]])) - SUM($O428:O428)</f>
        <v>0</v>
      </c>
      <c r="Q428" s="52">
        <f ca="1">Log_2018[[#This Row],[Amount]]/Log_2018[[#This Row],[Split_raw]]*MAX(0,MIN(_xlfn.DAYS(EDATE(Q$1,1),Log_2018[[#This Row],[Date]]),Log_2018[[#This Row],[Split_apply]])) - SUM($O428:P428)</f>
        <v>0</v>
      </c>
      <c r="R428" s="52">
        <f ca="1">Log_2018[[#This Row],[Amount]]/Log_2018[[#This Row],[Split_raw]]*MAX(0,MIN(_xlfn.DAYS(EDATE(R$1,1),Log_2018[[#This Row],[Date]]),Log_2018[[#This Row],[Split_apply]])) - SUM($O428:Q428)</f>
        <v>0</v>
      </c>
      <c r="S428" s="52">
        <f ca="1">Log_2018[[#This Row],[Amount]]/Log_2018[[#This Row],[Split_raw]]*MAX(0,MIN(_xlfn.DAYS(EDATE(S$1,1),Log_2018[[#This Row],[Date]]),Log_2018[[#This Row],[Split_apply]])) - SUM($O428:R428)</f>
        <v>0</v>
      </c>
      <c r="T428" s="52">
        <f ca="1">Log_2018[[#This Row],[Amount]]/Log_2018[[#This Row],[Split_raw]]*MAX(0,MIN(_xlfn.DAYS(EDATE(T$1,1),Log_2018[[#This Row],[Date]]),Log_2018[[#This Row],[Split_apply]])) - SUM($O428:S428)</f>
        <v>0</v>
      </c>
      <c r="U428" s="52">
        <f ca="1">Log_2018[[#This Row],[Amount]]/Log_2018[[#This Row],[Split_raw]]*MAX(0,MIN(_xlfn.DAYS(EDATE(U$1,1),Log_2018[[#This Row],[Date]]),Log_2018[[#This Row],[Split_apply]])) - SUM($O428:T428)</f>
        <v>-7.94</v>
      </c>
      <c r="V428" s="52">
        <f ca="1">Log_2018[[#This Row],[Amount]]/Log_2018[[#This Row],[Split_raw]]*MAX(0,MIN(_xlfn.DAYS(EDATE(V$1,1),Log_2018[[#This Row],[Date]]),Log_2018[[#This Row],[Split_apply]])) - SUM($O428:U428)</f>
        <v>0</v>
      </c>
      <c r="W428" s="52">
        <f ca="1">Log_2018[[#This Row],[Amount]]/Log_2018[[#This Row],[Split_raw]]*MAX(0,MIN(_xlfn.DAYS(EDATE(W$1,1),Log_2018[[#This Row],[Date]]),Log_2018[[#This Row],[Split_apply]])) - SUM($O428:V428)</f>
        <v>0</v>
      </c>
      <c r="X428" s="52">
        <f ca="1">Log_2018[[#This Row],[Amount]]/Log_2018[[#This Row],[Split_raw]]*MAX(0,MIN(_xlfn.DAYS(EDATE(X$1,1),Log_2018[[#This Row],[Date]]),Log_2018[[#This Row],[Split_apply]])) - SUM($O428:W428)</f>
        <v>0</v>
      </c>
      <c r="Y428" s="52">
        <f ca="1">Log_2018[[#This Row],[Amount]]/Log_2018[[#This Row],[Split_raw]]*MAX(0,MIN(_xlfn.DAYS(EDATE(Y$1,1),Log_2018[[#This Row],[Date]]),Log_2018[[#This Row],[Split_apply]])) - SUM($O428:X428)</f>
        <v>0</v>
      </c>
      <c r="Z428" s="52">
        <f ca="1">Log_2018[[#This Row],[Amount]]/Log_2018[[#This Row],[Split_raw]]*MAX(0,MIN(_xlfn.DAYS(EDATE(Z$1,1),Log_2018[[#This Row],[Date]]),Log_2018[[#This Row],[Split_apply]])) - SUM($O428:Y428)</f>
        <v>0</v>
      </c>
      <c r="AA428" s="52">
        <f ca="1">Log_2018[[#This Row],[Amount]]/Log_2018[[#This Row],[Split_raw]]*MAX(0,MIN(_xlfn.DAYS(EDATE(AA$1,1),Log_2018[[#This Row],[Date]]),Log_2018[[#This Row],[Split_apply]])) - SUM($O428:Z428)</f>
        <v>0</v>
      </c>
      <c r="AB428" s="54">
        <f ca="1">Log_2018[[#This Row],[Amount]]-SUM(O428:AA428)</f>
        <v>0</v>
      </c>
      <c r="AC428" s="7">
        <f ca="1">MAX(0,Log_2018[[#This Row],[Split_apply]] - (EDATE(AA$1,1)-Log_2018[[#This Row],[Date]]))</f>
        <v>0</v>
      </c>
    </row>
    <row r="429" spans="1:29" hidden="1" x14ac:dyDescent="0.25">
      <c r="A429" s="115"/>
      <c r="B429" t="s">
        <v>6</v>
      </c>
      <c r="D429" s="39">
        <v>43258</v>
      </c>
      <c r="F429" t="s">
        <v>188</v>
      </c>
      <c r="G429" t="s">
        <v>189</v>
      </c>
      <c r="H429" s="3">
        <v>-82.36</v>
      </c>
      <c r="I429" s="36">
        <f>IF(Log_2018[[#This Row],[My Category]]="NONTRACKED",0,Log_2018[[#This Row],[Raw Amount]])</f>
        <v>-82.36</v>
      </c>
      <c r="J429" s="17">
        <f>ABS(Log_2018[[#This Row],[Amount]])</f>
        <v>82.36</v>
      </c>
      <c r="K429" s="66">
        <v>30</v>
      </c>
      <c r="L429" s="66">
        <f ca="1">IF(Log_2018[[#This Row],[Date]]&lt;=TODAY(), MIN(Log_2018[[#This Row],[Split_raw]], TODAY()-Log_2018[[#This Row],[Date]]+1), 0)</f>
        <v>30</v>
      </c>
      <c r="M429" t="s">
        <v>30</v>
      </c>
      <c r="N429" t="s">
        <v>158</v>
      </c>
      <c r="O429" s="50">
        <v>0</v>
      </c>
      <c r="P429" s="52">
        <f ca="1">Log_2018[[#This Row],[Amount]]/Log_2018[[#This Row],[Split_raw]]*MAX(0,MIN(_xlfn.DAYS(EDATE(P$1,1),Log_2018[[#This Row],[Date]]),Log_2018[[#This Row],[Split_apply]])) - SUM($O429:O429)</f>
        <v>0</v>
      </c>
      <c r="Q429" s="52">
        <f ca="1">Log_2018[[#This Row],[Amount]]/Log_2018[[#This Row],[Split_raw]]*MAX(0,MIN(_xlfn.DAYS(EDATE(Q$1,1),Log_2018[[#This Row],[Date]]),Log_2018[[#This Row],[Split_apply]])) - SUM($O429:P429)</f>
        <v>0</v>
      </c>
      <c r="R429" s="52">
        <f ca="1">Log_2018[[#This Row],[Amount]]/Log_2018[[#This Row],[Split_raw]]*MAX(0,MIN(_xlfn.DAYS(EDATE(R$1,1),Log_2018[[#This Row],[Date]]),Log_2018[[#This Row],[Split_apply]])) - SUM($O429:Q429)</f>
        <v>0</v>
      </c>
      <c r="S429" s="52">
        <f ca="1">Log_2018[[#This Row],[Amount]]/Log_2018[[#This Row],[Split_raw]]*MAX(0,MIN(_xlfn.DAYS(EDATE(S$1,1),Log_2018[[#This Row],[Date]]),Log_2018[[#This Row],[Split_apply]])) - SUM($O429:R429)</f>
        <v>0</v>
      </c>
      <c r="T429" s="52">
        <f ca="1">Log_2018[[#This Row],[Amount]]/Log_2018[[#This Row],[Split_raw]]*MAX(0,MIN(_xlfn.DAYS(EDATE(T$1,1),Log_2018[[#This Row],[Date]]),Log_2018[[#This Row],[Split_apply]])) - SUM($O429:S429)</f>
        <v>0</v>
      </c>
      <c r="U429" s="52">
        <f ca="1">Log_2018[[#This Row],[Amount]]/Log_2018[[#This Row],[Split_raw]]*MAX(0,MIN(_xlfn.DAYS(EDATE(U$1,1),Log_2018[[#This Row],[Date]]),Log_2018[[#This Row],[Split_apply]])) - SUM($O429:T429)</f>
        <v>-65.888000000000005</v>
      </c>
      <c r="V429" s="52">
        <f ca="1">Log_2018[[#This Row],[Amount]]/Log_2018[[#This Row],[Split_raw]]*MAX(0,MIN(_xlfn.DAYS(EDATE(V$1,1),Log_2018[[#This Row],[Date]]),Log_2018[[#This Row],[Split_apply]])) - SUM($O429:U429)</f>
        <v>-16.471999999999994</v>
      </c>
      <c r="W429" s="52">
        <f ca="1">Log_2018[[#This Row],[Amount]]/Log_2018[[#This Row],[Split_raw]]*MAX(0,MIN(_xlfn.DAYS(EDATE(W$1,1),Log_2018[[#This Row],[Date]]),Log_2018[[#This Row],[Split_apply]])) - SUM($O429:V429)</f>
        <v>0</v>
      </c>
      <c r="X429" s="52">
        <f ca="1">Log_2018[[#This Row],[Amount]]/Log_2018[[#This Row],[Split_raw]]*MAX(0,MIN(_xlfn.DAYS(EDATE(X$1,1),Log_2018[[#This Row],[Date]]),Log_2018[[#This Row],[Split_apply]])) - SUM($O429:W429)</f>
        <v>0</v>
      </c>
      <c r="Y429" s="52">
        <f ca="1">Log_2018[[#This Row],[Amount]]/Log_2018[[#This Row],[Split_raw]]*MAX(0,MIN(_xlfn.DAYS(EDATE(Y$1,1),Log_2018[[#This Row],[Date]]),Log_2018[[#This Row],[Split_apply]])) - SUM($O429:X429)</f>
        <v>0</v>
      </c>
      <c r="Z429" s="52">
        <f ca="1">Log_2018[[#This Row],[Amount]]/Log_2018[[#This Row],[Split_raw]]*MAX(0,MIN(_xlfn.DAYS(EDATE(Z$1,1),Log_2018[[#This Row],[Date]]),Log_2018[[#This Row],[Split_apply]])) - SUM($O429:Y429)</f>
        <v>0</v>
      </c>
      <c r="AA429" s="52">
        <f ca="1">Log_2018[[#This Row],[Amount]]/Log_2018[[#This Row],[Split_raw]]*MAX(0,MIN(_xlfn.DAYS(EDATE(AA$1,1),Log_2018[[#This Row],[Date]]),Log_2018[[#This Row],[Split_apply]])) - SUM($O429:Z429)</f>
        <v>0</v>
      </c>
      <c r="AB429" s="54">
        <f ca="1">Log_2018[[#This Row],[Amount]]-SUM(O429:AA429)</f>
        <v>0</v>
      </c>
      <c r="AC429" s="7">
        <f ca="1">MAX(0,Log_2018[[#This Row],[Split_apply]] - (EDATE(AA$1,1)-Log_2018[[#This Row],[Date]]))</f>
        <v>0</v>
      </c>
    </row>
    <row r="430" spans="1:29" hidden="1" x14ac:dyDescent="0.25">
      <c r="A430" s="115"/>
      <c r="B430" t="s">
        <v>6</v>
      </c>
      <c r="D430" s="39">
        <v>43258</v>
      </c>
      <c r="F430" t="s">
        <v>265</v>
      </c>
      <c r="G430" t="s">
        <v>87</v>
      </c>
      <c r="H430" s="3">
        <f>--1754.57</f>
        <v>1754.57</v>
      </c>
      <c r="I430" s="36">
        <f>IF(Log_2018[[#This Row],[My Category]]="NONTRACKED",0,Log_2018[[#This Row],[Raw Amount]])</f>
        <v>1754.57</v>
      </c>
      <c r="J430" s="17">
        <f>ABS(Log_2018[[#This Row],[Amount]])</f>
        <v>1754.57</v>
      </c>
      <c r="K430" s="66">
        <v>14</v>
      </c>
      <c r="L430" s="66">
        <f ca="1">IF(Log_2018[[#This Row],[Date]]&lt;=TODAY(), MIN(Log_2018[[#This Row],[Split_raw]], TODAY()-Log_2018[[#This Row],[Date]]+1), 0)</f>
        <v>14</v>
      </c>
      <c r="M430" t="s">
        <v>91</v>
      </c>
      <c r="N430" t="s">
        <v>160</v>
      </c>
      <c r="O430" s="50">
        <v>0</v>
      </c>
      <c r="P430" s="52">
        <f ca="1">Log_2018[[#This Row],[Amount]]/Log_2018[[#This Row],[Split_raw]]*MAX(0,MIN(_xlfn.DAYS(EDATE(P$1,1),Log_2018[[#This Row],[Date]]),Log_2018[[#This Row],[Split_apply]])) - SUM($O430:O430)</f>
        <v>0</v>
      </c>
      <c r="Q430" s="52">
        <f ca="1">Log_2018[[#This Row],[Amount]]/Log_2018[[#This Row],[Split_raw]]*MAX(0,MIN(_xlfn.DAYS(EDATE(Q$1,1),Log_2018[[#This Row],[Date]]),Log_2018[[#This Row],[Split_apply]])) - SUM($O430:P430)</f>
        <v>0</v>
      </c>
      <c r="R430" s="52">
        <f ca="1">Log_2018[[#This Row],[Amount]]/Log_2018[[#This Row],[Split_raw]]*MAX(0,MIN(_xlfn.DAYS(EDATE(R$1,1),Log_2018[[#This Row],[Date]]),Log_2018[[#This Row],[Split_apply]])) - SUM($O430:Q430)</f>
        <v>0</v>
      </c>
      <c r="S430" s="52">
        <f ca="1">Log_2018[[#This Row],[Amount]]/Log_2018[[#This Row],[Split_raw]]*MAX(0,MIN(_xlfn.DAYS(EDATE(S$1,1),Log_2018[[#This Row],[Date]]),Log_2018[[#This Row],[Split_apply]])) - SUM($O430:R430)</f>
        <v>0</v>
      </c>
      <c r="T430" s="52">
        <f ca="1">Log_2018[[#This Row],[Amount]]/Log_2018[[#This Row],[Split_raw]]*MAX(0,MIN(_xlfn.DAYS(EDATE(T$1,1),Log_2018[[#This Row],[Date]]),Log_2018[[#This Row],[Split_apply]])) - SUM($O430:S430)</f>
        <v>0</v>
      </c>
      <c r="U430" s="52">
        <f ca="1">Log_2018[[#This Row],[Amount]]/Log_2018[[#This Row],[Split_raw]]*MAX(0,MIN(_xlfn.DAYS(EDATE(U$1,1),Log_2018[[#This Row],[Date]]),Log_2018[[#This Row],[Split_apply]])) - SUM($O430:T430)</f>
        <v>1754.57</v>
      </c>
      <c r="V430" s="52">
        <f ca="1">Log_2018[[#This Row],[Amount]]/Log_2018[[#This Row],[Split_raw]]*MAX(0,MIN(_xlfn.DAYS(EDATE(V$1,1),Log_2018[[#This Row],[Date]]),Log_2018[[#This Row],[Split_apply]])) - SUM($O430:U430)</f>
        <v>0</v>
      </c>
      <c r="W430" s="52">
        <f ca="1">Log_2018[[#This Row],[Amount]]/Log_2018[[#This Row],[Split_raw]]*MAX(0,MIN(_xlfn.DAYS(EDATE(W$1,1),Log_2018[[#This Row],[Date]]),Log_2018[[#This Row],[Split_apply]])) - SUM($O430:V430)</f>
        <v>0</v>
      </c>
      <c r="X430" s="52">
        <f ca="1">Log_2018[[#This Row],[Amount]]/Log_2018[[#This Row],[Split_raw]]*MAX(0,MIN(_xlfn.DAYS(EDATE(X$1,1),Log_2018[[#This Row],[Date]]),Log_2018[[#This Row],[Split_apply]])) - SUM($O430:W430)</f>
        <v>0</v>
      </c>
      <c r="Y430" s="52">
        <f ca="1">Log_2018[[#This Row],[Amount]]/Log_2018[[#This Row],[Split_raw]]*MAX(0,MIN(_xlfn.DAYS(EDATE(Y$1,1),Log_2018[[#This Row],[Date]]),Log_2018[[#This Row],[Split_apply]])) - SUM($O430:X430)</f>
        <v>0</v>
      </c>
      <c r="Z430" s="52">
        <f ca="1">Log_2018[[#This Row],[Amount]]/Log_2018[[#This Row],[Split_raw]]*MAX(0,MIN(_xlfn.DAYS(EDATE(Z$1,1),Log_2018[[#This Row],[Date]]),Log_2018[[#This Row],[Split_apply]])) - SUM($O430:Y430)</f>
        <v>0</v>
      </c>
      <c r="AA430" s="52">
        <f ca="1">Log_2018[[#This Row],[Amount]]/Log_2018[[#This Row],[Split_raw]]*MAX(0,MIN(_xlfn.DAYS(EDATE(AA$1,1),Log_2018[[#This Row],[Date]]),Log_2018[[#This Row],[Split_apply]])) - SUM($O430:Z430)</f>
        <v>0</v>
      </c>
      <c r="AB430" s="54">
        <f ca="1">Log_2018[[#This Row],[Amount]]-SUM(O430:AA430)</f>
        <v>0</v>
      </c>
      <c r="AC430" s="7">
        <f ca="1">MAX(0,Log_2018[[#This Row],[Split_apply]] - (EDATE(AA$1,1)-Log_2018[[#This Row],[Date]]))</f>
        <v>0</v>
      </c>
    </row>
    <row r="431" spans="1:29" hidden="1" x14ac:dyDescent="0.25">
      <c r="A431" s="115"/>
      <c r="B431" t="s">
        <v>6</v>
      </c>
      <c r="D431" s="39">
        <v>43257</v>
      </c>
      <c r="F431" t="s">
        <v>217</v>
      </c>
      <c r="G431" t="s">
        <v>12</v>
      </c>
      <c r="H431" s="3">
        <v>-38.79</v>
      </c>
      <c r="I431" s="36">
        <f>IF(Log_2018[[#This Row],[My Category]]="NONTRACKED",0,Log_2018[[#This Row],[Raw Amount]])</f>
        <v>-38.79</v>
      </c>
      <c r="J431" s="17">
        <f>ABS(Log_2018[[#This Row],[Amount]])</f>
        <v>38.79</v>
      </c>
      <c r="K431" s="66">
        <v>1</v>
      </c>
      <c r="L431" s="66">
        <f ca="1">IF(Log_2018[[#This Row],[Date]]&lt;=TODAY(), MIN(Log_2018[[#This Row],[Split_raw]], TODAY()-Log_2018[[#This Row],[Date]]+1), 0)</f>
        <v>1</v>
      </c>
      <c r="M431" t="s">
        <v>12</v>
      </c>
      <c r="N431" t="s">
        <v>158</v>
      </c>
      <c r="O431" s="50">
        <v>0</v>
      </c>
      <c r="P431" s="52">
        <f ca="1">Log_2018[[#This Row],[Amount]]/Log_2018[[#This Row],[Split_raw]]*MAX(0,MIN(_xlfn.DAYS(EDATE(P$1,1),Log_2018[[#This Row],[Date]]),Log_2018[[#This Row],[Split_apply]])) - SUM($O431:O431)</f>
        <v>0</v>
      </c>
      <c r="Q431" s="52">
        <f ca="1">Log_2018[[#This Row],[Amount]]/Log_2018[[#This Row],[Split_raw]]*MAX(0,MIN(_xlfn.DAYS(EDATE(Q$1,1),Log_2018[[#This Row],[Date]]),Log_2018[[#This Row],[Split_apply]])) - SUM($O431:P431)</f>
        <v>0</v>
      </c>
      <c r="R431" s="52">
        <f ca="1">Log_2018[[#This Row],[Amount]]/Log_2018[[#This Row],[Split_raw]]*MAX(0,MIN(_xlfn.DAYS(EDATE(R$1,1),Log_2018[[#This Row],[Date]]),Log_2018[[#This Row],[Split_apply]])) - SUM($O431:Q431)</f>
        <v>0</v>
      </c>
      <c r="S431" s="52">
        <f ca="1">Log_2018[[#This Row],[Amount]]/Log_2018[[#This Row],[Split_raw]]*MAX(0,MIN(_xlfn.DAYS(EDATE(S$1,1),Log_2018[[#This Row],[Date]]),Log_2018[[#This Row],[Split_apply]])) - SUM($O431:R431)</f>
        <v>0</v>
      </c>
      <c r="T431" s="52">
        <f ca="1">Log_2018[[#This Row],[Amount]]/Log_2018[[#This Row],[Split_raw]]*MAX(0,MIN(_xlfn.DAYS(EDATE(T$1,1),Log_2018[[#This Row],[Date]]),Log_2018[[#This Row],[Split_apply]])) - SUM($O431:S431)</f>
        <v>0</v>
      </c>
      <c r="U431" s="52">
        <f ca="1">Log_2018[[#This Row],[Amount]]/Log_2018[[#This Row],[Split_raw]]*MAX(0,MIN(_xlfn.DAYS(EDATE(U$1,1),Log_2018[[#This Row],[Date]]),Log_2018[[#This Row],[Split_apply]])) - SUM($O431:T431)</f>
        <v>-38.79</v>
      </c>
      <c r="V431" s="52">
        <f ca="1">Log_2018[[#This Row],[Amount]]/Log_2018[[#This Row],[Split_raw]]*MAX(0,MIN(_xlfn.DAYS(EDATE(V$1,1),Log_2018[[#This Row],[Date]]),Log_2018[[#This Row],[Split_apply]])) - SUM($O431:U431)</f>
        <v>0</v>
      </c>
      <c r="W431" s="52">
        <f ca="1">Log_2018[[#This Row],[Amount]]/Log_2018[[#This Row],[Split_raw]]*MAX(0,MIN(_xlfn.DAYS(EDATE(W$1,1),Log_2018[[#This Row],[Date]]),Log_2018[[#This Row],[Split_apply]])) - SUM($O431:V431)</f>
        <v>0</v>
      </c>
      <c r="X431" s="52">
        <f ca="1">Log_2018[[#This Row],[Amount]]/Log_2018[[#This Row],[Split_raw]]*MAX(0,MIN(_xlfn.DAYS(EDATE(X$1,1),Log_2018[[#This Row],[Date]]),Log_2018[[#This Row],[Split_apply]])) - SUM($O431:W431)</f>
        <v>0</v>
      </c>
      <c r="Y431" s="52">
        <f ca="1">Log_2018[[#This Row],[Amount]]/Log_2018[[#This Row],[Split_raw]]*MAX(0,MIN(_xlfn.DAYS(EDATE(Y$1,1),Log_2018[[#This Row],[Date]]),Log_2018[[#This Row],[Split_apply]])) - SUM($O431:X431)</f>
        <v>0</v>
      </c>
      <c r="Z431" s="52">
        <f ca="1">Log_2018[[#This Row],[Amount]]/Log_2018[[#This Row],[Split_raw]]*MAX(0,MIN(_xlfn.DAYS(EDATE(Z$1,1),Log_2018[[#This Row],[Date]]),Log_2018[[#This Row],[Split_apply]])) - SUM($O431:Y431)</f>
        <v>0</v>
      </c>
      <c r="AA431" s="52">
        <f ca="1">Log_2018[[#This Row],[Amount]]/Log_2018[[#This Row],[Split_raw]]*MAX(0,MIN(_xlfn.DAYS(EDATE(AA$1,1),Log_2018[[#This Row],[Date]]),Log_2018[[#This Row],[Split_apply]])) - SUM($O431:Z431)</f>
        <v>0</v>
      </c>
      <c r="AB431" s="54">
        <f ca="1">Log_2018[[#This Row],[Amount]]-SUM(O431:AA431)</f>
        <v>0</v>
      </c>
      <c r="AC431" s="7">
        <f ca="1">MAX(0,Log_2018[[#This Row],[Split_apply]] - (EDATE(AA$1,1)-Log_2018[[#This Row],[Date]]))</f>
        <v>0</v>
      </c>
    </row>
    <row r="432" spans="1:29" hidden="1" x14ac:dyDescent="0.25">
      <c r="A432" s="115"/>
      <c r="B432" t="s">
        <v>6</v>
      </c>
      <c r="D432" s="39">
        <v>43257</v>
      </c>
      <c r="F432" t="s">
        <v>59</v>
      </c>
      <c r="G432" t="s">
        <v>25</v>
      </c>
      <c r="H432" s="3">
        <v>-7.94</v>
      </c>
      <c r="I432" s="36">
        <f>IF(Log_2018[[#This Row],[My Category]]="NONTRACKED",0,Log_2018[[#This Row],[Raw Amount]])</f>
        <v>-7.94</v>
      </c>
      <c r="J432" s="17">
        <f>ABS(Log_2018[[#This Row],[Amount]])</f>
        <v>7.94</v>
      </c>
      <c r="K432" s="66">
        <v>1</v>
      </c>
      <c r="L432" s="66">
        <f ca="1">IF(Log_2018[[#This Row],[Date]]&lt;=TODAY(), MIN(Log_2018[[#This Row],[Split_raw]], TODAY()-Log_2018[[#This Row],[Date]]+1), 0)</f>
        <v>1</v>
      </c>
      <c r="M432" t="s">
        <v>35</v>
      </c>
      <c r="N432" t="s">
        <v>158</v>
      </c>
      <c r="O432" s="50">
        <v>0</v>
      </c>
      <c r="P432" s="52">
        <f ca="1">Log_2018[[#This Row],[Amount]]/Log_2018[[#This Row],[Split_raw]]*MAX(0,MIN(_xlfn.DAYS(EDATE(P$1,1),Log_2018[[#This Row],[Date]]),Log_2018[[#This Row],[Split_apply]])) - SUM($O432:O432)</f>
        <v>0</v>
      </c>
      <c r="Q432" s="52">
        <f ca="1">Log_2018[[#This Row],[Amount]]/Log_2018[[#This Row],[Split_raw]]*MAX(0,MIN(_xlfn.DAYS(EDATE(Q$1,1),Log_2018[[#This Row],[Date]]),Log_2018[[#This Row],[Split_apply]])) - SUM($O432:P432)</f>
        <v>0</v>
      </c>
      <c r="R432" s="52">
        <f ca="1">Log_2018[[#This Row],[Amount]]/Log_2018[[#This Row],[Split_raw]]*MAX(0,MIN(_xlfn.DAYS(EDATE(R$1,1),Log_2018[[#This Row],[Date]]),Log_2018[[#This Row],[Split_apply]])) - SUM($O432:Q432)</f>
        <v>0</v>
      </c>
      <c r="S432" s="52">
        <f ca="1">Log_2018[[#This Row],[Amount]]/Log_2018[[#This Row],[Split_raw]]*MAX(0,MIN(_xlfn.DAYS(EDATE(S$1,1),Log_2018[[#This Row],[Date]]),Log_2018[[#This Row],[Split_apply]])) - SUM($O432:R432)</f>
        <v>0</v>
      </c>
      <c r="T432" s="52">
        <f ca="1">Log_2018[[#This Row],[Amount]]/Log_2018[[#This Row],[Split_raw]]*MAX(0,MIN(_xlfn.DAYS(EDATE(T$1,1),Log_2018[[#This Row],[Date]]),Log_2018[[#This Row],[Split_apply]])) - SUM($O432:S432)</f>
        <v>0</v>
      </c>
      <c r="U432" s="52">
        <f ca="1">Log_2018[[#This Row],[Amount]]/Log_2018[[#This Row],[Split_raw]]*MAX(0,MIN(_xlfn.DAYS(EDATE(U$1,1),Log_2018[[#This Row],[Date]]),Log_2018[[#This Row],[Split_apply]])) - SUM($O432:T432)</f>
        <v>-7.94</v>
      </c>
      <c r="V432" s="52">
        <f ca="1">Log_2018[[#This Row],[Amount]]/Log_2018[[#This Row],[Split_raw]]*MAX(0,MIN(_xlfn.DAYS(EDATE(V$1,1),Log_2018[[#This Row],[Date]]),Log_2018[[#This Row],[Split_apply]])) - SUM($O432:U432)</f>
        <v>0</v>
      </c>
      <c r="W432" s="52">
        <f ca="1">Log_2018[[#This Row],[Amount]]/Log_2018[[#This Row],[Split_raw]]*MAX(0,MIN(_xlfn.DAYS(EDATE(W$1,1),Log_2018[[#This Row],[Date]]),Log_2018[[#This Row],[Split_apply]])) - SUM($O432:V432)</f>
        <v>0</v>
      </c>
      <c r="X432" s="52">
        <f ca="1">Log_2018[[#This Row],[Amount]]/Log_2018[[#This Row],[Split_raw]]*MAX(0,MIN(_xlfn.DAYS(EDATE(X$1,1),Log_2018[[#This Row],[Date]]),Log_2018[[#This Row],[Split_apply]])) - SUM($O432:W432)</f>
        <v>0</v>
      </c>
      <c r="Y432" s="52">
        <f ca="1">Log_2018[[#This Row],[Amount]]/Log_2018[[#This Row],[Split_raw]]*MAX(0,MIN(_xlfn.DAYS(EDATE(Y$1,1),Log_2018[[#This Row],[Date]]),Log_2018[[#This Row],[Split_apply]])) - SUM($O432:X432)</f>
        <v>0</v>
      </c>
      <c r="Z432" s="52">
        <f ca="1">Log_2018[[#This Row],[Amount]]/Log_2018[[#This Row],[Split_raw]]*MAX(0,MIN(_xlfn.DAYS(EDATE(Z$1,1),Log_2018[[#This Row],[Date]]),Log_2018[[#This Row],[Split_apply]])) - SUM($O432:Y432)</f>
        <v>0</v>
      </c>
      <c r="AA432" s="52">
        <f ca="1">Log_2018[[#This Row],[Amount]]/Log_2018[[#This Row],[Split_raw]]*MAX(0,MIN(_xlfn.DAYS(EDATE(AA$1,1),Log_2018[[#This Row],[Date]]),Log_2018[[#This Row],[Split_apply]])) - SUM($O432:Z432)</f>
        <v>0</v>
      </c>
      <c r="AB432" s="54">
        <f ca="1">Log_2018[[#This Row],[Amount]]-SUM(O432:AA432)</f>
        <v>0</v>
      </c>
      <c r="AC432" s="7">
        <f ca="1">MAX(0,Log_2018[[#This Row],[Split_apply]] - (EDATE(AA$1,1)-Log_2018[[#This Row],[Date]]))</f>
        <v>0</v>
      </c>
    </row>
    <row r="433" spans="1:29" hidden="1" x14ac:dyDescent="0.25">
      <c r="A433" s="115"/>
      <c r="B433" t="s">
        <v>6</v>
      </c>
      <c r="D433" s="39">
        <v>43256</v>
      </c>
      <c r="F433" t="s">
        <v>255</v>
      </c>
      <c r="G433" t="s">
        <v>25</v>
      </c>
      <c r="H433" s="3">
        <v>-12.51</v>
      </c>
      <c r="I433" s="36">
        <f>IF(Log_2018[[#This Row],[My Category]]="NONTRACKED",0,Log_2018[[#This Row],[Raw Amount]])</f>
        <v>-12.51</v>
      </c>
      <c r="J433" s="17">
        <f>ABS(Log_2018[[#This Row],[Amount]])</f>
        <v>12.51</v>
      </c>
      <c r="K433" s="66">
        <v>1</v>
      </c>
      <c r="L433" s="66">
        <f ca="1">IF(Log_2018[[#This Row],[Date]]&lt;=TODAY(), MIN(Log_2018[[#This Row],[Split_raw]], TODAY()-Log_2018[[#This Row],[Date]]+1), 0)</f>
        <v>1</v>
      </c>
      <c r="M433" t="s">
        <v>35</v>
      </c>
      <c r="N433" t="s">
        <v>158</v>
      </c>
      <c r="O433" s="50">
        <v>0</v>
      </c>
      <c r="P433" s="52">
        <f ca="1">Log_2018[[#This Row],[Amount]]/Log_2018[[#This Row],[Split_raw]]*MAX(0,MIN(_xlfn.DAYS(EDATE(P$1,1),Log_2018[[#This Row],[Date]]),Log_2018[[#This Row],[Split_apply]])) - SUM($O433:O433)</f>
        <v>0</v>
      </c>
      <c r="Q433" s="52">
        <f ca="1">Log_2018[[#This Row],[Amount]]/Log_2018[[#This Row],[Split_raw]]*MAX(0,MIN(_xlfn.DAYS(EDATE(Q$1,1),Log_2018[[#This Row],[Date]]),Log_2018[[#This Row],[Split_apply]])) - SUM($O433:P433)</f>
        <v>0</v>
      </c>
      <c r="R433" s="52">
        <f ca="1">Log_2018[[#This Row],[Amount]]/Log_2018[[#This Row],[Split_raw]]*MAX(0,MIN(_xlfn.DAYS(EDATE(R$1,1),Log_2018[[#This Row],[Date]]),Log_2018[[#This Row],[Split_apply]])) - SUM($O433:Q433)</f>
        <v>0</v>
      </c>
      <c r="S433" s="52">
        <f ca="1">Log_2018[[#This Row],[Amount]]/Log_2018[[#This Row],[Split_raw]]*MAX(0,MIN(_xlfn.DAYS(EDATE(S$1,1),Log_2018[[#This Row],[Date]]),Log_2018[[#This Row],[Split_apply]])) - SUM($O433:R433)</f>
        <v>0</v>
      </c>
      <c r="T433" s="52">
        <f ca="1">Log_2018[[#This Row],[Amount]]/Log_2018[[#This Row],[Split_raw]]*MAX(0,MIN(_xlfn.DAYS(EDATE(T$1,1),Log_2018[[#This Row],[Date]]),Log_2018[[#This Row],[Split_apply]])) - SUM($O433:S433)</f>
        <v>0</v>
      </c>
      <c r="U433" s="52">
        <f ca="1">Log_2018[[#This Row],[Amount]]/Log_2018[[#This Row],[Split_raw]]*MAX(0,MIN(_xlfn.DAYS(EDATE(U$1,1),Log_2018[[#This Row],[Date]]),Log_2018[[#This Row],[Split_apply]])) - SUM($O433:T433)</f>
        <v>-12.51</v>
      </c>
      <c r="V433" s="52">
        <f ca="1">Log_2018[[#This Row],[Amount]]/Log_2018[[#This Row],[Split_raw]]*MAX(0,MIN(_xlfn.DAYS(EDATE(V$1,1),Log_2018[[#This Row],[Date]]),Log_2018[[#This Row],[Split_apply]])) - SUM($O433:U433)</f>
        <v>0</v>
      </c>
      <c r="W433" s="52">
        <f ca="1">Log_2018[[#This Row],[Amount]]/Log_2018[[#This Row],[Split_raw]]*MAX(0,MIN(_xlfn.DAYS(EDATE(W$1,1),Log_2018[[#This Row],[Date]]),Log_2018[[#This Row],[Split_apply]])) - SUM($O433:V433)</f>
        <v>0</v>
      </c>
      <c r="X433" s="52">
        <f ca="1">Log_2018[[#This Row],[Amount]]/Log_2018[[#This Row],[Split_raw]]*MAX(0,MIN(_xlfn.DAYS(EDATE(X$1,1),Log_2018[[#This Row],[Date]]),Log_2018[[#This Row],[Split_apply]])) - SUM($O433:W433)</f>
        <v>0</v>
      </c>
      <c r="Y433" s="52">
        <f ca="1">Log_2018[[#This Row],[Amount]]/Log_2018[[#This Row],[Split_raw]]*MAX(0,MIN(_xlfn.DAYS(EDATE(Y$1,1),Log_2018[[#This Row],[Date]]),Log_2018[[#This Row],[Split_apply]])) - SUM($O433:X433)</f>
        <v>0</v>
      </c>
      <c r="Z433" s="52">
        <f ca="1">Log_2018[[#This Row],[Amount]]/Log_2018[[#This Row],[Split_raw]]*MAX(0,MIN(_xlfn.DAYS(EDATE(Z$1,1),Log_2018[[#This Row],[Date]]),Log_2018[[#This Row],[Split_apply]])) - SUM($O433:Y433)</f>
        <v>0</v>
      </c>
      <c r="AA433" s="52">
        <f ca="1">Log_2018[[#This Row],[Amount]]/Log_2018[[#This Row],[Split_raw]]*MAX(0,MIN(_xlfn.DAYS(EDATE(AA$1,1),Log_2018[[#This Row],[Date]]),Log_2018[[#This Row],[Split_apply]])) - SUM($O433:Z433)</f>
        <v>0</v>
      </c>
      <c r="AB433" s="54">
        <f ca="1">Log_2018[[#This Row],[Amount]]-SUM(O433:AA433)</f>
        <v>0</v>
      </c>
      <c r="AC433" s="7">
        <f ca="1">MAX(0,Log_2018[[#This Row],[Split_apply]] - (EDATE(AA$1,1)-Log_2018[[#This Row],[Date]]))</f>
        <v>0</v>
      </c>
    </row>
    <row r="434" spans="1:29" hidden="1" x14ac:dyDescent="0.25">
      <c r="A434" s="115"/>
      <c r="B434" t="s">
        <v>6</v>
      </c>
      <c r="D434" s="39">
        <v>43255</v>
      </c>
      <c r="F434" t="s">
        <v>184</v>
      </c>
      <c r="G434" t="s">
        <v>11</v>
      </c>
      <c r="H434" s="3">
        <v>-12.31</v>
      </c>
      <c r="I434" s="36">
        <f>IF(Log_2018[[#This Row],[My Category]]="NONTRACKED",0,Log_2018[[#This Row],[Raw Amount]])</f>
        <v>-12.31</v>
      </c>
      <c r="J434" s="17">
        <f>ABS(Log_2018[[#This Row],[Amount]])</f>
        <v>12.31</v>
      </c>
      <c r="K434" s="66">
        <v>1</v>
      </c>
      <c r="L434" s="66">
        <f ca="1">IF(Log_2018[[#This Row],[Date]]&lt;=TODAY(), MIN(Log_2018[[#This Row],[Split_raw]], TODAY()-Log_2018[[#This Row],[Date]]+1), 0)</f>
        <v>1</v>
      </c>
      <c r="M434" t="s">
        <v>146</v>
      </c>
      <c r="N434" t="s">
        <v>158</v>
      </c>
      <c r="O434" s="50">
        <v>0</v>
      </c>
      <c r="P434" s="52">
        <f ca="1">Log_2018[[#This Row],[Amount]]/Log_2018[[#This Row],[Split_raw]]*MAX(0,MIN(_xlfn.DAYS(EDATE(P$1,1),Log_2018[[#This Row],[Date]]),Log_2018[[#This Row],[Split_apply]])) - SUM($O434:O434)</f>
        <v>0</v>
      </c>
      <c r="Q434" s="52">
        <f ca="1">Log_2018[[#This Row],[Amount]]/Log_2018[[#This Row],[Split_raw]]*MAX(0,MIN(_xlfn.DAYS(EDATE(Q$1,1),Log_2018[[#This Row],[Date]]),Log_2018[[#This Row],[Split_apply]])) - SUM($O434:P434)</f>
        <v>0</v>
      </c>
      <c r="R434" s="52">
        <f ca="1">Log_2018[[#This Row],[Amount]]/Log_2018[[#This Row],[Split_raw]]*MAX(0,MIN(_xlfn.DAYS(EDATE(R$1,1),Log_2018[[#This Row],[Date]]),Log_2018[[#This Row],[Split_apply]])) - SUM($O434:Q434)</f>
        <v>0</v>
      </c>
      <c r="S434" s="52">
        <f ca="1">Log_2018[[#This Row],[Amount]]/Log_2018[[#This Row],[Split_raw]]*MAX(0,MIN(_xlfn.DAYS(EDATE(S$1,1),Log_2018[[#This Row],[Date]]),Log_2018[[#This Row],[Split_apply]])) - SUM($O434:R434)</f>
        <v>0</v>
      </c>
      <c r="T434" s="52">
        <f ca="1">Log_2018[[#This Row],[Amount]]/Log_2018[[#This Row],[Split_raw]]*MAX(0,MIN(_xlfn.DAYS(EDATE(T$1,1),Log_2018[[#This Row],[Date]]),Log_2018[[#This Row],[Split_apply]])) - SUM($O434:S434)</f>
        <v>0</v>
      </c>
      <c r="U434" s="52">
        <f ca="1">Log_2018[[#This Row],[Amount]]/Log_2018[[#This Row],[Split_raw]]*MAX(0,MIN(_xlfn.DAYS(EDATE(U$1,1),Log_2018[[#This Row],[Date]]),Log_2018[[#This Row],[Split_apply]])) - SUM($O434:T434)</f>
        <v>-12.31</v>
      </c>
      <c r="V434" s="52">
        <f ca="1">Log_2018[[#This Row],[Amount]]/Log_2018[[#This Row],[Split_raw]]*MAX(0,MIN(_xlfn.DAYS(EDATE(V$1,1),Log_2018[[#This Row],[Date]]),Log_2018[[#This Row],[Split_apply]])) - SUM($O434:U434)</f>
        <v>0</v>
      </c>
      <c r="W434" s="52">
        <f ca="1">Log_2018[[#This Row],[Amount]]/Log_2018[[#This Row],[Split_raw]]*MAX(0,MIN(_xlfn.DAYS(EDATE(W$1,1),Log_2018[[#This Row],[Date]]),Log_2018[[#This Row],[Split_apply]])) - SUM($O434:V434)</f>
        <v>0</v>
      </c>
      <c r="X434" s="52">
        <f ca="1">Log_2018[[#This Row],[Amount]]/Log_2018[[#This Row],[Split_raw]]*MAX(0,MIN(_xlfn.DAYS(EDATE(X$1,1),Log_2018[[#This Row],[Date]]),Log_2018[[#This Row],[Split_apply]])) - SUM($O434:W434)</f>
        <v>0</v>
      </c>
      <c r="Y434" s="52">
        <f ca="1">Log_2018[[#This Row],[Amount]]/Log_2018[[#This Row],[Split_raw]]*MAX(0,MIN(_xlfn.DAYS(EDATE(Y$1,1),Log_2018[[#This Row],[Date]]),Log_2018[[#This Row],[Split_apply]])) - SUM($O434:X434)</f>
        <v>0</v>
      </c>
      <c r="Z434" s="52">
        <f ca="1">Log_2018[[#This Row],[Amount]]/Log_2018[[#This Row],[Split_raw]]*MAX(0,MIN(_xlfn.DAYS(EDATE(Z$1,1),Log_2018[[#This Row],[Date]]),Log_2018[[#This Row],[Split_apply]])) - SUM($O434:Y434)</f>
        <v>0</v>
      </c>
      <c r="AA434" s="52">
        <f ca="1">Log_2018[[#This Row],[Amount]]/Log_2018[[#This Row],[Split_raw]]*MAX(0,MIN(_xlfn.DAYS(EDATE(AA$1,1),Log_2018[[#This Row],[Date]]),Log_2018[[#This Row],[Split_apply]])) - SUM($O434:Z434)</f>
        <v>0</v>
      </c>
      <c r="AB434" s="54">
        <f ca="1">Log_2018[[#This Row],[Amount]]-SUM(O434:AA434)</f>
        <v>0</v>
      </c>
      <c r="AC434" s="7">
        <f ca="1">MAX(0,Log_2018[[#This Row],[Split_apply]] - (EDATE(AA$1,1)-Log_2018[[#This Row],[Date]]))</f>
        <v>0</v>
      </c>
    </row>
    <row r="435" spans="1:29" hidden="1" x14ac:dyDescent="0.25">
      <c r="A435" s="115"/>
      <c r="B435" t="s">
        <v>6</v>
      </c>
      <c r="D435" s="39">
        <v>43255</v>
      </c>
      <c r="F435" t="s">
        <v>59</v>
      </c>
      <c r="G435" t="s">
        <v>25</v>
      </c>
      <c r="H435" s="3">
        <v>-7.94</v>
      </c>
      <c r="I435" s="36">
        <f>IF(Log_2018[[#This Row],[My Category]]="NONTRACKED",0,Log_2018[[#This Row],[Raw Amount]])</f>
        <v>-7.94</v>
      </c>
      <c r="J435" s="17">
        <f>ABS(Log_2018[[#This Row],[Amount]])</f>
        <v>7.94</v>
      </c>
      <c r="K435" s="66">
        <v>1</v>
      </c>
      <c r="L435" s="66">
        <f ca="1">IF(Log_2018[[#This Row],[Date]]&lt;=TODAY(), MIN(Log_2018[[#This Row],[Split_raw]], TODAY()-Log_2018[[#This Row],[Date]]+1), 0)</f>
        <v>1</v>
      </c>
      <c r="M435" t="s">
        <v>35</v>
      </c>
      <c r="N435" t="s">
        <v>158</v>
      </c>
      <c r="O435" s="50">
        <v>0</v>
      </c>
      <c r="P435" s="52">
        <f ca="1">Log_2018[[#This Row],[Amount]]/Log_2018[[#This Row],[Split_raw]]*MAX(0,MIN(_xlfn.DAYS(EDATE(P$1,1),Log_2018[[#This Row],[Date]]),Log_2018[[#This Row],[Split_apply]])) - SUM($O435:O435)</f>
        <v>0</v>
      </c>
      <c r="Q435" s="52">
        <f ca="1">Log_2018[[#This Row],[Amount]]/Log_2018[[#This Row],[Split_raw]]*MAX(0,MIN(_xlfn.DAYS(EDATE(Q$1,1),Log_2018[[#This Row],[Date]]),Log_2018[[#This Row],[Split_apply]])) - SUM($O435:P435)</f>
        <v>0</v>
      </c>
      <c r="R435" s="52">
        <f ca="1">Log_2018[[#This Row],[Amount]]/Log_2018[[#This Row],[Split_raw]]*MAX(0,MIN(_xlfn.DAYS(EDATE(R$1,1),Log_2018[[#This Row],[Date]]),Log_2018[[#This Row],[Split_apply]])) - SUM($O435:Q435)</f>
        <v>0</v>
      </c>
      <c r="S435" s="52">
        <f ca="1">Log_2018[[#This Row],[Amount]]/Log_2018[[#This Row],[Split_raw]]*MAX(0,MIN(_xlfn.DAYS(EDATE(S$1,1),Log_2018[[#This Row],[Date]]),Log_2018[[#This Row],[Split_apply]])) - SUM($O435:R435)</f>
        <v>0</v>
      </c>
      <c r="T435" s="52">
        <f ca="1">Log_2018[[#This Row],[Amount]]/Log_2018[[#This Row],[Split_raw]]*MAX(0,MIN(_xlfn.DAYS(EDATE(T$1,1),Log_2018[[#This Row],[Date]]),Log_2018[[#This Row],[Split_apply]])) - SUM($O435:S435)</f>
        <v>0</v>
      </c>
      <c r="U435" s="52">
        <f ca="1">Log_2018[[#This Row],[Amount]]/Log_2018[[#This Row],[Split_raw]]*MAX(0,MIN(_xlfn.DAYS(EDATE(U$1,1),Log_2018[[#This Row],[Date]]),Log_2018[[#This Row],[Split_apply]])) - SUM($O435:T435)</f>
        <v>-7.94</v>
      </c>
      <c r="V435" s="52">
        <f ca="1">Log_2018[[#This Row],[Amount]]/Log_2018[[#This Row],[Split_raw]]*MAX(0,MIN(_xlfn.DAYS(EDATE(V$1,1),Log_2018[[#This Row],[Date]]),Log_2018[[#This Row],[Split_apply]])) - SUM($O435:U435)</f>
        <v>0</v>
      </c>
      <c r="W435" s="52">
        <f ca="1">Log_2018[[#This Row],[Amount]]/Log_2018[[#This Row],[Split_raw]]*MAX(0,MIN(_xlfn.DAYS(EDATE(W$1,1),Log_2018[[#This Row],[Date]]),Log_2018[[#This Row],[Split_apply]])) - SUM($O435:V435)</f>
        <v>0</v>
      </c>
      <c r="X435" s="52">
        <f ca="1">Log_2018[[#This Row],[Amount]]/Log_2018[[#This Row],[Split_raw]]*MAX(0,MIN(_xlfn.DAYS(EDATE(X$1,1),Log_2018[[#This Row],[Date]]),Log_2018[[#This Row],[Split_apply]])) - SUM($O435:W435)</f>
        <v>0</v>
      </c>
      <c r="Y435" s="52">
        <f ca="1">Log_2018[[#This Row],[Amount]]/Log_2018[[#This Row],[Split_raw]]*MAX(0,MIN(_xlfn.DAYS(EDATE(Y$1,1),Log_2018[[#This Row],[Date]]),Log_2018[[#This Row],[Split_apply]])) - SUM($O435:X435)</f>
        <v>0</v>
      </c>
      <c r="Z435" s="52">
        <f ca="1">Log_2018[[#This Row],[Amount]]/Log_2018[[#This Row],[Split_raw]]*MAX(0,MIN(_xlfn.DAYS(EDATE(Z$1,1),Log_2018[[#This Row],[Date]]),Log_2018[[#This Row],[Split_apply]])) - SUM($O435:Y435)</f>
        <v>0</v>
      </c>
      <c r="AA435" s="52">
        <f ca="1">Log_2018[[#This Row],[Amount]]/Log_2018[[#This Row],[Split_raw]]*MAX(0,MIN(_xlfn.DAYS(EDATE(AA$1,1),Log_2018[[#This Row],[Date]]),Log_2018[[#This Row],[Split_apply]])) - SUM($O435:Z435)</f>
        <v>0</v>
      </c>
      <c r="AB435" s="54">
        <f ca="1">Log_2018[[#This Row],[Amount]]-SUM(O435:AA435)</f>
        <v>0</v>
      </c>
      <c r="AC435" s="7">
        <f ca="1">MAX(0,Log_2018[[#This Row],[Split_apply]] - (EDATE(AA$1,1)-Log_2018[[#This Row],[Date]]))</f>
        <v>0</v>
      </c>
    </row>
    <row r="436" spans="1:29" hidden="1" x14ac:dyDescent="0.25">
      <c r="A436" s="115"/>
      <c r="B436" t="s">
        <v>6</v>
      </c>
      <c r="D436" s="26">
        <v>43254</v>
      </c>
      <c r="F436" t="s">
        <v>128</v>
      </c>
      <c r="G436" t="s">
        <v>27</v>
      </c>
      <c r="H436" s="3">
        <v>-99</v>
      </c>
      <c r="I436" s="36">
        <f>IF(Log_2018[[#This Row],[My Category]]="NONTRACKED",0,Log_2018[[#This Row],[Raw Amount]])</f>
        <v>-99</v>
      </c>
      <c r="J436" s="17">
        <f>ABS(Log_2018[[#This Row],[Amount]])</f>
        <v>99</v>
      </c>
      <c r="K436" s="66">
        <v>1</v>
      </c>
      <c r="L436" s="66">
        <f ca="1">IF(Log_2018[[#This Row],[Date]]&lt;=TODAY(), MIN(Log_2018[[#This Row],[Split_raw]], TODAY()-Log_2018[[#This Row],[Date]]+1), 0)</f>
        <v>1</v>
      </c>
      <c r="M436" t="s">
        <v>42</v>
      </c>
      <c r="N436" t="s">
        <v>158</v>
      </c>
      <c r="O436" s="50">
        <v>0</v>
      </c>
      <c r="P436" s="52">
        <f ca="1">Log_2018[[#This Row],[Amount]]/Log_2018[[#This Row],[Split_raw]]*MAX(0,MIN(_xlfn.DAYS(EDATE(P$1,1),Log_2018[[#This Row],[Date]]),Log_2018[[#This Row],[Split_apply]])) - SUM($O436:O436)</f>
        <v>0</v>
      </c>
      <c r="Q436" s="52">
        <f ca="1">Log_2018[[#This Row],[Amount]]/Log_2018[[#This Row],[Split_raw]]*MAX(0,MIN(_xlfn.DAYS(EDATE(Q$1,1),Log_2018[[#This Row],[Date]]),Log_2018[[#This Row],[Split_apply]])) - SUM($O436:P436)</f>
        <v>0</v>
      </c>
      <c r="R436" s="52">
        <f ca="1">Log_2018[[#This Row],[Amount]]/Log_2018[[#This Row],[Split_raw]]*MAX(0,MIN(_xlfn.DAYS(EDATE(R$1,1),Log_2018[[#This Row],[Date]]),Log_2018[[#This Row],[Split_apply]])) - SUM($O436:Q436)</f>
        <v>0</v>
      </c>
      <c r="S436" s="52">
        <f ca="1">Log_2018[[#This Row],[Amount]]/Log_2018[[#This Row],[Split_raw]]*MAX(0,MIN(_xlfn.DAYS(EDATE(S$1,1),Log_2018[[#This Row],[Date]]),Log_2018[[#This Row],[Split_apply]])) - SUM($O436:R436)</f>
        <v>0</v>
      </c>
      <c r="T436" s="52">
        <f ca="1">Log_2018[[#This Row],[Amount]]/Log_2018[[#This Row],[Split_raw]]*MAX(0,MIN(_xlfn.DAYS(EDATE(T$1,1),Log_2018[[#This Row],[Date]]),Log_2018[[#This Row],[Split_apply]])) - SUM($O436:S436)</f>
        <v>0</v>
      </c>
      <c r="U436" s="52">
        <f ca="1">Log_2018[[#This Row],[Amount]]/Log_2018[[#This Row],[Split_raw]]*MAX(0,MIN(_xlfn.DAYS(EDATE(U$1,1),Log_2018[[#This Row],[Date]]),Log_2018[[#This Row],[Split_apply]])) - SUM($O436:T436)</f>
        <v>-99</v>
      </c>
      <c r="V436" s="52">
        <f ca="1">Log_2018[[#This Row],[Amount]]/Log_2018[[#This Row],[Split_raw]]*MAX(0,MIN(_xlfn.DAYS(EDATE(V$1,1),Log_2018[[#This Row],[Date]]),Log_2018[[#This Row],[Split_apply]])) - SUM($O436:U436)</f>
        <v>0</v>
      </c>
      <c r="W436" s="52">
        <f ca="1">Log_2018[[#This Row],[Amount]]/Log_2018[[#This Row],[Split_raw]]*MAX(0,MIN(_xlfn.DAYS(EDATE(W$1,1),Log_2018[[#This Row],[Date]]),Log_2018[[#This Row],[Split_apply]])) - SUM($O436:V436)</f>
        <v>0</v>
      </c>
      <c r="X436" s="52">
        <f ca="1">Log_2018[[#This Row],[Amount]]/Log_2018[[#This Row],[Split_raw]]*MAX(0,MIN(_xlfn.DAYS(EDATE(X$1,1),Log_2018[[#This Row],[Date]]),Log_2018[[#This Row],[Split_apply]])) - SUM($O436:W436)</f>
        <v>0</v>
      </c>
      <c r="Y436" s="52">
        <f ca="1">Log_2018[[#This Row],[Amount]]/Log_2018[[#This Row],[Split_raw]]*MAX(0,MIN(_xlfn.DAYS(EDATE(Y$1,1),Log_2018[[#This Row],[Date]]),Log_2018[[#This Row],[Split_apply]])) - SUM($O436:X436)</f>
        <v>0</v>
      </c>
      <c r="Z436" s="52">
        <f ca="1">Log_2018[[#This Row],[Amount]]/Log_2018[[#This Row],[Split_raw]]*MAX(0,MIN(_xlfn.DAYS(EDATE(Z$1,1),Log_2018[[#This Row],[Date]]),Log_2018[[#This Row],[Split_apply]])) - SUM($O436:Y436)</f>
        <v>0</v>
      </c>
      <c r="AA436" s="52">
        <f ca="1">Log_2018[[#This Row],[Amount]]/Log_2018[[#This Row],[Split_raw]]*MAX(0,MIN(_xlfn.DAYS(EDATE(AA$1,1),Log_2018[[#This Row],[Date]]),Log_2018[[#This Row],[Split_apply]])) - SUM($O436:Z436)</f>
        <v>0</v>
      </c>
      <c r="AB436" s="54">
        <f ca="1">Log_2018[[#This Row],[Amount]]-SUM(O436:AA436)</f>
        <v>0</v>
      </c>
      <c r="AC436" s="7">
        <f ca="1">MAX(0,Log_2018[[#This Row],[Split_apply]] - (EDATE(AA$1,1)-Log_2018[[#This Row],[Date]]))</f>
        <v>0</v>
      </c>
    </row>
    <row r="437" spans="1:29" hidden="1" x14ac:dyDescent="0.25">
      <c r="A437" s="115"/>
      <c r="B437" t="s">
        <v>6</v>
      </c>
      <c r="D437" s="26">
        <v>43253</v>
      </c>
      <c r="F437" t="s">
        <v>272</v>
      </c>
      <c r="G437" t="s">
        <v>25</v>
      </c>
      <c r="H437" s="3">
        <v>-9.3000000000000007</v>
      </c>
      <c r="I437" s="36">
        <f>IF(Log_2018[[#This Row],[My Category]]="NONTRACKED",0,Log_2018[[#This Row],[Raw Amount]])</f>
        <v>-9.3000000000000007</v>
      </c>
      <c r="J437" s="17">
        <f>ABS(Log_2018[[#This Row],[Amount]])</f>
        <v>9.3000000000000007</v>
      </c>
      <c r="K437" s="66">
        <v>1</v>
      </c>
      <c r="L437" s="66">
        <f ca="1">IF(Log_2018[[#This Row],[Date]]&lt;=TODAY(), MIN(Log_2018[[#This Row],[Split_raw]], TODAY()-Log_2018[[#This Row],[Date]]+1), 0)</f>
        <v>1</v>
      </c>
      <c r="M437" t="s">
        <v>35</v>
      </c>
      <c r="N437" t="s">
        <v>158</v>
      </c>
      <c r="O437" s="50">
        <v>0</v>
      </c>
      <c r="P437" s="52">
        <f ca="1">Log_2018[[#This Row],[Amount]]/Log_2018[[#This Row],[Split_raw]]*MAX(0,MIN(_xlfn.DAYS(EDATE(P$1,1),Log_2018[[#This Row],[Date]]),Log_2018[[#This Row],[Split_apply]])) - SUM($O437:O437)</f>
        <v>0</v>
      </c>
      <c r="Q437" s="52">
        <f ca="1">Log_2018[[#This Row],[Amount]]/Log_2018[[#This Row],[Split_raw]]*MAX(0,MIN(_xlfn.DAYS(EDATE(Q$1,1),Log_2018[[#This Row],[Date]]),Log_2018[[#This Row],[Split_apply]])) - SUM($O437:P437)</f>
        <v>0</v>
      </c>
      <c r="R437" s="52">
        <f ca="1">Log_2018[[#This Row],[Amount]]/Log_2018[[#This Row],[Split_raw]]*MAX(0,MIN(_xlfn.DAYS(EDATE(R$1,1),Log_2018[[#This Row],[Date]]),Log_2018[[#This Row],[Split_apply]])) - SUM($O437:Q437)</f>
        <v>0</v>
      </c>
      <c r="S437" s="52">
        <f ca="1">Log_2018[[#This Row],[Amount]]/Log_2018[[#This Row],[Split_raw]]*MAX(0,MIN(_xlfn.DAYS(EDATE(S$1,1),Log_2018[[#This Row],[Date]]),Log_2018[[#This Row],[Split_apply]])) - SUM($O437:R437)</f>
        <v>0</v>
      </c>
      <c r="T437" s="52">
        <f ca="1">Log_2018[[#This Row],[Amount]]/Log_2018[[#This Row],[Split_raw]]*MAX(0,MIN(_xlfn.DAYS(EDATE(T$1,1),Log_2018[[#This Row],[Date]]),Log_2018[[#This Row],[Split_apply]])) - SUM($O437:S437)</f>
        <v>0</v>
      </c>
      <c r="U437" s="52">
        <f ca="1">Log_2018[[#This Row],[Amount]]/Log_2018[[#This Row],[Split_raw]]*MAX(0,MIN(_xlfn.DAYS(EDATE(U$1,1),Log_2018[[#This Row],[Date]]),Log_2018[[#This Row],[Split_apply]])) - SUM($O437:T437)</f>
        <v>-9.3000000000000007</v>
      </c>
      <c r="V437" s="52">
        <f ca="1">Log_2018[[#This Row],[Amount]]/Log_2018[[#This Row],[Split_raw]]*MAX(0,MIN(_xlfn.DAYS(EDATE(V$1,1),Log_2018[[#This Row],[Date]]),Log_2018[[#This Row],[Split_apply]])) - SUM($O437:U437)</f>
        <v>0</v>
      </c>
      <c r="W437" s="52">
        <f ca="1">Log_2018[[#This Row],[Amount]]/Log_2018[[#This Row],[Split_raw]]*MAX(0,MIN(_xlfn.DAYS(EDATE(W$1,1),Log_2018[[#This Row],[Date]]),Log_2018[[#This Row],[Split_apply]])) - SUM($O437:V437)</f>
        <v>0</v>
      </c>
      <c r="X437" s="52">
        <f ca="1">Log_2018[[#This Row],[Amount]]/Log_2018[[#This Row],[Split_raw]]*MAX(0,MIN(_xlfn.DAYS(EDATE(X$1,1),Log_2018[[#This Row],[Date]]),Log_2018[[#This Row],[Split_apply]])) - SUM($O437:W437)</f>
        <v>0</v>
      </c>
      <c r="Y437" s="52">
        <f ca="1">Log_2018[[#This Row],[Amount]]/Log_2018[[#This Row],[Split_raw]]*MAX(0,MIN(_xlfn.DAYS(EDATE(Y$1,1),Log_2018[[#This Row],[Date]]),Log_2018[[#This Row],[Split_apply]])) - SUM($O437:X437)</f>
        <v>0</v>
      </c>
      <c r="Z437" s="52">
        <f ca="1">Log_2018[[#This Row],[Amount]]/Log_2018[[#This Row],[Split_raw]]*MAX(0,MIN(_xlfn.DAYS(EDATE(Z$1,1),Log_2018[[#This Row],[Date]]),Log_2018[[#This Row],[Split_apply]])) - SUM($O437:Y437)</f>
        <v>0</v>
      </c>
      <c r="AA437" s="52">
        <f ca="1">Log_2018[[#This Row],[Amount]]/Log_2018[[#This Row],[Split_raw]]*MAX(0,MIN(_xlfn.DAYS(EDATE(AA$1,1),Log_2018[[#This Row],[Date]]),Log_2018[[#This Row],[Split_apply]])) - SUM($O437:Z437)</f>
        <v>0</v>
      </c>
      <c r="AB437" s="54">
        <f ca="1">Log_2018[[#This Row],[Amount]]-SUM(O437:AA437)</f>
        <v>0</v>
      </c>
      <c r="AC437" s="7">
        <f ca="1">MAX(0,Log_2018[[#This Row],[Split_apply]] - (EDATE(AA$1,1)-Log_2018[[#This Row],[Date]]))</f>
        <v>0</v>
      </c>
    </row>
    <row r="438" spans="1:29" hidden="1" x14ac:dyDescent="0.25">
      <c r="A438" s="115"/>
      <c r="B438" t="s">
        <v>6</v>
      </c>
      <c r="D438" s="26">
        <v>43253</v>
      </c>
      <c r="F438" t="s">
        <v>273</v>
      </c>
      <c r="G438" t="s">
        <v>9</v>
      </c>
      <c r="H438" s="3">
        <v>-19</v>
      </c>
      <c r="I438" s="36">
        <f>IF(Log_2018[[#This Row],[My Category]]="NONTRACKED",0,Log_2018[[#This Row],[Raw Amount]])</f>
        <v>-19</v>
      </c>
      <c r="J438" s="17">
        <f>ABS(Log_2018[[#This Row],[Amount]])</f>
        <v>19</v>
      </c>
      <c r="K438" s="66">
        <v>1</v>
      </c>
      <c r="L438" s="66">
        <f ca="1">IF(Log_2018[[#This Row],[Date]]&lt;=TODAY(), MIN(Log_2018[[#This Row],[Split_raw]], TODAY()-Log_2018[[#This Row],[Date]]+1), 0)</f>
        <v>1</v>
      </c>
      <c r="M438" t="s">
        <v>40</v>
      </c>
      <c r="N438" t="s">
        <v>158</v>
      </c>
      <c r="O438" s="50">
        <v>0</v>
      </c>
      <c r="P438" s="52">
        <f ca="1">Log_2018[[#This Row],[Amount]]/Log_2018[[#This Row],[Split_raw]]*MAX(0,MIN(_xlfn.DAYS(EDATE(P$1,1),Log_2018[[#This Row],[Date]]),Log_2018[[#This Row],[Split_apply]])) - SUM($O438:O438)</f>
        <v>0</v>
      </c>
      <c r="Q438" s="52">
        <f ca="1">Log_2018[[#This Row],[Amount]]/Log_2018[[#This Row],[Split_raw]]*MAX(0,MIN(_xlfn.DAYS(EDATE(Q$1,1),Log_2018[[#This Row],[Date]]),Log_2018[[#This Row],[Split_apply]])) - SUM($O438:P438)</f>
        <v>0</v>
      </c>
      <c r="R438" s="52">
        <f ca="1">Log_2018[[#This Row],[Amount]]/Log_2018[[#This Row],[Split_raw]]*MAX(0,MIN(_xlfn.DAYS(EDATE(R$1,1),Log_2018[[#This Row],[Date]]),Log_2018[[#This Row],[Split_apply]])) - SUM($O438:Q438)</f>
        <v>0</v>
      </c>
      <c r="S438" s="52">
        <f ca="1">Log_2018[[#This Row],[Amount]]/Log_2018[[#This Row],[Split_raw]]*MAX(0,MIN(_xlfn.DAYS(EDATE(S$1,1),Log_2018[[#This Row],[Date]]),Log_2018[[#This Row],[Split_apply]])) - SUM($O438:R438)</f>
        <v>0</v>
      </c>
      <c r="T438" s="52">
        <f ca="1">Log_2018[[#This Row],[Amount]]/Log_2018[[#This Row],[Split_raw]]*MAX(0,MIN(_xlfn.DAYS(EDATE(T$1,1),Log_2018[[#This Row],[Date]]),Log_2018[[#This Row],[Split_apply]])) - SUM($O438:S438)</f>
        <v>0</v>
      </c>
      <c r="U438" s="52">
        <f ca="1">Log_2018[[#This Row],[Amount]]/Log_2018[[#This Row],[Split_raw]]*MAX(0,MIN(_xlfn.DAYS(EDATE(U$1,1),Log_2018[[#This Row],[Date]]),Log_2018[[#This Row],[Split_apply]])) - SUM($O438:T438)</f>
        <v>-19</v>
      </c>
      <c r="V438" s="52">
        <f ca="1">Log_2018[[#This Row],[Amount]]/Log_2018[[#This Row],[Split_raw]]*MAX(0,MIN(_xlfn.DAYS(EDATE(V$1,1),Log_2018[[#This Row],[Date]]),Log_2018[[#This Row],[Split_apply]])) - SUM($O438:U438)</f>
        <v>0</v>
      </c>
      <c r="W438" s="52">
        <f ca="1">Log_2018[[#This Row],[Amount]]/Log_2018[[#This Row],[Split_raw]]*MAX(0,MIN(_xlfn.DAYS(EDATE(W$1,1),Log_2018[[#This Row],[Date]]),Log_2018[[#This Row],[Split_apply]])) - SUM($O438:V438)</f>
        <v>0</v>
      </c>
      <c r="X438" s="52">
        <f ca="1">Log_2018[[#This Row],[Amount]]/Log_2018[[#This Row],[Split_raw]]*MAX(0,MIN(_xlfn.DAYS(EDATE(X$1,1),Log_2018[[#This Row],[Date]]),Log_2018[[#This Row],[Split_apply]])) - SUM($O438:W438)</f>
        <v>0</v>
      </c>
      <c r="Y438" s="52">
        <f ca="1">Log_2018[[#This Row],[Amount]]/Log_2018[[#This Row],[Split_raw]]*MAX(0,MIN(_xlfn.DAYS(EDATE(Y$1,1),Log_2018[[#This Row],[Date]]),Log_2018[[#This Row],[Split_apply]])) - SUM($O438:X438)</f>
        <v>0</v>
      </c>
      <c r="Z438" s="52">
        <f ca="1">Log_2018[[#This Row],[Amount]]/Log_2018[[#This Row],[Split_raw]]*MAX(0,MIN(_xlfn.DAYS(EDATE(Z$1,1),Log_2018[[#This Row],[Date]]),Log_2018[[#This Row],[Split_apply]])) - SUM($O438:Y438)</f>
        <v>0</v>
      </c>
      <c r="AA438" s="52">
        <f ca="1">Log_2018[[#This Row],[Amount]]/Log_2018[[#This Row],[Split_raw]]*MAX(0,MIN(_xlfn.DAYS(EDATE(AA$1,1),Log_2018[[#This Row],[Date]]),Log_2018[[#This Row],[Split_apply]])) - SUM($O438:Z438)</f>
        <v>0</v>
      </c>
      <c r="AB438" s="54">
        <f ca="1">Log_2018[[#This Row],[Amount]]-SUM(O438:AA438)</f>
        <v>0</v>
      </c>
      <c r="AC438" s="7">
        <f ca="1">MAX(0,Log_2018[[#This Row],[Split_apply]] - (EDATE(AA$1,1)-Log_2018[[#This Row],[Date]]))</f>
        <v>0</v>
      </c>
    </row>
    <row r="439" spans="1:29" hidden="1" x14ac:dyDescent="0.25">
      <c r="A439" s="115"/>
      <c r="B439" t="s">
        <v>6</v>
      </c>
      <c r="D439" s="26">
        <v>43253</v>
      </c>
      <c r="F439" t="s">
        <v>271</v>
      </c>
      <c r="G439" t="s">
        <v>25</v>
      </c>
      <c r="H439" s="3">
        <v>-15.67</v>
      </c>
      <c r="I439" s="36">
        <f>IF(Log_2018[[#This Row],[My Category]]="NONTRACKED",0,Log_2018[[#This Row],[Raw Amount]])</f>
        <v>-15.67</v>
      </c>
      <c r="J439" s="17">
        <f>ABS(Log_2018[[#This Row],[Amount]])</f>
        <v>15.67</v>
      </c>
      <c r="K439" s="66">
        <v>1</v>
      </c>
      <c r="L439" s="66">
        <f ca="1">IF(Log_2018[[#This Row],[Date]]&lt;=TODAY(), MIN(Log_2018[[#This Row],[Split_raw]], TODAY()-Log_2018[[#This Row],[Date]]+1), 0)</f>
        <v>1</v>
      </c>
      <c r="M439" t="s">
        <v>40</v>
      </c>
      <c r="N439" t="s">
        <v>158</v>
      </c>
      <c r="O439" s="50">
        <v>0</v>
      </c>
      <c r="P439" s="52">
        <f ca="1">Log_2018[[#This Row],[Amount]]/Log_2018[[#This Row],[Split_raw]]*MAX(0,MIN(_xlfn.DAYS(EDATE(P$1,1),Log_2018[[#This Row],[Date]]),Log_2018[[#This Row],[Split_apply]])) - SUM($O439:O439)</f>
        <v>0</v>
      </c>
      <c r="Q439" s="52">
        <f ca="1">Log_2018[[#This Row],[Amount]]/Log_2018[[#This Row],[Split_raw]]*MAX(0,MIN(_xlfn.DAYS(EDATE(Q$1,1),Log_2018[[#This Row],[Date]]),Log_2018[[#This Row],[Split_apply]])) - SUM($O439:P439)</f>
        <v>0</v>
      </c>
      <c r="R439" s="52">
        <f ca="1">Log_2018[[#This Row],[Amount]]/Log_2018[[#This Row],[Split_raw]]*MAX(0,MIN(_xlfn.DAYS(EDATE(R$1,1),Log_2018[[#This Row],[Date]]),Log_2018[[#This Row],[Split_apply]])) - SUM($O439:Q439)</f>
        <v>0</v>
      </c>
      <c r="S439" s="52">
        <f ca="1">Log_2018[[#This Row],[Amount]]/Log_2018[[#This Row],[Split_raw]]*MAX(0,MIN(_xlfn.DAYS(EDATE(S$1,1),Log_2018[[#This Row],[Date]]),Log_2018[[#This Row],[Split_apply]])) - SUM($O439:R439)</f>
        <v>0</v>
      </c>
      <c r="T439" s="52">
        <f ca="1">Log_2018[[#This Row],[Amount]]/Log_2018[[#This Row],[Split_raw]]*MAX(0,MIN(_xlfn.DAYS(EDATE(T$1,1),Log_2018[[#This Row],[Date]]),Log_2018[[#This Row],[Split_apply]])) - SUM($O439:S439)</f>
        <v>0</v>
      </c>
      <c r="U439" s="52">
        <f ca="1">Log_2018[[#This Row],[Amount]]/Log_2018[[#This Row],[Split_raw]]*MAX(0,MIN(_xlfn.DAYS(EDATE(U$1,1),Log_2018[[#This Row],[Date]]),Log_2018[[#This Row],[Split_apply]])) - SUM($O439:T439)</f>
        <v>-15.67</v>
      </c>
      <c r="V439" s="52">
        <f ca="1">Log_2018[[#This Row],[Amount]]/Log_2018[[#This Row],[Split_raw]]*MAX(0,MIN(_xlfn.DAYS(EDATE(V$1,1),Log_2018[[#This Row],[Date]]),Log_2018[[#This Row],[Split_apply]])) - SUM($O439:U439)</f>
        <v>0</v>
      </c>
      <c r="W439" s="52">
        <f ca="1">Log_2018[[#This Row],[Amount]]/Log_2018[[#This Row],[Split_raw]]*MAX(0,MIN(_xlfn.DAYS(EDATE(W$1,1),Log_2018[[#This Row],[Date]]),Log_2018[[#This Row],[Split_apply]])) - SUM($O439:V439)</f>
        <v>0</v>
      </c>
      <c r="X439" s="52">
        <f ca="1">Log_2018[[#This Row],[Amount]]/Log_2018[[#This Row],[Split_raw]]*MAX(0,MIN(_xlfn.DAYS(EDATE(X$1,1),Log_2018[[#This Row],[Date]]),Log_2018[[#This Row],[Split_apply]])) - SUM($O439:W439)</f>
        <v>0</v>
      </c>
      <c r="Y439" s="52">
        <f ca="1">Log_2018[[#This Row],[Amount]]/Log_2018[[#This Row],[Split_raw]]*MAX(0,MIN(_xlfn.DAYS(EDATE(Y$1,1),Log_2018[[#This Row],[Date]]),Log_2018[[#This Row],[Split_apply]])) - SUM($O439:X439)</f>
        <v>0</v>
      </c>
      <c r="Z439" s="52">
        <f ca="1">Log_2018[[#This Row],[Amount]]/Log_2018[[#This Row],[Split_raw]]*MAX(0,MIN(_xlfn.DAYS(EDATE(Z$1,1),Log_2018[[#This Row],[Date]]),Log_2018[[#This Row],[Split_apply]])) - SUM($O439:Y439)</f>
        <v>0</v>
      </c>
      <c r="AA439" s="52">
        <f ca="1">Log_2018[[#This Row],[Amount]]/Log_2018[[#This Row],[Split_raw]]*MAX(0,MIN(_xlfn.DAYS(EDATE(AA$1,1),Log_2018[[#This Row],[Date]]),Log_2018[[#This Row],[Split_apply]])) - SUM($O439:Z439)</f>
        <v>0</v>
      </c>
      <c r="AB439" s="54">
        <f ca="1">Log_2018[[#This Row],[Amount]]-SUM(O439:AA439)</f>
        <v>0</v>
      </c>
      <c r="AC439" s="7">
        <f ca="1">MAX(0,Log_2018[[#This Row],[Split_apply]] - (EDATE(AA$1,1)-Log_2018[[#This Row],[Date]]))</f>
        <v>0</v>
      </c>
    </row>
    <row r="440" spans="1:29" hidden="1" x14ac:dyDescent="0.25">
      <c r="A440" s="115"/>
      <c r="B440" t="s">
        <v>6</v>
      </c>
      <c r="D440" s="26">
        <v>43253</v>
      </c>
      <c r="F440" t="s">
        <v>113</v>
      </c>
      <c r="G440" t="s">
        <v>25</v>
      </c>
      <c r="H440" s="3">
        <v>-2.4</v>
      </c>
      <c r="I440" s="36">
        <f>IF(Log_2018[[#This Row],[My Category]]="NONTRACKED",0,Log_2018[[#This Row],[Raw Amount]])</f>
        <v>-2.4</v>
      </c>
      <c r="J440" s="17">
        <f>ABS(Log_2018[[#This Row],[Amount]])</f>
        <v>2.4</v>
      </c>
      <c r="K440" s="66">
        <v>1</v>
      </c>
      <c r="L440" s="66">
        <f ca="1">IF(Log_2018[[#This Row],[Date]]&lt;=TODAY(), MIN(Log_2018[[#This Row],[Split_raw]], TODAY()-Log_2018[[#This Row],[Date]]+1), 0)</f>
        <v>1</v>
      </c>
      <c r="M440" t="s">
        <v>40</v>
      </c>
      <c r="N440" t="s">
        <v>158</v>
      </c>
      <c r="O440" s="50">
        <v>0</v>
      </c>
      <c r="P440" s="52">
        <f ca="1">Log_2018[[#This Row],[Amount]]/Log_2018[[#This Row],[Split_raw]]*MAX(0,MIN(_xlfn.DAYS(EDATE(P$1,1),Log_2018[[#This Row],[Date]]),Log_2018[[#This Row],[Split_apply]])) - SUM($O440:O440)</f>
        <v>0</v>
      </c>
      <c r="Q440" s="52">
        <f ca="1">Log_2018[[#This Row],[Amount]]/Log_2018[[#This Row],[Split_raw]]*MAX(0,MIN(_xlfn.DAYS(EDATE(Q$1,1),Log_2018[[#This Row],[Date]]),Log_2018[[#This Row],[Split_apply]])) - SUM($O440:P440)</f>
        <v>0</v>
      </c>
      <c r="R440" s="52">
        <f ca="1">Log_2018[[#This Row],[Amount]]/Log_2018[[#This Row],[Split_raw]]*MAX(0,MIN(_xlfn.DAYS(EDATE(R$1,1),Log_2018[[#This Row],[Date]]),Log_2018[[#This Row],[Split_apply]])) - SUM($O440:Q440)</f>
        <v>0</v>
      </c>
      <c r="S440" s="52">
        <f ca="1">Log_2018[[#This Row],[Amount]]/Log_2018[[#This Row],[Split_raw]]*MAX(0,MIN(_xlfn.DAYS(EDATE(S$1,1),Log_2018[[#This Row],[Date]]),Log_2018[[#This Row],[Split_apply]])) - SUM($O440:R440)</f>
        <v>0</v>
      </c>
      <c r="T440" s="52">
        <f ca="1">Log_2018[[#This Row],[Amount]]/Log_2018[[#This Row],[Split_raw]]*MAX(0,MIN(_xlfn.DAYS(EDATE(T$1,1),Log_2018[[#This Row],[Date]]),Log_2018[[#This Row],[Split_apply]])) - SUM($O440:S440)</f>
        <v>0</v>
      </c>
      <c r="U440" s="52">
        <f ca="1">Log_2018[[#This Row],[Amount]]/Log_2018[[#This Row],[Split_raw]]*MAX(0,MIN(_xlfn.DAYS(EDATE(U$1,1),Log_2018[[#This Row],[Date]]),Log_2018[[#This Row],[Split_apply]])) - SUM($O440:T440)</f>
        <v>-2.4</v>
      </c>
      <c r="V440" s="52">
        <f ca="1">Log_2018[[#This Row],[Amount]]/Log_2018[[#This Row],[Split_raw]]*MAX(0,MIN(_xlfn.DAYS(EDATE(V$1,1),Log_2018[[#This Row],[Date]]),Log_2018[[#This Row],[Split_apply]])) - SUM($O440:U440)</f>
        <v>0</v>
      </c>
      <c r="W440" s="52">
        <f ca="1">Log_2018[[#This Row],[Amount]]/Log_2018[[#This Row],[Split_raw]]*MAX(0,MIN(_xlfn.DAYS(EDATE(W$1,1),Log_2018[[#This Row],[Date]]),Log_2018[[#This Row],[Split_apply]])) - SUM($O440:V440)</f>
        <v>0</v>
      </c>
      <c r="X440" s="52">
        <f ca="1">Log_2018[[#This Row],[Amount]]/Log_2018[[#This Row],[Split_raw]]*MAX(0,MIN(_xlfn.DAYS(EDATE(X$1,1),Log_2018[[#This Row],[Date]]),Log_2018[[#This Row],[Split_apply]])) - SUM($O440:W440)</f>
        <v>0</v>
      </c>
      <c r="Y440" s="52">
        <f ca="1">Log_2018[[#This Row],[Amount]]/Log_2018[[#This Row],[Split_raw]]*MAX(0,MIN(_xlfn.DAYS(EDATE(Y$1,1),Log_2018[[#This Row],[Date]]),Log_2018[[#This Row],[Split_apply]])) - SUM($O440:X440)</f>
        <v>0</v>
      </c>
      <c r="Z440" s="52">
        <f ca="1">Log_2018[[#This Row],[Amount]]/Log_2018[[#This Row],[Split_raw]]*MAX(0,MIN(_xlfn.DAYS(EDATE(Z$1,1),Log_2018[[#This Row],[Date]]),Log_2018[[#This Row],[Split_apply]])) - SUM($O440:Y440)</f>
        <v>0</v>
      </c>
      <c r="AA440" s="52">
        <f ca="1">Log_2018[[#This Row],[Amount]]/Log_2018[[#This Row],[Split_raw]]*MAX(0,MIN(_xlfn.DAYS(EDATE(AA$1,1),Log_2018[[#This Row],[Date]]),Log_2018[[#This Row],[Split_apply]])) - SUM($O440:Z440)</f>
        <v>0</v>
      </c>
      <c r="AB440" s="54">
        <f ca="1">Log_2018[[#This Row],[Amount]]-SUM(O440:AA440)</f>
        <v>0</v>
      </c>
      <c r="AC440" s="7">
        <f ca="1">MAX(0,Log_2018[[#This Row],[Split_apply]] - (EDATE(AA$1,1)-Log_2018[[#This Row],[Date]]))</f>
        <v>0</v>
      </c>
    </row>
    <row r="441" spans="1:29" hidden="1" x14ac:dyDescent="0.25">
      <c r="A441" s="115"/>
      <c r="B441" s="34" t="s">
        <v>191</v>
      </c>
      <c r="C441" s="34"/>
      <c r="D441" s="39">
        <v>43252</v>
      </c>
      <c r="E441" t="s">
        <v>879</v>
      </c>
      <c r="F441" t="s">
        <v>265</v>
      </c>
      <c r="G441" t="s">
        <v>87</v>
      </c>
      <c r="H441" s="3">
        <v>145.03</v>
      </c>
      <c r="I441" s="36">
        <f>IF(Log_2018[[#This Row],[My Category]]="NONTRACKED",0,Log_2018[[#This Row],[Raw Amount]])</f>
        <v>145.03</v>
      </c>
      <c r="J441" s="17">
        <f>ABS(Log_2018[[#This Row],[Amount]])</f>
        <v>145.03</v>
      </c>
      <c r="K441" s="66">
        <v>90</v>
      </c>
      <c r="L441" s="66">
        <f ca="1">IF(Log_2018[[#This Row],[Date]]&lt;=TODAY(), MIN(Log_2018[[#This Row],[Split_raw]], TODAY()-Log_2018[[#This Row],[Date]]+1), 0)</f>
        <v>90</v>
      </c>
      <c r="M441" t="s">
        <v>91</v>
      </c>
      <c r="N441" t="s">
        <v>160</v>
      </c>
      <c r="O441" s="50">
        <v>0</v>
      </c>
      <c r="P441" s="52">
        <f ca="1">Log_2018[[#This Row],[Amount]]/Log_2018[[#This Row],[Split_raw]]*MAX(0,MIN(_xlfn.DAYS(EDATE(P$1,1),Log_2018[[#This Row],[Date]]),Log_2018[[#This Row],[Split_apply]])) - SUM($O441:O441)</f>
        <v>0</v>
      </c>
      <c r="Q441" s="52">
        <f ca="1">Log_2018[[#This Row],[Amount]]/Log_2018[[#This Row],[Split_raw]]*MAX(0,MIN(_xlfn.DAYS(EDATE(Q$1,1),Log_2018[[#This Row],[Date]]),Log_2018[[#This Row],[Split_apply]])) - SUM($O441:P441)</f>
        <v>0</v>
      </c>
      <c r="R441" s="52">
        <f ca="1">Log_2018[[#This Row],[Amount]]/Log_2018[[#This Row],[Split_raw]]*MAX(0,MIN(_xlfn.DAYS(EDATE(R$1,1),Log_2018[[#This Row],[Date]]),Log_2018[[#This Row],[Split_apply]])) - SUM($O441:Q441)</f>
        <v>0</v>
      </c>
      <c r="S441" s="52">
        <f ca="1">Log_2018[[#This Row],[Amount]]/Log_2018[[#This Row],[Split_raw]]*MAX(0,MIN(_xlfn.DAYS(EDATE(S$1,1),Log_2018[[#This Row],[Date]]),Log_2018[[#This Row],[Split_apply]])) - SUM($O441:R441)</f>
        <v>0</v>
      </c>
      <c r="T441" s="52">
        <f ca="1">Log_2018[[#This Row],[Amount]]/Log_2018[[#This Row],[Split_raw]]*MAX(0,MIN(_xlfn.DAYS(EDATE(T$1,1),Log_2018[[#This Row],[Date]]),Log_2018[[#This Row],[Split_apply]])) - SUM($O441:S441)</f>
        <v>0</v>
      </c>
      <c r="U441" s="52">
        <f ca="1">Log_2018[[#This Row],[Amount]]/Log_2018[[#This Row],[Split_raw]]*MAX(0,MIN(_xlfn.DAYS(EDATE(U$1,1),Log_2018[[#This Row],[Date]]),Log_2018[[#This Row],[Split_apply]])) - SUM($O441:T441)</f>
        <v>48.343333333333334</v>
      </c>
      <c r="V441" s="52">
        <f ca="1">Log_2018[[#This Row],[Amount]]/Log_2018[[#This Row],[Split_raw]]*MAX(0,MIN(_xlfn.DAYS(EDATE(V$1,1),Log_2018[[#This Row],[Date]]),Log_2018[[#This Row],[Split_apply]])) - SUM($O441:U441)</f>
        <v>49.954777777777778</v>
      </c>
      <c r="W441" s="52">
        <f ca="1">Log_2018[[#This Row],[Amount]]/Log_2018[[#This Row],[Split_raw]]*MAX(0,MIN(_xlfn.DAYS(EDATE(W$1,1),Log_2018[[#This Row],[Date]]),Log_2018[[#This Row],[Split_apply]])) - SUM($O441:V441)</f>
        <v>46.731888888888889</v>
      </c>
      <c r="X441" s="52">
        <f ca="1">Log_2018[[#This Row],[Amount]]/Log_2018[[#This Row],[Split_raw]]*MAX(0,MIN(_xlfn.DAYS(EDATE(X$1,1),Log_2018[[#This Row],[Date]]),Log_2018[[#This Row],[Split_apply]])) - SUM($O441:W441)</f>
        <v>0</v>
      </c>
      <c r="Y441" s="52">
        <f ca="1">Log_2018[[#This Row],[Amount]]/Log_2018[[#This Row],[Split_raw]]*MAX(0,MIN(_xlfn.DAYS(EDATE(Y$1,1),Log_2018[[#This Row],[Date]]),Log_2018[[#This Row],[Split_apply]])) - SUM($O441:X441)</f>
        <v>0</v>
      </c>
      <c r="Z441" s="52">
        <f ca="1">Log_2018[[#This Row],[Amount]]/Log_2018[[#This Row],[Split_raw]]*MAX(0,MIN(_xlfn.DAYS(EDATE(Z$1,1),Log_2018[[#This Row],[Date]]),Log_2018[[#This Row],[Split_apply]])) - SUM($O441:Y441)</f>
        <v>0</v>
      </c>
      <c r="AA441" s="52">
        <f ca="1">Log_2018[[#This Row],[Amount]]/Log_2018[[#This Row],[Split_raw]]*MAX(0,MIN(_xlfn.DAYS(EDATE(AA$1,1),Log_2018[[#This Row],[Date]]),Log_2018[[#This Row],[Split_apply]])) - SUM($O441:Z441)</f>
        <v>0</v>
      </c>
      <c r="AB441" s="54">
        <f ca="1">Log_2018[[#This Row],[Amount]]-SUM(O441:AA441)</f>
        <v>0</v>
      </c>
      <c r="AC441" s="7">
        <f ca="1">MAX(0,Log_2018[[#This Row],[Split_apply]] - (EDATE(AA$1,1)-Log_2018[[#This Row],[Date]]))</f>
        <v>0</v>
      </c>
    </row>
    <row r="442" spans="1:29" hidden="1" x14ac:dyDescent="0.25">
      <c r="A442" s="115"/>
      <c r="B442" t="s">
        <v>6</v>
      </c>
      <c r="D442" s="39">
        <v>43252</v>
      </c>
      <c r="E442" t="s">
        <v>960</v>
      </c>
      <c r="F442" t="s">
        <v>266</v>
      </c>
      <c r="G442" t="s">
        <v>20</v>
      </c>
      <c r="H442" s="3">
        <v>-1430.77</v>
      </c>
      <c r="I442" s="36">
        <f>IF(Log_2018[[#This Row],[My Category]]="NONTRACKED",0,Log_2018[[#This Row],[Raw Amount]])</f>
        <v>-1430.77</v>
      </c>
      <c r="J442" s="17">
        <f>ABS(Log_2018[[#This Row],[Amount]])</f>
        <v>1430.77</v>
      </c>
      <c r="K442" s="66">
        <v>30</v>
      </c>
      <c r="L442" s="66">
        <f ca="1">IF(Log_2018[[#This Row],[Date]]&lt;=TODAY(), MIN(Log_2018[[#This Row],[Split_raw]], TODAY()-Log_2018[[#This Row],[Date]]+1), 0)</f>
        <v>30</v>
      </c>
      <c r="M442" t="s">
        <v>28</v>
      </c>
      <c r="N442" t="s">
        <v>160</v>
      </c>
      <c r="O442" s="50">
        <v>0</v>
      </c>
      <c r="P442" s="52">
        <f ca="1">Log_2018[[#This Row],[Amount]]/Log_2018[[#This Row],[Split_raw]]*MAX(0,MIN(_xlfn.DAYS(EDATE(P$1,1),Log_2018[[#This Row],[Date]]),Log_2018[[#This Row],[Split_apply]])) - SUM($O442:O442)</f>
        <v>0</v>
      </c>
      <c r="Q442" s="52">
        <f ca="1">Log_2018[[#This Row],[Amount]]/Log_2018[[#This Row],[Split_raw]]*MAX(0,MIN(_xlfn.DAYS(EDATE(Q$1,1),Log_2018[[#This Row],[Date]]),Log_2018[[#This Row],[Split_apply]])) - SUM($O442:P442)</f>
        <v>0</v>
      </c>
      <c r="R442" s="52">
        <f ca="1">Log_2018[[#This Row],[Amount]]/Log_2018[[#This Row],[Split_raw]]*MAX(0,MIN(_xlfn.DAYS(EDATE(R$1,1),Log_2018[[#This Row],[Date]]),Log_2018[[#This Row],[Split_apply]])) - SUM($O442:Q442)</f>
        <v>0</v>
      </c>
      <c r="S442" s="52">
        <f ca="1">Log_2018[[#This Row],[Amount]]/Log_2018[[#This Row],[Split_raw]]*MAX(0,MIN(_xlfn.DAYS(EDATE(S$1,1),Log_2018[[#This Row],[Date]]),Log_2018[[#This Row],[Split_apply]])) - SUM($O442:R442)</f>
        <v>0</v>
      </c>
      <c r="T442" s="52">
        <f ca="1">Log_2018[[#This Row],[Amount]]/Log_2018[[#This Row],[Split_raw]]*MAX(0,MIN(_xlfn.DAYS(EDATE(T$1,1),Log_2018[[#This Row],[Date]]),Log_2018[[#This Row],[Split_apply]])) - SUM($O442:S442)</f>
        <v>0</v>
      </c>
      <c r="U442" s="52">
        <f ca="1">Log_2018[[#This Row],[Amount]]/Log_2018[[#This Row],[Split_raw]]*MAX(0,MIN(_xlfn.DAYS(EDATE(U$1,1),Log_2018[[#This Row],[Date]]),Log_2018[[#This Row],[Split_apply]])) - SUM($O442:T442)</f>
        <v>-1430.77</v>
      </c>
      <c r="V442" s="52">
        <f ca="1">Log_2018[[#This Row],[Amount]]/Log_2018[[#This Row],[Split_raw]]*MAX(0,MIN(_xlfn.DAYS(EDATE(V$1,1),Log_2018[[#This Row],[Date]]),Log_2018[[#This Row],[Split_apply]])) - SUM($O442:U442)</f>
        <v>0</v>
      </c>
      <c r="W442" s="52">
        <f ca="1">Log_2018[[#This Row],[Amount]]/Log_2018[[#This Row],[Split_raw]]*MAX(0,MIN(_xlfn.DAYS(EDATE(W$1,1),Log_2018[[#This Row],[Date]]),Log_2018[[#This Row],[Split_apply]])) - SUM($O442:V442)</f>
        <v>0</v>
      </c>
      <c r="X442" s="52">
        <f ca="1">Log_2018[[#This Row],[Amount]]/Log_2018[[#This Row],[Split_raw]]*MAX(0,MIN(_xlfn.DAYS(EDATE(X$1,1),Log_2018[[#This Row],[Date]]),Log_2018[[#This Row],[Split_apply]])) - SUM($O442:W442)</f>
        <v>0</v>
      </c>
      <c r="Y442" s="52">
        <f ca="1">Log_2018[[#This Row],[Amount]]/Log_2018[[#This Row],[Split_raw]]*MAX(0,MIN(_xlfn.DAYS(EDATE(Y$1,1),Log_2018[[#This Row],[Date]]),Log_2018[[#This Row],[Split_apply]])) - SUM($O442:X442)</f>
        <v>0</v>
      </c>
      <c r="Z442" s="52">
        <f ca="1">Log_2018[[#This Row],[Amount]]/Log_2018[[#This Row],[Split_raw]]*MAX(0,MIN(_xlfn.DAYS(EDATE(Z$1,1),Log_2018[[#This Row],[Date]]),Log_2018[[#This Row],[Split_apply]])) - SUM($O442:Y442)</f>
        <v>0</v>
      </c>
      <c r="AA442" s="52">
        <f ca="1">Log_2018[[#This Row],[Amount]]/Log_2018[[#This Row],[Split_raw]]*MAX(0,MIN(_xlfn.DAYS(EDATE(AA$1,1),Log_2018[[#This Row],[Date]]),Log_2018[[#This Row],[Split_apply]])) - SUM($O442:Z442)</f>
        <v>0</v>
      </c>
      <c r="AB442" s="54">
        <f ca="1">Log_2018[[#This Row],[Amount]]-SUM(O442:AA442)</f>
        <v>0</v>
      </c>
      <c r="AC442" s="7">
        <f ca="1">MAX(0,Log_2018[[#This Row],[Split_apply]] - (EDATE(AA$1,1)-Log_2018[[#This Row],[Date]]))</f>
        <v>0</v>
      </c>
    </row>
    <row r="443" spans="1:29" hidden="1" x14ac:dyDescent="0.25">
      <c r="A443" s="115"/>
      <c r="B443" t="s">
        <v>191</v>
      </c>
      <c r="D443" s="39">
        <v>43252</v>
      </c>
      <c r="E443" t="s">
        <v>960</v>
      </c>
      <c r="F443" t="s">
        <v>267</v>
      </c>
      <c r="G443" t="s">
        <v>176</v>
      </c>
      <c r="H443" s="3">
        <v>-320</v>
      </c>
      <c r="I443" s="36">
        <f>IF(Log_2018[[#This Row],[My Category]]="NONTRACKED",0,Log_2018[[#This Row],[Raw Amount]])</f>
        <v>-320</v>
      </c>
      <c r="J443" s="17">
        <f>ABS(Log_2018[[#This Row],[Amount]])</f>
        <v>320</v>
      </c>
      <c r="K443" s="66">
        <v>30</v>
      </c>
      <c r="L443" s="66">
        <f ca="1">IF(Log_2018[[#This Row],[Date]]&lt;=TODAY(), MIN(Log_2018[[#This Row],[Split_raw]], TODAY()-Log_2018[[#This Row],[Date]]+1), 0)</f>
        <v>30</v>
      </c>
      <c r="M443" t="s">
        <v>93</v>
      </c>
      <c r="N443" t="s">
        <v>160</v>
      </c>
      <c r="O443" s="50">
        <v>0</v>
      </c>
      <c r="P443" s="52">
        <f ca="1">Log_2018[[#This Row],[Amount]]/Log_2018[[#This Row],[Split_raw]]*MAX(0,MIN(_xlfn.DAYS(EDATE(P$1,1),Log_2018[[#This Row],[Date]]),Log_2018[[#This Row],[Split_apply]])) - SUM($O443:O443)</f>
        <v>0</v>
      </c>
      <c r="Q443" s="52">
        <f ca="1">Log_2018[[#This Row],[Amount]]/Log_2018[[#This Row],[Split_raw]]*MAX(0,MIN(_xlfn.DAYS(EDATE(Q$1,1),Log_2018[[#This Row],[Date]]),Log_2018[[#This Row],[Split_apply]])) - SUM($O443:P443)</f>
        <v>0</v>
      </c>
      <c r="R443" s="52">
        <f ca="1">Log_2018[[#This Row],[Amount]]/Log_2018[[#This Row],[Split_raw]]*MAX(0,MIN(_xlfn.DAYS(EDATE(R$1,1),Log_2018[[#This Row],[Date]]),Log_2018[[#This Row],[Split_apply]])) - SUM($O443:Q443)</f>
        <v>0</v>
      </c>
      <c r="S443" s="52">
        <f ca="1">Log_2018[[#This Row],[Amount]]/Log_2018[[#This Row],[Split_raw]]*MAX(0,MIN(_xlfn.DAYS(EDATE(S$1,1),Log_2018[[#This Row],[Date]]),Log_2018[[#This Row],[Split_apply]])) - SUM($O443:R443)</f>
        <v>0</v>
      </c>
      <c r="T443" s="52">
        <f ca="1">Log_2018[[#This Row],[Amount]]/Log_2018[[#This Row],[Split_raw]]*MAX(0,MIN(_xlfn.DAYS(EDATE(T$1,1),Log_2018[[#This Row],[Date]]),Log_2018[[#This Row],[Split_apply]])) - SUM($O443:S443)</f>
        <v>0</v>
      </c>
      <c r="U443" s="52">
        <f ca="1">Log_2018[[#This Row],[Amount]]/Log_2018[[#This Row],[Split_raw]]*MAX(0,MIN(_xlfn.DAYS(EDATE(U$1,1),Log_2018[[#This Row],[Date]]),Log_2018[[#This Row],[Split_apply]])) - SUM($O443:T443)</f>
        <v>-320</v>
      </c>
      <c r="V443" s="52">
        <f ca="1">Log_2018[[#This Row],[Amount]]/Log_2018[[#This Row],[Split_raw]]*MAX(0,MIN(_xlfn.DAYS(EDATE(V$1,1),Log_2018[[#This Row],[Date]]),Log_2018[[#This Row],[Split_apply]])) - SUM($O443:U443)</f>
        <v>0</v>
      </c>
      <c r="W443" s="52">
        <f ca="1">Log_2018[[#This Row],[Amount]]/Log_2018[[#This Row],[Split_raw]]*MAX(0,MIN(_xlfn.DAYS(EDATE(W$1,1),Log_2018[[#This Row],[Date]]),Log_2018[[#This Row],[Split_apply]])) - SUM($O443:V443)</f>
        <v>0</v>
      </c>
      <c r="X443" s="52">
        <f ca="1">Log_2018[[#This Row],[Amount]]/Log_2018[[#This Row],[Split_raw]]*MAX(0,MIN(_xlfn.DAYS(EDATE(X$1,1),Log_2018[[#This Row],[Date]]),Log_2018[[#This Row],[Split_apply]])) - SUM($O443:W443)</f>
        <v>0</v>
      </c>
      <c r="Y443" s="52">
        <f ca="1">Log_2018[[#This Row],[Amount]]/Log_2018[[#This Row],[Split_raw]]*MAX(0,MIN(_xlfn.DAYS(EDATE(Y$1,1),Log_2018[[#This Row],[Date]]),Log_2018[[#This Row],[Split_apply]])) - SUM($O443:X443)</f>
        <v>0</v>
      </c>
      <c r="Z443" s="52">
        <f ca="1">Log_2018[[#This Row],[Amount]]/Log_2018[[#This Row],[Split_raw]]*MAX(0,MIN(_xlfn.DAYS(EDATE(Z$1,1),Log_2018[[#This Row],[Date]]),Log_2018[[#This Row],[Split_apply]])) - SUM($O443:Y443)</f>
        <v>0</v>
      </c>
      <c r="AA443" s="52">
        <f ca="1">Log_2018[[#This Row],[Amount]]/Log_2018[[#This Row],[Split_raw]]*MAX(0,MIN(_xlfn.DAYS(EDATE(AA$1,1),Log_2018[[#This Row],[Date]]),Log_2018[[#This Row],[Split_apply]])) - SUM($O443:Z443)</f>
        <v>0</v>
      </c>
      <c r="AB443" s="54">
        <f ca="1">Log_2018[[#This Row],[Amount]]-SUM(O443:AA443)</f>
        <v>0</v>
      </c>
      <c r="AC443" s="7">
        <f ca="1">MAX(0,Log_2018[[#This Row],[Split_apply]] - (EDATE(AA$1,1)-Log_2018[[#This Row],[Date]]))</f>
        <v>0</v>
      </c>
    </row>
    <row r="444" spans="1:29" hidden="1" x14ac:dyDescent="0.25">
      <c r="A444" s="115"/>
      <c r="B444" t="s">
        <v>6</v>
      </c>
      <c r="D444" s="26">
        <v>43252</v>
      </c>
      <c r="F444" t="s">
        <v>274</v>
      </c>
      <c r="G444" t="s">
        <v>25</v>
      </c>
      <c r="H444" s="3">
        <v>-6.7</v>
      </c>
      <c r="I444" s="36">
        <f>IF(Log_2018[[#This Row],[My Category]]="NONTRACKED",0,Log_2018[[#This Row],[Raw Amount]])</f>
        <v>-6.7</v>
      </c>
      <c r="J444" s="17">
        <f>ABS(Log_2018[[#This Row],[Amount]])</f>
        <v>6.7</v>
      </c>
      <c r="K444" s="66">
        <v>1</v>
      </c>
      <c r="L444" s="66">
        <f ca="1">IF(Log_2018[[#This Row],[Date]]&lt;=TODAY(), MIN(Log_2018[[#This Row],[Split_raw]], TODAY()-Log_2018[[#This Row],[Date]]+1), 0)</f>
        <v>1</v>
      </c>
      <c r="M444" t="s">
        <v>35</v>
      </c>
      <c r="N444" t="s">
        <v>158</v>
      </c>
      <c r="O444" s="50">
        <v>0</v>
      </c>
      <c r="P444" s="52">
        <f ca="1">Log_2018[[#This Row],[Amount]]/Log_2018[[#This Row],[Split_raw]]*MAX(0,MIN(_xlfn.DAYS(EDATE(P$1,1),Log_2018[[#This Row],[Date]]),Log_2018[[#This Row],[Split_apply]])) - SUM($O444:O444)</f>
        <v>0</v>
      </c>
      <c r="Q444" s="52">
        <f ca="1">Log_2018[[#This Row],[Amount]]/Log_2018[[#This Row],[Split_raw]]*MAX(0,MIN(_xlfn.DAYS(EDATE(Q$1,1),Log_2018[[#This Row],[Date]]),Log_2018[[#This Row],[Split_apply]])) - SUM($O444:P444)</f>
        <v>0</v>
      </c>
      <c r="R444" s="52">
        <f ca="1">Log_2018[[#This Row],[Amount]]/Log_2018[[#This Row],[Split_raw]]*MAX(0,MIN(_xlfn.DAYS(EDATE(R$1,1),Log_2018[[#This Row],[Date]]),Log_2018[[#This Row],[Split_apply]])) - SUM($O444:Q444)</f>
        <v>0</v>
      </c>
      <c r="S444" s="52">
        <f ca="1">Log_2018[[#This Row],[Amount]]/Log_2018[[#This Row],[Split_raw]]*MAX(0,MIN(_xlfn.DAYS(EDATE(S$1,1),Log_2018[[#This Row],[Date]]),Log_2018[[#This Row],[Split_apply]])) - SUM($O444:R444)</f>
        <v>0</v>
      </c>
      <c r="T444" s="52">
        <f ca="1">Log_2018[[#This Row],[Amount]]/Log_2018[[#This Row],[Split_raw]]*MAX(0,MIN(_xlfn.DAYS(EDATE(T$1,1),Log_2018[[#This Row],[Date]]),Log_2018[[#This Row],[Split_apply]])) - SUM($O444:S444)</f>
        <v>0</v>
      </c>
      <c r="U444" s="52">
        <f ca="1">Log_2018[[#This Row],[Amount]]/Log_2018[[#This Row],[Split_raw]]*MAX(0,MIN(_xlfn.DAYS(EDATE(U$1,1),Log_2018[[#This Row],[Date]]),Log_2018[[#This Row],[Split_apply]])) - SUM($O444:T444)</f>
        <v>-6.7</v>
      </c>
      <c r="V444" s="52">
        <f ca="1">Log_2018[[#This Row],[Amount]]/Log_2018[[#This Row],[Split_raw]]*MAX(0,MIN(_xlfn.DAYS(EDATE(V$1,1),Log_2018[[#This Row],[Date]]),Log_2018[[#This Row],[Split_apply]])) - SUM($O444:U444)</f>
        <v>0</v>
      </c>
      <c r="W444" s="52">
        <f ca="1">Log_2018[[#This Row],[Amount]]/Log_2018[[#This Row],[Split_raw]]*MAX(0,MIN(_xlfn.DAYS(EDATE(W$1,1),Log_2018[[#This Row],[Date]]),Log_2018[[#This Row],[Split_apply]])) - SUM($O444:V444)</f>
        <v>0</v>
      </c>
      <c r="X444" s="52">
        <f ca="1">Log_2018[[#This Row],[Amount]]/Log_2018[[#This Row],[Split_raw]]*MAX(0,MIN(_xlfn.DAYS(EDATE(X$1,1),Log_2018[[#This Row],[Date]]),Log_2018[[#This Row],[Split_apply]])) - SUM($O444:W444)</f>
        <v>0</v>
      </c>
      <c r="Y444" s="52">
        <f ca="1">Log_2018[[#This Row],[Amount]]/Log_2018[[#This Row],[Split_raw]]*MAX(0,MIN(_xlfn.DAYS(EDATE(Y$1,1),Log_2018[[#This Row],[Date]]),Log_2018[[#This Row],[Split_apply]])) - SUM($O444:X444)</f>
        <v>0</v>
      </c>
      <c r="Z444" s="52">
        <f ca="1">Log_2018[[#This Row],[Amount]]/Log_2018[[#This Row],[Split_raw]]*MAX(0,MIN(_xlfn.DAYS(EDATE(Z$1,1),Log_2018[[#This Row],[Date]]),Log_2018[[#This Row],[Split_apply]])) - SUM($O444:Y444)</f>
        <v>0</v>
      </c>
      <c r="AA444" s="52">
        <f ca="1">Log_2018[[#This Row],[Amount]]/Log_2018[[#This Row],[Split_raw]]*MAX(0,MIN(_xlfn.DAYS(EDATE(AA$1,1),Log_2018[[#This Row],[Date]]),Log_2018[[#This Row],[Split_apply]])) - SUM($O444:Z444)</f>
        <v>0</v>
      </c>
      <c r="AB444" s="54">
        <f ca="1">Log_2018[[#This Row],[Amount]]-SUM(O444:AA444)</f>
        <v>0</v>
      </c>
      <c r="AC444" s="7">
        <f ca="1">MAX(0,Log_2018[[#This Row],[Split_apply]] - (EDATE(AA$1,1)-Log_2018[[#This Row],[Date]]))</f>
        <v>0</v>
      </c>
    </row>
    <row r="445" spans="1:29" hidden="1" x14ac:dyDescent="0.25">
      <c r="A445" s="115"/>
      <c r="B445" t="s">
        <v>191</v>
      </c>
      <c r="D445" s="26">
        <v>43250</v>
      </c>
      <c r="F445" t="s">
        <v>276</v>
      </c>
      <c r="G445" t="s">
        <v>12</v>
      </c>
      <c r="H445" s="3">
        <v>-22.2</v>
      </c>
      <c r="I445" s="36">
        <f>IF(Log_2018[[#This Row],[My Category]]="NONTRACKED",0,Log_2018[[#This Row],[Raw Amount]])</f>
        <v>-22.2</v>
      </c>
      <c r="J445" s="17">
        <f>ABS(Log_2018[[#This Row],[Amount]])</f>
        <v>22.2</v>
      </c>
      <c r="K445" s="66">
        <v>1</v>
      </c>
      <c r="L445" s="66">
        <f ca="1">IF(Log_2018[[#This Row],[Date]]&lt;=TODAY(), MIN(Log_2018[[#This Row],[Split_raw]], TODAY()-Log_2018[[#This Row],[Date]]+1), 0)</f>
        <v>1</v>
      </c>
      <c r="M445" t="s">
        <v>42</v>
      </c>
      <c r="N445" t="s">
        <v>158</v>
      </c>
      <c r="O445" s="50">
        <v>0</v>
      </c>
      <c r="P445" s="52">
        <f ca="1">Log_2018[[#This Row],[Amount]]/Log_2018[[#This Row],[Split_raw]]*MAX(0,MIN(_xlfn.DAYS(EDATE(P$1,1),Log_2018[[#This Row],[Date]]),Log_2018[[#This Row],[Split_apply]])) - SUM($O445:O445)</f>
        <v>0</v>
      </c>
      <c r="Q445" s="52">
        <f ca="1">Log_2018[[#This Row],[Amount]]/Log_2018[[#This Row],[Split_raw]]*MAX(0,MIN(_xlfn.DAYS(EDATE(Q$1,1),Log_2018[[#This Row],[Date]]),Log_2018[[#This Row],[Split_apply]])) - SUM($O445:P445)</f>
        <v>0</v>
      </c>
      <c r="R445" s="52">
        <f ca="1">Log_2018[[#This Row],[Amount]]/Log_2018[[#This Row],[Split_raw]]*MAX(0,MIN(_xlfn.DAYS(EDATE(R$1,1),Log_2018[[#This Row],[Date]]),Log_2018[[#This Row],[Split_apply]])) - SUM($O445:Q445)</f>
        <v>0</v>
      </c>
      <c r="S445" s="52">
        <f ca="1">Log_2018[[#This Row],[Amount]]/Log_2018[[#This Row],[Split_raw]]*MAX(0,MIN(_xlfn.DAYS(EDATE(S$1,1),Log_2018[[#This Row],[Date]]),Log_2018[[#This Row],[Split_apply]])) - SUM($O445:R445)</f>
        <v>0</v>
      </c>
      <c r="T445" s="52">
        <f ca="1">Log_2018[[#This Row],[Amount]]/Log_2018[[#This Row],[Split_raw]]*MAX(0,MIN(_xlfn.DAYS(EDATE(T$1,1),Log_2018[[#This Row],[Date]]),Log_2018[[#This Row],[Split_apply]])) - SUM($O445:S445)</f>
        <v>-22.2</v>
      </c>
      <c r="U445" s="52">
        <f ca="1">Log_2018[[#This Row],[Amount]]/Log_2018[[#This Row],[Split_raw]]*MAX(0,MIN(_xlfn.DAYS(EDATE(U$1,1),Log_2018[[#This Row],[Date]]),Log_2018[[#This Row],[Split_apply]])) - SUM($O445:T445)</f>
        <v>0</v>
      </c>
      <c r="V445" s="52">
        <f ca="1">Log_2018[[#This Row],[Amount]]/Log_2018[[#This Row],[Split_raw]]*MAX(0,MIN(_xlfn.DAYS(EDATE(V$1,1),Log_2018[[#This Row],[Date]]),Log_2018[[#This Row],[Split_apply]])) - SUM($O445:U445)</f>
        <v>0</v>
      </c>
      <c r="W445" s="52">
        <f ca="1">Log_2018[[#This Row],[Amount]]/Log_2018[[#This Row],[Split_raw]]*MAX(0,MIN(_xlfn.DAYS(EDATE(W$1,1),Log_2018[[#This Row],[Date]]),Log_2018[[#This Row],[Split_apply]])) - SUM($O445:V445)</f>
        <v>0</v>
      </c>
      <c r="X445" s="52">
        <f ca="1">Log_2018[[#This Row],[Amount]]/Log_2018[[#This Row],[Split_raw]]*MAX(0,MIN(_xlfn.DAYS(EDATE(X$1,1),Log_2018[[#This Row],[Date]]),Log_2018[[#This Row],[Split_apply]])) - SUM($O445:W445)</f>
        <v>0</v>
      </c>
      <c r="Y445" s="52">
        <f ca="1">Log_2018[[#This Row],[Amount]]/Log_2018[[#This Row],[Split_raw]]*MAX(0,MIN(_xlfn.DAYS(EDATE(Y$1,1),Log_2018[[#This Row],[Date]]),Log_2018[[#This Row],[Split_apply]])) - SUM($O445:X445)</f>
        <v>0</v>
      </c>
      <c r="Z445" s="52">
        <f ca="1">Log_2018[[#This Row],[Amount]]/Log_2018[[#This Row],[Split_raw]]*MAX(0,MIN(_xlfn.DAYS(EDATE(Z$1,1),Log_2018[[#This Row],[Date]]),Log_2018[[#This Row],[Split_apply]])) - SUM($O445:Y445)</f>
        <v>0</v>
      </c>
      <c r="AA445" s="52">
        <f ca="1">Log_2018[[#This Row],[Amount]]/Log_2018[[#This Row],[Split_raw]]*MAX(0,MIN(_xlfn.DAYS(EDATE(AA$1,1),Log_2018[[#This Row],[Date]]),Log_2018[[#This Row],[Split_apply]])) - SUM($O445:Z445)</f>
        <v>0</v>
      </c>
      <c r="AB445" s="54">
        <f ca="1">Log_2018[[#This Row],[Amount]]-SUM(O445:AA445)</f>
        <v>0</v>
      </c>
      <c r="AC445" s="7">
        <f ca="1">MAX(0,Log_2018[[#This Row],[Split_apply]] - (EDATE(AA$1,1)-Log_2018[[#This Row],[Date]]))</f>
        <v>0</v>
      </c>
    </row>
    <row r="446" spans="1:29" hidden="1" x14ac:dyDescent="0.25">
      <c r="A446" s="115"/>
      <c r="B446" t="s">
        <v>96</v>
      </c>
      <c r="D446" s="26">
        <v>43250</v>
      </c>
      <c r="E446" t="s">
        <v>294</v>
      </c>
      <c r="H446" s="3">
        <v>-30</v>
      </c>
      <c r="I446" s="36">
        <f>IF(Log_2018[[#This Row],[My Category]]="NONTRACKED",0,Log_2018[[#This Row],[Raw Amount]])</f>
        <v>-30</v>
      </c>
      <c r="J446" s="17">
        <f>ABS(Log_2018[[#This Row],[Amount]])</f>
        <v>30</v>
      </c>
      <c r="K446" s="66">
        <v>1</v>
      </c>
      <c r="L446" s="66">
        <f ca="1">IF(Log_2018[[#This Row],[Date]]&lt;=TODAY(), MIN(Log_2018[[#This Row],[Split_raw]], TODAY()-Log_2018[[#This Row],[Date]]+1), 0)</f>
        <v>1</v>
      </c>
      <c r="M446" t="s">
        <v>36</v>
      </c>
      <c r="N446" t="s">
        <v>156</v>
      </c>
      <c r="O446" s="50">
        <v>0</v>
      </c>
      <c r="P446" s="52">
        <f ca="1">Log_2018[[#This Row],[Amount]]/Log_2018[[#This Row],[Split_raw]]*MAX(0,MIN(_xlfn.DAYS(EDATE(P$1,1),Log_2018[[#This Row],[Date]]),Log_2018[[#This Row],[Split_apply]])) - SUM($O446:O446)</f>
        <v>0</v>
      </c>
      <c r="Q446" s="52">
        <f ca="1">Log_2018[[#This Row],[Amount]]/Log_2018[[#This Row],[Split_raw]]*MAX(0,MIN(_xlfn.DAYS(EDATE(Q$1,1),Log_2018[[#This Row],[Date]]),Log_2018[[#This Row],[Split_apply]])) - SUM($O446:P446)</f>
        <v>0</v>
      </c>
      <c r="R446" s="52">
        <f ca="1">Log_2018[[#This Row],[Amount]]/Log_2018[[#This Row],[Split_raw]]*MAX(0,MIN(_xlfn.DAYS(EDATE(R$1,1),Log_2018[[#This Row],[Date]]),Log_2018[[#This Row],[Split_apply]])) - SUM($O446:Q446)</f>
        <v>0</v>
      </c>
      <c r="S446" s="52">
        <f ca="1">Log_2018[[#This Row],[Amount]]/Log_2018[[#This Row],[Split_raw]]*MAX(0,MIN(_xlfn.DAYS(EDATE(S$1,1),Log_2018[[#This Row],[Date]]),Log_2018[[#This Row],[Split_apply]])) - SUM($O446:R446)</f>
        <v>0</v>
      </c>
      <c r="T446" s="52">
        <f ca="1">Log_2018[[#This Row],[Amount]]/Log_2018[[#This Row],[Split_raw]]*MAX(0,MIN(_xlfn.DAYS(EDATE(T$1,1),Log_2018[[#This Row],[Date]]),Log_2018[[#This Row],[Split_apply]])) - SUM($O446:S446)</f>
        <v>-30</v>
      </c>
      <c r="U446" s="52">
        <f ca="1">Log_2018[[#This Row],[Amount]]/Log_2018[[#This Row],[Split_raw]]*MAX(0,MIN(_xlfn.DAYS(EDATE(U$1,1),Log_2018[[#This Row],[Date]]),Log_2018[[#This Row],[Split_apply]])) - SUM($O446:T446)</f>
        <v>0</v>
      </c>
      <c r="V446" s="52">
        <f ca="1">Log_2018[[#This Row],[Amount]]/Log_2018[[#This Row],[Split_raw]]*MAX(0,MIN(_xlfn.DAYS(EDATE(V$1,1),Log_2018[[#This Row],[Date]]),Log_2018[[#This Row],[Split_apply]])) - SUM($O446:U446)</f>
        <v>0</v>
      </c>
      <c r="W446" s="52">
        <f ca="1">Log_2018[[#This Row],[Amount]]/Log_2018[[#This Row],[Split_raw]]*MAX(0,MIN(_xlfn.DAYS(EDATE(W$1,1),Log_2018[[#This Row],[Date]]),Log_2018[[#This Row],[Split_apply]])) - SUM($O446:V446)</f>
        <v>0</v>
      </c>
      <c r="X446" s="52">
        <f ca="1">Log_2018[[#This Row],[Amount]]/Log_2018[[#This Row],[Split_raw]]*MAX(0,MIN(_xlfn.DAYS(EDATE(X$1,1),Log_2018[[#This Row],[Date]]),Log_2018[[#This Row],[Split_apply]])) - SUM($O446:W446)</f>
        <v>0</v>
      </c>
      <c r="Y446" s="52">
        <f ca="1">Log_2018[[#This Row],[Amount]]/Log_2018[[#This Row],[Split_raw]]*MAX(0,MIN(_xlfn.DAYS(EDATE(Y$1,1),Log_2018[[#This Row],[Date]]),Log_2018[[#This Row],[Split_apply]])) - SUM($O446:X446)</f>
        <v>0</v>
      </c>
      <c r="Z446" s="52">
        <f ca="1">Log_2018[[#This Row],[Amount]]/Log_2018[[#This Row],[Split_raw]]*MAX(0,MIN(_xlfn.DAYS(EDATE(Z$1,1),Log_2018[[#This Row],[Date]]),Log_2018[[#This Row],[Split_apply]])) - SUM($O446:Y446)</f>
        <v>0</v>
      </c>
      <c r="AA446" s="52">
        <f ca="1">Log_2018[[#This Row],[Amount]]/Log_2018[[#This Row],[Split_raw]]*MAX(0,MIN(_xlfn.DAYS(EDATE(AA$1,1),Log_2018[[#This Row],[Date]]),Log_2018[[#This Row],[Split_apply]])) - SUM($O446:Z446)</f>
        <v>0</v>
      </c>
      <c r="AB446" s="54">
        <f ca="1">Log_2018[[#This Row],[Amount]]-SUM(O446:AA446)</f>
        <v>0</v>
      </c>
      <c r="AC446" s="7">
        <f ca="1">MAX(0,Log_2018[[#This Row],[Split_apply]] - (EDATE(AA$1,1)-Log_2018[[#This Row],[Date]]))</f>
        <v>0</v>
      </c>
    </row>
    <row r="447" spans="1:29" hidden="1" x14ac:dyDescent="0.25">
      <c r="A447" s="115"/>
      <c r="B447" t="s">
        <v>96</v>
      </c>
      <c r="D447" s="26">
        <v>43250</v>
      </c>
      <c r="E447" t="s">
        <v>296</v>
      </c>
      <c r="H447" s="3">
        <v>220</v>
      </c>
      <c r="I447" s="36">
        <f>IF(Log_2018[[#This Row],[My Category]]="NONTRACKED",0,Log_2018[[#This Row],[Raw Amount]])</f>
        <v>220</v>
      </c>
      <c r="J447" s="17">
        <f>ABS(Log_2018[[#This Row],[Amount]])</f>
        <v>220</v>
      </c>
      <c r="K447" s="66">
        <v>1</v>
      </c>
      <c r="L447" s="66">
        <f ca="1">IF(Log_2018[[#This Row],[Date]]&lt;=TODAY(), MIN(Log_2018[[#This Row],[Split_raw]], TODAY()-Log_2018[[#This Row],[Date]]+1), 0)</f>
        <v>1</v>
      </c>
      <c r="M447" t="s">
        <v>42</v>
      </c>
      <c r="N447" t="s">
        <v>156</v>
      </c>
      <c r="O447" s="50">
        <v>0</v>
      </c>
      <c r="P447" s="52">
        <f ca="1">Log_2018[[#This Row],[Amount]]/Log_2018[[#This Row],[Split_raw]]*MAX(0,MIN(_xlfn.DAYS(EDATE(P$1,1),Log_2018[[#This Row],[Date]]),Log_2018[[#This Row],[Split_apply]])) - SUM($O447:O447)</f>
        <v>0</v>
      </c>
      <c r="Q447" s="52">
        <f ca="1">Log_2018[[#This Row],[Amount]]/Log_2018[[#This Row],[Split_raw]]*MAX(0,MIN(_xlfn.DAYS(EDATE(Q$1,1),Log_2018[[#This Row],[Date]]),Log_2018[[#This Row],[Split_apply]])) - SUM($O447:P447)</f>
        <v>0</v>
      </c>
      <c r="R447" s="52">
        <f ca="1">Log_2018[[#This Row],[Amount]]/Log_2018[[#This Row],[Split_raw]]*MAX(0,MIN(_xlfn.DAYS(EDATE(R$1,1),Log_2018[[#This Row],[Date]]),Log_2018[[#This Row],[Split_apply]])) - SUM($O447:Q447)</f>
        <v>0</v>
      </c>
      <c r="S447" s="52">
        <f ca="1">Log_2018[[#This Row],[Amount]]/Log_2018[[#This Row],[Split_raw]]*MAX(0,MIN(_xlfn.DAYS(EDATE(S$1,1),Log_2018[[#This Row],[Date]]),Log_2018[[#This Row],[Split_apply]])) - SUM($O447:R447)</f>
        <v>0</v>
      </c>
      <c r="T447" s="52">
        <f ca="1">Log_2018[[#This Row],[Amount]]/Log_2018[[#This Row],[Split_raw]]*MAX(0,MIN(_xlfn.DAYS(EDATE(T$1,1),Log_2018[[#This Row],[Date]]),Log_2018[[#This Row],[Split_apply]])) - SUM($O447:S447)</f>
        <v>220</v>
      </c>
      <c r="U447" s="52">
        <f ca="1">Log_2018[[#This Row],[Amount]]/Log_2018[[#This Row],[Split_raw]]*MAX(0,MIN(_xlfn.DAYS(EDATE(U$1,1),Log_2018[[#This Row],[Date]]),Log_2018[[#This Row],[Split_apply]])) - SUM($O447:T447)</f>
        <v>0</v>
      </c>
      <c r="V447" s="52">
        <f ca="1">Log_2018[[#This Row],[Amount]]/Log_2018[[#This Row],[Split_raw]]*MAX(0,MIN(_xlfn.DAYS(EDATE(V$1,1),Log_2018[[#This Row],[Date]]),Log_2018[[#This Row],[Split_apply]])) - SUM($O447:U447)</f>
        <v>0</v>
      </c>
      <c r="W447" s="52">
        <f ca="1">Log_2018[[#This Row],[Amount]]/Log_2018[[#This Row],[Split_raw]]*MAX(0,MIN(_xlfn.DAYS(EDATE(W$1,1),Log_2018[[#This Row],[Date]]),Log_2018[[#This Row],[Split_apply]])) - SUM($O447:V447)</f>
        <v>0</v>
      </c>
      <c r="X447" s="52">
        <f ca="1">Log_2018[[#This Row],[Amount]]/Log_2018[[#This Row],[Split_raw]]*MAX(0,MIN(_xlfn.DAYS(EDATE(X$1,1),Log_2018[[#This Row],[Date]]),Log_2018[[#This Row],[Split_apply]])) - SUM($O447:W447)</f>
        <v>0</v>
      </c>
      <c r="Y447" s="52">
        <f ca="1">Log_2018[[#This Row],[Amount]]/Log_2018[[#This Row],[Split_raw]]*MAX(0,MIN(_xlfn.DAYS(EDATE(Y$1,1),Log_2018[[#This Row],[Date]]),Log_2018[[#This Row],[Split_apply]])) - SUM($O447:X447)</f>
        <v>0</v>
      </c>
      <c r="Z447" s="52">
        <f ca="1">Log_2018[[#This Row],[Amount]]/Log_2018[[#This Row],[Split_raw]]*MAX(0,MIN(_xlfn.DAYS(EDATE(Z$1,1),Log_2018[[#This Row],[Date]]),Log_2018[[#This Row],[Split_apply]])) - SUM($O447:Y447)</f>
        <v>0</v>
      </c>
      <c r="AA447" s="52">
        <f ca="1">Log_2018[[#This Row],[Amount]]/Log_2018[[#This Row],[Split_raw]]*MAX(0,MIN(_xlfn.DAYS(EDATE(AA$1,1),Log_2018[[#This Row],[Date]]),Log_2018[[#This Row],[Split_apply]])) - SUM($O447:Z447)</f>
        <v>0</v>
      </c>
      <c r="AB447" s="54">
        <f ca="1">Log_2018[[#This Row],[Amount]]-SUM(O447:AA447)</f>
        <v>0</v>
      </c>
      <c r="AC447" s="7">
        <f ca="1">MAX(0,Log_2018[[#This Row],[Split_apply]] - (EDATE(AA$1,1)-Log_2018[[#This Row],[Date]]))</f>
        <v>0</v>
      </c>
    </row>
    <row r="448" spans="1:29" hidden="1" x14ac:dyDescent="0.25">
      <c r="A448" s="115"/>
      <c r="B448" t="s">
        <v>96</v>
      </c>
      <c r="D448" s="26">
        <v>43250</v>
      </c>
      <c r="E448" t="s">
        <v>295</v>
      </c>
      <c r="H448" s="3">
        <v>-75</v>
      </c>
      <c r="I448" s="36">
        <f>IF(Log_2018[[#This Row],[My Category]]="NONTRACKED",0,Log_2018[[#This Row],[Raw Amount]])</f>
        <v>-75</v>
      </c>
      <c r="J448" s="17">
        <f>ABS(Log_2018[[#This Row],[Amount]])</f>
        <v>75</v>
      </c>
      <c r="K448" s="66">
        <v>1</v>
      </c>
      <c r="L448" s="66">
        <f ca="1">IF(Log_2018[[#This Row],[Date]]&lt;=TODAY(), MIN(Log_2018[[#This Row],[Split_raw]], TODAY()-Log_2018[[#This Row],[Date]]+1), 0)</f>
        <v>1</v>
      </c>
      <c r="M448" t="s">
        <v>36</v>
      </c>
      <c r="N448" t="s">
        <v>156</v>
      </c>
      <c r="O448" s="50">
        <v>0</v>
      </c>
      <c r="P448" s="52">
        <f ca="1">Log_2018[[#This Row],[Amount]]/Log_2018[[#This Row],[Split_raw]]*MAX(0,MIN(_xlfn.DAYS(EDATE(P$1,1),Log_2018[[#This Row],[Date]]),Log_2018[[#This Row],[Split_apply]])) - SUM($O448:O448)</f>
        <v>0</v>
      </c>
      <c r="Q448" s="52">
        <f ca="1">Log_2018[[#This Row],[Amount]]/Log_2018[[#This Row],[Split_raw]]*MAX(0,MIN(_xlfn.DAYS(EDATE(Q$1,1),Log_2018[[#This Row],[Date]]),Log_2018[[#This Row],[Split_apply]])) - SUM($O448:P448)</f>
        <v>0</v>
      </c>
      <c r="R448" s="52">
        <f ca="1">Log_2018[[#This Row],[Amount]]/Log_2018[[#This Row],[Split_raw]]*MAX(0,MIN(_xlfn.DAYS(EDATE(R$1,1),Log_2018[[#This Row],[Date]]),Log_2018[[#This Row],[Split_apply]])) - SUM($O448:Q448)</f>
        <v>0</v>
      </c>
      <c r="S448" s="52">
        <f ca="1">Log_2018[[#This Row],[Amount]]/Log_2018[[#This Row],[Split_raw]]*MAX(0,MIN(_xlfn.DAYS(EDATE(S$1,1),Log_2018[[#This Row],[Date]]),Log_2018[[#This Row],[Split_apply]])) - SUM($O448:R448)</f>
        <v>0</v>
      </c>
      <c r="T448" s="52">
        <f ca="1">Log_2018[[#This Row],[Amount]]/Log_2018[[#This Row],[Split_raw]]*MAX(0,MIN(_xlfn.DAYS(EDATE(T$1,1),Log_2018[[#This Row],[Date]]),Log_2018[[#This Row],[Split_apply]])) - SUM($O448:S448)</f>
        <v>-75</v>
      </c>
      <c r="U448" s="52">
        <f ca="1">Log_2018[[#This Row],[Amount]]/Log_2018[[#This Row],[Split_raw]]*MAX(0,MIN(_xlfn.DAYS(EDATE(U$1,1),Log_2018[[#This Row],[Date]]),Log_2018[[#This Row],[Split_apply]])) - SUM($O448:T448)</f>
        <v>0</v>
      </c>
      <c r="V448" s="52">
        <f ca="1">Log_2018[[#This Row],[Amount]]/Log_2018[[#This Row],[Split_raw]]*MAX(0,MIN(_xlfn.DAYS(EDATE(V$1,1),Log_2018[[#This Row],[Date]]),Log_2018[[#This Row],[Split_apply]])) - SUM($O448:U448)</f>
        <v>0</v>
      </c>
      <c r="W448" s="52">
        <f ca="1">Log_2018[[#This Row],[Amount]]/Log_2018[[#This Row],[Split_raw]]*MAX(0,MIN(_xlfn.DAYS(EDATE(W$1,1),Log_2018[[#This Row],[Date]]),Log_2018[[#This Row],[Split_apply]])) - SUM($O448:V448)</f>
        <v>0</v>
      </c>
      <c r="X448" s="52">
        <f ca="1">Log_2018[[#This Row],[Amount]]/Log_2018[[#This Row],[Split_raw]]*MAX(0,MIN(_xlfn.DAYS(EDATE(X$1,1),Log_2018[[#This Row],[Date]]),Log_2018[[#This Row],[Split_apply]])) - SUM($O448:W448)</f>
        <v>0</v>
      </c>
      <c r="Y448" s="52">
        <f ca="1">Log_2018[[#This Row],[Amount]]/Log_2018[[#This Row],[Split_raw]]*MAX(0,MIN(_xlfn.DAYS(EDATE(Y$1,1),Log_2018[[#This Row],[Date]]),Log_2018[[#This Row],[Split_apply]])) - SUM($O448:X448)</f>
        <v>0</v>
      </c>
      <c r="Z448" s="52">
        <f ca="1">Log_2018[[#This Row],[Amount]]/Log_2018[[#This Row],[Split_raw]]*MAX(0,MIN(_xlfn.DAYS(EDATE(Z$1,1),Log_2018[[#This Row],[Date]]),Log_2018[[#This Row],[Split_apply]])) - SUM($O448:Y448)</f>
        <v>0</v>
      </c>
      <c r="AA448" s="52">
        <f ca="1">Log_2018[[#This Row],[Amount]]/Log_2018[[#This Row],[Split_raw]]*MAX(0,MIN(_xlfn.DAYS(EDATE(AA$1,1),Log_2018[[#This Row],[Date]]),Log_2018[[#This Row],[Split_apply]])) - SUM($O448:Z448)</f>
        <v>0</v>
      </c>
      <c r="AB448" s="54">
        <f ca="1">Log_2018[[#This Row],[Amount]]-SUM(O448:AA448)</f>
        <v>0</v>
      </c>
      <c r="AC448" s="7">
        <f ca="1">MAX(0,Log_2018[[#This Row],[Split_apply]] - (EDATE(AA$1,1)-Log_2018[[#This Row],[Date]]))</f>
        <v>0</v>
      </c>
    </row>
    <row r="449" spans="1:29" hidden="1" x14ac:dyDescent="0.25">
      <c r="A449" s="115"/>
      <c r="B449" t="s">
        <v>6</v>
      </c>
      <c r="D449" s="26">
        <v>43250</v>
      </c>
      <c r="E449" t="s">
        <v>296</v>
      </c>
      <c r="F449" t="s">
        <v>275</v>
      </c>
      <c r="G449" t="s">
        <v>27</v>
      </c>
      <c r="H449" s="3">
        <v>-3.25</v>
      </c>
      <c r="I449" s="36">
        <f>IF(Log_2018[[#This Row],[My Category]]="NONTRACKED",0,Log_2018[[#This Row],[Raw Amount]])</f>
        <v>-3.25</v>
      </c>
      <c r="J449" s="17">
        <f>ABS(Log_2018[[#This Row],[Amount]])</f>
        <v>3.25</v>
      </c>
      <c r="K449" s="66">
        <v>1</v>
      </c>
      <c r="L449" s="66">
        <f ca="1">IF(Log_2018[[#This Row],[Date]]&lt;=TODAY(), MIN(Log_2018[[#This Row],[Split_raw]], TODAY()-Log_2018[[#This Row],[Date]]+1), 0)</f>
        <v>1</v>
      </c>
      <c r="M449" t="s">
        <v>42</v>
      </c>
      <c r="N449" t="s">
        <v>158</v>
      </c>
      <c r="O449" s="50">
        <v>0</v>
      </c>
      <c r="P449" s="52">
        <f ca="1">Log_2018[[#This Row],[Amount]]/Log_2018[[#This Row],[Split_raw]]*MAX(0,MIN(_xlfn.DAYS(EDATE(P$1,1),Log_2018[[#This Row],[Date]]),Log_2018[[#This Row],[Split_apply]])) - SUM($O449:O449)</f>
        <v>0</v>
      </c>
      <c r="Q449" s="52">
        <f ca="1">Log_2018[[#This Row],[Amount]]/Log_2018[[#This Row],[Split_raw]]*MAX(0,MIN(_xlfn.DAYS(EDATE(Q$1,1),Log_2018[[#This Row],[Date]]),Log_2018[[#This Row],[Split_apply]])) - SUM($O449:P449)</f>
        <v>0</v>
      </c>
      <c r="R449" s="52">
        <f ca="1">Log_2018[[#This Row],[Amount]]/Log_2018[[#This Row],[Split_raw]]*MAX(0,MIN(_xlfn.DAYS(EDATE(R$1,1),Log_2018[[#This Row],[Date]]),Log_2018[[#This Row],[Split_apply]])) - SUM($O449:Q449)</f>
        <v>0</v>
      </c>
      <c r="S449" s="52">
        <f ca="1">Log_2018[[#This Row],[Amount]]/Log_2018[[#This Row],[Split_raw]]*MAX(0,MIN(_xlfn.DAYS(EDATE(S$1,1),Log_2018[[#This Row],[Date]]),Log_2018[[#This Row],[Split_apply]])) - SUM($O449:R449)</f>
        <v>0</v>
      </c>
      <c r="T449" s="52">
        <f ca="1">Log_2018[[#This Row],[Amount]]/Log_2018[[#This Row],[Split_raw]]*MAX(0,MIN(_xlfn.DAYS(EDATE(T$1,1),Log_2018[[#This Row],[Date]]),Log_2018[[#This Row],[Split_apply]])) - SUM($O449:S449)</f>
        <v>-3.25</v>
      </c>
      <c r="U449" s="52">
        <f ca="1">Log_2018[[#This Row],[Amount]]/Log_2018[[#This Row],[Split_raw]]*MAX(0,MIN(_xlfn.DAYS(EDATE(U$1,1),Log_2018[[#This Row],[Date]]),Log_2018[[#This Row],[Split_apply]])) - SUM($O449:T449)</f>
        <v>0</v>
      </c>
      <c r="V449" s="52">
        <f ca="1">Log_2018[[#This Row],[Amount]]/Log_2018[[#This Row],[Split_raw]]*MAX(0,MIN(_xlfn.DAYS(EDATE(V$1,1),Log_2018[[#This Row],[Date]]),Log_2018[[#This Row],[Split_apply]])) - SUM($O449:U449)</f>
        <v>0</v>
      </c>
      <c r="W449" s="52">
        <f ca="1">Log_2018[[#This Row],[Amount]]/Log_2018[[#This Row],[Split_raw]]*MAX(0,MIN(_xlfn.DAYS(EDATE(W$1,1),Log_2018[[#This Row],[Date]]),Log_2018[[#This Row],[Split_apply]])) - SUM($O449:V449)</f>
        <v>0</v>
      </c>
      <c r="X449" s="52">
        <f ca="1">Log_2018[[#This Row],[Amount]]/Log_2018[[#This Row],[Split_raw]]*MAX(0,MIN(_xlfn.DAYS(EDATE(X$1,1),Log_2018[[#This Row],[Date]]),Log_2018[[#This Row],[Split_apply]])) - SUM($O449:W449)</f>
        <v>0</v>
      </c>
      <c r="Y449" s="52">
        <f ca="1">Log_2018[[#This Row],[Amount]]/Log_2018[[#This Row],[Split_raw]]*MAX(0,MIN(_xlfn.DAYS(EDATE(Y$1,1),Log_2018[[#This Row],[Date]]),Log_2018[[#This Row],[Split_apply]])) - SUM($O449:X449)</f>
        <v>0</v>
      </c>
      <c r="Z449" s="52">
        <f ca="1">Log_2018[[#This Row],[Amount]]/Log_2018[[#This Row],[Split_raw]]*MAX(0,MIN(_xlfn.DAYS(EDATE(Z$1,1),Log_2018[[#This Row],[Date]]),Log_2018[[#This Row],[Split_apply]])) - SUM($O449:Y449)</f>
        <v>0</v>
      </c>
      <c r="AA449" s="52">
        <f ca="1">Log_2018[[#This Row],[Amount]]/Log_2018[[#This Row],[Split_raw]]*MAX(0,MIN(_xlfn.DAYS(EDATE(AA$1,1),Log_2018[[#This Row],[Date]]),Log_2018[[#This Row],[Split_apply]])) - SUM($O449:Z449)</f>
        <v>0</v>
      </c>
      <c r="AB449" s="54">
        <f ca="1">Log_2018[[#This Row],[Amount]]-SUM(O449:AA449)</f>
        <v>0</v>
      </c>
      <c r="AC449" s="7">
        <f ca="1">MAX(0,Log_2018[[#This Row],[Split_apply]] - (EDATE(AA$1,1)-Log_2018[[#This Row],[Date]]))</f>
        <v>0</v>
      </c>
    </row>
    <row r="450" spans="1:29" hidden="1" x14ac:dyDescent="0.25">
      <c r="A450" s="115"/>
      <c r="B450" t="s">
        <v>6</v>
      </c>
      <c r="D450" s="26">
        <v>43250</v>
      </c>
      <c r="E450" t="s">
        <v>296</v>
      </c>
      <c r="F450" t="s">
        <v>277</v>
      </c>
      <c r="G450" t="s">
        <v>25</v>
      </c>
      <c r="H450" s="3">
        <v>-9.17</v>
      </c>
      <c r="I450" s="36">
        <f>IF(Log_2018[[#This Row],[My Category]]="NONTRACKED",0,Log_2018[[#This Row],[Raw Amount]])</f>
        <v>-9.17</v>
      </c>
      <c r="J450" s="17">
        <f>ABS(Log_2018[[#This Row],[Amount]])</f>
        <v>9.17</v>
      </c>
      <c r="K450" s="66">
        <v>1</v>
      </c>
      <c r="L450" s="66">
        <f ca="1">IF(Log_2018[[#This Row],[Date]]&lt;=TODAY(), MIN(Log_2018[[#This Row],[Split_raw]], TODAY()-Log_2018[[#This Row],[Date]]+1), 0)</f>
        <v>1</v>
      </c>
      <c r="M450" t="s">
        <v>42</v>
      </c>
      <c r="N450" t="s">
        <v>158</v>
      </c>
      <c r="O450" s="50">
        <v>0</v>
      </c>
      <c r="P450" s="52">
        <f ca="1">Log_2018[[#This Row],[Amount]]/Log_2018[[#This Row],[Split_raw]]*MAX(0,MIN(_xlfn.DAYS(EDATE(P$1,1),Log_2018[[#This Row],[Date]]),Log_2018[[#This Row],[Split_apply]])) - SUM($O450:O450)</f>
        <v>0</v>
      </c>
      <c r="Q450" s="52">
        <f ca="1">Log_2018[[#This Row],[Amount]]/Log_2018[[#This Row],[Split_raw]]*MAX(0,MIN(_xlfn.DAYS(EDATE(Q$1,1),Log_2018[[#This Row],[Date]]),Log_2018[[#This Row],[Split_apply]])) - SUM($O450:P450)</f>
        <v>0</v>
      </c>
      <c r="R450" s="52">
        <f ca="1">Log_2018[[#This Row],[Amount]]/Log_2018[[#This Row],[Split_raw]]*MAX(0,MIN(_xlfn.DAYS(EDATE(R$1,1),Log_2018[[#This Row],[Date]]),Log_2018[[#This Row],[Split_apply]])) - SUM($O450:Q450)</f>
        <v>0</v>
      </c>
      <c r="S450" s="52">
        <f ca="1">Log_2018[[#This Row],[Amount]]/Log_2018[[#This Row],[Split_raw]]*MAX(0,MIN(_xlfn.DAYS(EDATE(S$1,1),Log_2018[[#This Row],[Date]]),Log_2018[[#This Row],[Split_apply]])) - SUM($O450:R450)</f>
        <v>0</v>
      </c>
      <c r="T450" s="52">
        <f ca="1">Log_2018[[#This Row],[Amount]]/Log_2018[[#This Row],[Split_raw]]*MAX(0,MIN(_xlfn.DAYS(EDATE(T$1,1),Log_2018[[#This Row],[Date]]),Log_2018[[#This Row],[Split_apply]])) - SUM($O450:S450)</f>
        <v>-9.17</v>
      </c>
      <c r="U450" s="52">
        <f ca="1">Log_2018[[#This Row],[Amount]]/Log_2018[[#This Row],[Split_raw]]*MAX(0,MIN(_xlfn.DAYS(EDATE(U$1,1),Log_2018[[#This Row],[Date]]),Log_2018[[#This Row],[Split_apply]])) - SUM($O450:T450)</f>
        <v>0</v>
      </c>
      <c r="V450" s="52">
        <f ca="1">Log_2018[[#This Row],[Amount]]/Log_2018[[#This Row],[Split_raw]]*MAX(0,MIN(_xlfn.DAYS(EDATE(V$1,1),Log_2018[[#This Row],[Date]]),Log_2018[[#This Row],[Split_apply]])) - SUM($O450:U450)</f>
        <v>0</v>
      </c>
      <c r="W450" s="52">
        <f ca="1">Log_2018[[#This Row],[Amount]]/Log_2018[[#This Row],[Split_raw]]*MAX(0,MIN(_xlfn.DAYS(EDATE(W$1,1),Log_2018[[#This Row],[Date]]),Log_2018[[#This Row],[Split_apply]])) - SUM($O450:V450)</f>
        <v>0</v>
      </c>
      <c r="X450" s="52">
        <f ca="1">Log_2018[[#This Row],[Amount]]/Log_2018[[#This Row],[Split_raw]]*MAX(0,MIN(_xlfn.DAYS(EDATE(X$1,1),Log_2018[[#This Row],[Date]]),Log_2018[[#This Row],[Split_apply]])) - SUM($O450:W450)</f>
        <v>0</v>
      </c>
      <c r="Y450" s="52">
        <f ca="1">Log_2018[[#This Row],[Amount]]/Log_2018[[#This Row],[Split_raw]]*MAX(0,MIN(_xlfn.DAYS(EDATE(Y$1,1),Log_2018[[#This Row],[Date]]),Log_2018[[#This Row],[Split_apply]])) - SUM($O450:X450)</f>
        <v>0</v>
      </c>
      <c r="Z450" s="52">
        <f ca="1">Log_2018[[#This Row],[Amount]]/Log_2018[[#This Row],[Split_raw]]*MAX(0,MIN(_xlfn.DAYS(EDATE(Z$1,1),Log_2018[[#This Row],[Date]]),Log_2018[[#This Row],[Split_apply]])) - SUM($O450:Y450)</f>
        <v>0</v>
      </c>
      <c r="AA450" s="52">
        <f ca="1">Log_2018[[#This Row],[Amount]]/Log_2018[[#This Row],[Split_raw]]*MAX(0,MIN(_xlfn.DAYS(EDATE(AA$1,1),Log_2018[[#This Row],[Date]]),Log_2018[[#This Row],[Split_apply]])) - SUM($O450:Z450)</f>
        <v>0</v>
      </c>
      <c r="AB450" s="54">
        <f ca="1">Log_2018[[#This Row],[Amount]]-SUM(O450:AA450)</f>
        <v>0</v>
      </c>
      <c r="AC450" s="7">
        <f ca="1">MAX(0,Log_2018[[#This Row],[Split_apply]] - (EDATE(AA$1,1)-Log_2018[[#This Row],[Date]]))</f>
        <v>0</v>
      </c>
    </row>
    <row r="451" spans="1:29" hidden="1" x14ac:dyDescent="0.25">
      <c r="A451" s="115"/>
      <c r="B451" t="s">
        <v>6</v>
      </c>
      <c r="D451" s="26">
        <v>43250</v>
      </c>
      <c r="F451" t="s">
        <v>16</v>
      </c>
      <c r="G451" t="s">
        <v>17</v>
      </c>
      <c r="H451" s="3">
        <f>--0.13</f>
        <v>0.13</v>
      </c>
      <c r="I451" s="36">
        <f>IF(Log_2018[[#This Row],[My Category]]="NONTRACKED",0,Log_2018[[#This Row],[Raw Amount]])</f>
        <v>0.13</v>
      </c>
      <c r="J451" s="17">
        <f>ABS(Log_2018[[#This Row],[Amount]])</f>
        <v>0.13</v>
      </c>
      <c r="K451" s="66">
        <v>1</v>
      </c>
      <c r="L451" s="66">
        <f ca="1">IF(Log_2018[[#This Row],[Date]]&lt;=TODAY(), MIN(Log_2018[[#This Row],[Split_raw]], TODAY()-Log_2018[[#This Row],[Date]]+1), 0)</f>
        <v>1</v>
      </c>
      <c r="M451" t="s">
        <v>144</v>
      </c>
      <c r="N451" t="s">
        <v>160</v>
      </c>
      <c r="O451" s="50">
        <v>0</v>
      </c>
      <c r="P451" s="52">
        <f ca="1">Log_2018[[#This Row],[Amount]]/Log_2018[[#This Row],[Split_raw]]*MAX(0,MIN(_xlfn.DAYS(EDATE(P$1,1),Log_2018[[#This Row],[Date]]),Log_2018[[#This Row],[Split_apply]])) - SUM($O451:O451)</f>
        <v>0</v>
      </c>
      <c r="Q451" s="52">
        <f ca="1">Log_2018[[#This Row],[Amount]]/Log_2018[[#This Row],[Split_raw]]*MAX(0,MIN(_xlfn.DAYS(EDATE(Q$1,1),Log_2018[[#This Row],[Date]]),Log_2018[[#This Row],[Split_apply]])) - SUM($O451:P451)</f>
        <v>0</v>
      </c>
      <c r="R451" s="52">
        <f ca="1">Log_2018[[#This Row],[Amount]]/Log_2018[[#This Row],[Split_raw]]*MAX(0,MIN(_xlfn.DAYS(EDATE(R$1,1),Log_2018[[#This Row],[Date]]),Log_2018[[#This Row],[Split_apply]])) - SUM($O451:Q451)</f>
        <v>0</v>
      </c>
      <c r="S451" s="52">
        <f ca="1">Log_2018[[#This Row],[Amount]]/Log_2018[[#This Row],[Split_raw]]*MAX(0,MIN(_xlfn.DAYS(EDATE(S$1,1),Log_2018[[#This Row],[Date]]),Log_2018[[#This Row],[Split_apply]])) - SUM($O451:R451)</f>
        <v>0</v>
      </c>
      <c r="T451" s="52">
        <f ca="1">Log_2018[[#This Row],[Amount]]/Log_2018[[#This Row],[Split_raw]]*MAX(0,MIN(_xlfn.DAYS(EDATE(T$1,1),Log_2018[[#This Row],[Date]]),Log_2018[[#This Row],[Split_apply]])) - SUM($O451:S451)</f>
        <v>0.13</v>
      </c>
      <c r="U451" s="52">
        <f ca="1">Log_2018[[#This Row],[Amount]]/Log_2018[[#This Row],[Split_raw]]*MAX(0,MIN(_xlfn.DAYS(EDATE(U$1,1),Log_2018[[#This Row],[Date]]),Log_2018[[#This Row],[Split_apply]])) - SUM($O451:T451)</f>
        <v>0</v>
      </c>
      <c r="V451" s="52">
        <f ca="1">Log_2018[[#This Row],[Amount]]/Log_2018[[#This Row],[Split_raw]]*MAX(0,MIN(_xlfn.DAYS(EDATE(V$1,1),Log_2018[[#This Row],[Date]]),Log_2018[[#This Row],[Split_apply]])) - SUM($O451:U451)</f>
        <v>0</v>
      </c>
      <c r="W451" s="52">
        <f ca="1">Log_2018[[#This Row],[Amount]]/Log_2018[[#This Row],[Split_raw]]*MAX(0,MIN(_xlfn.DAYS(EDATE(W$1,1),Log_2018[[#This Row],[Date]]),Log_2018[[#This Row],[Split_apply]])) - SUM($O451:V451)</f>
        <v>0</v>
      </c>
      <c r="X451" s="52">
        <f ca="1">Log_2018[[#This Row],[Amount]]/Log_2018[[#This Row],[Split_raw]]*MAX(0,MIN(_xlfn.DAYS(EDATE(X$1,1),Log_2018[[#This Row],[Date]]),Log_2018[[#This Row],[Split_apply]])) - SUM($O451:W451)</f>
        <v>0</v>
      </c>
      <c r="Y451" s="52">
        <f ca="1">Log_2018[[#This Row],[Amount]]/Log_2018[[#This Row],[Split_raw]]*MAX(0,MIN(_xlfn.DAYS(EDATE(Y$1,1),Log_2018[[#This Row],[Date]]),Log_2018[[#This Row],[Split_apply]])) - SUM($O451:X451)</f>
        <v>0</v>
      </c>
      <c r="Z451" s="52">
        <f ca="1">Log_2018[[#This Row],[Amount]]/Log_2018[[#This Row],[Split_raw]]*MAX(0,MIN(_xlfn.DAYS(EDATE(Z$1,1),Log_2018[[#This Row],[Date]]),Log_2018[[#This Row],[Split_apply]])) - SUM($O451:Y451)</f>
        <v>0</v>
      </c>
      <c r="AA451" s="52">
        <f ca="1">Log_2018[[#This Row],[Amount]]/Log_2018[[#This Row],[Split_raw]]*MAX(0,MIN(_xlfn.DAYS(EDATE(AA$1,1),Log_2018[[#This Row],[Date]]),Log_2018[[#This Row],[Split_apply]])) - SUM($O451:Z451)</f>
        <v>0</v>
      </c>
      <c r="AB451" s="54">
        <f ca="1">Log_2018[[#This Row],[Amount]]-SUM(O451:AA451)</f>
        <v>0</v>
      </c>
      <c r="AC451" s="7">
        <f ca="1">MAX(0,Log_2018[[#This Row],[Split_apply]] - (EDATE(AA$1,1)-Log_2018[[#This Row],[Date]]))</f>
        <v>0</v>
      </c>
    </row>
    <row r="452" spans="1:29" hidden="1" x14ac:dyDescent="0.25">
      <c r="A452" s="115"/>
      <c r="B452" t="s">
        <v>6</v>
      </c>
      <c r="D452" s="26">
        <v>43249</v>
      </c>
      <c r="E452" t="s">
        <v>296</v>
      </c>
      <c r="F452" t="s">
        <v>278</v>
      </c>
      <c r="G452" t="s">
        <v>25</v>
      </c>
      <c r="H452" s="3">
        <v>-21</v>
      </c>
      <c r="I452" s="36">
        <f>IF(Log_2018[[#This Row],[My Category]]="NONTRACKED",0,Log_2018[[#This Row],[Raw Amount]])</f>
        <v>-21</v>
      </c>
      <c r="J452" s="17">
        <f>ABS(Log_2018[[#This Row],[Amount]])</f>
        <v>21</v>
      </c>
      <c r="K452" s="66">
        <v>1</v>
      </c>
      <c r="L452" s="66">
        <f ca="1">IF(Log_2018[[#This Row],[Date]]&lt;=TODAY(), MIN(Log_2018[[#This Row],[Split_raw]], TODAY()-Log_2018[[#This Row],[Date]]+1), 0)</f>
        <v>1</v>
      </c>
      <c r="M452" t="s">
        <v>42</v>
      </c>
      <c r="N452" t="s">
        <v>158</v>
      </c>
      <c r="O452" s="50">
        <v>0</v>
      </c>
      <c r="P452" s="52">
        <f ca="1">Log_2018[[#This Row],[Amount]]/Log_2018[[#This Row],[Split_raw]]*MAX(0,MIN(_xlfn.DAYS(EDATE(P$1,1),Log_2018[[#This Row],[Date]]),Log_2018[[#This Row],[Split_apply]])) - SUM($O452:O452)</f>
        <v>0</v>
      </c>
      <c r="Q452" s="52">
        <f ca="1">Log_2018[[#This Row],[Amount]]/Log_2018[[#This Row],[Split_raw]]*MAX(0,MIN(_xlfn.DAYS(EDATE(Q$1,1),Log_2018[[#This Row],[Date]]),Log_2018[[#This Row],[Split_apply]])) - SUM($O452:P452)</f>
        <v>0</v>
      </c>
      <c r="R452" s="52">
        <f ca="1">Log_2018[[#This Row],[Amount]]/Log_2018[[#This Row],[Split_raw]]*MAX(0,MIN(_xlfn.DAYS(EDATE(R$1,1),Log_2018[[#This Row],[Date]]),Log_2018[[#This Row],[Split_apply]])) - SUM($O452:Q452)</f>
        <v>0</v>
      </c>
      <c r="S452" s="52">
        <f ca="1">Log_2018[[#This Row],[Amount]]/Log_2018[[#This Row],[Split_raw]]*MAX(0,MIN(_xlfn.DAYS(EDATE(S$1,1),Log_2018[[#This Row],[Date]]),Log_2018[[#This Row],[Split_apply]])) - SUM($O452:R452)</f>
        <v>0</v>
      </c>
      <c r="T452" s="52">
        <f ca="1">Log_2018[[#This Row],[Amount]]/Log_2018[[#This Row],[Split_raw]]*MAX(0,MIN(_xlfn.DAYS(EDATE(T$1,1),Log_2018[[#This Row],[Date]]),Log_2018[[#This Row],[Split_apply]])) - SUM($O452:S452)</f>
        <v>-21</v>
      </c>
      <c r="U452" s="52">
        <f ca="1">Log_2018[[#This Row],[Amount]]/Log_2018[[#This Row],[Split_raw]]*MAX(0,MIN(_xlfn.DAYS(EDATE(U$1,1),Log_2018[[#This Row],[Date]]),Log_2018[[#This Row],[Split_apply]])) - SUM($O452:T452)</f>
        <v>0</v>
      </c>
      <c r="V452" s="52">
        <f ca="1">Log_2018[[#This Row],[Amount]]/Log_2018[[#This Row],[Split_raw]]*MAX(0,MIN(_xlfn.DAYS(EDATE(V$1,1),Log_2018[[#This Row],[Date]]),Log_2018[[#This Row],[Split_apply]])) - SUM($O452:U452)</f>
        <v>0</v>
      </c>
      <c r="W452" s="52">
        <f ca="1">Log_2018[[#This Row],[Amount]]/Log_2018[[#This Row],[Split_raw]]*MAX(0,MIN(_xlfn.DAYS(EDATE(W$1,1),Log_2018[[#This Row],[Date]]),Log_2018[[#This Row],[Split_apply]])) - SUM($O452:V452)</f>
        <v>0</v>
      </c>
      <c r="X452" s="52">
        <f ca="1">Log_2018[[#This Row],[Amount]]/Log_2018[[#This Row],[Split_raw]]*MAX(0,MIN(_xlfn.DAYS(EDATE(X$1,1),Log_2018[[#This Row],[Date]]),Log_2018[[#This Row],[Split_apply]])) - SUM($O452:W452)</f>
        <v>0</v>
      </c>
      <c r="Y452" s="52">
        <f ca="1">Log_2018[[#This Row],[Amount]]/Log_2018[[#This Row],[Split_raw]]*MAX(0,MIN(_xlfn.DAYS(EDATE(Y$1,1),Log_2018[[#This Row],[Date]]),Log_2018[[#This Row],[Split_apply]])) - SUM($O452:X452)</f>
        <v>0</v>
      </c>
      <c r="Z452" s="52">
        <f ca="1">Log_2018[[#This Row],[Amount]]/Log_2018[[#This Row],[Split_raw]]*MAX(0,MIN(_xlfn.DAYS(EDATE(Z$1,1),Log_2018[[#This Row],[Date]]),Log_2018[[#This Row],[Split_apply]])) - SUM($O452:Y452)</f>
        <v>0</v>
      </c>
      <c r="AA452" s="52">
        <f ca="1">Log_2018[[#This Row],[Amount]]/Log_2018[[#This Row],[Split_raw]]*MAX(0,MIN(_xlfn.DAYS(EDATE(AA$1,1),Log_2018[[#This Row],[Date]]),Log_2018[[#This Row],[Split_apply]])) - SUM($O452:Z452)</f>
        <v>0</v>
      </c>
      <c r="AB452" s="54">
        <f ca="1">Log_2018[[#This Row],[Amount]]-SUM(O452:AA452)</f>
        <v>0</v>
      </c>
      <c r="AC452" s="7">
        <f ca="1">MAX(0,Log_2018[[#This Row],[Split_apply]] - (EDATE(AA$1,1)-Log_2018[[#This Row],[Date]]))</f>
        <v>0</v>
      </c>
    </row>
    <row r="453" spans="1:29" hidden="1" x14ac:dyDescent="0.25">
      <c r="A453" s="115"/>
      <c r="B453" t="s">
        <v>6</v>
      </c>
      <c r="D453" s="26">
        <v>43249</v>
      </c>
      <c r="E453" t="s">
        <v>296</v>
      </c>
      <c r="F453" t="s">
        <v>279</v>
      </c>
      <c r="G453" t="s">
        <v>25</v>
      </c>
      <c r="H453" s="3">
        <v>-11.2</v>
      </c>
      <c r="I453" s="36">
        <f>IF(Log_2018[[#This Row],[My Category]]="NONTRACKED",0,Log_2018[[#This Row],[Raw Amount]])</f>
        <v>-11.2</v>
      </c>
      <c r="J453" s="17">
        <f>ABS(Log_2018[[#This Row],[Amount]])</f>
        <v>11.2</v>
      </c>
      <c r="K453" s="66">
        <v>1</v>
      </c>
      <c r="L453" s="66">
        <f ca="1">IF(Log_2018[[#This Row],[Date]]&lt;=TODAY(), MIN(Log_2018[[#This Row],[Split_raw]], TODAY()-Log_2018[[#This Row],[Date]]+1), 0)</f>
        <v>1</v>
      </c>
      <c r="M453" t="s">
        <v>42</v>
      </c>
      <c r="N453" t="s">
        <v>158</v>
      </c>
      <c r="O453" s="50">
        <v>0</v>
      </c>
      <c r="P453" s="52">
        <f ca="1">Log_2018[[#This Row],[Amount]]/Log_2018[[#This Row],[Split_raw]]*MAX(0,MIN(_xlfn.DAYS(EDATE(P$1,1),Log_2018[[#This Row],[Date]]),Log_2018[[#This Row],[Split_apply]])) - SUM($O453:O453)</f>
        <v>0</v>
      </c>
      <c r="Q453" s="52">
        <f ca="1">Log_2018[[#This Row],[Amount]]/Log_2018[[#This Row],[Split_raw]]*MAX(0,MIN(_xlfn.DAYS(EDATE(Q$1,1),Log_2018[[#This Row],[Date]]),Log_2018[[#This Row],[Split_apply]])) - SUM($O453:P453)</f>
        <v>0</v>
      </c>
      <c r="R453" s="52">
        <f ca="1">Log_2018[[#This Row],[Amount]]/Log_2018[[#This Row],[Split_raw]]*MAX(0,MIN(_xlfn.DAYS(EDATE(R$1,1),Log_2018[[#This Row],[Date]]),Log_2018[[#This Row],[Split_apply]])) - SUM($O453:Q453)</f>
        <v>0</v>
      </c>
      <c r="S453" s="52">
        <f ca="1">Log_2018[[#This Row],[Amount]]/Log_2018[[#This Row],[Split_raw]]*MAX(0,MIN(_xlfn.DAYS(EDATE(S$1,1),Log_2018[[#This Row],[Date]]),Log_2018[[#This Row],[Split_apply]])) - SUM($O453:R453)</f>
        <v>0</v>
      </c>
      <c r="T453" s="52">
        <f ca="1">Log_2018[[#This Row],[Amount]]/Log_2018[[#This Row],[Split_raw]]*MAX(0,MIN(_xlfn.DAYS(EDATE(T$1,1),Log_2018[[#This Row],[Date]]),Log_2018[[#This Row],[Split_apply]])) - SUM($O453:S453)</f>
        <v>-11.2</v>
      </c>
      <c r="U453" s="52">
        <f ca="1">Log_2018[[#This Row],[Amount]]/Log_2018[[#This Row],[Split_raw]]*MAX(0,MIN(_xlfn.DAYS(EDATE(U$1,1),Log_2018[[#This Row],[Date]]),Log_2018[[#This Row],[Split_apply]])) - SUM($O453:T453)</f>
        <v>0</v>
      </c>
      <c r="V453" s="52">
        <f ca="1">Log_2018[[#This Row],[Amount]]/Log_2018[[#This Row],[Split_raw]]*MAX(0,MIN(_xlfn.DAYS(EDATE(V$1,1),Log_2018[[#This Row],[Date]]),Log_2018[[#This Row],[Split_apply]])) - SUM($O453:U453)</f>
        <v>0</v>
      </c>
      <c r="W453" s="52">
        <f ca="1">Log_2018[[#This Row],[Amount]]/Log_2018[[#This Row],[Split_raw]]*MAX(0,MIN(_xlfn.DAYS(EDATE(W$1,1),Log_2018[[#This Row],[Date]]),Log_2018[[#This Row],[Split_apply]])) - SUM($O453:V453)</f>
        <v>0</v>
      </c>
      <c r="X453" s="52">
        <f ca="1">Log_2018[[#This Row],[Amount]]/Log_2018[[#This Row],[Split_raw]]*MAX(0,MIN(_xlfn.DAYS(EDATE(X$1,1),Log_2018[[#This Row],[Date]]),Log_2018[[#This Row],[Split_apply]])) - SUM($O453:W453)</f>
        <v>0</v>
      </c>
      <c r="Y453" s="52">
        <f ca="1">Log_2018[[#This Row],[Amount]]/Log_2018[[#This Row],[Split_raw]]*MAX(0,MIN(_xlfn.DAYS(EDATE(Y$1,1),Log_2018[[#This Row],[Date]]),Log_2018[[#This Row],[Split_apply]])) - SUM($O453:X453)</f>
        <v>0</v>
      </c>
      <c r="Z453" s="52">
        <f ca="1">Log_2018[[#This Row],[Amount]]/Log_2018[[#This Row],[Split_raw]]*MAX(0,MIN(_xlfn.DAYS(EDATE(Z$1,1),Log_2018[[#This Row],[Date]]),Log_2018[[#This Row],[Split_apply]])) - SUM($O453:Y453)</f>
        <v>0</v>
      </c>
      <c r="AA453" s="52">
        <f ca="1">Log_2018[[#This Row],[Amount]]/Log_2018[[#This Row],[Split_raw]]*MAX(0,MIN(_xlfn.DAYS(EDATE(AA$1,1),Log_2018[[#This Row],[Date]]),Log_2018[[#This Row],[Split_apply]])) - SUM($O453:Z453)</f>
        <v>0</v>
      </c>
      <c r="AB453" s="54">
        <f ca="1">Log_2018[[#This Row],[Amount]]-SUM(O453:AA453)</f>
        <v>0</v>
      </c>
      <c r="AC453" s="7">
        <f ca="1">MAX(0,Log_2018[[#This Row],[Split_apply]] - (EDATE(AA$1,1)-Log_2018[[#This Row],[Date]]))</f>
        <v>0</v>
      </c>
    </row>
    <row r="454" spans="1:29" hidden="1" x14ac:dyDescent="0.25">
      <c r="A454" s="115"/>
      <c r="B454" t="s">
        <v>6</v>
      </c>
      <c r="D454" s="26">
        <v>43249</v>
      </c>
      <c r="E454" t="s">
        <v>251</v>
      </c>
      <c r="F454" t="s">
        <v>246</v>
      </c>
      <c r="G454" t="s">
        <v>143</v>
      </c>
      <c r="H454" s="3">
        <v>-8.65</v>
      </c>
      <c r="I454" s="36">
        <f>IF(Log_2018[[#This Row],[My Category]]="NONTRACKED",0,Log_2018[[#This Row],[Raw Amount]])</f>
        <v>-8.65</v>
      </c>
      <c r="J454" s="17">
        <f>ABS(Log_2018[[#This Row],[Amount]])</f>
        <v>8.65</v>
      </c>
      <c r="K454" s="66">
        <v>30</v>
      </c>
      <c r="L454" s="66">
        <f ca="1">IF(Log_2018[[#This Row],[Date]]&lt;=TODAY(), MIN(Log_2018[[#This Row],[Split_raw]], TODAY()-Log_2018[[#This Row],[Date]]+1), 0)</f>
        <v>30</v>
      </c>
      <c r="M454" t="s">
        <v>53</v>
      </c>
      <c r="N454" t="s">
        <v>160</v>
      </c>
      <c r="O454" s="50">
        <v>0</v>
      </c>
      <c r="P454" s="52">
        <f ca="1">Log_2018[[#This Row],[Amount]]/Log_2018[[#This Row],[Split_raw]]*MAX(0,MIN(_xlfn.DAYS(EDATE(P$1,1),Log_2018[[#This Row],[Date]]),Log_2018[[#This Row],[Split_apply]])) - SUM($O454:O454)</f>
        <v>0</v>
      </c>
      <c r="Q454" s="52">
        <f ca="1">Log_2018[[#This Row],[Amount]]/Log_2018[[#This Row],[Split_raw]]*MAX(0,MIN(_xlfn.DAYS(EDATE(Q$1,1),Log_2018[[#This Row],[Date]]),Log_2018[[#This Row],[Split_apply]])) - SUM($O454:P454)</f>
        <v>0</v>
      </c>
      <c r="R454" s="52">
        <f ca="1">Log_2018[[#This Row],[Amount]]/Log_2018[[#This Row],[Split_raw]]*MAX(0,MIN(_xlfn.DAYS(EDATE(R$1,1),Log_2018[[#This Row],[Date]]),Log_2018[[#This Row],[Split_apply]])) - SUM($O454:Q454)</f>
        <v>0</v>
      </c>
      <c r="S454" s="52">
        <f ca="1">Log_2018[[#This Row],[Amount]]/Log_2018[[#This Row],[Split_raw]]*MAX(0,MIN(_xlfn.DAYS(EDATE(S$1,1),Log_2018[[#This Row],[Date]]),Log_2018[[#This Row],[Split_apply]])) - SUM($O454:R454)</f>
        <v>0</v>
      </c>
      <c r="T454" s="52">
        <f ca="1">Log_2018[[#This Row],[Amount]]/Log_2018[[#This Row],[Split_raw]]*MAX(0,MIN(_xlfn.DAYS(EDATE(T$1,1),Log_2018[[#This Row],[Date]]),Log_2018[[#This Row],[Split_apply]])) - SUM($O454:S454)</f>
        <v>-0.86499999999999999</v>
      </c>
      <c r="U454" s="52">
        <f ca="1">Log_2018[[#This Row],[Amount]]/Log_2018[[#This Row],[Split_raw]]*MAX(0,MIN(_xlfn.DAYS(EDATE(U$1,1),Log_2018[[#This Row],[Date]]),Log_2018[[#This Row],[Split_apply]])) - SUM($O454:T454)</f>
        <v>-7.7850000000000001</v>
      </c>
      <c r="V454" s="52">
        <f ca="1">Log_2018[[#This Row],[Amount]]/Log_2018[[#This Row],[Split_raw]]*MAX(0,MIN(_xlfn.DAYS(EDATE(V$1,1),Log_2018[[#This Row],[Date]]),Log_2018[[#This Row],[Split_apply]])) - SUM($O454:U454)</f>
        <v>0</v>
      </c>
      <c r="W454" s="52">
        <f ca="1">Log_2018[[#This Row],[Amount]]/Log_2018[[#This Row],[Split_raw]]*MAX(0,MIN(_xlfn.DAYS(EDATE(W$1,1),Log_2018[[#This Row],[Date]]),Log_2018[[#This Row],[Split_apply]])) - SUM($O454:V454)</f>
        <v>0</v>
      </c>
      <c r="X454" s="52">
        <f ca="1">Log_2018[[#This Row],[Amount]]/Log_2018[[#This Row],[Split_raw]]*MAX(0,MIN(_xlfn.DAYS(EDATE(X$1,1),Log_2018[[#This Row],[Date]]),Log_2018[[#This Row],[Split_apply]])) - SUM($O454:W454)</f>
        <v>0</v>
      </c>
      <c r="Y454" s="52">
        <f ca="1">Log_2018[[#This Row],[Amount]]/Log_2018[[#This Row],[Split_raw]]*MAX(0,MIN(_xlfn.DAYS(EDATE(Y$1,1),Log_2018[[#This Row],[Date]]),Log_2018[[#This Row],[Split_apply]])) - SUM($O454:X454)</f>
        <v>0</v>
      </c>
      <c r="Z454" s="52">
        <f ca="1">Log_2018[[#This Row],[Amount]]/Log_2018[[#This Row],[Split_raw]]*MAX(0,MIN(_xlfn.DAYS(EDATE(Z$1,1),Log_2018[[#This Row],[Date]]),Log_2018[[#This Row],[Split_apply]])) - SUM($O454:Y454)</f>
        <v>0</v>
      </c>
      <c r="AA454" s="52">
        <f ca="1">Log_2018[[#This Row],[Amount]]/Log_2018[[#This Row],[Split_raw]]*MAX(0,MIN(_xlfn.DAYS(EDATE(AA$1,1),Log_2018[[#This Row],[Date]]),Log_2018[[#This Row],[Split_apply]])) - SUM($O454:Z454)</f>
        <v>0</v>
      </c>
      <c r="AB454" s="54">
        <f ca="1">Log_2018[[#This Row],[Amount]]-SUM(O454:AA454)</f>
        <v>0</v>
      </c>
      <c r="AC454" s="7">
        <f ca="1">MAX(0,Log_2018[[#This Row],[Split_apply]] - (EDATE(AA$1,1)-Log_2018[[#This Row],[Date]]))</f>
        <v>0</v>
      </c>
    </row>
    <row r="455" spans="1:29" hidden="1" x14ac:dyDescent="0.25">
      <c r="A455" s="115"/>
      <c r="B455" t="s">
        <v>6</v>
      </c>
      <c r="D455" s="26">
        <v>43248</v>
      </c>
      <c r="E455" t="s">
        <v>296</v>
      </c>
      <c r="F455" t="s">
        <v>280</v>
      </c>
      <c r="G455" t="s">
        <v>13</v>
      </c>
      <c r="H455" s="3">
        <v>-68.349999999999994</v>
      </c>
      <c r="I455" s="36">
        <f>IF(Log_2018[[#This Row],[My Category]]="NONTRACKED",0,Log_2018[[#This Row],[Raw Amount]])</f>
        <v>-68.349999999999994</v>
      </c>
      <c r="J455" s="17">
        <f>ABS(Log_2018[[#This Row],[Amount]])</f>
        <v>68.349999999999994</v>
      </c>
      <c r="K455" s="66">
        <v>1</v>
      </c>
      <c r="L455" s="66">
        <f ca="1">IF(Log_2018[[#This Row],[Date]]&lt;=TODAY(), MIN(Log_2018[[#This Row],[Split_raw]], TODAY()-Log_2018[[#This Row],[Date]]+1), 0)</f>
        <v>1</v>
      </c>
      <c r="M455" t="s">
        <v>42</v>
      </c>
      <c r="N455" t="s">
        <v>158</v>
      </c>
      <c r="O455" s="50">
        <v>0</v>
      </c>
      <c r="P455" s="52">
        <f ca="1">Log_2018[[#This Row],[Amount]]/Log_2018[[#This Row],[Split_raw]]*MAX(0,MIN(_xlfn.DAYS(EDATE(P$1,1),Log_2018[[#This Row],[Date]]),Log_2018[[#This Row],[Split_apply]])) - SUM($O455:O455)</f>
        <v>0</v>
      </c>
      <c r="Q455" s="52">
        <f ca="1">Log_2018[[#This Row],[Amount]]/Log_2018[[#This Row],[Split_raw]]*MAX(0,MIN(_xlfn.DAYS(EDATE(Q$1,1),Log_2018[[#This Row],[Date]]),Log_2018[[#This Row],[Split_apply]])) - SUM($O455:P455)</f>
        <v>0</v>
      </c>
      <c r="R455" s="52">
        <f ca="1">Log_2018[[#This Row],[Amount]]/Log_2018[[#This Row],[Split_raw]]*MAX(0,MIN(_xlfn.DAYS(EDATE(R$1,1),Log_2018[[#This Row],[Date]]),Log_2018[[#This Row],[Split_apply]])) - SUM($O455:Q455)</f>
        <v>0</v>
      </c>
      <c r="S455" s="52">
        <f ca="1">Log_2018[[#This Row],[Amount]]/Log_2018[[#This Row],[Split_raw]]*MAX(0,MIN(_xlfn.DAYS(EDATE(S$1,1),Log_2018[[#This Row],[Date]]),Log_2018[[#This Row],[Split_apply]])) - SUM($O455:R455)</f>
        <v>0</v>
      </c>
      <c r="T455" s="52">
        <f ca="1">Log_2018[[#This Row],[Amount]]/Log_2018[[#This Row],[Split_raw]]*MAX(0,MIN(_xlfn.DAYS(EDATE(T$1,1),Log_2018[[#This Row],[Date]]),Log_2018[[#This Row],[Split_apply]])) - SUM($O455:S455)</f>
        <v>-68.349999999999994</v>
      </c>
      <c r="U455" s="52">
        <f ca="1">Log_2018[[#This Row],[Amount]]/Log_2018[[#This Row],[Split_raw]]*MAX(0,MIN(_xlfn.DAYS(EDATE(U$1,1),Log_2018[[#This Row],[Date]]),Log_2018[[#This Row],[Split_apply]])) - SUM($O455:T455)</f>
        <v>0</v>
      </c>
      <c r="V455" s="52">
        <f ca="1">Log_2018[[#This Row],[Amount]]/Log_2018[[#This Row],[Split_raw]]*MAX(0,MIN(_xlfn.DAYS(EDATE(V$1,1),Log_2018[[#This Row],[Date]]),Log_2018[[#This Row],[Split_apply]])) - SUM($O455:U455)</f>
        <v>0</v>
      </c>
      <c r="W455" s="52">
        <f ca="1">Log_2018[[#This Row],[Amount]]/Log_2018[[#This Row],[Split_raw]]*MAX(0,MIN(_xlfn.DAYS(EDATE(W$1,1),Log_2018[[#This Row],[Date]]),Log_2018[[#This Row],[Split_apply]])) - SUM($O455:V455)</f>
        <v>0</v>
      </c>
      <c r="X455" s="52">
        <f ca="1">Log_2018[[#This Row],[Amount]]/Log_2018[[#This Row],[Split_raw]]*MAX(0,MIN(_xlfn.DAYS(EDATE(X$1,1),Log_2018[[#This Row],[Date]]),Log_2018[[#This Row],[Split_apply]])) - SUM($O455:W455)</f>
        <v>0</v>
      </c>
      <c r="Y455" s="52">
        <f ca="1">Log_2018[[#This Row],[Amount]]/Log_2018[[#This Row],[Split_raw]]*MAX(0,MIN(_xlfn.DAYS(EDATE(Y$1,1),Log_2018[[#This Row],[Date]]),Log_2018[[#This Row],[Split_apply]])) - SUM($O455:X455)</f>
        <v>0</v>
      </c>
      <c r="Z455" s="52">
        <f ca="1">Log_2018[[#This Row],[Amount]]/Log_2018[[#This Row],[Split_raw]]*MAX(0,MIN(_xlfn.DAYS(EDATE(Z$1,1),Log_2018[[#This Row],[Date]]),Log_2018[[#This Row],[Split_apply]])) - SUM($O455:Y455)</f>
        <v>0</v>
      </c>
      <c r="AA455" s="52">
        <f ca="1">Log_2018[[#This Row],[Amount]]/Log_2018[[#This Row],[Split_raw]]*MAX(0,MIN(_xlfn.DAYS(EDATE(AA$1,1),Log_2018[[#This Row],[Date]]),Log_2018[[#This Row],[Split_apply]])) - SUM($O455:Z455)</f>
        <v>0</v>
      </c>
      <c r="AB455" s="54">
        <f ca="1">Log_2018[[#This Row],[Amount]]-SUM(O455:AA455)</f>
        <v>0</v>
      </c>
      <c r="AC455" s="7">
        <f ca="1">MAX(0,Log_2018[[#This Row],[Split_apply]] - (EDATE(AA$1,1)-Log_2018[[#This Row],[Date]]))</f>
        <v>0</v>
      </c>
    </row>
    <row r="456" spans="1:29" hidden="1" x14ac:dyDescent="0.25">
      <c r="A456" s="115"/>
      <c r="B456" t="s">
        <v>6</v>
      </c>
      <c r="D456" s="26">
        <v>43248</v>
      </c>
      <c r="E456" t="s">
        <v>296</v>
      </c>
      <c r="F456" t="s">
        <v>282</v>
      </c>
      <c r="G456" t="s">
        <v>12</v>
      </c>
      <c r="H456" s="3">
        <v>-57.11</v>
      </c>
      <c r="I456" s="36">
        <f>IF(Log_2018[[#This Row],[My Category]]="NONTRACKED",0,Log_2018[[#This Row],[Raw Amount]])</f>
        <v>-57.11</v>
      </c>
      <c r="J456" s="17">
        <f>ABS(Log_2018[[#This Row],[Amount]])</f>
        <v>57.11</v>
      </c>
      <c r="K456" s="66">
        <v>1</v>
      </c>
      <c r="L456" s="66">
        <f ca="1">IF(Log_2018[[#This Row],[Date]]&lt;=TODAY(), MIN(Log_2018[[#This Row],[Split_raw]], TODAY()-Log_2018[[#This Row],[Date]]+1), 0)</f>
        <v>1</v>
      </c>
      <c r="M456" t="s">
        <v>42</v>
      </c>
      <c r="N456" t="s">
        <v>158</v>
      </c>
      <c r="O456" s="50">
        <v>0</v>
      </c>
      <c r="P456" s="52">
        <f ca="1">Log_2018[[#This Row],[Amount]]/Log_2018[[#This Row],[Split_raw]]*MAX(0,MIN(_xlfn.DAYS(EDATE(P$1,1),Log_2018[[#This Row],[Date]]),Log_2018[[#This Row],[Split_apply]])) - SUM($O456:O456)</f>
        <v>0</v>
      </c>
      <c r="Q456" s="52">
        <f ca="1">Log_2018[[#This Row],[Amount]]/Log_2018[[#This Row],[Split_raw]]*MAX(0,MIN(_xlfn.DAYS(EDATE(Q$1,1),Log_2018[[#This Row],[Date]]),Log_2018[[#This Row],[Split_apply]])) - SUM($O456:P456)</f>
        <v>0</v>
      </c>
      <c r="R456" s="52">
        <f ca="1">Log_2018[[#This Row],[Amount]]/Log_2018[[#This Row],[Split_raw]]*MAX(0,MIN(_xlfn.DAYS(EDATE(R$1,1),Log_2018[[#This Row],[Date]]),Log_2018[[#This Row],[Split_apply]])) - SUM($O456:Q456)</f>
        <v>0</v>
      </c>
      <c r="S456" s="52">
        <f ca="1">Log_2018[[#This Row],[Amount]]/Log_2018[[#This Row],[Split_raw]]*MAX(0,MIN(_xlfn.DAYS(EDATE(S$1,1),Log_2018[[#This Row],[Date]]),Log_2018[[#This Row],[Split_apply]])) - SUM($O456:R456)</f>
        <v>0</v>
      </c>
      <c r="T456" s="52">
        <f ca="1">Log_2018[[#This Row],[Amount]]/Log_2018[[#This Row],[Split_raw]]*MAX(0,MIN(_xlfn.DAYS(EDATE(T$1,1),Log_2018[[#This Row],[Date]]),Log_2018[[#This Row],[Split_apply]])) - SUM($O456:S456)</f>
        <v>-57.11</v>
      </c>
      <c r="U456" s="52">
        <f ca="1">Log_2018[[#This Row],[Amount]]/Log_2018[[#This Row],[Split_raw]]*MAX(0,MIN(_xlfn.DAYS(EDATE(U$1,1),Log_2018[[#This Row],[Date]]),Log_2018[[#This Row],[Split_apply]])) - SUM($O456:T456)</f>
        <v>0</v>
      </c>
      <c r="V456" s="52">
        <f ca="1">Log_2018[[#This Row],[Amount]]/Log_2018[[#This Row],[Split_raw]]*MAX(0,MIN(_xlfn.DAYS(EDATE(V$1,1),Log_2018[[#This Row],[Date]]),Log_2018[[#This Row],[Split_apply]])) - SUM($O456:U456)</f>
        <v>0</v>
      </c>
      <c r="W456" s="52">
        <f ca="1">Log_2018[[#This Row],[Amount]]/Log_2018[[#This Row],[Split_raw]]*MAX(0,MIN(_xlfn.DAYS(EDATE(W$1,1),Log_2018[[#This Row],[Date]]),Log_2018[[#This Row],[Split_apply]])) - SUM($O456:V456)</f>
        <v>0</v>
      </c>
      <c r="X456" s="52">
        <f ca="1">Log_2018[[#This Row],[Amount]]/Log_2018[[#This Row],[Split_raw]]*MAX(0,MIN(_xlfn.DAYS(EDATE(X$1,1),Log_2018[[#This Row],[Date]]),Log_2018[[#This Row],[Split_apply]])) - SUM($O456:W456)</f>
        <v>0</v>
      </c>
      <c r="Y456" s="52">
        <f ca="1">Log_2018[[#This Row],[Amount]]/Log_2018[[#This Row],[Split_raw]]*MAX(0,MIN(_xlfn.DAYS(EDATE(Y$1,1),Log_2018[[#This Row],[Date]]),Log_2018[[#This Row],[Split_apply]])) - SUM($O456:X456)</f>
        <v>0</v>
      </c>
      <c r="Z456" s="52">
        <f ca="1">Log_2018[[#This Row],[Amount]]/Log_2018[[#This Row],[Split_raw]]*MAX(0,MIN(_xlfn.DAYS(EDATE(Z$1,1),Log_2018[[#This Row],[Date]]),Log_2018[[#This Row],[Split_apply]])) - SUM($O456:Y456)</f>
        <v>0</v>
      </c>
      <c r="AA456" s="52">
        <f ca="1">Log_2018[[#This Row],[Amount]]/Log_2018[[#This Row],[Split_raw]]*MAX(0,MIN(_xlfn.DAYS(EDATE(AA$1,1),Log_2018[[#This Row],[Date]]),Log_2018[[#This Row],[Split_apply]])) - SUM($O456:Z456)</f>
        <v>0</v>
      </c>
      <c r="AB456" s="54">
        <f ca="1">Log_2018[[#This Row],[Amount]]-SUM(O456:AA456)</f>
        <v>0</v>
      </c>
      <c r="AC456" s="7">
        <f ca="1">MAX(0,Log_2018[[#This Row],[Split_apply]] - (EDATE(AA$1,1)-Log_2018[[#This Row],[Date]]))</f>
        <v>0</v>
      </c>
    </row>
    <row r="457" spans="1:29" hidden="1" x14ac:dyDescent="0.25">
      <c r="A457" s="115"/>
      <c r="B457" t="s">
        <v>6</v>
      </c>
      <c r="D457" s="39">
        <v>43248</v>
      </c>
      <c r="E457" t="s">
        <v>296</v>
      </c>
      <c r="F457" t="s">
        <v>281</v>
      </c>
      <c r="G457" t="s">
        <v>11</v>
      </c>
      <c r="H457" s="3">
        <v>-73.19</v>
      </c>
      <c r="I457" s="36">
        <f>IF(Log_2018[[#This Row],[My Category]]="NONTRACKED",0,Log_2018[[#This Row],[Raw Amount]])</f>
        <v>-73.19</v>
      </c>
      <c r="J457" s="17">
        <f>ABS(Log_2018[[#This Row],[Amount]])</f>
        <v>73.19</v>
      </c>
      <c r="K457" s="66">
        <v>1</v>
      </c>
      <c r="L457" s="66">
        <f ca="1">IF(Log_2018[[#This Row],[Date]]&lt;=TODAY(), MIN(Log_2018[[#This Row],[Split_raw]], TODAY()-Log_2018[[#This Row],[Date]]+1), 0)</f>
        <v>1</v>
      </c>
      <c r="M457" t="s">
        <v>42</v>
      </c>
      <c r="N457" t="s">
        <v>158</v>
      </c>
      <c r="O457" s="50">
        <v>0</v>
      </c>
      <c r="P457" s="52">
        <f ca="1">Log_2018[[#This Row],[Amount]]/Log_2018[[#This Row],[Split_raw]]*MAX(0,MIN(_xlfn.DAYS(EDATE(P$1,1),Log_2018[[#This Row],[Date]]),Log_2018[[#This Row],[Split_apply]])) - SUM($O457:O457)</f>
        <v>0</v>
      </c>
      <c r="Q457" s="52">
        <f ca="1">Log_2018[[#This Row],[Amount]]/Log_2018[[#This Row],[Split_raw]]*MAX(0,MIN(_xlfn.DAYS(EDATE(Q$1,1),Log_2018[[#This Row],[Date]]),Log_2018[[#This Row],[Split_apply]])) - SUM($O457:P457)</f>
        <v>0</v>
      </c>
      <c r="R457" s="52">
        <f ca="1">Log_2018[[#This Row],[Amount]]/Log_2018[[#This Row],[Split_raw]]*MAX(0,MIN(_xlfn.DAYS(EDATE(R$1,1),Log_2018[[#This Row],[Date]]),Log_2018[[#This Row],[Split_apply]])) - SUM($O457:Q457)</f>
        <v>0</v>
      </c>
      <c r="S457" s="52">
        <f ca="1">Log_2018[[#This Row],[Amount]]/Log_2018[[#This Row],[Split_raw]]*MAX(0,MIN(_xlfn.DAYS(EDATE(S$1,1),Log_2018[[#This Row],[Date]]),Log_2018[[#This Row],[Split_apply]])) - SUM($O457:R457)</f>
        <v>0</v>
      </c>
      <c r="T457" s="52">
        <f ca="1">Log_2018[[#This Row],[Amount]]/Log_2018[[#This Row],[Split_raw]]*MAX(0,MIN(_xlfn.DAYS(EDATE(T$1,1),Log_2018[[#This Row],[Date]]),Log_2018[[#This Row],[Split_apply]])) - SUM($O457:S457)</f>
        <v>-73.19</v>
      </c>
      <c r="U457" s="52">
        <f ca="1">Log_2018[[#This Row],[Amount]]/Log_2018[[#This Row],[Split_raw]]*MAX(0,MIN(_xlfn.DAYS(EDATE(U$1,1),Log_2018[[#This Row],[Date]]),Log_2018[[#This Row],[Split_apply]])) - SUM($O457:T457)</f>
        <v>0</v>
      </c>
      <c r="V457" s="52">
        <f ca="1">Log_2018[[#This Row],[Amount]]/Log_2018[[#This Row],[Split_raw]]*MAX(0,MIN(_xlfn.DAYS(EDATE(V$1,1),Log_2018[[#This Row],[Date]]),Log_2018[[#This Row],[Split_apply]])) - SUM($O457:U457)</f>
        <v>0</v>
      </c>
      <c r="W457" s="52">
        <f ca="1">Log_2018[[#This Row],[Amount]]/Log_2018[[#This Row],[Split_raw]]*MAX(0,MIN(_xlfn.DAYS(EDATE(W$1,1),Log_2018[[#This Row],[Date]]),Log_2018[[#This Row],[Split_apply]])) - SUM($O457:V457)</f>
        <v>0</v>
      </c>
      <c r="X457" s="52">
        <f ca="1">Log_2018[[#This Row],[Amount]]/Log_2018[[#This Row],[Split_raw]]*MAX(0,MIN(_xlfn.DAYS(EDATE(X$1,1),Log_2018[[#This Row],[Date]]),Log_2018[[#This Row],[Split_apply]])) - SUM($O457:W457)</f>
        <v>0</v>
      </c>
      <c r="Y457" s="52">
        <f ca="1">Log_2018[[#This Row],[Amount]]/Log_2018[[#This Row],[Split_raw]]*MAX(0,MIN(_xlfn.DAYS(EDATE(Y$1,1),Log_2018[[#This Row],[Date]]),Log_2018[[#This Row],[Split_apply]])) - SUM($O457:X457)</f>
        <v>0</v>
      </c>
      <c r="Z457" s="52">
        <f ca="1">Log_2018[[#This Row],[Amount]]/Log_2018[[#This Row],[Split_raw]]*MAX(0,MIN(_xlfn.DAYS(EDATE(Z$1,1),Log_2018[[#This Row],[Date]]),Log_2018[[#This Row],[Split_apply]])) - SUM($O457:Y457)</f>
        <v>0</v>
      </c>
      <c r="AA457" s="52">
        <f ca="1">Log_2018[[#This Row],[Amount]]/Log_2018[[#This Row],[Split_raw]]*MAX(0,MIN(_xlfn.DAYS(EDATE(AA$1,1),Log_2018[[#This Row],[Date]]),Log_2018[[#This Row],[Split_apply]])) - SUM($O457:Z457)</f>
        <v>0</v>
      </c>
      <c r="AB457" s="54">
        <f ca="1">Log_2018[[#This Row],[Amount]]-SUM(O457:AA457)</f>
        <v>0</v>
      </c>
      <c r="AC457" s="7">
        <f ca="1">MAX(0,Log_2018[[#This Row],[Split_apply]] - (EDATE(AA$1,1)-Log_2018[[#This Row],[Date]]))</f>
        <v>0</v>
      </c>
    </row>
    <row r="458" spans="1:29" hidden="1" x14ac:dyDescent="0.25">
      <c r="A458" s="115"/>
      <c r="B458" t="s">
        <v>6</v>
      </c>
      <c r="D458" s="39">
        <v>43246</v>
      </c>
      <c r="F458" t="s">
        <v>283</v>
      </c>
      <c r="G458" t="s">
        <v>25</v>
      </c>
      <c r="H458" s="3">
        <v>-5.46</v>
      </c>
      <c r="I458" s="36">
        <f>IF(Log_2018[[#This Row],[My Category]]="NONTRACKED",0,Log_2018[[#This Row],[Raw Amount]])</f>
        <v>-5.46</v>
      </c>
      <c r="J458" s="17">
        <f>ABS(Log_2018[[#This Row],[Amount]])</f>
        <v>5.46</v>
      </c>
      <c r="K458" s="66">
        <v>1</v>
      </c>
      <c r="L458" s="66">
        <f ca="1">IF(Log_2018[[#This Row],[Date]]&lt;=TODAY(), MIN(Log_2018[[#This Row],[Split_raw]], TODAY()-Log_2018[[#This Row],[Date]]+1), 0)</f>
        <v>1</v>
      </c>
      <c r="M458" t="s">
        <v>35</v>
      </c>
      <c r="N458" t="s">
        <v>158</v>
      </c>
      <c r="O458" s="50">
        <v>0</v>
      </c>
      <c r="P458" s="52">
        <f ca="1">Log_2018[[#This Row],[Amount]]/Log_2018[[#This Row],[Split_raw]]*MAX(0,MIN(_xlfn.DAYS(EDATE(P$1,1),Log_2018[[#This Row],[Date]]),Log_2018[[#This Row],[Split_apply]])) - SUM($O458:O458)</f>
        <v>0</v>
      </c>
      <c r="Q458" s="52">
        <f ca="1">Log_2018[[#This Row],[Amount]]/Log_2018[[#This Row],[Split_raw]]*MAX(0,MIN(_xlfn.DAYS(EDATE(Q$1,1),Log_2018[[#This Row],[Date]]),Log_2018[[#This Row],[Split_apply]])) - SUM($O458:P458)</f>
        <v>0</v>
      </c>
      <c r="R458" s="52">
        <f ca="1">Log_2018[[#This Row],[Amount]]/Log_2018[[#This Row],[Split_raw]]*MAX(0,MIN(_xlfn.DAYS(EDATE(R$1,1),Log_2018[[#This Row],[Date]]),Log_2018[[#This Row],[Split_apply]])) - SUM($O458:Q458)</f>
        <v>0</v>
      </c>
      <c r="S458" s="52">
        <f ca="1">Log_2018[[#This Row],[Amount]]/Log_2018[[#This Row],[Split_raw]]*MAX(0,MIN(_xlfn.DAYS(EDATE(S$1,1),Log_2018[[#This Row],[Date]]),Log_2018[[#This Row],[Split_apply]])) - SUM($O458:R458)</f>
        <v>0</v>
      </c>
      <c r="T458" s="52">
        <f ca="1">Log_2018[[#This Row],[Amount]]/Log_2018[[#This Row],[Split_raw]]*MAX(0,MIN(_xlfn.DAYS(EDATE(T$1,1),Log_2018[[#This Row],[Date]]),Log_2018[[#This Row],[Split_apply]])) - SUM($O458:S458)</f>
        <v>-5.46</v>
      </c>
      <c r="U458" s="52">
        <f ca="1">Log_2018[[#This Row],[Amount]]/Log_2018[[#This Row],[Split_raw]]*MAX(0,MIN(_xlfn.DAYS(EDATE(U$1,1),Log_2018[[#This Row],[Date]]),Log_2018[[#This Row],[Split_apply]])) - SUM($O458:T458)</f>
        <v>0</v>
      </c>
      <c r="V458" s="52">
        <f ca="1">Log_2018[[#This Row],[Amount]]/Log_2018[[#This Row],[Split_raw]]*MAX(0,MIN(_xlfn.DAYS(EDATE(V$1,1),Log_2018[[#This Row],[Date]]),Log_2018[[#This Row],[Split_apply]])) - SUM($O458:U458)</f>
        <v>0</v>
      </c>
      <c r="W458" s="52">
        <f ca="1">Log_2018[[#This Row],[Amount]]/Log_2018[[#This Row],[Split_raw]]*MAX(0,MIN(_xlfn.DAYS(EDATE(W$1,1),Log_2018[[#This Row],[Date]]),Log_2018[[#This Row],[Split_apply]])) - SUM($O458:V458)</f>
        <v>0</v>
      </c>
      <c r="X458" s="52">
        <f ca="1">Log_2018[[#This Row],[Amount]]/Log_2018[[#This Row],[Split_raw]]*MAX(0,MIN(_xlfn.DAYS(EDATE(X$1,1),Log_2018[[#This Row],[Date]]),Log_2018[[#This Row],[Split_apply]])) - SUM($O458:W458)</f>
        <v>0</v>
      </c>
      <c r="Y458" s="52">
        <f ca="1">Log_2018[[#This Row],[Amount]]/Log_2018[[#This Row],[Split_raw]]*MAX(0,MIN(_xlfn.DAYS(EDATE(Y$1,1),Log_2018[[#This Row],[Date]]),Log_2018[[#This Row],[Split_apply]])) - SUM($O458:X458)</f>
        <v>0</v>
      </c>
      <c r="Z458" s="52">
        <f ca="1">Log_2018[[#This Row],[Amount]]/Log_2018[[#This Row],[Split_raw]]*MAX(0,MIN(_xlfn.DAYS(EDATE(Z$1,1),Log_2018[[#This Row],[Date]]),Log_2018[[#This Row],[Split_apply]])) - SUM($O458:Y458)</f>
        <v>0</v>
      </c>
      <c r="AA458" s="52">
        <f ca="1">Log_2018[[#This Row],[Amount]]/Log_2018[[#This Row],[Split_raw]]*MAX(0,MIN(_xlfn.DAYS(EDATE(AA$1,1),Log_2018[[#This Row],[Date]]),Log_2018[[#This Row],[Split_apply]])) - SUM($O458:Z458)</f>
        <v>0</v>
      </c>
      <c r="AB458" s="54">
        <f ca="1">Log_2018[[#This Row],[Amount]]-SUM(O458:AA458)</f>
        <v>0</v>
      </c>
      <c r="AC458" s="7">
        <f ca="1">MAX(0,Log_2018[[#This Row],[Split_apply]] - (EDATE(AA$1,1)-Log_2018[[#This Row],[Date]]))</f>
        <v>0</v>
      </c>
    </row>
    <row r="459" spans="1:29" hidden="1" x14ac:dyDescent="0.25">
      <c r="A459" s="115"/>
      <c r="B459" t="s">
        <v>6</v>
      </c>
      <c r="D459" s="39">
        <v>43245</v>
      </c>
      <c r="F459" t="s">
        <v>284</v>
      </c>
      <c r="G459" t="s">
        <v>25</v>
      </c>
      <c r="H459" s="3">
        <v>-10.9</v>
      </c>
      <c r="I459" s="36">
        <f>IF(Log_2018[[#This Row],[My Category]]="NONTRACKED",0,Log_2018[[#This Row],[Raw Amount]])</f>
        <v>-10.9</v>
      </c>
      <c r="J459" s="17">
        <f>ABS(Log_2018[[#This Row],[Amount]])</f>
        <v>10.9</v>
      </c>
      <c r="K459" s="66">
        <v>1</v>
      </c>
      <c r="L459" s="66">
        <f ca="1">IF(Log_2018[[#This Row],[Date]]&lt;=TODAY(), MIN(Log_2018[[#This Row],[Split_raw]], TODAY()-Log_2018[[#This Row],[Date]]+1), 0)</f>
        <v>1</v>
      </c>
      <c r="M459" t="s">
        <v>35</v>
      </c>
      <c r="N459" t="s">
        <v>158</v>
      </c>
      <c r="O459" s="50">
        <v>0</v>
      </c>
      <c r="P459" s="52">
        <f ca="1">Log_2018[[#This Row],[Amount]]/Log_2018[[#This Row],[Split_raw]]*MAX(0,MIN(_xlfn.DAYS(EDATE(P$1,1),Log_2018[[#This Row],[Date]]),Log_2018[[#This Row],[Split_apply]])) - SUM($O459:O459)</f>
        <v>0</v>
      </c>
      <c r="Q459" s="52">
        <f ca="1">Log_2018[[#This Row],[Amount]]/Log_2018[[#This Row],[Split_raw]]*MAX(0,MIN(_xlfn.DAYS(EDATE(Q$1,1),Log_2018[[#This Row],[Date]]),Log_2018[[#This Row],[Split_apply]])) - SUM($O459:P459)</f>
        <v>0</v>
      </c>
      <c r="R459" s="52">
        <f ca="1">Log_2018[[#This Row],[Amount]]/Log_2018[[#This Row],[Split_raw]]*MAX(0,MIN(_xlfn.DAYS(EDATE(R$1,1),Log_2018[[#This Row],[Date]]),Log_2018[[#This Row],[Split_apply]])) - SUM($O459:Q459)</f>
        <v>0</v>
      </c>
      <c r="S459" s="52">
        <f ca="1">Log_2018[[#This Row],[Amount]]/Log_2018[[#This Row],[Split_raw]]*MAX(0,MIN(_xlfn.DAYS(EDATE(S$1,1),Log_2018[[#This Row],[Date]]),Log_2018[[#This Row],[Split_apply]])) - SUM($O459:R459)</f>
        <v>0</v>
      </c>
      <c r="T459" s="52">
        <f ca="1">Log_2018[[#This Row],[Amount]]/Log_2018[[#This Row],[Split_raw]]*MAX(0,MIN(_xlfn.DAYS(EDATE(T$1,1),Log_2018[[#This Row],[Date]]),Log_2018[[#This Row],[Split_apply]])) - SUM($O459:S459)</f>
        <v>-10.9</v>
      </c>
      <c r="U459" s="52">
        <f ca="1">Log_2018[[#This Row],[Amount]]/Log_2018[[#This Row],[Split_raw]]*MAX(0,MIN(_xlfn.DAYS(EDATE(U$1,1),Log_2018[[#This Row],[Date]]),Log_2018[[#This Row],[Split_apply]])) - SUM($O459:T459)</f>
        <v>0</v>
      </c>
      <c r="V459" s="52">
        <f ca="1">Log_2018[[#This Row],[Amount]]/Log_2018[[#This Row],[Split_raw]]*MAX(0,MIN(_xlfn.DAYS(EDATE(V$1,1),Log_2018[[#This Row],[Date]]),Log_2018[[#This Row],[Split_apply]])) - SUM($O459:U459)</f>
        <v>0</v>
      </c>
      <c r="W459" s="52">
        <f ca="1">Log_2018[[#This Row],[Amount]]/Log_2018[[#This Row],[Split_raw]]*MAX(0,MIN(_xlfn.DAYS(EDATE(W$1,1),Log_2018[[#This Row],[Date]]),Log_2018[[#This Row],[Split_apply]])) - SUM($O459:V459)</f>
        <v>0</v>
      </c>
      <c r="X459" s="52">
        <f ca="1">Log_2018[[#This Row],[Amount]]/Log_2018[[#This Row],[Split_raw]]*MAX(0,MIN(_xlfn.DAYS(EDATE(X$1,1),Log_2018[[#This Row],[Date]]),Log_2018[[#This Row],[Split_apply]])) - SUM($O459:W459)</f>
        <v>0</v>
      </c>
      <c r="Y459" s="52">
        <f ca="1">Log_2018[[#This Row],[Amount]]/Log_2018[[#This Row],[Split_raw]]*MAX(0,MIN(_xlfn.DAYS(EDATE(Y$1,1),Log_2018[[#This Row],[Date]]),Log_2018[[#This Row],[Split_apply]])) - SUM($O459:X459)</f>
        <v>0</v>
      </c>
      <c r="Z459" s="52">
        <f ca="1">Log_2018[[#This Row],[Amount]]/Log_2018[[#This Row],[Split_raw]]*MAX(0,MIN(_xlfn.DAYS(EDATE(Z$1,1),Log_2018[[#This Row],[Date]]),Log_2018[[#This Row],[Split_apply]])) - SUM($O459:Y459)</f>
        <v>0</v>
      </c>
      <c r="AA459" s="52">
        <f ca="1">Log_2018[[#This Row],[Amount]]/Log_2018[[#This Row],[Split_raw]]*MAX(0,MIN(_xlfn.DAYS(EDATE(AA$1,1),Log_2018[[#This Row],[Date]]),Log_2018[[#This Row],[Split_apply]])) - SUM($O459:Z459)</f>
        <v>0</v>
      </c>
      <c r="AB459" s="54">
        <f ca="1">Log_2018[[#This Row],[Amount]]-SUM(O459:AA459)</f>
        <v>0</v>
      </c>
      <c r="AC459" s="7">
        <f ca="1">MAX(0,Log_2018[[#This Row],[Split_apply]] - (EDATE(AA$1,1)-Log_2018[[#This Row],[Date]]))</f>
        <v>0</v>
      </c>
    </row>
    <row r="460" spans="1:29" hidden="1" x14ac:dyDescent="0.25">
      <c r="A460" s="115"/>
      <c r="B460" t="s">
        <v>6</v>
      </c>
      <c r="D460" s="39">
        <v>43245</v>
      </c>
      <c r="F460" t="s">
        <v>285</v>
      </c>
      <c r="G460" t="s">
        <v>25</v>
      </c>
      <c r="H460" s="3">
        <v>-13</v>
      </c>
      <c r="I460" s="36">
        <f>IF(Log_2018[[#This Row],[My Category]]="NONTRACKED",0,Log_2018[[#This Row],[Raw Amount]])</f>
        <v>-13</v>
      </c>
      <c r="J460" s="17">
        <f>ABS(Log_2018[[#This Row],[Amount]])</f>
        <v>13</v>
      </c>
      <c r="K460" s="66">
        <v>1</v>
      </c>
      <c r="L460" s="66">
        <f ca="1">IF(Log_2018[[#This Row],[Date]]&lt;=TODAY(), MIN(Log_2018[[#This Row],[Split_raw]], TODAY()-Log_2018[[#This Row],[Date]]+1), 0)</f>
        <v>1</v>
      </c>
      <c r="M460" t="s">
        <v>40</v>
      </c>
      <c r="N460" t="s">
        <v>158</v>
      </c>
      <c r="O460" s="50">
        <v>0</v>
      </c>
      <c r="P460" s="52">
        <f ca="1">Log_2018[[#This Row],[Amount]]/Log_2018[[#This Row],[Split_raw]]*MAX(0,MIN(_xlfn.DAYS(EDATE(P$1,1),Log_2018[[#This Row],[Date]]),Log_2018[[#This Row],[Split_apply]])) - SUM($O460:O460)</f>
        <v>0</v>
      </c>
      <c r="Q460" s="52">
        <f ca="1">Log_2018[[#This Row],[Amount]]/Log_2018[[#This Row],[Split_raw]]*MAX(0,MIN(_xlfn.DAYS(EDATE(Q$1,1),Log_2018[[#This Row],[Date]]),Log_2018[[#This Row],[Split_apply]])) - SUM($O460:P460)</f>
        <v>0</v>
      </c>
      <c r="R460" s="52">
        <f ca="1">Log_2018[[#This Row],[Amount]]/Log_2018[[#This Row],[Split_raw]]*MAX(0,MIN(_xlfn.DAYS(EDATE(R$1,1),Log_2018[[#This Row],[Date]]),Log_2018[[#This Row],[Split_apply]])) - SUM($O460:Q460)</f>
        <v>0</v>
      </c>
      <c r="S460" s="52">
        <f ca="1">Log_2018[[#This Row],[Amount]]/Log_2018[[#This Row],[Split_raw]]*MAX(0,MIN(_xlfn.DAYS(EDATE(S$1,1),Log_2018[[#This Row],[Date]]),Log_2018[[#This Row],[Split_apply]])) - SUM($O460:R460)</f>
        <v>0</v>
      </c>
      <c r="T460" s="52">
        <f ca="1">Log_2018[[#This Row],[Amount]]/Log_2018[[#This Row],[Split_raw]]*MAX(0,MIN(_xlfn.DAYS(EDATE(T$1,1),Log_2018[[#This Row],[Date]]),Log_2018[[#This Row],[Split_apply]])) - SUM($O460:S460)</f>
        <v>-13</v>
      </c>
      <c r="U460" s="52">
        <f ca="1">Log_2018[[#This Row],[Amount]]/Log_2018[[#This Row],[Split_raw]]*MAX(0,MIN(_xlfn.DAYS(EDATE(U$1,1),Log_2018[[#This Row],[Date]]),Log_2018[[#This Row],[Split_apply]])) - SUM($O460:T460)</f>
        <v>0</v>
      </c>
      <c r="V460" s="52">
        <f ca="1">Log_2018[[#This Row],[Amount]]/Log_2018[[#This Row],[Split_raw]]*MAX(0,MIN(_xlfn.DAYS(EDATE(V$1,1),Log_2018[[#This Row],[Date]]),Log_2018[[#This Row],[Split_apply]])) - SUM($O460:U460)</f>
        <v>0</v>
      </c>
      <c r="W460" s="52">
        <f ca="1">Log_2018[[#This Row],[Amount]]/Log_2018[[#This Row],[Split_raw]]*MAX(0,MIN(_xlfn.DAYS(EDATE(W$1,1),Log_2018[[#This Row],[Date]]),Log_2018[[#This Row],[Split_apply]])) - SUM($O460:V460)</f>
        <v>0</v>
      </c>
      <c r="X460" s="52">
        <f ca="1">Log_2018[[#This Row],[Amount]]/Log_2018[[#This Row],[Split_raw]]*MAX(0,MIN(_xlfn.DAYS(EDATE(X$1,1),Log_2018[[#This Row],[Date]]),Log_2018[[#This Row],[Split_apply]])) - SUM($O460:W460)</f>
        <v>0</v>
      </c>
      <c r="Y460" s="52">
        <f ca="1">Log_2018[[#This Row],[Amount]]/Log_2018[[#This Row],[Split_raw]]*MAX(0,MIN(_xlfn.DAYS(EDATE(Y$1,1),Log_2018[[#This Row],[Date]]),Log_2018[[#This Row],[Split_apply]])) - SUM($O460:X460)</f>
        <v>0</v>
      </c>
      <c r="Z460" s="52">
        <f ca="1">Log_2018[[#This Row],[Amount]]/Log_2018[[#This Row],[Split_raw]]*MAX(0,MIN(_xlfn.DAYS(EDATE(Z$1,1),Log_2018[[#This Row],[Date]]),Log_2018[[#This Row],[Split_apply]])) - SUM($O460:Y460)</f>
        <v>0</v>
      </c>
      <c r="AA460" s="52">
        <f ca="1">Log_2018[[#This Row],[Amount]]/Log_2018[[#This Row],[Split_raw]]*MAX(0,MIN(_xlfn.DAYS(EDATE(AA$1,1),Log_2018[[#This Row],[Date]]),Log_2018[[#This Row],[Split_apply]])) - SUM($O460:Z460)</f>
        <v>0</v>
      </c>
      <c r="AB460" s="54">
        <f ca="1">Log_2018[[#This Row],[Amount]]-SUM(O460:AA460)</f>
        <v>0</v>
      </c>
      <c r="AC460" s="7">
        <f ca="1">MAX(0,Log_2018[[#This Row],[Split_apply]] - (EDATE(AA$1,1)-Log_2018[[#This Row],[Date]]))</f>
        <v>0</v>
      </c>
    </row>
    <row r="461" spans="1:29" hidden="1" x14ac:dyDescent="0.25">
      <c r="A461" s="115"/>
      <c r="B461" t="s">
        <v>6</v>
      </c>
      <c r="D461" s="39">
        <v>43245</v>
      </c>
      <c r="F461" t="s">
        <v>59</v>
      </c>
      <c r="G461" t="s">
        <v>25</v>
      </c>
      <c r="H461" s="3">
        <v>-7.94</v>
      </c>
      <c r="I461" s="36">
        <f>IF(Log_2018[[#This Row],[My Category]]="NONTRACKED",0,Log_2018[[#This Row],[Raw Amount]])</f>
        <v>-7.94</v>
      </c>
      <c r="J461" s="17">
        <f>ABS(Log_2018[[#This Row],[Amount]])</f>
        <v>7.94</v>
      </c>
      <c r="K461" s="66">
        <v>1</v>
      </c>
      <c r="L461" s="66">
        <f ca="1">IF(Log_2018[[#This Row],[Date]]&lt;=TODAY(), MIN(Log_2018[[#This Row],[Split_raw]], TODAY()-Log_2018[[#This Row],[Date]]+1), 0)</f>
        <v>1</v>
      </c>
      <c r="M461" t="s">
        <v>35</v>
      </c>
      <c r="N461" t="s">
        <v>158</v>
      </c>
      <c r="O461" s="50">
        <v>0</v>
      </c>
      <c r="P461" s="52">
        <f ca="1">Log_2018[[#This Row],[Amount]]/Log_2018[[#This Row],[Split_raw]]*MAX(0,MIN(_xlfn.DAYS(EDATE(P$1,1),Log_2018[[#This Row],[Date]]),Log_2018[[#This Row],[Split_apply]])) - SUM($O461:O461)</f>
        <v>0</v>
      </c>
      <c r="Q461" s="52">
        <f ca="1">Log_2018[[#This Row],[Amount]]/Log_2018[[#This Row],[Split_raw]]*MAX(0,MIN(_xlfn.DAYS(EDATE(Q$1,1),Log_2018[[#This Row],[Date]]),Log_2018[[#This Row],[Split_apply]])) - SUM($O461:P461)</f>
        <v>0</v>
      </c>
      <c r="R461" s="52">
        <f ca="1">Log_2018[[#This Row],[Amount]]/Log_2018[[#This Row],[Split_raw]]*MAX(0,MIN(_xlfn.DAYS(EDATE(R$1,1),Log_2018[[#This Row],[Date]]),Log_2018[[#This Row],[Split_apply]])) - SUM($O461:Q461)</f>
        <v>0</v>
      </c>
      <c r="S461" s="52">
        <f ca="1">Log_2018[[#This Row],[Amount]]/Log_2018[[#This Row],[Split_raw]]*MAX(0,MIN(_xlfn.DAYS(EDATE(S$1,1),Log_2018[[#This Row],[Date]]),Log_2018[[#This Row],[Split_apply]])) - SUM($O461:R461)</f>
        <v>0</v>
      </c>
      <c r="T461" s="52">
        <f ca="1">Log_2018[[#This Row],[Amount]]/Log_2018[[#This Row],[Split_raw]]*MAX(0,MIN(_xlfn.DAYS(EDATE(T$1,1),Log_2018[[#This Row],[Date]]),Log_2018[[#This Row],[Split_apply]])) - SUM($O461:S461)</f>
        <v>-7.94</v>
      </c>
      <c r="U461" s="52">
        <f ca="1">Log_2018[[#This Row],[Amount]]/Log_2018[[#This Row],[Split_raw]]*MAX(0,MIN(_xlfn.DAYS(EDATE(U$1,1),Log_2018[[#This Row],[Date]]),Log_2018[[#This Row],[Split_apply]])) - SUM($O461:T461)</f>
        <v>0</v>
      </c>
      <c r="V461" s="52">
        <f ca="1">Log_2018[[#This Row],[Amount]]/Log_2018[[#This Row],[Split_raw]]*MAX(0,MIN(_xlfn.DAYS(EDATE(V$1,1),Log_2018[[#This Row],[Date]]),Log_2018[[#This Row],[Split_apply]])) - SUM($O461:U461)</f>
        <v>0</v>
      </c>
      <c r="W461" s="52">
        <f ca="1">Log_2018[[#This Row],[Amount]]/Log_2018[[#This Row],[Split_raw]]*MAX(0,MIN(_xlfn.DAYS(EDATE(W$1,1),Log_2018[[#This Row],[Date]]),Log_2018[[#This Row],[Split_apply]])) - SUM($O461:V461)</f>
        <v>0</v>
      </c>
      <c r="X461" s="52">
        <f ca="1">Log_2018[[#This Row],[Amount]]/Log_2018[[#This Row],[Split_raw]]*MAX(0,MIN(_xlfn.DAYS(EDATE(X$1,1),Log_2018[[#This Row],[Date]]),Log_2018[[#This Row],[Split_apply]])) - SUM($O461:W461)</f>
        <v>0</v>
      </c>
      <c r="Y461" s="52">
        <f ca="1">Log_2018[[#This Row],[Amount]]/Log_2018[[#This Row],[Split_raw]]*MAX(0,MIN(_xlfn.DAYS(EDATE(Y$1,1),Log_2018[[#This Row],[Date]]),Log_2018[[#This Row],[Split_apply]])) - SUM($O461:X461)</f>
        <v>0</v>
      </c>
      <c r="Z461" s="52">
        <f ca="1">Log_2018[[#This Row],[Amount]]/Log_2018[[#This Row],[Split_raw]]*MAX(0,MIN(_xlfn.DAYS(EDATE(Z$1,1),Log_2018[[#This Row],[Date]]),Log_2018[[#This Row],[Split_apply]])) - SUM($O461:Y461)</f>
        <v>0</v>
      </c>
      <c r="AA461" s="52">
        <f ca="1">Log_2018[[#This Row],[Amount]]/Log_2018[[#This Row],[Split_raw]]*MAX(0,MIN(_xlfn.DAYS(EDATE(AA$1,1),Log_2018[[#This Row],[Date]]),Log_2018[[#This Row],[Split_apply]])) - SUM($O461:Z461)</f>
        <v>0</v>
      </c>
      <c r="AB461" s="54">
        <f ca="1">Log_2018[[#This Row],[Amount]]-SUM(O461:AA461)</f>
        <v>0</v>
      </c>
      <c r="AC461" s="7">
        <f ca="1">MAX(0,Log_2018[[#This Row],[Split_apply]] - (EDATE(AA$1,1)-Log_2018[[#This Row],[Date]]))</f>
        <v>0</v>
      </c>
    </row>
    <row r="462" spans="1:29" hidden="1" x14ac:dyDescent="0.25">
      <c r="A462" s="115"/>
      <c r="B462" t="s">
        <v>6</v>
      </c>
      <c r="D462" s="39">
        <v>43244</v>
      </c>
      <c r="F462" t="s">
        <v>287</v>
      </c>
      <c r="G462" t="s">
        <v>9</v>
      </c>
      <c r="H462" s="3">
        <v>-8</v>
      </c>
      <c r="I462" s="36">
        <f>IF(Log_2018[[#This Row],[My Category]]="NONTRACKED",0,Log_2018[[#This Row],[Raw Amount]])</f>
        <v>-8</v>
      </c>
      <c r="J462" s="17">
        <f>ABS(Log_2018[[#This Row],[Amount]])</f>
        <v>8</v>
      </c>
      <c r="K462" s="66">
        <v>1</v>
      </c>
      <c r="L462" s="66">
        <f ca="1">IF(Log_2018[[#This Row],[Date]]&lt;=TODAY(), MIN(Log_2018[[#This Row],[Split_raw]], TODAY()-Log_2018[[#This Row],[Date]]+1), 0)</f>
        <v>1</v>
      </c>
      <c r="M462" t="s">
        <v>39</v>
      </c>
      <c r="N462" t="s">
        <v>158</v>
      </c>
      <c r="O462" s="50">
        <v>0</v>
      </c>
      <c r="P462" s="52">
        <f ca="1">Log_2018[[#This Row],[Amount]]/Log_2018[[#This Row],[Split_raw]]*MAX(0,MIN(_xlfn.DAYS(EDATE(P$1,1),Log_2018[[#This Row],[Date]]),Log_2018[[#This Row],[Split_apply]])) - SUM($O462:O462)</f>
        <v>0</v>
      </c>
      <c r="Q462" s="52">
        <f ca="1">Log_2018[[#This Row],[Amount]]/Log_2018[[#This Row],[Split_raw]]*MAX(0,MIN(_xlfn.DAYS(EDATE(Q$1,1),Log_2018[[#This Row],[Date]]),Log_2018[[#This Row],[Split_apply]])) - SUM($O462:P462)</f>
        <v>0</v>
      </c>
      <c r="R462" s="52">
        <f ca="1">Log_2018[[#This Row],[Amount]]/Log_2018[[#This Row],[Split_raw]]*MAX(0,MIN(_xlfn.DAYS(EDATE(R$1,1),Log_2018[[#This Row],[Date]]),Log_2018[[#This Row],[Split_apply]])) - SUM($O462:Q462)</f>
        <v>0</v>
      </c>
      <c r="S462" s="52">
        <f ca="1">Log_2018[[#This Row],[Amount]]/Log_2018[[#This Row],[Split_raw]]*MAX(0,MIN(_xlfn.DAYS(EDATE(S$1,1),Log_2018[[#This Row],[Date]]),Log_2018[[#This Row],[Split_apply]])) - SUM($O462:R462)</f>
        <v>0</v>
      </c>
      <c r="T462" s="52">
        <f ca="1">Log_2018[[#This Row],[Amount]]/Log_2018[[#This Row],[Split_raw]]*MAX(0,MIN(_xlfn.DAYS(EDATE(T$1,1),Log_2018[[#This Row],[Date]]),Log_2018[[#This Row],[Split_apply]])) - SUM($O462:S462)</f>
        <v>-8</v>
      </c>
      <c r="U462" s="52">
        <f ca="1">Log_2018[[#This Row],[Amount]]/Log_2018[[#This Row],[Split_raw]]*MAX(0,MIN(_xlfn.DAYS(EDATE(U$1,1),Log_2018[[#This Row],[Date]]),Log_2018[[#This Row],[Split_apply]])) - SUM($O462:T462)</f>
        <v>0</v>
      </c>
      <c r="V462" s="52">
        <f ca="1">Log_2018[[#This Row],[Amount]]/Log_2018[[#This Row],[Split_raw]]*MAX(0,MIN(_xlfn.DAYS(EDATE(V$1,1),Log_2018[[#This Row],[Date]]),Log_2018[[#This Row],[Split_apply]])) - SUM($O462:U462)</f>
        <v>0</v>
      </c>
      <c r="W462" s="52">
        <f ca="1">Log_2018[[#This Row],[Amount]]/Log_2018[[#This Row],[Split_raw]]*MAX(0,MIN(_xlfn.DAYS(EDATE(W$1,1),Log_2018[[#This Row],[Date]]),Log_2018[[#This Row],[Split_apply]])) - SUM($O462:V462)</f>
        <v>0</v>
      </c>
      <c r="X462" s="52">
        <f ca="1">Log_2018[[#This Row],[Amount]]/Log_2018[[#This Row],[Split_raw]]*MAX(0,MIN(_xlfn.DAYS(EDATE(X$1,1),Log_2018[[#This Row],[Date]]),Log_2018[[#This Row],[Split_apply]])) - SUM($O462:W462)</f>
        <v>0</v>
      </c>
      <c r="Y462" s="52">
        <f ca="1">Log_2018[[#This Row],[Amount]]/Log_2018[[#This Row],[Split_raw]]*MAX(0,MIN(_xlfn.DAYS(EDATE(Y$1,1),Log_2018[[#This Row],[Date]]),Log_2018[[#This Row],[Split_apply]])) - SUM($O462:X462)</f>
        <v>0</v>
      </c>
      <c r="Z462" s="52">
        <f ca="1">Log_2018[[#This Row],[Amount]]/Log_2018[[#This Row],[Split_raw]]*MAX(0,MIN(_xlfn.DAYS(EDATE(Z$1,1),Log_2018[[#This Row],[Date]]),Log_2018[[#This Row],[Split_apply]])) - SUM($O462:Y462)</f>
        <v>0</v>
      </c>
      <c r="AA462" s="52">
        <f ca="1">Log_2018[[#This Row],[Amount]]/Log_2018[[#This Row],[Split_raw]]*MAX(0,MIN(_xlfn.DAYS(EDATE(AA$1,1),Log_2018[[#This Row],[Date]]),Log_2018[[#This Row],[Split_apply]])) - SUM($O462:Z462)</f>
        <v>0</v>
      </c>
      <c r="AB462" s="54">
        <f ca="1">Log_2018[[#This Row],[Amount]]-SUM(O462:AA462)</f>
        <v>0</v>
      </c>
      <c r="AC462" s="7">
        <f ca="1">MAX(0,Log_2018[[#This Row],[Split_apply]] - (EDATE(AA$1,1)-Log_2018[[#This Row],[Date]]))</f>
        <v>0</v>
      </c>
    </row>
    <row r="463" spans="1:29" hidden="1" x14ac:dyDescent="0.25">
      <c r="A463" s="115"/>
      <c r="B463" t="s">
        <v>6</v>
      </c>
      <c r="D463" s="39">
        <v>43244</v>
      </c>
      <c r="F463" t="s">
        <v>255</v>
      </c>
      <c r="G463" t="s">
        <v>25</v>
      </c>
      <c r="H463" s="3">
        <v>-4.68</v>
      </c>
      <c r="I463" s="36">
        <f>IF(Log_2018[[#This Row],[My Category]]="NONTRACKED",0,Log_2018[[#This Row],[Raw Amount]])</f>
        <v>-4.68</v>
      </c>
      <c r="J463" s="17">
        <f>ABS(Log_2018[[#This Row],[Amount]])</f>
        <v>4.68</v>
      </c>
      <c r="K463" s="66">
        <v>1</v>
      </c>
      <c r="L463" s="66">
        <f ca="1">IF(Log_2018[[#This Row],[Date]]&lt;=TODAY(), MIN(Log_2018[[#This Row],[Split_raw]], TODAY()-Log_2018[[#This Row],[Date]]+1), 0)</f>
        <v>1</v>
      </c>
      <c r="M463" t="s">
        <v>35</v>
      </c>
      <c r="N463" t="s">
        <v>158</v>
      </c>
      <c r="O463" s="50">
        <v>0</v>
      </c>
      <c r="P463" s="52">
        <f ca="1">Log_2018[[#This Row],[Amount]]/Log_2018[[#This Row],[Split_raw]]*MAX(0,MIN(_xlfn.DAYS(EDATE(P$1,1),Log_2018[[#This Row],[Date]]),Log_2018[[#This Row],[Split_apply]])) - SUM($O463:O463)</f>
        <v>0</v>
      </c>
      <c r="Q463" s="52">
        <f ca="1">Log_2018[[#This Row],[Amount]]/Log_2018[[#This Row],[Split_raw]]*MAX(0,MIN(_xlfn.DAYS(EDATE(Q$1,1),Log_2018[[#This Row],[Date]]),Log_2018[[#This Row],[Split_apply]])) - SUM($O463:P463)</f>
        <v>0</v>
      </c>
      <c r="R463" s="52">
        <f ca="1">Log_2018[[#This Row],[Amount]]/Log_2018[[#This Row],[Split_raw]]*MAX(0,MIN(_xlfn.DAYS(EDATE(R$1,1),Log_2018[[#This Row],[Date]]),Log_2018[[#This Row],[Split_apply]])) - SUM($O463:Q463)</f>
        <v>0</v>
      </c>
      <c r="S463" s="52">
        <f ca="1">Log_2018[[#This Row],[Amount]]/Log_2018[[#This Row],[Split_raw]]*MAX(0,MIN(_xlfn.DAYS(EDATE(S$1,1),Log_2018[[#This Row],[Date]]),Log_2018[[#This Row],[Split_apply]])) - SUM($O463:R463)</f>
        <v>0</v>
      </c>
      <c r="T463" s="52">
        <f ca="1">Log_2018[[#This Row],[Amount]]/Log_2018[[#This Row],[Split_raw]]*MAX(0,MIN(_xlfn.DAYS(EDATE(T$1,1),Log_2018[[#This Row],[Date]]),Log_2018[[#This Row],[Split_apply]])) - SUM($O463:S463)</f>
        <v>-4.68</v>
      </c>
      <c r="U463" s="52">
        <f ca="1">Log_2018[[#This Row],[Amount]]/Log_2018[[#This Row],[Split_raw]]*MAX(0,MIN(_xlfn.DAYS(EDATE(U$1,1),Log_2018[[#This Row],[Date]]),Log_2018[[#This Row],[Split_apply]])) - SUM($O463:T463)</f>
        <v>0</v>
      </c>
      <c r="V463" s="52">
        <f ca="1">Log_2018[[#This Row],[Amount]]/Log_2018[[#This Row],[Split_raw]]*MAX(0,MIN(_xlfn.DAYS(EDATE(V$1,1),Log_2018[[#This Row],[Date]]),Log_2018[[#This Row],[Split_apply]])) - SUM($O463:U463)</f>
        <v>0</v>
      </c>
      <c r="W463" s="52">
        <f ca="1">Log_2018[[#This Row],[Amount]]/Log_2018[[#This Row],[Split_raw]]*MAX(0,MIN(_xlfn.DAYS(EDATE(W$1,1),Log_2018[[#This Row],[Date]]),Log_2018[[#This Row],[Split_apply]])) - SUM($O463:V463)</f>
        <v>0</v>
      </c>
      <c r="X463" s="52">
        <f ca="1">Log_2018[[#This Row],[Amount]]/Log_2018[[#This Row],[Split_raw]]*MAX(0,MIN(_xlfn.DAYS(EDATE(X$1,1),Log_2018[[#This Row],[Date]]),Log_2018[[#This Row],[Split_apply]])) - SUM($O463:W463)</f>
        <v>0</v>
      </c>
      <c r="Y463" s="52">
        <f ca="1">Log_2018[[#This Row],[Amount]]/Log_2018[[#This Row],[Split_raw]]*MAX(0,MIN(_xlfn.DAYS(EDATE(Y$1,1),Log_2018[[#This Row],[Date]]),Log_2018[[#This Row],[Split_apply]])) - SUM($O463:X463)</f>
        <v>0</v>
      </c>
      <c r="Z463" s="52">
        <f ca="1">Log_2018[[#This Row],[Amount]]/Log_2018[[#This Row],[Split_raw]]*MAX(0,MIN(_xlfn.DAYS(EDATE(Z$1,1),Log_2018[[#This Row],[Date]]),Log_2018[[#This Row],[Split_apply]])) - SUM($O463:Y463)</f>
        <v>0</v>
      </c>
      <c r="AA463" s="52">
        <f ca="1">Log_2018[[#This Row],[Amount]]/Log_2018[[#This Row],[Split_raw]]*MAX(0,MIN(_xlfn.DAYS(EDATE(AA$1,1),Log_2018[[#This Row],[Date]]),Log_2018[[#This Row],[Split_apply]])) - SUM($O463:Z463)</f>
        <v>0</v>
      </c>
      <c r="AB463" s="54">
        <f ca="1">Log_2018[[#This Row],[Amount]]-SUM(O463:AA463)</f>
        <v>0</v>
      </c>
      <c r="AC463" s="7">
        <f ca="1">MAX(0,Log_2018[[#This Row],[Split_apply]] - (EDATE(AA$1,1)-Log_2018[[#This Row],[Date]]))</f>
        <v>0</v>
      </c>
    </row>
    <row r="464" spans="1:29" hidden="1" x14ac:dyDescent="0.25">
      <c r="A464" s="115"/>
      <c r="B464" t="s">
        <v>6</v>
      </c>
      <c r="D464" s="39">
        <v>43244</v>
      </c>
      <c r="F464" t="s">
        <v>255</v>
      </c>
      <c r="G464" t="s">
        <v>25</v>
      </c>
      <c r="H464" s="3">
        <v>-28.49</v>
      </c>
      <c r="I464" s="36">
        <f>IF(Log_2018[[#This Row],[My Category]]="NONTRACKED",0,Log_2018[[#This Row],[Raw Amount]])</f>
        <v>-28.49</v>
      </c>
      <c r="J464" s="17">
        <f>ABS(Log_2018[[#This Row],[Amount]])</f>
        <v>28.49</v>
      </c>
      <c r="K464" s="66">
        <v>1</v>
      </c>
      <c r="L464" s="66">
        <f ca="1">IF(Log_2018[[#This Row],[Date]]&lt;=TODAY(), MIN(Log_2018[[#This Row],[Split_raw]], TODAY()-Log_2018[[#This Row],[Date]]+1), 0)</f>
        <v>1</v>
      </c>
      <c r="M464" t="s">
        <v>52</v>
      </c>
      <c r="N464" t="s">
        <v>158</v>
      </c>
      <c r="O464" s="50">
        <v>0</v>
      </c>
      <c r="P464" s="52">
        <f ca="1">Log_2018[[#This Row],[Amount]]/Log_2018[[#This Row],[Split_raw]]*MAX(0,MIN(_xlfn.DAYS(EDATE(P$1,1),Log_2018[[#This Row],[Date]]),Log_2018[[#This Row],[Split_apply]])) - SUM($O464:O464)</f>
        <v>0</v>
      </c>
      <c r="Q464" s="52">
        <f ca="1">Log_2018[[#This Row],[Amount]]/Log_2018[[#This Row],[Split_raw]]*MAX(0,MIN(_xlfn.DAYS(EDATE(Q$1,1),Log_2018[[#This Row],[Date]]),Log_2018[[#This Row],[Split_apply]])) - SUM($O464:P464)</f>
        <v>0</v>
      </c>
      <c r="R464" s="52">
        <f ca="1">Log_2018[[#This Row],[Amount]]/Log_2018[[#This Row],[Split_raw]]*MAX(0,MIN(_xlfn.DAYS(EDATE(R$1,1),Log_2018[[#This Row],[Date]]),Log_2018[[#This Row],[Split_apply]])) - SUM($O464:Q464)</f>
        <v>0</v>
      </c>
      <c r="S464" s="52">
        <f ca="1">Log_2018[[#This Row],[Amount]]/Log_2018[[#This Row],[Split_raw]]*MAX(0,MIN(_xlfn.DAYS(EDATE(S$1,1),Log_2018[[#This Row],[Date]]),Log_2018[[#This Row],[Split_apply]])) - SUM($O464:R464)</f>
        <v>0</v>
      </c>
      <c r="T464" s="52">
        <f ca="1">Log_2018[[#This Row],[Amount]]/Log_2018[[#This Row],[Split_raw]]*MAX(0,MIN(_xlfn.DAYS(EDATE(T$1,1),Log_2018[[#This Row],[Date]]),Log_2018[[#This Row],[Split_apply]])) - SUM($O464:S464)</f>
        <v>-28.49</v>
      </c>
      <c r="U464" s="52">
        <f ca="1">Log_2018[[#This Row],[Amount]]/Log_2018[[#This Row],[Split_raw]]*MAX(0,MIN(_xlfn.DAYS(EDATE(U$1,1),Log_2018[[#This Row],[Date]]),Log_2018[[#This Row],[Split_apply]])) - SUM($O464:T464)</f>
        <v>0</v>
      </c>
      <c r="V464" s="52">
        <f ca="1">Log_2018[[#This Row],[Amount]]/Log_2018[[#This Row],[Split_raw]]*MAX(0,MIN(_xlfn.DAYS(EDATE(V$1,1),Log_2018[[#This Row],[Date]]),Log_2018[[#This Row],[Split_apply]])) - SUM($O464:U464)</f>
        <v>0</v>
      </c>
      <c r="W464" s="52">
        <f ca="1">Log_2018[[#This Row],[Amount]]/Log_2018[[#This Row],[Split_raw]]*MAX(0,MIN(_xlfn.DAYS(EDATE(W$1,1),Log_2018[[#This Row],[Date]]),Log_2018[[#This Row],[Split_apply]])) - SUM($O464:V464)</f>
        <v>0</v>
      </c>
      <c r="X464" s="52">
        <f ca="1">Log_2018[[#This Row],[Amount]]/Log_2018[[#This Row],[Split_raw]]*MAX(0,MIN(_xlfn.DAYS(EDATE(X$1,1),Log_2018[[#This Row],[Date]]),Log_2018[[#This Row],[Split_apply]])) - SUM($O464:W464)</f>
        <v>0</v>
      </c>
      <c r="Y464" s="52">
        <f ca="1">Log_2018[[#This Row],[Amount]]/Log_2018[[#This Row],[Split_raw]]*MAX(0,MIN(_xlfn.DAYS(EDATE(Y$1,1),Log_2018[[#This Row],[Date]]),Log_2018[[#This Row],[Split_apply]])) - SUM($O464:X464)</f>
        <v>0</v>
      </c>
      <c r="Z464" s="52">
        <f ca="1">Log_2018[[#This Row],[Amount]]/Log_2018[[#This Row],[Split_raw]]*MAX(0,MIN(_xlfn.DAYS(EDATE(Z$1,1),Log_2018[[#This Row],[Date]]),Log_2018[[#This Row],[Split_apply]])) - SUM($O464:Y464)</f>
        <v>0</v>
      </c>
      <c r="AA464" s="52">
        <f ca="1">Log_2018[[#This Row],[Amount]]/Log_2018[[#This Row],[Split_raw]]*MAX(0,MIN(_xlfn.DAYS(EDATE(AA$1,1),Log_2018[[#This Row],[Date]]),Log_2018[[#This Row],[Split_apply]])) - SUM($O464:Z464)</f>
        <v>0</v>
      </c>
      <c r="AB464" s="54">
        <f ca="1">Log_2018[[#This Row],[Amount]]-SUM(O464:AA464)</f>
        <v>0</v>
      </c>
      <c r="AC464" s="7">
        <f ca="1">MAX(0,Log_2018[[#This Row],[Split_apply]] - (EDATE(AA$1,1)-Log_2018[[#This Row],[Date]]))</f>
        <v>0</v>
      </c>
    </row>
    <row r="465" spans="1:29" hidden="1" x14ac:dyDescent="0.25">
      <c r="A465" s="115"/>
      <c r="B465" t="s">
        <v>6</v>
      </c>
      <c r="D465" s="39">
        <v>43244</v>
      </c>
      <c r="F465" t="s">
        <v>286</v>
      </c>
      <c r="G465" t="s">
        <v>25</v>
      </c>
      <c r="H465" s="3">
        <v>-28.98</v>
      </c>
      <c r="I465" s="36">
        <f>IF(Log_2018[[#This Row],[My Category]]="NONTRACKED",0,Log_2018[[#This Row],[Raw Amount]])</f>
        <v>-28.98</v>
      </c>
      <c r="J465" s="17">
        <f>ABS(Log_2018[[#This Row],[Amount]])</f>
        <v>28.98</v>
      </c>
      <c r="K465" s="66">
        <v>1</v>
      </c>
      <c r="L465" s="66">
        <f ca="1">IF(Log_2018[[#This Row],[Date]]&lt;=TODAY(), MIN(Log_2018[[#This Row],[Split_raw]], TODAY()-Log_2018[[#This Row],[Date]]+1), 0)</f>
        <v>1</v>
      </c>
      <c r="M465" t="s">
        <v>35</v>
      </c>
      <c r="N465" t="s">
        <v>158</v>
      </c>
      <c r="O465" s="50">
        <v>0</v>
      </c>
      <c r="P465" s="52">
        <f ca="1">Log_2018[[#This Row],[Amount]]/Log_2018[[#This Row],[Split_raw]]*MAX(0,MIN(_xlfn.DAYS(EDATE(P$1,1),Log_2018[[#This Row],[Date]]),Log_2018[[#This Row],[Split_apply]])) - SUM($O465:O465)</f>
        <v>0</v>
      </c>
      <c r="Q465" s="52">
        <f ca="1">Log_2018[[#This Row],[Amount]]/Log_2018[[#This Row],[Split_raw]]*MAX(0,MIN(_xlfn.DAYS(EDATE(Q$1,1),Log_2018[[#This Row],[Date]]),Log_2018[[#This Row],[Split_apply]])) - SUM($O465:P465)</f>
        <v>0</v>
      </c>
      <c r="R465" s="52">
        <f ca="1">Log_2018[[#This Row],[Amount]]/Log_2018[[#This Row],[Split_raw]]*MAX(0,MIN(_xlfn.DAYS(EDATE(R$1,1),Log_2018[[#This Row],[Date]]),Log_2018[[#This Row],[Split_apply]])) - SUM($O465:Q465)</f>
        <v>0</v>
      </c>
      <c r="S465" s="52">
        <f ca="1">Log_2018[[#This Row],[Amount]]/Log_2018[[#This Row],[Split_raw]]*MAX(0,MIN(_xlfn.DAYS(EDATE(S$1,1),Log_2018[[#This Row],[Date]]),Log_2018[[#This Row],[Split_apply]])) - SUM($O465:R465)</f>
        <v>0</v>
      </c>
      <c r="T465" s="52">
        <f ca="1">Log_2018[[#This Row],[Amount]]/Log_2018[[#This Row],[Split_raw]]*MAX(0,MIN(_xlfn.DAYS(EDATE(T$1,1),Log_2018[[#This Row],[Date]]),Log_2018[[#This Row],[Split_apply]])) - SUM($O465:S465)</f>
        <v>-28.98</v>
      </c>
      <c r="U465" s="52">
        <f ca="1">Log_2018[[#This Row],[Amount]]/Log_2018[[#This Row],[Split_raw]]*MAX(0,MIN(_xlfn.DAYS(EDATE(U$1,1),Log_2018[[#This Row],[Date]]),Log_2018[[#This Row],[Split_apply]])) - SUM($O465:T465)</f>
        <v>0</v>
      </c>
      <c r="V465" s="52">
        <f ca="1">Log_2018[[#This Row],[Amount]]/Log_2018[[#This Row],[Split_raw]]*MAX(0,MIN(_xlfn.DAYS(EDATE(V$1,1),Log_2018[[#This Row],[Date]]),Log_2018[[#This Row],[Split_apply]])) - SUM($O465:U465)</f>
        <v>0</v>
      </c>
      <c r="W465" s="52">
        <f ca="1">Log_2018[[#This Row],[Amount]]/Log_2018[[#This Row],[Split_raw]]*MAX(0,MIN(_xlfn.DAYS(EDATE(W$1,1),Log_2018[[#This Row],[Date]]),Log_2018[[#This Row],[Split_apply]])) - SUM($O465:V465)</f>
        <v>0</v>
      </c>
      <c r="X465" s="52">
        <f ca="1">Log_2018[[#This Row],[Amount]]/Log_2018[[#This Row],[Split_raw]]*MAX(0,MIN(_xlfn.DAYS(EDATE(X$1,1),Log_2018[[#This Row],[Date]]),Log_2018[[#This Row],[Split_apply]])) - SUM($O465:W465)</f>
        <v>0</v>
      </c>
      <c r="Y465" s="52">
        <f ca="1">Log_2018[[#This Row],[Amount]]/Log_2018[[#This Row],[Split_raw]]*MAX(0,MIN(_xlfn.DAYS(EDATE(Y$1,1),Log_2018[[#This Row],[Date]]),Log_2018[[#This Row],[Split_apply]])) - SUM($O465:X465)</f>
        <v>0</v>
      </c>
      <c r="Z465" s="52">
        <f ca="1">Log_2018[[#This Row],[Amount]]/Log_2018[[#This Row],[Split_raw]]*MAX(0,MIN(_xlfn.DAYS(EDATE(Z$1,1),Log_2018[[#This Row],[Date]]),Log_2018[[#This Row],[Split_apply]])) - SUM($O465:Y465)</f>
        <v>0</v>
      </c>
      <c r="AA465" s="52">
        <f ca="1">Log_2018[[#This Row],[Amount]]/Log_2018[[#This Row],[Split_raw]]*MAX(0,MIN(_xlfn.DAYS(EDATE(AA$1,1),Log_2018[[#This Row],[Date]]),Log_2018[[#This Row],[Split_apply]])) - SUM($O465:Z465)</f>
        <v>0</v>
      </c>
      <c r="AB465" s="54">
        <f ca="1">Log_2018[[#This Row],[Amount]]-SUM(O465:AA465)</f>
        <v>0</v>
      </c>
      <c r="AC465" s="7">
        <f ca="1">MAX(0,Log_2018[[#This Row],[Split_apply]] - (EDATE(AA$1,1)-Log_2018[[#This Row],[Date]]))</f>
        <v>0</v>
      </c>
    </row>
    <row r="466" spans="1:29" hidden="1" x14ac:dyDescent="0.25">
      <c r="A466" s="115"/>
      <c r="B466" t="s">
        <v>6</v>
      </c>
      <c r="D466" s="39">
        <v>43244</v>
      </c>
      <c r="F466" t="s">
        <v>268</v>
      </c>
      <c r="G466" t="s">
        <v>87</v>
      </c>
      <c r="H466" s="3">
        <f>--1754.58</f>
        <v>1754.58</v>
      </c>
      <c r="I466" s="36">
        <f>IF(Log_2018[[#This Row],[My Category]]="NONTRACKED",0,Log_2018[[#This Row],[Raw Amount]])</f>
        <v>1754.58</v>
      </c>
      <c r="J466" s="17">
        <f>ABS(Log_2018[[#This Row],[Amount]])</f>
        <v>1754.58</v>
      </c>
      <c r="K466" s="66">
        <v>14</v>
      </c>
      <c r="L466" s="66">
        <f ca="1">IF(Log_2018[[#This Row],[Date]]&lt;=TODAY(), MIN(Log_2018[[#This Row],[Split_raw]], TODAY()-Log_2018[[#This Row],[Date]]+1), 0)</f>
        <v>14</v>
      </c>
      <c r="M466" t="s">
        <v>91</v>
      </c>
      <c r="N466" t="s">
        <v>160</v>
      </c>
      <c r="O466" s="50">
        <v>0</v>
      </c>
      <c r="P466" s="52">
        <f ca="1">Log_2018[[#This Row],[Amount]]/Log_2018[[#This Row],[Split_raw]]*MAX(0,MIN(_xlfn.DAYS(EDATE(P$1,1),Log_2018[[#This Row],[Date]]),Log_2018[[#This Row],[Split_apply]])) - SUM($O466:O466)</f>
        <v>0</v>
      </c>
      <c r="Q466" s="52">
        <f ca="1">Log_2018[[#This Row],[Amount]]/Log_2018[[#This Row],[Split_raw]]*MAX(0,MIN(_xlfn.DAYS(EDATE(Q$1,1),Log_2018[[#This Row],[Date]]),Log_2018[[#This Row],[Split_apply]])) - SUM($O466:P466)</f>
        <v>0</v>
      </c>
      <c r="R466" s="52">
        <f ca="1">Log_2018[[#This Row],[Amount]]/Log_2018[[#This Row],[Split_raw]]*MAX(0,MIN(_xlfn.DAYS(EDATE(R$1,1),Log_2018[[#This Row],[Date]]),Log_2018[[#This Row],[Split_apply]])) - SUM($O466:Q466)</f>
        <v>0</v>
      </c>
      <c r="S466" s="52">
        <f ca="1">Log_2018[[#This Row],[Amount]]/Log_2018[[#This Row],[Split_raw]]*MAX(0,MIN(_xlfn.DAYS(EDATE(S$1,1),Log_2018[[#This Row],[Date]]),Log_2018[[#This Row],[Split_apply]])) - SUM($O466:R466)</f>
        <v>0</v>
      </c>
      <c r="T466" s="52">
        <f ca="1">Log_2018[[#This Row],[Amount]]/Log_2018[[#This Row],[Split_raw]]*MAX(0,MIN(_xlfn.DAYS(EDATE(T$1,1),Log_2018[[#This Row],[Date]]),Log_2018[[#This Row],[Split_apply]])) - SUM($O466:S466)</f>
        <v>1002.6171428571428</v>
      </c>
      <c r="U466" s="52">
        <f ca="1">Log_2018[[#This Row],[Amount]]/Log_2018[[#This Row],[Split_raw]]*MAX(0,MIN(_xlfn.DAYS(EDATE(U$1,1),Log_2018[[#This Row],[Date]]),Log_2018[[#This Row],[Split_apply]])) - SUM($O466:T466)</f>
        <v>751.96285714285716</v>
      </c>
      <c r="V466" s="52">
        <f ca="1">Log_2018[[#This Row],[Amount]]/Log_2018[[#This Row],[Split_raw]]*MAX(0,MIN(_xlfn.DAYS(EDATE(V$1,1),Log_2018[[#This Row],[Date]]),Log_2018[[#This Row],[Split_apply]])) - SUM($O466:U466)</f>
        <v>0</v>
      </c>
      <c r="W466" s="52">
        <f ca="1">Log_2018[[#This Row],[Amount]]/Log_2018[[#This Row],[Split_raw]]*MAX(0,MIN(_xlfn.DAYS(EDATE(W$1,1),Log_2018[[#This Row],[Date]]),Log_2018[[#This Row],[Split_apply]])) - SUM($O466:V466)</f>
        <v>0</v>
      </c>
      <c r="X466" s="52">
        <f ca="1">Log_2018[[#This Row],[Amount]]/Log_2018[[#This Row],[Split_raw]]*MAX(0,MIN(_xlfn.DAYS(EDATE(X$1,1),Log_2018[[#This Row],[Date]]),Log_2018[[#This Row],[Split_apply]])) - SUM($O466:W466)</f>
        <v>0</v>
      </c>
      <c r="Y466" s="52">
        <f ca="1">Log_2018[[#This Row],[Amount]]/Log_2018[[#This Row],[Split_raw]]*MAX(0,MIN(_xlfn.DAYS(EDATE(Y$1,1),Log_2018[[#This Row],[Date]]),Log_2018[[#This Row],[Split_apply]])) - SUM($O466:X466)</f>
        <v>0</v>
      </c>
      <c r="Z466" s="52">
        <f ca="1">Log_2018[[#This Row],[Amount]]/Log_2018[[#This Row],[Split_raw]]*MAX(0,MIN(_xlfn.DAYS(EDATE(Z$1,1),Log_2018[[#This Row],[Date]]),Log_2018[[#This Row],[Split_apply]])) - SUM($O466:Y466)</f>
        <v>0</v>
      </c>
      <c r="AA466" s="52">
        <f ca="1">Log_2018[[#This Row],[Amount]]/Log_2018[[#This Row],[Split_raw]]*MAX(0,MIN(_xlfn.DAYS(EDATE(AA$1,1),Log_2018[[#This Row],[Date]]),Log_2018[[#This Row],[Split_apply]])) - SUM($O466:Z466)</f>
        <v>0</v>
      </c>
      <c r="AB466" s="54">
        <f ca="1">Log_2018[[#This Row],[Amount]]-SUM(O466:AA466)</f>
        <v>0</v>
      </c>
      <c r="AC466" s="7">
        <f ca="1">MAX(0,Log_2018[[#This Row],[Split_apply]] - (EDATE(AA$1,1)-Log_2018[[#This Row],[Date]]))</f>
        <v>0</v>
      </c>
    </row>
    <row r="467" spans="1:29" hidden="1" x14ac:dyDescent="0.25">
      <c r="A467" s="115"/>
      <c r="B467" t="s">
        <v>6</v>
      </c>
      <c r="D467" s="39">
        <v>43242</v>
      </c>
      <c r="F467" t="s">
        <v>288</v>
      </c>
      <c r="G467" t="s">
        <v>27</v>
      </c>
      <c r="H467" s="3">
        <v>-35</v>
      </c>
      <c r="I467" s="36">
        <f>IF(Log_2018[[#This Row],[My Category]]="NONTRACKED",0,Log_2018[[#This Row],[Raw Amount]])</f>
        <v>-35</v>
      </c>
      <c r="J467" s="17">
        <f>ABS(Log_2018[[#This Row],[Amount]])</f>
        <v>35</v>
      </c>
      <c r="K467" s="66">
        <v>1</v>
      </c>
      <c r="L467" s="66">
        <f ca="1">IF(Log_2018[[#This Row],[Date]]&lt;=TODAY(), MIN(Log_2018[[#This Row],[Split_raw]], TODAY()-Log_2018[[#This Row],[Date]]+1), 0)</f>
        <v>1</v>
      </c>
      <c r="M467" t="s">
        <v>42</v>
      </c>
      <c r="N467" t="s">
        <v>158</v>
      </c>
      <c r="O467" s="50">
        <v>0</v>
      </c>
      <c r="P467" s="52">
        <f ca="1">Log_2018[[#This Row],[Amount]]/Log_2018[[#This Row],[Split_raw]]*MAX(0,MIN(_xlfn.DAYS(EDATE(P$1,1),Log_2018[[#This Row],[Date]]),Log_2018[[#This Row],[Split_apply]])) - SUM($O467:O467)</f>
        <v>0</v>
      </c>
      <c r="Q467" s="52">
        <f ca="1">Log_2018[[#This Row],[Amount]]/Log_2018[[#This Row],[Split_raw]]*MAX(0,MIN(_xlfn.DAYS(EDATE(Q$1,1),Log_2018[[#This Row],[Date]]),Log_2018[[#This Row],[Split_apply]])) - SUM($O467:P467)</f>
        <v>0</v>
      </c>
      <c r="R467" s="52">
        <f ca="1">Log_2018[[#This Row],[Amount]]/Log_2018[[#This Row],[Split_raw]]*MAX(0,MIN(_xlfn.DAYS(EDATE(R$1,1),Log_2018[[#This Row],[Date]]),Log_2018[[#This Row],[Split_apply]])) - SUM($O467:Q467)</f>
        <v>0</v>
      </c>
      <c r="S467" s="52">
        <f ca="1">Log_2018[[#This Row],[Amount]]/Log_2018[[#This Row],[Split_raw]]*MAX(0,MIN(_xlfn.DAYS(EDATE(S$1,1),Log_2018[[#This Row],[Date]]),Log_2018[[#This Row],[Split_apply]])) - SUM($O467:R467)</f>
        <v>0</v>
      </c>
      <c r="T467" s="52">
        <f ca="1">Log_2018[[#This Row],[Amount]]/Log_2018[[#This Row],[Split_raw]]*MAX(0,MIN(_xlfn.DAYS(EDATE(T$1,1),Log_2018[[#This Row],[Date]]),Log_2018[[#This Row],[Split_apply]])) - SUM($O467:S467)</f>
        <v>-35</v>
      </c>
      <c r="U467" s="52">
        <f ca="1">Log_2018[[#This Row],[Amount]]/Log_2018[[#This Row],[Split_raw]]*MAX(0,MIN(_xlfn.DAYS(EDATE(U$1,1),Log_2018[[#This Row],[Date]]),Log_2018[[#This Row],[Split_apply]])) - SUM($O467:T467)</f>
        <v>0</v>
      </c>
      <c r="V467" s="52">
        <f ca="1">Log_2018[[#This Row],[Amount]]/Log_2018[[#This Row],[Split_raw]]*MAX(0,MIN(_xlfn.DAYS(EDATE(V$1,1),Log_2018[[#This Row],[Date]]),Log_2018[[#This Row],[Split_apply]])) - SUM($O467:U467)</f>
        <v>0</v>
      </c>
      <c r="W467" s="52">
        <f ca="1">Log_2018[[#This Row],[Amount]]/Log_2018[[#This Row],[Split_raw]]*MAX(0,MIN(_xlfn.DAYS(EDATE(W$1,1),Log_2018[[#This Row],[Date]]),Log_2018[[#This Row],[Split_apply]])) - SUM($O467:V467)</f>
        <v>0</v>
      </c>
      <c r="X467" s="52">
        <f ca="1">Log_2018[[#This Row],[Amount]]/Log_2018[[#This Row],[Split_raw]]*MAX(0,MIN(_xlfn.DAYS(EDATE(X$1,1),Log_2018[[#This Row],[Date]]),Log_2018[[#This Row],[Split_apply]])) - SUM($O467:W467)</f>
        <v>0</v>
      </c>
      <c r="Y467" s="52">
        <f ca="1">Log_2018[[#This Row],[Amount]]/Log_2018[[#This Row],[Split_raw]]*MAX(0,MIN(_xlfn.DAYS(EDATE(Y$1,1),Log_2018[[#This Row],[Date]]),Log_2018[[#This Row],[Split_apply]])) - SUM($O467:X467)</f>
        <v>0</v>
      </c>
      <c r="Z467" s="52">
        <f ca="1">Log_2018[[#This Row],[Amount]]/Log_2018[[#This Row],[Split_raw]]*MAX(0,MIN(_xlfn.DAYS(EDATE(Z$1,1),Log_2018[[#This Row],[Date]]),Log_2018[[#This Row],[Split_apply]])) - SUM($O467:Y467)</f>
        <v>0</v>
      </c>
      <c r="AA467" s="52">
        <f ca="1">Log_2018[[#This Row],[Amount]]/Log_2018[[#This Row],[Split_raw]]*MAX(0,MIN(_xlfn.DAYS(EDATE(AA$1,1),Log_2018[[#This Row],[Date]]),Log_2018[[#This Row],[Split_apply]])) - SUM($O467:Z467)</f>
        <v>0</v>
      </c>
      <c r="AB467" s="54">
        <f ca="1">Log_2018[[#This Row],[Amount]]-SUM(O467:AA467)</f>
        <v>0</v>
      </c>
      <c r="AC467" s="7">
        <f ca="1">MAX(0,Log_2018[[#This Row],[Split_apply]] - (EDATE(AA$1,1)-Log_2018[[#This Row],[Date]]))</f>
        <v>0</v>
      </c>
    </row>
    <row r="468" spans="1:29" hidden="1" x14ac:dyDescent="0.25">
      <c r="A468" s="115"/>
      <c r="B468" t="s">
        <v>6</v>
      </c>
      <c r="D468" s="39">
        <v>43242</v>
      </c>
      <c r="F468" t="s">
        <v>59</v>
      </c>
      <c r="G468" t="s">
        <v>25</v>
      </c>
      <c r="H468" s="3">
        <v>-7.94</v>
      </c>
      <c r="I468" s="36">
        <f>IF(Log_2018[[#This Row],[My Category]]="NONTRACKED",0,Log_2018[[#This Row],[Raw Amount]])</f>
        <v>-7.94</v>
      </c>
      <c r="J468" s="17">
        <f>ABS(Log_2018[[#This Row],[Amount]])</f>
        <v>7.94</v>
      </c>
      <c r="K468" s="66">
        <v>1</v>
      </c>
      <c r="L468" s="66">
        <f ca="1">IF(Log_2018[[#This Row],[Date]]&lt;=TODAY(), MIN(Log_2018[[#This Row],[Split_raw]], TODAY()-Log_2018[[#This Row],[Date]]+1), 0)</f>
        <v>1</v>
      </c>
      <c r="M468" t="s">
        <v>35</v>
      </c>
      <c r="N468" t="s">
        <v>158</v>
      </c>
      <c r="O468" s="50">
        <v>0</v>
      </c>
      <c r="P468" s="52">
        <f ca="1">Log_2018[[#This Row],[Amount]]/Log_2018[[#This Row],[Split_raw]]*MAX(0,MIN(_xlfn.DAYS(EDATE(P$1,1),Log_2018[[#This Row],[Date]]),Log_2018[[#This Row],[Split_apply]])) - SUM($O468:O468)</f>
        <v>0</v>
      </c>
      <c r="Q468" s="52">
        <f ca="1">Log_2018[[#This Row],[Amount]]/Log_2018[[#This Row],[Split_raw]]*MAX(0,MIN(_xlfn.DAYS(EDATE(Q$1,1),Log_2018[[#This Row],[Date]]),Log_2018[[#This Row],[Split_apply]])) - SUM($O468:P468)</f>
        <v>0</v>
      </c>
      <c r="R468" s="52">
        <f ca="1">Log_2018[[#This Row],[Amount]]/Log_2018[[#This Row],[Split_raw]]*MAX(0,MIN(_xlfn.DAYS(EDATE(R$1,1),Log_2018[[#This Row],[Date]]),Log_2018[[#This Row],[Split_apply]])) - SUM($O468:Q468)</f>
        <v>0</v>
      </c>
      <c r="S468" s="52">
        <f ca="1">Log_2018[[#This Row],[Amount]]/Log_2018[[#This Row],[Split_raw]]*MAX(0,MIN(_xlfn.DAYS(EDATE(S$1,1),Log_2018[[#This Row],[Date]]),Log_2018[[#This Row],[Split_apply]])) - SUM($O468:R468)</f>
        <v>0</v>
      </c>
      <c r="T468" s="52">
        <f ca="1">Log_2018[[#This Row],[Amount]]/Log_2018[[#This Row],[Split_raw]]*MAX(0,MIN(_xlfn.DAYS(EDATE(T$1,1),Log_2018[[#This Row],[Date]]),Log_2018[[#This Row],[Split_apply]])) - SUM($O468:S468)</f>
        <v>-7.94</v>
      </c>
      <c r="U468" s="52">
        <f ca="1">Log_2018[[#This Row],[Amount]]/Log_2018[[#This Row],[Split_raw]]*MAX(0,MIN(_xlfn.DAYS(EDATE(U$1,1),Log_2018[[#This Row],[Date]]),Log_2018[[#This Row],[Split_apply]])) - SUM($O468:T468)</f>
        <v>0</v>
      </c>
      <c r="V468" s="52">
        <f ca="1">Log_2018[[#This Row],[Amount]]/Log_2018[[#This Row],[Split_raw]]*MAX(0,MIN(_xlfn.DAYS(EDATE(V$1,1),Log_2018[[#This Row],[Date]]),Log_2018[[#This Row],[Split_apply]])) - SUM($O468:U468)</f>
        <v>0</v>
      </c>
      <c r="W468" s="52">
        <f ca="1">Log_2018[[#This Row],[Amount]]/Log_2018[[#This Row],[Split_raw]]*MAX(0,MIN(_xlfn.DAYS(EDATE(W$1,1),Log_2018[[#This Row],[Date]]),Log_2018[[#This Row],[Split_apply]])) - SUM($O468:V468)</f>
        <v>0</v>
      </c>
      <c r="X468" s="52">
        <f ca="1">Log_2018[[#This Row],[Amount]]/Log_2018[[#This Row],[Split_raw]]*MAX(0,MIN(_xlfn.DAYS(EDATE(X$1,1),Log_2018[[#This Row],[Date]]),Log_2018[[#This Row],[Split_apply]])) - SUM($O468:W468)</f>
        <v>0</v>
      </c>
      <c r="Y468" s="52">
        <f ca="1">Log_2018[[#This Row],[Amount]]/Log_2018[[#This Row],[Split_raw]]*MAX(0,MIN(_xlfn.DAYS(EDATE(Y$1,1),Log_2018[[#This Row],[Date]]),Log_2018[[#This Row],[Split_apply]])) - SUM($O468:X468)</f>
        <v>0</v>
      </c>
      <c r="Z468" s="52">
        <f ca="1">Log_2018[[#This Row],[Amount]]/Log_2018[[#This Row],[Split_raw]]*MAX(0,MIN(_xlfn.DAYS(EDATE(Z$1,1),Log_2018[[#This Row],[Date]]),Log_2018[[#This Row],[Split_apply]])) - SUM($O468:Y468)</f>
        <v>0</v>
      </c>
      <c r="AA468" s="52">
        <f ca="1">Log_2018[[#This Row],[Amount]]/Log_2018[[#This Row],[Split_raw]]*MAX(0,MIN(_xlfn.DAYS(EDATE(AA$1,1),Log_2018[[#This Row],[Date]]),Log_2018[[#This Row],[Split_apply]])) - SUM($O468:Z468)</f>
        <v>0</v>
      </c>
      <c r="AB468" s="54">
        <f ca="1">Log_2018[[#This Row],[Amount]]-SUM(O468:AA468)</f>
        <v>0</v>
      </c>
      <c r="AC468" s="7">
        <f ca="1">MAX(0,Log_2018[[#This Row],[Split_apply]] - (EDATE(AA$1,1)-Log_2018[[#This Row],[Date]]))</f>
        <v>0</v>
      </c>
    </row>
    <row r="469" spans="1:29" hidden="1" x14ac:dyDescent="0.25">
      <c r="A469" s="115"/>
      <c r="B469" t="s">
        <v>6</v>
      </c>
      <c r="D469" s="39">
        <v>43241</v>
      </c>
      <c r="F469" t="s">
        <v>288</v>
      </c>
      <c r="G469" t="s">
        <v>27</v>
      </c>
      <c r="H469" s="3">
        <v>-35</v>
      </c>
      <c r="I469" s="36">
        <f>IF(Log_2018[[#This Row],[My Category]]="NONTRACKED",0,Log_2018[[#This Row],[Raw Amount]])</f>
        <v>-35</v>
      </c>
      <c r="J469" s="17">
        <f>ABS(Log_2018[[#This Row],[Amount]])</f>
        <v>35</v>
      </c>
      <c r="K469" s="66">
        <v>1</v>
      </c>
      <c r="L469" s="66">
        <f ca="1">IF(Log_2018[[#This Row],[Date]]&lt;=TODAY(), MIN(Log_2018[[#This Row],[Split_raw]], TODAY()-Log_2018[[#This Row],[Date]]+1), 0)</f>
        <v>1</v>
      </c>
      <c r="M469" t="s">
        <v>42</v>
      </c>
      <c r="N469" t="s">
        <v>158</v>
      </c>
      <c r="O469" s="50">
        <v>0</v>
      </c>
      <c r="P469" s="52">
        <f ca="1">Log_2018[[#This Row],[Amount]]/Log_2018[[#This Row],[Split_raw]]*MAX(0,MIN(_xlfn.DAYS(EDATE(P$1,1),Log_2018[[#This Row],[Date]]),Log_2018[[#This Row],[Split_apply]])) - SUM($O469:O469)</f>
        <v>0</v>
      </c>
      <c r="Q469" s="52">
        <f ca="1">Log_2018[[#This Row],[Amount]]/Log_2018[[#This Row],[Split_raw]]*MAX(0,MIN(_xlfn.DAYS(EDATE(Q$1,1),Log_2018[[#This Row],[Date]]),Log_2018[[#This Row],[Split_apply]])) - SUM($O469:P469)</f>
        <v>0</v>
      </c>
      <c r="R469" s="52">
        <f ca="1">Log_2018[[#This Row],[Amount]]/Log_2018[[#This Row],[Split_raw]]*MAX(0,MIN(_xlfn.DAYS(EDATE(R$1,1),Log_2018[[#This Row],[Date]]),Log_2018[[#This Row],[Split_apply]])) - SUM($O469:Q469)</f>
        <v>0</v>
      </c>
      <c r="S469" s="52">
        <f ca="1">Log_2018[[#This Row],[Amount]]/Log_2018[[#This Row],[Split_raw]]*MAX(0,MIN(_xlfn.DAYS(EDATE(S$1,1),Log_2018[[#This Row],[Date]]),Log_2018[[#This Row],[Split_apply]])) - SUM($O469:R469)</f>
        <v>0</v>
      </c>
      <c r="T469" s="52">
        <f ca="1">Log_2018[[#This Row],[Amount]]/Log_2018[[#This Row],[Split_raw]]*MAX(0,MIN(_xlfn.DAYS(EDATE(T$1,1),Log_2018[[#This Row],[Date]]),Log_2018[[#This Row],[Split_apply]])) - SUM($O469:S469)</f>
        <v>-35</v>
      </c>
      <c r="U469" s="52">
        <f ca="1">Log_2018[[#This Row],[Amount]]/Log_2018[[#This Row],[Split_raw]]*MAX(0,MIN(_xlfn.DAYS(EDATE(U$1,1),Log_2018[[#This Row],[Date]]),Log_2018[[#This Row],[Split_apply]])) - SUM($O469:T469)</f>
        <v>0</v>
      </c>
      <c r="V469" s="52">
        <f ca="1">Log_2018[[#This Row],[Amount]]/Log_2018[[#This Row],[Split_raw]]*MAX(0,MIN(_xlfn.DAYS(EDATE(V$1,1),Log_2018[[#This Row],[Date]]),Log_2018[[#This Row],[Split_apply]])) - SUM($O469:U469)</f>
        <v>0</v>
      </c>
      <c r="W469" s="52">
        <f ca="1">Log_2018[[#This Row],[Amount]]/Log_2018[[#This Row],[Split_raw]]*MAX(0,MIN(_xlfn.DAYS(EDATE(W$1,1),Log_2018[[#This Row],[Date]]),Log_2018[[#This Row],[Split_apply]])) - SUM($O469:V469)</f>
        <v>0</v>
      </c>
      <c r="X469" s="52">
        <f ca="1">Log_2018[[#This Row],[Amount]]/Log_2018[[#This Row],[Split_raw]]*MAX(0,MIN(_xlfn.DAYS(EDATE(X$1,1),Log_2018[[#This Row],[Date]]),Log_2018[[#This Row],[Split_apply]])) - SUM($O469:W469)</f>
        <v>0</v>
      </c>
      <c r="Y469" s="52">
        <f ca="1">Log_2018[[#This Row],[Amount]]/Log_2018[[#This Row],[Split_raw]]*MAX(0,MIN(_xlfn.DAYS(EDATE(Y$1,1),Log_2018[[#This Row],[Date]]),Log_2018[[#This Row],[Split_apply]])) - SUM($O469:X469)</f>
        <v>0</v>
      </c>
      <c r="Z469" s="52">
        <f ca="1">Log_2018[[#This Row],[Amount]]/Log_2018[[#This Row],[Split_raw]]*MAX(0,MIN(_xlfn.DAYS(EDATE(Z$1,1),Log_2018[[#This Row],[Date]]),Log_2018[[#This Row],[Split_apply]])) - SUM($O469:Y469)</f>
        <v>0</v>
      </c>
      <c r="AA469" s="52">
        <f ca="1">Log_2018[[#This Row],[Amount]]/Log_2018[[#This Row],[Split_raw]]*MAX(0,MIN(_xlfn.DAYS(EDATE(AA$1,1),Log_2018[[#This Row],[Date]]),Log_2018[[#This Row],[Split_apply]])) - SUM($O469:Z469)</f>
        <v>0</v>
      </c>
      <c r="AB469" s="54">
        <f ca="1">Log_2018[[#This Row],[Amount]]-SUM(O469:AA469)</f>
        <v>0</v>
      </c>
      <c r="AC469" s="7">
        <f ca="1">MAX(0,Log_2018[[#This Row],[Split_apply]] - (EDATE(AA$1,1)-Log_2018[[#This Row],[Date]]))</f>
        <v>0</v>
      </c>
    </row>
    <row r="470" spans="1:29" hidden="1" x14ac:dyDescent="0.25">
      <c r="A470" s="115"/>
      <c r="B470" t="s">
        <v>6</v>
      </c>
      <c r="D470" s="39">
        <v>43241</v>
      </c>
      <c r="F470" t="s">
        <v>269</v>
      </c>
      <c r="G470" t="s">
        <v>29</v>
      </c>
      <c r="H470" s="3">
        <v>-55.25</v>
      </c>
      <c r="I470" s="36">
        <f>IF(Log_2018[[#This Row],[My Category]]="NONTRACKED",0,Log_2018[[#This Row],[Raw Amount]])</f>
        <v>-55.25</v>
      </c>
      <c r="J470" s="17">
        <f>ABS(Log_2018[[#This Row],[Amount]])</f>
        <v>55.25</v>
      </c>
      <c r="K470" s="66">
        <v>30</v>
      </c>
      <c r="L470" s="66">
        <f ca="1">IF(Log_2018[[#This Row],[Date]]&lt;=TODAY(), MIN(Log_2018[[#This Row],[Split_raw]], TODAY()-Log_2018[[#This Row],[Date]]+1), 0)</f>
        <v>30</v>
      </c>
      <c r="M470" t="s">
        <v>29</v>
      </c>
      <c r="N470" t="s">
        <v>160</v>
      </c>
      <c r="O470" s="50">
        <v>0</v>
      </c>
      <c r="P470" s="52">
        <f ca="1">Log_2018[[#This Row],[Amount]]/Log_2018[[#This Row],[Split_raw]]*MAX(0,MIN(_xlfn.DAYS(EDATE(P$1,1),Log_2018[[#This Row],[Date]]),Log_2018[[#This Row],[Split_apply]])) - SUM($O470:O470)</f>
        <v>0</v>
      </c>
      <c r="Q470" s="52">
        <f ca="1">Log_2018[[#This Row],[Amount]]/Log_2018[[#This Row],[Split_raw]]*MAX(0,MIN(_xlfn.DAYS(EDATE(Q$1,1),Log_2018[[#This Row],[Date]]),Log_2018[[#This Row],[Split_apply]])) - SUM($O470:P470)</f>
        <v>0</v>
      </c>
      <c r="R470" s="52">
        <f ca="1">Log_2018[[#This Row],[Amount]]/Log_2018[[#This Row],[Split_raw]]*MAX(0,MIN(_xlfn.DAYS(EDATE(R$1,1),Log_2018[[#This Row],[Date]]),Log_2018[[#This Row],[Split_apply]])) - SUM($O470:Q470)</f>
        <v>0</v>
      </c>
      <c r="S470" s="52">
        <f ca="1">Log_2018[[#This Row],[Amount]]/Log_2018[[#This Row],[Split_raw]]*MAX(0,MIN(_xlfn.DAYS(EDATE(S$1,1),Log_2018[[#This Row],[Date]]),Log_2018[[#This Row],[Split_apply]])) - SUM($O470:R470)</f>
        <v>0</v>
      </c>
      <c r="T470" s="52">
        <f ca="1">Log_2018[[#This Row],[Amount]]/Log_2018[[#This Row],[Split_raw]]*MAX(0,MIN(_xlfn.DAYS(EDATE(T$1,1),Log_2018[[#This Row],[Date]]),Log_2018[[#This Row],[Split_apply]])) - SUM($O470:S470)</f>
        <v>-20.258333333333333</v>
      </c>
      <c r="U470" s="52">
        <f ca="1">Log_2018[[#This Row],[Amount]]/Log_2018[[#This Row],[Split_raw]]*MAX(0,MIN(_xlfn.DAYS(EDATE(U$1,1),Log_2018[[#This Row],[Date]]),Log_2018[[#This Row],[Split_apply]])) - SUM($O470:T470)</f>
        <v>-34.991666666666667</v>
      </c>
      <c r="V470" s="52">
        <f ca="1">Log_2018[[#This Row],[Amount]]/Log_2018[[#This Row],[Split_raw]]*MAX(0,MIN(_xlfn.DAYS(EDATE(V$1,1),Log_2018[[#This Row],[Date]]),Log_2018[[#This Row],[Split_apply]])) - SUM($O470:U470)</f>
        <v>0</v>
      </c>
      <c r="W470" s="52">
        <f ca="1">Log_2018[[#This Row],[Amount]]/Log_2018[[#This Row],[Split_raw]]*MAX(0,MIN(_xlfn.DAYS(EDATE(W$1,1),Log_2018[[#This Row],[Date]]),Log_2018[[#This Row],[Split_apply]])) - SUM($O470:V470)</f>
        <v>0</v>
      </c>
      <c r="X470" s="52">
        <f ca="1">Log_2018[[#This Row],[Amount]]/Log_2018[[#This Row],[Split_raw]]*MAX(0,MIN(_xlfn.DAYS(EDATE(X$1,1),Log_2018[[#This Row],[Date]]),Log_2018[[#This Row],[Split_apply]])) - SUM($O470:W470)</f>
        <v>0</v>
      </c>
      <c r="Y470" s="52">
        <f ca="1">Log_2018[[#This Row],[Amount]]/Log_2018[[#This Row],[Split_raw]]*MAX(0,MIN(_xlfn.DAYS(EDATE(Y$1,1),Log_2018[[#This Row],[Date]]),Log_2018[[#This Row],[Split_apply]])) - SUM($O470:X470)</f>
        <v>0</v>
      </c>
      <c r="Z470" s="52">
        <f ca="1">Log_2018[[#This Row],[Amount]]/Log_2018[[#This Row],[Split_raw]]*MAX(0,MIN(_xlfn.DAYS(EDATE(Z$1,1),Log_2018[[#This Row],[Date]]),Log_2018[[#This Row],[Split_apply]])) - SUM($O470:Y470)</f>
        <v>0</v>
      </c>
      <c r="AA470" s="52">
        <f ca="1">Log_2018[[#This Row],[Amount]]/Log_2018[[#This Row],[Split_raw]]*MAX(0,MIN(_xlfn.DAYS(EDATE(AA$1,1),Log_2018[[#This Row],[Date]]),Log_2018[[#This Row],[Split_apply]])) - SUM($O470:Z470)</f>
        <v>0</v>
      </c>
      <c r="AB470" s="54">
        <f ca="1">Log_2018[[#This Row],[Amount]]-SUM(O470:AA470)</f>
        <v>0</v>
      </c>
      <c r="AC470" s="7">
        <f ca="1">MAX(0,Log_2018[[#This Row],[Split_apply]] - (EDATE(AA$1,1)-Log_2018[[#This Row],[Date]]))</f>
        <v>0</v>
      </c>
    </row>
    <row r="471" spans="1:29" hidden="1" x14ac:dyDescent="0.25">
      <c r="A471" s="115"/>
      <c r="B471" t="s">
        <v>6</v>
      </c>
      <c r="D471" s="39">
        <v>43240</v>
      </c>
      <c r="F471" t="s">
        <v>290</v>
      </c>
      <c r="G471" t="s">
        <v>27</v>
      </c>
      <c r="H471" s="3">
        <v>-55</v>
      </c>
      <c r="I471" s="36">
        <f>IF(Log_2018[[#This Row],[My Category]]="NONTRACKED",0,Log_2018[[#This Row],[Raw Amount]])</f>
        <v>-55</v>
      </c>
      <c r="J471" s="17">
        <f>ABS(Log_2018[[#This Row],[Amount]])</f>
        <v>55</v>
      </c>
      <c r="K471" s="66">
        <v>1</v>
      </c>
      <c r="L471" s="66">
        <f ca="1">IF(Log_2018[[#This Row],[Date]]&lt;=TODAY(), MIN(Log_2018[[#This Row],[Split_raw]], TODAY()-Log_2018[[#This Row],[Date]]+1), 0)</f>
        <v>1</v>
      </c>
      <c r="M471" t="s">
        <v>40</v>
      </c>
      <c r="N471" t="s">
        <v>158</v>
      </c>
      <c r="O471" s="50">
        <v>0</v>
      </c>
      <c r="P471" s="52">
        <f ca="1">Log_2018[[#This Row],[Amount]]/Log_2018[[#This Row],[Split_raw]]*MAX(0,MIN(_xlfn.DAYS(EDATE(P$1,1),Log_2018[[#This Row],[Date]]),Log_2018[[#This Row],[Split_apply]])) - SUM($O471:O471)</f>
        <v>0</v>
      </c>
      <c r="Q471" s="52">
        <f ca="1">Log_2018[[#This Row],[Amount]]/Log_2018[[#This Row],[Split_raw]]*MAX(0,MIN(_xlfn.DAYS(EDATE(Q$1,1),Log_2018[[#This Row],[Date]]),Log_2018[[#This Row],[Split_apply]])) - SUM($O471:P471)</f>
        <v>0</v>
      </c>
      <c r="R471" s="52">
        <f ca="1">Log_2018[[#This Row],[Amount]]/Log_2018[[#This Row],[Split_raw]]*MAX(0,MIN(_xlfn.DAYS(EDATE(R$1,1),Log_2018[[#This Row],[Date]]),Log_2018[[#This Row],[Split_apply]])) - SUM($O471:Q471)</f>
        <v>0</v>
      </c>
      <c r="S471" s="52">
        <f ca="1">Log_2018[[#This Row],[Amount]]/Log_2018[[#This Row],[Split_raw]]*MAX(0,MIN(_xlfn.DAYS(EDATE(S$1,1),Log_2018[[#This Row],[Date]]),Log_2018[[#This Row],[Split_apply]])) - SUM($O471:R471)</f>
        <v>0</v>
      </c>
      <c r="T471" s="52">
        <f ca="1">Log_2018[[#This Row],[Amount]]/Log_2018[[#This Row],[Split_raw]]*MAX(0,MIN(_xlfn.DAYS(EDATE(T$1,1),Log_2018[[#This Row],[Date]]),Log_2018[[#This Row],[Split_apply]])) - SUM($O471:S471)</f>
        <v>-55</v>
      </c>
      <c r="U471" s="52">
        <f ca="1">Log_2018[[#This Row],[Amount]]/Log_2018[[#This Row],[Split_raw]]*MAX(0,MIN(_xlfn.DAYS(EDATE(U$1,1),Log_2018[[#This Row],[Date]]),Log_2018[[#This Row],[Split_apply]])) - SUM($O471:T471)</f>
        <v>0</v>
      </c>
      <c r="V471" s="52">
        <f ca="1">Log_2018[[#This Row],[Amount]]/Log_2018[[#This Row],[Split_raw]]*MAX(0,MIN(_xlfn.DAYS(EDATE(V$1,1),Log_2018[[#This Row],[Date]]),Log_2018[[#This Row],[Split_apply]])) - SUM($O471:U471)</f>
        <v>0</v>
      </c>
      <c r="W471" s="52">
        <f ca="1">Log_2018[[#This Row],[Amount]]/Log_2018[[#This Row],[Split_raw]]*MAX(0,MIN(_xlfn.DAYS(EDATE(W$1,1),Log_2018[[#This Row],[Date]]),Log_2018[[#This Row],[Split_apply]])) - SUM($O471:V471)</f>
        <v>0</v>
      </c>
      <c r="X471" s="52">
        <f ca="1">Log_2018[[#This Row],[Amount]]/Log_2018[[#This Row],[Split_raw]]*MAX(0,MIN(_xlfn.DAYS(EDATE(X$1,1),Log_2018[[#This Row],[Date]]),Log_2018[[#This Row],[Split_apply]])) - SUM($O471:W471)</f>
        <v>0</v>
      </c>
      <c r="Y471" s="52">
        <f ca="1">Log_2018[[#This Row],[Amount]]/Log_2018[[#This Row],[Split_raw]]*MAX(0,MIN(_xlfn.DAYS(EDATE(Y$1,1),Log_2018[[#This Row],[Date]]),Log_2018[[#This Row],[Split_apply]])) - SUM($O471:X471)</f>
        <v>0</v>
      </c>
      <c r="Z471" s="52">
        <f ca="1">Log_2018[[#This Row],[Amount]]/Log_2018[[#This Row],[Split_raw]]*MAX(0,MIN(_xlfn.DAYS(EDATE(Z$1,1),Log_2018[[#This Row],[Date]]),Log_2018[[#This Row],[Split_apply]])) - SUM($O471:Y471)</f>
        <v>0</v>
      </c>
      <c r="AA471" s="52">
        <f ca="1">Log_2018[[#This Row],[Amount]]/Log_2018[[#This Row],[Split_raw]]*MAX(0,MIN(_xlfn.DAYS(EDATE(AA$1,1),Log_2018[[#This Row],[Date]]),Log_2018[[#This Row],[Split_apply]])) - SUM($O471:Z471)</f>
        <v>0</v>
      </c>
      <c r="AB471" s="54">
        <f ca="1">Log_2018[[#This Row],[Amount]]-SUM(O471:AA471)</f>
        <v>0</v>
      </c>
      <c r="AC471" s="7">
        <f ca="1">MAX(0,Log_2018[[#This Row],[Split_apply]] - (EDATE(AA$1,1)-Log_2018[[#This Row],[Date]]))</f>
        <v>0</v>
      </c>
    </row>
    <row r="472" spans="1:29" hidden="1" x14ac:dyDescent="0.25">
      <c r="A472" s="115"/>
      <c r="B472" t="s">
        <v>6</v>
      </c>
      <c r="D472" s="39">
        <v>43240</v>
      </c>
      <c r="F472" t="s">
        <v>289</v>
      </c>
      <c r="G472" t="s">
        <v>25</v>
      </c>
      <c r="H472" s="3">
        <v>-18.57</v>
      </c>
      <c r="I472" s="36">
        <f>IF(Log_2018[[#This Row],[My Category]]="NONTRACKED",0,Log_2018[[#This Row],[Raw Amount]])</f>
        <v>-18.57</v>
      </c>
      <c r="J472" s="17">
        <f>ABS(Log_2018[[#This Row],[Amount]])</f>
        <v>18.57</v>
      </c>
      <c r="K472" s="66">
        <v>1</v>
      </c>
      <c r="L472" s="66">
        <f ca="1">IF(Log_2018[[#This Row],[Date]]&lt;=TODAY(), MIN(Log_2018[[#This Row],[Split_raw]], TODAY()-Log_2018[[#This Row],[Date]]+1), 0)</f>
        <v>1</v>
      </c>
      <c r="M472" t="s">
        <v>35</v>
      </c>
      <c r="N472" t="s">
        <v>158</v>
      </c>
      <c r="O472" s="50">
        <v>0</v>
      </c>
      <c r="P472" s="52">
        <f ca="1">Log_2018[[#This Row],[Amount]]/Log_2018[[#This Row],[Split_raw]]*MAX(0,MIN(_xlfn.DAYS(EDATE(P$1,1),Log_2018[[#This Row],[Date]]),Log_2018[[#This Row],[Split_apply]])) - SUM($O472:O472)</f>
        <v>0</v>
      </c>
      <c r="Q472" s="52">
        <f ca="1">Log_2018[[#This Row],[Amount]]/Log_2018[[#This Row],[Split_raw]]*MAX(0,MIN(_xlfn.DAYS(EDATE(Q$1,1),Log_2018[[#This Row],[Date]]),Log_2018[[#This Row],[Split_apply]])) - SUM($O472:P472)</f>
        <v>0</v>
      </c>
      <c r="R472" s="52">
        <f ca="1">Log_2018[[#This Row],[Amount]]/Log_2018[[#This Row],[Split_raw]]*MAX(0,MIN(_xlfn.DAYS(EDATE(R$1,1),Log_2018[[#This Row],[Date]]),Log_2018[[#This Row],[Split_apply]])) - SUM($O472:Q472)</f>
        <v>0</v>
      </c>
      <c r="S472" s="52">
        <f ca="1">Log_2018[[#This Row],[Amount]]/Log_2018[[#This Row],[Split_raw]]*MAX(0,MIN(_xlfn.DAYS(EDATE(S$1,1),Log_2018[[#This Row],[Date]]),Log_2018[[#This Row],[Split_apply]])) - SUM($O472:R472)</f>
        <v>0</v>
      </c>
      <c r="T472" s="52">
        <f ca="1">Log_2018[[#This Row],[Amount]]/Log_2018[[#This Row],[Split_raw]]*MAX(0,MIN(_xlfn.DAYS(EDATE(T$1,1),Log_2018[[#This Row],[Date]]),Log_2018[[#This Row],[Split_apply]])) - SUM($O472:S472)</f>
        <v>-18.57</v>
      </c>
      <c r="U472" s="52">
        <f ca="1">Log_2018[[#This Row],[Amount]]/Log_2018[[#This Row],[Split_raw]]*MAX(0,MIN(_xlfn.DAYS(EDATE(U$1,1),Log_2018[[#This Row],[Date]]),Log_2018[[#This Row],[Split_apply]])) - SUM($O472:T472)</f>
        <v>0</v>
      </c>
      <c r="V472" s="52">
        <f ca="1">Log_2018[[#This Row],[Amount]]/Log_2018[[#This Row],[Split_raw]]*MAX(0,MIN(_xlfn.DAYS(EDATE(V$1,1),Log_2018[[#This Row],[Date]]),Log_2018[[#This Row],[Split_apply]])) - SUM($O472:U472)</f>
        <v>0</v>
      </c>
      <c r="W472" s="52">
        <f ca="1">Log_2018[[#This Row],[Amount]]/Log_2018[[#This Row],[Split_raw]]*MAX(0,MIN(_xlfn.DAYS(EDATE(W$1,1),Log_2018[[#This Row],[Date]]),Log_2018[[#This Row],[Split_apply]])) - SUM($O472:V472)</f>
        <v>0</v>
      </c>
      <c r="X472" s="52">
        <f ca="1">Log_2018[[#This Row],[Amount]]/Log_2018[[#This Row],[Split_raw]]*MAX(0,MIN(_xlfn.DAYS(EDATE(X$1,1),Log_2018[[#This Row],[Date]]),Log_2018[[#This Row],[Split_apply]])) - SUM($O472:W472)</f>
        <v>0</v>
      </c>
      <c r="Y472" s="52">
        <f ca="1">Log_2018[[#This Row],[Amount]]/Log_2018[[#This Row],[Split_raw]]*MAX(0,MIN(_xlfn.DAYS(EDATE(Y$1,1),Log_2018[[#This Row],[Date]]),Log_2018[[#This Row],[Split_apply]])) - SUM($O472:X472)</f>
        <v>0</v>
      </c>
      <c r="Z472" s="52">
        <f ca="1">Log_2018[[#This Row],[Amount]]/Log_2018[[#This Row],[Split_raw]]*MAX(0,MIN(_xlfn.DAYS(EDATE(Z$1,1),Log_2018[[#This Row],[Date]]),Log_2018[[#This Row],[Split_apply]])) - SUM($O472:Y472)</f>
        <v>0</v>
      </c>
      <c r="AA472" s="52">
        <f ca="1">Log_2018[[#This Row],[Amount]]/Log_2018[[#This Row],[Split_raw]]*MAX(0,MIN(_xlfn.DAYS(EDATE(AA$1,1),Log_2018[[#This Row],[Date]]),Log_2018[[#This Row],[Split_apply]])) - SUM($O472:Z472)</f>
        <v>0</v>
      </c>
      <c r="AB472" s="54">
        <f ca="1">Log_2018[[#This Row],[Amount]]-SUM(O472:AA472)</f>
        <v>0</v>
      </c>
      <c r="AC472" s="7">
        <f ca="1">MAX(0,Log_2018[[#This Row],[Split_apply]] - (EDATE(AA$1,1)-Log_2018[[#This Row],[Date]]))</f>
        <v>0</v>
      </c>
    </row>
    <row r="473" spans="1:29" hidden="1" x14ac:dyDescent="0.25">
      <c r="A473" s="115"/>
      <c r="B473" t="s">
        <v>6</v>
      </c>
      <c r="D473" s="39">
        <v>43239</v>
      </c>
      <c r="F473" t="s">
        <v>215</v>
      </c>
      <c r="G473" t="s">
        <v>25</v>
      </c>
      <c r="H473" s="3">
        <v>-14</v>
      </c>
      <c r="I473" s="36">
        <f>IF(Log_2018[[#This Row],[My Category]]="NONTRACKED",0,Log_2018[[#This Row],[Raw Amount]])</f>
        <v>-14</v>
      </c>
      <c r="J473" s="17">
        <f>ABS(Log_2018[[#This Row],[Amount]])</f>
        <v>14</v>
      </c>
      <c r="K473" s="66">
        <v>1</v>
      </c>
      <c r="L473" s="66">
        <f ca="1">IF(Log_2018[[#This Row],[Date]]&lt;=TODAY(), MIN(Log_2018[[#This Row],[Split_raw]], TODAY()-Log_2018[[#This Row],[Date]]+1), 0)</f>
        <v>1</v>
      </c>
      <c r="M473" t="s">
        <v>40</v>
      </c>
      <c r="N473" t="s">
        <v>158</v>
      </c>
      <c r="O473" s="50">
        <v>0</v>
      </c>
      <c r="P473" s="52">
        <f ca="1">Log_2018[[#This Row],[Amount]]/Log_2018[[#This Row],[Split_raw]]*MAX(0,MIN(_xlfn.DAYS(EDATE(P$1,1),Log_2018[[#This Row],[Date]]),Log_2018[[#This Row],[Split_apply]])) - SUM($O473:O473)</f>
        <v>0</v>
      </c>
      <c r="Q473" s="52">
        <f ca="1">Log_2018[[#This Row],[Amount]]/Log_2018[[#This Row],[Split_raw]]*MAX(0,MIN(_xlfn.DAYS(EDATE(Q$1,1),Log_2018[[#This Row],[Date]]),Log_2018[[#This Row],[Split_apply]])) - SUM($O473:P473)</f>
        <v>0</v>
      </c>
      <c r="R473" s="52">
        <f ca="1">Log_2018[[#This Row],[Amount]]/Log_2018[[#This Row],[Split_raw]]*MAX(0,MIN(_xlfn.DAYS(EDATE(R$1,1),Log_2018[[#This Row],[Date]]),Log_2018[[#This Row],[Split_apply]])) - SUM($O473:Q473)</f>
        <v>0</v>
      </c>
      <c r="S473" s="52">
        <f ca="1">Log_2018[[#This Row],[Amount]]/Log_2018[[#This Row],[Split_raw]]*MAX(0,MIN(_xlfn.DAYS(EDATE(S$1,1),Log_2018[[#This Row],[Date]]),Log_2018[[#This Row],[Split_apply]])) - SUM($O473:R473)</f>
        <v>0</v>
      </c>
      <c r="T473" s="52">
        <f ca="1">Log_2018[[#This Row],[Amount]]/Log_2018[[#This Row],[Split_raw]]*MAX(0,MIN(_xlfn.DAYS(EDATE(T$1,1),Log_2018[[#This Row],[Date]]),Log_2018[[#This Row],[Split_apply]])) - SUM($O473:S473)</f>
        <v>-14</v>
      </c>
      <c r="U473" s="52">
        <f ca="1">Log_2018[[#This Row],[Amount]]/Log_2018[[#This Row],[Split_raw]]*MAX(0,MIN(_xlfn.DAYS(EDATE(U$1,1),Log_2018[[#This Row],[Date]]),Log_2018[[#This Row],[Split_apply]])) - SUM($O473:T473)</f>
        <v>0</v>
      </c>
      <c r="V473" s="52">
        <f ca="1">Log_2018[[#This Row],[Amount]]/Log_2018[[#This Row],[Split_raw]]*MAX(0,MIN(_xlfn.DAYS(EDATE(V$1,1),Log_2018[[#This Row],[Date]]),Log_2018[[#This Row],[Split_apply]])) - SUM($O473:U473)</f>
        <v>0</v>
      </c>
      <c r="W473" s="52">
        <f ca="1">Log_2018[[#This Row],[Amount]]/Log_2018[[#This Row],[Split_raw]]*MAX(0,MIN(_xlfn.DAYS(EDATE(W$1,1),Log_2018[[#This Row],[Date]]),Log_2018[[#This Row],[Split_apply]])) - SUM($O473:V473)</f>
        <v>0</v>
      </c>
      <c r="X473" s="52">
        <f ca="1">Log_2018[[#This Row],[Amount]]/Log_2018[[#This Row],[Split_raw]]*MAX(0,MIN(_xlfn.DAYS(EDATE(X$1,1),Log_2018[[#This Row],[Date]]),Log_2018[[#This Row],[Split_apply]])) - SUM($O473:W473)</f>
        <v>0</v>
      </c>
      <c r="Y473" s="52">
        <f ca="1">Log_2018[[#This Row],[Amount]]/Log_2018[[#This Row],[Split_raw]]*MAX(0,MIN(_xlfn.DAYS(EDATE(Y$1,1),Log_2018[[#This Row],[Date]]),Log_2018[[#This Row],[Split_apply]])) - SUM($O473:X473)</f>
        <v>0</v>
      </c>
      <c r="Z473" s="52">
        <f ca="1">Log_2018[[#This Row],[Amount]]/Log_2018[[#This Row],[Split_raw]]*MAX(0,MIN(_xlfn.DAYS(EDATE(Z$1,1),Log_2018[[#This Row],[Date]]),Log_2018[[#This Row],[Split_apply]])) - SUM($O473:Y473)</f>
        <v>0</v>
      </c>
      <c r="AA473" s="52">
        <f ca="1">Log_2018[[#This Row],[Amount]]/Log_2018[[#This Row],[Split_raw]]*MAX(0,MIN(_xlfn.DAYS(EDATE(AA$1,1),Log_2018[[#This Row],[Date]]),Log_2018[[#This Row],[Split_apply]])) - SUM($O473:Z473)</f>
        <v>0</v>
      </c>
      <c r="AB473" s="54">
        <f ca="1">Log_2018[[#This Row],[Amount]]-SUM(O473:AA473)</f>
        <v>0</v>
      </c>
      <c r="AC473" s="7">
        <f ca="1">MAX(0,Log_2018[[#This Row],[Split_apply]] - (EDATE(AA$1,1)-Log_2018[[#This Row],[Date]]))</f>
        <v>0</v>
      </c>
    </row>
    <row r="474" spans="1:29" hidden="1" x14ac:dyDescent="0.25">
      <c r="A474" s="115"/>
      <c r="B474" t="s">
        <v>6</v>
      </c>
      <c r="D474" s="39">
        <v>43239</v>
      </c>
      <c r="F474" t="s">
        <v>292</v>
      </c>
      <c r="G474" t="s">
        <v>25</v>
      </c>
      <c r="H474" s="3">
        <v>-18</v>
      </c>
      <c r="I474" s="36">
        <f>IF(Log_2018[[#This Row],[My Category]]="NONTRACKED",0,Log_2018[[#This Row],[Raw Amount]])</f>
        <v>-18</v>
      </c>
      <c r="J474" s="17">
        <f>ABS(Log_2018[[#This Row],[Amount]])</f>
        <v>18</v>
      </c>
      <c r="K474" s="66">
        <v>1</v>
      </c>
      <c r="L474" s="66">
        <f ca="1">IF(Log_2018[[#This Row],[Date]]&lt;=TODAY(), MIN(Log_2018[[#This Row],[Split_raw]], TODAY()-Log_2018[[#This Row],[Date]]+1), 0)</f>
        <v>1</v>
      </c>
      <c r="M474" t="s">
        <v>35</v>
      </c>
      <c r="N474" t="s">
        <v>158</v>
      </c>
      <c r="O474" s="50">
        <v>0</v>
      </c>
      <c r="P474" s="52">
        <f ca="1">Log_2018[[#This Row],[Amount]]/Log_2018[[#This Row],[Split_raw]]*MAX(0,MIN(_xlfn.DAYS(EDATE(P$1,1),Log_2018[[#This Row],[Date]]),Log_2018[[#This Row],[Split_apply]])) - SUM($O474:O474)</f>
        <v>0</v>
      </c>
      <c r="Q474" s="52">
        <f ca="1">Log_2018[[#This Row],[Amount]]/Log_2018[[#This Row],[Split_raw]]*MAX(0,MIN(_xlfn.DAYS(EDATE(Q$1,1),Log_2018[[#This Row],[Date]]),Log_2018[[#This Row],[Split_apply]])) - SUM($O474:P474)</f>
        <v>0</v>
      </c>
      <c r="R474" s="52">
        <f ca="1">Log_2018[[#This Row],[Amount]]/Log_2018[[#This Row],[Split_raw]]*MAX(0,MIN(_xlfn.DAYS(EDATE(R$1,1),Log_2018[[#This Row],[Date]]),Log_2018[[#This Row],[Split_apply]])) - SUM($O474:Q474)</f>
        <v>0</v>
      </c>
      <c r="S474" s="52">
        <f ca="1">Log_2018[[#This Row],[Amount]]/Log_2018[[#This Row],[Split_raw]]*MAX(0,MIN(_xlfn.DAYS(EDATE(S$1,1),Log_2018[[#This Row],[Date]]),Log_2018[[#This Row],[Split_apply]])) - SUM($O474:R474)</f>
        <v>0</v>
      </c>
      <c r="T474" s="52">
        <f ca="1">Log_2018[[#This Row],[Amount]]/Log_2018[[#This Row],[Split_raw]]*MAX(0,MIN(_xlfn.DAYS(EDATE(T$1,1),Log_2018[[#This Row],[Date]]),Log_2018[[#This Row],[Split_apply]])) - SUM($O474:S474)</f>
        <v>-18</v>
      </c>
      <c r="U474" s="52">
        <f ca="1">Log_2018[[#This Row],[Amount]]/Log_2018[[#This Row],[Split_raw]]*MAX(0,MIN(_xlfn.DAYS(EDATE(U$1,1),Log_2018[[#This Row],[Date]]),Log_2018[[#This Row],[Split_apply]])) - SUM($O474:T474)</f>
        <v>0</v>
      </c>
      <c r="V474" s="52">
        <f ca="1">Log_2018[[#This Row],[Amount]]/Log_2018[[#This Row],[Split_raw]]*MAX(0,MIN(_xlfn.DAYS(EDATE(V$1,1),Log_2018[[#This Row],[Date]]),Log_2018[[#This Row],[Split_apply]])) - SUM($O474:U474)</f>
        <v>0</v>
      </c>
      <c r="W474" s="52">
        <f ca="1">Log_2018[[#This Row],[Amount]]/Log_2018[[#This Row],[Split_raw]]*MAX(0,MIN(_xlfn.DAYS(EDATE(W$1,1),Log_2018[[#This Row],[Date]]),Log_2018[[#This Row],[Split_apply]])) - SUM($O474:V474)</f>
        <v>0</v>
      </c>
      <c r="X474" s="52">
        <f ca="1">Log_2018[[#This Row],[Amount]]/Log_2018[[#This Row],[Split_raw]]*MAX(0,MIN(_xlfn.DAYS(EDATE(X$1,1),Log_2018[[#This Row],[Date]]),Log_2018[[#This Row],[Split_apply]])) - SUM($O474:W474)</f>
        <v>0</v>
      </c>
      <c r="Y474" s="52">
        <f ca="1">Log_2018[[#This Row],[Amount]]/Log_2018[[#This Row],[Split_raw]]*MAX(0,MIN(_xlfn.DAYS(EDATE(Y$1,1),Log_2018[[#This Row],[Date]]),Log_2018[[#This Row],[Split_apply]])) - SUM($O474:X474)</f>
        <v>0</v>
      </c>
      <c r="Z474" s="52">
        <f ca="1">Log_2018[[#This Row],[Amount]]/Log_2018[[#This Row],[Split_raw]]*MAX(0,MIN(_xlfn.DAYS(EDATE(Z$1,1),Log_2018[[#This Row],[Date]]),Log_2018[[#This Row],[Split_apply]])) - SUM($O474:Y474)</f>
        <v>0</v>
      </c>
      <c r="AA474" s="52">
        <f ca="1">Log_2018[[#This Row],[Amount]]/Log_2018[[#This Row],[Split_raw]]*MAX(0,MIN(_xlfn.DAYS(EDATE(AA$1,1),Log_2018[[#This Row],[Date]]),Log_2018[[#This Row],[Split_apply]])) - SUM($O474:Z474)</f>
        <v>0</v>
      </c>
      <c r="AB474" s="54">
        <f ca="1">Log_2018[[#This Row],[Amount]]-SUM(O474:AA474)</f>
        <v>0</v>
      </c>
      <c r="AC474" s="7">
        <f ca="1">MAX(0,Log_2018[[#This Row],[Split_apply]] - (EDATE(AA$1,1)-Log_2018[[#This Row],[Date]]))</f>
        <v>0</v>
      </c>
    </row>
    <row r="475" spans="1:29" hidden="1" x14ac:dyDescent="0.25">
      <c r="A475" s="115"/>
      <c r="B475" t="s">
        <v>6</v>
      </c>
      <c r="D475" s="39">
        <v>43239</v>
      </c>
      <c r="F475" t="s">
        <v>185</v>
      </c>
      <c r="G475" t="s">
        <v>25</v>
      </c>
      <c r="H475" s="3">
        <v>-15.96</v>
      </c>
      <c r="I475" s="36">
        <f>IF(Log_2018[[#This Row],[My Category]]="NONTRACKED",0,Log_2018[[#This Row],[Raw Amount]])</f>
        <v>-15.96</v>
      </c>
      <c r="J475" s="17">
        <f>ABS(Log_2018[[#This Row],[Amount]])</f>
        <v>15.96</v>
      </c>
      <c r="K475" s="66">
        <v>1</v>
      </c>
      <c r="L475" s="66">
        <f ca="1">IF(Log_2018[[#This Row],[Date]]&lt;=TODAY(), MIN(Log_2018[[#This Row],[Split_raw]], TODAY()-Log_2018[[#This Row],[Date]]+1), 0)</f>
        <v>1</v>
      </c>
      <c r="M475" t="s">
        <v>35</v>
      </c>
      <c r="N475" t="s">
        <v>158</v>
      </c>
      <c r="O475" s="50">
        <v>0</v>
      </c>
      <c r="P475" s="52">
        <f ca="1">Log_2018[[#This Row],[Amount]]/Log_2018[[#This Row],[Split_raw]]*MAX(0,MIN(_xlfn.DAYS(EDATE(P$1,1),Log_2018[[#This Row],[Date]]),Log_2018[[#This Row],[Split_apply]])) - SUM($O475:O475)</f>
        <v>0</v>
      </c>
      <c r="Q475" s="52">
        <f ca="1">Log_2018[[#This Row],[Amount]]/Log_2018[[#This Row],[Split_raw]]*MAX(0,MIN(_xlfn.DAYS(EDATE(Q$1,1),Log_2018[[#This Row],[Date]]),Log_2018[[#This Row],[Split_apply]])) - SUM($O475:P475)</f>
        <v>0</v>
      </c>
      <c r="R475" s="52">
        <f ca="1">Log_2018[[#This Row],[Amount]]/Log_2018[[#This Row],[Split_raw]]*MAX(0,MIN(_xlfn.DAYS(EDATE(R$1,1),Log_2018[[#This Row],[Date]]),Log_2018[[#This Row],[Split_apply]])) - SUM($O475:Q475)</f>
        <v>0</v>
      </c>
      <c r="S475" s="52">
        <f ca="1">Log_2018[[#This Row],[Amount]]/Log_2018[[#This Row],[Split_raw]]*MAX(0,MIN(_xlfn.DAYS(EDATE(S$1,1),Log_2018[[#This Row],[Date]]),Log_2018[[#This Row],[Split_apply]])) - SUM($O475:R475)</f>
        <v>0</v>
      </c>
      <c r="T475" s="52">
        <f ca="1">Log_2018[[#This Row],[Amount]]/Log_2018[[#This Row],[Split_raw]]*MAX(0,MIN(_xlfn.DAYS(EDATE(T$1,1),Log_2018[[#This Row],[Date]]),Log_2018[[#This Row],[Split_apply]])) - SUM($O475:S475)</f>
        <v>-15.96</v>
      </c>
      <c r="U475" s="52">
        <f ca="1">Log_2018[[#This Row],[Amount]]/Log_2018[[#This Row],[Split_raw]]*MAX(0,MIN(_xlfn.DAYS(EDATE(U$1,1),Log_2018[[#This Row],[Date]]),Log_2018[[#This Row],[Split_apply]])) - SUM($O475:T475)</f>
        <v>0</v>
      </c>
      <c r="V475" s="52">
        <f ca="1">Log_2018[[#This Row],[Amount]]/Log_2018[[#This Row],[Split_raw]]*MAX(0,MIN(_xlfn.DAYS(EDATE(V$1,1),Log_2018[[#This Row],[Date]]),Log_2018[[#This Row],[Split_apply]])) - SUM($O475:U475)</f>
        <v>0</v>
      </c>
      <c r="W475" s="52">
        <f ca="1">Log_2018[[#This Row],[Amount]]/Log_2018[[#This Row],[Split_raw]]*MAX(0,MIN(_xlfn.DAYS(EDATE(W$1,1),Log_2018[[#This Row],[Date]]),Log_2018[[#This Row],[Split_apply]])) - SUM($O475:V475)</f>
        <v>0</v>
      </c>
      <c r="X475" s="52">
        <f ca="1">Log_2018[[#This Row],[Amount]]/Log_2018[[#This Row],[Split_raw]]*MAX(0,MIN(_xlfn.DAYS(EDATE(X$1,1),Log_2018[[#This Row],[Date]]),Log_2018[[#This Row],[Split_apply]])) - SUM($O475:W475)</f>
        <v>0</v>
      </c>
      <c r="Y475" s="52">
        <f ca="1">Log_2018[[#This Row],[Amount]]/Log_2018[[#This Row],[Split_raw]]*MAX(0,MIN(_xlfn.DAYS(EDATE(Y$1,1),Log_2018[[#This Row],[Date]]),Log_2018[[#This Row],[Split_apply]])) - SUM($O475:X475)</f>
        <v>0</v>
      </c>
      <c r="Z475" s="52">
        <f ca="1">Log_2018[[#This Row],[Amount]]/Log_2018[[#This Row],[Split_raw]]*MAX(0,MIN(_xlfn.DAYS(EDATE(Z$1,1),Log_2018[[#This Row],[Date]]),Log_2018[[#This Row],[Split_apply]])) - SUM($O475:Y475)</f>
        <v>0</v>
      </c>
      <c r="AA475" s="52">
        <f ca="1">Log_2018[[#This Row],[Amount]]/Log_2018[[#This Row],[Split_raw]]*MAX(0,MIN(_xlfn.DAYS(EDATE(AA$1,1),Log_2018[[#This Row],[Date]]),Log_2018[[#This Row],[Split_apply]])) - SUM($O475:Z475)</f>
        <v>0</v>
      </c>
      <c r="AB475" s="54">
        <f ca="1">Log_2018[[#This Row],[Amount]]-SUM(O475:AA475)</f>
        <v>0</v>
      </c>
      <c r="AC475" s="7">
        <f ca="1">MAX(0,Log_2018[[#This Row],[Split_apply]] - (EDATE(AA$1,1)-Log_2018[[#This Row],[Date]]))</f>
        <v>0</v>
      </c>
    </row>
    <row r="476" spans="1:29" hidden="1" x14ac:dyDescent="0.25">
      <c r="A476" s="115"/>
      <c r="B476" t="s">
        <v>6</v>
      </c>
      <c r="D476" s="26">
        <v>43239</v>
      </c>
      <c r="F476" t="s">
        <v>59</v>
      </c>
      <c r="G476" t="s">
        <v>25</v>
      </c>
      <c r="H476" s="3">
        <v>-7.94</v>
      </c>
      <c r="I476" s="36">
        <f>IF(Log_2018[[#This Row],[My Category]]="NONTRACKED",0,Log_2018[[#This Row],[Raw Amount]])</f>
        <v>-7.94</v>
      </c>
      <c r="J476" s="17">
        <f>ABS(Log_2018[[#This Row],[Amount]])</f>
        <v>7.94</v>
      </c>
      <c r="K476" s="66">
        <v>1</v>
      </c>
      <c r="L476" s="66">
        <f ca="1">IF(Log_2018[[#This Row],[Date]]&lt;=TODAY(), MIN(Log_2018[[#This Row],[Split_raw]], TODAY()-Log_2018[[#This Row],[Date]]+1), 0)</f>
        <v>1</v>
      </c>
      <c r="M476" t="s">
        <v>35</v>
      </c>
      <c r="N476" t="s">
        <v>158</v>
      </c>
      <c r="O476" s="50">
        <v>0</v>
      </c>
      <c r="P476" s="52">
        <f ca="1">Log_2018[[#This Row],[Amount]]/Log_2018[[#This Row],[Split_raw]]*MAX(0,MIN(_xlfn.DAYS(EDATE(P$1,1),Log_2018[[#This Row],[Date]]),Log_2018[[#This Row],[Split_apply]])) - SUM($O476:O476)</f>
        <v>0</v>
      </c>
      <c r="Q476" s="52">
        <f ca="1">Log_2018[[#This Row],[Amount]]/Log_2018[[#This Row],[Split_raw]]*MAX(0,MIN(_xlfn.DAYS(EDATE(Q$1,1),Log_2018[[#This Row],[Date]]),Log_2018[[#This Row],[Split_apply]])) - SUM($O476:P476)</f>
        <v>0</v>
      </c>
      <c r="R476" s="52">
        <f ca="1">Log_2018[[#This Row],[Amount]]/Log_2018[[#This Row],[Split_raw]]*MAX(0,MIN(_xlfn.DAYS(EDATE(R$1,1),Log_2018[[#This Row],[Date]]),Log_2018[[#This Row],[Split_apply]])) - SUM($O476:Q476)</f>
        <v>0</v>
      </c>
      <c r="S476" s="52">
        <f ca="1">Log_2018[[#This Row],[Amount]]/Log_2018[[#This Row],[Split_raw]]*MAX(0,MIN(_xlfn.DAYS(EDATE(S$1,1),Log_2018[[#This Row],[Date]]),Log_2018[[#This Row],[Split_apply]])) - SUM($O476:R476)</f>
        <v>0</v>
      </c>
      <c r="T476" s="52">
        <f ca="1">Log_2018[[#This Row],[Amount]]/Log_2018[[#This Row],[Split_raw]]*MAX(0,MIN(_xlfn.DAYS(EDATE(T$1,1),Log_2018[[#This Row],[Date]]),Log_2018[[#This Row],[Split_apply]])) - SUM($O476:S476)</f>
        <v>-7.94</v>
      </c>
      <c r="U476" s="52">
        <f ca="1">Log_2018[[#This Row],[Amount]]/Log_2018[[#This Row],[Split_raw]]*MAX(0,MIN(_xlfn.DAYS(EDATE(U$1,1),Log_2018[[#This Row],[Date]]),Log_2018[[#This Row],[Split_apply]])) - SUM($O476:T476)</f>
        <v>0</v>
      </c>
      <c r="V476" s="52">
        <f ca="1">Log_2018[[#This Row],[Amount]]/Log_2018[[#This Row],[Split_raw]]*MAX(0,MIN(_xlfn.DAYS(EDATE(V$1,1),Log_2018[[#This Row],[Date]]),Log_2018[[#This Row],[Split_apply]])) - SUM($O476:U476)</f>
        <v>0</v>
      </c>
      <c r="W476" s="52">
        <f ca="1">Log_2018[[#This Row],[Amount]]/Log_2018[[#This Row],[Split_raw]]*MAX(0,MIN(_xlfn.DAYS(EDATE(W$1,1),Log_2018[[#This Row],[Date]]),Log_2018[[#This Row],[Split_apply]])) - SUM($O476:V476)</f>
        <v>0</v>
      </c>
      <c r="X476" s="52">
        <f ca="1">Log_2018[[#This Row],[Amount]]/Log_2018[[#This Row],[Split_raw]]*MAX(0,MIN(_xlfn.DAYS(EDATE(X$1,1),Log_2018[[#This Row],[Date]]),Log_2018[[#This Row],[Split_apply]])) - SUM($O476:W476)</f>
        <v>0</v>
      </c>
      <c r="Y476" s="52">
        <f ca="1">Log_2018[[#This Row],[Amount]]/Log_2018[[#This Row],[Split_raw]]*MAX(0,MIN(_xlfn.DAYS(EDATE(Y$1,1),Log_2018[[#This Row],[Date]]),Log_2018[[#This Row],[Split_apply]])) - SUM($O476:X476)</f>
        <v>0</v>
      </c>
      <c r="Z476" s="52">
        <f ca="1">Log_2018[[#This Row],[Amount]]/Log_2018[[#This Row],[Split_raw]]*MAX(0,MIN(_xlfn.DAYS(EDATE(Z$1,1),Log_2018[[#This Row],[Date]]),Log_2018[[#This Row],[Split_apply]])) - SUM($O476:Y476)</f>
        <v>0</v>
      </c>
      <c r="AA476" s="52">
        <f ca="1">Log_2018[[#This Row],[Amount]]/Log_2018[[#This Row],[Split_raw]]*MAX(0,MIN(_xlfn.DAYS(EDATE(AA$1,1),Log_2018[[#This Row],[Date]]),Log_2018[[#This Row],[Split_apply]])) - SUM($O476:Z476)</f>
        <v>0</v>
      </c>
      <c r="AB476" s="54">
        <f ca="1">Log_2018[[#This Row],[Amount]]-SUM(O476:AA476)</f>
        <v>0</v>
      </c>
      <c r="AC476" s="7">
        <f ca="1">MAX(0,Log_2018[[#This Row],[Split_apply]] - (EDATE(AA$1,1)-Log_2018[[#This Row],[Date]]))</f>
        <v>0</v>
      </c>
    </row>
    <row r="477" spans="1:29" hidden="1" x14ac:dyDescent="0.25">
      <c r="A477" s="115"/>
      <c r="B477" t="s">
        <v>6</v>
      </c>
      <c r="D477" s="26">
        <v>43239</v>
      </c>
      <c r="F477" t="s">
        <v>201</v>
      </c>
      <c r="G477" t="s">
        <v>25</v>
      </c>
      <c r="H477" s="3">
        <v>-12.16</v>
      </c>
      <c r="I477" s="36">
        <f>IF(Log_2018[[#This Row],[My Category]]="NONTRACKED",0,Log_2018[[#This Row],[Raw Amount]])</f>
        <v>-12.16</v>
      </c>
      <c r="J477" s="17">
        <f>ABS(Log_2018[[#This Row],[Amount]])</f>
        <v>12.16</v>
      </c>
      <c r="K477" s="66">
        <v>1</v>
      </c>
      <c r="L477" s="66">
        <f ca="1">IF(Log_2018[[#This Row],[Date]]&lt;=TODAY(), MIN(Log_2018[[#This Row],[Split_raw]], TODAY()-Log_2018[[#This Row],[Date]]+1), 0)</f>
        <v>1</v>
      </c>
      <c r="M477" t="s">
        <v>35</v>
      </c>
      <c r="N477" t="s">
        <v>158</v>
      </c>
      <c r="O477" s="50">
        <v>0</v>
      </c>
      <c r="P477" s="52">
        <f ca="1">Log_2018[[#This Row],[Amount]]/Log_2018[[#This Row],[Split_raw]]*MAX(0,MIN(_xlfn.DAYS(EDATE(P$1,1),Log_2018[[#This Row],[Date]]),Log_2018[[#This Row],[Split_apply]])) - SUM($O477:O477)</f>
        <v>0</v>
      </c>
      <c r="Q477" s="52">
        <f ca="1">Log_2018[[#This Row],[Amount]]/Log_2018[[#This Row],[Split_raw]]*MAX(0,MIN(_xlfn.DAYS(EDATE(Q$1,1),Log_2018[[#This Row],[Date]]),Log_2018[[#This Row],[Split_apply]])) - SUM($O477:P477)</f>
        <v>0</v>
      </c>
      <c r="R477" s="52">
        <f ca="1">Log_2018[[#This Row],[Amount]]/Log_2018[[#This Row],[Split_raw]]*MAX(0,MIN(_xlfn.DAYS(EDATE(R$1,1),Log_2018[[#This Row],[Date]]),Log_2018[[#This Row],[Split_apply]])) - SUM($O477:Q477)</f>
        <v>0</v>
      </c>
      <c r="S477" s="52">
        <f ca="1">Log_2018[[#This Row],[Amount]]/Log_2018[[#This Row],[Split_raw]]*MAX(0,MIN(_xlfn.DAYS(EDATE(S$1,1),Log_2018[[#This Row],[Date]]),Log_2018[[#This Row],[Split_apply]])) - SUM($O477:R477)</f>
        <v>0</v>
      </c>
      <c r="T477" s="52">
        <f ca="1">Log_2018[[#This Row],[Amount]]/Log_2018[[#This Row],[Split_raw]]*MAX(0,MIN(_xlfn.DAYS(EDATE(T$1,1),Log_2018[[#This Row],[Date]]),Log_2018[[#This Row],[Split_apply]])) - SUM($O477:S477)</f>
        <v>-12.16</v>
      </c>
      <c r="U477" s="52">
        <f ca="1">Log_2018[[#This Row],[Amount]]/Log_2018[[#This Row],[Split_raw]]*MAX(0,MIN(_xlfn.DAYS(EDATE(U$1,1),Log_2018[[#This Row],[Date]]),Log_2018[[#This Row],[Split_apply]])) - SUM($O477:T477)</f>
        <v>0</v>
      </c>
      <c r="V477" s="52">
        <f ca="1">Log_2018[[#This Row],[Amount]]/Log_2018[[#This Row],[Split_raw]]*MAX(0,MIN(_xlfn.DAYS(EDATE(V$1,1),Log_2018[[#This Row],[Date]]),Log_2018[[#This Row],[Split_apply]])) - SUM($O477:U477)</f>
        <v>0</v>
      </c>
      <c r="W477" s="52">
        <f ca="1">Log_2018[[#This Row],[Amount]]/Log_2018[[#This Row],[Split_raw]]*MAX(0,MIN(_xlfn.DAYS(EDATE(W$1,1),Log_2018[[#This Row],[Date]]),Log_2018[[#This Row],[Split_apply]])) - SUM($O477:V477)</f>
        <v>0</v>
      </c>
      <c r="X477" s="52">
        <f ca="1">Log_2018[[#This Row],[Amount]]/Log_2018[[#This Row],[Split_raw]]*MAX(0,MIN(_xlfn.DAYS(EDATE(X$1,1),Log_2018[[#This Row],[Date]]),Log_2018[[#This Row],[Split_apply]])) - SUM($O477:W477)</f>
        <v>0</v>
      </c>
      <c r="Y477" s="52">
        <f ca="1">Log_2018[[#This Row],[Amount]]/Log_2018[[#This Row],[Split_raw]]*MAX(0,MIN(_xlfn.DAYS(EDATE(Y$1,1),Log_2018[[#This Row],[Date]]),Log_2018[[#This Row],[Split_apply]])) - SUM($O477:X477)</f>
        <v>0</v>
      </c>
      <c r="Z477" s="52">
        <f ca="1">Log_2018[[#This Row],[Amount]]/Log_2018[[#This Row],[Split_raw]]*MAX(0,MIN(_xlfn.DAYS(EDATE(Z$1,1),Log_2018[[#This Row],[Date]]),Log_2018[[#This Row],[Split_apply]])) - SUM($O477:Y477)</f>
        <v>0</v>
      </c>
      <c r="AA477" s="52">
        <f ca="1">Log_2018[[#This Row],[Amount]]/Log_2018[[#This Row],[Split_raw]]*MAX(0,MIN(_xlfn.DAYS(EDATE(AA$1,1),Log_2018[[#This Row],[Date]]),Log_2018[[#This Row],[Split_apply]])) - SUM($O477:Z477)</f>
        <v>0</v>
      </c>
      <c r="AB477" s="54">
        <f ca="1">Log_2018[[#This Row],[Amount]]-SUM(O477:AA477)</f>
        <v>0</v>
      </c>
      <c r="AC477" s="7">
        <f ca="1">MAX(0,Log_2018[[#This Row],[Split_apply]] - (EDATE(AA$1,1)-Log_2018[[#This Row],[Date]]))</f>
        <v>0</v>
      </c>
    </row>
    <row r="478" spans="1:29" hidden="1" x14ac:dyDescent="0.25">
      <c r="A478" s="115"/>
      <c r="B478" t="s">
        <v>6</v>
      </c>
      <c r="D478" s="26">
        <v>43239</v>
      </c>
      <c r="F478" t="s">
        <v>291</v>
      </c>
      <c r="G478" t="s">
        <v>25</v>
      </c>
      <c r="H478" s="3">
        <v>-12.86</v>
      </c>
      <c r="I478" s="36">
        <f>IF(Log_2018[[#This Row],[My Category]]="NONTRACKED",0,Log_2018[[#This Row],[Raw Amount]])</f>
        <v>-12.86</v>
      </c>
      <c r="J478" s="17">
        <f>ABS(Log_2018[[#This Row],[Amount]])</f>
        <v>12.86</v>
      </c>
      <c r="K478" s="66">
        <v>1</v>
      </c>
      <c r="L478" s="66">
        <f ca="1">IF(Log_2018[[#This Row],[Date]]&lt;=TODAY(), MIN(Log_2018[[#This Row],[Split_raw]], TODAY()-Log_2018[[#This Row],[Date]]+1), 0)</f>
        <v>1</v>
      </c>
      <c r="M478" t="s">
        <v>35</v>
      </c>
      <c r="N478" t="s">
        <v>158</v>
      </c>
      <c r="O478" s="50">
        <v>0</v>
      </c>
      <c r="P478" s="52">
        <f ca="1">Log_2018[[#This Row],[Amount]]/Log_2018[[#This Row],[Split_raw]]*MAX(0,MIN(_xlfn.DAYS(EDATE(P$1,1),Log_2018[[#This Row],[Date]]),Log_2018[[#This Row],[Split_apply]])) - SUM($O478:O478)</f>
        <v>0</v>
      </c>
      <c r="Q478" s="52">
        <f ca="1">Log_2018[[#This Row],[Amount]]/Log_2018[[#This Row],[Split_raw]]*MAX(0,MIN(_xlfn.DAYS(EDATE(Q$1,1),Log_2018[[#This Row],[Date]]),Log_2018[[#This Row],[Split_apply]])) - SUM($O478:P478)</f>
        <v>0</v>
      </c>
      <c r="R478" s="52">
        <f ca="1">Log_2018[[#This Row],[Amount]]/Log_2018[[#This Row],[Split_raw]]*MAX(0,MIN(_xlfn.DAYS(EDATE(R$1,1),Log_2018[[#This Row],[Date]]),Log_2018[[#This Row],[Split_apply]])) - SUM($O478:Q478)</f>
        <v>0</v>
      </c>
      <c r="S478" s="52">
        <f ca="1">Log_2018[[#This Row],[Amount]]/Log_2018[[#This Row],[Split_raw]]*MAX(0,MIN(_xlfn.DAYS(EDATE(S$1,1),Log_2018[[#This Row],[Date]]),Log_2018[[#This Row],[Split_apply]])) - SUM($O478:R478)</f>
        <v>0</v>
      </c>
      <c r="T478" s="52">
        <f ca="1">Log_2018[[#This Row],[Amount]]/Log_2018[[#This Row],[Split_raw]]*MAX(0,MIN(_xlfn.DAYS(EDATE(T$1,1),Log_2018[[#This Row],[Date]]),Log_2018[[#This Row],[Split_apply]])) - SUM($O478:S478)</f>
        <v>-12.86</v>
      </c>
      <c r="U478" s="52">
        <f ca="1">Log_2018[[#This Row],[Amount]]/Log_2018[[#This Row],[Split_raw]]*MAX(0,MIN(_xlfn.DAYS(EDATE(U$1,1),Log_2018[[#This Row],[Date]]),Log_2018[[#This Row],[Split_apply]])) - SUM($O478:T478)</f>
        <v>0</v>
      </c>
      <c r="V478" s="52">
        <f ca="1">Log_2018[[#This Row],[Amount]]/Log_2018[[#This Row],[Split_raw]]*MAX(0,MIN(_xlfn.DAYS(EDATE(V$1,1),Log_2018[[#This Row],[Date]]),Log_2018[[#This Row],[Split_apply]])) - SUM($O478:U478)</f>
        <v>0</v>
      </c>
      <c r="W478" s="52">
        <f ca="1">Log_2018[[#This Row],[Amount]]/Log_2018[[#This Row],[Split_raw]]*MAX(0,MIN(_xlfn.DAYS(EDATE(W$1,1),Log_2018[[#This Row],[Date]]),Log_2018[[#This Row],[Split_apply]])) - SUM($O478:V478)</f>
        <v>0</v>
      </c>
      <c r="X478" s="52">
        <f ca="1">Log_2018[[#This Row],[Amount]]/Log_2018[[#This Row],[Split_raw]]*MAX(0,MIN(_xlfn.DAYS(EDATE(X$1,1),Log_2018[[#This Row],[Date]]),Log_2018[[#This Row],[Split_apply]])) - SUM($O478:W478)</f>
        <v>0</v>
      </c>
      <c r="Y478" s="52">
        <f ca="1">Log_2018[[#This Row],[Amount]]/Log_2018[[#This Row],[Split_raw]]*MAX(0,MIN(_xlfn.DAYS(EDATE(Y$1,1),Log_2018[[#This Row],[Date]]),Log_2018[[#This Row],[Split_apply]])) - SUM($O478:X478)</f>
        <v>0</v>
      </c>
      <c r="Z478" s="52">
        <f ca="1">Log_2018[[#This Row],[Amount]]/Log_2018[[#This Row],[Split_raw]]*MAX(0,MIN(_xlfn.DAYS(EDATE(Z$1,1),Log_2018[[#This Row],[Date]]),Log_2018[[#This Row],[Split_apply]])) - SUM($O478:Y478)</f>
        <v>0</v>
      </c>
      <c r="AA478" s="52">
        <f ca="1">Log_2018[[#This Row],[Amount]]/Log_2018[[#This Row],[Split_raw]]*MAX(0,MIN(_xlfn.DAYS(EDATE(AA$1,1),Log_2018[[#This Row],[Date]]),Log_2018[[#This Row],[Split_apply]])) - SUM($O478:Z478)</f>
        <v>0</v>
      </c>
      <c r="AB478" s="54">
        <f ca="1">Log_2018[[#This Row],[Amount]]-SUM(O478:AA478)</f>
        <v>0</v>
      </c>
      <c r="AC478" s="7">
        <f ca="1">MAX(0,Log_2018[[#This Row],[Split_apply]] - (EDATE(AA$1,1)-Log_2018[[#This Row],[Date]]))</f>
        <v>0</v>
      </c>
    </row>
    <row r="479" spans="1:29" hidden="1" x14ac:dyDescent="0.25">
      <c r="A479" s="115"/>
      <c r="B479" t="s">
        <v>6</v>
      </c>
      <c r="D479" s="26">
        <v>43239</v>
      </c>
      <c r="F479" t="s">
        <v>291</v>
      </c>
      <c r="G479" t="s">
        <v>25</v>
      </c>
      <c r="H479" s="3">
        <v>-31.24</v>
      </c>
      <c r="I479" s="36">
        <f>IF(Log_2018[[#This Row],[My Category]]="NONTRACKED",0,Log_2018[[#This Row],[Raw Amount]])</f>
        <v>-31.24</v>
      </c>
      <c r="J479" s="17">
        <f>ABS(Log_2018[[#This Row],[Amount]])</f>
        <v>31.24</v>
      </c>
      <c r="K479" s="66">
        <v>1</v>
      </c>
      <c r="L479" s="66">
        <f ca="1">IF(Log_2018[[#This Row],[Date]]&lt;=TODAY(), MIN(Log_2018[[#This Row],[Split_raw]], TODAY()-Log_2018[[#This Row],[Date]]+1), 0)</f>
        <v>1</v>
      </c>
      <c r="M479" t="s">
        <v>52</v>
      </c>
      <c r="N479" t="s">
        <v>158</v>
      </c>
      <c r="O479" s="50">
        <v>0</v>
      </c>
      <c r="P479" s="52">
        <f ca="1">Log_2018[[#This Row],[Amount]]/Log_2018[[#This Row],[Split_raw]]*MAX(0,MIN(_xlfn.DAYS(EDATE(P$1,1),Log_2018[[#This Row],[Date]]),Log_2018[[#This Row],[Split_apply]])) - SUM($O479:O479)</f>
        <v>0</v>
      </c>
      <c r="Q479" s="52">
        <f ca="1">Log_2018[[#This Row],[Amount]]/Log_2018[[#This Row],[Split_raw]]*MAX(0,MIN(_xlfn.DAYS(EDATE(Q$1,1),Log_2018[[#This Row],[Date]]),Log_2018[[#This Row],[Split_apply]])) - SUM($O479:P479)</f>
        <v>0</v>
      </c>
      <c r="R479" s="52">
        <f ca="1">Log_2018[[#This Row],[Amount]]/Log_2018[[#This Row],[Split_raw]]*MAX(0,MIN(_xlfn.DAYS(EDATE(R$1,1),Log_2018[[#This Row],[Date]]),Log_2018[[#This Row],[Split_apply]])) - SUM($O479:Q479)</f>
        <v>0</v>
      </c>
      <c r="S479" s="52">
        <f ca="1">Log_2018[[#This Row],[Amount]]/Log_2018[[#This Row],[Split_raw]]*MAX(0,MIN(_xlfn.DAYS(EDATE(S$1,1),Log_2018[[#This Row],[Date]]),Log_2018[[#This Row],[Split_apply]])) - SUM($O479:R479)</f>
        <v>0</v>
      </c>
      <c r="T479" s="52">
        <f ca="1">Log_2018[[#This Row],[Amount]]/Log_2018[[#This Row],[Split_raw]]*MAX(0,MIN(_xlfn.DAYS(EDATE(T$1,1),Log_2018[[#This Row],[Date]]),Log_2018[[#This Row],[Split_apply]])) - SUM($O479:S479)</f>
        <v>-31.24</v>
      </c>
      <c r="U479" s="52">
        <f ca="1">Log_2018[[#This Row],[Amount]]/Log_2018[[#This Row],[Split_raw]]*MAX(0,MIN(_xlfn.DAYS(EDATE(U$1,1),Log_2018[[#This Row],[Date]]),Log_2018[[#This Row],[Split_apply]])) - SUM($O479:T479)</f>
        <v>0</v>
      </c>
      <c r="V479" s="52">
        <f ca="1">Log_2018[[#This Row],[Amount]]/Log_2018[[#This Row],[Split_raw]]*MAX(0,MIN(_xlfn.DAYS(EDATE(V$1,1),Log_2018[[#This Row],[Date]]),Log_2018[[#This Row],[Split_apply]])) - SUM($O479:U479)</f>
        <v>0</v>
      </c>
      <c r="W479" s="52">
        <f ca="1">Log_2018[[#This Row],[Amount]]/Log_2018[[#This Row],[Split_raw]]*MAX(0,MIN(_xlfn.DAYS(EDATE(W$1,1),Log_2018[[#This Row],[Date]]),Log_2018[[#This Row],[Split_apply]])) - SUM($O479:V479)</f>
        <v>0</v>
      </c>
      <c r="X479" s="52">
        <f ca="1">Log_2018[[#This Row],[Amount]]/Log_2018[[#This Row],[Split_raw]]*MAX(0,MIN(_xlfn.DAYS(EDATE(X$1,1),Log_2018[[#This Row],[Date]]),Log_2018[[#This Row],[Split_apply]])) - SUM($O479:W479)</f>
        <v>0</v>
      </c>
      <c r="Y479" s="52">
        <f ca="1">Log_2018[[#This Row],[Amount]]/Log_2018[[#This Row],[Split_raw]]*MAX(0,MIN(_xlfn.DAYS(EDATE(Y$1,1),Log_2018[[#This Row],[Date]]),Log_2018[[#This Row],[Split_apply]])) - SUM($O479:X479)</f>
        <v>0</v>
      </c>
      <c r="Z479" s="52">
        <f ca="1">Log_2018[[#This Row],[Amount]]/Log_2018[[#This Row],[Split_raw]]*MAX(0,MIN(_xlfn.DAYS(EDATE(Z$1,1),Log_2018[[#This Row],[Date]]),Log_2018[[#This Row],[Split_apply]])) - SUM($O479:Y479)</f>
        <v>0</v>
      </c>
      <c r="AA479" s="52">
        <f ca="1">Log_2018[[#This Row],[Amount]]/Log_2018[[#This Row],[Split_raw]]*MAX(0,MIN(_xlfn.DAYS(EDATE(AA$1,1),Log_2018[[#This Row],[Date]]),Log_2018[[#This Row],[Split_apply]])) - SUM($O479:Z479)</f>
        <v>0</v>
      </c>
      <c r="AB479" s="54">
        <f ca="1">Log_2018[[#This Row],[Amount]]-SUM(O479:AA479)</f>
        <v>0</v>
      </c>
      <c r="AC479" s="7">
        <f ca="1">MAX(0,Log_2018[[#This Row],[Split_apply]] - (EDATE(AA$1,1)-Log_2018[[#This Row],[Date]]))</f>
        <v>0</v>
      </c>
    </row>
    <row r="480" spans="1:29" hidden="1" x14ac:dyDescent="0.25">
      <c r="A480" s="115"/>
      <c r="B480" t="s">
        <v>6</v>
      </c>
      <c r="D480" s="26">
        <v>43237</v>
      </c>
      <c r="F480" t="s">
        <v>217</v>
      </c>
      <c r="G480" t="s">
        <v>12</v>
      </c>
      <c r="H480" s="3">
        <v>-116.78</v>
      </c>
      <c r="I480" s="36">
        <f>IF(Log_2018[[#This Row],[My Category]]="NONTRACKED",0,Log_2018[[#This Row],[Raw Amount]])</f>
        <v>-116.78</v>
      </c>
      <c r="J480" s="17">
        <f>ABS(Log_2018[[#This Row],[Amount]])</f>
        <v>116.78</v>
      </c>
      <c r="K480" s="66">
        <v>1</v>
      </c>
      <c r="L480" s="66">
        <f ca="1">IF(Log_2018[[#This Row],[Date]]&lt;=TODAY(), MIN(Log_2018[[#This Row],[Split_raw]], TODAY()-Log_2018[[#This Row],[Date]]+1), 0)</f>
        <v>1</v>
      </c>
      <c r="M480" t="s">
        <v>12</v>
      </c>
      <c r="N480" t="s">
        <v>158</v>
      </c>
      <c r="O480" s="50">
        <v>0</v>
      </c>
      <c r="P480" s="52">
        <f ca="1">Log_2018[[#This Row],[Amount]]/Log_2018[[#This Row],[Split_raw]]*MAX(0,MIN(_xlfn.DAYS(EDATE(P$1,1),Log_2018[[#This Row],[Date]]),Log_2018[[#This Row],[Split_apply]])) - SUM($O480:O480)</f>
        <v>0</v>
      </c>
      <c r="Q480" s="52">
        <f ca="1">Log_2018[[#This Row],[Amount]]/Log_2018[[#This Row],[Split_raw]]*MAX(0,MIN(_xlfn.DAYS(EDATE(Q$1,1),Log_2018[[#This Row],[Date]]),Log_2018[[#This Row],[Split_apply]])) - SUM($O480:P480)</f>
        <v>0</v>
      </c>
      <c r="R480" s="52">
        <f ca="1">Log_2018[[#This Row],[Amount]]/Log_2018[[#This Row],[Split_raw]]*MAX(0,MIN(_xlfn.DAYS(EDATE(R$1,1),Log_2018[[#This Row],[Date]]),Log_2018[[#This Row],[Split_apply]])) - SUM($O480:Q480)</f>
        <v>0</v>
      </c>
      <c r="S480" s="52">
        <f ca="1">Log_2018[[#This Row],[Amount]]/Log_2018[[#This Row],[Split_raw]]*MAX(0,MIN(_xlfn.DAYS(EDATE(S$1,1),Log_2018[[#This Row],[Date]]),Log_2018[[#This Row],[Split_apply]])) - SUM($O480:R480)</f>
        <v>0</v>
      </c>
      <c r="T480" s="52">
        <f ca="1">Log_2018[[#This Row],[Amount]]/Log_2018[[#This Row],[Split_raw]]*MAX(0,MIN(_xlfn.DAYS(EDATE(T$1,1),Log_2018[[#This Row],[Date]]),Log_2018[[#This Row],[Split_apply]])) - SUM($O480:S480)</f>
        <v>-116.78</v>
      </c>
      <c r="U480" s="52">
        <f ca="1">Log_2018[[#This Row],[Amount]]/Log_2018[[#This Row],[Split_raw]]*MAX(0,MIN(_xlfn.DAYS(EDATE(U$1,1),Log_2018[[#This Row],[Date]]),Log_2018[[#This Row],[Split_apply]])) - SUM($O480:T480)</f>
        <v>0</v>
      </c>
      <c r="V480" s="52">
        <f ca="1">Log_2018[[#This Row],[Amount]]/Log_2018[[#This Row],[Split_raw]]*MAX(0,MIN(_xlfn.DAYS(EDATE(V$1,1),Log_2018[[#This Row],[Date]]),Log_2018[[#This Row],[Split_apply]])) - SUM($O480:U480)</f>
        <v>0</v>
      </c>
      <c r="W480" s="52">
        <f ca="1">Log_2018[[#This Row],[Amount]]/Log_2018[[#This Row],[Split_raw]]*MAX(0,MIN(_xlfn.DAYS(EDATE(W$1,1),Log_2018[[#This Row],[Date]]),Log_2018[[#This Row],[Split_apply]])) - SUM($O480:V480)</f>
        <v>0</v>
      </c>
      <c r="X480" s="52">
        <f ca="1">Log_2018[[#This Row],[Amount]]/Log_2018[[#This Row],[Split_raw]]*MAX(0,MIN(_xlfn.DAYS(EDATE(X$1,1),Log_2018[[#This Row],[Date]]),Log_2018[[#This Row],[Split_apply]])) - SUM($O480:W480)</f>
        <v>0</v>
      </c>
      <c r="Y480" s="52">
        <f ca="1">Log_2018[[#This Row],[Amount]]/Log_2018[[#This Row],[Split_raw]]*MAX(0,MIN(_xlfn.DAYS(EDATE(Y$1,1),Log_2018[[#This Row],[Date]]),Log_2018[[#This Row],[Split_apply]])) - SUM($O480:X480)</f>
        <v>0</v>
      </c>
      <c r="Z480" s="52">
        <f ca="1">Log_2018[[#This Row],[Amount]]/Log_2018[[#This Row],[Split_raw]]*MAX(0,MIN(_xlfn.DAYS(EDATE(Z$1,1),Log_2018[[#This Row],[Date]]),Log_2018[[#This Row],[Split_apply]])) - SUM($O480:Y480)</f>
        <v>0</v>
      </c>
      <c r="AA480" s="52">
        <f ca="1">Log_2018[[#This Row],[Amount]]/Log_2018[[#This Row],[Split_raw]]*MAX(0,MIN(_xlfn.DAYS(EDATE(AA$1,1),Log_2018[[#This Row],[Date]]),Log_2018[[#This Row],[Split_apply]])) - SUM($O480:Z480)</f>
        <v>0</v>
      </c>
      <c r="AB480" s="54">
        <f ca="1">Log_2018[[#This Row],[Amount]]-SUM(O480:AA480)</f>
        <v>0</v>
      </c>
      <c r="AC480" s="7">
        <f ca="1">MAX(0,Log_2018[[#This Row],[Split_apply]] - (EDATE(AA$1,1)-Log_2018[[#This Row],[Date]]))</f>
        <v>0</v>
      </c>
    </row>
    <row r="481" spans="1:29" hidden="1" x14ac:dyDescent="0.25">
      <c r="A481" s="115"/>
      <c r="B481" t="s">
        <v>6</v>
      </c>
      <c r="D481" s="26">
        <v>43237</v>
      </c>
      <c r="F481" t="s">
        <v>59</v>
      </c>
      <c r="G481" t="s">
        <v>25</v>
      </c>
      <c r="H481" s="3">
        <v>-7.94</v>
      </c>
      <c r="I481" s="36">
        <f>IF(Log_2018[[#This Row],[My Category]]="NONTRACKED",0,Log_2018[[#This Row],[Raw Amount]])</f>
        <v>-7.94</v>
      </c>
      <c r="J481" s="17">
        <f>ABS(Log_2018[[#This Row],[Amount]])</f>
        <v>7.94</v>
      </c>
      <c r="K481" s="66">
        <v>1</v>
      </c>
      <c r="L481" s="66">
        <f ca="1">IF(Log_2018[[#This Row],[Date]]&lt;=TODAY(), MIN(Log_2018[[#This Row],[Split_raw]], TODAY()-Log_2018[[#This Row],[Date]]+1), 0)</f>
        <v>1</v>
      </c>
      <c r="M481" t="s">
        <v>35</v>
      </c>
      <c r="N481" t="s">
        <v>158</v>
      </c>
      <c r="O481" s="50">
        <v>0</v>
      </c>
      <c r="P481" s="52">
        <f ca="1">Log_2018[[#This Row],[Amount]]/Log_2018[[#This Row],[Split_raw]]*MAX(0,MIN(_xlfn.DAYS(EDATE(P$1,1),Log_2018[[#This Row],[Date]]),Log_2018[[#This Row],[Split_apply]])) - SUM($O481:O481)</f>
        <v>0</v>
      </c>
      <c r="Q481" s="52">
        <f ca="1">Log_2018[[#This Row],[Amount]]/Log_2018[[#This Row],[Split_raw]]*MAX(0,MIN(_xlfn.DAYS(EDATE(Q$1,1),Log_2018[[#This Row],[Date]]),Log_2018[[#This Row],[Split_apply]])) - SUM($O481:P481)</f>
        <v>0</v>
      </c>
      <c r="R481" s="52">
        <f ca="1">Log_2018[[#This Row],[Amount]]/Log_2018[[#This Row],[Split_raw]]*MAX(0,MIN(_xlfn.DAYS(EDATE(R$1,1),Log_2018[[#This Row],[Date]]),Log_2018[[#This Row],[Split_apply]])) - SUM($O481:Q481)</f>
        <v>0</v>
      </c>
      <c r="S481" s="52">
        <f ca="1">Log_2018[[#This Row],[Amount]]/Log_2018[[#This Row],[Split_raw]]*MAX(0,MIN(_xlfn.DAYS(EDATE(S$1,1),Log_2018[[#This Row],[Date]]),Log_2018[[#This Row],[Split_apply]])) - SUM($O481:R481)</f>
        <v>0</v>
      </c>
      <c r="T481" s="52">
        <f ca="1">Log_2018[[#This Row],[Amount]]/Log_2018[[#This Row],[Split_raw]]*MAX(0,MIN(_xlfn.DAYS(EDATE(T$1,1),Log_2018[[#This Row],[Date]]),Log_2018[[#This Row],[Split_apply]])) - SUM($O481:S481)</f>
        <v>-7.94</v>
      </c>
      <c r="U481" s="52">
        <f ca="1">Log_2018[[#This Row],[Amount]]/Log_2018[[#This Row],[Split_raw]]*MAX(0,MIN(_xlfn.DAYS(EDATE(U$1,1),Log_2018[[#This Row],[Date]]),Log_2018[[#This Row],[Split_apply]])) - SUM($O481:T481)</f>
        <v>0</v>
      </c>
      <c r="V481" s="52">
        <f ca="1">Log_2018[[#This Row],[Amount]]/Log_2018[[#This Row],[Split_raw]]*MAX(0,MIN(_xlfn.DAYS(EDATE(V$1,1),Log_2018[[#This Row],[Date]]),Log_2018[[#This Row],[Split_apply]])) - SUM($O481:U481)</f>
        <v>0</v>
      </c>
      <c r="W481" s="52">
        <f ca="1">Log_2018[[#This Row],[Amount]]/Log_2018[[#This Row],[Split_raw]]*MAX(0,MIN(_xlfn.DAYS(EDATE(W$1,1),Log_2018[[#This Row],[Date]]),Log_2018[[#This Row],[Split_apply]])) - SUM($O481:V481)</f>
        <v>0</v>
      </c>
      <c r="X481" s="52">
        <f ca="1">Log_2018[[#This Row],[Amount]]/Log_2018[[#This Row],[Split_raw]]*MAX(0,MIN(_xlfn.DAYS(EDATE(X$1,1),Log_2018[[#This Row],[Date]]),Log_2018[[#This Row],[Split_apply]])) - SUM($O481:W481)</f>
        <v>0</v>
      </c>
      <c r="Y481" s="52">
        <f ca="1">Log_2018[[#This Row],[Amount]]/Log_2018[[#This Row],[Split_raw]]*MAX(0,MIN(_xlfn.DAYS(EDATE(Y$1,1),Log_2018[[#This Row],[Date]]),Log_2018[[#This Row],[Split_apply]])) - SUM($O481:X481)</f>
        <v>0</v>
      </c>
      <c r="Z481" s="52">
        <f ca="1">Log_2018[[#This Row],[Amount]]/Log_2018[[#This Row],[Split_raw]]*MAX(0,MIN(_xlfn.DAYS(EDATE(Z$1,1),Log_2018[[#This Row],[Date]]),Log_2018[[#This Row],[Split_apply]])) - SUM($O481:Y481)</f>
        <v>0</v>
      </c>
      <c r="AA481" s="52">
        <f ca="1">Log_2018[[#This Row],[Amount]]/Log_2018[[#This Row],[Split_raw]]*MAX(0,MIN(_xlfn.DAYS(EDATE(AA$1,1),Log_2018[[#This Row],[Date]]),Log_2018[[#This Row],[Split_apply]])) - SUM($O481:Z481)</f>
        <v>0</v>
      </c>
      <c r="AB481" s="54">
        <f ca="1">Log_2018[[#This Row],[Amount]]-SUM(O481:AA481)</f>
        <v>0</v>
      </c>
      <c r="AC481" s="7">
        <f ca="1">MAX(0,Log_2018[[#This Row],[Split_apply]] - (EDATE(AA$1,1)-Log_2018[[#This Row],[Date]]))</f>
        <v>0</v>
      </c>
    </row>
    <row r="482" spans="1:29" hidden="1" x14ac:dyDescent="0.25">
      <c r="A482" s="115"/>
      <c r="B482" t="s">
        <v>6</v>
      </c>
      <c r="D482" s="26">
        <v>43236</v>
      </c>
      <c r="F482" t="s">
        <v>59</v>
      </c>
      <c r="G482" t="s">
        <v>25</v>
      </c>
      <c r="H482" s="3">
        <v>-7.94</v>
      </c>
      <c r="I482" s="36">
        <f>IF(Log_2018[[#This Row],[My Category]]="NONTRACKED",0,Log_2018[[#This Row],[Raw Amount]])</f>
        <v>-7.94</v>
      </c>
      <c r="J482" s="17">
        <f>ABS(Log_2018[[#This Row],[Amount]])</f>
        <v>7.94</v>
      </c>
      <c r="K482" s="66">
        <v>1</v>
      </c>
      <c r="L482" s="66">
        <f ca="1">IF(Log_2018[[#This Row],[Date]]&lt;=TODAY(), MIN(Log_2018[[#This Row],[Split_raw]], TODAY()-Log_2018[[#This Row],[Date]]+1), 0)</f>
        <v>1</v>
      </c>
      <c r="M482" t="s">
        <v>35</v>
      </c>
      <c r="N482" t="s">
        <v>158</v>
      </c>
      <c r="O482" s="50">
        <v>0</v>
      </c>
      <c r="P482" s="52">
        <f ca="1">Log_2018[[#This Row],[Amount]]/Log_2018[[#This Row],[Split_raw]]*MAX(0,MIN(_xlfn.DAYS(EDATE(P$1,1),Log_2018[[#This Row],[Date]]),Log_2018[[#This Row],[Split_apply]])) - SUM($O482:O482)</f>
        <v>0</v>
      </c>
      <c r="Q482" s="52">
        <f ca="1">Log_2018[[#This Row],[Amount]]/Log_2018[[#This Row],[Split_raw]]*MAX(0,MIN(_xlfn.DAYS(EDATE(Q$1,1),Log_2018[[#This Row],[Date]]),Log_2018[[#This Row],[Split_apply]])) - SUM($O482:P482)</f>
        <v>0</v>
      </c>
      <c r="R482" s="52">
        <f ca="1">Log_2018[[#This Row],[Amount]]/Log_2018[[#This Row],[Split_raw]]*MAX(0,MIN(_xlfn.DAYS(EDATE(R$1,1),Log_2018[[#This Row],[Date]]),Log_2018[[#This Row],[Split_apply]])) - SUM($O482:Q482)</f>
        <v>0</v>
      </c>
      <c r="S482" s="52">
        <f ca="1">Log_2018[[#This Row],[Amount]]/Log_2018[[#This Row],[Split_raw]]*MAX(0,MIN(_xlfn.DAYS(EDATE(S$1,1),Log_2018[[#This Row],[Date]]),Log_2018[[#This Row],[Split_apply]])) - SUM($O482:R482)</f>
        <v>0</v>
      </c>
      <c r="T482" s="52">
        <f ca="1">Log_2018[[#This Row],[Amount]]/Log_2018[[#This Row],[Split_raw]]*MAX(0,MIN(_xlfn.DAYS(EDATE(T$1,1),Log_2018[[#This Row],[Date]]),Log_2018[[#This Row],[Split_apply]])) - SUM($O482:S482)</f>
        <v>-7.94</v>
      </c>
      <c r="U482" s="52">
        <f ca="1">Log_2018[[#This Row],[Amount]]/Log_2018[[#This Row],[Split_raw]]*MAX(0,MIN(_xlfn.DAYS(EDATE(U$1,1),Log_2018[[#This Row],[Date]]),Log_2018[[#This Row],[Split_apply]])) - SUM($O482:T482)</f>
        <v>0</v>
      </c>
      <c r="V482" s="52">
        <f ca="1">Log_2018[[#This Row],[Amount]]/Log_2018[[#This Row],[Split_raw]]*MAX(0,MIN(_xlfn.DAYS(EDATE(V$1,1),Log_2018[[#This Row],[Date]]),Log_2018[[#This Row],[Split_apply]])) - SUM($O482:U482)</f>
        <v>0</v>
      </c>
      <c r="W482" s="52">
        <f ca="1">Log_2018[[#This Row],[Amount]]/Log_2018[[#This Row],[Split_raw]]*MAX(0,MIN(_xlfn.DAYS(EDATE(W$1,1),Log_2018[[#This Row],[Date]]),Log_2018[[#This Row],[Split_apply]])) - SUM($O482:V482)</f>
        <v>0</v>
      </c>
      <c r="X482" s="52">
        <f ca="1">Log_2018[[#This Row],[Amount]]/Log_2018[[#This Row],[Split_raw]]*MAX(0,MIN(_xlfn.DAYS(EDATE(X$1,1),Log_2018[[#This Row],[Date]]),Log_2018[[#This Row],[Split_apply]])) - SUM($O482:W482)</f>
        <v>0</v>
      </c>
      <c r="Y482" s="52">
        <f ca="1">Log_2018[[#This Row],[Amount]]/Log_2018[[#This Row],[Split_raw]]*MAX(0,MIN(_xlfn.DAYS(EDATE(Y$1,1),Log_2018[[#This Row],[Date]]),Log_2018[[#This Row],[Split_apply]])) - SUM($O482:X482)</f>
        <v>0</v>
      </c>
      <c r="Z482" s="52">
        <f ca="1">Log_2018[[#This Row],[Amount]]/Log_2018[[#This Row],[Split_raw]]*MAX(0,MIN(_xlfn.DAYS(EDATE(Z$1,1),Log_2018[[#This Row],[Date]]),Log_2018[[#This Row],[Split_apply]])) - SUM($O482:Y482)</f>
        <v>0</v>
      </c>
      <c r="AA482" s="52">
        <f ca="1">Log_2018[[#This Row],[Amount]]/Log_2018[[#This Row],[Split_raw]]*MAX(0,MIN(_xlfn.DAYS(EDATE(AA$1,1),Log_2018[[#This Row],[Date]]),Log_2018[[#This Row],[Split_apply]])) - SUM($O482:Z482)</f>
        <v>0</v>
      </c>
      <c r="AB482" s="54">
        <f ca="1">Log_2018[[#This Row],[Amount]]-SUM(O482:AA482)</f>
        <v>0</v>
      </c>
      <c r="AC482" s="7">
        <f ca="1">MAX(0,Log_2018[[#This Row],[Split_apply]] - (EDATE(AA$1,1)-Log_2018[[#This Row],[Date]]))</f>
        <v>0</v>
      </c>
    </row>
    <row r="483" spans="1:29" hidden="1" x14ac:dyDescent="0.25">
      <c r="A483" s="115"/>
      <c r="B483" t="s">
        <v>6</v>
      </c>
      <c r="D483" s="26">
        <v>43235</v>
      </c>
      <c r="E483" t="s">
        <v>872</v>
      </c>
      <c r="F483" t="s">
        <v>254</v>
      </c>
      <c r="G483" t="s">
        <v>22</v>
      </c>
      <c r="H483" s="3">
        <v>-17</v>
      </c>
      <c r="I483" s="36">
        <f>IF(Log_2018[[#This Row],[My Category]]="NONTRACKED",0,Log_2018[[#This Row],[Raw Amount]])</f>
        <v>-17</v>
      </c>
      <c r="J483" s="17">
        <f>ABS(Log_2018[[#This Row],[Amount]])</f>
        <v>17</v>
      </c>
      <c r="K483" s="66">
        <v>1</v>
      </c>
      <c r="L483" s="66">
        <f ca="1">IF(Log_2018[[#This Row],[Date]]&lt;=TODAY(), MIN(Log_2018[[#This Row],[Split_raw]], TODAY()-Log_2018[[#This Row],[Date]]+1), 0)</f>
        <v>1</v>
      </c>
      <c r="M483" t="s">
        <v>366</v>
      </c>
      <c r="N483" t="s">
        <v>158</v>
      </c>
      <c r="O483" s="50">
        <v>0</v>
      </c>
      <c r="P483" s="52">
        <f ca="1">Log_2018[[#This Row],[Amount]]/Log_2018[[#This Row],[Split_raw]]*MAX(0,MIN(_xlfn.DAYS(EDATE(P$1,1),Log_2018[[#This Row],[Date]]),Log_2018[[#This Row],[Split_apply]])) - SUM($O483:O483)</f>
        <v>0</v>
      </c>
      <c r="Q483" s="52">
        <f ca="1">Log_2018[[#This Row],[Amount]]/Log_2018[[#This Row],[Split_raw]]*MAX(0,MIN(_xlfn.DAYS(EDATE(Q$1,1),Log_2018[[#This Row],[Date]]),Log_2018[[#This Row],[Split_apply]])) - SUM($O483:P483)</f>
        <v>0</v>
      </c>
      <c r="R483" s="52">
        <f ca="1">Log_2018[[#This Row],[Amount]]/Log_2018[[#This Row],[Split_raw]]*MAX(0,MIN(_xlfn.DAYS(EDATE(R$1,1),Log_2018[[#This Row],[Date]]),Log_2018[[#This Row],[Split_apply]])) - SUM($O483:Q483)</f>
        <v>0</v>
      </c>
      <c r="S483" s="52">
        <f ca="1">Log_2018[[#This Row],[Amount]]/Log_2018[[#This Row],[Split_raw]]*MAX(0,MIN(_xlfn.DAYS(EDATE(S$1,1),Log_2018[[#This Row],[Date]]),Log_2018[[#This Row],[Split_apply]])) - SUM($O483:R483)</f>
        <v>0</v>
      </c>
      <c r="T483" s="52">
        <f ca="1">Log_2018[[#This Row],[Amount]]/Log_2018[[#This Row],[Split_raw]]*MAX(0,MIN(_xlfn.DAYS(EDATE(T$1,1),Log_2018[[#This Row],[Date]]),Log_2018[[#This Row],[Split_apply]])) - SUM($O483:S483)</f>
        <v>-17</v>
      </c>
      <c r="U483" s="52">
        <f ca="1">Log_2018[[#This Row],[Amount]]/Log_2018[[#This Row],[Split_raw]]*MAX(0,MIN(_xlfn.DAYS(EDATE(U$1,1),Log_2018[[#This Row],[Date]]),Log_2018[[#This Row],[Split_apply]])) - SUM($O483:T483)</f>
        <v>0</v>
      </c>
      <c r="V483" s="52">
        <f ca="1">Log_2018[[#This Row],[Amount]]/Log_2018[[#This Row],[Split_raw]]*MAX(0,MIN(_xlfn.DAYS(EDATE(V$1,1),Log_2018[[#This Row],[Date]]),Log_2018[[#This Row],[Split_apply]])) - SUM($O483:U483)</f>
        <v>0</v>
      </c>
      <c r="W483" s="52">
        <f ca="1">Log_2018[[#This Row],[Amount]]/Log_2018[[#This Row],[Split_raw]]*MAX(0,MIN(_xlfn.DAYS(EDATE(W$1,1),Log_2018[[#This Row],[Date]]),Log_2018[[#This Row],[Split_apply]])) - SUM($O483:V483)</f>
        <v>0</v>
      </c>
      <c r="X483" s="52">
        <f ca="1">Log_2018[[#This Row],[Amount]]/Log_2018[[#This Row],[Split_raw]]*MAX(0,MIN(_xlfn.DAYS(EDATE(X$1,1),Log_2018[[#This Row],[Date]]),Log_2018[[#This Row],[Split_apply]])) - SUM($O483:W483)</f>
        <v>0</v>
      </c>
      <c r="Y483" s="52">
        <f ca="1">Log_2018[[#This Row],[Amount]]/Log_2018[[#This Row],[Split_raw]]*MAX(0,MIN(_xlfn.DAYS(EDATE(Y$1,1),Log_2018[[#This Row],[Date]]),Log_2018[[#This Row],[Split_apply]])) - SUM($O483:X483)</f>
        <v>0</v>
      </c>
      <c r="Z483" s="52">
        <f ca="1">Log_2018[[#This Row],[Amount]]/Log_2018[[#This Row],[Split_raw]]*MAX(0,MIN(_xlfn.DAYS(EDATE(Z$1,1),Log_2018[[#This Row],[Date]]),Log_2018[[#This Row],[Split_apply]])) - SUM($O483:Y483)</f>
        <v>0</v>
      </c>
      <c r="AA483" s="52">
        <f ca="1">Log_2018[[#This Row],[Amount]]/Log_2018[[#This Row],[Split_raw]]*MAX(0,MIN(_xlfn.DAYS(EDATE(AA$1,1),Log_2018[[#This Row],[Date]]),Log_2018[[#This Row],[Split_apply]])) - SUM($O483:Z483)</f>
        <v>0</v>
      </c>
      <c r="AB483" s="54">
        <f ca="1">Log_2018[[#This Row],[Amount]]-SUM(O483:AA483)</f>
        <v>0</v>
      </c>
      <c r="AC483" s="7">
        <f ca="1">MAX(0,Log_2018[[#This Row],[Split_apply]] - (EDATE(AA$1,1)-Log_2018[[#This Row],[Date]]))</f>
        <v>0</v>
      </c>
    </row>
    <row r="484" spans="1:29" hidden="1" x14ac:dyDescent="0.25">
      <c r="A484" s="115"/>
      <c r="B484" t="s">
        <v>6</v>
      </c>
      <c r="D484" s="26">
        <v>43235</v>
      </c>
      <c r="F484" t="s">
        <v>252</v>
      </c>
      <c r="G484" t="s">
        <v>18</v>
      </c>
      <c r="H484" s="3">
        <v>-34.4</v>
      </c>
      <c r="I484" s="36">
        <f>IF(Log_2018[[#This Row],[My Category]]="NONTRACKED",0,Log_2018[[#This Row],[Raw Amount]])</f>
        <v>-34.4</v>
      </c>
      <c r="J484" s="17">
        <f>ABS(Log_2018[[#This Row],[Amount]])</f>
        <v>34.4</v>
      </c>
      <c r="K484" s="66">
        <v>1</v>
      </c>
      <c r="L484" s="66">
        <f ca="1">IF(Log_2018[[#This Row],[Date]]&lt;=TODAY(), MIN(Log_2018[[#This Row],[Split_raw]], TODAY()-Log_2018[[#This Row],[Date]]+1), 0)</f>
        <v>1</v>
      </c>
      <c r="M484" t="s">
        <v>145</v>
      </c>
      <c r="N484" t="s">
        <v>158</v>
      </c>
      <c r="O484" s="50">
        <v>0</v>
      </c>
      <c r="P484" s="52">
        <f ca="1">Log_2018[[#This Row],[Amount]]/Log_2018[[#This Row],[Split_raw]]*MAX(0,MIN(_xlfn.DAYS(EDATE(P$1,1),Log_2018[[#This Row],[Date]]),Log_2018[[#This Row],[Split_apply]])) - SUM($O484:O484)</f>
        <v>0</v>
      </c>
      <c r="Q484" s="52">
        <f ca="1">Log_2018[[#This Row],[Amount]]/Log_2018[[#This Row],[Split_raw]]*MAX(0,MIN(_xlfn.DAYS(EDATE(Q$1,1),Log_2018[[#This Row],[Date]]),Log_2018[[#This Row],[Split_apply]])) - SUM($O484:P484)</f>
        <v>0</v>
      </c>
      <c r="R484" s="52">
        <f ca="1">Log_2018[[#This Row],[Amount]]/Log_2018[[#This Row],[Split_raw]]*MAX(0,MIN(_xlfn.DAYS(EDATE(R$1,1),Log_2018[[#This Row],[Date]]),Log_2018[[#This Row],[Split_apply]])) - SUM($O484:Q484)</f>
        <v>0</v>
      </c>
      <c r="S484" s="52">
        <f ca="1">Log_2018[[#This Row],[Amount]]/Log_2018[[#This Row],[Split_raw]]*MAX(0,MIN(_xlfn.DAYS(EDATE(S$1,1),Log_2018[[#This Row],[Date]]),Log_2018[[#This Row],[Split_apply]])) - SUM($O484:R484)</f>
        <v>0</v>
      </c>
      <c r="T484" s="52">
        <f ca="1">Log_2018[[#This Row],[Amount]]/Log_2018[[#This Row],[Split_raw]]*MAX(0,MIN(_xlfn.DAYS(EDATE(T$1,1),Log_2018[[#This Row],[Date]]),Log_2018[[#This Row],[Split_apply]])) - SUM($O484:S484)</f>
        <v>-34.4</v>
      </c>
      <c r="U484" s="52">
        <f ca="1">Log_2018[[#This Row],[Amount]]/Log_2018[[#This Row],[Split_raw]]*MAX(0,MIN(_xlfn.DAYS(EDATE(U$1,1),Log_2018[[#This Row],[Date]]),Log_2018[[#This Row],[Split_apply]])) - SUM($O484:T484)</f>
        <v>0</v>
      </c>
      <c r="V484" s="52">
        <f ca="1">Log_2018[[#This Row],[Amount]]/Log_2018[[#This Row],[Split_raw]]*MAX(0,MIN(_xlfn.DAYS(EDATE(V$1,1),Log_2018[[#This Row],[Date]]),Log_2018[[#This Row],[Split_apply]])) - SUM($O484:U484)</f>
        <v>0</v>
      </c>
      <c r="W484" s="52">
        <f ca="1">Log_2018[[#This Row],[Amount]]/Log_2018[[#This Row],[Split_raw]]*MAX(0,MIN(_xlfn.DAYS(EDATE(W$1,1),Log_2018[[#This Row],[Date]]),Log_2018[[#This Row],[Split_apply]])) - SUM($O484:V484)</f>
        <v>0</v>
      </c>
      <c r="X484" s="52">
        <f ca="1">Log_2018[[#This Row],[Amount]]/Log_2018[[#This Row],[Split_raw]]*MAX(0,MIN(_xlfn.DAYS(EDATE(X$1,1),Log_2018[[#This Row],[Date]]),Log_2018[[#This Row],[Split_apply]])) - SUM($O484:W484)</f>
        <v>0</v>
      </c>
      <c r="Y484" s="52">
        <f ca="1">Log_2018[[#This Row],[Amount]]/Log_2018[[#This Row],[Split_raw]]*MAX(0,MIN(_xlfn.DAYS(EDATE(Y$1,1),Log_2018[[#This Row],[Date]]),Log_2018[[#This Row],[Split_apply]])) - SUM($O484:X484)</f>
        <v>0</v>
      </c>
      <c r="Z484" s="52">
        <f ca="1">Log_2018[[#This Row],[Amount]]/Log_2018[[#This Row],[Split_raw]]*MAX(0,MIN(_xlfn.DAYS(EDATE(Z$1,1),Log_2018[[#This Row],[Date]]),Log_2018[[#This Row],[Split_apply]])) - SUM($O484:Y484)</f>
        <v>0</v>
      </c>
      <c r="AA484" s="52">
        <f ca="1">Log_2018[[#This Row],[Amount]]/Log_2018[[#This Row],[Split_raw]]*MAX(0,MIN(_xlfn.DAYS(EDATE(AA$1,1),Log_2018[[#This Row],[Date]]),Log_2018[[#This Row],[Split_apply]])) - SUM($O484:Z484)</f>
        <v>0</v>
      </c>
      <c r="AB484" s="54">
        <f ca="1">Log_2018[[#This Row],[Amount]]-SUM(O484:AA484)</f>
        <v>0</v>
      </c>
      <c r="AC484" s="7">
        <f ca="1">MAX(0,Log_2018[[#This Row],[Split_apply]] - (EDATE(AA$1,1)-Log_2018[[#This Row],[Date]]))</f>
        <v>0</v>
      </c>
    </row>
    <row r="485" spans="1:29" hidden="1" x14ac:dyDescent="0.25">
      <c r="A485" s="115"/>
      <c r="B485" t="s">
        <v>6</v>
      </c>
      <c r="D485" s="26">
        <v>43235</v>
      </c>
      <c r="F485" t="s">
        <v>59</v>
      </c>
      <c r="G485" t="s">
        <v>25</v>
      </c>
      <c r="H485" s="3">
        <v>-7.94</v>
      </c>
      <c r="I485" s="36">
        <f>IF(Log_2018[[#This Row],[My Category]]="NONTRACKED",0,Log_2018[[#This Row],[Raw Amount]])</f>
        <v>-7.94</v>
      </c>
      <c r="J485" s="17">
        <f>ABS(Log_2018[[#This Row],[Amount]])</f>
        <v>7.94</v>
      </c>
      <c r="K485" s="66">
        <v>1</v>
      </c>
      <c r="L485" s="66">
        <f ca="1">IF(Log_2018[[#This Row],[Date]]&lt;=TODAY(), MIN(Log_2018[[#This Row],[Split_raw]], TODAY()-Log_2018[[#This Row],[Date]]+1), 0)</f>
        <v>1</v>
      </c>
      <c r="M485" t="s">
        <v>35</v>
      </c>
      <c r="N485" t="s">
        <v>158</v>
      </c>
      <c r="O485" s="50">
        <v>0</v>
      </c>
      <c r="P485" s="52">
        <f ca="1">Log_2018[[#This Row],[Amount]]/Log_2018[[#This Row],[Split_raw]]*MAX(0,MIN(_xlfn.DAYS(EDATE(P$1,1),Log_2018[[#This Row],[Date]]),Log_2018[[#This Row],[Split_apply]])) - SUM($O485:O485)</f>
        <v>0</v>
      </c>
      <c r="Q485" s="52">
        <f ca="1">Log_2018[[#This Row],[Amount]]/Log_2018[[#This Row],[Split_raw]]*MAX(0,MIN(_xlfn.DAYS(EDATE(Q$1,1),Log_2018[[#This Row],[Date]]),Log_2018[[#This Row],[Split_apply]])) - SUM($O485:P485)</f>
        <v>0</v>
      </c>
      <c r="R485" s="52">
        <f ca="1">Log_2018[[#This Row],[Amount]]/Log_2018[[#This Row],[Split_raw]]*MAX(0,MIN(_xlfn.DAYS(EDATE(R$1,1),Log_2018[[#This Row],[Date]]),Log_2018[[#This Row],[Split_apply]])) - SUM($O485:Q485)</f>
        <v>0</v>
      </c>
      <c r="S485" s="52">
        <f ca="1">Log_2018[[#This Row],[Amount]]/Log_2018[[#This Row],[Split_raw]]*MAX(0,MIN(_xlfn.DAYS(EDATE(S$1,1),Log_2018[[#This Row],[Date]]),Log_2018[[#This Row],[Split_apply]])) - SUM($O485:R485)</f>
        <v>0</v>
      </c>
      <c r="T485" s="52">
        <f ca="1">Log_2018[[#This Row],[Amount]]/Log_2018[[#This Row],[Split_raw]]*MAX(0,MIN(_xlfn.DAYS(EDATE(T$1,1),Log_2018[[#This Row],[Date]]),Log_2018[[#This Row],[Split_apply]])) - SUM($O485:S485)</f>
        <v>-7.94</v>
      </c>
      <c r="U485" s="52">
        <f ca="1">Log_2018[[#This Row],[Amount]]/Log_2018[[#This Row],[Split_raw]]*MAX(0,MIN(_xlfn.DAYS(EDATE(U$1,1),Log_2018[[#This Row],[Date]]),Log_2018[[#This Row],[Split_apply]])) - SUM($O485:T485)</f>
        <v>0</v>
      </c>
      <c r="V485" s="52">
        <f ca="1">Log_2018[[#This Row],[Amount]]/Log_2018[[#This Row],[Split_raw]]*MAX(0,MIN(_xlfn.DAYS(EDATE(V$1,1),Log_2018[[#This Row],[Date]]),Log_2018[[#This Row],[Split_apply]])) - SUM($O485:U485)</f>
        <v>0</v>
      </c>
      <c r="W485" s="52">
        <f ca="1">Log_2018[[#This Row],[Amount]]/Log_2018[[#This Row],[Split_raw]]*MAX(0,MIN(_xlfn.DAYS(EDATE(W$1,1),Log_2018[[#This Row],[Date]]),Log_2018[[#This Row],[Split_apply]])) - SUM($O485:V485)</f>
        <v>0</v>
      </c>
      <c r="X485" s="52">
        <f ca="1">Log_2018[[#This Row],[Amount]]/Log_2018[[#This Row],[Split_raw]]*MAX(0,MIN(_xlfn.DAYS(EDATE(X$1,1),Log_2018[[#This Row],[Date]]),Log_2018[[#This Row],[Split_apply]])) - SUM($O485:W485)</f>
        <v>0</v>
      </c>
      <c r="Y485" s="52">
        <f ca="1">Log_2018[[#This Row],[Amount]]/Log_2018[[#This Row],[Split_raw]]*MAX(0,MIN(_xlfn.DAYS(EDATE(Y$1,1),Log_2018[[#This Row],[Date]]),Log_2018[[#This Row],[Split_apply]])) - SUM($O485:X485)</f>
        <v>0</v>
      </c>
      <c r="Z485" s="52">
        <f ca="1">Log_2018[[#This Row],[Amount]]/Log_2018[[#This Row],[Split_raw]]*MAX(0,MIN(_xlfn.DAYS(EDATE(Z$1,1),Log_2018[[#This Row],[Date]]),Log_2018[[#This Row],[Split_apply]])) - SUM($O485:Y485)</f>
        <v>0</v>
      </c>
      <c r="AA485" s="52">
        <f ca="1">Log_2018[[#This Row],[Amount]]/Log_2018[[#This Row],[Split_raw]]*MAX(0,MIN(_xlfn.DAYS(EDATE(AA$1,1),Log_2018[[#This Row],[Date]]),Log_2018[[#This Row],[Split_apply]])) - SUM($O485:Z485)</f>
        <v>0</v>
      </c>
      <c r="AB485" s="54">
        <f ca="1">Log_2018[[#This Row],[Amount]]-SUM(O485:AA485)</f>
        <v>0</v>
      </c>
      <c r="AC485" s="7">
        <f ca="1">MAX(0,Log_2018[[#This Row],[Split_apply]] - (EDATE(AA$1,1)-Log_2018[[#This Row],[Date]]))</f>
        <v>0</v>
      </c>
    </row>
    <row r="486" spans="1:29" hidden="1" x14ac:dyDescent="0.25">
      <c r="A486" s="115"/>
      <c r="B486" t="s">
        <v>6</v>
      </c>
      <c r="D486" s="39">
        <v>43235</v>
      </c>
      <c r="F486" t="s">
        <v>253</v>
      </c>
      <c r="G486" t="s">
        <v>25</v>
      </c>
      <c r="H486" s="3">
        <v>-4.9000000000000004</v>
      </c>
      <c r="I486" s="36">
        <f>IF(Log_2018[[#This Row],[My Category]]="NONTRACKED",0,Log_2018[[#This Row],[Raw Amount]])</f>
        <v>-4.9000000000000004</v>
      </c>
      <c r="J486" s="17">
        <f>ABS(Log_2018[[#This Row],[Amount]])</f>
        <v>4.9000000000000004</v>
      </c>
      <c r="K486" s="66">
        <v>1</v>
      </c>
      <c r="L486" s="66">
        <f ca="1">IF(Log_2018[[#This Row],[Date]]&lt;=TODAY(), MIN(Log_2018[[#This Row],[Split_raw]], TODAY()-Log_2018[[#This Row],[Date]]+1), 0)</f>
        <v>1</v>
      </c>
      <c r="M486" t="s">
        <v>35</v>
      </c>
      <c r="N486" t="s">
        <v>158</v>
      </c>
      <c r="O486" s="50">
        <v>0</v>
      </c>
      <c r="P486" s="52">
        <f ca="1">Log_2018[[#This Row],[Amount]]/Log_2018[[#This Row],[Split_raw]]*MAX(0,MIN(_xlfn.DAYS(EDATE(P$1,1),Log_2018[[#This Row],[Date]]),Log_2018[[#This Row],[Split_apply]])) - SUM($O486:O486)</f>
        <v>0</v>
      </c>
      <c r="Q486" s="52">
        <f ca="1">Log_2018[[#This Row],[Amount]]/Log_2018[[#This Row],[Split_raw]]*MAX(0,MIN(_xlfn.DAYS(EDATE(Q$1,1),Log_2018[[#This Row],[Date]]),Log_2018[[#This Row],[Split_apply]])) - SUM($O486:P486)</f>
        <v>0</v>
      </c>
      <c r="R486" s="52">
        <f ca="1">Log_2018[[#This Row],[Amount]]/Log_2018[[#This Row],[Split_raw]]*MAX(0,MIN(_xlfn.DAYS(EDATE(R$1,1),Log_2018[[#This Row],[Date]]),Log_2018[[#This Row],[Split_apply]])) - SUM($O486:Q486)</f>
        <v>0</v>
      </c>
      <c r="S486" s="52">
        <f ca="1">Log_2018[[#This Row],[Amount]]/Log_2018[[#This Row],[Split_raw]]*MAX(0,MIN(_xlfn.DAYS(EDATE(S$1,1),Log_2018[[#This Row],[Date]]),Log_2018[[#This Row],[Split_apply]])) - SUM($O486:R486)</f>
        <v>0</v>
      </c>
      <c r="T486" s="52">
        <f ca="1">Log_2018[[#This Row],[Amount]]/Log_2018[[#This Row],[Split_raw]]*MAX(0,MIN(_xlfn.DAYS(EDATE(T$1,1),Log_2018[[#This Row],[Date]]),Log_2018[[#This Row],[Split_apply]])) - SUM($O486:S486)</f>
        <v>-4.9000000000000004</v>
      </c>
      <c r="U486" s="52">
        <f ca="1">Log_2018[[#This Row],[Amount]]/Log_2018[[#This Row],[Split_raw]]*MAX(0,MIN(_xlfn.DAYS(EDATE(U$1,1),Log_2018[[#This Row],[Date]]),Log_2018[[#This Row],[Split_apply]])) - SUM($O486:T486)</f>
        <v>0</v>
      </c>
      <c r="V486" s="52">
        <f ca="1">Log_2018[[#This Row],[Amount]]/Log_2018[[#This Row],[Split_raw]]*MAX(0,MIN(_xlfn.DAYS(EDATE(V$1,1),Log_2018[[#This Row],[Date]]),Log_2018[[#This Row],[Split_apply]])) - SUM($O486:U486)</f>
        <v>0</v>
      </c>
      <c r="W486" s="52">
        <f ca="1">Log_2018[[#This Row],[Amount]]/Log_2018[[#This Row],[Split_raw]]*MAX(0,MIN(_xlfn.DAYS(EDATE(W$1,1),Log_2018[[#This Row],[Date]]),Log_2018[[#This Row],[Split_apply]])) - SUM($O486:V486)</f>
        <v>0</v>
      </c>
      <c r="X486" s="52">
        <f ca="1">Log_2018[[#This Row],[Amount]]/Log_2018[[#This Row],[Split_raw]]*MAX(0,MIN(_xlfn.DAYS(EDATE(X$1,1),Log_2018[[#This Row],[Date]]),Log_2018[[#This Row],[Split_apply]])) - SUM($O486:W486)</f>
        <v>0</v>
      </c>
      <c r="Y486" s="52">
        <f ca="1">Log_2018[[#This Row],[Amount]]/Log_2018[[#This Row],[Split_raw]]*MAX(0,MIN(_xlfn.DAYS(EDATE(Y$1,1),Log_2018[[#This Row],[Date]]),Log_2018[[#This Row],[Split_apply]])) - SUM($O486:X486)</f>
        <v>0</v>
      </c>
      <c r="Z486" s="52">
        <f ca="1">Log_2018[[#This Row],[Amount]]/Log_2018[[#This Row],[Split_raw]]*MAX(0,MIN(_xlfn.DAYS(EDATE(Z$1,1),Log_2018[[#This Row],[Date]]),Log_2018[[#This Row],[Split_apply]])) - SUM($O486:Y486)</f>
        <v>0</v>
      </c>
      <c r="AA486" s="52">
        <f ca="1">Log_2018[[#This Row],[Amount]]/Log_2018[[#This Row],[Split_raw]]*MAX(0,MIN(_xlfn.DAYS(EDATE(AA$1,1),Log_2018[[#This Row],[Date]]),Log_2018[[#This Row],[Split_apply]])) - SUM($O486:Z486)</f>
        <v>0</v>
      </c>
      <c r="AB486" s="54">
        <f ca="1">Log_2018[[#This Row],[Amount]]-SUM(O486:AA486)</f>
        <v>0</v>
      </c>
      <c r="AC486" s="7">
        <f ca="1">MAX(0,Log_2018[[#This Row],[Split_apply]] - (EDATE(AA$1,1)-Log_2018[[#This Row],[Date]]))</f>
        <v>0</v>
      </c>
    </row>
    <row r="487" spans="1:29" hidden="1" x14ac:dyDescent="0.25">
      <c r="A487" s="115"/>
      <c r="B487" t="s">
        <v>6</v>
      </c>
      <c r="D487" s="39">
        <v>43234</v>
      </c>
      <c r="F487" t="s">
        <v>59</v>
      </c>
      <c r="G487" t="s">
        <v>25</v>
      </c>
      <c r="H487" s="3">
        <v>-7.94</v>
      </c>
      <c r="I487" s="36">
        <f>IF(Log_2018[[#This Row],[My Category]]="NONTRACKED",0,Log_2018[[#This Row],[Raw Amount]])</f>
        <v>-7.94</v>
      </c>
      <c r="J487" s="17">
        <f>ABS(Log_2018[[#This Row],[Amount]])</f>
        <v>7.94</v>
      </c>
      <c r="K487" s="66">
        <v>1</v>
      </c>
      <c r="L487" s="66">
        <f ca="1">IF(Log_2018[[#This Row],[Date]]&lt;=TODAY(), MIN(Log_2018[[#This Row],[Split_raw]], TODAY()-Log_2018[[#This Row],[Date]]+1), 0)</f>
        <v>1</v>
      </c>
      <c r="M487" t="s">
        <v>35</v>
      </c>
      <c r="N487" t="s">
        <v>158</v>
      </c>
      <c r="O487" s="50">
        <v>0</v>
      </c>
      <c r="P487" s="52">
        <f ca="1">Log_2018[[#This Row],[Amount]]/Log_2018[[#This Row],[Split_raw]]*MAX(0,MIN(_xlfn.DAYS(EDATE(P$1,1),Log_2018[[#This Row],[Date]]),Log_2018[[#This Row],[Split_apply]])) - SUM($O487:O487)</f>
        <v>0</v>
      </c>
      <c r="Q487" s="52">
        <f ca="1">Log_2018[[#This Row],[Amount]]/Log_2018[[#This Row],[Split_raw]]*MAX(0,MIN(_xlfn.DAYS(EDATE(Q$1,1),Log_2018[[#This Row],[Date]]),Log_2018[[#This Row],[Split_apply]])) - SUM($O487:P487)</f>
        <v>0</v>
      </c>
      <c r="R487" s="52">
        <f ca="1">Log_2018[[#This Row],[Amount]]/Log_2018[[#This Row],[Split_raw]]*MAX(0,MIN(_xlfn.DAYS(EDATE(R$1,1),Log_2018[[#This Row],[Date]]),Log_2018[[#This Row],[Split_apply]])) - SUM($O487:Q487)</f>
        <v>0</v>
      </c>
      <c r="S487" s="52">
        <f ca="1">Log_2018[[#This Row],[Amount]]/Log_2018[[#This Row],[Split_raw]]*MAX(0,MIN(_xlfn.DAYS(EDATE(S$1,1),Log_2018[[#This Row],[Date]]),Log_2018[[#This Row],[Split_apply]])) - SUM($O487:R487)</f>
        <v>0</v>
      </c>
      <c r="T487" s="52">
        <f ca="1">Log_2018[[#This Row],[Amount]]/Log_2018[[#This Row],[Split_raw]]*MAX(0,MIN(_xlfn.DAYS(EDATE(T$1,1),Log_2018[[#This Row],[Date]]),Log_2018[[#This Row],[Split_apply]])) - SUM($O487:S487)</f>
        <v>-7.94</v>
      </c>
      <c r="U487" s="52">
        <f ca="1">Log_2018[[#This Row],[Amount]]/Log_2018[[#This Row],[Split_raw]]*MAX(0,MIN(_xlfn.DAYS(EDATE(U$1,1),Log_2018[[#This Row],[Date]]),Log_2018[[#This Row],[Split_apply]])) - SUM($O487:T487)</f>
        <v>0</v>
      </c>
      <c r="V487" s="52">
        <f ca="1">Log_2018[[#This Row],[Amount]]/Log_2018[[#This Row],[Split_raw]]*MAX(0,MIN(_xlfn.DAYS(EDATE(V$1,1),Log_2018[[#This Row],[Date]]),Log_2018[[#This Row],[Split_apply]])) - SUM($O487:U487)</f>
        <v>0</v>
      </c>
      <c r="W487" s="52">
        <f ca="1">Log_2018[[#This Row],[Amount]]/Log_2018[[#This Row],[Split_raw]]*MAX(0,MIN(_xlfn.DAYS(EDATE(W$1,1),Log_2018[[#This Row],[Date]]),Log_2018[[#This Row],[Split_apply]])) - SUM($O487:V487)</f>
        <v>0</v>
      </c>
      <c r="X487" s="52">
        <f ca="1">Log_2018[[#This Row],[Amount]]/Log_2018[[#This Row],[Split_raw]]*MAX(0,MIN(_xlfn.DAYS(EDATE(X$1,1),Log_2018[[#This Row],[Date]]),Log_2018[[#This Row],[Split_apply]])) - SUM($O487:W487)</f>
        <v>0</v>
      </c>
      <c r="Y487" s="52">
        <f ca="1">Log_2018[[#This Row],[Amount]]/Log_2018[[#This Row],[Split_raw]]*MAX(0,MIN(_xlfn.DAYS(EDATE(Y$1,1),Log_2018[[#This Row],[Date]]),Log_2018[[#This Row],[Split_apply]])) - SUM($O487:X487)</f>
        <v>0</v>
      </c>
      <c r="Z487" s="52">
        <f ca="1">Log_2018[[#This Row],[Amount]]/Log_2018[[#This Row],[Split_raw]]*MAX(0,MIN(_xlfn.DAYS(EDATE(Z$1,1),Log_2018[[#This Row],[Date]]),Log_2018[[#This Row],[Split_apply]])) - SUM($O487:Y487)</f>
        <v>0</v>
      </c>
      <c r="AA487" s="52">
        <f ca="1">Log_2018[[#This Row],[Amount]]/Log_2018[[#This Row],[Split_raw]]*MAX(0,MIN(_xlfn.DAYS(EDATE(AA$1,1),Log_2018[[#This Row],[Date]]),Log_2018[[#This Row],[Split_apply]])) - SUM($O487:Z487)</f>
        <v>0</v>
      </c>
      <c r="AB487" s="54">
        <f ca="1">Log_2018[[#This Row],[Amount]]-SUM(O487:AA487)</f>
        <v>0</v>
      </c>
      <c r="AC487" s="7">
        <f ca="1">MAX(0,Log_2018[[#This Row],[Split_apply]] - (EDATE(AA$1,1)-Log_2018[[#This Row],[Date]]))</f>
        <v>0</v>
      </c>
    </row>
    <row r="488" spans="1:29" hidden="1" x14ac:dyDescent="0.25">
      <c r="A488" s="115"/>
      <c r="B488" t="s">
        <v>6</v>
      </c>
      <c r="D488" s="39">
        <v>43234</v>
      </c>
      <c r="F488" t="s">
        <v>242</v>
      </c>
      <c r="G488" t="s">
        <v>87</v>
      </c>
      <c r="H488" s="3">
        <f>--164.96</f>
        <v>164.96</v>
      </c>
      <c r="I488" s="36">
        <f>IF(Log_2018[[#This Row],[My Category]]="NONTRACKED",0,Log_2018[[#This Row],[Raw Amount]])</f>
        <v>164.96</v>
      </c>
      <c r="J488" s="17">
        <f>ABS(Log_2018[[#This Row],[Amount]])</f>
        <v>164.96</v>
      </c>
      <c r="K488" s="66">
        <v>1</v>
      </c>
      <c r="L488" s="66">
        <f ca="1">IF(Log_2018[[#This Row],[Date]]&lt;=TODAY(), MIN(Log_2018[[#This Row],[Split_raw]], TODAY()-Log_2018[[#This Row],[Date]]+1), 0)</f>
        <v>1</v>
      </c>
      <c r="M488" t="s">
        <v>144</v>
      </c>
      <c r="N488" t="s">
        <v>160</v>
      </c>
      <c r="O488" s="50">
        <v>0</v>
      </c>
      <c r="P488" s="52">
        <f ca="1">Log_2018[[#This Row],[Amount]]/Log_2018[[#This Row],[Split_raw]]*MAX(0,MIN(_xlfn.DAYS(EDATE(P$1,1),Log_2018[[#This Row],[Date]]),Log_2018[[#This Row],[Split_apply]])) - SUM($O488:O488)</f>
        <v>0</v>
      </c>
      <c r="Q488" s="52">
        <f ca="1">Log_2018[[#This Row],[Amount]]/Log_2018[[#This Row],[Split_raw]]*MAX(0,MIN(_xlfn.DAYS(EDATE(Q$1,1),Log_2018[[#This Row],[Date]]),Log_2018[[#This Row],[Split_apply]])) - SUM($O488:P488)</f>
        <v>0</v>
      </c>
      <c r="R488" s="52">
        <f ca="1">Log_2018[[#This Row],[Amount]]/Log_2018[[#This Row],[Split_raw]]*MAX(0,MIN(_xlfn.DAYS(EDATE(R$1,1),Log_2018[[#This Row],[Date]]),Log_2018[[#This Row],[Split_apply]])) - SUM($O488:Q488)</f>
        <v>0</v>
      </c>
      <c r="S488" s="52">
        <f ca="1">Log_2018[[#This Row],[Amount]]/Log_2018[[#This Row],[Split_raw]]*MAX(0,MIN(_xlfn.DAYS(EDATE(S$1,1),Log_2018[[#This Row],[Date]]),Log_2018[[#This Row],[Split_apply]])) - SUM($O488:R488)</f>
        <v>0</v>
      </c>
      <c r="T488" s="52">
        <f ca="1">Log_2018[[#This Row],[Amount]]/Log_2018[[#This Row],[Split_raw]]*MAX(0,MIN(_xlfn.DAYS(EDATE(T$1,1),Log_2018[[#This Row],[Date]]),Log_2018[[#This Row],[Split_apply]])) - SUM($O488:S488)</f>
        <v>164.96</v>
      </c>
      <c r="U488" s="52">
        <f ca="1">Log_2018[[#This Row],[Amount]]/Log_2018[[#This Row],[Split_raw]]*MAX(0,MIN(_xlfn.DAYS(EDATE(U$1,1),Log_2018[[#This Row],[Date]]),Log_2018[[#This Row],[Split_apply]])) - SUM($O488:T488)</f>
        <v>0</v>
      </c>
      <c r="V488" s="52">
        <f ca="1">Log_2018[[#This Row],[Amount]]/Log_2018[[#This Row],[Split_raw]]*MAX(0,MIN(_xlfn.DAYS(EDATE(V$1,1),Log_2018[[#This Row],[Date]]),Log_2018[[#This Row],[Split_apply]])) - SUM($O488:U488)</f>
        <v>0</v>
      </c>
      <c r="W488" s="52">
        <f ca="1">Log_2018[[#This Row],[Amount]]/Log_2018[[#This Row],[Split_raw]]*MAX(0,MIN(_xlfn.DAYS(EDATE(W$1,1),Log_2018[[#This Row],[Date]]),Log_2018[[#This Row],[Split_apply]])) - SUM($O488:V488)</f>
        <v>0</v>
      </c>
      <c r="X488" s="52">
        <f ca="1">Log_2018[[#This Row],[Amount]]/Log_2018[[#This Row],[Split_raw]]*MAX(0,MIN(_xlfn.DAYS(EDATE(X$1,1),Log_2018[[#This Row],[Date]]),Log_2018[[#This Row],[Split_apply]])) - SUM($O488:W488)</f>
        <v>0</v>
      </c>
      <c r="Y488" s="52">
        <f ca="1">Log_2018[[#This Row],[Amount]]/Log_2018[[#This Row],[Split_raw]]*MAX(0,MIN(_xlfn.DAYS(EDATE(Y$1,1),Log_2018[[#This Row],[Date]]),Log_2018[[#This Row],[Split_apply]])) - SUM($O488:X488)</f>
        <v>0</v>
      </c>
      <c r="Z488" s="52">
        <f ca="1">Log_2018[[#This Row],[Amount]]/Log_2018[[#This Row],[Split_raw]]*MAX(0,MIN(_xlfn.DAYS(EDATE(Z$1,1),Log_2018[[#This Row],[Date]]),Log_2018[[#This Row],[Split_apply]])) - SUM($O488:Y488)</f>
        <v>0</v>
      </c>
      <c r="AA488" s="52">
        <f ca="1">Log_2018[[#This Row],[Amount]]/Log_2018[[#This Row],[Split_raw]]*MAX(0,MIN(_xlfn.DAYS(EDATE(AA$1,1),Log_2018[[#This Row],[Date]]),Log_2018[[#This Row],[Split_apply]])) - SUM($O488:Z488)</f>
        <v>0</v>
      </c>
      <c r="AB488" s="54">
        <f ca="1">Log_2018[[#This Row],[Amount]]-SUM(O488:AA488)</f>
        <v>0</v>
      </c>
      <c r="AC488" s="7">
        <f ca="1">MAX(0,Log_2018[[#This Row],[Split_apply]] - (EDATE(AA$1,1)-Log_2018[[#This Row],[Date]]))</f>
        <v>0</v>
      </c>
    </row>
    <row r="489" spans="1:29" hidden="1" x14ac:dyDescent="0.25">
      <c r="A489" s="115"/>
      <c r="B489" t="s">
        <v>6</v>
      </c>
      <c r="D489" s="39">
        <v>43231</v>
      </c>
      <c r="F489" t="s">
        <v>59</v>
      </c>
      <c r="G489" t="s">
        <v>25</v>
      </c>
      <c r="H489" s="3">
        <v>-7.94</v>
      </c>
      <c r="I489" s="36">
        <f>IF(Log_2018[[#This Row],[My Category]]="NONTRACKED",0,Log_2018[[#This Row],[Raw Amount]])</f>
        <v>-7.94</v>
      </c>
      <c r="J489" s="17">
        <f>ABS(Log_2018[[#This Row],[Amount]])</f>
        <v>7.94</v>
      </c>
      <c r="K489" s="66">
        <v>1</v>
      </c>
      <c r="L489" s="66">
        <f ca="1">IF(Log_2018[[#This Row],[Date]]&lt;=TODAY(), MIN(Log_2018[[#This Row],[Split_raw]], TODAY()-Log_2018[[#This Row],[Date]]+1), 0)</f>
        <v>1</v>
      </c>
      <c r="M489" t="s">
        <v>35</v>
      </c>
      <c r="N489" t="s">
        <v>158</v>
      </c>
      <c r="O489" s="50">
        <v>0</v>
      </c>
      <c r="P489" s="52">
        <f ca="1">Log_2018[[#This Row],[Amount]]/Log_2018[[#This Row],[Split_raw]]*MAX(0,MIN(_xlfn.DAYS(EDATE(P$1,1),Log_2018[[#This Row],[Date]]),Log_2018[[#This Row],[Split_apply]])) - SUM($O489:O489)</f>
        <v>0</v>
      </c>
      <c r="Q489" s="52">
        <f ca="1">Log_2018[[#This Row],[Amount]]/Log_2018[[#This Row],[Split_raw]]*MAX(0,MIN(_xlfn.DAYS(EDATE(Q$1,1),Log_2018[[#This Row],[Date]]),Log_2018[[#This Row],[Split_apply]])) - SUM($O489:P489)</f>
        <v>0</v>
      </c>
      <c r="R489" s="52">
        <f ca="1">Log_2018[[#This Row],[Amount]]/Log_2018[[#This Row],[Split_raw]]*MAX(0,MIN(_xlfn.DAYS(EDATE(R$1,1),Log_2018[[#This Row],[Date]]),Log_2018[[#This Row],[Split_apply]])) - SUM($O489:Q489)</f>
        <v>0</v>
      </c>
      <c r="S489" s="52">
        <f ca="1">Log_2018[[#This Row],[Amount]]/Log_2018[[#This Row],[Split_raw]]*MAX(0,MIN(_xlfn.DAYS(EDATE(S$1,1),Log_2018[[#This Row],[Date]]),Log_2018[[#This Row],[Split_apply]])) - SUM($O489:R489)</f>
        <v>0</v>
      </c>
      <c r="T489" s="52">
        <f ca="1">Log_2018[[#This Row],[Amount]]/Log_2018[[#This Row],[Split_raw]]*MAX(0,MIN(_xlfn.DAYS(EDATE(T$1,1),Log_2018[[#This Row],[Date]]),Log_2018[[#This Row],[Split_apply]])) - SUM($O489:S489)</f>
        <v>-7.94</v>
      </c>
      <c r="U489" s="52">
        <f ca="1">Log_2018[[#This Row],[Amount]]/Log_2018[[#This Row],[Split_raw]]*MAX(0,MIN(_xlfn.DAYS(EDATE(U$1,1),Log_2018[[#This Row],[Date]]),Log_2018[[#This Row],[Split_apply]])) - SUM($O489:T489)</f>
        <v>0</v>
      </c>
      <c r="V489" s="52">
        <f ca="1">Log_2018[[#This Row],[Amount]]/Log_2018[[#This Row],[Split_raw]]*MAX(0,MIN(_xlfn.DAYS(EDATE(V$1,1),Log_2018[[#This Row],[Date]]),Log_2018[[#This Row],[Split_apply]])) - SUM($O489:U489)</f>
        <v>0</v>
      </c>
      <c r="W489" s="52">
        <f ca="1">Log_2018[[#This Row],[Amount]]/Log_2018[[#This Row],[Split_raw]]*MAX(0,MIN(_xlfn.DAYS(EDATE(W$1,1),Log_2018[[#This Row],[Date]]),Log_2018[[#This Row],[Split_apply]])) - SUM($O489:V489)</f>
        <v>0</v>
      </c>
      <c r="X489" s="52">
        <f ca="1">Log_2018[[#This Row],[Amount]]/Log_2018[[#This Row],[Split_raw]]*MAX(0,MIN(_xlfn.DAYS(EDATE(X$1,1),Log_2018[[#This Row],[Date]]),Log_2018[[#This Row],[Split_apply]])) - SUM($O489:W489)</f>
        <v>0</v>
      </c>
      <c r="Y489" s="52">
        <f ca="1">Log_2018[[#This Row],[Amount]]/Log_2018[[#This Row],[Split_raw]]*MAX(0,MIN(_xlfn.DAYS(EDATE(Y$1,1),Log_2018[[#This Row],[Date]]),Log_2018[[#This Row],[Split_apply]])) - SUM($O489:X489)</f>
        <v>0</v>
      </c>
      <c r="Z489" s="52">
        <f ca="1">Log_2018[[#This Row],[Amount]]/Log_2018[[#This Row],[Split_raw]]*MAX(0,MIN(_xlfn.DAYS(EDATE(Z$1,1),Log_2018[[#This Row],[Date]]),Log_2018[[#This Row],[Split_apply]])) - SUM($O489:Y489)</f>
        <v>0</v>
      </c>
      <c r="AA489" s="52">
        <f ca="1">Log_2018[[#This Row],[Amount]]/Log_2018[[#This Row],[Split_raw]]*MAX(0,MIN(_xlfn.DAYS(EDATE(AA$1,1),Log_2018[[#This Row],[Date]]),Log_2018[[#This Row],[Split_apply]])) - SUM($O489:Z489)</f>
        <v>0</v>
      </c>
      <c r="AB489" s="54">
        <f ca="1">Log_2018[[#This Row],[Amount]]-SUM(O489:AA489)</f>
        <v>0</v>
      </c>
      <c r="AC489" s="7">
        <f ca="1">MAX(0,Log_2018[[#This Row],[Split_apply]] - (EDATE(AA$1,1)-Log_2018[[#This Row],[Date]]))</f>
        <v>0</v>
      </c>
    </row>
    <row r="490" spans="1:29" hidden="1" x14ac:dyDescent="0.25">
      <c r="A490" s="115"/>
      <c r="B490" t="s">
        <v>6</v>
      </c>
      <c r="D490" s="39">
        <v>43231</v>
      </c>
      <c r="F490" t="s">
        <v>255</v>
      </c>
      <c r="G490" t="s">
        <v>25</v>
      </c>
      <c r="H490" s="3">
        <v>-10.93</v>
      </c>
      <c r="I490" s="36">
        <f>IF(Log_2018[[#This Row],[My Category]]="NONTRACKED",0,Log_2018[[#This Row],[Raw Amount]])</f>
        <v>-10.93</v>
      </c>
      <c r="J490" s="17">
        <f>ABS(Log_2018[[#This Row],[Amount]])</f>
        <v>10.93</v>
      </c>
      <c r="K490" s="66">
        <v>1</v>
      </c>
      <c r="L490" s="66">
        <f ca="1">IF(Log_2018[[#This Row],[Date]]&lt;=TODAY(), MIN(Log_2018[[#This Row],[Split_raw]], TODAY()-Log_2018[[#This Row],[Date]]+1), 0)</f>
        <v>1</v>
      </c>
      <c r="M490" t="s">
        <v>35</v>
      </c>
      <c r="N490" t="s">
        <v>158</v>
      </c>
      <c r="O490" s="50">
        <v>0</v>
      </c>
      <c r="P490" s="52">
        <f ca="1">Log_2018[[#This Row],[Amount]]/Log_2018[[#This Row],[Split_raw]]*MAX(0,MIN(_xlfn.DAYS(EDATE(P$1,1),Log_2018[[#This Row],[Date]]),Log_2018[[#This Row],[Split_apply]])) - SUM($O490:O490)</f>
        <v>0</v>
      </c>
      <c r="Q490" s="52">
        <f ca="1">Log_2018[[#This Row],[Amount]]/Log_2018[[#This Row],[Split_raw]]*MAX(0,MIN(_xlfn.DAYS(EDATE(Q$1,1),Log_2018[[#This Row],[Date]]),Log_2018[[#This Row],[Split_apply]])) - SUM($O490:P490)</f>
        <v>0</v>
      </c>
      <c r="R490" s="52">
        <f ca="1">Log_2018[[#This Row],[Amount]]/Log_2018[[#This Row],[Split_raw]]*MAX(0,MIN(_xlfn.DAYS(EDATE(R$1,1),Log_2018[[#This Row],[Date]]),Log_2018[[#This Row],[Split_apply]])) - SUM($O490:Q490)</f>
        <v>0</v>
      </c>
      <c r="S490" s="52">
        <f ca="1">Log_2018[[#This Row],[Amount]]/Log_2018[[#This Row],[Split_raw]]*MAX(0,MIN(_xlfn.DAYS(EDATE(S$1,1),Log_2018[[#This Row],[Date]]),Log_2018[[#This Row],[Split_apply]])) - SUM($O490:R490)</f>
        <v>0</v>
      </c>
      <c r="T490" s="52">
        <f ca="1">Log_2018[[#This Row],[Amount]]/Log_2018[[#This Row],[Split_raw]]*MAX(0,MIN(_xlfn.DAYS(EDATE(T$1,1),Log_2018[[#This Row],[Date]]),Log_2018[[#This Row],[Split_apply]])) - SUM($O490:S490)</f>
        <v>-10.93</v>
      </c>
      <c r="U490" s="52">
        <f ca="1">Log_2018[[#This Row],[Amount]]/Log_2018[[#This Row],[Split_raw]]*MAX(0,MIN(_xlfn.DAYS(EDATE(U$1,1),Log_2018[[#This Row],[Date]]),Log_2018[[#This Row],[Split_apply]])) - SUM($O490:T490)</f>
        <v>0</v>
      </c>
      <c r="V490" s="52">
        <f ca="1">Log_2018[[#This Row],[Amount]]/Log_2018[[#This Row],[Split_raw]]*MAX(0,MIN(_xlfn.DAYS(EDATE(V$1,1),Log_2018[[#This Row],[Date]]),Log_2018[[#This Row],[Split_apply]])) - SUM($O490:U490)</f>
        <v>0</v>
      </c>
      <c r="W490" s="52">
        <f ca="1">Log_2018[[#This Row],[Amount]]/Log_2018[[#This Row],[Split_raw]]*MAX(0,MIN(_xlfn.DAYS(EDATE(W$1,1),Log_2018[[#This Row],[Date]]),Log_2018[[#This Row],[Split_apply]])) - SUM($O490:V490)</f>
        <v>0</v>
      </c>
      <c r="X490" s="52">
        <f ca="1">Log_2018[[#This Row],[Amount]]/Log_2018[[#This Row],[Split_raw]]*MAX(0,MIN(_xlfn.DAYS(EDATE(X$1,1),Log_2018[[#This Row],[Date]]),Log_2018[[#This Row],[Split_apply]])) - SUM($O490:W490)</f>
        <v>0</v>
      </c>
      <c r="Y490" s="52">
        <f ca="1">Log_2018[[#This Row],[Amount]]/Log_2018[[#This Row],[Split_raw]]*MAX(0,MIN(_xlfn.DAYS(EDATE(Y$1,1),Log_2018[[#This Row],[Date]]),Log_2018[[#This Row],[Split_apply]])) - SUM($O490:X490)</f>
        <v>0</v>
      </c>
      <c r="Z490" s="52">
        <f ca="1">Log_2018[[#This Row],[Amount]]/Log_2018[[#This Row],[Split_raw]]*MAX(0,MIN(_xlfn.DAYS(EDATE(Z$1,1),Log_2018[[#This Row],[Date]]),Log_2018[[#This Row],[Split_apply]])) - SUM($O490:Y490)</f>
        <v>0</v>
      </c>
      <c r="AA490" s="52">
        <f ca="1">Log_2018[[#This Row],[Amount]]/Log_2018[[#This Row],[Split_raw]]*MAX(0,MIN(_xlfn.DAYS(EDATE(AA$1,1),Log_2018[[#This Row],[Date]]),Log_2018[[#This Row],[Split_apply]])) - SUM($O490:Z490)</f>
        <v>0</v>
      </c>
      <c r="AB490" s="54">
        <f ca="1">Log_2018[[#This Row],[Amount]]-SUM(O490:AA490)</f>
        <v>0</v>
      </c>
      <c r="AC490" s="7">
        <f ca="1">MAX(0,Log_2018[[#This Row],[Split_apply]] - (EDATE(AA$1,1)-Log_2018[[#This Row],[Date]]))</f>
        <v>0</v>
      </c>
    </row>
    <row r="491" spans="1:29" hidden="1" x14ac:dyDescent="0.25">
      <c r="A491" s="115"/>
      <c r="B491" t="s">
        <v>6</v>
      </c>
      <c r="D491" s="39">
        <v>43230</v>
      </c>
      <c r="F491" t="s">
        <v>256</v>
      </c>
      <c r="G491" t="s">
        <v>25</v>
      </c>
      <c r="H491" s="3">
        <v>-7.76</v>
      </c>
      <c r="I491" s="36">
        <f>IF(Log_2018[[#This Row],[My Category]]="NONTRACKED",0,Log_2018[[#This Row],[Raw Amount]])</f>
        <v>-7.76</v>
      </c>
      <c r="J491" s="17">
        <f>ABS(Log_2018[[#This Row],[Amount]])</f>
        <v>7.76</v>
      </c>
      <c r="K491" s="66">
        <v>1</v>
      </c>
      <c r="L491" s="66">
        <f ca="1">IF(Log_2018[[#This Row],[Date]]&lt;=TODAY(), MIN(Log_2018[[#This Row],[Split_raw]], TODAY()-Log_2018[[#This Row],[Date]]+1), 0)</f>
        <v>1</v>
      </c>
      <c r="M491" t="s">
        <v>35</v>
      </c>
      <c r="N491" t="s">
        <v>158</v>
      </c>
      <c r="O491" s="50">
        <v>0</v>
      </c>
      <c r="P491" s="52">
        <f ca="1">Log_2018[[#This Row],[Amount]]/Log_2018[[#This Row],[Split_raw]]*MAX(0,MIN(_xlfn.DAYS(EDATE(P$1,1),Log_2018[[#This Row],[Date]]),Log_2018[[#This Row],[Split_apply]])) - SUM($O491:O491)</f>
        <v>0</v>
      </c>
      <c r="Q491" s="52">
        <f ca="1">Log_2018[[#This Row],[Amount]]/Log_2018[[#This Row],[Split_raw]]*MAX(0,MIN(_xlfn.DAYS(EDATE(Q$1,1),Log_2018[[#This Row],[Date]]),Log_2018[[#This Row],[Split_apply]])) - SUM($O491:P491)</f>
        <v>0</v>
      </c>
      <c r="R491" s="52">
        <f ca="1">Log_2018[[#This Row],[Amount]]/Log_2018[[#This Row],[Split_raw]]*MAX(0,MIN(_xlfn.DAYS(EDATE(R$1,1),Log_2018[[#This Row],[Date]]),Log_2018[[#This Row],[Split_apply]])) - SUM($O491:Q491)</f>
        <v>0</v>
      </c>
      <c r="S491" s="52">
        <f ca="1">Log_2018[[#This Row],[Amount]]/Log_2018[[#This Row],[Split_raw]]*MAX(0,MIN(_xlfn.DAYS(EDATE(S$1,1),Log_2018[[#This Row],[Date]]),Log_2018[[#This Row],[Split_apply]])) - SUM($O491:R491)</f>
        <v>0</v>
      </c>
      <c r="T491" s="52">
        <f ca="1">Log_2018[[#This Row],[Amount]]/Log_2018[[#This Row],[Split_raw]]*MAX(0,MIN(_xlfn.DAYS(EDATE(T$1,1),Log_2018[[#This Row],[Date]]),Log_2018[[#This Row],[Split_apply]])) - SUM($O491:S491)</f>
        <v>-7.76</v>
      </c>
      <c r="U491" s="52">
        <f ca="1">Log_2018[[#This Row],[Amount]]/Log_2018[[#This Row],[Split_raw]]*MAX(0,MIN(_xlfn.DAYS(EDATE(U$1,1),Log_2018[[#This Row],[Date]]),Log_2018[[#This Row],[Split_apply]])) - SUM($O491:T491)</f>
        <v>0</v>
      </c>
      <c r="V491" s="52">
        <f ca="1">Log_2018[[#This Row],[Amount]]/Log_2018[[#This Row],[Split_raw]]*MAX(0,MIN(_xlfn.DAYS(EDATE(V$1,1),Log_2018[[#This Row],[Date]]),Log_2018[[#This Row],[Split_apply]])) - SUM($O491:U491)</f>
        <v>0</v>
      </c>
      <c r="W491" s="52">
        <f ca="1">Log_2018[[#This Row],[Amount]]/Log_2018[[#This Row],[Split_raw]]*MAX(0,MIN(_xlfn.DAYS(EDATE(W$1,1),Log_2018[[#This Row],[Date]]),Log_2018[[#This Row],[Split_apply]])) - SUM($O491:V491)</f>
        <v>0</v>
      </c>
      <c r="X491" s="52">
        <f ca="1">Log_2018[[#This Row],[Amount]]/Log_2018[[#This Row],[Split_raw]]*MAX(0,MIN(_xlfn.DAYS(EDATE(X$1,1),Log_2018[[#This Row],[Date]]),Log_2018[[#This Row],[Split_apply]])) - SUM($O491:W491)</f>
        <v>0</v>
      </c>
      <c r="Y491" s="52">
        <f ca="1">Log_2018[[#This Row],[Amount]]/Log_2018[[#This Row],[Split_raw]]*MAX(0,MIN(_xlfn.DAYS(EDATE(Y$1,1),Log_2018[[#This Row],[Date]]),Log_2018[[#This Row],[Split_apply]])) - SUM($O491:X491)</f>
        <v>0</v>
      </c>
      <c r="Z491" s="52">
        <f ca="1">Log_2018[[#This Row],[Amount]]/Log_2018[[#This Row],[Split_raw]]*MAX(0,MIN(_xlfn.DAYS(EDATE(Z$1,1),Log_2018[[#This Row],[Date]]),Log_2018[[#This Row],[Split_apply]])) - SUM($O491:Y491)</f>
        <v>0</v>
      </c>
      <c r="AA491" s="52">
        <f ca="1">Log_2018[[#This Row],[Amount]]/Log_2018[[#This Row],[Split_raw]]*MAX(0,MIN(_xlfn.DAYS(EDATE(AA$1,1),Log_2018[[#This Row],[Date]]),Log_2018[[#This Row],[Split_apply]])) - SUM($O491:Z491)</f>
        <v>0</v>
      </c>
      <c r="AB491" s="54">
        <f ca="1">Log_2018[[#This Row],[Amount]]-SUM(O491:AA491)</f>
        <v>0</v>
      </c>
      <c r="AC491" s="7">
        <f ca="1">MAX(0,Log_2018[[#This Row],[Split_apply]] - (EDATE(AA$1,1)-Log_2018[[#This Row],[Date]]))</f>
        <v>0</v>
      </c>
    </row>
    <row r="492" spans="1:29" hidden="1" x14ac:dyDescent="0.25">
      <c r="A492" s="115"/>
      <c r="B492" t="s">
        <v>6</v>
      </c>
      <c r="D492" s="39">
        <v>43230</v>
      </c>
      <c r="F492" t="s">
        <v>174</v>
      </c>
      <c r="G492" t="s">
        <v>87</v>
      </c>
      <c r="H492" s="3">
        <f>--1754.57</f>
        <v>1754.57</v>
      </c>
      <c r="I492" s="36">
        <f>IF(Log_2018[[#This Row],[My Category]]="NONTRACKED",0,Log_2018[[#This Row],[Raw Amount]])</f>
        <v>1754.57</v>
      </c>
      <c r="J492" s="17">
        <f>ABS(Log_2018[[#This Row],[Amount]])</f>
        <v>1754.57</v>
      </c>
      <c r="K492" s="66">
        <v>14</v>
      </c>
      <c r="L492" s="66">
        <f ca="1">IF(Log_2018[[#This Row],[Date]]&lt;=TODAY(), MIN(Log_2018[[#This Row],[Split_raw]], TODAY()-Log_2018[[#This Row],[Date]]+1), 0)</f>
        <v>14</v>
      </c>
      <c r="M492" t="s">
        <v>91</v>
      </c>
      <c r="N492" t="s">
        <v>160</v>
      </c>
      <c r="O492" s="50">
        <v>0</v>
      </c>
      <c r="P492" s="52">
        <f ca="1">Log_2018[[#This Row],[Amount]]/Log_2018[[#This Row],[Split_raw]]*MAX(0,MIN(_xlfn.DAYS(EDATE(P$1,1),Log_2018[[#This Row],[Date]]),Log_2018[[#This Row],[Split_apply]])) - SUM($O492:O492)</f>
        <v>0</v>
      </c>
      <c r="Q492" s="52">
        <f ca="1">Log_2018[[#This Row],[Amount]]/Log_2018[[#This Row],[Split_raw]]*MAX(0,MIN(_xlfn.DAYS(EDATE(Q$1,1),Log_2018[[#This Row],[Date]]),Log_2018[[#This Row],[Split_apply]])) - SUM($O492:P492)</f>
        <v>0</v>
      </c>
      <c r="R492" s="52">
        <f ca="1">Log_2018[[#This Row],[Amount]]/Log_2018[[#This Row],[Split_raw]]*MAX(0,MIN(_xlfn.DAYS(EDATE(R$1,1),Log_2018[[#This Row],[Date]]),Log_2018[[#This Row],[Split_apply]])) - SUM($O492:Q492)</f>
        <v>0</v>
      </c>
      <c r="S492" s="52">
        <f ca="1">Log_2018[[#This Row],[Amount]]/Log_2018[[#This Row],[Split_raw]]*MAX(0,MIN(_xlfn.DAYS(EDATE(S$1,1),Log_2018[[#This Row],[Date]]),Log_2018[[#This Row],[Split_apply]])) - SUM($O492:R492)</f>
        <v>0</v>
      </c>
      <c r="T492" s="52">
        <f ca="1">Log_2018[[#This Row],[Amount]]/Log_2018[[#This Row],[Split_raw]]*MAX(0,MIN(_xlfn.DAYS(EDATE(T$1,1),Log_2018[[#This Row],[Date]]),Log_2018[[#This Row],[Split_apply]])) - SUM($O492:S492)</f>
        <v>1754.57</v>
      </c>
      <c r="U492" s="52">
        <f ca="1">Log_2018[[#This Row],[Amount]]/Log_2018[[#This Row],[Split_raw]]*MAX(0,MIN(_xlfn.DAYS(EDATE(U$1,1),Log_2018[[#This Row],[Date]]),Log_2018[[#This Row],[Split_apply]])) - SUM($O492:T492)</f>
        <v>0</v>
      </c>
      <c r="V492" s="52">
        <f ca="1">Log_2018[[#This Row],[Amount]]/Log_2018[[#This Row],[Split_raw]]*MAX(0,MIN(_xlfn.DAYS(EDATE(V$1,1),Log_2018[[#This Row],[Date]]),Log_2018[[#This Row],[Split_apply]])) - SUM($O492:U492)</f>
        <v>0</v>
      </c>
      <c r="W492" s="52">
        <f ca="1">Log_2018[[#This Row],[Amount]]/Log_2018[[#This Row],[Split_raw]]*MAX(0,MIN(_xlfn.DAYS(EDATE(W$1,1),Log_2018[[#This Row],[Date]]),Log_2018[[#This Row],[Split_apply]])) - SUM($O492:V492)</f>
        <v>0</v>
      </c>
      <c r="X492" s="52">
        <f ca="1">Log_2018[[#This Row],[Amount]]/Log_2018[[#This Row],[Split_raw]]*MAX(0,MIN(_xlfn.DAYS(EDATE(X$1,1),Log_2018[[#This Row],[Date]]),Log_2018[[#This Row],[Split_apply]])) - SUM($O492:W492)</f>
        <v>0</v>
      </c>
      <c r="Y492" s="52">
        <f ca="1">Log_2018[[#This Row],[Amount]]/Log_2018[[#This Row],[Split_raw]]*MAX(0,MIN(_xlfn.DAYS(EDATE(Y$1,1),Log_2018[[#This Row],[Date]]),Log_2018[[#This Row],[Split_apply]])) - SUM($O492:X492)</f>
        <v>0</v>
      </c>
      <c r="Z492" s="52">
        <f ca="1">Log_2018[[#This Row],[Amount]]/Log_2018[[#This Row],[Split_raw]]*MAX(0,MIN(_xlfn.DAYS(EDATE(Z$1,1),Log_2018[[#This Row],[Date]]),Log_2018[[#This Row],[Split_apply]])) - SUM($O492:Y492)</f>
        <v>0</v>
      </c>
      <c r="AA492" s="52">
        <f ca="1">Log_2018[[#This Row],[Amount]]/Log_2018[[#This Row],[Split_raw]]*MAX(0,MIN(_xlfn.DAYS(EDATE(AA$1,1),Log_2018[[#This Row],[Date]]),Log_2018[[#This Row],[Split_apply]])) - SUM($O492:Z492)</f>
        <v>0</v>
      </c>
      <c r="AB492" s="54">
        <f ca="1">Log_2018[[#This Row],[Amount]]-SUM(O492:AA492)</f>
        <v>0</v>
      </c>
      <c r="AC492" s="7">
        <f ca="1">MAX(0,Log_2018[[#This Row],[Split_apply]] - (EDATE(AA$1,1)-Log_2018[[#This Row],[Date]]))</f>
        <v>0</v>
      </c>
    </row>
    <row r="493" spans="1:29" hidden="1" x14ac:dyDescent="0.25">
      <c r="A493" s="115"/>
      <c r="B493" t="s">
        <v>6</v>
      </c>
      <c r="D493" s="39">
        <v>43230</v>
      </c>
      <c r="E493" t="s">
        <v>250</v>
      </c>
      <c r="F493" t="s">
        <v>243</v>
      </c>
      <c r="G493" t="s">
        <v>143</v>
      </c>
      <c r="H493" s="3">
        <v>-10.81</v>
      </c>
      <c r="I493" s="36">
        <f>IF(Log_2018[[#This Row],[My Category]]="NONTRACKED",0,Log_2018[[#This Row],[Raw Amount]])</f>
        <v>-10.81</v>
      </c>
      <c r="J493" s="17">
        <f>ABS(Log_2018[[#This Row],[Amount]])</f>
        <v>10.81</v>
      </c>
      <c r="K493" s="66">
        <v>30</v>
      </c>
      <c r="L493" s="66">
        <f ca="1">IF(Log_2018[[#This Row],[Date]]&lt;=TODAY(), MIN(Log_2018[[#This Row],[Split_raw]], TODAY()-Log_2018[[#This Row],[Date]]+1), 0)</f>
        <v>30</v>
      </c>
      <c r="M493" t="s">
        <v>53</v>
      </c>
      <c r="N493" t="s">
        <v>160</v>
      </c>
      <c r="O493" s="50">
        <v>0</v>
      </c>
      <c r="P493" s="52">
        <f ca="1">Log_2018[[#This Row],[Amount]]/Log_2018[[#This Row],[Split_raw]]*MAX(0,MIN(_xlfn.DAYS(EDATE(P$1,1),Log_2018[[#This Row],[Date]]),Log_2018[[#This Row],[Split_apply]])) - SUM($O493:O493)</f>
        <v>0</v>
      </c>
      <c r="Q493" s="52">
        <f ca="1">Log_2018[[#This Row],[Amount]]/Log_2018[[#This Row],[Split_raw]]*MAX(0,MIN(_xlfn.DAYS(EDATE(Q$1,1),Log_2018[[#This Row],[Date]]),Log_2018[[#This Row],[Split_apply]])) - SUM($O493:P493)</f>
        <v>0</v>
      </c>
      <c r="R493" s="52">
        <f ca="1">Log_2018[[#This Row],[Amount]]/Log_2018[[#This Row],[Split_raw]]*MAX(0,MIN(_xlfn.DAYS(EDATE(R$1,1),Log_2018[[#This Row],[Date]]),Log_2018[[#This Row],[Split_apply]])) - SUM($O493:Q493)</f>
        <v>0</v>
      </c>
      <c r="S493" s="52">
        <f ca="1">Log_2018[[#This Row],[Amount]]/Log_2018[[#This Row],[Split_raw]]*MAX(0,MIN(_xlfn.DAYS(EDATE(S$1,1),Log_2018[[#This Row],[Date]]),Log_2018[[#This Row],[Split_apply]])) - SUM($O493:R493)</f>
        <v>0</v>
      </c>
      <c r="T493" s="52">
        <f ca="1">Log_2018[[#This Row],[Amount]]/Log_2018[[#This Row],[Split_raw]]*MAX(0,MIN(_xlfn.DAYS(EDATE(T$1,1),Log_2018[[#This Row],[Date]]),Log_2018[[#This Row],[Split_apply]])) - SUM($O493:S493)</f>
        <v>-7.9273333333333333</v>
      </c>
      <c r="U493" s="52">
        <f ca="1">Log_2018[[#This Row],[Amount]]/Log_2018[[#This Row],[Split_raw]]*MAX(0,MIN(_xlfn.DAYS(EDATE(U$1,1),Log_2018[[#This Row],[Date]]),Log_2018[[#This Row],[Split_apply]])) - SUM($O493:T493)</f>
        <v>-2.8826666666666672</v>
      </c>
      <c r="V493" s="52">
        <f ca="1">Log_2018[[#This Row],[Amount]]/Log_2018[[#This Row],[Split_raw]]*MAX(0,MIN(_xlfn.DAYS(EDATE(V$1,1),Log_2018[[#This Row],[Date]]),Log_2018[[#This Row],[Split_apply]])) - SUM($O493:U493)</f>
        <v>0</v>
      </c>
      <c r="W493" s="52">
        <f ca="1">Log_2018[[#This Row],[Amount]]/Log_2018[[#This Row],[Split_raw]]*MAX(0,MIN(_xlfn.DAYS(EDATE(W$1,1),Log_2018[[#This Row],[Date]]),Log_2018[[#This Row],[Split_apply]])) - SUM($O493:V493)</f>
        <v>0</v>
      </c>
      <c r="X493" s="52">
        <f ca="1">Log_2018[[#This Row],[Amount]]/Log_2018[[#This Row],[Split_raw]]*MAX(0,MIN(_xlfn.DAYS(EDATE(X$1,1),Log_2018[[#This Row],[Date]]),Log_2018[[#This Row],[Split_apply]])) - SUM($O493:W493)</f>
        <v>0</v>
      </c>
      <c r="Y493" s="52">
        <f ca="1">Log_2018[[#This Row],[Amount]]/Log_2018[[#This Row],[Split_raw]]*MAX(0,MIN(_xlfn.DAYS(EDATE(Y$1,1),Log_2018[[#This Row],[Date]]),Log_2018[[#This Row],[Split_apply]])) - SUM($O493:X493)</f>
        <v>0</v>
      </c>
      <c r="Z493" s="52">
        <f ca="1">Log_2018[[#This Row],[Amount]]/Log_2018[[#This Row],[Split_raw]]*MAX(0,MIN(_xlfn.DAYS(EDATE(Z$1,1),Log_2018[[#This Row],[Date]]),Log_2018[[#This Row],[Split_apply]])) - SUM($O493:Y493)</f>
        <v>0</v>
      </c>
      <c r="AA493" s="52">
        <f ca="1">Log_2018[[#This Row],[Amount]]/Log_2018[[#This Row],[Split_raw]]*MAX(0,MIN(_xlfn.DAYS(EDATE(AA$1,1),Log_2018[[#This Row],[Date]]),Log_2018[[#This Row],[Split_apply]])) - SUM($O493:Z493)</f>
        <v>0</v>
      </c>
      <c r="AB493" s="54">
        <f ca="1">Log_2018[[#This Row],[Amount]]-SUM(O493:AA493)</f>
        <v>0</v>
      </c>
      <c r="AC493" s="7">
        <f ca="1">MAX(0,Log_2018[[#This Row],[Split_apply]] - (EDATE(AA$1,1)-Log_2018[[#This Row],[Date]]))</f>
        <v>0</v>
      </c>
    </row>
    <row r="494" spans="1:29" hidden="1" x14ac:dyDescent="0.25">
      <c r="A494" s="115"/>
      <c r="B494" t="s">
        <v>6</v>
      </c>
      <c r="D494" s="39">
        <v>43230</v>
      </c>
      <c r="F494" t="s">
        <v>83</v>
      </c>
      <c r="G494" t="s">
        <v>15</v>
      </c>
      <c r="H494" s="3">
        <v>-239.23</v>
      </c>
      <c r="I494" s="36">
        <f>IF(Log_2018[[#This Row],[My Category]]="NONTRACKED",0,Log_2018[[#This Row],[Raw Amount]])</f>
        <v>-239.23</v>
      </c>
      <c r="J494" s="17">
        <f>ABS(Log_2018[[#This Row],[Amount]])</f>
        <v>239.23</v>
      </c>
      <c r="K494" s="66">
        <v>30</v>
      </c>
      <c r="L494" s="66">
        <f ca="1">IF(Log_2018[[#This Row],[Date]]&lt;=TODAY(), MIN(Log_2018[[#This Row],[Split_raw]], TODAY()-Log_2018[[#This Row],[Date]]+1), 0)</f>
        <v>30</v>
      </c>
      <c r="M494" t="s">
        <v>241</v>
      </c>
      <c r="N494" t="s">
        <v>160</v>
      </c>
      <c r="O494" s="50">
        <v>0</v>
      </c>
      <c r="P494" s="52">
        <f ca="1">Log_2018[[#This Row],[Amount]]/Log_2018[[#This Row],[Split_raw]]*MAX(0,MIN(_xlfn.DAYS(EDATE(P$1,1),Log_2018[[#This Row],[Date]]),Log_2018[[#This Row],[Split_apply]])) - SUM($O494:O494)</f>
        <v>0</v>
      </c>
      <c r="Q494" s="52">
        <f ca="1">Log_2018[[#This Row],[Amount]]/Log_2018[[#This Row],[Split_raw]]*MAX(0,MIN(_xlfn.DAYS(EDATE(Q$1,1),Log_2018[[#This Row],[Date]]),Log_2018[[#This Row],[Split_apply]])) - SUM($O494:P494)</f>
        <v>0</v>
      </c>
      <c r="R494" s="52">
        <f ca="1">Log_2018[[#This Row],[Amount]]/Log_2018[[#This Row],[Split_raw]]*MAX(0,MIN(_xlfn.DAYS(EDATE(R$1,1),Log_2018[[#This Row],[Date]]),Log_2018[[#This Row],[Split_apply]])) - SUM($O494:Q494)</f>
        <v>0</v>
      </c>
      <c r="S494" s="52">
        <f ca="1">Log_2018[[#This Row],[Amount]]/Log_2018[[#This Row],[Split_raw]]*MAX(0,MIN(_xlfn.DAYS(EDATE(S$1,1),Log_2018[[#This Row],[Date]]),Log_2018[[#This Row],[Split_apply]])) - SUM($O494:R494)</f>
        <v>0</v>
      </c>
      <c r="T494" s="52">
        <f ca="1">Log_2018[[#This Row],[Amount]]/Log_2018[[#This Row],[Split_raw]]*MAX(0,MIN(_xlfn.DAYS(EDATE(T$1,1),Log_2018[[#This Row],[Date]]),Log_2018[[#This Row],[Split_apply]])) - SUM($O494:S494)</f>
        <v>-175.43533333333332</v>
      </c>
      <c r="U494" s="52">
        <f ca="1">Log_2018[[#This Row],[Amount]]/Log_2018[[#This Row],[Split_raw]]*MAX(0,MIN(_xlfn.DAYS(EDATE(U$1,1),Log_2018[[#This Row],[Date]]),Log_2018[[#This Row],[Split_apply]])) - SUM($O494:T494)</f>
        <v>-63.794666666666672</v>
      </c>
      <c r="V494" s="52">
        <f ca="1">Log_2018[[#This Row],[Amount]]/Log_2018[[#This Row],[Split_raw]]*MAX(0,MIN(_xlfn.DAYS(EDATE(V$1,1),Log_2018[[#This Row],[Date]]),Log_2018[[#This Row],[Split_apply]])) - SUM($O494:U494)</f>
        <v>0</v>
      </c>
      <c r="W494" s="52">
        <f ca="1">Log_2018[[#This Row],[Amount]]/Log_2018[[#This Row],[Split_raw]]*MAX(0,MIN(_xlfn.DAYS(EDATE(W$1,1),Log_2018[[#This Row],[Date]]),Log_2018[[#This Row],[Split_apply]])) - SUM($O494:V494)</f>
        <v>0</v>
      </c>
      <c r="X494" s="52">
        <f ca="1">Log_2018[[#This Row],[Amount]]/Log_2018[[#This Row],[Split_raw]]*MAX(0,MIN(_xlfn.DAYS(EDATE(X$1,1),Log_2018[[#This Row],[Date]]),Log_2018[[#This Row],[Split_apply]])) - SUM($O494:W494)</f>
        <v>0</v>
      </c>
      <c r="Y494" s="52">
        <f ca="1">Log_2018[[#This Row],[Amount]]/Log_2018[[#This Row],[Split_raw]]*MAX(0,MIN(_xlfn.DAYS(EDATE(Y$1,1),Log_2018[[#This Row],[Date]]),Log_2018[[#This Row],[Split_apply]])) - SUM($O494:X494)</f>
        <v>0</v>
      </c>
      <c r="Z494" s="52">
        <f ca="1">Log_2018[[#This Row],[Amount]]/Log_2018[[#This Row],[Split_raw]]*MAX(0,MIN(_xlfn.DAYS(EDATE(Z$1,1),Log_2018[[#This Row],[Date]]),Log_2018[[#This Row],[Split_apply]])) - SUM($O494:Y494)</f>
        <v>0</v>
      </c>
      <c r="AA494" s="52">
        <f ca="1">Log_2018[[#This Row],[Amount]]/Log_2018[[#This Row],[Split_raw]]*MAX(0,MIN(_xlfn.DAYS(EDATE(AA$1,1),Log_2018[[#This Row],[Date]]),Log_2018[[#This Row],[Split_apply]])) - SUM($O494:Z494)</f>
        <v>0</v>
      </c>
      <c r="AB494" s="54">
        <f ca="1">Log_2018[[#This Row],[Amount]]-SUM(O494:AA494)</f>
        <v>0</v>
      </c>
      <c r="AC494" s="7">
        <f ca="1">MAX(0,Log_2018[[#This Row],[Split_apply]] - (EDATE(AA$1,1)-Log_2018[[#This Row],[Date]]))</f>
        <v>0</v>
      </c>
    </row>
    <row r="495" spans="1:29" hidden="1" x14ac:dyDescent="0.25">
      <c r="A495" s="115"/>
      <c r="B495" t="s">
        <v>6</v>
      </c>
      <c r="D495" s="39">
        <v>43229</v>
      </c>
      <c r="F495" t="s">
        <v>257</v>
      </c>
      <c r="G495" t="s">
        <v>25</v>
      </c>
      <c r="H495" s="3">
        <v>-28.48</v>
      </c>
      <c r="I495" s="36">
        <f>IF(Log_2018[[#This Row],[My Category]]="NONTRACKED",0,Log_2018[[#This Row],[Raw Amount]])</f>
        <v>-28.48</v>
      </c>
      <c r="J495" s="17">
        <f>ABS(Log_2018[[#This Row],[Amount]])</f>
        <v>28.48</v>
      </c>
      <c r="K495" s="66">
        <v>1</v>
      </c>
      <c r="L495" s="66">
        <f ca="1">IF(Log_2018[[#This Row],[Date]]&lt;=TODAY(), MIN(Log_2018[[#This Row],[Split_raw]], TODAY()-Log_2018[[#This Row],[Date]]+1), 0)</f>
        <v>1</v>
      </c>
      <c r="M495" t="s">
        <v>40</v>
      </c>
      <c r="N495" t="s">
        <v>158</v>
      </c>
      <c r="O495" s="50">
        <v>0</v>
      </c>
      <c r="P495" s="52">
        <f ca="1">Log_2018[[#This Row],[Amount]]/Log_2018[[#This Row],[Split_raw]]*MAX(0,MIN(_xlfn.DAYS(EDATE(P$1,1),Log_2018[[#This Row],[Date]]),Log_2018[[#This Row],[Split_apply]])) - SUM($O495:O495)</f>
        <v>0</v>
      </c>
      <c r="Q495" s="52">
        <f ca="1">Log_2018[[#This Row],[Amount]]/Log_2018[[#This Row],[Split_raw]]*MAX(0,MIN(_xlfn.DAYS(EDATE(Q$1,1),Log_2018[[#This Row],[Date]]),Log_2018[[#This Row],[Split_apply]])) - SUM($O495:P495)</f>
        <v>0</v>
      </c>
      <c r="R495" s="52">
        <f ca="1">Log_2018[[#This Row],[Amount]]/Log_2018[[#This Row],[Split_raw]]*MAX(0,MIN(_xlfn.DAYS(EDATE(R$1,1),Log_2018[[#This Row],[Date]]),Log_2018[[#This Row],[Split_apply]])) - SUM($O495:Q495)</f>
        <v>0</v>
      </c>
      <c r="S495" s="52">
        <f ca="1">Log_2018[[#This Row],[Amount]]/Log_2018[[#This Row],[Split_raw]]*MAX(0,MIN(_xlfn.DAYS(EDATE(S$1,1),Log_2018[[#This Row],[Date]]),Log_2018[[#This Row],[Split_apply]])) - SUM($O495:R495)</f>
        <v>0</v>
      </c>
      <c r="T495" s="52">
        <f ca="1">Log_2018[[#This Row],[Amount]]/Log_2018[[#This Row],[Split_raw]]*MAX(0,MIN(_xlfn.DAYS(EDATE(T$1,1),Log_2018[[#This Row],[Date]]),Log_2018[[#This Row],[Split_apply]])) - SUM($O495:S495)</f>
        <v>-28.48</v>
      </c>
      <c r="U495" s="52">
        <f ca="1">Log_2018[[#This Row],[Amount]]/Log_2018[[#This Row],[Split_raw]]*MAX(0,MIN(_xlfn.DAYS(EDATE(U$1,1),Log_2018[[#This Row],[Date]]),Log_2018[[#This Row],[Split_apply]])) - SUM($O495:T495)</f>
        <v>0</v>
      </c>
      <c r="V495" s="52">
        <f ca="1">Log_2018[[#This Row],[Amount]]/Log_2018[[#This Row],[Split_raw]]*MAX(0,MIN(_xlfn.DAYS(EDATE(V$1,1),Log_2018[[#This Row],[Date]]),Log_2018[[#This Row],[Split_apply]])) - SUM($O495:U495)</f>
        <v>0</v>
      </c>
      <c r="W495" s="52">
        <f ca="1">Log_2018[[#This Row],[Amount]]/Log_2018[[#This Row],[Split_raw]]*MAX(0,MIN(_xlfn.DAYS(EDATE(W$1,1),Log_2018[[#This Row],[Date]]),Log_2018[[#This Row],[Split_apply]])) - SUM($O495:V495)</f>
        <v>0</v>
      </c>
      <c r="X495" s="52">
        <f ca="1">Log_2018[[#This Row],[Amount]]/Log_2018[[#This Row],[Split_raw]]*MAX(0,MIN(_xlfn.DAYS(EDATE(X$1,1),Log_2018[[#This Row],[Date]]),Log_2018[[#This Row],[Split_apply]])) - SUM($O495:W495)</f>
        <v>0</v>
      </c>
      <c r="Y495" s="52">
        <f ca="1">Log_2018[[#This Row],[Amount]]/Log_2018[[#This Row],[Split_raw]]*MAX(0,MIN(_xlfn.DAYS(EDATE(Y$1,1),Log_2018[[#This Row],[Date]]),Log_2018[[#This Row],[Split_apply]])) - SUM($O495:X495)</f>
        <v>0</v>
      </c>
      <c r="Z495" s="52">
        <f ca="1">Log_2018[[#This Row],[Amount]]/Log_2018[[#This Row],[Split_raw]]*MAX(0,MIN(_xlfn.DAYS(EDATE(Z$1,1),Log_2018[[#This Row],[Date]]),Log_2018[[#This Row],[Split_apply]])) - SUM($O495:Y495)</f>
        <v>0</v>
      </c>
      <c r="AA495" s="52">
        <f ca="1">Log_2018[[#This Row],[Amount]]/Log_2018[[#This Row],[Split_raw]]*MAX(0,MIN(_xlfn.DAYS(EDATE(AA$1,1),Log_2018[[#This Row],[Date]]),Log_2018[[#This Row],[Split_apply]])) - SUM($O495:Z495)</f>
        <v>0</v>
      </c>
      <c r="AB495" s="54">
        <f ca="1">Log_2018[[#This Row],[Amount]]-SUM(O495:AA495)</f>
        <v>0</v>
      </c>
      <c r="AC495" s="7">
        <f ca="1">MAX(0,Log_2018[[#This Row],[Split_apply]] - (EDATE(AA$1,1)-Log_2018[[#This Row],[Date]]))</f>
        <v>0</v>
      </c>
    </row>
    <row r="496" spans="1:29" hidden="1" x14ac:dyDescent="0.25">
      <c r="A496" s="115"/>
      <c r="B496" t="s">
        <v>6</v>
      </c>
      <c r="D496" s="39">
        <v>43229</v>
      </c>
      <c r="F496" t="s">
        <v>59</v>
      </c>
      <c r="G496" t="s">
        <v>25</v>
      </c>
      <c r="H496" s="3">
        <v>-7.94</v>
      </c>
      <c r="I496" s="36">
        <f>IF(Log_2018[[#This Row],[My Category]]="NONTRACKED",0,Log_2018[[#This Row],[Raw Amount]])</f>
        <v>-7.94</v>
      </c>
      <c r="J496" s="17">
        <f>ABS(Log_2018[[#This Row],[Amount]])</f>
        <v>7.94</v>
      </c>
      <c r="K496" s="66">
        <v>1</v>
      </c>
      <c r="L496" s="66">
        <f ca="1">IF(Log_2018[[#This Row],[Date]]&lt;=TODAY(), MIN(Log_2018[[#This Row],[Split_raw]], TODAY()-Log_2018[[#This Row],[Date]]+1), 0)</f>
        <v>1</v>
      </c>
      <c r="M496" t="s">
        <v>35</v>
      </c>
      <c r="N496" t="s">
        <v>158</v>
      </c>
      <c r="O496" s="50">
        <v>0</v>
      </c>
      <c r="P496" s="52">
        <f ca="1">Log_2018[[#This Row],[Amount]]/Log_2018[[#This Row],[Split_raw]]*MAX(0,MIN(_xlfn.DAYS(EDATE(P$1,1),Log_2018[[#This Row],[Date]]),Log_2018[[#This Row],[Split_apply]])) - SUM($O496:O496)</f>
        <v>0</v>
      </c>
      <c r="Q496" s="52">
        <f ca="1">Log_2018[[#This Row],[Amount]]/Log_2018[[#This Row],[Split_raw]]*MAX(0,MIN(_xlfn.DAYS(EDATE(Q$1,1),Log_2018[[#This Row],[Date]]),Log_2018[[#This Row],[Split_apply]])) - SUM($O496:P496)</f>
        <v>0</v>
      </c>
      <c r="R496" s="52">
        <f ca="1">Log_2018[[#This Row],[Amount]]/Log_2018[[#This Row],[Split_raw]]*MAX(0,MIN(_xlfn.DAYS(EDATE(R$1,1),Log_2018[[#This Row],[Date]]),Log_2018[[#This Row],[Split_apply]])) - SUM($O496:Q496)</f>
        <v>0</v>
      </c>
      <c r="S496" s="52">
        <f ca="1">Log_2018[[#This Row],[Amount]]/Log_2018[[#This Row],[Split_raw]]*MAX(0,MIN(_xlfn.DAYS(EDATE(S$1,1),Log_2018[[#This Row],[Date]]),Log_2018[[#This Row],[Split_apply]])) - SUM($O496:R496)</f>
        <v>0</v>
      </c>
      <c r="T496" s="52">
        <f ca="1">Log_2018[[#This Row],[Amount]]/Log_2018[[#This Row],[Split_raw]]*MAX(0,MIN(_xlfn.DAYS(EDATE(T$1,1),Log_2018[[#This Row],[Date]]),Log_2018[[#This Row],[Split_apply]])) - SUM($O496:S496)</f>
        <v>-7.94</v>
      </c>
      <c r="U496" s="52">
        <f ca="1">Log_2018[[#This Row],[Amount]]/Log_2018[[#This Row],[Split_raw]]*MAX(0,MIN(_xlfn.DAYS(EDATE(U$1,1),Log_2018[[#This Row],[Date]]),Log_2018[[#This Row],[Split_apply]])) - SUM($O496:T496)</f>
        <v>0</v>
      </c>
      <c r="V496" s="52">
        <f ca="1">Log_2018[[#This Row],[Amount]]/Log_2018[[#This Row],[Split_raw]]*MAX(0,MIN(_xlfn.DAYS(EDATE(V$1,1),Log_2018[[#This Row],[Date]]),Log_2018[[#This Row],[Split_apply]])) - SUM($O496:U496)</f>
        <v>0</v>
      </c>
      <c r="W496" s="52">
        <f ca="1">Log_2018[[#This Row],[Amount]]/Log_2018[[#This Row],[Split_raw]]*MAX(0,MIN(_xlfn.DAYS(EDATE(W$1,1),Log_2018[[#This Row],[Date]]),Log_2018[[#This Row],[Split_apply]])) - SUM($O496:V496)</f>
        <v>0</v>
      </c>
      <c r="X496" s="52">
        <f ca="1">Log_2018[[#This Row],[Amount]]/Log_2018[[#This Row],[Split_raw]]*MAX(0,MIN(_xlfn.DAYS(EDATE(X$1,1),Log_2018[[#This Row],[Date]]),Log_2018[[#This Row],[Split_apply]])) - SUM($O496:W496)</f>
        <v>0</v>
      </c>
      <c r="Y496" s="52">
        <f ca="1">Log_2018[[#This Row],[Amount]]/Log_2018[[#This Row],[Split_raw]]*MAX(0,MIN(_xlfn.DAYS(EDATE(Y$1,1),Log_2018[[#This Row],[Date]]),Log_2018[[#This Row],[Split_apply]])) - SUM($O496:X496)</f>
        <v>0</v>
      </c>
      <c r="Z496" s="52">
        <f ca="1">Log_2018[[#This Row],[Amount]]/Log_2018[[#This Row],[Split_raw]]*MAX(0,MIN(_xlfn.DAYS(EDATE(Z$1,1),Log_2018[[#This Row],[Date]]),Log_2018[[#This Row],[Split_apply]])) - SUM($O496:Y496)</f>
        <v>0</v>
      </c>
      <c r="AA496" s="52">
        <f ca="1">Log_2018[[#This Row],[Amount]]/Log_2018[[#This Row],[Split_raw]]*MAX(0,MIN(_xlfn.DAYS(EDATE(AA$1,1),Log_2018[[#This Row],[Date]]),Log_2018[[#This Row],[Split_apply]])) - SUM($O496:Z496)</f>
        <v>0</v>
      </c>
      <c r="AB496" s="54">
        <f ca="1">Log_2018[[#This Row],[Amount]]-SUM(O496:AA496)</f>
        <v>0</v>
      </c>
      <c r="AC496" s="7">
        <f ca="1">MAX(0,Log_2018[[#This Row],[Split_apply]] - (EDATE(AA$1,1)-Log_2018[[#This Row],[Date]]))</f>
        <v>0</v>
      </c>
    </row>
    <row r="497" spans="1:29" hidden="1" x14ac:dyDescent="0.25">
      <c r="A497" s="115"/>
      <c r="B497" t="s">
        <v>6</v>
      </c>
      <c r="D497" s="39">
        <v>43229</v>
      </c>
      <c r="E497" t="s">
        <v>296</v>
      </c>
      <c r="F497" t="s">
        <v>258</v>
      </c>
      <c r="G497" t="s">
        <v>27</v>
      </c>
      <c r="H497" s="3">
        <v>-418</v>
      </c>
      <c r="I497" s="36">
        <f>IF(Log_2018[[#This Row],[My Category]]="NONTRACKED",0,Log_2018[[#This Row],[Raw Amount]])</f>
        <v>-418</v>
      </c>
      <c r="J497" s="17">
        <f>ABS(Log_2018[[#This Row],[Amount]])</f>
        <v>418</v>
      </c>
      <c r="K497" s="66">
        <v>1</v>
      </c>
      <c r="L497" s="66">
        <f ca="1">IF(Log_2018[[#This Row],[Date]]&lt;=TODAY(), MIN(Log_2018[[#This Row],[Split_raw]], TODAY()-Log_2018[[#This Row],[Date]]+1), 0)</f>
        <v>1</v>
      </c>
      <c r="M497" t="s">
        <v>42</v>
      </c>
      <c r="N497" t="s">
        <v>158</v>
      </c>
      <c r="O497" s="50">
        <v>0</v>
      </c>
      <c r="P497" s="52">
        <f ca="1">Log_2018[[#This Row],[Amount]]/Log_2018[[#This Row],[Split_raw]]*MAX(0,MIN(_xlfn.DAYS(EDATE(P$1,1),Log_2018[[#This Row],[Date]]),Log_2018[[#This Row],[Split_apply]])) - SUM($O497:O497)</f>
        <v>0</v>
      </c>
      <c r="Q497" s="52">
        <f ca="1">Log_2018[[#This Row],[Amount]]/Log_2018[[#This Row],[Split_raw]]*MAX(0,MIN(_xlfn.DAYS(EDATE(Q$1,1),Log_2018[[#This Row],[Date]]),Log_2018[[#This Row],[Split_apply]])) - SUM($O497:P497)</f>
        <v>0</v>
      </c>
      <c r="R497" s="52">
        <f ca="1">Log_2018[[#This Row],[Amount]]/Log_2018[[#This Row],[Split_raw]]*MAX(0,MIN(_xlfn.DAYS(EDATE(R$1,1),Log_2018[[#This Row],[Date]]),Log_2018[[#This Row],[Split_apply]])) - SUM($O497:Q497)</f>
        <v>0</v>
      </c>
      <c r="S497" s="52">
        <f ca="1">Log_2018[[#This Row],[Amount]]/Log_2018[[#This Row],[Split_raw]]*MAX(0,MIN(_xlfn.DAYS(EDATE(S$1,1),Log_2018[[#This Row],[Date]]),Log_2018[[#This Row],[Split_apply]])) - SUM($O497:R497)</f>
        <v>0</v>
      </c>
      <c r="T497" s="52">
        <f ca="1">Log_2018[[#This Row],[Amount]]/Log_2018[[#This Row],[Split_raw]]*MAX(0,MIN(_xlfn.DAYS(EDATE(T$1,1),Log_2018[[#This Row],[Date]]),Log_2018[[#This Row],[Split_apply]])) - SUM($O497:S497)</f>
        <v>-418</v>
      </c>
      <c r="U497" s="52">
        <f ca="1">Log_2018[[#This Row],[Amount]]/Log_2018[[#This Row],[Split_raw]]*MAX(0,MIN(_xlfn.DAYS(EDATE(U$1,1),Log_2018[[#This Row],[Date]]),Log_2018[[#This Row],[Split_apply]])) - SUM($O497:T497)</f>
        <v>0</v>
      </c>
      <c r="V497" s="52">
        <f ca="1">Log_2018[[#This Row],[Amount]]/Log_2018[[#This Row],[Split_raw]]*MAX(0,MIN(_xlfn.DAYS(EDATE(V$1,1),Log_2018[[#This Row],[Date]]),Log_2018[[#This Row],[Split_apply]])) - SUM($O497:U497)</f>
        <v>0</v>
      </c>
      <c r="W497" s="52">
        <f ca="1">Log_2018[[#This Row],[Amount]]/Log_2018[[#This Row],[Split_raw]]*MAX(0,MIN(_xlfn.DAYS(EDATE(W$1,1),Log_2018[[#This Row],[Date]]),Log_2018[[#This Row],[Split_apply]])) - SUM($O497:V497)</f>
        <v>0</v>
      </c>
      <c r="X497" s="52">
        <f ca="1">Log_2018[[#This Row],[Amount]]/Log_2018[[#This Row],[Split_raw]]*MAX(0,MIN(_xlfn.DAYS(EDATE(X$1,1),Log_2018[[#This Row],[Date]]),Log_2018[[#This Row],[Split_apply]])) - SUM($O497:W497)</f>
        <v>0</v>
      </c>
      <c r="Y497" s="52">
        <f ca="1">Log_2018[[#This Row],[Amount]]/Log_2018[[#This Row],[Split_raw]]*MAX(0,MIN(_xlfn.DAYS(EDATE(Y$1,1),Log_2018[[#This Row],[Date]]),Log_2018[[#This Row],[Split_apply]])) - SUM($O497:X497)</f>
        <v>0</v>
      </c>
      <c r="Z497" s="52">
        <f ca="1">Log_2018[[#This Row],[Amount]]/Log_2018[[#This Row],[Split_raw]]*MAX(0,MIN(_xlfn.DAYS(EDATE(Z$1,1),Log_2018[[#This Row],[Date]]),Log_2018[[#This Row],[Split_apply]])) - SUM($O497:Y497)</f>
        <v>0</v>
      </c>
      <c r="AA497" s="52">
        <f ca="1">Log_2018[[#This Row],[Amount]]/Log_2018[[#This Row],[Split_raw]]*MAX(0,MIN(_xlfn.DAYS(EDATE(AA$1,1),Log_2018[[#This Row],[Date]]),Log_2018[[#This Row],[Split_apply]])) - SUM($O497:Z497)</f>
        <v>0</v>
      </c>
      <c r="AB497" s="54">
        <f ca="1">Log_2018[[#This Row],[Amount]]-SUM(O497:AA497)</f>
        <v>0</v>
      </c>
      <c r="AC497" s="7">
        <f ca="1">MAX(0,Log_2018[[#This Row],[Split_apply]] - (EDATE(AA$1,1)-Log_2018[[#This Row],[Date]]))</f>
        <v>0</v>
      </c>
    </row>
    <row r="498" spans="1:29" hidden="1" x14ac:dyDescent="0.25">
      <c r="A498" s="115"/>
      <c r="B498" t="s">
        <v>6</v>
      </c>
      <c r="D498" s="39">
        <v>43229</v>
      </c>
      <c r="F498" t="s">
        <v>138</v>
      </c>
      <c r="G498" t="s">
        <v>104</v>
      </c>
      <c r="H498" s="3">
        <v>-264.36</v>
      </c>
      <c r="I498" s="36">
        <f>IF(Log_2018[[#This Row],[My Category]]="NONTRACKED",0,Log_2018[[#This Row],[Raw Amount]])</f>
        <v>-264.36</v>
      </c>
      <c r="J498" s="17">
        <f>ABS(Log_2018[[#This Row],[Amount]])</f>
        <v>264.36</v>
      </c>
      <c r="K498" s="66">
        <v>1</v>
      </c>
      <c r="L498" s="66">
        <f ca="1">IF(Log_2018[[#This Row],[Date]]&lt;=TODAY(), MIN(Log_2018[[#This Row],[Split_raw]], TODAY()-Log_2018[[#This Row],[Date]]+1), 0)</f>
        <v>1</v>
      </c>
      <c r="M498" t="s">
        <v>159</v>
      </c>
      <c r="N498" t="s">
        <v>160</v>
      </c>
      <c r="O498" s="50">
        <v>0</v>
      </c>
      <c r="P498" s="52">
        <f ca="1">Log_2018[[#This Row],[Amount]]/Log_2018[[#This Row],[Split_raw]]*MAX(0,MIN(_xlfn.DAYS(EDATE(P$1,1),Log_2018[[#This Row],[Date]]),Log_2018[[#This Row],[Split_apply]])) - SUM($O498:O498)</f>
        <v>0</v>
      </c>
      <c r="Q498" s="52">
        <f ca="1">Log_2018[[#This Row],[Amount]]/Log_2018[[#This Row],[Split_raw]]*MAX(0,MIN(_xlfn.DAYS(EDATE(Q$1,1),Log_2018[[#This Row],[Date]]),Log_2018[[#This Row],[Split_apply]])) - SUM($O498:P498)</f>
        <v>0</v>
      </c>
      <c r="R498" s="52">
        <f ca="1">Log_2018[[#This Row],[Amount]]/Log_2018[[#This Row],[Split_raw]]*MAX(0,MIN(_xlfn.DAYS(EDATE(R$1,1),Log_2018[[#This Row],[Date]]),Log_2018[[#This Row],[Split_apply]])) - SUM($O498:Q498)</f>
        <v>0</v>
      </c>
      <c r="S498" s="52">
        <f ca="1">Log_2018[[#This Row],[Amount]]/Log_2018[[#This Row],[Split_raw]]*MAX(0,MIN(_xlfn.DAYS(EDATE(S$1,1),Log_2018[[#This Row],[Date]]),Log_2018[[#This Row],[Split_apply]])) - SUM($O498:R498)</f>
        <v>0</v>
      </c>
      <c r="T498" s="52">
        <f ca="1">Log_2018[[#This Row],[Amount]]/Log_2018[[#This Row],[Split_raw]]*MAX(0,MIN(_xlfn.DAYS(EDATE(T$1,1),Log_2018[[#This Row],[Date]]),Log_2018[[#This Row],[Split_apply]])) - SUM($O498:S498)</f>
        <v>-264.36</v>
      </c>
      <c r="U498" s="52">
        <f ca="1">Log_2018[[#This Row],[Amount]]/Log_2018[[#This Row],[Split_raw]]*MAX(0,MIN(_xlfn.DAYS(EDATE(U$1,1),Log_2018[[#This Row],[Date]]),Log_2018[[#This Row],[Split_apply]])) - SUM($O498:T498)</f>
        <v>0</v>
      </c>
      <c r="V498" s="52">
        <f ca="1">Log_2018[[#This Row],[Amount]]/Log_2018[[#This Row],[Split_raw]]*MAX(0,MIN(_xlfn.DAYS(EDATE(V$1,1),Log_2018[[#This Row],[Date]]),Log_2018[[#This Row],[Split_apply]])) - SUM($O498:U498)</f>
        <v>0</v>
      </c>
      <c r="W498" s="52">
        <f ca="1">Log_2018[[#This Row],[Amount]]/Log_2018[[#This Row],[Split_raw]]*MAX(0,MIN(_xlfn.DAYS(EDATE(W$1,1),Log_2018[[#This Row],[Date]]),Log_2018[[#This Row],[Split_apply]])) - SUM($O498:V498)</f>
        <v>0</v>
      </c>
      <c r="X498" s="52">
        <f ca="1">Log_2018[[#This Row],[Amount]]/Log_2018[[#This Row],[Split_raw]]*MAX(0,MIN(_xlfn.DAYS(EDATE(X$1,1),Log_2018[[#This Row],[Date]]),Log_2018[[#This Row],[Split_apply]])) - SUM($O498:W498)</f>
        <v>0</v>
      </c>
      <c r="Y498" s="52">
        <f ca="1">Log_2018[[#This Row],[Amount]]/Log_2018[[#This Row],[Split_raw]]*MAX(0,MIN(_xlfn.DAYS(EDATE(Y$1,1),Log_2018[[#This Row],[Date]]),Log_2018[[#This Row],[Split_apply]])) - SUM($O498:X498)</f>
        <v>0</v>
      </c>
      <c r="Z498" s="52">
        <f ca="1">Log_2018[[#This Row],[Amount]]/Log_2018[[#This Row],[Split_raw]]*MAX(0,MIN(_xlfn.DAYS(EDATE(Z$1,1),Log_2018[[#This Row],[Date]]),Log_2018[[#This Row],[Split_apply]])) - SUM($O498:Y498)</f>
        <v>0</v>
      </c>
      <c r="AA498" s="52">
        <f ca="1">Log_2018[[#This Row],[Amount]]/Log_2018[[#This Row],[Split_raw]]*MAX(0,MIN(_xlfn.DAYS(EDATE(AA$1,1),Log_2018[[#This Row],[Date]]),Log_2018[[#This Row],[Split_apply]])) - SUM($O498:Z498)</f>
        <v>0</v>
      </c>
      <c r="AB498" s="54">
        <f ca="1">Log_2018[[#This Row],[Amount]]-SUM(O498:AA498)</f>
        <v>0</v>
      </c>
      <c r="AC498" s="7">
        <f ca="1">MAX(0,Log_2018[[#This Row],[Split_apply]] - (EDATE(AA$1,1)-Log_2018[[#This Row],[Date]]))</f>
        <v>0</v>
      </c>
    </row>
    <row r="499" spans="1:29" hidden="1" x14ac:dyDescent="0.25">
      <c r="A499" s="115"/>
      <c r="B499" t="s">
        <v>6</v>
      </c>
      <c r="D499" s="39">
        <v>43228</v>
      </c>
      <c r="E499" t="s">
        <v>293</v>
      </c>
      <c r="F499" t="s">
        <v>259</v>
      </c>
      <c r="G499" t="s">
        <v>27</v>
      </c>
      <c r="H499" s="3">
        <v>-399.9</v>
      </c>
      <c r="I499" s="36">
        <f>IF(Log_2018[[#This Row],[My Category]]="NONTRACKED",0,Log_2018[[#This Row],[Raw Amount]])</f>
        <v>-399.9</v>
      </c>
      <c r="J499" s="17">
        <f>ABS(Log_2018[[#This Row],[Amount]])</f>
        <v>399.9</v>
      </c>
      <c r="K499" s="66">
        <v>1</v>
      </c>
      <c r="L499" s="66">
        <f ca="1">IF(Log_2018[[#This Row],[Date]]&lt;=TODAY(), MIN(Log_2018[[#This Row],[Split_raw]], TODAY()-Log_2018[[#This Row],[Date]]+1), 0)</f>
        <v>1</v>
      </c>
      <c r="M499" t="s">
        <v>101</v>
      </c>
      <c r="N499" t="s">
        <v>158</v>
      </c>
      <c r="O499" s="50">
        <v>0</v>
      </c>
      <c r="P499" s="52">
        <f ca="1">Log_2018[[#This Row],[Amount]]/Log_2018[[#This Row],[Split_raw]]*MAX(0,MIN(_xlfn.DAYS(EDATE(P$1,1),Log_2018[[#This Row],[Date]]),Log_2018[[#This Row],[Split_apply]])) - SUM($O499:O499)</f>
        <v>0</v>
      </c>
      <c r="Q499" s="52">
        <f ca="1">Log_2018[[#This Row],[Amount]]/Log_2018[[#This Row],[Split_raw]]*MAX(0,MIN(_xlfn.DAYS(EDATE(Q$1,1),Log_2018[[#This Row],[Date]]),Log_2018[[#This Row],[Split_apply]])) - SUM($O499:P499)</f>
        <v>0</v>
      </c>
      <c r="R499" s="52">
        <f ca="1">Log_2018[[#This Row],[Amount]]/Log_2018[[#This Row],[Split_raw]]*MAX(0,MIN(_xlfn.DAYS(EDATE(R$1,1),Log_2018[[#This Row],[Date]]),Log_2018[[#This Row],[Split_apply]])) - SUM($O499:Q499)</f>
        <v>0</v>
      </c>
      <c r="S499" s="52">
        <f ca="1">Log_2018[[#This Row],[Amount]]/Log_2018[[#This Row],[Split_raw]]*MAX(0,MIN(_xlfn.DAYS(EDATE(S$1,1),Log_2018[[#This Row],[Date]]),Log_2018[[#This Row],[Split_apply]])) - SUM($O499:R499)</f>
        <v>0</v>
      </c>
      <c r="T499" s="52">
        <f ca="1">Log_2018[[#This Row],[Amount]]/Log_2018[[#This Row],[Split_raw]]*MAX(0,MIN(_xlfn.DAYS(EDATE(T$1,1),Log_2018[[#This Row],[Date]]),Log_2018[[#This Row],[Split_apply]])) - SUM($O499:S499)</f>
        <v>-399.9</v>
      </c>
      <c r="U499" s="52">
        <f ca="1">Log_2018[[#This Row],[Amount]]/Log_2018[[#This Row],[Split_raw]]*MAX(0,MIN(_xlfn.DAYS(EDATE(U$1,1),Log_2018[[#This Row],[Date]]),Log_2018[[#This Row],[Split_apply]])) - SUM($O499:T499)</f>
        <v>0</v>
      </c>
      <c r="V499" s="52">
        <f ca="1">Log_2018[[#This Row],[Amount]]/Log_2018[[#This Row],[Split_raw]]*MAX(0,MIN(_xlfn.DAYS(EDATE(V$1,1),Log_2018[[#This Row],[Date]]),Log_2018[[#This Row],[Split_apply]])) - SUM($O499:U499)</f>
        <v>0</v>
      </c>
      <c r="W499" s="52">
        <f ca="1">Log_2018[[#This Row],[Amount]]/Log_2018[[#This Row],[Split_raw]]*MAX(0,MIN(_xlfn.DAYS(EDATE(W$1,1),Log_2018[[#This Row],[Date]]),Log_2018[[#This Row],[Split_apply]])) - SUM($O499:V499)</f>
        <v>0</v>
      </c>
      <c r="X499" s="52">
        <f ca="1">Log_2018[[#This Row],[Amount]]/Log_2018[[#This Row],[Split_raw]]*MAX(0,MIN(_xlfn.DAYS(EDATE(X$1,1),Log_2018[[#This Row],[Date]]),Log_2018[[#This Row],[Split_apply]])) - SUM($O499:W499)</f>
        <v>0</v>
      </c>
      <c r="Y499" s="52">
        <f ca="1">Log_2018[[#This Row],[Amount]]/Log_2018[[#This Row],[Split_raw]]*MAX(0,MIN(_xlfn.DAYS(EDATE(Y$1,1),Log_2018[[#This Row],[Date]]),Log_2018[[#This Row],[Split_apply]])) - SUM($O499:X499)</f>
        <v>0</v>
      </c>
      <c r="Z499" s="52">
        <f ca="1">Log_2018[[#This Row],[Amount]]/Log_2018[[#This Row],[Split_raw]]*MAX(0,MIN(_xlfn.DAYS(EDATE(Z$1,1),Log_2018[[#This Row],[Date]]),Log_2018[[#This Row],[Split_apply]])) - SUM($O499:Y499)</f>
        <v>0</v>
      </c>
      <c r="AA499" s="52">
        <f ca="1">Log_2018[[#This Row],[Amount]]/Log_2018[[#This Row],[Split_raw]]*MAX(0,MIN(_xlfn.DAYS(EDATE(AA$1,1),Log_2018[[#This Row],[Date]]),Log_2018[[#This Row],[Split_apply]])) - SUM($O499:Z499)</f>
        <v>0</v>
      </c>
      <c r="AB499" s="54">
        <f ca="1">Log_2018[[#This Row],[Amount]]-SUM(O499:AA499)</f>
        <v>0</v>
      </c>
      <c r="AC499" s="7">
        <f ca="1">MAX(0,Log_2018[[#This Row],[Split_apply]] - (EDATE(AA$1,1)-Log_2018[[#This Row],[Date]]))</f>
        <v>0</v>
      </c>
    </row>
    <row r="500" spans="1:29" hidden="1" x14ac:dyDescent="0.25">
      <c r="A500" s="115"/>
      <c r="B500" t="s">
        <v>6</v>
      </c>
      <c r="D500" s="39">
        <v>43228</v>
      </c>
      <c r="F500" t="s">
        <v>105</v>
      </c>
      <c r="G500" t="s">
        <v>104</v>
      </c>
      <c r="H500" s="3">
        <f>--264.36</f>
        <v>264.36</v>
      </c>
      <c r="I500" s="36">
        <f>IF(Log_2018[[#This Row],[My Category]]="NONTRACKED",0,Log_2018[[#This Row],[Raw Amount]])</f>
        <v>264.36</v>
      </c>
      <c r="J500" s="17">
        <f>ABS(Log_2018[[#This Row],[Amount]])</f>
        <v>264.36</v>
      </c>
      <c r="K500" s="66">
        <v>1</v>
      </c>
      <c r="L500" s="66">
        <f ca="1">IF(Log_2018[[#This Row],[Date]]&lt;=TODAY(), MIN(Log_2018[[#This Row],[Split_raw]], TODAY()-Log_2018[[#This Row],[Date]]+1), 0)</f>
        <v>1</v>
      </c>
      <c r="M500" t="s">
        <v>159</v>
      </c>
      <c r="N500" t="s">
        <v>158</v>
      </c>
      <c r="O500" s="50">
        <v>0</v>
      </c>
      <c r="P500" s="52">
        <f ca="1">Log_2018[[#This Row],[Amount]]/Log_2018[[#This Row],[Split_raw]]*MAX(0,MIN(_xlfn.DAYS(EDATE(P$1,1),Log_2018[[#This Row],[Date]]),Log_2018[[#This Row],[Split_apply]])) - SUM($O500:O500)</f>
        <v>0</v>
      </c>
      <c r="Q500" s="52">
        <f ca="1">Log_2018[[#This Row],[Amount]]/Log_2018[[#This Row],[Split_raw]]*MAX(0,MIN(_xlfn.DAYS(EDATE(Q$1,1),Log_2018[[#This Row],[Date]]),Log_2018[[#This Row],[Split_apply]])) - SUM($O500:P500)</f>
        <v>0</v>
      </c>
      <c r="R500" s="52">
        <f ca="1">Log_2018[[#This Row],[Amount]]/Log_2018[[#This Row],[Split_raw]]*MAX(0,MIN(_xlfn.DAYS(EDATE(R$1,1),Log_2018[[#This Row],[Date]]),Log_2018[[#This Row],[Split_apply]])) - SUM($O500:Q500)</f>
        <v>0</v>
      </c>
      <c r="S500" s="52">
        <f ca="1">Log_2018[[#This Row],[Amount]]/Log_2018[[#This Row],[Split_raw]]*MAX(0,MIN(_xlfn.DAYS(EDATE(S$1,1),Log_2018[[#This Row],[Date]]),Log_2018[[#This Row],[Split_apply]])) - SUM($O500:R500)</f>
        <v>0</v>
      </c>
      <c r="T500" s="52">
        <f ca="1">Log_2018[[#This Row],[Amount]]/Log_2018[[#This Row],[Split_raw]]*MAX(0,MIN(_xlfn.DAYS(EDATE(T$1,1),Log_2018[[#This Row],[Date]]),Log_2018[[#This Row],[Split_apply]])) - SUM($O500:S500)</f>
        <v>264.36</v>
      </c>
      <c r="U500" s="52">
        <f ca="1">Log_2018[[#This Row],[Amount]]/Log_2018[[#This Row],[Split_raw]]*MAX(0,MIN(_xlfn.DAYS(EDATE(U$1,1),Log_2018[[#This Row],[Date]]),Log_2018[[#This Row],[Split_apply]])) - SUM($O500:T500)</f>
        <v>0</v>
      </c>
      <c r="V500" s="52">
        <f ca="1">Log_2018[[#This Row],[Amount]]/Log_2018[[#This Row],[Split_raw]]*MAX(0,MIN(_xlfn.DAYS(EDATE(V$1,1),Log_2018[[#This Row],[Date]]),Log_2018[[#This Row],[Split_apply]])) - SUM($O500:U500)</f>
        <v>0</v>
      </c>
      <c r="W500" s="52">
        <f ca="1">Log_2018[[#This Row],[Amount]]/Log_2018[[#This Row],[Split_raw]]*MAX(0,MIN(_xlfn.DAYS(EDATE(W$1,1),Log_2018[[#This Row],[Date]]),Log_2018[[#This Row],[Split_apply]])) - SUM($O500:V500)</f>
        <v>0</v>
      </c>
      <c r="X500" s="52">
        <f ca="1">Log_2018[[#This Row],[Amount]]/Log_2018[[#This Row],[Split_raw]]*MAX(0,MIN(_xlfn.DAYS(EDATE(X$1,1),Log_2018[[#This Row],[Date]]),Log_2018[[#This Row],[Split_apply]])) - SUM($O500:W500)</f>
        <v>0</v>
      </c>
      <c r="Y500" s="52">
        <f ca="1">Log_2018[[#This Row],[Amount]]/Log_2018[[#This Row],[Split_raw]]*MAX(0,MIN(_xlfn.DAYS(EDATE(Y$1,1),Log_2018[[#This Row],[Date]]),Log_2018[[#This Row],[Split_apply]])) - SUM($O500:X500)</f>
        <v>0</v>
      </c>
      <c r="Z500" s="52">
        <f ca="1">Log_2018[[#This Row],[Amount]]/Log_2018[[#This Row],[Split_raw]]*MAX(0,MIN(_xlfn.DAYS(EDATE(Z$1,1),Log_2018[[#This Row],[Date]]),Log_2018[[#This Row],[Split_apply]])) - SUM($O500:Y500)</f>
        <v>0</v>
      </c>
      <c r="AA500" s="52">
        <f ca="1">Log_2018[[#This Row],[Amount]]/Log_2018[[#This Row],[Split_raw]]*MAX(0,MIN(_xlfn.DAYS(EDATE(AA$1,1),Log_2018[[#This Row],[Date]]),Log_2018[[#This Row],[Split_apply]])) - SUM($O500:Z500)</f>
        <v>0</v>
      </c>
      <c r="AB500" s="54">
        <f ca="1">Log_2018[[#This Row],[Amount]]-SUM(O500:AA500)</f>
        <v>0</v>
      </c>
      <c r="AC500" s="7">
        <f ca="1">MAX(0,Log_2018[[#This Row],[Split_apply]] - (EDATE(AA$1,1)-Log_2018[[#This Row],[Date]]))</f>
        <v>0</v>
      </c>
    </row>
    <row r="501" spans="1:29" hidden="1" x14ac:dyDescent="0.25">
      <c r="A501" s="115"/>
      <c r="B501" t="s">
        <v>6</v>
      </c>
      <c r="D501" s="39">
        <v>43228</v>
      </c>
      <c r="F501" t="s">
        <v>59</v>
      </c>
      <c r="G501" t="s">
        <v>25</v>
      </c>
      <c r="H501" s="3">
        <v>-7.94</v>
      </c>
      <c r="I501" s="36">
        <f>IF(Log_2018[[#This Row],[My Category]]="NONTRACKED",0,Log_2018[[#This Row],[Raw Amount]])</f>
        <v>-7.94</v>
      </c>
      <c r="J501" s="17">
        <f>ABS(Log_2018[[#This Row],[Amount]])</f>
        <v>7.94</v>
      </c>
      <c r="K501" s="66">
        <v>1</v>
      </c>
      <c r="L501" s="66">
        <f ca="1">IF(Log_2018[[#This Row],[Date]]&lt;=TODAY(), MIN(Log_2018[[#This Row],[Split_raw]], TODAY()-Log_2018[[#This Row],[Date]]+1), 0)</f>
        <v>1</v>
      </c>
      <c r="M501" t="s">
        <v>35</v>
      </c>
      <c r="N501" t="s">
        <v>158</v>
      </c>
      <c r="O501" s="50">
        <v>0</v>
      </c>
      <c r="P501" s="52">
        <f ca="1">Log_2018[[#This Row],[Amount]]/Log_2018[[#This Row],[Split_raw]]*MAX(0,MIN(_xlfn.DAYS(EDATE(P$1,1),Log_2018[[#This Row],[Date]]),Log_2018[[#This Row],[Split_apply]])) - SUM($O501:O501)</f>
        <v>0</v>
      </c>
      <c r="Q501" s="52">
        <f ca="1">Log_2018[[#This Row],[Amount]]/Log_2018[[#This Row],[Split_raw]]*MAX(0,MIN(_xlfn.DAYS(EDATE(Q$1,1),Log_2018[[#This Row],[Date]]),Log_2018[[#This Row],[Split_apply]])) - SUM($O501:P501)</f>
        <v>0</v>
      </c>
      <c r="R501" s="52">
        <f ca="1">Log_2018[[#This Row],[Amount]]/Log_2018[[#This Row],[Split_raw]]*MAX(0,MIN(_xlfn.DAYS(EDATE(R$1,1),Log_2018[[#This Row],[Date]]),Log_2018[[#This Row],[Split_apply]])) - SUM($O501:Q501)</f>
        <v>0</v>
      </c>
      <c r="S501" s="52">
        <f ca="1">Log_2018[[#This Row],[Amount]]/Log_2018[[#This Row],[Split_raw]]*MAX(0,MIN(_xlfn.DAYS(EDATE(S$1,1),Log_2018[[#This Row],[Date]]),Log_2018[[#This Row],[Split_apply]])) - SUM($O501:R501)</f>
        <v>0</v>
      </c>
      <c r="T501" s="52">
        <f ca="1">Log_2018[[#This Row],[Amount]]/Log_2018[[#This Row],[Split_raw]]*MAX(0,MIN(_xlfn.DAYS(EDATE(T$1,1),Log_2018[[#This Row],[Date]]),Log_2018[[#This Row],[Split_apply]])) - SUM($O501:S501)</f>
        <v>-7.94</v>
      </c>
      <c r="U501" s="52">
        <f ca="1">Log_2018[[#This Row],[Amount]]/Log_2018[[#This Row],[Split_raw]]*MAX(0,MIN(_xlfn.DAYS(EDATE(U$1,1),Log_2018[[#This Row],[Date]]),Log_2018[[#This Row],[Split_apply]])) - SUM($O501:T501)</f>
        <v>0</v>
      </c>
      <c r="V501" s="52">
        <f ca="1">Log_2018[[#This Row],[Amount]]/Log_2018[[#This Row],[Split_raw]]*MAX(0,MIN(_xlfn.DAYS(EDATE(V$1,1),Log_2018[[#This Row],[Date]]),Log_2018[[#This Row],[Split_apply]])) - SUM($O501:U501)</f>
        <v>0</v>
      </c>
      <c r="W501" s="52">
        <f ca="1">Log_2018[[#This Row],[Amount]]/Log_2018[[#This Row],[Split_raw]]*MAX(0,MIN(_xlfn.DAYS(EDATE(W$1,1),Log_2018[[#This Row],[Date]]),Log_2018[[#This Row],[Split_apply]])) - SUM($O501:V501)</f>
        <v>0</v>
      </c>
      <c r="X501" s="52">
        <f ca="1">Log_2018[[#This Row],[Amount]]/Log_2018[[#This Row],[Split_raw]]*MAX(0,MIN(_xlfn.DAYS(EDATE(X$1,1),Log_2018[[#This Row],[Date]]),Log_2018[[#This Row],[Split_apply]])) - SUM($O501:W501)</f>
        <v>0</v>
      </c>
      <c r="Y501" s="52">
        <f ca="1">Log_2018[[#This Row],[Amount]]/Log_2018[[#This Row],[Split_raw]]*MAX(0,MIN(_xlfn.DAYS(EDATE(Y$1,1),Log_2018[[#This Row],[Date]]),Log_2018[[#This Row],[Split_apply]])) - SUM($O501:X501)</f>
        <v>0</v>
      </c>
      <c r="Z501" s="52">
        <f ca="1">Log_2018[[#This Row],[Amount]]/Log_2018[[#This Row],[Split_raw]]*MAX(0,MIN(_xlfn.DAYS(EDATE(Z$1,1),Log_2018[[#This Row],[Date]]),Log_2018[[#This Row],[Split_apply]])) - SUM($O501:Y501)</f>
        <v>0</v>
      </c>
      <c r="AA501" s="52">
        <f ca="1">Log_2018[[#This Row],[Amount]]/Log_2018[[#This Row],[Split_raw]]*MAX(0,MIN(_xlfn.DAYS(EDATE(AA$1,1),Log_2018[[#This Row],[Date]]),Log_2018[[#This Row],[Split_apply]])) - SUM($O501:Z501)</f>
        <v>0</v>
      </c>
      <c r="AB501" s="54">
        <f ca="1">Log_2018[[#This Row],[Amount]]-SUM(O501:AA501)</f>
        <v>0</v>
      </c>
      <c r="AC501" s="7">
        <f ca="1">MAX(0,Log_2018[[#This Row],[Split_apply]] - (EDATE(AA$1,1)-Log_2018[[#This Row],[Date]]))</f>
        <v>0</v>
      </c>
    </row>
    <row r="502" spans="1:29" hidden="1" x14ac:dyDescent="0.25">
      <c r="A502" s="115"/>
      <c r="B502" t="s">
        <v>6</v>
      </c>
      <c r="D502" s="39">
        <v>43227</v>
      </c>
      <c r="F502" t="s">
        <v>188</v>
      </c>
      <c r="G502" t="s">
        <v>189</v>
      </c>
      <c r="H502" s="3">
        <v>-82.36</v>
      </c>
      <c r="I502" s="36">
        <f>IF(Log_2018[[#This Row],[My Category]]="NONTRACKED",0,Log_2018[[#This Row],[Raw Amount]])</f>
        <v>-82.36</v>
      </c>
      <c r="J502" s="17">
        <f>ABS(Log_2018[[#This Row],[Amount]])</f>
        <v>82.36</v>
      </c>
      <c r="K502" s="66">
        <v>30</v>
      </c>
      <c r="L502" s="66">
        <f ca="1">IF(Log_2018[[#This Row],[Date]]&lt;=TODAY(), MIN(Log_2018[[#This Row],[Split_raw]], TODAY()-Log_2018[[#This Row],[Date]]+1), 0)</f>
        <v>30</v>
      </c>
      <c r="M502" t="s">
        <v>30</v>
      </c>
      <c r="N502" t="s">
        <v>158</v>
      </c>
      <c r="O502" s="50">
        <v>0</v>
      </c>
      <c r="P502" s="52">
        <f ca="1">Log_2018[[#This Row],[Amount]]/Log_2018[[#This Row],[Split_raw]]*MAX(0,MIN(_xlfn.DAYS(EDATE(P$1,1),Log_2018[[#This Row],[Date]]),Log_2018[[#This Row],[Split_apply]])) - SUM($O502:O502)</f>
        <v>0</v>
      </c>
      <c r="Q502" s="52">
        <f ca="1">Log_2018[[#This Row],[Amount]]/Log_2018[[#This Row],[Split_raw]]*MAX(0,MIN(_xlfn.DAYS(EDATE(Q$1,1),Log_2018[[#This Row],[Date]]),Log_2018[[#This Row],[Split_apply]])) - SUM($O502:P502)</f>
        <v>0</v>
      </c>
      <c r="R502" s="52">
        <f ca="1">Log_2018[[#This Row],[Amount]]/Log_2018[[#This Row],[Split_raw]]*MAX(0,MIN(_xlfn.DAYS(EDATE(R$1,1),Log_2018[[#This Row],[Date]]),Log_2018[[#This Row],[Split_apply]])) - SUM($O502:Q502)</f>
        <v>0</v>
      </c>
      <c r="S502" s="52">
        <f ca="1">Log_2018[[#This Row],[Amount]]/Log_2018[[#This Row],[Split_raw]]*MAX(0,MIN(_xlfn.DAYS(EDATE(S$1,1),Log_2018[[#This Row],[Date]]),Log_2018[[#This Row],[Split_apply]])) - SUM($O502:R502)</f>
        <v>0</v>
      </c>
      <c r="T502" s="52">
        <f ca="1">Log_2018[[#This Row],[Amount]]/Log_2018[[#This Row],[Split_raw]]*MAX(0,MIN(_xlfn.DAYS(EDATE(T$1,1),Log_2018[[#This Row],[Date]]),Log_2018[[#This Row],[Split_apply]])) - SUM($O502:S502)</f>
        <v>-68.63333333333334</v>
      </c>
      <c r="U502" s="52">
        <f ca="1">Log_2018[[#This Row],[Amount]]/Log_2018[[#This Row],[Split_raw]]*MAX(0,MIN(_xlfn.DAYS(EDATE(U$1,1),Log_2018[[#This Row],[Date]]),Log_2018[[#This Row],[Split_apply]])) - SUM($O502:T502)</f>
        <v>-13.726666666666659</v>
      </c>
      <c r="V502" s="52">
        <f ca="1">Log_2018[[#This Row],[Amount]]/Log_2018[[#This Row],[Split_raw]]*MAX(0,MIN(_xlfn.DAYS(EDATE(V$1,1),Log_2018[[#This Row],[Date]]),Log_2018[[#This Row],[Split_apply]])) - SUM($O502:U502)</f>
        <v>0</v>
      </c>
      <c r="W502" s="52">
        <f ca="1">Log_2018[[#This Row],[Amount]]/Log_2018[[#This Row],[Split_raw]]*MAX(0,MIN(_xlfn.DAYS(EDATE(W$1,1),Log_2018[[#This Row],[Date]]),Log_2018[[#This Row],[Split_apply]])) - SUM($O502:V502)</f>
        <v>0</v>
      </c>
      <c r="X502" s="52">
        <f ca="1">Log_2018[[#This Row],[Amount]]/Log_2018[[#This Row],[Split_raw]]*MAX(0,MIN(_xlfn.DAYS(EDATE(X$1,1),Log_2018[[#This Row],[Date]]),Log_2018[[#This Row],[Split_apply]])) - SUM($O502:W502)</f>
        <v>0</v>
      </c>
      <c r="Y502" s="52">
        <f ca="1">Log_2018[[#This Row],[Amount]]/Log_2018[[#This Row],[Split_raw]]*MAX(0,MIN(_xlfn.DAYS(EDATE(Y$1,1),Log_2018[[#This Row],[Date]]),Log_2018[[#This Row],[Split_apply]])) - SUM($O502:X502)</f>
        <v>0</v>
      </c>
      <c r="Z502" s="52">
        <f ca="1">Log_2018[[#This Row],[Amount]]/Log_2018[[#This Row],[Split_raw]]*MAX(0,MIN(_xlfn.DAYS(EDATE(Z$1,1),Log_2018[[#This Row],[Date]]),Log_2018[[#This Row],[Split_apply]])) - SUM($O502:Y502)</f>
        <v>0</v>
      </c>
      <c r="AA502" s="52">
        <f ca="1">Log_2018[[#This Row],[Amount]]/Log_2018[[#This Row],[Split_raw]]*MAX(0,MIN(_xlfn.DAYS(EDATE(AA$1,1),Log_2018[[#This Row],[Date]]),Log_2018[[#This Row],[Split_apply]])) - SUM($O502:Z502)</f>
        <v>0</v>
      </c>
      <c r="AB502" s="54">
        <f ca="1">Log_2018[[#This Row],[Amount]]-SUM(O502:AA502)</f>
        <v>0</v>
      </c>
      <c r="AC502" s="7">
        <f ca="1">MAX(0,Log_2018[[#This Row],[Split_apply]] - (EDATE(AA$1,1)-Log_2018[[#This Row],[Date]]))</f>
        <v>0</v>
      </c>
    </row>
    <row r="503" spans="1:29" hidden="1" x14ac:dyDescent="0.25">
      <c r="A503" s="115"/>
      <c r="B503" t="s">
        <v>6</v>
      </c>
      <c r="D503" s="39">
        <v>43227</v>
      </c>
      <c r="F503" t="s">
        <v>59</v>
      </c>
      <c r="G503" t="s">
        <v>25</v>
      </c>
      <c r="H503" s="3">
        <v>-7.94</v>
      </c>
      <c r="I503" s="36">
        <f>IF(Log_2018[[#This Row],[My Category]]="NONTRACKED",0,Log_2018[[#This Row],[Raw Amount]])</f>
        <v>-7.94</v>
      </c>
      <c r="J503" s="17">
        <f>ABS(Log_2018[[#This Row],[Amount]])</f>
        <v>7.94</v>
      </c>
      <c r="K503" s="66">
        <v>1</v>
      </c>
      <c r="L503" s="66">
        <f ca="1">IF(Log_2018[[#This Row],[Date]]&lt;=TODAY(), MIN(Log_2018[[#This Row],[Split_raw]], TODAY()-Log_2018[[#This Row],[Date]]+1), 0)</f>
        <v>1</v>
      </c>
      <c r="M503" t="s">
        <v>35</v>
      </c>
      <c r="N503" t="s">
        <v>158</v>
      </c>
      <c r="O503" s="50">
        <v>0</v>
      </c>
      <c r="P503" s="52">
        <f ca="1">Log_2018[[#This Row],[Amount]]/Log_2018[[#This Row],[Split_raw]]*MAX(0,MIN(_xlfn.DAYS(EDATE(P$1,1),Log_2018[[#This Row],[Date]]),Log_2018[[#This Row],[Split_apply]])) - SUM($O503:O503)</f>
        <v>0</v>
      </c>
      <c r="Q503" s="52">
        <f ca="1">Log_2018[[#This Row],[Amount]]/Log_2018[[#This Row],[Split_raw]]*MAX(0,MIN(_xlfn.DAYS(EDATE(Q$1,1),Log_2018[[#This Row],[Date]]),Log_2018[[#This Row],[Split_apply]])) - SUM($O503:P503)</f>
        <v>0</v>
      </c>
      <c r="R503" s="52">
        <f ca="1">Log_2018[[#This Row],[Amount]]/Log_2018[[#This Row],[Split_raw]]*MAX(0,MIN(_xlfn.DAYS(EDATE(R$1,1),Log_2018[[#This Row],[Date]]),Log_2018[[#This Row],[Split_apply]])) - SUM($O503:Q503)</f>
        <v>0</v>
      </c>
      <c r="S503" s="52">
        <f ca="1">Log_2018[[#This Row],[Amount]]/Log_2018[[#This Row],[Split_raw]]*MAX(0,MIN(_xlfn.DAYS(EDATE(S$1,1),Log_2018[[#This Row],[Date]]),Log_2018[[#This Row],[Split_apply]])) - SUM($O503:R503)</f>
        <v>0</v>
      </c>
      <c r="T503" s="52">
        <f ca="1">Log_2018[[#This Row],[Amount]]/Log_2018[[#This Row],[Split_raw]]*MAX(0,MIN(_xlfn.DAYS(EDATE(T$1,1),Log_2018[[#This Row],[Date]]),Log_2018[[#This Row],[Split_apply]])) - SUM($O503:S503)</f>
        <v>-7.94</v>
      </c>
      <c r="U503" s="52">
        <f ca="1">Log_2018[[#This Row],[Amount]]/Log_2018[[#This Row],[Split_raw]]*MAX(0,MIN(_xlfn.DAYS(EDATE(U$1,1),Log_2018[[#This Row],[Date]]),Log_2018[[#This Row],[Split_apply]])) - SUM($O503:T503)</f>
        <v>0</v>
      </c>
      <c r="V503" s="52">
        <f ca="1">Log_2018[[#This Row],[Amount]]/Log_2018[[#This Row],[Split_raw]]*MAX(0,MIN(_xlfn.DAYS(EDATE(V$1,1),Log_2018[[#This Row],[Date]]),Log_2018[[#This Row],[Split_apply]])) - SUM($O503:U503)</f>
        <v>0</v>
      </c>
      <c r="W503" s="52">
        <f ca="1">Log_2018[[#This Row],[Amount]]/Log_2018[[#This Row],[Split_raw]]*MAX(0,MIN(_xlfn.DAYS(EDATE(W$1,1),Log_2018[[#This Row],[Date]]),Log_2018[[#This Row],[Split_apply]])) - SUM($O503:V503)</f>
        <v>0</v>
      </c>
      <c r="X503" s="52">
        <f ca="1">Log_2018[[#This Row],[Amount]]/Log_2018[[#This Row],[Split_raw]]*MAX(0,MIN(_xlfn.DAYS(EDATE(X$1,1),Log_2018[[#This Row],[Date]]),Log_2018[[#This Row],[Split_apply]])) - SUM($O503:W503)</f>
        <v>0</v>
      </c>
      <c r="Y503" s="52">
        <f ca="1">Log_2018[[#This Row],[Amount]]/Log_2018[[#This Row],[Split_raw]]*MAX(0,MIN(_xlfn.DAYS(EDATE(Y$1,1),Log_2018[[#This Row],[Date]]),Log_2018[[#This Row],[Split_apply]])) - SUM($O503:X503)</f>
        <v>0</v>
      </c>
      <c r="Z503" s="52">
        <f ca="1">Log_2018[[#This Row],[Amount]]/Log_2018[[#This Row],[Split_raw]]*MAX(0,MIN(_xlfn.DAYS(EDATE(Z$1,1),Log_2018[[#This Row],[Date]]),Log_2018[[#This Row],[Split_apply]])) - SUM($O503:Y503)</f>
        <v>0</v>
      </c>
      <c r="AA503" s="52">
        <f ca="1">Log_2018[[#This Row],[Amount]]/Log_2018[[#This Row],[Split_raw]]*MAX(0,MIN(_xlfn.DAYS(EDATE(AA$1,1),Log_2018[[#This Row],[Date]]),Log_2018[[#This Row],[Split_apply]])) - SUM($O503:Z503)</f>
        <v>0</v>
      </c>
      <c r="AB503" s="54">
        <f ca="1">Log_2018[[#This Row],[Amount]]-SUM(O503:AA503)</f>
        <v>0</v>
      </c>
      <c r="AC503" s="7">
        <f ca="1">MAX(0,Log_2018[[#This Row],[Split_apply]] - (EDATE(AA$1,1)-Log_2018[[#This Row],[Date]]))</f>
        <v>0</v>
      </c>
    </row>
    <row r="504" spans="1:29" hidden="1" x14ac:dyDescent="0.25">
      <c r="A504" s="115"/>
      <c r="B504" t="s">
        <v>6</v>
      </c>
      <c r="D504" s="39">
        <v>43227</v>
      </c>
      <c r="F504" t="s">
        <v>255</v>
      </c>
      <c r="G504" t="s">
        <v>25</v>
      </c>
      <c r="H504" s="3">
        <v>-29.31</v>
      </c>
      <c r="I504" s="36">
        <f>IF(Log_2018[[#This Row],[My Category]]="NONTRACKED",0,Log_2018[[#This Row],[Raw Amount]])</f>
        <v>-29.31</v>
      </c>
      <c r="J504" s="17">
        <f>ABS(Log_2018[[#This Row],[Amount]])</f>
        <v>29.31</v>
      </c>
      <c r="K504" s="66">
        <v>1</v>
      </c>
      <c r="L504" s="66">
        <f ca="1">IF(Log_2018[[#This Row],[Date]]&lt;=TODAY(), MIN(Log_2018[[#This Row],[Split_raw]], TODAY()-Log_2018[[#This Row],[Date]]+1), 0)</f>
        <v>1</v>
      </c>
      <c r="M504" t="s">
        <v>52</v>
      </c>
      <c r="N504" t="s">
        <v>158</v>
      </c>
      <c r="O504" s="50">
        <v>0</v>
      </c>
      <c r="P504" s="52">
        <f ca="1">Log_2018[[#This Row],[Amount]]/Log_2018[[#This Row],[Split_raw]]*MAX(0,MIN(_xlfn.DAYS(EDATE(P$1,1),Log_2018[[#This Row],[Date]]),Log_2018[[#This Row],[Split_apply]])) - SUM($O504:O504)</f>
        <v>0</v>
      </c>
      <c r="Q504" s="52">
        <f ca="1">Log_2018[[#This Row],[Amount]]/Log_2018[[#This Row],[Split_raw]]*MAX(0,MIN(_xlfn.DAYS(EDATE(Q$1,1),Log_2018[[#This Row],[Date]]),Log_2018[[#This Row],[Split_apply]])) - SUM($O504:P504)</f>
        <v>0</v>
      </c>
      <c r="R504" s="52">
        <f ca="1">Log_2018[[#This Row],[Amount]]/Log_2018[[#This Row],[Split_raw]]*MAX(0,MIN(_xlfn.DAYS(EDATE(R$1,1),Log_2018[[#This Row],[Date]]),Log_2018[[#This Row],[Split_apply]])) - SUM($O504:Q504)</f>
        <v>0</v>
      </c>
      <c r="S504" s="52">
        <f ca="1">Log_2018[[#This Row],[Amount]]/Log_2018[[#This Row],[Split_raw]]*MAX(0,MIN(_xlfn.DAYS(EDATE(S$1,1),Log_2018[[#This Row],[Date]]),Log_2018[[#This Row],[Split_apply]])) - SUM($O504:R504)</f>
        <v>0</v>
      </c>
      <c r="T504" s="52">
        <f ca="1">Log_2018[[#This Row],[Amount]]/Log_2018[[#This Row],[Split_raw]]*MAX(0,MIN(_xlfn.DAYS(EDATE(T$1,1),Log_2018[[#This Row],[Date]]),Log_2018[[#This Row],[Split_apply]])) - SUM($O504:S504)</f>
        <v>-29.31</v>
      </c>
      <c r="U504" s="52">
        <f ca="1">Log_2018[[#This Row],[Amount]]/Log_2018[[#This Row],[Split_raw]]*MAX(0,MIN(_xlfn.DAYS(EDATE(U$1,1),Log_2018[[#This Row],[Date]]),Log_2018[[#This Row],[Split_apply]])) - SUM($O504:T504)</f>
        <v>0</v>
      </c>
      <c r="V504" s="52">
        <f ca="1">Log_2018[[#This Row],[Amount]]/Log_2018[[#This Row],[Split_raw]]*MAX(0,MIN(_xlfn.DAYS(EDATE(V$1,1),Log_2018[[#This Row],[Date]]),Log_2018[[#This Row],[Split_apply]])) - SUM($O504:U504)</f>
        <v>0</v>
      </c>
      <c r="W504" s="52">
        <f ca="1">Log_2018[[#This Row],[Amount]]/Log_2018[[#This Row],[Split_raw]]*MAX(0,MIN(_xlfn.DAYS(EDATE(W$1,1),Log_2018[[#This Row],[Date]]),Log_2018[[#This Row],[Split_apply]])) - SUM($O504:V504)</f>
        <v>0</v>
      </c>
      <c r="X504" s="52">
        <f ca="1">Log_2018[[#This Row],[Amount]]/Log_2018[[#This Row],[Split_raw]]*MAX(0,MIN(_xlfn.DAYS(EDATE(X$1,1),Log_2018[[#This Row],[Date]]),Log_2018[[#This Row],[Split_apply]])) - SUM($O504:W504)</f>
        <v>0</v>
      </c>
      <c r="Y504" s="52">
        <f ca="1">Log_2018[[#This Row],[Amount]]/Log_2018[[#This Row],[Split_raw]]*MAX(0,MIN(_xlfn.DAYS(EDATE(Y$1,1),Log_2018[[#This Row],[Date]]),Log_2018[[#This Row],[Split_apply]])) - SUM($O504:X504)</f>
        <v>0</v>
      </c>
      <c r="Z504" s="52">
        <f ca="1">Log_2018[[#This Row],[Amount]]/Log_2018[[#This Row],[Split_raw]]*MAX(0,MIN(_xlfn.DAYS(EDATE(Z$1,1),Log_2018[[#This Row],[Date]]),Log_2018[[#This Row],[Split_apply]])) - SUM($O504:Y504)</f>
        <v>0</v>
      </c>
      <c r="AA504" s="52">
        <f ca="1">Log_2018[[#This Row],[Amount]]/Log_2018[[#This Row],[Split_raw]]*MAX(0,MIN(_xlfn.DAYS(EDATE(AA$1,1),Log_2018[[#This Row],[Date]]),Log_2018[[#This Row],[Split_apply]])) - SUM($O504:Z504)</f>
        <v>0</v>
      </c>
      <c r="AB504" s="54">
        <f ca="1">Log_2018[[#This Row],[Amount]]-SUM(O504:AA504)</f>
        <v>0</v>
      </c>
      <c r="AC504" s="7">
        <f ca="1">MAX(0,Log_2018[[#This Row],[Split_apply]] - (EDATE(AA$1,1)-Log_2018[[#This Row],[Date]]))</f>
        <v>0</v>
      </c>
    </row>
    <row r="505" spans="1:29" hidden="1" x14ac:dyDescent="0.25">
      <c r="A505" s="115"/>
      <c r="B505" t="s">
        <v>6</v>
      </c>
      <c r="D505" s="39">
        <v>43226</v>
      </c>
      <c r="F505" t="s">
        <v>260</v>
      </c>
      <c r="G505" t="s">
        <v>25</v>
      </c>
      <c r="H505" s="3">
        <v>-14.4</v>
      </c>
      <c r="I505" s="36">
        <f>IF(Log_2018[[#This Row],[My Category]]="NONTRACKED",0,Log_2018[[#This Row],[Raw Amount]])</f>
        <v>-14.4</v>
      </c>
      <c r="J505" s="17">
        <f>ABS(Log_2018[[#This Row],[Amount]])</f>
        <v>14.4</v>
      </c>
      <c r="K505" s="66">
        <v>1</v>
      </c>
      <c r="L505" s="66">
        <f ca="1">IF(Log_2018[[#This Row],[Date]]&lt;=TODAY(), MIN(Log_2018[[#This Row],[Split_raw]], TODAY()-Log_2018[[#This Row],[Date]]+1), 0)</f>
        <v>1</v>
      </c>
      <c r="M505" t="s">
        <v>37</v>
      </c>
      <c r="N505" t="s">
        <v>158</v>
      </c>
      <c r="O505" s="50">
        <v>0</v>
      </c>
      <c r="P505" s="52">
        <f ca="1">Log_2018[[#This Row],[Amount]]/Log_2018[[#This Row],[Split_raw]]*MAX(0,MIN(_xlfn.DAYS(EDATE(P$1,1),Log_2018[[#This Row],[Date]]),Log_2018[[#This Row],[Split_apply]])) - SUM($O505:O505)</f>
        <v>0</v>
      </c>
      <c r="Q505" s="52">
        <f ca="1">Log_2018[[#This Row],[Amount]]/Log_2018[[#This Row],[Split_raw]]*MAX(0,MIN(_xlfn.DAYS(EDATE(Q$1,1),Log_2018[[#This Row],[Date]]),Log_2018[[#This Row],[Split_apply]])) - SUM($O505:P505)</f>
        <v>0</v>
      </c>
      <c r="R505" s="52">
        <f ca="1">Log_2018[[#This Row],[Amount]]/Log_2018[[#This Row],[Split_raw]]*MAX(0,MIN(_xlfn.DAYS(EDATE(R$1,1),Log_2018[[#This Row],[Date]]),Log_2018[[#This Row],[Split_apply]])) - SUM($O505:Q505)</f>
        <v>0</v>
      </c>
      <c r="S505" s="52">
        <f ca="1">Log_2018[[#This Row],[Amount]]/Log_2018[[#This Row],[Split_raw]]*MAX(0,MIN(_xlfn.DAYS(EDATE(S$1,1),Log_2018[[#This Row],[Date]]),Log_2018[[#This Row],[Split_apply]])) - SUM($O505:R505)</f>
        <v>0</v>
      </c>
      <c r="T505" s="52">
        <f ca="1">Log_2018[[#This Row],[Amount]]/Log_2018[[#This Row],[Split_raw]]*MAX(0,MIN(_xlfn.DAYS(EDATE(T$1,1),Log_2018[[#This Row],[Date]]),Log_2018[[#This Row],[Split_apply]])) - SUM($O505:S505)</f>
        <v>-14.4</v>
      </c>
      <c r="U505" s="52">
        <f ca="1">Log_2018[[#This Row],[Amount]]/Log_2018[[#This Row],[Split_raw]]*MAX(0,MIN(_xlfn.DAYS(EDATE(U$1,1),Log_2018[[#This Row],[Date]]),Log_2018[[#This Row],[Split_apply]])) - SUM($O505:T505)</f>
        <v>0</v>
      </c>
      <c r="V505" s="52">
        <f ca="1">Log_2018[[#This Row],[Amount]]/Log_2018[[#This Row],[Split_raw]]*MAX(0,MIN(_xlfn.DAYS(EDATE(V$1,1),Log_2018[[#This Row],[Date]]),Log_2018[[#This Row],[Split_apply]])) - SUM($O505:U505)</f>
        <v>0</v>
      </c>
      <c r="W505" s="52">
        <f ca="1">Log_2018[[#This Row],[Amount]]/Log_2018[[#This Row],[Split_raw]]*MAX(0,MIN(_xlfn.DAYS(EDATE(W$1,1),Log_2018[[#This Row],[Date]]),Log_2018[[#This Row],[Split_apply]])) - SUM($O505:V505)</f>
        <v>0</v>
      </c>
      <c r="X505" s="52">
        <f ca="1">Log_2018[[#This Row],[Amount]]/Log_2018[[#This Row],[Split_raw]]*MAX(0,MIN(_xlfn.DAYS(EDATE(X$1,1),Log_2018[[#This Row],[Date]]),Log_2018[[#This Row],[Split_apply]])) - SUM($O505:W505)</f>
        <v>0</v>
      </c>
      <c r="Y505" s="52">
        <f ca="1">Log_2018[[#This Row],[Amount]]/Log_2018[[#This Row],[Split_raw]]*MAX(0,MIN(_xlfn.DAYS(EDATE(Y$1,1),Log_2018[[#This Row],[Date]]),Log_2018[[#This Row],[Split_apply]])) - SUM($O505:X505)</f>
        <v>0</v>
      </c>
      <c r="Z505" s="52">
        <f ca="1">Log_2018[[#This Row],[Amount]]/Log_2018[[#This Row],[Split_raw]]*MAX(0,MIN(_xlfn.DAYS(EDATE(Z$1,1),Log_2018[[#This Row],[Date]]),Log_2018[[#This Row],[Split_apply]])) - SUM($O505:Y505)</f>
        <v>0</v>
      </c>
      <c r="AA505" s="52">
        <f ca="1">Log_2018[[#This Row],[Amount]]/Log_2018[[#This Row],[Split_raw]]*MAX(0,MIN(_xlfn.DAYS(EDATE(AA$1,1),Log_2018[[#This Row],[Date]]),Log_2018[[#This Row],[Split_apply]])) - SUM($O505:Z505)</f>
        <v>0</v>
      </c>
      <c r="AB505" s="54">
        <f ca="1">Log_2018[[#This Row],[Amount]]-SUM(O505:AA505)</f>
        <v>0</v>
      </c>
      <c r="AC505" s="7">
        <f ca="1">MAX(0,Log_2018[[#This Row],[Split_apply]] - (EDATE(AA$1,1)-Log_2018[[#This Row],[Date]]))</f>
        <v>0</v>
      </c>
    </row>
    <row r="506" spans="1:29" hidden="1" x14ac:dyDescent="0.25">
      <c r="A506" s="115"/>
      <c r="B506" t="s">
        <v>6</v>
      </c>
      <c r="D506" s="39">
        <v>43224</v>
      </c>
      <c r="F506" t="s">
        <v>59</v>
      </c>
      <c r="G506" t="s">
        <v>25</v>
      </c>
      <c r="H506" s="3">
        <v>-7.94</v>
      </c>
      <c r="I506" s="36">
        <f>IF(Log_2018[[#This Row],[My Category]]="NONTRACKED",0,Log_2018[[#This Row],[Raw Amount]])</f>
        <v>-7.94</v>
      </c>
      <c r="J506" s="17">
        <f>ABS(Log_2018[[#This Row],[Amount]])</f>
        <v>7.94</v>
      </c>
      <c r="K506" s="66">
        <v>1</v>
      </c>
      <c r="L506" s="66">
        <f ca="1">IF(Log_2018[[#This Row],[Date]]&lt;=TODAY(), MIN(Log_2018[[#This Row],[Split_raw]], TODAY()-Log_2018[[#This Row],[Date]]+1), 0)</f>
        <v>1</v>
      </c>
      <c r="M506" t="s">
        <v>35</v>
      </c>
      <c r="N506" t="s">
        <v>158</v>
      </c>
      <c r="O506" s="50">
        <v>0</v>
      </c>
      <c r="P506" s="52">
        <f ca="1">Log_2018[[#This Row],[Amount]]/Log_2018[[#This Row],[Split_raw]]*MAX(0,MIN(_xlfn.DAYS(EDATE(P$1,1),Log_2018[[#This Row],[Date]]),Log_2018[[#This Row],[Split_apply]])) - SUM($O506:O506)</f>
        <v>0</v>
      </c>
      <c r="Q506" s="52">
        <f ca="1">Log_2018[[#This Row],[Amount]]/Log_2018[[#This Row],[Split_raw]]*MAX(0,MIN(_xlfn.DAYS(EDATE(Q$1,1),Log_2018[[#This Row],[Date]]),Log_2018[[#This Row],[Split_apply]])) - SUM($O506:P506)</f>
        <v>0</v>
      </c>
      <c r="R506" s="52">
        <f ca="1">Log_2018[[#This Row],[Amount]]/Log_2018[[#This Row],[Split_raw]]*MAX(0,MIN(_xlfn.DAYS(EDATE(R$1,1),Log_2018[[#This Row],[Date]]),Log_2018[[#This Row],[Split_apply]])) - SUM($O506:Q506)</f>
        <v>0</v>
      </c>
      <c r="S506" s="52">
        <f ca="1">Log_2018[[#This Row],[Amount]]/Log_2018[[#This Row],[Split_raw]]*MAX(0,MIN(_xlfn.DAYS(EDATE(S$1,1),Log_2018[[#This Row],[Date]]),Log_2018[[#This Row],[Split_apply]])) - SUM($O506:R506)</f>
        <v>0</v>
      </c>
      <c r="T506" s="52">
        <f ca="1">Log_2018[[#This Row],[Amount]]/Log_2018[[#This Row],[Split_raw]]*MAX(0,MIN(_xlfn.DAYS(EDATE(T$1,1),Log_2018[[#This Row],[Date]]),Log_2018[[#This Row],[Split_apply]])) - SUM($O506:S506)</f>
        <v>-7.94</v>
      </c>
      <c r="U506" s="52">
        <f ca="1">Log_2018[[#This Row],[Amount]]/Log_2018[[#This Row],[Split_raw]]*MAX(0,MIN(_xlfn.DAYS(EDATE(U$1,1),Log_2018[[#This Row],[Date]]),Log_2018[[#This Row],[Split_apply]])) - SUM($O506:T506)</f>
        <v>0</v>
      </c>
      <c r="V506" s="52">
        <f ca="1">Log_2018[[#This Row],[Amount]]/Log_2018[[#This Row],[Split_raw]]*MAX(0,MIN(_xlfn.DAYS(EDATE(V$1,1),Log_2018[[#This Row],[Date]]),Log_2018[[#This Row],[Split_apply]])) - SUM($O506:U506)</f>
        <v>0</v>
      </c>
      <c r="W506" s="52">
        <f ca="1">Log_2018[[#This Row],[Amount]]/Log_2018[[#This Row],[Split_raw]]*MAX(0,MIN(_xlfn.DAYS(EDATE(W$1,1),Log_2018[[#This Row],[Date]]),Log_2018[[#This Row],[Split_apply]])) - SUM($O506:V506)</f>
        <v>0</v>
      </c>
      <c r="X506" s="52">
        <f ca="1">Log_2018[[#This Row],[Amount]]/Log_2018[[#This Row],[Split_raw]]*MAX(0,MIN(_xlfn.DAYS(EDATE(X$1,1),Log_2018[[#This Row],[Date]]),Log_2018[[#This Row],[Split_apply]])) - SUM($O506:W506)</f>
        <v>0</v>
      </c>
      <c r="Y506" s="52">
        <f ca="1">Log_2018[[#This Row],[Amount]]/Log_2018[[#This Row],[Split_raw]]*MAX(0,MIN(_xlfn.DAYS(EDATE(Y$1,1),Log_2018[[#This Row],[Date]]),Log_2018[[#This Row],[Split_apply]])) - SUM($O506:X506)</f>
        <v>0</v>
      </c>
      <c r="Z506" s="52">
        <f ca="1">Log_2018[[#This Row],[Amount]]/Log_2018[[#This Row],[Split_raw]]*MAX(0,MIN(_xlfn.DAYS(EDATE(Z$1,1),Log_2018[[#This Row],[Date]]),Log_2018[[#This Row],[Split_apply]])) - SUM($O506:Y506)</f>
        <v>0</v>
      </c>
      <c r="AA506" s="52">
        <f ca="1">Log_2018[[#This Row],[Amount]]/Log_2018[[#This Row],[Split_raw]]*MAX(0,MIN(_xlfn.DAYS(EDATE(AA$1,1),Log_2018[[#This Row],[Date]]),Log_2018[[#This Row],[Split_apply]])) - SUM($O506:Z506)</f>
        <v>0</v>
      </c>
      <c r="AB506" s="54">
        <f ca="1">Log_2018[[#This Row],[Amount]]-SUM(O506:AA506)</f>
        <v>0</v>
      </c>
      <c r="AC506" s="7">
        <f ca="1">MAX(0,Log_2018[[#This Row],[Split_apply]] - (EDATE(AA$1,1)-Log_2018[[#This Row],[Date]]))</f>
        <v>0</v>
      </c>
    </row>
    <row r="507" spans="1:29" hidden="1" x14ac:dyDescent="0.25">
      <c r="A507" s="115"/>
      <c r="B507" t="s">
        <v>6</v>
      </c>
      <c r="D507" s="39">
        <v>43222</v>
      </c>
      <c r="F507" t="s">
        <v>217</v>
      </c>
      <c r="G507" t="s">
        <v>12</v>
      </c>
      <c r="H507" s="3">
        <v>-106.53</v>
      </c>
      <c r="I507" s="36">
        <f>IF(Log_2018[[#This Row],[My Category]]="NONTRACKED",0,Log_2018[[#This Row],[Raw Amount]])</f>
        <v>-106.53</v>
      </c>
      <c r="J507" s="17">
        <f>ABS(Log_2018[[#This Row],[Amount]])</f>
        <v>106.53</v>
      </c>
      <c r="K507" s="66">
        <v>1</v>
      </c>
      <c r="L507" s="66">
        <f ca="1">IF(Log_2018[[#This Row],[Date]]&lt;=TODAY(), MIN(Log_2018[[#This Row],[Split_raw]], TODAY()-Log_2018[[#This Row],[Date]]+1), 0)</f>
        <v>1</v>
      </c>
      <c r="M507" t="s">
        <v>12</v>
      </c>
      <c r="N507" t="s">
        <v>158</v>
      </c>
      <c r="O507" s="50">
        <v>0</v>
      </c>
      <c r="P507" s="52">
        <f ca="1">Log_2018[[#This Row],[Amount]]/Log_2018[[#This Row],[Split_raw]]*MAX(0,MIN(_xlfn.DAYS(EDATE(P$1,1),Log_2018[[#This Row],[Date]]),Log_2018[[#This Row],[Split_apply]])) - SUM($O507:O507)</f>
        <v>0</v>
      </c>
      <c r="Q507" s="52">
        <f ca="1">Log_2018[[#This Row],[Amount]]/Log_2018[[#This Row],[Split_raw]]*MAX(0,MIN(_xlfn.DAYS(EDATE(Q$1,1),Log_2018[[#This Row],[Date]]),Log_2018[[#This Row],[Split_apply]])) - SUM($O507:P507)</f>
        <v>0</v>
      </c>
      <c r="R507" s="52">
        <f ca="1">Log_2018[[#This Row],[Amount]]/Log_2018[[#This Row],[Split_raw]]*MAX(0,MIN(_xlfn.DAYS(EDATE(R$1,1),Log_2018[[#This Row],[Date]]),Log_2018[[#This Row],[Split_apply]])) - SUM($O507:Q507)</f>
        <v>0</v>
      </c>
      <c r="S507" s="52">
        <f ca="1">Log_2018[[#This Row],[Amount]]/Log_2018[[#This Row],[Split_raw]]*MAX(0,MIN(_xlfn.DAYS(EDATE(S$1,1),Log_2018[[#This Row],[Date]]),Log_2018[[#This Row],[Split_apply]])) - SUM($O507:R507)</f>
        <v>0</v>
      </c>
      <c r="T507" s="52">
        <f ca="1">Log_2018[[#This Row],[Amount]]/Log_2018[[#This Row],[Split_raw]]*MAX(0,MIN(_xlfn.DAYS(EDATE(T$1,1),Log_2018[[#This Row],[Date]]),Log_2018[[#This Row],[Split_apply]])) - SUM($O507:S507)</f>
        <v>-106.53</v>
      </c>
      <c r="U507" s="52">
        <f ca="1">Log_2018[[#This Row],[Amount]]/Log_2018[[#This Row],[Split_raw]]*MAX(0,MIN(_xlfn.DAYS(EDATE(U$1,1),Log_2018[[#This Row],[Date]]),Log_2018[[#This Row],[Split_apply]])) - SUM($O507:T507)</f>
        <v>0</v>
      </c>
      <c r="V507" s="52">
        <f ca="1">Log_2018[[#This Row],[Amount]]/Log_2018[[#This Row],[Split_raw]]*MAX(0,MIN(_xlfn.DAYS(EDATE(V$1,1),Log_2018[[#This Row],[Date]]),Log_2018[[#This Row],[Split_apply]])) - SUM($O507:U507)</f>
        <v>0</v>
      </c>
      <c r="W507" s="52">
        <f ca="1">Log_2018[[#This Row],[Amount]]/Log_2018[[#This Row],[Split_raw]]*MAX(0,MIN(_xlfn.DAYS(EDATE(W$1,1),Log_2018[[#This Row],[Date]]),Log_2018[[#This Row],[Split_apply]])) - SUM($O507:V507)</f>
        <v>0</v>
      </c>
      <c r="X507" s="52">
        <f ca="1">Log_2018[[#This Row],[Amount]]/Log_2018[[#This Row],[Split_raw]]*MAX(0,MIN(_xlfn.DAYS(EDATE(X$1,1),Log_2018[[#This Row],[Date]]),Log_2018[[#This Row],[Split_apply]])) - SUM($O507:W507)</f>
        <v>0</v>
      </c>
      <c r="Y507" s="52">
        <f ca="1">Log_2018[[#This Row],[Amount]]/Log_2018[[#This Row],[Split_raw]]*MAX(0,MIN(_xlfn.DAYS(EDATE(Y$1,1),Log_2018[[#This Row],[Date]]),Log_2018[[#This Row],[Split_apply]])) - SUM($O507:X507)</f>
        <v>0</v>
      </c>
      <c r="Z507" s="52">
        <f ca="1">Log_2018[[#This Row],[Amount]]/Log_2018[[#This Row],[Split_raw]]*MAX(0,MIN(_xlfn.DAYS(EDATE(Z$1,1),Log_2018[[#This Row],[Date]]),Log_2018[[#This Row],[Split_apply]])) - SUM($O507:Y507)</f>
        <v>0</v>
      </c>
      <c r="AA507" s="52">
        <f ca="1">Log_2018[[#This Row],[Amount]]/Log_2018[[#This Row],[Split_raw]]*MAX(0,MIN(_xlfn.DAYS(EDATE(AA$1,1),Log_2018[[#This Row],[Date]]),Log_2018[[#This Row],[Split_apply]])) - SUM($O507:Z507)</f>
        <v>0</v>
      </c>
      <c r="AB507" s="54">
        <f ca="1">Log_2018[[#This Row],[Amount]]-SUM(O507:AA507)</f>
        <v>0</v>
      </c>
      <c r="AC507" s="7">
        <f ca="1">MAX(0,Log_2018[[#This Row],[Split_apply]] - (EDATE(AA$1,1)-Log_2018[[#This Row],[Date]]))</f>
        <v>0</v>
      </c>
    </row>
    <row r="508" spans="1:29" hidden="1" x14ac:dyDescent="0.25">
      <c r="A508" s="115"/>
      <c r="B508" t="s">
        <v>6</v>
      </c>
      <c r="D508" s="39">
        <v>43222</v>
      </c>
      <c r="F508" t="s">
        <v>59</v>
      </c>
      <c r="G508" t="s">
        <v>25</v>
      </c>
      <c r="H508" s="3">
        <v>-7.94</v>
      </c>
      <c r="I508" s="36">
        <f>IF(Log_2018[[#This Row],[My Category]]="NONTRACKED",0,Log_2018[[#This Row],[Raw Amount]])</f>
        <v>-7.94</v>
      </c>
      <c r="J508" s="17">
        <f>ABS(Log_2018[[#This Row],[Amount]])</f>
        <v>7.94</v>
      </c>
      <c r="K508" s="66">
        <v>1</v>
      </c>
      <c r="L508" s="66">
        <f ca="1">IF(Log_2018[[#This Row],[Date]]&lt;=TODAY(), MIN(Log_2018[[#This Row],[Split_raw]], TODAY()-Log_2018[[#This Row],[Date]]+1), 0)</f>
        <v>1</v>
      </c>
      <c r="M508" t="s">
        <v>35</v>
      </c>
      <c r="N508" t="s">
        <v>158</v>
      </c>
      <c r="O508" s="50">
        <v>0</v>
      </c>
      <c r="P508" s="52">
        <f ca="1">Log_2018[[#This Row],[Amount]]/Log_2018[[#This Row],[Split_raw]]*MAX(0,MIN(_xlfn.DAYS(EDATE(P$1,1),Log_2018[[#This Row],[Date]]),Log_2018[[#This Row],[Split_apply]])) - SUM($O508:O508)</f>
        <v>0</v>
      </c>
      <c r="Q508" s="52">
        <f ca="1">Log_2018[[#This Row],[Amount]]/Log_2018[[#This Row],[Split_raw]]*MAX(0,MIN(_xlfn.DAYS(EDATE(Q$1,1),Log_2018[[#This Row],[Date]]),Log_2018[[#This Row],[Split_apply]])) - SUM($O508:P508)</f>
        <v>0</v>
      </c>
      <c r="R508" s="52">
        <f ca="1">Log_2018[[#This Row],[Amount]]/Log_2018[[#This Row],[Split_raw]]*MAX(0,MIN(_xlfn.DAYS(EDATE(R$1,1),Log_2018[[#This Row],[Date]]),Log_2018[[#This Row],[Split_apply]])) - SUM($O508:Q508)</f>
        <v>0</v>
      </c>
      <c r="S508" s="52">
        <f ca="1">Log_2018[[#This Row],[Amount]]/Log_2018[[#This Row],[Split_raw]]*MAX(0,MIN(_xlfn.DAYS(EDATE(S$1,1),Log_2018[[#This Row],[Date]]),Log_2018[[#This Row],[Split_apply]])) - SUM($O508:R508)</f>
        <v>0</v>
      </c>
      <c r="T508" s="52">
        <f ca="1">Log_2018[[#This Row],[Amount]]/Log_2018[[#This Row],[Split_raw]]*MAX(0,MIN(_xlfn.DAYS(EDATE(T$1,1),Log_2018[[#This Row],[Date]]),Log_2018[[#This Row],[Split_apply]])) - SUM($O508:S508)</f>
        <v>-7.94</v>
      </c>
      <c r="U508" s="52">
        <f ca="1">Log_2018[[#This Row],[Amount]]/Log_2018[[#This Row],[Split_raw]]*MAX(0,MIN(_xlfn.DAYS(EDATE(U$1,1),Log_2018[[#This Row],[Date]]),Log_2018[[#This Row],[Split_apply]])) - SUM($O508:T508)</f>
        <v>0</v>
      </c>
      <c r="V508" s="52">
        <f ca="1">Log_2018[[#This Row],[Amount]]/Log_2018[[#This Row],[Split_raw]]*MAX(0,MIN(_xlfn.DAYS(EDATE(V$1,1),Log_2018[[#This Row],[Date]]),Log_2018[[#This Row],[Split_apply]])) - SUM($O508:U508)</f>
        <v>0</v>
      </c>
      <c r="W508" s="52">
        <f ca="1">Log_2018[[#This Row],[Amount]]/Log_2018[[#This Row],[Split_raw]]*MAX(0,MIN(_xlfn.DAYS(EDATE(W$1,1),Log_2018[[#This Row],[Date]]),Log_2018[[#This Row],[Split_apply]])) - SUM($O508:V508)</f>
        <v>0</v>
      </c>
      <c r="X508" s="52">
        <f ca="1">Log_2018[[#This Row],[Amount]]/Log_2018[[#This Row],[Split_raw]]*MAX(0,MIN(_xlfn.DAYS(EDATE(X$1,1),Log_2018[[#This Row],[Date]]),Log_2018[[#This Row],[Split_apply]])) - SUM($O508:W508)</f>
        <v>0</v>
      </c>
      <c r="Y508" s="52">
        <f ca="1">Log_2018[[#This Row],[Amount]]/Log_2018[[#This Row],[Split_raw]]*MAX(0,MIN(_xlfn.DAYS(EDATE(Y$1,1),Log_2018[[#This Row],[Date]]),Log_2018[[#This Row],[Split_apply]])) - SUM($O508:X508)</f>
        <v>0</v>
      </c>
      <c r="Z508" s="52">
        <f ca="1">Log_2018[[#This Row],[Amount]]/Log_2018[[#This Row],[Split_raw]]*MAX(0,MIN(_xlfn.DAYS(EDATE(Z$1,1),Log_2018[[#This Row],[Date]]),Log_2018[[#This Row],[Split_apply]])) - SUM($O508:Y508)</f>
        <v>0</v>
      </c>
      <c r="AA508" s="52">
        <f ca="1">Log_2018[[#This Row],[Amount]]/Log_2018[[#This Row],[Split_raw]]*MAX(0,MIN(_xlfn.DAYS(EDATE(AA$1,1),Log_2018[[#This Row],[Date]]),Log_2018[[#This Row],[Split_apply]])) - SUM($O508:Z508)</f>
        <v>0</v>
      </c>
      <c r="AB508" s="54">
        <f ca="1">Log_2018[[#This Row],[Amount]]-SUM(O508:AA508)</f>
        <v>0</v>
      </c>
      <c r="AC508" s="7">
        <f ca="1">MAX(0,Log_2018[[#This Row],[Split_apply]] - (EDATE(AA$1,1)-Log_2018[[#This Row],[Date]]))</f>
        <v>0</v>
      </c>
    </row>
    <row r="509" spans="1:29" hidden="1" x14ac:dyDescent="0.25">
      <c r="A509" s="115"/>
      <c r="B509" t="s">
        <v>6</v>
      </c>
      <c r="D509" s="39">
        <v>43222</v>
      </c>
      <c r="F509" t="s">
        <v>138</v>
      </c>
      <c r="G509" t="s">
        <v>104</v>
      </c>
      <c r="H509" s="3">
        <v>-507.83</v>
      </c>
      <c r="I509" s="36">
        <f>IF(Log_2018[[#This Row],[My Category]]="NONTRACKED",0,Log_2018[[#This Row],[Raw Amount]])</f>
        <v>-507.83</v>
      </c>
      <c r="J509" s="17">
        <f>ABS(Log_2018[[#This Row],[Amount]])</f>
        <v>507.83</v>
      </c>
      <c r="K509" s="66">
        <v>1</v>
      </c>
      <c r="L509" s="66">
        <f ca="1">IF(Log_2018[[#This Row],[Date]]&lt;=TODAY(), MIN(Log_2018[[#This Row],[Split_raw]], TODAY()-Log_2018[[#This Row],[Date]]+1), 0)</f>
        <v>1</v>
      </c>
      <c r="M509" t="s">
        <v>159</v>
      </c>
      <c r="N509" t="s">
        <v>160</v>
      </c>
      <c r="O509" s="50">
        <v>0</v>
      </c>
      <c r="P509" s="52">
        <f ca="1">Log_2018[[#This Row],[Amount]]/Log_2018[[#This Row],[Split_raw]]*MAX(0,MIN(_xlfn.DAYS(EDATE(P$1,1),Log_2018[[#This Row],[Date]]),Log_2018[[#This Row],[Split_apply]])) - SUM($O509:O509)</f>
        <v>0</v>
      </c>
      <c r="Q509" s="52">
        <f ca="1">Log_2018[[#This Row],[Amount]]/Log_2018[[#This Row],[Split_raw]]*MAX(0,MIN(_xlfn.DAYS(EDATE(Q$1,1),Log_2018[[#This Row],[Date]]),Log_2018[[#This Row],[Split_apply]])) - SUM($O509:P509)</f>
        <v>0</v>
      </c>
      <c r="R509" s="52">
        <f ca="1">Log_2018[[#This Row],[Amount]]/Log_2018[[#This Row],[Split_raw]]*MAX(0,MIN(_xlfn.DAYS(EDATE(R$1,1),Log_2018[[#This Row],[Date]]),Log_2018[[#This Row],[Split_apply]])) - SUM($O509:Q509)</f>
        <v>0</v>
      </c>
      <c r="S509" s="52">
        <f ca="1">Log_2018[[#This Row],[Amount]]/Log_2018[[#This Row],[Split_raw]]*MAX(0,MIN(_xlfn.DAYS(EDATE(S$1,1),Log_2018[[#This Row],[Date]]),Log_2018[[#This Row],[Split_apply]])) - SUM($O509:R509)</f>
        <v>0</v>
      </c>
      <c r="T509" s="52">
        <f ca="1">Log_2018[[#This Row],[Amount]]/Log_2018[[#This Row],[Split_raw]]*MAX(0,MIN(_xlfn.DAYS(EDATE(T$1,1),Log_2018[[#This Row],[Date]]),Log_2018[[#This Row],[Split_apply]])) - SUM($O509:S509)</f>
        <v>-507.83</v>
      </c>
      <c r="U509" s="52">
        <f ca="1">Log_2018[[#This Row],[Amount]]/Log_2018[[#This Row],[Split_raw]]*MAX(0,MIN(_xlfn.DAYS(EDATE(U$1,1),Log_2018[[#This Row],[Date]]),Log_2018[[#This Row],[Split_apply]])) - SUM($O509:T509)</f>
        <v>0</v>
      </c>
      <c r="V509" s="52">
        <f ca="1">Log_2018[[#This Row],[Amount]]/Log_2018[[#This Row],[Split_raw]]*MAX(0,MIN(_xlfn.DAYS(EDATE(V$1,1),Log_2018[[#This Row],[Date]]),Log_2018[[#This Row],[Split_apply]])) - SUM($O509:U509)</f>
        <v>0</v>
      </c>
      <c r="W509" s="52">
        <f ca="1">Log_2018[[#This Row],[Amount]]/Log_2018[[#This Row],[Split_raw]]*MAX(0,MIN(_xlfn.DAYS(EDATE(W$1,1),Log_2018[[#This Row],[Date]]),Log_2018[[#This Row],[Split_apply]])) - SUM($O509:V509)</f>
        <v>0</v>
      </c>
      <c r="X509" s="52">
        <f ca="1">Log_2018[[#This Row],[Amount]]/Log_2018[[#This Row],[Split_raw]]*MAX(0,MIN(_xlfn.DAYS(EDATE(X$1,1),Log_2018[[#This Row],[Date]]),Log_2018[[#This Row],[Split_apply]])) - SUM($O509:W509)</f>
        <v>0</v>
      </c>
      <c r="Y509" s="52">
        <f ca="1">Log_2018[[#This Row],[Amount]]/Log_2018[[#This Row],[Split_raw]]*MAX(0,MIN(_xlfn.DAYS(EDATE(Y$1,1),Log_2018[[#This Row],[Date]]),Log_2018[[#This Row],[Split_apply]])) - SUM($O509:X509)</f>
        <v>0</v>
      </c>
      <c r="Z509" s="52">
        <f ca="1">Log_2018[[#This Row],[Amount]]/Log_2018[[#This Row],[Split_raw]]*MAX(0,MIN(_xlfn.DAYS(EDATE(Z$1,1),Log_2018[[#This Row],[Date]]),Log_2018[[#This Row],[Split_apply]])) - SUM($O509:Y509)</f>
        <v>0</v>
      </c>
      <c r="AA509" s="52">
        <f ca="1">Log_2018[[#This Row],[Amount]]/Log_2018[[#This Row],[Split_raw]]*MAX(0,MIN(_xlfn.DAYS(EDATE(AA$1,1),Log_2018[[#This Row],[Date]]),Log_2018[[#This Row],[Split_apply]])) - SUM($O509:Z509)</f>
        <v>0</v>
      </c>
      <c r="AB509" s="54">
        <f ca="1">Log_2018[[#This Row],[Amount]]-SUM(O509:AA509)</f>
        <v>0</v>
      </c>
      <c r="AC509" s="7">
        <f ca="1">MAX(0,Log_2018[[#This Row],[Split_apply]] - (EDATE(AA$1,1)-Log_2018[[#This Row],[Date]]))</f>
        <v>0</v>
      </c>
    </row>
    <row r="510" spans="1:29" hidden="1" x14ac:dyDescent="0.25">
      <c r="A510" s="115"/>
      <c r="B510" t="s">
        <v>6</v>
      </c>
      <c r="D510" s="39">
        <v>43221</v>
      </c>
      <c r="E510" t="s">
        <v>960</v>
      </c>
      <c r="F510" t="s">
        <v>244</v>
      </c>
      <c r="G510" t="s">
        <v>20</v>
      </c>
      <c r="H510" s="3">
        <v>-1466.65</v>
      </c>
      <c r="I510" s="36">
        <f>IF(Log_2018[[#This Row],[My Category]]="NONTRACKED",0,Log_2018[[#This Row],[Raw Amount]])</f>
        <v>-1466.65</v>
      </c>
      <c r="J510" s="17">
        <f>ABS(Log_2018[[#This Row],[Amount]])</f>
        <v>1466.65</v>
      </c>
      <c r="K510" s="66">
        <v>31</v>
      </c>
      <c r="L510" s="66">
        <f ca="1">IF(Log_2018[[#This Row],[Date]]&lt;=TODAY(), MIN(Log_2018[[#This Row],[Split_raw]], TODAY()-Log_2018[[#This Row],[Date]]+1), 0)</f>
        <v>31</v>
      </c>
      <c r="M510" t="s">
        <v>28</v>
      </c>
      <c r="N510" t="s">
        <v>160</v>
      </c>
      <c r="O510" s="50">
        <v>0</v>
      </c>
      <c r="P510" s="52">
        <f ca="1">Log_2018[[#This Row],[Amount]]/Log_2018[[#This Row],[Split_raw]]*MAX(0,MIN(_xlfn.DAYS(EDATE(P$1,1),Log_2018[[#This Row],[Date]]),Log_2018[[#This Row],[Split_apply]])) - SUM($O510:O510)</f>
        <v>0</v>
      </c>
      <c r="Q510" s="52">
        <f ca="1">Log_2018[[#This Row],[Amount]]/Log_2018[[#This Row],[Split_raw]]*MAX(0,MIN(_xlfn.DAYS(EDATE(Q$1,1),Log_2018[[#This Row],[Date]]),Log_2018[[#This Row],[Split_apply]])) - SUM($O510:P510)</f>
        <v>0</v>
      </c>
      <c r="R510" s="52">
        <f ca="1">Log_2018[[#This Row],[Amount]]/Log_2018[[#This Row],[Split_raw]]*MAX(0,MIN(_xlfn.DAYS(EDATE(R$1,1),Log_2018[[#This Row],[Date]]),Log_2018[[#This Row],[Split_apply]])) - SUM($O510:Q510)</f>
        <v>0</v>
      </c>
      <c r="S510" s="52">
        <f ca="1">Log_2018[[#This Row],[Amount]]/Log_2018[[#This Row],[Split_raw]]*MAX(0,MIN(_xlfn.DAYS(EDATE(S$1,1),Log_2018[[#This Row],[Date]]),Log_2018[[#This Row],[Split_apply]])) - SUM($O510:R510)</f>
        <v>0</v>
      </c>
      <c r="T510" s="52">
        <f ca="1">Log_2018[[#This Row],[Amount]]/Log_2018[[#This Row],[Split_raw]]*MAX(0,MIN(_xlfn.DAYS(EDATE(T$1,1),Log_2018[[#This Row],[Date]]),Log_2018[[#This Row],[Split_apply]])) - SUM($O510:S510)</f>
        <v>-1466.65</v>
      </c>
      <c r="U510" s="52">
        <f ca="1">Log_2018[[#This Row],[Amount]]/Log_2018[[#This Row],[Split_raw]]*MAX(0,MIN(_xlfn.DAYS(EDATE(U$1,1),Log_2018[[#This Row],[Date]]),Log_2018[[#This Row],[Split_apply]])) - SUM($O510:T510)</f>
        <v>0</v>
      </c>
      <c r="V510" s="52">
        <f ca="1">Log_2018[[#This Row],[Amount]]/Log_2018[[#This Row],[Split_raw]]*MAX(0,MIN(_xlfn.DAYS(EDATE(V$1,1),Log_2018[[#This Row],[Date]]),Log_2018[[#This Row],[Split_apply]])) - SUM($O510:U510)</f>
        <v>0</v>
      </c>
      <c r="W510" s="52">
        <f ca="1">Log_2018[[#This Row],[Amount]]/Log_2018[[#This Row],[Split_raw]]*MAX(0,MIN(_xlfn.DAYS(EDATE(W$1,1),Log_2018[[#This Row],[Date]]),Log_2018[[#This Row],[Split_apply]])) - SUM($O510:V510)</f>
        <v>0</v>
      </c>
      <c r="X510" s="52">
        <f ca="1">Log_2018[[#This Row],[Amount]]/Log_2018[[#This Row],[Split_raw]]*MAX(0,MIN(_xlfn.DAYS(EDATE(X$1,1),Log_2018[[#This Row],[Date]]),Log_2018[[#This Row],[Split_apply]])) - SUM($O510:W510)</f>
        <v>0</v>
      </c>
      <c r="Y510" s="52">
        <f ca="1">Log_2018[[#This Row],[Amount]]/Log_2018[[#This Row],[Split_raw]]*MAX(0,MIN(_xlfn.DAYS(EDATE(Y$1,1),Log_2018[[#This Row],[Date]]),Log_2018[[#This Row],[Split_apply]])) - SUM($O510:X510)</f>
        <v>0</v>
      </c>
      <c r="Z510" s="52">
        <f ca="1">Log_2018[[#This Row],[Amount]]/Log_2018[[#This Row],[Split_raw]]*MAX(0,MIN(_xlfn.DAYS(EDATE(Z$1,1),Log_2018[[#This Row],[Date]]),Log_2018[[#This Row],[Split_apply]])) - SUM($O510:Y510)</f>
        <v>0</v>
      </c>
      <c r="AA510" s="52">
        <f ca="1">Log_2018[[#This Row],[Amount]]/Log_2018[[#This Row],[Split_raw]]*MAX(0,MIN(_xlfn.DAYS(EDATE(AA$1,1),Log_2018[[#This Row],[Date]]),Log_2018[[#This Row],[Split_apply]])) - SUM($O510:Z510)</f>
        <v>0</v>
      </c>
      <c r="AB510" s="54">
        <f ca="1">Log_2018[[#This Row],[Amount]]-SUM(O510:AA510)</f>
        <v>0</v>
      </c>
      <c r="AC510" s="7">
        <f ca="1">MAX(0,Log_2018[[#This Row],[Split_apply]] - (EDATE(AA$1,1)-Log_2018[[#This Row],[Date]]))</f>
        <v>0</v>
      </c>
    </row>
    <row r="511" spans="1:29" hidden="1" x14ac:dyDescent="0.25">
      <c r="A511" s="115"/>
      <c r="B511" t="s">
        <v>191</v>
      </c>
      <c r="D511" s="39">
        <v>43221</v>
      </c>
      <c r="E511" t="s">
        <v>960</v>
      </c>
      <c r="F511" t="s">
        <v>245</v>
      </c>
      <c r="G511" t="s">
        <v>176</v>
      </c>
      <c r="H511" s="3">
        <v>-320</v>
      </c>
      <c r="I511" s="36">
        <f>IF(Log_2018[[#This Row],[My Category]]="NONTRACKED",0,Log_2018[[#This Row],[Raw Amount]])</f>
        <v>-320</v>
      </c>
      <c r="J511" s="17">
        <f>ABS(Log_2018[[#This Row],[Amount]])</f>
        <v>320</v>
      </c>
      <c r="K511" s="66">
        <v>31</v>
      </c>
      <c r="L511" s="66">
        <f ca="1">IF(Log_2018[[#This Row],[Date]]&lt;=TODAY(), MIN(Log_2018[[#This Row],[Split_raw]], TODAY()-Log_2018[[#This Row],[Date]]+1), 0)</f>
        <v>31</v>
      </c>
      <c r="M511" t="s">
        <v>93</v>
      </c>
      <c r="N511" t="s">
        <v>160</v>
      </c>
      <c r="O511" s="50">
        <v>0</v>
      </c>
      <c r="P511" s="52">
        <f ca="1">Log_2018[[#This Row],[Amount]]/Log_2018[[#This Row],[Split_raw]]*MAX(0,MIN(_xlfn.DAYS(EDATE(P$1,1),Log_2018[[#This Row],[Date]]),Log_2018[[#This Row],[Split_apply]])) - SUM($O511:O511)</f>
        <v>0</v>
      </c>
      <c r="Q511" s="52">
        <f ca="1">Log_2018[[#This Row],[Amount]]/Log_2018[[#This Row],[Split_raw]]*MAX(0,MIN(_xlfn.DAYS(EDATE(Q$1,1),Log_2018[[#This Row],[Date]]),Log_2018[[#This Row],[Split_apply]])) - SUM($O511:P511)</f>
        <v>0</v>
      </c>
      <c r="R511" s="52">
        <f ca="1">Log_2018[[#This Row],[Amount]]/Log_2018[[#This Row],[Split_raw]]*MAX(0,MIN(_xlfn.DAYS(EDATE(R$1,1),Log_2018[[#This Row],[Date]]),Log_2018[[#This Row],[Split_apply]])) - SUM($O511:Q511)</f>
        <v>0</v>
      </c>
      <c r="S511" s="52">
        <f ca="1">Log_2018[[#This Row],[Amount]]/Log_2018[[#This Row],[Split_raw]]*MAX(0,MIN(_xlfn.DAYS(EDATE(S$1,1),Log_2018[[#This Row],[Date]]),Log_2018[[#This Row],[Split_apply]])) - SUM($O511:R511)</f>
        <v>0</v>
      </c>
      <c r="T511" s="52">
        <f ca="1">Log_2018[[#This Row],[Amount]]/Log_2018[[#This Row],[Split_raw]]*MAX(0,MIN(_xlfn.DAYS(EDATE(T$1,1),Log_2018[[#This Row],[Date]]),Log_2018[[#This Row],[Split_apply]])) - SUM($O511:S511)</f>
        <v>-320</v>
      </c>
      <c r="U511" s="52">
        <f ca="1">Log_2018[[#This Row],[Amount]]/Log_2018[[#This Row],[Split_raw]]*MAX(0,MIN(_xlfn.DAYS(EDATE(U$1,1),Log_2018[[#This Row],[Date]]),Log_2018[[#This Row],[Split_apply]])) - SUM($O511:T511)</f>
        <v>0</v>
      </c>
      <c r="V511" s="52">
        <f ca="1">Log_2018[[#This Row],[Amount]]/Log_2018[[#This Row],[Split_raw]]*MAX(0,MIN(_xlfn.DAYS(EDATE(V$1,1),Log_2018[[#This Row],[Date]]),Log_2018[[#This Row],[Split_apply]])) - SUM($O511:U511)</f>
        <v>0</v>
      </c>
      <c r="W511" s="52">
        <f ca="1">Log_2018[[#This Row],[Amount]]/Log_2018[[#This Row],[Split_raw]]*MAX(0,MIN(_xlfn.DAYS(EDATE(W$1,1),Log_2018[[#This Row],[Date]]),Log_2018[[#This Row],[Split_apply]])) - SUM($O511:V511)</f>
        <v>0</v>
      </c>
      <c r="X511" s="52">
        <f ca="1">Log_2018[[#This Row],[Amount]]/Log_2018[[#This Row],[Split_raw]]*MAX(0,MIN(_xlfn.DAYS(EDATE(X$1,1),Log_2018[[#This Row],[Date]]),Log_2018[[#This Row],[Split_apply]])) - SUM($O511:W511)</f>
        <v>0</v>
      </c>
      <c r="Y511" s="52">
        <f ca="1">Log_2018[[#This Row],[Amount]]/Log_2018[[#This Row],[Split_raw]]*MAX(0,MIN(_xlfn.DAYS(EDATE(Y$1,1),Log_2018[[#This Row],[Date]]),Log_2018[[#This Row],[Split_apply]])) - SUM($O511:X511)</f>
        <v>0</v>
      </c>
      <c r="Z511" s="52">
        <f ca="1">Log_2018[[#This Row],[Amount]]/Log_2018[[#This Row],[Split_raw]]*MAX(0,MIN(_xlfn.DAYS(EDATE(Z$1,1),Log_2018[[#This Row],[Date]]),Log_2018[[#This Row],[Split_apply]])) - SUM($O511:Y511)</f>
        <v>0</v>
      </c>
      <c r="AA511" s="52">
        <f ca="1">Log_2018[[#This Row],[Amount]]/Log_2018[[#This Row],[Split_raw]]*MAX(0,MIN(_xlfn.DAYS(EDATE(AA$1,1),Log_2018[[#This Row],[Date]]),Log_2018[[#This Row],[Split_apply]])) - SUM($O511:Z511)</f>
        <v>0</v>
      </c>
      <c r="AB511" s="54">
        <f ca="1">Log_2018[[#This Row],[Amount]]-SUM(O511:AA511)</f>
        <v>0</v>
      </c>
      <c r="AC511" s="7">
        <f ca="1">MAX(0,Log_2018[[#This Row],[Split_apply]] - (EDATE(AA$1,1)-Log_2018[[#This Row],[Date]]))</f>
        <v>0</v>
      </c>
    </row>
    <row r="512" spans="1:29" hidden="1" x14ac:dyDescent="0.25">
      <c r="A512" s="115"/>
      <c r="B512" t="s">
        <v>6</v>
      </c>
      <c r="D512" s="39">
        <v>43221</v>
      </c>
      <c r="F512" t="s">
        <v>105</v>
      </c>
      <c r="G512" t="s">
        <v>104</v>
      </c>
      <c r="H512" s="3">
        <f>--507.83</f>
        <v>507.83</v>
      </c>
      <c r="I512" s="36">
        <f>IF(Log_2018[[#This Row],[My Category]]="NONTRACKED",0,Log_2018[[#This Row],[Raw Amount]])</f>
        <v>507.83</v>
      </c>
      <c r="J512" s="17">
        <f>ABS(Log_2018[[#This Row],[Amount]])</f>
        <v>507.83</v>
      </c>
      <c r="K512" s="66">
        <v>1</v>
      </c>
      <c r="L512" s="66">
        <f ca="1">IF(Log_2018[[#This Row],[Date]]&lt;=TODAY(), MIN(Log_2018[[#This Row],[Split_raw]], TODAY()-Log_2018[[#This Row],[Date]]+1), 0)</f>
        <v>1</v>
      </c>
      <c r="M512" t="s">
        <v>159</v>
      </c>
      <c r="N512" t="s">
        <v>158</v>
      </c>
      <c r="O512" s="50">
        <v>0</v>
      </c>
      <c r="P512" s="52">
        <f ca="1">Log_2018[[#This Row],[Amount]]/Log_2018[[#This Row],[Split_raw]]*MAX(0,MIN(_xlfn.DAYS(EDATE(P$1,1),Log_2018[[#This Row],[Date]]),Log_2018[[#This Row],[Split_apply]])) - SUM($O512:O512)</f>
        <v>0</v>
      </c>
      <c r="Q512" s="52">
        <f ca="1">Log_2018[[#This Row],[Amount]]/Log_2018[[#This Row],[Split_raw]]*MAX(0,MIN(_xlfn.DAYS(EDATE(Q$1,1),Log_2018[[#This Row],[Date]]),Log_2018[[#This Row],[Split_apply]])) - SUM($O512:P512)</f>
        <v>0</v>
      </c>
      <c r="R512" s="52">
        <f ca="1">Log_2018[[#This Row],[Amount]]/Log_2018[[#This Row],[Split_raw]]*MAX(0,MIN(_xlfn.DAYS(EDATE(R$1,1),Log_2018[[#This Row],[Date]]),Log_2018[[#This Row],[Split_apply]])) - SUM($O512:Q512)</f>
        <v>0</v>
      </c>
      <c r="S512" s="52">
        <f ca="1">Log_2018[[#This Row],[Amount]]/Log_2018[[#This Row],[Split_raw]]*MAX(0,MIN(_xlfn.DAYS(EDATE(S$1,1),Log_2018[[#This Row],[Date]]),Log_2018[[#This Row],[Split_apply]])) - SUM($O512:R512)</f>
        <v>0</v>
      </c>
      <c r="T512" s="52">
        <f ca="1">Log_2018[[#This Row],[Amount]]/Log_2018[[#This Row],[Split_raw]]*MAX(0,MIN(_xlfn.DAYS(EDATE(T$1,1),Log_2018[[#This Row],[Date]]),Log_2018[[#This Row],[Split_apply]])) - SUM($O512:S512)</f>
        <v>507.83</v>
      </c>
      <c r="U512" s="52">
        <f ca="1">Log_2018[[#This Row],[Amount]]/Log_2018[[#This Row],[Split_raw]]*MAX(0,MIN(_xlfn.DAYS(EDATE(U$1,1),Log_2018[[#This Row],[Date]]),Log_2018[[#This Row],[Split_apply]])) - SUM($O512:T512)</f>
        <v>0</v>
      </c>
      <c r="V512" s="52">
        <f ca="1">Log_2018[[#This Row],[Amount]]/Log_2018[[#This Row],[Split_raw]]*MAX(0,MIN(_xlfn.DAYS(EDATE(V$1,1),Log_2018[[#This Row],[Date]]),Log_2018[[#This Row],[Split_apply]])) - SUM($O512:U512)</f>
        <v>0</v>
      </c>
      <c r="W512" s="52">
        <f ca="1">Log_2018[[#This Row],[Amount]]/Log_2018[[#This Row],[Split_raw]]*MAX(0,MIN(_xlfn.DAYS(EDATE(W$1,1),Log_2018[[#This Row],[Date]]),Log_2018[[#This Row],[Split_apply]])) - SUM($O512:V512)</f>
        <v>0</v>
      </c>
      <c r="X512" s="52">
        <f ca="1">Log_2018[[#This Row],[Amount]]/Log_2018[[#This Row],[Split_raw]]*MAX(0,MIN(_xlfn.DAYS(EDATE(X$1,1),Log_2018[[#This Row],[Date]]),Log_2018[[#This Row],[Split_apply]])) - SUM($O512:W512)</f>
        <v>0</v>
      </c>
      <c r="Y512" s="52">
        <f ca="1">Log_2018[[#This Row],[Amount]]/Log_2018[[#This Row],[Split_raw]]*MAX(0,MIN(_xlfn.DAYS(EDATE(Y$1,1),Log_2018[[#This Row],[Date]]),Log_2018[[#This Row],[Split_apply]])) - SUM($O512:X512)</f>
        <v>0</v>
      </c>
      <c r="Z512" s="52">
        <f ca="1">Log_2018[[#This Row],[Amount]]/Log_2018[[#This Row],[Split_raw]]*MAX(0,MIN(_xlfn.DAYS(EDATE(Z$1,1),Log_2018[[#This Row],[Date]]),Log_2018[[#This Row],[Split_apply]])) - SUM($O512:Y512)</f>
        <v>0</v>
      </c>
      <c r="AA512" s="52">
        <f ca="1">Log_2018[[#This Row],[Amount]]/Log_2018[[#This Row],[Split_raw]]*MAX(0,MIN(_xlfn.DAYS(EDATE(AA$1,1),Log_2018[[#This Row],[Date]]),Log_2018[[#This Row],[Split_apply]])) - SUM($O512:Z512)</f>
        <v>0</v>
      </c>
      <c r="AB512" s="54">
        <f ca="1">Log_2018[[#This Row],[Amount]]-SUM(O512:AA512)</f>
        <v>0</v>
      </c>
      <c r="AC512" s="7">
        <f ca="1">MAX(0,Log_2018[[#This Row],[Split_apply]] - (EDATE(AA$1,1)-Log_2018[[#This Row],[Date]]))</f>
        <v>0</v>
      </c>
    </row>
    <row r="513" spans="1:29" hidden="1" x14ac:dyDescent="0.25">
      <c r="A513" s="115"/>
      <c r="B513" t="s">
        <v>6</v>
      </c>
      <c r="D513" s="39">
        <v>43221</v>
      </c>
      <c r="F513" t="s">
        <v>59</v>
      </c>
      <c r="G513" t="s">
        <v>25</v>
      </c>
      <c r="H513" s="3">
        <v>-7.94</v>
      </c>
      <c r="I513" s="36">
        <f>IF(Log_2018[[#This Row],[My Category]]="NONTRACKED",0,Log_2018[[#This Row],[Raw Amount]])</f>
        <v>-7.94</v>
      </c>
      <c r="J513" s="17">
        <f>ABS(Log_2018[[#This Row],[Amount]])</f>
        <v>7.94</v>
      </c>
      <c r="K513" s="66">
        <v>1</v>
      </c>
      <c r="L513" s="66">
        <f ca="1">IF(Log_2018[[#This Row],[Date]]&lt;=TODAY(), MIN(Log_2018[[#This Row],[Split_raw]], TODAY()-Log_2018[[#This Row],[Date]]+1), 0)</f>
        <v>1</v>
      </c>
      <c r="M513" t="s">
        <v>35</v>
      </c>
      <c r="N513" t="s">
        <v>158</v>
      </c>
      <c r="O513" s="50">
        <v>0</v>
      </c>
      <c r="P513" s="52">
        <f ca="1">Log_2018[[#This Row],[Amount]]/Log_2018[[#This Row],[Split_raw]]*MAX(0,MIN(_xlfn.DAYS(EDATE(P$1,1),Log_2018[[#This Row],[Date]]),Log_2018[[#This Row],[Split_apply]])) - SUM($O513:O513)</f>
        <v>0</v>
      </c>
      <c r="Q513" s="52">
        <f ca="1">Log_2018[[#This Row],[Amount]]/Log_2018[[#This Row],[Split_raw]]*MAX(0,MIN(_xlfn.DAYS(EDATE(Q$1,1),Log_2018[[#This Row],[Date]]),Log_2018[[#This Row],[Split_apply]])) - SUM($O513:P513)</f>
        <v>0</v>
      </c>
      <c r="R513" s="52">
        <f ca="1">Log_2018[[#This Row],[Amount]]/Log_2018[[#This Row],[Split_raw]]*MAX(0,MIN(_xlfn.DAYS(EDATE(R$1,1),Log_2018[[#This Row],[Date]]),Log_2018[[#This Row],[Split_apply]])) - SUM($O513:Q513)</f>
        <v>0</v>
      </c>
      <c r="S513" s="52">
        <f ca="1">Log_2018[[#This Row],[Amount]]/Log_2018[[#This Row],[Split_raw]]*MAX(0,MIN(_xlfn.DAYS(EDATE(S$1,1),Log_2018[[#This Row],[Date]]),Log_2018[[#This Row],[Split_apply]])) - SUM($O513:R513)</f>
        <v>0</v>
      </c>
      <c r="T513" s="52">
        <f ca="1">Log_2018[[#This Row],[Amount]]/Log_2018[[#This Row],[Split_raw]]*MAX(0,MIN(_xlfn.DAYS(EDATE(T$1,1),Log_2018[[#This Row],[Date]]),Log_2018[[#This Row],[Split_apply]])) - SUM($O513:S513)</f>
        <v>-7.94</v>
      </c>
      <c r="U513" s="52">
        <f ca="1">Log_2018[[#This Row],[Amount]]/Log_2018[[#This Row],[Split_raw]]*MAX(0,MIN(_xlfn.DAYS(EDATE(U$1,1),Log_2018[[#This Row],[Date]]),Log_2018[[#This Row],[Split_apply]])) - SUM($O513:T513)</f>
        <v>0</v>
      </c>
      <c r="V513" s="52">
        <f ca="1">Log_2018[[#This Row],[Amount]]/Log_2018[[#This Row],[Split_raw]]*MAX(0,MIN(_xlfn.DAYS(EDATE(V$1,1),Log_2018[[#This Row],[Date]]),Log_2018[[#This Row],[Split_apply]])) - SUM($O513:U513)</f>
        <v>0</v>
      </c>
      <c r="W513" s="52">
        <f ca="1">Log_2018[[#This Row],[Amount]]/Log_2018[[#This Row],[Split_raw]]*MAX(0,MIN(_xlfn.DAYS(EDATE(W$1,1),Log_2018[[#This Row],[Date]]),Log_2018[[#This Row],[Split_apply]])) - SUM($O513:V513)</f>
        <v>0</v>
      </c>
      <c r="X513" s="52">
        <f ca="1">Log_2018[[#This Row],[Amount]]/Log_2018[[#This Row],[Split_raw]]*MAX(0,MIN(_xlfn.DAYS(EDATE(X$1,1),Log_2018[[#This Row],[Date]]),Log_2018[[#This Row],[Split_apply]])) - SUM($O513:W513)</f>
        <v>0</v>
      </c>
      <c r="Y513" s="52">
        <f ca="1">Log_2018[[#This Row],[Amount]]/Log_2018[[#This Row],[Split_raw]]*MAX(0,MIN(_xlfn.DAYS(EDATE(Y$1,1),Log_2018[[#This Row],[Date]]),Log_2018[[#This Row],[Split_apply]])) - SUM($O513:X513)</f>
        <v>0</v>
      </c>
      <c r="Z513" s="52">
        <f ca="1">Log_2018[[#This Row],[Amount]]/Log_2018[[#This Row],[Split_raw]]*MAX(0,MIN(_xlfn.DAYS(EDATE(Z$1,1),Log_2018[[#This Row],[Date]]),Log_2018[[#This Row],[Split_apply]])) - SUM($O513:Y513)</f>
        <v>0</v>
      </c>
      <c r="AA513" s="52">
        <f ca="1">Log_2018[[#This Row],[Amount]]/Log_2018[[#This Row],[Split_raw]]*MAX(0,MIN(_xlfn.DAYS(EDATE(AA$1,1),Log_2018[[#This Row],[Date]]),Log_2018[[#This Row],[Split_apply]])) - SUM($O513:Z513)</f>
        <v>0</v>
      </c>
      <c r="AB513" s="54">
        <f ca="1">Log_2018[[#This Row],[Amount]]-SUM(O513:AA513)</f>
        <v>0</v>
      </c>
      <c r="AC513" s="7">
        <f ca="1">MAX(0,Log_2018[[#This Row],[Split_apply]] - (EDATE(AA$1,1)-Log_2018[[#This Row],[Date]]))</f>
        <v>0</v>
      </c>
    </row>
    <row r="514" spans="1:29" hidden="1" x14ac:dyDescent="0.25">
      <c r="A514" s="115"/>
      <c r="B514" t="s">
        <v>6</v>
      </c>
      <c r="D514" s="26">
        <v>43220</v>
      </c>
      <c r="E514" t="s">
        <v>251</v>
      </c>
      <c r="F514" t="s">
        <v>246</v>
      </c>
      <c r="G514" t="s">
        <v>143</v>
      </c>
      <c r="H514" s="3">
        <v>-8.65</v>
      </c>
      <c r="I514" s="36">
        <f>IF(Log_2018[[#This Row],[My Category]]="NONTRACKED",0,Log_2018[[#This Row],[Raw Amount]])</f>
        <v>-8.65</v>
      </c>
      <c r="J514" s="17">
        <f>ABS(Log_2018[[#This Row],[Amount]])</f>
        <v>8.65</v>
      </c>
      <c r="K514" s="66">
        <v>30</v>
      </c>
      <c r="L514" s="66">
        <f ca="1">IF(Log_2018[[#This Row],[Date]]&lt;=TODAY(), MIN(Log_2018[[#This Row],[Split_raw]], TODAY()-Log_2018[[#This Row],[Date]]+1), 0)</f>
        <v>30</v>
      </c>
      <c r="M514" t="s">
        <v>53</v>
      </c>
      <c r="N514" t="s">
        <v>160</v>
      </c>
      <c r="O514" s="50">
        <v>0</v>
      </c>
      <c r="P514" s="52">
        <f ca="1">Log_2018[[#This Row],[Amount]]/Log_2018[[#This Row],[Split_raw]]*MAX(0,MIN(_xlfn.DAYS(EDATE(P$1,1),Log_2018[[#This Row],[Date]]),Log_2018[[#This Row],[Split_apply]])) - SUM($O514:O514)</f>
        <v>0</v>
      </c>
      <c r="Q514" s="52">
        <f ca="1">Log_2018[[#This Row],[Amount]]/Log_2018[[#This Row],[Split_raw]]*MAX(0,MIN(_xlfn.DAYS(EDATE(Q$1,1),Log_2018[[#This Row],[Date]]),Log_2018[[#This Row],[Split_apply]])) - SUM($O514:P514)</f>
        <v>0</v>
      </c>
      <c r="R514" s="52">
        <f ca="1">Log_2018[[#This Row],[Amount]]/Log_2018[[#This Row],[Split_raw]]*MAX(0,MIN(_xlfn.DAYS(EDATE(R$1,1),Log_2018[[#This Row],[Date]]),Log_2018[[#This Row],[Split_apply]])) - SUM($O514:Q514)</f>
        <v>0</v>
      </c>
      <c r="S514" s="52">
        <f ca="1">Log_2018[[#This Row],[Amount]]/Log_2018[[#This Row],[Split_raw]]*MAX(0,MIN(_xlfn.DAYS(EDATE(S$1,1),Log_2018[[#This Row],[Date]]),Log_2018[[#This Row],[Split_apply]])) - SUM($O514:R514)</f>
        <v>-0.28833333333333333</v>
      </c>
      <c r="T514" s="52">
        <f ca="1">Log_2018[[#This Row],[Amount]]/Log_2018[[#This Row],[Split_raw]]*MAX(0,MIN(_xlfn.DAYS(EDATE(T$1,1),Log_2018[[#This Row],[Date]]),Log_2018[[#This Row],[Split_apply]])) - SUM($O514:S514)</f>
        <v>-8.3616666666666664</v>
      </c>
      <c r="U514" s="52">
        <f ca="1">Log_2018[[#This Row],[Amount]]/Log_2018[[#This Row],[Split_raw]]*MAX(0,MIN(_xlfn.DAYS(EDATE(U$1,1),Log_2018[[#This Row],[Date]]),Log_2018[[#This Row],[Split_apply]])) - SUM($O514:T514)</f>
        <v>0</v>
      </c>
      <c r="V514" s="52">
        <f ca="1">Log_2018[[#This Row],[Amount]]/Log_2018[[#This Row],[Split_raw]]*MAX(0,MIN(_xlfn.DAYS(EDATE(V$1,1),Log_2018[[#This Row],[Date]]),Log_2018[[#This Row],[Split_apply]])) - SUM($O514:U514)</f>
        <v>0</v>
      </c>
      <c r="W514" s="52">
        <f ca="1">Log_2018[[#This Row],[Amount]]/Log_2018[[#This Row],[Split_raw]]*MAX(0,MIN(_xlfn.DAYS(EDATE(W$1,1),Log_2018[[#This Row],[Date]]),Log_2018[[#This Row],[Split_apply]])) - SUM($O514:V514)</f>
        <v>0</v>
      </c>
      <c r="X514" s="52">
        <f ca="1">Log_2018[[#This Row],[Amount]]/Log_2018[[#This Row],[Split_raw]]*MAX(0,MIN(_xlfn.DAYS(EDATE(X$1,1),Log_2018[[#This Row],[Date]]),Log_2018[[#This Row],[Split_apply]])) - SUM($O514:W514)</f>
        <v>0</v>
      </c>
      <c r="Y514" s="52">
        <f ca="1">Log_2018[[#This Row],[Amount]]/Log_2018[[#This Row],[Split_raw]]*MAX(0,MIN(_xlfn.DAYS(EDATE(Y$1,1),Log_2018[[#This Row],[Date]]),Log_2018[[#This Row],[Split_apply]])) - SUM($O514:X514)</f>
        <v>0</v>
      </c>
      <c r="Z514" s="52">
        <f ca="1">Log_2018[[#This Row],[Amount]]/Log_2018[[#This Row],[Split_raw]]*MAX(0,MIN(_xlfn.DAYS(EDATE(Z$1,1),Log_2018[[#This Row],[Date]]),Log_2018[[#This Row],[Split_apply]])) - SUM($O514:Y514)</f>
        <v>0</v>
      </c>
      <c r="AA514" s="52">
        <f ca="1">Log_2018[[#This Row],[Amount]]/Log_2018[[#This Row],[Split_raw]]*MAX(0,MIN(_xlfn.DAYS(EDATE(AA$1,1),Log_2018[[#This Row],[Date]]),Log_2018[[#This Row],[Split_apply]])) - SUM($O514:Z514)</f>
        <v>0</v>
      </c>
      <c r="AB514" s="54">
        <f ca="1">Log_2018[[#This Row],[Amount]]-SUM(O514:AA514)</f>
        <v>0</v>
      </c>
      <c r="AC514" s="7">
        <f ca="1">MAX(0,Log_2018[[#This Row],[Split_apply]] - (EDATE(AA$1,1)-Log_2018[[#This Row],[Date]]))</f>
        <v>0</v>
      </c>
    </row>
    <row r="515" spans="1:29" hidden="1" x14ac:dyDescent="0.25">
      <c r="A515" s="115"/>
      <c r="B515" t="s">
        <v>6</v>
      </c>
      <c r="D515" s="26">
        <v>43220</v>
      </c>
      <c r="E515" t="s">
        <v>249</v>
      </c>
      <c r="F515" t="s">
        <v>247</v>
      </c>
      <c r="G515" t="s">
        <v>27</v>
      </c>
      <c r="H515" s="3">
        <v>-10.34</v>
      </c>
      <c r="I515" s="36">
        <f>IF(Log_2018[[#This Row],[My Category]]="NONTRACKED",0,Log_2018[[#This Row],[Raw Amount]])</f>
        <v>-10.34</v>
      </c>
      <c r="J515" s="17">
        <f>ABS(Log_2018[[#This Row],[Amount]])</f>
        <v>10.34</v>
      </c>
      <c r="K515" s="66">
        <v>1</v>
      </c>
      <c r="L515" s="66">
        <f ca="1">IF(Log_2018[[#This Row],[Date]]&lt;=TODAY(), MIN(Log_2018[[#This Row],[Split_raw]], TODAY()-Log_2018[[#This Row],[Date]]+1), 0)</f>
        <v>1</v>
      </c>
      <c r="M515" t="s">
        <v>40</v>
      </c>
      <c r="N515" t="s">
        <v>160</v>
      </c>
      <c r="O515" s="50">
        <v>0</v>
      </c>
      <c r="P515" s="52">
        <f ca="1">Log_2018[[#This Row],[Amount]]/Log_2018[[#This Row],[Split_raw]]*MAX(0,MIN(_xlfn.DAYS(EDATE(P$1,1),Log_2018[[#This Row],[Date]]),Log_2018[[#This Row],[Split_apply]])) - SUM($O515:O515)</f>
        <v>0</v>
      </c>
      <c r="Q515" s="52">
        <f ca="1">Log_2018[[#This Row],[Amount]]/Log_2018[[#This Row],[Split_raw]]*MAX(0,MIN(_xlfn.DAYS(EDATE(Q$1,1),Log_2018[[#This Row],[Date]]),Log_2018[[#This Row],[Split_apply]])) - SUM($O515:P515)</f>
        <v>0</v>
      </c>
      <c r="R515" s="52">
        <f ca="1">Log_2018[[#This Row],[Amount]]/Log_2018[[#This Row],[Split_raw]]*MAX(0,MIN(_xlfn.DAYS(EDATE(R$1,1),Log_2018[[#This Row],[Date]]),Log_2018[[#This Row],[Split_apply]])) - SUM($O515:Q515)</f>
        <v>0</v>
      </c>
      <c r="S515" s="52">
        <f ca="1">Log_2018[[#This Row],[Amount]]/Log_2018[[#This Row],[Split_raw]]*MAX(0,MIN(_xlfn.DAYS(EDATE(S$1,1),Log_2018[[#This Row],[Date]]),Log_2018[[#This Row],[Split_apply]])) - SUM($O515:R515)</f>
        <v>-10.34</v>
      </c>
      <c r="T515" s="52">
        <f ca="1">Log_2018[[#This Row],[Amount]]/Log_2018[[#This Row],[Split_raw]]*MAX(0,MIN(_xlfn.DAYS(EDATE(T$1,1),Log_2018[[#This Row],[Date]]),Log_2018[[#This Row],[Split_apply]])) - SUM($O515:S515)</f>
        <v>0</v>
      </c>
      <c r="U515" s="52">
        <f ca="1">Log_2018[[#This Row],[Amount]]/Log_2018[[#This Row],[Split_raw]]*MAX(0,MIN(_xlfn.DAYS(EDATE(U$1,1),Log_2018[[#This Row],[Date]]),Log_2018[[#This Row],[Split_apply]])) - SUM($O515:T515)</f>
        <v>0</v>
      </c>
      <c r="V515" s="52">
        <f ca="1">Log_2018[[#This Row],[Amount]]/Log_2018[[#This Row],[Split_raw]]*MAX(0,MIN(_xlfn.DAYS(EDATE(V$1,1),Log_2018[[#This Row],[Date]]),Log_2018[[#This Row],[Split_apply]])) - SUM($O515:U515)</f>
        <v>0</v>
      </c>
      <c r="W515" s="52">
        <f ca="1">Log_2018[[#This Row],[Amount]]/Log_2018[[#This Row],[Split_raw]]*MAX(0,MIN(_xlfn.DAYS(EDATE(W$1,1),Log_2018[[#This Row],[Date]]),Log_2018[[#This Row],[Split_apply]])) - SUM($O515:V515)</f>
        <v>0</v>
      </c>
      <c r="X515" s="52">
        <f ca="1">Log_2018[[#This Row],[Amount]]/Log_2018[[#This Row],[Split_raw]]*MAX(0,MIN(_xlfn.DAYS(EDATE(X$1,1),Log_2018[[#This Row],[Date]]),Log_2018[[#This Row],[Split_apply]])) - SUM($O515:W515)</f>
        <v>0</v>
      </c>
      <c r="Y515" s="52">
        <f ca="1">Log_2018[[#This Row],[Amount]]/Log_2018[[#This Row],[Split_raw]]*MAX(0,MIN(_xlfn.DAYS(EDATE(Y$1,1),Log_2018[[#This Row],[Date]]),Log_2018[[#This Row],[Split_apply]])) - SUM($O515:X515)</f>
        <v>0</v>
      </c>
      <c r="Z515" s="52">
        <f ca="1">Log_2018[[#This Row],[Amount]]/Log_2018[[#This Row],[Split_raw]]*MAX(0,MIN(_xlfn.DAYS(EDATE(Z$1,1),Log_2018[[#This Row],[Date]]),Log_2018[[#This Row],[Split_apply]])) - SUM($O515:Y515)</f>
        <v>0</v>
      </c>
      <c r="AA515" s="52">
        <f ca="1">Log_2018[[#This Row],[Amount]]/Log_2018[[#This Row],[Split_raw]]*MAX(0,MIN(_xlfn.DAYS(EDATE(AA$1,1),Log_2018[[#This Row],[Date]]),Log_2018[[#This Row],[Split_apply]])) - SUM($O515:Z515)</f>
        <v>0</v>
      </c>
      <c r="AB515" s="54">
        <f ca="1">Log_2018[[#This Row],[Amount]]-SUM(O515:AA515)</f>
        <v>0</v>
      </c>
      <c r="AC515" s="7">
        <f ca="1">MAX(0,Log_2018[[#This Row],[Split_apply]] - (EDATE(AA$1,1)-Log_2018[[#This Row],[Date]]))</f>
        <v>0</v>
      </c>
    </row>
    <row r="516" spans="1:29" hidden="1" x14ac:dyDescent="0.25">
      <c r="A516" s="115"/>
      <c r="B516" t="s">
        <v>6</v>
      </c>
      <c r="D516" s="26">
        <v>43220</v>
      </c>
      <c r="E516" t="s">
        <v>249</v>
      </c>
      <c r="F516" t="s">
        <v>247</v>
      </c>
      <c r="G516" t="s">
        <v>27</v>
      </c>
      <c r="H516" s="3">
        <v>-1</v>
      </c>
      <c r="I516" s="36">
        <f>IF(Log_2018[[#This Row],[My Category]]="NONTRACKED",0,Log_2018[[#This Row],[Raw Amount]])</f>
        <v>-1</v>
      </c>
      <c r="J516" s="17">
        <f>ABS(Log_2018[[#This Row],[Amount]])</f>
        <v>1</v>
      </c>
      <c r="K516" s="66">
        <v>1</v>
      </c>
      <c r="L516" s="66">
        <f ca="1">IF(Log_2018[[#This Row],[Date]]&lt;=TODAY(), MIN(Log_2018[[#This Row],[Split_raw]], TODAY()-Log_2018[[#This Row],[Date]]+1), 0)</f>
        <v>1</v>
      </c>
      <c r="M516" t="s">
        <v>40</v>
      </c>
      <c r="N516" t="s">
        <v>160</v>
      </c>
      <c r="O516" s="50">
        <v>0</v>
      </c>
      <c r="P516" s="52">
        <f ca="1">Log_2018[[#This Row],[Amount]]/Log_2018[[#This Row],[Split_raw]]*MAX(0,MIN(_xlfn.DAYS(EDATE(P$1,1),Log_2018[[#This Row],[Date]]),Log_2018[[#This Row],[Split_apply]])) - SUM($O516:O516)</f>
        <v>0</v>
      </c>
      <c r="Q516" s="52">
        <f ca="1">Log_2018[[#This Row],[Amount]]/Log_2018[[#This Row],[Split_raw]]*MAX(0,MIN(_xlfn.DAYS(EDATE(Q$1,1),Log_2018[[#This Row],[Date]]),Log_2018[[#This Row],[Split_apply]])) - SUM($O516:P516)</f>
        <v>0</v>
      </c>
      <c r="R516" s="52">
        <f ca="1">Log_2018[[#This Row],[Amount]]/Log_2018[[#This Row],[Split_raw]]*MAX(0,MIN(_xlfn.DAYS(EDATE(R$1,1),Log_2018[[#This Row],[Date]]),Log_2018[[#This Row],[Split_apply]])) - SUM($O516:Q516)</f>
        <v>0</v>
      </c>
      <c r="S516" s="52">
        <f ca="1">Log_2018[[#This Row],[Amount]]/Log_2018[[#This Row],[Split_raw]]*MAX(0,MIN(_xlfn.DAYS(EDATE(S$1,1),Log_2018[[#This Row],[Date]]),Log_2018[[#This Row],[Split_apply]])) - SUM($O516:R516)</f>
        <v>-1</v>
      </c>
      <c r="T516" s="52">
        <f ca="1">Log_2018[[#This Row],[Amount]]/Log_2018[[#This Row],[Split_raw]]*MAX(0,MIN(_xlfn.DAYS(EDATE(T$1,1),Log_2018[[#This Row],[Date]]),Log_2018[[#This Row],[Split_apply]])) - SUM($O516:S516)</f>
        <v>0</v>
      </c>
      <c r="U516" s="52">
        <f ca="1">Log_2018[[#This Row],[Amount]]/Log_2018[[#This Row],[Split_raw]]*MAX(0,MIN(_xlfn.DAYS(EDATE(U$1,1),Log_2018[[#This Row],[Date]]),Log_2018[[#This Row],[Split_apply]])) - SUM($O516:T516)</f>
        <v>0</v>
      </c>
      <c r="V516" s="52">
        <f ca="1">Log_2018[[#This Row],[Amount]]/Log_2018[[#This Row],[Split_raw]]*MAX(0,MIN(_xlfn.DAYS(EDATE(V$1,1),Log_2018[[#This Row],[Date]]),Log_2018[[#This Row],[Split_apply]])) - SUM($O516:U516)</f>
        <v>0</v>
      </c>
      <c r="W516" s="52">
        <f ca="1">Log_2018[[#This Row],[Amount]]/Log_2018[[#This Row],[Split_raw]]*MAX(0,MIN(_xlfn.DAYS(EDATE(W$1,1),Log_2018[[#This Row],[Date]]),Log_2018[[#This Row],[Split_apply]])) - SUM($O516:V516)</f>
        <v>0</v>
      </c>
      <c r="X516" s="52">
        <f ca="1">Log_2018[[#This Row],[Amount]]/Log_2018[[#This Row],[Split_raw]]*MAX(0,MIN(_xlfn.DAYS(EDATE(X$1,1),Log_2018[[#This Row],[Date]]),Log_2018[[#This Row],[Split_apply]])) - SUM($O516:W516)</f>
        <v>0</v>
      </c>
      <c r="Y516" s="52">
        <f ca="1">Log_2018[[#This Row],[Amount]]/Log_2018[[#This Row],[Split_raw]]*MAX(0,MIN(_xlfn.DAYS(EDATE(Y$1,1),Log_2018[[#This Row],[Date]]),Log_2018[[#This Row],[Split_apply]])) - SUM($O516:X516)</f>
        <v>0</v>
      </c>
      <c r="Z516" s="52">
        <f ca="1">Log_2018[[#This Row],[Amount]]/Log_2018[[#This Row],[Split_raw]]*MAX(0,MIN(_xlfn.DAYS(EDATE(Z$1,1),Log_2018[[#This Row],[Date]]),Log_2018[[#This Row],[Split_apply]])) - SUM($O516:Y516)</f>
        <v>0</v>
      </c>
      <c r="AA516" s="52">
        <f ca="1">Log_2018[[#This Row],[Amount]]/Log_2018[[#This Row],[Split_raw]]*MAX(0,MIN(_xlfn.DAYS(EDATE(AA$1,1),Log_2018[[#This Row],[Date]]),Log_2018[[#This Row],[Split_apply]])) - SUM($O516:Z516)</f>
        <v>0</v>
      </c>
      <c r="AB516" s="54">
        <f ca="1">Log_2018[[#This Row],[Amount]]-SUM(O516:AA516)</f>
        <v>0</v>
      </c>
      <c r="AC516" s="7">
        <f ca="1">MAX(0,Log_2018[[#This Row],[Split_apply]] - (EDATE(AA$1,1)-Log_2018[[#This Row],[Date]]))</f>
        <v>0</v>
      </c>
    </row>
    <row r="517" spans="1:29" hidden="1" x14ac:dyDescent="0.25">
      <c r="A517" s="115"/>
      <c r="B517" t="s">
        <v>6</v>
      </c>
      <c r="D517" s="26">
        <v>43220</v>
      </c>
      <c r="F517" t="s">
        <v>59</v>
      </c>
      <c r="G517" t="s">
        <v>25</v>
      </c>
      <c r="H517" s="3">
        <v>-5.53</v>
      </c>
      <c r="I517" s="36">
        <f>IF(Log_2018[[#This Row],[My Category]]="NONTRACKED",0,Log_2018[[#This Row],[Raw Amount]])</f>
        <v>-5.53</v>
      </c>
      <c r="J517" s="17">
        <f>ABS(Log_2018[[#This Row],[Amount]])</f>
        <v>5.53</v>
      </c>
      <c r="K517" s="66">
        <v>1</v>
      </c>
      <c r="L517" s="66">
        <f ca="1">IF(Log_2018[[#This Row],[Date]]&lt;=TODAY(), MIN(Log_2018[[#This Row],[Split_raw]], TODAY()-Log_2018[[#This Row],[Date]]+1), 0)</f>
        <v>1</v>
      </c>
      <c r="M517" t="s">
        <v>35</v>
      </c>
      <c r="N517" t="s">
        <v>158</v>
      </c>
      <c r="O517" s="50">
        <v>0</v>
      </c>
      <c r="P517" s="52">
        <f ca="1">Log_2018[[#This Row],[Amount]]/Log_2018[[#This Row],[Split_raw]]*MAX(0,MIN(_xlfn.DAYS(EDATE(P$1,1),Log_2018[[#This Row],[Date]]),Log_2018[[#This Row],[Split_apply]])) - SUM($O517:O517)</f>
        <v>0</v>
      </c>
      <c r="Q517" s="52">
        <f ca="1">Log_2018[[#This Row],[Amount]]/Log_2018[[#This Row],[Split_raw]]*MAX(0,MIN(_xlfn.DAYS(EDATE(Q$1,1),Log_2018[[#This Row],[Date]]),Log_2018[[#This Row],[Split_apply]])) - SUM($O517:P517)</f>
        <v>0</v>
      </c>
      <c r="R517" s="52">
        <f ca="1">Log_2018[[#This Row],[Amount]]/Log_2018[[#This Row],[Split_raw]]*MAX(0,MIN(_xlfn.DAYS(EDATE(R$1,1),Log_2018[[#This Row],[Date]]),Log_2018[[#This Row],[Split_apply]])) - SUM($O517:Q517)</f>
        <v>0</v>
      </c>
      <c r="S517" s="52">
        <f ca="1">Log_2018[[#This Row],[Amount]]/Log_2018[[#This Row],[Split_raw]]*MAX(0,MIN(_xlfn.DAYS(EDATE(S$1,1),Log_2018[[#This Row],[Date]]),Log_2018[[#This Row],[Split_apply]])) - SUM($O517:R517)</f>
        <v>-5.53</v>
      </c>
      <c r="T517" s="52">
        <f ca="1">Log_2018[[#This Row],[Amount]]/Log_2018[[#This Row],[Split_raw]]*MAX(0,MIN(_xlfn.DAYS(EDATE(T$1,1),Log_2018[[#This Row],[Date]]),Log_2018[[#This Row],[Split_apply]])) - SUM($O517:S517)</f>
        <v>0</v>
      </c>
      <c r="U517" s="52">
        <f ca="1">Log_2018[[#This Row],[Amount]]/Log_2018[[#This Row],[Split_raw]]*MAX(0,MIN(_xlfn.DAYS(EDATE(U$1,1),Log_2018[[#This Row],[Date]]),Log_2018[[#This Row],[Split_apply]])) - SUM($O517:T517)</f>
        <v>0</v>
      </c>
      <c r="V517" s="52">
        <f ca="1">Log_2018[[#This Row],[Amount]]/Log_2018[[#This Row],[Split_raw]]*MAX(0,MIN(_xlfn.DAYS(EDATE(V$1,1),Log_2018[[#This Row],[Date]]),Log_2018[[#This Row],[Split_apply]])) - SUM($O517:U517)</f>
        <v>0</v>
      </c>
      <c r="W517" s="52">
        <f ca="1">Log_2018[[#This Row],[Amount]]/Log_2018[[#This Row],[Split_raw]]*MAX(0,MIN(_xlfn.DAYS(EDATE(W$1,1),Log_2018[[#This Row],[Date]]),Log_2018[[#This Row],[Split_apply]])) - SUM($O517:V517)</f>
        <v>0</v>
      </c>
      <c r="X517" s="52">
        <f ca="1">Log_2018[[#This Row],[Amount]]/Log_2018[[#This Row],[Split_raw]]*MAX(0,MIN(_xlfn.DAYS(EDATE(X$1,1),Log_2018[[#This Row],[Date]]),Log_2018[[#This Row],[Split_apply]])) - SUM($O517:W517)</f>
        <v>0</v>
      </c>
      <c r="Y517" s="52">
        <f ca="1">Log_2018[[#This Row],[Amount]]/Log_2018[[#This Row],[Split_raw]]*MAX(0,MIN(_xlfn.DAYS(EDATE(Y$1,1),Log_2018[[#This Row],[Date]]),Log_2018[[#This Row],[Split_apply]])) - SUM($O517:X517)</f>
        <v>0</v>
      </c>
      <c r="Z517" s="52">
        <f ca="1">Log_2018[[#This Row],[Amount]]/Log_2018[[#This Row],[Split_raw]]*MAX(0,MIN(_xlfn.DAYS(EDATE(Z$1,1),Log_2018[[#This Row],[Date]]),Log_2018[[#This Row],[Split_apply]])) - SUM($O517:Y517)</f>
        <v>0</v>
      </c>
      <c r="AA517" s="52">
        <f ca="1">Log_2018[[#This Row],[Amount]]/Log_2018[[#This Row],[Split_raw]]*MAX(0,MIN(_xlfn.DAYS(EDATE(AA$1,1),Log_2018[[#This Row],[Date]]),Log_2018[[#This Row],[Split_apply]])) - SUM($O517:Z517)</f>
        <v>0</v>
      </c>
      <c r="AB517" s="54">
        <f ca="1">Log_2018[[#This Row],[Amount]]-SUM(O517:AA517)</f>
        <v>0</v>
      </c>
      <c r="AC517" s="7">
        <f ca="1">MAX(0,Log_2018[[#This Row],[Split_apply]] - (EDATE(AA$1,1)-Log_2018[[#This Row],[Date]]))</f>
        <v>0</v>
      </c>
    </row>
    <row r="518" spans="1:29" hidden="1" x14ac:dyDescent="0.25">
      <c r="A518" s="115"/>
      <c r="B518" t="s">
        <v>6</v>
      </c>
      <c r="D518" s="26">
        <v>43220</v>
      </c>
      <c r="E518" t="s">
        <v>249</v>
      </c>
      <c r="F518" t="s">
        <v>248</v>
      </c>
      <c r="G518" t="s">
        <v>27</v>
      </c>
      <c r="H518" s="3">
        <v>-9.44</v>
      </c>
      <c r="I518" s="36">
        <f>IF(Log_2018[[#This Row],[My Category]]="NONTRACKED",0,Log_2018[[#This Row],[Raw Amount]])</f>
        <v>-9.44</v>
      </c>
      <c r="J518" s="17">
        <f>ABS(Log_2018[[#This Row],[Amount]])</f>
        <v>9.44</v>
      </c>
      <c r="K518" s="66">
        <v>1</v>
      </c>
      <c r="L518" s="66">
        <f ca="1">IF(Log_2018[[#This Row],[Date]]&lt;=TODAY(), MIN(Log_2018[[#This Row],[Split_raw]], TODAY()-Log_2018[[#This Row],[Date]]+1), 0)</f>
        <v>1</v>
      </c>
      <c r="M518" t="s">
        <v>40</v>
      </c>
      <c r="N518" t="s">
        <v>160</v>
      </c>
      <c r="O518" s="50">
        <v>0</v>
      </c>
      <c r="P518" s="52">
        <f ca="1">Log_2018[[#This Row],[Amount]]/Log_2018[[#This Row],[Split_raw]]*MAX(0,MIN(_xlfn.DAYS(EDATE(P$1,1),Log_2018[[#This Row],[Date]]),Log_2018[[#This Row],[Split_apply]])) - SUM($O518:O518)</f>
        <v>0</v>
      </c>
      <c r="Q518" s="52">
        <f ca="1">Log_2018[[#This Row],[Amount]]/Log_2018[[#This Row],[Split_raw]]*MAX(0,MIN(_xlfn.DAYS(EDATE(Q$1,1),Log_2018[[#This Row],[Date]]),Log_2018[[#This Row],[Split_apply]])) - SUM($O518:P518)</f>
        <v>0</v>
      </c>
      <c r="R518" s="52">
        <f ca="1">Log_2018[[#This Row],[Amount]]/Log_2018[[#This Row],[Split_raw]]*MAX(0,MIN(_xlfn.DAYS(EDATE(R$1,1),Log_2018[[#This Row],[Date]]),Log_2018[[#This Row],[Split_apply]])) - SUM($O518:Q518)</f>
        <v>0</v>
      </c>
      <c r="S518" s="52">
        <f ca="1">Log_2018[[#This Row],[Amount]]/Log_2018[[#This Row],[Split_raw]]*MAX(0,MIN(_xlfn.DAYS(EDATE(S$1,1),Log_2018[[#This Row],[Date]]),Log_2018[[#This Row],[Split_apply]])) - SUM($O518:R518)</f>
        <v>-9.44</v>
      </c>
      <c r="T518" s="52">
        <f ca="1">Log_2018[[#This Row],[Amount]]/Log_2018[[#This Row],[Split_raw]]*MAX(0,MIN(_xlfn.DAYS(EDATE(T$1,1),Log_2018[[#This Row],[Date]]),Log_2018[[#This Row],[Split_apply]])) - SUM($O518:S518)</f>
        <v>0</v>
      </c>
      <c r="U518" s="52">
        <f ca="1">Log_2018[[#This Row],[Amount]]/Log_2018[[#This Row],[Split_raw]]*MAX(0,MIN(_xlfn.DAYS(EDATE(U$1,1),Log_2018[[#This Row],[Date]]),Log_2018[[#This Row],[Split_apply]])) - SUM($O518:T518)</f>
        <v>0</v>
      </c>
      <c r="V518" s="52">
        <f ca="1">Log_2018[[#This Row],[Amount]]/Log_2018[[#This Row],[Split_raw]]*MAX(0,MIN(_xlfn.DAYS(EDATE(V$1,1),Log_2018[[#This Row],[Date]]),Log_2018[[#This Row],[Split_apply]])) - SUM($O518:U518)</f>
        <v>0</v>
      </c>
      <c r="W518" s="52">
        <f ca="1">Log_2018[[#This Row],[Amount]]/Log_2018[[#This Row],[Split_raw]]*MAX(0,MIN(_xlfn.DAYS(EDATE(W$1,1),Log_2018[[#This Row],[Date]]),Log_2018[[#This Row],[Split_apply]])) - SUM($O518:V518)</f>
        <v>0</v>
      </c>
      <c r="X518" s="52">
        <f ca="1">Log_2018[[#This Row],[Amount]]/Log_2018[[#This Row],[Split_raw]]*MAX(0,MIN(_xlfn.DAYS(EDATE(X$1,1),Log_2018[[#This Row],[Date]]),Log_2018[[#This Row],[Split_apply]])) - SUM($O518:W518)</f>
        <v>0</v>
      </c>
      <c r="Y518" s="52">
        <f ca="1">Log_2018[[#This Row],[Amount]]/Log_2018[[#This Row],[Split_raw]]*MAX(0,MIN(_xlfn.DAYS(EDATE(Y$1,1),Log_2018[[#This Row],[Date]]),Log_2018[[#This Row],[Split_apply]])) - SUM($O518:X518)</f>
        <v>0</v>
      </c>
      <c r="Z518" s="52">
        <f ca="1">Log_2018[[#This Row],[Amount]]/Log_2018[[#This Row],[Split_raw]]*MAX(0,MIN(_xlfn.DAYS(EDATE(Z$1,1),Log_2018[[#This Row],[Date]]),Log_2018[[#This Row],[Split_apply]])) - SUM($O518:Y518)</f>
        <v>0</v>
      </c>
      <c r="AA518" s="52">
        <f ca="1">Log_2018[[#This Row],[Amount]]/Log_2018[[#This Row],[Split_raw]]*MAX(0,MIN(_xlfn.DAYS(EDATE(AA$1,1),Log_2018[[#This Row],[Date]]),Log_2018[[#This Row],[Split_apply]])) - SUM($O518:Z518)</f>
        <v>0</v>
      </c>
      <c r="AB518" s="54">
        <f ca="1">Log_2018[[#This Row],[Amount]]-SUM(O518:AA518)</f>
        <v>0</v>
      </c>
      <c r="AC518" s="7">
        <f ca="1">MAX(0,Log_2018[[#This Row],[Split_apply]] - (EDATE(AA$1,1)-Log_2018[[#This Row],[Date]]))</f>
        <v>0</v>
      </c>
    </row>
    <row r="519" spans="1:29" hidden="1" x14ac:dyDescent="0.25">
      <c r="A519" s="115"/>
      <c r="B519" t="s">
        <v>6</v>
      </c>
      <c r="D519" s="26">
        <v>43219</v>
      </c>
      <c r="F519" t="s">
        <v>261</v>
      </c>
      <c r="G519" t="s">
        <v>18</v>
      </c>
      <c r="H519" s="3">
        <v>-11.99</v>
      </c>
      <c r="I519" s="36">
        <f>IF(Log_2018[[#This Row],[My Category]]="NONTRACKED",0,Log_2018[[#This Row],[Raw Amount]])</f>
        <v>-11.99</v>
      </c>
      <c r="J519" s="17">
        <f>ABS(Log_2018[[#This Row],[Amount]])</f>
        <v>11.99</v>
      </c>
      <c r="K519" s="66">
        <v>1</v>
      </c>
      <c r="L519" s="66">
        <f ca="1">IF(Log_2018[[#This Row],[Date]]&lt;=TODAY(), MIN(Log_2018[[#This Row],[Split_raw]], TODAY()-Log_2018[[#This Row],[Date]]+1), 0)</f>
        <v>1</v>
      </c>
      <c r="M519" t="s">
        <v>39</v>
      </c>
      <c r="N519" t="s">
        <v>158</v>
      </c>
      <c r="O519" s="50">
        <v>0</v>
      </c>
      <c r="P519" s="52">
        <f ca="1">Log_2018[[#This Row],[Amount]]/Log_2018[[#This Row],[Split_raw]]*MAX(0,MIN(_xlfn.DAYS(EDATE(P$1,1),Log_2018[[#This Row],[Date]]),Log_2018[[#This Row],[Split_apply]])) - SUM($O519:O519)</f>
        <v>0</v>
      </c>
      <c r="Q519" s="52">
        <f ca="1">Log_2018[[#This Row],[Amount]]/Log_2018[[#This Row],[Split_raw]]*MAX(0,MIN(_xlfn.DAYS(EDATE(Q$1,1),Log_2018[[#This Row],[Date]]),Log_2018[[#This Row],[Split_apply]])) - SUM($O519:P519)</f>
        <v>0</v>
      </c>
      <c r="R519" s="52">
        <f ca="1">Log_2018[[#This Row],[Amount]]/Log_2018[[#This Row],[Split_raw]]*MAX(0,MIN(_xlfn.DAYS(EDATE(R$1,1),Log_2018[[#This Row],[Date]]),Log_2018[[#This Row],[Split_apply]])) - SUM($O519:Q519)</f>
        <v>0</v>
      </c>
      <c r="S519" s="52">
        <f ca="1">Log_2018[[#This Row],[Amount]]/Log_2018[[#This Row],[Split_raw]]*MAX(0,MIN(_xlfn.DAYS(EDATE(S$1,1),Log_2018[[#This Row],[Date]]),Log_2018[[#This Row],[Split_apply]])) - SUM($O519:R519)</f>
        <v>-11.99</v>
      </c>
      <c r="T519" s="52">
        <f ca="1">Log_2018[[#This Row],[Amount]]/Log_2018[[#This Row],[Split_raw]]*MAX(0,MIN(_xlfn.DAYS(EDATE(T$1,1),Log_2018[[#This Row],[Date]]),Log_2018[[#This Row],[Split_apply]])) - SUM($O519:S519)</f>
        <v>0</v>
      </c>
      <c r="U519" s="52">
        <f ca="1">Log_2018[[#This Row],[Amount]]/Log_2018[[#This Row],[Split_raw]]*MAX(0,MIN(_xlfn.DAYS(EDATE(U$1,1),Log_2018[[#This Row],[Date]]),Log_2018[[#This Row],[Split_apply]])) - SUM($O519:T519)</f>
        <v>0</v>
      </c>
      <c r="V519" s="52">
        <f ca="1">Log_2018[[#This Row],[Amount]]/Log_2018[[#This Row],[Split_raw]]*MAX(0,MIN(_xlfn.DAYS(EDATE(V$1,1),Log_2018[[#This Row],[Date]]),Log_2018[[#This Row],[Split_apply]])) - SUM($O519:U519)</f>
        <v>0</v>
      </c>
      <c r="W519" s="52">
        <f ca="1">Log_2018[[#This Row],[Amount]]/Log_2018[[#This Row],[Split_raw]]*MAX(0,MIN(_xlfn.DAYS(EDATE(W$1,1),Log_2018[[#This Row],[Date]]),Log_2018[[#This Row],[Split_apply]])) - SUM($O519:V519)</f>
        <v>0</v>
      </c>
      <c r="X519" s="52">
        <f ca="1">Log_2018[[#This Row],[Amount]]/Log_2018[[#This Row],[Split_raw]]*MAX(0,MIN(_xlfn.DAYS(EDATE(X$1,1),Log_2018[[#This Row],[Date]]),Log_2018[[#This Row],[Split_apply]])) - SUM($O519:W519)</f>
        <v>0</v>
      </c>
      <c r="Y519" s="52">
        <f ca="1">Log_2018[[#This Row],[Amount]]/Log_2018[[#This Row],[Split_raw]]*MAX(0,MIN(_xlfn.DAYS(EDATE(Y$1,1),Log_2018[[#This Row],[Date]]),Log_2018[[#This Row],[Split_apply]])) - SUM($O519:X519)</f>
        <v>0</v>
      </c>
      <c r="Z519" s="52">
        <f ca="1">Log_2018[[#This Row],[Amount]]/Log_2018[[#This Row],[Split_raw]]*MAX(0,MIN(_xlfn.DAYS(EDATE(Z$1,1),Log_2018[[#This Row],[Date]]),Log_2018[[#This Row],[Split_apply]])) - SUM($O519:Y519)</f>
        <v>0</v>
      </c>
      <c r="AA519" s="52">
        <f ca="1">Log_2018[[#This Row],[Amount]]/Log_2018[[#This Row],[Split_raw]]*MAX(0,MIN(_xlfn.DAYS(EDATE(AA$1,1),Log_2018[[#This Row],[Date]]),Log_2018[[#This Row],[Split_apply]])) - SUM($O519:Z519)</f>
        <v>0</v>
      </c>
      <c r="AB519" s="54">
        <f ca="1">Log_2018[[#This Row],[Amount]]-SUM(O519:AA519)</f>
        <v>0</v>
      </c>
      <c r="AC519" s="7">
        <f ca="1">MAX(0,Log_2018[[#This Row],[Split_apply]] - (EDATE(AA$1,1)-Log_2018[[#This Row],[Date]]))</f>
        <v>0</v>
      </c>
    </row>
    <row r="520" spans="1:29" hidden="1" x14ac:dyDescent="0.25">
      <c r="A520" s="115"/>
      <c r="B520" t="s">
        <v>6</v>
      </c>
      <c r="D520" s="26">
        <v>43219</v>
      </c>
      <c r="F520" t="s">
        <v>262</v>
      </c>
      <c r="G520" t="s">
        <v>19</v>
      </c>
      <c r="H520" s="3">
        <v>-4.99</v>
      </c>
      <c r="I520" s="36">
        <f>IF(Log_2018[[#This Row],[My Category]]="NONTRACKED",0,Log_2018[[#This Row],[Raw Amount]])</f>
        <v>-4.99</v>
      </c>
      <c r="J520" s="17">
        <f>ABS(Log_2018[[#This Row],[Amount]])</f>
        <v>4.99</v>
      </c>
      <c r="K520" s="66">
        <v>1</v>
      </c>
      <c r="L520" s="66">
        <f ca="1">IF(Log_2018[[#This Row],[Date]]&lt;=TODAY(), MIN(Log_2018[[#This Row],[Split_raw]], TODAY()-Log_2018[[#This Row],[Date]]+1), 0)</f>
        <v>1</v>
      </c>
      <c r="M520" t="s">
        <v>39</v>
      </c>
      <c r="N520" t="s">
        <v>158</v>
      </c>
      <c r="O520" s="50">
        <v>0</v>
      </c>
      <c r="P520" s="52">
        <f ca="1">Log_2018[[#This Row],[Amount]]/Log_2018[[#This Row],[Split_raw]]*MAX(0,MIN(_xlfn.DAYS(EDATE(P$1,1),Log_2018[[#This Row],[Date]]),Log_2018[[#This Row],[Split_apply]])) - SUM($O520:O520)</f>
        <v>0</v>
      </c>
      <c r="Q520" s="52">
        <f ca="1">Log_2018[[#This Row],[Amount]]/Log_2018[[#This Row],[Split_raw]]*MAX(0,MIN(_xlfn.DAYS(EDATE(Q$1,1),Log_2018[[#This Row],[Date]]),Log_2018[[#This Row],[Split_apply]])) - SUM($O520:P520)</f>
        <v>0</v>
      </c>
      <c r="R520" s="52">
        <f ca="1">Log_2018[[#This Row],[Amount]]/Log_2018[[#This Row],[Split_raw]]*MAX(0,MIN(_xlfn.DAYS(EDATE(R$1,1),Log_2018[[#This Row],[Date]]),Log_2018[[#This Row],[Split_apply]])) - SUM($O520:Q520)</f>
        <v>0</v>
      </c>
      <c r="S520" s="52">
        <f ca="1">Log_2018[[#This Row],[Amount]]/Log_2018[[#This Row],[Split_raw]]*MAX(0,MIN(_xlfn.DAYS(EDATE(S$1,1),Log_2018[[#This Row],[Date]]),Log_2018[[#This Row],[Split_apply]])) - SUM($O520:R520)</f>
        <v>-4.99</v>
      </c>
      <c r="T520" s="52">
        <f ca="1">Log_2018[[#This Row],[Amount]]/Log_2018[[#This Row],[Split_raw]]*MAX(0,MIN(_xlfn.DAYS(EDATE(T$1,1),Log_2018[[#This Row],[Date]]),Log_2018[[#This Row],[Split_apply]])) - SUM($O520:S520)</f>
        <v>0</v>
      </c>
      <c r="U520" s="52">
        <f ca="1">Log_2018[[#This Row],[Amount]]/Log_2018[[#This Row],[Split_raw]]*MAX(0,MIN(_xlfn.DAYS(EDATE(U$1,1),Log_2018[[#This Row],[Date]]),Log_2018[[#This Row],[Split_apply]])) - SUM($O520:T520)</f>
        <v>0</v>
      </c>
      <c r="V520" s="52">
        <f ca="1">Log_2018[[#This Row],[Amount]]/Log_2018[[#This Row],[Split_raw]]*MAX(0,MIN(_xlfn.DAYS(EDATE(V$1,1),Log_2018[[#This Row],[Date]]),Log_2018[[#This Row],[Split_apply]])) - SUM($O520:U520)</f>
        <v>0</v>
      </c>
      <c r="W520" s="52">
        <f ca="1">Log_2018[[#This Row],[Amount]]/Log_2018[[#This Row],[Split_raw]]*MAX(0,MIN(_xlfn.DAYS(EDATE(W$1,1),Log_2018[[#This Row],[Date]]),Log_2018[[#This Row],[Split_apply]])) - SUM($O520:V520)</f>
        <v>0</v>
      </c>
      <c r="X520" s="52">
        <f ca="1">Log_2018[[#This Row],[Amount]]/Log_2018[[#This Row],[Split_raw]]*MAX(0,MIN(_xlfn.DAYS(EDATE(X$1,1),Log_2018[[#This Row],[Date]]),Log_2018[[#This Row],[Split_apply]])) - SUM($O520:W520)</f>
        <v>0</v>
      </c>
      <c r="Y520" s="52">
        <f ca="1">Log_2018[[#This Row],[Amount]]/Log_2018[[#This Row],[Split_raw]]*MAX(0,MIN(_xlfn.DAYS(EDATE(Y$1,1),Log_2018[[#This Row],[Date]]),Log_2018[[#This Row],[Split_apply]])) - SUM($O520:X520)</f>
        <v>0</v>
      </c>
      <c r="Z520" s="52">
        <f ca="1">Log_2018[[#This Row],[Amount]]/Log_2018[[#This Row],[Split_raw]]*MAX(0,MIN(_xlfn.DAYS(EDATE(Z$1,1),Log_2018[[#This Row],[Date]]),Log_2018[[#This Row],[Split_apply]])) - SUM($O520:Y520)</f>
        <v>0</v>
      </c>
      <c r="AA520" s="52">
        <f ca="1">Log_2018[[#This Row],[Amount]]/Log_2018[[#This Row],[Split_raw]]*MAX(0,MIN(_xlfn.DAYS(EDATE(AA$1,1),Log_2018[[#This Row],[Date]]),Log_2018[[#This Row],[Split_apply]])) - SUM($O520:Z520)</f>
        <v>0</v>
      </c>
      <c r="AB520" s="54">
        <f ca="1">Log_2018[[#This Row],[Amount]]-SUM(O520:AA520)</f>
        <v>0</v>
      </c>
      <c r="AC520" s="7">
        <f ca="1">MAX(0,Log_2018[[#This Row],[Split_apply]] - (EDATE(AA$1,1)-Log_2018[[#This Row],[Date]]))</f>
        <v>0</v>
      </c>
    </row>
    <row r="521" spans="1:29" hidden="1" x14ac:dyDescent="0.25">
      <c r="A521" s="115"/>
      <c r="B521" t="s">
        <v>6</v>
      </c>
      <c r="D521" s="26">
        <v>43217</v>
      </c>
      <c r="F521" t="s">
        <v>23</v>
      </c>
      <c r="G521" t="s">
        <v>24</v>
      </c>
      <c r="H521" s="3">
        <f>--3</f>
        <v>3</v>
      </c>
      <c r="I521" s="36">
        <f>IF(Log_2018[[#This Row],[My Category]]="NONTRACKED",0,Log_2018[[#This Row],[Raw Amount]])</f>
        <v>3</v>
      </c>
      <c r="J521" s="17">
        <f>ABS(Log_2018[[#This Row],[Amount]])</f>
        <v>3</v>
      </c>
      <c r="K521" s="66">
        <v>1</v>
      </c>
      <c r="L521" s="66">
        <f ca="1">IF(Log_2018[[#This Row],[Date]]&lt;=TODAY(), MIN(Log_2018[[#This Row],[Split_raw]], TODAY()-Log_2018[[#This Row],[Date]]+1), 0)</f>
        <v>1</v>
      </c>
      <c r="M521" t="s">
        <v>196</v>
      </c>
      <c r="N521" t="s">
        <v>160</v>
      </c>
      <c r="O521" s="50">
        <v>0</v>
      </c>
      <c r="P521" s="52">
        <f ca="1">Log_2018[[#This Row],[Amount]]/Log_2018[[#This Row],[Split_raw]]*MAX(0,MIN(_xlfn.DAYS(EDATE(P$1,1),Log_2018[[#This Row],[Date]]),Log_2018[[#This Row],[Split_apply]])) - SUM($O521:O521)</f>
        <v>0</v>
      </c>
      <c r="Q521" s="52">
        <f ca="1">Log_2018[[#This Row],[Amount]]/Log_2018[[#This Row],[Split_raw]]*MAX(0,MIN(_xlfn.DAYS(EDATE(Q$1,1),Log_2018[[#This Row],[Date]]),Log_2018[[#This Row],[Split_apply]])) - SUM($O521:P521)</f>
        <v>0</v>
      </c>
      <c r="R521" s="52">
        <f ca="1">Log_2018[[#This Row],[Amount]]/Log_2018[[#This Row],[Split_raw]]*MAX(0,MIN(_xlfn.DAYS(EDATE(R$1,1),Log_2018[[#This Row],[Date]]),Log_2018[[#This Row],[Split_apply]])) - SUM($O521:Q521)</f>
        <v>0</v>
      </c>
      <c r="S521" s="52">
        <f ca="1">Log_2018[[#This Row],[Amount]]/Log_2018[[#This Row],[Split_raw]]*MAX(0,MIN(_xlfn.DAYS(EDATE(S$1,1),Log_2018[[#This Row],[Date]]),Log_2018[[#This Row],[Split_apply]])) - SUM($O521:R521)</f>
        <v>3</v>
      </c>
      <c r="T521" s="52">
        <f ca="1">Log_2018[[#This Row],[Amount]]/Log_2018[[#This Row],[Split_raw]]*MAX(0,MIN(_xlfn.DAYS(EDATE(T$1,1),Log_2018[[#This Row],[Date]]),Log_2018[[#This Row],[Split_apply]])) - SUM($O521:S521)</f>
        <v>0</v>
      </c>
      <c r="U521" s="52">
        <f ca="1">Log_2018[[#This Row],[Amount]]/Log_2018[[#This Row],[Split_raw]]*MAX(0,MIN(_xlfn.DAYS(EDATE(U$1,1),Log_2018[[#This Row],[Date]]),Log_2018[[#This Row],[Split_apply]])) - SUM($O521:T521)</f>
        <v>0</v>
      </c>
      <c r="V521" s="52">
        <f ca="1">Log_2018[[#This Row],[Amount]]/Log_2018[[#This Row],[Split_raw]]*MAX(0,MIN(_xlfn.DAYS(EDATE(V$1,1),Log_2018[[#This Row],[Date]]),Log_2018[[#This Row],[Split_apply]])) - SUM($O521:U521)</f>
        <v>0</v>
      </c>
      <c r="W521" s="52">
        <f ca="1">Log_2018[[#This Row],[Amount]]/Log_2018[[#This Row],[Split_raw]]*MAX(0,MIN(_xlfn.DAYS(EDATE(W$1,1),Log_2018[[#This Row],[Date]]),Log_2018[[#This Row],[Split_apply]])) - SUM($O521:V521)</f>
        <v>0</v>
      </c>
      <c r="X521" s="52">
        <f ca="1">Log_2018[[#This Row],[Amount]]/Log_2018[[#This Row],[Split_raw]]*MAX(0,MIN(_xlfn.DAYS(EDATE(X$1,1),Log_2018[[#This Row],[Date]]),Log_2018[[#This Row],[Split_apply]])) - SUM($O521:W521)</f>
        <v>0</v>
      </c>
      <c r="Y521" s="52">
        <f ca="1">Log_2018[[#This Row],[Amount]]/Log_2018[[#This Row],[Split_raw]]*MAX(0,MIN(_xlfn.DAYS(EDATE(Y$1,1),Log_2018[[#This Row],[Date]]),Log_2018[[#This Row],[Split_apply]])) - SUM($O521:X521)</f>
        <v>0</v>
      </c>
      <c r="Z521" s="52">
        <f ca="1">Log_2018[[#This Row],[Amount]]/Log_2018[[#This Row],[Split_raw]]*MAX(0,MIN(_xlfn.DAYS(EDATE(Z$1,1),Log_2018[[#This Row],[Date]]),Log_2018[[#This Row],[Split_apply]])) - SUM($O521:Y521)</f>
        <v>0</v>
      </c>
      <c r="AA521" s="52">
        <f ca="1">Log_2018[[#This Row],[Amount]]/Log_2018[[#This Row],[Split_raw]]*MAX(0,MIN(_xlfn.DAYS(EDATE(AA$1,1),Log_2018[[#This Row],[Date]]),Log_2018[[#This Row],[Split_apply]])) - SUM($O521:Z521)</f>
        <v>0</v>
      </c>
      <c r="AB521" s="54">
        <f ca="1">Log_2018[[#This Row],[Amount]]-SUM(O521:AA521)</f>
        <v>0</v>
      </c>
      <c r="AC521" s="7">
        <f ca="1">MAX(0,Log_2018[[#This Row],[Split_apply]] - (EDATE(AA$1,1)-Log_2018[[#This Row],[Date]]))</f>
        <v>0</v>
      </c>
    </row>
    <row r="522" spans="1:29" hidden="1" x14ac:dyDescent="0.25">
      <c r="A522" s="115"/>
      <c r="B522" t="s">
        <v>6</v>
      </c>
      <c r="D522" s="26">
        <v>43217</v>
      </c>
      <c r="F522" t="s">
        <v>263</v>
      </c>
      <c r="G522" t="s">
        <v>25</v>
      </c>
      <c r="H522" s="3">
        <v>-10.57</v>
      </c>
      <c r="I522" s="36">
        <f>IF(Log_2018[[#This Row],[My Category]]="NONTRACKED",0,Log_2018[[#This Row],[Raw Amount]])</f>
        <v>-10.57</v>
      </c>
      <c r="J522" s="17">
        <f>ABS(Log_2018[[#This Row],[Amount]])</f>
        <v>10.57</v>
      </c>
      <c r="K522" s="66">
        <v>1</v>
      </c>
      <c r="L522" s="66">
        <f ca="1">IF(Log_2018[[#This Row],[Date]]&lt;=TODAY(), MIN(Log_2018[[#This Row],[Split_raw]], TODAY()-Log_2018[[#This Row],[Date]]+1), 0)</f>
        <v>1</v>
      </c>
      <c r="M522" t="s">
        <v>35</v>
      </c>
      <c r="N522" t="s">
        <v>158</v>
      </c>
      <c r="O522" s="50">
        <v>0</v>
      </c>
      <c r="P522" s="52">
        <f ca="1">Log_2018[[#This Row],[Amount]]/Log_2018[[#This Row],[Split_raw]]*MAX(0,MIN(_xlfn.DAYS(EDATE(P$1,1),Log_2018[[#This Row],[Date]]),Log_2018[[#This Row],[Split_apply]])) - SUM($O522:O522)</f>
        <v>0</v>
      </c>
      <c r="Q522" s="52">
        <f ca="1">Log_2018[[#This Row],[Amount]]/Log_2018[[#This Row],[Split_raw]]*MAX(0,MIN(_xlfn.DAYS(EDATE(Q$1,1),Log_2018[[#This Row],[Date]]),Log_2018[[#This Row],[Split_apply]])) - SUM($O522:P522)</f>
        <v>0</v>
      </c>
      <c r="R522" s="52">
        <f ca="1">Log_2018[[#This Row],[Amount]]/Log_2018[[#This Row],[Split_raw]]*MAX(0,MIN(_xlfn.DAYS(EDATE(R$1,1),Log_2018[[#This Row],[Date]]),Log_2018[[#This Row],[Split_apply]])) - SUM($O522:Q522)</f>
        <v>0</v>
      </c>
      <c r="S522" s="52">
        <f ca="1">Log_2018[[#This Row],[Amount]]/Log_2018[[#This Row],[Split_raw]]*MAX(0,MIN(_xlfn.DAYS(EDATE(S$1,1),Log_2018[[#This Row],[Date]]),Log_2018[[#This Row],[Split_apply]])) - SUM($O522:R522)</f>
        <v>-10.57</v>
      </c>
      <c r="T522" s="52">
        <f ca="1">Log_2018[[#This Row],[Amount]]/Log_2018[[#This Row],[Split_raw]]*MAX(0,MIN(_xlfn.DAYS(EDATE(T$1,1),Log_2018[[#This Row],[Date]]),Log_2018[[#This Row],[Split_apply]])) - SUM($O522:S522)</f>
        <v>0</v>
      </c>
      <c r="U522" s="52">
        <f ca="1">Log_2018[[#This Row],[Amount]]/Log_2018[[#This Row],[Split_raw]]*MAX(0,MIN(_xlfn.DAYS(EDATE(U$1,1),Log_2018[[#This Row],[Date]]),Log_2018[[#This Row],[Split_apply]])) - SUM($O522:T522)</f>
        <v>0</v>
      </c>
      <c r="V522" s="52">
        <f ca="1">Log_2018[[#This Row],[Amount]]/Log_2018[[#This Row],[Split_raw]]*MAX(0,MIN(_xlfn.DAYS(EDATE(V$1,1),Log_2018[[#This Row],[Date]]),Log_2018[[#This Row],[Split_apply]])) - SUM($O522:U522)</f>
        <v>0</v>
      </c>
      <c r="W522" s="52">
        <f ca="1">Log_2018[[#This Row],[Amount]]/Log_2018[[#This Row],[Split_raw]]*MAX(0,MIN(_xlfn.DAYS(EDATE(W$1,1),Log_2018[[#This Row],[Date]]),Log_2018[[#This Row],[Split_apply]])) - SUM($O522:V522)</f>
        <v>0</v>
      </c>
      <c r="X522" s="52">
        <f ca="1">Log_2018[[#This Row],[Amount]]/Log_2018[[#This Row],[Split_raw]]*MAX(0,MIN(_xlfn.DAYS(EDATE(X$1,1),Log_2018[[#This Row],[Date]]),Log_2018[[#This Row],[Split_apply]])) - SUM($O522:W522)</f>
        <v>0</v>
      </c>
      <c r="Y522" s="52">
        <f ca="1">Log_2018[[#This Row],[Amount]]/Log_2018[[#This Row],[Split_raw]]*MAX(0,MIN(_xlfn.DAYS(EDATE(Y$1,1),Log_2018[[#This Row],[Date]]),Log_2018[[#This Row],[Split_apply]])) - SUM($O522:X522)</f>
        <v>0</v>
      </c>
      <c r="Z522" s="52">
        <f ca="1">Log_2018[[#This Row],[Amount]]/Log_2018[[#This Row],[Split_raw]]*MAX(0,MIN(_xlfn.DAYS(EDATE(Z$1,1),Log_2018[[#This Row],[Date]]),Log_2018[[#This Row],[Split_apply]])) - SUM($O522:Y522)</f>
        <v>0</v>
      </c>
      <c r="AA522" s="52">
        <f ca="1">Log_2018[[#This Row],[Amount]]/Log_2018[[#This Row],[Split_raw]]*MAX(0,MIN(_xlfn.DAYS(EDATE(AA$1,1),Log_2018[[#This Row],[Date]]),Log_2018[[#This Row],[Split_apply]])) - SUM($O522:Z522)</f>
        <v>0</v>
      </c>
      <c r="AB522" s="54">
        <f ca="1">Log_2018[[#This Row],[Amount]]-SUM(O522:AA522)</f>
        <v>0</v>
      </c>
      <c r="AC522" s="7">
        <f ca="1">MAX(0,Log_2018[[#This Row],[Split_apply]] - (EDATE(AA$1,1)-Log_2018[[#This Row],[Date]]))</f>
        <v>0</v>
      </c>
    </row>
    <row r="523" spans="1:29" hidden="1" x14ac:dyDescent="0.25">
      <c r="A523" s="115"/>
      <c r="B523" t="s">
        <v>6</v>
      </c>
      <c r="D523" s="26">
        <v>43217</v>
      </c>
      <c r="F523" t="s">
        <v>16</v>
      </c>
      <c r="G523" t="s">
        <v>17</v>
      </c>
      <c r="H523" s="3">
        <f>--0.08</f>
        <v>0.08</v>
      </c>
      <c r="I523" s="36">
        <f>IF(Log_2018[[#This Row],[My Category]]="NONTRACKED",0,Log_2018[[#This Row],[Raw Amount]])</f>
        <v>0.08</v>
      </c>
      <c r="J523" s="17">
        <f>ABS(Log_2018[[#This Row],[Amount]])</f>
        <v>0.08</v>
      </c>
      <c r="K523" s="66">
        <v>1</v>
      </c>
      <c r="L523" s="66">
        <f ca="1">IF(Log_2018[[#This Row],[Date]]&lt;=TODAY(), MIN(Log_2018[[#This Row],[Split_raw]], TODAY()-Log_2018[[#This Row],[Date]]+1), 0)</f>
        <v>1</v>
      </c>
      <c r="M523" t="s">
        <v>144</v>
      </c>
      <c r="N523" t="s">
        <v>160</v>
      </c>
      <c r="O523" s="50">
        <v>0</v>
      </c>
      <c r="P523" s="52">
        <f ca="1">Log_2018[[#This Row],[Amount]]/Log_2018[[#This Row],[Split_raw]]*MAX(0,MIN(_xlfn.DAYS(EDATE(P$1,1),Log_2018[[#This Row],[Date]]),Log_2018[[#This Row],[Split_apply]])) - SUM($O523:O523)</f>
        <v>0</v>
      </c>
      <c r="Q523" s="52">
        <f ca="1">Log_2018[[#This Row],[Amount]]/Log_2018[[#This Row],[Split_raw]]*MAX(0,MIN(_xlfn.DAYS(EDATE(Q$1,1),Log_2018[[#This Row],[Date]]),Log_2018[[#This Row],[Split_apply]])) - SUM($O523:P523)</f>
        <v>0</v>
      </c>
      <c r="R523" s="52">
        <f ca="1">Log_2018[[#This Row],[Amount]]/Log_2018[[#This Row],[Split_raw]]*MAX(0,MIN(_xlfn.DAYS(EDATE(R$1,1),Log_2018[[#This Row],[Date]]),Log_2018[[#This Row],[Split_apply]])) - SUM($O523:Q523)</f>
        <v>0</v>
      </c>
      <c r="S523" s="52">
        <f ca="1">Log_2018[[#This Row],[Amount]]/Log_2018[[#This Row],[Split_raw]]*MAX(0,MIN(_xlfn.DAYS(EDATE(S$1,1),Log_2018[[#This Row],[Date]]),Log_2018[[#This Row],[Split_apply]])) - SUM($O523:R523)</f>
        <v>0.08</v>
      </c>
      <c r="T523" s="52">
        <f ca="1">Log_2018[[#This Row],[Amount]]/Log_2018[[#This Row],[Split_raw]]*MAX(0,MIN(_xlfn.DAYS(EDATE(T$1,1),Log_2018[[#This Row],[Date]]),Log_2018[[#This Row],[Split_apply]])) - SUM($O523:S523)</f>
        <v>0</v>
      </c>
      <c r="U523" s="52">
        <f ca="1">Log_2018[[#This Row],[Amount]]/Log_2018[[#This Row],[Split_raw]]*MAX(0,MIN(_xlfn.DAYS(EDATE(U$1,1),Log_2018[[#This Row],[Date]]),Log_2018[[#This Row],[Split_apply]])) - SUM($O523:T523)</f>
        <v>0</v>
      </c>
      <c r="V523" s="52">
        <f ca="1">Log_2018[[#This Row],[Amount]]/Log_2018[[#This Row],[Split_raw]]*MAX(0,MIN(_xlfn.DAYS(EDATE(V$1,1),Log_2018[[#This Row],[Date]]),Log_2018[[#This Row],[Split_apply]])) - SUM($O523:U523)</f>
        <v>0</v>
      </c>
      <c r="W523" s="52">
        <f ca="1">Log_2018[[#This Row],[Amount]]/Log_2018[[#This Row],[Split_raw]]*MAX(0,MIN(_xlfn.DAYS(EDATE(W$1,1),Log_2018[[#This Row],[Date]]),Log_2018[[#This Row],[Split_apply]])) - SUM($O523:V523)</f>
        <v>0</v>
      </c>
      <c r="X523" s="52">
        <f ca="1">Log_2018[[#This Row],[Amount]]/Log_2018[[#This Row],[Split_raw]]*MAX(0,MIN(_xlfn.DAYS(EDATE(X$1,1),Log_2018[[#This Row],[Date]]),Log_2018[[#This Row],[Split_apply]])) - SUM($O523:W523)</f>
        <v>0</v>
      </c>
      <c r="Y523" s="52">
        <f ca="1">Log_2018[[#This Row],[Amount]]/Log_2018[[#This Row],[Split_raw]]*MAX(0,MIN(_xlfn.DAYS(EDATE(Y$1,1),Log_2018[[#This Row],[Date]]),Log_2018[[#This Row],[Split_apply]])) - SUM($O523:X523)</f>
        <v>0</v>
      </c>
      <c r="Z523" s="52">
        <f ca="1">Log_2018[[#This Row],[Amount]]/Log_2018[[#This Row],[Split_raw]]*MAX(0,MIN(_xlfn.DAYS(EDATE(Z$1,1),Log_2018[[#This Row],[Date]]),Log_2018[[#This Row],[Split_apply]])) - SUM($O523:Y523)</f>
        <v>0</v>
      </c>
      <c r="AA523" s="52">
        <f ca="1">Log_2018[[#This Row],[Amount]]/Log_2018[[#This Row],[Split_raw]]*MAX(0,MIN(_xlfn.DAYS(EDATE(AA$1,1),Log_2018[[#This Row],[Date]]),Log_2018[[#This Row],[Split_apply]])) - SUM($O523:Z523)</f>
        <v>0</v>
      </c>
      <c r="AB523" s="54">
        <f ca="1">Log_2018[[#This Row],[Amount]]-SUM(O523:AA523)</f>
        <v>0</v>
      </c>
      <c r="AC523" s="7">
        <f ca="1">MAX(0,Log_2018[[#This Row],[Split_apply]] - (EDATE(AA$1,1)-Log_2018[[#This Row],[Date]]))</f>
        <v>0</v>
      </c>
    </row>
    <row r="524" spans="1:29" hidden="1" x14ac:dyDescent="0.25">
      <c r="A524" s="115"/>
      <c r="B524" t="s">
        <v>6</v>
      </c>
      <c r="D524" s="39">
        <v>43216</v>
      </c>
      <c r="F524" t="s">
        <v>177</v>
      </c>
      <c r="G524" t="s">
        <v>28</v>
      </c>
      <c r="H524" s="3">
        <f>--1903.52</f>
        <v>1903.52</v>
      </c>
      <c r="I524" s="36">
        <f>IF(Log_2018[[#This Row],[My Category]]="NONTRACKED",0,Log_2018[[#This Row],[Raw Amount]])</f>
        <v>1903.52</v>
      </c>
      <c r="J524" s="17">
        <f>ABS(Log_2018[[#This Row],[Amount]])</f>
        <v>1903.52</v>
      </c>
      <c r="K524" s="66">
        <v>14</v>
      </c>
      <c r="L524" s="66">
        <f ca="1">IF(Log_2018[[#This Row],[Date]]&lt;=TODAY(), MIN(Log_2018[[#This Row],[Split_raw]], TODAY()-Log_2018[[#This Row],[Date]]+1), 0)</f>
        <v>14</v>
      </c>
      <c r="M524" t="s">
        <v>91</v>
      </c>
      <c r="N524" t="s">
        <v>160</v>
      </c>
      <c r="O524" s="50">
        <v>0</v>
      </c>
      <c r="P524" s="52">
        <f ca="1">Log_2018[[#This Row],[Amount]]/Log_2018[[#This Row],[Split_raw]]*MAX(0,MIN(_xlfn.DAYS(EDATE(P$1,1),Log_2018[[#This Row],[Date]]),Log_2018[[#This Row],[Split_apply]])) - SUM($O524:O524)</f>
        <v>0</v>
      </c>
      <c r="Q524" s="52">
        <f ca="1">Log_2018[[#This Row],[Amount]]/Log_2018[[#This Row],[Split_raw]]*MAX(0,MIN(_xlfn.DAYS(EDATE(Q$1,1),Log_2018[[#This Row],[Date]]),Log_2018[[#This Row],[Split_apply]])) - SUM($O524:P524)</f>
        <v>0</v>
      </c>
      <c r="R524" s="52">
        <f ca="1">Log_2018[[#This Row],[Amount]]/Log_2018[[#This Row],[Split_raw]]*MAX(0,MIN(_xlfn.DAYS(EDATE(R$1,1),Log_2018[[#This Row],[Date]]),Log_2018[[#This Row],[Split_apply]])) - SUM($O524:Q524)</f>
        <v>0</v>
      </c>
      <c r="S524" s="52">
        <f ca="1">Log_2018[[#This Row],[Amount]]/Log_2018[[#This Row],[Split_raw]]*MAX(0,MIN(_xlfn.DAYS(EDATE(S$1,1),Log_2018[[#This Row],[Date]]),Log_2018[[#This Row],[Split_apply]])) - SUM($O524:R524)</f>
        <v>679.82857142857142</v>
      </c>
      <c r="T524" s="52">
        <f ca="1">Log_2018[[#This Row],[Amount]]/Log_2018[[#This Row],[Split_raw]]*MAX(0,MIN(_xlfn.DAYS(EDATE(T$1,1),Log_2018[[#This Row],[Date]]),Log_2018[[#This Row],[Split_apply]])) - SUM($O524:S524)</f>
        <v>1223.6914285714286</v>
      </c>
      <c r="U524" s="52">
        <f ca="1">Log_2018[[#This Row],[Amount]]/Log_2018[[#This Row],[Split_raw]]*MAX(0,MIN(_xlfn.DAYS(EDATE(U$1,1),Log_2018[[#This Row],[Date]]),Log_2018[[#This Row],[Split_apply]])) - SUM($O524:T524)</f>
        <v>0</v>
      </c>
      <c r="V524" s="52">
        <f ca="1">Log_2018[[#This Row],[Amount]]/Log_2018[[#This Row],[Split_raw]]*MAX(0,MIN(_xlfn.DAYS(EDATE(V$1,1),Log_2018[[#This Row],[Date]]),Log_2018[[#This Row],[Split_apply]])) - SUM($O524:U524)</f>
        <v>0</v>
      </c>
      <c r="W524" s="52">
        <f ca="1">Log_2018[[#This Row],[Amount]]/Log_2018[[#This Row],[Split_raw]]*MAX(0,MIN(_xlfn.DAYS(EDATE(W$1,1),Log_2018[[#This Row],[Date]]),Log_2018[[#This Row],[Split_apply]])) - SUM($O524:V524)</f>
        <v>0</v>
      </c>
      <c r="X524" s="52">
        <f ca="1">Log_2018[[#This Row],[Amount]]/Log_2018[[#This Row],[Split_raw]]*MAX(0,MIN(_xlfn.DAYS(EDATE(X$1,1),Log_2018[[#This Row],[Date]]),Log_2018[[#This Row],[Split_apply]])) - SUM($O524:W524)</f>
        <v>0</v>
      </c>
      <c r="Y524" s="52">
        <f ca="1">Log_2018[[#This Row],[Amount]]/Log_2018[[#This Row],[Split_raw]]*MAX(0,MIN(_xlfn.DAYS(EDATE(Y$1,1),Log_2018[[#This Row],[Date]]),Log_2018[[#This Row],[Split_apply]])) - SUM($O524:X524)</f>
        <v>0</v>
      </c>
      <c r="Z524" s="52">
        <f ca="1">Log_2018[[#This Row],[Amount]]/Log_2018[[#This Row],[Split_raw]]*MAX(0,MIN(_xlfn.DAYS(EDATE(Z$1,1),Log_2018[[#This Row],[Date]]),Log_2018[[#This Row],[Split_apply]])) - SUM($O524:Y524)</f>
        <v>0</v>
      </c>
      <c r="AA524" s="52">
        <f ca="1">Log_2018[[#This Row],[Amount]]/Log_2018[[#This Row],[Split_raw]]*MAX(0,MIN(_xlfn.DAYS(EDATE(AA$1,1),Log_2018[[#This Row],[Date]]),Log_2018[[#This Row],[Split_apply]])) - SUM($O524:Z524)</f>
        <v>0</v>
      </c>
      <c r="AB524" s="54">
        <f ca="1">Log_2018[[#This Row],[Amount]]-SUM(O524:AA524)</f>
        <v>0</v>
      </c>
      <c r="AC524" s="7">
        <f ca="1">MAX(0,Log_2018[[#This Row],[Split_apply]] - (EDATE(AA$1,1)-Log_2018[[#This Row],[Date]]))</f>
        <v>0</v>
      </c>
    </row>
    <row r="525" spans="1:29" hidden="1" x14ac:dyDescent="0.25">
      <c r="A525" s="115"/>
      <c r="B525" t="s">
        <v>6</v>
      </c>
      <c r="D525" s="39">
        <v>43216</v>
      </c>
      <c r="F525" t="s">
        <v>59</v>
      </c>
      <c r="G525" t="s">
        <v>25</v>
      </c>
      <c r="H525" s="3">
        <v>-7.94</v>
      </c>
      <c r="I525" s="36">
        <f>IF(Log_2018[[#This Row],[My Category]]="NONTRACKED",0,Log_2018[[#This Row],[Raw Amount]])</f>
        <v>-7.94</v>
      </c>
      <c r="J525" s="17">
        <f>ABS(Log_2018[[#This Row],[Amount]])</f>
        <v>7.94</v>
      </c>
      <c r="K525" s="66">
        <v>1</v>
      </c>
      <c r="L525" s="66">
        <f ca="1">IF(Log_2018[[#This Row],[Date]]&lt;=TODAY(), MIN(Log_2018[[#This Row],[Split_raw]], TODAY()-Log_2018[[#This Row],[Date]]+1), 0)</f>
        <v>1</v>
      </c>
      <c r="M525" t="s">
        <v>35</v>
      </c>
      <c r="N525" t="s">
        <v>158</v>
      </c>
      <c r="O525" s="50">
        <v>0</v>
      </c>
      <c r="P525" s="52">
        <f ca="1">Log_2018[[#This Row],[Amount]]/Log_2018[[#This Row],[Split_raw]]*MAX(0,MIN(_xlfn.DAYS(EDATE(P$1,1),Log_2018[[#This Row],[Date]]),Log_2018[[#This Row],[Split_apply]])) - SUM($O525:O525)</f>
        <v>0</v>
      </c>
      <c r="Q525" s="52">
        <f ca="1">Log_2018[[#This Row],[Amount]]/Log_2018[[#This Row],[Split_raw]]*MAX(0,MIN(_xlfn.DAYS(EDATE(Q$1,1),Log_2018[[#This Row],[Date]]),Log_2018[[#This Row],[Split_apply]])) - SUM($O525:P525)</f>
        <v>0</v>
      </c>
      <c r="R525" s="52">
        <f ca="1">Log_2018[[#This Row],[Amount]]/Log_2018[[#This Row],[Split_raw]]*MAX(0,MIN(_xlfn.DAYS(EDATE(R$1,1),Log_2018[[#This Row],[Date]]),Log_2018[[#This Row],[Split_apply]])) - SUM($O525:Q525)</f>
        <v>0</v>
      </c>
      <c r="S525" s="52">
        <f ca="1">Log_2018[[#This Row],[Amount]]/Log_2018[[#This Row],[Split_raw]]*MAX(0,MIN(_xlfn.DAYS(EDATE(S$1,1),Log_2018[[#This Row],[Date]]),Log_2018[[#This Row],[Split_apply]])) - SUM($O525:R525)</f>
        <v>-7.94</v>
      </c>
      <c r="T525" s="52">
        <f ca="1">Log_2018[[#This Row],[Amount]]/Log_2018[[#This Row],[Split_raw]]*MAX(0,MIN(_xlfn.DAYS(EDATE(T$1,1),Log_2018[[#This Row],[Date]]),Log_2018[[#This Row],[Split_apply]])) - SUM($O525:S525)</f>
        <v>0</v>
      </c>
      <c r="U525" s="52">
        <f ca="1">Log_2018[[#This Row],[Amount]]/Log_2018[[#This Row],[Split_raw]]*MAX(0,MIN(_xlfn.DAYS(EDATE(U$1,1),Log_2018[[#This Row],[Date]]),Log_2018[[#This Row],[Split_apply]])) - SUM($O525:T525)</f>
        <v>0</v>
      </c>
      <c r="V525" s="52">
        <f ca="1">Log_2018[[#This Row],[Amount]]/Log_2018[[#This Row],[Split_raw]]*MAX(0,MIN(_xlfn.DAYS(EDATE(V$1,1),Log_2018[[#This Row],[Date]]),Log_2018[[#This Row],[Split_apply]])) - SUM($O525:U525)</f>
        <v>0</v>
      </c>
      <c r="W525" s="52">
        <f ca="1">Log_2018[[#This Row],[Amount]]/Log_2018[[#This Row],[Split_raw]]*MAX(0,MIN(_xlfn.DAYS(EDATE(W$1,1),Log_2018[[#This Row],[Date]]),Log_2018[[#This Row],[Split_apply]])) - SUM($O525:V525)</f>
        <v>0</v>
      </c>
      <c r="X525" s="52">
        <f ca="1">Log_2018[[#This Row],[Amount]]/Log_2018[[#This Row],[Split_raw]]*MAX(0,MIN(_xlfn.DAYS(EDATE(X$1,1),Log_2018[[#This Row],[Date]]),Log_2018[[#This Row],[Split_apply]])) - SUM($O525:W525)</f>
        <v>0</v>
      </c>
      <c r="Y525" s="52">
        <f ca="1">Log_2018[[#This Row],[Amount]]/Log_2018[[#This Row],[Split_raw]]*MAX(0,MIN(_xlfn.DAYS(EDATE(Y$1,1),Log_2018[[#This Row],[Date]]),Log_2018[[#This Row],[Split_apply]])) - SUM($O525:X525)</f>
        <v>0</v>
      </c>
      <c r="Z525" s="52">
        <f ca="1">Log_2018[[#This Row],[Amount]]/Log_2018[[#This Row],[Split_raw]]*MAX(0,MIN(_xlfn.DAYS(EDATE(Z$1,1),Log_2018[[#This Row],[Date]]),Log_2018[[#This Row],[Split_apply]])) - SUM($O525:Y525)</f>
        <v>0</v>
      </c>
      <c r="AA525" s="52">
        <f ca="1">Log_2018[[#This Row],[Amount]]/Log_2018[[#This Row],[Split_raw]]*MAX(0,MIN(_xlfn.DAYS(EDATE(AA$1,1),Log_2018[[#This Row],[Date]]),Log_2018[[#This Row],[Split_apply]])) - SUM($O525:Z525)</f>
        <v>0</v>
      </c>
      <c r="AB525" s="54">
        <f ca="1">Log_2018[[#This Row],[Amount]]-SUM(O525:AA525)</f>
        <v>0</v>
      </c>
      <c r="AC525" s="7">
        <f ca="1">MAX(0,Log_2018[[#This Row],[Split_apply]] - (EDATE(AA$1,1)-Log_2018[[#This Row],[Date]]))</f>
        <v>0</v>
      </c>
    </row>
    <row r="526" spans="1:29" hidden="1" x14ac:dyDescent="0.25">
      <c r="A526" s="115"/>
      <c r="B526" t="s">
        <v>6</v>
      </c>
      <c r="D526" s="39">
        <v>43216</v>
      </c>
      <c r="F526" t="s">
        <v>230</v>
      </c>
      <c r="G526" t="s">
        <v>29</v>
      </c>
      <c r="H526" s="3">
        <v>-6</v>
      </c>
      <c r="I526" s="36">
        <f>IF(Log_2018[[#This Row],[My Category]]="NONTRACKED",0,Log_2018[[#This Row],[Raw Amount]])</f>
        <v>-6</v>
      </c>
      <c r="J526" s="17">
        <f>ABS(Log_2018[[#This Row],[Amount]])</f>
        <v>6</v>
      </c>
      <c r="K526" s="66">
        <v>30</v>
      </c>
      <c r="L526" s="66">
        <f ca="1">IF(Log_2018[[#This Row],[Date]]&lt;=TODAY(), MIN(Log_2018[[#This Row],[Split_raw]], TODAY()-Log_2018[[#This Row],[Date]]+1), 0)</f>
        <v>30</v>
      </c>
      <c r="M526" t="s">
        <v>29</v>
      </c>
      <c r="N526" t="s">
        <v>160</v>
      </c>
      <c r="O526" s="50">
        <v>0</v>
      </c>
      <c r="P526" s="52">
        <f ca="1">Log_2018[[#This Row],[Amount]]/Log_2018[[#This Row],[Split_raw]]*MAX(0,MIN(_xlfn.DAYS(EDATE(P$1,1),Log_2018[[#This Row],[Date]]),Log_2018[[#This Row],[Split_apply]])) - SUM($O526:O526)</f>
        <v>0</v>
      </c>
      <c r="Q526" s="52">
        <f ca="1">Log_2018[[#This Row],[Amount]]/Log_2018[[#This Row],[Split_raw]]*MAX(0,MIN(_xlfn.DAYS(EDATE(Q$1,1),Log_2018[[#This Row],[Date]]),Log_2018[[#This Row],[Split_apply]])) - SUM($O526:P526)</f>
        <v>0</v>
      </c>
      <c r="R526" s="52">
        <f ca="1">Log_2018[[#This Row],[Amount]]/Log_2018[[#This Row],[Split_raw]]*MAX(0,MIN(_xlfn.DAYS(EDATE(R$1,1),Log_2018[[#This Row],[Date]]),Log_2018[[#This Row],[Split_apply]])) - SUM($O526:Q526)</f>
        <v>0</v>
      </c>
      <c r="S526" s="52">
        <f ca="1">Log_2018[[#This Row],[Amount]]/Log_2018[[#This Row],[Split_raw]]*MAX(0,MIN(_xlfn.DAYS(EDATE(S$1,1),Log_2018[[#This Row],[Date]]),Log_2018[[#This Row],[Split_apply]])) - SUM($O526:R526)</f>
        <v>-1</v>
      </c>
      <c r="T526" s="52">
        <f ca="1">Log_2018[[#This Row],[Amount]]/Log_2018[[#This Row],[Split_raw]]*MAX(0,MIN(_xlfn.DAYS(EDATE(T$1,1),Log_2018[[#This Row],[Date]]),Log_2018[[#This Row],[Split_apply]])) - SUM($O526:S526)</f>
        <v>-5</v>
      </c>
      <c r="U526" s="52">
        <f ca="1">Log_2018[[#This Row],[Amount]]/Log_2018[[#This Row],[Split_raw]]*MAX(0,MIN(_xlfn.DAYS(EDATE(U$1,1),Log_2018[[#This Row],[Date]]),Log_2018[[#This Row],[Split_apply]])) - SUM($O526:T526)</f>
        <v>0</v>
      </c>
      <c r="V526" s="52">
        <f ca="1">Log_2018[[#This Row],[Amount]]/Log_2018[[#This Row],[Split_raw]]*MAX(0,MIN(_xlfn.DAYS(EDATE(V$1,1),Log_2018[[#This Row],[Date]]),Log_2018[[#This Row],[Split_apply]])) - SUM($O526:U526)</f>
        <v>0</v>
      </c>
      <c r="W526" s="52">
        <f ca="1">Log_2018[[#This Row],[Amount]]/Log_2018[[#This Row],[Split_raw]]*MAX(0,MIN(_xlfn.DAYS(EDATE(W$1,1),Log_2018[[#This Row],[Date]]),Log_2018[[#This Row],[Split_apply]])) - SUM($O526:V526)</f>
        <v>0</v>
      </c>
      <c r="X526" s="52">
        <f ca="1">Log_2018[[#This Row],[Amount]]/Log_2018[[#This Row],[Split_raw]]*MAX(0,MIN(_xlfn.DAYS(EDATE(X$1,1),Log_2018[[#This Row],[Date]]),Log_2018[[#This Row],[Split_apply]])) - SUM($O526:W526)</f>
        <v>0</v>
      </c>
      <c r="Y526" s="52">
        <f ca="1">Log_2018[[#This Row],[Amount]]/Log_2018[[#This Row],[Split_raw]]*MAX(0,MIN(_xlfn.DAYS(EDATE(Y$1,1),Log_2018[[#This Row],[Date]]),Log_2018[[#This Row],[Split_apply]])) - SUM($O526:X526)</f>
        <v>0</v>
      </c>
      <c r="Z526" s="52">
        <f ca="1">Log_2018[[#This Row],[Amount]]/Log_2018[[#This Row],[Split_raw]]*MAX(0,MIN(_xlfn.DAYS(EDATE(Z$1,1),Log_2018[[#This Row],[Date]]),Log_2018[[#This Row],[Split_apply]])) - SUM($O526:Y526)</f>
        <v>0</v>
      </c>
      <c r="AA526" s="52">
        <f ca="1">Log_2018[[#This Row],[Amount]]/Log_2018[[#This Row],[Split_raw]]*MAX(0,MIN(_xlfn.DAYS(EDATE(AA$1,1),Log_2018[[#This Row],[Date]]),Log_2018[[#This Row],[Split_apply]])) - SUM($O526:Z526)</f>
        <v>0</v>
      </c>
      <c r="AB526" s="54">
        <f ca="1">Log_2018[[#This Row],[Amount]]-SUM(O526:AA526)</f>
        <v>0</v>
      </c>
      <c r="AC526" s="7">
        <f ca="1">MAX(0,Log_2018[[#This Row],[Split_apply]] - (EDATE(AA$1,1)-Log_2018[[#This Row],[Date]]))</f>
        <v>0</v>
      </c>
    </row>
    <row r="527" spans="1:29" hidden="1" x14ac:dyDescent="0.25">
      <c r="A527" s="115"/>
      <c r="B527" t="s">
        <v>6</v>
      </c>
      <c r="D527" s="39">
        <v>43215</v>
      </c>
      <c r="F527" t="s">
        <v>217</v>
      </c>
      <c r="G527" t="s">
        <v>12</v>
      </c>
      <c r="H527" s="3">
        <v>-109.78</v>
      </c>
      <c r="I527" s="36">
        <f>IF(Log_2018[[#This Row],[My Category]]="NONTRACKED",0,Log_2018[[#This Row],[Raw Amount]])</f>
        <v>-109.78</v>
      </c>
      <c r="J527" s="17">
        <f>ABS(Log_2018[[#This Row],[Amount]])</f>
        <v>109.78</v>
      </c>
      <c r="K527" s="66">
        <v>1</v>
      </c>
      <c r="L527" s="66">
        <f ca="1">IF(Log_2018[[#This Row],[Date]]&lt;=TODAY(), MIN(Log_2018[[#This Row],[Split_raw]], TODAY()-Log_2018[[#This Row],[Date]]+1), 0)</f>
        <v>1</v>
      </c>
      <c r="M527" t="s">
        <v>12</v>
      </c>
      <c r="N527" t="s">
        <v>158</v>
      </c>
      <c r="O527" s="50">
        <v>0</v>
      </c>
      <c r="P527" s="52">
        <f ca="1">Log_2018[[#This Row],[Amount]]/Log_2018[[#This Row],[Split_raw]]*MAX(0,MIN(_xlfn.DAYS(EDATE(P$1,1),Log_2018[[#This Row],[Date]]),Log_2018[[#This Row],[Split_apply]])) - SUM($O527:O527)</f>
        <v>0</v>
      </c>
      <c r="Q527" s="52">
        <f ca="1">Log_2018[[#This Row],[Amount]]/Log_2018[[#This Row],[Split_raw]]*MAX(0,MIN(_xlfn.DAYS(EDATE(Q$1,1),Log_2018[[#This Row],[Date]]),Log_2018[[#This Row],[Split_apply]])) - SUM($O527:P527)</f>
        <v>0</v>
      </c>
      <c r="R527" s="52">
        <f ca="1">Log_2018[[#This Row],[Amount]]/Log_2018[[#This Row],[Split_raw]]*MAX(0,MIN(_xlfn.DAYS(EDATE(R$1,1),Log_2018[[#This Row],[Date]]),Log_2018[[#This Row],[Split_apply]])) - SUM($O527:Q527)</f>
        <v>0</v>
      </c>
      <c r="S527" s="52">
        <f ca="1">Log_2018[[#This Row],[Amount]]/Log_2018[[#This Row],[Split_raw]]*MAX(0,MIN(_xlfn.DAYS(EDATE(S$1,1),Log_2018[[#This Row],[Date]]),Log_2018[[#This Row],[Split_apply]])) - SUM($O527:R527)</f>
        <v>-109.78</v>
      </c>
      <c r="T527" s="52">
        <f ca="1">Log_2018[[#This Row],[Amount]]/Log_2018[[#This Row],[Split_raw]]*MAX(0,MIN(_xlfn.DAYS(EDATE(T$1,1),Log_2018[[#This Row],[Date]]),Log_2018[[#This Row],[Split_apply]])) - SUM($O527:S527)</f>
        <v>0</v>
      </c>
      <c r="U527" s="52">
        <f ca="1">Log_2018[[#This Row],[Amount]]/Log_2018[[#This Row],[Split_raw]]*MAX(0,MIN(_xlfn.DAYS(EDATE(U$1,1),Log_2018[[#This Row],[Date]]),Log_2018[[#This Row],[Split_apply]])) - SUM($O527:T527)</f>
        <v>0</v>
      </c>
      <c r="V527" s="52">
        <f ca="1">Log_2018[[#This Row],[Amount]]/Log_2018[[#This Row],[Split_raw]]*MAX(0,MIN(_xlfn.DAYS(EDATE(V$1,1),Log_2018[[#This Row],[Date]]),Log_2018[[#This Row],[Split_apply]])) - SUM($O527:U527)</f>
        <v>0</v>
      </c>
      <c r="W527" s="52">
        <f ca="1">Log_2018[[#This Row],[Amount]]/Log_2018[[#This Row],[Split_raw]]*MAX(0,MIN(_xlfn.DAYS(EDATE(W$1,1),Log_2018[[#This Row],[Date]]),Log_2018[[#This Row],[Split_apply]])) - SUM($O527:V527)</f>
        <v>0</v>
      </c>
      <c r="X527" s="52">
        <f ca="1">Log_2018[[#This Row],[Amount]]/Log_2018[[#This Row],[Split_raw]]*MAX(0,MIN(_xlfn.DAYS(EDATE(X$1,1),Log_2018[[#This Row],[Date]]),Log_2018[[#This Row],[Split_apply]])) - SUM($O527:W527)</f>
        <v>0</v>
      </c>
      <c r="Y527" s="52">
        <f ca="1">Log_2018[[#This Row],[Amount]]/Log_2018[[#This Row],[Split_raw]]*MAX(0,MIN(_xlfn.DAYS(EDATE(Y$1,1),Log_2018[[#This Row],[Date]]),Log_2018[[#This Row],[Split_apply]])) - SUM($O527:X527)</f>
        <v>0</v>
      </c>
      <c r="Z527" s="52">
        <f ca="1">Log_2018[[#This Row],[Amount]]/Log_2018[[#This Row],[Split_raw]]*MAX(0,MIN(_xlfn.DAYS(EDATE(Z$1,1),Log_2018[[#This Row],[Date]]),Log_2018[[#This Row],[Split_apply]])) - SUM($O527:Y527)</f>
        <v>0</v>
      </c>
      <c r="AA527" s="52">
        <f ca="1">Log_2018[[#This Row],[Amount]]/Log_2018[[#This Row],[Split_raw]]*MAX(0,MIN(_xlfn.DAYS(EDATE(AA$1,1),Log_2018[[#This Row],[Date]]),Log_2018[[#This Row],[Split_apply]])) - SUM($O527:Z527)</f>
        <v>0</v>
      </c>
      <c r="AB527" s="54">
        <f ca="1">Log_2018[[#This Row],[Amount]]-SUM(O527:AA527)</f>
        <v>0</v>
      </c>
      <c r="AC527" s="7">
        <f ca="1">MAX(0,Log_2018[[#This Row],[Split_apply]] - (EDATE(AA$1,1)-Log_2018[[#This Row],[Date]]))</f>
        <v>0</v>
      </c>
    </row>
    <row r="528" spans="1:29" hidden="1" x14ac:dyDescent="0.25">
      <c r="A528" s="115"/>
      <c r="B528" t="s">
        <v>6</v>
      </c>
      <c r="D528" s="39">
        <v>43215</v>
      </c>
      <c r="F528" t="s">
        <v>225</v>
      </c>
      <c r="G528" t="s">
        <v>19</v>
      </c>
      <c r="H528" s="3">
        <v>-23.45</v>
      </c>
      <c r="I528" s="36">
        <f>IF(Log_2018[[#This Row],[My Category]]="NONTRACKED",0,Log_2018[[#This Row],[Raw Amount]])</f>
        <v>-23.45</v>
      </c>
      <c r="J528" s="17">
        <f>ABS(Log_2018[[#This Row],[Amount]])</f>
        <v>23.45</v>
      </c>
      <c r="K528" s="66">
        <v>1</v>
      </c>
      <c r="L528" s="66">
        <f ca="1">IF(Log_2018[[#This Row],[Date]]&lt;=TODAY(), MIN(Log_2018[[#This Row],[Split_raw]], TODAY()-Log_2018[[#This Row],[Date]]+1), 0)</f>
        <v>1</v>
      </c>
      <c r="M528" t="s">
        <v>40</v>
      </c>
      <c r="N528" t="s">
        <v>158</v>
      </c>
      <c r="O528" s="50">
        <v>0</v>
      </c>
      <c r="P528" s="52">
        <f ca="1">Log_2018[[#This Row],[Amount]]/Log_2018[[#This Row],[Split_raw]]*MAX(0,MIN(_xlfn.DAYS(EDATE(P$1,1),Log_2018[[#This Row],[Date]]),Log_2018[[#This Row],[Split_apply]])) - SUM($O528:O528)</f>
        <v>0</v>
      </c>
      <c r="Q528" s="52">
        <f ca="1">Log_2018[[#This Row],[Amount]]/Log_2018[[#This Row],[Split_raw]]*MAX(0,MIN(_xlfn.DAYS(EDATE(Q$1,1),Log_2018[[#This Row],[Date]]),Log_2018[[#This Row],[Split_apply]])) - SUM($O528:P528)</f>
        <v>0</v>
      </c>
      <c r="R528" s="52">
        <f ca="1">Log_2018[[#This Row],[Amount]]/Log_2018[[#This Row],[Split_raw]]*MAX(0,MIN(_xlfn.DAYS(EDATE(R$1,1),Log_2018[[#This Row],[Date]]),Log_2018[[#This Row],[Split_apply]])) - SUM($O528:Q528)</f>
        <v>0</v>
      </c>
      <c r="S528" s="52">
        <f ca="1">Log_2018[[#This Row],[Amount]]/Log_2018[[#This Row],[Split_raw]]*MAX(0,MIN(_xlfn.DAYS(EDATE(S$1,1),Log_2018[[#This Row],[Date]]),Log_2018[[#This Row],[Split_apply]])) - SUM($O528:R528)</f>
        <v>-23.45</v>
      </c>
      <c r="T528" s="52">
        <f ca="1">Log_2018[[#This Row],[Amount]]/Log_2018[[#This Row],[Split_raw]]*MAX(0,MIN(_xlfn.DAYS(EDATE(T$1,1),Log_2018[[#This Row],[Date]]),Log_2018[[#This Row],[Split_apply]])) - SUM($O528:S528)</f>
        <v>0</v>
      </c>
      <c r="U528" s="52">
        <f ca="1">Log_2018[[#This Row],[Amount]]/Log_2018[[#This Row],[Split_raw]]*MAX(0,MIN(_xlfn.DAYS(EDATE(U$1,1),Log_2018[[#This Row],[Date]]),Log_2018[[#This Row],[Split_apply]])) - SUM($O528:T528)</f>
        <v>0</v>
      </c>
      <c r="V528" s="52">
        <f ca="1">Log_2018[[#This Row],[Amount]]/Log_2018[[#This Row],[Split_raw]]*MAX(0,MIN(_xlfn.DAYS(EDATE(V$1,1),Log_2018[[#This Row],[Date]]),Log_2018[[#This Row],[Split_apply]])) - SUM($O528:U528)</f>
        <v>0</v>
      </c>
      <c r="W528" s="52">
        <f ca="1">Log_2018[[#This Row],[Amount]]/Log_2018[[#This Row],[Split_raw]]*MAX(0,MIN(_xlfn.DAYS(EDATE(W$1,1),Log_2018[[#This Row],[Date]]),Log_2018[[#This Row],[Split_apply]])) - SUM($O528:V528)</f>
        <v>0</v>
      </c>
      <c r="X528" s="52">
        <f ca="1">Log_2018[[#This Row],[Amount]]/Log_2018[[#This Row],[Split_raw]]*MAX(0,MIN(_xlfn.DAYS(EDATE(X$1,1),Log_2018[[#This Row],[Date]]),Log_2018[[#This Row],[Split_apply]])) - SUM($O528:W528)</f>
        <v>0</v>
      </c>
      <c r="Y528" s="52">
        <f ca="1">Log_2018[[#This Row],[Amount]]/Log_2018[[#This Row],[Split_raw]]*MAX(0,MIN(_xlfn.DAYS(EDATE(Y$1,1),Log_2018[[#This Row],[Date]]),Log_2018[[#This Row],[Split_apply]])) - SUM($O528:X528)</f>
        <v>0</v>
      </c>
      <c r="Z528" s="52">
        <f ca="1">Log_2018[[#This Row],[Amount]]/Log_2018[[#This Row],[Split_raw]]*MAX(0,MIN(_xlfn.DAYS(EDATE(Z$1,1),Log_2018[[#This Row],[Date]]),Log_2018[[#This Row],[Split_apply]])) - SUM($O528:Y528)</f>
        <v>0</v>
      </c>
      <c r="AA528" s="52">
        <f ca="1">Log_2018[[#This Row],[Amount]]/Log_2018[[#This Row],[Split_raw]]*MAX(0,MIN(_xlfn.DAYS(EDATE(AA$1,1),Log_2018[[#This Row],[Date]]),Log_2018[[#This Row],[Split_apply]])) - SUM($O528:Z528)</f>
        <v>0</v>
      </c>
      <c r="AB528" s="54">
        <f ca="1">Log_2018[[#This Row],[Amount]]-SUM(O528:AA528)</f>
        <v>0</v>
      </c>
      <c r="AC528" s="7">
        <f ca="1">MAX(0,Log_2018[[#This Row],[Split_apply]] - (EDATE(AA$1,1)-Log_2018[[#This Row],[Date]]))</f>
        <v>0</v>
      </c>
    </row>
    <row r="529" spans="1:29" hidden="1" x14ac:dyDescent="0.25">
      <c r="A529" s="115"/>
      <c r="B529" t="s">
        <v>6</v>
      </c>
      <c r="D529" s="39">
        <v>43215</v>
      </c>
      <c r="F529" t="s">
        <v>59</v>
      </c>
      <c r="G529" t="s">
        <v>25</v>
      </c>
      <c r="H529" s="3">
        <v>-7.94</v>
      </c>
      <c r="I529" s="36">
        <f>IF(Log_2018[[#This Row],[My Category]]="NONTRACKED",0,Log_2018[[#This Row],[Raw Amount]])</f>
        <v>-7.94</v>
      </c>
      <c r="J529" s="17">
        <f>ABS(Log_2018[[#This Row],[Amount]])</f>
        <v>7.94</v>
      </c>
      <c r="K529" s="66">
        <v>1</v>
      </c>
      <c r="L529" s="66">
        <f ca="1">IF(Log_2018[[#This Row],[Date]]&lt;=TODAY(), MIN(Log_2018[[#This Row],[Split_raw]], TODAY()-Log_2018[[#This Row],[Date]]+1), 0)</f>
        <v>1</v>
      </c>
      <c r="M529" t="s">
        <v>35</v>
      </c>
      <c r="N529" t="s">
        <v>158</v>
      </c>
      <c r="O529" s="50">
        <v>0</v>
      </c>
      <c r="P529" s="52">
        <f ca="1">Log_2018[[#This Row],[Amount]]/Log_2018[[#This Row],[Split_raw]]*MAX(0,MIN(_xlfn.DAYS(EDATE(P$1,1),Log_2018[[#This Row],[Date]]),Log_2018[[#This Row],[Split_apply]])) - SUM($O529:O529)</f>
        <v>0</v>
      </c>
      <c r="Q529" s="52">
        <f ca="1">Log_2018[[#This Row],[Amount]]/Log_2018[[#This Row],[Split_raw]]*MAX(0,MIN(_xlfn.DAYS(EDATE(Q$1,1),Log_2018[[#This Row],[Date]]),Log_2018[[#This Row],[Split_apply]])) - SUM($O529:P529)</f>
        <v>0</v>
      </c>
      <c r="R529" s="52">
        <f ca="1">Log_2018[[#This Row],[Amount]]/Log_2018[[#This Row],[Split_raw]]*MAX(0,MIN(_xlfn.DAYS(EDATE(R$1,1),Log_2018[[#This Row],[Date]]),Log_2018[[#This Row],[Split_apply]])) - SUM($O529:Q529)</f>
        <v>0</v>
      </c>
      <c r="S529" s="52">
        <f ca="1">Log_2018[[#This Row],[Amount]]/Log_2018[[#This Row],[Split_raw]]*MAX(0,MIN(_xlfn.DAYS(EDATE(S$1,1),Log_2018[[#This Row],[Date]]),Log_2018[[#This Row],[Split_apply]])) - SUM($O529:R529)</f>
        <v>-7.94</v>
      </c>
      <c r="T529" s="52">
        <f ca="1">Log_2018[[#This Row],[Amount]]/Log_2018[[#This Row],[Split_raw]]*MAX(0,MIN(_xlfn.DAYS(EDATE(T$1,1),Log_2018[[#This Row],[Date]]),Log_2018[[#This Row],[Split_apply]])) - SUM($O529:S529)</f>
        <v>0</v>
      </c>
      <c r="U529" s="52">
        <f ca="1">Log_2018[[#This Row],[Amount]]/Log_2018[[#This Row],[Split_raw]]*MAX(0,MIN(_xlfn.DAYS(EDATE(U$1,1),Log_2018[[#This Row],[Date]]),Log_2018[[#This Row],[Split_apply]])) - SUM($O529:T529)</f>
        <v>0</v>
      </c>
      <c r="V529" s="52">
        <f ca="1">Log_2018[[#This Row],[Amount]]/Log_2018[[#This Row],[Split_raw]]*MAX(0,MIN(_xlfn.DAYS(EDATE(V$1,1),Log_2018[[#This Row],[Date]]),Log_2018[[#This Row],[Split_apply]])) - SUM($O529:U529)</f>
        <v>0</v>
      </c>
      <c r="W529" s="52">
        <f ca="1">Log_2018[[#This Row],[Amount]]/Log_2018[[#This Row],[Split_raw]]*MAX(0,MIN(_xlfn.DAYS(EDATE(W$1,1),Log_2018[[#This Row],[Date]]),Log_2018[[#This Row],[Split_apply]])) - SUM($O529:V529)</f>
        <v>0</v>
      </c>
      <c r="X529" s="52">
        <f ca="1">Log_2018[[#This Row],[Amount]]/Log_2018[[#This Row],[Split_raw]]*MAX(0,MIN(_xlfn.DAYS(EDATE(X$1,1),Log_2018[[#This Row],[Date]]),Log_2018[[#This Row],[Split_apply]])) - SUM($O529:W529)</f>
        <v>0</v>
      </c>
      <c r="Y529" s="52">
        <f ca="1">Log_2018[[#This Row],[Amount]]/Log_2018[[#This Row],[Split_raw]]*MAX(0,MIN(_xlfn.DAYS(EDATE(Y$1,1),Log_2018[[#This Row],[Date]]),Log_2018[[#This Row],[Split_apply]])) - SUM($O529:X529)</f>
        <v>0</v>
      </c>
      <c r="Z529" s="52">
        <f ca="1">Log_2018[[#This Row],[Amount]]/Log_2018[[#This Row],[Split_raw]]*MAX(0,MIN(_xlfn.DAYS(EDATE(Z$1,1),Log_2018[[#This Row],[Date]]),Log_2018[[#This Row],[Split_apply]])) - SUM($O529:Y529)</f>
        <v>0</v>
      </c>
      <c r="AA529" s="52">
        <f ca="1">Log_2018[[#This Row],[Amount]]/Log_2018[[#This Row],[Split_raw]]*MAX(0,MIN(_xlfn.DAYS(EDATE(AA$1,1),Log_2018[[#This Row],[Date]]),Log_2018[[#This Row],[Split_apply]])) - SUM($O529:Z529)</f>
        <v>0</v>
      </c>
      <c r="AB529" s="54">
        <f ca="1">Log_2018[[#This Row],[Amount]]-SUM(O529:AA529)</f>
        <v>0</v>
      </c>
      <c r="AC529" s="7">
        <f ca="1">MAX(0,Log_2018[[#This Row],[Split_apply]] - (EDATE(AA$1,1)-Log_2018[[#This Row],[Date]]))</f>
        <v>0</v>
      </c>
    </row>
    <row r="530" spans="1:29" hidden="1" x14ac:dyDescent="0.25">
      <c r="A530" s="115"/>
      <c r="B530" t="s">
        <v>6</v>
      </c>
      <c r="D530" s="39">
        <v>43214</v>
      </c>
      <c r="F530" t="s">
        <v>59</v>
      </c>
      <c r="G530" t="s">
        <v>25</v>
      </c>
      <c r="H530" s="3">
        <v>-7.94</v>
      </c>
      <c r="I530" s="36">
        <f>IF(Log_2018[[#This Row],[My Category]]="NONTRACKED",0,Log_2018[[#This Row],[Raw Amount]])</f>
        <v>-7.94</v>
      </c>
      <c r="J530" s="17">
        <f>ABS(Log_2018[[#This Row],[Amount]])</f>
        <v>7.94</v>
      </c>
      <c r="K530" s="66">
        <v>1</v>
      </c>
      <c r="L530" s="66">
        <f ca="1">IF(Log_2018[[#This Row],[Date]]&lt;=TODAY(), MIN(Log_2018[[#This Row],[Split_raw]], TODAY()-Log_2018[[#This Row],[Date]]+1), 0)</f>
        <v>1</v>
      </c>
      <c r="M530" t="s">
        <v>35</v>
      </c>
      <c r="N530" t="s">
        <v>158</v>
      </c>
      <c r="O530" s="50">
        <v>0</v>
      </c>
      <c r="P530" s="52">
        <f ca="1">Log_2018[[#This Row],[Amount]]/Log_2018[[#This Row],[Split_raw]]*MAX(0,MIN(_xlfn.DAYS(EDATE(P$1,1),Log_2018[[#This Row],[Date]]),Log_2018[[#This Row],[Split_apply]])) - SUM($O530:O530)</f>
        <v>0</v>
      </c>
      <c r="Q530" s="52">
        <f ca="1">Log_2018[[#This Row],[Amount]]/Log_2018[[#This Row],[Split_raw]]*MAX(0,MIN(_xlfn.DAYS(EDATE(Q$1,1),Log_2018[[#This Row],[Date]]),Log_2018[[#This Row],[Split_apply]])) - SUM($O530:P530)</f>
        <v>0</v>
      </c>
      <c r="R530" s="52">
        <f ca="1">Log_2018[[#This Row],[Amount]]/Log_2018[[#This Row],[Split_raw]]*MAX(0,MIN(_xlfn.DAYS(EDATE(R$1,1),Log_2018[[#This Row],[Date]]),Log_2018[[#This Row],[Split_apply]])) - SUM($O530:Q530)</f>
        <v>0</v>
      </c>
      <c r="S530" s="52">
        <f ca="1">Log_2018[[#This Row],[Amount]]/Log_2018[[#This Row],[Split_raw]]*MAX(0,MIN(_xlfn.DAYS(EDATE(S$1,1),Log_2018[[#This Row],[Date]]),Log_2018[[#This Row],[Split_apply]])) - SUM($O530:R530)</f>
        <v>-7.94</v>
      </c>
      <c r="T530" s="52">
        <f ca="1">Log_2018[[#This Row],[Amount]]/Log_2018[[#This Row],[Split_raw]]*MAX(0,MIN(_xlfn.DAYS(EDATE(T$1,1),Log_2018[[#This Row],[Date]]),Log_2018[[#This Row],[Split_apply]])) - SUM($O530:S530)</f>
        <v>0</v>
      </c>
      <c r="U530" s="52">
        <f ca="1">Log_2018[[#This Row],[Amount]]/Log_2018[[#This Row],[Split_raw]]*MAX(0,MIN(_xlfn.DAYS(EDATE(U$1,1),Log_2018[[#This Row],[Date]]),Log_2018[[#This Row],[Split_apply]])) - SUM($O530:T530)</f>
        <v>0</v>
      </c>
      <c r="V530" s="52">
        <f ca="1">Log_2018[[#This Row],[Amount]]/Log_2018[[#This Row],[Split_raw]]*MAX(0,MIN(_xlfn.DAYS(EDATE(V$1,1),Log_2018[[#This Row],[Date]]),Log_2018[[#This Row],[Split_apply]])) - SUM($O530:U530)</f>
        <v>0</v>
      </c>
      <c r="W530" s="52">
        <f ca="1">Log_2018[[#This Row],[Amount]]/Log_2018[[#This Row],[Split_raw]]*MAX(0,MIN(_xlfn.DAYS(EDATE(W$1,1),Log_2018[[#This Row],[Date]]),Log_2018[[#This Row],[Split_apply]])) - SUM($O530:V530)</f>
        <v>0</v>
      </c>
      <c r="X530" s="52">
        <f ca="1">Log_2018[[#This Row],[Amount]]/Log_2018[[#This Row],[Split_raw]]*MAX(0,MIN(_xlfn.DAYS(EDATE(X$1,1),Log_2018[[#This Row],[Date]]),Log_2018[[#This Row],[Split_apply]])) - SUM($O530:W530)</f>
        <v>0</v>
      </c>
      <c r="Y530" s="52">
        <f ca="1">Log_2018[[#This Row],[Amount]]/Log_2018[[#This Row],[Split_raw]]*MAX(0,MIN(_xlfn.DAYS(EDATE(Y$1,1),Log_2018[[#This Row],[Date]]),Log_2018[[#This Row],[Split_apply]])) - SUM($O530:X530)</f>
        <v>0</v>
      </c>
      <c r="Z530" s="52">
        <f ca="1">Log_2018[[#This Row],[Amount]]/Log_2018[[#This Row],[Split_raw]]*MAX(0,MIN(_xlfn.DAYS(EDATE(Z$1,1),Log_2018[[#This Row],[Date]]),Log_2018[[#This Row],[Split_apply]])) - SUM($O530:Y530)</f>
        <v>0</v>
      </c>
      <c r="AA530" s="52">
        <f ca="1">Log_2018[[#This Row],[Amount]]/Log_2018[[#This Row],[Split_raw]]*MAX(0,MIN(_xlfn.DAYS(EDATE(AA$1,1),Log_2018[[#This Row],[Date]]),Log_2018[[#This Row],[Split_apply]])) - SUM($O530:Z530)</f>
        <v>0</v>
      </c>
      <c r="AB530" s="54">
        <f ca="1">Log_2018[[#This Row],[Amount]]-SUM(O530:AA530)</f>
        <v>0</v>
      </c>
      <c r="AC530" s="7">
        <f ca="1">MAX(0,Log_2018[[#This Row],[Split_apply]] - (EDATE(AA$1,1)-Log_2018[[#This Row],[Date]]))</f>
        <v>0</v>
      </c>
    </row>
    <row r="531" spans="1:29" hidden="1" x14ac:dyDescent="0.25">
      <c r="A531" s="115"/>
      <c r="B531" t="s">
        <v>6</v>
      </c>
      <c r="D531" s="39">
        <v>43214</v>
      </c>
      <c r="F531" t="s">
        <v>67</v>
      </c>
      <c r="G531" t="s">
        <v>25</v>
      </c>
      <c r="H531" s="3">
        <v>-10.07</v>
      </c>
      <c r="I531" s="36">
        <f>IF(Log_2018[[#This Row],[My Category]]="NONTRACKED",0,Log_2018[[#This Row],[Raw Amount]])</f>
        <v>-10.07</v>
      </c>
      <c r="J531" s="17">
        <f>ABS(Log_2018[[#This Row],[Amount]])</f>
        <v>10.07</v>
      </c>
      <c r="K531" s="66">
        <v>1</v>
      </c>
      <c r="L531" s="66">
        <f ca="1">IF(Log_2018[[#This Row],[Date]]&lt;=TODAY(), MIN(Log_2018[[#This Row],[Split_raw]], TODAY()-Log_2018[[#This Row],[Date]]+1), 0)</f>
        <v>1</v>
      </c>
      <c r="M531" t="s">
        <v>35</v>
      </c>
      <c r="N531" t="s">
        <v>158</v>
      </c>
      <c r="O531" s="50">
        <v>0</v>
      </c>
      <c r="P531" s="52">
        <f ca="1">Log_2018[[#This Row],[Amount]]/Log_2018[[#This Row],[Split_raw]]*MAX(0,MIN(_xlfn.DAYS(EDATE(P$1,1),Log_2018[[#This Row],[Date]]),Log_2018[[#This Row],[Split_apply]])) - SUM($O531:O531)</f>
        <v>0</v>
      </c>
      <c r="Q531" s="52">
        <f ca="1">Log_2018[[#This Row],[Amount]]/Log_2018[[#This Row],[Split_raw]]*MAX(0,MIN(_xlfn.DAYS(EDATE(Q$1,1),Log_2018[[#This Row],[Date]]),Log_2018[[#This Row],[Split_apply]])) - SUM($O531:P531)</f>
        <v>0</v>
      </c>
      <c r="R531" s="52">
        <f ca="1">Log_2018[[#This Row],[Amount]]/Log_2018[[#This Row],[Split_raw]]*MAX(0,MIN(_xlfn.DAYS(EDATE(R$1,1),Log_2018[[#This Row],[Date]]),Log_2018[[#This Row],[Split_apply]])) - SUM($O531:Q531)</f>
        <v>0</v>
      </c>
      <c r="S531" s="52">
        <f ca="1">Log_2018[[#This Row],[Amount]]/Log_2018[[#This Row],[Split_raw]]*MAX(0,MIN(_xlfn.DAYS(EDATE(S$1,1),Log_2018[[#This Row],[Date]]),Log_2018[[#This Row],[Split_apply]])) - SUM($O531:R531)</f>
        <v>-10.07</v>
      </c>
      <c r="T531" s="52">
        <f ca="1">Log_2018[[#This Row],[Amount]]/Log_2018[[#This Row],[Split_raw]]*MAX(0,MIN(_xlfn.DAYS(EDATE(T$1,1),Log_2018[[#This Row],[Date]]),Log_2018[[#This Row],[Split_apply]])) - SUM($O531:S531)</f>
        <v>0</v>
      </c>
      <c r="U531" s="52">
        <f ca="1">Log_2018[[#This Row],[Amount]]/Log_2018[[#This Row],[Split_raw]]*MAX(0,MIN(_xlfn.DAYS(EDATE(U$1,1),Log_2018[[#This Row],[Date]]),Log_2018[[#This Row],[Split_apply]])) - SUM($O531:T531)</f>
        <v>0</v>
      </c>
      <c r="V531" s="52">
        <f ca="1">Log_2018[[#This Row],[Amount]]/Log_2018[[#This Row],[Split_raw]]*MAX(0,MIN(_xlfn.DAYS(EDATE(V$1,1),Log_2018[[#This Row],[Date]]),Log_2018[[#This Row],[Split_apply]])) - SUM($O531:U531)</f>
        <v>0</v>
      </c>
      <c r="W531" s="52">
        <f ca="1">Log_2018[[#This Row],[Amount]]/Log_2018[[#This Row],[Split_raw]]*MAX(0,MIN(_xlfn.DAYS(EDATE(W$1,1),Log_2018[[#This Row],[Date]]),Log_2018[[#This Row],[Split_apply]])) - SUM($O531:V531)</f>
        <v>0</v>
      </c>
      <c r="X531" s="52">
        <f ca="1">Log_2018[[#This Row],[Amount]]/Log_2018[[#This Row],[Split_raw]]*MAX(0,MIN(_xlfn.DAYS(EDATE(X$1,1),Log_2018[[#This Row],[Date]]),Log_2018[[#This Row],[Split_apply]])) - SUM($O531:W531)</f>
        <v>0</v>
      </c>
      <c r="Y531" s="52">
        <f ca="1">Log_2018[[#This Row],[Amount]]/Log_2018[[#This Row],[Split_raw]]*MAX(0,MIN(_xlfn.DAYS(EDATE(Y$1,1),Log_2018[[#This Row],[Date]]),Log_2018[[#This Row],[Split_apply]])) - SUM($O531:X531)</f>
        <v>0</v>
      </c>
      <c r="Z531" s="52">
        <f ca="1">Log_2018[[#This Row],[Amount]]/Log_2018[[#This Row],[Split_raw]]*MAX(0,MIN(_xlfn.DAYS(EDATE(Z$1,1),Log_2018[[#This Row],[Date]]),Log_2018[[#This Row],[Split_apply]])) - SUM($O531:Y531)</f>
        <v>0</v>
      </c>
      <c r="AA531" s="52">
        <f ca="1">Log_2018[[#This Row],[Amount]]/Log_2018[[#This Row],[Split_raw]]*MAX(0,MIN(_xlfn.DAYS(EDATE(AA$1,1),Log_2018[[#This Row],[Date]]),Log_2018[[#This Row],[Split_apply]])) - SUM($O531:Z531)</f>
        <v>0</v>
      </c>
      <c r="AB531" s="54">
        <f ca="1">Log_2018[[#This Row],[Amount]]-SUM(O531:AA531)</f>
        <v>0</v>
      </c>
      <c r="AC531" s="7">
        <f ca="1">MAX(0,Log_2018[[#This Row],[Split_apply]] - (EDATE(AA$1,1)-Log_2018[[#This Row],[Date]]))</f>
        <v>0</v>
      </c>
    </row>
    <row r="532" spans="1:29" hidden="1" x14ac:dyDescent="0.25">
      <c r="A532" s="115"/>
      <c r="B532" t="s">
        <v>6</v>
      </c>
      <c r="D532" s="39">
        <v>43214</v>
      </c>
      <c r="F532" t="s">
        <v>67</v>
      </c>
      <c r="G532" t="s">
        <v>25</v>
      </c>
      <c r="H532" s="3">
        <v>-22.98</v>
      </c>
      <c r="I532" s="36">
        <f>IF(Log_2018[[#This Row],[My Category]]="NONTRACKED",0,Log_2018[[#This Row],[Raw Amount]])</f>
        <v>-22.98</v>
      </c>
      <c r="J532" s="17">
        <f>ABS(Log_2018[[#This Row],[Amount]])</f>
        <v>22.98</v>
      </c>
      <c r="K532" s="66">
        <v>1</v>
      </c>
      <c r="L532" s="66">
        <f ca="1">IF(Log_2018[[#This Row],[Date]]&lt;=TODAY(), MIN(Log_2018[[#This Row],[Split_raw]], TODAY()-Log_2018[[#This Row],[Date]]+1), 0)</f>
        <v>1</v>
      </c>
      <c r="M532" t="s">
        <v>52</v>
      </c>
      <c r="N532" t="s">
        <v>158</v>
      </c>
      <c r="O532" s="50">
        <v>0</v>
      </c>
      <c r="P532" s="52">
        <f ca="1">Log_2018[[#This Row],[Amount]]/Log_2018[[#This Row],[Split_raw]]*MAX(0,MIN(_xlfn.DAYS(EDATE(P$1,1),Log_2018[[#This Row],[Date]]),Log_2018[[#This Row],[Split_apply]])) - SUM($O532:O532)</f>
        <v>0</v>
      </c>
      <c r="Q532" s="52">
        <f ca="1">Log_2018[[#This Row],[Amount]]/Log_2018[[#This Row],[Split_raw]]*MAX(0,MIN(_xlfn.DAYS(EDATE(Q$1,1),Log_2018[[#This Row],[Date]]),Log_2018[[#This Row],[Split_apply]])) - SUM($O532:P532)</f>
        <v>0</v>
      </c>
      <c r="R532" s="52">
        <f ca="1">Log_2018[[#This Row],[Amount]]/Log_2018[[#This Row],[Split_raw]]*MAX(0,MIN(_xlfn.DAYS(EDATE(R$1,1),Log_2018[[#This Row],[Date]]),Log_2018[[#This Row],[Split_apply]])) - SUM($O532:Q532)</f>
        <v>0</v>
      </c>
      <c r="S532" s="52">
        <f ca="1">Log_2018[[#This Row],[Amount]]/Log_2018[[#This Row],[Split_raw]]*MAX(0,MIN(_xlfn.DAYS(EDATE(S$1,1),Log_2018[[#This Row],[Date]]),Log_2018[[#This Row],[Split_apply]])) - SUM($O532:R532)</f>
        <v>-22.98</v>
      </c>
      <c r="T532" s="52">
        <f ca="1">Log_2018[[#This Row],[Amount]]/Log_2018[[#This Row],[Split_raw]]*MAX(0,MIN(_xlfn.DAYS(EDATE(T$1,1),Log_2018[[#This Row],[Date]]),Log_2018[[#This Row],[Split_apply]])) - SUM($O532:S532)</f>
        <v>0</v>
      </c>
      <c r="U532" s="52">
        <f ca="1">Log_2018[[#This Row],[Amount]]/Log_2018[[#This Row],[Split_raw]]*MAX(0,MIN(_xlfn.DAYS(EDATE(U$1,1),Log_2018[[#This Row],[Date]]),Log_2018[[#This Row],[Split_apply]])) - SUM($O532:T532)</f>
        <v>0</v>
      </c>
      <c r="V532" s="52">
        <f ca="1">Log_2018[[#This Row],[Amount]]/Log_2018[[#This Row],[Split_raw]]*MAX(0,MIN(_xlfn.DAYS(EDATE(V$1,1),Log_2018[[#This Row],[Date]]),Log_2018[[#This Row],[Split_apply]])) - SUM($O532:U532)</f>
        <v>0</v>
      </c>
      <c r="W532" s="52">
        <f ca="1">Log_2018[[#This Row],[Amount]]/Log_2018[[#This Row],[Split_raw]]*MAX(0,MIN(_xlfn.DAYS(EDATE(W$1,1),Log_2018[[#This Row],[Date]]),Log_2018[[#This Row],[Split_apply]])) - SUM($O532:V532)</f>
        <v>0</v>
      </c>
      <c r="X532" s="52">
        <f ca="1">Log_2018[[#This Row],[Amount]]/Log_2018[[#This Row],[Split_raw]]*MAX(0,MIN(_xlfn.DAYS(EDATE(X$1,1),Log_2018[[#This Row],[Date]]),Log_2018[[#This Row],[Split_apply]])) - SUM($O532:W532)</f>
        <v>0</v>
      </c>
      <c r="Y532" s="52">
        <f ca="1">Log_2018[[#This Row],[Amount]]/Log_2018[[#This Row],[Split_raw]]*MAX(0,MIN(_xlfn.DAYS(EDATE(Y$1,1),Log_2018[[#This Row],[Date]]),Log_2018[[#This Row],[Split_apply]])) - SUM($O532:X532)</f>
        <v>0</v>
      </c>
      <c r="Z532" s="52">
        <f ca="1">Log_2018[[#This Row],[Amount]]/Log_2018[[#This Row],[Split_raw]]*MAX(0,MIN(_xlfn.DAYS(EDATE(Z$1,1),Log_2018[[#This Row],[Date]]),Log_2018[[#This Row],[Split_apply]])) - SUM($O532:Y532)</f>
        <v>0</v>
      </c>
      <c r="AA532" s="52">
        <f ca="1">Log_2018[[#This Row],[Amount]]/Log_2018[[#This Row],[Split_raw]]*MAX(0,MIN(_xlfn.DAYS(EDATE(AA$1,1),Log_2018[[#This Row],[Date]]),Log_2018[[#This Row],[Split_apply]])) - SUM($O532:Z532)</f>
        <v>0</v>
      </c>
      <c r="AB532" s="54">
        <f ca="1">Log_2018[[#This Row],[Amount]]-SUM(O532:AA532)</f>
        <v>0</v>
      </c>
      <c r="AC532" s="7">
        <f ca="1">MAX(0,Log_2018[[#This Row],[Split_apply]] - (EDATE(AA$1,1)-Log_2018[[#This Row],[Date]]))</f>
        <v>0</v>
      </c>
    </row>
    <row r="533" spans="1:29" hidden="1" x14ac:dyDescent="0.25">
      <c r="A533" s="115"/>
      <c r="B533" t="s">
        <v>6</v>
      </c>
      <c r="D533" s="39">
        <v>43213</v>
      </c>
      <c r="F533" t="s">
        <v>59</v>
      </c>
      <c r="G533" t="s">
        <v>25</v>
      </c>
      <c r="H533" s="3">
        <v>-7.94</v>
      </c>
      <c r="I533" s="36">
        <f>IF(Log_2018[[#This Row],[My Category]]="NONTRACKED",0,Log_2018[[#This Row],[Raw Amount]])</f>
        <v>-7.94</v>
      </c>
      <c r="J533" s="17">
        <f>ABS(Log_2018[[#This Row],[Amount]])</f>
        <v>7.94</v>
      </c>
      <c r="K533" s="66">
        <v>1</v>
      </c>
      <c r="L533" s="66">
        <f ca="1">IF(Log_2018[[#This Row],[Date]]&lt;=TODAY(), MIN(Log_2018[[#This Row],[Split_raw]], TODAY()-Log_2018[[#This Row],[Date]]+1), 0)</f>
        <v>1</v>
      </c>
      <c r="M533" t="s">
        <v>35</v>
      </c>
      <c r="N533" t="s">
        <v>158</v>
      </c>
      <c r="O533" s="50">
        <v>0</v>
      </c>
      <c r="P533" s="52">
        <f ca="1">Log_2018[[#This Row],[Amount]]/Log_2018[[#This Row],[Split_raw]]*MAX(0,MIN(_xlfn.DAYS(EDATE(P$1,1),Log_2018[[#This Row],[Date]]),Log_2018[[#This Row],[Split_apply]])) - SUM($O533:O533)</f>
        <v>0</v>
      </c>
      <c r="Q533" s="52">
        <f ca="1">Log_2018[[#This Row],[Amount]]/Log_2018[[#This Row],[Split_raw]]*MAX(0,MIN(_xlfn.DAYS(EDATE(Q$1,1),Log_2018[[#This Row],[Date]]),Log_2018[[#This Row],[Split_apply]])) - SUM($O533:P533)</f>
        <v>0</v>
      </c>
      <c r="R533" s="52">
        <f ca="1">Log_2018[[#This Row],[Amount]]/Log_2018[[#This Row],[Split_raw]]*MAX(0,MIN(_xlfn.DAYS(EDATE(R$1,1),Log_2018[[#This Row],[Date]]),Log_2018[[#This Row],[Split_apply]])) - SUM($O533:Q533)</f>
        <v>0</v>
      </c>
      <c r="S533" s="52">
        <f ca="1">Log_2018[[#This Row],[Amount]]/Log_2018[[#This Row],[Split_raw]]*MAX(0,MIN(_xlfn.DAYS(EDATE(S$1,1),Log_2018[[#This Row],[Date]]),Log_2018[[#This Row],[Split_apply]])) - SUM($O533:R533)</f>
        <v>-7.94</v>
      </c>
      <c r="T533" s="52">
        <f ca="1">Log_2018[[#This Row],[Amount]]/Log_2018[[#This Row],[Split_raw]]*MAX(0,MIN(_xlfn.DAYS(EDATE(T$1,1),Log_2018[[#This Row],[Date]]),Log_2018[[#This Row],[Split_apply]])) - SUM($O533:S533)</f>
        <v>0</v>
      </c>
      <c r="U533" s="52">
        <f ca="1">Log_2018[[#This Row],[Amount]]/Log_2018[[#This Row],[Split_raw]]*MAX(0,MIN(_xlfn.DAYS(EDATE(U$1,1),Log_2018[[#This Row],[Date]]),Log_2018[[#This Row],[Split_apply]])) - SUM($O533:T533)</f>
        <v>0</v>
      </c>
      <c r="V533" s="52">
        <f ca="1">Log_2018[[#This Row],[Amount]]/Log_2018[[#This Row],[Split_raw]]*MAX(0,MIN(_xlfn.DAYS(EDATE(V$1,1),Log_2018[[#This Row],[Date]]),Log_2018[[#This Row],[Split_apply]])) - SUM($O533:U533)</f>
        <v>0</v>
      </c>
      <c r="W533" s="52">
        <f ca="1">Log_2018[[#This Row],[Amount]]/Log_2018[[#This Row],[Split_raw]]*MAX(0,MIN(_xlfn.DAYS(EDATE(W$1,1),Log_2018[[#This Row],[Date]]),Log_2018[[#This Row],[Split_apply]])) - SUM($O533:V533)</f>
        <v>0</v>
      </c>
      <c r="X533" s="52">
        <f ca="1">Log_2018[[#This Row],[Amount]]/Log_2018[[#This Row],[Split_raw]]*MAX(0,MIN(_xlfn.DAYS(EDATE(X$1,1),Log_2018[[#This Row],[Date]]),Log_2018[[#This Row],[Split_apply]])) - SUM($O533:W533)</f>
        <v>0</v>
      </c>
      <c r="Y533" s="52">
        <f ca="1">Log_2018[[#This Row],[Amount]]/Log_2018[[#This Row],[Split_raw]]*MAX(0,MIN(_xlfn.DAYS(EDATE(Y$1,1),Log_2018[[#This Row],[Date]]),Log_2018[[#This Row],[Split_apply]])) - SUM($O533:X533)</f>
        <v>0</v>
      </c>
      <c r="Z533" s="52">
        <f ca="1">Log_2018[[#This Row],[Amount]]/Log_2018[[#This Row],[Split_raw]]*MAX(0,MIN(_xlfn.DAYS(EDATE(Z$1,1),Log_2018[[#This Row],[Date]]),Log_2018[[#This Row],[Split_apply]])) - SUM($O533:Y533)</f>
        <v>0</v>
      </c>
      <c r="AA533" s="52">
        <f ca="1">Log_2018[[#This Row],[Amount]]/Log_2018[[#This Row],[Split_raw]]*MAX(0,MIN(_xlfn.DAYS(EDATE(AA$1,1),Log_2018[[#This Row],[Date]]),Log_2018[[#This Row],[Split_apply]])) - SUM($O533:Z533)</f>
        <v>0</v>
      </c>
      <c r="AB533" s="54">
        <f ca="1">Log_2018[[#This Row],[Amount]]-SUM(O533:AA533)</f>
        <v>0</v>
      </c>
      <c r="AC533" s="7">
        <f ca="1">MAX(0,Log_2018[[#This Row],[Split_apply]] - (EDATE(AA$1,1)-Log_2018[[#This Row],[Date]]))</f>
        <v>0</v>
      </c>
    </row>
    <row r="534" spans="1:29" hidden="1" x14ac:dyDescent="0.25">
      <c r="A534" s="115"/>
      <c r="B534" t="s">
        <v>6</v>
      </c>
      <c r="D534" s="39">
        <v>43210</v>
      </c>
      <c r="F534" t="s">
        <v>59</v>
      </c>
      <c r="G534" t="s">
        <v>25</v>
      </c>
      <c r="H534" s="3">
        <v>-7.94</v>
      </c>
      <c r="I534" s="36">
        <f>IF(Log_2018[[#This Row],[My Category]]="NONTRACKED",0,Log_2018[[#This Row],[Raw Amount]])</f>
        <v>-7.94</v>
      </c>
      <c r="J534" s="17">
        <f>ABS(Log_2018[[#This Row],[Amount]])</f>
        <v>7.94</v>
      </c>
      <c r="K534" s="66">
        <v>1</v>
      </c>
      <c r="L534" s="66">
        <f ca="1">IF(Log_2018[[#This Row],[Date]]&lt;=TODAY(), MIN(Log_2018[[#This Row],[Split_raw]], TODAY()-Log_2018[[#This Row],[Date]]+1), 0)</f>
        <v>1</v>
      </c>
      <c r="M534" t="s">
        <v>35</v>
      </c>
      <c r="N534" t="s">
        <v>158</v>
      </c>
      <c r="O534" s="50">
        <v>0</v>
      </c>
      <c r="P534" s="52">
        <f ca="1">Log_2018[[#This Row],[Amount]]/Log_2018[[#This Row],[Split_raw]]*MAX(0,MIN(_xlfn.DAYS(EDATE(P$1,1),Log_2018[[#This Row],[Date]]),Log_2018[[#This Row],[Split_apply]])) - SUM($O534:O534)</f>
        <v>0</v>
      </c>
      <c r="Q534" s="52">
        <f ca="1">Log_2018[[#This Row],[Amount]]/Log_2018[[#This Row],[Split_raw]]*MAX(0,MIN(_xlfn.DAYS(EDATE(Q$1,1),Log_2018[[#This Row],[Date]]),Log_2018[[#This Row],[Split_apply]])) - SUM($O534:P534)</f>
        <v>0</v>
      </c>
      <c r="R534" s="52">
        <f ca="1">Log_2018[[#This Row],[Amount]]/Log_2018[[#This Row],[Split_raw]]*MAX(0,MIN(_xlfn.DAYS(EDATE(R$1,1),Log_2018[[#This Row],[Date]]),Log_2018[[#This Row],[Split_apply]])) - SUM($O534:Q534)</f>
        <v>0</v>
      </c>
      <c r="S534" s="52">
        <f ca="1">Log_2018[[#This Row],[Amount]]/Log_2018[[#This Row],[Split_raw]]*MAX(0,MIN(_xlfn.DAYS(EDATE(S$1,1),Log_2018[[#This Row],[Date]]),Log_2018[[#This Row],[Split_apply]])) - SUM($O534:R534)</f>
        <v>-7.94</v>
      </c>
      <c r="T534" s="52">
        <f ca="1">Log_2018[[#This Row],[Amount]]/Log_2018[[#This Row],[Split_raw]]*MAX(0,MIN(_xlfn.DAYS(EDATE(T$1,1),Log_2018[[#This Row],[Date]]),Log_2018[[#This Row],[Split_apply]])) - SUM($O534:S534)</f>
        <v>0</v>
      </c>
      <c r="U534" s="52">
        <f ca="1">Log_2018[[#This Row],[Amount]]/Log_2018[[#This Row],[Split_raw]]*MAX(0,MIN(_xlfn.DAYS(EDATE(U$1,1),Log_2018[[#This Row],[Date]]),Log_2018[[#This Row],[Split_apply]])) - SUM($O534:T534)</f>
        <v>0</v>
      </c>
      <c r="V534" s="52">
        <f ca="1">Log_2018[[#This Row],[Amount]]/Log_2018[[#This Row],[Split_raw]]*MAX(0,MIN(_xlfn.DAYS(EDATE(V$1,1),Log_2018[[#This Row],[Date]]),Log_2018[[#This Row],[Split_apply]])) - SUM($O534:U534)</f>
        <v>0</v>
      </c>
      <c r="W534" s="52">
        <f ca="1">Log_2018[[#This Row],[Amount]]/Log_2018[[#This Row],[Split_raw]]*MAX(0,MIN(_xlfn.DAYS(EDATE(W$1,1),Log_2018[[#This Row],[Date]]),Log_2018[[#This Row],[Split_apply]])) - SUM($O534:V534)</f>
        <v>0</v>
      </c>
      <c r="X534" s="52">
        <f ca="1">Log_2018[[#This Row],[Amount]]/Log_2018[[#This Row],[Split_raw]]*MAX(0,MIN(_xlfn.DAYS(EDATE(X$1,1),Log_2018[[#This Row],[Date]]),Log_2018[[#This Row],[Split_apply]])) - SUM($O534:W534)</f>
        <v>0</v>
      </c>
      <c r="Y534" s="52">
        <f ca="1">Log_2018[[#This Row],[Amount]]/Log_2018[[#This Row],[Split_raw]]*MAX(0,MIN(_xlfn.DAYS(EDATE(Y$1,1),Log_2018[[#This Row],[Date]]),Log_2018[[#This Row],[Split_apply]])) - SUM($O534:X534)</f>
        <v>0</v>
      </c>
      <c r="Z534" s="52">
        <f ca="1">Log_2018[[#This Row],[Amount]]/Log_2018[[#This Row],[Split_raw]]*MAX(0,MIN(_xlfn.DAYS(EDATE(Z$1,1),Log_2018[[#This Row],[Date]]),Log_2018[[#This Row],[Split_apply]])) - SUM($O534:Y534)</f>
        <v>0</v>
      </c>
      <c r="AA534" s="52">
        <f ca="1">Log_2018[[#This Row],[Amount]]/Log_2018[[#This Row],[Split_raw]]*MAX(0,MIN(_xlfn.DAYS(EDATE(AA$1,1),Log_2018[[#This Row],[Date]]),Log_2018[[#This Row],[Split_apply]])) - SUM($O534:Z534)</f>
        <v>0</v>
      </c>
      <c r="AB534" s="54">
        <f ca="1">Log_2018[[#This Row],[Amount]]-SUM(O534:AA534)</f>
        <v>0</v>
      </c>
      <c r="AC534" s="7">
        <f ca="1">MAX(0,Log_2018[[#This Row],[Split_apply]] - (EDATE(AA$1,1)-Log_2018[[#This Row],[Date]]))</f>
        <v>0</v>
      </c>
    </row>
    <row r="535" spans="1:29" hidden="1" x14ac:dyDescent="0.25">
      <c r="A535" s="115"/>
      <c r="B535" t="s">
        <v>6</v>
      </c>
      <c r="D535" s="39">
        <v>43209</v>
      </c>
      <c r="F535" t="s">
        <v>184</v>
      </c>
      <c r="G535" t="s">
        <v>11</v>
      </c>
      <c r="H535" s="3">
        <v>-16.2</v>
      </c>
      <c r="I535" s="36">
        <f>IF(Log_2018[[#This Row],[My Category]]="NONTRACKED",0,Log_2018[[#This Row],[Raw Amount]])</f>
        <v>-16.2</v>
      </c>
      <c r="J535" s="17">
        <f>ABS(Log_2018[[#This Row],[Amount]])</f>
        <v>16.2</v>
      </c>
      <c r="K535" s="66">
        <v>1</v>
      </c>
      <c r="L535" s="66">
        <f ca="1">IF(Log_2018[[#This Row],[Date]]&lt;=TODAY(), MIN(Log_2018[[#This Row],[Split_raw]], TODAY()-Log_2018[[#This Row],[Date]]+1), 0)</f>
        <v>1</v>
      </c>
      <c r="M535" t="s">
        <v>12</v>
      </c>
      <c r="N535" t="s">
        <v>158</v>
      </c>
      <c r="O535" s="50">
        <v>0</v>
      </c>
      <c r="P535" s="52">
        <f ca="1">Log_2018[[#This Row],[Amount]]/Log_2018[[#This Row],[Split_raw]]*MAX(0,MIN(_xlfn.DAYS(EDATE(P$1,1),Log_2018[[#This Row],[Date]]),Log_2018[[#This Row],[Split_apply]])) - SUM($O535:O535)</f>
        <v>0</v>
      </c>
      <c r="Q535" s="52">
        <f ca="1">Log_2018[[#This Row],[Amount]]/Log_2018[[#This Row],[Split_raw]]*MAX(0,MIN(_xlfn.DAYS(EDATE(Q$1,1),Log_2018[[#This Row],[Date]]),Log_2018[[#This Row],[Split_apply]])) - SUM($O535:P535)</f>
        <v>0</v>
      </c>
      <c r="R535" s="52">
        <f ca="1">Log_2018[[#This Row],[Amount]]/Log_2018[[#This Row],[Split_raw]]*MAX(0,MIN(_xlfn.DAYS(EDATE(R$1,1),Log_2018[[#This Row],[Date]]),Log_2018[[#This Row],[Split_apply]])) - SUM($O535:Q535)</f>
        <v>0</v>
      </c>
      <c r="S535" s="52">
        <f ca="1">Log_2018[[#This Row],[Amount]]/Log_2018[[#This Row],[Split_raw]]*MAX(0,MIN(_xlfn.DAYS(EDATE(S$1,1),Log_2018[[#This Row],[Date]]),Log_2018[[#This Row],[Split_apply]])) - SUM($O535:R535)</f>
        <v>-16.2</v>
      </c>
      <c r="T535" s="52">
        <f ca="1">Log_2018[[#This Row],[Amount]]/Log_2018[[#This Row],[Split_raw]]*MAX(0,MIN(_xlfn.DAYS(EDATE(T$1,1),Log_2018[[#This Row],[Date]]),Log_2018[[#This Row],[Split_apply]])) - SUM($O535:S535)</f>
        <v>0</v>
      </c>
      <c r="U535" s="52">
        <f ca="1">Log_2018[[#This Row],[Amount]]/Log_2018[[#This Row],[Split_raw]]*MAX(0,MIN(_xlfn.DAYS(EDATE(U$1,1),Log_2018[[#This Row],[Date]]),Log_2018[[#This Row],[Split_apply]])) - SUM($O535:T535)</f>
        <v>0</v>
      </c>
      <c r="V535" s="52">
        <f ca="1">Log_2018[[#This Row],[Amount]]/Log_2018[[#This Row],[Split_raw]]*MAX(0,MIN(_xlfn.DAYS(EDATE(V$1,1),Log_2018[[#This Row],[Date]]),Log_2018[[#This Row],[Split_apply]])) - SUM($O535:U535)</f>
        <v>0</v>
      </c>
      <c r="W535" s="52">
        <f ca="1">Log_2018[[#This Row],[Amount]]/Log_2018[[#This Row],[Split_raw]]*MAX(0,MIN(_xlfn.DAYS(EDATE(W$1,1),Log_2018[[#This Row],[Date]]),Log_2018[[#This Row],[Split_apply]])) - SUM($O535:V535)</f>
        <v>0</v>
      </c>
      <c r="X535" s="52">
        <f ca="1">Log_2018[[#This Row],[Amount]]/Log_2018[[#This Row],[Split_raw]]*MAX(0,MIN(_xlfn.DAYS(EDATE(X$1,1),Log_2018[[#This Row],[Date]]),Log_2018[[#This Row],[Split_apply]])) - SUM($O535:W535)</f>
        <v>0</v>
      </c>
      <c r="Y535" s="52">
        <f ca="1">Log_2018[[#This Row],[Amount]]/Log_2018[[#This Row],[Split_raw]]*MAX(0,MIN(_xlfn.DAYS(EDATE(Y$1,1),Log_2018[[#This Row],[Date]]),Log_2018[[#This Row],[Split_apply]])) - SUM($O535:X535)</f>
        <v>0</v>
      </c>
      <c r="Z535" s="52">
        <f ca="1">Log_2018[[#This Row],[Amount]]/Log_2018[[#This Row],[Split_raw]]*MAX(0,MIN(_xlfn.DAYS(EDATE(Z$1,1),Log_2018[[#This Row],[Date]]),Log_2018[[#This Row],[Split_apply]])) - SUM($O535:Y535)</f>
        <v>0</v>
      </c>
      <c r="AA535" s="52">
        <f ca="1">Log_2018[[#This Row],[Amount]]/Log_2018[[#This Row],[Split_raw]]*MAX(0,MIN(_xlfn.DAYS(EDATE(AA$1,1),Log_2018[[#This Row],[Date]]),Log_2018[[#This Row],[Split_apply]])) - SUM($O535:Z535)</f>
        <v>0</v>
      </c>
      <c r="AB535" s="54">
        <f ca="1">Log_2018[[#This Row],[Amount]]-SUM(O535:AA535)</f>
        <v>0</v>
      </c>
      <c r="AC535" s="7">
        <f ca="1">MAX(0,Log_2018[[#This Row],[Split_apply]] - (EDATE(AA$1,1)-Log_2018[[#This Row],[Date]]))</f>
        <v>0</v>
      </c>
    </row>
    <row r="536" spans="1:29" hidden="1" x14ac:dyDescent="0.25">
      <c r="A536" s="115"/>
      <c r="B536" t="s">
        <v>6</v>
      </c>
      <c r="D536" s="39">
        <v>43209</v>
      </c>
      <c r="F536" t="s">
        <v>59</v>
      </c>
      <c r="G536" t="s">
        <v>25</v>
      </c>
      <c r="H536" s="3">
        <v>-7.94</v>
      </c>
      <c r="I536" s="36">
        <f>IF(Log_2018[[#This Row],[My Category]]="NONTRACKED",0,Log_2018[[#This Row],[Raw Amount]])</f>
        <v>-7.94</v>
      </c>
      <c r="J536" s="17">
        <f>ABS(Log_2018[[#This Row],[Amount]])</f>
        <v>7.94</v>
      </c>
      <c r="K536" s="66">
        <v>1</v>
      </c>
      <c r="L536" s="66">
        <f ca="1">IF(Log_2018[[#This Row],[Date]]&lt;=TODAY(), MIN(Log_2018[[#This Row],[Split_raw]], TODAY()-Log_2018[[#This Row],[Date]]+1), 0)</f>
        <v>1</v>
      </c>
      <c r="M536" t="s">
        <v>35</v>
      </c>
      <c r="N536" t="s">
        <v>158</v>
      </c>
      <c r="O536" s="50">
        <v>0</v>
      </c>
      <c r="P536" s="52">
        <f ca="1">Log_2018[[#This Row],[Amount]]/Log_2018[[#This Row],[Split_raw]]*MAX(0,MIN(_xlfn.DAYS(EDATE(P$1,1),Log_2018[[#This Row],[Date]]),Log_2018[[#This Row],[Split_apply]])) - SUM($O536:O536)</f>
        <v>0</v>
      </c>
      <c r="Q536" s="52">
        <f ca="1">Log_2018[[#This Row],[Amount]]/Log_2018[[#This Row],[Split_raw]]*MAX(0,MIN(_xlfn.DAYS(EDATE(Q$1,1),Log_2018[[#This Row],[Date]]),Log_2018[[#This Row],[Split_apply]])) - SUM($O536:P536)</f>
        <v>0</v>
      </c>
      <c r="R536" s="52">
        <f ca="1">Log_2018[[#This Row],[Amount]]/Log_2018[[#This Row],[Split_raw]]*MAX(0,MIN(_xlfn.DAYS(EDATE(R$1,1),Log_2018[[#This Row],[Date]]),Log_2018[[#This Row],[Split_apply]])) - SUM($O536:Q536)</f>
        <v>0</v>
      </c>
      <c r="S536" s="52">
        <f ca="1">Log_2018[[#This Row],[Amount]]/Log_2018[[#This Row],[Split_raw]]*MAX(0,MIN(_xlfn.DAYS(EDATE(S$1,1),Log_2018[[#This Row],[Date]]),Log_2018[[#This Row],[Split_apply]])) - SUM($O536:R536)</f>
        <v>-7.94</v>
      </c>
      <c r="T536" s="52">
        <f ca="1">Log_2018[[#This Row],[Amount]]/Log_2018[[#This Row],[Split_raw]]*MAX(0,MIN(_xlfn.DAYS(EDATE(T$1,1),Log_2018[[#This Row],[Date]]),Log_2018[[#This Row],[Split_apply]])) - SUM($O536:S536)</f>
        <v>0</v>
      </c>
      <c r="U536" s="52">
        <f ca="1">Log_2018[[#This Row],[Amount]]/Log_2018[[#This Row],[Split_raw]]*MAX(0,MIN(_xlfn.DAYS(EDATE(U$1,1),Log_2018[[#This Row],[Date]]),Log_2018[[#This Row],[Split_apply]])) - SUM($O536:T536)</f>
        <v>0</v>
      </c>
      <c r="V536" s="52">
        <f ca="1">Log_2018[[#This Row],[Amount]]/Log_2018[[#This Row],[Split_raw]]*MAX(0,MIN(_xlfn.DAYS(EDATE(V$1,1),Log_2018[[#This Row],[Date]]),Log_2018[[#This Row],[Split_apply]])) - SUM($O536:U536)</f>
        <v>0</v>
      </c>
      <c r="W536" s="52">
        <f ca="1">Log_2018[[#This Row],[Amount]]/Log_2018[[#This Row],[Split_raw]]*MAX(0,MIN(_xlfn.DAYS(EDATE(W$1,1),Log_2018[[#This Row],[Date]]),Log_2018[[#This Row],[Split_apply]])) - SUM($O536:V536)</f>
        <v>0</v>
      </c>
      <c r="X536" s="52">
        <f ca="1">Log_2018[[#This Row],[Amount]]/Log_2018[[#This Row],[Split_raw]]*MAX(0,MIN(_xlfn.DAYS(EDATE(X$1,1),Log_2018[[#This Row],[Date]]),Log_2018[[#This Row],[Split_apply]])) - SUM($O536:W536)</f>
        <v>0</v>
      </c>
      <c r="Y536" s="52">
        <f ca="1">Log_2018[[#This Row],[Amount]]/Log_2018[[#This Row],[Split_raw]]*MAX(0,MIN(_xlfn.DAYS(EDATE(Y$1,1),Log_2018[[#This Row],[Date]]),Log_2018[[#This Row],[Split_apply]])) - SUM($O536:X536)</f>
        <v>0</v>
      </c>
      <c r="Z536" s="52">
        <f ca="1">Log_2018[[#This Row],[Amount]]/Log_2018[[#This Row],[Split_raw]]*MAX(0,MIN(_xlfn.DAYS(EDATE(Z$1,1),Log_2018[[#This Row],[Date]]),Log_2018[[#This Row],[Split_apply]])) - SUM($O536:Y536)</f>
        <v>0</v>
      </c>
      <c r="AA536" s="52">
        <f ca="1">Log_2018[[#This Row],[Amount]]/Log_2018[[#This Row],[Split_raw]]*MAX(0,MIN(_xlfn.DAYS(EDATE(AA$1,1),Log_2018[[#This Row],[Date]]),Log_2018[[#This Row],[Split_apply]])) - SUM($O536:Z536)</f>
        <v>0</v>
      </c>
      <c r="AB536" s="54">
        <f ca="1">Log_2018[[#This Row],[Amount]]-SUM(O536:AA536)</f>
        <v>0</v>
      </c>
      <c r="AC536" s="7">
        <f ca="1">MAX(0,Log_2018[[#This Row],[Split_apply]] - (EDATE(AA$1,1)-Log_2018[[#This Row],[Date]]))</f>
        <v>0</v>
      </c>
    </row>
    <row r="537" spans="1:29" hidden="1" x14ac:dyDescent="0.25">
      <c r="A537" s="115"/>
      <c r="B537" t="s">
        <v>6</v>
      </c>
      <c r="D537" s="39">
        <v>43208</v>
      </c>
      <c r="F537" t="s">
        <v>59</v>
      </c>
      <c r="G537" t="s">
        <v>25</v>
      </c>
      <c r="H537" s="3">
        <v>-7.94</v>
      </c>
      <c r="I537" s="36">
        <f>IF(Log_2018[[#This Row],[My Category]]="NONTRACKED",0,Log_2018[[#This Row],[Raw Amount]])</f>
        <v>-7.94</v>
      </c>
      <c r="J537" s="17">
        <f>ABS(Log_2018[[#This Row],[Amount]])</f>
        <v>7.94</v>
      </c>
      <c r="K537" s="66">
        <v>1</v>
      </c>
      <c r="L537" s="66">
        <f ca="1">IF(Log_2018[[#This Row],[Date]]&lt;=TODAY(), MIN(Log_2018[[#This Row],[Split_raw]], TODAY()-Log_2018[[#This Row],[Date]]+1), 0)</f>
        <v>1</v>
      </c>
      <c r="M537" t="s">
        <v>35</v>
      </c>
      <c r="N537" t="s">
        <v>158</v>
      </c>
      <c r="O537" s="50">
        <v>0</v>
      </c>
      <c r="P537" s="52">
        <f ca="1">Log_2018[[#This Row],[Amount]]/Log_2018[[#This Row],[Split_raw]]*MAX(0,MIN(_xlfn.DAYS(EDATE(P$1,1),Log_2018[[#This Row],[Date]]),Log_2018[[#This Row],[Split_apply]])) - SUM($O537:O537)</f>
        <v>0</v>
      </c>
      <c r="Q537" s="52">
        <f ca="1">Log_2018[[#This Row],[Amount]]/Log_2018[[#This Row],[Split_raw]]*MAX(0,MIN(_xlfn.DAYS(EDATE(Q$1,1),Log_2018[[#This Row],[Date]]),Log_2018[[#This Row],[Split_apply]])) - SUM($O537:P537)</f>
        <v>0</v>
      </c>
      <c r="R537" s="52">
        <f ca="1">Log_2018[[#This Row],[Amount]]/Log_2018[[#This Row],[Split_raw]]*MAX(0,MIN(_xlfn.DAYS(EDATE(R$1,1),Log_2018[[#This Row],[Date]]),Log_2018[[#This Row],[Split_apply]])) - SUM($O537:Q537)</f>
        <v>0</v>
      </c>
      <c r="S537" s="52">
        <f ca="1">Log_2018[[#This Row],[Amount]]/Log_2018[[#This Row],[Split_raw]]*MAX(0,MIN(_xlfn.DAYS(EDATE(S$1,1),Log_2018[[#This Row],[Date]]),Log_2018[[#This Row],[Split_apply]])) - SUM($O537:R537)</f>
        <v>-7.94</v>
      </c>
      <c r="T537" s="52">
        <f ca="1">Log_2018[[#This Row],[Amount]]/Log_2018[[#This Row],[Split_raw]]*MAX(0,MIN(_xlfn.DAYS(EDATE(T$1,1),Log_2018[[#This Row],[Date]]),Log_2018[[#This Row],[Split_apply]])) - SUM($O537:S537)</f>
        <v>0</v>
      </c>
      <c r="U537" s="52">
        <f ca="1">Log_2018[[#This Row],[Amount]]/Log_2018[[#This Row],[Split_raw]]*MAX(0,MIN(_xlfn.DAYS(EDATE(U$1,1),Log_2018[[#This Row],[Date]]),Log_2018[[#This Row],[Split_apply]])) - SUM($O537:T537)</f>
        <v>0</v>
      </c>
      <c r="V537" s="52">
        <f ca="1">Log_2018[[#This Row],[Amount]]/Log_2018[[#This Row],[Split_raw]]*MAX(0,MIN(_xlfn.DAYS(EDATE(V$1,1),Log_2018[[#This Row],[Date]]),Log_2018[[#This Row],[Split_apply]])) - SUM($O537:U537)</f>
        <v>0</v>
      </c>
      <c r="W537" s="52">
        <f ca="1">Log_2018[[#This Row],[Amount]]/Log_2018[[#This Row],[Split_raw]]*MAX(0,MIN(_xlfn.DAYS(EDATE(W$1,1),Log_2018[[#This Row],[Date]]),Log_2018[[#This Row],[Split_apply]])) - SUM($O537:V537)</f>
        <v>0</v>
      </c>
      <c r="X537" s="52">
        <f ca="1">Log_2018[[#This Row],[Amount]]/Log_2018[[#This Row],[Split_raw]]*MAX(0,MIN(_xlfn.DAYS(EDATE(X$1,1),Log_2018[[#This Row],[Date]]),Log_2018[[#This Row],[Split_apply]])) - SUM($O537:W537)</f>
        <v>0</v>
      </c>
      <c r="Y537" s="52">
        <f ca="1">Log_2018[[#This Row],[Amount]]/Log_2018[[#This Row],[Split_raw]]*MAX(0,MIN(_xlfn.DAYS(EDATE(Y$1,1),Log_2018[[#This Row],[Date]]),Log_2018[[#This Row],[Split_apply]])) - SUM($O537:X537)</f>
        <v>0</v>
      </c>
      <c r="Z537" s="52">
        <f ca="1">Log_2018[[#This Row],[Amount]]/Log_2018[[#This Row],[Split_raw]]*MAX(0,MIN(_xlfn.DAYS(EDATE(Z$1,1),Log_2018[[#This Row],[Date]]),Log_2018[[#This Row],[Split_apply]])) - SUM($O537:Y537)</f>
        <v>0</v>
      </c>
      <c r="AA537" s="52">
        <f ca="1">Log_2018[[#This Row],[Amount]]/Log_2018[[#This Row],[Split_raw]]*MAX(0,MIN(_xlfn.DAYS(EDATE(AA$1,1),Log_2018[[#This Row],[Date]]),Log_2018[[#This Row],[Split_apply]])) - SUM($O537:Z537)</f>
        <v>0</v>
      </c>
      <c r="AB537" s="54">
        <f ca="1">Log_2018[[#This Row],[Amount]]-SUM(O537:AA537)</f>
        <v>0</v>
      </c>
      <c r="AC537" s="7">
        <f ca="1">MAX(0,Log_2018[[#This Row],[Split_apply]] - (EDATE(AA$1,1)-Log_2018[[#This Row],[Date]]))</f>
        <v>0</v>
      </c>
    </row>
    <row r="538" spans="1:29" hidden="1" x14ac:dyDescent="0.25">
      <c r="A538" s="115"/>
      <c r="B538" t="s">
        <v>6</v>
      </c>
      <c r="D538" s="29">
        <v>43207</v>
      </c>
      <c r="E538" t="s">
        <v>231</v>
      </c>
      <c r="F538" t="s">
        <v>232</v>
      </c>
      <c r="G538" t="s">
        <v>36</v>
      </c>
      <c r="H538" s="3">
        <v>-40</v>
      </c>
      <c r="I538" s="36">
        <f>IF(Log_2018[[#This Row],[My Category]]="NONTRACKED",0,Log_2018[[#This Row],[Raw Amount]])</f>
        <v>-40</v>
      </c>
      <c r="J538" s="17">
        <f>ABS(Log_2018[[#This Row],[Amount]])</f>
        <v>40</v>
      </c>
      <c r="K538" s="66">
        <v>1</v>
      </c>
      <c r="L538" s="66">
        <f ca="1">IF(Log_2018[[#This Row],[Date]]&lt;=TODAY(), MIN(Log_2018[[#This Row],[Split_raw]], TODAY()-Log_2018[[#This Row],[Date]]+1), 0)</f>
        <v>1</v>
      </c>
      <c r="M538" t="s">
        <v>36</v>
      </c>
      <c r="N538" t="s">
        <v>160</v>
      </c>
      <c r="O538" s="50">
        <v>0</v>
      </c>
      <c r="P538" s="52">
        <f ca="1">Log_2018[[#This Row],[Amount]]/Log_2018[[#This Row],[Split_raw]]*MAX(0,MIN(_xlfn.DAYS(EDATE(P$1,1),Log_2018[[#This Row],[Date]]),Log_2018[[#This Row],[Split_apply]])) - SUM($O538:O538)</f>
        <v>0</v>
      </c>
      <c r="Q538" s="52">
        <f ca="1">Log_2018[[#This Row],[Amount]]/Log_2018[[#This Row],[Split_raw]]*MAX(0,MIN(_xlfn.DAYS(EDATE(Q$1,1),Log_2018[[#This Row],[Date]]),Log_2018[[#This Row],[Split_apply]])) - SUM($O538:P538)</f>
        <v>0</v>
      </c>
      <c r="R538" s="52">
        <f ca="1">Log_2018[[#This Row],[Amount]]/Log_2018[[#This Row],[Split_raw]]*MAX(0,MIN(_xlfn.DAYS(EDATE(R$1,1),Log_2018[[#This Row],[Date]]),Log_2018[[#This Row],[Split_apply]])) - SUM($O538:Q538)</f>
        <v>0</v>
      </c>
      <c r="S538" s="52">
        <f ca="1">Log_2018[[#This Row],[Amount]]/Log_2018[[#This Row],[Split_raw]]*MAX(0,MIN(_xlfn.DAYS(EDATE(S$1,1),Log_2018[[#This Row],[Date]]),Log_2018[[#This Row],[Split_apply]])) - SUM($O538:R538)</f>
        <v>-40</v>
      </c>
      <c r="T538" s="52">
        <f ca="1">Log_2018[[#This Row],[Amount]]/Log_2018[[#This Row],[Split_raw]]*MAX(0,MIN(_xlfn.DAYS(EDATE(T$1,1),Log_2018[[#This Row],[Date]]),Log_2018[[#This Row],[Split_apply]])) - SUM($O538:S538)</f>
        <v>0</v>
      </c>
      <c r="U538" s="52">
        <f ca="1">Log_2018[[#This Row],[Amount]]/Log_2018[[#This Row],[Split_raw]]*MAX(0,MIN(_xlfn.DAYS(EDATE(U$1,1),Log_2018[[#This Row],[Date]]),Log_2018[[#This Row],[Split_apply]])) - SUM($O538:T538)</f>
        <v>0</v>
      </c>
      <c r="V538" s="52">
        <f ca="1">Log_2018[[#This Row],[Amount]]/Log_2018[[#This Row],[Split_raw]]*MAX(0,MIN(_xlfn.DAYS(EDATE(V$1,1),Log_2018[[#This Row],[Date]]),Log_2018[[#This Row],[Split_apply]])) - SUM($O538:U538)</f>
        <v>0</v>
      </c>
      <c r="W538" s="52">
        <f ca="1">Log_2018[[#This Row],[Amount]]/Log_2018[[#This Row],[Split_raw]]*MAX(0,MIN(_xlfn.DAYS(EDATE(W$1,1),Log_2018[[#This Row],[Date]]),Log_2018[[#This Row],[Split_apply]])) - SUM($O538:V538)</f>
        <v>0</v>
      </c>
      <c r="X538" s="52">
        <f ca="1">Log_2018[[#This Row],[Amount]]/Log_2018[[#This Row],[Split_raw]]*MAX(0,MIN(_xlfn.DAYS(EDATE(X$1,1),Log_2018[[#This Row],[Date]]),Log_2018[[#This Row],[Split_apply]])) - SUM($O538:W538)</f>
        <v>0</v>
      </c>
      <c r="Y538" s="52">
        <f ca="1">Log_2018[[#This Row],[Amount]]/Log_2018[[#This Row],[Split_raw]]*MAX(0,MIN(_xlfn.DAYS(EDATE(Y$1,1),Log_2018[[#This Row],[Date]]),Log_2018[[#This Row],[Split_apply]])) - SUM($O538:X538)</f>
        <v>0</v>
      </c>
      <c r="Z538" s="52">
        <f ca="1">Log_2018[[#This Row],[Amount]]/Log_2018[[#This Row],[Split_raw]]*MAX(0,MIN(_xlfn.DAYS(EDATE(Z$1,1),Log_2018[[#This Row],[Date]]),Log_2018[[#This Row],[Split_apply]])) - SUM($O538:Y538)</f>
        <v>0</v>
      </c>
      <c r="AA538" s="52">
        <f ca="1">Log_2018[[#This Row],[Amount]]/Log_2018[[#This Row],[Split_raw]]*MAX(0,MIN(_xlfn.DAYS(EDATE(AA$1,1),Log_2018[[#This Row],[Date]]),Log_2018[[#This Row],[Split_apply]])) - SUM($O538:Z538)</f>
        <v>0</v>
      </c>
      <c r="AB538" s="54">
        <f ca="1">Log_2018[[#This Row],[Amount]]-SUM(O538:AA538)</f>
        <v>0</v>
      </c>
      <c r="AC538" s="7">
        <f ca="1">MAX(0,Log_2018[[#This Row],[Split_apply]] - (EDATE(AA$1,1)-Log_2018[[#This Row],[Date]]))</f>
        <v>0</v>
      </c>
    </row>
    <row r="539" spans="1:29" hidden="1" x14ac:dyDescent="0.25">
      <c r="A539" s="115"/>
      <c r="B539" t="s">
        <v>6</v>
      </c>
      <c r="D539" s="29">
        <v>43207</v>
      </c>
      <c r="F539" t="s">
        <v>233</v>
      </c>
      <c r="G539" t="s">
        <v>19</v>
      </c>
      <c r="H539" s="3">
        <v>-0.28999999999999998</v>
      </c>
      <c r="I539" s="36">
        <f>IF(Log_2018[[#This Row],[My Category]]="NONTRACKED",0,Log_2018[[#This Row],[Raw Amount]])</f>
        <v>-0.28999999999999998</v>
      </c>
      <c r="J539" s="17">
        <f>ABS(Log_2018[[#This Row],[Amount]])</f>
        <v>0.28999999999999998</v>
      </c>
      <c r="K539" s="66">
        <v>1</v>
      </c>
      <c r="L539" s="66">
        <f ca="1">IF(Log_2018[[#This Row],[Date]]&lt;=TODAY(), MIN(Log_2018[[#This Row],[Split_raw]], TODAY()-Log_2018[[#This Row],[Date]]+1), 0)</f>
        <v>1</v>
      </c>
      <c r="M539" t="s">
        <v>147</v>
      </c>
      <c r="N539" t="s">
        <v>160</v>
      </c>
      <c r="O539" s="50">
        <v>0</v>
      </c>
      <c r="P539" s="52">
        <f ca="1">Log_2018[[#This Row],[Amount]]/Log_2018[[#This Row],[Split_raw]]*MAX(0,MIN(_xlfn.DAYS(EDATE(P$1,1),Log_2018[[#This Row],[Date]]),Log_2018[[#This Row],[Split_apply]])) - SUM($O539:O539)</f>
        <v>0</v>
      </c>
      <c r="Q539" s="52">
        <f ca="1">Log_2018[[#This Row],[Amount]]/Log_2018[[#This Row],[Split_raw]]*MAX(0,MIN(_xlfn.DAYS(EDATE(Q$1,1),Log_2018[[#This Row],[Date]]),Log_2018[[#This Row],[Split_apply]])) - SUM($O539:P539)</f>
        <v>0</v>
      </c>
      <c r="R539" s="52">
        <f ca="1">Log_2018[[#This Row],[Amount]]/Log_2018[[#This Row],[Split_raw]]*MAX(0,MIN(_xlfn.DAYS(EDATE(R$1,1),Log_2018[[#This Row],[Date]]),Log_2018[[#This Row],[Split_apply]])) - SUM($O539:Q539)</f>
        <v>0</v>
      </c>
      <c r="S539" s="52">
        <f ca="1">Log_2018[[#This Row],[Amount]]/Log_2018[[#This Row],[Split_raw]]*MAX(0,MIN(_xlfn.DAYS(EDATE(S$1,1),Log_2018[[#This Row],[Date]]),Log_2018[[#This Row],[Split_apply]])) - SUM($O539:R539)</f>
        <v>-0.28999999999999998</v>
      </c>
      <c r="T539" s="52">
        <f ca="1">Log_2018[[#This Row],[Amount]]/Log_2018[[#This Row],[Split_raw]]*MAX(0,MIN(_xlfn.DAYS(EDATE(T$1,1),Log_2018[[#This Row],[Date]]),Log_2018[[#This Row],[Split_apply]])) - SUM($O539:S539)</f>
        <v>0</v>
      </c>
      <c r="U539" s="52">
        <f ca="1">Log_2018[[#This Row],[Amount]]/Log_2018[[#This Row],[Split_raw]]*MAX(0,MIN(_xlfn.DAYS(EDATE(U$1,1),Log_2018[[#This Row],[Date]]),Log_2018[[#This Row],[Split_apply]])) - SUM($O539:T539)</f>
        <v>0</v>
      </c>
      <c r="V539" s="52">
        <f ca="1">Log_2018[[#This Row],[Amount]]/Log_2018[[#This Row],[Split_raw]]*MAX(0,MIN(_xlfn.DAYS(EDATE(V$1,1),Log_2018[[#This Row],[Date]]),Log_2018[[#This Row],[Split_apply]])) - SUM($O539:U539)</f>
        <v>0</v>
      </c>
      <c r="W539" s="52">
        <f ca="1">Log_2018[[#This Row],[Amount]]/Log_2018[[#This Row],[Split_raw]]*MAX(0,MIN(_xlfn.DAYS(EDATE(W$1,1),Log_2018[[#This Row],[Date]]),Log_2018[[#This Row],[Split_apply]])) - SUM($O539:V539)</f>
        <v>0</v>
      </c>
      <c r="X539" s="52">
        <f ca="1">Log_2018[[#This Row],[Amount]]/Log_2018[[#This Row],[Split_raw]]*MAX(0,MIN(_xlfn.DAYS(EDATE(X$1,1),Log_2018[[#This Row],[Date]]),Log_2018[[#This Row],[Split_apply]])) - SUM($O539:W539)</f>
        <v>0</v>
      </c>
      <c r="Y539" s="52">
        <f ca="1">Log_2018[[#This Row],[Amount]]/Log_2018[[#This Row],[Split_raw]]*MAX(0,MIN(_xlfn.DAYS(EDATE(Y$1,1),Log_2018[[#This Row],[Date]]),Log_2018[[#This Row],[Split_apply]])) - SUM($O539:X539)</f>
        <v>0</v>
      </c>
      <c r="Z539" s="52">
        <f ca="1">Log_2018[[#This Row],[Amount]]/Log_2018[[#This Row],[Split_raw]]*MAX(0,MIN(_xlfn.DAYS(EDATE(Z$1,1),Log_2018[[#This Row],[Date]]),Log_2018[[#This Row],[Split_apply]])) - SUM($O539:Y539)</f>
        <v>0</v>
      </c>
      <c r="AA539" s="52">
        <f ca="1">Log_2018[[#This Row],[Amount]]/Log_2018[[#This Row],[Split_raw]]*MAX(0,MIN(_xlfn.DAYS(EDATE(AA$1,1),Log_2018[[#This Row],[Date]]),Log_2018[[#This Row],[Split_apply]])) - SUM($O539:Z539)</f>
        <v>0</v>
      </c>
      <c r="AB539" s="54">
        <f ca="1">Log_2018[[#This Row],[Amount]]-SUM(O539:AA539)</f>
        <v>0</v>
      </c>
      <c r="AC539" s="7">
        <f ca="1">MAX(0,Log_2018[[#This Row],[Split_apply]] - (EDATE(AA$1,1)-Log_2018[[#This Row],[Date]]))</f>
        <v>0</v>
      </c>
    </row>
    <row r="540" spans="1:29" hidden="1" x14ac:dyDescent="0.25">
      <c r="A540" s="115"/>
      <c r="B540" t="s">
        <v>6</v>
      </c>
      <c r="D540" s="29">
        <v>43206</v>
      </c>
      <c r="F540" t="s">
        <v>237</v>
      </c>
      <c r="G540" t="s">
        <v>87</v>
      </c>
      <c r="H540" s="3">
        <f>--0.16</f>
        <v>0.16</v>
      </c>
      <c r="I540" s="36">
        <f>IF(Log_2018[[#This Row],[My Category]]="NONTRACKED",0,Log_2018[[#This Row],[Raw Amount]])</f>
        <v>0.16</v>
      </c>
      <c r="J540" s="17">
        <f>ABS(Log_2018[[#This Row],[Amount]])</f>
        <v>0.16</v>
      </c>
      <c r="K540" s="66">
        <v>1</v>
      </c>
      <c r="L540" s="66">
        <f ca="1">IF(Log_2018[[#This Row],[Date]]&lt;=TODAY(), MIN(Log_2018[[#This Row],[Split_raw]], TODAY()-Log_2018[[#This Row],[Date]]+1), 0)</f>
        <v>1</v>
      </c>
      <c r="M540" t="s">
        <v>147</v>
      </c>
      <c r="N540" t="s">
        <v>160</v>
      </c>
      <c r="O540" s="50">
        <v>0</v>
      </c>
      <c r="P540" s="52">
        <f ca="1">Log_2018[[#This Row],[Amount]]/Log_2018[[#This Row],[Split_raw]]*MAX(0,MIN(_xlfn.DAYS(EDATE(P$1,1),Log_2018[[#This Row],[Date]]),Log_2018[[#This Row],[Split_apply]])) - SUM($O540:O540)</f>
        <v>0</v>
      </c>
      <c r="Q540" s="52">
        <f ca="1">Log_2018[[#This Row],[Amount]]/Log_2018[[#This Row],[Split_raw]]*MAX(0,MIN(_xlfn.DAYS(EDATE(Q$1,1),Log_2018[[#This Row],[Date]]),Log_2018[[#This Row],[Split_apply]])) - SUM($O540:P540)</f>
        <v>0</v>
      </c>
      <c r="R540" s="52">
        <f ca="1">Log_2018[[#This Row],[Amount]]/Log_2018[[#This Row],[Split_raw]]*MAX(0,MIN(_xlfn.DAYS(EDATE(R$1,1),Log_2018[[#This Row],[Date]]),Log_2018[[#This Row],[Split_apply]])) - SUM($O540:Q540)</f>
        <v>0</v>
      </c>
      <c r="S540" s="52">
        <f ca="1">Log_2018[[#This Row],[Amount]]/Log_2018[[#This Row],[Split_raw]]*MAX(0,MIN(_xlfn.DAYS(EDATE(S$1,1),Log_2018[[#This Row],[Date]]),Log_2018[[#This Row],[Split_apply]])) - SUM($O540:R540)</f>
        <v>0.16</v>
      </c>
      <c r="T540" s="52">
        <f ca="1">Log_2018[[#This Row],[Amount]]/Log_2018[[#This Row],[Split_raw]]*MAX(0,MIN(_xlfn.DAYS(EDATE(T$1,1),Log_2018[[#This Row],[Date]]),Log_2018[[#This Row],[Split_apply]])) - SUM($O540:S540)</f>
        <v>0</v>
      </c>
      <c r="U540" s="52">
        <f ca="1">Log_2018[[#This Row],[Amount]]/Log_2018[[#This Row],[Split_raw]]*MAX(0,MIN(_xlfn.DAYS(EDATE(U$1,1),Log_2018[[#This Row],[Date]]),Log_2018[[#This Row],[Split_apply]])) - SUM($O540:T540)</f>
        <v>0</v>
      </c>
      <c r="V540" s="52">
        <f ca="1">Log_2018[[#This Row],[Amount]]/Log_2018[[#This Row],[Split_raw]]*MAX(0,MIN(_xlfn.DAYS(EDATE(V$1,1),Log_2018[[#This Row],[Date]]),Log_2018[[#This Row],[Split_apply]])) - SUM($O540:U540)</f>
        <v>0</v>
      </c>
      <c r="W540" s="52">
        <f ca="1">Log_2018[[#This Row],[Amount]]/Log_2018[[#This Row],[Split_raw]]*MAX(0,MIN(_xlfn.DAYS(EDATE(W$1,1),Log_2018[[#This Row],[Date]]),Log_2018[[#This Row],[Split_apply]])) - SUM($O540:V540)</f>
        <v>0</v>
      </c>
      <c r="X540" s="52">
        <f ca="1">Log_2018[[#This Row],[Amount]]/Log_2018[[#This Row],[Split_raw]]*MAX(0,MIN(_xlfn.DAYS(EDATE(X$1,1),Log_2018[[#This Row],[Date]]),Log_2018[[#This Row],[Split_apply]])) - SUM($O540:W540)</f>
        <v>0</v>
      </c>
      <c r="Y540" s="52">
        <f ca="1">Log_2018[[#This Row],[Amount]]/Log_2018[[#This Row],[Split_raw]]*MAX(0,MIN(_xlfn.DAYS(EDATE(Y$1,1),Log_2018[[#This Row],[Date]]),Log_2018[[#This Row],[Split_apply]])) - SUM($O540:X540)</f>
        <v>0</v>
      </c>
      <c r="Z540" s="52">
        <f ca="1">Log_2018[[#This Row],[Amount]]/Log_2018[[#This Row],[Split_raw]]*MAX(0,MIN(_xlfn.DAYS(EDATE(Z$1,1),Log_2018[[#This Row],[Date]]),Log_2018[[#This Row],[Split_apply]])) - SUM($O540:Y540)</f>
        <v>0</v>
      </c>
      <c r="AA540" s="52">
        <f ca="1">Log_2018[[#This Row],[Amount]]/Log_2018[[#This Row],[Split_raw]]*MAX(0,MIN(_xlfn.DAYS(EDATE(AA$1,1),Log_2018[[#This Row],[Date]]),Log_2018[[#This Row],[Split_apply]])) - SUM($O540:Z540)</f>
        <v>0</v>
      </c>
      <c r="AB540" s="54">
        <f ca="1">Log_2018[[#This Row],[Amount]]-SUM(O540:AA540)</f>
        <v>0</v>
      </c>
      <c r="AC540" s="7">
        <f ca="1">MAX(0,Log_2018[[#This Row],[Split_apply]] - (EDATE(AA$1,1)-Log_2018[[#This Row],[Date]]))</f>
        <v>0</v>
      </c>
    </row>
    <row r="541" spans="1:29" hidden="1" x14ac:dyDescent="0.25">
      <c r="A541" s="115"/>
      <c r="B541" t="s">
        <v>6</v>
      </c>
      <c r="D541" s="29">
        <v>43206</v>
      </c>
      <c r="F541" t="s">
        <v>238</v>
      </c>
      <c r="G541" t="s">
        <v>87</v>
      </c>
      <c r="H541" s="3">
        <f>--0.13</f>
        <v>0.13</v>
      </c>
      <c r="I541" s="36">
        <f>IF(Log_2018[[#This Row],[My Category]]="NONTRACKED",0,Log_2018[[#This Row],[Raw Amount]])</f>
        <v>0.13</v>
      </c>
      <c r="J541" s="17">
        <f>ABS(Log_2018[[#This Row],[Amount]])</f>
        <v>0.13</v>
      </c>
      <c r="K541" s="66">
        <v>1</v>
      </c>
      <c r="L541" s="66">
        <f ca="1">IF(Log_2018[[#This Row],[Date]]&lt;=TODAY(), MIN(Log_2018[[#This Row],[Split_raw]], TODAY()-Log_2018[[#This Row],[Date]]+1), 0)</f>
        <v>1</v>
      </c>
      <c r="M541" t="s">
        <v>147</v>
      </c>
      <c r="N541" t="s">
        <v>160</v>
      </c>
      <c r="O541" s="50">
        <v>0</v>
      </c>
      <c r="P541" s="52">
        <f ca="1">Log_2018[[#This Row],[Amount]]/Log_2018[[#This Row],[Split_raw]]*MAX(0,MIN(_xlfn.DAYS(EDATE(P$1,1),Log_2018[[#This Row],[Date]]),Log_2018[[#This Row],[Split_apply]])) - SUM($O541:O541)</f>
        <v>0</v>
      </c>
      <c r="Q541" s="52">
        <f ca="1">Log_2018[[#This Row],[Amount]]/Log_2018[[#This Row],[Split_raw]]*MAX(0,MIN(_xlfn.DAYS(EDATE(Q$1,1),Log_2018[[#This Row],[Date]]),Log_2018[[#This Row],[Split_apply]])) - SUM($O541:P541)</f>
        <v>0</v>
      </c>
      <c r="R541" s="52">
        <f ca="1">Log_2018[[#This Row],[Amount]]/Log_2018[[#This Row],[Split_raw]]*MAX(0,MIN(_xlfn.DAYS(EDATE(R$1,1),Log_2018[[#This Row],[Date]]),Log_2018[[#This Row],[Split_apply]])) - SUM($O541:Q541)</f>
        <v>0</v>
      </c>
      <c r="S541" s="52">
        <f ca="1">Log_2018[[#This Row],[Amount]]/Log_2018[[#This Row],[Split_raw]]*MAX(0,MIN(_xlfn.DAYS(EDATE(S$1,1),Log_2018[[#This Row],[Date]]),Log_2018[[#This Row],[Split_apply]])) - SUM($O541:R541)</f>
        <v>0.13</v>
      </c>
      <c r="T541" s="52">
        <f ca="1">Log_2018[[#This Row],[Amount]]/Log_2018[[#This Row],[Split_raw]]*MAX(0,MIN(_xlfn.DAYS(EDATE(T$1,1),Log_2018[[#This Row],[Date]]),Log_2018[[#This Row],[Split_apply]])) - SUM($O541:S541)</f>
        <v>0</v>
      </c>
      <c r="U541" s="52">
        <f ca="1">Log_2018[[#This Row],[Amount]]/Log_2018[[#This Row],[Split_raw]]*MAX(0,MIN(_xlfn.DAYS(EDATE(U$1,1),Log_2018[[#This Row],[Date]]),Log_2018[[#This Row],[Split_apply]])) - SUM($O541:T541)</f>
        <v>0</v>
      </c>
      <c r="V541" s="52">
        <f ca="1">Log_2018[[#This Row],[Amount]]/Log_2018[[#This Row],[Split_raw]]*MAX(0,MIN(_xlfn.DAYS(EDATE(V$1,1),Log_2018[[#This Row],[Date]]),Log_2018[[#This Row],[Split_apply]])) - SUM($O541:U541)</f>
        <v>0</v>
      </c>
      <c r="W541" s="52">
        <f ca="1">Log_2018[[#This Row],[Amount]]/Log_2018[[#This Row],[Split_raw]]*MAX(0,MIN(_xlfn.DAYS(EDATE(W$1,1),Log_2018[[#This Row],[Date]]),Log_2018[[#This Row],[Split_apply]])) - SUM($O541:V541)</f>
        <v>0</v>
      </c>
      <c r="X541" s="52">
        <f ca="1">Log_2018[[#This Row],[Amount]]/Log_2018[[#This Row],[Split_raw]]*MAX(0,MIN(_xlfn.DAYS(EDATE(X$1,1),Log_2018[[#This Row],[Date]]),Log_2018[[#This Row],[Split_apply]])) - SUM($O541:W541)</f>
        <v>0</v>
      </c>
      <c r="Y541" s="52">
        <f ca="1">Log_2018[[#This Row],[Amount]]/Log_2018[[#This Row],[Split_raw]]*MAX(0,MIN(_xlfn.DAYS(EDATE(Y$1,1),Log_2018[[#This Row],[Date]]),Log_2018[[#This Row],[Split_apply]])) - SUM($O541:X541)</f>
        <v>0</v>
      </c>
      <c r="Z541" s="52">
        <f ca="1">Log_2018[[#This Row],[Amount]]/Log_2018[[#This Row],[Split_raw]]*MAX(0,MIN(_xlfn.DAYS(EDATE(Z$1,1),Log_2018[[#This Row],[Date]]),Log_2018[[#This Row],[Split_apply]])) - SUM($O541:Y541)</f>
        <v>0</v>
      </c>
      <c r="AA541" s="52">
        <f ca="1">Log_2018[[#This Row],[Amount]]/Log_2018[[#This Row],[Split_raw]]*MAX(0,MIN(_xlfn.DAYS(EDATE(AA$1,1),Log_2018[[#This Row],[Date]]),Log_2018[[#This Row],[Split_apply]])) - SUM($O541:Z541)</f>
        <v>0</v>
      </c>
      <c r="AB541" s="54">
        <f ca="1">Log_2018[[#This Row],[Amount]]-SUM(O541:AA541)</f>
        <v>0</v>
      </c>
      <c r="AC541" s="7">
        <f ca="1">MAX(0,Log_2018[[#This Row],[Split_apply]] - (EDATE(AA$1,1)-Log_2018[[#This Row],[Date]]))</f>
        <v>0</v>
      </c>
    </row>
    <row r="542" spans="1:29" hidden="1" x14ac:dyDescent="0.25">
      <c r="A542" s="115"/>
      <c r="B542" t="s">
        <v>6</v>
      </c>
      <c r="D542" s="29">
        <v>43206</v>
      </c>
      <c r="F542" t="s">
        <v>234</v>
      </c>
      <c r="G542" t="s">
        <v>235</v>
      </c>
      <c r="H542" s="3">
        <v>-9.5500000000000007</v>
      </c>
      <c r="I542" s="36">
        <f>IF(Log_2018[[#This Row],[My Category]]="NONTRACKED",0,Log_2018[[#This Row],[Raw Amount]])</f>
        <v>-9.5500000000000007</v>
      </c>
      <c r="J542" s="17">
        <f>ABS(Log_2018[[#This Row],[Amount]])</f>
        <v>9.5500000000000007</v>
      </c>
      <c r="K542" s="66">
        <v>1</v>
      </c>
      <c r="L542" s="66">
        <f ca="1">IF(Log_2018[[#This Row],[Date]]&lt;=TODAY(), MIN(Log_2018[[#This Row],[Split_raw]], TODAY()-Log_2018[[#This Row],[Date]]+1), 0)</f>
        <v>1</v>
      </c>
      <c r="M542" t="s">
        <v>40</v>
      </c>
      <c r="N542" t="s">
        <v>160</v>
      </c>
      <c r="O542" s="50">
        <v>0</v>
      </c>
      <c r="P542" s="52">
        <f ca="1">Log_2018[[#This Row],[Amount]]/Log_2018[[#This Row],[Split_raw]]*MAX(0,MIN(_xlfn.DAYS(EDATE(P$1,1),Log_2018[[#This Row],[Date]]),Log_2018[[#This Row],[Split_apply]])) - SUM($O542:O542)</f>
        <v>0</v>
      </c>
      <c r="Q542" s="52">
        <f ca="1">Log_2018[[#This Row],[Amount]]/Log_2018[[#This Row],[Split_raw]]*MAX(0,MIN(_xlfn.DAYS(EDATE(Q$1,1),Log_2018[[#This Row],[Date]]),Log_2018[[#This Row],[Split_apply]])) - SUM($O542:P542)</f>
        <v>0</v>
      </c>
      <c r="R542" s="52">
        <f ca="1">Log_2018[[#This Row],[Amount]]/Log_2018[[#This Row],[Split_raw]]*MAX(0,MIN(_xlfn.DAYS(EDATE(R$1,1),Log_2018[[#This Row],[Date]]),Log_2018[[#This Row],[Split_apply]])) - SUM($O542:Q542)</f>
        <v>0</v>
      </c>
      <c r="S542" s="52">
        <f ca="1">Log_2018[[#This Row],[Amount]]/Log_2018[[#This Row],[Split_raw]]*MAX(0,MIN(_xlfn.DAYS(EDATE(S$1,1),Log_2018[[#This Row],[Date]]),Log_2018[[#This Row],[Split_apply]])) - SUM($O542:R542)</f>
        <v>-9.5500000000000007</v>
      </c>
      <c r="T542" s="52">
        <f ca="1">Log_2018[[#This Row],[Amount]]/Log_2018[[#This Row],[Split_raw]]*MAX(0,MIN(_xlfn.DAYS(EDATE(T$1,1),Log_2018[[#This Row],[Date]]),Log_2018[[#This Row],[Split_apply]])) - SUM($O542:S542)</f>
        <v>0</v>
      </c>
      <c r="U542" s="52">
        <f ca="1">Log_2018[[#This Row],[Amount]]/Log_2018[[#This Row],[Split_raw]]*MAX(0,MIN(_xlfn.DAYS(EDATE(U$1,1),Log_2018[[#This Row],[Date]]),Log_2018[[#This Row],[Split_apply]])) - SUM($O542:T542)</f>
        <v>0</v>
      </c>
      <c r="V542" s="52">
        <f ca="1">Log_2018[[#This Row],[Amount]]/Log_2018[[#This Row],[Split_raw]]*MAX(0,MIN(_xlfn.DAYS(EDATE(V$1,1),Log_2018[[#This Row],[Date]]),Log_2018[[#This Row],[Split_apply]])) - SUM($O542:U542)</f>
        <v>0</v>
      </c>
      <c r="W542" s="52">
        <f ca="1">Log_2018[[#This Row],[Amount]]/Log_2018[[#This Row],[Split_raw]]*MAX(0,MIN(_xlfn.DAYS(EDATE(W$1,1),Log_2018[[#This Row],[Date]]),Log_2018[[#This Row],[Split_apply]])) - SUM($O542:V542)</f>
        <v>0</v>
      </c>
      <c r="X542" s="52">
        <f ca="1">Log_2018[[#This Row],[Amount]]/Log_2018[[#This Row],[Split_raw]]*MAX(0,MIN(_xlfn.DAYS(EDATE(X$1,1),Log_2018[[#This Row],[Date]]),Log_2018[[#This Row],[Split_apply]])) - SUM($O542:W542)</f>
        <v>0</v>
      </c>
      <c r="Y542" s="52">
        <f ca="1">Log_2018[[#This Row],[Amount]]/Log_2018[[#This Row],[Split_raw]]*MAX(0,MIN(_xlfn.DAYS(EDATE(Y$1,1),Log_2018[[#This Row],[Date]]),Log_2018[[#This Row],[Split_apply]])) - SUM($O542:X542)</f>
        <v>0</v>
      </c>
      <c r="Z542" s="52">
        <f ca="1">Log_2018[[#This Row],[Amount]]/Log_2018[[#This Row],[Split_raw]]*MAX(0,MIN(_xlfn.DAYS(EDATE(Z$1,1),Log_2018[[#This Row],[Date]]),Log_2018[[#This Row],[Split_apply]])) - SUM($O542:Y542)</f>
        <v>0</v>
      </c>
      <c r="AA542" s="52">
        <f ca="1">Log_2018[[#This Row],[Amount]]/Log_2018[[#This Row],[Split_raw]]*MAX(0,MIN(_xlfn.DAYS(EDATE(AA$1,1),Log_2018[[#This Row],[Date]]),Log_2018[[#This Row],[Split_apply]])) - SUM($O542:Z542)</f>
        <v>0</v>
      </c>
      <c r="AB542" s="54">
        <f ca="1">Log_2018[[#This Row],[Amount]]-SUM(O542:AA542)</f>
        <v>0</v>
      </c>
      <c r="AC542" s="7">
        <f ca="1">MAX(0,Log_2018[[#This Row],[Split_apply]] - (EDATE(AA$1,1)-Log_2018[[#This Row],[Date]]))</f>
        <v>0</v>
      </c>
    </row>
    <row r="543" spans="1:29" hidden="1" x14ac:dyDescent="0.25">
      <c r="A543" s="115"/>
      <c r="B543" t="s">
        <v>6</v>
      </c>
      <c r="D543" s="29">
        <v>43206</v>
      </c>
      <c r="F543" t="s">
        <v>236</v>
      </c>
      <c r="G543" t="s">
        <v>235</v>
      </c>
      <c r="H543" s="3">
        <v>-7.76</v>
      </c>
      <c r="I543" s="36">
        <f>IF(Log_2018[[#This Row],[My Category]]="NONTRACKED",0,Log_2018[[#This Row],[Raw Amount]])</f>
        <v>-7.76</v>
      </c>
      <c r="J543" s="17">
        <f>ABS(Log_2018[[#This Row],[Amount]])</f>
        <v>7.76</v>
      </c>
      <c r="K543" s="66">
        <v>1</v>
      </c>
      <c r="L543" s="66">
        <f ca="1">IF(Log_2018[[#This Row],[Date]]&lt;=TODAY(), MIN(Log_2018[[#This Row],[Split_raw]], TODAY()-Log_2018[[#This Row],[Date]]+1), 0)</f>
        <v>1</v>
      </c>
      <c r="M543" t="s">
        <v>40</v>
      </c>
      <c r="N543" t="s">
        <v>160</v>
      </c>
      <c r="O543" s="50">
        <v>0</v>
      </c>
      <c r="P543" s="52">
        <f ca="1">Log_2018[[#This Row],[Amount]]/Log_2018[[#This Row],[Split_raw]]*MAX(0,MIN(_xlfn.DAYS(EDATE(P$1,1),Log_2018[[#This Row],[Date]]),Log_2018[[#This Row],[Split_apply]])) - SUM($O543:O543)</f>
        <v>0</v>
      </c>
      <c r="Q543" s="52">
        <f ca="1">Log_2018[[#This Row],[Amount]]/Log_2018[[#This Row],[Split_raw]]*MAX(0,MIN(_xlfn.DAYS(EDATE(Q$1,1),Log_2018[[#This Row],[Date]]),Log_2018[[#This Row],[Split_apply]])) - SUM($O543:P543)</f>
        <v>0</v>
      </c>
      <c r="R543" s="52">
        <f ca="1">Log_2018[[#This Row],[Amount]]/Log_2018[[#This Row],[Split_raw]]*MAX(0,MIN(_xlfn.DAYS(EDATE(R$1,1),Log_2018[[#This Row],[Date]]),Log_2018[[#This Row],[Split_apply]])) - SUM($O543:Q543)</f>
        <v>0</v>
      </c>
      <c r="S543" s="52">
        <f ca="1">Log_2018[[#This Row],[Amount]]/Log_2018[[#This Row],[Split_raw]]*MAX(0,MIN(_xlfn.DAYS(EDATE(S$1,1),Log_2018[[#This Row],[Date]]),Log_2018[[#This Row],[Split_apply]])) - SUM($O543:R543)</f>
        <v>-7.76</v>
      </c>
      <c r="T543" s="52">
        <f ca="1">Log_2018[[#This Row],[Amount]]/Log_2018[[#This Row],[Split_raw]]*MAX(0,MIN(_xlfn.DAYS(EDATE(T$1,1),Log_2018[[#This Row],[Date]]),Log_2018[[#This Row],[Split_apply]])) - SUM($O543:S543)</f>
        <v>0</v>
      </c>
      <c r="U543" s="52">
        <f ca="1">Log_2018[[#This Row],[Amount]]/Log_2018[[#This Row],[Split_raw]]*MAX(0,MIN(_xlfn.DAYS(EDATE(U$1,1),Log_2018[[#This Row],[Date]]),Log_2018[[#This Row],[Split_apply]])) - SUM($O543:T543)</f>
        <v>0</v>
      </c>
      <c r="V543" s="52">
        <f ca="1">Log_2018[[#This Row],[Amount]]/Log_2018[[#This Row],[Split_raw]]*MAX(0,MIN(_xlfn.DAYS(EDATE(V$1,1),Log_2018[[#This Row],[Date]]),Log_2018[[#This Row],[Split_apply]])) - SUM($O543:U543)</f>
        <v>0</v>
      </c>
      <c r="W543" s="52">
        <f ca="1">Log_2018[[#This Row],[Amount]]/Log_2018[[#This Row],[Split_raw]]*MAX(0,MIN(_xlfn.DAYS(EDATE(W$1,1),Log_2018[[#This Row],[Date]]),Log_2018[[#This Row],[Split_apply]])) - SUM($O543:V543)</f>
        <v>0</v>
      </c>
      <c r="X543" s="52">
        <f ca="1">Log_2018[[#This Row],[Amount]]/Log_2018[[#This Row],[Split_raw]]*MAX(0,MIN(_xlfn.DAYS(EDATE(X$1,1),Log_2018[[#This Row],[Date]]),Log_2018[[#This Row],[Split_apply]])) - SUM($O543:W543)</f>
        <v>0</v>
      </c>
      <c r="Y543" s="52">
        <f ca="1">Log_2018[[#This Row],[Amount]]/Log_2018[[#This Row],[Split_raw]]*MAX(0,MIN(_xlfn.DAYS(EDATE(Y$1,1),Log_2018[[#This Row],[Date]]),Log_2018[[#This Row],[Split_apply]])) - SUM($O543:X543)</f>
        <v>0</v>
      </c>
      <c r="Z543" s="52">
        <f ca="1">Log_2018[[#This Row],[Amount]]/Log_2018[[#This Row],[Split_raw]]*MAX(0,MIN(_xlfn.DAYS(EDATE(Z$1,1),Log_2018[[#This Row],[Date]]),Log_2018[[#This Row],[Split_apply]])) - SUM($O543:Y543)</f>
        <v>0</v>
      </c>
      <c r="AA543" s="52">
        <f ca="1">Log_2018[[#This Row],[Amount]]/Log_2018[[#This Row],[Split_raw]]*MAX(0,MIN(_xlfn.DAYS(EDATE(AA$1,1),Log_2018[[#This Row],[Date]]),Log_2018[[#This Row],[Split_apply]])) - SUM($O543:Z543)</f>
        <v>0</v>
      </c>
      <c r="AB543" s="54">
        <f ca="1">Log_2018[[#This Row],[Amount]]-SUM(O543:AA543)</f>
        <v>0</v>
      </c>
      <c r="AC543" s="7">
        <f ca="1">MAX(0,Log_2018[[#This Row],[Split_apply]] - (EDATE(AA$1,1)-Log_2018[[#This Row],[Date]]))</f>
        <v>0</v>
      </c>
    </row>
    <row r="544" spans="1:29" hidden="1" x14ac:dyDescent="0.25">
      <c r="A544" s="115"/>
      <c r="B544" t="s">
        <v>6</v>
      </c>
      <c r="D544" s="29">
        <v>43206</v>
      </c>
      <c r="F544" t="s">
        <v>185</v>
      </c>
      <c r="G544" t="s">
        <v>25</v>
      </c>
      <c r="H544" s="3">
        <v>-15.96</v>
      </c>
      <c r="I544" s="36">
        <f>IF(Log_2018[[#This Row],[My Category]]="NONTRACKED",0,Log_2018[[#This Row],[Raw Amount]])</f>
        <v>-15.96</v>
      </c>
      <c r="J544" s="17">
        <f>ABS(Log_2018[[#This Row],[Amount]])</f>
        <v>15.96</v>
      </c>
      <c r="K544" s="66">
        <v>1</v>
      </c>
      <c r="L544" s="66">
        <f ca="1">IF(Log_2018[[#This Row],[Date]]&lt;=TODAY(), MIN(Log_2018[[#This Row],[Split_raw]], TODAY()-Log_2018[[#This Row],[Date]]+1), 0)</f>
        <v>1</v>
      </c>
      <c r="M544" t="s">
        <v>35</v>
      </c>
      <c r="N544" t="s">
        <v>160</v>
      </c>
      <c r="O544" s="50">
        <v>0</v>
      </c>
      <c r="P544" s="52">
        <f ca="1">Log_2018[[#This Row],[Amount]]/Log_2018[[#This Row],[Split_raw]]*MAX(0,MIN(_xlfn.DAYS(EDATE(P$1,1),Log_2018[[#This Row],[Date]]),Log_2018[[#This Row],[Split_apply]])) - SUM($O544:O544)</f>
        <v>0</v>
      </c>
      <c r="Q544" s="52">
        <f ca="1">Log_2018[[#This Row],[Amount]]/Log_2018[[#This Row],[Split_raw]]*MAX(0,MIN(_xlfn.DAYS(EDATE(Q$1,1),Log_2018[[#This Row],[Date]]),Log_2018[[#This Row],[Split_apply]])) - SUM($O544:P544)</f>
        <v>0</v>
      </c>
      <c r="R544" s="52">
        <f ca="1">Log_2018[[#This Row],[Amount]]/Log_2018[[#This Row],[Split_raw]]*MAX(0,MIN(_xlfn.DAYS(EDATE(R$1,1),Log_2018[[#This Row],[Date]]),Log_2018[[#This Row],[Split_apply]])) - SUM($O544:Q544)</f>
        <v>0</v>
      </c>
      <c r="S544" s="52">
        <f ca="1">Log_2018[[#This Row],[Amount]]/Log_2018[[#This Row],[Split_raw]]*MAX(0,MIN(_xlfn.DAYS(EDATE(S$1,1),Log_2018[[#This Row],[Date]]),Log_2018[[#This Row],[Split_apply]])) - SUM($O544:R544)</f>
        <v>-15.96</v>
      </c>
      <c r="T544" s="52">
        <f ca="1">Log_2018[[#This Row],[Amount]]/Log_2018[[#This Row],[Split_raw]]*MAX(0,MIN(_xlfn.DAYS(EDATE(T$1,1),Log_2018[[#This Row],[Date]]),Log_2018[[#This Row],[Split_apply]])) - SUM($O544:S544)</f>
        <v>0</v>
      </c>
      <c r="U544" s="52">
        <f ca="1">Log_2018[[#This Row],[Amount]]/Log_2018[[#This Row],[Split_raw]]*MAX(0,MIN(_xlfn.DAYS(EDATE(U$1,1),Log_2018[[#This Row],[Date]]),Log_2018[[#This Row],[Split_apply]])) - SUM($O544:T544)</f>
        <v>0</v>
      </c>
      <c r="V544" s="52">
        <f ca="1">Log_2018[[#This Row],[Amount]]/Log_2018[[#This Row],[Split_raw]]*MAX(0,MIN(_xlfn.DAYS(EDATE(V$1,1),Log_2018[[#This Row],[Date]]),Log_2018[[#This Row],[Split_apply]])) - SUM($O544:U544)</f>
        <v>0</v>
      </c>
      <c r="W544" s="52">
        <f ca="1">Log_2018[[#This Row],[Amount]]/Log_2018[[#This Row],[Split_raw]]*MAX(0,MIN(_xlfn.DAYS(EDATE(W$1,1),Log_2018[[#This Row],[Date]]),Log_2018[[#This Row],[Split_apply]])) - SUM($O544:V544)</f>
        <v>0</v>
      </c>
      <c r="X544" s="52">
        <f ca="1">Log_2018[[#This Row],[Amount]]/Log_2018[[#This Row],[Split_raw]]*MAX(0,MIN(_xlfn.DAYS(EDATE(X$1,1),Log_2018[[#This Row],[Date]]),Log_2018[[#This Row],[Split_apply]])) - SUM($O544:W544)</f>
        <v>0</v>
      </c>
      <c r="Y544" s="52">
        <f ca="1">Log_2018[[#This Row],[Amount]]/Log_2018[[#This Row],[Split_raw]]*MAX(0,MIN(_xlfn.DAYS(EDATE(Y$1,1),Log_2018[[#This Row],[Date]]),Log_2018[[#This Row],[Split_apply]])) - SUM($O544:X544)</f>
        <v>0</v>
      </c>
      <c r="Z544" s="52">
        <f ca="1">Log_2018[[#This Row],[Amount]]/Log_2018[[#This Row],[Split_raw]]*MAX(0,MIN(_xlfn.DAYS(EDATE(Z$1,1),Log_2018[[#This Row],[Date]]),Log_2018[[#This Row],[Split_apply]])) - SUM($O544:Y544)</f>
        <v>0</v>
      </c>
      <c r="AA544" s="52">
        <f ca="1">Log_2018[[#This Row],[Amount]]/Log_2018[[#This Row],[Split_raw]]*MAX(0,MIN(_xlfn.DAYS(EDATE(AA$1,1),Log_2018[[#This Row],[Date]]),Log_2018[[#This Row],[Split_apply]])) - SUM($O544:Z544)</f>
        <v>0</v>
      </c>
      <c r="AB544" s="54">
        <f ca="1">Log_2018[[#This Row],[Amount]]-SUM(O544:AA544)</f>
        <v>0</v>
      </c>
      <c r="AC544" s="7">
        <f ca="1">MAX(0,Log_2018[[#This Row],[Split_apply]] - (EDATE(AA$1,1)-Log_2018[[#This Row],[Date]]))</f>
        <v>0</v>
      </c>
    </row>
    <row r="545" spans="1:29" hidden="1" x14ac:dyDescent="0.25">
      <c r="A545" s="115"/>
      <c r="B545" t="s">
        <v>6</v>
      </c>
      <c r="D545" s="29">
        <v>43204</v>
      </c>
      <c r="F545" t="s">
        <v>226</v>
      </c>
      <c r="G545" t="s">
        <v>25</v>
      </c>
      <c r="H545" s="3">
        <v>-20.12</v>
      </c>
      <c r="I545" s="36">
        <f>IF(Log_2018[[#This Row],[My Category]]="NONTRACKED",0,Log_2018[[#This Row],[Raw Amount]])</f>
        <v>-20.12</v>
      </c>
      <c r="J545" s="17">
        <f>ABS(Log_2018[[#This Row],[Amount]])</f>
        <v>20.12</v>
      </c>
      <c r="K545" s="66">
        <v>1</v>
      </c>
      <c r="L545" s="66">
        <f ca="1">IF(Log_2018[[#This Row],[Date]]&lt;=TODAY(), MIN(Log_2018[[#This Row],[Split_raw]], TODAY()-Log_2018[[#This Row],[Date]]+1), 0)</f>
        <v>1</v>
      </c>
      <c r="M545" t="s">
        <v>35</v>
      </c>
      <c r="N545" t="s">
        <v>158</v>
      </c>
      <c r="O545" s="50">
        <v>0</v>
      </c>
      <c r="P545" s="52">
        <f ca="1">Log_2018[[#This Row],[Amount]]/Log_2018[[#This Row],[Split_raw]]*MAX(0,MIN(_xlfn.DAYS(EDATE(P$1,1),Log_2018[[#This Row],[Date]]),Log_2018[[#This Row],[Split_apply]])) - SUM($O545:O545)</f>
        <v>0</v>
      </c>
      <c r="Q545" s="52">
        <f ca="1">Log_2018[[#This Row],[Amount]]/Log_2018[[#This Row],[Split_raw]]*MAX(0,MIN(_xlfn.DAYS(EDATE(Q$1,1),Log_2018[[#This Row],[Date]]),Log_2018[[#This Row],[Split_apply]])) - SUM($O545:P545)</f>
        <v>0</v>
      </c>
      <c r="R545" s="52">
        <f ca="1">Log_2018[[#This Row],[Amount]]/Log_2018[[#This Row],[Split_raw]]*MAX(0,MIN(_xlfn.DAYS(EDATE(R$1,1),Log_2018[[#This Row],[Date]]),Log_2018[[#This Row],[Split_apply]])) - SUM($O545:Q545)</f>
        <v>0</v>
      </c>
      <c r="S545" s="52">
        <f ca="1">Log_2018[[#This Row],[Amount]]/Log_2018[[#This Row],[Split_raw]]*MAX(0,MIN(_xlfn.DAYS(EDATE(S$1,1),Log_2018[[#This Row],[Date]]),Log_2018[[#This Row],[Split_apply]])) - SUM($O545:R545)</f>
        <v>-20.12</v>
      </c>
      <c r="T545" s="52">
        <f ca="1">Log_2018[[#This Row],[Amount]]/Log_2018[[#This Row],[Split_raw]]*MAX(0,MIN(_xlfn.DAYS(EDATE(T$1,1),Log_2018[[#This Row],[Date]]),Log_2018[[#This Row],[Split_apply]])) - SUM($O545:S545)</f>
        <v>0</v>
      </c>
      <c r="U545" s="52">
        <f ca="1">Log_2018[[#This Row],[Amount]]/Log_2018[[#This Row],[Split_raw]]*MAX(0,MIN(_xlfn.DAYS(EDATE(U$1,1),Log_2018[[#This Row],[Date]]),Log_2018[[#This Row],[Split_apply]])) - SUM($O545:T545)</f>
        <v>0</v>
      </c>
      <c r="V545" s="52">
        <f ca="1">Log_2018[[#This Row],[Amount]]/Log_2018[[#This Row],[Split_raw]]*MAX(0,MIN(_xlfn.DAYS(EDATE(V$1,1),Log_2018[[#This Row],[Date]]),Log_2018[[#This Row],[Split_apply]])) - SUM($O545:U545)</f>
        <v>0</v>
      </c>
      <c r="W545" s="52">
        <f ca="1">Log_2018[[#This Row],[Amount]]/Log_2018[[#This Row],[Split_raw]]*MAX(0,MIN(_xlfn.DAYS(EDATE(W$1,1),Log_2018[[#This Row],[Date]]),Log_2018[[#This Row],[Split_apply]])) - SUM($O545:V545)</f>
        <v>0</v>
      </c>
      <c r="X545" s="52">
        <f ca="1">Log_2018[[#This Row],[Amount]]/Log_2018[[#This Row],[Split_raw]]*MAX(0,MIN(_xlfn.DAYS(EDATE(X$1,1),Log_2018[[#This Row],[Date]]),Log_2018[[#This Row],[Split_apply]])) - SUM($O545:W545)</f>
        <v>0</v>
      </c>
      <c r="Y545" s="52">
        <f ca="1">Log_2018[[#This Row],[Amount]]/Log_2018[[#This Row],[Split_raw]]*MAX(0,MIN(_xlfn.DAYS(EDATE(Y$1,1),Log_2018[[#This Row],[Date]]),Log_2018[[#This Row],[Split_apply]])) - SUM($O545:X545)</f>
        <v>0</v>
      </c>
      <c r="Z545" s="52">
        <f ca="1">Log_2018[[#This Row],[Amount]]/Log_2018[[#This Row],[Split_raw]]*MAX(0,MIN(_xlfn.DAYS(EDATE(Z$1,1),Log_2018[[#This Row],[Date]]),Log_2018[[#This Row],[Split_apply]])) - SUM($O545:Y545)</f>
        <v>0</v>
      </c>
      <c r="AA545" s="52">
        <f ca="1">Log_2018[[#This Row],[Amount]]/Log_2018[[#This Row],[Split_raw]]*MAX(0,MIN(_xlfn.DAYS(EDATE(AA$1,1),Log_2018[[#This Row],[Date]]),Log_2018[[#This Row],[Split_apply]])) - SUM($O545:Z545)</f>
        <v>0</v>
      </c>
      <c r="AB545" s="54">
        <f ca="1">Log_2018[[#This Row],[Amount]]-SUM(O545:AA545)</f>
        <v>0</v>
      </c>
      <c r="AC545" s="7">
        <f ca="1">MAX(0,Log_2018[[#This Row],[Split_apply]] - (EDATE(AA$1,1)-Log_2018[[#This Row],[Date]]))</f>
        <v>0</v>
      </c>
    </row>
    <row r="546" spans="1:29" hidden="1" x14ac:dyDescent="0.25">
      <c r="A546" s="115"/>
      <c r="B546" t="s">
        <v>6</v>
      </c>
      <c r="D546" s="29">
        <v>43203</v>
      </c>
      <c r="F546" t="s">
        <v>59</v>
      </c>
      <c r="G546" t="s">
        <v>25</v>
      </c>
      <c r="H546" s="3">
        <v>-7.94</v>
      </c>
      <c r="I546" s="36">
        <f>IF(Log_2018[[#This Row],[My Category]]="NONTRACKED",0,Log_2018[[#This Row],[Raw Amount]])</f>
        <v>-7.94</v>
      </c>
      <c r="J546" s="17">
        <f>ABS(Log_2018[[#This Row],[Amount]])</f>
        <v>7.94</v>
      </c>
      <c r="K546" s="66">
        <v>1</v>
      </c>
      <c r="L546" s="66">
        <f ca="1">IF(Log_2018[[#This Row],[Date]]&lt;=TODAY(), MIN(Log_2018[[#This Row],[Split_raw]], TODAY()-Log_2018[[#This Row],[Date]]+1), 0)</f>
        <v>1</v>
      </c>
      <c r="M546" t="s">
        <v>35</v>
      </c>
      <c r="N546" t="s">
        <v>158</v>
      </c>
      <c r="O546" s="50">
        <v>0</v>
      </c>
      <c r="P546" s="52">
        <f ca="1">Log_2018[[#This Row],[Amount]]/Log_2018[[#This Row],[Split_raw]]*MAX(0,MIN(_xlfn.DAYS(EDATE(P$1,1),Log_2018[[#This Row],[Date]]),Log_2018[[#This Row],[Split_apply]])) - SUM($O546:O546)</f>
        <v>0</v>
      </c>
      <c r="Q546" s="52">
        <f ca="1">Log_2018[[#This Row],[Amount]]/Log_2018[[#This Row],[Split_raw]]*MAX(0,MIN(_xlfn.DAYS(EDATE(Q$1,1),Log_2018[[#This Row],[Date]]),Log_2018[[#This Row],[Split_apply]])) - SUM($O546:P546)</f>
        <v>0</v>
      </c>
      <c r="R546" s="52">
        <f ca="1">Log_2018[[#This Row],[Amount]]/Log_2018[[#This Row],[Split_raw]]*MAX(0,MIN(_xlfn.DAYS(EDATE(R$1,1),Log_2018[[#This Row],[Date]]),Log_2018[[#This Row],[Split_apply]])) - SUM($O546:Q546)</f>
        <v>0</v>
      </c>
      <c r="S546" s="52">
        <f ca="1">Log_2018[[#This Row],[Amount]]/Log_2018[[#This Row],[Split_raw]]*MAX(0,MIN(_xlfn.DAYS(EDATE(S$1,1),Log_2018[[#This Row],[Date]]),Log_2018[[#This Row],[Split_apply]])) - SUM($O546:R546)</f>
        <v>-7.94</v>
      </c>
      <c r="T546" s="52">
        <f ca="1">Log_2018[[#This Row],[Amount]]/Log_2018[[#This Row],[Split_raw]]*MAX(0,MIN(_xlfn.DAYS(EDATE(T$1,1),Log_2018[[#This Row],[Date]]),Log_2018[[#This Row],[Split_apply]])) - SUM($O546:S546)</f>
        <v>0</v>
      </c>
      <c r="U546" s="52">
        <f ca="1">Log_2018[[#This Row],[Amount]]/Log_2018[[#This Row],[Split_raw]]*MAX(0,MIN(_xlfn.DAYS(EDATE(U$1,1),Log_2018[[#This Row],[Date]]),Log_2018[[#This Row],[Split_apply]])) - SUM($O546:T546)</f>
        <v>0</v>
      </c>
      <c r="V546" s="52">
        <f ca="1">Log_2018[[#This Row],[Amount]]/Log_2018[[#This Row],[Split_raw]]*MAX(0,MIN(_xlfn.DAYS(EDATE(V$1,1),Log_2018[[#This Row],[Date]]),Log_2018[[#This Row],[Split_apply]])) - SUM($O546:U546)</f>
        <v>0</v>
      </c>
      <c r="W546" s="52">
        <f ca="1">Log_2018[[#This Row],[Amount]]/Log_2018[[#This Row],[Split_raw]]*MAX(0,MIN(_xlfn.DAYS(EDATE(W$1,1),Log_2018[[#This Row],[Date]]),Log_2018[[#This Row],[Split_apply]])) - SUM($O546:V546)</f>
        <v>0</v>
      </c>
      <c r="X546" s="52">
        <f ca="1">Log_2018[[#This Row],[Amount]]/Log_2018[[#This Row],[Split_raw]]*MAX(0,MIN(_xlfn.DAYS(EDATE(X$1,1),Log_2018[[#This Row],[Date]]),Log_2018[[#This Row],[Split_apply]])) - SUM($O546:W546)</f>
        <v>0</v>
      </c>
      <c r="Y546" s="52">
        <f ca="1">Log_2018[[#This Row],[Amount]]/Log_2018[[#This Row],[Split_raw]]*MAX(0,MIN(_xlfn.DAYS(EDATE(Y$1,1),Log_2018[[#This Row],[Date]]),Log_2018[[#This Row],[Split_apply]])) - SUM($O546:X546)</f>
        <v>0</v>
      </c>
      <c r="Z546" s="52">
        <f ca="1">Log_2018[[#This Row],[Amount]]/Log_2018[[#This Row],[Split_raw]]*MAX(0,MIN(_xlfn.DAYS(EDATE(Z$1,1),Log_2018[[#This Row],[Date]]),Log_2018[[#This Row],[Split_apply]])) - SUM($O546:Y546)</f>
        <v>0</v>
      </c>
      <c r="AA546" s="52">
        <f ca="1">Log_2018[[#This Row],[Amount]]/Log_2018[[#This Row],[Split_raw]]*MAX(0,MIN(_xlfn.DAYS(EDATE(AA$1,1),Log_2018[[#This Row],[Date]]),Log_2018[[#This Row],[Split_apply]])) - SUM($O546:Z546)</f>
        <v>0</v>
      </c>
      <c r="AB546" s="54">
        <f ca="1">Log_2018[[#This Row],[Amount]]-SUM(O546:AA546)</f>
        <v>0</v>
      </c>
      <c r="AC546" s="7">
        <f ca="1">MAX(0,Log_2018[[#This Row],[Split_apply]] - (EDATE(AA$1,1)-Log_2018[[#This Row],[Date]]))</f>
        <v>0</v>
      </c>
    </row>
    <row r="547" spans="1:29" hidden="1" x14ac:dyDescent="0.25">
      <c r="A547" s="115"/>
      <c r="B547" t="s">
        <v>6</v>
      </c>
      <c r="D547" s="29">
        <v>43202</v>
      </c>
      <c r="E547" t="s">
        <v>753</v>
      </c>
      <c r="F547" t="s">
        <v>178</v>
      </c>
      <c r="G547" t="s">
        <v>28</v>
      </c>
      <c r="H547" s="3">
        <f>--2280</f>
        <v>2280</v>
      </c>
      <c r="I547" s="36">
        <f>IF(Log_2018[[#This Row],[My Category]]="NONTRACKED",0,Log_2018[[#This Row],[Raw Amount]])</f>
        <v>2280</v>
      </c>
      <c r="J547" s="17">
        <f>ABS(Log_2018[[#This Row],[Amount]])</f>
        <v>2280</v>
      </c>
      <c r="K547" s="66">
        <v>1</v>
      </c>
      <c r="L547" s="66">
        <f ca="1">IF(Log_2018[[#This Row],[Date]]&lt;=TODAY(), MIN(Log_2018[[#This Row],[Split_raw]], TODAY()-Log_2018[[#This Row],[Date]]+1), 0)</f>
        <v>1</v>
      </c>
      <c r="M547" t="s">
        <v>144</v>
      </c>
      <c r="N547" t="s">
        <v>160</v>
      </c>
      <c r="O547" s="50">
        <v>0</v>
      </c>
      <c r="P547" s="52">
        <f ca="1">Log_2018[[#This Row],[Amount]]/Log_2018[[#This Row],[Split_raw]]*MAX(0,MIN(_xlfn.DAYS(EDATE(P$1,1),Log_2018[[#This Row],[Date]]),Log_2018[[#This Row],[Split_apply]])) - SUM($O547:O547)</f>
        <v>0</v>
      </c>
      <c r="Q547" s="52">
        <f ca="1">Log_2018[[#This Row],[Amount]]/Log_2018[[#This Row],[Split_raw]]*MAX(0,MIN(_xlfn.DAYS(EDATE(Q$1,1),Log_2018[[#This Row],[Date]]),Log_2018[[#This Row],[Split_apply]])) - SUM($O547:P547)</f>
        <v>0</v>
      </c>
      <c r="R547" s="52">
        <f ca="1">Log_2018[[#This Row],[Amount]]/Log_2018[[#This Row],[Split_raw]]*MAX(0,MIN(_xlfn.DAYS(EDATE(R$1,1),Log_2018[[#This Row],[Date]]),Log_2018[[#This Row],[Split_apply]])) - SUM($O547:Q547)</f>
        <v>0</v>
      </c>
      <c r="S547" s="52">
        <f ca="1">Log_2018[[#This Row],[Amount]]/Log_2018[[#This Row],[Split_raw]]*MAX(0,MIN(_xlfn.DAYS(EDATE(S$1,1),Log_2018[[#This Row],[Date]]),Log_2018[[#This Row],[Split_apply]])) - SUM($O547:R547)</f>
        <v>2280</v>
      </c>
      <c r="T547" s="52">
        <f ca="1">Log_2018[[#This Row],[Amount]]/Log_2018[[#This Row],[Split_raw]]*MAX(0,MIN(_xlfn.DAYS(EDATE(T$1,1),Log_2018[[#This Row],[Date]]),Log_2018[[#This Row],[Split_apply]])) - SUM($O547:S547)</f>
        <v>0</v>
      </c>
      <c r="U547" s="52">
        <f ca="1">Log_2018[[#This Row],[Amount]]/Log_2018[[#This Row],[Split_raw]]*MAX(0,MIN(_xlfn.DAYS(EDATE(U$1,1),Log_2018[[#This Row],[Date]]),Log_2018[[#This Row],[Split_apply]])) - SUM($O547:T547)</f>
        <v>0</v>
      </c>
      <c r="V547" s="52">
        <f ca="1">Log_2018[[#This Row],[Amount]]/Log_2018[[#This Row],[Split_raw]]*MAX(0,MIN(_xlfn.DAYS(EDATE(V$1,1),Log_2018[[#This Row],[Date]]),Log_2018[[#This Row],[Split_apply]])) - SUM($O547:U547)</f>
        <v>0</v>
      </c>
      <c r="W547" s="52">
        <f ca="1">Log_2018[[#This Row],[Amount]]/Log_2018[[#This Row],[Split_raw]]*MAX(0,MIN(_xlfn.DAYS(EDATE(W$1,1),Log_2018[[#This Row],[Date]]),Log_2018[[#This Row],[Split_apply]])) - SUM($O547:V547)</f>
        <v>0</v>
      </c>
      <c r="X547" s="52">
        <f ca="1">Log_2018[[#This Row],[Amount]]/Log_2018[[#This Row],[Split_raw]]*MAX(0,MIN(_xlfn.DAYS(EDATE(X$1,1),Log_2018[[#This Row],[Date]]),Log_2018[[#This Row],[Split_apply]])) - SUM($O547:W547)</f>
        <v>0</v>
      </c>
      <c r="Y547" s="52">
        <f ca="1">Log_2018[[#This Row],[Amount]]/Log_2018[[#This Row],[Split_raw]]*MAX(0,MIN(_xlfn.DAYS(EDATE(Y$1,1),Log_2018[[#This Row],[Date]]),Log_2018[[#This Row],[Split_apply]])) - SUM($O547:X547)</f>
        <v>0</v>
      </c>
      <c r="Z547" s="52">
        <f ca="1">Log_2018[[#This Row],[Amount]]/Log_2018[[#This Row],[Split_raw]]*MAX(0,MIN(_xlfn.DAYS(EDATE(Z$1,1),Log_2018[[#This Row],[Date]]),Log_2018[[#This Row],[Split_apply]])) - SUM($O547:Y547)</f>
        <v>0</v>
      </c>
      <c r="AA547" s="52">
        <f ca="1">Log_2018[[#This Row],[Amount]]/Log_2018[[#This Row],[Split_raw]]*MAX(0,MIN(_xlfn.DAYS(EDATE(AA$1,1),Log_2018[[#This Row],[Date]]),Log_2018[[#This Row],[Split_apply]])) - SUM($O547:Z547)</f>
        <v>0</v>
      </c>
      <c r="AB547" s="54">
        <f ca="1">Log_2018[[#This Row],[Amount]]-SUM(O547:AA547)</f>
        <v>0</v>
      </c>
      <c r="AC547" s="7">
        <f ca="1">MAX(0,Log_2018[[#This Row],[Split_apply]] - (EDATE(AA$1,1)-Log_2018[[#This Row],[Date]]))</f>
        <v>0</v>
      </c>
    </row>
    <row r="548" spans="1:29" hidden="1" x14ac:dyDescent="0.25">
      <c r="A548" s="115"/>
      <c r="B548" t="s">
        <v>6</v>
      </c>
      <c r="D548" s="29">
        <v>43202</v>
      </c>
      <c r="F548" t="s">
        <v>59</v>
      </c>
      <c r="G548" t="s">
        <v>25</v>
      </c>
      <c r="H548" s="3">
        <v>-7.94</v>
      </c>
      <c r="I548" s="36">
        <f>IF(Log_2018[[#This Row],[My Category]]="NONTRACKED",0,Log_2018[[#This Row],[Raw Amount]])</f>
        <v>-7.94</v>
      </c>
      <c r="J548" s="17">
        <f>ABS(Log_2018[[#This Row],[Amount]])</f>
        <v>7.94</v>
      </c>
      <c r="K548" s="66">
        <v>1</v>
      </c>
      <c r="L548" s="66">
        <f ca="1">IF(Log_2018[[#This Row],[Date]]&lt;=TODAY(), MIN(Log_2018[[#This Row],[Split_raw]], TODAY()-Log_2018[[#This Row],[Date]]+1), 0)</f>
        <v>1</v>
      </c>
      <c r="M548" t="s">
        <v>35</v>
      </c>
      <c r="N548" t="s">
        <v>158</v>
      </c>
      <c r="O548" s="50">
        <v>0</v>
      </c>
      <c r="P548" s="52">
        <f ca="1">Log_2018[[#This Row],[Amount]]/Log_2018[[#This Row],[Split_raw]]*MAX(0,MIN(_xlfn.DAYS(EDATE(P$1,1),Log_2018[[#This Row],[Date]]),Log_2018[[#This Row],[Split_apply]])) - SUM($O548:O548)</f>
        <v>0</v>
      </c>
      <c r="Q548" s="52">
        <f ca="1">Log_2018[[#This Row],[Amount]]/Log_2018[[#This Row],[Split_raw]]*MAX(0,MIN(_xlfn.DAYS(EDATE(Q$1,1),Log_2018[[#This Row],[Date]]),Log_2018[[#This Row],[Split_apply]])) - SUM($O548:P548)</f>
        <v>0</v>
      </c>
      <c r="R548" s="52">
        <f ca="1">Log_2018[[#This Row],[Amount]]/Log_2018[[#This Row],[Split_raw]]*MAX(0,MIN(_xlfn.DAYS(EDATE(R$1,1),Log_2018[[#This Row],[Date]]),Log_2018[[#This Row],[Split_apply]])) - SUM($O548:Q548)</f>
        <v>0</v>
      </c>
      <c r="S548" s="52">
        <f ca="1">Log_2018[[#This Row],[Amount]]/Log_2018[[#This Row],[Split_raw]]*MAX(0,MIN(_xlfn.DAYS(EDATE(S$1,1),Log_2018[[#This Row],[Date]]),Log_2018[[#This Row],[Split_apply]])) - SUM($O548:R548)</f>
        <v>-7.94</v>
      </c>
      <c r="T548" s="52">
        <f ca="1">Log_2018[[#This Row],[Amount]]/Log_2018[[#This Row],[Split_raw]]*MAX(0,MIN(_xlfn.DAYS(EDATE(T$1,1),Log_2018[[#This Row],[Date]]),Log_2018[[#This Row],[Split_apply]])) - SUM($O548:S548)</f>
        <v>0</v>
      </c>
      <c r="U548" s="52">
        <f ca="1">Log_2018[[#This Row],[Amount]]/Log_2018[[#This Row],[Split_raw]]*MAX(0,MIN(_xlfn.DAYS(EDATE(U$1,1),Log_2018[[#This Row],[Date]]),Log_2018[[#This Row],[Split_apply]])) - SUM($O548:T548)</f>
        <v>0</v>
      </c>
      <c r="V548" s="52">
        <f ca="1">Log_2018[[#This Row],[Amount]]/Log_2018[[#This Row],[Split_raw]]*MAX(0,MIN(_xlfn.DAYS(EDATE(V$1,1),Log_2018[[#This Row],[Date]]),Log_2018[[#This Row],[Split_apply]])) - SUM($O548:U548)</f>
        <v>0</v>
      </c>
      <c r="W548" s="52">
        <f ca="1">Log_2018[[#This Row],[Amount]]/Log_2018[[#This Row],[Split_raw]]*MAX(0,MIN(_xlfn.DAYS(EDATE(W$1,1),Log_2018[[#This Row],[Date]]),Log_2018[[#This Row],[Split_apply]])) - SUM($O548:V548)</f>
        <v>0</v>
      </c>
      <c r="X548" s="52">
        <f ca="1">Log_2018[[#This Row],[Amount]]/Log_2018[[#This Row],[Split_raw]]*MAX(0,MIN(_xlfn.DAYS(EDATE(X$1,1),Log_2018[[#This Row],[Date]]),Log_2018[[#This Row],[Split_apply]])) - SUM($O548:W548)</f>
        <v>0</v>
      </c>
      <c r="Y548" s="52">
        <f ca="1">Log_2018[[#This Row],[Amount]]/Log_2018[[#This Row],[Split_raw]]*MAX(0,MIN(_xlfn.DAYS(EDATE(Y$1,1),Log_2018[[#This Row],[Date]]),Log_2018[[#This Row],[Split_apply]])) - SUM($O548:X548)</f>
        <v>0</v>
      </c>
      <c r="Z548" s="52">
        <f ca="1">Log_2018[[#This Row],[Amount]]/Log_2018[[#This Row],[Split_raw]]*MAX(0,MIN(_xlfn.DAYS(EDATE(Z$1,1),Log_2018[[#This Row],[Date]]),Log_2018[[#This Row],[Split_apply]])) - SUM($O548:Y548)</f>
        <v>0</v>
      </c>
      <c r="AA548" s="52">
        <f ca="1">Log_2018[[#This Row],[Amount]]/Log_2018[[#This Row],[Split_raw]]*MAX(0,MIN(_xlfn.DAYS(EDATE(AA$1,1),Log_2018[[#This Row],[Date]]),Log_2018[[#This Row],[Split_apply]])) - SUM($O548:Z548)</f>
        <v>0</v>
      </c>
      <c r="AB548" s="54">
        <f ca="1">Log_2018[[#This Row],[Amount]]-SUM(O548:AA548)</f>
        <v>0</v>
      </c>
      <c r="AC548" s="7">
        <f ca="1">MAX(0,Log_2018[[#This Row],[Split_apply]] - (EDATE(AA$1,1)-Log_2018[[#This Row],[Date]]))</f>
        <v>0</v>
      </c>
    </row>
    <row r="549" spans="1:29" hidden="1" x14ac:dyDescent="0.25">
      <c r="A549" s="115"/>
      <c r="B549" t="s">
        <v>6</v>
      </c>
      <c r="D549" s="29">
        <v>43202</v>
      </c>
      <c r="F549" t="s">
        <v>177</v>
      </c>
      <c r="G549" t="s">
        <v>80</v>
      </c>
      <c r="H549" s="3">
        <f>--1903.52</f>
        <v>1903.52</v>
      </c>
      <c r="I549" s="36">
        <f>IF(Log_2018[[#This Row],[My Category]]="NONTRACKED",0,Log_2018[[#This Row],[Raw Amount]])</f>
        <v>1903.52</v>
      </c>
      <c r="J549" s="17">
        <f>ABS(Log_2018[[#This Row],[Amount]])</f>
        <v>1903.52</v>
      </c>
      <c r="K549" s="66">
        <v>14</v>
      </c>
      <c r="L549" s="66">
        <f ca="1">IF(Log_2018[[#This Row],[Date]]&lt;=TODAY(), MIN(Log_2018[[#This Row],[Split_raw]], TODAY()-Log_2018[[#This Row],[Date]]+1), 0)</f>
        <v>14</v>
      </c>
      <c r="M549" t="s">
        <v>91</v>
      </c>
      <c r="N549" t="s">
        <v>160</v>
      </c>
      <c r="O549" s="50">
        <v>0</v>
      </c>
      <c r="P549" s="52">
        <f ca="1">Log_2018[[#This Row],[Amount]]/Log_2018[[#This Row],[Split_raw]]*MAX(0,MIN(_xlfn.DAYS(EDATE(P$1,1),Log_2018[[#This Row],[Date]]),Log_2018[[#This Row],[Split_apply]])) - SUM($O549:O549)</f>
        <v>0</v>
      </c>
      <c r="Q549" s="52">
        <f ca="1">Log_2018[[#This Row],[Amount]]/Log_2018[[#This Row],[Split_raw]]*MAX(0,MIN(_xlfn.DAYS(EDATE(Q$1,1),Log_2018[[#This Row],[Date]]),Log_2018[[#This Row],[Split_apply]])) - SUM($O549:P549)</f>
        <v>0</v>
      </c>
      <c r="R549" s="52">
        <f ca="1">Log_2018[[#This Row],[Amount]]/Log_2018[[#This Row],[Split_raw]]*MAX(0,MIN(_xlfn.DAYS(EDATE(R$1,1),Log_2018[[#This Row],[Date]]),Log_2018[[#This Row],[Split_apply]])) - SUM($O549:Q549)</f>
        <v>0</v>
      </c>
      <c r="S549" s="52">
        <f ca="1">Log_2018[[#This Row],[Amount]]/Log_2018[[#This Row],[Split_raw]]*MAX(0,MIN(_xlfn.DAYS(EDATE(S$1,1),Log_2018[[#This Row],[Date]]),Log_2018[[#This Row],[Split_apply]])) - SUM($O549:R549)</f>
        <v>1903.52</v>
      </c>
      <c r="T549" s="52">
        <f ca="1">Log_2018[[#This Row],[Amount]]/Log_2018[[#This Row],[Split_raw]]*MAX(0,MIN(_xlfn.DAYS(EDATE(T$1,1),Log_2018[[#This Row],[Date]]),Log_2018[[#This Row],[Split_apply]])) - SUM($O549:S549)</f>
        <v>0</v>
      </c>
      <c r="U549" s="52">
        <f ca="1">Log_2018[[#This Row],[Amount]]/Log_2018[[#This Row],[Split_raw]]*MAX(0,MIN(_xlfn.DAYS(EDATE(U$1,1),Log_2018[[#This Row],[Date]]),Log_2018[[#This Row],[Split_apply]])) - SUM($O549:T549)</f>
        <v>0</v>
      </c>
      <c r="V549" s="52">
        <f ca="1">Log_2018[[#This Row],[Amount]]/Log_2018[[#This Row],[Split_raw]]*MAX(0,MIN(_xlfn.DAYS(EDATE(V$1,1),Log_2018[[#This Row],[Date]]),Log_2018[[#This Row],[Split_apply]])) - SUM($O549:U549)</f>
        <v>0</v>
      </c>
      <c r="W549" s="52">
        <f ca="1">Log_2018[[#This Row],[Amount]]/Log_2018[[#This Row],[Split_raw]]*MAX(0,MIN(_xlfn.DAYS(EDATE(W$1,1),Log_2018[[#This Row],[Date]]),Log_2018[[#This Row],[Split_apply]])) - SUM($O549:V549)</f>
        <v>0</v>
      </c>
      <c r="X549" s="52">
        <f ca="1">Log_2018[[#This Row],[Amount]]/Log_2018[[#This Row],[Split_raw]]*MAX(0,MIN(_xlfn.DAYS(EDATE(X$1,1),Log_2018[[#This Row],[Date]]),Log_2018[[#This Row],[Split_apply]])) - SUM($O549:W549)</f>
        <v>0</v>
      </c>
      <c r="Y549" s="52">
        <f ca="1">Log_2018[[#This Row],[Amount]]/Log_2018[[#This Row],[Split_raw]]*MAX(0,MIN(_xlfn.DAYS(EDATE(Y$1,1),Log_2018[[#This Row],[Date]]),Log_2018[[#This Row],[Split_apply]])) - SUM($O549:X549)</f>
        <v>0</v>
      </c>
      <c r="Z549" s="52">
        <f ca="1">Log_2018[[#This Row],[Amount]]/Log_2018[[#This Row],[Split_raw]]*MAX(0,MIN(_xlfn.DAYS(EDATE(Z$1,1),Log_2018[[#This Row],[Date]]),Log_2018[[#This Row],[Split_apply]])) - SUM($O549:Y549)</f>
        <v>0</v>
      </c>
      <c r="AA549" s="52">
        <f ca="1">Log_2018[[#This Row],[Amount]]/Log_2018[[#This Row],[Split_raw]]*MAX(0,MIN(_xlfn.DAYS(EDATE(AA$1,1),Log_2018[[#This Row],[Date]]),Log_2018[[#This Row],[Split_apply]])) - SUM($O549:Z549)</f>
        <v>0</v>
      </c>
      <c r="AB549" s="54">
        <f ca="1">Log_2018[[#This Row],[Amount]]-SUM(O549:AA549)</f>
        <v>0</v>
      </c>
      <c r="AC549" s="7">
        <f ca="1">MAX(0,Log_2018[[#This Row],[Split_apply]] - (EDATE(AA$1,1)-Log_2018[[#This Row],[Date]]))</f>
        <v>0</v>
      </c>
    </row>
    <row r="550" spans="1:29" hidden="1" x14ac:dyDescent="0.25">
      <c r="A550" s="115"/>
      <c r="B550" t="s">
        <v>6</v>
      </c>
      <c r="D550" s="29">
        <v>43202</v>
      </c>
      <c r="F550" t="s">
        <v>239</v>
      </c>
      <c r="G550" t="s">
        <v>7</v>
      </c>
      <c r="H550" s="3">
        <v>-103</v>
      </c>
      <c r="I550" s="36">
        <f>IF(Log_2018[[#This Row],[My Category]]="NONTRACKED",0,Log_2018[[#This Row],[Raw Amount]])</f>
        <v>-103</v>
      </c>
      <c r="J550" s="17">
        <f>ABS(Log_2018[[#This Row],[Amount]])</f>
        <v>103</v>
      </c>
      <c r="K550" s="66">
        <v>1</v>
      </c>
      <c r="L550" s="66">
        <f ca="1">IF(Log_2018[[#This Row],[Date]]&lt;=TODAY(), MIN(Log_2018[[#This Row],[Split_raw]], TODAY()-Log_2018[[#This Row],[Date]]+1), 0)</f>
        <v>1</v>
      </c>
      <c r="M550" t="s">
        <v>196</v>
      </c>
      <c r="N550" t="s">
        <v>160</v>
      </c>
      <c r="O550" s="50">
        <v>0</v>
      </c>
      <c r="P550" s="52">
        <f ca="1">Log_2018[[#This Row],[Amount]]/Log_2018[[#This Row],[Split_raw]]*MAX(0,MIN(_xlfn.DAYS(EDATE(P$1,1),Log_2018[[#This Row],[Date]]),Log_2018[[#This Row],[Split_apply]])) - SUM($O550:O550)</f>
        <v>0</v>
      </c>
      <c r="Q550" s="52">
        <f ca="1">Log_2018[[#This Row],[Amount]]/Log_2018[[#This Row],[Split_raw]]*MAX(0,MIN(_xlfn.DAYS(EDATE(Q$1,1),Log_2018[[#This Row],[Date]]),Log_2018[[#This Row],[Split_apply]])) - SUM($O550:P550)</f>
        <v>0</v>
      </c>
      <c r="R550" s="52">
        <f ca="1">Log_2018[[#This Row],[Amount]]/Log_2018[[#This Row],[Split_raw]]*MAX(0,MIN(_xlfn.DAYS(EDATE(R$1,1),Log_2018[[#This Row],[Date]]),Log_2018[[#This Row],[Split_apply]])) - SUM($O550:Q550)</f>
        <v>0</v>
      </c>
      <c r="S550" s="52">
        <f ca="1">Log_2018[[#This Row],[Amount]]/Log_2018[[#This Row],[Split_raw]]*MAX(0,MIN(_xlfn.DAYS(EDATE(S$1,1),Log_2018[[#This Row],[Date]]),Log_2018[[#This Row],[Split_apply]])) - SUM($O550:R550)</f>
        <v>-103</v>
      </c>
      <c r="T550" s="52">
        <f ca="1">Log_2018[[#This Row],[Amount]]/Log_2018[[#This Row],[Split_raw]]*MAX(0,MIN(_xlfn.DAYS(EDATE(T$1,1),Log_2018[[#This Row],[Date]]),Log_2018[[#This Row],[Split_apply]])) - SUM($O550:S550)</f>
        <v>0</v>
      </c>
      <c r="U550" s="52">
        <f ca="1">Log_2018[[#This Row],[Amount]]/Log_2018[[#This Row],[Split_raw]]*MAX(0,MIN(_xlfn.DAYS(EDATE(U$1,1),Log_2018[[#This Row],[Date]]),Log_2018[[#This Row],[Split_apply]])) - SUM($O550:T550)</f>
        <v>0</v>
      </c>
      <c r="V550" s="52">
        <f ca="1">Log_2018[[#This Row],[Amount]]/Log_2018[[#This Row],[Split_raw]]*MAX(0,MIN(_xlfn.DAYS(EDATE(V$1,1),Log_2018[[#This Row],[Date]]),Log_2018[[#This Row],[Split_apply]])) - SUM($O550:U550)</f>
        <v>0</v>
      </c>
      <c r="W550" s="52">
        <f ca="1">Log_2018[[#This Row],[Amount]]/Log_2018[[#This Row],[Split_raw]]*MAX(0,MIN(_xlfn.DAYS(EDATE(W$1,1),Log_2018[[#This Row],[Date]]),Log_2018[[#This Row],[Split_apply]])) - SUM($O550:V550)</f>
        <v>0</v>
      </c>
      <c r="X550" s="52">
        <f ca="1">Log_2018[[#This Row],[Amount]]/Log_2018[[#This Row],[Split_raw]]*MAX(0,MIN(_xlfn.DAYS(EDATE(X$1,1),Log_2018[[#This Row],[Date]]),Log_2018[[#This Row],[Split_apply]])) - SUM($O550:W550)</f>
        <v>0</v>
      </c>
      <c r="Y550" s="52">
        <f ca="1">Log_2018[[#This Row],[Amount]]/Log_2018[[#This Row],[Split_raw]]*MAX(0,MIN(_xlfn.DAYS(EDATE(Y$1,1),Log_2018[[#This Row],[Date]]),Log_2018[[#This Row],[Split_apply]])) - SUM($O550:X550)</f>
        <v>0</v>
      </c>
      <c r="Z550" s="52">
        <f ca="1">Log_2018[[#This Row],[Amount]]/Log_2018[[#This Row],[Split_raw]]*MAX(0,MIN(_xlfn.DAYS(EDATE(Z$1,1),Log_2018[[#This Row],[Date]]),Log_2018[[#This Row],[Split_apply]])) - SUM($O550:Y550)</f>
        <v>0</v>
      </c>
      <c r="AA550" s="52">
        <f ca="1">Log_2018[[#This Row],[Amount]]/Log_2018[[#This Row],[Split_raw]]*MAX(0,MIN(_xlfn.DAYS(EDATE(AA$1,1),Log_2018[[#This Row],[Date]]),Log_2018[[#This Row],[Split_apply]])) - SUM($O550:Z550)</f>
        <v>0</v>
      </c>
      <c r="AB550" s="54">
        <f ca="1">Log_2018[[#This Row],[Amount]]-SUM(O550:AA550)</f>
        <v>0</v>
      </c>
      <c r="AC550" s="7">
        <f ca="1">MAX(0,Log_2018[[#This Row],[Split_apply]] - (EDATE(AA$1,1)-Log_2018[[#This Row],[Date]]))</f>
        <v>0</v>
      </c>
    </row>
    <row r="551" spans="1:29" hidden="1" x14ac:dyDescent="0.25">
      <c r="A551" s="115"/>
      <c r="B551" t="s">
        <v>6</v>
      </c>
      <c r="D551" s="29">
        <v>43201</v>
      </c>
      <c r="F551" t="s">
        <v>227</v>
      </c>
      <c r="G551" t="s">
        <v>13</v>
      </c>
      <c r="H551" s="3">
        <v>-22.38</v>
      </c>
      <c r="I551" s="36">
        <f>IF(Log_2018[[#This Row],[My Category]]="NONTRACKED",0,Log_2018[[#This Row],[Raw Amount]])</f>
        <v>-22.38</v>
      </c>
      <c r="J551" s="17">
        <f>ABS(Log_2018[[#This Row],[Amount]])</f>
        <v>22.38</v>
      </c>
      <c r="K551" s="66">
        <v>1</v>
      </c>
      <c r="L551" s="66">
        <f ca="1">IF(Log_2018[[#This Row],[Date]]&lt;=TODAY(), MIN(Log_2018[[#This Row],[Split_raw]], TODAY()-Log_2018[[#This Row],[Date]]+1), 0)</f>
        <v>1</v>
      </c>
      <c r="M551" t="s">
        <v>146</v>
      </c>
      <c r="N551" t="s">
        <v>158</v>
      </c>
      <c r="O551" s="50">
        <v>0</v>
      </c>
      <c r="P551" s="52">
        <f ca="1">Log_2018[[#This Row],[Amount]]/Log_2018[[#This Row],[Split_raw]]*MAX(0,MIN(_xlfn.DAYS(EDATE(P$1,1),Log_2018[[#This Row],[Date]]),Log_2018[[#This Row],[Split_apply]])) - SUM($O551:O551)</f>
        <v>0</v>
      </c>
      <c r="Q551" s="52">
        <f ca="1">Log_2018[[#This Row],[Amount]]/Log_2018[[#This Row],[Split_raw]]*MAX(0,MIN(_xlfn.DAYS(EDATE(Q$1,1),Log_2018[[#This Row],[Date]]),Log_2018[[#This Row],[Split_apply]])) - SUM($O551:P551)</f>
        <v>0</v>
      </c>
      <c r="R551" s="52">
        <f ca="1">Log_2018[[#This Row],[Amount]]/Log_2018[[#This Row],[Split_raw]]*MAX(0,MIN(_xlfn.DAYS(EDATE(R$1,1),Log_2018[[#This Row],[Date]]),Log_2018[[#This Row],[Split_apply]])) - SUM($O551:Q551)</f>
        <v>0</v>
      </c>
      <c r="S551" s="52">
        <f ca="1">Log_2018[[#This Row],[Amount]]/Log_2018[[#This Row],[Split_raw]]*MAX(0,MIN(_xlfn.DAYS(EDATE(S$1,1),Log_2018[[#This Row],[Date]]),Log_2018[[#This Row],[Split_apply]])) - SUM($O551:R551)</f>
        <v>-22.38</v>
      </c>
      <c r="T551" s="52">
        <f ca="1">Log_2018[[#This Row],[Amount]]/Log_2018[[#This Row],[Split_raw]]*MAX(0,MIN(_xlfn.DAYS(EDATE(T$1,1),Log_2018[[#This Row],[Date]]),Log_2018[[#This Row],[Split_apply]])) - SUM($O551:S551)</f>
        <v>0</v>
      </c>
      <c r="U551" s="52">
        <f ca="1">Log_2018[[#This Row],[Amount]]/Log_2018[[#This Row],[Split_raw]]*MAX(0,MIN(_xlfn.DAYS(EDATE(U$1,1),Log_2018[[#This Row],[Date]]),Log_2018[[#This Row],[Split_apply]])) - SUM($O551:T551)</f>
        <v>0</v>
      </c>
      <c r="V551" s="52">
        <f ca="1">Log_2018[[#This Row],[Amount]]/Log_2018[[#This Row],[Split_raw]]*MAX(0,MIN(_xlfn.DAYS(EDATE(V$1,1),Log_2018[[#This Row],[Date]]),Log_2018[[#This Row],[Split_apply]])) - SUM($O551:U551)</f>
        <v>0</v>
      </c>
      <c r="W551" s="52">
        <f ca="1">Log_2018[[#This Row],[Amount]]/Log_2018[[#This Row],[Split_raw]]*MAX(0,MIN(_xlfn.DAYS(EDATE(W$1,1),Log_2018[[#This Row],[Date]]),Log_2018[[#This Row],[Split_apply]])) - SUM($O551:V551)</f>
        <v>0</v>
      </c>
      <c r="X551" s="52">
        <f ca="1">Log_2018[[#This Row],[Amount]]/Log_2018[[#This Row],[Split_raw]]*MAX(0,MIN(_xlfn.DAYS(EDATE(X$1,1),Log_2018[[#This Row],[Date]]),Log_2018[[#This Row],[Split_apply]])) - SUM($O551:W551)</f>
        <v>0</v>
      </c>
      <c r="Y551" s="52">
        <f ca="1">Log_2018[[#This Row],[Amount]]/Log_2018[[#This Row],[Split_raw]]*MAX(0,MIN(_xlfn.DAYS(EDATE(Y$1,1),Log_2018[[#This Row],[Date]]),Log_2018[[#This Row],[Split_apply]])) - SUM($O551:X551)</f>
        <v>0</v>
      </c>
      <c r="Z551" s="52">
        <f ca="1">Log_2018[[#This Row],[Amount]]/Log_2018[[#This Row],[Split_raw]]*MAX(0,MIN(_xlfn.DAYS(EDATE(Z$1,1),Log_2018[[#This Row],[Date]]),Log_2018[[#This Row],[Split_apply]])) - SUM($O551:Y551)</f>
        <v>0</v>
      </c>
      <c r="AA551" s="52">
        <f ca="1">Log_2018[[#This Row],[Amount]]/Log_2018[[#This Row],[Split_raw]]*MAX(0,MIN(_xlfn.DAYS(EDATE(AA$1,1),Log_2018[[#This Row],[Date]]),Log_2018[[#This Row],[Split_apply]])) - SUM($O551:Z551)</f>
        <v>0</v>
      </c>
      <c r="AB551" s="54">
        <f ca="1">Log_2018[[#This Row],[Amount]]-SUM(O551:AA551)</f>
        <v>0</v>
      </c>
      <c r="AC551" s="7">
        <f ca="1">MAX(0,Log_2018[[#This Row],[Split_apply]] - (EDATE(AA$1,1)-Log_2018[[#This Row],[Date]]))</f>
        <v>0</v>
      </c>
    </row>
    <row r="552" spans="1:29" hidden="1" x14ac:dyDescent="0.25">
      <c r="A552" s="115"/>
      <c r="B552" t="s">
        <v>6</v>
      </c>
      <c r="D552" s="29">
        <v>43201</v>
      </c>
      <c r="F552" t="s">
        <v>67</v>
      </c>
      <c r="G552" t="s">
        <v>25</v>
      </c>
      <c r="H552" s="3">
        <v>-6.94</v>
      </c>
      <c r="I552" s="36">
        <f>IF(Log_2018[[#This Row],[My Category]]="NONTRACKED",0,Log_2018[[#This Row],[Raw Amount]])</f>
        <v>-6.94</v>
      </c>
      <c r="J552" s="17">
        <f>ABS(Log_2018[[#This Row],[Amount]])</f>
        <v>6.94</v>
      </c>
      <c r="K552" s="66">
        <v>1</v>
      </c>
      <c r="L552" s="66">
        <f ca="1">IF(Log_2018[[#This Row],[Date]]&lt;=TODAY(), MIN(Log_2018[[#This Row],[Split_raw]], TODAY()-Log_2018[[#This Row],[Date]]+1), 0)</f>
        <v>1</v>
      </c>
      <c r="M552" t="s">
        <v>35</v>
      </c>
      <c r="N552" t="s">
        <v>158</v>
      </c>
      <c r="O552" s="50">
        <v>0</v>
      </c>
      <c r="P552" s="52">
        <f ca="1">Log_2018[[#This Row],[Amount]]/Log_2018[[#This Row],[Split_raw]]*MAX(0,MIN(_xlfn.DAYS(EDATE(P$1,1),Log_2018[[#This Row],[Date]]),Log_2018[[#This Row],[Split_apply]])) - SUM($O552:O552)</f>
        <v>0</v>
      </c>
      <c r="Q552" s="52">
        <f ca="1">Log_2018[[#This Row],[Amount]]/Log_2018[[#This Row],[Split_raw]]*MAX(0,MIN(_xlfn.DAYS(EDATE(Q$1,1),Log_2018[[#This Row],[Date]]),Log_2018[[#This Row],[Split_apply]])) - SUM($O552:P552)</f>
        <v>0</v>
      </c>
      <c r="R552" s="52">
        <f ca="1">Log_2018[[#This Row],[Amount]]/Log_2018[[#This Row],[Split_raw]]*MAX(0,MIN(_xlfn.DAYS(EDATE(R$1,1),Log_2018[[#This Row],[Date]]),Log_2018[[#This Row],[Split_apply]])) - SUM($O552:Q552)</f>
        <v>0</v>
      </c>
      <c r="S552" s="52">
        <f ca="1">Log_2018[[#This Row],[Amount]]/Log_2018[[#This Row],[Split_raw]]*MAX(0,MIN(_xlfn.DAYS(EDATE(S$1,1),Log_2018[[#This Row],[Date]]),Log_2018[[#This Row],[Split_apply]])) - SUM($O552:R552)</f>
        <v>-6.94</v>
      </c>
      <c r="T552" s="52">
        <f ca="1">Log_2018[[#This Row],[Amount]]/Log_2018[[#This Row],[Split_raw]]*MAX(0,MIN(_xlfn.DAYS(EDATE(T$1,1),Log_2018[[#This Row],[Date]]),Log_2018[[#This Row],[Split_apply]])) - SUM($O552:S552)</f>
        <v>0</v>
      </c>
      <c r="U552" s="52">
        <f ca="1">Log_2018[[#This Row],[Amount]]/Log_2018[[#This Row],[Split_raw]]*MAX(0,MIN(_xlfn.DAYS(EDATE(U$1,1),Log_2018[[#This Row],[Date]]),Log_2018[[#This Row],[Split_apply]])) - SUM($O552:T552)</f>
        <v>0</v>
      </c>
      <c r="V552" s="52">
        <f ca="1">Log_2018[[#This Row],[Amount]]/Log_2018[[#This Row],[Split_raw]]*MAX(0,MIN(_xlfn.DAYS(EDATE(V$1,1),Log_2018[[#This Row],[Date]]),Log_2018[[#This Row],[Split_apply]])) - SUM($O552:U552)</f>
        <v>0</v>
      </c>
      <c r="W552" s="52">
        <f ca="1">Log_2018[[#This Row],[Amount]]/Log_2018[[#This Row],[Split_raw]]*MAX(0,MIN(_xlfn.DAYS(EDATE(W$1,1),Log_2018[[#This Row],[Date]]),Log_2018[[#This Row],[Split_apply]])) - SUM($O552:V552)</f>
        <v>0</v>
      </c>
      <c r="X552" s="52">
        <f ca="1">Log_2018[[#This Row],[Amount]]/Log_2018[[#This Row],[Split_raw]]*MAX(0,MIN(_xlfn.DAYS(EDATE(X$1,1),Log_2018[[#This Row],[Date]]),Log_2018[[#This Row],[Split_apply]])) - SUM($O552:W552)</f>
        <v>0</v>
      </c>
      <c r="Y552" s="52">
        <f ca="1">Log_2018[[#This Row],[Amount]]/Log_2018[[#This Row],[Split_raw]]*MAX(0,MIN(_xlfn.DAYS(EDATE(Y$1,1),Log_2018[[#This Row],[Date]]),Log_2018[[#This Row],[Split_apply]])) - SUM($O552:X552)</f>
        <v>0</v>
      </c>
      <c r="Z552" s="52">
        <f ca="1">Log_2018[[#This Row],[Amount]]/Log_2018[[#This Row],[Split_raw]]*MAX(0,MIN(_xlfn.DAYS(EDATE(Z$1,1),Log_2018[[#This Row],[Date]]),Log_2018[[#This Row],[Split_apply]])) - SUM($O552:Y552)</f>
        <v>0</v>
      </c>
      <c r="AA552" s="52">
        <f ca="1">Log_2018[[#This Row],[Amount]]/Log_2018[[#This Row],[Split_raw]]*MAX(0,MIN(_xlfn.DAYS(EDATE(AA$1,1),Log_2018[[#This Row],[Date]]),Log_2018[[#This Row],[Split_apply]])) - SUM($O552:Z552)</f>
        <v>0</v>
      </c>
      <c r="AB552" s="54">
        <f ca="1">Log_2018[[#This Row],[Amount]]-SUM(O552:AA552)</f>
        <v>0</v>
      </c>
      <c r="AC552" s="7">
        <f ca="1">MAX(0,Log_2018[[#This Row],[Split_apply]] - (EDATE(AA$1,1)-Log_2018[[#This Row],[Date]]))</f>
        <v>0</v>
      </c>
    </row>
    <row r="553" spans="1:29" hidden="1" x14ac:dyDescent="0.25">
      <c r="A553" s="115"/>
      <c r="B553" t="s">
        <v>6</v>
      </c>
      <c r="D553" s="29">
        <v>43201</v>
      </c>
      <c r="F553" t="s">
        <v>67</v>
      </c>
      <c r="G553" t="s">
        <v>25</v>
      </c>
      <c r="H553" s="3">
        <v>-17.649999999999999</v>
      </c>
      <c r="I553" s="36">
        <f>IF(Log_2018[[#This Row],[My Category]]="NONTRACKED",0,Log_2018[[#This Row],[Raw Amount]])</f>
        <v>-17.649999999999999</v>
      </c>
      <c r="J553" s="17">
        <f>ABS(Log_2018[[#This Row],[Amount]])</f>
        <v>17.649999999999999</v>
      </c>
      <c r="K553" s="66">
        <v>1</v>
      </c>
      <c r="L553" s="66">
        <f ca="1">IF(Log_2018[[#This Row],[Date]]&lt;=TODAY(), MIN(Log_2018[[#This Row],[Split_raw]], TODAY()-Log_2018[[#This Row],[Date]]+1), 0)</f>
        <v>1</v>
      </c>
      <c r="M553" t="s">
        <v>52</v>
      </c>
      <c r="N553" t="s">
        <v>158</v>
      </c>
      <c r="O553" s="50">
        <v>0</v>
      </c>
      <c r="P553" s="52">
        <f ca="1">Log_2018[[#This Row],[Amount]]/Log_2018[[#This Row],[Split_raw]]*MAX(0,MIN(_xlfn.DAYS(EDATE(P$1,1),Log_2018[[#This Row],[Date]]),Log_2018[[#This Row],[Split_apply]])) - SUM($O553:O553)</f>
        <v>0</v>
      </c>
      <c r="Q553" s="52">
        <f ca="1">Log_2018[[#This Row],[Amount]]/Log_2018[[#This Row],[Split_raw]]*MAX(0,MIN(_xlfn.DAYS(EDATE(Q$1,1),Log_2018[[#This Row],[Date]]),Log_2018[[#This Row],[Split_apply]])) - SUM($O553:P553)</f>
        <v>0</v>
      </c>
      <c r="R553" s="52">
        <f ca="1">Log_2018[[#This Row],[Amount]]/Log_2018[[#This Row],[Split_raw]]*MAX(0,MIN(_xlfn.DAYS(EDATE(R$1,1),Log_2018[[#This Row],[Date]]),Log_2018[[#This Row],[Split_apply]])) - SUM($O553:Q553)</f>
        <v>0</v>
      </c>
      <c r="S553" s="52">
        <f ca="1">Log_2018[[#This Row],[Amount]]/Log_2018[[#This Row],[Split_raw]]*MAX(0,MIN(_xlfn.DAYS(EDATE(S$1,1),Log_2018[[#This Row],[Date]]),Log_2018[[#This Row],[Split_apply]])) - SUM($O553:R553)</f>
        <v>-17.649999999999999</v>
      </c>
      <c r="T553" s="52">
        <f ca="1">Log_2018[[#This Row],[Amount]]/Log_2018[[#This Row],[Split_raw]]*MAX(0,MIN(_xlfn.DAYS(EDATE(T$1,1),Log_2018[[#This Row],[Date]]),Log_2018[[#This Row],[Split_apply]])) - SUM($O553:S553)</f>
        <v>0</v>
      </c>
      <c r="U553" s="52">
        <f ca="1">Log_2018[[#This Row],[Amount]]/Log_2018[[#This Row],[Split_raw]]*MAX(0,MIN(_xlfn.DAYS(EDATE(U$1,1),Log_2018[[#This Row],[Date]]),Log_2018[[#This Row],[Split_apply]])) - SUM($O553:T553)</f>
        <v>0</v>
      </c>
      <c r="V553" s="52">
        <f ca="1">Log_2018[[#This Row],[Amount]]/Log_2018[[#This Row],[Split_raw]]*MAX(0,MIN(_xlfn.DAYS(EDATE(V$1,1),Log_2018[[#This Row],[Date]]),Log_2018[[#This Row],[Split_apply]])) - SUM($O553:U553)</f>
        <v>0</v>
      </c>
      <c r="W553" s="52">
        <f ca="1">Log_2018[[#This Row],[Amount]]/Log_2018[[#This Row],[Split_raw]]*MAX(0,MIN(_xlfn.DAYS(EDATE(W$1,1),Log_2018[[#This Row],[Date]]),Log_2018[[#This Row],[Split_apply]])) - SUM($O553:V553)</f>
        <v>0</v>
      </c>
      <c r="X553" s="52">
        <f ca="1">Log_2018[[#This Row],[Amount]]/Log_2018[[#This Row],[Split_raw]]*MAX(0,MIN(_xlfn.DAYS(EDATE(X$1,1),Log_2018[[#This Row],[Date]]),Log_2018[[#This Row],[Split_apply]])) - SUM($O553:W553)</f>
        <v>0</v>
      </c>
      <c r="Y553" s="52">
        <f ca="1">Log_2018[[#This Row],[Amount]]/Log_2018[[#This Row],[Split_raw]]*MAX(0,MIN(_xlfn.DAYS(EDATE(Y$1,1),Log_2018[[#This Row],[Date]]),Log_2018[[#This Row],[Split_apply]])) - SUM($O553:X553)</f>
        <v>0</v>
      </c>
      <c r="Z553" s="52">
        <f ca="1">Log_2018[[#This Row],[Amount]]/Log_2018[[#This Row],[Split_raw]]*MAX(0,MIN(_xlfn.DAYS(EDATE(Z$1,1),Log_2018[[#This Row],[Date]]),Log_2018[[#This Row],[Split_apply]])) - SUM($O553:Y553)</f>
        <v>0</v>
      </c>
      <c r="AA553" s="52">
        <f ca="1">Log_2018[[#This Row],[Amount]]/Log_2018[[#This Row],[Split_raw]]*MAX(0,MIN(_xlfn.DAYS(EDATE(AA$1,1),Log_2018[[#This Row],[Date]]),Log_2018[[#This Row],[Split_apply]])) - SUM($O553:Z553)</f>
        <v>0</v>
      </c>
      <c r="AB553" s="54">
        <f ca="1">Log_2018[[#This Row],[Amount]]-SUM(O553:AA553)</f>
        <v>0</v>
      </c>
      <c r="AC553" s="7">
        <f ca="1">MAX(0,Log_2018[[#This Row],[Split_apply]] - (EDATE(AA$1,1)-Log_2018[[#This Row],[Date]]))</f>
        <v>0</v>
      </c>
    </row>
    <row r="554" spans="1:29" hidden="1" x14ac:dyDescent="0.25">
      <c r="A554" s="115"/>
      <c r="B554" t="s">
        <v>6</v>
      </c>
      <c r="D554" s="29">
        <v>43200</v>
      </c>
      <c r="F554" t="s">
        <v>217</v>
      </c>
      <c r="G554" t="s">
        <v>12</v>
      </c>
      <c r="H554" s="3">
        <v>-128.9</v>
      </c>
      <c r="I554" s="36">
        <f>IF(Log_2018[[#This Row],[My Category]]="NONTRACKED",0,Log_2018[[#This Row],[Raw Amount]])</f>
        <v>-128.9</v>
      </c>
      <c r="J554" s="17">
        <f>ABS(Log_2018[[#This Row],[Amount]])</f>
        <v>128.9</v>
      </c>
      <c r="K554" s="66">
        <v>1</v>
      </c>
      <c r="L554" s="66">
        <f ca="1">IF(Log_2018[[#This Row],[Date]]&lt;=TODAY(), MIN(Log_2018[[#This Row],[Split_raw]], TODAY()-Log_2018[[#This Row],[Date]]+1), 0)</f>
        <v>1</v>
      </c>
      <c r="M554" t="s">
        <v>12</v>
      </c>
      <c r="N554" t="s">
        <v>158</v>
      </c>
      <c r="O554" s="50">
        <v>0</v>
      </c>
      <c r="P554" s="52">
        <f ca="1">Log_2018[[#This Row],[Amount]]/Log_2018[[#This Row],[Split_raw]]*MAX(0,MIN(_xlfn.DAYS(EDATE(P$1,1),Log_2018[[#This Row],[Date]]),Log_2018[[#This Row],[Split_apply]])) - SUM($O554:O554)</f>
        <v>0</v>
      </c>
      <c r="Q554" s="52">
        <f ca="1">Log_2018[[#This Row],[Amount]]/Log_2018[[#This Row],[Split_raw]]*MAX(0,MIN(_xlfn.DAYS(EDATE(Q$1,1),Log_2018[[#This Row],[Date]]),Log_2018[[#This Row],[Split_apply]])) - SUM($O554:P554)</f>
        <v>0</v>
      </c>
      <c r="R554" s="52">
        <f ca="1">Log_2018[[#This Row],[Amount]]/Log_2018[[#This Row],[Split_raw]]*MAX(0,MIN(_xlfn.DAYS(EDATE(R$1,1),Log_2018[[#This Row],[Date]]),Log_2018[[#This Row],[Split_apply]])) - SUM($O554:Q554)</f>
        <v>0</v>
      </c>
      <c r="S554" s="52">
        <f ca="1">Log_2018[[#This Row],[Amount]]/Log_2018[[#This Row],[Split_raw]]*MAX(0,MIN(_xlfn.DAYS(EDATE(S$1,1),Log_2018[[#This Row],[Date]]),Log_2018[[#This Row],[Split_apply]])) - SUM($O554:R554)</f>
        <v>-128.9</v>
      </c>
      <c r="T554" s="52">
        <f ca="1">Log_2018[[#This Row],[Amount]]/Log_2018[[#This Row],[Split_raw]]*MAX(0,MIN(_xlfn.DAYS(EDATE(T$1,1),Log_2018[[#This Row],[Date]]),Log_2018[[#This Row],[Split_apply]])) - SUM($O554:S554)</f>
        <v>0</v>
      </c>
      <c r="U554" s="52">
        <f ca="1">Log_2018[[#This Row],[Amount]]/Log_2018[[#This Row],[Split_raw]]*MAX(0,MIN(_xlfn.DAYS(EDATE(U$1,1),Log_2018[[#This Row],[Date]]),Log_2018[[#This Row],[Split_apply]])) - SUM($O554:T554)</f>
        <v>0</v>
      </c>
      <c r="V554" s="52">
        <f ca="1">Log_2018[[#This Row],[Amount]]/Log_2018[[#This Row],[Split_raw]]*MAX(0,MIN(_xlfn.DAYS(EDATE(V$1,1),Log_2018[[#This Row],[Date]]),Log_2018[[#This Row],[Split_apply]])) - SUM($O554:U554)</f>
        <v>0</v>
      </c>
      <c r="W554" s="52">
        <f ca="1">Log_2018[[#This Row],[Amount]]/Log_2018[[#This Row],[Split_raw]]*MAX(0,MIN(_xlfn.DAYS(EDATE(W$1,1),Log_2018[[#This Row],[Date]]),Log_2018[[#This Row],[Split_apply]])) - SUM($O554:V554)</f>
        <v>0</v>
      </c>
      <c r="X554" s="52">
        <f ca="1">Log_2018[[#This Row],[Amount]]/Log_2018[[#This Row],[Split_raw]]*MAX(0,MIN(_xlfn.DAYS(EDATE(X$1,1),Log_2018[[#This Row],[Date]]),Log_2018[[#This Row],[Split_apply]])) - SUM($O554:W554)</f>
        <v>0</v>
      </c>
      <c r="Y554" s="52">
        <f ca="1">Log_2018[[#This Row],[Amount]]/Log_2018[[#This Row],[Split_raw]]*MAX(0,MIN(_xlfn.DAYS(EDATE(Y$1,1),Log_2018[[#This Row],[Date]]),Log_2018[[#This Row],[Split_apply]])) - SUM($O554:X554)</f>
        <v>0</v>
      </c>
      <c r="Z554" s="52">
        <f ca="1">Log_2018[[#This Row],[Amount]]/Log_2018[[#This Row],[Split_raw]]*MAX(0,MIN(_xlfn.DAYS(EDATE(Z$1,1),Log_2018[[#This Row],[Date]]),Log_2018[[#This Row],[Split_apply]])) - SUM($O554:Y554)</f>
        <v>0</v>
      </c>
      <c r="AA554" s="52">
        <f ca="1">Log_2018[[#This Row],[Amount]]/Log_2018[[#This Row],[Split_raw]]*MAX(0,MIN(_xlfn.DAYS(EDATE(AA$1,1),Log_2018[[#This Row],[Date]]),Log_2018[[#This Row],[Split_apply]])) - SUM($O554:Z554)</f>
        <v>0</v>
      </c>
      <c r="AB554" s="54">
        <f ca="1">Log_2018[[#This Row],[Amount]]-SUM(O554:AA554)</f>
        <v>0</v>
      </c>
      <c r="AC554" s="7">
        <f ca="1">MAX(0,Log_2018[[#This Row],[Split_apply]] - (EDATE(AA$1,1)-Log_2018[[#This Row],[Date]]))</f>
        <v>0</v>
      </c>
    </row>
    <row r="555" spans="1:29" hidden="1" x14ac:dyDescent="0.25">
      <c r="A555" s="115"/>
      <c r="B555" t="s">
        <v>6</v>
      </c>
      <c r="D555" s="29">
        <v>43200</v>
      </c>
      <c r="E555" t="s">
        <v>250</v>
      </c>
      <c r="F555" t="s">
        <v>85</v>
      </c>
      <c r="G555" t="s">
        <v>9</v>
      </c>
      <c r="H555" s="3">
        <v>-10.81</v>
      </c>
      <c r="I555" s="36">
        <f>IF(Log_2018[[#This Row],[My Category]]="NONTRACKED",0,Log_2018[[#This Row],[Raw Amount]])</f>
        <v>-10.81</v>
      </c>
      <c r="J555" s="17">
        <f>ABS(Log_2018[[#This Row],[Amount]])</f>
        <v>10.81</v>
      </c>
      <c r="K555" s="66">
        <v>30</v>
      </c>
      <c r="L555" s="66">
        <f ca="1">IF(Log_2018[[#This Row],[Date]]&lt;=TODAY(), MIN(Log_2018[[#This Row],[Split_raw]], TODAY()-Log_2018[[#This Row],[Date]]+1), 0)</f>
        <v>30</v>
      </c>
      <c r="M555" t="s">
        <v>53</v>
      </c>
      <c r="N555" t="s">
        <v>160</v>
      </c>
      <c r="O555" s="50">
        <v>0</v>
      </c>
      <c r="P555" s="52">
        <f ca="1">Log_2018[[#This Row],[Amount]]/Log_2018[[#This Row],[Split_raw]]*MAX(0,MIN(_xlfn.DAYS(EDATE(P$1,1),Log_2018[[#This Row],[Date]]),Log_2018[[#This Row],[Split_apply]])) - SUM($O555:O555)</f>
        <v>0</v>
      </c>
      <c r="Q555" s="52">
        <f ca="1">Log_2018[[#This Row],[Amount]]/Log_2018[[#This Row],[Split_raw]]*MAX(0,MIN(_xlfn.DAYS(EDATE(Q$1,1),Log_2018[[#This Row],[Date]]),Log_2018[[#This Row],[Split_apply]])) - SUM($O555:P555)</f>
        <v>0</v>
      </c>
      <c r="R555" s="52">
        <f ca="1">Log_2018[[#This Row],[Amount]]/Log_2018[[#This Row],[Split_raw]]*MAX(0,MIN(_xlfn.DAYS(EDATE(R$1,1),Log_2018[[#This Row],[Date]]),Log_2018[[#This Row],[Split_apply]])) - SUM($O555:Q555)</f>
        <v>0</v>
      </c>
      <c r="S555" s="52">
        <f ca="1">Log_2018[[#This Row],[Amount]]/Log_2018[[#This Row],[Split_raw]]*MAX(0,MIN(_xlfn.DAYS(EDATE(S$1,1),Log_2018[[#This Row],[Date]]),Log_2018[[#This Row],[Split_apply]])) - SUM($O555:R555)</f>
        <v>-7.5670000000000002</v>
      </c>
      <c r="T555" s="52">
        <f ca="1">Log_2018[[#This Row],[Amount]]/Log_2018[[#This Row],[Split_raw]]*MAX(0,MIN(_xlfn.DAYS(EDATE(T$1,1),Log_2018[[#This Row],[Date]]),Log_2018[[#This Row],[Split_apply]])) - SUM($O555:S555)</f>
        <v>-3.2430000000000003</v>
      </c>
      <c r="U555" s="52">
        <f ca="1">Log_2018[[#This Row],[Amount]]/Log_2018[[#This Row],[Split_raw]]*MAX(0,MIN(_xlfn.DAYS(EDATE(U$1,1),Log_2018[[#This Row],[Date]]),Log_2018[[#This Row],[Split_apply]])) - SUM($O555:T555)</f>
        <v>0</v>
      </c>
      <c r="V555" s="52">
        <f ca="1">Log_2018[[#This Row],[Amount]]/Log_2018[[#This Row],[Split_raw]]*MAX(0,MIN(_xlfn.DAYS(EDATE(V$1,1),Log_2018[[#This Row],[Date]]),Log_2018[[#This Row],[Split_apply]])) - SUM($O555:U555)</f>
        <v>0</v>
      </c>
      <c r="W555" s="52">
        <f ca="1">Log_2018[[#This Row],[Amount]]/Log_2018[[#This Row],[Split_raw]]*MAX(0,MIN(_xlfn.DAYS(EDATE(W$1,1),Log_2018[[#This Row],[Date]]),Log_2018[[#This Row],[Split_apply]])) - SUM($O555:V555)</f>
        <v>0</v>
      </c>
      <c r="X555" s="52">
        <f ca="1">Log_2018[[#This Row],[Amount]]/Log_2018[[#This Row],[Split_raw]]*MAX(0,MIN(_xlfn.DAYS(EDATE(X$1,1),Log_2018[[#This Row],[Date]]),Log_2018[[#This Row],[Split_apply]])) - SUM($O555:W555)</f>
        <v>0</v>
      </c>
      <c r="Y555" s="52">
        <f ca="1">Log_2018[[#This Row],[Amount]]/Log_2018[[#This Row],[Split_raw]]*MAX(0,MIN(_xlfn.DAYS(EDATE(Y$1,1),Log_2018[[#This Row],[Date]]),Log_2018[[#This Row],[Split_apply]])) - SUM($O555:X555)</f>
        <v>0</v>
      </c>
      <c r="Z555" s="52">
        <f ca="1">Log_2018[[#This Row],[Amount]]/Log_2018[[#This Row],[Split_raw]]*MAX(0,MIN(_xlfn.DAYS(EDATE(Z$1,1),Log_2018[[#This Row],[Date]]),Log_2018[[#This Row],[Split_apply]])) - SUM($O555:Y555)</f>
        <v>0</v>
      </c>
      <c r="AA555" s="52">
        <f ca="1">Log_2018[[#This Row],[Amount]]/Log_2018[[#This Row],[Split_raw]]*MAX(0,MIN(_xlfn.DAYS(EDATE(AA$1,1),Log_2018[[#This Row],[Date]]),Log_2018[[#This Row],[Split_apply]])) - SUM($O555:Z555)</f>
        <v>0</v>
      </c>
      <c r="AB555" s="54">
        <f ca="1">Log_2018[[#This Row],[Amount]]-SUM(O555:AA555)</f>
        <v>0</v>
      </c>
      <c r="AC555" s="7">
        <f ca="1">MAX(0,Log_2018[[#This Row],[Split_apply]] - (EDATE(AA$1,1)-Log_2018[[#This Row],[Date]]))</f>
        <v>0</v>
      </c>
    </row>
    <row r="556" spans="1:29" hidden="1" x14ac:dyDescent="0.25">
      <c r="A556" s="115"/>
      <c r="B556" t="s">
        <v>6</v>
      </c>
      <c r="D556" s="29">
        <v>43200</v>
      </c>
      <c r="F556" t="s">
        <v>138</v>
      </c>
      <c r="G556" t="s">
        <v>104</v>
      </c>
      <c r="H556" s="3">
        <v>-938.99</v>
      </c>
      <c r="I556" s="36">
        <f>IF(Log_2018[[#This Row],[My Category]]="NONTRACKED",0,Log_2018[[#This Row],[Raw Amount]])</f>
        <v>-938.99</v>
      </c>
      <c r="J556" s="17">
        <f>ABS(Log_2018[[#This Row],[Amount]])</f>
        <v>938.99</v>
      </c>
      <c r="K556" s="66">
        <v>1</v>
      </c>
      <c r="L556" s="66">
        <f ca="1">IF(Log_2018[[#This Row],[Date]]&lt;=TODAY(), MIN(Log_2018[[#This Row],[Split_raw]], TODAY()-Log_2018[[#This Row],[Date]]+1), 0)</f>
        <v>1</v>
      </c>
      <c r="M556" t="s">
        <v>159</v>
      </c>
      <c r="N556" t="s">
        <v>160</v>
      </c>
      <c r="O556" s="50">
        <v>0</v>
      </c>
      <c r="P556" s="52">
        <f ca="1">Log_2018[[#This Row],[Amount]]/Log_2018[[#This Row],[Split_raw]]*MAX(0,MIN(_xlfn.DAYS(EDATE(P$1,1),Log_2018[[#This Row],[Date]]),Log_2018[[#This Row],[Split_apply]])) - SUM($O556:O556)</f>
        <v>0</v>
      </c>
      <c r="Q556" s="52">
        <f ca="1">Log_2018[[#This Row],[Amount]]/Log_2018[[#This Row],[Split_raw]]*MAX(0,MIN(_xlfn.DAYS(EDATE(Q$1,1),Log_2018[[#This Row],[Date]]),Log_2018[[#This Row],[Split_apply]])) - SUM($O556:P556)</f>
        <v>0</v>
      </c>
      <c r="R556" s="52">
        <f ca="1">Log_2018[[#This Row],[Amount]]/Log_2018[[#This Row],[Split_raw]]*MAX(0,MIN(_xlfn.DAYS(EDATE(R$1,1),Log_2018[[#This Row],[Date]]),Log_2018[[#This Row],[Split_apply]])) - SUM($O556:Q556)</f>
        <v>0</v>
      </c>
      <c r="S556" s="52">
        <f ca="1">Log_2018[[#This Row],[Amount]]/Log_2018[[#This Row],[Split_raw]]*MAX(0,MIN(_xlfn.DAYS(EDATE(S$1,1),Log_2018[[#This Row],[Date]]),Log_2018[[#This Row],[Split_apply]])) - SUM($O556:R556)</f>
        <v>-938.99</v>
      </c>
      <c r="T556" s="52">
        <f ca="1">Log_2018[[#This Row],[Amount]]/Log_2018[[#This Row],[Split_raw]]*MAX(0,MIN(_xlfn.DAYS(EDATE(T$1,1),Log_2018[[#This Row],[Date]]),Log_2018[[#This Row],[Split_apply]])) - SUM($O556:S556)</f>
        <v>0</v>
      </c>
      <c r="U556" s="52">
        <f ca="1">Log_2018[[#This Row],[Amount]]/Log_2018[[#This Row],[Split_raw]]*MAX(0,MIN(_xlfn.DAYS(EDATE(U$1,1),Log_2018[[#This Row],[Date]]),Log_2018[[#This Row],[Split_apply]])) - SUM($O556:T556)</f>
        <v>0</v>
      </c>
      <c r="V556" s="52">
        <f ca="1">Log_2018[[#This Row],[Amount]]/Log_2018[[#This Row],[Split_raw]]*MAX(0,MIN(_xlfn.DAYS(EDATE(V$1,1),Log_2018[[#This Row],[Date]]),Log_2018[[#This Row],[Split_apply]])) - SUM($O556:U556)</f>
        <v>0</v>
      </c>
      <c r="W556" s="52">
        <f ca="1">Log_2018[[#This Row],[Amount]]/Log_2018[[#This Row],[Split_raw]]*MAX(0,MIN(_xlfn.DAYS(EDATE(W$1,1),Log_2018[[#This Row],[Date]]),Log_2018[[#This Row],[Split_apply]])) - SUM($O556:V556)</f>
        <v>0</v>
      </c>
      <c r="X556" s="52">
        <f ca="1">Log_2018[[#This Row],[Amount]]/Log_2018[[#This Row],[Split_raw]]*MAX(0,MIN(_xlfn.DAYS(EDATE(X$1,1),Log_2018[[#This Row],[Date]]),Log_2018[[#This Row],[Split_apply]])) - SUM($O556:W556)</f>
        <v>0</v>
      </c>
      <c r="Y556" s="52">
        <f ca="1">Log_2018[[#This Row],[Amount]]/Log_2018[[#This Row],[Split_raw]]*MAX(0,MIN(_xlfn.DAYS(EDATE(Y$1,1),Log_2018[[#This Row],[Date]]),Log_2018[[#This Row],[Split_apply]])) - SUM($O556:X556)</f>
        <v>0</v>
      </c>
      <c r="Z556" s="52">
        <f ca="1">Log_2018[[#This Row],[Amount]]/Log_2018[[#This Row],[Split_raw]]*MAX(0,MIN(_xlfn.DAYS(EDATE(Z$1,1),Log_2018[[#This Row],[Date]]),Log_2018[[#This Row],[Split_apply]])) - SUM($O556:Y556)</f>
        <v>0</v>
      </c>
      <c r="AA556" s="52">
        <f ca="1">Log_2018[[#This Row],[Amount]]/Log_2018[[#This Row],[Split_raw]]*MAX(0,MIN(_xlfn.DAYS(EDATE(AA$1,1),Log_2018[[#This Row],[Date]]),Log_2018[[#This Row],[Split_apply]])) - SUM($O556:Z556)</f>
        <v>0</v>
      </c>
      <c r="AB556" s="54">
        <f ca="1">Log_2018[[#This Row],[Amount]]-SUM(O556:AA556)</f>
        <v>0</v>
      </c>
      <c r="AC556" s="7">
        <f ca="1">MAX(0,Log_2018[[#This Row],[Split_apply]] - (EDATE(AA$1,1)-Log_2018[[#This Row],[Date]]))</f>
        <v>0</v>
      </c>
    </row>
    <row r="557" spans="1:29" hidden="1" x14ac:dyDescent="0.25">
      <c r="A557" s="115"/>
      <c r="B557" t="s">
        <v>6</v>
      </c>
      <c r="D557" s="29">
        <v>43200</v>
      </c>
      <c r="F557" t="s">
        <v>59</v>
      </c>
      <c r="G557" t="s">
        <v>25</v>
      </c>
      <c r="H557" s="3">
        <v>-8.94</v>
      </c>
      <c r="I557" s="36">
        <f>IF(Log_2018[[#This Row],[My Category]]="NONTRACKED",0,Log_2018[[#This Row],[Raw Amount]])</f>
        <v>-8.94</v>
      </c>
      <c r="J557" s="17">
        <f>ABS(Log_2018[[#This Row],[Amount]])</f>
        <v>8.94</v>
      </c>
      <c r="K557" s="66">
        <v>1</v>
      </c>
      <c r="L557" s="66">
        <f ca="1">IF(Log_2018[[#This Row],[Date]]&lt;=TODAY(), MIN(Log_2018[[#This Row],[Split_raw]], TODAY()-Log_2018[[#This Row],[Date]]+1), 0)</f>
        <v>1</v>
      </c>
      <c r="M557" t="s">
        <v>35</v>
      </c>
      <c r="N557" t="s">
        <v>158</v>
      </c>
      <c r="O557" s="50">
        <v>0</v>
      </c>
      <c r="P557" s="52">
        <f ca="1">Log_2018[[#This Row],[Amount]]/Log_2018[[#This Row],[Split_raw]]*MAX(0,MIN(_xlfn.DAYS(EDATE(P$1,1),Log_2018[[#This Row],[Date]]),Log_2018[[#This Row],[Split_apply]])) - SUM($O557:O557)</f>
        <v>0</v>
      </c>
      <c r="Q557" s="52">
        <f ca="1">Log_2018[[#This Row],[Amount]]/Log_2018[[#This Row],[Split_raw]]*MAX(0,MIN(_xlfn.DAYS(EDATE(Q$1,1),Log_2018[[#This Row],[Date]]),Log_2018[[#This Row],[Split_apply]])) - SUM($O557:P557)</f>
        <v>0</v>
      </c>
      <c r="R557" s="52">
        <f ca="1">Log_2018[[#This Row],[Amount]]/Log_2018[[#This Row],[Split_raw]]*MAX(0,MIN(_xlfn.DAYS(EDATE(R$1,1),Log_2018[[#This Row],[Date]]),Log_2018[[#This Row],[Split_apply]])) - SUM($O557:Q557)</f>
        <v>0</v>
      </c>
      <c r="S557" s="52">
        <f ca="1">Log_2018[[#This Row],[Amount]]/Log_2018[[#This Row],[Split_raw]]*MAX(0,MIN(_xlfn.DAYS(EDATE(S$1,1),Log_2018[[#This Row],[Date]]),Log_2018[[#This Row],[Split_apply]])) - SUM($O557:R557)</f>
        <v>-8.94</v>
      </c>
      <c r="T557" s="52">
        <f ca="1">Log_2018[[#This Row],[Amount]]/Log_2018[[#This Row],[Split_raw]]*MAX(0,MIN(_xlfn.DAYS(EDATE(T$1,1),Log_2018[[#This Row],[Date]]),Log_2018[[#This Row],[Split_apply]])) - SUM($O557:S557)</f>
        <v>0</v>
      </c>
      <c r="U557" s="52">
        <f ca="1">Log_2018[[#This Row],[Amount]]/Log_2018[[#This Row],[Split_raw]]*MAX(0,MIN(_xlfn.DAYS(EDATE(U$1,1),Log_2018[[#This Row],[Date]]),Log_2018[[#This Row],[Split_apply]])) - SUM($O557:T557)</f>
        <v>0</v>
      </c>
      <c r="V557" s="52">
        <f ca="1">Log_2018[[#This Row],[Amount]]/Log_2018[[#This Row],[Split_raw]]*MAX(0,MIN(_xlfn.DAYS(EDATE(V$1,1),Log_2018[[#This Row],[Date]]),Log_2018[[#This Row],[Split_apply]])) - SUM($O557:U557)</f>
        <v>0</v>
      </c>
      <c r="W557" s="52">
        <f ca="1">Log_2018[[#This Row],[Amount]]/Log_2018[[#This Row],[Split_raw]]*MAX(0,MIN(_xlfn.DAYS(EDATE(W$1,1),Log_2018[[#This Row],[Date]]),Log_2018[[#This Row],[Split_apply]])) - SUM($O557:V557)</f>
        <v>0</v>
      </c>
      <c r="X557" s="52">
        <f ca="1">Log_2018[[#This Row],[Amount]]/Log_2018[[#This Row],[Split_raw]]*MAX(0,MIN(_xlfn.DAYS(EDATE(X$1,1),Log_2018[[#This Row],[Date]]),Log_2018[[#This Row],[Split_apply]])) - SUM($O557:W557)</f>
        <v>0</v>
      </c>
      <c r="Y557" s="52">
        <f ca="1">Log_2018[[#This Row],[Amount]]/Log_2018[[#This Row],[Split_raw]]*MAX(0,MIN(_xlfn.DAYS(EDATE(Y$1,1),Log_2018[[#This Row],[Date]]),Log_2018[[#This Row],[Split_apply]])) - SUM($O557:X557)</f>
        <v>0</v>
      </c>
      <c r="Z557" s="52">
        <f ca="1">Log_2018[[#This Row],[Amount]]/Log_2018[[#This Row],[Split_raw]]*MAX(0,MIN(_xlfn.DAYS(EDATE(Z$1,1),Log_2018[[#This Row],[Date]]),Log_2018[[#This Row],[Split_apply]])) - SUM($O557:Y557)</f>
        <v>0</v>
      </c>
      <c r="AA557" s="52">
        <f ca="1">Log_2018[[#This Row],[Amount]]/Log_2018[[#This Row],[Split_raw]]*MAX(0,MIN(_xlfn.DAYS(EDATE(AA$1,1),Log_2018[[#This Row],[Date]]),Log_2018[[#This Row],[Split_apply]])) - SUM($O557:Z557)</f>
        <v>0</v>
      </c>
      <c r="AB557" s="54">
        <f ca="1">Log_2018[[#This Row],[Amount]]-SUM(O557:AA557)</f>
        <v>0</v>
      </c>
      <c r="AC557" s="7">
        <f ca="1">MAX(0,Log_2018[[#This Row],[Split_apply]] - (EDATE(AA$1,1)-Log_2018[[#This Row],[Date]]))</f>
        <v>0</v>
      </c>
    </row>
    <row r="558" spans="1:29" hidden="1" x14ac:dyDescent="0.25">
      <c r="A558" s="115"/>
      <c r="B558" t="s">
        <v>6</v>
      </c>
      <c r="D558" s="29">
        <v>43200</v>
      </c>
      <c r="F558" t="s">
        <v>83</v>
      </c>
      <c r="G558" t="s">
        <v>15</v>
      </c>
      <c r="H558" s="3">
        <v>-27.64</v>
      </c>
      <c r="I558" s="36">
        <f>IF(Log_2018[[#This Row],[My Category]]="NONTRACKED",0,Log_2018[[#This Row],[Raw Amount]])</f>
        <v>-27.64</v>
      </c>
      <c r="J558" s="17">
        <f>ABS(Log_2018[[#This Row],[Amount]])</f>
        <v>27.64</v>
      </c>
      <c r="K558" s="66">
        <v>30</v>
      </c>
      <c r="L558" s="66">
        <f ca="1">IF(Log_2018[[#This Row],[Date]]&lt;=TODAY(), MIN(Log_2018[[#This Row],[Split_raw]], TODAY()-Log_2018[[#This Row],[Date]]+1), 0)</f>
        <v>30</v>
      </c>
      <c r="M558" t="s">
        <v>241</v>
      </c>
      <c r="N558" t="s">
        <v>160</v>
      </c>
      <c r="O558" s="50">
        <v>0</v>
      </c>
      <c r="P558" s="52">
        <f ca="1">Log_2018[[#This Row],[Amount]]/Log_2018[[#This Row],[Split_raw]]*MAX(0,MIN(_xlfn.DAYS(EDATE(P$1,1),Log_2018[[#This Row],[Date]]),Log_2018[[#This Row],[Split_apply]])) - SUM($O558:O558)</f>
        <v>0</v>
      </c>
      <c r="Q558" s="52">
        <f ca="1">Log_2018[[#This Row],[Amount]]/Log_2018[[#This Row],[Split_raw]]*MAX(0,MIN(_xlfn.DAYS(EDATE(Q$1,1),Log_2018[[#This Row],[Date]]),Log_2018[[#This Row],[Split_apply]])) - SUM($O558:P558)</f>
        <v>0</v>
      </c>
      <c r="R558" s="52">
        <f ca="1">Log_2018[[#This Row],[Amount]]/Log_2018[[#This Row],[Split_raw]]*MAX(0,MIN(_xlfn.DAYS(EDATE(R$1,1),Log_2018[[#This Row],[Date]]),Log_2018[[#This Row],[Split_apply]])) - SUM($O558:Q558)</f>
        <v>0</v>
      </c>
      <c r="S558" s="52">
        <f ca="1">Log_2018[[#This Row],[Amount]]/Log_2018[[#This Row],[Split_raw]]*MAX(0,MIN(_xlfn.DAYS(EDATE(S$1,1),Log_2018[[#This Row],[Date]]),Log_2018[[#This Row],[Split_apply]])) - SUM($O558:R558)</f>
        <v>-19.347999999999999</v>
      </c>
      <c r="T558" s="52">
        <f ca="1">Log_2018[[#This Row],[Amount]]/Log_2018[[#This Row],[Split_raw]]*MAX(0,MIN(_xlfn.DAYS(EDATE(T$1,1),Log_2018[[#This Row],[Date]]),Log_2018[[#This Row],[Split_apply]])) - SUM($O558:S558)</f>
        <v>-8.2920000000000016</v>
      </c>
      <c r="U558" s="52">
        <f ca="1">Log_2018[[#This Row],[Amount]]/Log_2018[[#This Row],[Split_raw]]*MAX(0,MIN(_xlfn.DAYS(EDATE(U$1,1),Log_2018[[#This Row],[Date]]),Log_2018[[#This Row],[Split_apply]])) - SUM($O558:T558)</f>
        <v>0</v>
      </c>
      <c r="V558" s="52">
        <f ca="1">Log_2018[[#This Row],[Amount]]/Log_2018[[#This Row],[Split_raw]]*MAX(0,MIN(_xlfn.DAYS(EDATE(V$1,1),Log_2018[[#This Row],[Date]]),Log_2018[[#This Row],[Split_apply]])) - SUM($O558:U558)</f>
        <v>0</v>
      </c>
      <c r="W558" s="52">
        <f ca="1">Log_2018[[#This Row],[Amount]]/Log_2018[[#This Row],[Split_raw]]*MAX(0,MIN(_xlfn.DAYS(EDATE(W$1,1),Log_2018[[#This Row],[Date]]),Log_2018[[#This Row],[Split_apply]])) - SUM($O558:V558)</f>
        <v>0</v>
      </c>
      <c r="X558" s="52">
        <f ca="1">Log_2018[[#This Row],[Amount]]/Log_2018[[#This Row],[Split_raw]]*MAX(0,MIN(_xlfn.DAYS(EDATE(X$1,1),Log_2018[[#This Row],[Date]]),Log_2018[[#This Row],[Split_apply]])) - SUM($O558:W558)</f>
        <v>0</v>
      </c>
      <c r="Y558" s="52">
        <f ca="1">Log_2018[[#This Row],[Amount]]/Log_2018[[#This Row],[Split_raw]]*MAX(0,MIN(_xlfn.DAYS(EDATE(Y$1,1),Log_2018[[#This Row],[Date]]),Log_2018[[#This Row],[Split_apply]])) - SUM($O558:X558)</f>
        <v>0</v>
      </c>
      <c r="Z558" s="52">
        <f ca="1">Log_2018[[#This Row],[Amount]]/Log_2018[[#This Row],[Split_raw]]*MAX(0,MIN(_xlfn.DAYS(EDATE(Z$1,1),Log_2018[[#This Row],[Date]]),Log_2018[[#This Row],[Split_apply]])) - SUM($O558:Y558)</f>
        <v>0</v>
      </c>
      <c r="AA558" s="52">
        <f ca="1">Log_2018[[#This Row],[Amount]]/Log_2018[[#This Row],[Split_raw]]*MAX(0,MIN(_xlfn.DAYS(EDATE(AA$1,1),Log_2018[[#This Row],[Date]]),Log_2018[[#This Row],[Split_apply]])) - SUM($O558:Z558)</f>
        <v>0</v>
      </c>
      <c r="AB558" s="54">
        <f ca="1">Log_2018[[#This Row],[Amount]]-SUM(O558:AA558)</f>
        <v>0</v>
      </c>
      <c r="AC558" s="7">
        <f ca="1">MAX(0,Log_2018[[#This Row],[Split_apply]] - (EDATE(AA$1,1)-Log_2018[[#This Row],[Date]]))</f>
        <v>0</v>
      </c>
    </row>
    <row r="559" spans="1:29" hidden="1" x14ac:dyDescent="0.25">
      <c r="A559" s="115"/>
      <c r="B559" t="s">
        <v>6</v>
      </c>
      <c r="D559" s="29">
        <v>43199</v>
      </c>
      <c r="F559" t="s">
        <v>105</v>
      </c>
      <c r="G559" t="s">
        <v>104</v>
      </c>
      <c r="H559" s="3">
        <f>--938.99</f>
        <v>938.99</v>
      </c>
      <c r="I559" s="36">
        <f>IF(Log_2018[[#This Row],[My Category]]="NONTRACKED",0,Log_2018[[#This Row],[Raw Amount]])</f>
        <v>938.99</v>
      </c>
      <c r="J559" s="17">
        <f>ABS(Log_2018[[#This Row],[Amount]])</f>
        <v>938.99</v>
      </c>
      <c r="K559" s="66">
        <v>1</v>
      </c>
      <c r="L559" s="66">
        <f ca="1">IF(Log_2018[[#This Row],[Date]]&lt;=TODAY(), MIN(Log_2018[[#This Row],[Split_raw]], TODAY()-Log_2018[[#This Row],[Date]]+1), 0)</f>
        <v>1</v>
      </c>
      <c r="M559" t="s">
        <v>159</v>
      </c>
      <c r="N559" t="s">
        <v>158</v>
      </c>
      <c r="O559" s="50">
        <v>0</v>
      </c>
      <c r="P559" s="52">
        <f ca="1">Log_2018[[#This Row],[Amount]]/Log_2018[[#This Row],[Split_raw]]*MAX(0,MIN(_xlfn.DAYS(EDATE(P$1,1),Log_2018[[#This Row],[Date]]),Log_2018[[#This Row],[Split_apply]])) - SUM($O559:O559)</f>
        <v>0</v>
      </c>
      <c r="Q559" s="52">
        <f ca="1">Log_2018[[#This Row],[Amount]]/Log_2018[[#This Row],[Split_raw]]*MAX(0,MIN(_xlfn.DAYS(EDATE(Q$1,1),Log_2018[[#This Row],[Date]]),Log_2018[[#This Row],[Split_apply]])) - SUM($O559:P559)</f>
        <v>0</v>
      </c>
      <c r="R559" s="52">
        <f ca="1">Log_2018[[#This Row],[Amount]]/Log_2018[[#This Row],[Split_raw]]*MAX(0,MIN(_xlfn.DAYS(EDATE(R$1,1),Log_2018[[#This Row],[Date]]),Log_2018[[#This Row],[Split_apply]])) - SUM($O559:Q559)</f>
        <v>0</v>
      </c>
      <c r="S559" s="52">
        <f ca="1">Log_2018[[#This Row],[Amount]]/Log_2018[[#This Row],[Split_raw]]*MAX(0,MIN(_xlfn.DAYS(EDATE(S$1,1),Log_2018[[#This Row],[Date]]),Log_2018[[#This Row],[Split_apply]])) - SUM($O559:R559)</f>
        <v>938.99</v>
      </c>
      <c r="T559" s="52">
        <f ca="1">Log_2018[[#This Row],[Amount]]/Log_2018[[#This Row],[Split_raw]]*MAX(0,MIN(_xlfn.DAYS(EDATE(T$1,1),Log_2018[[#This Row],[Date]]),Log_2018[[#This Row],[Split_apply]])) - SUM($O559:S559)</f>
        <v>0</v>
      </c>
      <c r="U559" s="52">
        <f ca="1">Log_2018[[#This Row],[Amount]]/Log_2018[[#This Row],[Split_raw]]*MAX(0,MIN(_xlfn.DAYS(EDATE(U$1,1),Log_2018[[#This Row],[Date]]),Log_2018[[#This Row],[Split_apply]])) - SUM($O559:T559)</f>
        <v>0</v>
      </c>
      <c r="V559" s="52">
        <f ca="1">Log_2018[[#This Row],[Amount]]/Log_2018[[#This Row],[Split_raw]]*MAX(0,MIN(_xlfn.DAYS(EDATE(V$1,1),Log_2018[[#This Row],[Date]]),Log_2018[[#This Row],[Split_apply]])) - SUM($O559:U559)</f>
        <v>0</v>
      </c>
      <c r="W559" s="52">
        <f ca="1">Log_2018[[#This Row],[Amount]]/Log_2018[[#This Row],[Split_raw]]*MAX(0,MIN(_xlfn.DAYS(EDATE(W$1,1),Log_2018[[#This Row],[Date]]),Log_2018[[#This Row],[Split_apply]])) - SUM($O559:V559)</f>
        <v>0</v>
      </c>
      <c r="X559" s="52">
        <f ca="1">Log_2018[[#This Row],[Amount]]/Log_2018[[#This Row],[Split_raw]]*MAX(0,MIN(_xlfn.DAYS(EDATE(X$1,1),Log_2018[[#This Row],[Date]]),Log_2018[[#This Row],[Split_apply]])) - SUM($O559:W559)</f>
        <v>0</v>
      </c>
      <c r="Y559" s="52">
        <f ca="1">Log_2018[[#This Row],[Amount]]/Log_2018[[#This Row],[Split_raw]]*MAX(0,MIN(_xlfn.DAYS(EDATE(Y$1,1),Log_2018[[#This Row],[Date]]),Log_2018[[#This Row],[Split_apply]])) - SUM($O559:X559)</f>
        <v>0</v>
      </c>
      <c r="Z559" s="52">
        <f ca="1">Log_2018[[#This Row],[Amount]]/Log_2018[[#This Row],[Split_raw]]*MAX(0,MIN(_xlfn.DAYS(EDATE(Z$1,1),Log_2018[[#This Row],[Date]]),Log_2018[[#This Row],[Split_apply]])) - SUM($O559:Y559)</f>
        <v>0</v>
      </c>
      <c r="AA559" s="52">
        <f ca="1">Log_2018[[#This Row],[Amount]]/Log_2018[[#This Row],[Split_raw]]*MAX(0,MIN(_xlfn.DAYS(EDATE(AA$1,1),Log_2018[[#This Row],[Date]]),Log_2018[[#This Row],[Split_apply]])) - SUM($O559:Z559)</f>
        <v>0</v>
      </c>
      <c r="AB559" s="54">
        <f ca="1">Log_2018[[#This Row],[Amount]]-SUM(O559:AA559)</f>
        <v>0</v>
      </c>
      <c r="AC559" s="7">
        <f ca="1">MAX(0,Log_2018[[#This Row],[Split_apply]] - (EDATE(AA$1,1)-Log_2018[[#This Row],[Date]]))</f>
        <v>0</v>
      </c>
    </row>
    <row r="560" spans="1:29" hidden="1" x14ac:dyDescent="0.25">
      <c r="A560" s="115"/>
      <c r="B560" t="s">
        <v>6</v>
      </c>
      <c r="D560" s="29">
        <v>43199</v>
      </c>
      <c r="F560" t="s">
        <v>59</v>
      </c>
      <c r="G560" t="s">
        <v>25</v>
      </c>
      <c r="H560" s="3">
        <v>-7.94</v>
      </c>
      <c r="I560" s="36">
        <f>IF(Log_2018[[#This Row],[My Category]]="NONTRACKED",0,Log_2018[[#This Row],[Raw Amount]])</f>
        <v>-7.94</v>
      </c>
      <c r="J560" s="17">
        <f>ABS(Log_2018[[#This Row],[Amount]])</f>
        <v>7.94</v>
      </c>
      <c r="K560" s="66">
        <v>1</v>
      </c>
      <c r="L560" s="66">
        <f ca="1">IF(Log_2018[[#This Row],[Date]]&lt;=TODAY(), MIN(Log_2018[[#This Row],[Split_raw]], TODAY()-Log_2018[[#This Row],[Date]]+1), 0)</f>
        <v>1</v>
      </c>
      <c r="M560" t="s">
        <v>35</v>
      </c>
      <c r="N560" t="s">
        <v>158</v>
      </c>
      <c r="O560" s="50">
        <v>0</v>
      </c>
      <c r="P560" s="52">
        <f ca="1">Log_2018[[#This Row],[Amount]]/Log_2018[[#This Row],[Split_raw]]*MAX(0,MIN(_xlfn.DAYS(EDATE(P$1,1),Log_2018[[#This Row],[Date]]),Log_2018[[#This Row],[Split_apply]])) - SUM($O560:O560)</f>
        <v>0</v>
      </c>
      <c r="Q560" s="52">
        <f ca="1">Log_2018[[#This Row],[Amount]]/Log_2018[[#This Row],[Split_raw]]*MAX(0,MIN(_xlfn.DAYS(EDATE(Q$1,1),Log_2018[[#This Row],[Date]]),Log_2018[[#This Row],[Split_apply]])) - SUM($O560:P560)</f>
        <v>0</v>
      </c>
      <c r="R560" s="52">
        <f ca="1">Log_2018[[#This Row],[Amount]]/Log_2018[[#This Row],[Split_raw]]*MAX(0,MIN(_xlfn.DAYS(EDATE(R$1,1),Log_2018[[#This Row],[Date]]),Log_2018[[#This Row],[Split_apply]])) - SUM($O560:Q560)</f>
        <v>0</v>
      </c>
      <c r="S560" s="52">
        <f ca="1">Log_2018[[#This Row],[Amount]]/Log_2018[[#This Row],[Split_raw]]*MAX(0,MIN(_xlfn.DAYS(EDATE(S$1,1),Log_2018[[#This Row],[Date]]),Log_2018[[#This Row],[Split_apply]])) - SUM($O560:R560)</f>
        <v>-7.94</v>
      </c>
      <c r="T560" s="52">
        <f ca="1">Log_2018[[#This Row],[Amount]]/Log_2018[[#This Row],[Split_raw]]*MAX(0,MIN(_xlfn.DAYS(EDATE(T$1,1),Log_2018[[#This Row],[Date]]),Log_2018[[#This Row],[Split_apply]])) - SUM($O560:S560)</f>
        <v>0</v>
      </c>
      <c r="U560" s="52">
        <f ca="1">Log_2018[[#This Row],[Amount]]/Log_2018[[#This Row],[Split_raw]]*MAX(0,MIN(_xlfn.DAYS(EDATE(U$1,1),Log_2018[[#This Row],[Date]]),Log_2018[[#This Row],[Split_apply]])) - SUM($O560:T560)</f>
        <v>0</v>
      </c>
      <c r="V560" s="52">
        <f ca="1">Log_2018[[#This Row],[Amount]]/Log_2018[[#This Row],[Split_raw]]*MAX(0,MIN(_xlfn.DAYS(EDATE(V$1,1),Log_2018[[#This Row],[Date]]),Log_2018[[#This Row],[Split_apply]])) - SUM($O560:U560)</f>
        <v>0</v>
      </c>
      <c r="W560" s="52">
        <f ca="1">Log_2018[[#This Row],[Amount]]/Log_2018[[#This Row],[Split_raw]]*MAX(0,MIN(_xlfn.DAYS(EDATE(W$1,1),Log_2018[[#This Row],[Date]]),Log_2018[[#This Row],[Split_apply]])) - SUM($O560:V560)</f>
        <v>0</v>
      </c>
      <c r="X560" s="52">
        <f ca="1">Log_2018[[#This Row],[Amount]]/Log_2018[[#This Row],[Split_raw]]*MAX(0,MIN(_xlfn.DAYS(EDATE(X$1,1),Log_2018[[#This Row],[Date]]),Log_2018[[#This Row],[Split_apply]])) - SUM($O560:W560)</f>
        <v>0</v>
      </c>
      <c r="Y560" s="52">
        <f ca="1">Log_2018[[#This Row],[Amount]]/Log_2018[[#This Row],[Split_raw]]*MAX(0,MIN(_xlfn.DAYS(EDATE(Y$1,1),Log_2018[[#This Row],[Date]]),Log_2018[[#This Row],[Split_apply]])) - SUM($O560:X560)</f>
        <v>0</v>
      </c>
      <c r="Z560" s="52">
        <f ca="1">Log_2018[[#This Row],[Amount]]/Log_2018[[#This Row],[Split_raw]]*MAX(0,MIN(_xlfn.DAYS(EDATE(Z$1,1),Log_2018[[#This Row],[Date]]),Log_2018[[#This Row],[Split_apply]])) - SUM($O560:Y560)</f>
        <v>0</v>
      </c>
      <c r="AA560" s="52">
        <f ca="1">Log_2018[[#This Row],[Amount]]/Log_2018[[#This Row],[Split_raw]]*MAX(0,MIN(_xlfn.DAYS(EDATE(AA$1,1),Log_2018[[#This Row],[Date]]),Log_2018[[#This Row],[Split_apply]])) - SUM($O560:Z560)</f>
        <v>0</v>
      </c>
      <c r="AB560" s="54">
        <f ca="1">Log_2018[[#This Row],[Amount]]-SUM(O560:AA560)</f>
        <v>0</v>
      </c>
      <c r="AC560" s="7">
        <f ca="1">MAX(0,Log_2018[[#This Row],[Split_apply]] - (EDATE(AA$1,1)-Log_2018[[#This Row],[Date]]))</f>
        <v>0</v>
      </c>
    </row>
    <row r="561" spans="1:29" hidden="1" x14ac:dyDescent="0.25">
      <c r="A561" s="115"/>
      <c r="B561" t="s">
        <v>6</v>
      </c>
      <c r="D561" s="29">
        <v>43197</v>
      </c>
      <c r="F561" t="s">
        <v>188</v>
      </c>
      <c r="G561" t="s">
        <v>189</v>
      </c>
      <c r="H561" s="3">
        <v>-82.02</v>
      </c>
      <c r="I561" s="36">
        <f>IF(Log_2018[[#This Row],[My Category]]="NONTRACKED",0,Log_2018[[#This Row],[Raw Amount]])</f>
        <v>-82.02</v>
      </c>
      <c r="J561" s="17">
        <f>ABS(Log_2018[[#This Row],[Amount]])</f>
        <v>82.02</v>
      </c>
      <c r="K561" s="66">
        <v>30</v>
      </c>
      <c r="L561" s="66">
        <f ca="1">IF(Log_2018[[#This Row],[Date]]&lt;=TODAY(), MIN(Log_2018[[#This Row],[Split_raw]], TODAY()-Log_2018[[#This Row],[Date]]+1), 0)</f>
        <v>30</v>
      </c>
      <c r="M561" t="s">
        <v>30</v>
      </c>
      <c r="N561" t="s">
        <v>158</v>
      </c>
      <c r="O561" s="50">
        <v>0</v>
      </c>
      <c r="P561" s="52">
        <f ca="1">Log_2018[[#This Row],[Amount]]/Log_2018[[#This Row],[Split_raw]]*MAX(0,MIN(_xlfn.DAYS(EDATE(P$1,1),Log_2018[[#This Row],[Date]]),Log_2018[[#This Row],[Split_apply]])) - SUM($O561:O561)</f>
        <v>0</v>
      </c>
      <c r="Q561" s="52">
        <f ca="1">Log_2018[[#This Row],[Amount]]/Log_2018[[#This Row],[Split_raw]]*MAX(0,MIN(_xlfn.DAYS(EDATE(Q$1,1),Log_2018[[#This Row],[Date]]),Log_2018[[#This Row],[Split_apply]])) - SUM($O561:P561)</f>
        <v>0</v>
      </c>
      <c r="R561" s="52">
        <f ca="1">Log_2018[[#This Row],[Amount]]/Log_2018[[#This Row],[Split_raw]]*MAX(0,MIN(_xlfn.DAYS(EDATE(R$1,1),Log_2018[[#This Row],[Date]]),Log_2018[[#This Row],[Split_apply]])) - SUM($O561:Q561)</f>
        <v>0</v>
      </c>
      <c r="S561" s="52">
        <f ca="1">Log_2018[[#This Row],[Amount]]/Log_2018[[#This Row],[Split_raw]]*MAX(0,MIN(_xlfn.DAYS(EDATE(S$1,1),Log_2018[[#This Row],[Date]]),Log_2018[[#This Row],[Split_apply]])) - SUM($O561:R561)</f>
        <v>-65.616</v>
      </c>
      <c r="T561" s="52">
        <f ca="1">Log_2018[[#This Row],[Amount]]/Log_2018[[#This Row],[Split_raw]]*MAX(0,MIN(_xlfn.DAYS(EDATE(T$1,1),Log_2018[[#This Row],[Date]]),Log_2018[[#This Row],[Split_apply]])) - SUM($O561:S561)</f>
        <v>-16.403999999999996</v>
      </c>
      <c r="U561" s="52">
        <f ca="1">Log_2018[[#This Row],[Amount]]/Log_2018[[#This Row],[Split_raw]]*MAX(0,MIN(_xlfn.DAYS(EDATE(U$1,1),Log_2018[[#This Row],[Date]]),Log_2018[[#This Row],[Split_apply]])) - SUM($O561:T561)</f>
        <v>0</v>
      </c>
      <c r="V561" s="52">
        <f ca="1">Log_2018[[#This Row],[Amount]]/Log_2018[[#This Row],[Split_raw]]*MAX(0,MIN(_xlfn.DAYS(EDATE(V$1,1),Log_2018[[#This Row],[Date]]),Log_2018[[#This Row],[Split_apply]])) - SUM($O561:U561)</f>
        <v>0</v>
      </c>
      <c r="W561" s="52">
        <f ca="1">Log_2018[[#This Row],[Amount]]/Log_2018[[#This Row],[Split_raw]]*MAX(0,MIN(_xlfn.DAYS(EDATE(W$1,1),Log_2018[[#This Row],[Date]]),Log_2018[[#This Row],[Split_apply]])) - SUM($O561:V561)</f>
        <v>0</v>
      </c>
      <c r="X561" s="52">
        <f ca="1">Log_2018[[#This Row],[Amount]]/Log_2018[[#This Row],[Split_raw]]*MAX(0,MIN(_xlfn.DAYS(EDATE(X$1,1),Log_2018[[#This Row],[Date]]),Log_2018[[#This Row],[Split_apply]])) - SUM($O561:W561)</f>
        <v>0</v>
      </c>
      <c r="Y561" s="52">
        <f ca="1">Log_2018[[#This Row],[Amount]]/Log_2018[[#This Row],[Split_raw]]*MAX(0,MIN(_xlfn.DAYS(EDATE(Y$1,1),Log_2018[[#This Row],[Date]]),Log_2018[[#This Row],[Split_apply]])) - SUM($O561:X561)</f>
        <v>0</v>
      </c>
      <c r="Z561" s="52">
        <f ca="1">Log_2018[[#This Row],[Amount]]/Log_2018[[#This Row],[Split_raw]]*MAX(0,MIN(_xlfn.DAYS(EDATE(Z$1,1),Log_2018[[#This Row],[Date]]),Log_2018[[#This Row],[Split_apply]])) - SUM($O561:Y561)</f>
        <v>0</v>
      </c>
      <c r="AA561" s="52">
        <f ca="1">Log_2018[[#This Row],[Amount]]/Log_2018[[#This Row],[Split_raw]]*MAX(0,MIN(_xlfn.DAYS(EDATE(AA$1,1),Log_2018[[#This Row],[Date]]),Log_2018[[#This Row],[Split_apply]])) - SUM($O561:Z561)</f>
        <v>0</v>
      </c>
      <c r="AB561" s="54">
        <f ca="1">Log_2018[[#This Row],[Amount]]-SUM(O561:AA561)</f>
        <v>0</v>
      </c>
      <c r="AC561" s="7">
        <f ca="1">MAX(0,Log_2018[[#This Row],[Split_apply]] - (EDATE(AA$1,1)-Log_2018[[#This Row],[Date]]))</f>
        <v>0</v>
      </c>
    </row>
    <row r="562" spans="1:29" hidden="1" x14ac:dyDescent="0.25">
      <c r="A562" s="115"/>
      <c r="B562" t="s">
        <v>6</v>
      </c>
      <c r="D562" s="29">
        <v>43197</v>
      </c>
      <c r="F562" t="s">
        <v>228</v>
      </c>
      <c r="G562" t="s">
        <v>25</v>
      </c>
      <c r="H562" s="3">
        <v>-7.5</v>
      </c>
      <c r="I562" s="36">
        <f>IF(Log_2018[[#This Row],[My Category]]="NONTRACKED",0,Log_2018[[#This Row],[Raw Amount]])</f>
        <v>-7.5</v>
      </c>
      <c r="J562" s="17">
        <f>ABS(Log_2018[[#This Row],[Amount]])</f>
        <v>7.5</v>
      </c>
      <c r="K562" s="66">
        <v>1</v>
      </c>
      <c r="L562" s="66">
        <f ca="1">IF(Log_2018[[#This Row],[Date]]&lt;=TODAY(), MIN(Log_2018[[#This Row],[Split_raw]], TODAY()-Log_2018[[#This Row],[Date]]+1), 0)</f>
        <v>1</v>
      </c>
      <c r="M562" t="s">
        <v>35</v>
      </c>
      <c r="N562" t="s">
        <v>158</v>
      </c>
      <c r="O562" s="50">
        <v>0</v>
      </c>
      <c r="P562" s="52">
        <f ca="1">Log_2018[[#This Row],[Amount]]/Log_2018[[#This Row],[Split_raw]]*MAX(0,MIN(_xlfn.DAYS(EDATE(P$1,1),Log_2018[[#This Row],[Date]]),Log_2018[[#This Row],[Split_apply]])) - SUM($O562:O562)</f>
        <v>0</v>
      </c>
      <c r="Q562" s="52">
        <f ca="1">Log_2018[[#This Row],[Amount]]/Log_2018[[#This Row],[Split_raw]]*MAX(0,MIN(_xlfn.DAYS(EDATE(Q$1,1),Log_2018[[#This Row],[Date]]),Log_2018[[#This Row],[Split_apply]])) - SUM($O562:P562)</f>
        <v>0</v>
      </c>
      <c r="R562" s="52">
        <f ca="1">Log_2018[[#This Row],[Amount]]/Log_2018[[#This Row],[Split_raw]]*MAX(0,MIN(_xlfn.DAYS(EDATE(R$1,1),Log_2018[[#This Row],[Date]]),Log_2018[[#This Row],[Split_apply]])) - SUM($O562:Q562)</f>
        <v>0</v>
      </c>
      <c r="S562" s="52">
        <f ca="1">Log_2018[[#This Row],[Amount]]/Log_2018[[#This Row],[Split_raw]]*MAX(0,MIN(_xlfn.DAYS(EDATE(S$1,1),Log_2018[[#This Row],[Date]]),Log_2018[[#This Row],[Split_apply]])) - SUM($O562:R562)</f>
        <v>-7.5</v>
      </c>
      <c r="T562" s="52">
        <f ca="1">Log_2018[[#This Row],[Amount]]/Log_2018[[#This Row],[Split_raw]]*MAX(0,MIN(_xlfn.DAYS(EDATE(T$1,1),Log_2018[[#This Row],[Date]]),Log_2018[[#This Row],[Split_apply]])) - SUM($O562:S562)</f>
        <v>0</v>
      </c>
      <c r="U562" s="52">
        <f ca="1">Log_2018[[#This Row],[Amount]]/Log_2018[[#This Row],[Split_raw]]*MAX(0,MIN(_xlfn.DAYS(EDATE(U$1,1),Log_2018[[#This Row],[Date]]),Log_2018[[#This Row],[Split_apply]])) - SUM($O562:T562)</f>
        <v>0</v>
      </c>
      <c r="V562" s="52">
        <f ca="1">Log_2018[[#This Row],[Amount]]/Log_2018[[#This Row],[Split_raw]]*MAX(0,MIN(_xlfn.DAYS(EDATE(V$1,1),Log_2018[[#This Row],[Date]]),Log_2018[[#This Row],[Split_apply]])) - SUM($O562:U562)</f>
        <v>0</v>
      </c>
      <c r="W562" s="52">
        <f ca="1">Log_2018[[#This Row],[Amount]]/Log_2018[[#This Row],[Split_raw]]*MAX(0,MIN(_xlfn.DAYS(EDATE(W$1,1),Log_2018[[#This Row],[Date]]),Log_2018[[#This Row],[Split_apply]])) - SUM($O562:V562)</f>
        <v>0</v>
      </c>
      <c r="X562" s="52">
        <f ca="1">Log_2018[[#This Row],[Amount]]/Log_2018[[#This Row],[Split_raw]]*MAX(0,MIN(_xlfn.DAYS(EDATE(X$1,1),Log_2018[[#This Row],[Date]]),Log_2018[[#This Row],[Split_apply]])) - SUM($O562:W562)</f>
        <v>0</v>
      </c>
      <c r="Y562" s="52">
        <f ca="1">Log_2018[[#This Row],[Amount]]/Log_2018[[#This Row],[Split_raw]]*MAX(0,MIN(_xlfn.DAYS(EDATE(Y$1,1),Log_2018[[#This Row],[Date]]),Log_2018[[#This Row],[Split_apply]])) - SUM($O562:X562)</f>
        <v>0</v>
      </c>
      <c r="Z562" s="52">
        <f ca="1">Log_2018[[#This Row],[Amount]]/Log_2018[[#This Row],[Split_raw]]*MAX(0,MIN(_xlfn.DAYS(EDATE(Z$1,1),Log_2018[[#This Row],[Date]]),Log_2018[[#This Row],[Split_apply]])) - SUM($O562:Y562)</f>
        <v>0</v>
      </c>
      <c r="AA562" s="52">
        <f ca="1">Log_2018[[#This Row],[Amount]]/Log_2018[[#This Row],[Split_raw]]*MAX(0,MIN(_xlfn.DAYS(EDATE(AA$1,1),Log_2018[[#This Row],[Date]]),Log_2018[[#This Row],[Split_apply]])) - SUM($O562:Z562)</f>
        <v>0</v>
      </c>
      <c r="AB562" s="54">
        <f ca="1">Log_2018[[#This Row],[Amount]]-SUM(O562:AA562)</f>
        <v>0</v>
      </c>
      <c r="AC562" s="7">
        <f ca="1">MAX(0,Log_2018[[#This Row],[Split_apply]] - (EDATE(AA$1,1)-Log_2018[[#This Row],[Date]]))</f>
        <v>0</v>
      </c>
    </row>
    <row r="563" spans="1:29" hidden="1" x14ac:dyDescent="0.25">
      <c r="A563" s="115"/>
      <c r="B563" t="s">
        <v>6</v>
      </c>
      <c r="D563" s="29">
        <v>43196</v>
      </c>
      <c r="E563" t="s">
        <v>240</v>
      </c>
      <c r="F563" t="s">
        <v>217</v>
      </c>
      <c r="G563" t="s">
        <v>12</v>
      </c>
      <c r="H563" s="3">
        <v>-11.54</v>
      </c>
      <c r="I563" s="36">
        <f>IF(Log_2018[[#This Row],[My Category]]="NONTRACKED",0,Log_2018[[#This Row],[Raw Amount]])</f>
        <v>-11.54</v>
      </c>
      <c r="J563" s="17">
        <f>ABS(Log_2018[[#This Row],[Amount]])</f>
        <v>11.54</v>
      </c>
      <c r="K563" s="66">
        <v>1</v>
      </c>
      <c r="L563" s="66">
        <f ca="1">IF(Log_2018[[#This Row],[Date]]&lt;=TODAY(), MIN(Log_2018[[#This Row],[Split_raw]], TODAY()-Log_2018[[#This Row],[Date]]+1), 0)</f>
        <v>1</v>
      </c>
      <c r="M563" t="s">
        <v>53</v>
      </c>
      <c r="N563" t="s">
        <v>158</v>
      </c>
      <c r="O563" s="50">
        <v>0</v>
      </c>
      <c r="P563" s="52">
        <f ca="1">Log_2018[[#This Row],[Amount]]/Log_2018[[#This Row],[Split_raw]]*MAX(0,MIN(_xlfn.DAYS(EDATE(P$1,1),Log_2018[[#This Row],[Date]]),Log_2018[[#This Row],[Split_apply]])) - SUM($O563:O563)</f>
        <v>0</v>
      </c>
      <c r="Q563" s="52">
        <f ca="1">Log_2018[[#This Row],[Amount]]/Log_2018[[#This Row],[Split_raw]]*MAX(0,MIN(_xlfn.DAYS(EDATE(Q$1,1),Log_2018[[#This Row],[Date]]),Log_2018[[#This Row],[Split_apply]])) - SUM($O563:P563)</f>
        <v>0</v>
      </c>
      <c r="R563" s="52">
        <f ca="1">Log_2018[[#This Row],[Amount]]/Log_2018[[#This Row],[Split_raw]]*MAX(0,MIN(_xlfn.DAYS(EDATE(R$1,1),Log_2018[[#This Row],[Date]]),Log_2018[[#This Row],[Split_apply]])) - SUM($O563:Q563)</f>
        <v>0</v>
      </c>
      <c r="S563" s="52">
        <f ca="1">Log_2018[[#This Row],[Amount]]/Log_2018[[#This Row],[Split_raw]]*MAX(0,MIN(_xlfn.DAYS(EDATE(S$1,1),Log_2018[[#This Row],[Date]]),Log_2018[[#This Row],[Split_apply]])) - SUM($O563:R563)</f>
        <v>-11.54</v>
      </c>
      <c r="T563" s="52">
        <f ca="1">Log_2018[[#This Row],[Amount]]/Log_2018[[#This Row],[Split_raw]]*MAX(0,MIN(_xlfn.DAYS(EDATE(T$1,1),Log_2018[[#This Row],[Date]]),Log_2018[[#This Row],[Split_apply]])) - SUM($O563:S563)</f>
        <v>0</v>
      </c>
      <c r="U563" s="52">
        <f ca="1">Log_2018[[#This Row],[Amount]]/Log_2018[[#This Row],[Split_raw]]*MAX(0,MIN(_xlfn.DAYS(EDATE(U$1,1),Log_2018[[#This Row],[Date]]),Log_2018[[#This Row],[Split_apply]])) - SUM($O563:T563)</f>
        <v>0</v>
      </c>
      <c r="V563" s="52">
        <f ca="1">Log_2018[[#This Row],[Amount]]/Log_2018[[#This Row],[Split_raw]]*MAX(0,MIN(_xlfn.DAYS(EDATE(V$1,1),Log_2018[[#This Row],[Date]]),Log_2018[[#This Row],[Split_apply]])) - SUM($O563:U563)</f>
        <v>0</v>
      </c>
      <c r="W563" s="52">
        <f ca="1">Log_2018[[#This Row],[Amount]]/Log_2018[[#This Row],[Split_raw]]*MAX(0,MIN(_xlfn.DAYS(EDATE(W$1,1),Log_2018[[#This Row],[Date]]),Log_2018[[#This Row],[Split_apply]])) - SUM($O563:V563)</f>
        <v>0</v>
      </c>
      <c r="X563" s="52">
        <f ca="1">Log_2018[[#This Row],[Amount]]/Log_2018[[#This Row],[Split_raw]]*MAX(0,MIN(_xlfn.DAYS(EDATE(X$1,1),Log_2018[[#This Row],[Date]]),Log_2018[[#This Row],[Split_apply]])) - SUM($O563:W563)</f>
        <v>0</v>
      </c>
      <c r="Y563" s="52">
        <f ca="1">Log_2018[[#This Row],[Amount]]/Log_2018[[#This Row],[Split_raw]]*MAX(0,MIN(_xlfn.DAYS(EDATE(Y$1,1),Log_2018[[#This Row],[Date]]),Log_2018[[#This Row],[Split_apply]])) - SUM($O563:X563)</f>
        <v>0</v>
      </c>
      <c r="Z563" s="52">
        <f ca="1">Log_2018[[#This Row],[Amount]]/Log_2018[[#This Row],[Split_raw]]*MAX(0,MIN(_xlfn.DAYS(EDATE(Z$1,1),Log_2018[[#This Row],[Date]]),Log_2018[[#This Row],[Split_apply]])) - SUM($O563:Y563)</f>
        <v>0</v>
      </c>
      <c r="AA563" s="52">
        <f ca="1">Log_2018[[#This Row],[Amount]]/Log_2018[[#This Row],[Split_raw]]*MAX(0,MIN(_xlfn.DAYS(EDATE(AA$1,1),Log_2018[[#This Row],[Date]]),Log_2018[[#This Row],[Split_apply]])) - SUM($O563:Z563)</f>
        <v>0</v>
      </c>
      <c r="AB563" s="54">
        <f ca="1">Log_2018[[#This Row],[Amount]]-SUM(O563:AA563)</f>
        <v>0</v>
      </c>
      <c r="AC563" s="7">
        <f ca="1">MAX(0,Log_2018[[#This Row],[Split_apply]] - (EDATE(AA$1,1)-Log_2018[[#This Row],[Date]]))</f>
        <v>0</v>
      </c>
    </row>
    <row r="564" spans="1:29" hidden="1" x14ac:dyDescent="0.25">
      <c r="A564" s="115"/>
      <c r="B564" t="s">
        <v>6</v>
      </c>
      <c r="D564" s="29">
        <v>43196</v>
      </c>
      <c r="E564" t="s">
        <v>240</v>
      </c>
      <c r="F564" t="s">
        <v>217</v>
      </c>
      <c r="G564" t="s">
        <v>12</v>
      </c>
      <c r="H564" s="3">
        <v>-24.18</v>
      </c>
      <c r="I564" s="36">
        <f>IF(Log_2018[[#This Row],[My Category]]="NONTRACKED",0,Log_2018[[#This Row],[Raw Amount]])</f>
        <v>-24.18</v>
      </c>
      <c r="J564" s="17">
        <f>ABS(Log_2018[[#This Row],[Amount]])</f>
        <v>24.18</v>
      </c>
      <c r="K564" s="66">
        <v>1</v>
      </c>
      <c r="L564" s="66">
        <f ca="1">IF(Log_2018[[#This Row],[Date]]&lt;=TODAY(), MIN(Log_2018[[#This Row],[Split_raw]], TODAY()-Log_2018[[#This Row],[Date]]+1), 0)</f>
        <v>1</v>
      </c>
      <c r="M564" t="s">
        <v>53</v>
      </c>
      <c r="N564" t="s">
        <v>158</v>
      </c>
      <c r="O564" s="50">
        <v>0</v>
      </c>
      <c r="P564" s="52">
        <f ca="1">Log_2018[[#This Row],[Amount]]/Log_2018[[#This Row],[Split_raw]]*MAX(0,MIN(_xlfn.DAYS(EDATE(P$1,1),Log_2018[[#This Row],[Date]]),Log_2018[[#This Row],[Split_apply]])) - SUM($O564:O564)</f>
        <v>0</v>
      </c>
      <c r="Q564" s="52">
        <f ca="1">Log_2018[[#This Row],[Amount]]/Log_2018[[#This Row],[Split_raw]]*MAX(0,MIN(_xlfn.DAYS(EDATE(Q$1,1),Log_2018[[#This Row],[Date]]),Log_2018[[#This Row],[Split_apply]])) - SUM($O564:P564)</f>
        <v>0</v>
      </c>
      <c r="R564" s="52">
        <f ca="1">Log_2018[[#This Row],[Amount]]/Log_2018[[#This Row],[Split_raw]]*MAX(0,MIN(_xlfn.DAYS(EDATE(R$1,1),Log_2018[[#This Row],[Date]]),Log_2018[[#This Row],[Split_apply]])) - SUM($O564:Q564)</f>
        <v>0</v>
      </c>
      <c r="S564" s="52">
        <f ca="1">Log_2018[[#This Row],[Amount]]/Log_2018[[#This Row],[Split_raw]]*MAX(0,MIN(_xlfn.DAYS(EDATE(S$1,1),Log_2018[[#This Row],[Date]]),Log_2018[[#This Row],[Split_apply]])) - SUM($O564:R564)</f>
        <v>-24.18</v>
      </c>
      <c r="T564" s="52">
        <f ca="1">Log_2018[[#This Row],[Amount]]/Log_2018[[#This Row],[Split_raw]]*MAX(0,MIN(_xlfn.DAYS(EDATE(T$1,1),Log_2018[[#This Row],[Date]]),Log_2018[[#This Row],[Split_apply]])) - SUM($O564:S564)</f>
        <v>0</v>
      </c>
      <c r="U564" s="52">
        <f ca="1">Log_2018[[#This Row],[Amount]]/Log_2018[[#This Row],[Split_raw]]*MAX(0,MIN(_xlfn.DAYS(EDATE(U$1,1),Log_2018[[#This Row],[Date]]),Log_2018[[#This Row],[Split_apply]])) - SUM($O564:T564)</f>
        <v>0</v>
      </c>
      <c r="V564" s="52">
        <f ca="1">Log_2018[[#This Row],[Amount]]/Log_2018[[#This Row],[Split_raw]]*MAX(0,MIN(_xlfn.DAYS(EDATE(V$1,1),Log_2018[[#This Row],[Date]]),Log_2018[[#This Row],[Split_apply]])) - SUM($O564:U564)</f>
        <v>0</v>
      </c>
      <c r="W564" s="52">
        <f ca="1">Log_2018[[#This Row],[Amount]]/Log_2018[[#This Row],[Split_raw]]*MAX(0,MIN(_xlfn.DAYS(EDATE(W$1,1),Log_2018[[#This Row],[Date]]),Log_2018[[#This Row],[Split_apply]])) - SUM($O564:V564)</f>
        <v>0</v>
      </c>
      <c r="X564" s="52">
        <f ca="1">Log_2018[[#This Row],[Amount]]/Log_2018[[#This Row],[Split_raw]]*MAX(0,MIN(_xlfn.DAYS(EDATE(X$1,1),Log_2018[[#This Row],[Date]]),Log_2018[[#This Row],[Split_apply]])) - SUM($O564:W564)</f>
        <v>0</v>
      </c>
      <c r="Y564" s="52">
        <f ca="1">Log_2018[[#This Row],[Amount]]/Log_2018[[#This Row],[Split_raw]]*MAX(0,MIN(_xlfn.DAYS(EDATE(Y$1,1),Log_2018[[#This Row],[Date]]),Log_2018[[#This Row],[Split_apply]])) - SUM($O564:X564)</f>
        <v>0</v>
      </c>
      <c r="Z564" s="52">
        <f ca="1">Log_2018[[#This Row],[Amount]]/Log_2018[[#This Row],[Split_raw]]*MAX(0,MIN(_xlfn.DAYS(EDATE(Z$1,1),Log_2018[[#This Row],[Date]]),Log_2018[[#This Row],[Split_apply]])) - SUM($O564:Y564)</f>
        <v>0</v>
      </c>
      <c r="AA564" s="52">
        <f ca="1">Log_2018[[#This Row],[Amount]]/Log_2018[[#This Row],[Split_raw]]*MAX(0,MIN(_xlfn.DAYS(EDATE(AA$1,1),Log_2018[[#This Row],[Date]]),Log_2018[[#This Row],[Split_apply]])) - SUM($O564:Z564)</f>
        <v>0</v>
      </c>
      <c r="AB564" s="54">
        <f ca="1">Log_2018[[#This Row],[Amount]]-SUM(O564:AA564)</f>
        <v>0</v>
      </c>
      <c r="AC564" s="7">
        <f ca="1">MAX(0,Log_2018[[#This Row],[Split_apply]] - (EDATE(AA$1,1)-Log_2018[[#This Row],[Date]]))</f>
        <v>0</v>
      </c>
    </row>
    <row r="565" spans="1:29" hidden="1" x14ac:dyDescent="0.25">
      <c r="A565" s="115"/>
      <c r="B565" t="s">
        <v>6</v>
      </c>
      <c r="D565" s="29">
        <v>43196</v>
      </c>
      <c r="F565" t="s">
        <v>59</v>
      </c>
      <c r="G565" t="s">
        <v>25</v>
      </c>
      <c r="H565" s="3">
        <v>-8.94</v>
      </c>
      <c r="I565" s="36">
        <f>IF(Log_2018[[#This Row],[My Category]]="NONTRACKED",0,Log_2018[[#This Row],[Raw Amount]])</f>
        <v>-8.94</v>
      </c>
      <c r="J565" s="17">
        <f>ABS(Log_2018[[#This Row],[Amount]])</f>
        <v>8.94</v>
      </c>
      <c r="K565" s="66">
        <v>1</v>
      </c>
      <c r="L565" s="66">
        <f ca="1">IF(Log_2018[[#This Row],[Date]]&lt;=TODAY(), MIN(Log_2018[[#This Row],[Split_raw]], TODAY()-Log_2018[[#This Row],[Date]]+1), 0)</f>
        <v>1</v>
      </c>
      <c r="M565" t="s">
        <v>35</v>
      </c>
      <c r="N565" t="s">
        <v>158</v>
      </c>
      <c r="O565" s="50">
        <v>0</v>
      </c>
      <c r="P565" s="52">
        <f ca="1">Log_2018[[#This Row],[Amount]]/Log_2018[[#This Row],[Split_raw]]*MAX(0,MIN(_xlfn.DAYS(EDATE(P$1,1),Log_2018[[#This Row],[Date]]),Log_2018[[#This Row],[Split_apply]])) - SUM($O565:O565)</f>
        <v>0</v>
      </c>
      <c r="Q565" s="52">
        <f ca="1">Log_2018[[#This Row],[Amount]]/Log_2018[[#This Row],[Split_raw]]*MAX(0,MIN(_xlfn.DAYS(EDATE(Q$1,1),Log_2018[[#This Row],[Date]]),Log_2018[[#This Row],[Split_apply]])) - SUM($O565:P565)</f>
        <v>0</v>
      </c>
      <c r="R565" s="52">
        <f ca="1">Log_2018[[#This Row],[Amount]]/Log_2018[[#This Row],[Split_raw]]*MAX(0,MIN(_xlfn.DAYS(EDATE(R$1,1),Log_2018[[#This Row],[Date]]),Log_2018[[#This Row],[Split_apply]])) - SUM($O565:Q565)</f>
        <v>0</v>
      </c>
      <c r="S565" s="52">
        <f ca="1">Log_2018[[#This Row],[Amount]]/Log_2018[[#This Row],[Split_raw]]*MAX(0,MIN(_xlfn.DAYS(EDATE(S$1,1),Log_2018[[#This Row],[Date]]),Log_2018[[#This Row],[Split_apply]])) - SUM($O565:R565)</f>
        <v>-8.94</v>
      </c>
      <c r="T565" s="52">
        <f ca="1">Log_2018[[#This Row],[Amount]]/Log_2018[[#This Row],[Split_raw]]*MAX(0,MIN(_xlfn.DAYS(EDATE(T$1,1),Log_2018[[#This Row],[Date]]),Log_2018[[#This Row],[Split_apply]])) - SUM($O565:S565)</f>
        <v>0</v>
      </c>
      <c r="U565" s="52">
        <f ca="1">Log_2018[[#This Row],[Amount]]/Log_2018[[#This Row],[Split_raw]]*MAX(0,MIN(_xlfn.DAYS(EDATE(U$1,1),Log_2018[[#This Row],[Date]]),Log_2018[[#This Row],[Split_apply]])) - SUM($O565:T565)</f>
        <v>0</v>
      </c>
      <c r="V565" s="52">
        <f ca="1">Log_2018[[#This Row],[Amount]]/Log_2018[[#This Row],[Split_raw]]*MAX(0,MIN(_xlfn.DAYS(EDATE(V$1,1),Log_2018[[#This Row],[Date]]),Log_2018[[#This Row],[Split_apply]])) - SUM($O565:U565)</f>
        <v>0</v>
      </c>
      <c r="W565" s="52">
        <f ca="1">Log_2018[[#This Row],[Amount]]/Log_2018[[#This Row],[Split_raw]]*MAX(0,MIN(_xlfn.DAYS(EDATE(W$1,1),Log_2018[[#This Row],[Date]]),Log_2018[[#This Row],[Split_apply]])) - SUM($O565:V565)</f>
        <v>0</v>
      </c>
      <c r="X565" s="52">
        <f ca="1">Log_2018[[#This Row],[Amount]]/Log_2018[[#This Row],[Split_raw]]*MAX(0,MIN(_xlfn.DAYS(EDATE(X$1,1),Log_2018[[#This Row],[Date]]),Log_2018[[#This Row],[Split_apply]])) - SUM($O565:W565)</f>
        <v>0</v>
      </c>
      <c r="Y565" s="52">
        <f ca="1">Log_2018[[#This Row],[Amount]]/Log_2018[[#This Row],[Split_raw]]*MAX(0,MIN(_xlfn.DAYS(EDATE(Y$1,1),Log_2018[[#This Row],[Date]]),Log_2018[[#This Row],[Split_apply]])) - SUM($O565:X565)</f>
        <v>0</v>
      </c>
      <c r="Z565" s="52">
        <f ca="1">Log_2018[[#This Row],[Amount]]/Log_2018[[#This Row],[Split_raw]]*MAX(0,MIN(_xlfn.DAYS(EDATE(Z$1,1),Log_2018[[#This Row],[Date]]),Log_2018[[#This Row],[Split_apply]])) - SUM($O565:Y565)</f>
        <v>0</v>
      </c>
      <c r="AA565" s="52">
        <f ca="1">Log_2018[[#This Row],[Amount]]/Log_2018[[#This Row],[Split_raw]]*MAX(0,MIN(_xlfn.DAYS(EDATE(AA$1,1),Log_2018[[#This Row],[Date]]),Log_2018[[#This Row],[Split_apply]])) - SUM($O565:Z565)</f>
        <v>0</v>
      </c>
      <c r="AB565" s="54">
        <f ca="1">Log_2018[[#This Row],[Amount]]-SUM(O565:AA565)</f>
        <v>0</v>
      </c>
      <c r="AC565" s="7">
        <f ca="1">MAX(0,Log_2018[[#This Row],[Split_apply]] - (EDATE(AA$1,1)-Log_2018[[#This Row],[Date]]))</f>
        <v>0</v>
      </c>
    </row>
    <row r="566" spans="1:29" hidden="1" x14ac:dyDescent="0.25">
      <c r="A566" s="115"/>
      <c r="B566" t="s">
        <v>6</v>
      </c>
      <c r="D566" s="29">
        <v>43196</v>
      </c>
      <c r="E566" t="s">
        <v>240</v>
      </c>
      <c r="F566" t="s">
        <v>229</v>
      </c>
      <c r="G566" t="s">
        <v>12</v>
      </c>
      <c r="H566" s="3">
        <v>-114.43</v>
      </c>
      <c r="I566" s="36">
        <f>IF(Log_2018[[#This Row],[My Category]]="NONTRACKED",0,Log_2018[[#This Row],[Raw Amount]])</f>
        <v>-114.43</v>
      </c>
      <c r="J566" s="17">
        <f>ABS(Log_2018[[#This Row],[Amount]])</f>
        <v>114.43</v>
      </c>
      <c r="K566" s="66">
        <v>1</v>
      </c>
      <c r="L566" s="66">
        <f ca="1">IF(Log_2018[[#This Row],[Date]]&lt;=TODAY(), MIN(Log_2018[[#This Row],[Split_raw]], TODAY()-Log_2018[[#This Row],[Date]]+1), 0)</f>
        <v>1</v>
      </c>
      <c r="M566" t="s">
        <v>53</v>
      </c>
      <c r="N566" t="s">
        <v>158</v>
      </c>
      <c r="O566" s="50">
        <v>0</v>
      </c>
      <c r="P566" s="52">
        <f ca="1">Log_2018[[#This Row],[Amount]]/Log_2018[[#This Row],[Split_raw]]*MAX(0,MIN(_xlfn.DAYS(EDATE(P$1,1),Log_2018[[#This Row],[Date]]),Log_2018[[#This Row],[Split_apply]])) - SUM($O566:O566)</f>
        <v>0</v>
      </c>
      <c r="Q566" s="52">
        <f ca="1">Log_2018[[#This Row],[Amount]]/Log_2018[[#This Row],[Split_raw]]*MAX(0,MIN(_xlfn.DAYS(EDATE(Q$1,1),Log_2018[[#This Row],[Date]]),Log_2018[[#This Row],[Split_apply]])) - SUM($O566:P566)</f>
        <v>0</v>
      </c>
      <c r="R566" s="52">
        <f ca="1">Log_2018[[#This Row],[Amount]]/Log_2018[[#This Row],[Split_raw]]*MAX(0,MIN(_xlfn.DAYS(EDATE(R$1,1),Log_2018[[#This Row],[Date]]),Log_2018[[#This Row],[Split_apply]])) - SUM($O566:Q566)</f>
        <v>0</v>
      </c>
      <c r="S566" s="52">
        <f ca="1">Log_2018[[#This Row],[Amount]]/Log_2018[[#This Row],[Split_raw]]*MAX(0,MIN(_xlfn.DAYS(EDATE(S$1,1),Log_2018[[#This Row],[Date]]),Log_2018[[#This Row],[Split_apply]])) - SUM($O566:R566)</f>
        <v>-114.43</v>
      </c>
      <c r="T566" s="52">
        <f ca="1">Log_2018[[#This Row],[Amount]]/Log_2018[[#This Row],[Split_raw]]*MAX(0,MIN(_xlfn.DAYS(EDATE(T$1,1),Log_2018[[#This Row],[Date]]),Log_2018[[#This Row],[Split_apply]])) - SUM($O566:S566)</f>
        <v>0</v>
      </c>
      <c r="U566" s="52">
        <f ca="1">Log_2018[[#This Row],[Amount]]/Log_2018[[#This Row],[Split_raw]]*MAX(0,MIN(_xlfn.DAYS(EDATE(U$1,1),Log_2018[[#This Row],[Date]]),Log_2018[[#This Row],[Split_apply]])) - SUM($O566:T566)</f>
        <v>0</v>
      </c>
      <c r="V566" s="52">
        <f ca="1">Log_2018[[#This Row],[Amount]]/Log_2018[[#This Row],[Split_raw]]*MAX(0,MIN(_xlfn.DAYS(EDATE(V$1,1),Log_2018[[#This Row],[Date]]),Log_2018[[#This Row],[Split_apply]])) - SUM($O566:U566)</f>
        <v>0</v>
      </c>
      <c r="W566" s="52">
        <f ca="1">Log_2018[[#This Row],[Amount]]/Log_2018[[#This Row],[Split_raw]]*MAX(0,MIN(_xlfn.DAYS(EDATE(W$1,1),Log_2018[[#This Row],[Date]]),Log_2018[[#This Row],[Split_apply]])) - SUM($O566:V566)</f>
        <v>0</v>
      </c>
      <c r="X566" s="52">
        <f ca="1">Log_2018[[#This Row],[Amount]]/Log_2018[[#This Row],[Split_raw]]*MAX(0,MIN(_xlfn.DAYS(EDATE(X$1,1),Log_2018[[#This Row],[Date]]),Log_2018[[#This Row],[Split_apply]])) - SUM($O566:W566)</f>
        <v>0</v>
      </c>
      <c r="Y566" s="52">
        <f ca="1">Log_2018[[#This Row],[Amount]]/Log_2018[[#This Row],[Split_raw]]*MAX(0,MIN(_xlfn.DAYS(EDATE(Y$1,1),Log_2018[[#This Row],[Date]]),Log_2018[[#This Row],[Split_apply]])) - SUM($O566:X566)</f>
        <v>0</v>
      </c>
      <c r="Z566" s="52">
        <f ca="1">Log_2018[[#This Row],[Amount]]/Log_2018[[#This Row],[Split_raw]]*MAX(0,MIN(_xlfn.DAYS(EDATE(Z$1,1),Log_2018[[#This Row],[Date]]),Log_2018[[#This Row],[Split_apply]])) - SUM($O566:Y566)</f>
        <v>0</v>
      </c>
      <c r="AA566" s="52">
        <f ca="1">Log_2018[[#This Row],[Amount]]/Log_2018[[#This Row],[Split_raw]]*MAX(0,MIN(_xlfn.DAYS(EDATE(AA$1,1),Log_2018[[#This Row],[Date]]),Log_2018[[#This Row],[Split_apply]])) - SUM($O566:Z566)</f>
        <v>0</v>
      </c>
      <c r="AB566" s="54">
        <f ca="1">Log_2018[[#This Row],[Amount]]-SUM(O566:AA566)</f>
        <v>0</v>
      </c>
      <c r="AC566" s="7">
        <f ca="1">MAX(0,Log_2018[[#This Row],[Split_apply]] - (EDATE(AA$1,1)-Log_2018[[#This Row],[Date]]))</f>
        <v>0</v>
      </c>
    </row>
    <row r="567" spans="1:29" hidden="1" x14ac:dyDescent="0.25">
      <c r="A567" s="115"/>
      <c r="B567" t="s">
        <v>6</v>
      </c>
      <c r="D567" s="29">
        <v>43195</v>
      </c>
      <c r="E567" t="s">
        <v>264</v>
      </c>
      <c r="F567" t="s">
        <v>205</v>
      </c>
      <c r="G567" t="s">
        <v>27</v>
      </c>
      <c r="H567" s="3">
        <v>-378.4</v>
      </c>
      <c r="I567" s="36">
        <f>IF(Log_2018[[#This Row],[My Category]]="NONTRACKED",0,Log_2018[[#This Row],[Raw Amount]])</f>
        <v>-378.4</v>
      </c>
      <c r="J567" s="17">
        <f>ABS(Log_2018[[#This Row],[Amount]])</f>
        <v>378.4</v>
      </c>
      <c r="K567" s="66">
        <v>1</v>
      </c>
      <c r="L567" s="66">
        <f ca="1">IF(Log_2018[[#This Row],[Date]]&lt;=TODAY(), MIN(Log_2018[[#This Row],[Split_raw]], TODAY()-Log_2018[[#This Row],[Date]]+1), 0)</f>
        <v>1</v>
      </c>
      <c r="M567" t="s">
        <v>42</v>
      </c>
      <c r="N567" t="s">
        <v>158</v>
      </c>
      <c r="O567" s="50">
        <v>0</v>
      </c>
      <c r="P567" s="52">
        <f ca="1">Log_2018[[#This Row],[Amount]]/Log_2018[[#This Row],[Split_raw]]*MAX(0,MIN(_xlfn.DAYS(EDATE(P$1,1),Log_2018[[#This Row],[Date]]),Log_2018[[#This Row],[Split_apply]])) - SUM($O567:O567)</f>
        <v>0</v>
      </c>
      <c r="Q567" s="52">
        <f ca="1">Log_2018[[#This Row],[Amount]]/Log_2018[[#This Row],[Split_raw]]*MAX(0,MIN(_xlfn.DAYS(EDATE(Q$1,1),Log_2018[[#This Row],[Date]]),Log_2018[[#This Row],[Split_apply]])) - SUM($O567:P567)</f>
        <v>0</v>
      </c>
      <c r="R567" s="52">
        <f ca="1">Log_2018[[#This Row],[Amount]]/Log_2018[[#This Row],[Split_raw]]*MAX(0,MIN(_xlfn.DAYS(EDATE(R$1,1),Log_2018[[#This Row],[Date]]),Log_2018[[#This Row],[Split_apply]])) - SUM($O567:Q567)</f>
        <v>0</v>
      </c>
      <c r="S567" s="52">
        <f ca="1">Log_2018[[#This Row],[Amount]]/Log_2018[[#This Row],[Split_raw]]*MAX(0,MIN(_xlfn.DAYS(EDATE(S$1,1),Log_2018[[#This Row],[Date]]),Log_2018[[#This Row],[Split_apply]])) - SUM($O567:R567)</f>
        <v>-378.4</v>
      </c>
      <c r="T567" s="52">
        <f ca="1">Log_2018[[#This Row],[Amount]]/Log_2018[[#This Row],[Split_raw]]*MAX(0,MIN(_xlfn.DAYS(EDATE(T$1,1),Log_2018[[#This Row],[Date]]),Log_2018[[#This Row],[Split_apply]])) - SUM($O567:S567)</f>
        <v>0</v>
      </c>
      <c r="U567" s="52">
        <f ca="1">Log_2018[[#This Row],[Amount]]/Log_2018[[#This Row],[Split_raw]]*MAX(0,MIN(_xlfn.DAYS(EDATE(U$1,1),Log_2018[[#This Row],[Date]]),Log_2018[[#This Row],[Split_apply]])) - SUM($O567:T567)</f>
        <v>0</v>
      </c>
      <c r="V567" s="52">
        <f ca="1">Log_2018[[#This Row],[Amount]]/Log_2018[[#This Row],[Split_raw]]*MAX(0,MIN(_xlfn.DAYS(EDATE(V$1,1),Log_2018[[#This Row],[Date]]),Log_2018[[#This Row],[Split_apply]])) - SUM($O567:U567)</f>
        <v>0</v>
      </c>
      <c r="W567" s="52">
        <f ca="1">Log_2018[[#This Row],[Amount]]/Log_2018[[#This Row],[Split_raw]]*MAX(0,MIN(_xlfn.DAYS(EDATE(W$1,1),Log_2018[[#This Row],[Date]]),Log_2018[[#This Row],[Split_apply]])) - SUM($O567:V567)</f>
        <v>0</v>
      </c>
      <c r="X567" s="52">
        <f ca="1">Log_2018[[#This Row],[Amount]]/Log_2018[[#This Row],[Split_raw]]*MAX(0,MIN(_xlfn.DAYS(EDATE(X$1,1),Log_2018[[#This Row],[Date]]),Log_2018[[#This Row],[Split_apply]])) - SUM($O567:W567)</f>
        <v>0</v>
      </c>
      <c r="Y567" s="52">
        <f ca="1">Log_2018[[#This Row],[Amount]]/Log_2018[[#This Row],[Split_raw]]*MAX(0,MIN(_xlfn.DAYS(EDATE(Y$1,1),Log_2018[[#This Row],[Date]]),Log_2018[[#This Row],[Split_apply]])) - SUM($O567:X567)</f>
        <v>0</v>
      </c>
      <c r="Z567" s="52">
        <f ca="1">Log_2018[[#This Row],[Amount]]/Log_2018[[#This Row],[Split_raw]]*MAX(0,MIN(_xlfn.DAYS(EDATE(Z$1,1),Log_2018[[#This Row],[Date]]),Log_2018[[#This Row],[Split_apply]])) - SUM($O567:Y567)</f>
        <v>0</v>
      </c>
      <c r="AA567" s="52">
        <f ca="1">Log_2018[[#This Row],[Amount]]/Log_2018[[#This Row],[Split_raw]]*MAX(0,MIN(_xlfn.DAYS(EDATE(AA$1,1),Log_2018[[#This Row],[Date]]),Log_2018[[#This Row],[Split_apply]])) - SUM($O567:Z567)</f>
        <v>0</v>
      </c>
      <c r="AB567" s="54">
        <f ca="1">Log_2018[[#This Row],[Amount]]-SUM(O567:AA567)</f>
        <v>0</v>
      </c>
      <c r="AC567" s="7">
        <f ca="1">MAX(0,Log_2018[[#This Row],[Split_apply]] - (EDATE(AA$1,1)-Log_2018[[#This Row],[Date]]))</f>
        <v>0</v>
      </c>
    </row>
    <row r="568" spans="1:29" hidden="1" x14ac:dyDescent="0.25">
      <c r="A568" s="115"/>
      <c r="B568" t="s">
        <v>6</v>
      </c>
      <c r="D568" s="29">
        <v>43195</v>
      </c>
      <c r="F568" t="s">
        <v>59</v>
      </c>
      <c r="G568" t="s">
        <v>25</v>
      </c>
      <c r="H568" s="3">
        <v>-7.94</v>
      </c>
      <c r="I568" s="36">
        <f>IF(Log_2018[[#This Row],[My Category]]="NONTRACKED",0,Log_2018[[#This Row],[Raw Amount]])</f>
        <v>-7.94</v>
      </c>
      <c r="J568" s="17">
        <f>ABS(Log_2018[[#This Row],[Amount]])</f>
        <v>7.94</v>
      </c>
      <c r="K568" s="66">
        <v>1</v>
      </c>
      <c r="L568" s="66">
        <f ca="1">IF(Log_2018[[#This Row],[Date]]&lt;=TODAY(), MIN(Log_2018[[#This Row],[Split_raw]], TODAY()-Log_2018[[#This Row],[Date]]+1), 0)</f>
        <v>1</v>
      </c>
      <c r="M568" t="s">
        <v>35</v>
      </c>
      <c r="N568" t="s">
        <v>158</v>
      </c>
      <c r="O568" s="50">
        <v>0</v>
      </c>
      <c r="P568" s="52">
        <f ca="1">Log_2018[[#This Row],[Amount]]/Log_2018[[#This Row],[Split_raw]]*MAX(0,MIN(_xlfn.DAYS(EDATE(P$1,1),Log_2018[[#This Row],[Date]]),Log_2018[[#This Row],[Split_apply]])) - SUM($O568:O568)</f>
        <v>0</v>
      </c>
      <c r="Q568" s="52">
        <f ca="1">Log_2018[[#This Row],[Amount]]/Log_2018[[#This Row],[Split_raw]]*MAX(0,MIN(_xlfn.DAYS(EDATE(Q$1,1),Log_2018[[#This Row],[Date]]),Log_2018[[#This Row],[Split_apply]])) - SUM($O568:P568)</f>
        <v>0</v>
      </c>
      <c r="R568" s="52">
        <f ca="1">Log_2018[[#This Row],[Amount]]/Log_2018[[#This Row],[Split_raw]]*MAX(0,MIN(_xlfn.DAYS(EDATE(R$1,1),Log_2018[[#This Row],[Date]]),Log_2018[[#This Row],[Split_apply]])) - SUM($O568:Q568)</f>
        <v>0</v>
      </c>
      <c r="S568" s="52">
        <f ca="1">Log_2018[[#This Row],[Amount]]/Log_2018[[#This Row],[Split_raw]]*MAX(0,MIN(_xlfn.DAYS(EDATE(S$1,1),Log_2018[[#This Row],[Date]]),Log_2018[[#This Row],[Split_apply]])) - SUM($O568:R568)</f>
        <v>-7.94</v>
      </c>
      <c r="T568" s="52">
        <f ca="1">Log_2018[[#This Row],[Amount]]/Log_2018[[#This Row],[Split_raw]]*MAX(0,MIN(_xlfn.DAYS(EDATE(T$1,1),Log_2018[[#This Row],[Date]]),Log_2018[[#This Row],[Split_apply]])) - SUM($O568:S568)</f>
        <v>0</v>
      </c>
      <c r="U568" s="52">
        <f ca="1">Log_2018[[#This Row],[Amount]]/Log_2018[[#This Row],[Split_raw]]*MAX(0,MIN(_xlfn.DAYS(EDATE(U$1,1),Log_2018[[#This Row],[Date]]),Log_2018[[#This Row],[Split_apply]])) - SUM($O568:T568)</f>
        <v>0</v>
      </c>
      <c r="V568" s="52">
        <f ca="1">Log_2018[[#This Row],[Amount]]/Log_2018[[#This Row],[Split_raw]]*MAX(0,MIN(_xlfn.DAYS(EDATE(V$1,1),Log_2018[[#This Row],[Date]]),Log_2018[[#This Row],[Split_apply]])) - SUM($O568:U568)</f>
        <v>0</v>
      </c>
      <c r="W568" s="52">
        <f ca="1">Log_2018[[#This Row],[Amount]]/Log_2018[[#This Row],[Split_raw]]*MAX(0,MIN(_xlfn.DAYS(EDATE(W$1,1),Log_2018[[#This Row],[Date]]),Log_2018[[#This Row],[Split_apply]])) - SUM($O568:V568)</f>
        <v>0</v>
      </c>
      <c r="X568" s="52">
        <f ca="1">Log_2018[[#This Row],[Amount]]/Log_2018[[#This Row],[Split_raw]]*MAX(0,MIN(_xlfn.DAYS(EDATE(X$1,1),Log_2018[[#This Row],[Date]]),Log_2018[[#This Row],[Split_apply]])) - SUM($O568:W568)</f>
        <v>0</v>
      </c>
      <c r="Y568" s="52">
        <f ca="1">Log_2018[[#This Row],[Amount]]/Log_2018[[#This Row],[Split_raw]]*MAX(0,MIN(_xlfn.DAYS(EDATE(Y$1,1),Log_2018[[#This Row],[Date]]),Log_2018[[#This Row],[Split_apply]])) - SUM($O568:X568)</f>
        <v>0</v>
      </c>
      <c r="Z568" s="52">
        <f ca="1">Log_2018[[#This Row],[Amount]]/Log_2018[[#This Row],[Split_raw]]*MAX(0,MIN(_xlfn.DAYS(EDATE(Z$1,1),Log_2018[[#This Row],[Date]]),Log_2018[[#This Row],[Split_apply]])) - SUM($O568:Y568)</f>
        <v>0</v>
      </c>
      <c r="AA568" s="52">
        <f ca="1">Log_2018[[#This Row],[Amount]]/Log_2018[[#This Row],[Split_raw]]*MAX(0,MIN(_xlfn.DAYS(EDATE(AA$1,1),Log_2018[[#This Row],[Date]]),Log_2018[[#This Row],[Split_apply]])) - SUM($O568:Z568)</f>
        <v>0</v>
      </c>
      <c r="AB568" s="54">
        <f ca="1">Log_2018[[#This Row],[Amount]]-SUM(O568:AA568)</f>
        <v>0</v>
      </c>
      <c r="AC568" s="7">
        <f ca="1">MAX(0,Log_2018[[#This Row],[Split_apply]] - (EDATE(AA$1,1)-Log_2018[[#This Row],[Date]]))</f>
        <v>0</v>
      </c>
    </row>
    <row r="569" spans="1:29" hidden="1" x14ac:dyDescent="0.25">
      <c r="A569" s="115"/>
      <c r="B569" t="s">
        <v>6</v>
      </c>
      <c r="D569" s="29">
        <v>43194</v>
      </c>
      <c r="F569" t="s">
        <v>206</v>
      </c>
      <c r="G569" t="s">
        <v>9</v>
      </c>
      <c r="H569" s="3">
        <v>-250.8</v>
      </c>
      <c r="I569" s="36">
        <f>IF(Log_2018[[#This Row],[My Category]]="NONTRACKED",0,Log_2018[[#This Row],[Raw Amount]])</f>
        <v>-250.8</v>
      </c>
      <c r="J569" s="17">
        <f>ABS(Log_2018[[#This Row],[Amount]])</f>
        <v>250.8</v>
      </c>
      <c r="K569" s="66">
        <v>1</v>
      </c>
      <c r="L569" s="66">
        <f ca="1">IF(Log_2018[[#This Row],[Date]]&lt;=TODAY(), MIN(Log_2018[[#This Row],[Split_raw]], TODAY()-Log_2018[[#This Row],[Date]]+1), 0)</f>
        <v>1</v>
      </c>
      <c r="M569" t="s">
        <v>145</v>
      </c>
      <c r="N569" t="s">
        <v>158</v>
      </c>
      <c r="O569" s="50">
        <v>0</v>
      </c>
      <c r="P569" s="52">
        <f ca="1">Log_2018[[#This Row],[Amount]]/Log_2018[[#This Row],[Split_raw]]*MAX(0,MIN(_xlfn.DAYS(EDATE(P$1,1),Log_2018[[#This Row],[Date]]),Log_2018[[#This Row],[Split_apply]])) - SUM($O569:O569)</f>
        <v>0</v>
      </c>
      <c r="Q569" s="52">
        <f ca="1">Log_2018[[#This Row],[Amount]]/Log_2018[[#This Row],[Split_raw]]*MAX(0,MIN(_xlfn.DAYS(EDATE(Q$1,1),Log_2018[[#This Row],[Date]]),Log_2018[[#This Row],[Split_apply]])) - SUM($O569:P569)</f>
        <v>0</v>
      </c>
      <c r="R569" s="52">
        <f ca="1">Log_2018[[#This Row],[Amount]]/Log_2018[[#This Row],[Split_raw]]*MAX(0,MIN(_xlfn.DAYS(EDATE(R$1,1),Log_2018[[#This Row],[Date]]),Log_2018[[#This Row],[Split_apply]])) - SUM($O569:Q569)</f>
        <v>0</v>
      </c>
      <c r="S569" s="52">
        <f ca="1">Log_2018[[#This Row],[Amount]]/Log_2018[[#This Row],[Split_raw]]*MAX(0,MIN(_xlfn.DAYS(EDATE(S$1,1),Log_2018[[#This Row],[Date]]),Log_2018[[#This Row],[Split_apply]])) - SUM($O569:R569)</f>
        <v>-250.8</v>
      </c>
      <c r="T569" s="52">
        <f ca="1">Log_2018[[#This Row],[Amount]]/Log_2018[[#This Row],[Split_raw]]*MAX(0,MIN(_xlfn.DAYS(EDATE(T$1,1),Log_2018[[#This Row],[Date]]),Log_2018[[#This Row],[Split_apply]])) - SUM($O569:S569)</f>
        <v>0</v>
      </c>
      <c r="U569" s="52">
        <f ca="1">Log_2018[[#This Row],[Amount]]/Log_2018[[#This Row],[Split_raw]]*MAX(0,MIN(_xlfn.DAYS(EDATE(U$1,1),Log_2018[[#This Row],[Date]]),Log_2018[[#This Row],[Split_apply]])) - SUM($O569:T569)</f>
        <v>0</v>
      </c>
      <c r="V569" s="52">
        <f ca="1">Log_2018[[#This Row],[Amount]]/Log_2018[[#This Row],[Split_raw]]*MAX(0,MIN(_xlfn.DAYS(EDATE(V$1,1),Log_2018[[#This Row],[Date]]),Log_2018[[#This Row],[Split_apply]])) - SUM($O569:U569)</f>
        <v>0</v>
      </c>
      <c r="W569" s="52">
        <f ca="1">Log_2018[[#This Row],[Amount]]/Log_2018[[#This Row],[Split_raw]]*MAX(0,MIN(_xlfn.DAYS(EDATE(W$1,1),Log_2018[[#This Row],[Date]]),Log_2018[[#This Row],[Split_apply]])) - SUM($O569:V569)</f>
        <v>0</v>
      </c>
      <c r="X569" s="52">
        <f ca="1">Log_2018[[#This Row],[Amount]]/Log_2018[[#This Row],[Split_raw]]*MAX(0,MIN(_xlfn.DAYS(EDATE(X$1,1),Log_2018[[#This Row],[Date]]),Log_2018[[#This Row],[Split_apply]])) - SUM($O569:W569)</f>
        <v>0</v>
      </c>
      <c r="Y569" s="52">
        <f ca="1">Log_2018[[#This Row],[Amount]]/Log_2018[[#This Row],[Split_raw]]*MAX(0,MIN(_xlfn.DAYS(EDATE(Y$1,1),Log_2018[[#This Row],[Date]]),Log_2018[[#This Row],[Split_apply]])) - SUM($O569:X569)</f>
        <v>0</v>
      </c>
      <c r="Z569" s="52">
        <f ca="1">Log_2018[[#This Row],[Amount]]/Log_2018[[#This Row],[Split_raw]]*MAX(0,MIN(_xlfn.DAYS(EDATE(Z$1,1),Log_2018[[#This Row],[Date]]),Log_2018[[#This Row],[Split_apply]])) - SUM($O569:Y569)</f>
        <v>0</v>
      </c>
      <c r="AA569" s="52">
        <f ca="1">Log_2018[[#This Row],[Amount]]/Log_2018[[#This Row],[Split_raw]]*MAX(0,MIN(_xlfn.DAYS(EDATE(AA$1,1),Log_2018[[#This Row],[Date]]),Log_2018[[#This Row],[Split_apply]])) - SUM($O569:Z569)</f>
        <v>0</v>
      </c>
      <c r="AB569" s="54">
        <f ca="1">Log_2018[[#This Row],[Amount]]-SUM(O569:AA569)</f>
        <v>0</v>
      </c>
      <c r="AC569" s="7">
        <f ca="1">MAX(0,Log_2018[[#This Row],[Split_apply]] - (EDATE(AA$1,1)-Log_2018[[#This Row],[Date]]))</f>
        <v>0</v>
      </c>
    </row>
    <row r="570" spans="1:29" hidden="1" x14ac:dyDescent="0.25">
      <c r="A570" s="115"/>
      <c r="B570" t="s">
        <v>6</v>
      </c>
      <c r="D570" s="29">
        <v>43194</v>
      </c>
      <c r="F570" t="s">
        <v>138</v>
      </c>
      <c r="G570" t="s">
        <v>104</v>
      </c>
      <c r="H570" s="3">
        <v>-712.86</v>
      </c>
      <c r="I570" s="36">
        <f>IF(Log_2018[[#This Row],[My Category]]="NONTRACKED",0,Log_2018[[#This Row],[Raw Amount]])</f>
        <v>-712.86</v>
      </c>
      <c r="J570" s="17">
        <f>ABS(Log_2018[[#This Row],[Amount]])</f>
        <v>712.86</v>
      </c>
      <c r="K570" s="66">
        <v>1</v>
      </c>
      <c r="L570" s="66">
        <f ca="1">IF(Log_2018[[#This Row],[Date]]&lt;=TODAY(), MIN(Log_2018[[#This Row],[Split_raw]], TODAY()-Log_2018[[#This Row],[Date]]+1), 0)</f>
        <v>1</v>
      </c>
      <c r="M570" t="s">
        <v>159</v>
      </c>
      <c r="N570" t="s">
        <v>160</v>
      </c>
      <c r="O570" s="50">
        <v>0</v>
      </c>
      <c r="P570" s="52">
        <f ca="1">Log_2018[[#This Row],[Amount]]/Log_2018[[#This Row],[Split_raw]]*MAX(0,MIN(_xlfn.DAYS(EDATE(P$1,1),Log_2018[[#This Row],[Date]]),Log_2018[[#This Row],[Split_apply]])) - SUM($O570:O570)</f>
        <v>0</v>
      </c>
      <c r="Q570" s="52">
        <f ca="1">Log_2018[[#This Row],[Amount]]/Log_2018[[#This Row],[Split_raw]]*MAX(0,MIN(_xlfn.DAYS(EDATE(Q$1,1),Log_2018[[#This Row],[Date]]),Log_2018[[#This Row],[Split_apply]])) - SUM($O570:P570)</f>
        <v>0</v>
      </c>
      <c r="R570" s="52">
        <f ca="1">Log_2018[[#This Row],[Amount]]/Log_2018[[#This Row],[Split_raw]]*MAX(0,MIN(_xlfn.DAYS(EDATE(R$1,1),Log_2018[[#This Row],[Date]]),Log_2018[[#This Row],[Split_apply]])) - SUM($O570:Q570)</f>
        <v>0</v>
      </c>
      <c r="S570" s="52">
        <f ca="1">Log_2018[[#This Row],[Amount]]/Log_2018[[#This Row],[Split_raw]]*MAX(0,MIN(_xlfn.DAYS(EDATE(S$1,1),Log_2018[[#This Row],[Date]]),Log_2018[[#This Row],[Split_apply]])) - SUM($O570:R570)</f>
        <v>-712.86</v>
      </c>
      <c r="T570" s="52">
        <f ca="1">Log_2018[[#This Row],[Amount]]/Log_2018[[#This Row],[Split_raw]]*MAX(0,MIN(_xlfn.DAYS(EDATE(T$1,1),Log_2018[[#This Row],[Date]]),Log_2018[[#This Row],[Split_apply]])) - SUM($O570:S570)</f>
        <v>0</v>
      </c>
      <c r="U570" s="52">
        <f ca="1">Log_2018[[#This Row],[Amount]]/Log_2018[[#This Row],[Split_raw]]*MAX(0,MIN(_xlfn.DAYS(EDATE(U$1,1),Log_2018[[#This Row],[Date]]),Log_2018[[#This Row],[Split_apply]])) - SUM($O570:T570)</f>
        <v>0</v>
      </c>
      <c r="V570" s="52">
        <f ca="1">Log_2018[[#This Row],[Amount]]/Log_2018[[#This Row],[Split_raw]]*MAX(0,MIN(_xlfn.DAYS(EDATE(V$1,1),Log_2018[[#This Row],[Date]]),Log_2018[[#This Row],[Split_apply]])) - SUM($O570:U570)</f>
        <v>0</v>
      </c>
      <c r="W570" s="52">
        <f ca="1">Log_2018[[#This Row],[Amount]]/Log_2018[[#This Row],[Split_raw]]*MAX(0,MIN(_xlfn.DAYS(EDATE(W$1,1),Log_2018[[#This Row],[Date]]),Log_2018[[#This Row],[Split_apply]])) - SUM($O570:V570)</f>
        <v>0</v>
      </c>
      <c r="X570" s="52">
        <f ca="1">Log_2018[[#This Row],[Amount]]/Log_2018[[#This Row],[Split_raw]]*MAX(0,MIN(_xlfn.DAYS(EDATE(X$1,1),Log_2018[[#This Row],[Date]]),Log_2018[[#This Row],[Split_apply]])) - SUM($O570:W570)</f>
        <v>0</v>
      </c>
      <c r="Y570" s="52">
        <f ca="1">Log_2018[[#This Row],[Amount]]/Log_2018[[#This Row],[Split_raw]]*MAX(0,MIN(_xlfn.DAYS(EDATE(Y$1,1),Log_2018[[#This Row],[Date]]),Log_2018[[#This Row],[Split_apply]])) - SUM($O570:X570)</f>
        <v>0</v>
      </c>
      <c r="Z570" s="52">
        <f ca="1">Log_2018[[#This Row],[Amount]]/Log_2018[[#This Row],[Split_raw]]*MAX(0,MIN(_xlfn.DAYS(EDATE(Z$1,1),Log_2018[[#This Row],[Date]]),Log_2018[[#This Row],[Split_apply]])) - SUM($O570:Y570)</f>
        <v>0</v>
      </c>
      <c r="AA570" s="52">
        <f ca="1">Log_2018[[#This Row],[Amount]]/Log_2018[[#This Row],[Split_raw]]*MAX(0,MIN(_xlfn.DAYS(EDATE(AA$1,1),Log_2018[[#This Row],[Date]]),Log_2018[[#This Row],[Split_apply]])) - SUM($O570:Z570)</f>
        <v>0</v>
      </c>
      <c r="AB570" s="54">
        <f ca="1">Log_2018[[#This Row],[Amount]]-SUM(O570:AA570)</f>
        <v>0</v>
      </c>
      <c r="AC570" s="7">
        <f ca="1">MAX(0,Log_2018[[#This Row],[Split_apply]] - (EDATE(AA$1,1)-Log_2018[[#This Row],[Date]]))</f>
        <v>0</v>
      </c>
    </row>
    <row r="571" spans="1:29" hidden="1" x14ac:dyDescent="0.25">
      <c r="A571" s="115"/>
      <c r="B571" t="s">
        <v>6</v>
      </c>
      <c r="D571" s="31">
        <v>43194</v>
      </c>
      <c r="F571" t="s">
        <v>59</v>
      </c>
      <c r="G571" t="s">
        <v>25</v>
      </c>
      <c r="H571" s="3">
        <v>-7.94</v>
      </c>
      <c r="I571" s="36">
        <f>IF(Log_2018[[#This Row],[My Category]]="NONTRACKED",0,Log_2018[[#This Row],[Raw Amount]])</f>
        <v>-7.94</v>
      </c>
      <c r="J571" s="17">
        <f>ABS(Log_2018[[#This Row],[Amount]])</f>
        <v>7.94</v>
      </c>
      <c r="K571" s="66">
        <v>1</v>
      </c>
      <c r="L571" s="66">
        <f ca="1">IF(Log_2018[[#This Row],[Date]]&lt;=TODAY(), MIN(Log_2018[[#This Row],[Split_raw]], TODAY()-Log_2018[[#This Row],[Date]]+1), 0)</f>
        <v>1</v>
      </c>
      <c r="M571" t="s">
        <v>35</v>
      </c>
      <c r="N571" t="s">
        <v>158</v>
      </c>
      <c r="O571" s="50">
        <v>0</v>
      </c>
      <c r="P571" s="52">
        <f ca="1">Log_2018[[#This Row],[Amount]]/Log_2018[[#This Row],[Split_raw]]*MAX(0,MIN(_xlfn.DAYS(EDATE(P$1,1),Log_2018[[#This Row],[Date]]),Log_2018[[#This Row],[Split_apply]])) - SUM($O571:O571)</f>
        <v>0</v>
      </c>
      <c r="Q571" s="52">
        <f ca="1">Log_2018[[#This Row],[Amount]]/Log_2018[[#This Row],[Split_raw]]*MAX(0,MIN(_xlfn.DAYS(EDATE(Q$1,1),Log_2018[[#This Row],[Date]]),Log_2018[[#This Row],[Split_apply]])) - SUM($O571:P571)</f>
        <v>0</v>
      </c>
      <c r="R571" s="52">
        <f ca="1">Log_2018[[#This Row],[Amount]]/Log_2018[[#This Row],[Split_raw]]*MAX(0,MIN(_xlfn.DAYS(EDATE(R$1,1),Log_2018[[#This Row],[Date]]),Log_2018[[#This Row],[Split_apply]])) - SUM($O571:Q571)</f>
        <v>0</v>
      </c>
      <c r="S571" s="52">
        <f ca="1">Log_2018[[#This Row],[Amount]]/Log_2018[[#This Row],[Split_raw]]*MAX(0,MIN(_xlfn.DAYS(EDATE(S$1,1),Log_2018[[#This Row],[Date]]),Log_2018[[#This Row],[Split_apply]])) - SUM($O571:R571)</f>
        <v>-7.94</v>
      </c>
      <c r="T571" s="52">
        <f ca="1">Log_2018[[#This Row],[Amount]]/Log_2018[[#This Row],[Split_raw]]*MAX(0,MIN(_xlfn.DAYS(EDATE(T$1,1),Log_2018[[#This Row],[Date]]),Log_2018[[#This Row],[Split_apply]])) - SUM($O571:S571)</f>
        <v>0</v>
      </c>
      <c r="U571" s="52">
        <f ca="1">Log_2018[[#This Row],[Amount]]/Log_2018[[#This Row],[Split_raw]]*MAX(0,MIN(_xlfn.DAYS(EDATE(U$1,1),Log_2018[[#This Row],[Date]]),Log_2018[[#This Row],[Split_apply]])) - SUM($O571:T571)</f>
        <v>0</v>
      </c>
      <c r="V571" s="52">
        <f ca="1">Log_2018[[#This Row],[Amount]]/Log_2018[[#This Row],[Split_raw]]*MAX(0,MIN(_xlfn.DAYS(EDATE(V$1,1),Log_2018[[#This Row],[Date]]),Log_2018[[#This Row],[Split_apply]])) - SUM($O571:U571)</f>
        <v>0</v>
      </c>
      <c r="W571" s="52">
        <f ca="1">Log_2018[[#This Row],[Amount]]/Log_2018[[#This Row],[Split_raw]]*MAX(0,MIN(_xlfn.DAYS(EDATE(W$1,1),Log_2018[[#This Row],[Date]]),Log_2018[[#This Row],[Split_apply]])) - SUM($O571:V571)</f>
        <v>0</v>
      </c>
      <c r="X571" s="52">
        <f ca="1">Log_2018[[#This Row],[Amount]]/Log_2018[[#This Row],[Split_raw]]*MAX(0,MIN(_xlfn.DAYS(EDATE(X$1,1),Log_2018[[#This Row],[Date]]),Log_2018[[#This Row],[Split_apply]])) - SUM($O571:W571)</f>
        <v>0</v>
      </c>
      <c r="Y571" s="52">
        <f ca="1">Log_2018[[#This Row],[Amount]]/Log_2018[[#This Row],[Split_raw]]*MAX(0,MIN(_xlfn.DAYS(EDATE(Y$1,1),Log_2018[[#This Row],[Date]]),Log_2018[[#This Row],[Split_apply]])) - SUM($O571:X571)</f>
        <v>0</v>
      </c>
      <c r="Z571" s="52">
        <f ca="1">Log_2018[[#This Row],[Amount]]/Log_2018[[#This Row],[Split_raw]]*MAX(0,MIN(_xlfn.DAYS(EDATE(Z$1,1),Log_2018[[#This Row],[Date]]),Log_2018[[#This Row],[Split_apply]])) - SUM($O571:Y571)</f>
        <v>0</v>
      </c>
      <c r="AA571" s="52">
        <f ca="1">Log_2018[[#This Row],[Amount]]/Log_2018[[#This Row],[Split_raw]]*MAX(0,MIN(_xlfn.DAYS(EDATE(AA$1,1),Log_2018[[#This Row],[Date]]),Log_2018[[#This Row],[Split_apply]])) - SUM($O571:Z571)</f>
        <v>0</v>
      </c>
      <c r="AB571" s="54">
        <f ca="1">Log_2018[[#This Row],[Amount]]-SUM(O571:AA571)</f>
        <v>0</v>
      </c>
      <c r="AC571" s="7">
        <f ca="1">MAX(0,Log_2018[[#This Row],[Split_apply]] - (EDATE(AA$1,1)-Log_2018[[#This Row],[Date]]))</f>
        <v>0</v>
      </c>
    </row>
    <row r="572" spans="1:29" hidden="1" x14ac:dyDescent="0.25">
      <c r="A572" s="115"/>
      <c r="B572" t="s">
        <v>6</v>
      </c>
      <c r="D572" s="39">
        <v>43194</v>
      </c>
      <c r="F572" t="s">
        <v>67</v>
      </c>
      <c r="G572" t="s">
        <v>25</v>
      </c>
      <c r="H572" s="3">
        <v>-28.19</v>
      </c>
      <c r="I572" s="36">
        <f>IF(Log_2018[[#This Row],[My Category]]="NONTRACKED",0,Log_2018[[#This Row],[Raw Amount]])</f>
        <v>-28.19</v>
      </c>
      <c r="J572" s="17">
        <f>ABS(Log_2018[[#This Row],[Amount]])</f>
        <v>28.19</v>
      </c>
      <c r="K572" s="66">
        <v>1</v>
      </c>
      <c r="L572" s="66">
        <f ca="1">IF(Log_2018[[#This Row],[Date]]&lt;=TODAY(), MIN(Log_2018[[#This Row],[Split_raw]], TODAY()-Log_2018[[#This Row],[Date]]+1), 0)</f>
        <v>1</v>
      </c>
      <c r="M572" t="s">
        <v>52</v>
      </c>
      <c r="N572" t="s">
        <v>158</v>
      </c>
      <c r="O572" s="50">
        <v>0</v>
      </c>
      <c r="P572" s="52">
        <f ca="1">Log_2018[[#This Row],[Amount]]/Log_2018[[#This Row],[Split_raw]]*MAX(0,MIN(_xlfn.DAYS(EDATE(P$1,1),Log_2018[[#This Row],[Date]]),Log_2018[[#This Row],[Split_apply]])) - SUM($O572:O572)</f>
        <v>0</v>
      </c>
      <c r="Q572" s="52">
        <f ca="1">Log_2018[[#This Row],[Amount]]/Log_2018[[#This Row],[Split_raw]]*MAX(0,MIN(_xlfn.DAYS(EDATE(Q$1,1),Log_2018[[#This Row],[Date]]),Log_2018[[#This Row],[Split_apply]])) - SUM($O572:P572)</f>
        <v>0</v>
      </c>
      <c r="R572" s="52">
        <f ca="1">Log_2018[[#This Row],[Amount]]/Log_2018[[#This Row],[Split_raw]]*MAX(0,MIN(_xlfn.DAYS(EDATE(R$1,1),Log_2018[[#This Row],[Date]]),Log_2018[[#This Row],[Split_apply]])) - SUM($O572:Q572)</f>
        <v>0</v>
      </c>
      <c r="S572" s="52">
        <f ca="1">Log_2018[[#This Row],[Amount]]/Log_2018[[#This Row],[Split_raw]]*MAX(0,MIN(_xlfn.DAYS(EDATE(S$1,1),Log_2018[[#This Row],[Date]]),Log_2018[[#This Row],[Split_apply]])) - SUM($O572:R572)</f>
        <v>-28.19</v>
      </c>
      <c r="T572" s="52">
        <f ca="1">Log_2018[[#This Row],[Amount]]/Log_2018[[#This Row],[Split_raw]]*MAX(0,MIN(_xlfn.DAYS(EDATE(T$1,1),Log_2018[[#This Row],[Date]]),Log_2018[[#This Row],[Split_apply]])) - SUM($O572:S572)</f>
        <v>0</v>
      </c>
      <c r="U572" s="52">
        <f ca="1">Log_2018[[#This Row],[Amount]]/Log_2018[[#This Row],[Split_raw]]*MAX(0,MIN(_xlfn.DAYS(EDATE(U$1,1),Log_2018[[#This Row],[Date]]),Log_2018[[#This Row],[Split_apply]])) - SUM($O572:T572)</f>
        <v>0</v>
      </c>
      <c r="V572" s="52">
        <f ca="1">Log_2018[[#This Row],[Amount]]/Log_2018[[#This Row],[Split_raw]]*MAX(0,MIN(_xlfn.DAYS(EDATE(V$1,1),Log_2018[[#This Row],[Date]]),Log_2018[[#This Row],[Split_apply]])) - SUM($O572:U572)</f>
        <v>0</v>
      </c>
      <c r="W572" s="52">
        <f ca="1">Log_2018[[#This Row],[Amount]]/Log_2018[[#This Row],[Split_raw]]*MAX(0,MIN(_xlfn.DAYS(EDATE(W$1,1),Log_2018[[#This Row],[Date]]),Log_2018[[#This Row],[Split_apply]])) - SUM($O572:V572)</f>
        <v>0</v>
      </c>
      <c r="X572" s="52">
        <f ca="1">Log_2018[[#This Row],[Amount]]/Log_2018[[#This Row],[Split_raw]]*MAX(0,MIN(_xlfn.DAYS(EDATE(X$1,1),Log_2018[[#This Row],[Date]]),Log_2018[[#This Row],[Split_apply]])) - SUM($O572:W572)</f>
        <v>0</v>
      </c>
      <c r="Y572" s="52">
        <f ca="1">Log_2018[[#This Row],[Amount]]/Log_2018[[#This Row],[Split_raw]]*MAX(0,MIN(_xlfn.DAYS(EDATE(Y$1,1),Log_2018[[#This Row],[Date]]),Log_2018[[#This Row],[Split_apply]])) - SUM($O572:X572)</f>
        <v>0</v>
      </c>
      <c r="Z572" s="52">
        <f ca="1">Log_2018[[#This Row],[Amount]]/Log_2018[[#This Row],[Split_raw]]*MAX(0,MIN(_xlfn.DAYS(EDATE(Z$1,1),Log_2018[[#This Row],[Date]]),Log_2018[[#This Row],[Split_apply]])) - SUM($O572:Y572)</f>
        <v>0</v>
      </c>
      <c r="AA572" s="52">
        <f ca="1">Log_2018[[#This Row],[Amount]]/Log_2018[[#This Row],[Split_raw]]*MAX(0,MIN(_xlfn.DAYS(EDATE(AA$1,1),Log_2018[[#This Row],[Date]]),Log_2018[[#This Row],[Split_apply]])) - SUM($O572:Z572)</f>
        <v>0</v>
      </c>
      <c r="AB572" s="54">
        <f ca="1">Log_2018[[#This Row],[Amount]]-SUM(O572:AA572)</f>
        <v>0</v>
      </c>
      <c r="AC572" s="7">
        <f ca="1">MAX(0,Log_2018[[#This Row],[Split_apply]] - (EDATE(AA$1,1)-Log_2018[[#This Row],[Date]]))</f>
        <v>0</v>
      </c>
    </row>
    <row r="573" spans="1:29" hidden="1" x14ac:dyDescent="0.25">
      <c r="A573" s="115"/>
      <c r="B573" t="s">
        <v>6</v>
      </c>
      <c r="D573" s="39">
        <v>43194</v>
      </c>
      <c r="E573" t="s">
        <v>264</v>
      </c>
      <c r="F573" t="s">
        <v>142</v>
      </c>
      <c r="G573" t="s">
        <v>143</v>
      </c>
      <c r="H573" s="3">
        <f>--378.4</f>
        <v>378.4</v>
      </c>
      <c r="I573" s="36">
        <f>IF(Log_2018[[#This Row],[My Category]]="NONTRACKED",0,Log_2018[[#This Row],[Raw Amount]])</f>
        <v>378.4</v>
      </c>
      <c r="J573" s="17">
        <f>ABS(Log_2018[[#This Row],[Amount]])</f>
        <v>378.4</v>
      </c>
      <c r="K573" s="66">
        <v>1</v>
      </c>
      <c r="L573" s="66">
        <f ca="1">IF(Log_2018[[#This Row],[Date]]&lt;=TODAY(), MIN(Log_2018[[#This Row],[Split_raw]], TODAY()-Log_2018[[#This Row],[Date]]+1), 0)</f>
        <v>1</v>
      </c>
      <c r="M573" t="s">
        <v>42</v>
      </c>
      <c r="N573" t="s">
        <v>160</v>
      </c>
      <c r="O573" s="50">
        <v>0</v>
      </c>
      <c r="P573" s="52">
        <f ca="1">Log_2018[[#This Row],[Amount]]/Log_2018[[#This Row],[Split_raw]]*MAX(0,MIN(_xlfn.DAYS(EDATE(P$1,1),Log_2018[[#This Row],[Date]]),Log_2018[[#This Row],[Split_apply]])) - SUM($O573:O573)</f>
        <v>0</v>
      </c>
      <c r="Q573" s="52">
        <f ca="1">Log_2018[[#This Row],[Amount]]/Log_2018[[#This Row],[Split_raw]]*MAX(0,MIN(_xlfn.DAYS(EDATE(Q$1,1),Log_2018[[#This Row],[Date]]),Log_2018[[#This Row],[Split_apply]])) - SUM($O573:P573)</f>
        <v>0</v>
      </c>
      <c r="R573" s="52">
        <f ca="1">Log_2018[[#This Row],[Amount]]/Log_2018[[#This Row],[Split_raw]]*MAX(0,MIN(_xlfn.DAYS(EDATE(R$1,1),Log_2018[[#This Row],[Date]]),Log_2018[[#This Row],[Split_apply]])) - SUM($O573:Q573)</f>
        <v>0</v>
      </c>
      <c r="S573" s="52">
        <f ca="1">Log_2018[[#This Row],[Amount]]/Log_2018[[#This Row],[Split_raw]]*MAX(0,MIN(_xlfn.DAYS(EDATE(S$1,1),Log_2018[[#This Row],[Date]]),Log_2018[[#This Row],[Split_apply]])) - SUM($O573:R573)</f>
        <v>378.4</v>
      </c>
      <c r="T573" s="52">
        <f ca="1">Log_2018[[#This Row],[Amount]]/Log_2018[[#This Row],[Split_raw]]*MAX(0,MIN(_xlfn.DAYS(EDATE(T$1,1),Log_2018[[#This Row],[Date]]),Log_2018[[#This Row],[Split_apply]])) - SUM($O573:S573)</f>
        <v>0</v>
      </c>
      <c r="U573" s="52">
        <f ca="1">Log_2018[[#This Row],[Amount]]/Log_2018[[#This Row],[Split_raw]]*MAX(0,MIN(_xlfn.DAYS(EDATE(U$1,1),Log_2018[[#This Row],[Date]]),Log_2018[[#This Row],[Split_apply]])) - SUM($O573:T573)</f>
        <v>0</v>
      </c>
      <c r="V573" s="52">
        <f ca="1">Log_2018[[#This Row],[Amount]]/Log_2018[[#This Row],[Split_raw]]*MAX(0,MIN(_xlfn.DAYS(EDATE(V$1,1),Log_2018[[#This Row],[Date]]),Log_2018[[#This Row],[Split_apply]])) - SUM($O573:U573)</f>
        <v>0</v>
      </c>
      <c r="W573" s="52">
        <f ca="1">Log_2018[[#This Row],[Amount]]/Log_2018[[#This Row],[Split_raw]]*MAX(0,MIN(_xlfn.DAYS(EDATE(W$1,1),Log_2018[[#This Row],[Date]]),Log_2018[[#This Row],[Split_apply]])) - SUM($O573:V573)</f>
        <v>0</v>
      </c>
      <c r="X573" s="52">
        <f ca="1">Log_2018[[#This Row],[Amount]]/Log_2018[[#This Row],[Split_raw]]*MAX(0,MIN(_xlfn.DAYS(EDATE(X$1,1),Log_2018[[#This Row],[Date]]),Log_2018[[#This Row],[Split_apply]])) - SUM($O573:W573)</f>
        <v>0</v>
      </c>
      <c r="Y573" s="52">
        <f ca="1">Log_2018[[#This Row],[Amount]]/Log_2018[[#This Row],[Split_raw]]*MAX(0,MIN(_xlfn.DAYS(EDATE(Y$1,1),Log_2018[[#This Row],[Date]]),Log_2018[[#This Row],[Split_apply]])) - SUM($O573:X573)</f>
        <v>0</v>
      </c>
      <c r="Z573" s="52">
        <f ca="1">Log_2018[[#This Row],[Amount]]/Log_2018[[#This Row],[Split_raw]]*MAX(0,MIN(_xlfn.DAYS(EDATE(Z$1,1),Log_2018[[#This Row],[Date]]),Log_2018[[#This Row],[Split_apply]])) - SUM($O573:Y573)</f>
        <v>0</v>
      </c>
      <c r="AA573" s="52">
        <f ca="1">Log_2018[[#This Row],[Amount]]/Log_2018[[#This Row],[Split_raw]]*MAX(0,MIN(_xlfn.DAYS(EDATE(AA$1,1),Log_2018[[#This Row],[Date]]),Log_2018[[#This Row],[Split_apply]])) - SUM($O573:Z573)</f>
        <v>0</v>
      </c>
      <c r="AB573" s="54">
        <f ca="1">Log_2018[[#This Row],[Amount]]-SUM(O573:AA573)</f>
        <v>0</v>
      </c>
      <c r="AC573" s="7">
        <f ca="1">MAX(0,Log_2018[[#This Row],[Split_apply]] - (EDATE(AA$1,1)-Log_2018[[#This Row],[Date]]))</f>
        <v>0</v>
      </c>
    </row>
    <row r="574" spans="1:29" hidden="1" x14ac:dyDescent="0.25">
      <c r="A574" s="115"/>
      <c r="B574" t="s">
        <v>6</v>
      </c>
      <c r="D574" s="39">
        <v>43193</v>
      </c>
      <c r="F574" t="s">
        <v>105</v>
      </c>
      <c r="G574" t="s">
        <v>104</v>
      </c>
      <c r="H574" s="3">
        <f>--712.86</f>
        <v>712.86</v>
      </c>
      <c r="I574" s="36">
        <f>IF(Log_2018[[#This Row],[My Category]]="NONTRACKED",0,Log_2018[[#This Row],[Raw Amount]])</f>
        <v>712.86</v>
      </c>
      <c r="J574" s="17">
        <f>ABS(Log_2018[[#This Row],[Amount]])</f>
        <v>712.86</v>
      </c>
      <c r="K574" s="66">
        <v>1</v>
      </c>
      <c r="L574" s="66">
        <f ca="1">IF(Log_2018[[#This Row],[Date]]&lt;=TODAY(), MIN(Log_2018[[#This Row],[Split_raw]], TODAY()-Log_2018[[#This Row],[Date]]+1), 0)</f>
        <v>1</v>
      </c>
      <c r="M574" t="s">
        <v>159</v>
      </c>
      <c r="N574" t="s">
        <v>158</v>
      </c>
      <c r="O574" s="50">
        <v>0</v>
      </c>
      <c r="P574" s="52">
        <f ca="1">Log_2018[[#This Row],[Amount]]/Log_2018[[#This Row],[Split_raw]]*MAX(0,MIN(_xlfn.DAYS(EDATE(P$1,1),Log_2018[[#This Row],[Date]]),Log_2018[[#This Row],[Split_apply]])) - SUM($O574:O574)</f>
        <v>0</v>
      </c>
      <c r="Q574" s="52">
        <f ca="1">Log_2018[[#This Row],[Amount]]/Log_2018[[#This Row],[Split_raw]]*MAX(0,MIN(_xlfn.DAYS(EDATE(Q$1,1),Log_2018[[#This Row],[Date]]),Log_2018[[#This Row],[Split_apply]])) - SUM($O574:P574)</f>
        <v>0</v>
      </c>
      <c r="R574" s="52">
        <f ca="1">Log_2018[[#This Row],[Amount]]/Log_2018[[#This Row],[Split_raw]]*MAX(0,MIN(_xlfn.DAYS(EDATE(R$1,1),Log_2018[[#This Row],[Date]]),Log_2018[[#This Row],[Split_apply]])) - SUM($O574:Q574)</f>
        <v>0</v>
      </c>
      <c r="S574" s="52">
        <f ca="1">Log_2018[[#This Row],[Amount]]/Log_2018[[#This Row],[Split_raw]]*MAX(0,MIN(_xlfn.DAYS(EDATE(S$1,1),Log_2018[[#This Row],[Date]]),Log_2018[[#This Row],[Split_apply]])) - SUM($O574:R574)</f>
        <v>712.86</v>
      </c>
      <c r="T574" s="52">
        <f ca="1">Log_2018[[#This Row],[Amount]]/Log_2018[[#This Row],[Split_raw]]*MAX(0,MIN(_xlfn.DAYS(EDATE(T$1,1),Log_2018[[#This Row],[Date]]),Log_2018[[#This Row],[Split_apply]])) - SUM($O574:S574)</f>
        <v>0</v>
      </c>
      <c r="U574" s="52">
        <f ca="1">Log_2018[[#This Row],[Amount]]/Log_2018[[#This Row],[Split_raw]]*MAX(0,MIN(_xlfn.DAYS(EDATE(U$1,1),Log_2018[[#This Row],[Date]]),Log_2018[[#This Row],[Split_apply]])) - SUM($O574:T574)</f>
        <v>0</v>
      </c>
      <c r="V574" s="52">
        <f ca="1">Log_2018[[#This Row],[Amount]]/Log_2018[[#This Row],[Split_raw]]*MAX(0,MIN(_xlfn.DAYS(EDATE(V$1,1),Log_2018[[#This Row],[Date]]),Log_2018[[#This Row],[Split_apply]])) - SUM($O574:U574)</f>
        <v>0</v>
      </c>
      <c r="W574" s="52">
        <f ca="1">Log_2018[[#This Row],[Amount]]/Log_2018[[#This Row],[Split_raw]]*MAX(0,MIN(_xlfn.DAYS(EDATE(W$1,1),Log_2018[[#This Row],[Date]]),Log_2018[[#This Row],[Split_apply]])) - SUM($O574:V574)</f>
        <v>0</v>
      </c>
      <c r="X574" s="52">
        <f ca="1">Log_2018[[#This Row],[Amount]]/Log_2018[[#This Row],[Split_raw]]*MAX(0,MIN(_xlfn.DAYS(EDATE(X$1,1),Log_2018[[#This Row],[Date]]),Log_2018[[#This Row],[Split_apply]])) - SUM($O574:W574)</f>
        <v>0</v>
      </c>
      <c r="Y574" s="52">
        <f ca="1">Log_2018[[#This Row],[Amount]]/Log_2018[[#This Row],[Split_raw]]*MAX(0,MIN(_xlfn.DAYS(EDATE(Y$1,1),Log_2018[[#This Row],[Date]]),Log_2018[[#This Row],[Split_apply]])) - SUM($O574:X574)</f>
        <v>0</v>
      </c>
      <c r="Z574" s="52">
        <f ca="1">Log_2018[[#This Row],[Amount]]/Log_2018[[#This Row],[Split_raw]]*MAX(0,MIN(_xlfn.DAYS(EDATE(Z$1,1),Log_2018[[#This Row],[Date]]),Log_2018[[#This Row],[Split_apply]])) - SUM($O574:Y574)</f>
        <v>0</v>
      </c>
      <c r="AA574" s="52">
        <f ca="1">Log_2018[[#This Row],[Amount]]/Log_2018[[#This Row],[Split_raw]]*MAX(0,MIN(_xlfn.DAYS(EDATE(AA$1,1),Log_2018[[#This Row],[Date]]),Log_2018[[#This Row],[Split_apply]])) - SUM($O574:Z574)</f>
        <v>0</v>
      </c>
      <c r="AB574" s="54">
        <f ca="1">Log_2018[[#This Row],[Amount]]-SUM(O574:AA574)</f>
        <v>0</v>
      </c>
      <c r="AC574" s="7">
        <f ca="1">MAX(0,Log_2018[[#This Row],[Split_apply]] - (EDATE(AA$1,1)-Log_2018[[#This Row],[Date]]))</f>
        <v>0</v>
      </c>
    </row>
    <row r="575" spans="1:29" hidden="1" x14ac:dyDescent="0.25">
      <c r="A575" s="115"/>
      <c r="B575" t="s">
        <v>6</v>
      </c>
      <c r="D575" s="39">
        <v>43192</v>
      </c>
      <c r="F575" t="s">
        <v>59</v>
      </c>
      <c r="G575" t="s">
        <v>25</v>
      </c>
      <c r="H575" s="3">
        <v>-7.94</v>
      </c>
      <c r="I575" s="36">
        <f>IF(Log_2018[[#This Row],[My Category]]="NONTRACKED",0,Log_2018[[#This Row],[Raw Amount]])</f>
        <v>-7.94</v>
      </c>
      <c r="J575" s="17">
        <f>ABS(Log_2018[[#This Row],[Amount]])</f>
        <v>7.94</v>
      </c>
      <c r="K575" s="66">
        <v>1</v>
      </c>
      <c r="L575" s="66">
        <f ca="1">IF(Log_2018[[#This Row],[Date]]&lt;=TODAY(), MIN(Log_2018[[#This Row],[Split_raw]], TODAY()-Log_2018[[#This Row],[Date]]+1), 0)</f>
        <v>1</v>
      </c>
      <c r="M575" t="s">
        <v>35</v>
      </c>
      <c r="N575" t="s">
        <v>158</v>
      </c>
      <c r="O575" s="50">
        <v>0</v>
      </c>
      <c r="P575" s="52">
        <f ca="1">Log_2018[[#This Row],[Amount]]/Log_2018[[#This Row],[Split_raw]]*MAX(0,MIN(_xlfn.DAYS(EDATE(P$1,1),Log_2018[[#This Row],[Date]]),Log_2018[[#This Row],[Split_apply]])) - SUM($O575:O575)</f>
        <v>0</v>
      </c>
      <c r="Q575" s="52">
        <f ca="1">Log_2018[[#This Row],[Amount]]/Log_2018[[#This Row],[Split_raw]]*MAX(0,MIN(_xlfn.DAYS(EDATE(Q$1,1),Log_2018[[#This Row],[Date]]),Log_2018[[#This Row],[Split_apply]])) - SUM($O575:P575)</f>
        <v>0</v>
      </c>
      <c r="R575" s="52">
        <f ca="1">Log_2018[[#This Row],[Amount]]/Log_2018[[#This Row],[Split_raw]]*MAX(0,MIN(_xlfn.DAYS(EDATE(R$1,1),Log_2018[[#This Row],[Date]]),Log_2018[[#This Row],[Split_apply]])) - SUM($O575:Q575)</f>
        <v>0</v>
      </c>
      <c r="S575" s="52">
        <f ca="1">Log_2018[[#This Row],[Amount]]/Log_2018[[#This Row],[Split_raw]]*MAX(0,MIN(_xlfn.DAYS(EDATE(S$1,1),Log_2018[[#This Row],[Date]]),Log_2018[[#This Row],[Split_apply]])) - SUM($O575:R575)</f>
        <v>-7.94</v>
      </c>
      <c r="T575" s="52">
        <f ca="1">Log_2018[[#This Row],[Amount]]/Log_2018[[#This Row],[Split_raw]]*MAX(0,MIN(_xlfn.DAYS(EDATE(T$1,1),Log_2018[[#This Row],[Date]]),Log_2018[[#This Row],[Split_apply]])) - SUM($O575:S575)</f>
        <v>0</v>
      </c>
      <c r="U575" s="52">
        <f ca="1">Log_2018[[#This Row],[Amount]]/Log_2018[[#This Row],[Split_raw]]*MAX(0,MIN(_xlfn.DAYS(EDATE(U$1,1),Log_2018[[#This Row],[Date]]),Log_2018[[#This Row],[Split_apply]])) - SUM($O575:T575)</f>
        <v>0</v>
      </c>
      <c r="V575" s="52">
        <f ca="1">Log_2018[[#This Row],[Amount]]/Log_2018[[#This Row],[Split_raw]]*MAX(0,MIN(_xlfn.DAYS(EDATE(V$1,1),Log_2018[[#This Row],[Date]]),Log_2018[[#This Row],[Split_apply]])) - SUM($O575:U575)</f>
        <v>0</v>
      </c>
      <c r="W575" s="52">
        <f ca="1">Log_2018[[#This Row],[Amount]]/Log_2018[[#This Row],[Split_raw]]*MAX(0,MIN(_xlfn.DAYS(EDATE(W$1,1),Log_2018[[#This Row],[Date]]),Log_2018[[#This Row],[Split_apply]])) - SUM($O575:V575)</f>
        <v>0</v>
      </c>
      <c r="X575" s="52">
        <f ca="1">Log_2018[[#This Row],[Amount]]/Log_2018[[#This Row],[Split_raw]]*MAX(0,MIN(_xlfn.DAYS(EDATE(X$1,1),Log_2018[[#This Row],[Date]]),Log_2018[[#This Row],[Split_apply]])) - SUM($O575:W575)</f>
        <v>0</v>
      </c>
      <c r="Y575" s="52">
        <f ca="1">Log_2018[[#This Row],[Amount]]/Log_2018[[#This Row],[Split_raw]]*MAX(0,MIN(_xlfn.DAYS(EDATE(Y$1,1),Log_2018[[#This Row],[Date]]),Log_2018[[#This Row],[Split_apply]])) - SUM($O575:X575)</f>
        <v>0</v>
      </c>
      <c r="Z575" s="52">
        <f ca="1">Log_2018[[#This Row],[Amount]]/Log_2018[[#This Row],[Split_raw]]*MAX(0,MIN(_xlfn.DAYS(EDATE(Z$1,1),Log_2018[[#This Row],[Date]]),Log_2018[[#This Row],[Split_apply]])) - SUM($O575:Y575)</f>
        <v>0</v>
      </c>
      <c r="AA575" s="52">
        <f ca="1">Log_2018[[#This Row],[Amount]]/Log_2018[[#This Row],[Split_raw]]*MAX(0,MIN(_xlfn.DAYS(EDATE(AA$1,1),Log_2018[[#This Row],[Date]]),Log_2018[[#This Row],[Split_apply]])) - SUM($O575:Z575)</f>
        <v>0</v>
      </c>
      <c r="AB575" s="54">
        <f ca="1">Log_2018[[#This Row],[Amount]]-SUM(O575:AA575)</f>
        <v>0</v>
      </c>
      <c r="AC575" s="7">
        <f ca="1">MAX(0,Log_2018[[#This Row],[Split_apply]] - (EDATE(AA$1,1)-Log_2018[[#This Row],[Date]]))</f>
        <v>0</v>
      </c>
    </row>
    <row r="576" spans="1:29" hidden="1" x14ac:dyDescent="0.25">
      <c r="A576" s="115"/>
      <c r="B576" t="s">
        <v>6</v>
      </c>
      <c r="D576" s="39">
        <v>43191</v>
      </c>
      <c r="E576" t="s">
        <v>960</v>
      </c>
      <c r="F576" t="s">
        <v>218</v>
      </c>
      <c r="G576" t="s">
        <v>20</v>
      </c>
      <c r="H576" s="3">
        <v>-1430.76</v>
      </c>
      <c r="I576" s="36">
        <f>IF(Log_2018[[#This Row],[My Category]]="NONTRACKED",0,Log_2018[[#This Row],[Raw Amount]])</f>
        <v>-1430.76</v>
      </c>
      <c r="J576" s="17">
        <f>ABS(Log_2018[[#This Row],[Amount]])</f>
        <v>1430.76</v>
      </c>
      <c r="K576" s="66">
        <v>30</v>
      </c>
      <c r="L576" s="66">
        <f ca="1">IF(Log_2018[[#This Row],[Date]]&lt;=TODAY(), MIN(Log_2018[[#This Row],[Split_raw]], TODAY()-Log_2018[[#This Row],[Date]]+1), 0)</f>
        <v>30</v>
      </c>
      <c r="M576" t="s">
        <v>28</v>
      </c>
      <c r="N576" t="s">
        <v>160</v>
      </c>
      <c r="O576" s="50">
        <v>0</v>
      </c>
      <c r="P576" s="52">
        <f ca="1">Log_2018[[#This Row],[Amount]]/Log_2018[[#This Row],[Split_raw]]*MAX(0,MIN(_xlfn.DAYS(EDATE(P$1,1),Log_2018[[#This Row],[Date]]),Log_2018[[#This Row],[Split_apply]])) - SUM($O576:O576)</f>
        <v>0</v>
      </c>
      <c r="Q576" s="52">
        <f ca="1">Log_2018[[#This Row],[Amount]]/Log_2018[[#This Row],[Split_raw]]*MAX(0,MIN(_xlfn.DAYS(EDATE(Q$1,1),Log_2018[[#This Row],[Date]]),Log_2018[[#This Row],[Split_apply]])) - SUM($O576:P576)</f>
        <v>0</v>
      </c>
      <c r="R576" s="52">
        <f ca="1">Log_2018[[#This Row],[Amount]]/Log_2018[[#This Row],[Split_raw]]*MAX(0,MIN(_xlfn.DAYS(EDATE(R$1,1),Log_2018[[#This Row],[Date]]),Log_2018[[#This Row],[Split_apply]])) - SUM($O576:Q576)</f>
        <v>0</v>
      </c>
      <c r="S576" s="52">
        <f ca="1">Log_2018[[#This Row],[Amount]]/Log_2018[[#This Row],[Split_raw]]*MAX(0,MIN(_xlfn.DAYS(EDATE(S$1,1),Log_2018[[#This Row],[Date]]),Log_2018[[#This Row],[Split_apply]])) - SUM($O576:R576)</f>
        <v>-1430.76</v>
      </c>
      <c r="T576" s="52">
        <f ca="1">Log_2018[[#This Row],[Amount]]/Log_2018[[#This Row],[Split_raw]]*MAX(0,MIN(_xlfn.DAYS(EDATE(T$1,1),Log_2018[[#This Row],[Date]]),Log_2018[[#This Row],[Split_apply]])) - SUM($O576:S576)</f>
        <v>0</v>
      </c>
      <c r="U576" s="52">
        <f ca="1">Log_2018[[#This Row],[Amount]]/Log_2018[[#This Row],[Split_raw]]*MAX(0,MIN(_xlfn.DAYS(EDATE(U$1,1),Log_2018[[#This Row],[Date]]),Log_2018[[#This Row],[Split_apply]])) - SUM($O576:T576)</f>
        <v>0</v>
      </c>
      <c r="V576" s="52">
        <f ca="1">Log_2018[[#This Row],[Amount]]/Log_2018[[#This Row],[Split_raw]]*MAX(0,MIN(_xlfn.DAYS(EDATE(V$1,1),Log_2018[[#This Row],[Date]]),Log_2018[[#This Row],[Split_apply]])) - SUM($O576:U576)</f>
        <v>0</v>
      </c>
      <c r="W576" s="52">
        <f ca="1">Log_2018[[#This Row],[Amount]]/Log_2018[[#This Row],[Split_raw]]*MAX(0,MIN(_xlfn.DAYS(EDATE(W$1,1),Log_2018[[#This Row],[Date]]),Log_2018[[#This Row],[Split_apply]])) - SUM($O576:V576)</f>
        <v>0</v>
      </c>
      <c r="X576" s="52">
        <f ca="1">Log_2018[[#This Row],[Amount]]/Log_2018[[#This Row],[Split_raw]]*MAX(0,MIN(_xlfn.DAYS(EDATE(X$1,1),Log_2018[[#This Row],[Date]]),Log_2018[[#This Row],[Split_apply]])) - SUM($O576:W576)</f>
        <v>0</v>
      </c>
      <c r="Y576" s="52">
        <f ca="1">Log_2018[[#This Row],[Amount]]/Log_2018[[#This Row],[Split_raw]]*MAX(0,MIN(_xlfn.DAYS(EDATE(Y$1,1),Log_2018[[#This Row],[Date]]),Log_2018[[#This Row],[Split_apply]])) - SUM($O576:X576)</f>
        <v>0</v>
      </c>
      <c r="Z576" s="52">
        <f ca="1">Log_2018[[#This Row],[Amount]]/Log_2018[[#This Row],[Split_raw]]*MAX(0,MIN(_xlfn.DAYS(EDATE(Z$1,1),Log_2018[[#This Row],[Date]]),Log_2018[[#This Row],[Split_apply]])) - SUM($O576:Y576)</f>
        <v>0</v>
      </c>
      <c r="AA576" s="52">
        <f ca="1">Log_2018[[#This Row],[Amount]]/Log_2018[[#This Row],[Split_raw]]*MAX(0,MIN(_xlfn.DAYS(EDATE(AA$1,1),Log_2018[[#This Row],[Date]]),Log_2018[[#This Row],[Split_apply]])) - SUM($O576:Z576)</f>
        <v>0</v>
      </c>
      <c r="AB576" s="54">
        <f ca="1">Log_2018[[#This Row],[Amount]]-SUM(O576:AA576)</f>
        <v>0</v>
      </c>
      <c r="AC576" s="7">
        <f ca="1">MAX(0,Log_2018[[#This Row],[Split_apply]] - (EDATE(AA$1,1)-Log_2018[[#This Row],[Date]]))</f>
        <v>0</v>
      </c>
    </row>
    <row r="577" spans="1:29" hidden="1" x14ac:dyDescent="0.25">
      <c r="A577" s="115"/>
      <c r="B577" t="s">
        <v>191</v>
      </c>
      <c r="D577" s="39">
        <v>43191</v>
      </c>
      <c r="E577" t="s">
        <v>960</v>
      </c>
      <c r="F577" t="s">
        <v>219</v>
      </c>
      <c r="G577" t="s">
        <v>176</v>
      </c>
      <c r="H577" s="3">
        <v>-320</v>
      </c>
      <c r="I577" s="36">
        <f>IF(Log_2018[[#This Row],[My Category]]="NONTRACKED",0,Log_2018[[#This Row],[Raw Amount]])</f>
        <v>-320</v>
      </c>
      <c r="J577" s="17">
        <f>ABS(Log_2018[[#This Row],[Amount]])</f>
        <v>320</v>
      </c>
      <c r="K577" s="66">
        <v>30</v>
      </c>
      <c r="L577" s="66">
        <f ca="1">IF(Log_2018[[#This Row],[Date]]&lt;=TODAY(), MIN(Log_2018[[#This Row],[Split_raw]], TODAY()-Log_2018[[#This Row],[Date]]+1), 0)</f>
        <v>30</v>
      </c>
      <c r="M577" t="s">
        <v>93</v>
      </c>
      <c r="N577" t="s">
        <v>160</v>
      </c>
      <c r="O577" s="50">
        <v>0</v>
      </c>
      <c r="P577" s="52">
        <f ca="1">Log_2018[[#This Row],[Amount]]/Log_2018[[#This Row],[Split_raw]]*MAX(0,MIN(_xlfn.DAYS(EDATE(P$1,1),Log_2018[[#This Row],[Date]]),Log_2018[[#This Row],[Split_apply]])) - SUM($O577:O577)</f>
        <v>0</v>
      </c>
      <c r="Q577" s="52">
        <f ca="1">Log_2018[[#This Row],[Amount]]/Log_2018[[#This Row],[Split_raw]]*MAX(0,MIN(_xlfn.DAYS(EDATE(Q$1,1),Log_2018[[#This Row],[Date]]),Log_2018[[#This Row],[Split_apply]])) - SUM($O577:P577)</f>
        <v>0</v>
      </c>
      <c r="R577" s="52">
        <f ca="1">Log_2018[[#This Row],[Amount]]/Log_2018[[#This Row],[Split_raw]]*MAX(0,MIN(_xlfn.DAYS(EDATE(R$1,1),Log_2018[[#This Row],[Date]]),Log_2018[[#This Row],[Split_apply]])) - SUM($O577:Q577)</f>
        <v>0</v>
      </c>
      <c r="S577" s="52">
        <f ca="1">Log_2018[[#This Row],[Amount]]/Log_2018[[#This Row],[Split_raw]]*MAX(0,MIN(_xlfn.DAYS(EDATE(S$1,1),Log_2018[[#This Row],[Date]]),Log_2018[[#This Row],[Split_apply]])) - SUM($O577:R577)</f>
        <v>-320</v>
      </c>
      <c r="T577" s="52">
        <f ca="1">Log_2018[[#This Row],[Amount]]/Log_2018[[#This Row],[Split_raw]]*MAX(0,MIN(_xlfn.DAYS(EDATE(T$1,1),Log_2018[[#This Row],[Date]]),Log_2018[[#This Row],[Split_apply]])) - SUM($O577:S577)</f>
        <v>0</v>
      </c>
      <c r="U577" s="52">
        <f ca="1">Log_2018[[#This Row],[Amount]]/Log_2018[[#This Row],[Split_raw]]*MAX(0,MIN(_xlfn.DAYS(EDATE(U$1,1),Log_2018[[#This Row],[Date]]),Log_2018[[#This Row],[Split_apply]])) - SUM($O577:T577)</f>
        <v>0</v>
      </c>
      <c r="V577" s="52">
        <f ca="1">Log_2018[[#This Row],[Amount]]/Log_2018[[#This Row],[Split_raw]]*MAX(0,MIN(_xlfn.DAYS(EDATE(V$1,1),Log_2018[[#This Row],[Date]]),Log_2018[[#This Row],[Split_apply]])) - SUM($O577:U577)</f>
        <v>0</v>
      </c>
      <c r="W577" s="52">
        <f ca="1">Log_2018[[#This Row],[Amount]]/Log_2018[[#This Row],[Split_raw]]*MAX(0,MIN(_xlfn.DAYS(EDATE(W$1,1),Log_2018[[#This Row],[Date]]),Log_2018[[#This Row],[Split_apply]])) - SUM($O577:V577)</f>
        <v>0</v>
      </c>
      <c r="X577" s="52">
        <f ca="1">Log_2018[[#This Row],[Amount]]/Log_2018[[#This Row],[Split_raw]]*MAX(0,MIN(_xlfn.DAYS(EDATE(X$1,1),Log_2018[[#This Row],[Date]]),Log_2018[[#This Row],[Split_apply]])) - SUM($O577:W577)</f>
        <v>0</v>
      </c>
      <c r="Y577" s="52">
        <f ca="1">Log_2018[[#This Row],[Amount]]/Log_2018[[#This Row],[Split_raw]]*MAX(0,MIN(_xlfn.DAYS(EDATE(Y$1,1),Log_2018[[#This Row],[Date]]),Log_2018[[#This Row],[Split_apply]])) - SUM($O577:X577)</f>
        <v>0</v>
      </c>
      <c r="Z577" s="52">
        <f ca="1">Log_2018[[#This Row],[Amount]]/Log_2018[[#This Row],[Split_raw]]*MAX(0,MIN(_xlfn.DAYS(EDATE(Z$1,1),Log_2018[[#This Row],[Date]]),Log_2018[[#This Row],[Split_apply]])) - SUM($O577:Y577)</f>
        <v>0</v>
      </c>
      <c r="AA577" s="52">
        <f ca="1">Log_2018[[#This Row],[Amount]]/Log_2018[[#This Row],[Split_raw]]*MAX(0,MIN(_xlfn.DAYS(EDATE(AA$1,1),Log_2018[[#This Row],[Date]]),Log_2018[[#This Row],[Split_apply]])) - SUM($O577:Z577)</f>
        <v>0</v>
      </c>
      <c r="AB577" s="54">
        <f ca="1">Log_2018[[#This Row],[Amount]]-SUM(O577:AA577)</f>
        <v>0</v>
      </c>
      <c r="AC577" s="7">
        <f ca="1">MAX(0,Log_2018[[#This Row],[Split_apply]] - (EDATE(AA$1,1)-Log_2018[[#This Row],[Date]]))</f>
        <v>0</v>
      </c>
    </row>
    <row r="578" spans="1:29" hidden="1" x14ac:dyDescent="0.25">
      <c r="A578" s="115"/>
      <c r="B578" t="s">
        <v>6</v>
      </c>
      <c r="D578" s="39">
        <v>43190</v>
      </c>
      <c r="F578" t="s">
        <v>207</v>
      </c>
      <c r="G578" t="s">
        <v>25</v>
      </c>
      <c r="H578" s="3">
        <v>-26.11</v>
      </c>
      <c r="I578" s="36">
        <f>IF(Log_2018[[#This Row],[My Category]]="NONTRACKED",0,Log_2018[[#This Row],[Raw Amount]])</f>
        <v>-26.11</v>
      </c>
      <c r="J578" s="17">
        <f>ABS(Log_2018[[#This Row],[Amount]])</f>
        <v>26.11</v>
      </c>
      <c r="K578" s="66">
        <v>1</v>
      </c>
      <c r="L578" s="66">
        <f ca="1">IF(Log_2018[[#This Row],[Date]]&lt;=TODAY(), MIN(Log_2018[[#This Row],[Split_raw]], TODAY()-Log_2018[[#This Row],[Date]]+1), 0)</f>
        <v>1</v>
      </c>
      <c r="M578" t="s">
        <v>35</v>
      </c>
      <c r="N578" t="s">
        <v>158</v>
      </c>
      <c r="O578" s="50">
        <v>0</v>
      </c>
      <c r="P578" s="52">
        <f ca="1">Log_2018[[#This Row],[Amount]]/Log_2018[[#This Row],[Split_raw]]*MAX(0,MIN(_xlfn.DAYS(EDATE(P$1,1),Log_2018[[#This Row],[Date]]),Log_2018[[#This Row],[Split_apply]])) - SUM($O578:O578)</f>
        <v>0</v>
      </c>
      <c r="Q578" s="52">
        <f ca="1">Log_2018[[#This Row],[Amount]]/Log_2018[[#This Row],[Split_raw]]*MAX(0,MIN(_xlfn.DAYS(EDATE(Q$1,1),Log_2018[[#This Row],[Date]]),Log_2018[[#This Row],[Split_apply]])) - SUM($O578:P578)</f>
        <v>0</v>
      </c>
      <c r="R578" s="52">
        <f ca="1">Log_2018[[#This Row],[Amount]]/Log_2018[[#This Row],[Split_raw]]*MAX(0,MIN(_xlfn.DAYS(EDATE(R$1,1),Log_2018[[#This Row],[Date]]),Log_2018[[#This Row],[Split_apply]])) - SUM($O578:Q578)</f>
        <v>-26.11</v>
      </c>
      <c r="S578" s="52">
        <f ca="1">Log_2018[[#This Row],[Amount]]/Log_2018[[#This Row],[Split_raw]]*MAX(0,MIN(_xlfn.DAYS(EDATE(S$1,1),Log_2018[[#This Row],[Date]]),Log_2018[[#This Row],[Split_apply]])) - SUM($O578:R578)</f>
        <v>0</v>
      </c>
      <c r="T578" s="52">
        <f ca="1">Log_2018[[#This Row],[Amount]]/Log_2018[[#This Row],[Split_raw]]*MAX(0,MIN(_xlfn.DAYS(EDATE(T$1,1),Log_2018[[#This Row],[Date]]),Log_2018[[#This Row],[Split_apply]])) - SUM($O578:S578)</f>
        <v>0</v>
      </c>
      <c r="U578" s="52">
        <f ca="1">Log_2018[[#This Row],[Amount]]/Log_2018[[#This Row],[Split_raw]]*MAX(0,MIN(_xlfn.DAYS(EDATE(U$1,1),Log_2018[[#This Row],[Date]]),Log_2018[[#This Row],[Split_apply]])) - SUM($O578:T578)</f>
        <v>0</v>
      </c>
      <c r="V578" s="52">
        <f ca="1">Log_2018[[#This Row],[Amount]]/Log_2018[[#This Row],[Split_raw]]*MAX(0,MIN(_xlfn.DAYS(EDATE(V$1,1),Log_2018[[#This Row],[Date]]),Log_2018[[#This Row],[Split_apply]])) - SUM($O578:U578)</f>
        <v>0</v>
      </c>
      <c r="W578" s="52">
        <f ca="1">Log_2018[[#This Row],[Amount]]/Log_2018[[#This Row],[Split_raw]]*MAX(0,MIN(_xlfn.DAYS(EDATE(W$1,1),Log_2018[[#This Row],[Date]]),Log_2018[[#This Row],[Split_apply]])) - SUM($O578:V578)</f>
        <v>0</v>
      </c>
      <c r="X578" s="52">
        <f ca="1">Log_2018[[#This Row],[Amount]]/Log_2018[[#This Row],[Split_raw]]*MAX(0,MIN(_xlfn.DAYS(EDATE(X$1,1),Log_2018[[#This Row],[Date]]),Log_2018[[#This Row],[Split_apply]])) - SUM($O578:W578)</f>
        <v>0</v>
      </c>
      <c r="Y578" s="52">
        <f ca="1">Log_2018[[#This Row],[Amount]]/Log_2018[[#This Row],[Split_raw]]*MAX(0,MIN(_xlfn.DAYS(EDATE(Y$1,1),Log_2018[[#This Row],[Date]]),Log_2018[[#This Row],[Split_apply]])) - SUM($O578:X578)</f>
        <v>0</v>
      </c>
      <c r="Z578" s="52">
        <f ca="1">Log_2018[[#This Row],[Amount]]/Log_2018[[#This Row],[Split_raw]]*MAX(0,MIN(_xlfn.DAYS(EDATE(Z$1,1),Log_2018[[#This Row],[Date]]),Log_2018[[#This Row],[Split_apply]])) - SUM($O578:Y578)</f>
        <v>0</v>
      </c>
      <c r="AA578" s="52">
        <f ca="1">Log_2018[[#This Row],[Amount]]/Log_2018[[#This Row],[Split_raw]]*MAX(0,MIN(_xlfn.DAYS(EDATE(AA$1,1),Log_2018[[#This Row],[Date]]),Log_2018[[#This Row],[Split_apply]])) - SUM($O578:Z578)</f>
        <v>0</v>
      </c>
      <c r="AB578" s="54">
        <f ca="1">Log_2018[[#This Row],[Amount]]-SUM(O578:AA578)</f>
        <v>0</v>
      </c>
      <c r="AC578" s="7">
        <f ca="1">MAX(0,Log_2018[[#This Row],[Split_apply]] - (EDATE(AA$1,1)-Log_2018[[#This Row],[Date]]))</f>
        <v>0</v>
      </c>
    </row>
    <row r="579" spans="1:29" hidden="1" x14ac:dyDescent="0.25">
      <c r="A579" s="115"/>
      <c r="B579" t="s">
        <v>6</v>
      </c>
      <c r="D579" s="39">
        <v>43189</v>
      </c>
      <c r="F579" t="s">
        <v>208</v>
      </c>
      <c r="G579" t="s">
        <v>18</v>
      </c>
      <c r="H579" s="3">
        <v>-11.99</v>
      </c>
      <c r="I579" s="36">
        <f>IF(Log_2018[[#This Row],[My Category]]="NONTRACKED",0,Log_2018[[#This Row],[Raw Amount]])</f>
        <v>-11.99</v>
      </c>
      <c r="J579" s="17">
        <f>ABS(Log_2018[[#This Row],[Amount]])</f>
        <v>11.99</v>
      </c>
      <c r="K579" s="66">
        <v>1</v>
      </c>
      <c r="L579" s="66">
        <f ca="1">IF(Log_2018[[#This Row],[Date]]&lt;=TODAY(), MIN(Log_2018[[#This Row],[Split_raw]], TODAY()-Log_2018[[#This Row],[Date]]+1), 0)</f>
        <v>1</v>
      </c>
      <c r="M579" t="s">
        <v>39</v>
      </c>
      <c r="N579" t="s">
        <v>158</v>
      </c>
      <c r="O579" s="50">
        <v>0</v>
      </c>
      <c r="P579" s="52">
        <f ca="1">Log_2018[[#This Row],[Amount]]/Log_2018[[#This Row],[Split_raw]]*MAX(0,MIN(_xlfn.DAYS(EDATE(P$1,1),Log_2018[[#This Row],[Date]]),Log_2018[[#This Row],[Split_apply]])) - SUM($O579:O579)</f>
        <v>0</v>
      </c>
      <c r="Q579" s="52">
        <f ca="1">Log_2018[[#This Row],[Amount]]/Log_2018[[#This Row],[Split_raw]]*MAX(0,MIN(_xlfn.DAYS(EDATE(Q$1,1),Log_2018[[#This Row],[Date]]),Log_2018[[#This Row],[Split_apply]])) - SUM($O579:P579)</f>
        <v>0</v>
      </c>
      <c r="R579" s="52">
        <f ca="1">Log_2018[[#This Row],[Amount]]/Log_2018[[#This Row],[Split_raw]]*MAX(0,MIN(_xlfn.DAYS(EDATE(R$1,1),Log_2018[[#This Row],[Date]]),Log_2018[[#This Row],[Split_apply]])) - SUM($O579:Q579)</f>
        <v>-11.99</v>
      </c>
      <c r="S579" s="52">
        <f ca="1">Log_2018[[#This Row],[Amount]]/Log_2018[[#This Row],[Split_raw]]*MAX(0,MIN(_xlfn.DAYS(EDATE(S$1,1),Log_2018[[#This Row],[Date]]),Log_2018[[#This Row],[Split_apply]])) - SUM($O579:R579)</f>
        <v>0</v>
      </c>
      <c r="T579" s="52">
        <f ca="1">Log_2018[[#This Row],[Amount]]/Log_2018[[#This Row],[Split_raw]]*MAX(0,MIN(_xlfn.DAYS(EDATE(T$1,1),Log_2018[[#This Row],[Date]]),Log_2018[[#This Row],[Split_apply]])) - SUM($O579:S579)</f>
        <v>0</v>
      </c>
      <c r="U579" s="52">
        <f ca="1">Log_2018[[#This Row],[Amount]]/Log_2018[[#This Row],[Split_raw]]*MAX(0,MIN(_xlfn.DAYS(EDATE(U$1,1),Log_2018[[#This Row],[Date]]),Log_2018[[#This Row],[Split_apply]])) - SUM($O579:T579)</f>
        <v>0</v>
      </c>
      <c r="V579" s="52">
        <f ca="1">Log_2018[[#This Row],[Amount]]/Log_2018[[#This Row],[Split_raw]]*MAX(0,MIN(_xlfn.DAYS(EDATE(V$1,1),Log_2018[[#This Row],[Date]]),Log_2018[[#This Row],[Split_apply]])) - SUM($O579:U579)</f>
        <v>0</v>
      </c>
      <c r="W579" s="52">
        <f ca="1">Log_2018[[#This Row],[Amount]]/Log_2018[[#This Row],[Split_raw]]*MAX(0,MIN(_xlfn.DAYS(EDATE(W$1,1),Log_2018[[#This Row],[Date]]),Log_2018[[#This Row],[Split_apply]])) - SUM($O579:V579)</f>
        <v>0</v>
      </c>
      <c r="X579" s="52">
        <f ca="1">Log_2018[[#This Row],[Amount]]/Log_2018[[#This Row],[Split_raw]]*MAX(0,MIN(_xlfn.DAYS(EDATE(X$1,1),Log_2018[[#This Row],[Date]]),Log_2018[[#This Row],[Split_apply]])) - SUM($O579:W579)</f>
        <v>0</v>
      </c>
      <c r="Y579" s="52">
        <f ca="1">Log_2018[[#This Row],[Amount]]/Log_2018[[#This Row],[Split_raw]]*MAX(0,MIN(_xlfn.DAYS(EDATE(Y$1,1),Log_2018[[#This Row],[Date]]),Log_2018[[#This Row],[Split_apply]])) - SUM($O579:X579)</f>
        <v>0</v>
      </c>
      <c r="Z579" s="52">
        <f ca="1">Log_2018[[#This Row],[Amount]]/Log_2018[[#This Row],[Split_raw]]*MAX(0,MIN(_xlfn.DAYS(EDATE(Z$1,1),Log_2018[[#This Row],[Date]]),Log_2018[[#This Row],[Split_apply]])) - SUM($O579:Y579)</f>
        <v>0</v>
      </c>
      <c r="AA579" s="52">
        <f ca="1">Log_2018[[#This Row],[Amount]]/Log_2018[[#This Row],[Split_raw]]*MAX(0,MIN(_xlfn.DAYS(EDATE(AA$1,1),Log_2018[[#This Row],[Date]]),Log_2018[[#This Row],[Split_apply]])) - SUM($O579:Z579)</f>
        <v>0</v>
      </c>
      <c r="AB579" s="54">
        <f ca="1">Log_2018[[#This Row],[Amount]]-SUM(O579:AA579)</f>
        <v>0</v>
      </c>
      <c r="AC579" s="7">
        <f ca="1">MAX(0,Log_2018[[#This Row],[Split_apply]] - (EDATE(AA$1,1)-Log_2018[[#This Row],[Date]]))</f>
        <v>0</v>
      </c>
    </row>
    <row r="580" spans="1:29" hidden="1" x14ac:dyDescent="0.25">
      <c r="A580" s="115"/>
      <c r="B580" t="s">
        <v>6</v>
      </c>
      <c r="D580" s="39">
        <v>43189</v>
      </c>
      <c r="F580" t="s">
        <v>184</v>
      </c>
      <c r="G580" t="s">
        <v>11</v>
      </c>
      <c r="H580" s="3">
        <v>-31.72</v>
      </c>
      <c r="I580" s="36">
        <f>IF(Log_2018[[#This Row],[My Category]]="NONTRACKED",0,Log_2018[[#This Row],[Raw Amount]])</f>
        <v>-31.72</v>
      </c>
      <c r="J580" s="17">
        <f>ABS(Log_2018[[#This Row],[Amount]])</f>
        <v>31.72</v>
      </c>
      <c r="K580" s="66">
        <v>1</v>
      </c>
      <c r="L580" s="66">
        <f ca="1">IF(Log_2018[[#This Row],[Date]]&lt;=TODAY(), MIN(Log_2018[[#This Row],[Split_raw]], TODAY()-Log_2018[[#This Row],[Date]]+1), 0)</f>
        <v>1</v>
      </c>
      <c r="M580" t="s">
        <v>145</v>
      </c>
      <c r="N580" t="s">
        <v>158</v>
      </c>
      <c r="O580" s="50">
        <v>0</v>
      </c>
      <c r="P580" s="52">
        <f ca="1">Log_2018[[#This Row],[Amount]]/Log_2018[[#This Row],[Split_raw]]*MAX(0,MIN(_xlfn.DAYS(EDATE(P$1,1),Log_2018[[#This Row],[Date]]),Log_2018[[#This Row],[Split_apply]])) - SUM($O580:O580)</f>
        <v>0</v>
      </c>
      <c r="Q580" s="52">
        <f ca="1">Log_2018[[#This Row],[Amount]]/Log_2018[[#This Row],[Split_raw]]*MAX(0,MIN(_xlfn.DAYS(EDATE(Q$1,1),Log_2018[[#This Row],[Date]]),Log_2018[[#This Row],[Split_apply]])) - SUM($O580:P580)</f>
        <v>0</v>
      </c>
      <c r="R580" s="52">
        <f ca="1">Log_2018[[#This Row],[Amount]]/Log_2018[[#This Row],[Split_raw]]*MAX(0,MIN(_xlfn.DAYS(EDATE(R$1,1),Log_2018[[#This Row],[Date]]),Log_2018[[#This Row],[Split_apply]])) - SUM($O580:Q580)</f>
        <v>-31.72</v>
      </c>
      <c r="S580" s="52">
        <f ca="1">Log_2018[[#This Row],[Amount]]/Log_2018[[#This Row],[Split_raw]]*MAX(0,MIN(_xlfn.DAYS(EDATE(S$1,1),Log_2018[[#This Row],[Date]]),Log_2018[[#This Row],[Split_apply]])) - SUM($O580:R580)</f>
        <v>0</v>
      </c>
      <c r="T580" s="52">
        <f ca="1">Log_2018[[#This Row],[Amount]]/Log_2018[[#This Row],[Split_raw]]*MAX(0,MIN(_xlfn.DAYS(EDATE(T$1,1),Log_2018[[#This Row],[Date]]),Log_2018[[#This Row],[Split_apply]])) - SUM($O580:S580)</f>
        <v>0</v>
      </c>
      <c r="U580" s="52">
        <f ca="1">Log_2018[[#This Row],[Amount]]/Log_2018[[#This Row],[Split_raw]]*MAX(0,MIN(_xlfn.DAYS(EDATE(U$1,1),Log_2018[[#This Row],[Date]]),Log_2018[[#This Row],[Split_apply]])) - SUM($O580:T580)</f>
        <v>0</v>
      </c>
      <c r="V580" s="52">
        <f ca="1">Log_2018[[#This Row],[Amount]]/Log_2018[[#This Row],[Split_raw]]*MAX(0,MIN(_xlfn.DAYS(EDATE(V$1,1),Log_2018[[#This Row],[Date]]),Log_2018[[#This Row],[Split_apply]])) - SUM($O580:U580)</f>
        <v>0</v>
      </c>
      <c r="W580" s="52">
        <f ca="1">Log_2018[[#This Row],[Amount]]/Log_2018[[#This Row],[Split_raw]]*MAX(0,MIN(_xlfn.DAYS(EDATE(W$1,1),Log_2018[[#This Row],[Date]]),Log_2018[[#This Row],[Split_apply]])) - SUM($O580:V580)</f>
        <v>0</v>
      </c>
      <c r="X580" s="52">
        <f ca="1">Log_2018[[#This Row],[Amount]]/Log_2018[[#This Row],[Split_raw]]*MAX(0,MIN(_xlfn.DAYS(EDATE(X$1,1),Log_2018[[#This Row],[Date]]),Log_2018[[#This Row],[Split_apply]])) - SUM($O580:W580)</f>
        <v>0</v>
      </c>
      <c r="Y580" s="52">
        <f ca="1">Log_2018[[#This Row],[Amount]]/Log_2018[[#This Row],[Split_raw]]*MAX(0,MIN(_xlfn.DAYS(EDATE(Y$1,1),Log_2018[[#This Row],[Date]]),Log_2018[[#This Row],[Split_apply]])) - SUM($O580:X580)</f>
        <v>0</v>
      </c>
      <c r="Z580" s="52">
        <f ca="1">Log_2018[[#This Row],[Amount]]/Log_2018[[#This Row],[Split_raw]]*MAX(0,MIN(_xlfn.DAYS(EDATE(Z$1,1),Log_2018[[#This Row],[Date]]),Log_2018[[#This Row],[Split_apply]])) - SUM($O580:Y580)</f>
        <v>0</v>
      </c>
      <c r="AA580" s="52">
        <f ca="1">Log_2018[[#This Row],[Amount]]/Log_2018[[#This Row],[Split_raw]]*MAX(0,MIN(_xlfn.DAYS(EDATE(AA$1,1),Log_2018[[#This Row],[Date]]),Log_2018[[#This Row],[Split_apply]])) - SUM($O580:Z580)</f>
        <v>0</v>
      </c>
      <c r="AB580" s="54">
        <f ca="1">Log_2018[[#This Row],[Amount]]-SUM(O580:AA580)</f>
        <v>0</v>
      </c>
      <c r="AC580" s="7">
        <f ca="1">MAX(0,Log_2018[[#This Row],[Split_apply]] - (EDATE(AA$1,1)-Log_2018[[#This Row],[Date]]))</f>
        <v>0</v>
      </c>
    </row>
    <row r="581" spans="1:29" hidden="1" x14ac:dyDescent="0.25">
      <c r="A581" s="115"/>
      <c r="B581" t="s">
        <v>6</v>
      </c>
      <c r="D581" s="39">
        <v>43188</v>
      </c>
      <c r="F581" t="s">
        <v>184</v>
      </c>
      <c r="G581" t="s">
        <v>11</v>
      </c>
      <c r="H581" s="3">
        <v>-17.46</v>
      </c>
      <c r="I581" s="36">
        <f>IF(Log_2018[[#This Row],[My Category]]="NONTRACKED",0,Log_2018[[#This Row],[Raw Amount]])</f>
        <v>-17.46</v>
      </c>
      <c r="J581" s="17">
        <f>ABS(Log_2018[[#This Row],[Amount]])</f>
        <v>17.46</v>
      </c>
      <c r="K581" s="66">
        <v>1</v>
      </c>
      <c r="L581" s="66">
        <f ca="1">IF(Log_2018[[#This Row],[Date]]&lt;=TODAY(), MIN(Log_2018[[#This Row],[Split_raw]], TODAY()-Log_2018[[#This Row],[Date]]+1), 0)</f>
        <v>1</v>
      </c>
      <c r="M581" t="s">
        <v>145</v>
      </c>
      <c r="N581" t="s">
        <v>158</v>
      </c>
      <c r="O581" s="50">
        <v>0</v>
      </c>
      <c r="P581" s="52">
        <f ca="1">Log_2018[[#This Row],[Amount]]/Log_2018[[#This Row],[Split_raw]]*MAX(0,MIN(_xlfn.DAYS(EDATE(P$1,1),Log_2018[[#This Row],[Date]]),Log_2018[[#This Row],[Split_apply]])) - SUM($O581:O581)</f>
        <v>0</v>
      </c>
      <c r="Q581" s="52">
        <f ca="1">Log_2018[[#This Row],[Amount]]/Log_2018[[#This Row],[Split_raw]]*MAX(0,MIN(_xlfn.DAYS(EDATE(Q$1,1),Log_2018[[#This Row],[Date]]),Log_2018[[#This Row],[Split_apply]])) - SUM($O581:P581)</f>
        <v>0</v>
      </c>
      <c r="R581" s="52">
        <f ca="1">Log_2018[[#This Row],[Amount]]/Log_2018[[#This Row],[Split_raw]]*MAX(0,MIN(_xlfn.DAYS(EDATE(R$1,1),Log_2018[[#This Row],[Date]]),Log_2018[[#This Row],[Split_apply]])) - SUM($O581:Q581)</f>
        <v>-17.46</v>
      </c>
      <c r="S581" s="52">
        <f ca="1">Log_2018[[#This Row],[Amount]]/Log_2018[[#This Row],[Split_raw]]*MAX(0,MIN(_xlfn.DAYS(EDATE(S$1,1),Log_2018[[#This Row],[Date]]),Log_2018[[#This Row],[Split_apply]])) - SUM($O581:R581)</f>
        <v>0</v>
      </c>
      <c r="T581" s="52">
        <f ca="1">Log_2018[[#This Row],[Amount]]/Log_2018[[#This Row],[Split_raw]]*MAX(0,MIN(_xlfn.DAYS(EDATE(T$1,1),Log_2018[[#This Row],[Date]]),Log_2018[[#This Row],[Split_apply]])) - SUM($O581:S581)</f>
        <v>0</v>
      </c>
      <c r="U581" s="52">
        <f ca="1">Log_2018[[#This Row],[Amount]]/Log_2018[[#This Row],[Split_raw]]*MAX(0,MIN(_xlfn.DAYS(EDATE(U$1,1),Log_2018[[#This Row],[Date]]),Log_2018[[#This Row],[Split_apply]])) - SUM($O581:T581)</f>
        <v>0</v>
      </c>
      <c r="V581" s="52">
        <f ca="1">Log_2018[[#This Row],[Amount]]/Log_2018[[#This Row],[Split_raw]]*MAX(0,MIN(_xlfn.DAYS(EDATE(V$1,1),Log_2018[[#This Row],[Date]]),Log_2018[[#This Row],[Split_apply]])) - SUM($O581:U581)</f>
        <v>0</v>
      </c>
      <c r="W581" s="52">
        <f ca="1">Log_2018[[#This Row],[Amount]]/Log_2018[[#This Row],[Split_raw]]*MAX(0,MIN(_xlfn.DAYS(EDATE(W$1,1),Log_2018[[#This Row],[Date]]),Log_2018[[#This Row],[Split_apply]])) - SUM($O581:V581)</f>
        <v>0</v>
      </c>
      <c r="X581" s="52">
        <f ca="1">Log_2018[[#This Row],[Amount]]/Log_2018[[#This Row],[Split_raw]]*MAX(0,MIN(_xlfn.DAYS(EDATE(X$1,1),Log_2018[[#This Row],[Date]]),Log_2018[[#This Row],[Split_apply]])) - SUM($O581:W581)</f>
        <v>0</v>
      </c>
      <c r="Y581" s="52">
        <f ca="1">Log_2018[[#This Row],[Amount]]/Log_2018[[#This Row],[Split_raw]]*MAX(0,MIN(_xlfn.DAYS(EDATE(Y$1,1),Log_2018[[#This Row],[Date]]),Log_2018[[#This Row],[Split_apply]])) - SUM($O581:X581)</f>
        <v>0</v>
      </c>
      <c r="Z581" s="52">
        <f ca="1">Log_2018[[#This Row],[Amount]]/Log_2018[[#This Row],[Split_raw]]*MAX(0,MIN(_xlfn.DAYS(EDATE(Z$1,1),Log_2018[[#This Row],[Date]]),Log_2018[[#This Row],[Split_apply]])) - SUM($O581:Y581)</f>
        <v>0</v>
      </c>
      <c r="AA581" s="52">
        <f ca="1">Log_2018[[#This Row],[Amount]]/Log_2018[[#This Row],[Split_raw]]*MAX(0,MIN(_xlfn.DAYS(EDATE(AA$1,1),Log_2018[[#This Row],[Date]]),Log_2018[[#This Row],[Split_apply]])) - SUM($O581:Z581)</f>
        <v>0</v>
      </c>
      <c r="AB581" s="54">
        <f ca="1">Log_2018[[#This Row],[Amount]]-SUM(O581:AA581)</f>
        <v>0</v>
      </c>
      <c r="AC581" s="7">
        <f ca="1">MAX(0,Log_2018[[#This Row],[Split_apply]] - (EDATE(AA$1,1)-Log_2018[[#This Row],[Date]]))</f>
        <v>0</v>
      </c>
    </row>
    <row r="582" spans="1:29" hidden="1" x14ac:dyDescent="0.25">
      <c r="A582" s="115"/>
      <c r="B582" t="s">
        <v>6</v>
      </c>
      <c r="D582" s="39">
        <v>43188</v>
      </c>
      <c r="F582" t="s">
        <v>178</v>
      </c>
      <c r="G582" t="s">
        <v>80</v>
      </c>
      <c r="H582" s="3">
        <f>--1903.52</f>
        <v>1903.52</v>
      </c>
      <c r="I582" s="36">
        <f>IF(Log_2018[[#This Row],[My Category]]="NONTRACKED",0,Log_2018[[#This Row],[Raw Amount]])</f>
        <v>1903.52</v>
      </c>
      <c r="J582" s="17">
        <f>ABS(Log_2018[[#This Row],[Amount]])</f>
        <v>1903.52</v>
      </c>
      <c r="K582" s="66">
        <v>14</v>
      </c>
      <c r="L582" s="66">
        <f ca="1">IF(Log_2018[[#This Row],[Date]]&lt;=TODAY(), MIN(Log_2018[[#This Row],[Split_raw]], TODAY()-Log_2018[[#This Row],[Date]]+1), 0)</f>
        <v>14</v>
      </c>
      <c r="M582" t="s">
        <v>91</v>
      </c>
      <c r="N582" t="s">
        <v>160</v>
      </c>
      <c r="O582" s="50">
        <v>0</v>
      </c>
      <c r="P582" s="52">
        <f ca="1">Log_2018[[#This Row],[Amount]]/Log_2018[[#This Row],[Split_raw]]*MAX(0,MIN(_xlfn.DAYS(EDATE(P$1,1),Log_2018[[#This Row],[Date]]),Log_2018[[#This Row],[Split_apply]])) - SUM($O582:O582)</f>
        <v>0</v>
      </c>
      <c r="Q582" s="52">
        <f ca="1">Log_2018[[#This Row],[Amount]]/Log_2018[[#This Row],[Split_raw]]*MAX(0,MIN(_xlfn.DAYS(EDATE(Q$1,1),Log_2018[[#This Row],[Date]]),Log_2018[[#This Row],[Split_apply]])) - SUM($O582:P582)</f>
        <v>0</v>
      </c>
      <c r="R582" s="52">
        <f ca="1">Log_2018[[#This Row],[Amount]]/Log_2018[[#This Row],[Split_raw]]*MAX(0,MIN(_xlfn.DAYS(EDATE(R$1,1),Log_2018[[#This Row],[Date]]),Log_2018[[#This Row],[Split_apply]])) - SUM($O582:Q582)</f>
        <v>407.89714285714285</v>
      </c>
      <c r="S582" s="52">
        <f ca="1">Log_2018[[#This Row],[Amount]]/Log_2018[[#This Row],[Split_raw]]*MAX(0,MIN(_xlfn.DAYS(EDATE(S$1,1),Log_2018[[#This Row],[Date]]),Log_2018[[#This Row],[Split_apply]])) - SUM($O582:R582)</f>
        <v>1495.6228571428571</v>
      </c>
      <c r="T582" s="52">
        <f ca="1">Log_2018[[#This Row],[Amount]]/Log_2018[[#This Row],[Split_raw]]*MAX(0,MIN(_xlfn.DAYS(EDATE(T$1,1),Log_2018[[#This Row],[Date]]),Log_2018[[#This Row],[Split_apply]])) - SUM($O582:S582)</f>
        <v>0</v>
      </c>
      <c r="U582" s="52">
        <f ca="1">Log_2018[[#This Row],[Amount]]/Log_2018[[#This Row],[Split_raw]]*MAX(0,MIN(_xlfn.DAYS(EDATE(U$1,1),Log_2018[[#This Row],[Date]]),Log_2018[[#This Row],[Split_apply]])) - SUM($O582:T582)</f>
        <v>0</v>
      </c>
      <c r="V582" s="52">
        <f ca="1">Log_2018[[#This Row],[Amount]]/Log_2018[[#This Row],[Split_raw]]*MAX(0,MIN(_xlfn.DAYS(EDATE(V$1,1),Log_2018[[#This Row],[Date]]),Log_2018[[#This Row],[Split_apply]])) - SUM($O582:U582)</f>
        <v>0</v>
      </c>
      <c r="W582" s="52">
        <f ca="1">Log_2018[[#This Row],[Amount]]/Log_2018[[#This Row],[Split_raw]]*MAX(0,MIN(_xlfn.DAYS(EDATE(W$1,1),Log_2018[[#This Row],[Date]]),Log_2018[[#This Row],[Split_apply]])) - SUM($O582:V582)</f>
        <v>0</v>
      </c>
      <c r="X582" s="52">
        <f ca="1">Log_2018[[#This Row],[Amount]]/Log_2018[[#This Row],[Split_raw]]*MAX(0,MIN(_xlfn.DAYS(EDATE(X$1,1),Log_2018[[#This Row],[Date]]),Log_2018[[#This Row],[Split_apply]])) - SUM($O582:W582)</f>
        <v>0</v>
      </c>
      <c r="Y582" s="52">
        <f ca="1">Log_2018[[#This Row],[Amount]]/Log_2018[[#This Row],[Split_raw]]*MAX(0,MIN(_xlfn.DAYS(EDATE(Y$1,1),Log_2018[[#This Row],[Date]]),Log_2018[[#This Row],[Split_apply]])) - SUM($O582:X582)</f>
        <v>0</v>
      </c>
      <c r="Z582" s="52">
        <f ca="1">Log_2018[[#This Row],[Amount]]/Log_2018[[#This Row],[Split_raw]]*MAX(0,MIN(_xlfn.DAYS(EDATE(Z$1,1),Log_2018[[#This Row],[Date]]),Log_2018[[#This Row],[Split_apply]])) - SUM($O582:Y582)</f>
        <v>0</v>
      </c>
      <c r="AA582" s="52">
        <f ca="1">Log_2018[[#This Row],[Amount]]/Log_2018[[#This Row],[Split_raw]]*MAX(0,MIN(_xlfn.DAYS(EDATE(AA$1,1),Log_2018[[#This Row],[Date]]),Log_2018[[#This Row],[Split_apply]])) - SUM($O582:Z582)</f>
        <v>0</v>
      </c>
      <c r="AB582" s="54">
        <f ca="1">Log_2018[[#This Row],[Amount]]-SUM(O582:AA582)</f>
        <v>0</v>
      </c>
      <c r="AC582" s="7">
        <f ca="1">MAX(0,Log_2018[[#This Row],[Split_apply]] - (EDATE(AA$1,1)-Log_2018[[#This Row],[Date]]))</f>
        <v>0</v>
      </c>
    </row>
    <row r="583" spans="1:29" hidden="1" x14ac:dyDescent="0.25">
      <c r="A583" s="115"/>
      <c r="B583" t="s">
        <v>6</v>
      </c>
      <c r="D583" s="39">
        <v>43188</v>
      </c>
      <c r="F583" t="s">
        <v>59</v>
      </c>
      <c r="G583" t="s">
        <v>25</v>
      </c>
      <c r="H583" s="3">
        <v>-10.1</v>
      </c>
      <c r="I583" s="36">
        <f>IF(Log_2018[[#This Row],[My Category]]="NONTRACKED",0,Log_2018[[#This Row],[Raw Amount]])</f>
        <v>-10.1</v>
      </c>
      <c r="J583" s="17">
        <f>ABS(Log_2018[[#This Row],[Amount]])</f>
        <v>10.1</v>
      </c>
      <c r="K583" s="66">
        <v>1</v>
      </c>
      <c r="L583" s="66">
        <f ca="1">IF(Log_2018[[#This Row],[Date]]&lt;=TODAY(), MIN(Log_2018[[#This Row],[Split_raw]], TODAY()-Log_2018[[#This Row],[Date]]+1), 0)</f>
        <v>1</v>
      </c>
      <c r="M583" t="s">
        <v>35</v>
      </c>
      <c r="N583" t="s">
        <v>158</v>
      </c>
      <c r="O583" s="50">
        <v>0</v>
      </c>
      <c r="P583" s="52">
        <f ca="1">Log_2018[[#This Row],[Amount]]/Log_2018[[#This Row],[Split_raw]]*MAX(0,MIN(_xlfn.DAYS(EDATE(P$1,1),Log_2018[[#This Row],[Date]]),Log_2018[[#This Row],[Split_apply]])) - SUM($O583:O583)</f>
        <v>0</v>
      </c>
      <c r="Q583" s="52">
        <f ca="1">Log_2018[[#This Row],[Amount]]/Log_2018[[#This Row],[Split_raw]]*MAX(0,MIN(_xlfn.DAYS(EDATE(Q$1,1),Log_2018[[#This Row],[Date]]),Log_2018[[#This Row],[Split_apply]])) - SUM($O583:P583)</f>
        <v>0</v>
      </c>
      <c r="R583" s="52">
        <f ca="1">Log_2018[[#This Row],[Amount]]/Log_2018[[#This Row],[Split_raw]]*MAX(0,MIN(_xlfn.DAYS(EDATE(R$1,1),Log_2018[[#This Row],[Date]]),Log_2018[[#This Row],[Split_apply]])) - SUM($O583:Q583)</f>
        <v>-10.1</v>
      </c>
      <c r="S583" s="52">
        <f ca="1">Log_2018[[#This Row],[Amount]]/Log_2018[[#This Row],[Split_raw]]*MAX(0,MIN(_xlfn.DAYS(EDATE(S$1,1),Log_2018[[#This Row],[Date]]),Log_2018[[#This Row],[Split_apply]])) - SUM($O583:R583)</f>
        <v>0</v>
      </c>
      <c r="T583" s="52">
        <f ca="1">Log_2018[[#This Row],[Amount]]/Log_2018[[#This Row],[Split_raw]]*MAX(0,MIN(_xlfn.DAYS(EDATE(T$1,1),Log_2018[[#This Row],[Date]]),Log_2018[[#This Row],[Split_apply]])) - SUM($O583:S583)</f>
        <v>0</v>
      </c>
      <c r="U583" s="52">
        <f ca="1">Log_2018[[#This Row],[Amount]]/Log_2018[[#This Row],[Split_raw]]*MAX(0,MIN(_xlfn.DAYS(EDATE(U$1,1),Log_2018[[#This Row],[Date]]),Log_2018[[#This Row],[Split_apply]])) - SUM($O583:T583)</f>
        <v>0</v>
      </c>
      <c r="V583" s="52">
        <f ca="1">Log_2018[[#This Row],[Amount]]/Log_2018[[#This Row],[Split_raw]]*MAX(0,MIN(_xlfn.DAYS(EDATE(V$1,1),Log_2018[[#This Row],[Date]]),Log_2018[[#This Row],[Split_apply]])) - SUM($O583:U583)</f>
        <v>0</v>
      </c>
      <c r="W583" s="52">
        <f ca="1">Log_2018[[#This Row],[Amount]]/Log_2018[[#This Row],[Split_raw]]*MAX(0,MIN(_xlfn.DAYS(EDATE(W$1,1),Log_2018[[#This Row],[Date]]),Log_2018[[#This Row],[Split_apply]])) - SUM($O583:V583)</f>
        <v>0</v>
      </c>
      <c r="X583" s="52">
        <f ca="1">Log_2018[[#This Row],[Amount]]/Log_2018[[#This Row],[Split_raw]]*MAX(0,MIN(_xlfn.DAYS(EDATE(X$1,1),Log_2018[[#This Row],[Date]]),Log_2018[[#This Row],[Split_apply]])) - SUM($O583:W583)</f>
        <v>0</v>
      </c>
      <c r="Y583" s="52">
        <f ca="1">Log_2018[[#This Row],[Amount]]/Log_2018[[#This Row],[Split_raw]]*MAX(0,MIN(_xlfn.DAYS(EDATE(Y$1,1),Log_2018[[#This Row],[Date]]),Log_2018[[#This Row],[Split_apply]])) - SUM($O583:X583)</f>
        <v>0</v>
      </c>
      <c r="Z583" s="52">
        <f ca="1">Log_2018[[#This Row],[Amount]]/Log_2018[[#This Row],[Split_raw]]*MAX(0,MIN(_xlfn.DAYS(EDATE(Z$1,1),Log_2018[[#This Row],[Date]]),Log_2018[[#This Row],[Split_apply]])) - SUM($O583:Y583)</f>
        <v>0</v>
      </c>
      <c r="AA583" s="52">
        <f ca="1">Log_2018[[#This Row],[Amount]]/Log_2018[[#This Row],[Split_raw]]*MAX(0,MIN(_xlfn.DAYS(EDATE(AA$1,1),Log_2018[[#This Row],[Date]]),Log_2018[[#This Row],[Split_apply]])) - SUM($O583:Z583)</f>
        <v>0</v>
      </c>
      <c r="AB583" s="54">
        <f ca="1">Log_2018[[#This Row],[Amount]]-SUM(O583:AA583)</f>
        <v>0</v>
      </c>
      <c r="AC583" s="7">
        <f ca="1">MAX(0,Log_2018[[#This Row],[Split_apply]] - (EDATE(AA$1,1)-Log_2018[[#This Row],[Date]]))</f>
        <v>0</v>
      </c>
    </row>
    <row r="584" spans="1:29" hidden="1" x14ac:dyDescent="0.25">
      <c r="A584" s="115"/>
      <c r="B584" t="s">
        <v>6</v>
      </c>
      <c r="D584" s="39">
        <v>43188</v>
      </c>
      <c r="F584" t="s">
        <v>16</v>
      </c>
      <c r="G584" t="s">
        <v>17</v>
      </c>
      <c r="H584" s="3">
        <f>--0.05</f>
        <v>0.05</v>
      </c>
      <c r="I584" s="36">
        <f>IF(Log_2018[[#This Row],[My Category]]="NONTRACKED",0,Log_2018[[#This Row],[Raw Amount]])</f>
        <v>0.05</v>
      </c>
      <c r="J584" s="17">
        <f>ABS(Log_2018[[#This Row],[Amount]])</f>
        <v>0.05</v>
      </c>
      <c r="K584" s="66">
        <v>1</v>
      </c>
      <c r="L584" s="66">
        <f ca="1">IF(Log_2018[[#This Row],[Date]]&lt;=TODAY(), MIN(Log_2018[[#This Row],[Split_raw]], TODAY()-Log_2018[[#This Row],[Date]]+1), 0)</f>
        <v>1</v>
      </c>
      <c r="M584" t="s">
        <v>144</v>
      </c>
      <c r="N584" t="s">
        <v>160</v>
      </c>
      <c r="O584" s="50">
        <v>0</v>
      </c>
      <c r="P584" s="52">
        <f ca="1">Log_2018[[#This Row],[Amount]]/Log_2018[[#This Row],[Split_raw]]*MAX(0,MIN(_xlfn.DAYS(EDATE(P$1,1),Log_2018[[#This Row],[Date]]),Log_2018[[#This Row],[Split_apply]])) - SUM($O584:O584)</f>
        <v>0</v>
      </c>
      <c r="Q584" s="52">
        <f ca="1">Log_2018[[#This Row],[Amount]]/Log_2018[[#This Row],[Split_raw]]*MAX(0,MIN(_xlfn.DAYS(EDATE(Q$1,1),Log_2018[[#This Row],[Date]]),Log_2018[[#This Row],[Split_apply]])) - SUM($O584:P584)</f>
        <v>0</v>
      </c>
      <c r="R584" s="52">
        <f ca="1">Log_2018[[#This Row],[Amount]]/Log_2018[[#This Row],[Split_raw]]*MAX(0,MIN(_xlfn.DAYS(EDATE(R$1,1),Log_2018[[#This Row],[Date]]),Log_2018[[#This Row],[Split_apply]])) - SUM($O584:Q584)</f>
        <v>0.05</v>
      </c>
      <c r="S584" s="52">
        <f ca="1">Log_2018[[#This Row],[Amount]]/Log_2018[[#This Row],[Split_raw]]*MAX(0,MIN(_xlfn.DAYS(EDATE(S$1,1),Log_2018[[#This Row],[Date]]),Log_2018[[#This Row],[Split_apply]])) - SUM($O584:R584)</f>
        <v>0</v>
      </c>
      <c r="T584" s="52">
        <f ca="1">Log_2018[[#This Row],[Amount]]/Log_2018[[#This Row],[Split_raw]]*MAX(0,MIN(_xlfn.DAYS(EDATE(T$1,1),Log_2018[[#This Row],[Date]]),Log_2018[[#This Row],[Split_apply]])) - SUM($O584:S584)</f>
        <v>0</v>
      </c>
      <c r="U584" s="52">
        <f ca="1">Log_2018[[#This Row],[Amount]]/Log_2018[[#This Row],[Split_raw]]*MAX(0,MIN(_xlfn.DAYS(EDATE(U$1,1),Log_2018[[#This Row],[Date]]),Log_2018[[#This Row],[Split_apply]])) - SUM($O584:T584)</f>
        <v>0</v>
      </c>
      <c r="V584" s="52">
        <f ca="1">Log_2018[[#This Row],[Amount]]/Log_2018[[#This Row],[Split_raw]]*MAX(0,MIN(_xlfn.DAYS(EDATE(V$1,1),Log_2018[[#This Row],[Date]]),Log_2018[[#This Row],[Split_apply]])) - SUM($O584:U584)</f>
        <v>0</v>
      </c>
      <c r="W584" s="52">
        <f ca="1">Log_2018[[#This Row],[Amount]]/Log_2018[[#This Row],[Split_raw]]*MAX(0,MIN(_xlfn.DAYS(EDATE(W$1,1),Log_2018[[#This Row],[Date]]),Log_2018[[#This Row],[Split_apply]])) - SUM($O584:V584)</f>
        <v>0</v>
      </c>
      <c r="X584" s="52">
        <f ca="1">Log_2018[[#This Row],[Amount]]/Log_2018[[#This Row],[Split_raw]]*MAX(0,MIN(_xlfn.DAYS(EDATE(X$1,1),Log_2018[[#This Row],[Date]]),Log_2018[[#This Row],[Split_apply]])) - SUM($O584:W584)</f>
        <v>0</v>
      </c>
      <c r="Y584" s="52">
        <f ca="1">Log_2018[[#This Row],[Amount]]/Log_2018[[#This Row],[Split_raw]]*MAX(0,MIN(_xlfn.DAYS(EDATE(Y$1,1),Log_2018[[#This Row],[Date]]),Log_2018[[#This Row],[Split_apply]])) - SUM($O584:X584)</f>
        <v>0</v>
      </c>
      <c r="Z584" s="52">
        <f ca="1">Log_2018[[#This Row],[Amount]]/Log_2018[[#This Row],[Split_raw]]*MAX(0,MIN(_xlfn.DAYS(EDATE(Z$1,1),Log_2018[[#This Row],[Date]]),Log_2018[[#This Row],[Split_apply]])) - SUM($O584:Y584)</f>
        <v>0</v>
      </c>
      <c r="AA584" s="52">
        <f ca="1">Log_2018[[#This Row],[Amount]]/Log_2018[[#This Row],[Split_raw]]*MAX(0,MIN(_xlfn.DAYS(EDATE(AA$1,1),Log_2018[[#This Row],[Date]]),Log_2018[[#This Row],[Split_apply]])) - SUM($O584:Z584)</f>
        <v>0</v>
      </c>
      <c r="AB584" s="54">
        <f ca="1">Log_2018[[#This Row],[Amount]]-SUM(O584:AA584)</f>
        <v>0</v>
      </c>
      <c r="AC584" s="7">
        <f ca="1">MAX(0,Log_2018[[#This Row],[Split_apply]] - (EDATE(AA$1,1)-Log_2018[[#This Row],[Date]]))</f>
        <v>0</v>
      </c>
    </row>
    <row r="585" spans="1:29" hidden="1" x14ac:dyDescent="0.25">
      <c r="A585" s="115"/>
      <c r="B585" t="s">
        <v>6</v>
      </c>
      <c r="D585" s="39">
        <v>43187</v>
      </c>
      <c r="E585" t="s">
        <v>251</v>
      </c>
      <c r="F585" t="s">
        <v>120</v>
      </c>
      <c r="G585" t="s">
        <v>9</v>
      </c>
      <c r="H585" s="3">
        <v>-8.65</v>
      </c>
      <c r="I585" s="36">
        <f>IF(Log_2018[[#This Row],[My Category]]="NONTRACKED",0,Log_2018[[#This Row],[Raw Amount]])</f>
        <v>-8.65</v>
      </c>
      <c r="J585" s="17">
        <f>ABS(Log_2018[[#This Row],[Amount]])</f>
        <v>8.65</v>
      </c>
      <c r="K585" s="66">
        <v>30</v>
      </c>
      <c r="L585" s="66">
        <f ca="1">IF(Log_2018[[#This Row],[Date]]&lt;=TODAY(), MIN(Log_2018[[#This Row],[Split_raw]], TODAY()-Log_2018[[#This Row],[Date]]+1), 0)</f>
        <v>30</v>
      </c>
      <c r="M585" t="s">
        <v>53</v>
      </c>
      <c r="N585" t="s">
        <v>160</v>
      </c>
      <c r="O585" s="50">
        <v>0</v>
      </c>
      <c r="P585" s="52">
        <f ca="1">Log_2018[[#This Row],[Amount]]/Log_2018[[#This Row],[Split_raw]]*MAX(0,MIN(_xlfn.DAYS(EDATE(P$1,1),Log_2018[[#This Row],[Date]]),Log_2018[[#This Row],[Split_apply]])) - SUM($O585:O585)</f>
        <v>0</v>
      </c>
      <c r="Q585" s="52">
        <f ca="1">Log_2018[[#This Row],[Amount]]/Log_2018[[#This Row],[Split_raw]]*MAX(0,MIN(_xlfn.DAYS(EDATE(Q$1,1),Log_2018[[#This Row],[Date]]),Log_2018[[#This Row],[Split_apply]])) - SUM($O585:P585)</f>
        <v>0</v>
      </c>
      <c r="R585" s="52">
        <f ca="1">Log_2018[[#This Row],[Amount]]/Log_2018[[#This Row],[Split_raw]]*MAX(0,MIN(_xlfn.DAYS(EDATE(R$1,1),Log_2018[[#This Row],[Date]]),Log_2018[[#This Row],[Split_apply]])) - SUM($O585:Q585)</f>
        <v>-1.1533333333333333</v>
      </c>
      <c r="S585" s="52">
        <f ca="1">Log_2018[[#This Row],[Amount]]/Log_2018[[#This Row],[Split_raw]]*MAX(0,MIN(_xlfn.DAYS(EDATE(S$1,1),Log_2018[[#This Row],[Date]]),Log_2018[[#This Row],[Split_apply]])) - SUM($O585:R585)</f>
        <v>-7.496666666666667</v>
      </c>
      <c r="T585" s="52">
        <f ca="1">Log_2018[[#This Row],[Amount]]/Log_2018[[#This Row],[Split_raw]]*MAX(0,MIN(_xlfn.DAYS(EDATE(T$1,1),Log_2018[[#This Row],[Date]]),Log_2018[[#This Row],[Split_apply]])) - SUM($O585:S585)</f>
        <v>0</v>
      </c>
      <c r="U585" s="52">
        <f ca="1">Log_2018[[#This Row],[Amount]]/Log_2018[[#This Row],[Split_raw]]*MAX(0,MIN(_xlfn.DAYS(EDATE(U$1,1),Log_2018[[#This Row],[Date]]),Log_2018[[#This Row],[Split_apply]])) - SUM($O585:T585)</f>
        <v>0</v>
      </c>
      <c r="V585" s="52">
        <f ca="1">Log_2018[[#This Row],[Amount]]/Log_2018[[#This Row],[Split_raw]]*MAX(0,MIN(_xlfn.DAYS(EDATE(V$1,1),Log_2018[[#This Row],[Date]]),Log_2018[[#This Row],[Split_apply]])) - SUM($O585:U585)</f>
        <v>0</v>
      </c>
      <c r="W585" s="52">
        <f ca="1">Log_2018[[#This Row],[Amount]]/Log_2018[[#This Row],[Split_raw]]*MAX(0,MIN(_xlfn.DAYS(EDATE(W$1,1),Log_2018[[#This Row],[Date]]),Log_2018[[#This Row],[Split_apply]])) - SUM($O585:V585)</f>
        <v>0</v>
      </c>
      <c r="X585" s="52">
        <f ca="1">Log_2018[[#This Row],[Amount]]/Log_2018[[#This Row],[Split_raw]]*MAX(0,MIN(_xlfn.DAYS(EDATE(X$1,1),Log_2018[[#This Row],[Date]]),Log_2018[[#This Row],[Split_apply]])) - SUM($O585:W585)</f>
        <v>0</v>
      </c>
      <c r="Y585" s="52">
        <f ca="1">Log_2018[[#This Row],[Amount]]/Log_2018[[#This Row],[Split_raw]]*MAX(0,MIN(_xlfn.DAYS(EDATE(Y$1,1),Log_2018[[#This Row],[Date]]),Log_2018[[#This Row],[Split_apply]])) - SUM($O585:X585)</f>
        <v>0</v>
      </c>
      <c r="Z585" s="52">
        <f ca="1">Log_2018[[#This Row],[Amount]]/Log_2018[[#This Row],[Split_raw]]*MAX(0,MIN(_xlfn.DAYS(EDATE(Z$1,1),Log_2018[[#This Row],[Date]]),Log_2018[[#This Row],[Split_apply]])) - SUM($O585:Y585)</f>
        <v>0</v>
      </c>
      <c r="AA585" s="52">
        <f ca="1">Log_2018[[#This Row],[Amount]]/Log_2018[[#This Row],[Split_raw]]*MAX(0,MIN(_xlfn.DAYS(EDATE(AA$1,1),Log_2018[[#This Row],[Date]]),Log_2018[[#This Row],[Split_apply]])) - SUM($O585:Z585)</f>
        <v>0</v>
      </c>
      <c r="AB585" s="54">
        <f ca="1">Log_2018[[#This Row],[Amount]]-SUM(O585:AA585)</f>
        <v>0</v>
      </c>
      <c r="AC585" s="7">
        <f ca="1">MAX(0,Log_2018[[#This Row],[Split_apply]] - (EDATE(AA$1,1)-Log_2018[[#This Row],[Date]]))</f>
        <v>0</v>
      </c>
    </row>
    <row r="586" spans="1:29" hidden="1" x14ac:dyDescent="0.25">
      <c r="A586" s="115"/>
      <c r="B586" t="s">
        <v>6</v>
      </c>
      <c r="D586" s="39">
        <v>43186</v>
      </c>
      <c r="F586" t="s">
        <v>209</v>
      </c>
      <c r="G586" t="s">
        <v>210</v>
      </c>
      <c r="H586" s="3">
        <v>-43.19</v>
      </c>
      <c r="I586" s="36">
        <f>IF(Log_2018[[#This Row],[My Category]]="NONTRACKED",0,Log_2018[[#This Row],[Raw Amount]])</f>
        <v>-43.19</v>
      </c>
      <c r="J586" s="17">
        <f>ABS(Log_2018[[#This Row],[Amount]])</f>
        <v>43.19</v>
      </c>
      <c r="K586" s="66">
        <v>1</v>
      </c>
      <c r="L586" s="66">
        <f ca="1">IF(Log_2018[[#This Row],[Date]]&lt;=TODAY(), MIN(Log_2018[[#This Row],[Split_raw]], TODAY()-Log_2018[[#This Row],[Date]]+1), 0)</f>
        <v>1</v>
      </c>
      <c r="M586" t="s">
        <v>145</v>
      </c>
      <c r="N586" t="s">
        <v>158</v>
      </c>
      <c r="O586" s="50">
        <v>0</v>
      </c>
      <c r="P586" s="52">
        <f ca="1">Log_2018[[#This Row],[Amount]]/Log_2018[[#This Row],[Split_raw]]*MAX(0,MIN(_xlfn.DAYS(EDATE(P$1,1),Log_2018[[#This Row],[Date]]),Log_2018[[#This Row],[Split_apply]])) - SUM($O586:O586)</f>
        <v>0</v>
      </c>
      <c r="Q586" s="52">
        <f ca="1">Log_2018[[#This Row],[Amount]]/Log_2018[[#This Row],[Split_raw]]*MAX(0,MIN(_xlfn.DAYS(EDATE(Q$1,1),Log_2018[[#This Row],[Date]]),Log_2018[[#This Row],[Split_apply]])) - SUM($O586:P586)</f>
        <v>0</v>
      </c>
      <c r="R586" s="52">
        <f ca="1">Log_2018[[#This Row],[Amount]]/Log_2018[[#This Row],[Split_raw]]*MAX(0,MIN(_xlfn.DAYS(EDATE(R$1,1),Log_2018[[#This Row],[Date]]),Log_2018[[#This Row],[Split_apply]])) - SUM($O586:Q586)</f>
        <v>-43.19</v>
      </c>
      <c r="S586" s="52">
        <f ca="1">Log_2018[[#This Row],[Amount]]/Log_2018[[#This Row],[Split_raw]]*MAX(0,MIN(_xlfn.DAYS(EDATE(S$1,1),Log_2018[[#This Row],[Date]]),Log_2018[[#This Row],[Split_apply]])) - SUM($O586:R586)</f>
        <v>0</v>
      </c>
      <c r="T586" s="52">
        <f ca="1">Log_2018[[#This Row],[Amount]]/Log_2018[[#This Row],[Split_raw]]*MAX(0,MIN(_xlfn.DAYS(EDATE(T$1,1),Log_2018[[#This Row],[Date]]),Log_2018[[#This Row],[Split_apply]])) - SUM($O586:S586)</f>
        <v>0</v>
      </c>
      <c r="U586" s="52">
        <f ca="1">Log_2018[[#This Row],[Amount]]/Log_2018[[#This Row],[Split_raw]]*MAX(0,MIN(_xlfn.DAYS(EDATE(U$1,1),Log_2018[[#This Row],[Date]]),Log_2018[[#This Row],[Split_apply]])) - SUM($O586:T586)</f>
        <v>0</v>
      </c>
      <c r="V586" s="52">
        <f ca="1">Log_2018[[#This Row],[Amount]]/Log_2018[[#This Row],[Split_raw]]*MAX(0,MIN(_xlfn.DAYS(EDATE(V$1,1),Log_2018[[#This Row],[Date]]),Log_2018[[#This Row],[Split_apply]])) - SUM($O586:U586)</f>
        <v>0</v>
      </c>
      <c r="W586" s="52">
        <f ca="1">Log_2018[[#This Row],[Amount]]/Log_2018[[#This Row],[Split_raw]]*MAX(0,MIN(_xlfn.DAYS(EDATE(W$1,1),Log_2018[[#This Row],[Date]]),Log_2018[[#This Row],[Split_apply]])) - SUM($O586:V586)</f>
        <v>0</v>
      </c>
      <c r="X586" s="52">
        <f ca="1">Log_2018[[#This Row],[Amount]]/Log_2018[[#This Row],[Split_raw]]*MAX(0,MIN(_xlfn.DAYS(EDATE(X$1,1),Log_2018[[#This Row],[Date]]),Log_2018[[#This Row],[Split_apply]])) - SUM($O586:W586)</f>
        <v>0</v>
      </c>
      <c r="Y586" s="52">
        <f ca="1">Log_2018[[#This Row],[Amount]]/Log_2018[[#This Row],[Split_raw]]*MAX(0,MIN(_xlfn.DAYS(EDATE(Y$1,1),Log_2018[[#This Row],[Date]]),Log_2018[[#This Row],[Split_apply]])) - SUM($O586:X586)</f>
        <v>0</v>
      </c>
      <c r="Z586" s="52">
        <f ca="1">Log_2018[[#This Row],[Amount]]/Log_2018[[#This Row],[Split_raw]]*MAX(0,MIN(_xlfn.DAYS(EDATE(Z$1,1),Log_2018[[#This Row],[Date]]),Log_2018[[#This Row],[Split_apply]])) - SUM($O586:Y586)</f>
        <v>0</v>
      </c>
      <c r="AA586" s="52">
        <f ca="1">Log_2018[[#This Row],[Amount]]/Log_2018[[#This Row],[Split_raw]]*MAX(0,MIN(_xlfn.DAYS(EDATE(AA$1,1),Log_2018[[#This Row],[Date]]),Log_2018[[#This Row],[Split_apply]])) - SUM($O586:Z586)</f>
        <v>0</v>
      </c>
      <c r="AB586" s="54">
        <f ca="1">Log_2018[[#This Row],[Amount]]-SUM(O586:AA586)</f>
        <v>0</v>
      </c>
      <c r="AC586" s="7">
        <f ca="1">MAX(0,Log_2018[[#This Row],[Split_apply]] - (EDATE(AA$1,1)-Log_2018[[#This Row],[Date]]))</f>
        <v>0</v>
      </c>
    </row>
    <row r="587" spans="1:29" hidden="1" x14ac:dyDescent="0.25">
      <c r="A587" s="115"/>
      <c r="B587" t="s">
        <v>6</v>
      </c>
      <c r="D587" s="39">
        <v>43186</v>
      </c>
      <c r="F587" t="s">
        <v>211</v>
      </c>
      <c r="G587" t="s">
        <v>210</v>
      </c>
      <c r="H587" s="3">
        <v>-264.99</v>
      </c>
      <c r="I587" s="36">
        <f>IF(Log_2018[[#This Row],[My Category]]="NONTRACKED",0,Log_2018[[#This Row],[Raw Amount]])</f>
        <v>-264.99</v>
      </c>
      <c r="J587" s="17">
        <f>ABS(Log_2018[[#This Row],[Amount]])</f>
        <v>264.99</v>
      </c>
      <c r="K587" s="66">
        <v>1</v>
      </c>
      <c r="L587" s="66">
        <f ca="1">IF(Log_2018[[#This Row],[Date]]&lt;=TODAY(), MIN(Log_2018[[#This Row],[Split_raw]], TODAY()-Log_2018[[#This Row],[Date]]+1), 0)</f>
        <v>1</v>
      </c>
      <c r="M587" t="s">
        <v>145</v>
      </c>
      <c r="N587" t="s">
        <v>158</v>
      </c>
      <c r="O587" s="50">
        <v>0</v>
      </c>
      <c r="P587" s="52">
        <f ca="1">Log_2018[[#This Row],[Amount]]/Log_2018[[#This Row],[Split_raw]]*MAX(0,MIN(_xlfn.DAYS(EDATE(P$1,1),Log_2018[[#This Row],[Date]]),Log_2018[[#This Row],[Split_apply]])) - SUM($O587:O587)</f>
        <v>0</v>
      </c>
      <c r="Q587" s="52">
        <f ca="1">Log_2018[[#This Row],[Amount]]/Log_2018[[#This Row],[Split_raw]]*MAX(0,MIN(_xlfn.DAYS(EDATE(Q$1,1),Log_2018[[#This Row],[Date]]),Log_2018[[#This Row],[Split_apply]])) - SUM($O587:P587)</f>
        <v>0</v>
      </c>
      <c r="R587" s="52">
        <f ca="1">Log_2018[[#This Row],[Amount]]/Log_2018[[#This Row],[Split_raw]]*MAX(0,MIN(_xlfn.DAYS(EDATE(R$1,1),Log_2018[[#This Row],[Date]]),Log_2018[[#This Row],[Split_apply]])) - SUM($O587:Q587)</f>
        <v>-264.99</v>
      </c>
      <c r="S587" s="52">
        <f ca="1">Log_2018[[#This Row],[Amount]]/Log_2018[[#This Row],[Split_raw]]*MAX(0,MIN(_xlfn.DAYS(EDATE(S$1,1),Log_2018[[#This Row],[Date]]),Log_2018[[#This Row],[Split_apply]])) - SUM($O587:R587)</f>
        <v>0</v>
      </c>
      <c r="T587" s="52">
        <f ca="1">Log_2018[[#This Row],[Amount]]/Log_2018[[#This Row],[Split_raw]]*MAX(0,MIN(_xlfn.DAYS(EDATE(T$1,1),Log_2018[[#This Row],[Date]]),Log_2018[[#This Row],[Split_apply]])) - SUM($O587:S587)</f>
        <v>0</v>
      </c>
      <c r="U587" s="52">
        <f ca="1">Log_2018[[#This Row],[Amount]]/Log_2018[[#This Row],[Split_raw]]*MAX(0,MIN(_xlfn.DAYS(EDATE(U$1,1),Log_2018[[#This Row],[Date]]),Log_2018[[#This Row],[Split_apply]])) - SUM($O587:T587)</f>
        <v>0</v>
      </c>
      <c r="V587" s="52">
        <f ca="1">Log_2018[[#This Row],[Amount]]/Log_2018[[#This Row],[Split_raw]]*MAX(0,MIN(_xlfn.DAYS(EDATE(V$1,1),Log_2018[[#This Row],[Date]]),Log_2018[[#This Row],[Split_apply]])) - SUM($O587:U587)</f>
        <v>0</v>
      </c>
      <c r="W587" s="52">
        <f ca="1">Log_2018[[#This Row],[Amount]]/Log_2018[[#This Row],[Split_raw]]*MAX(0,MIN(_xlfn.DAYS(EDATE(W$1,1),Log_2018[[#This Row],[Date]]),Log_2018[[#This Row],[Split_apply]])) - SUM($O587:V587)</f>
        <v>0</v>
      </c>
      <c r="X587" s="52">
        <f ca="1">Log_2018[[#This Row],[Amount]]/Log_2018[[#This Row],[Split_raw]]*MAX(0,MIN(_xlfn.DAYS(EDATE(X$1,1),Log_2018[[#This Row],[Date]]),Log_2018[[#This Row],[Split_apply]])) - SUM($O587:W587)</f>
        <v>0</v>
      </c>
      <c r="Y587" s="52">
        <f ca="1">Log_2018[[#This Row],[Amount]]/Log_2018[[#This Row],[Split_raw]]*MAX(0,MIN(_xlfn.DAYS(EDATE(Y$1,1),Log_2018[[#This Row],[Date]]),Log_2018[[#This Row],[Split_apply]])) - SUM($O587:X587)</f>
        <v>0</v>
      </c>
      <c r="Z587" s="52">
        <f ca="1">Log_2018[[#This Row],[Amount]]/Log_2018[[#This Row],[Split_raw]]*MAX(0,MIN(_xlfn.DAYS(EDATE(Z$1,1),Log_2018[[#This Row],[Date]]),Log_2018[[#This Row],[Split_apply]])) - SUM($O587:Y587)</f>
        <v>0</v>
      </c>
      <c r="AA587" s="52">
        <f ca="1">Log_2018[[#This Row],[Amount]]/Log_2018[[#This Row],[Split_raw]]*MAX(0,MIN(_xlfn.DAYS(EDATE(AA$1,1),Log_2018[[#This Row],[Date]]),Log_2018[[#This Row],[Split_apply]])) - SUM($O587:Z587)</f>
        <v>0</v>
      </c>
      <c r="AB587" s="54">
        <f ca="1">Log_2018[[#This Row],[Amount]]-SUM(O587:AA587)</f>
        <v>0</v>
      </c>
      <c r="AC587" s="7">
        <f ca="1">MAX(0,Log_2018[[#This Row],[Split_apply]] - (EDATE(AA$1,1)-Log_2018[[#This Row],[Date]]))</f>
        <v>0</v>
      </c>
    </row>
    <row r="588" spans="1:29" hidden="1" x14ac:dyDescent="0.25">
      <c r="A588" s="115"/>
      <c r="B588" t="s">
        <v>6</v>
      </c>
      <c r="D588" s="39">
        <v>43185</v>
      </c>
      <c r="E588" t="s">
        <v>1036</v>
      </c>
      <c r="F588" t="s">
        <v>222</v>
      </c>
      <c r="G588" t="s">
        <v>221</v>
      </c>
      <c r="H588" s="3">
        <f>--4505.16</f>
        <v>4505.16</v>
      </c>
      <c r="I588" s="36">
        <f>IF(Log_2018[[#This Row],[My Category]]="NONTRACKED",0,Log_2018[[#This Row],[Raw Amount]])</f>
        <v>4505.16</v>
      </c>
      <c r="J588" s="17">
        <f>ABS(Log_2018[[#This Row],[Amount]])</f>
        <v>4505.16</v>
      </c>
      <c r="K588" s="66">
        <v>1</v>
      </c>
      <c r="L588" s="66">
        <f ca="1">IF(Log_2018[[#This Row],[Date]]&lt;=TODAY(), MIN(Log_2018[[#This Row],[Split_raw]], TODAY()-Log_2018[[#This Row],[Date]]+1), 0)</f>
        <v>1</v>
      </c>
      <c r="M588" t="s">
        <v>144</v>
      </c>
      <c r="N588" t="s">
        <v>160</v>
      </c>
      <c r="O588" s="50">
        <v>0</v>
      </c>
      <c r="P588" s="52">
        <f ca="1">Log_2018[[#This Row],[Amount]]/Log_2018[[#This Row],[Split_raw]]*MAX(0,MIN(_xlfn.DAYS(EDATE(P$1,1),Log_2018[[#This Row],[Date]]),Log_2018[[#This Row],[Split_apply]])) - SUM($O588:O588)</f>
        <v>0</v>
      </c>
      <c r="Q588" s="52">
        <f ca="1">Log_2018[[#This Row],[Amount]]/Log_2018[[#This Row],[Split_raw]]*MAX(0,MIN(_xlfn.DAYS(EDATE(Q$1,1),Log_2018[[#This Row],[Date]]),Log_2018[[#This Row],[Split_apply]])) - SUM($O588:P588)</f>
        <v>0</v>
      </c>
      <c r="R588" s="52">
        <f ca="1">Log_2018[[#This Row],[Amount]]/Log_2018[[#This Row],[Split_raw]]*MAX(0,MIN(_xlfn.DAYS(EDATE(R$1,1),Log_2018[[#This Row],[Date]]),Log_2018[[#This Row],[Split_apply]])) - SUM($O588:Q588)</f>
        <v>4505.16</v>
      </c>
      <c r="S588" s="52">
        <f ca="1">Log_2018[[#This Row],[Amount]]/Log_2018[[#This Row],[Split_raw]]*MAX(0,MIN(_xlfn.DAYS(EDATE(S$1,1),Log_2018[[#This Row],[Date]]),Log_2018[[#This Row],[Split_apply]])) - SUM($O588:R588)</f>
        <v>0</v>
      </c>
      <c r="T588" s="52">
        <f ca="1">Log_2018[[#This Row],[Amount]]/Log_2018[[#This Row],[Split_raw]]*MAX(0,MIN(_xlfn.DAYS(EDATE(T$1,1),Log_2018[[#This Row],[Date]]),Log_2018[[#This Row],[Split_apply]])) - SUM($O588:S588)</f>
        <v>0</v>
      </c>
      <c r="U588" s="52">
        <f ca="1">Log_2018[[#This Row],[Amount]]/Log_2018[[#This Row],[Split_raw]]*MAX(0,MIN(_xlfn.DAYS(EDATE(U$1,1),Log_2018[[#This Row],[Date]]),Log_2018[[#This Row],[Split_apply]])) - SUM($O588:T588)</f>
        <v>0</v>
      </c>
      <c r="V588" s="52">
        <f ca="1">Log_2018[[#This Row],[Amount]]/Log_2018[[#This Row],[Split_raw]]*MAX(0,MIN(_xlfn.DAYS(EDATE(V$1,1),Log_2018[[#This Row],[Date]]),Log_2018[[#This Row],[Split_apply]])) - SUM($O588:U588)</f>
        <v>0</v>
      </c>
      <c r="W588" s="52">
        <f ca="1">Log_2018[[#This Row],[Amount]]/Log_2018[[#This Row],[Split_raw]]*MAX(0,MIN(_xlfn.DAYS(EDATE(W$1,1),Log_2018[[#This Row],[Date]]),Log_2018[[#This Row],[Split_apply]])) - SUM($O588:V588)</f>
        <v>0</v>
      </c>
      <c r="X588" s="52">
        <f ca="1">Log_2018[[#This Row],[Amount]]/Log_2018[[#This Row],[Split_raw]]*MAX(0,MIN(_xlfn.DAYS(EDATE(X$1,1),Log_2018[[#This Row],[Date]]),Log_2018[[#This Row],[Split_apply]])) - SUM($O588:W588)</f>
        <v>0</v>
      </c>
      <c r="Y588" s="52">
        <f ca="1">Log_2018[[#This Row],[Amount]]/Log_2018[[#This Row],[Split_raw]]*MAX(0,MIN(_xlfn.DAYS(EDATE(Y$1,1),Log_2018[[#This Row],[Date]]),Log_2018[[#This Row],[Split_apply]])) - SUM($O588:X588)</f>
        <v>0</v>
      </c>
      <c r="Z588" s="52">
        <f ca="1">Log_2018[[#This Row],[Amount]]/Log_2018[[#This Row],[Split_raw]]*MAX(0,MIN(_xlfn.DAYS(EDATE(Z$1,1),Log_2018[[#This Row],[Date]]),Log_2018[[#This Row],[Split_apply]])) - SUM($O588:Y588)</f>
        <v>0</v>
      </c>
      <c r="AA588" s="52">
        <f ca="1">Log_2018[[#This Row],[Amount]]/Log_2018[[#This Row],[Split_raw]]*MAX(0,MIN(_xlfn.DAYS(EDATE(AA$1,1),Log_2018[[#This Row],[Date]]),Log_2018[[#This Row],[Split_apply]])) - SUM($O588:Z588)</f>
        <v>0</v>
      </c>
      <c r="AB588" s="54">
        <f ca="1">Log_2018[[#This Row],[Amount]]-SUM(O588:AA588)</f>
        <v>0</v>
      </c>
      <c r="AC588" s="7">
        <f ca="1">MAX(0,Log_2018[[#This Row],[Split_apply]] - (EDATE(AA$1,1)-Log_2018[[#This Row],[Date]]))</f>
        <v>0</v>
      </c>
    </row>
    <row r="589" spans="1:29" hidden="1" x14ac:dyDescent="0.25">
      <c r="A589" s="115"/>
      <c r="B589" t="s">
        <v>6</v>
      </c>
      <c r="D589" s="39">
        <v>43185</v>
      </c>
      <c r="F589" t="s">
        <v>59</v>
      </c>
      <c r="G589" t="s">
        <v>25</v>
      </c>
      <c r="H589" s="3">
        <v>-7.94</v>
      </c>
      <c r="I589" s="36">
        <f>IF(Log_2018[[#This Row],[My Category]]="NONTRACKED",0,Log_2018[[#This Row],[Raw Amount]])</f>
        <v>-7.94</v>
      </c>
      <c r="J589" s="17">
        <f>ABS(Log_2018[[#This Row],[Amount]])</f>
        <v>7.94</v>
      </c>
      <c r="K589" s="66">
        <v>1</v>
      </c>
      <c r="L589" s="66">
        <f ca="1">IF(Log_2018[[#This Row],[Date]]&lt;=TODAY(), MIN(Log_2018[[#This Row],[Split_raw]], TODAY()-Log_2018[[#This Row],[Date]]+1), 0)</f>
        <v>1</v>
      </c>
      <c r="M589" t="s">
        <v>35</v>
      </c>
      <c r="N589" t="s">
        <v>158</v>
      </c>
      <c r="O589" s="50">
        <v>0</v>
      </c>
      <c r="P589" s="52">
        <f ca="1">Log_2018[[#This Row],[Amount]]/Log_2018[[#This Row],[Split_raw]]*MAX(0,MIN(_xlfn.DAYS(EDATE(P$1,1),Log_2018[[#This Row],[Date]]),Log_2018[[#This Row],[Split_apply]])) - SUM($O589:O589)</f>
        <v>0</v>
      </c>
      <c r="Q589" s="52">
        <f ca="1">Log_2018[[#This Row],[Amount]]/Log_2018[[#This Row],[Split_raw]]*MAX(0,MIN(_xlfn.DAYS(EDATE(Q$1,1),Log_2018[[#This Row],[Date]]),Log_2018[[#This Row],[Split_apply]])) - SUM($O589:P589)</f>
        <v>0</v>
      </c>
      <c r="R589" s="52">
        <f ca="1">Log_2018[[#This Row],[Amount]]/Log_2018[[#This Row],[Split_raw]]*MAX(0,MIN(_xlfn.DAYS(EDATE(R$1,1),Log_2018[[#This Row],[Date]]),Log_2018[[#This Row],[Split_apply]])) - SUM($O589:Q589)</f>
        <v>-7.94</v>
      </c>
      <c r="S589" s="52">
        <f ca="1">Log_2018[[#This Row],[Amount]]/Log_2018[[#This Row],[Split_raw]]*MAX(0,MIN(_xlfn.DAYS(EDATE(S$1,1),Log_2018[[#This Row],[Date]]),Log_2018[[#This Row],[Split_apply]])) - SUM($O589:R589)</f>
        <v>0</v>
      </c>
      <c r="T589" s="52">
        <f ca="1">Log_2018[[#This Row],[Amount]]/Log_2018[[#This Row],[Split_raw]]*MAX(0,MIN(_xlfn.DAYS(EDATE(T$1,1),Log_2018[[#This Row],[Date]]),Log_2018[[#This Row],[Split_apply]])) - SUM($O589:S589)</f>
        <v>0</v>
      </c>
      <c r="U589" s="52">
        <f ca="1">Log_2018[[#This Row],[Amount]]/Log_2018[[#This Row],[Split_raw]]*MAX(0,MIN(_xlfn.DAYS(EDATE(U$1,1),Log_2018[[#This Row],[Date]]),Log_2018[[#This Row],[Split_apply]])) - SUM($O589:T589)</f>
        <v>0</v>
      </c>
      <c r="V589" s="52">
        <f ca="1">Log_2018[[#This Row],[Amount]]/Log_2018[[#This Row],[Split_raw]]*MAX(0,MIN(_xlfn.DAYS(EDATE(V$1,1),Log_2018[[#This Row],[Date]]),Log_2018[[#This Row],[Split_apply]])) - SUM($O589:U589)</f>
        <v>0</v>
      </c>
      <c r="W589" s="52">
        <f ca="1">Log_2018[[#This Row],[Amount]]/Log_2018[[#This Row],[Split_raw]]*MAX(0,MIN(_xlfn.DAYS(EDATE(W$1,1),Log_2018[[#This Row],[Date]]),Log_2018[[#This Row],[Split_apply]])) - SUM($O589:V589)</f>
        <v>0</v>
      </c>
      <c r="X589" s="52">
        <f ca="1">Log_2018[[#This Row],[Amount]]/Log_2018[[#This Row],[Split_raw]]*MAX(0,MIN(_xlfn.DAYS(EDATE(X$1,1),Log_2018[[#This Row],[Date]]),Log_2018[[#This Row],[Split_apply]])) - SUM($O589:W589)</f>
        <v>0</v>
      </c>
      <c r="Y589" s="52">
        <f ca="1">Log_2018[[#This Row],[Amount]]/Log_2018[[#This Row],[Split_raw]]*MAX(0,MIN(_xlfn.DAYS(EDATE(Y$1,1),Log_2018[[#This Row],[Date]]),Log_2018[[#This Row],[Split_apply]])) - SUM($O589:X589)</f>
        <v>0</v>
      </c>
      <c r="Z589" s="52">
        <f ca="1">Log_2018[[#This Row],[Amount]]/Log_2018[[#This Row],[Split_raw]]*MAX(0,MIN(_xlfn.DAYS(EDATE(Z$1,1),Log_2018[[#This Row],[Date]]),Log_2018[[#This Row],[Split_apply]])) - SUM($O589:Y589)</f>
        <v>0</v>
      </c>
      <c r="AA589" s="52">
        <f ca="1">Log_2018[[#This Row],[Amount]]/Log_2018[[#This Row],[Split_raw]]*MAX(0,MIN(_xlfn.DAYS(EDATE(AA$1,1),Log_2018[[#This Row],[Date]]),Log_2018[[#This Row],[Split_apply]])) - SUM($O589:Z589)</f>
        <v>0</v>
      </c>
      <c r="AB589" s="54">
        <f ca="1">Log_2018[[#This Row],[Amount]]-SUM(O589:AA589)</f>
        <v>0</v>
      </c>
      <c r="AC589" s="7">
        <f ca="1">MAX(0,Log_2018[[#This Row],[Split_apply]] - (EDATE(AA$1,1)-Log_2018[[#This Row],[Date]]))</f>
        <v>0</v>
      </c>
    </row>
    <row r="590" spans="1:29" hidden="1" x14ac:dyDescent="0.25">
      <c r="A590" s="115"/>
      <c r="B590" t="s">
        <v>6</v>
      </c>
      <c r="D590" s="39">
        <v>43185</v>
      </c>
      <c r="F590" t="s">
        <v>220</v>
      </c>
      <c r="G590" t="s">
        <v>221</v>
      </c>
      <c r="H590" s="3">
        <v>-0.55000000000000004</v>
      </c>
      <c r="I590" s="36">
        <f>IF(Log_2018[[#This Row],[My Category]]="NONTRACKED",0,Log_2018[[#This Row],[Raw Amount]])</f>
        <v>-0.55000000000000004</v>
      </c>
      <c r="J590" s="17">
        <f>ABS(Log_2018[[#This Row],[Amount]])</f>
        <v>0.55000000000000004</v>
      </c>
      <c r="K590" s="66">
        <v>1</v>
      </c>
      <c r="L590" s="66">
        <f ca="1">IF(Log_2018[[#This Row],[Date]]&lt;=TODAY(), MIN(Log_2018[[#This Row],[Split_raw]], TODAY()-Log_2018[[#This Row],[Date]]+1), 0)</f>
        <v>1</v>
      </c>
      <c r="M590" t="s">
        <v>144</v>
      </c>
      <c r="N590" t="s">
        <v>160</v>
      </c>
      <c r="O590" s="50">
        <v>0</v>
      </c>
      <c r="P590" s="52">
        <f ca="1">Log_2018[[#This Row],[Amount]]/Log_2018[[#This Row],[Split_raw]]*MAX(0,MIN(_xlfn.DAYS(EDATE(P$1,1),Log_2018[[#This Row],[Date]]),Log_2018[[#This Row],[Split_apply]])) - SUM($O590:O590)</f>
        <v>0</v>
      </c>
      <c r="Q590" s="52">
        <f ca="1">Log_2018[[#This Row],[Amount]]/Log_2018[[#This Row],[Split_raw]]*MAX(0,MIN(_xlfn.DAYS(EDATE(Q$1,1),Log_2018[[#This Row],[Date]]),Log_2018[[#This Row],[Split_apply]])) - SUM($O590:P590)</f>
        <v>0</v>
      </c>
      <c r="R590" s="52">
        <f ca="1">Log_2018[[#This Row],[Amount]]/Log_2018[[#This Row],[Split_raw]]*MAX(0,MIN(_xlfn.DAYS(EDATE(R$1,1),Log_2018[[#This Row],[Date]]),Log_2018[[#This Row],[Split_apply]])) - SUM($O590:Q590)</f>
        <v>-0.55000000000000004</v>
      </c>
      <c r="S590" s="52">
        <f ca="1">Log_2018[[#This Row],[Amount]]/Log_2018[[#This Row],[Split_raw]]*MAX(0,MIN(_xlfn.DAYS(EDATE(S$1,1),Log_2018[[#This Row],[Date]]),Log_2018[[#This Row],[Split_apply]])) - SUM($O590:R590)</f>
        <v>0</v>
      </c>
      <c r="T590" s="52">
        <f ca="1">Log_2018[[#This Row],[Amount]]/Log_2018[[#This Row],[Split_raw]]*MAX(0,MIN(_xlfn.DAYS(EDATE(T$1,1),Log_2018[[#This Row],[Date]]),Log_2018[[#This Row],[Split_apply]])) - SUM($O590:S590)</f>
        <v>0</v>
      </c>
      <c r="U590" s="52">
        <f ca="1">Log_2018[[#This Row],[Amount]]/Log_2018[[#This Row],[Split_raw]]*MAX(0,MIN(_xlfn.DAYS(EDATE(U$1,1),Log_2018[[#This Row],[Date]]),Log_2018[[#This Row],[Split_apply]])) - SUM($O590:T590)</f>
        <v>0</v>
      </c>
      <c r="V590" s="52">
        <f ca="1">Log_2018[[#This Row],[Amount]]/Log_2018[[#This Row],[Split_raw]]*MAX(0,MIN(_xlfn.DAYS(EDATE(V$1,1),Log_2018[[#This Row],[Date]]),Log_2018[[#This Row],[Split_apply]])) - SUM($O590:U590)</f>
        <v>0</v>
      </c>
      <c r="W590" s="52">
        <f ca="1">Log_2018[[#This Row],[Amount]]/Log_2018[[#This Row],[Split_raw]]*MAX(0,MIN(_xlfn.DAYS(EDATE(W$1,1),Log_2018[[#This Row],[Date]]),Log_2018[[#This Row],[Split_apply]])) - SUM($O590:V590)</f>
        <v>0</v>
      </c>
      <c r="X590" s="52">
        <f ca="1">Log_2018[[#This Row],[Amount]]/Log_2018[[#This Row],[Split_raw]]*MAX(0,MIN(_xlfn.DAYS(EDATE(X$1,1),Log_2018[[#This Row],[Date]]),Log_2018[[#This Row],[Split_apply]])) - SUM($O590:W590)</f>
        <v>0</v>
      </c>
      <c r="Y590" s="52">
        <f ca="1">Log_2018[[#This Row],[Amount]]/Log_2018[[#This Row],[Split_raw]]*MAX(0,MIN(_xlfn.DAYS(EDATE(Y$1,1),Log_2018[[#This Row],[Date]]),Log_2018[[#This Row],[Split_apply]])) - SUM($O590:X590)</f>
        <v>0</v>
      </c>
      <c r="Z590" s="52">
        <f ca="1">Log_2018[[#This Row],[Amount]]/Log_2018[[#This Row],[Split_raw]]*MAX(0,MIN(_xlfn.DAYS(EDATE(Z$1,1),Log_2018[[#This Row],[Date]]),Log_2018[[#This Row],[Split_apply]])) - SUM($O590:Y590)</f>
        <v>0</v>
      </c>
      <c r="AA590" s="52">
        <f ca="1">Log_2018[[#This Row],[Amount]]/Log_2018[[#This Row],[Split_raw]]*MAX(0,MIN(_xlfn.DAYS(EDATE(AA$1,1),Log_2018[[#This Row],[Date]]),Log_2018[[#This Row],[Split_apply]])) - SUM($O590:Z590)</f>
        <v>0</v>
      </c>
      <c r="AB590" s="54">
        <f ca="1">Log_2018[[#This Row],[Amount]]-SUM(O590:AA590)</f>
        <v>0</v>
      </c>
      <c r="AC590" s="7">
        <f ca="1">MAX(0,Log_2018[[#This Row],[Split_apply]] - (EDATE(AA$1,1)-Log_2018[[#This Row],[Date]]))</f>
        <v>0</v>
      </c>
    </row>
    <row r="591" spans="1:29" hidden="1" x14ac:dyDescent="0.25">
      <c r="A591" s="115"/>
      <c r="B591" t="s">
        <v>6</v>
      </c>
      <c r="D591" s="39">
        <v>43184</v>
      </c>
      <c r="F591" t="s">
        <v>215</v>
      </c>
      <c r="G591" t="s">
        <v>25</v>
      </c>
      <c r="H591" s="3">
        <v>-16</v>
      </c>
      <c r="I591" s="36">
        <f>IF(Log_2018[[#This Row],[My Category]]="NONTRACKED",0,Log_2018[[#This Row],[Raw Amount]])</f>
        <v>-16</v>
      </c>
      <c r="J591" s="17">
        <f>ABS(Log_2018[[#This Row],[Amount]])</f>
        <v>16</v>
      </c>
      <c r="K591" s="66">
        <v>1</v>
      </c>
      <c r="L591" s="66">
        <f ca="1">IF(Log_2018[[#This Row],[Date]]&lt;=TODAY(), MIN(Log_2018[[#This Row],[Split_raw]], TODAY()-Log_2018[[#This Row],[Date]]+1), 0)</f>
        <v>1</v>
      </c>
      <c r="M591" t="s">
        <v>40</v>
      </c>
      <c r="N591" t="s">
        <v>158</v>
      </c>
      <c r="O591" s="50">
        <v>0</v>
      </c>
      <c r="P591" s="52">
        <f ca="1">Log_2018[[#This Row],[Amount]]/Log_2018[[#This Row],[Split_raw]]*MAX(0,MIN(_xlfn.DAYS(EDATE(P$1,1),Log_2018[[#This Row],[Date]]),Log_2018[[#This Row],[Split_apply]])) - SUM($O591:O591)</f>
        <v>0</v>
      </c>
      <c r="Q591" s="52">
        <f ca="1">Log_2018[[#This Row],[Amount]]/Log_2018[[#This Row],[Split_raw]]*MAX(0,MIN(_xlfn.DAYS(EDATE(Q$1,1),Log_2018[[#This Row],[Date]]),Log_2018[[#This Row],[Split_apply]])) - SUM($O591:P591)</f>
        <v>0</v>
      </c>
      <c r="R591" s="52">
        <f ca="1">Log_2018[[#This Row],[Amount]]/Log_2018[[#This Row],[Split_raw]]*MAX(0,MIN(_xlfn.DAYS(EDATE(R$1,1),Log_2018[[#This Row],[Date]]),Log_2018[[#This Row],[Split_apply]])) - SUM($O591:Q591)</f>
        <v>-16</v>
      </c>
      <c r="S591" s="52">
        <f ca="1">Log_2018[[#This Row],[Amount]]/Log_2018[[#This Row],[Split_raw]]*MAX(0,MIN(_xlfn.DAYS(EDATE(S$1,1),Log_2018[[#This Row],[Date]]),Log_2018[[#This Row],[Split_apply]])) - SUM($O591:R591)</f>
        <v>0</v>
      </c>
      <c r="T591" s="52">
        <f ca="1">Log_2018[[#This Row],[Amount]]/Log_2018[[#This Row],[Split_raw]]*MAX(0,MIN(_xlfn.DAYS(EDATE(T$1,1),Log_2018[[#This Row],[Date]]),Log_2018[[#This Row],[Split_apply]])) - SUM($O591:S591)</f>
        <v>0</v>
      </c>
      <c r="U591" s="52">
        <f ca="1">Log_2018[[#This Row],[Amount]]/Log_2018[[#This Row],[Split_raw]]*MAX(0,MIN(_xlfn.DAYS(EDATE(U$1,1),Log_2018[[#This Row],[Date]]),Log_2018[[#This Row],[Split_apply]])) - SUM($O591:T591)</f>
        <v>0</v>
      </c>
      <c r="V591" s="52">
        <f ca="1">Log_2018[[#This Row],[Amount]]/Log_2018[[#This Row],[Split_raw]]*MAX(0,MIN(_xlfn.DAYS(EDATE(V$1,1),Log_2018[[#This Row],[Date]]),Log_2018[[#This Row],[Split_apply]])) - SUM($O591:U591)</f>
        <v>0</v>
      </c>
      <c r="W591" s="52">
        <f ca="1">Log_2018[[#This Row],[Amount]]/Log_2018[[#This Row],[Split_raw]]*MAX(0,MIN(_xlfn.DAYS(EDATE(W$1,1),Log_2018[[#This Row],[Date]]),Log_2018[[#This Row],[Split_apply]])) - SUM($O591:V591)</f>
        <v>0</v>
      </c>
      <c r="X591" s="52">
        <f ca="1">Log_2018[[#This Row],[Amount]]/Log_2018[[#This Row],[Split_raw]]*MAX(0,MIN(_xlfn.DAYS(EDATE(X$1,1),Log_2018[[#This Row],[Date]]),Log_2018[[#This Row],[Split_apply]])) - SUM($O591:W591)</f>
        <v>0</v>
      </c>
      <c r="Y591" s="52">
        <f ca="1">Log_2018[[#This Row],[Amount]]/Log_2018[[#This Row],[Split_raw]]*MAX(0,MIN(_xlfn.DAYS(EDATE(Y$1,1),Log_2018[[#This Row],[Date]]),Log_2018[[#This Row],[Split_apply]])) - SUM($O591:X591)</f>
        <v>0</v>
      </c>
      <c r="Z591" s="52">
        <f ca="1">Log_2018[[#This Row],[Amount]]/Log_2018[[#This Row],[Split_raw]]*MAX(0,MIN(_xlfn.DAYS(EDATE(Z$1,1),Log_2018[[#This Row],[Date]]),Log_2018[[#This Row],[Split_apply]])) - SUM($O591:Y591)</f>
        <v>0</v>
      </c>
      <c r="AA591" s="52">
        <f ca="1">Log_2018[[#This Row],[Amount]]/Log_2018[[#This Row],[Split_raw]]*MAX(0,MIN(_xlfn.DAYS(EDATE(AA$1,1),Log_2018[[#This Row],[Date]]),Log_2018[[#This Row],[Split_apply]])) - SUM($O591:Z591)</f>
        <v>0</v>
      </c>
      <c r="AB591" s="54">
        <f ca="1">Log_2018[[#This Row],[Amount]]-SUM(O591:AA591)</f>
        <v>0</v>
      </c>
      <c r="AC591" s="7">
        <f ca="1">MAX(0,Log_2018[[#This Row],[Split_apply]] - (EDATE(AA$1,1)-Log_2018[[#This Row],[Date]]))</f>
        <v>0</v>
      </c>
    </row>
    <row r="592" spans="1:29" hidden="1" x14ac:dyDescent="0.25">
      <c r="A592" s="115"/>
      <c r="B592" t="s">
        <v>6</v>
      </c>
      <c r="D592" s="39">
        <v>43184</v>
      </c>
      <c r="F592" t="s">
        <v>213</v>
      </c>
      <c r="G592" t="s">
        <v>214</v>
      </c>
      <c r="H592" s="3">
        <v>-21.14</v>
      </c>
      <c r="I592" s="36">
        <f>IF(Log_2018[[#This Row],[My Category]]="NONTRACKED",0,Log_2018[[#This Row],[Raw Amount]])</f>
        <v>-21.14</v>
      </c>
      <c r="J592" s="17">
        <f>ABS(Log_2018[[#This Row],[Amount]])</f>
        <v>21.14</v>
      </c>
      <c r="K592" s="66">
        <v>1</v>
      </c>
      <c r="L592" s="66">
        <f ca="1">IF(Log_2018[[#This Row],[Date]]&lt;=TODAY(), MIN(Log_2018[[#This Row],[Split_raw]], TODAY()-Log_2018[[#This Row],[Date]]+1), 0)</f>
        <v>1</v>
      </c>
      <c r="M592" t="s">
        <v>41</v>
      </c>
      <c r="N592" t="s">
        <v>158</v>
      </c>
      <c r="O592" s="50">
        <v>0</v>
      </c>
      <c r="P592" s="52">
        <f ca="1">Log_2018[[#This Row],[Amount]]/Log_2018[[#This Row],[Split_raw]]*MAX(0,MIN(_xlfn.DAYS(EDATE(P$1,1),Log_2018[[#This Row],[Date]]),Log_2018[[#This Row],[Split_apply]])) - SUM($O592:O592)</f>
        <v>0</v>
      </c>
      <c r="Q592" s="52">
        <f ca="1">Log_2018[[#This Row],[Amount]]/Log_2018[[#This Row],[Split_raw]]*MAX(0,MIN(_xlfn.DAYS(EDATE(Q$1,1),Log_2018[[#This Row],[Date]]),Log_2018[[#This Row],[Split_apply]])) - SUM($O592:P592)</f>
        <v>0</v>
      </c>
      <c r="R592" s="52">
        <f ca="1">Log_2018[[#This Row],[Amount]]/Log_2018[[#This Row],[Split_raw]]*MAX(0,MIN(_xlfn.DAYS(EDATE(R$1,1),Log_2018[[#This Row],[Date]]),Log_2018[[#This Row],[Split_apply]])) - SUM($O592:Q592)</f>
        <v>-21.14</v>
      </c>
      <c r="S592" s="52">
        <f ca="1">Log_2018[[#This Row],[Amount]]/Log_2018[[#This Row],[Split_raw]]*MAX(0,MIN(_xlfn.DAYS(EDATE(S$1,1),Log_2018[[#This Row],[Date]]),Log_2018[[#This Row],[Split_apply]])) - SUM($O592:R592)</f>
        <v>0</v>
      </c>
      <c r="T592" s="52">
        <f ca="1">Log_2018[[#This Row],[Amount]]/Log_2018[[#This Row],[Split_raw]]*MAX(0,MIN(_xlfn.DAYS(EDATE(T$1,1),Log_2018[[#This Row],[Date]]),Log_2018[[#This Row],[Split_apply]])) - SUM($O592:S592)</f>
        <v>0</v>
      </c>
      <c r="U592" s="52">
        <f ca="1">Log_2018[[#This Row],[Amount]]/Log_2018[[#This Row],[Split_raw]]*MAX(0,MIN(_xlfn.DAYS(EDATE(U$1,1),Log_2018[[#This Row],[Date]]),Log_2018[[#This Row],[Split_apply]])) - SUM($O592:T592)</f>
        <v>0</v>
      </c>
      <c r="V592" s="52">
        <f ca="1">Log_2018[[#This Row],[Amount]]/Log_2018[[#This Row],[Split_raw]]*MAX(0,MIN(_xlfn.DAYS(EDATE(V$1,1),Log_2018[[#This Row],[Date]]),Log_2018[[#This Row],[Split_apply]])) - SUM($O592:U592)</f>
        <v>0</v>
      </c>
      <c r="W592" s="52">
        <f ca="1">Log_2018[[#This Row],[Amount]]/Log_2018[[#This Row],[Split_raw]]*MAX(0,MIN(_xlfn.DAYS(EDATE(W$1,1),Log_2018[[#This Row],[Date]]),Log_2018[[#This Row],[Split_apply]])) - SUM($O592:V592)</f>
        <v>0</v>
      </c>
      <c r="X592" s="52">
        <f ca="1">Log_2018[[#This Row],[Amount]]/Log_2018[[#This Row],[Split_raw]]*MAX(0,MIN(_xlfn.DAYS(EDATE(X$1,1),Log_2018[[#This Row],[Date]]),Log_2018[[#This Row],[Split_apply]])) - SUM($O592:W592)</f>
        <v>0</v>
      </c>
      <c r="Y592" s="52">
        <f ca="1">Log_2018[[#This Row],[Amount]]/Log_2018[[#This Row],[Split_raw]]*MAX(0,MIN(_xlfn.DAYS(EDATE(Y$1,1),Log_2018[[#This Row],[Date]]),Log_2018[[#This Row],[Split_apply]])) - SUM($O592:X592)</f>
        <v>0</v>
      </c>
      <c r="Z592" s="52">
        <f ca="1">Log_2018[[#This Row],[Amount]]/Log_2018[[#This Row],[Split_raw]]*MAX(0,MIN(_xlfn.DAYS(EDATE(Z$1,1),Log_2018[[#This Row],[Date]]),Log_2018[[#This Row],[Split_apply]])) - SUM($O592:Y592)</f>
        <v>0</v>
      </c>
      <c r="AA592" s="52">
        <f ca="1">Log_2018[[#This Row],[Amount]]/Log_2018[[#This Row],[Split_raw]]*MAX(0,MIN(_xlfn.DAYS(EDATE(AA$1,1),Log_2018[[#This Row],[Date]]),Log_2018[[#This Row],[Split_apply]])) - SUM($O592:Z592)</f>
        <v>0</v>
      </c>
      <c r="AB592" s="54">
        <f ca="1">Log_2018[[#This Row],[Amount]]-SUM(O592:AA592)</f>
        <v>0</v>
      </c>
      <c r="AC592" s="7">
        <f ca="1">MAX(0,Log_2018[[#This Row],[Split_apply]] - (EDATE(AA$1,1)-Log_2018[[#This Row],[Date]]))</f>
        <v>0</v>
      </c>
    </row>
    <row r="593" spans="1:29" hidden="1" x14ac:dyDescent="0.25">
      <c r="A593" s="115"/>
      <c r="B593" t="s">
        <v>6</v>
      </c>
      <c r="D593" s="39">
        <v>43184</v>
      </c>
      <c r="F593" t="s">
        <v>212</v>
      </c>
      <c r="G593" t="s">
        <v>25</v>
      </c>
      <c r="H593" s="3">
        <v>-17.760000000000002</v>
      </c>
      <c r="I593" s="36">
        <f>IF(Log_2018[[#This Row],[My Category]]="NONTRACKED",0,Log_2018[[#This Row],[Raw Amount]])</f>
        <v>-17.760000000000002</v>
      </c>
      <c r="J593" s="17">
        <f>ABS(Log_2018[[#This Row],[Amount]])</f>
        <v>17.760000000000002</v>
      </c>
      <c r="K593" s="66">
        <v>1</v>
      </c>
      <c r="L593" s="66">
        <f ca="1">IF(Log_2018[[#This Row],[Date]]&lt;=TODAY(), MIN(Log_2018[[#This Row],[Split_raw]], TODAY()-Log_2018[[#This Row],[Date]]+1), 0)</f>
        <v>1</v>
      </c>
      <c r="M593" t="s">
        <v>35</v>
      </c>
      <c r="N593" t="s">
        <v>158</v>
      </c>
      <c r="O593" s="50">
        <v>0</v>
      </c>
      <c r="P593" s="52">
        <f ca="1">Log_2018[[#This Row],[Amount]]/Log_2018[[#This Row],[Split_raw]]*MAX(0,MIN(_xlfn.DAYS(EDATE(P$1,1),Log_2018[[#This Row],[Date]]),Log_2018[[#This Row],[Split_apply]])) - SUM($O593:O593)</f>
        <v>0</v>
      </c>
      <c r="Q593" s="52">
        <f ca="1">Log_2018[[#This Row],[Amount]]/Log_2018[[#This Row],[Split_raw]]*MAX(0,MIN(_xlfn.DAYS(EDATE(Q$1,1),Log_2018[[#This Row],[Date]]),Log_2018[[#This Row],[Split_apply]])) - SUM($O593:P593)</f>
        <v>0</v>
      </c>
      <c r="R593" s="52">
        <f ca="1">Log_2018[[#This Row],[Amount]]/Log_2018[[#This Row],[Split_raw]]*MAX(0,MIN(_xlfn.DAYS(EDATE(R$1,1),Log_2018[[#This Row],[Date]]),Log_2018[[#This Row],[Split_apply]])) - SUM($O593:Q593)</f>
        <v>-17.760000000000002</v>
      </c>
      <c r="S593" s="52">
        <f ca="1">Log_2018[[#This Row],[Amount]]/Log_2018[[#This Row],[Split_raw]]*MAX(0,MIN(_xlfn.DAYS(EDATE(S$1,1),Log_2018[[#This Row],[Date]]),Log_2018[[#This Row],[Split_apply]])) - SUM($O593:R593)</f>
        <v>0</v>
      </c>
      <c r="T593" s="52">
        <f ca="1">Log_2018[[#This Row],[Amount]]/Log_2018[[#This Row],[Split_raw]]*MAX(0,MIN(_xlfn.DAYS(EDATE(T$1,1),Log_2018[[#This Row],[Date]]),Log_2018[[#This Row],[Split_apply]])) - SUM($O593:S593)</f>
        <v>0</v>
      </c>
      <c r="U593" s="52">
        <f ca="1">Log_2018[[#This Row],[Amount]]/Log_2018[[#This Row],[Split_raw]]*MAX(0,MIN(_xlfn.DAYS(EDATE(U$1,1),Log_2018[[#This Row],[Date]]),Log_2018[[#This Row],[Split_apply]])) - SUM($O593:T593)</f>
        <v>0</v>
      </c>
      <c r="V593" s="52">
        <f ca="1">Log_2018[[#This Row],[Amount]]/Log_2018[[#This Row],[Split_raw]]*MAX(0,MIN(_xlfn.DAYS(EDATE(V$1,1),Log_2018[[#This Row],[Date]]),Log_2018[[#This Row],[Split_apply]])) - SUM($O593:U593)</f>
        <v>0</v>
      </c>
      <c r="W593" s="52">
        <f ca="1">Log_2018[[#This Row],[Amount]]/Log_2018[[#This Row],[Split_raw]]*MAX(0,MIN(_xlfn.DAYS(EDATE(W$1,1),Log_2018[[#This Row],[Date]]),Log_2018[[#This Row],[Split_apply]])) - SUM($O593:V593)</f>
        <v>0</v>
      </c>
      <c r="X593" s="52">
        <f ca="1">Log_2018[[#This Row],[Amount]]/Log_2018[[#This Row],[Split_raw]]*MAX(0,MIN(_xlfn.DAYS(EDATE(X$1,1),Log_2018[[#This Row],[Date]]),Log_2018[[#This Row],[Split_apply]])) - SUM($O593:W593)</f>
        <v>0</v>
      </c>
      <c r="Y593" s="52">
        <f ca="1">Log_2018[[#This Row],[Amount]]/Log_2018[[#This Row],[Split_raw]]*MAX(0,MIN(_xlfn.DAYS(EDATE(Y$1,1),Log_2018[[#This Row],[Date]]),Log_2018[[#This Row],[Split_apply]])) - SUM($O593:X593)</f>
        <v>0</v>
      </c>
      <c r="Z593" s="52">
        <f ca="1">Log_2018[[#This Row],[Amount]]/Log_2018[[#This Row],[Split_raw]]*MAX(0,MIN(_xlfn.DAYS(EDATE(Z$1,1),Log_2018[[#This Row],[Date]]),Log_2018[[#This Row],[Split_apply]])) - SUM($O593:Y593)</f>
        <v>0</v>
      </c>
      <c r="AA593" s="52">
        <f ca="1">Log_2018[[#This Row],[Amount]]/Log_2018[[#This Row],[Split_raw]]*MAX(0,MIN(_xlfn.DAYS(EDATE(AA$1,1),Log_2018[[#This Row],[Date]]),Log_2018[[#This Row],[Split_apply]])) - SUM($O593:Z593)</f>
        <v>0</v>
      </c>
      <c r="AB593" s="54">
        <f ca="1">Log_2018[[#This Row],[Amount]]-SUM(O593:AA593)</f>
        <v>0</v>
      </c>
      <c r="AC593" s="7">
        <f ca="1">MAX(0,Log_2018[[#This Row],[Split_apply]] - (EDATE(AA$1,1)-Log_2018[[#This Row],[Date]]))</f>
        <v>0</v>
      </c>
    </row>
    <row r="594" spans="1:29" hidden="1" x14ac:dyDescent="0.25">
      <c r="A594" s="115"/>
      <c r="B594" t="s">
        <v>6</v>
      </c>
      <c r="D594" s="39">
        <v>43182</v>
      </c>
      <c r="F594" t="s">
        <v>216</v>
      </c>
      <c r="G594" t="s">
        <v>27</v>
      </c>
      <c r="H594" s="3">
        <v>-20</v>
      </c>
      <c r="I594" s="36">
        <f>IF(Log_2018[[#This Row],[My Category]]="NONTRACKED",0,Log_2018[[#This Row],[Raw Amount]])</f>
        <v>-20</v>
      </c>
      <c r="J594" s="17">
        <f>ABS(Log_2018[[#This Row],[Amount]])</f>
        <v>20</v>
      </c>
      <c r="K594" s="66">
        <v>1</v>
      </c>
      <c r="L594" s="66">
        <f ca="1">IF(Log_2018[[#This Row],[Date]]&lt;=TODAY(), MIN(Log_2018[[#This Row],[Split_raw]], TODAY()-Log_2018[[#This Row],[Date]]+1), 0)</f>
        <v>1</v>
      </c>
      <c r="M594" t="s">
        <v>40</v>
      </c>
      <c r="N594" t="s">
        <v>158</v>
      </c>
      <c r="O594" s="50">
        <v>0</v>
      </c>
      <c r="P594" s="52">
        <f ca="1">Log_2018[[#This Row],[Amount]]/Log_2018[[#This Row],[Split_raw]]*MAX(0,MIN(_xlfn.DAYS(EDATE(P$1,1),Log_2018[[#This Row],[Date]]),Log_2018[[#This Row],[Split_apply]])) - SUM($O594:O594)</f>
        <v>0</v>
      </c>
      <c r="Q594" s="52">
        <f ca="1">Log_2018[[#This Row],[Amount]]/Log_2018[[#This Row],[Split_raw]]*MAX(0,MIN(_xlfn.DAYS(EDATE(Q$1,1),Log_2018[[#This Row],[Date]]),Log_2018[[#This Row],[Split_apply]])) - SUM($O594:P594)</f>
        <v>0</v>
      </c>
      <c r="R594" s="52">
        <f ca="1">Log_2018[[#This Row],[Amount]]/Log_2018[[#This Row],[Split_raw]]*MAX(0,MIN(_xlfn.DAYS(EDATE(R$1,1),Log_2018[[#This Row],[Date]]),Log_2018[[#This Row],[Split_apply]])) - SUM($O594:Q594)</f>
        <v>-20</v>
      </c>
      <c r="S594" s="52">
        <f ca="1">Log_2018[[#This Row],[Amount]]/Log_2018[[#This Row],[Split_raw]]*MAX(0,MIN(_xlfn.DAYS(EDATE(S$1,1),Log_2018[[#This Row],[Date]]),Log_2018[[#This Row],[Split_apply]])) - SUM($O594:R594)</f>
        <v>0</v>
      </c>
      <c r="T594" s="52">
        <f ca="1">Log_2018[[#This Row],[Amount]]/Log_2018[[#This Row],[Split_raw]]*MAX(0,MIN(_xlfn.DAYS(EDATE(T$1,1),Log_2018[[#This Row],[Date]]),Log_2018[[#This Row],[Split_apply]])) - SUM($O594:S594)</f>
        <v>0</v>
      </c>
      <c r="U594" s="52">
        <f ca="1">Log_2018[[#This Row],[Amount]]/Log_2018[[#This Row],[Split_raw]]*MAX(0,MIN(_xlfn.DAYS(EDATE(U$1,1),Log_2018[[#This Row],[Date]]),Log_2018[[#This Row],[Split_apply]])) - SUM($O594:T594)</f>
        <v>0</v>
      </c>
      <c r="V594" s="52">
        <f ca="1">Log_2018[[#This Row],[Amount]]/Log_2018[[#This Row],[Split_raw]]*MAX(0,MIN(_xlfn.DAYS(EDATE(V$1,1),Log_2018[[#This Row],[Date]]),Log_2018[[#This Row],[Split_apply]])) - SUM($O594:U594)</f>
        <v>0</v>
      </c>
      <c r="W594" s="52">
        <f ca="1">Log_2018[[#This Row],[Amount]]/Log_2018[[#This Row],[Split_raw]]*MAX(0,MIN(_xlfn.DAYS(EDATE(W$1,1),Log_2018[[#This Row],[Date]]),Log_2018[[#This Row],[Split_apply]])) - SUM($O594:V594)</f>
        <v>0</v>
      </c>
      <c r="X594" s="52">
        <f ca="1">Log_2018[[#This Row],[Amount]]/Log_2018[[#This Row],[Split_raw]]*MAX(0,MIN(_xlfn.DAYS(EDATE(X$1,1),Log_2018[[#This Row],[Date]]),Log_2018[[#This Row],[Split_apply]])) - SUM($O594:W594)</f>
        <v>0</v>
      </c>
      <c r="Y594" s="52">
        <f ca="1">Log_2018[[#This Row],[Amount]]/Log_2018[[#This Row],[Split_raw]]*MAX(0,MIN(_xlfn.DAYS(EDATE(Y$1,1),Log_2018[[#This Row],[Date]]),Log_2018[[#This Row],[Split_apply]])) - SUM($O594:X594)</f>
        <v>0</v>
      </c>
      <c r="Z594" s="52">
        <f ca="1">Log_2018[[#This Row],[Amount]]/Log_2018[[#This Row],[Split_raw]]*MAX(0,MIN(_xlfn.DAYS(EDATE(Z$1,1),Log_2018[[#This Row],[Date]]),Log_2018[[#This Row],[Split_apply]])) - SUM($O594:Y594)</f>
        <v>0</v>
      </c>
      <c r="AA594" s="52">
        <f ca="1">Log_2018[[#This Row],[Amount]]/Log_2018[[#This Row],[Split_raw]]*MAX(0,MIN(_xlfn.DAYS(EDATE(AA$1,1),Log_2018[[#This Row],[Date]]),Log_2018[[#This Row],[Split_apply]])) - SUM($O594:Z594)</f>
        <v>0</v>
      </c>
      <c r="AB594" s="54">
        <f ca="1">Log_2018[[#This Row],[Amount]]-SUM(O594:AA594)</f>
        <v>0</v>
      </c>
      <c r="AC594" s="7">
        <f ca="1">MAX(0,Log_2018[[#This Row],[Split_apply]] - (EDATE(AA$1,1)-Log_2018[[#This Row],[Date]]))</f>
        <v>0</v>
      </c>
    </row>
    <row r="595" spans="1:29" hidden="1" x14ac:dyDescent="0.25">
      <c r="A595" s="115"/>
      <c r="B595" t="s">
        <v>6</v>
      </c>
      <c r="D595" s="26">
        <v>43182</v>
      </c>
      <c r="F595" t="s">
        <v>185</v>
      </c>
      <c r="G595" t="s">
        <v>25</v>
      </c>
      <c r="H595" s="3">
        <v>-12.96</v>
      </c>
      <c r="I595" s="36">
        <f>IF(Log_2018[[#This Row],[My Category]]="NONTRACKED",0,Log_2018[[#This Row],[Raw Amount]])</f>
        <v>-12.96</v>
      </c>
      <c r="J595" s="17">
        <f>ABS(Log_2018[[#This Row],[Amount]])</f>
        <v>12.96</v>
      </c>
      <c r="K595" s="66">
        <v>1</v>
      </c>
      <c r="L595" s="66">
        <f ca="1">IF(Log_2018[[#This Row],[Date]]&lt;=TODAY(), MIN(Log_2018[[#This Row],[Split_raw]], TODAY()-Log_2018[[#This Row],[Date]]+1), 0)</f>
        <v>1</v>
      </c>
      <c r="M595" t="s">
        <v>35</v>
      </c>
      <c r="N595" t="s">
        <v>158</v>
      </c>
      <c r="O595" s="50">
        <v>0</v>
      </c>
      <c r="P595" s="52">
        <f ca="1">Log_2018[[#This Row],[Amount]]/Log_2018[[#This Row],[Split_raw]]*MAX(0,MIN(_xlfn.DAYS(EDATE(P$1,1),Log_2018[[#This Row],[Date]]),Log_2018[[#This Row],[Split_apply]])) - SUM($O595:O595)</f>
        <v>0</v>
      </c>
      <c r="Q595" s="52">
        <f ca="1">Log_2018[[#This Row],[Amount]]/Log_2018[[#This Row],[Split_raw]]*MAX(0,MIN(_xlfn.DAYS(EDATE(Q$1,1),Log_2018[[#This Row],[Date]]),Log_2018[[#This Row],[Split_apply]])) - SUM($O595:P595)</f>
        <v>0</v>
      </c>
      <c r="R595" s="52">
        <f ca="1">Log_2018[[#This Row],[Amount]]/Log_2018[[#This Row],[Split_raw]]*MAX(0,MIN(_xlfn.DAYS(EDATE(R$1,1),Log_2018[[#This Row],[Date]]),Log_2018[[#This Row],[Split_apply]])) - SUM($O595:Q595)</f>
        <v>-12.96</v>
      </c>
      <c r="S595" s="52">
        <f ca="1">Log_2018[[#This Row],[Amount]]/Log_2018[[#This Row],[Split_raw]]*MAX(0,MIN(_xlfn.DAYS(EDATE(S$1,1),Log_2018[[#This Row],[Date]]),Log_2018[[#This Row],[Split_apply]])) - SUM($O595:R595)</f>
        <v>0</v>
      </c>
      <c r="T595" s="52">
        <f ca="1">Log_2018[[#This Row],[Amount]]/Log_2018[[#This Row],[Split_raw]]*MAX(0,MIN(_xlfn.DAYS(EDATE(T$1,1),Log_2018[[#This Row],[Date]]),Log_2018[[#This Row],[Split_apply]])) - SUM($O595:S595)</f>
        <v>0</v>
      </c>
      <c r="U595" s="52">
        <f ca="1">Log_2018[[#This Row],[Amount]]/Log_2018[[#This Row],[Split_raw]]*MAX(0,MIN(_xlfn.DAYS(EDATE(U$1,1),Log_2018[[#This Row],[Date]]),Log_2018[[#This Row],[Split_apply]])) - SUM($O595:T595)</f>
        <v>0</v>
      </c>
      <c r="V595" s="52">
        <f ca="1">Log_2018[[#This Row],[Amount]]/Log_2018[[#This Row],[Split_raw]]*MAX(0,MIN(_xlfn.DAYS(EDATE(V$1,1),Log_2018[[#This Row],[Date]]),Log_2018[[#This Row],[Split_apply]])) - SUM($O595:U595)</f>
        <v>0</v>
      </c>
      <c r="W595" s="52">
        <f ca="1">Log_2018[[#This Row],[Amount]]/Log_2018[[#This Row],[Split_raw]]*MAX(0,MIN(_xlfn.DAYS(EDATE(W$1,1),Log_2018[[#This Row],[Date]]),Log_2018[[#This Row],[Split_apply]])) - SUM($O595:V595)</f>
        <v>0</v>
      </c>
      <c r="X595" s="52">
        <f ca="1">Log_2018[[#This Row],[Amount]]/Log_2018[[#This Row],[Split_raw]]*MAX(0,MIN(_xlfn.DAYS(EDATE(X$1,1),Log_2018[[#This Row],[Date]]),Log_2018[[#This Row],[Split_apply]])) - SUM($O595:W595)</f>
        <v>0</v>
      </c>
      <c r="Y595" s="52">
        <f ca="1">Log_2018[[#This Row],[Amount]]/Log_2018[[#This Row],[Split_raw]]*MAX(0,MIN(_xlfn.DAYS(EDATE(Y$1,1),Log_2018[[#This Row],[Date]]),Log_2018[[#This Row],[Split_apply]])) - SUM($O595:X595)</f>
        <v>0</v>
      </c>
      <c r="Z595" s="52">
        <f ca="1">Log_2018[[#This Row],[Amount]]/Log_2018[[#This Row],[Split_raw]]*MAX(0,MIN(_xlfn.DAYS(EDATE(Z$1,1),Log_2018[[#This Row],[Date]]),Log_2018[[#This Row],[Split_apply]])) - SUM($O595:Y595)</f>
        <v>0</v>
      </c>
      <c r="AA595" s="52">
        <f ca="1">Log_2018[[#This Row],[Amount]]/Log_2018[[#This Row],[Split_raw]]*MAX(0,MIN(_xlfn.DAYS(EDATE(AA$1,1),Log_2018[[#This Row],[Date]]),Log_2018[[#This Row],[Split_apply]])) - SUM($O595:Z595)</f>
        <v>0</v>
      </c>
      <c r="AB595" s="54">
        <f ca="1">Log_2018[[#This Row],[Amount]]-SUM(O595:AA595)</f>
        <v>0</v>
      </c>
      <c r="AC595" s="7">
        <f ca="1">MAX(0,Log_2018[[#This Row],[Split_apply]] - (EDATE(AA$1,1)-Log_2018[[#This Row],[Date]]))</f>
        <v>0</v>
      </c>
    </row>
    <row r="596" spans="1:29" hidden="1" x14ac:dyDescent="0.25">
      <c r="A596" s="115"/>
      <c r="B596" t="s">
        <v>6</v>
      </c>
      <c r="D596" s="26">
        <v>43181</v>
      </c>
      <c r="F596" t="s">
        <v>217</v>
      </c>
      <c r="G596" t="s">
        <v>12</v>
      </c>
      <c r="H596" s="3">
        <v>-94.91</v>
      </c>
      <c r="I596" s="36">
        <f>IF(Log_2018[[#This Row],[My Category]]="NONTRACKED",0,Log_2018[[#This Row],[Raw Amount]])</f>
        <v>-94.91</v>
      </c>
      <c r="J596" s="17">
        <f>ABS(Log_2018[[#This Row],[Amount]])</f>
        <v>94.91</v>
      </c>
      <c r="K596" s="66">
        <v>1</v>
      </c>
      <c r="L596" s="66">
        <f ca="1">IF(Log_2018[[#This Row],[Date]]&lt;=TODAY(), MIN(Log_2018[[#This Row],[Split_raw]], TODAY()-Log_2018[[#This Row],[Date]]+1), 0)</f>
        <v>1</v>
      </c>
      <c r="M596" t="s">
        <v>12</v>
      </c>
      <c r="N596" t="s">
        <v>158</v>
      </c>
      <c r="O596" s="50">
        <v>0</v>
      </c>
      <c r="P596" s="52">
        <f ca="1">Log_2018[[#This Row],[Amount]]/Log_2018[[#This Row],[Split_raw]]*MAX(0,MIN(_xlfn.DAYS(EDATE(P$1,1),Log_2018[[#This Row],[Date]]),Log_2018[[#This Row],[Split_apply]])) - SUM($O596:O596)</f>
        <v>0</v>
      </c>
      <c r="Q596" s="52">
        <f ca="1">Log_2018[[#This Row],[Amount]]/Log_2018[[#This Row],[Split_raw]]*MAX(0,MIN(_xlfn.DAYS(EDATE(Q$1,1),Log_2018[[#This Row],[Date]]),Log_2018[[#This Row],[Split_apply]])) - SUM($O596:P596)</f>
        <v>0</v>
      </c>
      <c r="R596" s="52">
        <f ca="1">Log_2018[[#This Row],[Amount]]/Log_2018[[#This Row],[Split_raw]]*MAX(0,MIN(_xlfn.DAYS(EDATE(R$1,1),Log_2018[[#This Row],[Date]]),Log_2018[[#This Row],[Split_apply]])) - SUM($O596:Q596)</f>
        <v>-94.91</v>
      </c>
      <c r="S596" s="52">
        <f ca="1">Log_2018[[#This Row],[Amount]]/Log_2018[[#This Row],[Split_raw]]*MAX(0,MIN(_xlfn.DAYS(EDATE(S$1,1),Log_2018[[#This Row],[Date]]),Log_2018[[#This Row],[Split_apply]])) - SUM($O596:R596)</f>
        <v>0</v>
      </c>
      <c r="T596" s="52">
        <f ca="1">Log_2018[[#This Row],[Amount]]/Log_2018[[#This Row],[Split_raw]]*MAX(0,MIN(_xlfn.DAYS(EDATE(T$1,1),Log_2018[[#This Row],[Date]]),Log_2018[[#This Row],[Split_apply]])) - SUM($O596:S596)</f>
        <v>0</v>
      </c>
      <c r="U596" s="52">
        <f ca="1">Log_2018[[#This Row],[Amount]]/Log_2018[[#This Row],[Split_raw]]*MAX(0,MIN(_xlfn.DAYS(EDATE(U$1,1),Log_2018[[#This Row],[Date]]),Log_2018[[#This Row],[Split_apply]])) - SUM($O596:T596)</f>
        <v>0</v>
      </c>
      <c r="V596" s="52">
        <f ca="1">Log_2018[[#This Row],[Amount]]/Log_2018[[#This Row],[Split_raw]]*MAX(0,MIN(_xlfn.DAYS(EDATE(V$1,1),Log_2018[[#This Row],[Date]]),Log_2018[[#This Row],[Split_apply]])) - SUM($O596:U596)</f>
        <v>0</v>
      </c>
      <c r="W596" s="52">
        <f ca="1">Log_2018[[#This Row],[Amount]]/Log_2018[[#This Row],[Split_raw]]*MAX(0,MIN(_xlfn.DAYS(EDATE(W$1,1),Log_2018[[#This Row],[Date]]),Log_2018[[#This Row],[Split_apply]])) - SUM($O596:V596)</f>
        <v>0</v>
      </c>
      <c r="X596" s="52">
        <f ca="1">Log_2018[[#This Row],[Amount]]/Log_2018[[#This Row],[Split_raw]]*MAX(0,MIN(_xlfn.DAYS(EDATE(X$1,1),Log_2018[[#This Row],[Date]]),Log_2018[[#This Row],[Split_apply]])) - SUM($O596:W596)</f>
        <v>0</v>
      </c>
      <c r="Y596" s="52">
        <f ca="1">Log_2018[[#This Row],[Amount]]/Log_2018[[#This Row],[Split_raw]]*MAX(0,MIN(_xlfn.DAYS(EDATE(Y$1,1),Log_2018[[#This Row],[Date]]),Log_2018[[#This Row],[Split_apply]])) - SUM($O596:X596)</f>
        <v>0</v>
      </c>
      <c r="Z596" s="52">
        <f ca="1">Log_2018[[#This Row],[Amount]]/Log_2018[[#This Row],[Split_raw]]*MAX(0,MIN(_xlfn.DAYS(EDATE(Z$1,1),Log_2018[[#This Row],[Date]]),Log_2018[[#This Row],[Split_apply]])) - SUM($O596:Y596)</f>
        <v>0</v>
      </c>
      <c r="AA596" s="52">
        <f ca="1">Log_2018[[#This Row],[Amount]]/Log_2018[[#This Row],[Split_raw]]*MAX(0,MIN(_xlfn.DAYS(EDATE(AA$1,1),Log_2018[[#This Row],[Date]]),Log_2018[[#This Row],[Split_apply]])) - SUM($O596:Z596)</f>
        <v>0</v>
      </c>
      <c r="AB596" s="54">
        <f ca="1">Log_2018[[#This Row],[Amount]]-SUM(O596:AA596)</f>
        <v>0</v>
      </c>
      <c r="AC596" s="7">
        <f ca="1">MAX(0,Log_2018[[#This Row],[Split_apply]] - (EDATE(AA$1,1)-Log_2018[[#This Row],[Date]]))</f>
        <v>0</v>
      </c>
    </row>
    <row r="597" spans="1:29" hidden="1" x14ac:dyDescent="0.25">
      <c r="A597" s="115"/>
      <c r="B597" t="s">
        <v>6</v>
      </c>
      <c r="D597" s="26">
        <v>43181</v>
      </c>
      <c r="F597" t="s">
        <v>223</v>
      </c>
      <c r="G597" t="s">
        <v>221</v>
      </c>
      <c r="H597" s="3">
        <f>--0.35</f>
        <v>0.35</v>
      </c>
      <c r="I597" s="36">
        <f>IF(Log_2018[[#This Row],[My Category]]="NONTRACKED",0,Log_2018[[#This Row],[Raw Amount]])</f>
        <v>0.35</v>
      </c>
      <c r="J597" s="17">
        <f>ABS(Log_2018[[#This Row],[Amount]])</f>
        <v>0.35</v>
      </c>
      <c r="K597" s="66">
        <v>1</v>
      </c>
      <c r="L597" s="66">
        <f ca="1">IF(Log_2018[[#This Row],[Date]]&lt;=TODAY(), MIN(Log_2018[[#This Row],[Split_raw]], TODAY()-Log_2018[[#This Row],[Date]]+1), 0)</f>
        <v>1</v>
      </c>
      <c r="M597" t="s">
        <v>144</v>
      </c>
      <c r="N597" t="s">
        <v>160</v>
      </c>
      <c r="O597" s="50">
        <v>0</v>
      </c>
      <c r="P597" s="52">
        <f ca="1">Log_2018[[#This Row],[Amount]]/Log_2018[[#This Row],[Split_raw]]*MAX(0,MIN(_xlfn.DAYS(EDATE(P$1,1),Log_2018[[#This Row],[Date]]),Log_2018[[#This Row],[Split_apply]])) - SUM($O597:O597)</f>
        <v>0</v>
      </c>
      <c r="Q597" s="52">
        <f ca="1">Log_2018[[#This Row],[Amount]]/Log_2018[[#This Row],[Split_raw]]*MAX(0,MIN(_xlfn.DAYS(EDATE(Q$1,1),Log_2018[[#This Row],[Date]]),Log_2018[[#This Row],[Split_apply]])) - SUM($O597:P597)</f>
        <v>0</v>
      </c>
      <c r="R597" s="52">
        <f ca="1">Log_2018[[#This Row],[Amount]]/Log_2018[[#This Row],[Split_raw]]*MAX(0,MIN(_xlfn.DAYS(EDATE(R$1,1),Log_2018[[#This Row],[Date]]),Log_2018[[#This Row],[Split_apply]])) - SUM($O597:Q597)</f>
        <v>0.35</v>
      </c>
      <c r="S597" s="52">
        <f ca="1">Log_2018[[#This Row],[Amount]]/Log_2018[[#This Row],[Split_raw]]*MAX(0,MIN(_xlfn.DAYS(EDATE(S$1,1),Log_2018[[#This Row],[Date]]),Log_2018[[#This Row],[Split_apply]])) - SUM($O597:R597)</f>
        <v>0</v>
      </c>
      <c r="T597" s="52">
        <f ca="1">Log_2018[[#This Row],[Amount]]/Log_2018[[#This Row],[Split_raw]]*MAX(0,MIN(_xlfn.DAYS(EDATE(T$1,1),Log_2018[[#This Row],[Date]]),Log_2018[[#This Row],[Split_apply]])) - SUM($O597:S597)</f>
        <v>0</v>
      </c>
      <c r="U597" s="52">
        <f ca="1">Log_2018[[#This Row],[Amount]]/Log_2018[[#This Row],[Split_raw]]*MAX(0,MIN(_xlfn.DAYS(EDATE(U$1,1),Log_2018[[#This Row],[Date]]),Log_2018[[#This Row],[Split_apply]])) - SUM($O597:T597)</f>
        <v>0</v>
      </c>
      <c r="V597" s="52">
        <f ca="1">Log_2018[[#This Row],[Amount]]/Log_2018[[#This Row],[Split_raw]]*MAX(0,MIN(_xlfn.DAYS(EDATE(V$1,1),Log_2018[[#This Row],[Date]]),Log_2018[[#This Row],[Split_apply]])) - SUM($O597:U597)</f>
        <v>0</v>
      </c>
      <c r="W597" s="52">
        <f ca="1">Log_2018[[#This Row],[Amount]]/Log_2018[[#This Row],[Split_raw]]*MAX(0,MIN(_xlfn.DAYS(EDATE(W$1,1),Log_2018[[#This Row],[Date]]),Log_2018[[#This Row],[Split_apply]])) - SUM($O597:V597)</f>
        <v>0</v>
      </c>
      <c r="X597" s="52">
        <f ca="1">Log_2018[[#This Row],[Amount]]/Log_2018[[#This Row],[Split_raw]]*MAX(0,MIN(_xlfn.DAYS(EDATE(X$1,1),Log_2018[[#This Row],[Date]]),Log_2018[[#This Row],[Split_apply]])) - SUM($O597:W597)</f>
        <v>0</v>
      </c>
      <c r="Y597" s="52">
        <f ca="1">Log_2018[[#This Row],[Amount]]/Log_2018[[#This Row],[Split_raw]]*MAX(0,MIN(_xlfn.DAYS(EDATE(Y$1,1),Log_2018[[#This Row],[Date]]),Log_2018[[#This Row],[Split_apply]])) - SUM($O597:X597)</f>
        <v>0</v>
      </c>
      <c r="Z597" s="52">
        <f ca="1">Log_2018[[#This Row],[Amount]]/Log_2018[[#This Row],[Split_raw]]*MAX(0,MIN(_xlfn.DAYS(EDATE(Z$1,1),Log_2018[[#This Row],[Date]]),Log_2018[[#This Row],[Split_apply]])) - SUM($O597:Y597)</f>
        <v>0</v>
      </c>
      <c r="AA597" s="52">
        <f ca="1">Log_2018[[#This Row],[Amount]]/Log_2018[[#This Row],[Split_raw]]*MAX(0,MIN(_xlfn.DAYS(EDATE(AA$1,1),Log_2018[[#This Row],[Date]]),Log_2018[[#This Row],[Split_apply]])) - SUM($O597:Z597)</f>
        <v>0</v>
      </c>
      <c r="AB597" s="54">
        <f ca="1">Log_2018[[#This Row],[Amount]]-SUM(O597:AA597)</f>
        <v>0</v>
      </c>
      <c r="AC597" s="7">
        <f ca="1">MAX(0,Log_2018[[#This Row],[Split_apply]] - (EDATE(AA$1,1)-Log_2018[[#This Row],[Date]]))</f>
        <v>0</v>
      </c>
    </row>
    <row r="598" spans="1:29" hidden="1" x14ac:dyDescent="0.25">
      <c r="A598" s="115"/>
      <c r="B598" t="s">
        <v>6</v>
      </c>
      <c r="D598" s="26">
        <v>43181</v>
      </c>
      <c r="F598" t="s">
        <v>59</v>
      </c>
      <c r="G598" t="s">
        <v>25</v>
      </c>
      <c r="H598" s="3">
        <v>-7.94</v>
      </c>
      <c r="I598" s="36">
        <f>IF(Log_2018[[#This Row],[My Category]]="NONTRACKED",0,Log_2018[[#This Row],[Raw Amount]])</f>
        <v>-7.94</v>
      </c>
      <c r="J598" s="17">
        <f>ABS(Log_2018[[#This Row],[Amount]])</f>
        <v>7.94</v>
      </c>
      <c r="K598" s="66">
        <v>1</v>
      </c>
      <c r="L598" s="66">
        <f ca="1">IF(Log_2018[[#This Row],[Date]]&lt;=TODAY(), MIN(Log_2018[[#This Row],[Split_raw]], TODAY()-Log_2018[[#This Row],[Date]]+1), 0)</f>
        <v>1</v>
      </c>
      <c r="M598" t="s">
        <v>35</v>
      </c>
      <c r="N598" t="s">
        <v>158</v>
      </c>
      <c r="O598" s="50">
        <v>0</v>
      </c>
      <c r="P598" s="52">
        <f ca="1">Log_2018[[#This Row],[Amount]]/Log_2018[[#This Row],[Split_raw]]*MAX(0,MIN(_xlfn.DAYS(EDATE(P$1,1),Log_2018[[#This Row],[Date]]),Log_2018[[#This Row],[Split_apply]])) - SUM($O598:O598)</f>
        <v>0</v>
      </c>
      <c r="Q598" s="52">
        <f ca="1">Log_2018[[#This Row],[Amount]]/Log_2018[[#This Row],[Split_raw]]*MAX(0,MIN(_xlfn.DAYS(EDATE(Q$1,1),Log_2018[[#This Row],[Date]]),Log_2018[[#This Row],[Split_apply]])) - SUM($O598:P598)</f>
        <v>0</v>
      </c>
      <c r="R598" s="52">
        <f ca="1">Log_2018[[#This Row],[Amount]]/Log_2018[[#This Row],[Split_raw]]*MAX(0,MIN(_xlfn.DAYS(EDATE(R$1,1),Log_2018[[#This Row],[Date]]),Log_2018[[#This Row],[Split_apply]])) - SUM($O598:Q598)</f>
        <v>-7.94</v>
      </c>
      <c r="S598" s="52">
        <f ca="1">Log_2018[[#This Row],[Amount]]/Log_2018[[#This Row],[Split_raw]]*MAX(0,MIN(_xlfn.DAYS(EDATE(S$1,1),Log_2018[[#This Row],[Date]]),Log_2018[[#This Row],[Split_apply]])) - SUM($O598:R598)</f>
        <v>0</v>
      </c>
      <c r="T598" s="52">
        <f ca="1">Log_2018[[#This Row],[Amount]]/Log_2018[[#This Row],[Split_raw]]*MAX(0,MIN(_xlfn.DAYS(EDATE(T$1,1),Log_2018[[#This Row],[Date]]),Log_2018[[#This Row],[Split_apply]])) - SUM($O598:S598)</f>
        <v>0</v>
      </c>
      <c r="U598" s="52">
        <f ca="1">Log_2018[[#This Row],[Amount]]/Log_2018[[#This Row],[Split_raw]]*MAX(0,MIN(_xlfn.DAYS(EDATE(U$1,1),Log_2018[[#This Row],[Date]]),Log_2018[[#This Row],[Split_apply]])) - SUM($O598:T598)</f>
        <v>0</v>
      </c>
      <c r="V598" s="52">
        <f ca="1">Log_2018[[#This Row],[Amount]]/Log_2018[[#This Row],[Split_raw]]*MAX(0,MIN(_xlfn.DAYS(EDATE(V$1,1),Log_2018[[#This Row],[Date]]),Log_2018[[#This Row],[Split_apply]])) - SUM($O598:U598)</f>
        <v>0</v>
      </c>
      <c r="W598" s="52">
        <f ca="1">Log_2018[[#This Row],[Amount]]/Log_2018[[#This Row],[Split_raw]]*MAX(0,MIN(_xlfn.DAYS(EDATE(W$1,1),Log_2018[[#This Row],[Date]]),Log_2018[[#This Row],[Split_apply]])) - SUM($O598:V598)</f>
        <v>0</v>
      </c>
      <c r="X598" s="52">
        <f ca="1">Log_2018[[#This Row],[Amount]]/Log_2018[[#This Row],[Split_raw]]*MAX(0,MIN(_xlfn.DAYS(EDATE(X$1,1),Log_2018[[#This Row],[Date]]),Log_2018[[#This Row],[Split_apply]])) - SUM($O598:W598)</f>
        <v>0</v>
      </c>
      <c r="Y598" s="52">
        <f ca="1">Log_2018[[#This Row],[Amount]]/Log_2018[[#This Row],[Split_raw]]*MAX(0,MIN(_xlfn.DAYS(EDATE(Y$1,1),Log_2018[[#This Row],[Date]]),Log_2018[[#This Row],[Split_apply]])) - SUM($O598:X598)</f>
        <v>0</v>
      </c>
      <c r="Z598" s="52">
        <f ca="1">Log_2018[[#This Row],[Amount]]/Log_2018[[#This Row],[Split_raw]]*MAX(0,MIN(_xlfn.DAYS(EDATE(Z$1,1),Log_2018[[#This Row],[Date]]),Log_2018[[#This Row],[Split_apply]])) - SUM($O598:Y598)</f>
        <v>0</v>
      </c>
      <c r="AA598" s="52">
        <f ca="1">Log_2018[[#This Row],[Amount]]/Log_2018[[#This Row],[Split_raw]]*MAX(0,MIN(_xlfn.DAYS(EDATE(AA$1,1),Log_2018[[#This Row],[Date]]),Log_2018[[#This Row],[Split_apply]])) - SUM($O598:Z598)</f>
        <v>0</v>
      </c>
      <c r="AB598" s="54">
        <f ca="1">Log_2018[[#This Row],[Amount]]-SUM(O598:AA598)</f>
        <v>0</v>
      </c>
      <c r="AC598" s="7">
        <f ca="1">MAX(0,Log_2018[[#This Row],[Split_apply]] - (EDATE(AA$1,1)-Log_2018[[#This Row],[Date]]))</f>
        <v>0</v>
      </c>
    </row>
    <row r="599" spans="1:29" hidden="1" x14ac:dyDescent="0.25">
      <c r="A599" s="115"/>
      <c r="B599" t="s">
        <v>6</v>
      </c>
      <c r="D599" s="26">
        <v>43181</v>
      </c>
      <c r="F599" t="s">
        <v>223</v>
      </c>
      <c r="G599" t="s">
        <v>221</v>
      </c>
      <c r="H599" s="3">
        <f>--0.2</f>
        <v>0.2</v>
      </c>
      <c r="I599" s="36">
        <f>IF(Log_2018[[#This Row],[My Category]]="NONTRACKED",0,Log_2018[[#This Row],[Raw Amount]])</f>
        <v>0.2</v>
      </c>
      <c r="J599" s="17">
        <f>ABS(Log_2018[[#This Row],[Amount]])</f>
        <v>0.2</v>
      </c>
      <c r="K599" s="66">
        <v>1</v>
      </c>
      <c r="L599" s="66">
        <f ca="1">IF(Log_2018[[#This Row],[Date]]&lt;=TODAY(), MIN(Log_2018[[#This Row],[Split_raw]], TODAY()-Log_2018[[#This Row],[Date]]+1), 0)</f>
        <v>1</v>
      </c>
      <c r="M599" t="s">
        <v>144</v>
      </c>
      <c r="N599" t="s">
        <v>160</v>
      </c>
      <c r="O599" s="50">
        <v>0</v>
      </c>
      <c r="P599" s="52">
        <f ca="1">Log_2018[[#This Row],[Amount]]/Log_2018[[#This Row],[Split_raw]]*MAX(0,MIN(_xlfn.DAYS(EDATE(P$1,1),Log_2018[[#This Row],[Date]]),Log_2018[[#This Row],[Split_apply]])) - SUM($O599:O599)</f>
        <v>0</v>
      </c>
      <c r="Q599" s="52">
        <f ca="1">Log_2018[[#This Row],[Amount]]/Log_2018[[#This Row],[Split_raw]]*MAX(0,MIN(_xlfn.DAYS(EDATE(Q$1,1),Log_2018[[#This Row],[Date]]),Log_2018[[#This Row],[Split_apply]])) - SUM($O599:P599)</f>
        <v>0</v>
      </c>
      <c r="R599" s="52">
        <f ca="1">Log_2018[[#This Row],[Amount]]/Log_2018[[#This Row],[Split_raw]]*MAX(0,MIN(_xlfn.DAYS(EDATE(R$1,1),Log_2018[[#This Row],[Date]]),Log_2018[[#This Row],[Split_apply]])) - SUM($O599:Q599)</f>
        <v>0.2</v>
      </c>
      <c r="S599" s="52">
        <f ca="1">Log_2018[[#This Row],[Amount]]/Log_2018[[#This Row],[Split_raw]]*MAX(0,MIN(_xlfn.DAYS(EDATE(S$1,1),Log_2018[[#This Row],[Date]]),Log_2018[[#This Row],[Split_apply]])) - SUM($O599:R599)</f>
        <v>0</v>
      </c>
      <c r="T599" s="52">
        <f ca="1">Log_2018[[#This Row],[Amount]]/Log_2018[[#This Row],[Split_raw]]*MAX(0,MIN(_xlfn.DAYS(EDATE(T$1,1),Log_2018[[#This Row],[Date]]),Log_2018[[#This Row],[Split_apply]])) - SUM($O599:S599)</f>
        <v>0</v>
      </c>
      <c r="U599" s="52">
        <f ca="1">Log_2018[[#This Row],[Amount]]/Log_2018[[#This Row],[Split_raw]]*MAX(0,MIN(_xlfn.DAYS(EDATE(U$1,1),Log_2018[[#This Row],[Date]]),Log_2018[[#This Row],[Split_apply]])) - SUM($O599:T599)</f>
        <v>0</v>
      </c>
      <c r="V599" s="52">
        <f ca="1">Log_2018[[#This Row],[Amount]]/Log_2018[[#This Row],[Split_raw]]*MAX(0,MIN(_xlfn.DAYS(EDATE(V$1,1),Log_2018[[#This Row],[Date]]),Log_2018[[#This Row],[Split_apply]])) - SUM($O599:U599)</f>
        <v>0</v>
      </c>
      <c r="W599" s="52">
        <f ca="1">Log_2018[[#This Row],[Amount]]/Log_2018[[#This Row],[Split_raw]]*MAX(0,MIN(_xlfn.DAYS(EDATE(W$1,1),Log_2018[[#This Row],[Date]]),Log_2018[[#This Row],[Split_apply]])) - SUM($O599:V599)</f>
        <v>0</v>
      </c>
      <c r="X599" s="52">
        <f ca="1">Log_2018[[#This Row],[Amount]]/Log_2018[[#This Row],[Split_raw]]*MAX(0,MIN(_xlfn.DAYS(EDATE(X$1,1),Log_2018[[#This Row],[Date]]),Log_2018[[#This Row],[Split_apply]])) - SUM($O599:W599)</f>
        <v>0</v>
      </c>
      <c r="Y599" s="52">
        <f ca="1">Log_2018[[#This Row],[Amount]]/Log_2018[[#This Row],[Split_raw]]*MAX(0,MIN(_xlfn.DAYS(EDATE(Y$1,1),Log_2018[[#This Row],[Date]]),Log_2018[[#This Row],[Split_apply]])) - SUM($O599:X599)</f>
        <v>0</v>
      </c>
      <c r="Z599" s="52">
        <f ca="1">Log_2018[[#This Row],[Amount]]/Log_2018[[#This Row],[Split_raw]]*MAX(0,MIN(_xlfn.DAYS(EDATE(Z$1,1),Log_2018[[#This Row],[Date]]),Log_2018[[#This Row],[Split_apply]])) - SUM($O599:Y599)</f>
        <v>0</v>
      </c>
      <c r="AA599" s="52">
        <f ca="1">Log_2018[[#This Row],[Amount]]/Log_2018[[#This Row],[Split_raw]]*MAX(0,MIN(_xlfn.DAYS(EDATE(AA$1,1),Log_2018[[#This Row],[Date]]),Log_2018[[#This Row],[Split_apply]])) - SUM($O599:Z599)</f>
        <v>0</v>
      </c>
      <c r="AB599" s="54">
        <f ca="1">Log_2018[[#This Row],[Amount]]-SUM(O599:AA599)</f>
        <v>0</v>
      </c>
      <c r="AC599" s="7">
        <f ca="1">MAX(0,Log_2018[[#This Row],[Split_apply]] - (EDATE(AA$1,1)-Log_2018[[#This Row],[Date]]))</f>
        <v>0</v>
      </c>
    </row>
    <row r="600" spans="1:29" hidden="1" x14ac:dyDescent="0.25">
      <c r="A600" s="115"/>
      <c r="B600" t="s">
        <v>6</v>
      </c>
      <c r="D600" s="26">
        <v>43180</v>
      </c>
      <c r="F600" t="s">
        <v>105</v>
      </c>
      <c r="G600" t="s">
        <v>104</v>
      </c>
      <c r="H600" s="3">
        <f>--3565.21</f>
        <v>3565.21</v>
      </c>
      <c r="I600" s="36">
        <f>IF(Log_2018[[#This Row],[My Category]]="NONTRACKED",0,Log_2018[[#This Row],[Raw Amount]])</f>
        <v>3565.21</v>
      </c>
      <c r="J600" s="17">
        <f>ABS(Log_2018[[#This Row],[Amount]])</f>
        <v>3565.21</v>
      </c>
      <c r="K600" s="66">
        <v>1</v>
      </c>
      <c r="L600" s="66">
        <f ca="1">IF(Log_2018[[#This Row],[Date]]&lt;=TODAY(), MIN(Log_2018[[#This Row],[Split_raw]], TODAY()-Log_2018[[#This Row],[Date]]+1), 0)</f>
        <v>1</v>
      </c>
      <c r="M600" t="s">
        <v>159</v>
      </c>
      <c r="N600" t="s">
        <v>158</v>
      </c>
      <c r="O600" s="50">
        <v>0</v>
      </c>
      <c r="P600" s="52">
        <f ca="1">Log_2018[[#This Row],[Amount]]/Log_2018[[#This Row],[Split_raw]]*MAX(0,MIN(_xlfn.DAYS(EDATE(P$1,1),Log_2018[[#This Row],[Date]]),Log_2018[[#This Row],[Split_apply]])) - SUM($O600:O600)</f>
        <v>0</v>
      </c>
      <c r="Q600" s="52">
        <f ca="1">Log_2018[[#This Row],[Amount]]/Log_2018[[#This Row],[Split_raw]]*MAX(0,MIN(_xlfn.DAYS(EDATE(Q$1,1),Log_2018[[#This Row],[Date]]),Log_2018[[#This Row],[Split_apply]])) - SUM($O600:P600)</f>
        <v>0</v>
      </c>
      <c r="R600" s="52">
        <f ca="1">Log_2018[[#This Row],[Amount]]/Log_2018[[#This Row],[Split_raw]]*MAX(0,MIN(_xlfn.DAYS(EDATE(R$1,1),Log_2018[[#This Row],[Date]]),Log_2018[[#This Row],[Split_apply]])) - SUM($O600:Q600)</f>
        <v>3565.21</v>
      </c>
      <c r="S600" s="52">
        <f ca="1">Log_2018[[#This Row],[Amount]]/Log_2018[[#This Row],[Split_raw]]*MAX(0,MIN(_xlfn.DAYS(EDATE(S$1,1),Log_2018[[#This Row],[Date]]),Log_2018[[#This Row],[Split_apply]])) - SUM($O600:R600)</f>
        <v>0</v>
      </c>
      <c r="T600" s="52">
        <f ca="1">Log_2018[[#This Row],[Amount]]/Log_2018[[#This Row],[Split_raw]]*MAX(0,MIN(_xlfn.DAYS(EDATE(T$1,1),Log_2018[[#This Row],[Date]]),Log_2018[[#This Row],[Split_apply]])) - SUM($O600:S600)</f>
        <v>0</v>
      </c>
      <c r="U600" s="52">
        <f ca="1">Log_2018[[#This Row],[Amount]]/Log_2018[[#This Row],[Split_raw]]*MAX(0,MIN(_xlfn.DAYS(EDATE(U$1,1),Log_2018[[#This Row],[Date]]),Log_2018[[#This Row],[Split_apply]])) - SUM($O600:T600)</f>
        <v>0</v>
      </c>
      <c r="V600" s="52">
        <f ca="1">Log_2018[[#This Row],[Amount]]/Log_2018[[#This Row],[Split_raw]]*MAX(0,MIN(_xlfn.DAYS(EDATE(V$1,1),Log_2018[[#This Row],[Date]]),Log_2018[[#This Row],[Split_apply]])) - SUM($O600:U600)</f>
        <v>0</v>
      </c>
      <c r="W600" s="52">
        <f ca="1">Log_2018[[#This Row],[Amount]]/Log_2018[[#This Row],[Split_raw]]*MAX(0,MIN(_xlfn.DAYS(EDATE(W$1,1),Log_2018[[#This Row],[Date]]),Log_2018[[#This Row],[Split_apply]])) - SUM($O600:V600)</f>
        <v>0</v>
      </c>
      <c r="X600" s="52">
        <f ca="1">Log_2018[[#This Row],[Amount]]/Log_2018[[#This Row],[Split_raw]]*MAX(0,MIN(_xlfn.DAYS(EDATE(X$1,1),Log_2018[[#This Row],[Date]]),Log_2018[[#This Row],[Split_apply]])) - SUM($O600:W600)</f>
        <v>0</v>
      </c>
      <c r="Y600" s="52">
        <f ca="1">Log_2018[[#This Row],[Amount]]/Log_2018[[#This Row],[Split_raw]]*MAX(0,MIN(_xlfn.DAYS(EDATE(Y$1,1),Log_2018[[#This Row],[Date]]),Log_2018[[#This Row],[Split_apply]])) - SUM($O600:X600)</f>
        <v>0</v>
      </c>
      <c r="Z600" s="52">
        <f ca="1">Log_2018[[#This Row],[Amount]]/Log_2018[[#This Row],[Split_raw]]*MAX(0,MIN(_xlfn.DAYS(EDATE(Z$1,1),Log_2018[[#This Row],[Date]]),Log_2018[[#This Row],[Split_apply]])) - SUM($O600:Y600)</f>
        <v>0</v>
      </c>
      <c r="AA600" s="52">
        <f ca="1">Log_2018[[#This Row],[Amount]]/Log_2018[[#This Row],[Split_raw]]*MAX(0,MIN(_xlfn.DAYS(EDATE(AA$1,1),Log_2018[[#This Row],[Date]]),Log_2018[[#This Row],[Split_apply]])) - SUM($O600:Z600)</f>
        <v>0</v>
      </c>
      <c r="AB600" s="54">
        <f ca="1">Log_2018[[#This Row],[Amount]]-SUM(O600:AA600)</f>
        <v>0</v>
      </c>
      <c r="AC600" s="7">
        <f ca="1">MAX(0,Log_2018[[#This Row],[Split_apply]] - (EDATE(AA$1,1)-Log_2018[[#This Row],[Date]]))</f>
        <v>0</v>
      </c>
    </row>
    <row r="601" spans="1:29" hidden="1" x14ac:dyDescent="0.25">
      <c r="A601" s="115"/>
      <c r="B601" t="s">
        <v>6</v>
      </c>
      <c r="D601" s="26">
        <v>43180</v>
      </c>
      <c r="F601" t="s">
        <v>138</v>
      </c>
      <c r="G601" t="s">
        <v>104</v>
      </c>
      <c r="H601" s="3">
        <v>-3565.21</v>
      </c>
      <c r="I601" s="36">
        <f>IF(Log_2018[[#This Row],[My Category]]="NONTRACKED",0,Log_2018[[#This Row],[Raw Amount]])</f>
        <v>-3565.21</v>
      </c>
      <c r="J601" s="17">
        <f>ABS(Log_2018[[#This Row],[Amount]])</f>
        <v>3565.21</v>
      </c>
      <c r="K601" s="66">
        <v>1</v>
      </c>
      <c r="L601" s="66">
        <f ca="1">IF(Log_2018[[#This Row],[Date]]&lt;=TODAY(), MIN(Log_2018[[#This Row],[Split_raw]], TODAY()-Log_2018[[#This Row],[Date]]+1), 0)</f>
        <v>1</v>
      </c>
      <c r="M601" t="s">
        <v>159</v>
      </c>
      <c r="N601" t="s">
        <v>160</v>
      </c>
      <c r="O601" s="50">
        <v>0</v>
      </c>
      <c r="P601" s="52">
        <f ca="1">Log_2018[[#This Row],[Amount]]/Log_2018[[#This Row],[Split_raw]]*MAX(0,MIN(_xlfn.DAYS(EDATE(P$1,1),Log_2018[[#This Row],[Date]]),Log_2018[[#This Row],[Split_apply]])) - SUM($O601:O601)</f>
        <v>0</v>
      </c>
      <c r="Q601" s="52">
        <f ca="1">Log_2018[[#This Row],[Amount]]/Log_2018[[#This Row],[Split_raw]]*MAX(0,MIN(_xlfn.DAYS(EDATE(Q$1,1),Log_2018[[#This Row],[Date]]),Log_2018[[#This Row],[Split_apply]])) - SUM($O601:P601)</f>
        <v>0</v>
      </c>
      <c r="R601" s="52">
        <f ca="1">Log_2018[[#This Row],[Amount]]/Log_2018[[#This Row],[Split_raw]]*MAX(0,MIN(_xlfn.DAYS(EDATE(R$1,1),Log_2018[[#This Row],[Date]]),Log_2018[[#This Row],[Split_apply]])) - SUM($O601:Q601)</f>
        <v>-3565.21</v>
      </c>
      <c r="S601" s="52">
        <f ca="1">Log_2018[[#This Row],[Amount]]/Log_2018[[#This Row],[Split_raw]]*MAX(0,MIN(_xlfn.DAYS(EDATE(S$1,1),Log_2018[[#This Row],[Date]]),Log_2018[[#This Row],[Split_apply]])) - SUM($O601:R601)</f>
        <v>0</v>
      </c>
      <c r="T601" s="52">
        <f ca="1">Log_2018[[#This Row],[Amount]]/Log_2018[[#This Row],[Split_raw]]*MAX(0,MIN(_xlfn.DAYS(EDATE(T$1,1),Log_2018[[#This Row],[Date]]),Log_2018[[#This Row],[Split_apply]])) - SUM($O601:S601)</f>
        <v>0</v>
      </c>
      <c r="U601" s="52">
        <f ca="1">Log_2018[[#This Row],[Amount]]/Log_2018[[#This Row],[Split_raw]]*MAX(0,MIN(_xlfn.DAYS(EDATE(U$1,1),Log_2018[[#This Row],[Date]]),Log_2018[[#This Row],[Split_apply]])) - SUM($O601:T601)</f>
        <v>0</v>
      </c>
      <c r="V601" s="52">
        <f ca="1">Log_2018[[#This Row],[Amount]]/Log_2018[[#This Row],[Split_raw]]*MAX(0,MIN(_xlfn.DAYS(EDATE(V$1,1),Log_2018[[#This Row],[Date]]),Log_2018[[#This Row],[Split_apply]])) - SUM($O601:U601)</f>
        <v>0</v>
      </c>
      <c r="W601" s="52">
        <f ca="1">Log_2018[[#This Row],[Amount]]/Log_2018[[#This Row],[Split_raw]]*MAX(0,MIN(_xlfn.DAYS(EDATE(W$1,1),Log_2018[[#This Row],[Date]]),Log_2018[[#This Row],[Split_apply]])) - SUM($O601:V601)</f>
        <v>0</v>
      </c>
      <c r="X601" s="52">
        <f ca="1">Log_2018[[#This Row],[Amount]]/Log_2018[[#This Row],[Split_raw]]*MAX(0,MIN(_xlfn.DAYS(EDATE(X$1,1),Log_2018[[#This Row],[Date]]),Log_2018[[#This Row],[Split_apply]])) - SUM($O601:W601)</f>
        <v>0</v>
      </c>
      <c r="Y601" s="52">
        <f ca="1">Log_2018[[#This Row],[Amount]]/Log_2018[[#This Row],[Split_raw]]*MAX(0,MIN(_xlfn.DAYS(EDATE(Y$1,1),Log_2018[[#This Row],[Date]]),Log_2018[[#This Row],[Split_apply]])) - SUM($O601:X601)</f>
        <v>0</v>
      </c>
      <c r="Z601" s="52">
        <f ca="1">Log_2018[[#This Row],[Amount]]/Log_2018[[#This Row],[Split_raw]]*MAX(0,MIN(_xlfn.DAYS(EDATE(Z$1,1),Log_2018[[#This Row],[Date]]),Log_2018[[#This Row],[Split_apply]])) - SUM($O601:Y601)</f>
        <v>0</v>
      </c>
      <c r="AA601" s="52">
        <f ca="1">Log_2018[[#This Row],[Amount]]/Log_2018[[#This Row],[Split_raw]]*MAX(0,MIN(_xlfn.DAYS(EDATE(AA$1,1),Log_2018[[#This Row],[Date]]),Log_2018[[#This Row],[Split_apply]])) - SUM($O601:Z601)</f>
        <v>0</v>
      </c>
      <c r="AB601" s="54">
        <f ca="1">Log_2018[[#This Row],[Amount]]-SUM(O601:AA601)</f>
        <v>0</v>
      </c>
      <c r="AC601" s="7">
        <f ca="1">MAX(0,Log_2018[[#This Row],[Split_apply]] - (EDATE(AA$1,1)-Log_2018[[#This Row],[Date]]))</f>
        <v>0</v>
      </c>
    </row>
    <row r="602" spans="1:29" hidden="1" x14ac:dyDescent="0.25">
      <c r="A602" s="115"/>
      <c r="B602" t="s">
        <v>6</v>
      </c>
      <c r="D602" s="26">
        <v>43179</v>
      </c>
      <c r="F602" t="s">
        <v>59</v>
      </c>
      <c r="G602" t="s">
        <v>25</v>
      </c>
      <c r="H602" s="3">
        <v>-7.94</v>
      </c>
      <c r="I602" s="36">
        <f>IF(Log_2018[[#This Row],[My Category]]="NONTRACKED",0,Log_2018[[#This Row],[Raw Amount]])</f>
        <v>-7.94</v>
      </c>
      <c r="J602" s="17">
        <f>ABS(Log_2018[[#This Row],[Amount]])</f>
        <v>7.94</v>
      </c>
      <c r="K602" s="66">
        <v>1</v>
      </c>
      <c r="L602" s="66">
        <f ca="1">IF(Log_2018[[#This Row],[Date]]&lt;=TODAY(), MIN(Log_2018[[#This Row],[Split_raw]], TODAY()-Log_2018[[#This Row],[Date]]+1), 0)</f>
        <v>1</v>
      </c>
      <c r="M602" t="s">
        <v>35</v>
      </c>
      <c r="N602" t="s">
        <v>158</v>
      </c>
      <c r="O602" s="50">
        <v>0</v>
      </c>
      <c r="P602" s="52">
        <f ca="1">Log_2018[[#This Row],[Amount]]/Log_2018[[#This Row],[Split_raw]]*MAX(0,MIN(_xlfn.DAYS(EDATE(P$1,1),Log_2018[[#This Row],[Date]]),Log_2018[[#This Row],[Split_apply]])) - SUM($O602:O602)</f>
        <v>0</v>
      </c>
      <c r="Q602" s="52">
        <f ca="1">Log_2018[[#This Row],[Amount]]/Log_2018[[#This Row],[Split_raw]]*MAX(0,MIN(_xlfn.DAYS(EDATE(Q$1,1),Log_2018[[#This Row],[Date]]),Log_2018[[#This Row],[Split_apply]])) - SUM($O602:P602)</f>
        <v>0</v>
      </c>
      <c r="R602" s="52">
        <f ca="1">Log_2018[[#This Row],[Amount]]/Log_2018[[#This Row],[Split_raw]]*MAX(0,MIN(_xlfn.DAYS(EDATE(R$1,1),Log_2018[[#This Row],[Date]]),Log_2018[[#This Row],[Split_apply]])) - SUM($O602:Q602)</f>
        <v>-7.94</v>
      </c>
      <c r="S602" s="52">
        <f ca="1">Log_2018[[#This Row],[Amount]]/Log_2018[[#This Row],[Split_raw]]*MAX(0,MIN(_xlfn.DAYS(EDATE(S$1,1),Log_2018[[#This Row],[Date]]),Log_2018[[#This Row],[Split_apply]])) - SUM($O602:R602)</f>
        <v>0</v>
      </c>
      <c r="T602" s="52">
        <f ca="1">Log_2018[[#This Row],[Amount]]/Log_2018[[#This Row],[Split_raw]]*MAX(0,MIN(_xlfn.DAYS(EDATE(T$1,1),Log_2018[[#This Row],[Date]]),Log_2018[[#This Row],[Split_apply]])) - SUM($O602:S602)</f>
        <v>0</v>
      </c>
      <c r="U602" s="52">
        <f ca="1">Log_2018[[#This Row],[Amount]]/Log_2018[[#This Row],[Split_raw]]*MAX(0,MIN(_xlfn.DAYS(EDATE(U$1,1),Log_2018[[#This Row],[Date]]),Log_2018[[#This Row],[Split_apply]])) - SUM($O602:T602)</f>
        <v>0</v>
      </c>
      <c r="V602" s="52">
        <f ca="1">Log_2018[[#This Row],[Amount]]/Log_2018[[#This Row],[Split_raw]]*MAX(0,MIN(_xlfn.DAYS(EDATE(V$1,1),Log_2018[[#This Row],[Date]]),Log_2018[[#This Row],[Split_apply]])) - SUM($O602:U602)</f>
        <v>0</v>
      </c>
      <c r="W602" s="52">
        <f ca="1">Log_2018[[#This Row],[Amount]]/Log_2018[[#This Row],[Split_raw]]*MAX(0,MIN(_xlfn.DAYS(EDATE(W$1,1),Log_2018[[#This Row],[Date]]),Log_2018[[#This Row],[Split_apply]])) - SUM($O602:V602)</f>
        <v>0</v>
      </c>
      <c r="X602" s="52">
        <f ca="1">Log_2018[[#This Row],[Amount]]/Log_2018[[#This Row],[Split_raw]]*MAX(0,MIN(_xlfn.DAYS(EDATE(X$1,1),Log_2018[[#This Row],[Date]]),Log_2018[[#This Row],[Split_apply]])) - SUM($O602:W602)</f>
        <v>0</v>
      </c>
      <c r="Y602" s="52">
        <f ca="1">Log_2018[[#This Row],[Amount]]/Log_2018[[#This Row],[Split_raw]]*MAX(0,MIN(_xlfn.DAYS(EDATE(Y$1,1),Log_2018[[#This Row],[Date]]),Log_2018[[#This Row],[Split_apply]])) - SUM($O602:X602)</f>
        <v>0</v>
      </c>
      <c r="Z602" s="52">
        <f ca="1">Log_2018[[#This Row],[Amount]]/Log_2018[[#This Row],[Split_raw]]*MAX(0,MIN(_xlfn.DAYS(EDATE(Z$1,1),Log_2018[[#This Row],[Date]]),Log_2018[[#This Row],[Split_apply]])) - SUM($O602:Y602)</f>
        <v>0</v>
      </c>
      <c r="AA602" s="52">
        <f ca="1">Log_2018[[#This Row],[Amount]]/Log_2018[[#This Row],[Split_raw]]*MAX(0,MIN(_xlfn.DAYS(EDATE(AA$1,1),Log_2018[[#This Row],[Date]]),Log_2018[[#This Row],[Split_apply]])) - SUM($O602:Z602)</f>
        <v>0</v>
      </c>
      <c r="AB602" s="54">
        <f ca="1">Log_2018[[#This Row],[Amount]]-SUM(O602:AA602)</f>
        <v>0</v>
      </c>
      <c r="AC602" s="7">
        <f ca="1">MAX(0,Log_2018[[#This Row],[Split_apply]] - (EDATE(AA$1,1)-Log_2018[[#This Row],[Date]]))</f>
        <v>0</v>
      </c>
    </row>
    <row r="603" spans="1:29" hidden="1" x14ac:dyDescent="0.25">
      <c r="A603" s="115"/>
      <c r="B603" t="s">
        <v>6</v>
      </c>
      <c r="D603" s="26">
        <v>43179</v>
      </c>
      <c r="F603" t="s">
        <v>67</v>
      </c>
      <c r="G603" t="s">
        <v>25</v>
      </c>
      <c r="H603" s="3">
        <v>-11.33</v>
      </c>
      <c r="I603" s="36">
        <f>IF(Log_2018[[#This Row],[My Category]]="NONTRACKED",0,Log_2018[[#This Row],[Raw Amount]])</f>
        <v>-11.33</v>
      </c>
      <c r="J603" s="17">
        <f>ABS(Log_2018[[#This Row],[Amount]])</f>
        <v>11.33</v>
      </c>
      <c r="K603" s="66">
        <v>1</v>
      </c>
      <c r="L603" s="66">
        <f ca="1">IF(Log_2018[[#This Row],[Date]]&lt;=TODAY(), MIN(Log_2018[[#This Row],[Split_raw]], TODAY()-Log_2018[[#This Row],[Date]]+1), 0)</f>
        <v>1</v>
      </c>
      <c r="M603" t="s">
        <v>35</v>
      </c>
      <c r="N603" t="s">
        <v>158</v>
      </c>
      <c r="O603" s="50">
        <v>0</v>
      </c>
      <c r="P603" s="52">
        <f ca="1">Log_2018[[#This Row],[Amount]]/Log_2018[[#This Row],[Split_raw]]*MAX(0,MIN(_xlfn.DAYS(EDATE(P$1,1),Log_2018[[#This Row],[Date]]),Log_2018[[#This Row],[Split_apply]])) - SUM($O603:O603)</f>
        <v>0</v>
      </c>
      <c r="Q603" s="52">
        <f ca="1">Log_2018[[#This Row],[Amount]]/Log_2018[[#This Row],[Split_raw]]*MAX(0,MIN(_xlfn.DAYS(EDATE(Q$1,1),Log_2018[[#This Row],[Date]]),Log_2018[[#This Row],[Split_apply]])) - SUM($O603:P603)</f>
        <v>0</v>
      </c>
      <c r="R603" s="52">
        <f ca="1">Log_2018[[#This Row],[Amount]]/Log_2018[[#This Row],[Split_raw]]*MAX(0,MIN(_xlfn.DAYS(EDATE(R$1,1),Log_2018[[#This Row],[Date]]),Log_2018[[#This Row],[Split_apply]])) - SUM($O603:Q603)</f>
        <v>-11.33</v>
      </c>
      <c r="S603" s="52">
        <f ca="1">Log_2018[[#This Row],[Amount]]/Log_2018[[#This Row],[Split_raw]]*MAX(0,MIN(_xlfn.DAYS(EDATE(S$1,1),Log_2018[[#This Row],[Date]]),Log_2018[[#This Row],[Split_apply]])) - SUM($O603:R603)</f>
        <v>0</v>
      </c>
      <c r="T603" s="52">
        <f ca="1">Log_2018[[#This Row],[Amount]]/Log_2018[[#This Row],[Split_raw]]*MAX(0,MIN(_xlfn.DAYS(EDATE(T$1,1),Log_2018[[#This Row],[Date]]),Log_2018[[#This Row],[Split_apply]])) - SUM($O603:S603)</f>
        <v>0</v>
      </c>
      <c r="U603" s="52">
        <f ca="1">Log_2018[[#This Row],[Amount]]/Log_2018[[#This Row],[Split_raw]]*MAX(0,MIN(_xlfn.DAYS(EDATE(U$1,1),Log_2018[[#This Row],[Date]]),Log_2018[[#This Row],[Split_apply]])) - SUM($O603:T603)</f>
        <v>0</v>
      </c>
      <c r="V603" s="52">
        <f ca="1">Log_2018[[#This Row],[Amount]]/Log_2018[[#This Row],[Split_raw]]*MAX(0,MIN(_xlfn.DAYS(EDATE(V$1,1),Log_2018[[#This Row],[Date]]),Log_2018[[#This Row],[Split_apply]])) - SUM($O603:U603)</f>
        <v>0</v>
      </c>
      <c r="W603" s="52">
        <f ca="1">Log_2018[[#This Row],[Amount]]/Log_2018[[#This Row],[Split_raw]]*MAX(0,MIN(_xlfn.DAYS(EDATE(W$1,1),Log_2018[[#This Row],[Date]]),Log_2018[[#This Row],[Split_apply]])) - SUM($O603:V603)</f>
        <v>0</v>
      </c>
      <c r="X603" s="52">
        <f ca="1">Log_2018[[#This Row],[Amount]]/Log_2018[[#This Row],[Split_raw]]*MAX(0,MIN(_xlfn.DAYS(EDATE(X$1,1),Log_2018[[#This Row],[Date]]),Log_2018[[#This Row],[Split_apply]])) - SUM($O603:W603)</f>
        <v>0</v>
      </c>
      <c r="Y603" s="52">
        <f ca="1">Log_2018[[#This Row],[Amount]]/Log_2018[[#This Row],[Split_raw]]*MAX(0,MIN(_xlfn.DAYS(EDATE(Y$1,1),Log_2018[[#This Row],[Date]]),Log_2018[[#This Row],[Split_apply]])) - SUM($O603:X603)</f>
        <v>0</v>
      </c>
      <c r="Z603" s="52">
        <f ca="1">Log_2018[[#This Row],[Amount]]/Log_2018[[#This Row],[Split_raw]]*MAX(0,MIN(_xlfn.DAYS(EDATE(Z$1,1),Log_2018[[#This Row],[Date]]),Log_2018[[#This Row],[Split_apply]])) - SUM($O603:Y603)</f>
        <v>0</v>
      </c>
      <c r="AA603" s="52">
        <f ca="1">Log_2018[[#This Row],[Amount]]/Log_2018[[#This Row],[Split_raw]]*MAX(0,MIN(_xlfn.DAYS(EDATE(AA$1,1),Log_2018[[#This Row],[Date]]),Log_2018[[#This Row],[Split_apply]])) - SUM($O603:Z603)</f>
        <v>0</v>
      </c>
      <c r="AB603" s="54">
        <f ca="1">Log_2018[[#This Row],[Amount]]-SUM(O603:AA603)</f>
        <v>0</v>
      </c>
      <c r="AC603" s="7">
        <f ca="1">MAX(0,Log_2018[[#This Row],[Split_apply]] - (EDATE(AA$1,1)-Log_2018[[#This Row],[Date]]))</f>
        <v>0</v>
      </c>
    </row>
    <row r="604" spans="1:29" hidden="1" x14ac:dyDescent="0.25">
      <c r="A604" s="115"/>
      <c r="B604" t="s">
        <v>6</v>
      </c>
      <c r="D604" s="26">
        <v>43179</v>
      </c>
      <c r="F604" t="s">
        <v>67</v>
      </c>
      <c r="G604" t="s">
        <v>25</v>
      </c>
      <c r="H604" s="3">
        <v>-26.32</v>
      </c>
      <c r="I604" s="36">
        <f>IF(Log_2018[[#This Row],[My Category]]="NONTRACKED",0,Log_2018[[#This Row],[Raw Amount]])</f>
        <v>-26.32</v>
      </c>
      <c r="J604" s="17">
        <f>ABS(Log_2018[[#This Row],[Amount]])</f>
        <v>26.32</v>
      </c>
      <c r="K604" s="66">
        <v>1</v>
      </c>
      <c r="L604" s="66">
        <f ca="1">IF(Log_2018[[#This Row],[Date]]&lt;=TODAY(), MIN(Log_2018[[#This Row],[Split_raw]], TODAY()-Log_2018[[#This Row],[Date]]+1), 0)</f>
        <v>1</v>
      </c>
      <c r="M604" t="s">
        <v>52</v>
      </c>
      <c r="N604" t="s">
        <v>158</v>
      </c>
      <c r="O604" s="50">
        <v>0</v>
      </c>
      <c r="P604" s="52">
        <f ca="1">Log_2018[[#This Row],[Amount]]/Log_2018[[#This Row],[Split_raw]]*MAX(0,MIN(_xlfn.DAYS(EDATE(P$1,1),Log_2018[[#This Row],[Date]]),Log_2018[[#This Row],[Split_apply]])) - SUM($O604:O604)</f>
        <v>0</v>
      </c>
      <c r="Q604" s="52">
        <f ca="1">Log_2018[[#This Row],[Amount]]/Log_2018[[#This Row],[Split_raw]]*MAX(0,MIN(_xlfn.DAYS(EDATE(Q$1,1),Log_2018[[#This Row],[Date]]),Log_2018[[#This Row],[Split_apply]])) - SUM($O604:P604)</f>
        <v>0</v>
      </c>
      <c r="R604" s="52">
        <f ca="1">Log_2018[[#This Row],[Amount]]/Log_2018[[#This Row],[Split_raw]]*MAX(0,MIN(_xlfn.DAYS(EDATE(R$1,1),Log_2018[[#This Row],[Date]]),Log_2018[[#This Row],[Split_apply]])) - SUM($O604:Q604)</f>
        <v>-26.32</v>
      </c>
      <c r="S604" s="52">
        <f ca="1">Log_2018[[#This Row],[Amount]]/Log_2018[[#This Row],[Split_raw]]*MAX(0,MIN(_xlfn.DAYS(EDATE(S$1,1),Log_2018[[#This Row],[Date]]),Log_2018[[#This Row],[Split_apply]])) - SUM($O604:R604)</f>
        <v>0</v>
      </c>
      <c r="T604" s="52">
        <f ca="1">Log_2018[[#This Row],[Amount]]/Log_2018[[#This Row],[Split_raw]]*MAX(0,MIN(_xlfn.DAYS(EDATE(T$1,1),Log_2018[[#This Row],[Date]]),Log_2018[[#This Row],[Split_apply]])) - SUM($O604:S604)</f>
        <v>0</v>
      </c>
      <c r="U604" s="52">
        <f ca="1">Log_2018[[#This Row],[Amount]]/Log_2018[[#This Row],[Split_raw]]*MAX(0,MIN(_xlfn.DAYS(EDATE(U$1,1),Log_2018[[#This Row],[Date]]),Log_2018[[#This Row],[Split_apply]])) - SUM($O604:T604)</f>
        <v>0</v>
      </c>
      <c r="V604" s="52">
        <f ca="1">Log_2018[[#This Row],[Amount]]/Log_2018[[#This Row],[Split_raw]]*MAX(0,MIN(_xlfn.DAYS(EDATE(V$1,1),Log_2018[[#This Row],[Date]]),Log_2018[[#This Row],[Split_apply]])) - SUM($O604:U604)</f>
        <v>0</v>
      </c>
      <c r="W604" s="52">
        <f ca="1">Log_2018[[#This Row],[Amount]]/Log_2018[[#This Row],[Split_raw]]*MAX(0,MIN(_xlfn.DAYS(EDATE(W$1,1),Log_2018[[#This Row],[Date]]),Log_2018[[#This Row],[Split_apply]])) - SUM($O604:V604)</f>
        <v>0</v>
      </c>
      <c r="X604" s="52">
        <f ca="1">Log_2018[[#This Row],[Amount]]/Log_2018[[#This Row],[Split_raw]]*MAX(0,MIN(_xlfn.DAYS(EDATE(X$1,1),Log_2018[[#This Row],[Date]]),Log_2018[[#This Row],[Split_apply]])) - SUM($O604:W604)</f>
        <v>0</v>
      </c>
      <c r="Y604" s="52">
        <f ca="1">Log_2018[[#This Row],[Amount]]/Log_2018[[#This Row],[Split_raw]]*MAX(0,MIN(_xlfn.DAYS(EDATE(Y$1,1),Log_2018[[#This Row],[Date]]),Log_2018[[#This Row],[Split_apply]])) - SUM($O604:X604)</f>
        <v>0</v>
      </c>
      <c r="Z604" s="52">
        <f ca="1">Log_2018[[#This Row],[Amount]]/Log_2018[[#This Row],[Split_raw]]*MAX(0,MIN(_xlfn.DAYS(EDATE(Z$1,1),Log_2018[[#This Row],[Date]]),Log_2018[[#This Row],[Split_apply]])) - SUM($O604:Y604)</f>
        <v>0</v>
      </c>
      <c r="AA604" s="52">
        <f ca="1">Log_2018[[#This Row],[Amount]]/Log_2018[[#This Row],[Split_raw]]*MAX(0,MIN(_xlfn.DAYS(EDATE(AA$1,1),Log_2018[[#This Row],[Date]]),Log_2018[[#This Row],[Split_apply]])) - SUM($O604:Z604)</f>
        <v>0</v>
      </c>
      <c r="AB604" s="54">
        <f ca="1">Log_2018[[#This Row],[Amount]]-SUM(O604:AA604)</f>
        <v>0</v>
      </c>
      <c r="AC604" s="7">
        <f ca="1">MAX(0,Log_2018[[#This Row],[Split_apply]] - (EDATE(AA$1,1)-Log_2018[[#This Row],[Date]]))</f>
        <v>0</v>
      </c>
    </row>
    <row r="605" spans="1:29" hidden="1" x14ac:dyDescent="0.25">
      <c r="A605" s="115"/>
      <c r="B605" t="s">
        <v>6</v>
      </c>
      <c r="D605" s="26">
        <v>43178</v>
      </c>
      <c r="F605" t="s">
        <v>200</v>
      </c>
      <c r="G605" t="s">
        <v>27</v>
      </c>
      <c r="H605" s="3">
        <v>-38</v>
      </c>
      <c r="I605" s="36">
        <f>IF(Log_2018[[#This Row],[My Category]]="NONTRACKED",0,Log_2018[[#This Row],[Raw Amount]])</f>
        <v>-38</v>
      </c>
      <c r="J605" s="17">
        <f>ABS(Log_2018[[#This Row],[Amount]])</f>
        <v>38</v>
      </c>
      <c r="K605" s="66">
        <v>1</v>
      </c>
      <c r="L605" s="66">
        <f ca="1">IF(Log_2018[[#This Row],[Date]]&lt;=TODAY(), MIN(Log_2018[[#This Row],[Split_raw]], TODAY()-Log_2018[[#This Row],[Date]]+1), 0)</f>
        <v>1</v>
      </c>
      <c r="M605" t="s">
        <v>52</v>
      </c>
      <c r="N605" t="s">
        <v>158</v>
      </c>
      <c r="O605" s="50">
        <v>0</v>
      </c>
      <c r="P605" s="52">
        <f ca="1">Log_2018[[#This Row],[Amount]]/Log_2018[[#This Row],[Split_raw]]*MAX(0,MIN(_xlfn.DAYS(EDATE(P$1,1),Log_2018[[#This Row],[Date]]),Log_2018[[#This Row],[Split_apply]])) - SUM($O605:O605)</f>
        <v>0</v>
      </c>
      <c r="Q605" s="52">
        <f ca="1">Log_2018[[#This Row],[Amount]]/Log_2018[[#This Row],[Split_raw]]*MAX(0,MIN(_xlfn.DAYS(EDATE(Q$1,1),Log_2018[[#This Row],[Date]]),Log_2018[[#This Row],[Split_apply]])) - SUM($O605:P605)</f>
        <v>0</v>
      </c>
      <c r="R605" s="52">
        <f ca="1">Log_2018[[#This Row],[Amount]]/Log_2018[[#This Row],[Split_raw]]*MAX(0,MIN(_xlfn.DAYS(EDATE(R$1,1),Log_2018[[#This Row],[Date]]),Log_2018[[#This Row],[Split_apply]])) - SUM($O605:Q605)</f>
        <v>-38</v>
      </c>
      <c r="S605" s="52">
        <f ca="1">Log_2018[[#This Row],[Amount]]/Log_2018[[#This Row],[Split_raw]]*MAX(0,MIN(_xlfn.DAYS(EDATE(S$1,1),Log_2018[[#This Row],[Date]]),Log_2018[[#This Row],[Split_apply]])) - SUM($O605:R605)</f>
        <v>0</v>
      </c>
      <c r="T605" s="52">
        <f ca="1">Log_2018[[#This Row],[Amount]]/Log_2018[[#This Row],[Split_raw]]*MAX(0,MIN(_xlfn.DAYS(EDATE(T$1,1),Log_2018[[#This Row],[Date]]),Log_2018[[#This Row],[Split_apply]])) - SUM($O605:S605)</f>
        <v>0</v>
      </c>
      <c r="U605" s="52">
        <f ca="1">Log_2018[[#This Row],[Amount]]/Log_2018[[#This Row],[Split_raw]]*MAX(0,MIN(_xlfn.DAYS(EDATE(U$1,1),Log_2018[[#This Row],[Date]]),Log_2018[[#This Row],[Split_apply]])) - SUM($O605:T605)</f>
        <v>0</v>
      </c>
      <c r="V605" s="52">
        <f ca="1">Log_2018[[#This Row],[Amount]]/Log_2018[[#This Row],[Split_raw]]*MAX(0,MIN(_xlfn.DAYS(EDATE(V$1,1),Log_2018[[#This Row],[Date]]),Log_2018[[#This Row],[Split_apply]])) - SUM($O605:U605)</f>
        <v>0</v>
      </c>
      <c r="W605" s="52">
        <f ca="1">Log_2018[[#This Row],[Amount]]/Log_2018[[#This Row],[Split_raw]]*MAX(0,MIN(_xlfn.DAYS(EDATE(W$1,1),Log_2018[[#This Row],[Date]]),Log_2018[[#This Row],[Split_apply]])) - SUM($O605:V605)</f>
        <v>0</v>
      </c>
      <c r="X605" s="52">
        <f ca="1">Log_2018[[#This Row],[Amount]]/Log_2018[[#This Row],[Split_raw]]*MAX(0,MIN(_xlfn.DAYS(EDATE(X$1,1),Log_2018[[#This Row],[Date]]),Log_2018[[#This Row],[Split_apply]])) - SUM($O605:W605)</f>
        <v>0</v>
      </c>
      <c r="Y605" s="52">
        <f ca="1">Log_2018[[#This Row],[Amount]]/Log_2018[[#This Row],[Split_raw]]*MAX(0,MIN(_xlfn.DAYS(EDATE(Y$1,1),Log_2018[[#This Row],[Date]]),Log_2018[[#This Row],[Split_apply]])) - SUM($O605:X605)</f>
        <v>0</v>
      </c>
      <c r="Z605" s="52">
        <f ca="1">Log_2018[[#This Row],[Amount]]/Log_2018[[#This Row],[Split_raw]]*MAX(0,MIN(_xlfn.DAYS(EDATE(Z$1,1),Log_2018[[#This Row],[Date]]),Log_2018[[#This Row],[Split_apply]])) - SUM($O605:Y605)</f>
        <v>0</v>
      </c>
      <c r="AA605" s="52">
        <f ca="1">Log_2018[[#This Row],[Amount]]/Log_2018[[#This Row],[Split_raw]]*MAX(0,MIN(_xlfn.DAYS(EDATE(AA$1,1),Log_2018[[#This Row],[Date]]),Log_2018[[#This Row],[Split_apply]])) - SUM($O605:Z605)</f>
        <v>0</v>
      </c>
      <c r="AB605" s="54">
        <f ca="1">Log_2018[[#This Row],[Amount]]-SUM(O605:AA605)</f>
        <v>0</v>
      </c>
      <c r="AC605" s="7">
        <f ca="1">MAX(0,Log_2018[[#This Row],[Split_apply]] - (EDATE(AA$1,1)-Log_2018[[#This Row],[Date]]))</f>
        <v>0</v>
      </c>
    </row>
    <row r="606" spans="1:29" hidden="1" x14ac:dyDescent="0.25">
      <c r="A606" s="115"/>
      <c r="B606" t="s">
        <v>6</v>
      </c>
      <c r="D606" s="26">
        <v>43178</v>
      </c>
      <c r="F606" t="s">
        <v>59</v>
      </c>
      <c r="G606" t="s">
        <v>25</v>
      </c>
      <c r="H606" s="3">
        <v>-7.94</v>
      </c>
      <c r="I606" s="36">
        <f>IF(Log_2018[[#This Row],[My Category]]="NONTRACKED",0,Log_2018[[#This Row],[Raw Amount]])</f>
        <v>-7.94</v>
      </c>
      <c r="J606" s="17">
        <f>ABS(Log_2018[[#This Row],[Amount]])</f>
        <v>7.94</v>
      </c>
      <c r="K606" s="66">
        <v>1</v>
      </c>
      <c r="L606" s="66">
        <f ca="1">IF(Log_2018[[#This Row],[Date]]&lt;=TODAY(), MIN(Log_2018[[#This Row],[Split_raw]], TODAY()-Log_2018[[#This Row],[Date]]+1), 0)</f>
        <v>1</v>
      </c>
      <c r="M606" t="s">
        <v>35</v>
      </c>
      <c r="N606" t="s">
        <v>158</v>
      </c>
      <c r="O606" s="50">
        <v>0</v>
      </c>
      <c r="P606" s="52">
        <f ca="1">Log_2018[[#This Row],[Amount]]/Log_2018[[#This Row],[Split_raw]]*MAX(0,MIN(_xlfn.DAYS(EDATE(P$1,1),Log_2018[[#This Row],[Date]]),Log_2018[[#This Row],[Split_apply]])) - SUM($O606:O606)</f>
        <v>0</v>
      </c>
      <c r="Q606" s="52">
        <f ca="1">Log_2018[[#This Row],[Amount]]/Log_2018[[#This Row],[Split_raw]]*MAX(0,MIN(_xlfn.DAYS(EDATE(Q$1,1),Log_2018[[#This Row],[Date]]),Log_2018[[#This Row],[Split_apply]])) - SUM($O606:P606)</f>
        <v>0</v>
      </c>
      <c r="R606" s="52">
        <f ca="1">Log_2018[[#This Row],[Amount]]/Log_2018[[#This Row],[Split_raw]]*MAX(0,MIN(_xlfn.DAYS(EDATE(R$1,1),Log_2018[[#This Row],[Date]]),Log_2018[[#This Row],[Split_apply]])) - SUM($O606:Q606)</f>
        <v>-7.94</v>
      </c>
      <c r="S606" s="52">
        <f ca="1">Log_2018[[#This Row],[Amount]]/Log_2018[[#This Row],[Split_raw]]*MAX(0,MIN(_xlfn.DAYS(EDATE(S$1,1),Log_2018[[#This Row],[Date]]),Log_2018[[#This Row],[Split_apply]])) - SUM($O606:R606)</f>
        <v>0</v>
      </c>
      <c r="T606" s="52">
        <f ca="1">Log_2018[[#This Row],[Amount]]/Log_2018[[#This Row],[Split_raw]]*MAX(0,MIN(_xlfn.DAYS(EDATE(T$1,1),Log_2018[[#This Row],[Date]]),Log_2018[[#This Row],[Split_apply]])) - SUM($O606:S606)</f>
        <v>0</v>
      </c>
      <c r="U606" s="52">
        <f ca="1">Log_2018[[#This Row],[Amount]]/Log_2018[[#This Row],[Split_raw]]*MAX(0,MIN(_xlfn.DAYS(EDATE(U$1,1),Log_2018[[#This Row],[Date]]),Log_2018[[#This Row],[Split_apply]])) - SUM($O606:T606)</f>
        <v>0</v>
      </c>
      <c r="V606" s="52">
        <f ca="1">Log_2018[[#This Row],[Amount]]/Log_2018[[#This Row],[Split_raw]]*MAX(0,MIN(_xlfn.DAYS(EDATE(V$1,1),Log_2018[[#This Row],[Date]]),Log_2018[[#This Row],[Split_apply]])) - SUM($O606:U606)</f>
        <v>0</v>
      </c>
      <c r="W606" s="52">
        <f ca="1">Log_2018[[#This Row],[Amount]]/Log_2018[[#This Row],[Split_raw]]*MAX(0,MIN(_xlfn.DAYS(EDATE(W$1,1),Log_2018[[#This Row],[Date]]),Log_2018[[#This Row],[Split_apply]])) - SUM($O606:V606)</f>
        <v>0</v>
      </c>
      <c r="X606" s="52">
        <f ca="1">Log_2018[[#This Row],[Amount]]/Log_2018[[#This Row],[Split_raw]]*MAX(0,MIN(_xlfn.DAYS(EDATE(X$1,1),Log_2018[[#This Row],[Date]]),Log_2018[[#This Row],[Split_apply]])) - SUM($O606:W606)</f>
        <v>0</v>
      </c>
      <c r="Y606" s="52">
        <f ca="1">Log_2018[[#This Row],[Amount]]/Log_2018[[#This Row],[Split_raw]]*MAX(0,MIN(_xlfn.DAYS(EDATE(Y$1,1),Log_2018[[#This Row],[Date]]),Log_2018[[#This Row],[Split_apply]])) - SUM($O606:X606)</f>
        <v>0</v>
      </c>
      <c r="Z606" s="52">
        <f ca="1">Log_2018[[#This Row],[Amount]]/Log_2018[[#This Row],[Split_raw]]*MAX(0,MIN(_xlfn.DAYS(EDATE(Z$1,1),Log_2018[[#This Row],[Date]]),Log_2018[[#This Row],[Split_apply]])) - SUM($O606:Y606)</f>
        <v>0</v>
      </c>
      <c r="AA606" s="52">
        <f ca="1">Log_2018[[#This Row],[Amount]]/Log_2018[[#This Row],[Split_raw]]*MAX(0,MIN(_xlfn.DAYS(EDATE(AA$1,1),Log_2018[[#This Row],[Date]]),Log_2018[[#This Row],[Split_apply]])) - SUM($O606:Z606)</f>
        <v>0</v>
      </c>
      <c r="AB606" s="54">
        <f ca="1">Log_2018[[#This Row],[Amount]]-SUM(O606:AA606)</f>
        <v>0</v>
      </c>
      <c r="AC606" s="7">
        <f ca="1">MAX(0,Log_2018[[#This Row],[Split_apply]] - (EDATE(AA$1,1)-Log_2018[[#This Row],[Date]]))</f>
        <v>0</v>
      </c>
    </row>
    <row r="607" spans="1:29" hidden="1" x14ac:dyDescent="0.25">
      <c r="A607" s="115"/>
      <c r="B607" t="s">
        <v>6</v>
      </c>
      <c r="D607" s="26">
        <v>43178</v>
      </c>
      <c r="F607" t="s">
        <v>201</v>
      </c>
      <c r="G607" t="s">
        <v>25</v>
      </c>
      <c r="H607" s="3">
        <v>-9.18</v>
      </c>
      <c r="I607" s="36">
        <f>IF(Log_2018[[#This Row],[My Category]]="NONTRACKED",0,Log_2018[[#This Row],[Raw Amount]])</f>
        <v>-9.18</v>
      </c>
      <c r="J607" s="17">
        <f>ABS(Log_2018[[#This Row],[Amount]])</f>
        <v>9.18</v>
      </c>
      <c r="K607" s="66">
        <v>1</v>
      </c>
      <c r="L607" s="66">
        <f ca="1">IF(Log_2018[[#This Row],[Date]]&lt;=TODAY(), MIN(Log_2018[[#This Row],[Split_raw]], TODAY()-Log_2018[[#This Row],[Date]]+1), 0)</f>
        <v>1</v>
      </c>
      <c r="M607" t="s">
        <v>35</v>
      </c>
      <c r="N607" t="s">
        <v>158</v>
      </c>
      <c r="O607" s="50">
        <v>0</v>
      </c>
      <c r="P607" s="52">
        <f ca="1">Log_2018[[#This Row],[Amount]]/Log_2018[[#This Row],[Split_raw]]*MAX(0,MIN(_xlfn.DAYS(EDATE(P$1,1),Log_2018[[#This Row],[Date]]),Log_2018[[#This Row],[Split_apply]])) - SUM($O607:O607)</f>
        <v>0</v>
      </c>
      <c r="Q607" s="52">
        <f ca="1">Log_2018[[#This Row],[Amount]]/Log_2018[[#This Row],[Split_raw]]*MAX(0,MIN(_xlfn.DAYS(EDATE(Q$1,1),Log_2018[[#This Row],[Date]]),Log_2018[[#This Row],[Split_apply]])) - SUM($O607:P607)</f>
        <v>0</v>
      </c>
      <c r="R607" s="52">
        <f ca="1">Log_2018[[#This Row],[Amount]]/Log_2018[[#This Row],[Split_raw]]*MAX(0,MIN(_xlfn.DAYS(EDATE(R$1,1),Log_2018[[#This Row],[Date]]),Log_2018[[#This Row],[Split_apply]])) - SUM($O607:Q607)</f>
        <v>-9.18</v>
      </c>
      <c r="S607" s="52">
        <f ca="1">Log_2018[[#This Row],[Amount]]/Log_2018[[#This Row],[Split_raw]]*MAX(0,MIN(_xlfn.DAYS(EDATE(S$1,1),Log_2018[[#This Row],[Date]]),Log_2018[[#This Row],[Split_apply]])) - SUM($O607:R607)</f>
        <v>0</v>
      </c>
      <c r="T607" s="52">
        <f ca="1">Log_2018[[#This Row],[Amount]]/Log_2018[[#This Row],[Split_raw]]*MAX(0,MIN(_xlfn.DAYS(EDATE(T$1,1),Log_2018[[#This Row],[Date]]),Log_2018[[#This Row],[Split_apply]])) - SUM($O607:S607)</f>
        <v>0</v>
      </c>
      <c r="U607" s="52">
        <f ca="1">Log_2018[[#This Row],[Amount]]/Log_2018[[#This Row],[Split_raw]]*MAX(0,MIN(_xlfn.DAYS(EDATE(U$1,1),Log_2018[[#This Row],[Date]]),Log_2018[[#This Row],[Split_apply]])) - SUM($O607:T607)</f>
        <v>0</v>
      </c>
      <c r="V607" s="52">
        <f ca="1">Log_2018[[#This Row],[Amount]]/Log_2018[[#This Row],[Split_raw]]*MAX(0,MIN(_xlfn.DAYS(EDATE(V$1,1),Log_2018[[#This Row],[Date]]),Log_2018[[#This Row],[Split_apply]])) - SUM($O607:U607)</f>
        <v>0</v>
      </c>
      <c r="W607" s="52">
        <f ca="1">Log_2018[[#This Row],[Amount]]/Log_2018[[#This Row],[Split_raw]]*MAX(0,MIN(_xlfn.DAYS(EDATE(W$1,1),Log_2018[[#This Row],[Date]]),Log_2018[[#This Row],[Split_apply]])) - SUM($O607:V607)</f>
        <v>0</v>
      </c>
      <c r="X607" s="52">
        <f ca="1">Log_2018[[#This Row],[Amount]]/Log_2018[[#This Row],[Split_raw]]*MAX(0,MIN(_xlfn.DAYS(EDATE(X$1,1),Log_2018[[#This Row],[Date]]),Log_2018[[#This Row],[Split_apply]])) - SUM($O607:W607)</f>
        <v>0</v>
      </c>
      <c r="Y607" s="52">
        <f ca="1">Log_2018[[#This Row],[Amount]]/Log_2018[[#This Row],[Split_raw]]*MAX(0,MIN(_xlfn.DAYS(EDATE(Y$1,1),Log_2018[[#This Row],[Date]]),Log_2018[[#This Row],[Split_apply]])) - SUM($O607:X607)</f>
        <v>0</v>
      </c>
      <c r="Z607" s="52">
        <f ca="1">Log_2018[[#This Row],[Amount]]/Log_2018[[#This Row],[Split_raw]]*MAX(0,MIN(_xlfn.DAYS(EDATE(Z$1,1),Log_2018[[#This Row],[Date]]),Log_2018[[#This Row],[Split_apply]])) - SUM($O607:Y607)</f>
        <v>0</v>
      </c>
      <c r="AA607" s="52">
        <f ca="1">Log_2018[[#This Row],[Amount]]/Log_2018[[#This Row],[Split_raw]]*MAX(0,MIN(_xlfn.DAYS(EDATE(AA$1,1),Log_2018[[#This Row],[Date]]),Log_2018[[#This Row],[Split_apply]])) - SUM($O607:Z607)</f>
        <v>0</v>
      </c>
      <c r="AB607" s="54">
        <f ca="1">Log_2018[[#This Row],[Amount]]-SUM(O607:AA607)</f>
        <v>0</v>
      </c>
      <c r="AC607" s="7">
        <f ca="1">MAX(0,Log_2018[[#This Row],[Split_apply]] - (EDATE(AA$1,1)-Log_2018[[#This Row],[Date]]))</f>
        <v>0</v>
      </c>
    </row>
    <row r="608" spans="1:29" hidden="1" x14ac:dyDescent="0.25">
      <c r="A608" s="115"/>
      <c r="B608" t="s">
        <v>6</v>
      </c>
      <c r="D608" s="39">
        <v>43176</v>
      </c>
      <c r="F608" t="s">
        <v>202</v>
      </c>
      <c r="G608" t="s">
        <v>203</v>
      </c>
      <c r="H608" s="3">
        <v>-1</v>
      </c>
      <c r="I608" s="36">
        <f>IF(Log_2018[[#This Row],[My Category]]="NONTRACKED",0,Log_2018[[#This Row],[Raw Amount]])</f>
        <v>-1</v>
      </c>
      <c r="J608" s="17">
        <f>ABS(Log_2018[[#This Row],[Amount]])</f>
        <v>1</v>
      </c>
      <c r="K608" s="66">
        <v>1</v>
      </c>
      <c r="L608" s="66">
        <f ca="1">IF(Log_2018[[#This Row],[Date]]&lt;=TODAY(), MIN(Log_2018[[#This Row],[Split_raw]], TODAY()-Log_2018[[#This Row],[Date]]+1), 0)</f>
        <v>1</v>
      </c>
      <c r="M608" t="s">
        <v>147</v>
      </c>
      <c r="N608" t="s">
        <v>158</v>
      </c>
      <c r="O608" s="50">
        <v>0</v>
      </c>
      <c r="P608" s="52">
        <f ca="1">Log_2018[[#This Row],[Amount]]/Log_2018[[#This Row],[Split_raw]]*MAX(0,MIN(_xlfn.DAYS(EDATE(P$1,1),Log_2018[[#This Row],[Date]]),Log_2018[[#This Row],[Split_apply]])) - SUM($O608:O608)</f>
        <v>0</v>
      </c>
      <c r="Q608" s="52">
        <f ca="1">Log_2018[[#This Row],[Amount]]/Log_2018[[#This Row],[Split_raw]]*MAX(0,MIN(_xlfn.DAYS(EDATE(Q$1,1),Log_2018[[#This Row],[Date]]),Log_2018[[#This Row],[Split_apply]])) - SUM($O608:P608)</f>
        <v>0</v>
      </c>
      <c r="R608" s="52">
        <f ca="1">Log_2018[[#This Row],[Amount]]/Log_2018[[#This Row],[Split_raw]]*MAX(0,MIN(_xlfn.DAYS(EDATE(R$1,1),Log_2018[[#This Row],[Date]]),Log_2018[[#This Row],[Split_apply]])) - SUM($O608:Q608)</f>
        <v>-1</v>
      </c>
      <c r="S608" s="52">
        <f ca="1">Log_2018[[#This Row],[Amount]]/Log_2018[[#This Row],[Split_raw]]*MAX(0,MIN(_xlfn.DAYS(EDATE(S$1,1),Log_2018[[#This Row],[Date]]),Log_2018[[#This Row],[Split_apply]])) - SUM($O608:R608)</f>
        <v>0</v>
      </c>
      <c r="T608" s="52">
        <f ca="1">Log_2018[[#This Row],[Amount]]/Log_2018[[#This Row],[Split_raw]]*MAX(0,MIN(_xlfn.DAYS(EDATE(T$1,1),Log_2018[[#This Row],[Date]]),Log_2018[[#This Row],[Split_apply]])) - SUM($O608:S608)</f>
        <v>0</v>
      </c>
      <c r="U608" s="52">
        <f ca="1">Log_2018[[#This Row],[Amount]]/Log_2018[[#This Row],[Split_raw]]*MAX(0,MIN(_xlfn.DAYS(EDATE(U$1,1),Log_2018[[#This Row],[Date]]),Log_2018[[#This Row],[Split_apply]])) - SUM($O608:T608)</f>
        <v>0</v>
      </c>
      <c r="V608" s="52">
        <f ca="1">Log_2018[[#This Row],[Amount]]/Log_2018[[#This Row],[Split_raw]]*MAX(0,MIN(_xlfn.DAYS(EDATE(V$1,1),Log_2018[[#This Row],[Date]]),Log_2018[[#This Row],[Split_apply]])) - SUM($O608:U608)</f>
        <v>0</v>
      </c>
      <c r="W608" s="52">
        <f ca="1">Log_2018[[#This Row],[Amount]]/Log_2018[[#This Row],[Split_raw]]*MAX(0,MIN(_xlfn.DAYS(EDATE(W$1,1),Log_2018[[#This Row],[Date]]),Log_2018[[#This Row],[Split_apply]])) - SUM($O608:V608)</f>
        <v>0</v>
      </c>
      <c r="X608" s="52">
        <f ca="1">Log_2018[[#This Row],[Amount]]/Log_2018[[#This Row],[Split_raw]]*MAX(0,MIN(_xlfn.DAYS(EDATE(X$1,1),Log_2018[[#This Row],[Date]]),Log_2018[[#This Row],[Split_apply]])) - SUM($O608:W608)</f>
        <v>0</v>
      </c>
      <c r="Y608" s="52">
        <f ca="1">Log_2018[[#This Row],[Amount]]/Log_2018[[#This Row],[Split_raw]]*MAX(0,MIN(_xlfn.DAYS(EDATE(Y$1,1),Log_2018[[#This Row],[Date]]),Log_2018[[#This Row],[Split_apply]])) - SUM($O608:X608)</f>
        <v>0</v>
      </c>
      <c r="Z608" s="52">
        <f ca="1">Log_2018[[#This Row],[Amount]]/Log_2018[[#This Row],[Split_raw]]*MAX(0,MIN(_xlfn.DAYS(EDATE(Z$1,1),Log_2018[[#This Row],[Date]]),Log_2018[[#This Row],[Split_apply]])) - SUM($O608:Y608)</f>
        <v>0</v>
      </c>
      <c r="AA608" s="52">
        <f ca="1">Log_2018[[#This Row],[Amount]]/Log_2018[[#This Row],[Split_raw]]*MAX(0,MIN(_xlfn.DAYS(EDATE(AA$1,1),Log_2018[[#This Row],[Date]]),Log_2018[[#This Row],[Split_apply]])) - SUM($O608:Z608)</f>
        <v>0</v>
      </c>
      <c r="AB608" s="54">
        <f ca="1">Log_2018[[#This Row],[Amount]]-SUM(O608:AA608)</f>
        <v>0</v>
      </c>
      <c r="AC608" s="7">
        <f ca="1">MAX(0,Log_2018[[#This Row],[Split_apply]] - (EDATE(AA$1,1)-Log_2018[[#This Row],[Date]]))</f>
        <v>0</v>
      </c>
    </row>
    <row r="609" spans="1:29" hidden="1" x14ac:dyDescent="0.25">
      <c r="A609" s="115"/>
      <c r="B609" t="s">
        <v>6</v>
      </c>
      <c r="D609" s="39">
        <v>43175</v>
      </c>
      <c r="F609" t="s">
        <v>59</v>
      </c>
      <c r="G609" t="s">
        <v>25</v>
      </c>
      <c r="H609" s="3">
        <v>-7.94</v>
      </c>
      <c r="I609" s="36">
        <f>IF(Log_2018[[#This Row],[My Category]]="NONTRACKED",0,Log_2018[[#This Row],[Raw Amount]])</f>
        <v>-7.94</v>
      </c>
      <c r="J609" s="17">
        <f>ABS(Log_2018[[#This Row],[Amount]])</f>
        <v>7.94</v>
      </c>
      <c r="K609" s="66">
        <v>1</v>
      </c>
      <c r="L609" s="66">
        <f ca="1">IF(Log_2018[[#This Row],[Date]]&lt;=TODAY(), MIN(Log_2018[[#This Row],[Split_raw]], TODAY()-Log_2018[[#This Row],[Date]]+1), 0)</f>
        <v>1</v>
      </c>
      <c r="M609" t="s">
        <v>35</v>
      </c>
      <c r="N609" t="s">
        <v>158</v>
      </c>
      <c r="O609" s="50">
        <v>0</v>
      </c>
      <c r="P609" s="52">
        <f ca="1">Log_2018[[#This Row],[Amount]]/Log_2018[[#This Row],[Split_raw]]*MAX(0,MIN(_xlfn.DAYS(EDATE(P$1,1),Log_2018[[#This Row],[Date]]),Log_2018[[#This Row],[Split_apply]])) - SUM($O609:O609)</f>
        <v>0</v>
      </c>
      <c r="Q609" s="52">
        <f ca="1">Log_2018[[#This Row],[Amount]]/Log_2018[[#This Row],[Split_raw]]*MAX(0,MIN(_xlfn.DAYS(EDATE(Q$1,1),Log_2018[[#This Row],[Date]]),Log_2018[[#This Row],[Split_apply]])) - SUM($O609:P609)</f>
        <v>0</v>
      </c>
      <c r="R609" s="52">
        <f ca="1">Log_2018[[#This Row],[Amount]]/Log_2018[[#This Row],[Split_raw]]*MAX(0,MIN(_xlfn.DAYS(EDATE(R$1,1),Log_2018[[#This Row],[Date]]),Log_2018[[#This Row],[Split_apply]])) - SUM($O609:Q609)</f>
        <v>-7.94</v>
      </c>
      <c r="S609" s="52">
        <f ca="1">Log_2018[[#This Row],[Amount]]/Log_2018[[#This Row],[Split_raw]]*MAX(0,MIN(_xlfn.DAYS(EDATE(S$1,1),Log_2018[[#This Row],[Date]]),Log_2018[[#This Row],[Split_apply]])) - SUM($O609:R609)</f>
        <v>0</v>
      </c>
      <c r="T609" s="52">
        <f ca="1">Log_2018[[#This Row],[Amount]]/Log_2018[[#This Row],[Split_raw]]*MAX(0,MIN(_xlfn.DAYS(EDATE(T$1,1),Log_2018[[#This Row],[Date]]),Log_2018[[#This Row],[Split_apply]])) - SUM($O609:S609)</f>
        <v>0</v>
      </c>
      <c r="U609" s="52">
        <f ca="1">Log_2018[[#This Row],[Amount]]/Log_2018[[#This Row],[Split_raw]]*MAX(0,MIN(_xlfn.DAYS(EDATE(U$1,1),Log_2018[[#This Row],[Date]]),Log_2018[[#This Row],[Split_apply]])) - SUM($O609:T609)</f>
        <v>0</v>
      </c>
      <c r="V609" s="52">
        <f ca="1">Log_2018[[#This Row],[Amount]]/Log_2018[[#This Row],[Split_raw]]*MAX(0,MIN(_xlfn.DAYS(EDATE(V$1,1),Log_2018[[#This Row],[Date]]),Log_2018[[#This Row],[Split_apply]])) - SUM($O609:U609)</f>
        <v>0</v>
      </c>
      <c r="W609" s="52">
        <f ca="1">Log_2018[[#This Row],[Amount]]/Log_2018[[#This Row],[Split_raw]]*MAX(0,MIN(_xlfn.DAYS(EDATE(W$1,1),Log_2018[[#This Row],[Date]]),Log_2018[[#This Row],[Split_apply]])) - SUM($O609:V609)</f>
        <v>0</v>
      </c>
      <c r="X609" s="52">
        <f ca="1">Log_2018[[#This Row],[Amount]]/Log_2018[[#This Row],[Split_raw]]*MAX(0,MIN(_xlfn.DAYS(EDATE(X$1,1),Log_2018[[#This Row],[Date]]),Log_2018[[#This Row],[Split_apply]])) - SUM($O609:W609)</f>
        <v>0</v>
      </c>
      <c r="Y609" s="52">
        <f ca="1">Log_2018[[#This Row],[Amount]]/Log_2018[[#This Row],[Split_raw]]*MAX(0,MIN(_xlfn.DAYS(EDATE(Y$1,1),Log_2018[[#This Row],[Date]]),Log_2018[[#This Row],[Split_apply]])) - SUM($O609:X609)</f>
        <v>0</v>
      </c>
      <c r="Z609" s="52">
        <f ca="1">Log_2018[[#This Row],[Amount]]/Log_2018[[#This Row],[Split_raw]]*MAX(0,MIN(_xlfn.DAYS(EDATE(Z$1,1),Log_2018[[#This Row],[Date]]),Log_2018[[#This Row],[Split_apply]])) - SUM($O609:Y609)</f>
        <v>0</v>
      </c>
      <c r="AA609" s="52">
        <f ca="1">Log_2018[[#This Row],[Amount]]/Log_2018[[#This Row],[Split_raw]]*MAX(0,MIN(_xlfn.DAYS(EDATE(AA$1,1),Log_2018[[#This Row],[Date]]),Log_2018[[#This Row],[Split_apply]])) - SUM($O609:Z609)</f>
        <v>0</v>
      </c>
      <c r="AB609" s="54">
        <f ca="1">Log_2018[[#This Row],[Amount]]-SUM(O609:AA609)</f>
        <v>0</v>
      </c>
      <c r="AC609" s="7">
        <f ca="1">MAX(0,Log_2018[[#This Row],[Split_apply]] - (EDATE(AA$1,1)-Log_2018[[#This Row],[Date]]))</f>
        <v>0</v>
      </c>
    </row>
    <row r="610" spans="1:29" hidden="1" x14ac:dyDescent="0.25">
      <c r="A610" s="115"/>
      <c r="B610" t="s">
        <v>6</v>
      </c>
      <c r="D610" s="39">
        <v>43175</v>
      </c>
      <c r="F610" t="s">
        <v>123</v>
      </c>
      <c r="G610" t="s">
        <v>87</v>
      </c>
      <c r="H610" s="3">
        <f>--22.62</f>
        <v>22.62</v>
      </c>
      <c r="I610" s="36">
        <f>IF(Log_2018[[#This Row],[My Category]]="NONTRACKED",0,Log_2018[[#This Row],[Raw Amount]])</f>
        <v>22.62</v>
      </c>
      <c r="J610" s="17">
        <f>ABS(Log_2018[[#This Row],[Amount]])</f>
        <v>22.62</v>
      </c>
      <c r="K610" s="66">
        <v>1</v>
      </c>
      <c r="L610" s="66">
        <f ca="1">IF(Log_2018[[#This Row],[Date]]&lt;=TODAY(), MIN(Log_2018[[#This Row],[Split_raw]], TODAY()-Log_2018[[#This Row],[Date]]+1), 0)</f>
        <v>1</v>
      </c>
      <c r="M610" t="s">
        <v>31</v>
      </c>
      <c r="N610" t="s">
        <v>160</v>
      </c>
      <c r="O610" s="50">
        <v>0</v>
      </c>
      <c r="P610" s="52">
        <f ca="1">Log_2018[[#This Row],[Amount]]/Log_2018[[#This Row],[Split_raw]]*MAX(0,MIN(_xlfn.DAYS(EDATE(P$1,1),Log_2018[[#This Row],[Date]]),Log_2018[[#This Row],[Split_apply]])) - SUM($O610:O610)</f>
        <v>0</v>
      </c>
      <c r="Q610" s="52">
        <f ca="1">Log_2018[[#This Row],[Amount]]/Log_2018[[#This Row],[Split_raw]]*MAX(0,MIN(_xlfn.DAYS(EDATE(Q$1,1),Log_2018[[#This Row],[Date]]),Log_2018[[#This Row],[Split_apply]])) - SUM($O610:P610)</f>
        <v>0</v>
      </c>
      <c r="R610" s="52">
        <f ca="1">Log_2018[[#This Row],[Amount]]/Log_2018[[#This Row],[Split_raw]]*MAX(0,MIN(_xlfn.DAYS(EDATE(R$1,1),Log_2018[[#This Row],[Date]]),Log_2018[[#This Row],[Split_apply]])) - SUM($O610:Q610)</f>
        <v>22.62</v>
      </c>
      <c r="S610" s="52">
        <f ca="1">Log_2018[[#This Row],[Amount]]/Log_2018[[#This Row],[Split_raw]]*MAX(0,MIN(_xlfn.DAYS(EDATE(S$1,1),Log_2018[[#This Row],[Date]]),Log_2018[[#This Row],[Split_apply]])) - SUM($O610:R610)</f>
        <v>0</v>
      </c>
      <c r="T610" s="52">
        <f ca="1">Log_2018[[#This Row],[Amount]]/Log_2018[[#This Row],[Split_raw]]*MAX(0,MIN(_xlfn.DAYS(EDATE(T$1,1),Log_2018[[#This Row],[Date]]),Log_2018[[#This Row],[Split_apply]])) - SUM($O610:S610)</f>
        <v>0</v>
      </c>
      <c r="U610" s="52">
        <f ca="1">Log_2018[[#This Row],[Amount]]/Log_2018[[#This Row],[Split_raw]]*MAX(0,MIN(_xlfn.DAYS(EDATE(U$1,1),Log_2018[[#This Row],[Date]]),Log_2018[[#This Row],[Split_apply]])) - SUM($O610:T610)</f>
        <v>0</v>
      </c>
      <c r="V610" s="52">
        <f ca="1">Log_2018[[#This Row],[Amount]]/Log_2018[[#This Row],[Split_raw]]*MAX(0,MIN(_xlfn.DAYS(EDATE(V$1,1),Log_2018[[#This Row],[Date]]),Log_2018[[#This Row],[Split_apply]])) - SUM($O610:U610)</f>
        <v>0</v>
      </c>
      <c r="W610" s="52">
        <f ca="1">Log_2018[[#This Row],[Amount]]/Log_2018[[#This Row],[Split_raw]]*MAX(0,MIN(_xlfn.DAYS(EDATE(W$1,1),Log_2018[[#This Row],[Date]]),Log_2018[[#This Row],[Split_apply]])) - SUM($O610:V610)</f>
        <v>0</v>
      </c>
      <c r="X610" s="52">
        <f ca="1">Log_2018[[#This Row],[Amount]]/Log_2018[[#This Row],[Split_raw]]*MAX(0,MIN(_xlfn.DAYS(EDATE(X$1,1),Log_2018[[#This Row],[Date]]),Log_2018[[#This Row],[Split_apply]])) - SUM($O610:W610)</f>
        <v>0</v>
      </c>
      <c r="Y610" s="52">
        <f ca="1">Log_2018[[#This Row],[Amount]]/Log_2018[[#This Row],[Split_raw]]*MAX(0,MIN(_xlfn.DAYS(EDATE(Y$1,1),Log_2018[[#This Row],[Date]]),Log_2018[[#This Row],[Split_apply]])) - SUM($O610:X610)</f>
        <v>0</v>
      </c>
      <c r="Z610" s="52">
        <f ca="1">Log_2018[[#This Row],[Amount]]/Log_2018[[#This Row],[Split_raw]]*MAX(0,MIN(_xlfn.DAYS(EDATE(Z$1,1),Log_2018[[#This Row],[Date]]),Log_2018[[#This Row],[Split_apply]])) - SUM($O610:Y610)</f>
        <v>0</v>
      </c>
      <c r="AA610" s="52">
        <f ca="1">Log_2018[[#This Row],[Amount]]/Log_2018[[#This Row],[Split_raw]]*MAX(0,MIN(_xlfn.DAYS(EDATE(AA$1,1),Log_2018[[#This Row],[Date]]),Log_2018[[#This Row],[Split_apply]])) - SUM($O610:Z610)</f>
        <v>0</v>
      </c>
      <c r="AB610" s="54">
        <f ca="1">Log_2018[[#This Row],[Amount]]-SUM(O610:AA610)</f>
        <v>0</v>
      </c>
      <c r="AC610" s="7">
        <f ca="1">MAX(0,Log_2018[[#This Row],[Split_apply]] - (EDATE(AA$1,1)-Log_2018[[#This Row],[Date]]))</f>
        <v>0</v>
      </c>
    </row>
    <row r="611" spans="1:29" hidden="1" x14ac:dyDescent="0.25">
      <c r="A611" s="115"/>
      <c r="B611" t="s">
        <v>191</v>
      </c>
      <c r="D611" s="39">
        <v>43174</v>
      </c>
      <c r="E611" t="s">
        <v>190</v>
      </c>
      <c r="F611" t="s">
        <v>179</v>
      </c>
      <c r="G611" t="s">
        <v>11</v>
      </c>
      <c r="H611" s="3">
        <v>-1142.6400000000001</v>
      </c>
      <c r="I611" s="36">
        <f>IF(Log_2018[[#This Row],[My Category]]="NONTRACKED",0,Log_2018[[#This Row],[Raw Amount]])</f>
        <v>-1142.6400000000001</v>
      </c>
      <c r="J611" s="17">
        <f>ABS(Log_2018[[#This Row],[Amount]])</f>
        <v>1142.6400000000001</v>
      </c>
      <c r="K611" s="66">
        <v>1</v>
      </c>
      <c r="L611" s="66">
        <f ca="1">IF(Log_2018[[#This Row],[Date]]&lt;=TODAY(), MIN(Log_2018[[#This Row],[Split_raw]], TODAY()-Log_2018[[#This Row],[Date]]+1), 0)</f>
        <v>1</v>
      </c>
      <c r="M611" t="s">
        <v>145</v>
      </c>
      <c r="N611" t="s">
        <v>158</v>
      </c>
      <c r="O611" s="50">
        <v>0</v>
      </c>
      <c r="P611" s="52">
        <f ca="1">Log_2018[[#This Row],[Amount]]/Log_2018[[#This Row],[Split_raw]]*MAX(0,MIN(_xlfn.DAYS(EDATE(P$1,1),Log_2018[[#This Row],[Date]]),Log_2018[[#This Row],[Split_apply]])) - SUM($O611:O611)</f>
        <v>0</v>
      </c>
      <c r="Q611" s="52">
        <f ca="1">Log_2018[[#This Row],[Amount]]/Log_2018[[#This Row],[Split_raw]]*MAX(0,MIN(_xlfn.DAYS(EDATE(Q$1,1),Log_2018[[#This Row],[Date]]),Log_2018[[#This Row],[Split_apply]])) - SUM($O611:P611)</f>
        <v>0</v>
      </c>
      <c r="R611" s="52">
        <f ca="1">Log_2018[[#This Row],[Amount]]/Log_2018[[#This Row],[Split_raw]]*MAX(0,MIN(_xlfn.DAYS(EDATE(R$1,1),Log_2018[[#This Row],[Date]]),Log_2018[[#This Row],[Split_apply]])) - SUM($O611:Q611)</f>
        <v>-1142.6400000000001</v>
      </c>
      <c r="S611" s="52">
        <f ca="1">Log_2018[[#This Row],[Amount]]/Log_2018[[#This Row],[Split_raw]]*MAX(0,MIN(_xlfn.DAYS(EDATE(S$1,1),Log_2018[[#This Row],[Date]]),Log_2018[[#This Row],[Split_apply]])) - SUM($O611:R611)</f>
        <v>0</v>
      </c>
      <c r="T611" s="52">
        <f ca="1">Log_2018[[#This Row],[Amount]]/Log_2018[[#This Row],[Split_raw]]*MAX(0,MIN(_xlfn.DAYS(EDATE(T$1,1),Log_2018[[#This Row],[Date]]),Log_2018[[#This Row],[Split_apply]])) - SUM($O611:S611)</f>
        <v>0</v>
      </c>
      <c r="U611" s="52">
        <f ca="1">Log_2018[[#This Row],[Amount]]/Log_2018[[#This Row],[Split_raw]]*MAX(0,MIN(_xlfn.DAYS(EDATE(U$1,1),Log_2018[[#This Row],[Date]]),Log_2018[[#This Row],[Split_apply]])) - SUM($O611:T611)</f>
        <v>0</v>
      </c>
      <c r="V611" s="52">
        <f ca="1">Log_2018[[#This Row],[Amount]]/Log_2018[[#This Row],[Split_raw]]*MAX(0,MIN(_xlfn.DAYS(EDATE(V$1,1),Log_2018[[#This Row],[Date]]),Log_2018[[#This Row],[Split_apply]])) - SUM($O611:U611)</f>
        <v>0</v>
      </c>
      <c r="W611" s="52">
        <f ca="1">Log_2018[[#This Row],[Amount]]/Log_2018[[#This Row],[Split_raw]]*MAX(0,MIN(_xlfn.DAYS(EDATE(W$1,1),Log_2018[[#This Row],[Date]]),Log_2018[[#This Row],[Split_apply]])) - SUM($O611:V611)</f>
        <v>0</v>
      </c>
      <c r="X611" s="52">
        <f ca="1">Log_2018[[#This Row],[Amount]]/Log_2018[[#This Row],[Split_raw]]*MAX(0,MIN(_xlfn.DAYS(EDATE(X$1,1),Log_2018[[#This Row],[Date]]),Log_2018[[#This Row],[Split_apply]])) - SUM($O611:W611)</f>
        <v>0</v>
      </c>
      <c r="Y611" s="52">
        <f ca="1">Log_2018[[#This Row],[Amount]]/Log_2018[[#This Row],[Split_raw]]*MAX(0,MIN(_xlfn.DAYS(EDATE(Y$1,1),Log_2018[[#This Row],[Date]]),Log_2018[[#This Row],[Split_apply]])) - SUM($O611:X611)</f>
        <v>0</v>
      </c>
      <c r="Z611" s="52">
        <f ca="1">Log_2018[[#This Row],[Amount]]/Log_2018[[#This Row],[Split_raw]]*MAX(0,MIN(_xlfn.DAYS(EDATE(Z$1,1),Log_2018[[#This Row],[Date]]),Log_2018[[#This Row],[Split_apply]])) - SUM($O611:Y611)</f>
        <v>0</v>
      </c>
      <c r="AA611" s="52">
        <f ca="1">Log_2018[[#This Row],[Amount]]/Log_2018[[#This Row],[Split_raw]]*MAX(0,MIN(_xlfn.DAYS(EDATE(AA$1,1),Log_2018[[#This Row],[Date]]),Log_2018[[#This Row],[Split_apply]])) - SUM($O611:Z611)</f>
        <v>0</v>
      </c>
      <c r="AB611" s="54">
        <f ca="1">Log_2018[[#This Row],[Amount]]-SUM(O611:AA611)</f>
        <v>0</v>
      </c>
      <c r="AC611" s="7">
        <f ca="1">MAX(0,Log_2018[[#This Row],[Split_apply]] - (EDATE(AA$1,1)-Log_2018[[#This Row],[Date]]))</f>
        <v>0</v>
      </c>
    </row>
    <row r="612" spans="1:29" hidden="1" x14ac:dyDescent="0.25">
      <c r="A612" s="115"/>
      <c r="B612" t="s">
        <v>96</v>
      </c>
      <c r="D612" s="39">
        <v>43174</v>
      </c>
      <c r="F612" t="s">
        <v>204</v>
      </c>
      <c r="H612" s="3">
        <v>6.25</v>
      </c>
      <c r="I612" s="36">
        <f>IF(Log_2018[[#This Row],[My Category]]="NONTRACKED",0,Log_2018[[#This Row],[Raw Amount]])</f>
        <v>6.25</v>
      </c>
      <c r="J612" s="17">
        <f>ABS(Log_2018[[#This Row],[Amount]])</f>
        <v>6.25</v>
      </c>
      <c r="K612" s="66">
        <v>1</v>
      </c>
      <c r="L612" s="66">
        <f ca="1">IF(Log_2018[[#This Row],[Date]]&lt;=TODAY(), MIN(Log_2018[[#This Row],[Split_raw]], TODAY()-Log_2018[[#This Row],[Date]]+1), 0)</f>
        <v>1</v>
      </c>
      <c r="M612" t="s">
        <v>35</v>
      </c>
      <c r="N612" t="s">
        <v>156</v>
      </c>
      <c r="O612" s="50">
        <v>0</v>
      </c>
      <c r="P612" s="52">
        <f ca="1">Log_2018[[#This Row],[Amount]]/Log_2018[[#This Row],[Split_raw]]*MAX(0,MIN(_xlfn.DAYS(EDATE(P$1,1),Log_2018[[#This Row],[Date]]),Log_2018[[#This Row],[Split_apply]])) - SUM($O612:O612)</f>
        <v>0</v>
      </c>
      <c r="Q612" s="52">
        <f ca="1">Log_2018[[#This Row],[Amount]]/Log_2018[[#This Row],[Split_raw]]*MAX(0,MIN(_xlfn.DAYS(EDATE(Q$1,1),Log_2018[[#This Row],[Date]]),Log_2018[[#This Row],[Split_apply]])) - SUM($O612:P612)</f>
        <v>0</v>
      </c>
      <c r="R612" s="52">
        <f ca="1">Log_2018[[#This Row],[Amount]]/Log_2018[[#This Row],[Split_raw]]*MAX(0,MIN(_xlfn.DAYS(EDATE(R$1,1),Log_2018[[#This Row],[Date]]),Log_2018[[#This Row],[Split_apply]])) - SUM($O612:Q612)</f>
        <v>6.25</v>
      </c>
      <c r="S612" s="52">
        <f ca="1">Log_2018[[#This Row],[Amount]]/Log_2018[[#This Row],[Split_raw]]*MAX(0,MIN(_xlfn.DAYS(EDATE(S$1,1),Log_2018[[#This Row],[Date]]),Log_2018[[#This Row],[Split_apply]])) - SUM($O612:R612)</f>
        <v>0</v>
      </c>
      <c r="T612" s="52">
        <f ca="1">Log_2018[[#This Row],[Amount]]/Log_2018[[#This Row],[Split_raw]]*MAX(0,MIN(_xlfn.DAYS(EDATE(T$1,1),Log_2018[[#This Row],[Date]]),Log_2018[[#This Row],[Split_apply]])) - SUM($O612:S612)</f>
        <v>0</v>
      </c>
      <c r="U612" s="52">
        <f ca="1">Log_2018[[#This Row],[Amount]]/Log_2018[[#This Row],[Split_raw]]*MAX(0,MIN(_xlfn.DAYS(EDATE(U$1,1),Log_2018[[#This Row],[Date]]),Log_2018[[#This Row],[Split_apply]])) - SUM($O612:T612)</f>
        <v>0</v>
      </c>
      <c r="V612" s="52">
        <f ca="1">Log_2018[[#This Row],[Amount]]/Log_2018[[#This Row],[Split_raw]]*MAX(0,MIN(_xlfn.DAYS(EDATE(V$1,1),Log_2018[[#This Row],[Date]]),Log_2018[[#This Row],[Split_apply]])) - SUM($O612:U612)</f>
        <v>0</v>
      </c>
      <c r="W612" s="52">
        <f ca="1">Log_2018[[#This Row],[Amount]]/Log_2018[[#This Row],[Split_raw]]*MAX(0,MIN(_xlfn.DAYS(EDATE(W$1,1),Log_2018[[#This Row],[Date]]),Log_2018[[#This Row],[Split_apply]])) - SUM($O612:V612)</f>
        <v>0</v>
      </c>
      <c r="X612" s="52">
        <f ca="1">Log_2018[[#This Row],[Amount]]/Log_2018[[#This Row],[Split_raw]]*MAX(0,MIN(_xlfn.DAYS(EDATE(X$1,1),Log_2018[[#This Row],[Date]]),Log_2018[[#This Row],[Split_apply]])) - SUM($O612:W612)</f>
        <v>0</v>
      </c>
      <c r="Y612" s="52">
        <f ca="1">Log_2018[[#This Row],[Amount]]/Log_2018[[#This Row],[Split_raw]]*MAX(0,MIN(_xlfn.DAYS(EDATE(Y$1,1),Log_2018[[#This Row],[Date]]),Log_2018[[#This Row],[Split_apply]])) - SUM($O612:X612)</f>
        <v>0</v>
      </c>
      <c r="Z612" s="52">
        <f ca="1">Log_2018[[#This Row],[Amount]]/Log_2018[[#This Row],[Split_raw]]*MAX(0,MIN(_xlfn.DAYS(EDATE(Z$1,1),Log_2018[[#This Row],[Date]]),Log_2018[[#This Row],[Split_apply]])) - SUM($O612:Y612)</f>
        <v>0</v>
      </c>
      <c r="AA612" s="52">
        <f ca="1">Log_2018[[#This Row],[Amount]]/Log_2018[[#This Row],[Split_raw]]*MAX(0,MIN(_xlfn.DAYS(EDATE(AA$1,1),Log_2018[[#This Row],[Date]]),Log_2018[[#This Row],[Split_apply]])) - SUM($O612:Z612)</f>
        <v>0</v>
      </c>
      <c r="AB612" s="54">
        <f ca="1">Log_2018[[#This Row],[Amount]]-SUM(O612:AA612)</f>
        <v>0</v>
      </c>
      <c r="AC612" s="7">
        <f ca="1">MAX(0,Log_2018[[#This Row],[Split_apply]] - (EDATE(AA$1,1)-Log_2018[[#This Row],[Date]]))</f>
        <v>0</v>
      </c>
    </row>
    <row r="613" spans="1:29" hidden="1" x14ac:dyDescent="0.25">
      <c r="A613" s="115"/>
      <c r="B613" t="s">
        <v>148</v>
      </c>
      <c r="D613" s="39">
        <v>43174</v>
      </c>
      <c r="E613" t="s">
        <v>192</v>
      </c>
      <c r="H613" s="3">
        <v>-188.99</v>
      </c>
      <c r="I613" s="36">
        <f>IF(Log_2018[[#This Row],[My Category]]="NONTRACKED",0,Log_2018[[#This Row],[Raw Amount]])</f>
        <v>-188.99</v>
      </c>
      <c r="J613" s="17">
        <f>ABS(Log_2018[[#This Row],[Amount]])</f>
        <v>188.99</v>
      </c>
      <c r="K613" s="66">
        <v>1</v>
      </c>
      <c r="L613" s="66">
        <f ca="1">IF(Log_2018[[#This Row],[Date]]&lt;=TODAY(), MIN(Log_2018[[#This Row],[Split_raw]], TODAY()-Log_2018[[#This Row],[Date]]+1), 0)</f>
        <v>1</v>
      </c>
      <c r="M613" t="s">
        <v>36</v>
      </c>
      <c r="N613" t="s">
        <v>158</v>
      </c>
      <c r="O613" s="50">
        <v>0</v>
      </c>
      <c r="P613" s="52">
        <f ca="1">Log_2018[[#This Row],[Amount]]/Log_2018[[#This Row],[Split_raw]]*MAX(0,MIN(_xlfn.DAYS(EDATE(P$1,1),Log_2018[[#This Row],[Date]]),Log_2018[[#This Row],[Split_apply]])) - SUM($O613:O613)</f>
        <v>0</v>
      </c>
      <c r="Q613" s="52">
        <f ca="1">Log_2018[[#This Row],[Amount]]/Log_2018[[#This Row],[Split_raw]]*MAX(0,MIN(_xlfn.DAYS(EDATE(Q$1,1),Log_2018[[#This Row],[Date]]),Log_2018[[#This Row],[Split_apply]])) - SUM($O613:P613)</f>
        <v>0</v>
      </c>
      <c r="R613" s="52">
        <f ca="1">Log_2018[[#This Row],[Amount]]/Log_2018[[#This Row],[Split_raw]]*MAX(0,MIN(_xlfn.DAYS(EDATE(R$1,1),Log_2018[[#This Row],[Date]]),Log_2018[[#This Row],[Split_apply]])) - SUM($O613:Q613)</f>
        <v>-188.99</v>
      </c>
      <c r="S613" s="52">
        <f ca="1">Log_2018[[#This Row],[Amount]]/Log_2018[[#This Row],[Split_raw]]*MAX(0,MIN(_xlfn.DAYS(EDATE(S$1,1),Log_2018[[#This Row],[Date]]),Log_2018[[#This Row],[Split_apply]])) - SUM($O613:R613)</f>
        <v>0</v>
      </c>
      <c r="T613" s="52">
        <f ca="1">Log_2018[[#This Row],[Amount]]/Log_2018[[#This Row],[Split_raw]]*MAX(0,MIN(_xlfn.DAYS(EDATE(T$1,1),Log_2018[[#This Row],[Date]]),Log_2018[[#This Row],[Split_apply]])) - SUM($O613:S613)</f>
        <v>0</v>
      </c>
      <c r="U613" s="52">
        <f ca="1">Log_2018[[#This Row],[Amount]]/Log_2018[[#This Row],[Split_raw]]*MAX(0,MIN(_xlfn.DAYS(EDATE(U$1,1),Log_2018[[#This Row],[Date]]),Log_2018[[#This Row],[Split_apply]])) - SUM($O613:T613)</f>
        <v>0</v>
      </c>
      <c r="V613" s="52">
        <f ca="1">Log_2018[[#This Row],[Amount]]/Log_2018[[#This Row],[Split_raw]]*MAX(0,MIN(_xlfn.DAYS(EDATE(V$1,1),Log_2018[[#This Row],[Date]]),Log_2018[[#This Row],[Split_apply]])) - SUM($O613:U613)</f>
        <v>0</v>
      </c>
      <c r="W613" s="52">
        <f ca="1">Log_2018[[#This Row],[Amount]]/Log_2018[[#This Row],[Split_raw]]*MAX(0,MIN(_xlfn.DAYS(EDATE(W$1,1),Log_2018[[#This Row],[Date]]),Log_2018[[#This Row],[Split_apply]])) - SUM($O613:V613)</f>
        <v>0</v>
      </c>
      <c r="X613" s="52">
        <f ca="1">Log_2018[[#This Row],[Amount]]/Log_2018[[#This Row],[Split_raw]]*MAX(0,MIN(_xlfn.DAYS(EDATE(X$1,1),Log_2018[[#This Row],[Date]]),Log_2018[[#This Row],[Split_apply]])) - SUM($O613:W613)</f>
        <v>0</v>
      </c>
      <c r="Y613" s="52">
        <f ca="1">Log_2018[[#This Row],[Amount]]/Log_2018[[#This Row],[Split_raw]]*MAX(0,MIN(_xlfn.DAYS(EDATE(Y$1,1),Log_2018[[#This Row],[Date]]),Log_2018[[#This Row],[Split_apply]])) - SUM($O613:X613)</f>
        <v>0</v>
      </c>
      <c r="Z613" s="52">
        <f ca="1">Log_2018[[#This Row],[Amount]]/Log_2018[[#This Row],[Split_raw]]*MAX(0,MIN(_xlfn.DAYS(EDATE(Z$1,1),Log_2018[[#This Row],[Date]]),Log_2018[[#This Row],[Split_apply]])) - SUM($O613:Y613)</f>
        <v>0</v>
      </c>
      <c r="AA613" s="52">
        <f ca="1">Log_2018[[#This Row],[Amount]]/Log_2018[[#This Row],[Split_raw]]*MAX(0,MIN(_xlfn.DAYS(EDATE(AA$1,1),Log_2018[[#This Row],[Date]]),Log_2018[[#This Row],[Split_apply]])) - SUM($O613:Z613)</f>
        <v>0</v>
      </c>
      <c r="AB613" s="54">
        <f ca="1">Log_2018[[#This Row],[Amount]]-SUM(O613:AA613)</f>
        <v>0</v>
      </c>
      <c r="AC613" s="7">
        <f ca="1">MAX(0,Log_2018[[#This Row],[Split_apply]] - (EDATE(AA$1,1)-Log_2018[[#This Row],[Date]]))</f>
        <v>0</v>
      </c>
    </row>
    <row r="614" spans="1:29" hidden="1" x14ac:dyDescent="0.25">
      <c r="A614" s="115"/>
      <c r="B614" t="s">
        <v>6</v>
      </c>
      <c r="D614" s="39">
        <v>43174</v>
      </c>
      <c r="F614" t="s">
        <v>174</v>
      </c>
      <c r="G614" t="s">
        <v>80</v>
      </c>
      <c r="H614" s="3">
        <f>--1914.5</f>
        <v>1914.5</v>
      </c>
      <c r="I614" s="36">
        <f>IF(Log_2018[[#This Row],[My Category]]="NONTRACKED",0,Log_2018[[#This Row],[Raw Amount]])</f>
        <v>1914.5</v>
      </c>
      <c r="J614" s="17">
        <f>ABS(Log_2018[[#This Row],[Amount]])</f>
        <v>1914.5</v>
      </c>
      <c r="K614" s="66">
        <v>14</v>
      </c>
      <c r="L614" s="66">
        <f ca="1">IF(Log_2018[[#This Row],[Date]]&lt;=TODAY(), MIN(Log_2018[[#This Row],[Split_raw]], TODAY()-Log_2018[[#This Row],[Date]]+1), 0)</f>
        <v>14</v>
      </c>
      <c r="M614" t="s">
        <v>91</v>
      </c>
      <c r="N614" t="s">
        <v>160</v>
      </c>
      <c r="O614" s="50">
        <v>0</v>
      </c>
      <c r="P614" s="52">
        <f ca="1">Log_2018[[#This Row],[Amount]]/Log_2018[[#This Row],[Split_raw]]*MAX(0,MIN(_xlfn.DAYS(EDATE(P$1,1),Log_2018[[#This Row],[Date]]),Log_2018[[#This Row],[Split_apply]])) - SUM($O614:O614)</f>
        <v>0</v>
      </c>
      <c r="Q614" s="52">
        <f ca="1">Log_2018[[#This Row],[Amount]]/Log_2018[[#This Row],[Split_raw]]*MAX(0,MIN(_xlfn.DAYS(EDATE(Q$1,1),Log_2018[[#This Row],[Date]]),Log_2018[[#This Row],[Split_apply]])) - SUM($O614:P614)</f>
        <v>0</v>
      </c>
      <c r="R614" s="52">
        <f ca="1">Log_2018[[#This Row],[Amount]]/Log_2018[[#This Row],[Split_raw]]*MAX(0,MIN(_xlfn.DAYS(EDATE(R$1,1),Log_2018[[#This Row],[Date]]),Log_2018[[#This Row],[Split_apply]])) - SUM($O614:Q614)</f>
        <v>1914.5</v>
      </c>
      <c r="S614" s="52">
        <f ca="1">Log_2018[[#This Row],[Amount]]/Log_2018[[#This Row],[Split_raw]]*MAX(0,MIN(_xlfn.DAYS(EDATE(S$1,1),Log_2018[[#This Row],[Date]]),Log_2018[[#This Row],[Split_apply]])) - SUM($O614:R614)</f>
        <v>0</v>
      </c>
      <c r="T614" s="52">
        <f ca="1">Log_2018[[#This Row],[Amount]]/Log_2018[[#This Row],[Split_raw]]*MAX(0,MIN(_xlfn.DAYS(EDATE(T$1,1),Log_2018[[#This Row],[Date]]),Log_2018[[#This Row],[Split_apply]])) - SUM($O614:S614)</f>
        <v>0</v>
      </c>
      <c r="U614" s="52">
        <f ca="1">Log_2018[[#This Row],[Amount]]/Log_2018[[#This Row],[Split_raw]]*MAX(0,MIN(_xlfn.DAYS(EDATE(U$1,1),Log_2018[[#This Row],[Date]]),Log_2018[[#This Row],[Split_apply]])) - SUM($O614:T614)</f>
        <v>0</v>
      </c>
      <c r="V614" s="52">
        <f ca="1">Log_2018[[#This Row],[Amount]]/Log_2018[[#This Row],[Split_raw]]*MAX(0,MIN(_xlfn.DAYS(EDATE(V$1,1),Log_2018[[#This Row],[Date]]),Log_2018[[#This Row],[Split_apply]])) - SUM($O614:U614)</f>
        <v>0</v>
      </c>
      <c r="W614" s="52">
        <f ca="1">Log_2018[[#This Row],[Amount]]/Log_2018[[#This Row],[Split_raw]]*MAX(0,MIN(_xlfn.DAYS(EDATE(W$1,1),Log_2018[[#This Row],[Date]]),Log_2018[[#This Row],[Split_apply]])) - SUM($O614:V614)</f>
        <v>0</v>
      </c>
      <c r="X614" s="52">
        <f ca="1">Log_2018[[#This Row],[Amount]]/Log_2018[[#This Row],[Split_raw]]*MAX(0,MIN(_xlfn.DAYS(EDATE(X$1,1),Log_2018[[#This Row],[Date]]),Log_2018[[#This Row],[Split_apply]])) - SUM($O614:W614)</f>
        <v>0</v>
      </c>
      <c r="Y614" s="52">
        <f ca="1">Log_2018[[#This Row],[Amount]]/Log_2018[[#This Row],[Split_raw]]*MAX(0,MIN(_xlfn.DAYS(EDATE(Y$1,1),Log_2018[[#This Row],[Date]]),Log_2018[[#This Row],[Split_apply]])) - SUM($O614:X614)</f>
        <v>0</v>
      </c>
      <c r="Z614" s="52">
        <f ca="1">Log_2018[[#This Row],[Amount]]/Log_2018[[#This Row],[Split_raw]]*MAX(0,MIN(_xlfn.DAYS(EDATE(Z$1,1),Log_2018[[#This Row],[Date]]),Log_2018[[#This Row],[Split_apply]])) - SUM($O614:Y614)</f>
        <v>0</v>
      </c>
      <c r="AA614" s="52">
        <f ca="1">Log_2018[[#This Row],[Amount]]/Log_2018[[#This Row],[Split_raw]]*MAX(0,MIN(_xlfn.DAYS(EDATE(AA$1,1),Log_2018[[#This Row],[Date]]),Log_2018[[#This Row],[Split_apply]])) - SUM($O614:Z614)</f>
        <v>0</v>
      </c>
      <c r="AB614" s="54">
        <f ca="1">Log_2018[[#This Row],[Amount]]-SUM(O614:AA614)</f>
        <v>0</v>
      </c>
      <c r="AC614" s="7">
        <f ca="1">MAX(0,Log_2018[[#This Row],[Split_apply]] - (EDATE(AA$1,1)-Log_2018[[#This Row],[Date]]))</f>
        <v>0</v>
      </c>
    </row>
    <row r="615" spans="1:29" hidden="1" x14ac:dyDescent="0.25">
      <c r="A615" s="115"/>
      <c r="B615" t="s">
        <v>6</v>
      </c>
      <c r="D615" s="39">
        <v>43173</v>
      </c>
      <c r="F615" t="s">
        <v>67</v>
      </c>
      <c r="G615" t="s">
        <v>25</v>
      </c>
      <c r="H615" s="3">
        <v>-11.92</v>
      </c>
      <c r="I615" s="36">
        <f>IF(Log_2018[[#This Row],[My Category]]="NONTRACKED",0,Log_2018[[#This Row],[Raw Amount]])</f>
        <v>-11.92</v>
      </c>
      <c r="J615" s="17">
        <f>ABS(Log_2018[[#This Row],[Amount]])</f>
        <v>11.92</v>
      </c>
      <c r="K615" s="66">
        <v>1</v>
      </c>
      <c r="L615" s="66">
        <f ca="1">IF(Log_2018[[#This Row],[Date]]&lt;=TODAY(), MIN(Log_2018[[#This Row],[Split_raw]], TODAY()-Log_2018[[#This Row],[Date]]+1), 0)</f>
        <v>1</v>
      </c>
      <c r="M615" t="s">
        <v>35</v>
      </c>
      <c r="N615" t="s">
        <v>158</v>
      </c>
      <c r="O615" s="50">
        <v>0</v>
      </c>
      <c r="P615" s="52">
        <f ca="1">Log_2018[[#This Row],[Amount]]/Log_2018[[#This Row],[Split_raw]]*MAX(0,MIN(_xlfn.DAYS(EDATE(P$1,1),Log_2018[[#This Row],[Date]]),Log_2018[[#This Row],[Split_apply]])) - SUM($O615:O615)</f>
        <v>0</v>
      </c>
      <c r="Q615" s="52">
        <f ca="1">Log_2018[[#This Row],[Amount]]/Log_2018[[#This Row],[Split_raw]]*MAX(0,MIN(_xlfn.DAYS(EDATE(Q$1,1),Log_2018[[#This Row],[Date]]),Log_2018[[#This Row],[Split_apply]])) - SUM($O615:P615)</f>
        <v>0</v>
      </c>
      <c r="R615" s="52">
        <f ca="1">Log_2018[[#This Row],[Amount]]/Log_2018[[#This Row],[Split_raw]]*MAX(0,MIN(_xlfn.DAYS(EDATE(R$1,1),Log_2018[[#This Row],[Date]]),Log_2018[[#This Row],[Split_apply]])) - SUM($O615:Q615)</f>
        <v>-11.92</v>
      </c>
      <c r="S615" s="52">
        <f ca="1">Log_2018[[#This Row],[Amount]]/Log_2018[[#This Row],[Split_raw]]*MAX(0,MIN(_xlfn.DAYS(EDATE(S$1,1),Log_2018[[#This Row],[Date]]),Log_2018[[#This Row],[Split_apply]])) - SUM($O615:R615)</f>
        <v>0</v>
      </c>
      <c r="T615" s="52">
        <f ca="1">Log_2018[[#This Row],[Amount]]/Log_2018[[#This Row],[Split_raw]]*MAX(0,MIN(_xlfn.DAYS(EDATE(T$1,1),Log_2018[[#This Row],[Date]]),Log_2018[[#This Row],[Split_apply]])) - SUM($O615:S615)</f>
        <v>0</v>
      </c>
      <c r="U615" s="52">
        <f ca="1">Log_2018[[#This Row],[Amount]]/Log_2018[[#This Row],[Split_raw]]*MAX(0,MIN(_xlfn.DAYS(EDATE(U$1,1),Log_2018[[#This Row],[Date]]),Log_2018[[#This Row],[Split_apply]])) - SUM($O615:T615)</f>
        <v>0</v>
      </c>
      <c r="V615" s="52">
        <f ca="1">Log_2018[[#This Row],[Amount]]/Log_2018[[#This Row],[Split_raw]]*MAX(0,MIN(_xlfn.DAYS(EDATE(V$1,1),Log_2018[[#This Row],[Date]]),Log_2018[[#This Row],[Split_apply]])) - SUM($O615:U615)</f>
        <v>0</v>
      </c>
      <c r="W615" s="52">
        <f ca="1">Log_2018[[#This Row],[Amount]]/Log_2018[[#This Row],[Split_raw]]*MAX(0,MIN(_xlfn.DAYS(EDATE(W$1,1),Log_2018[[#This Row],[Date]]),Log_2018[[#This Row],[Split_apply]])) - SUM($O615:V615)</f>
        <v>0</v>
      </c>
      <c r="X615" s="52">
        <f ca="1">Log_2018[[#This Row],[Amount]]/Log_2018[[#This Row],[Split_raw]]*MAX(0,MIN(_xlfn.DAYS(EDATE(X$1,1),Log_2018[[#This Row],[Date]]),Log_2018[[#This Row],[Split_apply]])) - SUM($O615:W615)</f>
        <v>0</v>
      </c>
      <c r="Y615" s="52">
        <f ca="1">Log_2018[[#This Row],[Amount]]/Log_2018[[#This Row],[Split_raw]]*MAX(0,MIN(_xlfn.DAYS(EDATE(Y$1,1),Log_2018[[#This Row],[Date]]),Log_2018[[#This Row],[Split_apply]])) - SUM($O615:X615)</f>
        <v>0</v>
      </c>
      <c r="Z615" s="52">
        <f ca="1">Log_2018[[#This Row],[Amount]]/Log_2018[[#This Row],[Split_raw]]*MAX(0,MIN(_xlfn.DAYS(EDATE(Z$1,1),Log_2018[[#This Row],[Date]]),Log_2018[[#This Row],[Split_apply]])) - SUM($O615:Y615)</f>
        <v>0</v>
      </c>
      <c r="AA615" s="52">
        <f ca="1">Log_2018[[#This Row],[Amount]]/Log_2018[[#This Row],[Split_raw]]*MAX(0,MIN(_xlfn.DAYS(EDATE(AA$1,1),Log_2018[[#This Row],[Date]]),Log_2018[[#This Row],[Split_apply]])) - SUM($O615:Z615)</f>
        <v>0</v>
      </c>
      <c r="AB615" s="54">
        <f ca="1">Log_2018[[#This Row],[Amount]]-SUM(O615:AA615)</f>
        <v>0</v>
      </c>
      <c r="AC615" s="7">
        <f ca="1">MAX(0,Log_2018[[#This Row],[Split_apply]] - (EDATE(AA$1,1)-Log_2018[[#This Row],[Date]]))</f>
        <v>0</v>
      </c>
    </row>
    <row r="616" spans="1:29" hidden="1" x14ac:dyDescent="0.25">
      <c r="A616" s="115"/>
      <c r="B616" t="s">
        <v>6</v>
      </c>
      <c r="D616" s="39">
        <v>43172</v>
      </c>
      <c r="E616" t="s">
        <v>872</v>
      </c>
      <c r="F616" t="s">
        <v>183</v>
      </c>
      <c r="G616" t="s">
        <v>22</v>
      </c>
      <c r="H616" s="3">
        <v>-18</v>
      </c>
      <c r="I616" s="36">
        <f>IF(Log_2018[[#This Row],[My Category]]="NONTRACKED",0,Log_2018[[#This Row],[Raw Amount]])</f>
        <v>-18</v>
      </c>
      <c r="J616" s="17">
        <f>ABS(Log_2018[[#This Row],[Amount]])</f>
        <v>18</v>
      </c>
      <c r="K616" s="66">
        <v>1</v>
      </c>
      <c r="L616" s="66">
        <f ca="1">IF(Log_2018[[#This Row],[Date]]&lt;=TODAY(), MIN(Log_2018[[#This Row],[Split_raw]], TODAY()-Log_2018[[#This Row],[Date]]+1), 0)</f>
        <v>1</v>
      </c>
      <c r="M616" t="s">
        <v>366</v>
      </c>
      <c r="N616" t="s">
        <v>158</v>
      </c>
      <c r="O616" s="50">
        <v>0</v>
      </c>
      <c r="P616" s="52">
        <f ca="1">Log_2018[[#This Row],[Amount]]/Log_2018[[#This Row],[Split_raw]]*MAX(0,MIN(_xlfn.DAYS(EDATE(P$1,1),Log_2018[[#This Row],[Date]]),Log_2018[[#This Row],[Split_apply]])) - SUM($O616:O616)</f>
        <v>0</v>
      </c>
      <c r="Q616" s="52">
        <f ca="1">Log_2018[[#This Row],[Amount]]/Log_2018[[#This Row],[Split_raw]]*MAX(0,MIN(_xlfn.DAYS(EDATE(Q$1,1),Log_2018[[#This Row],[Date]]),Log_2018[[#This Row],[Split_apply]])) - SUM($O616:P616)</f>
        <v>0</v>
      </c>
      <c r="R616" s="52">
        <f ca="1">Log_2018[[#This Row],[Amount]]/Log_2018[[#This Row],[Split_raw]]*MAX(0,MIN(_xlfn.DAYS(EDATE(R$1,1),Log_2018[[#This Row],[Date]]),Log_2018[[#This Row],[Split_apply]])) - SUM($O616:Q616)</f>
        <v>-18</v>
      </c>
      <c r="S616" s="52">
        <f ca="1">Log_2018[[#This Row],[Amount]]/Log_2018[[#This Row],[Split_raw]]*MAX(0,MIN(_xlfn.DAYS(EDATE(S$1,1),Log_2018[[#This Row],[Date]]),Log_2018[[#This Row],[Split_apply]])) - SUM($O616:R616)</f>
        <v>0</v>
      </c>
      <c r="T616" s="52">
        <f ca="1">Log_2018[[#This Row],[Amount]]/Log_2018[[#This Row],[Split_raw]]*MAX(0,MIN(_xlfn.DAYS(EDATE(T$1,1),Log_2018[[#This Row],[Date]]),Log_2018[[#This Row],[Split_apply]])) - SUM($O616:S616)</f>
        <v>0</v>
      </c>
      <c r="U616" s="52">
        <f ca="1">Log_2018[[#This Row],[Amount]]/Log_2018[[#This Row],[Split_raw]]*MAX(0,MIN(_xlfn.DAYS(EDATE(U$1,1),Log_2018[[#This Row],[Date]]),Log_2018[[#This Row],[Split_apply]])) - SUM($O616:T616)</f>
        <v>0</v>
      </c>
      <c r="V616" s="52">
        <f ca="1">Log_2018[[#This Row],[Amount]]/Log_2018[[#This Row],[Split_raw]]*MAX(0,MIN(_xlfn.DAYS(EDATE(V$1,1),Log_2018[[#This Row],[Date]]),Log_2018[[#This Row],[Split_apply]])) - SUM($O616:U616)</f>
        <v>0</v>
      </c>
      <c r="W616" s="52">
        <f ca="1">Log_2018[[#This Row],[Amount]]/Log_2018[[#This Row],[Split_raw]]*MAX(0,MIN(_xlfn.DAYS(EDATE(W$1,1),Log_2018[[#This Row],[Date]]),Log_2018[[#This Row],[Split_apply]])) - SUM($O616:V616)</f>
        <v>0</v>
      </c>
      <c r="X616" s="52">
        <f ca="1">Log_2018[[#This Row],[Amount]]/Log_2018[[#This Row],[Split_raw]]*MAX(0,MIN(_xlfn.DAYS(EDATE(X$1,1),Log_2018[[#This Row],[Date]]),Log_2018[[#This Row],[Split_apply]])) - SUM($O616:W616)</f>
        <v>0</v>
      </c>
      <c r="Y616" s="52">
        <f ca="1">Log_2018[[#This Row],[Amount]]/Log_2018[[#This Row],[Split_raw]]*MAX(0,MIN(_xlfn.DAYS(EDATE(Y$1,1),Log_2018[[#This Row],[Date]]),Log_2018[[#This Row],[Split_apply]])) - SUM($O616:X616)</f>
        <v>0</v>
      </c>
      <c r="Z616" s="52">
        <f ca="1">Log_2018[[#This Row],[Amount]]/Log_2018[[#This Row],[Split_raw]]*MAX(0,MIN(_xlfn.DAYS(EDATE(Z$1,1),Log_2018[[#This Row],[Date]]),Log_2018[[#This Row],[Split_apply]])) - SUM($O616:Y616)</f>
        <v>0</v>
      </c>
      <c r="AA616" s="52">
        <f ca="1">Log_2018[[#This Row],[Amount]]/Log_2018[[#This Row],[Split_raw]]*MAX(0,MIN(_xlfn.DAYS(EDATE(AA$1,1),Log_2018[[#This Row],[Date]]),Log_2018[[#This Row],[Split_apply]])) - SUM($O616:Z616)</f>
        <v>0</v>
      </c>
      <c r="AB616" s="54">
        <f ca="1">Log_2018[[#This Row],[Amount]]-SUM(O616:AA616)</f>
        <v>0</v>
      </c>
      <c r="AC616" s="7">
        <f ca="1">MAX(0,Log_2018[[#This Row],[Split_apply]] - (EDATE(AA$1,1)-Log_2018[[#This Row],[Date]]))</f>
        <v>0</v>
      </c>
    </row>
    <row r="617" spans="1:29" hidden="1" x14ac:dyDescent="0.25">
      <c r="A617" s="115"/>
      <c r="B617" t="s">
        <v>6</v>
      </c>
      <c r="D617" s="39">
        <v>43172</v>
      </c>
      <c r="F617" t="s">
        <v>180</v>
      </c>
      <c r="G617" t="s">
        <v>114</v>
      </c>
      <c r="H617" s="3">
        <v>-82.62</v>
      </c>
      <c r="I617" s="36">
        <f>IF(Log_2018[[#This Row],[My Category]]="NONTRACKED",0,Log_2018[[#This Row],[Raw Amount]])</f>
        <v>-82.62</v>
      </c>
      <c r="J617" s="17">
        <f>ABS(Log_2018[[#This Row],[Amount]])</f>
        <v>82.62</v>
      </c>
      <c r="K617" s="66">
        <v>1</v>
      </c>
      <c r="L617" s="66">
        <f ca="1">IF(Log_2018[[#This Row],[Date]]&lt;=TODAY(), MIN(Log_2018[[#This Row],[Split_raw]], TODAY()-Log_2018[[#This Row],[Date]]+1), 0)</f>
        <v>1</v>
      </c>
      <c r="M617" t="s">
        <v>145</v>
      </c>
      <c r="N617" t="s">
        <v>158</v>
      </c>
      <c r="O617" s="50">
        <v>0</v>
      </c>
      <c r="P617" s="52">
        <f ca="1">Log_2018[[#This Row],[Amount]]/Log_2018[[#This Row],[Split_raw]]*MAX(0,MIN(_xlfn.DAYS(EDATE(P$1,1),Log_2018[[#This Row],[Date]]),Log_2018[[#This Row],[Split_apply]])) - SUM($O617:O617)</f>
        <v>0</v>
      </c>
      <c r="Q617" s="52">
        <f ca="1">Log_2018[[#This Row],[Amount]]/Log_2018[[#This Row],[Split_raw]]*MAX(0,MIN(_xlfn.DAYS(EDATE(Q$1,1),Log_2018[[#This Row],[Date]]),Log_2018[[#This Row],[Split_apply]])) - SUM($O617:P617)</f>
        <v>0</v>
      </c>
      <c r="R617" s="52">
        <f ca="1">Log_2018[[#This Row],[Amount]]/Log_2018[[#This Row],[Split_raw]]*MAX(0,MIN(_xlfn.DAYS(EDATE(R$1,1),Log_2018[[#This Row],[Date]]),Log_2018[[#This Row],[Split_apply]])) - SUM($O617:Q617)</f>
        <v>-82.62</v>
      </c>
      <c r="S617" s="52">
        <f ca="1">Log_2018[[#This Row],[Amount]]/Log_2018[[#This Row],[Split_raw]]*MAX(0,MIN(_xlfn.DAYS(EDATE(S$1,1),Log_2018[[#This Row],[Date]]),Log_2018[[#This Row],[Split_apply]])) - SUM($O617:R617)</f>
        <v>0</v>
      </c>
      <c r="T617" s="52">
        <f ca="1">Log_2018[[#This Row],[Amount]]/Log_2018[[#This Row],[Split_raw]]*MAX(0,MIN(_xlfn.DAYS(EDATE(T$1,1),Log_2018[[#This Row],[Date]]),Log_2018[[#This Row],[Split_apply]])) - SUM($O617:S617)</f>
        <v>0</v>
      </c>
      <c r="U617" s="52">
        <f ca="1">Log_2018[[#This Row],[Amount]]/Log_2018[[#This Row],[Split_raw]]*MAX(0,MIN(_xlfn.DAYS(EDATE(U$1,1),Log_2018[[#This Row],[Date]]),Log_2018[[#This Row],[Split_apply]])) - SUM($O617:T617)</f>
        <v>0</v>
      </c>
      <c r="V617" s="52">
        <f ca="1">Log_2018[[#This Row],[Amount]]/Log_2018[[#This Row],[Split_raw]]*MAX(0,MIN(_xlfn.DAYS(EDATE(V$1,1),Log_2018[[#This Row],[Date]]),Log_2018[[#This Row],[Split_apply]])) - SUM($O617:U617)</f>
        <v>0</v>
      </c>
      <c r="W617" s="52">
        <f ca="1">Log_2018[[#This Row],[Amount]]/Log_2018[[#This Row],[Split_raw]]*MAX(0,MIN(_xlfn.DAYS(EDATE(W$1,1),Log_2018[[#This Row],[Date]]),Log_2018[[#This Row],[Split_apply]])) - SUM($O617:V617)</f>
        <v>0</v>
      </c>
      <c r="X617" s="52">
        <f ca="1">Log_2018[[#This Row],[Amount]]/Log_2018[[#This Row],[Split_raw]]*MAX(0,MIN(_xlfn.DAYS(EDATE(X$1,1),Log_2018[[#This Row],[Date]]),Log_2018[[#This Row],[Split_apply]])) - SUM($O617:W617)</f>
        <v>0</v>
      </c>
      <c r="Y617" s="52">
        <f ca="1">Log_2018[[#This Row],[Amount]]/Log_2018[[#This Row],[Split_raw]]*MAX(0,MIN(_xlfn.DAYS(EDATE(Y$1,1),Log_2018[[#This Row],[Date]]),Log_2018[[#This Row],[Split_apply]])) - SUM($O617:X617)</f>
        <v>0</v>
      </c>
      <c r="Z617" s="52">
        <f ca="1">Log_2018[[#This Row],[Amount]]/Log_2018[[#This Row],[Split_raw]]*MAX(0,MIN(_xlfn.DAYS(EDATE(Z$1,1),Log_2018[[#This Row],[Date]]),Log_2018[[#This Row],[Split_apply]])) - SUM($O617:Y617)</f>
        <v>0</v>
      </c>
      <c r="AA617" s="52">
        <f ca="1">Log_2018[[#This Row],[Amount]]/Log_2018[[#This Row],[Split_raw]]*MAX(0,MIN(_xlfn.DAYS(EDATE(AA$1,1),Log_2018[[#This Row],[Date]]),Log_2018[[#This Row],[Split_apply]])) - SUM($O617:Z617)</f>
        <v>0</v>
      </c>
      <c r="AB617" s="54">
        <f ca="1">Log_2018[[#This Row],[Amount]]-SUM(O617:AA617)</f>
        <v>0</v>
      </c>
      <c r="AC617" s="7">
        <f ca="1">MAX(0,Log_2018[[#This Row],[Split_apply]] - (EDATE(AA$1,1)-Log_2018[[#This Row],[Date]]))</f>
        <v>0</v>
      </c>
    </row>
    <row r="618" spans="1:29" hidden="1" x14ac:dyDescent="0.25">
      <c r="A618" s="115"/>
      <c r="B618" t="s">
        <v>6</v>
      </c>
      <c r="D618" s="39">
        <v>43172</v>
      </c>
      <c r="F618" t="s">
        <v>181</v>
      </c>
      <c r="G618" t="s">
        <v>182</v>
      </c>
      <c r="H618" s="3">
        <v>-1863.47</v>
      </c>
      <c r="I618" s="36">
        <f>IF(Log_2018[[#This Row],[My Category]]="NONTRACKED",0,Log_2018[[#This Row],[Raw Amount]])</f>
        <v>-1863.47</v>
      </c>
      <c r="J618" s="17">
        <f>ABS(Log_2018[[#This Row],[Amount]])</f>
        <v>1863.47</v>
      </c>
      <c r="K618" s="66">
        <v>1</v>
      </c>
      <c r="L618" s="66">
        <f ca="1">IF(Log_2018[[#This Row],[Date]]&lt;=TODAY(), MIN(Log_2018[[#This Row],[Split_raw]], TODAY()-Log_2018[[#This Row],[Date]]+1), 0)</f>
        <v>1</v>
      </c>
      <c r="M618" t="s">
        <v>145</v>
      </c>
      <c r="N618" t="s">
        <v>158</v>
      </c>
      <c r="O618" s="50">
        <v>0</v>
      </c>
      <c r="P618" s="52">
        <f ca="1">Log_2018[[#This Row],[Amount]]/Log_2018[[#This Row],[Split_raw]]*MAX(0,MIN(_xlfn.DAYS(EDATE(P$1,1),Log_2018[[#This Row],[Date]]),Log_2018[[#This Row],[Split_apply]])) - SUM($O618:O618)</f>
        <v>0</v>
      </c>
      <c r="Q618" s="52">
        <f ca="1">Log_2018[[#This Row],[Amount]]/Log_2018[[#This Row],[Split_raw]]*MAX(0,MIN(_xlfn.DAYS(EDATE(Q$1,1),Log_2018[[#This Row],[Date]]),Log_2018[[#This Row],[Split_apply]])) - SUM($O618:P618)</f>
        <v>0</v>
      </c>
      <c r="R618" s="52">
        <f ca="1">Log_2018[[#This Row],[Amount]]/Log_2018[[#This Row],[Split_raw]]*MAX(0,MIN(_xlfn.DAYS(EDATE(R$1,1),Log_2018[[#This Row],[Date]]),Log_2018[[#This Row],[Split_apply]])) - SUM($O618:Q618)</f>
        <v>-1863.47</v>
      </c>
      <c r="S618" s="52">
        <f ca="1">Log_2018[[#This Row],[Amount]]/Log_2018[[#This Row],[Split_raw]]*MAX(0,MIN(_xlfn.DAYS(EDATE(S$1,1),Log_2018[[#This Row],[Date]]),Log_2018[[#This Row],[Split_apply]])) - SUM($O618:R618)</f>
        <v>0</v>
      </c>
      <c r="T618" s="52">
        <f ca="1">Log_2018[[#This Row],[Amount]]/Log_2018[[#This Row],[Split_raw]]*MAX(0,MIN(_xlfn.DAYS(EDATE(T$1,1),Log_2018[[#This Row],[Date]]),Log_2018[[#This Row],[Split_apply]])) - SUM($O618:S618)</f>
        <v>0</v>
      </c>
      <c r="U618" s="52">
        <f ca="1">Log_2018[[#This Row],[Amount]]/Log_2018[[#This Row],[Split_raw]]*MAX(0,MIN(_xlfn.DAYS(EDATE(U$1,1),Log_2018[[#This Row],[Date]]),Log_2018[[#This Row],[Split_apply]])) - SUM($O618:T618)</f>
        <v>0</v>
      </c>
      <c r="V618" s="52">
        <f ca="1">Log_2018[[#This Row],[Amount]]/Log_2018[[#This Row],[Split_raw]]*MAX(0,MIN(_xlfn.DAYS(EDATE(V$1,1),Log_2018[[#This Row],[Date]]),Log_2018[[#This Row],[Split_apply]])) - SUM($O618:U618)</f>
        <v>0</v>
      </c>
      <c r="W618" s="52">
        <f ca="1">Log_2018[[#This Row],[Amount]]/Log_2018[[#This Row],[Split_raw]]*MAX(0,MIN(_xlfn.DAYS(EDATE(W$1,1),Log_2018[[#This Row],[Date]]),Log_2018[[#This Row],[Split_apply]])) - SUM($O618:V618)</f>
        <v>0</v>
      </c>
      <c r="X618" s="52">
        <f ca="1">Log_2018[[#This Row],[Amount]]/Log_2018[[#This Row],[Split_raw]]*MAX(0,MIN(_xlfn.DAYS(EDATE(X$1,1),Log_2018[[#This Row],[Date]]),Log_2018[[#This Row],[Split_apply]])) - SUM($O618:W618)</f>
        <v>0</v>
      </c>
      <c r="Y618" s="52">
        <f ca="1">Log_2018[[#This Row],[Amount]]/Log_2018[[#This Row],[Split_raw]]*MAX(0,MIN(_xlfn.DAYS(EDATE(Y$1,1),Log_2018[[#This Row],[Date]]),Log_2018[[#This Row],[Split_apply]])) - SUM($O618:X618)</f>
        <v>0</v>
      </c>
      <c r="Z618" s="52">
        <f ca="1">Log_2018[[#This Row],[Amount]]/Log_2018[[#This Row],[Split_raw]]*MAX(0,MIN(_xlfn.DAYS(EDATE(Z$1,1),Log_2018[[#This Row],[Date]]),Log_2018[[#This Row],[Split_apply]])) - SUM($O618:Y618)</f>
        <v>0</v>
      </c>
      <c r="AA618" s="52">
        <f ca="1">Log_2018[[#This Row],[Amount]]/Log_2018[[#This Row],[Split_raw]]*MAX(0,MIN(_xlfn.DAYS(EDATE(AA$1,1),Log_2018[[#This Row],[Date]]),Log_2018[[#This Row],[Split_apply]])) - SUM($O618:Z618)</f>
        <v>0</v>
      </c>
      <c r="AB618" s="54">
        <f ca="1">Log_2018[[#This Row],[Amount]]-SUM(O618:AA618)</f>
        <v>0</v>
      </c>
      <c r="AC618" s="7">
        <f ca="1">MAX(0,Log_2018[[#This Row],[Split_apply]] - (EDATE(AA$1,1)-Log_2018[[#This Row],[Date]]))</f>
        <v>0</v>
      </c>
    </row>
    <row r="619" spans="1:29" hidden="1" x14ac:dyDescent="0.25">
      <c r="A619" s="115"/>
      <c r="B619" t="s">
        <v>6</v>
      </c>
      <c r="D619" s="39">
        <v>43172</v>
      </c>
      <c r="F619" t="s">
        <v>68</v>
      </c>
      <c r="G619" t="s">
        <v>11</v>
      </c>
      <c r="H619" s="3">
        <v>-181.77</v>
      </c>
      <c r="I619" s="36">
        <f>IF(Log_2018[[#This Row],[My Category]]="NONTRACKED",0,Log_2018[[#This Row],[Raw Amount]])</f>
        <v>-181.77</v>
      </c>
      <c r="J619" s="17">
        <f>ABS(Log_2018[[#This Row],[Amount]])</f>
        <v>181.77</v>
      </c>
      <c r="K619" s="66">
        <v>1</v>
      </c>
      <c r="L619" s="66">
        <f ca="1">IF(Log_2018[[#This Row],[Date]]&lt;=TODAY(), MIN(Log_2018[[#This Row],[Split_raw]], TODAY()-Log_2018[[#This Row],[Date]]+1), 0)</f>
        <v>1</v>
      </c>
      <c r="M619" t="s">
        <v>145</v>
      </c>
      <c r="N619" t="s">
        <v>158</v>
      </c>
      <c r="O619" s="50">
        <v>0</v>
      </c>
      <c r="P619" s="52">
        <f ca="1">Log_2018[[#This Row],[Amount]]/Log_2018[[#This Row],[Split_raw]]*MAX(0,MIN(_xlfn.DAYS(EDATE(P$1,1),Log_2018[[#This Row],[Date]]),Log_2018[[#This Row],[Split_apply]])) - SUM($O619:O619)</f>
        <v>0</v>
      </c>
      <c r="Q619" s="52">
        <f ca="1">Log_2018[[#This Row],[Amount]]/Log_2018[[#This Row],[Split_raw]]*MAX(0,MIN(_xlfn.DAYS(EDATE(Q$1,1),Log_2018[[#This Row],[Date]]),Log_2018[[#This Row],[Split_apply]])) - SUM($O619:P619)</f>
        <v>0</v>
      </c>
      <c r="R619" s="52">
        <f ca="1">Log_2018[[#This Row],[Amount]]/Log_2018[[#This Row],[Split_raw]]*MAX(0,MIN(_xlfn.DAYS(EDATE(R$1,1),Log_2018[[#This Row],[Date]]),Log_2018[[#This Row],[Split_apply]])) - SUM($O619:Q619)</f>
        <v>-181.77</v>
      </c>
      <c r="S619" s="52">
        <f ca="1">Log_2018[[#This Row],[Amount]]/Log_2018[[#This Row],[Split_raw]]*MAX(0,MIN(_xlfn.DAYS(EDATE(S$1,1),Log_2018[[#This Row],[Date]]),Log_2018[[#This Row],[Split_apply]])) - SUM($O619:R619)</f>
        <v>0</v>
      </c>
      <c r="T619" s="52">
        <f ca="1">Log_2018[[#This Row],[Amount]]/Log_2018[[#This Row],[Split_raw]]*MAX(0,MIN(_xlfn.DAYS(EDATE(T$1,1),Log_2018[[#This Row],[Date]]),Log_2018[[#This Row],[Split_apply]])) - SUM($O619:S619)</f>
        <v>0</v>
      </c>
      <c r="U619" s="52">
        <f ca="1">Log_2018[[#This Row],[Amount]]/Log_2018[[#This Row],[Split_raw]]*MAX(0,MIN(_xlfn.DAYS(EDATE(U$1,1),Log_2018[[#This Row],[Date]]),Log_2018[[#This Row],[Split_apply]])) - SUM($O619:T619)</f>
        <v>0</v>
      </c>
      <c r="V619" s="52">
        <f ca="1">Log_2018[[#This Row],[Amount]]/Log_2018[[#This Row],[Split_raw]]*MAX(0,MIN(_xlfn.DAYS(EDATE(V$1,1),Log_2018[[#This Row],[Date]]),Log_2018[[#This Row],[Split_apply]])) - SUM($O619:U619)</f>
        <v>0</v>
      </c>
      <c r="W619" s="52">
        <f ca="1">Log_2018[[#This Row],[Amount]]/Log_2018[[#This Row],[Split_raw]]*MAX(0,MIN(_xlfn.DAYS(EDATE(W$1,1),Log_2018[[#This Row],[Date]]),Log_2018[[#This Row],[Split_apply]])) - SUM($O619:V619)</f>
        <v>0</v>
      </c>
      <c r="X619" s="52">
        <f ca="1">Log_2018[[#This Row],[Amount]]/Log_2018[[#This Row],[Split_raw]]*MAX(0,MIN(_xlfn.DAYS(EDATE(X$1,1),Log_2018[[#This Row],[Date]]),Log_2018[[#This Row],[Split_apply]])) - SUM($O619:W619)</f>
        <v>0</v>
      </c>
      <c r="Y619" s="52">
        <f ca="1">Log_2018[[#This Row],[Amount]]/Log_2018[[#This Row],[Split_raw]]*MAX(0,MIN(_xlfn.DAYS(EDATE(Y$1,1),Log_2018[[#This Row],[Date]]),Log_2018[[#This Row],[Split_apply]])) - SUM($O619:X619)</f>
        <v>0</v>
      </c>
      <c r="Z619" s="52">
        <f ca="1">Log_2018[[#This Row],[Amount]]/Log_2018[[#This Row],[Split_raw]]*MAX(0,MIN(_xlfn.DAYS(EDATE(Z$1,1),Log_2018[[#This Row],[Date]]),Log_2018[[#This Row],[Split_apply]])) - SUM($O619:Y619)</f>
        <v>0</v>
      </c>
      <c r="AA619" s="52">
        <f ca="1">Log_2018[[#This Row],[Amount]]/Log_2018[[#This Row],[Split_raw]]*MAX(0,MIN(_xlfn.DAYS(EDATE(AA$1,1),Log_2018[[#This Row],[Date]]),Log_2018[[#This Row],[Split_apply]])) - SUM($O619:Z619)</f>
        <v>0</v>
      </c>
      <c r="AB619" s="54">
        <f ca="1">Log_2018[[#This Row],[Amount]]-SUM(O619:AA619)</f>
        <v>0</v>
      </c>
      <c r="AC619" s="7">
        <f ca="1">MAX(0,Log_2018[[#This Row],[Split_apply]] - (EDATE(AA$1,1)-Log_2018[[#This Row],[Date]]))</f>
        <v>0</v>
      </c>
    </row>
    <row r="620" spans="1:29" hidden="1" x14ac:dyDescent="0.25">
      <c r="A620" s="115"/>
      <c r="B620" t="s">
        <v>6</v>
      </c>
      <c r="D620" s="39">
        <v>43172</v>
      </c>
      <c r="F620" t="s">
        <v>59</v>
      </c>
      <c r="G620" t="s">
        <v>25</v>
      </c>
      <c r="H620" s="3">
        <v>-7.94</v>
      </c>
      <c r="I620" s="36">
        <f>IF(Log_2018[[#This Row],[My Category]]="NONTRACKED",0,Log_2018[[#This Row],[Raw Amount]])</f>
        <v>-7.94</v>
      </c>
      <c r="J620" s="17">
        <f>ABS(Log_2018[[#This Row],[Amount]])</f>
        <v>7.94</v>
      </c>
      <c r="K620" s="66">
        <v>1</v>
      </c>
      <c r="L620" s="66">
        <f ca="1">IF(Log_2018[[#This Row],[Date]]&lt;=TODAY(), MIN(Log_2018[[#This Row],[Split_raw]], TODAY()-Log_2018[[#This Row],[Date]]+1), 0)</f>
        <v>1</v>
      </c>
      <c r="M620" t="s">
        <v>35</v>
      </c>
      <c r="N620" t="s">
        <v>158</v>
      </c>
      <c r="O620" s="50">
        <v>0</v>
      </c>
      <c r="P620" s="52">
        <f ca="1">Log_2018[[#This Row],[Amount]]/Log_2018[[#This Row],[Split_raw]]*MAX(0,MIN(_xlfn.DAYS(EDATE(P$1,1),Log_2018[[#This Row],[Date]]),Log_2018[[#This Row],[Split_apply]])) - SUM($O620:O620)</f>
        <v>0</v>
      </c>
      <c r="Q620" s="52">
        <f ca="1">Log_2018[[#This Row],[Amount]]/Log_2018[[#This Row],[Split_raw]]*MAX(0,MIN(_xlfn.DAYS(EDATE(Q$1,1),Log_2018[[#This Row],[Date]]),Log_2018[[#This Row],[Split_apply]])) - SUM($O620:P620)</f>
        <v>0</v>
      </c>
      <c r="R620" s="52">
        <f ca="1">Log_2018[[#This Row],[Amount]]/Log_2018[[#This Row],[Split_raw]]*MAX(0,MIN(_xlfn.DAYS(EDATE(R$1,1),Log_2018[[#This Row],[Date]]),Log_2018[[#This Row],[Split_apply]])) - SUM($O620:Q620)</f>
        <v>-7.94</v>
      </c>
      <c r="S620" s="52">
        <f ca="1">Log_2018[[#This Row],[Amount]]/Log_2018[[#This Row],[Split_raw]]*MAX(0,MIN(_xlfn.DAYS(EDATE(S$1,1),Log_2018[[#This Row],[Date]]),Log_2018[[#This Row],[Split_apply]])) - SUM($O620:R620)</f>
        <v>0</v>
      </c>
      <c r="T620" s="52">
        <f ca="1">Log_2018[[#This Row],[Amount]]/Log_2018[[#This Row],[Split_raw]]*MAX(0,MIN(_xlfn.DAYS(EDATE(T$1,1),Log_2018[[#This Row],[Date]]),Log_2018[[#This Row],[Split_apply]])) - SUM($O620:S620)</f>
        <v>0</v>
      </c>
      <c r="U620" s="52">
        <f ca="1">Log_2018[[#This Row],[Amount]]/Log_2018[[#This Row],[Split_raw]]*MAX(0,MIN(_xlfn.DAYS(EDATE(U$1,1),Log_2018[[#This Row],[Date]]),Log_2018[[#This Row],[Split_apply]])) - SUM($O620:T620)</f>
        <v>0</v>
      </c>
      <c r="V620" s="52">
        <f ca="1">Log_2018[[#This Row],[Amount]]/Log_2018[[#This Row],[Split_raw]]*MAX(0,MIN(_xlfn.DAYS(EDATE(V$1,1),Log_2018[[#This Row],[Date]]),Log_2018[[#This Row],[Split_apply]])) - SUM($O620:U620)</f>
        <v>0</v>
      </c>
      <c r="W620" s="52">
        <f ca="1">Log_2018[[#This Row],[Amount]]/Log_2018[[#This Row],[Split_raw]]*MAX(0,MIN(_xlfn.DAYS(EDATE(W$1,1),Log_2018[[#This Row],[Date]]),Log_2018[[#This Row],[Split_apply]])) - SUM($O620:V620)</f>
        <v>0</v>
      </c>
      <c r="X620" s="52">
        <f ca="1">Log_2018[[#This Row],[Amount]]/Log_2018[[#This Row],[Split_raw]]*MAX(0,MIN(_xlfn.DAYS(EDATE(X$1,1),Log_2018[[#This Row],[Date]]),Log_2018[[#This Row],[Split_apply]])) - SUM($O620:W620)</f>
        <v>0</v>
      </c>
      <c r="Y620" s="52">
        <f ca="1">Log_2018[[#This Row],[Amount]]/Log_2018[[#This Row],[Split_raw]]*MAX(0,MIN(_xlfn.DAYS(EDATE(Y$1,1),Log_2018[[#This Row],[Date]]),Log_2018[[#This Row],[Split_apply]])) - SUM($O620:X620)</f>
        <v>0</v>
      </c>
      <c r="Z620" s="52">
        <f ca="1">Log_2018[[#This Row],[Amount]]/Log_2018[[#This Row],[Split_raw]]*MAX(0,MIN(_xlfn.DAYS(EDATE(Z$1,1),Log_2018[[#This Row],[Date]]),Log_2018[[#This Row],[Split_apply]])) - SUM($O620:Y620)</f>
        <v>0</v>
      </c>
      <c r="AA620" s="52">
        <f ca="1">Log_2018[[#This Row],[Amount]]/Log_2018[[#This Row],[Split_raw]]*MAX(0,MIN(_xlfn.DAYS(EDATE(AA$1,1),Log_2018[[#This Row],[Date]]),Log_2018[[#This Row],[Split_apply]])) - SUM($O620:Z620)</f>
        <v>0</v>
      </c>
      <c r="AB620" s="54">
        <f ca="1">Log_2018[[#This Row],[Amount]]-SUM(O620:AA620)</f>
        <v>0</v>
      </c>
      <c r="AC620" s="7">
        <f ca="1">MAX(0,Log_2018[[#This Row],[Split_apply]] - (EDATE(AA$1,1)-Log_2018[[#This Row],[Date]]))</f>
        <v>0</v>
      </c>
    </row>
    <row r="621" spans="1:29" hidden="1" x14ac:dyDescent="0.25">
      <c r="A621" s="115"/>
      <c r="B621" t="s">
        <v>6</v>
      </c>
      <c r="D621" s="39">
        <v>43171</v>
      </c>
      <c r="E621" t="s">
        <v>250</v>
      </c>
      <c r="F621" t="s">
        <v>85</v>
      </c>
      <c r="G621" t="s">
        <v>9</v>
      </c>
      <c r="H621" s="3">
        <v>-10.81</v>
      </c>
      <c r="I621" s="36">
        <f>IF(Log_2018[[#This Row],[My Category]]="NONTRACKED",0,Log_2018[[#This Row],[Raw Amount]])</f>
        <v>-10.81</v>
      </c>
      <c r="J621" s="17">
        <f>ABS(Log_2018[[#This Row],[Amount]])</f>
        <v>10.81</v>
      </c>
      <c r="K621" s="66">
        <v>30</v>
      </c>
      <c r="L621" s="66">
        <f ca="1">IF(Log_2018[[#This Row],[Date]]&lt;=TODAY(), MIN(Log_2018[[#This Row],[Split_raw]], TODAY()-Log_2018[[#This Row],[Date]]+1), 0)</f>
        <v>30</v>
      </c>
      <c r="M621" t="s">
        <v>53</v>
      </c>
      <c r="N621" t="s">
        <v>160</v>
      </c>
      <c r="O621" s="50">
        <v>0</v>
      </c>
      <c r="P621" s="52">
        <f ca="1">Log_2018[[#This Row],[Amount]]/Log_2018[[#This Row],[Split_raw]]*MAX(0,MIN(_xlfn.DAYS(EDATE(P$1,1),Log_2018[[#This Row],[Date]]),Log_2018[[#This Row],[Split_apply]])) - SUM($O621:O621)</f>
        <v>0</v>
      </c>
      <c r="Q621" s="52">
        <f ca="1">Log_2018[[#This Row],[Amount]]/Log_2018[[#This Row],[Split_raw]]*MAX(0,MIN(_xlfn.DAYS(EDATE(Q$1,1),Log_2018[[#This Row],[Date]]),Log_2018[[#This Row],[Split_apply]])) - SUM($O621:P621)</f>
        <v>0</v>
      </c>
      <c r="R621" s="52">
        <f ca="1">Log_2018[[#This Row],[Amount]]/Log_2018[[#This Row],[Split_raw]]*MAX(0,MIN(_xlfn.DAYS(EDATE(R$1,1),Log_2018[[#This Row],[Date]]),Log_2018[[#This Row],[Split_apply]])) - SUM($O621:Q621)</f>
        <v>-7.206666666666667</v>
      </c>
      <c r="S621" s="52">
        <f ca="1">Log_2018[[#This Row],[Amount]]/Log_2018[[#This Row],[Split_raw]]*MAX(0,MIN(_xlfn.DAYS(EDATE(S$1,1),Log_2018[[#This Row],[Date]]),Log_2018[[#This Row],[Split_apply]])) - SUM($O621:R621)</f>
        <v>-3.6033333333333335</v>
      </c>
      <c r="T621" s="52">
        <f ca="1">Log_2018[[#This Row],[Amount]]/Log_2018[[#This Row],[Split_raw]]*MAX(0,MIN(_xlfn.DAYS(EDATE(T$1,1),Log_2018[[#This Row],[Date]]),Log_2018[[#This Row],[Split_apply]])) - SUM($O621:S621)</f>
        <v>0</v>
      </c>
      <c r="U621" s="52">
        <f ca="1">Log_2018[[#This Row],[Amount]]/Log_2018[[#This Row],[Split_raw]]*MAX(0,MIN(_xlfn.DAYS(EDATE(U$1,1),Log_2018[[#This Row],[Date]]),Log_2018[[#This Row],[Split_apply]])) - SUM($O621:T621)</f>
        <v>0</v>
      </c>
      <c r="V621" s="52">
        <f ca="1">Log_2018[[#This Row],[Amount]]/Log_2018[[#This Row],[Split_raw]]*MAX(0,MIN(_xlfn.DAYS(EDATE(V$1,1),Log_2018[[#This Row],[Date]]),Log_2018[[#This Row],[Split_apply]])) - SUM($O621:U621)</f>
        <v>0</v>
      </c>
      <c r="W621" s="52">
        <f ca="1">Log_2018[[#This Row],[Amount]]/Log_2018[[#This Row],[Split_raw]]*MAX(0,MIN(_xlfn.DAYS(EDATE(W$1,1),Log_2018[[#This Row],[Date]]),Log_2018[[#This Row],[Split_apply]])) - SUM($O621:V621)</f>
        <v>0</v>
      </c>
      <c r="X621" s="52">
        <f ca="1">Log_2018[[#This Row],[Amount]]/Log_2018[[#This Row],[Split_raw]]*MAX(0,MIN(_xlfn.DAYS(EDATE(X$1,1),Log_2018[[#This Row],[Date]]),Log_2018[[#This Row],[Split_apply]])) - SUM($O621:W621)</f>
        <v>0</v>
      </c>
      <c r="Y621" s="52">
        <f ca="1">Log_2018[[#This Row],[Amount]]/Log_2018[[#This Row],[Split_raw]]*MAX(0,MIN(_xlfn.DAYS(EDATE(Y$1,1),Log_2018[[#This Row],[Date]]),Log_2018[[#This Row],[Split_apply]])) - SUM($O621:X621)</f>
        <v>0</v>
      </c>
      <c r="Z621" s="52">
        <f ca="1">Log_2018[[#This Row],[Amount]]/Log_2018[[#This Row],[Split_raw]]*MAX(0,MIN(_xlfn.DAYS(EDATE(Z$1,1),Log_2018[[#This Row],[Date]]),Log_2018[[#This Row],[Split_apply]])) - SUM($O621:Y621)</f>
        <v>0</v>
      </c>
      <c r="AA621" s="52">
        <f ca="1">Log_2018[[#This Row],[Amount]]/Log_2018[[#This Row],[Split_raw]]*MAX(0,MIN(_xlfn.DAYS(EDATE(AA$1,1),Log_2018[[#This Row],[Date]]),Log_2018[[#This Row],[Split_apply]])) - SUM($O621:Z621)</f>
        <v>0</v>
      </c>
      <c r="AB621" s="54">
        <f ca="1">Log_2018[[#This Row],[Amount]]-SUM(O621:AA621)</f>
        <v>0</v>
      </c>
      <c r="AC621" s="7">
        <f ca="1">MAX(0,Log_2018[[#This Row],[Split_apply]] - (EDATE(AA$1,1)-Log_2018[[#This Row],[Date]]))</f>
        <v>0</v>
      </c>
    </row>
    <row r="622" spans="1:29" hidden="1" x14ac:dyDescent="0.25">
      <c r="A622" s="115"/>
      <c r="B622" t="s">
        <v>6</v>
      </c>
      <c r="D622" s="39">
        <v>43171</v>
      </c>
      <c r="F622" t="s">
        <v>138</v>
      </c>
      <c r="G622" t="s">
        <v>104</v>
      </c>
      <c r="H622" s="3">
        <v>-343.47</v>
      </c>
      <c r="I622" s="36">
        <f>IF(Log_2018[[#This Row],[My Category]]="NONTRACKED",0,Log_2018[[#This Row],[Raw Amount]])</f>
        <v>-343.47</v>
      </c>
      <c r="J622" s="17">
        <f>ABS(Log_2018[[#This Row],[Amount]])</f>
        <v>343.47</v>
      </c>
      <c r="K622" s="66">
        <v>1</v>
      </c>
      <c r="L622" s="66">
        <f ca="1">IF(Log_2018[[#This Row],[Date]]&lt;=TODAY(), MIN(Log_2018[[#This Row],[Split_raw]], TODAY()-Log_2018[[#This Row],[Date]]+1), 0)</f>
        <v>1</v>
      </c>
      <c r="M622" t="s">
        <v>159</v>
      </c>
      <c r="N622" t="s">
        <v>160</v>
      </c>
      <c r="O622" s="50">
        <v>0</v>
      </c>
      <c r="P622" s="52">
        <f ca="1">Log_2018[[#This Row],[Amount]]/Log_2018[[#This Row],[Split_raw]]*MAX(0,MIN(_xlfn.DAYS(EDATE(P$1,1),Log_2018[[#This Row],[Date]]),Log_2018[[#This Row],[Split_apply]])) - SUM($O622:O622)</f>
        <v>0</v>
      </c>
      <c r="Q622" s="52">
        <f ca="1">Log_2018[[#This Row],[Amount]]/Log_2018[[#This Row],[Split_raw]]*MAX(0,MIN(_xlfn.DAYS(EDATE(Q$1,1),Log_2018[[#This Row],[Date]]),Log_2018[[#This Row],[Split_apply]])) - SUM($O622:P622)</f>
        <v>0</v>
      </c>
      <c r="R622" s="52">
        <f ca="1">Log_2018[[#This Row],[Amount]]/Log_2018[[#This Row],[Split_raw]]*MAX(0,MIN(_xlfn.DAYS(EDATE(R$1,1),Log_2018[[#This Row],[Date]]),Log_2018[[#This Row],[Split_apply]])) - SUM($O622:Q622)</f>
        <v>-343.47</v>
      </c>
      <c r="S622" s="52">
        <f ca="1">Log_2018[[#This Row],[Amount]]/Log_2018[[#This Row],[Split_raw]]*MAX(0,MIN(_xlfn.DAYS(EDATE(S$1,1),Log_2018[[#This Row],[Date]]),Log_2018[[#This Row],[Split_apply]])) - SUM($O622:R622)</f>
        <v>0</v>
      </c>
      <c r="T622" s="52">
        <f ca="1">Log_2018[[#This Row],[Amount]]/Log_2018[[#This Row],[Split_raw]]*MAX(0,MIN(_xlfn.DAYS(EDATE(T$1,1),Log_2018[[#This Row],[Date]]),Log_2018[[#This Row],[Split_apply]])) - SUM($O622:S622)</f>
        <v>0</v>
      </c>
      <c r="U622" s="52">
        <f ca="1">Log_2018[[#This Row],[Amount]]/Log_2018[[#This Row],[Split_raw]]*MAX(0,MIN(_xlfn.DAYS(EDATE(U$1,1),Log_2018[[#This Row],[Date]]),Log_2018[[#This Row],[Split_apply]])) - SUM($O622:T622)</f>
        <v>0</v>
      </c>
      <c r="V622" s="52">
        <f ca="1">Log_2018[[#This Row],[Amount]]/Log_2018[[#This Row],[Split_raw]]*MAX(0,MIN(_xlfn.DAYS(EDATE(V$1,1),Log_2018[[#This Row],[Date]]),Log_2018[[#This Row],[Split_apply]])) - SUM($O622:U622)</f>
        <v>0</v>
      </c>
      <c r="W622" s="52">
        <f ca="1">Log_2018[[#This Row],[Amount]]/Log_2018[[#This Row],[Split_raw]]*MAX(0,MIN(_xlfn.DAYS(EDATE(W$1,1),Log_2018[[#This Row],[Date]]),Log_2018[[#This Row],[Split_apply]])) - SUM($O622:V622)</f>
        <v>0</v>
      </c>
      <c r="X622" s="52">
        <f ca="1">Log_2018[[#This Row],[Amount]]/Log_2018[[#This Row],[Split_raw]]*MAX(0,MIN(_xlfn.DAYS(EDATE(X$1,1),Log_2018[[#This Row],[Date]]),Log_2018[[#This Row],[Split_apply]])) - SUM($O622:W622)</f>
        <v>0</v>
      </c>
      <c r="Y622" s="52">
        <f ca="1">Log_2018[[#This Row],[Amount]]/Log_2018[[#This Row],[Split_raw]]*MAX(0,MIN(_xlfn.DAYS(EDATE(Y$1,1),Log_2018[[#This Row],[Date]]),Log_2018[[#This Row],[Split_apply]])) - SUM($O622:X622)</f>
        <v>0</v>
      </c>
      <c r="Z622" s="52">
        <f ca="1">Log_2018[[#This Row],[Amount]]/Log_2018[[#This Row],[Split_raw]]*MAX(0,MIN(_xlfn.DAYS(EDATE(Z$1,1),Log_2018[[#This Row],[Date]]),Log_2018[[#This Row],[Split_apply]])) - SUM($O622:Y622)</f>
        <v>0</v>
      </c>
      <c r="AA622" s="52">
        <f ca="1">Log_2018[[#This Row],[Amount]]/Log_2018[[#This Row],[Split_raw]]*MAX(0,MIN(_xlfn.DAYS(EDATE(AA$1,1),Log_2018[[#This Row],[Date]]),Log_2018[[#This Row],[Split_apply]])) - SUM($O622:Z622)</f>
        <v>0</v>
      </c>
      <c r="AB622" s="54">
        <f ca="1">Log_2018[[#This Row],[Amount]]-SUM(O622:AA622)</f>
        <v>0</v>
      </c>
      <c r="AC622" s="7">
        <f ca="1">MAX(0,Log_2018[[#This Row],[Split_apply]] - (EDATE(AA$1,1)-Log_2018[[#This Row],[Date]]))</f>
        <v>0</v>
      </c>
    </row>
    <row r="623" spans="1:29" hidden="1" x14ac:dyDescent="0.25">
      <c r="A623" s="115"/>
      <c r="B623" t="s">
        <v>6</v>
      </c>
      <c r="D623" s="39">
        <v>43171</v>
      </c>
      <c r="F623" t="s">
        <v>59</v>
      </c>
      <c r="G623" t="s">
        <v>25</v>
      </c>
      <c r="H623" s="3">
        <v>-7.94</v>
      </c>
      <c r="I623" s="36">
        <f>IF(Log_2018[[#This Row],[My Category]]="NONTRACKED",0,Log_2018[[#This Row],[Raw Amount]])</f>
        <v>-7.94</v>
      </c>
      <c r="J623" s="17">
        <f>ABS(Log_2018[[#This Row],[Amount]])</f>
        <v>7.94</v>
      </c>
      <c r="K623" s="66">
        <v>1</v>
      </c>
      <c r="L623" s="66">
        <f ca="1">IF(Log_2018[[#This Row],[Date]]&lt;=TODAY(), MIN(Log_2018[[#This Row],[Split_raw]], TODAY()-Log_2018[[#This Row],[Date]]+1), 0)</f>
        <v>1</v>
      </c>
      <c r="M623" t="s">
        <v>35</v>
      </c>
      <c r="N623" t="s">
        <v>158</v>
      </c>
      <c r="O623" s="50">
        <v>0</v>
      </c>
      <c r="P623" s="52">
        <f ca="1">Log_2018[[#This Row],[Amount]]/Log_2018[[#This Row],[Split_raw]]*MAX(0,MIN(_xlfn.DAYS(EDATE(P$1,1),Log_2018[[#This Row],[Date]]),Log_2018[[#This Row],[Split_apply]])) - SUM($O623:O623)</f>
        <v>0</v>
      </c>
      <c r="Q623" s="52">
        <f ca="1">Log_2018[[#This Row],[Amount]]/Log_2018[[#This Row],[Split_raw]]*MAX(0,MIN(_xlfn.DAYS(EDATE(Q$1,1),Log_2018[[#This Row],[Date]]),Log_2018[[#This Row],[Split_apply]])) - SUM($O623:P623)</f>
        <v>0</v>
      </c>
      <c r="R623" s="52">
        <f ca="1">Log_2018[[#This Row],[Amount]]/Log_2018[[#This Row],[Split_raw]]*MAX(0,MIN(_xlfn.DAYS(EDATE(R$1,1),Log_2018[[#This Row],[Date]]),Log_2018[[#This Row],[Split_apply]])) - SUM($O623:Q623)</f>
        <v>-7.94</v>
      </c>
      <c r="S623" s="52">
        <f ca="1">Log_2018[[#This Row],[Amount]]/Log_2018[[#This Row],[Split_raw]]*MAX(0,MIN(_xlfn.DAYS(EDATE(S$1,1),Log_2018[[#This Row],[Date]]),Log_2018[[#This Row],[Split_apply]])) - SUM($O623:R623)</f>
        <v>0</v>
      </c>
      <c r="T623" s="52">
        <f ca="1">Log_2018[[#This Row],[Amount]]/Log_2018[[#This Row],[Split_raw]]*MAX(0,MIN(_xlfn.DAYS(EDATE(T$1,1),Log_2018[[#This Row],[Date]]),Log_2018[[#This Row],[Split_apply]])) - SUM($O623:S623)</f>
        <v>0</v>
      </c>
      <c r="U623" s="52">
        <f ca="1">Log_2018[[#This Row],[Amount]]/Log_2018[[#This Row],[Split_raw]]*MAX(0,MIN(_xlfn.DAYS(EDATE(U$1,1),Log_2018[[#This Row],[Date]]),Log_2018[[#This Row],[Split_apply]])) - SUM($O623:T623)</f>
        <v>0</v>
      </c>
      <c r="V623" s="52">
        <f ca="1">Log_2018[[#This Row],[Amount]]/Log_2018[[#This Row],[Split_raw]]*MAX(0,MIN(_xlfn.DAYS(EDATE(V$1,1),Log_2018[[#This Row],[Date]]),Log_2018[[#This Row],[Split_apply]])) - SUM($O623:U623)</f>
        <v>0</v>
      </c>
      <c r="W623" s="52">
        <f ca="1">Log_2018[[#This Row],[Amount]]/Log_2018[[#This Row],[Split_raw]]*MAX(0,MIN(_xlfn.DAYS(EDATE(W$1,1),Log_2018[[#This Row],[Date]]),Log_2018[[#This Row],[Split_apply]])) - SUM($O623:V623)</f>
        <v>0</v>
      </c>
      <c r="X623" s="52">
        <f ca="1">Log_2018[[#This Row],[Amount]]/Log_2018[[#This Row],[Split_raw]]*MAX(0,MIN(_xlfn.DAYS(EDATE(X$1,1),Log_2018[[#This Row],[Date]]),Log_2018[[#This Row],[Split_apply]])) - SUM($O623:W623)</f>
        <v>0</v>
      </c>
      <c r="Y623" s="52">
        <f ca="1">Log_2018[[#This Row],[Amount]]/Log_2018[[#This Row],[Split_raw]]*MAX(0,MIN(_xlfn.DAYS(EDATE(Y$1,1),Log_2018[[#This Row],[Date]]),Log_2018[[#This Row],[Split_apply]])) - SUM($O623:X623)</f>
        <v>0</v>
      </c>
      <c r="Z623" s="52">
        <f ca="1">Log_2018[[#This Row],[Amount]]/Log_2018[[#This Row],[Split_raw]]*MAX(0,MIN(_xlfn.DAYS(EDATE(Z$1,1),Log_2018[[#This Row],[Date]]),Log_2018[[#This Row],[Split_apply]])) - SUM($O623:Y623)</f>
        <v>0</v>
      </c>
      <c r="AA623" s="52">
        <f ca="1">Log_2018[[#This Row],[Amount]]/Log_2018[[#This Row],[Split_raw]]*MAX(0,MIN(_xlfn.DAYS(EDATE(AA$1,1),Log_2018[[#This Row],[Date]]),Log_2018[[#This Row],[Split_apply]])) - SUM($O623:Z623)</f>
        <v>0</v>
      </c>
      <c r="AB623" s="54">
        <f ca="1">Log_2018[[#This Row],[Amount]]-SUM(O623:AA623)</f>
        <v>0</v>
      </c>
      <c r="AC623" s="7">
        <f ca="1">MAX(0,Log_2018[[#This Row],[Split_apply]] - (EDATE(AA$1,1)-Log_2018[[#This Row],[Date]]))</f>
        <v>0</v>
      </c>
    </row>
    <row r="624" spans="1:29" hidden="1" x14ac:dyDescent="0.25">
      <c r="A624" s="115"/>
      <c r="B624" t="s">
        <v>6</v>
      </c>
      <c r="D624" s="39">
        <v>43171</v>
      </c>
      <c r="F624" t="s">
        <v>83</v>
      </c>
      <c r="G624" t="s">
        <v>15</v>
      </c>
      <c r="H624" s="3">
        <v>-187.53</v>
      </c>
      <c r="I624" s="36">
        <f>IF(Log_2018[[#This Row],[My Category]]="NONTRACKED",0,Log_2018[[#This Row],[Raw Amount]])</f>
        <v>-187.53</v>
      </c>
      <c r="J624" s="17">
        <f>ABS(Log_2018[[#This Row],[Amount]])</f>
        <v>187.53</v>
      </c>
      <c r="K624" s="66">
        <v>30</v>
      </c>
      <c r="L624" s="66">
        <f ca="1">IF(Log_2018[[#This Row],[Date]]&lt;=TODAY(), MIN(Log_2018[[#This Row],[Split_raw]], TODAY()-Log_2018[[#This Row],[Date]]+1), 0)</f>
        <v>30</v>
      </c>
      <c r="M624" t="s">
        <v>241</v>
      </c>
      <c r="N624" t="s">
        <v>160</v>
      </c>
      <c r="O624" s="50">
        <v>0</v>
      </c>
      <c r="P624" s="52">
        <f ca="1">Log_2018[[#This Row],[Amount]]/Log_2018[[#This Row],[Split_raw]]*MAX(0,MIN(_xlfn.DAYS(EDATE(P$1,1),Log_2018[[#This Row],[Date]]),Log_2018[[#This Row],[Split_apply]])) - SUM($O624:O624)</f>
        <v>0</v>
      </c>
      <c r="Q624" s="52">
        <f ca="1">Log_2018[[#This Row],[Amount]]/Log_2018[[#This Row],[Split_raw]]*MAX(0,MIN(_xlfn.DAYS(EDATE(Q$1,1),Log_2018[[#This Row],[Date]]),Log_2018[[#This Row],[Split_apply]])) - SUM($O624:P624)</f>
        <v>0</v>
      </c>
      <c r="R624" s="52">
        <f ca="1">Log_2018[[#This Row],[Amount]]/Log_2018[[#This Row],[Split_raw]]*MAX(0,MIN(_xlfn.DAYS(EDATE(R$1,1),Log_2018[[#This Row],[Date]]),Log_2018[[#This Row],[Split_apply]])) - SUM($O624:Q624)</f>
        <v>-125.02000000000001</v>
      </c>
      <c r="S624" s="52">
        <f ca="1">Log_2018[[#This Row],[Amount]]/Log_2018[[#This Row],[Split_raw]]*MAX(0,MIN(_xlfn.DAYS(EDATE(S$1,1),Log_2018[[#This Row],[Date]]),Log_2018[[#This Row],[Split_apply]])) - SUM($O624:R624)</f>
        <v>-62.509999999999991</v>
      </c>
      <c r="T624" s="52">
        <f ca="1">Log_2018[[#This Row],[Amount]]/Log_2018[[#This Row],[Split_raw]]*MAX(0,MIN(_xlfn.DAYS(EDATE(T$1,1),Log_2018[[#This Row],[Date]]),Log_2018[[#This Row],[Split_apply]])) - SUM($O624:S624)</f>
        <v>0</v>
      </c>
      <c r="U624" s="52">
        <f ca="1">Log_2018[[#This Row],[Amount]]/Log_2018[[#This Row],[Split_raw]]*MAX(0,MIN(_xlfn.DAYS(EDATE(U$1,1),Log_2018[[#This Row],[Date]]),Log_2018[[#This Row],[Split_apply]])) - SUM($O624:T624)</f>
        <v>0</v>
      </c>
      <c r="V624" s="52">
        <f ca="1">Log_2018[[#This Row],[Amount]]/Log_2018[[#This Row],[Split_raw]]*MAX(0,MIN(_xlfn.DAYS(EDATE(V$1,1),Log_2018[[#This Row],[Date]]),Log_2018[[#This Row],[Split_apply]])) - SUM($O624:U624)</f>
        <v>0</v>
      </c>
      <c r="W624" s="52">
        <f ca="1">Log_2018[[#This Row],[Amount]]/Log_2018[[#This Row],[Split_raw]]*MAX(0,MIN(_xlfn.DAYS(EDATE(W$1,1),Log_2018[[#This Row],[Date]]),Log_2018[[#This Row],[Split_apply]])) - SUM($O624:V624)</f>
        <v>0</v>
      </c>
      <c r="X624" s="52">
        <f ca="1">Log_2018[[#This Row],[Amount]]/Log_2018[[#This Row],[Split_raw]]*MAX(0,MIN(_xlfn.DAYS(EDATE(X$1,1),Log_2018[[#This Row],[Date]]),Log_2018[[#This Row],[Split_apply]])) - SUM($O624:W624)</f>
        <v>0</v>
      </c>
      <c r="Y624" s="52">
        <f ca="1">Log_2018[[#This Row],[Amount]]/Log_2018[[#This Row],[Split_raw]]*MAX(0,MIN(_xlfn.DAYS(EDATE(Y$1,1),Log_2018[[#This Row],[Date]]),Log_2018[[#This Row],[Split_apply]])) - SUM($O624:X624)</f>
        <v>0</v>
      </c>
      <c r="Z624" s="52">
        <f ca="1">Log_2018[[#This Row],[Amount]]/Log_2018[[#This Row],[Split_raw]]*MAX(0,MIN(_xlfn.DAYS(EDATE(Z$1,1),Log_2018[[#This Row],[Date]]),Log_2018[[#This Row],[Split_apply]])) - SUM($O624:Y624)</f>
        <v>0</v>
      </c>
      <c r="AA624" s="52">
        <f ca="1">Log_2018[[#This Row],[Amount]]/Log_2018[[#This Row],[Split_raw]]*MAX(0,MIN(_xlfn.DAYS(EDATE(AA$1,1),Log_2018[[#This Row],[Date]]),Log_2018[[#This Row],[Split_apply]])) - SUM($O624:Z624)</f>
        <v>0</v>
      </c>
      <c r="AB624" s="54">
        <f ca="1">Log_2018[[#This Row],[Amount]]-SUM(O624:AA624)</f>
        <v>0</v>
      </c>
      <c r="AC624" s="7">
        <f ca="1">MAX(0,Log_2018[[#This Row],[Split_apply]] - (EDATE(AA$1,1)-Log_2018[[#This Row],[Date]]))</f>
        <v>0</v>
      </c>
    </row>
    <row r="625" spans="1:29" hidden="1" x14ac:dyDescent="0.25">
      <c r="A625" s="115"/>
      <c r="B625" t="s">
        <v>6</v>
      </c>
      <c r="D625" s="39">
        <v>43170</v>
      </c>
      <c r="F625" t="s">
        <v>105</v>
      </c>
      <c r="G625" t="s">
        <v>104</v>
      </c>
      <c r="H625" s="3">
        <f>--343.47</f>
        <v>343.47</v>
      </c>
      <c r="I625" s="36">
        <f>IF(Log_2018[[#This Row],[My Category]]="NONTRACKED",0,Log_2018[[#This Row],[Raw Amount]])</f>
        <v>343.47</v>
      </c>
      <c r="J625" s="17">
        <f>ABS(Log_2018[[#This Row],[Amount]])</f>
        <v>343.47</v>
      </c>
      <c r="K625" s="66">
        <v>1</v>
      </c>
      <c r="L625" s="66">
        <f ca="1">IF(Log_2018[[#This Row],[Date]]&lt;=TODAY(), MIN(Log_2018[[#This Row],[Split_raw]], TODAY()-Log_2018[[#This Row],[Date]]+1), 0)</f>
        <v>1</v>
      </c>
      <c r="M625" t="s">
        <v>159</v>
      </c>
      <c r="N625" t="s">
        <v>158</v>
      </c>
      <c r="O625" s="50">
        <v>0</v>
      </c>
      <c r="P625" s="52">
        <f ca="1">Log_2018[[#This Row],[Amount]]/Log_2018[[#This Row],[Split_raw]]*MAX(0,MIN(_xlfn.DAYS(EDATE(P$1,1),Log_2018[[#This Row],[Date]]),Log_2018[[#This Row],[Split_apply]])) - SUM($O625:O625)</f>
        <v>0</v>
      </c>
      <c r="Q625" s="52">
        <f ca="1">Log_2018[[#This Row],[Amount]]/Log_2018[[#This Row],[Split_raw]]*MAX(0,MIN(_xlfn.DAYS(EDATE(Q$1,1),Log_2018[[#This Row],[Date]]),Log_2018[[#This Row],[Split_apply]])) - SUM($O625:P625)</f>
        <v>0</v>
      </c>
      <c r="R625" s="52">
        <f ca="1">Log_2018[[#This Row],[Amount]]/Log_2018[[#This Row],[Split_raw]]*MAX(0,MIN(_xlfn.DAYS(EDATE(R$1,1),Log_2018[[#This Row],[Date]]),Log_2018[[#This Row],[Split_apply]])) - SUM($O625:Q625)</f>
        <v>343.47</v>
      </c>
      <c r="S625" s="52">
        <f ca="1">Log_2018[[#This Row],[Amount]]/Log_2018[[#This Row],[Split_raw]]*MAX(0,MIN(_xlfn.DAYS(EDATE(S$1,1),Log_2018[[#This Row],[Date]]),Log_2018[[#This Row],[Split_apply]])) - SUM($O625:R625)</f>
        <v>0</v>
      </c>
      <c r="T625" s="52">
        <f ca="1">Log_2018[[#This Row],[Amount]]/Log_2018[[#This Row],[Split_raw]]*MAX(0,MIN(_xlfn.DAYS(EDATE(T$1,1),Log_2018[[#This Row],[Date]]),Log_2018[[#This Row],[Split_apply]])) - SUM($O625:S625)</f>
        <v>0</v>
      </c>
      <c r="U625" s="52">
        <f ca="1">Log_2018[[#This Row],[Amount]]/Log_2018[[#This Row],[Split_raw]]*MAX(0,MIN(_xlfn.DAYS(EDATE(U$1,1),Log_2018[[#This Row],[Date]]),Log_2018[[#This Row],[Split_apply]])) - SUM($O625:T625)</f>
        <v>0</v>
      </c>
      <c r="V625" s="52">
        <f ca="1">Log_2018[[#This Row],[Amount]]/Log_2018[[#This Row],[Split_raw]]*MAX(0,MIN(_xlfn.DAYS(EDATE(V$1,1),Log_2018[[#This Row],[Date]]),Log_2018[[#This Row],[Split_apply]])) - SUM($O625:U625)</f>
        <v>0</v>
      </c>
      <c r="W625" s="52">
        <f ca="1">Log_2018[[#This Row],[Amount]]/Log_2018[[#This Row],[Split_raw]]*MAX(0,MIN(_xlfn.DAYS(EDATE(W$1,1),Log_2018[[#This Row],[Date]]),Log_2018[[#This Row],[Split_apply]])) - SUM($O625:V625)</f>
        <v>0</v>
      </c>
      <c r="X625" s="52">
        <f ca="1">Log_2018[[#This Row],[Amount]]/Log_2018[[#This Row],[Split_raw]]*MAX(0,MIN(_xlfn.DAYS(EDATE(X$1,1),Log_2018[[#This Row],[Date]]),Log_2018[[#This Row],[Split_apply]])) - SUM($O625:W625)</f>
        <v>0</v>
      </c>
      <c r="Y625" s="52">
        <f ca="1">Log_2018[[#This Row],[Amount]]/Log_2018[[#This Row],[Split_raw]]*MAX(0,MIN(_xlfn.DAYS(EDATE(Y$1,1),Log_2018[[#This Row],[Date]]),Log_2018[[#This Row],[Split_apply]])) - SUM($O625:X625)</f>
        <v>0</v>
      </c>
      <c r="Z625" s="52">
        <f ca="1">Log_2018[[#This Row],[Amount]]/Log_2018[[#This Row],[Split_raw]]*MAX(0,MIN(_xlfn.DAYS(EDATE(Z$1,1),Log_2018[[#This Row],[Date]]),Log_2018[[#This Row],[Split_apply]])) - SUM($O625:Y625)</f>
        <v>0</v>
      </c>
      <c r="AA625" s="52">
        <f ca="1">Log_2018[[#This Row],[Amount]]/Log_2018[[#This Row],[Split_raw]]*MAX(0,MIN(_xlfn.DAYS(EDATE(AA$1,1),Log_2018[[#This Row],[Date]]),Log_2018[[#This Row],[Split_apply]])) - SUM($O625:Z625)</f>
        <v>0</v>
      </c>
      <c r="AB625" s="54">
        <f ca="1">Log_2018[[#This Row],[Amount]]-SUM(O625:AA625)</f>
        <v>0</v>
      </c>
      <c r="AC625" s="7">
        <f ca="1">MAX(0,Log_2018[[#This Row],[Split_apply]] - (EDATE(AA$1,1)-Log_2018[[#This Row],[Date]]))</f>
        <v>0</v>
      </c>
    </row>
    <row r="626" spans="1:29" hidden="1" x14ac:dyDescent="0.25">
      <c r="A626" s="115"/>
      <c r="B626" t="s">
        <v>6</v>
      </c>
      <c r="D626" s="39">
        <v>43169</v>
      </c>
      <c r="F626" t="s">
        <v>184</v>
      </c>
      <c r="G626" t="s">
        <v>11</v>
      </c>
      <c r="H626" s="3">
        <v>-3.5</v>
      </c>
      <c r="I626" s="36">
        <f>IF(Log_2018[[#This Row],[My Category]]="NONTRACKED",0,Log_2018[[#This Row],[Raw Amount]])</f>
        <v>-3.5</v>
      </c>
      <c r="J626" s="17">
        <f>ABS(Log_2018[[#This Row],[Amount]])</f>
        <v>3.5</v>
      </c>
      <c r="K626" s="66">
        <v>1</v>
      </c>
      <c r="L626" s="66">
        <f ca="1">IF(Log_2018[[#This Row],[Date]]&lt;=TODAY(), MIN(Log_2018[[#This Row],[Split_raw]], TODAY()-Log_2018[[#This Row],[Date]]+1), 0)</f>
        <v>1</v>
      </c>
      <c r="M626" t="s">
        <v>145</v>
      </c>
      <c r="N626" t="s">
        <v>158</v>
      </c>
      <c r="O626" s="50">
        <v>0</v>
      </c>
      <c r="P626" s="52">
        <f ca="1">Log_2018[[#This Row],[Amount]]/Log_2018[[#This Row],[Split_raw]]*MAX(0,MIN(_xlfn.DAYS(EDATE(P$1,1),Log_2018[[#This Row],[Date]]),Log_2018[[#This Row],[Split_apply]])) - SUM($O626:O626)</f>
        <v>0</v>
      </c>
      <c r="Q626" s="52">
        <f ca="1">Log_2018[[#This Row],[Amount]]/Log_2018[[#This Row],[Split_raw]]*MAX(0,MIN(_xlfn.DAYS(EDATE(Q$1,1),Log_2018[[#This Row],[Date]]),Log_2018[[#This Row],[Split_apply]])) - SUM($O626:P626)</f>
        <v>0</v>
      </c>
      <c r="R626" s="52">
        <f ca="1">Log_2018[[#This Row],[Amount]]/Log_2018[[#This Row],[Split_raw]]*MAX(0,MIN(_xlfn.DAYS(EDATE(R$1,1),Log_2018[[#This Row],[Date]]),Log_2018[[#This Row],[Split_apply]])) - SUM($O626:Q626)</f>
        <v>-3.5</v>
      </c>
      <c r="S626" s="52">
        <f ca="1">Log_2018[[#This Row],[Amount]]/Log_2018[[#This Row],[Split_raw]]*MAX(0,MIN(_xlfn.DAYS(EDATE(S$1,1),Log_2018[[#This Row],[Date]]),Log_2018[[#This Row],[Split_apply]])) - SUM($O626:R626)</f>
        <v>0</v>
      </c>
      <c r="T626" s="52">
        <f ca="1">Log_2018[[#This Row],[Amount]]/Log_2018[[#This Row],[Split_raw]]*MAX(0,MIN(_xlfn.DAYS(EDATE(T$1,1),Log_2018[[#This Row],[Date]]),Log_2018[[#This Row],[Split_apply]])) - SUM($O626:S626)</f>
        <v>0</v>
      </c>
      <c r="U626" s="52">
        <f ca="1">Log_2018[[#This Row],[Amount]]/Log_2018[[#This Row],[Split_raw]]*MAX(0,MIN(_xlfn.DAYS(EDATE(U$1,1),Log_2018[[#This Row],[Date]]),Log_2018[[#This Row],[Split_apply]])) - SUM($O626:T626)</f>
        <v>0</v>
      </c>
      <c r="V626" s="52">
        <f ca="1">Log_2018[[#This Row],[Amount]]/Log_2018[[#This Row],[Split_raw]]*MAX(0,MIN(_xlfn.DAYS(EDATE(V$1,1),Log_2018[[#This Row],[Date]]),Log_2018[[#This Row],[Split_apply]])) - SUM($O626:U626)</f>
        <v>0</v>
      </c>
      <c r="W626" s="52">
        <f ca="1">Log_2018[[#This Row],[Amount]]/Log_2018[[#This Row],[Split_raw]]*MAX(0,MIN(_xlfn.DAYS(EDATE(W$1,1),Log_2018[[#This Row],[Date]]),Log_2018[[#This Row],[Split_apply]])) - SUM($O626:V626)</f>
        <v>0</v>
      </c>
      <c r="X626" s="52">
        <f ca="1">Log_2018[[#This Row],[Amount]]/Log_2018[[#This Row],[Split_raw]]*MAX(0,MIN(_xlfn.DAYS(EDATE(X$1,1),Log_2018[[#This Row],[Date]]),Log_2018[[#This Row],[Split_apply]])) - SUM($O626:W626)</f>
        <v>0</v>
      </c>
      <c r="Y626" s="52">
        <f ca="1">Log_2018[[#This Row],[Amount]]/Log_2018[[#This Row],[Split_raw]]*MAX(0,MIN(_xlfn.DAYS(EDATE(Y$1,1),Log_2018[[#This Row],[Date]]),Log_2018[[#This Row],[Split_apply]])) - SUM($O626:X626)</f>
        <v>0</v>
      </c>
      <c r="Z626" s="52">
        <f ca="1">Log_2018[[#This Row],[Amount]]/Log_2018[[#This Row],[Split_raw]]*MAX(0,MIN(_xlfn.DAYS(EDATE(Z$1,1),Log_2018[[#This Row],[Date]]),Log_2018[[#This Row],[Split_apply]])) - SUM($O626:Y626)</f>
        <v>0</v>
      </c>
      <c r="AA626" s="52">
        <f ca="1">Log_2018[[#This Row],[Amount]]/Log_2018[[#This Row],[Split_raw]]*MAX(0,MIN(_xlfn.DAYS(EDATE(AA$1,1),Log_2018[[#This Row],[Date]]),Log_2018[[#This Row],[Split_apply]])) - SUM($O626:Z626)</f>
        <v>0</v>
      </c>
      <c r="AB626" s="54">
        <f ca="1">Log_2018[[#This Row],[Amount]]-SUM(O626:AA626)</f>
        <v>0</v>
      </c>
      <c r="AC626" s="7">
        <f ca="1">MAX(0,Log_2018[[#This Row],[Split_apply]] - (EDATE(AA$1,1)-Log_2018[[#This Row],[Date]]))</f>
        <v>0</v>
      </c>
    </row>
    <row r="627" spans="1:29" hidden="1" x14ac:dyDescent="0.25">
      <c r="A627" s="115"/>
      <c r="B627" t="s">
        <v>6</v>
      </c>
      <c r="D627" s="39">
        <v>43169</v>
      </c>
      <c r="F627" t="s">
        <v>186</v>
      </c>
      <c r="G627" t="s">
        <v>25</v>
      </c>
      <c r="H627" s="3">
        <v>-32.4</v>
      </c>
      <c r="I627" s="36">
        <f>IF(Log_2018[[#This Row],[My Category]]="NONTRACKED",0,Log_2018[[#This Row],[Raw Amount]])</f>
        <v>-32.4</v>
      </c>
      <c r="J627" s="17">
        <f>ABS(Log_2018[[#This Row],[Amount]])</f>
        <v>32.4</v>
      </c>
      <c r="K627" s="66">
        <v>1</v>
      </c>
      <c r="L627" s="66">
        <f ca="1">IF(Log_2018[[#This Row],[Date]]&lt;=TODAY(), MIN(Log_2018[[#This Row],[Split_raw]], TODAY()-Log_2018[[#This Row],[Date]]+1), 0)</f>
        <v>1</v>
      </c>
      <c r="M627" t="s">
        <v>40</v>
      </c>
      <c r="N627" t="s">
        <v>158</v>
      </c>
      <c r="O627" s="50">
        <v>0</v>
      </c>
      <c r="P627" s="52">
        <f ca="1">Log_2018[[#This Row],[Amount]]/Log_2018[[#This Row],[Split_raw]]*MAX(0,MIN(_xlfn.DAYS(EDATE(P$1,1),Log_2018[[#This Row],[Date]]),Log_2018[[#This Row],[Split_apply]])) - SUM($O627:O627)</f>
        <v>0</v>
      </c>
      <c r="Q627" s="52">
        <f ca="1">Log_2018[[#This Row],[Amount]]/Log_2018[[#This Row],[Split_raw]]*MAX(0,MIN(_xlfn.DAYS(EDATE(Q$1,1),Log_2018[[#This Row],[Date]]),Log_2018[[#This Row],[Split_apply]])) - SUM($O627:P627)</f>
        <v>0</v>
      </c>
      <c r="R627" s="52">
        <f ca="1">Log_2018[[#This Row],[Amount]]/Log_2018[[#This Row],[Split_raw]]*MAX(0,MIN(_xlfn.DAYS(EDATE(R$1,1),Log_2018[[#This Row],[Date]]),Log_2018[[#This Row],[Split_apply]])) - SUM($O627:Q627)</f>
        <v>-32.4</v>
      </c>
      <c r="S627" s="52">
        <f ca="1">Log_2018[[#This Row],[Amount]]/Log_2018[[#This Row],[Split_raw]]*MAX(0,MIN(_xlfn.DAYS(EDATE(S$1,1),Log_2018[[#This Row],[Date]]),Log_2018[[#This Row],[Split_apply]])) - SUM($O627:R627)</f>
        <v>0</v>
      </c>
      <c r="T627" s="52">
        <f ca="1">Log_2018[[#This Row],[Amount]]/Log_2018[[#This Row],[Split_raw]]*MAX(0,MIN(_xlfn.DAYS(EDATE(T$1,1),Log_2018[[#This Row],[Date]]),Log_2018[[#This Row],[Split_apply]])) - SUM($O627:S627)</f>
        <v>0</v>
      </c>
      <c r="U627" s="52">
        <f ca="1">Log_2018[[#This Row],[Amount]]/Log_2018[[#This Row],[Split_raw]]*MAX(0,MIN(_xlfn.DAYS(EDATE(U$1,1),Log_2018[[#This Row],[Date]]),Log_2018[[#This Row],[Split_apply]])) - SUM($O627:T627)</f>
        <v>0</v>
      </c>
      <c r="V627" s="52">
        <f ca="1">Log_2018[[#This Row],[Amount]]/Log_2018[[#This Row],[Split_raw]]*MAX(0,MIN(_xlfn.DAYS(EDATE(V$1,1),Log_2018[[#This Row],[Date]]),Log_2018[[#This Row],[Split_apply]])) - SUM($O627:U627)</f>
        <v>0</v>
      </c>
      <c r="W627" s="52">
        <f ca="1">Log_2018[[#This Row],[Amount]]/Log_2018[[#This Row],[Split_raw]]*MAX(0,MIN(_xlfn.DAYS(EDATE(W$1,1),Log_2018[[#This Row],[Date]]),Log_2018[[#This Row],[Split_apply]])) - SUM($O627:V627)</f>
        <v>0</v>
      </c>
      <c r="X627" s="52">
        <f ca="1">Log_2018[[#This Row],[Amount]]/Log_2018[[#This Row],[Split_raw]]*MAX(0,MIN(_xlfn.DAYS(EDATE(X$1,1),Log_2018[[#This Row],[Date]]),Log_2018[[#This Row],[Split_apply]])) - SUM($O627:W627)</f>
        <v>0</v>
      </c>
      <c r="Y627" s="52">
        <f ca="1">Log_2018[[#This Row],[Amount]]/Log_2018[[#This Row],[Split_raw]]*MAX(0,MIN(_xlfn.DAYS(EDATE(Y$1,1),Log_2018[[#This Row],[Date]]),Log_2018[[#This Row],[Split_apply]])) - SUM($O627:X627)</f>
        <v>0</v>
      </c>
      <c r="Z627" s="52">
        <f ca="1">Log_2018[[#This Row],[Amount]]/Log_2018[[#This Row],[Split_raw]]*MAX(0,MIN(_xlfn.DAYS(EDATE(Z$1,1),Log_2018[[#This Row],[Date]]),Log_2018[[#This Row],[Split_apply]])) - SUM($O627:Y627)</f>
        <v>0</v>
      </c>
      <c r="AA627" s="52">
        <f ca="1">Log_2018[[#This Row],[Amount]]/Log_2018[[#This Row],[Split_raw]]*MAX(0,MIN(_xlfn.DAYS(EDATE(AA$1,1),Log_2018[[#This Row],[Date]]),Log_2018[[#This Row],[Split_apply]])) - SUM($O627:Z627)</f>
        <v>0</v>
      </c>
      <c r="AB627" s="54">
        <f ca="1">Log_2018[[#This Row],[Amount]]-SUM(O627:AA627)</f>
        <v>0</v>
      </c>
      <c r="AC627" s="7">
        <f ca="1">MAX(0,Log_2018[[#This Row],[Split_apply]] - (EDATE(AA$1,1)-Log_2018[[#This Row],[Date]]))</f>
        <v>0</v>
      </c>
    </row>
    <row r="628" spans="1:29" hidden="1" x14ac:dyDescent="0.25">
      <c r="A628" s="115"/>
      <c r="B628" t="s">
        <v>6</v>
      </c>
      <c r="D628" s="39">
        <v>43169</v>
      </c>
      <c r="F628" t="s">
        <v>185</v>
      </c>
      <c r="G628" t="s">
        <v>25</v>
      </c>
      <c r="H628" s="3">
        <v>-15.6</v>
      </c>
      <c r="I628" s="36">
        <f>IF(Log_2018[[#This Row],[My Category]]="NONTRACKED",0,Log_2018[[#This Row],[Raw Amount]])</f>
        <v>-15.6</v>
      </c>
      <c r="J628" s="17">
        <f>ABS(Log_2018[[#This Row],[Amount]])</f>
        <v>15.6</v>
      </c>
      <c r="K628" s="66">
        <v>1</v>
      </c>
      <c r="L628" s="66">
        <f ca="1">IF(Log_2018[[#This Row],[Date]]&lt;=TODAY(), MIN(Log_2018[[#This Row],[Split_raw]], TODAY()-Log_2018[[#This Row],[Date]]+1), 0)</f>
        <v>1</v>
      </c>
      <c r="M628" t="s">
        <v>35</v>
      </c>
      <c r="N628" t="s">
        <v>158</v>
      </c>
      <c r="O628" s="50">
        <v>0</v>
      </c>
      <c r="P628" s="52">
        <f ca="1">Log_2018[[#This Row],[Amount]]/Log_2018[[#This Row],[Split_raw]]*MAX(0,MIN(_xlfn.DAYS(EDATE(P$1,1),Log_2018[[#This Row],[Date]]),Log_2018[[#This Row],[Split_apply]])) - SUM($O628:O628)</f>
        <v>0</v>
      </c>
      <c r="Q628" s="52">
        <f ca="1">Log_2018[[#This Row],[Amount]]/Log_2018[[#This Row],[Split_raw]]*MAX(0,MIN(_xlfn.DAYS(EDATE(Q$1,1),Log_2018[[#This Row],[Date]]),Log_2018[[#This Row],[Split_apply]])) - SUM($O628:P628)</f>
        <v>0</v>
      </c>
      <c r="R628" s="52">
        <f ca="1">Log_2018[[#This Row],[Amount]]/Log_2018[[#This Row],[Split_raw]]*MAX(0,MIN(_xlfn.DAYS(EDATE(R$1,1),Log_2018[[#This Row],[Date]]),Log_2018[[#This Row],[Split_apply]])) - SUM($O628:Q628)</f>
        <v>-15.6</v>
      </c>
      <c r="S628" s="52">
        <f ca="1">Log_2018[[#This Row],[Amount]]/Log_2018[[#This Row],[Split_raw]]*MAX(0,MIN(_xlfn.DAYS(EDATE(S$1,1),Log_2018[[#This Row],[Date]]),Log_2018[[#This Row],[Split_apply]])) - SUM($O628:R628)</f>
        <v>0</v>
      </c>
      <c r="T628" s="52">
        <f ca="1">Log_2018[[#This Row],[Amount]]/Log_2018[[#This Row],[Split_raw]]*MAX(0,MIN(_xlfn.DAYS(EDATE(T$1,1),Log_2018[[#This Row],[Date]]),Log_2018[[#This Row],[Split_apply]])) - SUM($O628:S628)</f>
        <v>0</v>
      </c>
      <c r="U628" s="52">
        <f ca="1">Log_2018[[#This Row],[Amount]]/Log_2018[[#This Row],[Split_raw]]*MAX(0,MIN(_xlfn.DAYS(EDATE(U$1,1),Log_2018[[#This Row],[Date]]),Log_2018[[#This Row],[Split_apply]])) - SUM($O628:T628)</f>
        <v>0</v>
      </c>
      <c r="V628" s="52">
        <f ca="1">Log_2018[[#This Row],[Amount]]/Log_2018[[#This Row],[Split_raw]]*MAX(0,MIN(_xlfn.DAYS(EDATE(V$1,1),Log_2018[[#This Row],[Date]]),Log_2018[[#This Row],[Split_apply]])) - SUM($O628:U628)</f>
        <v>0</v>
      </c>
      <c r="W628" s="52">
        <f ca="1">Log_2018[[#This Row],[Amount]]/Log_2018[[#This Row],[Split_raw]]*MAX(0,MIN(_xlfn.DAYS(EDATE(W$1,1),Log_2018[[#This Row],[Date]]),Log_2018[[#This Row],[Split_apply]])) - SUM($O628:V628)</f>
        <v>0</v>
      </c>
      <c r="X628" s="52">
        <f ca="1">Log_2018[[#This Row],[Amount]]/Log_2018[[#This Row],[Split_raw]]*MAX(0,MIN(_xlfn.DAYS(EDATE(X$1,1),Log_2018[[#This Row],[Date]]),Log_2018[[#This Row],[Split_apply]])) - SUM($O628:W628)</f>
        <v>0</v>
      </c>
      <c r="Y628" s="52">
        <f ca="1">Log_2018[[#This Row],[Amount]]/Log_2018[[#This Row],[Split_raw]]*MAX(0,MIN(_xlfn.DAYS(EDATE(Y$1,1),Log_2018[[#This Row],[Date]]),Log_2018[[#This Row],[Split_apply]])) - SUM($O628:X628)</f>
        <v>0</v>
      </c>
      <c r="Z628" s="52">
        <f ca="1">Log_2018[[#This Row],[Amount]]/Log_2018[[#This Row],[Split_raw]]*MAX(0,MIN(_xlfn.DAYS(EDATE(Z$1,1),Log_2018[[#This Row],[Date]]),Log_2018[[#This Row],[Split_apply]])) - SUM($O628:Y628)</f>
        <v>0</v>
      </c>
      <c r="AA628" s="52">
        <f ca="1">Log_2018[[#This Row],[Amount]]/Log_2018[[#This Row],[Split_raw]]*MAX(0,MIN(_xlfn.DAYS(EDATE(AA$1,1),Log_2018[[#This Row],[Date]]),Log_2018[[#This Row],[Split_apply]])) - SUM($O628:Z628)</f>
        <v>0</v>
      </c>
      <c r="AB628" s="54">
        <f ca="1">Log_2018[[#This Row],[Amount]]-SUM(O628:AA628)</f>
        <v>0</v>
      </c>
      <c r="AC628" s="7">
        <f ca="1">MAX(0,Log_2018[[#This Row],[Split_apply]] - (EDATE(AA$1,1)-Log_2018[[#This Row],[Date]]))</f>
        <v>0</v>
      </c>
    </row>
    <row r="629" spans="1:29" hidden="1" x14ac:dyDescent="0.25">
      <c r="A629" s="115"/>
      <c r="B629" t="s">
        <v>6</v>
      </c>
      <c r="D629" s="39">
        <v>43169</v>
      </c>
      <c r="F629" t="s">
        <v>69</v>
      </c>
      <c r="G629" t="s">
        <v>25</v>
      </c>
      <c r="H629" s="3">
        <v>-23.94</v>
      </c>
      <c r="I629" s="36">
        <f>IF(Log_2018[[#This Row],[My Category]]="NONTRACKED",0,Log_2018[[#This Row],[Raw Amount]])</f>
        <v>-23.94</v>
      </c>
      <c r="J629" s="17">
        <f>ABS(Log_2018[[#This Row],[Amount]])</f>
        <v>23.94</v>
      </c>
      <c r="K629" s="66">
        <v>1</v>
      </c>
      <c r="L629" s="66">
        <f ca="1">IF(Log_2018[[#This Row],[Date]]&lt;=TODAY(), MIN(Log_2018[[#This Row],[Split_raw]], TODAY()-Log_2018[[#This Row],[Date]]+1), 0)</f>
        <v>1</v>
      </c>
      <c r="M629" t="s">
        <v>52</v>
      </c>
      <c r="N629" t="s">
        <v>158</v>
      </c>
      <c r="O629" s="50">
        <v>0</v>
      </c>
      <c r="P629" s="52">
        <f ca="1">Log_2018[[#This Row],[Amount]]/Log_2018[[#This Row],[Split_raw]]*MAX(0,MIN(_xlfn.DAYS(EDATE(P$1,1),Log_2018[[#This Row],[Date]]),Log_2018[[#This Row],[Split_apply]])) - SUM($O629:O629)</f>
        <v>0</v>
      </c>
      <c r="Q629" s="52">
        <f ca="1">Log_2018[[#This Row],[Amount]]/Log_2018[[#This Row],[Split_raw]]*MAX(0,MIN(_xlfn.DAYS(EDATE(Q$1,1),Log_2018[[#This Row],[Date]]),Log_2018[[#This Row],[Split_apply]])) - SUM($O629:P629)</f>
        <v>0</v>
      </c>
      <c r="R629" s="52">
        <f ca="1">Log_2018[[#This Row],[Amount]]/Log_2018[[#This Row],[Split_raw]]*MAX(0,MIN(_xlfn.DAYS(EDATE(R$1,1),Log_2018[[#This Row],[Date]]),Log_2018[[#This Row],[Split_apply]])) - SUM($O629:Q629)</f>
        <v>-23.94</v>
      </c>
      <c r="S629" s="52">
        <f ca="1">Log_2018[[#This Row],[Amount]]/Log_2018[[#This Row],[Split_raw]]*MAX(0,MIN(_xlfn.DAYS(EDATE(S$1,1),Log_2018[[#This Row],[Date]]),Log_2018[[#This Row],[Split_apply]])) - SUM($O629:R629)</f>
        <v>0</v>
      </c>
      <c r="T629" s="52">
        <f ca="1">Log_2018[[#This Row],[Amount]]/Log_2018[[#This Row],[Split_raw]]*MAX(0,MIN(_xlfn.DAYS(EDATE(T$1,1),Log_2018[[#This Row],[Date]]),Log_2018[[#This Row],[Split_apply]])) - SUM($O629:S629)</f>
        <v>0</v>
      </c>
      <c r="U629" s="52">
        <f ca="1">Log_2018[[#This Row],[Amount]]/Log_2018[[#This Row],[Split_raw]]*MAX(0,MIN(_xlfn.DAYS(EDATE(U$1,1),Log_2018[[#This Row],[Date]]),Log_2018[[#This Row],[Split_apply]])) - SUM($O629:T629)</f>
        <v>0</v>
      </c>
      <c r="V629" s="52">
        <f ca="1">Log_2018[[#This Row],[Amount]]/Log_2018[[#This Row],[Split_raw]]*MAX(0,MIN(_xlfn.DAYS(EDATE(V$1,1),Log_2018[[#This Row],[Date]]),Log_2018[[#This Row],[Split_apply]])) - SUM($O629:U629)</f>
        <v>0</v>
      </c>
      <c r="W629" s="52">
        <f ca="1">Log_2018[[#This Row],[Amount]]/Log_2018[[#This Row],[Split_raw]]*MAX(0,MIN(_xlfn.DAYS(EDATE(W$1,1),Log_2018[[#This Row],[Date]]),Log_2018[[#This Row],[Split_apply]])) - SUM($O629:V629)</f>
        <v>0</v>
      </c>
      <c r="X629" s="52">
        <f ca="1">Log_2018[[#This Row],[Amount]]/Log_2018[[#This Row],[Split_raw]]*MAX(0,MIN(_xlfn.DAYS(EDATE(X$1,1),Log_2018[[#This Row],[Date]]),Log_2018[[#This Row],[Split_apply]])) - SUM($O629:W629)</f>
        <v>0</v>
      </c>
      <c r="Y629" s="52">
        <f ca="1">Log_2018[[#This Row],[Amount]]/Log_2018[[#This Row],[Split_raw]]*MAX(0,MIN(_xlfn.DAYS(EDATE(Y$1,1),Log_2018[[#This Row],[Date]]),Log_2018[[#This Row],[Split_apply]])) - SUM($O629:X629)</f>
        <v>0</v>
      </c>
      <c r="Z629" s="52">
        <f ca="1">Log_2018[[#This Row],[Amount]]/Log_2018[[#This Row],[Split_raw]]*MAX(0,MIN(_xlfn.DAYS(EDATE(Z$1,1),Log_2018[[#This Row],[Date]]),Log_2018[[#This Row],[Split_apply]])) - SUM($O629:Y629)</f>
        <v>0</v>
      </c>
      <c r="AA629" s="52">
        <f ca="1">Log_2018[[#This Row],[Amount]]/Log_2018[[#This Row],[Split_raw]]*MAX(0,MIN(_xlfn.DAYS(EDATE(AA$1,1),Log_2018[[#This Row],[Date]]),Log_2018[[#This Row],[Split_apply]])) - SUM($O629:Z629)</f>
        <v>0</v>
      </c>
      <c r="AB629" s="54">
        <f ca="1">Log_2018[[#This Row],[Amount]]-SUM(O629:AA629)</f>
        <v>0</v>
      </c>
      <c r="AC629" s="7">
        <f ca="1">MAX(0,Log_2018[[#This Row],[Split_apply]] - (EDATE(AA$1,1)-Log_2018[[#This Row],[Date]]))</f>
        <v>0</v>
      </c>
    </row>
    <row r="630" spans="1:29" hidden="1" x14ac:dyDescent="0.25">
      <c r="A630" s="115"/>
      <c r="B630" t="s">
        <v>6</v>
      </c>
      <c r="D630" s="39">
        <v>43168</v>
      </c>
      <c r="F630" t="s">
        <v>187</v>
      </c>
      <c r="G630" t="s">
        <v>11</v>
      </c>
      <c r="H630" s="3">
        <v>-107.17</v>
      </c>
      <c r="I630" s="36">
        <f>IF(Log_2018[[#This Row],[My Category]]="NONTRACKED",0,Log_2018[[#This Row],[Raw Amount]])</f>
        <v>-107.17</v>
      </c>
      <c r="J630" s="17">
        <f>ABS(Log_2018[[#This Row],[Amount]])</f>
        <v>107.17</v>
      </c>
      <c r="K630" s="66">
        <v>365</v>
      </c>
      <c r="L630" s="66">
        <f ca="1">IF(Log_2018[[#This Row],[Date]]&lt;=TODAY(), MIN(Log_2018[[#This Row],[Split_raw]], TODAY()-Log_2018[[#This Row],[Date]]+1), 0)</f>
        <v>365</v>
      </c>
      <c r="M630" t="s">
        <v>147</v>
      </c>
      <c r="N630" t="s">
        <v>158</v>
      </c>
      <c r="O630" s="50">
        <v>0</v>
      </c>
      <c r="P630" s="52">
        <f ca="1">Log_2018[[#This Row],[Amount]]/Log_2018[[#This Row],[Split_raw]]*MAX(0,MIN(_xlfn.DAYS(EDATE(P$1,1),Log_2018[[#This Row],[Date]]),Log_2018[[#This Row],[Split_apply]])) - SUM($O630:O630)</f>
        <v>0</v>
      </c>
      <c r="Q630" s="52">
        <f ca="1">Log_2018[[#This Row],[Amount]]/Log_2018[[#This Row],[Split_raw]]*MAX(0,MIN(_xlfn.DAYS(EDATE(Q$1,1),Log_2018[[#This Row],[Date]]),Log_2018[[#This Row],[Split_apply]])) - SUM($O630:P630)</f>
        <v>0</v>
      </c>
      <c r="R630" s="52">
        <f ca="1">Log_2018[[#This Row],[Amount]]/Log_2018[[#This Row],[Split_raw]]*MAX(0,MIN(_xlfn.DAYS(EDATE(R$1,1),Log_2018[[#This Row],[Date]]),Log_2018[[#This Row],[Split_apply]])) - SUM($O630:Q630)</f>
        <v>-6.7531780821917815</v>
      </c>
      <c r="S630" s="52">
        <f ca="1">Log_2018[[#This Row],[Amount]]/Log_2018[[#This Row],[Split_raw]]*MAX(0,MIN(_xlfn.DAYS(EDATE(S$1,1),Log_2018[[#This Row],[Date]]),Log_2018[[#This Row],[Split_apply]])) - SUM($O630:R630)</f>
        <v>-8.8084931506849315</v>
      </c>
      <c r="T630" s="52">
        <f ca="1">Log_2018[[#This Row],[Amount]]/Log_2018[[#This Row],[Split_raw]]*MAX(0,MIN(_xlfn.DAYS(EDATE(T$1,1),Log_2018[[#This Row],[Date]]),Log_2018[[#This Row],[Split_apply]])) - SUM($O630:S630)</f>
        <v>-9.102109589041099</v>
      </c>
      <c r="U630" s="52">
        <f ca="1">Log_2018[[#This Row],[Amount]]/Log_2018[[#This Row],[Split_raw]]*MAX(0,MIN(_xlfn.DAYS(EDATE(U$1,1),Log_2018[[#This Row],[Date]]),Log_2018[[#This Row],[Split_apply]])) - SUM($O630:T630)</f>
        <v>-8.8084931506849315</v>
      </c>
      <c r="V630" s="52">
        <f ca="1">Log_2018[[#This Row],[Amount]]/Log_2018[[#This Row],[Split_raw]]*MAX(0,MIN(_xlfn.DAYS(EDATE(V$1,1),Log_2018[[#This Row],[Date]]),Log_2018[[#This Row],[Split_apply]])) - SUM($O630:U630)</f>
        <v>-9.102109589041099</v>
      </c>
      <c r="W630" s="52">
        <f ca="1">Log_2018[[#This Row],[Amount]]/Log_2018[[#This Row],[Split_raw]]*MAX(0,MIN(_xlfn.DAYS(EDATE(W$1,1),Log_2018[[#This Row],[Date]]),Log_2018[[#This Row],[Split_apply]])) - SUM($O630:V630)</f>
        <v>-9.1021095890410919</v>
      </c>
      <c r="X630" s="52">
        <f ca="1">Log_2018[[#This Row],[Amount]]/Log_2018[[#This Row],[Split_raw]]*MAX(0,MIN(_xlfn.DAYS(EDATE(X$1,1),Log_2018[[#This Row],[Date]]),Log_2018[[#This Row],[Split_apply]])) - SUM($O630:W630)</f>
        <v>-8.8084931506849315</v>
      </c>
      <c r="Y630" s="52">
        <f ca="1">Log_2018[[#This Row],[Amount]]/Log_2018[[#This Row],[Split_raw]]*MAX(0,MIN(_xlfn.DAYS(EDATE(Y$1,1),Log_2018[[#This Row],[Date]]),Log_2018[[#This Row],[Split_apply]])) - SUM($O630:X630)</f>
        <v>-9.102109589041099</v>
      </c>
      <c r="Z630" s="52">
        <f ca="1">Log_2018[[#This Row],[Amount]]/Log_2018[[#This Row],[Split_raw]]*MAX(0,MIN(_xlfn.DAYS(EDATE(Z$1,1),Log_2018[[#This Row],[Date]]),Log_2018[[#This Row],[Split_apply]])) - SUM($O630:Y630)</f>
        <v>-8.8084931506849387</v>
      </c>
      <c r="AA630" s="52">
        <f ca="1">Log_2018[[#This Row],[Amount]]/Log_2018[[#This Row],[Split_raw]]*MAX(0,MIN(_xlfn.DAYS(EDATE(AA$1,1),Log_2018[[#This Row],[Date]]),Log_2018[[#This Row],[Split_apply]])) - SUM($O630:Z630)</f>
        <v>-9.1021095890410919</v>
      </c>
      <c r="AB630" s="54">
        <f ca="1">Log_2018[[#This Row],[Amount]]-SUM(O630:AA630)</f>
        <v>-19.672301369863007</v>
      </c>
      <c r="AC630" s="7">
        <f ca="1">MAX(0,Log_2018[[#This Row],[Split_apply]] - (EDATE(AA$1,1)-Log_2018[[#This Row],[Date]]))</f>
        <v>67</v>
      </c>
    </row>
    <row r="631" spans="1:29" hidden="1" x14ac:dyDescent="0.25">
      <c r="A631" s="115"/>
      <c r="B631" t="s">
        <v>6</v>
      </c>
      <c r="D631" s="39">
        <v>43168</v>
      </c>
      <c r="F631" t="s">
        <v>59</v>
      </c>
      <c r="G631" t="s">
        <v>25</v>
      </c>
      <c r="H631" s="3">
        <v>-6.69</v>
      </c>
      <c r="I631" s="36">
        <f>IF(Log_2018[[#This Row],[My Category]]="NONTRACKED",0,Log_2018[[#This Row],[Raw Amount]])</f>
        <v>-6.69</v>
      </c>
      <c r="J631" s="17">
        <f>ABS(Log_2018[[#This Row],[Amount]])</f>
        <v>6.69</v>
      </c>
      <c r="K631" s="66">
        <v>1</v>
      </c>
      <c r="L631" s="66">
        <f ca="1">IF(Log_2018[[#This Row],[Date]]&lt;=TODAY(), MIN(Log_2018[[#This Row],[Split_raw]], TODAY()-Log_2018[[#This Row],[Date]]+1), 0)</f>
        <v>1</v>
      </c>
      <c r="M631" t="s">
        <v>35</v>
      </c>
      <c r="N631" t="s">
        <v>158</v>
      </c>
      <c r="O631" s="50">
        <v>0</v>
      </c>
      <c r="P631" s="52">
        <f ca="1">Log_2018[[#This Row],[Amount]]/Log_2018[[#This Row],[Split_raw]]*MAX(0,MIN(_xlfn.DAYS(EDATE(P$1,1),Log_2018[[#This Row],[Date]]),Log_2018[[#This Row],[Split_apply]])) - SUM($O631:O631)</f>
        <v>0</v>
      </c>
      <c r="Q631" s="52">
        <f ca="1">Log_2018[[#This Row],[Amount]]/Log_2018[[#This Row],[Split_raw]]*MAX(0,MIN(_xlfn.DAYS(EDATE(Q$1,1),Log_2018[[#This Row],[Date]]),Log_2018[[#This Row],[Split_apply]])) - SUM($O631:P631)</f>
        <v>0</v>
      </c>
      <c r="R631" s="52">
        <f ca="1">Log_2018[[#This Row],[Amount]]/Log_2018[[#This Row],[Split_raw]]*MAX(0,MIN(_xlfn.DAYS(EDATE(R$1,1),Log_2018[[#This Row],[Date]]),Log_2018[[#This Row],[Split_apply]])) - SUM($O631:Q631)</f>
        <v>-6.69</v>
      </c>
      <c r="S631" s="52">
        <f ca="1">Log_2018[[#This Row],[Amount]]/Log_2018[[#This Row],[Split_raw]]*MAX(0,MIN(_xlfn.DAYS(EDATE(S$1,1),Log_2018[[#This Row],[Date]]),Log_2018[[#This Row],[Split_apply]])) - SUM($O631:R631)</f>
        <v>0</v>
      </c>
      <c r="T631" s="52">
        <f ca="1">Log_2018[[#This Row],[Amount]]/Log_2018[[#This Row],[Split_raw]]*MAX(0,MIN(_xlfn.DAYS(EDATE(T$1,1),Log_2018[[#This Row],[Date]]),Log_2018[[#This Row],[Split_apply]])) - SUM($O631:S631)</f>
        <v>0</v>
      </c>
      <c r="U631" s="52">
        <f ca="1">Log_2018[[#This Row],[Amount]]/Log_2018[[#This Row],[Split_raw]]*MAX(0,MIN(_xlfn.DAYS(EDATE(U$1,1),Log_2018[[#This Row],[Date]]),Log_2018[[#This Row],[Split_apply]])) - SUM($O631:T631)</f>
        <v>0</v>
      </c>
      <c r="V631" s="52">
        <f ca="1">Log_2018[[#This Row],[Amount]]/Log_2018[[#This Row],[Split_raw]]*MAX(0,MIN(_xlfn.DAYS(EDATE(V$1,1),Log_2018[[#This Row],[Date]]),Log_2018[[#This Row],[Split_apply]])) - SUM($O631:U631)</f>
        <v>0</v>
      </c>
      <c r="W631" s="52">
        <f ca="1">Log_2018[[#This Row],[Amount]]/Log_2018[[#This Row],[Split_raw]]*MAX(0,MIN(_xlfn.DAYS(EDATE(W$1,1),Log_2018[[#This Row],[Date]]),Log_2018[[#This Row],[Split_apply]])) - SUM($O631:V631)</f>
        <v>0</v>
      </c>
      <c r="X631" s="52">
        <f ca="1">Log_2018[[#This Row],[Amount]]/Log_2018[[#This Row],[Split_raw]]*MAX(0,MIN(_xlfn.DAYS(EDATE(X$1,1),Log_2018[[#This Row],[Date]]),Log_2018[[#This Row],[Split_apply]])) - SUM($O631:W631)</f>
        <v>0</v>
      </c>
      <c r="Y631" s="52">
        <f ca="1">Log_2018[[#This Row],[Amount]]/Log_2018[[#This Row],[Split_raw]]*MAX(0,MIN(_xlfn.DAYS(EDATE(Y$1,1),Log_2018[[#This Row],[Date]]),Log_2018[[#This Row],[Split_apply]])) - SUM($O631:X631)</f>
        <v>0</v>
      </c>
      <c r="Z631" s="52">
        <f ca="1">Log_2018[[#This Row],[Amount]]/Log_2018[[#This Row],[Split_raw]]*MAX(0,MIN(_xlfn.DAYS(EDATE(Z$1,1),Log_2018[[#This Row],[Date]]),Log_2018[[#This Row],[Split_apply]])) - SUM($O631:Y631)</f>
        <v>0</v>
      </c>
      <c r="AA631" s="52">
        <f ca="1">Log_2018[[#This Row],[Amount]]/Log_2018[[#This Row],[Split_raw]]*MAX(0,MIN(_xlfn.DAYS(EDATE(AA$1,1),Log_2018[[#This Row],[Date]]),Log_2018[[#This Row],[Split_apply]])) - SUM($O631:Z631)</f>
        <v>0</v>
      </c>
      <c r="AB631" s="54">
        <f ca="1">Log_2018[[#This Row],[Amount]]-SUM(O631:AA631)</f>
        <v>0</v>
      </c>
      <c r="AC631" s="7">
        <f ca="1">MAX(0,Log_2018[[#This Row],[Split_apply]] - (EDATE(AA$1,1)-Log_2018[[#This Row],[Date]]))</f>
        <v>0</v>
      </c>
    </row>
    <row r="632" spans="1:29" hidden="1" x14ac:dyDescent="0.25">
      <c r="A632" s="115"/>
      <c r="B632" t="s">
        <v>6</v>
      </c>
      <c r="D632" s="39">
        <v>43167</v>
      </c>
      <c r="F632" t="s">
        <v>59</v>
      </c>
      <c r="G632" t="s">
        <v>25</v>
      </c>
      <c r="H632" s="3">
        <v>-7.94</v>
      </c>
      <c r="I632" s="36">
        <f>IF(Log_2018[[#This Row],[My Category]]="NONTRACKED",0,Log_2018[[#This Row],[Raw Amount]])</f>
        <v>-7.94</v>
      </c>
      <c r="J632" s="17">
        <f>ABS(Log_2018[[#This Row],[Amount]])</f>
        <v>7.94</v>
      </c>
      <c r="K632" s="66">
        <v>1</v>
      </c>
      <c r="L632" s="66">
        <f ca="1">IF(Log_2018[[#This Row],[Date]]&lt;=TODAY(), MIN(Log_2018[[#This Row],[Split_raw]], TODAY()-Log_2018[[#This Row],[Date]]+1), 0)</f>
        <v>1</v>
      </c>
      <c r="M632" t="s">
        <v>35</v>
      </c>
      <c r="N632" t="s">
        <v>158</v>
      </c>
      <c r="O632" s="50">
        <v>0</v>
      </c>
      <c r="P632" s="52">
        <f ca="1">Log_2018[[#This Row],[Amount]]/Log_2018[[#This Row],[Split_raw]]*MAX(0,MIN(_xlfn.DAYS(EDATE(P$1,1),Log_2018[[#This Row],[Date]]),Log_2018[[#This Row],[Split_apply]])) - SUM($O632:O632)</f>
        <v>0</v>
      </c>
      <c r="Q632" s="52">
        <f ca="1">Log_2018[[#This Row],[Amount]]/Log_2018[[#This Row],[Split_raw]]*MAX(0,MIN(_xlfn.DAYS(EDATE(Q$1,1),Log_2018[[#This Row],[Date]]),Log_2018[[#This Row],[Split_apply]])) - SUM($O632:P632)</f>
        <v>0</v>
      </c>
      <c r="R632" s="52">
        <f ca="1">Log_2018[[#This Row],[Amount]]/Log_2018[[#This Row],[Split_raw]]*MAX(0,MIN(_xlfn.DAYS(EDATE(R$1,1),Log_2018[[#This Row],[Date]]),Log_2018[[#This Row],[Split_apply]])) - SUM($O632:Q632)</f>
        <v>-7.94</v>
      </c>
      <c r="S632" s="52">
        <f ca="1">Log_2018[[#This Row],[Amount]]/Log_2018[[#This Row],[Split_raw]]*MAX(0,MIN(_xlfn.DAYS(EDATE(S$1,1),Log_2018[[#This Row],[Date]]),Log_2018[[#This Row],[Split_apply]])) - SUM($O632:R632)</f>
        <v>0</v>
      </c>
      <c r="T632" s="52">
        <f ca="1">Log_2018[[#This Row],[Amount]]/Log_2018[[#This Row],[Split_raw]]*MAX(0,MIN(_xlfn.DAYS(EDATE(T$1,1),Log_2018[[#This Row],[Date]]),Log_2018[[#This Row],[Split_apply]])) - SUM($O632:S632)</f>
        <v>0</v>
      </c>
      <c r="U632" s="52">
        <f ca="1">Log_2018[[#This Row],[Amount]]/Log_2018[[#This Row],[Split_raw]]*MAX(0,MIN(_xlfn.DAYS(EDATE(U$1,1),Log_2018[[#This Row],[Date]]),Log_2018[[#This Row],[Split_apply]])) - SUM($O632:T632)</f>
        <v>0</v>
      </c>
      <c r="V632" s="52">
        <f ca="1">Log_2018[[#This Row],[Amount]]/Log_2018[[#This Row],[Split_raw]]*MAX(0,MIN(_xlfn.DAYS(EDATE(V$1,1),Log_2018[[#This Row],[Date]]),Log_2018[[#This Row],[Split_apply]])) - SUM($O632:U632)</f>
        <v>0</v>
      </c>
      <c r="W632" s="52">
        <f ca="1">Log_2018[[#This Row],[Amount]]/Log_2018[[#This Row],[Split_raw]]*MAX(0,MIN(_xlfn.DAYS(EDATE(W$1,1),Log_2018[[#This Row],[Date]]),Log_2018[[#This Row],[Split_apply]])) - SUM($O632:V632)</f>
        <v>0</v>
      </c>
      <c r="X632" s="52">
        <f ca="1">Log_2018[[#This Row],[Amount]]/Log_2018[[#This Row],[Split_raw]]*MAX(0,MIN(_xlfn.DAYS(EDATE(X$1,1),Log_2018[[#This Row],[Date]]),Log_2018[[#This Row],[Split_apply]])) - SUM($O632:W632)</f>
        <v>0</v>
      </c>
      <c r="Y632" s="52">
        <f ca="1">Log_2018[[#This Row],[Amount]]/Log_2018[[#This Row],[Split_raw]]*MAX(0,MIN(_xlfn.DAYS(EDATE(Y$1,1),Log_2018[[#This Row],[Date]]),Log_2018[[#This Row],[Split_apply]])) - SUM($O632:X632)</f>
        <v>0</v>
      </c>
      <c r="Z632" s="52">
        <f ca="1">Log_2018[[#This Row],[Amount]]/Log_2018[[#This Row],[Split_raw]]*MAX(0,MIN(_xlfn.DAYS(EDATE(Z$1,1),Log_2018[[#This Row],[Date]]),Log_2018[[#This Row],[Split_apply]])) - SUM($O632:Y632)</f>
        <v>0</v>
      </c>
      <c r="AA632" s="52">
        <f ca="1">Log_2018[[#This Row],[Amount]]/Log_2018[[#This Row],[Split_raw]]*MAX(0,MIN(_xlfn.DAYS(EDATE(AA$1,1),Log_2018[[#This Row],[Date]]),Log_2018[[#This Row],[Split_apply]])) - SUM($O632:Z632)</f>
        <v>0</v>
      </c>
      <c r="AB632" s="54">
        <f ca="1">Log_2018[[#This Row],[Amount]]-SUM(O632:AA632)</f>
        <v>0</v>
      </c>
      <c r="AC632" s="7">
        <f ca="1">MAX(0,Log_2018[[#This Row],[Split_apply]] - (EDATE(AA$1,1)-Log_2018[[#This Row],[Date]]))</f>
        <v>0</v>
      </c>
    </row>
    <row r="633" spans="1:29" hidden="1" x14ac:dyDescent="0.25">
      <c r="A633" s="115"/>
      <c r="B633" t="s">
        <v>6</v>
      </c>
      <c r="D633" s="39">
        <v>43166</v>
      </c>
      <c r="F633" t="s">
        <v>188</v>
      </c>
      <c r="G633" t="s">
        <v>189</v>
      </c>
      <c r="H633" s="3">
        <v>-1</v>
      </c>
      <c r="I633" s="36">
        <f>IF(Log_2018[[#This Row],[My Category]]="NONTRACKED",0,Log_2018[[#This Row],[Raw Amount]])</f>
        <v>-1</v>
      </c>
      <c r="J633" s="17">
        <f>ABS(Log_2018[[#This Row],[Amount]])</f>
        <v>1</v>
      </c>
      <c r="K633" s="66">
        <v>30</v>
      </c>
      <c r="L633" s="66">
        <f ca="1">IF(Log_2018[[#This Row],[Date]]&lt;=TODAY(), MIN(Log_2018[[#This Row],[Split_raw]], TODAY()-Log_2018[[#This Row],[Date]]+1), 0)</f>
        <v>30</v>
      </c>
      <c r="M633" t="s">
        <v>30</v>
      </c>
      <c r="N633" t="s">
        <v>158</v>
      </c>
      <c r="O633" s="50">
        <v>0</v>
      </c>
      <c r="P633" s="52">
        <f ca="1">Log_2018[[#This Row],[Amount]]/Log_2018[[#This Row],[Split_raw]]*MAX(0,MIN(_xlfn.DAYS(EDATE(P$1,1),Log_2018[[#This Row],[Date]]),Log_2018[[#This Row],[Split_apply]])) - SUM($O633:O633)</f>
        <v>0</v>
      </c>
      <c r="Q633" s="52">
        <f ca="1">Log_2018[[#This Row],[Amount]]/Log_2018[[#This Row],[Split_raw]]*MAX(0,MIN(_xlfn.DAYS(EDATE(Q$1,1),Log_2018[[#This Row],[Date]]),Log_2018[[#This Row],[Split_apply]])) - SUM($O633:P633)</f>
        <v>0</v>
      </c>
      <c r="R633" s="52">
        <f ca="1">Log_2018[[#This Row],[Amount]]/Log_2018[[#This Row],[Split_raw]]*MAX(0,MIN(_xlfn.DAYS(EDATE(R$1,1),Log_2018[[#This Row],[Date]]),Log_2018[[#This Row],[Split_apply]])) - SUM($O633:Q633)</f>
        <v>-0.83333333333333337</v>
      </c>
      <c r="S633" s="52">
        <f ca="1">Log_2018[[#This Row],[Amount]]/Log_2018[[#This Row],[Split_raw]]*MAX(0,MIN(_xlfn.DAYS(EDATE(S$1,1),Log_2018[[#This Row],[Date]]),Log_2018[[#This Row],[Split_apply]])) - SUM($O633:R633)</f>
        <v>-0.16666666666666663</v>
      </c>
      <c r="T633" s="52">
        <f ca="1">Log_2018[[#This Row],[Amount]]/Log_2018[[#This Row],[Split_raw]]*MAX(0,MIN(_xlfn.DAYS(EDATE(T$1,1),Log_2018[[#This Row],[Date]]),Log_2018[[#This Row],[Split_apply]])) - SUM($O633:S633)</f>
        <v>0</v>
      </c>
      <c r="U633" s="52">
        <f ca="1">Log_2018[[#This Row],[Amount]]/Log_2018[[#This Row],[Split_raw]]*MAX(0,MIN(_xlfn.DAYS(EDATE(U$1,1),Log_2018[[#This Row],[Date]]),Log_2018[[#This Row],[Split_apply]])) - SUM($O633:T633)</f>
        <v>0</v>
      </c>
      <c r="V633" s="52">
        <f ca="1">Log_2018[[#This Row],[Amount]]/Log_2018[[#This Row],[Split_raw]]*MAX(0,MIN(_xlfn.DAYS(EDATE(V$1,1),Log_2018[[#This Row],[Date]]),Log_2018[[#This Row],[Split_apply]])) - SUM($O633:U633)</f>
        <v>0</v>
      </c>
      <c r="W633" s="52">
        <f ca="1">Log_2018[[#This Row],[Amount]]/Log_2018[[#This Row],[Split_raw]]*MAX(0,MIN(_xlfn.DAYS(EDATE(W$1,1),Log_2018[[#This Row],[Date]]),Log_2018[[#This Row],[Split_apply]])) - SUM($O633:V633)</f>
        <v>0</v>
      </c>
      <c r="X633" s="52">
        <f ca="1">Log_2018[[#This Row],[Amount]]/Log_2018[[#This Row],[Split_raw]]*MAX(0,MIN(_xlfn.DAYS(EDATE(X$1,1),Log_2018[[#This Row],[Date]]),Log_2018[[#This Row],[Split_apply]])) - SUM($O633:W633)</f>
        <v>0</v>
      </c>
      <c r="Y633" s="52">
        <f ca="1">Log_2018[[#This Row],[Amount]]/Log_2018[[#This Row],[Split_raw]]*MAX(0,MIN(_xlfn.DAYS(EDATE(Y$1,1),Log_2018[[#This Row],[Date]]),Log_2018[[#This Row],[Split_apply]])) - SUM($O633:X633)</f>
        <v>0</v>
      </c>
      <c r="Z633" s="52">
        <f ca="1">Log_2018[[#This Row],[Amount]]/Log_2018[[#This Row],[Split_raw]]*MAX(0,MIN(_xlfn.DAYS(EDATE(Z$1,1),Log_2018[[#This Row],[Date]]),Log_2018[[#This Row],[Split_apply]])) - SUM($O633:Y633)</f>
        <v>0</v>
      </c>
      <c r="AA633" s="52">
        <f ca="1">Log_2018[[#This Row],[Amount]]/Log_2018[[#This Row],[Split_raw]]*MAX(0,MIN(_xlfn.DAYS(EDATE(AA$1,1),Log_2018[[#This Row],[Date]]),Log_2018[[#This Row],[Split_apply]])) - SUM($O633:Z633)</f>
        <v>0</v>
      </c>
      <c r="AB633" s="54">
        <f ca="1">Log_2018[[#This Row],[Amount]]-SUM(O633:AA633)</f>
        <v>0</v>
      </c>
      <c r="AC633" s="7">
        <f ca="1">MAX(0,Log_2018[[#This Row],[Split_apply]] - (EDATE(AA$1,1)-Log_2018[[#This Row],[Date]]))</f>
        <v>0</v>
      </c>
    </row>
    <row r="634" spans="1:29" hidden="1" x14ac:dyDescent="0.25">
      <c r="A634" s="115"/>
      <c r="B634" t="s">
        <v>6</v>
      </c>
      <c r="D634" s="39">
        <v>43165</v>
      </c>
      <c r="F634" t="s">
        <v>68</v>
      </c>
      <c r="G634" t="s">
        <v>11</v>
      </c>
      <c r="H634" s="3">
        <v>-172.39</v>
      </c>
      <c r="I634" s="36">
        <f>IF(Log_2018[[#This Row],[My Category]]="NONTRACKED",0,Log_2018[[#This Row],[Raw Amount]])</f>
        <v>-172.39</v>
      </c>
      <c r="J634" s="17">
        <f>ABS(Log_2018[[#This Row],[Amount]])</f>
        <v>172.39</v>
      </c>
      <c r="K634" s="66">
        <v>1</v>
      </c>
      <c r="L634" s="66">
        <f ca="1">IF(Log_2018[[#This Row],[Date]]&lt;=TODAY(), MIN(Log_2018[[#This Row],[Split_raw]], TODAY()-Log_2018[[#This Row],[Date]]+1), 0)</f>
        <v>1</v>
      </c>
      <c r="M634" t="s">
        <v>145</v>
      </c>
      <c r="N634" t="s">
        <v>158</v>
      </c>
      <c r="O634" s="50">
        <v>0</v>
      </c>
      <c r="P634" s="52">
        <f ca="1">Log_2018[[#This Row],[Amount]]/Log_2018[[#This Row],[Split_raw]]*MAX(0,MIN(_xlfn.DAYS(EDATE(P$1,1),Log_2018[[#This Row],[Date]]),Log_2018[[#This Row],[Split_apply]])) - SUM($O634:O634)</f>
        <v>0</v>
      </c>
      <c r="Q634" s="52">
        <f ca="1">Log_2018[[#This Row],[Amount]]/Log_2018[[#This Row],[Split_raw]]*MAX(0,MIN(_xlfn.DAYS(EDATE(Q$1,1),Log_2018[[#This Row],[Date]]),Log_2018[[#This Row],[Split_apply]])) - SUM($O634:P634)</f>
        <v>0</v>
      </c>
      <c r="R634" s="52">
        <f ca="1">Log_2018[[#This Row],[Amount]]/Log_2018[[#This Row],[Split_raw]]*MAX(0,MIN(_xlfn.DAYS(EDATE(R$1,1),Log_2018[[#This Row],[Date]]),Log_2018[[#This Row],[Split_apply]])) - SUM($O634:Q634)</f>
        <v>-172.39</v>
      </c>
      <c r="S634" s="52">
        <f ca="1">Log_2018[[#This Row],[Amount]]/Log_2018[[#This Row],[Split_raw]]*MAX(0,MIN(_xlfn.DAYS(EDATE(S$1,1),Log_2018[[#This Row],[Date]]),Log_2018[[#This Row],[Split_apply]])) - SUM($O634:R634)</f>
        <v>0</v>
      </c>
      <c r="T634" s="52">
        <f ca="1">Log_2018[[#This Row],[Amount]]/Log_2018[[#This Row],[Split_raw]]*MAX(0,MIN(_xlfn.DAYS(EDATE(T$1,1),Log_2018[[#This Row],[Date]]),Log_2018[[#This Row],[Split_apply]])) - SUM($O634:S634)</f>
        <v>0</v>
      </c>
      <c r="U634" s="52">
        <f ca="1">Log_2018[[#This Row],[Amount]]/Log_2018[[#This Row],[Split_raw]]*MAX(0,MIN(_xlfn.DAYS(EDATE(U$1,1),Log_2018[[#This Row],[Date]]),Log_2018[[#This Row],[Split_apply]])) - SUM($O634:T634)</f>
        <v>0</v>
      </c>
      <c r="V634" s="52">
        <f ca="1">Log_2018[[#This Row],[Amount]]/Log_2018[[#This Row],[Split_raw]]*MAX(0,MIN(_xlfn.DAYS(EDATE(V$1,1),Log_2018[[#This Row],[Date]]),Log_2018[[#This Row],[Split_apply]])) - SUM($O634:U634)</f>
        <v>0</v>
      </c>
      <c r="W634" s="52">
        <f ca="1">Log_2018[[#This Row],[Amount]]/Log_2018[[#This Row],[Split_raw]]*MAX(0,MIN(_xlfn.DAYS(EDATE(W$1,1),Log_2018[[#This Row],[Date]]),Log_2018[[#This Row],[Split_apply]])) - SUM($O634:V634)</f>
        <v>0</v>
      </c>
      <c r="X634" s="52">
        <f ca="1">Log_2018[[#This Row],[Amount]]/Log_2018[[#This Row],[Split_raw]]*MAX(0,MIN(_xlfn.DAYS(EDATE(X$1,1),Log_2018[[#This Row],[Date]]),Log_2018[[#This Row],[Split_apply]])) - SUM($O634:W634)</f>
        <v>0</v>
      </c>
      <c r="Y634" s="52">
        <f ca="1">Log_2018[[#This Row],[Amount]]/Log_2018[[#This Row],[Split_raw]]*MAX(0,MIN(_xlfn.DAYS(EDATE(Y$1,1),Log_2018[[#This Row],[Date]]),Log_2018[[#This Row],[Split_apply]])) - SUM($O634:X634)</f>
        <v>0</v>
      </c>
      <c r="Z634" s="52">
        <f ca="1">Log_2018[[#This Row],[Amount]]/Log_2018[[#This Row],[Split_raw]]*MAX(0,MIN(_xlfn.DAYS(EDATE(Z$1,1),Log_2018[[#This Row],[Date]]),Log_2018[[#This Row],[Split_apply]])) - SUM($O634:Y634)</f>
        <v>0</v>
      </c>
      <c r="AA634" s="52">
        <f ca="1">Log_2018[[#This Row],[Amount]]/Log_2018[[#This Row],[Split_raw]]*MAX(0,MIN(_xlfn.DAYS(EDATE(AA$1,1),Log_2018[[#This Row],[Date]]),Log_2018[[#This Row],[Split_apply]])) - SUM($O634:Z634)</f>
        <v>0</v>
      </c>
      <c r="AB634" s="54">
        <f ca="1">Log_2018[[#This Row],[Amount]]-SUM(O634:AA634)</f>
        <v>0</v>
      </c>
      <c r="AC634" s="7">
        <f ca="1">MAX(0,Log_2018[[#This Row],[Split_apply]] - (EDATE(AA$1,1)-Log_2018[[#This Row],[Date]]))</f>
        <v>0</v>
      </c>
    </row>
    <row r="635" spans="1:29" hidden="1" x14ac:dyDescent="0.25">
      <c r="A635" s="115"/>
      <c r="B635" t="s">
        <v>6</v>
      </c>
      <c r="D635" s="39">
        <v>43165</v>
      </c>
      <c r="F635" t="s">
        <v>59</v>
      </c>
      <c r="G635" t="s">
        <v>25</v>
      </c>
      <c r="H635" s="3">
        <v>-7.94</v>
      </c>
      <c r="I635" s="36">
        <f>IF(Log_2018[[#This Row],[My Category]]="NONTRACKED",0,Log_2018[[#This Row],[Raw Amount]])</f>
        <v>-7.94</v>
      </c>
      <c r="J635" s="17">
        <f>ABS(Log_2018[[#This Row],[Amount]])</f>
        <v>7.94</v>
      </c>
      <c r="K635" s="66">
        <v>1</v>
      </c>
      <c r="L635" s="66">
        <f ca="1">IF(Log_2018[[#This Row],[Date]]&lt;=TODAY(), MIN(Log_2018[[#This Row],[Split_raw]], TODAY()-Log_2018[[#This Row],[Date]]+1), 0)</f>
        <v>1</v>
      </c>
      <c r="M635" t="s">
        <v>35</v>
      </c>
      <c r="N635" t="s">
        <v>158</v>
      </c>
      <c r="O635" s="50">
        <v>0</v>
      </c>
      <c r="P635" s="52">
        <f ca="1">Log_2018[[#This Row],[Amount]]/Log_2018[[#This Row],[Split_raw]]*MAX(0,MIN(_xlfn.DAYS(EDATE(P$1,1),Log_2018[[#This Row],[Date]]),Log_2018[[#This Row],[Split_apply]])) - SUM($O635:O635)</f>
        <v>0</v>
      </c>
      <c r="Q635" s="52">
        <f ca="1">Log_2018[[#This Row],[Amount]]/Log_2018[[#This Row],[Split_raw]]*MAX(0,MIN(_xlfn.DAYS(EDATE(Q$1,1),Log_2018[[#This Row],[Date]]),Log_2018[[#This Row],[Split_apply]])) - SUM($O635:P635)</f>
        <v>0</v>
      </c>
      <c r="R635" s="52">
        <f ca="1">Log_2018[[#This Row],[Amount]]/Log_2018[[#This Row],[Split_raw]]*MAX(0,MIN(_xlfn.DAYS(EDATE(R$1,1),Log_2018[[#This Row],[Date]]),Log_2018[[#This Row],[Split_apply]])) - SUM($O635:Q635)</f>
        <v>-7.94</v>
      </c>
      <c r="S635" s="52">
        <f ca="1">Log_2018[[#This Row],[Amount]]/Log_2018[[#This Row],[Split_raw]]*MAX(0,MIN(_xlfn.DAYS(EDATE(S$1,1),Log_2018[[#This Row],[Date]]),Log_2018[[#This Row],[Split_apply]])) - SUM($O635:R635)</f>
        <v>0</v>
      </c>
      <c r="T635" s="52">
        <f ca="1">Log_2018[[#This Row],[Amount]]/Log_2018[[#This Row],[Split_raw]]*MAX(0,MIN(_xlfn.DAYS(EDATE(T$1,1),Log_2018[[#This Row],[Date]]),Log_2018[[#This Row],[Split_apply]])) - SUM($O635:S635)</f>
        <v>0</v>
      </c>
      <c r="U635" s="52">
        <f ca="1">Log_2018[[#This Row],[Amount]]/Log_2018[[#This Row],[Split_raw]]*MAX(0,MIN(_xlfn.DAYS(EDATE(U$1,1),Log_2018[[#This Row],[Date]]),Log_2018[[#This Row],[Split_apply]])) - SUM($O635:T635)</f>
        <v>0</v>
      </c>
      <c r="V635" s="52">
        <f ca="1">Log_2018[[#This Row],[Amount]]/Log_2018[[#This Row],[Split_raw]]*MAX(0,MIN(_xlfn.DAYS(EDATE(V$1,1),Log_2018[[#This Row],[Date]]),Log_2018[[#This Row],[Split_apply]])) - SUM($O635:U635)</f>
        <v>0</v>
      </c>
      <c r="W635" s="52">
        <f ca="1">Log_2018[[#This Row],[Amount]]/Log_2018[[#This Row],[Split_raw]]*MAX(0,MIN(_xlfn.DAYS(EDATE(W$1,1),Log_2018[[#This Row],[Date]]),Log_2018[[#This Row],[Split_apply]])) - SUM($O635:V635)</f>
        <v>0</v>
      </c>
      <c r="X635" s="52">
        <f ca="1">Log_2018[[#This Row],[Amount]]/Log_2018[[#This Row],[Split_raw]]*MAX(0,MIN(_xlfn.DAYS(EDATE(X$1,1),Log_2018[[#This Row],[Date]]),Log_2018[[#This Row],[Split_apply]])) - SUM($O635:W635)</f>
        <v>0</v>
      </c>
      <c r="Y635" s="52">
        <f ca="1">Log_2018[[#This Row],[Amount]]/Log_2018[[#This Row],[Split_raw]]*MAX(0,MIN(_xlfn.DAYS(EDATE(Y$1,1),Log_2018[[#This Row],[Date]]),Log_2018[[#This Row],[Split_apply]])) - SUM($O635:X635)</f>
        <v>0</v>
      </c>
      <c r="Z635" s="52">
        <f ca="1">Log_2018[[#This Row],[Amount]]/Log_2018[[#This Row],[Split_raw]]*MAX(0,MIN(_xlfn.DAYS(EDATE(Z$1,1),Log_2018[[#This Row],[Date]]),Log_2018[[#This Row],[Split_apply]])) - SUM($O635:Y635)</f>
        <v>0</v>
      </c>
      <c r="AA635" s="52">
        <f ca="1">Log_2018[[#This Row],[Amount]]/Log_2018[[#This Row],[Split_raw]]*MAX(0,MIN(_xlfn.DAYS(EDATE(AA$1,1),Log_2018[[#This Row],[Date]]),Log_2018[[#This Row],[Split_apply]])) - SUM($O635:Z635)</f>
        <v>0</v>
      </c>
      <c r="AB635" s="54">
        <f ca="1">Log_2018[[#This Row],[Amount]]-SUM(O635:AA635)</f>
        <v>0</v>
      </c>
      <c r="AC635" s="7">
        <f ca="1">MAX(0,Log_2018[[#This Row],[Split_apply]] - (EDATE(AA$1,1)-Log_2018[[#This Row],[Date]]))</f>
        <v>0</v>
      </c>
    </row>
    <row r="636" spans="1:29" hidden="1" x14ac:dyDescent="0.25">
      <c r="A636" s="115"/>
      <c r="B636" t="s">
        <v>6</v>
      </c>
      <c r="D636" s="39">
        <v>43165</v>
      </c>
      <c r="F636" t="s">
        <v>138</v>
      </c>
      <c r="G636" t="s">
        <v>104</v>
      </c>
      <c r="H636" s="3">
        <v>-3095.67</v>
      </c>
      <c r="I636" s="36">
        <f>IF(Log_2018[[#This Row],[My Category]]="NONTRACKED",0,Log_2018[[#This Row],[Raw Amount]])</f>
        <v>-3095.67</v>
      </c>
      <c r="J636" s="17">
        <f>ABS(Log_2018[[#This Row],[Amount]])</f>
        <v>3095.67</v>
      </c>
      <c r="K636" s="66">
        <v>1</v>
      </c>
      <c r="L636" s="66">
        <f ca="1">IF(Log_2018[[#This Row],[Date]]&lt;=TODAY(), MIN(Log_2018[[#This Row],[Split_raw]], TODAY()-Log_2018[[#This Row],[Date]]+1), 0)</f>
        <v>1</v>
      </c>
      <c r="M636" t="s">
        <v>159</v>
      </c>
      <c r="N636" t="s">
        <v>160</v>
      </c>
      <c r="O636" s="50">
        <v>0</v>
      </c>
      <c r="P636" s="52">
        <f ca="1">Log_2018[[#This Row],[Amount]]/Log_2018[[#This Row],[Split_raw]]*MAX(0,MIN(_xlfn.DAYS(EDATE(P$1,1),Log_2018[[#This Row],[Date]]),Log_2018[[#This Row],[Split_apply]])) - SUM($O636:O636)</f>
        <v>0</v>
      </c>
      <c r="Q636" s="52">
        <f ca="1">Log_2018[[#This Row],[Amount]]/Log_2018[[#This Row],[Split_raw]]*MAX(0,MIN(_xlfn.DAYS(EDATE(Q$1,1),Log_2018[[#This Row],[Date]]),Log_2018[[#This Row],[Split_apply]])) - SUM($O636:P636)</f>
        <v>0</v>
      </c>
      <c r="R636" s="52">
        <f ca="1">Log_2018[[#This Row],[Amount]]/Log_2018[[#This Row],[Split_raw]]*MAX(0,MIN(_xlfn.DAYS(EDATE(R$1,1),Log_2018[[#This Row],[Date]]),Log_2018[[#This Row],[Split_apply]])) - SUM($O636:Q636)</f>
        <v>-3095.67</v>
      </c>
      <c r="S636" s="52">
        <f ca="1">Log_2018[[#This Row],[Amount]]/Log_2018[[#This Row],[Split_raw]]*MAX(0,MIN(_xlfn.DAYS(EDATE(S$1,1),Log_2018[[#This Row],[Date]]),Log_2018[[#This Row],[Split_apply]])) - SUM($O636:R636)</f>
        <v>0</v>
      </c>
      <c r="T636" s="52">
        <f ca="1">Log_2018[[#This Row],[Amount]]/Log_2018[[#This Row],[Split_raw]]*MAX(0,MIN(_xlfn.DAYS(EDATE(T$1,1),Log_2018[[#This Row],[Date]]),Log_2018[[#This Row],[Split_apply]])) - SUM($O636:S636)</f>
        <v>0</v>
      </c>
      <c r="U636" s="52">
        <f ca="1">Log_2018[[#This Row],[Amount]]/Log_2018[[#This Row],[Split_raw]]*MAX(0,MIN(_xlfn.DAYS(EDATE(U$1,1),Log_2018[[#This Row],[Date]]),Log_2018[[#This Row],[Split_apply]])) - SUM($O636:T636)</f>
        <v>0</v>
      </c>
      <c r="V636" s="52">
        <f ca="1">Log_2018[[#This Row],[Amount]]/Log_2018[[#This Row],[Split_raw]]*MAX(0,MIN(_xlfn.DAYS(EDATE(V$1,1),Log_2018[[#This Row],[Date]]),Log_2018[[#This Row],[Split_apply]])) - SUM($O636:U636)</f>
        <v>0</v>
      </c>
      <c r="W636" s="52">
        <f ca="1">Log_2018[[#This Row],[Amount]]/Log_2018[[#This Row],[Split_raw]]*MAX(0,MIN(_xlfn.DAYS(EDATE(W$1,1),Log_2018[[#This Row],[Date]]),Log_2018[[#This Row],[Split_apply]])) - SUM($O636:V636)</f>
        <v>0</v>
      </c>
      <c r="X636" s="52">
        <f ca="1">Log_2018[[#This Row],[Amount]]/Log_2018[[#This Row],[Split_raw]]*MAX(0,MIN(_xlfn.DAYS(EDATE(X$1,1),Log_2018[[#This Row],[Date]]),Log_2018[[#This Row],[Split_apply]])) - SUM($O636:W636)</f>
        <v>0</v>
      </c>
      <c r="Y636" s="52">
        <f ca="1">Log_2018[[#This Row],[Amount]]/Log_2018[[#This Row],[Split_raw]]*MAX(0,MIN(_xlfn.DAYS(EDATE(Y$1,1),Log_2018[[#This Row],[Date]]),Log_2018[[#This Row],[Split_apply]])) - SUM($O636:X636)</f>
        <v>0</v>
      </c>
      <c r="Z636" s="52">
        <f ca="1">Log_2018[[#This Row],[Amount]]/Log_2018[[#This Row],[Split_raw]]*MAX(0,MIN(_xlfn.DAYS(EDATE(Z$1,1),Log_2018[[#This Row],[Date]]),Log_2018[[#This Row],[Split_apply]])) - SUM($O636:Y636)</f>
        <v>0</v>
      </c>
      <c r="AA636" s="52">
        <f ca="1">Log_2018[[#This Row],[Amount]]/Log_2018[[#This Row],[Split_raw]]*MAX(0,MIN(_xlfn.DAYS(EDATE(AA$1,1),Log_2018[[#This Row],[Date]]),Log_2018[[#This Row],[Split_apply]])) - SUM($O636:Z636)</f>
        <v>0</v>
      </c>
      <c r="AB636" s="54">
        <f ca="1">Log_2018[[#This Row],[Amount]]-SUM(O636:AA636)</f>
        <v>0</v>
      </c>
      <c r="AC636" s="7">
        <f ca="1">MAX(0,Log_2018[[#This Row],[Split_apply]] - (EDATE(AA$1,1)-Log_2018[[#This Row],[Date]]))</f>
        <v>0</v>
      </c>
    </row>
    <row r="637" spans="1:29" hidden="1" x14ac:dyDescent="0.25">
      <c r="A637" s="115"/>
      <c r="B637" t="s">
        <v>6</v>
      </c>
      <c r="D637" s="39">
        <v>43164</v>
      </c>
      <c r="F637" t="s">
        <v>105</v>
      </c>
      <c r="G637" t="s">
        <v>104</v>
      </c>
      <c r="H637" s="3">
        <f>--3095.67</f>
        <v>3095.67</v>
      </c>
      <c r="I637" s="36">
        <f>IF(Log_2018[[#This Row],[My Category]]="NONTRACKED",0,Log_2018[[#This Row],[Raw Amount]])</f>
        <v>3095.67</v>
      </c>
      <c r="J637" s="17">
        <f>ABS(Log_2018[[#This Row],[Amount]])</f>
        <v>3095.67</v>
      </c>
      <c r="K637" s="66">
        <v>1</v>
      </c>
      <c r="L637" s="66">
        <f ca="1">IF(Log_2018[[#This Row],[Date]]&lt;=TODAY(), MIN(Log_2018[[#This Row],[Split_raw]], TODAY()-Log_2018[[#This Row],[Date]]+1), 0)</f>
        <v>1</v>
      </c>
      <c r="M637" t="s">
        <v>159</v>
      </c>
      <c r="N637" t="s">
        <v>158</v>
      </c>
      <c r="O637" s="50">
        <v>0</v>
      </c>
      <c r="P637" s="52">
        <f ca="1">Log_2018[[#This Row],[Amount]]/Log_2018[[#This Row],[Split_raw]]*MAX(0,MIN(_xlfn.DAYS(EDATE(P$1,1),Log_2018[[#This Row],[Date]]),Log_2018[[#This Row],[Split_apply]])) - SUM($O637:O637)</f>
        <v>0</v>
      </c>
      <c r="Q637" s="52">
        <f ca="1">Log_2018[[#This Row],[Amount]]/Log_2018[[#This Row],[Split_raw]]*MAX(0,MIN(_xlfn.DAYS(EDATE(Q$1,1),Log_2018[[#This Row],[Date]]),Log_2018[[#This Row],[Split_apply]])) - SUM($O637:P637)</f>
        <v>0</v>
      </c>
      <c r="R637" s="52">
        <f ca="1">Log_2018[[#This Row],[Amount]]/Log_2018[[#This Row],[Split_raw]]*MAX(0,MIN(_xlfn.DAYS(EDATE(R$1,1),Log_2018[[#This Row],[Date]]),Log_2018[[#This Row],[Split_apply]])) - SUM($O637:Q637)</f>
        <v>3095.67</v>
      </c>
      <c r="S637" s="52">
        <f ca="1">Log_2018[[#This Row],[Amount]]/Log_2018[[#This Row],[Split_raw]]*MAX(0,MIN(_xlfn.DAYS(EDATE(S$1,1),Log_2018[[#This Row],[Date]]),Log_2018[[#This Row],[Split_apply]])) - SUM($O637:R637)</f>
        <v>0</v>
      </c>
      <c r="T637" s="52">
        <f ca="1">Log_2018[[#This Row],[Amount]]/Log_2018[[#This Row],[Split_raw]]*MAX(0,MIN(_xlfn.DAYS(EDATE(T$1,1),Log_2018[[#This Row],[Date]]),Log_2018[[#This Row],[Split_apply]])) - SUM($O637:S637)</f>
        <v>0</v>
      </c>
      <c r="U637" s="52">
        <f ca="1">Log_2018[[#This Row],[Amount]]/Log_2018[[#This Row],[Split_raw]]*MAX(0,MIN(_xlfn.DAYS(EDATE(U$1,1),Log_2018[[#This Row],[Date]]),Log_2018[[#This Row],[Split_apply]])) - SUM($O637:T637)</f>
        <v>0</v>
      </c>
      <c r="V637" s="52">
        <f ca="1">Log_2018[[#This Row],[Amount]]/Log_2018[[#This Row],[Split_raw]]*MAX(0,MIN(_xlfn.DAYS(EDATE(V$1,1),Log_2018[[#This Row],[Date]]),Log_2018[[#This Row],[Split_apply]])) - SUM($O637:U637)</f>
        <v>0</v>
      </c>
      <c r="W637" s="52">
        <f ca="1">Log_2018[[#This Row],[Amount]]/Log_2018[[#This Row],[Split_raw]]*MAX(0,MIN(_xlfn.DAYS(EDATE(W$1,1),Log_2018[[#This Row],[Date]]),Log_2018[[#This Row],[Split_apply]])) - SUM($O637:V637)</f>
        <v>0</v>
      </c>
      <c r="X637" s="52">
        <f ca="1">Log_2018[[#This Row],[Amount]]/Log_2018[[#This Row],[Split_raw]]*MAX(0,MIN(_xlfn.DAYS(EDATE(X$1,1),Log_2018[[#This Row],[Date]]),Log_2018[[#This Row],[Split_apply]])) - SUM($O637:W637)</f>
        <v>0</v>
      </c>
      <c r="Y637" s="52">
        <f ca="1">Log_2018[[#This Row],[Amount]]/Log_2018[[#This Row],[Split_raw]]*MAX(0,MIN(_xlfn.DAYS(EDATE(Y$1,1),Log_2018[[#This Row],[Date]]),Log_2018[[#This Row],[Split_apply]])) - SUM($O637:X637)</f>
        <v>0</v>
      </c>
      <c r="Z637" s="52">
        <f ca="1">Log_2018[[#This Row],[Amount]]/Log_2018[[#This Row],[Split_raw]]*MAX(0,MIN(_xlfn.DAYS(EDATE(Z$1,1),Log_2018[[#This Row],[Date]]),Log_2018[[#This Row],[Split_apply]])) - SUM($O637:Y637)</f>
        <v>0</v>
      </c>
      <c r="AA637" s="52">
        <f ca="1">Log_2018[[#This Row],[Amount]]/Log_2018[[#This Row],[Split_raw]]*MAX(0,MIN(_xlfn.DAYS(EDATE(AA$1,1),Log_2018[[#This Row],[Date]]),Log_2018[[#This Row],[Split_apply]])) - SUM($O637:Z637)</f>
        <v>0</v>
      </c>
      <c r="AB637" s="54">
        <f ca="1">Log_2018[[#This Row],[Amount]]-SUM(O637:AA637)</f>
        <v>0</v>
      </c>
      <c r="AC637" s="7">
        <f ca="1">MAX(0,Log_2018[[#This Row],[Split_apply]] - (EDATE(AA$1,1)-Log_2018[[#This Row],[Date]]))</f>
        <v>0</v>
      </c>
    </row>
    <row r="638" spans="1:29" hidden="1" x14ac:dyDescent="0.25">
      <c r="A638" s="115"/>
      <c r="B638" t="s">
        <v>6</v>
      </c>
      <c r="D638" s="39">
        <v>43164</v>
      </c>
      <c r="F638" t="s">
        <v>59</v>
      </c>
      <c r="G638" t="s">
        <v>25</v>
      </c>
      <c r="H638" s="3">
        <v>-7.94</v>
      </c>
      <c r="I638" s="36">
        <f>IF(Log_2018[[#This Row],[My Category]]="NONTRACKED",0,Log_2018[[#This Row],[Raw Amount]])</f>
        <v>-7.94</v>
      </c>
      <c r="J638" s="17">
        <f>ABS(Log_2018[[#This Row],[Amount]])</f>
        <v>7.94</v>
      </c>
      <c r="K638" s="66">
        <v>1</v>
      </c>
      <c r="L638" s="66">
        <f ca="1">IF(Log_2018[[#This Row],[Date]]&lt;=TODAY(), MIN(Log_2018[[#This Row],[Split_raw]], TODAY()-Log_2018[[#This Row],[Date]]+1), 0)</f>
        <v>1</v>
      </c>
      <c r="M638" t="s">
        <v>35</v>
      </c>
      <c r="N638" t="s">
        <v>158</v>
      </c>
      <c r="O638" s="50">
        <v>0</v>
      </c>
      <c r="P638" s="52">
        <f ca="1">Log_2018[[#This Row],[Amount]]/Log_2018[[#This Row],[Split_raw]]*MAX(0,MIN(_xlfn.DAYS(EDATE(P$1,1),Log_2018[[#This Row],[Date]]),Log_2018[[#This Row],[Split_apply]])) - SUM($O638:O638)</f>
        <v>0</v>
      </c>
      <c r="Q638" s="52">
        <f ca="1">Log_2018[[#This Row],[Amount]]/Log_2018[[#This Row],[Split_raw]]*MAX(0,MIN(_xlfn.DAYS(EDATE(Q$1,1),Log_2018[[#This Row],[Date]]),Log_2018[[#This Row],[Split_apply]])) - SUM($O638:P638)</f>
        <v>0</v>
      </c>
      <c r="R638" s="52">
        <f ca="1">Log_2018[[#This Row],[Amount]]/Log_2018[[#This Row],[Split_raw]]*MAX(0,MIN(_xlfn.DAYS(EDATE(R$1,1),Log_2018[[#This Row],[Date]]),Log_2018[[#This Row],[Split_apply]])) - SUM($O638:Q638)</f>
        <v>-7.94</v>
      </c>
      <c r="S638" s="52">
        <f ca="1">Log_2018[[#This Row],[Amount]]/Log_2018[[#This Row],[Split_raw]]*MAX(0,MIN(_xlfn.DAYS(EDATE(S$1,1),Log_2018[[#This Row],[Date]]),Log_2018[[#This Row],[Split_apply]])) - SUM($O638:R638)</f>
        <v>0</v>
      </c>
      <c r="T638" s="52">
        <f ca="1">Log_2018[[#This Row],[Amount]]/Log_2018[[#This Row],[Split_raw]]*MAX(0,MIN(_xlfn.DAYS(EDATE(T$1,1),Log_2018[[#This Row],[Date]]),Log_2018[[#This Row],[Split_apply]])) - SUM($O638:S638)</f>
        <v>0</v>
      </c>
      <c r="U638" s="52">
        <f ca="1">Log_2018[[#This Row],[Amount]]/Log_2018[[#This Row],[Split_raw]]*MAX(0,MIN(_xlfn.DAYS(EDATE(U$1,1),Log_2018[[#This Row],[Date]]),Log_2018[[#This Row],[Split_apply]])) - SUM($O638:T638)</f>
        <v>0</v>
      </c>
      <c r="V638" s="52">
        <f ca="1">Log_2018[[#This Row],[Amount]]/Log_2018[[#This Row],[Split_raw]]*MAX(0,MIN(_xlfn.DAYS(EDATE(V$1,1),Log_2018[[#This Row],[Date]]),Log_2018[[#This Row],[Split_apply]])) - SUM($O638:U638)</f>
        <v>0</v>
      </c>
      <c r="W638" s="52">
        <f ca="1">Log_2018[[#This Row],[Amount]]/Log_2018[[#This Row],[Split_raw]]*MAX(0,MIN(_xlfn.DAYS(EDATE(W$1,1),Log_2018[[#This Row],[Date]]),Log_2018[[#This Row],[Split_apply]])) - SUM($O638:V638)</f>
        <v>0</v>
      </c>
      <c r="X638" s="52">
        <f ca="1">Log_2018[[#This Row],[Amount]]/Log_2018[[#This Row],[Split_raw]]*MAX(0,MIN(_xlfn.DAYS(EDATE(X$1,1),Log_2018[[#This Row],[Date]]),Log_2018[[#This Row],[Split_apply]])) - SUM($O638:W638)</f>
        <v>0</v>
      </c>
      <c r="Y638" s="52">
        <f ca="1">Log_2018[[#This Row],[Amount]]/Log_2018[[#This Row],[Split_raw]]*MAX(0,MIN(_xlfn.DAYS(EDATE(Y$1,1),Log_2018[[#This Row],[Date]]),Log_2018[[#This Row],[Split_apply]])) - SUM($O638:X638)</f>
        <v>0</v>
      </c>
      <c r="Z638" s="52">
        <f ca="1">Log_2018[[#This Row],[Amount]]/Log_2018[[#This Row],[Split_raw]]*MAX(0,MIN(_xlfn.DAYS(EDATE(Z$1,1),Log_2018[[#This Row],[Date]]),Log_2018[[#This Row],[Split_apply]])) - SUM($O638:Y638)</f>
        <v>0</v>
      </c>
      <c r="AA638" s="52">
        <f ca="1">Log_2018[[#This Row],[Amount]]/Log_2018[[#This Row],[Split_raw]]*MAX(0,MIN(_xlfn.DAYS(EDATE(AA$1,1),Log_2018[[#This Row],[Date]]),Log_2018[[#This Row],[Split_apply]])) - SUM($O638:Z638)</f>
        <v>0</v>
      </c>
      <c r="AB638" s="54">
        <f ca="1">Log_2018[[#This Row],[Amount]]-SUM(O638:AA638)</f>
        <v>0</v>
      </c>
      <c r="AC638" s="7">
        <f ca="1">MAX(0,Log_2018[[#This Row],[Split_apply]] - (EDATE(AA$1,1)-Log_2018[[#This Row],[Date]]))</f>
        <v>0</v>
      </c>
    </row>
    <row r="639" spans="1:29" hidden="1" x14ac:dyDescent="0.25">
      <c r="A639" s="115"/>
      <c r="B639" t="s">
        <v>191</v>
      </c>
      <c r="D639" s="39">
        <v>43160</v>
      </c>
      <c r="E639" t="s">
        <v>960</v>
      </c>
      <c r="F639" t="s">
        <v>175</v>
      </c>
      <c r="G639" t="s">
        <v>176</v>
      </c>
      <c r="H639" s="3">
        <v>-320</v>
      </c>
      <c r="I639" s="36">
        <f>IF(Log_2018[[#This Row],[My Category]]="NONTRACKED",0,Log_2018[[#This Row],[Raw Amount]])</f>
        <v>-320</v>
      </c>
      <c r="J639" s="17">
        <f>ABS(Log_2018[[#This Row],[Amount]])</f>
        <v>320</v>
      </c>
      <c r="K639" s="66">
        <v>31</v>
      </c>
      <c r="L639" s="66">
        <f ca="1">IF(Log_2018[[#This Row],[Date]]&lt;=TODAY(), MIN(Log_2018[[#This Row],[Split_raw]], TODAY()-Log_2018[[#This Row],[Date]]+1), 0)</f>
        <v>31</v>
      </c>
      <c r="M639" t="s">
        <v>93</v>
      </c>
      <c r="N639" t="s">
        <v>160</v>
      </c>
      <c r="O639" s="50">
        <v>0</v>
      </c>
      <c r="P639" s="52">
        <f ca="1">Log_2018[[#This Row],[Amount]]/Log_2018[[#This Row],[Split_raw]]*MAX(0,MIN(_xlfn.DAYS(EDATE(P$1,1),Log_2018[[#This Row],[Date]]),Log_2018[[#This Row],[Split_apply]])) - SUM($O639:O639)</f>
        <v>0</v>
      </c>
      <c r="Q639" s="52">
        <f ca="1">Log_2018[[#This Row],[Amount]]/Log_2018[[#This Row],[Split_raw]]*MAX(0,MIN(_xlfn.DAYS(EDATE(Q$1,1),Log_2018[[#This Row],[Date]]),Log_2018[[#This Row],[Split_apply]])) - SUM($O639:P639)</f>
        <v>0</v>
      </c>
      <c r="R639" s="52">
        <f ca="1">Log_2018[[#This Row],[Amount]]/Log_2018[[#This Row],[Split_raw]]*MAX(0,MIN(_xlfn.DAYS(EDATE(R$1,1),Log_2018[[#This Row],[Date]]),Log_2018[[#This Row],[Split_apply]])) - SUM($O639:Q639)</f>
        <v>-320</v>
      </c>
      <c r="S639" s="52">
        <f ca="1">Log_2018[[#This Row],[Amount]]/Log_2018[[#This Row],[Split_raw]]*MAX(0,MIN(_xlfn.DAYS(EDATE(S$1,1),Log_2018[[#This Row],[Date]]),Log_2018[[#This Row],[Split_apply]])) - SUM($O639:R639)</f>
        <v>0</v>
      </c>
      <c r="T639" s="52">
        <f ca="1">Log_2018[[#This Row],[Amount]]/Log_2018[[#This Row],[Split_raw]]*MAX(0,MIN(_xlfn.DAYS(EDATE(T$1,1),Log_2018[[#This Row],[Date]]),Log_2018[[#This Row],[Split_apply]])) - SUM($O639:S639)</f>
        <v>0</v>
      </c>
      <c r="U639" s="52">
        <f ca="1">Log_2018[[#This Row],[Amount]]/Log_2018[[#This Row],[Split_raw]]*MAX(0,MIN(_xlfn.DAYS(EDATE(U$1,1),Log_2018[[#This Row],[Date]]),Log_2018[[#This Row],[Split_apply]])) - SUM($O639:T639)</f>
        <v>0</v>
      </c>
      <c r="V639" s="52">
        <f ca="1">Log_2018[[#This Row],[Amount]]/Log_2018[[#This Row],[Split_raw]]*MAX(0,MIN(_xlfn.DAYS(EDATE(V$1,1),Log_2018[[#This Row],[Date]]),Log_2018[[#This Row],[Split_apply]])) - SUM($O639:U639)</f>
        <v>0</v>
      </c>
      <c r="W639" s="52">
        <f ca="1">Log_2018[[#This Row],[Amount]]/Log_2018[[#This Row],[Split_raw]]*MAX(0,MIN(_xlfn.DAYS(EDATE(W$1,1),Log_2018[[#This Row],[Date]]),Log_2018[[#This Row],[Split_apply]])) - SUM($O639:V639)</f>
        <v>0</v>
      </c>
      <c r="X639" s="52">
        <f ca="1">Log_2018[[#This Row],[Amount]]/Log_2018[[#This Row],[Split_raw]]*MAX(0,MIN(_xlfn.DAYS(EDATE(X$1,1),Log_2018[[#This Row],[Date]]),Log_2018[[#This Row],[Split_apply]])) - SUM($O639:W639)</f>
        <v>0</v>
      </c>
      <c r="Y639" s="52">
        <f ca="1">Log_2018[[#This Row],[Amount]]/Log_2018[[#This Row],[Split_raw]]*MAX(0,MIN(_xlfn.DAYS(EDATE(Y$1,1),Log_2018[[#This Row],[Date]]),Log_2018[[#This Row],[Split_apply]])) - SUM($O639:X639)</f>
        <v>0</v>
      </c>
      <c r="Z639" s="52">
        <f ca="1">Log_2018[[#This Row],[Amount]]/Log_2018[[#This Row],[Split_raw]]*MAX(0,MIN(_xlfn.DAYS(EDATE(Z$1,1),Log_2018[[#This Row],[Date]]),Log_2018[[#This Row],[Split_apply]])) - SUM($O639:Y639)</f>
        <v>0</v>
      </c>
      <c r="AA639" s="52">
        <f ca="1">Log_2018[[#This Row],[Amount]]/Log_2018[[#This Row],[Split_raw]]*MAX(0,MIN(_xlfn.DAYS(EDATE(AA$1,1),Log_2018[[#This Row],[Date]]),Log_2018[[#This Row],[Split_apply]])) - SUM($O639:Z639)</f>
        <v>0</v>
      </c>
      <c r="AB639" s="54">
        <f ca="1">Log_2018[[#This Row],[Amount]]-SUM(O639:AA639)</f>
        <v>0</v>
      </c>
      <c r="AC639" s="7">
        <f ca="1">MAX(0,Log_2018[[#This Row],[Split_apply]] - (EDATE(AA$1,1)-Log_2018[[#This Row],[Date]]))</f>
        <v>0</v>
      </c>
    </row>
    <row r="640" spans="1:29" hidden="1" x14ac:dyDescent="0.25">
      <c r="A640" s="115"/>
      <c r="B640" t="s">
        <v>6</v>
      </c>
      <c r="D640" s="39">
        <v>43160</v>
      </c>
      <c r="F640" t="s">
        <v>178</v>
      </c>
      <c r="G640" t="s">
        <v>80</v>
      </c>
      <c r="H640" s="3">
        <f>--1914.49</f>
        <v>1914.49</v>
      </c>
      <c r="I640" s="36">
        <f>IF(Log_2018[[#This Row],[My Category]]="NONTRACKED",0,Log_2018[[#This Row],[Raw Amount]])</f>
        <v>1914.49</v>
      </c>
      <c r="J640" s="17">
        <f>ABS(Log_2018[[#This Row],[Amount]])</f>
        <v>1914.49</v>
      </c>
      <c r="K640" s="66">
        <v>14</v>
      </c>
      <c r="L640" s="66">
        <f ca="1">IF(Log_2018[[#This Row],[Date]]&lt;=TODAY(), MIN(Log_2018[[#This Row],[Split_raw]], TODAY()-Log_2018[[#This Row],[Date]]+1), 0)</f>
        <v>14</v>
      </c>
      <c r="M640" t="s">
        <v>91</v>
      </c>
      <c r="N640" t="s">
        <v>160</v>
      </c>
      <c r="O640" s="50">
        <v>0</v>
      </c>
      <c r="P640" s="52">
        <f ca="1">Log_2018[[#This Row],[Amount]]/Log_2018[[#This Row],[Split_raw]]*MAX(0,MIN(_xlfn.DAYS(EDATE(P$1,1),Log_2018[[#This Row],[Date]]),Log_2018[[#This Row],[Split_apply]])) - SUM($O640:O640)</f>
        <v>0</v>
      </c>
      <c r="Q640" s="52">
        <f ca="1">Log_2018[[#This Row],[Amount]]/Log_2018[[#This Row],[Split_raw]]*MAX(0,MIN(_xlfn.DAYS(EDATE(Q$1,1),Log_2018[[#This Row],[Date]]),Log_2018[[#This Row],[Split_apply]])) - SUM($O640:P640)</f>
        <v>0</v>
      </c>
      <c r="R640" s="52">
        <f ca="1">Log_2018[[#This Row],[Amount]]/Log_2018[[#This Row],[Split_raw]]*MAX(0,MIN(_xlfn.DAYS(EDATE(R$1,1),Log_2018[[#This Row],[Date]]),Log_2018[[#This Row],[Split_apply]])) - SUM($O640:Q640)</f>
        <v>1914.49</v>
      </c>
      <c r="S640" s="52">
        <f ca="1">Log_2018[[#This Row],[Amount]]/Log_2018[[#This Row],[Split_raw]]*MAX(0,MIN(_xlfn.DAYS(EDATE(S$1,1),Log_2018[[#This Row],[Date]]),Log_2018[[#This Row],[Split_apply]])) - SUM($O640:R640)</f>
        <v>0</v>
      </c>
      <c r="T640" s="52">
        <f ca="1">Log_2018[[#This Row],[Amount]]/Log_2018[[#This Row],[Split_raw]]*MAX(0,MIN(_xlfn.DAYS(EDATE(T$1,1),Log_2018[[#This Row],[Date]]),Log_2018[[#This Row],[Split_apply]])) - SUM($O640:S640)</f>
        <v>0</v>
      </c>
      <c r="U640" s="52">
        <f ca="1">Log_2018[[#This Row],[Amount]]/Log_2018[[#This Row],[Split_raw]]*MAX(0,MIN(_xlfn.DAYS(EDATE(U$1,1),Log_2018[[#This Row],[Date]]),Log_2018[[#This Row],[Split_apply]])) - SUM($O640:T640)</f>
        <v>0</v>
      </c>
      <c r="V640" s="52">
        <f ca="1">Log_2018[[#This Row],[Amount]]/Log_2018[[#This Row],[Split_raw]]*MAX(0,MIN(_xlfn.DAYS(EDATE(V$1,1),Log_2018[[#This Row],[Date]]),Log_2018[[#This Row],[Split_apply]])) - SUM($O640:U640)</f>
        <v>0</v>
      </c>
      <c r="W640" s="52">
        <f ca="1">Log_2018[[#This Row],[Amount]]/Log_2018[[#This Row],[Split_raw]]*MAX(0,MIN(_xlfn.DAYS(EDATE(W$1,1),Log_2018[[#This Row],[Date]]),Log_2018[[#This Row],[Split_apply]])) - SUM($O640:V640)</f>
        <v>0</v>
      </c>
      <c r="X640" s="52">
        <f ca="1">Log_2018[[#This Row],[Amount]]/Log_2018[[#This Row],[Split_raw]]*MAX(0,MIN(_xlfn.DAYS(EDATE(X$1,1),Log_2018[[#This Row],[Date]]),Log_2018[[#This Row],[Split_apply]])) - SUM($O640:W640)</f>
        <v>0</v>
      </c>
      <c r="Y640" s="52">
        <f ca="1">Log_2018[[#This Row],[Amount]]/Log_2018[[#This Row],[Split_raw]]*MAX(0,MIN(_xlfn.DAYS(EDATE(Y$1,1),Log_2018[[#This Row],[Date]]),Log_2018[[#This Row],[Split_apply]])) - SUM($O640:X640)</f>
        <v>0</v>
      </c>
      <c r="Z640" s="52">
        <f ca="1">Log_2018[[#This Row],[Amount]]/Log_2018[[#This Row],[Split_raw]]*MAX(0,MIN(_xlfn.DAYS(EDATE(Z$1,1),Log_2018[[#This Row],[Date]]),Log_2018[[#This Row],[Split_apply]])) - SUM($O640:Y640)</f>
        <v>0</v>
      </c>
      <c r="AA640" s="52">
        <f ca="1">Log_2018[[#This Row],[Amount]]/Log_2018[[#This Row],[Split_raw]]*MAX(0,MIN(_xlfn.DAYS(EDATE(AA$1,1),Log_2018[[#This Row],[Date]]),Log_2018[[#This Row],[Split_apply]])) - SUM($O640:Z640)</f>
        <v>0</v>
      </c>
      <c r="AB640" s="54">
        <f ca="1">Log_2018[[#This Row],[Amount]]-SUM(O640:AA640)</f>
        <v>0</v>
      </c>
      <c r="AC640" s="7">
        <f ca="1">MAX(0,Log_2018[[#This Row],[Split_apply]] - (EDATE(AA$1,1)-Log_2018[[#This Row],[Date]]))</f>
        <v>0</v>
      </c>
    </row>
    <row r="641" spans="1:29" hidden="1" x14ac:dyDescent="0.25">
      <c r="A641" s="115"/>
      <c r="B641" t="s">
        <v>148</v>
      </c>
      <c r="D641" s="39">
        <v>43159</v>
      </c>
      <c r="F641" t="s">
        <v>76</v>
      </c>
      <c r="G641" t="s">
        <v>10</v>
      </c>
      <c r="H641" s="3">
        <v>-27.22</v>
      </c>
      <c r="I641" s="36">
        <f>IF(Log_2018[[#This Row],[My Category]]="NONTRACKED",0,Log_2018[[#This Row],[Raw Amount]])</f>
        <v>-27.22</v>
      </c>
      <c r="J641" s="17">
        <f>ABS(Log_2018[[#This Row],[Amount]])</f>
        <v>27.22</v>
      </c>
      <c r="K641" s="66">
        <v>1</v>
      </c>
      <c r="L641" s="66">
        <f ca="1">IF(Log_2018[[#This Row],[Date]]&lt;=TODAY(), MIN(Log_2018[[#This Row],[Split_raw]], TODAY()-Log_2018[[#This Row],[Date]]+1), 0)</f>
        <v>1</v>
      </c>
      <c r="M641" t="s">
        <v>52</v>
      </c>
      <c r="N641" t="s">
        <v>158</v>
      </c>
      <c r="O641" s="50">
        <v>0</v>
      </c>
      <c r="P641" s="52">
        <f ca="1">Log_2018[[#This Row],[Amount]]/Log_2018[[#This Row],[Split_raw]]*MAX(0,MIN(_xlfn.DAYS(EDATE(P$1,1),Log_2018[[#This Row],[Date]]),Log_2018[[#This Row],[Split_apply]])) - SUM($O641:O641)</f>
        <v>0</v>
      </c>
      <c r="Q641" s="52">
        <f ca="1">Log_2018[[#This Row],[Amount]]/Log_2018[[#This Row],[Split_raw]]*MAX(0,MIN(_xlfn.DAYS(EDATE(Q$1,1),Log_2018[[#This Row],[Date]]),Log_2018[[#This Row],[Split_apply]])) - SUM($O641:P641)</f>
        <v>-27.22</v>
      </c>
      <c r="R641" s="52">
        <f ca="1">Log_2018[[#This Row],[Amount]]/Log_2018[[#This Row],[Split_raw]]*MAX(0,MIN(_xlfn.DAYS(EDATE(R$1,1),Log_2018[[#This Row],[Date]]),Log_2018[[#This Row],[Split_apply]])) - SUM($O641:Q641)</f>
        <v>0</v>
      </c>
      <c r="S641" s="52">
        <f ca="1">Log_2018[[#This Row],[Amount]]/Log_2018[[#This Row],[Split_raw]]*MAX(0,MIN(_xlfn.DAYS(EDATE(S$1,1),Log_2018[[#This Row],[Date]]),Log_2018[[#This Row],[Split_apply]])) - SUM($O641:R641)</f>
        <v>0</v>
      </c>
      <c r="T641" s="52">
        <f ca="1">Log_2018[[#This Row],[Amount]]/Log_2018[[#This Row],[Split_raw]]*MAX(0,MIN(_xlfn.DAYS(EDATE(T$1,1),Log_2018[[#This Row],[Date]]),Log_2018[[#This Row],[Split_apply]])) - SUM($O641:S641)</f>
        <v>0</v>
      </c>
      <c r="U641" s="52">
        <f ca="1">Log_2018[[#This Row],[Amount]]/Log_2018[[#This Row],[Split_raw]]*MAX(0,MIN(_xlfn.DAYS(EDATE(U$1,1),Log_2018[[#This Row],[Date]]),Log_2018[[#This Row],[Split_apply]])) - SUM($O641:T641)</f>
        <v>0</v>
      </c>
      <c r="V641" s="52">
        <f ca="1">Log_2018[[#This Row],[Amount]]/Log_2018[[#This Row],[Split_raw]]*MAX(0,MIN(_xlfn.DAYS(EDATE(V$1,1),Log_2018[[#This Row],[Date]]),Log_2018[[#This Row],[Split_apply]])) - SUM($O641:U641)</f>
        <v>0</v>
      </c>
      <c r="W641" s="52">
        <f ca="1">Log_2018[[#This Row],[Amount]]/Log_2018[[#This Row],[Split_raw]]*MAX(0,MIN(_xlfn.DAYS(EDATE(W$1,1),Log_2018[[#This Row],[Date]]),Log_2018[[#This Row],[Split_apply]])) - SUM($O641:V641)</f>
        <v>0</v>
      </c>
      <c r="X641" s="52">
        <f ca="1">Log_2018[[#This Row],[Amount]]/Log_2018[[#This Row],[Split_raw]]*MAX(0,MIN(_xlfn.DAYS(EDATE(X$1,1),Log_2018[[#This Row],[Date]]),Log_2018[[#This Row],[Split_apply]])) - SUM($O641:W641)</f>
        <v>0</v>
      </c>
      <c r="Y641" s="52">
        <f ca="1">Log_2018[[#This Row],[Amount]]/Log_2018[[#This Row],[Split_raw]]*MAX(0,MIN(_xlfn.DAYS(EDATE(Y$1,1),Log_2018[[#This Row],[Date]]),Log_2018[[#This Row],[Split_apply]])) - SUM($O641:X641)</f>
        <v>0</v>
      </c>
      <c r="Z641" s="52">
        <f ca="1">Log_2018[[#This Row],[Amount]]/Log_2018[[#This Row],[Split_raw]]*MAX(0,MIN(_xlfn.DAYS(EDATE(Z$1,1),Log_2018[[#This Row],[Date]]),Log_2018[[#This Row],[Split_apply]])) - SUM($O641:Y641)</f>
        <v>0</v>
      </c>
      <c r="AA641" s="52">
        <f ca="1">Log_2018[[#This Row],[Amount]]/Log_2018[[#This Row],[Split_raw]]*MAX(0,MIN(_xlfn.DAYS(EDATE(AA$1,1),Log_2018[[#This Row],[Date]]),Log_2018[[#This Row],[Split_apply]])) - SUM($O641:Z641)</f>
        <v>0</v>
      </c>
      <c r="AB641" s="54">
        <f ca="1">Log_2018[[#This Row],[Amount]]-SUM(O641:AA641)</f>
        <v>0</v>
      </c>
      <c r="AC641" s="7">
        <f ca="1">MAX(0,Log_2018[[#This Row],[Split_apply]] - (EDATE(AA$1,1)-Log_2018[[#This Row],[Date]]))</f>
        <v>0</v>
      </c>
    </row>
    <row r="642" spans="1:29" hidden="1" x14ac:dyDescent="0.25">
      <c r="A642" s="115"/>
      <c r="B642" t="s">
        <v>148</v>
      </c>
      <c r="D642" s="39">
        <v>43159</v>
      </c>
      <c r="F642" t="s">
        <v>59</v>
      </c>
      <c r="G642" t="s">
        <v>25</v>
      </c>
      <c r="H642" s="3">
        <v>-4.53</v>
      </c>
      <c r="I642" s="36">
        <f>IF(Log_2018[[#This Row],[My Category]]="NONTRACKED",0,Log_2018[[#This Row],[Raw Amount]])</f>
        <v>-4.53</v>
      </c>
      <c r="J642" s="17">
        <f>ABS(Log_2018[[#This Row],[Amount]])</f>
        <v>4.53</v>
      </c>
      <c r="K642" s="66">
        <v>1</v>
      </c>
      <c r="L642" s="66">
        <f ca="1">IF(Log_2018[[#This Row],[Date]]&lt;=TODAY(), MIN(Log_2018[[#This Row],[Split_raw]], TODAY()-Log_2018[[#This Row],[Date]]+1), 0)</f>
        <v>1</v>
      </c>
      <c r="M642" t="s">
        <v>35</v>
      </c>
      <c r="N642" t="s">
        <v>158</v>
      </c>
      <c r="O642" s="50">
        <v>0</v>
      </c>
      <c r="P642" s="52">
        <f ca="1">Log_2018[[#This Row],[Amount]]/Log_2018[[#This Row],[Split_raw]]*MAX(0,MIN(_xlfn.DAYS(EDATE(P$1,1),Log_2018[[#This Row],[Date]]),Log_2018[[#This Row],[Split_apply]])) - SUM($O642:O642)</f>
        <v>0</v>
      </c>
      <c r="Q642" s="52">
        <f ca="1">Log_2018[[#This Row],[Amount]]/Log_2018[[#This Row],[Split_raw]]*MAX(0,MIN(_xlfn.DAYS(EDATE(Q$1,1),Log_2018[[#This Row],[Date]]),Log_2018[[#This Row],[Split_apply]])) - SUM($O642:P642)</f>
        <v>-4.53</v>
      </c>
      <c r="R642" s="52">
        <f ca="1">Log_2018[[#This Row],[Amount]]/Log_2018[[#This Row],[Split_raw]]*MAX(0,MIN(_xlfn.DAYS(EDATE(R$1,1),Log_2018[[#This Row],[Date]]),Log_2018[[#This Row],[Split_apply]])) - SUM($O642:Q642)</f>
        <v>0</v>
      </c>
      <c r="S642" s="52">
        <f ca="1">Log_2018[[#This Row],[Amount]]/Log_2018[[#This Row],[Split_raw]]*MAX(0,MIN(_xlfn.DAYS(EDATE(S$1,1),Log_2018[[#This Row],[Date]]),Log_2018[[#This Row],[Split_apply]])) - SUM($O642:R642)</f>
        <v>0</v>
      </c>
      <c r="T642" s="52">
        <f ca="1">Log_2018[[#This Row],[Amount]]/Log_2018[[#This Row],[Split_raw]]*MAX(0,MIN(_xlfn.DAYS(EDATE(T$1,1),Log_2018[[#This Row],[Date]]),Log_2018[[#This Row],[Split_apply]])) - SUM($O642:S642)</f>
        <v>0</v>
      </c>
      <c r="U642" s="52">
        <f ca="1">Log_2018[[#This Row],[Amount]]/Log_2018[[#This Row],[Split_raw]]*MAX(0,MIN(_xlfn.DAYS(EDATE(U$1,1),Log_2018[[#This Row],[Date]]),Log_2018[[#This Row],[Split_apply]])) - SUM($O642:T642)</f>
        <v>0</v>
      </c>
      <c r="V642" s="52">
        <f ca="1">Log_2018[[#This Row],[Amount]]/Log_2018[[#This Row],[Split_raw]]*MAX(0,MIN(_xlfn.DAYS(EDATE(V$1,1),Log_2018[[#This Row],[Date]]),Log_2018[[#This Row],[Split_apply]])) - SUM($O642:U642)</f>
        <v>0</v>
      </c>
      <c r="W642" s="52">
        <f ca="1">Log_2018[[#This Row],[Amount]]/Log_2018[[#This Row],[Split_raw]]*MAX(0,MIN(_xlfn.DAYS(EDATE(W$1,1),Log_2018[[#This Row],[Date]]),Log_2018[[#This Row],[Split_apply]])) - SUM($O642:V642)</f>
        <v>0</v>
      </c>
      <c r="X642" s="52">
        <f ca="1">Log_2018[[#This Row],[Amount]]/Log_2018[[#This Row],[Split_raw]]*MAX(0,MIN(_xlfn.DAYS(EDATE(X$1,1),Log_2018[[#This Row],[Date]]),Log_2018[[#This Row],[Split_apply]])) - SUM($O642:W642)</f>
        <v>0</v>
      </c>
      <c r="Y642" s="52">
        <f ca="1">Log_2018[[#This Row],[Amount]]/Log_2018[[#This Row],[Split_raw]]*MAX(0,MIN(_xlfn.DAYS(EDATE(Y$1,1),Log_2018[[#This Row],[Date]]),Log_2018[[#This Row],[Split_apply]])) - SUM($O642:X642)</f>
        <v>0</v>
      </c>
      <c r="Z642" s="52">
        <f ca="1">Log_2018[[#This Row],[Amount]]/Log_2018[[#This Row],[Split_raw]]*MAX(0,MIN(_xlfn.DAYS(EDATE(Z$1,1),Log_2018[[#This Row],[Date]]),Log_2018[[#This Row],[Split_apply]])) - SUM($O642:Y642)</f>
        <v>0</v>
      </c>
      <c r="AA642" s="52">
        <f ca="1">Log_2018[[#This Row],[Amount]]/Log_2018[[#This Row],[Split_raw]]*MAX(0,MIN(_xlfn.DAYS(EDATE(AA$1,1),Log_2018[[#This Row],[Date]]),Log_2018[[#This Row],[Split_apply]])) - SUM($O642:Z642)</f>
        <v>0</v>
      </c>
      <c r="AB642" s="54">
        <f ca="1">Log_2018[[#This Row],[Amount]]-SUM(O642:AA642)</f>
        <v>0</v>
      </c>
      <c r="AC642" s="7">
        <f ca="1">MAX(0,Log_2018[[#This Row],[Split_apply]] - (EDATE(AA$1,1)-Log_2018[[#This Row],[Date]]))</f>
        <v>0</v>
      </c>
    </row>
    <row r="643" spans="1:29" hidden="1" x14ac:dyDescent="0.25">
      <c r="A643" s="115"/>
      <c r="B643" t="s">
        <v>148</v>
      </c>
      <c r="D643" s="39">
        <v>43159</v>
      </c>
      <c r="E643" t="s">
        <v>251</v>
      </c>
      <c r="F643" t="s">
        <v>120</v>
      </c>
      <c r="G643" t="s">
        <v>9</v>
      </c>
      <c r="H643" s="3">
        <v>-8.65</v>
      </c>
      <c r="I643" s="36">
        <f>IF(Log_2018[[#This Row],[My Category]]="NONTRACKED",0,Log_2018[[#This Row],[Raw Amount]])</f>
        <v>-8.65</v>
      </c>
      <c r="J643" s="17">
        <f>ABS(Log_2018[[#This Row],[Amount]])</f>
        <v>8.65</v>
      </c>
      <c r="K643" s="66">
        <v>30</v>
      </c>
      <c r="L643" s="66">
        <f ca="1">IF(Log_2018[[#This Row],[Date]]&lt;=TODAY(), MIN(Log_2018[[#This Row],[Split_raw]], TODAY()-Log_2018[[#This Row],[Date]]+1), 0)</f>
        <v>30</v>
      </c>
      <c r="M643" t="s">
        <v>53</v>
      </c>
      <c r="N643" t="s">
        <v>160</v>
      </c>
      <c r="O643" s="50">
        <v>0</v>
      </c>
      <c r="P643" s="52">
        <f ca="1">Log_2018[[#This Row],[Amount]]/Log_2018[[#This Row],[Split_raw]]*MAX(0,MIN(_xlfn.DAYS(EDATE(P$1,1),Log_2018[[#This Row],[Date]]),Log_2018[[#This Row],[Split_apply]])) - SUM($O643:O643)</f>
        <v>0</v>
      </c>
      <c r="Q643" s="52">
        <f ca="1">Log_2018[[#This Row],[Amount]]/Log_2018[[#This Row],[Split_raw]]*MAX(0,MIN(_xlfn.DAYS(EDATE(Q$1,1),Log_2018[[#This Row],[Date]]),Log_2018[[#This Row],[Split_apply]])) - SUM($O643:P643)</f>
        <v>-0.28833333333333333</v>
      </c>
      <c r="R643" s="52">
        <f ca="1">Log_2018[[#This Row],[Amount]]/Log_2018[[#This Row],[Split_raw]]*MAX(0,MIN(_xlfn.DAYS(EDATE(R$1,1),Log_2018[[#This Row],[Date]]),Log_2018[[#This Row],[Split_apply]])) - SUM($O643:Q643)</f>
        <v>-8.3616666666666664</v>
      </c>
      <c r="S643" s="52">
        <f ca="1">Log_2018[[#This Row],[Amount]]/Log_2018[[#This Row],[Split_raw]]*MAX(0,MIN(_xlfn.DAYS(EDATE(S$1,1),Log_2018[[#This Row],[Date]]),Log_2018[[#This Row],[Split_apply]])) - SUM($O643:R643)</f>
        <v>0</v>
      </c>
      <c r="T643" s="52">
        <f ca="1">Log_2018[[#This Row],[Amount]]/Log_2018[[#This Row],[Split_raw]]*MAX(0,MIN(_xlfn.DAYS(EDATE(T$1,1),Log_2018[[#This Row],[Date]]),Log_2018[[#This Row],[Split_apply]])) - SUM($O643:S643)</f>
        <v>0</v>
      </c>
      <c r="U643" s="52">
        <f ca="1">Log_2018[[#This Row],[Amount]]/Log_2018[[#This Row],[Split_raw]]*MAX(0,MIN(_xlfn.DAYS(EDATE(U$1,1),Log_2018[[#This Row],[Date]]),Log_2018[[#This Row],[Split_apply]])) - SUM($O643:T643)</f>
        <v>0</v>
      </c>
      <c r="V643" s="52">
        <f ca="1">Log_2018[[#This Row],[Amount]]/Log_2018[[#This Row],[Split_raw]]*MAX(0,MIN(_xlfn.DAYS(EDATE(V$1,1),Log_2018[[#This Row],[Date]]),Log_2018[[#This Row],[Split_apply]])) - SUM($O643:U643)</f>
        <v>0</v>
      </c>
      <c r="W643" s="52">
        <f ca="1">Log_2018[[#This Row],[Amount]]/Log_2018[[#This Row],[Split_raw]]*MAX(0,MIN(_xlfn.DAYS(EDATE(W$1,1),Log_2018[[#This Row],[Date]]),Log_2018[[#This Row],[Split_apply]])) - SUM($O643:V643)</f>
        <v>0</v>
      </c>
      <c r="X643" s="52">
        <f ca="1">Log_2018[[#This Row],[Amount]]/Log_2018[[#This Row],[Split_raw]]*MAX(0,MIN(_xlfn.DAYS(EDATE(X$1,1),Log_2018[[#This Row],[Date]]),Log_2018[[#This Row],[Split_apply]])) - SUM($O643:W643)</f>
        <v>0</v>
      </c>
      <c r="Y643" s="52">
        <f ca="1">Log_2018[[#This Row],[Amount]]/Log_2018[[#This Row],[Split_raw]]*MAX(0,MIN(_xlfn.DAYS(EDATE(Y$1,1),Log_2018[[#This Row],[Date]]),Log_2018[[#This Row],[Split_apply]])) - SUM($O643:X643)</f>
        <v>0</v>
      </c>
      <c r="Z643" s="52">
        <f ca="1">Log_2018[[#This Row],[Amount]]/Log_2018[[#This Row],[Split_raw]]*MAX(0,MIN(_xlfn.DAYS(EDATE(Z$1,1),Log_2018[[#This Row],[Date]]),Log_2018[[#This Row],[Split_apply]])) - SUM($O643:Y643)</f>
        <v>0</v>
      </c>
      <c r="AA643" s="52">
        <f ca="1">Log_2018[[#This Row],[Amount]]/Log_2018[[#This Row],[Split_raw]]*MAX(0,MIN(_xlfn.DAYS(EDATE(AA$1,1),Log_2018[[#This Row],[Date]]),Log_2018[[#This Row],[Split_apply]])) - SUM($O643:Z643)</f>
        <v>0</v>
      </c>
      <c r="AB643" s="54">
        <f ca="1">Log_2018[[#This Row],[Amount]]-SUM(O643:AA643)</f>
        <v>0</v>
      </c>
      <c r="AC643" s="7">
        <f ca="1">MAX(0,Log_2018[[#This Row],[Split_apply]] - (EDATE(AA$1,1)-Log_2018[[#This Row],[Date]]))</f>
        <v>0</v>
      </c>
    </row>
    <row r="644" spans="1:29" hidden="1" x14ac:dyDescent="0.25">
      <c r="A644" s="115"/>
      <c r="B644" t="s">
        <v>6</v>
      </c>
      <c r="D644" s="39">
        <v>43158</v>
      </c>
      <c r="F644" t="s">
        <v>23</v>
      </c>
      <c r="G644" t="s">
        <v>24</v>
      </c>
      <c r="H644" s="3">
        <v>3</v>
      </c>
      <c r="I644" s="36">
        <f>IF(Log_2018[[#This Row],[My Category]]="NONTRACKED",0,Log_2018[[#This Row],[Raw Amount]])</f>
        <v>3</v>
      </c>
      <c r="J644" s="17">
        <f>ABS(Log_2018[[#This Row],[Amount]])</f>
        <v>3</v>
      </c>
      <c r="K644" s="66">
        <v>1</v>
      </c>
      <c r="L644" s="66">
        <f ca="1">IF(Log_2018[[#This Row],[Date]]&lt;=TODAY(), MIN(Log_2018[[#This Row],[Split_raw]], TODAY()-Log_2018[[#This Row],[Date]]+1), 0)</f>
        <v>1</v>
      </c>
      <c r="M644" t="s">
        <v>196</v>
      </c>
      <c r="N644" t="s">
        <v>160</v>
      </c>
      <c r="O644" s="50">
        <v>0</v>
      </c>
      <c r="P644" s="52">
        <f ca="1">Log_2018[[#This Row],[Amount]]/Log_2018[[#This Row],[Split_raw]]*MAX(0,MIN(_xlfn.DAYS(EDATE(P$1,1),Log_2018[[#This Row],[Date]]),Log_2018[[#This Row],[Split_apply]])) - SUM($O644:O644)</f>
        <v>0</v>
      </c>
      <c r="Q644" s="52">
        <f ca="1">Log_2018[[#This Row],[Amount]]/Log_2018[[#This Row],[Split_raw]]*MAX(0,MIN(_xlfn.DAYS(EDATE(Q$1,1),Log_2018[[#This Row],[Date]]),Log_2018[[#This Row],[Split_apply]])) - SUM($O644:P644)</f>
        <v>3</v>
      </c>
      <c r="R644" s="52">
        <f ca="1">Log_2018[[#This Row],[Amount]]/Log_2018[[#This Row],[Split_raw]]*MAX(0,MIN(_xlfn.DAYS(EDATE(R$1,1),Log_2018[[#This Row],[Date]]),Log_2018[[#This Row],[Split_apply]])) - SUM($O644:Q644)</f>
        <v>0</v>
      </c>
      <c r="S644" s="52">
        <f ca="1">Log_2018[[#This Row],[Amount]]/Log_2018[[#This Row],[Split_raw]]*MAX(0,MIN(_xlfn.DAYS(EDATE(S$1,1),Log_2018[[#This Row],[Date]]),Log_2018[[#This Row],[Split_apply]])) - SUM($O644:R644)</f>
        <v>0</v>
      </c>
      <c r="T644" s="52">
        <f ca="1">Log_2018[[#This Row],[Amount]]/Log_2018[[#This Row],[Split_raw]]*MAX(0,MIN(_xlfn.DAYS(EDATE(T$1,1),Log_2018[[#This Row],[Date]]),Log_2018[[#This Row],[Split_apply]])) - SUM($O644:S644)</f>
        <v>0</v>
      </c>
      <c r="U644" s="52">
        <f ca="1">Log_2018[[#This Row],[Amount]]/Log_2018[[#This Row],[Split_raw]]*MAX(0,MIN(_xlfn.DAYS(EDATE(U$1,1),Log_2018[[#This Row],[Date]]),Log_2018[[#This Row],[Split_apply]])) - SUM($O644:T644)</f>
        <v>0</v>
      </c>
      <c r="V644" s="52">
        <f ca="1">Log_2018[[#This Row],[Amount]]/Log_2018[[#This Row],[Split_raw]]*MAX(0,MIN(_xlfn.DAYS(EDATE(V$1,1),Log_2018[[#This Row],[Date]]),Log_2018[[#This Row],[Split_apply]])) - SUM($O644:U644)</f>
        <v>0</v>
      </c>
      <c r="W644" s="52">
        <f ca="1">Log_2018[[#This Row],[Amount]]/Log_2018[[#This Row],[Split_raw]]*MAX(0,MIN(_xlfn.DAYS(EDATE(W$1,1),Log_2018[[#This Row],[Date]]),Log_2018[[#This Row],[Split_apply]])) - SUM($O644:V644)</f>
        <v>0</v>
      </c>
      <c r="X644" s="52">
        <f ca="1">Log_2018[[#This Row],[Amount]]/Log_2018[[#This Row],[Split_raw]]*MAX(0,MIN(_xlfn.DAYS(EDATE(X$1,1),Log_2018[[#This Row],[Date]]),Log_2018[[#This Row],[Split_apply]])) - SUM($O644:W644)</f>
        <v>0</v>
      </c>
      <c r="Y644" s="52">
        <f ca="1">Log_2018[[#This Row],[Amount]]/Log_2018[[#This Row],[Split_raw]]*MAX(0,MIN(_xlfn.DAYS(EDATE(Y$1,1),Log_2018[[#This Row],[Date]]),Log_2018[[#This Row],[Split_apply]])) - SUM($O644:X644)</f>
        <v>0</v>
      </c>
      <c r="Z644" s="52">
        <f ca="1">Log_2018[[#This Row],[Amount]]/Log_2018[[#This Row],[Split_raw]]*MAX(0,MIN(_xlfn.DAYS(EDATE(Z$1,1),Log_2018[[#This Row],[Date]]),Log_2018[[#This Row],[Split_apply]])) - SUM($O644:Y644)</f>
        <v>0</v>
      </c>
      <c r="AA644" s="52">
        <f ca="1">Log_2018[[#This Row],[Amount]]/Log_2018[[#This Row],[Split_raw]]*MAX(0,MIN(_xlfn.DAYS(EDATE(AA$1,1),Log_2018[[#This Row],[Date]]),Log_2018[[#This Row],[Split_apply]])) - SUM($O644:Z644)</f>
        <v>0</v>
      </c>
      <c r="AB644" s="54">
        <f ca="1">Log_2018[[#This Row],[Amount]]-SUM(O644:AA644)</f>
        <v>0</v>
      </c>
      <c r="AC644" s="7">
        <f ca="1">MAX(0,Log_2018[[#This Row],[Split_apply]] - (EDATE(AA$1,1)-Log_2018[[#This Row],[Date]]))</f>
        <v>0</v>
      </c>
    </row>
    <row r="645" spans="1:29" hidden="1" x14ac:dyDescent="0.25">
      <c r="A645" s="115"/>
      <c r="B645" t="s">
        <v>6</v>
      </c>
      <c r="D645" s="39">
        <v>43158</v>
      </c>
      <c r="F645" t="s">
        <v>59</v>
      </c>
      <c r="G645" t="s">
        <v>25</v>
      </c>
      <c r="H645" s="3">
        <v>-7.94</v>
      </c>
      <c r="I645" s="36">
        <f>IF(Log_2018[[#This Row],[My Category]]="NONTRACKED",0,Log_2018[[#This Row],[Raw Amount]])</f>
        <v>-7.94</v>
      </c>
      <c r="J645" s="17">
        <f>ABS(Log_2018[[#This Row],[Amount]])</f>
        <v>7.94</v>
      </c>
      <c r="K645" s="66">
        <v>1</v>
      </c>
      <c r="L645" s="66">
        <f ca="1">IF(Log_2018[[#This Row],[Date]]&lt;=TODAY(), MIN(Log_2018[[#This Row],[Split_raw]], TODAY()-Log_2018[[#This Row],[Date]]+1), 0)</f>
        <v>1</v>
      </c>
      <c r="M645" t="s">
        <v>35</v>
      </c>
      <c r="N645" t="s">
        <v>158</v>
      </c>
      <c r="O645" s="50">
        <v>0</v>
      </c>
      <c r="P645" s="52">
        <f ca="1">Log_2018[[#This Row],[Amount]]/Log_2018[[#This Row],[Split_raw]]*MAX(0,MIN(_xlfn.DAYS(EDATE(P$1,1),Log_2018[[#This Row],[Date]]),Log_2018[[#This Row],[Split_apply]])) - SUM($O645:O645)</f>
        <v>0</v>
      </c>
      <c r="Q645" s="52">
        <f ca="1">Log_2018[[#This Row],[Amount]]/Log_2018[[#This Row],[Split_raw]]*MAX(0,MIN(_xlfn.DAYS(EDATE(Q$1,1),Log_2018[[#This Row],[Date]]),Log_2018[[#This Row],[Split_apply]])) - SUM($O645:P645)</f>
        <v>-7.94</v>
      </c>
      <c r="R645" s="52">
        <f ca="1">Log_2018[[#This Row],[Amount]]/Log_2018[[#This Row],[Split_raw]]*MAX(0,MIN(_xlfn.DAYS(EDATE(R$1,1),Log_2018[[#This Row],[Date]]),Log_2018[[#This Row],[Split_apply]])) - SUM($O645:Q645)</f>
        <v>0</v>
      </c>
      <c r="S645" s="52">
        <f ca="1">Log_2018[[#This Row],[Amount]]/Log_2018[[#This Row],[Split_raw]]*MAX(0,MIN(_xlfn.DAYS(EDATE(S$1,1),Log_2018[[#This Row],[Date]]),Log_2018[[#This Row],[Split_apply]])) - SUM($O645:R645)</f>
        <v>0</v>
      </c>
      <c r="T645" s="52">
        <f ca="1">Log_2018[[#This Row],[Amount]]/Log_2018[[#This Row],[Split_raw]]*MAX(0,MIN(_xlfn.DAYS(EDATE(T$1,1),Log_2018[[#This Row],[Date]]),Log_2018[[#This Row],[Split_apply]])) - SUM($O645:S645)</f>
        <v>0</v>
      </c>
      <c r="U645" s="52">
        <f ca="1">Log_2018[[#This Row],[Amount]]/Log_2018[[#This Row],[Split_raw]]*MAX(0,MIN(_xlfn.DAYS(EDATE(U$1,1),Log_2018[[#This Row],[Date]]),Log_2018[[#This Row],[Split_apply]])) - SUM($O645:T645)</f>
        <v>0</v>
      </c>
      <c r="V645" s="52">
        <f ca="1">Log_2018[[#This Row],[Amount]]/Log_2018[[#This Row],[Split_raw]]*MAX(0,MIN(_xlfn.DAYS(EDATE(V$1,1),Log_2018[[#This Row],[Date]]),Log_2018[[#This Row],[Split_apply]])) - SUM($O645:U645)</f>
        <v>0</v>
      </c>
      <c r="W645" s="52">
        <f ca="1">Log_2018[[#This Row],[Amount]]/Log_2018[[#This Row],[Split_raw]]*MAX(0,MIN(_xlfn.DAYS(EDATE(W$1,1),Log_2018[[#This Row],[Date]]),Log_2018[[#This Row],[Split_apply]])) - SUM($O645:V645)</f>
        <v>0</v>
      </c>
      <c r="X645" s="52">
        <f ca="1">Log_2018[[#This Row],[Amount]]/Log_2018[[#This Row],[Split_raw]]*MAX(0,MIN(_xlfn.DAYS(EDATE(X$1,1),Log_2018[[#This Row],[Date]]),Log_2018[[#This Row],[Split_apply]])) - SUM($O645:W645)</f>
        <v>0</v>
      </c>
      <c r="Y645" s="52">
        <f ca="1">Log_2018[[#This Row],[Amount]]/Log_2018[[#This Row],[Split_raw]]*MAX(0,MIN(_xlfn.DAYS(EDATE(Y$1,1),Log_2018[[#This Row],[Date]]),Log_2018[[#This Row],[Split_apply]])) - SUM($O645:X645)</f>
        <v>0</v>
      </c>
      <c r="Z645" s="52">
        <f ca="1">Log_2018[[#This Row],[Amount]]/Log_2018[[#This Row],[Split_raw]]*MAX(0,MIN(_xlfn.DAYS(EDATE(Z$1,1),Log_2018[[#This Row],[Date]]),Log_2018[[#This Row],[Split_apply]])) - SUM($O645:Y645)</f>
        <v>0</v>
      </c>
      <c r="AA645" s="52">
        <f ca="1">Log_2018[[#This Row],[Amount]]/Log_2018[[#This Row],[Split_raw]]*MAX(0,MIN(_xlfn.DAYS(EDATE(AA$1,1),Log_2018[[#This Row],[Date]]),Log_2018[[#This Row],[Split_apply]])) - SUM($O645:Z645)</f>
        <v>0</v>
      </c>
      <c r="AB645" s="54">
        <f ca="1">Log_2018[[#This Row],[Amount]]-SUM(O645:AA645)</f>
        <v>0</v>
      </c>
      <c r="AC645" s="7">
        <f ca="1">MAX(0,Log_2018[[#This Row],[Split_apply]] - (EDATE(AA$1,1)-Log_2018[[#This Row],[Date]]))</f>
        <v>0</v>
      </c>
    </row>
    <row r="646" spans="1:29" hidden="1" x14ac:dyDescent="0.25">
      <c r="A646" s="115"/>
      <c r="B646" t="s">
        <v>6</v>
      </c>
      <c r="D646" s="39">
        <v>43158</v>
      </c>
      <c r="F646" t="s">
        <v>16</v>
      </c>
      <c r="G646" t="s">
        <v>17</v>
      </c>
      <c r="H646" s="3">
        <v>0.02</v>
      </c>
      <c r="I646" s="36">
        <f>IF(Log_2018[[#This Row],[My Category]]="NONTRACKED",0,Log_2018[[#This Row],[Raw Amount]])</f>
        <v>0.02</v>
      </c>
      <c r="J646" s="17">
        <f>ABS(Log_2018[[#This Row],[Amount]])</f>
        <v>0.02</v>
      </c>
      <c r="K646" s="66">
        <v>1</v>
      </c>
      <c r="L646" s="66">
        <f ca="1">IF(Log_2018[[#This Row],[Date]]&lt;=TODAY(), MIN(Log_2018[[#This Row],[Split_raw]], TODAY()-Log_2018[[#This Row],[Date]]+1), 0)</f>
        <v>1</v>
      </c>
      <c r="M646" t="s">
        <v>144</v>
      </c>
      <c r="N646" t="s">
        <v>160</v>
      </c>
      <c r="O646" s="50">
        <v>0</v>
      </c>
      <c r="P646" s="52">
        <f ca="1">Log_2018[[#This Row],[Amount]]/Log_2018[[#This Row],[Split_raw]]*MAX(0,MIN(_xlfn.DAYS(EDATE(P$1,1),Log_2018[[#This Row],[Date]]),Log_2018[[#This Row],[Split_apply]])) - SUM($O646:O646)</f>
        <v>0</v>
      </c>
      <c r="Q646" s="52">
        <f ca="1">Log_2018[[#This Row],[Amount]]/Log_2018[[#This Row],[Split_raw]]*MAX(0,MIN(_xlfn.DAYS(EDATE(Q$1,1),Log_2018[[#This Row],[Date]]),Log_2018[[#This Row],[Split_apply]])) - SUM($O646:P646)</f>
        <v>0.02</v>
      </c>
      <c r="R646" s="52">
        <f ca="1">Log_2018[[#This Row],[Amount]]/Log_2018[[#This Row],[Split_raw]]*MAX(0,MIN(_xlfn.DAYS(EDATE(R$1,1),Log_2018[[#This Row],[Date]]),Log_2018[[#This Row],[Split_apply]])) - SUM($O646:Q646)</f>
        <v>0</v>
      </c>
      <c r="S646" s="52">
        <f ca="1">Log_2018[[#This Row],[Amount]]/Log_2018[[#This Row],[Split_raw]]*MAX(0,MIN(_xlfn.DAYS(EDATE(S$1,1),Log_2018[[#This Row],[Date]]),Log_2018[[#This Row],[Split_apply]])) - SUM($O646:R646)</f>
        <v>0</v>
      </c>
      <c r="T646" s="52">
        <f ca="1">Log_2018[[#This Row],[Amount]]/Log_2018[[#This Row],[Split_raw]]*MAX(0,MIN(_xlfn.DAYS(EDATE(T$1,1),Log_2018[[#This Row],[Date]]),Log_2018[[#This Row],[Split_apply]])) - SUM($O646:S646)</f>
        <v>0</v>
      </c>
      <c r="U646" s="52">
        <f ca="1">Log_2018[[#This Row],[Amount]]/Log_2018[[#This Row],[Split_raw]]*MAX(0,MIN(_xlfn.DAYS(EDATE(U$1,1),Log_2018[[#This Row],[Date]]),Log_2018[[#This Row],[Split_apply]])) - SUM($O646:T646)</f>
        <v>0</v>
      </c>
      <c r="V646" s="52">
        <f ca="1">Log_2018[[#This Row],[Amount]]/Log_2018[[#This Row],[Split_raw]]*MAX(0,MIN(_xlfn.DAYS(EDATE(V$1,1),Log_2018[[#This Row],[Date]]),Log_2018[[#This Row],[Split_apply]])) - SUM($O646:U646)</f>
        <v>0</v>
      </c>
      <c r="W646" s="52">
        <f ca="1">Log_2018[[#This Row],[Amount]]/Log_2018[[#This Row],[Split_raw]]*MAX(0,MIN(_xlfn.DAYS(EDATE(W$1,1),Log_2018[[#This Row],[Date]]),Log_2018[[#This Row],[Split_apply]])) - SUM($O646:V646)</f>
        <v>0</v>
      </c>
      <c r="X646" s="52">
        <f ca="1">Log_2018[[#This Row],[Amount]]/Log_2018[[#This Row],[Split_raw]]*MAX(0,MIN(_xlfn.DAYS(EDATE(X$1,1),Log_2018[[#This Row],[Date]]),Log_2018[[#This Row],[Split_apply]])) - SUM($O646:W646)</f>
        <v>0</v>
      </c>
      <c r="Y646" s="52">
        <f ca="1">Log_2018[[#This Row],[Amount]]/Log_2018[[#This Row],[Split_raw]]*MAX(0,MIN(_xlfn.DAYS(EDATE(Y$1,1),Log_2018[[#This Row],[Date]]),Log_2018[[#This Row],[Split_apply]])) - SUM($O646:X646)</f>
        <v>0</v>
      </c>
      <c r="Z646" s="52">
        <f ca="1">Log_2018[[#This Row],[Amount]]/Log_2018[[#This Row],[Split_raw]]*MAX(0,MIN(_xlfn.DAYS(EDATE(Z$1,1),Log_2018[[#This Row],[Date]]),Log_2018[[#This Row],[Split_apply]])) - SUM($O646:Y646)</f>
        <v>0</v>
      </c>
      <c r="AA646" s="52">
        <f ca="1">Log_2018[[#This Row],[Amount]]/Log_2018[[#This Row],[Split_raw]]*MAX(0,MIN(_xlfn.DAYS(EDATE(AA$1,1),Log_2018[[#This Row],[Date]]),Log_2018[[#This Row],[Split_apply]])) - SUM($O646:Z646)</f>
        <v>0</v>
      </c>
      <c r="AB646" s="54">
        <f ca="1">Log_2018[[#This Row],[Amount]]-SUM(O646:AA646)</f>
        <v>0</v>
      </c>
      <c r="AC646" s="7">
        <f ca="1">MAX(0,Log_2018[[#This Row],[Split_apply]] - (EDATE(AA$1,1)-Log_2018[[#This Row],[Date]]))</f>
        <v>0</v>
      </c>
    </row>
    <row r="647" spans="1:29" hidden="1" x14ac:dyDescent="0.25">
      <c r="A647" s="115"/>
      <c r="B647" t="s">
        <v>191</v>
      </c>
      <c r="D647" s="39">
        <v>43157</v>
      </c>
      <c r="E647" t="s">
        <v>753</v>
      </c>
      <c r="F647" t="s">
        <v>177</v>
      </c>
      <c r="G647" t="s">
        <v>80</v>
      </c>
      <c r="H647" s="3">
        <f>--2280</f>
        <v>2280</v>
      </c>
      <c r="I647" s="36">
        <f>IF(Log_2018[[#This Row],[My Category]]="NONTRACKED",0,Log_2018[[#This Row],[Raw Amount]])</f>
        <v>2280</v>
      </c>
      <c r="J647" s="17">
        <f>ABS(Log_2018[[#This Row],[Amount]])</f>
        <v>2280</v>
      </c>
      <c r="K647" s="66">
        <v>30</v>
      </c>
      <c r="L647" s="66">
        <f ca="1">IF(Log_2018[[#This Row],[Date]]&lt;=TODAY(), MIN(Log_2018[[#This Row],[Split_raw]], TODAY()-Log_2018[[#This Row],[Date]]+1), 0)</f>
        <v>30</v>
      </c>
      <c r="M647" t="s">
        <v>28</v>
      </c>
      <c r="N647" t="s">
        <v>160</v>
      </c>
      <c r="O647" s="50">
        <v>0</v>
      </c>
      <c r="P647" s="52">
        <f ca="1">Log_2018[[#This Row],[Amount]]/Log_2018[[#This Row],[Split_raw]]*MAX(0,MIN(_xlfn.DAYS(EDATE(P$1,1),Log_2018[[#This Row],[Date]]),Log_2018[[#This Row],[Split_apply]])) - SUM($O647:O647)</f>
        <v>0</v>
      </c>
      <c r="Q647" s="52">
        <f ca="1">Log_2018[[#This Row],[Amount]]/Log_2018[[#This Row],[Split_raw]]*MAX(0,MIN(_xlfn.DAYS(EDATE(Q$1,1),Log_2018[[#This Row],[Date]]),Log_2018[[#This Row],[Split_apply]])) - SUM($O647:P647)</f>
        <v>228</v>
      </c>
      <c r="R647" s="52">
        <f ca="1">Log_2018[[#This Row],[Amount]]/Log_2018[[#This Row],[Split_raw]]*MAX(0,MIN(_xlfn.DAYS(EDATE(R$1,1),Log_2018[[#This Row],[Date]]),Log_2018[[#This Row],[Split_apply]])) - SUM($O647:Q647)</f>
        <v>2052</v>
      </c>
      <c r="S647" s="52">
        <f ca="1">Log_2018[[#This Row],[Amount]]/Log_2018[[#This Row],[Split_raw]]*MAX(0,MIN(_xlfn.DAYS(EDATE(S$1,1),Log_2018[[#This Row],[Date]]),Log_2018[[#This Row],[Split_apply]])) - SUM($O647:R647)</f>
        <v>0</v>
      </c>
      <c r="T647" s="52">
        <f ca="1">Log_2018[[#This Row],[Amount]]/Log_2018[[#This Row],[Split_raw]]*MAX(0,MIN(_xlfn.DAYS(EDATE(T$1,1),Log_2018[[#This Row],[Date]]),Log_2018[[#This Row],[Split_apply]])) - SUM($O647:S647)</f>
        <v>0</v>
      </c>
      <c r="U647" s="52">
        <f ca="1">Log_2018[[#This Row],[Amount]]/Log_2018[[#This Row],[Split_raw]]*MAX(0,MIN(_xlfn.DAYS(EDATE(U$1,1),Log_2018[[#This Row],[Date]]),Log_2018[[#This Row],[Split_apply]])) - SUM($O647:T647)</f>
        <v>0</v>
      </c>
      <c r="V647" s="52">
        <f ca="1">Log_2018[[#This Row],[Amount]]/Log_2018[[#This Row],[Split_raw]]*MAX(0,MIN(_xlfn.DAYS(EDATE(V$1,1),Log_2018[[#This Row],[Date]]),Log_2018[[#This Row],[Split_apply]])) - SUM($O647:U647)</f>
        <v>0</v>
      </c>
      <c r="W647" s="52">
        <f ca="1">Log_2018[[#This Row],[Amount]]/Log_2018[[#This Row],[Split_raw]]*MAX(0,MIN(_xlfn.DAYS(EDATE(W$1,1),Log_2018[[#This Row],[Date]]),Log_2018[[#This Row],[Split_apply]])) - SUM($O647:V647)</f>
        <v>0</v>
      </c>
      <c r="X647" s="52">
        <f ca="1">Log_2018[[#This Row],[Amount]]/Log_2018[[#This Row],[Split_raw]]*MAX(0,MIN(_xlfn.DAYS(EDATE(X$1,1),Log_2018[[#This Row],[Date]]),Log_2018[[#This Row],[Split_apply]])) - SUM($O647:W647)</f>
        <v>0</v>
      </c>
      <c r="Y647" s="52">
        <f ca="1">Log_2018[[#This Row],[Amount]]/Log_2018[[#This Row],[Split_raw]]*MAX(0,MIN(_xlfn.DAYS(EDATE(Y$1,1),Log_2018[[#This Row],[Date]]),Log_2018[[#This Row],[Split_apply]])) - SUM($O647:X647)</f>
        <v>0</v>
      </c>
      <c r="Z647" s="52">
        <f ca="1">Log_2018[[#This Row],[Amount]]/Log_2018[[#This Row],[Split_raw]]*MAX(0,MIN(_xlfn.DAYS(EDATE(Z$1,1),Log_2018[[#This Row],[Date]]),Log_2018[[#This Row],[Split_apply]])) - SUM($O647:Y647)</f>
        <v>0</v>
      </c>
      <c r="AA647" s="52">
        <f ca="1">Log_2018[[#This Row],[Amount]]/Log_2018[[#This Row],[Split_raw]]*MAX(0,MIN(_xlfn.DAYS(EDATE(AA$1,1),Log_2018[[#This Row],[Date]]),Log_2018[[#This Row],[Split_apply]])) - SUM($O647:Z647)</f>
        <v>0</v>
      </c>
      <c r="AB647" s="54">
        <f ca="1">Log_2018[[#This Row],[Amount]]-SUM(O647:AA647)</f>
        <v>0</v>
      </c>
      <c r="AC647" s="7">
        <f ca="1">MAX(0,Log_2018[[#This Row],[Split_apply]] - (EDATE(AA$1,1)-Log_2018[[#This Row],[Date]]))</f>
        <v>0</v>
      </c>
    </row>
    <row r="648" spans="1:29" hidden="1" x14ac:dyDescent="0.25">
      <c r="A648" s="115"/>
      <c r="B648" t="s">
        <v>6</v>
      </c>
      <c r="D648" s="39">
        <v>43157</v>
      </c>
      <c r="F648" t="s">
        <v>62</v>
      </c>
      <c r="G648" t="s">
        <v>12</v>
      </c>
      <c r="H648" s="3">
        <v>-87.18</v>
      </c>
      <c r="I648" s="36">
        <f>IF(Log_2018[[#This Row],[My Category]]="NONTRACKED",0,Log_2018[[#This Row],[Raw Amount]])</f>
        <v>-87.18</v>
      </c>
      <c r="J648" s="17">
        <f>ABS(Log_2018[[#This Row],[Amount]])</f>
        <v>87.18</v>
      </c>
      <c r="K648" s="66">
        <v>1</v>
      </c>
      <c r="L648" s="66">
        <f ca="1">IF(Log_2018[[#This Row],[Date]]&lt;=TODAY(), MIN(Log_2018[[#This Row],[Split_raw]], TODAY()-Log_2018[[#This Row],[Date]]+1), 0)</f>
        <v>1</v>
      </c>
      <c r="M648" t="s">
        <v>12</v>
      </c>
      <c r="N648" t="s">
        <v>158</v>
      </c>
      <c r="O648" s="50">
        <v>0</v>
      </c>
      <c r="P648" s="52">
        <f ca="1">Log_2018[[#This Row],[Amount]]/Log_2018[[#This Row],[Split_raw]]*MAX(0,MIN(_xlfn.DAYS(EDATE(P$1,1),Log_2018[[#This Row],[Date]]),Log_2018[[#This Row],[Split_apply]])) - SUM($O648:O648)</f>
        <v>0</v>
      </c>
      <c r="Q648" s="52">
        <f ca="1">Log_2018[[#This Row],[Amount]]/Log_2018[[#This Row],[Split_raw]]*MAX(0,MIN(_xlfn.DAYS(EDATE(Q$1,1),Log_2018[[#This Row],[Date]]),Log_2018[[#This Row],[Split_apply]])) - SUM($O648:P648)</f>
        <v>-87.18</v>
      </c>
      <c r="R648" s="52">
        <f ca="1">Log_2018[[#This Row],[Amount]]/Log_2018[[#This Row],[Split_raw]]*MAX(0,MIN(_xlfn.DAYS(EDATE(R$1,1),Log_2018[[#This Row],[Date]]),Log_2018[[#This Row],[Split_apply]])) - SUM($O648:Q648)</f>
        <v>0</v>
      </c>
      <c r="S648" s="52">
        <f ca="1">Log_2018[[#This Row],[Amount]]/Log_2018[[#This Row],[Split_raw]]*MAX(0,MIN(_xlfn.DAYS(EDATE(S$1,1),Log_2018[[#This Row],[Date]]),Log_2018[[#This Row],[Split_apply]])) - SUM($O648:R648)</f>
        <v>0</v>
      </c>
      <c r="T648" s="52">
        <f ca="1">Log_2018[[#This Row],[Amount]]/Log_2018[[#This Row],[Split_raw]]*MAX(0,MIN(_xlfn.DAYS(EDATE(T$1,1),Log_2018[[#This Row],[Date]]),Log_2018[[#This Row],[Split_apply]])) - SUM($O648:S648)</f>
        <v>0</v>
      </c>
      <c r="U648" s="52">
        <f ca="1">Log_2018[[#This Row],[Amount]]/Log_2018[[#This Row],[Split_raw]]*MAX(0,MIN(_xlfn.DAYS(EDATE(U$1,1),Log_2018[[#This Row],[Date]]),Log_2018[[#This Row],[Split_apply]])) - SUM($O648:T648)</f>
        <v>0</v>
      </c>
      <c r="V648" s="52">
        <f ca="1">Log_2018[[#This Row],[Amount]]/Log_2018[[#This Row],[Split_raw]]*MAX(0,MIN(_xlfn.DAYS(EDATE(V$1,1),Log_2018[[#This Row],[Date]]),Log_2018[[#This Row],[Split_apply]])) - SUM($O648:U648)</f>
        <v>0</v>
      </c>
      <c r="W648" s="52">
        <f ca="1">Log_2018[[#This Row],[Amount]]/Log_2018[[#This Row],[Split_raw]]*MAX(0,MIN(_xlfn.DAYS(EDATE(W$1,1),Log_2018[[#This Row],[Date]]),Log_2018[[#This Row],[Split_apply]])) - SUM($O648:V648)</f>
        <v>0</v>
      </c>
      <c r="X648" s="52">
        <f ca="1">Log_2018[[#This Row],[Amount]]/Log_2018[[#This Row],[Split_raw]]*MAX(0,MIN(_xlfn.DAYS(EDATE(X$1,1),Log_2018[[#This Row],[Date]]),Log_2018[[#This Row],[Split_apply]])) - SUM($O648:W648)</f>
        <v>0</v>
      </c>
      <c r="Y648" s="52">
        <f ca="1">Log_2018[[#This Row],[Amount]]/Log_2018[[#This Row],[Split_raw]]*MAX(0,MIN(_xlfn.DAYS(EDATE(Y$1,1),Log_2018[[#This Row],[Date]]),Log_2018[[#This Row],[Split_apply]])) - SUM($O648:X648)</f>
        <v>0</v>
      </c>
      <c r="Z648" s="52">
        <f ca="1">Log_2018[[#This Row],[Amount]]/Log_2018[[#This Row],[Split_raw]]*MAX(0,MIN(_xlfn.DAYS(EDATE(Z$1,1),Log_2018[[#This Row],[Date]]),Log_2018[[#This Row],[Split_apply]])) - SUM($O648:Y648)</f>
        <v>0</v>
      </c>
      <c r="AA648" s="52">
        <f ca="1">Log_2018[[#This Row],[Amount]]/Log_2018[[#This Row],[Split_raw]]*MAX(0,MIN(_xlfn.DAYS(EDATE(AA$1,1),Log_2018[[#This Row],[Date]]),Log_2018[[#This Row],[Split_apply]])) - SUM($O648:Z648)</f>
        <v>0</v>
      </c>
      <c r="AB648" s="54">
        <f ca="1">Log_2018[[#This Row],[Amount]]-SUM(O648:AA648)</f>
        <v>0</v>
      </c>
      <c r="AC648" s="7">
        <f ca="1">MAX(0,Log_2018[[#This Row],[Split_apply]] - (EDATE(AA$1,1)-Log_2018[[#This Row],[Date]]))</f>
        <v>0</v>
      </c>
    </row>
    <row r="649" spans="1:29" hidden="1" x14ac:dyDescent="0.25">
      <c r="A649" s="115"/>
      <c r="B649" t="s">
        <v>6</v>
      </c>
      <c r="D649" s="39">
        <v>43157</v>
      </c>
      <c r="F649" t="s">
        <v>60</v>
      </c>
      <c r="G649" t="s">
        <v>25</v>
      </c>
      <c r="H649" s="3">
        <v>-6.87</v>
      </c>
      <c r="I649" s="36">
        <f>IF(Log_2018[[#This Row],[My Category]]="NONTRACKED",0,Log_2018[[#This Row],[Raw Amount]])</f>
        <v>-6.87</v>
      </c>
      <c r="J649" s="17">
        <f>ABS(Log_2018[[#This Row],[Amount]])</f>
        <v>6.87</v>
      </c>
      <c r="K649" s="66">
        <v>1</v>
      </c>
      <c r="L649" s="66">
        <f ca="1">IF(Log_2018[[#This Row],[Date]]&lt;=TODAY(), MIN(Log_2018[[#This Row],[Split_raw]], TODAY()-Log_2018[[#This Row],[Date]]+1), 0)</f>
        <v>1</v>
      </c>
      <c r="M649" t="s">
        <v>35</v>
      </c>
      <c r="N649" t="s">
        <v>158</v>
      </c>
      <c r="O649" s="50">
        <v>0</v>
      </c>
      <c r="P649" s="52">
        <f ca="1">Log_2018[[#This Row],[Amount]]/Log_2018[[#This Row],[Split_raw]]*MAX(0,MIN(_xlfn.DAYS(EDATE(P$1,1),Log_2018[[#This Row],[Date]]),Log_2018[[#This Row],[Split_apply]])) - SUM($O649:O649)</f>
        <v>0</v>
      </c>
      <c r="Q649" s="52">
        <f ca="1">Log_2018[[#This Row],[Amount]]/Log_2018[[#This Row],[Split_raw]]*MAX(0,MIN(_xlfn.DAYS(EDATE(Q$1,1),Log_2018[[#This Row],[Date]]),Log_2018[[#This Row],[Split_apply]])) - SUM($O649:P649)</f>
        <v>-6.87</v>
      </c>
      <c r="R649" s="52">
        <f ca="1">Log_2018[[#This Row],[Amount]]/Log_2018[[#This Row],[Split_raw]]*MAX(0,MIN(_xlfn.DAYS(EDATE(R$1,1),Log_2018[[#This Row],[Date]]),Log_2018[[#This Row],[Split_apply]])) - SUM($O649:Q649)</f>
        <v>0</v>
      </c>
      <c r="S649" s="52">
        <f ca="1">Log_2018[[#This Row],[Amount]]/Log_2018[[#This Row],[Split_raw]]*MAX(0,MIN(_xlfn.DAYS(EDATE(S$1,1),Log_2018[[#This Row],[Date]]),Log_2018[[#This Row],[Split_apply]])) - SUM($O649:R649)</f>
        <v>0</v>
      </c>
      <c r="T649" s="52">
        <f ca="1">Log_2018[[#This Row],[Amount]]/Log_2018[[#This Row],[Split_raw]]*MAX(0,MIN(_xlfn.DAYS(EDATE(T$1,1),Log_2018[[#This Row],[Date]]),Log_2018[[#This Row],[Split_apply]])) - SUM($O649:S649)</f>
        <v>0</v>
      </c>
      <c r="U649" s="52">
        <f ca="1">Log_2018[[#This Row],[Amount]]/Log_2018[[#This Row],[Split_raw]]*MAX(0,MIN(_xlfn.DAYS(EDATE(U$1,1),Log_2018[[#This Row],[Date]]),Log_2018[[#This Row],[Split_apply]])) - SUM($O649:T649)</f>
        <v>0</v>
      </c>
      <c r="V649" s="52">
        <f ca="1">Log_2018[[#This Row],[Amount]]/Log_2018[[#This Row],[Split_raw]]*MAX(0,MIN(_xlfn.DAYS(EDATE(V$1,1),Log_2018[[#This Row],[Date]]),Log_2018[[#This Row],[Split_apply]])) - SUM($O649:U649)</f>
        <v>0</v>
      </c>
      <c r="W649" s="52">
        <f ca="1">Log_2018[[#This Row],[Amount]]/Log_2018[[#This Row],[Split_raw]]*MAX(0,MIN(_xlfn.DAYS(EDATE(W$1,1),Log_2018[[#This Row],[Date]]),Log_2018[[#This Row],[Split_apply]])) - SUM($O649:V649)</f>
        <v>0</v>
      </c>
      <c r="X649" s="52">
        <f ca="1">Log_2018[[#This Row],[Amount]]/Log_2018[[#This Row],[Split_raw]]*MAX(0,MIN(_xlfn.DAYS(EDATE(X$1,1),Log_2018[[#This Row],[Date]]),Log_2018[[#This Row],[Split_apply]])) - SUM($O649:W649)</f>
        <v>0</v>
      </c>
      <c r="Y649" s="52">
        <f ca="1">Log_2018[[#This Row],[Amount]]/Log_2018[[#This Row],[Split_raw]]*MAX(0,MIN(_xlfn.DAYS(EDATE(Y$1,1),Log_2018[[#This Row],[Date]]),Log_2018[[#This Row],[Split_apply]])) - SUM($O649:X649)</f>
        <v>0</v>
      </c>
      <c r="Z649" s="52">
        <f ca="1">Log_2018[[#This Row],[Amount]]/Log_2018[[#This Row],[Split_raw]]*MAX(0,MIN(_xlfn.DAYS(EDATE(Z$1,1),Log_2018[[#This Row],[Date]]),Log_2018[[#This Row],[Split_apply]])) - SUM($O649:Y649)</f>
        <v>0</v>
      </c>
      <c r="AA649" s="52">
        <f ca="1">Log_2018[[#This Row],[Amount]]/Log_2018[[#This Row],[Split_raw]]*MAX(0,MIN(_xlfn.DAYS(EDATE(AA$1,1),Log_2018[[#This Row],[Date]]),Log_2018[[#This Row],[Split_apply]])) - SUM($O649:Z649)</f>
        <v>0</v>
      </c>
      <c r="AB649" s="54">
        <f ca="1">Log_2018[[#This Row],[Amount]]-SUM(O649:AA649)</f>
        <v>0</v>
      </c>
      <c r="AC649" s="7">
        <f ca="1">MAX(0,Log_2018[[#This Row],[Split_apply]] - (EDATE(AA$1,1)-Log_2018[[#This Row],[Date]]))</f>
        <v>0</v>
      </c>
    </row>
    <row r="650" spans="1:29" hidden="1" x14ac:dyDescent="0.25">
      <c r="A650" s="115"/>
      <c r="B650" t="s">
        <v>6</v>
      </c>
      <c r="D650" s="39">
        <v>43157</v>
      </c>
      <c r="F650" t="s">
        <v>61</v>
      </c>
      <c r="G650" t="s">
        <v>114</v>
      </c>
      <c r="H650" s="3">
        <v>-2280</v>
      </c>
      <c r="I650" s="36">
        <f>IF(Log_2018[[#This Row],[My Category]]="NONTRACKED",0,Log_2018[[#This Row],[Raw Amount]])</f>
        <v>-2280</v>
      </c>
      <c r="J650" s="17">
        <f>ABS(Log_2018[[#This Row],[Amount]])</f>
        <v>2280</v>
      </c>
      <c r="K650" s="66">
        <v>30</v>
      </c>
      <c r="L650" s="66">
        <f ca="1">IF(Log_2018[[#This Row],[Date]]&lt;=TODAY(), MIN(Log_2018[[#This Row],[Split_raw]], TODAY()-Log_2018[[#This Row],[Date]]+1), 0)</f>
        <v>30</v>
      </c>
      <c r="M650" t="s">
        <v>28</v>
      </c>
      <c r="N650" t="s">
        <v>158</v>
      </c>
      <c r="O650" s="50">
        <v>0</v>
      </c>
      <c r="P650" s="52">
        <f ca="1">Log_2018[[#This Row],[Amount]]/Log_2018[[#This Row],[Split_raw]]*MAX(0,MIN(_xlfn.DAYS(EDATE(P$1,1),Log_2018[[#This Row],[Date]]),Log_2018[[#This Row],[Split_apply]])) - SUM($O650:O650)</f>
        <v>0</v>
      </c>
      <c r="Q650" s="52">
        <f ca="1">Log_2018[[#This Row],[Amount]]/Log_2018[[#This Row],[Split_raw]]*MAX(0,MIN(_xlfn.DAYS(EDATE(Q$1,1),Log_2018[[#This Row],[Date]]),Log_2018[[#This Row],[Split_apply]])) - SUM($O650:P650)</f>
        <v>-228</v>
      </c>
      <c r="R650" s="52">
        <f ca="1">Log_2018[[#This Row],[Amount]]/Log_2018[[#This Row],[Split_raw]]*MAX(0,MIN(_xlfn.DAYS(EDATE(R$1,1),Log_2018[[#This Row],[Date]]),Log_2018[[#This Row],[Split_apply]])) - SUM($O650:Q650)</f>
        <v>-2052</v>
      </c>
      <c r="S650" s="52">
        <f ca="1">Log_2018[[#This Row],[Amount]]/Log_2018[[#This Row],[Split_raw]]*MAX(0,MIN(_xlfn.DAYS(EDATE(S$1,1),Log_2018[[#This Row],[Date]]),Log_2018[[#This Row],[Split_apply]])) - SUM($O650:R650)</f>
        <v>0</v>
      </c>
      <c r="T650" s="52">
        <f ca="1">Log_2018[[#This Row],[Amount]]/Log_2018[[#This Row],[Split_raw]]*MAX(0,MIN(_xlfn.DAYS(EDATE(T$1,1),Log_2018[[#This Row],[Date]]),Log_2018[[#This Row],[Split_apply]])) - SUM($O650:S650)</f>
        <v>0</v>
      </c>
      <c r="U650" s="52">
        <f ca="1">Log_2018[[#This Row],[Amount]]/Log_2018[[#This Row],[Split_raw]]*MAX(0,MIN(_xlfn.DAYS(EDATE(U$1,1),Log_2018[[#This Row],[Date]]),Log_2018[[#This Row],[Split_apply]])) - SUM($O650:T650)</f>
        <v>0</v>
      </c>
      <c r="V650" s="52">
        <f ca="1">Log_2018[[#This Row],[Amount]]/Log_2018[[#This Row],[Split_raw]]*MAX(0,MIN(_xlfn.DAYS(EDATE(V$1,1),Log_2018[[#This Row],[Date]]),Log_2018[[#This Row],[Split_apply]])) - SUM($O650:U650)</f>
        <v>0</v>
      </c>
      <c r="W650" s="52">
        <f ca="1">Log_2018[[#This Row],[Amount]]/Log_2018[[#This Row],[Split_raw]]*MAX(0,MIN(_xlfn.DAYS(EDATE(W$1,1),Log_2018[[#This Row],[Date]]),Log_2018[[#This Row],[Split_apply]])) - SUM($O650:V650)</f>
        <v>0</v>
      </c>
      <c r="X650" s="52">
        <f ca="1">Log_2018[[#This Row],[Amount]]/Log_2018[[#This Row],[Split_raw]]*MAX(0,MIN(_xlfn.DAYS(EDATE(X$1,1),Log_2018[[#This Row],[Date]]),Log_2018[[#This Row],[Split_apply]])) - SUM($O650:W650)</f>
        <v>0</v>
      </c>
      <c r="Y650" s="52">
        <f ca="1">Log_2018[[#This Row],[Amount]]/Log_2018[[#This Row],[Split_raw]]*MAX(0,MIN(_xlfn.DAYS(EDATE(Y$1,1),Log_2018[[#This Row],[Date]]),Log_2018[[#This Row],[Split_apply]])) - SUM($O650:X650)</f>
        <v>0</v>
      </c>
      <c r="Z650" s="52">
        <f ca="1">Log_2018[[#This Row],[Amount]]/Log_2018[[#This Row],[Split_raw]]*MAX(0,MIN(_xlfn.DAYS(EDATE(Z$1,1),Log_2018[[#This Row],[Date]]),Log_2018[[#This Row],[Split_apply]])) - SUM($O650:Y650)</f>
        <v>0</v>
      </c>
      <c r="AA650" s="52">
        <f ca="1">Log_2018[[#This Row],[Amount]]/Log_2018[[#This Row],[Split_raw]]*MAX(0,MIN(_xlfn.DAYS(EDATE(AA$1,1),Log_2018[[#This Row],[Date]]),Log_2018[[#This Row],[Split_apply]])) - SUM($O650:Z650)</f>
        <v>0</v>
      </c>
      <c r="AB650" s="54">
        <f ca="1">Log_2018[[#This Row],[Amount]]-SUM(O650:AA650)</f>
        <v>0</v>
      </c>
      <c r="AC650" s="7">
        <f ca="1">MAX(0,Log_2018[[#This Row],[Split_apply]] - (EDATE(AA$1,1)-Log_2018[[#This Row],[Date]]))</f>
        <v>0</v>
      </c>
    </row>
    <row r="651" spans="1:29" hidden="1" x14ac:dyDescent="0.25">
      <c r="A651" s="115"/>
      <c r="B651" t="s">
        <v>6</v>
      </c>
      <c r="D651" s="39">
        <v>43157</v>
      </c>
      <c r="F651" t="s">
        <v>77</v>
      </c>
      <c r="G651" t="s">
        <v>12</v>
      </c>
      <c r="H651" s="3">
        <v>-1102.25</v>
      </c>
      <c r="I651" s="36">
        <f>IF(Log_2018[[#This Row],[My Category]]="NONTRACKED",0,Log_2018[[#This Row],[Raw Amount]])</f>
        <v>-1102.25</v>
      </c>
      <c r="J651" s="17">
        <f>ABS(Log_2018[[#This Row],[Amount]])</f>
        <v>1102.25</v>
      </c>
      <c r="K651" s="66">
        <v>30</v>
      </c>
      <c r="L651" s="66">
        <f ca="1">IF(Log_2018[[#This Row],[Date]]&lt;=TODAY(), MIN(Log_2018[[#This Row],[Split_raw]], TODAY()-Log_2018[[#This Row],[Date]]+1), 0)</f>
        <v>30</v>
      </c>
      <c r="M651" t="s">
        <v>28</v>
      </c>
      <c r="N651" t="s">
        <v>160</v>
      </c>
      <c r="O651" s="50">
        <v>0</v>
      </c>
      <c r="P651" s="52">
        <f ca="1">Log_2018[[#This Row],[Amount]]/Log_2018[[#This Row],[Split_raw]]*MAX(0,MIN(_xlfn.DAYS(EDATE(P$1,1),Log_2018[[#This Row],[Date]]),Log_2018[[#This Row],[Split_apply]])) - SUM($O651:O651)</f>
        <v>0</v>
      </c>
      <c r="Q651" s="52">
        <f ca="1">Log_2018[[#This Row],[Amount]]/Log_2018[[#This Row],[Split_raw]]*MAX(0,MIN(_xlfn.DAYS(EDATE(Q$1,1),Log_2018[[#This Row],[Date]]),Log_2018[[#This Row],[Split_apply]])) - SUM($O651:P651)</f>
        <v>-110.22499999999999</v>
      </c>
      <c r="R651" s="52">
        <f ca="1">Log_2018[[#This Row],[Amount]]/Log_2018[[#This Row],[Split_raw]]*MAX(0,MIN(_xlfn.DAYS(EDATE(R$1,1),Log_2018[[#This Row],[Date]]),Log_2018[[#This Row],[Split_apply]])) - SUM($O651:Q651)</f>
        <v>-992.02499999999998</v>
      </c>
      <c r="S651" s="52">
        <f ca="1">Log_2018[[#This Row],[Amount]]/Log_2018[[#This Row],[Split_raw]]*MAX(0,MIN(_xlfn.DAYS(EDATE(S$1,1),Log_2018[[#This Row],[Date]]),Log_2018[[#This Row],[Split_apply]])) - SUM($O651:R651)</f>
        <v>0</v>
      </c>
      <c r="T651" s="52">
        <f ca="1">Log_2018[[#This Row],[Amount]]/Log_2018[[#This Row],[Split_raw]]*MAX(0,MIN(_xlfn.DAYS(EDATE(T$1,1),Log_2018[[#This Row],[Date]]),Log_2018[[#This Row],[Split_apply]])) - SUM($O651:S651)</f>
        <v>0</v>
      </c>
      <c r="U651" s="52">
        <f ca="1">Log_2018[[#This Row],[Amount]]/Log_2018[[#This Row],[Split_raw]]*MAX(0,MIN(_xlfn.DAYS(EDATE(U$1,1),Log_2018[[#This Row],[Date]]),Log_2018[[#This Row],[Split_apply]])) - SUM($O651:T651)</f>
        <v>0</v>
      </c>
      <c r="V651" s="52">
        <f ca="1">Log_2018[[#This Row],[Amount]]/Log_2018[[#This Row],[Split_raw]]*MAX(0,MIN(_xlfn.DAYS(EDATE(V$1,1),Log_2018[[#This Row],[Date]]),Log_2018[[#This Row],[Split_apply]])) - SUM($O651:U651)</f>
        <v>0</v>
      </c>
      <c r="W651" s="52">
        <f ca="1">Log_2018[[#This Row],[Amount]]/Log_2018[[#This Row],[Split_raw]]*MAX(0,MIN(_xlfn.DAYS(EDATE(W$1,1),Log_2018[[#This Row],[Date]]),Log_2018[[#This Row],[Split_apply]])) - SUM($O651:V651)</f>
        <v>0</v>
      </c>
      <c r="X651" s="52">
        <f ca="1">Log_2018[[#This Row],[Amount]]/Log_2018[[#This Row],[Split_raw]]*MAX(0,MIN(_xlfn.DAYS(EDATE(X$1,1),Log_2018[[#This Row],[Date]]),Log_2018[[#This Row],[Split_apply]])) - SUM($O651:W651)</f>
        <v>0</v>
      </c>
      <c r="Y651" s="52">
        <f ca="1">Log_2018[[#This Row],[Amount]]/Log_2018[[#This Row],[Split_raw]]*MAX(0,MIN(_xlfn.DAYS(EDATE(Y$1,1),Log_2018[[#This Row],[Date]]),Log_2018[[#This Row],[Split_apply]])) - SUM($O651:X651)</f>
        <v>0</v>
      </c>
      <c r="Z651" s="52">
        <f ca="1">Log_2018[[#This Row],[Amount]]/Log_2018[[#This Row],[Split_raw]]*MAX(0,MIN(_xlfn.DAYS(EDATE(Z$1,1),Log_2018[[#This Row],[Date]]),Log_2018[[#This Row],[Split_apply]])) - SUM($O651:Y651)</f>
        <v>0</v>
      </c>
      <c r="AA651" s="52">
        <f ca="1">Log_2018[[#This Row],[Amount]]/Log_2018[[#This Row],[Split_raw]]*MAX(0,MIN(_xlfn.DAYS(EDATE(AA$1,1),Log_2018[[#This Row],[Date]]),Log_2018[[#This Row],[Split_apply]])) - SUM($O651:Z651)</f>
        <v>0</v>
      </c>
      <c r="AB651" s="54">
        <f ca="1">Log_2018[[#This Row],[Amount]]-SUM(O651:AA651)</f>
        <v>0</v>
      </c>
      <c r="AC651" s="7">
        <f ca="1">MAX(0,Log_2018[[#This Row],[Split_apply]] - (EDATE(AA$1,1)-Log_2018[[#This Row],[Date]]))</f>
        <v>0</v>
      </c>
    </row>
    <row r="652" spans="1:29" hidden="1" x14ac:dyDescent="0.25">
      <c r="A652" s="115"/>
      <c r="B652" t="s">
        <v>6</v>
      </c>
      <c r="D652" s="39">
        <v>43157</v>
      </c>
      <c r="F652" t="s">
        <v>142</v>
      </c>
      <c r="G652" t="s">
        <v>143</v>
      </c>
      <c r="H652" s="3">
        <v>2000</v>
      </c>
      <c r="I652" s="36">
        <f>IF(Log_2018[[#This Row],[My Category]]="NONTRACKED",0,Log_2018[[#This Row],[Raw Amount]])</f>
        <v>2000</v>
      </c>
      <c r="J652" s="17">
        <f>ABS(Log_2018[[#This Row],[Amount]])</f>
        <v>2000</v>
      </c>
      <c r="K652" s="66">
        <v>1</v>
      </c>
      <c r="L652" s="66">
        <f ca="1">IF(Log_2018[[#This Row],[Date]]&lt;=TODAY(), MIN(Log_2018[[#This Row],[Split_raw]], TODAY()-Log_2018[[#This Row],[Date]]+1), 0)</f>
        <v>1</v>
      </c>
      <c r="M652" t="s">
        <v>101</v>
      </c>
      <c r="N652" t="s">
        <v>160</v>
      </c>
      <c r="O652" s="50">
        <v>0</v>
      </c>
      <c r="P652" s="52">
        <f ca="1">Log_2018[[#This Row],[Amount]]/Log_2018[[#This Row],[Split_raw]]*MAX(0,MIN(_xlfn.DAYS(EDATE(P$1,1),Log_2018[[#This Row],[Date]]),Log_2018[[#This Row],[Split_apply]])) - SUM($O652:O652)</f>
        <v>0</v>
      </c>
      <c r="Q652" s="52">
        <f ca="1">Log_2018[[#This Row],[Amount]]/Log_2018[[#This Row],[Split_raw]]*MAX(0,MIN(_xlfn.DAYS(EDATE(Q$1,1),Log_2018[[#This Row],[Date]]),Log_2018[[#This Row],[Split_apply]])) - SUM($O652:P652)</f>
        <v>2000</v>
      </c>
      <c r="R652" s="52">
        <f ca="1">Log_2018[[#This Row],[Amount]]/Log_2018[[#This Row],[Split_raw]]*MAX(0,MIN(_xlfn.DAYS(EDATE(R$1,1),Log_2018[[#This Row],[Date]]),Log_2018[[#This Row],[Split_apply]])) - SUM($O652:Q652)</f>
        <v>0</v>
      </c>
      <c r="S652" s="52">
        <f ca="1">Log_2018[[#This Row],[Amount]]/Log_2018[[#This Row],[Split_raw]]*MAX(0,MIN(_xlfn.DAYS(EDATE(S$1,1),Log_2018[[#This Row],[Date]]),Log_2018[[#This Row],[Split_apply]])) - SUM($O652:R652)</f>
        <v>0</v>
      </c>
      <c r="T652" s="52">
        <f ca="1">Log_2018[[#This Row],[Amount]]/Log_2018[[#This Row],[Split_raw]]*MAX(0,MIN(_xlfn.DAYS(EDATE(T$1,1),Log_2018[[#This Row],[Date]]),Log_2018[[#This Row],[Split_apply]])) - SUM($O652:S652)</f>
        <v>0</v>
      </c>
      <c r="U652" s="52">
        <f ca="1">Log_2018[[#This Row],[Amount]]/Log_2018[[#This Row],[Split_raw]]*MAX(0,MIN(_xlfn.DAYS(EDATE(U$1,1),Log_2018[[#This Row],[Date]]),Log_2018[[#This Row],[Split_apply]])) - SUM($O652:T652)</f>
        <v>0</v>
      </c>
      <c r="V652" s="52">
        <f ca="1">Log_2018[[#This Row],[Amount]]/Log_2018[[#This Row],[Split_raw]]*MAX(0,MIN(_xlfn.DAYS(EDATE(V$1,1),Log_2018[[#This Row],[Date]]),Log_2018[[#This Row],[Split_apply]])) - SUM($O652:U652)</f>
        <v>0</v>
      </c>
      <c r="W652" s="52">
        <f ca="1">Log_2018[[#This Row],[Amount]]/Log_2018[[#This Row],[Split_raw]]*MAX(0,MIN(_xlfn.DAYS(EDATE(W$1,1),Log_2018[[#This Row],[Date]]),Log_2018[[#This Row],[Split_apply]])) - SUM($O652:V652)</f>
        <v>0</v>
      </c>
      <c r="X652" s="52">
        <f ca="1">Log_2018[[#This Row],[Amount]]/Log_2018[[#This Row],[Split_raw]]*MAX(0,MIN(_xlfn.DAYS(EDATE(X$1,1),Log_2018[[#This Row],[Date]]),Log_2018[[#This Row],[Split_apply]])) - SUM($O652:W652)</f>
        <v>0</v>
      </c>
      <c r="Y652" s="52">
        <f ca="1">Log_2018[[#This Row],[Amount]]/Log_2018[[#This Row],[Split_raw]]*MAX(0,MIN(_xlfn.DAYS(EDATE(Y$1,1),Log_2018[[#This Row],[Date]]),Log_2018[[#This Row],[Split_apply]])) - SUM($O652:X652)</f>
        <v>0</v>
      </c>
      <c r="Z652" s="52">
        <f ca="1">Log_2018[[#This Row],[Amount]]/Log_2018[[#This Row],[Split_raw]]*MAX(0,MIN(_xlfn.DAYS(EDATE(Z$1,1),Log_2018[[#This Row],[Date]]),Log_2018[[#This Row],[Split_apply]])) - SUM($O652:Y652)</f>
        <v>0</v>
      </c>
      <c r="AA652" s="52">
        <f ca="1">Log_2018[[#This Row],[Amount]]/Log_2018[[#This Row],[Split_raw]]*MAX(0,MIN(_xlfn.DAYS(EDATE(AA$1,1),Log_2018[[#This Row],[Date]]),Log_2018[[#This Row],[Split_apply]])) - SUM($O652:Z652)</f>
        <v>0</v>
      </c>
      <c r="AB652" s="54">
        <f ca="1">Log_2018[[#This Row],[Amount]]-SUM(O652:AA652)</f>
        <v>0</v>
      </c>
      <c r="AC652" s="7">
        <f ca="1">MAX(0,Log_2018[[#This Row],[Split_apply]] - (EDATE(AA$1,1)-Log_2018[[#This Row],[Date]]))</f>
        <v>0</v>
      </c>
    </row>
    <row r="653" spans="1:29" hidden="1" x14ac:dyDescent="0.25">
      <c r="A653" s="115"/>
      <c r="B653" t="s">
        <v>6</v>
      </c>
      <c r="D653" s="39">
        <v>43155</v>
      </c>
      <c r="E653" t="s">
        <v>166</v>
      </c>
      <c r="F653" t="s">
        <v>63</v>
      </c>
      <c r="G653" t="s">
        <v>28</v>
      </c>
      <c r="H653" s="3">
        <v>-500</v>
      </c>
      <c r="I653" s="36">
        <f>IF(Log_2018[[#This Row],[My Category]]="NONTRACKED",0,Log_2018[[#This Row],[Raw Amount]])</f>
        <v>-500</v>
      </c>
      <c r="J653" s="17">
        <f>ABS(Log_2018[[#This Row],[Amount]])</f>
        <v>500</v>
      </c>
      <c r="K653" s="66">
        <v>1</v>
      </c>
      <c r="L653" s="66">
        <f ca="1">IF(Log_2018[[#This Row],[Date]]&lt;=TODAY(), MIN(Log_2018[[#This Row],[Split_raw]], TODAY()-Log_2018[[#This Row],[Date]]+1), 0)</f>
        <v>1</v>
      </c>
      <c r="M653" t="s">
        <v>28</v>
      </c>
      <c r="N653" t="s">
        <v>158</v>
      </c>
      <c r="O653" s="50">
        <v>0</v>
      </c>
      <c r="P653" s="52">
        <f ca="1">Log_2018[[#This Row],[Amount]]/Log_2018[[#This Row],[Split_raw]]*MAX(0,MIN(_xlfn.DAYS(EDATE(P$1,1),Log_2018[[#This Row],[Date]]),Log_2018[[#This Row],[Split_apply]])) - SUM($O653:O653)</f>
        <v>0</v>
      </c>
      <c r="Q653" s="52">
        <f ca="1">Log_2018[[#This Row],[Amount]]/Log_2018[[#This Row],[Split_raw]]*MAX(0,MIN(_xlfn.DAYS(EDATE(Q$1,1),Log_2018[[#This Row],[Date]]),Log_2018[[#This Row],[Split_apply]])) - SUM($O653:P653)</f>
        <v>-500</v>
      </c>
      <c r="R653" s="52">
        <f ca="1">Log_2018[[#This Row],[Amount]]/Log_2018[[#This Row],[Split_raw]]*MAX(0,MIN(_xlfn.DAYS(EDATE(R$1,1),Log_2018[[#This Row],[Date]]),Log_2018[[#This Row],[Split_apply]])) - SUM($O653:Q653)</f>
        <v>0</v>
      </c>
      <c r="S653" s="52">
        <f ca="1">Log_2018[[#This Row],[Amount]]/Log_2018[[#This Row],[Split_raw]]*MAX(0,MIN(_xlfn.DAYS(EDATE(S$1,1),Log_2018[[#This Row],[Date]]),Log_2018[[#This Row],[Split_apply]])) - SUM($O653:R653)</f>
        <v>0</v>
      </c>
      <c r="T653" s="52">
        <f ca="1">Log_2018[[#This Row],[Amount]]/Log_2018[[#This Row],[Split_raw]]*MAX(0,MIN(_xlfn.DAYS(EDATE(T$1,1),Log_2018[[#This Row],[Date]]),Log_2018[[#This Row],[Split_apply]])) - SUM($O653:S653)</f>
        <v>0</v>
      </c>
      <c r="U653" s="52">
        <f ca="1">Log_2018[[#This Row],[Amount]]/Log_2018[[#This Row],[Split_raw]]*MAX(0,MIN(_xlfn.DAYS(EDATE(U$1,1),Log_2018[[#This Row],[Date]]),Log_2018[[#This Row],[Split_apply]])) - SUM($O653:T653)</f>
        <v>0</v>
      </c>
      <c r="V653" s="52">
        <f ca="1">Log_2018[[#This Row],[Amount]]/Log_2018[[#This Row],[Split_raw]]*MAX(0,MIN(_xlfn.DAYS(EDATE(V$1,1),Log_2018[[#This Row],[Date]]),Log_2018[[#This Row],[Split_apply]])) - SUM($O653:U653)</f>
        <v>0</v>
      </c>
      <c r="W653" s="52">
        <f ca="1">Log_2018[[#This Row],[Amount]]/Log_2018[[#This Row],[Split_raw]]*MAX(0,MIN(_xlfn.DAYS(EDATE(W$1,1),Log_2018[[#This Row],[Date]]),Log_2018[[#This Row],[Split_apply]])) - SUM($O653:V653)</f>
        <v>0</v>
      </c>
      <c r="X653" s="52">
        <f ca="1">Log_2018[[#This Row],[Amount]]/Log_2018[[#This Row],[Split_raw]]*MAX(0,MIN(_xlfn.DAYS(EDATE(X$1,1),Log_2018[[#This Row],[Date]]),Log_2018[[#This Row],[Split_apply]])) - SUM($O653:W653)</f>
        <v>0</v>
      </c>
      <c r="Y653" s="52">
        <f ca="1">Log_2018[[#This Row],[Amount]]/Log_2018[[#This Row],[Split_raw]]*MAX(0,MIN(_xlfn.DAYS(EDATE(Y$1,1),Log_2018[[#This Row],[Date]]),Log_2018[[#This Row],[Split_apply]])) - SUM($O653:X653)</f>
        <v>0</v>
      </c>
      <c r="Z653" s="52">
        <f ca="1">Log_2018[[#This Row],[Amount]]/Log_2018[[#This Row],[Split_raw]]*MAX(0,MIN(_xlfn.DAYS(EDATE(Z$1,1),Log_2018[[#This Row],[Date]]),Log_2018[[#This Row],[Split_apply]])) - SUM($O653:Y653)</f>
        <v>0</v>
      </c>
      <c r="AA653" s="52">
        <f ca="1">Log_2018[[#This Row],[Amount]]/Log_2018[[#This Row],[Split_raw]]*MAX(0,MIN(_xlfn.DAYS(EDATE(AA$1,1),Log_2018[[#This Row],[Date]]),Log_2018[[#This Row],[Split_apply]])) - SUM($O653:Z653)</f>
        <v>0</v>
      </c>
      <c r="AB653" s="54">
        <f ca="1">Log_2018[[#This Row],[Amount]]-SUM(O653:AA653)</f>
        <v>0</v>
      </c>
      <c r="AC653" s="7">
        <f ca="1">MAX(0,Log_2018[[#This Row],[Split_apply]] - (EDATE(AA$1,1)-Log_2018[[#This Row],[Date]]))</f>
        <v>0</v>
      </c>
    </row>
    <row r="654" spans="1:29" hidden="1" x14ac:dyDescent="0.25">
      <c r="A654" s="115"/>
      <c r="B654" t="s">
        <v>6</v>
      </c>
      <c r="D654" s="39">
        <v>43154</v>
      </c>
      <c r="F654" t="s">
        <v>59</v>
      </c>
      <c r="G654" t="s">
        <v>25</v>
      </c>
      <c r="H654" s="3">
        <v>-11.55</v>
      </c>
      <c r="I654" s="36">
        <f>IF(Log_2018[[#This Row],[My Category]]="NONTRACKED",0,Log_2018[[#This Row],[Raw Amount]])</f>
        <v>-11.55</v>
      </c>
      <c r="J654" s="17">
        <f>ABS(Log_2018[[#This Row],[Amount]])</f>
        <v>11.55</v>
      </c>
      <c r="K654" s="66">
        <v>1</v>
      </c>
      <c r="L654" s="66">
        <f ca="1">IF(Log_2018[[#This Row],[Date]]&lt;=TODAY(), MIN(Log_2018[[#This Row],[Split_raw]], TODAY()-Log_2018[[#This Row],[Date]]+1), 0)</f>
        <v>1</v>
      </c>
      <c r="M654" t="s">
        <v>35</v>
      </c>
      <c r="N654" t="s">
        <v>158</v>
      </c>
      <c r="O654" s="50">
        <v>0</v>
      </c>
      <c r="P654" s="52">
        <f ca="1">Log_2018[[#This Row],[Amount]]/Log_2018[[#This Row],[Split_raw]]*MAX(0,MIN(_xlfn.DAYS(EDATE(P$1,1),Log_2018[[#This Row],[Date]]),Log_2018[[#This Row],[Split_apply]])) - SUM($O654:O654)</f>
        <v>0</v>
      </c>
      <c r="Q654" s="52">
        <f ca="1">Log_2018[[#This Row],[Amount]]/Log_2018[[#This Row],[Split_raw]]*MAX(0,MIN(_xlfn.DAYS(EDATE(Q$1,1),Log_2018[[#This Row],[Date]]),Log_2018[[#This Row],[Split_apply]])) - SUM($O654:P654)</f>
        <v>-11.55</v>
      </c>
      <c r="R654" s="52">
        <f ca="1">Log_2018[[#This Row],[Amount]]/Log_2018[[#This Row],[Split_raw]]*MAX(0,MIN(_xlfn.DAYS(EDATE(R$1,1),Log_2018[[#This Row],[Date]]),Log_2018[[#This Row],[Split_apply]])) - SUM($O654:Q654)</f>
        <v>0</v>
      </c>
      <c r="S654" s="52">
        <f ca="1">Log_2018[[#This Row],[Amount]]/Log_2018[[#This Row],[Split_raw]]*MAX(0,MIN(_xlfn.DAYS(EDATE(S$1,1),Log_2018[[#This Row],[Date]]),Log_2018[[#This Row],[Split_apply]])) - SUM($O654:R654)</f>
        <v>0</v>
      </c>
      <c r="T654" s="52">
        <f ca="1">Log_2018[[#This Row],[Amount]]/Log_2018[[#This Row],[Split_raw]]*MAX(0,MIN(_xlfn.DAYS(EDATE(T$1,1),Log_2018[[#This Row],[Date]]),Log_2018[[#This Row],[Split_apply]])) - SUM($O654:S654)</f>
        <v>0</v>
      </c>
      <c r="U654" s="52">
        <f ca="1">Log_2018[[#This Row],[Amount]]/Log_2018[[#This Row],[Split_raw]]*MAX(0,MIN(_xlfn.DAYS(EDATE(U$1,1),Log_2018[[#This Row],[Date]]),Log_2018[[#This Row],[Split_apply]])) - SUM($O654:T654)</f>
        <v>0</v>
      </c>
      <c r="V654" s="52">
        <f ca="1">Log_2018[[#This Row],[Amount]]/Log_2018[[#This Row],[Split_raw]]*MAX(0,MIN(_xlfn.DAYS(EDATE(V$1,1),Log_2018[[#This Row],[Date]]),Log_2018[[#This Row],[Split_apply]])) - SUM($O654:U654)</f>
        <v>0</v>
      </c>
      <c r="W654" s="52">
        <f ca="1">Log_2018[[#This Row],[Amount]]/Log_2018[[#This Row],[Split_raw]]*MAX(0,MIN(_xlfn.DAYS(EDATE(W$1,1),Log_2018[[#This Row],[Date]]),Log_2018[[#This Row],[Split_apply]])) - SUM($O654:V654)</f>
        <v>0</v>
      </c>
      <c r="X654" s="52">
        <f ca="1">Log_2018[[#This Row],[Amount]]/Log_2018[[#This Row],[Split_raw]]*MAX(0,MIN(_xlfn.DAYS(EDATE(X$1,1),Log_2018[[#This Row],[Date]]),Log_2018[[#This Row],[Split_apply]])) - SUM($O654:W654)</f>
        <v>0</v>
      </c>
      <c r="Y654" s="52">
        <f ca="1">Log_2018[[#This Row],[Amount]]/Log_2018[[#This Row],[Split_raw]]*MAX(0,MIN(_xlfn.DAYS(EDATE(Y$1,1),Log_2018[[#This Row],[Date]]),Log_2018[[#This Row],[Split_apply]])) - SUM($O654:X654)</f>
        <v>0</v>
      </c>
      <c r="Z654" s="52">
        <f ca="1">Log_2018[[#This Row],[Amount]]/Log_2018[[#This Row],[Split_raw]]*MAX(0,MIN(_xlfn.DAYS(EDATE(Z$1,1),Log_2018[[#This Row],[Date]]),Log_2018[[#This Row],[Split_apply]])) - SUM($O654:Y654)</f>
        <v>0</v>
      </c>
      <c r="AA654" s="52">
        <f ca="1">Log_2018[[#This Row],[Amount]]/Log_2018[[#This Row],[Split_raw]]*MAX(0,MIN(_xlfn.DAYS(EDATE(AA$1,1),Log_2018[[#This Row],[Date]]),Log_2018[[#This Row],[Split_apply]])) - SUM($O654:Z654)</f>
        <v>0</v>
      </c>
      <c r="AB654" s="54">
        <f ca="1">Log_2018[[#This Row],[Amount]]-SUM(O654:AA654)</f>
        <v>0</v>
      </c>
      <c r="AC654" s="7">
        <f ca="1">MAX(0,Log_2018[[#This Row],[Split_apply]] - (EDATE(AA$1,1)-Log_2018[[#This Row],[Date]]))</f>
        <v>0</v>
      </c>
    </row>
    <row r="655" spans="1:29" hidden="1" x14ac:dyDescent="0.25">
      <c r="A655" s="115"/>
      <c r="B655" t="s">
        <v>6</v>
      </c>
      <c r="D655" s="39">
        <v>43153</v>
      </c>
      <c r="F655" t="s">
        <v>64</v>
      </c>
      <c r="G655" t="s">
        <v>25</v>
      </c>
      <c r="H655" s="3">
        <v>-1.79</v>
      </c>
      <c r="I655" s="36">
        <f>IF(Log_2018[[#This Row],[My Category]]="NONTRACKED",0,Log_2018[[#This Row],[Raw Amount]])</f>
        <v>-1.79</v>
      </c>
      <c r="J655" s="17">
        <f>ABS(Log_2018[[#This Row],[Amount]])</f>
        <v>1.79</v>
      </c>
      <c r="K655" s="66">
        <v>1</v>
      </c>
      <c r="L655" s="66">
        <f ca="1">IF(Log_2018[[#This Row],[Date]]&lt;=TODAY(), MIN(Log_2018[[#This Row],[Split_raw]], TODAY()-Log_2018[[#This Row],[Date]]+1), 0)</f>
        <v>1</v>
      </c>
      <c r="M655" t="s">
        <v>35</v>
      </c>
      <c r="N655" t="s">
        <v>158</v>
      </c>
      <c r="O655" s="50">
        <v>0</v>
      </c>
      <c r="P655" s="52">
        <f ca="1">Log_2018[[#This Row],[Amount]]/Log_2018[[#This Row],[Split_raw]]*MAX(0,MIN(_xlfn.DAYS(EDATE(P$1,1),Log_2018[[#This Row],[Date]]),Log_2018[[#This Row],[Split_apply]])) - SUM($O655:O655)</f>
        <v>0</v>
      </c>
      <c r="Q655" s="52">
        <f ca="1">Log_2018[[#This Row],[Amount]]/Log_2018[[#This Row],[Split_raw]]*MAX(0,MIN(_xlfn.DAYS(EDATE(Q$1,1),Log_2018[[#This Row],[Date]]),Log_2018[[#This Row],[Split_apply]])) - SUM($O655:P655)</f>
        <v>-1.79</v>
      </c>
      <c r="R655" s="52">
        <f ca="1">Log_2018[[#This Row],[Amount]]/Log_2018[[#This Row],[Split_raw]]*MAX(0,MIN(_xlfn.DAYS(EDATE(R$1,1),Log_2018[[#This Row],[Date]]),Log_2018[[#This Row],[Split_apply]])) - SUM($O655:Q655)</f>
        <v>0</v>
      </c>
      <c r="S655" s="52">
        <f ca="1">Log_2018[[#This Row],[Amount]]/Log_2018[[#This Row],[Split_raw]]*MAX(0,MIN(_xlfn.DAYS(EDATE(S$1,1),Log_2018[[#This Row],[Date]]),Log_2018[[#This Row],[Split_apply]])) - SUM($O655:R655)</f>
        <v>0</v>
      </c>
      <c r="T655" s="52">
        <f ca="1">Log_2018[[#This Row],[Amount]]/Log_2018[[#This Row],[Split_raw]]*MAX(0,MIN(_xlfn.DAYS(EDATE(T$1,1),Log_2018[[#This Row],[Date]]),Log_2018[[#This Row],[Split_apply]])) - SUM($O655:S655)</f>
        <v>0</v>
      </c>
      <c r="U655" s="52">
        <f ca="1">Log_2018[[#This Row],[Amount]]/Log_2018[[#This Row],[Split_raw]]*MAX(0,MIN(_xlfn.DAYS(EDATE(U$1,1),Log_2018[[#This Row],[Date]]),Log_2018[[#This Row],[Split_apply]])) - SUM($O655:T655)</f>
        <v>0</v>
      </c>
      <c r="V655" s="52">
        <f ca="1">Log_2018[[#This Row],[Amount]]/Log_2018[[#This Row],[Split_raw]]*MAX(0,MIN(_xlfn.DAYS(EDATE(V$1,1),Log_2018[[#This Row],[Date]]),Log_2018[[#This Row],[Split_apply]])) - SUM($O655:U655)</f>
        <v>0</v>
      </c>
      <c r="W655" s="52">
        <f ca="1">Log_2018[[#This Row],[Amount]]/Log_2018[[#This Row],[Split_raw]]*MAX(0,MIN(_xlfn.DAYS(EDATE(W$1,1),Log_2018[[#This Row],[Date]]),Log_2018[[#This Row],[Split_apply]])) - SUM($O655:V655)</f>
        <v>0</v>
      </c>
      <c r="X655" s="52">
        <f ca="1">Log_2018[[#This Row],[Amount]]/Log_2018[[#This Row],[Split_raw]]*MAX(0,MIN(_xlfn.DAYS(EDATE(X$1,1),Log_2018[[#This Row],[Date]]),Log_2018[[#This Row],[Split_apply]])) - SUM($O655:W655)</f>
        <v>0</v>
      </c>
      <c r="Y655" s="52">
        <f ca="1">Log_2018[[#This Row],[Amount]]/Log_2018[[#This Row],[Split_raw]]*MAX(0,MIN(_xlfn.DAYS(EDATE(Y$1,1),Log_2018[[#This Row],[Date]]),Log_2018[[#This Row],[Split_apply]])) - SUM($O655:X655)</f>
        <v>0</v>
      </c>
      <c r="Z655" s="52">
        <f ca="1">Log_2018[[#This Row],[Amount]]/Log_2018[[#This Row],[Split_raw]]*MAX(0,MIN(_xlfn.DAYS(EDATE(Z$1,1),Log_2018[[#This Row],[Date]]),Log_2018[[#This Row],[Split_apply]])) - SUM($O655:Y655)</f>
        <v>0</v>
      </c>
      <c r="AA655" s="52">
        <f ca="1">Log_2018[[#This Row],[Amount]]/Log_2018[[#This Row],[Split_raw]]*MAX(0,MIN(_xlfn.DAYS(EDATE(AA$1,1),Log_2018[[#This Row],[Date]]),Log_2018[[#This Row],[Split_apply]])) - SUM($O655:Z655)</f>
        <v>0</v>
      </c>
      <c r="AB655" s="54">
        <f ca="1">Log_2018[[#This Row],[Amount]]-SUM(O655:AA655)</f>
        <v>0</v>
      </c>
      <c r="AC655" s="7">
        <f ca="1">MAX(0,Log_2018[[#This Row],[Split_apply]] - (EDATE(AA$1,1)-Log_2018[[#This Row],[Date]]))</f>
        <v>0</v>
      </c>
    </row>
    <row r="656" spans="1:29" hidden="1" x14ac:dyDescent="0.25">
      <c r="A656" s="115"/>
      <c r="B656" t="s">
        <v>6</v>
      </c>
      <c r="D656" s="39">
        <v>43152</v>
      </c>
      <c r="E656" t="s">
        <v>65</v>
      </c>
      <c r="F656" t="s">
        <v>63</v>
      </c>
      <c r="G656" t="s">
        <v>28</v>
      </c>
      <c r="H656" s="3">
        <v>-50</v>
      </c>
      <c r="I656" s="36">
        <f>IF(Log_2018[[#This Row],[My Category]]="NONTRACKED",0,Log_2018[[#This Row],[Raw Amount]])</f>
        <v>-50</v>
      </c>
      <c r="J656" s="17">
        <f>ABS(Log_2018[[#This Row],[Amount]])</f>
        <v>50</v>
      </c>
      <c r="K656" s="66">
        <v>1</v>
      </c>
      <c r="L656" s="66">
        <f ca="1">IF(Log_2018[[#This Row],[Date]]&lt;=TODAY(), MIN(Log_2018[[#This Row],[Split_raw]], TODAY()-Log_2018[[#This Row],[Date]]+1), 0)</f>
        <v>1</v>
      </c>
      <c r="M656" t="s">
        <v>28</v>
      </c>
      <c r="N656" t="s">
        <v>158</v>
      </c>
      <c r="O656" s="50">
        <v>0</v>
      </c>
      <c r="P656" s="52">
        <f ca="1">Log_2018[[#This Row],[Amount]]/Log_2018[[#This Row],[Split_raw]]*MAX(0,MIN(_xlfn.DAYS(EDATE(P$1,1),Log_2018[[#This Row],[Date]]),Log_2018[[#This Row],[Split_apply]])) - SUM($O656:O656)</f>
        <v>0</v>
      </c>
      <c r="Q656" s="52">
        <f ca="1">Log_2018[[#This Row],[Amount]]/Log_2018[[#This Row],[Split_raw]]*MAX(0,MIN(_xlfn.DAYS(EDATE(Q$1,1),Log_2018[[#This Row],[Date]]),Log_2018[[#This Row],[Split_apply]])) - SUM($O656:P656)</f>
        <v>-50</v>
      </c>
      <c r="R656" s="52">
        <f ca="1">Log_2018[[#This Row],[Amount]]/Log_2018[[#This Row],[Split_raw]]*MAX(0,MIN(_xlfn.DAYS(EDATE(R$1,1),Log_2018[[#This Row],[Date]]),Log_2018[[#This Row],[Split_apply]])) - SUM($O656:Q656)</f>
        <v>0</v>
      </c>
      <c r="S656" s="52">
        <f ca="1">Log_2018[[#This Row],[Amount]]/Log_2018[[#This Row],[Split_raw]]*MAX(0,MIN(_xlfn.DAYS(EDATE(S$1,1),Log_2018[[#This Row],[Date]]),Log_2018[[#This Row],[Split_apply]])) - SUM($O656:R656)</f>
        <v>0</v>
      </c>
      <c r="T656" s="52">
        <f ca="1">Log_2018[[#This Row],[Amount]]/Log_2018[[#This Row],[Split_raw]]*MAX(0,MIN(_xlfn.DAYS(EDATE(T$1,1),Log_2018[[#This Row],[Date]]),Log_2018[[#This Row],[Split_apply]])) - SUM($O656:S656)</f>
        <v>0</v>
      </c>
      <c r="U656" s="52">
        <f ca="1">Log_2018[[#This Row],[Amount]]/Log_2018[[#This Row],[Split_raw]]*MAX(0,MIN(_xlfn.DAYS(EDATE(U$1,1),Log_2018[[#This Row],[Date]]),Log_2018[[#This Row],[Split_apply]])) - SUM($O656:T656)</f>
        <v>0</v>
      </c>
      <c r="V656" s="52">
        <f ca="1">Log_2018[[#This Row],[Amount]]/Log_2018[[#This Row],[Split_raw]]*MAX(0,MIN(_xlfn.DAYS(EDATE(V$1,1),Log_2018[[#This Row],[Date]]),Log_2018[[#This Row],[Split_apply]])) - SUM($O656:U656)</f>
        <v>0</v>
      </c>
      <c r="W656" s="52">
        <f ca="1">Log_2018[[#This Row],[Amount]]/Log_2018[[#This Row],[Split_raw]]*MAX(0,MIN(_xlfn.DAYS(EDATE(W$1,1),Log_2018[[#This Row],[Date]]),Log_2018[[#This Row],[Split_apply]])) - SUM($O656:V656)</f>
        <v>0</v>
      </c>
      <c r="X656" s="52">
        <f ca="1">Log_2018[[#This Row],[Amount]]/Log_2018[[#This Row],[Split_raw]]*MAX(0,MIN(_xlfn.DAYS(EDATE(X$1,1),Log_2018[[#This Row],[Date]]),Log_2018[[#This Row],[Split_apply]])) - SUM($O656:W656)</f>
        <v>0</v>
      </c>
      <c r="Y656" s="52">
        <f ca="1">Log_2018[[#This Row],[Amount]]/Log_2018[[#This Row],[Split_raw]]*MAX(0,MIN(_xlfn.DAYS(EDATE(Y$1,1),Log_2018[[#This Row],[Date]]),Log_2018[[#This Row],[Split_apply]])) - SUM($O656:X656)</f>
        <v>0</v>
      </c>
      <c r="Z656" s="52">
        <f ca="1">Log_2018[[#This Row],[Amount]]/Log_2018[[#This Row],[Split_raw]]*MAX(0,MIN(_xlfn.DAYS(EDATE(Z$1,1),Log_2018[[#This Row],[Date]]),Log_2018[[#This Row],[Split_apply]])) - SUM($O656:Y656)</f>
        <v>0</v>
      </c>
      <c r="AA656" s="52">
        <f ca="1">Log_2018[[#This Row],[Amount]]/Log_2018[[#This Row],[Split_raw]]*MAX(0,MIN(_xlfn.DAYS(EDATE(AA$1,1),Log_2018[[#This Row],[Date]]),Log_2018[[#This Row],[Split_apply]])) - SUM($O656:Z656)</f>
        <v>0</v>
      </c>
      <c r="AB656" s="54">
        <f ca="1">Log_2018[[#This Row],[Amount]]-SUM(O656:AA656)</f>
        <v>0</v>
      </c>
      <c r="AC656" s="7">
        <f ca="1">MAX(0,Log_2018[[#This Row],[Split_apply]] - (EDATE(AA$1,1)-Log_2018[[#This Row],[Date]]))</f>
        <v>0</v>
      </c>
    </row>
    <row r="657" spans="1:29" hidden="1" x14ac:dyDescent="0.25">
      <c r="A657" s="115"/>
      <c r="B657" t="s">
        <v>6</v>
      </c>
      <c r="D657" s="39">
        <v>43152</v>
      </c>
      <c r="F657" t="s">
        <v>59</v>
      </c>
      <c r="G657" t="s">
        <v>25</v>
      </c>
      <c r="H657" s="3">
        <v>-7.94</v>
      </c>
      <c r="I657" s="36">
        <f>IF(Log_2018[[#This Row],[My Category]]="NONTRACKED",0,Log_2018[[#This Row],[Raw Amount]])</f>
        <v>-7.94</v>
      </c>
      <c r="J657" s="17">
        <f>ABS(Log_2018[[#This Row],[Amount]])</f>
        <v>7.94</v>
      </c>
      <c r="K657" s="66">
        <v>1</v>
      </c>
      <c r="L657" s="66">
        <f ca="1">IF(Log_2018[[#This Row],[Date]]&lt;=TODAY(), MIN(Log_2018[[#This Row],[Split_raw]], TODAY()-Log_2018[[#This Row],[Date]]+1), 0)</f>
        <v>1</v>
      </c>
      <c r="M657" t="s">
        <v>35</v>
      </c>
      <c r="N657" t="s">
        <v>158</v>
      </c>
      <c r="O657" s="50">
        <v>0</v>
      </c>
      <c r="P657" s="52">
        <f ca="1">Log_2018[[#This Row],[Amount]]/Log_2018[[#This Row],[Split_raw]]*MAX(0,MIN(_xlfn.DAYS(EDATE(P$1,1),Log_2018[[#This Row],[Date]]),Log_2018[[#This Row],[Split_apply]])) - SUM($O657:O657)</f>
        <v>0</v>
      </c>
      <c r="Q657" s="52">
        <f ca="1">Log_2018[[#This Row],[Amount]]/Log_2018[[#This Row],[Split_raw]]*MAX(0,MIN(_xlfn.DAYS(EDATE(Q$1,1),Log_2018[[#This Row],[Date]]),Log_2018[[#This Row],[Split_apply]])) - SUM($O657:P657)</f>
        <v>-7.94</v>
      </c>
      <c r="R657" s="52">
        <f ca="1">Log_2018[[#This Row],[Amount]]/Log_2018[[#This Row],[Split_raw]]*MAX(0,MIN(_xlfn.DAYS(EDATE(R$1,1),Log_2018[[#This Row],[Date]]),Log_2018[[#This Row],[Split_apply]])) - SUM($O657:Q657)</f>
        <v>0</v>
      </c>
      <c r="S657" s="52">
        <f ca="1">Log_2018[[#This Row],[Amount]]/Log_2018[[#This Row],[Split_raw]]*MAX(0,MIN(_xlfn.DAYS(EDATE(S$1,1),Log_2018[[#This Row],[Date]]),Log_2018[[#This Row],[Split_apply]])) - SUM($O657:R657)</f>
        <v>0</v>
      </c>
      <c r="T657" s="52">
        <f ca="1">Log_2018[[#This Row],[Amount]]/Log_2018[[#This Row],[Split_raw]]*MAX(0,MIN(_xlfn.DAYS(EDATE(T$1,1),Log_2018[[#This Row],[Date]]),Log_2018[[#This Row],[Split_apply]])) - SUM($O657:S657)</f>
        <v>0</v>
      </c>
      <c r="U657" s="52">
        <f ca="1">Log_2018[[#This Row],[Amount]]/Log_2018[[#This Row],[Split_raw]]*MAX(0,MIN(_xlfn.DAYS(EDATE(U$1,1),Log_2018[[#This Row],[Date]]),Log_2018[[#This Row],[Split_apply]])) - SUM($O657:T657)</f>
        <v>0</v>
      </c>
      <c r="V657" s="52">
        <f ca="1">Log_2018[[#This Row],[Amount]]/Log_2018[[#This Row],[Split_raw]]*MAX(0,MIN(_xlfn.DAYS(EDATE(V$1,1),Log_2018[[#This Row],[Date]]),Log_2018[[#This Row],[Split_apply]])) - SUM($O657:U657)</f>
        <v>0</v>
      </c>
      <c r="W657" s="52">
        <f ca="1">Log_2018[[#This Row],[Amount]]/Log_2018[[#This Row],[Split_raw]]*MAX(0,MIN(_xlfn.DAYS(EDATE(W$1,1),Log_2018[[#This Row],[Date]]),Log_2018[[#This Row],[Split_apply]])) - SUM($O657:V657)</f>
        <v>0</v>
      </c>
      <c r="X657" s="52">
        <f ca="1">Log_2018[[#This Row],[Amount]]/Log_2018[[#This Row],[Split_raw]]*MAX(0,MIN(_xlfn.DAYS(EDATE(X$1,1),Log_2018[[#This Row],[Date]]),Log_2018[[#This Row],[Split_apply]])) - SUM($O657:W657)</f>
        <v>0</v>
      </c>
      <c r="Y657" s="52">
        <f ca="1">Log_2018[[#This Row],[Amount]]/Log_2018[[#This Row],[Split_raw]]*MAX(0,MIN(_xlfn.DAYS(EDATE(Y$1,1),Log_2018[[#This Row],[Date]]),Log_2018[[#This Row],[Split_apply]])) - SUM($O657:X657)</f>
        <v>0</v>
      </c>
      <c r="Z657" s="52">
        <f ca="1">Log_2018[[#This Row],[Amount]]/Log_2018[[#This Row],[Split_raw]]*MAX(0,MIN(_xlfn.DAYS(EDATE(Z$1,1),Log_2018[[#This Row],[Date]]),Log_2018[[#This Row],[Split_apply]])) - SUM($O657:Y657)</f>
        <v>0</v>
      </c>
      <c r="AA657" s="52">
        <f ca="1">Log_2018[[#This Row],[Amount]]/Log_2018[[#This Row],[Split_raw]]*MAX(0,MIN(_xlfn.DAYS(EDATE(AA$1,1),Log_2018[[#This Row],[Date]]),Log_2018[[#This Row],[Split_apply]])) - SUM($O657:Z657)</f>
        <v>0</v>
      </c>
      <c r="AB657" s="54">
        <f ca="1">Log_2018[[#This Row],[Amount]]-SUM(O657:AA657)</f>
        <v>0</v>
      </c>
      <c r="AC657" s="7">
        <f ca="1">MAX(0,Log_2018[[#This Row],[Split_apply]] - (EDATE(AA$1,1)-Log_2018[[#This Row],[Date]]))</f>
        <v>0</v>
      </c>
    </row>
    <row r="658" spans="1:29" hidden="1" x14ac:dyDescent="0.25">
      <c r="A658" s="115"/>
      <c r="B658" t="s">
        <v>6</v>
      </c>
      <c r="D658" s="39">
        <v>43151</v>
      </c>
      <c r="F658" t="s">
        <v>66</v>
      </c>
      <c r="G658" t="s">
        <v>25</v>
      </c>
      <c r="H658" s="3">
        <v>-8.9700000000000006</v>
      </c>
      <c r="I658" s="36">
        <f>IF(Log_2018[[#This Row],[My Category]]="NONTRACKED",0,Log_2018[[#This Row],[Raw Amount]])</f>
        <v>-8.9700000000000006</v>
      </c>
      <c r="J658" s="17">
        <f>ABS(Log_2018[[#This Row],[Amount]])</f>
        <v>8.9700000000000006</v>
      </c>
      <c r="K658" s="66">
        <v>1</v>
      </c>
      <c r="L658" s="66">
        <f ca="1">IF(Log_2018[[#This Row],[Date]]&lt;=TODAY(), MIN(Log_2018[[#This Row],[Split_raw]], TODAY()-Log_2018[[#This Row],[Date]]+1), 0)</f>
        <v>1</v>
      </c>
      <c r="M658" t="s">
        <v>35</v>
      </c>
      <c r="N658" t="s">
        <v>158</v>
      </c>
      <c r="O658" s="50">
        <v>0</v>
      </c>
      <c r="P658" s="52">
        <f ca="1">Log_2018[[#This Row],[Amount]]/Log_2018[[#This Row],[Split_raw]]*MAX(0,MIN(_xlfn.DAYS(EDATE(P$1,1),Log_2018[[#This Row],[Date]]),Log_2018[[#This Row],[Split_apply]])) - SUM($O658:O658)</f>
        <v>0</v>
      </c>
      <c r="Q658" s="52">
        <f ca="1">Log_2018[[#This Row],[Amount]]/Log_2018[[#This Row],[Split_raw]]*MAX(0,MIN(_xlfn.DAYS(EDATE(Q$1,1),Log_2018[[#This Row],[Date]]),Log_2018[[#This Row],[Split_apply]])) - SUM($O658:P658)</f>
        <v>-8.9700000000000006</v>
      </c>
      <c r="R658" s="52">
        <f ca="1">Log_2018[[#This Row],[Amount]]/Log_2018[[#This Row],[Split_raw]]*MAX(0,MIN(_xlfn.DAYS(EDATE(R$1,1),Log_2018[[#This Row],[Date]]),Log_2018[[#This Row],[Split_apply]])) - SUM($O658:Q658)</f>
        <v>0</v>
      </c>
      <c r="S658" s="52">
        <f ca="1">Log_2018[[#This Row],[Amount]]/Log_2018[[#This Row],[Split_raw]]*MAX(0,MIN(_xlfn.DAYS(EDATE(S$1,1),Log_2018[[#This Row],[Date]]),Log_2018[[#This Row],[Split_apply]])) - SUM($O658:R658)</f>
        <v>0</v>
      </c>
      <c r="T658" s="52">
        <f ca="1">Log_2018[[#This Row],[Amount]]/Log_2018[[#This Row],[Split_raw]]*MAX(0,MIN(_xlfn.DAYS(EDATE(T$1,1),Log_2018[[#This Row],[Date]]),Log_2018[[#This Row],[Split_apply]])) - SUM($O658:S658)</f>
        <v>0</v>
      </c>
      <c r="U658" s="52">
        <f ca="1">Log_2018[[#This Row],[Amount]]/Log_2018[[#This Row],[Split_raw]]*MAX(0,MIN(_xlfn.DAYS(EDATE(U$1,1),Log_2018[[#This Row],[Date]]),Log_2018[[#This Row],[Split_apply]])) - SUM($O658:T658)</f>
        <v>0</v>
      </c>
      <c r="V658" s="52">
        <f ca="1">Log_2018[[#This Row],[Amount]]/Log_2018[[#This Row],[Split_raw]]*MAX(0,MIN(_xlfn.DAYS(EDATE(V$1,1),Log_2018[[#This Row],[Date]]),Log_2018[[#This Row],[Split_apply]])) - SUM($O658:U658)</f>
        <v>0</v>
      </c>
      <c r="W658" s="52">
        <f ca="1">Log_2018[[#This Row],[Amount]]/Log_2018[[#This Row],[Split_raw]]*MAX(0,MIN(_xlfn.DAYS(EDATE(W$1,1),Log_2018[[#This Row],[Date]]),Log_2018[[#This Row],[Split_apply]])) - SUM($O658:V658)</f>
        <v>0</v>
      </c>
      <c r="X658" s="52">
        <f ca="1">Log_2018[[#This Row],[Amount]]/Log_2018[[#This Row],[Split_raw]]*MAX(0,MIN(_xlfn.DAYS(EDATE(X$1,1),Log_2018[[#This Row],[Date]]),Log_2018[[#This Row],[Split_apply]])) - SUM($O658:W658)</f>
        <v>0</v>
      </c>
      <c r="Y658" s="52">
        <f ca="1">Log_2018[[#This Row],[Amount]]/Log_2018[[#This Row],[Split_raw]]*MAX(0,MIN(_xlfn.DAYS(EDATE(Y$1,1),Log_2018[[#This Row],[Date]]),Log_2018[[#This Row],[Split_apply]])) - SUM($O658:X658)</f>
        <v>0</v>
      </c>
      <c r="Z658" s="52">
        <f ca="1">Log_2018[[#This Row],[Amount]]/Log_2018[[#This Row],[Split_raw]]*MAX(0,MIN(_xlfn.DAYS(EDATE(Z$1,1),Log_2018[[#This Row],[Date]]),Log_2018[[#This Row],[Split_apply]])) - SUM($O658:Y658)</f>
        <v>0</v>
      </c>
      <c r="AA658" s="52">
        <f ca="1">Log_2018[[#This Row],[Amount]]/Log_2018[[#This Row],[Split_raw]]*MAX(0,MIN(_xlfn.DAYS(EDATE(AA$1,1),Log_2018[[#This Row],[Date]]),Log_2018[[#This Row],[Split_apply]])) - SUM($O658:Z658)</f>
        <v>0</v>
      </c>
      <c r="AB658" s="54">
        <f ca="1">Log_2018[[#This Row],[Amount]]-SUM(O658:AA658)</f>
        <v>0</v>
      </c>
      <c r="AC658" s="7">
        <f ca="1">MAX(0,Log_2018[[#This Row],[Split_apply]] - (EDATE(AA$1,1)-Log_2018[[#This Row],[Date]]))</f>
        <v>0</v>
      </c>
    </row>
    <row r="659" spans="1:29" hidden="1" x14ac:dyDescent="0.25">
      <c r="A659" s="115"/>
      <c r="B659" t="s">
        <v>6</v>
      </c>
      <c r="D659" s="39">
        <v>43151</v>
      </c>
      <c r="F659" t="s">
        <v>138</v>
      </c>
      <c r="G659" t="s">
        <v>104</v>
      </c>
      <c r="H659" s="3">
        <v>-281.58</v>
      </c>
      <c r="I659" s="36">
        <f>IF(Log_2018[[#This Row],[My Category]]="NONTRACKED",0,Log_2018[[#This Row],[Raw Amount]])</f>
        <v>-281.58</v>
      </c>
      <c r="J659" s="17">
        <f>ABS(Log_2018[[#This Row],[Amount]])</f>
        <v>281.58</v>
      </c>
      <c r="K659" s="66">
        <v>1</v>
      </c>
      <c r="L659" s="66">
        <f ca="1">IF(Log_2018[[#This Row],[Date]]&lt;=TODAY(), MIN(Log_2018[[#This Row],[Split_raw]], TODAY()-Log_2018[[#This Row],[Date]]+1), 0)</f>
        <v>1</v>
      </c>
      <c r="M659" t="s">
        <v>159</v>
      </c>
      <c r="N659" t="s">
        <v>160</v>
      </c>
      <c r="O659" s="50">
        <v>0</v>
      </c>
      <c r="P659" s="52">
        <f ca="1">Log_2018[[#This Row],[Amount]]/Log_2018[[#This Row],[Split_raw]]*MAX(0,MIN(_xlfn.DAYS(EDATE(P$1,1),Log_2018[[#This Row],[Date]]),Log_2018[[#This Row],[Split_apply]])) - SUM($O659:O659)</f>
        <v>0</v>
      </c>
      <c r="Q659" s="52">
        <f ca="1">Log_2018[[#This Row],[Amount]]/Log_2018[[#This Row],[Split_raw]]*MAX(0,MIN(_xlfn.DAYS(EDATE(Q$1,1),Log_2018[[#This Row],[Date]]),Log_2018[[#This Row],[Split_apply]])) - SUM($O659:P659)</f>
        <v>-281.58</v>
      </c>
      <c r="R659" s="52">
        <f ca="1">Log_2018[[#This Row],[Amount]]/Log_2018[[#This Row],[Split_raw]]*MAX(0,MIN(_xlfn.DAYS(EDATE(R$1,1),Log_2018[[#This Row],[Date]]),Log_2018[[#This Row],[Split_apply]])) - SUM($O659:Q659)</f>
        <v>0</v>
      </c>
      <c r="S659" s="52">
        <f ca="1">Log_2018[[#This Row],[Amount]]/Log_2018[[#This Row],[Split_raw]]*MAX(0,MIN(_xlfn.DAYS(EDATE(S$1,1),Log_2018[[#This Row],[Date]]),Log_2018[[#This Row],[Split_apply]])) - SUM($O659:R659)</f>
        <v>0</v>
      </c>
      <c r="T659" s="52">
        <f ca="1">Log_2018[[#This Row],[Amount]]/Log_2018[[#This Row],[Split_raw]]*MAX(0,MIN(_xlfn.DAYS(EDATE(T$1,1),Log_2018[[#This Row],[Date]]),Log_2018[[#This Row],[Split_apply]])) - SUM($O659:S659)</f>
        <v>0</v>
      </c>
      <c r="U659" s="52">
        <f ca="1">Log_2018[[#This Row],[Amount]]/Log_2018[[#This Row],[Split_raw]]*MAX(0,MIN(_xlfn.DAYS(EDATE(U$1,1),Log_2018[[#This Row],[Date]]),Log_2018[[#This Row],[Split_apply]])) - SUM($O659:T659)</f>
        <v>0</v>
      </c>
      <c r="V659" s="52">
        <f ca="1">Log_2018[[#This Row],[Amount]]/Log_2018[[#This Row],[Split_raw]]*MAX(0,MIN(_xlfn.DAYS(EDATE(V$1,1),Log_2018[[#This Row],[Date]]),Log_2018[[#This Row],[Split_apply]])) - SUM($O659:U659)</f>
        <v>0</v>
      </c>
      <c r="W659" s="52">
        <f ca="1">Log_2018[[#This Row],[Amount]]/Log_2018[[#This Row],[Split_raw]]*MAX(0,MIN(_xlfn.DAYS(EDATE(W$1,1),Log_2018[[#This Row],[Date]]),Log_2018[[#This Row],[Split_apply]])) - SUM($O659:V659)</f>
        <v>0</v>
      </c>
      <c r="X659" s="52">
        <f ca="1">Log_2018[[#This Row],[Amount]]/Log_2018[[#This Row],[Split_raw]]*MAX(0,MIN(_xlfn.DAYS(EDATE(X$1,1),Log_2018[[#This Row],[Date]]),Log_2018[[#This Row],[Split_apply]])) - SUM($O659:W659)</f>
        <v>0</v>
      </c>
      <c r="Y659" s="52">
        <f ca="1">Log_2018[[#This Row],[Amount]]/Log_2018[[#This Row],[Split_raw]]*MAX(0,MIN(_xlfn.DAYS(EDATE(Y$1,1),Log_2018[[#This Row],[Date]]),Log_2018[[#This Row],[Split_apply]])) - SUM($O659:X659)</f>
        <v>0</v>
      </c>
      <c r="Z659" s="52">
        <f ca="1">Log_2018[[#This Row],[Amount]]/Log_2018[[#This Row],[Split_raw]]*MAX(0,MIN(_xlfn.DAYS(EDATE(Z$1,1),Log_2018[[#This Row],[Date]]),Log_2018[[#This Row],[Split_apply]])) - SUM($O659:Y659)</f>
        <v>0</v>
      </c>
      <c r="AA659" s="52">
        <f ca="1">Log_2018[[#This Row],[Amount]]/Log_2018[[#This Row],[Split_raw]]*MAX(0,MIN(_xlfn.DAYS(EDATE(AA$1,1),Log_2018[[#This Row],[Date]]),Log_2018[[#This Row],[Split_apply]])) - SUM($O659:Z659)</f>
        <v>0</v>
      </c>
      <c r="AB659" s="54">
        <f ca="1">Log_2018[[#This Row],[Amount]]-SUM(O659:AA659)</f>
        <v>0</v>
      </c>
      <c r="AC659" s="7">
        <f ca="1">MAX(0,Log_2018[[#This Row],[Split_apply]] - (EDATE(AA$1,1)-Log_2018[[#This Row],[Date]]))</f>
        <v>0</v>
      </c>
    </row>
    <row r="660" spans="1:29" hidden="1" x14ac:dyDescent="0.25">
      <c r="A660" s="115"/>
      <c r="B660" t="s">
        <v>6</v>
      </c>
      <c r="D660" s="39">
        <v>43150</v>
      </c>
      <c r="F660" t="s">
        <v>59</v>
      </c>
      <c r="G660" t="s">
        <v>25</v>
      </c>
      <c r="H660" s="3">
        <v>-7.94</v>
      </c>
      <c r="I660" s="36">
        <f>IF(Log_2018[[#This Row],[My Category]]="NONTRACKED",0,Log_2018[[#This Row],[Raw Amount]])</f>
        <v>-7.94</v>
      </c>
      <c r="J660" s="17">
        <f>ABS(Log_2018[[#This Row],[Amount]])</f>
        <v>7.94</v>
      </c>
      <c r="K660" s="66">
        <v>1</v>
      </c>
      <c r="L660" s="66">
        <f ca="1">IF(Log_2018[[#This Row],[Date]]&lt;=TODAY(), MIN(Log_2018[[#This Row],[Split_raw]], TODAY()-Log_2018[[#This Row],[Date]]+1), 0)</f>
        <v>1</v>
      </c>
      <c r="M660" t="s">
        <v>35</v>
      </c>
      <c r="N660" t="s">
        <v>158</v>
      </c>
      <c r="O660" s="50">
        <v>0</v>
      </c>
      <c r="P660" s="52">
        <f ca="1">Log_2018[[#This Row],[Amount]]/Log_2018[[#This Row],[Split_raw]]*MAX(0,MIN(_xlfn.DAYS(EDATE(P$1,1),Log_2018[[#This Row],[Date]]),Log_2018[[#This Row],[Split_apply]])) - SUM($O660:O660)</f>
        <v>0</v>
      </c>
      <c r="Q660" s="52">
        <f ca="1">Log_2018[[#This Row],[Amount]]/Log_2018[[#This Row],[Split_raw]]*MAX(0,MIN(_xlfn.DAYS(EDATE(Q$1,1),Log_2018[[#This Row],[Date]]),Log_2018[[#This Row],[Split_apply]])) - SUM($O660:P660)</f>
        <v>-7.94</v>
      </c>
      <c r="R660" s="52">
        <f ca="1">Log_2018[[#This Row],[Amount]]/Log_2018[[#This Row],[Split_raw]]*MAX(0,MIN(_xlfn.DAYS(EDATE(R$1,1),Log_2018[[#This Row],[Date]]),Log_2018[[#This Row],[Split_apply]])) - SUM($O660:Q660)</f>
        <v>0</v>
      </c>
      <c r="S660" s="52">
        <f ca="1">Log_2018[[#This Row],[Amount]]/Log_2018[[#This Row],[Split_raw]]*MAX(0,MIN(_xlfn.DAYS(EDATE(S$1,1),Log_2018[[#This Row],[Date]]),Log_2018[[#This Row],[Split_apply]])) - SUM($O660:R660)</f>
        <v>0</v>
      </c>
      <c r="T660" s="52">
        <f ca="1">Log_2018[[#This Row],[Amount]]/Log_2018[[#This Row],[Split_raw]]*MAX(0,MIN(_xlfn.DAYS(EDATE(T$1,1),Log_2018[[#This Row],[Date]]),Log_2018[[#This Row],[Split_apply]])) - SUM($O660:S660)</f>
        <v>0</v>
      </c>
      <c r="U660" s="52">
        <f ca="1">Log_2018[[#This Row],[Amount]]/Log_2018[[#This Row],[Split_raw]]*MAX(0,MIN(_xlfn.DAYS(EDATE(U$1,1),Log_2018[[#This Row],[Date]]),Log_2018[[#This Row],[Split_apply]])) - SUM($O660:T660)</f>
        <v>0</v>
      </c>
      <c r="V660" s="52">
        <f ca="1">Log_2018[[#This Row],[Amount]]/Log_2018[[#This Row],[Split_raw]]*MAX(0,MIN(_xlfn.DAYS(EDATE(V$1,1),Log_2018[[#This Row],[Date]]),Log_2018[[#This Row],[Split_apply]])) - SUM($O660:U660)</f>
        <v>0</v>
      </c>
      <c r="W660" s="52">
        <f ca="1">Log_2018[[#This Row],[Amount]]/Log_2018[[#This Row],[Split_raw]]*MAX(0,MIN(_xlfn.DAYS(EDATE(W$1,1),Log_2018[[#This Row],[Date]]),Log_2018[[#This Row],[Split_apply]])) - SUM($O660:V660)</f>
        <v>0</v>
      </c>
      <c r="X660" s="52">
        <f ca="1">Log_2018[[#This Row],[Amount]]/Log_2018[[#This Row],[Split_raw]]*MAX(0,MIN(_xlfn.DAYS(EDATE(X$1,1),Log_2018[[#This Row],[Date]]),Log_2018[[#This Row],[Split_apply]])) - SUM($O660:W660)</f>
        <v>0</v>
      </c>
      <c r="Y660" s="52">
        <f ca="1">Log_2018[[#This Row],[Amount]]/Log_2018[[#This Row],[Split_raw]]*MAX(0,MIN(_xlfn.DAYS(EDATE(Y$1,1),Log_2018[[#This Row],[Date]]),Log_2018[[#This Row],[Split_apply]])) - SUM($O660:X660)</f>
        <v>0</v>
      </c>
      <c r="Z660" s="52">
        <f ca="1">Log_2018[[#This Row],[Amount]]/Log_2018[[#This Row],[Split_raw]]*MAX(0,MIN(_xlfn.DAYS(EDATE(Z$1,1),Log_2018[[#This Row],[Date]]),Log_2018[[#This Row],[Split_apply]])) - SUM($O660:Y660)</f>
        <v>0</v>
      </c>
      <c r="AA660" s="52">
        <f ca="1">Log_2018[[#This Row],[Amount]]/Log_2018[[#This Row],[Split_raw]]*MAX(0,MIN(_xlfn.DAYS(EDATE(AA$1,1),Log_2018[[#This Row],[Date]]),Log_2018[[#This Row],[Split_apply]])) - SUM($O660:Z660)</f>
        <v>0</v>
      </c>
      <c r="AB660" s="54">
        <f ca="1">Log_2018[[#This Row],[Amount]]-SUM(O660:AA660)</f>
        <v>0</v>
      </c>
      <c r="AC660" s="7">
        <f ca="1">MAX(0,Log_2018[[#This Row],[Split_apply]] - (EDATE(AA$1,1)-Log_2018[[#This Row],[Date]]))</f>
        <v>0</v>
      </c>
    </row>
    <row r="661" spans="1:29" hidden="1" x14ac:dyDescent="0.25">
      <c r="A661" s="115"/>
      <c r="B661" t="s">
        <v>6</v>
      </c>
      <c r="D661" s="39">
        <v>43149</v>
      </c>
      <c r="F661" t="s">
        <v>62</v>
      </c>
      <c r="G661" t="s">
        <v>12</v>
      </c>
      <c r="H661" s="3">
        <v>-85.93</v>
      </c>
      <c r="I661" s="36">
        <f>IF(Log_2018[[#This Row],[My Category]]="NONTRACKED",0,Log_2018[[#This Row],[Raw Amount]])</f>
        <v>-85.93</v>
      </c>
      <c r="J661" s="17">
        <f>ABS(Log_2018[[#This Row],[Amount]])</f>
        <v>85.93</v>
      </c>
      <c r="K661" s="66">
        <v>1</v>
      </c>
      <c r="L661" s="66">
        <f ca="1">IF(Log_2018[[#This Row],[Date]]&lt;=TODAY(), MIN(Log_2018[[#This Row],[Split_raw]], TODAY()-Log_2018[[#This Row],[Date]]+1), 0)</f>
        <v>1</v>
      </c>
      <c r="M661" t="s">
        <v>12</v>
      </c>
      <c r="N661" t="s">
        <v>158</v>
      </c>
      <c r="O661" s="50">
        <v>0</v>
      </c>
      <c r="P661" s="52">
        <f ca="1">Log_2018[[#This Row],[Amount]]/Log_2018[[#This Row],[Split_raw]]*MAX(0,MIN(_xlfn.DAYS(EDATE(P$1,1),Log_2018[[#This Row],[Date]]),Log_2018[[#This Row],[Split_apply]])) - SUM($O661:O661)</f>
        <v>0</v>
      </c>
      <c r="Q661" s="52">
        <f ca="1">Log_2018[[#This Row],[Amount]]/Log_2018[[#This Row],[Split_raw]]*MAX(0,MIN(_xlfn.DAYS(EDATE(Q$1,1),Log_2018[[#This Row],[Date]]),Log_2018[[#This Row],[Split_apply]])) - SUM($O661:P661)</f>
        <v>-85.93</v>
      </c>
      <c r="R661" s="52">
        <f ca="1">Log_2018[[#This Row],[Amount]]/Log_2018[[#This Row],[Split_raw]]*MAX(0,MIN(_xlfn.DAYS(EDATE(R$1,1),Log_2018[[#This Row],[Date]]),Log_2018[[#This Row],[Split_apply]])) - SUM($O661:Q661)</f>
        <v>0</v>
      </c>
      <c r="S661" s="52">
        <f ca="1">Log_2018[[#This Row],[Amount]]/Log_2018[[#This Row],[Split_raw]]*MAX(0,MIN(_xlfn.DAYS(EDATE(S$1,1),Log_2018[[#This Row],[Date]]),Log_2018[[#This Row],[Split_apply]])) - SUM($O661:R661)</f>
        <v>0</v>
      </c>
      <c r="T661" s="52">
        <f ca="1">Log_2018[[#This Row],[Amount]]/Log_2018[[#This Row],[Split_raw]]*MAX(0,MIN(_xlfn.DAYS(EDATE(T$1,1),Log_2018[[#This Row],[Date]]),Log_2018[[#This Row],[Split_apply]])) - SUM($O661:S661)</f>
        <v>0</v>
      </c>
      <c r="U661" s="52">
        <f ca="1">Log_2018[[#This Row],[Amount]]/Log_2018[[#This Row],[Split_raw]]*MAX(0,MIN(_xlfn.DAYS(EDATE(U$1,1),Log_2018[[#This Row],[Date]]),Log_2018[[#This Row],[Split_apply]])) - SUM($O661:T661)</f>
        <v>0</v>
      </c>
      <c r="V661" s="52">
        <f ca="1">Log_2018[[#This Row],[Amount]]/Log_2018[[#This Row],[Split_raw]]*MAX(0,MIN(_xlfn.DAYS(EDATE(V$1,1),Log_2018[[#This Row],[Date]]),Log_2018[[#This Row],[Split_apply]])) - SUM($O661:U661)</f>
        <v>0</v>
      </c>
      <c r="W661" s="52">
        <f ca="1">Log_2018[[#This Row],[Amount]]/Log_2018[[#This Row],[Split_raw]]*MAX(0,MIN(_xlfn.DAYS(EDATE(W$1,1),Log_2018[[#This Row],[Date]]),Log_2018[[#This Row],[Split_apply]])) - SUM($O661:V661)</f>
        <v>0</v>
      </c>
      <c r="X661" s="52">
        <f ca="1">Log_2018[[#This Row],[Amount]]/Log_2018[[#This Row],[Split_raw]]*MAX(0,MIN(_xlfn.DAYS(EDATE(X$1,1),Log_2018[[#This Row],[Date]]),Log_2018[[#This Row],[Split_apply]])) - SUM($O661:W661)</f>
        <v>0</v>
      </c>
      <c r="Y661" s="52">
        <f ca="1">Log_2018[[#This Row],[Amount]]/Log_2018[[#This Row],[Split_raw]]*MAX(0,MIN(_xlfn.DAYS(EDATE(Y$1,1),Log_2018[[#This Row],[Date]]),Log_2018[[#This Row],[Split_apply]])) - SUM($O661:X661)</f>
        <v>0</v>
      </c>
      <c r="Z661" s="52">
        <f ca="1">Log_2018[[#This Row],[Amount]]/Log_2018[[#This Row],[Split_raw]]*MAX(0,MIN(_xlfn.DAYS(EDATE(Z$1,1),Log_2018[[#This Row],[Date]]),Log_2018[[#This Row],[Split_apply]])) - SUM($O661:Y661)</f>
        <v>0</v>
      </c>
      <c r="AA661" s="52">
        <f ca="1">Log_2018[[#This Row],[Amount]]/Log_2018[[#This Row],[Split_raw]]*MAX(0,MIN(_xlfn.DAYS(EDATE(AA$1,1),Log_2018[[#This Row],[Date]]),Log_2018[[#This Row],[Split_apply]])) - SUM($O661:Z661)</f>
        <v>0</v>
      </c>
      <c r="AB661" s="54">
        <f ca="1">Log_2018[[#This Row],[Amount]]-SUM(O661:AA661)</f>
        <v>0</v>
      </c>
      <c r="AC661" s="7">
        <f ca="1">MAX(0,Log_2018[[#This Row],[Split_apply]] - (EDATE(AA$1,1)-Log_2018[[#This Row],[Date]]))</f>
        <v>0</v>
      </c>
    </row>
    <row r="662" spans="1:29" hidden="1" x14ac:dyDescent="0.25">
      <c r="A662" s="115"/>
      <c r="B662" t="s">
        <v>6</v>
      </c>
      <c r="D662" s="39">
        <v>43147</v>
      </c>
      <c r="F662" t="s">
        <v>68</v>
      </c>
      <c r="G662" t="s">
        <v>11</v>
      </c>
      <c r="H662" s="3">
        <v>-194.42</v>
      </c>
      <c r="I662" s="36">
        <f>IF(Log_2018[[#This Row],[My Category]]="NONTRACKED",0,Log_2018[[#This Row],[Raw Amount]])</f>
        <v>-194.42</v>
      </c>
      <c r="J662" s="17">
        <f>ABS(Log_2018[[#This Row],[Amount]])</f>
        <v>194.42</v>
      </c>
      <c r="K662" s="66">
        <v>1</v>
      </c>
      <c r="L662" s="66">
        <f ca="1">IF(Log_2018[[#This Row],[Date]]&lt;=TODAY(), MIN(Log_2018[[#This Row],[Split_raw]], TODAY()-Log_2018[[#This Row],[Date]]+1), 0)</f>
        <v>1</v>
      </c>
      <c r="M662" t="s">
        <v>145</v>
      </c>
      <c r="N662" t="s">
        <v>158</v>
      </c>
      <c r="O662" s="50">
        <v>0</v>
      </c>
      <c r="P662" s="52">
        <f ca="1">Log_2018[[#This Row],[Amount]]/Log_2018[[#This Row],[Split_raw]]*MAX(0,MIN(_xlfn.DAYS(EDATE(P$1,1),Log_2018[[#This Row],[Date]]),Log_2018[[#This Row],[Split_apply]])) - SUM($O662:O662)</f>
        <v>0</v>
      </c>
      <c r="Q662" s="52">
        <f ca="1">Log_2018[[#This Row],[Amount]]/Log_2018[[#This Row],[Split_raw]]*MAX(0,MIN(_xlfn.DAYS(EDATE(Q$1,1),Log_2018[[#This Row],[Date]]),Log_2018[[#This Row],[Split_apply]])) - SUM($O662:P662)</f>
        <v>-194.42</v>
      </c>
      <c r="R662" s="52">
        <f ca="1">Log_2018[[#This Row],[Amount]]/Log_2018[[#This Row],[Split_raw]]*MAX(0,MIN(_xlfn.DAYS(EDATE(R$1,1),Log_2018[[#This Row],[Date]]),Log_2018[[#This Row],[Split_apply]])) - SUM($O662:Q662)</f>
        <v>0</v>
      </c>
      <c r="S662" s="52">
        <f ca="1">Log_2018[[#This Row],[Amount]]/Log_2018[[#This Row],[Split_raw]]*MAX(0,MIN(_xlfn.DAYS(EDATE(S$1,1),Log_2018[[#This Row],[Date]]),Log_2018[[#This Row],[Split_apply]])) - SUM($O662:R662)</f>
        <v>0</v>
      </c>
      <c r="T662" s="52">
        <f ca="1">Log_2018[[#This Row],[Amount]]/Log_2018[[#This Row],[Split_raw]]*MAX(0,MIN(_xlfn.DAYS(EDATE(T$1,1),Log_2018[[#This Row],[Date]]),Log_2018[[#This Row],[Split_apply]])) - SUM($O662:S662)</f>
        <v>0</v>
      </c>
      <c r="U662" s="52">
        <f ca="1">Log_2018[[#This Row],[Amount]]/Log_2018[[#This Row],[Split_raw]]*MAX(0,MIN(_xlfn.DAYS(EDATE(U$1,1),Log_2018[[#This Row],[Date]]),Log_2018[[#This Row],[Split_apply]])) - SUM($O662:T662)</f>
        <v>0</v>
      </c>
      <c r="V662" s="52">
        <f ca="1">Log_2018[[#This Row],[Amount]]/Log_2018[[#This Row],[Split_raw]]*MAX(0,MIN(_xlfn.DAYS(EDATE(V$1,1),Log_2018[[#This Row],[Date]]),Log_2018[[#This Row],[Split_apply]])) - SUM($O662:U662)</f>
        <v>0</v>
      </c>
      <c r="W662" s="52">
        <f ca="1">Log_2018[[#This Row],[Amount]]/Log_2018[[#This Row],[Split_raw]]*MAX(0,MIN(_xlfn.DAYS(EDATE(W$1,1),Log_2018[[#This Row],[Date]]),Log_2018[[#This Row],[Split_apply]])) - SUM($O662:V662)</f>
        <v>0</v>
      </c>
      <c r="X662" s="52">
        <f ca="1">Log_2018[[#This Row],[Amount]]/Log_2018[[#This Row],[Split_raw]]*MAX(0,MIN(_xlfn.DAYS(EDATE(X$1,1),Log_2018[[#This Row],[Date]]),Log_2018[[#This Row],[Split_apply]])) - SUM($O662:W662)</f>
        <v>0</v>
      </c>
      <c r="Y662" s="52">
        <f ca="1">Log_2018[[#This Row],[Amount]]/Log_2018[[#This Row],[Split_raw]]*MAX(0,MIN(_xlfn.DAYS(EDATE(Y$1,1),Log_2018[[#This Row],[Date]]),Log_2018[[#This Row],[Split_apply]])) - SUM($O662:X662)</f>
        <v>0</v>
      </c>
      <c r="Z662" s="52">
        <f ca="1">Log_2018[[#This Row],[Amount]]/Log_2018[[#This Row],[Split_raw]]*MAX(0,MIN(_xlfn.DAYS(EDATE(Z$1,1),Log_2018[[#This Row],[Date]]),Log_2018[[#This Row],[Split_apply]])) - SUM($O662:Y662)</f>
        <v>0</v>
      </c>
      <c r="AA662" s="52">
        <f ca="1">Log_2018[[#This Row],[Amount]]/Log_2018[[#This Row],[Split_raw]]*MAX(0,MIN(_xlfn.DAYS(EDATE(AA$1,1),Log_2018[[#This Row],[Date]]),Log_2018[[#This Row],[Split_apply]])) - SUM($O662:Z662)</f>
        <v>0</v>
      </c>
      <c r="AB662" s="54">
        <f ca="1">Log_2018[[#This Row],[Amount]]-SUM(O662:AA662)</f>
        <v>0</v>
      </c>
      <c r="AC662" s="7">
        <f ca="1">MAX(0,Log_2018[[#This Row],[Split_apply]] - (EDATE(AA$1,1)-Log_2018[[#This Row],[Date]]))</f>
        <v>0</v>
      </c>
    </row>
    <row r="663" spans="1:29" hidden="1" x14ac:dyDescent="0.25">
      <c r="A663" s="115"/>
      <c r="B663" t="s">
        <v>6</v>
      </c>
      <c r="D663" s="39">
        <v>43147</v>
      </c>
      <c r="F663" t="s">
        <v>105</v>
      </c>
      <c r="G663" t="s">
        <v>104</v>
      </c>
      <c r="H663" s="3">
        <v>281.58</v>
      </c>
      <c r="I663" s="36">
        <f>IF(Log_2018[[#This Row],[My Category]]="NONTRACKED",0,Log_2018[[#This Row],[Raw Amount]])</f>
        <v>281.58</v>
      </c>
      <c r="J663" s="17">
        <f>ABS(Log_2018[[#This Row],[Amount]])</f>
        <v>281.58</v>
      </c>
      <c r="K663" s="66">
        <v>1</v>
      </c>
      <c r="L663" s="66">
        <f ca="1">IF(Log_2018[[#This Row],[Date]]&lt;=TODAY(), MIN(Log_2018[[#This Row],[Split_raw]], TODAY()-Log_2018[[#This Row],[Date]]+1), 0)</f>
        <v>1</v>
      </c>
      <c r="M663" t="s">
        <v>159</v>
      </c>
      <c r="N663" t="s">
        <v>158</v>
      </c>
      <c r="O663" s="50">
        <v>0</v>
      </c>
      <c r="P663" s="52">
        <f ca="1">Log_2018[[#This Row],[Amount]]/Log_2018[[#This Row],[Split_raw]]*MAX(0,MIN(_xlfn.DAYS(EDATE(P$1,1),Log_2018[[#This Row],[Date]]),Log_2018[[#This Row],[Split_apply]])) - SUM($O663:O663)</f>
        <v>0</v>
      </c>
      <c r="Q663" s="52">
        <f ca="1">Log_2018[[#This Row],[Amount]]/Log_2018[[#This Row],[Split_raw]]*MAX(0,MIN(_xlfn.DAYS(EDATE(Q$1,1),Log_2018[[#This Row],[Date]]),Log_2018[[#This Row],[Split_apply]])) - SUM($O663:P663)</f>
        <v>281.58</v>
      </c>
      <c r="R663" s="52">
        <f ca="1">Log_2018[[#This Row],[Amount]]/Log_2018[[#This Row],[Split_raw]]*MAX(0,MIN(_xlfn.DAYS(EDATE(R$1,1),Log_2018[[#This Row],[Date]]),Log_2018[[#This Row],[Split_apply]])) - SUM($O663:Q663)</f>
        <v>0</v>
      </c>
      <c r="S663" s="52">
        <f ca="1">Log_2018[[#This Row],[Amount]]/Log_2018[[#This Row],[Split_raw]]*MAX(0,MIN(_xlfn.DAYS(EDATE(S$1,1),Log_2018[[#This Row],[Date]]),Log_2018[[#This Row],[Split_apply]])) - SUM($O663:R663)</f>
        <v>0</v>
      </c>
      <c r="T663" s="52">
        <f ca="1">Log_2018[[#This Row],[Amount]]/Log_2018[[#This Row],[Split_raw]]*MAX(0,MIN(_xlfn.DAYS(EDATE(T$1,1),Log_2018[[#This Row],[Date]]),Log_2018[[#This Row],[Split_apply]])) - SUM($O663:S663)</f>
        <v>0</v>
      </c>
      <c r="U663" s="52">
        <f ca="1">Log_2018[[#This Row],[Amount]]/Log_2018[[#This Row],[Split_raw]]*MAX(0,MIN(_xlfn.DAYS(EDATE(U$1,1),Log_2018[[#This Row],[Date]]),Log_2018[[#This Row],[Split_apply]])) - SUM($O663:T663)</f>
        <v>0</v>
      </c>
      <c r="V663" s="52">
        <f ca="1">Log_2018[[#This Row],[Amount]]/Log_2018[[#This Row],[Split_raw]]*MAX(0,MIN(_xlfn.DAYS(EDATE(V$1,1),Log_2018[[#This Row],[Date]]),Log_2018[[#This Row],[Split_apply]])) - SUM($O663:U663)</f>
        <v>0</v>
      </c>
      <c r="W663" s="52">
        <f ca="1">Log_2018[[#This Row],[Amount]]/Log_2018[[#This Row],[Split_raw]]*MAX(0,MIN(_xlfn.DAYS(EDATE(W$1,1),Log_2018[[#This Row],[Date]]),Log_2018[[#This Row],[Split_apply]])) - SUM($O663:V663)</f>
        <v>0</v>
      </c>
      <c r="X663" s="52">
        <f ca="1">Log_2018[[#This Row],[Amount]]/Log_2018[[#This Row],[Split_raw]]*MAX(0,MIN(_xlfn.DAYS(EDATE(X$1,1),Log_2018[[#This Row],[Date]]),Log_2018[[#This Row],[Split_apply]])) - SUM($O663:W663)</f>
        <v>0</v>
      </c>
      <c r="Y663" s="52">
        <f ca="1">Log_2018[[#This Row],[Amount]]/Log_2018[[#This Row],[Split_raw]]*MAX(0,MIN(_xlfn.DAYS(EDATE(Y$1,1),Log_2018[[#This Row],[Date]]),Log_2018[[#This Row],[Split_apply]])) - SUM($O663:X663)</f>
        <v>0</v>
      </c>
      <c r="Z663" s="52">
        <f ca="1">Log_2018[[#This Row],[Amount]]/Log_2018[[#This Row],[Split_raw]]*MAX(0,MIN(_xlfn.DAYS(EDATE(Z$1,1),Log_2018[[#This Row],[Date]]),Log_2018[[#This Row],[Split_apply]])) - SUM($O663:Y663)</f>
        <v>0</v>
      </c>
      <c r="AA663" s="52">
        <f ca="1">Log_2018[[#This Row],[Amount]]/Log_2018[[#This Row],[Split_raw]]*MAX(0,MIN(_xlfn.DAYS(EDATE(AA$1,1),Log_2018[[#This Row],[Date]]),Log_2018[[#This Row],[Split_apply]])) - SUM($O663:Z663)</f>
        <v>0</v>
      </c>
      <c r="AB663" s="54">
        <f ca="1">Log_2018[[#This Row],[Amount]]-SUM(O663:AA663)</f>
        <v>0</v>
      </c>
      <c r="AC663" s="7">
        <f ca="1">MAX(0,Log_2018[[#This Row],[Split_apply]] - (EDATE(AA$1,1)-Log_2018[[#This Row],[Date]]))</f>
        <v>0</v>
      </c>
    </row>
    <row r="664" spans="1:29" hidden="1" x14ac:dyDescent="0.25">
      <c r="A664" s="115"/>
      <c r="B664" t="s">
        <v>6</v>
      </c>
      <c r="D664" s="39">
        <v>43147</v>
      </c>
      <c r="F664" t="s">
        <v>59</v>
      </c>
      <c r="G664" t="s">
        <v>25</v>
      </c>
      <c r="H664" s="3">
        <v>-9.07</v>
      </c>
      <c r="I664" s="36">
        <f>IF(Log_2018[[#This Row],[My Category]]="NONTRACKED",0,Log_2018[[#This Row],[Raw Amount]])</f>
        <v>-9.07</v>
      </c>
      <c r="J664" s="17">
        <f>ABS(Log_2018[[#This Row],[Amount]])</f>
        <v>9.07</v>
      </c>
      <c r="K664" s="66">
        <v>1</v>
      </c>
      <c r="L664" s="66">
        <f ca="1">IF(Log_2018[[#This Row],[Date]]&lt;=TODAY(), MIN(Log_2018[[#This Row],[Split_raw]], TODAY()-Log_2018[[#This Row],[Date]]+1), 0)</f>
        <v>1</v>
      </c>
      <c r="M664" t="s">
        <v>35</v>
      </c>
      <c r="N664" t="s">
        <v>158</v>
      </c>
      <c r="O664" s="50">
        <v>0</v>
      </c>
      <c r="P664" s="52">
        <f ca="1">Log_2018[[#This Row],[Amount]]/Log_2018[[#This Row],[Split_raw]]*MAX(0,MIN(_xlfn.DAYS(EDATE(P$1,1),Log_2018[[#This Row],[Date]]),Log_2018[[#This Row],[Split_apply]])) - SUM($O664:O664)</f>
        <v>0</v>
      </c>
      <c r="Q664" s="52">
        <f ca="1">Log_2018[[#This Row],[Amount]]/Log_2018[[#This Row],[Split_raw]]*MAX(0,MIN(_xlfn.DAYS(EDATE(Q$1,1),Log_2018[[#This Row],[Date]]),Log_2018[[#This Row],[Split_apply]])) - SUM($O664:P664)</f>
        <v>-9.07</v>
      </c>
      <c r="R664" s="52">
        <f ca="1">Log_2018[[#This Row],[Amount]]/Log_2018[[#This Row],[Split_raw]]*MAX(0,MIN(_xlfn.DAYS(EDATE(R$1,1),Log_2018[[#This Row],[Date]]),Log_2018[[#This Row],[Split_apply]])) - SUM($O664:Q664)</f>
        <v>0</v>
      </c>
      <c r="S664" s="52">
        <f ca="1">Log_2018[[#This Row],[Amount]]/Log_2018[[#This Row],[Split_raw]]*MAX(0,MIN(_xlfn.DAYS(EDATE(S$1,1),Log_2018[[#This Row],[Date]]),Log_2018[[#This Row],[Split_apply]])) - SUM($O664:R664)</f>
        <v>0</v>
      </c>
      <c r="T664" s="52">
        <f ca="1">Log_2018[[#This Row],[Amount]]/Log_2018[[#This Row],[Split_raw]]*MAX(0,MIN(_xlfn.DAYS(EDATE(T$1,1),Log_2018[[#This Row],[Date]]),Log_2018[[#This Row],[Split_apply]])) - SUM($O664:S664)</f>
        <v>0</v>
      </c>
      <c r="U664" s="52">
        <f ca="1">Log_2018[[#This Row],[Amount]]/Log_2018[[#This Row],[Split_raw]]*MAX(0,MIN(_xlfn.DAYS(EDATE(U$1,1),Log_2018[[#This Row],[Date]]),Log_2018[[#This Row],[Split_apply]])) - SUM($O664:T664)</f>
        <v>0</v>
      </c>
      <c r="V664" s="52">
        <f ca="1">Log_2018[[#This Row],[Amount]]/Log_2018[[#This Row],[Split_raw]]*MAX(0,MIN(_xlfn.DAYS(EDATE(V$1,1),Log_2018[[#This Row],[Date]]),Log_2018[[#This Row],[Split_apply]])) - SUM($O664:U664)</f>
        <v>0</v>
      </c>
      <c r="W664" s="52">
        <f ca="1">Log_2018[[#This Row],[Amount]]/Log_2018[[#This Row],[Split_raw]]*MAX(0,MIN(_xlfn.DAYS(EDATE(W$1,1),Log_2018[[#This Row],[Date]]),Log_2018[[#This Row],[Split_apply]])) - SUM($O664:V664)</f>
        <v>0</v>
      </c>
      <c r="X664" s="52">
        <f ca="1">Log_2018[[#This Row],[Amount]]/Log_2018[[#This Row],[Split_raw]]*MAX(0,MIN(_xlfn.DAYS(EDATE(X$1,1),Log_2018[[#This Row],[Date]]),Log_2018[[#This Row],[Split_apply]])) - SUM($O664:W664)</f>
        <v>0</v>
      </c>
      <c r="Y664" s="52">
        <f ca="1">Log_2018[[#This Row],[Amount]]/Log_2018[[#This Row],[Split_raw]]*MAX(0,MIN(_xlfn.DAYS(EDATE(Y$1,1),Log_2018[[#This Row],[Date]]),Log_2018[[#This Row],[Split_apply]])) - SUM($O664:X664)</f>
        <v>0</v>
      </c>
      <c r="Z664" s="52">
        <f ca="1">Log_2018[[#This Row],[Amount]]/Log_2018[[#This Row],[Split_raw]]*MAX(0,MIN(_xlfn.DAYS(EDATE(Z$1,1),Log_2018[[#This Row],[Date]]),Log_2018[[#This Row],[Split_apply]])) - SUM($O664:Y664)</f>
        <v>0</v>
      </c>
      <c r="AA664" s="52">
        <f ca="1">Log_2018[[#This Row],[Amount]]/Log_2018[[#This Row],[Split_raw]]*MAX(0,MIN(_xlfn.DAYS(EDATE(AA$1,1),Log_2018[[#This Row],[Date]]),Log_2018[[#This Row],[Split_apply]])) - SUM($O664:Z664)</f>
        <v>0</v>
      </c>
      <c r="AB664" s="54">
        <f ca="1">Log_2018[[#This Row],[Amount]]-SUM(O664:AA664)</f>
        <v>0</v>
      </c>
      <c r="AC664" s="7">
        <f ca="1">MAX(0,Log_2018[[#This Row],[Split_apply]] - (EDATE(AA$1,1)-Log_2018[[#This Row],[Date]]))</f>
        <v>0</v>
      </c>
    </row>
    <row r="665" spans="1:29" hidden="1" x14ac:dyDescent="0.25">
      <c r="A665" s="115"/>
      <c r="B665" t="s">
        <v>6</v>
      </c>
      <c r="D665" s="39">
        <v>43147</v>
      </c>
      <c r="F665" t="s">
        <v>67</v>
      </c>
      <c r="G665" t="s">
        <v>25</v>
      </c>
      <c r="H665" s="3">
        <v>-7.81</v>
      </c>
      <c r="I665" s="36">
        <f>IF(Log_2018[[#This Row],[My Category]]="NONTRACKED",0,Log_2018[[#This Row],[Raw Amount]])</f>
        <v>-7.81</v>
      </c>
      <c r="J665" s="17">
        <f>ABS(Log_2018[[#This Row],[Amount]])</f>
        <v>7.81</v>
      </c>
      <c r="K665" s="66">
        <v>1</v>
      </c>
      <c r="L665" s="66">
        <f ca="1">IF(Log_2018[[#This Row],[Date]]&lt;=TODAY(), MIN(Log_2018[[#This Row],[Split_raw]], TODAY()-Log_2018[[#This Row],[Date]]+1), 0)</f>
        <v>1</v>
      </c>
      <c r="M665" t="s">
        <v>35</v>
      </c>
      <c r="N665" t="s">
        <v>158</v>
      </c>
      <c r="O665" s="50">
        <v>0</v>
      </c>
      <c r="P665" s="52">
        <f ca="1">Log_2018[[#This Row],[Amount]]/Log_2018[[#This Row],[Split_raw]]*MAX(0,MIN(_xlfn.DAYS(EDATE(P$1,1),Log_2018[[#This Row],[Date]]),Log_2018[[#This Row],[Split_apply]])) - SUM($O665:O665)</f>
        <v>0</v>
      </c>
      <c r="Q665" s="52">
        <f ca="1">Log_2018[[#This Row],[Amount]]/Log_2018[[#This Row],[Split_raw]]*MAX(0,MIN(_xlfn.DAYS(EDATE(Q$1,1),Log_2018[[#This Row],[Date]]),Log_2018[[#This Row],[Split_apply]])) - SUM($O665:P665)</f>
        <v>-7.81</v>
      </c>
      <c r="R665" s="52">
        <f ca="1">Log_2018[[#This Row],[Amount]]/Log_2018[[#This Row],[Split_raw]]*MAX(0,MIN(_xlfn.DAYS(EDATE(R$1,1),Log_2018[[#This Row],[Date]]),Log_2018[[#This Row],[Split_apply]])) - SUM($O665:Q665)</f>
        <v>0</v>
      </c>
      <c r="S665" s="52">
        <f ca="1">Log_2018[[#This Row],[Amount]]/Log_2018[[#This Row],[Split_raw]]*MAX(0,MIN(_xlfn.DAYS(EDATE(S$1,1),Log_2018[[#This Row],[Date]]),Log_2018[[#This Row],[Split_apply]])) - SUM($O665:R665)</f>
        <v>0</v>
      </c>
      <c r="T665" s="52">
        <f ca="1">Log_2018[[#This Row],[Amount]]/Log_2018[[#This Row],[Split_raw]]*MAX(0,MIN(_xlfn.DAYS(EDATE(T$1,1),Log_2018[[#This Row],[Date]]),Log_2018[[#This Row],[Split_apply]])) - SUM($O665:S665)</f>
        <v>0</v>
      </c>
      <c r="U665" s="52">
        <f ca="1">Log_2018[[#This Row],[Amount]]/Log_2018[[#This Row],[Split_raw]]*MAX(0,MIN(_xlfn.DAYS(EDATE(U$1,1),Log_2018[[#This Row],[Date]]),Log_2018[[#This Row],[Split_apply]])) - SUM($O665:T665)</f>
        <v>0</v>
      </c>
      <c r="V665" s="52">
        <f ca="1">Log_2018[[#This Row],[Amount]]/Log_2018[[#This Row],[Split_raw]]*MAX(0,MIN(_xlfn.DAYS(EDATE(V$1,1),Log_2018[[#This Row],[Date]]),Log_2018[[#This Row],[Split_apply]])) - SUM($O665:U665)</f>
        <v>0</v>
      </c>
      <c r="W665" s="52">
        <f ca="1">Log_2018[[#This Row],[Amount]]/Log_2018[[#This Row],[Split_raw]]*MAX(0,MIN(_xlfn.DAYS(EDATE(W$1,1),Log_2018[[#This Row],[Date]]),Log_2018[[#This Row],[Split_apply]])) - SUM($O665:V665)</f>
        <v>0</v>
      </c>
      <c r="X665" s="52">
        <f ca="1">Log_2018[[#This Row],[Amount]]/Log_2018[[#This Row],[Split_raw]]*MAX(0,MIN(_xlfn.DAYS(EDATE(X$1,1),Log_2018[[#This Row],[Date]]),Log_2018[[#This Row],[Split_apply]])) - SUM($O665:W665)</f>
        <v>0</v>
      </c>
      <c r="Y665" s="52">
        <f ca="1">Log_2018[[#This Row],[Amount]]/Log_2018[[#This Row],[Split_raw]]*MAX(0,MIN(_xlfn.DAYS(EDATE(Y$1,1),Log_2018[[#This Row],[Date]]),Log_2018[[#This Row],[Split_apply]])) - SUM($O665:X665)</f>
        <v>0</v>
      </c>
      <c r="Z665" s="52">
        <f ca="1">Log_2018[[#This Row],[Amount]]/Log_2018[[#This Row],[Split_raw]]*MAX(0,MIN(_xlfn.DAYS(EDATE(Z$1,1),Log_2018[[#This Row],[Date]]),Log_2018[[#This Row],[Split_apply]])) - SUM($O665:Y665)</f>
        <v>0</v>
      </c>
      <c r="AA665" s="52">
        <f ca="1">Log_2018[[#This Row],[Amount]]/Log_2018[[#This Row],[Split_raw]]*MAX(0,MIN(_xlfn.DAYS(EDATE(AA$1,1),Log_2018[[#This Row],[Date]]),Log_2018[[#This Row],[Split_apply]])) - SUM($O665:Z665)</f>
        <v>0</v>
      </c>
      <c r="AB665" s="54">
        <f ca="1">Log_2018[[#This Row],[Amount]]-SUM(O665:AA665)</f>
        <v>0</v>
      </c>
      <c r="AC665" s="7">
        <f ca="1">MAX(0,Log_2018[[#This Row],[Split_apply]] - (EDATE(AA$1,1)-Log_2018[[#This Row],[Date]]))</f>
        <v>0</v>
      </c>
    </row>
    <row r="666" spans="1:29" hidden="1" x14ac:dyDescent="0.25">
      <c r="A666" s="115"/>
      <c r="B666" t="s">
        <v>6</v>
      </c>
      <c r="D666" s="26">
        <v>43147</v>
      </c>
      <c r="F666" t="s">
        <v>69</v>
      </c>
      <c r="G666" t="s">
        <v>25</v>
      </c>
      <c r="H666" s="3">
        <v>-28.25</v>
      </c>
      <c r="I666" s="36">
        <f>IF(Log_2018[[#This Row],[My Category]]="NONTRACKED",0,Log_2018[[#This Row],[Raw Amount]])</f>
        <v>-28.25</v>
      </c>
      <c r="J666" s="17">
        <f>ABS(Log_2018[[#This Row],[Amount]])</f>
        <v>28.25</v>
      </c>
      <c r="K666" s="66">
        <v>1</v>
      </c>
      <c r="L666" s="66">
        <f ca="1">IF(Log_2018[[#This Row],[Date]]&lt;=TODAY(), MIN(Log_2018[[#This Row],[Split_raw]], TODAY()-Log_2018[[#This Row],[Date]]+1), 0)</f>
        <v>1</v>
      </c>
      <c r="M666" t="s">
        <v>52</v>
      </c>
      <c r="N666" t="s">
        <v>158</v>
      </c>
      <c r="O666" s="50">
        <v>0</v>
      </c>
      <c r="P666" s="52">
        <f ca="1">Log_2018[[#This Row],[Amount]]/Log_2018[[#This Row],[Split_raw]]*MAX(0,MIN(_xlfn.DAYS(EDATE(P$1,1),Log_2018[[#This Row],[Date]]),Log_2018[[#This Row],[Split_apply]])) - SUM($O666:O666)</f>
        <v>0</v>
      </c>
      <c r="Q666" s="52">
        <f ca="1">Log_2018[[#This Row],[Amount]]/Log_2018[[#This Row],[Split_raw]]*MAX(0,MIN(_xlfn.DAYS(EDATE(Q$1,1),Log_2018[[#This Row],[Date]]),Log_2018[[#This Row],[Split_apply]])) - SUM($O666:P666)</f>
        <v>-28.25</v>
      </c>
      <c r="R666" s="52">
        <f ca="1">Log_2018[[#This Row],[Amount]]/Log_2018[[#This Row],[Split_raw]]*MAX(0,MIN(_xlfn.DAYS(EDATE(R$1,1),Log_2018[[#This Row],[Date]]),Log_2018[[#This Row],[Split_apply]])) - SUM($O666:Q666)</f>
        <v>0</v>
      </c>
      <c r="S666" s="52">
        <f ca="1">Log_2018[[#This Row],[Amount]]/Log_2018[[#This Row],[Split_raw]]*MAX(0,MIN(_xlfn.DAYS(EDATE(S$1,1),Log_2018[[#This Row],[Date]]),Log_2018[[#This Row],[Split_apply]])) - SUM($O666:R666)</f>
        <v>0</v>
      </c>
      <c r="T666" s="52">
        <f ca="1">Log_2018[[#This Row],[Amount]]/Log_2018[[#This Row],[Split_raw]]*MAX(0,MIN(_xlfn.DAYS(EDATE(T$1,1),Log_2018[[#This Row],[Date]]),Log_2018[[#This Row],[Split_apply]])) - SUM($O666:S666)</f>
        <v>0</v>
      </c>
      <c r="U666" s="52">
        <f ca="1">Log_2018[[#This Row],[Amount]]/Log_2018[[#This Row],[Split_raw]]*MAX(0,MIN(_xlfn.DAYS(EDATE(U$1,1),Log_2018[[#This Row],[Date]]),Log_2018[[#This Row],[Split_apply]])) - SUM($O666:T666)</f>
        <v>0</v>
      </c>
      <c r="V666" s="52">
        <f ca="1">Log_2018[[#This Row],[Amount]]/Log_2018[[#This Row],[Split_raw]]*MAX(0,MIN(_xlfn.DAYS(EDATE(V$1,1),Log_2018[[#This Row],[Date]]),Log_2018[[#This Row],[Split_apply]])) - SUM($O666:U666)</f>
        <v>0</v>
      </c>
      <c r="W666" s="52">
        <f ca="1">Log_2018[[#This Row],[Amount]]/Log_2018[[#This Row],[Split_raw]]*MAX(0,MIN(_xlfn.DAYS(EDATE(W$1,1),Log_2018[[#This Row],[Date]]),Log_2018[[#This Row],[Split_apply]])) - SUM($O666:V666)</f>
        <v>0</v>
      </c>
      <c r="X666" s="52">
        <f ca="1">Log_2018[[#This Row],[Amount]]/Log_2018[[#This Row],[Split_raw]]*MAX(0,MIN(_xlfn.DAYS(EDATE(X$1,1),Log_2018[[#This Row],[Date]]),Log_2018[[#This Row],[Split_apply]])) - SUM($O666:W666)</f>
        <v>0</v>
      </c>
      <c r="Y666" s="52">
        <f ca="1">Log_2018[[#This Row],[Amount]]/Log_2018[[#This Row],[Split_raw]]*MAX(0,MIN(_xlfn.DAYS(EDATE(Y$1,1),Log_2018[[#This Row],[Date]]),Log_2018[[#This Row],[Split_apply]])) - SUM($O666:X666)</f>
        <v>0</v>
      </c>
      <c r="Z666" s="52">
        <f ca="1">Log_2018[[#This Row],[Amount]]/Log_2018[[#This Row],[Split_raw]]*MAX(0,MIN(_xlfn.DAYS(EDATE(Z$1,1),Log_2018[[#This Row],[Date]]),Log_2018[[#This Row],[Split_apply]])) - SUM($O666:Y666)</f>
        <v>0</v>
      </c>
      <c r="AA666" s="52">
        <f ca="1">Log_2018[[#This Row],[Amount]]/Log_2018[[#This Row],[Split_raw]]*MAX(0,MIN(_xlfn.DAYS(EDATE(AA$1,1),Log_2018[[#This Row],[Date]]),Log_2018[[#This Row],[Split_apply]])) - SUM($O666:Z666)</f>
        <v>0</v>
      </c>
      <c r="AB666" s="54">
        <f ca="1">Log_2018[[#This Row],[Amount]]-SUM(O666:AA666)</f>
        <v>0</v>
      </c>
      <c r="AC666" s="7">
        <f ca="1">MAX(0,Log_2018[[#This Row],[Split_apply]] - (EDATE(AA$1,1)-Log_2018[[#This Row],[Date]]))</f>
        <v>0</v>
      </c>
    </row>
    <row r="667" spans="1:29" hidden="1" x14ac:dyDescent="0.25">
      <c r="A667" s="115"/>
      <c r="B667" t="s">
        <v>6</v>
      </c>
      <c r="D667" s="26">
        <v>43147</v>
      </c>
      <c r="F667" t="s">
        <v>78</v>
      </c>
      <c r="G667" t="s">
        <v>19</v>
      </c>
      <c r="H667" s="3">
        <v>-20</v>
      </c>
      <c r="I667" s="36">
        <f>IF(Log_2018[[#This Row],[My Category]]="NONTRACKED",0,Log_2018[[#This Row],[Raw Amount]])</f>
        <v>-20</v>
      </c>
      <c r="J667" s="17">
        <f>ABS(Log_2018[[#This Row],[Amount]])</f>
        <v>20</v>
      </c>
      <c r="K667" s="66">
        <v>1</v>
      </c>
      <c r="L667" s="66">
        <f ca="1">IF(Log_2018[[#This Row],[Date]]&lt;=TODAY(), MIN(Log_2018[[#This Row],[Split_raw]], TODAY()-Log_2018[[#This Row],[Date]]+1), 0)</f>
        <v>1</v>
      </c>
      <c r="M667" t="s">
        <v>147</v>
      </c>
      <c r="N667" t="s">
        <v>160</v>
      </c>
      <c r="O667" s="50">
        <v>0</v>
      </c>
      <c r="P667" s="52">
        <f ca="1">Log_2018[[#This Row],[Amount]]/Log_2018[[#This Row],[Split_raw]]*MAX(0,MIN(_xlfn.DAYS(EDATE(P$1,1),Log_2018[[#This Row],[Date]]),Log_2018[[#This Row],[Split_apply]])) - SUM($O667:O667)</f>
        <v>0</v>
      </c>
      <c r="Q667" s="52">
        <f ca="1">Log_2018[[#This Row],[Amount]]/Log_2018[[#This Row],[Split_raw]]*MAX(0,MIN(_xlfn.DAYS(EDATE(Q$1,1),Log_2018[[#This Row],[Date]]),Log_2018[[#This Row],[Split_apply]])) - SUM($O667:P667)</f>
        <v>-20</v>
      </c>
      <c r="R667" s="52">
        <f ca="1">Log_2018[[#This Row],[Amount]]/Log_2018[[#This Row],[Split_raw]]*MAX(0,MIN(_xlfn.DAYS(EDATE(R$1,1),Log_2018[[#This Row],[Date]]),Log_2018[[#This Row],[Split_apply]])) - SUM($O667:Q667)</f>
        <v>0</v>
      </c>
      <c r="S667" s="52">
        <f ca="1">Log_2018[[#This Row],[Amount]]/Log_2018[[#This Row],[Split_raw]]*MAX(0,MIN(_xlfn.DAYS(EDATE(S$1,1),Log_2018[[#This Row],[Date]]),Log_2018[[#This Row],[Split_apply]])) - SUM($O667:R667)</f>
        <v>0</v>
      </c>
      <c r="T667" s="52">
        <f ca="1">Log_2018[[#This Row],[Amount]]/Log_2018[[#This Row],[Split_raw]]*MAX(0,MIN(_xlfn.DAYS(EDATE(T$1,1),Log_2018[[#This Row],[Date]]),Log_2018[[#This Row],[Split_apply]])) - SUM($O667:S667)</f>
        <v>0</v>
      </c>
      <c r="U667" s="52">
        <f ca="1">Log_2018[[#This Row],[Amount]]/Log_2018[[#This Row],[Split_raw]]*MAX(0,MIN(_xlfn.DAYS(EDATE(U$1,1),Log_2018[[#This Row],[Date]]),Log_2018[[#This Row],[Split_apply]])) - SUM($O667:T667)</f>
        <v>0</v>
      </c>
      <c r="V667" s="52">
        <f ca="1">Log_2018[[#This Row],[Amount]]/Log_2018[[#This Row],[Split_raw]]*MAX(0,MIN(_xlfn.DAYS(EDATE(V$1,1),Log_2018[[#This Row],[Date]]),Log_2018[[#This Row],[Split_apply]])) - SUM($O667:U667)</f>
        <v>0</v>
      </c>
      <c r="W667" s="52">
        <f ca="1">Log_2018[[#This Row],[Amount]]/Log_2018[[#This Row],[Split_raw]]*MAX(0,MIN(_xlfn.DAYS(EDATE(W$1,1),Log_2018[[#This Row],[Date]]),Log_2018[[#This Row],[Split_apply]])) - SUM($O667:V667)</f>
        <v>0</v>
      </c>
      <c r="X667" s="52">
        <f ca="1">Log_2018[[#This Row],[Amount]]/Log_2018[[#This Row],[Split_raw]]*MAX(0,MIN(_xlfn.DAYS(EDATE(X$1,1),Log_2018[[#This Row],[Date]]),Log_2018[[#This Row],[Split_apply]])) - SUM($O667:W667)</f>
        <v>0</v>
      </c>
      <c r="Y667" s="52">
        <f ca="1">Log_2018[[#This Row],[Amount]]/Log_2018[[#This Row],[Split_raw]]*MAX(0,MIN(_xlfn.DAYS(EDATE(Y$1,1),Log_2018[[#This Row],[Date]]),Log_2018[[#This Row],[Split_apply]])) - SUM($O667:X667)</f>
        <v>0</v>
      </c>
      <c r="Z667" s="52">
        <f ca="1">Log_2018[[#This Row],[Amount]]/Log_2018[[#This Row],[Split_raw]]*MAX(0,MIN(_xlfn.DAYS(EDATE(Z$1,1),Log_2018[[#This Row],[Date]]),Log_2018[[#This Row],[Split_apply]])) - SUM($O667:Y667)</f>
        <v>0</v>
      </c>
      <c r="AA667" s="52">
        <f ca="1">Log_2018[[#This Row],[Amount]]/Log_2018[[#This Row],[Split_raw]]*MAX(0,MIN(_xlfn.DAYS(EDATE(AA$1,1),Log_2018[[#This Row],[Date]]),Log_2018[[#This Row],[Split_apply]])) - SUM($O667:Z667)</f>
        <v>0</v>
      </c>
      <c r="AB667" s="54">
        <f ca="1">Log_2018[[#This Row],[Amount]]-SUM(O667:AA667)</f>
        <v>0</v>
      </c>
      <c r="AC667" s="7">
        <f ca="1">MAX(0,Log_2018[[#This Row],[Split_apply]] - (EDATE(AA$1,1)-Log_2018[[#This Row],[Date]]))</f>
        <v>0</v>
      </c>
    </row>
    <row r="668" spans="1:29" hidden="1" x14ac:dyDescent="0.25">
      <c r="A668" s="115"/>
      <c r="B668" t="s">
        <v>6</v>
      </c>
      <c r="D668" s="26">
        <v>43146</v>
      </c>
      <c r="F668" t="s">
        <v>79</v>
      </c>
      <c r="G668" t="s">
        <v>80</v>
      </c>
      <c r="H668" s="3">
        <v>1914.49</v>
      </c>
      <c r="I668" s="36">
        <f>IF(Log_2018[[#This Row],[My Category]]="NONTRACKED",0,Log_2018[[#This Row],[Raw Amount]])</f>
        <v>1914.49</v>
      </c>
      <c r="J668" s="17">
        <f>ABS(Log_2018[[#This Row],[Amount]])</f>
        <v>1914.49</v>
      </c>
      <c r="K668" s="66">
        <v>14</v>
      </c>
      <c r="L668" s="66">
        <f ca="1">IF(Log_2018[[#This Row],[Date]]&lt;=TODAY(), MIN(Log_2018[[#This Row],[Split_raw]], TODAY()-Log_2018[[#This Row],[Date]]+1), 0)</f>
        <v>14</v>
      </c>
      <c r="M668" t="s">
        <v>91</v>
      </c>
      <c r="N668" t="s">
        <v>160</v>
      </c>
      <c r="O668" s="50">
        <v>0</v>
      </c>
      <c r="P668" s="52">
        <f ca="1">Log_2018[[#This Row],[Amount]]/Log_2018[[#This Row],[Split_raw]]*MAX(0,MIN(_xlfn.DAYS(EDATE(P$1,1),Log_2018[[#This Row],[Date]]),Log_2018[[#This Row],[Split_apply]])) - SUM($O668:O668)</f>
        <v>0</v>
      </c>
      <c r="Q668" s="52">
        <f ca="1">Log_2018[[#This Row],[Amount]]/Log_2018[[#This Row],[Split_raw]]*MAX(0,MIN(_xlfn.DAYS(EDATE(Q$1,1),Log_2018[[#This Row],[Date]]),Log_2018[[#This Row],[Split_apply]])) - SUM($O668:P668)</f>
        <v>1914.49</v>
      </c>
      <c r="R668" s="52">
        <f ca="1">Log_2018[[#This Row],[Amount]]/Log_2018[[#This Row],[Split_raw]]*MAX(0,MIN(_xlfn.DAYS(EDATE(R$1,1),Log_2018[[#This Row],[Date]]),Log_2018[[#This Row],[Split_apply]])) - SUM($O668:Q668)</f>
        <v>0</v>
      </c>
      <c r="S668" s="52">
        <f ca="1">Log_2018[[#This Row],[Amount]]/Log_2018[[#This Row],[Split_raw]]*MAX(0,MIN(_xlfn.DAYS(EDATE(S$1,1),Log_2018[[#This Row],[Date]]),Log_2018[[#This Row],[Split_apply]])) - SUM($O668:R668)</f>
        <v>0</v>
      </c>
      <c r="T668" s="52">
        <f ca="1">Log_2018[[#This Row],[Amount]]/Log_2018[[#This Row],[Split_raw]]*MAX(0,MIN(_xlfn.DAYS(EDATE(T$1,1),Log_2018[[#This Row],[Date]]),Log_2018[[#This Row],[Split_apply]])) - SUM($O668:S668)</f>
        <v>0</v>
      </c>
      <c r="U668" s="52">
        <f ca="1">Log_2018[[#This Row],[Amount]]/Log_2018[[#This Row],[Split_raw]]*MAX(0,MIN(_xlfn.DAYS(EDATE(U$1,1),Log_2018[[#This Row],[Date]]),Log_2018[[#This Row],[Split_apply]])) - SUM($O668:T668)</f>
        <v>0</v>
      </c>
      <c r="V668" s="52">
        <f ca="1">Log_2018[[#This Row],[Amount]]/Log_2018[[#This Row],[Split_raw]]*MAX(0,MIN(_xlfn.DAYS(EDATE(V$1,1),Log_2018[[#This Row],[Date]]),Log_2018[[#This Row],[Split_apply]])) - SUM($O668:U668)</f>
        <v>0</v>
      </c>
      <c r="W668" s="52">
        <f ca="1">Log_2018[[#This Row],[Amount]]/Log_2018[[#This Row],[Split_raw]]*MAX(0,MIN(_xlfn.DAYS(EDATE(W$1,1),Log_2018[[#This Row],[Date]]),Log_2018[[#This Row],[Split_apply]])) - SUM($O668:V668)</f>
        <v>0</v>
      </c>
      <c r="X668" s="52">
        <f ca="1">Log_2018[[#This Row],[Amount]]/Log_2018[[#This Row],[Split_raw]]*MAX(0,MIN(_xlfn.DAYS(EDATE(X$1,1),Log_2018[[#This Row],[Date]]),Log_2018[[#This Row],[Split_apply]])) - SUM($O668:W668)</f>
        <v>0</v>
      </c>
      <c r="Y668" s="52">
        <f ca="1">Log_2018[[#This Row],[Amount]]/Log_2018[[#This Row],[Split_raw]]*MAX(0,MIN(_xlfn.DAYS(EDATE(Y$1,1),Log_2018[[#This Row],[Date]]),Log_2018[[#This Row],[Split_apply]])) - SUM($O668:X668)</f>
        <v>0</v>
      </c>
      <c r="Z668" s="52">
        <f ca="1">Log_2018[[#This Row],[Amount]]/Log_2018[[#This Row],[Split_raw]]*MAX(0,MIN(_xlfn.DAYS(EDATE(Z$1,1),Log_2018[[#This Row],[Date]]),Log_2018[[#This Row],[Split_apply]])) - SUM($O668:Y668)</f>
        <v>0</v>
      </c>
      <c r="AA668" s="52">
        <f ca="1">Log_2018[[#This Row],[Amount]]/Log_2018[[#This Row],[Split_raw]]*MAX(0,MIN(_xlfn.DAYS(EDATE(AA$1,1),Log_2018[[#This Row],[Date]]),Log_2018[[#This Row],[Split_apply]])) - SUM($O668:Z668)</f>
        <v>0</v>
      </c>
      <c r="AB668" s="54">
        <f ca="1">Log_2018[[#This Row],[Amount]]-SUM(O668:AA668)</f>
        <v>0</v>
      </c>
      <c r="AC668" s="7">
        <f ca="1">MAX(0,Log_2018[[#This Row],[Split_apply]] - (EDATE(AA$1,1)-Log_2018[[#This Row],[Date]]))</f>
        <v>0</v>
      </c>
    </row>
    <row r="669" spans="1:29" hidden="1" x14ac:dyDescent="0.25">
      <c r="A669" s="115"/>
      <c r="B669" t="s">
        <v>6</v>
      </c>
      <c r="D669" s="26">
        <v>43145</v>
      </c>
      <c r="F669" t="s">
        <v>59</v>
      </c>
      <c r="G669" t="s">
        <v>25</v>
      </c>
      <c r="H669" s="3">
        <v>-9.39</v>
      </c>
      <c r="I669" s="36">
        <f>IF(Log_2018[[#This Row],[My Category]]="NONTRACKED",0,Log_2018[[#This Row],[Raw Amount]])</f>
        <v>-9.39</v>
      </c>
      <c r="J669" s="17">
        <f>ABS(Log_2018[[#This Row],[Amount]])</f>
        <v>9.39</v>
      </c>
      <c r="K669" s="66">
        <v>1</v>
      </c>
      <c r="L669" s="66">
        <f ca="1">IF(Log_2018[[#This Row],[Date]]&lt;=TODAY(), MIN(Log_2018[[#This Row],[Split_raw]], TODAY()-Log_2018[[#This Row],[Date]]+1), 0)</f>
        <v>1</v>
      </c>
      <c r="M669" t="s">
        <v>35</v>
      </c>
      <c r="N669" t="s">
        <v>158</v>
      </c>
      <c r="O669" s="50">
        <v>0</v>
      </c>
      <c r="P669" s="52">
        <f ca="1">Log_2018[[#This Row],[Amount]]/Log_2018[[#This Row],[Split_raw]]*MAX(0,MIN(_xlfn.DAYS(EDATE(P$1,1),Log_2018[[#This Row],[Date]]),Log_2018[[#This Row],[Split_apply]])) - SUM($O669:O669)</f>
        <v>0</v>
      </c>
      <c r="Q669" s="52">
        <f ca="1">Log_2018[[#This Row],[Amount]]/Log_2018[[#This Row],[Split_raw]]*MAX(0,MIN(_xlfn.DAYS(EDATE(Q$1,1),Log_2018[[#This Row],[Date]]),Log_2018[[#This Row],[Split_apply]])) - SUM($O669:P669)</f>
        <v>-9.39</v>
      </c>
      <c r="R669" s="52">
        <f ca="1">Log_2018[[#This Row],[Amount]]/Log_2018[[#This Row],[Split_raw]]*MAX(0,MIN(_xlfn.DAYS(EDATE(R$1,1),Log_2018[[#This Row],[Date]]),Log_2018[[#This Row],[Split_apply]])) - SUM($O669:Q669)</f>
        <v>0</v>
      </c>
      <c r="S669" s="52">
        <f ca="1">Log_2018[[#This Row],[Amount]]/Log_2018[[#This Row],[Split_raw]]*MAX(0,MIN(_xlfn.DAYS(EDATE(S$1,1),Log_2018[[#This Row],[Date]]),Log_2018[[#This Row],[Split_apply]])) - SUM($O669:R669)</f>
        <v>0</v>
      </c>
      <c r="T669" s="52">
        <f ca="1">Log_2018[[#This Row],[Amount]]/Log_2018[[#This Row],[Split_raw]]*MAX(0,MIN(_xlfn.DAYS(EDATE(T$1,1),Log_2018[[#This Row],[Date]]),Log_2018[[#This Row],[Split_apply]])) - SUM($O669:S669)</f>
        <v>0</v>
      </c>
      <c r="U669" s="52">
        <f ca="1">Log_2018[[#This Row],[Amount]]/Log_2018[[#This Row],[Split_raw]]*MAX(0,MIN(_xlfn.DAYS(EDATE(U$1,1),Log_2018[[#This Row],[Date]]),Log_2018[[#This Row],[Split_apply]])) - SUM($O669:T669)</f>
        <v>0</v>
      </c>
      <c r="V669" s="52">
        <f ca="1">Log_2018[[#This Row],[Amount]]/Log_2018[[#This Row],[Split_raw]]*MAX(0,MIN(_xlfn.DAYS(EDATE(V$1,1),Log_2018[[#This Row],[Date]]),Log_2018[[#This Row],[Split_apply]])) - SUM($O669:U669)</f>
        <v>0</v>
      </c>
      <c r="W669" s="52">
        <f ca="1">Log_2018[[#This Row],[Amount]]/Log_2018[[#This Row],[Split_raw]]*MAX(0,MIN(_xlfn.DAYS(EDATE(W$1,1),Log_2018[[#This Row],[Date]]),Log_2018[[#This Row],[Split_apply]])) - SUM($O669:V669)</f>
        <v>0</v>
      </c>
      <c r="X669" s="52">
        <f ca="1">Log_2018[[#This Row],[Amount]]/Log_2018[[#This Row],[Split_raw]]*MAX(0,MIN(_xlfn.DAYS(EDATE(X$1,1),Log_2018[[#This Row],[Date]]),Log_2018[[#This Row],[Split_apply]])) - SUM($O669:W669)</f>
        <v>0</v>
      </c>
      <c r="Y669" s="52">
        <f ca="1">Log_2018[[#This Row],[Amount]]/Log_2018[[#This Row],[Split_raw]]*MAX(0,MIN(_xlfn.DAYS(EDATE(Y$1,1),Log_2018[[#This Row],[Date]]),Log_2018[[#This Row],[Split_apply]])) - SUM($O669:X669)</f>
        <v>0</v>
      </c>
      <c r="Z669" s="52">
        <f ca="1">Log_2018[[#This Row],[Amount]]/Log_2018[[#This Row],[Split_raw]]*MAX(0,MIN(_xlfn.DAYS(EDATE(Z$1,1),Log_2018[[#This Row],[Date]]),Log_2018[[#This Row],[Split_apply]])) - SUM($O669:Y669)</f>
        <v>0</v>
      </c>
      <c r="AA669" s="52">
        <f ca="1">Log_2018[[#This Row],[Amount]]/Log_2018[[#This Row],[Split_raw]]*MAX(0,MIN(_xlfn.DAYS(EDATE(AA$1,1),Log_2018[[#This Row],[Date]]),Log_2018[[#This Row],[Split_apply]])) - SUM($O669:Z669)</f>
        <v>0</v>
      </c>
      <c r="AB669" s="54">
        <f ca="1">Log_2018[[#This Row],[Amount]]-SUM(O669:AA669)</f>
        <v>0</v>
      </c>
      <c r="AC669" s="7">
        <f ca="1">MAX(0,Log_2018[[#This Row],[Split_apply]] - (EDATE(AA$1,1)-Log_2018[[#This Row],[Date]]))</f>
        <v>0</v>
      </c>
    </row>
    <row r="670" spans="1:29" hidden="1" x14ac:dyDescent="0.25">
      <c r="A670" s="115"/>
      <c r="B670" t="s">
        <v>6</v>
      </c>
      <c r="D670" s="26">
        <v>43144</v>
      </c>
      <c r="F670" t="s">
        <v>70</v>
      </c>
      <c r="G670" t="s">
        <v>25</v>
      </c>
      <c r="H670" s="3">
        <v>-9.1199999999999992</v>
      </c>
      <c r="I670" s="36">
        <f>IF(Log_2018[[#This Row],[My Category]]="NONTRACKED",0,Log_2018[[#This Row],[Raw Amount]])</f>
        <v>-9.1199999999999992</v>
      </c>
      <c r="J670" s="17">
        <f>ABS(Log_2018[[#This Row],[Amount]])</f>
        <v>9.1199999999999992</v>
      </c>
      <c r="K670" s="66">
        <v>1</v>
      </c>
      <c r="L670" s="66">
        <f ca="1">IF(Log_2018[[#This Row],[Date]]&lt;=TODAY(), MIN(Log_2018[[#This Row],[Split_raw]], TODAY()-Log_2018[[#This Row],[Date]]+1), 0)</f>
        <v>1</v>
      </c>
      <c r="M670" t="s">
        <v>35</v>
      </c>
      <c r="N670" t="s">
        <v>158</v>
      </c>
      <c r="O670" s="50">
        <v>0</v>
      </c>
      <c r="P670" s="52">
        <f ca="1">Log_2018[[#This Row],[Amount]]/Log_2018[[#This Row],[Split_raw]]*MAX(0,MIN(_xlfn.DAYS(EDATE(P$1,1),Log_2018[[#This Row],[Date]]),Log_2018[[#This Row],[Split_apply]])) - SUM($O670:O670)</f>
        <v>0</v>
      </c>
      <c r="Q670" s="52">
        <f ca="1">Log_2018[[#This Row],[Amount]]/Log_2018[[#This Row],[Split_raw]]*MAX(0,MIN(_xlfn.DAYS(EDATE(Q$1,1),Log_2018[[#This Row],[Date]]),Log_2018[[#This Row],[Split_apply]])) - SUM($O670:P670)</f>
        <v>-9.1199999999999992</v>
      </c>
      <c r="R670" s="52">
        <f ca="1">Log_2018[[#This Row],[Amount]]/Log_2018[[#This Row],[Split_raw]]*MAX(0,MIN(_xlfn.DAYS(EDATE(R$1,1),Log_2018[[#This Row],[Date]]),Log_2018[[#This Row],[Split_apply]])) - SUM($O670:Q670)</f>
        <v>0</v>
      </c>
      <c r="S670" s="52">
        <f ca="1">Log_2018[[#This Row],[Amount]]/Log_2018[[#This Row],[Split_raw]]*MAX(0,MIN(_xlfn.DAYS(EDATE(S$1,1),Log_2018[[#This Row],[Date]]),Log_2018[[#This Row],[Split_apply]])) - SUM($O670:R670)</f>
        <v>0</v>
      </c>
      <c r="T670" s="52">
        <f ca="1">Log_2018[[#This Row],[Amount]]/Log_2018[[#This Row],[Split_raw]]*MAX(0,MIN(_xlfn.DAYS(EDATE(T$1,1),Log_2018[[#This Row],[Date]]),Log_2018[[#This Row],[Split_apply]])) - SUM($O670:S670)</f>
        <v>0</v>
      </c>
      <c r="U670" s="52">
        <f ca="1">Log_2018[[#This Row],[Amount]]/Log_2018[[#This Row],[Split_raw]]*MAX(0,MIN(_xlfn.DAYS(EDATE(U$1,1),Log_2018[[#This Row],[Date]]),Log_2018[[#This Row],[Split_apply]])) - SUM($O670:T670)</f>
        <v>0</v>
      </c>
      <c r="V670" s="52">
        <f ca="1">Log_2018[[#This Row],[Amount]]/Log_2018[[#This Row],[Split_raw]]*MAX(0,MIN(_xlfn.DAYS(EDATE(V$1,1),Log_2018[[#This Row],[Date]]),Log_2018[[#This Row],[Split_apply]])) - SUM($O670:U670)</f>
        <v>0</v>
      </c>
      <c r="W670" s="52">
        <f ca="1">Log_2018[[#This Row],[Amount]]/Log_2018[[#This Row],[Split_raw]]*MAX(0,MIN(_xlfn.DAYS(EDATE(W$1,1),Log_2018[[#This Row],[Date]]),Log_2018[[#This Row],[Split_apply]])) - SUM($O670:V670)</f>
        <v>0</v>
      </c>
      <c r="X670" s="52">
        <f ca="1">Log_2018[[#This Row],[Amount]]/Log_2018[[#This Row],[Split_raw]]*MAX(0,MIN(_xlfn.DAYS(EDATE(X$1,1),Log_2018[[#This Row],[Date]]),Log_2018[[#This Row],[Split_apply]])) - SUM($O670:W670)</f>
        <v>0</v>
      </c>
      <c r="Y670" s="52">
        <f ca="1">Log_2018[[#This Row],[Amount]]/Log_2018[[#This Row],[Split_raw]]*MAX(0,MIN(_xlfn.DAYS(EDATE(Y$1,1),Log_2018[[#This Row],[Date]]),Log_2018[[#This Row],[Split_apply]])) - SUM($O670:X670)</f>
        <v>0</v>
      </c>
      <c r="Z670" s="52">
        <f ca="1">Log_2018[[#This Row],[Amount]]/Log_2018[[#This Row],[Split_raw]]*MAX(0,MIN(_xlfn.DAYS(EDATE(Z$1,1),Log_2018[[#This Row],[Date]]),Log_2018[[#This Row],[Split_apply]])) - SUM($O670:Y670)</f>
        <v>0</v>
      </c>
      <c r="AA670" s="52">
        <f ca="1">Log_2018[[#This Row],[Amount]]/Log_2018[[#This Row],[Split_raw]]*MAX(0,MIN(_xlfn.DAYS(EDATE(AA$1,1),Log_2018[[#This Row],[Date]]),Log_2018[[#This Row],[Split_apply]])) - SUM($O670:Z670)</f>
        <v>0</v>
      </c>
      <c r="AB670" s="54">
        <f ca="1">Log_2018[[#This Row],[Amount]]-SUM(O670:AA670)</f>
        <v>0</v>
      </c>
      <c r="AC670" s="7">
        <f ca="1">MAX(0,Log_2018[[#This Row],[Split_apply]] - (EDATE(AA$1,1)-Log_2018[[#This Row],[Date]]))</f>
        <v>0</v>
      </c>
    </row>
    <row r="671" spans="1:29" hidden="1" x14ac:dyDescent="0.25">
      <c r="A671" s="115"/>
      <c r="B671" t="s">
        <v>6</v>
      </c>
      <c r="D671" s="26">
        <v>43143</v>
      </c>
      <c r="F671" t="s">
        <v>86</v>
      </c>
      <c r="G671" t="s">
        <v>87</v>
      </c>
      <c r="H671" s="3">
        <v>1007.78</v>
      </c>
      <c r="I671" s="36">
        <f>IF(Log_2018[[#This Row],[My Category]]="NONTRACKED",0,Log_2018[[#This Row],[Raw Amount]])</f>
        <v>1007.78</v>
      </c>
      <c r="J671" s="17">
        <f>ABS(Log_2018[[#This Row],[Amount]])</f>
        <v>1007.78</v>
      </c>
      <c r="K671" s="66">
        <v>7</v>
      </c>
      <c r="L671" s="66">
        <f ca="1">IF(Log_2018[[#This Row],[Date]]&lt;=TODAY(), MIN(Log_2018[[#This Row],[Split_raw]], TODAY()-Log_2018[[#This Row],[Date]]+1), 0)</f>
        <v>7</v>
      </c>
      <c r="M671" t="s">
        <v>91</v>
      </c>
      <c r="N671" t="s">
        <v>160</v>
      </c>
      <c r="O671" s="50">
        <v>0</v>
      </c>
      <c r="P671" s="52">
        <f ca="1">Log_2018[[#This Row],[Amount]]/Log_2018[[#This Row],[Split_raw]]*MAX(0,MIN(_xlfn.DAYS(EDATE(P$1,1),Log_2018[[#This Row],[Date]]),Log_2018[[#This Row],[Split_apply]])) - SUM($O671:O671)</f>
        <v>0</v>
      </c>
      <c r="Q671" s="52">
        <f ca="1">Log_2018[[#This Row],[Amount]]/Log_2018[[#This Row],[Split_raw]]*MAX(0,MIN(_xlfn.DAYS(EDATE(Q$1,1),Log_2018[[#This Row],[Date]]),Log_2018[[#This Row],[Split_apply]])) - SUM($O671:P671)</f>
        <v>1007.7800000000001</v>
      </c>
      <c r="R671" s="52">
        <f ca="1">Log_2018[[#This Row],[Amount]]/Log_2018[[#This Row],[Split_raw]]*MAX(0,MIN(_xlfn.DAYS(EDATE(R$1,1),Log_2018[[#This Row],[Date]]),Log_2018[[#This Row],[Split_apply]])) - SUM($O671:Q671)</f>
        <v>0</v>
      </c>
      <c r="S671" s="52">
        <f ca="1">Log_2018[[#This Row],[Amount]]/Log_2018[[#This Row],[Split_raw]]*MAX(0,MIN(_xlfn.DAYS(EDATE(S$1,1),Log_2018[[#This Row],[Date]]),Log_2018[[#This Row],[Split_apply]])) - SUM($O671:R671)</f>
        <v>0</v>
      </c>
      <c r="T671" s="52">
        <f ca="1">Log_2018[[#This Row],[Amount]]/Log_2018[[#This Row],[Split_raw]]*MAX(0,MIN(_xlfn.DAYS(EDATE(T$1,1),Log_2018[[#This Row],[Date]]),Log_2018[[#This Row],[Split_apply]])) - SUM($O671:S671)</f>
        <v>0</v>
      </c>
      <c r="U671" s="52">
        <f ca="1">Log_2018[[#This Row],[Amount]]/Log_2018[[#This Row],[Split_raw]]*MAX(0,MIN(_xlfn.DAYS(EDATE(U$1,1),Log_2018[[#This Row],[Date]]),Log_2018[[#This Row],[Split_apply]])) - SUM($O671:T671)</f>
        <v>0</v>
      </c>
      <c r="V671" s="52">
        <f ca="1">Log_2018[[#This Row],[Amount]]/Log_2018[[#This Row],[Split_raw]]*MAX(0,MIN(_xlfn.DAYS(EDATE(V$1,1),Log_2018[[#This Row],[Date]]),Log_2018[[#This Row],[Split_apply]])) - SUM($O671:U671)</f>
        <v>0</v>
      </c>
      <c r="W671" s="52">
        <f ca="1">Log_2018[[#This Row],[Amount]]/Log_2018[[#This Row],[Split_raw]]*MAX(0,MIN(_xlfn.DAYS(EDATE(W$1,1),Log_2018[[#This Row],[Date]]),Log_2018[[#This Row],[Split_apply]])) - SUM($O671:V671)</f>
        <v>0</v>
      </c>
      <c r="X671" s="52">
        <f ca="1">Log_2018[[#This Row],[Amount]]/Log_2018[[#This Row],[Split_raw]]*MAX(0,MIN(_xlfn.DAYS(EDATE(X$1,1),Log_2018[[#This Row],[Date]]),Log_2018[[#This Row],[Split_apply]])) - SUM($O671:W671)</f>
        <v>0</v>
      </c>
      <c r="Y671" s="52">
        <f ca="1">Log_2018[[#This Row],[Amount]]/Log_2018[[#This Row],[Split_raw]]*MAX(0,MIN(_xlfn.DAYS(EDATE(Y$1,1),Log_2018[[#This Row],[Date]]),Log_2018[[#This Row],[Split_apply]])) - SUM($O671:X671)</f>
        <v>0</v>
      </c>
      <c r="Z671" s="52">
        <f ca="1">Log_2018[[#This Row],[Amount]]/Log_2018[[#This Row],[Split_raw]]*MAX(0,MIN(_xlfn.DAYS(EDATE(Z$1,1),Log_2018[[#This Row],[Date]]),Log_2018[[#This Row],[Split_apply]])) - SUM($O671:Y671)</f>
        <v>0</v>
      </c>
      <c r="AA671" s="52">
        <f ca="1">Log_2018[[#This Row],[Amount]]/Log_2018[[#This Row],[Split_raw]]*MAX(0,MIN(_xlfn.DAYS(EDATE(AA$1,1),Log_2018[[#This Row],[Date]]),Log_2018[[#This Row],[Split_apply]])) - SUM($O671:Z671)</f>
        <v>0</v>
      </c>
      <c r="AB671" s="54">
        <f ca="1">Log_2018[[#This Row],[Amount]]-SUM(O671:AA671)</f>
        <v>0</v>
      </c>
      <c r="AC671" s="7">
        <f ca="1">MAX(0,Log_2018[[#This Row],[Split_apply]] - (EDATE(AA$1,1)-Log_2018[[#This Row],[Date]]))</f>
        <v>0</v>
      </c>
    </row>
    <row r="672" spans="1:29" hidden="1" x14ac:dyDescent="0.25">
      <c r="A672" s="115"/>
      <c r="B672" t="s">
        <v>6</v>
      </c>
      <c r="D672" s="26">
        <v>43143</v>
      </c>
      <c r="E672" t="s">
        <v>250</v>
      </c>
      <c r="F672" t="s">
        <v>85</v>
      </c>
      <c r="G672" t="s">
        <v>9</v>
      </c>
      <c r="H672" s="3">
        <v>-10.81</v>
      </c>
      <c r="I672" s="36">
        <f>IF(Log_2018[[#This Row],[My Category]]="NONTRACKED",0,Log_2018[[#This Row],[Raw Amount]])</f>
        <v>-10.81</v>
      </c>
      <c r="J672" s="17">
        <f>ABS(Log_2018[[#This Row],[Amount]])</f>
        <v>10.81</v>
      </c>
      <c r="K672" s="66">
        <v>30</v>
      </c>
      <c r="L672" s="66">
        <f ca="1">IF(Log_2018[[#This Row],[Date]]&lt;=TODAY(), MIN(Log_2018[[#This Row],[Split_raw]], TODAY()-Log_2018[[#This Row],[Date]]+1), 0)</f>
        <v>30</v>
      </c>
      <c r="M672" t="s">
        <v>53</v>
      </c>
      <c r="N672" t="s">
        <v>160</v>
      </c>
      <c r="O672" s="50">
        <v>0</v>
      </c>
      <c r="P672" s="52">
        <f ca="1">Log_2018[[#This Row],[Amount]]/Log_2018[[#This Row],[Split_raw]]*MAX(0,MIN(_xlfn.DAYS(EDATE(P$1,1),Log_2018[[#This Row],[Date]]),Log_2018[[#This Row],[Split_apply]])) - SUM($O672:O672)</f>
        <v>0</v>
      </c>
      <c r="Q672" s="52">
        <f ca="1">Log_2018[[#This Row],[Amount]]/Log_2018[[#This Row],[Split_raw]]*MAX(0,MIN(_xlfn.DAYS(EDATE(Q$1,1),Log_2018[[#This Row],[Date]]),Log_2018[[#This Row],[Split_apply]])) - SUM($O672:P672)</f>
        <v>-6.1256666666666666</v>
      </c>
      <c r="R672" s="52">
        <f ca="1">Log_2018[[#This Row],[Amount]]/Log_2018[[#This Row],[Split_raw]]*MAX(0,MIN(_xlfn.DAYS(EDATE(R$1,1),Log_2018[[#This Row],[Date]]),Log_2018[[#This Row],[Split_apply]])) - SUM($O672:Q672)</f>
        <v>-4.6843333333333339</v>
      </c>
      <c r="S672" s="52">
        <f ca="1">Log_2018[[#This Row],[Amount]]/Log_2018[[#This Row],[Split_raw]]*MAX(0,MIN(_xlfn.DAYS(EDATE(S$1,1),Log_2018[[#This Row],[Date]]),Log_2018[[#This Row],[Split_apply]])) - SUM($O672:R672)</f>
        <v>0</v>
      </c>
      <c r="T672" s="52">
        <f ca="1">Log_2018[[#This Row],[Amount]]/Log_2018[[#This Row],[Split_raw]]*MAX(0,MIN(_xlfn.DAYS(EDATE(T$1,1),Log_2018[[#This Row],[Date]]),Log_2018[[#This Row],[Split_apply]])) - SUM($O672:S672)</f>
        <v>0</v>
      </c>
      <c r="U672" s="52">
        <f ca="1">Log_2018[[#This Row],[Amount]]/Log_2018[[#This Row],[Split_raw]]*MAX(0,MIN(_xlfn.DAYS(EDATE(U$1,1),Log_2018[[#This Row],[Date]]),Log_2018[[#This Row],[Split_apply]])) - SUM($O672:T672)</f>
        <v>0</v>
      </c>
      <c r="V672" s="52">
        <f ca="1">Log_2018[[#This Row],[Amount]]/Log_2018[[#This Row],[Split_raw]]*MAX(0,MIN(_xlfn.DAYS(EDATE(V$1,1),Log_2018[[#This Row],[Date]]),Log_2018[[#This Row],[Split_apply]])) - SUM($O672:U672)</f>
        <v>0</v>
      </c>
      <c r="W672" s="52">
        <f ca="1">Log_2018[[#This Row],[Amount]]/Log_2018[[#This Row],[Split_raw]]*MAX(0,MIN(_xlfn.DAYS(EDATE(W$1,1),Log_2018[[#This Row],[Date]]),Log_2018[[#This Row],[Split_apply]])) - SUM($O672:V672)</f>
        <v>0</v>
      </c>
      <c r="X672" s="52">
        <f ca="1">Log_2018[[#This Row],[Amount]]/Log_2018[[#This Row],[Split_raw]]*MAX(0,MIN(_xlfn.DAYS(EDATE(X$1,1),Log_2018[[#This Row],[Date]]),Log_2018[[#This Row],[Split_apply]])) - SUM($O672:W672)</f>
        <v>0</v>
      </c>
      <c r="Y672" s="52">
        <f ca="1">Log_2018[[#This Row],[Amount]]/Log_2018[[#This Row],[Split_raw]]*MAX(0,MIN(_xlfn.DAYS(EDATE(Y$1,1),Log_2018[[#This Row],[Date]]),Log_2018[[#This Row],[Split_apply]])) - SUM($O672:X672)</f>
        <v>0</v>
      </c>
      <c r="Z672" s="52">
        <f ca="1">Log_2018[[#This Row],[Amount]]/Log_2018[[#This Row],[Split_raw]]*MAX(0,MIN(_xlfn.DAYS(EDATE(Z$1,1),Log_2018[[#This Row],[Date]]),Log_2018[[#This Row],[Split_apply]])) - SUM($O672:Y672)</f>
        <v>0</v>
      </c>
      <c r="AA672" s="52">
        <f ca="1">Log_2018[[#This Row],[Amount]]/Log_2018[[#This Row],[Split_raw]]*MAX(0,MIN(_xlfn.DAYS(EDATE(AA$1,1),Log_2018[[#This Row],[Date]]),Log_2018[[#This Row],[Split_apply]])) - SUM($O672:Z672)</f>
        <v>0</v>
      </c>
      <c r="AB672" s="54">
        <f ca="1">Log_2018[[#This Row],[Amount]]-SUM(O672:AA672)</f>
        <v>0</v>
      </c>
      <c r="AC672" s="7">
        <f ca="1">MAX(0,Log_2018[[#This Row],[Split_apply]] - (EDATE(AA$1,1)-Log_2018[[#This Row],[Date]]))</f>
        <v>0</v>
      </c>
    </row>
    <row r="673" spans="1:29" hidden="1" x14ac:dyDescent="0.25">
      <c r="A673" s="115"/>
      <c r="B673" t="s">
        <v>6</v>
      </c>
      <c r="D673" s="26">
        <v>43143</v>
      </c>
      <c r="F673" t="s">
        <v>138</v>
      </c>
      <c r="G673" t="s">
        <v>104</v>
      </c>
      <c r="H673" s="3">
        <v>-218.73</v>
      </c>
      <c r="I673" s="36">
        <f>IF(Log_2018[[#This Row],[My Category]]="NONTRACKED",0,Log_2018[[#This Row],[Raw Amount]])</f>
        <v>-218.73</v>
      </c>
      <c r="J673" s="17">
        <f>ABS(Log_2018[[#This Row],[Amount]])</f>
        <v>218.73</v>
      </c>
      <c r="K673" s="66">
        <v>1</v>
      </c>
      <c r="L673" s="66">
        <f ca="1">IF(Log_2018[[#This Row],[Date]]&lt;=TODAY(), MIN(Log_2018[[#This Row],[Split_raw]], TODAY()-Log_2018[[#This Row],[Date]]+1), 0)</f>
        <v>1</v>
      </c>
      <c r="M673" t="s">
        <v>159</v>
      </c>
      <c r="N673" t="s">
        <v>160</v>
      </c>
      <c r="O673" s="50">
        <v>0</v>
      </c>
      <c r="P673" s="52">
        <f ca="1">Log_2018[[#This Row],[Amount]]/Log_2018[[#This Row],[Split_raw]]*MAX(0,MIN(_xlfn.DAYS(EDATE(P$1,1),Log_2018[[#This Row],[Date]]),Log_2018[[#This Row],[Split_apply]])) - SUM($O673:O673)</f>
        <v>0</v>
      </c>
      <c r="Q673" s="52">
        <f ca="1">Log_2018[[#This Row],[Amount]]/Log_2018[[#This Row],[Split_raw]]*MAX(0,MIN(_xlfn.DAYS(EDATE(Q$1,1),Log_2018[[#This Row],[Date]]),Log_2018[[#This Row],[Split_apply]])) - SUM($O673:P673)</f>
        <v>-218.73</v>
      </c>
      <c r="R673" s="52">
        <f ca="1">Log_2018[[#This Row],[Amount]]/Log_2018[[#This Row],[Split_raw]]*MAX(0,MIN(_xlfn.DAYS(EDATE(R$1,1),Log_2018[[#This Row],[Date]]),Log_2018[[#This Row],[Split_apply]])) - SUM($O673:Q673)</f>
        <v>0</v>
      </c>
      <c r="S673" s="52">
        <f ca="1">Log_2018[[#This Row],[Amount]]/Log_2018[[#This Row],[Split_raw]]*MAX(0,MIN(_xlfn.DAYS(EDATE(S$1,1),Log_2018[[#This Row],[Date]]),Log_2018[[#This Row],[Split_apply]])) - SUM($O673:R673)</f>
        <v>0</v>
      </c>
      <c r="T673" s="52">
        <f ca="1">Log_2018[[#This Row],[Amount]]/Log_2018[[#This Row],[Split_raw]]*MAX(0,MIN(_xlfn.DAYS(EDATE(T$1,1),Log_2018[[#This Row],[Date]]),Log_2018[[#This Row],[Split_apply]])) - SUM($O673:S673)</f>
        <v>0</v>
      </c>
      <c r="U673" s="52">
        <f ca="1">Log_2018[[#This Row],[Amount]]/Log_2018[[#This Row],[Split_raw]]*MAX(0,MIN(_xlfn.DAYS(EDATE(U$1,1),Log_2018[[#This Row],[Date]]),Log_2018[[#This Row],[Split_apply]])) - SUM($O673:T673)</f>
        <v>0</v>
      </c>
      <c r="V673" s="52">
        <f ca="1">Log_2018[[#This Row],[Amount]]/Log_2018[[#This Row],[Split_raw]]*MAX(0,MIN(_xlfn.DAYS(EDATE(V$1,1),Log_2018[[#This Row],[Date]]),Log_2018[[#This Row],[Split_apply]])) - SUM($O673:U673)</f>
        <v>0</v>
      </c>
      <c r="W673" s="52">
        <f ca="1">Log_2018[[#This Row],[Amount]]/Log_2018[[#This Row],[Split_raw]]*MAX(0,MIN(_xlfn.DAYS(EDATE(W$1,1),Log_2018[[#This Row],[Date]]),Log_2018[[#This Row],[Split_apply]])) - SUM($O673:V673)</f>
        <v>0</v>
      </c>
      <c r="X673" s="52">
        <f ca="1">Log_2018[[#This Row],[Amount]]/Log_2018[[#This Row],[Split_raw]]*MAX(0,MIN(_xlfn.DAYS(EDATE(X$1,1),Log_2018[[#This Row],[Date]]),Log_2018[[#This Row],[Split_apply]])) - SUM($O673:W673)</f>
        <v>0</v>
      </c>
      <c r="Y673" s="52">
        <f ca="1">Log_2018[[#This Row],[Amount]]/Log_2018[[#This Row],[Split_raw]]*MAX(0,MIN(_xlfn.DAYS(EDATE(Y$1,1),Log_2018[[#This Row],[Date]]),Log_2018[[#This Row],[Split_apply]])) - SUM($O673:X673)</f>
        <v>0</v>
      </c>
      <c r="Z673" s="52">
        <f ca="1">Log_2018[[#This Row],[Amount]]/Log_2018[[#This Row],[Split_raw]]*MAX(0,MIN(_xlfn.DAYS(EDATE(Z$1,1),Log_2018[[#This Row],[Date]]),Log_2018[[#This Row],[Split_apply]])) - SUM($O673:Y673)</f>
        <v>0</v>
      </c>
      <c r="AA673" s="52">
        <f ca="1">Log_2018[[#This Row],[Amount]]/Log_2018[[#This Row],[Split_raw]]*MAX(0,MIN(_xlfn.DAYS(EDATE(AA$1,1),Log_2018[[#This Row],[Date]]),Log_2018[[#This Row],[Split_apply]])) - SUM($O673:Z673)</f>
        <v>0</v>
      </c>
      <c r="AB673" s="54">
        <f ca="1">Log_2018[[#This Row],[Amount]]-SUM(O673:AA673)</f>
        <v>0</v>
      </c>
      <c r="AC673" s="7">
        <f ca="1">MAX(0,Log_2018[[#This Row],[Split_apply]] - (EDATE(AA$1,1)-Log_2018[[#This Row],[Date]]))</f>
        <v>0</v>
      </c>
    </row>
    <row r="674" spans="1:29" hidden="1" x14ac:dyDescent="0.25">
      <c r="A674" s="115"/>
      <c r="B674" t="s">
        <v>6</v>
      </c>
      <c r="D674" s="26">
        <v>43143</v>
      </c>
      <c r="F674" t="s">
        <v>59</v>
      </c>
      <c r="G674" t="s">
        <v>25</v>
      </c>
      <c r="H674" s="3">
        <v>-8.94</v>
      </c>
      <c r="I674" s="36">
        <f>IF(Log_2018[[#This Row],[My Category]]="NONTRACKED",0,Log_2018[[#This Row],[Raw Amount]])</f>
        <v>-8.94</v>
      </c>
      <c r="J674" s="17">
        <f>ABS(Log_2018[[#This Row],[Amount]])</f>
        <v>8.94</v>
      </c>
      <c r="K674" s="66">
        <v>1</v>
      </c>
      <c r="L674" s="66">
        <f ca="1">IF(Log_2018[[#This Row],[Date]]&lt;=TODAY(), MIN(Log_2018[[#This Row],[Split_raw]], TODAY()-Log_2018[[#This Row],[Date]]+1), 0)</f>
        <v>1</v>
      </c>
      <c r="M674" t="s">
        <v>35</v>
      </c>
      <c r="N674" t="s">
        <v>158</v>
      </c>
      <c r="O674" s="50">
        <v>0</v>
      </c>
      <c r="P674" s="52">
        <f ca="1">Log_2018[[#This Row],[Amount]]/Log_2018[[#This Row],[Split_raw]]*MAX(0,MIN(_xlfn.DAYS(EDATE(P$1,1),Log_2018[[#This Row],[Date]]),Log_2018[[#This Row],[Split_apply]])) - SUM($O674:O674)</f>
        <v>0</v>
      </c>
      <c r="Q674" s="52">
        <f ca="1">Log_2018[[#This Row],[Amount]]/Log_2018[[#This Row],[Split_raw]]*MAX(0,MIN(_xlfn.DAYS(EDATE(Q$1,1),Log_2018[[#This Row],[Date]]),Log_2018[[#This Row],[Split_apply]])) - SUM($O674:P674)</f>
        <v>-8.94</v>
      </c>
      <c r="R674" s="52">
        <f ca="1">Log_2018[[#This Row],[Amount]]/Log_2018[[#This Row],[Split_raw]]*MAX(0,MIN(_xlfn.DAYS(EDATE(R$1,1),Log_2018[[#This Row],[Date]]),Log_2018[[#This Row],[Split_apply]])) - SUM($O674:Q674)</f>
        <v>0</v>
      </c>
      <c r="S674" s="52">
        <f ca="1">Log_2018[[#This Row],[Amount]]/Log_2018[[#This Row],[Split_raw]]*MAX(0,MIN(_xlfn.DAYS(EDATE(S$1,1),Log_2018[[#This Row],[Date]]),Log_2018[[#This Row],[Split_apply]])) - SUM($O674:R674)</f>
        <v>0</v>
      </c>
      <c r="T674" s="52">
        <f ca="1">Log_2018[[#This Row],[Amount]]/Log_2018[[#This Row],[Split_raw]]*MAX(0,MIN(_xlfn.DAYS(EDATE(T$1,1),Log_2018[[#This Row],[Date]]),Log_2018[[#This Row],[Split_apply]])) - SUM($O674:S674)</f>
        <v>0</v>
      </c>
      <c r="U674" s="52">
        <f ca="1">Log_2018[[#This Row],[Amount]]/Log_2018[[#This Row],[Split_raw]]*MAX(0,MIN(_xlfn.DAYS(EDATE(U$1,1),Log_2018[[#This Row],[Date]]),Log_2018[[#This Row],[Split_apply]])) - SUM($O674:T674)</f>
        <v>0</v>
      </c>
      <c r="V674" s="52">
        <f ca="1">Log_2018[[#This Row],[Amount]]/Log_2018[[#This Row],[Split_raw]]*MAX(0,MIN(_xlfn.DAYS(EDATE(V$1,1),Log_2018[[#This Row],[Date]]),Log_2018[[#This Row],[Split_apply]])) - SUM($O674:U674)</f>
        <v>0</v>
      </c>
      <c r="W674" s="52">
        <f ca="1">Log_2018[[#This Row],[Amount]]/Log_2018[[#This Row],[Split_raw]]*MAX(0,MIN(_xlfn.DAYS(EDATE(W$1,1),Log_2018[[#This Row],[Date]]),Log_2018[[#This Row],[Split_apply]])) - SUM($O674:V674)</f>
        <v>0</v>
      </c>
      <c r="X674" s="52">
        <f ca="1">Log_2018[[#This Row],[Amount]]/Log_2018[[#This Row],[Split_raw]]*MAX(0,MIN(_xlfn.DAYS(EDATE(X$1,1),Log_2018[[#This Row],[Date]]),Log_2018[[#This Row],[Split_apply]])) - SUM($O674:W674)</f>
        <v>0</v>
      </c>
      <c r="Y674" s="52">
        <f ca="1">Log_2018[[#This Row],[Amount]]/Log_2018[[#This Row],[Split_raw]]*MAX(0,MIN(_xlfn.DAYS(EDATE(Y$1,1),Log_2018[[#This Row],[Date]]),Log_2018[[#This Row],[Split_apply]])) - SUM($O674:X674)</f>
        <v>0</v>
      </c>
      <c r="Z674" s="52">
        <f ca="1">Log_2018[[#This Row],[Amount]]/Log_2018[[#This Row],[Split_raw]]*MAX(0,MIN(_xlfn.DAYS(EDATE(Z$1,1),Log_2018[[#This Row],[Date]]),Log_2018[[#This Row],[Split_apply]])) - SUM($O674:Y674)</f>
        <v>0</v>
      </c>
      <c r="AA674" s="52">
        <f ca="1">Log_2018[[#This Row],[Amount]]/Log_2018[[#This Row],[Split_raw]]*MAX(0,MIN(_xlfn.DAYS(EDATE(AA$1,1),Log_2018[[#This Row],[Date]]),Log_2018[[#This Row],[Split_apply]])) - SUM($O674:Z674)</f>
        <v>0</v>
      </c>
      <c r="AB674" s="54">
        <f ca="1">Log_2018[[#This Row],[Amount]]-SUM(O674:AA674)</f>
        <v>0</v>
      </c>
      <c r="AC674" s="7">
        <f ca="1">MAX(0,Log_2018[[#This Row],[Split_apply]] - (EDATE(AA$1,1)-Log_2018[[#This Row],[Date]]))</f>
        <v>0</v>
      </c>
    </row>
    <row r="675" spans="1:29" hidden="1" x14ac:dyDescent="0.25">
      <c r="A675" s="115"/>
      <c r="B675" t="s">
        <v>6</v>
      </c>
      <c r="D675" s="26">
        <v>43143</v>
      </c>
      <c r="F675" t="s">
        <v>83</v>
      </c>
      <c r="G675" t="s">
        <v>15</v>
      </c>
      <c r="H675" s="3">
        <v>-37.57</v>
      </c>
      <c r="I675" s="36">
        <f>IF(Log_2018[[#This Row],[My Category]]="NONTRACKED",0,Log_2018[[#This Row],[Raw Amount]])</f>
        <v>-37.57</v>
      </c>
      <c r="J675" s="17">
        <f>ABS(Log_2018[[#This Row],[Amount]])</f>
        <v>37.57</v>
      </c>
      <c r="K675" s="66">
        <v>30</v>
      </c>
      <c r="L675" s="66">
        <f ca="1">IF(Log_2018[[#This Row],[Date]]&lt;=TODAY(), MIN(Log_2018[[#This Row],[Split_raw]], TODAY()-Log_2018[[#This Row],[Date]]+1), 0)</f>
        <v>30</v>
      </c>
      <c r="M675" t="s">
        <v>241</v>
      </c>
      <c r="N675" t="s">
        <v>160</v>
      </c>
      <c r="O675" s="50">
        <v>0</v>
      </c>
      <c r="P675" s="52">
        <f ca="1">Log_2018[[#This Row],[Amount]]/Log_2018[[#This Row],[Split_raw]]*MAX(0,MIN(_xlfn.DAYS(EDATE(P$1,1),Log_2018[[#This Row],[Date]]),Log_2018[[#This Row],[Split_apply]])) - SUM($O675:O675)</f>
        <v>0</v>
      </c>
      <c r="Q675" s="52">
        <f ca="1">Log_2018[[#This Row],[Amount]]/Log_2018[[#This Row],[Split_raw]]*MAX(0,MIN(_xlfn.DAYS(EDATE(Q$1,1),Log_2018[[#This Row],[Date]]),Log_2018[[#This Row],[Split_apply]])) - SUM($O675:P675)</f>
        <v>-21.289666666666665</v>
      </c>
      <c r="R675" s="52">
        <f ca="1">Log_2018[[#This Row],[Amount]]/Log_2018[[#This Row],[Split_raw]]*MAX(0,MIN(_xlfn.DAYS(EDATE(R$1,1),Log_2018[[#This Row],[Date]]),Log_2018[[#This Row],[Split_apply]])) - SUM($O675:Q675)</f>
        <v>-16.280333333333335</v>
      </c>
      <c r="S675" s="52">
        <f ca="1">Log_2018[[#This Row],[Amount]]/Log_2018[[#This Row],[Split_raw]]*MAX(0,MIN(_xlfn.DAYS(EDATE(S$1,1),Log_2018[[#This Row],[Date]]),Log_2018[[#This Row],[Split_apply]])) - SUM($O675:R675)</f>
        <v>0</v>
      </c>
      <c r="T675" s="52">
        <f ca="1">Log_2018[[#This Row],[Amount]]/Log_2018[[#This Row],[Split_raw]]*MAX(0,MIN(_xlfn.DAYS(EDATE(T$1,1),Log_2018[[#This Row],[Date]]),Log_2018[[#This Row],[Split_apply]])) - SUM($O675:S675)</f>
        <v>0</v>
      </c>
      <c r="U675" s="52">
        <f ca="1">Log_2018[[#This Row],[Amount]]/Log_2018[[#This Row],[Split_raw]]*MAX(0,MIN(_xlfn.DAYS(EDATE(U$1,1),Log_2018[[#This Row],[Date]]),Log_2018[[#This Row],[Split_apply]])) - SUM($O675:T675)</f>
        <v>0</v>
      </c>
      <c r="V675" s="52">
        <f ca="1">Log_2018[[#This Row],[Amount]]/Log_2018[[#This Row],[Split_raw]]*MAX(0,MIN(_xlfn.DAYS(EDATE(V$1,1),Log_2018[[#This Row],[Date]]),Log_2018[[#This Row],[Split_apply]])) - SUM($O675:U675)</f>
        <v>0</v>
      </c>
      <c r="W675" s="52">
        <f ca="1">Log_2018[[#This Row],[Amount]]/Log_2018[[#This Row],[Split_raw]]*MAX(0,MIN(_xlfn.DAYS(EDATE(W$1,1),Log_2018[[#This Row],[Date]]),Log_2018[[#This Row],[Split_apply]])) - SUM($O675:V675)</f>
        <v>0</v>
      </c>
      <c r="X675" s="52">
        <f ca="1">Log_2018[[#This Row],[Amount]]/Log_2018[[#This Row],[Split_raw]]*MAX(0,MIN(_xlfn.DAYS(EDATE(X$1,1),Log_2018[[#This Row],[Date]]),Log_2018[[#This Row],[Split_apply]])) - SUM($O675:W675)</f>
        <v>0</v>
      </c>
      <c r="Y675" s="52">
        <f ca="1">Log_2018[[#This Row],[Amount]]/Log_2018[[#This Row],[Split_raw]]*MAX(0,MIN(_xlfn.DAYS(EDATE(Y$1,1),Log_2018[[#This Row],[Date]]),Log_2018[[#This Row],[Split_apply]])) - SUM($O675:X675)</f>
        <v>0</v>
      </c>
      <c r="Z675" s="52">
        <f ca="1">Log_2018[[#This Row],[Amount]]/Log_2018[[#This Row],[Split_raw]]*MAX(0,MIN(_xlfn.DAYS(EDATE(Z$1,1),Log_2018[[#This Row],[Date]]),Log_2018[[#This Row],[Split_apply]])) - SUM($O675:Y675)</f>
        <v>0</v>
      </c>
      <c r="AA675" s="52">
        <f ca="1">Log_2018[[#This Row],[Amount]]/Log_2018[[#This Row],[Split_raw]]*MAX(0,MIN(_xlfn.DAYS(EDATE(AA$1,1),Log_2018[[#This Row],[Date]]),Log_2018[[#This Row],[Split_apply]])) - SUM($O675:Z675)</f>
        <v>0</v>
      </c>
      <c r="AB675" s="54">
        <f ca="1">Log_2018[[#This Row],[Amount]]-SUM(O675:AA675)</f>
        <v>0</v>
      </c>
      <c r="AC675" s="7">
        <f ca="1">MAX(0,Log_2018[[#This Row],[Split_apply]] - (EDATE(AA$1,1)-Log_2018[[#This Row],[Date]]))</f>
        <v>0</v>
      </c>
    </row>
    <row r="676" spans="1:29" hidden="1" x14ac:dyDescent="0.25">
      <c r="A676" s="115"/>
      <c r="B676" t="s">
        <v>6</v>
      </c>
      <c r="D676" s="26">
        <v>43141</v>
      </c>
      <c r="F676" t="s">
        <v>105</v>
      </c>
      <c r="G676" t="s">
        <v>104</v>
      </c>
      <c r="H676" s="3">
        <v>218.73</v>
      </c>
      <c r="I676" s="36">
        <f>IF(Log_2018[[#This Row],[My Category]]="NONTRACKED",0,Log_2018[[#This Row],[Raw Amount]])</f>
        <v>218.73</v>
      </c>
      <c r="J676" s="17">
        <f>ABS(Log_2018[[#This Row],[Amount]])</f>
        <v>218.73</v>
      </c>
      <c r="K676" s="66">
        <v>1</v>
      </c>
      <c r="L676" s="66">
        <f ca="1">IF(Log_2018[[#This Row],[Date]]&lt;=TODAY(), MIN(Log_2018[[#This Row],[Split_raw]], TODAY()-Log_2018[[#This Row],[Date]]+1), 0)</f>
        <v>1</v>
      </c>
      <c r="M676" t="s">
        <v>159</v>
      </c>
      <c r="N676" t="s">
        <v>158</v>
      </c>
      <c r="O676" s="50">
        <v>0</v>
      </c>
      <c r="P676" s="52">
        <f ca="1">Log_2018[[#This Row],[Amount]]/Log_2018[[#This Row],[Split_raw]]*MAX(0,MIN(_xlfn.DAYS(EDATE(P$1,1),Log_2018[[#This Row],[Date]]),Log_2018[[#This Row],[Split_apply]])) - SUM($O676:O676)</f>
        <v>0</v>
      </c>
      <c r="Q676" s="52">
        <f ca="1">Log_2018[[#This Row],[Amount]]/Log_2018[[#This Row],[Split_raw]]*MAX(0,MIN(_xlfn.DAYS(EDATE(Q$1,1),Log_2018[[#This Row],[Date]]),Log_2018[[#This Row],[Split_apply]])) - SUM($O676:P676)</f>
        <v>218.73</v>
      </c>
      <c r="R676" s="52">
        <f ca="1">Log_2018[[#This Row],[Amount]]/Log_2018[[#This Row],[Split_raw]]*MAX(0,MIN(_xlfn.DAYS(EDATE(R$1,1),Log_2018[[#This Row],[Date]]),Log_2018[[#This Row],[Split_apply]])) - SUM($O676:Q676)</f>
        <v>0</v>
      </c>
      <c r="S676" s="52">
        <f ca="1">Log_2018[[#This Row],[Amount]]/Log_2018[[#This Row],[Split_raw]]*MAX(0,MIN(_xlfn.DAYS(EDATE(S$1,1),Log_2018[[#This Row],[Date]]),Log_2018[[#This Row],[Split_apply]])) - SUM($O676:R676)</f>
        <v>0</v>
      </c>
      <c r="T676" s="52">
        <f ca="1">Log_2018[[#This Row],[Amount]]/Log_2018[[#This Row],[Split_raw]]*MAX(0,MIN(_xlfn.DAYS(EDATE(T$1,1),Log_2018[[#This Row],[Date]]),Log_2018[[#This Row],[Split_apply]])) - SUM($O676:S676)</f>
        <v>0</v>
      </c>
      <c r="U676" s="52">
        <f ca="1">Log_2018[[#This Row],[Amount]]/Log_2018[[#This Row],[Split_raw]]*MAX(0,MIN(_xlfn.DAYS(EDATE(U$1,1),Log_2018[[#This Row],[Date]]),Log_2018[[#This Row],[Split_apply]])) - SUM($O676:T676)</f>
        <v>0</v>
      </c>
      <c r="V676" s="52">
        <f ca="1">Log_2018[[#This Row],[Amount]]/Log_2018[[#This Row],[Split_raw]]*MAX(0,MIN(_xlfn.DAYS(EDATE(V$1,1),Log_2018[[#This Row],[Date]]),Log_2018[[#This Row],[Split_apply]])) - SUM($O676:U676)</f>
        <v>0</v>
      </c>
      <c r="W676" s="52">
        <f ca="1">Log_2018[[#This Row],[Amount]]/Log_2018[[#This Row],[Split_raw]]*MAX(0,MIN(_xlfn.DAYS(EDATE(W$1,1),Log_2018[[#This Row],[Date]]),Log_2018[[#This Row],[Split_apply]])) - SUM($O676:V676)</f>
        <v>0</v>
      </c>
      <c r="X676" s="52">
        <f ca="1">Log_2018[[#This Row],[Amount]]/Log_2018[[#This Row],[Split_raw]]*MAX(0,MIN(_xlfn.DAYS(EDATE(X$1,1),Log_2018[[#This Row],[Date]]),Log_2018[[#This Row],[Split_apply]])) - SUM($O676:W676)</f>
        <v>0</v>
      </c>
      <c r="Y676" s="52">
        <f ca="1">Log_2018[[#This Row],[Amount]]/Log_2018[[#This Row],[Split_raw]]*MAX(0,MIN(_xlfn.DAYS(EDATE(Y$1,1),Log_2018[[#This Row],[Date]]),Log_2018[[#This Row],[Split_apply]])) - SUM($O676:X676)</f>
        <v>0</v>
      </c>
      <c r="Z676" s="52">
        <f ca="1">Log_2018[[#This Row],[Amount]]/Log_2018[[#This Row],[Split_raw]]*MAX(0,MIN(_xlfn.DAYS(EDATE(Z$1,1),Log_2018[[#This Row],[Date]]),Log_2018[[#This Row],[Split_apply]])) - SUM($O676:Y676)</f>
        <v>0</v>
      </c>
      <c r="AA676" s="52">
        <f ca="1">Log_2018[[#This Row],[Amount]]/Log_2018[[#This Row],[Split_raw]]*MAX(0,MIN(_xlfn.DAYS(EDATE(AA$1,1),Log_2018[[#This Row],[Date]]),Log_2018[[#This Row],[Split_apply]])) - SUM($O676:Z676)</f>
        <v>0</v>
      </c>
      <c r="AB676" s="54">
        <f ca="1">Log_2018[[#This Row],[Amount]]-SUM(O676:AA676)</f>
        <v>0</v>
      </c>
      <c r="AC676" s="7">
        <f ca="1">MAX(0,Log_2018[[#This Row],[Split_apply]] - (EDATE(AA$1,1)-Log_2018[[#This Row],[Date]]))</f>
        <v>0</v>
      </c>
    </row>
    <row r="677" spans="1:29" hidden="1" x14ac:dyDescent="0.25">
      <c r="A677" s="115"/>
      <c r="B677" t="s">
        <v>6</v>
      </c>
      <c r="D677" s="26">
        <v>43140</v>
      </c>
      <c r="F677" t="s">
        <v>71</v>
      </c>
      <c r="G677" t="s">
        <v>27</v>
      </c>
      <c r="H677" s="3">
        <v>-13</v>
      </c>
      <c r="I677" s="36">
        <f>IF(Log_2018[[#This Row],[My Category]]="NONTRACKED",0,Log_2018[[#This Row],[Raw Amount]])</f>
        <v>-13</v>
      </c>
      <c r="J677" s="17">
        <f>ABS(Log_2018[[#This Row],[Amount]])</f>
        <v>13</v>
      </c>
      <c r="K677" s="66">
        <v>1</v>
      </c>
      <c r="L677" s="66">
        <f ca="1">IF(Log_2018[[#This Row],[Date]]&lt;=TODAY(), MIN(Log_2018[[#This Row],[Split_raw]], TODAY()-Log_2018[[#This Row],[Date]]+1), 0)</f>
        <v>1</v>
      </c>
      <c r="M677" t="s">
        <v>40</v>
      </c>
      <c r="N677" t="s">
        <v>158</v>
      </c>
      <c r="O677" s="50">
        <v>0</v>
      </c>
      <c r="P677" s="52">
        <f ca="1">Log_2018[[#This Row],[Amount]]/Log_2018[[#This Row],[Split_raw]]*MAX(0,MIN(_xlfn.DAYS(EDATE(P$1,1),Log_2018[[#This Row],[Date]]),Log_2018[[#This Row],[Split_apply]])) - SUM($O677:O677)</f>
        <v>0</v>
      </c>
      <c r="Q677" s="52">
        <f ca="1">Log_2018[[#This Row],[Amount]]/Log_2018[[#This Row],[Split_raw]]*MAX(0,MIN(_xlfn.DAYS(EDATE(Q$1,1),Log_2018[[#This Row],[Date]]),Log_2018[[#This Row],[Split_apply]])) - SUM($O677:P677)</f>
        <v>-13</v>
      </c>
      <c r="R677" s="52">
        <f ca="1">Log_2018[[#This Row],[Amount]]/Log_2018[[#This Row],[Split_raw]]*MAX(0,MIN(_xlfn.DAYS(EDATE(R$1,1),Log_2018[[#This Row],[Date]]),Log_2018[[#This Row],[Split_apply]])) - SUM($O677:Q677)</f>
        <v>0</v>
      </c>
      <c r="S677" s="52">
        <f ca="1">Log_2018[[#This Row],[Amount]]/Log_2018[[#This Row],[Split_raw]]*MAX(0,MIN(_xlfn.DAYS(EDATE(S$1,1),Log_2018[[#This Row],[Date]]),Log_2018[[#This Row],[Split_apply]])) - SUM($O677:R677)</f>
        <v>0</v>
      </c>
      <c r="T677" s="52">
        <f ca="1">Log_2018[[#This Row],[Amount]]/Log_2018[[#This Row],[Split_raw]]*MAX(0,MIN(_xlfn.DAYS(EDATE(T$1,1),Log_2018[[#This Row],[Date]]),Log_2018[[#This Row],[Split_apply]])) - SUM($O677:S677)</f>
        <v>0</v>
      </c>
      <c r="U677" s="52">
        <f ca="1">Log_2018[[#This Row],[Amount]]/Log_2018[[#This Row],[Split_raw]]*MAX(0,MIN(_xlfn.DAYS(EDATE(U$1,1),Log_2018[[#This Row],[Date]]),Log_2018[[#This Row],[Split_apply]])) - SUM($O677:T677)</f>
        <v>0</v>
      </c>
      <c r="V677" s="52">
        <f ca="1">Log_2018[[#This Row],[Amount]]/Log_2018[[#This Row],[Split_raw]]*MAX(0,MIN(_xlfn.DAYS(EDATE(V$1,1),Log_2018[[#This Row],[Date]]),Log_2018[[#This Row],[Split_apply]])) - SUM($O677:U677)</f>
        <v>0</v>
      </c>
      <c r="W677" s="52">
        <f ca="1">Log_2018[[#This Row],[Amount]]/Log_2018[[#This Row],[Split_raw]]*MAX(0,MIN(_xlfn.DAYS(EDATE(W$1,1),Log_2018[[#This Row],[Date]]),Log_2018[[#This Row],[Split_apply]])) - SUM($O677:V677)</f>
        <v>0</v>
      </c>
      <c r="X677" s="52">
        <f ca="1">Log_2018[[#This Row],[Amount]]/Log_2018[[#This Row],[Split_raw]]*MAX(0,MIN(_xlfn.DAYS(EDATE(X$1,1),Log_2018[[#This Row],[Date]]),Log_2018[[#This Row],[Split_apply]])) - SUM($O677:W677)</f>
        <v>0</v>
      </c>
      <c r="Y677" s="52">
        <f ca="1">Log_2018[[#This Row],[Amount]]/Log_2018[[#This Row],[Split_raw]]*MAX(0,MIN(_xlfn.DAYS(EDATE(Y$1,1),Log_2018[[#This Row],[Date]]),Log_2018[[#This Row],[Split_apply]])) - SUM($O677:X677)</f>
        <v>0</v>
      </c>
      <c r="Z677" s="52">
        <f ca="1">Log_2018[[#This Row],[Amount]]/Log_2018[[#This Row],[Split_raw]]*MAX(0,MIN(_xlfn.DAYS(EDATE(Z$1,1),Log_2018[[#This Row],[Date]]),Log_2018[[#This Row],[Split_apply]])) - SUM($O677:Y677)</f>
        <v>0</v>
      </c>
      <c r="AA677" s="52">
        <f ca="1">Log_2018[[#This Row],[Amount]]/Log_2018[[#This Row],[Split_raw]]*MAX(0,MIN(_xlfn.DAYS(EDATE(AA$1,1),Log_2018[[#This Row],[Date]]),Log_2018[[#This Row],[Split_apply]])) - SUM($O677:Z677)</f>
        <v>0</v>
      </c>
      <c r="AB677" s="54">
        <f ca="1">Log_2018[[#This Row],[Amount]]-SUM(O677:AA677)</f>
        <v>0</v>
      </c>
      <c r="AC677" s="7">
        <f ca="1">MAX(0,Log_2018[[#This Row],[Split_apply]] - (EDATE(AA$1,1)-Log_2018[[#This Row],[Date]]))</f>
        <v>0</v>
      </c>
    </row>
    <row r="678" spans="1:29" hidden="1" x14ac:dyDescent="0.25">
      <c r="A678" s="115"/>
      <c r="B678" t="s">
        <v>6</v>
      </c>
      <c r="D678" s="26">
        <v>43140</v>
      </c>
      <c r="F678" t="s">
        <v>59</v>
      </c>
      <c r="G678" t="s">
        <v>25</v>
      </c>
      <c r="H678" s="3">
        <v>-9.39</v>
      </c>
      <c r="I678" s="36">
        <f>IF(Log_2018[[#This Row],[My Category]]="NONTRACKED",0,Log_2018[[#This Row],[Raw Amount]])</f>
        <v>-9.39</v>
      </c>
      <c r="J678" s="17">
        <f>ABS(Log_2018[[#This Row],[Amount]])</f>
        <v>9.39</v>
      </c>
      <c r="K678" s="66">
        <v>1</v>
      </c>
      <c r="L678" s="66">
        <f ca="1">IF(Log_2018[[#This Row],[Date]]&lt;=TODAY(), MIN(Log_2018[[#This Row],[Split_raw]], TODAY()-Log_2018[[#This Row],[Date]]+1), 0)</f>
        <v>1</v>
      </c>
      <c r="M678" t="s">
        <v>35</v>
      </c>
      <c r="N678" t="s">
        <v>158</v>
      </c>
      <c r="O678" s="50">
        <v>0</v>
      </c>
      <c r="P678" s="52">
        <f ca="1">Log_2018[[#This Row],[Amount]]/Log_2018[[#This Row],[Split_raw]]*MAX(0,MIN(_xlfn.DAYS(EDATE(P$1,1),Log_2018[[#This Row],[Date]]),Log_2018[[#This Row],[Split_apply]])) - SUM($O678:O678)</f>
        <v>0</v>
      </c>
      <c r="Q678" s="52">
        <f ca="1">Log_2018[[#This Row],[Amount]]/Log_2018[[#This Row],[Split_raw]]*MAX(0,MIN(_xlfn.DAYS(EDATE(Q$1,1),Log_2018[[#This Row],[Date]]),Log_2018[[#This Row],[Split_apply]])) - SUM($O678:P678)</f>
        <v>-9.39</v>
      </c>
      <c r="R678" s="52">
        <f ca="1">Log_2018[[#This Row],[Amount]]/Log_2018[[#This Row],[Split_raw]]*MAX(0,MIN(_xlfn.DAYS(EDATE(R$1,1),Log_2018[[#This Row],[Date]]),Log_2018[[#This Row],[Split_apply]])) - SUM($O678:Q678)</f>
        <v>0</v>
      </c>
      <c r="S678" s="52">
        <f ca="1">Log_2018[[#This Row],[Amount]]/Log_2018[[#This Row],[Split_raw]]*MAX(0,MIN(_xlfn.DAYS(EDATE(S$1,1),Log_2018[[#This Row],[Date]]),Log_2018[[#This Row],[Split_apply]])) - SUM($O678:R678)</f>
        <v>0</v>
      </c>
      <c r="T678" s="52">
        <f ca="1">Log_2018[[#This Row],[Amount]]/Log_2018[[#This Row],[Split_raw]]*MAX(0,MIN(_xlfn.DAYS(EDATE(T$1,1),Log_2018[[#This Row],[Date]]),Log_2018[[#This Row],[Split_apply]])) - SUM($O678:S678)</f>
        <v>0</v>
      </c>
      <c r="U678" s="52">
        <f ca="1">Log_2018[[#This Row],[Amount]]/Log_2018[[#This Row],[Split_raw]]*MAX(0,MIN(_xlfn.DAYS(EDATE(U$1,1),Log_2018[[#This Row],[Date]]),Log_2018[[#This Row],[Split_apply]])) - SUM($O678:T678)</f>
        <v>0</v>
      </c>
      <c r="V678" s="52">
        <f ca="1">Log_2018[[#This Row],[Amount]]/Log_2018[[#This Row],[Split_raw]]*MAX(0,MIN(_xlfn.DAYS(EDATE(V$1,1),Log_2018[[#This Row],[Date]]),Log_2018[[#This Row],[Split_apply]])) - SUM($O678:U678)</f>
        <v>0</v>
      </c>
      <c r="W678" s="52">
        <f ca="1">Log_2018[[#This Row],[Amount]]/Log_2018[[#This Row],[Split_raw]]*MAX(0,MIN(_xlfn.DAYS(EDATE(W$1,1),Log_2018[[#This Row],[Date]]),Log_2018[[#This Row],[Split_apply]])) - SUM($O678:V678)</f>
        <v>0</v>
      </c>
      <c r="X678" s="52">
        <f ca="1">Log_2018[[#This Row],[Amount]]/Log_2018[[#This Row],[Split_raw]]*MAX(0,MIN(_xlfn.DAYS(EDATE(X$1,1),Log_2018[[#This Row],[Date]]),Log_2018[[#This Row],[Split_apply]])) - SUM($O678:W678)</f>
        <v>0</v>
      </c>
      <c r="Y678" s="52">
        <f ca="1">Log_2018[[#This Row],[Amount]]/Log_2018[[#This Row],[Split_raw]]*MAX(0,MIN(_xlfn.DAYS(EDATE(Y$1,1),Log_2018[[#This Row],[Date]]),Log_2018[[#This Row],[Split_apply]])) - SUM($O678:X678)</f>
        <v>0</v>
      </c>
      <c r="Z678" s="52">
        <f ca="1">Log_2018[[#This Row],[Amount]]/Log_2018[[#This Row],[Split_raw]]*MAX(0,MIN(_xlfn.DAYS(EDATE(Z$1,1),Log_2018[[#This Row],[Date]]),Log_2018[[#This Row],[Split_apply]])) - SUM($O678:Y678)</f>
        <v>0</v>
      </c>
      <c r="AA678" s="52">
        <f ca="1">Log_2018[[#This Row],[Amount]]/Log_2018[[#This Row],[Split_raw]]*MAX(0,MIN(_xlfn.DAYS(EDATE(AA$1,1),Log_2018[[#This Row],[Date]]),Log_2018[[#This Row],[Split_apply]])) - SUM($O678:Z678)</f>
        <v>0</v>
      </c>
      <c r="AB678" s="54">
        <f ca="1">Log_2018[[#This Row],[Amount]]-SUM(O678:AA678)</f>
        <v>0</v>
      </c>
      <c r="AC678" s="7">
        <f ca="1">MAX(0,Log_2018[[#This Row],[Split_apply]] - (EDATE(AA$1,1)-Log_2018[[#This Row],[Date]]))</f>
        <v>0</v>
      </c>
    </row>
    <row r="679" spans="1:29" hidden="1" x14ac:dyDescent="0.25">
      <c r="A679" s="115"/>
      <c r="B679" t="s">
        <v>6</v>
      </c>
      <c r="D679" s="26">
        <v>43139</v>
      </c>
      <c r="F679" t="s">
        <v>72</v>
      </c>
      <c r="G679" t="s">
        <v>12</v>
      </c>
      <c r="H679" s="3">
        <v>-63.6</v>
      </c>
      <c r="I679" s="36">
        <f>IF(Log_2018[[#This Row],[My Category]]="NONTRACKED",0,Log_2018[[#This Row],[Raw Amount]])</f>
        <v>-63.6</v>
      </c>
      <c r="J679" s="17">
        <f>ABS(Log_2018[[#This Row],[Amount]])</f>
        <v>63.6</v>
      </c>
      <c r="K679" s="66">
        <v>1</v>
      </c>
      <c r="L679" s="66">
        <f ca="1">IF(Log_2018[[#This Row],[Date]]&lt;=TODAY(), MIN(Log_2018[[#This Row],[Split_raw]], TODAY()-Log_2018[[#This Row],[Date]]+1), 0)</f>
        <v>1</v>
      </c>
      <c r="M679" t="s">
        <v>12</v>
      </c>
      <c r="N679" t="s">
        <v>158</v>
      </c>
      <c r="O679" s="50">
        <v>0</v>
      </c>
      <c r="P679" s="52">
        <f ca="1">Log_2018[[#This Row],[Amount]]/Log_2018[[#This Row],[Split_raw]]*MAX(0,MIN(_xlfn.DAYS(EDATE(P$1,1),Log_2018[[#This Row],[Date]]),Log_2018[[#This Row],[Split_apply]])) - SUM($O679:O679)</f>
        <v>0</v>
      </c>
      <c r="Q679" s="52">
        <f ca="1">Log_2018[[#This Row],[Amount]]/Log_2018[[#This Row],[Split_raw]]*MAX(0,MIN(_xlfn.DAYS(EDATE(Q$1,1),Log_2018[[#This Row],[Date]]),Log_2018[[#This Row],[Split_apply]])) - SUM($O679:P679)</f>
        <v>-63.6</v>
      </c>
      <c r="R679" s="52">
        <f ca="1">Log_2018[[#This Row],[Amount]]/Log_2018[[#This Row],[Split_raw]]*MAX(0,MIN(_xlfn.DAYS(EDATE(R$1,1),Log_2018[[#This Row],[Date]]),Log_2018[[#This Row],[Split_apply]])) - SUM($O679:Q679)</f>
        <v>0</v>
      </c>
      <c r="S679" s="52">
        <f ca="1">Log_2018[[#This Row],[Amount]]/Log_2018[[#This Row],[Split_raw]]*MAX(0,MIN(_xlfn.DAYS(EDATE(S$1,1),Log_2018[[#This Row],[Date]]),Log_2018[[#This Row],[Split_apply]])) - SUM($O679:R679)</f>
        <v>0</v>
      </c>
      <c r="T679" s="52">
        <f ca="1">Log_2018[[#This Row],[Amount]]/Log_2018[[#This Row],[Split_raw]]*MAX(0,MIN(_xlfn.DAYS(EDATE(T$1,1),Log_2018[[#This Row],[Date]]),Log_2018[[#This Row],[Split_apply]])) - SUM($O679:S679)</f>
        <v>0</v>
      </c>
      <c r="U679" s="52">
        <f ca="1">Log_2018[[#This Row],[Amount]]/Log_2018[[#This Row],[Split_raw]]*MAX(0,MIN(_xlfn.DAYS(EDATE(U$1,1),Log_2018[[#This Row],[Date]]),Log_2018[[#This Row],[Split_apply]])) - SUM($O679:T679)</f>
        <v>0</v>
      </c>
      <c r="V679" s="52">
        <f ca="1">Log_2018[[#This Row],[Amount]]/Log_2018[[#This Row],[Split_raw]]*MAX(0,MIN(_xlfn.DAYS(EDATE(V$1,1),Log_2018[[#This Row],[Date]]),Log_2018[[#This Row],[Split_apply]])) - SUM($O679:U679)</f>
        <v>0</v>
      </c>
      <c r="W679" s="52">
        <f ca="1">Log_2018[[#This Row],[Amount]]/Log_2018[[#This Row],[Split_raw]]*MAX(0,MIN(_xlfn.DAYS(EDATE(W$1,1),Log_2018[[#This Row],[Date]]),Log_2018[[#This Row],[Split_apply]])) - SUM($O679:V679)</f>
        <v>0</v>
      </c>
      <c r="X679" s="52">
        <f ca="1">Log_2018[[#This Row],[Amount]]/Log_2018[[#This Row],[Split_raw]]*MAX(0,MIN(_xlfn.DAYS(EDATE(X$1,1),Log_2018[[#This Row],[Date]]),Log_2018[[#This Row],[Split_apply]])) - SUM($O679:W679)</f>
        <v>0</v>
      </c>
      <c r="Y679" s="52">
        <f ca="1">Log_2018[[#This Row],[Amount]]/Log_2018[[#This Row],[Split_raw]]*MAX(0,MIN(_xlfn.DAYS(EDATE(Y$1,1),Log_2018[[#This Row],[Date]]),Log_2018[[#This Row],[Split_apply]])) - SUM($O679:X679)</f>
        <v>0</v>
      </c>
      <c r="Z679" s="52">
        <f ca="1">Log_2018[[#This Row],[Amount]]/Log_2018[[#This Row],[Split_raw]]*MAX(0,MIN(_xlfn.DAYS(EDATE(Z$1,1),Log_2018[[#This Row],[Date]]),Log_2018[[#This Row],[Split_apply]])) - SUM($O679:Y679)</f>
        <v>0</v>
      </c>
      <c r="AA679" s="52">
        <f ca="1">Log_2018[[#This Row],[Amount]]/Log_2018[[#This Row],[Split_raw]]*MAX(0,MIN(_xlfn.DAYS(EDATE(AA$1,1),Log_2018[[#This Row],[Date]]),Log_2018[[#This Row],[Split_apply]])) - SUM($O679:Z679)</f>
        <v>0</v>
      </c>
      <c r="AB679" s="54">
        <f ca="1">Log_2018[[#This Row],[Amount]]-SUM(O679:AA679)</f>
        <v>0</v>
      </c>
      <c r="AC679" s="7">
        <f ca="1">MAX(0,Log_2018[[#This Row],[Split_apply]] - (EDATE(AA$1,1)-Log_2018[[#This Row],[Date]]))</f>
        <v>0</v>
      </c>
    </row>
    <row r="680" spans="1:29" hidden="1" x14ac:dyDescent="0.25">
      <c r="A680" s="115"/>
      <c r="B680" t="s">
        <v>6</v>
      </c>
      <c r="D680" s="26">
        <v>43138</v>
      </c>
      <c r="F680" t="s">
        <v>73</v>
      </c>
      <c r="G680" t="s">
        <v>11</v>
      </c>
      <c r="H680" s="3">
        <v>-78.34</v>
      </c>
      <c r="I680" s="36">
        <f>IF(Log_2018[[#This Row],[My Category]]="NONTRACKED",0,Log_2018[[#This Row],[Raw Amount]])</f>
        <v>-78.34</v>
      </c>
      <c r="J680" s="17">
        <f>ABS(Log_2018[[#This Row],[Amount]])</f>
        <v>78.34</v>
      </c>
      <c r="K680" s="66">
        <v>1</v>
      </c>
      <c r="L680" s="66">
        <f ca="1">IF(Log_2018[[#This Row],[Date]]&lt;=TODAY(), MIN(Log_2018[[#This Row],[Split_raw]], TODAY()-Log_2018[[#This Row],[Date]]+1), 0)</f>
        <v>1</v>
      </c>
      <c r="M680" t="s">
        <v>366</v>
      </c>
      <c r="N680" t="s">
        <v>158</v>
      </c>
      <c r="O680" s="50">
        <v>0</v>
      </c>
      <c r="P680" s="52">
        <f ca="1">Log_2018[[#This Row],[Amount]]/Log_2018[[#This Row],[Split_raw]]*MAX(0,MIN(_xlfn.DAYS(EDATE(P$1,1),Log_2018[[#This Row],[Date]]),Log_2018[[#This Row],[Split_apply]])) - SUM($O680:O680)</f>
        <v>0</v>
      </c>
      <c r="Q680" s="52">
        <f ca="1">Log_2018[[#This Row],[Amount]]/Log_2018[[#This Row],[Split_raw]]*MAX(0,MIN(_xlfn.DAYS(EDATE(Q$1,1),Log_2018[[#This Row],[Date]]),Log_2018[[#This Row],[Split_apply]])) - SUM($O680:P680)</f>
        <v>-78.34</v>
      </c>
      <c r="R680" s="52">
        <f ca="1">Log_2018[[#This Row],[Amount]]/Log_2018[[#This Row],[Split_raw]]*MAX(0,MIN(_xlfn.DAYS(EDATE(R$1,1),Log_2018[[#This Row],[Date]]),Log_2018[[#This Row],[Split_apply]])) - SUM($O680:Q680)</f>
        <v>0</v>
      </c>
      <c r="S680" s="52">
        <f ca="1">Log_2018[[#This Row],[Amount]]/Log_2018[[#This Row],[Split_raw]]*MAX(0,MIN(_xlfn.DAYS(EDATE(S$1,1),Log_2018[[#This Row],[Date]]),Log_2018[[#This Row],[Split_apply]])) - SUM($O680:R680)</f>
        <v>0</v>
      </c>
      <c r="T680" s="52">
        <f ca="1">Log_2018[[#This Row],[Amount]]/Log_2018[[#This Row],[Split_raw]]*MAX(0,MIN(_xlfn.DAYS(EDATE(T$1,1),Log_2018[[#This Row],[Date]]),Log_2018[[#This Row],[Split_apply]])) - SUM($O680:S680)</f>
        <v>0</v>
      </c>
      <c r="U680" s="52">
        <f ca="1">Log_2018[[#This Row],[Amount]]/Log_2018[[#This Row],[Split_raw]]*MAX(0,MIN(_xlfn.DAYS(EDATE(U$1,1),Log_2018[[#This Row],[Date]]),Log_2018[[#This Row],[Split_apply]])) - SUM($O680:T680)</f>
        <v>0</v>
      </c>
      <c r="V680" s="52">
        <f ca="1">Log_2018[[#This Row],[Amount]]/Log_2018[[#This Row],[Split_raw]]*MAX(0,MIN(_xlfn.DAYS(EDATE(V$1,1),Log_2018[[#This Row],[Date]]),Log_2018[[#This Row],[Split_apply]])) - SUM($O680:U680)</f>
        <v>0</v>
      </c>
      <c r="W680" s="52">
        <f ca="1">Log_2018[[#This Row],[Amount]]/Log_2018[[#This Row],[Split_raw]]*MAX(0,MIN(_xlfn.DAYS(EDATE(W$1,1),Log_2018[[#This Row],[Date]]),Log_2018[[#This Row],[Split_apply]])) - SUM($O680:V680)</f>
        <v>0</v>
      </c>
      <c r="X680" s="52">
        <f ca="1">Log_2018[[#This Row],[Amount]]/Log_2018[[#This Row],[Split_raw]]*MAX(0,MIN(_xlfn.DAYS(EDATE(X$1,1),Log_2018[[#This Row],[Date]]),Log_2018[[#This Row],[Split_apply]])) - SUM($O680:W680)</f>
        <v>0</v>
      </c>
      <c r="Y680" s="52">
        <f ca="1">Log_2018[[#This Row],[Amount]]/Log_2018[[#This Row],[Split_raw]]*MAX(0,MIN(_xlfn.DAYS(EDATE(Y$1,1),Log_2018[[#This Row],[Date]]),Log_2018[[#This Row],[Split_apply]])) - SUM($O680:X680)</f>
        <v>0</v>
      </c>
      <c r="Z680" s="52">
        <f ca="1">Log_2018[[#This Row],[Amount]]/Log_2018[[#This Row],[Split_raw]]*MAX(0,MIN(_xlfn.DAYS(EDATE(Z$1,1),Log_2018[[#This Row],[Date]]),Log_2018[[#This Row],[Split_apply]])) - SUM($O680:Y680)</f>
        <v>0</v>
      </c>
      <c r="AA680" s="52">
        <f ca="1">Log_2018[[#This Row],[Amount]]/Log_2018[[#This Row],[Split_raw]]*MAX(0,MIN(_xlfn.DAYS(EDATE(AA$1,1),Log_2018[[#This Row],[Date]]),Log_2018[[#This Row],[Split_apply]])) - SUM($O680:Z680)</f>
        <v>0</v>
      </c>
      <c r="AB680" s="54">
        <f ca="1">Log_2018[[#This Row],[Amount]]-SUM(O680:AA680)</f>
        <v>0</v>
      </c>
      <c r="AC680" s="7">
        <f ca="1">MAX(0,Log_2018[[#This Row],[Split_apply]] - (EDATE(AA$1,1)-Log_2018[[#This Row],[Date]]))</f>
        <v>0</v>
      </c>
    </row>
    <row r="681" spans="1:29" hidden="1" x14ac:dyDescent="0.25">
      <c r="A681" s="115"/>
      <c r="B681" t="s">
        <v>6</v>
      </c>
      <c r="D681" s="26">
        <v>43138</v>
      </c>
      <c r="F681" t="s">
        <v>73</v>
      </c>
      <c r="G681" t="s">
        <v>11</v>
      </c>
      <c r="H681" s="3">
        <v>-39.6</v>
      </c>
      <c r="I681" s="36">
        <f>IF(Log_2018[[#This Row],[My Category]]="NONTRACKED",0,Log_2018[[#This Row],[Raw Amount]])</f>
        <v>-39.6</v>
      </c>
      <c r="J681" s="17">
        <f>ABS(Log_2018[[#This Row],[Amount]])</f>
        <v>39.6</v>
      </c>
      <c r="K681" s="66">
        <v>1</v>
      </c>
      <c r="L681" s="66">
        <f ca="1">IF(Log_2018[[#This Row],[Date]]&lt;=TODAY(), MIN(Log_2018[[#This Row],[Split_raw]], TODAY()-Log_2018[[#This Row],[Date]]+1), 0)</f>
        <v>1</v>
      </c>
      <c r="M681" t="s">
        <v>366</v>
      </c>
      <c r="N681" t="s">
        <v>158</v>
      </c>
      <c r="O681" s="50">
        <v>0</v>
      </c>
      <c r="P681" s="52">
        <f ca="1">Log_2018[[#This Row],[Amount]]/Log_2018[[#This Row],[Split_raw]]*MAX(0,MIN(_xlfn.DAYS(EDATE(P$1,1),Log_2018[[#This Row],[Date]]),Log_2018[[#This Row],[Split_apply]])) - SUM($O681:O681)</f>
        <v>0</v>
      </c>
      <c r="Q681" s="52">
        <f ca="1">Log_2018[[#This Row],[Amount]]/Log_2018[[#This Row],[Split_raw]]*MAX(0,MIN(_xlfn.DAYS(EDATE(Q$1,1),Log_2018[[#This Row],[Date]]),Log_2018[[#This Row],[Split_apply]])) - SUM($O681:P681)</f>
        <v>-39.6</v>
      </c>
      <c r="R681" s="52">
        <f ca="1">Log_2018[[#This Row],[Amount]]/Log_2018[[#This Row],[Split_raw]]*MAX(0,MIN(_xlfn.DAYS(EDATE(R$1,1),Log_2018[[#This Row],[Date]]),Log_2018[[#This Row],[Split_apply]])) - SUM($O681:Q681)</f>
        <v>0</v>
      </c>
      <c r="S681" s="52">
        <f ca="1">Log_2018[[#This Row],[Amount]]/Log_2018[[#This Row],[Split_raw]]*MAX(0,MIN(_xlfn.DAYS(EDATE(S$1,1),Log_2018[[#This Row],[Date]]),Log_2018[[#This Row],[Split_apply]])) - SUM($O681:R681)</f>
        <v>0</v>
      </c>
      <c r="T681" s="52">
        <f ca="1">Log_2018[[#This Row],[Amount]]/Log_2018[[#This Row],[Split_raw]]*MAX(0,MIN(_xlfn.DAYS(EDATE(T$1,1),Log_2018[[#This Row],[Date]]),Log_2018[[#This Row],[Split_apply]])) - SUM($O681:S681)</f>
        <v>0</v>
      </c>
      <c r="U681" s="52">
        <f ca="1">Log_2018[[#This Row],[Amount]]/Log_2018[[#This Row],[Split_raw]]*MAX(0,MIN(_xlfn.DAYS(EDATE(U$1,1),Log_2018[[#This Row],[Date]]),Log_2018[[#This Row],[Split_apply]])) - SUM($O681:T681)</f>
        <v>0</v>
      </c>
      <c r="V681" s="52">
        <f ca="1">Log_2018[[#This Row],[Amount]]/Log_2018[[#This Row],[Split_raw]]*MAX(0,MIN(_xlfn.DAYS(EDATE(V$1,1),Log_2018[[#This Row],[Date]]),Log_2018[[#This Row],[Split_apply]])) - SUM($O681:U681)</f>
        <v>0</v>
      </c>
      <c r="W681" s="52">
        <f ca="1">Log_2018[[#This Row],[Amount]]/Log_2018[[#This Row],[Split_raw]]*MAX(0,MIN(_xlfn.DAYS(EDATE(W$1,1),Log_2018[[#This Row],[Date]]),Log_2018[[#This Row],[Split_apply]])) - SUM($O681:V681)</f>
        <v>0</v>
      </c>
      <c r="X681" s="52">
        <f ca="1">Log_2018[[#This Row],[Amount]]/Log_2018[[#This Row],[Split_raw]]*MAX(0,MIN(_xlfn.DAYS(EDATE(X$1,1),Log_2018[[#This Row],[Date]]),Log_2018[[#This Row],[Split_apply]])) - SUM($O681:W681)</f>
        <v>0</v>
      </c>
      <c r="Y681" s="52">
        <f ca="1">Log_2018[[#This Row],[Amount]]/Log_2018[[#This Row],[Split_raw]]*MAX(0,MIN(_xlfn.DAYS(EDATE(Y$1,1),Log_2018[[#This Row],[Date]]),Log_2018[[#This Row],[Split_apply]])) - SUM($O681:X681)</f>
        <v>0</v>
      </c>
      <c r="Z681" s="52">
        <f ca="1">Log_2018[[#This Row],[Amount]]/Log_2018[[#This Row],[Split_raw]]*MAX(0,MIN(_xlfn.DAYS(EDATE(Z$1,1),Log_2018[[#This Row],[Date]]),Log_2018[[#This Row],[Split_apply]])) - SUM($O681:Y681)</f>
        <v>0</v>
      </c>
      <c r="AA681" s="52">
        <f ca="1">Log_2018[[#This Row],[Amount]]/Log_2018[[#This Row],[Split_raw]]*MAX(0,MIN(_xlfn.DAYS(EDATE(AA$1,1),Log_2018[[#This Row],[Date]]),Log_2018[[#This Row],[Split_apply]])) - SUM($O681:Z681)</f>
        <v>0</v>
      </c>
      <c r="AB681" s="54">
        <f ca="1">Log_2018[[#This Row],[Amount]]-SUM(O681:AA681)</f>
        <v>0</v>
      </c>
      <c r="AC681" s="7">
        <f ca="1">MAX(0,Log_2018[[#This Row],[Split_apply]] - (EDATE(AA$1,1)-Log_2018[[#This Row],[Date]]))</f>
        <v>0</v>
      </c>
    </row>
    <row r="682" spans="1:29" hidden="1" x14ac:dyDescent="0.25">
      <c r="A682" s="115"/>
      <c r="B682" t="s">
        <v>6</v>
      </c>
      <c r="D682" s="26">
        <v>43138</v>
      </c>
      <c r="F682" t="s">
        <v>59</v>
      </c>
      <c r="G682" t="s">
        <v>25</v>
      </c>
      <c r="H682" s="3">
        <v>-7.94</v>
      </c>
      <c r="I682" s="36">
        <f>IF(Log_2018[[#This Row],[My Category]]="NONTRACKED",0,Log_2018[[#This Row],[Raw Amount]])</f>
        <v>-7.94</v>
      </c>
      <c r="J682" s="17">
        <f>ABS(Log_2018[[#This Row],[Amount]])</f>
        <v>7.94</v>
      </c>
      <c r="K682" s="66">
        <v>1</v>
      </c>
      <c r="L682" s="66">
        <f ca="1">IF(Log_2018[[#This Row],[Date]]&lt;=TODAY(), MIN(Log_2018[[#This Row],[Split_raw]], TODAY()-Log_2018[[#This Row],[Date]]+1), 0)</f>
        <v>1</v>
      </c>
      <c r="M682" t="s">
        <v>35</v>
      </c>
      <c r="N682" t="s">
        <v>158</v>
      </c>
      <c r="O682" s="50">
        <v>0</v>
      </c>
      <c r="P682" s="52">
        <f ca="1">Log_2018[[#This Row],[Amount]]/Log_2018[[#This Row],[Split_raw]]*MAX(0,MIN(_xlfn.DAYS(EDATE(P$1,1),Log_2018[[#This Row],[Date]]),Log_2018[[#This Row],[Split_apply]])) - SUM($O682:O682)</f>
        <v>0</v>
      </c>
      <c r="Q682" s="52">
        <f ca="1">Log_2018[[#This Row],[Amount]]/Log_2018[[#This Row],[Split_raw]]*MAX(0,MIN(_xlfn.DAYS(EDATE(Q$1,1),Log_2018[[#This Row],[Date]]),Log_2018[[#This Row],[Split_apply]])) - SUM($O682:P682)</f>
        <v>-7.94</v>
      </c>
      <c r="R682" s="52">
        <f ca="1">Log_2018[[#This Row],[Amount]]/Log_2018[[#This Row],[Split_raw]]*MAX(0,MIN(_xlfn.DAYS(EDATE(R$1,1),Log_2018[[#This Row],[Date]]),Log_2018[[#This Row],[Split_apply]])) - SUM($O682:Q682)</f>
        <v>0</v>
      </c>
      <c r="S682" s="52">
        <f ca="1">Log_2018[[#This Row],[Amount]]/Log_2018[[#This Row],[Split_raw]]*MAX(0,MIN(_xlfn.DAYS(EDATE(S$1,1),Log_2018[[#This Row],[Date]]),Log_2018[[#This Row],[Split_apply]])) - SUM($O682:R682)</f>
        <v>0</v>
      </c>
      <c r="T682" s="52">
        <f ca="1">Log_2018[[#This Row],[Amount]]/Log_2018[[#This Row],[Split_raw]]*MAX(0,MIN(_xlfn.DAYS(EDATE(T$1,1),Log_2018[[#This Row],[Date]]),Log_2018[[#This Row],[Split_apply]])) - SUM($O682:S682)</f>
        <v>0</v>
      </c>
      <c r="U682" s="52">
        <f ca="1">Log_2018[[#This Row],[Amount]]/Log_2018[[#This Row],[Split_raw]]*MAX(0,MIN(_xlfn.DAYS(EDATE(U$1,1),Log_2018[[#This Row],[Date]]),Log_2018[[#This Row],[Split_apply]])) - SUM($O682:T682)</f>
        <v>0</v>
      </c>
      <c r="V682" s="52">
        <f ca="1">Log_2018[[#This Row],[Amount]]/Log_2018[[#This Row],[Split_raw]]*MAX(0,MIN(_xlfn.DAYS(EDATE(V$1,1),Log_2018[[#This Row],[Date]]),Log_2018[[#This Row],[Split_apply]])) - SUM($O682:U682)</f>
        <v>0</v>
      </c>
      <c r="W682" s="52">
        <f ca="1">Log_2018[[#This Row],[Amount]]/Log_2018[[#This Row],[Split_raw]]*MAX(0,MIN(_xlfn.DAYS(EDATE(W$1,1),Log_2018[[#This Row],[Date]]),Log_2018[[#This Row],[Split_apply]])) - SUM($O682:V682)</f>
        <v>0</v>
      </c>
      <c r="X682" s="52">
        <f ca="1">Log_2018[[#This Row],[Amount]]/Log_2018[[#This Row],[Split_raw]]*MAX(0,MIN(_xlfn.DAYS(EDATE(X$1,1),Log_2018[[#This Row],[Date]]),Log_2018[[#This Row],[Split_apply]])) - SUM($O682:W682)</f>
        <v>0</v>
      </c>
      <c r="Y682" s="52">
        <f ca="1">Log_2018[[#This Row],[Amount]]/Log_2018[[#This Row],[Split_raw]]*MAX(0,MIN(_xlfn.DAYS(EDATE(Y$1,1),Log_2018[[#This Row],[Date]]),Log_2018[[#This Row],[Split_apply]])) - SUM($O682:X682)</f>
        <v>0</v>
      </c>
      <c r="Z682" s="52">
        <f ca="1">Log_2018[[#This Row],[Amount]]/Log_2018[[#This Row],[Split_raw]]*MAX(0,MIN(_xlfn.DAYS(EDATE(Z$1,1),Log_2018[[#This Row],[Date]]),Log_2018[[#This Row],[Split_apply]])) - SUM($O682:Y682)</f>
        <v>0</v>
      </c>
      <c r="AA682" s="52">
        <f ca="1">Log_2018[[#This Row],[Amount]]/Log_2018[[#This Row],[Split_raw]]*MAX(0,MIN(_xlfn.DAYS(EDATE(AA$1,1),Log_2018[[#This Row],[Date]]),Log_2018[[#This Row],[Split_apply]])) - SUM($O682:Z682)</f>
        <v>0</v>
      </c>
      <c r="AB682" s="54">
        <f ca="1">Log_2018[[#This Row],[Amount]]-SUM(O682:AA682)</f>
        <v>0</v>
      </c>
      <c r="AC682" s="7">
        <f ca="1">MAX(0,Log_2018[[#This Row],[Split_apply]] - (EDATE(AA$1,1)-Log_2018[[#This Row],[Date]]))</f>
        <v>0</v>
      </c>
    </row>
    <row r="683" spans="1:29" hidden="1" x14ac:dyDescent="0.25">
      <c r="A683" s="115"/>
      <c r="B683" t="s">
        <v>6</v>
      </c>
      <c r="D683" s="26">
        <v>43138</v>
      </c>
      <c r="F683" t="s">
        <v>138</v>
      </c>
      <c r="G683" t="s">
        <v>104</v>
      </c>
      <c r="H683" s="3">
        <v>-63.4</v>
      </c>
      <c r="I683" s="36">
        <f>IF(Log_2018[[#This Row],[My Category]]="NONTRACKED",0,Log_2018[[#This Row],[Raw Amount]])</f>
        <v>-63.4</v>
      </c>
      <c r="J683" s="17">
        <f>ABS(Log_2018[[#This Row],[Amount]])</f>
        <v>63.4</v>
      </c>
      <c r="K683" s="66">
        <v>1</v>
      </c>
      <c r="L683" s="66">
        <f ca="1">IF(Log_2018[[#This Row],[Date]]&lt;=TODAY(), MIN(Log_2018[[#This Row],[Split_raw]], TODAY()-Log_2018[[#This Row],[Date]]+1), 0)</f>
        <v>1</v>
      </c>
      <c r="M683" t="s">
        <v>159</v>
      </c>
      <c r="N683" t="s">
        <v>160</v>
      </c>
      <c r="O683" s="50">
        <v>0</v>
      </c>
      <c r="P683" s="52">
        <f ca="1">Log_2018[[#This Row],[Amount]]/Log_2018[[#This Row],[Split_raw]]*MAX(0,MIN(_xlfn.DAYS(EDATE(P$1,1),Log_2018[[#This Row],[Date]]),Log_2018[[#This Row],[Split_apply]])) - SUM($O683:O683)</f>
        <v>0</v>
      </c>
      <c r="Q683" s="52">
        <f ca="1">Log_2018[[#This Row],[Amount]]/Log_2018[[#This Row],[Split_raw]]*MAX(0,MIN(_xlfn.DAYS(EDATE(Q$1,1),Log_2018[[#This Row],[Date]]),Log_2018[[#This Row],[Split_apply]])) - SUM($O683:P683)</f>
        <v>-63.4</v>
      </c>
      <c r="R683" s="52">
        <f ca="1">Log_2018[[#This Row],[Amount]]/Log_2018[[#This Row],[Split_raw]]*MAX(0,MIN(_xlfn.DAYS(EDATE(R$1,1),Log_2018[[#This Row],[Date]]),Log_2018[[#This Row],[Split_apply]])) - SUM($O683:Q683)</f>
        <v>0</v>
      </c>
      <c r="S683" s="52">
        <f ca="1">Log_2018[[#This Row],[Amount]]/Log_2018[[#This Row],[Split_raw]]*MAX(0,MIN(_xlfn.DAYS(EDATE(S$1,1),Log_2018[[#This Row],[Date]]),Log_2018[[#This Row],[Split_apply]])) - SUM($O683:R683)</f>
        <v>0</v>
      </c>
      <c r="T683" s="52">
        <f ca="1">Log_2018[[#This Row],[Amount]]/Log_2018[[#This Row],[Split_raw]]*MAX(0,MIN(_xlfn.DAYS(EDATE(T$1,1),Log_2018[[#This Row],[Date]]),Log_2018[[#This Row],[Split_apply]])) - SUM($O683:S683)</f>
        <v>0</v>
      </c>
      <c r="U683" s="52">
        <f ca="1">Log_2018[[#This Row],[Amount]]/Log_2018[[#This Row],[Split_raw]]*MAX(0,MIN(_xlfn.DAYS(EDATE(U$1,1),Log_2018[[#This Row],[Date]]),Log_2018[[#This Row],[Split_apply]])) - SUM($O683:T683)</f>
        <v>0</v>
      </c>
      <c r="V683" s="52">
        <f ca="1">Log_2018[[#This Row],[Amount]]/Log_2018[[#This Row],[Split_raw]]*MAX(0,MIN(_xlfn.DAYS(EDATE(V$1,1),Log_2018[[#This Row],[Date]]),Log_2018[[#This Row],[Split_apply]])) - SUM($O683:U683)</f>
        <v>0</v>
      </c>
      <c r="W683" s="52">
        <f ca="1">Log_2018[[#This Row],[Amount]]/Log_2018[[#This Row],[Split_raw]]*MAX(0,MIN(_xlfn.DAYS(EDATE(W$1,1),Log_2018[[#This Row],[Date]]),Log_2018[[#This Row],[Split_apply]])) - SUM($O683:V683)</f>
        <v>0</v>
      </c>
      <c r="X683" s="52">
        <f ca="1">Log_2018[[#This Row],[Amount]]/Log_2018[[#This Row],[Split_raw]]*MAX(0,MIN(_xlfn.DAYS(EDATE(X$1,1),Log_2018[[#This Row],[Date]]),Log_2018[[#This Row],[Split_apply]])) - SUM($O683:W683)</f>
        <v>0</v>
      </c>
      <c r="Y683" s="52">
        <f ca="1">Log_2018[[#This Row],[Amount]]/Log_2018[[#This Row],[Split_raw]]*MAX(0,MIN(_xlfn.DAYS(EDATE(Y$1,1),Log_2018[[#This Row],[Date]]),Log_2018[[#This Row],[Split_apply]])) - SUM($O683:X683)</f>
        <v>0</v>
      </c>
      <c r="Z683" s="52">
        <f ca="1">Log_2018[[#This Row],[Amount]]/Log_2018[[#This Row],[Split_raw]]*MAX(0,MIN(_xlfn.DAYS(EDATE(Z$1,1),Log_2018[[#This Row],[Date]]),Log_2018[[#This Row],[Split_apply]])) - SUM($O683:Y683)</f>
        <v>0</v>
      </c>
      <c r="AA683" s="52">
        <f ca="1">Log_2018[[#This Row],[Amount]]/Log_2018[[#This Row],[Split_raw]]*MAX(0,MIN(_xlfn.DAYS(EDATE(AA$1,1),Log_2018[[#This Row],[Date]]),Log_2018[[#This Row],[Split_apply]])) - SUM($O683:Z683)</f>
        <v>0</v>
      </c>
      <c r="AB683" s="54">
        <f ca="1">Log_2018[[#This Row],[Amount]]-SUM(O683:AA683)</f>
        <v>0</v>
      </c>
      <c r="AC683" s="7">
        <f ca="1">MAX(0,Log_2018[[#This Row],[Split_apply]] - (EDATE(AA$1,1)-Log_2018[[#This Row],[Date]]))</f>
        <v>0</v>
      </c>
    </row>
    <row r="684" spans="1:29" hidden="1" x14ac:dyDescent="0.25">
      <c r="A684" s="115"/>
      <c r="B684" t="s">
        <v>6</v>
      </c>
      <c r="D684" s="26">
        <v>43137</v>
      </c>
      <c r="F684" t="s">
        <v>64</v>
      </c>
      <c r="G684" t="s">
        <v>25</v>
      </c>
      <c r="H684" s="3">
        <v>-1.79</v>
      </c>
      <c r="I684" s="36">
        <f>IF(Log_2018[[#This Row],[My Category]]="NONTRACKED",0,Log_2018[[#This Row],[Raw Amount]])</f>
        <v>-1.79</v>
      </c>
      <c r="J684" s="17">
        <f>ABS(Log_2018[[#This Row],[Amount]])</f>
        <v>1.79</v>
      </c>
      <c r="K684" s="66">
        <v>1</v>
      </c>
      <c r="L684" s="66">
        <f ca="1">IF(Log_2018[[#This Row],[Date]]&lt;=TODAY(), MIN(Log_2018[[#This Row],[Split_raw]], TODAY()-Log_2018[[#This Row],[Date]]+1), 0)</f>
        <v>1</v>
      </c>
      <c r="M684" t="s">
        <v>35</v>
      </c>
      <c r="N684" t="s">
        <v>158</v>
      </c>
      <c r="O684" s="50">
        <v>0</v>
      </c>
      <c r="P684" s="52">
        <f ca="1">Log_2018[[#This Row],[Amount]]/Log_2018[[#This Row],[Split_raw]]*MAX(0,MIN(_xlfn.DAYS(EDATE(P$1,1),Log_2018[[#This Row],[Date]]),Log_2018[[#This Row],[Split_apply]])) - SUM($O684:O684)</f>
        <v>0</v>
      </c>
      <c r="Q684" s="52">
        <f ca="1">Log_2018[[#This Row],[Amount]]/Log_2018[[#This Row],[Split_raw]]*MAX(0,MIN(_xlfn.DAYS(EDATE(Q$1,1),Log_2018[[#This Row],[Date]]),Log_2018[[#This Row],[Split_apply]])) - SUM($O684:P684)</f>
        <v>-1.79</v>
      </c>
      <c r="R684" s="52">
        <f ca="1">Log_2018[[#This Row],[Amount]]/Log_2018[[#This Row],[Split_raw]]*MAX(0,MIN(_xlfn.DAYS(EDATE(R$1,1),Log_2018[[#This Row],[Date]]),Log_2018[[#This Row],[Split_apply]])) - SUM($O684:Q684)</f>
        <v>0</v>
      </c>
      <c r="S684" s="52">
        <f ca="1">Log_2018[[#This Row],[Amount]]/Log_2018[[#This Row],[Split_raw]]*MAX(0,MIN(_xlfn.DAYS(EDATE(S$1,1),Log_2018[[#This Row],[Date]]),Log_2018[[#This Row],[Split_apply]])) - SUM($O684:R684)</f>
        <v>0</v>
      </c>
      <c r="T684" s="52">
        <f ca="1">Log_2018[[#This Row],[Amount]]/Log_2018[[#This Row],[Split_raw]]*MAX(0,MIN(_xlfn.DAYS(EDATE(T$1,1),Log_2018[[#This Row],[Date]]),Log_2018[[#This Row],[Split_apply]])) - SUM($O684:S684)</f>
        <v>0</v>
      </c>
      <c r="U684" s="52">
        <f ca="1">Log_2018[[#This Row],[Amount]]/Log_2018[[#This Row],[Split_raw]]*MAX(0,MIN(_xlfn.DAYS(EDATE(U$1,1),Log_2018[[#This Row],[Date]]),Log_2018[[#This Row],[Split_apply]])) - SUM($O684:T684)</f>
        <v>0</v>
      </c>
      <c r="V684" s="52">
        <f ca="1">Log_2018[[#This Row],[Amount]]/Log_2018[[#This Row],[Split_raw]]*MAX(0,MIN(_xlfn.DAYS(EDATE(V$1,1),Log_2018[[#This Row],[Date]]),Log_2018[[#This Row],[Split_apply]])) - SUM($O684:U684)</f>
        <v>0</v>
      </c>
      <c r="W684" s="52">
        <f ca="1">Log_2018[[#This Row],[Amount]]/Log_2018[[#This Row],[Split_raw]]*MAX(0,MIN(_xlfn.DAYS(EDATE(W$1,1),Log_2018[[#This Row],[Date]]),Log_2018[[#This Row],[Split_apply]])) - SUM($O684:V684)</f>
        <v>0</v>
      </c>
      <c r="X684" s="52">
        <f ca="1">Log_2018[[#This Row],[Amount]]/Log_2018[[#This Row],[Split_raw]]*MAX(0,MIN(_xlfn.DAYS(EDATE(X$1,1),Log_2018[[#This Row],[Date]]),Log_2018[[#This Row],[Split_apply]])) - SUM($O684:W684)</f>
        <v>0</v>
      </c>
      <c r="Y684" s="52">
        <f ca="1">Log_2018[[#This Row],[Amount]]/Log_2018[[#This Row],[Split_raw]]*MAX(0,MIN(_xlfn.DAYS(EDATE(Y$1,1),Log_2018[[#This Row],[Date]]),Log_2018[[#This Row],[Split_apply]])) - SUM($O684:X684)</f>
        <v>0</v>
      </c>
      <c r="Z684" s="52">
        <f ca="1">Log_2018[[#This Row],[Amount]]/Log_2018[[#This Row],[Split_raw]]*MAX(0,MIN(_xlfn.DAYS(EDATE(Z$1,1),Log_2018[[#This Row],[Date]]),Log_2018[[#This Row],[Split_apply]])) - SUM($O684:Y684)</f>
        <v>0</v>
      </c>
      <c r="AA684" s="52">
        <f ca="1">Log_2018[[#This Row],[Amount]]/Log_2018[[#This Row],[Split_raw]]*MAX(0,MIN(_xlfn.DAYS(EDATE(AA$1,1),Log_2018[[#This Row],[Date]]),Log_2018[[#This Row],[Split_apply]])) - SUM($O684:Z684)</f>
        <v>0</v>
      </c>
      <c r="AB684" s="54">
        <f ca="1">Log_2018[[#This Row],[Amount]]-SUM(O684:AA684)</f>
        <v>0</v>
      </c>
      <c r="AC684" s="7">
        <f ca="1">MAX(0,Log_2018[[#This Row],[Split_apply]] - (EDATE(AA$1,1)-Log_2018[[#This Row],[Date]]))</f>
        <v>0</v>
      </c>
    </row>
    <row r="685" spans="1:29" hidden="1" x14ac:dyDescent="0.25">
      <c r="A685" s="115"/>
      <c r="B685" t="s">
        <v>6</v>
      </c>
      <c r="D685" s="26">
        <v>43137</v>
      </c>
      <c r="F685" t="s">
        <v>105</v>
      </c>
      <c r="G685" t="s">
        <v>104</v>
      </c>
      <c r="H685" s="3">
        <v>63.4</v>
      </c>
      <c r="I685" s="36">
        <f>IF(Log_2018[[#This Row],[My Category]]="NONTRACKED",0,Log_2018[[#This Row],[Raw Amount]])</f>
        <v>63.4</v>
      </c>
      <c r="J685" s="17">
        <f>ABS(Log_2018[[#This Row],[Amount]])</f>
        <v>63.4</v>
      </c>
      <c r="K685" s="66">
        <v>1</v>
      </c>
      <c r="L685" s="66">
        <f ca="1">IF(Log_2018[[#This Row],[Date]]&lt;=TODAY(), MIN(Log_2018[[#This Row],[Split_raw]], TODAY()-Log_2018[[#This Row],[Date]]+1), 0)</f>
        <v>1</v>
      </c>
      <c r="M685" t="s">
        <v>159</v>
      </c>
      <c r="N685" t="s">
        <v>158</v>
      </c>
      <c r="O685" s="50">
        <v>0</v>
      </c>
      <c r="P685" s="52">
        <f ca="1">Log_2018[[#This Row],[Amount]]/Log_2018[[#This Row],[Split_raw]]*MAX(0,MIN(_xlfn.DAYS(EDATE(P$1,1),Log_2018[[#This Row],[Date]]),Log_2018[[#This Row],[Split_apply]])) - SUM($O685:O685)</f>
        <v>0</v>
      </c>
      <c r="Q685" s="52">
        <f ca="1">Log_2018[[#This Row],[Amount]]/Log_2018[[#This Row],[Split_raw]]*MAX(0,MIN(_xlfn.DAYS(EDATE(Q$1,1),Log_2018[[#This Row],[Date]]),Log_2018[[#This Row],[Split_apply]])) - SUM($O685:P685)</f>
        <v>63.4</v>
      </c>
      <c r="R685" s="52">
        <f ca="1">Log_2018[[#This Row],[Amount]]/Log_2018[[#This Row],[Split_raw]]*MAX(0,MIN(_xlfn.DAYS(EDATE(R$1,1),Log_2018[[#This Row],[Date]]),Log_2018[[#This Row],[Split_apply]])) - SUM($O685:Q685)</f>
        <v>0</v>
      </c>
      <c r="S685" s="52">
        <f ca="1">Log_2018[[#This Row],[Amount]]/Log_2018[[#This Row],[Split_raw]]*MAX(0,MIN(_xlfn.DAYS(EDATE(S$1,1),Log_2018[[#This Row],[Date]]),Log_2018[[#This Row],[Split_apply]])) - SUM($O685:R685)</f>
        <v>0</v>
      </c>
      <c r="T685" s="52">
        <f ca="1">Log_2018[[#This Row],[Amount]]/Log_2018[[#This Row],[Split_raw]]*MAX(0,MIN(_xlfn.DAYS(EDATE(T$1,1),Log_2018[[#This Row],[Date]]),Log_2018[[#This Row],[Split_apply]])) - SUM($O685:S685)</f>
        <v>0</v>
      </c>
      <c r="U685" s="52">
        <f ca="1">Log_2018[[#This Row],[Amount]]/Log_2018[[#This Row],[Split_raw]]*MAX(0,MIN(_xlfn.DAYS(EDATE(U$1,1),Log_2018[[#This Row],[Date]]),Log_2018[[#This Row],[Split_apply]])) - SUM($O685:T685)</f>
        <v>0</v>
      </c>
      <c r="V685" s="52">
        <f ca="1">Log_2018[[#This Row],[Amount]]/Log_2018[[#This Row],[Split_raw]]*MAX(0,MIN(_xlfn.DAYS(EDATE(V$1,1),Log_2018[[#This Row],[Date]]),Log_2018[[#This Row],[Split_apply]])) - SUM($O685:U685)</f>
        <v>0</v>
      </c>
      <c r="W685" s="52">
        <f ca="1">Log_2018[[#This Row],[Amount]]/Log_2018[[#This Row],[Split_raw]]*MAX(0,MIN(_xlfn.DAYS(EDATE(W$1,1),Log_2018[[#This Row],[Date]]),Log_2018[[#This Row],[Split_apply]])) - SUM($O685:V685)</f>
        <v>0</v>
      </c>
      <c r="X685" s="52">
        <f ca="1">Log_2018[[#This Row],[Amount]]/Log_2018[[#This Row],[Split_raw]]*MAX(0,MIN(_xlfn.DAYS(EDATE(X$1,1),Log_2018[[#This Row],[Date]]),Log_2018[[#This Row],[Split_apply]])) - SUM($O685:W685)</f>
        <v>0</v>
      </c>
      <c r="Y685" s="52">
        <f ca="1">Log_2018[[#This Row],[Amount]]/Log_2018[[#This Row],[Split_raw]]*MAX(0,MIN(_xlfn.DAYS(EDATE(Y$1,1),Log_2018[[#This Row],[Date]]),Log_2018[[#This Row],[Split_apply]])) - SUM($O685:X685)</f>
        <v>0</v>
      </c>
      <c r="Z685" s="52">
        <f ca="1">Log_2018[[#This Row],[Amount]]/Log_2018[[#This Row],[Split_raw]]*MAX(0,MIN(_xlfn.DAYS(EDATE(Z$1,1),Log_2018[[#This Row],[Date]]),Log_2018[[#This Row],[Split_apply]])) - SUM($O685:Y685)</f>
        <v>0</v>
      </c>
      <c r="AA685" s="52">
        <f ca="1">Log_2018[[#This Row],[Amount]]/Log_2018[[#This Row],[Split_raw]]*MAX(0,MIN(_xlfn.DAYS(EDATE(AA$1,1),Log_2018[[#This Row],[Date]]),Log_2018[[#This Row],[Split_apply]])) - SUM($O685:Z685)</f>
        <v>0</v>
      </c>
      <c r="AB685" s="54">
        <f ca="1">Log_2018[[#This Row],[Amount]]-SUM(O685:AA685)</f>
        <v>0</v>
      </c>
      <c r="AC685" s="7">
        <f ca="1">MAX(0,Log_2018[[#This Row],[Split_apply]] - (EDATE(AA$1,1)-Log_2018[[#This Row],[Date]]))</f>
        <v>0</v>
      </c>
    </row>
    <row r="686" spans="1:29" hidden="1" x14ac:dyDescent="0.25">
      <c r="A686" s="115"/>
      <c r="B686" t="s">
        <v>6</v>
      </c>
      <c r="D686" s="26">
        <v>43137</v>
      </c>
      <c r="F686" t="s">
        <v>59</v>
      </c>
      <c r="G686" t="s">
        <v>25</v>
      </c>
      <c r="H686" s="3">
        <v>-10.1</v>
      </c>
      <c r="I686" s="36">
        <f>IF(Log_2018[[#This Row],[My Category]]="NONTRACKED",0,Log_2018[[#This Row],[Raw Amount]])</f>
        <v>-10.1</v>
      </c>
      <c r="J686" s="17">
        <f>ABS(Log_2018[[#This Row],[Amount]])</f>
        <v>10.1</v>
      </c>
      <c r="K686" s="66">
        <v>1</v>
      </c>
      <c r="L686" s="66">
        <f ca="1">IF(Log_2018[[#This Row],[Date]]&lt;=TODAY(), MIN(Log_2018[[#This Row],[Split_raw]], TODAY()-Log_2018[[#This Row],[Date]]+1), 0)</f>
        <v>1</v>
      </c>
      <c r="M686" t="s">
        <v>35</v>
      </c>
      <c r="N686" t="s">
        <v>158</v>
      </c>
      <c r="O686" s="50">
        <v>0</v>
      </c>
      <c r="P686" s="52">
        <f ca="1">Log_2018[[#This Row],[Amount]]/Log_2018[[#This Row],[Split_raw]]*MAX(0,MIN(_xlfn.DAYS(EDATE(P$1,1),Log_2018[[#This Row],[Date]]),Log_2018[[#This Row],[Split_apply]])) - SUM($O686:O686)</f>
        <v>0</v>
      </c>
      <c r="Q686" s="52">
        <f ca="1">Log_2018[[#This Row],[Amount]]/Log_2018[[#This Row],[Split_raw]]*MAX(0,MIN(_xlfn.DAYS(EDATE(Q$1,1),Log_2018[[#This Row],[Date]]),Log_2018[[#This Row],[Split_apply]])) - SUM($O686:P686)</f>
        <v>-10.1</v>
      </c>
      <c r="R686" s="52">
        <f ca="1">Log_2018[[#This Row],[Amount]]/Log_2018[[#This Row],[Split_raw]]*MAX(0,MIN(_xlfn.DAYS(EDATE(R$1,1),Log_2018[[#This Row],[Date]]),Log_2018[[#This Row],[Split_apply]])) - SUM($O686:Q686)</f>
        <v>0</v>
      </c>
      <c r="S686" s="52">
        <f ca="1">Log_2018[[#This Row],[Amount]]/Log_2018[[#This Row],[Split_raw]]*MAX(0,MIN(_xlfn.DAYS(EDATE(S$1,1),Log_2018[[#This Row],[Date]]),Log_2018[[#This Row],[Split_apply]])) - SUM($O686:R686)</f>
        <v>0</v>
      </c>
      <c r="T686" s="52">
        <f ca="1">Log_2018[[#This Row],[Amount]]/Log_2018[[#This Row],[Split_raw]]*MAX(0,MIN(_xlfn.DAYS(EDATE(T$1,1),Log_2018[[#This Row],[Date]]),Log_2018[[#This Row],[Split_apply]])) - SUM($O686:S686)</f>
        <v>0</v>
      </c>
      <c r="U686" s="52">
        <f ca="1">Log_2018[[#This Row],[Amount]]/Log_2018[[#This Row],[Split_raw]]*MAX(0,MIN(_xlfn.DAYS(EDATE(U$1,1),Log_2018[[#This Row],[Date]]),Log_2018[[#This Row],[Split_apply]])) - SUM($O686:T686)</f>
        <v>0</v>
      </c>
      <c r="V686" s="52">
        <f ca="1">Log_2018[[#This Row],[Amount]]/Log_2018[[#This Row],[Split_raw]]*MAX(0,MIN(_xlfn.DAYS(EDATE(V$1,1),Log_2018[[#This Row],[Date]]),Log_2018[[#This Row],[Split_apply]])) - SUM($O686:U686)</f>
        <v>0</v>
      </c>
      <c r="W686" s="52">
        <f ca="1">Log_2018[[#This Row],[Amount]]/Log_2018[[#This Row],[Split_raw]]*MAX(0,MIN(_xlfn.DAYS(EDATE(W$1,1),Log_2018[[#This Row],[Date]]),Log_2018[[#This Row],[Split_apply]])) - SUM($O686:V686)</f>
        <v>0</v>
      </c>
      <c r="X686" s="52">
        <f ca="1">Log_2018[[#This Row],[Amount]]/Log_2018[[#This Row],[Split_raw]]*MAX(0,MIN(_xlfn.DAYS(EDATE(X$1,1),Log_2018[[#This Row],[Date]]),Log_2018[[#This Row],[Split_apply]])) - SUM($O686:W686)</f>
        <v>0</v>
      </c>
      <c r="Y686" s="52">
        <f ca="1">Log_2018[[#This Row],[Amount]]/Log_2018[[#This Row],[Split_raw]]*MAX(0,MIN(_xlfn.DAYS(EDATE(Y$1,1),Log_2018[[#This Row],[Date]]),Log_2018[[#This Row],[Split_apply]])) - SUM($O686:X686)</f>
        <v>0</v>
      </c>
      <c r="Z686" s="52">
        <f ca="1">Log_2018[[#This Row],[Amount]]/Log_2018[[#This Row],[Split_raw]]*MAX(0,MIN(_xlfn.DAYS(EDATE(Z$1,1),Log_2018[[#This Row],[Date]]),Log_2018[[#This Row],[Split_apply]])) - SUM($O686:Y686)</f>
        <v>0</v>
      </c>
      <c r="AA686" s="52">
        <f ca="1">Log_2018[[#This Row],[Amount]]/Log_2018[[#This Row],[Split_raw]]*MAX(0,MIN(_xlfn.DAYS(EDATE(AA$1,1),Log_2018[[#This Row],[Date]]),Log_2018[[#This Row],[Split_apply]])) - SUM($O686:Z686)</f>
        <v>0</v>
      </c>
      <c r="AB686" s="54">
        <f ca="1">Log_2018[[#This Row],[Amount]]-SUM(O686:AA686)</f>
        <v>0</v>
      </c>
      <c r="AC686" s="7">
        <f ca="1">MAX(0,Log_2018[[#This Row],[Split_apply]] - (EDATE(AA$1,1)-Log_2018[[#This Row],[Date]]))</f>
        <v>0</v>
      </c>
    </row>
    <row r="687" spans="1:29" hidden="1" x14ac:dyDescent="0.25">
      <c r="A687" s="115"/>
      <c r="B687" t="s">
        <v>6</v>
      </c>
      <c r="D687" s="26">
        <v>43136</v>
      </c>
      <c r="F687" t="s">
        <v>74</v>
      </c>
      <c r="G687" t="s">
        <v>25</v>
      </c>
      <c r="H687" s="3">
        <v>-17.36</v>
      </c>
      <c r="I687" s="36">
        <f>IF(Log_2018[[#This Row],[My Category]]="NONTRACKED",0,Log_2018[[#This Row],[Raw Amount]])</f>
        <v>-17.36</v>
      </c>
      <c r="J687" s="17">
        <f>ABS(Log_2018[[#This Row],[Amount]])</f>
        <v>17.36</v>
      </c>
      <c r="K687" s="66">
        <v>1</v>
      </c>
      <c r="L687" s="66">
        <f ca="1">IF(Log_2018[[#This Row],[Date]]&lt;=TODAY(), MIN(Log_2018[[#This Row],[Split_raw]], TODAY()-Log_2018[[#This Row],[Date]]+1), 0)</f>
        <v>1</v>
      </c>
      <c r="M687" t="s">
        <v>35</v>
      </c>
      <c r="N687" t="s">
        <v>158</v>
      </c>
      <c r="O687" s="50">
        <v>0</v>
      </c>
      <c r="P687" s="52">
        <f ca="1">Log_2018[[#This Row],[Amount]]/Log_2018[[#This Row],[Split_raw]]*MAX(0,MIN(_xlfn.DAYS(EDATE(P$1,1),Log_2018[[#This Row],[Date]]),Log_2018[[#This Row],[Split_apply]])) - SUM($O687:O687)</f>
        <v>0</v>
      </c>
      <c r="Q687" s="52">
        <f ca="1">Log_2018[[#This Row],[Amount]]/Log_2018[[#This Row],[Split_raw]]*MAX(0,MIN(_xlfn.DAYS(EDATE(Q$1,1),Log_2018[[#This Row],[Date]]),Log_2018[[#This Row],[Split_apply]])) - SUM($O687:P687)</f>
        <v>-17.36</v>
      </c>
      <c r="R687" s="52">
        <f ca="1">Log_2018[[#This Row],[Amount]]/Log_2018[[#This Row],[Split_raw]]*MAX(0,MIN(_xlfn.DAYS(EDATE(R$1,1),Log_2018[[#This Row],[Date]]),Log_2018[[#This Row],[Split_apply]])) - SUM($O687:Q687)</f>
        <v>0</v>
      </c>
      <c r="S687" s="52">
        <f ca="1">Log_2018[[#This Row],[Amount]]/Log_2018[[#This Row],[Split_raw]]*MAX(0,MIN(_xlfn.DAYS(EDATE(S$1,1),Log_2018[[#This Row],[Date]]),Log_2018[[#This Row],[Split_apply]])) - SUM($O687:R687)</f>
        <v>0</v>
      </c>
      <c r="T687" s="52">
        <f ca="1">Log_2018[[#This Row],[Amount]]/Log_2018[[#This Row],[Split_raw]]*MAX(0,MIN(_xlfn.DAYS(EDATE(T$1,1),Log_2018[[#This Row],[Date]]),Log_2018[[#This Row],[Split_apply]])) - SUM($O687:S687)</f>
        <v>0</v>
      </c>
      <c r="U687" s="52">
        <f ca="1">Log_2018[[#This Row],[Amount]]/Log_2018[[#This Row],[Split_raw]]*MAX(0,MIN(_xlfn.DAYS(EDATE(U$1,1),Log_2018[[#This Row],[Date]]),Log_2018[[#This Row],[Split_apply]])) - SUM($O687:T687)</f>
        <v>0</v>
      </c>
      <c r="V687" s="52">
        <f ca="1">Log_2018[[#This Row],[Amount]]/Log_2018[[#This Row],[Split_raw]]*MAX(0,MIN(_xlfn.DAYS(EDATE(V$1,1),Log_2018[[#This Row],[Date]]),Log_2018[[#This Row],[Split_apply]])) - SUM($O687:U687)</f>
        <v>0</v>
      </c>
      <c r="W687" s="52">
        <f ca="1">Log_2018[[#This Row],[Amount]]/Log_2018[[#This Row],[Split_raw]]*MAX(0,MIN(_xlfn.DAYS(EDATE(W$1,1),Log_2018[[#This Row],[Date]]),Log_2018[[#This Row],[Split_apply]])) - SUM($O687:V687)</f>
        <v>0</v>
      </c>
      <c r="X687" s="52">
        <f ca="1">Log_2018[[#This Row],[Amount]]/Log_2018[[#This Row],[Split_raw]]*MAX(0,MIN(_xlfn.DAYS(EDATE(X$1,1),Log_2018[[#This Row],[Date]]),Log_2018[[#This Row],[Split_apply]])) - SUM($O687:W687)</f>
        <v>0</v>
      </c>
      <c r="Y687" s="52">
        <f ca="1">Log_2018[[#This Row],[Amount]]/Log_2018[[#This Row],[Split_raw]]*MAX(0,MIN(_xlfn.DAYS(EDATE(Y$1,1),Log_2018[[#This Row],[Date]]),Log_2018[[#This Row],[Split_apply]])) - SUM($O687:X687)</f>
        <v>0</v>
      </c>
      <c r="Z687" s="52">
        <f ca="1">Log_2018[[#This Row],[Amount]]/Log_2018[[#This Row],[Split_raw]]*MAX(0,MIN(_xlfn.DAYS(EDATE(Z$1,1),Log_2018[[#This Row],[Date]]),Log_2018[[#This Row],[Split_apply]])) - SUM($O687:Y687)</f>
        <v>0</v>
      </c>
      <c r="AA687" s="52">
        <f ca="1">Log_2018[[#This Row],[Amount]]/Log_2018[[#This Row],[Split_raw]]*MAX(0,MIN(_xlfn.DAYS(EDATE(AA$1,1),Log_2018[[#This Row],[Date]]),Log_2018[[#This Row],[Split_apply]])) - SUM($O687:Z687)</f>
        <v>0</v>
      </c>
      <c r="AB687" s="54">
        <f ca="1">Log_2018[[#This Row],[Amount]]-SUM(O687:AA687)</f>
        <v>0</v>
      </c>
      <c r="AC687" s="7">
        <f ca="1">MAX(0,Log_2018[[#This Row],[Split_apply]] - (EDATE(AA$1,1)-Log_2018[[#This Row],[Date]]))</f>
        <v>0</v>
      </c>
    </row>
    <row r="688" spans="1:29" hidden="1" x14ac:dyDescent="0.25">
      <c r="A688" s="115"/>
      <c r="B688" t="s">
        <v>6</v>
      </c>
      <c r="D688" s="26">
        <v>43135</v>
      </c>
      <c r="F688" t="s">
        <v>62</v>
      </c>
      <c r="G688" t="s">
        <v>12</v>
      </c>
      <c r="H688" s="3">
        <v>-13.97</v>
      </c>
      <c r="I688" s="36">
        <f>IF(Log_2018[[#This Row],[My Category]]="NONTRACKED",0,Log_2018[[#This Row],[Raw Amount]])</f>
        <v>-13.97</v>
      </c>
      <c r="J688" s="17">
        <f>ABS(Log_2018[[#This Row],[Amount]])</f>
        <v>13.97</v>
      </c>
      <c r="K688" s="66">
        <v>1</v>
      </c>
      <c r="L688" s="66">
        <f ca="1">IF(Log_2018[[#This Row],[Date]]&lt;=TODAY(), MIN(Log_2018[[#This Row],[Split_raw]], TODAY()-Log_2018[[#This Row],[Date]]+1), 0)</f>
        <v>1</v>
      </c>
      <c r="M688" t="s">
        <v>12</v>
      </c>
      <c r="N688" t="s">
        <v>158</v>
      </c>
      <c r="O688" s="50">
        <v>0</v>
      </c>
      <c r="P688" s="52">
        <f ca="1">Log_2018[[#This Row],[Amount]]/Log_2018[[#This Row],[Split_raw]]*MAX(0,MIN(_xlfn.DAYS(EDATE(P$1,1),Log_2018[[#This Row],[Date]]),Log_2018[[#This Row],[Split_apply]])) - SUM($O688:O688)</f>
        <v>0</v>
      </c>
      <c r="Q688" s="52">
        <f ca="1">Log_2018[[#This Row],[Amount]]/Log_2018[[#This Row],[Split_raw]]*MAX(0,MIN(_xlfn.DAYS(EDATE(Q$1,1),Log_2018[[#This Row],[Date]]),Log_2018[[#This Row],[Split_apply]])) - SUM($O688:P688)</f>
        <v>-13.97</v>
      </c>
      <c r="R688" s="52">
        <f ca="1">Log_2018[[#This Row],[Amount]]/Log_2018[[#This Row],[Split_raw]]*MAX(0,MIN(_xlfn.DAYS(EDATE(R$1,1),Log_2018[[#This Row],[Date]]),Log_2018[[#This Row],[Split_apply]])) - SUM($O688:Q688)</f>
        <v>0</v>
      </c>
      <c r="S688" s="52">
        <f ca="1">Log_2018[[#This Row],[Amount]]/Log_2018[[#This Row],[Split_raw]]*MAX(0,MIN(_xlfn.DAYS(EDATE(S$1,1),Log_2018[[#This Row],[Date]]),Log_2018[[#This Row],[Split_apply]])) - SUM($O688:R688)</f>
        <v>0</v>
      </c>
      <c r="T688" s="52">
        <f ca="1">Log_2018[[#This Row],[Amount]]/Log_2018[[#This Row],[Split_raw]]*MAX(0,MIN(_xlfn.DAYS(EDATE(T$1,1),Log_2018[[#This Row],[Date]]),Log_2018[[#This Row],[Split_apply]])) - SUM($O688:S688)</f>
        <v>0</v>
      </c>
      <c r="U688" s="52">
        <f ca="1">Log_2018[[#This Row],[Amount]]/Log_2018[[#This Row],[Split_raw]]*MAX(0,MIN(_xlfn.DAYS(EDATE(U$1,1),Log_2018[[#This Row],[Date]]),Log_2018[[#This Row],[Split_apply]])) - SUM($O688:T688)</f>
        <v>0</v>
      </c>
      <c r="V688" s="52">
        <f ca="1">Log_2018[[#This Row],[Amount]]/Log_2018[[#This Row],[Split_raw]]*MAX(0,MIN(_xlfn.DAYS(EDATE(V$1,1),Log_2018[[#This Row],[Date]]),Log_2018[[#This Row],[Split_apply]])) - SUM($O688:U688)</f>
        <v>0</v>
      </c>
      <c r="W688" s="52">
        <f ca="1">Log_2018[[#This Row],[Amount]]/Log_2018[[#This Row],[Split_raw]]*MAX(0,MIN(_xlfn.DAYS(EDATE(W$1,1),Log_2018[[#This Row],[Date]]),Log_2018[[#This Row],[Split_apply]])) - SUM($O688:V688)</f>
        <v>0</v>
      </c>
      <c r="X688" s="52">
        <f ca="1">Log_2018[[#This Row],[Amount]]/Log_2018[[#This Row],[Split_raw]]*MAX(0,MIN(_xlfn.DAYS(EDATE(X$1,1),Log_2018[[#This Row],[Date]]),Log_2018[[#This Row],[Split_apply]])) - SUM($O688:W688)</f>
        <v>0</v>
      </c>
      <c r="Y688" s="52">
        <f ca="1">Log_2018[[#This Row],[Amount]]/Log_2018[[#This Row],[Split_raw]]*MAX(0,MIN(_xlfn.DAYS(EDATE(Y$1,1),Log_2018[[#This Row],[Date]]),Log_2018[[#This Row],[Split_apply]])) - SUM($O688:X688)</f>
        <v>0</v>
      </c>
      <c r="Z688" s="52">
        <f ca="1">Log_2018[[#This Row],[Amount]]/Log_2018[[#This Row],[Split_raw]]*MAX(0,MIN(_xlfn.DAYS(EDATE(Z$1,1),Log_2018[[#This Row],[Date]]),Log_2018[[#This Row],[Split_apply]])) - SUM($O688:Y688)</f>
        <v>0</v>
      </c>
      <c r="AA688" s="52">
        <f ca="1">Log_2018[[#This Row],[Amount]]/Log_2018[[#This Row],[Split_raw]]*MAX(0,MIN(_xlfn.DAYS(EDATE(AA$1,1),Log_2018[[#This Row],[Date]]),Log_2018[[#This Row],[Split_apply]])) - SUM($O688:Z688)</f>
        <v>0</v>
      </c>
      <c r="AB688" s="54">
        <f ca="1">Log_2018[[#This Row],[Amount]]-SUM(O688:AA688)</f>
        <v>0</v>
      </c>
      <c r="AC688" s="7">
        <f ca="1">MAX(0,Log_2018[[#This Row],[Split_apply]] - (EDATE(AA$1,1)-Log_2018[[#This Row],[Date]]))</f>
        <v>0</v>
      </c>
    </row>
    <row r="689" spans="1:29" hidden="1" x14ac:dyDescent="0.25">
      <c r="A689" s="115"/>
      <c r="B689" t="s">
        <v>6</v>
      </c>
      <c r="D689" s="26">
        <v>43135</v>
      </c>
      <c r="F689" t="s">
        <v>76</v>
      </c>
      <c r="G689" t="s">
        <v>10</v>
      </c>
      <c r="H689" s="3">
        <v>-28.43</v>
      </c>
      <c r="I689" s="36">
        <f>IF(Log_2018[[#This Row],[My Category]]="NONTRACKED",0,Log_2018[[#This Row],[Raw Amount]])</f>
        <v>-28.43</v>
      </c>
      <c r="J689" s="17">
        <f>ABS(Log_2018[[#This Row],[Amount]])</f>
        <v>28.43</v>
      </c>
      <c r="K689" s="66">
        <v>1</v>
      </c>
      <c r="L689" s="66">
        <f ca="1">IF(Log_2018[[#This Row],[Date]]&lt;=TODAY(), MIN(Log_2018[[#This Row],[Split_raw]], TODAY()-Log_2018[[#This Row],[Date]]+1), 0)</f>
        <v>1</v>
      </c>
      <c r="M689" t="s">
        <v>52</v>
      </c>
      <c r="N689" t="s">
        <v>158</v>
      </c>
      <c r="O689" s="50">
        <v>0</v>
      </c>
      <c r="P689" s="52">
        <f ca="1">Log_2018[[#This Row],[Amount]]/Log_2018[[#This Row],[Split_raw]]*MAX(0,MIN(_xlfn.DAYS(EDATE(P$1,1),Log_2018[[#This Row],[Date]]),Log_2018[[#This Row],[Split_apply]])) - SUM($O689:O689)</f>
        <v>0</v>
      </c>
      <c r="Q689" s="52">
        <f ca="1">Log_2018[[#This Row],[Amount]]/Log_2018[[#This Row],[Split_raw]]*MAX(0,MIN(_xlfn.DAYS(EDATE(Q$1,1),Log_2018[[#This Row],[Date]]),Log_2018[[#This Row],[Split_apply]])) - SUM($O689:P689)</f>
        <v>-28.43</v>
      </c>
      <c r="R689" s="52">
        <f ca="1">Log_2018[[#This Row],[Amount]]/Log_2018[[#This Row],[Split_raw]]*MAX(0,MIN(_xlfn.DAYS(EDATE(R$1,1),Log_2018[[#This Row],[Date]]),Log_2018[[#This Row],[Split_apply]])) - SUM($O689:Q689)</f>
        <v>0</v>
      </c>
      <c r="S689" s="52">
        <f ca="1">Log_2018[[#This Row],[Amount]]/Log_2018[[#This Row],[Split_raw]]*MAX(0,MIN(_xlfn.DAYS(EDATE(S$1,1),Log_2018[[#This Row],[Date]]),Log_2018[[#This Row],[Split_apply]])) - SUM($O689:R689)</f>
        <v>0</v>
      </c>
      <c r="T689" s="52">
        <f ca="1">Log_2018[[#This Row],[Amount]]/Log_2018[[#This Row],[Split_raw]]*MAX(0,MIN(_xlfn.DAYS(EDATE(T$1,1),Log_2018[[#This Row],[Date]]),Log_2018[[#This Row],[Split_apply]])) - SUM($O689:S689)</f>
        <v>0</v>
      </c>
      <c r="U689" s="52">
        <f ca="1">Log_2018[[#This Row],[Amount]]/Log_2018[[#This Row],[Split_raw]]*MAX(0,MIN(_xlfn.DAYS(EDATE(U$1,1),Log_2018[[#This Row],[Date]]),Log_2018[[#This Row],[Split_apply]])) - SUM($O689:T689)</f>
        <v>0</v>
      </c>
      <c r="V689" s="52">
        <f ca="1">Log_2018[[#This Row],[Amount]]/Log_2018[[#This Row],[Split_raw]]*MAX(0,MIN(_xlfn.DAYS(EDATE(V$1,1),Log_2018[[#This Row],[Date]]),Log_2018[[#This Row],[Split_apply]])) - SUM($O689:U689)</f>
        <v>0</v>
      </c>
      <c r="W689" s="52">
        <f ca="1">Log_2018[[#This Row],[Amount]]/Log_2018[[#This Row],[Split_raw]]*MAX(0,MIN(_xlfn.DAYS(EDATE(W$1,1),Log_2018[[#This Row],[Date]]),Log_2018[[#This Row],[Split_apply]])) - SUM($O689:V689)</f>
        <v>0</v>
      </c>
      <c r="X689" s="52">
        <f ca="1">Log_2018[[#This Row],[Amount]]/Log_2018[[#This Row],[Split_raw]]*MAX(0,MIN(_xlfn.DAYS(EDATE(X$1,1),Log_2018[[#This Row],[Date]]),Log_2018[[#This Row],[Split_apply]])) - SUM($O689:W689)</f>
        <v>0</v>
      </c>
      <c r="Y689" s="52">
        <f ca="1">Log_2018[[#This Row],[Amount]]/Log_2018[[#This Row],[Split_raw]]*MAX(0,MIN(_xlfn.DAYS(EDATE(Y$1,1),Log_2018[[#This Row],[Date]]),Log_2018[[#This Row],[Split_apply]])) - SUM($O689:X689)</f>
        <v>0</v>
      </c>
      <c r="Z689" s="52">
        <f ca="1">Log_2018[[#This Row],[Amount]]/Log_2018[[#This Row],[Split_raw]]*MAX(0,MIN(_xlfn.DAYS(EDATE(Z$1,1),Log_2018[[#This Row],[Date]]),Log_2018[[#This Row],[Split_apply]])) - SUM($O689:Y689)</f>
        <v>0</v>
      </c>
      <c r="AA689" s="52">
        <f ca="1">Log_2018[[#This Row],[Amount]]/Log_2018[[#This Row],[Split_raw]]*MAX(0,MIN(_xlfn.DAYS(EDATE(AA$1,1),Log_2018[[#This Row],[Date]]),Log_2018[[#This Row],[Split_apply]])) - SUM($O689:Z689)</f>
        <v>0</v>
      </c>
      <c r="AB689" s="54">
        <f ca="1">Log_2018[[#This Row],[Amount]]-SUM(O689:AA689)</f>
        <v>0</v>
      </c>
      <c r="AC689" s="7">
        <f ca="1">MAX(0,Log_2018[[#This Row],[Split_apply]] - (EDATE(AA$1,1)-Log_2018[[#This Row],[Date]]))</f>
        <v>0</v>
      </c>
    </row>
    <row r="690" spans="1:29" hidden="1" x14ac:dyDescent="0.25">
      <c r="A690" s="115"/>
      <c r="B690" t="s">
        <v>6</v>
      </c>
      <c r="D690" s="26">
        <v>43135</v>
      </c>
      <c r="F690" t="s">
        <v>75</v>
      </c>
      <c r="G690" t="s">
        <v>27</v>
      </c>
      <c r="H690" s="3">
        <v>-13</v>
      </c>
      <c r="I690" s="36">
        <f>IF(Log_2018[[#This Row],[My Category]]="NONTRACKED",0,Log_2018[[#This Row],[Raw Amount]])</f>
        <v>-13</v>
      </c>
      <c r="J690" s="17">
        <f>ABS(Log_2018[[#This Row],[Amount]])</f>
        <v>13</v>
      </c>
      <c r="K690" s="66">
        <v>1</v>
      </c>
      <c r="L690" s="66">
        <f ca="1">IF(Log_2018[[#This Row],[Date]]&lt;=TODAY(), MIN(Log_2018[[#This Row],[Split_raw]], TODAY()-Log_2018[[#This Row],[Date]]+1), 0)</f>
        <v>1</v>
      </c>
      <c r="M690" t="s">
        <v>40</v>
      </c>
      <c r="N690" t="s">
        <v>158</v>
      </c>
      <c r="O690" s="50">
        <v>0</v>
      </c>
      <c r="P690" s="52">
        <f ca="1">Log_2018[[#This Row],[Amount]]/Log_2018[[#This Row],[Split_raw]]*MAX(0,MIN(_xlfn.DAYS(EDATE(P$1,1),Log_2018[[#This Row],[Date]]),Log_2018[[#This Row],[Split_apply]])) - SUM($O690:O690)</f>
        <v>0</v>
      </c>
      <c r="Q690" s="52">
        <f ca="1">Log_2018[[#This Row],[Amount]]/Log_2018[[#This Row],[Split_raw]]*MAX(0,MIN(_xlfn.DAYS(EDATE(Q$1,1),Log_2018[[#This Row],[Date]]),Log_2018[[#This Row],[Split_apply]])) - SUM($O690:P690)</f>
        <v>-13</v>
      </c>
      <c r="R690" s="52">
        <f ca="1">Log_2018[[#This Row],[Amount]]/Log_2018[[#This Row],[Split_raw]]*MAX(0,MIN(_xlfn.DAYS(EDATE(R$1,1),Log_2018[[#This Row],[Date]]),Log_2018[[#This Row],[Split_apply]])) - SUM($O690:Q690)</f>
        <v>0</v>
      </c>
      <c r="S690" s="52">
        <f ca="1">Log_2018[[#This Row],[Amount]]/Log_2018[[#This Row],[Split_raw]]*MAX(0,MIN(_xlfn.DAYS(EDATE(S$1,1),Log_2018[[#This Row],[Date]]),Log_2018[[#This Row],[Split_apply]])) - SUM($O690:R690)</f>
        <v>0</v>
      </c>
      <c r="T690" s="52">
        <f ca="1">Log_2018[[#This Row],[Amount]]/Log_2018[[#This Row],[Split_raw]]*MAX(0,MIN(_xlfn.DAYS(EDATE(T$1,1),Log_2018[[#This Row],[Date]]),Log_2018[[#This Row],[Split_apply]])) - SUM($O690:S690)</f>
        <v>0</v>
      </c>
      <c r="U690" s="52">
        <f ca="1">Log_2018[[#This Row],[Amount]]/Log_2018[[#This Row],[Split_raw]]*MAX(0,MIN(_xlfn.DAYS(EDATE(U$1,1),Log_2018[[#This Row],[Date]]),Log_2018[[#This Row],[Split_apply]])) - SUM($O690:T690)</f>
        <v>0</v>
      </c>
      <c r="V690" s="52">
        <f ca="1">Log_2018[[#This Row],[Amount]]/Log_2018[[#This Row],[Split_raw]]*MAX(0,MIN(_xlfn.DAYS(EDATE(V$1,1),Log_2018[[#This Row],[Date]]),Log_2018[[#This Row],[Split_apply]])) - SUM($O690:U690)</f>
        <v>0</v>
      </c>
      <c r="W690" s="52">
        <f ca="1">Log_2018[[#This Row],[Amount]]/Log_2018[[#This Row],[Split_raw]]*MAX(0,MIN(_xlfn.DAYS(EDATE(W$1,1),Log_2018[[#This Row],[Date]]),Log_2018[[#This Row],[Split_apply]])) - SUM($O690:V690)</f>
        <v>0</v>
      </c>
      <c r="X690" s="52">
        <f ca="1">Log_2018[[#This Row],[Amount]]/Log_2018[[#This Row],[Split_raw]]*MAX(0,MIN(_xlfn.DAYS(EDATE(X$1,1),Log_2018[[#This Row],[Date]]),Log_2018[[#This Row],[Split_apply]])) - SUM($O690:W690)</f>
        <v>0</v>
      </c>
      <c r="Y690" s="52">
        <f ca="1">Log_2018[[#This Row],[Amount]]/Log_2018[[#This Row],[Split_raw]]*MAX(0,MIN(_xlfn.DAYS(EDATE(Y$1,1),Log_2018[[#This Row],[Date]]),Log_2018[[#This Row],[Split_apply]])) - SUM($O690:X690)</f>
        <v>0</v>
      </c>
      <c r="Z690" s="52">
        <f ca="1">Log_2018[[#This Row],[Amount]]/Log_2018[[#This Row],[Split_raw]]*MAX(0,MIN(_xlfn.DAYS(EDATE(Z$1,1),Log_2018[[#This Row],[Date]]),Log_2018[[#This Row],[Split_apply]])) - SUM($O690:Y690)</f>
        <v>0</v>
      </c>
      <c r="AA690" s="52">
        <f ca="1">Log_2018[[#This Row],[Amount]]/Log_2018[[#This Row],[Split_raw]]*MAX(0,MIN(_xlfn.DAYS(EDATE(AA$1,1),Log_2018[[#This Row],[Date]]),Log_2018[[#This Row],[Split_apply]])) - SUM($O690:Z690)</f>
        <v>0</v>
      </c>
      <c r="AB690" s="54">
        <f ca="1">Log_2018[[#This Row],[Amount]]-SUM(O690:AA690)</f>
        <v>0</v>
      </c>
      <c r="AC690" s="7">
        <f ca="1">MAX(0,Log_2018[[#This Row],[Split_apply]] - (EDATE(AA$1,1)-Log_2018[[#This Row],[Date]]))</f>
        <v>0</v>
      </c>
    </row>
    <row r="691" spans="1:29" hidden="1" x14ac:dyDescent="0.25">
      <c r="A691" s="115"/>
      <c r="B691" t="s">
        <v>96</v>
      </c>
      <c r="D691" s="26">
        <v>43133</v>
      </c>
      <c r="E691" t="s">
        <v>165</v>
      </c>
      <c r="H691" s="3">
        <v>-10.1</v>
      </c>
      <c r="I691" s="36">
        <f>IF(Log_2018[[#This Row],[My Category]]="NONTRACKED",0,Log_2018[[#This Row],[Raw Amount]])</f>
        <v>-10.1</v>
      </c>
      <c r="J691" s="17">
        <f>ABS(Log_2018[[#This Row],[Amount]])</f>
        <v>10.1</v>
      </c>
      <c r="K691" s="66">
        <v>1</v>
      </c>
      <c r="L691" s="66">
        <f ca="1">IF(Log_2018[[#This Row],[Date]]&lt;=TODAY(), MIN(Log_2018[[#This Row],[Split_raw]], TODAY()-Log_2018[[#This Row],[Date]]+1), 0)</f>
        <v>1</v>
      </c>
      <c r="M691" t="s">
        <v>35</v>
      </c>
      <c r="N691" t="s">
        <v>156</v>
      </c>
      <c r="O691" s="50">
        <v>0</v>
      </c>
      <c r="P691" s="52">
        <f ca="1">Log_2018[[#This Row],[Amount]]/Log_2018[[#This Row],[Split_raw]]*MAX(0,MIN(_xlfn.DAYS(EDATE(P$1,1),Log_2018[[#This Row],[Date]]),Log_2018[[#This Row],[Split_apply]])) - SUM($O691:O691)</f>
        <v>0</v>
      </c>
      <c r="Q691" s="52">
        <f ca="1">Log_2018[[#This Row],[Amount]]/Log_2018[[#This Row],[Split_raw]]*MAX(0,MIN(_xlfn.DAYS(EDATE(Q$1,1),Log_2018[[#This Row],[Date]]),Log_2018[[#This Row],[Split_apply]])) - SUM($O691:P691)</f>
        <v>-10.1</v>
      </c>
      <c r="R691" s="52">
        <f ca="1">Log_2018[[#This Row],[Amount]]/Log_2018[[#This Row],[Split_raw]]*MAX(0,MIN(_xlfn.DAYS(EDATE(R$1,1),Log_2018[[#This Row],[Date]]),Log_2018[[#This Row],[Split_apply]])) - SUM($O691:Q691)</f>
        <v>0</v>
      </c>
      <c r="S691" s="52">
        <f ca="1">Log_2018[[#This Row],[Amount]]/Log_2018[[#This Row],[Split_raw]]*MAX(0,MIN(_xlfn.DAYS(EDATE(S$1,1),Log_2018[[#This Row],[Date]]),Log_2018[[#This Row],[Split_apply]])) - SUM($O691:R691)</f>
        <v>0</v>
      </c>
      <c r="T691" s="52">
        <f ca="1">Log_2018[[#This Row],[Amount]]/Log_2018[[#This Row],[Split_raw]]*MAX(0,MIN(_xlfn.DAYS(EDATE(T$1,1),Log_2018[[#This Row],[Date]]),Log_2018[[#This Row],[Split_apply]])) - SUM($O691:S691)</f>
        <v>0</v>
      </c>
      <c r="U691" s="52">
        <f ca="1">Log_2018[[#This Row],[Amount]]/Log_2018[[#This Row],[Split_raw]]*MAX(0,MIN(_xlfn.DAYS(EDATE(U$1,1),Log_2018[[#This Row],[Date]]),Log_2018[[#This Row],[Split_apply]])) - SUM($O691:T691)</f>
        <v>0</v>
      </c>
      <c r="V691" s="52">
        <f ca="1">Log_2018[[#This Row],[Amount]]/Log_2018[[#This Row],[Split_raw]]*MAX(0,MIN(_xlfn.DAYS(EDATE(V$1,1),Log_2018[[#This Row],[Date]]),Log_2018[[#This Row],[Split_apply]])) - SUM($O691:U691)</f>
        <v>0</v>
      </c>
      <c r="W691" s="52">
        <f ca="1">Log_2018[[#This Row],[Amount]]/Log_2018[[#This Row],[Split_raw]]*MAX(0,MIN(_xlfn.DAYS(EDATE(W$1,1),Log_2018[[#This Row],[Date]]),Log_2018[[#This Row],[Split_apply]])) - SUM($O691:V691)</f>
        <v>0</v>
      </c>
      <c r="X691" s="52">
        <f ca="1">Log_2018[[#This Row],[Amount]]/Log_2018[[#This Row],[Split_raw]]*MAX(0,MIN(_xlfn.DAYS(EDATE(X$1,1),Log_2018[[#This Row],[Date]]),Log_2018[[#This Row],[Split_apply]])) - SUM($O691:W691)</f>
        <v>0</v>
      </c>
      <c r="Y691" s="52">
        <f ca="1">Log_2018[[#This Row],[Amount]]/Log_2018[[#This Row],[Split_raw]]*MAX(0,MIN(_xlfn.DAYS(EDATE(Y$1,1),Log_2018[[#This Row],[Date]]),Log_2018[[#This Row],[Split_apply]])) - SUM($O691:X691)</f>
        <v>0</v>
      </c>
      <c r="Z691" s="52">
        <f ca="1">Log_2018[[#This Row],[Amount]]/Log_2018[[#This Row],[Split_raw]]*MAX(0,MIN(_xlfn.DAYS(EDATE(Z$1,1),Log_2018[[#This Row],[Date]]),Log_2018[[#This Row],[Split_apply]])) - SUM($O691:Y691)</f>
        <v>0</v>
      </c>
      <c r="AA691" s="52">
        <f ca="1">Log_2018[[#This Row],[Amount]]/Log_2018[[#This Row],[Split_raw]]*MAX(0,MIN(_xlfn.DAYS(EDATE(AA$1,1),Log_2018[[#This Row],[Date]]),Log_2018[[#This Row],[Split_apply]])) - SUM($O691:Z691)</f>
        <v>0</v>
      </c>
      <c r="AB691" s="54">
        <f ca="1">Log_2018[[#This Row],[Amount]]-SUM(O691:AA691)</f>
        <v>0</v>
      </c>
      <c r="AC691" s="7">
        <f ca="1">MAX(0,Log_2018[[#This Row],[Split_apply]] - (EDATE(AA$1,1)-Log_2018[[#This Row],[Date]]))</f>
        <v>0</v>
      </c>
    </row>
    <row r="692" spans="1:29" hidden="1" x14ac:dyDescent="0.25">
      <c r="A692" s="115"/>
      <c r="B692" t="s">
        <v>6</v>
      </c>
      <c r="D692" s="26">
        <v>43133</v>
      </c>
      <c r="F692" t="s">
        <v>88</v>
      </c>
      <c r="G692" t="s">
        <v>7</v>
      </c>
      <c r="H692" s="3">
        <v>-103</v>
      </c>
      <c r="I692" s="36">
        <f>IF(Log_2018[[#This Row],[My Category]]="NONTRACKED",0,Log_2018[[#This Row],[Raw Amount]])</f>
        <v>-103</v>
      </c>
      <c r="J692" s="17">
        <f>ABS(Log_2018[[#This Row],[Amount]])</f>
        <v>103</v>
      </c>
      <c r="K692" s="66">
        <v>1</v>
      </c>
      <c r="L692" s="66">
        <f ca="1">IF(Log_2018[[#This Row],[Date]]&lt;=TODAY(), MIN(Log_2018[[#This Row],[Split_raw]], TODAY()-Log_2018[[#This Row],[Date]]+1), 0)</f>
        <v>1</v>
      </c>
      <c r="M692" t="s">
        <v>196</v>
      </c>
      <c r="N692" t="s">
        <v>160</v>
      </c>
      <c r="O692" s="50">
        <v>0</v>
      </c>
      <c r="P692" s="52">
        <f ca="1">Log_2018[[#This Row],[Amount]]/Log_2018[[#This Row],[Split_raw]]*MAX(0,MIN(_xlfn.DAYS(EDATE(P$1,1),Log_2018[[#This Row],[Date]]),Log_2018[[#This Row],[Split_apply]])) - SUM($O692:O692)</f>
        <v>0</v>
      </c>
      <c r="Q692" s="52">
        <f ca="1">Log_2018[[#This Row],[Amount]]/Log_2018[[#This Row],[Split_raw]]*MAX(0,MIN(_xlfn.DAYS(EDATE(Q$1,1),Log_2018[[#This Row],[Date]]),Log_2018[[#This Row],[Split_apply]])) - SUM($O692:P692)</f>
        <v>-103</v>
      </c>
      <c r="R692" s="52">
        <f ca="1">Log_2018[[#This Row],[Amount]]/Log_2018[[#This Row],[Split_raw]]*MAX(0,MIN(_xlfn.DAYS(EDATE(R$1,1),Log_2018[[#This Row],[Date]]),Log_2018[[#This Row],[Split_apply]])) - SUM($O692:Q692)</f>
        <v>0</v>
      </c>
      <c r="S692" s="52">
        <f ca="1">Log_2018[[#This Row],[Amount]]/Log_2018[[#This Row],[Split_raw]]*MAX(0,MIN(_xlfn.DAYS(EDATE(S$1,1),Log_2018[[#This Row],[Date]]),Log_2018[[#This Row],[Split_apply]])) - SUM($O692:R692)</f>
        <v>0</v>
      </c>
      <c r="T692" s="52">
        <f ca="1">Log_2018[[#This Row],[Amount]]/Log_2018[[#This Row],[Split_raw]]*MAX(0,MIN(_xlfn.DAYS(EDATE(T$1,1),Log_2018[[#This Row],[Date]]),Log_2018[[#This Row],[Split_apply]])) - SUM($O692:S692)</f>
        <v>0</v>
      </c>
      <c r="U692" s="52">
        <f ca="1">Log_2018[[#This Row],[Amount]]/Log_2018[[#This Row],[Split_raw]]*MAX(0,MIN(_xlfn.DAYS(EDATE(U$1,1),Log_2018[[#This Row],[Date]]),Log_2018[[#This Row],[Split_apply]])) - SUM($O692:T692)</f>
        <v>0</v>
      </c>
      <c r="V692" s="52">
        <f ca="1">Log_2018[[#This Row],[Amount]]/Log_2018[[#This Row],[Split_raw]]*MAX(0,MIN(_xlfn.DAYS(EDATE(V$1,1),Log_2018[[#This Row],[Date]]),Log_2018[[#This Row],[Split_apply]])) - SUM($O692:U692)</f>
        <v>0</v>
      </c>
      <c r="W692" s="52">
        <f ca="1">Log_2018[[#This Row],[Amount]]/Log_2018[[#This Row],[Split_raw]]*MAX(0,MIN(_xlfn.DAYS(EDATE(W$1,1),Log_2018[[#This Row],[Date]]),Log_2018[[#This Row],[Split_apply]])) - SUM($O692:V692)</f>
        <v>0</v>
      </c>
      <c r="X692" s="52">
        <f ca="1">Log_2018[[#This Row],[Amount]]/Log_2018[[#This Row],[Split_raw]]*MAX(0,MIN(_xlfn.DAYS(EDATE(X$1,1),Log_2018[[#This Row],[Date]]),Log_2018[[#This Row],[Split_apply]])) - SUM($O692:W692)</f>
        <v>0</v>
      </c>
      <c r="Y692" s="52">
        <f ca="1">Log_2018[[#This Row],[Amount]]/Log_2018[[#This Row],[Split_raw]]*MAX(0,MIN(_xlfn.DAYS(EDATE(Y$1,1),Log_2018[[#This Row],[Date]]),Log_2018[[#This Row],[Split_apply]])) - SUM($O692:X692)</f>
        <v>0</v>
      </c>
      <c r="Z692" s="52">
        <f ca="1">Log_2018[[#This Row],[Amount]]/Log_2018[[#This Row],[Split_raw]]*MAX(0,MIN(_xlfn.DAYS(EDATE(Z$1,1),Log_2018[[#This Row],[Date]]),Log_2018[[#This Row],[Split_apply]])) - SUM($O692:Y692)</f>
        <v>0</v>
      </c>
      <c r="AA692" s="52">
        <f ca="1">Log_2018[[#This Row],[Amount]]/Log_2018[[#This Row],[Split_raw]]*MAX(0,MIN(_xlfn.DAYS(EDATE(AA$1,1),Log_2018[[#This Row],[Date]]),Log_2018[[#This Row],[Split_apply]])) - SUM($O692:Z692)</f>
        <v>0</v>
      </c>
      <c r="AB692" s="54">
        <f ca="1">Log_2018[[#This Row],[Amount]]-SUM(O692:AA692)</f>
        <v>0</v>
      </c>
      <c r="AC692" s="7">
        <f ca="1">MAX(0,Log_2018[[#This Row],[Split_apply]] - (EDATE(AA$1,1)-Log_2018[[#This Row],[Date]]))</f>
        <v>0</v>
      </c>
    </row>
    <row r="693" spans="1:29" hidden="1" x14ac:dyDescent="0.25">
      <c r="A693" s="115"/>
      <c r="B693" t="s">
        <v>191</v>
      </c>
      <c r="D693" s="26">
        <v>43132</v>
      </c>
      <c r="E693" t="s">
        <v>960</v>
      </c>
      <c r="F693" t="s">
        <v>81</v>
      </c>
      <c r="G693" t="s">
        <v>82</v>
      </c>
      <c r="H693" s="3">
        <v>-320</v>
      </c>
      <c r="I693" s="36">
        <f>IF(Log_2018[[#This Row],[My Category]]="NONTRACKED",0,Log_2018[[#This Row],[Raw Amount]])</f>
        <v>-320</v>
      </c>
      <c r="J693" s="17">
        <f>ABS(Log_2018[[#This Row],[Amount]])</f>
        <v>320</v>
      </c>
      <c r="K693" s="66">
        <v>28</v>
      </c>
      <c r="L693" s="66">
        <f ca="1">IF(Log_2018[[#This Row],[Date]]&lt;=TODAY(), MIN(Log_2018[[#This Row],[Split_raw]], TODAY()-Log_2018[[#This Row],[Date]]+1), 0)</f>
        <v>28</v>
      </c>
      <c r="M693" t="s">
        <v>93</v>
      </c>
      <c r="N693" t="s">
        <v>160</v>
      </c>
      <c r="O693" s="50">
        <v>0</v>
      </c>
      <c r="P693" s="52">
        <f ca="1">Log_2018[[#This Row],[Amount]]/Log_2018[[#This Row],[Split_raw]]*MAX(0,MIN(_xlfn.DAYS(EDATE(P$1,1),Log_2018[[#This Row],[Date]]),Log_2018[[#This Row],[Split_apply]])) - SUM($O693:O693)</f>
        <v>0</v>
      </c>
      <c r="Q693" s="52">
        <f ca="1">Log_2018[[#This Row],[Amount]]/Log_2018[[#This Row],[Split_raw]]*MAX(0,MIN(_xlfn.DAYS(EDATE(Q$1,1),Log_2018[[#This Row],[Date]]),Log_2018[[#This Row],[Split_apply]])) - SUM($O693:P693)</f>
        <v>-320</v>
      </c>
      <c r="R693" s="52">
        <f ca="1">Log_2018[[#This Row],[Amount]]/Log_2018[[#This Row],[Split_raw]]*MAX(0,MIN(_xlfn.DAYS(EDATE(R$1,1),Log_2018[[#This Row],[Date]]),Log_2018[[#This Row],[Split_apply]])) - SUM($O693:Q693)</f>
        <v>0</v>
      </c>
      <c r="S693" s="52">
        <f ca="1">Log_2018[[#This Row],[Amount]]/Log_2018[[#This Row],[Split_raw]]*MAX(0,MIN(_xlfn.DAYS(EDATE(S$1,1),Log_2018[[#This Row],[Date]]),Log_2018[[#This Row],[Split_apply]])) - SUM($O693:R693)</f>
        <v>0</v>
      </c>
      <c r="T693" s="52">
        <f ca="1">Log_2018[[#This Row],[Amount]]/Log_2018[[#This Row],[Split_raw]]*MAX(0,MIN(_xlfn.DAYS(EDATE(T$1,1),Log_2018[[#This Row],[Date]]),Log_2018[[#This Row],[Split_apply]])) - SUM($O693:S693)</f>
        <v>0</v>
      </c>
      <c r="U693" s="52">
        <f ca="1">Log_2018[[#This Row],[Amount]]/Log_2018[[#This Row],[Split_raw]]*MAX(0,MIN(_xlfn.DAYS(EDATE(U$1,1),Log_2018[[#This Row],[Date]]),Log_2018[[#This Row],[Split_apply]])) - SUM($O693:T693)</f>
        <v>0</v>
      </c>
      <c r="V693" s="52">
        <f ca="1">Log_2018[[#This Row],[Amount]]/Log_2018[[#This Row],[Split_raw]]*MAX(0,MIN(_xlfn.DAYS(EDATE(V$1,1),Log_2018[[#This Row],[Date]]),Log_2018[[#This Row],[Split_apply]])) - SUM($O693:U693)</f>
        <v>0</v>
      </c>
      <c r="W693" s="52">
        <f ca="1">Log_2018[[#This Row],[Amount]]/Log_2018[[#This Row],[Split_raw]]*MAX(0,MIN(_xlfn.DAYS(EDATE(W$1,1),Log_2018[[#This Row],[Date]]),Log_2018[[#This Row],[Split_apply]])) - SUM($O693:V693)</f>
        <v>0</v>
      </c>
      <c r="X693" s="52">
        <f ca="1">Log_2018[[#This Row],[Amount]]/Log_2018[[#This Row],[Split_raw]]*MAX(0,MIN(_xlfn.DAYS(EDATE(X$1,1),Log_2018[[#This Row],[Date]]),Log_2018[[#This Row],[Split_apply]])) - SUM($O693:W693)</f>
        <v>0</v>
      </c>
      <c r="Y693" s="52">
        <f ca="1">Log_2018[[#This Row],[Amount]]/Log_2018[[#This Row],[Split_raw]]*MAX(0,MIN(_xlfn.DAYS(EDATE(Y$1,1),Log_2018[[#This Row],[Date]]),Log_2018[[#This Row],[Split_apply]])) - SUM($O693:X693)</f>
        <v>0</v>
      </c>
      <c r="Z693" s="52">
        <f ca="1">Log_2018[[#This Row],[Amount]]/Log_2018[[#This Row],[Split_raw]]*MAX(0,MIN(_xlfn.DAYS(EDATE(Z$1,1),Log_2018[[#This Row],[Date]]),Log_2018[[#This Row],[Split_apply]])) - SUM($O693:Y693)</f>
        <v>0</v>
      </c>
      <c r="AA693" s="52">
        <f ca="1">Log_2018[[#This Row],[Amount]]/Log_2018[[#This Row],[Split_raw]]*MAX(0,MIN(_xlfn.DAYS(EDATE(AA$1,1),Log_2018[[#This Row],[Date]]),Log_2018[[#This Row],[Split_apply]])) - SUM($O693:Z693)</f>
        <v>0</v>
      </c>
      <c r="AB693" s="54">
        <f ca="1">Log_2018[[#This Row],[Amount]]-SUM(O693:AA693)</f>
        <v>0</v>
      </c>
      <c r="AC693" s="7">
        <f ca="1">MAX(0,Log_2018[[#This Row],[Split_apply]] - (EDATE(AA$1,1)-Log_2018[[#This Row],[Date]]))</f>
        <v>0</v>
      </c>
    </row>
    <row r="694" spans="1:29" hidden="1" x14ac:dyDescent="0.25">
      <c r="A694" s="115"/>
      <c r="B694" t="s">
        <v>6</v>
      </c>
      <c r="D694" s="26">
        <v>43132</v>
      </c>
      <c r="F694" t="s">
        <v>70</v>
      </c>
      <c r="G694" t="s">
        <v>25</v>
      </c>
      <c r="H694" s="3">
        <v>-9.1199999999999992</v>
      </c>
      <c r="I694" s="36">
        <f>IF(Log_2018[[#This Row],[My Category]]="NONTRACKED",0,Log_2018[[#This Row],[Raw Amount]])</f>
        <v>-9.1199999999999992</v>
      </c>
      <c r="J694" s="17">
        <f>ABS(Log_2018[[#This Row],[Amount]])</f>
        <v>9.1199999999999992</v>
      </c>
      <c r="K694" s="66">
        <v>1</v>
      </c>
      <c r="L694" s="66">
        <f ca="1">IF(Log_2018[[#This Row],[Date]]&lt;=TODAY(), MIN(Log_2018[[#This Row],[Split_raw]], TODAY()-Log_2018[[#This Row],[Date]]+1), 0)</f>
        <v>1</v>
      </c>
      <c r="M694" t="s">
        <v>35</v>
      </c>
      <c r="N694" t="s">
        <v>160</v>
      </c>
      <c r="O694" s="50">
        <v>0</v>
      </c>
      <c r="P694" s="52">
        <f ca="1">Log_2018[[#This Row],[Amount]]/Log_2018[[#This Row],[Split_raw]]*MAX(0,MIN(_xlfn.DAYS(EDATE(P$1,1),Log_2018[[#This Row],[Date]]),Log_2018[[#This Row],[Split_apply]])) - SUM($O694:O694)</f>
        <v>0</v>
      </c>
      <c r="Q694" s="52">
        <f ca="1">Log_2018[[#This Row],[Amount]]/Log_2018[[#This Row],[Split_raw]]*MAX(0,MIN(_xlfn.DAYS(EDATE(Q$1,1),Log_2018[[#This Row],[Date]]),Log_2018[[#This Row],[Split_apply]])) - SUM($O694:P694)</f>
        <v>-9.1199999999999992</v>
      </c>
      <c r="R694" s="52">
        <f ca="1">Log_2018[[#This Row],[Amount]]/Log_2018[[#This Row],[Split_raw]]*MAX(0,MIN(_xlfn.DAYS(EDATE(R$1,1),Log_2018[[#This Row],[Date]]),Log_2018[[#This Row],[Split_apply]])) - SUM($O694:Q694)</f>
        <v>0</v>
      </c>
      <c r="S694" s="52">
        <f ca="1">Log_2018[[#This Row],[Amount]]/Log_2018[[#This Row],[Split_raw]]*MAX(0,MIN(_xlfn.DAYS(EDATE(S$1,1),Log_2018[[#This Row],[Date]]),Log_2018[[#This Row],[Split_apply]])) - SUM($O694:R694)</f>
        <v>0</v>
      </c>
      <c r="T694" s="52">
        <f ca="1">Log_2018[[#This Row],[Amount]]/Log_2018[[#This Row],[Split_raw]]*MAX(0,MIN(_xlfn.DAYS(EDATE(T$1,1),Log_2018[[#This Row],[Date]]),Log_2018[[#This Row],[Split_apply]])) - SUM($O694:S694)</f>
        <v>0</v>
      </c>
      <c r="U694" s="52">
        <f ca="1">Log_2018[[#This Row],[Amount]]/Log_2018[[#This Row],[Split_raw]]*MAX(0,MIN(_xlfn.DAYS(EDATE(U$1,1),Log_2018[[#This Row],[Date]]),Log_2018[[#This Row],[Split_apply]])) - SUM($O694:T694)</f>
        <v>0</v>
      </c>
      <c r="V694" s="52">
        <f ca="1">Log_2018[[#This Row],[Amount]]/Log_2018[[#This Row],[Split_raw]]*MAX(0,MIN(_xlfn.DAYS(EDATE(V$1,1),Log_2018[[#This Row],[Date]]),Log_2018[[#This Row],[Split_apply]])) - SUM($O694:U694)</f>
        <v>0</v>
      </c>
      <c r="W694" s="52">
        <f ca="1">Log_2018[[#This Row],[Amount]]/Log_2018[[#This Row],[Split_raw]]*MAX(0,MIN(_xlfn.DAYS(EDATE(W$1,1),Log_2018[[#This Row],[Date]]),Log_2018[[#This Row],[Split_apply]])) - SUM($O694:V694)</f>
        <v>0</v>
      </c>
      <c r="X694" s="52">
        <f ca="1">Log_2018[[#This Row],[Amount]]/Log_2018[[#This Row],[Split_raw]]*MAX(0,MIN(_xlfn.DAYS(EDATE(X$1,1),Log_2018[[#This Row],[Date]]),Log_2018[[#This Row],[Split_apply]])) - SUM($O694:W694)</f>
        <v>0</v>
      </c>
      <c r="Y694" s="52">
        <f ca="1">Log_2018[[#This Row],[Amount]]/Log_2018[[#This Row],[Split_raw]]*MAX(0,MIN(_xlfn.DAYS(EDATE(Y$1,1),Log_2018[[#This Row],[Date]]),Log_2018[[#This Row],[Split_apply]])) - SUM($O694:X694)</f>
        <v>0</v>
      </c>
      <c r="Z694" s="52">
        <f ca="1">Log_2018[[#This Row],[Amount]]/Log_2018[[#This Row],[Split_raw]]*MAX(0,MIN(_xlfn.DAYS(EDATE(Z$1,1),Log_2018[[#This Row],[Date]]),Log_2018[[#This Row],[Split_apply]])) - SUM($O694:Y694)</f>
        <v>0</v>
      </c>
      <c r="AA694" s="52">
        <f ca="1">Log_2018[[#This Row],[Amount]]/Log_2018[[#This Row],[Split_raw]]*MAX(0,MIN(_xlfn.DAYS(EDATE(AA$1,1),Log_2018[[#This Row],[Date]]),Log_2018[[#This Row],[Split_apply]])) - SUM($O694:Z694)</f>
        <v>0</v>
      </c>
      <c r="AB694" s="54">
        <f ca="1">Log_2018[[#This Row],[Amount]]-SUM(O694:AA694)</f>
        <v>0</v>
      </c>
      <c r="AC694" s="7">
        <f ca="1">MAX(0,Log_2018[[#This Row],[Split_apply]] - (EDATE(AA$1,1)-Log_2018[[#This Row],[Date]]))</f>
        <v>0</v>
      </c>
    </row>
    <row r="695" spans="1:29" hidden="1" x14ac:dyDescent="0.25">
      <c r="A695" s="115"/>
      <c r="B695" t="s">
        <v>6</v>
      </c>
      <c r="D695" s="26">
        <v>43132</v>
      </c>
      <c r="F695" t="s">
        <v>59</v>
      </c>
      <c r="G695" t="s">
        <v>25</v>
      </c>
      <c r="H695" s="3">
        <v>-9.39</v>
      </c>
      <c r="I695" s="36">
        <f>IF(Log_2018[[#This Row],[My Category]]="NONTRACKED",0,Log_2018[[#This Row],[Raw Amount]])</f>
        <v>-9.39</v>
      </c>
      <c r="J695" s="17">
        <f>ABS(Log_2018[[#This Row],[Amount]])</f>
        <v>9.39</v>
      </c>
      <c r="K695" s="66">
        <v>1</v>
      </c>
      <c r="L695" s="66">
        <f ca="1">IF(Log_2018[[#This Row],[Date]]&lt;=TODAY(), MIN(Log_2018[[#This Row],[Split_raw]], TODAY()-Log_2018[[#This Row],[Date]]+1), 0)</f>
        <v>1</v>
      </c>
      <c r="M695" t="s">
        <v>35</v>
      </c>
      <c r="N695" t="s">
        <v>160</v>
      </c>
      <c r="O695" s="50">
        <v>0</v>
      </c>
      <c r="P695" s="52">
        <f ca="1">Log_2018[[#This Row],[Amount]]/Log_2018[[#This Row],[Split_raw]]*MAX(0,MIN(_xlfn.DAYS(EDATE(P$1,1),Log_2018[[#This Row],[Date]]),Log_2018[[#This Row],[Split_apply]])) - SUM($O695:O695)</f>
        <v>0</v>
      </c>
      <c r="Q695" s="52">
        <f ca="1">Log_2018[[#This Row],[Amount]]/Log_2018[[#This Row],[Split_raw]]*MAX(0,MIN(_xlfn.DAYS(EDATE(Q$1,1),Log_2018[[#This Row],[Date]]),Log_2018[[#This Row],[Split_apply]])) - SUM($O695:P695)</f>
        <v>-9.39</v>
      </c>
      <c r="R695" s="52">
        <f ca="1">Log_2018[[#This Row],[Amount]]/Log_2018[[#This Row],[Split_raw]]*MAX(0,MIN(_xlfn.DAYS(EDATE(R$1,1),Log_2018[[#This Row],[Date]]),Log_2018[[#This Row],[Split_apply]])) - SUM($O695:Q695)</f>
        <v>0</v>
      </c>
      <c r="S695" s="52">
        <f ca="1">Log_2018[[#This Row],[Amount]]/Log_2018[[#This Row],[Split_raw]]*MAX(0,MIN(_xlfn.DAYS(EDATE(S$1,1),Log_2018[[#This Row],[Date]]),Log_2018[[#This Row],[Split_apply]])) - SUM($O695:R695)</f>
        <v>0</v>
      </c>
      <c r="T695" s="52">
        <f ca="1">Log_2018[[#This Row],[Amount]]/Log_2018[[#This Row],[Split_raw]]*MAX(0,MIN(_xlfn.DAYS(EDATE(T$1,1),Log_2018[[#This Row],[Date]]),Log_2018[[#This Row],[Split_apply]])) - SUM($O695:S695)</f>
        <v>0</v>
      </c>
      <c r="U695" s="52">
        <f ca="1">Log_2018[[#This Row],[Amount]]/Log_2018[[#This Row],[Split_raw]]*MAX(0,MIN(_xlfn.DAYS(EDATE(U$1,1),Log_2018[[#This Row],[Date]]),Log_2018[[#This Row],[Split_apply]])) - SUM($O695:T695)</f>
        <v>0</v>
      </c>
      <c r="V695" s="52">
        <f ca="1">Log_2018[[#This Row],[Amount]]/Log_2018[[#This Row],[Split_raw]]*MAX(0,MIN(_xlfn.DAYS(EDATE(V$1,1),Log_2018[[#This Row],[Date]]),Log_2018[[#This Row],[Split_apply]])) - SUM($O695:U695)</f>
        <v>0</v>
      </c>
      <c r="W695" s="52">
        <f ca="1">Log_2018[[#This Row],[Amount]]/Log_2018[[#This Row],[Split_raw]]*MAX(0,MIN(_xlfn.DAYS(EDATE(W$1,1),Log_2018[[#This Row],[Date]]),Log_2018[[#This Row],[Split_apply]])) - SUM($O695:V695)</f>
        <v>0</v>
      </c>
      <c r="X695" s="52">
        <f ca="1">Log_2018[[#This Row],[Amount]]/Log_2018[[#This Row],[Split_raw]]*MAX(0,MIN(_xlfn.DAYS(EDATE(X$1,1),Log_2018[[#This Row],[Date]]),Log_2018[[#This Row],[Split_apply]])) - SUM($O695:W695)</f>
        <v>0</v>
      </c>
      <c r="Y695" s="52">
        <f ca="1">Log_2018[[#This Row],[Amount]]/Log_2018[[#This Row],[Split_raw]]*MAX(0,MIN(_xlfn.DAYS(EDATE(Y$1,1),Log_2018[[#This Row],[Date]]),Log_2018[[#This Row],[Split_apply]])) - SUM($O695:X695)</f>
        <v>0</v>
      </c>
      <c r="Z695" s="52">
        <f ca="1">Log_2018[[#This Row],[Amount]]/Log_2018[[#This Row],[Split_raw]]*MAX(0,MIN(_xlfn.DAYS(EDATE(Z$1,1),Log_2018[[#This Row],[Date]]),Log_2018[[#This Row],[Split_apply]])) - SUM($O695:Y695)</f>
        <v>0</v>
      </c>
      <c r="AA695" s="52">
        <f ca="1">Log_2018[[#This Row],[Amount]]/Log_2018[[#This Row],[Split_raw]]*MAX(0,MIN(_xlfn.DAYS(EDATE(AA$1,1),Log_2018[[#This Row],[Date]]),Log_2018[[#This Row],[Split_apply]])) - SUM($O695:Z695)</f>
        <v>0</v>
      </c>
      <c r="AB695" s="54">
        <f ca="1">Log_2018[[#This Row],[Amount]]-SUM(O695:AA695)</f>
        <v>0</v>
      </c>
      <c r="AC695" s="7">
        <f ca="1">MAX(0,Log_2018[[#This Row],[Split_apply]] - (EDATE(AA$1,1)-Log_2018[[#This Row],[Date]]))</f>
        <v>0</v>
      </c>
    </row>
    <row r="696" spans="1:29" hidden="1" x14ac:dyDescent="0.25">
      <c r="A696" s="115"/>
      <c r="B696" t="s">
        <v>6</v>
      </c>
      <c r="D696" s="26">
        <v>43132</v>
      </c>
      <c r="F696" t="s">
        <v>89</v>
      </c>
      <c r="G696" t="s">
        <v>25</v>
      </c>
      <c r="H696" s="3">
        <v>-7.63</v>
      </c>
      <c r="I696" s="36">
        <f>IF(Log_2018[[#This Row],[My Category]]="NONTRACKED",0,Log_2018[[#This Row],[Raw Amount]])</f>
        <v>-7.63</v>
      </c>
      <c r="J696" s="17">
        <f>ABS(Log_2018[[#This Row],[Amount]])</f>
        <v>7.63</v>
      </c>
      <c r="K696" s="66">
        <v>1</v>
      </c>
      <c r="L696" s="66">
        <f ca="1">IF(Log_2018[[#This Row],[Date]]&lt;=TODAY(), MIN(Log_2018[[#This Row],[Split_raw]], TODAY()-Log_2018[[#This Row],[Date]]+1), 0)</f>
        <v>1</v>
      </c>
      <c r="M696" t="s">
        <v>35</v>
      </c>
      <c r="N696" t="s">
        <v>160</v>
      </c>
      <c r="O696" s="50">
        <v>0</v>
      </c>
      <c r="P696" s="52">
        <f ca="1">Log_2018[[#This Row],[Amount]]/Log_2018[[#This Row],[Split_raw]]*MAX(0,MIN(_xlfn.DAYS(EDATE(P$1,1),Log_2018[[#This Row],[Date]]),Log_2018[[#This Row],[Split_apply]])) - SUM($O696:O696)</f>
        <v>0</v>
      </c>
      <c r="Q696" s="52">
        <f ca="1">Log_2018[[#This Row],[Amount]]/Log_2018[[#This Row],[Split_raw]]*MAX(0,MIN(_xlfn.DAYS(EDATE(Q$1,1),Log_2018[[#This Row],[Date]]),Log_2018[[#This Row],[Split_apply]])) - SUM($O696:P696)</f>
        <v>-7.63</v>
      </c>
      <c r="R696" s="52">
        <f ca="1">Log_2018[[#This Row],[Amount]]/Log_2018[[#This Row],[Split_raw]]*MAX(0,MIN(_xlfn.DAYS(EDATE(R$1,1),Log_2018[[#This Row],[Date]]),Log_2018[[#This Row],[Split_apply]])) - SUM($O696:Q696)</f>
        <v>0</v>
      </c>
      <c r="S696" s="52">
        <f ca="1">Log_2018[[#This Row],[Amount]]/Log_2018[[#This Row],[Split_raw]]*MAX(0,MIN(_xlfn.DAYS(EDATE(S$1,1),Log_2018[[#This Row],[Date]]),Log_2018[[#This Row],[Split_apply]])) - SUM($O696:R696)</f>
        <v>0</v>
      </c>
      <c r="T696" s="52">
        <f ca="1">Log_2018[[#This Row],[Amount]]/Log_2018[[#This Row],[Split_raw]]*MAX(0,MIN(_xlfn.DAYS(EDATE(T$1,1),Log_2018[[#This Row],[Date]]),Log_2018[[#This Row],[Split_apply]])) - SUM($O696:S696)</f>
        <v>0</v>
      </c>
      <c r="U696" s="52">
        <f ca="1">Log_2018[[#This Row],[Amount]]/Log_2018[[#This Row],[Split_raw]]*MAX(0,MIN(_xlfn.DAYS(EDATE(U$1,1),Log_2018[[#This Row],[Date]]),Log_2018[[#This Row],[Split_apply]])) - SUM($O696:T696)</f>
        <v>0</v>
      </c>
      <c r="V696" s="52">
        <f ca="1">Log_2018[[#This Row],[Amount]]/Log_2018[[#This Row],[Split_raw]]*MAX(0,MIN(_xlfn.DAYS(EDATE(V$1,1),Log_2018[[#This Row],[Date]]),Log_2018[[#This Row],[Split_apply]])) - SUM($O696:U696)</f>
        <v>0</v>
      </c>
      <c r="W696" s="52">
        <f ca="1">Log_2018[[#This Row],[Amount]]/Log_2018[[#This Row],[Split_raw]]*MAX(0,MIN(_xlfn.DAYS(EDATE(W$1,1),Log_2018[[#This Row],[Date]]),Log_2018[[#This Row],[Split_apply]])) - SUM($O696:V696)</f>
        <v>0</v>
      </c>
      <c r="X696" s="52">
        <f ca="1">Log_2018[[#This Row],[Amount]]/Log_2018[[#This Row],[Split_raw]]*MAX(0,MIN(_xlfn.DAYS(EDATE(X$1,1),Log_2018[[#This Row],[Date]]),Log_2018[[#This Row],[Split_apply]])) - SUM($O696:W696)</f>
        <v>0</v>
      </c>
      <c r="Y696" s="52">
        <f ca="1">Log_2018[[#This Row],[Amount]]/Log_2018[[#This Row],[Split_raw]]*MAX(0,MIN(_xlfn.DAYS(EDATE(Y$1,1),Log_2018[[#This Row],[Date]]),Log_2018[[#This Row],[Split_apply]])) - SUM($O696:X696)</f>
        <v>0</v>
      </c>
      <c r="Z696" s="52">
        <f ca="1">Log_2018[[#This Row],[Amount]]/Log_2018[[#This Row],[Split_raw]]*MAX(0,MIN(_xlfn.DAYS(EDATE(Z$1,1),Log_2018[[#This Row],[Date]]),Log_2018[[#This Row],[Split_apply]])) - SUM($O696:Y696)</f>
        <v>0</v>
      </c>
      <c r="AA696" s="52">
        <f ca="1">Log_2018[[#This Row],[Amount]]/Log_2018[[#This Row],[Split_raw]]*MAX(0,MIN(_xlfn.DAYS(EDATE(AA$1,1),Log_2018[[#This Row],[Date]]),Log_2018[[#This Row],[Split_apply]])) - SUM($O696:Z696)</f>
        <v>0</v>
      </c>
      <c r="AB696" s="54">
        <f ca="1">Log_2018[[#This Row],[Amount]]-SUM(O696:AA696)</f>
        <v>0</v>
      </c>
      <c r="AC696" s="7">
        <f ca="1">MAX(0,Log_2018[[#This Row],[Split_apply]] - (EDATE(AA$1,1)-Log_2018[[#This Row],[Date]]))</f>
        <v>0</v>
      </c>
    </row>
    <row r="697" spans="1:29" hidden="1" x14ac:dyDescent="0.25">
      <c r="A697" s="115"/>
      <c r="B697" t="s">
        <v>6</v>
      </c>
      <c r="D697" s="26">
        <v>43131</v>
      </c>
      <c r="F697" t="s">
        <v>115</v>
      </c>
      <c r="G697" t="s">
        <v>11</v>
      </c>
      <c r="H697" s="3">
        <v>-176.27</v>
      </c>
      <c r="I697" s="36">
        <f>IF(Log_2018[[#This Row],[My Category]]="NONTRACKED",0,Log_2018[[#This Row],[Raw Amount]])</f>
        <v>-176.27</v>
      </c>
      <c r="J697" s="17">
        <f>ABS(Log_2018[[#This Row],[Amount]])</f>
        <v>176.27</v>
      </c>
      <c r="K697" s="66">
        <v>1</v>
      </c>
      <c r="L697" s="66">
        <f ca="1">IF(Log_2018[[#This Row],[Date]]&lt;=TODAY(), MIN(Log_2018[[#This Row],[Split_raw]], TODAY()-Log_2018[[#This Row],[Date]]+1), 0)</f>
        <v>1</v>
      </c>
      <c r="M697" t="s">
        <v>145</v>
      </c>
      <c r="N697" t="s">
        <v>160</v>
      </c>
      <c r="O697" s="50">
        <v>0</v>
      </c>
      <c r="P697" s="52">
        <f ca="1">Log_2018[[#This Row],[Amount]]/Log_2018[[#This Row],[Split_raw]]*MAX(0,MIN(_xlfn.DAYS(EDATE(P$1,1),Log_2018[[#This Row],[Date]]),Log_2018[[#This Row],[Split_apply]])) - SUM($O697:O697)</f>
        <v>-176.27</v>
      </c>
      <c r="Q697" s="52">
        <f ca="1">Log_2018[[#This Row],[Amount]]/Log_2018[[#This Row],[Split_raw]]*MAX(0,MIN(_xlfn.DAYS(EDATE(Q$1,1),Log_2018[[#This Row],[Date]]),Log_2018[[#This Row],[Split_apply]])) - SUM($O697:P697)</f>
        <v>0</v>
      </c>
      <c r="R697" s="52">
        <f ca="1">Log_2018[[#This Row],[Amount]]/Log_2018[[#This Row],[Split_raw]]*MAX(0,MIN(_xlfn.DAYS(EDATE(R$1,1),Log_2018[[#This Row],[Date]]),Log_2018[[#This Row],[Split_apply]])) - SUM($O697:Q697)</f>
        <v>0</v>
      </c>
      <c r="S697" s="52">
        <f ca="1">Log_2018[[#This Row],[Amount]]/Log_2018[[#This Row],[Split_raw]]*MAX(0,MIN(_xlfn.DAYS(EDATE(S$1,1),Log_2018[[#This Row],[Date]]),Log_2018[[#This Row],[Split_apply]])) - SUM($O697:R697)</f>
        <v>0</v>
      </c>
      <c r="T697" s="52">
        <f ca="1">Log_2018[[#This Row],[Amount]]/Log_2018[[#This Row],[Split_raw]]*MAX(0,MIN(_xlfn.DAYS(EDATE(T$1,1),Log_2018[[#This Row],[Date]]),Log_2018[[#This Row],[Split_apply]])) - SUM($O697:S697)</f>
        <v>0</v>
      </c>
      <c r="U697" s="52">
        <f ca="1">Log_2018[[#This Row],[Amount]]/Log_2018[[#This Row],[Split_raw]]*MAX(0,MIN(_xlfn.DAYS(EDATE(U$1,1),Log_2018[[#This Row],[Date]]),Log_2018[[#This Row],[Split_apply]])) - SUM($O697:T697)</f>
        <v>0</v>
      </c>
      <c r="V697" s="52">
        <f ca="1">Log_2018[[#This Row],[Amount]]/Log_2018[[#This Row],[Split_raw]]*MAX(0,MIN(_xlfn.DAYS(EDATE(V$1,1),Log_2018[[#This Row],[Date]]),Log_2018[[#This Row],[Split_apply]])) - SUM($O697:U697)</f>
        <v>0</v>
      </c>
      <c r="W697" s="52">
        <f ca="1">Log_2018[[#This Row],[Amount]]/Log_2018[[#This Row],[Split_raw]]*MAX(0,MIN(_xlfn.DAYS(EDATE(W$1,1),Log_2018[[#This Row],[Date]]),Log_2018[[#This Row],[Split_apply]])) - SUM($O697:V697)</f>
        <v>0</v>
      </c>
      <c r="X697" s="52">
        <f ca="1">Log_2018[[#This Row],[Amount]]/Log_2018[[#This Row],[Split_raw]]*MAX(0,MIN(_xlfn.DAYS(EDATE(X$1,1),Log_2018[[#This Row],[Date]]),Log_2018[[#This Row],[Split_apply]])) - SUM($O697:W697)</f>
        <v>0</v>
      </c>
      <c r="Y697" s="52">
        <f ca="1">Log_2018[[#This Row],[Amount]]/Log_2018[[#This Row],[Split_raw]]*MAX(0,MIN(_xlfn.DAYS(EDATE(Y$1,1),Log_2018[[#This Row],[Date]]),Log_2018[[#This Row],[Split_apply]])) - SUM($O697:X697)</f>
        <v>0</v>
      </c>
      <c r="Z697" s="52">
        <f ca="1">Log_2018[[#This Row],[Amount]]/Log_2018[[#This Row],[Split_raw]]*MAX(0,MIN(_xlfn.DAYS(EDATE(Z$1,1),Log_2018[[#This Row],[Date]]),Log_2018[[#This Row],[Split_apply]])) - SUM($O697:Y697)</f>
        <v>0</v>
      </c>
      <c r="AA697" s="52">
        <f ca="1">Log_2018[[#This Row],[Amount]]/Log_2018[[#This Row],[Split_raw]]*MAX(0,MIN(_xlfn.DAYS(EDATE(AA$1,1),Log_2018[[#This Row],[Date]]),Log_2018[[#This Row],[Split_apply]])) - SUM($O697:Z697)</f>
        <v>0</v>
      </c>
      <c r="AB697" s="54">
        <f ca="1">Log_2018[[#This Row],[Amount]]-SUM(O697:AA697)</f>
        <v>0</v>
      </c>
      <c r="AC697" s="7">
        <f ca="1">MAX(0,Log_2018[[#This Row],[Split_apply]] - (EDATE(AA$1,1)-Log_2018[[#This Row],[Date]]))</f>
        <v>0</v>
      </c>
    </row>
    <row r="698" spans="1:29" hidden="1" x14ac:dyDescent="0.25">
      <c r="A698" s="115"/>
      <c r="B698" t="s">
        <v>6</v>
      </c>
      <c r="D698" s="26">
        <v>43130</v>
      </c>
      <c r="F698" t="s">
        <v>23</v>
      </c>
      <c r="G698" t="s">
        <v>24</v>
      </c>
      <c r="H698" s="3">
        <v>3.5</v>
      </c>
      <c r="I698" s="36">
        <f>IF(Log_2018[[#This Row],[My Category]]="NONTRACKED",0,Log_2018[[#This Row],[Raw Amount]])</f>
        <v>3.5</v>
      </c>
      <c r="J698" s="17">
        <f>ABS(Log_2018[[#This Row],[Amount]])</f>
        <v>3.5</v>
      </c>
      <c r="K698" s="66">
        <v>1</v>
      </c>
      <c r="L698" s="66">
        <f ca="1">IF(Log_2018[[#This Row],[Date]]&lt;=TODAY(), MIN(Log_2018[[#This Row],[Split_raw]], TODAY()-Log_2018[[#This Row],[Date]]+1), 0)</f>
        <v>1</v>
      </c>
      <c r="M698" t="s">
        <v>196</v>
      </c>
      <c r="N698" t="s">
        <v>160</v>
      </c>
      <c r="O698" s="50">
        <v>0</v>
      </c>
      <c r="P698" s="52">
        <f ca="1">Log_2018[[#This Row],[Amount]]/Log_2018[[#This Row],[Split_raw]]*MAX(0,MIN(_xlfn.DAYS(EDATE(P$1,1),Log_2018[[#This Row],[Date]]),Log_2018[[#This Row],[Split_apply]])) - SUM($O698:O698)</f>
        <v>3.5</v>
      </c>
      <c r="Q698" s="52">
        <f ca="1">Log_2018[[#This Row],[Amount]]/Log_2018[[#This Row],[Split_raw]]*MAX(0,MIN(_xlfn.DAYS(EDATE(Q$1,1),Log_2018[[#This Row],[Date]]),Log_2018[[#This Row],[Split_apply]])) - SUM($O698:P698)</f>
        <v>0</v>
      </c>
      <c r="R698" s="52">
        <f ca="1">Log_2018[[#This Row],[Amount]]/Log_2018[[#This Row],[Split_raw]]*MAX(0,MIN(_xlfn.DAYS(EDATE(R$1,1),Log_2018[[#This Row],[Date]]),Log_2018[[#This Row],[Split_apply]])) - SUM($O698:Q698)</f>
        <v>0</v>
      </c>
      <c r="S698" s="52">
        <f ca="1">Log_2018[[#This Row],[Amount]]/Log_2018[[#This Row],[Split_raw]]*MAX(0,MIN(_xlfn.DAYS(EDATE(S$1,1),Log_2018[[#This Row],[Date]]),Log_2018[[#This Row],[Split_apply]])) - SUM($O698:R698)</f>
        <v>0</v>
      </c>
      <c r="T698" s="52">
        <f ca="1">Log_2018[[#This Row],[Amount]]/Log_2018[[#This Row],[Split_raw]]*MAX(0,MIN(_xlfn.DAYS(EDATE(T$1,1),Log_2018[[#This Row],[Date]]),Log_2018[[#This Row],[Split_apply]])) - SUM($O698:S698)</f>
        <v>0</v>
      </c>
      <c r="U698" s="52">
        <f ca="1">Log_2018[[#This Row],[Amount]]/Log_2018[[#This Row],[Split_raw]]*MAX(0,MIN(_xlfn.DAYS(EDATE(U$1,1),Log_2018[[#This Row],[Date]]),Log_2018[[#This Row],[Split_apply]])) - SUM($O698:T698)</f>
        <v>0</v>
      </c>
      <c r="V698" s="52">
        <f ca="1">Log_2018[[#This Row],[Amount]]/Log_2018[[#This Row],[Split_raw]]*MAX(0,MIN(_xlfn.DAYS(EDATE(V$1,1),Log_2018[[#This Row],[Date]]),Log_2018[[#This Row],[Split_apply]])) - SUM($O698:U698)</f>
        <v>0</v>
      </c>
      <c r="W698" s="52">
        <f ca="1">Log_2018[[#This Row],[Amount]]/Log_2018[[#This Row],[Split_raw]]*MAX(0,MIN(_xlfn.DAYS(EDATE(W$1,1),Log_2018[[#This Row],[Date]]),Log_2018[[#This Row],[Split_apply]])) - SUM($O698:V698)</f>
        <v>0</v>
      </c>
      <c r="X698" s="52">
        <f ca="1">Log_2018[[#This Row],[Amount]]/Log_2018[[#This Row],[Split_raw]]*MAX(0,MIN(_xlfn.DAYS(EDATE(X$1,1),Log_2018[[#This Row],[Date]]),Log_2018[[#This Row],[Split_apply]])) - SUM($O698:W698)</f>
        <v>0</v>
      </c>
      <c r="Y698" s="52">
        <f ca="1">Log_2018[[#This Row],[Amount]]/Log_2018[[#This Row],[Split_raw]]*MAX(0,MIN(_xlfn.DAYS(EDATE(Y$1,1),Log_2018[[#This Row],[Date]]),Log_2018[[#This Row],[Split_apply]])) - SUM($O698:X698)</f>
        <v>0</v>
      </c>
      <c r="Z698" s="52">
        <f ca="1">Log_2018[[#This Row],[Amount]]/Log_2018[[#This Row],[Split_raw]]*MAX(0,MIN(_xlfn.DAYS(EDATE(Z$1,1),Log_2018[[#This Row],[Date]]),Log_2018[[#This Row],[Split_apply]])) - SUM($O698:Y698)</f>
        <v>0</v>
      </c>
      <c r="AA698" s="52">
        <f ca="1">Log_2018[[#This Row],[Amount]]/Log_2018[[#This Row],[Split_raw]]*MAX(0,MIN(_xlfn.DAYS(EDATE(AA$1,1),Log_2018[[#This Row],[Date]]),Log_2018[[#This Row],[Split_apply]])) - SUM($O698:Z698)</f>
        <v>0</v>
      </c>
      <c r="AB698" s="54">
        <f ca="1">Log_2018[[#This Row],[Amount]]-SUM(O698:AA698)</f>
        <v>0</v>
      </c>
      <c r="AC698" s="7">
        <f ca="1">MAX(0,Log_2018[[#This Row],[Split_apply]] - (EDATE(AA$1,1)-Log_2018[[#This Row],[Date]]))</f>
        <v>0</v>
      </c>
    </row>
    <row r="699" spans="1:29" hidden="1" x14ac:dyDescent="0.25">
      <c r="A699" s="115"/>
      <c r="B699" t="s">
        <v>6</v>
      </c>
      <c r="D699" s="26">
        <v>43130</v>
      </c>
      <c r="F699" t="s">
        <v>16</v>
      </c>
      <c r="G699" t="s">
        <v>17</v>
      </c>
      <c r="H699" s="3">
        <v>0.02</v>
      </c>
      <c r="I699" s="36">
        <f>IF(Log_2018[[#This Row],[My Category]]="NONTRACKED",0,Log_2018[[#This Row],[Raw Amount]])</f>
        <v>0.02</v>
      </c>
      <c r="J699" s="17">
        <f>ABS(Log_2018[[#This Row],[Amount]])</f>
        <v>0.02</v>
      </c>
      <c r="K699" s="66">
        <v>1</v>
      </c>
      <c r="L699" s="66">
        <f ca="1">IF(Log_2018[[#This Row],[Date]]&lt;=TODAY(), MIN(Log_2018[[#This Row],[Split_raw]], TODAY()-Log_2018[[#This Row],[Date]]+1), 0)</f>
        <v>1</v>
      </c>
      <c r="M699" t="s">
        <v>144</v>
      </c>
      <c r="N699" t="s">
        <v>160</v>
      </c>
      <c r="O699" s="50">
        <v>0</v>
      </c>
      <c r="P699" s="52">
        <f ca="1">Log_2018[[#This Row],[Amount]]/Log_2018[[#This Row],[Split_raw]]*MAX(0,MIN(_xlfn.DAYS(EDATE(P$1,1),Log_2018[[#This Row],[Date]]),Log_2018[[#This Row],[Split_apply]])) - SUM($O699:O699)</f>
        <v>0.02</v>
      </c>
      <c r="Q699" s="52">
        <f ca="1">Log_2018[[#This Row],[Amount]]/Log_2018[[#This Row],[Split_raw]]*MAX(0,MIN(_xlfn.DAYS(EDATE(Q$1,1),Log_2018[[#This Row],[Date]]),Log_2018[[#This Row],[Split_apply]])) - SUM($O699:P699)</f>
        <v>0</v>
      </c>
      <c r="R699" s="52">
        <f ca="1">Log_2018[[#This Row],[Amount]]/Log_2018[[#This Row],[Split_raw]]*MAX(0,MIN(_xlfn.DAYS(EDATE(R$1,1),Log_2018[[#This Row],[Date]]),Log_2018[[#This Row],[Split_apply]])) - SUM($O699:Q699)</f>
        <v>0</v>
      </c>
      <c r="S699" s="52">
        <f ca="1">Log_2018[[#This Row],[Amount]]/Log_2018[[#This Row],[Split_raw]]*MAX(0,MIN(_xlfn.DAYS(EDATE(S$1,1),Log_2018[[#This Row],[Date]]),Log_2018[[#This Row],[Split_apply]])) - SUM($O699:R699)</f>
        <v>0</v>
      </c>
      <c r="T699" s="52">
        <f ca="1">Log_2018[[#This Row],[Amount]]/Log_2018[[#This Row],[Split_raw]]*MAX(0,MIN(_xlfn.DAYS(EDATE(T$1,1),Log_2018[[#This Row],[Date]]),Log_2018[[#This Row],[Split_apply]])) - SUM($O699:S699)</f>
        <v>0</v>
      </c>
      <c r="U699" s="52">
        <f ca="1">Log_2018[[#This Row],[Amount]]/Log_2018[[#This Row],[Split_raw]]*MAX(0,MIN(_xlfn.DAYS(EDATE(U$1,1),Log_2018[[#This Row],[Date]]),Log_2018[[#This Row],[Split_apply]])) - SUM($O699:T699)</f>
        <v>0</v>
      </c>
      <c r="V699" s="52">
        <f ca="1">Log_2018[[#This Row],[Amount]]/Log_2018[[#This Row],[Split_raw]]*MAX(0,MIN(_xlfn.DAYS(EDATE(V$1,1),Log_2018[[#This Row],[Date]]),Log_2018[[#This Row],[Split_apply]])) - SUM($O699:U699)</f>
        <v>0</v>
      </c>
      <c r="W699" s="52">
        <f ca="1">Log_2018[[#This Row],[Amount]]/Log_2018[[#This Row],[Split_raw]]*MAX(0,MIN(_xlfn.DAYS(EDATE(W$1,1),Log_2018[[#This Row],[Date]]),Log_2018[[#This Row],[Split_apply]])) - SUM($O699:V699)</f>
        <v>0</v>
      </c>
      <c r="X699" s="52">
        <f ca="1">Log_2018[[#This Row],[Amount]]/Log_2018[[#This Row],[Split_raw]]*MAX(0,MIN(_xlfn.DAYS(EDATE(X$1,1),Log_2018[[#This Row],[Date]]),Log_2018[[#This Row],[Split_apply]])) - SUM($O699:W699)</f>
        <v>0</v>
      </c>
      <c r="Y699" s="52">
        <f ca="1">Log_2018[[#This Row],[Amount]]/Log_2018[[#This Row],[Split_raw]]*MAX(0,MIN(_xlfn.DAYS(EDATE(Y$1,1),Log_2018[[#This Row],[Date]]),Log_2018[[#This Row],[Split_apply]])) - SUM($O699:X699)</f>
        <v>0</v>
      </c>
      <c r="Z699" s="52">
        <f ca="1">Log_2018[[#This Row],[Amount]]/Log_2018[[#This Row],[Split_raw]]*MAX(0,MIN(_xlfn.DAYS(EDATE(Z$1,1),Log_2018[[#This Row],[Date]]),Log_2018[[#This Row],[Split_apply]])) - SUM($O699:Y699)</f>
        <v>0</v>
      </c>
      <c r="AA699" s="52">
        <f ca="1">Log_2018[[#This Row],[Amount]]/Log_2018[[#This Row],[Split_raw]]*MAX(0,MIN(_xlfn.DAYS(EDATE(AA$1,1),Log_2018[[#This Row],[Date]]),Log_2018[[#This Row],[Split_apply]])) - SUM($O699:Z699)</f>
        <v>0</v>
      </c>
      <c r="AB699" s="54">
        <f ca="1">Log_2018[[#This Row],[Amount]]-SUM(O699:AA699)</f>
        <v>0</v>
      </c>
      <c r="AC699" s="7">
        <f ca="1">MAX(0,Log_2018[[#This Row],[Split_apply]] - (EDATE(AA$1,1)-Log_2018[[#This Row],[Date]]))</f>
        <v>0</v>
      </c>
    </row>
    <row r="700" spans="1:29" hidden="1" x14ac:dyDescent="0.25">
      <c r="A700" s="115"/>
      <c r="B700" t="s">
        <v>6</v>
      </c>
      <c r="D700" s="26">
        <v>43130</v>
      </c>
      <c r="F700" t="s">
        <v>116</v>
      </c>
      <c r="G700" t="s">
        <v>9</v>
      </c>
      <c r="H700" s="3">
        <v>-22</v>
      </c>
      <c r="I700" s="36">
        <f>IF(Log_2018[[#This Row],[My Category]]="NONTRACKED",0,Log_2018[[#This Row],[Raw Amount]])</f>
        <v>-22</v>
      </c>
      <c r="J700" s="17">
        <f>ABS(Log_2018[[#This Row],[Amount]])</f>
        <v>22</v>
      </c>
      <c r="K700" s="66">
        <v>1</v>
      </c>
      <c r="L700" s="66">
        <f ca="1">IF(Log_2018[[#This Row],[Date]]&lt;=TODAY(), MIN(Log_2018[[#This Row],[Split_raw]], TODAY()-Log_2018[[#This Row],[Date]]+1), 0)</f>
        <v>1</v>
      </c>
      <c r="M700" t="s">
        <v>40</v>
      </c>
      <c r="N700" t="s">
        <v>160</v>
      </c>
      <c r="O700" s="50">
        <v>0</v>
      </c>
      <c r="P700" s="52">
        <f ca="1">Log_2018[[#This Row],[Amount]]/Log_2018[[#This Row],[Split_raw]]*MAX(0,MIN(_xlfn.DAYS(EDATE(P$1,1),Log_2018[[#This Row],[Date]]),Log_2018[[#This Row],[Split_apply]])) - SUM($O700:O700)</f>
        <v>-22</v>
      </c>
      <c r="Q700" s="52">
        <f ca="1">Log_2018[[#This Row],[Amount]]/Log_2018[[#This Row],[Split_raw]]*MAX(0,MIN(_xlfn.DAYS(EDATE(Q$1,1),Log_2018[[#This Row],[Date]]),Log_2018[[#This Row],[Split_apply]])) - SUM($O700:P700)</f>
        <v>0</v>
      </c>
      <c r="R700" s="52">
        <f ca="1">Log_2018[[#This Row],[Amount]]/Log_2018[[#This Row],[Split_raw]]*MAX(0,MIN(_xlfn.DAYS(EDATE(R$1,1),Log_2018[[#This Row],[Date]]),Log_2018[[#This Row],[Split_apply]])) - SUM($O700:Q700)</f>
        <v>0</v>
      </c>
      <c r="S700" s="52">
        <f ca="1">Log_2018[[#This Row],[Amount]]/Log_2018[[#This Row],[Split_raw]]*MAX(0,MIN(_xlfn.DAYS(EDATE(S$1,1),Log_2018[[#This Row],[Date]]),Log_2018[[#This Row],[Split_apply]])) - SUM($O700:R700)</f>
        <v>0</v>
      </c>
      <c r="T700" s="52">
        <f ca="1">Log_2018[[#This Row],[Amount]]/Log_2018[[#This Row],[Split_raw]]*MAX(0,MIN(_xlfn.DAYS(EDATE(T$1,1),Log_2018[[#This Row],[Date]]),Log_2018[[#This Row],[Split_apply]])) - SUM($O700:S700)</f>
        <v>0</v>
      </c>
      <c r="U700" s="52">
        <f ca="1">Log_2018[[#This Row],[Amount]]/Log_2018[[#This Row],[Split_raw]]*MAX(0,MIN(_xlfn.DAYS(EDATE(U$1,1),Log_2018[[#This Row],[Date]]),Log_2018[[#This Row],[Split_apply]])) - SUM($O700:T700)</f>
        <v>0</v>
      </c>
      <c r="V700" s="52">
        <f ca="1">Log_2018[[#This Row],[Amount]]/Log_2018[[#This Row],[Split_raw]]*MAX(0,MIN(_xlfn.DAYS(EDATE(V$1,1),Log_2018[[#This Row],[Date]]),Log_2018[[#This Row],[Split_apply]])) - SUM($O700:U700)</f>
        <v>0</v>
      </c>
      <c r="W700" s="52">
        <f ca="1">Log_2018[[#This Row],[Amount]]/Log_2018[[#This Row],[Split_raw]]*MAX(0,MIN(_xlfn.DAYS(EDATE(W$1,1),Log_2018[[#This Row],[Date]]),Log_2018[[#This Row],[Split_apply]])) - SUM($O700:V700)</f>
        <v>0</v>
      </c>
      <c r="X700" s="52">
        <f ca="1">Log_2018[[#This Row],[Amount]]/Log_2018[[#This Row],[Split_raw]]*MAX(0,MIN(_xlfn.DAYS(EDATE(X$1,1),Log_2018[[#This Row],[Date]]),Log_2018[[#This Row],[Split_apply]])) - SUM($O700:W700)</f>
        <v>0</v>
      </c>
      <c r="Y700" s="52">
        <f ca="1">Log_2018[[#This Row],[Amount]]/Log_2018[[#This Row],[Split_raw]]*MAX(0,MIN(_xlfn.DAYS(EDATE(Y$1,1),Log_2018[[#This Row],[Date]]),Log_2018[[#This Row],[Split_apply]])) - SUM($O700:X700)</f>
        <v>0</v>
      </c>
      <c r="Z700" s="52">
        <f ca="1">Log_2018[[#This Row],[Amount]]/Log_2018[[#This Row],[Split_raw]]*MAX(0,MIN(_xlfn.DAYS(EDATE(Z$1,1),Log_2018[[#This Row],[Date]]),Log_2018[[#This Row],[Split_apply]])) - SUM($O700:Y700)</f>
        <v>0</v>
      </c>
      <c r="AA700" s="52">
        <f ca="1">Log_2018[[#This Row],[Amount]]/Log_2018[[#This Row],[Split_raw]]*MAX(0,MIN(_xlfn.DAYS(EDATE(AA$1,1),Log_2018[[#This Row],[Date]]),Log_2018[[#This Row],[Split_apply]])) - SUM($O700:Z700)</f>
        <v>0</v>
      </c>
      <c r="AB700" s="54">
        <f ca="1">Log_2018[[#This Row],[Amount]]-SUM(O700:AA700)</f>
        <v>0</v>
      </c>
      <c r="AC700" s="7">
        <f ca="1">MAX(0,Log_2018[[#This Row],[Split_apply]] - (EDATE(AA$1,1)-Log_2018[[#This Row],[Date]]))</f>
        <v>0</v>
      </c>
    </row>
    <row r="701" spans="1:29" hidden="1" x14ac:dyDescent="0.25">
      <c r="A701" s="115"/>
      <c r="B701" t="s">
        <v>6</v>
      </c>
      <c r="D701" s="26">
        <v>43130</v>
      </c>
      <c r="F701" t="s">
        <v>117</v>
      </c>
      <c r="G701" t="s">
        <v>9</v>
      </c>
      <c r="H701" s="3">
        <v>-21</v>
      </c>
      <c r="I701" s="36">
        <f>IF(Log_2018[[#This Row],[My Category]]="NONTRACKED",0,Log_2018[[#This Row],[Raw Amount]])</f>
        <v>-21</v>
      </c>
      <c r="J701" s="17">
        <f>ABS(Log_2018[[#This Row],[Amount]])</f>
        <v>21</v>
      </c>
      <c r="K701" s="66">
        <v>1</v>
      </c>
      <c r="L701" s="66">
        <f ca="1">IF(Log_2018[[#This Row],[Date]]&lt;=TODAY(), MIN(Log_2018[[#This Row],[Split_raw]], TODAY()-Log_2018[[#This Row],[Date]]+1), 0)</f>
        <v>1</v>
      </c>
      <c r="M701" t="s">
        <v>40</v>
      </c>
      <c r="N701" t="s">
        <v>160</v>
      </c>
      <c r="O701" s="50">
        <v>0</v>
      </c>
      <c r="P701" s="52">
        <f ca="1">Log_2018[[#This Row],[Amount]]/Log_2018[[#This Row],[Split_raw]]*MAX(0,MIN(_xlfn.DAYS(EDATE(P$1,1),Log_2018[[#This Row],[Date]]),Log_2018[[#This Row],[Split_apply]])) - SUM($O701:O701)</f>
        <v>-21</v>
      </c>
      <c r="Q701" s="52">
        <f ca="1">Log_2018[[#This Row],[Amount]]/Log_2018[[#This Row],[Split_raw]]*MAX(0,MIN(_xlfn.DAYS(EDATE(Q$1,1),Log_2018[[#This Row],[Date]]),Log_2018[[#This Row],[Split_apply]])) - SUM($O701:P701)</f>
        <v>0</v>
      </c>
      <c r="R701" s="52">
        <f ca="1">Log_2018[[#This Row],[Amount]]/Log_2018[[#This Row],[Split_raw]]*MAX(0,MIN(_xlfn.DAYS(EDATE(R$1,1),Log_2018[[#This Row],[Date]]),Log_2018[[#This Row],[Split_apply]])) - SUM($O701:Q701)</f>
        <v>0</v>
      </c>
      <c r="S701" s="52">
        <f ca="1">Log_2018[[#This Row],[Amount]]/Log_2018[[#This Row],[Split_raw]]*MAX(0,MIN(_xlfn.DAYS(EDATE(S$1,1),Log_2018[[#This Row],[Date]]),Log_2018[[#This Row],[Split_apply]])) - SUM($O701:R701)</f>
        <v>0</v>
      </c>
      <c r="T701" s="52">
        <f ca="1">Log_2018[[#This Row],[Amount]]/Log_2018[[#This Row],[Split_raw]]*MAX(0,MIN(_xlfn.DAYS(EDATE(T$1,1),Log_2018[[#This Row],[Date]]),Log_2018[[#This Row],[Split_apply]])) - SUM($O701:S701)</f>
        <v>0</v>
      </c>
      <c r="U701" s="52">
        <f ca="1">Log_2018[[#This Row],[Amount]]/Log_2018[[#This Row],[Split_raw]]*MAX(0,MIN(_xlfn.DAYS(EDATE(U$1,1),Log_2018[[#This Row],[Date]]),Log_2018[[#This Row],[Split_apply]])) - SUM($O701:T701)</f>
        <v>0</v>
      </c>
      <c r="V701" s="52">
        <f ca="1">Log_2018[[#This Row],[Amount]]/Log_2018[[#This Row],[Split_raw]]*MAX(0,MIN(_xlfn.DAYS(EDATE(V$1,1),Log_2018[[#This Row],[Date]]),Log_2018[[#This Row],[Split_apply]])) - SUM($O701:U701)</f>
        <v>0</v>
      </c>
      <c r="W701" s="52">
        <f ca="1">Log_2018[[#This Row],[Amount]]/Log_2018[[#This Row],[Split_raw]]*MAX(0,MIN(_xlfn.DAYS(EDATE(W$1,1),Log_2018[[#This Row],[Date]]),Log_2018[[#This Row],[Split_apply]])) - SUM($O701:V701)</f>
        <v>0</v>
      </c>
      <c r="X701" s="52">
        <f ca="1">Log_2018[[#This Row],[Amount]]/Log_2018[[#This Row],[Split_raw]]*MAX(0,MIN(_xlfn.DAYS(EDATE(X$1,1),Log_2018[[#This Row],[Date]]),Log_2018[[#This Row],[Split_apply]])) - SUM($O701:W701)</f>
        <v>0</v>
      </c>
      <c r="Y701" s="52">
        <f ca="1">Log_2018[[#This Row],[Amount]]/Log_2018[[#This Row],[Split_raw]]*MAX(0,MIN(_xlfn.DAYS(EDATE(Y$1,1),Log_2018[[#This Row],[Date]]),Log_2018[[#This Row],[Split_apply]])) - SUM($O701:X701)</f>
        <v>0</v>
      </c>
      <c r="Z701" s="52">
        <f ca="1">Log_2018[[#This Row],[Amount]]/Log_2018[[#This Row],[Split_raw]]*MAX(0,MIN(_xlfn.DAYS(EDATE(Z$1,1),Log_2018[[#This Row],[Date]]),Log_2018[[#This Row],[Split_apply]])) - SUM($O701:Y701)</f>
        <v>0</v>
      </c>
      <c r="AA701" s="52">
        <f ca="1">Log_2018[[#This Row],[Amount]]/Log_2018[[#This Row],[Split_raw]]*MAX(0,MIN(_xlfn.DAYS(EDATE(AA$1,1),Log_2018[[#This Row],[Date]]),Log_2018[[#This Row],[Split_apply]])) - SUM($O701:Z701)</f>
        <v>0</v>
      </c>
      <c r="AB701" s="54">
        <f ca="1">Log_2018[[#This Row],[Amount]]-SUM(O701:AA701)</f>
        <v>0</v>
      </c>
      <c r="AC701" s="7">
        <f ca="1">MAX(0,Log_2018[[#This Row],[Split_apply]] - (EDATE(AA$1,1)-Log_2018[[#This Row],[Date]]))</f>
        <v>0</v>
      </c>
    </row>
    <row r="702" spans="1:29" hidden="1" x14ac:dyDescent="0.25">
      <c r="A702" s="115"/>
      <c r="B702" t="s">
        <v>6</v>
      </c>
      <c r="D702" s="26">
        <v>43129</v>
      </c>
      <c r="E702" t="s">
        <v>251</v>
      </c>
      <c r="F702" t="s">
        <v>120</v>
      </c>
      <c r="G702" t="s">
        <v>9</v>
      </c>
      <c r="H702" s="3">
        <v>-8.65</v>
      </c>
      <c r="I702" s="36">
        <f>IF(Log_2018[[#This Row],[My Category]]="NONTRACKED",0,Log_2018[[#This Row],[Raw Amount]])</f>
        <v>-8.65</v>
      </c>
      <c r="J702" s="17">
        <f>ABS(Log_2018[[#This Row],[Amount]])</f>
        <v>8.65</v>
      </c>
      <c r="K702" s="66">
        <v>30</v>
      </c>
      <c r="L702" s="66">
        <f ca="1">IF(Log_2018[[#This Row],[Date]]&lt;=TODAY(), MIN(Log_2018[[#This Row],[Split_raw]], TODAY()-Log_2018[[#This Row],[Date]]+1), 0)</f>
        <v>30</v>
      </c>
      <c r="M702" t="s">
        <v>53</v>
      </c>
      <c r="N702" t="s">
        <v>160</v>
      </c>
      <c r="O702" s="50">
        <v>0</v>
      </c>
      <c r="P702" s="52">
        <f ca="1">Log_2018[[#This Row],[Amount]]/Log_2018[[#This Row],[Split_raw]]*MAX(0,MIN(_xlfn.DAYS(EDATE(P$1,1),Log_2018[[#This Row],[Date]]),Log_2018[[#This Row],[Split_apply]])) - SUM($O702:O702)</f>
        <v>-0.86499999999999999</v>
      </c>
      <c r="Q702" s="52">
        <f ca="1">Log_2018[[#This Row],[Amount]]/Log_2018[[#This Row],[Split_raw]]*MAX(0,MIN(_xlfn.DAYS(EDATE(Q$1,1),Log_2018[[#This Row],[Date]]),Log_2018[[#This Row],[Split_apply]])) - SUM($O702:P702)</f>
        <v>-7.7850000000000001</v>
      </c>
      <c r="R702" s="52">
        <f ca="1">Log_2018[[#This Row],[Amount]]/Log_2018[[#This Row],[Split_raw]]*MAX(0,MIN(_xlfn.DAYS(EDATE(R$1,1),Log_2018[[#This Row],[Date]]),Log_2018[[#This Row],[Split_apply]])) - SUM($O702:Q702)</f>
        <v>0</v>
      </c>
      <c r="S702" s="52">
        <f ca="1">Log_2018[[#This Row],[Amount]]/Log_2018[[#This Row],[Split_raw]]*MAX(0,MIN(_xlfn.DAYS(EDATE(S$1,1),Log_2018[[#This Row],[Date]]),Log_2018[[#This Row],[Split_apply]])) - SUM($O702:R702)</f>
        <v>0</v>
      </c>
      <c r="T702" s="52">
        <f ca="1">Log_2018[[#This Row],[Amount]]/Log_2018[[#This Row],[Split_raw]]*MAX(0,MIN(_xlfn.DAYS(EDATE(T$1,1),Log_2018[[#This Row],[Date]]),Log_2018[[#This Row],[Split_apply]])) - SUM($O702:S702)</f>
        <v>0</v>
      </c>
      <c r="U702" s="52">
        <f ca="1">Log_2018[[#This Row],[Amount]]/Log_2018[[#This Row],[Split_raw]]*MAX(0,MIN(_xlfn.DAYS(EDATE(U$1,1),Log_2018[[#This Row],[Date]]),Log_2018[[#This Row],[Split_apply]])) - SUM($O702:T702)</f>
        <v>0</v>
      </c>
      <c r="V702" s="52">
        <f ca="1">Log_2018[[#This Row],[Amount]]/Log_2018[[#This Row],[Split_raw]]*MAX(0,MIN(_xlfn.DAYS(EDATE(V$1,1),Log_2018[[#This Row],[Date]]),Log_2018[[#This Row],[Split_apply]])) - SUM($O702:U702)</f>
        <v>0</v>
      </c>
      <c r="W702" s="52">
        <f ca="1">Log_2018[[#This Row],[Amount]]/Log_2018[[#This Row],[Split_raw]]*MAX(0,MIN(_xlfn.DAYS(EDATE(W$1,1),Log_2018[[#This Row],[Date]]),Log_2018[[#This Row],[Split_apply]])) - SUM($O702:V702)</f>
        <v>0</v>
      </c>
      <c r="X702" s="52">
        <f ca="1">Log_2018[[#This Row],[Amount]]/Log_2018[[#This Row],[Split_raw]]*MAX(0,MIN(_xlfn.DAYS(EDATE(X$1,1),Log_2018[[#This Row],[Date]]),Log_2018[[#This Row],[Split_apply]])) - SUM($O702:W702)</f>
        <v>0</v>
      </c>
      <c r="Y702" s="52">
        <f ca="1">Log_2018[[#This Row],[Amount]]/Log_2018[[#This Row],[Split_raw]]*MAX(0,MIN(_xlfn.DAYS(EDATE(Y$1,1),Log_2018[[#This Row],[Date]]),Log_2018[[#This Row],[Split_apply]])) - SUM($O702:X702)</f>
        <v>0</v>
      </c>
      <c r="Z702" s="52">
        <f ca="1">Log_2018[[#This Row],[Amount]]/Log_2018[[#This Row],[Split_raw]]*MAX(0,MIN(_xlfn.DAYS(EDATE(Z$1,1),Log_2018[[#This Row],[Date]]),Log_2018[[#This Row],[Split_apply]])) - SUM($O702:Y702)</f>
        <v>0</v>
      </c>
      <c r="AA702" s="52">
        <f ca="1">Log_2018[[#This Row],[Amount]]/Log_2018[[#This Row],[Split_raw]]*MAX(0,MIN(_xlfn.DAYS(EDATE(AA$1,1),Log_2018[[#This Row],[Date]]),Log_2018[[#This Row],[Split_apply]])) - SUM($O702:Z702)</f>
        <v>0</v>
      </c>
      <c r="AB702" s="54">
        <f ca="1">Log_2018[[#This Row],[Amount]]-SUM(O702:AA702)</f>
        <v>0</v>
      </c>
      <c r="AC702" s="7">
        <f ca="1">MAX(0,Log_2018[[#This Row],[Split_apply]] - (EDATE(AA$1,1)-Log_2018[[#This Row],[Date]]))</f>
        <v>0</v>
      </c>
    </row>
    <row r="703" spans="1:29" hidden="1" x14ac:dyDescent="0.25">
      <c r="A703" s="115"/>
      <c r="B703" t="s">
        <v>6</v>
      </c>
      <c r="D703" s="26">
        <v>43129</v>
      </c>
      <c r="F703" t="s">
        <v>118</v>
      </c>
      <c r="G703" t="s">
        <v>9</v>
      </c>
      <c r="H703" s="3">
        <v>-25</v>
      </c>
      <c r="I703" s="36">
        <f>IF(Log_2018[[#This Row],[My Category]]="NONTRACKED",0,Log_2018[[#This Row],[Raw Amount]])</f>
        <v>-25</v>
      </c>
      <c r="J703" s="17">
        <f>ABS(Log_2018[[#This Row],[Amount]])</f>
        <v>25</v>
      </c>
      <c r="K703" s="66">
        <v>1</v>
      </c>
      <c r="L703" s="66">
        <f ca="1">IF(Log_2018[[#This Row],[Date]]&lt;=TODAY(), MIN(Log_2018[[#This Row],[Split_raw]], TODAY()-Log_2018[[#This Row],[Date]]+1), 0)</f>
        <v>1</v>
      </c>
      <c r="M703" t="s">
        <v>39</v>
      </c>
      <c r="N703" t="s">
        <v>160</v>
      </c>
      <c r="O703" s="50">
        <v>0</v>
      </c>
      <c r="P703" s="52">
        <f ca="1">Log_2018[[#This Row],[Amount]]/Log_2018[[#This Row],[Split_raw]]*MAX(0,MIN(_xlfn.DAYS(EDATE(P$1,1),Log_2018[[#This Row],[Date]]),Log_2018[[#This Row],[Split_apply]])) - SUM($O703:O703)</f>
        <v>-25</v>
      </c>
      <c r="Q703" s="52">
        <f ca="1">Log_2018[[#This Row],[Amount]]/Log_2018[[#This Row],[Split_raw]]*MAX(0,MIN(_xlfn.DAYS(EDATE(Q$1,1),Log_2018[[#This Row],[Date]]),Log_2018[[#This Row],[Split_apply]])) - SUM($O703:P703)</f>
        <v>0</v>
      </c>
      <c r="R703" s="52">
        <f ca="1">Log_2018[[#This Row],[Amount]]/Log_2018[[#This Row],[Split_raw]]*MAX(0,MIN(_xlfn.DAYS(EDATE(R$1,1),Log_2018[[#This Row],[Date]]),Log_2018[[#This Row],[Split_apply]])) - SUM($O703:Q703)</f>
        <v>0</v>
      </c>
      <c r="S703" s="52">
        <f ca="1">Log_2018[[#This Row],[Amount]]/Log_2018[[#This Row],[Split_raw]]*MAX(0,MIN(_xlfn.DAYS(EDATE(S$1,1),Log_2018[[#This Row],[Date]]),Log_2018[[#This Row],[Split_apply]])) - SUM($O703:R703)</f>
        <v>0</v>
      </c>
      <c r="T703" s="52">
        <f ca="1">Log_2018[[#This Row],[Amount]]/Log_2018[[#This Row],[Split_raw]]*MAX(0,MIN(_xlfn.DAYS(EDATE(T$1,1),Log_2018[[#This Row],[Date]]),Log_2018[[#This Row],[Split_apply]])) - SUM($O703:S703)</f>
        <v>0</v>
      </c>
      <c r="U703" s="52">
        <f ca="1">Log_2018[[#This Row],[Amount]]/Log_2018[[#This Row],[Split_raw]]*MAX(0,MIN(_xlfn.DAYS(EDATE(U$1,1),Log_2018[[#This Row],[Date]]),Log_2018[[#This Row],[Split_apply]])) - SUM($O703:T703)</f>
        <v>0</v>
      </c>
      <c r="V703" s="52">
        <f ca="1">Log_2018[[#This Row],[Amount]]/Log_2018[[#This Row],[Split_raw]]*MAX(0,MIN(_xlfn.DAYS(EDATE(V$1,1),Log_2018[[#This Row],[Date]]),Log_2018[[#This Row],[Split_apply]])) - SUM($O703:U703)</f>
        <v>0</v>
      </c>
      <c r="W703" s="52">
        <f ca="1">Log_2018[[#This Row],[Amount]]/Log_2018[[#This Row],[Split_raw]]*MAX(0,MIN(_xlfn.DAYS(EDATE(W$1,1),Log_2018[[#This Row],[Date]]),Log_2018[[#This Row],[Split_apply]])) - SUM($O703:V703)</f>
        <v>0</v>
      </c>
      <c r="X703" s="52">
        <f ca="1">Log_2018[[#This Row],[Amount]]/Log_2018[[#This Row],[Split_raw]]*MAX(0,MIN(_xlfn.DAYS(EDATE(X$1,1),Log_2018[[#This Row],[Date]]),Log_2018[[#This Row],[Split_apply]])) - SUM($O703:W703)</f>
        <v>0</v>
      </c>
      <c r="Y703" s="52">
        <f ca="1">Log_2018[[#This Row],[Amount]]/Log_2018[[#This Row],[Split_raw]]*MAX(0,MIN(_xlfn.DAYS(EDATE(Y$1,1),Log_2018[[#This Row],[Date]]),Log_2018[[#This Row],[Split_apply]])) - SUM($O703:X703)</f>
        <v>0</v>
      </c>
      <c r="Z703" s="52">
        <f ca="1">Log_2018[[#This Row],[Amount]]/Log_2018[[#This Row],[Split_raw]]*MAX(0,MIN(_xlfn.DAYS(EDATE(Z$1,1),Log_2018[[#This Row],[Date]]),Log_2018[[#This Row],[Split_apply]])) - SUM($O703:Y703)</f>
        <v>0</v>
      </c>
      <c r="AA703" s="52">
        <f ca="1">Log_2018[[#This Row],[Amount]]/Log_2018[[#This Row],[Split_raw]]*MAX(0,MIN(_xlfn.DAYS(EDATE(AA$1,1),Log_2018[[#This Row],[Date]]),Log_2018[[#This Row],[Split_apply]])) - SUM($O703:Z703)</f>
        <v>0</v>
      </c>
      <c r="AB703" s="54">
        <f ca="1">Log_2018[[#This Row],[Amount]]-SUM(O703:AA703)</f>
        <v>0</v>
      </c>
      <c r="AC703" s="7">
        <f ca="1">MAX(0,Log_2018[[#This Row],[Split_apply]] - (EDATE(AA$1,1)-Log_2018[[#This Row],[Date]]))</f>
        <v>0</v>
      </c>
    </row>
    <row r="704" spans="1:29" hidden="1" x14ac:dyDescent="0.25">
      <c r="A704" s="115"/>
      <c r="B704" t="s">
        <v>6</v>
      </c>
      <c r="D704" s="26">
        <v>43129</v>
      </c>
      <c r="F704" t="s">
        <v>119</v>
      </c>
      <c r="G704" t="s">
        <v>25</v>
      </c>
      <c r="H704" s="3">
        <v>-10.6</v>
      </c>
      <c r="I704" s="36">
        <f>IF(Log_2018[[#This Row],[My Category]]="NONTRACKED",0,Log_2018[[#This Row],[Raw Amount]])</f>
        <v>-10.6</v>
      </c>
      <c r="J704" s="17">
        <f>ABS(Log_2018[[#This Row],[Amount]])</f>
        <v>10.6</v>
      </c>
      <c r="K704" s="66">
        <v>1</v>
      </c>
      <c r="L704" s="66">
        <f ca="1">IF(Log_2018[[#This Row],[Date]]&lt;=TODAY(), MIN(Log_2018[[#This Row],[Split_raw]], TODAY()-Log_2018[[#This Row],[Date]]+1), 0)</f>
        <v>1</v>
      </c>
      <c r="M704" t="s">
        <v>35</v>
      </c>
      <c r="N704" t="s">
        <v>160</v>
      </c>
      <c r="O704" s="50">
        <v>0</v>
      </c>
      <c r="P704" s="52">
        <f ca="1">Log_2018[[#This Row],[Amount]]/Log_2018[[#This Row],[Split_raw]]*MAX(0,MIN(_xlfn.DAYS(EDATE(P$1,1),Log_2018[[#This Row],[Date]]),Log_2018[[#This Row],[Split_apply]])) - SUM($O704:O704)</f>
        <v>-10.6</v>
      </c>
      <c r="Q704" s="52">
        <f ca="1">Log_2018[[#This Row],[Amount]]/Log_2018[[#This Row],[Split_raw]]*MAX(0,MIN(_xlfn.DAYS(EDATE(Q$1,1),Log_2018[[#This Row],[Date]]),Log_2018[[#This Row],[Split_apply]])) - SUM($O704:P704)</f>
        <v>0</v>
      </c>
      <c r="R704" s="52">
        <f ca="1">Log_2018[[#This Row],[Amount]]/Log_2018[[#This Row],[Split_raw]]*MAX(0,MIN(_xlfn.DAYS(EDATE(R$1,1),Log_2018[[#This Row],[Date]]),Log_2018[[#This Row],[Split_apply]])) - SUM($O704:Q704)</f>
        <v>0</v>
      </c>
      <c r="S704" s="52">
        <f ca="1">Log_2018[[#This Row],[Amount]]/Log_2018[[#This Row],[Split_raw]]*MAX(0,MIN(_xlfn.DAYS(EDATE(S$1,1),Log_2018[[#This Row],[Date]]),Log_2018[[#This Row],[Split_apply]])) - SUM($O704:R704)</f>
        <v>0</v>
      </c>
      <c r="T704" s="52">
        <f ca="1">Log_2018[[#This Row],[Amount]]/Log_2018[[#This Row],[Split_raw]]*MAX(0,MIN(_xlfn.DAYS(EDATE(T$1,1),Log_2018[[#This Row],[Date]]),Log_2018[[#This Row],[Split_apply]])) - SUM($O704:S704)</f>
        <v>0</v>
      </c>
      <c r="U704" s="52">
        <f ca="1">Log_2018[[#This Row],[Amount]]/Log_2018[[#This Row],[Split_raw]]*MAX(0,MIN(_xlfn.DAYS(EDATE(U$1,1),Log_2018[[#This Row],[Date]]),Log_2018[[#This Row],[Split_apply]])) - SUM($O704:T704)</f>
        <v>0</v>
      </c>
      <c r="V704" s="52">
        <f ca="1">Log_2018[[#This Row],[Amount]]/Log_2018[[#This Row],[Split_raw]]*MAX(0,MIN(_xlfn.DAYS(EDATE(V$1,1),Log_2018[[#This Row],[Date]]),Log_2018[[#This Row],[Split_apply]])) - SUM($O704:U704)</f>
        <v>0</v>
      </c>
      <c r="W704" s="52">
        <f ca="1">Log_2018[[#This Row],[Amount]]/Log_2018[[#This Row],[Split_raw]]*MAX(0,MIN(_xlfn.DAYS(EDATE(W$1,1),Log_2018[[#This Row],[Date]]),Log_2018[[#This Row],[Split_apply]])) - SUM($O704:V704)</f>
        <v>0</v>
      </c>
      <c r="X704" s="52">
        <f ca="1">Log_2018[[#This Row],[Amount]]/Log_2018[[#This Row],[Split_raw]]*MAX(0,MIN(_xlfn.DAYS(EDATE(X$1,1),Log_2018[[#This Row],[Date]]),Log_2018[[#This Row],[Split_apply]])) - SUM($O704:W704)</f>
        <v>0</v>
      </c>
      <c r="Y704" s="52">
        <f ca="1">Log_2018[[#This Row],[Amount]]/Log_2018[[#This Row],[Split_raw]]*MAX(0,MIN(_xlfn.DAYS(EDATE(Y$1,1),Log_2018[[#This Row],[Date]]),Log_2018[[#This Row],[Split_apply]])) - SUM($O704:X704)</f>
        <v>0</v>
      </c>
      <c r="Z704" s="52">
        <f ca="1">Log_2018[[#This Row],[Amount]]/Log_2018[[#This Row],[Split_raw]]*MAX(0,MIN(_xlfn.DAYS(EDATE(Z$1,1),Log_2018[[#This Row],[Date]]),Log_2018[[#This Row],[Split_apply]])) - SUM($O704:Y704)</f>
        <v>0</v>
      </c>
      <c r="AA704" s="52">
        <f ca="1">Log_2018[[#This Row],[Amount]]/Log_2018[[#This Row],[Split_raw]]*MAX(0,MIN(_xlfn.DAYS(EDATE(AA$1,1),Log_2018[[#This Row],[Date]]),Log_2018[[#This Row],[Split_apply]])) - SUM($O704:Z704)</f>
        <v>0</v>
      </c>
      <c r="AB704" s="54">
        <f ca="1">Log_2018[[#This Row],[Amount]]-SUM(O704:AA704)</f>
        <v>0</v>
      </c>
      <c r="AC704" s="7">
        <f ca="1">MAX(0,Log_2018[[#This Row],[Split_apply]] - (EDATE(AA$1,1)-Log_2018[[#This Row],[Date]]))</f>
        <v>0</v>
      </c>
    </row>
    <row r="705" spans="1:29" hidden="1" x14ac:dyDescent="0.25">
      <c r="A705" s="115"/>
      <c r="B705" t="s">
        <v>6</v>
      </c>
      <c r="D705" s="26">
        <v>43126</v>
      </c>
      <c r="F705" t="s">
        <v>121</v>
      </c>
      <c r="G705" t="s">
        <v>12</v>
      </c>
      <c r="H705" s="3">
        <v>-111.24</v>
      </c>
      <c r="I705" s="36">
        <f>IF(Log_2018[[#This Row],[My Category]]="NONTRACKED",0,Log_2018[[#This Row],[Raw Amount]])</f>
        <v>-111.24</v>
      </c>
      <c r="J705" s="17">
        <f>ABS(Log_2018[[#This Row],[Amount]])</f>
        <v>111.24</v>
      </c>
      <c r="K705" s="66">
        <v>1</v>
      </c>
      <c r="L705" s="66">
        <f ca="1">IF(Log_2018[[#This Row],[Date]]&lt;=TODAY(), MIN(Log_2018[[#This Row],[Split_raw]], TODAY()-Log_2018[[#This Row],[Date]]+1), 0)</f>
        <v>1</v>
      </c>
      <c r="M705" t="s">
        <v>12</v>
      </c>
      <c r="N705" t="s">
        <v>160</v>
      </c>
      <c r="O705" s="50">
        <v>0</v>
      </c>
      <c r="P705" s="52">
        <f ca="1">Log_2018[[#This Row],[Amount]]/Log_2018[[#This Row],[Split_raw]]*MAX(0,MIN(_xlfn.DAYS(EDATE(P$1,1),Log_2018[[#This Row],[Date]]),Log_2018[[#This Row],[Split_apply]])) - SUM($O705:O705)</f>
        <v>-111.24</v>
      </c>
      <c r="Q705" s="52">
        <f ca="1">Log_2018[[#This Row],[Amount]]/Log_2018[[#This Row],[Split_raw]]*MAX(0,MIN(_xlfn.DAYS(EDATE(Q$1,1),Log_2018[[#This Row],[Date]]),Log_2018[[#This Row],[Split_apply]])) - SUM($O705:P705)</f>
        <v>0</v>
      </c>
      <c r="R705" s="52">
        <f ca="1">Log_2018[[#This Row],[Amount]]/Log_2018[[#This Row],[Split_raw]]*MAX(0,MIN(_xlfn.DAYS(EDATE(R$1,1),Log_2018[[#This Row],[Date]]),Log_2018[[#This Row],[Split_apply]])) - SUM($O705:Q705)</f>
        <v>0</v>
      </c>
      <c r="S705" s="52">
        <f ca="1">Log_2018[[#This Row],[Amount]]/Log_2018[[#This Row],[Split_raw]]*MAX(0,MIN(_xlfn.DAYS(EDATE(S$1,1),Log_2018[[#This Row],[Date]]),Log_2018[[#This Row],[Split_apply]])) - SUM($O705:R705)</f>
        <v>0</v>
      </c>
      <c r="T705" s="52">
        <f ca="1">Log_2018[[#This Row],[Amount]]/Log_2018[[#This Row],[Split_raw]]*MAX(0,MIN(_xlfn.DAYS(EDATE(T$1,1),Log_2018[[#This Row],[Date]]),Log_2018[[#This Row],[Split_apply]])) - SUM($O705:S705)</f>
        <v>0</v>
      </c>
      <c r="U705" s="52">
        <f ca="1">Log_2018[[#This Row],[Amount]]/Log_2018[[#This Row],[Split_raw]]*MAX(0,MIN(_xlfn.DAYS(EDATE(U$1,1),Log_2018[[#This Row],[Date]]),Log_2018[[#This Row],[Split_apply]])) - SUM($O705:T705)</f>
        <v>0</v>
      </c>
      <c r="V705" s="52">
        <f ca="1">Log_2018[[#This Row],[Amount]]/Log_2018[[#This Row],[Split_raw]]*MAX(0,MIN(_xlfn.DAYS(EDATE(V$1,1),Log_2018[[#This Row],[Date]]),Log_2018[[#This Row],[Split_apply]])) - SUM($O705:U705)</f>
        <v>0</v>
      </c>
      <c r="W705" s="52">
        <f ca="1">Log_2018[[#This Row],[Amount]]/Log_2018[[#This Row],[Split_raw]]*MAX(0,MIN(_xlfn.DAYS(EDATE(W$1,1),Log_2018[[#This Row],[Date]]),Log_2018[[#This Row],[Split_apply]])) - SUM($O705:V705)</f>
        <v>0</v>
      </c>
      <c r="X705" s="52">
        <f ca="1">Log_2018[[#This Row],[Amount]]/Log_2018[[#This Row],[Split_raw]]*MAX(0,MIN(_xlfn.DAYS(EDATE(X$1,1),Log_2018[[#This Row],[Date]]),Log_2018[[#This Row],[Split_apply]])) - SUM($O705:W705)</f>
        <v>0</v>
      </c>
      <c r="Y705" s="52">
        <f ca="1">Log_2018[[#This Row],[Amount]]/Log_2018[[#This Row],[Split_raw]]*MAX(0,MIN(_xlfn.DAYS(EDATE(Y$1,1),Log_2018[[#This Row],[Date]]),Log_2018[[#This Row],[Split_apply]])) - SUM($O705:X705)</f>
        <v>0</v>
      </c>
      <c r="Z705" s="52">
        <f ca="1">Log_2018[[#This Row],[Amount]]/Log_2018[[#This Row],[Split_raw]]*MAX(0,MIN(_xlfn.DAYS(EDATE(Z$1,1),Log_2018[[#This Row],[Date]]),Log_2018[[#This Row],[Split_apply]])) - SUM($O705:Y705)</f>
        <v>0</v>
      </c>
      <c r="AA705" s="52">
        <f ca="1">Log_2018[[#This Row],[Amount]]/Log_2018[[#This Row],[Split_raw]]*MAX(0,MIN(_xlfn.DAYS(EDATE(AA$1,1),Log_2018[[#This Row],[Date]]),Log_2018[[#This Row],[Split_apply]])) - SUM($O705:Z705)</f>
        <v>0</v>
      </c>
      <c r="AB705" s="54">
        <f ca="1">Log_2018[[#This Row],[Amount]]-SUM(O705:AA705)</f>
        <v>0</v>
      </c>
      <c r="AC705" s="7">
        <f ca="1">MAX(0,Log_2018[[#This Row],[Split_apply]] - (EDATE(AA$1,1)-Log_2018[[#This Row],[Date]]))</f>
        <v>0</v>
      </c>
    </row>
    <row r="706" spans="1:29" hidden="1" x14ac:dyDescent="0.25">
      <c r="A706" s="115"/>
      <c r="B706" t="s">
        <v>6</v>
      </c>
      <c r="D706" s="26">
        <v>43126</v>
      </c>
      <c r="F706" t="s">
        <v>121</v>
      </c>
      <c r="G706" t="s">
        <v>12</v>
      </c>
      <c r="H706" s="3">
        <v>-21.99</v>
      </c>
      <c r="I706" s="36">
        <f>IF(Log_2018[[#This Row],[My Category]]="NONTRACKED",0,Log_2018[[#This Row],[Raw Amount]])</f>
        <v>-21.99</v>
      </c>
      <c r="J706" s="17">
        <f>ABS(Log_2018[[#This Row],[Amount]])</f>
        <v>21.99</v>
      </c>
      <c r="K706" s="66">
        <v>1</v>
      </c>
      <c r="L706" s="66">
        <f ca="1">IF(Log_2018[[#This Row],[Date]]&lt;=TODAY(), MIN(Log_2018[[#This Row],[Split_raw]], TODAY()-Log_2018[[#This Row],[Date]]+1), 0)</f>
        <v>1</v>
      </c>
      <c r="M706" t="s">
        <v>12</v>
      </c>
      <c r="N706" t="s">
        <v>160</v>
      </c>
      <c r="O706" s="50">
        <v>0</v>
      </c>
      <c r="P706" s="52">
        <f ca="1">Log_2018[[#This Row],[Amount]]/Log_2018[[#This Row],[Split_raw]]*MAX(0,MIN(_xlfn.DAYS(EDATE(P$1,1),Log_2018[[#This Row],[Date]]),Log_2018[[#This Row],[Split_apply]])) - SUM($O706:O706)</f>
        <v>-21.99</v>
      </c>
      <c r="Q706" s="52">
        <f ca="1">Log_2018[[#This Row],[Amount]]/Log_2018[[#This Row],[Split_raw]]*MAX(0,MIN(_xlfn.DAYS(EDATE(Q$1,1),Log_2018[[#This Row],[Date]]),Log_2018[[#This Row],[Split_apply]])) - SUM($O706:P706)</f>
        <v>0</v>
      </c>
      <c r="R706" s="52">
        <f ca="1">Log_2018[[#This Row],[Amount]]/Log_2018[[#This Row],[Split_raw]]*MAX(0,MIN(_xlfn.DAYS(EDATE(R$1,1),Log_2018[[#This Row],[Date]]),Log_2018[[#This Row],[Split_apply]])) - SUM($O706:Q706)</f>
        <v>0</v>
      </c>
      <c r="S706" s="52">
        <f ca="1">Log_2018[[#This Row],[Amount]]/Log_2018[[#This Row],[Split_raw]]*MAX(0,MIN(_xlfn.DAYS(EDATE(S$1,1),Log_2018[[#This Row],[Date]]),Log_2018[[#This Row],[Split_apply]])) - SUM($O706:R706)</f>
        <v>0</v>
      </c>
      <c r="T706" s="52">
        <f ca="1">Log_2018[[#This Row],[Amount]]/Log_2018[[#This Row],[Split_raw]]*MAX(0,MIN(_xlfn.DAYS(EDATE(T$1,1),Log_2018[[#This Row],[Date]]),Log_2018[[#This Row],[Split_apply]])) - SUM($O706:S706)</f>
        <v>0</v>
      </c>
      <c r="U706" s="52">
        <f ca="1">Log_2018[[#This Row],[Amount]]/Log_2018[[#This Row],[Split_raw]]*MAX(0,MIN(_xlfn.DAYS(EDATE(U$1,1),Log_2018[[#This Row],[Date]]),Log_2018[[#This Row],[Split_apply]])) - SUM($O706:T706)</f>
        <v>0</v>
      </c>
      <c r="V706" s="52">
        <f ca="1">Log_2018[[#This Row],[Amount]]/Log_2018[[#This Row],[Split_raw]]*MAX(0,MIN(_xlfn.DAYS(EDATE(V$1,1),Log_2018[[#This Row],[Date]]),Log_2018[[#This Row],[Split_apply]])) - SUM($O706:U706)</f>
        <v>0</v>
      </c>
      <c r="W706" s="52">
        <f ca="1">Log_2018[[#This Row],[Amount]]/Log_2018[[#This Row],[Split_raw]]*MAX(0,MIN(_xlfn.DAYS(EDATE(W$1,1),Log_2018[[#This Row],[Date]]),Log_2018[[#This Row],[Split_apply]])) - SUM($O706:V706)</f>
        <v>0</v>
      </c>
      <c r="X706" s="52">
        <f ca="1">Log_2018[[#This Row],[Amount]]/Log_2018[[#This Row],[Split_raw]]*MAX(0,MIN(_xlfn.DAYS(EDATE(X$1,1),Log_2018[[#This Row],[Date]]),Log_2018[[#This Row],[Split_apply]])) - SUM($O706:W706)</f>
        <v>0</v>
      </c>
      <c r="Y706" s="52">
        <f ca="1">Log_2018[[#This Row],[Amount]]/Log_2018[[#This Row],[Split_raw]]*MAX(0,MIN(_xlfn.DAYS(EDATE(Y$1,1),Log_2018[[#This Row],[Date]]),Log_2018[[#This Row],[Split_apply]])) - SUM($O706:X706)</f>
        <v>0</v>
      </c>
      <c r="Z706" s="52">
        <f ca="1">Log_2018[[#This Row],[Amount]]/Log_2018[[#This Row],[Split_raw]]*MAX(0,MIN(_xlfn.DAYS(EDATE(Z$1,1),Log_2018[[#This Row],[Date]]),Log_2018[[#This Row],[Split_apply]])) - SUM($O706:Y706)</f>
        <v>0</v>
      </c>
      <c r="AA706" s="52">
        <f ca="1">Log_2018[[#This Row],[Amount]]/Log_2018[[#This Row],[Split_raw]]*MAX(0,MIN(_xlfn.DAYS(EDATE(AA$1,1),Log_2018[[#This Row],[Date]]),Log_2018[[#This Row],[Split_apply]])) - SUM($O706:Z706)</f>
        <v>0</v>
      </c>
      <c r="AB706" s="54">
        <f ca="1">Log_2018[[#This Row],[Amount]]-SUM(O706:AA706)</f>
        <v>0</v>
      </c>
      <c r="AC706" s="7">
        <f ca="1">MAX(0,Log_2018[[#This Row],[Split_apply]] - (EDATE(AA$1,1)-Log_2018[[#This Row],[Date]]))</f>
        <v>0</v>
      </c>
    </row>
    <row r="707" spans="1:29" hidden="1" x14ac:dyDescent="0.25">
      <c r="A707" s="115"/>
      <c r="B707" t="s">
        <v>6</v>
      </c>
      <c r="D707" s="26">
        <v>43126</v>
      </c>
      <c r="F707" t="s">
        <v>64</v>
      </c>
      <c r="G707" t="s">
        <v>25</v>
      </c>
      <c r="H707" s="3">
        <v>-1.79</v>
      </c>
      <c r="I707" s="36">
        <f>IF(Log_2018[[#This Row],[My Category]]="NONTRACKED",0,Log_2018[[#This Row],[Raw Amount]])</f>
        <v>-1.79</v>
      </c>
      <c r="J707" s="17">
        <f>ABS(Log_2018[[#This Row],[Amount]])</f>
        <v>1.79</v>
      </c>
      <c r="K707" s="66">
        <v>1</v>
      </c>
      <c r="L707" s="66">
        <f ca="1">IF(Log_2018[[#This Row],[Date]]&lt;=TODAY(), MIN(Log_2018[[#This Row],[Split_raw]], TODAY()-Log_2018[[#This Row],[Date]]+1), 0)</f>
        <v>1</v>
      </c>
      <c r="M707" t="s">
        <v>35</v>
      </c>
      <c r="N707" t="s">
        <v>160</v>
      </c>
      <c r="O707" s="50">
        <v>0</v>
      </c>
      <c r="P707" s="52">
        <f ca="1">Log_2018[[#This Row],[Amount]]/Log_2018[[#This Row],[Split_raw]]*MAX(0,MIN(_xlfn.DAYS(EDATE(P$1,1),Log_2018[[#This Row],[Date]]),Log_2018[[#This Row],[Split_apply]])) - SUM($O707:O707)</f>
        <v>-1.79</v>
      </c>
      <c r="Q707" s="52">
        <f ca="1">Log_2018[[#This Row],[Amount]]/Log_2018[[#This Row],[Split_raw]]*MAX(0,MIN(_xlfn.DAYS(EDATE(Q$1,1),Log_2018[[#This Row],[Date]]),Log_2018[[#This Row],[Split_apply]])) - SUM($O707:P707)</f>
        <v>0</v>
      </c>
      <c r="R707" s="52">
        <f ca="1">Log_2018[[#This Row],[Amount]]/Log_2018[[#This Row],[Split_raw]]*MAX(0,MIN(_xlfn.DAYS(EDATE(R$1,1),Log_2018[[#This Row],[Date]]),Log_2018[[#This Row],[Split_apply]])) - SUM($O707:Q707)</f>
        <v>0</v>
      </c>
      <c r="S707" s="52">
        <f ca="1">Log_2018[[#This Row],[Amount]]/Log_2018[[#This Row],[Split_raw]]*MAX(0,MIN(_xlfn.DAYS(EDATE(S$1,1),Log_2018[[#This Row],[Date]]),Log_2018[[#This Row],[Split_apply]])) - SUM($O707:R707)</f>
        <v>0</v>
      </c>
      <c r="T707" s="52">
        <f ca="1">Log_2018[[#This Row],[Amount]]/Log_2018[[#This Row],[Split_raw]]*MAX(0,MIN(_xlfn.DAYS(EDATE(T$1,1),Log_2018[[#This Row],[Date]]),Log_2018[[#This Row],[Split_apply]])) - SUM($O707:S707)</f>
        <v>0</v>
      </c>
      <c r="U707" s="52">
        <f ca="1">Log_2018[[#This Row],[Amount]]/Log_2018[[#This Row],[Split_raw]]*MAX(0,MIN(_xlfn.DAYS(EDATE(U$1,1),Log_2018[[#This Row],[Date]]),Log_2018[[#This Row],[Split_apply]])) - SUM($O707:T707)</f>
        <v>0</v>
      </c>
      <c r="V707" s="52">
        <f ca="1">Log_2018[[#This Row],[Amount]]/Log_2018[[#This Row],[Split_raw]]*MAX(0,MIN(_xlfn.DAYS(EDATE(V$1,1),Log_2018[[#This Row],[Date]]),Log_2018[[#This Row],[Split_apply]])) - SUM($O707:U707)</f>
        <v>0</v>
      </c>
      <c r="W707" s="52">
        <f ca="1">Log_2018[[#This Row],[Amount]]/Log_2018[[#This Row],[Split_raw]]*MAX(0,MIN(_xlfn.DAYS(EDATE(W$1,1),Log_2018[[#This Row],[Date]]),Log_2018[[#This Row],[Split_apply]])) - SUM($O707:V707)</f>
        <v>0</v>
      </c>
      <c r="X707" s="52">
        <f ca="1">Log_2018[[#This Row],[Amount]]/Log_2018[[#This Row],[Split_raw]]*MAX(0,MIN(_xlfn.DAYS(EDATE(X$1,1),Log_2018[[#This Row],[Date]]),Log_2018[[#This Row],[Split_apply]])) - SUM($O707:W707)</f>
        <v>0</v>
      </c>
      <c r="Y707" s="52">
        <f ca="1">Log_2018[[#This Row],[Amount]]/Log_2018[[#This Row],[Split_raw]]*MAX(0,MIN(_xlfn.DAYS(EDATE(Y$1,1),Log_2018[[#This Row],[Date]]),Log_2018[[#This Row],[Split_apply]])) - SUM($O707:X707)</f>
        <v>0</v>
      </c>
      <c r="Z707" s="52">
        <f ca="1">Log_2018[[#This Row],[Amount]]/Log_2018[[#This Row],[Split_raw]]*MAX(0,MIN(_xlfn.DAYS(EDATE(Z$1,1),Log_2018[[#This Row],[Date]]),Log_2018[[#This Row],[Split_apply]])) - SUM($O707:Y707)</f>
        <v>0</v>
      </c>
      <c r="AA707" s="52">
        <f ca="1">Log_2018[[#This Row],[Amount]]/Log_2018[[#This Row],[Split_raw]]*MAX(0,MIN(_xlfn.DAYS(EDATE(AA$1,1),Log_2018[[#This Row],[Date]]),Log_2018[[#This Row],[Split_apply]])) - SUM($O707:Z707)</f>
        <v>0</v>
      </c>
      <c r="AB707" s="54">
        <f ca="1">Log_2018[[#This Row],[Amount]]-SUM(O707:AA707)</f>
        <v>0</v>
      </c>
      <c r="AC707" s="7">
        <f ca="1">MAX(0,Log_2018[[#This Row],[Split_apply]] - (EDATE(AA$1,1)-Log_2018[[#This Row],[Date]]))</f>
        <v>0</v>
      </c>
    </row>
    <row r="708" spans="1:29" hidden="1" x14ac:dyDescent="0.25">
      <c r="A708" s="115"/>
      <c r="B708" t="s">
        <v>6</v>
      </c>
      <c r="D708" s="26">
        <v>43126</v>
      </c>
      <c r="F708" t="s">
        <v>122</v>
      </c>
      <c r="G708" t="s">
        <v>25</v>
      </c>
      <c r="H708" s="3">
        <v>-20.9</v>
      </c>
      <c r="I708" s="36">
        <f>IF(Log_2018[[#This Row],[My Category]]="NONTRACKED",0,Log_2018[[#This Row],[Raw Amount]])</f>
        <v>-20.9</v>
      </c>
      <c r="J708" s="17">
        <f>ABS(Log_2018[[#This Row],[Amount]])</f>
        <v>20.9</v>
      </c>
      <c r="K708" s="66">
        <v>1</v>
      </c>
      <c r="L708" s="66">
        <f ca="1">IF(Log_2018[[#This Row],[Date]]&lt;=TODAY(), MIN(Log_2018[[#This Row],[Split_raw]], TODAY()-Log_2018[[#This Row],[Date]]+1), 0)</f>
        <v>1</v>
      </c>
      <c r="M708" t="s">
        <v>35</v>
      </c>
      <c r="N708" t="s">
        <v>160</v>
      </c>
      <c r="O708" s="50">
        <v>0</v>
      </c>
      <c r="P708" s="52">
        <f ca="1">Log_2018[[#This Row],[Amount]]/Log_2018[[#This Row],[Split_raw]]*MAX(0,MIN(_xlfn.DAYS(EDATE(P$1,1),Log_2018[[#This Row],[Date]]),Log_2018[[#This Row],[Split_apply]])) - SUM($O708:O708)</f>
        <v>-20.9</v>
      </c>
      <c r="Q708" s="52">
        <f ca="1">Log_2018[[#This Row],[Amount]]/Log_2018[[#This Row],[Split_raw]]*MAX(0,MIN(_xlfn.DAYS(EDATE(Q$1,1),Log_2018[[#This Row],[Date]]),Log_2018[[#This Row],[Split_apply]])) - SUM($O708:P708)</f>
        <v>0</v>
      </c>
      <c r="R708" s="52">
        <f ca="1">Log_2018[[#This Row],[Amount]]/Log_2018[[#This Row],[Split_raw]]*MAX(0,MIN(_xlfn.DAYS(EDATE(R$1,1),Log_2018[[#This Row],[Date]]),Log_2018[[#This Row],[Split_apply]])) - SUM($O708:Q708)</f>
        <v>0</v>
      </c>
      <c r="S708" s="52">
        <f ca="1">Log_2018[[#This Row],[Amount]]/Log_2018[[#This Row],[Split_raw]]*MAX(0,MIN(_xlfn.DAYS(EDATE(S$1,1),Log_2018[[#This Row],[Date]]),Log_2018[[#This Row],[Split_apply]])) - SUM($O708:R708)</f>
        <v>0</v>
      </c>
      <c r="T708" s="52">
        <f ca="1">Log_2018[[#This Row],[Amount]]/Log_2018[[#This Row],[Split_raw]]*MAX(0,MIN(_xlfn.DAYS(EDATE(T$1,1),Log_2018[[#This Row],[Date]]),Log_2018[[#This Row],[Split_apply]])) - SUM($O708:S708)</f>
        <v>0</v>
      </c>
      <c r="U708" s="52">
        <f ca="1">Log_2018[[#This Row],[Amount]]/Log_2018[[#This Row],[Split_raw]]*MAX(0,MIN(_xlfn.DAYS(EDATE(U$1,1),Log_2018[[#This Row],[Date]]),Log_2018[[#This Row],[Split_apply]])) - SUM($O708:T708)</f>
        <v>0</v>
      </c>
      <c r="V708" s="52">
        <f ca="1">Log_2018[[#This Row],[Amount]]/Log_2018[[#This Row],[Split_raw]]*MAX(0,MIN(_xlfn.DAYS(EDATE(V$1,1),Log_2018[[#This Row],[Date]]),Log_2018[[#This Row],[Split_apply]])) - SUM($O708:U708)</f>
        <v>0</v>
      </c>
      <c r="W708" s="52">
        <f ca="1">Log_2018[[#This Row],[Amount]]/Log_2018[[#This Row],[Split_raw]]*MAX(0,MIN(_xlfn.DAYS(EDATE(W$1,1),Log_2018[[#This Row],[Date]]),Log_2018[[#This Row],[Split_apply]])) - SUM($O708:V708)</f>
        <v>0</v>
      </c>
      <c r="X708" s="52">
        <f ca="1">Log_2018[[#This Row],[Amount]]/Log_2018[[#This Row],[Split_raw]]*MAX(0,MIN(_xlfn.DAYS(EDATE(X$1,1),Log_2018[[#This Row],[Date]]),Log_2018[[#This Row],[Split_apply]])) - SUM($O708:W708)</f>
        <v>0</v>
      </c>
      <c r="Y708" s="52">
        <f ca="1">Log_2018[[#This Row],[Amount]]/Log_2018[[#This Row],[Split_raw]]*MAX(0,MIN(_xlfn.DAYS(EDATE(Y$1,1),Log_2018[[#This Row],[Date]]),Log_2018[[#This Row],[Split_apply]])) - SUM($O708:X708)</f>
        <v>0</v>
      </c>
      <c r="Z708" s="52">
        <f ca="1">Log_2018[[#This Row],[Amount]]/Log_2018[[#This Row],[Split_raw]]*MAX(0,MIN(_xlfn.DAYS(EDATE(Z$1,1),Log_2018[[#This Row],[Date]]),Log_2018[[#This Row],[Split_apply]])) - SUM($O708:Y708)</f>
        <v>0</v>
      </c>
      <c r="AA708" s="52">
        <f ca="1">Log_2018[[#This Row],[Amount]]/Log_2018[[#This Row],[Split_raw]]*MAX(0,MIN(_xlfn.DAYS(EDATE(AA$1,1),Log_2018[[#This Row],[Date]]),Log_2018[[#This Row],[Split_apply]])) - SUM($O708:Z708)</f>
        <v>0</v>
      </c>
      <c r="AB708" s="54">
        <f ca="1">Log_2018[[#This Row],[Amount]]-SUM(O708:AA708)</f>
        <v>0</v>
      </c>
      <c r="AC708" s="7">
        <f ca="1">MAX(0,Log_2018[[#This Row],[Split_apply]] - (EDATE(AA$1,1)-Log_2018[[#This Row],[Date]]))</f>
        <v>0</v>
      </c>
    </row>
    <row r="709" spans="1:29" hidden="1" x14ac:dyDescent="0.25">
      <c r="A709" s="115"/>
      <c r="B709" t="s">
        <v>6</v>
      </c>
      <c r="D709" s="26">
        <v>43126</v>
      </c>
      <c r="F709" t="s">
        <v>59</v>
      </c>
      <c r="G709" t="s">
        <v>25</v>
      </c>
      <c r="H709" s="3">
        <v>-9.39</v>
      </c>
      <c r="I709" s="36">
        <f>IF(Log_2018[[#This Row],[My Category]]="NONTRACKED",0,Log_2018[[#This Row],[Raw Amount]])</f>
        <v>-9.39</v>
      </c>
      <c r="J709" s="17">
        <f>ABS(Log_2018[[#This Row],[Amount]])</f>
        <v>9.39</v>
      </c>
      <c r="K709" s="66">
        <v>1</v>
      </c>
      <c r="L709" s="66">
        <f ca="1">IF(Log_2018[[#This Row],[Date]]&lt;=TODAY(), MIN(Log_2018[[#This Row],[Split_raw]], TODAY()-Log_2018[[#This Row],[Date]]+1), 0)</f>
        <v>1</v>
      </c>
      <c r="M709" t="s">
        <v>35</v>
      </c>
      <c r="N709" t="s">
        <v>160</v>
      </c>
      <c r="O709" s="50">
        <v>0</v>
      </c>
      <c r="P709" s="52">
        <f ca="1">Log_2018[[#This Row],[Amount]]/Log_2018[[#This Row],[Split_raw]]*MAX(0,MIN(_xlfn.DAYS(EDATE(P$1,1),Log_2018[[#This Row],[Date]]),Log_2018[[#This Row],[Split_apply]])) - SUM($O709:O709)</f>
        <v>-9.39</v>
      </c>
      <c r="Q709" s="52">
        <f ca="1">Log_2018[[#This Row],[Amount]]/Log_2018[[#This Row],[Split_raw]]*MAX(0,MIN(_xlfn.DAYS(EDATE(Q$1,1),Log_2018[[#This Row],[Date]]),Log_2018[[#This Row],[Split_apply]])) - SUM($O709:P709)</f>
        <v>0</v>
      </c>
      <c r="R709" s="52">
        <f ca="1">Log_2018[[#This Row],[Amount]]/Log_2018[[#This Row],[Split_raw]]*MAX(0,MIN(_xlfn.DAYS(EDATE(R$1,1),Log_2018[[#This Row],[Date]]),Log_2018[[#This Row],[Split_apply]])) - SUM($O709:Q709)</f>
        <v>0</v>
      </c>
      <c r="S709" s="52">
        <f ca="1">Log_2018[[#This Row],[Amount]]/Log_2018[[#This Row],[Split_raw]]*MAX(0,MIN(_xlfn.DAYS(EDATE(S$1,1),Log_2018[[#This Row],[Date]]),Log_2018[[#This Row],[Split_apply]])) - SUM($O709:R709)</f>
        <v>0</v>
      </c>
      <c r="T709" s="52">
        <f ca="1">Log_2018[[#This Row],[Amount]]/Log_2018[[#This Row],[Split_raw]]*MAX(0,MIN(_xlfn.DAYS(EDATE(T$1,1),Log_2018[[#This Row],[Date]]),Log_2018[[#This Row],[Split_apply]])) - SUM($O709:S709)</f>
        <v>0</v>
      </c>
      <c r="U709" s="52">
        <f ca="1">Log_2018[[#This Row],[Amount]]/Log_2018[[#This Row],[Split_raw]]*MAX(0,MIN(_xlfn.DAYS(EDATE(U$1,1),Log_2018[[#This Row],[Date]]),Log_2018[[#This Row],[Split_apply]])) - SUM($O709:T709)</f>
        <v>0</v>
      </c>
      <c r="V709" s="52">
        <f ca="1">Log_2018[[#This Row],[Amount]]/Log_2018[[#This Row],[Split_raw]]*MAX(0,MIN(_xlfn.DAYS(EDATE(V$1,1),Log_2018[[#This Row],[Date]]),Log_2018[[#This Row],[Split_apply]])) - SUM($O709:U709)</f>
        <v>0</v>
      </c>
      <c r="W709" s="52">
        <f ca="1">Log_2018[[#This Row],[Amount]]/Log_2018[[#This Row],[Split_raw]]*MAX(0,MIN(_xlfn.DAYS(EDATE(W$1,1),Log_2018[[#This Row],[Date]]),Log_2018[[#This Row],[Split_apply]])) - SUM($O709:V709)</f>
        <v>0</v>
      </c>
      <c r="X709" s="52">
        <f ca="1">Log_2018[[#This Row],[Amount]]/Log_2018[[#This Row],[Split_raw]]*MAX(0,MIN(_xlfn.DAYS(EDATE(X$1,1),Log_2018[[#This Row],[Date]]),Log_2018[[#This Row],[Split_apply]])) - SUM($O709:W709)</f>
        <v>0</v>
      </c>
      <c r="Y709" s="52">
        <f ca="1">Log_2018[[#This Row],[Amount]]/Log_2018[[#This Row],[Split_raw]]*MAX(0,MIN(_xlfn.DAYS(EDATE(Y$1,1),Log_2018[[#This Row],[Date]]),Log_2018[[#This Row],[Split_apply]])) - SUM($O709:X709)</f>
        <v>0</v>
      </c>
      <c r="Z709" s="52">
        <f ca="1">Log_2018[[#This Row],[Amount]]/Log_2018[[#This Row],[Split_raw]]*MAX(0,MIN(_xlfn.DAYS(EDATE(Z$1,1),Log_2018[[#This Row],[Date]]),Log_2018[[#This Row],[Split_apply]])) - SUM($O709:Y709)</f>
        <v>0</v>
      </c>
      <c r="AA709" s="52">
        <f ca="1">Log_2018[[#This Row],[Amount]]/Log_2018[[#This Row],[Split_raw]]*MAX(0,MIN(_xlfn.DAYS(EDATE(AA$1,1),Log_2018[[#This Row],[Date]]),Log_2018[[#This Row],[Split_apply]])) - SUM($O709:Z709)</f>
        <v>0</v>
      </c>
      <c r="AB709" s="54">
        <f ca="1">Log_2018[[#This Row],[Amount]]-SUM(O709:AA709)</f>
        <v>0</v>
      </c>
      <c r="AC709" s="7">
        <f ca="1">MAX(0,Log_2018[[#This Row],[Split_apply]] - (EDATE(AA$1,1)-Log_2018[[#This Row],[Date]]))</f>
        <v>0</v>
      </c>
    </row>
    <row r="710" spans="1:29" hidden="1" x14ac:dyDescent="0.25">
      <c r="A710" s="115"/>
      <c r="B710" t="s">
        <v>6</v>
      </c>
      <c r="D710" s="26">
        <v>43124</v>
      </c>
      <c r="F710" t="s">
        <v>124</v>
      </c>
      <c r="G710" t="s">
        <v>11</v>
      </c>
      <c r="H710" s="3">
        <v>-69.97</v>
      </c>
      <c r="I710" s="36">
        <f>IF(Log_2018[[#This Row],[My Category]]="NONTRACKED",0,Log_2018[[#This Row],[Raw Amount]])</f>
        <v>-69.97</v>
      </c>
      <c r="J710" s="17">
        <f>ABS(Log_2018[[#This Row],[Amount]])</f>
        <v>69.97</v>
      </c>
      <c r="K710" s="66">
        <v>1</v>
      </c>
      <c r="L710" s="66">
        <f ca="1">IF(Log_2018[[#This Row],[Date]]&lt;=TODAY(), MIN(Log_2018[[#This Row],[Split_raw]], TODAY()-Log_2018[[#This Row],[Date]]+1), 0)</f>
        <v>1</v>
      </c>
      <c r="M710" t="s">
        <v>366</v>
      </c>
      <c r="N710" t="s">
        <v>160</v>
      </c>
      <c r="O710" s="50">
        <v>0</v>
      </c>
      <c r="P710" s="52">
        <f ca="1">Log_2018[[#This Row],[Amount]]/Log_2018[[#This Row],[Split_raw]]*MAX(0,MIN(_xlfn.DAYS(EDATE(P$1,1),Log_2018[[#This Row],[Date]]),Log_2018[[#This Row],[Split_apply]])) - SUM($O710:O710)</f>
        <v>-69.97</v>
      </c>
      <c r="Q710" s="52">
        <f ca="1">Log_2018[[#This Row],[Amount]]/Log_2018[[#This Row],[Split_raw]]*MAX(0,MIN(_xlfn.DAYS(EDATE(Q$1,1),Log_2018[[#This Row],[Date]]),Log_2018[[#This Row],[Split_apply]])) - SUM($O710:P710)</f>
        <v>0</v>
      </c>
      <c r="R710" s="52">
        <f ca="1">Log_2018[[#This Row],[Amount]]/Log_2018[[#This Row],[Split_raw]]*MAX(0,MIN(_xlfn.DAYS(EDATE(R$1,1),Log_2018[[#This Row],[Date]]),Log_2018[[#This Row],[Split_apply]])) - SUM($O710:Q710)</f>
        <v>0</v>
      </c>
      <c r="S710" s="52">
        <f ca="1">Log_2018[[#This Row],[Amount]]/Log_2018[[#This Row],[Split_raw]]*MAX(0,MIN(_xlfn.DAYS(EDATE(S$1,1),Log_2018[[#This Row],[Date]]),Log_2018[[#This Row],[Split_apply]])) - SUM($O710:R710)</f>
        <v>0</v>
      </c>
      <c r="T710" s="52">
        <f ca="1">Log_2018[[#This Row],[Amount]]/Log_2018[[#This Row],[Split_raw]]*MAX(0,MIN(_xlfn.DAYS(EDATE(T$1,1),Log_2018[[#This Row],[Date]]),Log_2018[[#This Row],[Split_apply]])) - SUM($O710:S710)</f>
        <v>0</v>
      </c>
      <c r="U710" s="52">
        <f ca="1">Log_2018[[#This Row],[Amount]]/Log_2018[[#This Row],[Split_raw]]*MAX(0,MIN(_xlfn.DAYS(EDATE(U$1,1),Log_2018[[#This Row],[Date]]),Log_2018[[#This Row],[Split_apply]])) - SUM($O710:T710)</f>
        <v>0</v>
      </c>
      <c r="V710" s="52">
        <f ca="1">Log_2018[[#This Row],[Amount]]/Log_2018[[#This Row],[Split_raw]]*MAX(0,MIN(_xlfn.DAYS(EDATE(V$1,1),Log_2018[[#This Row],[Date]]),Log_2018[[#This Row],[Split_apply]])) - SUM($O710:U710)</f>
        <v>0</v>
      </c>
      <c r="W710" s="52">
        <f ca="1">Log_2018[[#This Row],[Amount]]/Log_2018[[#This Row],[Split_raw]]*MAX(0,MIN(_xlfn.DAYS(EDATE(W$1,1),Log_2018[[#This Row],[Date]]),Log_2018[[#This Row],[Split_apply]])) - SUM($O710:V710)</f>
        <v>0</v>
      </c>
      <c r="X710" s="52">
        <f ca="1">Log_2018[[#This Row],[Amount]]/Log_2018[[#This Row],[Split_raw]]*MAX(0,MIN(_xlfn.DAYS(EDATE(X$1,1),Log_2018[[#This Row],[Date]]),Log_2018[[#This Row],[Split_apply]])) - SUM($O710:W710)</f>
        <v>0</v>
      </c>
      <c r="Y710" s="52">
        <f ca="1">Log_2018[[#This Row],[Amount]]/Log_2018[[#This Row],[Split_raw]]*MAX(0,MIN(_xlfn.DAYS(EDATE(Y$1,1),Log_2018[[#This Row],[Date]]),Log_2018[[#This Row],[Split_apply]])) - SUM($O710:X710)</f>
        <v>0</v>
      </c>
      <c r="Z710" s="52">
        <f ca="1">Log_2018[[#This Row],[Amount]]/Log_2018[[#This Row],[Split_raw]]*MAX(0,MIN(_xlfn.DAYS(EDATE(Z$1,1),Log_2018[[#This Row],[Date]]),Log_2018[[#This Row],[Split_apply]])) - SUM($O710:Y710)</f>
        <v>0</v>
      </c>
      <c r="AA710" s="52">
        <f ca="1">Log_2018[[#This Row],[Amount]]/Log_2018[[#This Row],[Split_raw]]*MAX(0,MIN(_xlfn.DAYS(EDATE(AA$1,1),Log_2018[[#This Row],[Date]]),Log_2018[[#This Row],[Split_apply]])) - SUM($O710:Z710)</f>
        <v>0</v>
      </c>
      <c r="AB710" s="54">
        <f ca="1">Log_2018[[#This Row],[Amount]]-SUM(O710:AA710)</f>
        <v>0</v>
      </c>
      <c r="AC710" s="7">
        <f ca="1">MAX(0,Log_2018[[#This Row],[Split_apply]] - (EDATE(AA$1,1)-Log_2018[[#This Row],[Date]]))</f>
        <v>0</v>
      </c>
    </row>
    <row r="711" spans="1:29" hidden="1" x14ac:dyDescent="0.25">
      <c r="A711" s="115"/>
      <c r="B711" t="s">
        <v>6</v>
      </c>
      <c r="D711" s="26">
        <v>43124</v>
      </c>
      <c r="F711" t="s">
        <v>70</v>
      </c>
      <c r="G711" t="s">
        <v>25</v>
      </c>
      <c r="H711" s="3">
        <v>-7.58</v>
      </c>
      <c r="I711" s="36">
        <f>IF(Log_2018[[#This Row],[My Category]]="NONTRACKED",0,Log_2018[[#This Row],[Raw Amount]])</f>
        <v>-7.58</v>
      </c>
      <c r="J711" s="17">
        <f>ABS(Log_2018[[#This Row],[Amount]])</f>
        <v>7.58</v>
      </c>
      <c r="K711" s="66">
        <v>1</v>
      </c>
      <c r="L711" s="66">
        <f ca="1">IF(Log_2018[[#This Row],[Date]]&lt;=TODAY(), MIN(Log_2018[[#This Row],[Split_raw]], TODAY()-Log_2018[[#This Row],[Date]]+1), 0)</f>
        <v>1</v>
      </c>
      <c r="M711" t="s">
        <v>35</v>
      </c>
      <c r="N711" t="s">
        <v>160</v>
      </c>
      <c r="O711" s="50">
        <v>0</v>
      </c>
      <c r="P711" s="52">
        <f ca="1">Log_2018[[#This Row],[Amount]]/Log_2018[[#This Row],[Split_raw]]*MAX(0,MIN(_xlfn.DAYS(EDATE(P$1,1),Log_2018[[#This Row],[Date]]),Log_2018[[#This Row],[Split_apply]])) - SUM($O711:O711)</f>
        <v>-7.58</v>
      </c>
      <c r="Q711" s="52">
        <f ca="1">Log_2018[[#This Row],[Amount]]/Log_2018[[#This Row],[Split_raw]]*MAX(0,MIN(_xlfn.DAYS(EDATE(Q$1,1),Log_2018[[#This Row],[Date]]),Log_2018[[#This Row],[Split_apply]])) - SUM($O711:P711)</f>
        <v>0</v>
      </c>
      <c r="R711" s="52">
        <f ca="1">Log_2018[[#This Row],[Amount]]/Log_2018[[#This Row],[Split_raw]]*MAX(0,MIN(_xlfn.DAYS(EDATE(R$1,1),Log_2018[[#This Row],[Date]]),Log_2018[[#This Row],[Split_apply]])) - SUM($O711:Q711)</f>
        <v>0</v>
      </c>
      <c r="S711" s="52">
        <f ca="1">Log_2018[[#This Row],[Amount]]/Log_2018[[#This Row],[Split_raw]]*MAX(0,MIN(_xlfn.DAYS(EDATE(S$1,1),Log_2018[[#This Row],[Date]]),Log_2018[[#This Row],[Split_apply]])) - SUM($O711:R711)</f>
        <v>0</v>
      </c>
      <c r="T711" s="52">
        <f ca="1">Log_2018[[#This Row],[Amount]]/Log_2018[[#This Row],[Split_raw]]*MAX(0,MIN(_xlfn.DAYS(EDATE(T$1,1),Log_2018[[#This Row],[Date]]),Log_2018[[#This Row],[Split_apply]])) - SUM($O711:S711)</f>
        <v>0</v>
      </c>
      <c r="U711" s="52">
        <f ca="1">Log_2018[[#This Row],[Amount]]/Log_2018[[#This Row],[Split_raw]]*MAX(0,MIN(_xlfn.DAYS(EDATE(U$1,1),Log_2018[[#This Row],[Date]]),Log_2018[[#This Row],[Split_apply]])) - SUM($O711:T711)</f>
        <v>0</v>
      </c>
      <c r="V711" s="52">
        <f ca="1">Log_2018[[#This Row],[Amount]]/Log_2018[[#This Row],[Split_raw]]*MAX(0,MIN(_xlfn.DAYS(EDATE(V$1,1),Log_2018[[#This Row],[Date]]),Log_2018[[#This Row],[Split_apply]])) - SUM($O711:U711)</f>
        <v>0</v>
      </c>
      <c r="W711" s="52">
        <f ca="1">Log_2018[[#This Row],[Amount]]/Log_2018[[#This Row],[Split_raw]]*MAX(0,MIN(_xlfn.DAYS(EDATE(W$1,1),Log_2018[[#This Row],[Date]]),Log_2018[[#This Row],[Split_apply]])) - SUM($O711:V711)</f>
        <v>0</v>
      </c>
      <c r="X711" s="52">
        <f ca="1">Log_2018[[#This Row],[Amount]]/Log_2018[[#This Row],[Split_raw]]*MAX(0,MIN(_xlfn.DAYS(EDATE(X$1,1),Log_2018[[#This Row],[Date]]),Log_2018[[#This Row],[Split_apply]])) - SUM($O711:W711)</f>
        <v>0</v>
      </c>
      <c r="Y711" s="52">
        <f ca="1">Log_2018[[#This Row],[Amount]]/Log_2018[[#This Row],[Split_raw]]*MAX(0,MIN(_xlfn.DAYS(EDATE(Y$1,1),Log_2018[[#This Row],[Date]]),Log_2018[[#This Row],[Split_apply]])) - SUM($O711:X711)</f>
        <v>0</v>
      </c>
      <c r="Z711" s="52">
        <f ca="1">Log_2018[[#This Row],[Amount]]/Log_2018[[#This Row],[Split_raw]]*MAX(0,MIN(_xlfn.DAYS(EDATE(Z$1,1),Log_2018[[#This Row],[Date]]),Log_2018[[#This Row],[Split_apply]])) - SUM($O711:Y711)</f>
        <v>0</v>
      </c>
      <c r="AA711" s="52">
        <f ca="1">Log_2018[[#This Row],[Amount]]/Log_2018[[#This Row],[Split_raw]]*MAX(0,MIN(_xlfn.DAYS(EDATE(AA$1,1),Log_2018[[#This Row],[Date]]),Log_2018[[#This Row],[Split_apply]])) - SUM($O711:Z711)</f>
        <v>0</v>
      </c>
      <c r="AB711" s="54">
        <f ca="1">Log_2018[[#This Row],[Amount]]-SUM(O711:AA711)</f>
        <v>0</v>
      </c>
      <c r="AC711" s="7">
        <f ca="1">MAX(0,Log_2018[[#This Row],[Split_apply]] - (EDATE(AA$1,1)-Log_2018[[#This Row],[Date]]))</f>
        <v>0</v>
      </c>
    </row>
    <row r="712" spans="1:29" hidden="1" x14ac:dyDescent="0.25">
      <c r="A712" s="115"/>
      <c r="B712" t="s">
        <v>6</v>
      </c>
      <c r="D712" s="26">
        <v>43124</v>
      </c>
      <c r="F712" t="s">
        <v>123</v>
      </c>
      <c r="G712" t="s">
        <v>13</v>
      </c>
      <c r="H712" s="3">
        <v>-211.08</v>
      </c>
      <c r="I712" s="36">
        <f>IF(Log_2018[[#This Row],[My Category]]="NONTRACKED",0,Log_2018[[#This Row],[Raw Amount]])</f>
        <v>-211.08</v>
      </c>
      <c r="J712" s="17">
        <f>ABS(Log_2018[[#This Row],[Amount]])</f>
        <v>211.08</v>
      </c>
      <c r="K712" s="66">
        <v>1</v>
      </c>
      <c r="L712" s="66">
        <f ca="1">IF(Log_2018[[#This Row],[Date]]&lt;=TODAY(), MIN(Log_2018[[#This Row],[Split_raw]], TODAY()-Log_2018[[#This Row],[Date]]+1), 0)</f>
        <v>1</v>
      </c>
      <c r="M712" t="s">
        <v>31</v>
      </c>
      <c r="N712" t="s">
        <v>160</v>
      </c>
      <c r="O712" s="50">
        <v>0</v>
      </c>
      <c r="P712" s="52">
        <f ca="1">Log_2018[[#This Row],[Amount]]/Log_2018[[#This Row],[Split_raw]]*MAX(0,MIN(_xlfn.DAYS(EDATE(P$1,1),Log_2018[[#This Row],[Date]]),Log_2018[[#This Row],[Split_apply]])) - SUM($O712:O712)</f>
        <v>-211.08</v>
      </c>
      <c r="Q712" s="52">
        <f ca="1">Log_2018[[#This Row],[Amount]]/Log_2018[[#This Row],[Split_raw]]*MAX(0,MIN(_xlfn.DAYS(EDATE(Q$1,1),Log_2018[[#This Row],[Date]]),Log_2018[[#This Row],[Split_apply]])) - SUM($O712:P712)</f>
        <v>0</v>
      </c>
      <c r="R712" s="52">
        <f ca="1">Log_2018[[#This Row],[Amount]]/Log_2018[[#This Row],[Split_raw]]*MAX(0,MIN(_xlfn.DAYS(EDATE(R$1,1),Log_2018[[#This Row],[Date]]),Log_2018[[#This Row],[Split_apply]])) - SUM($O712:Q712)</f>
        <v>0</v>
      </c>
      <c r="S712" s="52">
        <f ca="1">Log_2018[[#This Row],[Amount]]/Log_2018[[#This Row],[Split_raw]]*MAX(0,MIN(_xlfn.DAYS(EDATE(S$1,1),Log_2018[[#This Row],[Date]]),Log_2018[[#This Row],[Split_apply]])) - SUM($O712:R712)</f>
        <v>0</v>
      </c>
      <c r="T712" s="52">
        <f ca="1">Log_2018[[#This Row],[Amount]]/Log_2018[[#This Row],[Split_raw]]*MAX(0,MIN(_xlfn.DAYS(EDATE(T$1,1),Log_2018[[#This Row],[Date]]),Log_2018[[#This Row],[Split_apply]])) - SUM($O712:S712)</f>
        <v>0</v>
      </c>
      <c r="U712" s="52">
        <f ca="1">Log_2018[[#This Row],[Amount]]/Log_2018[[#This Row],[Split_raw]]*MAX(0,MIN(_xlfn.DAYS(EDATE(U$1,1),Log_2018[[#This Row],[Date]]),Log_2018[[#This Row],[Split_apply]])) - SUM($O712:T712)</f>
        <v>0</v>
      </c>
      <c r="V712" s="52">
        <f ca="1">Log_2018[[#This Row],[Amount]]/Log_2018[[#This Row],[Split_raw]]*MAX(0,MIN(_xlfn.DAYS(EDATE(V$1,1),Log_2018[[#This Row],[Date]]),Log_2018[[#This Row],[Split_apply]])) - SUM($O712:U712)</f>
        <v>0</v>
      </c>
      <c r="W712" s="52">
        <f ca="1">Log_2018[[#This Row],[Amount]]/Log_2018[[#This Row],[Split_raw]]*MAX(0,MIN(_xlfn.DAYS(EDATE(W$1,1),Log_2018[[#This Row],[Date]]),Log_2018[[#This Row],[Split_apply]])) - SUM($O712:V712)</f>
        <v>0</v>
      </c>
      <c r="X712" s="52">
        <f ca="1">Log_2018[[#This Row],[Amount]]/Log_2018[[#This Row],[Split_raw]]*MAX(0,MIN(_xlfn.DAYS(EDATE(X$1,1),Log_2018[[#This Row],[Date]]),Log_2018[[#This Row],[Split_apply]])) - SUM($O712:W712)</f>
        <v>0</v>
      </c>
      <c r="Y712" s="52">
        <f ca="1">Log_2018[[#This Row],[Amount]]/Log_2018[[#This Row],[Split_raw]]*MAX(0,MIN(_xlfn.DAYS(EDATE(Y$1,1),Log_2018[[#This Row],[Date]]),Log_2018[[#This Row],[Split_apply]])) - SUM($O712:X712)</f>
        <v>0</v>
      </c>
      <c r="Z712" s="52">
        <f ca="1">Log_2018[[#This Row],[Amount]]/Log_2018[[#This Row],[Split_raw]]*MAX(0,MIN(_xlfn.DAYS(EDATE(Z$1,1),Log_2018[[#This Row],[Date]]),Log_2018[[#This Row],[Split_apply]])) - SUM($O712:Y712)</f>
        <v>0</v>
      </c>
      <c r="AA712" s="52">
        <f ca="1">Log_2018[[#This Row],[Amount]]/Log_2018[[#This Row],[Split_raw]]*MAX(0,MIN(_xlfn.DAYS(EDATE(AA$1,1),Log_2018[[#This Row],[Date]]),Log_2018[[#This Row],[Split_apply]])) - SUM($O712:Z712)</f>
        <v>0</v>
      </c>
      <c r="AB712" s="54">
        <f ca="1">Log_2018[[#This Row],[Amount]]-SUM(O712:AA712)</f>
        <v>0</v>
      </c>
      <c r="AC712" s="7">
        <f ca="1">MAX(0,Log_2018[[#This Row],[Split_apply]] - (EDATE(AA$1,1)-Log_2018[[#This Row],[Date]]))</f>
        <v>0</v>
      </c>
    </row>
    <row r="713" spans="1:29" hidden="1" x14ac:dyDescent="0.25">
      <c r="A713" s="115"/>
      <c r="B713" t="s">
        <v>6</v>
      </c>
      <c r="D713" s="26">
        <v>43124</v>
      </c>
      <c r="F713" t="s">
        <v>89</v>
      </c>
      <c r="G713" t="s">
        <v>25</v>
      </c>
      <c r="H713" s="3">
        <v>-11.51</v>
      </c>
      <c r="I713" s="36">
        <f>IF(Log_2018[[#This Row],[My Category]]="NONTRACKED",0,Log_2018[[#This Row],[Raw Amount]])</f>
        <v>-11.51</v>
      </c>
      <c r="J713" s="17">
        <f>ABS(Log_2018[[#This Row],[Amount]])</f>
        <v>11.51</v>
      </c>
      <c r="K713" s="66">
        <v>1</v>
      </c>
      <c r="L713" s="66">
        <f ca="1">IF(Log_2018[[#This Row],[Date]]&lt;=TODAY(), MIN(Log_2018[[#This Row],[Split_raw]], TODAY()-Log_2018[[#This Row],[Date]]+1), 0)</f>
        <v>1</v>
      </c>
      <c r="M713" t="s">
        <v>35</v>
      </c>
      <c r="N713" t="s">
        <v>160</v>
      </c>
      <c r="O713" s="50">
        <v>0</v>
      </c>
      <c r="P713" s="52">
        <f ca="1">Log_2018[[#This Row],[Amount]]/Log_2018[[#This Row],[Split_raw]]*MAX(0,MIN(_xlfn.DAYS(EDATE(P$1,1),Log_2018[[#This Row],[Date]]),Log_2018[[#This Row],[Split_apply]])) - SUM($O713:O713)</f>
        <v>-11.51</v>
      </c>
      <c r="Q713" s="52">
        <f ca="1">Log_2018[[#This Row],[Amount]]/Log_2018[[#This Row],[Split_raw]]*MAX(0,MIN(_xlfn.DAYS(EDATE(Q$1,1),Log_2018[[#This Row],[Date]]),Log_2018[[#This Row],[Split_apply]])) - SUM($O713:P713)</f>
        <v>0</v>
      </c>
      <c r="R713" s="52">
        <f ca="1">Log_2018[[#This Row],[Amount]]/Log_2018[[#This Row],[Split_raw]]*MAX(0,MIN(_xlfn.DAYS(EDATE(R$1,1),Log_2018[[#This Row],[Date]]),Log_2018[[#This Row],[Split_apply]])) - SUM($O713:Q713)</f>
        <v>0</v>
      </c>
      <c r="S713" s="52">
        <f ca="1">Log_2018[[#This Row],[Amount]]/Log_2018[[#This Row],[Split_raw]]*MAX(0,MIN(_xlfn.DAYS(EDATE(S$1,1),Log_2018[[#This Row],[Date]]),Log_2018[[#This Row],[Split_apply]])) - SUM($O713:R713)</f>
        <v>0</v>
      </c>
      <c r="T713" s="52">
        <f ca="1">Log_2018[[#This Row],[Amount]]/Log_2018[[#This Row],[Split_raw]]*MAX(0,MIN(_xlfn.DAYS(EDATE(T$1,1),Log_2018[[#This Row],[Date]]),Log_2018[[#This Row],[Split_apply]])) - SUM($O713:S713)</f>
        <v>0</v>
      </c>
      <c r="U713" s="52">
        <f ca="1">Log_2018[[#This Row],[Amount]]/Log_2018[[#This Row],[Split_raw]]*MAX(0,MIN(_xlfn.DAYS(EDATE(U$1,1),Log_2018[[#This Row],[Date]]),Log_2018[[#This Row],[Split_apply]])) - SUM($O713:T713)</f>
        <v>0</v>
      </c>
      <c r="V713" s="52">
        <f ca="1">Log_2018[[#This Row],[Amount]]/Log_2018[[#This Row],[Split_raw]]*MAX(0,MIN(_xlfn.DAYS(EDATE(V$1,1),Log_2018[[#This Row],[Date]]),Log_2018[[#This Row],[Split_apply]])) - SUM($O713:U713)</f>
        <v>0</v>
      </c>
      <c r="W713" s="52">
        <f ca="1">Log_2018[[#This Row],[Amount]]/Log_2018[[#This Row],[Split_raw]]*MAX(0,MIN(_xlfn.DAYS(EDATE(W$1,1),Log_2018[[#This Row],[Date]]),Log_2018[[#This Row],[Split_apply]])) - SUM($O713:V713)</f>
        <v>0</v>
      </c>
      <c r="X713" s="52">
        <f ca="1">Log_2018[[#This Row],[Amount]]/Log_2018[[#This Row],[Split_raw]]*MAX(0,MIN(_xlfn.DAYS(EDATE(X$1,1),Log_2018[[#This Row],[Date]]),Log_2018[[#This Row],[Split_apply]])) - SUM($O713:W713)</f>
        <v>0</v>
      </c>
      <c r="Y713" s="52">
        <f ca="1">Log_2018[[#This Row],[Amount]]/Log_2018[[#This Row],[Split_raw]]*MAX(0,MIN(_xlfn.DAYS(EDATE(Y$1,1),Log_2018[[#This Row],[Date]]),Log_2018[[#This Row],[Split_apply]])) - SUM($O713:X713)</f>
        <v>0</v>
      </c>
      <c r="Z713" s="52">
        <f ca="1">Log_2018[[#This Row],[Amount]]/Log_2018[[#This Row],[Split_raw]]*MAX(0,MIN(_xlfn.DAYS(EDATE(Z$1,1),Log_2018[[#This Row],[Date]]),Log_2018[[#This Row],[Split_apply]])) - SUM($O713:Y713)</f>
        <v>0</v>
      </c>
      <c r="AA713" s="52">
        <f ca="1">Log_2018[[#This Row],[Amount]]/Log_2018[[#This Row],[Split_raw]]*MAX(0,MIN(_xlfn.DAYS(EDATE(AA$1,1),Log_2018[[#This Row],[Date]]),Log_2018[[#This Row],[Split_apply]])) - SUM($O713:Z713)</f>
        <v>0</v>
      </c>
      <c r="AB713" s="54">
        <f ca="1">Log_2018[[#This Row],[Amount]]-SUM(O713:AA713)</f>
        <v>0</v>
      </c>
      <c r="AC713" s="7">
        <f ca="1">MAX(0,Log_2018[[#This Row],[Split_apply]] - (EDATE(AA$1,1)-Log_2018[[#This Row],[Date]]))</f>
        <v>0</v>
      </c>
    </row>
    <row r="714" spans="1:29" x14ac:dyDescent="0.25">
      <c r="A714" s="115">
        <v>14</v>
      </c>
      <c r="B714" t="s">
        <v>6</v>
      </c>
      <c r="D714" s="26">
        <v>43123</v>
      </c>
      <c r="E714" t="s">
        <v>162</v>
      </c>
      <c r="F714" t="s">
        <v>102</v>
      </c>
      <c r="G714" t="s">
        <v>20</v>
      </c>
      <c r="H714" s="3">
        <v>-1516.55</v>
      </c>
      <c r="I714" s="36">
        <f>IF(Log_2018[[#This Row],[My Category]]="NONTRACKED",0,Log_2018[[#This Row],[Raw Amount]])</f>
        <v>-1516.55</v>
      </c>
      <c r="J714" s="17">
        <f>ABS(Log_2018[[#This Row],[Amount]])</f>
        <v>1516.55</v>
      </c>
      <c r="K714" s="66">
        <v>1</v>
      </c>
      <c r="L714" s="66">
        <f ca="1">IF(Log_2018[[#This Row],[Date]]&lt;=TODAY(), MIN(Log_2018[[#This Row],[Split_raw]], TODAY()-Log_2018[[#This Row],[Date]]+1), 0)</f>
        <v>1</v>
      </c>
      <c r="M714" t="s">
        <v>161</v>
      </c>
      <c r="N714" t="s">
        <v>157</v>
      </c>
      <c r="O714" s="50">
        <v>0</v>
      </c>
      <c r="P714" s="52">
        <f ca="1">Log_2018[[#This Row],[Amount]]/Log_2018[[#This Row],[Split_raw]]*MAX(0,MIN(_xlfn.DAYS(EDATE(P$1,1),Log_2018[[#This Row],[Date]]),Log_2018[[#This Row],[Split_apply]])) - SUM($O714:O714)</f>
        <v>-1516.55</v>
      </c>
      <c r="Q714" s="52">
        <f ca="1">Log_2018[[#This Row],[Amount]]/Log_2018[[#This Row],[Split_raw]]*MAX(0,MIN(_xlfn.DAYS(EDATE(Q$1,1),Log_2018[[#This Row],[Date]]),Log_2018[[#This Row],[Split_apply]])) - SUM($O714:P714)</f>
        <v>0</v>
      </c>
      <c r="R714" s="52">
        <f ca="1">Log_2018[[#This Row],[Amount]]/Log_2018[[#This Row],[Split_raw]]*MAX(0,MIN(_xlfn.DAYS(EDATE(R$1,1),Log_2018[[#This Row],[Date]]),Log_2018[[#This Row],[Split_apply]])) - SUM($O714:Q714)</f>
        <v>0</v>
      </c>
      <c r="S714" s="52">
        <f ca="1">Log_2018[[#This Row],[Amount]]/Log_2018[[#This Row],[Split_raw]]*MAX(0,MIN(_xlfn.DAYS(EDATE(S$1,1),Log_2018[[#This Row],[Date]]),Log_2018[[#This Row],[Split_apply]])) - SUM($O714:R714)</f>
        <v>0</v>
      </c>
      <c r="T714" s="52">
        <f ca="1">Log_2018[[#This Row],[Amount]]/Log_2018[[#This Row],[Split_raw]]*MAX(0,MIN(_xlfn.DAYS(EDATE(T$1,1),Log_2018[[#This Row],[Date]]),Log_2018[[#This Row],[Split_apply]])) - SUM($O714:S714)</f>
        <v>0</v>
      </c>
      <c r="U714" s="52">
        <f ca="1">Log_2018[[#This Row],[Amount]]/Log_2018[[#This Row],[Split_raw]]*MAX(0,MIN(_xlfn.DAYS(EDATE(U$1,1),Log_2018[[#This Row],[Date]]),Log_2018[[#This Row],[Split_apply]])) - SUM($O714:T714)</f>
        <v>0</v>
      </c>
      <c r="V714" s="52">
        <f ca="1">Log_2018[[#This Row],[Amount]]/Log_2018[[#This Row],[Split_raw]]*MAX(0,MIN(_xlfn.DAYS(EDATE(V$1,1),Log_2018[[#This Row],[Date]]),Log_2018[[#This Row],[Split_apply]])) - SUM($O714:U714)</f>
        <v>0</v>
      </c>
      <c r="W714" s="52">
        <f ca="1">Log_2018[[#This Row],[Amount]]/Log_2018[[#This Row],[Split_raw]]*MAX(0,MIN(_xlfn.DAYS(EDATE(W$1,1),Log_2018[[#This Row],[Date]]),Log_2018[[#This Row],[Split_apply]])) - SUM($O714:V714)</f>
        <v>0</v>
      </c>
      <c r="X714" s="52">
        <f ca="1">Log_2018[[#This Row],[Amount]]/Log_2018[[#This Row],[Split_raw]]*MAX(0,MIN(_xlfn.DAYS(EDATE(X$1,1),Log_2018[[#This Row],[Date]]),Log_2018[[#This Row],[Split_apply]])) - SUM($O714:W714)</f>
        <v>0</v>
      </c>
      <c r="Y714" s="52">
        <f ca="1">Log_2018[[#This Row],[Amount]]/Log_2018[[#This Row],[Split_raw]]*MAX(0,MIN(_xlfn.DAYS(EDATE(Y$1,1),Log_2018[[#This Row],[Date]]),Log_2018[[#This Row],[Split_apply]])) - SUM($O714:X714)</f>
        <v>0</v>
      </c>
      <c r="Z714" s="52">
        <f ca="1">Log_2018[[#This Row],[Amount]]/Log_2018[[#This Row],[Split_raw]]*MAX(0,MIN(_xlfn.DAYS(EDATE(Z$1,1),Log_2018[[#This Row],[Date]]),Log_2018[[#This Row],[Split_apply]])) - SUM($O714:Y714)</f>
        <v>0</v>
      </c>
      <c r="AA714" s="52">
        <f ca="1">Log_2018[[#This Row],[Amount]]/Log_2018[[#This Row],[Split_raw]]*MAX(0,MIN(_xlfn.DAYS(EDATE(AA$1,1),Log_2018[[#This Row],[Date]]),Log_2018[[#This Row],[Split_apply]])) - SUM($O714:Z714)</f>
        <v>0</v>
      </c>
      <c r="AB714" s="54">
        <f ca="1">Log_2018[[#This Row],[Amount]]-SUM(O714:AA714)</f>
        <v>0</v>
      </c>
      <c r="AC714" s="7">
        <f ca="1">MAX(0,Log_2018[[#This Row],[Split_apply]] - (EDATE(AA$1,1)-Log_2018[[#This Row],[Date]]))</f>
        <v>0</v>
      </c>
    </row>
    <row r="715" spans="1:29" hidden="1" x14ac:dyDescent="0.25">
      <c r="A715" s="115"/>
      <c r="B715" t="s">
        <v>6</v>
      </c>
      <c r="D715" s="26">
        <v>43123</v>
      </c>
      <c r="E715" t="s">
        <v>877</v>
      </c>
      <c r="F715" t="s">
        <v>125</v>
      </c>
      <c r="G715" t="s">
        <v>27</v>
      </c>
      <c r="H715" s="3">
        <v>-25</v>
      </c>
      <c r="I715" s="36">
        <f>IF(Log_2018[[#This Row],[My Category]]="NONTRACKED",0,Log_2018[[#This Row],[Raw Amount]])</f>
        <v>-25</v>
      </c>
      <c r="J715" s="17">
        <f>ABS(Log_2018[[#This Row],[Amount]])</f>
        <v>25</v>
      </c>
      <c r="K715" s="66">
        <v>1</v>
      </c>
      <c r="L715" s="66">
        <f ca="1">IF(Log_2018[[#This Row],[Date]]&lt;=TODAY(), MIN(Log_2018[[#This Row],[Split_raw]], TODAY()-Log_2018[[#This Row],[Date]]+1), 0)</f>
        <v>1</v>
      </c>
      <c r="M715" t="s">
        <v>42</v>
      </c>
      <c r="N715" t="s">
        <v>160</v>
      </c>
      <c r="O715" s="50">
        <v>0</v>
      </c>
      <c r="P715" s="52">
        <f ca="1">Log_2018[[#This Row],[Amount]]/Log_2018[[#This Row],[Split_raw]]*MAX(0,MIN(_xlfn.DAYS(EDATE(P$1,1),Log_2018[[#This Row],[Date]]),Log_2018[[#This Row],[Split_apply]])) - SUM($O715:O715)</f>
        <v>-25</v>
      </c>
      <c r="Q715" s="52">
        <f ca="1">Log_2018[[#This Row],[Amount]]/Log_2018[[#This Row],[Split_raw]]*MAX(0,MIN(_xlfn.DAYS(EDATE(Q$1,1),Log_2018[[#This Row],[Date]]),Log_2018[[#This Row],[Split_apply]])) - SUM($O715:P715)</f>
        <v>0</v>
      </c>
      <c r="R715" s="52">
        <f ca="1">Log_2018[[#This Row],[Amount]]/Log_2018[[#This Row],[Split_raw]]*MAX(0,MIN(_xlfn.DAYS(EDATE(R$1,1),Log_2018[[#This Row],[Date]]),Log_2018[[#This Row],[Split_apply]])) - SUM($O715:Q715)</f>
        <v>0</v>
      </c>
      <c r="S715" s="52">
        <f ca="1">Log_2018[[#This Row],[Amount]]/Log_2018[[#This Row],[Split_raw]]*MAX(0,MIN(_xlfn.DAYS(EDATE(S$1,1),Log_2018[[#This Row],[Date]]),Log_2018[[#This Row],[Split_apply]])) - SUM($O715:R715)</f>
        <v>0</v>
      </c>
      <c r="T715" s="52">
        <f ca="1">Log_2018[[#This Row],[Amount]]/Log_2018[[#This Row],[Split_raw]]*MAX(0,MIN(_xlfn.DAYS(EDATE(T$1,1),Log_2018[[#This Row],[Date]]),Log_2018[[#This Row],[Split_apply]])) - SUM($O715:S715)</f>
        <v>0</v>
      </c>
      <c r="U715" s="52">
        <f ca="1">Log_2018[[#This Row],[Amount]]/Log_2018[[#This Row],[Split_raw]]*MAX(0,MIN(_xlfn.DAYS(EDATE(U$1,1),Log_2018[[#This Row],[Date]]),Log_2018[[#This Row],[Split_apply]])) - SUM($O715:T715)</f>
        <v>0</v>
      </c>
      <c r="V715" s="52">
        <f ca="1">Log_2018[[#This Row],[Amount]]/Log_2018[[#This Row],[Split_raw]]*MAX(0,MIN(_xlfn.DAYS(EDATE(V$1,1),Log_2018[[#This Row],[Date]]),Log_2018[[#This Row],[Split_apply]])) - SUM($O715:U715)</f>
        <v>0</v>
      </c>
      <c r="W715" s="52">
        <f ca="1">Log_2018[[#This Row],[Amount]]/Log_2018[[#This Row],[Split_raw]]*MAX(0,MIN(_xlfn.DAYS(EDATE(W$1,1),Log_2018[[#This Row],[Date]]),Log_2018[[#This Row],[Split_apply]])) - SUM($O715:V715)</f>
        <v>0</v>
      </c>
      <c r="X715" s="52">
        <f ca="1">Log_2018[[#This Row],[Amount]]/Log_2018[[#This Row],[Split_raw]]*MAX(0,MIN(_xlfn.DAYS(EDATE(X$1,1),Log_2018[[#This Row],[Date]]),Log_2018[[#This Row],[Split_apply]])) - SUM($O715:W715)</f>
        <v>0</v>
      </c>
      <c r="Y715" s="52">
        <f ca="1">Log_2018[[#This Row],[Amount]]/Log_2018[[#This Row],[Split_raw]]*MAX(0,MIN(_xlfn.DAYS(EDATE(Y$1,1),Log_2018[[#This Row],[Date]]),Log_2018[[#This Row],[Split_apply]])) - SUM($O715:X715)</f>
        <v>0</v>
      </c>
      <c r="Z715" s="52">
        <f ca="1">Log_2018[[#This Row],[Amount]]/Log_2018[[#This Row],[Split_raw]]*MAX(0,MIN(_xlfn.DAYS(EDATE(Z$1,1),Log_2018[[#This Row],[Date]]),Log_2018[[#This Row],[Split_apply]])) - SUM($O715:Y715)</f>
        <v>0</v>
      </c>
      <c r="AA715" s="52">
        <f ca="1">Log_2018[[#This Row],[Amount]]/Log_2018[[#This Row],[Split_raw]]*MAX(0,MIN(_xlfn.DAYS(EDATE(AA$1,1),Log_2018[[#This Row],[Date]]),Log_2018[[#This Row],[Split_apply]])) - SUM($O715:Z715)</f>
        <v>0</v>
      </c>
      <c r="AB715" s="54">
        <f ca="1">Log_2018[[#This Row],[Amount]]-SUM(O715:AA715)</f>
        <v>0</v>
      </c>
      <c r="AC715" s="7">
        <f ca="1">MAX(0,Log_2018[[#This Row],[Split_apply]] - (EDATE(AA$1,1)-Log_2018[[#This Row],[Date]]))</f>
        <v>0</v>
      </c>
    </row>
    <row r="716" spans="1:29" hidden="1" x14ac:dyDescent="0.25">
      <c r="A716" s="115"/>
      <c r="B716" t="s">
        <v>6</v>
      </c>
      <c r="D716" s="26">
        <v>43123</v>
      </c>
      <c r="E716" t="s">
        <v>162</v>
      </c>
      <c r="F716" t="s">
        <v>126</v>
      </c>
      <c r="G716" t="s">
        <v>87</v>
      </c>
      <c r="H716" s="3">
        <v>1516.55</v>
      </c>
      <c r="I716" s="36">
        <f>IF(Log_2018[[#This Row],[My Category]]="NONTRACKED",0,Log_2018[[#This Row],[Raw Amount]])</f>
        <v>1516.55</v>
      </c>
      <c r="J716" s="17">
        <f>ABS(Log_2018[[#This Row],[Amount]])</f>
        <v>1516.55</v>
      </c>
      <c r="K716" s="66">
        <v>1</v>
      </c>
      <c r="L716" s="66">
        <f ca="1">IF(Log_2018[[#This Row],[Date]]&lt;=TODAY(), MIN(Log_2018[[#This Row],[Split_raw]], TODAY()-Log_2018[[#This Row],[Date]]+1), 0)</f>
        <v>1</v>
      </c>
      <c r="M716" t="s">
        <v>161</v>
      </c>
      <c r="N716" t="s">
        <v>160</v>
      </c>
      <c r="O716" s="50">
        <v>0</v>
      </c>
      <c r="P716" s="52">
        <f ca="1">Log_2018[[#This Row],[Amount]]/Log_2018[[#This Row],[Split_raw]]*MAX(0,MIN(_xlfn.DAYS(EDATE(P$1,1),Log_2018[[#This Row],[Date]]),Log_2018[[#This Row],[Split_apply]])) - SUM($O716:O716)</f>
        <v>1516.55</v>
      </c>
      <c r="Q716" s="52">
        <f ca="1">Log_2018[[#This Row],[Amount]]/Log_2018[[#This Row],[Split_raw]]*MAX(0,MIN(_xlfn.DAYS(EDATE(Q$1,1),Log_2018[[#This Row],[Date]]),Log_2018[[#This Row],[Split_apply]])) - SUM($O716:P716)</f>
        <v>0</v>
      </c>
      <c r="R716" s="52">
        <f ca="1">Log_2018[[#This Row],[Amount]]/Log_2018[[#This Row],[Split_raw]]*MAX(0,MIN(_xlfn.DAYS(EDATE(R$1,1),Log_2018[[#This Row],[Date]]),Log_2018[[#This Row],[Split_apply]])) - SUM($O716:Q716)</f>
        <v>0</v>
      </c>
      <c r="S716" s="52">
        <f ca="1">Log_2018[[#This Row],[Amount]]/Log_2018[[#This Row],[Split_raw]]*MAX(0,MIN(_xlfn.DAYS(EDATE(S$1,1),Log_2018[[#This Row],[Date]]),Log_2018[[#This Row],[Split_apply]])) - SUM($O716:R716)</f>
        <v>0</v>
      </c>
      <c r="T716" s="52">
        <f ca="1">Log_2018[[#This Row],[Amount]]/Log_2018[[#This Row],[Split_raw]]*MAX(0,MIN(_xlfn.DAYS(EDATE(T$1,1),Log_2018[[#This Row],[Date]]),Log_2018[[#This Row],[Split_apply]])) - SUM($O716:S716)</f>
        <v>0</v>
      </c>
      <c r="U716" s="52">
        <f ca="1">Log_2018[[#This Row],[Amount]]/Log_2018[[#This Row],[Split_raw]]*MAX(0,MIN(_xlfn.DAYS(EDATE(U$1,1),Log_2018[[#This Row],[Date]]),Log_2018[[#This Row],[Split_apply]])) - SUM($O716:T716)</f>
        <v>0</v>
      </c>
      <c r="V716" s="52">
        <f ca="1">Log_2018[[#This Row],[Amount]]/Log_2018[[#This Row],[Split_raw]]*MAX(0,MIN(_xlfn.DAYS(EDATE(V$1,1),Log_2018[[#This Row],[Date]]),Log_2018[[#This Row],[Split_apply]])) - SUM($O716:U716)</f>
        <v>0</v>
      </c>
      <c r="W716" s="52">
        <f ca="1">Log_2018[[#This Row],[Amount]]/Log_2018[[#This Row],[Split_raw]]*MAX(0,MIN(_xlfn.DAYS(EDATE(W$1,1),Log_2018[[#This Row],[Date]]),Log_2018[[#This Row],[Split_apply]])) - SUM($O716:V716)</f>
        <v>0</v>
      </c>
      <c r="X716" s="52">
        <f ca="1">Log_2018[[#This Row],[Amount]]/Log_2018[[#This Row],[Split_raw]]*MAX(0,MIN(_xlfn.DAYS(EDATE(X$1,1),Log_2018[[#This Row],[Date]]),Log_2018[[#This Row],[Split_apply]])) - SUM($O716:W716)</f>
        <v>0</v>
      </c>
      <c r="Y716" s="52">
        <f ca="1">Log_2018[[#This Row],[Amount]]/Log_2018[[#This Row],[Split_raw]]*MAX(0,MIN(_xlfn.DAYS(EDATE(Y$1,1),Log_2018[[#This Row],[Date]]),Log_2018[[#This Row],[Split_apply]])) - SUM($O716:X716)</f>
        <v>0</v>
      </c>
      <c r="Z716" s="52">
        <f ca="1">Log_2018[[#This Row],[Amount]]/Log_2018[[#This Row],[Split_raw]]*MAX(0,MIN(_xlfn.DAYS(EDATE(Z$1,1),Log_2018[[#This Row],[Date]]),Log_2018[[#This Row],[Split_apply]])) - SUM($O716:Y716)</f>
        <v>0</v>
      </c>
      <c r="AA716" s="52">
        <f ca="1">Log_2018[[#This Row],[Amount]]/Log_2018[[#This Row],[Split_raw]]*MAX(0,MIN(_xlfn.DAYS(EDATE(AA$1,1),Log_2018[[#This Row],[Date]]),Log_2018[[#This Row],[Split_apply]])) - SUM($O716:Z716)</f>
        <v>0</v>
      </c>
      <c r="AB716" s="54">
        <f ca="1">Log_2018[[#This Row],[Amount]]-SUM(O716:AA716)</f>
        <v>0</v>
      </c>
      <c r="AC716" s="7">
        <f ca="1">MAX(0,Log_2018[[#This Row],[Split_apply]] - (EDATE(AA$1,1)-Log_2018[[#This Row],[Date]]))</f>
        <v>0</v>
      </c>
    </row>
    <row r="717" spans="1:29" hidden="1" x14ac:dyDescent="0.25">
      <c r="A717" s="115"/>
      <c r="B717" t="s">
        <v>6</v>
      </c>
      <c r="D717" s="26">
        <v>43122</v>
      </c>
      <c r="F717" t="s">
        <v>121</v>
      </c>
      <c r="G717" t="s">
        <v>20</v>
      </c>
      <c r="H717" s="3">
        <v>-128.30000000000001</v>
      </c>
      <c r="I717" s="36">
        <f>IF(Log_2018[[#This Row],[My Category]]="NONTRACKED",0,Log_2018[[#This Row],[Raw Amount]])</f>
        <v>-128.30000000000001</v>
      </c>
      <c r="J717" s="17">
        <f>ABS(Log_2018[[#This Row],[Amount]])</f>
        <v>128.30000000000001</v>
      </c>
      <c r="K717" s="66">
        <v>1</v>
      </c>
      <c r="L717" s="66">
        <f ca="1">IF(Log_2018[[#This Row],[Date]]&lt;=TODAY(), MIN(Log_2018[[#This Row],[Split_raw]], TODAY()-Log_2018[[#This Row],[Date]]+1), 0)</f>
        <v>1</v>
      </c>
      <c r="M717" t="s">
        <v>12</v>
      </c>
      <c r="N717" t="s">
        <v>160</v>
      </c>
      <c r="O717" s="50">
        <v>0</v>
      </c>
      <c r="P717" s="52">
        <f ca="1">Log_2018[[#This Row],[Amount]]/Log_2018[[#This Row],[Split_raw]]*MAX(0,MIN(_xlfn.DAYS(EDATE(P$1,1),Log_2018[[#This Row],[Date]]),Log_2018[[#This Row],[Split_apply]])) - SUM($O717:O717)</f>
        <v>-128.30000000000001</v>
      </c>
      <c r="Q717" s="52">
        <f ca="1">Log_2018[[#This Row],[Amount]]/Log_2018[[#This Row],[Split_raw]]*MAX(0,MIN(_xlfn.DAYS(EDATE(Q$1,1),Log_2018[[#This Row],[Date]]),Log_2018[[#This Row],[Split_apply]])) - SUM($O717:P717)</f>
        <v>0</v>
      </c>
      <c r="R717" s="52">
        <f ca="1">Log_2018[[#This Row],[Amount]]/Log_2018[[#This Row],[Split_raw]]*MAX(0,MIN(_xlfn.DAYS(EDATE(R$1,1),Log_2018[[#This Row],[Date]]),Log_2018[[#This Row],[Split_apply]])) - SUM($O717:Q717)</f>
        <v>0</v>
      </c>
      <c r="S717" s="52">
        <f ca="1">Log_2018[[#This Row],[Amount]]/Log_2018[[#This Row],[Split_raw]]*MAX(0,MIN(_xlfn.DAYS(EDATE(S$1,1),Log_2018[[#This Row],[Date]]),Log_2018[[#This Row],[Split_apply]])) - SUM($O717:R717)</f>
        <v>0</v>
      </c>
      <c r="T717" s="52">
        <f ca="1">Log_2018[[#This Row],[Amount]]/Log_2018[[#This Row],[Split_raw]]*MAX(0,MIN(_xlfn.DAYS(EDATE(T$1,1),Log_2018[[#This Row],[Date]]),Log_2018[[#This Row],[Split_apply]])) - SUM($O717:S717)</f>
        <v>0</v>
      </c>
      <c r="U717" s="52">
        <f ca="1">Log_2018[[#This Row],[Amount]]/Log_2018[[#This Row],[Split_raw]]*MAX(0,MIN(_xlfn.DAYS(EDATE(U$1,1),Log_2018[[#This Row],[Date]]),Log_2018[[#This Row],[Split_apply]])) - SUM($O717:T717)</f>
        <v>0</v>
      </c>
      <c r="V717" s="52">
        <f ca="1">Log_2018[[#This Row],[Amount]]/Log_2018[[#This Row],[Split_raw]]*MAX(0,MIN(_xlfn.DAYS(EDATE(V$1,1),Log_2018[[#This Row],[Date]]),Log_2018[[#This Row],[Split_apply]])) - SUM($O717:U717)</f>
        <v>0</v>
      </c>
      <c r="W717" s="52">
        <f ca="1">Log_2018[[#This Row],[Amount]]/Log_2018[[#This Row],[Split_raw]]*MAX(0,MIN(_xlfn.DAYS(EDATE(W$1,1),Log_2018[[#This Row],[Date]]),Log_2018[[#This Row],[Split_apply]])) - SUM($O717:V717)</f>
        <v>0</v>
      </c>
      <c r="X717" s="52">
        <f ca="1">Log_2018[[#This Row],[Amount]]/Log_2018[[#This Row],[Split_raw]]*MAX(0,MIN(_xlfn.DAYS(EDATE(X$1,1),Log_2018[[#This Row],[Date]]),Log_2018[[#This Row],[Split_apply]])) - SUM($O717:W717)</f>
        <v>0</v>
      </c>
      <c r="Y717" s="52">
        <f ca="1">Log_2018[[#This Row],[Amount]]/Log_2018[[#This Row],[Split_raw]]*MAX(0,MIN(_xlfn.DAYS(EDATE(Y$1,1),Log_2018[[#This Row],[Date]]),Log_2018[[#This Row],[Split_apply]])) - SUM($O717:X717)</f>
        <v>0</v>
      </c>
      <c r="Z717" s="52">
        <f ca="1">Log_2018[[#This Row],[Amount]]/Log_2018[[#This Row],[Split_raw]]*MAX(0,MIN(_xlfn.DAYS(EDATE(Z$1,1),Log_2018[[#This Row],[Date]]),Log_2018[[#This Row],[Split_apply]])) - SUM($O717:Y717)</f>
        <v>0</v>
      </c>
      <c r="AA717" s="52">
        <f ca="1">Log_2018[[#This Row],[Amount]]/Log_2018[[#This Row],[Split_raw]]*MAX(0,MIN(_xlfn.DAYS(EDATE(AA$1,1),Log_2018[[#This Row],[Date]]),Log_2018[[#This Row],[Split_apply]])) - SUM($O717:Z717)</f>
        <v>0</v>
      </c>
      <c r="AB717" s="54">
        <f ca="1">Log_2018[[#This Row],[Amount]]-SUM(O717:AA717)</f>
        <v>0</v>
      </c>
      <c r="AC717" s="7">
        <f ca="1">MAX(0,Log_2018[[#This Row],[Split_apply]] - (EDATE(AA$1,1)-Log_2018[[#This Row],[Date]]))</f>
        <v>0</v>
      </c>
    </row>
    <row r="718" spans="1:29" hidden="1" x14ac:dyDescent="0.25">
      <c r="A718" s="115"/>
      <c r="B718" t="s">
        <v>6</v>
      </c>
      <c r="D718" s="26">
        <v>43122</v>
      </c>
      <c r="F718" t="s">
        <v>124</v>
      </c>
      <c r="G718" t="s">
        <v>11</v>
      </c>
      <c r="H718" s="3">
        <v>-64.98</v>
      </c>
      <c r="I718" s="36">
        <f>IF(Log_2018[[#This Row],[My Category]]="NONTRACKED",0,Log_2018[[#This Row],[Raw Amount]])</f>
        <v>-64.98</v>
      </c>
      <c r="J718" s="17">
        <f>ABS(Log_2018[[#This Row],[Amount]])</f>
        <v>64.98</v>
      </c>
      <c r="K718" s="66">
        <v>1</v>
      </c>
      <c r="L718" s="66">
        <f ca="1">IF(Log_2018[[#This Row],[Date]]&lt;=TODAY(), MIN(Log_2018[[#This Row],[Split_raw]], TODAY()-Log_2018[[#This Row],[Date]]+1), 0)</f>
        <v>1</v>
      </c>
      <c r="M718" t="s">
        <v>366</v>
      </c>
      <c r="N718" t="s">
        <v>160</v>
      </c>
      <c r="O718" s="50">
        <v>0</v>
      </c>
      <c r="P718" s="52">
        <f ca="1">Log_2018[[#This Row],[Amount]]/Log_2018[[#This Row],[Split_raw]]*MAX(0,MIN(_xlfn.DAYS(EDATE(P$1,1),Log_2018[[#This Row],[Date]]),Log_2018[[#This Row],[Split_apply]])) - SUM($O718:O718)</f>
        <v>-64.98</v>
      </c>
      <c r="Q718" s="52">
        <f ca="1">Log_2018[[#This Row],[Amount]]/Log_2018[[#This Row],[Split_raw]]*MAX(0,MIN(_xlfn.DAYS(EDATE(Q$1,1),Log_2018[[#This Row],[Date]]),Log_2018[[#This Row],[Split_apply]])) - SUM($O718:P718)</f>
        <v>0</v>
      </c>
      <c r="R718" s="52">
        <f ca="1">Log_2018[[#This Row],[Amount]]/Log_2018[[#This Row],[Split_raw]]*MAX(0,MIN(_xlfn.DAYS(EDATE(R$1,1),Log_2018[[#This Row],[Date]]),Log_2018[[#This Row],[Split_apply]])) - SUM($O718:Q718)</f>
        <v>0</v>
      </c>
      <c r="S718" s="52">
        <f ca="1">Log_2018[[#This Row],[Amount]]/Log_2018[[#This Row],[Split_raw]]*MAX(0,MIN(_xlfn.DAYS(EDATE(S$1,1),Log_2018[[#This Row],[Date]]),Log_2018[[#This Row],[Split_apply]])) - SUM($O718:R718)</f>
        <v>0</v>
      </c>
      <c r="T718" s="52">
        <f ca="1">Log_2018[[#This Row],[Amount]]/Log_2018[[#This Row],[Split_raw]]*MAX(0,MIN(_xlfn.DAYS(EDATE(T$1,1),Log_2018[[#This Row],[Date]]),Log_2018[[#This Row],[Split_apply]])) - SUM($O718:S718)</f>
        <v>0</v>
      </c>
      <c r="U718" s="52">
        <f ca="1">Log_2018[[#This Row],[Amount]]/Log_2018[[#This Row],[Split_raw]]*MAX(0,MIN(_xlfn.DAYS(EDATE(U$1,1),Log_2018[[#This Row],[Date]]),Log_2018[[#This Row],[Split_apply]])) - SUM($O718:T718)</f>
        <v>0</v>
      </c>
      <c r="V718" s="52">
        <f ca="1">Log_2018[[#This Row],[Amount]]/Log_2018[[#This Row],[Split_raw]]*MAX(0,MIN(_xlfn.DAYS(EDATE(V$1,1),Log_2018[[#This Row],[Date]]),Log_2018[[#This Row],[Split_apply]])) - SUM($O718:U718)</f>
        <v>0</v>
      </c>
      <c r="W718" s="52">
        <f ca="1">Log_2018[[#This Row],[Amount]]/Log_2018[[#This Row],[Split_raw]]*MAX(0,MIN(_xlfn.DAYS(EDATE(W$1,1),Log_2018[[#This Row],[Date]]),Log_2018[[#This Row],[Split_apply]])) - SUM($O718:V718)</f>
        <v>0</v>
      </c>
      <c r="X718" s="52">
        <f ca="1">Log_2018[[#This Row],[Amount]]/Log_2018[[#This Row],[Split_raw]]*MAX(0,MIN(_xlfn.DAYS(EDATE(X$1,1),Log_2018[[#This Row],[Date]]),Log_2018[[#This Row],[Split_apply]])) - SUM($O718:W718)</f>
        <v>0</v>
      </c>
      <c r="Y718" s="52">
        <f ca="1">Log_2018[[#This Row],[Amount]]/Log_2018[[#This Row],[Split_raw]]*MAX(0,MIN(_xlfn.DAYS(EDATE(Y$1,1),Log_2018[[#This Row],[Date]]),Log_2018[[#This Row],[Split_apply]])) - SUM($O718:X718)</f>
        <v>0</v>
      </c>
      <c r="Z718" s="52">
        <f ca="1">Log_2018[[#This Row],[Amount]]/Log_2018[[#This Row],[Split_raw]]*MAX(0,MIN(_xlfn.DAYS(EDATE(Z$1,1),Log_2018[[#This Row],[Date]]),Log_2018[[#This Row],[Split_apply]])) - SUM($O718:Y718)</f>
        <v>0</v>
      </c>
      <c r="AA718" s="52">
        <f ca="1">Log_2018[[#This Row],[Amount]]/Log_2018[[#This Row],[Split_raw]]*MAX(0,MIN(_xlfn.DAYS(EDATE(AA$1,1),Log_2018[[#This Row],[Date]]),Log_2018[[#This Row],[Split_apply]])) - SUM($O718:Z718)</f>
        <v>0</v>
      </c>
      <c r="AB718" s="54">
        <f ca="1">Log_2018[[#This Row],[Amount]]-SUM(O718:AA718)</f>
        <v>0</v>
      </c>
      <c r="AC718" s="7">
        <f ca="1">MAX(0,Log_2018[[#This Row],[Split_apply]] - (EDATE(AA$1,1)-Log_2018[[#This Row],[Date]]))</f>
        <v>0</v>
      </c>
    </row>
    <row r="719" spans="1:29" hidden="1" x14ac:dyDescent="0.25">
      <c r="A719" s="115"/>
      <c r="B719" t="s">
        <v>6</v>
      </c>
      <c r="D719" s="26">
        <v>43122</v>
      </c>
      <c r="F719" t="s">
        <v>74</v>
      </c>
      <c r="G719" t="s">
        <v>25</v>
      </c>
      <c r="H719" s="3">
        <v>-34.61</v>
      </c>
      <c r="I719" s="36">
        <f>IF(Log_2018[[#This Row],[My Category]]="NONTRACKED",0,Log_2018[[#This Row],[Raw Amount]])</f>
        <v>-34.61</v>
      </c>
      <c r="J719" s="17">
        <f>ABS(Log_2018[[#This Row],[Amount]])</f>
        <v>34.61</v>
      </c>
      <c r="K719" s="66">
        <v>1</v>
      </c>
      <c r="L719" s="66">
        <f ca="1">IF(Log_2018[[#This Row],[Date]]&lt;=TODAY(), MIN(Log_2018[[#This Row],[Split_raw]], TODAY()-Log_2018[[#This Row],[Date]]+1), 0)</f>
        <v>1</v>
      </c>
      <c r="M719" t="s">
        <v>35</v>
      </c>
      <c r="N719" t="s">
        <v>160</v>
      </c>
      <c r="O719" s="50">
        <v>0</v>
      </c>
      <c r="P719" s="52">
        <f ca="1">Log_2018[[#This Row],[Amount]]/Log_2018[[#This Row],[Split_raw]]*MAX(0,MIN(_xlfn.DAYS(EDATE(P$1,1),Log_2018[[#This Row],[Date]]),Log_2018[[#This Row],[Split_apply]])) - SUM($O719:O719)</f>
        <v>-34.61</v>
      </c>
      <c r="Q719" s="52">
        <f ca="1">Log_2018[[#This Row],[Amount]]/Log_2018[[#This Row],[Split_raw]]*MAX(0,MIN(_xlfn.DAYS(EDATE(Q$1,1),Log_2018[[#This Row],[Date]]),Log_2018[[#This Row],[Split_apply]])) - SUM($O719:P719)</f>
        <v>0</v>
      </c>
      <c r="R719" s="52">
        <f ca="1">Log_2018[[#This Row],[Amount]]/Log_2018[[#This Row],[Split_raw]]*MAX(0,MIN(_xlfn.DAYS(EDATE(R$1,1),Log_2018[[#This Row],[Date]]),Log_2018[[#This Row],[Split_apply]])) - SUM($O719:Q719)</f>
        <v>0</v>
      </c>
      <c r="S719" s="52">
        <f ca="1">Log_2018[[#This Row],[Amount]]/Log_2018[[#This Row],[Split_raw]]*MAX(0,MIN(_xlfn.DAYS(EDATE(S$1,1),Log_2018[[#This Row],[Date]]),Log_2018[[#This Row],[Split_apply]])) - SUM($O719:R719)</f>
        <v>0</v>
      </c>
      <c r="T719" s="52">
        <f ca="1">Log_2018[[#This Row],[Amount]]/Log_2018[[#This Row],[Split_raw]]*MAX(0,MIN(_xlfn.DAYS(EDATE(T$1,1),Log_2018[[#This Row],[Date]]),Log_2018[[#This Row],[Split_apply]])) - SUM($O719:S719)</f>
        <v>0</v>
      </c>
      <c r="U719" s="52">
        <f ca="1">Log_2018[[#This Row],[Amount]]/Log_2018[[#This Row],[Split_raw]]*MAX(0,MIN(_xlfn.DAYS(EDATE(U$1,1),Log_2018[[#This Row],[Date]]),Log_2018[[#This Row],[Split_apply]])) - SUM($O719:T719)</f>
        <v>0</v>
      </c>
      <c r="V719" s="52">
        <f ca="1">Log_2018[[#This Row],[Amount]]/Log_2018[[#This Row],[Split_raw]]*MAX(0,MIN(_xlfn.DAYS(EDATE(V$1,1),Log_2018[[#This Row],[Date]]),Log_2018[[#This Row],[Split_apply]])) - SUM($O719:U719)</f>
        <v>0</v>
      </c>
      <c r="W719" s="52">
        <f ca="1">Log_2018[[#This Row],[Amount]]/Log_2018[[#This Row],[Split_raw]]*MAX(0,MIN(_xlfn.DAYS(EDATE(W$1,1),Log_2018[[#This Row],[Date]]),Log_2018[[#This Row],[Split_apply]])) - SUM($O719:V719)</f>
        <v>0</v>
      </c>
      <c r="X719" s="52">
        <f ca="1">Log_2018[[#This Row],[Amount]]/Log_2018[[#This Row],[Split_raw]]*MAX(0,MIN(_xlfn.DAYS(EDATE(X$1,1),Log_2018[[#This Row],[Date]]),Log_2018[[#This Row],[Split_apply]])) - SUM($O719:W719)</f>
        <v>0</v>
      </c>
      <c r="Y719" s="52">
        <f ca="1">Log_2018[[#This Row],[Amount]]/Log_2018[[#This Row],[Split_raw]]*MAX(0,MIN(_xlfn.DAYS(EDATE(Y$1,1),Log_2018[[#This Row],[Date]]),Log_2018[[#This Row],[Split_apply]])) - SUM($O719:X719)</f>
        <v>0</v>
      </c>
      <c r="Z719" s="52">
        <f ca="1">Log_2018[[#This Row],[Amount]]/Log_2018[[#This Row],[Split_raw]]*MAX(0,MIN(_xlfn.DAYS(EDATE(Z$1,1),Log_2018[[#This Row],[Date]]),Log_2018[[#This Row],[Split_apply]])) - SUM($O719:Y719)</f>
        <v>0</v>
      </c>
      <c r="AA719" s="52">
        <f ca="1">Log_2018[[#This Row],[Amount]]/Log_2018[[#This Row],[Split_raw]]*MAX(0,MIN(_xlfn.DAYS(EDATE(AA$1,1),Log_2018[[#This Row],[Date]]),Log_2018[[#This Row],[Split_apply]])) - SUM($O719:Z719)</f>
        <v>0</v>
      </c>
      <c r="AB719" s="54">
        <f ca="1">Log_2018[[#This Row],[Amount]]-SUM(O719:AA719)</f>
        <v>0</v>
      </c>
      <c r="AC719" s="7">
        <f ca="1">MAX(0,Log_2018[[#This Row],[Split_apply]] - (EDATE(AA$1,1)-Log_2018[[#This Row],[Date]]))</f>
        <v>0</v>
      </c>
    </row>
    <row r="720" spans="1:29" hidden="1" x14ac:dyDescent="0.25">
      <c r="A720" s="115"/>
      <c r="B720" t="s">
        <v>6</v>
      </c>
      <c r="D720" s="26">
        <v>43122</v>
      </c>
      <c r="E720" t="s">
        <v>877</v>
      </c>
      <c r="F720" t="s">
        <v>128</v>
      </c>
      <c r="G720" t="s">
        <v>27</v>
      </c>
      <c r="H720" s="3">
        <v>-11</v>
      </c>
      <c r="I720" s="36">
        <f>IF(Log_2018[[#This Row],[My Category]]="NONTRACKED",0,Log_2018[[#This Row],[Raw Amount]])</f>
        <v>-11</v>
      </c>
      <c r="J720" s="17">
        <f>ABS(Log_2018[[#This Row],[Amount]])</f>
        <v>11</v>
      </c>
      <c r="K720" s="66">
        <v>1</v>
      </c>
      <c r="L720" s="66">
        <f ca="1">IF(Log_2018[[#This Row],[Date]]&lt;=TODAY(), MIN(Log_2018[[#This Row],[Split_raw]], TODAY()-Log_2018[[#This Row],[Date]]+1), 0)</f>
        <v>1</v>
      </c>
      <c r="M720" t="s">
        <v>42</v>
      </c>
      <c r="N720" t="s">
        <v>160</v>
      </c>
      <c r="O720" s="50">
        <v>0</v>
      </c>
      <c r="P720" s="52">
        <f ca="1">Log_2018[[#This Row],[Amount]]/Log_2018[[#This Row],[Split_raw]]*MAX(0,MIN(_xlfn.DAYS(EDATE(P$1,1),Log_2018[[#This Row],[Date]]),Log_2018[[#This Row],[Split_apply]])) - SUM($O720:O720)</f>
        <v>-11</v>
      </c>
      <c r="Q720" s="52">
        <f ca="1">Log_2018[[#This Row],[Amount]]/Log_2018[[#This Row],[Split_raw]]*MAX(0,MIN(_xlfn.DAYS(EDATE(Q$1,1),Log_2018[[#This Row],[Date]]),Log_2018[[#This Row],[Split_apply]])) - SUM($O720:P720)</f>
        <v>0</v>
      </c>
      <c r="R720" s="52">
        <f ca="1">Log_2018[[#This Row],[Amount]]/Log_2018[[#This Row],[Split_raw]]*MAX(0,MIN(_xlfn.DAYS(EDATE(R$1,1),Log_2018[[#This Row],[Date]]),Log_2018[[#This Row],[Split_apply]])) - SUM($O720:Q720)</f>
        <v>0</v>
      </c>
      <c r="S720" s="52">
        <f ca="1">Log_2018[[#This Row],[Amount]]/Log_2018[[#This Row],[Split_raw]]*MAX(0,MIN(_xlfn.DAYS(EDATE(S$1,1),Log_2018[[#This Row],[Date]]),Log_2018[[#This Row],[Split_apply]])) - SUM($O720:R720)</f>
        <v>0</v>
      </c>
      <c r="T720" s="52">
        <f ca="1">Log_2018[[#This Row],[Amount]]/Log_2018[[#This Row],[Split_raw]]*MAX(0,MIN(_xlfn.DAYS(EDATE(T$1,1),Log_2018[[#This Row],[Date]]),Log_2018[[#This Row],[Split_apply]])) - SUM($O720:S720)</f>
        <v>0</v>
      </c>
      <c r="U720" s="52">
        <f ca="1">Log_2018[[#This Row],[Amount]]/Log_2018[[#This Row],[Split_raw]]*MAX(0,MIN(_xlfn.DAYS(EDATE(U$1,1),Log_2018[[#This Row],[Date]]),Log_2018[[#This Row],[Split_apply]])) - SUM($O720:T720)</f>
        <v>0</v>
      </c>
      <c r="V720" s="52">
        <f ca="1">Log_2018[[#This Row],[Amount]]/Log_2018[[#This Row],[Split_raw]]*MAX(0,MIN(_xlfn.DAYS(EDATE(V$1,1),Log_2018[[#This Row],[Date]]),Log_2018[[#This Row],[Split_apply]])) - SUM($O720:U720)</f>
        <v>0</v>
      </c>
      <c r="W720" s="52">
        <f ca="1">Log_2018[[#This Row],[Amount]]/Log_2018[[#This Row],[Split_raw]]*MAX(0,MIN(_xlfn.DAYS(EDATE(W$1,1),Log_2018[[#This Row],[Date]]),Log_2018[[#This Row],[Split_apply]])) - SUM($O720:V720)</f>
        <v>0</v>
      </c>
      <c r="X720" s="52">
        <f ca="1">Log_2018[[#This Row],[Amount]]/Log_2018[[#This Row],[Split_raw]]*MAX(0,MIN(_xlfn.DAYS(EDATE(X$1,1),Log_2018[[#This Row],[Date]]),Log_2018[[#This Row],[Split_apply]])) - SUM($O720:W720)</f>
        <v>0</v>
      </c>
      <c r="Y720" s="52">
        <f ca="1">Log_2018[[#This Row],[Amount]]/Log_2018[[#This Row],[Split_raw]]*MAX(0,MIN(_xlfn.DAYS(EDATE(Y$1,1),Log_2018[[#This Row],[Date]]),Log_2018[[#This Row],[Split_apply]])) - SUM($O720:X720)</f>
        <v>0</v>
      </c>
      <c r="Z720" s="52">
        <f ca="1">Log_2018[[#This Row],[Amount]]/Log_2018[[#This Row],[Split_raw]]*MAX(0,MIN(_xlfn.DAYS(EDATE(Z$1,1),Log_2018[[#This Row],[Date]]),Log_2018[[#This Row],[Split_apply]])) - SUM($O720:Y720)</f>
        <v>0</v>
      </c>
      <c r="AA720" s="52">
        <f ca="1">Log_2018[[#This Row],[Amount]]/Log_2018[[#This Row],[Split_raw]]*MAX(0,MIN(_xlfn.DAYS(EDATE(AA$1,1),Log_2018[[#This Row],[Date]]),Log_2018[[#This Row],[Split_apply]])) - SUM($O720:Z720)</f>
        <v>0</v>
      </c>
      <c r="AB720" s="54">
        <f ca="1">Log_2018[[#This Row],[Amount]]-SUM(O720:AA720)</f>
        <v>0</v>
      </c>
      <c r="AC720" s="7">
        <f ca="1">MAX(0,Log_2018[[#This Row],[Split_apply]] - (EDATE(AA$1,1)-Log_2018[[#This Row],[Date]]))</f>
        <v>0</v>
      </c>
    </row>
    <row r="721" spans="1:29" hidden="1" x14ac:dyDescent="0.25">
      <c r="A721" s="115"/>
      <c r="B721" t="s">
        <v>6</v>
      </c>
      <c r="D721" s="39">
        <v>43122</v>
      </c>
      <c r="F721" t="s">
        <v>127</v>
      </c>
      <c r="G721" t="s">
        <v>18</v>
      </c>
      <c r="H721" s="3">
        <v>-27.55</v>
      </c>
      <c r="I721" s="36">
        <f>IF(Log_2018[[#This Row],[My Category]]="NONTRACKED",0,Log_2018[[#This Row],[Raw Amount]])</f>
        <v>-27.55</v>
      </c>
      <c r="J721" s="17">
        <f>ABS(Log_2018[[#This Row],[Amount]])</f>
        <v>27.55</v>
      </c>
      <c r="K721" s="66">
        <v>1</v>
      </c>
      <c r="L721" s="66">
        <f ca="1">IF(Log_2018[[#This Row],[Date]]&lt;=TODAY(), MIN(Log_2018[[#This Row],[Split_raw]], TODAY()-Log_2018[[#This Row],[Date]]+1), 0)</f>
        <v>1</v>
      </c>
      <c r="M721" t="s">
        <v>147</v>
      </c>
      <c r="N721" t="s">
        <v>160</v>
      </c>
      <c r="O721" s="50">
        <v>0</v>
      </c>
      <c r="P721" s="52">
        <f ca="1">Log_2018[[#This Row],[Amount]]/Log_2018[[#This Row],[Split_raw]]*MAX(0,MIN(_xlfn.DAYS(EDATE(P$1,1),Log_2018[[#This Row],[Date]]),Log_2018[[#This Row],[Split_apply]])) - SUM($O721:O721)</f>
        <v>-27.55</v>
      </c>
      <c r="Q721" s="52">
        <f ca="1">Log_2018[[#This Row],[Amount]]/Log_2018[[#This Row],[Split_raw]]*MAX(0,MIN(_xlfn.DAYS(EDATE(Q$1,1),Log_2018[[#This Row],[Date]]),Log_2018[[#This Row],[Split_apply]])) - SUM($O721:P721)</f>
        <v>0</v>
      </c>
      <c r="R721" s="52">
        <f ca="1">Log_2018[[#This Row],[Amount]]/Log_2018[[#This Row],[Split_raw]]*MAX(0,MIN(_xlfn.DAYS(EDATE(R$1,1),Log_2018[[#This Row],[Date]]),Log_2018[[#This Row],[Split_apply]])) - SUM($O721:Q721)</f>
        <v>0</v>
      </c>
      <c r="S721" s="52">
        <f ca="1">Log_2018[[#This Row],[Amount]]/Log_2018[[#This Row],[Split_raw]]*MAX(0,MIN(_xlfn.DAYS(EDATE(S$1,1),Log_2018[[#This Row],[Date]]),Log_2018[[#This Row],[Split_apply]])) - SUM($O721:R721)</f>
        <v>0</v>
      </c>
      <c r="T721" s="52">
        <f ca="1">Log_2018[[#This Row],[Amount]]/Log_2018[[#This Row],[Split_raw]]*MAX(0,MIN(_xlfn.DAYS(EDATE(T$1,1),Log_2018[[#This Row],[Date]]),Log_2018[[#This Row],[Split_apply]])) - SUM($O721:S721)</f>
        <v>0</v>
      </c>
      <c r="U721" s="52">
        <f ca="1">Log_2018[[#This Row],[Amount]]/Log_2018[[#This Row],[Split_raw]]*MAX(0,MIN(_xlfn.DAYS(EDATE(U$1,1),Log_2018[[#This Row],[Date]]),Log_2018[[#This Row],[Split_apply]])) - SUM($O721:T721)</f>
        <v>0</v>
      </c>
      <c r="V721" s="52">
        <f ca="1">Log_2018[[#This Row],[Amount]]/Log_2018[[#This Row],[Split_raw]]*MAX(0,MIN(_xlfn.DAYS(EDATE(V$1,1),Log_2018[[#This Row],[Date]]),Log_2018[[#This Row],[Split_apply]])) - SUM($O721:U721)</f>
        <v>0</v>
      </c>
      <c r="W721" s="52">
        <f ca="1">Log_2018[[#This Row],[Amount]]/Log_2018[[#This Row],[Split_raw]]*MAX(0,MIN(_xlfn.DAYS(EDATE(W$1,1),Log_2018[[#This Row],[Date]]),Log_2018[[#This Row],[Split_apply]])) - SUM($O721:V721)</f>
        <v>0</v>
      </c>
      <c r="X721" s="52">
        <f ca="1">Log_2018[[#This Row],[Amount]]/Log_2018[[#This Row],[Split_raw]]*MAX(0,MIN(_xlfn.DAYS(EDATE(X$1,1),Log_2018[[#This Row],[Date]]),Log_2018[[#This Row],[Split_apply]])) - SUM($O721:W721)</f>
        <v>0</v>
      </c>
      <c r="Y721" s="52">
        <f ca="1">Log_2018[[#This Row],[Amount]]/Log_2018[[#This Row],[Split_raw]]*MAX(0,MIN(_xlfn.DAYS(EDATE(Y$1,1),Log_2018[[#This Row],[Date]]),Log_2018[[#This Row],[Split_apply]])) - SUM($O721:X721)</f>
        <v>0</v>
      </c>
      <c r="Z721" s="52">
        <f ca="1">Log_2018[[#This Row],[Amount]]/Log_2018[[#This Row],[Split_raw]]*MAX(0,MIN(_xlfn.DAYS(EDATE(Z$1,1),Log_2018[[#This Row],[Date]]),Log_2018[[#This Row],[Split_apply]])) - SUM($O721:Y721)</f>
        <v>0</v>
      </c>
      <c r="AA721" s="52">
        <f ca="1">Log_2018[[#This Row],[Amount]]/Log_2018[[#This Row],[Split_raw]]*MAX(0,MIN(_xlfn.DAYS(EDATE(AA$1,1),Log_2018[[#This Row],[Date]]),Log_2018[[#This Row],[Split_apply]])) - SUM($O721:Z721)</f>
        <v>0</v>
      </c>
      <c r="AB721" s="54">
        <f ca="1">Log_2018[[#This Row],[Amount]]-SUM(O721:AA721)</f>
        <v>0</v>
      </c>
      <c r="AC721" s="7">
        <f ca="1">MAX(0,Log_2018[[#This Row],[Split_apply]] - (EDATE(AA$1,1)-Log_2018[[#This Row],[Date]]))</f>
        <v>0</v>
      </c>
    </row>
    <row r="722" spans="1:29" hidden="1" x14ac:dyDescent="0.25">
      <c r="A722" s="115"/>
      <c r="B722" t="s">
        <v>191</v>
      </c>
      <c r="D722" s="39">
        <v>43122</v>
      </c>
      <c r="E722" t="s">
        <v>1035</v>
      </c>
      <c r="F722" t="s">
        <v>79</v>
      </c>
      <c r="G722" t="s">
        <v>28</v>
      </c>
      <c r="H722" s="3">
        <f>--3166.46</f>
        <v>3166.46</v>
      </c>
      <c r="I722" s="36">
        <f>IF(Log_2018[[#This Row],[My Category]]="NONTRACKED",0,Log_2018[[#This Row],[Raw Amount]])</f>
        <v>3166.46</v>
      </c>
      <c r="J722" s="17">
        <f>ABS(Log_2018[[#This Row],[Amount]])</f>
        <v>3166.46</v>
      </c>
      <c r="K722" s="66">
        <v>1</v>
      </c>
      <c r="L722" s="66">
        <f ca="1">IF(Log_2018[[#This Row],[Date]]&lt;=TODAY(), MIN(Log_2018[[#This Row],[Split_raw]], TODAY()-Log_2018[[#This Row],[Date]]+1), 0)</f>
        <v>1</v>
      </c>
      <c r="M722" t="s">
        <v>144</v>
      </c>
      <c r="N722" t="s">
        <v>160</v>
      </c>
      <c r="O722" s="50">
        <v>0</v>
      </c>
      <c r="P722" s="52">
        <f ca="1">Log_2018[[#This Row],[Amount]]/Log_2018[[#This Row],[Split_raw]]*MAX(0,MIN(_xlfn.DAYS(EDATE(P$1,1),Log_2018[[#This Row],[Date]]),Log_2018[[#This Row],[Split_apply]])) - SUM($O722:O722)</f>
        <v>3166.46</v>
      </c>
      <c r="Q722" s="52">
        <f ca="1">Log_2018[[#This Row],[Amount]]/Log_2018[[#This Row],[Split_raw]]*MAX(0,MIN(_xlfn.DAYS(EDATE(Q$1,1),Log_2018[[#This Row],[Date]]),Log_2018[[#This Row],[Split_apply]])) - SUM($O722:P722)</f>
        <v>0</v>
      </c>
      <c r="R722" s="52">
        <f ca="1">Log_2018[[#This Row],[Amount]]/Log_2018[[#This Row],[Split_raw]]*MAX(0,MIN(_xlfn.DAYS(EDATE(R$1,1),Log_2018[[#This Row],[Date]]),Log_2018[[#This Row],[Split_apply]])) - SUM($O722:Q722)</f>
        <v>0</v>
      </c>
      <c r="S722" s="52">
        <f ca="1">Log_2018[[#This Row],[Amount]]/Log_2018[[#This Row],[Split_raw]]*MAX(0,MIN(_xlfn.DAYS(EDATE(S$1,1),Log_2018[[#This Row],[Date]]),Log_2018[[#This Row],[Split_apply]])) - SUM($O722:R722)</f>
        <v>0</v>
      </c>
      <c r="T722" s="52">
        <f ca="1">Log_2018[[#This Row],[Amount]]/Log_2018[[#This Row],[Split_raw]]*MAX(0,MIN(_xlfn.DAYS(EDATE(T$1,1),Log_2018[[#This Row],[Date]]),Log_2018[[#This Row],[Split_apply]])) - SUM($O722:S722)</f>
        <v>0</v>
      </c>
      <c r="U722" s="52">
        <f ca="1">Log_2018[[#This Row],[Amount]]/Log_2018[[#This Row],[Split_raw]]*MAX(0,MIN(_xlfn.DAYS(EDATE(U$1,1),Log_2018[[#This Row],[Date]]),Log_2018[[#This Row],[Split_apply]])) - SUM($O722:T722)</f>
        <v>0</v>
      </c>
      <c r="V722" s="52">
        <f ca="1">Log_2018[[#This Row],[Amount]]/Log_2018[[#This Row],[Split_raw]]*MAX(0,MIN(_xlfn.DAYS(EDATE(V$1,1),Log_2018[[#This Row],[Date]]),Log_2018[[#This Row],[Split_apply]])) - SUM($O722:U722)</f>
        <v>0</v>
      </c>
      <c r="W722" s="52">
        <f ca="1">Log_2018[[#This Row],[Amount]]/Log_2018[[#This Row],[Split_raw]]*MAX(0,MIN(_xlfn.DAYS(EDATE(W$1,1),Log_2018[[#This Row],[Date]]),Log_2018[[#This Row],[Split_apply]])) - SUM($O722:V722)</f>
        <v>0</v>
      </c>
      <c r="X722" s="52">
        <f ca="1">Log_2018[[#This Row],[Amount]]/Log_2018[[#This Row],[Split_raw]]*MAX(0,MIN(_xlfn.DAYS(EDATE(X$1,1),Log_2018[[#This Row],[Date]]),Log_2018[[#This Row],[Split_apply]])) - SUM($O722:W722)</f>
        <v>0</v>
      </c>
      <c r="Y722" s="52">
        <f ca="1">Log_2018[[#This Row],[Amount]]/Log_2018[[#This Row],[Split_raw]]*MAX(0,MIN(_xlfn.DAYS(EDATE(Y$1,1),Log_2018[[#This Row],[Date]]),Log_2018[[#This Row],[Split_apply]])) - SUM($O722:X722)</f>
        <v>0</v>
      </c>
      <c r="Z722" s="52">
        <f ca="1">Log_2018[[#This Row],[Amount]]/Log_2018[[#This Row],[Split_raw]]*MAX(0,MIN(_xlfn.DAYS(EDATE(Z$1,1),Log_2018[[#This Row],[Date]]),Log_2018[[#This Row],[Split_apply]])) - SUM($O722:Y722)</f>
        <v>0</v>
      </c>
      <c r="AA722" s="52">
        <f ca="1">Log_2018[[#This Row],[Amount]]/Log_2018[[#This Row],[Split_raw]]*MAX(0,MIN(_xlfn.DAYS(EDATE(AA$1,1),Log_2018[[#This Row],[Date]]),Log_2018[[#This Row],[Split_apply]])) - SUM($O722:Z722)</f>
        <v>0</v>
      </c>
      <c r="AB722" s="54">
        <f ca="1">Log_2018[[#This Row],[Amount]]-SUM(O722:AA722)</f>
        <v>0</v>
      </c>
      <c r="AC722" s="7">
        <f ca="1">MAX(0,Log_2018[[#This Row],[Split_apply]] - (EDATE(AA$1,1)-Log_2018[[#This Row],[Date]]))</f>
        <v>0</v>
      </c>
    </row>
    <row r="723" spans="1:29" hidden="1" x14ac:dyDescent="0.25">
      <c r="A723" s="115"/>
      <c r="B723" t="s">
        <v>6</v>
      </c>
      <c r="D723" s="39">
        <v>43119</v>
      </c>
      <c r="F723" t="s">
        <v>21</v>
      </c>
      <c r="G723" t="s">
        <v>20</v>
      </c>
      <c r="H723" s="3">
        <v>-23.63</v>
      </c>
      <c r="I723" s="36">
        <f>IF(Log_2018[[#This Row],[My Category]]="NONTRACKED",0,Log_2018[[#This Row],[Raw Amount]])</f>
        <v>-23.63</v>
      </c>
      <c r="J723" s="17">
        <f>ABS(Log_2018[[#This Row],[Amount]])</f>
        <v>23.63</v>
      </c>
      <c r="K723" s="66">
        <v>1</v>
      </c>
      <c r="L723" s="66">
        <f ca="1">IF(Log_2018[[#This Row],[Date]]&lt;=TODAY(), MIN(Log_2018[[#This Row],[Split_raw]], TODAY()-Log_2018[[#This Row],[Date]]+1), 0)</f>
        <v>1</v>
      </c>
      <c r="M723" t="s">
        <v>42</v>
      </c>
      <c r="N723" t="s">
        <v>160</v>
      </c>
      <c r="O723" s="50">
        <v>0</v>
      </c>
      <c r="P723" s="52">
        <f ca="1">Log_2018[[#This Row],[Amount]]/Log_2018[[#This Row],[Split_raw]]*MAX(0,MIN(_xlfn.DAYS(EDATE(P$1,1),Log_2018[[#This Row],[Date]]),Log_2018[[#This Row],[Split_apply]])) - SUM($O723:O723)</f>
        <v>-23.63</v>
      </c>
      <c r="Q723" s="52">
        <f ca="1">Log_2018[[#This Row],[Amount]]/Log_2018[[#This Row],[Split_raw]]*MAX(0,MIN(_xlfn.DAYS(EDATE(Q$1,1),Log_2018[[#This Row],[Date]]),Log_2018[[#This Row],[Split_apply]])) - SUM($O723:P723)</f>
        <v>0</v>
      </c>
      <c r="R723" s="52">
        <f ca="1">Log_2018[[#This Row],[Amount]]/Log_2018[[#This Row],[Split_raw]]*MAX(0,MIN(_xlfn.DAYS(EDATE(R$1,1),Log_2018[[#This Row],[Date]]),Log_2018[[#This Row],[Split_apply]])) - SUM($O723:Q723)</f>
        <v>0</v>
      </c>
      <c r="S723" s="52">
        <f ca="1">Log_2018[[#This Row],[Amount]]/Log_2018[[#This Row],[Split_raw]]*MAX(0,MIN(_xlfn.DAYS(EDATE(S$1,1),Log_2018[[#This Row],[Date]]),Log_2018[[#This Row],[Split_apply]])) - SUM($O723:R723)</f>
        <v>0</v>
      </c>
      <c r="T723" s="52">
        <f ca="1">Log_2018[[#This Row],[Amount]]/Log_2018[[#This Row],[Split_raw]]*MAX(0,MIN(_xlfn.DAYS(EDATE(T$1,1),Log_2018[[#This Row],[Date]]),Log_2018[[#This Row],[Split_apply]])) - SUM($O723:S723)</f>
        <v>0</v>
      </c>
      <c r="U723" s="52">
        <f ca="1">Log_2018[[#This Row],[Amount]]/Log_2018[[#This Row],[Split_raw]]*MAX(0,MIN(_xlfn.DAYS(EDATE(U$1,1),Log_2018[[#This Row],[Date]]),Log_2018[[#This Row],[Split_apply]])) - SUM($O723:T723)</f>
        <v>0</v>
      </c>
      <c r="V723" s="52">
        <f ca="1">Log_2018[[#This Row],[Amount]]/Log_2018[[#This Row],[Split_raw]]*MAX(0,MIN(_xlfn.DAYS(EDATE(V$1,1),Log_2018[[#This Row],[Date]]),Log_2018[[#This Row],[Split_apply]])) - SUM($O723:U723)</f>
        <v>0</v>
      </c>
      <c r="W723" s="52">
        <f ca="1">Log_2018[[#This Row],[Amount]]/Log_2018[[#This Row],[Split_raw]]*MAX(0,MIN(_xlfn.DAYS(EDATE(W$1,1),Log_2018[[#This Row],[Date]]),Log_2018[[#This Row],[Split_apply]])) - SUM($O723:V723)</f>
        <v>0</v>
      </c>
      <c r="X723" s="52">
        <f ca="1">Log_2018[[#This Row],[Amount]]/Log_2018[[#This Row],[Split_raw]]*MAX(0,MIN(_xlfn.DAYS(EDATE(X$1,1),Log_2018[[#This Row],[Date]]),Log_2018[[#This Row],[Split_apply]])) - SUM($O723:W723)</f>
        <v>0</v>
      </c>
      <c r="Y723" s="52">
        <f ca="1">Log_2018[[#This Row],[Amount]]/Log_2018[[#This Row],[Split_raw]]*MAX(0,MIN(_xlfn.DAYS(EDATE(Y$1,1),Log_2018[[#This Row],[Date]]),Log_2018[[#This Row],[Split_apply]])) - SUM($O723:X723)</f>
        <v>0</v>
      </c>
      <c r="Z723" s="52">
        <f ca="1">Log_2018[[#This Row],[Amount]]/Log_2018[[#This Row],[Split_raw]]*MAX(0,MIN(_xlfn.DAYS(EDATE(Z$1,1),Log_2018[[#This Row],[Date]]),Log_2018[[#This Row],[Split_apply]])) - SUM($O723:Y723)</f>
        <v>0</v>
      </c>
      <c r="AA723" s="52">
        <f ca="1">Log_2018[[#This Row],[Amount]]/Log_2018[[#This Row],[Split_raw]]*MAX(0,MIN(_xlfn.DAYS(EDATE(AA$1,1),Log_2018[[#This Row],[Date]]),Log_2018[[#This Row],[Split_apply]])) - SUM($O723:Z723)</f>
        <v>0</v>
      </c>
      <c r="AB723" s="54">
        <f ca="1">Log_2018[[#This Row],[Amount]]-SUM(O723:AA723)</f>
        <v>0</v>
      </c>
      <c r="AC723" s="7">
        <f ca="1">MAX(0,Log_2018[[#This Row],[Split_apply]] - (EDATE(AA$1,1)-Log_2018[[#This Row],[Date]]))</f>
        <v>0</v>
      </c>
    </row>
    <row r="724" spans="1:29" x14ac:dyDescent="0.25">
      <c r="A724" s="115">
        <v>13</v>
      </c>
      <c r="B724" t="s">
        <v>6</v>
      </c>
      <c r="D724" s="39">
        <v>43119</v>
      </c>
      <c r="E724" t="s">
        <v>163</v>
      </c>
      <c r="F724" t="s">
        <v>103</v>
      </c>
      <c r="G724" t="s">
        <v>104</v>
      </c>
      <c r="H724" s="3">
        <v>1516.55</v>
      </c>
      <c r="I724" s="36">
        <f>IF(Log_2018[[#This Row],[My Category]]="NONTRACKED",0,Log_2018[[#This Row],[Raw Amount]])</f>
        <v>1516.55</v>
      </c>
      <c r="J724" s="17">
        <f>ABS(Log_2018[[#This Row],[Amount]])</f>
        <v>1516.55</v>
      </c>
      <c r="K724" s="66">
        <v>1</v>
      </c>
      <c r="L724" s="66">
        <f ca="1">IF(Log_2018[[#This Row],[Date]]&lt;=TODAY(), MIN(Log_2018[[#This Row],[Split_raw]], TODAY()-Log_2018[[#This Row],[Date]]+1), 0)</f>
        <v>1</v>
      </c>
      <c r="M724" t="s">
        <v>144</v>
      </c>
      <c r="N724" t="s">
        <v>157</v>
      </c>
      <c r="O724" s="50">
        <v>0</v>
      </c>
      <c r="P724" s="52">
        <f ca="1">Log_2018[[#This Row],[Amount]]/Log_2018[[#This Row],[Split_raw]]*MAX(0,MIN(_xlfn.DAYS(EDATE(P$1,1),Log_2018[[#This Row],[Date]]),Log_2018[[#This Row],[Split_apply]])) - SUM($O724:O724)</f>
        <v>1516.55</v>
      </c>
      <c r="Q724" s="52">
        <f ca="1">Log_2018[[#This Row],[Amount]]/Log_2018[[#This Row],[Split_raw]]*MAX(0,MIN(_xlfn.DAYS(EDATE(Q$1,1),Log_2018[[#This Row],[Date]]),Log_2018[[#This Row],[Split_apply]])) - SUM($O724:P724)</f>
        <v>0</v>
      </c>
      <c r="R724" s="52">
        <f ca="1">Log_2018[[#This Row],[Amount]]/Log_2018[[#This Row],[Split_raw]]*MAX(0,MIN(_xlfn.DAYS(EDATE(R$1,1),Log_2018[[#This Row],[Date]]),Log_2018[[#This Row],[Split_apply]])) - SUM($O724:Q724)</f>
        <v>0</v>
      </c>
      <c r="S724" s="52">
        <f ca="1">Log_2018[[#This Row],[Amount]]/Log_2018[[#This Row],[Split_raw]]*MAX(0,MIN(_xlfn.DAYS(EDATE(S$1,1),Log_2018[[#This Row],[Date]]),Log_2018[[#This Row],[Split_apply]])) - SUM($O724:R724)</f>
        <v>0</v>
      </c>
      <c r="T724" s="52">
        <f ca="1">Log_2018[[#This Row],[Amount]]/Log_2018[[#This Row],[Split_raw]]*MAX(0,MIN(_xlfn.DAYS(EDATE(T$1,1),Log_2018[[#This Row],[Date]]),Log_2018[[#This Row],[Split_apply]])) - SUM($O724:S724)</f>
        <v>0</v>
      </c>
      <c r="U724" s="52">
        <f ca="1">Log_2018[[#This Row],[Amount]]/Log_2018[[#This Row],[Split_raw]]*MAX(0,MIN(_xlfn.DAYS(EDATE(U$1,1),Log_2018[[#This Row],[Date]]),Log_2018[[#This Row],[Split_apply]])) - SUM($O724:T724)</f>
        <v>0</v>
      </c>
      <c r="V724" s="52">
        <f ca="1">Log_2018[[#This Row],[Amount]]/Log_2018[[#This Row],[Split_raw]]*MAX(0,MIN(_xlfn.DAYS(EDATE(V$1,1),Log_2018[[#This Row],[Date]]),Log_2018[[#This Row],[Split_apply]])) - SUM($O724:U724)</f>
        <v>0</v>
      </c>
      <c r="W724" s="52">
        <f ca="1">Log_2018[[#This Row],[Amount]]/Log_2018[[#This Row],[Split_raw]]*MAX(0,MIN(_xlfn.DAYS(EDATE(W$1,1),Log_2018[[#This Row],[Date]]),Log_2018[[#This Row],[Split_apply]])) - SUM($O724:V724)</f>
        <v>0</v>
      </c>
      <c r="X724" s="52">
        <f ca="1">Log_2018[[#This Row],[Amount]]/Log_2018[[#This Row],[Split_raw]]*MAX(0,MIN(_xlfn.DAYS(EDATE(X$1,1),Log_2018[[#This Row],[Date]]),Log_2018[[#This Row],[Split_apply]])) - SUM($O724:W724)</f>
        <v>0</v>
      </c>
      <c r="Y724" s="52">
        <f ca="1">Log_2018[[#This Row],[Amount]]/Log_2018[[#This Row],[Split_raw]]*MAX(0,MIN(_xlfn.DAYS(EDATE(Y$1,1),Log_2018[[#This Row],[Date]]),Log_2018[[#This Row],[Split_apply]])) - SUM($O724:X724)</f>
        <v>0</v>
      </c>
      <c r="Z724" s="52">
        <f ca="1">Log_2018[[#This Row],[Amount]]/Log_2018[[#This Row],[Split_raw]]*MAX(0,MIN(_xlfn.DAYS(EDATE(Z$1,1),Log_2018[[#This Row],[Date]]),Log_2018[[#This Row],[Split_apply]])) - SUM($O724:Y724)</f>
        <v>0</v>
      </c>
      <c r="AA724" s="52">
        <f ca="1">Log_2018[[#This Row],[Amount]]/Log_2018[[#This Row],[Split_raw]]*MAX(0,MIN(_xlfn.DAYS(EDATE(AA$1,1),Log_2018[[#This Row],[Date]]),Log_2018[[#This Row],[Split_apply]])) - SUM($O724:Z724)</f>
        <v>0</v>
      </c>
      <c r="AB724" s="54">
        <f ca="1">Log_2018[[#This Row],[Amount]]-SUM(O724:AA724)</f>
        <v>0</v>
      </c>
      <c r="AC724" s="7">
        <f ca="1">MAX(0,Log_2018[[#This Row],[Split_apply]] - (EDATE(AA$1,1)-Log_2018[[#This Row],[Date]]))</f>
        <v>0</v>
      </c>
    </row>
    <row r="725" spans="1:29" hidden="1" x14ac:dyDescent="0.25">
      <c r="A725" s="115"/>
      <c r="B725" t="s">
        <v>6</v>
      </c>
      <c r="D725" s="39">
        <v>43119</v>
      </c>
      <c r="F725" t="s">
        <v>129</v>
      </c>
      <c r="G725" t="s">
        <v>25</v>
      </c>
      <c r="H725" s="3">
        <v>-15.32</v>
      </c>
      <c r="I725" s="36">
        <f>IF(Log_2018[[#This Row],[My Category]]="NONTRACKED",0,Log_2018[[#This Row],[Raw Amount]])</f>
        <v>-15.32</v>
      </c>
      <c r="J725" s="17">
        <f>ABS(Log_2018[[#This Row],[Amount]])</f>
        <v>15.32</v>
      </c>
      <c r="K725" s="66">
        <v>1</v>
      </c>
      <c r="L725" s="66">
        <f ca="1">IF(Log_2018[[#This Row],[Date]]&lt;=TODAY(), MIN(Log_2018[[#This Row],[Split_raw]], TODAY()-Log_2018[[#This Row],[Date]]+1), 0)</f>
        <v>1</v>
      </c>
      <c r="M725" t="s">
        <v>35</v>
      </c>
      <c r="N725" t="s">
        <v>160</v>
      </c>
      <c r="O725" s="50">
        <v>0</v>
      </c>
      <c r="P725" s="52">
        <f ca="1">Log_2018[[#This Row],[Amount]]/Log_2018[[#This Row],[Split_raw]]*MAX(0,MIN(_xlfn.DAYS(EDATE(P$1,1),Log_2018[[#This Row],[Date]]),Log_2018[[#This Row],[Split_apply]])) - SUM($O725:O725)</f>
        <v>-15.32</v>
      </c>
      <c r="Q725" s="52">
        <f ca="1">Log_2018[[#This Row],[Amount]]/Log_2018[[#This Row],[Split_raw]]*MAX(0,MIN(_xlfn.DAYS(EDATE(Q$1,1),Log_2018[[#This Row],[Date]]),Log_2018[[#This Row],[Split_apply]])) - SUM($O725:P725)</f>
        <v>0</v>
      </c>
      <c r="R725" s="52">
        <f ca="1">Log_2018[[#This Row],[Amount]]/Log_2018[[#This Row],[Split_raw]]*MAX(0,MIN(_xlfn.DAYS(EDATE(R$1,1),Log_2018[[#This Row],[Date]]),Log_2018[[#This Row],[Split_apply]])) - SUM($O725:Q725)</f>
        <v>0</v>
      </c>
      <c r="S725" s="52">
        <f ca="1">Log_2018[[#This Row],[Amount]]/Log_2018[[#This Row],[Split_raw]]*MAX(0,MIN(_xlfn.DAYS(EDATE(S$1,1),Log_2018[[#This Row],[Date]]),Log_2018[[#This Row],[Split_apply]])) - SUM($O725:R725)</f>
        <v>0</v>
      </c>
      <c r="T725" s="52">
        <f ca="1">Log_2018[[#This Row],[Amount]]/Log_2018[[#This Row],[Split_raw]]*MAX(0,MIN(_xlfn.DAYS(EDATE(T$1,1),Log_2018[[#This Row],[Date]]),Log_2018[[#This Row],[Split_apply]])) - SUM($O725:S725)</f>
        <v>0</v>
      </c>
      <c r="U725" s="52">
        <f ca="1">Log_2018[[#This Row],[Amount]]/Log_2018[[#This Row],[Split_raw]]*MAX(0,MIN(_xlfn.DAYS(EDATE(U$1,1),Log_2018[[#This Row],[Date]]),Log_2018[[#This Row],[Split_apply]])) - SUM($O725:T725)</f>
        <v>0</v>
      </c>
      <c r="V725" s="52">
        <f ca="1">Log_2018[[#This Row],[Amount]]/Log_2018[[#This Row],[Split_raw]]*MAX(0,MIN(_xlfn.DAYS(EDATE(V$1,1),Log_2018[[#This Row],[Date]]),Log_2018[[#This Row],[Split_apply]])) - SUM($O725:U725)</f>
        <v>0</v>
      </c>
      <c r="W725" s="52">
        <f ca="1">Log_2018[[#This Row],[Amount]]/Log_2018[[#This Row],[Split_raw]]*MAX(0,MIN(_xlfn.DAYS(EDATE(W$1,1),Log_2018[[#This Row],[Date]]),Log_2018[[#This Row],[Split_apply]])) - SUM($O725:V725)</f>
        <v>0</v>
      </c>
      <c r="X725" s="52">
        <f ca="1">Log_2018[[#This Row],[Amount]]/Log_2018[[#This Row],[Split_raw]]*MAX(0,MIN(_xlfn.DAYS(EDATE(X$1,1),Log_2018[[#This Row],[Date]]),Log_2018[[#This Row],[Split_apply]])) - SUM($O725:W725)</f>
        <v>0</v>
      </c>
      <c r="Y725" s="52">
        <f ca="1">Log_2018[[#This Row],[Amount]]/Log_2018[[#This Row],[Split_raw]]*MAX(0,MIN(_xlfn.DAYS(EDATE(Y$1,1),Log_2018[[#This Row],[Date]]),Log_2018[[#This Row],[Split_apply]])) - SUM($O725:X725)</f>
        <v>0</v>
      </c>
      <c r="Z725" s="52">
        <f ca="1">Log_2018[[#This Row],[Amount]]/Log_2018[[#This Row],[Split_raw]]*MAX(0,MIN(_xlfn.DAYS(EDATE(Z$1,1),Log_2018[[#This Row],[Date]]),Log_2018[[#This Row],[Split_apply]])) - SUM($O725:Y725)</f>
        <v>0</v>
      </c>
      <c r="AA725" s="52">
        <f ca="1">Log_2018[[#This Row],[Amount]]/Log_2018[[#This Row],[Split_raw]]*MAX(0,MIN(_xlfn.DAYS(EDATE(AA$1,1),Log_2018[[#This Row],[Date]]),Log_2018[[#This Row],[Split_apply]])) - SUM($O725:Z725)</f>
        <v>0</v>
      </c>
      <c r="AB725" s="54">
        <f ca="1">Log_2018[[#This Row],[Amount]]-SUM(O725:AA725)</f>
        <v>0</v>
      </c>
      <c r="AC725" s="7">
        <f ca="1">MAX(0,Log_2018[[#This Row],[Split_apply]] - (EDATE(AA$1,1)-Log_2018[[#This Row],[Date]]))</f>
        <v>0</v>
      </c>
    </row>
    <row r="726" spans="1:29" hidden="1" x14ac:dyDescent="0.25">
      <c r="A726" s="115"/>
      <c r="B726" t="s">
        <v>6</v>
      </c>
      <c r="D726" s="39">
        <v>43119</v>
      </c>
      <c r="F726" t="s">
        <v>130</v>
      </c>
      <c r="G726" t="s">
        <v>12</v>
      </c>
      <c r="H726" s="3">
        <v>-7.41</v>
      </c>
      <c r="I726" s="36">
        <f>IF(Log_2018[[#This Row],[My Category]]="NONTRACKED",0,Log_2018[[#This Row],[Raw Amount]])</f>
        <v>-7.41</v>
      </c>
      <c r="J726" s="17">
        <f>ABS(Log_2018[[#This Row],[Amount]])</f>
        <v>7.41</v>
      </c>
      <c r="K726" s="66">
        <v>1</v>
      </c>
      <c r="L726" s="66">
        <f ca="1">IF(Log_2018[[#This Row],[Date]]&lt;=TODAY(), MIN(Log_2018[[#This Row],[Split_raw]], TODAY()-Log_2018[[#This Row],[Date]]+1), 0)</f>
        <v>1</v>
      </c>
      <c r="M726" t="s">
        <v>35</v>
      </c>
      <c r="N726" t="s">
        <v>160</v>
      </c>
      <c r="O726" s="50">
        <v>0</v>
      </c>
      <c r="P726" s="52">
        <f ca="1">Log_2018[[#This Row],[Amount]]/Log_2018[[#This Row],[Split_raw]]*MAX(0,MIN(_xlfn.DAYS(EDATE(P$1,1),Log_2018[[#This Row],[Date]]),Log_2018[[#This Row],[Split_apply]])) - SUM($O726:O726)</f>
        <v>-7.41</v>
      </c>
      <c r="Q726" s="52">
        <f ca="1">Log_2018[[#This Row],[Amount]]/Log_2018[[#This Row],[Split_raw]]*MAX(0,MIN(_xlfn.DAYS(EDATE(Q$1,1),Log_2018[[#This Row],[Date]]),Log_2018[[#This Row],[Split_apply]])) - SUM($O726:P726)</f>
        <v>0</v>
      </c>
      <c r="R726" s="52">
        <f ca="1">Log_2018[[#This Row],[Amount]]/Log_2018[[#This Row],[Split_raw]]*MAX(0,MIN(_xlfn.DAYS(EDATE(R$1,1),Log_2018[[#This Row],[Date]]),Log_2018[[#This Row],[Split_apply]])) - SUM($O726:Q726)</f>
        <v>0</v>
      </c>
      <c r="S726" s="52">
        <f ca="1">Log_2018[[#This Row],[Amount]]/Log_2018[[#This Row],[Split_raw]]*MAX(0,MIN(_xlfn.DAYS(EDATE(S$1,1),Log_2018[[#This Row],[Date]]),Log_2018[[#This Row],[Split_apply]])) - SUM($O726:R726)</f>
        <v>0</v>
      </c>
      <c r="T726" s="52">
        <f ca="1">Log_2018[[#This Row],[Amount]]/Log_2018[[#This Row],[Split_raw]]*MAX(0,MIN(_xlfn.DAYS(EDATE(T$1,1),Log_2018[[#This Row],[Date]]),Log_2018[[#This Row],[Split_apply]])) - SUM($O726:S726)</f>
        <v>0</v>
      </c>
      <c r="U726" s="52">
        <f ca="1">Log_2018[[#This Row],[Amount]]/Log_2018[[#This Row],[Split_raw]]*MAX(0,MIN(_xlfn.DAYS(EDATE(U$1,1),Log_2018[[#This Row],[Date]]),Log_2018[[#This Row],[Split_apply]])) - SUM($O726:T726)</f>
        <v>0</v>
      </c>
      <c r="V726" s="52">
        <f ca="1">Log_2018[[#This Row],[Amount]]/Log_2018[[#This Row],[Split_raw]]*MAX(0,MIN(_xlfn.DAYS(EDATE(V$1,1),Log_2018[[#This Row],[Date]]),Log_2018[[#This Row],[Split_apply]])) - SUM($O726:U726)</f>
        <v>0</v>
      </c>
      <c r="W726" s="52">
        <f ca="1">Log_2018[[#This Row],[Amount]]/Log_2018[[#This Row],[Split_raw]]*MAX(0,MIN(_xlfn.DAYS(EDATE(W$1,1),Log_2018[[#This Row],[Date]]),Log_2018[[#This Row],[Split_apply]])) - SUM($O726:V726)</f>
        <v>0</v>
      </c>
      <c r="X726" s="52">
        <f ca="1">Log_2018[[#This Row],[Amount]]/Log_2018[[#This Row],[Split_raw]]*MAX(0,MIN(_xlfn.DAYS(EDATE(X$1,1),Log_2018[[#This Row],[Date]]),Log_2018[[#This Row],[Split_apply]])) - SUM($O726:W726)</f>
        <v>0</v>
      </c>
      <c r="Y726" s="52">
        <f ca="1">Log_2018[[#This Row],[Amount]]/Log_2018[[#This Row],[Split_raw]]*MAX(0,MIN(_xlfn.DAYS(EDATE(Y$1,1),Log_2018[[#This Row],[Date]]),Log_2018[[#This Row],[Split_apply]])) - SUM($O726:X726)</f>
        <v>0</v>
      </c>
      <c r="Z726" s="52">
        <f ca="1">Log_2018[[#This Row],[Amount]]/Log_2018[[#This Row],[Split_raw]]*MAX(0,MIN(_xlfn.DAYS(EDATE(Z$1,1),Log_2018[[#This Row],[Date]]),Log_2018[[#This Row],[Split_apply]])) - SUM($O726:Y726)</f>
        <v>0</v>
      </c>
      <c r="AA726" s="52">
        <f ca="1">Log_2018[[#This Row],[Amount]]/Log_2018[[#This Row],[Split_raw]]*MAX(0,MIN(_xlfn.DAYS(EDATE(AA$1,1),Log_2018[[#This Row],[Date]]),Log_2018[[#This Row],[Split_apply]])) - SUM($O726:Z726)</f>
        <v>0</v>
      </c>
      <c r="AB726" s="54">
        <f ca="1">Log_2018[[#This Row],[Amount]]-SUM(O726:AA726)</f>
        <v>0</v>
      </c>
      <c r="AC726" s="7">
        <f ca="1">MAX(0,Log_2018[[#This Row],[Split_apply]] - (EDATE(AA$1,1)-Log_2018[[#This Row],[Date]]))</f>
        <v>0</v>
      </c>
    </row>
    <row r="727" spans="1:29" hidden="1" x14ac:dyDescent="0.25">
      <c r="A727" s="115"/>
      <c r="B727" t="s">
        <v>6</v>
      </c>
      <c r="D727" s="39">
        <v>43119</v>
      </c>
      <c r="F727" t="s">
        <v>131</v>
      </c>
      <c r="G727" t="s">
        <v>10</v>
      </c>
      <c r="H727" s="3">
        <v>-4.38</v>
      </c>
      <c r="I727" s="36">
        <f>IF(Log_2018[[#This Row],[My Category]]="NONTRACKED",0,Log_2018[[#This Row],[Raw Amount]])</f>
        <v>-4.38</v>
      </c>
      <c r="J727" s="17">
        <f>ABS(Log_2018[[#This Row],[Amount]])</f>
        <v>4.38</v>
      </c>
      <c r="K727" s="66">
        <v>1</v>
      </c>
      <c r="L727" s="66">
        <f ca="1">IF(Log_2018[[#This Row],[Date]]&lt;=TODAY(), MIN(Log_2018[[#This Row],[Split_raw]], TODAY()-Log_2018[[#This Row],[Date]]+1), 0)</f>
        <v>1</v>
      </c>
      <c r="M727" t="s">
        <v>52</v>
      </c>
      <c r="N727" t="s">
        <v>160</v>
      </c>
      <c r="O727" s="50">
        <v>0</v>
      </c>
      <c r="P727" s="52">
        <f ca="1">Log_2018[[#This Row],[Amount]]/Log_2018[[#This Row],[Split_raw]]*MAX(0,MIN(_xlfn.DAYS(EDATE(P$1,1),Log_2018[[#This Row],[Date]]),Log_2018[[#This Row],[Split_apply]])) - SUM($O727:O727)</f>
        <v>-4.38</v>
      </c>
      <c r="Q727" s="52">
        <f ca="1">Log_2018[[#This Row],[Amount]]/Log_2018[[#This Row],[Split_raw]]*MAX(0,MIN(_xlfn.DAYS(EDATE(Q$1,1),Log_2018[[#This Row],[Date]]),Log_2018[[#This Row],[Split_apply]])) - SUM($O727:P727)</f>
        <v>0</v>
      </c>
      <c r="R727" s="52">
        <f ca="1">Log_2018[[#This Row],[Amount]]/Log_2018[[#This Row],[Split_raw]]*MAX(0,MIN(_xlfn.DAYS(EDATE(R$1,1),Log_2018[[#This Row],[Date]]),Log_2018[[#This Row],[Split_apply]])) - SUM($O727:Q727)</f>
        <v>0</v>
      </c>
      <c r="S727" s="52">
        <f ca="1">Log_2018[[#This Row],[Amount]]/Log_2018[[#This Row],[Split_raw]]*MAX(0,MIN(_xlfn.DAYS(EDATE(S$1,1),Log_2018[[#This Row],[Date]]),Log_2018[[#This Row],[Split_apply]])) - SUM($O727:R727)</f>
        <v>0</v>
      </c>
      <c r="T727" s="52">
        <f ca="1">Log_2018[[#This Row],[Amount]]/Log_2018[[#This Row],[Split_raw]]*MAX(0,MIN(_xlfn.DAYS(EDATE(T$1,1),Log_2018[[#This Row],[Date]]),Log_2018[[#This Row],[Split_apply]])) - SUM($O727:S727)</f>
        <v>0</v>
      </c>
      <c r="U727" s="52">
        <f ca="1">Log_2018[[#This Row],[Amount]]/Log_2018[[#This Row],[Split_raw]]*MAX(0,MIN(_xlfn.DAYS(EDATE(U$1,1),Log_2018[[#This Row],[Date]]),Log_2018[[#This Row],[Split_apply]])) - SUM($O727:T727)</f>
        <v>0</v>
      </c>
      <c r="V727" s="52">
        <f ca="1">Log_2018[[#This Row],[Amount]]/Log_2018[[#This Row],[Split_raw]]*MAX(0,MIN(_xlfn.DAYS(EDATE(V$1,1),Log_2018[[#This Row],[Date]]),Log_2018[[#This Row],[Split_apply]])) - SUM($O727:U727)</f>
        <v>0</v>
      </c>
      <c r="W727" s="52">
        <f ca="1">Log_2018[[#This Row],[Amount]]/Log_2018[[#This Row],[Split_raw]]*MAX(0,MIN(_xlfn.DAYS(EDATE(W$1,1),Log_2018[[#This Row],[Date]]),Log_2018[[#This Row],[Split_apply]])) - SUM($O727:V727)</f>
        <v>0</v>
      </c>
      <c r="X727" s="52">
        <f ca="1">Log_2018[[#This Row],[Amount]]/Log_2018[[#This Row],[Split_raw]]*MAX(0,MIN(_xlfn.DAYS(EDATE(X$1,1),Log_2018[[#This Row],[Date]]),Log_2018[[#This Row],[Split_apply]])) - SUM($O727:W727)</f>
        <v>0</v>
      </c>
      <c r="Y727" s="52">
        <f ca="1">Log_2018[[#This Row],[Amount]]/Log_2018[[#This Row],[Split_raw]]*MAX(0,MIN(_xlfn.DAYS(EDATE(Y$1,1),Log_2018[[#This Row],[Date]]),Log_2018[[#This Row],[Split_apply]])) - SUM($O727:X727)</f>
        <v>0</v>
      </c>
      <c r="Z727" s="52">
        <f ca="1">Log_2018[[#This Row],[Amount]]/Log_2018[[#This Row],[Split_raw]]*MAX(0,MIN(_xlfn.DAYS(EDATE(Z$1,1),Log_2018[[#This Row],[Date]]),Log_2018[[#This Row],[Split_apply]])) - SUM($O727:Y727)</f>
        <v>0</v>
      </c>
      <c r="AA727" s="52">
        <f ca="1">Log_2018[[#This Row],[Amount]]/Log_2018[[#This Row],[Split_raw]]*MAX(0,MIN(_xlfn.DAYS(EDATE(AA$1,1),Log_2018[[#This Row],[Date]]),Log_2018[[#This Row],[Split_apply]])) - SUM($O727:Z727)</f>
        <v>0</v>
      </c>
      <c r="AB727" s="54">
        <f ca="1">Log_2018[[#This Row],[Amount]]-SUM(O727:AA727)</f>
        <v>0</v>
      </c>
      <c r="AC727" s="7">
        <f ca="1">MAX(0,Log_2018[[#This Row],[Split_apply]] - (EDATE(AA$1,1)-Log_2018[[#This Row],[Date]]))</f>
        <v>0</v>
      </c>
    </row>
    <row r="728" spans="1:29" hidden="1" x14ac:dyDescent="0.25">
      <c r="A728" s="115"/>
      <c r="B728" t="s">
        <v>6</v>
      </c>
      <c r="D728" s="39">
        <v>43118</v>
      </c>
      <c r="F728" t="s">
        <v>132</v>
      </c>
      <c r="G728" t="s">
        <v>27</v>
      </c>
      <c r="H728" s="3">
        <v>-84.26</v>
      </c>
      <c r="I728" s="36">
        <f>IF(Log_2018[[#This Row],[My Category]]="NONTRACKED",0,Log_2018[[#This Row],[Raw Amount]])</f>
        <v>-84.26</v>
      </c>
      <c r="J728" s="17">
        <f>ABS(Log_2018[[#This Row],[Amount]])</f>
        <v>84.26</v>
      </c>
      <c r="K728" s="66">
        <v>1</v>
      </c>
      <c r="L728" s="66">
        <f ca="1">IF(Log_2018[[#This Row],[Date]]&lt;=TODAY(), MIN(Log_2018[[#This Row],[Split_raw]], TODAY()-Log_2018[[#This Row],[Date]]+1), 0)</f>
        <v>1</v>
      </c>
      <c r="M728" t="s">
        <v>42</v>
      </c>
      <c r="N728" t="s">
        <v>160</v>
      </c>
      <c r="O728" s="50">
        <v>0</v>
      </c>
      <c r="P728" s="52">
        <f ca="1">Log_2018[[#This Row],[Amount]]/Log_2018[[#This Row],[Split_raw]]*MAX(0,MIN(_xlfn.DAYS(EDATE(P$1,1),Log_2018[[#This Row],[Date]]),Log_2018[[#This Row],[Split_apply]])) - SUM($O728:O728)</f>
        <v>-84.26</v>
      </c>
      <c r="Q728" s="52">
        <f ca="1">Log_2018[[#This Row],[Amount]]/Log_2018[[#This Row],[Split_raw]]*MAX(0,MIN(_xlfn.DAYS(EDATE(Q$1,1),Log_2018[[#This Row],[Date]]),Log_2018[[#This Row],[Split_apply]])) - SUM($O728:P728)</f>
        <v>0</v>
      </c>
      <c r="R728" s="52">
        <f ca="1">Log_2018[[#This Row],[Amount]]/Log_2018[[#This Row],[Split_raw]]*MAX(0,MIN(_xlfn.DAYS(EDATE(R$1,1),Log_2018[[#This Row],[Date]]),Log_2018[[#This Row],[Split_apply]])) - SUM($O728:Q728)</f>
        <v>0</v>
      </c>
      <c r="S728" s="52">
        <f ca="1">Log_2018[[#This Row],[Amount]]/Log_2018[[#This Row],[Split_raw]]*MAX(0,MIN(_xlfn.DAYS(EDATE(S$1,1),Log_2018[[#This Row],[Date]]),Log_2018[[#This Row],[Split_apply]])) - SUM($O728:R728)</f>
        <v>0</v>
      </c>
      <c r="T728" s="52">
        <f ca="1">Log_2018[[#This Row],[Amount]]/Log_2018[[#This Row],[Split_raw]]*MAX(0,MIN(_xlfn.DAYS(EDATE(T$1,1),Log_2018[[#This Row],[Date]]),Log_2018[[#This Row],[Split_apply]])) - SUM($O728:S728)</f>
        <v>0</v>
      </c>
      <c r="U728" s="52">
        <f ca="1">Log_2018[[#This Row],[Amount]]/Log_2018[[#This Row],[Split_raw]]*MAX(0,MIN(_xlfn.DAYS(EDATE(U$1,1),Log_2018[[#This Row],[Date]]),Log_2018[[#This Row],[Split_apply]])) - SUM($O728:T728)</f>
        <v>0</v>
      </c>
      <c r="V728" s="52">
        <f ca="1">Log_2018[[#This Row],[Amount]]/Log_2018[[#This Row],[Split_raw]]*MAX(0,MIN(_xlfn.DAYS(EDATE(V$1,1),Log_2018[[#This Row],[Date]]),Log_2018[[#This Row],[Split_apply]])) - SUM($O728:U728)</f>
        <v>0</v>
      </c>
      <c r="W728" s="52">
        <f ca="1">Log_2018[[#This Row],[Amount]]/Log_2018[[#This Row],[Split_raw]]*MAX(0,MIN(_xlfn.DAYS(EDATE(W$1,1),Log_2018[[#This Row],[Date]]),Log_2018[[#This Row],[Split_apply]])) - SUM($O728:V728)</f>
        <v>0</v>
      </c>
      <c r="X728" s="52">
        <f ca="1">Log_2018[[#This Row],[Amount]]/Log_2018[[#This Row],[Split_raw]]*MAX(0,MIN(_xlfn.DAYS(EDATE(X$1,1),Log_2018[[#This Row],[Date]]),Log_2018[[#This Row],[Split_apply]])) - SUM($O728:W728)</f>
        <v>0</v>
      </c>
      <c r="Y728" s="52">
        <f ca="1">Log_2018[[#This Row],[Amount]]/Log_2018[[#This Row],[Split_raw]]*MAX(0,MIN(_xlfn.DAYS(EDATE(Y$1,1),Log_2018[[#This Row],[Date]]),Log_2018[[#This Row],[Split_apply]])) - SUM($O728:X728)</f>
        <v>0</v>
      </c>
      <c r="Z728" s="52">
        <f ca="1">Log_2018[[#This Row],[Amount]]/Log_2018[[#This Row],[Split_raw]]*MAX(0,MIN(_xlfn.DAYS(EDATE(Z$1,1),Log_2018[[#This Row],[Date]]),Log_2018[[#This Row],[Split_apply]])) - SUM($O728:Y728)</f>
        <v>0</v>
      </c>
      <c r="AA728" s="52">
        <f ca="1">Log_2018[[#This Row],[Amount]]/Log_2018[[#This Row],[Split_raw]]*MAX(0,MIN(_xlfn.DAYS(EDATE(AA$1,1),Log_2018[[#This Row],[Date]]),Log_2018[[#This Row],[Split_apply]])) - SUM($O728:Z728)</f>
        <v>0</v>
      </c>
      <c r="AB728" s="54">
        <f ca="1">Log_2018[[#This Row],[Amount]]-SUM(O728:AA728)</f>
        <v>0</v>
      </c>
      <c r="AC728" s="7">
        <f ca="1">MAX(0,Log_2018[[#This Row],[Split_apply]] - (EDATE(AA$1,1)-Log_2018[[#This Row],[Date]]))</f>
        <v>0</v>
      </c>
    </row>
    <row r="729" spans="1:29" hidden="1" x14ac:dyDescent="0.25">
      <c r="A729" s="115"/>
      <c r="B729" t="s">
        <v>6</v>
      </c>
      <c r="D729" s="39">
        <v>43117</v>
      </c>
      <c r="F729" t="s">
        <v>136</v>
      </c>
      <c r="G729" t="s">
        <v>12</v>
      </c>
      <c r="H729" s="3">
        <v>-14.69</v>
      </c>
      <c r="I729" s="36">
        <f>IF(Log_2018[[#This Row],[My Category]]="NONTRACKED",0,Log_2018[[#This Row],[Raw Amount]])</f>
        <v>-14.69</v>
      </c>
      <c r="J729" s="17">
        <f>ABS(Log_2018[[#This Row],[Amount]])</f>
        <v>14.69</v>
      </c>
      <c r="K729" s="66">
        <v>1</v>
      </c>
      <c r="L729" s="66">
        <f ca="1">IF(Log_2018[[#This Row],[Date]]&lt;=TODAY(), MIN(Log_2018[[#This Row],[Split_raw]], TODAY()-Log_2018[[#This Row],[Date]]+1), 0)</f>
        <v>1</v>
      </c>
      <c r="M729" t="s">
        <v>35</v>
      </c>
      <c r="N729" t="s">
        <v>160</v>
      </c>
      <c r="O729" s="50">
        <v>0</v>
      </c>
      <c r="P729" s="52">
        <f ca="1">Log_2018[[#This Row],[Amount]]/Log_2018[[#This Row],[Split_raw]]*MAX(0,MIN(_xlfn.DAYS(EDATE(P$1,1),Log_2018[[#This Row],[Date]]),Log_2018[[#This Row],[Split_apply]])) - SUM($O729:O729)</f>
        <v>-14.69</v>
      </c>
      <c r="Q729" s="52">
        <f ca="1">Log_2018[[#This Row],[Amount]]/Log_2018[[#This Row],[Split_raw]]*MAX(0,MIN(_xlfn.DAYS(EDATE(Q$1,1),Log_2018[[#This Row],[Date]]),Log_2018[[#This Row],[Split_apply]])) - SUM($O729:P729)</f>
        <v>0</v>
      </c>
      <c r="R729" s="52">
        <f ca="1">Log_2018[[#This Row],[Amount]]/Log_2018[[#This Row],[Split_raw]]*MAX(0,MIN(_xlfn.DAYS(EDATE(R$1,1),Log_2018[[#This Row],[Date]]),Log_2018[[#This Row],[Split_apply]])) - SUM($O729:Q729)</f>
        <v>0</v>
      </c>
      <c r="S729" s="52">
        <f ca="1">Log_2018[[#This Row],[Amount]]/Log_2018[[#This Row],[Split_raw]]*MAX(0,MIN(_xlfn.DAYS(EDATE(S$1,1),Log_2018[[#This Row],[Date]]),Log_2018[[#This Row],[Split_apply]])) - SUM($O729:R729)</f>
        <v>0</v>
      </c>
      <c r="T729" s="52">
        <f ca="1">Log_2018[[#This Row],[Amount]]/Log_2018[[#This Row],[Split_raw]]*MAX(0,MIN(_xlfn.DAYS(EDATE(T$1,1),Log_2018[[#This Row],[Date]]),Log_2018[[#This Row],[Split_apply]])) - SUM($O729:S729)</f>
        <v>0</v>
      </c>
      <c r="U729" s="52">
        <f ca="1">Log_2018[[#This Row],[Amount]]/Log_2018[[#This Row],[Split_raw]]*MAX(0,MIN(_xlfn.DAYS(EDATE(U$1,1),Log_2018[[#This Row],[Date]]),Log_2018[[#This Row],[Split_apply]])) - SUM($O729:T729)</f>
        <v>0</v>
      </c>
      <c r="V729" s="52">
        <f ca="1">Log_2018[[#This Row],[Amount]]/Log_2018[[#This Row],[Split_raw]]*MAX(0,MIN(_xlfn.DAYS(EDATE(V$1,1),Log_2018[[#This Row],[Date]]),Log_2018[[#This Row],[Split_apply]])) - SUM($O729:U729)</f>
        <v>0</v>
      </c>
      <c r="W729" s="52">
        <f ca="1">Log_2018[[#This Row],[Amount]]/Log_2018[[#This Row],[Split_raw]]*MAX(0,MIN(_xlfn.DAYS(EDATE(W$1,1),Log_2018[[#This Row],[Date]]),Log_2018[[#This Row],[Split_apply]])) - SUM($O729:V729)</f>
        <v>0</v>
      </c>
      <c r="X729" s="52">
        <f ca="1">Log_2018[[#This Row],[Amount]]/Log_2018[[#This Row],[Split_raw]]*MAX(0,MIN(_xlfn.DAYS(EDATE(X$1,1),Log_2018[[#This Row],[Date]]),Log_2018[[#This Row],[Split_apply]])) - SUM($O729:W729)</f>
        <v>0</v>
      </c>
      <c r="Y729" s="52">
        <f ca="1">Log_2018[[#This Row],[Amount]]/Log_2018[[#This Row],[Split_raw]]*MAX(0,MIN(_xlfn.DAYS(EDATE(Y$1,1),Log_2018[[#This Row],[Date]]),Log_2018[[#This Row],[Split_apply]])) - SUM($O729:X729)</f>
        <v>0</v>
      </c>
      <c r="Z729" s="52">
        <f ca="1">Log_2018[[#This Row],[Amount]]/Log_2018[[#This Row],[Split_raw]]*MAX(0,MIN(_xlfn.DAYS(EDATE(Z$1,1),Log_2018[[#This Row],[Date]]),Log_2018[[#This Row],[Split_apply]])) - SUM($O729:Y729)</f>
        <v>0</v>
      </c>
      <c r="AA729" s="52">
        <f ca="1">Log_2018[[#This Row],[Amount]]/Log_2018[[#This Row],[Split_raw]]*MAX(0,MIN(_xlfn.DAYS(EDATE(AA$1,1),Log_2018[[#This Row],[Date]]),Log_2018[[#This Row],[Split_apply]])) - SUM($O729:Z729)</f>
        <v>0</v>
      </c>
      <c r="AB729" s="54">
        <f ca="1">Log_2018[[#This Row],[Amount]]-SUM(O729:AA729)</f>
        <v>0</v>
      </c>
      <c r="AC729" s="7">
        <f ca="1">MAX(0,Log_2018[[#This Row],[Split_apply]] - (EDATE(AA$1,1)-Log_2018[[#This Row],[Date]]))</f>
        <v>0</v>
      </c>
    </row>
    <row r="730" spans="1:29" hidden="1" x14ac:dyDescent="0.25">
      <c r="A730" s="115"/>
      <c r="B730" t="s">
        <v>6</v>
      </c>
      <c r="D730" s="39">
        <v>43117</v>
      </c>
      <c r="F730" t="s">
        <v>135</v>
      </c>
      <c r="G730" t="s">
        <v>10</v>
      </c>
      <c r="H730" s="3">
        <v>-18.54</v>
      </c>
      <c r="I730" s="36">
        <f>IF(Log_2018[[#This Row],[My Category]]="NONTRACKED",0,Log_2018[[#This Row],[Raw Amount]])</f>
        <v>-18.54</v>
      </c>
      <c r="J730" s="17">
        <f>ABS(Log_2018[[#This Row],[Amount]])</f>
        <v>18.54</v>
      </c>
      <c r="K730" s="66">
        <v>1</v>
      </c>
      <c r="L730" s="66">
        <f ca="1">IF(Log_2018[[#This Row],[Date]]&lt;=TODAY(), MIN(Log_2018[[#This Row],[Split_raw]], TODAY()-Log_2018[[#This Row],[Date]]+1), 0)</f>
        <v>1</v>
      </c>
      <c r="M730" t="s">
        <v>42</v>
      </c>
      <c r="N730" t="s">
        <v>160</v>
      </c>
      <c r="O730" s="50">
        <v>0</v>
      </c>
      <c r="P730" s="52">
        <f ca="1">Log_2018[[#This Row],[Amount]]/Log_2018[[#This Row],[Split_raw]]*MAX(0,MIN(_xlfn.DAYS(EDATE(P$1,1),Log_2018[[#This Row],[Date]]),Log_2018[[#This Row],[Split_apply]])) - SUM($O730:O730)</f>
        <v>-18.54</v>
      </c>
      <c r="Q730" s="52">
        <f ca="1">Log_2018[[#This Row],[Amount]]/Log_2018[[#This Row],[Split_raw]]*MAX(0,MIN(_xlfn.DAYS(EDATE(Q$1,1),Log_2018[[#This Row],[Date]]),Log_2018[[#This Row],[Split_apply]])) - SUM($O730:P730)</f>
        <v>0</v>
      </c>
      <c r="R730" s="52">
        <f ca="1">Log_2018[[#This Row],[Amount]]/Log_2018[[#This Row],[Split_raw]]*MAX(0,MIN(_xlfn.DAYS(EDATE(R$1,1),Log_2018[[#This Row],[Date]]),Log_2018[[#This Row],[Split_apply]])) - SUM($O730:Q730)</f>
        <v>0</v>
      </c>
      <c r="S730" s="52">
        <f ca="1">Log_2018[[#This Row],[Amount]]/Log_2018[[#This Row],[Split_raw]]*MAX(0,MIN(_xlfn.DAYS(EDATE(S$1,1),Log_2018[[#This Row],[Date]]),Log_2018[[#This Row],[Split_apply]])) - SUM($O730:R730)</f>
        <v>0</v>
      </c>
      <c r="T730" s="52">
        <f ca="1">Log_2018[[#This Row],[Amount]]/Log_2018[[#This Row],[Split_raw]]*MAX(0,MIN(_xlfn.DAYS(EDATE(T$1,1),Log_2018[[#This Row],[Date]]),Log_2018[[#This Row],[Split_apply]])) - SUM($O730:S730)</f>
        <v>0</v>
      </c>
      <c r="U730" s="52">
        <f ca="1">Log_2018[[#This Row],[Amount]]/Log_2018[[#This Row],[Split_raw]]*MAX(0,MIN(_xlfn.DAYS(EDATE(U$1,1),Log_2018[[#This Row],[Date]]),Log_2018[[#This Row],[Split_apply]])) - SUM($O730:T730)</f>
        <v>0</v>
      </c>
      <c r="V730" s="52">
        <f ca="1">Log_2018[[#This Row],[Amount]]/Log_2018[[#This Row],[Split_raw]]*MAX(0,MIN(_xlfn.DAYS(EDATE(V$1,1),Log_2018[[#This Row],[Date]]),Log_2018[[#This Row],[Split_apply]])) - SUM($O730:U730)</f>
        <v>0</v>
      </c>
      <c r="W730" s="52">
        <f ca="1">Log_2018[[#This Row],[Amount]]/Log_2018[[#This Row],[Split_raw]]*MAX(0,MIN(_xlfn.DAYS(EDATE(W$1,1),Log_2018[[#This Row],[Date]]),Log_2018[[#This Row],[Split_apply]])) - SUM($O730:V730)</f>
        <v>0</v>
      </c>
      <c r="X730" s="52">
        <f ca="1">Log_2018[[#This Row],[Amount]]/Log_2018[[#This Row],[Split_raw]]*MAX(0,MIN(_xlfn.DAYS(EDATE(X$1,1),Log_2018[[#This Row],[Date]]),Log_2018[[#This Row],[Split_apply]])) - SUM($O730:W730)</f>
        <v>0</v>
      </c>
      <c r="Y730" s="52">
        <f ca="1">Log_2018[[#This Row],[Amount]]/Log_2018[[#This Row],[Split_raw]]*MAX(0,MIN(_xlfn.DAYS(EDATE(Y$1,1),Log_2018[[#This Row],[Date]]),Log_2018[[#This Row],[Split_apply]])) - SUM($O730:X730)</f>
        <v>0</v>
      </c>
      <c r="Z730" s="52">
        <f ca="1">Log_2018[[#This Row],[Amount]]/Log_2018[[#This Row],[Split_raw]]*MAX(0,MIN(_xlfn.DAYS(EDATE(Z$1,1),Log_2018[[#This Row],[Date]]),Log_2018[[#This Row],[Split_apply]])) - SUM($O730:Y730)</f>
        <v>0</v>
      </c>
      <c r="AA730" s="52">
        <f ca="1">Log_2018[[#This Row],[Amount]]/Log_2018[[#This Row],[Split_raw]]*MAX(0,MIN(_xlfn.DAYS(EDATE(AA$1,1),Log_2018[[#This Row],[Date]]),Log_2018[[#This Row],[Split_apply]])) - SUM($O730:Z730)</f>
        <v>0</v>
      </c>
      <c r="AB730" s="54">
        <f ca="1">Log_2018[[#This Row],[Amount]]-SUM(O730:AA730)</f>
        <v>0</v>
      </c>
      <c r="AC730" s="7">
        <f ca="1">MAX(0,Log_2018[[#This Row],[Split_apply]] - (EDATE(AA$1,1)-Log_2018[[#This Row],[Date]]))</f>
        <v>0</v>
      </c>
    </row>
    <row r="731" spans="1:29" hidden="1" x14ac:dyDescent="0.25">
      <c r="A731" s="115"/>
      <c r="B731" t="s">
        <v>6</v>
      </c>
      <c r="D731" s="39">
        <v>43117</v>
      </c>
      <c r="F731" t="s">
        <v>134</v>
      </c>
      <c r="G731" t="s">
        <v>10</v>
      </c>
      <c r="H731" s="3">
        <v>-18.75</v>
      </c>
      <c r="I731" s="36">
        <f>IF(Log_2018[[#This Row],[My Category]]="NONTRACKED",0,Log_2018[[#This Row],[Raw Amount]])</f>
        <v>-18.75</v>
      </c>
      <c r="J731" s="17">
        <f>ABS(Log_2018[[#This Row],[Amount]])</f>
        <v>18.75</v>
      </c>
      <c r="K731" s="66">
        <v>1</v>
      </c>
      <c r="L731" s="66">
        <f ca="1">IF(Log_2018[[#This Row],[Date]]&lt;=TODAY(), MIN(Log_2018[[#This Row],[Split_raw]], TODAY()-Log_2018[[#This Row],[Date]]+1), 0)</f>
        <v>1</v>
      </c>
      <c r="M731" t="s">
        <v>42</v>
      </c>
      <c r="N731" t="s">
        <v>160</v>
      </c>
      <c r="O731" s="50">
        <v>0</v>
      </c>
      <c r="P731" s="52">
        <f ca="1">Log_2018[[#This Row],[Amount]]/Log_2018[[#This Row],[Split_raw]]*MAX(0,MIN(_xlfn.DAYS(EDATE(P$1,1),Log_2018[[#This Row],[Date]]),Log_2018[[#This Row],[Split_apply]])) - SUM($O731:O731)</f>
        <v>-18.75</v>
      </c>
      <c r="Q731" s="52">
        <f ca="1">Log_2018[[#This Row],[Amount]]/Log_2018[[#This Row],[Split_raw]]*MAX(0,MIN(_xlfn.DAYS(EDATE(Q$1,1),Log_2018[[#This Row],[Date]]),Log_2018[[#This Row],[Split_apply]])) - SUM($O731:P731)</f>
        <v>0</v>
      </c>
      <c r="R731" s="52">
        <f ca="1">Log_2018[[#This Row],[Amount]]/Log_2018[[#This Row],[Split_raw]]*MAX(0,MIN(_xlfn.DAYS(EDATE(R$1,1),Log_2018[[#This Row],[Date]]),Log_2018[[#This Row],[Split_apply]])) - SUM($O731:Q731)</f>
        <v>0</v>
      </c>
      <c r="S731" s="52">
        <f ca="1">Log_2018[[#This Row],[Amount]]/Log_2018[[#This Row],[Split_raw]]*MAX(0,MIN(_xlfn.DAYS(EDATE(S$1,1),Log_2018[[#This Row],[Date]]),Log_2018[[#This Row],[Split_apply]])) - SUM($O731:R731)</f>
        <v>0</v>
      </c>
      <c r="T731" s="52">
        <f ca="1">Log_2018[[#This Row],[Amount]]/Log_2018[[#This Row],[Split_raw]]*MAX(0,MIN(_xlfn.DAYS(EDATE(T$1,1),Log_2018[[#This Row],[Date]]),Log_2018[[#This Row],[Split_apply]])) - SUM($O731:S731)</f>
        <v>0</v>
      </c>
      <c r="U731" s="52">
        <f ca="1">Log_2018[[#This Row],[Amount]]/Log_2018[[#This Row],[Split_raw]]*MAX(0,MIN(_xlfn.DAYS(EDATE(U$1,1),Log_2018[[#This Row],[Date]]),Log_2018[[#This Row],[Split_apply]])) - SUM($O731:T731)</f>
        <v>0</v>
      </c>
      <c r="V731" s="52">
        <f ca="1">Log_2018[[#This Row],[Amount]]/Log_2018[[#This Row],[Split_raw]]*MAX(0,MIN(_xlfn.DAYS(EDATE(V$1,1),Log_2018[[#This Row],[Date]]),Log_2018[[#This Row],[Split_apply]])) - SUM($O731:U731)</f>
        <v>0</v>
      </c>
      <c r="W731" s="52">
        <f ca="1">Log_2018[[#This Row],[Amount]]/Log_2018[[#This Row],[Split_raw]]*MAX(0,MIN(_xlfn.DAYS(EDATE(W$1,1),Log_2018[[#This Row],[Date]]),Log_2018[[#This Row],[Split_apply]])) - SUM($O731:V731)</f>
        <v>0</v>
      </c>
      <c r="X731" s="52">
        <f ca="1">Log_2018[[#This Row],[Amount]]/Log_2018[[#This Row],[Split_raw]]*MAX(0,MIN(_xlfn.DAYS(EDATE(X$1,1),Log_2018[[#This Row],[Date]]),Log_2018[[#This Row],[Split_apply]])) - SUM($O731:W731)</f>
        <v>0</v>
      </c>
      <c r="Y731" s="52">
        <f ca="1">Log_2018[[#This Row],[Amount]]/Log_2018[[#This Row],[Split_raw]]*MAX(0,MIN(_xlfn.DAYS(EDATE(Y$1,1),Log_2018[[#This Row],[Date]]),Log_2018[[#This Row],[Split_apply]])) - SUM($O731:X731)</f>
        <v>0</v>
      </c>
      <c r="Z731" s="52">
        <f ca="1">Log_2018[[#This Row],[Amount]]/Log_2018[[#This Row],[Split_raw]]*MAX(0,MIN(_xlfn.DAYS(EDATE(Z$1,1),Log_2018[[#This Row],[Date]]),Log_2018[[#This Row],[Split_apply]])) - SUM($O731:Y731)</f>
        <v>0</v>
      </c>
      <c r="AA731" s="52">
        <f ca="1">Log_2018[[#This Row],[Amount]]/Log_2018[[#This Row],[Split_raw]]*MAX(0,MIN(_xlfn.DAYS(EDATE(AA$1,1),Log_2018[[#This Row],[Date]]),Log_2018[[#This Row],[Split_apply]])) - SUM($O731:Z731)</f>
        <v>0</v>
      </c>
      <c r="AB731" s="54">
        <f ca="1">Log_2018[[#This Row],[Amount]]-SUM(O731:AA731)</f>
        <v>0</v>
      </c>
      <c r="AC731" s="7">
        <f ca="1">MAX(0,Log_2018[[#This Row],[Split_apply]] - (EDATE(AA$1,1)-Log_2018[[#This Row],[Date]]))</f>
        <v>0</v>
      </c>
    </row>
    <row r="732" spans="1:29" hidden="1" x14ac:dyDescent="0.25">
      <c r="A732" s="115"/>
      <c r="B732" t="s">
        <v>6</v>
      </c>
      <c r="D732" s="39">
        <v>43117</v>
      </c>
      <c r="F732" t="s">
        <v>133</v>
      </c>
      <c r="G732" t="s">
        <v>10</v>
      </c>
      <c r="H732" s="3">
        <v>-24.04</v>
      </c>
      <c r="I732" s="36">
        <f>IF(Log_2018[[#This Row],[My Category]]="NONTRACKED",0,Log_2018[[#This Row],[Raw Amount]])</f>
        <v>-24.04</v>
      </c>
      <c r="J732" s="17">
        <f>ABS(Log_2018[[#This Row],[Amount]])</f>
        <v>24.04</v>
      </c>
      <c r="K732" s="66">
        <v>1</v>
      </c>
      <c r="L732" s="66">
        <f ca="1">IF(Log_2018[[#This Row],[Date]]&lt;=TODAY(), MIN(Log_2018[[#This Row],[Split_raw]], TODAY()-Log_2018[[#This Row],[Date]]+1), 0)</f>
        <v>1</v>
      </c>
      <c r="M732" t="s">
        <v>42</v>
      </c>
      <c r="N732" t="s">
        <v>160</v>
      </c>
      <c r="O732" s="50">
        <v>0</v>
      </c>
      <c r="P732" s="52">
        <f ca="1">Log_2018[[#This Row],[Amount]]/Log_2018[[#This Row],[Split_raw]]*MAX(0,MIN(_xlfn.DAYS(EDATE(P$1,1),Log_2018[[#This Row],[Date]]),Log_2018[[#This Row],[Split_apply]])) - SUM($O732:O732)</f>
        <v>-24.04</v>
      </c>
      <c r="Q732" s="52">
        <f ca="1">Log_2018[[#This Row],[Amount]]/Log_2018[[#This Row],[Split_raw]]*MAX(0,MIN(_xlfn.DAYS(EDATE(Q$1,1),Log_2018[[#This Row],[Date]]),Log_2018[[#This Row],[Split_apply]])) - SUM($O732:P732)</f>
        <v>0</v>
      </c>
      <c r="R732" s="52">
        <f ca="1">Log_2018[[#This Row],[Amount]]/Log_2018[[#This Row],[Split_raw]]*MAX(0,MIN(_xlfn.DAYS(EDATE(R$1,1),Log_2018[[#This Row],[Date]]),Log_2018[[#This Row],[Split_apply]])) - SUM($O732:Q732)</f>
        <v>0</v>
      </c>
      <c r="S732" s="52">
        <f ca="1">Log_2018[[#This Row],[Amount]]/Log_2018[[#This Row],[Split_raw]]*MAX(0,MIN(_xlfn.DAYS(EDATE(S$1,1),Log_2018[[#This Row],[Date]]),Log_2018[[#This Row],[Split_apply]])) - SUM($O732:R732)</f>
        <v>0</v>
      </c>
      <c r="T732" s="52">
        <f ca="1">Log_2018[[#This Row],[Amount]]/Log_2018[[#This Row],[Split_raw]]*MAX(0,MIN(_xlfn.DAYS(EDATE(T$1,1),Log_2018[[#This Row],[Date]]),Log_2018[[#This Row],[Split_apply]])) - SUM($O732:S732)</f>
        <v>0</v>
      </c>
      <c r="U732" s="52">
        <f ca="1">Log_2018[[#This Row],[Amount]]/Log_2018[[#This Row],[Split_raw]]*MAX(0,MIN(_xlfn.DAYS(EDATE(U$1,1),Log_2018[[#This Row],[Date]]),Log_2018[[#This Row],[Split_apply]])) - SUM($O732:T732)</f>
        <v>0</v>
      </c>
      <c r="V732" s="52">
        <f ca="1">Log_2018[[#This Row],[Amount]]/Log_2018[[#This Row],[Split_raw]]*MAX(0,MIN(_xlfn.DAYS(EDATE(V$1,1),Log_2018[[#This Row],[Date]]),Log_2018[[#This Row],[Split_apply]])) - SUM($O732:U732)</f>
        <v>0</v>
      </c>
      <c r="W732" s="52">
        <f ca="1">Log_2018[[#This Row],[Amount]]/Log_2018[[#This Row],[Split_raw]]*MAX(0,MIN(_xlfn.DAYS(EDATE(W$1,1),Log_2018[[#This Row],[Date]]),Log_2018[[#This Row],[Split_apply]])) - SUM($O732:V732)</f>
        <v>0</v>
      </c>
      <c r="X732" s="52">
        <f ca="1">Log_2018[[#This Row],[Amount]]/Log_2018[[#This Row],[Split_raw]]*MAX(0,MIN(_xlfn.DAYS(EDATE(X$1,1),Log_2018[[#This Row],[Date]]),Log_2018[[#This Row],[Split_apply]])) - SUM($O732:W732)</f>
        <v>0</v>
      </c>
      <c r="Y732" s="52">
        <f ca="1">Log_2018[[#This Row],[Amount]]/Log_2018[[#This Row],[Split_raw]]*MAX(0,MIN(_xlfn.DAYS(EDATE(Y$1,1),Log_2018[[#This Row],[Date]]),Log_2018[[#This Row],[Split_apply]])) - SUM($O732:X732)</f>
        <v>0</v>
      </c>
      <c r="Z732" s="52">
        <f ca="1">Log_2018[[#This Row],[Amount]]/Log_2018[[#This Row],[Split_raw]]*MAX(0,MIN(_xlfn.DAYS(EDATE(Z$1,1),Log_2018[[#This Row],[Date]]),Log_2018[[#This Row],[Split_apply]])) - SUM($O732:Y732)</f>
        <v>0</v>
      </c>
      <c r="AA732" s="52">
        <f ca="1">Log_2018[[#This Row],[Amount]]/Log_2018[[#This Row],[Split_raw]]*MAX(0,MIN(_xlfn.DAYS(EDATE(AA$1,1),Log_2018[[#This Row],[Date]]),Log_2018[[#This Row],[Split_apply]])) - SUM($O732:Z732)</f>
        <v>0</v>
      </c>
      <c r="AB732" s="54">
        <f ca="1">Log_2018[[#This Row],[Amount]]-SUM(O732:AA732)</f>
        <v>0</v>
      </c>
      <c r="AC732" s="7">
        <f ca="1">MAX(0,Log_2018[[#This Row],[Split_apply]] - (EDATE(AA$1,1)-Log_2018[[#This Row],[Date]]))</f>
        <v>0</v>
      </c>
    </row>
    <row r="733" spans="1:29" hidden="1" x14ac:dyDescent="0.25">
      <c r="A733" s="115"/>
      <c r="B733" t="s">
        <v>6</v>
      </c>
      <c r="D733" s="39">
        <v>43117</v>
      </c>
      <c r="F733" t="s">
        <v>137</v>
      </c>
      <c r="G733" t="s">
        <v>25</v>
      </c>
      <c r="H733" s="3">
        <v>-13.04</v>
      </c>
      <c r="I733" s="36">
        <f>IF(Log_2018[[#This Row],[My Category]]="NONTRACKED",0,Log_2018[[#This Row],[Raw Amount]])</f>
        <v>-13.04</v>
      </c>
      <c r="J733" s="17">
        <f>ABS(Log_2018[[#This Row],[Amount]])</f>
        <v>13.04</v>
      </c>
      <c r="K733" s="66">
        <v>1</v>
      </c>
      <c r="L733" s="66">
        <f ca="1">IF(Log_2018[[#This Row],[Date]]&lt;=TODAY(), MIN(Log_2018[[#This Row],[Split_raw]], TODAY()-Log_2018[[#This Row],[Date]]+1), 0)</f>
        <v>1</v>
      </c>
      <c r="M733" t="s">
        <v>35</v>
      </c>
      <c r="N733" t="s">
        <v>160</v>
      </c>
      <c r="O733" s="50">
        <v>0</v>
      </c>
      <c r="P733" s="52">
        <f ca="1">Log_2018[[#This Row],[Amount]]/Log_2018[[#This Row],[Split_raw]]*MAX(0,MIN(_xlfn.DAYS(EDATE(P$1,1),Log_2018[[#This Row],[Date]]),Log_2018[[#This Row],[Split_apply]])) - SUM($O733:O733)</f>
        <v>-13.04</v>
      </c>
      <c r="Q733" s="52">
        <f ca="1">Log_2018[[#This Row],[Amount]]/Log_2018[[#This Row],[Split_raw]]*MAX(0,MIN(_xlfn.DAYS(EDATE(Q$1,1),Log_2018[[#This Row],[Date]]),Log_2018[[#This Row],[Split_apply]])) - SUM($O733:P733)</f>
        <v>0</v>
      </c>
      <c r="R733" s="52">
        <f ca="1">Log_2018[[#This Row],[Amount]]/Log_2018[[#This Row],[Split_raw]]*MAX(0,MIN(_xlfn.DAYS(EDATE(R$1,1),Log_2018[[#This Row],[Date]]),Log_2018[[#This Row],[Split_apply]])) - SUM($O733:Q733)</f>
        <v>0</v>
      </c>
      <c r="S733" s="52">
        <f ca="1">Log_2018[[#This Row],[Amount]]/Log_2018[[#This Row],[Split_raw]]*MAX(0,MIN(_xlfn.DAYS(EDATE(S$1,1),Log_2018[[#This Row],[Date]]),Log_2018[[#This Row],[Split_apply]])) - SUM($O733:R733)</f>
        <v>0</v>
      </c>
      <c r="T733" s="52">
        <f ca="1">Log_2018[[#This Row],[Amount]]/Log_2018[[#This Row],[Split_raw]]*MAX(0,MIN(_xlfn.DAYS(EDATE(T$1,1),Log_2018[[#This Row],[Date]]),Log_2018[[#This Row],[Split_apply]])) - SUM($O733:S733)</f>
        <v>0</v>
      </c>
      <c r="U733" s="52">
        <f ca="1">Log_2018[[#This Row],[Amount]]/Log_2018[[#This Row],[Split_raw]]*MAX(0,MIN(_xlfn.DAYS(EDATE(U$1,1),Log_2018[[#This Row],[Date]]),Log_2018[[#This Row],[Split_apply]])) - SUM($O733:T733)</f>
        <v>0</v>
      </c>
      <c r="V733" s="52">
        <f ca="1">Log_2018[[#This Row],[Amount]]/Log_2018[[#This Row],[Split_raw]]*MAX(0,MIN(_xlfn.DAYS(EDATE(V$1,1),Log_2018[[#This Row],[Date]]),Log_2018[[#This Row],[Split_apply]])) - SUM($O733:U733)</f>
        <v>0</v>
      </c>
      <c r="W733" s="52">
        <f ca="1">Log_2018[[#This Row],[Amount]]/Log_2018[[#This Row],[Split_raw]]*MAX(0,MIN(_xlfn.DAYS(EDATE(W$1,1),Log_2018[[#This Row],[Date]]),Log_2018[[#This Row],[Split_apply]])) - SUM($O733:V733)</f>
        <v>0</v>
      </c>
      <c r="X733" s="52">
        <f ca="1">Log_2018[[#This Row],[Amount]]/Log_2018[[#This Row],[Split_raw]]*MAX(0,MIN(_xlfn.DAYS(EDATE(X$1,1),Log_2018[[#This Row],[Date]]),Log_2018[[#This Row],[Split_apply]])) - SUM($O733:W733)</f>
        <v>0</v>
      </c>
      <c r="Y733" s="52">
        <f ca="1">Log_2018[[#This Row],[Amount]]/Log_2018[[#This Row],[Split_raw]]*MAX(0,MIN(_xlfn.DAYS(EDATE(Y$1,1),Log_2018[[#This Row],[Date]]),Log_2018[[#This Row],[Split_apply]])) - SUM($O733:X733)</f>
        <v>0</v>
      </c>
      <c r="Z733" s="52">
        <f ca="1">Log_2018[[#This Row],[Amount]]/Log_2018[[#This Row],[Split_raw]]*MAX(0,MIN(_xlfn.DAYS(EDATE(Z$1,1),Log_2018[[#This Row],[Date]]),Log_2018[[#This Row],[Split_apply]])) - SUM($O733:Y733)</f>
        <v>0</v>
      </c>
      <c r="AA733" s="52">
        <f ca="1">Log_2018[[#This Row],[Amount]]/Log_2018[[#This Row],[Split_raw]]*MAX(0,MIN(_xlfn.DAYS(EDATE(AA$1,1),Log_2018[[#This Row],[Date]]),Log_2018[[#This Row],[Split_apply]])) - SUM($O733:Z733)</f>
        <v>0</v>
      </c>
      <c r="AB733" s="54">
        <f ca="1">Log_2018[[#This Row],[Amount]]-SUM(O733:AA733)</f>
        <v>0</v>
      </c>
      <c r="AC733" s="7">
        <f ca="1">MAX(0,Log_2018[[#This Row],[Split_apply]] - (EDATE(AA$1,1)-Log_2018[[#This Row],[Date]]))</f>
        <v>0</v>
      </c>
    </row>
    <row r="734" spans="1:29" hidden="1" x14ac:dyDescent="0.25">
      <c r="A734" s="115"/>
      <c r="B734" t="s">
        <v>6</v>
      </c>
      <c r="D734" s="39">
        <v>43116</v>
      </c>
      <c r="F734" t="s">
        <v>140</v>
      </c>
      <c r="G734" t="s">
        <v>12</v>
      </c>
      <c r="H734" s="3">
        <v>-17.05</v>
      </c>
      <c r="I734" s="36">
        <f>IF(Log_2018[[#This Row],[My Category]]="NONTRACKED",0,Log_2018[[#This Row],[Raw Amount]])</f>
        <v>-17.05</v>
      </c>
      <c r="J734" s="17">
        <f>ABS(Log_2018[[#This Row],[Amount]])</f>
        <v>17.05</v>
      </c>
      <c r="K734" s="66">
        <v>1</v>
      </c>
      <c r="L734" s="66">
        <f ca="1">IF(Log_2018[[#This Row],[Date]]&lt;=TODAY(), MIN(Log_2018[[#This Row],[Split_raw]], TODAY()-Log_2018[[#This Row],[Date]]+1), 0)</f>
        <v>1</v>
      </c>
      <c r="M734" t="s">
        <v>42</v>
      </c>
      <c r="N734" t="s">
        <v>160</v>
      </c>
      <c r="O734" s="50">
        <v>0</v>
      </c>
      <c r="P734" s="52">
        <f ca="1">Log_2018[[#This Row],[Amount]]/Log_2018[[#This Row],[Split_raw]]*MAX(0,MIN(_xlfn.DAYS(EDATE(P$1,1),Log_2018[[#This Row],[Date]]),Log_2018[[#This Row],[Split_apply]])) - SUM($O734:O734)</f>
        <v>-17.05</v>
      </c>
      <c r="Q734" s="52">
        <f ca="1">Log_2018[[#This Row],[Amount]]/Log_2018[[#This Row],[Split_raw]]*MAX(0,MIN(_xlfn.DAYS(EDATE(Q$1,1),Log_2018[[#This Row],[Date]]),Log_2018[[#This Row],[Split_apply]])) - SUM($O734:P734)</f>
        <v>0</v>
      </c>
      <c r="R734" s="52">
        <f ca="1">Log_2018[[#This Row],[Amount]]/Log_2018[[#This Row],[Split_raw]]*MAX(0,MIN(_xlfn.DAYS(EDATE(R$1,1),Log_2018[[#This Row],[Date]]),Log_2018[[#This Row],[Split_apply]])) - SUM($O734:Q734)</f>
        <v>0</v>
      </c>
      <c r="S734" s="52">
        <f ca="1">Log_2018[[#This Row],[Amount]]/Log_2018[[#This Row],[Split_raw]]*MAX(0,MIN(_xlfn.DAYS(EDATE(S$1,1),Log_2018[[#This Row],[Date]]),Log_2018[[#This Row],[Split_apply]])) - SUM($O734:R734)</f>
        <v>0</v>
      </c>
      <c r="T734" s="52">
        <f ca="1">Log_2018[[#This Row],[Amount]]/Log_2018[[#This Row],[Split_raw]]*MAX(0,MIN(_xlfn.DAYS(EDATE(T$1,1),Log_2018[[#This Row],[Date]]),Log_2018[[#This Row],[Split_apply]])) - SUM($O734:S734)</f>
        <v>0</v>
      </c>
      <c r="U734" s="52">
        <f ca="1">Log_2018[[#This Row],[Amount]]/Log_2018[[#This Row],[Split_raw]]*MAX(0,MIN(_xlfn.DAYS(EDATE(U$1,1),Log_2018[[#This Row],[Date]]),Log_2018[[#This Row],[Split_apply]])) - SUM($O734:T734)</f>
        <v>0</v>
      </c>
      <c r="V734" s="52">
        <f ca="1">Log_2018[[#This Row],[Amount]]/Log_2018[[#This Row],[Split_raw]]*MAX(0,MIN(_xlfn.DAYS(EDATE(V$1,1),Log_2018[[#This Row],[Date]]),Log_2018[[#This Row],[Split_apply]])) - SUM($O734:U734)</f>
        <v>0</v>
      </c>
      <c r="W734" s="52">
        <f ca="1">Log_2018[[#This Row],[Amount]]/Log_2018[[#This Row],[Split_raw]]*MAX(0,MIN(_xlfn.DAYS(EDATE(W$1,1),Log_2018[[#This Row],[Date]]),Log_2018[[#This Row],[Split_apply]])) - SUM($O734:V734)</f>
        <v>0</v>
      </c>
      <c r="X734" s="52">
        <f ca="1">Log_2018[[#This Row],[Amount]]/Log_2018[[#This Row],[Split_raw]]*MAX(0,MIN(_xlfn.DAYS(EDATE(X$1,1),Log_2018[[#This Row],[Date]]),Log_2018[[#This Row],[Split_apply]])) - SUM($O734:W734)</f>
        <v>0</v>
      </c>
      <c r="Y734" s="52">
        <f ca="1">Log_2018[[#This Row],[Amount]]/Log_2018[[#This Row],[Split_raw]]*MAX(0,MIN(_xlfn.DAYS(EDATE(Y$1,1),Log_2018[[#This Row],[Date]]),Log_2018[[#This Row],[Split_apply]])) - SUM($O734:X734)</f>
        <v>0</v>
      </c>
      <c r="Z734" s="52">
        <f ca="1">Log_2018[[#This Row],[Amount]]/Log_2018[[#This Row],[Split_raw]]*MAX(0,MIN(_xlfn.DAYS(EDATE(Z$1,1),Log_2018[[#This Row],[Date]]),Log_2018[[#This Row],[Split_apply]])) - SUM($O734:Y734)</f>
        <v>0</v>
      </c>
      <c r="AA734" s="52">
        <f ca="1">Log_2018[[#This Row],[Amount]]/Log_2018[[#This Row],[Split_raw]]*MAX(0,MIN(_xlfn.DAYS(EDATE(AA$1,1),Log_2018[[#This Row],[Date]]),Log_2018[[#This Row],[Split_apply]])) - SUM($O734:Z734)</f>
        <v>0</v>
      </c>
      <c r="AB734" s="54">
        <f ca="1">Log_2018[[#This Row],[Amount]]-SUM(O734:AA734)</f>
        <v>0</v>
      </c>
      <c r="AC734" s="7">
        <f ca="1">MAX(0,Log_2018[[#This Row],[Split_apply]] - (EDATE(AA$1,1)-Log_2018[[#This Row],[Date]]))</f>
        <v>0</v>
      </c>
    </row>
    <row r="735" spans="1:29" hidden="1" x14ac:dyDescent="0.25">
      <c r="A735" s="115"/>
      <c r="B735" t="s">
        <v>6</v>
      </c>
      <c r="D735" s="39">
        <v>43116</v>
      </c>
      <c r="F735" t="s">
        <v>139</v>
      </c>
      <c r="G735" t="s">
        <v>10</v>
      </c>
      <c r="H735" s="3">
        <v>-17.88</v>
      </c>
      <c r="I735" s="36">
        <f>IF(Log_2018[[#This Row],[My Category]]="NONTRACKED",0,Log_2018[[#This Row],[Raw Amount]])</f>
        <v>-17.88</v>
      </c>
      <c r="J735" s="17">
        <f>ABS(Log_2018[[#This Row],[Amount]])</f>
        <v>17.88</v>
      </c>
      <c r="K735" s="66">
        <v>1</v>
      </c>
      <c r="L735" s="66">
        <f ca="1">IF(Log_2018[[#This Row],[Date]]&lt;=TODAY(), MIN(Log_2018[[#This Row],[Split_raw]], TODAY()-Log_2018[[#This Row],[Date]]+1), 0)</f>
        <v>1</v>
      </c>
      <c r="M735" t="s">
        <v>42</v>
      </c>
      <c r="N735" t="s">
        <v>160</v>
      </c>
      <c r="O735" s="50">
        <v>0</v>
      </c>
      <c r="P735" s="52">
        <f ca="1">Log_2018[[#This Row],[Amount]]/Log_2018[[#This Row],[Split_raw]]*MAX(0,MIN(_xlfn.DAYS(EDATE(P$1,1),Log_2018[[#This Row],[Date]]),Log_2018[[#This Row],[Split_apply]])) - SUM($O735:O735)</f>
        <v>-17.88</v>
      </c>
      <c r="Q735" s="52">
        <f ca="1">Log_2018[[#This Row],[Amount]]/Log_2018[[#This Row],[Split_raw]]*MAX(0,MIN(_xlfn.DAYS(EDATE(Q$1,1),Log_2018[[#This Row],[Date]]),Log_2018[[#This Row],[Split_apply]])) - SUM($O735:P735)</f>
        <v>0</v>
      </c>
      <c r="R735" s="52">
        <f ca="1">Log_2018[[#This Row],[Amount]]/Log_2018[[#This Row],[Split_raw]]*MAX(0,MIN(_xlfn.DAYS(EDATE(R$1,1),Log_2018[[#This Row],[Date]]),Log_2018[[#This Row],[Split_apply]])) - SUM($O735:Q735)</f>
        <v>0</v>
      </c>
      <c r="S735" s="52">
        <f ca="1">Log_2018[[#This Row],[Amount]]/Log_2018[[#This Row],[Split_raw]]*MAX(0,MIN(_xlfn.DAYS(EDATE(S$1,1),Log_2018[[#This Row],[Date]]),Log_2018[[#This Row],[Split_apply]])) - SUM($O735:R735)</f>
        <v>0</v>
      </c>
      <c r="T735" s="52">
        <f ca="1">Log_2018[[#This Row],[Amount]]/Log_2018[[#This Row],[Split_raw]]*MAX(0,MIN(_xlfn.DAYS(EDATE(T$1,1),Log_2018[[#This Row],[Date]]),Log_2018[[#This Row],[Split_apply]])) - SUM($O735:S735)</f>
        <v>0</v>
      </c>
      <c r="U735" s="52">
        <f ca="1">Log_2018[[#This Row],[Amount]]/Log_2018[[#This Row],[Split_raw]]*MAX(0,MIN(_xlfn.DAYS(EDATE(U$1,1),Log_2018[[#This Row],[Date]]),Log_2018[[#This Row],[Split_apply]])) - SUM($O735:T735)</f>
        <v>0</v>
      </c>
      <c r="V735" s="52">
        <f ca="1">Log_2018[[#This Row],[Amount]]/Log_2018[[#This Row],[Split_raw]]*MAX(0,MIN(_xlfn.DAYS(EDATE(V$1,1),Log_2018[[#This Row],[Date]]),Log_2018[[#This Row],[Split_apply]])) - SUM($O735:U735)</f>
        <v>0</v>
      </c>
      <c r="W735" s="52">
        <f ca="1">Log_2018[[#This Row],[Amount]]/Log_2018[[#This Row],[Split_raw]]*MAX(0,MIN(_xlfn.DAYS(EDATE(W$1,1),Log_2018[[#This Row],[Date]]),Log_2018[[#This Row],[Split_apply]])) - SUM($O735:V735)</f>
        <v>0</v>
      </c>
      <c r="X735" s="52">
        <f ca="1">Log_2018[[#This Row],[Amount]]/Log_2018[[#This Row],[Split_raw]]*MAX(0,MIN(_xlfn.DAYS(EDATE(X$1,1),Log_2018[[#This Row],[Date]]),Log_2018[[#This Row],[Split_apply]])) - SUM($O735:W735)</f>
        <v>0</v>
      </c>
      <c r="Y735" s="52">
        <f ca="1">Log_2018[[#This Row],[Amount]]/Log_2018[[#This Row],[Split_raw]]*MAX(0,MIN(_xlfn.DAYS(EDATE(Y$1,1),Log_2018[[#This Row],[Date]]),Log_2018[[#This Row],[Split_apply]])) - SUM($O735:X735)</f>
        <v>0</v>
      </c>
      <c r="Z735" s="52">
        <f ca="1">Log_2018[[#This Row],[Amount]]/Log_2018[[#This Row],[Split_raw]]*MAX(0,MIN(_xlfn.DAYS(EDATE(Z$1,1),Log_2018[[#This Row],[Date]]),Log_2018[[#This Row],[Split_apply]])) - SUM($O735:Y735)</f>
        <v>0</v>
      </c>
      <c r="AA735" s="52">
        <f ca="1">Log_2018[[#This Row],[Amount]]/Log_2018[[#This Row],[Split_raw]]*MAX(0,MIN(_xlfn.DAYS(EDATE(AA$1,1),Log_2018[[#This Row],[Date]]),Log_2018[[#This Row],[Split_apply]])) - SUM($O735:Z735)</f>
        <v>0</v>
      </c>
      <c r="AB735" s="54">
        <f ca="1">Log_2018[[#This Row],[Amount]]-SUM(O735:AA735)</f>
        <v>0</v>
      </c>
      <c r="AC735" s="7">
        <f ca="1">MAX(0,Log_2018[[#This Row],[Split_apply]] - (EDATE(AA$1,1)-Log_2018[[#This Row],[Date]]))</f>
        <v>0</v>
      </c>
    </row>
    <row r="736" spans="1:29" hidden="1" x14ac:dyDescent="0.25">
      <c r="A736" s="115"/>
      <c r="B736" t="s">
        <v>6</v>
      </c>
      <c r="D736" s="39">
        <v>43116</v>
      </c>
      <c r="F736" t="s">
        <v>138</v>
      </c>
      <c r="G736" t="s">
        <v>104</v>
      </c>
      <c r="H736" s="3">
        <v>-86.32</v>
      </c>
      <c r="I736" s="36">
        <f>IF(Log_2018[[#This Row],[My Category]]="NONTRACKED",0,Log_2018[[#This Row],[Raw Amount]])</f>
        <v>-86.32</v>
      </c>
      <c r="J736" s="17">
        <f>ABS(Log_2018[[#This Row],[Amount]])</f>
        <v>86.32</v>
      </c>
      <c r="K736" s="66">
        <v>1</v>
      </c>
      <c r="L736" s="66">
        <f ca="1">IF(Log_2018[[#This Row],[Date]]&lt;=TODAY(), MIN(Log_2018[[#This Row],[Split_raw]], TODAY()-Log_2018[[#This Row],[Date]]+1), 0)</f>
        <v>1</v>
      </c>
      <c r="M736" t="s">
        <v>159</v>
      </c>
      <c r="N736" t="s">
        <v>160</v>
      </c>
      <c r="O736" s="50">
        <v>0</v>
      </c>
      <c r="P736" s="52">
        <f ca="1">Log_2018[[#This Row],[Amount]]/Log_2018[[#This Row],[Split_raw]]*MAX(0,MIN(_xlfn.DAYS(EDATE(P$1,1),Log_2018[[#This Row],[Date]]),Log_2018[[#This Row],[Split_apply]])) - SUM($O736:O736)</f>
        <v>-86.32</v>
      </c>
      <c r="Q736" s="52">
        <f ca="1">Log_2018[[#This Row],[Amount]]/Log_2018[[#This Row],[Split_raw]]*MAX(0,MIN(_xlfn.DAYS(EDATE(Q$1,1),Log_2018[[#This Row],[Date]]),Log_2018[[#This Row],[Split_apply]])) - SUM($O736:P736)</f>
        <v>0</v>
      </c>
      <c r="R736" s="52">
        <f ca="1">Log_2018[[#This Row],[Amount]]/Log_2018[[#This Row],[Split_raw]]*MAX(0,MIN(_xlfn.DAYS(EDATE(R$1,1),Log_2018[[#This Row],[Date]]),Log_2018[[#This Row],[Split_apply]])) - SUM($O736:Q736)</f>
        <v>0</v>
      </c>
      <c r="S736" s="52">
        <f ca="1">Log_2018[[#This Row],[Amount]]/Log_2018[[#This Row],[Split_raw]]*MAX(0,MIN(_xlfn.DAYS(EDATE(S$1,1),Log_2018[[#This Row],[Date]]),Log_2018[[#This Row],[Split_apply]])) - SUM($O736:R736)</f>
        <v>0</v>
      </c>
      <c r="T736" s="52">
        <f ca="1">Log_2018[[#This Row],[Amount]]/Log_2018[[#This Row],[Split_raw]]*MAX(0,MIN(_xlfn.DAYS(EDATE(T$1,1),Log_2018[[#This Row],[Date]]),Log_2018[[#This Row],[Split_apply]])) - SUM($O736:S736)</f>
        <v>0</v>
      </c>
      <c r="U736" s="52">
        <f ca="1">Log_2018[[#This Row],[Amount]]/Log_2018[[#This Row],[Split_raw]]*MAX(0,MIN(_xlfn.DAYS(EDATE(U$1,1),Log_2018[[#This Row],[Date]]),Log_2018[[#This Row],[Split_apply]])) - SUM($O736:T736)</f>
        <v>0</v>
      </c>
      <c r="V736" s="52">
        <f ca="1">Log_2018[[#This Row],[Amount]]/Log_2018[[#This Row],[Split_raw]]*MAX(0,MIN(_xlfn.DAYS(EDATE(V$1,1),Log_2018[[#This Row],[Date]]),Log_2018[[#This Row],[Split_apply]])) - SUM($O736:U736)</f>
        <v>0</v>
      </c>
      <c r="W736" s="52">
        <f ca="1">Log_2018[[#This Row],[Amount]]/Log_2018[[#This Row],[Split_raw]]*MAX(0,MIN(_xlfn.DAYS(EDATE(W$1,1),Log_2018[[#This Row],[Date]]),Log_2018[[#This Row],[Split_apply]])) - SUM($O736:V736)</f>
        <v>0</v>
      </c>
      <c r="X736" s="52">
        <f ca="1">Log_2018[[#This Row],[Amount]]/Log_2018[[#This Row],[Split_raw]]*MAX(0,MIN(_xlfn.DAYS(EDATE(X$1,1),Log_2018[[#This Row],[Date]]),Log_2018[[#This Row],[Split_apply]])) - SUM($O736:W736)</f>
        <v>0</v>
      </c>
      <c r="Y736" s="52">
        <f ca="1">Log_2018[[#This Row],[Amount]]/Log_2018[[#This Row],[Split_raw]]*MAX(0,MIN(_xlfn.DAYS(EDATE(Y$1,1),Log_2018[[#This Row],[Date]]),Log_2018[[#This Row],[Split_apply]])) - SUM($O736:X736)</f>
        <v>0</v>
      </c>
      <c r="Z736" s="52">
        <f ca="1">Log_2018[[#This Row],[Amount]]/Log_2018[[#This Row],[Split_raw]]*MAX(0,MIN(_xlfn.DAYS(EDATE(Z$1,1),Log_2018[[#This Row],[Date]]),Log_2018[[#This Row],[Split_apply]])) - SUM($O736:Y736)</f>
        <v>0</v>
      </c>
      <c r="AA736" s="52">
        <f ca="1">Log_2018[[#This Row],[Amount]]/Log_2018[[#This Row],[Split_raw]]*MAX(0,MIN(_xlfn.DAYS(EDATE(AA$1,1),Log_2018[[#This Row],[Date]]),Log_2018[[#This Row],[Split_apply]])) - SUM($O736:Z736)</f>
        <v>0</v>
      </c>
      <c r="AB736" s="54">
        <f ca="1">Log_2018[[#This Row],[Amount]]-SUM(O736:AA736)</f>
        <v>0</v>
      </c>
      <c r="AC736" s="7">
        <f ca="1">MAX(0,Log_2018[[#This Row],[Split_apply]] - (EDATE(AA$1,1)-Log_2018[[#This Row],[Date]]))</f>
        <v>0</v>
      </c>
    </row>
    <row r="737" spans="1:29" hidden="1" x14ac:dyDescent="0.25">
      <c r="A737" s="115"/>
      <c r="B737" t="s">
        <v>148</v>
      </c>
      <c r="D737" s="39">
        <v>43112</v>
      </c>
      <c r="F737" t="s">
        <v>150</v>
      </c>
      <c r="G737" t="s">
        <v>26</v>
      </c>
      <c r="H737" s="3">
        <v>-8</v>
      </c>
      <c r="I737" s="36">
        <f>IF(Log_2018[[#This Row],[My Category]]="NONTRACKED",0,Log_2018[[#This Row],[Raw Amount]])</f>
        <v>-8</v>
      </c>
      <c r="J737" s="17">
        <f>ABS(Log_2018[[#This Row],[Amount]])</f>
        <v>8</v>
      </c>
      <c r="K737" s="66">
        <v>1</v>
      </c>
      <c r="L737" s="66">
        <f ca="1">IF(Log_2018[[#This Row],[Date]]&lt;=TODAY(), MIN(Log_2018[[#This Row],[Split_raw]], TODAY()-Log_2018[[#This Row],[Date]]+1), 0)</f>
        <v>1</v>
      </c>
      <c r="M737" t="s">
        <v>147</v>
      </c>
      <c r="N737" t="s">
        <v>158</v>
      </c>
      <c r="O737" s="50">
        <v>0</v>
      </c>
      <c r="P737" s="52">
        <f ca="1">Log_2018[[#This Row],[Amount]]/Log_2018[[#This Row],[Split_raw]]*MAX(0,MIN(_xlfn.DAYS(EDATE(P$1,1),Log_2018[[#This Row],[Date]]),Log_2018[[#This Row],[Split_apply]])) - SUM($O737:O737)</f>
        <v>-8</v>
      </c>
      <c r="Q737" s="52">
        <f ca="1">Log_2018[[#This Row],[Amount]]/Log_2018[[#This Row],[Split_raw]]*MAX(0,MIN(_xlfn.DAYS(EDATE(Q$1,1),Log_2018[[#This Row],[Date]]),Log_2018[[#This Row],[Split_apply]])) - SUM($O737:P737)</f>
        <v>0</v>
      </c>
      <c r="R737" s="52">
        <f ca="1">Log_2018[[#This Row],[Amount]]/Log_2018[[#This Row],[Split_raw]]*MAX(0,MIN(_xlfn.DAYS(EDATE(R$1,1),Log_2018[[#This Row],[Date]]),Log_2018[[#This Row],[Split_apply]])) - SUM($O737:Q737)</f>
        <v>0</v>
      </c>
      <c r="S737" s="52">
        <f ca="1">Log_2018[[#This Row],[Amount]]/Log_2018[[#This Row],[Split_raw]]*MAX(0,MIN(_xlfn.DAYS(EDATE(S$1,1),Log_2018[[#This Row],[Date]]),Log_2018[[#This Row],[Split_apply]])) - SUM($O737:R737)</f>
        <v>0</v>
      </c>
      <c r="T737" s="52">
        <f ca="1">Log_2018[[#This Row],[Amount]]/Log_2018[[#This Row],[Split_raw]]*MAX(0,MIN(_xlfn.DAYS(EDATE(T$1,1),Log_2018[[#This Row],[Date]]),Log_2018[[#This Row],[Split_apply]])) - SUM($O737:S737)</f>
        <v>0</v>
      </c>
      <c r="U737" s="52">
        <f ca="1">Log_2018[[#This Row],[Amount]]/Log_2018[[#This Row],[Split_raw]]*MAX(0,MIN(_xlfn.DAYS(EDATE(U$1,1),Log_2018[[#This Row],[Date]]),Log_2018[[#This Row],[Split_apply]])) - SUM($O737:T737)</f>
        <v>0</v>
      </c>
      <c r="V737" s="52">
        <f ca="1">Log_2018[[#This Row],[Amount]]/Log_2018[[#This Row],[Split_raw]]*MAX(0,MIN(_xlfn.DAYS(EDATE(V$1,1),Log_2018[[#This Row],[Date]]),Log_2018[[#This Row],[Split_apply]])) - SUM($O737:U737)</f>
        <v>0</v>
      </c>
      <c r="W737" s="52">
        <f ca="1">Log_2018[[#This Row],[Amount]]/Log_2018[[#This Row],[Split_raw]]*MAX(0,MIN(_xlfn.DAYS(EDATE(W$1,1),Log_2018[[#This Row],[Date]]),Log_2018[[#This Row],[Split_apply]])) - SUM($O737:V737)</f>
        <v>0</v>
      </c>
      <c r="X737" s="52">
        <f ca="1">Log_2018[[#This Row],[Amount]]/Log_2018[[#This Row],[Split_raw]]*MAX(0,MIN(_xlfn.DAYS(EDATE(X$1,1),Log_2018[[#This Row],[Date]]),Log_2018[[#This Row],[Split_apply]])) - SUM($O737:W737)</f>
        <v>0</v>
      </c>
      <c r="Y737" s="52">
        <f ca="1">Log_2018[[#This Row],[Amount]]/Log_2018[[#This Row],[Split_raw]]*MAX(0,MIN(_xlfn.DAYS(EDATE(Y$1,1),Log_2018[[#This Row],[Date]]),Log_2018[[#This Row],[Split_apply]])) - SUM($O737:X737)</f>
        <v>0</v>
      </c>
      <c r="Z737" s="52">
        <f ca="1">Log_2018[[#This Row],[Amount]]/Log_2018[[#This Row],[Split_raw]]*MAX(0,MIN(_xlfn.DAYS(EDATE(Z$1,1),Log_2018[[#This Row],[Date]]),Log_2018[[#This Row],[Split_apply]])) - SUM($O737:Y737)</f>
        <v>0</v>
      </c>
      <c r="AA737" s="52">
        <f ca="1">Log_2018[[#This Row],[Amount]]/Log_2018[[#This Row],[Split_raw]]*MAX(0,MIN(_xlfn.DAYS(EDATE(AA$1,1),Log_2018[[#This Row],[Date]]),Log_2018[[#This Row],[Split_apply]])) - SUM($O737:Z737)</f>
        <v>0</v>
      </c>
      <c r="AB737" s="54">
        <f ca="1">Log_2018[[#This Row],[Amount]]-SUM(O737:AA737)</f>
        <v>0</v>
      </c>
      <c r="AC737" s="7">
        <f ca="1">MAX(0,Log_2018[[#This Row],[Split_apply]] - (EDATE(AA$1,1)-Log_2018[[#This Row],[Date]]))</f>
        <v>0</v>
      </c>
    </row>
    <row r="738" spans="1:29" x14ac:dyDescent="0.25">
      <c r="A738" s="115">
        <v>12</v>
      </c>
      <c r="B738" t="s">
        <v>6</v>
      </c>
      <c r="D738" s="39">
        <v>43112</v>
      </c>
      <c r="F738" t="s">
        <v>105</v>
      </c>
      <c r="G738" t="s">
        <v>104</v>
      </c>
      <c r="H738" s="3">
        <v>86.32</v>
      </c>
      <c r="I738" s="36">
        <f>IF(Log_2018[[#This Row],[My Category]]="NONTRACKED",0,Log_2018[[#This Row],[Raw Amount]])</f>
        <v>86.32</v>
      </c>
      <c r="J738" s="17">
        <f>ABS(Log_2018[[#This Row],[Amount]])</f>
        <v>86.32</v>
      </c>
      <c r="K738" s="66">
        <v>1</v>
      </c>
      <c r="L738" s="66">
        <f ca="1">IF(Log_2018[[#This Row],[Date]]&lt;=TODAY(), MIN(Log_2018[[#This Row],[Split_raw]], TODAY()-Log_2018[[#This Row],[Date]]+1), 0)</f>
        <v>1</v>
      </c>
      <c r="M738" t="s">
        <v>159</v>
      </c>
      <c r="N738" t="s">
        <v>157</v>
      </c>
      <c r="O738" s="50">
        <v>0</v>
      </c>
      <c r="P738" s="52">
        <f ca="1">Log_2018[[#This Row],[Amount]]/Log_2018[[#This Row],[Split_raw]]*MAX(0,MIN(_xlfn.DAYS(EDATE(P$1,1),Log_2018[[#This Row],[Date]]),Log_2018[[#This Row],[Split_apply]])) - SUM($O738:O738)</f>
        <v>86.32</v>
      </c>
      <c r="Q738" s="52">
        <f ca="1">Log_2018[[#This Row],[Amount]]/Log_2018[[#This Row],[Split_raw]]*MAX(0,MIN(_xlfn.DAYS(EDATE(Q$1,1),Log_2018[[#This Row],[Date]]),Log_2018[[#This Row],[Split_apply]])) - SUM($O738:P738)</f>
        <v>0</v>
      </c>
      <c r="R738" s="52">
        <f ca="1">Log_2018[[#This Row],[Amount]]/Log_2018[[#This Row],[Split_raw]]*MAX(0,MIN(_xlfn.DAYS(EDATE(R$1,1),Log_2018[[#This Row],[Date]]),Log_2018[[#This Row],[Split_apply]])) - SUM($O738:Q738)</f>
        <v>0</v>
      </c>
      <c r="S738" s="52">
        <f ca="1">Log_2018[[#This Row],[Amount]]/Log_2018[[#This Row],[Split_raw]]*MAX(0,MIN(_xlfn.DAYS(EDATE(S$1,1),Log_2018[[#This Row],[Date]]),Log_2018[[#This Row],[Split_apply]])) - SUM($O738:R738)</f>
        <v>0</v>
      </c>
      <c r="T738" s="52">
        <f ca="1">Log_2018[[#This Row],[Amount]]/Log_2018[[#This Row],[Split_raw]]*MAX(0,MIN(_xlfn.DAYS(EDATE(T$1,1),Log_2018[[#This Row],[Date]]),Log_2018[[#This Row],[Split_apply]])) - SUM($O738:S738)</f>
        <v>0</v>
      </c>
      <c r="U738" s="52">
        <f ca="1">Log_2018[[#This Row],[Amount]]/Log_2018[[#This Row],[Split_raw]]*MAX(0,MIN(_xlfn.DAYS(EDATE(U$1,1),Log_2018[[#This Row],[Date]]),Log_2018[[#This Row],[Split_apply]])) - SUM($O738:T738)</f>
        <v>0</v>
      </c>
      <c r="V738" s="52">
        <f ca="1">Log_2018[[#This Row],[Amount]]/Log_2018[[#This Row],[Split_raw]]*MAX(0,MIN(_xlfn.DAYS(EDATE(V$1,1),Log_2018[[#This Row],[Date]]),Log_2018[[#This Row],[Split_apply]])) - SUM($O738:U738)</f>
        <v>0</v>
      </c>
      <c r="W738" s="52">
        <f ca="1">Log_2018[[#This Row],[Amount]]/Log_2018[[#This Row],[Split_raw]]*MAX(0,MIN(_xlfn.DAYS(EDATE(W$1,1),Log_2018[[#This Row],[Date]]),Log_2018[[#This Row],[Split_apply]])) - SUM($O738:V738)</f>
        <v>0</v>
      </c>
      <c r="X738" s="52">
        <f ca="1">Log_2018[[#This Row],[Amount]]/Log_2018[[#This Row],[Split_raw]]*MAX(0,MIN(_xlfn.DAYS(EDATE(X$1,1),Log_2018[[#This Row],[Date]]),Log_2018[[#This Row],[Split_apply]])) - SUM($O738:W738)</f>
        <v>0</v>
      </c>
      <c r="Y738" s="52">
        <f ca="1">Log_2018[[#This Row],[Amount]]/Log_2018[[#This Row],[Split_raw]]*MAX(0,MIN(_xlfn.DAYS(EDATE(Y$1,1),Log_2018[[#This Row],[Date]]),Log_2018[[#This Row],[Split_apply]])) - SUM($O738:X738)</f>
        <v>0</v>
      </c>
      <c r="Z738" s="52">
        <f ca="1">Log_2018[[#This Row],[Amount]]/Log_2018[[#This Row],[Split_raw]]*MAX(0,MIN(_xlfn.DAYS(EDATE(Z$1,1),Log_2018[[#This Row],[Date]]),Log_2018[[#This Row],[Split_apply]])) - SUM($O738:Y738)</f>
        <v>0</v>
      </c>
      <c r="AA738" s="52">
        <f ca="1">Log_2018[[#This Row],[Amount]]/Log_2018[[#This Row],[Split_raw]]*MAX(0,MIN(_xlfn.DAYS(EDATE(AA$1,1),Log_2018[[#This Row],[Date]]),Log_2018[[#This Row],[Split_apply]])) - SUM($O738:Z738)</f>
        <v>0</v>
      </c>
      <c r="AB738" s="54">
        <f ca="1">Log_2018[[#This Row],[Amount]]-SUM(O738:AA738)</f>
        <v>0</v>
      </c>
      <c r="AC738" s="7">
        <f ca="1">MAX(0,Log_2018[[#This Row],[Split_apply]] - (EDATE(AA$1,1)-Log_2018[[#This Row],[Date]]))</f>
        <v>0</v>
      </c>
    </row>
    <row r="739" spans="1:29" x14ac:dyDescent="0.25">
      <c r="A739" s="115">
        <v>10</v>
      </c>
      <c r="B739" t="s">
        <v>6</v>
      </c>
      <c r="D739" s="39">
        <v>43111</v>
      </c>
      <c r="E739" t="s">
        <v>872</v>
      </c>
      <c r="F739" t="s">
        <v>106</v>
      </c>
      <c r="G739" t="s">
        <v>22</v>
      </c>
      <c r="H739" s="3">
        <v>-17.95</v>
      </c>
      <c r="I739" s="36">
        <f>IF(Log_2018[[#This Row],[My Category]]="NONTRACKED",0,Log_2018[[#This Row],[Raw Amount]])</f>
        <v>-17.95</v>
      </c>
      <c r="J739" s="17">
        <f>ABS(Log_2018[[#This Row],[Amount]])</f>
        <v>17.95</v>
      </c>
      <c r="K739" s="66">
        <v>1</v>
      </c>
      <c r="L739" s="66">
        <f ca="1">IF(Log_2018[[#This Row],[Date]]&lt;=TODAY(), MIN(Log_2018[[#This Row],[Split_raw]], TODAY()-Log_2018[[#This Row],[Date]]+1), 0)</f>
        <v>1</v>
      </c>
      <c r="M739" t="s">
        <v>366</v>
      </c>
      <c r="N739" t="s">
        <v>157</v>
      </c>
      <c r="O739" s="50">
        <v>0</v>
      </c>
      <c r="P739" s="52">
        <f ca="1">Log_2018[[#This Row],[Amount]]/Log_2018[[#This Row],[Split_raw]]*MAX(0,MIN(_xlfn.DAYS(EDATE(P$1,1),Log_2018[[#This Row],[Date]]),Log_2018[[#This Row],[Split_apply]])) - SUM($O739:O739)</f>
        <v>-17.95</v>
      </c>
      <c r="Q739" s="52">
        <f ca="1">Log_2018[[#This Row],[Amount]]/Log_2018[[#This Row],[Split_raw]]*MAX(0,MIN(_xlfn.DAYS(EDATE(Q$1,1),Log_2018[[#This Row],[Date]]),Log_2018[[#This Row],[Split_apply]])) - SUM($O739:P739)</f>
        <v>0</v>
      </c>
      <c r="R739" s="52">
        <f ca="1">Log_2018[[#This Row],[Amount]]/Log_2018[[#This Row],[Split_raw]]*MAX(0,MIN(_xlfn.DAYS(EDATE(R$1,1),Log_2018[[#This Row],[Date]]),Log_2018[[#This Row],[Split_apply]])) - SUM($O739:Q739)</f>
        <v>0</v>
      </c>
      <c r="S739" s="52">
        <f ca="1">Log_2018[[#This Row],[Amount]]/Log_2018[[#This Row],[Split_raw]]*MAX(0,MIN(_xlfn.DAYS(EDATE(S$1,1),Log_2018[[#This Row],[Date]]),Log_2018[[#This Row],[Split_apply]])) - SUM($O739:R739)</f>
        <v>0</v>
      </c>
      <c r="T739" s="52">
        <f ca="1">Log_2018[[#This Row],[Amount]]/Log_2018[[#This Row],[Split_raw]]*MAX(0,MIN(_xlfn.DAYS(EDATE(T$1,1),Log_2018[[#This Row],[Date]]),Log_2018[[#This Row],[Split_apply]])) - SUM($O739:S739)</f>
        <v>0</v>
      </c>
      <c r="U739" s="52">
        <f ca="1">Log_2018[[#This Row],[Amount]]/Log_2018[[#This Row],[Split_raw]]*MAX(0,MIN(_xlfn.DAYS(EDATE(U$1,1),Log_2018[[#This Row],[Date]]),Log_2018[[#This Row],[Split_apply]])) - SUM($O739:T739)</f>
        <v>0</v>
      </c>
      <c r="V739" s="52">
        <f ca="1">Log_2018[[#This Row],[Amount]]/Log_2018[[#This Row],[Split_raw]]*MAX(0,MIN(_xlfn.DAYS(EDATE(V$1,1),Log_2018[[#This Row],[Date]]),Log_2018[[#This Row],[Split_apply]])) - SUM($O739:U739)</f>
        <v>0</v>
      </c>
      <c r="W739" s="52">
        <f ca="1">Log_2018[[#This Row],[Amount]]/Log_2018[[#This Row],[Split_raw]]*MAX(0,MIN(_xlfn.DAYS(EDATE(W$1,1),Log_2018[[#This Row],[Date]]),Log_2018[[#This Row],[Split_apply]])) - SUM($O739:V739)</f>
        <v>0</v>
      </c>
      <c r="X739" s="52">
        <f ca="1">Log_2018[[#This Row],[Amount]]/Log_2018[[#This Row],[Split_raw]]*MAX(0,MIN(_xlfn.DAYS(EDATE(X$1,1),Log_2018[[#This Row],[Date]]),Log_2018[[#This Row],[Split_apply]])) - SUM($O739:W739)</f>
        <v>0</v>
      </c>
      <c r="Y739" s="52">
        <f ca="1">Log_2018[[#This Row],[Amount]]/Log_2018[[#This Row],[Split_raw]]*MAX(0,MIN(_xlfn.DAYS(EDATE(Y$1,1),Log_2018[[#This Row],[Date]]),Log_2018[[#This Row],[Split_apply]])) - SUM($O739:X739)</f>
        <v>0</v>
      </c>
      <c r="Z739" s="52">
        <f ca="1">Log_2018[[#This Row],[Amount]]/Log_2018[[#This Row],[Split_raw]]*MAX(0,MIN(_xlfn.DAYS(EDATE(Z$1,1),Log_2018[[#This Row],[Date]]),Log_2018[[#This Row],[Split_apply]])) - SUM($O739:Y739)</f>
        <v>0</v>
      </c>
      <c r="AA739" s="52">
        <f ca="1">Log_2018[[#This Row],[Amount]]/Log_2018[[#This Row],[Split_raw]]*MAX(0,MIN(_xlfn.DAYS(EDATE(AA$1,1),Log_2018[[#This Row],[Date]]),Log_2018[[#This Row],[Split_apply]])) - SUM($O739:Z739)</f>
        <v>0</v>
      </c>
      <c r="AB739" s="54">
        <f ca="1">Log_2018[[#This Row],[Amount]]-SUM(O739:AA739)</f>
        <v>0</v>
      </c>
      <c r="AC739" s="7">
        <f ca="1">MAX(0,Log_2018[[#This Row],[Split_apply]] - (EDATE(AA$1,1)-Log_2018[[#This Row],[Date]]))</f>
        <v>0</v>
      </c>
    </row>
    <row r="740" spans="1:29" x14ac:dyDescent="0.25">
      <c r="A740" s="115">
        <v>11</v>
      </c>
      <c r="B740" t="s">
        <v>6</v>
      </c>
      <c r="D740" s="39">
        <v>43111</v>
      </c>
      <c r="F740" t="s">
        <v>107</v>
      </c>
      <c r="G740" t="s">
        <v>8</v>
      </c>
      <c r="H740" s="3">
        <v>-29</v>
      </c>
      <c r="I740" s="36">
        <f>IF(Log_2018[[#This Row],[My Category]]="NONTRACKED",0,Log_2018[[#This Row],[Raw Amount]])</f>
        <v>-29</v>
      </c>
      <c r="J740" s="17">
        <f>ABS(Log_2018[[#This Row],[Amount]])</f>
        <v>29</v>
      </c>
      <c r="K740" s="66">
        <v>1</v>
      </c>
      <c r="L740" s="66">
        <f ca="1">IF(Log_2018[[#This Row],[Date]]&lt;=TODAY(), MIN(Log_2018[[#This Row],[Split_raw]], TODAY()-Log_2018[[#This Row],[Date]]+1), 0)</f>
        <v>1</v>
      </c>
      <c r="M740" t="s">
        <v>52</v>
      </c>
      <c r="N740" t="s">
        <v>157</v>
      </c>
      <c r="O740" s="50">
        <v>0</v>
      </c>
      <c r="P740" s="52">
        <f ca="1">Log_2018[[#This Row],[Amount]]/Log_2018[[#This Row],[Split_raw]]*MAX(0,MIN(_xlfn.DAYS(EDATE(P$1,1),Log_2018[[#This Row],[Date]]),Log_2018[[#This Row],[Split_apply]])) - SUM($O740:O740)</f>
        <v>-29</v>
      </c>
      <c r="Q740" s="52">
        <f ca="1">Log_2018[[#This Row],[Amount]]/Log_2018[[#This Row],[Split_raw]]*MAX(0,MIN(_xlfn.DAYS(EDATE(Q$1,1),Log_2018[[#This Row],[Date]]),Log_2018[[#This Row],[Split_apply]])) - SUM($O740:P740)</f>
        <v>0</v>
      </c>
      <c r="R740" s="52">
        <f ca="1">Log_2018[[#This Row],[Amount]]/Log_2018[[#This Row],[Split_raw]]*MAX(0,MIN(_xlfn.DAYS(EDATE(R$1,1),Log_2018[[#This Row],[Date]]),Log_2018[[#This Row],[Split_apply]])) - SUM($O740:Q740)</f>
        <v>0</v>
      </c>
      <c r="S740" s="52">
        <f ca="1">Log_2018[[#This Row],[Amount]]/Log_2018[[#This Row],[Split_raw]]*MAX(0,MIN(_xlfn.DAYS(EDATE(S$1,1),Log_2018[[#This Row],[Date]]),Log_2018[[#This Row],[Split_apply]])) - SUM($O740:R740)</f>
        <v>0</v>
      </c>
      <c r="T740" s="52">
        <f ca="1">Log_2018[[#This Row],[Amount]]/Log_2018[[#This Row],[Split_raw]]*MAX(0,MIN(_xlfn.DAYS(EDATE(T$1,1),Log_2018[[#This Row],[Date]]),Log_2018[[#This Row],[Split_apply]])) - SUM($O740:S740)</f>
        <v>0</v>
      </c>
      <c r="U740" s="52">
        <f ca="1">Log_2018[[#This Row],[Amount]]/Log_2018[[#This Row],[Split_raw]]*MAX(0,MIN(_xlfn.DAYS(EDATE(U$1,1),Log_2018[[#This Row],[Date]]),Log_2018[[#This Row],[Split_apply]])) - SUM($O740:T740)</f>
        <v>0</v>
      </c>
      <c r="V740" s="52">
        <f ca="1">Log_2018[[#This Row],[Amount]]/Log_2018[[#This Row],[Split_raw]]*MAX(0,MIN(_xlfn.DAYS(EDATE(V$1,1),Log_2018[[#This Row],[Date]]),Log_2018[[#This Row],[Split_apply]])) - SUM($O740:U740)</f>
        <v>0</v>
      </c>
      <c r="W740" s="52">
        <f ca="1">Log_2018[[#This Row],[Amount]]/Log_2018[[#This Row],[Split_raw]]*MAX(0,MIN(_xlfn.DAYS(EDATE(W$1,1),Log_2018[[#This Row],[Date]]),Log_2018[[#This Row],[Split_apply]])) - SUM($O740:V740)</f>
        <v>0</v>
      </c>
      <c r="X740" s="52">
        <f ca="1">Log_2018[[#This Row],[Amount]]/Log_2018[[#This Row],[Split_raw]]*MAX(0,MIN(_xlfn.DAYS(EDATE(X$1,1),Log_2018[[#This Row],[Date]]),Log_2018[[#This Row],[Split_apply]])) - SUM($O740:W740)</f>
        <v>0</v>
      </c>
      <c r="Y740" s="52">
        <f ca="1">Log_2018[[#This Row],[Amount]]/Log_2018[[#This Row],[Split_raw]]*MAX(0,MIN(_xlfn.DAYS(EDATE(Y$1,1),Log_2018[[#This Row],[Date]]),Log_2018[[#This Row],[Split_apply]])) - SUM($O740:X740)</f>
        <v>0</v>
      </c>
      <c r="Z740" s="52">
        <f ca="1">Log_2018[[#This Row],[Amount]]/Log_2018[[#This Row],[Split_raw]]*MAX(0,MIN(_xlfn.DAYS(EDATE(Z$1,1),Log_2018[[#This Row],[Date]]),Log_2018[[#This Row],[Split_apply]])) - SUM($O740:Y740)</f>
        <v>0</v>
      </c>
      <c r="AA740" s="52">
        <f ca="1">Log_2018[[#This Row],[Amount]]/Log_2018[[#This Row],[Split_raw]]*MAX(0,MIN(_xlfn.DAYS(EDATE(AA$1,1),Log_2018[[#This Row],[Date]]),Log_2018[[#This Row],[Split_apply]])) - SUM($O740:Z740)</f>
        <v>0</v>
      </c>
      <c r="AB740" s="54">
        <f ca="1">Log_2018[[#This Row],[Amount]]-SUM(O740:AA740)</f>
        <v>0</v>
      </c>
      <c r="AC740" s="7">
        <f ca="1">MAX(0,Log_2018[[#This Row],[Split_apply]] - (EDATE(AA$1,1)-Log_2018[[#This Row],[Date]]))</f>
        <v>0</v>
      </c>
    </row>
    <row r="741" spans="1:29" hidden="1" x14ac:dyDescent="0.25">
      <c r="A741" s="115"/>
      <c r="B741" t="s">
        <v>6</v>
      </c>
      <c r="D741" s="39">
        <v>43111</v>
      </c>
      <c r="F741" t="s">
        <v>141</v>
      </c>
      <c r="G741" t="s">
        <v>7</v>
      </c>
      <c r="H741" s="3">
        <v>-103.5</v>
      </c>
      <c r="I741" s="36">
        <f>IF(Log_2018[[#This Row],[My Category]]="NONTRACKED",0,Log_2018[[#This Row],[Raw Amount]])</f>
        <v>-103.5</v>
      </c>
      <c r="J741" s="17">
        <f>ABS(Log_2018[[#This Row],[Amount]])</f>
        <v>103.5</v>
      </c>
      <c r="K741" s="66">
        <v>1</v>
      </c>
      <c r="L741" s="66">
        <f ca="1">IF(Log_2018[[#This Row],[Date]]&lt;=TODAY(), MIN(Log_2018[[#This Row],[Split_raw]], TODAY()-Log_2018[[#This Row],[Date]]+1), 0)</f>
        <v>1</v>
      </c>
      <c r="M741" t="s">
        <v>196</v>
      </c>
      <c r="N741" t="s">
        <v>160</v>
      </c>
      <c r="O741" s="50">
        <v>0</v>
      </c>
      <c r="P741" s="52">
        <f ca="1">Log_2018[[#This Row],[Amount]]/Log_2018[[#This Row],[Split_raw]]*MAX(0,MIN(_xlfn.DAYS(EDATE(P$1,1),Log_2018[[#This Row],[Date]]),Log_2018[[#This Row],[Split_apply]])) - SUM($O741:O741)</f>
        <v>-103.5</v>
      </c>
      <c r="Q741" s="52">
        <f ca="1">Log_2018[[#This Row],[Amount]]/Log_2018[[#This Row],[Split_raw]]*MAX(0,MIN(_xlfn.DAYS(EDATE(Q$1,1),Log_2018[[#This Row],[Date]]),Log_2018[[#This Row],[Split_apply]])) - SUM($O741:P741)</f>
        <v>0</v>
      </c>
      <c r="R741" s="52">
        <f ca="1">Log_2018[[#This Row],[Amount]]/Log_2018[[#This Row],[Split_raw]]*MAX(0,MIN(_xlfn.DAYS(EDATE(R$1,1),Log_2018[[#This Row],[Date]]),Log_2018[[#This Row],[Split_apply]])) - SUM($O741:Q741)</f>
        <v>0</v>
      </c>
      <c r="S741" s="52">
        <f ca="1">Log_2018[[#This Row],[Amount]]/Log_2018[[#This Row],[Split_raw]]*MAX(0,MIN(_xlfn.DAYS(EDATE(S$1,1),Log_2018[[#This Row],[Date]]),Log_2018[[#This Row],[Split_apply]])) - SUM($O741:R741)</f>
        <v>0</v>
      </c>
      <c r="T741" s="52">
        <f ca="1">Log_2018[[#This Row],[Amount]]/Log_2018[[#This Row],[Split_raw]]*MAX(0,MIN(_xlfn.DAYS(EDATE(T$1,1),Log_2018[[#This Row],[Date]]),Log_2018[[#This Row],[Split_apply]])) - SUM($O741:S741)</f>
        <v>0</v>
      </c>
      <c r="U741" s="52">
        <f ca="1">Log_2018[[#This Row],[Amount]]/Log_2018[[#This Row],[Split_raw]]*MAX(0,MIN(_xlfn.DAYS(EDATE(U$1,1),Log_2018[[#This Row],[Date]]),Log_2018[[#This Row],[Split_apply]])) - SUM($O741:T741)</f>
        <v>0</v>
      </c>
      <c r="V741" s="52">
        <f ca="1">Log_2018[[#This Row],[Amount]]/Log_2018[[#This Row],[Split_raw]]*MAX(0,MIN(_xlfn.DAYS(EDATE(V$1,1),Log_2018[[#This Row],[Date]]),Log_2018[[#This Row],[Split_apply]])) - SUM($O741:U741)</f>
        <v>0</v>
      </c>
      <c r="W741" s="52">
        <f ca="1">Log_2018[[#This Row],[Amount]]/Log_2018[[#This Row],[Split_raw]]*MAX(0,MIN(_xlfn.DAYS(EDATE(W$1,1),Log_2018[[#This Row],[Date]]),Log_2018[[#This Row],[Split_apply]])) - SUM($O741:V741)</f>
        <v>0</v>
      </c>
      <c r="X741" s="52">
        <f ca="1">Log_2018[[#This Row],[Amount]]/Log_2018[[#This Row],[Split_raw]]*MAX(0,MIN(_xlfn.DAYS(EDATE(X$1,1),Log_2018[[#This Row],[Date]]),Log_2018[[#This Row],[Split_apply]])) - SUM($O741:W741)</f>
        <v>0</v>
      </c>
      <c r="Y741" s="52">
        <f ca="1">Log_2018[[#This Row],[Amount]]/Log_2018[[#This Row],[Split_raw]]*MAX(0,MIN(_xlfn.DAYS(EDATE(Y$1,1),Log_2018[[#This Row],[Date]]),Log_2018[[#This Row],[Split_apply]])) - SUM($O741:X741)</f>
        <v>0</v>
      </c>
      <c r="Z741" s="52">
        <f ca="1">Log_2018[[#This Row],[Amount]]/Log_2018[[#This Row],[Split_raw]]*MAX(0,MIN(_xlfn.DAYS(EDATE(Z$1,1),Log_2018[[#This Row],[Date]]),Log_2018[[#This Row],[Split_apply]])) - SUM($O741:Y741)</f>
        <v>0</v>
      </c>
      <c r="AA741" s="52">
        <f ca="1">Log_2018[[#This Row],[Amount]]/Log_2018[[#This Row],[Split_raw]]*MAX(0,MIN(_xlfn.DAYS(EDATE(AA$1,1),Log_2018[[#This Row],[Date]]),Log_2018[[#This Row],[Split_apply]])) - SUM($O741:Z741)</f>
        <v>0</v>
      </c>
      <c r="AB741" s="54">
        <f ca="1">Log_2018[[#This Row],[Amount]]-SUM(O741:AA741)</f>
        <v>0</v>
      </c>
      <c r="AC741" s="7">
        <f ca="1">MAX(0,Log_2018[[#This Row],[Split_apply]] - (EDATE(AA$1,1)-Log_2018[[#This Row],[Date]]))</f>
        <v>0</v>
      </c>
    </row>
    <row r="742" spans="1:29" x14ac:dyDescent="0.25">
      <c r="A742" s="115">
        <v>9</v>
      </c>
      <c r="B742" t="s">
        <v>6</v>
      </c>
      <c r="D742" s="39">
        <v>43110</v>
      </c>
      <c r="F742" t="s">
        <v>105</v>
      </c>
      <c r="G742" t="s">
        <v>104</v>
      </c>
      <c r="H742" s="3">
        <v>249.5</v>
      </c>
      <c r="I742" s="36">
        <f>IF(Log_2018[[#This Row],[My Category]]="NONTRACKED",0,Log_2018[[#This Row],[Raw Amount]])</f>
        <v>249.5</v>
      </c>
      <c r="J742" s="17">
        <f>ABS(Log_2018[[#This Row],[Amount]])</f>
        <v>249.5</v>
      </c>
      <c r="K742" s="66">
        <v>1</v>
      </c>
      <c r="L742" s="66">
        <f ca="1">IF(Log_2018[[#This Row],[Date]]&lt;=TODAY(), MIN(Log_2018[[#This Row],[Split_raw]], TODAY()-Log_2018[[#This Row],[Date]]+1), 0)</f>
        <v>1</v>
      </c>
      <c r="M742" t="s">
        <v>159</v>
      </c>
      <c r="N742" t="s">
        <v>157</v>
      </c>
      <c r="O742" s="50">
        <v>0</v>
      </c>
      <c r="P742" s="52">
        <f ca="1">Log_2018[[#This Row],[Amount]]/Log_2018[[#This Row],[Split_raw]]*MAX(0,MIN(_xlfn.DAYS(EDATE(P$1,1),Log_2018[[#This Row],[Date]]),Log_2018[[#This Row],[Split_apply]])) - SUM($O742:O742)</f>
        <v>249.5</v>
      </c>
      <c r="Q742" s="52">
        <f ca="1">Log_2018[[#This Row],[Amount]]/Log_2018[[#This Row],[Split_raw]]*MAX(0,MIN(_xlfn.DAYS(EDATE(Q$1,1),Log_2018[[#This Row],[Date]]),Log_2018[[#This Row],[Split_apply]])) - SUM($O742:P742)</f>
        <v>0</v>
      </c>
      <c r="R742" s="52">
        <f ca="1">Log_2018[[#This Row],[Amount]]/Log_2018[[#This Row],[Split_raw]]*MAX(0,MIN(_xlfn.DAYS(EDATE(R$1,1),Log_2018[[#This Row],[Date]]),Log_2018[[#This Row],[Split_apply]])) - SUM($O742:Q742)</f>
        <v>0</v>
      </c>
      <c r="S742" s="52">
        <f ca="1">Log_2018[[#This Row],[Amount]]/Log_2018[[#This Row],[Split_raw]]*MAX(0,MIN(_xlfn.DAYS(EDATE(S$1,1),Log_2018[[#This Row],[Date]]),Log_2018[[#This Row],[Split_apply]])) - SUM($O742:R742)</f>
        <v>0</v>
      </c>
      <c r="T742" s="52">
        <f ca="1">Log_2018[[#This Row],[Amount]]/Log_2018[[#This Row],[Split_raw]]*MAX(0,MIN(_xlfn.DAYS(EDATE(T$1,1),Log_2018[[#This Row],[Date]]),Log_2018[[#This Row],[Split_apply]])) - SUM($O742:S742)</f>
        <v>0</v>
      </c>
      <c r="U742" s="52">
        <f ca="1">Log_2018[[#This Row],[Amount]]/Log_2018[[#This Row],[Split_raw]]*MAX(0,MIN(_xlfn.DAYS(EDATE(U$1,1),Log_2018[[#This Row],[Date]]),Log_2018[[#This Row],[Split_apply]])) - SUM($O742:T742)</f>
        <v>0</v>
      </c>
      <c r="V742" s="52">
        <f ca="1">Log_2018[[#This Row],[Amount]]/Log_2018[[#This Row],[Split_raw]]*MAX(0,MIN(_xlfn.DAYS(EDATE(V$1,1),Log_2018[[#This Row],[Date]]),Log_2018[[#This Row],[Split_apply]])) - SUM($O742:U742)</f>
        <v>0</v>
      </c>
      <c r="W742" s="52">
        <f ca="1">Log_2018[[#This Row],[Amount]]/Log_2018[[#This Row],[Split_raw]]*MAX(0,MIN(_xlfn.DAYS(EDATE(W$1,1),Log_2018[[#This Row],[Date]]),Log_2018[[#This Row],[Split_apply]])) - SUM($O742:V742)</f>
        <v>0</v>
      </c>
      <c r="X742" s="52">
        <f ca="1">Log_2018[[#This Row],[Amount]]/Log_2018[[#This Row],[Split_raw]]*MAX(0,MIN(_xlfn.DAYS(EDATE(X$1,1),Log_2018[[#This Row],[Date]]),Log_2018[[#This Row],[Split_apply]])) - SUM($O742:W742)</f>
        <v>0</v>
      </c>
      <c r="Y742" s="52">
        <f ca="1">Log_2018[[#This Row],[Amount]]/Log_2018[[#This Row],[Split_raw]]*MAX(0,MIN(_xlfn.DAYS(EDATE(Y$1,1),Log_2018[[#This Row],[Date]]),Log_2018[[#This Row],[Split_apply]])) - SUM($O742:X742)</f>
        <v>0</v>
      </c>
      <c r="Z742" s="52">
        <f ca="1">Log_2018[[#This Row],[Amount]]/Log_2018[[#This Row],[Split_raw]]*MAX(0,MIN(_xlfn.DAYS(EDATE(Z$1,1),Log_2018[[#This Row],[Date]]),Log_2018[[#This Row],[Split_apply]])) - SUM($O742:Y742)</f>
        <v>0</v>
      </c>
      <c r="AA742" s="52">
        <f ca="1">Log_2018[[#This Row],[Amount]]/Log_2018[[#This Row],[Split_raw]]*MAX(0,MIN(_xlfn.DAYS(EDATE(AA$1,1),Log_2018[[#This Row],[Date]]),Log_2018[[#This Row],[Split_apply]])) - SUM($O742:Z742)</f>
        <v>0</v>
      </c>
      <c r="AB742" s="54">
        <f ca="1">Log_2018[[#This Row],[Amount]]-SUM(O742:AA742)</f>
        <v>0</v>
      </c>
      <c r="AC742" s="7">
        <f ca="1">MAX(0,Log_2018[[#This Row],[Split_apply]] - (EDATE(AA$1,1)-Log_2018[[#This Row],[Date]]))</f>
        <v>0</v>
      </c>
    </row>
    <row r="743" spans="1:29" hidden="1" x14ac:dyDescent="0.25">
      <c r="A743" s="115"/>
      <c r="B743" t="s">
        <v>6</v>
      </c>
      <c r="D743" s="39">
        <v>43110</v>
      </c>
      <c r="F743" t="s">
        <v>138</v>
      </c>
      <c r="G743" t="s">
        <v>104</v>
      </c>
      <c r="H743" s="3">
        <v>-249.5</v>
      </c>
      <c r="I743" s="36">
        <f>IF(Log_2018[[#This Row],[My Category]]="NONTRACKED",0,Log_2018[[#This Row],[Raw Amount]])</f>
        <v>-249.5</v>
      </c>
      <c r="J743" s="17">
        <f>ABS(Log_2018[[#This Row],[Amount]])</f>
        <v>249.5</v>
      </c>
      <c r="K743" s="66">
        <v>1</v>
      </c>
      <c r="L743" s="66">
        <f ca="1">IF(Log_2018[[#This Row],[Date]]&lt;=TODAY(), MIN(Log_2018[[#This Row],[Split_raw]], TODAY()-Log_2018[[#This Row],[Date]]+1), 0)</f>
        <v>1</v>
      </c>
      <c r="M743" t="s">
        <v>159</v>
      </c>
      <c r="N743" t="s">
        <v>160</v>
      </c>
      <c r="O743" s="50">
        <v>0</v>
      </c>
      <c r="P743" s="52">
        <f ca="1">Log_2018[[#This Row],[Amount]]/Log_2018[[#This Row],[Split_raw]]*MAX(0,MIN(_xlfn.DAYS(EDATE(P$1,1),Log_2018[[#This Row],[Date]]),Log_2018[[#This Row],[Split_apply]])) - SUM($O743:O743)</f>
        <v>-249.5</v>
      </c>
      <c r="Q743" s="52">
        <f ca="1">Log_2018[[#This Row],[Amount]]/Log_2018[[#This Row],[Split_raw]]*MAX(0,MIN(_xlfn.DAYS(EDATE(Q$1,1),Log_2018[[#This Row],[Date]]),Log_2018[[#This Row],[Split_apply]])) - SUM($O743:P743)</f>
        <v>0</v>
      </c>
      <c r="R743" s="52">
        <f ca="1">Log_2018[[#This Row],[Amount]]/Log_2018[[#This Row],[Split_raw]]*MAX(0,MIN(_xlfn.DAYS(EDATE(R$1,1),Log_2018[[#This Row],[Date]]),Log_2018[[#This Row],[Split_apply]])) - SUM($O743:Q743)</f>
        <v>0</v>
      </c>
      <c r="S743" s="52">
        <f ca="1">Log_2018[[#This Row],[Amount]]/Log_2018[[#This Row],[Split_raw]]*MAX(0,MIN(_xlfn.DAYS(EDATE(S$1,1),Log_2018[[#This Row],[Date]]),Log_2018[[#This Row],[Split_apply]])) - SUM($O743:R743)</f>
        <v>0</v>
      </c>
      <c r="T743" s="52">
        <f ca="1">Log_2018[[#This Row],[Amount]]/Log_2018[[#This Row],[Split_raw]]*MAX(0,MIN(_xlfn.DAYS(EDATE(T$1,1),Log_2018[[#This Row],[Date]]),Log_2018[[#This Row],[Split_apply]])) - SUM($O743:S743)</f>
        <v>0</v>
      </c>
      <c r="U743" s="52">
        <f ca="1">Log_2018[[#This Row],[Amount]]/Log_2018[[#This Row],[Split_raw]]*MAX(0,MIN(_xlfn.DAYS(EDATE(U$1,1),Log_2018[[#This Row],[Date]]),Log_2018[[#This Row],[Split_apply]])) - SUM($O743:T743)</f>
        <v>0</v>
      </c>
      <c r="V743" s="52">
        <f ca="1">Log_2018[[#This Row],[Amount]]/Log_2018[[#This Row],[Split_raw]]*MAX(0,MIN(_xlfn.DAYS(EDATE(V$1,1),Log_2018[[#This Row],[Date]]),Log_2018[[#This Row],[Split_apply]])) - SUM($O743:U743)</f>
        <v>0</v>
      </c>
      <c r="W743" s="52">
        <f ca="1">Log_2018[[#This Row],[Amount]]/Log_2018[[#This Row],[Split_raw]]*MAX(0,MIN(_xlfn.DAYS(EDATE(W$1,1),Log_2018[[#This Row],[Date]]),Log_2018[[#This Row],[Split_apply]])) - SUM($O743:V743)</f>
        <v>0</v>
      </c>
      <c r="X743" s="52">
        <f ca="1">Log_2018[[#This Row],[Amount]]/Log_2018[[#This Row],[Split_raw]]*MAX(0,MIN(_xlfn.DAYS(EDATE(X$1,1),Log_2018[[#This Row],[Date]]),Log_2018[[#This Row],[Split_apply]])) - SUM($O743:W743)</f>
        <v>0</v>
      </c>
      <c r="Y743" s="52">
        <f ca="1">Log_2018[[#This Row],[Amount]]/Log_2018[[#This Row],[Split_raw]]*MAX(0,MIN(_xlfn.DAYS(EDATE(Y$1,1),Log_2018[[#This Row],[Date]]),Log_2018[[#This Row],[Split_apply]])) - SUM($O743:X743)</f>
        <v>0</v>
      </c>
      <c r="Z743" s="52">
        <f ca="1">Log_2018[[#This Row],[Amount]]/Log_2018[[#This Row],[Split_raw]]*MAX(0,MIN(_xlfn.DAYS(EDATE(Z$1,1),Log_2018[[#This Row],[Date]]),Log_2018[[#This Row],[Split_apply]])) - SUM($O743:Y743)</f>
        <v>0</v>
      </c>
      <c r="AA743" s="52">
        <f ca="1">Log_2018[[#This Row],[Amount]]/Log_2018[[#This Row],[Split_raw]]*MAX(0,MIN(_xlfn.DAYS(EDATE(AA$1,1),Log_2018[[#This Row],[Date]]),Log_2018[[#This Row],[Split_apply]])) - SUM($O743:Z743)</f>
        <v>0</v>
      </c>
      <c r="AB743" s="54">
        <f ca="1">Log_2018[[#This Row],[Amount]]-SUM(O743:AA743)</f>
        <v>0</v>
      </c>
      <c r="AC743" s="7">
        <f ca="1">MAX(0,Log_2018[[#This Row],[Split_apply]] - (EDATE(AA$1,1)-Log_2018[[#This Row],[Date]]))</f>
        <v>0</v>
      </c>
    </row>
    <row r="744" spans="1:29" x14ac:dyDescent="0.25">
      <c r="A744" s="115">
        <v>8</v>
      </c>
      <c r="B744" t="s">
        <v>6</v>
      </c>
      <c r="D744" s="39">
        <v>43109</v>
      </c>
      <c r="F744" t="s">
        <v>108</v>
      </c>
      <c r="G744" t="s">
        <v>26</v>
      </c>
      <c r="H744" s="3">
        <v>-28.56</v>
      </c>
      <c r="I744" s="36">
        <f>IF(Log_2018[[#This Row],[My Category]]="NONTRACKED",0,Log_2018[[#This Row],[Raw Amount]])</f>
        <v>-28.56</v>
      </c>
      <c r="J744" s="17">
        <f>ABS(Log_2018[[#This Row],[Amount]])</f>
        <v>28.56</v>
      </c>
      <c r="K744" s="66">
        <v>1</v>
      </c>
      <c r="L744" s="66">
        <f ca="1">IF(Log_2018[[#This Row],[Date]]&lt;=TODAY(), MIN(Log_2018[[#This Row],[Split_raw]], TODAY()-Log_2018[[#This Row],[Date]]+1), 0)</f>
        <v>1</v>
      </c>
      <c r="M744" t="s">
        <v>40</v>
      </c>
      <c r="N744" t="s">
        <v>157</v>
      </c>
      <c r="O744" s="50">
        <v>0</v>
      </c>
      <c r="P744" s="52">
        <f ca="1">Log_2018[[#This Row],[Amount]]/Log_2018[[#This Row],[Split_raw]]*MAX(0,MIN(_xlfn.DAYS(EDATE(P$1,1),Log_2018[[#This Row],[Date]]),Log_2018[[#This Row],[Split_apply]])) - SUM($O744:O744)</f>
        <v>-28.56</v>
      </c>
      <c r="Q744" s="52">
        <f ca="1">Log_2018[[#This Row],[Amount]]/Log_2018[[#This Row],[Split_raw]]*MAX(0,MIN(_xlfn.DAYS(EDATE(Q$1,1),Log_2018[[#This Row],[Date]]),Log_2018[[#This Row],[Split_apply]])) - SUM($O744:P744)</f>
        <v>0</v>
      </c>
      <c r="R744" s="52">
        <f ca="1">Log_2018[[#This Row],[Amount]]/Log_2018[[#This Row],[Split_raw]]*MAX(0,MIN(_xlfn.DAYS(EDATE(R$1,1),Log_2018[[#This Row],[Date]]),Log_2018[[#This Row],[Split_apply]])) - SUM($O744:Q744)</f>
        <v>0</v>
      </c>
      <c r="S744" s="52">
        <f ca="1">Log_2018[[#This Row],[Amount]]/Log_2018[[#This Row],[Split_raw]]*MAX(0,MIN(_xlfn.DAYS(EDATE(S$1,1),Log_2018[[#This Row],[Date]]),Log_2018[[#This Row],[Split_apply]])) - SUM($O744:R744)</f>
        <v>0</v>
      </c>
      <c r="T744" s="52">
        <f ca="1">Log_2018[[#This Row],[Amount]]/Log_2018[[#This Row],[Split_raw]]*MAX(0,MIN(_xlfn.DAYS(EDATE(T$1,1),Log_2018[[#This Row],[Date]]),Log_2018[[#This Row],[Split_apply]])) - SUM($O744:S744)</f>
        <v>0</v>
      </c>
      <c r="U744" s="52">
        <f ca="1">Log_2018[[#This Row],[Amount]]/Log_2018[[#This Row],[Split_raw]]*MAX(0,MIN(_xlfn.DAYS(EDATE(U$1,1),Log_2018[[#This Row],[Date]]),Log_2018[[#This Row],[Split_apply]])) - SUM($O744:T744)</f>
        <v>0</v>
      </c>
      <c r="V744" s="52">
        <f ca="1">Log_2018[[#This Row],[Amount]]/Log_2018[[#This Row],[Split_raw]]*MAX(0,MIN(_xlfn.DAYS(EDATE(V$1,1),Log_2018[[#This Row],[Date]]),Log_2018[[#This Row],[Split_apply]])) - SUM($O744:U744)</f>
        <v>0</v>
      </c>
      <c r="W744" s="52">
        <f ca="1">Log_2018[[#This Row],[Amount]]/Log_2018[[#This Row],[Split_raw]]*MAX(0,MIN(_xlfn.DAYS(EDATE(W$1,1),Log_2018[[#This Row],[Date]]),Log_2018[[#This Row],[Split_apply]])) - SUM($O744:V744)</f>
        <v>0</v>
      </c>
      <c r="X744" s="52">
        <f ca="1">Log_2018[[#This Row],[Amount]]/Log_2018[[#This Row],[Split_raw]]*MAX(0,MIN(_xlfn.DAYS(EDATE(X$1,1),Log_2018[[#This Row],[Date]]),Log_2018[[#This Row],[Split_apply]])) - SUM($O744:W744)</f>
        <v>0</v>
      </c>
      <c r="Y744" s="52">
        <f ca="1">Log_2018[[#This Row],[Amount]]/Log_2018[[#This Row],[Split_raw]]*MAX(0,MIN(_xlfn.DAYS(EDATE(Y$1,1),Log_2018[[#This Row],[Date]]),Log_2018[[#This Row],[Split_apply]])) - SUM($O744:X744)</f>
        <v>0</v>
      </c>
      <c r="Z744" s="52">
        <f ca="1">Log_2018[[#This Row],[Amount]]/Log_2018[[#This Row],[Split_raw]]*MAX(0,MIN(_xlfn.DAYS(EDATE(Z$1,1),Log_2018[[#This Row],[Date]]),Log_2018[[#This Row],[Split_apply]])) - SUM($O744:Y744)</f>
        <v>0</v>
      </c>
      <c r="AA744" s="52">
        <f ca="1">Log_2018[[#This Row],[Amount]]/Log_2018[[#This Row],[Split_raw]]*MAX(0,MIN(_xlfn.DAYS(EDATE(AA$1,1),Log_2018[[#This Row],[Date]]),Log_2018[[#This Row],[Split_apply]])) - SUM($O744:Z744)</f>
        <v>0</v>
      </c>
      <c r="AB744" s="54">
        <f ca="1">Log_2018[[#This Row],[Amount]]-SUM(O744:AA744)</f>
        <v>0</v>
      </c>
      <c r="AC744" s="7">
        <f ca="1">MAX(0,Log_2018[[#This Row],[Split_apply]] - (EDATE(AA$1,1)-Log_2018[[#This Row],[Date]]))</f>
        <v>0</v>
      </c>
    </row>
    <row r="745" spans="1:29" x14ac:dyDescent="0.25">
      <c r="A745" s="115">
        <v>7</v>
      </c>
      <c r="B745" t="s">
        <v>6</v>
      </c>
      <c r="D745" s="39">
        <v>43108</v>
      </c>
      <c r="E745" t="s">
        <v>250</v>
      </c>
      <c r="F745" t="s">
        <v>85</v>
      </c>
      <c r="G745" t="s">
        <v>9</v>
      </c>
      <c r="H745" s="3">
        <v>-10.81</v>
      </c>
      <c r="I745" s="36">
        <f>IF(Log_2018[[#This Row],[My Category]]="NONTRACKED",0,Log_2018[[#This Row],[Raw Amount]])</f>
        <v>-10.81</v>
      </c>
      <c r="J745" s="17">
        <f>ABS(Log_2018[[#This Row],[Amount]])</f>
        <v>10.81</v>
      </c>
      <c r="K745" s="66">
        <v>30</v>
      </c>
      <c r="L745" s="66">
        <f ca="1">IF(Log_2018[[#This Row],[Date]]&lt;=TODAY(), MIN(Log_2018[[#This Row],[Split_raw]], TODAY()-Log_2018[[#This Row],[Date]]+1), 0)</f>
        <v>30</v>
      </c>
      <c r="M745" t="s">
        <v>53</v>
      </c>
      <c r="N745" t="s">
        <v>157</v>
      </c>
      <c r="O745" s="50">
        <v>0</v>
      </c>
      <c r="P745" s="52">
        <f ca="1">Log_2018[[#This Row],[Amount]]/Log_2018[[#This Row],[Split_raw]]*MAX(0,MIN(_xlfn.DAYS(EDATE(P$1,1),Log_2018[[#This Row],[Date]]),Log_2018[[#This Row],[Split_apply]])) - SUM($O745:O745)</f>
        <v>-8.6479999999999997</v>
      </c>
      <c r="Q745" s="52">
        <f ca="1">Log_2018[[#This Row],[Amount]]/Log_2018[[#This Row],[Split_raw]]*MAX(0,MIN(_xlfn.DAYS(EDATE(Q$1,1),Log_2018[[#This Row],[Date]]),Log_2018[[#This Row],[Split_apply]])) - SUM($O745:P745)</f>
        <v>-2.1620000000000008</v>
      </c>
      <c r="R745" s="52">
        <f ca="1">Log_2018[[#This Row],[Amount]]/Log_2018[[#This Row],[Split_raw]]*MAX(0,MIN(_xlfn.DAYS(EDATE(R$1,1),Log_2018[[#This Row],[Date]]),Log_2018[[#This Row],[Split_apply]])) - SUM($O745:Q745)</f>
        <v>0</v>
      </c>
      <c r="S745" s="52">
        <f ca="1">Log_2018[[#This Row],[Amount]]/Log_2018[[#This Row],[Split_raw]]*MAX(0,MIN(_xlfn.DAYS(EDATE(S$1,1),Log_2018[[#This Row],[Date]]),Log_2018[[#This Row],[Split_apply]])) - SUM($O745:R745)</f>
        <v>0</v>
      </c>
      <c r="T745" s="52">
        <f ca="1">Log_2018[[#This Row],[Amount]]/Log_2018[[#This Row],[Split_raw]]*MAX(0,MIN(_xlfn.DAYS(EDATE(T$1,1),Log_2018[[#This Row],[Date]]),Log_2018[[#This Row],[Split_apply]])) - SUM($O745:S745)</f>
        <v>0</v>
      </c>
      <c r="U745" s="52">
        <f ca="1">Log_2018[[#This Row],[Amount]]/Log_2018[[#This Row],[Split_raw]]*MAX(0,MIN(_xlfn.DAYS(EDATE(U$1,1),Log_2018[[#This Row],[Date]]),Log_2018[[#This Row],[Split_apply]])) - SUM($O745:T745)</f>
        <v>0</v>
      </c>
      <c r="V745" s="52">
        <f ca="1">Log_2018[[#This Row],[Amount]]/Log_2018[[#This Row],[Split_raw]]*MAX(0,MIN(_xlfn.DAYS(EDATE(V$1,1),Log_2018[[#This Row],[Date]]),Log_2018[[#This Row],[Split_apply]])) - SUM($O745:U745)</f>
        <v>0</v>
      </c>
      <c r="W745" s="52">
        <f ca="1">Log_2018[[#This Row],[Amount]]/Log_2018[[#This Row],[Split_raw]]*MAX(0,MIN(_xlfn.DAYS(EDATE(W$1,1),Log_2018[[#This Row],[Date]]),Log_2018[[#This Row],[Split_apply]])) - SUM($O745:V745)</f>
        <v>0</v>
      </c>
      <c r="X745" s="52">
        <f ca="1">Log_2018[[#This Row],[Amount]]/Log_2018[[#This Row],[Split_raw]]*MAX(0,MIN(_xlfn.DAYS(EDATE(X$1,1),Log_2018[[#This Row],[Date]]),Log_2018[[#This Row],[Split_apply]])) - SUM($O745:W745)</f>
        <v>0</v>
      </c>
      <c r="Y745" s="52">
        <f ca="1">Log_2018[[#This Row],[Amount]]/Log_2018[[#This Row],[Split_raw]]*MAX(0,MIN(_xlfn.DAYS(EDATE(Y$1,1),Log_2018[[#This Row],[Date]]),Log_2018[[#This Row],[Split_apply]])) - SUM($O745:X745)</f>
        <v>0</v>
      </c>
      <c r="Z745" s="52">
        <f ca="1">Log_2018[[#This Row],[Amount]]/Log_2018[[#This Row],[Split_raw]]*MAX(0,MIN(_xlfn.DAYS(EDATE(Z$1,1),Log_2018[[#This Row],[Date]]),Log_2018[[#This Row],[Split_apply]])) - SUM($O745:Y745)</f>
        <v>0</v>
      </c>
      <c r="AA745" s="52">
        <f ca="1">Log_2018[[#This Row],[Amount]]/Log_2018[[#This Row],[Split_raw]]*MAX(0,MIN(_xlfn.DAYS(EDATE(AA$1,1),Log_2018[[#This Row],[Date]]),Log_2018[[#This Row],[Split_apply]])) - SUM($O745:Z745)</f>
        <v>0</v>
      </c>
      <c r="AB745" s="54">
        <f ca="1">Log_2018[[#This Row],[Amount]]-SUM(O745:AA745)</f>
        <v>0</v>
      </c>
      <c r="AC745" s="7">
        <f ca="1">MAX(0,Log_2018[[#This Row],[Split_apply]] - (EDATE(AA$1,1)-Log_2018[[#This Row],[Date]]))</f>
        <v>0</v>
      </c>
    </row>
    <row r="746" spans="1:29" hidden="1" x14ac:dyDescent="0.25">
      <c r="A746" s="115"/>
      <c r="B746" t="s">
        <v>6</v>
      </c>
      <c r="D746" s="39">
        <v>43108</v>
      </c>
      <c r="F746" t="s">
        <v>138</v>
      </c>
      <c r="G746" t="s">
        <v>104</v>
      </c>
      <c r="H746" s="3">
        <v>-158.44</v>
      </c>
      <c r="I746" s="36">
        <f>IF(Log_2018[[#This Row],[My Category]]="NONTRACKED",0,Log_2018[[#This Row],[Raw Amount]])</f>
        <v>-158.44</v>
      </c>
      <c r="J746" s="17">
        <f>ABS(Log_2018[[#This Row],[Amount]])</f>
        <v>158.44</v>
      </c>
      <c r="K746" s="66">
        <v>1</v>
      </c>
      <c r="L746" s="66">
        <f ca="1">IF(Log_2018[[#This Row],[Date]]&lt;=TODAY(), MIN(Log_2018[[#This Row],[Split_raw]], TODAY()-Log_2018[[#This Row],[Date]]+1), 0)</f>
        <v>1</v>
      </c>
      <c r="M746" t="s">
        <v>159</v>
      </c>
      <c r="N746" t="s">
        <v>160</v>
      </c>
      <c r="O746" s="50">
        <v>0</v>
      </c>
      <c r="P746" s="52">
        <f ca="1">Log_2018[[#This Row],[Amount]]/Log_2018[[#This Row],[Split_raw]]*MAX(0,MIN(_xlfn.DAYS(EDATE(P$1,1),Log_2018[[#This Row],[Date]]),Log_2018[[#This Row],[Split_apply]])) - SUM($O746:O746)</f>
        <v>-158.44</v>
      </c>
      <c r="Q746" s="52">
        <f ca="1">Log_2018[[#This Row],[Amount]]/Log_2018[[#This Row],[Split_raw]]*MAX(0,MIN(_xlfn.DAYS(EDATE(Q$1,1),Log_2018[[#This Row],[Date]]),Log_2018[[#This Row],[Split_apply]])) - SUM($O746:P746)</f>
        <v>0</v>
      </c>
      <c r="R746" s="52">
        <f ca="1">Log_2018[[#This Row],[Amount]]/Log_2018[[#This Row],[Split_raw]]*MAX(0,MIN(_xlfn.DAYS(EDATE(R$1,1),Log_2018[[#This Row],[Date]]),Log_2018[[#This Row],[Split_apply]])) - SUM($O746:Q746)</f>
        <v>0</v>
      </c>
      <c r="S746" s="52">
        <f ca="1">Log_2018[[#This Row],[Amount]]/Log_2018[[#This Row],[Split_raw]]*MAX(0,MIN(_xlfn.DAYS(EDATE(S$1,1),Log_2018[[#This Row],[Date]]),Log_2018[[#This Row],[Split_apply]])) - SUM($O746:R746)</f>
        <v>0</v>
      </c>
      <c r="T746" s="52">
        <f ca="1">Log_2018[[#This Row],[Amount]]/Log_2018[[#This Row],[Split_raw]]*MAX(0,MIN(_xlfn.DAYS(EDATE(T$1,1),Log_2018[[#This Row],[Date]]),Log_2018[[#This Row],[Split_apply]])) - SUM($O746:S746)</f>
        <v>0</v>
      </c>
      <c r="U746" s="52">
        <f ca="1">Log_2018[[#This Row],[Amount]]/Log_2018[[#This Row],[Split_raw]]*MAX(0,MIN(_xlfn.DAYS(EDATE(U$1,1),Log_2018[[#This Row],[Date]]),Log_2018[[#This Row],[Split_apply]])) - SUM($O746:T746)</f>
        <v>0</v>
      </c>
      <c r="V746" s="52">
        <f ca="1">Log_2018[[#This Row],[Amount]]/Log_2018[[#This Row],[Split_raw]]*MAX(0,MIN(_xlfn.DAYS(EDATE(V$1,1),Log_2018[[#This Row],[Date]]),Log_2018[[#This Row],[Split_apply]])) - SUM($O746:U746)</f>
        <v>0</v>
      </c>
      <c r="W746" s="52">
        <f ca="1">Log_2018[[#This Row],[Amount]]/Log_2018[[#This Row],[Split_raw]]*MAX(0,MIN(_xlfn.DAYS(EDATE(W$1,1),Log_2018[[#This Row],[Date]]),Log_2018[[#This Row],[Split_apply]])) - SUM($O746:V746)</f>
        <v>0</v>
      </c>
      <c r="X746" s="52">
        <f ca="1">Log_2018[[#This Row],[Amount]]/Log_2018[[#This Row],[Split_raw]]*MAX(0,MIN(_xlfn.DAYS(EDATE(X$1,1),Log_2018[[#This Row],[Date]]),Log_2018[[#This Row],[Split_apply]])) - SUM($O746:W746)</f>
        <v>0</v>
      </c>
      <c r="Y746" s="52">
        <f ca="1">Log_2018[[#This Row],[Amount]]/Log_2018[[#This Row],[Split_raw]]*MAX(0,MIN(_xlfn.DAYS(EDATE(Y$1,1),Log_2018[[#This Row],[Date]]),Log_2018[[#This Row],[Split_apply]])) - SUM($O746:X746)</f>
        <v>0</v>
      </c>
      <c r="Z746" s="52">
        <f ca="1">Log_2018[[#This Row],[Amount]]/Log_2018[[#This Row],[Split_raw]]*MAX(0,MIN(_xlfn.DAYS(EDATE(Z$1,1),Log_2018[[#This Row],[Date]]),Log_2018[[#This Row],[Split_apply]])) - SUM($O746:Y746)</f>
        <v>0</v>
      </c>
      <c r="AA746" s="52">
        <f ca="1">Log_2018[[#This Row],[Amount]]/Log_2018[[#This Row],[Split_raw]]*MAX(0,MIN(_xlfn.DAYS(EDATE(AA$1,1),Log_2018[[#This Row],[Date]]),Log_2018[[#This Row],[Split_apply]])) - SUM($O746:Z746)</f>
        <v>0</v>
      </c>
      <c r="AB746" s="54">
        <f ca="1">Log_2018[[#This Row],[Amount]]-SUM(O746:AA746)</f>
        <v>0</v>
      </c>
      <c r="AC746" s="7">
        <f ca="1">MAX(0,Log_2018[[#This Row],[Split_apply]] - (EDATE(AA$1,1)-Log_2018[[#This Row],[Date]]))</f>
        <v>0</v>
      </c>
    </row>
    <row r="747" spans="1:29" hidden="1" x14ac:dyDescent="0.25">
      <c r="A747" s="115"/>
      <c r="B747" t="s">
        <v>191</v>
      </c>
      <c r="D747" s="26">
        <v>43107</v>
      </c>
      <c r="E747" t="s">
        <v>1039</v>
      </c>
      <c r="F747" t="s">
        <v>339</v>
      </c>
      <c r="G747" t="s">
        <v>87</v>
      </c>
      <c r="H747" s="3">
        <f>--507.4</f>
        <v>507.4</v>
      </c>
      <c r="I747" s="36">
        <f>IF(Log_2018[[#This Row],[My Category]]="NONTRACKED",0,Log_2018[[#This Row],[Raw Amount]])</f>
        <v>507.4</v>
      </c>
      <c r="J747" s="17">
        <f>ABS(Log_2018[[#This Row],[Amount]])</f>
        <v>507.4</v>
      </c>
      <c r="K747" s="66">
        <v>14</v>
      </c>
      <c r="L747" s="66">
        <f ca="1">IF(Log_2018[[#This Row],[Date]]&lt;=TODAY(), MIN(Log_2018[[#This Row],[Split_raw]], TODAY()-Log_2018[[#This Row],[Date]]+1), 0)</f>
        <v>14</v>
      </c>
      <c r="M747" t="s">
        <v>42</v>
      </c>
      <c r="N747" t="s">
        <v>160</v>
      </c>
      <c r="O747" s="50">
        <v>0</v>
      </c>
      <c r="P747" s="52">
        <f ca="1">Log_2018[[#This Row],[Amount]]/Log_2018[[#This Row],[Split_raw]]*MAX(0,MIN(_xlfn.DAYS(EDATE(P$1,1),Log_2018[[#This Row],[Date]]),Log_2018[[#This Row],[Split_apply]])) - SUM($O747:O747)</f>
        <v>507.4</v>
      </c>
      <c r="Q747" s="52">
        <f ca="1">Log_2018[[#This Row],[Amount]]/Log_2018[[#This Row],[Split_raw]]*MAX(0,MIN(_xlfn.DAYS(EDATE(Q$1,1),Log_2018[[#This Row],[Date]]),Log_2018[[#This Row],[Split_apply]])) - SUM($O747:P747)</f>
        <v>0</v>
      </c>
      <c r="R747" s="52">
        <f ca="1">Log_2018[[#This Row],[Amount]]/Log_2018[[#This Row],[Split_raw]]*MAX(0,MIN(_xlfn.DAYS(EDATE(R$1,1),Log_2018[[#This Row],[Date]]),Log_2018[[#This Row],[Split_apply]])) - SUM($O747:Q747)</f>
        <v>0</v>
      </c>
      <c r="S747" s="52">
        <f ca="1">Log_2018[[#This Row],[Amount]]/Log_2018[[#This Row],[Split_raw]]*MAX(0,MIN(_xlfn.DAYS(EDATE(S$1,1),Log_2018[[#This Row],[Date]]),Log_2018[[#This Row],[Split_apply]])) - SUM($O747:R747)</f>
        <v>0</v>
      </c>
      <c r="T747" s="52">
        <f ca="1">Log_2018[[#This Row],[Amount]]/Log_2018[[#This Row],[Split_raw]]*MAX(0,MIN(_xlfn.DAYS(EDATE(T$1,1),Log_2018[[#This Row],[Date]]),Log_2018[[#This Row],[Split_apply]])) - SUM($O747:S747)</f>
        <v>0</v>
      </c>
      <c r="U747" s="52">
        <f ca="1">Log_2018[[#This Row],[Amount]]/Log_2018[[#This Row],[Split_raw]]*MAX(0,MIN(_xlfn.DAYS(EDATE(U$1,1),Log_2018[[#This Row],[Date]]),Log_2018[[#This Row],[Split_apply]])) - SUM($O747:T747)</f>
        <v>0</v>
      </c>
      <c r="V747" s="52">
        <f ca="1">Log_2018[[#This Row],[Amount]]/Log_2018[[#This Row],[Split_raw]]*MAX(0,MIN(_xlfn.DAYS(EDATE(V$1,1),Log_2018[[#This Row],[Date]]),Log_2018[[#This Row],[Split_apply]])) - SUM($O747:U747)</f>
        <v>0</v>
      </c>
      <c r="W747" s="52">
        <f ca="1">Log_2018[[#This Row],[Amount]]/Log_2018[[#This Row],[Split_raw]]*MAX(0,MIN(_xlfn.DAYS(EDATE(W$1,1),Log_2018[[#This Row],[Date]]),Log_2018[[#This Row],[Split_apply]])) - SUM($O747:V747)</f>
        <v>0</v>
      </c>
      <c r="X747" s="52">
        <f ca="1">Log_2018[[#This Row],[Amount]]/Log_2018[[#This Row],[Split_raw]]*MAX(0,MIN(_xlfn.DAYS(EDATE(X$1,1),Log_2018[[#This Row],[Date]]),Log_2018[[#This Row],[Split_apply]])) - SUM($O747:W747)</f>
        <v>0</v>
      </c>
      <c r="Y747" s="52">
        <f ca="1">Log_2018[[#This Row],[Amount]]/Log_2018[[#This Row],[Split_raw]]*MAX(0,MIN(_xlfn.DAYS(EDATE(Y$1,1),Log_2018[[#This Row],[Date]]),Log_2018[[#This Row],[Split_apply]])) - SUM($O747:X747)</f>
        <v>0</v>
      </c>
      <c r="Z747" s="52">
        <f ca="1">Log_2018[[#This Row],[Amount]]/Log_2018[[#This Row],[Split_raw]]*MAX(0,MIN(_xlfn.DAYS(EDATE(Z$1,1),Log_2018[[#This Row],[Date]]),Log_2018[[#This Row],[Split_apply]])) - SUM($O747:Y747)</f>
        <v>0</v>
      </c>
      <c r="AA747" s="52">
        <f ca="1">Log_2018[[#This Row],[Amount]]/Log_2018[[#This Row],[Split_raw]]*MAX(0,MIN(_xlfn.DAYS(EDATE(AA$1,1),Log_2018[[#This Row],[Date]]),Log_2018[[#This Row],[Split_apply]])) - SUM($O747:Z747)</f>
        <v>0</v>
      </c>
      <c r="AB747" s="54">
        <f ca="1">Log_2018[[#This Row],[Amount]]-SUM(O747:AA747)</f>
        <v>0</v>
      </c>
      <c r="AC747" s="7">
        <f ca="1">MAX(0,Log_2018[[#This Row],[Split_apply]] - (EDATE(AA$1,1)-Log_2018[[#This Row],[Date]]))</f>
        <v>0</v>
      </c>
    </row>
    <row r="748" spans="1:29" x14ac:dyDescent="0.25">
      <c r="A748" s="115">
        <v>5</v>
      </c>
      <c r="B748" t="s">
        <v>6</v>
      </c>
      <c r="D748" s="39">
        <v>43107</v>
      </c>
      <c r="E748" t="s">
        <v>877</v>
      </c>
      <c r="F748" t="s">
        <v>109</v>
      </c>
      <c r="G748" t="s">
        <v>27</v>
      </c>
      <c r="H748" s="3">
        <v>-249.5</v>
      </c>
      <c r="I748" s="36">
        <f>IF(Log_2018[[#This Row],[My Category]]="NONTRACKED",0,Log_2018[[#This Row],[Raw Amount]])</f>
        <v>-249.5</v>
      </c>
      <c r="J748" s="17">
        <f>ABS(Log_2018[[#This Row],[Amount]])</f>
        <v>249.5</v>
      </c>
      <c r="K748" s="66">
        <v>1</v>
      </c>
      <c r="L748" s="66">
        <f ca="1">IF(Log_2018[[#This Row],[Date]]&lt;=TODAY(), MIN(Log_2018[[#This Row],[Split_raw]], TODAY()-Log_2018[[#This Row],[Date]]+1), 0)</f>
        <v>1</v>
      </c>
      <c r="M748" t="s">
        <v>42</v>
      </c>
      <c r="N748" t="s">
        <v>157</v>
      </c>
      <c r="O748" s="50">
        <v>0</v>
      </c>
      <c r="P748" s="52">
        <f ca="1">Log_2018[[#This Row],[Amount]]/Log_2018[[#This Row],[Split_raw]]*MAX(0,MIN(_xlfn.DAYS(EDATE(P$1,1),Log_2018[[#This Row],[Date]]),Log_2018[[#This Row],[Split_apply]])) - SUM($O748:O748)</f>
        <v>-249.5</v>
      </c>
      <c r="Q748" s="52">
        <f ca="1">Log_2018[[#This Row],[Amount]]/Log_2018[[#This Row],[Split_raw]]*MAX(0,MIN(_xlfn.DAYS(EDATE(Q$1,1),Log_2018[[#This Row],[Date]]),Log_2018[[#This Row],[Split_apply]])) - SUM($O748:P748)</f>
        <v>0</v>
      </c>
      <c r="R748" s="52">
        <f ca="1">Log_2018[[#This Row],[Amount]]/Log_2018[[#This Row],[Split_raw]]*MAX(0,MIN(_xlfn.DAYS(EDATE(R$1,1),Log_2018[[#This Row],[Date]]),Log_2018[[#This Row],[Split_apply]])) - SUM($O748:Q748)</f>
        <v>0</v>
      </c>
      <c r="S748" s="52">
        <f ca="1">Log_2018[[#This Row],[Amount]]/Log_2018[[#This Row],[Split_raw]]*MAX(0,MIN(_xlfn.DAYS(EDATE(S$1,1),Log_2018[[#This Row],[Date]]),Log_2018[[#This Row],[Split_apply]])) - SUM($O748:R748)</f>
        <v>0</v>
      </c>
      <c r="T748" s="52">
        <f ca="1">Log_2018[[#This Row],[Amount]]/Log_2018[[#This Row],[Split_raw]]*MAX(0,MIN(_xlfn.DAYS(EDATE(T$1,1),Log_2018[[#This Row],[Date]]),Log_2018[[#This Row],[Split_apply]])) - SUM($O748:S748)</f>
        <v>0</v>
      </c>
      <c r="U748" s="52">
        <f ca="1">Log_2018[[#This Row],[Amount]]/Log_2018[[#This Row],[Split_raw]]*MAX(0,MIN(_xlfn.DAYS(EDATE(U$1,1),Log_2018[[#This Row],[Date]]),Log_2018[[#This Row],[Split_apply]])) - SUM($O748:T748)</f>
        <v>0</v>
      </c>
      <c r="V748" s="52">
        <f ca="1">Log_2018[[#This Row],[Amount]]/Log_2018[[#This Row],[Split_raw]]*MAX(0,MIN(_xlfn.DAYS(EDATE(V$1,1),Log_2018[[#This Row],[Date]]),Log_2018[[#This Row],[Split_apply]])) - SUM($O748:U748)</f>
        <v>0</v>
      </c>
      <c r="W748" s="52">
        <f ca="1">Log_2018[[#This Row],[Amount]]/Log_2018[[#This Row],[Split_raw]]*MAX(0,MIN(_xlfn.DAYS(EDATE(W$1,1),Log_2018[[#This Row],[Date]]),Log_2018[[#This Row],[Split_apply]])) - SUM($O748:V748)</f>
        <v>0</v>
      </c>
      <c r="X748" s="52">
        <f ca="1">Log_2018[[#This Row],[Amount]]/Log_2018[[#This Row],[Split_raw]]*MAX(0,MIN(_xlfn.DAYS(EDATE(X$1,1),Log_2018[[#This Row],[Date]]),Log_2018[[#This Row],[Split_apply]])) - SUM($O748:W748)</f>
        <v>0</v>
      </c>
      <c r="Y748" s="52">
        <f ca="1">Log_2018[[#This Row],[Amount]]/Log_2018[[#This Row],[Split_raw]]*MAX(0,MIN(_xlfn.DAYS(EDATE(Y$1,1),Log_2018[[#This Row],[Date]]),Log_2018[[#This Row],[Split_apply]])) - SUM($O748:X748)</f>
        <v>0</v>
      </c>
      <c r="Z748" s="52">
        <f ca="1">Log_2018[[#This Row],[Amount]]/Log_2018[[#This Row],[Split_raw]]*MAX(0,MIN(_xlfn.DAYS(EDATE(Z$1,1),Log_2018[[#This Row],[Date]]),Log_2018[[#This Row],[Split_apply]])) - SUM($O748:Y748)</f>
        <v>0</v>
      </c>
      <c r="AA748" s="52">
        <f ca="1">Log_2018[[#This Row],[Amount]]/Log_2018[[#This Row],[Split_raw]]*MAX(0,MIN(_xlfn.DAYS(EDATE(AA$1,1),Log_2018[[#This Row],[Date]]),Log_2018[[#This Row],[Split_apply]])) - SUM($O748:Z748)</f>
        <v>0</v>
      </c>
      <c r="AB748" s="54">
        <f ca="1">Log_2018[[#This Row],[Amount]]-SUM(O748:AA748)</f>
        <v>0</v>
      </c>
      <c r="AC748" s="7">
        <f ca="1">MAX(0,Log_2018[[#This Row],[Split_apply]] - (EDATE(AA$1,1)-Log_2018[[#This Row],[Date]]))</f>
        <v>0</v>
      </c>
    </row>
    <row r="749" spans="1:29" x14ac:dyDescent="0.25">
      <c r="A749" s="115">
        <v>6</v>
      </c>
      <c r="B749" t="s">
        <v>6</v>
      </c>
      <c r="D749" s="39">
        <v>43107</v>
      </c>
      <c r="F749" t="s">
        <v>105</v>
      </c>
      <c r="G749" t="s">
        <v>104</v>
      </c>
      <c r="H749" s="3">
        <v>158.44</v>
      </c>
      <c r="I749" s="36">
        <f>IF(Log_2018[[#This Row],[My Category]]="NONTRACKED",0,Log_2018[[#This Row],[Raw Amount]])</f>
        <v>158.44</v>
      </c>
      <c r="J749" s="17">
        <f>ABS(Log_2018[[#This Row],[Amount]])</f>
        <v>158.44</v>
      </c>
      <c r="K749" s="66">
        <v>1</v>
      </c>
      <c r="L749" s="66">
        <f ca="1">IF(Log_2018[[#This Row],[Date]]&lt;=TODAY(), MIN(Log_2018[[#This Row],[Split_raw]], TODAY()-Log_2018[[#This Row],[Date]]+1), 0)</f>
        <v>1</v>
      </c>
      <c r="M749" t="s">
        <v>159</v>
      </c>
      <c r="N749" t="s">
        <v>157</v>
      </c>
      <c r="O749" s="50">
        <v>0</v>
      </c>
      <c r="P749" s="52">
        <f ca="1">Log_2018[[#This Row],[Amount]]/Log_2018[[#This Row],[Split_raw]]*MAX(0,MIN(_xlfn.DAYS(EDATE(P$1,1),Log_2018[[#This Row],[Date]]),Log_2018[[#This Row],[Split_apply]])) - SUM($O749:O749)</f>
        <v>158.44</v>
      </c>
      <c r="Q749" s="52">
        <f ca="1">Log_2018[[#This Row],[Amount]]/Log_2018[[#This Row],[Split_raw]]*MAX(0,MIN(_xlfn.DAYS(EDATE(Q$1,1),Log_2018[[#This Row],[Date]]),Log_2018[[#This Row],[Split_apply]])) - SUM($O749:P749)</f>
        <v>0</v>
      </c>
      <c r="R749" s="52">
        <f ca="1">Log_2018[[#This Row],[Amount]]/Log_2018[[#This Row],[Split_raw]]*MAX(0,MIN(_xlfn.DAYS(EDATE(R$1,1),Log_2018[[#This Row],[Date]]),Log_2018[[#This Row],[Split_apply]])) - SUM($O749:Q749)</f>
        <v>0</v>
      </c>
      <c r="S749" s="52">
        <f ca="1">Log_2018[[#This Row],[Amount]]/Log_2018[[#This Row],[Split_raw]]*MAX(0,MIN(_xlfn.DAYS(EDATE(S$1,1),Log_2018[[#This Row],[Date]]),Log_2018[[#This Row],[Split_apply]])) - SUM($O749:R749)</f>
        <v>0</v>
      </c>
      <c r="T749" s="52">
        <f ca="1">Log_2018[[#This Row],[Amount]]/Log_2018[[#This Row],[Split_raw]]*MAX(0,MIN(_xlfn.DAYS(EDATE(T$1,1),Log_2018[[#This Row],[Date]]),Log_2018[[#This Row],[Split_apply]])) - SUM($O749:S749)</f>
        <v>0</v>
      </c>
      <c r="U749" s="52">
        <f ca="1">Log_2018[[#This Row],[Amount]]/Log_2018[[#This Row],[Split_raw]]*MAX(0,MIN(_xlfn.DAYS(EDATE(U$1,1),Log_2018[[#This Row],[Date]]),Log_2018[[#This Row],[Split_apply]])) - SUM($O749:T749)</f>
        <v>0</v>
      </c>
      <c r="V749" s="52">
        <f ca="1">Log_2018[[#This Row],[Amount]]/Log_2018[[#This Row],[Split_raw]]*MAX(0,MIN(_xlfn.DAYS(EDATE(V$1,1),Log_2018[[#This Row],[Date]]),Log_2018[[#This Row],[Split_apply]])) - SUM($O749:U749)</f>
        <v>0</v>
      </c>
      <c r="W749" s="52">
        <f ca="1">Log_2018[[#This Row],[Amount]]/Log_2018[[#This Row],[Split_raw]]*MAX(0,MIN(_xlfn.DAYS(EDATE(W$1,1),Log_2018[[#This Row],[Date]]),Log_2018[[#This Row],[Split_apply]])) - SUM($O749:V749)</f>
        <v>0</v>
      </c>
      <c r="X749" s="52">
        <f ca="1">Log_2018[[#This Row],[Amount]]/Log_2018[[#This Row],[Split_raw]]*MAX(0,MIN(_xlfn.DAYS(EDATE(X$1,1),Log_2018[[#This Row],[Date]]),Log_2018[[#This Row],[Split_apply]])) - SUM($O749:W749)</f>
        <v>0</v>
      </c>
      <c r="Y749" s="52">
        <f ca="1">Log_2018[[#This Row],[Amount]]/Log_2018[[#This Row],[Split_raw]]*MAX(0,MIN(_xlfn.DAYS(EDATE(Y$1,1),Log_2018[[#This Row],[Date]]),Log_2018[[#This Row],[Split_apply]])) - SUM($O749:X749)</f>
        <v>0</v>
      </c>
      <c r="Z749" s="52">
        <f ca="1">Log_2018[[#This Row],[Amount]]/Log_2018[[#This Row],[Split_raw]]*MAX(0,MIN(_xlfn.DAYS(EDATE(Z$1,1),Log_2018[[#This Row],[Date]]),Log_2018[[#This Row],[Split_apply]])) - SUM($O749:Y749)</f>
        <v>0</v>
      </c>
      <c r="AA749" s="52">
        <f ca="1">Log_2018[[#This Row],[Amount]]/Log_2018[[#This Row],[Split_raw]]*MAX(0,MIN(_xlfn.DAYS(EDATE(AA$1,1),Log_2018[[#This Row],[Date]]),Log_2018[[#This Row],[Split_apply]])) - SUM($O749:Z749)</f>
        <v>0</v>
      </c>
      <c r="AB749" s="54">
        <f ca="1">Log_2018[[#This Row],[Amount]]-SUM(O749:AA749)</f>
        <v>0</v>
      </c>
      <c r="AC749" s="7">
        <f ca="1">MAX(0,Log_2018[[#This Row],[Split_apply]] - (EDATE(AA$1,1)-Log_2018[[#This Row],[Date]]))</f>
        <v>0</v>
      </c>
    </row>
    <row r="750" spans="1:29" x14ac:dyDescent="0.25">
      <c r="A750" s="115">
        <v>4</v>
      </c>
      <c r="B750" t="s">
        <v>6</v>
      </c>
      <c r="D750" s="39">
        <v>43104</v>
      </c>
      <c r="F750" t="s">
        <v>110</v>
      </c>
      <c r="G750" t="s">
        <v>27</v>
      </c>
      <c r="H750" s="3">
        <v>-40</v>
      </c>
      <c r="I750" s="36">
        <f>IF(Log_2018[[#This Row],[My Category]]="NONTRACKED",0,Log_2018[[#This Row],[Raw Amount]])</f>
        <v>-40</v>
      </c>
      <c r="J750" s="17">
        <f>ABS(Log_2018[[#This Row],[Amount]])</f>
        <v>40</v>
      </c>
      <c r="K750" s="66">
        <v>1</v>
      </c>
      <c r="L750" s="66">
        <f ca="1">IF(Log_2018[[#This Row],[Date]]&lt;=TODAY(), MIN(Log_2018[[#This Row],[Split_raw]], TODAY()-Log_2018[[#This Row],[Date]]+1), 0)</f>
        <v>1</v>
      </c>
      <c r="M750" t="s">
        <v>52</v>
      </c>
      <c r="N750" t="s">
        <v>157</v>
      </c>
      <c r="O750" s="50">
        <v>0</v>
      </c>
      <c r="P750" s="52">
        <f ca="1">Log_2018[[#This Row],[Amount]]/Log_2018[[#This Row],[Split_raw]]*MAX(0,MIN(_xlfn.DAYS(EDATE(P$1,1),Log_2018[[#This Row],[Date]]),Log_2018[[#This Row],[Split_apply]])) - SUM($O750:O750)</f>
        <v>-40</v>
      </c>
      <c r="Q750" s="52">
        <f ca="1">Log_2018[[#This Row],[Amount]]/Log_2018[[#This Row],[Split_raw]]*MAX(0,MIN(_xlfn.DAYS(EDATE(Q$1,1),Log_2018[[#This Row],[Date]]),Log_2018[[#This Row],[Split_apply]])) - SUM($O750:P750)</f>
        <v>0</v>
      </c>
      <c r="R750" s="52">
        <f ca="1">Log_2018[[#This Row],[Amount]]/Log_2018[[#This Row],[Split_raw]]*MAX(0,MIN(_xlfn.DAYS(EDATE(R$1,1),Log_2018[[#This Row],[Date]]),Log_2018[[#This Row],[Split_apply]])) - SUM($O750:Q750)</f>
        <v>0</v>
      </c>
      <c r="S750" s="52">
        <f ca="1">Log_2018[[#This Row],[Amount]]/Log_2018[[#This Row],[Split_raw]]*MAX(0,MIN(_xlfn.DAYS(EDATE(S$1,1),Log_2018[[#This Row],[Date]]),Log_2018[[#This Row],[Split_apply]])) - SUM($O750:R750)</f>
        <v>0</v>
      </c>
      <c r="T750" s="52">
        <f ca="1">Log_2018[[#This Row],[Amount]]/Log_2018[[#This Row],[Split_raw]]*MAX(0,MIN(_xlfn.DAYS(EDATE(T$1,1),Log_2018[[#This Row],[Date]]),Log_2018[[#This Row],[Split_apply]])) - SUM($O750:S750)</f>
        <v>0</v>
      </c>
      <c r="U750" s="52">
        <f ca="1">Log_2018[[#This Row],[Amount]]/Log_2018[[#This Row],[Split_raw]]*MAX(0,MIN(_xlfn.DAYS(EDATE(U$1,1),Log_2018[[#This Row],[Date]]),Log_2018[[#This Row],[Split_apply]])) - SUM($O750:T750)</f>
        <v>0</v>
      </c>
      <c r="V750" s="52">
        <f ca="1">Log_2018[[#This Row],[Amount]]/Log_2018[[#This Row],[Split_raw]]*MAX(0,MIN(_xlfn.DAYS(EDATE(V$1,1),Log_2018[[#This Row],[Date]]),Log_2018[[#This Row],[Split_apply]])) - SUM($O750:U750)</f>
        <v>0</v>
      </c>
      <c r="W750" s="52">
        <f ca="1">Log_2018[[#This Row],[Amount]]/Log_2018[[#This Row],[Split_raw]]*MAX(0,MIN(_xlfn.DAYS(EDATE(W$1,1),Log_2018[[#This Row],[Date]]),Log_2018[[#This Row],[Split_apply]])) - SUM($O750:V750)</f>
        <v>0</v>
      </c>
      <c r="X750" s="52">
        <f ca="1">Log_2018[[#This Row],[Amount]]/Log_2018[[#This Row],[Split_raw]]*MAX(0,MIN(_xlfn.DAYS(EDATE(X$1,1),Log_2018[[#This Row],[Date]]),Log_2018[[#This Row],[Split_apply]])) - SUM($O750:W750)</f>
        <v>0</v>
      </c>
      <c r="Y750" s="52">
        <f ca="1">Log_2018[[#This Row],[Amount]]/Log_2018[[#This Row],[Split_raw]]*MAX(0,MIN(_xlfn.DAYS(EDATE(Y$1,1),Log_2018[[#This Row],[Date]]),Log_2018[[#This Row],[Split_apply]])) - SUM($O750:X750)</f>
        <v>0</v>
      </c>
      <c r="Z750" s="52">
        <f ca="1">Log_2018[[#This Row],[Amount]]/Log_2018[[#This Row],[Split_raw]]*MAX(0,MIN(_xlfn.DAYS(EDATE(Z$1,1),Log_2018[[#This Row],[Date]]),Log_2018[[#This Row],[Split_apply]])) - SUM($O750:Y750)</f>
        <v>0</v>
      </c>
      <c r="AA750" s="52">
        <f ca="1">Log_2018[[#This Row],[Amount]]/Log_2018[[#This Row],[Split_raw]]*MAX(0,MIN(_xlfn.DAYS(EDATE(AA$1,1),Log_2018[[#This Row],[Date]]),Log_2018[[#This Row],[Split_apply]])) - SUM($O750:Z750)</f>
        <v>0</v>
      </c>
      <c r="AB750" s="54">
        <f ca="1">Log_2018[[#This Row],[Amount]]-SUM(O750:AA750)</f>
        <v>0</v>
      </c>
      <c r="AC750" s="7">
        <f ca="1">MAX(0,Log_2018[[#This Row],[Split_apply]] - (EDATE(AA$1,1)-Log_2018[[#This Row],[Date]]))</f>
        <v>0</v>
      </c>
    </row>
    <row r="751" spans="1:29" x14ac:dyDescent="0.25">
      <c r="A751" s="115">
        <v>2</v>
      </c>
      <c r="B751" t="s">
        <v>6</v>
      </c>
      <c r="D751" s="39">
        <v>43102</v>
      </c>
      <c r="F751" t="s">
        <v>111</v>
      </c>
      <c r="G751" t="s">
        <v>19</v>
      </c>
      <c r="H751" s="3">
        <v>-10</v>
      </c>
      <c r="I751" s="36">
        <f>IF(Log_2018[[#This Row],[My Category]]="NONTRACKED",0,Log_2018[[#This Row],[Raw Amount]])</f>
        <v>-10</v>
      </c>
      <c r="J751" s="17">
        <f>ABS(Log_2018[[#This Row],[Amount]])</f>
        <v>10</v>
      </c>
      <c r="K751" s="66">
        <v>1</v>
      </c>
      <c r="L751" s="66">
        <f ca="1">IF(Log_2018[[#This Row],[Date]]&lt;=TODAY(), MIN(Log_2018[[#This Row],[Split_raw]], TODAY()-Log_2018[[#This Row],[Date]]+1), 0)</f>
        <v>1</v>
      </c>
      <c r="M751" t="s">
        <v>39</v>
      </c>
      <c r="N751" t="s">
        <v>157</v>
      </c>
      <c r="O751" s="50">
        <v>0</v>
      </c>
      <c r="P751" s="52">
        <f ca="1">Log_2018[[#This Row],[Amount]]/Log_2018[[#This Row],[Split_raw]]*MAX(0,MIN(_xlfn.DAYS(EDATE(P$1,1),Log_2018[[#This Row],[Date]]),Log_2018[[#This Row],[Split_apply]])) - SUM($O751:O751)</f>
        <v>-10</v>
      </c>
      <c r="Q751" s="52">
        <f ca="1">Log_2018[[#This Row],[Amount]]/Log_2018[[#This Row],[Split_raw]]*MAX(0,MIN(_xlfn.DAYS(EDATE(Q$1,1),Log_2018[[#This Row],[Date]]),Log_2018[[#This Row],[Split_apply]])) - SUM($O751:P751)</f>
        <v>0</v>
      </c>
      <c r="R751" s="52">
        <f ca="1">Log_2018[[#This Row],[Amount]]/Log_2018[[#This Row],[Split_raw]]*MAX(0,MIN(_xlfn.DAYS(EDATE(R$1,1),Log_2018[[#This Row],[Date]]),Log_2018[[#This Row],[Split_apply]])) - SUM($O751:Q751)</f>
        <v>0</v>
      </c>
      <c r="S751" s="52">
        <f ca="1">Log_2018[[#This Row],[Amount]]/Log_2018[[#This Row],[Split_raw]]*MAX(0,MIN(_xlfn.DAYS(EDATE(S$1,1),Log_2018[[#This Row],[Date]]),Log_2018[[#This Row],[Split_apply]])) - SUM($O751:R751)</f>
        <v>0</v>
      </c>
      <c r="T751" s="52">
        <f ca="1">Log_2018[[#This Row],[Amount]]/Log_2018[[#This Row],[Split_raw]]*MAX(0,MIN(_xlfn.DAYS(EDATE(T$1,1),Log_2018[[#This Row],[Date]]),Log_2018[[#This Row],[Split_apply]])) - SUM($O751:S751)</f>
        <v>0</v>
      </c>
      <c r="U751" s="52">
        <f ca="1">Log_2018[[#This Row],[Amount]]/Log_2018[[#This Row],[Split_raw]]*MAX(0,MIN(_xlfn.DAYS(EDATE(U$1,1),Log_2018[[#This Row],[Date]]),Log_2018[[#This Row],[Split_apply]])) - SUM($O751:T751)</f>
        <v>0</v>
      </c>
      <c r="V751" s="52">
        <f ca="1">Log_2018[[#This Row],[Amount]]/Log_2018[[#This Row],[Split_raw]]*MAX(0,MIN(_xlfn.DAYS(EDATE(V$1,1),Log_2018[[#This Row],[Date]]),Log_2018[[#This Row],[Split_apply]])) - SUM($O751:U751)</f>
        <v>0</v>
      </c>
      <c r="W751" s="52">
        <f ca="1">Log_2018[[#This Row],[Amount]]/Log_2018[[#This Row],[Split_raw]]*MAX(0,MIN(_xlfn.DAYS(EDATE(W$1,1),Log_2018[[#This Row],[Date]]),Log_2018[[#This Row],[Split_apply]])) - SUM($O751:V751)</f>
        <v>0</v>
      </c>
      <c r="X751" s="52">
        <f ca="1">Log_2018[[#This Row],[Amount]]/Log_2018[[#This Row],[Split_raw]]*MAX(0,MIN(_xlfn.DAYS(EDATE(X$1,1),Log_2018[[#This Row],[Date]]),Log_2018[[#This Row],[Split_apply]])) - SUM($O751:W751)</f>
        <v>0</v>
      </c>
      <c r="Y751" s="52">
        <f ca="1">Log_2018[[#This Row],[Amount]]/Log_2018[[#This Row],[Split_raw]]*MAX(0,MIN(_xlfn.DAYS(EDATE(Y$1,1),Log_2018[[#This Row],[Date]]),Log_2018[[#This Row],[Split_apply]])) - SUM($O751:X751)</f>
        <v>0</v>
      </c>
      <c r="Z751" s="52">
        <f ca="1">Log_2018[[#This Row],[Amount]]/Log_2018[[#This Row],[Split_raw]]*MAX(0,MIN(_xlfn.DAYS(EDATE(Z$1,1),Log_2018[[#This Row],[Date]]),Log_2018[[#This Row],[Split_apply]])) - SUM($O751:Y751)</f>
        <v>0</v>
      </c>
      <c r="AA751" s="52">
        <f ca="1">Log_2018[[#This Row],[Amount]]/Log_2018[[#This Row],[Split_raw]]*MAX(0,MIN(_xlfn.DAYS(EDATE(AA$1,1),Log_2018[[#This Row],[Date]]),Log_2018[[#This Row],[Split_apply]])) - SUM($O751:Z751)</f>
        <v>0</v>
      </c>
      <c r="AB751" s="54">
        <f ca="1">Log_2018[[#This Row],[Amount]]-SUM(O751:AA751)</f>
        <v>0</v>
      </c>
      <c r="AC751" s="7">
        <f ca="1">MAX(0,Log_2018[[#This Row],[Split_apply]] - (EDATE(AA$1,1)-Log_2018[[#This Row],[Date]]))</f>
        <v>0</v>
      </c>
    </row>
    <row r="752" spans="1:29" x14ac:dyDescent="0.25">
      <c r="A752" s="115">
        <v>3</v>
      </c>
      <c r="B752" t="s">
        <v>6</v>
      </c>
      <c r="D752" s="39">
        <v>43102</v>
      </c>
      <c r="F752" t="s">
        <v>112</v>
      </c>
      <c r="G752" t="s">
        <v>25</v>
      </c>
      <c r="H752" s="3">
        <v>-35</v>
      </c>
      <c r="I752" s="36">
        <f>IF(Log_2018[[#This Row],[My Category]]="NONTRACKED",0,Log_2018[[#This Row],[Raw Amount]])</f>
        <v>-35</v>
      </c>
      <c r="J752" s="17">
        <f>ABS(Log_2018[[#This Row],[Amount]])</f>
        <v>35</v>
      </c>
      <c r="K752" s="66">
        <v>1</v>
      </c>
      <c r="L752" s="66">
        <f ca="1">IF(Log_2018[[#This Row],[Date]]&lt;=TODAY(), MIN(Log_2018[[#This Row],[Split_raw]], TODAY()-Log_2018[[#This Row],[Date]]+1), 0)</f>
        <v>1</v>
      </c>
      <c r="M752" t="s">
        <v>40</v>
      </c>
      <c r="N752" t="s">
        <v>157</v>
      </c>
      <c r="O752" s="50">
        <v>0</v>
      </c>
      <c r="P752" s="52">
        <f ca="1">Log_2018[[#This Row],[Amount]]/Log_2018[[#This Row],[Split_raw]]*MAX(0,MIN(_xlfn.DAYS(EDATE(P$1,1),Log_2018[[#This Row],[Date]]),Log_2018[[#This Row],[Split_apply]])) - SUM($O752:O752)</f>
        <v>-35</v>
      </c>
      <c r="Q752" s="52">
        <f ca="1">Log_2018[[#This Row],[Amount]]/Log_2018[[#This Row],[Split_raw]]*MAX(0,MIN(_xlfn.DAYS(EDATE(Q$1,1),Log_2018[[#This Row],[Date]]),Log_2018[[#This Row],[Split_apply]])) - SUM($O752:P752)</f>
        <v>0</v>
      </c>
      <c r="R752" s="52">
        <f ca="1">Log_2018[[#This Row],[Amount]]/Log_2018[[#This Row],[Split_raw]]*MAX(0,MIN(_xlfn.DAYS(EDATE(R$1,1),Log_2018[[#This Row],[Date]]),Log_2018[[#This Row],[Split_apply]])) - SUM($O752:Q752)</f>
        <v>0</v>
      </c>
      <c r="S752" s="52">
        <f ca="1">Log_2018[[#This Row],[Amount]]/Log_2018[[#This Row],[Split_raw]]*MAX(0,MIN(_xlfn.DAYS(EDATE(S$1,1),Log_2018[[#This Row],[Date]]),Log_2018[[#This Row],[Split_apply]])) - SUM($O752:R752)</f>
        <v>0</v>
      </c>
      <c r="T752" s="52">
        <f ca="1">Log_2018[[#This Row],[Amount]]/Log_2018[[#This Row],[Split_raw]]*MAX(0,MIN(_xlfn.DAYS(EDATE(T$1,1),Log_2018[[#This Row],[Date]]),Log_2018[[#This Row],[Split_apply]])) - SUM($O752:S752)</f>
        <v>0</v>
      </c>
      <c r="U752" s="52">
        <f ca="1">Log_2018[[#This Row],[Amount]]/Log_2018[[#This Row],[Split_raw]]*MAX(0,MIN(_xlfn.DAYS(EDATE(U$1,1),Log_2018[[#This Row],[Date]]),Log_2018[[#This Row],[Split_apply]])) - SUM($O752:T752)</f>
        <v>0</v>
      </c>
      <c r="V752" s="52">
        <f ca="1">Log_2018[[#This Row],[Amount]]/Log_2018[[#This Row],[Split_raw]]*MAX(0,MIN(_xlfn.DAYS(EDATE(V$1,1),Log_2018[[#This Row],[Date]]),Log_2018[[#This Row],[Split_apply]])) - SUM($O752:U752)</f>
        <v>0</v>
      </c>
      <c r="W752" s="52">
        <f ca="1">Log_2018[[#This Row],[Amount]]/Log_2018[[#This Row],[Split_raw]]*MAX(0,MIN(_xlfn.DAYS(EDATE(W$1,1),Log_2018[[#This Row],[Date]]),Log_2018[[#This Row],[Split_apply]])) - SUM($O752:V752)</f>
        <v>0</v>
      </c>
      <c r="X752" s="52">
        <f ca="1">Log_2018[[#This Row],[Amount]]/Log_2018[[#This Row],[Split_raw]]*MAX(0,MIN(_xlfn.DAYS(EDATE(X$1,1),Log_2018[[#This Row],[Date]]),Log_2018[[#This Row],[Split_apply]])) - SUM($O752:W752)</f>
        <v>0</v>
      </c>
      <c r="Y752" s="52">
        <f ca="1">Log_2018[[#This Row],[Amount]]/Log_2018[[#This Row],[Split_raw]]*MAX(0,MIN(_xlfn.DAYS(EDATE(Y$1,1),Log_2018[[#This Row],[Date]]),Log_2018[[#This Row],[Split_apply]])) - SUM($O752:X752)</f>
        <v>0</v>
      </c>
      <c r="Z752" s="52">
        <f ca="1">Log_2018[[#This Row],[Amount]]/Log_2018[[#This Row],[Split_raw]]*MAX(0,MIN(_xlfn.DAYS(EDATE(Z$1,1),Log_2018[[#This Row],[Date]]),Log_2018[[#This Row],[Split_apply]])) - SUM($O752:Y752)</f>
        <v>0</v>
      </c>
      <c r="AA752" s="52">
        <f ca="1">Log_2018[[#This Row],[Amount]]/Log_2018[[#This Row],[Split_raw]]*MAX(0,MIN(_xlfn.DAYS(EDATE(AA$1,1),Log_2018[[#This Row],[Date]]),Log_2018[[#This Row],[Split_apply]])) - SUM($O752:Z752)</f>
        <v>0</v>
      </c>
      <c r="AB752" s="54">
        <f ca="1">Log_2018[[#This Row],[Amount]]-SUM(O752:AA752)</f>
        <v>0</v>
      </c>
      <c r="AC752" s="7">
        <f ca="1">MAX(0,Log_2018[[#This Row],[Split_apply]] - (EDATE(AA$1,1)-Log_2018[[#This Row],[Date]]))</f>
        <v>0</v>
      </c>
    </row>
    <row r="753" spans="1:29" hidden="1" x14ac:dyDescent="0.25">
      <c r="A753" s="115"/>
      <c r="B753" t="s">
        <v>6</v>
      </c>
      <c r="D753" s="39">
        <v>43102</v>
      </c>
      <c r="F753" t="s">
        <v>138</v>
      </c>
      <c r="G753" t="s">
        <v>104</v>
      </c>
      <c r="H753" s="3">
        <v>-693.79</v>
      </c>
      <c r="I753" s="36">
        <f>IF(Log_2018[[#This Row],[My Category]]="NONTRACKED",0,Log_2018[[#This Row],[Raw Amount]])</f>
        <v>-693.79</v>
      </c>
      <c r="J753" s="17">
        <f>ABS(Log_2018[[#This Row],[Amount]])</f>
        <v>693.79</v>
      </c>
      <c r="K753" s="66">
        <v>1</v>
      </c>
      <c r="L753" s="66">
        <f ca="1">IF(Log_2018[[#This Row],[Date]]&lt;=TODAY(), MIN(Log_2018[[#This Row],[Split_raw]], TODAY()-Log_2018[[#This Row],[Date]]+1), 0)</f>
        <v>1</v>
      </c>
      <c r="M753" t="s">
        <v>159</v>
      </c>
      <c r="N753" t="s">
        <v>160</v>
      </c>
      <c r="O753" s="50">
        <v>0</v>
      </c>
      <c r="P753" s="52">
        <f ca="1">Log_2018[[#This Row],[Amount]]/Log_2018[[#This Row],[Split_raw]]*MAX(0,MIN(_xlfn.DAYS(EDATE(P$1,1),Log_2018[[#This Row],[Date]]),Log_2018[[#This Row],[Split_apply]])) - SUM($O753:O753)</f>
        <v>-693.79</v>
      </c>
      <c r="Q753" s="52">
        <f ca="1">Log_2018[[#This Row],[Amount]]/Log_2018[[#This Row],[Split_raw]]*MAX(0,MIN(_xlfn.DAYS(EDATE(Q$1,1),Log_2018[[#This Row],[Date]]),Log_2018[[#This Row],[Split_apply]])) - SUM($O753:P753)</f>
        <v>0</v>
      </c>
      <c r="R753" s="52">
        <f ca="1">Log_2018[[#This Row],[Amount]]/Log_2018[[#This Row],[Split_raw]]*MAX(0,MIN(_xlfn.DAYS(EDATE(R$1,1),Log_2018[[#This Row],[Date]]),Log_2018[[#This Row],[Split_apply]])) - SUM($O753:Q753)</f>
        <v>0</v>
      </c>
      <c r="S753" s="52">
        <f ca="1">Log_2018[[#This Row],[Amount]]/Log_2018[[#This Row],[Split_raw]]*MAX(0,MIN(_xlfn.DAYS(EDATE(S$1,1),Log_2018[[#This Row],[Date]]),Log_2018[[#This Row],[Split_apply]])) - SUM($O753:R753)</f>
        <v>0</v>
      </c>
      <c r="T753" s="52">
        <f ca="1">Log_2018[[#This Row],[Amount]]/Log_2018[[#This Row],[Split_raw]]*MAX(0,MIN(_xlfn.DAYS(EDATE(T$1,1),Log_2018[[#This Row],[Date]]),Log_2018[[#This Row],[Split_apply]])) - SUM($O753:S753)</f>
        <v>0</v>
      </c>
      <c r="U753" s="52">
        <f ca="1">Log_2018[[#This Row],[Amount]]/Log_2018[[#This Row],[Split_raw]]*MAX(0,MIN(_xlfn.DAYS(EDATE(U$1,1),Log_2018[[#This Row],[Date]]),Log_2018[[#This Row],[Split_apply]])) - SUM($O753:T753)</f>
        <v>0</v>
      </c>
      <c r="V753" s="52">
        <f ca="1">Log_2018[[#This Row],[Amount]]/Log_2018[[#This Row],[Split_raw]]*MAX(0,MIN(_xlfn.DAYS(EDATE(V$1,1),Log_2018[[#This Row],[Date]]),Log_2018[[#This Row],[Split_apply]])) - SUM($O753:U753)</f>
        <v>0</v>
      </c>
      <c r="W753" s="52">
        <f ca="1">Log_2018[[#This Row],[Amount]]/Log_2018[[#This Row],[Split_raw]]*MAX(0,MIN(_xlfn.DAYS(EDATE(W$1,1),Log_2018[[#This Row],[Date]]),Log_2018[[#This Row],[Split_apply]])) - SUM($O753:V753)</f>
        <v>0</v>
      </c>
      <c r="X753" s="52">
        <f ca="1">Log_2018[[#This Row],[Amount]]/Log_2018[[#This Row],[Split_raw]]*MAX(0,MIN(_xlfn.DAYS(EDATE(X$1,1),Log_2018[[#This Row],[Date]]),Log_2018[[#This Row],[Split_apply]])) - SUM($O753:W753)</f>
        <v>0</v>
      </c>
      <c r="Y753" s="52">
        <f ca="1">Log_2018[[#This Row],[Amount]]/Log_2018[[#This Row],[Split_raw]]*MAX(0,MIN(_xlfn.DAYS(EDATE(Y$1,1),Log_2018[[#This Row],[Date]]),Log_2018[[#This Row],[Split_apply]])) - SUM($O753:X753)</f>
        <v>0</v>
      </c>
      <c r="Z753" s="52">
        <f ca="1">Log_2018[[#This Row],[Amount]]/Log_2018[[#This Row],[Split_raw]]*MAX(0,MIN(_xlfn.DAYS(EDATE(Z$1,1),Log_2018[[#This Row],[Date]]),Log_2018[[#This Row],[Split_apply]])) - SUM($O753:Y753)</f>
        <v>0</v>
      </c>
      <c r="AA753" s="52">
        <f ca="1">Log_2018[[#This Row],[Amount]]/Log_2018[[#This Row],[Split_raw]]*MAX(0,MIN(_xlfn.DAYS(EDATE(AA$1,1),Log_2018[[#This Row],[Date]]),Log_2018[[#This Row],[Split_apply]])) - SUM($O753:Z753)</f>
        <v>0</v>
      </c>
      <c r="AB753" s="54">
        <f ca="1">Log_2018[[#This Row],[Amount]]-SUM(O753:AA753)</f>
        <v>0</v>
      </c>
      <c r="AC753" s="7">
        <f ca="1">MAX(0,Log_2018[[#This Row],[Split_apply]] - (EDATE(AA$1,1)-Log_2018[[#This Row],[Date]]))</f>
        <v>0</v>
      </c>
    </row>
    <row r="754" spans="1:29" hidden="1" x14ac:dyDescent="0.25">
      <c r="A754" s="115"/>
      <c r="B754" t="s">
        <v>6</v>
      </c>
      <c r="D754" s="39">
        <v>43102</v>
      </c>
      <c r="F754" t="s">
        <v>14</v>
      </c>
      <c r="G754" t="s">
        <v>15</v>
      </c>
      <c r="H754" s="3">
        <v>-150.96</v>
      </c>
      <c r="I754" s="36">
        <f>IF(Log_2018[[#This Row],[My Category]]="NONTRACKED",0,Log_2018[[#This Row],[Raw Amount]])</f>
        <v>-150.96</v>
      </c>
      <c r="J754" s="17">
        <f>ABS(Log_2018[[#This Row],[Amount]])</f>
        <v>150.96</v>
      </c>
      <c r="K754" s="66">
        <v>40</v>
      </c>
      <c r="L754" s="66">
        <f ca="1">IF(Log_2018[[#This Row],[Date]]&lt;=TODAY(), MIN(Log_2018[[#This Row],[Split_raw]], TODAY()-Log_2018[[#This Row],[Date]]+1), 0)</f>
        <v>40</v>
      </c>
      <c r="M754" t="s">
        <v>241</v>
      </c>
      <c r="N754" t="s">
        <v>160</v>
      </c>
      <c r="O754" s="50">
        <v>0</v>
      </c>
      <c r="P754" s="52">
        <f ca="1">Log_2018[[#This Row],[Amount]]/Log_2018[[#This Row],[Split_raw]]*MAX(0,MIN(_xlfn.DAYS(EDATE(P$1,1),Log_2018[[#This Row],[Date]]),Log_2018[[#This Row],[Split_apply]])) - SUM($O754:O754)</f>
        <v>-113.22</v>
      </c>
      <c r="Q754" s="52">
        <f ca="1">Log_2018[[#This Row],[Amount]]/Log_2018[[#This Row],[Split_raw]]*MAX(0,MIN(_xlfn.DAYS(EDATE(Q$1,1),Log_2018[[#This Row],[Date]]),Log_2018[[#This Row],[Split_apply]])) - SUM($O754:P754)</f>
        <v>-37.740000000000009</v>
      </c>
      <c r="R754" s="52">
        <f ca="1">Log_2018[[#This Row],[Amount]]/Log_2018[[#This Row],[Split_raw]]*MAX(0,MIN(_xlfn.DAYS(EDATE(R$1,1),Log_2018[[#This Row],[Date]]),Log_2018[[#This Row],[Split_apply]])) - SUM($O754:Q754)</f>
        <v>0</v>
      </c>
      <c r="S754" s="52">
        <f ca="1">Log_2018[[#This Row],[Amount]]/Log_2018[[#This Row],[Split_raw]]*MAX(0,MIN(_xlfn.DAYS(EDATE(S$1,1),Log_2018[[#This Row],[Date]]),Log_2018[[#This Row],[Split_apply]])) - SUM($O754:R754)</f>
        <v>0</v>
      </c>
      <c r="T754" s="52">
        <f ca="1">Log_2018[[#This Row],[Amount]]/Log_2018[[#This Row],[Split_raw]]*MAX(0,MIN(_xlfn.DAYS(EDATE(T$1,1),Log_2018[[#This Row],[Date]]),Log_2018[[#This Row],[Split_apply]])) - SUM($O754:S754)</f>
        <v>0</v>
      </c>
      <c r="U754" s="52">
        <f ca="1">Log_2018[[#This Row],[Amount]]/Log_2018[[#This Row],[Split_raw]]*MAX(0,MIN(_xlfn.DAYS(EDATE(U$1,1),Log_2018[[#This Row],[Date]]),Log_2018[[#This Row],[Split_apply]])) - SUM($O754:T754)</f>
        <v>0</v>
      </c>
      <c r="V754" s="52">
        <f ca="1">Log_2018[[#This Row],[Amount]]/Log_2018[[#This Row],[Split_raw]]*MAX(0,MIN(_xlfn.DAYS(EDATE(V$1,1),Log_2018[[#This Row],[Date]]),Log_2018[[#This Row],[Split_apply]])) - SUM($O754:U754)</f>
        <v>0</v>
      </c>
      <c r="W754" s="52">
        <f ca="1">Log_2018[[#This Row],[Amount]]/Log_2018[[#This Row],[Split_raw]]*MAX(0,MIN(_xlfn.DAYS(EDATE(W$1,1),Log_2018[[#This Row],[Date]]),Log_2018[[#This Row],[Split_apply]])) - SUM($O754:V754)</f>
        <v>0</v>
      </c>
      <c r="X754" s="52">
        <f ca="1">Log_2018[[#This Row],[Amount]]/Log_2018[[#This Row],[Split_raw]]*MAX(0,MIN(_xlfn.DAYS(EDATE(X$1,1),Log_2018[[#This Row],[Date]]),Log_2018[[#This Row],[Split_apply]])) - SUM($O754:W754)</f>
        <v>0</v>
      </c>
      <c r="Y754" s="52">
        <f ca="1">Log_2018[[#This Row],[Amount]]/Log_2018[[#This Row],[Split_raw]]*MAX(0,MIN(_xlfn.DAYS(EDATE(Y$1,1),Log_2018[[#This Row],[Date]]),Log_2018[[#This Row],[Split_apply]])) - SUM($O754:X754)</f>
        <v>0</v>
      </c>
      <c r="Z754" s="52">
        <f ca="1">Log_2018[[#This Row],[Amount]]/Log_2018[[#This Row],[Split_raw]]*MAX(0,MIN(_xlfn.DAYS(EDATE(Z$1,1),Log_2018[[#This Row],[Date]]),Log_2018[[#This Row],[Split_apply]])) - SUM($O754:Y754)</f>
        <v>0</v>
      </c>
      <c r="AA754" s="52">
        <f ca="1">Log_2018[[#This Row],[Amount]]/Log_2018[[#This Row],[Split_raw]]*MAX(0,MIN(_xlfn.DAYS(EDATE(AA$1,1),Log_2018[[#This Row],[Date]]),Log_2018[[#This Row],[Split_apply]])) - SUM($O754:Z754)</f>
        <v>0</v>
      </c>
      <c r="AB754" s="54">
        <f ca="1">Log_2018[[#This Row],[Amount]]-SUM(O754:AA754)</f>
        <v>0</v>
      </c>
      <c r="AC754" s="7">
        <f ca="1">MAX(0,Log_2018[[#This Row],[Split_apply]] - (EDATE(AA$1,1)-Log_2018[[#This Row],[Date]]))</f>
        <v>0</v>
      </c>
    </row>
    <row r="755" spans="1:29" hidden="1" x14ac:dyDescent="0.25">
      <c r="A755" s="115"/>
      <c r="B755" t="s">
        <v>148</v>
      </c>
      <c r="D755" s="26">
        <v>43101</v>
      </c>
      <c r="E755" t="s">
        <v>1015</v>
      </c>
      <c r="F755" t="s">
        <v>460</v>
      </c>
      <c r="G755" t="s">
        <v>143</v>
      </c>
      <c r="H755" s="3">
        <v>-360</v>
      </c>
      <c r="I755" s="36">
        <f>IF(Log_2018[[#This Row],[My Category]]="NONTRACKED",0,Log_2018[[#This Row],[Raw Amount]])</f>
        <v>-360</v>
      </c>
      <c r="J755" s="17">
        <f>ABS(Log_2018[[#This Row],[Amount]])</f>
        <v>360</v>
      </c>
      <c r="K755" s="66">
        <v>365</v>
      </c>
      <c r="L755" s="66">
        <f ca="1">IF(Log_2018[[#This Row],[Date]]&lt;=TODAY(), MIN(Log_2018[[#This Row],[Split_raw]], TODAY()-Log_2018[[#This Row],[Date]]+1), 0)</f>
        <v>365</v>
      </c>
      <c r="M755" t="s">
        <v>29</v>
      </c>
      <c r="N755" t="s">
        <v>160</v>
      </c>
      <c r="O755" s="50">
        <v>0</v>
      </c>
      <c r="P755" s="52">
        <f ca="1">Log_2018[[#This Row],[Amount]]/Log_2018[[#This Row],[Split_raw]]*MAX(0,MIN(_xlfn.DAYS(EDATE(P$1,1),Log_2018[[#This Row],[Date]]),Log_2018[[#This Row],[Split_apply]])) - SUM($O755:O755)</f>
        <v>-30.575342465753423</v>
      </c>
      <c r="Q755" s="52">
        <f ca="1">Log_2018[[#This Row],[Amount]]/Log_2018[[#This Row],[Split_raw]]*MAX(0,MIN(_xlfn.DAYS(EDATE(Q$1,1),Log_2018[[#This Row],[Date]]),Log_2018[[#This Row],[Split_apply]])) - SUM($O755:P755)</f>
        <v>-27.61643835616438</v>
      </c>
      <c r="R755" s="52">
        <f ca="1">Log_2018[[#This Row],[Amount]]/Log_2018[[#This Row],[Split_raw]]*MAX(0,MIN(_xlfn.DAYS(EDATE(R$1,1),Log_2018[[#This Row],[Date]]),Log_2018[[#This Row],[Split_apply]])) - SUM($O755:Q755)</f>
        <v>-30.575342465753423</v>
      </c>
      <c r="S755" s="52">
        <f ca="1">Log_2018[[#This Row],[Amount]]/Log_2018[[#This Row],[Split_raw]]*MAX(0,MIN(_xlfn.DAYS(EDATE(S$1,1),Log_2018[[#This Row],[Date]]),Log_2018[[#This Row],[Split_apply]])) - SUM($O755:R755)</f>
        <v>-29.589041095890408</v>
      </c>
      <c r="T755" s="52">
        <f ca="1">Log_2018[[#This Row],[Amount]]/Log_2018[[#This Row],[Split_raw]]*MAX(0,MIN(_xlfn.DAYS(EDATE(T$1,1),Log_2018[[#This Row],[Date]]),Log_2018[[#This Row],[Split_apply]])) - SUM($O755:S755)</f>
        <v>-30.575342465753437</v>
      </c>
      <c r="U755" s="52">
        <f ca="1">Log_2018[[#This Row],[Amount]]/Log_2018[[#This Row],[Split_raw]]*MAX(0,MIN(_xlfn.DAYS(EDATE(U$1,1),Log_2018[[#This Row],[Date]]),Log_2018[[#This Row],[Split_apply]])) - SUM($O755:T755)</f>
        <v>-29.589041095890394</v>
      </c>
      <c r="V755" s="52">
        <f ca="1">Log_2018[[#This Row],[Amount]]/Log_2018[[#This Row],[Split_raw]]*MAX(0,MIN(_xlfn.DAYS(EDATE(V$1,1),Log_2018[[#This Row],[Date]]),Log_2018[[#This Row],[Split_apply]])) - SUM($O755:U755)</f>
        <v>-30.575342465753437</v>
      </c>
      <c r="W755" s="52">
        <f ca="1">Log_2018[[#This Row],[Amount]]/Log_2018[[#This Row],[Split_raw]]*MAX(0,MIN(_xlfn.DAYS(EDATE(W$1,1),Log_2018[[#This Row],[Date]]),Log_2018[[#This Row],[Split_apply]])) - SUM($O755:V755)</f>
        <v>-30.575342465753408</v>
      </c>
      <c r="X755" s="52">
        <f ca="1">Log_2018[[#This Row],[Amount]]/Log_2018[[#This Row],[Split_raw]]*MAX(0,MIN(_xlfn.DAYS(EDATE(X$1,1),Log_2018[[#This Row],[Date]]),Log_2018[[#This Row],[Split_apply]])) - SUM($O755:W755)</f>
        <v>-29.589041095890394</v>
      </c>
      <c r="Y755" s="52">
        <f ca="1">Log_2018[[#This Row],[Amount]]/Log_2018[[#This Row],[Split_raw]]*MAX(0,MIN(_xlfn.DAYS(EDATE(Y$1,1),Log_2018[[#This Row],[Date]]),Log_2018[[#This Row],[Split_apply]])) - SUM($O755:X755)</f>
        <v>-30.575342465753465</v>
      </c>
      <c r="Z755" s="52">
        <f ca="1">Log_2018[[#This Row],[Amount]]/Log_2018[[#This Row],[Split_raw]]*MAX(0,MIN(_xlfn.DAYS(EDATE(Z$1,1),Log_2018[[#This Row],[Date]]),Log_2018[[#This Row],[Split_apply]])) - SUM($O755:Y755)</f>
        <v>-29.589041095890366</v>
      </c>
      <c r="AA755" s="52">
        <f ca="1">Log_2018[[#This Row],[Amount]]/Log_2018[[#This Row],[Split_raw]]*MAX(0,MIN(_xlfn.DAYS(EDATE(AA$1,1),Log_2018[[#This Row],[Date]]),Log_2018[[#This Row],[Split_apply]])) - SUM($O755:Z755)</f>
        <v>-30.575342465753465</v>
      </c>
      <c r="AB755" s="54">
        <f ca="1">Log_2018[[#This Row],[Amount]]-SUM(O755:AA755)</f>
        <v>0</v>
      </c>
      <c r="AC755" s="7">
        <f ca="1">MAX(0,Log_2018[[#This Row],[Split_apply]] - (EDATE(AA$1,1)-Log_2018[[#This Row],[Date]]))</f>
        <v>0</v>
      </c>
    </row>
    <row r="756" spans="1:29" hidden="1" x14ac:dyDescent="0.25">
      <c r="A756" s="115"/>
      <c r="B756" t="s">
        <v>191</v>
      </c>
      <c r="D756" s="26">
        <v>43101</v>
      </c>
      <c r="E756" t="s">
        <v>960</v>
      </c>
      <c r="F756" t="s">
        <v>84</v>
      </c>
      <c r="G756" t="s">
        <v>82</v>
      </c>
      <c r="H756" s="3">
        <v>-13</v>
      </c>
      <c r="I756" s="36">
        <f>IF(Log_2018[[#This Row],[My Category]]="NONTRACKED",0,Log_2018[[#This Row],[Raw Amount]])</f>
        <v>-13</v>
      </c>
      <c r="J756" s="17">
        <f>ABS(Log_2018[[#This Row],[Amount]])</f>
        <v>13</v>
      </c>
      <c r="K756" s="66">
        <v>31</v>
      </c>
      <c r="L756" s="66">
        <f ca="1">IF(Log_2018[[#This Row],[Date]]&lt;=TODAY(), MIN(Log_2018[[#This Row],[Split_raw]], TODAY()-Log_2018[[#This Row],[Date]]+1), 0)</f>
        <v>31</v>
      </c>
      <c r="M756" t="s">
        <v>93</v>
      </c>
      <c r="N756" t="s">
        <v>160</v>
      </c>
      <c r="O756" s="50">
        <v>0</v>
      </c>
      <c r="P756" s="52">
        <f ca="1">Log_2018[[#This Row],[Amount]]/Log_2018[[#This Row],[Split_raw]]*MAX(0,MIN(_xlfn.DAYS(EDATE(P$1,1),Log_2018[[#This Row],[Date]]),Log_2018[[#This Row],[Split_apply]])) - SUM($O756:O756)</f>
        <v>-13</v>
      </c>
      <c r="Q756" s="52">
        <f ca="1">Log_2018[[#This Row],[Amount]]/Log_2018[[#This Row],[Split_raw]]*MAX(0,MIN(_xlfn.DAYS(EDATE(Q$1,1),Log_2018[[#This Row],[Date]]),Log_2018[[#This Row],[Split_apply]])) - SUM($O756:P756)</f>
        <v>0</v>
      </c>
      <c r="R756" s="52">
        <f ca="1">Log_2018[[#This Row],[Amount]]/Log_2018[[#This Row],[Split_raw]]*MAX(0,MIN(_xlfn.DAYS(EDATE(R$1,1),Log_2018[[#This Row],[Date]]),Log_2018[[#This Row],[Split_apply]])) - SUM($O756:Q756)</f>
        <v>0</v>
      </c>
      <c r="S756" s="52">
        <f ca="1">Log_2018[[#This Row],[Amount]]/Log_2018[[#This Row],[Split_raw]]*MAX(0,MIN(_xlfn.DAYS(EDATE(S$1,1),Log_2018[[#This Row],[Date]]),Log_2018[[#This Row],[Split_apply]])) - SUM($O756:R756)</f>
        <v>0</v>
      </c>
      <c r="T756" s="52">
        <f ca="1">Log_2018[[#This Row],[Amount]]/Log_2018[[#This Row],[Split_raw]]*MAX(0,MIN(_xlfn.DAYS(EDATE(T$1,1),Log_2018[[#This Row],[Date]]),Log_2018[[#This Row],[Split_apply]])) - SUM($O756:S756)</f>
        <v>0</v>
      </c>
      <c r="U756" s="52">
        <f ca="1">Log_2018[[#This Row],[Amount]]/Log_2018[[#This Row],[Split_raw]]*MAX(0,MIN(_xlfn.DAYS(EDATE(U$1,1),Log_2018[[#This Row],[Date]]),Log_2018[[#This Row],[Split_apply]])) - SUM($O756:T756)</f>
        <v>0</v>
      </c>
      <c r="V756" s="52">
        <f ca="1">Log_2018[[#This Row],[Amount]]/Log_2018[[#This Row],[Split_raw]]*MAX(0,MIN(_xlfn.DAYS(EDATE(V$1,1),Log_2018[[#This Row],[Date]]),Log_2018[[#This Row],[Split_apply]])) - SUM($O756:U756)</f>
        <v>0</v>
      </c>
      <c r="W756" s="52">
        <f ca="1">Log_2018[[#This Row],[Amount]]/Log_2018[[#This Row],[Split_raw]]*MAX(0,MIN(_xlfn.DAYS(EDATE(W$1,1),Log_2018[[#This Row],[Date]]),Log_2018[[#This Row],[Split_apply]])) - SUM($O756:V756)</f>
        <v>0</v>
      </c>
      <c r="X756" s="52">
        <f ca="1">Log_2018[[#This Row],[Amount]]/Log_2018[[#This Row],[Split_raw]]*MAX(0,MIN(_xlfn.DAYS(EDATE(X$1,1),Log_2018[[#This Row],[Date]]),Log_2018[[#This Row],[Split_apply]])) - SUM($O756:W756)</f>
        <v>0</v>
      </c>
      <c r="Y756" s="52">
        <f ca="1">Log_2018[[#This Row],[Amount]]/Log_2018[[#This Row],[Split_raw]]*MAX(0,MIN(_xlfn.DAYS(EDATE(Y$1,1),Log_2018[[#This Row],[Date]]),Log_2018[[#This Row],[Split_apply]])) - SUM($O756:X756)</f>
        <v>0</v>
      </c>
      <c r="Z756" s="52">
        <f ca="1">Log_2018[[#This Row],[Amount]]/Log_2018[[#This Row],[Split_raw]]*MAX(0,MIN(_xlfn.DAYS(EDATE(Z$1,1),Log_2018[[#This Row],[Date]]),Log_2018[[#This Row],[Split_apply]])) - SUM($O756:Y756)</f>
        <v>0</v>
      </c>
      <c r="AA756" s="52">
        <f ca="1">Log_2018[[#This Row],[Amount]]/Log_2018[[#This Row],[Split_raw]]*MAX(0,MIN(_xlfn.DAYS(EDATE(AA$1,1),Log_2018[[#This Row],[Date]]),Log_2018[[#This Row],[Split_apply]])) - SUM($O756:Z756)</f>
        <v>0</v>
      </c>
      <c r="AB756" s="54">
        <f ca="1">Log_2018[[#This Row],[Amount]]-SUM(O756:AA756)</f>
        <v>0</v>
      </c>
      <c r="AC756" s="7">
        <f ca="1">MAX(0,Log_2018[[#This Row],[Split_apply]] - (EDATE(AA$1,1)-Log_2018[[#This Row],[Date]]))</f>
        <v>0</v>
      </c>
    </row>
    <row r="757" spans="1:29" hidden="1" x14ac:dyDescent="0.25">
      <c r="A757" s="115"/>
      <c r="B757" t="s">
        <v>191</v>
      </c>
      <c r="D757" s="26">
        <v>43101</v>
      </c>
      <c r="E757" t="s">
        <v>486</v>
      </c>
      <c r="F757" t="s">
        <v>460</v>
      </c>
      <c r="G757" t="s">
        <v>143</v>
      </c>
      <c r="H757" s="3">
        <v>-4693</v>
      </c>
      <c r="I757" s="36">
        <f>IF(Log_2018[[#This Row],[My Category]]="NONTRACKED",0,Log_2018[[#This Row],[Raw Amount]])</f>
        <v>-4693</v>
      </c>
      <c r="J757" s="17">
        <f>ABS(Log_2018[[#This Row],[Amount]])</f>
        <v>4693</v>
      </c>
      <c r="K757" s="66">
        <v>365</v>
      </c>
      <c r="L757" s="66">
        <f ca="1">IF(Log_2018[[#This Row],[Date]]&lt;=TODAY(), MIN(Log_2018[[#This Row],[Split_raw]], TODAY()-Log_2018[[#This Row],[Date]]+1), 0)</f>
        <v>365</v>
      </c>
      <c r="M757" t="s">
        <v>101</v>
      </c>
      <c r="N757" t="s">
        <v>160</v>
      </c>
      <c r="O757" s="50">
        <v>0</v>
      </c>
      <c r="P757" s="52">
        <f ca="1">Log_2018[[#This Row],[Amount]]/Log_2018[[#This Row],[Split_raw]]*MAX(0,MIN(_xlfn.DAYS(EDATE(P$1,1),Log_2018[[#This Row],[Date]]),Log_2018[[#This Row],[Split_apply]])) - SUM($O757:O757)</f>
        <v>-398.58356164383559</v>
      </c>
      <c r="Q757" s="52">
        <f ca="1">Log_2018[[#This Row],[Amount]]/Log_2018[[#This Row],[Split_raw]]*MAX(0,MIN(_xlfn.DAYS(EDATE(Q$1,1),Log_2018[[#This Row],[Date]]),Log_2018[[#This Row],[Split_apply]])) - SUM($O757:P757)</f>
        <v>-360.0109589041096</v>
      </c>
      <c r="R757" s="52">
        <f ca="1">Log_2018[[#This Row],[Amount]]/Log_2018[[#This Row],[Split_raw]]*MAX(0,MIN(_xlfn.DAYS(EDATE(R$1,1),Log_2018[[#This Row],[Date]]),Log_2018[[#This Row],[Split_apply]])) - SUM($O757:Q757)</f>
        <v>-398.58356164383554</v>
      </c>
      <c r="S757" s="52">
        <f ca="1">Log_2018[[#This Row],[Amount]]/Log_2018[[#This Row],[Split_raw]]*MAX(0,MIN(_xlfn.DAYS(EDATE(S$1,1),Log_2018[[#This Row],[Date]]),Log_2018[[#This Row],[Split_apply]])) - SUM($O757:R757)</f>
        <v>-385.7260273972604</v>
      </c>
      <c r="T757" s="52">
        <f ca="1">Log_2018[[#This Row],[Amount]]/Log_2018[[#This Row],[Split_raw]]*MAX(0,MIN(_xlfn.DAYS(EDATE(T$1,1),Log_2018[[#This Row],[Date]]),Log_2018[[#This Row],[Split_apply]])) - SUM($O757:S757)</f>
        <v>-398.58356164383554</v>
      </c>
      <c r="U757" s="52">
        <f ca="1">Log_2018[[#This Row],[Amount]]/Log_2018[[#This Row],[Split_raw]]*MAX(0,MIN(_xlfn.DAYS(EDATE(U$1,1),Log_2018[[#This Row],[Date]]),Log_2018[[#This Row],[Split_apply]])) - SUM($O757:T757)</f>
        <v>-385.7260273972604</v>
      </c>
      <c r="V757" s="52">
        <f ca="1">Log_2018[[#This Row],[Amount]]/Log_2018[[#This Row],[Split_raw]]*MAX(0,MIN(_xlfn.DAYS(EDATE(V$1,1),Log_2018[[#This Row],[Date]]),Log_2018[[#This Row],[Split_apply]])) - SUM($O757:U757)</f>
        <v>-398.58356164383576</v>
      </c>
      <c r="W757" s="52">
        <f ca="1">Log_2018[[#This Row],[Amount]]/Log_2018[[#This Row],[Split_raw]]*MAX(0,MIN(_xlfn.DAYS(EDATE(W$1,1),Log_2018[[#This Row],[Date]]),Log_2018[[#This Row],[Split_apply]])) - SUM($O757:V757)</f>
        <v>-398.58356164383531</v>
      </c>
      <c r="X757" s="52">
        <f ca="1">Log_2018[[#This Row],[Amount]]/Log_2018[[#This Row],[Split_raw]]*MAX(0,MIN(_xlfn.DAYS(EDATE(X$1,1),Log_2018[[#This Row],[Date]]),Log_2018[[#This Row],[Split_apply]])) - SUM($O757:W757)</f>
        <v>-385.72602739726062</v>
      </c>
      <c r="Y757" s="52">
        <f ca="1">Log_2018[[#This Row],[Amount]]/Log_2018[[#This Row],[Split_raw]]*MAX(0,MIN(_xlfn.DAYS(EDATE(Y$1,1),Log_2018[[#This Row],[Date]]),Log_2018[[#This Row],[Split_apply]])) - SUM($O757:X757)</f>
        <v>-398.58356164383531</v>
      </c>
      <c r="Z757" s="52">
        <f ca="1">Log_2018[[#This Row],[Amount]]/Log_2018[[#This Row],[Split_raw]]*MAX(0,MIN(_xlfn.DAYS(EDATE(Z$1,1),Log_2018[[#This Row],[Date]]),Log_2018[[#This Row],[Split_apply]])) - SUM($O757:Y757)</f>
        <v>-385.72602739726062</v>
      </c>
      <c r="AA757" s="52">
        <f ca="1">Log_2018[[#This Row],[Amount]]/Log_2018[[#This Row],[Split_raw]]*MAX(0,MIN(_xlfn.DAYS(EDATE(AA$1,1),Log_2018[[#This Row],[Date]]),Log_2018[[#This Row],[Split_apply]])) - SUM($O757:Z757)</f>
        <v>-398.58356164383531</v>
      </c>
      <c r="AB757" s="54">
        <f ca="1">Log_2018[[#This Row],[Amount]]-SUM(O757:AA757)</f>
        <v>0</v>
      </c>
      <c r="AC757" s="7">
        <f ca="1">MAX(0,Log_2018[[#This Row],[Split_apply]] - (EDATE(AA$1,1)-Log_2018[[#This Row],[Date]]))</f>
        <v>0</v>
      </c>
    </row>
    <row r="758" spans="1:29" x14ac:dyDescent="0.25">
      <c r="A758" s="115">
        <v>1</v>
      </c>
      <c r="B758" t="s">
        <v>6</v>
      </c>
      <c r="D758" s="39">
        <v>43101</v>
      </c>
      <c r="F758" t="s">
        <v>105</v>
      </c>
      <c r="G758" t="s">
        <v>104</v>
      </c>
      <c r="H758" s="3">
        <v>693.79</v>
      </c>
      <c r="I758" s="36">
        <f>IF(Log_2018[[#This Row],[My Category]]="NONTRACKED",0,Log_2018[[#This Row],[Raw Amount]])</f>
        <v>693.79</v>
      </c>
      <c r="J758" s="17">
        <f>ABS(Log_2018[[#This Row],[Amount]])</f>
        <v>693.79</v>
      </c>
      <c r="K758" s="66">
        <v>1</v>
      </c>
      <c r="L758" s="66">
        <f ca="1">IF(Log_2018[[#This Row],[Date]]&lt;=TODAY(), MIN(Log_2018[[#This Row],[Split_raw]], TODAY()-Log_2018[[#This Row],[Date]]+1), 0)</f>
        <v>1</v>
      </c>
      <c r="M758" t="s">
        <v>159</v>
      </c>
      <c r="N758" t="s">
        <v>157</v>
      </c>
      <c r="O758" s="50">
        <v>0</v>
      </c>
      <c r="P758" s="52">
        <f ca="1">Log_2018[[#This Row],[Amount]]/Log_2018[[#This Row],[Split_raw]]*MAX(0,MIN(_xlfn.DAYS(EDATE(P$1,1),Log_2018[[#This Row],[Date]]),Log_2018[[#This Row],[Split_apply]])) - SUM($O758:O758)</f>
        <v>693.79</v>
      </c>
      <c r="Q758" s="52">
        <f ca="1">Log_2018[[#This Row],[Amount]]/Log_2018[[#This Row],[Split_raw]]*MAX(0,MIN(_xlfn.DAYS(EDATE(Q$1,1),Log_2018[[#This Row],[Date]]),Log_2018[[#This Row],[Split_apply]])) - SUM($O758:P758)</f>
        <v>0</v>
      </c>
      <c r="R758" s="52">
        <f ca="1">Log_2018[[#This Row],[Amount]]/Log_2018[[#This Row],[Split_raw]]*MAX(0,MIN(_xlfn.DAYS(EDATE(R$1,1),Log_2018[[#This Row],[Date]]),Log_2018[[#This Row],[Split_apply]])) - SUM($O758:Q758)</f>
        <v>0</v>
      </c>
      <c r="S758" s="52">
        <f ca="1">Log_2018[[#This Row],[Amount]]/Log_2018[[#This Row],[Split_raw]]*MAX(0,MIN(_xlfn.DAYS(EDATE(S$1,1),Log_2018[[#This Row],[Date]]),Log_2018[[#This Row],[Split_apply]])) - SUM($O758:R758)</f>
        <v>0</v>
      </c>
      <c r="T758" s="52">
        <f ca="1">Log_2018[[#This Row],[Amount]]/Log_2018[[#This Row],[Split_raw]]*MAX(0,MIN(_xlfn.DAYS(EDATE(T$1,1),Log_2018[[#This Row],[Date]]),Log_2018[[#This Row],[Split_apply]])) - SUM($O758:S758)</f>
        <v>0</v>
      </c>
      <c r="U758" s="52">
        <f ca="1">Log_2018[[#This Row],[Amount]]/Log_2018[[#This Row],[Split_raw]]*MAX(0,MIN(_xlfn.DAYS(EDATE(U$1,1),Log_2018[[#This Row],[Date]]),Log_2018[[#This Row],[Split_apply]])) - SUM($O758:T758)</f>
        <v>0</v>
      </c>
      <c r="V758" s="52">
        <f ca="1">Log_2018[[#This Row],[Amount]]/Log_2018[[#This Row],[Split_raw]]*MAX(0,MIN(_xlfn.DAYS(EDATE(V$1,1),Log_2018[[#This Row],[Date]]),Log_2018[[#This Row],[Split_apply]])) - SUM($O758:U758)</f>
        <v>0</v>
      </c>
      <c r="W758" s="52">
        <f ca="1">Log_2018[[#This Row],[Amount]]/Log_2018[[#This Row],[Split_raw]]*MAX(0,MIN(_xlfn.DAYS(EDATE(W$1,1),Log_2018[[#This Row],[Date]]),Log_2018[[#This Row],[Split_apply]])) - SUM($O758:V758)</f>
        <v>0</v>
      </c>
      <c r="X758" s="52">
        <f ca="1">Log_2018[[#This Row],[Amount]]/Log_2018[[#This Row],[Split_raw]]*MAX(0,MIN(_xlfn.DAYS(EDATE(X$1,1),Log_2018[[#This Row],[Date]]),Log_2018[[#This Row],[Split_apply]])) - SUM($O758:W758)</f>
        <v>0</v>
      </c>
      <c r="Y758" s="52">
        <f ca="1">Log_2018[[#This Row],[Amount]]/Log_2018[[#This Row],[Split_raw]]*MAX(0,MIN(_xlfn.DAYS(EDATE(Y$1,1),Log_2018[[#This Row],[Date]]),Log_2018[[#This Row],[Split_apply]])) - SUM($O758:X758)</f>
        <v>0</v>
      </c>
      <c r="Z758" s="52">
        <f ca="1">Log_2018[[#This Row],[Amount]]/Log_2018[[#This Row],[Split_raw]]*MAX(0,MIN(_xlfn.DAYS(EDATE(Z$1,1),Log_2018[[#This Row],[Date]]),Log_2018[[#This Row],[Split_apply]])) - SUM($O758:Y758)</f>
        <v>0</v>
      </c>
      <c r="AA758" s="52">
        <f ca="1">Log_2018[[#This Row],[Amount]]/Log_2018[[#This Row],[Split_raw]]*MAX(0,MIN(_xlfn.DAYS(EDATE(AA$1,1),Log_2018[[#This Row],[Date]]),Log_2018[[#This Row],[Split_apply]])) - SUM($O758:Z758)</f>
        <v>0</v>
      </c>
      <c r="AB758" s="54">
        <f ca="1">Log_2018[[#This Row],[Amount]]-SUM(O758:AA758)</f>
        <v>0</v>
      </c>
      <c r="AC758" s="7">
        <f ca="1">MAX(0,Log_2018[[#This Row],[Split_apply]] - (EDATE(AA$1,1)-Log_2018[[#This Row],[Date]]))</f>
        <v>0</v>
      </c>
    </row>
    <row r="759" spans="1:29" x14ac:dyDescent="0.25">
      <c r="A759" s="115">
        <v>0</v>
      </c>
      <c r="B759" t="s">
        <v>6</v>
      </c>
      <c r="D759" s="39">
        <v>43101</v>
      </c>
      <c r="F759" t="s">
        <v>113</v>
      </c>
      <c r="G759" t="s">
        <v>25</v>
      </c>
      <c r="H759" s="3">
        <v>-7.5</v>
      </c>
      <c r="I759" s="36">
        <f>IF(Log_2018[[#This Row],[My Category]]="NONTRACKED",0,Log_2018[[#This Row],[Raw Amount]])</f>
        <v>-7.5</v>
      </c>
      <c r="J759" s="17">
        <f>ABS(Log_2018[[#This Row],[Amount]])</f>
        <v>7.5</v>
      </c>
      <c r="K759" s="66">
        <v>1</v>
      </c>
      <c r="L759" s="66">
        <f ca="1">IF(Log_2018[[#This Row],[Date]]&lt;=TODAY(), MIN(Log_2018[[#This Row],[Split_raw]], TODAY()-Log_2018[[#This Row],[Date]]+1), 0)</f>
        <v>1</v>
      </c>
      <c r="M759" t="s">
        <v>40</v>
      </c>
      <c r="N759" t="s">
        <v>157</v>
      </c>
      <c r="O759" s="50">
        <v>0</v>
      </c>
      <c r="P759" s="52">
        <f ca="1">Log_2018[[#This Row],[Amount]]/Log_2018[[#This Row],[Split_raw]]*MAX(0,MIN(_xlfn.DAYS(EDATE(P$1,1),Log_2018[[#This Row],[Date]]),Log_2018[[#This Row],[Split_apply]])) - SUM($O759:O759)</f>
        <v>-7.5</v>
      </c>
      <c r="Q759" s="52">
        <f ca="1">Log_2018[[#This Row],[Amount]]/Log_2018[[#This Row],[Split_raw]]*MAX(0,MIN(_xlfn.DAYS(EDATE(Q$1,1),Log_2018[[#This Row],[Date]]),Log_2018[[#This Row],[Split_apply]])) - SUM($O759:P759)</f>
        <v>0</v>
      </c>
      <c r="R759" s="52">
        <f ca="1">Log_2018[[#This Row],[Amount]]/Log_2018[[#This Row],[Split_raw]]*MAX(0,MIN(_xlfn.DAYS(EDATE(R$1,1),Log_2018[[#This Row],[Date]]),Log_2018[[#This Row],[Split_apply]])) - SUM($O759:Q759)</f>
        <v>0</v>
      </c>
      <c r="S759" s="52">
        <f ca="1">Log_2018[[#This Row],[Amount]]/Log_2018[[#This Row],[Split_raw]]*MAX(0,MIN(_xlfn.DAYS(EDATE(S$1,1),Log_2018[[#This Row],[Date]]),Log_2018[[#This Row],[Split_apply]])) - SUM($O759:R759)</f>
        <v>0</v>
      </c>
      <c r="T759" s="52">
        <f ca="1">Log_2018[[#This Row],[Amount]]/Log_2018[[#This Row],[Split_raw]]*MAX(0,MIN(_xlfn.DAYS(EDATE(T$1,1),Log_2018[[#This Row],[Date]]),Log_2018[[#This Row],[Split_apply]])) - SUM($O759:S759)</f>
        <v>0</v>
      </c>
      <c r="U759" s="52">
        <f ca="1">Log_2018[[#This Row],[Amount]]/Log_2018[[#This Row],[Split_raw]]*MAX(0,MIN(_xlfn.DAYS(EDATE(U$1,1),Log_2018[[#This Row],[Date]]),Log_2018[[#This Row],[Split_apply]])) - SUM($O759:T759)</f>
        <v>0</v>
      </c>
      <c r="V759" s="52">
        <f ca="1">Log_2018[[#This Row],[Amount]]/Log_2018[[#This Row],[Split_raw]]*MAX(0,MIN(_xlfn.DAYS(EDATE(V$1,1),Log_2018[[#This Row],[Date]]),Log_2018[[#This Row],[Split_apply]])) - SUM($O759:U759)</f>
        <v>0</v>
      </c>
      <c r="W759" s="52">
        <f ca="1">Log_2018[[#This Row],[Amount]]/Log_2018[[#This Row],[Split_raw]]*MAX(0,MIN(_xlfn.DAYS(EDATE(W$1,1),Log_2018[[#This Row],[Date]]),Log_2018[[#This Row],[Split_apply]])) - SUM($O759:V759)</f>
        <v>0</v>
      </c>
      <c r="X759" s="52">
        <f ca="1">Log_2018[[#This Row],[Amount]]/Log_2018[[#This Row],[Split_raw]]*MAX(0,MIN(_xlfn.DAYS(EDATE(X$1,1),Log_2018[[#This Row],[Date]]),Log_2018[[#This Row],[Split_apply]])) - SUM($O759:W759)</f>
        <v>0</v>
      </c>
      <c r="Y759" s="52">
        <f ca="1">Log_2018[[#This Row],[Amount]]/Log_2018[[#This Row],[Split_raw]]*MAX(0,MIN(_xlfn.DAYS(EDATE(Y$1,1),Log_2018[[#This Row],[Date]]),Log_2018[[#This Row],[Split_apply]])) - SUM($O759:X759)</f>
        <v>0</v>
      </c>
      <c r="Z759" s="52">
        <f ca="1">Log_2018[[#This Row],[Amount]]/Log_2018[[#This Row],[Split_raw]]*MAX(0,MIN(_xlfn.DAYS(EDATE(Z$1,1),Log_2018[[#This Row],[Date]]),Log_2018[[#This Row],[Split_apply]])) - SUM($O759:Y759)</f>
        <v>0</v>
      </c>
      <c r="AA759" s="52">
        <f ca="1">Log_2018[[#This Row],[Amount]]/Log_2018[[#This Row],[Split_raw]]*MAX(0,MIN(_xlfn.DAYS(EDATE(AA$1,1),Log_2018[[#This Row],[Date]]),Log_2018[[#This Row],[Split_apply]])) - SUM($O759:Z759)</f>
        <v>0</v>
      </c>
      <c r="AB759" s="54">
        <f ca="1">Log_2018[[#This Row],[Amount]]-SUM(O759:AA759)</f>
        <v>0</v>
      </c>
      <c r="AC759" s="7">
        <f ca="1">MAX(0,Log_2018[[#This Row],[Split_apply]] - (EDATE(AA$1,1)-Log_2018[[#This Row],[Date]]))</f>
        <v>0</v>
      </c>
    </row>
    <row r="760" spans="1:29" hidden="1" x14ac:dyDescent="0.25">
      <c r="A760" s="115"/>
      <c r="B760" s="34" t="s">
        <v>191</v>
      </c>
      <c r="C760" s="34"/>
      <c r="D760" s="35">
        <v>43101</v>
      </c>
      <c r="E760" s="34" t="s">
        <v>961</v>
      </c>
      <c r="F760" s="34" t="s">
        <v>460</v>
      </c>
      <c r="G760" s="34" t="s">
        <v>143</v>
      </c>
      <c r="H760" s="3">
        <v>-307</v>
      </c>
      <c r="I760" s="36">
        <f>IF(Log_2018[[#This Row],[My Category]]="NONTRACKED",0,Log_2018[[#This Row],[Raw Amount]])</f>
        <v>-307</v>
      </c>
      <c r="J760" s="37">
        <f>ABS(Log_2018[[#This Row],[Amount]])</f>
        <v>307</v>
      </c>
      <c r="K760" s="66">
        <v>31</v>
      </c>
      <c r="L760" s="66">
        <f ca="1">IF(Log_2018[[#This Row],[Date]]&lt;=TODAY(), MIN(Log_2018[[#This Row],[Split_raw]], TODAY()-Log_2018[[#This Row],[Date]]+1), 0)</f>
        <v>31</v>
      </c>
      <c r="M760" s="34" t="s">
        <v>93</v>
      </c>
      <c r="N760" s="34" t="s">
        <v>160</v>
      </c>
      <c r="O760" s="50">
        <v>0</v>
      </c>
      <c r="P760" s="52">
        <f ca="1">Log_2018[[#This Row],[Amount]]/Log_2018[[#This Row],[Split_raw]]*MAX(0,MIN(_xlfn.DAYS(EDATE(P$1,1),Log_2018[[#This Row],[Date]]),Log_2018[[#This Row],[Split_apply]])) - SUM($O760:O760)</f>
        <v>-307</v>
      </c>
      <c r="Q760" s="52">
        <f ca="1">Log_2018[[#This Row],[Amount]]/Log_2018[[#This Row],[Split_raw]]*MAX(0,MIN(_xlfn.DAYS(EDATE(Q$1,1),Log_2018[[#This Row],[Date]]),Log_2018[[#This Row],[Split_apply]])) - SUM($O760:P760)</f>
        <v>0</v>
      </c>
      <c r="R760" s="52">
        <f ca="1">Log_2018[[#This Row],[Amount]]/Log_2018[[#This Row],[Split_raw]]*MAX(0,MIN(_xlfn.DAYS(EDATE(R$1,1),Log_2018[[#This Row],[Date]]),Log_2018[[#This Row],[Split_apply]])) - SUM($O760:Q760)</f>
        <v>0</v>
      </c>
      <c r="S760" s="52">
        <f ca="1">Log_2018[[#This Row],[Amount]]/Log_2018[[#This Row],[Split_raw]]*MAX(0,MIN(_xlfn.DAYS(EDATE(S$1,1),Log_2018[[#This Row],[Date]]),Log_2018[[#This Row],[Split_apply]])) - SUM($O760:R760)</f>
        <v>0</v>
      </c>
      <c r="T760" s="52">
        <f ca="1">Log_2018[[#This Row],[Amount]]/Log_2018[[#This Row],[Split_raw]]*MAX(0,MIN(_xlfn.DAYS(EDATE(T$1,1),Log_2018[[#This Row],[Date]]),Log_2018[[#This Row],[Split_apply]])) - SUM($O760:S760)</f>
        <v>0</v>
      </c>
      <c r="U760" s="52">
        <f ca="1">Log_2018[[#This Row],[Amount]]/Log_2018[[#This Row],[Split_raw]]*MAX(0,MIN(_xlfn.DAYS(EDATE(U$1,1),Log_2018[[#This Row],[Date]]),Log_2018[[#This Row],[Split_apply]])) - SUM($O760:T760)</f>
        <v>0</v>
      </c>
      <c r="V760" s="52">
        <f ca="1">Log_2018[[#This Row],[Amount]]/Log_2018[[#This Row],[Split_raw]]*MAX(0,MIN(_xlfn.DAYS(EDATE(V$1,1),Log_2018[[#This Row],[Date]]),Log_2018[[#This Row],[Split_apply]])) - SUM($O760:U760)</f>
        <v>0</v>
      </c>
      <c r="W760" s="52">
        <f ca="1">Log_2018[[#This Row],[Amount]]/Log_2018[[#This Row],[Split_raw]]*MAX(0,MIN(_xlfn.DAYS(EDATE(W$1,1),Log_2018[[#This Row],[Date]]),Log_2018[[#This Row],[Split_apply]])) - SUM($O760:V760)</f>
        <v>0</v>
      </c>
      <c r="X760" s="52">
        <f ca="1">Log_2018[[#This Row],[Amount]]/Log_2018[[#This Row],[Split_raw]]*MAX(0,MIN(_xlfn.DAYS(EDATE(X$1,1),Log_2018[[#This Row],[Date]]),Log_2018[[#This Row],[Split_apply]])) - SUM($O760:W760)</f>
        <v>0</v>
      </c>
      <c r="Y760" s="52">
        <f ca="1">Log_2018[[#This Row],[Amount]]/Log_2018[[#This Row],[Split_raw]]*MAX(0,MIN(_xlfn.DAYS(EDATE(Y$1,1),Log_2018[[#This Row],[Date]]),Log_2018[[#This Row],[Split_apply]])) - SUM($O760:X760)</f>
        <v>0</v>
      </c>
      <c r="Z760" s="52">
        <f ca="1">Log_2018[[#This Row],[Amount]]/Log_2018[[#This Row],[Split_raw]]*MAX(0,MIN(_xlfn.DAYS(EDATE(Z$1,1),Log_2018[[#This Row],[Date]]),Log_2018[[#This Row],[Split_apply]])) - SUM($O760:Y760)</f>
        <v>0</v>
      </c>
      <c r="AA760" s="52">
        <f ca="1">Log_2018[[#This Row],[Amount]]/Log_2018[[#This Row],[Split_raw]]*MAX(0,MIN(_xlfn.DAYS(EDATE(AA$1,1),Log_2018[[#This Row],[Date]]),Log_2018[[#This Row],[Split_apply]])) - SUM($O760:Z760)</f>
        <v>0</v>
      </c>
      <c r="AB760" s="54">
        <f ca="1">Log_2018[[#This Row],[Amount]]-SUM(O760:AA760)</f>
        <v>0</v>
      </c>
      <c r="AC760" s="74">
        <f ca="1">MAX(0,Log_2018[[#This Row],[Split_apply]] - (EDATE(AA$1,1)-Log_2018[[#This Row],[Date]]))</f>
        <v>0</v>
      </c>
    </row>
  </sheetData>
  <phoneticPr fontId="20" type="noConversion"/>
  <dataValidations count="2">
    <dataValidation type="list" allowBlank="1" showInputMessage="1" showErrorMessage="1" sqref="N2:AA760" xr:uid="{EE0EE6F8-7989-4F7D-B15D-962D4F9E7D36}">
      <formula1>CategoriesList</formula1>
    </dataValidation>
    <dataValidation type="list" errorStyle="warning" allowBlank="1" showInputMessage="1" showErrorMessage="1" sqref="M2:M760" xr:uid="{1325199F-60B9-4227-B7BE-77708B66AC95}">
      <formula1>CategoriesList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59B77-BE1A-42F2-944C-F686ACA6C985}">
  <sheetPr codeName="Sheet6"/>
  <dimension ref="A1:AC79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outlineLevelCol="1" x14ac:dyDescent="0.25"/>
  <cols>
    <col min="1" max="1" width="8.7109375" bestFit="1" customWidth="1"/>
    <col min="2" max="2" width="20.28515625" customWidth="1" outlineLevel="1"/>
    <col min="3" max="3" width="10.7109375" bestFit="1" customWidth="1"/>
    <col min="4" max="4" width="30" bestFit="1" customWidth="1"/>
    <col min="5" max="5" width="52" bestFit="1" customWidth="1"/>
    <col min="6" max="6" width="22.42578125" customWidth="1" outlineLevel="1"/>
    <col min="7" max="7" width="14.5703125" customWidth="1" outlineLevel="1"/>
    <col min="8" max="8" width="10.42578125" customWidth="1"/>
    <col min="9" max="9" width="10.7109375" customWidth="1" outlineLevel="1"/>
    <col min="10" max="10" width="11.5703125" customWidth="1" outlineLevel="1"/>
    <col min="11" max="11" width="13.140625" customWidth="1" outlineLevel="1"/>
    <col min="12" max="12" width="20.85546875" bestFit="1" customWidth="1"/>
    <col min="13" max="13" width="10.85546875" bestFit="1" customWidth="1"/>
    <col min="14" max="14" width="29.7109375" customWidth="1" outlineLevel="1"/>
    <col min="15" max="26" width="11" bestFit="1" customWidth="1"/>
    <col min="27" max="27" width="8.140625" bestFit="1" customWidth="1"/>
    <col min="28" max="28" width="11.28515625" bestFit="1" customWidth="1"/>
  </cols>
  <sheetData>
    <row r="1" spans="1:29" x14ac:dyDescent="0.25">
      <c r="A1" s="113" t="s">
        <v>1120</v>
      </c>
      <c r="B1" s="22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55</v>
      </c>
      <c r="H1" t="s">
        <v>632</v>
      </c>
      <c r="I1" s="24" t="s">
        <v>5</v>
      </c>
      <c r="J1" s="24" t="s">
        <v>92</v>
      </c>
      <c r="K1" s="64" t="s">
        <v>951</v>
      </c>
      <c r="L1" s="65" t="s">
        <v>950</v>
      </c>
      <c r="M1" s="23" t="s">
        <v>56</v>
      </c>
      <c r="N1" s="25" t="s">
        <v>164</v>
      </c>
      <c r="O1" s="55" t="s">
        <v>869</v>
      </c>
      <c r="P1" s="61" t="s">
        <v>923</v>
      </c>
      <c r="Q1" s="61" t="s">
        <v>924</v>
      </c>
      <c r="R1" s="61" t="s">
        <v>925</v>
      </c>
      <c r="S1" s="61" t="s">
        <v>926</v>
      </c>
      <c r="T1" s="61" t="s">
        <v>927</v>
      </c>
      <c r="U1" s="61" t="s">
        <v>928</v>
      </c>
      <c r="V1" s="61" t="s">
        <v>929</v>
      </c>
      <c r="W1" s="61" t="s">
        <v>930</v>
      </c>
      <c r="X1" s="61" t="s">
        <v>931</v>
      </c>
      <c r="Y1" s="61" t="s">
        <v>932</v>
      </c>
      <c r="Z1" s="61" t="s">
        <v>933</v>
      </c>
      <c r="AA1" s="61" t="s">
        <v>934</v>
      </c>
      <c r="AB1" s="55" t="s">
        <v>870</v>
      </c>
      <c r="AC1" s="56" t="s">
        <v>871</v>
      </c>
    </row>
    <row r="2" spans="1:29" x14ac:dyDescent="0.25">
      <c r="A2" s="42"/>
      <c r="B2" s="34" t="s">
        <v>6</v>
      </c>
      <c r="C2" s="34"/>
      <c r="D2" s="35">
        <v>43830</v>
      </c>
      <c r="E2" s="34"/>
      <c r="F2" s="34" t="s">
        <v>599</v>
      </c>
      <c r="G2" s="34" t="s">
        <v>25</v>
      </c>
      <c r="H2">
        <v>-9.99</v>
      </c>
      <c r="I2" s="36">
        <f>IF(Log_2019[[#This Row],[My Category]]="NONTRACKED",0,Log_2019[[#This Row],[Raw Amount]])</f>
        <v>-9.99</v>
      </c>
      <c r="J2" s="37">
        <f>ABS(Log_2019[[#This Row],[Amount]])</f>
        <v>9.99</v>
      </c>
      <c r="K2" s="38">
        <v>1</v>
      </c>
      <c r="L2" s="38">
        <f ca="1">IF(Log_2019[[#This Row],[Date]]&lt;=TODAY(), MIN(Log_2019[[#This Row],[Split_raw]], TODAY()-Log_2019[[#This Row],[Date]]+1), 0)</f>
        <v>1</v>
      </c>
      <c r="M2" s="34" t="s">
        <v>35</v>
      </c>
      <c r="N2" s="34" t="s">
        <v>158</v>
      </c>
      <c r="O2" s="7">
        <v>0</v>
      </c>
      <c r="P2" s="52">
        <f ca="1">Log_2019[[#This Row],[Amount]]/Log_2019[[#This Row],[Split_raw]]*MAX(0,MIN(_xlfn.DAYS(EDATE(P$1,1),Log_2019[[#This Row],[Date]]),Log_2019[[#This Row],[Split_apply]])) - SUM($O2:O2)</f>
        <v>0</v>
      </c>
      <c r="Q2" s="52">
        <f ca="1">Log_2019[[#This Row],[Amount]]/Log_2019[[#This Row],[Split_raw]]*MAX(0,MIN(_xlfn.DAYS(EDATE(Q$1,1),Log_2019[[#This Row],[Date]]),Log_2019[[#This Row],[Split_apply]])) - SUM($O2:P2)</f>
        <v>0</v>
      </c>
      <c r="R2" s="52">
        <f ca="1">Log_2019[[#This Row],[Amount]]/Log_2019[[#This Row],[Split_raw]]*MAX(0,MIN(_xlfn.DAYS(EDATE(R$1,1),Log_2019[[#This Row],[Date]]),Log_2019[[#This Row],[Split_apply]])) - SUM($O2:Q2)</f>
        <v>0</v>
      </c>
      <c r="S2" s="52">
        <f ca="1">Log_2019[[#This Row],[Amount]]/Log_2019[[#This Row],[Split_raw]]*MAX(0,MIN(_xlfn.DAYS(EDATE(S$1,1),Log_2019[[#This Row],[Date]]),Log_2019[[#This Row],[Split_apply]])) - SUM($O2:R2)</f>
        <v>0</v>
      </c>
      <c r="T2" s="52">
        <f ca="1">Log_2019[[#This Row],[Amount]]/Log_2019[[#This Row],[Split_raw]]*MAX(0,MIN(_xlfn.DAYS(EDATE(T$1,1),Log_2019[[#This Row],[Date]]),Log_2019[[#This Row],[Split_apply]])) - SUM($O2:S2)</f>
        <v>0</v>
      </c>
      <c r="U2" s="52">
        <f ca="1">Log_2019[[#This Row],[Amount]]/Log_2019[[#This Row],[Split_raw]]*MAX(0,MIN(_xlfn.DAYS(EDATE(U$1,1),Log_2019[[#This Row],[Date]]),Log_2019[[#This Row],[Split_apply]])) - SUM($O2:T2)</f>
        <v>0</v>
      </c>
      <c r="V2" s="52">
        <f ca="1">Log_2019[[#This Row],[Amount]]/Log_2019[[#This Row],[Split_raw]]*MAX(0,MIN(_xlfn.DAYS(EDATE(V$1,1),Log_2019[[#This Row],[Date]]),Log_2019[[#This Row],[Split_apply]])) - SUM($O2:U2)</f>
        <v>0</v>
      </c>
      <c r="W2" s="52">
        <f ca="1">Log_2019[[#This Row],[Amount]]/Log_2019[[#This Row],[Split_raw]]*MAX(0,MIN(_xlfn.DAYS(EDATE(W$1,1),Log_2019[[#This Row],[Date]]),Log_2019[[#This Row],[Split_apply]])) - SUM($O2:V2)</f>
        <v>0</v>
      </c>
      <c r="X2" s="52">
        <f ca="1">Log_2019[[#This Row],[Amount]]/Log_2019[[#This Row],[Split_raw]]*MAX(0,MIN(_xlfn.DAYS(EDATE(X$1,1),Log_2019[[#This Row],[Date]]),Log_2019[[#This Row],[Split_apply]])) - SUM($O2:W2)</f>
        <v>0</v>
      </c>
      <c r="Y2" s="52">
        <f ca="1">Log_2019[[#This Row],[Amount]]/Log_2019[[#This Row],[Split_raw]]*MAX(0,MIN(_xlfn.DAYS(EDATE(Y$1,1),Log_2019[[#This Row],[Date]]),Log_2019[[#This Row],[Split_apply]])) - SUM($O2:X2)</f>
        <v>0</v>
      </c>
      <c r="Z2" s="52">
        <f ca="1">Log_2019[[#This Row],[Amount]]/Log_2019[[#This Row],[Split_raw]]*MAX(0,MIN(_xlfn.DAYS(EDATE(Z$1,1),Log_2019[[#This Row],[Date]]),Log_2019[[#This Row],[Split_apply]])) - SUM($O2:Y2)</f>
        <v>0</v>
      </c>
      <c r="AA2" s="52">
        <f ca="1">Log_2019[[#This Row],[Amount]]/Log_2019[[#This Row],[Split_raw]]*MAX(0,MIN(_xlfn.DAYS(EDATE(AA$1,1),Log_2019[[#This Row],[Date]]),Log_2019[[#This Row],[Split_apply]])) - SUM($O2:Z2)</f>
        <v>-9.99</v>
      </c>
      <c r="AB2" s="54">
        <f ca="1">Log_2019[[#This Row],[Amount]]-SUM(O2:AA2)</f>
        <v>0</v>
      </c>
      <c r="AC2" s="7">
        <f>MAX(0,Log_2019[[#This Row],[Split_raw]] - (EDATE(AA$1,1)-Log_2019[[#This Row],[Date]]))</f>
        <v>0</v>
      </c>
    </row>
    <row r="3" spans="1:29" x14ac:dyDescent="0.25">
      <c r="A3" s="42"/>
      <c r="B3" s="34" t="s">
        <v>6</v>
      </c>
      <c r="C3" s="34"/>
      <c r="D3" s="35">
        <v>43829</v>
      </c>
      <c r="E3" s="34" t="s">
        <v>852</v>
      </c>
      <c r="F3" s="34" t="s">
        <v>818</v>
      </c>
      <c r="G3" s="34" t="s">
        <v>27</v>
      </c>
      <c r="H3">
        <v>-36.520000000000003</v>
      </c>
      <c r="I3" s="36">
        <f>IF(Log_2019[[#This Row],[My Category]]="NONTRACKED",0,Log_2019[[#This Row],[Raw Amount]])</f>
        <v>-36.520000000000003</v>
      </c>
      <c r="J3" s="37">
        <f>ABS(Log_2019[[#This Row],[Amount]])</f>
        <v>36.520000000000003</v>
      </c>
      <c r="K3" s="38">
        <v>1</v>
      </c>
      <c r="L3" s="38">
        <f ca="1">IF(Log_2019[[#This Row],[Date]]&lt;=TODAY(), MIN(Log_2019[[#This Row],[Split_raw]], TODAY()-Log_2019[[#This Row],[Date]]+1), 0)</f>
        <v>1</v>
      </c>
      <c r="M3" s="34" t="s">
        <v>42</v>
      </c>
      <c r="N3" s="34" t="s">
        <v>158</v>
      </c>
      <c r="O3" s="7">
        <v>0</v>
      </c>
      <c r="P3" s="52">
        <f ca="1">Log_2019[[#This Row],[Amount]]/Log_2019[[#This Row],[Split_raw]]*MAX(0,MIN(_xlfn.DAYS(EDATE(P$1,1),Log_2019[[#This Row],[Date]]),Log_2019[[#This Row],[Split_apply]])) - SUM($O3:O3)</f>
        <v>0</v>
      </c>
      <c r="Q3" s="52">
        <f ca="1">Log_2019[[#This Row],[Amount]]/Log_2019[[#This Row],[Split_raw]]*MAX(0,MIN(_xlfn.DAYS(EDATE(Q$1,1),Log_2019[[#This Row],[Date]]),Log_2019[[#This Row],[Split_apply]])) - SUM($O3:P3)</f>
        <v>0</v>
      </c>
      <c r="R3" s="52">
        <f ca="1">Log_2019[[#This Row],[Amount]]/Log_2019[[#This Row],[Split_raw]]*MAX(0,MIN(_xlfn.DAYS(EDATE(R$1,1),Log_2019[[#This Row],[Date]]),Log_2019[[#This Row],[Split_apply]])) - SUM($O3:Q3)</f>
        <v>0</v>
      </c>
      <c r="S3" s="52">
        <f ca="1">Log_2019[[#This Row],[Amount]]/Log_2019[[#This Row],[Split_raw]]*MAX(0,MIN(_xlfn.DAYS(EDATE(S$1,1),Log_2019[[#This Row],[Date]]),Log_2019[[#This Row],[Split_apply]])) - SUM($O3:R3)</f>
        <v>0</v>
      </c>
      <c r="T3" s="52">
        <f ca="1">Log_2019[[#This Row],[Amount]]/Log_2019[[#This Row],[Split_raw]]*MAX(0,MIN(_xlfn.DAYS(EDATE(T$1,1),Log_2019[[#This Row],[Date]]),Log_2019[[#This Row],[Split_apply]])) - SUM($O3:S3)</f>
        <v>0</v>
      </c>
      <c r="U3" s="52">
        <f ca="1">Log_2019[[#This Row],[Amount]]/Log_2019[[#This Row],[Split_raw]]*MAX(0,MIN(_xlfn.DAYS(EDATE(U$1,1),Log_2019[[#This Row],[Date]]),Log_2019[[#This Row],[Split_apply]])) - SUM($O3:T3)</f>
        <v>0</v>
      </c>
      <c r="V3" s="52">
        <f ca="1">Log_2019[[#This Row],[Amount]]/Log_2019[[#This Row],[Split_raw]]*MAX(0,MIN(_xlfn.DAYS(EDATE(V$1,1),Log_2019[[#This Row],[Date]]),Log_2019[[#This Row],[Split_apply]])) - SUM($O3:U3)</f>
        <v>0</v>
      </c>
      <c r="W3" s="52">
        <f ca="1">Log_2019[[#This Row],[Amount]]/Log_2019[[#This Row],[Split_raw]]*MAX(0,MIN(_xlfn.DAYS(EDATE(W$1,1),Log_2019[[#This Row],[Date]]),Log_2019[[#This Row],[Split_apply]])) - SUM($O3:V3)</f>
        <v>0</v>
      </c>
      <c r="X3" s="52">
        <f ca="1">Log_2019[[#This Row],[Amount]]/Log_2019[[#This Row],[Split_raw]]*MAX(0,MIN(_xlfn.DAYS(EDATE(X$1,1),Log_2019[[#This Row],[Date]]),Log_2019[[#This Row],[Split_apply]])) - SUM($O3:W3)</f>
        <v>0</v>
      </c>
      <c r="Y3" s="52">
        <f ca="1">Log_2019[[#This Row],[Amount]]/Log_2019[[#This Row],[Split_raw]]*MAX(0,MIN(_xlfn.DAYS(EDATE(Y$1,1),Log_2019[[#This Row],[Date]]),Log_2019[[#This Row],[Split_apply]])) - SUM($O3:X3)</f>
        <v>0</v>
      </c>
      <c r="Z3" s="52">
        <f ca="1">Log_2019[[#This Row],[Amount]]/Log_2019[[#This Row],[Split_raw]]*MAX(0,MIN(_xlfn.DAYS(EDATE(Z$1,1),Log_2019[[#This Row],[Date]]),Log_2019[[#This Row],[Split_apply]])) - SUM($O3:Y3)</f>
        <v>0</v>
      </c>
      <c r="AA3" s="52">
        <f ca="1">Log_2019[[#This Row],[Amount]]/Log_2019[[#This Row],[Split_raw]]*MAX(0,MIN(_xlfn.DAYS(EDATE(AA$1,1),Log_2019[[#This Row],[Date]]),Log_2019[[#This Row],[Split_apply]])) - SUM($O3:Z3)</f>
        <v>-36.520000000000003</v>
      </c>
      <c r="AB3" s="54">
        <f ca="1">Log_2019[[#This Row],[Amount]]-SUM(O3:AA3)</f>
        <v>0</v>
      </c>
      <c r="AC3" s="7">
        <f>MAX(0,Log_2019[[#This Row],[Split_raw]] - (EDATE(AA$1,1)-Log_2019[[#This Row],[Date]]))</f>
        <v>0</v>
      </c>
    </row>
    <row r="4" spans="1:29" x14ac:dyDescent="0.25">
      <c r="A4" s="42"/>
      <c r="B4" s="34" t="s">
        <v>6</v>
      </c>
      <c r="C4" s="34"/>
      <c r="D4" s="35">
        <v>43829</v>
      </c>
      <c r="E4" s="34" t="s">
        <v>852</v>
      </c>
      <c r="F4" s="34" t="s">
        <v>819</v>
      </c>
      <c r="G4" s="34" t="s">
        <v>26</v>
      </c>
      <c r="H4">
        <v>-5</v>
      </c>
      <c r="I4" s="36">
        <f>IF(Log_2019[[#This Row],[My Category]]="NONTRACKED",0,Log_2019[[#This Row],[Raw Amount]])</f>
        <v>-5</v>
      </c>
      <c r="J4" s="37">
        <f>ABS(Log_2019[[#This Row],[Amount]])</f>
        <v>5</v>
      </c>
      <c r="K4" s="38">
        <v>1</v>
      </c>
      <c r="L4" s="38">
        <f ca="1">IF(Log_2019[[#This Row],[Date]]&lt;=TODAY(), MIN(Log_2019[[#This Row],[Split_raw]], TODAY()-Log_2019[[#This Row],[Date]]+1), 0)</f>
        <v>1</v>
      </c>
      <c r="M4" s="34" t="s">
        <v>42</v>
      </c>
      <c r="N4" s="34" t="s">
        <v>158</v>
      </c>
      <c r="O4" s="7">
        <v>0</v>
      </c>
      <c r="P4" s="52">
        <f ca="1">Log_2019[[#This Row],[Amount]]/Log_2019[[#This Row],[Split_raw]]*MAX(0,MIN(_xlfn.DAYS(EDATE(P$1,1),Log_2019[[#This Row],[Date]]),Log_2019[[#This Row],[Split_apply]])) - SUM($O4:O4)</f>
        <v>0</v>
      </c>
      <c r="Q4" s="52">
        <f ca="1">Log_2019[[#This Row],[Amount]]/Log_2019[[#This Row],[Split_raw]]*MAX(0,MIN(_xlfn.DAYS(EDATE(Q$1,1),Log_2019[[#This Row],[Date]]),Log_2019[[#This Row],[Split_apply]])) - SUM($O4:P4)</f>
        <v>0</v>
      </c>
      <c r="R4" s="52">
        <f ca="1">Log_2019[[#This Row],[Amount]]/Log_2019[[#This Row],[Split_raw]]*MAX(0,MIN(_xlfn.DAYS(EDATE(R$1,1),Log_2019[[#This Row],[Date]]),Log_2019[[#This Row],[Split_apply]])) - SUM($O4:Q4)</f>
        <v>0</v>
      </c>
      <c r="S4" s="52">
        <f ca="1">Log_2019[[#This Row],[Amount]]/Log_2019[[#This Row],[Split_raw]]*MAX(0,MIN(_xlfn.DAYS(EDATE(S$1,1),Log_2019[[#This Row],[Date]]),Log_2019[[#This Row],[Split_apply]])) - SUM($O4:R4)</f>
        <v>0</v>
      </c>
      <c r="T4" s="52">
        <f ca="1">Log_2019[[#This Row],[Amount]]/Log_2019[[#This Row],[Split_raw]]*MAX(0,MIN(_xlfn.DAYS(EDATE(T$1,1),Log_2019[[#This Row],[Date]]),Log_2019[[#This Row],[Split_apply]])) - SUM($O4:S4)</f>
        <v>0</v>
      </c>
      <c r="U4" s="52">
        <f ca="1">Log_2019[[#This Row],[Amount]]/Log_2019[[#This Row],[Split_raw]]*MAX(0,MIN(_xlfn.DAYS(EDATE(U$1,1),Log_2019[[#This Row],[Date]]),Log_2019[[#This Row],[Split_apply]])) - SUM($O4:T4)</f>
        <v>0</v>
      </c>
      <c r="V4" s="52">
        <f ca="1">Log_2019[[#This Row],[Amount]]/Log_2019[[#This Row],[Split_raw]]*MAX(0,MIN(_xlfn.DAYS(EDATE(V$1,1),Log_2019[[#This Row],[Date]]),Log_2019[[#This Row],[Split_apply]])) - SUM($O4:U4)</f>
        <v>0</v>
      </c>
      <c r="W4" s="52">
        <f ca="1">Log_2019[[#This Row],[Amount]]/Log_2019[[#This Row],[Split_raw]]*MAX(0,MIN(_xlfn.DAYS(EDATE(W$1,1),Log_2019[[#This Row],[Date]]),Log_2019[[#This Row],[Split_apply]])) - SUM($O4:V4)</f>
        <v>0</v>
      </c>
      <c r="X4" s="52">
        <f ca="1">Log_2019[[#This Row],[Amount]]/Log_2019[[#This Row],[Split_raw]]*MAX(0,MIN(_xlfn.DAYS(EDATE(X$1,1),Log_2019[[#This Row],[Date]]),Log_2019[[#This Row],[Split_apply]])) - SUM($O4:W4)</f>
        <v>0</v>
      </c>
      <c r="Y4" s="52">
        <f ca="1">Log_2019[[#This Row],[Amount]]/Log_2019[[#This Row],[Split_raw]]*MAX(0,MIN(_xlfn.DAYS(EDATE(Y$1,1),Log_2019[[#This Row],[Date]]),Log_2019[[#This Row],[Split_apply]])) - SUM($O4:X4)</f>
        <v>0</v>
      </c>
      <c r="Z4" s="52">
        <f ca="1">Log_2019[[#This Row],[Amount]]/Log_2019[[#This Row],[Split_raw]]*MAX(0,MIN(_xlfn.DAYS(EDATE(Z$1,1),Log_2019[[#This Row],[Date]]),Log_2019[[#This Row],[Split_apply]])) - SUM($O4:Y4)</f>
        <v>0</v>
      </c>
      <c r="AA4" s="52">
        <f ca="1">Log_2019[[#This Row],[Amount]]/Log_2019[[#This Row],[Split_raw]]*MAX(0,MIN(_xlfn.DAYS(EDATE(AA$1,1),Log_2019[[#This Row],[Date]]),Log_2019[[#This Row],[Split_apply]])) - SUM($O4:Z4)</f>
        <v>-5</v>
      </c>
      <c r="AB4" s="54">
        <f ca="1">Log_2019[[#This Row],[Amount]]-SUM(O4:AA4)</f>
        <v>0</v>
      </c>
      <c r="AC4" s="7">
        <f>MAX(0,Log_2019[[#This Row],[Split_raw]] - (EDATE(AA$1,1)-Log_2019[[#This Row],[Date]]))</f>
        <v>0</v>
      </c>
    </row>
    <row r="5" spans="1:29" x14ac:dyDescent="0.25">
      <c r="A5" s="42"/>
      <c r="B5" s="34" t="s">
        <v>6</v>
      </c>
      <c r="C5" s="34"/>
      <c r="D5" s="35">
        <v>43829</v>
      </c>
      <c r="E5" s="34"/>
      <c r="F5" s="34" t="s">
        <v>16</v>
      </c>
      <c r="G5" s="34" t="s">
        <v>17</v>
      </c>
      <c r="H5">
        <f>--0.2</f>
        <v>0.2</v>
      </c>
      <c r="I5" s="36">
        <f>IF(Log_2019[[#This Row],[My Category]]="NONTRACKED",0,Log_2019[[#This Row],[Raw Amount]])</f>
        <v>0.2</v>
      </c>
      <c r="J5" s="37">
        <f>ABS(Log_2019[[#This Row],[Amount]])</f>
        <v>0.2</v>
      </c>
      <c r="K5" s="38">
        <v>1</v>
      </c>
      <c r="L5" s="38">
        <f ca="1">IF(Log_2019[[#This Row],[Date]]&lt;=TODAY(), MIN(Log_2019[[#This Row],[Split_raw]], TODAY()-Log_2019[[#This Row],[Date]]+1), 0)</f>
        <v>1</v>
      </c>
      <c r="M5" s="34" t="s">
        <v>144</v>
      </c>
      <c r="N5" s="34" t="s">
        <v>160</v>
      </c>
      <c r="O5" s="7">
        <v>0</v>
      </c>
      <c r="P5" s="52">
        <f ca="1">Log_2019[[#This Row],[Amount]]/Log_2019[[#This Row],[Split_raw]]*MAX(0,MIN(_xlfn.DAYS(EDATE(P$1,1),Log_2019[[#This Row],[Date]]),Log_2019[[#This Row],[Split_apply]])) - SUM($O5:O5)</f>
        <v>0</v>
      </c>
      <c r="Q5" s="52">
        <f ca="1">Log_2019[[#This Row],[Amount]]/Log_2019[[#This Row],[Split_raw]]*MAX(0,MIN(_xlfn.DAYS(EDATE(Q$1,1),Log_2019[[#This Row],[Date]]),Log_2019[[#This Row],[Split_apply]])) - SUM($O5:P5)</f>
        <v>0</v>
      </c>
      <c r="R5" s="52">
        <f ca="1">Log_2019[[#This Row],[Amount]]/Log_2019[[#This Row],[Split_raw]]*MAX(0,MIN(_xlfn.DAYS(EDATE(R$1,1),Log_2019[[#This Row],[Date]]),Log_2019[[#This Row],[Split_apply]])) - SUM($O5:Q5)</f>
        <v>0</v>
      </c>
      <c r="S5" s="52">
        <f ca="1">Log_2019[[#This Row],[Amount]]/Log_2019[[#This Row],[Split_raw]]*MAX(0,MIN(_xlfn.DAYS(EDATE(S$1,1),Log_2019[[#This Row],[Date]]),Log_2019[[#This Row],[Split_apply]])) - SUM($O5:R5)</f>
        <v>0</v>
      </c>
      <c r="T5" s="52">
        <f ca="1">Log_2019[[#This Row],[Amount]]/Log_2019[[#This Row],[Split_raw]]*MAX(0,MIN(_xlfn.DAYS(EDATE(T$1,1),Log_2019[[#This Row],[Date]]),Log_2019[[#This Row],[Split_apply]])) - SUM($O5:S5)</f>
        <v>0</v>
      </c>
      <c r="U5" s="52">
        <f ca="1">Log_2019[[#This Row],[Amount]]/Log_2019[[#This Row],[Split_raw]]*MAX(0,MIN(_xlfn.DAYS(EDATE(U$1,1),Log_2019[[#This Row],[Date]]),Log_2019[[#This Row],[Split_apply]])) - SUM($O5:T5)</f>
        <v>0</v>
      </c>
      <c r="V5" s="52">
        <f ca="1">Log_2019[[#This Row],[Amount]]/Log_2019[[#This Row],[Split_raw]]*MAX(0,MIN(_xlfn.DAYS(EDATE(V$1,1),Log_2019[[#This Row],[Date]]),Log_2019[[#This Row],[Split_apply]])) - SUM($O5:U5)</f>
        <v>0</v>
      </c>
      <c r="W5" s="52">
        <f ca="1">Log_2019[[#This Row],[Amount]]/Log_2019[[#This Row],[Split_raw]]*MAX(0,MIN(_xlfn.DAYS(EDATE(W$1,1),Log_2019[[#This Row],[Date]]),Log_2019[[#This Row],[Split_apply]])) - SUM($O5:V5)</f>
        <v>0</v>
      </c>
      <c r="X5" s="52">
        <f ca="1">Log_2019[[#This Row],[Amount]]/Log_2019[[#This Row],[Split_raw]]*MAX(0,MIN(_xlfn.DAYS(EDATE(X$1,1),Log_2019[[#This Row],[Date]]),Log_2019[[#This Row],[Split_apply]])) - SUM($O5:W5)</f>
        <v>0</v>
      </c>
      <c r="Y5" s="52">
        <f ca="1">Log_2019[[#This Row],[Amount]]/Log_2019[[#This Row],[Split_raw]]*MAX(0,MIN(_xlfn.DAYS(EDATE(Y$1,1),Log_2019[[#This Row],[Date]]),Log_2019[[#This Row],[Split_apply]])) - SUM($O5:X5)</f>
        <v>0</v>
      </c>
      <c r="Z5" s="52">
        <f ca="1">Log_2019[[#This Row],[Amount]]/Log_2019[[#This Row],[Split_raw]]*MAX(0,MIN(_xlfn.DAYS(EDATE(Z$1,1),Log_2019[[#This Row],[Date]]),Log_2019[[#This Row],[Split_apply]])) - SUM($O5:Y5)</f>
        <v>0</v>
      </c>
      <c r="AA5" s="52">
        <f ca="1">Log_2019[[#This Row],[Amount]]/Log_2019[[#This Row],[Split_raw]]*MAX(0,MIN(_xlfn.DAYS(EDATE(AA$1,1),Log_2019[[#This Row],[Date]]),Log_2019[[#This Row],[Split_apply]])) - SUM($O5:Z5)</f>
        <v>0.2</v>
      </c>
      <c r="AB5" s="54">
        <f ca="1">Log_2019[[#This Row],[Amount]]-SUM(O5:AA5)</f>
        <v>0</v>
      </c>
      <c r="AC5" s="7">
        <f>MAX(0,Log_2019[[#This Row],[Split_raw]] - (EDATE(AA$1,1)-Log_2019[[#This Row],[Date]]))</f>
        <v>0</v>
      </c>
    </row>
    <row r="6" spans="1:29" x14ac:dyDescent="0.25">
      <c r="A6" s="42"/>
      <c r="B6" s="34" t="s">
        <v>6</v>
      </c>
      <c r="C6" s="34"/>
      <c r="D6" s="35">
        <v>43829</v>
      </c>
      <c r="E6" s="34"/>
      <c r="F6" s="34" t="s">
        <v>23</v>
      </c>
      <c r="G6" s="34" t="s">
        <v>24</v>
      </c>
      <c r="H6">
        <f>--2.75</f>
        <v>2.75</v>
      </c>
      <c r="I6" s="36">
        <f>IF(Log_2019[[#This Row],[My Category]]="NONTRACKED",0,Log_2019[[#This Row],[Raw Amount]])</f>
        <v>2.75</v>
      </c>
      <c r="J6" s="37">
        <f>ABS(Log_2019[[#This Row],[Amount]])</f>
        <v>2.75</v>
      </c>
      <c r="K6" s="38">
        <v>1</v>
      </c>
      <c r="L6" s="38">
        <f ca="1">IF(Log_2019[[#This Row],[Date]]&lt;=TODAY(), MIN(Log_2019[[#This Row],[Split_raw]], TODAY()-Log_2019[[#This Row],[Date]]+1), 0)</f>
        <v>1</v>
      </c>
      <c r="M6" s="34" t="s">
        <v>144</v>
      </c>
      <c r="N6" s="34" t="s">
        <v>160</v>
      </c>
      <c r="O6" s="7">
        <v>0</v>
      </c>
      <c r="P6" s="52">
        <f ca="1">Log_2019[[#This Row],[Amount]]/Log_2019[[#This Row],[Split_raw]]*MAX(0,MIN(_xlfn.DAYS(EDATE(P$1,1),Log_2019[[#This Row],[Date]]),Log_2019[[#This Row],[Split_apply]])) - SUM($O6:O6)</f>
        <v>0</v>
      </c>
      <c r="Q6" s="52">
        <f ca="1">Log_2019[[#This Row],[Amount]]/Log_2019[[#This Row],[Split_raw]]*MAX(0,MIN(_xlfn.DAYS(EDATE(Q$1,1),Log_2019[[#This Row],[Date]]),Log_2019[[#This Row],[Split_apply]])) - SUM($O6:P6)</f>
        <v>0</v>
      </c>
      <c r="R6" s="52">
        <f ca="1">Log_2019[[#This Row],[Amount]]/Log_2019[[#This Row],[Split_raw]]*MAX(0,MIN(_xlfn.DAYS(EDATE(R$1,1),Log_2019[[#This Row],[Date]]),Log_2019[[#This Row],[Split_apply]])) - SUM($O6:Q6)</f>
        <v>0</v>
      </c>
      <c r="S6" s="52">
        <f ca="1">Log_2019[[#This Row],[Amount]]/Log_2019[[#This Row],[Split_raw]]*MAX(0,MIN(_xlfn.DAYS(EDATE(S$1,1),Log_2019[[#This Row],[Date]]),Log_2019[[#This Row],[Split_apply]])) - SUM($O6:R6)</f>
        <v>0</v>
      </c>
      <c r="T6" s="52">
        <f ca="1">Log_2019[[#This Row],[Amount]]/Log_2019[[#This Row],[Split_raw]]*MAX(0,MIN(_xlfn.DAYS(EDATE(T$1,1),Log_2019[[#This Row],[Date]]),Log_2019[[#This Row],[Split_apply]])) - SUM($O6:S6)</f>
        <v>0</v>
      </c>
      <c r="U6" s="52">
        <f ca="1">Log_2019[[#This Row],[Amount]]/Log_2019[[#This Row],[Split_raw]]*MAX(0,MIN(_xlfn.DAYS(EDATE(U$1,1),Log_2019[[#This Row],[Date]]),Log_2019[[#This Row],[Split_apply]])) - SUM($O6:T6)</f>
        <v>0</v>
      </c>
      <c r="V6" s="52">
        <f ca="1">Log_2019[[#This Row],[Amount]]/Log_2019[[#This Row],[Split_raw]]*MAX(0,MIN(_xlfn.DAYS(EDATE(V$1,1),Log_2019[[#This Row],[Date]]),Log_2019[[#This Row],[Split_apply]])) - SUM($O6:U6)</f>
        <v>0</v>
      </c>
      <c r="W6" s="52">
        <f ca="1">Log_2019[[#This Row],[Amount]]/Log_2019[[#This Row],[Split_raw]]*MAX(0,MIN(_xlfn.DAYS(EDATE(W$1,1),Log_2019[[#This Row],[Date]]),Log_2019[[#This Row],[Split_apply]])) - SUM($O6:V6)</f>
        <v>0</v>
      </c>
      <c r="X6" s="52">
        <f ca="1">Log_2019[[#This Row],[Amount]]/Log_2019[[#This Row],[Split_raw]]*MAX(0,MIN(_xlfn.DAYS(EDATE(X$1,1),Log_2019[[#This Row],[Date]]),Log_2019[[#This Row],[Split_apply]])) - SUM($O6:W6)</f>
        <v>0</v>
      </c>
      <c r="Y6" s="52">
        <f ca="1">Log_2019[[#This Row],[Amount]]/Log_2019[[#This Row],[Split_raw]]*MAX(0,MIN(_xlfn.DAYS(EDATE(Y$1,1),Log_2019[[#This Row],[Date]]),Log_2019[[#This Row],[Split_apply]])) - SUM($O6:X6)</f>
        <v>0</v>
      </c>
      <c r="Z6" s="52">
        <f ca="1">Log_2019[[#This Row],[Amount]]/Log_2019[[#This Row],[Split_raw]]*MAX(0,MIN(_xlfn.DAYS(EDATE(Z$1,1),Log_2019[[#This Row],[Date]]),Log_2019[[#This Row],[Split_apply]])) - SUM($O6:Y6)</f>
        <v>0</v>
      </c>
      <c r="AA6" s="52">
        <f ca="1">Log_2019[[#This Row],[Amount]]/Log_2019[[#This Row],[Split_raw]]*MAX(0,MIN(_xlfn.DAYS(EDATE(AA$1,1),Log_2019[[#This Row],[Date]]),Log_2019[[#This Row],[Split_apply]])) - SUM($O6:Z6)</f>
        <v>2.75</v>
      </c>
      <c r="AB6" s="54">
        <f ca="1">Log_2019[[#This Row],[Amount]]-SUM(O6:AA6)</f>
        <v>0</v>
      </c>
      <c r="AC6" s="7">
        <f>MAX(0,Log_2019[[#This Row],[Split_raw]] - (EDATE(AA$1,1)-Log_2019[[#This Row],[Date]]))</f>
        <v>0</v>
      </c>
    </row>
    <row r="7" spans="1:29" x14ac:dyDescent="0.25">
      <c r="A7" s="42"/>
      <c r="B7" s="34" t="s">
        <v>6</v>
      </c>
      <c r="C7" s="34"/>
      <c r="D7" s="35">
        <v>43829</v>
      </c>
      <c r="E7" s="34"/>
      <c r="F7" s="34" t="s">
        <v>138</v>
      </c>
      <c r="G7" s="34" t="s">
        <v>104</v>
      </c>
      <c r="H7">
        <v>-1103.28</v>
      </c>
      <c r="I7" s="36">
        <f>IF(Log_2019[[#This Row],[My Category]]="NONTRACKED",0,Log_2019[[#This Row],[Raw Amount]])</f>
        <v>-1103.28</v>
      </c>
      <c r="J7" s="37">
        <f>ABS(Log_2019[[#This Row],[Amount]])</f>
        <v>1103.28</v>
      </c>
      <c r="K7" s="38">
        <v>1</v>
      </c>
      <c r="L7" s="38">
        <f ca="1">IF(Log_2019[[#This Row],[Date]]&lt;=TODAY(), MIN(Log_2019[[#This Row],[Split_raw]], TODAY()-Log_2019[[#This Row],[Date]]+1), 0)</f>
        <v>1</v>
      </c>
      <c r="M7" s="34" t="s">
        <v>159</v>
      </c>
      <c r="N7" s="34" t="s">
        <v>160</v>
      </c>
      <c r="O7" s="7">
        <v>0</v>
      </c>
      <c r="P7" s="52">
        <f ca="1">Log_2019[[#This Row],[Amount]]/Log_2019[[#This Row],[Split_raw]]*MAX(0,MIN(_xlfn.DAYS(EDATE(P$1,1),Log_2019[[#This Row],[Date]]),Log_2019[[#This Row],[Split_apply]])) - SUM($O7:O7)</f>
        <v>0</v>
      </c>
      <c r="Q7" s="52">
        <f ca="1">Log_2019[[#This Row],[Amount]]/Log_2019[[#This Row],[Split_raw]]*MAX(0,MIN(_xlfn.DAYS(EDATE(Q$1,1),Log_2019[[#This Row],[Date]]),Log_2019[[#This Row],[Split_apply]])) - SUM($O7:P7)</f>
        <v>0</v>
      </c>
      <c r="R7" s="52">
        <f ca="1">Log_2019[[#This Row],[Amount]]/Log_2019[[#This Row],[Split_raw]]*MAX(0,MIN(_xlfn.DAYS(EDATE(R$1,1),Log_2019[[#This Row],[Date]]),Log_2019[[#This Row],[Split_apply]])) - SUM($O7:Q7)</f>
        <v>0</v>
      </c>
      <c r="S7" s="52">
        <f ca="1">Log_2019[[#This Row],[Amount]]/Log_2019[[#This Row],[Split_raw]]*MAX(0,MIN(_xlfn.DAYS(EDATE(S$1,1),Log_2019[[#This Row],[Date]]),Log_2019[[#This Row],[Split_apply]])) - SUM($O7:R7)</f>
        <v>0</v>
      </c>
      <c r="T7" s="52">
        <f ca="1">Log_2019[[#This Row],[Amount]]/Log_2019[[#This Row],[Split_raw]]*MAX(0,MIN(_xlfn.DAYS(EDATE(T$1,1),Log_2019[[#This Row],[Date]]),Log_2019[[#This Row],[Split_apply]])) - SUM($O7:S7)</f>
        <v>0</v>
      </c>
      <c r="U7" s="52">
        <f ca="1">Log_2019[[#This Row],[Amount]]/Log_2019[[#This Row],[Split_raw]]*MAX(0,MIN(_xlfn.DAYS(EDATE(U$1,1),Log_2019[[#This Row],[Date]]),Log_2019[[#This Row],[Split_apply]])) - SUM($O7:T7)</f>
        <v>0</v>
      </c>
      <c r="V7" s="52">
        <f ca="1">Log_2019[[#This Row],[Amount]]/Log_2019[[#This Row],[Split_raw]]*MAX(0,MIN(_xlfn.DAYS(EDATE(V$1,1),Log_2019[[#This Row],[Date]]),Log_2019[[#This Row],[Split_apply]])) - SUM($O7:U7)</f>
        <v>0</v>
      </c>
      <c r="W7" s="52">
        <f ca="1">Log_2019[[#This Row],[Amount]]/Log_2019[[#This Row],[Split_raw]]*MAX(0,MIN(_xlfn.DAYS(EDATE(W$1,1),Log_2019[[#This Row],[Date]]),Log_2019[[#This Row],[Split_apply]])) - SUM($O7:V7)</f>
        <v>0</v>
      </c>
      <c r="X7" s="52">
        <f ca="1">Log_2019[[#This Row],[Amount]]/Log_2019[[#This Row],[Split_raw]]*MAX(0,MIN(_xlfn.DAYS(EDATE(X$1,1),Log_2019[[#This Row],[Date]]),Log_2019[[#This Row],[Split_apply]])) - SUM($O7:W7)</f>
        <v>0</v>
      </c>
      <c r="Y7" s="52">
        <f ca="1">Log_2019[[#This Row],[Amount]]/Log_2019[[#This Row],[Split_raw]]*MAX(0,MIN(_xlfn.DAYS(EDATE(Y$1,1),Log_2019[[#This Row],[Date]]),Log_2019[[#This Row],[Split_apply]])) - SUM($O7:X7)</f>
        <v>0</v>
      </c>
      <c r="Z7" s="52">
        <f ca="1">Log_2019[[#This Row],[Amount]]/Log_2019[[#This Row],[Split_raw]]*MAX(0,MIN(_xlfn.DAYS(EDATE(Z$1,1),Log_2019[[#This Row],[Date]]),Log_2019[[#This Row],[Split_apply]])) - SUM($O7:Y7)</f>
        <v>0</v>
      </c>
      <c r="AA7" s="52">
        <f ca="1">Log_2019[[#This Row],[Amount]]/Log_2019[[#This Row],[Split_raw]]*MAX(0,MIN(_xlfn.DAYS(EDATE(AA$1,1),Log_2019[[#This Row],[Date]]),Log_2019[[#This Row],[Split_apply]])) - SUM($O7:Z7)</f>
        <v>-1103.28</v>
      </c>
      <c r="AB7" s="54">
        <f ca="1">Log_2019[[#This Row],[Amount]]-SUM(O7:AA7)</f>
        <v>0</v>
      </c>
      <c r="AC7" s="7">
        <f>MAX(0,Log_2019[[#This Row],[Split_raw]] - (EDATE(AA$1,1)-Log_2019[[#This Row],[Date]]))</f>
        <v>0</v>
      </c>
    </row>
    <row r="8" spans="1:29" x14ac:dyDescent="0.25">
      <c r="A8" s="42"/>
      <c r="B8" s="34" t="s">
        <v>6</v>
      </c>
      <c r="C8" s="34"/>
      <c r="D8" s="35">
        <v>43829</v>
      </c>
      <c r="E8" s="34" t="s">
        <v>889</v>
      </c>
      <c r="F8" s="34" t="s">
        <v>86</v>
      </c>
      <c r="G8" s="34" t="s">
        <v>87</v>
      </c>
      <c r="H8">
        <f>--131.25</f>
        <v>131.25</v>
      </c>
      <c r="I8" s="36">
        <f>IF(Log_2019[[#This Row],[My Category]]="NONTRACKED",0,Log_2019[[#This Row],[Raw Amount]])</f>
        <v>131.25</v>
      </c>
      <c r="J8" s="37">
        <f>ABS(Log_2019[[#This Row],[Amount]])</f>
        <v>131.25</v>
      </c>
      <c r="K8" s="38">
        <v>1</v>
      </c>
      <c r="L8" s="38">
        <f ca="1">IF(Log_2019[[#This Row],[Date]]&lt;=TODAY(), MIN(Log_2019[[#This Row],[Split_raw]], TODAY()-Log_2019[[#This Row],[Date]]+1), 0)</f>
        <v>1</v>
      </c>
      <c r="M8" s="34" t="s">
        <v>144</v>
      </c>
      <c r="N8" s="34" t="s">
        <v>160</v>
      </c>
      <c r="O8" s="7">
        <v>0</v>
      </c>
      <c r="P8" s="52">
        <f ca="1">Log_2019[[#This Row],[Amount]]/Log_2019[[#This Row],[Split_raw]]*MAX(0,MIN(_xlfn.DAYS(EDATE(P$1,1),Log_2019[[#This Row],[Date]]),Log_2019[[#This Row],[Split_apply]])) - SUM($O8:O8)</f>
        <v>0</v>
      </c>
      <c r="Q8" s="52">
        <f ca="1">Log_2019[[#This Row],[Amount]]/Log_2019[[#This Row],[Split_raw]]*MAX(0,MIN(_xlfn.DAYS(EDATE(Q$1,1),Log_2019[[#This Row],[Date]]),Log_2019[[#This Row],[Split_apply]])) - SUM($O8:P8)</f>
        <v>0</v>
      </c>
      <c r="R8" s="52">
        <f ca="1">Log_2019[[#This Row],[Amount]]/Log_2019[[#This Row],[Split_raw]]*MAX(0,MIN(_xlfn.DAYS(EDATE(R$1,1),Log_2019[[#This Row],[Date]]),Log_2019[[#This Row],[Split_apply]])) - SUM($O8:Q8)</f>
        <v>0</v>
      </c>
      <c r="S8" s="52">
        <f ca="1">Log_2019[[#This Row],[Amount]]/Log_2019[[#This Row],[Split_raw]]*MAX(0,MIN(_xlfn.DAYS(EDATE(S$1,1),Log_2019[[#This Row],[Date]]),Log_2019[[#This Row],[Split_apply]])) - SUM($O8:R8)</f>
        <v>0</v>
      </c>
      <c r="T8" s="52">
        <f ca="1">Log_2019[[#This Row],[Amount]]/Log_2019[[#This Row],[Split_raw]]*MAX(0,MIN(_xlfn.DAYS(EDATE(T$1,1),Log_2019[[#This Row],[Date]]),Log_2019[[#This Row],[Split_apply]])) - SUM($O8:S8)</f>
        <v>0</v>
      </c>
      <c r="U8" s="52">
        <f ca="1">Log_2019[[#This Row],[Amount]]/Log_2019[[#This Row],[Split_raw]]*MAX(0,MIN(_xlfn.DAYS(EDATE(U$1,1),Log_2019[[#This Row],[Date]]),Log_2019[[#This Row],[Split_apply]])) - SUM($O8:T8)</f>
        <v>0</v>
      </c>
      <c r="V8" s="52">
        <f ca="1">Log_2019[[#This Row],[Amount]]/Log_2019[[#This Row],[Split_raw]]*MAX(0,MIN(_xlfn.DAYS(EDATE(V$1,1),Log_2019[[#This Row],[Date]]),Log_2019[[#This Row],[Split_apply]])) - SUM($O8:U8)</f>
        <v>0</v>
      </c>
      <c r="W8" s="52">
        <f ca="1">Log_2019[[#This Row],[Amount]]/Log_2019[[#This Row],[Split_raw]]*MAX(0,MIN(_xlfn.DAYS(EDATE(W$1,1),Log_2019[[#This Row],[Date]]),Log_2019[[#This Row],[Split_apply]])) - SUM($O8:V8)</f>
        <v>0</v>
      </c>
      <c r="X8" s="52">
        <f ca="1">Log_2019[[#This Row],[Amount]]/Log_2019[[#This Row],[Split_raw]]*MAX(0,MIN(_xlfn.DAYS(EDATE(X$1,1),Log_2019[[#This Row],[Date]]),Log_2019[[#This Row],[Split_apply]])) - SUM($O8:W8)</f>
        <v>0</v>
      </c>
      <c r="Y8" s="52">
        <f ca="1">Log_2019[[#This Row],[Amount]]/Log_2019[[#This Row],[Split_raw]]*MAX(0,MIN(_xlfn.DAYS(EDATE(Y$1,1),Log_2019[[#This Row],[Date]]),Log_2019[[#This Row],[Split_apply]])) - SUM($O8:X8)</f>
        <v>0</v>
      </c>
      <c r="Z8" s="52">
        <f ca="1">Log_2019[[#This Row],[Amount]]/Log_2019[[#This Row],[Split_raw]]*MAX(0,MIN(_xlfn.DAYS(EDATE(Z$1,1),Log_2019[[#This Row],[Date]]),Log_2019[[#This Row],[Split_apply]])) - SUM($O8:Y8)</f>
        <v>0</v>
      </c>
      <c r="AA8" s="52">
        <f ca="1">Log_2019[[#This Row],[Amount]]/Log_2019[[#This Row],[Split_raw]]*MAX(0,MIN(_xlfn.DAYS(EDATE(AA$1,1),Log_2019[[#This Row],[Date]]),Log_2019[[#This Row],[Split_apply]])) - SUM($O8:Z8)</f>
        <v>131.25</v>
      </c>
      <c r="AB8" s="54">
        <f ca="1">Log_2019[[#This Row],[Amount]]-SUM(O8:AA8)</f>
        <v>0</v>
      </c>
      <c r="AC8" s="7">
        <f>MAX(0,Log_2019[[#This Row],[Split_raw]] - (EDATE(AA$1,1)-Log_2019[[#This Row],[Date]]))</f>
        <v>0</v>
      </c>
    </row>
    <row r="9" spans="1:29" x14ac:dyDescent="0.25">
      <c r="A9" s="42"/>
      <c r="B9" s="34" t="s">
        <v>6</v>
      </c>
      <c r="C9" s="34"/>
      <c r="D9" s="35">
        <v>43828</v>
      </c>
      <c r="E9" s="34"/>
      <c r="F9" s="34" t="s">
        <v>820</v>
      </c>
      <c r="G9" s="34" t="s">
        <v>25</v>
      </c>
      <c r="H9">
        <v>-14.66</v>
      </c>
      <c r="I9" s="36">
        <f>IF(Log_2019[[#This Row],[My Category]]="NONTRACKED",0,Log_2019[[#This Row],[Raw Amount]])</f>
        <v>-14.66</v>
      </c>
      <c r="J9" s="37">
        <f>ABS(Log_2019[[#This Row],[Amount]])</f>
        <v>14.66</v>
      </c>
      <c r="K9" s="38">
        <v>1</v>
      </c>
      <c r="L9" s="38">
        <f ca="1">IF(Log_2019[[#This Row],[Date]]&lt;=TODAY(), MIN(Log_2019[[#This Row],[Split_raw]], TODAY()-Log_2019[[#This Row],[Date]]+1), 0)</f>
        <v>1</v>
      </c>
      <c r="M9" s="34" t="s">
        <v>35</v>
      </c>
      <c r="N9" s="34" t="s">
        <v>158</v>
      </c>
      <c r="O9" s="7">
        <v>0</v>
      </c>
      <c r="P9" s="52">
        <f ca="1">Log_2019[[#This Row],[Amount]]/Log_2019[[#This Row],[Split_raw]]*MAX(0,MIN(_xlfn.DAYS(EDATE(P$1,1),Log_2019[[#This Row],[Date]]),Log_2019[[#This Row],[Split_apply]])) - SUM($O9:O9)</f>
        <v>0</v>
      </c>
      <c r="Q9" s="52">
        <f ca="1">Log_2019[[#This Row],[Amount]]/Log_2019[[#This Row],[Split_raw]]*MAX(0,MIN(_xlfn.DAYS(EDATE(Q$1,1),Log_2019[[#This Row],[Date]]),Log_2019[[#This Row],[Split_apply]])) - SUM($O9:P9)</f>
        <v>0</v>
      </c>
      <c r="R9" s="52">
        <f ca="1">Log_2019[[#This Row],[Amount]]/Log_2019[[#This Row],[Split_raw]]*MAX(0,MIN(_xlfn.DAYS(EDATE(R$1,1),Log_2019[[#This Row],[Date]]),Log_2019[[#This Row],[Split_apply]])) - SUM($O9:Q9)</f>
        <v>0</v>
      </c>
      <c r="S9" s="52">
        <f ca="1">Log_2019[[#This Row],[Amount]]/Log_2019[[#This Row],[Split_raw]]*MAX(0,MIN(_xlfn.DAYS(EDATE(S$1,1),Log_2019[[#This Row],[Date]]),Log_2019[[#This Row],[Split_apply]])) - SUM($O9:R9)</f>
        <v>0</v>
      </c>
      <c r="T9" s="52">
        <f ca="1">Log_2019[[#This Row],[Amount]]/Log_2019[[#This Row],[Split_raw]]*MAX(0,MIN(_xlfn.DAYS(EDATE(T$1,1),Log_2019[[#This Row],[Date]]),Log_2019[[#This Row],[Split_apply]])) - SUM($O9:S9)</f>
        <v>0</v>
      </c>
      <c r="U9" s="52">
        <f ca="1">Log_2019[[#This Row],[Amount]]/Log_2019[[#This Row],[Split_raw]]*MAX(0,MIN(_xlfn.DAYS(EDATE(U$1,1),Log_2019[[#This Row],[Date]]),Log_2019[[#This Row],[Split_apply]])) - SUM($O9:T9)</f>
        <v>0</v>
      </c>
      <c r="V9" s="52">
        <f ca="1">Log_2019[[#This Row],[Amount]]/Log_2019[[#This Row],[Split_raw]]*MAX(0,MIN(_xlfn.DAYS(EDATE(V$1,1),Log_2019[[#This Row],[Date]]),Log_2019[[#This Row],[Split_apply]])) - SUM($O9:U9)</f>
        <v>0</v>
      </c>
      <c r="W9" s="52">
        <f ca="1">Log_2019[[#This Row],[Amount]]/Log_2019[[#This Row],[Split_raw]]*MAX(0,MIN(_xlfn.DAYS(EDATE(W$1,1),Log_2019[[#This Row],[Date]]),Log_2019[[#This Row],[Split_apply]])) - SUM($O9:V9)</f>
        <v>0</v>
      </c>
      <c r="X9" s="52">
        <f ca="1">Log_2019[[#This Row],[Amount]]/Log_2019[[#This Row],[Split_raw]]*MAX(0,MIN(_xlfn.DAYS(EDATE(X$1,1),Log_2019[[#This Row],[Date]]),Log_2019[[#This Row],[Split_apply]])) - SUM($O9:W9)</f>
        <v>0</v>
      </c>
      <c r="Y9" s="52">
        <f ca="1">Log_2019[[#This Row],[Amount]]/Log_2019[[#This Row],[Split_raw]]*MAX(0,MIN(_xlfn.DAYS(EDATE(Y$1,1),Log_2019[[#This Row],[Date]]),Log_2019[[#This Row],[Split_apply]])) - SUM($O9:X9)</f>
        <v>0</v>
      </c>
      <c r="Z9" s="52">
        <f ca="1">Log_2019[[#This Row],[Amount]]/Log_2019[[#This Row],[Split_raw]]*MAX(0,MIN(_xlfn.DAYS(EDATE(Z$1,1),Log_2019[[#This Row],[Date]]),Log_2019[[#This Row],[Split_apply]])) - SUM($O9:Y9)</f>
        <v>0</v>
      </c>
      <c r="AA9" s="52">
        <f ca="1">Log_2019[[#This Row],[Amount]]/Log_2019[[#This Row],[Split_raw]]*MAX(0,MIN(_xlfn.DAYS(EDATE(AA$1,1),Log_2019[[#This Row],[Date]]),Log_2019[[#This Row],[Split_apply]])) - SUM($O9:Z9)</f>
        <v>-14.66</v>
      </c>
      <c r="AB9" s="54">
        <f ca="1">Log_2019[[#This Row],[Amount]]-SUM(O9:AA9)</f>
        <v>0</v>
      </c>
      <c r="AC9" s="7">
        <f>MAX(0,Log_2019[[#This Row],[Split_raw]] - (EDATE(AA$1,1)-Log_2019[[#This Row],[Date]]))</f>
        <v>0</v>
      </c>
    </row>
    <row r="10" spans="1:29" x14ac:dyDescent="0.25">
      <c r="A10" s="42"/>
      <c r="B10" s="34" t="s">
        <v>6</v>
      </c>
      <c r="C10" s="34"/>
      <c r="D10" s="35">
        <v>43828</v>
      </c>
      <c r="E10" s="34" t="s">
        <v>851</v>
      </c>
      <c r="F10" s="34" t="s">
        <v>821</v>
      </c>
      <c r="G10" s="34" t="s">
        <v>27</v>
      </c>
      <c r="H10">
        <v>-30</v>
      </c>
      <c r="I10" s="36">
        <f>IF(Log_2019[[#This Row],[My Category]]="NONTRACKED",0,Log_2019[[#This Row],[Raw Amount]])</f>
        <v>-30</v>
      </c>
      <c r="J10" s="37">
        <f>ABS(Log_2019[[#This Row],[Amount]])</f>
        <v>30</v>
      </c>
      <c r="K10" s="38">
        <v>1</v>
      </c>
      <c r="L10" s="38">
        <f ca="1">IF(Log_2019[[#This Row],[Date]]&lt;=TODAY(), MIN(Log_2019[[#This Row],[Split_raw]], TODAY()-Log_2019[[#This Row],[Date]]+1), 0)</f>
        <v>1</v>
      </c>
      <c r="M10" s="34" t="s">
        <v>42</v>
      </c>
      <c r="N10" s="34" t="s">
        <v>158</v>
      </c>
      <c r="O10" s="7">
        <v>0</v>
      </c>
      <c r="P10" s="52">
        <f ca="1">Log_2019[[#This Row],[Amount]]/Log_2019[[#This Row],[Split_raw]]*MAX(0,MIN(_xlfn.DAYS(EDATE(P$1,1),Log_2019[[#This Row],[Date]]),Log_2019[[#This Row],[Split_apply]])) - SUM($O10:O10)</f>
        <v>0</v>
      </c>
      <c r="Q10" s="52">
        <f ca="1">Log_2019[[#This Row],[Amount]]/Log_2019[[#This Row],[Split_raw]]*MAX(0,MIN(_xlfn.DAYS(EDATE(Q$1,1),Log_2019[[#This Row],[Date]]),Log_2019[[#This Row],[Split_apply]])) - SUM($O10:P10)</f>
        <v>0</v>
      </c>
      <c r="R10" s="52">
        <f ca="1">Log_2019[[#This Row],[Amount]]/Log_2019[[#This Row],[Split_raw]]*MAX(0,MIN(_xlfn.DAYS(EDATE(R$1,1),Log_2019[[#This Row],[Date]]),Log_2019[[#This Row],[Split_apply]])) - SUM($O10:Q10)</f>
        <v>0</v>
      </c>
      <c r="S10" s="52">
        <f ca="1">Log_2019[[#This Row],[Amount]]/Log_2019[[#This Row],[Split_raw]]*MAX(0,MIN(_xlfn.DAYS(EDATE(S$1,1),Log_2019[[#This Row],[Date]]),Log_2019[[#This Row],[Split_apply]])) - SUM($O10:R10)</f>
        <v>0</v>
      </c>
      <c r="T10" s="52">
        <f ca="1">Log_2019[[#This Row],[Amount]]/Log_2019[[#This Row],[Split_raw]]*MAX(0,MIN(_xlfn.DAYS(EDATE(T$1,1),Log_2019[[#This Row],[Date]]),Log_2019[[#This Row],[Split_apply]])) - SUM($O10:S10)</f>
        <v>0</v>
      </c>
      <c r="U10" s="52">
        <f ca="1">Log_2019[[#This Row],[Amount]]/Log_2019[[#This Row],[Split_raw]]*MAX(0,MIN(_xlfn.DAYS(EDATE(U$1,1),Log_2019[[#This Row],[Date]]),Log_2019[[#This Row],[Split_apply]])) - SUM($O10:T10)</f>
        <v>0</v>
      </c>
      <c r="V10" s="52">
        <f ca="1">Log_2019[[#This Row],[Amount]]/Log_2019[[#This Row],[Split_raw]]*MAX(0,MIN(_xlfn.DAYS(EDATE(V$1,1),Log_2019[[#This Row],[Date]]),Log_2019[[#This Row],[Split_apply]])) - SUM($O10:U10)</f>
        <v>0</v>
      </c>
      <c r="W10" s="52">
        <f ca="1">Log_2019[[#This Row],[Amount]]/Log_2019[[#This Row],[Split_raw]]*MAX(0,MIN(_xlfn.DAYS(EDATE(W$1,1),Log_2019[[#This Row],[Date]]),Log_2019[[#This Row],[Split_apply]])) - SUM($O10:V10)</f>
        <v>0</v>
      </c>
      <c r="X10" s="52">
        <f ca="1">Log_2019[[#This Row],[Amount]]/Log_2019[[#This Row],[Split_raw]]*MAX(0,MIN(_xlfn.DAYS(EDATE(X$1,1),Log_2019[[#This Row],[Date]]),Log_2019[[#This Row],[Split_apply]])) - SUM($O10:W10)</f>
        <v>0</v>
      </c>
      <c r="Y10" s="52">
        <f ca="1">Log_2019[[#This Row],[Amount]]/Log_2019[[#This Row],[Split_raw]]*MAX(0,MIN(_xlfn.DAYS(EDATE(Y$1,1),Log_2019[[#This Row],[Date]]),Log_2019[[#This Row],[Split_apply]])) - SUM($O10:X10)</f>
        <v>0</v>
      </c>
      <c r="Z10" s="52">
        <f ca="1">Log_2019[[#This Row],[Amount]]/Log_2019[[#This Row],[Split_raw]]*MAX(0,MIN(_xlfn.DAYS(EDATE(Z$1,1),Log_2019[[#This Row],[Date]]),Log_2019[[#This Row],[Split_apply]])) - SUM($O10:Y10)</f>
        <v>0</v>
      </c>
      <c r="AA10" s="52">
        <f ca="1">Log_2019[[#This Row],[Amount]]/Log_2019[[#This Row],[Split_raw]]*MAX(0,MIN(_xlfn.DAYS(EDATE(AA$1,1),Log_2019[[#This Row],[Date]]),Log_2019[[#This Row],[Split_apply]])) - SUM($O10:Z10)</f>
        <v>-30</v>
      </c>
      <c r="AB10" s="54">
        <f ca="1">Log_2019[[#This Row],[Amount]]-SUM(O10:AA10)</f>
        <v>0</v>
      </c>
      <c r="AC10" s="7">
        <f>MAX(0,Log_2019[[#This Row],[Split_raw]] - (EDATE(AA$1,1)-Log_2019[[#This Row],[Date]]))</f>
        <v>0</v>
      </c>
    </row>
    <row r="11" spans="1:29" x14ac:dyDescent="0.25">
      <c r="A11" s="42"/>
      <c r="B11" s="34" t="s">
        <v>6</v>
      </c>
      <c r="C11" s="34"/>
      <c r="D11" s="35">
        <v>43827</v>
      </c>
      <c r="E11" s="34"/>
      <c r="F11" s="34" t="s">
        <v>105</v>
      </c>
      <c r="G11" s="34" t="s">
        <v>104</v>
      </c>
      <c r="H11">
        <f>--1103.28</f>
        <v>1103.28</v>
      </c>
      <c r="I11" s="36">
        <f>IF(Log_2019[[#This Row],[My Category]]="NONTRACKED",0,Log_2019[[#This Row],[Raw Amount]])</f>
        <v>1103.28</v>
      </c>
      <c r="J11" s="37">
        <f>ABS(Log_2019[[#This Row],[Amount]])</f>
        <v>1103.28</v>
      </c>
      <c r="K11" s="38">
        <v>1</v>
      </c>
      <c r="L11" s="38">
        <f ca="1">IF(Log_2019[[#This Row],[Date]]&lt;=TODAY(), MIN(Log_2019[[#This Row],[Split_raw]], TODAY()-Log_2019[[#This Row],[Date]]+1), 0)</f>
        <v>1</v>
      </c>
      <c r="M11" s="34" t="s">
        <v>159</v>
      </c>
      <c r="N11" s="34" t="s">
        <v>158</v>
      </c>
      <c r="O11" s="7">
        <v>0</v>
      </c>
      <c r="P11" s="52">
        <f ca="1">Log_2019[[#This Row],[Amount]]/Log_2019[[#This Row],[Split_raw]]*MAX(0,MIN(_xlfn.DAYS(EDATE(P$1,1),Log_2019[[#This Row],[Date]]),Log_2019[[#This Row],[Split_apply]])) - SUM($O11:O11)</f>
        <v>0</v>
      </c>
      <c r="Q11" s="52">
        <f ca="1">Log_2019[[#This Row],[Amount]]/Log_2019[[#This Row],[Split_raw]]*MAX(0,MIN(_xlfn.DAYS(EDATE(Q$1,1),Log_2019[[#This Row],[Date]]),Log_2019[[#This Row],[Split_apply]])) - SUM($O11:P11)</f>
        <v>0</v>
      </c>
      <c r="R11" s="52">
        <f ca="1">Log_2019[[#This Row],[Amount]]/Log_2019[[#This Row],[Split_raw]]*MAX(0,MIN(_xlfn.DAYS(EDATE(R$1,1),Log_2019[[#This Row],[Date]]),Log_2019[[#This Row],[Split_apply]])) - SUM($O11:Q11)</f>
        <v>0</v>
      </c>
      <c r="S11" s="52">
        <f ca="1">Log_2019[[#This Row],[Amount]]/Log_2019[[#This Row],[Split_raw]]*MAX(0,MIN(_xlfn.DAYS(EDATE(S$1,1),Log_2019[[#This Row],[Date]]),Log_2019[[#This Row],[Split_apply]])) - SUM($O11:R11)</f>
        <v>0</v>
      </c>
      <c r="T11" s="52">
        <f ca="1">Log_2019[[#This Row],[Amount]]/Log_2019[[#This Row],[Split_raw]]*MAX(0,MIN(_xlfn.DAYS(EDATE(T$1,1),Log_2019[[#This Row],[Date]]),Log_2019[[#This Row],[Split_apply]])) - SUM($O11:S11)</f>
        <v>0</v>
      </c>
      <c r="U11" s="52">
        <f ca="1">Log_2019[[#This Row],[Amount]]/Log_2019[[#This Row],[Split_raw]]*MAX(0,MIN(_xlfn.DAYS(EDATE(U$1,1),Log_2019[[#This Row],[Date]]),Log_2019[[#This Row],[Split_apply]])) - SUM($O11:T11)</f>
        <v>0</v>
      </c>
      <c r="V11" s="52">
        <f ca="1">Log_2019[[#This Row],[Amount]]/Log_2019[[#This Row],[Split_raw]]*MAX(0,MIN(_xlfn.DAYS(EDATE(V$1,1),Log_2019[[#This Row],[Date]]),Log_2019[[#This Row],[Split_apply]])) - SUM($O11:U11)</f>
        <v>0</v>
      </c>
      <c r="W11" s="52">
        <f ca="1">Log_2019[[#This Row],[Amount]]/Log_2019[[#This Row],[Split_raw]]*MAX(0,MIN(_xlfn.DAYS(EDATE(W$1,1),Log_2019[[#This Row],[Date]]),Log_2019[[#This Row],[Split_apply]])) - SUM($O11:V11)</f>
        <v>0</v>
      </c>
      <c r="X11" s="52">
        <f ca="1">Log_2019[[#This Row],[Amount]]/Log_2019[[#This Row],[Split_raw]]*MAX(0,MIN(_xlfn.DAYS(EDATE(X$1,1),Log_2019[[#This Row],[Date]]),Log_2019[[#This Row],[Split_apply]])) - SUM($O11:W11)</f>
        <v>0</v>
      </c>
      <c r="Y11" s="52">
        <f ca="1">Log_2019[[#This Row],[Amount]]/Log_2019[[#This Row],[Split_raw]]*MAX(0,MIN(_xlfn.DAYS(EDATE(Y$1,1),Log_2019[[#This Row],[Date]]),Log_2019[[#This Row],[Split_apply]])) - SUM($O11:X11)</f>
        <v>0</v>
      </c>
      <c r="Z11" s="52">
        <f ca="1">Log_2019[[#This Row],[Amount]]/Log_2019[[#This Row],[Split_raw]]*MAX(0,MIN(_xlfn.DAYS(EDATE(Z$1,1),Log_2019[[#This Row],[Date]]),Log_2019[[#This Row],[Split_apply]])) - SUM($O11:Y11)</f>
        <v>0</v>
      </c>
      <c r="AA11" s="52">
        <f ca="1">Log_2019[[#This Row],[Amount]]/Log_2019[[#This Row],[Split_raw]]*MAX(0,MIN(_xlfn.DAYS(EDATE(AA$1,1),Log_2019[[#This Row],[Date]]),Log_2019[[#This Row],[Split_apply]])) - SUM($O11:Z11)</f>
        <v>1103.28</v>
      </c>
      <c r="AB11" s="54">
        <f ca="1">Log_2019[[#This Row],[Amount]]-SUM(O11:AA11)</f>
        <v>0</v>
      </c>
      <c r="AC11" s="7">
        <f>MAX(0,Log_2019[[#This Row],[Split_raw]] - (EDATE(AA$1,1)-Log_2019[[#This Row],[Date]]))</f>
        <v>0</v>
      </c>
    </row>
    <row r="12" spans="1:29" x14ac:dyDescent="0.25">
      <c r="A12" s="42"/>
      <c r="B12" s="34" t="s">
        <v>6</v>
      </c>
      <c r="C12" s="34"/>
      <c r="D12" s="35">
        <v>43827</v>
      </c>
      <c r="E12" s="34"/>
      <c r="F12" s="34" t="s">
        <v>822</v>
      </c>
      <c r="G12" s="34" t="s">
        <v>25</v>
      </c>
      <c r="H12">
        <v>-12.75</v>
      </c>
      <c r="I12" s="36">
        <f>IF(Log_2019[[#This Row],[My Category]]="NONTRACKED",0,Log_2019[[#This Row],[Raw Amount]])</f>
        <v>-12.75</v>
      </c>
      <c r="J12" s="37">
        <f>ABS(Log_2019[[#This Row],[Amount]])</f>
        <v>12.75</v>
      </c>
      <c r="K12" s="38">
        <v>1</v>
      </c>
      <c r="L12" s="38">
        <f ca="1">IF(Log_2019[[#This Row],[Date]]&lt;=TODAY(), MIN(Log_2019[[#This Row],[Split_raw]], TODAY()-Log_2019[[#This Row],[Date]]+1), 0)</f>
        <v>1</v>
      </c>
      <c r="M12" s="34" t="s">
        <v>35</v>
      </c>
      <c r="N12" s="34" t="s">
        <v>158</v>
      </c>
      <c r="O12" s="7">
        <v>0</v>
      </c>
      <c r="P12" s="52">
        <f ca="1">Log_2019[[#This Row],[Amount]]/Log_2019[[#This Row],[Split_raw]]*MAX(0,MIN(_xlfn.DAYS(EDATE(P$1,1),Log_2019[[#This Row],[Date]]),Log_2019[[#This Row],[Split_apply]])) - SUM($O12:O12)</f>
        <v>0</v>
      </c>
      <c r="Q12" s="52">
        <f ca="1">Log_2019[[#This Row],[Amount]]/Log_2019[[#This Row],[Split_raw]]*MAX(0,MIN(_xlfn.DAYS(EDATE(Q$1,1),Log_2019[[#This Row],[Date]]),Log_2019[[#This Row],[Split_apply]])) - SUM($O12:P12)</f>
        <v>0</v>
      </c>
      <c r="R12" s="52">
        <f ca="1">Log_2019[[#This Row],[Amount]]/Log_2019[[#This Row],[Split_raw]]*MAX(0,MIN(_xlfn.DAYS(EDATE(R$1,1),Log_2019[[#This Row],[Date]]),Log_2019[[#This Row],[Split_apply]])) - SUM($O12:Q12)</f>
        <v>0</v>
      </c>
      <c r="S12" s="52">
        <f ca="1">Log_2019[[#This Row],[Amount]]/Log_2019[[#This Row],[Split_raw]]*MAX(0,MIN(_xlfn.DAYS(EDATE(S$1,1),Log_2019[[#This Row],[Date]]),Log_2019[[#This Row],[Split_apply]])) - SUM($O12:R12)</f>
        <v>0</v>
      </c>
      <c r="T12" s="52">
        <f ca="1">Log_2019[[#This Row],[Amount]]/Log_2019[[#This Row],[Split_raw]]*MAX(0,MIN(_xlfn.DAYS(EDATE(T$1,1),Log_2019[[#This Row],[Date]]),Log_2019[[#This Row],[Split_apply]])) - SUM($O12:S12)</f>
        <v>0</v>
      </c>
      <c r="U12" s="52">
        <f ca="1">Log_2019[[#This Row],[Amount]]/Log_2019[[#This Row],[Split_raw]]*MAX(0,MIN(_xlfn.DAYS(EDATE(U$1,1),Log_2019[[#This Row],[Date]]),Log_2019[[#This Row],[Split_apply]])) - SUM($O12:T12)</f>
        <v>0</v>
      </c>
      <c r="V12" s="52">
        <f ca="1">Log_2019[[#This Row],[Amount]]/Log_2019[[#This Row],[Split_raw]]*MAX(0,MIN(_xlfn.DAYS(EDATE(V$1,1),Log_2019[[#This Row],[Date]]),Log_2019[[#This Row],[Split_apply]])) - SUM($O12:U12)</f>
        <v>0</v>
      </c>
      <c r="W12" s="52">
        <f ca="1">Log_2019[[#This Row],[Amount]]/Log_2019[[#This Row],[Split_raw]]*MAX(0,MIN(_xlfn.DAYS(EDATE(W$1,1),Log_2019[[#This Row],[Date]]),Log_2019[[#This Row],[Split_apply]])) - SUM($O12:V12)</f>
        <v>0</v>
      </c>
      <c r="X12" s="52">
        <f ca="1">Log_2019[[#This Row],[Amount]]/Log_2019[[#This Row],[Split_raw]]*MAX(0,MIN(_xlfn.DAYS(EDATE(X$1,1),Log_2019[[#This Row],[Date]]),Log_2019[[#This Row],[Split_apply]])) - SUM($O12:W12)</f>
        <v>0</v>
      </c>
      <c r="Y12" s="52">
        <f ca="1">Log_2019[[#This Row],[Amount]]/Log_2019[[#This Row],[Split_raw]]*MAX(0,MIN(_xlfn.DAYS(EDATE(Y$1,1),Log_2019[[#This Row],[Date]]),Log_2019[[#This Row],[Split_apply]])) - SUM($O12:X12)</f>
        <v>0</v>
      </c>
      <c r="Z12" s="52">
        <f ca="1">Log_2019[[#This Row],[Amount]]/Log_2019[[#This Row],[Split_raw]]*MAX(0,MIN(_xlfn.DAYS(EDATE(Z$1,1),Log_2019[[#This Row],[Date]]),Log_2019[[#This Row],[Split_apply]])) - SUM($O12:Y12)</f>
        <v>0</v>
      </c>
      <c r="AA12" s="52">
        <f ca="1">Log_2019[[#This Row],[Amount]]/Log_2019[[#This Row],[Split_raw]]*MAX(0,MIN(_xlfn.DAYS(EDATE(AA$1,1),Log_2019[[#This Row],[Date]]),Log_2019[[#This Row],[Split_apply]])) - SUM($O12:Z12)</f>
        <v>-12.75</v>
      </c>
      <c r="AB12" s="54">
        <f ca="1">Log_2019[[#This Row],[Amount]]-SUM(O12:AA12)</f>
        <v>0</v>
      </c>
      <c r="AC12" s="7">
        <f>MAX(0,Log_2019[[#This Row],[Split_raw]] - (EDATE(AA$1,1)-Log_2019[[#This Row],[Date]]))</f>
        <v>0</v>
      </c>
    </row>
    <row r="13" spans="1:29" x14ac:dyDescent="0.25">
      <c r="A13" s="42"/>
      <c r="B13" s="34" t="s">
        <v>6</v>
      </c>
      <c r="C13" s="34"/>
      <c r="D13" s="35">
        <v>43824</v>
      </c>
      <c r="E13" s="34"/>
      <c r="F13" s="34" t="s">
        <v>658</v>
      </c>
      <c r="G13" s="34" t="s">
        <v>9</v>
      </c>
      <c r="H13">
        <v>-17.66</v>
      </c>
      <c r="I13" s="36">
        <f>IF(Log_2019[[#This Row],[My Category]]="NONTRACKED",0,Log_2019[[#This Row],[Raw Amount]])</f>
        <v>-17.66</v>
      </c>
      <c r="J13" s="37">
        <f>ABS(Log_2019[[#This Row],[Amount]])</f>
        <v>17.66</v>
      </c>
      <c r="K13" s="38">
        <v>1</v>
      </c>
      <c r="L13" s="38">
        <f ca="1">IF(Log_2019[[#This Row],[Date]]&lt;=TODAY(), MIN(Log_2019[[#This Row],[Split_raw]], TODAY()-Log_2019[[#This Row],[Date]]+1), 0)</f>
        <v>1</v>
      </c>
      <c r="M13" s="34" t="s">
        <v>40</v>
      </c>
      <c r="N13" s="34" t="s">
        <v>158</v>
      </c>
      <c r="O13" s="7">
        <v>0</v>
      </c>
      <c r="P13" s="52">
        <f ca="1">Log_2019[[#This Row],[Amount]]/Log_2019[[#This Row],[Split_raw]]*MAX(0,MIN(_xlfn.DAYS(EDATE(P$1,1),Log_2019[[#This Row],[Date]]),Log_2019[[#This Row],[Split_apply]])) - SUM($O13:O13)</f>
        <v>0</v>
      </c>
      <c r="Q13" s="52">
        <f ca="1">Log_2019[[#This Row],[Amount]]/Log_2019[[#This Row],[Split_raw]]*MAX(0,MIN(_xlfn.DAYS(EDATE(Q$1,1),Log_2019[[#This Row],[Date]]),Log_2019[[#This Row],[Split_apply]])) - SUM($O13:P13)</f>
        <v>0</v>
      </c>
      <c r="R13" s="52">
        <f ca="1">Log_2019[[#This Row],[Amount]]/Log_2019[[#This Row],[Split_raw]]*MAX(0,MIN(_xlfn.DAYS(EDATE(R$1,1),Log_2019[[#This Row],[Date]]),Log_2019[[#This Row],[Split_apply]])) - SUM($O13:Q13)</f>
        <v>0</v>
      </c>
      <c r="S13" s="52">
        <f ca="1">Log_2019[[#This Row],[Amount]]/Log_2019[[#This Row],[Split_raw]]*MAX(0,MIN(_xlfn.DAYS(EDATE(S$1,1),Log_2019[[#This Row],[Date]]),Log_2019[[#This Row],[Split_apply]])) - SUM($O13:R13)</f>
        <v>0</v>
      </c>
      <c r="T13" s="52">
        <f ca="1">Log_2019[[#This Row],[Amount]]/Log_2019[[#This Row],[Split_raw]]*MAX(0,MIN(_xlfn.DAYS(EDATE(T$1,1),Log_2019[[#This Row],[Date]]),Log_2019[[#This Row],[Split_apply]])) - SUM($O13:S13)</f>
        <v>0</v>
      </c>
      <c r="U13" s="52">
        <f ca="1">Log_2019[[#This Row],[Amount]]/Log_2019[[#This Row],[Split_raw]]*MAX(0,MIN(_xlfn.DAYS(EDATE(U$1,1),Log_2019[[#This Row],[Date]]),Log_2019[[#This Row],[Split_apply]])) - SUM($O13:T13)</f>
        <v>0</v>
      </c>
      <c r="V13" s="52">
        <f ca="1">Log_2019[[#This Row],[Amount]]/Log_2019[[#This Row],[Split_raw]]*MAX(0,MIN(_xlfn.DAYS(EDATE(V$1,1),Log_2019[[#This Row],[Date]]),Log_2019[[#This Row],[Split_apply]])) - SUM($O13:U13)</f>
        <v>0</v>
      </c>
      <c r="W13" s="52">
        <f ca="1">Log_2019[[#This Row],[Amount]]/Log_2019[[#This Row],[Split_raw]]*MAX(0,MIN(_xlfn.DAYS(EDATE(W$1,1),Log_2019[[#This Row],[Date]]),Log_2019[[#This Row],[Split_apply]])) - SUM($O13:V13)</f>
        <v>0</v>
      </c>
      <c r="X13" s="52">
        <f ca="1">Log_2019[[#This Row],[Amount]]/Log_2019[[#This Row],[Split_raw]]*MAX(0,MIN(_xlfn.DAYS(EDATE(X$1,1),Log_2019[[#This Row],[Date]]),Log_2019[[#This Row],[Split_apply]])) - SUM($O13:W13)</f>
        <v>0</v>
      </c>
      <c r="Y13" s="52">
        <f ca="1">Log_2019[[#This Row],[Amount]]/Log_2019[[#This Row],[Split_raw]]*MAX(0,MIN(_xlfn.DAYS(EDATE(Y$1,1),Log_2019[[#This Row],[Date]]),Log_2019[[#This Row],[Split_apply]])) - SUM($O13:X13)</f>
        <v>0</v>
      </c>
      <c r="Z13" s="52">
        <f ca="1">Log_2019[[#This Row],[Amount]]/Log_2019[[#This Row],[Split_raw]]*MAX(0,MIN(_xlfn.DAYS(EDATE(Z$1,1),Log_2019[[#This Row],[Date]]),Log_2019[[#This Row],[Split_apply]])) - SUM($O13:Y13)</f>
        <v>0</v>
      </c>
      <c r="AA13" s="52">
        <f ca="1">Log_2019[[#This Row],[Amount]]/Log_2019[[#This Row],[Split_raw]]*MAX(0,MIN(_xlfn.DAYS(EDATE(AA$1,1),Log_2019[[#This Row],[Date]]),Log_2019[[#This Row],[Split_apply]])) - SUM($O13:Z13)</f>
        <v>-17.66</v>
      </c>
      <c r="AB13" s="54">
        <f ca="1">Log_2019[[#This Row],[Amount]]-SUM(O13:AA13)</f>
        <v>0</v>
      </c>
      <c r="AC13" s="7">
        <f>MAX(0,Log_2019[[#This Row],[Split_raw]] - (EDATE(AA$1,1)-Log_2019[[#This Row],[Date]]))</f>
        <v>0</v>
      </c>
    </row>
    <row r="14" spans="1:29" x14ac:dyDescent="0.25">
      <c r="A14" s="42"/>
      <c r="B14" s="34" t="s">
        <v>6</v>
      </c>
      <c r="C14" s="34"/>
      <c r="D14" s="35">
        <v>43823</v>
      </c>
      <c r="E14" s="34" t="s">
        <v>849</v>
      </c>
      <c r="F14" s="34" t="s">
        <v>823</v>
      </c>
      <c r="G14" s="34" t="s">
        <v>214</v>
      </c>
      <c r="H14">
        <v>-39</v>
      </c>
      <c r="I14" s="36">
        <f>IF(Log_2019[[#This Row],[My Category]]="NONTRACKED",0,Log_2019[[#This Row],[Raw Amount]])</f>
        <v>-39</v>
      </c>
      <c r="J14" s="37">
        <f>ABS(Log_2019[[#This Row],[Amount]])</f>
        <v>39</v>
      </c>
      <c r="K14" s="38">
        <v>1</v>
      </c>
      <c r="L14" s="38">
        <f ca="1">IF(Log_2019[[#This Row],[Date]]&lt;=TODAY(), MIN(Log_2019[[#This Row],[Split_raw]], TODAY()-Log_2019[[#This Row],[Date]]+1), 0)</f>
        <v>1</v>
      </c>
      <c r="M14" s="34" t="s">
        <v>147</v>
      </c>
      <c r="N14" s="34" t="s">
        <v>158</v>
      </c>
      <c r="O14" s="7">
        <v>0</v>
      </c>
      <c r="P14" s="52">
        <f ca="1">Log_2019[[#This Row],[Amount]]/Log_2019[[#This Row],[Split_raw]]*MAX(0,MIN(_xlfn.DAYS(EDATE(P$1,1),Log_2019[[#This Row],[Date]]),Log_2019[[#This Row],[Split_apply]])) - SUM($O14:O14)</f>
        <v>0</v>
      </c>
      <c r="Q14" s="52">
        <f ca="1">Log_2019[[#This Row],[Amount]]/Log_2019[[#This Row],[Split_raw]]*MAX(0,MIN(_xlfn.DAYS(EDATE(Q$1,1),Log_2019[[#This Row],[Date]]),Log_2019[[#This Row],[Split_apply]])) - SUM($O14:P14)</f>
        <v>0</v>
      </c>
      <c r="R14" s="52">
        <f ca="1">Log_2019[[#This Row],[Amount]]/Log_2019[[#This Row],[Split_raw]]*MAX(0,MIN(_xlfn.DAYS(EDATE(R$1,1),Log_2019[[#This Row],[Date]]),Log_2019[[#This Row],[Split_apply]])) - SUM($O14:Q14)</f>
        <v>0</v>
      </c>
      <c r="S14" s="52">
        <f ca="1">Log_2019[[#This Row],[Amount]]/Log_2019[[#This Row],[Split_raw]]*MAX(0,MIN(_xlfn.DAYS(EDATE(S$1,1),Log_2019[[#This Row],[Date]]),Log_2019[[#This Row],[Split_apply]])) - SUM($O14:R14)</f>
        <v>0</v>
      </c>
      <c r="T14" s="52">
        <f ca="1">Log_2019[[#This Row],[Amount]]/Log_2019[[#This Row],[Split_raw]]*MAX(0,MIN(_xlfn.DAYS(EDATE(T$1,1),Log_2019[[#This Row],[Date]]),Log_2019[[#This Row],[Split_apply]])) - SUM($O14:S14)</f>
        <v>0</v>
      </c>
      <c r="U14" s="52">
        <f ca="1">Log_2019[[#This Row],[Amount]]/Log_2019[[#This Row],[Split_raw]]*MAX(0,MIN(_xlfn.DAYS(EDATE(U$1,1),Log_2019[[#This Row],[Date]]),Log_2019[[#This Row],[Split_apply]])) - SUM($O14:T14)</f>
        <v>0</v>
      </c>
      <c r="V14" s="52">
        <f ca="1">Log_2019[[#This Row],[Amount]]/Log_2019[[#This Row],[Split_raw]]*MAX(0,MIN(_xlfn.DAYS(EDATE(V$1,1),Log_2019[[#This Row],[Date]]),Log_2019[[#This Row],[Split_apply]])) - SUM($O14:U14)</f>
        <v>0</v>
      </c>
      <c r="W14" s="52">
        <f ca="1">Log_2019[[#This Row],[Amount]]/Log_2019[[#This Row],[Split_raw]]*MAX(0,MIN(_xlfn.DAYS(EDATE(W$1,1),Log_2019[[#This Row],[Date]]),Log_2019[[#This Row],[Split_apply]])) - SUM($O14:V14)</f>
        <v>0</v>
      </c>
      <c r="X14" s="52">
        <f ca="1">Log_2019[[#This Row],[Amount]]/Log_2019[[#This Row],[Split_raw]]*MAX(0,MIN(_xlfn.DAYS(EDATE(X$1,1),Log_2019[[#This Row],[Date]]),Log_2019[[#This Row],[Split_apply]])) - SUM($O14:W14)</f>
        <v>0</v>
      </c>
      <c r="Y14" s="52">
        <f ca="1">Log_2019[[#This Row],[Amount]]/Log_2019[[#This Row],[Split_raw]]*MAX(0,MIN(_xlfn.DAYS(EDATE(Y$1,1),Log_2019[[#This Row],[Date]]),Log_2019[[#This Row],[Split_apply]])) - SUM($O14:X14)</f>
        <v>0</v>
      </c>
      <c r="Z14" s="52">
        <f ca="1">Log_2019[[#This Row],[Amount]]/Log_2019[[#This Row],[Split_raw]]*MAX(0,MIN(_xlfn.DAYS(EDATE(Z$1,1),Log_2019[[#This Row],[Date]]),Log_2019[[#This Row],[Split_apply]])) - SUM($O14:Y14)</f>
        <v>0</v>
      </c>
      <c r="AA14" s="52">
        <f ca="1">Log_2019[[#This Row],[Amount]]/Log_2019[[#This Row],[Split_raw]]*MAX(0,MIN(_xlfn.DAYS(EDATE(AA$1,1),Log_2019[[#This Row],[Date]]),Log_2019[[#This Row],[Split_apply]])) - SUM($O14:Z14)</f>
        <v>-39</v>
      </c>
      <c r="AB14" s="54">
        <f ca="1">Log_2019[[#This Row],[Amount]]-SUM(O14:AA14)</f>
        <v>0</v>
      </c>
      <c r="AC14" s="7">
        <f>MAX(0,Log_2019[[#This Row],[Split_raw]] - (EDATE(AA$1,1)-Log_2019[[#This Row],[Date]]))</f>
        <v>0</v>
      </c>
    </row>
    <row r="15" spans="1:29" x14ac:dyDescent="0.25">
      <c r="A15" s="42"/>
      <c r="B15" s="34" t="s">
        <v>6</v>
      </c>
      <c r="C15" s="34"/>
      <c r="D15" s="35">
        <v>43822</v>
      </c>
      <c r="E15" s="34"/>
      <c r="F15" s="34" t="s">
        <v>581</v>
      </c>
      <c r="G15" s="34" t="s">
        <v>582</v>
      </c>
      <c r="H15">
        <v>-52.95</v>
      </c>
      <c r="I15" s="36">
        <f>IF(Log_2019[[#This Row],[My Category]]="NONTRACKED",0,Log_2019[[#This Row],[Raw Amount]])</f>
        <v>-52.95</v>
      </c>
      <c r="J15" s="37">
        <f>ABS(Log_2019[[#This Row],[Amount]])</f>
        <v>52.95</v>
      </c>
      <c r="K15" s="38">
        <v>30</v>
      </c>
      <c r="L15" s="38">
        <f ca="1">IF(Log_2019[[#This Row],[Date]]&lt;=TODAY(), MIN(Log_2019[[#This Row],[Split_raw]], TODAY()-Log_2019[[#This Row],[Date]]+1), 0)</f>
        <v>30</v>
      </c>
      <c r="M15" s="34" t="s">
        <v>30</v>
      </c>
      <c r="N15" s="34" t="s">
        <v>160</v>
      </c>
      <c r="O15" s="7">
        <v>0</v>
      </c>
      <c r="P15" s="52">
        <f ca="1">Log_2019[[#This Row],[Amount]]/Log_2019[[#This Row],[Split_raw]]*MAX(0,MIN(_xlfn.DAYS(EDATE(P$1,1),Log_2019[[#This Row],[Date]]),Log_2019[[#This Row],[Split_apply]])) - SUM($O15:O15)</f>
        <v>0</v>
      </c>
      <c r="Q15" s="52">
        <f ca="1">Log_2019[[#This Row],[Amount]]/Log_2019[[#This Row],[Split_raw]]*MAX(0,MIN(_xlfn.DAYS(EDATE(Q$1,1),Log_2019[[#This Row],[Date]]),Log_2019[[#This Row],[Split_apply]])) - SUM($O15:P15)</f>
        <v>0</v>
      </c>
      <c r="R15" s="52">
        <f ca="1">Log_2019[[#This Row],[Amount]]/Log_2019[[#This Row],[Split_raw]]*MAX(0,MIN(_xlfn.DAYS(EDATE(R$1,1),Log_2019[[#This Row],[Date]]),Log_2019[[#This Row],[Split_apply]])) - SUM($O15:Q15)</f>
        <v>0</v>
      </c>
      <c r="S15" s="52">
        <f ca="1">Log_2019[[#This Row],[Amount]]/Log_2019[[#This Row],[Split_raw]]*MAX(0,MIN(_xlfn.DAYS(EDATE(S$1,1),Log_2019[[#This Row],[Date]]),Log_2019[[#This Row],[Split_apply]])) - SUM($O15:R15)</f>
        <v>0</v>
      </c>
      <c r="T15" s="52">
        <f ca="1">Log_2019[[#This Row],[Amount]]/Log_2019[[#This Row],[Split_raw]]*MAX(0,MIN(_xlfn.DAYS(EDATE(T$1,1),Log_2019[[#This Row],[Date]]),Log_2019[[#This Row],[Split_apply]])) - SUM($O15:S15)</f>
        <v>0</v>
      </c>
      <c r="U15" s="52">
        <f ca="1">Log_2019[[#This Row],[Amount]]/Log_2019[[#This Row],[Split_raw]]*MAX(0,MIN(_xlfn.DAYS(EDATE(U$1,1),Log_2019[[#This Row],[Date]]),Log_2019[[#This Row],[Split_apply]])) - SUM($O15:T15)</f>
        <v>0</v>
      </c>
      <c r="V15" s="52">
        <f ca="1">Log_2019[[#This Row],[Amount]]/Log_2019[[#This Row],[Split_raw]]*MAX(0,MIN(_xlfn.DAYS(EDATE(V$1,1),Log_2019[[#This Row],[Date]]),Log_2019[[#This Row],[Split_apply]])) - SUM($O15:U15)</f>
        <v>0</v>
      </c>
      <c r="W15" s="52">
        <f ca="1">Log_2019[[#This Row],[Amount]]/Log_2019[[#This Row],[Split_raw]]*MAX(0,MIN(_xlfn.DAYS(EDATE(W$1,1),Log_2019[[#This Row],[Date]]),Log_2019[[#This Row],[Split_apply]])) - SUM($O15:V15)</f>
        <v>0</v>
      </c>
      <c r="X15" s="52">
        <f ca="1">Log_2019[[#This Row],[Amount]]/Log_2019[[#This Row],[Split_raw]]*MAX(0,MIN(_xlfn.DAYS(EDATE(X$1,1),Log_2019[[#This Row],[Date]]),Log_2019[[#This Row],[Split_apply]])) - SUM($O15:W15)</f>
        <v>0</v>
      </c>
      <c r="Y15" s="52">
        <f ca="1">Log_2019[[#This Row],[Amount]]/Log_2019[[#This Row],[Split_raw]]*MAX(0,MIN(_xlfn.DAYS(EDATE(Y$1,1),Log_2019[[#This Row],[Date]]),Log_2019[[#This Row],[Split_apply]])) - SUM($O15:X15)</f>
        <v>0</v>
      </c>
      <c r="Z15" s="52">
        <f ca="1">Log_2019[[#This Row],[Amount]]/Log_2019[[#This Row],[Split_raw]]*MAX(0,MIN(_xlfn.DAYS(EDATE(Z$1,1),Log_2019[[#This Row],[Date]]),Log_2019[[#This Row],[Split_apply]])) - SUM($O15:Y15)</f>
        <v>0</v>
      </c>
      <c r="AA15" s="52">
        <f ca="1">Log_2019[[#This Row],[Amount]]/Log_2019[[#This Row],[Split_raw]]*MAX(0,MIN(_xlfn.DAYS(EDATE(AA$1,1),Log_2019[[#This Row],[Date]]),Log_2019[[#This Row],[Split_apply]])) - SUM($O15:Z15)</f>
        <v>-15.885000000000002</v>
      </c>
      <c r="AB15" s="54">
        <f ca="1">Log_2019[[#This Row],[Amount]]-SUM(O15:AA15)</f>
        <v>-37.064999999999998</v>
      </c>
      <c r="AC15" s="7">
        <f>MAX(0,Log_2019[[#This Row],[Split_raw]] - (EDATE(AA$1,1)-Log_2019[[#This Row],[Date]]))</f>
        <v>21</v>
      </c>
    </row>
    <row r="16" spans="1:29" x14ac:dyDescent="0.25">
      <c r="A16" s="42"/>
      <c r="B16" s="34" t="s">
        <v>6</v>
      </c>
      <c r="C16" s="34"/>
      <c r="D16" s="35">
        <v>43822</v>
      </c>
      <c r="E16" s="34"/>
      <c r="F16" s="34" t="s">
        <v>844</v>
      </c>
      <c r="G16" s="34" t="s">
        <v>7</v>
      </c>
      <c r="H16">
        <v>-82.75</v>
      </c>
      <c r="I16" s="36">
        <f>IF(Log_2019[[#This Row],[My Category]]="NONTRACKED",0,Log_2019[[#This Row],[Raw Amount]])</f>
        <v>-82.75</v>
      </c>
      <c r="J16" s="37">
        <f>ABS(Log_2019[[#This Row],[Amount]])</f>
        <v>82.75</v>
      </c>
      <c r="K16" s="38">
        <v>1</v>
      </c>
      <c r="L16" s="38">
        <f ca="1">IF(Log_2019[[#This Row],[Date]]&lt;=TODAY(), MIN(Log_2019[[#This Row],[Split_raw]], TODAY()-Log_2019[[#This Row],[Date]]+1), 0)</f>
        <v>1</v>
      </c>
      <c r="M16" s="34" t="s">
        <v>196</v>
      </c>
      <c r="N16" s="34" t="s">
        <v>160</v>
      </c>
      <c r="O16" s="7">
        <v>0</v>
      </c>
      <c r="P16" s="52">
        <f ca="1">Log_2019[[#This Row],[Amount]]/Log_2019[[#This Row],[Split_raw]]*MAX(0,MIN(_xlfn.DAYS(EDATE(P$1,1),Log_2019[[#This Row],[Date]]),Log_2019[[#This Row],[Split_apply]])) - SUM($O16:O16)</f>
        <v>0</v>
      </c>
      <c r="Q16" s="52">
        <f ca="1">Log_2019[[#This Row],[Amount]]/Log_2019[[#This Row],[Split_raw]]*MAX(0,MIN(_xlfn.DAYS(EDATE(Q$1,1),Log_2019[[#This Row],[Date]]),Log_2019[[#This Row],[Split_apply]])) - SUM($O16:P16)</f>
        <v>0</v>
      </c>
      <c r="R16" s="52">
        <f ca="1">Log_2019[[#This Row],[Amount]]/Log_2019[[#This Row],[Split_raw]]*MAX(0,MIN(_xlfn.DAYS(EDATE(R$1,1),Log_2019[[#This Row],[Date]]),Log_2019[[#This Row],[Split_apply]])) - SUM($O16:Q16)</f>
        <v>0</v>
      </c>
      <c r="S16" s="52">
        <f ca="1">Log_2019[[#This Row],[Amount]]/Log_2019[[#This Row],[Split_raw]]*MAX(0,MIN(_xlfn.DAYS(EDATE(S$1,1),Log_2019[[#This Row],[Date]]),Log_2019[[#This Row],[Split_apply]])) - SUM($O16:R16)</f>
        <v>0</v>
      </c>
      <c r="T16" s="52">
        <f ca="1">Log_2019[[#This Row],[Amount]]/Log_2019[[#This Row],[Split_raw]]*MAX(0,MIN(_xlfn.DAYS(EDATE(T$1,1),Log_2019[[#This Row],[Date]]),Log_2019[[#This Row],[Split_apply]])) - SUM($O16:S16)</f>
        <v>0</v>
      </c>
      <c r="U16" s="52">
        <f ca="1">Log_2019[[#This Row],[Amount]]/Log_2019[[#This Row],[Split_raw]]*MAX(0,MIN(_xlfn.DAYS(EDATE(U$1,1),Log_2019[[#This Row],[Date]]),Log_2019[[#This Row],[Split_apply]])) - SUM($O16:T16)</f>
        <v>0</v>
      </c>
      <c r="V16" s="52">
        <f ca="1">Log_2019[[#This Row],[Amount]]/Log_2019[[#This Row],[Split_raw]]*MAX(0,MIN(_xlfn.DAYS(EDATE(V$1,1),Log_2019[[#This Row],[Date]]),Log_2019[[#This Row],[Split_apply]])) - SUM($O16:U16)</f>
        <v>0</v>
      </c>
      <c r="W16" s="52">
        <f ca="1">Log_2019[[#This Row],[Amount]]/Log_2019[[#This Row],[Split_raw]]*MAX(0,MIN(_xlfn.DAYS(EDATE(W$1,1),Log_2019[[#This Row],[Date]]),Log_2019[[#This Row],[Split_apply]])) - SUM($O16:V16)</f>
        <v>0</v>
      </c>
      <c r="X16" s="52">
        <f ca="1">Log_2019[[#This Row],[Amount]]/Log_2019[[#This Row],[Split_raw]]*MAX(0,MIN(_xlfn.DAYS(EDATE(X$1,1),Log_2019[[#This Row],[Date]]),Log_2019[[#This Row],[Split_apply]])) - SUM($O16:W16)</f>
        <v>0</v>
      </c>
      <c r="Y16" s="52">
        <f ca="1">Log_2019[[#This Row],[Amount]]/Log_2019[[#This Row],[Split_raw]]*MAX(0,MIN(_xlfn.DAYS(EDATE(Y$1,1),Log_2019[[#This Row],[Date]]),Log_2019[[#This Row],[Split_apply]])) - SUM($O16:X16)</f>
        <v>0</v>
      </c>
      <c r="Z16" s="52">
        <f ca="1">Log_2019[[#This Row],[Amount]]/Log_2019[[#This Row],[Split_raw]]*MAX(0,MIN(_xlfn.DAYS(EDATE(Z$1,1),Log_2019[[#This Row],[Date]]),Log_2019[[#This Row],[Split_apply]])) - SUM($O16:Y16)</f>
        <v>0</v>
      </c>
      <c r="AA16" s="52">
        <f ca="1">Log_2019[[#This Row],[Amount]]/Log_2019[[#This Row],[Split_raw]]*MAX(0,MIN(_xlfn.DAYS(EDATE(AA$1,1),Log_2019[[#This Row],[Date]]),Log_2019[[#This Row],[Split_apply]])) - SUM($O16:Z16)</f>
        <v>-82.75</v>
      </c>
      <c r="AB16" s="54">
        <f ca="1">Log_2019[[#This Row],[Amount]]-SUM(O16:AA16)</f>
        <v>0</v>
      </c>
      <c r="AC16" s="7">
        <f>MAX(0,Log_2019[[#This Row],[Split_raw]] - (EDATE(AA$1,1)-Log_2019[[#This Row],[Date]]))</f>
        <v>0</v>
      </c>
    </row>
    <row r="17" spans="1:29" x14ac:dyDescent="0.25">
      <c r="A17" s="42"/>
      <c r="B17" s="34" t="s">
        <v>191</v>
      </c>
      <c r="C17" s="34"/>
      <c r="D17" s="35">
        <v>43821</v>
      </c>
      <c r="E17" s="34" t="s">
        <v>474</v>
      </c>
      <c r="F17" s="34" t="s">
        <v>824</v>
      </c>
      <c r="G17" s="34" t="s">
        <v>51</v>
      </c>
      <c r="H17">
        <f>-40*1.0825</f>
        <v>-43.3</v>
      </c>
      <c r="I17" s="36">
        <f>IF(Log_2019[[#This Row],[My Category]]="NONTRACKED",0,Log_2019[[#This Row],[Raw Amount]])</f>
        <v>-43.3</v>
      </c>
      <c r="J17" s="37">
        <f>ABS(Log_2019[[#This Row],[Amount]])</f>
        <v>43.3</v>
      </c>
      <c r="K17" s="38">
        <v>1</v>
      </c>
      <c r="L17" s="38">
        <f ca="1">IF(Log_2019[[#This Row],[Date]]&lt;=TODAY(), MIN(Log_2019[[#This Row],[Split_raw]], TODAY()-Log_2019[[#This Row],[Date]]+1), 0)</f>
        <v>1</v>
      </c>
      <c r="M17" t="s">
        <v>147</v>
      </c>
      <c r="N17" s="34" t="s">
        <v>158</v>
      </c>
      <c r="O17" s="7">
        <v>0</v>
      </c>
      <c r="P17" s="52">
        <f ca="1">Log_2019[[#This Row],[Amount]]/Log_2019[[#This Row],[Split_raw]]*MAX(0,MIN(_xlfn.DAYS(EDATE(P$1,1),Log_2019[[#This Row],[Date]]),Log_2019[[#This Row],[Split_apply]])) - SUM($O17:O17)</f>
        <v>0</v>
      </c>
      <c r="Q17" s="52">
        <f ca="1">Log_2019[[#This Row],[Amount]]/Log_2019[[#This Row],[Split_raw]]*MAX(0,MIN(_xlfn.DAYS(EDATE(Q$1,1),Log_2019[[#This Row],[Date]]),Log_2019[[#This Row],[Split_apply]])) - SUM($O17:P17)</f>
        <v>0</v>
      </c>
      <c r="R17" s="52">
        <f ca="1">Log_2019[[#This Row],[Amount]]/Log_2019[[#This Row],[Split_raw]]*MAX(0,MIN(_xlfn.DAYS(EDATE(R$1,1),Log_2019[[#This Row],[Date]]),Log_2019[[#This Row],[Split_apply]])) - SUM($O17:Q17)</f>
        <v>0</v>
      </c>
      <c r="S17" s="52">
        <f ca="1">Log_2019[[#This Row],[Amount]]/Log_2019[[#This Row],[Split_raw]]*MAX(0,MIN(_xlfn.DAYS(EDATE(S$1,1),Log_2019[[#This Row],[Date]]),Log_2019[[#This Row],[Split_apply]])) - SUM($O17:R17)</f>
        <v>0</v>
      </c>
      <c r="T17" s="52">
        <f ca="1">Log_2019[[#This Row],[Amount]]/Log_2019[[#This Row],[Split_raw]]*MAX(0,MIN(_xlfn.DAYS(EDATE(T$1,1),Log_2019[[#This Row],[Date]]),Log_2019[[#This Row],[Split_apply]])) - SUM($O17:S17)</f>
        <v>0</v>
      </c>
      <c r="U17" s="52">
        <f ca="1">Log_2019[[#This Row],[Amount]]/Log_2019[[#This Row],[Split_raw]]*MAX(0,MIN(_xlfn.DAYS(EDATE(U$1,1),Log_2019[[#This Row],[Date]]),Log_2019[[#This Row],[Split_apply]])) - SUM($O17:T17)</f>
        <v>0</v>
      </c>
      <c r="V17" s="52">
        <f ca="1">Log_2019[[#This Row],[Amount]]/Log_2019[[#This Row],[Split_raw]]*MAX(0,MIN(_xlfn.DAYS(EDATE(V$1,1),Log_2019[[#This Row],[Date]]),Log_2019[[#This Row],[Split_apply]])) - SUM($O17:U17)</f>
        <v>0</v>
      </c>
      <c r="W17" s="52">
        <f ca="1">Log_2019[[#This Row],[Amount]]/Log_2019[[#This Row],[Split_raw]]*MAX(0,MIN(_xlfn.DAYS(EDATE(W$1,1),Log_2019[[#This Row],[Date]]),Log_2019[[#This Row],[Split_apply]])) - SUM($O17:V17)</f>
        <v>0</v>
      </c>
      <c r="X17" s="52">
        <f ca="1">Log_2019[[#This Row],[Amount]]/Log_2019[[#This Row],[Split_raw]]*MAX(0,MIN(_xlfn.DAYS(EDATE(X$1,1),Log_2019[[#This Row],[Date]]),Log_2019[[#This Row],[Split_apply]])) - SUM($O17:W17)</f>
        <v>0</v>
      </c>
      <c r="Y17" s="52">
        <f ca="1">Log_2019[[#This Row],[Amount]]/Log_2019[[#This Row],[Split_raw]]*MAX(0,MIN(_xlfn.DAYS(EDATE(Y$1,1),Log_2019[[#This Row],[Date]]),Log_2019[[#This Row],[Split_apply]])) - SUM($O17:X17)</f>
        <v>0</v>
      </c>
      <c r="Z17" s="52">
        <f ca="1">Log_2019[[#This Row],[Amount]]/Log_2019[[#This Row],[Split_raw]]*MAX(0,MIN(_xlfn.DAYS(EDATE(Z$1,1),Log_2019[[#This Row],[Date]]),Log_2019[[#This Row],[Split_apply]])) - SUM($O17:Y17)</f>
        <v>0</v>
      </c>
      <c r="AA17" s="52">
        <f ca="1">Log_2019[[#This Row],[Amount]]/Log_2019[[#This Row],[Split_raw]]*MAX(0,MIN(_xlfn.DAYS(EDATE(AA$1,1),Log_2019[[#This Row],[Date]]),Log_2019[[#This Row],[Split_apply]])) - SUM($O17:Z17)</f>
        <v>-43.3</v>
      </c>
      <c r="AB17" s="54">
        <f ca="1">Log_2019[[#This Row],[Amount]]-SUM(O17:AA17)</f>
        <v>0</v>
      </c>
      <c r="AC17" s="7">
        <f>MAX(0,Log_2019[[#This Row],[Split_raw]] - (EDATE(AA$1,1)-Log_2019[[#This Row],[Date]]))</f>
        <v>0</v>
      </c>
    </row>
    <row r="18" spans="1:29" x14ac:dyDescent="0.25">
      <c r="A18" s="42"/>
      <c r="B18" s="34" t="s">
        <v>191</v>
      </c>
      <c r="C18" s="34"/>
      <c r="D18" s="35">
        <v>43821</v>
      </c>
      <c r="E18" s="34" t="s">
        <v>857</v>
      </c>
      <c r="F18" s="34" t="s">
        <v>824</v>
      </c>
      <c r="G18" s="34" t="s">
        <v>51</v>
      </c>
      <c r="H18">
        <v>-16.23</v>
      </c>
      <c r="I18" s="36">
        <f>IF(Log_2019[[#This Row],[My Category]]="NONTRACKED",0,Log_2019[[#This Row],[Raw Amount]])</f>
        <v>-16.23</v>
      </c>
      <c r="J18" s="37">
        <f>ABS(Log_2019[[#This Row],[Amount]])</f>
        <v>16.23</v>
      </c>
      <c r="K18" s="38">
        <v>1</v>
      </c>
      <c r="L18" s="38">
        <f ca="1">IF(Log_2019[[#This Row],[Date]]&lt;=TODAY(), MIN(Log_2019[[#This Row],[Split_raw]], TODAY()-Log_2019[[#This Row],[Date]]+1), 0)</f>
        <v>1</v>
      </c>
      <c r="M18" t="s">
        <v>147</v>
      </c>
      <c r="N18" s="34" t="s">
        <v>158</v>
      </c>
      <c r="O18" s="7">
        <v>0</v>
      </c>
      <c r="P18" s="52">
        <f ca="1">Log_2019[[#This Row],[Amount]]/Log_2019[[#This Row],[Split_raw]]*MAX(0,MIN(_xlfn.DAYS(EDATE(P$1,1),Log_2019[[#This Row],[Date]]),Log_2019[[#This Row],[Split_apply]])) - SUM($O18:O18)</f>
        <v>0</v>
      </c>
      <c r="Q18" s="52">
        <f ca="1">Log_2019[[#This Row],[Amount]]/Log_2019[[#This Row],[Split_raw]]*MAX(0,MIN(_xlfn.DAYS(EDATE(Q$1,1),Log_2019[[#This Row],[Date]]),Log_2019[[#This Row],[Split_apply]])) - SUM($O18:P18)</f>
        <v>0</v>
      </c>
      <c r="R18" s="52">
        <f ca="1">Log_2019[[#This Row],[Amount]]/Log_2019[[#This Row],[Split_raw]]*MAX(0,MIN(_xlfn.DAYS(EDATE(R$1,1),Log_2019[[#This Row],[Date]]),Log_2019[[#This Row],[Split_apply]])) - SUM($O18:Q18)</f>
        <v>0</v>
      </c>
      <c r="S18" s="52">
        <f ca="1">Log_2019[[#This Row],[Amount]]/Log_2019[[#This Row],[Split_raw]]*MAX(0,MIN(_xlfn.DAYS(EDATE(S$1,1),Log_2019[[#This Row],[Date]]),Log_2019[[#This Row],[Split_apply]])) - SUM($O18:R18)</f>
        <v>0</v>
      </c>
      <c r="T18" s="52">
        <f ca="1">Log_2019[[#This Row],[Amount]]/Log_2019[[#This Row],[Split_raw]]*MAX(0,MIN(_xlfn.DAYS(EDATE(T$1,1),Log_2019[[#This Row],[Date]]),Log_2019[[#This Row],[Split_apply]])) - SUM($O18:S18)</f>
        <v>0</v>
      </c>
      <c r="U18" s="52">
        <f ca="1">Log_2019[[#This Row],[Amount]]/Log_2019[[#This Row],[Split_raw]]*MAX(0,MIN(_xlfn.DAYS(EDATE(U$1,1),Log_2019[[#This Row],[Date]]),Log_2019[[#This Row],[Split_apply]])) - SUM($O18:T18)</f>
        <v>0</v>
      </c>
      <c r="V18" s="52">
        <f ca="1">Log_2019[[#This Row],[Amount]]/Log_2019[[#This Row],[Split_raw]]*MAX(0,MIN(_xlfn.DAYS(EDATE(V$1,1),Log_2019[[#This Row],[Date]]),Log_2019[[#This Row],[Split_apply]])) - SUM($O18:U18)</f>
        <v>0</v>
      </c>
      <c r="W18" s="52">
        <f ca="1">Log_2019[[#This Row],[Amount]]/Log_2019[[#This Row],[Split_raw]]*MAX(0,MIN(_xlfn.DAYS(EDATE(W$1,1),Log_2019[[#This Row],[Date]]),Log_2019[[#This Row],[Split_apply]])) - SUM($O18:V18)</f>
        <v>0</v>
      </c>
      <c r="X18" s="52">
        <f ca="1">Log_2019[[#This Row],[Amount]]/Log_2019[[#This Row],[Split_raw]]*MAX(0,MIN(_xlfn.DAYS(EDATE(X$1,1),Log_2019[[#This Row],[Date]]),Log_2019[[#This Row],[Split_apply]])) - SUM($O18:W18)</f>
        <v>0</v>
      </c>
      <c r="Y18" s="52">
        <f ca="1">Log_2019[[#This Row],[Amount]]/Log_2019[[#This Row],[Split_raw]]*MAX(0,MIN(_xlfn.DAYS(EDATE(Y$1,1),Log_2019[[#This Row],[Date]]),Log_2019[[#This Row],[Split_apply]])) - SUM($O18:X18)</f>
        <v>0</v>
      </c>
      <c r="Z18" s="52">
        <f ca="1">Log_2019[[#This Row],[Amount]]/Log_2019[[#This Row],[Split_raw]]*MAX(0,MIN(_xlfn.DAYS(EDATE(Z$1,1),Log_2019[[#This Row],[Date]]),Log_2019[[#This Row],[Split_apply]])) - SUM($O18:Y18)</f>
        <v>0</v>
      </c>
      <c r="AA18" s="52">
        <f ca="1">Log_2019[[#This Row],[Amount]]/Log_2019[[#This Row],[Split_raw]]*MAX(0,MIN(_xlfn.DAYS(EDATE(AA$1,1),Log_2019[[#This Row],[Date]]),Log_2019[[#This Row],[Split_apply]])) - SUM($O18:Z18)</f>
        <v>-16.23</v>
      </c>
      <c r="AB18" s="54">
        <f ca="1">Log_2019[[#This Row],[Amount]]-SUM(O18:AA18)</f>
        <v>0</v>
      </c>
      <c r="AC18" s="7">
        <f>MAX(0,Log_2019[[#This Row],[Split_raw]] - (EDATE(AA$1,1)-Log_2019[[#This Row],[Date]]))</f>
        <v>0</v>
      </c>
    </row>
    <row r="19" spans="1:29" x14ac:dyDescent="0.25">
      <c r="A19" s="42"/>
      <c r="B19" s="34" t="s">
        <v>191</v>
      </c>
      <c r="C19" s="34"/>
      <c r="D19" s="35">
        <v>43821</v>
      </c>
      <c r="E19" s="34"/>
      <c r="F19" s="34" t="s">
        <v>824</v>
      </c>
      <c r="G19" s="34" t="s">
        <v>51</v>
      </c>
      <c r="H19">
        <v>-25.96</v>
      </c>
      <c r="I19" s="36">
        <f>IF(Log_2019[[#This Row],[My Category]]="NONTRACKED",0,Log_2019[[#This Row],[Raw Amount]])</f>
        <v>-25.96</v>
      </c>
      <c r="J19" s="37">
        <f>ABS(Log_2019[[#This Row],[Amount]])</f>
        <v>25.96</v>
      </c>
      <c r="K19" s="38">
        <v>1</v>
      </c>
      <c r="L19" s="38">
        <f ca="1">IF(Log_2019[[#This Row],[Date]]&lt;=TODAY(), MIN(Log_2019[[#This Row],[Split_raw]], TODAY()-Log_2019[[#This Row],[Date]]+1), 0)</f>
        <v>1</v>
      </c>
      <c r="M19" t="s">
        <v>41</v>
      </c>
      <c r="N19" s="34" t="s">
        <v>158</v>
      </c>
      <c r="O19" s="7">
        <v>0</v>
      </c>
      <c r="P19" s="52">
        <f ca="1">Log_2019[[#This Row],[Amount]]/Log_2019[[#This Row],[Split_raw]]*MAX(0,MIN(_xlfn.DAYS(EDATE(P$1,1),Log_2019[[#This Row],[Date]]),Log_2019[[#This Row],[Split_apply]])) - SUM($O19:O19)</f>
        <v>0</v>
      </c>
      <c r="Q19" s="52">
        <f ca="1">Log_2019[[#This Row],[Amount]]/Log_2019[[#This Row],[Split_raw]]*MAX(0,MIN(_xlfn.DAYS(EDATE(Q$1,1),Log_2019[[#This Row],[Date]]),Log_2019[[#This Row],[Split_apply]])) - SUM($O19:P19)</f>
        <v>0</v>
      </c>
      <c r="R19" s="52">
        <f ca="1">Log_2019[[#This Row],[Amount]]/Log_2019[[#This Row],[Split_raw]]*MAX(0,MIN(_xlfn.DAYS(EDATE(R$1,1),Log_2019[[#This Row],[Date]]),Log_2019[[#This Row],[Split_apply]])) - SUM($O19:Q19)</f>
        <v>0</v>
      </c>
      <c r="S19" s="52">
        <f ca="1">Log_2019[[#This Row],[Amount]]/Log_2019[[#This Row],[Split_raw]]*MAX(0,MIN(_xlfn.DAYS(EDATE(S$1,1),Log_2019[[#This Row],[Date]]),Log_2019[[#This Row],[Split_apply]])) - SUM($O19:R19)</f>
        <v>0</v>
      </c>
      <c r="T19" s="52">
        <f ca="1">Log_2019[[#This Row],[Amount]]/Log_2019[[#This Row],[Split_raw]]*MAX(0,MIN(_xlfn.DAYS(EDATE(T$1,1),Log_2019[[#This Row],[Date]]),Log_2019[[#This Row],[Split_apply]])) - SUM($O19:S19)</f>
        <v>0</v>
      </c>
      <c r="U19" s="52">
        <f ca="1">Log_2019[[#This Row],[Amount]]/Log_2019[[#This Row],[Split_raw]]*MAX(0,MIN(_xlfn.DAYS(EDATE(U$1,1),Log_2019[[#This Row],[Date]]),Log_2019[[#This Row],[Split_apply]])) - SUM($O19:T19)</f>
        <v>0</v>
      </c>
      <c r="V19" s="52">
        <f ca="1">Log_2019[[#This Row],[Amount]]/Log_2019[[#This Row],[Split_raw]]*MAX(0,MIN(_xlfn.DAYS(EDATE(V$1,1),Log_2019[[#This Row],[Date]]),Log_2019[[#This Row],[Split_apply]])) - SUM($O19:U19)</f>
        <v>0</v>
      </c>
      <c r="W19" s="52">
        <f ca="1">Log_2019[[#This Row],[Amount]]/Log_2019[[#This Row],[Split_raw]]*MAX(0,MIN(_xlfn.DAYS(EDATE(W$1,1),Log_2019[[#This Row],[Date]]),Log_2019[[#This Row],[Split_apply]])) - SUM($O19:V19)</f>
        <v>0</v>
      </c>
      <c r="X19" s="52">
        <f ca="1">Log_2019[[#This Row],[Amount]]/Log_2019[[#This Row],[Split_raw]]*MAX(0,MIN(_xlfn.DAYS(EDATE(X$1,1),Log_2019[[#This Row],[Date]]),Log_2019[[#This Row],[Split_apply]])) - SUM($O19:W19)</f>
        <v>0</v>
      </c>
      <c r="Y19" s="52">
        <f ca="1">Log_2019[[#This Row],[Amount]]/Log_2019[[#This Row],[Split_raw]]*MAX(0,MIN(_xlfn.DAYS(EDATE(Y$1,1),Log_2019[[#This Row],[Date]]),Log_2019[[#This Row],[Split_apply]])) - SUM($O19:X19)</f>
        <v>0</v>
      </c>
      <c r="Z19" s="52">
        <f ca="1">Log_2019[[#This Row],[Amount]]/Log_2019[[#This Row],[Split_raw]]*MAX(0,MIN(_xlfn.DAYS(EDATE(Z$1,1),Log_2019[[#This Row],[Date]]),Log_2019[[#This Row],[Split_apply]])) - SUM($O19:Y19)</f>
        <v>0</v>
      </c>
      <c r="AA19" s="52">
        <f ca="1">Log_2019[[#This Row],[Amount]]/Log_2019[[#This Row],[Split_raw]]*MAX(0,MIN(_xlfn.DAYS(EDATE(AA$1,1),Log_2019[[#This Row],[Date]]),Log_2019[[#This Row],[Split_apply]])) - SUM($O19:Z19)</f>
        <v>-25.96</v>
      </c>
      <c r="AB19" s="54">
        <f ca="1">Log_2019[[#This Row],[Amount]]-SUM(O19:AA19)</f>
        <v>0</v>
      </c>
      <c r="AC19" s="7">
        <f>MAX(0,Log_2019[[#This Row],[Split_raw]] - (EDATE(AA$1,1)-Log_2019[[#This Row],[Date]]))</f>
        <v>0</v>
      </c>
    </row>
    <row r="20" spans="1:29" x14ac:dyDescent="0.25">
      <c r="A20" s="42"/>
      <c r="B20" s="34" t="s">
        <v>6</v>
      </c>
      <c r="C20" s="34"/>
      <c r="D20" s="35">
        <v>43820</v>
      </c>
      <c r="E20" s="34" t="s">
        <v>882</v>
      </c>
      <c r="F20" s="34" t="s">
        <v>825</v>
      </c>
      <c r="G20" s="34" t="s">
        <v>384</v>
      </c>
      <c r="H20">
        <v>-75.78</v>
      </c>
      <c r="I20" s="36">
        <f>IF(Log_2019[[#This Row],[My Category]]="NONTRACKED",0,Log_2019[[#This Row],[Raw Amount]])</f>
        <v>-75.78</v>
      </c>
      <c r="J20" s="37">
        <f>ABS(Log_2019[[#This Row],[Amount]])</f>
        <v>75.78</v>
      </c>
      <c r="K20" s="38">
        <v>1</v>
      </c>
      <c r="L20" s="38">
        <f ca="1">IF(Log_2019[[#This Row],[Date]]&lt;=TODAY(), MIN(Log_2019[[#This Row],[Split_raw]], TODAY()-Log_2019[[#This Row],[Date]]+1), 0)</f>
        <v>1</v>
      </c>
      <c r="M20" s="34" t="s">
        <v>366</v>
      </c>
      <c r="N20" s="34" t="s">
        <v>158</v>
      </c>
      <c r="O20" s="7">
        <v>0</v>
      </c>
      <c r="P20" s="52">
        <f ca="1">Log_2019[[#This Row],[Amount]]/Log_2019[[#This Row],[Split_raw]]*MAX(0,MIN(_xlfn.DAYS(EDATE(P$1,1),Log_2019[[#This Row],[Date]]),Log_2019[[#This Row],[Split_apply]])) - SUM($O20:O20)</f>
        <v>0</v>
      </c>
      <c r="Q20" s="52">
        <f ca="1">Log_2019[[#This Row],[Amount]]/Log_2019[[#This Row],[Split_raw]]*MAX(0,MIN(_xlfn.DAYS(EDATE(Q$1,1),Log_2019[[#This Row],[Date]]),Log_2019[[#This Row],[Split_apply]])) - SUM($O20:P20)</f>
        <v>0</v>
      </c>
      <c r="R20" s="52">
        <f ca="1">Log_2019[[#This Row],[Amount]]/Log_2019[[#This Row],[Split_raw]]*MAX(0,MIN(_xlfn.DAYS(EDATE(R$1,1),Log_2019[[#This Row],[Date]]),Log_2019[[#This Row],[Split_apply]])) - SUM($O20:Q20)</f>
        <v>0</v>
      </c>
      <c r="S20" s="52">
        <f ca="1">Log_2019[[#This Row],[Amount]]/Log_2019[[#This Row],[Split_raw]]*MAX(0,MIN(_xlfn.DAYS(EDATE(S$1,1),Log_2019[[#This Row],[Date]]),Log_2019[[#This Row],[Split_apply]])) - SUM($O20:R20)</f>
        <v>0</v>
      </c>
      <c r="T20" s="52">
        <f ca="1">Log_2019[[#This Row],[Amount]]/Log_2019[[#This Row],[Split_raw]]*MAX(0,MIN(_xlfn.DAYS(EDATE(T$1,1),Log_2019[[#This Row],[Date]]),Log_2019[[#This Row],[Split_apply]])) - SUM($O20:S20)</f>
        <v>0</v>
      </c>
      <c r="U20" s="52">
        <f ca="1">Log_2019[[#This Row],[Amount]]/Log_2019[[#This Row],[Split_raw]]*MAX(0,MIN(_xlfn.DAYS(EDATE(U$1,1),Log_2019[[#This Row],[Date]]),Log_2019[[#This Row],[Split_apply]])) - SUM($O20:T20)</f>
        <v>0</v>
      </c>
      <c r="V20" s="52">
        <f ca="1">Log_2019[[#This Row],[Amount]]/Log_2019[[#This Row],[Split_raw]]*MAX(0,MIN(_xlfn.DAYS(EDATE(V$1,1),Log_2019[[#This Row],[Date]]),Log_2019[[#This Row],[Split_apply]])) - SUM($O20:U20)</f>
        <v>0</v>
      </c>
      <c r="W20" s="52">
        <f ca="1">Log_2019[[#This Row],[Amount]]/Log_2019[[#This Row],[Split_raw]]*MAX(0,MIN(_xlfn.DAYS(EDATE(W$1,1),Log_2019[[#This Row],[Date]]),Log_2019[[#This Row],[Split_apply]])) - SUM($O20:V20)</f>
        <v>0</v>
      </c>
      <c r="X20" s="52">
        <f ca="1">Log_2019[[#This Row],[Amount]]/Log_2019[[#This Row],[Split_raw]]*MAX(0,MIN(_xlfn.DAYS(EDATE(X$1,1),Log_2019[[#This Row],[Date]]),Log_2019[[#This Row],[Split_apply]])) - SUM($O20:W20)</f>
        <v>0</v>
      </c>
      <c r="Y20" s="52">
        <f ca="1">Log_2019[[#This Row],[Amount]]/Log_2019[[#This Row],[Split_raw]]*MAX(0,MIN(_xlfn.DAYS(EDATE(Y$1,1),Log_2019[[#This Row],[Date]]),Log_2019[[#This Row],[Split_apply]])) - SUM($O20:X20)</f>
        <v>0</v>
      </c>
      <c r="Z20" s="52">
        <f ca="1">Log_2019[[#This Row],[Amount]]/Log_2019[[#This Row],[Split_raw]]*MAX(0,MIN(_xlfn.DAYS(EDATE(Z$1,1),Log_2019[[#This Row],[Date]]),Log_2019[[#This Row],[Split_apply]])) - SUM($O20:Y20)</f>
        <v>0</v>
      </c>
      <c r="AA20" s="52">
        <f ca="1">Log_2019[[#This Row],[Amount]]/Log_2019[[#This Row],[Split_raw]]*MAX(0,MIN(_xlfn.DAYS(EDATE(AA$1,1),Log_2019[[#This Row],[Date]]),Log_2019[[#This Row],[Split_apply]])) - SUM($O20:Z20)</f>
        <v>-75.78</v>
      </c>
      <c r="AB20" s="54">
        <f ca="1">Log_2019[[#This Row],[Amount]]-SUM(O20:AA20)</f>
        <v>0</v>
      </c>
      <c r="AC20" s="7">
        <f>MAX(0,Log_2019[[#This Row],[Split_raw]] - (EDATE(AA$1,1)-Log_2019[[#This Row],[Date]]))</f>
        <v>0</v>
      </c>
    </row>
    <row r="21" spans="1:29" x14ac:dyDescent="0.25">
      <c r="A21" s="42"/>
      <c r="B21" s="34" t="s">
        <v>6</v>
      </c>
      <c r="C21" s="34"/>
      <c r="D21" s="35">
        <v>43819</v>
      </c>
      <c r="E21" s="34"/>
      <c r="F21" s="34" t="s">
        <v>826</v>
      </c>
      <c r="G21" s="34" t="s">
        <v>10</v>
      </c>
      <c r="H21">
        <v>-23.62</v>
      </c>
      <c r="I21" s="36">
        <f>IF(Log_2019[[#This Row],[My Category]]="NONTRACKED",0,Log_2019[[#This Row],[Raw Amount]])</f>
        <v>-23.62</v>
      </c>
      <c r="J21" s="37">
        <f>ABS(Log_2019[[#This Row],[Amount]])</f>
        <v>23.62</v>
      </c>
      <c r="K21" s="38">
        <v>1</v>
      </c>
      <c r="L21" s="38">
        <f ca="1">IF(Log_2019[[#This Row],[Date]]&lt;=TODAY(), MIN(Log_2019[[#This Row],[Split_raw]], TODAY()-Log_2019[[#This Row],[Date]]+1), 0)</f>
        <v>1</v>
      </c>
      <c r="M21" s="34" t="s">
        <v>52</v>
      </c>
      <c r="N21" s="34" t="s">
        <v>158</v>
      </c>
      <c r="O21" s="7">
        <v>0</v>
      </c>
      <c r="P21" s="52">
        <f ca="1">Log_2019[[#This Row],[Amount]]/Log_2019[[#This Row],[Split_raw]]*MAX(0,MIN(_xlfn.DAYS(EDATE(P$1,1),Log_2019[[#This Row],[Date]]),Log_2019[[#This Row],[Split_apply]])) - SUM($O21:O21)</f>
        <v>0</v>
      </c>
      <c r="Q21" s="52">
        <f ca="1">Log_2019[[#This Row],[Amount]]/Log_2019[[#This Row],[Split_raw]]*MAX(0,MIN(_xlfn.DAYS(EDATE(Q$1,1),Log_2019[[#This Row],[Date]]),Log_2019[[#This Row],[Split_apply]])) - SUM($O21:P21)</f>
        <v>0</v>
      </c>
      <c r="R21" s="52">
        <f ca="1">Log_2019[[#This Row],[Amount]]/Log_2019[[#This Row],[Split_raw]]*MAX(0,MIN(_xlfn.DAYS(EDATE(R$1,1),Log_2019[[#This Row],[Date]]),Log_2019[[#This Row],[Split_apply]])) - SUM($O21:Q21)</f>
        <v>0</v>
      </c>
      <c r="S21" s="52">
        <f ca="1">Log_2019[[#This Row],[Amount]]/Log_2019[[#This Row],[Split_raw]]*MAX(0,MIN(_xlfn.DAYS(EDATE(S$1,1),Log_2019[[#This Row],[Date]]),Log_2019[[#This Row],[Split_apply]])) - SUM($O21:R21)</f>
        <v>0</v>
      </c>
      <c r="T21" s="52">
        <f ca="1">Log_2019[[#This Row],[Amount]]/Log_2019[[#This Row],[Split_raw]]*MAX(0,MIN(_xlfn.DAYS(EDATE(T$1,1),Log_2019[[#This Row],[Date]]),Log_2019[[#This Row],[Split_apply]])) - SUM($O21:S21)</f>
        <v>0</v>
      </c>
      <c r="U21" s="52">
        <f ca="1">Log_2019[[#This Row],[Amount]]/Log_2019[[#This Row],[Split_raw]]*MAX(0,MIN(_xlfn.DAYS(EDATE(U$1,1),Log_2019[[#This Row],[Date]]),Log_2019[[#This Row],[Split_apply]])) - SUM($O21:T21)</f>
        <v>0</v>
      </c>
      <c r="V21" s="52">
        <f ca="1">Log_2019[[#This Row],[Amount]]/Log_2019[[#This Row],[Split_raw]]*MAX(0,MIN(_xlfn.DAYS(EDATE(V$1,1),Log_2019[[#This Row],[Date]]),Log_2019[[#This Row],[Split_apply]])) - SUM($O21:U21)</f>
        <v>0</v>
      </c>
      <c r="W21" s="52">
        <f ca="1">Log_2019[[#This Row],[Amount]]/Log_2019[[#This Row],[Split_raw]]*MAX(0,MIN(_xlfn.DAYS(EDATE(W$1,1),Log_2019[[#This Row],[Date]]),Log_2019[[#This Row],[Split_apply]])) - SUM($O21:V21)</f>
        <v>0</v>
      </c>
      <c r="X21" s="52">
        <f ca="1">Log_2019[[#This Row],[Amount]]/Log_2019[[#This Row],[Split_raw]]*MAX(0,MIN(_xlfn.DAYS(EDATE(X$1,1),Log_2019[[#This Row],[Date]]),Log_2019[[#This Row],[Split_apply]])) - SUM($O21:W21)</f>
        <v>0</v>
      </c>
      <c r="Y21" s="52">
        <f ca="1">Log_2019[[#This Row],[Amount]]/Log_2019[[#This Row],[Split_raw]]*MAX(0,MIN(_xlfn.DAYS(EDATE(Y$1,1),Log_2019[[#This Row],[Date]]),Log_2019[[#This Row],[Split_apply]])) - SUM($O21:X21)</f>
        <v>0</v>
      </c>
      <c r="Z21" s="52">
        <f ca="1">Log_2019[[#This Row],[Amount]]/Log_2019[[#This Row],[Split_raw]]*MAX(0,MIN(_xlfn.DAYS(EDATE(Z$1,1),Log_2019[[#This Row],[Date]]),Log_2019[[#This Row],[Split_apply]])) - SUM($O21:Y21)</f>
        <v>0</v>
      </c>
      <c r="AA21" s="52">
        <f ca="1">Log_2019[[#This Row],[Amount]]/Log_2019[[#This Row],[Split_raw]]*MAX(0,MIN(_xlfn.DAYS(EDATE(AA$1,1),Log_2019[[#This Row],[Date]]),Log_2019[[#This Row],[Split_apply]])) - SUM($O21:Z21)</f>
        <v>-23.62</v>
      </c>
      <c r="AB21" s="54">
        <f ca="1">Log_2019[[#This Row],[Amount]]-SUM(O21:AA21)</f>
        <v>0</v>
      </c>
      <c r="AC21" s="7">
        <f>MAX(0,Log_2019[[#This Row],[Split_raw]] - (EDATE(AA$1,1)-Log_2019[[#This Row],[Date]]))</f>
        <v>0</v>
      </c>
    </row>
    <row r="22" spans="1:29" x14ac:dyDescent="0.25">
      <c r="A22" s="42"/>
      <c r="B22" s="34" t="s">
        <v>6</v>
      </c>
      <c r="C22" s="34"/>
      <c r="D22" s="35">
        <v>43819</v>
      </c>
      <c r="E22" s="34"/>
      <c r="F22" s="34" t="s">
        <v>827</v>
      </c>
      <c r="G22" s="34" t="s">
        <v>11</v>
      </c>
      <c r="H22">
        <v>-5.41</v>
      </c>
      <c r="I22" s="36">
        <f>IF(Log_2019[[#This Row],[My Category]]="NONTRACKED",0,Log_2019[[#This Row],[Raw Amount]])</f>
        <v>-5.41</v>
      </c>
      <c r="J22" s="37">
        <f>ABS(Log_2019[[#This Row],[Amount]])</f>
        <v>5.41</v>
      </c>
      <c r="K22" s="38">
        <v>1</v>
      </c>
      <c r="L22" s="38">
        <f ca="1">IF(Log_2019[[#This Row],[Date]]&lt;=TODAY(), MIN(Log_2019[[#This Row],[Split_raw]], TODAY()-Log_2019[[#This Row],[Date]]+1), 0)</f>
        <v>1</v>
      </c>
      <c r="M22" s="34" t="s">
        <v>366</v>
      </c>
      <c r="N22" s="34" t="s">
        <v>158</v>
      </c>
      <c r="O22" s="7">
        <v>0</v>
      </c>
      <c r="P22" s="52">
        <f ca="1">Log_2019[[#This Row],[Amount]]/Log_2019[[#This Row],[Split_raw]]*MAX(0,MIN(_xlfn.DAYS(EDATE(P$1,1),Log_2019[[#This Row],[Date]]),Log_2019[[#This Row],[Split_apply]])) - SUM($O22:O22)</f>
        <v>0</v>
      </c>
      <c r="Q22" s="52">
        <f ca="1">Log_2019[[#This Row],[Amount]]/Log_2019[[#This Row],[Split_raw]]*MAX(0,MIN(_xlfn.DAYS(EDATE(Q$1,1),Log_2019[[#This Row],[Date]]),Log_2019[[#This Row],[Split_apply]])) - SUM($O22:P22)</f>
        <v>0</v>
      </c>
      <c r="R22" s="52">
        <f ca="1">Log_2019[[#This Row],[Amount]]/Log_2019[[#This Row],[Split_raw]]*MAX(0,MIN(_xlfn.DAYS(EDATE(R$1,1),Log_2019[[#This Row],[Date]]),Log_2019[[#This Row],[Split_apply]])) - SUM($O22:Q22)</f>
        <v>0</v>
      </c>
      <c r="S22" s="52">
        <f ca="1">Log_2019[[#This Row],[Amount]]/Log_2019[[#This Row],[Split_raw]]*MAX(0,MIN(_xlfn.DAYS(EDATE(S$1,1),Log_2019[[#This Row],[Date]]),Log_2019[[#This Row],[Split_apply]])) - SUM($O22:R22)</f>
        <v>0</v>
      </c>
      <c r="T22" s="52">
        <f ca="1">Log_2019[[#This Row],[Amount]]/Log_2019[[#This Row],[Split_raw]]*MAX(0,MIN(_xlfn.DAYS(EDATE(T$1,1),Log_2019[[#This Row],[Date]]),Log_2019[[#This Row],[Split_apply]])) - SUM($O22:S22)</f>
        <v>0</v>
      </c>
      <c r="U22" s="52">
        <f ca="1">Log_2019[[#This Row],[Amount]]/Log_2019[[#This Row],[Split_raw]]*MAX(0,MIN(_xlfn.DAYS(EDATE(U$1,1),Log_2019[[#This Row],[Date]]),Log_2019[[#This Row],[Split_apply]])) - SUM($O22:T22)</f>
        <v>0</v>
      </c>
      <c r="V22" s="52">
        <f ca="1">Log_2019[[#This Row],[Amount]]/Log_2019[[#This Row],[Split_raw]]*MAX(0,MIN(_xlfn.DAYS(EDATE(V$1,1),Log_2019[[#This Row],[Date]]),Log_2019[[#This Row],[Split_apply]])) - SUM($O22:U22)</f>
        <v>0</v>
      </c>
      <c r="W22" s="52">
        <f ca="1">Log_2019[[#This Row],[Amount]]/Log_2019[[#This Row],[Split_raw]]*MAX(0,MIN(_xlfn.DAYS(EDATE(W$1,1),Log_2019[[#This Row],[Date]]),Log_2019[[#This Row],[Split_apply]])) - SUM($O22:V22)</f>
        <v>0</v>
      </c>
      <c r="X22" s="52">
        <f ca="1">Log_2019[[#This Row],[Amount]]/Log_2019[[#This Row],[Split_raw]]*MAX(0,MIN(_xlfn.DAYS(EDATE(X$1,1),Log_2019[[#This Row],[Date]]),Log_2019[[#This Row],[Split_apply]])) - SUM($O22:W22)</f>
        <v>0</v>
      </c>
      <c r="Y22" s="52">
        <f ca="1">Log_2019[[#This Row],[Amount]]/Log_2019[[#This Row],[Split_raw]]*MAX(0,MIN(_xlfn.DAYS(EDATE(Y$1,1),Log_2019[[#This Row],[Date]]),Log_2019[[#This Row],[Split_apply]])) - SUM($O22:X22)</f>
        <v>0</v>
      </c>
      <c r="Z22" s="52">
        <f ca="1">Log_2019[[#This Row],[Amount]]/Log_2019[[#This Row],[Split_raw]]*MAX(0,MIN(_xlfn.DAYS(EDATE(Z$1,1),Log_2019[[#This Row],[Date]]),Log_2019[[#This Row],[Split_apply]])) - SUM($O22:Y22)</f>
        <v>0</v>
      </c>
      <c r="AA22" s="52">
        <f ca="1">Log_2019[[#This Row],[Amount]]/Log_2019[[#This Row],[Split_raw]]*MAX(0,MIN(_xlfn.DAYS(EDATE(AA$1,1),Log_2019[[#This Row],[Date]]),Log_2019[[#This Row],[Split_apply]])) - SUM($O22:Z22)</f>
        <v>-5.41</v>
      </c>
      <c r="AB22" s="54">
        <f ca="1">Log_2019[[#This Row],[Amount]]-SUM(O22:AA22)</f>
        <v>0</v>
      </c>
      <c r="AC22" s="7">
        <f>MAX(0,Log_2019[[#This Row],[Split_raw]] - (EDATE(AA$1,1)-Log_2019[[#This Row],[Date]]))</f>
        <v>0</v>
      </c>
    </row>
    <row r="23" spans="1:29" x14ac:dyDescent="0.25">
      <c r="A23" s="42"/>
      <c r="B23" s="34" t="s">
        <v>6</v>
      </c>
      <c r="C23" s="34"/>
      <c r="D23" s="35">
        <v>43818</v>
      </c>
      <c r="E23" s="34" t="s">
        <v>855</v>
      </c>
      <c r="F23" s="34" t="s">
        <v>828</v>
      </c>
      <c r="G23" s="34" t="s">
        <v>11</v>
      </c>
      <c r="H23">
        <v>-21.59</v>
      </c>
      <c r="I23" s="36">
        <f>IF(Log_2019[[#This Row],[My Category]]="NONTRACKED",0,Log_2019[[#This Row],[Raw Amount]])</f>
        <v>-21.59</v>
      </c>
      <c r="J23" s="37">
        <f>ABS(Log_2019[[#This Row],[Amount]])</f>
        <v>21.59</v>
      </c>
      <c r="K23" s="38">
        <v>1</v>
      </c>
      <c r="L23" s="38">
        <f ca="1">IF(Log_2019[[#This Row],[Date]]&lt;=TODAY(), MIN(Log_2019[[#This Row],[Split_raw]], TODAY()-Log_2019[[#This Row],[Date]]+1), 0)</f>
        <v>1</v>
      </c>
      <c r="M23" s="34" t="s">
        <v>145</v>
      </c>
      <c r="N23" s="34" t="s">
        <v>158</v>
      </c>
      <c r="O23" s="7">
        <v>0</v>
      </c>
      <c r="P23" s="52">
        <f ca="1">Log_2019[[#This Row],[Amount]]/Log_2019[[#This Row],[Split_raw]]*MAX(0,MIN(_xlfn.DAYS(EDATE(P$1,1),Log_2019[[#This Row],[Date]]),Log_2019[[#This Row],[Split_apply]])) - SUM($O23:O23)</f>
        <v>0</v>
      </c>
      <c r="Q23" s="52">
        <f ca="1">Log_2019[[#This Row],[Amount]]/Log_2019[[#This Row],[Split_raw]]*MAX(0,MIN(_xlfn.DAYS(EDATE(Q$1,1),Log_2019[[#This Row],[Date]]),Log_2019[[#This Row],[Split_apply]])) - SUM($O23:P23)</f>
        <v>0</v>
      </c>
      <c r="R23" s="52">
        <f ca="1">Log_2019[[#This Row],[Amount]]/Log_2019[[#This Row],[Split_raw]]*MAX(0,MIN(_xlfn.DAYS(EDATE(R$1,1),Log_2019[[#This Row],[Date]]),Log_2019[[#This Row],[Split_apply]])) - SUM($O23:Q23)</f>
        <v>0</v>
      </c>
      <c r="S23" s="52">
        <f ca="1">Log_2019[[#This Row],[Amount]]/Log_2019[[#This Row],[Split_raw]]*MAX(0,MIN(_xlfn.DAYS(EDATE(S$1,1),Log_2019[[#This Row],[Date]]),Log_2019[[#This Row],[Split_apply]])) - SUM($O23:R23)</f>
        <v>0</v>
      </c>
      <c r="T23" s="52">
        <f ca="1">Log_2019[[#This Row],[Amount]]/Log_2019[[#This Row],[Split_raw]]*MAX(0,MIN(_xlfn.DAYS(EDATE(T$1,1),Log_2019[[#This Row],[Date]]),Log_2019[[#This Row],[Split_apply]])) - SUM($O23:S23)</f>
        <v>0</v>
      </c>
      <c r="U23" s="52">
        <f ca="1">Log_2019[[#This Row],[Amount]]/Log_2019[[#This Row],[Split_raw]]*MAX(0,MIN(_xlfn.DAYS(EDATE(U$1,1),Log_2019[[#This Row],[Date]]),Log_2019[[#This Row],[Split_apply]])) - SUM($O23:T23)</f>
        <v>0</v>
      </c>
      <c r="V23" s="52">
        <f ca="1">Log_2019[[#This Row],[Amount]]/Log_2019[[#This Row],[Split_raw]]*MAX(0,MIN(_xlfn.DAYS(EDATE(V$1,1),Log_2019[[#This Row],[Date]]),Log_2019[[#This Row],[Split_apply]])) - SUM($O23:U23)</f>
        <v>0</v>
      </c>
      <c r="W23" s="52">
        <f ca="1">Log_2019[[#This Row],[Amount]]/Log_2019[[#This Row],[Split_raw]]*MAX(0,MIN(_xlfn.DAYS(EDATE(W$1,1),Log_2019[[#This Row],[Date]]),Log_2019[[#This Row],[Split_apply]])) - SUM($O23:V23)</f>
        <v>0</v>
      </c>
      <c r="X23" s="52">
        <f ca="1">Log_2019[[#This Row],[Amount]]/Log_2019[[#This Row],[Split_raw]]*MAX(0,MIN(_xlfn.DAYS(EDATE(X$1,1),Log_2019[[#This Row],[Date]]),Log_2019[[#This Row],[Split_apply]])) - SUM($O23:W23)</f>
        <v>0</v>
      </c>
      <c r="Y23" s="52">
        <f ca="1">Log_2019[[#This Row],[Amount]]/Log_2019[[#This Row],[Split_raw]]*MAX(0,MIN(_xlfn.DAYS(EDATE(Y$1,1),Log_2019[[#This Row],[Date]]),Log_2019[[#This Row],[Split_apply]])) - SUM($O23:X23)</f>
        <v>0</v>
      </c>
      <c r="Z23" s="52">
        <f ca="1">Log_2019[[#This Row],[Amount]]/Log_2019[[#This Row],[Split_raw]]*MAX(0,MIN(_xlfn.DAYS(EDATE(Z$1,1),Log_2019[[#This Row],[Date]]),Log_2019[[#This Row],[Split_apply]])) - SUM($O23:Y23)</f>
        <v>0</v>
      </c>
      <c r="AA23" s="52">
        <f ca="1">Log_2019[[#This Row],[Amount]]/Log_2019[[#This Row],[Split_raw]]*MAX(0,MIN(_xlfn.DAYS(EDATE(AA$1,1),Log_2019[[#This Row],[Date]]),Log_2019[[#This Row],[Split_apply]])) - SUM($O23:Z23)</f>
        <v>-21.59</v>
      </c>
      <c r="AB23" s="54">
        <f ca="1">Log_2019[[#This Row],[Amount]]-SUM(O23:AA23)</f>
        <v>0</v>
      </c>
      <c r="AC23" s="7">
        <f>MAX(0,Log_2019[[#This Row],[Split_raw]] - (EDATE(AA$1,1)-Log_2019[[#This Row],[Date]]))</f>
        <v>0</v>
      </c>
    </row>
    <row r="24" spans="1:29" x14ac:dyDescent="0.25">
      <c r="A24" s="42"/>
      <c r="B24" s="34" t="s">
        <v>6</v>
      </c>
      <c r="C24" s="34"/>
      <c r="D24" s="35">
        <v>43818</v>
      </c>
      <c r="E24" s="34" t="s">
        <v>851</v>
      </c>
      <c r="F24" s="34" t="s">
        <v>829</v>
      </c>
      <c r="G24" s="34" t="s">
        <v>27</v>
      </c>
      <c r="H24">
        <v>-30</v>
      </c>
      <c r="I24" s="36">
        <f>IF(Log_2019[[#This Row],[My Category]]="NONTRACKED",0,Log_2019[[#This Row],[Raw Amount]])</f>
        <v>-30</v>
      </c>
      <c r="J24" s="37">
        <f>ABS(Log_2019[[#This Row],[Amount]])</f>
        <v>30</v>
      </c>
      <c r="K24" s="38">
        <v>1</v>
      </c>
      <c r="L24" s="38">
        <f ca="1">IF(Log_2019[[#This Row],[Date]]&lt;=TODAY(), MIN(Log_2019[[#This Row],[Split_raw]], TODAY()-Log_2019[[#This Row],[Date]]+1), 0)</f>
        <v>1</v>
      </c>
      <c r="M24" s="34" t="s">
        <v>42</v>
      </c>
      <c r="N24" s="34" t="s">
        <v>158</v>
      </c>
      <c r="O24" s="7">
        <v>0</v>
      </c>
      <c r="P24" s="52">
        <f ca="1">Log_2019[[#This Row],[Amount]]/Log_2019[[#This Row],[Split_raw]]*MAX(0,MIN(_xlfn.DAYS(EDATE(P$1,1),Log_2019[[#This Row],[Date]]),Log_2019[[#This Row],[Split_apply]])) - SUM($O24:O24)</f>
        <v>0</v>
      </c>
      <c r="Q24" s="52">
        <f ca="1">Log_2019[[#This Row],[Amount]]/Log_2019[[#This Row],[Split_raw]]*MAX(0,MIN(_xlfn.DAYS(EDATE(Q$1,1),Log_2019[[#This Row],[Date]]),Log_2019[[#This Row],[Split_apply]])) - SUM($O24:P24)</f>
        <v>0</v>
      </c>
      <c r="R24" s="52">
        <f ca="1">Log_2019[[#This Row],[Amount]]/Log_2019[[#This Row],[Split_raw]]*MAX(0,MIN(_xlfn.DAYS(EDATE(R$1,1),Log_2019[[#This Row],[Date]]),Log_2019[[#This Row],[Split_apply]])) - SUM($O24:Q24)</f>
        <v>0</v>
      </c>
      <c r="S24" s="52">
        <f ca="1">Log_2019[[#This Row],[Amount]]/Log_2019[[#This Row],[Split_raw]]*MAX(0,MIN(_xlfn.DAYS(EDATE(S$1,1),Log_2019[[#This Row],[Date]]),Log_2019[[#This Row],[Split_apply]])) - SUM($O24:R24)</f>
        <v>0</v>
      </c>
      <c r="T24" s="52">
        <f ca="1">Log_2019[[#This Row],[Amount]]/Log_2019[[#This Row],[Split_raw]]*MAX(0,MIN(_xlfn.DAYS(EDATE(T$1,1),Log_2019[[#This Row],[Date]]),Log_2019[[#This Row],[Split_apply]])) - SUM($O24:S24)</f>
        <v>0</v>
      </c>
      <c r="U24" s="52">
        <f ca="1">Log_2019[[#This Row],[Amount]]/Log_2019[[#This Row],[Split_raw]]*MAX(0,MIN(_xlfn.DAYS(EDATE(U$1,1),Log_2019[[#This Row],[Date]]),Log_2019[[#This Row],[Split_apply]])) - SUM($O24:T24)</f>
        <v>0</v>
      </c>
      <c r="V24" s="52">
        <f ca="1">Log_2019[[#This Row],[Amount]]/Log_2019[[#This Row],[Split_raw]]*MAX(0,MIN(_xlfn.DAYS(EDATE(V$1,1),Log_2019[[#This Row],[Date]]),Log_2019[[#This Row],[Split_apply]])) - SUM($O24:U24)</f>
        <v>0</v>
      </c>
      <c r="W24" s="52">
        <f ca="1">Log_2019[[#This Row],[Amount]]/Log_2019[[#This Row],[Split_raw]]*MAX(0,MIN(_xlfn.DAYS(EDATE(W$1,1),Log_2019[[#This Row],[Date]]),Log_2019[[#This Row],[Split_apply]])) - SUM($O24:V24)</f>
        <v>0</v>
      </c>
      <c r="X24" s="52">
        <f ca="1">Log_2019[[#This Row],[Amount]]/Log_2019[[#This Row],[Split_raw]]*MAX(0,MIN(_xlfn.DAYS(EDATE(X$1,1),Log_2019[[#This Row],[Date]]),Log_2019[[#This Row],[Split_apply]])) - SUM($O24:W24)</f>
        <v>0</v>
      </c>
      <c r="Y24" s="52">
        <f ca="1">Log_2019[[#This Row],[Amount]]/Log_2019[[#This Row],[Split_raw]]*MAX(0,MIN(_xlfn.DAYS(EDATE(Y$1,1),Log_2019[[#This Row],[Date]]),Log_2019[[#This Row],[Split_apply]])) - SUM($O24:X24)</f>
        <v>0</v>
      </c>
      <c r="Z24" s="52">
        <f ca="1">Log_2019[[#This Row],[Amount]]/Log_2019[[#This Row],[Split_raw]]*MAX(0,MIN(_xlfn.DAYS(EDATE(Z$1,1),Log_2019[[#This Row],[Date]]),Log_2019[[#This Row],[Split_apply]])) - SUM($O24:Y24)</f>
        <v>0</v>
      </c>
      <c r="AA24" s="52">
        <f ca="1">Log_2019[[#This Row],[Amount]]/Log_2019[[#This Row],[Split_raw]]*MAX(0,MIN(_xlfn.DAYS(EDATE(AA$1,1),Log_2019[[#This Row],[Date]]),Log_2019[[#This Row],[Split_apply]])) - SUM($O24:Z24)</f>
        <v>-30</v>
      </c>
      <c r="AB24" s="54">
        <f ca="1">Log_2019[[#This Row],[Amount]]-SUM(O24:AA24)</f>
        <v>0</v>
      </c>
      <c r="AC24" s="7">
        <f>MAX(0,Log_2019[[#This Row],[Split_raw]] - (EDATE(AA$1,1)-Log_2019[[#This Row],[Date]]))</f>
        <v>0</v>
      </c>
    </row>
    <row r="25" spans="1:29" x14ac:dyDescent="0.25">
      <c r="A25" s="42"/>
      <c r="B25" s="34" t="s">
        <v>6</v>
      </c>
      <c r="C25" s="34"/>
      <c r="D25" s="35">
        <v>43818</v>
      </c>
      <c r="E25" s="34" t="s">
        <v>852</v>
      </c>
      <c r="F25" s="34" t="s">
        <v>830</v>
      </c>
      <c r="G25" s="34" t="s">
        <v>27</v>
      </c>
      <c r="H25">
        <v>-26.88</v>
      </c>
      <c r="I25" s="36">
        <f>IF(Log_2019[[#This Row],[My Category]]="NONTRACKED",0,Log_2019[[#This Row],[Raw Amount]])</f>
        <v>-26.88</v>
      </c>
      <c r="J25" s="37">
        <f>ABS(Log_2019[[#This Row],[Amount]])</f>
        <v>26.88</v>
      </c>
      <c r="K25" s="38">
        <v>1</v>
      </c>
      <c r="L25" s="38">
        <f ca="1">IF(Log_2019[[#This Row],[Date]]&lt;=TODAY(), MIN(Log_2019[[#This Row],[Split_raw]], TODAY()-Log_2019[[#This Row],[Date]]+1), 0)</f>
        <v>1</v>
      </c>
      <c r="M25" s="34" t="s">
        <v>42</v>
      </c>
      <c r="N25" s="34" t="s">
        <v>158</v>
      </c>
      <c r="O25" s="7">
        <v>0</v>
      </c>
      <c r="P25" s="52">
        <f ca="1">Log_2019[[#This Row],[Amount]]/Log_2019[[#This Row],[Split_raw]]*MAX(0,MIN(_xlfn.DAYS(EDATE(P$1,1),Log_2019[[#This Row],[Date]]),Log_2019[[#This Row],[Split_apply]])) - SUM($O25:O25)</f>
        <v>0</v>
      </c>
      <c r="Q25" s="52">
        <f ca="1">Log_2019[[#This Row],[Amount]]/Log_2019[[#This Row],[Split_raw]]*MAX(0,MIN(_xlfn.DAYS(EDATE(Q$1,1),Log_2019[[#This Row],[Date]]),Log_2019[[#This Row],[Split_apply]])) - SUM($O25:P25)</f>
        <v>0</v>
      </c>
      <c r="R25" s="52">
        <f ca="1">Log_2019[[#This Row],[Amount]]/Log_2019[[#This Row],[Split_raw]]*MAX(0,MIN(_xlfn.DAYS(EDATE(R$1,1),Log_2019[[#This Row],[Date]]),Log_2019[[#This Row],[Split_apply]])) - SUM($O25:Q25)</f>
        <v>0</v>
      </c>
      <c r="S25" s="52">
        <f ca="1">Log_2019[[#This Row],[Amount]]/Log_2019[[#This Row],[Split_raw]]*MAX(0,MIN(_xlfn.DAYS(EDATE(S$1,1),Log_2019[[#This Row],[Date]]),Log_2019[[#This Row],[Split_apply]])) - SUM($O25:R25)</f>
        <v>0</v>
      </c>
      <c r="T25" s="52">
        <f ca="1">Log_2019[[#This Row],[Amount]]/Log_2019[[#This Row],[Split_raw]]*MAX(0,MIN(_xlfn.DAYS(EDATE(T$1,1),Log_2019[[#This Row],[Date]]),Log_2019[[#This Row],[Split_apply]])) - SUM($O25:S25)</f>
        <v>0</v>
      </c>
      <c r="U25" s="52">
        <f ca="1">Log_2019[[#This Row],[Amount]]/Log_2019[[#This Row],[Split_raw]]*MAX(0,MIN(_xlfn.DAYS(EDATE(U$1,1),Log_2019[[#This Row],[Date]]),Log_2019[[#This Row],[Split_apply]])) - SUM($O25:T25)</f>
        <v>0</v>
      </c>
      <c r="V25" s="52">
        <f ca="1">Log_2019[[#This Row],[Amount]]/Log_2019[[#This Row],[Split_raw]]*MAX(0,MIN(_xlfn.DAYS(EDATE(V$1,1),Log_2019[[#This Row],[Date]]),Log_2019[[#This Row],[Split_apply]])) - SUM($O25:U25)</f>
        <v>0</v>
      </c>
      <c r="W25" s="52">
        <f ca="1">Log_2019[[#This Row],[Amount]]/Log_2019[[#This Row],[Split_raw]]*MAX(0,MIN(_xlfn.DAYS(EDATE(W$1,1),Log_2019[[#This Row],[Date]]),Log_2019[[#This Row],[Split_apply]])) - SUM($O25:V25)</f>
        <v>0</v>
      </c>
      <c r="X25" s="52">
        <f ca="1">Log_2019[[#This Row],[Amount]]/Log_2019[[#This Row],[Split_raw]]*MAX(0,MIN(_xlfn.DAYS(EDATE(X$1,1),Log_2019[[#This Row],[Date]]),Log_2019[[#This Row],[Split_apply]])) - SUM($O25:W25)</f>
        <v>0</v>
      </c>
      <c r="Y25" s="52">
        <f ca="1">Log_2019[[#This Row],[Amount]]/Log_2019[[#This Row],[Split_raw]]*MAX(0,MIN(_xlfn.DAYS(EDATE(Y$1,1),Log_2019[[#This Row],[Date]]),Log_2019[[#This Row],[Split_apply]])) - SUM($O25:X25)</f>
        <v>0</v>
      </c>
      <c r="Z25" s="52">
        <f ca="1">Log_2019[[#This Row],[Amount]]/Log_2019[[#This Row],[Split_raw]]*MAX(0,MIN(_xlfn.DAYS(EDATE(Z$1,1),Log_2019[[#This Row],[Date]]),Log_2019[[#This Row],[Split_apply]])) - SUM($O25:Y25)</f>
        <v>0</v>
      </c>
      <c r="AA25" s="52">
        <f ca="1">Log_2019[[#This Row],[Amount]]/Log_2019[[#This Row],[Split_raw]]*MAX(0,MIN(_xlfn.DAYS(EDATE(AA$1,1),Log_2019[[#This Row],[Date]]),Log_2019[[#This Row],[Split_apply]])) - SUM($O25:Z25)</f>
        <v>-26.88</v>
      </c>
      <c r="AB25" s="54">
        <f ca="1">Log_2019[[#This Row],[Amount]]-SUM(O25:AA25)</f>
        <v>0</v>
      </c>
      <c r="AC25" s="7">
        <f>MAX(0,Log_2019[[#This Row],[Split_raw]] - (EDATE(AA$1,1)-Log_2019[[#This Row],[Date]]))</f>
        <v>0</v>
      </c>
    </row>
    <row r="26" spans="1:29" x14ac:dyDescent="0.25">
      <c r="A26" s="42"/>
      <c r="B26" s="34" t="s">
        <v>6</v>
      </c>
      <c r="C26" s="34"/>
      <c r="D26" s="35">
        <v>43818</v>
      </c>
      <c r="E26" s="34"/>
      <c r="F26" s="34" t="s">
        <v>831</v>
      </c>
      <c r="G26" s="34" t="s">
        <v>25</v>
      </c>
      <c r="H26">
        <v>-5.4</v>
      </c>
      <c r="I26" s="36">
        <f>IF(Log_2019[[#This Row],[My Category]]="NONTRACKED",0,Log_2019[[#This Row],[Raw Amount]])</f>
        <v>-5.4</v>
      </c>
      <c r="J26" s="37">
        <f>ABS(Log_2019[[#This Row],[Amount]])</f>
        <v>5.4</v>
      </c>
      <c r="K26" s="38">
        <v>1</v>
      </c>
      <c r="L26" s="38">
        <f ca="1">IF(Log_2019[[#This Row],[Date]]&lt;=TODAY(), MIN(Log_2019[[#This Row],[Split_raw]], TODAY()-Log_2019[[#This Row],[Date]]+1), 0)</f>
        <v>1</v>
      </c>
      <c r="M26" s="34" t="s">
        <v>35</v>
      </c>
      <c r="N26" s="34" t="s">
        <v>158</v>
      </c>
      <c r="O26" s="7">
        <v>0</v>
      </c>
      <c r="P26" s="52">
        <f ca="1">Log_2019[[#This Row],[Amount]]/Log_2019[[#This Row],[Split_raw]]*MAX(0,MIN(_xlfn.DAYS(EDATE(P$1,1),Log_2019[[#This Row],[Date]]),Log_2019[[#This Row],[Split_apply]])) - SUM($O26:O26)</f>
        <v>0</v>
      </c>
      <c r="Q26" s="52">
        <f ca="1">Log_2019[[#This Row],[Amount]]/Log_2019[[#This Row],[Split_raw]]*MAX(0,MIN(_xlfn.DAYS(EDATE(Q$1,1),Log_2019[[#This Row],[Date]]),Log_2019[[#This Row],[Split_apply]])) - SUM($O26:P26)</f>
        <v>0</v>
      </c>
      <c r="R26" s="52">
        <f ca="1">Log_2019[[#This Row],[Amount]]/Log_2019[[#This Row],[Split_raw]]*MAX(0,MIN(_xlfn.DAYS(EDATE(R$1,1),Log_2019[[#This Row],[Date]]),Log_2019[[#This Row],[Split_apply]])) - SUM($O26:Q26)</f>
        <v>0</v>
      </c>
      <c r="S26" s="52">
        <f ca="1">Log_2019[[#This Row],[Amount]]/Log_2019[[#This Row],[Split_raw]]*MAX(0,MIN(_xlfn.DAYS(EDATE(S$1,1),Log_2019[[#This Row],[Date]]),Log_2019[[#This Row],[Split_apply]])) - SUM($O26:R26)</f>
        <v>0</v>
      </c>
      <c r="T26" s="52">
        <f ca="1">Log_2019[[#This Row],[Amount]]/Log_2019[[#This Row],[Split_raw]]*MAX(0,MIN(_xlfn.DAYS(EDATE(T$1,1),Log_2019[[#This Row],[Date]]),Log_2019[[#This Row],[Split_apply]])) - SUM($O26:S26)</f>
        <v>0</v>
      </c>
      <c r="U26" s="52">
        <f ca="1">Log_2019[[#This Row],[Amount]]/Log_2019[[#This Row],[Split_raw]]*MAX(0,MIN(_xlfn.DAYS(EDATE(U$1,1),Log_2019[[#This Row],[Date]]),Log_2019[[#This Row],[Split_apply]])) - SUM($O26:T26)</f>
        <v>0</v>
      </c>
      <c r="V26" s="52">
        <f ca="1">Log_2019[[#This Row],[Amount]]/Log_2019[[#This Row],[Split_raw]]*MAX(0,MIN(_xlfn.DAYS(EDATE(V$1,1),Log_2019[[#This Row],[Date]]),Log_2019[[#This Row],[Split_apply]])) - SUM($O26:U26)</f>
        <v>0</v>
      </c>
      <c r="W26" s="52">
        <f ca="1">Log_2019[[#This Row],[Amount]]/Log_2019[[#This Row],[Split_raw]]*MAX(0,MIN(_xlfn.DAYS(EDATE(W$1,1),Log_2019[[#This Row],[Date]]),Log_2019[[#This Row],[Split_apply]])) - SUM($O26:V26)</f>
        <v>0</v>
      </c>
      <c r="X26" s="52">
        <f ca="1">Log_2019[[#This Row],[Amount]]/Log_2019[[#This Row],[Split_raw]]*MAX(0,MIN(_xlfn.DAYS(EDATE(X$1,1),Log_2019[[#This Row],[Date]]),Log_2019[[#This Row],[Split_apply]])) - SUM($O26:W26)</f>
        <v>0</v>
      </c>
      <c r="Y26" s="52">
        <f ca="1">Log_2019[[#This Row],[Amount]]/Log_2019[[#This Row],[Split_raw]]*MAX(0,MIN(_xlfn.DAYS(EDATE(Y$1,1),Log_2019[[#This Row],[Date]]),Log_2019[[#This Row],[Split_apply]])) - SUM($O26:X26)</f>
        <v>0</v>
      </c>
      <c r="Z26" s="52">
        <f ca="1">Log_2019[[#This Row],[Amount]]/Log_2019[[#This Row],[Split_raw]]*MAX(0,MIN(_xlfn.DAYS(EDATE(Z$1,1),Log_2019[[#This Row],[Date]]),Log_2019[[#This Row],[Split_apply]])) - SUM($O26:Y26)</f>
        <v>0</v>
      </c>
      <c r="AA26" s="52">
        <f ca="1">Log_2019[[#This Row],[Amount]]/Log_2019[[#This Row],[Split_raw]]*MAX(0,MIN(_xlfn.DAYS(EDATE(AA$1,1),Log_2019[[#This Row],[Date]]),Log_2019[[#This Row],[Split_apply]])) - SUM($O26:Z26)</f>
        <v>-5.4</v>
      </c>
      <c r="AB26" s="54">
        <f ca="1">Log_2019[[#This Row],[Amount]]-SUM(O26:AA26)</f>
        <v>0</v>
      </c>
      <c r="AC26" s="7">
        <f>MAX(0,Log_2019[[#This Row],[Split_raw]] - (EDATE(AA$1,1)-Log_2019[[#This Row],[Date]]))</f>
        <v>0</v>
      </c>
    </row>
    <row r="27" spans="1:29" x14ac:dyDescent="0.25">
      <c r="A27" s="42"/>
      <c r="B27" s="34" t="s">
        <v>6</v>
      </c>
      <c r="C27" s="34"/>
      <c r="D27" s="35">
        <v>43818</v>
      </c>
      <c r="E27" s="34"/>
      <c r="F27" s="34" t="s">
        <v>832</v>
      </c>
      <c r="G27" s="34" t="s">
        <v>25</v>
      </c>
      <c r="H27">
        <v>-12.29</v>
      </c>
      <c r="I27" s="36">
        <f>IF(Log_2019[[#This Row],[My Category]]="NONTRACKED",0,Log_2019[[#This Row],[Raw Amount]])</f>
        <v>-12.29</v>
      </c>
      <c r="J27" s="37">
        <f>ABS(Log_2019[[#This Row],[Amount]])</f>
        <v>12.29</v>
      </c>
      <c r="K27" s="38">
        <v>1</v>
      </c>
      <c r="L27" s="38">
        <f ca="1">IF(Log_2019[[#This Row],[Date]]&lt;=TODAY(), MIN(Log_2019[[#This Row],[Split_raw]], TODAY()-Log_2019[[#This Row],[Date]]+1), 0)</f>
        <v>1</v>
      </c>
      <c r="M27" s="34" t="s">
        <v>35</v>
      </c>
      <c r="N27" s="34" t="s">
        <v>158</v>
      </c>
      <c r="O27" s="7">
        <v>0</v>
      </c>
      <c r="P27" s="52">
        <f ca="1">Log_2019[[#This Row],[Amount]]/Log_2019[[#This Row],[Split_raw]]*MAX(0,MIN(_xlfn.DAYS(EDATE(P$1,1),Log_2019[[#This Row],[Date]]),Log_2019[[#This Row],[Split_apply]])) - SUM($O27:O27)</f>
        <v>0</v>
      </c>
      <c r="Q27" s="52">
        <f ca="1">Log_2019[[#This Row],[Amount]]/Log_2019[[#This Row],[Split_raw]]*MAX(0,MIN(_xlfn.DAYS(EDATE(Q$1,1),Log_2019[[#This Row],[Date]]),Log_2019[[#This Row],[Split_apply]])) - SUM($O27:P27)</f>
        <v>0</v>
      </c>
      <c r="R27" s="52">
        <f ca="1">Log_2019[[#This Row],[Amount]]/Log_2019[[#This Row],[Split_raw]]*MAX(0,MIN(_xlfn.DAYS(EDATE(R$1,1),Log_2019[[#This Row],[Date]]),Log_2019[[#This Row],[Split_apply]])) - SUM($O27:Q27)</f>
        <v>0</v>
      </c>
      <c r="S27" s="52">
        <f ca="1">Log_2019[[#This Row],[Amount]]/Log_2019[[#This Row],[Split_raw]]*MAX(0,MIN(_xlfn.DAYS(EDATE(S$1,1),Log_2019[[#This Row],[Date]]),Log_2019[[#This Row],[Split_apply]])) - SUM($O27:R27)</f>
        <v>0</v>
      </c>
      <c r="T27" s="52">
        <f ca="1">Log_2019[[#This Row],[Amount]]/Log_2019[[#This Row],[Split_raw]]*MAX(0,MIN(_xlfn.DAYS(EDATE(T$1,1),Log_2019[[#This Row],[Date]]),Log_2019[[#This Row],[Split_apply]])) - SUM($O27:S27)</f>
        <v>0</v>
      </c>
      <c r="U27" s="52">
        <f ca="1">Log_2019[[#This Row],[Amount]]/Log_2019[[#This Row],[Split_raw]]*MAX(0,MIN(_xlfn.DAYS(EDATE(U$1,1),Log_2019[[#This Row],[Date]]),Log_2019[[#This Row],[Split_apply]])) - SUM($O27:T27)</f>
        <v>0</v>
      </c>
      <c r="V27" s="52">
        <f ca="1">Log_2019[[#This Row],[Amount]]/Log_2019[[#This Row],[Split_raw]]*MAX(0,MIN(_xlfn.DAYS(EDATE(V$1,1),Log_2019[[#This Row],[Date]]),Log_2019[[#This Row],[Split_apply]])) - SUM($O27:U27)</f>
        <v>0</v>
      </c>
      <c r="W27" s="52">
        <f ca="1">Log_2019[[#This Row],[Amount]]/Log_2019[[#This Row],[Split_raw]]*MAX(0,MIN(_xlfn.DAYS(EDATE(W$1,1),Log_2019[[#This Row],[Date]]),Log_2019[[#This Row],[Split_apply]])) - SUM($O27:V27)</f>
        <v>0</v>
      </c>
      <c r="X27" s="52">
        <f ca="1">Log_2019[[#This Row],[Amount]]/Log_2019[[#This Row],[Split_raw]]*MAX(0,MIN(_xlfn.DAYS(EDATE(X$1,1),Log_2019[[#This Row],[Date]]),Log_2019[[#This Row],[Split_apply]])) - SUM($O27:W27)</f>
        <v>0</v>
      </c>
      <c r="Y27" s="52">
        <f ca="1">Log_2019[[#This Row],[Amount]]/Log_2019[[#This Row],[Split_raw]]*MAX(0,MIN(_xlfn.DAYS(EDATE(Y$1,1),Log_2019[[#This Row],[Date]]),Log_2019[[#This Row],[Split_apply]])) - SUM($O27:X27)</f>
        <v>0</v>
      </c>
      <c r="Z27" s="52">
        <f ca="1">Log_2019[[#This Row],[Amount]]/Log_2019[[#This Row],[Split_raw]]*MAX(0,MIN(_xlfn.DAYS(EDATE(Z$1,1),Log_2019[[#This Row],[Date]]),Log_2019[[#This Row],[Split_apply]])) - SUM($O27:Y27)</f>
        <v>0</v>
      </c>
      <c r="AA27" s="52">
        <f ca="1">Log_2019[[#This Row],[Amount]]/Log_2019[[#This Row],[Split_raw]]*MAX(0,MIN(_xlfn.DAYS(EDATE(AA$1,1),Log_2019[[#This Row],[Date]]),Log_2019[[#This Row],[Split_apply]])) - SUM($O27:Z27)</f>
        <v>-12.29</v>
      </c>
      <c r="AB27" s="54">
        <f ca="1">Log_2019[[#This Row],[Amount]]-SUM(O27:AA27)</f>
        <v>0</v>
      </c>
      <c r="AC27" s="7">
        <f>MAX(0,Log_2019[[#This Row],[Split_raw]] - (EDATE(AA$1,1)-Log_2019[[#This Row],[Date]]))</f>
        <v>0</v>
      </c>
    </row>
    <row r="28" spans="1:29" x14ac:dyDescent="0.25">
      <c r="A28" s="42"/>
      <c r="B28" s="34" t="s">
        <v>6</v>
      </c>
      <c r="C28" s="34"/>
      <c r="D28" s="35">
        <v>43818</v>
      </c>
      <c r="E28" s="34"/>
      <c r="F28" s="34" t="s">
        <v>580</v>
      </c>
      <c r="G28" s="34" t="s">
        <v>80</v>
      </c>
      <c r="H28">
        <f>--1898.47</f>
        <v>1898.47</v>
      </c>
      <c r="I28" s="36">
        <f>IF(Log_2019[[#This Row],[My Category]]="NONTRACKED",0,Log_2019[[#This Row],[Raw Amount]])</f>
        <v>1898.47</v>
      </c>
      <c r="J28" s="37">
        <f>ABS(Log_2019[[#This Row],[Amount]])</f>
        <v>1898.47</v>
      </c>
      <c r="K28" s="38">
        <v>14</v>
      </c>
      <c r="L28" s="38">
        <f ca="1">IF(Log_2019[[#This Row],[Date]]&lt;=TODAY(), MIN(Log_2019[[#This Row],[Split_raw]], TODAY()-Log_2019[[#This Row],[Date]]+1), 0)</f>
        <v>14</v>
      </c>
      <c r="M28" s="34" t="s">
        <v>91</v>
      </c>
      <c r="N28" s="34" t="s">
        <v>160</v>
      </c>
      <c r="O28" s="7">
        <v>0</v>
      </c>
      <c r="P28" s="52">
        <f ca="1">Log_2019[[#This Row],[Amount]]/Log_2019[[#This Row],[Split_raw]]*MAX(0,MIN(_xlfn.DAYS(EDATE(P$1,1),Log_2019[[#This Row],[Date]]),Log_2019[[#This Row],[Split_apply]])) - SUM($O28:O28)</f>
        <v>0</v>
      </c>
      <c r="Q28" s="52">
        <f ca="1">Log_2019[[#This Row],[Amount]]/Log_2019[[#This Row],[Split_raw]]*MAX(0,MIN(_xlfn.DAYS(EDATE(Q$1,1),Log_2019[[#This Row],[Date]]),Log_2019[[#This Row],[Split_apply]])) - SUM($O28:P28)</f>
        <v>0</v>
      </c>
      <c r="R28" s="52">
        <f ca="1">Log_2019[[#This Row],[Amount]]/Log_2019[[#This Row],[Split_raw]]*MAX(0,MIN(_xlfn.DAYS(EDATE(R$1,1),Log_2019[[#This Row],[Date]]),Log_2019[[#This Row],[Split_apply]])) - SUM($O28:Q28)</f>
        <v>0</v>
      </c>
      <c r="S28" s="52">
        <f ca="1">Log_2019[[#This Row],[Amount]]/Log_2019[[#This Row],[Split_raw]]*MAX(0,MIN(_xlfn.DAYS(EDATE(S$1,1),Log_2019[[#This Row],[Date]]),Log_2019[[#This Row],[Split_apply]])) - SUM($O28:R28)</f>
        <v>0</v>
      </c>
      <c r="T28" s="52">
        <f ca="1">Log_2019[[#This Row],[Amount]]/Log_2019[[#This Row],[Split_raw]]*MAX(0,MIN(_xlfn.DAYS(EDATE(T$1,1),Log_2019[[#This Row],[Date]]),Log_2019[[#This Row],[Split_apply]])) - SUM($O28:S28)</f>
        <v>0</v>
      </c>
      <c r="U28" s="52">
        <f ca="1">Log_2019[[#This Row],[Amount]]/Log_2019[[#This Row],[Split_raw]]*MAX(0,MIN(_xlfn.DAYS(EDATE(U$1,1),Log_2019[[#This Row],[Date]]),Log_2019[[#This Row],[Split_apply]])) - SUM($O28:T28)</f>
        <v>0</v>
      </c>
      <c r="V28" s="52">
        <f ca="1">Log_2019[[#This Row],[Amount]]/Log_2019[[#This Row],[Split_raw]]*MAX(0,MIN(_xlfn.DAYS(EDATE(V$1,1),Log_2019[[#This Row],[Date]]),Log_2019[[#This Row],[Split_apply]])) - SUM($O28:U28)</f>
        <v>0</v>
      </c>
      <c r="W28" s="52">
        <f ca="1">Log_2019[[#This Row],[Amount]]/Log_2019[[#This Row],[Split_raw]]*MAX(0,MIN(_xlfn.DAYS(EDATE(W$1,1),Log_2019[[#This Row],[Date]]),Log_2019[[#This Row],[Split_apply]])) - SUM($O28:V28)</f>
        <v>0</v>
      </c>
      <c r="X28" s="52">
        <f ca="1">Log_2019[[#This Row],[Amount]]/Log_2019[[#This Row],[Split_raw]]*MAX(0,MIN(_xlfn.DAYS(EDATE(X$1,1),Log_2019[[#This Row],[Date]]),Log_2019[[#This Row],[Split_apply]])) - SUM($O28:W28)</f>
        <v>0</v>
      </c>
      <c r="Y28" s="52">
        <f ca="1">Log_2019[[#This Row],[Amount]]/Log_2019[[#This Row],[Split_raw]]*MAX(0,MIN(_xlfn.DAYS(EDATE(Y$1,1),Log_2019[[#This Row],[Date]]),Log_2019[[#This Row],[Split_apply]])) - SUM($O28:X28)</f>
        <v>0</v>
      </c>
      <c r="Z28" s="52">
        <f ca="1">Log_2019[[#This Row],[Amount]]/Log_2019[[#This Row],[Split_raw]]*MAX(0,MIN(_xlfn.DAYS(EDATE(Z$1,1),Log_2019[[#This Row],[Date]]),Log_2019[[#This Row],[Split_apply]])) - SUM($O28:Y28)</f>
        <v>0</v>
      </c>
      <c r="AA28" s="52">
        <f ca="1">Log_2019[[#This Row],[Amount]]/Log_2019[[#This Row],[Split_raw]]*MAX(0,MIN(_xlfn.DAYS(EDATE(AA$1,1),Log_2019[[#This Row],[Date]]),Log_2019[[#This Row],[Split_apply]])) - SUM($O28:Z28)</f>
        <v>1762.8649999999998</v>
      </c>
      <c r="AB28" s="54">
        <f ca="1">Log_2019[[#This Row],[Amount]]-SUM(O28:AA28)</f>
        <v>135.60500000000025</v>
      </c>
      <c r="AC28" s="7">
        <f>MAX(0,Log_2019[[#This Row],[Split_raw]] - (EDATE(AA$1,1)-Log_2019[[#This Row],[Date]]))</f>
        <v>1</v>
      </c>
    </row>
    <row r="29" spans="1:29" x14ac:dyDescent="0.25">
      <c r="A29" s="42"/>
      <c r="B29" s="34" t="s">
        <v>6</v>
      </c>
      <c r="C29" s="34"/>
      <c r="D29" s="35">
        <v>43815</v>
      </c>
      <c r="E29" s="34"/>
      <c r="F29" s="34" t="s">
        <v>255</v>
      </c>
      <c r="G29" s="34" t="s">
        <v>12</v>
      </c>
      <c r="H29">
        <v>-6.69</v>
      </c>
      <c r="I29" s="36">
        <f>IF(Log_2019[[#This Row],[My Category]]="NONTRACKED",0,Log_2019[[#This Row],[Raw Amount]])</f>
        <v>-6.69</v>
      </c>
      <c r="J29" s="37">
        <f>ABS(Log_2019[[#This Row],[Amount]])</f>
        <v>6.69</v>
      </c>
      <c r="K29" s="38">
        <v>1</v>
      </c>
      <c r="L29" s="38">
        <f ca="1">IF(Log_2019[[#This Row],[Date]]&lt;=TODAY(), MIN(Log_2019[[#This Row],[Split_raw]], TODAY()-Log_2019[[#This Row],[Date]]+1), 0)</f>
        <v>1</v>
      </c>
      <c r="M29" s="34" t="s">
        <v>35</v>
      </c>
      <c r="N29" s="34" t="s">
        <v>158</v>
      </c>
      <c r="O29" s="7">
        <v>0</v>
      </c>
      <c r="P29" s="52">
        <f ca="1">Log_2019[[#This Row],[Amount]]/Log_2019[[#This Row],[Split_raw]]*MAX(0,MIN(_xlfn.DAYS(EDATE(P$1,1),Log_2019[[#This Row],[Date]]),Log_2019[[#This Row],[Split_apply]])) - SUM($O29:O29)</f>
        <v>0</v>
      </c>
      <c r="Q29" s="52">
        <f ca="1">Log_2019[[#This Row],[Amount]]/Log_2019[[#This Row],[Split_raw]]*MAX(0,MIN(_xlfn.DAYS(EDATE(Q$1,1),Log_2019[[#This Row],[Date]]),Log_2019[[#This Row],[Split_apply]])) - SUM($O29:P29)</f>
        <v>0</v>
      </c>
      <c r="R29" s="52">
        <f ca="1">Log_2019[[#This Row],[Amount]]/Log_2019[[#This Row],[Split_raw]]*MAX(0,MIN(_xlfn.DAYS(EDATE(R$1,1),Log_2019[[#This Row],[Date]]),Log_2019[[#This Row],[Split_apply]])) - SUM($O29:Q29)</f>
        <v>0</v>
      </c>
      <c r="S29" s="52">
        <f ca="1">Log_2019[[#This Row],[Amount]]/Log_2019[[#This Row],[Split_raw]]*MAX(0,MIN(_xlfn.DAYS(EDATE(S$1,1),Log_2019[[#This Row],[Date]]),Log_2019[[#This Row],[Split_apply]])) - SUM($O29:R29)</f>
        <v>0</v>
      </c>
      <c r="T29" s="52">
        <f ca="1">Log_2019[[#This Row],[Amount]]/Log_2019[[#This Row],[Split_raw]]*MAX(0,MIN(_xlfn.DAYS(EDATE(T$1,1),Log_2019[[#This Row],[Date]]),Log_2019[[#This Row],[Split_apply]])) - SUM($O29:S29)</f>
        <v>0</v>
      </c>
      <c r="U29" s="52">
        <f ca="1">Log_2019[[#This Row],[Amount]]/Log_2019[[#This Row],[Split_raw]]*MAX(0,MIN(_xlfn.DAYS(EDATE(U$1,1),Log_2019[[#This Row],[Date]]),Log_2019[[#This Row],[Split_apply]])) - SUM($O29:T29)</f>
        <v>0</v>
      </c>
      <c r="V29" s="52">
        <f ca="1">Log_2019[[#This Row],[Amount]]/Log_2019[[#This Row],[Split_raw]]*MAX(0,MIN(_xlfn.DAYS(EDATE(V$1,1),Log_2019[[#This Row],[Date]]),Log_2019[[#This Row],[Split_apply]])) - SUM($O29:U29)</f>
        <v>0</v>
      </c>
      <c r="W29" s="52">
        <f ca="1">Log_2019[[#This Row],[Amount]]/Log_2019[[#This Row],[Split_raw]]*MAX(0,MIN(_xlfn.DAYS(EDATE(W$1,1),Log_2019[[#This Row],[Date]]),Log_2019[[#This Row],[Split_apply]])) - SUM($O29:V29)</f>
        <v>0</v>
      </c>
      <c r="X29" s="52">
        <f ca="1">Log_2019[[#This Row],[Amount]]/Log_2019[[#This Row],[Split_raw]]*MAX(0,MIN(_xlfn.DAYS(EDATE(X$1,1),Log_2019[[#This Row],[Date]]),Log_2019[[#This Row],[Split_apply]])) - SUM($O29:W29)</f>
        <v>0</v>
      </c>
      <c r="Y29" s="52">
        <f ca="1">Log_2019[[#This Row],[Amount]]/Log_2019[[#This Row],[Split_raw]]*MAX(0,MIN(_xlfn.DAYS(EDATE(Y$1,1),Log_2019[[#This Row],[Date]]),Log_2019[[#This Row],[Split_apply]])) - SUM($O29:X29)</f>
        <v>0</v>
      </c>
      <c r="Z29" s="52">
        <f ca="1">Log_2019[[#This Row],[Amount]]/Log_2019[[#This Row],[Split_raw]]*MAX(0,MIN(_xlfn.DAYS(EDATE(Z$1,1),Log_2019[[#This Row],[Date]]),Log_2019[[#This Row],[Split_apply]])) - SUM($O29:Y29)</f>
        <v>0</v>
      </c>
      <c r="AA29" s="52">
        <f ca="1">Log_2019[[#This Row],[Amount]]/Log_2019[[#This Row],[Split_raw]]*MAX(0,MIN(_xlfn.DAYS(EDATE(AA$1,1),Log_2019[[#This Row],[Date]]),Log_2019[[#This Row],[Split_apply]])) - SUM($O29:Z29)</f>
        <v>-6.69</v>
      </c>
      <c r="AB29" s="54">
        <f ca="1">Log_2019[[#This Row],[Amount]]-SUM(O29:AA29)</f>
        <v>0</v>
      </c>
      <c r="AC29" s="7">
        <f>MAX(0,Log_2019[[#This Row],[Split_raw]] - (EDATE(AA$1,1)-Log_2019[[#This Row],[Date]]))</f>
        <v>0</v>
      </c>
    </row>
    <row r="30" spans="1:29" x14ac:dyDescent="0.25">
      <c r="A30" s="42"/>
      <c r="B30" s="34" t="s">
        <v>6</v>
      </c>
      <c r="C30" s="34"/>
      <c r="D30" s="35">
        <v>43815</v>
      </c>
      <c r="E30" s="34"/>
      <c r="F30" s="34" t="s">
        <v>255</v>
      </c>
      <c r="G30" s="34" t="s">
        <v>12</v>
      </c>
      <c r="H30">
        <v>-25.67</v>
      </c>
      <c r="I30" s="36">
        <f>IF(Log_2019[[#This Row],[My Category]]="NONTRACKED",0,Log_2019[[#This Row],[Raw Amount]])</f>
        <v>-25.67</v>
      </c>
      <c r="J30" s="37">
        <f>ABS(Log_2019[[#This Row],[Amount]])</f>
        <v>25.67</v>
      </c>
      <c r="K30" s="38">
        <v>1</v>
      </c>
      <c r="L30" s="38">
        <f ca="1">IF(Log_2019[[#This Row],[Date]]&lt;=TODAY(), MIN(Log_2019[[#This Row],[Split_raw]], TODAY()-Log_2019[[#This Row],[Date]]+1), 0)</f>
        <v>1</v>
      </c>
      <c r="M30" s="34" t="s">
        <v>52</v>
      </c>
      <c r="N30" s="34" t="s">
        <v>158</v>
      </c>
      <c r="O30" s="7">
        <v>0</v>
      </c>
      <c r="P30" s="52">
        <f ca="1">Log_2019[[#This Row],[Amount]]/Log_2019[[#This Row],[Split_raw]]*MAX(0,MIN(_xlfn.DAYS(EDATE(P$1,1),Log_2019[[#This Row],[Date]]),Log_2019[[#This Row],[Split_apply]])) - SUM($O30:O30)</f>
        <v>0</v>
      </c>
      <c r="Q30" s="52">
        <f ca="1">Log_2019[[#This Row],[Amount]]/Log_2019[[#This Row],[Split_raw]]*MAX(0,MIN(_xlfn.DAYS(EDATE(Q$1,1),Log_2019[[#This Row],[Date]]),Log_2019[[#This Row],[Split_apply]])) - SUM($O30:P30)</f>
        <v>0</v>
      </c>
      <c r="R30" s="52">
        <f ca="1">Log_2019[[#This Row],[Amount]]/Log_2019[[#This Row],[Split_raw]]*MAX(0,MIN(_xlfn.DAYS(EDATE(R$1,1),Log_2019[[#This Row],[Date]]),Log_2019[[#This Row],[Split_apply]])) - SUM($O30:Q30)</f>
        <v>0</v>
      </c>
      <c r="S30" s="52">
        <f ca="1">Log_2019[[#This Row],[Amount]]/Log_2019[[#This Row],[Split_raw]]*MAX(0,MIN(_xlfn.DAYS(EDATE(S$1,1),Log_2019[[#This Row],[Date]]),Log_2019[[#This Row],[Split_apply]])) - SUM($O30:R30)</f>
        <v>0</v>
      </c>
      <c r="T30" s="52">
        <f ca="1">Log_2019[[#This Row],[Amount]]/Log_2019[[#This Row],[Split_raw]]*MAX(0,MIN(_xlfn.DAYS(EDATE(T$1,1),Log_2019[[#This Row],[Date]]),Log_2019[[#This Row],[Split_apply]])) - SUM($O30:S30)</f>
        <v>0</v>
      </c>
      <c r="U30" s="52">
        <f ca="1">Log_2019[[#This Row],[Amount]]/Log_2019[[#This Row],[Split_raw]]*MAX(0,MIN(_xlfn.DAYS(EDATE(U$1,1),Log_2019[[#This Row],[Date]]),Log_2019[[#This Row],[Split_apply]])) - SUM($O30:T30)</f>
        <v>0</v>
      </c>
      <c r="V30" s="52">
        <f ca="1">Log_2019[[#This Row],[Amount]]/Log_2019[[#This Row],[Split_raw]]*MAX(0,MIN(_xlfn.DAYS(EDATE(V$1,1),Log_2019[[#This Row],[Date]]),Log_2019[[#This Row],[Split_apply]])) - SUM($O30:U30)</f>
        <v>0</v>
      </c>
      <c r="W30" s="52">
        <f ca="1">Log_2019[[#This Row],[Amount]]/Log_2019[[#This Row],[Split_raw]]*MAX(0,MIN(_xlfn.DAYS(EDATE(W$1,1),Log_2019[[#This Row],[Date]]),Log_2019[[#This Row],[Split_apply]])) - SUM($O30:V30)</f>
        <v>0</v>
      </c>
      <c r="X30" s="52">
        <f ca="1">Log_2019[[#This Row],[Amount]]/Log_2019[[#This Row],[Split_raw]]*MAX(0,MIN(_xlfn.DAYS(EDATE(X$1,1),Log_2019[[#This Row],[Date]]),Log_2019[[#This Row],[Split_apply]])) - SUM($O30:W30)</f>
        <v>0</v>
      </c>
      <c r="Y30" s="52">
        <f ca="1">Log_2019[[#This Row],[Amount]]/Log_2019[[#This Row],[Split_raw]]*MAX(0,MIN(_xlfn.DAYS(EDATE(Y$1,1),Log_2019[[#This Row],[Date]]),Log_2019[[#This Row],[Split_apply]])) - SUM($O30:X30)</f>
        <v>0</v>
      </c>
      <c r="Z30" s="52">
        <f ca="1">Log_2019[[#This Row],[Amount]]/Log_2019[[#This Row],[Split_raw]]*MAX(0,MIN(_xlfn.DAYS(EDATE(Z$1,1),Log_2019[[#This Row],[Date]]),Log_2019[[#This Row],[Split_apply]])) - SUM($O30:Y30)</f>
        <v>0</v>
      </c>
      <c r="AA30" s="52">
        <f ca="1">Log_2019[[#This Row],[Amount]]/Log_2019[[#This Row],[Split_raw]]*MAX(0,MIN(_xlfn.DAYS(EDATE(AA$1,1),Log_2019[[#This Row],[Date]]),Log_2019[[#This Row],[Split_apply]])) - SUM($O30:Z30)</f>
        <v>-25.67</v>
      </c>
      <c r="AB30" s="54">
        <f ca="1">Log_2019[[#This Row],[Amount]]-SUM(O30:AA30)</f>
        <v>0</v>
      </c>
      <c r="AC30" s="7">
        <f>MAX(0,Log_2019[[#This Row],[Split_raw]] - (EDATE(AA$1,1)-Log_2019[[#This Row],[Date]]))</f>
        <v>0</v>
      </c>
    </row>
    <row r="31" spans="1:29" x14ac:dyDescent="0.25">
      <c r="A31" s="42"/>
      <c r="B31" s="34" t="s">
        <v>6</v>
      </c>
      <c r="C31" s="34"/>
      <c r="D31" s="35">
        <v>43815</v>
      </c>
      <c r="E31" s="34"/>
      <c r="F31" s="34" t="s">
        <v>242</v>
      </c>
      <c r="G31" s="34" t="s">
        <v>749</v>
      </c>
      <c r="H31">
        <f>--12.42</f>
        <v>12.42</v>
      </c>
      <c r="I31" s="36">
        <f>IF(Log_2019[[#This Row],[My Category]]="NONTRACKED",0,Log_2019[[#This Row],[Raw Amount]])</f>
        <v>12.42</v>
      </c>
      <c r="J31" s="37">
        <f>ABS(Log_2019[[#This Row],[Amount]])</f>
        <v>12.42</v>
      </c>
      <c r="K31" s="38">
        <v>1</v>
      </c>
      <c r="L31" s="38">
        <f ca="1">IF(Log_2019[[#This Row],[Date]]&lt;=TODAY(), MIN(Log_2019[[#This Row],[Split_raw]], TODAY()-Log_2019[[#This Row],[Date]]+1), 0)</f>
        <v>1</v>
      </c>
      <c r="M31" s="34" t="s">
        <v>144</v>
      </c>
      <c r="N31" s="34" t="s">
        <v>160</v>
      </c>
      <c r="O31" s="7">
        <v>0</v>
      </c>
      <c r="P31" s="52">
        <f ca="1">Log_2019[[#This Row],[Amount]]/Log_2019[[#This Row],[Split_raw]]*MAX(0,MIN(_xlfn.DAYS(EDATE(P$1,1),Log_2019[[#This Row],[Date]]),Log_2019[[#This Row],[Split_apply]])) - SUM($O31:O31)</f>
        <v>0</v>
      </c>
      <c r="Q31" s="52">
        <f ca="1">Log_2019[[#This Row],[Amount]]/Log_2019[[#This Row],[Split_raw]]*MAX(0,MIN(_xlfn.DAYS(EDATE(Q$1,1),Log_2019[[#This Row],[Date]]),Log_2019[[#This Row],[Split_apply]])) - SUM($O31:P31)</f>
        <v>0</v>
      </c>
      <c r="R31" s="52">
        <f ca="1">Log_2019[[#This Row],[Amount]]/Log_2019[[#This Row],[Split_raw]]*MAX(0,MIN(_xlfn.DAYS(EDATE(R$1,1),Log_2019[[#This Row],[Date]]),Log_2019[[#This Row],[Split_apply]])) - SUM($O31:Q31)</f>
        <v>0</v>
      </c>
      <c r="S31" s="52">
        <f ca="1">Log_2019[[#This Row],[Amount]]/Log_2019[[#This Row],[Split_raw]]*MAX(0,MIN(_xlfn.DAYS(EDATE(S$1,1),Log_2019[[#This Row],[Date]]),Log_2019[[#This Row],[Split_apply]])) - SUM($O31:R31)</f>
        <v>0</v>
      </c>
      <c r="T31" s="52">
        <f ca="1">Log_2019[[#This Row],[Amount]]/Log_2019[[#This Row],[Split_raw]]*MAX(0,MIN(_xlfn.DAYS(EDATE(T$1,1),Log_2019[[#This Row],[Date]]),Log_2019[[#This Row],[Split_apply]])) - SUM($O31:S31)</f>
        <v>0</v>
      </c>
      <c r="U31" s="52">
        <f ca="1">Log_2019[[#This Row],[Amount]]/Log_2019[[#This Row],[Split_raw]]*MAX(0,MIN(_xlfn.DAYS(EDATE(U$1,1),Log_2019[[#This Row],[Date]]),Log_2019[[#This Row],[Split_apply]])) - SUM($O31:T31)</f>
        <v>0</v>
      </c>
      <c r="V31" s="52">
        <f ca="1">Log_2019[[#This Row],[Amount]]/Log_2019[[#This Row],[Split_raw]]*MAX(0,MIN(_xlfn.DAYS(EDATE(V$1,1),Log_2019[[#This Row],[Date]]),Log_2019[[#This Row],[Split_apply]])) - SUM($O31:U31)</f>
        <v>0</v>
      </c>
      <c r="W31" s="52">
        <f ca="1">Log_2019[[#This Row],[Amount]]/Log_2019[[#This Row],[Split_raw]]*MAX(0,MIN(_xlfn.DAYS(EDATE(W$1,1),Log_2019[[#This Row],[Date]]),Log_2019[[#This Row],[Split_apply]])) - SUM($O31:V31)</f>
        <v>0</v>
      </c>
      <c r="X31" s="52">
        <f ca="1">Log_2019[[#This Row],[Amount]]/Log_2019[[#This Row],[Split_raw]]*MAX(0,MIN(_xlfn.DAYS(EDATE(X$1,1),Log_2019[[#This Row],[Date]]),Log_2019[[#This Row],[Split_apply]])) - SUM($O31:W31)</f>
        <v>0</v>
      </c>
      <c r="Y31" s="52">
        <f ca="1">Log_2019[[#This Row],[Amount]]/Log_2019[[#This Row],[Split_raw]]*MAX(0,MIN(_xlfn.DAYS(EDATE(Y$1,1),Log_2019[[#This Row],[Date]]),Log_2019[[#This Row],[Split_apply]])) - SUM($O31:X31)</f>
        <v>0</v>
      </c>
      <c r="Z31" s="52">
        <f ca="1">Log_2019[[#This Row],[Amount]]/Log_2019[[#This Row],[Split_raw]]*MAX(0,MIN(_xlfn.DAYS(EDATE(Z$1,1),Log_2019[[#This Row],[Date]]),Log_2019[[#This Row],[Split_apply]])) - SUM($O31:Y31)</f>
        <v>0</v>
      </c>
      <c r="AA31" s="52">
        <f ca="1">Log_2019[[#This Row],[Amount]]/Log_2019[[#This Row],[Split_raw]]*MAX(0,MIN(_xlfn.DAYS(EDATE(AA$1,1),Log_2019[[#This Row],[Date]]),Log_2019[[#This Row],[Split_apply]])) - SUM($O31:Z31)</f>
        <v>12.42</v>
      </c>
      <c r="AB31" s="54">
        <f ca="1">Log_2019[[#This Row],[Amount]]-SUM(O31:AA31)</f>
        <v>0</v>
      </c>
      <c r="AC31" s="7">
        <f>MAX(0,Log_2019[[#This Row],[Split_raw]] - (EDATE(AA$1,1)-Log_2019[[#This Row],[Date]]))</f>
        <v>0</v>
      </c>
    </row>
    <row r="32" spans="1:29" x14ac:dyDescent="0.25">
      <c r="A32" s="42"/>
      <c r="B32" s="34" t="s">
        <v>6</v>
      </c>
      <c r="C32" s="34"/>
      <c r="D32" s="35">
        <v>43814</v>
      </c>
      <c r="E32" s="34"/>
      <c r="F32" s="34" t="s">
        <v>671</v>
      </c>
      <c r="G32" s="34" t="s">
        <v>25</v>
      </c>
      <c r="H32">
        <v>-12.41</v>
      </c>
      <c r="I32" s="36">
        <f>IF(Log_2019[[#This Row],[My Category]]="NONTRACKED",0,Log_2019[[#This Row],[Raw Amount]])</f>
        <v>-12.41</v>
      </c>
      <c r="J32" s="37">
        <f>ABS(Log_2019[[#This Row],[Amount]])</f>
        <v>12.41</v>
      </c>
      <c r="K32" s="38">
        <v>1</v>
      </c>
      <c r="L32" s="38">
        <f ca="1">IF(Log_2019[[#This Row],[Date]]&lt;=TODAY(), MIN(Log_2019[[#This Row],[Split_raw]], TODAY()-Log_2019[[#This Row],[Date]]+1), 0)</f>
        <v>1</v>
      </c>
      <c r="M32" s="34" t="s">
        <v>35</v>
      </c>
      <c r="N32" s="34" t="s">
        <v>158</v>
      </c>
      <c r="O32" s="7">
        <v>0</v>
      </c>
      <c r="P32" s="52">
        <f ca="1">Log_2019[[#This Row],[Amount]]/Log_2019[[#This Row],[Split_raw]]*MAX(0,MIN(_xlfn.DAYS(EDATE(P$1,1),Log_2019[[#This Row],[Date]]),Log_2019[[#This Row],[Split_apply]])) - SUM($O32:O32)</f>
        <v>0</v>
      </c>
      <c r="Q32" s="52">
        <f ca="1">Log_2019[[#This Row],[Amount]]/Log_2019[[#This Row],[Split_raw]]*MAX(0,MIN(_xlfn.DAYS(EDATE(Q$1,1),Log_2019[[#This Row],[Date]]),Log_2019[[#This Row],[Split_apply]])) - SUM($O32:P32)</f>
        <v>0</v>
      </c>
      <c r="R32" s="52">
        <f ca="1">Log_2019[[#This Row],[Amount]]/Log_2019[[#This Row],[Split_raw]]*MAX(0,MIN(_xlfn.DAYS(EDATE(R$1,1),Log_2019[[#This Row],[Date]]),Log_2019[[#This Row],[Split_apply]])) - SUM($O32:Q32)</f>
        <v>0</v>
      </c>
      <c r="S32" s="52">
        <f ca="1">Log_2019[[#This Row],[Amount]]/Log_2019[[#This Row],[Split_raw]]*MAX(0,MIN(_xlfn.DAYS(EDATE(S$1,1),Log_2019[[#This Row],[Date]]),Log_2019[[#This Row],[Split_apply]])) - SUM($O32:R32)</f>
        <v>0</v>
      </c>
      <c r="T32" s="52">
        <f ca="1">Log_2019[[#This Row],[Amount]]/Log_2019[[#This Row],[Split_raw]]*MAX(0,MIN(_xlfn.DAYS(EDATE(T$1,1),Log_2019[[#This Row],[Date]]),Log_2019[[#This Row],[Split_apply]])) - SUM($O32:S32)</f>
        <v>0</v>
      </c>
      <c r="U32" s="52">
        <f ca="1">Log_2019[[#This Row],[Amount]]/Log_2019[[#This Row],[Split_raw]]*MAX(0,MIN(_xlfn.DAYS(EDATE(U$1,1),Log_2019[[#This Row],[Date]]),Log_2019[[#This Row],[Split_apply]])) - SUM($O32:T32)</f>
        <v>0</v>
      </c>
      <c r="V32" s="52">
        <f ca="1">Log_2019[[#This Row],[Amount]]/Log_2019[[#This Row],[Split_raw]]*MAX(0,MIN(_xlfn.DAYS(EDATE(V$1,1),Log_2019[[#This Row],[Date]]),Log_2019[[#This Row],[Split_apply]])) - SUM($O32:U32)</f>
        <v>0</v>
      </c>
      <c r="W32" s="52">
        <f ca="1">Log_2019[[#This Row],[Amount]]/Log_2019[[#This Row],[Split_raw]]*MAX(0,MIN(_xlfn.DAYS(EDATE(W$1,1),Log_2019[[#This Row],[Date]]),Log_2019[[#This Row],[Split_apply]])) - SUM($O32:V32)</f>
        <v>0</v>
      </c>
      <c r="X32" s="52">
        <f ca="1">Log_2019[[#This Row],[Amount]]/Log_2019[[#This Row],[Split_raw]]*MAX(0,MIN(_xlfn.DAYS(EDATE(X$1,1),Log_2019[[#This Row],[Date]]),Log_2019[[#This Row],[Split_apply]])) - SUM($O32:W32)</f>
        <v>0</v>
      </c>
      <c r="Y32" s="52">
        <f ca="1">Log_2019[[#This Row],[Amount]]/Log_2019[[#This Row],[Split_raw]]*MAX(0,MIN(_xlfn.DAYS(EDATE(Y$1,1),Log_2019[[#This Row],[Date]]),Log_2019[[#This Row],[Split_apply]])) - SUM($O32:X32)</f>
        <v>0</v>
      </c>
      <c r="Z32" s="52">
        <f ca="1">Log_2019[[#This Row],[Amount]]/Log_2019[[#This Row],[Split_raw]]*MAX(0,MIN(_xlfn.DAYS(EDATE(Z$1,1),Log_2019[[#This Row],[Date]]),Log_2019[[#This Row],[Split_apply]])) - SUM($O32:Y32)</f>
        <v>0</v>
      </c>
      <c r="AA32" s="52">
        <f ca="1">Log_2019[[#This Row],[Amount]]/Log_2019[[#This Row],[Split_raw]]*MAX(0,MIN(_xlfn.DAYS(EDATE(AA$1,1),Log_2019[[#This Row],[Date]]),Log_2019[[#This Row],[Split_apply]])) - SUM($O32:Z32)</f>
        <v>-12.41</v>
      </c>
      <c r="AB32" s="54">
        <f ca="1">Log_2019[[#This Row],[Amount]]-SUM(O32:AA32)</f>
        <v>0</v>
      </c>
      <c r="AC32" s="7">
        <f>MAX(0,Log_2019[[#This Row],[Split_raw]] - (EDATE(AA$1,1)-Log_2019[[#This Row],[Date]]))</f>
        <v>0</v>
      </c>
    </row>
    <row r="33" spans="1:29" x14ac:dyDescent="0.25">
      <c r="A33" s="42"/>
      <c r="B33" s="34" t="s">
        <v>6</v>
      </c>
      <c r="C33" s="34"/>
      <c r="D33" s="35">
        <v>43813</v>
      </c>
      <c r="E33" s="34"/>
      <c r="F33" s="34" t="s">
        <v>833</v>
      </c>
      <c r="G33" s="34" t="s">
        <v>19</v>
      </c>
      <c r="H33">
        <v>-10</v>
      </c>
      <c r="I33" s="36">
        <f>IF(Log_2019[[#This Row],[My Category]]="NONTRACKED",0,Log_2019[[#This Row],[Raw Amount]])</f>
        <v>-10</v>
      </c>
      <c r="J33" s="37">
        <f>ABS(Log_2019[[#This Row],[Amount]])</f>
        <v>10</v>
      </c>
      <c r="K33" s="38">
        <v>1</v>
      </c>
      <c r="L33" s="38">
        <f ca="1">IF(Log_2019[[#This Row],[Date]]&lt;=TODAY(), MIN(Log_2019[[#This Row],[Split_raw]], TODAY()-Log_2019[[#This Row],[Date]]+1), 0)</f>
        <v>1</v>
      </c>
      <c r="M33" s="34" t="s">
        <v>147</v>
      </c>
      <c r="N33" s="34" t="s">
        <v>158</v>
      </c>
      <c r="O33" s="7">
        <v>0</v>
      </c>
      <c r="P33" s="52">
        <f ca="1">Log_2019[[#This Row],[Amount]]/Log_2019[[#This Row],[Split_raw]]*MAX(0,MIN(_xlfn.DAYS(EDATE(P$1,1),Log_2019[[#This Row],[Date]]),Log_2019[[#This Row],[Split_apply]])) - SUM($O33:O33)</f>
        <v>0</v>
      </c>
      <c r="Q33" s="52">
        <f ca="1">Log_2019[[#This Row],[Amount]]/Log_2019[[#This Row],[Split_raw]]*MAX(0,MIN(_xlfn.DAYS(EDATE(Q$1,1),Log_2019[[#This Row],[Date]]),Log_2019[[#This Row],[Split_apply]])) - SUM($O33:P33)</f>
        <v>0</v>
      </c>
      <c r="R33" s="52">
        <f ca="1">Log_2019[[#This Row],[Amount]]/Log_2019[[#This Row],[Split_raw]]*MAX(0,MIN(_xlfn.DAYS(EDATE(R$1,1),Log_2019[[#This Row],[Date]]),Log_2019[[#This Row],[Split_apply]])) - SUM($O33:Q33)</f>
        <v>0</v>
      </c>
      <c r="S33" s="52">
        <f ca="1">Log_2019[[#This Row],[Amount]]/Log_2019[[#This Row],[Split_raw]]*MAX(0,MIN(_xlfn.DAYS(EDATE(S$1,1),Log_2019[[#This Row],[Date]]),Log_2019[[#This Row],[Split_apply]])) - SUM($O33:R33)</f>
        <v>0</v>
      </c>
      <c r="T33" s="52">
        <f ca="1">Log_2019[[#This Row],[Amount]]/Log_2019[[#This Row],[Split_raw]]*MAX(0,MIN(_xlfn.DAYS(EDATE(T$1,1),Log_2019[[#This Row],[Date]]),Log_2019[[#This Row],[Split_apply]])) - SUM($O33:S33)</f>
        <v>0</v>
      </c>
      <c r="U33" s="52">
        <f ca="1">Log_2019[[#This Row],[Amount]]/Log_2019[[#This Row],[Split_raw]]*MAX(0,MIN(_xlfn.DAYS(EDATE(U$1,1),Log_2019[[#This Row],[Date]]),Log_2019[[#This Row],[Split_apply]])) - SUM($O33:T33)</f>
        <v>0</v>
      </c>
      <c r="V33" s="52">
        <f ca="1">Log_2019[[#This Row],[Amount]]/Log_2019[[#This Row],[Split_raw]]*MAX(0,MIN(_xlfn.DAYS(EDATE(V$1,1),Log_2019[[#This Row],[Date]]),Log_2019[[#This Row],[Split_apply]])) - SUM($O33:U33)</f>
        <v>0</v>
      </c>
      <c r="W33" s="52">
        <f ca="1">Log_2019[[#This Row],[Amount]]/Log_2019[[#This Row],[Split_raw]]*MAX(0,MIN(_xlfn.DAYS(EDATE(W$1,1),Log_2019[[#This Row],[Date]]),Log_2019[[#This Row],[Split_apply]])) - SUM($O33:V33)</f>
        <v>0</v>
      </c>
      <c r="X33" s="52">
        <f ca="1">Log_2019[[#This Row],[Amount]]/Log_2019[[#This Row],[Split_raw]]*MAX(0,MIN(_xlfn.DAYS(EDATE(X$1,1),Log_2019[[#This Row],[Date]]),Log_2019[[#This Row],[Split_apply]])) - SUM($O33:W33)</f>
        <v>0</v>
      </c>
      <c r="Y33" s="52">
        <f ca="1">Log_2019[[#This Row],[Amount]]/Log_2019[[#This Row],[Split_raw]]*MAX(0,MIN(_xlfn.DAYS(EDATE(Y$1,1),Log_2019[[#This Row],[Date]]),Log_2019[[#This Row],[Split_apply]])) - SUM($O33:X33)</f>
        <v>0</v>
      </c>
      <c r="Z33" s="52">
        <f ca="1">Log_2019[[#This Row],[Amount]]/Log_2019[[#This Row],[Split_raw]]*MAX(0,MIN(_xlfn.DAYS(EDATE(Z$1,1),Log_2019[[#This Row],[Date]]),Log_2019[[#This Row],[Split_apply]])) - SUM($O33:Y33)</f>
        <v>0</v>
      </c>
      <c r="AA33" s="52">
        <f ca="1">Log_2019[[#This Row],[Amount]]/Log_2019[[#This Row],[Split_raw]]*MAX(0,MIN(_xlfn.DAYS(EDATE(AA$1,1),Log_2019[[#This Row],[Date]]),Log_2019[[#This Row],[Split_apply]])) - SUM($O33:Z33)</f>
        <v>-10</v>
      </c>
      <c r="AB33" s="54">
        <f ca="1">Log_2019[[#This Row],[Amount]]-SUM(O33:AA33)</f>
        <v>0</v>
      </c>
      <c r="AC33" s="7">
        <f>MAX(0,Log_2019[[#This Row],[Split_raw]] - (EDATE(AA$1,1)-Log_2019[[#This Row],[Date]]))</f>
        <v>0</v>
      </c>
    </row>
    <row r="34" spans="1:29" x14ac:dyDescent="0.25">
      <c r="A34" s="42"/>
      <c r="B34" s="34" t="s">
        <v>6</v>
      </c>
      <c r="C34" s="34"/>
      <c r="D34" s="35">
        <v>43812</v>
      </c>
      <c r="E34" s="34"/>
      <c r="F34" s="34" t="s">
        <v>845</v>
      </c>
      <c r="G34" s="34" t="s">
        <v>29</v>
      </c>
      <c r="H34">
        <v>-40.270000000000003</v>
      </c>
      <c r="I34" s="36">
        <f>IF(Log_2019[[#This Row],[My Category]]="NONTRACKED",0,Log_2019[[#This Row],[Raw Amount]])</f>
        <v>-40.270000000000003</v>
      </c>
      <c r="J34" s="37">
        <f>ABS(Log_2019[[#This Row],[Amount]])</f>
        <v>40.270000000000003</v>
      </c>
      <c r="K34" s="38">
        <v>30</v>
      </c>
      <c r="L34" s="38">
        <f ca="1">IF(Log_2019[[#This Row],[Date]]&lt;=TODAY(), MIN(Log_2019[[#This Row],[Split_raw]], TODAY()-Log_2019[[#This Row],[Date]]+1), 0)</f>
        <v>30</v>
      </c>
      <c r="M34" s="34" t="s">
        <v>29</v>
      </c>
      <c r="N34" s="34" t="s">
        <v>160</v>
      </c>
      <c r="O34" s="7">
        <v>0</v>
      </c>
      <c r="P34" s="52">
        <f ca="1">Log_2019[[#This Row],[Amount]]/Log_2019[[#This Row],[Split_raw]]*MAX(0,MIN(_xlfn.DAYS(EDATE(P$1,1),Log_2019[[#This Row],[Date]]),Log_2019[[#This Row],[Split_apply]])) - SUM($O34:O34)</f>
        <v>0</v>
      </c>
      <c r="Q34" s="52">
        <f ca="1">Log_2019[[#This Row],[Amount]]/Log_2019[[#This Row],[Split_raw]]*MAX(0,MIN(_xlfn.DAYS(EDATE(Q$1,1),Log_2019[[#This Row],[Date]]),Log_2019[[#This Row],[Split_apply]])) - SUM($O34:P34)</f>
        <v>0</v>
      </c>
      <c r="R34" s="52">
        <f ca="1">Log_2019[[#This Row],[Amount]]/Log_2019[[#This Row],[Split_raw]]*MAX(0,MIN(_xlfn.DAYS(EDATE(R$1,1),Log_2019[[#This Row],[Date]]),Log_2019[[#This Row],[Split_apply]])) - SUM($O34:Q34)</f>
        <v>0</v>
      </c>
      <c r="S34" s="52">
        <f ca="1">Log_2019[[#This Row],[Amount]]/Log_2019[[#This Row],[Split_raw]]*MAX(0,MIN(_xlfn.DAYS(EDATE(S$1,1),Log_2019[[#This Row],[Date]]),Log_2019[[#This Row],[Split_apply]])) - SUM($O34:R34)</f>
        <v>0</v>
      </c>
      <c r="T34" s="52">
        <f ca="1">Log_2019[[#This Row],[Amount]]/Log_2019[[#This Row],[Split_raw]]*MAX(0,MIN(_xlfn.DAYS(EDATE(T$1,1),Log_2019[[#This Row],[Date]]),Log_2019[[#This Row],[Split_apply]])) - SUM($O34:S34)</f>
        <v>0</v>
      </c>
      <c r="U34" s="52">
        <f ca="1">Log_2019[[#This Row],[Amount]]/Log_2019[[#This Row],[Split_raw]]*MAX(0,MIN(_xlfn.DAYS(EDATE(U$1,1),Log_2019[[#This Row],[Date]]),Log_2019[[#This Row],[Split_apply]])) - SUM($O34:T34)</f>
        <v>0</v>
      </c>
      <c r="V34" s="52">
        <f ca="1">Log_2019[[#This Row],[Amount]]/Log_2019[[#This Row],[Split_raw]]*MAX(0,MIN(_xlfn.DAYS(EDATE(V$1,1),Log_2019[[#This Row],[Date]]),Log_2019[[#This Row],[Split_apply]])) - SUM($O34:U34)</f>
        <v>0</v>
      </c>
      <c r="W34" s="52">
        <f ca="1">Log_2019[[#This Row],[Amount]]/Log_2019[[#This Row],[Split_raw]]*MAX(0,MIN(_xlfn.DAYS(EDATE(W$1,1),Log_2019[[#This Row],[Date]]),Log_2019[[#This Row],[Split_apply]])) - SUM($O34:V34)</f>
        <v>0</v>
      </c>
      <c r="X34" s="52">
        <f ca="1">Log_2019[[#This Row],[Amount]]/Log_2019[[#This Row],[Split_raw]]*MAX(0,MIN(_xlfn.DAYS(EDATE(X$1,1),Log_2019[[#This Row],[Date]]),Log_2019[[#This Row],[Split_apply]])) - SUM($O34:W34)</f>
        <v>0</v>
      </c>
      <c r="Y34" s="52">
        <f ca="1">Log_2019[[#This Row],[Amount]]/Log_2019[[#This Row],[Split_raw]]*MAX(0,MIN(_xlfn.DAYS(EDATE(Y$1,1),Log_2019[[#This Row],[Date]]),Log_2019[[#This Row],[Split_apply]])) - SUM($O34:X34)</f>
        <v>0</v>
      </c>
      <c r="Z34" s="52">
        <f ca="1">Log_2019[[#This Row],[Amount]]/Log_2019[[#This Row],[Split_raw]]*MAX(0,MIN(_xlfn.DAYS(EDATE(Z$1,1),Log_2019[[#This Row],[Date]]),Log_2019[[#This Row],[Split_apply]])) - SUM($O34:Y34)</f>
        <v>0</v>
      </c>
      <c r="AA34" s="52">
        <f ca="1">Log_2019[[#This Row],[Amount]]/Log_2019[[#This Row],[Split_raw]]*MAX(0,MIN(_xlfn.DAYS(EDATE(AA$1,1),Log_2019[[#This Row],[Date]]),Log_2019[[#This Row],[Split_apply]])) - SUM($O34:Z34)</f>
        <v>-25.504333333333335</v>
      </c>
      <c r="AB34" s="54">
        <f ca="1">Log_2019[[#This Row],[Amount]]-SUM(O34:AA34)</f>
        <v>-14.765666666666668</v>
      </c>
      <c r="AC34" s="7">
        <f>MAX(0,Log_2019[[#This Row],[Split_raw]] - (EDATE(AA$1,1)-Log_2019[[#This Row],[Date]]))</f>
        <v>11</v>
      </c>
    </row>
    <row r="35" spans="1:29" x14ac:dyDescent="0.25">
      <c r="A35" s="42"/>
      <c r="B35" s="34" t="s">
        <v>6</v>
      </c>
      <c r="C35" s="34"/>
      <c r="D35" s="35">
        <v>43810</v>
      </c>
      <c r="E35" s="34"/>
      <c r="F35" s="34" t="s">
        <v>83</v>
      </c>
      <c r="G35" s="34" t="s">
        <v>15</v>
      </c>
      <c r="H35">
        <v>-200.57</v>
      </c>
      <c r="I35" s="36">
        <f>IF(Log_2019[[#This Row],[My Category]]="NONTRACKED",0,Log_2019[[#This Row],[Raw Amount]])</f>
        <v>-200.57</v>
      </c>
      <c r="J35" s="37">
        <f>ABS(Log_2019[[#This Row],[Amount]])</f>
        <v>200.57</v>
      </c>
      <c r="K35" s="38">
        <v>30</v>
      </c>
      <c r="L35" s="38">
        <f ca="1">IF(Log_2019[[#This Row],[Date]]&lt;=TODAY(), MIN(Log_2019[[#This Row],[Split_raw]], TODAY()-Log_2019[[#This Row],[Date]]+1), 0)</f>
        <v>30</v>
      </c>
      <c r="M35" s="34" t="s">
        <v>241</v>
      </c>
      <c r="N35" s="34" t="s">
        <v>160</v>
      </c>
      <c r="O35" s="7">
        <v>0</v>
      </c>
      <c r="P35" s="52">
        <f ca="1">Log_2019[[#This Row],[Amount]]/Log_2019[[#This Row],[Split_raw]]*MAX(0,MIN(_xlfn.DAYS(EDATE(P$1,1),Log_2019[[#This Row],[Date]]),Log_2019[[#This Row],[Split_apply]])) - SUM($O35:O35)</f>
        <v>0</v>
      </c>
      <c r="Q35" s="52">
        <f ca="1">Log_2019[[#This Row],[Amount]]/Log_2019[[#This Row],[Split_raw]]*MAX(0,MIN(_xlfn.DAYS(EDATE(Q$1,1),Log_2019[[#This Row],[Date]]),Log_2019[[#This Row],[Split_apply]])) - SUM($O35:P35)</f>
        <v>0</v>
      </c>
      <c r="R35" s="52">
        <f ca="1">Log_2019[[#This Row],[Amount]]/Log_2019[[#This Row],[Split_raw]]*MAX(0,MIN(_xlfn.DAYS(EDATE(R$1,1),Log_2019[[#This Row],[Date]]),Log_2019[[#This Row],[Split_apply]])) - SUM($O35:Q35)</f>
        <v>0</v>
      </c>
      <c r="S35" s="52">
        <f ca="1">Log_2019[[#This Row],[Amount]]/Log_2019[[#This Row],[Split_raw]]*MAX(0,MIN(_xlfn.DAYS(EDATE(S$1,1),Log_2019[[#This Row],[Date]]),Log_2019[[#This Row],[Split_apply]])) - SUM($O35:R35)</f>
        <v>0</v>
      </c>
      <c r="T35" s="52">
        <f ca="1">Log_2019[[#This Row],[Amount]]/Log_2019[[#This Row],[Split_raw]]*MAX(0,MIN(_xlfn.DAYS(EDATE(T$1,1),Log_2019[[#This Row],[Date]]),Log_2019[[#This Row],[Split_apply]])) - SUM($O35:S35)</f>
        <v>0</v>
      </c>
      <c r="U35" s="52">
        <f ca="1">Log_2019[[#This Row],[Amount]]/Log_2019[[#This Row],[Split_raw]]*MAX(0,MIN(_xlfn.DAYS(EDATE(U$1,1),Log_2019[[#This Row],[Date]]),Log_2019[[#This Row],[Split_apply]])) - SUM($O35:T35)</f>
        <v>0</v>
      </c>
      <c r="V35" s="52">
        <f ca="1">Log_2019[[#This Row],[Amount]]/Log_2019[[#This Row],[Split_raw]]*MAX(0,MIN(_xlfn.DAYS(EDATE(V$1,1),Log_2019[[#This Row],[Date]]),Log_2019[[#This Row],[Split_apply]])) - SUM($O35:U35)</f>
        <v>0</v>
      </c>
      <c r="W35" s="52">
        <f ca="1">Log_2019[[#This Row],[Amount]]/Log_2019[[#This Row],[Split_raw]]*MAX(0,MIN(_xlfn.DAYS(EDATE(W$1,1),Log_2019[[#This Row],[Date]]),Log_2019[[#This Row],[Split_apply]])) - SUM($O35:V35)</f>
        <v>0</v>
      </c>
      <c r="X35" s="52">
        <f ca="1">Log_2019[[#This Row],[Amount]]/Log_2019[[#This Row],[Split_raw]]*MAX(0,MIN(_xlfn.DAYS(EDATE(X$1,1),Log_2019[[#This Row],[Date]]),Log_2019[[#This Row],[Split_apply]])) - SUM($O35:W35)</f>
        <v>0</v>
      </c>
      <c r="Y35" s="52">
        <f ca="1">Log_2019[[#This Row],[Amount]]/Log_2019[[#This Row],[Split_raw]]*MAX(0,MIN(_xlfn.DAYS(EDATE(Y$1,1),Log_2019[[#This Row],[Date]]),Log_2019[[#This Row],[Split_apply]])) - SUM($O35:X35)</f>
        <v>0</v>
      </c>
      <c r="Z35" s="52">
        <f ca="1">Log_2019[[#This Row],[Amount]]/Log_2019[[#This Row],[Split_raw]]*MAX(0,MIN(_xlfn.DAYS(EDATE(Z$1,1),Log_2019[[#This Row],[Date]]),Log_2019[[#This Row],[Split_apply]])) - SUM($O35:Y35)</f>
        <v>0</v>
      </c>
      <c r="AA35" s="52">
        <f ca="1">Log_2019[[#This Row],[Amount]]/Log_2019[[#This Row],[Split_raw]]*MAX(0,MIN(_xlfn.DAYS(EDATE(AA$1,1),Log_2019[[#This Row],[Date]]),Log_2019[[#This Row],[Split_apply]])) - SUM($O35:Z35)</f>
        <v>-140.399</v>
      </c>
      <c r="AB35" s="54">
        <f ca="1">Log_2019[[#This Row],[Amount]]-SUM(O35:AA35)</f>
        <v>-60.170999999999992</v>
      </c>
      <c r="AC35" s="7">
        <f>MAX(0,Log_2019[[#This Row],[Split_raw]] - (EDATE(AA$1,1)-Log_2019[[#This Row],[Date]]))</f>
        <v>9</v>
      </c>
    </row>
    <row r="36" spans="1:29" x14ac:dyDescent="0.25">
      <c r="A36" s="42"/>
      <c r="B36" s="34" t="s">
        <v>6</v>
      </c>
      <c r="C36" s="34"/>
      <c r="D36" s="35">
        <v>43809</v>
      </c>
      <c r="E36" s="34" t="s">
        <v>250</v>
      </c>
      <c r="F36" s="34" t="s">
        <v>243</v>
      </c>
      <c r="G36" s="34" t="s">
        <v>143</v>
      </c>
      <c r="H36">
        <v>-10.81</v>
      </c>
      <c r="I36" s="36">
        <f>IF(Log_2019[[#This Row],[My Category]]="NONTRACKED",0,Log_2019[[#This Row],[Raw Amount]])</f>
        <v>-10.81</v>
      </c>
      <c r="J36" s="37">
        <f>ABS(Log_2019[[#This Row],[Amount]])</f>
        <v>10.81</v>
      </c>
      <c r="K36" s="38">
        <v>30</v>
      </c>
      <c r="L36" s="38">
        <f ca="1">IF(Log_2019[[#This Row],[Date]]&lt;=TODAY(), MIN(Log_2019[[#This Row],[Split_raw]], TODAY()-Log_2019[[#This Row],[Date]]+1), 0)</f>
        <v>30</v>
      </c>
      <c r="M36" s="34" t="s">
        <v>53</v>
      </c>
      <c r="N36" s="34" t="s">
        <v>160</v>
      </c>
      <c r="O36" s="7">
        <v>0</v>
      </c>
      <c r="P36" s="52">
        <f ca="1">Log_2019[[#This Row],[Amount]]/Log_2019[[#This Row],[Split_raw]]*MAX(0,MIN(_xlfn.DAYS(EDATE(P$1,1),Log_2019[[#This Row],[Date]]),Log_2019[[#This Row],[Split_apply]])) - SUM($O36:O36)</f>
        <v>0</v>
      </c>
      <c r="Q36" s="52">
        <f ca="1">Log_2019[[#This Row],[Amount]]/Log_2019[[#This Row],[Split_raw]]*MAX(0,MIN(_xlfn.DAYS(EDATE(Q$1,1),Log_2019[[#This Row],[Date]]),Log_2019[[#This Row],[Split_apply]])) - SUM($O36:P36)</f>
        <v>0</v>
      </c>
      <c r="R36" s="52">
        <f ca="1">Log_2019[[#This Row],[Amount]]/Log_2019[[#This Row],[Split_raw]]*MAX(0,MIN(_xlfn.DAYS(EDATE(R$1,1),Log_2019[[#This Row],[Date]]),Log_2019[[#This Row],[Split_apply]])) - SUM($O36:Q36)</f>
        <v>0</v>
      </c>
      <c r="S36" s="52">
        <f ca="1">Log_2019[[#This Row],[Amount]]/Log_2019[[#This Row],[Split_raw]]*MAX(0,MIN(_xlfn.DAYS(EDATE(S$1,1),Log_2019[[#This Row],[Date]]),Log_2019[[#This Row],[Split_apply]])) - SUM($O36:R36)</f>
        <v>0</v>
      </c>
      <c r="T36" s="52">
        <f ca="1">Log_2019[[#This Row],[Amount]]/Log_2019[[#This Row],[Split_raw]]*MAX(0,MIN(_xlfn.DAYS(EDATE(T$1,1),Log_2019[[#This Row],[Date]]),Log_2019[[#This Row],[Split_apply]])) - SUM($O36:S36)</f>
        <v>0</v>
      </c>
      <c r="U36" s="52">
        <f ca="1">Log_2019[[#This Row],[Amount]]/Log_2019[[#This Row],[Split_raw]]*MAX(0,MIN(_xlfn.DAYS(EDATE(U$1,1),Log_2019[[#This Row],[Date]]),Log_2019[[#This Row],[Split_apply]])) - SUM($O36:T36)</f>
        <v>0</v>
      </c>
      <c r="V36" s="52">
        <f ca="1">Log_2019[[#This Row],[Amount]]/Log_2019[[#This Row],[Split_raw]]*MAX(0,MIN(_xlfn.DAYS(EDATE(V$1,1),Log_2019[[#This Row],[Date]]),Log_2019[[#This Row],[Split_apply]])) - SUM($O36:U36)</f>
        <v>0</v>
      </c>
      <c r="W36" s="52">
        <f ca="1">Log_2019[[#This Row],[Amount]]/Log_2019[[#This Row],[Split_raw]]*MAX(0,MIN(_xlfn.DAYS(EDATE(W$1,1),Log_2019[[#This Row],[Date]]),Log_2019[[#This Row],[Split_apply]])) - SUM($O36:V36)</f>
        <v>0</v>
      </c>
      <c r="X36" s="52">
        <f ca="1">Log_2019[[#This Row],[Amount]]/Log_2019[[#This Row],[Split_raw]]*MAX(0,MIN(_xlfn.DAYS(EDATE(X$1,1),Log_2019[[#This Row],[Date]]),Log_2019[[#This Row],[Split_apply]])) - SUM($O36:W36)</f>
        <v>0</v>
      </c>
      <c r="Y36" s="52">
        <f ca="1">Log_2019[[#This Row],[Amount]]/Log_2019[[#This Row],[Split_raw]]*MAX(0,MIN(_xlfn.DAYS(EDATE(Y$1,1),Log_2019[[#This Row],[Date]]),Log_2019[[#This Row],[Split_apply]])) - SUM($O36:X36)</f>
        <v>0</v>
      </c>
      <c r="Z36" s="52">
        <f ca="1">Log_2019[[#This Row],[Amount]]/Log_2019[[#This Row],[Split_raw]]*MAX(0,MIN(_xlfn.DAYS(EDATE(Z$1,1),Log_2019[[#This Row],[Date]]),Log_2019[[#This Row],[Split_apply]])) - SUM($O36:Y36)</f>
        <v>0</v>
      </c>
      <c r="AA36" s="52">
        <f ca="1">Log_2019[[#This Row],[Amount]]/Log_2019[[#This Row],[Split_raw]]*MAX(0,MIN(_xlfn.DAYS(EDATE(AA$1,1),Log_2019[[#This Row],[Date]]),Log_2019[[#This Row],[Split_apply]])) - SUM($O36:Z36)</f>
        <v>-7.9273333333333333</v>
      </c>
      <c r="AB36" s="54">
        <f ca="1">Log_2019[[#This Row],[Amount]]-SUM(O36:AA36)</f>
        <v>-2.8826666666666672</v>
      </c>
      <c r="AC36" s="7">
        <f>MAX(0,Log_2019[[#This Row],[Split_raw]] - (EDATE(AA$1,1)-Log_2019[[#This Row],[Date]]))</f>
        <v>8</v>
      </c>
    </row>
    <row r="37" spans="1:29" x14ac:dyDescent="0.25">
      <c r="A37" s="42"/>
      <c r="B37" s="34" t="s">
        <v>6</v>
      </c>
      <c r="C37" s="34"/>
      <c r="D37" s="35">
        <v>43808</v>
      </c>
      <c r="E37" s="34"/>
      <c r="F37" s="34" t="s">
        <v>345</v>
      </c>
      <c r="G37" s="34" t="s">
        <v>12</v>
      </c>
      <c r="H37">
        <v>-108.32</v>
      </c>
      <c r="I37" s="36">
        <f>IF(Log_2019[[#This Row],[My Category]]="NONTRACKED",0,Log_2019[[#This Row],[Raw Amount]])</f>
        <v>-108.32</v>
      </c>
      <c r="J37" s="37">
        <f>ABS(Log_2019[[#This Row],[Amount]])</f>
        <v>108.32</v>
      </c>
      <c r="K37" s="38">
        <v>1</v>
      </c>
      <c r="L37" s="38">
        <f ca="1">IF(Log_2019[[#This Row],[Date]]&lt;=TODAY(), MIN(Log_2019[[#This Row],[Split_raw]], TODAY()-Log_2019[[#This Row],[Date]]+1), 0)</f>
        <v>1</v>
      </c>
      <c r="M37" s="34" t="s">
        <v>12</v>
      </c>
      <c r="N37" s="34" t="s">
        <v>158</v>
      </c>
      <c r="O37" s="7">
        <v>0</v>
      </c>
      <c r="P37" s="52">
        <f ca="1">Log_2019[[#This Row],[Amount]]/Log_2019[[#This Row],[Split_raw]]*MAX(0,MIN(_xlfn.DAYS(EDATE(P$1,1),Log_2019[[#This Row],[Date]]),Log_2019[[#This Row],[Split_apply]])) - SUM($O37:O37)</f>
        <v>0</v>
      </c>
      <c r="Q37" s="52">
        <f ca="1">Log_2019[[#This Row],[Amount]]/Log_2019[[#This Row],[Split_raw]]*MAX(0,MIN(_xlfn.DAYS(EDATE(Q$1,1),Log_2019[[#This Row],[Date]]),Log_2019[[#This Row],[Split_apply]])) - SUM($O37:P37)</f>
        <v>0</v>
      </c>
      <c r="R37" s="52">
        <f ca="1">Log_2019[[#This Row],[Amount]]/Log_2019[[#This Row],[Split_raw]]*MAX(0,MIN(_xlfn.DAYS(EDATE(R$1,1),Log_2019[[#This Row],[Date]]),Log_2019[[#This Row],[Split_apply]])) - SUM($O37:Q37)</f>
        <v>0</v>
      </c>
      <c r="S37" s="52">
        <f ca="1">Log_2019[[#This Row],[Amount]]/Log_2019[[#This Row],[Split_raw]]*MAX(0,MIN(_xlfn.DAYS(EDATE(S$1,1),Log_2019[[#This Row],[Date]]),Log_2019[[#This Row],[Split_apply]])) - SUM($O37:R37)</f>
        <v>0</v>
      </c>
      <c r="T37" s="52">
        <f ca="1">Log_2019[[#This Row],[Amount]]/Log_2019[[#This Row],[Split_raw]]*MAX(0,MIN(_xlfn.DAYS(EDATE(T$1,1),Log_2019[[#This Row],[Date]]),Log_2019[[#This Row],[Split_apply]])) - SUM($O37:S37)</f>
        <v>0</v>
      </c>
      <c r="U37" s="52">
        <f ca="1">Log_2019[[#This Row],[Amount]]/Log_2019[[#This Row],[Split_raw]]*MAX(0,MIN(_xlfn.DAYS(EDATE(U$1,1),Log_2019[[#This Row],[Date]]),Log_2019[[#This Row],[Split_apply]])) - SUM($O37:T37)</f>
        <v>0</v>
      </c>
      <c r="V37" s="52">
        <f ca="1">Log_2019[[#This Row],[Amount]]/Log_2019[[#This Row],[Split_raw]]*MAX(0,MIN(_xlfn.DAYS(EDATE(V$1,1),Log_2019[[#This Row],[Date]]),Log_2019[[#This Row],[Split_apply]])) - SUM($O37:U37)</f>
        <v>0</v>
      </c>
      <c r="W37" s="52">
        <f ca="1">Log_2019[[#This Row],[Amount]]/Log_2019[[#This Row],[Split_raw]]*MAX(0,MIN(_xlfn.DAYS(EDATE(W$1,1),Log_2019[[#This Row],[Date]]),Log_2019[[#This Row],[Split_apply]])) - SUM($O37:V37)</f>
        <v>0</v>
      </c>
      <c r="X37" s="52">
        <f ca="1">Log_2019[[#This Row],[Amount]]/Log_2019[[#This Row],[Split_raw]]*MAX(0,MIN(_xlfn.DAYS(EDATE(X$1,1),Log_2019[[#This Row],[Date]]),Log_2019[[#This Row],[Split_apply]])) - SUM($O37:W37)</f>
        <v>0</v>
      </c>
      <c r="Y37" s="52">
        <f ca="1">Log_2019[[#This Row],[Amount]]/Log_2019[[#This Row],[Split_raw]]*MAX(0,MIN(_xlfn.DAYS(EDATE(Y$1,1),Log_2019[[#This Row],[Date]]),Log_2019[[#This Row],[Split_apply]])) - SUM($O37:X37)</f>
        <v>0</v>
      </c>
      <c r="Z37" s="52">
        <f ca="1">Log_2019[[#This Row],[Amount]]/Log_2019[[#This Row],[Split_raw]]*MAX(0,MIN(_xlfn.DAYS(EDATE(Z$1,1),Log_2019[[#This Row],[Date]]),Log_2019[[#This Row],[Split_apply]])) - SUM($O37:Y37)</f>
        <v>0</v>
      </c>
      <c r="AA37" s="52">
        <f ca="1">Log_2019[[#This Row],[Amount]]/Log_2019[[#This Row],[Split_raw]]*MAX(0,MIN(_xlfn.DAYS(EDATE(AA$1,1),Log_2019[[#This Row],[Date]]),Log_2019[[#This Row],[Split_apply]])) - SUM($O37:Z37)</f>
        <v>-108.32</v>
      </c>
      <c r="AB37" s="54">
        <f ca="1">Log_2019[[#This Row],[Amount]]-SUM(O37:AA37)</f>
        <v>0</v>
      </c>
      <c r="AC37" s="7">
        <f>MAX(0,Log_2019[[#This Row],[Split_raw]] - (EDATE(AA$1,1)-Log_2019[[#This Row],[Date]]))</f>
        <v>0</v>
      </c>
    </row>
    <row r="38" spans="1:29" x14ac:dyDescent="0.25">
      <c r="A38" s="42"/>
      <c r="B38" s="34" t="s">
        <v>6</v>
      </c>
      <c r="C38" s="34"/>
      <c r="D38" s="35">
        <v>43808</v>
      </c>
      <c r="E38" s="34"/>
      <c r="F38" s="34" t="s">
        <v>59</v>
      </c>
      <c r="G38" s="34" t="s">
        <v>25</v>
      </c>
      <c r="H38">
        <v>-7.94</v>
      </c>
      <c r="I38" s="36">
        <f>IF(Log_2019[[#This Row],[My Category]]="NONTRACKED",0,Log_2019[[#This Row],[Raw Amount]])</f>
        <v>-7.94</v>
      </c>
      <c r="J38" s="37">
        <f>ABS(Log_2019[[#This Row],[Amount]])</f>
        <v>7.94</v>
      </c>
      <c r="K38" s="38">
        <v>1</v>
      </c>
      <c r="L38" s="38">
        <f ca="1">IF(Log_2019[[#This Row],[Date]]&lt;=TODAY(), MIN(Log_2019[[#This Row],[Split_raw]], TODAY()-Log_2019[[#This Row],[Date]]+1), 0)</f>
        <v>1</v>
      </c>
      <c r="M38" s="34" t="s">
        <v>35</v>
      </c>
      <c r="N38" s="34" t="s">
        <v>158</v>
      </c>
      <c r="O38" s="7">
        <v>0</v>
      </c>
      <c r="P38" s="52">
        <f ca="1">Log_2019[[#This Row],[Amount]]/Log_2019[[#This Row],[Split_raw]]*MAX(0,MIN(_xlfn.DAYS(EDATE(P$1,1),Log_2019[[#This Row],[Date]]),Log_2019[[#This Row],[Split_apply]])) - SUM($O38:O38)</f>
        <v>0</v>
      </c>
      <c r="Q38" s="52">
        <f ca="1">Log_2019[[#This Row],[Amount]]/Log_2019[[#This Row],[Split_raw]]*MAX(0,MIN(_xlfn.DAYS(EDATE(Q$1,1),Log_2019[[#This Row],[Date]]),Log_2019[[#This Row],[Split_apply]])) - SUM($O38:P38)</f>
        <v>0</v>
      </c>
      <c r="R38" s="52">
        <f ca="1">Log_2019[[#This Row],[Amount]]/Log_2019[[#This Row],[Split_raw]]*MAX(0,MIN(_xlfn.DAYS(EDATE(R$1,1),Log_2019[[#This Row],[Date]]),Log_2019[[#This Row],[Split_apply]])) - SUM($O38:Q38)</f>
        <v>0</v>
      </c>
      <c r="S38" s="52">
        <f ca="1">Log_2019[[#This Row],[Amount]]/Log_2019[[#This Row],[Split_raw]]*MAX(0,MIN(_xlfn.DAYS(EDATE(S$1,1),Log_2019[[#This Row],[Date]]),Log_2019[[#This Row],[Split_apply]])) - SUM($O38:R38)</f>
        <v>0</v>
      </c>
      <c r="T38" s="52">
        <f ca="1">Log_2019[[#This Row],[Amount]]/Log_2019[[#This Row],[Split_raw]]*MAX(0,MIN(_xlfn.DAYS(EDATE(T$1,1),Log_2019[[#This Row],[Date]]),Log_2019[[#This Row],[Split_apply]])) - SUM($O38:S38)</f>
        <v>0</v>
      </c>
      <c r="U38" s="52">
        <f ca="1">Log_2019[[#This Row],[Amount]]/Log_2019[[#This Row],[Split_raw]]*MAX(0,MIN(_xlfn.DAYS(EDATE(U$1,1),Log_2019[[#This Row],[Date]]),Log_2019[[#This Row],[Split_apply]])) - SUM($O38:T38)</f>
        <v>0</v>
      </c>
      <c r="V38" s="52">
        <f ca="1">Log_2019[[#This Row],[Amount]]/Log_2019[[#This Row],[Split_raw]]*MAX(0,MIN(_xlfn.DAYS(EDATE(V$1,1),Log_2019[[#This Row],[Date]]),Log_2019[[#This Row],[Split_apply]])) - SUM($O38:U38)</f>
        <v>0</v>
      </c>
      <c r="W38" s="52">
        <f ca="1">Log_2019[[#This Row],[Amount]]/Log_2019[[#This Row],[Split_raw]]*MAX(0,MIN(_xlfn.DAYS(EDATE(W$1,1),Log_2019[[#This Row],[Date]]),Log_2019[[#This Row],[Split_apply]])) - SUM($O38:V38)</f>
        <v>0</v>
      </c>
      <c r="X38" s="52">
        <f ca="1">Log_2019[[#This Row],[Amount]]/Log_2019[[#This Row],[Split_raw]]*MAX(0,MIN(_xlfn.DAYS(EDATE(X$1,1),Log_2019[[#This Row],[Date]]),Log_2019[[#This Row],[Split_apply]])) - SUM($O38:W38)</f>
        <v>0</v>
      </c>
      <c r="Y38" s="52">
        <f ca="1">Log_2019[[#This Row],[Amount]]/Log_2019[[#This Row],[Split_raw]]*MAX(0,MIN(_xlfn.DAYS(EDATE(Y$1,1),Log_2019[[#This Row],[Date]]),Log_2019[[#This Row],[Split_apply]])) - SUM($O38:X38)</f>
        <v>0</v>
      </c>
      <c r="Z38" s="52">
        <f ca="1">Log_2019[[#This Row],[Amount]]/Log_2019[[#This Row],[Split_raw]]*MAX(0,MIN(_xlfn.DAYS(EDATE(Z$1,1),Log_2019[[#This Row],[Date]]),Log_2019[[#This Row],[Split_apply]])) - SUM($O38:Y38)</f>
        <v>0</v>
      </c>
      <c r="AA38" s="52">
        <f ca="1">Log_2019[[#This Row],[Amount]]/Log_2019[[#This Row],[Split_raw]]*MAX(0,MIN(_xlfn.DAYS(EDATE(AA$1,1),Log_2019[[#This Row],[Date]]),Log_2019[[#This Row],[Split_apply]])) - SUM($O38:Z38)</f>
        <v>-7.94</v>
      </c>
      <c r="AB38" s="54">
        <f ca="1">Log_2019[[#This Row],[Amount]]-SUM(O38:AA38)</f>
        <v>0</v>
      </c>
      <c r="AC38" s="7">
        <f>MAX(0,Log_2019[[#This Row],[Split_raw]] - (EDATE(AA$1,1)-Log_2019[[#This Row],[Date]]))</f>
        <v>0</v>
      </c>
    </row>
    <row r="39" spans="1:29" x14ac:dyDescent="0.25">
      <c r="A39" s="42"/>
      <c r="B39" s="34" t="s">
        <v>6</v>
      </c>
      <c r="C39" s="34"/>
      <c r="D39" s="35">
        <v>43807</v>
      </c>
      <c r="E39" s="34"/>
      <c r="F39" s="34" t="s">
        <v>834</v>
      </c>
      <c r="G39" s="34" t="s">
        <v>25</v>
      </c>
      <c r="H39">
        <v>-11</v>
      </c>
      <c r="I39" s="36">
        <f>IF(Log_2019[[#This Row],[My Category]]="NONTRACKED",0,Log_2019[[#This Row],[Raw Amount]])</f>
        <v>-11</v>
      </c>
      <c r="J39" s="37">
        <f>ABS(Log_2019[[#This Row],[Amount]])</f>
        <v>11</v>
      </c>
      <c r="K39" s="38">
        <v>1</v>
      </c>
      <c r="L39" s="38">
        <f ca="1">IF(Log_2019[[#This Row],[Date]]&lt;=TODAY(), MIN(Log_2019[[#This Row],[Split_raw]], TODAY()-Log_2019[[#This Row],[Date]]+1), 0)</f>
        <v>1</v>
      </c>
      <c r="M39" s="34" t="s">
        <v>35</v>
      </c>
      <c r="N39" s="34" t="s">
        <v>158</v>
      </c>
      <c r="O39" s="7">
        <v>0</v>
      </c>
      <c r="P39" s="52">
        <f ca="1">Log_2019[[#This Row],[Amount]]/Log_2019[[#This Row],[Split_raw]]*MAX(0,MIN(_xlfn.DAYS(EDATE(P$1,1),Log_2019[[#This Row],[Date]]),Log_2019[[#This Row],[Split_apply]])) - SUM($O39:O39)</f>
        <v>0</v>
      </c>
      <c r="Q39" s="52">
        <f ca="1">Log_2019[[#This Row],[Amount]]/Log_2019[[#This Row],[Split_raw]]*MAX(0,MIN(_xlfn.DAYS(EDATE(Q$1,1),Log_2019[[#This Row],[Date]]),Log_2019[[#This Row],[Split_apply]])) - SUM($O39:P39)</f>
        <v>0</v>
      </c>
      <c r="R39" s="52">
        <f ca="1">Log_2019[[#This Row],[Amount]]/Log_2019[[#This Row],[Split_raw]]*MAX(0,MIN(_xlfn.DAYS(EDATE(R$1,1),Log_2019[[#This Row],[Date]]),Log_2019[[#This Row],[Split_apply]])) - SUM($O39:Q39)</f>
        <v>0</v>
      </c>
      <c r="S39" s="52">
        <f ca="1">Log_2019[[#This Row],[Amount]]/Log_2019[[#This Row],[Split_raw]]*MAX(0,MIN(_xlfn.DAYS(EDATE(S$1,1),Log_2019[[#This Row],[Date]]),Log_2019[[#This Row],[Split_apply]])) - SUM($O39:R39)</f>
        <v>0</v>
      </c>
      <c r="T39" s="52">
        <f ca="1">Log_2019[[#This Row],[Amount]]/Log_2019[[#This Row],[Split_raw]]*MAX(0,MIN(_xlfn.DAYS(EDATE(T$1,1),Log_2019[[#This Row],[Date]]),Log_2019[[#This Row],[Split_apply]])) - SUM($O39:S39)</f>
        <v>0</v>
      </c>
      <c r="U39" s="52">
        <f ca="1">Log_2019[[#This Row],[Amount]]/Log_2019[[#This Row],[Split_raw]]*MAX(0,MIN(_xlfn.DAYS(EDATE(U$1,1),Log_2019[[#This Row],[Date]]),Log_2019[[#This Row],[Split_apply]])) - SUM($O39:T39)</f>
        <v>0</v>
      </c>
      <c r="V39" s="52">
        <f ca="1">Log_2019[[#This Row],[Amount]]/Log_2019[[#This Row],[Split_raw]]*MAX(0,MIN(_xlfn.DAYS(EDATE(V$1,1),Log_2019[[#This Row],[Date]]),Log_2019[[#This Row],[Split_apply]])) - SUM($O39:U39)</f>
        <v>0</v>
      </c>
      <c r="W39" s="52">
        <f ca="1">Log_2019[[#This Row],[Amount]]/Log_2019[[#This Row],[Split_raw]]*MAX(0,MIN(_xlfn.DAYS(EDATE(W$1,1),Log_2019[[#This Row],[Date]]),Log_2019[[#This Row],[Split_apply]])) - SUM($O39:V39)</f>
        <v>0</v>
      </c>
      <c r="X39" s="52">
        <f ca="1">Log_2019[[#This Row],[Amount]]/Log_2019[[#This Row],[Split_raw]]*MAX(0,MIN(_xlfn.DAYS(EDATE(X$1,1),Log_2019[[#This Row],[Date]]),Log_2019[[#This Row],[Split_apply]])) - SUM($O39:W39)</f>
        <v>0</v>
      </c>
      <c r="Y39" s="52">
        <f ca="1">Log_2019[[#This Row],[Amount]]/Log_2019[[#This Row],[Split_raw]]*MAX(0,MIN(_xlfn.DAYS(EDATE(Y$1,1),Log_2019[[#This Row],[Date]]),Log_2019[[#This Row],[Split_apply]])) - SUM($O39:X39)</f>
        <v>0</v>
      </c>
      <c r="Z39" s="52">
        <f ca="1">Log_2019[[#This Row],[Amount]]/Log_2019[[#This Row],[Split_raw]]*MAX(0,MIN(_xlfn.DAYS(EDATE(Z$1,1),Log_2019[[#This Row],[Date]]),Log_2019[[#This Row],[Split_apply]])) - SUM($O39:Y39)</f>
        <v>0</v>
      </c>
      <c r="AA39" s="52">
        <f ca="1">Log_2019[[#This Row],[Amount]]/Log_2019[[#This Row],[Split_raw]]*MAX(0,MIN(_xlfn.DAYS(EDATE(AA$1,1),Log_2019[[#This Row],[Date]]),Log_2019[[#This Row],[Split_apply]])) - SUM($O39:Z39)</f>
        <v>-11</v>
      </c>
      <c r="AB39" s="54">
        <f ca="1">Log_2019[[#This Row],[Amount]]-SUM(O39:AA39)</f>
        <v>0</v>
      </c>
      <c r="AC39" s="7">
        <f>MAX(0,Log_2019[[#This Row],[Split_raw]] - (EDATE(AA$1,1)-Log_2019[[#This Row],[Date]]))</f>
        <v>0</v>
      </c>
    </row>
    <row r="40" spans="1:29" x14ac:dyDescent="0.25">
      <c r="A40" s="42"/>
      <c r="B40" s="34" t="s">
        <v>6</v>
      </c>
      <c r="C40" s="34"/>
      <c r="D40" s="35">
        <v>43806</v>
      </c>
      <c r="E40" s="34"/>
      <c r="F40" s="34" t="s">
        <v>620</v>
      </c>
      <c r="G40" s="34" t="s">
        <v>189</v>
      </c>
      <c r="H40">
        <v>-30.07</v>
      </c>
      <c r="I40" s="36">
        <f>IF(Log_2019[[#This Row],[My Category]]="NONTRACKED",0,Log_2019[[#This Row],[Raw Amount]])</f>
        <v>-30.07</v>
      </c>
      <c r="J40" s="37">
        <f>ABS(Log_2019[[#This Row],[Amount]])</f>
        <v>30.07</v>
      </c>
      <c r="K40" s="38">
        <v>30</v>
      </c>
      <c r="L40" s="38">
        <f ca="1">IF(Log_2019[[#This Row],[Date]]&lt;=TODAY(), MIN(Log_2019[[#This Row],[Split_raw]], TODAY()-Log_2019[[#This Row],[Date]]+1), 0)</f>
        <v>30</v>
      </c>
      <c r="M40" s="34" t="s">
        <v>29</v>
      </c>
      <c r="N40" s="34" t="s">
        <v>158</v>
      </c>
      <c r="O40" s="7">
        <v>0</v>
      </c>
      <c r="P40" s="52">
        <f ca="1">Log_2019[[#This Row],[Amount]]/Log_2019[[#This Row],[Split_raw]]*MAX(0,MIN(_xlfn.DAYS(EDATE(P$1,1),Log_2019[[#This Row],[Date]]),Log_2019[[#This Row],[Split_apply]])) - SUM($O40:O40)</f>
        <v>0</v>
      </c>
      <c r="Q40" s="52">
        <f ca="1">Log_2019[[#This Row],[Amount]]/Log_2019[[#This Row],[Split_raw]]*MAX(0,MIN(_xlfn.DAYS(EDATE(Q$1,1),Log_2019[[#This Row],[Date]]),Log_2019[[#This Row],[Split_apply]])) - SUM($O40:P40)</f>
        <v>0</v>
      </c>
      <c r="R40" s="52">
        <f ca="1">Log_2019[[#This Row],[Amount]]/Log_2019[[#This Row],[Split_raw]]*MAX(0,MIN(_xlfn.DAYS(EDATE(R$1,1),Log_2019[[#This Row],[Date]]),Log_2019[[#This Row],[Split_apply]])) - SUM($O40:Q40)</f>
        <v>0</v>
      </c>
      <c r="S40" s="52">
        <f ca="1">Log_2019[[#This Row],[Amount]]/Log_2019[[#This Row],[Split_raw]]*MAX(0,MIN(_xlfn.DAYS(EDATE(S$1,1),Log_2019[[#This Row],[Date]]),Log_2019[[#This Row],[Split_apply]])) - SUM($O40:R40)</f>
        <v>0</v>
      </c>
      <c r="T40" s="52">
        <f ca="1">Log_2019[[#This Row],[Amount]]/Log_2019[[#This Row],[Split_raw]]*MAX(0,MIN(_xlfn.DAYS(EDATE(T$1,1),Log_2019[[#This Row],[Date]]),Log_2019[[#This Row],[Split_apply]])) - SUM($O40:S40)</f>
        <v>0</v>
      </c>
      <c r="U40" s="52">
        <f ca="1">Log_2019[[#This Row],[Amount]]/Log_2019[[#This Row],[Split_raw]]*MAX(0,MIN(_xlfn.DAYS(EDATE(U$1,1),Log_2019[[#This Row],[Date]]),Log_2019[[#This Row],[Split_apply]])) - SUM($O40:T40)</f>
        <v>0</v>
      </c>
      <c r="V40" s="52">
        <f ca="1">Log_2019[[#This Row],[Amount]]/Log_2019[[#This Row],[Split_raw]]*MAX(0,MIN(_xlfn.DAYS(EDATE(V$1,1),Log_2019[[#This Row],[Date]]),Log_2019[[#This Row],[Split_apply]])) - SUM($O40:U40)</f>
        <v>0</v>
      </c>
      <c r="W40" s="52">
        <f ca="1">Log_2019[[#This Row],[Amount]]/Log_2019[[#This Row],[Split_raw]]*MAX(0,MIN(_xlfn.DAYS(EDATE(W$1,1),Log_2019[[#This Row],[Date]]),Log_2019[[#This Row],[Split_apply]])) - SUM($O40:V40)</f>
        <v>0</v>
      </c>
      <c r="X40" s="52">
        <f ca="1">Log_2019[[#This Row],[Amount]]/Log_2019[[#This Row],[Split_raw]]*MAX(0,MIN(_xlfn.DAYS(EDATE(X$1,1),Log_2019[[#This Row],[Date]]),Log_2019[[#This Row],[Split_apply]])) - SUM($O40:W40)</f>
        <v>0</v>
      </c>
      <c r="Y40" s="52">
        <f ca="1">Log_2019[[#This Row],[Amount]]/Log_2019[[#This Row],[Split_raw]]*MAX(0,MIN(_xlfn.DAYS(EDATE(Y$1,1),Log_2019[[#This Row],[Date]]),Log_2019[[#This Row],[Split_apply]])) - SUM($O40:X40)</f>
        <v>0</v>
      </c>
      <c r="Z40" s="52">
        <f ca="1">Log_2019[[#This Row],[Amount]]/Log_2019[[#This Row],[Split_raw]]*MAX(0,MIN(_xlfn.DAYS(EDATE(Z$1,1),Log_2019[[#This Row],[Date]]),Log_2019[[#This Row],[Split_apply]])) - SUM($O40:Y40)</f>
        <v>0</v>
      </c>
      <c r="AA40" s="52">
        <f ca="1">Log_2019[[#This Row],[Amount]]/Log_2019[[#This Row],[Split_raw]]*MAX(0,MIN(_xlfn.DAYS(EDATE(AA$1,1),Log_2019[[#This Row],[Date]]),Log_2019[[#This Row],[Split_apply]])) - SUM($O40:Z40)</f>
        <v>-25.058333333333334</v>
      </c>
      <c r="AB40" s="54">
        <f ca="1">Log_2019[[#This Row],[Amount]]-SUM(O40:AA40)</f>
        <v>-5.0116666666666667</v>
      </c>
      <c r="AC40" s="7">
        <f>MAX(0,Log_2019[[#This Row],[Split_raw]] - (EDATE(AA$1,1)-Log_2019[[#This Row],[Date]]))</f>
        <v>5</v>
      </c>
    </row>
    <row r="41" spans="1:29" x14ac:dyDescent="0.25">
      <c r="A41" s="42"/>
      <c r="B41" s="34" t="s">
        <v>6</v>
      </c>
      <c r="C41" s="34"/>
      <c r="D41" s="35">
        <v>43806</v>
      </c>
      <c r="E41" s="34" t="s">
        <v>473</v>
      </c>
      <c r="F41" s="34" t="s">
        <v>835</v>
      </c>
      <c r="G41" s="34" t="s">
        <v>11</v>
      </c>
      <c r="H41">
        <v>-38.880000000000003</v>
      </c>
      <c r="I41" s="36">
        <f>IF(Log_2019[[#This Row],[My Category]]="NONTRACKED",0,Log_2019[[#This Row],[Raw Amount]])</f>
        <v>-38.880000000000003</v>
      </c>
      <c r="J41" s="37">
        <f>ABS(Log_2019[[#This Row],[Amount]])</f>
        <v>38.880000000000003</v>
      </c>
      <c r="K41" s="38">
        <v>1</v>
      </c>
      <c r="L41" s="38">
        <f ca="1">IF(Log_2019[[#This Row],[Date]]&lt;=TODAY(), MIN(Log_2019[[#This Row],[Split_raw]], TODAY()-Log_2019[[#This Row],[Date]]+1), 0)</f>
        <v>1</v>
      </c>
      <c r="M41" s="34" t="s">
        <v>147</v>
      </c>
      <c r="N41" s="34" t="s">
        <v>158</v>
      </c>
      <c r="O41" s="7">
        <v>0</v>
      </c>
      <c r="P41" s="52">
        <f ca="1">Log_2019[[#This Row],[Amount]]/Log_2019[[#This Row],[Split_raw]]*MAX(0,MIN(_xlfn.DAYS(EDATE(P$1,1),Log_2019[[#This Row],[Date]]),Log_2019[[#This Row],[Split_apply]])) - SUM($O41:O41)</f>
        <v>0</v>
      </c>
      <c r="Q41" s="52">
        <f ca="1">Log_2019[[#This Row],[Amount]]/Log_2019[[#This Row],[Split_raw]]*MAX(0,MIN(_xlfn.DAYS(EDATE(Q$1,1),Log_2019[[#This Row],[Date]]),Log_2019[[#This Row],[Split_apply]])) - SUM($O41:P41)</f>
        <v>0</v>
      </c>
      <c r="R41" s="52">
        <f ca="1">Log_2019[[#This Row],[Amount]]/Log_2019[[#This Row],[Split_raw]]*MAX(0,MIN(_xlfn.DAYS(EDATE(R$1,1),Log_2019[[#This Row],[Date]]),Log_2019[[#This Row],[Split_apply]])) - SUM($O41:Q41)</f>
        <v>0</v>
      </c>
      <c r="S41" s="52">
        <f ca="1">Log_2019[[#This Row],[Amount]]/Log_2019[[#This Row],[Split_raw]]*MAX(0,MIN(_xlfn.DAYS(EDATE(S$1,1),Log_2019[[#This Row],[Date]]),Log_2019[[#This Row],[Split_apply]])) - SUM($O41:R41)</f>
        <v>0</v>
      </c>
      <c r="T41" s="52">
        <f ca="1">Log_2019[[#This Row],[Amount]]/Log_2019[[#This Row],[Split_raw]]*MAX(0,MIN(_xlfn.DAYS(EDATE(T$1,1),Log_2019[[#This Row],[Date]]),Log_2019[[#This Row],[Split_apply]])) - SUM($O41:S41)</f>
        <v>0</v>
      </c>
      <c r="U41" s="52">
        <f ca="1">Log_2019[[#This Row],[Amount]]/Log_2019[[#This Row],[Split_raw]]*MAX(0,MIN(_xlfn.DAYS(EDATE(U$1,1),Log_2019[[#This Row],[Date]]),Log_2019[[#This Row],[Split_apply]])) - SUM($O41:T41)</f>
        <v>0</v>
      </c>
      <c r="V41" s="52">
        <f ca="1">Log_2019[[#This Row],[Amount]]/Log_2019[[#This Row],[Split_raw]]*MAX(0,MIN(_xlfn.DAYS(EDATE(V$1,1),Log_2019[[#This Row],[Date]]),Log_2019[[#This Row],[Split_apply]])) - SUM($O41:U41)</f>
        <v>0</v>
      </c>
      <c r="W41" s="52">
        <f ca="1">Log_2019[[#This Row],[Amount]]/Log_2019[[#This Row],[Split_raw]]*MAX(0,MIN(_xlfn.DAYS(EDATE(W$1,1),Log_2019[[#This Row],[Date]]),Log_2019[[#This Row],[Split_apply]])) - SUM($O41:V41)</f>
        <v>0</v>
      </c>
      <c r="X41" s="52">
        <f ca="1">Log_2019[[#This Row],[Amount]]/Log_2019[[#This Row],[Split_raw]]*MAX(0,MIN(_xlfn.DAYS(EDATE(X$1,1),Log_2019[[#This Row],[Date]]),Log_2019[[#This Row],[Split_apply]])) - SUM($O41:W41)</f>
        <v>0</v>
      </c>
      <c r="Y41" s="52">
        <f ca="1">Log_2019[[#This Row],[Amount]]/Log_2019[[#This Row],[Split_raw]]*MAX(0,MIN(_xlfn.DAYS(EDATE(Y$1,1),Log_2019[[#This Row],[Date]]),Log_2019[[#This Row],[Split_apply]])) - SUM($O41:X41)</f>
        <v>0</v>
      </c>
      <c r="Z41" s="52">
        <f ca="1">Log_2019[[#This Row],[Amount]]/Log_2019[[#This Row],[Split_raw]]*MAX(0,MIN(_xlfn.DAYS(EDATE(Z$1,1),Log_2019[[#This Row],[Date]]),Log_2019[[#This Row],[Split_apply]])) - SUM($O41:Y41)</f>
        <v>0</v>
      </c>
      <c r="AA41" s="52">
        <f ca="1">Log_2019[[#This Row],[Amount]]/Log_2019[[#This Row],[Split_raw]]*MAX(0,MIN(_xlfn.DAYS(EDATE(AA$1,1),Log_2019[[#This Row],[Date]]),Log_2019[[#This Row],[Split_apply]])) - SUM($O41:Z41)</f>
        <v>-38.880000000000003</v>
      </c>
      <c r="AB41" s="54">
        <f ca="1">Log_2019[[#This Row],[Amount]]-SUM(O41:AA41)</f>
        <v>0</v>
      </c>
      <c r="AC41" s="7">
        <f>MAX(0,Log_2019[[#This Row],[Split_raw]] - (EDATE(AA$1,1)-Log_2019[[#This Row],[Date]]))</f>
        <v>0</v>
      </c>
    </row>
    <row r="42" spans="1:29" x14ac:dyDescent="0.25">
      <c r="A42" s="42"/>
      <c r="B42" s="34" t="s">
        <v>6</v>
      </c>
      <c r="C42" s="34"/>
      <c r="D42" s="35">
        <v>43805</v>
      </c>
      <c r="E42" s="34"/>
      <c r="F42" s="34" t="s">
        <v>255</v>
      </c>
      <c r="G42" s="34" t="s">
        <v>12</v>
      </c>
      <c r="H42">
        <v>-11.09</v>
      </c>
      <c r="I42" s="36">
        <f>IF(Log_2019[[#This Row],[My Category]]="NONTRACKED",0,Log_2019[[#This Row],[Raw Amount]])</f>
        <v>-11.09</v>
      </c>
      <c r="J42" s="37">
        <f>ABS(Log_2019[[#This Row],[Amount]])</f>
        <v>11.09</v>
      </c>
      <c r="K42" s="38">
        <v>1</v>
      </c>
      <c r="L42" s="38">
        <f ca="1">IF(Log_2019[[#This Row],[Date]]&lt;=TODAY(), MIN(Log_2019[[#This Row],[Split_raw]], TODAY()-Log_2019[[#This Row],[Date]]+1), 0)</f>
        <v>1</v>
      </c>
      <c r="M42" s="34" t="s">
        <v>35</v>
      </c>
      <c r="N42" s="34" t="s">
        <v>158</v>
      </c>
      <c r="O42" s="7">
        <v>0</v>
      </c>
      <c r="P42" s="52">
        <f ca="1">Log_2019[[#This Row],[Amount]]/Log_2019[[#This Row],[Split_raw]]*MAX(0,MIN(_xlfn.DAYS(EDATE(P$1,1),Log_2019[[#This Row],[Date]]),Log_2019[[#This Row],[Split_apply]])) - SUM($O42:O42)</f>
        <v>0</v>
      </c>
      <c r="Q42" s="52">
        <f ca="1">Log_2019[[#This Row],[Amount]]/Log_2019[[#This Row],[Split_raw]]*MAX(0,MIN(_xlfn.DAYS(EDATE(Q$1,1),Log_2019[[#This Row],[Date]]),Log_2019[[#This Row],[Split_apply]])) - SUM($O42:P42)</f>
        <v>0</v>
      </c>
      <c r="R42" s="52">
        <f ca="1">Log_2019[[#This Row],[Amount]]/Log_2019[[#This Row],[Split_raw]]*MAX(0,MIN(_xlfn.DAYS(EDATE(R$1,1),Log_2019[[#This Row],[Date]]),Log_2019[[#This Row],[Split_apply]])) - SUM($O42:Q42)</f>
        <v>0</v>
      </c>
      <c r="S42" s="52">
        <f ca="1">Log_2019[[#This Row],[Amount]]/Log_2019[[#This Row],[Split_raw]]*MAX(0,MIN(_xlfn.DAYS(EDATE(S$1,1),Log_2019[[#This Row],[Date]]),Log_2019[[#This Row],[Split_apply]])) - SUM($O42:R42)</f>
        <v>0</v>
      </c>
      <c r="T42" s="52">
        <f ca="1">Log_2019[[#This Row],[Amount]]/Log_2019[[#This Row],[Split_raw]]*MAX(0,MIN(_xlfn.DAYS(EDATE(T$1,1),Log_2019[[#This Row],[Date]]),Log_2019[[#This Row],[Split_apply]])) - SUM($O42:S42)</f>
        <v>0</v>
      </c>
      <c r="U42" s="52">
        <f ca="1">Log_2019[[#This Row],[Amount]]/Log_2019[[#This Row],[Split_raw]]*MAX(0,MIN(_xlfn.DAYS(EDATE(U$1,1),Log_2019[[#This Row],[Date]]),Log_2019[[#This Row],[Split_apply]])) - SUM($O42:T42)</f>
        <v>0</v>
      </c>
      <c r="V42" s="52">
        <f ca="1">Log_2019[[#This Row],[Amount]]/Log_2019[[#This Row],[Split_raw]]*MAX(0,MIN(_xlfn.DAYS(EDATE(V$1,1),Log_2019[[#This Row],[Date]]),Log_2019[[#This Row],[Split_apply]])) - SUM($O42:U42)</f>
        <v>0</v>
      </c>
      <c r="W42" s="52">
        <f ca="1">Log_2019[[#This Row],[Amount]]/Log_2019[[#This Row],[Split_raw]]*MAX(0,MIN(_xlfn.DAYS(EDATE(W$1,1),Log_2019[[#This Row],[Date]]),Log_2019[[#This Row],[Split_apply]])) - SUM($O42:V42)</f>
        <v>0</v>
      </c>
      <c r="X42" s="52">
        <f ca="1">Log_2019[[#This Row],[Amount]]/Log_2019[[#This Row],[Split_raw]]*MAX(0,MIN(_xlfn.DAYS(EDATE(X$1,1),Log_2019[[#This Row],[Date]]),Log_2019[[#This Row],[Split_apply]])) - SUM($O42:W42)</f>
        <v>0</v>
      </c>
      <c r="Y42" s="52">
        <f ca="1">Log_2019[[#This Row],[Amount]]/Log_2019[[#This Row],[Split_raw]]*MAX(0,MIN(_xlfn.DAYS(EDATE(Y$1,1),Log_2019[[#This Row],[Date]]),Log_2019[[#This Row],[Split_apply]])) - SUM($O42:X42)</f>
        <v>0</v>
      </c>
      <c r="Z42" s="52">
        <f ca="1">Log_2019[[#This Row],[Amount]]/Log_2019[[#This Row],[Split_raw]]*MAX(0,MIN(_xlfn.DAYS(EDATE(Z$1,1),Log_2019[[#This Row],[Date]]),Log_2019[[#This Row],[Split_apply]])) - SUM($O42:Y42)</f>
        <v>0</v>
      </c>
      <c r="AA42" s="52">
        <f ca="1">Log_2019[[#This Row],[Amount]]/Log_2019[[#This Row],[Split_raw]]*MAX(0,MIN(_xlfn.DAYS(EDATE(AA$1,1),Log_2019[[#This Row],[Date]]),Log_2019[[#This Row],[Split_apply]])) - SUM($O42:Z42)</f>
        <v>-11.09</v>
      </c>
      <c r="AB42" s="54">
        <f ca="1">Log_2019[[#This Row],[Amount]]-SUM(O42:AA42)</f>
        <v>0</v>
      </c>
      <c r="AC42" s="7">
        <f>MAX(0,Log_2019[[#This Row],[Split_raw]] - (EDATE(AA$1,1)-Log_2019[[#This Row],[Date]]))</f>
        <v>0</v>
      </c>
    </row>
    <row r="43" spans="1:29" x14ac:dyDescent="0.25">
      <c r="A43" s="42"/>
      <c r="B43" s="34" t="s">
        <v>6</v>
      </c>
      <c r="C43" s="34"/>
      <c r="D43" s="35">
        <v>43805</v>
      </c>
      <c r="E43" s="34"/>
      <c r="F43" s="34" t="s">
        <v>846</v>
      </c>
      <c r="G43" s="34" t="s">
        <v>29</v>
      </c>
      <c r="H43">
        <v>-32.049999999999997</v>
      </c>
      <c r="I43" s="36">
        <f>IF(Log_2019[[#This Row],[My Category]]="NONTRACKED",0,Log_2019[[#This Row],[Raw Amount]])</f>
        <v>-32.049999999999997</v>
      </c>
      <c r="J43" s="37">
        <f>ABS(Log_2019[[#This Row],[Amount]])</f>
        <v>32.049999999999997</v>
      </c>
      <c r="K43" s="38">
        <v>30</v>
      </c>
      <c r="L43" s="38">
        <f ca="1">IF(Log_2019[[#This Row],[Date]]&lt;=TODAY(), MIN(Log_2019[[#This Row],[Split_raw]], TODAY()-Log_2019[[#This Row],[Date]]+1), 0)</f>
        <v>30</v>
      </c>
      <c r="M43" s="34" t="s">
        <v>29</v>
      </c>
      <c r="N43" s="34" t="s">
        <v>160</v>
      </c>
      <c r="O43" s="7">
        <v>0</v>
      </c>
      <c r="P43" s="52">
        <f ca="1">Log_2019[[#This Row],[Amount]]/Log_2019[[#This Row],[Split_raw]]*MAX(0,MIN(_xlfn.DAYS(EDATE(P$1,1),Log_2019[[#This Row],[Date]]),Log_2019[[#This Row],[Split_apply]])) - SUM($O43:O43)</f>
        <v>0</v>
      </c>
      <c r="Q43" s="52">
        <f ca="1">Log_2019[[#This Row],[Amount]]/Log_2019[[#This Row],[Split_raw]]*MAX(0,MIN(_xlfn.DAYS(EDATE(Q$1,1),Log_2019[[#This Row],[Date]]),Log_2019[[#This Row],[Split_apply]])) - SUM($O43:P43)</f>
        <v>0</v>
      </c>
      <c r="R43" s="52">
        <f ca="1">Log_2019[[#This Row],[Amount]]/Log_2019[[#This Row],[Split_raw]]*MAX(0,MIN(_xlfn.DAYS(EDATE(R$1,1),Log_2019[[#This Row],[Date]]),Log_2019[[#This Row],[Split_apply]])) - SUM($O43:Q43)</f>
        <v>0</v>
      </c>
      <c r="S43" s="52">
        <f ca="1">Log_2019[[#This Row],[Amount]]/Log_2019[[#This Row],[Split_raw]]*MAX(0,MIN(_xlfn.DAYS(EDATE(S$1,1),Log_2019[[#This Row],[Date]]),Log_2019[[#This Row],[Split_apply]])) - SUM($O43:R43)</f>
        <v>0</v>
      </c>
      <c r="T43" s="52">
        <f ca="1">Log_2019[[#This Row],[Amount]]/Log_2019[[#This Row],[Split_raw]]*MAX(0,MIN(_xlfn.DAYS(EDATE(T$1,1),Log_2019[[#This Row],[Date]]),Log_2019[[#This Row],[Split_apply]])) - SUM($O43:S43)</f>
        <v>0</v>
      </c>
      <c r="U43" s="52">
        <f ca="1">Log_2019[[#This Row],[Amount]]/Log_2019[[#This Row],[Split_raw]]*MAX(0,MIN(_xlfn.DAYS(EDATE(U$1,1),Log_2019[[#This Row],[Date]]),Log_2019[[#This Row],[Split_apply]])) - SUM($O43:T43)</f>
        <v>0</v>
      </c>
      <c r="V43" s="52">
        <f ca="1">Log_2019[[#This Row],[Amount]]/Log_2019[[#This Row],[Split_raw]]*MAX(0,MIN(_xlfn.DAYS(EDATE(V$1,1),Log_2019[[#This Row],[Date]]),Log_2019[[#This Row],[Split_apply]])) - SUM($O43:U43)</f>
        <v>0</v>
      </c>
      <c r="W43" s="52">
        <f ca="1">Log_2019[[#This Row],[Amount]]/Log_2019[[#This Row],[Split_raw]]*MAX(0,MIN(_xlfn.DAYS(EDATE(W$1,1),Log_2019[[#This Row],[Date]]),Log_2019[[#This Row],[Split_apply]])) - SUM($O43:V43)</f>
        <v>0</v>
      </c>
      <c r="X43" s="52">
        <f ca="1">Log_2019[[#This Row],[Amount]]/Log_2019[[#This Row],[Split_raw]]*MAX(0,MIN(_xlfn.DAYS(EDATE(X$1,1),Log_2019[[#This Row],[Date]]),Log_2019[[#This Row],[Split_apply]])) - SUM($O43:W43)</f>
        <v>0</v>
      </c>
      <c r="Y43" s="52">
        <f ca="1">Log_2019[[#This Row],[Amount]]/Log_2019[[#This Row],[Split_raw]]*MAX(0,MIN(_xlfn.DAYS(EDATE(Y$1,1),Log_2019[[#This Row],[Date]]),Log_2019[[#This Row],[Split_apply]])) - SUM($O43:X43)</f>
        <v>0</v>
      </c>
      <c r="Z43" s="52">
        <f ca="1">Log_2019[[#This Row],[Amount]]/Log_2019[[#This Row],[Split_raw]]*MAX(0,MIN(_xlfn.DAYS(EDATE(Z$1,1),Log_2019[[#This Row],[Date]]),Log_2019[[#This Row],[Split_apply]])) - SUM($O43:Y43)</f>
        <v>0</v>
      </c>
      <c r="AA43" s="52">
        <f ca="1">Log_2019[[#This Row],[Amount]]/Log_2019[[#This Row],[Split_raw]]*MAX(0,MIN(_xlfn.DAYS(EDATE(AA$1,1),Log_2019[[#This Row],[Date]]),Log_2019[[#This Row],[Split_apply]])) - SUM($O43:Z43)</f>
        <v>-27.77666666666666</v>
      </c>
      <c r="AB43" s="54">
        <f ca="1">Log_2019[[#This Row],[Amount]]-SUM(O43:AA43)</f>
        <v>-4.273333333333337</v>
      </c>
      <c r="AC43" s="7">
        <f>MAX(0,Log_2019[[#This Row],[Split_raw]] - (EDATE(AA$1,1)-Log_2019[[#This Row],[Date]]))</f>
        <v>4</v>
      </c>
    </row>
    <row r="44" spans="1:29" x14ac:dyDescent="0.25">
      <c r="A44" s="42"/>
      <c r="B44" s="34" t="s">
        <v>6</v>
      </c>
      <c r="C44" s="34"/>
      <c r="D44" s="35">
        <v>43804</v>
      </c>
      <c r="E44" s="34"/>
      <c r="F44" s="34" t="s">
        <v>306</v>
      </c>
      <c r="G44" s="34" t="s">
        <v>25</v>
      </c>
      <c r="H44">
        <v>-10.25</v>
      </c>
      <c r="I44" s="36">
        <f>IF(Log_2019[[#This Row],[My Category]]="NONTRACKED",0,Log_2019[[#This Row],[Raw Amount]])</f>
        <v>-10.25</v>
      </c>
      <c r="J44" s="37">
        <f>ABS(Log_2019[[#This Row],[Amount]])</f>
        <v>10.25</v>
      </c>
      <c r="K44" s="38">
        <v>1</v>
      </c>
      <c r="L44" s="38">
        <f ca="1">IF(Log_2019[[#This Row],[Date]]&lt;=TODAY(), MIN(Log_2019[[#This Row],[Split_raw]], TODAY()-Log_2019[[#This Row],[Date]]+1), 0)</f>
        <v>1</v>
      </c>
      <c r="M44" s="34" t="s">
        <v>35</v>
      </c>
      <c r="N44" s="34" t="s">
        <v>158</v>
      </c>
      <c r="O44" s="7">
        <v>0</v>
      </c>
      <c r="P44" s="52">
        <f ca="1">Log_2019[[#This Row],[Amount]]/Log_2019[[#This Row],[Split_raw]]*MAX(0,MIN(_xlfn.DAYS(EDATE(P$1,1),Log_2019[[#This Row],[Date]]),Log_2019[[#This Row],[Split_apply]])) - SUM($O44:O44)</f>
        <v>0</v>
      </c>
      <c r="Q44" s="52">
        <f ca="1">Log_2019[[#This Row],[Amount]]/Log_2019[[#This Row],[Split_raw]]*MAX(0,MIN(_xlfn.DAYS(EDATE(Q$1,1),Log_2019[[#This Row],[Date]]),Log_2019[[#This Row],[Split_apply]])) - SUM($O44:P44)</f>
        <v>0</v>
      </c>
      <c r="R44" s="52">
        <f ca="1">Log_2019[[#This Row],[Amount]]/Log_2019[[#This Row],[Split_raw]]*MAX(0,MIN(_xlfn.DAYS(EDATE(R$1,1),Log_2019[[#This Row],[Date]]),Log_2019[[#This Row],[Split_apply]])) - SUM($O44:Q44)</f>
        <v>0</v>
      </c>
      <c r="S44" s="52">
        <f ca="1">Log_2019[[#This Row],[Amount]]/Log_2019[[#This Row],[Split_raw]]*MAX(0,MIN(_xlfn.DAYS(EDATE(S$1,1),Log_2019[[#This Row],[Date]]),Log_2019[[#This Row],[Split_apply]])) - SUM($O44:R44)</f>
        <v>0</v>
      </c>
      <c r="T44" s="52">
        <f ca="1">Log_2019[[#This Row],[Amount]]/Log_2019[[#This Row],[Split_raw]]*MAX(0,MIN(_xlfn.DAYS(EDATE(T$1,1),Log_2019[[#This Row],[Date]]),Log_2019[[#This Row],[Split_apply]])) - SUM($O44:S44)</f>
        <v>0</v>
      </c>
      <c r="U44" s="52">
        <f ca="1">Log_2019[[#This Row],[Amount]]/Log_2019[[#This Row],[Split_raw]]*MAX(0,MIN(_xlfn.DAYS(EDATE(U$1,1),Log_2019[[#This Row],[Date]]),Log_2019[[#This Row],[Split_apply]])) - SUM($O44:T44)</f>
        <v>0</v>
      </c>
      <c r="V44" s="52">
        <f ca="1">Log_2019[[#This Row],[Amount]]/Log_2019[[#This Row],[Split_raw]]*MAX(0,MIN(_xlfn.DAYS(EDATE(V$1,1),Log_2019[[#This Row],[Date]]),Log_2019[[#This Row],[Split_apply]])) - SUM($O44:U44)</f>
        <v>0</v>
      </c>
      <c r="W44" s="52">
        <f ca="1">Log_2019[[#This Row],[Amount]]/Log_2019[[#This Row],[Split_raw]]*MAX(0,MIN(_xlfn.DAYS(EDATE(W$1,1),Log_2019[[#This Row],[Date]]),Log_2019[[#This Row],[Split_apply]])) - SUM($O44:V44)</f>
        <v>0</v>
      </c>
      <c r="X44" s="52">
        <f ca="1">Log_2019[[#This Row],[Amount]]/Log_2019[[#This Row],[Split_raw]]*MAX(0,MIN(_xlfn.DAYS(EDATE(X$1,1),Log_2019[[#This Row],[Date]]),Log_2019[[#This Row],[Split_apply]])) - SUM($O44:W44)</f>
        <v>0</v>
      </c>
      <c r="Y44" s="52">
        <f ca="1">Log_2019[[#This Row],[Amount]]/Log_2019[[#This Row],[Split_raw]]*MAX(0,MIN(_xlfn.DAYS(EDATE(Y$1,1),Log_2019[[#This Row],[Date]]),Log_2019[[#This Row],[Split_apply]])) - SUM($O44:X44)</f>
        <v>0</v>
      </c>
      <c r="Z44" s="52">
        <f ca="1">Log_2019[[#This Row],[Amount]]/Log_2019[[#This Row],[Split_raw]]*MAX(0,MIN(_xlfn.DAYS(EDATE(Z$1,1),Log_2019[[#This Row],[Date]]),Log_2019[[#This Row],[Split_apply]])) - SUM($O44:Y44)</f>
        <v>0</v>
      </c>
      <c r="AA44" s="52">
        <f ca="1">Log_2019[[#This Row],[Amount]]/Log_2019[[#This Row],[Split_raw]]*MAX(0,MIN(_xlfn.DAYS(EDATE(AA$1,1),Log_2019[[#This Row],[Date]]),Log_2019[[#This Row],[Split_apply]])) - SUM($O44:Z44)</f>
        <v>-10.25</v>
      </c>
      <c r="AB44" s="54">
        <f ca="1">Log_2019[[#This Row],[Amount]]-SUM(O44:AA44)</f>
        <v>0</v>
      </c>
      <c r="AC44" s="7">
        <f>MAX(0,Log_2019[[#This Row],[Split_raw]] - (EDATE(AA$1,1)-Log_2019[[#This Row],[Date]]))</f>
        <v>0</v>
      </c>
    </row>
    <row r="45" spans="1:29" x14ac:dyDescent="0.25">
      <c r="A45" s="42"/>
      <c r="B45" s="34" t="s">
        <v>6</v>
      </c>
      <c r="C45" s="34"/>
      <c r="D45" s="35">
        <v>43804</v>
      </c>
      <c r="E45" s="34"/>
      <c r="F45" s="34" t="s">
        <v>255</v>
      </c>
      <c r="G45" s="34" t="s">
        <v>12</v>
      </c>
      <c r="H45">
        <v>-3.28</v>
      </c>
      <c r="I45" s="36">
        <f>IF(Log_2019[[#This Row],[My Category]]="NONTRACKED",0,Log_2019[[#This Row],[Raw Amount]])</f>
        <v>-3.28</v>
      </c>
      <c r="J45" s="37">
        <f>ABS(Log_2019[[#This Row],[Amount]])</f>
        <v>3.28</v>
      </c>
      <c r="K45" s="38">
        <v>1</v>
      </c>
      <c r="L45" s="38">
        <f ca="1">IF(Log_2019[[#This Row],[Date]]&lt;=TODAY(), MIN(Log_2019[[#This Row],[Split_raw]], TODAY()-Log_2019[[#This Row],[Date]]+1), 0)</f>
        <v>1</v>
      </c>
      <c r="M45" s="34" t="s">
        <v>35</v>
      </c>
      <c r="N45" s="34" t="s">
        <v>158</v>
      </c>
      <c r="O45" s="7">
        <v>0</v>
      </c>
      <c r="P45" s="52">
        <f ca="1">Log_2019[[#This Row],[Amount]]/Log_2019[[#This Row],[Split_raw]]*MAX(0,MIN(_xlfn.DAYS(EDATE(P$1,1),Log_2019[[#This Row],[Date]]),Log_2019[[#This Row],[Split_apply]])) - SUM($O45:O45)</f>
        <v>0</v>
      </c>
      <c r="Q45" s="52">
        <f ca="1">Log_2019[[#This Row],[Amount]]/Log_2019[[#This Row],[Split_raw]]*MAX(0,MIN(_xlfn.DAYS(EDATE(Q$1,1),Log_2019[[#This Row],[Date]]),Log_2019[[#This Row],[Split_apply]])) - SUM($O45:P45)</f>
        <v>0</v>
      </c>
      <c r="R45" s="52">
        <f ca="1">Log_2019[[#This Row],[Amount]]/Log_2019[[#This Row],[Split_raw]]*MAX(0,MIN(_xlfn.DAYS(EDATE(R$1,1),Log_2019[[#This Row],[Date]]),Log_2019[[#This Row],[Split_apply]])) - SUM($O45:Q45)</f>
        <v>0</v>
      </c>
      <c r="S45" s="52">
        <f ca="1">Log_2019[[#This Row],[Amount]]/Log_2019[[#This Row],[Split_raw]]*MAX(0,MIN(_xlfn.DAYS(EDATE(S$1,1),Log_2019[[#This Row],[Date]]),Log_2019[[#This Row],[Split_apply]])) - SUM($O45:R45)</f>
        <v>0</v>
      </c>
      <c r="T45" s="52">
        <f ca="1">Log_2019[[#This Row],[Amount]]/Log_2019[[#This Row],[Split_raw]]*MAX(0,MIN(_xlfn.DAYS(EDATE(T$1,1),Log_2019[[#This Row],[Date]]),Log_2019[[#This Row],[Split_apply]])) - SUM($O45:S45)</f>
        <v>0</v>
      </c>
      <c r="U45" s="52">
        <f ca="1">Log_2019[[#This Row],[Amount]]/Log_2019[[#This Row],[Split_raw]]*MAX(0,MIN(_xlfn.DAYS(EDATE(U$1,1),Log_2019[[#This Row],[Date]]),Log_2019[[#This Row],[Split_apply]])) - SUM($O45:T45)</f>
        <v>0</v>
      </c>
      <c r="V45" s="52">
        <f ca="1">Log_2019[[#This Row],[Amount]]/Log_2019[[#This Row],[Split_raw]]*MAX(0,MIN(_xlfn.DAYS(EDATE(V$1,1),Log_2019[[#This Row],[Date]]),Log_2019[[#This Row],[Split_apply]])) - SUM($O45:U45)</f>
        <v>0</v>
      </c>
      <c r="W45" s="52">
        <f ca="1">Log_2019[[#This Row],[Amount]]/Log_2019[[#This Row],[Split_raw]]*MAX(0,MIN(_xlfn.DAYS(EDATE(W$1,1),Log_2019[[#This Row],[Date]]),Log_2019[[#This Row],[Split_apply]])) - SUM($O45:V45)</f>
        <v>0</v>
      </c>
      <c r="X45" s="52">
        <f ca="1">Log_2019[[#This Row],[Amount]]/Log_2019[[#This Row],[Split_raw]]*MAX(0,MIN(_xlfn.DAYS(EDATE(X$1,1),Log_2019[[#This Row],[Date]]),Log_2019[[#This Row],[Split_apply]])) - SUM($O45:W45)</f>
        <v>0</v>
      </c>
      <c r="Y45" s="52">
        <f ca="1">Log_2019[[#This Row],[Amount]]/Log_2019[[#This Row],[Split_raw]]*MAX(0,MIN(_xlfn.DAYS(EDATE(Y$1,1),Log_2019[[#This Row],[Date]]),Log_2019[[#This Row],[Split_apply]])) - SUM($O45:X45)</f>
        <v>0</v>
      </c>
      <c r="Z45" s="52">
        <f ca="1">Log_2019[[#This Row],[Amount]]/Log_2019[[#This Row],[Split_raw]]*MAX(0,MIN(_xlfn.DAYS(EDATE(Z$1,1),Log_2019[[#This Row],[Date]]),Log_2019[[#This Row],[Split_apply]])) - SUM($O45:Y45)</f>
        <v>0</v>
      </c>
      <c r="AA45" s="52">
        <f ca="1">Log_2019[[#This Row],[Amount]]/Log_2019[[#This Row],[Split_raw]]*MAX(0,MIN(_xlfn.DAYS(EDATE(AA$1,1),Log_2019[[#This Row],[Date]]),Log_2019[[#This Row],[Split_apply]])) - SUM($O45:Z45)</f>
        <v>-3.28</v>
      </c>
      <c r="AB45" s="54">
        <f ca="1">Log_2019[[#This Row],[Amount]]-SUM(O45:AA45)</f>
        <v>0</v>
      </c>
      <c r="AC45" s="7">
        <f>MAX(0,Log_2019[[#This Row],[Split_raw]] - (EDATE(AA$1,1)-Log_2019[[#This Row],[Date]]))</f>
        <v>0</v>
      </c>
    </row>
    <row r="46" spans="1:29" x14ac:dyDescent="0.25">
      <c r="A46" s="42"/>
      <c r="B46" s="34" t="s">
        <v>6</v>
      </c>
      <c r="C46" s="34"/>
      <c r="D46" s="35">
        <v>43804</v>
      </c>
      <c r="E46" s="34" t="s">
        <v>666</v>
      </c>
      <c r="F46" s="34" t="s">
        <v>836</v>
      </c>
      <c r="G46" s="34" t="s">
        <v>27</v>
      </c>
      <c r="H46">
        <v>-8.41</v>
      </c>
      <c r="I46" s="36">
        <f>IF(Log_2019[[#This Row],[My Category]]="NONTRACKED",0,Log_2019[[#This Row],[Raw Amount]])</f>
        <v>-8.41</v>
      </c>
      <c r="J46" s="37">
        <f>ABS(Log_2019[[#This Row],[Amount]])</f>
        <v>8.41</v>
      </c>
      <c r="K46" s="38">
        <v>1</v>
      </c>
      <c r="L46" s="38">
        <f ca="1">IF(Log_2019[[#This Row],[Date]]&lt;=TODAY(), MIN(Log_2019[[#This Row],[Split_raw]], TODAY()-Log_2019[[#This Row],[Date]]+1), 0)</f>
        <v>1</v>
      </c>
      <c r="M46" s="34" t="s">
        <v>40</v>
      </c>
      <c r="N46" s="34" t="s">
        <v>158</v>
      </c>
      <c r="O46" s="7">
        <v>0</v>
      </c>
      <c r="P46" s="52">
        <f ca="1">Log_2019[[#This Row],[Amount]]/Log_2019[[#This Row],[Split_raw]]*MAX(0,MIN(_xlfn.DAYS(EDATE(P$1,1),Log_2019[[#This Row],[Date]]),Log_2019[[#This Row],[Split_apply]])) - SUM($O46:O46)</f>
        <v>0</v>
      </c>
      <c r="Q46" s="52">
        <f ca="1">Log_2019[[#This Row],[Amount]]/Log_2019[[#This Row],[Split_raw]]*MAX(0,MIN(_xlfn.DAYS(EDATE(Q$1,1),Log_2019[[#This Row],[Date]]),Log_2019[[#This Row],[Split_apply]])) - SUM($O46:P46)</f>
        <v>0</v>
      </c>
      <c r="R46" s="52">
        <f ca="1">Log_2019[[#This Row],[Amount]]/Log_2019[[#This Row],[Split_raw]]*MAX(0,MIN(_xlfn.DAYS(EDATE(R$1,1),Log_2019[[#This Row],[Date]]),Log_2019[[#This Row],[Split_apply]])) - SUM($O46:Q46)</f>
        <v>0</v>
      </c>
      <c r="S46" s="52">
        <f ca="1">Log_2019[[#This Row],[Amount]]/Log_2019[[#This Row],[Split_raw]]*MAX(0,MIN(_xlfn.DAYS(EDATE(S$1,1),Log_2019[[#This Row],[Date]]),Log_2019[[#This Row],[Split_apply]])) - SUM($O46:R46)</f>
        <v>0</v>
      </c>
      <c r="T46" s="52">
        <f ca="1">Log_2019[[#This Row],[Amount]]/Log_2019[[#This Row],[Split_raw]]*MAX(0,MIN(_xlfn.DAYS(EDATE(T$1,1),Log_2019[[#This Row],[Date]]),Log_2019[[#This Row],[Split_apply]])) - SUM($O46:S46)</f>
        <v>0</v>
      </c>
      <c r="U46" s="52">
        <f ca="1">Log_2019[[#This Row],[Amount]]/Log_2019[[#This Row],[Split_raw]]*MAX(0,MIN(_xlfn.DAYS(EDATE(U$1,1),Log_2019[[#This Row],[Date]]),Log_2019[[#This Row],[Split_apply]])) - SUM($O46:T46)</f>
        <v>0</v>
      </c>
      <c r="V46" s="52">
        <f ca="1">Log_2019[[#This Row],[Amount]]/Log_2019[[#This Row],[Split_raw]]*MAX(0,MIN(_xlfn.DAYS(EDATE(V$1,1),Log_2019[[#This Row],[Date]]),Log_2019[[#This Row],[Split_apply]])) - SUM($O46:U46)</f>
        <v>0</v>
      </c>
      <c r="W46" s="52">
        <f ca="1">Log_2019[[#This Row],[Amount]]/Log_2019[[#This Row],[Split_raw]]*MAX(0,MIN(_xlfn.DAYS(EDATE(W$1,1),Log_2019[[#This Row],[Date]]),Log_2019[[#This Row],[Split_apply]])) - SUM($O46:V46)</f>
        <v>0</v>
      </c>
      <c r="X46" s="52">
        <f ca="1">Log_2019[[#This Row],[Amount]]/Log_2019[[#This Row],[Split_raw]]*MAX(0,MIN(_xlfn.DAYS(EDATE(X$1,1),Log_2019[[#This Row],[Date]]),Log_2019[[#This Row],[Split_apply]])) - SUM($O46:W46)</f>
        <v>0</v>
      </c>
      <c r="Y46" s="52">
        <f ca="1">Log_2019[[#This Row],[Amount]]/Log_2019[[#This Row],[Split_raw]]*MAX(0,MIN(_xlfn.DAYS(EDATE(Y$1,1),Log_2019[[#This Row],[Date]]),Log_2019[[#This Row],[Split_apply]])) - SUM($O46:X46)</f>
        <v>0</v>
      </c>
      <c r="Z46" s="52">
        <f ca="1">Log_2019[[#This Row],[Amount]]/Log_2019[[#This Row],[Split_raw]]*MAX(0,MIN(_xlfn.DAYS(EDATE(Z$1,1),Log_2019[[#This Row],[Date]]),Log_2019[[#This Row],[Split_apply]])) - SUM($O46:Y46)</f>
        <v>0</v>
      </c>
      <c r="AA46" s="52">
        <f ca="1">Log_2019[[#This Row],[Amount]]/Log_2019[[#This Row],[Split_raw]]*MAX(0,MIN(_xlfn.DAYS(EDATE(AA$1,1),Log_2019[[#This Row],[Date]]),Log_2019[[#This Row],[Split_apply]])) - SUM($O46:Z46)</f>
        <v>-8.41</v>
      </c>
      <c r="AB46" s="54">
        <f ca="1">Log_2019[[#This Row],[Amount]]-SUM(O46:AA46)</f>
        <v>0</v>
      </c>
      <c r="AC46" s="7">
        <f>MAX(0,Log_2019[[#This Row],[Split_raw]] - (EDATE(AA$1,1)-Log_2019[[#This Row],[Date]]))</f>
        <v>0</v>
      </c>
    </row>
    <row r="47" spans="1:29" x14ac:dyDescent="0.25">
      <c r="A47" s="42"/>
      <c r="B47" s="34" t="s">
        <v>6</v>
      </c>
      <c r="C47" s="34"/>
      <c r="D47" s="35">
        <v>43804</v>
      </c>
      <c r="E47" s="34"/>
      <c r="F47" s="34" t="s">
        <v>847</v>
      </c>
      <c r="G47" s="34" t="s">
        <v>747</v>
      </c>
      <c r="H47">
        <f>--1898.47</f>
        <v>1898.47</v>
      </c>
      <c r="I47" s="36">
        <f>IF(Log_2019[[#This Row],[My Category]]="NONTRACKED",0,Log_2019[[#This Row],[Raw Amount]])</f>
        <v>1898.47</v>
      </c>
      <c r="J47" s="37">
        <f>ABS(Log_2019[[#This Row],[Amount]])</f>
        <v>1898.47</v>
      </c>
      <c r="K47" s="38">
        <v>14</v>
      </c>
      <c r="L47" s="38">
        <f ca="1">IF(Log_2019[[#This Row],[Date]]&lt;=TODAY(), MIN(Log_2019[[#This Row],[Split_raw]], TODAY()-Log_2019[[#This Row],[Date]]+1), 0)</f>
        <v>14</v>
      </c>
      <c r="M47" s="34" t="s">
        <v>91</v>
      </c>
      <c r="N47" s="34" t="s">
        <v>160</v>
      </c>
      <c r="O47" s="7">
        <v>0</v>
      </c>
      <c r="P47" s="52">
        <f ca="1">Log_2019[[#This Row],[Amount]]/Log_2019[[#This Row],[Split_raw]]*MAX(0,MIN(_xlfn.DAYS(EDATE(P$1,1),Log_2019[[#This Row],[Date]]),Log_2019[[#This Row],[Split_apply]])) - SUM($O47:O47)</f>
        <v>0</v>
      </c>
      <c r="Q47" s="52">
        <f ca="1">Log_2019[[#This Row],[Amount]]/Log_2019[[#This Row],[Split_raw]]*MAX(0,MIN(_xlfn.DAYS(EDATE(Q$1,1),Log_2019[[#This Row],[Date]]),Log_2019[[#This Row],[Split_apply]])) - SUM($O47:P47)</f>
        <v>0</v>
      </c>
      <c r="R47" s="52">
        <f ca="1">Log_2019[[#This Row],[Amount]]/Log_2019[[#This Row],[Split_raw]]*MAX(0,MIN(_xlfn.DAYS(EDATE(R$1,1),Log_2019[[#This Row],[Date]]),Log_2019[[#This Row],[Split_apply]])) - SUM($O47:Q47)</f>
        <v>0</v>
      </c>
      <c r="S47" s="52">
        <f ca="1">Log_2019[[#This Row],[Amount]]/Log_2019[[#This Row],[Split_raw]]*MAX(0,MIN(_xlfn.DAYS(EDATE(S$1,1),Log_2019[[#This Row],[Date]]),Log_2019[[#This Row],[Split_apply]])) - SUM($O47:R47)</f>
        <v>0</v>
      </c>
      <c r="T47" s="52">
        <f ca="1">Log_2019[[#This Row],[Amount]]/Log_2019[[#This Row],[Split_raw]]*MAX(0,MIN(_xlfn.DAYS(EDATE(T$1,1),Log_2019[[#This Row],[Date]]),Log_2019[[#This Row],[Split_apply]])) - SUM($O47:S47)</f>
        <v>0</v>
      </c>
      <c r="U47" s="52">
        <f ca="1">Log_2019[[#This Row],[Amount]]/Log_2019[[#This Row],[Split_raw]]*MAX(0,MIN(_xlfn.DAYS(EDATE(U$1,1),Log_2019[[#This Row],[Date]]),Log_2019[[#This Row],[Split_apply]])) - SUM($O47:T47)</f>
        <v>0</v>
      </c>
      <c r="V47" s="52">
        <f ca="1">Log_2019[[#This Row],[Amount]]/Log_2019[[#This Row],[Split_raw]]*MAX(0,MIN(_xlfn.DAYS(EDATE(V$1,1),Log_2019[[#This Row],[Date]]),Log_2019[[#This Row],[Split_apply]])) - SUM($O47:U47)</f>
        <v>0</v>
      </c>
      <c r="W47" s="52">
        <f ca="1">Log_2019[[#This Row],[Amount]]/Log_2019[[#This Row],[Split_raw]]*MAX(0,MIN(_xlfn.DAYS(EDATE(W$1,1),Log_2019[[#This Row],[Date]]),Log_2019[[#This Row],[Split_apply]])) - SUM($O47:V47)</f>
        <v>0</v>
      </c>
      <c r="X47" s="52">
        <f ca="1">Log_2019[[#This Row],[Amount]]/Log_2019[[#This Row],[Split_raw]]*MAX(0,MIN(_xlfn.DAYS(EDATE(X$1,1),Log_2019[[#This Row],[Date]]),Log_2019[[#This Row],[Split_apply]])) - SUM($O47:W47)</f>
        <v>0</v>
      </c>
      <c r="Y47" s="52">
        <f ca="1">Log_2019[[#This Row],[Amount]]/Log_2019[[#This Row],[Split_raw]]*MAX(0,MIN(_xlfn.DAYS(EDATE(Y$1,1),Log_2019[[#This Row],[Date]]),Log_2019[[#This Row],[Split_apply]])) - SUM($O47:X47)</f>
        <v>0</v>
      </c>
      <c r="Z47" s="52">
        <f ca="1">Log_2019[[#This Row],[Amount]]/Log_2019[[#This Row],[Split_raw]]*MAX(0,MIN(_xlfn.DAYS(EDATE(Z$1,1),Log_2019[[#This Row],[Date]]),Log_2019[[#This Row],[Split_apply]])) - SUM($O47:Y47)</f>
        <v>0</v>
      </c>
      <c r="AA47" s="52">
        <f ca="1">Log_2019[[#This Row],[Amount]]/Log_2019[[#This Row],[Split_raw]]*MAX(0,MIN(_xlfn.DAYS(EDATE(AA$1,1),Log_2019[[#This Row],[Date]]),Log_2019[[#This Row],[Split_apply]])) - SUM($O47:Z47)</f>
        <v>1898.4699999999998</v>
      </c>
      <c r="AB47" s="54">
        <f ca="1">Log_2019[[#This Row],[Amount]]-SUM(O47:AA47)</f>
        <v>0</v>
      </c>
      <c r="AC47" s="7">
        <f>MAX(0,Log_2019[[#This Row],[Split_raw]] - (EDATE(AA$1,1)-Log_2019[[#This Row],[Date]]))</f>
        <v>0</v>
      </c>
    </row>
    <row r="48" spans="1:29" x14ac:dyDescent="0.25">
      <c r="A48" s="42"/>
      <c r="B48" s="34" t="s">
        <v>6</v>
      </c>
      <c r="C48" s="34"/>
      <c r="D48" s="35">
        <v>43803</v>
      </c>
      <c r="E48" s="34"/>
      <c r="F48" s="34" t="s">
        <v>270</v>
      </c>
      <c r="G48" s="34" t="s">
        <v>25</v>
      </c>
      <c r="H48">
        <v>-10.210000000000001</v>
      </c>
      <c r="I48" s="36">
        <f>IF(Log_2019[[#This Row],[My Category]]="NONTRACKED",0,Log_2019[[#This Row],[Raw Amount]])</f>
        <v>-10.210000000000001</v>
      </c>
      <c r="J48" s="37">
        <f>ABS(Log_2019[[#This Row],[Amount]])</f>
        <v>10.210000000000001</v>
      </c>
      <c r="K48" s="38">
        <v>1</v>
      </c>
      <c r="L48" s="38">
        <f ca="1">IF(Log_2019[[#This Row],[Date]]&lt;=TODAY(), MIN(Log_2019[[#This Row],[Split_raw]], TODAY()-Log_2019[[#This Row],[Date]]+1), 0)</f>
        <v>1</v>
      </c>
      <c r="M48" s="34" t="s">
        <v>35</v>
      </c>
      <c r="N48" s="34" t="s">
        <v>158</v>
      </c>
      <c r="O48" s="7">
        <v>0</v>
      </c>
      <c r="P48" s="52">
        <f ca="1">Log_2019[[#This Row],[Amount]]/Log_2019[[#This Row],[Split_raw]]*MAX(0,MIN(_xlfn.DAYS(EDATE(P$1,1),Log_2019[[#This Row],[Date]]),Log_2019[[#This Row],[Split_apply]])) - SUM($O48:O48)</f>
        <v>0</v>
      </c>
      <c r="Q48" s="52">
        <f ca="1">Log_2019[[#This Row],[Amount]]/Log_2019[[#This Row],[Split_raw]]*MAX(0,MIN(_xlfn.DAYS(EDATE(Q$1,1),Log_2019[[#This Row],[Date]]),Log_2019[[#This Row],[Split_apply]])) - SUM($O48:P48)</f>
        <v>0</v>
      </c>
      <c r="R48" s="52">
        <f ca="1">Log_2019[[#This Row],[Amount]]/Log_2019[[#This Row],[Split_raw]]*MAX(0,MIN(_xlfn.DAYS(EDATE(R$1,1),Log_2019[[#This Row],[Date]]),Log_2019[[#This Row],[Split_apply]])) - SUM($O48:Q48)</f>
        <v>0</v>
      </c>
      <c r="S48" s="52">
        <f ca="1">Log_2019[[#This Row],[Amount]]/Log_2019[[#This Row],[Split_raw]]*MAX(0,MIN(_xlfn.DAYS(EDATE(S$1,1),Log_2019[[#This Row],[Date]]),Log_2019[[#This Row],[Split_apply]])) - SUM($O48:R48)</f>
        <v>0</v>
      </c>
      <c r="T48" s="52">
        <f ca="1">Log_2019[[#This Row],[Amount]]/Log_2019[[#This Row],[Split_raw]]*MAX(0,MIN(_xlfn.DAYS(EDATE(T$1,1),Log_2019[[#This Row],[Date]]),Log_2019[[#This Row],[Split_apply]])) - SUM($O48:S48)</f>
        <v>0</v>
      </c>
      <c r="U48" s="52">
        <f ca="1">Log_2019[[#This Row],[Amount]]/Log_2019[[#This Row],[Split_raw]]*MAX(0,MIN(_xlfn.DAYS(EDATE(U$1,1),Log_2019[[#This Row],[Date]]),Log_2019[[#This Row],[Split_apply]])) - SUM($O48:T48)</f>
        <v>0</v>
      </c>
      <c r="V48" s="52">
        <f ca="1">Log_2019[[#This Row],[Amount]]/Log_2019[[#This Row],[Split_raw]]*MAX(0,MIN(_xlfn.DAYS(EDATE(V$1,1),Log_2019[[#This Row],[Date]]),Log_2019[[#This Row],[Split_apply]])) - SUM($O48:U48)</f>
        <v>0</v>
      </c>
      <c r="W48" s="52">
        <f ca="1">Log_2019[[#This Row],[Amount]]/Log_2019[[#This Row],[Split_raw]]*MAX(0,MIN(_xlfn.DAYS(EDATE(W$1,1),Log_2019[[#This Row],[Date]]),Log_2019[[#This Row],[Split_apply]])) - SUM($O48:V48)</f>
        <v>0</v>
      </c>
      <c r="X48" s="52">
        <f ca="1">Log_2019[[#This Row],[Amount]]/Log_2019[[#This Row],[Split_raw]]*MAX(0,MIN(_xlfn.DAYS(EDATE(X$1,1),Log_2019[[#This Row],[Date]]),Log_2019[[#This Row],[Split_apply]])) - SUM($O48:W48)</f>
        <v>0</v>
      </c>
      <c r="Y48" s="52">
        <f ca="1">Log_2019[[#This Row],[Amount]]/Log_2019[[#This Row],[Split_raw]]*MAX(0,MIN(_xlfn.DAYS(EDATE(Y$1,1),Log_2019[[#This Row],[Date]]),Log_2019[[#This Row],[Split_apply]])) - SUM($O48:X48)</f>
        <v>0</v>
      </c>
      <c r="Z48" s="52">
        <f ca="1">Log_2019[[#This Row],[Amount]]/Log_2019[[#This Row],[Split_raw]]*MAX(0,MIN(_xlfn.DAYS(EDATE(Z$1,1),Log_2019[[#This Row],[Date]]),Log_2019[[#This Row],[Split_apply]])) - SUM($O48:Y48)</f>
        <v>0</v>
      </c>
      <c r="AA48" s="52">
        <f ca="1">Log_2019[[#This Row],[Amount]]/Log_2019[[#This Row],[Split_raw]]*MAX(0,MIN(_xlfn.DAYS(EDATE(AA$1,1),Log_2019[[#This Row],[Date]]),Log_2019[[#This Row],[Split_apply]])) - SUM($O48:Z48)</f>
        <v>-10.210000000000001</v>
      </c>
      <c r="AB48" s="54">
        <f ca="1">Log_2019[[#This Row],[Amount]]-SUM(O48:AA48)</f>
        <v>0</v>
      </c>
      <c r="AC48" s="7">
        <f>MAX(0,Log_2019[[#This Row],[Split_raw]] - (EDATE(AA$1,1)-Log_2019[[#This Row],[Date]]))</f>
        <v>0</v>
      </c>
    </row>
    <row r="49" spans="1:29" x14ac:dyDescent="0.25">
      <c r="A49" s="42"/>
      <c r="B49" s="34" t="s">
        <v>6</v>
      </c>
      <c r="C49" s="34"/>
      <c r="D49" s="35">
        <v>43803</v>
      </c>
      <c r="E49" s="34"/>
      <c r="F49" s="34" t="s">
        <v>255</v>
      </c>
      <c r="G49" s="34" t="s">
        <v>12</v>
      </c>
      <c r="H49">
        <v>-26.91</v>
      </c>
      <c r="I49" s="36">
        <f>IF(Log_2019[[#This Row],[My Category]]="NONTRACKED",0,Log_2019[[#This Row],[Raw Amount]])</f>
        <v>-26.91</v>
      </c>
      <c r="J49" s="37">
        <f>ABS(Log_2019[[#This Row],[Amount]])</f>
        <v>26.91</v>
      </c>
      <c r="K49" s="38">
        <v>1</v>
      </c>
      <c r="L49" s="38">
        <f ca="1">IF(Log_2019[[#This Row],[Date]]&lt;=TODAY(), MIN(Log_2019[[#This Row],[Split_raw]], TODAY()-Log_2019[[#This Row],[Date]]+1), 0)</f>
        <v>1</v>
      </c>
      <c r="M49" s="34" t="s">
        <v>52</v>
      </c>
      <c r="N49" s="34" t="s">
        <v>158</v>
      </c>
      <c r="O49" s="7">
        <v>0</v>
      </c>
      <c r="P49" s="52">
        <f ca="1">Log_2019[[#This Row],[Amount]]/Log_2019[[#This Row],[Split_raw]]*MAX(0,MIN(_xlfn.DAYS(EDATE(P$1,1),Log_2019[[#This Row],[Date]]),Log_2019[[#This Row],[Split_apply]])) - SUM($O49:O49)</f>
        <v>0</v>
      </c>
      <c r="Q49" s="52">
        <f ca="1">Log_2019[[#This Row],[Amount]]/Log_2019[[#This Row],[Split_raw]]*MAX(0,MIN(_xlfn.DAYS(EDATE(Q$1,1),Log_2019[[#This Row],[Date]]),Log_2019[[#This Row],[Split_apply]])) - SUM($O49:P49)</f>
        <v>0</v>
      </c>
      <c r="R49" s="52">
        <f ca="1">Log_2019[[#This Row],[Amount]]/Log_2019[[#This Row],[Split_raw]]*MAX(0,MIN(_xlfn.DAYS(EDATE(R$1,1),Log_2019[[#This Row],[Date]]),Log_2019[[#This Row],[Split_apply]])) - SUM($O49:Q49)</f>
        <v>0</v>
      </c>
      <c r="S49" s="52">
        <f ca="1">Log_2019[[#This Row],[Amount]]/Log_2019[[#This Row],[Split_raw]]*MAX(0,MIN(_xlfn.DAYS(EDATE(S$1,1),Log_2019[[#This Row],[Date]]),Log_2019[[#This Row],[Split_apply]])) - SUM($O49:R49)</f>
        <v>0</v>
      </c>
      <c r="T49" s="52">
        <f ca="1">Log_2019[[#This Row],[Amount]]/Log_2019[[#This Row],[Split_raw]]*MAX(0,MIN(_xlfn.DAYS(EDATE(T$1,1),Log_2019[[#This Row],[Date]]),Log_2019[[#This Row],[Split_apply]])) - SUM($O49:S49)</f>
        <v>0</v>
      </c>
      <c r="U49" s="52">
        <f ca="1">Log_2019[[#This Row],[Amount]]/Log_2019[[#This Row],[Split_raw]]*MAX(0,MIN(_xlfn.DAYS(EDATE(U$1,1),Log_2019[[#This Row],[Date]]),Log_2019[[#This Row],[Split_apply]])) - SUM($O49:T49)</f>
        <v>0</v>
      </c>
      <c r="V49" s="52">
        <f ca="1">Log_2019[[#This Row],[Amount]]/Log_2019[[#This Row],[Split_raw]]*MAX(0,MIN(_xlfn.DAYS(EDATE(V$1,1),Log_2019[[#This Row],[Date]]),Log_2019[[#This Row],[Split_apply]])) - SUM($O49:U49)</f>
        <v>0</v>
      </c>
      <c r="W49" s="52">
        <f ca="1">Log_2019[[#This Row],[Amount]]/Log_2019[[#This Row],[Split_raw]]*MAX(0,MIN(_xlfn.DAYS(EDATE(W$1,1),Log_2019[[#This Row],[Date]]),Log_2019[[#This Row],[Split_apply]])) - SUM($O49:V49)</f>
        <v>0</v>
      </c>
      <c r="X49" s="52">
        <f ca="1">Log_2019[[#This Row],[Amount]]/Log_2019[[#This Row],[Split_raw]]*MAX(0,MIN(_xlfn.DAYS(EDATE(X$1,1),Log_2019[[#This Row],[Date]]),Log_2019[[#This Row],[Split_apply]])) - SUM($O49:W49)</f>
        <v>0</v>
      </c>
      <c r="Y49" s="52">
        <f ca="1">Log_2019[[#This Row],[Amount]]/Log_2019[[#This Row],[Split_raw]]*MAX(0,MIN(_xlfn.DAYS(EDATE(Y$1,1),Log_2019[[#This Row],[Date]]),Log_2019[[#This Row],[Split_apply]])) - SUM($O49:X49)</f>
        <v>0</v>
      </c>
      <c r="Z49" s="52">
        <f ca="1">Log_2019[[#This Row],[Amount]]/Log_2019[[#This Row],[Split_raw]]*MAX(0,MIN(_xlfn.DAYS(EDATE(Z$1,1),Log_2019[[#This Row],[Date]]),Log_2019[[#This Row],[Split_apply]])) - SUM($O49:Y49)</f>
        <v>0</v>
      </c>
      <c r="AA49" s="52">
        <f ca="1">Log_2019[[#This Row],[Amount]]/Log_2019[[#This Row],[Split_raw]]*MAX(0,MIN(_xlfn.DAYS(EDATE(AA$1,1),Log_2019[[#This Row],[Date]]),Log_2019[[#This Row],[Split_apply]])) - SUM($O49:Z49)</f>
        <v>-26.91</v>
      </c>
      <c r="AB49" s="54">
        <f ca="1">Log_2019[[#This Row],[Amount]]-SUM(O49:AA49)</f>
        <v>0</v>
      </c>
      <c r="AC49" s="7">
        <f>MAX(0,Log_2019[[#This Row],[Split_raw]] - (EDATE(AA$1,1)-Log_2019[[#This Row],[Date]]))</f>
        <v>0</v>
      </c>
    </row>
    <row r="50" spans="1:29" x14ac:dyDescent="0.25">
      <c r="A50" s="42"/>
      <c r="B50" s="34" t="s">
        <v>6</v>
      </c>
      <c r="C50" s="34"/>
      <c r="D50" s="35">
        <v>43803</v>
      </c>
      <c r="E50" s="34" t="s">
        <v>666</v>
      </c>
      <c r="F50" s="34" t="s">
        <v>837</v>
      </c>
      <c r="G50" s="34" t="s">
        <v>27</v>
      </c>
      <c r="H50">
        <v>-10.28</v>
      </c>
      <c r="I50" s="36">
        <f>IF(Log_2019[[#This Row],[My Category]]="NONTRACKED",0,Log_2019[[#This Row],[Raw Amount]])</f>
        <v>-10.28</v>
      </c>
      <c r="J50" s="37">
        <f>ABS(Log_2019[[#This Row],[Amount]])</f>
        <v>10.28</v>
      </c>
      <c r="K50" s="38">
        <v>1</v>
      </c>
      <c r="L50" s="38">
        <f ca="1">IF(Log_2019[[#This Row],[Date]]&lt;=TODAY(), MIN(Log_2019[[#This Row],[Split_raw]], TODAY()-Log_2019[[#This Row],[Date]]+1), 0)</f>
        <v>1</v>
      </c>
      <c r="M50" s="34" t="s">
        <v>40</v>
      </c>
      <c r="N50" s="34" t="s">
        <v>158</v>
      </c>
      <c r="O50" s="7">
        <v>0</v>
      </c>
      <c r="P50" s="52">
        <f ca="1">Log_2019[[#This Row],[Amount]]/Log_2019[[#This Row],[Split_raw]]*MAX(0,MIN(_xlfn.DAYS(EDATE(P$1,1),Log_2019[[#This Row],[Date]]),Log_2019[[#This Row],[Split_apply]])) - SUM($O50:O50)</f>
        <v>0</v>
      </c>
      <c r="Q50" s="52">
        <f ca="1">Log_2019[[#This Row],[Amount]]/Log_2019[[#This Row],[Split_raw]]*MAX(0,MIN(_xlfn.DAYS(EDATE(Q$1,1),Log_2019[[#This Row],[Date]]),Log_2019[[#This Row],[Split_apply]])) - SUM($O50:P50)</f>
        <v>0</v>
      </c>
      <c r="R50" s="52">
        <f ca="1">Log_2019[[#This Row],[Amount]]/Log_2019[[#This Row],[Split_raw]]*MAX(0,MIN(_xlfn.DAYS(EDATE(R$1,1),Log_2019[[#This Row],[Date]]),Log_2019[[#This Row],[Split_apply]])) - SUM($O50:Q50)</f>
        <v>0</v>
      </c>
      <c r="S50" s="52">
        <f ca="1">Log_2019[[#This Row],[Amount]]/Log_2019[[#This Row],[Split_raw]]*MAX(0,MIN(_xlfn.DAYS(EDATE(S$1,1),Log_2019[[#This Row],[Date]]),Log_2019[[#This Row],[Split_apply]])) - SUM($O50:R50)</f>
        <v>0</v>
      </c>
      <c r="T50" s="52">
        <f ca="1">Log_2019[[#This Row],[Amount]]/Log_2019[[#This Row],[Split_raw]]*MAX(0,MIN(_xlfn.DAYS(EDATE(T$1,1),Log_2019[[#This Row],[Date]]),Log_2019[[#This Row],[Split_apply]])) - SUM($O50:S50)</f>
        <v>0</v>
      </c>
      <c r="U50" s="52">
        <f ca="1">Log_2019[[#This Row],[Amount]]/Log_2019[[#This Row],[Split_raw]]*MAX(0,MIN(_xlfn.DAYS(EDATE(U$1,1),Log_2019[[#This Row],[Date]]),Log_2019[[#This Row],[Split_apply]])) - SUM($O50:T50)</f>
        <v>0</v>
      </c>
      <c r="V50" s="52">
        <f ca="1">Log_2019[[#This Row],[Amount]]/Log_2019[[#This Row],[Split_raw]]*MAX(0,MIN(_xlfn.DAYS(EDATE(V$1,1),Log_2019[[#This Row],[Date]]),Log_2019[[#This Row],[Split_apply]])) - SUM($O50:U50)</f>
        <v>0</v>
      </c>
      <c r="W50" s="52">
        <f ca="1">Log_2019[[#This Row],[Amount]]/Log_2019[[#This Row],[Split_raw]]*MAX(0,MIN(_xlfn.DAYS(EDATE(W$1,1),Log_2019[[#This Row],[Date]]),Log_2019[[#This Row],[Split_apply]])) - SUM($O50:V50)</f>
        <v>0</v>
      </c>
      <c r="X50" s="52">
        <f ca="1">Log_2019[[#This Row],[Amount]]/Log_2019[[#This Row],[Split_raw]]*MAX(0,MIN(_xlfn.DAYS(EDATE(X$1,1),Log_2019[[#This Row],[Date]]),Log_2019[[#This Row],[Split_apply]])) - SUM($O50:W50)</f>
        <v>0</v>
      </c>
      <c r="Y50" s="52">
        <f ca="1">Log_2019[[#This Row],[Amount]]/Log_2019[[#This Row],[Split_raw]]*MAX(0,MIN(_xlfn.DAYS(EDATE(Y$1,1),Log_2019[[#This Row],[Date]]),Log_2019[[#This Row],[Split_apply]])) - SUM($O50:X50)</f>
        <v>0</v>
      </c>
      <c r="Z50" s="52">
        <f ca="1">Log_2019[[#This Row],[Amount]]/Log_2019[[#This Row],[Split_raw]]*MAX(0,MIN(_xlfn.DAYS(EDATE(Z$1,1),Log_2019[[#This Row],[Date]]),Log_2019[[#This Row],[Split_apply]])) - SUM($O50:Y50)</f>
        <v>0</v>
      </c>
      <c r="AA50" s="52">
        <f ca="1">Log_2019[[#This Row],[Amount]]/Log_2019[[#This Row],[Split_raw]]*MAX(0,MIN(_xlfn.DAYS(EDATE(AA$1,1),Log_2019[[#This Row],[Date]]),Log_2019[[#This Row],[Split_apply]])) - SUM($O50:Z50)</f>
        <v>-10.28</v>
      </c>
      <c r="AB50" s="54">
        <f ca="1">Log_2019[[#This Row],[Amount]]-SUM(O50:AA50)</f>
        <v>0</v>
      </c>
      <c r="AC50" s="7">
        <f>MAX(0,Log_2019[[#This Row],[Split_raw]] - (EDATE(AA$1,1)-Log_2019[[#This Row],[Date]]))</f>
        <v>0</v>
      </c>
    </row>
    <row r="51" spans="1:29" x14ac:dyDescent="0.25">
      <c r="A51" s="42"/>
      <c r="B51" s="34" t="s">
        <v>6</v>
      </c>
      <c r="C51" s="34"/>
      <c r="D51" s="35">
        <v>43802</v>
      </c>
      <c r="E51" s="34"/>
      <c r="F51" s="34" t="s">
        <v>255</v>
      </c>
      <c r="G51" s="34" t="s">
        <v>12</v>
      </c>
      <c r="H51">
        <v>-7.12</v>
      </c>
      <c r="I51" s="36">
        <f>IF(Log_2019[[#This Row],[My Category]]="NONTRACKED",0,Log_2019[[#This Row],[Raw Amount]])</f>
        <v>-7.12</v>
      </c>
      <c r="J51" s="37">
        <f>ABS(Log_2019[[#This Row],[Amount]])</f>
        <v>7.12</v>
      </c>
      <c r="K51" s="38">
        <v>1</v>
      </c>
      <c r="L51" s="38">
        <f ca="1">IF(Log_2019[[#This Row],[Date]]&lt;=TODAY(), MIN(Log_2019[[#This Row],[Split_raw]], TODAY()-Log_2019[[#This Row],[Date]]+1), 0)</f>
        <v>1</v>
      </c>
      <c r="M51" s="34" t="s">
        <v>35</v>
      </c>
      <c r="N51" s="34" t="s">
        <v>158</v>
      </c>
      <c r="O51" s="7">
        <v>0</v>
      </c>
      <c r="P51" s="52">
        <f ca="1">Log_2019[[#This Row],[Amount]]/Log_2019[[#This Row],[Split_raw]]*MAX(0,MIN(_xlfn.DAYS(EDATE(P$1,1),Log_2019[[#This Row],[Date]]),Log_2019[[#This Row],[Split_apply]])) - SUM($O51:O51)</f>
        <v>0</v>
      </c>
      <c r="Q51" s="52">
        <f ca="1">Log_2019[[#This Row],[Amount]]/Log_2019[[#This Row],[Split_raw]]*MAX(0,MIN(_xlfn.DAYS(EDATE(Q$1,1),Log_2019[[#This Row],[Date]]),Log_2019[[#This Row],[Split_apply]])) - SUM($O51:P51)</f>
        <v>0</v>
      </c>
      <c r="R51" s="52">
        <f ca="1">Log_2019[[#This Row],[Amount]]/Log_2019[[#This Row],[Split_raw]]*MAX(0,MIN(_xlfn.DAYS(EDATE(R$1,1),Log_2019[[#This Row],[Date]]),Log_2019[[#This Row],[Split_apply]])) - SUM($O51:Q51)</f>
        <v>0</v>
      </c>
      <c r="S51" s="52">
        <f ca="1">Log_2019[[#This Row],[Amount]]/Log_2019[[#This Row],[Split_raw]]*MAX(0,MIN(_xlfn.DAYS(EDATE(S$1,1),Log_2019[[#This Row],[Date]]),Log_2019[[#This Row],[Split_apply]])) - SUM($O51:R51)</f>
        <v>0</v>
      </c>
      <c r="T51" s="52">
        <f ca="1">Log_2019[[#This Row],[Amount]]/Log_2019[[#This Row],[Split_raw]]*MAX(0,MIN(_xlfn.DAYS(EDATE(T$1,1),Log_2019[[#This Row],[Date]]),Log_2019[[#This Row],[Split_apply]])) - SUM($O51:S51)</f>
        <v>0</v>
      </c>
      <c r="U51" s="52">
        <f ca="1">Log_2019[[#This Row],[Amount]]/Log_2019[[#This Row],[Split_raw]]*MAX(0,MIN(_xlfn.DAYS(EDATE(U$1,1),Log_2019[[#This Row],[Date]]),Log_2019[[#This Row],[Split_apply]])) - SUM($O51:T51)</f>
        <v>0</v>
      </c>
      <c r="V51" s="52">
        <f ca="1">Log_2019[[#This Row],[Amount]]/Log_2019[[#This Row],[Split_raw]]*MAX(0,MIN(_xlfn.DAYS(EDATE(V$1,1),Log_2019[[#This Row],[Date]]),Log_2019[[#This Row],[Split_apply]])) - SUM($O51:U51)</f>
        <v>0</v>
      </c>
      <c r="W51" s="52">
        <f ca="1">Log_2019[[#This Row],[Amount]]/Log_2019[[#This Row],[Split_raw]]*MAX(0,MIN(_xlfn.DAYS(EDATE(W$1,1),Log_2019[[#This Row],[Date]]),Log_2019[[#This Row],[Split_apply]])) - SUM($O51:V51)</f>
        <v>0</v>
      </c>
      <c r="X51" s="52">
        <f ca="1">Log_2019[[#This Row],[Amount]]/Log_2019[[#This Row],[Split_raw]]*MAX(0,MIN(_xlfn.DAYS(EDATE(X$1,1),Log_2019[[#This Row],[Date]]),Log_2019[[#This Row],[Split_apply]])) - SUM($O51:W51)</f>
        <v>0</v>
      </c>
      <c r="Y51" s="52">
        <f ca="1">Log_2019[[#This Row],[Amount]]/Log_2019[[#This Row],[Split_raw]]*MAX(0,MIN(_xlfn.DAYS(EDATE(Y$1,1),Log_2019[[#This Row],[Date]]),Log_2019[[#This Row],[Split_apply]])) - SUM($O51:X51)</f>
        <v>0</v>
      </c>
      <c r="Z51" s="52">
        <f ca="1">Log_2019[[#This Row],[Amount]]/Log_2019[[#This Row],[Split_raw]]*MAX(0,MIN(_xlfn.DAYS(EDATE(Z$1,1),Log_2019[[#This Row],[Date]]),Log_2019[[#This Row],[Split_apply]])) - SUM($O51:Y51)</f>
        <v>0</v>
      </c>
      <c r="AA51" s="52">
        <f ca="1">Log_2019[[#This Row],[Amount]]/Log_2019[[#This Row],[Split_raw]]*MAX(0,MIN(_xlfn.DAYS(EDATE(AA$1,1),Log_2019[[#This Row],[Date]]),Log_2019[[#This Row],[Split_apply]])) - SUM($O51:Z51)</f>
        <v>-7.12</v>
      </c>
      <c r="AB51" s="54">
        <f ca="1">Log_2019[[#This Row],[Amount]]-SUM(O51:AA51)</f>
        <v>0</v>
      </c>
      <c r="AC51" s="7">
        <f>MAX(0,Log_2019[[#This Row],[Split_raw]] - (EDATE(AA$1,1)-Log_2019[[#This Row],[Date]]))</f>
        <v>0</v>
      </c>
    </row>
    <row r="52" spans="1:29" x14ac:dyDescent="0.25">
      <c r="A52" s="42"/>
      <c r="B52" s="34" t="s">
        <v>6</v>
      </c>
      <c r="C52" s="34"/>
      <c r="D52" s="35">
        <v>43802</v>
      </c>
      <c r="E52" s="34"/>
      <c r="F52" s="34" t="s">
        <v>527</v>
      </c>
      <c r="G52" s="34" t="s">
        <v>20</v>
      </c>
      <c r="H52">
        <v>-1600</v>
      </c>
      <c r="I52" s="36">
        <f>IF(Log_2019[[#This Row],[My Category]]="NONTRACKED",0,Log_2019[[#This Row],[Raw Amount]])</f>
        <v>-1600</v>
      </c>
      <c r="J52" s="37">
        <f>ABS(Log_2019[[#This Row],[Amount]])</f>
        <v>1600</v>
      </c>
      <c r="K52" s="38">
        <v>30</v>
      </c>
      <c r="L52" s="38">
        <f ca="1">IF(Log_2019[[#This Row],[Date]]&lt;=TODAY(), MIN(Log_2019[[#This Row],[Split_raw]], TODAY()-Log_2019[[#This Row],[Date]]+1), 0)</f>
        <v>30</v>
      </c>
      <c r="M52" s="34" t="s">
        <v>28</v>
      </c>
      <c r="N52" s="34" t="s">
        <v>160</v>
      </c>
      <c r="O52" s="7">
        <v>0</v>
      </c>
      <c r="P52" s="52">
        <f ca="1">Log_2019[[#This Row],[Amount]]/Log_2019[[#This Row],[Split_raw]]*MAX(0,MIN(_xlfn.DAYS(EDATE(P$1,1),Log_2019[[#This Row],[Date]]),Log_2019[[#This Row],[Split_apply]])) - SUM($O52:O52)</f>
        <v>0</v>
      </c>
      <c r="Q52" s="52">
        <f ca="1">Log_2019[[#This Row],[Amount]]/Log_2019[[#This Row],[Split_raw]]*MAX(0,MIN(_xlfn.DAYS(EDATE(Q$1,1),Log_2019[[#This Row],[Date]]),Log_2019[[#This Row],[Split_apply]])) - SUM($O52:P52)</f>
        <v>0</v>
      </c>
      <c r="R52" s="52">
        <f ca="1">Log_2019[[#This Row],[Amount]]/Log_2019[[#This Row],[Split_raw]]*MAX(0,MIN(_xlfn.DAYS(EDATE(R$1,1),Log_2019[[#This Row],[Date]]),Log_2019[[#This Row],[Split_apply]])) - SUM($O52:Q52)</f>
        <v>0</v>
      </c>
      <c r="S52" s="52">
        <f ca="1">Log_2019[[#This Row],[Amount]]/Log_2019[[#This Row],[Split_raw]]*MAX(0,MIN(_xlfn.DAYS(EDATE(S$1,1),Log_2019[[#This Row],[Date]]),Log_2019[[#This Row],[Split_apply]])) - SUM($O52:R52)</f>
        <v>0</v>
      </c>
      <c r="T52" s="52">
        <f ca="1">Log_2019[[#This Row],[Amount]]/Log_2019[[#This Row],[Split_raw]]*MAX(0,MIN(_xlfn.DAYS(EDATE(T$1,1),Log_2019[[#This Row],[Date]]),Log_2019[[#This Row],[Split_apply]])) - SUM($O52:S52)</f>
        <v>0</v>
      </c>
      <c r="U52" s="52">
        <f ca="1">Log_2019[[#This Row],[Amount]]/Log_2019[[#This Row],[Split_raw]]*MAX(0,MIN(_xlfn.DAYS(EDATE(U$1,1),Log_2019[[#This Row],[Date]]),Log_2019[[#This Row],[Split_apply]])) - SUM($O52:T52)</f>
        <v>0</v>
      </c>
      <c r="V52" s="52">
        <f ca="1">Log_2019[[#This Row],[Amount]]/Log_2019[[#This Row],[Split_raw]]*MAX(0,MIN(_xlfn.DAYS(EDATE(V$1,1),Log_2019[[#This Row],[Date]]),Log_2019[[#This Row],[Split_apply]])) - SUM($O52:U52)</f>
        <v>0</v>
      </c>
      <c r="W52" s="52">
        <f ca="1">Log_2019[[#This Row],[Amount]]/Log_2019[[#This Row],[Split_raw]]*MAX(0,MIN(_xlfn.DAYS(EDATE(W$1,1),Log_2019[[#This Row],[Date]]),Log_2019[[#This Row],[Split_apply]])) - SUM($O52:V52)</f>
        <v>0</v>
      </c>
      <c r="X52" s="52">
        <f ca="1">Log_2019[[#This Row],[Amount]]/Log_2019[[#This Row],[Split_raw]]*MAX(0,MIN(_xlfn.DAYS(EDATE(X$1,1),Log_2019[[#This Row],[Date]]),Log_2019[[#This Row],[Split_apply]])) - SUM($O52:W52)</f>
        <v>0</v>
      </c>
      <c r="Y52" s="52">
        <f ca="1">Log_2019[[#This Row],[Amount]]/Log_2019[[#This Row],[Split_raw]]*MAX(0,MIN(_xlfn.DAYS(EDATE(Y$1,1),Log_2019[[#This Row],[Date]]),Log_2019[[#This Row],[Split_apply]])) - SUM($O52:X52)</f>
        <v>0</v>
      </c>
      <c r="Z52" s="52">
        <f ca="1">Log_2019[[#This Row],[Amount]]/Log_2019[[#This Row],[Split_raw]]*MAX(0,MIN(_xlfn.DAYS(EDATE(Z$1,1),Log_2019[[#This Row],[Date]]),Log_2019[[#This Row],[Split_apply]])) - SUM($O52:Y52)</f>
        <v>0</v>
      </c>
      <c r="AA52" s="52">
        <f ca="1">Log_2019[[#This Row],[Amount]]/Log_2019[[#This Row],[Split_raw]]*MAX(0,MIN(_xlfn.DAYS(EDATE(AA$1,1),Log_2019[[#This Row],[Date]]),Log_2019[[#This Row],[Split_apply]])) - SUM($O52:Z52)</f>
        <v>-1546.6666666666667</v>
      </c>
      <c r="AB52" s="54">
        <f ca="1">Log_2019[[#This Row],[Amount]]-SUM(O52:AA52)</f>
        <v>-53.333333333333258</v>
      </c>
      <c r="AC52" s="7">
        <f>MAX(0,Log_2019[[#This Row],[Split_raw]] - (EDATE(AA$1,1)-Log_2019[[#This Row],[Date]]))</f>
        <v>1</v>
      </c>
    </row>
    <row r="53" spans="1:29" x14ac:dyDescent="0.25">
      <c r="A53" s="42"/>
      <c r="B53" s="34" t="s">
        <v>6</v>
      </c>
      <c r="C53" s="34"/>
      <c r="D53" s="35">
        <v>43801</v>
      </c>
      <c r="E53" s="34"/>
      <c r="F53" s="34" t="s">
        <v>673</v>
      </c>
      <c r="G53" s="34" t="s">
        <v>25</v>
      </c>
      <c r="H53">
        <v>-10.25</v>
      </c>
      <c r="I53" s="36">
        <f>IF(Log_2019[[#This Row],[My Category]]="NONTRACKED",0,Log_2019[[#This Row],[Raw Amount]])</f>
        <v>-10.25</v>
      </c>
      <c r="J53" s="37">
        <f>ABS(Log_2019[[#This Row],[Amount]])</f>
        <v>10.25</v>
      </c>
      <c r="K53" s="38">
        <v>1</v>
      </c>
      <c r="L53" s="38">
        <f ca="1">IF(Log_2019[[#This Row],[Date]]&lt;=TODAY(), MIN(Log_2019[[#This Row],[Split_raw]], TODAY()-Log_2019[[#This Row],[Date]]+1), 0)</f>
        <v>1</v>
      </c>
      <c r="M53" s="34" t="s">
        <v>35</v>
      </c>
      <c r="N53" s="34" t="s">
        <v>158</v>
      </c>
      <c r="O53" s="7">
        <v>0</v>
      </c>
      <c r="P53" s="52">
        <f ca="1">Log_2019[[#This Row],[Amount]]/Log_2019[[#This Row],[Split_raw]]*MAX(0,MIN(_xlfn.DAYS(EDATE(P$1,1),Log_2019[[#This Row],[Date]]),Log_2019[[#This Row],[Split_apply]])) - SUM($O53:O53)</f>
        <v>0</v>
      </c>
      <c r="Q53" s="52">
        <f ca="1">Log_2019[[#This Row],[Amount]]/Log_2019[[#This Row],[Split_raw]]*MAX(0,MIN(_xlfn.DAYS(EDATE(Q$1,1),Log_2019[[#This Row],[Date]]),Log_2019[[#This Row],[Split_apply]])) - SUM($O53:P53)</f>
        <v>0</v>
      </c>
      <c r="R53" s="52">
        <f ca="1">Log_2019[[#This Row],[Amount]]/Log_2019[[#This Row],[Split_raw]]*MAX(0,MIN(_xlfn.DAYS(EDATE(R$1,1),Log_2019[[#This Row],[Date]]),Log_2019[[#This Row],[Split_apply]])) - SUM($O53:Q53)</f>
        <v>0</v>
      </c>
      <c r="S53" s="52">
        <f ca="1">Log_2019[[#This Row],[Amount]]/Log_2019[[#This Row],[Split_raw]]*MAX(0,MIN(_xlfn.DAYS(EDATE(S$1,1),Log_2019[[#This Row],[Date]]),Log_2019[[#This Row],[Split_apply]])) - SUM($O53:R53)</f>
        <v>0</v>
      </c>
      <c r="T53" s="52">
        <f ca="1">Log_2019[[#This Row],[Amount]]/Log_2019[[#This Row],[Split_raw]]*MAX(0,MIN(_xlfn.DAYS(EDATE(T$1,1),Log_2019[[#This Row],[Date]]),Log_2019[[#This Row],[Split_apply]])) - SUM($O53:S53)</f>
        <v>0</v>
      </c>
      <c r="U53" s="52">
        <f ca="1">Log_2019[[#This Row],[Amount]]/Log_2019[[#This Row],[Split_raw]]*MAX(0,MIN(_xlfn.DAYS(EDATE(U$1,1),Log_2019[[#This Row],[Date]]),Log_2019[[#This Row],[Split_apply]])) - SUM($O53:T53)</f>
        <v>0</v>
      </c>
      <c r="V53" s="52">
        <f ca="1">Log_2019[[#This Row],[Amount]]/Log_2019[[#This Row],[Split_raw]]*MAX(0,MIN(_xlfn.DAYS(EDATE(V$1,1),Log_2019[[#This Row],[Date]]),Log_2019[[#This Row],[Split_apply]])) - SUM($O53:U53)</f>
        <v>0</v>
      </c>
      <c r="W53" s="52">
        <f ca="1">Log_2019[[#This Row],[Amount]]/Log_2019[[#This Row],[Split_raw]]*MAX(0,MIN(_xlfn.DAYS(EDATE(W$1,1),Log_2019[[#This Row],[Date]]),Log_2019[[#This Row],[Split_apply]])) - SUM($O53:V53)</f>
        <v>0</v>
      </c>
      <c r="X53" s="52">
        <f ca="1">Log_2019[[#This Row],[Amount]]/Log_2019[[#This Row],[Split_raw]]*MAX(0,MIN(_xlfn.DAYS(EDATE(X$1,1),Log_2019[[#This Row],[Date]]),Log_2019[[#This Row],[Split_apply]])) - SUM($O53:W53)</f>
        <v>0</v>
      </c>
      <c r="Y53" s="52">
        <f ca="1">Log_2019[[#This Row],[Amount]]/Log_2019[[#This Row],[Split_raw]]*MAX(0,MIN(_xlfn.DAYS(EDATE(Y$1,1),Log_2019[[#This Row],[Date]]),Log_2019[[#This Row],[Split_apply]])) - SUM($O53:X53)</f>
        <v>0</v>
      </c>
      <c r="Z53" s="52">
        <f ca="1">Log_2019[[#This Row],[Amount]]/Log_2019[[#This Row],[Split_raw]]*MAX(0,MIN(_xlfn.DAYS(EDATE(Z$1,1),Log_2019[[#This Row],[Date]]),Log_2019[[#This Row],[Split_apply]])) - SUM($O53:Y53)</f>
        <v>0</v>
      </c>
      <c r="AA53" s="52">
        <f ca="1">Log_2019[[#This Row],[Amount]]/Log_2019[[#This Row],[Split_raw]]*MAX(0,MIN(_xlfn.DAYS(EDATE(AA$1,1),Log_2019[[#This Row],[Date]]),Log_2019[[#This Row],[Split_apply]])) - SUM($O53:Z53)</f>
        <v>-10.25</v>
      </c>
      <c r="AB53" s="54">
        <f ca="1">Log_2019[[#This Row],[Amount]]-SUM(O53:AA53)</f>
        <v>0</v>
      </c>
      <c r="AC53" s="7">
        <f>MAX(0,Log_2019[[#This Row],[Split_raw]] - (EDATE(AA$1,1)-Log_2019[[#This Row],[Date]]))</f>
        <v>0</v>
      </c>
    </row>
    <row r="54" spans="1:29" x14ac:dyDescent="0.25">
      <c r="A54" s="42"/>
      <c r="B54" s="34" t="s">
        <v>6</v>
      </c>
      <c r="C54" s="34"/>
      <c r="D54" s="35">
        <v>43801</v>
      </c>
      <c r="E54" s="34" t="s">
        <v>856</v>
      </c>
      <c r="F54" s="34" t="s">
        <v>838</v>
      </c>
      <c r="G54" s="34" t="s">
        <v>11</v>
      </c>
      <c r="H54">
        <v>-67.12</v>
      </c>
      <c r="I54" s="36">
        <f>IF(Log_2019[[#This Row],[My Category]]="NONTRACKED",0,Log_2019[[#This Row],[Raw Amount]])</f>
        <v>-67.12</v>
      </c>
      <c r="J54" s="37">
        <f>ABS(Log_2019[[#This Row],[Amount]])</f>
        <v>67.12</v>
      </c>
      <c r="K54" s="38">
        <v>1</v>
      </c>
      <c r="L54" s="38">
        <f ca="1">IF(Log_2019[[#This Row],[Date]]&lt;=TODAY(), MIN(Log_2019[[#This Row],[Split_raw]], TODAY()-Log_2019[[#This Row],[Date]]+1), 0)</f>
        <v>1</v>
      </c>
      <c r="M54" s="34" t="s">
        <v>145</v>
      </c>
      <c r="N54" s="34" t="s">
        <v>158</v>
      </c>
      <c r="O54" s="7">
        <v>0</v>
      </c>
      <c r="P54" s="52">
        <f ca="1">Log_2019[[#This Row],[Amount]]/Log_2019[[#This Row],[Split_raw]]*MAX(0,MIN(_xlfn.DAYS(EDATE(P$1,1),Log_2019[[#This Row],[Date]]),Log_2019[[#This Row],[Split_apply]])) - SUM($O54:O54)</f>
        <v>0</v>
      </c>
      <c r="Q54" s="52">
        <f ca="1">Log_2019[[#This Row],[Amount]]/Log_2019[[#This Row],[Split_raw]]*MAX(0,MIN(_xlfn.DAYS(EDATE(Q$1,1),Log_2019[[#This Row],[Date]]),Log_2019[[#This Row],[Split_apply]])) - SUM($O54:P54)</f>
        <v>0</v>
      </c>
      <c r="R54" s="52">
        <f ca="1">Log_2019[[#This Row],[Amount]]/Log_2019[[#This Row],[Split_raw]]*MAX(0,MIN(_xlfn.DAYS(EDATE(R$1,1),Log_2019[[#This Row],[Date]]),Log_2019[[#This Row],[Split_apply]])) - SUM($O54:Q54)</f>
        <v>0</v>
      </c>
      <c r="S54" s="52">
        <f ca="1">Log_2019[[#This Row],[Amount]]/Log_2019[[#This Row],[Split_raw]]*MAX(0,MIN(_xlfn.DAYS(EDATE(S$1,1),Log_2019[[#This Row],[Date]]),Log_2019[[#This Row],[Split_apply]])) - SUM($O54:R54)</f>
        <v>0</v>
      </c>
      <c r="T54" s="52">
        <f ca="1">Log_2019[[#This Row],[Amount]]/Log_2019[[#This Row],[Split_raw]]*MAX(0,MIN(_xlfn.DAYS(EDATE(T$1,1),Log_2019[[#This Row],[Date]]),Log_2019[[#This Row],[Split_apply]])) - SUM($O54:S54)</f>
        <v>0</v>
      </c>
      <c r="U54" s="52">
        <f ca="1">Log_2019[[#This Row],[Amount]]/Log_2019[[#This Row],[Split_raw]]*MAX(0,MIN(_xlfn.DAYS(EDATE(U$1,1),Log_2019[[#This Row],[Date]]),Log_2019[[#This Row],[Split_apply]])) - SUM($O54:T54)</f>
        <v>0</v>
      </c>
      <c r="V54" s="52">
        <f ca="1">Log_2019[[#This Row],[Amount]]/Log_2019[[#This Row],[Split_raw]]*MAX(0,MIN(_xlfn.DAYS(EDATE(V$1,1),Log_2019[[#This Row],[Date]]),Log_2019[[#This Row],[Split_apply]])) - SUM($O54:U54)</f>
        <v>0</v>
      </c>
      <c r="W54" s="52">
        <f ca="1">Log_2019[[#This Row],[Amount]]/Log_2019[[#This Row],[Split_raw]]*MAX(0,MIN(_xlfn.DAYS(EDATE(W$1,1),Log_2019[[#This Row],[Date]]),Log_2019[[#This Row],[Split_apply]])) - SUM($O54:V54)</f>
        <v>0</v>
      </c>
      <c r="X54" s="52">
        <f ca="1">Log_2019[[#This Row],[Amount]]/Log_2019[[#This Row],[Split_raw]]*MAX(0,MIN(_xlfn.DAYS(EDATE(X$1,1),Log_2019[[#This Row],[Date]]),Log_2019[[#This Row],[Split_apply]])) - SUM($O54:W54)</f>
        <v>0</v>
      </c>
      <c r="Y54" s="52">
        <f ca="1">Log_2019[[#This Row],[Amount]]/Log_2019[[#This Row],[Split_raw]]*MAX(0,MIN(_xlfn.DAYS(EDATE(Y$1,1),Log_2019[[#This Row],[Date]]),Log_2019[[#This Row],[Split_apply]])) - SUM($O54:X54)</f>
        <v>0</v>
      </c>
      <c r="Z54" s="52">
        <f ca="1">Log_2019[[#This Row],[Amount]]/Log_2019[[#This Row],[Split_raw]]*MAX(0,MIN(_xlfn.DAYS(EDATE(Z$1,1),Log_2019[[#This Row],[Date]]),Log_2019[[#This Row],[Split_apply]])) - SUM($O54:Y54)</f>
        <v>0</v>
      </c>
      <c r="AA54" s="52">
        <f ca="1">Log_2019[[#This Row],[Amount]]/Log_2019[[#This Row],[Split_raw]]*MAX(0,MIN(_xlfn.DAYS(EDATE(AA$1,1),Log_2019[[#This Row],[Date]]),Log_2019[[#This Row],[Split_apply]])) - SUM($O54:Z54)</f>
        <v>-67.12</v>
      </c>
      <c r="AB54" s="54">
        <f ca="1">Log_2019[[#This Row],[Amount]]-SUM(O54:AA54)</f>
        <v>0</v>
      </c>
      <c r="AC54" s="7">
        <f>MAX(0,Log_2019[[#This Row],[Split_raw]] - (EDATE(AA$1,1)-Log_2019[[#This Row],[Date]]))</f>
        <v>0</v>
      </c>
    </row>
    <row r="55" spans="1:29" x14ac:dyDescent="0.25">
      <c r="A55" s="42"/>
      <c r="B55" s="34" t="s">
        <v>6</v>
      </c>
      <c r="C55" s="34"/>
      <c r="D55" s="35">
        <v>43800</v>
      </c>
      <c r="E55" t="s">
        <v>960</v>
      </c>
      <c r="F55" s="34" t="s">
        <v>848</v>
      </c>
      <c r="G55" s="34" t="s">
        <v>82</v>
      </c>
      <c r="H55">
        <v>-320</v>
      </c>
      <c r="I55" s="36">
        <f>IF(Log_2019[[#This Row],[My Category]]="NONTRACKED",0,Log_2019[[#This Row],[Raw Amount]])</f>
        <v>-320</v>
      </c>
      <c r="J55" s="37">
        <f>ABS(Log_2019[[#This Row],[Amount]])</f>
        <v>320</v>
      </c>
      <c r="K55" s="5">
        <v>31</v>
      </c>
      <c r="L55" s="38">
        <f ca="1">IF(Log_2019[[#This Row],[Date]]&lt;=TODAY(), MIN(Log_2019[[#This Row],[Split_raw]], TODAY()-Log_2019[[#This Row],[Date]]+1), 0)</f>
        <v>31</v>
      </c>
      <c r="M55" s="34" t="s">
        <v>93</v>
      </c>
      <c r="N55" s="34" t="s">
        <v>160</v>
      </c>
      <c r="O55" s="7">
        <v>0</v>
      </c>
      <c r="P55" s="52">
        <f ca="1">Log_2019[[#This Row],[Amount]]/Log_2019[[#This Row],[Split_raw]]*MAX(0,MIN(_xlfn.DAYS(EDATE(P$1,1),Log_2019[[#This Row],[Date]]),Log_2019[[#This Row],[Split_apply]])) - SUM($O55:O55)</f>
        <v>0</v>
      </c>
      <c r="Q55" s="52">
        <f ca="1">Log_2019[[#This Row],[Amount]]/Log_2019[[#This Row],[Split_raw]]*MAX(0,MIN(_xlfn.DAYS(EDATE(Q$1,1),Log_2019[[#This Row],[Date]]),Log_2019[[#This Row],[Split_apply]])) - SUM($O55:P55)</f>
        <v>0</v>
      </c>
      <c r="R55" s="52">
        <f ca="1">Log_2019[[#This Row],[Amount]]/Log_2019[[#This Row],[Split_raw]]*MAX(0,MIN(_xlfn.DAYS(EDATE(R$1,1),Log_2019[[#This Row],[Date]]),Log_2019[[#This Row],[Split_apply]])) - SUM($O55:Q55)</f>
        <v>0</v>
      </c>
      <c r="S55" s="52">
        <f ca="1">Log_2019[[#This Row],[Amount]]/Log_2019[[#This Row],[Split_raw]]*MAX(0,MIN(_xlfn.DAYS(EDATE(S$1,1),Log_2019[[#This Row],[Date]]),Log_2019[[#This Row],[Split_apply]])) - SUM($O55:R55)</f>
        <v>0</v>
      </c>
      <c r="T55" s="52">
        <f ca="1">Log_2019[[#This Row],[Amount]]/Log_2019[[#This Row],[Split_raw]]*MAX(0,MIN(_xlfn.DAYS(EDATE(T$1,1),Log_2019[[#This Row],[Date]]),Log_2019[[#This Row],[Split_apply]])) - SUM($O55:S55)</f>
        <v>0</v>
      </c>
      <c r="U55" s="52">
        <f ca="1">Log_2019[[#This Row],[Amount]]/Log_2019[[#This Row],[Split_raw]]*MAX(0,MIN(_xlfn.DAYS(EDATE(U$1,1),Log_2019[[#This Row],[Date]]),Log_2019[[#This Row],[Split_apply]])) - SUM($O55:T55)</f>
        <v>0</v>
      </c>
      <c r="V55" s="52">
        <f ca="1">Log_2019[[#This Row],[Amount]]/Log_2019[[#This Row],[Split_raw]]*MAX(0,MIN(_xlfn.DAYS(EDATE(V$1,1),Log_2019[[#This Row],[Date]]),Log_2019[[#This Row],[Split_apply]])) - SUM($O55:U55)</f>
        <v>0</v>
      </c>
      <c r="W55" s="52">
        <f ca="1">Log_2019[[#This Row],[Amount]]/Log_2019[[#This Row],[Split_raw]]*MAX(0,MIN(_xlfn.DAYS(EDATE(W$1,1),Log_2019[[#This Row],[Date]]),Log_2019[[#This Row],[Split_apply]])) - SUM($O55:V55)</f>
        <v>0</v>
      </c>
      <c r="X55" s="52">
        <f ca="1">Log_2019[[#This Row],[Amount]]/Log_2019[[#This Row],[Split_raw]]*MAX(0,MIN(_xlfn.DAYS(EDATE(X$1,1),Log_2019[[#This Row],[Date]]),Log_2019[[#This Row],[Split_apply]])) - SUM($O55:W55)</f>
        <v>0</v>
      </c>
      <c r="Y55" s="52">
        <f ca="1">Log_2019[[#This Row],[Amount]]/Log_2019[[#This Row],[Split_raw]]*MAX(0,MIN(_xlfn.DAYS(EDATE(Y$1,1),Log_2019[[#This Row],[Date]]),Log_2019[[#This Row],[Split_apply]])) - SUM($O55:X55)</f>
        <v>0</v>
      </c>
      <c r="Z55" s="52">
        <f ca="1">Log_2019[[#This Row],[Amount]]/Log_2019[[#This Row],[Split_raw]]*MAX(0,MIN(_xlfn.DAYS(EDATE(Z$1,1),Log_2019[[#This Row],[Date]]),Log_2019[[#This Row],[Split_apply]])) - SUM($O55:Y55)</f>
        <v>0</v>
      </c>
      <c r="AA55" s="52">
        <f ca="1">Log_2019[[#This Row],[Amount]]/Log_2019[[#This Row],[Split_raw]]*MAX(0,MIN(_xlfn.DAYS(EDATE(AA$1,1),Log_2019[[#This Row],[Date]]),Log_2019[[#This Row],[Split_apply]])) - SUM($O55:Z55)</f>
        <v>-320</v>
      </c>
      <c r="AB55" s="54">
        <f ca="1">Log_2019[[#This Row],[Amount]]-SUM(O55:AA55)</f>
        <v>0</v>
      </c>
      <c r="AC55" s="7">
        <f>MAX(0,Log_2019[[#This Row],[Split_raw]] - (EDATE(AA$1,1)-Log_2019[[#This Row],[Date]]))</f>
        <v>0</v>
      </c>
    </row>
    <row r="56" spans="1:29" x14ac:dyDescent="0.25">
      <c r="A56" s="42"/>
      <c r="B56" s="34" t="s">
        <v>6</v>
      </c>
      <c r="C56" s="34"/>
      <c r="D56" s="35">
        <v>43800</v>
      </c>
      <c r="E56" s="34"/>
      <c r="F56" s="34" t="s">
        <v>839</v>
      </c>
      <c r="G56" s="34" t="s">
        <v>384</v>
      </c>
      <c r="H56">
        <v>-65</v>
      </c>
      <c r="I56" s="36">
        <f>IF(Log_2019[[#This Row],[My Category]]="NONTRACKED",0,Log_2019[[#This Row],[Raw Amount]])</f>
        <v>-65</v>
      </c>
      <c r="J56" s="37">
        <f>ABS(Log_2019[[#This Row],[Amount]])</f>
        <v>65</v>
      </c>
      <c r="K56" s="38">
        <v>1</v>
      </c>
      <c r="L56" s="38">
        <f ca="1">IF(Log_2019[[#This Row],[Date]]&lt;=TODAY(), MIN(Log_2019[[#This Row],[Split_raw]], TODAY()-Log_2019[[#This Row],[Date]]+1), 0)</f>
        <v>1</v>
      </c>
      <c r="M56" s="34" t="s">
        <v>52</v>
      </c>
      <c r="N56" s="34" t="s">
        <v>158</v>
      </c>
      <c r="O56" s="7">
        <v>0</v>
      </c>
      <c r="P56" s="52">
        <f ca="1">Log_2019[[#This Row],[Amount]]/Log_2019[[#This Row],[Split_raw]]*MAX(0,MIN(_xlfn.DAYS(EDATE(P$1,1),Log_2019[[#This Row],[Date]]),Log_2019[[#This Row],[Split_apply]])) - SUM($O56:O56)</f>
        <v>0</v>
      </c>
      <c r="Q56" s="52">
        <f ca="1">Log_2019[[#This Row],[Amount]]/Log_2019[[#This Row],[Split_raw]]*MAX(0,MIN(_xlfn.DAYS(EDATE(Q$1,1),Log_2019[[#This Row],[Date]]),Log_2019[[#This Row],[Split_apply]])) - SUM($O56:P56)</f>
        <v>0</v>
      </c>
      <c r="R56" s="52">
        <f ca="1">Log_2019[[#This Row],[Amount]]/Log_2019[[#This Row],[Split_raw]]*MAX(0,MIN(_xlfn.DAYS(EDATE(R$1,1),Log_2019[[#This Row],[Date]]),Log_2019[[#This Row],[Split_apply]])) - SUM($O56:Q56)</f>
        <v>0</v>
      </c>
      <c r="S56" s="52">
        <f ca="1">Log_2019[[#This Row],[Amount]]/Log_2019[[#This Row],[Split_raw]]*MAX(0,MIN(_xlfn.DAYS(EDATE(S$1,1),Log_2019[[#This Row],[Date]]),Log_2019[[#This Row],[Split_apply]])) - SUM($O56:R56)</f>
        <v>0</v>
      </c>
      <c r="T56" s="52">
        <f ca="1">Log_2019[[#This Row],[Amount]]/Log_2019[[#This Row],[Split_raw]]*MAX(0,MIN(_xlfn.DAYS(EDATE(T$1,1),Log_2019[[#This Row],[Date]]),Log_2019[[#This Row],[Split_apply]])) - SUM($O56:S56)</f>
        <v>0</v>
      </c>
      <c r="U56" s="52">
        <f ca="1">Log_2019[[#This Row],[Amount]]/Log_2019[[#This Row],[Split_raw]]*MAX(0,MIN(_xlfn.DAYS(EDATE(U$1,1),Log_2019[[#This Row],[Date]]),Log_2019[[#This Row],[Split_apply]])) - SUM($O56:T56)</f>
        <v>0</v>
      </c>
      <c r="V56" s="52">
        <f ca="1">Log_2019[[#This Row],[Amount]]/Log_2019[[#This Row],[Split_raw]]*MAX(0,MIN(_xlfn.DAYS(EDATE(V$1,1),Log_2019[[#This Row],[Date]]),Log_2019[[#This Row],[Split_apply]])) - SUM($O56:U56)</f>
        <v>0</v>
      </c>
      <c r="W56" s="52">
        <f ca="1">Log_2019[[#This Row],[Amount]]/Log_2019[[#This Row],[Split_raw]]*MAX(0,MIN(_xlfn.DAYS(EDATE(W$1,1),Log_2019[[#This Row],[Date]]),Log_2019[[#This Row],[Split_apply]])) - SUM($O56:V56)</f>
        <v>0</v>
      </c>
      <c r="X56" s="52">
        <f ca="1">Log_2019[[#This Row],[Amount]]/Log_2019[[#This Row],[Split_raw]]*MAX(0,MIN(_xlfn.DAYS(EDATE(X$1,1),Log_2019[[#This Row],[Date]]),Log_2019[[#This Row],[Split_apply]])) - SUM($O56:W56)</f>
        <v>0</v>
      </c>
      <c r="Y56" s="52">
        <f ca="1">Log_2019[[#This Row],[Amount]]/Log_2019[[#This Row],[Split_raw]]*MAX(0,MIN(_xlfn.DAYS(EDATE(Y$1,1),Log_2019[[#This Row],[Date]]),Log_2019[[#This Row],[Split_apply]])) - SUM($O56:X56)</f>
        <v>0</v>
      </c>
      <c r="Z56" s="52">
        <f ca="1">Log_2019[[#This Row],[Amount]]/Log_2019[[#This Row],[Split_raw]]*MAX(0,MIN(_xlfn.DAYS(EDATE(Z$1,1),Log_2019[[#This Row],[Date]]),Log_2019[[#This Row],[Split_apply]])) - SUM($O56:Y56)</f>
        <v>0</v>
      </c>
      <c r="AA56" s="52">
        <f ca="1">Log_2019[[#This Row],[Amount]]/Log_2019[[#This Row],[Split_raw]]*MAX(0,MIN(_xlfn.DAYS(EDATE(AA$1,1),Log_2019[[#This Row],[Date]]),Log_2019[[#This Row],[Split_apply]])) - SUM($O56:Z56)</f>
        <v>-65</v>
      </c>
      <c r="AB56" s="54">
        <f ca="1">Log_2019[[#This Row],[Amount]]-SUM(O56:AA56)</f>
        <v>0</v>
      </c>
      <c r="AC56" s="7">
        <f>MAX(0,Log_2019[[#This Row],[Split_raw]] - (EDATE(AA$1,1)-Log_2019[[#This Row],[Date]]))</f>
        <v>0</v>
      </c>
    </row>
    <row r="57" spans="1:29" x14ac:dyDescent="0.25">
      <c r="A57" s="42"/>
      <c r="B57" s="34" t="s">
        <v>6</v>
      </c>
      <c r="C57" s="34"/>
      <c r="D57" s="35">
        <v>43800</v>
      </c>
      <c r="E57" s="34"/>
      <c r="F57" s="34" t="s">
        <v>840</v>
      </c>
      <c r="G57" s="34" t="s">
        <v>26</v>
      </c>
      <c r="H57">
        <v>-2</v>
      </c>
      <c r="I57" s="36">
        <f>IF(Log_2019[[#This Row],[My Category]]="NONTRACKED",0,Log_2019[[#This Row],[Raw Amount]])</f>
        <v>-2</v>
      </c>
      <c r="J57" s="37">
        <f>ABS(Log_2019[[#This Row],[Amount]])</f>
        <v>2</v>
      </c>
      <c r="K57" s="38">
        <v>1</v>
      </c>
      <c r="L57" s="38">
        <f ca="1">IF(Log_2019[[#This Row],[Date]]&lt;=TODAY(), MIN(Log_2019[[#This Row],[Split_raw]], TODAY()-Log_2019[[#This Row],[Date]]+1), 0)</f>
        <v>1</v>
      </c>
      <c r="M57" s="34" t="s">
        <v>52</v>
      </c>
      <c r="N57" s="34" t="s">
        <v>158</v>
      </c>
      <c r="O57" s="7">
        <v>0</v>
      </c>
      <c r="P57" s="52">
        <f ca="1">Log_2019[[#This Row],[Amount]]/Log_2019[[#This Row],[Split_raw]]*MAX(0,MIN(_xlfn.DAYS(EDATE(P$1,1),Log_2019[[#This Row],[Date]]),Log_2019[[#This Row],[Split_apply]])) - SUM($O57:O57)</f>
        <v>0</v>
      </c>
      <c r="Q57" s="52">
        <f ca="1">Log_2019[[#This Row],[Amount]]/Log_2019[[#This Row],[Split_raw]]*MAX(0,MIN(_xlfn.DAYS(EDATE(Q$1,1),Log_2019[[#This Row],[Date]]),Log_2019[[#This Row],[Split_apply]])) - SUM($O57:P57)</f>
        <v>0</v>
      </c>
      <c r="R57" s="52">
        <f ca="1">Log_2019[[#This Row],[Amount]]/Log_2019[[#This Row],[Split_raw]]*MAX(0,MIN(_xlfn.DAYS(EDATE(R$1,1),Log_2019[[#This Row],[Date]]),Log_2019[[#This Row],[Split_apply]])) - SUM($O57:Q57)</f>
        <v>0</v>
      </c>
      <c r="S57" s="52">
        <f ca="1">Log_2019[[#This Row],[Amount]]/Log_2019[[#This Row],[Split_raw]]*MAX(0,MIN(_xlfn.DAYS(EDATE(S$1,1),Log_2019[[#This Row],[Date]]),Log_2019[[#This Row],[Split_apply]])) - SUM($O57:R57)</f>
        <v>0</v>
      </c>
      <c r="T57" s="52">
        <f ca="1">Log_2019[[#This Row],[Amount]]/Log_2019[[#This Row],[Split_raw]]*MAX(0,MIN(_xlfn.DAYS(EDATE(T$1,1),Log_2019[[#This Row],[Date]]),Log_2019[[#This Row],[Split_apply]])) - SUM($O57:S57)</f>
        <v>0</v>
      </c>
      <c r="U57" s="52">
        <f ca="1">Log_2019[[#This Row],[Amount]]/Log_2019[[#This Row],[Split_raw]]*MAX(0,MIN(_xlfn.DAYS(EDATE(U$1,1),Log_2019[[#This Row],[Date]]),Log_2019[[#This Row],[Split_apply]])) - SUM($O57:T57)</f>
        <v>0</v>
      </c>
      <c r="V57" s="52">
        <f ca="1">Log_2019[[#This Row],[Amount]]/Log_2019[[#This Row],[Split_raw]]*MAX(0,MIN(_xlfn.DAYS(EDATE(V$1,1),Log_2019[[#This Row],[Date]]),Log_2019[[#This Row],[Split_apply]])) - SUM($O57:U57)</f>
        <v>0</v>
      </c>
      <c r="W57" s="52">
        <f ca="1">Log_2019[[#This Row],[Amount]]/Log_2019[[#This Row],[Split_raw]]*MAX(0,MIN(_xlfn.DAYS(EDATE(W$1,1),Log_2019[[#This Row],[Date]]),Log_2019[[#This Row],[Split_apply]])) - SUM($O57:V57)</f>
        <v>0</v>
      </c>
      <c r="X57" s="52">
        <f ca="1">Log_2019[[#This Row],[Amount]]/Log_2019[[#This Row],[Split_raw]]*MAX(0,MIN(_xlfn.DAYS(EDATE(X$1,1),Log_2019[[#This Row],[Date]]),Log_2019[[#This Row],[Split_apply]])) - SUM($O57:W57)</f>
        <v>0</v>
      </c>
      <c r="Y57" s="52">
        <f ca="1">Log_2019[[#This Row],[Amount]]/Log_2019[[#This Row],[Split_raw]]*MAX(0,MIN(_xlfn.DAYS(EDATE(Y$1,1),Log_2019[[#This Row],[Date]]),Log_2019[[#This Row],[Split_apply]])) - SUM($O57:X57)</f>
        <v>0</v>
      </c>
      <c r="Z57" s="52">
        <f ca="1">Log_2019[[#This Row],[Amount]]/Log_2019[[#This Row],[Split_raw]]*MAX(0,MIN(_xlfn.DAYS(EDATE(Z$1,1),Log_2019[[#This Row],[Date]]),Log_2019[[#This Row],[Split_apply]])) - SUM($O57:Y57)</f>
        <v>0</v>
      </c>
      <c r="AA57" s="52">
        <f ca="1">Log_2019[[#This Row],[Amount]]/Log_2019[[#This Row],[Split_raw]]*MAX(0,MIN(_xlfn.DAYS(EDATE(AA$1,1),Log_2019[[#This Row],[Date]]),Log_2019[[#This Row],[Split_apply]])) - SUM($O57:Z57)</f>
        <v>-2</v>
      </c>
      <c r="AB57" s="54">
        <f ca="1">Log_2019[[#This Row],[Amount]]-SUM(O57:AA57)</f>
        <v>0</v>
      </c>
      <c r="AC57" s="7">
        <f>MAX(0,Log_2019[[#This Row],[Split_raw]] - (EDATE(AA$1,1)-Log_2019[[#This Row],[Date]]))</f>
        <v>0</v>
      </c>
    </row>
    <row r="58" spans="1:29" x14ac:dyDescent="0.25">
      <c r="A58" s="42"/>
      <c r="B58" s="34" t="s">
        <v>6</v>
      </c>
      <c r="C58" s="34"/>
      <c r="D58" s="35">
        <v>43800</v>
      </c>
      <c r="E58" s="34" t="s">
        <v>850</v>
      </c>
      <c r="F58" s="34" t="s">
        <v>841</v>
      </c>
      <c r="G58" s="34" t="s">
        <v>210</v>
      </c>
      <c r="H58">
        <v>-10.59</v>
      </c>
      <c r="I58" s="36">
        <f>IF(Log_2019[[#This Row],[My Category]]="NONTRACKED",0,Log_2019[[#This Row],[Raw Amount]])</f>
        <v>-10.59</v>
      </c>
      <c r="J58" s="37">
        <f>ABS(Log_2019[[#This Row],[Amount]])</f>
        <v>10.59</v>
      </c>
      <c r="K58" s="38">
        <v>1</v>
      </c>
      <c r="L58" s="38">
        <f ca="1">IF(Log_2019[[#This Row],[Date]]&lt;=TODAY(), MIN(Log_2019[[#This Row],[Split_raw]], TODAY()-Log_2019[[#This Row],[Date]]+1), 0)</f>
        <v>1</v>
      </c>
      <c r="M58" s="34" t="s">
        <v>145</v>
      </c>
      <c r="N58" s="34" t="s">
        <v>158</v>
      </c>
      <c r="O58" s="7">
        <v>0</v>
      </c>
      <c r="P58" s="52">
        <f ca="1">Log_2019[[#This Row],[Amount]]/Log_2019[[#This Row],[Split_raw]]*MAX(0,MIN(_xlfn.DAYS(EDATE(P$1,1),Log_2019[[#This Row],[Date]]),Log_2019[[#This Row],[Split_apply]])) - SUM($O58:O58)</f>
        <v>0</v>
      </c>
      <c r="Q58" s="52">
        <f ca="1">Log_2019[[#This Row],[Amount]]/Log_2019[[#This Row],[Split_raw]]*MAX(0,MIN(_xlfn.DAYS(EDATE(Q$1,1),Log_2019[[#This Row],[Date]]),Log_2019[[#This Row],[Split_apply]])) - SUM($O58:P58)</f>
        <v>0</v>
      </c>
      <c r="R58" s="52">
        <f ca="1">Log_2019[[#This Row],[Amount]]/Log_2019[[#This Row],[Split_raw]]*MAX(0,MIN(_xlfn.DAYS(EDATE(R$1,1),Log_2019[[#This Row],[Date]]),Log_2019[[#This Row],[Split_apply]])) - SUM($O58:Q58)</f>
        <v>0</v>
      </c>
      <c r="S58" s="52">
        <f ca="1">Log_2019[[#This Row],[Amount]]/Log_2019[[#This Row],[Split_raw]]*MAX(0,MIN(_xlfn.DAYS(EDATE(S$1,1),Log_2019[[#This Row],[Date]]),Log_2019[[#This Row],[Split_apply]])) - SUM($O58:R58)</f>
        <v>0</v>
      </c>
      <c r="T58" s="52">
        <f ca="1">Log_2019[[#This Row],[Amount]]/Log_2019[[#This Row],[Split_raw]]*MAX(0,MIN(_xlfn.DAYS(EDATE(T$1,1),Log_2019[[#This Row],[Date]]),Log_2019[[#This Row],[Split_apply]])) - SUM($O58:S58)</f>
        <v>0</v>
      </c>
      <c r="U58" s="52">
        <f ca="1">Log_2019[[#This Row],[Amount]]/Log_2019[[#This Row],[Split_raw]]*MAX(0,MIN(_xlfn.DAYS(EDATE(U$1,1),Log_2019[[#This Row],[Date]]),Log_2019[[#This Row],[Split_apply]])) - SUM($O58:T58)</f>
        <v>0</v>
      </c>
      <c r="V58" s="52">
        <f ca="1">Log_2019[[#This Row],[Amount]]/Log_2019[[#This Row],[Split_raw]]*MAX(0,MIN(_xlfn.DAYS(EDATE(V$1,1),Log_2019[[#This Row],[Date]]),Log_2019[[#This Row],[Split_apply]])) - SUM($O58:U58)</f>
        <v>0</v>
      </c>
      <c r="W58" s="52">
        <f ca="1">Log_2019[[#This Row],[Amount]]/Log_2019[[#This Row],[Split_raw]]*MAX(0,MIN(_xlfn.DAYS(EDATE(W$1,1),Log_2019[[#This Row],[Date]]),Log_2019[[#This Row],[Split_apply]])) - SUM($O58:V58)</f>
        <v>0</v>
      </c>
      <c r="X58" s="52">
        <f ca="1">Log_2019[[#This Row],[Amount]]/Log_2019[[#This Row],[Split_raw]]*MAX(0,MIN(_xlfn.DAYS(EDATE(X$1,1),Log_2019[[#This Row],[Date]]),Log_2019[[#This Row],[Split_apply]])) - SUM($O58:W58)</f>
        <v>0</v>
      </c>
      <c r="Y58" s="52">
        <f ca="1">Log_2019[[#This Row],[Amount]]/Log_2019[[#This Row],[Split_raw]]*MAX(0,MIN(_xlfn.DAYS(EDATE(Y$1,1),Log_2019[[#This Row],[Date]]),Log_2019[[#This Row],[Split_apply]])) - SUM($O58:X58)</f>
        <v>0</v>
      </c>
      <c r="Z58" s="52">
        <f ca="1">Log_2019[[#This Row],[Amount]]/Log_2019[[#This Row],[Split_raw]]*MAX(0,MIN(_xlfn.DAYS(EDATE(Z$1,1),Log_2019[[#This Row],[Date]]),Log_2019[[#This Row],[Split_apply]])) - SUM($O58:Y58)</f>
        <v>0</v>
      </c>
      <c r="AA58" s="52">
        <f ca="1">Log_2019[[#This Row],[Amount]]/Log_2019[[#This Row],[Split_raw]]*MAX(0,MIN(_xlfn.DAYS(EDATE(AA$1,1),Log_2019[[#This Row],[Date]]),Log_2019[[#This Row],[Split_apply]])) - SUM($O58:Z58)</f>
        <v>-10.59</v>
      </c>
      <c r="AB58" s="54">
        <f ca="1">Log_2019[[#This Row],[Amount]]-SUM(O58:AA58)</f>
        <v>0</v>
      </c>
      <c r="AC58" s="7">
        <f>MAX(0,Log_2019[[#This Row],[Split_raw]] - (EDATE(AA$1,1)-Log_2019[[#This Row],[Date]]))</f>
        <v>0</v>
      </c>
    </row>
    <row r="59" spans="1:29" x14ac:dyDescent="0.25">
      <c r="A59" s="42"/>
      <c r="B59" s="34" t="s">
        <v>6</v>
      </c>
      <c r="C59" s="34"/>
      <c r="D59" s="35">
        <v>43800</v>
      </c>
      <c r="E59" s="34"/>
      <c r="F59" s="34" t="s">
        <v>555</v>
      </c>
      <c r="G59" s="34" t="s">
        <v>25</v>
      </c>
      <c r="H59">
        <v>-8.8000000000000007</v>
      </c>
      <c r="I59" s="36">
        <f>IF(Log_2019[[#This Row],[My Category]]="NONTRACKED",0,Log_2019[[#This Row],[Raw Amount]])</f>
        <v>-8.8000000000000007</v>
      </c>
      <c r="J59" s="37">
        <f>ABS(Log_2019[[#This Row],[Amount]])</f>
        <v>8.8000000000000007</v>
      </c>
      <c r="K59" s="38">
        <v>1</v>
      </c>
      <c r="L59" s="38">
        <f ca="1">IF(Log_2019[[#This Row],[Date]]&lt;=TODAY(), MIN(Log_2019[[#This Row],[Split_raw]], TODAY()-Log_2019[[#This Row],[Date]]+1), 0)</f>
        <v>1</v>
      </c>
      <c r="M59" s="34" t="s">
        <v>35</v>
      </c>
      <c r="N59" s="34" t="s">
        <v>158</v>
      </c>
      <c r="O59" s="7">
        <v>0</v>
      </c>
      <c r="P59" s="52">
        <f ca="1">Log_2019[[#This Row],[Amount]]/Log_2019[[#This Row],[Split_raw]]*MAX(0,MIN(_xlfn.DAYS(EDATE(P$1,1),Log_2019[[#This Row],[Date]]),Log_2019[[#This Row],[Split_apply]])) - SUM($O59:O59)</f>
        <v>0</v>
      </c>
      <c r="Q59" s="52">
        <f ca="1">Log_2019[[#This Row],[Amount]]/Log_2019[[#This Row],[Split_raw]]*MAX(0,MIN(_xlfn.DAYS(EDATE(Q$1,1),Log_2019[[#This Row],[Date]]),Log_2019[[#This Row],[Split_apply]])) - SUM($O59:P59)</f>
        <v>0</v>
      </c>
      <c r="R59" s="52">
        <f ca="1">Log_2019[[#This Row],[Amount]]/Log_2019[[#This Row],[Split_raw]]*MAX(0,MIN(_xlfn.DAYS(EDATE(R$1,1),Log_2019[[#This Row],[Date]]),Log_2019[[#This Row],[Split_apply]])) - SUM($O59:Q59)</f>
        <v>0</v>
      </c>
      <c r="S59" s="52">
        <f ca="1">Log_2019[[#This Row],[Amount]]/Log_2019[[#This Row],[Split_raw]]*MAX(0,MIN(_xlfn.DAYS(EDATE(S$1,1),Log_2019[[#This Row],[Date]]),Log_2019[[#This Row],[Split_apply]])) - SUM($O59:R59)</f>
        <v>0</v>
      </c>
      <c r="T59" s="52">
        <f ca="1">Log_2019[[#This Row],[Amount]]/Log_2019[[#This Row],[Split_raw]]*MAX(0,MIN(_xlfn.DAYS(EDATE(T$1,1),Log_2019[[#This Row],[Date]]),Log_2019[[#This Row],[Split_apply]])) - SUM($O59:S59)</f>
        <v>0</v>
      </c>
      <c r="U59" s="52">
        <f ca="1">Log_2019[[#This Row],[Amount]]/Log_2019[[#This Row],[Split_raw]]*MAX(0,MIN(_xlfn.DAYS(EDATE(U$1,1),Log_2019[[#This Row],[Date]]),Log_2019[[#This Row],[Split_apply]])) - SUM($O59:T59)</f>
        <v>0</v>
      </c>
      <c r="V59" s="52">
        <f ca="1">Log_2019[[#This Row],[Amount]]/Log_2019[[#This Row],[Split_raw]]*MAX(0,MIN(_xlfn.DAYS(EDATE(V$1,1),Log_2019[[#This Row],[Date]]),Log_2019[[#This Row],[Split_apply]])) - SUM($O59:U59)</f>
        <v>0</v>
      </c>
      <c r="W59" s="52">
        <f ca="1">Log_2019[[#This Row],[Amount]]/Log_2019[[#This Row],[Split_raw]]*MAX(0,MIN(_xlfn.DAYS(EDATE(W$1,1),Log_2019[[#This Row],[Date]]),Log_2019[[#This Row],[Split_apply]])) - SUM($O59:V59)</f>
        <v>0</v>
      </c>
      <c r="X59" s="52">
        <f ca="1">Log_2019[[#This Row],[Amount]]/Log_2019[[#This Row],[Split_raw]]*MAX(0,MIN(_xlfn.DAYS(EDATE(X$1,1),Log_2019[[#This Row],[Date]]),Log_2019[[#This Row],[Split_apply]])) - SUM($O59:W59)</f>
        <v>0</v>
      </c>
      <c r="Y59" s="52">
        <f ca="1">Log_2019[[#This Row],[Amount]]/Log_2019[[#This Row],[Split_raw]]*MAX(0,MIN(_xlfn.DAYS(EDATE(Y$1,1),Log_2019[[#This Row],[Date]]),Log_2019[[#This Row],[Split_apply]])) - SUM($O59:X59)</f>
        <v>0</v>
      </c>
      <c r="Z59" s="52">
        <f ca="1">Log_2019[[#This Row],[Amount]]/Log_2019[[#This Row],[Split_raw]]*MAX(0,MIN(_xlfn.DAYS(EDATE(Z$1,1),Log_2019[[#This Row],[Date]]),Log_2019[[#This Row],[Split_apply]])) - SUM($O59:Y59)</f>
        <v>0</v>
      </c>
      <c r="AA59" s="52">
        <f ca="1">Log_2019[[#This Row],[Amount]]/Log_2019[[#This Row],[Split_raw]]*MAX(0,MIN(_xlfn.DAYS(EDATE(AA$1,1),Log_2019[[#This Row],[Date]]),Log_2019[[#This Row],[Split_apply]])) - SUM($O59:Z59)</f>
        <v>-8.8000000000000007</v>
      </c>
      <c r="AB59" s="54">
        <f ca="1">Log_2019[[#This Row],[Amount]]-SUM(O59:AA59)</f>
        <v>0</v>
      </c>
      <c r="AC59" s="7">
        <f>MAX(0,Log_2019[[#This Row],[Split_raw]] - (EDATE(AA$1,1)-Log_2019[[#This Row],[Date]]))</f>
        <v>0</v>
      </c>
    </row>
    <row r="60" spans="1:29" x14ac:dyDescent="0.25">
      <c r="A60" s="42"/>
      <c r="B60" s="34" t="s">
        <v>6</v>
      </c>
      <c r="C60" s="34"/>
      <c r="D60" s="35">
        <v>43798</v>
      </c>
      <c r="E60" s="34" t="s">
        <v>854</v>
      </c>
      <c r="F60" s="34" t="s">
        <v>346</v>
      </c>
      <c r="G60" s="34" t="s">
        <v>9</v>
      </c>
      <c r="H60">
        <v>-46.48</v>
      </c>
      <c r="I60" s="36">
        <f>IF(Log_2019[[#This Row],[My Category]]="NONTRACKED",0,Log_2019[[#This Row],[Raw Amount]])</f>
        <v>-46.48</v>
      </c>
      <c r="J60" s="37">
        <f>ABS(Log_2019[[#This Row],[Amount]])</f>
        <v>46.48</v>
      </c>
      <c r="K60" s="38">
        <v>1</v>
      </c>
      <c r="L60" s="38">
        <f ca="1">IF(Log_2019[[#This Row],[Date]]&lt;=TODAY(), MIN(Log_2019[[#This Row],[Split_raw]], TODAY()-Log_2019[[#This Row],[Date]]+1), 0)</f>
        <v>1</v>
      </c>
      <c r="M60" s="34" t="s">
        <v>39</v>
      </c>
      <c r="N60" s="34" t="s">
        <v>158</v>
      </c>
      <c r="O60" s="7">
        <v>0</v>
      </c>
      <c r="P60" s="52">
        <f ca="1">Log_2019[[#This Row],[Amount]]/Log_2019[[#This Row],[Split_raw]]*MAX(0,MIN(_xlfn.DAYS(EDATE(P$1,1),Log_2019[[#This Row],[Date]]),Log_2019[[#This Row],[Split_apply]])) - SUM($O60:O60)</f>
        <v>0</v>
      </c>
      <c r="Q60" s="52">
        <f ca="1">Log_2019[[#This Row],[Amount]]/Log_2019[[#This Row],[Split_raw]]*MAX(0,MIN(_xlfn.DAYS(EDATE(Q$1,1),Log_2019[[#This Row],[Date]]),Log_2019[[#This Row],[Split_apply]])) - SUM($O60:P60)</f>
        <v>0</v>
      </c>
      <c r="R60" s="52">
        <f ca="1">Log_2019[[#This Row],[Amount]]/Log_2019[[#This Row],[Split_raw]]*MAX(0,MIN(_xlfn.DAYS(EDATE(R$1,1),Log_2019[[#This Row],[Date]]),Log_2019[[#This Row],[Split_apply]])) - SUM($O60:Q60)</f>
        <v>0</v>
      </c>
      <c r="S60" s="52">
        <f ca="1">Log_2019[[#This Row],[Amount]]/Log_2019[[#This Row],[Split_raw]]*MAX(0,MIN(_xlfn.DAYS(EDATE(S$1,1),Log_2019[[#This Row],[Date]]),Log_2019[[#This Row],[Split_apply]])) - SUM($O60:R60)</f>
        <v>0</v>
      </c>
      <c r="T60" s="52">
        <f ca="1">Log_2019[[#This Row],[Amount]]/Log_2019[[#This Row],[Split_raw]]*MAX(0,MIN(_xlfn.DAYS(EDATE(T$1,1),Log_2019[[#This Row],[Date]]),Log_2019[[#This Row],[Split_apply]])) - SUM($O60:S60)</f>
        <v>0</v>
      </c>
      <c r="U60" s="52">
        <f ca="1">Log_2019[[#This Row],[Amount]]/Log_2019[[#This Row],[Split_raw]]*MAX(0,MIN(_xlfn.DAYS(EDATE(U$1,1),Log_2019[[#This Row],[Date]]),Log_2019[[#This Row],[Split_apply]])) - SUM($O60:T60)</f>
        <v>0</v>
      </c>
      <c r="V60" s="52">
        <f ca="1">Log_2019[[#This Row],[Amount]]/Log_2019[[#This Row],[Split_raw]]*MAX(0,MIN(_xlfn.DAYS(EDATE(V$1,1),Log_2019[[#This Row],[Date]]),Log_2019[[#This Row],[Split_apply]])) - SUM($O60:U60)</f>
        <v>0</v>
      </c>
      <c r="W60" s="52">
        <f ca="1">Log_2019[[#This Row],[Amount]]/Log_2019[[#This Row],[Split_raw]]*MAX(0,MIN(_xlfn.DAYS(EDATE(W$1,1),Log_2019[[#This Row],[Date]]),Log_2019[[#This Row],[Split_apply]])) - SUM($O60:V60)</f>
        <v>0</v>
      </c>
      <c r="X60" s="52">
        <f ca="1">Log_2019[[#This Row],[Amount]]/Log_2019[[#This Row],[Split_raw]]*MAX(0,MIN(_xlfn.DAYS(EDATE(X$1,1),Log_2019[[#This Row],[Date]]),Log_2019[[#This Row],[Split_apply]])) - SUM($O60:W60)</f>
        <v>0</v>
      </c>
      <c r="Y60" s="52">
        <f ca="1">Log_2019[[#This Row],[Amount]]/Log_2019[[#This Row],[Split_raw]]*MAX(0,MIN(_xlfn.DAYS(EDATE(Y$1,1),Log_2019[[#This Row],[Date]]),Log_2019[[#This Row],[Split_apply]])) - SUM($O60:X60)</f>
        <v>0</v>
      </c>
      <c r="Z60" s="52">
        <f ca="1">Log_2019[[#This Row],[Amount]]/Log_2019[[#This Row],[Split_raw]]*MAX(0,MIN(_xlfn.DAYS(EDATE(Z$1,1),Log_2019[[#This Row],[Date]]),Log_2019[[#This Row],[Split_apply]])) - SUM($O60:Y60)</f>
        <v>-46.48</v>
      </c>
      <c r="AA60" s="52">
        <f ca="1">Log_2019[[#This Row],[Amount]]/Log_2019[[#This Row],[Split_raw]]*MAX(0,MIN(_xlfn.DAYS(EDATE(AA$1,1),Log_2019[[#This Row],[Date]]),Log_2019[[#This Row],[Split_apply]])) - SUM($O60:Z60)</f>
        <v>0</v>
      </c>
      <c r="AB60" s="54">
        <f ca="1">Log_2019[[#This Row],[Amount]]-SUM(O60:AA60)</f>
        <v>0</v>
      </c>
      <c r="AC60" s="7">
        <f>MAX(0,Log_2019[[#This Row],[Split_raw]] - (EDATE(AA$1,1)-Log_2019[[#This Row],[Date]]))</f>
        <v>0</v>
      </c>
    </row>
    <row r="61" spans="1:29" x14ac:dyDescent="0.25">
      <c r="A61" s="42"/>
      <c r="B61" s="34" t="s">
        <v>6</v>
      </c>
      <c r="C61" s="34"/>
      <c r="D61" s="35">
        <v>43796</v>
      </c>
      <c r="E61" s="34"/>
      <c r="F61" s="34" t="s">
        <v>16</v>
      </c>
      <c r="G61" s="34" t="s">
        <v>17</v>
      </c>
      <c r="H61">
        <f>--0.16</f>
        <v>0.16</v>
      </c>
      <c r="I61" s="36">
        <f>IF(Log_2019[[#This Row],[My Category]]="NONTRACKED",0,Log_2019[[#This Row],[Raw Amount]])</f>
        <v>0.16</v>
      </c>
      <c r="J61" s="37">
        <f>ABS(Log_2019[[#This Row],[Amount]])</f>
        <v>0.16</v>
      </c>
      <c r="K61" s="38">
        <v>1</v>
      </c>
      <c r="L61" s="38">
        <f ca="1">IF(Log_2019[[#This Row],[Date]]&lt;=TODAY(), MIN(Log_2019[[#This Row],[Split_raw]], TODAY()-Log_2019[[#This Row],[Date]]+1), 0)</f>
        <v>1</v>
      </c>
      <c r="M61" s="34" t="s">
        <v>144</v>
      </c>
      <c r="N61" s="34" t="s">
        <v>160</v>
      </c>
      <c r="O61" s="7">
        <v>0</v>
      </c>
      <c r="P61" s="52">
        <f ca="1">Log_2019[[#This Row],[Amount]]/Log_2019[[#This Row],[Split_raw]]*MAX(0,MIN(_xlfn.DAYS(EDATE(P$1,1),Log_2019[[#This Row],[Date]]),Log_2019[[#This Row],[Split_apply]])) - SUM($O61:O61)</f>
        <v>0</v>
      </c>
      <c r="Q61" s="52">
        <f ca="1">Log_2019[[#This Row],[Amount]]/Log_2019[[#This Row],[Split_raw]]*MAX(0,MIN(_xlfn.DAYS(EDATE(Q$1,1),Log_2019[[#This Row],[Date]]),Log_2019[[#This Row],[Split_apply]])) - SUM($O61:P61)</f>
        <v>0</v>
      </c>
      <c r="R61" s="52">
        <f ca="1">Log_2019[[#This Row],[Amount]]/Log_2019[[#This Row],[Split_raw]]*MAX(0,MIN(_xlfn.DAYS(EDATE(R$1,1),Log_2019[[#This Row],[Date]]),Log_2019[[#This Row],[Split_apply]])) - SUM($O61:Q61)</f>
        <v>0</v>
      </c>
      <c r="S61" s="52">
        <f ca="1">Log_2019[[#This Row],[Amount]]/Log_2019[[#This Row],[Split_raw]]*MAX(0,MIN(_xlfn.DAYS(EDATE(S$1,1),Log_2019[[#This Row],[Date]]),Log_2019[[#This Row],[Split_apply]])) - SUM($O61:R61)</f>
        <v>0</v>
      </c>
      <c r="T61" s="52">
        <f ca="1">Log_2019[[#This Row],[Amount]]/Log_2019[[#This Row],[Split_raw]]*MAX(0,MIN(_xlfn.DAYS(EDATE(T$1,1),Log_2019[[#This Row],[Date]]),Log_2019[[#This Row],[Split_apply]])) - SUM($O61:S61)</f>
        <v>0</v>
      </c>
      <c r="U61" s="52">
        <f ca="1">Log_2019[[#This Row],[Amount]]/Log_2019[[#This Row],[Split_raw]]*MAX(0,MIN(_xlfn.DAYS(EDATE(U$1,1),Log_2019[[#This Row],[Date]]),Log_2019[[#This Row],[Split_apply]])) - SUM($O61:T61)</f>
        <v>0</v>
      </c>
      <c r="V61" s="52">
        <f ca="1">Log_2019[[#This Row],[Amount]]/Log_2019[[#This Row],[Split_raw]]*MAX(0,MIN(_xlfn.DAYS(EDATE(V$1,1),Log_2019[[#This Row],[Date]]),Log_2019[[#This Row],[Split_apply]])) - SUM($O61:U61)</f>
        <v>0</v>
      </c>
      <c r="W61" s="52">
        <f ca="1">Log_2019[[#This Row],[Amount]]/Log_2019[[#This Row],[Split_raw]]*MAX(0,MIN(_xlfn.DAYS(EDATE(W$1,1),Log_2019[[#This Row],[Date]]),Log_2019[[#This Row],[Split_apply]])) - SUM($O61:V61)</f>
        <v>0</v>
      </c>
      <c r="X61" s="52">
        <f ca="1">Log_2019[[#This Row],[Amount]]/Log_2019[[#This Row],[Split_raw]]*MAX(0,MIN(_xlfn.DAYS(EDATE(X$1,1),Log_2019[[#This Row],[Date]]),Log_2019[[#This Row],[Split_apply]])) - SUM($O61:W61)</f>
        <v>0</v>
      </c>
      <c r="Y61" s="52">
        <f ca="1">Log_2019[[#This Row],[Amount]]/Log_2019[[#This Row],[Split_raw]]*MAX(0,MIN(_xlfn.DAYS(EDATE(Y$1,1),Log_2019[[#This Row],[Date]]),Log_2019[[#This Row],[Split_apply]])) - SUM($O61:X61)</f>
        <v>0</v>
      </c>
      <c r="Z61" s="52">
        <f ca="1">Log_2019[[#This Row],[Amount]]/Log_2019[[#This Row],[Split_raw]]*MAX(0,MIN(_xlfn.DAYS(EDATE(Z$1,1),Log_2019[[#This Row],[Date]]),Log_2019[[#This Row],[Split_apply]])) - SUM($O61:Y61)</f>
        <v>0.16</v>
      </c>
      <c r="AA61" s="52">
        <f ca="1">Log_2019[[#This Row],[Amount]]/Log_2019[[#This Row],[Split_raw]]*MAX(0,MIN(_xlfn.DAYS(EDATE(AA$1,1),Log_2019[[#This Row],[Date]]),Log_2019[[#This Row],[Split_apply]])) - SUM($O61:Z61)</f>
        <v>0</v>
      </c>
      <c r="AB61" s="54">
        <f ca="1">Log_2019[[#This Row],[Amount]]-SUM(O61:AA61)</f>
        <v>0</v>
      </c>
      <c r="AC61" s="7">
        <f>MAX(0,Log_2019[[#This Row],[Split_raw]] - (EDATE(AA$1,1)-Log_2019[[#This Row],[Date]]))</f>
        <v>0</v>
      </c>
    </row>
    <row r="62" spans="1:29" x14ac:dyDescent="0.25">
      <c r="A62" s="42"/>
      <c r="B62" s="34" t="s">
        <v>6</v>
      </c>
      <c r="C62" s="34"/>
      <c r="D62" s="35">
        <v>43796</v>
      </c>
      <c r="E62" s="34"/>
      <c r="F62" s="34" t="s">
        <v>756</v>
      </c>
      <c r="G62" s="34" t="s">
        <v>25</v>
      </c>
      <c r="H62">
        <v>-9.99</v>
      </c>
      <c r="I62" s="36">
        <f>IF(Log_2019[[#This Row],[My Category]]="NONTRACKED",0,Log_2019[[#This Row],[Raw Amount]])</f>
        <v>-9.99</v>
      </c>
      <c r="J62" s="37">
        <f>ABS(Log_2019[[#This Row],[Amount]])</f>
        <v>9.99</v>
      </c>
      <c r="K62" s="38">
        <v>1</v>
      </c>
      <c r="L62" s="38">
        <f ca="1">IF(Log_2019[[#This Row],[Date]]&lt;=TODAY(), MIN(Log_2019[[#This Row],[Split_raw]], TODAY()-Log_2019[[#This Row],[Date]]+1), 0)</f>
        <v>1</v>
      </c>
      <c r="M62" s="34" t="s">
        <v>35</v>
      </c>
      <c r="N62" s="34" t="s">
        <v>158</v>
      </c>
      <c r="O62" s="7">
        <v>0</v>
      </c>
      <c r="P62" s="52">
        <f ca="1">Log_2019[[#This Row],[Amount]]/Log_2019[[#This Row],[Split_raw]]*MAX(0,MIN(_xlfn.DAYS(EDATE(P$1,1),Log_2019[[#This Row],[Date]]),Log_2019[[#This Row],[Split_apply]])) - SUM($O62:O62)</f>
        <v>0</v>
      </c>
      <c r="Q62" s="52">
        <f ca="1">Log_2019[[#This Row],[Amount]]/Log_2019[[#This Row],[Split_raw]]*MAX(0,MIN(_xlfn.DAYS(EDATE(Q$1,1),Log_2019[[#This Row],[Date]]),Log_2019[[#This Row],[Split_apply]])) - SUM($O62:P62)</f>
        <v>0</v>
      </c>
      <c r="R62" s="52">
        <f ca="1">Log_2019[[#This Row],[Amount]]/Log_2019[[#This Row],[Split_raw]]*MAX(0,MIN(_xlfn.DAYS(EDATE(R$1,1),Log_2019[[#This Row],[Date]]),Log_2019[[#This Row],[Split_apply]])) - SUM($O62:Q62)</f>
        <v>0</v>
      </c>
      <c r="S62" s="52">
        <f ca="1">Log_2019[[#This Row],[Amount]]/Log_2019[[#This Row],[Split_raw]]*MAX(0,MIN(_xlfn.DAYS(EDATE(S$1,1),Log_2019[[#This Row],[Date]]),Log_2019[[#This Row],[Split_apply]])) - SUM($O62:R62)</f>
        <v>0</v>
      </c>
      <c r="T62" s="52">
        <f ca="1">Log_2019[[#This Row],[Amount]]/Log_2019[[#This Row],[Split_raw]]*MAX(0,MIN(_xlfn.DAYS(EDATE(T$1,1),Log_2019[[#This Row],[Date]]),Log_2019[[#This Row],[Split_apply]])) - SUM($O62:S62)</f>
        <v>0</v>
      </c>
      <c r="U62" s="52">
        <f ca="1">Log_2019[[#This Row],[Amount]]/Log_2019[[#This Row],[Split_raw]]*MAX(0,MIN(_xlfn.DAYS(EDATE(U$1,1),Log_2019[[#This Row],[Date]]),Log_2019[[#This Row],[Split_apply]])) - SUM($O62:T62)</f>
        <v>0</v>
      </c>
      <c r="V62" s="52">
        <f ca="1">Log_2019[[#This Row],[Amount]]/Log_2019[[#This Row],[Split_raw]]*MAX(0,MIN(_xlfn.DAYS(EDATE(V$1,1),Log_2019[[#This Row],[Date]]),Log_2019[[#This Row],[Split_apply]])) - SUM($O62:U62)</f>
        <v>0</v>
      </c>
      <c r="W62" s="52">
        <f ca="1">Log_2019[[#This Row],[Amount]]/Log_2019[[#This Row],[Split_raw]]*MAX(0,MIN(_xlfn.DAYS(EDATE(W$1,1),Log_2019[[#This Row],[Date]]),Log_2019[[#This Row],[Split_apply]])) - SUM($O62:V62)</f>
        <v>0</v>
      </c>
      <c r="X62" s="52">
        <f ca="1">Log_2019[[#This Row],[Amount]]/Log_2019[[#This Row],[Split_raw]]*MAX(0,MIN(_xlfn.DAYS(EDATE(X$1,1),Log_2019[[#This Row],[Date]]),Log_2019[[#This Row],[Split_apply]])) - SUM($O62:W62)</f>
        <v>0</v>
      </c>
      <c r="Y62" s="52">
        <f ca="1">Log_2019[[#This Row],[Amount]]/Log_2019[[#This Row],[Split_raw]]*MAX(0,MIN(_xlfn.DAYS(EDATE(Y$1,1),Log_2019[[#This Row],[Date]]),Log_2019[[#This Row],[Split_apply]])) - SUM($O62:X62)</f>
        <v>0</v>
      </c>
      <c r="Z62" s="52">
        <f ca="1">Log_2019[[#This Row],[Amount]]/Log_2019[[#This Row],[Split_raw]]*MAX(0,MIN(_xlfn.DAYS(EDATE(Z$1,1),Log_2019[[#This Row],[Date]]),Log_2019[[#This Row],[Split_apply]])) - SUM($O62:Y62)</f>
        <v>-9.99</v>
      </c>
      <c r="AA62" s="52">
        <f ca="1">Log_2019[[#This Row],[Amount]]/Log_2019[[#This Row],[Split_raw]]*MAX(0,MIN(_xlfn.DAYS(EDATE(AA$1,1),Log_2019[[#This Row],[Date]]),Log_2019[[#This Row],[Split_apply]])) - SUM($O62:Z62)</f>
        <v>0</v>
      </c>
      <c r="AB62" s="54">
        <f ca="1">Log_2019[[#This Row],[Amount]]-SUM(O62:AA62)</f>
        <v>0</v>
      </c>
      <c r="AC62" s="7">
        <f>MAX(0,Log_2019[[#This Row],[Split_raw]] - (EDATE(AA$1,1)-Log_2019[[#This Row],[Date]]))</f>
        <v>0</v>
      </c>
    </row>
    <row r="63" spans="1:29" x14ac:dyDescent="0.25">
      <c r="A63" s="42"/>
      <c r="B63" s="34" t="s">
        <v>6</v>
      </c>
      <c r="C63" s="34"/>
      <c r="D63" s="35">
        <v>43796</v>
      </c>
      <c r="E63" s="34" t="s">
        <v>780</v>
      </c>
      <c r="F63" s="34" t="s">
        <v>757</v>
      </c>
      <c r="G63" s="34" t="s">
        <v>27</v>
      </c>
      <c r="H63">
        <v>-70.42</v>
      </c>
      <c r="I63" s="36">
        <f>IF(Log_2019[[#This Row],[My Category]]="NONTRACKED",0,Log_2019[[#This Row],[Raw Amount]])</f>
        <v>-70.42</v>
      </c>
      <c r="J63" s="37">
        <f>ABS(Log_2019[[#This Row],[Amount]])</f>
        <v>70.42</v>
      </c>
      <c r="K63" s="38">
        <v>1</v>
      </c>
      <c r="L63" s="38">
        <f ca="1">IF(Log_2019[[#This Row],[Date]]&lt;=TODAY(), MIN(Log_2019[[#This Row],[Split_raw]], TODAY()-Log_2019[[#This Row],[Date]]+1), 0)</f>
        <v>1</v>
      </c>
      <c r="M63" s="34" t="s">
        <v>35</v>
      </c>
      <c r="N63" s="34" t="s">
        <v>158</v>
      </c>
      <c r="O63" s="7">
        <v>0</v>
      </c>
      <c r="P63" s="52">
        <f ca="1">Log_2019[[#This Row],[Amount]]/Log_2019[[#This Row],[Split_raw]]*MAX(0,MIN(_xlfn.DAYS(EDATE(P$1,1),Log_2019[[#This Row],[Date]]),Log_2019[[#This Row],[Split_apply]])) - SUM($O63:O63)</f>
        <v>0</v>
      </c>
      <c r="Q63" s="52">
        <f ca="1">Log_2019[[#This Row],[Amount]]/Log_2019[[#This Row],[Split_raw]]*MAX(0,MIN(_xlfn.DAYS(EDATE(Q$1,1),Log_2019[[#This Row],[Date]]),Log_2019[[#This Row],[Split_apply]])) - SUM($O63:P63)</f>
        <v>0</v>
      </c>
      <c r="R63" s="52">
        <f ca="1">Log_2019[[#This Row],[Amount]]/Log_2019[[#This Row],[Split_raw]]*MAX(0,MIN(_xlfn.DAYS(EDATE(R$1,1),Log_2019[[#This Row],[Date]]),Log_2019[[#This Row],[Split_apply]])) - SUM($O63:Q63)</f>
        <v>0</v>
      </c>
      <c r="S63" s="52">
        <f ca="1">Log_2019[[#This Row],[Amount]]/Log_2019[[#This Row],[Split_raw]]*MAX(0,MIN(_xlfn.DAYS(EDATE(S$1,1),Log_2019[[#This Row],[Date]]),Log_2019[[#This Row],[Split_apply]])) - SUM($O63:R63)</f>
        <v>0</v>
      </c>
      <c r="T63" s="52">
        <f ca="1">Log_2019[[#This Row],[Amount]]/Log_2019[[#This Row],[Split_raw]]*MAX(0,MIN(_xlfn.DAYS(EDATE(T$1,1),Log_2019[[#This Row],[Date]]),Log_2019[[#This Row],[Split_apply]])) - SUM($O63:S63)</f>
        <v>0</v>
      </c>
      <c r="U63" s="52">
        <f ca="1">Log_2019[[#This Row],[Amount]]/Log_2019[[#This Row],[Split_raw]]*MAX(0,MIN(_xlfn.DAYS(EDATE(U$1,1),Log_2019[[#This Row],[Date]]),Log_2019[[#This Row],[Split_apply]])) - SUM($O63:T63)</f>
        <v>0</v>
      </c>
      <c r="V63" s="52">
        <f ca="1">Log_2019[[#This Row],[Amount]]/Log_2019[[#This Row],[Split_raw]]*MAX(0,MIN(_xlfn.DAYS(EDATE(V$1,1),Log_2019[[#This Row],[Date]]),Log_2019[[#This Row],[Split_apply]])) - SUM($O63:U63)</f>
        <v>0</v>
      </c>
      <c r="W63" s="52">
        <f ca="1">Log_2019[[#This Row],[Amount]]/Log_2019[[#This Row],[Split_raw]]*MAX(0,MIN(_xlfn.DAYS(EDATE(W$1,1),Log_2019[[#This Row],[Date]]),Log_2019[[#This Row],[Split_apply]])) - SUM($O63:V63)</f>
        <v>0</v>
      </c>
      <c r="X63" s="52">
        <f ca="1">Log_2019[[#This Row],[Amount]]/Log_2019[[#This Row],[Split_raw]]*MAX(0,MIN(_xlfn.DAYS(EDATE(X$1,1),Log_2019[[#This Row],[Date]]),Log_2019[[#This Row],[Split_apply]])) - SUM($O63:W63)</f>
        <v>0</v>
      </c>
      <c r="Y63" s="52">
        <f ca="1">Log_2019[[#This Row],[Amount]]/Log_2019[[#This Row],[Split_raw]]*MAX(0,MIN(_xlfn.DAYS(EDATE(Y$1,1),Log_2019[[#This Row],[Date]]),Log_2019[[#This Row],[Split_apply]])) - SUM($O63:X63)</f>
        <v>0</v>
      </c>
      <c r="Z63" s="52">
        <f ca="1">Log_2019[[#This Row],[Amount]]/Log_2019[[#This Row],[Split_raw]]*MAX(0,MIN(_xlfn.DAYS(EDATE(Z$1,1),Log_2019[[#This Row],[Date]]),Log_2019[[#This Row],[Split_apply]])) - SUM($O63:Y63)</f>
        <v>-70.42</v>
      </c>
      <c r="AA63" s="52">
        <f ca="1">Log_2019[[#This Row],[Amount]]/Log_2019[[#This Row],[Split_raw]]*MAX(0,MIN(_xlfn.DAYS(EDATE(AA$1,1),Log_2019[[#This Row],[Date]]),Log_2019[[#This Row],[Split_apply]])) - SUM($O63:Z63)</f>
        <v>0</v>
      </c>
      <c r="AB63" s="54">
        <f ca="1">Log_2019[[#This Row],[Amount]]-SUM(O63:AA63)</f>
        <v>0</v>
      </c>
      <c r="AC63" s="7">
        <f>MAX(0,Log_2019[[#This Row],[Split_raw]] - (EDATE(AA$1,1)-Log_2019[[#This Row],[Date]]))</f>
        <v>0</v>
      </c>
    </row>
    <row r="64" spans="1:29" x14ac:dyDescent="0.25">
      <c r="A64" s="42"/>
      <c r="B64" s="34" t="s">
        <v>6</v>
      </c>
      <c r="C64" s="34"/>
      <c r="D64" s="35">
        <v>43796</v>
      </c>
      <c r="E64" s="34" t="s">
        <v>853</v>
      </c>
      <c r="F64" s="34" t="s">
        <v>842</v>
      </c>
      <c r="G64" s="34" t="s">
        <v>27</v>
      </c>
      <c r="H64">
        <v>-32.1</v>
      </c>
      <c r="I64" s="36">
        <f>IF(Log_2019[[#This Row],[My Category]]="NONTRACKED",0,Log_2019[[#This Row],[Raw Amount]])</f>
        <v>-32.1</v>
      </c>
      <c r="J64" s="37">
        <f>ABS(Log_2019[[#This Row],[Amount]])</f>
        <v>32.1</v>
      </c>
      <c r="K64" s="38">
        <v>1</v>
      </c>
      <c r="L64" s="38">
        <f ca="1">IF(Log_2019[[#This Row],[Date]]&lt;=TODAY(), MIN(Log_2019[[#This Row],[Split_raw]], TODAY()-Log_2019[[#This Row],[Date]]+1), 0)</f>
        <v>1</v>
      </c>
      <c r="M64" s="34" t="s">
        <v>42</v>
      </c>
      <c r="N64" s="34" t="s">
        <v>158</v>
      </c>
      <c r="O64" s="7">
        <v>0</v>
      </c>
      <c r="P64" s="52">
        <f ca="1">Log_2019[[#This Row],[Amount]]/Log_2019[[#This Row],[Split_raw]]*MAX(0,MIN(_xlfn.DAYS(EDATE(P$1,1),Log_2019[[#This Row],[Date]]),Log_2019[[#This Row],[Split_apply]])) - SUM($O64:O64)</f>
        <v>0</v>
      </c>
      <c r="Q64" s="52">
        <f ca="1">Log_2019[[#This Row],[Amount]]/Log_2019[[#This Row],[Split_raw]]*MAX(0,MIN(_xlfn.DAYS(EDATE(Q$1,1),Log_2019[[#This Row],[Date]]),Log_2019[[#This Row],[Split_apply]])) - SUM($O64:P64)</f>
        <v>0</v>
      </c>
      <c r="R64" s="52">
        <f ca="1">Log_2019[[#This Row],[Amount]]/Log_2019[[#This Row],[Split_raw]]*MAX(0,MIN(_xlfn.DAYS(EDATE(R$1,1),Log_2019[[#This Row],[Date]]),Log_2019[[#This Row],[Split_apply]])) - SUM($O64:Q64)</f>
        <v>0</v>
      </c>
      <c r="S64" s="52">
        <f ca="1">Log_2019[[#This Row],[Amount]]/Log_2019[[#This Row],[Split_raw]]*MAX(0,MIN(_xlfn.DAYS(EDATE(S$1,1),Log_2019[[#This Row],[Date]]),Log_2019[[#This Row],[Split_apply]])) - SUM($O64:R64)</f>
        <v>0</v>
      </c>
      <c r="T64" s="52">
        <f ca="1">Log_2019[[#This Row],[Amount]]/Log_2019[[#This Row],[Split_raw]]*MAX(0,MIN(_xlfn.DAYS(EDATE(T$1,1),Log_2019[[#This Row],[Date]]),Log_2019[[#This Row],[Split_apply]])) - SUM($O64:S64)</f>
        <v>0</v>
      </c>
      <c r="U64" s="52">
        <f ca="1">Log_2019[[#This Row],[Amount]]/Log_2019[[#This Row],[Split_raw]]*MAX(0,MIN(_xlfn.DAYS(EDATE(U$1,1),Log_2019[[#This Row],[Date]]),Log_2019[[#This Row],[Split_apply]])) - SUM($O64:T64)</f>
        <v>0</v>
      </c>
      <c r="V64" s="52">
        <f ca="1">Log_2019[[#This Row],[Amount]]/Log_2019[[#This Row],[Split_raw]]*MAX(0,MIN(_xlfn.DAYS(EDATE(V$1,1),Log_2019[[#This Row],[Date]]),Log_2019[[#This Row],[Split_apply]])) - SUM($O64:U64)</f>
        <v>0</v>
      </c>
      <c r="W64" s="52">
        <f ca="1">Log_2019[[#This Row],[Amount]]/Log_2019[[#This Row],[Split_raw]]*MAX(0,MIN(_xlfn.DAYS(EDATE(W$1,1),Log_2019[[#This Row],[Date]]),Log_2019[[#This Row],[Split_apply]])) - SUM($O64:V64)</f>
        <v>0</v>
      </c>
      <c r="X64" s="52">
        <f ca="1">Log_2019[[#This Row],[Amount]]/Log_2019[[#This Row],[Split_raw]]*MAX(0,MIN(_xlfn.DAYS(EDATE(X$1,1),Log_2019[[#This Row],[Date]]),Log_2019[[#This Row],[Split_apply]])) - SUM($O64:W64)</f>
        <v>0</v>
      </c>
      <c r="Y64" s="52">
        <f ca="1">Log_2019[[#This Row],[Amount]]/Log_2019[[#This Row],[Split_raw]]*MAX(0,MIN(_xlfn.DAYS(EDATE(Y$1,1),Log_2019[[#This Row],[Date]]),Log_2019[[#This Row],[Split_apply]])) - SUM($O64:X64)</f>
        <v>0</v>
      </c>
      <c r="Z64" s="52">
        <f ca="1">Log_2019[[#This Row],[Amount]]/Log_2019[[#This Row],[Split_raw]]*MAX(0,MIN(_xlfn.DAYS(EDATE(Z$1,1),Log_2019[[#This Row],[Date]]),Log_2019[[#This Row],[Split_apply]])) - SUM($O64:Y64)</f>
        <v>-32.1</v>
      </c>
      <c r="AA64" s="52">
        <f ca="1">Log_2019[[#This Row],[Amount]]/Log_2019[[#This Row],[Split_raw]]*MAX(0,MIN(_xlfn.DAYS(EDATE(AA$1,1),Log_2019[[#This Row],[Date]]),Log_2019[[#This Row],[Split_apply]])) - SUM($O64:Z64)</f>
        <v>0</v>
      </c>
      <c r="AB64" s="54">
        <f ca="1">Log_2019[[#This Row],[Amount]]-SUM(O64:AA64)</f>
        <v>0</v>
      </c>
      <c r="AC64" s="7">
        <f>MAX(0,Log_2019[[#This Row],[Split_raw]] - (EDATE(AA$1,1)-Log_2019[[#This Row],[Date]]))</f>
        <v>0</v>
      </c>
    </row>
    <row r="65" spans="1:29" x14ac:dyDescent="0.25">
      <c r="A65" s="42"/>
      <c r="B65" s="34" t="s">
        <v>490</v>
      </c>
      <c r="C65" s="34">
        <v>2.8840337520386299E+18</v>
      </c>
      <c r="D65" s="35">
        <v>43793</v>
      </c>
      <c r="E65" s="34"/>
      <c r="F65" s="34" t="s">
        <v>817</v>
      </c>
      <c r="G65" s="34"/>
      <c r="H65">
        <v>-13</v>
      </c>
      <c r="I65" s="36">
        <f>IF(Log_2019[[#This Row],[My Category]]="NONTRACKED",0,Log_2019[[#This Row],[Raw Amount]])</f>
        <v>-13</v>
      </c>
      <c r="J65" s="37">
        <f>ABS(Log_2019[[#This Row],[Amount]])</f>
        <v>13</v>
      </c>
      <c r="K65" s="38">
        <v>1</v>
      </c>
      <c r="L65" s="38">
        <f ca="1">IF(Log_2019[[#This Row],[Date]]&lt;=TODAY(), MIN(Log_2019[[#This Row],[Split_raw]], TODAY()-Log_2019[[#This Row],[Date]]+1), 0)</f>
        <v>1</v>
      </c>
      <c r="M65" s="34" t="s">
        <v>147</v>
      </c>
      <c r="N65" s="34" t="s">
        <v>490</v>
      </c>
      <c r="O65" s="7">
        <v>0</v>
      </c>
      <c r="P65" s="52">
        <f ca="1">Log_2019[[#This Row],[Amount]]/Log_2019[[#This Row],[Split_raw]]*MAX(0,MIN(_xlfn.DAYS(EDATE(P$1,1),Log_2019[[#This Row],[Date]]),Log_2019[[#This Row],[Split_apply]])) - SUM($O65:O65)</f>
        <v>0</v>
      </c>
      <c r="Q65" s="52">
        <f ca="1">Log_2019[[#This Row],[Amount]]/Log_2019[[#This Row],[Split_raw]]*MAX(0,MIN(_xlfn.DAYS(EDATE(Q$1,1),Log_2019[[#This Row],[Date]]),Log_2019[[#This Row],[Split_apply]])) - SUM($O65:P65)</f>
        <v>0</v>
      </c>
      <c r="R65" s="52">
        <f ca="1">Log_2019[[#This Row],[Amount]]/Log_2019[[#This Row],[Split_raw]]*MAX(0,MIN(_xlfn.DAYS(EDATE(R$1,1),Log_2019[[#This Row],[Date]]),Log_2019[[#This Row],[Split_apply]])) - SUM($O65:Q65)</f>
        <v>0</v>
      </c>
      <c r="S65" s="52">
        <f ca="1">Log_2019[[#This Row],[Amount]]/Log_2019[[#This Row],[Split_raw]]*MAX(0,MIN(_xlfn.DAYS(EDATE(S$1,1),Log_2019[[#This Row],[Date]]),Log_2019[[#This Row],[Split_apply]])) - SUM($O65:R65)</f>
        <v>0</v>
      </c>
      <c r="T65" s="52">
        <f ca="1">Log_2019[[#This Row],[Amount]]/Log_2019[[#This Row],[Split_raw]]*MAX(0,MIN(_xlfn.DAYS(EDATE(T$1,1),Log_2019[[#This Row],[Date]]),Log_2019[[#This Row],[Split_apply]])) - SUM($O65:S65)</f>
        <v>0</v>
      </c>
      <c r="U65" s="52">
        <f ca="1">Log_2019[[#This Row],[Amount]]/Log_2019[[#This Row],[Split_raw]]*MAX(0,MIN(_xlfn.DAYS(EDATE(U$1,1),Log_2019[[#This Row],[Date]]),Log_2019[[#This Row],[Split_apply]])) - SUM($O65:T65)</f>
        <v>0</v>
      </c>
      <c r="V65" s="52">
        <f ca="1">Log_2019[[#This Row],[Amount]]/Log_2019[[#This Row],[Split_raw]]*MAX(0,MIN(_xlfn.DAYS(EDATE(V$1,1),Log_2019[[#This Row],[Date]]),Log_2019[[#This Row],[Split_apply]])) - SUM($O65:U65)</f>
        <v>0</v>
      </c>
      <c r="W65" s="52">
        <f ca="1">Log_2019[[#This Row],[Amount]]/Log_2019[[#This Row],[Split_raw]]*MAX(0,MIN(_xlfn.DAYS(EDATE(W$1,1),Log_2019[[#This Row],[Date]]),Log_2019[[#This Row],[Split_apply]])) - SUM($O65:V65)</f>
        <v>0</v>
      </c>
      <c r="X65" s="52">
        <f ca="1">Log_2019[[#This Row],[Amount]]/Log_2019[[#This Row],[Split_raw]]*MAX(0,MIN(_xlfn.DAYS(EDATE(X$1,1),Log_2019[[#This Row],[Date]]),Log_2019[[#This Row],[Split_apply]])) - SUM($O65:W65)</f>
        <v>0</v>
      </c>
      <c r="Y65" s="52">
        <f ca="1">Log_2019[[#This Row],[Amount]]/Log_2019[[#This Row],[Split_raw]]*MAX(0,MIN(_xlfn.DAYS(EDATE(Y$1,1),Log_2019[[#This Row],[Date]]),Log_2019[[#This Row],[Split_apply]])) - SUM($O65:X65)</f>
        <v>0</v>
      </c>
      <c r="Z65" s="52">
        <f ca="1">Log_2019[[#This Row],[Amount]]/Log_2019[[#This Row],[Split_raw]]*MAX(0,MIN(_xlfn.DAYS(EDATE(Z$1,1),Log_2019[[#This Row],[Date]]),Log_2019[[#This Row],[Split_apply]])) - SUM($O65:Y65)</f>
        <v>-13</v>
      </c>
      <c r="AA65" s="52">
        <f ca="1">Log_2019[[#This Row],[Amount]]/Log_2019[[#This Row],[Split_raw]]*MAX(0,MIN(_xlfn.DAYS(EDATE(AA$1,1),Log_2019[[#This Row],[Date]]),Log_2019[[#This Row],[Split_apply]])) - SUM($O65:Z65)</f>
        <v>0</v>
      </c>
      <c r="AB65" s="54">
        <f ca="1">Log_2019[[#This Row],[Amount]]-SUM(O65:AA65)</f>
        <v>0</v>
      </c>
      <c r="AC65" s="7">
        <f>MAX(0,Log_2019[[#This Row],[Split_raw]] - (EDATE(AA$1,1)-Log_2019[[#This Row],[Date]]))</f>
        <v>0</v>
      </c>
    </row>
    <row r="66" spans="1:29" x14ac:dyDescent="0.25">
      <c r="A66" s="42"/>
      <c r="B66" s="34" t="s">
        <v>6</v>
      </c>
      <c r="C66" s="34"/>
      <c r="D66" s="35">
        <v>43792</v>
      </c>
      <c r="E66" s="34" t="s">
        <v>853</v>
      </c>
      <c r="F66" s="34" t="s">
        <v>758</v>
      </c>
      <c r="G66" s="34" t="s">
        <v>27</v>
      </c>
      <c r="H66">
        <v>-17.25</v>
      </c>
      <c r="I66" s="36">
        <f>IF(Log_2019[[#This Row],[My Category]]="NONTRACKED",0,Log_2019[[#This Row],[Raw Amount]])</f>
        <v>-17.25</v>
      </c>
      <c r="J66" s="37">
        <f>ABS(Log_2019[[#This Row],[Amount]])</f>
        <v>17.25</v>
      </c>
      <c r="K66" s="38">
        <v>1</v>
      </c>
      <c r="L66" s="38">
        <f ca="1">IF(Log_2019[[#This Row],[Date]]&lt;=TODAY(), MIN(Log_2019[[#This Row],[Split_raw]], TODAY()-Log_2019[[#This Row],[Date]]+1), 0)</f>
        <v>1</v>
      </c>
      <c r="M66" s="34" t="s">
        <v>42</v>
      </c>
      <c r="N66" s="34" t="s">
        <v>158</v>
      </c>
      <c r="O66" s="7">
        <v>0</v>
      </c>
      <c r="P66" s="52">
        <f ca="1">Log_2019[[#This Row],[Amount]]/Log_2019[[#This Row],[Split_raw]]*MAX(0,MIN(_xlfn.DAYS(EDATE(P$1,1),Log_2019[[#This Row],[Date]]),Log_2019[[#This Row],[Split_apply]])) - SUM($O66:O66)</f>
        <v>0</v>
      </c>
      <c r="Q66" s="52">
        <f ca="1">Log_2019[[#This Row],[Amount]]/Log_2019[[#This Row],[Split_raw]]*MAX(0,MIN(_xlfn.DAYS(EDATE(Q$1,1),Log_2019[[#This Row],[Date]]),Log_2019[[#This Row],[Split_apply]])) - SUM($O66:P66)</f>
        <v>0</v>
      </c>
      <c r="R66" s="52">
        <f ca="1">Log_2019[[#This Row],[Amount]]/Log_2019[[#This Row],[Split_raw]]*MAX(0,MIN(_xlfn.DAYS(EDATE(R$1,1),Log_2019[[#This Row],[Date]]),Log_2019[[#This Row],[Split_apply]])) - SUM($O66:Q66)</f>
        <v>0</v>
      </c>
      <c r="S66" s="52">
        <f ca="1">Log_2019[[#This Row],[Amount]]/Log_2019[[#This Row],[Split_raw]]*MAX(0,MIN(_xlfn.DAYS(EDATE(S$1,1),Log_2019[[#This Row],[Date]]),Log_2019[[#This Row],[Split_apply]])) - SUM($O66:R66)</f>
        <v>0</v>
      </c>
      <c r="T66" s="52">
        <f ca="1">Log_2019[[#This Row],[Amount]]/Log_2019[[#This Row],[Split_raw]]*MAX(0,MIN(_xlfn.DAYS(EDATE(T$1,1),Log_2019[[#This Row],[Date]]),Log_2019[[#This Row],[Split_apply]])) - SUM($O66:S66)</f>
        <v>0</v>
      </c>
      <c r="U66" s="52">
        <f ca="1">Log_2019[[#This Row],[Amount]]/Log_2019[[#This Row],[Split_raw]]*MAX(0,MIN(_xlfn.DAYS(EDATE(U$1,1),Log_2019[[#This Row],[Date]]),Log_2019[[#This Row],[Split_apply]])) - SUM($O66:T66)</f>
        <v>0</v>
      </c>
      <c r="V66" s="52">
        <f ca="1">Log_2019[[#This Row],[Amount]]/Log_2019[[#This Row],[Split_raw]]*MAX(0,MIN(_xlfn.DAYS(EDATE(V$1,1),Log_2019[[#This Row],[Date]]),Log_2019[[#This Row],[Split_apply]])) - SUM($O66:U66)</f>
        <v>0</v>
      </c>
      <c r="W66" s="52">
        <f ca="1">Log_2019[[#This Row],[Amount]]/Log_2019[[#This Row],[Split_raw]]*MAX(0,MIN(_xlfn.DAYS(EDATE(W$1,1),Log_2019[[#This Row],[Date]]),Log_2019[[#This Row],[Split_apply]])) - SUM($O66:V66)</f>
        <v>0</v>
      </c>
      <c r="X66" s="52">
        <f ca="1">Log_2019[[#This Row],[Amount]]/Log_2019[[#This Row],[Split_raw]]*MAX(0,MIN(_xlfn.DAYS(EDATE(X$1,1),Log_2019[[#This Row],[Date]]),Log_2019[[#This Row],[Split_apply]])) - SUM($O66:W66)</f>
        <v>0</v>
      </c>
      <c r="Y66" s="52">
        <f ca="1">Log_2019[[#This Row],[Amount]]/Log_2019[[#This Row],[Split_raw]]*MAX(0,MIN(_xlfn.DAYS(EDATE(Y$1,1),Log_2019[[#This Row],[Date]]),Log_2019[[#This Row],[Split_apply]])) - SUM($O66:X66)</f>
        <v>0</v>
      </c>
      <c r="Z66" s="52">
        <f ca="1">Log_2019[[#This Row],[Amount]]/Log_2019[[#This Row],[Split_raw]]*MAX(0,MIN(_xlfn.DAYS(EDATE(Z$1,1),Log_2019[[#This Row],[Date]]),Log_2019[[#This Row],[Split_apply]])) - SUM($O66:Y66)</f>
        <v>-17.25</v>
      </c>
      <c r="AA66" s="52">
        <f ca="1">Log_2019[[#This Row],[Amount]]/Log_2019[[#This Row],[Split_raw]]*MAX(0,MIN(_xlfn.DAYS(EDATE(AA$1,1),Log_2019[[#This Row],[Date]]),Log_2019[[#This Row],[Split_apply]])) - SUM($O66:Z66)</f>
        <v>0</v>
      </c>
      <c r="AB66" s="54">
        <f ca="1">Log_2019[[#This Row],[Amount]]-SUM(O66:AA66)</f>
        <v>0</v>
      </c>
      <c r="AC66" s="7">
        <f>MAX(0,Log_2019[[#This Row],[Split_raw]] - (EDATE(AA$1,1)-Log_2019[[#This Row],[Date]]))</f>
        <v>0</v>
      </c>
    </row>
    <row r="67" spans="1:29" x14ac:dyDescent="0.25">
      <c r="A67" s="42"/>
      <c r="B67" s="34" t="s">
        <v>6</v>
      </c>
      <c r="C67" s="34"/>
      <c r="D67" s="35">
        <v>43791</v>
      </c>
      <c r="E67" s="34"/>
      <c r="F67" s="34" t="s">
        <v>581</v>
      </c>
      <c r="G67" s="34" t="s">
        <v>582</v>
      </c>
      <c r="H67">
        <v>-52.95</v>
      </c>
      <c r="I67" s="36">
        <f>IF(Log_2019[[#This Row],[My Category]]="NONTRACKED",0,Log_2019[[#This Row],[Raw Amount]])</f>
        <v>-52.95</v>
      </c>
      <c r="J67" s="37">
        <f>ABS(Log_2019[[#This Row],[Amount]])</f>
        <v>52.95</v>
      </c>
      <c r="K67" s="38">
        <v>30</v>
      </c>
      <c r="L67" s="38">
        <f ca="1">IF(Log_2019[[#This Row],[Date]]&lt;=TODAY(), MIN(Log_2019[[#This Row],[Split_raw]], TODAY()-Log_2019[[#This Row],[Date]]+1), 0)</f>
        <v>30</v>
      </c>
      <c r="M67" s="34" t="s">
        <v>30</v>
      </c>
      <c r="N67" s="34" t="s">
        <v>160</v>
      </c>
      <c r="O67" s="7">
        <v>0</v>
      </c>
      <c r="P67" s="52">
        <f ca="1">Log_2019[[#This Row],[Amount]]/Log_2019[[#This Row],[Split_raw]]*MAX(0,MIN(_xlfn.DAYS(EDATE(P$1,1),Log_2019[[#This Row],[Date]]),Log_2019[[#This Row],[Split_apply]])) - SUM($O67:O67)</f>
        <v>0</v>
      </c>
      <c r="Q67" s="52">
        <f ca="1">Log_2019[[#This Row],[Amount]]/Log_2019[[#This Row],[Split_raw]]*MAX(0,MIN(_xlfn.DAYS(EDATE(Q$1,1),Log_2019[[#This Row],[Date]]),Log_2019[[#This Row],[Split_apply]])) - SUM($O67:P67)</f>
        <v>0</v>
      </c>
      <c r="R67" s="52">
        <f ca="1">Log_2019[[#This Row],[Amount]]/Log_2019[[#This Row],[Split_raw]]*MAX(0,MIN(_xlfn.DAYS(EDATE(R$1,1),Log_2019[[#This Row],[Date]]),Log_2019[[#This Row],[Split_apply]])) - SUM($O67:Q67)</f>
        <v>0</v>
      </c>
      <c r="S67" s="52">
        <f ca="1">Log_2019[[#This Row],[Amount]]/Log_2019[[#This Row],[Split_raw]]*MAX(0,MIN(_xlfn.DAYS(EDATE(S$1,1),Log_2019[[#This Row],[Date]]),Log_2019[[#This Row],[Split_apply]])) - SUM($O67:R67)</f>
        <v>0</v>
      </c>
      <c r="T67" s="52">
        <f ca="1">Log_2019[[#This Row],[Amount]]/Log_2019[[#This Row],[Split_raw]]*MAX(0,MIN(_xlfn.DAYS(EDATE(T$1,1),Log_2019[[#This Row],[Date]]),Log_2019[[#This Row],[Split_apply]])) - SUM($O67:S67)</f>
        <v>0</v>
      </c>
      <c r="U67" s="52">
        <f ca="1">Log_2019[[#This Row],[Amount]]/Log_2019[[#This Row],[Split_raw]]*MAX(0,MIN(_xlfn.DAYS(EDATE(U$1,1),Log_2019[[#This Row],[Date]]),Log_2019[[#This Row],[Split_apply]])) - SUM($O67:T67)</f>
        <v>0</v>
      </c>
      <c r="V67" s="52">
        <f ca="1">Log_2019[[#This Row],[Amount]]/Log_2019[[#This Row],[Split_raw]]*MAX(0,MIN(_xlfn.DAYS(EDATE(V$1,1),Log_2019[[#This Row],[Date]]),Log_2019[[#This Row],[Split_apply]])) - SUM($O67:U67)</f>
        <v>0</v>
      </c>
      <c r="W67" s="52">
        <f ca="1">Log_2019[[#This Row],[Amount]]/Log_2019[[#This Row],[Split_raw]]*MAX(0,MIN(_xlfn.DAYS(EDATE(W$1,1),Log_2019[[#This Row],[Date]]),Log_2019[[#This Row],[Split_apply]])) - SUM($O67:V67)</f>
        <v>0</v>
      </c>
      <c r="X67" s="52">
        <f ca="1">Log_2019[[#This Row],[Amount]]/Log_2019[[#This Row],[Split_raw]]*MAX(0,MIN(_xlfn.DAYS(EDATE(X$1,1),Log_2019[[#This Row],[Date]]),Log_2019[[#This Row],[Split_apply]])) - SUM($O67:W67)</f>
        <v>0</v>
      </c>
      <c r="Y67" s="52">
        <f ca="1">Log_2019[[#This Row],[Amount]]/Log_2019[[#This Row],[Split_raw]]*MAX(0,MIN(_xlfn.DAYS(EDATE(Y$1,1),Log_2019[[#This Row],[Date]]),Log_2019[[#This Row],[Split_apply]])) - SUM($O67:X67)</f>
        <v>0</v>
      </c>
      <c r="Z67" s="52">
        <f ca="1">Log_2019[[#This Row],[Amount]]/Log_2019[[#This Row],[Split_raw]]*MAX(0,MIN(_xlfn.DAYS(EDATE(Z$1,1),Log_2019[[#This Row],[Date]]),Log_2019[[#This Row],[Split_apply]])) - SUM($O67:Y67)</f>
        <v>-15.885000000000002</v>
      </c>
      <c r="AA67" s="52">
        <f ca="1">Log_2019[[#This Row],[Amount]]/Log_2019[[#This Row],[Split_raw]]*MAX(0,MIN(_xlfn.DAYS(EDATE(AA$1,1),Log_2019[[#This Row],[Date]]),Log_2019[[#This Row],[Split_apply]])) - SUM($O67:Z67)</f>
        <v>-37.064999999999998</v>
      </c>
      <c r="AB67" s="54">
        <f ca="1">Log_2019[[#This Row],[Amount]]-SUM(O67:AA67)</f>
        <v>0</v>
      </c>
      <c r="AC67" s="7">
        <f>MAX(0,Log_2019[[#This Row],[Split_raw]] - (EDATE(AA$1,1)-Log_2019[[#This Row],[Date]]))</f>
        <v>0</v>
      </c>
    </row>
    <row r="68" spans="1:29" x14ac:dyDescent="0.25">
      <c r="A68" s="42"/>
      <c r="B68" s="34" t="s">
        <v>6</v>
      </c>
      <c r="C68" s="34"/>
      <c r="D68" s="35">
        <v>43791</v>
      </c>
      <c r="E68" s="34"/>
      <c r="F68" s="34" t="s">
        <v>759</v>
      </c>
      <c r="G68" s="34" t="s">
        <v>25</v>
      </c>
      <c r="H68">
        <v>-5.14</v>
      </c>
      <c r="I68" s="36">
        <f>IF(Log_2019[[#This Row],[My Category]]="NONTRACKED",0,Log_2019[[#This Row],[Raw Amount]])</f>
        <v>-5.14</v>
      </c>
      <c r="J68" s="37">
        <f>ABS(Log_2019[[#This Row],[Amount]])</f>
        <v>5.14</v>
      </c>
      <c r="K68" s="38">
        <v>1</v>
      </c>
      <c r="L68" s="38">
        <f ca="1">IF(Log_2019[[#This Row],[Date]]&lt;=TODAY(), MIN(Log_2019[[#This Row],[Split_raw]], TODAY()-Log_2019[[#This Row],[Date]]+1), 0)</f>
        <v>1</v>
      </c>
      <c r="M68" s="34" t="s">
        <v>35</v>
      </c>
      <c r="N68" s="34" t="s">
        <v>158</v>
      </c>
      <c r="O68" s="7">
        <v>0</v>
      </c>
      <c r="P68" s="52">
        <f ca="1">Log_2019[[#This Row],[Amount]]/Log_2019[[#This Row],[Split_raw]]*MAX(0,MIN(_xlfn.DAYS(EDATE(P$1,1),Log_2019[[#This Row],[Date]]),Log_2019[[#This Row],[Split_apply]])) - SUM($O68:O68)</f>
        <v>0</v>
      </c>
      <c r="Q68" s="52">
        <f ca="1">Log_2019[[#This Row],[Amount]]/Log_2019[[#This Row],[Split_raw]]*MAX(0,MIN(_xlfn.DAYS(EDATE(Q$1,1),Log_2019[[#This Row],[Date]]),Log_2019[[#This Row],[Split_apply]])) - SUM($O68:P68)</f>
        <v>0</v>
      </c>
      <c r="R68" s="52">
        <f ca="1">Log_2019[[#This Row],[Amount]]/Log_2019[[#This Row],[Split_raw]]*MAX(0,MIN(_xlfn.DAYS(EDATE(R$1,1),Log_2019[[#This Row],[Date]]),Log_2019[[#This Row],[Split_apply]])) - SUM($O68:Q68)</f>
        <v>0</v>
      </c>
      <c r="S68" s="52">
        <f ca="1">Log_2019[[#This Row],[Amount]]/Log_2019[[#This Row],[Split_raw]]*MAX(0,MIN(_xlfn.DAYS(EDATE(S$1,1),Log_2019[[#This Row],[Date]]),Log_2019[[#This Row],[Split_apply]])) - SUM($O68:R68)</f>
        <v>0</v>
      </c>
      <c r="T68" s="52">
        <f ca="1">Log_2019[[#This Row],[Amount]]/Log_2019[[#This Row],[Split_raw]]*MAX(0,MIN(_xlfn.DAYS(EDATE(T$1,1),Log_2019[[#This Row],[Date]]),Log_2019[[#This Row],[Split_apply]])) - SUM($O68:S68)</f>
        <v>0</v>
      </c>
      <c r="U68" s="52">
        <f ca="1">Log_2019[[#This Row],[Amount]]/Log_2019[[#This Row],[Split_raw]]*MAX(0,MIN(_xlfn.DAYS(EDATE(U$1,1),Log_2019[[#This Row],[Date]]),Log_2019[[#This Row],[Split_apply]])) - SUM($O68:T68)</f>
        <v>0</v>
      </c>
      <c r="V68" s="52">
        <f ca="1">Log_2019[[#This Row],[Amount]]/Log_2019[[#This Row],[Split_raw]]*MAX(0,MIN(_xlfn.DAYS(EDATE(V$1,1),Log_2019[[#This Row],[Date]]),Log_2019[[#This Row],[Split_apply]])) - SUM($O68:U68)</f>
        <v>0</v>
      </c>
      <c r="W68" s="52">
        <f ca="1">Log_2019[[#This Row],[Amount]]/Log_2019[[#This Row],[Split_raw]]*MAX(0,MIN(_xlfn.DAYS(EDATE(W$1,1),Log_2019[[#This Row],[Date]]),Log_2019[[#This Row],[Split_apply]])) - SUM($O68:V68)</f>
        <v>0</v>
      </c>
      <c r="X68" s="52">
        <f ca="1">Log_2019[[#This Row],[Amount]]/Log_2019[[#This Row],[Split_raw]]*MAX(0,MIN(_xlfn.DAYS(EDATE(X$1,1),Log_2019[[#This Row],[Date]]),Log_2019[[#This Row],[Split_apply]])) - SUM($O68:W68)</f>
        <v>0</v>
      </c>
      <c r="Y68" s="52">
        <f ca="1">Log_2019[[#This Row],[Amount]]/Log_2019[[#This Row],[Split_raw]]*MAX(0,MIN(_xlfn.DAYS(EDATE(Y$1,1),Log_2019[[#This Row],[Date]]),Log_2019[[#This Row],[Split_apply]])) - SUM($O68:X68)</f>
        <v>0</v>
      </c>
      <c r="Z68" s="52">
        <f ca="1">Log_2019[[#This Row],[Amount]]/Log_2019[[#This Row],[Split_raw]]*MAX(0,MIN(_xlfn.DAYS(EDATE(Z$1,1),Log_2019[[#This Row],[Date]]),Log_2019[[#This Row],[Split_apply]])) - SUM($O68:Y68)</f>
        <v>-5.14</v>
      </c>
      <c r="AA68" s="52">
        <f ca="1">Log_2019[[#This Row],[Amount]]/Log_2019[[#This Row],[Split_raw]]*MAX(0,MIN(_xlfn.DAYS(EDATE(AA$1,1),Log_2019[[#This Row],[Date]]),Log_2019[[#This Row],[Split_apply]])) - SUM($O68:Z68)</f>
        <v>0</v>
      </c>
      <c r="AB68" s="54">
        <f ca="1">Log_2019[[#This Row],[Amount]]-SUM(O68:AA68)</f>
        <v>0</v>
      </c>
      <c r="AC68" s="7">
        <f>MAX(0,Log_2019[[#This Row],[Split_raw]] - (EDATE(AA$1,1)-Log_2019[[#This Row],[Date]]))</f>
        <v>0</v>
      </c>
    </row>
    <row r="69" spans="1:29" x14ac:dyDescent="0.25">
      <c r="A69" s="42"/>
      <c r="B69" s="34" t="s">
        <v>6</v>
      </c>
      <c r="C69" s="34"/>
      <c r="D69" s="35">
        <v>43790</v>
      </c>
      <c r="E69" s="34"/>
      <c r="F69" s="34" t="s">
        <v>566</v>
      </c>
      <c r="G69" s="34" t="s">
        <v>747</v>
      </c>
      <c r="H69">
        <f>--1898.47</f>
        <v>1898.47</v>
      </c>
      <c r="I69" s="36">
        <f>IF(Log_2019[[#This Row],[My Category]]="NONTRACKED",0,Log_2019[[#This Row],[Raw Amount]])</f>
        <v>1898.47</v>
      </c>
      <c r="J69" s="37">
        <f>ABS(Log_2019[[#This Row],[Amount]])</f>
        <v>1898.47</v>
      </c>
      <c r="K69" s="38">
        <v>14</v>
      </c>
      <c r="L69" s="38">
        <f ca="1">IF(Log_2019[[#This Row],[Date]]&lt;=TODAY(), MIN(Log_2019[[#This Row],[Split_raw]], TODAY()-Log_2019[[#This Row],[Date]]+1), 0)</f>
        <v>14</v>
      </c>
      <c r="M69" s="34" t="s">
        <v>91</v>
      </c>
      <c r="N69" s="34" t="s">
        <v>160</v>
      </c>
      <c r="O69" s="7">
        <v>0</v>
      </c>
      <c r="P69" s="52">
        <f ca="1">Log_2019[[#This Row],[Amount]]/Log_2019[[#This Row],[Split_raw]]*MAX(0,MIN(_xlfn.DAYS(EDATE(P$1,1),Log_2019[[#This Row],[Date]]),Log_2019[[#This Row],[Split_apply]])) - SUM($O69:O69)</f>
        <v>0</v>
      </c>
      <c r="Q69" s="52">
        <f ca="1">Log_2019[[#This Row],[Amount]]/Log_2019[[#This Row],[Split_raw]]*MAX(0,MIN(_xlfn.DAYS(EDATE(Q$1,1),Log_2019[[#This Row],[Date]]),Log_2019[[#This Row],[Split_apply]])) - SUM($O69:P69)</f>
        <v>0</v>
      </c>
      <c r="R69" s="52">
        <f ca="1">Log_2019[[#This Row],[Amount]]/Log_2019[[#This Row],[Split_raw]]*MAX(0,MIN(_xlfn.DAYS(EDATE(R$1,1),Log_2019[[#This Row],[Date]]),Log_2019[[#This Row],[Split_apply]])) - SUM($O69:Q69)</f>
        <v>0</v>
      </c>
      <c r="S69" s="52">
        <f ca="1">Log_2019[[#This Row],[Amount]]/Log_2019[[#This Row],[Split_raw]]*MAX(0,MIN(_xlfn.DAYS(EDATE(S$1,1),Log_2019[[#This Row],[Date]]),Log_2019[[#This Row],[Split_apply]])) - SUM($O69:R69)</f>
        <v>0</v>
      </c>
      <c r="T69" s="52">
        <f ca="1">Log_2019[[#This Row],[Amount]]/Log_2019[[#This Row],[Split_raw]]*MAX(0,MIN(_xlfn.DAYS(EDATE(T$1,1),Log_2019[[#This Row],[Date]]),Log_2019[[#This Row],[Split_apply]])) - SUM($O69:S69)</f>
        <v>0</v>
      </c>
      <c r="U69" s="52">
        <f ca="1">Log_2019[[#This Row],[Amount]]/Log_2019[[#This Row],[Split_raw]]*MAX(0,MIN(_xlfn.DAYS(EDATE(U$1,1),Log_2019[[#This Row],[Date]]),Log_2019[[#This Row],[Split_apply]])) - SUM($O69:T69)</f>
        <v>0</v>
      </c>
      <c r="V69" s="52">
        <f ca="1">Log_2019[[#This Row],[Amount]]/Log_2019[[#This Row],[Split_raw]]*MAX(0,MIN(_xlfn.DAYS(EDATE(V$1,1),Log_2019[[#This Row],[Date]]),Log_2019[[#This Row],[Split_apply]])) - SUM($O69:U69)</f>
        <v>0</v>
      </c>
      <c r="W69" s="52">
        <f ca="1">Log_2019[[#This Row],[Amount]]/Log_2019[[#This Row],[Split_raw]]*MAX(0,MIN(_xlfn.DAYS(EDATE(W$1,1),Log_2019[[#This Row],[Date]]),Log_2019[[#This Row],[Split_apply]])) - SUM($O69:V69)</f>
        <v>0</v>
      </c>
      <c r="X69" s="52">
        <f ca="1">Log_2019[[#This Row],[Amount]]/Log_2019[[#This Row],[Split_raw]]*MAX(0,MIN(_xlfn.DAYS(EDATE(X$1,1),Log_2019[[#This Row],[Date]]),Log_2019[[#This Row],[Split_apply]])) - SUM($O69:W69)</f>
        <v>0</v>
      </c>
      <c r="Y69" s="52">
        <f ca="1">Log_2019[[#This Row],[Amount]]/Log_2019[[#This Row],[Split_raw]]*MAX(0,MIN(_xlfn.DAYS(EDATE(Y$1,1),Log_2019[[#This Row],[Date]]),Log_2019[[#This Row],[Split_apply]])) - SUM($O69:X69)</f>
        <v>0</v>
      </c>
      <c r="Z69" s="52">
        <f ca="1">Log_2019[[#This Row],[Amount]]/Log_2019[[#This Row],[Split_raw]]*MAX(0,MIN(_xlfn.DAYS(EDATE(Z$1,1),Log_2019[[#This Row],[Date]]),Log_2019[[#This Row],[Split_apply]])) - SUM($O69:Y69)</f>
        <v>1356.05</v>
      </c>
      <c r="AA69" s="52">
        <f ca="1">Log_2019[[#This Row],[Amount]]/Log_2019[[#This Row],[Split_raw]]*MAX(0,MIN(_xlfn.DAYS(EDATE(AA$1,1),Log_2019[[#This Row],[Date]]),Log_2019[[#This Row],[Split_apply]])) - SUM($O69:Z69)</f>
        <v>542.41999999999985</v>
      </c>
      <c r="AB69" s="54">
        <f ca="1">Log_2019[[#This Row],[Amount]]-SUM(O69:AA69)</f>
        <v>0</v>
      </c>
      <c r="AC69" s="7">
        <f>MAX(0,Log_2019[[#This Row],[Split_raw]] - (EDATE(AA$1,1)-Log_2019[[#This Row],[Date]]))</f>
        <v>0</v>
      </c>
    </row>
    <row r="70" spans="1:29" x14ac:dyDescent="0.25">
      <c r="A70" s="42"/>
      <c r="B70" s="34" t="s">
        <v>6</v>
      </c>
      <c r="C70" s="34"/>
      <c r="D70" s="35">
        <v>43790</v>
      </c>
      <c r="E70" s="34" t="s">
        <v>858</v>
      </c>
      <c r="F70" s="34" t="s">
        <v>345</v>
      </c>
      <c r="G70" s="34" t="s">
        <v>12</v>
      </c>
      <c r="H70">
        <v>-47.46</v>
      </c>
      <c r="I70" s="36">
        <f>IF(Log_2019[[#This Row],[My Category]]="NONTRACKED",0,Log_2019[[#This Row],[Raw Amount]])</f>
        <v>-47.46</v>
      </c>
      <c r="J70" s="37">
        <f>ABS(Log_2019[[#This Row],[Amount]])</f>
        <v>47.46</v>
      </c>
      <c r="K70" s="38">
        <v>1</v>
      </c>
      <c r="L70" s="38">
        <f ca="1">IF(Log_2019[[#This Row],[Date]]&lt;=TODAY(), MIN(Log_2019[[#This Row],[Split_raw]], TODAY()-Log_2019[[#This Row],[Date]]+1), 0)</f>
        <v>1</v>
      </c>
      <c r="M70" s="34" t="s">
        <v>42</v>
      </c>
      <c r="N70" s="34" t="s">
        <v>158</v>
      </c>
      <c r="O70" s="7">
        <v>0</v>
      </c>
      <c r="P70" s="52">
        <f ca="1">Log_2019[[#This Row],[Amount]]/Log_2019[[#This Row],[Split_raw]]*MAX(0,MIN(_xlfn.DAYS(EDATE(P$1,1),Log_2019[[#This Row],[Date]]),Log_2019[[#This Row],[Split_apply]])) - SUM($O70:O70)</f>
        <v>0</v>
      </c>
      <c r="Q70" s="52">
        <f ca="1">Log_2019[[#This Row],[Amount]]/Log_2019[[#This Row],[Split_raw]]*MAX(0,MIN(_xlfn.DAYS(EDATE(Q$1,1),Log_2019[[#This Row],[Date]]),Log_2019[[#This Row],[Split_apply]])) - SUM($O70:P70)</f>
        <v>0</v>
      </c>
      <c r="R70" s="52">
        <f ca="1">Log_2019[[#This Row],[Amount]]/Log_2019[[#This Row],[Split_raw]]*MAX(0,MIN(_xlfn.DAYS(EDATE(R$1,1),Log_2019[[#This Row],[Date]]),Log_2019[[#This Row],[Split_apply]])) - SUM($O70:Q70)</f>
        <v>0</v>
      </c>
      <c r="S70" s="52">
        <f ca="1">Log_2019[[#This Row],[Amount]]/Log_2019[[#This Row],[Split_raw]]*MAX(0,MIN(_xlfn.DAYS(EDATE(S$1,1),Log_2019[[#This Row],[Date]]),Log_2019[[#This Row],[Split_apply]])) - SUM($O70:R70)</f>
        <v>0</v>
      </c>
      <c r="T70" s="52">
        <f ca="1">Log_2019[[#This Row],[Amount]]/Log_2019[[#This Row],[Split_raw]]*MAX(0,MIN(_xlfn.DAYS(EDATE(T$1,1),Log_2019[[#This Row],[Date]]),Log_2019[[#This Row],[Split_apply]])) - SUM($O70:S70)</f>
        <v>0</v>
      </c>
      <c r="U70" s="52">
        <f ca="1">Log_2019[[#This Row],[Amount]]/Log_2019[[#This Row],[Split_raw]]*MAX(0,MIN(_xlfn.DAYS(EDATE(U$1,1),Log_2019[[#This Row],[Date]]),Log_2019[[#This Row],[Split_apply]])) - SUM($O70:T70)</f>
        <v>0</v>
      </c>
      <c r="V70" s="52">
        <f ca="1">Log_2019[[#This Row],[Amount]]/Log_2019[[#This Row],[Split_raw]]*MAX(0,MIN(_xlfn.DAYS(EDATE(V$1,1),Log_2019[[#This Row],[Date]]),Log_2019[[#This Row],[Split_apply]])) - SUM($O70:U70)</f>
        <v>0</v>
      </c>
      <c r="W70" s="52">
        <f ca="1">Log_2019[[#This Row],[Amount]]/Log_2019[[#This Row],[Split_raw]]*MAX(0,MIN(_xlfn.DAYS(EDATE(W$1,1),Log_2019[[#This Row],[Date]]),Log_2019[[#This Row],[Split_apply]])) - SUM($O70:V70)</f>
        <v>0</v>
      </c>
      <c r="X70" s="52">
        <f ca="1">Log_2019[[#This Row],[Amount]]/Log_2019[[#This Row],[Split_raw]]*MAX(0,MIN(_xlfn.DAYS(EDATE(X$1,1),Log_2019[[#This Row],[Date]]),Log_2019[[#This Row],[Split_apply]])) - SUM($O70:W70)</f>
        <v>0</v>
      </c>
      <c r="Y70" s="52">
        <f ca="1">Log_2019[[#This Row],[Amount]]/Log_2019[[#This Row],[Split_raw]]*MAX(0,MIN(_xlfn.DAYS(EDATE(Y$1,1),Log_2019[[#This Row],[Date]]),Log_2019[[#This Row],[Split_apply]])) - SUM($O70:X70)</f>
        <v>0</v>
      </c>
      <c r="Z70" s="52">
        <f ca="1">Log_2019[[#This Row],[Amount]]/Log_2019[[#This Row],[Split_raw]]*MAX(0,MIN(_xlfn.DAYS(EDATE(Z$1,1),Log_2019[[#This Row],[Date]]),Log_2019[[#This Row],[Split_apply]])) - SUM($O70:Y70)</f>
        <v>-47.46</v>
      </c>
      <c r="AA70" s="52">
        <f ca="1">Log_2019[[#This Row],[Amount]]/Log_2019[[#This Row],[Split_raw]]*MAX(0,MIN(_xlfn.DAYS(EDATE(AA$1,1),Log_2019[[#This Row],[Date]]),Log_2019[[#This Row],[Split_apply]])) - SUM($O70:Z70)</f>
        <v>0</v>
      </c>
      <c r="AB70" s="54">
        <f ca="1">Log_2019[[#This Row],[Amount]]-SUM(O70:AA70)</f>
        <v>0</v>
      </c>
      <c r="AC70" s="7">
        <f>MAX(0,Log_2019[[#This Row],[Split_raw]] - (EDATE(AA$1,1)-Log_2019[[#This Row],[Date]]))</f>
        <v>0</v>
      </c>
    </row>
    <row r="71" spans="1:29" x14ac:dyDescent="0.25">
      <c r="A71" s="42"/>
      <c r="B71" s="34" t="s">
        <v>6</v>
      </c>
      <c r="C71" s="34"/>
      <c r="D71" s="35">
        <v>43790</v>
      </c>
      <c r="E71" s="34"/>
      <c r="F71" s="34" t="s">
        <v>59</v>
      </c>
      <c r="G71" s="34" t="s">
        <v>25</v>
      </c>
      <c r="H71">
        <v>-5.53</v>
      </c>
      <c r="I71" s="36">
        <f>IF(Log_2019[[#This Row],[My Category]]="NONTRACKED",0,Log_2019[[#This Row],[Raw Amount]])</f>
        <v>-5.53</v>
      </c>
      <c r="J71" s="37">
        <f>ABS(Log_2019[[#This Row],[Amount]])</f>
        <v>5.53</v>
      </c>
      <c r="K71" s="38">
        <v>1</v>
      </c>
      <c r="L71" s="38">
        <f ca="1">IF(Log_2019[[#This Row],[Date]]&lt;=TODAY(), MIN(Log_2019[[#This Row],[Split_raw]], TODAY()-Log_2019[[#This Row],[Date]]+1), 0)</f>
        <v>1</v>
      </c>
      <c r="M71" s="34" t="s">
        <v>35</v>
      </c>
      <c r="N71" s="34" t="s">
        <v>158</v>
      </c>
      <c r="O71" s="7">
        <v>0</v>
      </c>
      <c r="P71" s="52">
        <f ca="1">Log_2019[[#This Row],[Amount]]/Log_2019[[#This Row],[Split_raw]]*MAX(0,MIN(_xlfn.DAYS(EDATE(P$1,1),Log_2019[[#This Row],[Date]]),Log_2019[[#This Row],[Split_apply]])) - SUM($O71:O71)</f>
        <v>0</v>
      </c>
      <c r="Q71" s="52">
        <f ca="1">Log_2019[[#This Row],[Amount]]/Log_2019[[#This Row],[Split_raw]]*MAX(0,MIN(_xlfn.DAYS(EDATE(Q$1,1),Log_2019[[#This Row],[Date]]),Log_2019[[#This Row],[Split_apply]])) - SUM($O71:P71)</f>
        <v>0</v>
      </c>
      <c r="R71" s="52">
        <f ca="1">Log_2019[[#This Row],[Amount]]/Log_2019[[#This Row],[Split_raw]]*MAX(0,MIN(_xlfn.DAYS(EDATE(R$1,1),Log_2019[[#This Row],[Date]]),Log_2019[[#This Row],[Split_apply]])) - SUM($O71:Q71)</f>
        <v>0</v>
      </c>
      <c r="S71" s="52">
        <f ca="1">Log_2019[[#This Row],[Amount]]/Log_2019[[#This Row],[Split_raw]]*MAX(0,MIN(_xlfn.DAYS(EDATE(S$1,1),Log_2019[[#This Row],[Date]]),Log_2019[[#This Row],[Split_apply]])) - SUM($O71:R71)</f>
        <v>0</v>
      </c>
      <c r="T71" s="52">
        <f ca="1">Log_2019[[#This Row],[Amount]]/Log_2019[[#This Row],[Split_raw]]*MAX(0,MIN(_xlfn.DAYS(EDATE(T$1,1),Log_2019[[#This Row],[Date]]),Log_2019[[#This Row],[Split_apply]])) - SUM($O71:S71)</f>
        <v>0</v>
      </c>
      <c r="U71" s="52">
        <f ca="1">Log_2019[[#This Row],[Amount]]/Log_2019[[#This Row],[Split_raw]]*MAX(0,MIN(_xlfn.DAYS(EDATE(U$1,1),Log_2019[[#This Row],[Date]]),Log_2019[[#This Row],[Split_apply]])) - SUM($O71:T71)</f>
        <v>0</v>
      </c>
      <c r="V71" s="52">
        <f ca="1">Log_2019[[#This Row],[Amount]]/Log_2019[[#This Row],[Split_raw]]*MAX(0,MIN(_xlfn.DAYS(EDATE(V$1,1),Log_2019[[#This Row],[Date]]),Log_2019[[#This Row],[Split_apply]])) - SUM($O71:U71)</f>
        <v>0</v>
      </c>
      <c r="W71" s="52">
        <f ca="1">Log_2019[[#This Row],[Amount]]/Log_2019[[#This Row],[Split_raw]]*MAX(0,MIN(_xlfn.DAYS(EDATE(W$1,1),Log_2019[[#This Row],[Date]]),Log_2019[[#This Row],[Split_apply]])) - SUM($O71:V71)</f>
        <v>0</v>
      </c>
      <c r="X71" s="52">
        <f ca="1">Log_2019[[#This Row],[Amount]]/Log_2019[[#This Row],[Split_raw]]*MAX(0,MIN(_xlfn.DAYS(EDATE(X$1,1),Log_2019[[#This Row],[Date]]),Log_2019[[#This Row],[Split_apply]])) - SUM($O71:W71)</f>
        <v>0</v>
      </c>
      <c r="Y71" s="52">
        <f ca="1">Log_2019[[#This Row],[Amount]]/Log_2019[[#This Row],[Split_raw]]*MAX(0,MIN(_xlfn.DAYS(EDATE(Y$1,1),Log_2019[[#This Row],[Date]]),Log_2019[[#This Row],[Split_apply]])) - SUM($O71:X71)</f>
        <v>0</v>
      </c>
      <c r="Z71" s="52">
        <f ca="1">Log_2019[[#This Row],[Amount]]/Log_2019[[#This Row],[Split_raw]]*MAX(0,MIN(_xlfn.DAYS(EDATE(Z$1,1),Log_2019[[#This Row],[Date]]),Log_2019[[#This Row],[Split_apply]])) - SUM($O71:Y71)</f>
        <v>-5.53</v>
      </c>
      <c r="AA71" s="52">
        <f ca="1">Log_2019[[#This Row],[Amount]]/Log_2019[[#This Row],[Split_raw]]*MAX(0,MIN(_xlfn.DAYS(EDATE(AA$1,1),Log_2019[[#This Row],[Date]]),Log_2019[[#This Row],[Split_apply]])) - SUM($O71:Z71)</f>
        <v>0</v>
      </c>
      <c r="AB71" s="54">
        <f ca="1">Log_2019[[#This Row],[Amount]]-SUM(O71:AA71)</f>
        <v>0</v>
      </c>
      <c r="AC71" s="7">
        <f>MAX(0,Log_2019[[#This Row],[Split_raw]] - (EDATE(AA$1,1)-Log_2019[[#This Row],[Date]]))</f>
        <v>0</v>
      </c>
    </row>
    <row r="72" spans="1:29" x14ac:dyDescent="0.25">
      <c r="A72" s="42"/>
      <c r="B72" s="34" t="s">
        <v>6</v>
      </c>
      <c r="C72" s="34"/>
      <c r="D72" s="35">
        <v>43789</v>
      </c>
      <c r="E72" s="34"/>
      <c r="F72" s="34" t="s">
        <v>255</v>
      </c>
      <c r="G72" s="34" t="s">
        <v>12</v>
      </c>
      <c r="H72">
        <v>-10.8</v>
      </c>
      <c r="I72" s="36">
        <f>IF(Log_2019[[#This Row],[My Category]]="NONTRACKED",0,Log_2019[[#This Row],[Raw Amount]])</f>
        <v>-10.8</v>
      </c>
      <c r="J72" s="37">
        <f>ABS(Log_2019[[#This Row],[Amount]])</f>
        <v>10.8</v>
      </c>
      <c r="K72" s="38">
        <v>1</v>
      </c>
      <c r="L72" s="38">
        <f ca="1">IF(Log_2019[[#This Row],[Date]]&lt;=TODAY(), MIN(Log_2019[[#This Row],[Split_raw]], TODAY()-Log_2019[[#This Row],[Date]]+1), 0)</f>
        <v>1</v>
      </c>
      <c r="M72" s="34" t="s">
        <v>35</v>
      </c>
      <c r="N72" s="34" t="s">
        <v>158</v>
      </c>
      <c r="O72" s="7">
        <v>0</v>
      </c>
      <c r="P72" s="52">
        <f ca="1">Log_2019[[#This Row],[Amount]]/Log_2019[[#This Row],[Split_raw]]*MAX(0,MIN(_xlfn.DAYS(EDATE(P$1,1),Log_2019[[#This Row],[Date]]),Log_2019[[#This Row],[Split_apply]])) - SUM($O72:O72)</f>
        <v>0</v>
      </c>
      <c r="Q72" s="52">
        <f ca="1">Log_2019[[#This Row],[Amount]]/Log_2019[[#This Row],[Split_raw]]*MAX(0,MIN(_xlfn.DAYS(EDATE(Q$1,1),Log_2019[[#This Row],[Date]]),Log_2019[[#This Row],[Split_apply]])) - SUM($O72:P72)</f>
        <v>0</v>
      </c>
      <c r="R72" s="52">
        <f ca="1">Log_2019[[#This Row],[Amount]]/Log_2019[[#This Row],[Split_raw]]*MAX(0,MIN(_xlfn.DAYS(EDATE(R$1,1),Log_2019[[#This Row],[Date]]),Log_2019[[#This Row],[Split_apply]])) - SUM($O72:Q72)</f>
        <v>0</v>
      </c>
      <c r="S72" s="52">
        <f ca="1">Log_2019[[#This Row],[Amount]]/Log_2019[[#This Row],[Split_raw]]*MAX(0,MIN(_xlfn.DAYS(EDATE(S$1,1),Log_2019[[#This Row],[Date]]),Log_2019[[#This Row],[Split_apply]])) - SUM($O72:R72)</f>
        <v>0</v>
      </c>
      <c r="T72" s="52">
        <f ca="1">Log_2019[[#This Row],[Amount]]/Log_2019[[#This Row],[Split_raw]]*MAX(0,MIN(_xlfn.DAYS(EDATE(T$1,1),Log_2019[[#This Row],[Date]]),Log_2019[[#This Row],[Split_apply]])) - SUM($O72:S72)</f>
        <v>0</v>
      </c>
      <c r="U72" s="52">
        <f ca="1">Log_2019[[#This Row],[Amount]]/Log_2019[[#This Row],[Split_raw]]*MAX(0,MIN(_xlfn.DAYS(EDATE(U$1,1),Log_2019[[#This Row],[Date]]),Log_2019[[#This Row],[Split_apply]])) - SUM($O72:T72)</f>
        <v>0</v>
      </c>
      <c r="V72" s="52">
        <f ca="1">Log_2019[[#This Row],[Amount]]/Log_2019[[#This Row],[Split_raw]]*MAX(0,MIN(_xlfn.DAYS(EDATE(V$1,1),Log_2019[[#This Row],[Date]]),Log_2019[[#This Row],[Split_apply]])) - SUM($O72:U72)</f>
        <v>0</v>
      </c>
      <c r="W72" s="52">
        <f ca="1">Log_2019[[#This Row],[Amount]]/Log_2019[[#This Row],[Split_raw]]*MAX(0,MIN(_xlfn.DAYS(EDATE(W$1,1),Log_2019[[#This Row],[Date]]),Log_2019[[#This Row],[Split_apply]])) - SUM($O72:V72)</f>
        <v>0</v>
      </c>
      <c r="X72" s="52">
        <f ca="1">Log_2019[[#This Row],[Amount]]/Log_2019[[#This Row],[Split_raw]]*MAX(0,MIN(_xlfn.DAYS(EDATE(X$1,1),Log_2019[[#This Row],[Date]]),Log_2019[[#This Row],[Split_apply]])) - SUM($O72:W72)</f>
        <v>0</v>
      </c>
      <c r="Y72" s="52">
        <f ca="1">Log_2019[[#This Row],[Amount]]/Log_2019[[#This Row],[Split_raw]]*MAX(0,MIN(_xlfn.DAYS(EDATE(Y$1,1),Log_2019[[#This Row],[Date]]),Log_2019[[#This Row],[Split_apply]])) - SUM($O72:X72)</f>
        <v>0</v>
      </c>
      <c r="Z72" s="52">
        <f ca="1">Log_2019[[#This Row],[Amount]]/Log_2019[[#This Row],[Split_raw]]*MAX(0,MIN(_xlfn.DAYS(EDATE(Z$1,1),Log_2019[[#This Row],[Date]]),Log_2019[[#This Row],[Split_apply]])) - SUM($O72:Y72)</f>
        <v>-10.8</v>
      </c>
      <c r="AA72" s="52">
        <f ca="1">Log_2019[[#This Row],[Amount]]/Log_2019[[#This Row],[Split_raw]]*MAX(0,MIN(_xlfn.DAYS(EDATE(AA$1,1),Log_2019[[#This Row],[Date]]),Log_2019[[#This Row],[Split_apply]])) - SUM($O72:Z72)</f>
        <v>0</v>
      </c>
      <c r="AB72" s="54">
        <f ca="1">Log_2019[[#This Row],[Amount]]-SUM(O72:AA72)</f>
        <v>0</v>
      </c>
      <c r="AC72" s="7">
        <f>MAX(0,Log_2019[[#This Row],[Split_raw]] - (EDATE(AA$1,1)-Log_2019[[#This Row],[Date]]))</f>
        <v>0</v>
      </c>
    </row>
    <row r="73" spans="1:29" x14ac:dyDescent="0.25">
      <c r="A73" s="42"/>
      <c r="B73" s="34" t="s">
        <v>6</v>
      </c>
      <c r="C73" s="34"/>
      <c r="D73" s="35">
        <v>43788</v>
      </c>
      <c r="E73" s="34"/>
      <c r="F73" s="34" t="s">
        <v>138</v>
      </c>
      <c r="G73" s="34" t="s">
        <v>104</v>
      </c>
      <c r="H73">
        <v>-1022.39</v>
      </c>
      <c r="I73" s="36">
        <f>IF(Log_2019[[#This Row],[My Category]]="NONTRACKED",0,Log_2019[[#This Row],[Raw Amount]])</f>
        <v>-1022.39</v>
      </c>
      <c r="J73" s="37">
        <f>ABS(Log_2019[[#This Row],[Amount]])</f>
        <v>1022.39</v>
      </c>
      <c r="K73" s="38">
        <v>1</v>
      </c>
      <c r="L73" s="38">
        <f ca="1">IF(Log_2019[[#This Row],[Date]]&lt;=TODAY(), MIN(Log_2019[[#This Row],[Split_raw]], TODAY()-Log_2019[[#This Row],[Date]]+1), 0)</f>
        <v>1</v>
      </c>
      <c r="M73" s="34" t="s">
        <v>159</v>
      </c>
      <c r="N73" s="34" t="s">
        <v>160</v>
      </c>
      <c r="O73" s="7">
        <v>0</v>
      </c>
      <c r="P73" s="52">
        <f ca="1">Log_2019[[#This Row],[Amount]]/Log_2019[[#This Row],[Split_raw]]*MAX(0,MIN(_xlfn.DAYS(EDATE(P$1,1),Log_2019[[#This Row],[Date]]),Log_2019[[#This Row],[Split_apply]])) - SUM($O73:O73)</f>
        <v>0</v>
      </c>
      <c r="Q73" s="52">
        <f ca="1">Log_2019[[#This Row],[Amount]]/Log_2019[[#This Row],[Split_raw]]*MAX(0,MIN(_xlfn.DAYS(EDATE(Q$1,1),Log_2019[[#This Row],[Date]]),Log_2019[[#This Row],[Split_apply]])) - SUM($O73:P73)</f>
        <v>0</v>
      </c>
      <c r="R73" s="52">
        <f ca="1">Log_2019[[#This Row],[Amount]]/Log_2019[[#This Row],[Split_raw]]*MAX(0,MIN(_xlfn.DAYS(EDATE(R$1,1),Log_2019[[#This Row],[Date]]),Log_2019[[#This Row],[Split_apply]])) - SUM($O73:Q73)</f>
        <v>0</v>
      </c>
      <c r="S73" s="52">
        <f ca="1">Log_2019[[#This Row],[Amount]]/Log_2019[[#This Row],[Split_raw]]*MAX(0,MIN(_xlfn.DAYS(EDATE(S$1,1),Log_2019[[#This Row],[Date]]),Log_2019[[#This Row],[Split_apply]])) - SUM($O73:R73)</f>
        <v>0</v>
      </c>
      <c r="T73" s="52">
        <f ca="1">Log_2019[[#This Row],[Amount]]/Log_2019[[#This Row],[Split_raw]]*MAX(0,MIN(_xlfn.DAYS(EDATE(T$1,1),Log_2019[[#This Row],[Date]]),Log_2019[[#This Row],[Split_apply]])) - SUM($O73:S73)</f>
        <v>0</v>
      </c>
      <c r="U73" s="52">
        <f ca="1">Log_2019[[#This Row],[Amount]]/Log_2019[[#This Row],[Split_raw]]*MAX(0,MIN(_xlfn.DAYS(EDATE(U$1,1),Log_2019[[#This Row],[Date]]),Log_2019[[#This Row],[Split_apply]])) - SUM($O73:T73)</f>
        <v>0</v>
      </c>
      <c r="V73" s="52">
        <f ca="1">Log_2019[[#This Row],[Amount]]/Log_2019[[#This Row],[Split_raw]]*MAX(0,MIN(_xlfn.DAYS(EDATE(V$1,1),Log_2019[[#This Row],[Date]]),Log_2019[[#This Row],[Split_apply]])) - SUM($O73:U73)</f>
        <v>0</v>
      </c>
      <c r="W73" s="52">
        <f ca="1">Log_2019[[#This Row],[Amount]]/Log_2019[[#This Row],[Split_raw]]*MAX(0,MIN(_xlfn.DAYS(EDATE(W$1,1),Log_2019[[#This Row],[Date]]),Log_2019[[#This Row],[Split_apply]])) - SUM($O73:V73)</f>
        <v>0</v>
      </c>
      <c r="X73" s="52">
        <f ca="1">Log_2019[[#This Row],[Amount]]/Log_2019[[#This Row],[Split_raw]]*MAX(0,MIN(_xlfn.DAYS(EDATE(X$1,1),Log_2019[[#This Row],[Date]]),Log_2019[[#This Row],[Split_apply]])) - SUM($O73:W73)</f>
        <v>0</v>
      </c>
      <c r="Y73" s="52">
        <f ca="1">Log_2019[[#This Row],[Amount]]/Log_2019[[#This Row],[Split_raw]]*MAX(0,MIN(_xlfn.DAYS(EDATE(Y$1,1),Log_2019[[#This Row],[Date]]),Log_2019[[#This Row],[Split_apply]])) - SUM($O73:X73)</f>
        <v>0</v>
      </c>
      <c r="Z73" s="52">
        <f ca="1">Log_2019[[#This Row],[Amount]]/Log_2019[[#This Row],[Split_raw]]*MAX(0,MIN(_xlfn.DAYS(EDATE(Z$1,1),Log_2019[[#This Row],[Date]]),Log_2019[[#This Row],[Split_apply]])) - SUM($O73:Y73)</f>
        <v>-1022.39</v>
      </c>
      <c r="AA73" s="52">
        <f ca="1">Log_2019[[#This Row],[Amount]]/Log_2019[[#This Row],[Split_raw]]*MAX(0,MIN(_xlfn.DAYS(EDATE(AA$1,1),Log_2019[[#This Row],[Date]]),Log_2019[[#This Row],[Split_apply]])) - SUM($O73:Z73)</f>
        <v>0</v>
      </c>
      <c r="AB73" s="54">
        <f ca="1">Log_2019[[#This Row],[Amount]]-SUM(O73:AA73)</f>
        <v>0</v>
      </c>
      <c r="AC73" s="7">
        <f>MAX(0,Log_2019[[#This Row],[Split_raw]] - (EDATE(AA$1,1)-Log_2019[[#This Row],[Date]]))</f>
        <v>0</v>
      </c>
    </row>
    <row r="74" spans="1:29" x14ac:dyDescent="0.25">
      <c r="A74" s="42"/>
      <c r="B74" s="34" t="s">
        <v>6</v>
      </c>
      <c r="C74" s="34"/>
      <c r="D74" s="35">
        <v>43787</v>
      </c>
      <c r="E74" s="34"/>
      <c r="F74" s="34" t="s">
        <v>760</v>
      </c>
      <c r="G74" s="34" t="s">
        <v>25</v>
      </c>
      <c r="H74">
        <v>-12.7</v>
      </c>
      <c r="I74" s="36">
        <f>IF(Log_2019[[#This Row],[My Category]]="NONTRACKED",0,Log_2019[[#This Row],[Raw Amount]])</f>
        <v>-12.7</v>
      </c>
      <c r="J74" s="37">
        <f>ABS(Log_2019[[#This Row],[Amount]])</f>
        <v>12.7</v>
      </c>
      <c r="K74" s="38">
        <v>1</v>
      </c>
      <c r="L74" s="38">
        <f ca="1">IF(Log_2019[[#This Row],[Date]]&lt;=TODAY(), MIN(Log_2019[[#This Row],[Split_raw]], TODAY()-Log_2019[[#This Row],[Date]]+1), 0)</f>
        <v>1</v>
      </c>
      <c r="M74" s="34" t="s">
        <v>35</v>
      </c>
      <c r="N74" s="34" t="s">
        <v>158</v>
      </c>
      <c r="O74" s="7">
        <v>0</v>
      </c>
      <c r="P74" s="52">
        <f ca="1">Log_2019[[#This Row],[Amount]]/Log_2019[[#This Row],[Split_raw]]*MAX(0,MIN(_xlfn.DAYS(EDATE(P$1,1),Log_2019[[#This Row],[Date]]),Log_2019[[#This Row],[Split_apply]])) - SUM($O74:O74)</f>
        <v>0</v>
      </c>
      <c r="Q74" s="52">
        <f ca="1">Log_2019[[#This Row],[Amount]]/Log_2019[[#This Row],[Split_raw]]*MAX(0,MIN(_xlfn.DAYS(EDATE(Q$1,1),Log_2019[[#This Row],[Date]]),Log_2019[[#This Row],[Split_apply]])) - SUM($O74:P74)</f>
        <v>0</v>
      </c>
      <c r="R74" s="52">
        <f ca="1">Log_2019[[#This Row],[Amount]]/Log_2019[[#This Row],[Split_raw]]*MAX(0,MIN(_xlfn.DAYS(EDATE(R$1,1),Log_2019[[#This Row],[Date]]),Log_2019[[#This Row],[Split_apply]])) - SUM($O74:Q74)</f>
        <v>0</v>
      </c>
      <c r="S74" s="52">
        <f ca="1">Log_2019[[#This Row],[Amount]]/Log_2019[[#This Row],[Split_raw]]*MAX(0,MIN(_xlfn.DAYS(EDATE(S$1,1),Log_2019[[#This Row],[Date]]),Log_2019[[#This Row],[Split_apply]])) - SUM($O74:R74)</f>
        <v>0</v>
      </c>
      <c r="T74" s="52">
        <f ca="1">Log_2019[[#This Row],[Amount]]/Log_2019[[#This Row],[Split_raw]]*MAX(0,MIN(_xlfn.DAYS(EDATE(T$1,1),Log_2019[[#This Row],[Date]]),Log_2019[[#This Row],[Split_apply]])) - SUM($O74:S74)</f>
        <v>0</v>
      </c>
      <c r="U74" s="52">
        <f ca="1">Log_2019[[#This Row],[Amount]]/Log_2019[[#This Row],[Split_raw]]*MAX(0,MIN(_xlfn.DAYS(EDATE(U$1,1),Log_2019[[#This Row],[Date]]),Log_2019[[#This Row],[Split_apply]])) - SUM($O74:T74)</f>
        <v>0</v>
      </c>
      <c r="V74" s="52">
        <f ca="1">Log_2019[[#This Row],[Amount]]/Log_2019[[#This Row],[Split_raw]]*MAX(0,MIN(_xlfn.DAYS(EDATE(V$1,1),Log_2019[[#This Row],[Date]]),Log_2019[[#This Row],[Split_apply]])) - SUM($O74:U74)</f>
        <v>0</v>
      </c>
      <c r="W74" s="52">
        <f ca="1">Log_2019[[#This Row],[Amount]]/Log_2019[[#This Row],[Split_raw]]*MAX(0,MIN(_xlfn.DAYS(EDATE(W$1,1),Log_2019[[#This Row],[Date]]),Log_2019[[#This Row],[Split_apply]])) - SUM($O74:V74)</f>
        <v>0</v>
      </c>
      <c r="X74" s="52">
        <f ca="1">Log_2019[[#This Row],[Amount]]/Log_2019[[#This Row],[Split_raw]]*MAX(0,MIN(_xlfn.DAYS(EDATE(X$1,1),Log_2019[[#This Row],[Date]]),Log_2019[[#This Row],[Split_apply]])) - SUM($O74:W74)</f>
        <v>0</v>
      </c>
      <c r="Y74" s="52">
        <f ca="1">Log_2019[[#This Row],[Amount]]/Log_2019[[#This Row],[Split_raw]]*MAX(0,MIN(_xlfn.DAYS(EDATE(Y$1,1),Log_2019[[#This Row],[Date]]),Log_2019[[#This Row],[Split_apply]])) - SUM($O74:X74)</f>
        <v>0</v>
      </c>
      <c r="Z74" s="52">
        <f ca="1">Log_2019[[#This Row],[Amount]]/Log_2019[[#This Row],[Split_raw]]*MAX(0,MIN(_xlfn.DAYS(EDATE(Z$1,1),Log_2019[[#This Row],[Date]]),Log_2019[[#This Row],[Split_apply]])) - SUM($O74:Y74)</f>
        <v>-12.7</v>
      </c>
      <c r="AA74" s="52">
        <f ca="1">Log_2019[[#This Row],[Amount]]/Log_2019[[#This Row],[Split_raw]]*MAX(0,MIN(_xlfn.DAYS(EDATE(AA$1,1),Log_2019[[#This Row],[Date]]),Log_2019[[#This Row],[Split_apply]])) - SUM($O74:Z74)</f>
        <v>0</v>
      </c>
      <c r="AB74" s="54">
        <f ca="1">Log_2019[[#This Row],[Amount]]-SUM(O74:AA74)</f>
        <v>0</v>
      </c>
      <c r="AC74" s="7">
        <f>MAX(0,Log_2019[[#This Row],[Split_raw]] - (EDATE(AA$1,1)-Log_2019[[#This Row],[Date]]))</f>
        <v>0</v>
      </c>
    </row>
    <row r="75" spans="1:29" x14ac:dyDescent="0.25">
      <c r="A75" s="42"/>
      <c r="B75" s="34" t="s">
        <v>6</v>
      </c>
      <c r="C75" s="34"/>
      <c r="D75" s="35">
        <v>43787</v>
      </c>
      <c r="E75" s="34"/>
      <c r="F75" s="34" t="s">
        <v>105</v>
      </c>
      <c r="G75" s="34" t="s">
        <v>104</v>
      </c>
      <c r="H75">
        <f>--1022.39</f>
        <v>1022.39</v>
      </c>
      <c r="I75" s="36">
        <f>IF(Log_2019[[#This Row],[My Category]]="NONTRACKED",0,Log_2019[[#This Row],[Raw Amount]])</f>
        <v>1022.39</v>
      </c>
      <c r="J75" s="37">
        <f>ABS(Log_2019[[#This Row],[Amount]])</f>
        <v>1022.39</v>
      </c>
      <c r="K75" s="38">
        <v>1</v>
      </c>
      <c r="L75" s="38">
        <f ca="1">IF(Log_2019[[#This Row],[Date]]&lt;=TODAY(), MIN(Log_2019[[#This Row],[Split_raw]], TODAY()-Log_2019[[#This Row],[Date]]+1), 0)</f>
        <v>1</v>
      </c>
      <c r="M75" s="34" t="s">
        <v>159</v>
      </c>
      <c r="N75" s="34" t="s">
        <v>158</v>
      </c>
      <c r="O75" s="7">
        <v>0</v>
      </c>
      <c r="P75" s="52">
        <f ca="1">Log_2019[[#This Row],[Amount]]/Log_2019[[#This Row],[Split_raw]]*MAX(0,MIN(_xlfn.DAYS(EDATE(P$1,1),Log_2019[[#This Row],[Date]]),Log_2019[[#This Row],[Split_apply]])) - SUM($O75:O75)</f>
        <v>0</v>
      </c>
      <c r="Q75" s="52">
        <f ca="1">Log_2019[[#This Row],[Amount]]/Log_2019[[#This Row],[Split_raw]]*MAX(0,MIN(_xlfn.DAYS(EDATE(Q$1,1),Log_2019[[#This Row],[Date]]),Log_2019[[#This Row],[Split_apply]])) - SUM($O75:P75)</f>
        <v>0</v>
      </c>
      <c r="R75" s="52">
        <f ca="1">Log_2019[[#This Row],[Amount]]/Log_2019[[#This Row],[Split_raw]]*MAX(0,MIN(_xlfn.DAYS(EDATE(R$1,1),Log_2019[[#This Row],[Date]]),Log_2019[[#This Row],[Split_apply]])) - SUM($O75:Q75)</f>
        <v>0</v>
      </c>
      <c r="S75" s="52">
        <f ca="1">Log_2019[[#This Row],[Amount]]/Log_2019[[#This Row],[Split_raw]]*MAX(0,MIN(_xlfn.DAYS(EDATE(S$1,1),Log_2019[[#This Row],[Date]]),Log_2019[[#This Row],[Split_apply]])) - SUM($O75:R75)</f>
        <v>0</v>
      </c>
      <c r="T75" s="52">
        <f ca="1">Log_2019[[#This Row],[Amount]]/Log_2019[[#This Row],[Split_raw]]*MAX(0,MIN(_xlfn.DAYS(EDATE(T$1,1),Log_2019[[#This Row],[Date]]),Log_2019[[#This Row],[Split_apply]])) - SUM($O75:S75)</f>
        <v>0</v>
      </c>
      <c r="U75" s="52">
        <f ca="1">Log_2019[[#This Row],[Amount]]/Log_2019[[#This Row],[Split_raw]]*MAX(0,MIN(_xlfn.DAYS(EDATE(U$1,1),Log_2019[[#This Row],[Date]]),Log_2019[[#This Row],[Split_apply]])) - SUM($O75:T75)</f>
        <v>0</v>
      </c>
      <c r="V75" s="52">
        <f ca="1">Log_2019[[#This Row],[Amount]]/Log_2019[[#This Row],[Split_raw]]*MAX(0,MIN(_xlfn.DAYS(EDATE(V$1,1),Log_2019[[#This Row],[Date]]),Log_2019[[#This Row],[Split_apply]])) - SUM($O75:U75)</f>
        <v>0</v>
      </c>
      <c r="W75" s="52">
        <f ca="1">Log_2019[[#This Row],[Amount]]/Log_2019[[#This Row],[Split_raw]]*MAX(0,MIN(_xlfn.DAYS(EDATE(W$1,1),Log_2019[[#This Row],[Date]]),Log_2019[[#This Row],[Split_apply]])) - SUM($O75:V75)</f>
        <v>0</v>
      </c>
      <c r="X75" s="52">
        <f ca="1">Log_2019[[#This Row],[Amount]]/Log_2019[[#This Row],[Split_raw]]*MAX(0,MIN(_xlfn.DAYS(EDATE(X$1,1),Log_2019[[#This Row],[Date]]),Log_2019[[#This Row],[Split_apply]])) - SUM($O75:W75)</f>
        <v>0</v>
      </c>
      <c r="Y75" s="52">
        <f ca="1">Log_2019[[#This Row],[Amount]]/Log_2019[[#This Row],[Split_raw]]*MAX(0,MIN(_xlfn.DAYS(EDATE(Y$1,1),Log_2019[[#This Row],[Date]]),Log_2019[[#This Row],[Split_apply]])) - SUM($O75:X75)</f>
        <v>0</v>
      </c>
      <c r="Z75" s="52">
        <f ca="1">Log_2019[[#This Row],[Amount]]/Log_2019[[#This Row],[Split_raw]]*MAX(0,MIN(_xlfn.DAYS(EDATE(Z$1,1),Log_2019[[#This Row],[Date]]),Log_2019[[#This Row],[Split_apply]])) - SUM($O75:Y75)</f>
        <v>1022.39</v>
      </c>
      <c r="AA75" s="52">
        <f ca="1">Log_2019[[#This Row],[Amount]]/Log_2019[[#This Row],[Split_raw]]*MAX(0,MIN(_xlfn.DAYS(EDATE(AA$1,1),Log_2019[[#This Row],[Date]]),Log_2019[[#This Row],[Split_apply]])) - SUM($O75:Z75)</f>
        <v>0</v>
      </c>
      <c r="AB75" s="54">
        <f ca="1">Log_2019[[#This Row],[Amount]]-SUM(O75:AA75)</f>
        <v>0</v>
      </c>
      <c r="AC75" s="7">
        <f>MAX(0,Log_2019[[#This Row],[Split_raw]] - (EDATE(AA$1,1)-Log_2019[[#This Row],[Date]]))</f>
        <v>0</v>
      </c>
    </row>
    <row r="76" spans="1:29" x14ac:dyDescent="0.25">
      <c r="A76" s="42"/>
      <c r="B76" s="34" t="s">
        <v>6</v>
      </c>
      <c r="C76" s="34"/>
      <c r="D76" s="35">
        <v>43785</v>
      </c>
      <c r="E76" s="34"/>
      <c r="F76" s="34" t="s">
        <v>556</v>
      </c>
      <c r="G76" s="34" t="s">
        <v>13</v>
      </c>
      <c r="H76">
        <v>-28.61</v>
      </c>
      <c r="I76" s="36">
        <f>IF(Log_2019[[#This Row],[My Category]]="NONTRACKED",0,Log_2019[[#This Row],[Raw Amount]])</f>
        <v>-28.61</v>
      </c>
      <c r="J76" s="37">
        <f>ABS(Log_2019[[#This Row],[Amount]])</f>
        <v>28.61</v>
      </c>
      <c r="K76" s="38">
        <v>1</v>
      </c>
      <c r="L76" s="38">
        <f ca="1">IF(Log_2019[[#This Row],[Date]]&lt;=TODAY(), MIN(Log_2019[[#This Row],[Split_raw]], TODAY()-Log_2019[[#This Row],[Date]]+1), 0)</f>
        <v>1</v>
      </c>
      <c r="M76" s="34" t="s">
        <v>12</v>
      </c>
      <c r="N76" s="34" t="s">
        <v>158</v>
      </c>
      <c r="O76" s="7">
        <v>0</v>
      </c>
      <c r="P76" s="52">
        <f ca="1">Log_2019[[#This Row],[Amount]]/Log_2019[[#This Row],[Split_raw]]*MAX(0,MIN(_xlfn.DAYS(EDATE(P$1,1),Log_2019[[#This Row],[Date]]),Log_2019[[#This Row],[Split_apply]])) - SUM($O76:O76)</f>
        <v>0</v>
      </c>
      <c r="Q76" s="52">
        <f ca="1">Log_2019[[#This Row],[Amount]]/Log_2019[[#This Row],[Split_raw]]*MAX(0,MIN(_xlfn.DAYS(EDATE(Q$1,1),Log_2019[[#This Row],[Date]]),Log_2019[[#This Row],[Split_apply]])) - SUM($O76:P76)</f>
        <v>0</v>
      </c>
      <c r="R76" s="52">
        <f ca="1">Log_2019[[#This Row],[Amount]]/Log_2019[[#This Row],[Split_raw]]*MAX(0,MIN(_xlfn.DAYS(EDATE(R$1,1),Log_2019[[#This Row],[Date]]),Log_2019[[#This Row],[Split_apply]])) - SUM($O76:Q76)</f>
        <v>0</v>
      </c>
      <c r="S76" s="52">
        <f ca="1">Log_2019[[#This Row],[Amount]]/Log_2019[[#This Row],[Split_raw]]*MAX(0,MIN(_xlfn.DAYS(EDATE(S$1,1),Log_2019[[#This Row],[Date]]),Log_2019[[#This Row],[Split_apply]])) - SUM($O76:R76)</f>
        <v>0</v>
      </c>
      <c r="T76" s="52">
        <f ca="1">Log_2019[[#This Row],[Amount]]/Log_2019[[#This Row],[Split_raw]]*MAX(0,MIN(_xlfn.DAYS(EDATE(T$1,1),Log_2019[[#This Row],[Date]]),Log_2019[[#This Row],[Split_apply]])) - SUM($O76:S76)</f>
        <v>0</v>
      </c>
      <c r="U76" s="52">
        <f ca="1">Log_2019[[#This Row],[Amount]]/Log_2019[[#This Row],[Split_raw]]*MAX(0,MIN(_xlfn.DAYS(EDATE(U$1,1),Log_2019[[#This Row],[Date]]),Log_2019[[#This Row],[Split_apply]])) - SUM($O76:T76)</f>
        <v>0</v>
      </c>
      <c r="V76" s="52">
        <f ca="1">Log_2019[[#This Row],[Amount]]/Log_2019[[#This Row],[Split_raw]]*MAX(0,MIN(_xlfn.DAYS(EDATE(V$1,1),Log_2019[[#This Row],[Date]]),Log_2019[[#This Row],[Split_apply]])) - SUM($O76:U76)</f>
        <v>0</v>
      </c>
      <c r="W76" s="52">
        <f ca="1">Log_2019[[#This Row],[Amount]]/Log_2019[[#This Row],[Split_raw]]*MAX(0,MIN(_xlfn.DAYS(EDATE(W$1,1),Log_2019[[#This Row],[Date]]),Log_2019[[#This Row],[Split_apply]])) - SUM($O76:V76)</f>
        <v>0</v>
      </c>
      <c r="X76" s="52">
        <f ca="1">Log_2019[[#This Row],[Amount]]/Log_2019[[#This Row],[Split_raw]]*MAX(0,MIN(_xlfn.DAYS(EDATE(X$1,1),Log_2019[[#This Row],[Date]]),Log_2019[[#This Row],[Split_apply]])) - SUM($O76:W76)</f>
        <v>0</v>
      </c>
      <c r="Y76" s="52">
        <f ca="1">Log_2019[[#This Row],[Amount]]/Log_2019[[#This Row],[Split_raw]]*MAX(0,MIN(_xlfn.DAYS(EDATE(Y$1,1),Log_2019[[#This Row],[Date]]),Log_2019[[#This Row],[Split_apply]])) - SUM($O76:X76)</f>
        <v>0</v>
      </c>
      <c r="Z76" s="52">
        <f ca="1">Log_2019[[#This Row],[Amount]]/Log_2019[[#This Row],[Split_raw]]*MAX(0,MIN(_xlfn.DAYS(EDATE(Z$1,1),Log_2019[[#This Row],[Date]]),Log_2019[[#This Row],[Split_apply]])) - SUM($O76:Y76)</f>
        <v>-28.61</v>
      </c>
      <c r="AA76" s="52">
        <f ca="1">Log_2019[[#This Row],[Amount]]/Log_2019[[#This Row],[Split_raw]]*MAX(0,MIN(_xlfn.DAYS(EDATE(AA$1,1),Log_2019[[#This Row],[Date]]),Log_2019[[#This Row],[Split_apply]])) - SUM($O76:Z76)</f>
        <v>0</v>
      </c>
      <c r="AB76" s="54">
        <f ca="1">Log_2019[[#This Row],[Amount]]-SUM(O76:AA76)</f>
        <v>0</v>
      </c>
      <c r="AC76" s="7">
        <f>MAX(0,Log_2019[[#This Row],[Split_raw]] - (EDATE(AA$1,1)-Log_2019[[#This Row],[Date]]))</f>
        <v>0</v>
      </c>
    </row>
    <row r="77" spans="1:29" x14ac:dyDescent="0.25">
      <c r="A77" s="42"/>
      <c r="B77" s="34" t="s">
        <v>6</v>
      </c>
      <c r="C77" s="34"/>
      <c r="D77" s="35">
        <v>43785</v>
      </c>
      <c r="E77" s="34"/>
      <c r="F77" s="34" t="s">
        <v>761</v>
      </c>
      <c r="G77" s="34" t="s">
        <v>19</v>
      </c>
      <c r="H77">
        <v>-1.08</v>
      </c>
      <c r="I77" s="36">
        <f>IF(Log_2019[[#This Row],[My Category]]="NONTRACKED",0,Log_2019[[#This Row],[Raw Amount]])</f>
        <v>-1.08</v>
      </c>
      <c r="J77" s="37">
        <f>ABS(Log_2019[[#This Row],[Amount]])</f>
        <v>1.08</v>
      </c>
      <c r="K77" s="38">
        <v>1</v>
      </c>
      <c r="L77" s="38">
        <f ca="1">IF(Log_2019[[#This Row],[Date]]&lt;=TODAY(), MIN(Log_2019[[#This Row],[Split_raw]], TODAY()-Log_2019[[#This Row],[Date]]+1), 0)</f>
        <v>1</v>
      </c>
      <c r="M77" s="34" t="s">
        <v>39</v>
      </c>
      <c r="N77" s="34" t="s">
        <v>158</v>
      </c>
      <c r="O77" s="7">
        <v>0</v>
      </c>
      <c r="P77" s="52">
        <f ca="1">Log_2019[[#This Row],[Amount]]/Log_2019[[#This Row],[Split_raw]]*MAX(0,MIN(_xlfn.DAYS(EDATE(P$1,1),Log_2019[[#This Row],[Date]]),Log_2019[[#This Row],[Split_apply]])) - SUM($O77:O77)</f>
        <v>0</v>
      </c>
      <c r="Q77" s="52">
        <f ca="1">Log_2019[[#This Row],[Amount]]/Log_2019[[#This Row],[Split_raw]]*MAX(0,MIN(_xlfn.DAYS(EDATE(Q$1,1),Log_2019[[#This Row],[Date]]),Log_2019[[#This Row],[Split_apply]])) - SUM($O77:P77)</f>
        <v>0</v>
      </c>
      <c r="R77" s="52">
        <f ca="1">Log_2019[[#This Row],[Amount]]/Log_2019[[#This Row],[Split_raw]]*MAX(0,MIN(_xlfn.DAYS(EDATE(R$1,1),Log_2019[[#This Row],[Date]]),Log_2019[[#This Row],[Split_apply]])) - SUM($O77:Q77)</f>
        <v>0</v>
      </c>
      <c r="S77" s="52">
        <f ca="1">Log_2019[[#This Row],[Amount]]/Log_2019[[#This Row],[Split_raw]]*MAX(0,MIN(_xlfn.DAYS(EDATE(S$1,1),Log_2019[[#This Row],[Date]]),Log_2019[[#This Row],[Split_apply]])) - SUM($O77:R77)</f>
        <v>0</v>
      </c>
      <c r="T77" s="52">
        <f ca="1">Log_2019[[#This Row],[Amount]]/Log_2019[[#This Row],[Split_raw]]*MAX(0,MIN(_xlfn.DAYS(EDATE(T$1,1),Log_2019[[#This Row],[Date]]),Log_2019[[#This Row],[Split_apply]])) - SUM($O77:S77)</f>
        <v>0</v>
      </c>
      <c r="U77" s="52">
        <f ca="1">Log_2019[[#This Row],[Amount]]/Log_2019[[#This Row],[Split_raw]]*MAX(0,MIN(_xlfn.DAYS(EDATE(U$1,1),Log_2019[[#This Row],[Date]]),Log_2019[[#This Row],[Split_apply]])) - SUM($O77:T77)</f>
        <v>0</v>
      </c>
      <c r="V77" s="52">
        <f ca="1">Log_2019[[#This Row],[Amount]]/Log_2019[[#This Row],[Split_raw]]*MAX(0,MIN(_xlfn.DAYS(EDATE(V$1,1),Log_2019[[#This Row],[Date]]),Log_2019[[#This Row],[Split_apply]])) - SUM($O77:U77)</f>
        <v>0</v>
      </c>
      <c r="W77" s="52">
        <f ca="1">Log_2019[[#This Row],[Amount]]/Log_2019[[#This Row],[Split_raw]]*MAX(0,MIN(_xlfn.DAYS(EDATE(W$1,1),Log_2019[[#This Row],[Date]]),Log_2019[[#This Row],[Split_apply]])) - SUM($O77:V77)</f>
        <v>0</v>
      </c>
      <c r="X77" s="52">
        <f ca="1">Log_2019[[#This Row],[Amount]]/Log_2019[[#This Row],[Split_raw]]*MAX(0,MIN(_xlfn.DAYS(EDATE(X$1,1),Log_2019[[#This Row],[Date]]),Log_2019[[#This Row],[Split_apply]])) - SUM($O77:W77)</f>
        <v>0</v>
      </c>
      <c r="Y77" s="52">
        <f ca="1">Log_2019[[#This Row],[Amount]]/Log_2019[[#This Row],[Split_raw]]*MAX(0,MIN(_xlfn.DAYS(EDATE(Y$1,1),Log_2019[[#This Row],[Date]]),Log_2019[[#This Row],[Split_apply]])) - SUM($O77:X77)</f>
        <v>0</v>
      </c>
      <c r="Z77" s="52">
        <f ca="1">Log_2019[[#This Row],[Amount]]/Log_2019[[#This Row],[Split_raw]]*MAX(0,MIN(_xlfn.DAYS(EDATE(Z$1,1),Log_2019[[#This Row],[Date]]),Log_2019[[#This Row],[Split_apply]])) - SUM($O77:Y77)</f>
        <v>-1.08</v>
      </c>
      <c r="AA77" s="52">
        <f ca="1">Log_2019[[#This Row],[Amount]]/Log_2019[[#This Row],[Split_raw]]*MAX(0,MIN(_xlfn.DAYS(EDATE(AA$1,1),Log_2019[[#This Row],[Date]]),Log_2019[[#This Row],[Split_apply]])) - SUM($O77:Z77)</f>
        <v>0</v>
      </c>
      <c r="AB77" s="54">
        <f ca="1">Log_2019[[#This Row],[Amount]]-SUM(O77:AA77)</f>
        <v>0</v>
      </c>
      <c r="AC77" s="7">
        <f>MAX(0,Log_2019[[#This Row],[Split_raw]] - (EDATE(AA$1,1)-Log_2019[[#This Row],[Date]]))</f>
        <v>0</v>
      </c>
    </row>
    <row r="78" spans="1:29" x14ac:dyDescent="0.25">
      <c r="A78" s="42"/>
      <c r="B78" s="34" t="s">
        <v>6</v>
      </c>
      <c r="C78" s="34"/>
      <c r="D78" s="35">
        <v>43784</v>
      </c>
      <c r="E78" s="34"/>
      <c r="F78" s="34" t="s">
        <v>255</v>
      </c>
      <c r="G78" s="34" t="s">
        <v>12</v>
      </c>
      <c r="H78">
        <v>-7.98</v>
      </c>
      <c r="I78" s="36">
        <f>IF(Log_2019[[#This Row],[My Category]]="NONTRACKED",0,Log_2019[[#This Row],[Raw Amount]])</f>
        <v>-7.98</v>
      </c>
      <c r="J78" s="37">
        <f>ABS(Log_2019[[#This Row],[Amount]])</f>
        <v>7.98</v>
      </c>
      <c r="K78" s="38">
        <v>1</v>
      </c>
      <c r="L78" s="38">
        <f ca="1">IF(Log_2019[[#This Row],[Date]]&lt;=TODAY(), MIN(Log_2019[[#This Row],[Split_raw]], TODAY()-Log_2019[[#This Row],[Date]]+1), 0)</f>
        <v>1</v>
      </c>
      <c r="M78" s="34" t="s">
        <v>35</v>
      </c>
      <c r="N78" s="34" t="s">
        <v>158</v>
      </c>
      <c r="O78" s="7">
        <v>0</v>
      </c>
      <c r="P78" s="52">
        <f ca="1">Log_2019[[#This Row],[Amount]]/Log_2019[[#This Row],[Split_raw]]*MAX(0,MIN(_xlfn.DAYS(EDATE(P$1,1),Log_2019[[#This Row],[Date]]),Log_2019[[#This Row],[Split_apply]])) - SUM($O78:O78)</f>
        <v>0</v>
      </c>
      <c r="Q78" s="52">
        <f ca="1">Log_2019[[#This Row],[Amount]]/Log_2019[[#This Row],[Split_raw]]*MAX(0,MIN(_xlfn.DAYS(EDATE(Q$1,1),Log_2019[[#This Row],[Date]]),Log_2019[[#This Row],[Split_apply]])) - SUM($O78:P78)</f>
        <v>0</v>
      </c>
      <c r="R78" s="52">
        <f ca="1">Log_2019[[#This Row],[Amount]]/Log_2019[[#This Row],[Split_raw]]*MAX(0,MIN(_xlfn.DAYS(EDATE(R$1,1),Log_2019[[#This Row],[Date]]),Log_2019[[#This Row],[Split_apply]])) - SUM($O78:Q78)</f>
        <v>0</v>
      </c>
      <c r="S78" s="52">
        <f ca="1">Log_2019[[#This Row],[Amount]]/Log_2019[[#This Row],[Split_raw]]*MAX(0,MIN(_xlfn.DAYS(EDATE(S$1,1),Log_2019[[#This Row],[Date]]),Log_2019[[#This Row],[Split_apply]])) - SUM($O78:R78)</f>
        <v>0</v>
      </c>
      <c r="T78" s="52">
        <f ca="1">Log_2019[[#This Row],[Amount]]/Log_2019[[#This Row],[Split_raw]]*MAX(0,MIN(_xlfn.DAYS(EDATE(T$1,1),Log_2019[[#This Row],[Date]]),Log_2019[[#This Row],[Split_apply]])) - SUM($O78:S78)</f>
        <v>0</v>
      </c>
      <c r="U78" s="52">
        <f ca="1">Log_2019[[#This Row],[Amount]]/Log_2019[[#This Row],[Split_raw]]*MAX(0,MIN(_xlfn.DAYS(EDATE(U$1,1),Log_2019[[#This Row],[Date]]),Log_2019[[#This Row],[Split_apply]])) - SUM($O78:T78)</f>
        <v>0</v>
      </c>
      <c r="V78" s="52">
        <f ca="1">Log_2019[[#This Row],[Amount]]/Log_2019[[#This Row],[Split_raw]]*MAX(0,MIN(_xlfn.DAYS(EDATE(V$1,1),Log_2019[[#This Row],[Date]]),Log_2019[[#This Row],[Split_apply]])) - SUM($O78:U78)</f>
        <v>0</v>
      </c>
      <c r="W78" s="52">
        <f ca="1">Log_2019[[#This Row],[Amount]]/Log_2019[[#This Row],[Split_raw]]*MAX(0,MIN(_xlfn.DAYS(EDATE(W$1,1),Log_2019[[#This Row],[Date]]),Log_2019[[#This Row],[Split_apply]])) - SUM($O78:V78)</f>
        <v>0</v>
      </c>
      <c r="X78" s="52">
        <f ca="1">Log_2019[[#This Row],[Amount]]/Log_2019[[#This Row],[Split_raw]]*MAX(0,MIN(_xlfn.DAYS(EDATE(X$1,1),Log_2019[[#This Row],[Date]]),Log_2019[[#This Row],[Split_apply]])) - SUM($O78:W78)</f>
        <v>0</v>
      </c>
      <c r="Y78" s="52">
        <f ca="1">Log_2019[[#This Row],[Amount]]/Log_2019[[#This Row],[Split_raw]]*MAX(0,MIN(_xlfn.DAYS(EDATE(Y$1,1),Log_2019[[#This Row],[Date]]),Log_2019[[#This Row],[Split_apply]])) - SUM($O78:X78)</f>
        <v>0</v>
      </c>
      <c r="Z78" s="52">
        <f ca="1">Log_2019[[#This Row],[Amount]]/Log_2019[[#This Row],[Split_raw]]*MAX(0,MIN(_xlfn.DAYS(EDATE(Z$1,1),Log_2019[[#This Row],[Date]]),Log_2019[[#This Row],[Split_apply]])) - SUM($O78:Y78)</f>
        <v>-7.98</v>
      </c>
      <c r="AA78" s="52">
        <f ca="1">Log_2019[[#This Row],[Amount]]/Log_2019[[#This Row],[Split_raw]]*MAX(0,MIN(_xlfn.DAYS(EDATE(AA$1,1),Log_2019[[#This Row],[Date]]),Log_2019[[#This Row],[Split_apply]])) - SUM($O78:Z78)</f>
        <v>0</v>
      </c>
      <c r="AB78" s="54">
        <f ca="1">Log_2019[[#This Row],[Amount]]-SUM(O78:AA78)</f>
        <v>0</v>
      </c>
      <c r="AC78" s="7">
        <f>MAX(0,Log_2019[[#This Row],[Split_raw]] - (EDATE(AA$1,1)-Log_2019[[#This Row],[Date]]))</f>
        <v>0</v>
      </c>
    </row>
    <row r="79" spans="1:29" x14ac:dyDescent="0.25">
      <c r="A79" s="42"/>
      <c r="B79" s="34" t="s">
        <v>6</v>
      </c>
      <c r="C79" s="34"/>
      <c r="D79" s="35">
        <v>43783</v>
      </c>
      <c r="E79" s="34"/>
      <c r="F79" s="34" t="s">
        <v>748</v>
      </c>
      <c r="G79" s="34" t="s">
        <v>29</v>
      </c>
      <c r="H79">
        <v>-41.74</v>
      </c>
      <c r="I79" s="36">
        <f>IF(Log_2019[[#This Row],[My Category]]="NONTRACKED",0,Log_2019[[#This Row],[Raw Amount]])</f>
        <v>-41.74</v>
      </c>
      <c r="J79" s="37">
        <f>ABS(Log_2019[[#This Row],[Amount]])</f>
        <v>41.74</v>
      </c>
      <c r="K79" s="38">
        <v>30</v>
      </c>
      <c r="L79" s="38">
        <f ca="1">IF(Log_2019[[#This Row],[Date]]&lt;=TODAY(), MIN(Log_2019[[#This Row],[Split_raw]], TODAY()-Log_2019[[#This Row],[Date]]+1), 0)</f>
        <v>30</v>
      </c>
      <c r="M79" s="34" t="s">
        <v>29</v>
      </c>
      <c r="N79" s="34" t="s">
        <v>160</v>
      </c>
      <c r="O79" s="7">
        <v>0</v>
      </c>
      <c r="P79" s="52">
        <f ca="1">Log_2019[[#This Row],[Amount]]/Log_2019[[#This Row],[Split_raw]]*MAX(0,MIN(_xlfn.DAYS(EDATE(P$1,1),Log_2019[[#This Row],[Date]]),Log_2019[[#This Row],[Split_apply]])) - SUM($O79:O79)</f>
        <v>0</v>
      </c>
      <c r="Q79" s="52">
        <f ca="1">Log_2019[[#This Row],[Amount]]/Log_2019[[#This Row],[Split_raw]]*MAX(0,MIN(_xlfn.DAYS(EDATE(Q$1,1),Log_2019[[#This Row],[Date]]),Log_2019[[#This Row],[Split_apply]])) - SUM($O79:P79)</f>
        <v>0</v>
      </c>
      <c r="R79" s="52">
        <f ca="1">Log_2019[[#This Row],[Amount]]/Log_2019[[#This Row],[Split_raw]]*MAX(0,MIN(_xlfn.DAYS(EDATE(R$1,1),Log_2019[[#This Row],[Date]]),Log_2019[[#This Row],[Split_apply]])) - SUM($O79:Q79)</f>
        <v>0</v>
      </c>
      <c r="S79" s="52">
        <f ca="1">Log_2019[[#This Row],[Amount]]/Log_2019[[#This Row],[Split_raw]]*MAX(0,MIN(_xlfn.DAYS(EDATE(S$1,1),Log_2019[[#This Row],[Date]]),Log_2019[[#This Row],[Split_apply]])) - SUM($O79:R79)</f>
        <v>0</v>
      </c>
      <c r="T79" s="52">
        <f ca="1">Log_2019[[#This Row],[Amount]]/Log_2019[[#This Row],[Split_raw]]*MAX(0,MIN(_xlfn.DAYS(EDATE(T$1,1),Log_2019[[#This Row],[Date]]),Log_2019[[#This Row],[Split_apply]])) - SUM($O79:S79)</f>
        <v>0</v>
      </c>
      <c r="U79" s="52">
        <f ca="1">Log_2019[[#This Row],[Amount]]/Log_2019[[#This Row],[Split_raw]]*MAX(0,MIN(_xlfn.DAYS(EDATE(U$1,1),Log_2019[[#This Row],[Date]]),Log_2019[[#This Row],[Split_apply]])) - SUM($O79:T79)</f>
        <v>0</v>
      </c>
      <c r="V79" s="52">
        <f ca="1">Log_2019[[#This Row],[Amount]]/Log_2019[[#This Row],[Split_raw]]*MAX(0,MIN(_xlfn.DAYS(EDATE(V$1,1),Log_2019[[#This Row],[Date]]),Log_2019[[#This Row],[Split_apply]])) - SUM($O79:U79)</f>
        <v>0</v>
      </c>
      <c r="W79" s="52">
        <f ca="1">Log_2019[[#This Row],[Amount]]/Log_2019[[#This Row],[Split_raw]]*MAX(0,MIN(_xlfn.DAYS(EDATE(W$1,1),Log_2019[[#This Row],[Date]]),Log_2019[[#This Row],[Split_apply]])) - SUM($O79:V79)</f>
        <v>0</v>
      </c>
      <c r="X79" s="52">
        <f ca="1">Log_2019[[#This Row],[Amount]]/Log_2019[[#This Row],[Split_raw]]*MAX(0,MIN(_xlfn.DAYS(EDATE(X$1,1),Log_2019[[#This Row],[Date]]),Log_2019[[#This Row],[Split_apply]])) - SUM($O79:W79)</f>
        <v>0</v>
      </c>
      <c r="Y79" s="52">
        <f ca="1">Log_2019[[#This Row],[Amount]]/Log_2019[[#This Row],[Split_raw]]*MAX(0,MIN(_xlfn.DAYS(EDATE(Y$1,1),Log_2019[[#This Row],[Date]]),Log_2019[[#This Row],[Split_apply]])) - SUM($O79:X79)</f>
        <v>0</v>
      </c>
      <c r="Z79" s="52">
        <f ca="1">Log_2019[[#This Row],[Amount]]/Log_2019[[#This Row],[Split_raw]]*MAX(0,MIN(_xlfn.DAYS(EDATE(Z$1,1),Log_2019[[#This Row],[Date]]),Log_2019[[#This Row],[Split_apply]])) - SUM($O79:Y79)</f>
        <v>-23.652666666666665</v>
      </c>
      <c r="AA79" s="52">
        <f ca="1">Log_2019[[#This Row],[Amount]]/Log_2019[[#This Row],[Split_raw]]*MAX(0,MIN(_xlfn.DAYS(EDATE(AA$1,1),Log_2019[[#This Row],[Date]]),Log_2019[[#This Row],[Split_apply]])) - SUM($O79:Z79)</f>
        <v>-18.087333333333337</v>
      </c>
      <c r="AB79" s="54">
        <f ca="1">Log_2019[[#This Row],[Amount]]-SUM(O79:AA79)</f>
        <v>0</v>
      </c>
      <c r="AC79" s="7">
        <f>MAX(0,Log_2019[[#This Row],[Split_raw]] - (EDATE(AA$1,1)-Log_2019[[#This Row],[Date]]))</f>
        <v>0</v>
      </c>
    </row>
    <row r="80" spans="1:29" x14ac:dyDescent="0.25">
      <c r="A80" s="42"/>
      <c r="B80" s="34" t="s">
        <v>6</v>
      </c>
      <c r="C80" s="34"/>
      <c r="D80" s="35">
        <v>43783</v>
      </c>
      <c r="E80" s="34"/>
      <c r="F80" s="34" t="s">
        <v>242</v>
      </c>
      <c r="G80" s="34" t="s">
        <v>749</v>
      </c>
      <c r="H80">
        <f>--16.6</f>
        <v>16.600000000000001</v>
      </c>
      <c r="I80" s="36">
        <f>IF(Log_2019[[#This Row],[My Category]]="NONTRACKED",0,Log_2019[[#This Row],[Raw Amount]])</f>
        <v>16.600000000000001</v>
      </c>
      <c r="J80" s="37">
        <f>ABS(Log_2019[[#This Row],[Amount]])</f>
        <v>16.600000000000001</v>
      </c>
      <c r="K80" s="38">
        <v>1</v>
      </c>
      <c r="L80" s="38">
        <f ca="1">IF(Log_2019[[#This Row],[Date]]&lt;=TODAY(), MIN(Log_2019[[#This Row],[Split_raw]], TODAY()-Log_2019[[#This Row],[Date]]+1), 0)</f>
        <v>1</v>
      </c>
      <c r="M80" s="34" t="s">
        <v>144</v>
      </c>
      <c r="N80" s="34" t="s">
        <v>160</v>
      </c>
      <c r="O80" s="7">
        <v>0</v>
      </c>
      <c r="P80" s="52">
        <f ca="1">Log_2019[[#This Row],[Amount]]/Log_2019[[#This Row],[Split_raw]]*MAX(0,MIN(_xlfn.DAYS(EDATE(P$1,1),Log_2019[[#This Row],[Date]]),Log_2019[[#This Row],[Split_apply]])) - SUM($O80:O80)</f>
        <v>0</v>
      </c>
      <c r="Q80" s="52">
        <f ca="1">Log_2019[[#This Row],[Amount]]/Log_2019[[#This Row],[Split_raw]]*MAX(0,MIN(_xlfn.DAYS(EDATE(Q$1,1),Log_2019[[#This Row],[Date]]),Log_2019[[#This Row],[Split_apply]])) - SUM($O80:P80)</f>
        <v>0</v>
      </c>
      <c r="R80" s="52">
        <f ca="1">Log_2019[[#This Row],[Amount]]/Log_2019[[#This Row],[Split_raw]]*MAX(0,MIN(_xlfn.DAYS(EDATE(R$1,1),Log_2019[[#This Row],[Date]]),Log_2019[[#This Row],[Split_apply]])) - SUM($O80:Q80)</f>
        <v>0</v>
      </c>
      <c r="S80" s="52">
        <f ca="1">Log_2019[[#This Row],[Amount]]/Log_2019[[#This Row],[Split_raw]]*MAX(0,MIN(_xlfn.DAYS(EDATE(S$1,1),Log_2019[[#This Row],[Date]]),Log_2019[[#This Row],[Split_apply]])) - SUM($O80:R80)</f>
        <v>0</v>
      </c>
      <c r="T80" s="52">
        <f ca="1">Log_2019[[#This Row],[Amount]]/Log_2019[[#This Row],[Split_raw]]*MAX(0,MIN(_xlfn.DAYS(EDATE(T$1,1),Log_2019[[#This Row],[Date]]),Log_2019[[#This Row],[Split_apply]])) - SUM($O80:S80)</f>
        <v>0</v>
      </c>
      <c r="U80" s="52">
        <f ca="1">Log_2019[[#This Row],[Amount]]/Log_2019[[#This Row],[Split_raw]]*MAX(0,MIN(_xlfn.DAYS(EDATE(U$1,1),Log_2019[[#This Row],[Date]]),Log_2019[[#This Row],[Split_apply]])) - SUM($O80:T80)</f>
        <v>0</v>
      </c>
      <c r="V80" s="52">
        <f ca="1">Log_2019[[#This Row],[Amount]]/Log_2019[[#This Row],[Split_raw]]*MAX(0,MIN(_xlfn.DAYS(EDATE(V$1,1),Log_2019[[#This Row],[Date]]),Log_2019[[#This Row],[Split_apply]])) - SUM($O80:U80)</f>
        <v>0</v>
      </c>
      <c r="W80" s="52">
        <f ca="1">Log_2019[[#This Row],[Amount]]/Log_2019[[#This Row],[Split_raw]]*MAX(0,MIN(_xlfn.DAYS(EDATE(W$1,1),Log_2019[[#This Row],[Date]]),Log_2019[[#This Row],[Split_apply]])) - SUM($O80:V80)</f>
        <v>0</v>
      </c>
      <c r="X80" s="52">
        <f ca="1">Log_2019[[#This Row],[Amount]]/Log_2019[[#This Row],[Split_raw]]*MAX(0,MIN(_xlfn.DAYS(EDATE(X$1,1),Log_2019[[#This Row],[Date]]),Log_2019[[#This Row],[Split_apply]])) - SUM($O80:W80)</f>
        <v>0</v>
      </c>
      <c r="Y80" s="52">
        <f ca="1">Log_2019[[#This Row],[Amount]]/Log_2019[[#This Row],[Split_raw]]*MAX(0,MIN(_xlfn.DAYS(EDATE(Y$1,1),Log_2019[[#This Row],[Date]]),Log_2019[[#This Row],[Split_apply]])) - SUM($O80:X80)</f>
        <v>0</v>
      </c>
      <c r="Z80" s="52">
        <f ca="1">Log_2019[[#This Row],[Amount]]/Log_2019[[#This Row],[Split_raw]]*MAX(0,MIN(_xlfn.DAYS(EDATE(Z$1,1),Log_2019[[#This Row],[Date]]),Log_2019[[#This Row],[Split_apply]])) - SUM($O80:Y80)</f>
        <v>16.600000000000001</v>
      </c>
      <c r="AA80" s="52">
        <f ca="1">Log_2019[[#This Row],[Amount]]/Log_2019[[#This Row],[Split_raw]]*MAX(0,MIN(_xlfn.DAYS(EDATE(AA$1,1),Log_2019[[#This Row],[Date]]),Log_2019[[#This Row],[Split_apply]])) - SUM($O80:Z80)</f>
        <v>0</v>
      </c>
      <c r="AB80" s="54">
        <f ca="1">Log_2019[[#This Row],[Amount]]-SUM(O80:AA80)</f>
        <v>0</v>
      </c>
      <c r="AC80" s="7">
        <f>MAX(0,Log_2019[[#This Row],[Split_raw]] - (EDATE(AA$1,1)-Log_2019[[#This Row],[Date]]))</f>
        <v>0</v>
      </c>
    </row>
    <row r="81" spans="1:29" x14ac:dyDescent="0.25">
      <c r="A81" s="42"/>
      <c r="B81" s="34" t="s">
        <v>6</v>
      </c>
      <c r="C81" s="34"/>
      <c r="D81" s="35">
        <v>43783</v>
      </c>
      <c r="E81" s="34"/>
      <c r="F81" s="34" t="s">
        <v>255</v>
      </c>
      <c r="G81" s="34" t="s">
        <v>12</v>
      </c>
      <c r="H81">
        <v>-26.9</v>
      </c>
      <c r="I81" s="36">
        <f>IF(Log_2019[[#This Row],[My Category]]="NONTRACKED",0,Log_2019[[#This Row],[Raw Amount]])</f>
        <v>-26.9</v>
      </c>
      <c r="J81" s="37">
        <f>ABS(Log_2019[[#This Row],[Amount]])</f>
        <v>26.9</v>
      </c>
      <c r="K81" s="38">
        <v>1</v>
      </c>
      <c r="L81" s="38">
        <f ca="1">IF(Log_2019[[#This Row],[Date]]&lt;=TODAY(), MIN(Log_2019[[#This Row],[Split_raw]], TODAY()-Log_2019[[#This Row],[Date]]+1), 0)</f>
        <v>1</v>
      </c>
      <c r="M81" s="34" t="s">
        <v>52</v>
      </c>
      <c r="N81" s="34" t="s">
        <v>158</v>
      </c>
      <c r="O81" s="7">
        <v>0</v>
      </c>
      <c r="P81" s="52">
        <f ca="1">Log_2019[[#This Row],[Amount]]/Log_2019[[#This Row],[Split_raw]]*MAX(0,MIN(_xlfn.DAYS(EDATE(P$1,1),Log_2019[[#This Row],[Date]]),Log_2019[[#This Row],[Split_apply]])) - SUM($O81:O81)</f>
        <v>0</v>
      </c>
      <c r="Q81" s="52">
        <f ca="1">Log_2019[[#This Row],[Amount]]/Log_2019[[#This Row],[Split_raw]]*MAX(0,MIN(_xlfn.DAYS(EDATE(Q$1,1),Log_2019[[#This Row],[Date]]),Log_2019[[#This Row],[Split_apply]])) - SUM($O81:P81)</f>
        <v>0</v>
      </c>
      <c r="R81" s="52">
        <f ca="1">Log_2019[[#This Row],[Amount]]/Log_2019[[#This Row],[Split_raw]]*MAX(0,MIN(_xlfn.DAYS(EDATE(R$1,1),Log_2019[[#This Row],[Date]]),Log_2019[[#This Row],[Split_apply]])) - SUM($O81:Q81)</f>
        <v>0</v>
      </c>
      <c r="S81" s="52">
        <f ca="1">Log_2019[[#This Row],[Amount]]/Log_2019[[#This Row],[Split_raw]]*MAX(0,MIN(_xlfn.DAYS(EDATE(S$1,1),Log_2019[[#This Row],[Date]]),Log_2019[[#This Row],[Split_apply]])) - SUM($O81:R81)</f>
        <v>0</v>
      </c>
      <c r="T81" s="52">
        <f ca="1">Log_2019[[#This Row],[Amount]]/Log_2019[[#This Row],[Split_raw]]*MAX(0,MIN(_xlfn.DAYS(EDATE(T$1,1),Log_2019[[#This Row],[Date]]),Log_2019[[#This Row],[Split_apply]])) - SUM($O81:S81)</f>
        <v>0</v>
      </c>
      <c r="U81" s="52">
        <f ca="1">Log_2019[[#This Row],[Amount]]/Log_2019[[#This Row],[Split_raw]]*MAX(0,MIN(_xlfn.DAYS(EDATE(U$1,1),Log_2019[[#This Row],[Date]]),Log_2019[[#This Row],[Split_apply]])) - SUM($O81:T81)</f>
        <v>0</v>
      </c>
      <c r="V81" s="52">
        <f ca="1">Log_2019[[#This Row],[Amount]]/Log_2019[[#This Row],[Split_raw]]*MAX(0,MIN(_xlfn.DAYS(EDATE(V$1,1),Log_2019[[#This Row],[Date]]),Log_2019[[#This Row],[Split_apply]])) - SUM($O81:U81)</f>
        <v>0</v>
      </c>
      <c r="W81" s="52">
        <f ca="1">Log_2019[[#This Row],[Amount]]/Log_2019[[#This Row],[Split_raw]]*MAX(0,MIN(_xlfn.DAYS(EDATE(W$1,1),Log_2019[[#This Row],[Date]]),Log_2019[[#This Row],[Split_apply]])) - SUM($O81:V81)</f>
        <v>0</v>
      </c>
      <c r="X81" s="52">
        <f ca="1">Log_2019[[#This Row],[Amount]]/Log_2019[[#This Row],[Split_raw]]*MAX(0,MIN(_xlfn.DAYS(EDATE(X$1,1),Log_2019[[#This Row],[Date]]),Log_2019[[#This Row],[Split_apply]])) - SUM($O81:W81)</f>
        <v>0</v>
      </c>
      <c r="Y81" s="52">
        <f ca="1">Log_2019[[#This Row],[Amount]]/Log_2019[[#This Row],[Split_raw]]*MAX(0,MIN(_xlfn.DAYS(EDATE(Y$1,1),Log_2019[[#This Row],[Date]]),Log_2019[[#This Row],[Split_apply]])) - SUM($O81:X81)</f>
        <v>0</v>
      </c>
      <c r="Z81" s="52">
        <f ca="1">Log_2019[[#This Row],[Amount]]/Log_2019[[#This Row],[Split_raw]]*MAX(0,MIN(_xlfn.DAYS(EDATE(Z$1,1),Log_2019[[#This Row],[Date]]),Log_2019[[#This Row],[Split_apply]])) - SUM($O81:Y81)</f>
        <v>-26.9</v>
      </c>
      <c r="AA81" s="52">
        <f ca="1">Log_2019[[#This Row],[Amount]]/Log_2019[[#This Row],[Split_raw]]*MAX(0,MIN(_xlfn.DAYS(EDATE(AA$1,1),Log_2019[[#This Row],[Date]]),Log_2019[[#This Row],[Split_apply]])) - SUM($O81:Z81)</f>
        <v>0</v>
      </c>
      <c r="AB81" s="54">
        <f ca="1">Log_2019[[#This Row],[Amount]]-SUM(O81:AA81)</f>
        <v>0</v>
      </c>
      <c r="AC81" s="7">
        <f>MAX(0,Log_2019[[#This Row],[Split_raw]] - (EDATE(AA$1,1)-Log_2019[[#This Row],[Date]]))</f>
        <v>0</v>
      </c>
    </row>
    <row r="82" spans="1:29" x14ac:dyDescent="0.25">
      <c r="A82" s="42"/>
      <c r="B82" s="34" t="s">
        <v>490</v>
      </c>
      <c r="C82" s="34">
        <v>2.87716534020525E+18</v>
      </c>
      <c r="D82" s="35">
        <v>43783</v>
      </c>
      <c r="E82" s="34"/>
      <c r="F82" s="34" t="s">
        <v>816</v>
      </c>
      <c r="G82" s="34"/>
      <c r="H82">
        <v>-18</v>
      </c>
      <c r="I82" s="36">
        <f>IF(Log_2019[[#This Row],[My Category]]="NONTRACKED",0,Log_2019[[#This Row],[Raw Amount]])</f>
        <v>-18</v>
      </c>
      <c r="J82" s="37">
        <f>ABS(Log_2019[[#This Row],[Amount]])</f>
        <v>18</v>
      </c>
      <c r="K82" s="38">
        <v>1</v>
      </c>
      <c r="L82" s="38">
        <f ca="1">IF(Log_2019[[#This Row],[Date]]&lt;=TODAY(), MIN(Log_2019[[#This Row],[Split_raw]], TODAY()-Log_2019[[#This Row],[Date]]+1), 0)</f>
        <v>1</v>
      </c>
      <c r="M82" s="34" t="s">
        <v>35</v>
      </c>
      <c r="N82" s="34" t="s">
        <v>490</v>
      </c>
      <c r="O82" s="7">
        <v>0</v>
      </c>
      <c r="P82" s="52">
        <f ca="1">Log_2019[[#This Row],[Amount]]/Log_2019[[#This Row],[Split_raw]]*MAX(0,MIN(_xlfn.DAYS(EDATE(P$1,1),Log_2019[[#This Row],[Date]]),Log_2019[[#This Row],[Split_apply]])) - SUM($O82:O82)</f>
        <v>0</v>
      </c>
      <c r="Q82" s="52">
        <f ca="1">Log_2019[[#This Row],[Amount]]/Log_2019[[#This Row],[Split_raw]]*MAX(0,MIN(_xlfn.DAYS(EDATE(Q$1,1),Log_2019[[#This Row],[Date]]),Log_2019[[#This Row],[Split_apply]])) - SUM($O82:P82)</f>
        <v>0</v>
      </c>
      <c r="R82" s="52">
        <f ca="1">Log_2019[[#This Row],[Amount]]/Log_2019[[#This Row],[Split_raw]]*MAX(0,MIN(_xlfn.DAYS(EDATE(R$1,1),Log_2019[[#This Row],[Date]]),Log_2019[[#This Row],[Split_apply]])) - SUM($O82:Q82)</f>
        <v>0</v>
      </c>
      <c r="S82" s="52">
        <f ca="1">Log_2019[[#This Row],[Amount]]/Log_2019[[#This Row],[Split_raw]]*MAX(0,MIN(_xlfn.DAYS(EDATE(S$1,1),Log_2019[[#This Row],[Date]]),Log_2019[[#This Row],[Split_apply]])) - SUM($O82:R82)</f>
        <v>0</v>
      </c>
      <c r="T82" s="52">
        <f ca="1">Log_2019[[#This Row],[Amount]]/Log_2019[[#This Row],[Split_raw]]*MAX(0,MIN(_xlfn.DAYS(EDATE(T$1,1),Log_2019[[#This Row],[Date]]),Log_2019[[#This Row],[Split_apply]])) - SUM($O82:S82)</f>
        <v>0</v>
      </c>
      <c r="U82" s="52">
        <f ca="1">Log_2019[[#This Row],[Amount]]/Log_2019[[#This Row],[Split_raw]]*MAX(0,MIN(_xlfn.DAYS(EDATE(U$1,1),Log_2019[[#This Row],[Date]]),Log_2019[[#This Row],[Split_apply]])) - SUM($O82:T82)</f>
        <v>0</v>
      </c>
      <c r="V82" s="52">
        <f ca="1">Log_2019[[#This Row],[Amount]]/Log_2019[[#This Row],[Split_raw]]*MAX(0,MIN(_xlfn.DAYS(EDATE(V$1,1),Log_2019[[#This Row],[Date]]),Log_2019[[#This Row],[Split_apply]])) - SUM($O82:U82)</f>
        <v>0</v>
      </c>
      <c r="W82" s="52">
        <f ca="1">Log_2019[[#This Row],[Amount]]/Log_2019[[#This Row],[Split_raw]]*MAX(0,MIN(_xlfn.DAYS(EDATE(W$1,1),Log_2019[[#This Row],[Date]]),Log_2019[[#This Row],[Split_apply]])) - SUM($O82:V82)</f>
        <v>0</v>
      </c>
      <c r="X82" s="52">
        <f ca="1">Log_2019[[#This Row],[Amount]]/Log_2019[[#This Row],[Split_raw]]*MAX(0,MIN(_xlfn.DAYS(EDATE(X$1,1),Log_2019[[#This Row],[Date]]),Log_2019[[#This Row],[Split_apply]])) - SUM($O82:W82)</f>
        <v>0</v>
      </c>
      <c r="Y82" s="52">
        <f ca="1">Log_2019[[#This Row],[Amount]]/Log_2019[[#This Row],[Split_raw]]*MAX(0,MIN(_xlfn.DAYS(EDATE(Y$1,1),Log_2019[[#This Row],[Date]]),Log_2019[[#This Row],[Split_apply]])) - SUM($O82:X82)</f>
        <v>0</v>
      </c>
      <c r="Z82" s="52">
        <f ca="1">Log_2019[[#This Row],[Amount]]/Log_2019[[#This Row],[Split_raw]]*MAX(0,MIN(_xlfn.DAYS(EDATE(Z$1,1),Log_2019[[#This Row],[Date]]),Log_2019[[#This Row],[Split_apply]])) - SUM($O82:Y82)</f>
        <v>-18</v>
      </c>
      <c r="AA82" s="52">
        <f ca="1">Log_2019[[#This Row],[Amount]]/Log_2019[[#This Row],[Split_raw]]*MAX(0,MIN(_xlfn.DAYS(EDATE(AA$1,1),Log_2019[[#This Row],[Date]]),Log_2019[[#This Row],[Split_apply]])) - SUM($O82:Z82)</f>
        <v>0</v>
      </c>
      <c r="AB82" s="54">
        <f ca="1">Log_2019[[#This Row],[Amount]]-SUM(O82:AA82)</f>
        <v>0</v>
      </c>
      <c r="AC82" s="7">
        <f>MAX(0,Log_2019[[#This Row],[Split_raw]] - (EDATE(AA$1,1)-Log_2019[[#This Row],[Date]]))</f>
        <v>0</v>
      </c>
    </row>
    <row r="83" spans="1:29" x14ac:dyDescent="0.25">
      <c r="A83" s="42"/>
      <c r="B83" s="34" t="s">
        <v>6</v>
      </c>
      <c r="C83" s="34"/>
      <c r="D83" s="35">
        <v>43782</v>
      </c>
      <c r="E83" s="34"/>
      <c r="F83" s="34" t="s">
        <v>331</v>
      </c>
      <c r="G83" s="34" t="s">
        <v>104</v>
      </c>
      <c r="H83">
        <v>-452.03</v>
      </c>
      <c r="I83" s="36">
        <f>IF(Log_2019[[#This Row],[My Category]]="NONTRACKED",0,Log_2019[[#This Row],[Raw Amount]])</f>
        <v>-452.03</v>
      </c>
      <c r="J83" s="37">
        <f>ABS(Log_2019[[#This Row],[Amount]])</f>
        <v>452.03</v>
      </c>
      <c r="K83" s="38">
        <v>1</v>
      </c>
      <c r="L83" s="38">
        <f ca="1">IF(Log_2019[[#This Row],[Date]]&lt;=TODAY(), MIN(Log_2019[[#This Row],[Split_raw]], TODAY()-Log_2019[[#This Row],[Date]]+1), 0)</f>
        <v>1</v>
      </c>
      <c r="M83" s="34" t="s">
        <v>159</v>
      </c>
      <c r="N83" s="34" t="s">
        <v>160</v>
      </c>
      <c r="O83" s="7">
        <v>0</v>
      </c>
      <c r="P83" s="52">
        <f ca="1">Log_2019[[#This Row],[Amount]]/Log_2019[[#This Row],[Split_raw]]*MAX(0,MIN(_xlfn.DAYS(EDATE(P$1,1),Log_2019[[#This Row],[Date]]),Log_2019[[#This Row],[Split_apply]])) - SUM($O83:O83)</f>
        <v>0</v>
      </c>
      <c r="Q83" s="52">
        <f ca="1">Log_2019[[#This Row],[Amount]]/Log_2019[[#This Row],[Split_raw]]*MAX(0,MIN(_xlfn.DAYS(EDATE(Q$1,1),Log_2019[[#This Row],[Date]]),Log_2019[[#This Row],[Split_apply]])) - SUM($O83:P83)</f>
        <v>0</v>
      </c>
      <c r="R83" s="52">
        <f ca="1">Log_2019[[#This Row],[Amount]]/Log_2019[[#This Row],[Split_raw]]*MAX(0,MIN(_xlfn.DAYS(EDATE(R$1,1),Log_2019[[#This Row],[Date]]),Log_2019[[#This Row],[Split_apply]])) - SUM($O83:Q83)</f>
        <v>0</v>
      </c>
      <c r="S83" s="52">
        <f ca="1">Log_2019[[#This Row],[Amount]]/Log_2019[[#This Row],[Split_raw]]*MAX(0,MIN(_xlfn.DAYS(EDATE(S$1,1),Log_2019[[#This Row],[Date]]),Log_2019[[#This Row],[Split_apply]])) - SUM($O83:R83)</f>
        <v>0</v>
      </c>
      <c r="T83" s="52">
        <f ca="1">Log_2019[[#This Row],[Amount]]/Log_2019[[#This Row],[Split_raw]]*MAX(0,MIN(_xlfn.DAYS(EDATE(T$1,1),Log_2019[[#This Row],[Date]]),Log_2019[[#This Row],[Split_apply]])) - SUM($O83:S83)</f>
        <v>0</v>
      </c>
      <c r="U83" s="52">
        <f ca="1">Log_2019[[#This Row],[Amount]]/Log_2019[[#This Row],[Split_raw]]*MAX(0,MIN(_xlfn.DAYS(EDATE(U$1,1),Log_2019[[#This Row],[Date]]),Log_2019[[#This Row],[Split_apply]])) - SUM($O83:T83)</f>
        <v>0</v>
      </c>
      <c r="V83" s="52">
        <f ca="1">Log_2019[[#This Row],[Amount]]/Log_2019[[#This Row],[Split_raw]]*MAX(0,MIN(_xlfn.DAYS(EDATE(V$1,1),Log_2019[[#This Row],[Date]]),Log_2019[[#This Row],[Split_apply]])) - SUM($O83:U83)</f>
        <v>0</v>
      </c>
      <c r="W83" s="52">
        <f ca="1">Log_2019[[#This Row],[Amount]]/Log_2019[[#This Row],[Split_raw]]*MAX(0,MIN(_xlfn.DAYS(EDATE(W$1,1),Log_2019[[#This Row],[Date]]),Log_2019[[#This Row],[Split_apply]])) - SUM($O83:V83)</f>
        <v>0</v>
      </c>
      <c r="X83" s="52">
        <f ca="1">Log_2019[[#This Row],[Amount]]/Log_2019[[#This Row],[Split_raw]]*MAX(0,MIN(_xlfn.DAYS(EDATE(X$1,1),Log_2019[[#This Row],[Date]]),Log_2019[[#This Row],[Split_apply]])) - SUM($O83:W83)</f>
        <v>0</v>
      </c>
      <c r="Y83" s="52">
        <f ca="1">Log_2019[[#This Row],[Amount]]/Log_2019[[#This Row],[Split_raw]]*MAX(0,MIN(_xlfn.DAYS(EDATE(Y$1,1),Log_2019[[#This Row],[Date]]),Log_2019[[#This Row],[Split_apply]])) - SUM($O83:X83)</f>
        <v>0</v>
      </c>
      <c r="Z83" s="52">
        <f ca="1">Log_2019[[#This Row],[Amount]]/Log_2019[[#This Row],[Split_raw]]*MAX(0,MIN(_xlfn.DAYS(EDATE(Z$1,1),Log_2019[[#This Row],[Date]]),Log_2019[[#This Row],[Split_apply]])) - SUM($O83:Y83)</f>
        <v>-452.03</v>
      </c>
      <c r="AA83" s="52">
        <f ca="1">Log_2019[[#This Row],[Amount]]/Log_2019[[#This Row],[Split_raw]]*MAX(0,MIN(_xlfn.DAYS(EDATE(AA$1,1),Log_2019[[#This Row],[Date]]),Log_2019[[#This Row],[Split_apply]])) - SUM($O83:Z83)</f>
        <v>0</v>
      </c>
      <c r="AB83" s="54">
        <f ca="1">Log_2019[[#This Row],[Amount]]-SUM(O83:AA83)</f>
        <v>0</v>
      </c>
      <c r="AC83" s="7">
        <f>MAX(0,Log_2019[[#This Row],[Split_raw]] - (EDATE(AA$1,1)-Log_2019[[#This Row],[Date]]))</f>
        <v>0</v>
      </c>
    </row>
    <row r="84" spans="1:29" x14ac:dyDescent="0.25">
      <c r="A84" s="42"/>
      <c r="B84" s="34" t="s">
        <v>6</v>
      </c>
      <c r="C84" s="34"/>
      <c r="D84" s="35">
        <v>43782</v>
      </c>
      <c r="E84" s="34"/>
      <c r="F84" s="34" t="s">
        <v>83</v>
      </c>
      <c r="G84" s="34" t="s">
        <v>15</v>
      </c>
      <c r="H84">
        <v>-218.79</v>
      </c>
      <c r="I84" s="36">
        <f>IF(Log_2019[[#This Row],[My Category]]="NONTRACKED",0,Log_2019[[#This Row],[Raw Amount]])</f>
        <v>-218.79</v>
      </c>
      <c r="J84" s="37">
        <f>ABS(Log_2019[[#This Row],[Amount]])</f>
        <v>218.79</v>
      </c>
      <c r="K84" s="38">
        <v>30</v>
      </c>
      <c r="L84" s="38">
        <f ca="1">IF(Log_2019[[#This Row],[Date]]&lt;=TODAY(), MIN(Log_2019[[#This Row],[Split_raw]], TODAY()-Log_2019[[#This Row],[Date]]+1), 0)</f>
        <v>30</v>
      </c>
      <c r="M84" s="34" t="s">
        <v>241</v>
      </c>
      <c r="N84" s="34" t="s">
        <v>160</v>
      </c>
      <c r="O84" s="7">
        <v>0</v>
      </c>
      <c r="P84" s="52">
        <f ca="1">Log_2019[[#This Row],[Amount]]/Log_2019[[#This Row],[Split_raw]]*MAX(0,MIN(_xlfn.DAYS(EDATE(P$1,1),Log_2019[[#This Row],[Date]]),Log_2019[[#This Row],[Split_apply]])) - SUM($O84:O84)</f>
        <v>0</v>
      </c>
      <c r="Q84" s="52">
        <f ca="1">Log_2019[[#This Row],[Amount]]/Log_2019[[#This Row],[Split_raw]]*MAX(0,MIN(_xlfn.DAYS(EDATE(Q$1,1),Log_2019[[#This Row],[Date]]),Log_2019[[#This Row],[Split_apply]])) - SUM($O84:P84)</f>
        <v>0</v>
      </c>
      <c r="R84" s="52">
        <f ca="1">Log_2019[[#This Row],[Amount]]/Log_2019[[#This Row],[Split_raw]]*MAX(0,MIN(_xlfn.DAYS(EDATE(R$1,1),Log_2019[[#This Row],[Date]]),Log_2019[[#This Row],[Split_apply]])) - SUM($O84:Q84)</f>
        <v>0</v>
      </c>
      <c r="S84" s="52">
        <f ca="1">Log_2019[[#This Row],[Amount]]/Log_2019[[#This Row],[Split_raw]]*MAX(0,MIN(_xlfn.DAYS(EDATE(S$1,1),Log_2019[[#This Row],[Date]]),Log_2019[[#This Row],[Split_apply]])) - SUM($O84:R84)</f>
        <v>0</v>
      </c>
      <c r="T84" s="52">
        <f ca="1">Log_2019[[#This Row],[Amount]]/Log_2019[[#This Row],[Split_raw]]*MAX(0,MIN(_xlfn.DAYS(EDATE(T$1,1),Log_2019[[#This Row],[Date]]),Log_2019[[#This Row],[Split_apply]])) - SUM($O84:S84)</f>
        <v>0</v>
      </c>
      <c r="U84" s="52">
        <f ca="1">Log_2019[[#This Row],[Amount]]/Log_2019[[#This Row],[Split_raw]]*MAX(0,MIN(_xlfn.DAYS(EDATE(U$1,1),Log_2019[[#This Row],[Date]]),Log_2019[[#This Row],[Split_apply]])) - SUM($O84:T84)</f>
        <v>0</v>
      </c>
      <c r="V84" s="52">
        <f ca="1">Log_2019[[#This Row],[Amount]]/Log_2019[[#This Row],[Split_raw]]*MAX(0,MIN(_xlfn.DAYS(EDATE(V$1,1),Log_2019[[#This Row],[Date]]),Log_2019[[#This Row],[Split_apply]])) - SUM($O84:U84)</f>
        <v>0</v>
      </c>
      <c r="W84" s="52">
        <f ca="1">Log_2019[[#This Row],[Amount]]/Log_2019[[#This Row],[Split_raw]]*MAX(0,MIN(_xlfn.DAYS(EDATE(W$1,1),Log_2019[[#This Row],[Date]]),Log_2019[[#This Row],[Split_apply]])) - SUM($O84:V84)</f>
        <v>0</v>
      </c>
      <c r="X84" s="52">
        <f ca="1">Log_2019[[#This Row],[Amount]]/Log_2019[[#This Row],[Split_raw]]*MAX(0,MIN(_xlfn.DAYS(EDATE(X$1,1),Log_2019[[#This Row],[Date]]),Log_2019[[#This Row],[Split_apply]])) - SUM($O84:W84)</f>
        <v>0</v>
      </c>
      <c r="Y84" s="52">
        <f ca="1">Log_2019[[#This Row],[Amount]]/Log_2019[[#This Row],[Split_raw]]*MAX(0,MIN(_xlfn.DAYS(EDATE(Y$1,1),Log_2019[[#This Row],[Date]]),Log_2019[[#This Row],[Split_apply]])) - SUM($O84:X84)</f>
        <v>0</v>
      </c>
      <c r="Z84" s="52">
        <f ca="1">Log_2019[[#This Row],[Amount]]/Log_2019[[#This Row],[Split_raw]]*MAX(0,MIN(_xlfn.DAYS(EDATE(Z$1,1),Log_2019[[#This Row],[Date]]),Log_2019[[#This Row],[Split_apply]])) - SUM($O84:Y84)</f>
        <v>-131.274</v>
      </c>
      <c r="AA84" s="52">
        <f ca="1">Log_2019[[#This Row],[Amount]]/Log_2019[[#This Row],[Split_raw]]*MAX(0,MIN(_xlfn.DAYS(EDATE(AA$1,1),Log_2019[[#This Row],[Date]]),Log_2019[[#This Row],[Split_apply]])) - SUM($O84:Z84)</f>
        <v>-87.515999999999991</v>
      </c>
      <c r="AB84" s="54">
        <f ca="1">Log_2019[[#This Row],[Amount]]-SUM(O84:AA84)</f>
        <v>0</v>
      </c>
      <c r="AC84" s="7">
        <f>MAX(0,Log_2019[[#This Row],[Split_raw]] - (EDATE(AA$1,1)-Log_2019[[#This Row],[Date]]))</f>
        <v>0</v>
      </c>
    </row>
    <row r="85" spans="1:29" x14ac:dyDescent="0.25">
      <c r="A85" s="42"/>
      <c r="B85" s="34" t="s">
        <v>6</v>
      </c>
      <c r="C85" s="34"/>
      <c r="D85" s="35">
        <v>43782</v>
      </c>
      <c r="E85" s="34"/>
      <c r="F85" s="34" t="s">
        <v>762</v>
      </c>
      <c r="G85" s="34" t="s">
        <v>9</v>
      </c>
      <c r="H85">
        <v>-21.2</v>
      </c>
      <c r="I85" s="36">
        <f>IF(Log_2019[[#This Row],[My Category]]="NONTRACKED",0,Log_2019[[#This Row],[Raw Amount]])</f>
        <v>-21.2</v>
      </c>
      <c r="J85" s="37">
        <f>ABS(Log_2019[[#This Row],[Amount]])</f>
        <v>21.2</v>
      </c>
      <c r="K85" s="38">
        <v>1</v>
      </c>
      <c r="L85" s="38">
        <f ca="1">IF(Log_2019[[#This Row],[Date]]&lt;=TODAY(), MIN(Log_2019[[#This Row],[Split_raw]], TODAY()-Log_2019[[#This Row],[Date]]+1), 0)</f>
        <v>1</v>
      </c>
      <c r="M85" s="34" t="s">
        <v>39</v>
      </c>
      <c r="N85" s="34" t="s">
        <v>158</v>
      </c>
      <c r="O85" s="7">
        <v>0</v>
      </c>
      <c r="P85" s="52">
        <f ca="1">Log_2019[[#This Row],[Amount]]/Log_2019[[#This Row],[Split_raw]]*MAX(0,MIN(_xlfn.DAYS(EDATE(P$1,1),Log_2019[[#This Row],[Date]]),Log_2019[[#This Row],[Split_apply]])) - SUM($O85:O85)</f>
        <v>0</v>
      </c>
      <c r="Q85" s="52">
        <f ca="1">Log_2019[[#This Row],[Amount]]/Log_2019[[#This Row],[Split_raw]]*MAX(0,MIN(_xlfn.DAYS(EDATE(Q$1,1),Log_2019[[#This Row],[Date]]),Log_2019[[#This Row],[Split_apply]])) - SUM($O85:P85)</f>
        <v>0</v>
      </c>
      <c r="R85" s="52">
        <f ca="1">Log_2019[[#This Row],[Amount]]/Log_2019[[#This Row],[Split_raw]]*MAX(0,MIN(_xlfn.DAYS(EDATE(R$1,1),Log_2019[[#This Row],[Date]]),Log_2019[[#This Row],[Split_apply]])) - SUM($O85:Q85)</f>
        <v>0</v>
      </c>
      <c r="S85" s="52">
        <f ca="1">Log_2019[[#This Row],[Amount]]/Log_2019[[#This Row],[Split_raw]]*MAX(0,MIN(_xlfn.DAYS(EDATE(S$1,1),Log_2019[[#This Row],[Date]]),Log_2019[[#This Row],[Split_apply]])) - SUM($O85:R85)</f>
        <v>0</v>
      </c>
      <c r="T85" s="52">
        <f ca="1">Log_2019[[#This Row],[Amount]]/Log_2019[[#This Row],[Split_raw]]*MAX(0,MIN(_xlfn.DAYS(EDATE(T$1,1),Log_2019[[#This Row],[Date]]),Log_2019[[#This Row],[Split_apply]])) - SUM($O85:S85)</f>
        <v>0</v>
      </c>
      <c r="U85" s="52">
        <f ca="1">Log_2019[[#This Row],[Amount]]/Log_2019[[#This Row],[Split_raw]]*MAX(0,MIN(_xlfn.DAYS(EDATE(U$1,1),Log_2019[[#This Row],[Date]]),Log_2019[[#This Row],[Split_apply]])) - SUM($O85:T85)</f>
        <v>0</v>
      </c>
      <c r="V85" s="52">
        <f ca="1">Log_2019[[#This Row],[Amount]]/Log_2019[[#This Row],[Split_raw]]*MAX(0,MIN(_xlfn.DAYS(EDATE(V$1,1),Log_2019[[#This Row],[Date]]),Log_2019[[#This Row],[Split_apply]])) - SUM($O85:U85)</f>
        <v>0</v>
      </c>
      <c r="W85" s="52">
        <f ca="1">Log_2019[[#This Row],[Amount]]/Log_2019[[#This Row],[Split_raw]]*MAX(0,MIN(_xlfn.DAYS(EDATE(W$1,1),Log_2019[[#This Row],[Date]]),Log_2019[[#This Row],[Split_apply]])) - SUM($O85:V85)</f>
        <v>0</v>
      </c>
      <c r="X85" s="52">
        <f ca="1">Log_2019[[#This Row],[Amount]]/Log_2019[[#This Row],[Split_raw]]*MAX(0,MIN(_xlfn.DAYS(EDATE(X$1,1),Log_2019[[#This Row],[Date]]),Log_2019[[#This Row],[Split_apply]])) - SUM($O85:W85)</f>
        <v>0</v>
      </c>
      <c r="Y85" s="52">
        <f ca="1">Log_2019[[#This Row],[Amount]]/Log_2019[[#This Row],[Split_raw]]*MAX(0,MIN(_xlfn.DAYS(EDATE(Y$1,1),Log_2019[[#This Row],[Date]]),Log_2019[[#This Row],[Split_apply]])) - SUM($O85:X85)</f>
        <v>0</v>
      </c>
      <c r="Z85" s="52">
        <f ca="1">Log_2019[[#This Row],[Amount]]/Log_2019[[#This Row],[Split_raw]]*MAX(0,MIN(_xlfn.DAYS(EDATE(Z$1,1),Log_2019[[#This Row],[Date]]),Log_2019[[#This Row],[Split_apply]])) - SUM($O85:Y85)</f>
        <v>-21.2</v>
      </c>
      <c r="AA85" s="52">
        <f ca="1">Log_2019[[#This Row],[Amount]]/Log_2019[[#This Row],[Split_raw]]*MAX(0,MIN(_xlfn.DAYS(EDATE(AA$1,1),Log_2019[[#This Row],[Date]]),Log_2019[[#This Row],[Split_apply]])) - SUM($O85:Z85)</f>
        <v>0</v>
      </c>
      <c r="AB85" s="54">
        <f ca="1">Log_2019[[#This Row],[Amount]]-SUM(O85:AA85)</f>
        <v>0</v>
      </c>
      <c r="AC85" s="7">
        <f>MAX(0,Log_2019[[#This Row],[Split_raw]] - (EDATE(AA$1,1)-Log_2019[[#This Row],[Date]]))</f>
        <v>0</v>
      </c>
    </row>
    <row r="86" spans="1:29" x14ac:dyDescent="0.25">
      <c r="A86" s="42"/>
      <c r="B86" s="34" t="s">
        <v>490</v>
      </c>
      <c r="C86" s="34">
        <v>2.8764438796016E+18</v>
      </c>
      <c r="D86" s="35">
        <v>43782</v>
      </c>
      <c r="E86" s="34"/>
      <c r="F86" s="34" t="s">
        <v>815</v>
      </c>
      <c r="G86" s="34"/>
      <c r="H86">
        <v>-8</v>
      </c>
      <c r="I86" s="36">
        <f>IF(Log_2019[[#This Row],[My Category]]="NONTRACKED",0,Log_2019[[#This Row],[Raw Amount]])</f>
        <v>-8</v>
      </c>
      <c r="J86" s="37">
        <f>ABS(Log_2019[[#This Row],[Amount]])</f>
        <v>8</v>
      </c>
      <c r="K86" s="38">
        <v>1</v>
      </c>
      <c r="L86" s="38">
        <f ca="1">IF(Log_2019[[#This Row],[Date]]&lt;=TODAY(), MIN(Log_2019[[#This Row],[Split_raw]], TODAY()-Log_2019[[#This Row],[Date]]+1), 0)</f>
        <v>1</v>
      </c>
      <c r="M86" s="34" t="s">
        <v>35</v>
      </c>
      <c r="N86" s="34" t="s">
        <v>490</v>
      </c>
      <c r="O86" s="7">
        <v>0</v>
      </c>
      <c r="P86" s="52">
        <f ca="1">Log_2019[[#This Row],[Amount]]/Log_2019[[#This Row],[Split_raw]]*MAX(0,MIN(_xlfn.DAYS(EDATE(P$1,1),Log_2019[[#This Row],[Date]]),Log_2019[[#This Row],[Split_apply]])) - SUM($O86:O86)</f>
        <v>0</v>
      </c>
      <c r="Q86" s="52">
        <f ca="1">Log_2019[[#This Row],[Amount]]/Log_2019[[#This Row],[Split_raw]]*MAX(0,MIN(_xlfn.DAYS(EDATE(Q$1,1),Log_2019[[#This Row],[Date]]),Log_2019[[#This Row],[Split_apply]])) - SUM($O86:P86)</f>
        <v>0</v>
      </c>
      <c r="R86" s="52">
        <f ca="1">Log_2019[[#This Row],[Amount]]/Log_2019[[#This Row],[Split_raw]]*MAX(0,MIN(_xlfn.DAYS(EDATE(R$1,1),Log_2019[[#This Row],[Date]]),Log_2019[[#This Row],[Split_apply]])) - SUM($O86:Q86)</f>
        <v>0</v>
      </c>
      <c r="S86" s="52">
        <f ca="1">Log_2019[[#This Row],[Amount]]/Log_2019[[#This Row],[Split_raw]]*MAX(0,MIN(_xlfn.DAYS(EDATE(S$1,1),Log_2019[[#This Row],[Date]]),Log_2019[[#This Row],[Split_apply]])) - SUM($O86:R86)</f>
        <v>0</v>
      </c>
      <c r="T86" s="52">
        <f ca="1">Log_2019[[#This Row],[Amount]]/Log_2019[[#This Row],[Split_raw]]*MAX(0,MIN(_xlfn.DAYS(EDATE(T$1,1),Log_2019[[#This Row],[Date]]),Log_2019[[#This Row],[Split_apply]])) - SUM($O86:S86)</f>
        <v>0</v>
      </c>
      <c r="U86" s="52">
        <f ca="1">Log_2019[[#This Row],[Amount]]/Log_2019[[#This Row],[Split_raw]]*MAX(0,MIN(_xlfn.DAYS(EDATE(U$1,1),Log_2019[[#This Row],[Date]]),Log_2019[[#This Row],[Split_apply]])) - SUM($O86:T86)</f>
        <v>0</v>
      </c>
      <c r="V86" s="52">
        <f ca="1">Log_2019[[#This Row],[Amount]]/Log_2019[[#This Row],[Split_raw]]*MAX(0,MIN(_xlfn.DAYS(EDATE(V$1,1),Log_2019[[#This Row],[Date]]),Log_2019[[#This Row],[Split_apply]])) - SUM($O86:U86)</f>
        <v>0</v>
      </c>
      <c r="W86" s="52">
        <f ca="1">Log_2019[[#This Row],[Amount]]/Log_2019[[#This Row],[Split_raw]]*MAX(0,MIN(_xlfn.DAYS(EDATE(W$1,1),Log_2019[[#This Row],[Date]]),Log_2019[[#This Row],[Split_apply]])) - SUM($O86:V86)</f>
        <v>0</v>
      </c>
      <c r="X86" s="52">
        <f ca="1">Log_2019[[#This Row],[Amount]]/Log_2019[[#This Row],[Split_raw]]*MAX(0,MIN(_xlfn.DAYS(EDATE(X$1,1),Log_2019[[#This Row],[Date]]),Log_2019[[#This Row],[Split_apply]])) - SUM($O86:W86)</f>
        <v>0</v>
      </c>
      <c r="Y86" s="52">
        <f ca="1">Log_2019[[#This Row],[Amount]]/Log_2019[[#This Row],[Split_raw]]*MAX(0,MIN(_xlfn.DAYS(EDATE(Y$1,1),Log_2019[[#This Row],[Date]]),Log_2019[[#This Row],[Split_apply]])) - SUM($O86:X86)</f>
        <v>0</v>
      </c>
      <c r="Z86" s="52">
        <f ca="1">Log_2019[[#This Row],[Amount]]/Log_2019[[#This Row],[Split_raw]]*MAX(0,MIN(_xlfn.DAYS(EDATE(Z$1,1),Log_2019[[#This Row],[Date]]),Log_2019[[#This Row],[Split_apply]])) - SUM($O86:Y86)</f>
        <v>-8</v>
      </c>
      <c r="AA86" s="52">
        <f ca="1">Log_2019[[#This Row],[Amount]]/Log_2019[[#This Row],[Split_raw]]*MAX(0,MIN(_xlfn.DAYS(EDATE(AA$1,1),Log_2019[[#This Row],[Date]]),Log_2019[[#This Row],[Split_apply]])) - SUM($O86:Z86)</f>
        <v>0</v>
      </c>
      <c r="AB86" s="54">
        <f ca="1">Log_2019[[#This Row],[Amount]]-SUM(O86:AA86)</f>
        <v>0</v>
      </c>
      <c r="AC86" s="7">
        <f>MAX(0,Log_2019[[#This Row],[Split_raw]] - (EDATE(AA$1,1)-Log_2019[[#This Row],[Date]]))</f>
        <v>0</v>
      </c>
    </row>
    <row r="87" spans="1:29" x14ac:dyDescent="0.25">
      <c r="A87" s="42"/>
      <c r="B87" s="34" t="s">
        <v>6</v>
      </c>
      <c r="C87" s="34"/>
      <c r="D87" s="35">
        <v>43781</v>
      </c>
      <c r="E87" s="34" t="s">
        <v>250</v>
      </c>
      <c r="F87" s="34" t="s">
        <v>243</v>
      </c>
      <c r="G87" s="34" t="s">
        <v>143</v>
      </c>
      <c r="H87">
        <v>-10.81</v>
      </c>
      <c r="I87" s="36">
        <f>IF(Log_2019[[#This Row],[My Category]]="NONTRACKED",0,Log_2019[[#This Row],[Raw Amount]])</f>
        <v>-10.81</v>
      </c>
      <c r="J87" s="37">
        <f>ABS(Log_2019[[#This Row],[Amount]])</f>
        <v>10.81</v>
      </c>
      <c r="K87" s="38">
        <v>30</v>
      </c>
      <c r="L87" s="38">
        <f ca="1">IF(Log_2019[[#This Row],[Date]]&lt;=TODAY(), MIN(Log_2019[[#This Row],[Split_raw]], TODAY()-Log_2019[[#This Row],[Date]]+1), 0)</f>
        <v>30</v>
      </c>
      <c r="M87" s="34" t="s">
        <v>53</v>
      </c>
      <c r="N87" s="34" t="s">
        <v>160</v>
      </c>
      <c r="O87" s="7">
        <v>0</v>
      </c>
      <c r="P87" s="52">
        <f ca="1">Log_2019[[#This Row],[Amount]]/Log_2019[[#This Row],[Split_raw]]*MAX(0,MIN(_xlfn.DAYS(EDATE(P$1,1),Log_2019[[#This Row],[Date]]),Log_2019[[#This Row],[Split_apply]])) - SUM($O87:O87)</f>
        <v>0</v>
      </c>
      <c r="Q87" s="52">
        <f ca="1">Log_2019[[#This Row],[Amount]]/Log_2019[[#This Row],[Split_raw]]*MAX(0,MIN(_xlfn.DAYS(EDATE(Q$1,1),Log_2019[[#This Row],[Date]]),Log_2019[[#This Row],[Split_apply]])) - SUM($O87:P87)</f>
        <v>0</v>
      </c>
      <c r="R87" s="52">
        <f ca="1">Log_2019[[#This Row],[Amount]]/Log_2019[[#This Row],[Split_raw]]*MAX(0,MIN(_xlfn.DAYS(EDATE(R$1,1),Log_2019[[#This Row],[Date]]),Log_2019[[#This Row],[Split_apply]])) - SUM($O87:Q87)</f>
        <v>0</v>
      </c>
      <c r="S87" s="52">
        <f ca="1">Log_2019[[#This Row],[Amount]]/Log_2019[[#This Row],[Split_raw]]*MAX(0,MIN(_xlfn.DAYS(EDATE(S$1,1),Log_2019[[#This Row],[Date]]),Log_2019[[#This Row],[Split_apply]])) - SUM($O87:R87)</f>
        <v>0</v>
      </c>
      <c r="T87" s="52">
        <f ca="1">Log_2019[[#This Row],[Amount]]/Log_2019[[#This Row],[Split_raw]]*MAX(0,MIN(_xlfn.DAYS(EDATE(T$1,1),Log_2019[[#This Row],[Date]]),Log_2019[[#This Row],[Split_apply]])) - SUM($O87:S87)</f>
        <v>0</v>
      </c>
      <c r="U87" s="52">
        <f ca="1">Log_2019[[#This Row],[Amount]]/Log_2019[[#This Row],[Split_raw]]*MAX(0,MIN(_xlfn.DAYS(EDATE(U$1,1),Log_2019[[#This Row],[Date]]),Log_2019[[#This Row],[Split_apply]])) - SUM($O87:T87)</f>
        <v>0</v>
      </c>
      <c r="V87" s="52">
        <f ca="1">Log_2019[[#This Row],[Amount]]/Log_2019[[#This Row],[Split_raw]]*MAX(0,MIN(_xlfn.DAYS(EDATE(V$1,1),Log_2019[[#This Row],[Date]]),Log_2019[[#This Row],[Split_apply]])) - SUM($O87:U87)</f>
        <v>0</v>
      </c>
      <c r="W87" s="52">
        <f ca="1">Log_2019[[#This Row],[Amount]]/Log_2019[[#This Row],[Split_raw]]*MAX(0,MIN(_xlfn.DAYS(EDATE(W$1,1),Log_2019[[#This Row],[Date]]),Log_2019[[#This Row],[Split_apply]])) - SUM($O87:V87)</f>
        <v>0</v>
      </c>
      <c r="X87" s="52">
        <f ca="1">Log_2019[[#This Row],[Amount]]/Log_2019[[#This Row],[Split_raw]]*MAX(0,MIN(_xlfn.DAYS(EDATE(X$1,1),Log_2019[[#This Row],[Date]]),Log_2019[[#This Row],[Split_apply]])) - SUM($O87:W87)</f>
        <v>0</v>
      </c>
      <c r="Y87" s="52">
        <f ca="1">Log_2019[[#This Row],[Amount]]/Log_2019[[#This Row],[Split_raw]]*MAX(0,MIN(_xlfn.DAYS(EDATE(Y$1,1),Log_2019[[#This Row],[Date]]),Log_2019[[#This Row],[Split_apply]])) - SUM($O87:X87)</f>
        <v>0</v>
      </c>
      <c r="Z87" s="52">
        <f ca="1">Log_2019[[#This Row],[Amount]]/Log_2019[[#This Row],[Split_raw]]*MAX(0,MIN(_xlfn.DAYS(EDATE(Z$1,1),Log_2019[[#This Row],[Date]]),Log_2019[[#This Row],[Split_apply]])) - SUM($O87:Y87)</f>
        <v>-6.8463333333333338</v>
      </c>
      <c r="AA87" s="52">
        <f ca="1">Log_2019[[#This Row],[Amount]]/Log_2019[[#This Row],[Split_raw]]*MAX(0,MIN(_xlfn.DAYS(EDATE(AA$1,1),Log_2019[[#This Row],[Date]]),Log_2019[[#This Row],[Split_apply]])) - SUM($O87:Z87)</f>
        <v>-3.9636666666666667</v>
      </c>
      <c r="AB87" s="54">
        <f ca="1">Log_2019[[#This Row],[Amount]]-SUM(O87:AA87)</f>
        <v>0</v>
      </c>
      <c r="AC87" s="7">
        <f>MAX(0,Log_2019[[#This Row],[Split_raw]] - (EDATE(AA$1,1)-Log_2019[[#This Row],[Date]]))</f>
        <v>0</v>
      </c>
    </row>
    <row r="88" spans="1:29" x14ac:dyDescent="0.25">
      <c r="A88" s="42"/>
      <c r="B88" s="34" t="s">
        <v>6</v>
      </c>
      <c r="C88" s="34"/>
      <c r="D88" s="35">
        <v>43781</v>
      </c>
      <c r="E88" s="34"/>
      <c r="F88" s="34" t="s">
        <v>306</v>
      </c>
      <c r="G88" s="34" t="s">
        <v>25</v>
      </c>
      <c r="H88">
        <v>-10.25</v>
      </c>
      <c r="I88" s="36">
        <f>IF(Log_2019[[#This Row],[My Category]]="NONTRACKED",0,Log_2019[[#This Row],[Raw Amount]])</f>
        <v>-10.25</v>
      </c>
      <c r="J88" s="37">
        <f>ABS(Log_2019[[#This Row],[Amount]])</f>
        <v>10.25</v>
      </c>
      <c r="K88" s="38">
        <v>1</v>
      </c>
      <c r="L88" s="38">
        <f ca="1">IF(Log_2019[[#This Row],[Date]]&lt;=TODAY(), MIN(Log_2019[[#This Row],[Split_raw]], TODAY()-Log_2019[[#This Row],[Date]]+1), 0)</f>
        <v>1</v>
      </c>
      <c r="M88" s="34" t="s">
        <v>35</v>
      </c>
      <c r="N88" s="34" t="s">
        <v>158</v>
      </c>
      <c r="O88" s="7">
        <v>0</v>
      </c>
      <c r="P88" s="52">
        <f ca="1">Log_2019[[#This Row],[Amount]]/Log_2019[[#This Row],[Split_raw]]*MAX(0,MIN(_xlfn.DAYS(EDATE(P$1,1),Log_2019[[#This Row],[Date]]),Log_2019[[#This Row],[Split_apply]])) - SUM($O88:O88)</f>
        <v>0</v>
      </c>
      <c r="Q88" s="52">
        <f ca="1">Log_2019[[#This Row],[Amount]]/Log_2019[[#This Row],[Split_raw]]*MAX(0,MIN(_xlfn.DAYS(EDATE(Q$1,1),Log_2019[[#This Row],[Date]]),Log_2019[[#This Row],[Split_apply]])) - SUM($O88:P88)</f>
        <v>0</v>
      </c>
      <c r="R88" s="52">
        <f ca="1">Log_2019[[#This Row],[Amount]]/Log_2019[[#This Row],[Split_raw]]*MAX(0,MIN(_xlfn.DAYS(EDATE(R$1,1),Log_2019[[#This Row],[Date]]),Log_2019[[#This Row],[Split_apply]])) - SUM($O88:Q88)</f>
        <v>0</v>
      </c>
      <c r="S88" s="52">
        <f ca="1">Log_2019[[#This Row],[Amount]]/Log_2019[[#This Row],[Split_raw]]*MAX(0,MIN(_xlfn.DAYS(EDATE(S$1,1),Log_2019[[#This Row],[Date]]),Log_2019[[#This Row],[Split_apply]])) - SUM($O88:R88)</f>
        <v>0</v>
      </c>
      <c r="T88" s="52">
        <f ca="1">Log_2019[[#This Row],[Amount]]/Log_2019[[#This Row],[Split_raw]]*MAX(0,MIN(_xlfn.DAYS(EDATE(T$1,1),Log_2019[[#This Row],[Date]]),Log_2019[[#This Row],[Split_apply]])) - SUM($O88:S88)</f>
        <v>0</v>
      </c>
      <c r="U88" s="52">
        <f ca="1">Log_2019[[#This Row],[Amount]]/Log_2019[[#This Row],[Split_raw]]*MAX(0,MIN(_xlfn.DAYS(EDATE(U$1,1),Log_2019[[#This Row],[Date]]),Log_2019[[#This Row],[Split_apply]])) - SUM($O88:T88)</f>
        <v>0</v>
      </c>
      <c r="V88" s="52">
        <f ca="1">Log_2019[[#This Row],[Amount]]/Log_2019[[#This Row],[Split_raw]]*MAX(0,MIN(_xlfn.DAYS(EDATE(V$1,1),Log_2019[[#This Row],[Date]]),Log_2019[[#This Row],[Split_apply]])) - SUM($O88:U88)</f>
        <v>0</v>
      </c>
      <c r="W88" s="52">
        <f ca="1">Log_2019[[#This Row],[Amount]]/Log_2019[[#This Row],[Split_raw]]*MAX(0,MIN(_xlfn.DAYS(EDATE(W$1,1),Log_2019[[#This Row],[Date]]),Log_2019[[#This Row],[Split_apply]])) - SUM($O88:V88)</f>
        <v>0</v>
      </c>
      <c r="X88" s="52">
        <f ca="1">Log_2019[[#This Row],[Amount]]/Log_2019[[#This Row],[Split_raw]]*MAX(0,MIN(_xlfn.DAYS(EDATE(X$1,1),Log_2019[[#This Row],[Date]]),Log_2019[[#This Row],[Split_apply]])) - SUM($O88:W88)</f>
        <v>0</v>
      </c>
      <c r="Y88" s="52">
        <f ca="1">Log_2019[[#This Row],[Amount]]/Log_2019[[#This Row],[Split_raw]]*MAX(0,MIN(_xlfn.DAYS(EDATE(Y$1,1),Log_2019[[#This Row],[Date]]),Log_2019[[#This Row],[Split_apply]])) - SUM($O88:X88)</f>
        <v>0</v>
      </c>
      <c r="Z88" s="52">
        <f ca="1">Log_2019[[#This Row],[Amount]]/Log_2019[[#This Row],[Split_raw]]*MAX(0,MIN(_xlfn.DAYS(EDATE(Z$1,1),Log_2019[[#This Row],[Date]]),Log_2019[[#This Row],[Split_apply]])) - SUM($O88:Y88)</f>
        <v>-10.25</v>
      </c>
      <c r="AA88" s="52">
        <f ca="1">Log_2019[[#This Row],[Amount]]/Log_2019[[#This Row],[Split_raw]]*MAX(0,MIN(_xlfn.DAYS(EDATE(AA$1,1),Log_2019[[#This Row],[Date]]),Log_2019[[#This Row],[Split_apply]])) - SUM($O88:Z88)</f>
        <v>0</v>
      </c>
      <c r="AB88" s="54">
        <f ca="1">Log_2019[[#This Row],[Amount]]-SUM(O88:AA88)</f>
        <v>0</v>
      </c>
      <c r="AC88" s="7">
        <f>MAX(0,Log_2019[[#This Row],[Split_raw]] - (EDATE(AA$1,1)-Log_2019[[#This Row],[Date]]))</f>
        <v>0</v>
      </c>
    </row>
    <row r="89" spans="1:29" x14ac:dyDescent="0.25">
      <c r="A89" s="42"/>
      <c r="B89" s="34" t="s">
        <v>6</v>
      </c>
      <c r="C89" s="34"/>
      <c r="D89" s="35">
        <v>43781</v>
      </c>
      <c r="E89" s="34"/>
      <c r="F89" s="34" t="s">
        <v>529</v>
      </c>
      <c r="G89" s="34" t="s">
        <v>25</v>
      </c>
      <c r="H89">
        <v>-18.64</v>
      </c>
      <c r="I89" s="36">
        <f>IF(Log_2019[[#This Row],[My Category]]="NONTRACKED",0,Log_2019[[#This Row],[Raw Amount]])</f>
        <v>-18.64</v>
      </c>
      <c r="J89" s="37">
        <f>ABS(Log_2019[[#This Row],[Amount]])</f>
        <v>18.64</v>
      </c>
      <c r="K89" s="38">
        <v>1</v>
      </c>
      <c r="L89" s="38">
        <f ca="1">IF(Log_2019[[#This Row],[Date]]&lt;=TODAY(), MIN(Log_2019[[#This Row],[Split_raw]], TODAY()-Log_2019[[#This Row],[Date]]+1), 0)</f>
        <v>1</v>
      </c>
      <c r="M89" s="34" t="s">
        <v>40</v>
      </c>
      <c r="N89" s="34" t="s">
        <v>158</v>
      </c>
      <c r="O89" s="7">
        <v>0</v>
      </c>
      <c r="P89" s="52">
        <f ca="1">Log_2019[[#This Row],[Amount]]/Log_2019[[#This Row],[Split_raw]]*MAX(0,MIN(_xlfn.DAYS(EDATE(P$1,1),Log_2019[[#This Row],[Date]]),Log_2019[[#This Row],[Split_apply]])) - SUM($O89:O89)</f>
        <v>0</v>
      </c>
      <c r="Q89" s="52">
        <f ca="1">Log_2019[[#This Row],[Amount]]/Log_2019[[#This Row],[Split_raw]]*MAX(0,MIN(_xlfn.DAYS(EDATE(Q$1,1),Log_2019[[#This Row],[Date]]),Log_2019[[#This Row],[Split_apply]])) - SUM($O89:P89)</f>
        <v>0</v>
      </c>
      <c r="R89" s="52">
        <f ca="1">Log_2019[[#This Row],[Amount]]/Log_2019[[#This Row],[Split_raw]]*MAX(0,MIN(_xlfn.DAYS(EDATE(R$1,1),Log_2019[[#This Row],[Date]]),Log_2019[[#This Row],[Split_apply]])) - SUM($O89:Q89)</f>
        <v>0</v>
      </c>
      <c r="S89" s="52">
        <f ca="1">Log_2019[[#This Row],[Amount]]/Log_2019[[#This Row],[Split_raw]]*MAX(0,MIN(_xlfn.DAYS(EDATE(S$1,1),Log_2019[[#This Row],[Date]]),Log_2019[[#This Row],[Split_apply]])) - SUM($O89:R89)</f>
        <v>0</v>
      </c>
      <c r="T89" s="52">
        <f ca="1">Log_2019[[#This Row],[Amount]]/Log_2019[[#This Row],[Split_raw]]*MAX(0,MIN(_xlfn.DAYS(EDATE(T$1,1),Log_2019[[#This Row],[Date]]),Log_2019[[#This Row],[Split_apply]])) - SUM($O89:S89)</f>
        <v>0</v>
      </c>
      <c r="U89" s="52">
        <f ca="1">Log_2019[[#This Row],[Amount]]/Log_2019[[#This Row],[Split_raw]]*MAX(0,MIN(_xlfn.DAYS(EDATE(U$1,1),Log_2019[[#This Row],[Date]]),Log_2019[[#This Row],[Split_apply]])) - SUM($O89:T89)</f>
        <v>0</v>
      </c>
      <c r="V89" s="52">
        <f ca="1">Log_2019[[#This Row],[Amount]]/Log_2019[[#This Row],[Split_raw]]*MAX(0,MIN(_xlfn.DAYS(EDATE(V$1,1),Log_2019[[#This Row],[Date]]),Log_2019[[#This Row],[Split_apply]])) - SUM($O89:U89)</f>
        <v>0</v>
      </c>
      <c r="W89" s="52">
        <f ca="1">Log_2019[[#This Row],[Amount]]/Log_2019[[#This Row],[Split_raw]]*MAX(0,MIN(_xlfn.DAYS(EDATE(W$1,1),Log_2019[[#This Row],[Date]]),Log_2019[[#This Row],[Split_apply]])) - SUM($O89:V89)</f>
        <v>0</v>
      </c>
      <c r="X89" s="52">
        <f ca="1">Log_2019[[#This Row],[Amount]]/Log_2019[[#This Row],[Split_raw]]*MAX(0,MIN(_xlfn.DAYS(EDATE(X$1,1),Log_2019[[#This Row],[Date]]),Log_2019[[#This Row],[Split_apply]])) - SUM($O89:W89)</f>
        <v>0</v>
      </c>
      <c r="Y89" s="52">
        <f ca="1">Log_2019[[#This Row],[Amount]]/Log_2019[[#This Row],[Split_raw]]*MAX(0,MIN(_xlfn.DAYS(EDATE(Y$1,1),Log_2019[[#This Row],[Date]]),Log_2019[[#This Row],[Split_apply]])) - SUM($O89:X89)</f>
        <v>0</v>
      </c>
      <c r="Z89" s="52">
        <f ca="1">Log_2019[[#This Row],[Amount]]/Log_2019[[#This Row],[Split_raw]]*MAX(0,MIN(_xlfn.DAYS(EDATE(Z$1,1),Log_2019[[#This Row],[Date]]),Log_2019[[#This Row],[Split_apply]])) - SUM($O89:Y89)</f>
        <v>-18.64</v>
      </c>
      <c r="AA89" s="52">
        <f ca="1">Log_2019[[#This Row],[Amount]]/Log_2019[[#This Row],[Split_raw]]*MAX(0,MIN(_xlfn.DAYS(EDATE(AA$1,1),Log_2019[[#This Row],[Date]]),Log_2019[[#This Row],[Split_apply]])) - SUM($O89:Z89)</f>
        <v>0</v>
      </c>
      <c r="AB89" s="54">
        <f ca="1">Log_2019[[#This Row],[Amount]]-SUM(O89:AA89)</f>
        <v>0</v>
      </c>
      <c r="AC89" s="7">
        <f>MAX(0,Log_2019[[#This Row],[Split_raw]] - (EDATE(AA$1,1)-Log_2019[[#This Row],[Date]]))</f>
        <v>0</v>
      </c>
    </row>
    <row r="90" spans="1:29" x14ac:dyDescent="0.25">
      <c r="A90" s="42"/>
      <c r="B90" s="34" t="s">
        <v>6</v>
      </c>
      <c r="C90" s="34"/>
      <c r="D90" s="35">
        <v>43781</v>
      </c>
      <c r="E90" s="34"/>
      <c r="F90" s="34" t="s">
        <v>316</v>
      </c>
      <c r="G90" s="34" t="s">
        <v>104</v>
      </c>
      <c r="H90">
        <f>--452.03</f>
        <v>452.03</v>
      </c>
      <c r="I90" s="36">
        <f>IF(Log_2019[[#This Row],[My Category]]="NONTRACKED",0,Log_2019[[#This Row],[Raw Amount]])</f>
        <v>452.03</v>
      </c>
      <c r="J90" s="37">
        <f>ABS(Log_2019[[#This Row],[Amount]])</f>
        <v>452.03</v>
      </c>
      <c r="K90" s="38">
        <v>1</v>
      </c>
      <c r="L90" s="38">
        <f ca="1">IF(Log_2019[[#This Row],[Date]]&lt;=TODAY(), MIN(Log_2019[[#This Row],[Split_raw]], TODAY()-Log_2019[[#This Row],[Date]]+1), 0)</f>
        <v>1</v>
      </c>
      <c r="M90" s="34" t="s">
        <v>159</v>
      </c>
      <c r="N90" s="34" t="s">
        <v>158</v>
      </c>
      <c r="O90" s="7">
        <v>0</v>
      </c>
      <c r="P90" s="52">
        <f ca="1">Log_2019[[#This Row],[Amount]]/Log_2019[[#This Row],[Split_raw]]*MAX(0,MIN(_xlfn.DAYS(EDATE(P$1,1),Log_2019[[#This Row],[Date]]),Log_2019[[#This Row],[Split_apply]])) - SUM($O90:O90)</f>
        <v>0</v>
      </c>
      <c r="Q90" s="52">
        <f ca="1">Log_2019[[#This Row],[Amount]]/Log_2019[[#This Row],[Split_raw]]*MAX(0,MIN(_xlfn.DAYS(EDATE(Q$1,1),Log_2019[[#This Row],[Date]]),Log_2019[[#This Row],[Split_apply]])) - SUM($O90:P90)</f>
        <v>0</v>
      </c>
      <c r="R90" s="52">
        <f ca="1">Log_2019[[#This Row],[Amount]]/Log_2019[[#This Row],[Split_raw]]*MAX(0,MIN(_xlfn.DAYS(EDATE(R$1,1),Log_2019[[#This Row],[Date]]),Log_2019[[#This Row],[Split_apply]])) - SUM($O90:Q90)</f>
        <v>0</v>
      </c>
      <c r="S90" s="52">
        <f ca="1">Log_2019[[#This Row],[Amount]]/Log_2019[[#This Row],[Split_raw]]*MAX(0,MIN(_xlfn.DAYS(EDATE(S$1,1),Log_2019[[#This Row],[Date]]),Log_2019[[#This Row],[Split_apply]])) - SUM($O90:R90)</f>
        <v>0</v>
      </c>
      <c r="T90" s="52">
        <f ca="1">Log_2019[[#This Row],[Amount]]/Log_2019[[#This Row],[Split_raw]]*MAX(0,MIN(_xlfn.DAYS(EDATE(T$1,1),Log_2019[[#This Row],[Date]]),Log_2019[[#This Row],[Split_apply]])) - SUM($O90:S90)</f>
        <v>0</v>
      </c>
      <c r="U90" s="52">
        <f ca="1">Log_2019[[#This Row],[Amount]]/Log_2019[[#This Row],[Split_raw]]*MAX(0,MIN(_xlfn.DAYS(EDATE(U$1,1),Log_2019[[#This Row],[Date]]),Log_2019[[#This Row],[Split_apply]])) - SUM($O90:T90)</f>
        <v>0</v>
      </c>
      <c r="V90" s="52">
        <f ca="1">Log_2019[[#This Row],[Amount]]/Log_2019[[#This Row],[Split_raw]]*MAX(0,MIN(_xlfn.DAYS(EDATE(V$1,1),Log_2019[[#This Row],[Date]]),Log_2019[[#This Row],[Split_apply]])) - SUM($O90:U90)</f>
        <v>0</v>
      </c>
      <c r="W90" s="52">
        <f ca="1">Log_2019[[#This Row],[Amount]]/Log_2019[[#This Row],[Split_raw]]*MAX(0,MIN(_xlfn.DAYS(EDATE(W$1,1),Log_2019[[#This Row],[Date]]),Log_2019[[#This Row],[Split_apply]])) - SUM($O90:V90)</f>
        <v>0</v>
      </c>
      <c r="X90" s="52">
        <f ca="1">Log_2019[[#This Row],[Amount]]/Log_2019[[#This Row],[Split_raw]]*MAX(0,MIN(_xlfn.DAYS(EDATE(X$1,1),Log_2019[[#This Row],[Date]]),Log_2019[[#This Row],[Split_apply]])) - SUM($O90:W90)</f>
        <v>0</v>
      </c>
      <c r="Y90" s="52">
        <f ca="1">Log_2019[[#This Row],[Amount]]/Log_2019[[#This Row],[Split_raw]]*MAX(0,MIN(_xlfn.DAYS(EDATE(Y$1,1),Log_2019[[#This Row],[Date]]),Log_2019[[#This Row],[Split_apply]])) - SUM($O90:X90)</f>
        <v>0</v>
      </c>
      <c r="Z90" s="52">
        <f ca="1">Log_2019[[#This Row],[Amount]]/Log_2019[[#This Row],[Split_raw]]*MAX(0,MIN(_xlfn.DAYS(EDATE(Z$1,1),Log_2019[[#This Row],[Date]]),Log_2019[[#This Row],[Split_apply]])) - SUM($O90:Y90)</f>
        <v>452.03</v>
      </c>
      <c r="AA90" s="52">
        <f ca="1">Log_2019[[#This Row],[Amount]]/Log_2019[[#This Row],[Split_raw]]*MAX(0,MIN(_xlfn.DAYS(EDATE(AA$1,1),Log_2019[[#This Row],[Date]]),Log_2019[[#This Row],[Split_apply]])) - SUM($O90:Z90)</f>
        <v>0</v>
      </c>
      <c r="AB90" s="54">
        <f ca="1">Log_2019[[#This Row],[Amount]]-SUM(O90:AA90)</f>
        <v>0</v>
      </c>
      <c r="AC90" s="7">
        <f>MAX(0,Log_2019[[#This Row],[Split_raw]] - (EDATE(AA$1,1)-Log_2019[[#This Row],[Date]]))</f>
        <v>0</v>
      </c>
    </row>
    <row r="91" spans="1:29" x14ac:dyDescent="0.25">
      <c r="A91" s="42"/>
      <c r="B91" s="34" t="s">
        <v>6</v>
      </c>
      <c r="C91" s="34"/>
      <c r="D91" s="35">
        <v>43780</v>
      </c>
      <c r="E91" s="34"/>
      <c r="F91" s="34" t="s">
        <v>455</v>
      </c>
      <c r="G91" s="34" t="s">
        <v>25</v>
      </c>
      <c r="H91">
        <v>-8.26</v>
      </c>
      <c r="I91" s="36">
        <f>IF(Log_2019[[#This Row],[My Category]]="NONTRACKED",0,Log_2019[[#This Row],[Raw Amount]])</f>
        <v>-8.26</v>
      </c>
      <c r="J91" s="37">
        <f>ABS(Log_2019[[#This Row],[Amount]])</f>
        <v>8.26</v>
      </c>
      <c r="K91" s="38">
        <v>1</v>
      </c>
      <c r="L91" s="38">
        <f ca="1">IF(Log_2019[[#This Row],[Date]]&lt;=TODAY(), MIN(Log_2019[[#This Row],[Split_raw]], TODAY()-Log_2019[[#This Row],[Date]]+1), 0)</f>
        <v>1</v>
      </c>
      <c r="M91" s="34" t="s">
        <v>35</v>
      </c>
      <c r="N91" s="34" t="s">
        <v>158</v>
      </c>
      <c r="O91" s="7">
        <v>0</v>
      </c>
      <c r="P91" s="52">
        <f ca="1">Log_2019[[#This Row],[Amount]]/Log_2019[[#This Row],[Split_raw]]*MAX(0,MIN(_xlfn.DAYS(EDATE(P$1,1),Log_2019[[#This Row],[Date]]),Log_2019[[#This Row],[Split_apply]])) - SUM($O91:O91)</f>
        <v>0</v>
      </c>
      <c r="Q91" s="52">
        <f ca="1">Log_2019[[#This Row],[Amount]]/Log_2019[[#This Row],[Split_raw]]*MAX(0,MIN(_xlfn.DAYS(EDATE(Q$1,1),Log_2019[[#This Row],[Date]]),Log_2019[[#This Row],[Split_apply]])) - SUM($O91:P91)</f>
        <v>0</v>
      </c>
      <c r="R91" s="52">
        <f ca="1">Log_2019[[#This Row],[Amount]]/Log_2019[[#This Row],[Split_raw]]*MAX(0,MIN(_xlfn.DAYS(EDATE(R$1,1),Log_2019[[#This Row],[Date]]),Log_2019[[#This Row],[Split_apply]])) - SUM($O91:Q91)</f>
        <v>0</v>
      </c>
      <c r="S91" s="52">
        <f ca="1">Log_2019[[#This Row],[Amount]]/Log_2019[[#This Row],[Split_raw]]*MAX(0,MIN(_xlfn.DAYS(EDATE(S$1,1),Log_2019[[#This Row],[Date]]),Log_2019[[#This Row],[Split_apply]])) - SUM($O91:R91)</f>
        <v>0</v>
      </c>
      <c r="T91" s="52">
        <f ca="1">Log_2019[[#This Row],[Amount]]/Log_2019[[#This Row],[Split_raw]]*MAX(0,MIN(_xlfn.DAYS(EDATE(T$1,1),Log_2019[[#This Row],[Date]]),Log_2019[[#This Row],[Split_apply]])) - SUM($O91:S91)</f>
        <v>0</v>
      </c>
      <c r="U91" s="52">
        <f ca="1">Log_2019[[#This Row],[Amount]]/Log_2019[[#This Row],[Split_raw]]*MAX(0,MIN(_xlfn.DAYS(EDATE(U$1,1),Log_2019[[#This Row],[Date]]),Log_2019[[#This Row],[Split_apply]])) - SUM($O91:T91)</f>
        <v>0</v>
      </c>
      <c r="V91" s="52">
        <f ca="1">Log_2019[[#This Row],[Amount]]/Log_2019[[#This Row],[Split_raw]]*MAX(0,MIN(_xlfn.DAYS(EDATE(V$1,1),Log_2019[[#This Row],[Date]]),Log_2019[[#This Row],[Split_apply]])) - SUM($O91:U91)</f>
        <v>0</v>
      </c>
      <c r="W91" s="52">
        <f ca="1">Log_2019[[#This Row],[Amount]]/Log_2019[[#This Row],[Split_raw]]*MAX(0,MIN(_xlfn.DAYS(EDATE(W$1,1),Log_2019[[#This Row],[Date]]),Log_2019[[#This Row],[Split_apply]])) - SUM($O91:V91)</f>
        <v>0</v>
      </c>
      <c r="X91" s="52">
        <f ca="1">Log_2019[[#This Row],[Amount]]/Log_2019[[#This Row],[Split_raw]]*MAX(0,MIN(_xlfn.DAYS(EDATE(X$1,1),Log_2019[[#This Row],[Date]]),Log_2019[[#This Row],[Split_apply]])) - SUM($O91:W91)</f>
        <v>0</v>
      </c>
      <c r="Y91" s="52">
        <f ca="1">Log_2019[[#This Row],[Amount]]/Log_2019[[#This Row],[Split_raw]]*MAX(0,MIN(_xlfn.DAYS(EDATE(Y$1,1),Log_2019[[#This Row],[Date]]),Log_2019[[#This Row],[Split_apply]])) - SUM($O91:X91)</f>
        <v>0</v>
      </c>
      <c r="Z91" s="52">
        <f ca="1">Log_2019[[#This Row],[Amount]]/Log_2019[[#This Row],[Split_raw]]*MAX(0,MIN(_xlfn.DAYS(EDATE(Z$1,1),Log_2019[[#This Row],[Date]]),Log_2019[[#This Row],[Split_apply]])) - SUM($O91:Y91)</f>
        <v>-8.26</v>
      </c>
      <c r="AA91" s="52">
        <f ca="1">Log_2019[[#This Row],[Amount]]/Log_2019[[#This Row],[Split_raw]]*MAX(0,MIN(_xlfn.DAYS(EDATE(AA$1,1),Log_2019[[#This Row],[Date]]),Log_2019[[#This Row],[Split_apply]])) - SUM($O91:Z91)</f>
        <v>0</v>
      </c>
      <c r="AB91" s="54">
        <f ca="1">Log_2019[[#This Row],[Amount]]-SUM(O91:AA91)</f>
        <v>0</v>
      </c>
      <c r="AC91" s="7">
        <f>MAX(0,Log_2019[[#This Row],[Split_raw]] - (EDATE(AA$1,1)-Log_2019[[#This Row],[Date]]))</f>
        <v>0</v>
      </c>
    </row>
    <row r="92" spans="1:29" x14ac:dyDescent="0.25">
      <c r="A92" s="42"/>
      <c r="B92" s="34" t="s">
        <v>490</v>
      </c>
      <c r="C92" s="34">
        <v>2.8728347198740198E+18</v>
      </c>
      <c r="D92" s="35">
        <v>43777</v>
      </c>
      <c r="E92" s="34"/>
      <c r="F92" s="34" t="s">
        <v>721</v>
      </c>
      <c r="G92" s="34"/>
      <c r="H92">
        <v>-8</v>
      </c>
      <c r="I92" s="36">
        <f>IF(Log_2019[[#This Row],[My Category]]="NONTRACKED",0,Log_2019[[#This Row],[Raw Amount]])</f>
        <v>-8</v>
      </c>
      <c r="J92" s="37">
        <f>ABS(Log_2019[[#This Row],[Amount]])</f>
        <v>8</v>
      </c>
      <c r="K92" s="38">
        <v>1</v>
      </c>
      <c r="L92" s="38">
        <f ca="1">IF(Log_2019[[#This Row],[Date]]&lt;=TODAY(), MIN(Log_2019[[#This Row],[Split_raw]], TODAY()-Log_2019[[#This Row],[Date]]+1), 0)</f>
        <v>1</v>
      </c>
      <c r="M92" s="34" t="s">
        <v>35</v>
      </c>
      <c r="N92" s="34" t="s">
        <v>490</v>
      </c>
      <c r="O92" s="7">
        <v>0</v>
      </c>
      <c r="P92" s="52">
        <f ca="1">Log_2019[[#This Row],[Amount]]/Log_2019[[#This Row],[Split_raw]]*MAX(0,MIN(_xlfn.DAYS(EDATE(P$1,1),Log_2019[[#This Row],[Date]]),Log_2019[[#This Row],[Split_apply]])) - SUM($O92:O92)</f>
        <v>0</v>
      </c>
      <c r="Q92" s="52">
        <f ca="1">Log_2019[[#This Row],[Amount]]/Log_2019[[#This Row],[Split_raw]]*MAX(0,MIN(_xlfn.DAYS(EDATE(Q$1,1),Log_2019[[#This Row],[Date]]),Log_2019[[#This Row],[Split_apply]])) - SUM($O92:P92)</f>
        <v>0</v>
      </c>
      <c r="R92" s="52">
        <f ca="1">Log_2019[[#This Row],[Amount]]/Log_2019[[#This Row],[Split_raw]]*MAX(0,MIN(_xlfn.DAYS(EDATE(R$1,1),Log_2019[[#This Row],[Date]]),Log_2019[[#This Row],[Split_apply]])) - SUM($O92:Q92)</f>
        <v>0</v>
      </c>
      <c r="S92" s="52">
        <f ca="1">Log_2019[[#This Row],[Amount]]/Log_2019[[#This Row],[Split_raw]]*MAX(0,MIN(_xlfn.DAYS(EDATE(S$1,1),Log_2019[[#This Row],[Date]]),Log_2019[[#This Row],[Split_apply]])) - SUM($O92:R92)</f>
        <v>0</v>
      </c>
      <c r="T92" s="52">
        <f ca="1">Log_2019[[#This Row],[Amount]]/Log_2019[[#This Row],[Split_raw]]*MAX(0,MIN(_xlfn.DAYS(EDATE(T$1,1),Log_2019[[#This Row],[Date]]),Log_2019[[#This Row],[Split_apply]])) - SUM($O92:S92)</f>
        <v>0</v>
      </c>
      <c r="U92" s="52">
        <f ca="1">Log_2019[[#This Row],[Amount]]/Log_2019[[#This Row],[Split_raw]]*MAX(0,MIN(_xlfn.DAYS(EDATE(U$1,1),Log_2019[[#This Row],[Date]]),Log_2019[[#This Row],[Split_apply]])) - SUM($O92:T92)</f>
        <v>0</v>
      </c>
      <c r="V92" s="52">
        <f ca="1">Log_2019[[#This Row],[Amount]]/Log_2019[[#This Row],[Split_raw]]*MAX(0,MIN(_xlfn.DAYS(EDATE(V$1,1),Log_2019[[#This Row],[Date]]),Log_2019[[#This Row],[Split_apply]])) - SUM($O92:U92)</f>
        <v>0</v>
      </c>
      <c r="W92" s="52">
        <f ca="1">Log_2019[[#This Row],[Amount]]/Log_2019[[#This Row],[Split_raw]]*MAX(0,MIN(_xlfn.DAYS(EDATE(W$1,1),Log_2019[[#This Row],[Date]]),Log_2019[[#This Row],[Split_apply]])) - SUM($O92:V92)</f>
        <v>0</v>
      </c>
      <c r="X92" s="52">
        <f ca="1">Log_2019[[#This Row],[Amount]]/Log_2019[[#This Row],[Split_raw]]*MAX(0,MIN(_xlfn.DAYS(EDATE(X$1,1),Log_2019[[#This Row],[Date]]),Log_2019[[#This Row],[Split_apply]])) - SUM($O92:W92)</f>
        <v>0</v>
      </c>
      <c r="Y92" s="52">
        <f ca="1">Log_2019[[#This Row],[Amount]]/Log_2019[[#This Row],[Split_raw]]*MAX(0,MIN(_xlfn.DAYS(EDATE(Y$1,1),Log_2019[[#This Row],[Date]]),Log_2019[[#This Row],[Split_apply]])) - SUM($O92:X92)</f>
        <v>0</v>
      </c>
      <c r="Z92" s="52">
        <f ca="1">Log_2019[[#This Row],[Amount]]/Log_2019[[#This Row],[Split_raw]]*MAX(0,MIN(_xlfn.DAYS(EDATE(Z$1,1),Log_2019[[#This Row],[Date]]),Log_2019[[#This Row],[Split_apply]])) - SUM($O92:Y92)</f>
        <v>-8</v>
      </c>
      <c r="AA92" s="52">
        <f ca="1">Log_2019[[#This Row],[Amount]]/Log_2019[[#This Row],[Split_raw]]*MAX(0,MIN(_xlfn.DAYS(EDATE(AA$1,1),Log_2019[[#This Row],[Date]]),Log_2019[[#This Row],[Split_apply]])) - SUM($O92:Z92)</f>
        <v>0</v>
      </c>
      <c r="AB92" s="54">
        <f ca="1">Log_2019[[#This Row],[Amount]]-SUM(O92:AA92)</f>
        <v>0</v>
      </c>
      <c r="AC92" s="7">
        <f>MAX(0,Log_2019[[#This Row],[Split_raw]] - (EDATE(AA$1,1)-Log_2019[[#This Row],[Date]]))</f>
        <v>0</v>
      </c>
    </row>
    <row r="93" spans="1:29" x14ac:dyDescent="0.25">
      <c r="A93" s="42"/>
      <c r="B93" s="34" t="s">
        <v>6</v>
      </c>
      <c r="C93" s="34"/>
      <c r="D93" s="35">
        <v>43776</v>
      </c>
      <c r="E93" s="34" t="s">
        <v>754</v>
      </c>
      <c r="F93" s="34" t="s">
        <v>566</v>
      </c>
      <c r="G93" s="34" t="s">
        <v>747</v>
      </c>
      <c r="H93">
        <f>--1911.7</f>
        <v>1911.7</v>
      </c>
      <c r="I93" s="36">
        <f>IF(Log_2019[[#This Row],[My Category]]="NONTRACKED",0,Log_2019[[#This Row],[Raw Amount]])</f>
        <v>1911.7</v>
      </c>
      <c r="J93" s="37">
        <f>ABS(Log_2019[[#This Row],[Amount]])</f>
        <v>1911.7</v>
      </c>
      <c r="K93" s="38">
        <v>14</v>
      </c>
      <c r="L93" s="38">
        <f ca="1">IF(Log_2019[[#This Row],[Date]]&lt;=TODAY(), MIN(Log_2019[[#This Row],[Split_raw]], TODAY()-Log_2019[[#This Row],[Date]]+1), 0)</f>
        <v>14</v>
      </c>
      <c r="M93" s="34" t="s">
        <v>91</v>
      </c>
      <c r="N93" s="34" t="s">
        <v>160</v>
      </c>
      <c r="O93" s="7">
        <v>0</v>
      </c>
      <c r="P93" s="52">
        <f ca="1">Log_2019[[#This Row],[Amount]]/Log_2019[[#This Row],[Split_raw]]*MAX(0,MIN(_xlfn.DAYS(EDATE(P$1,1),Log_2019[[#This Row],[Date]]),Log_2019[[#This Row],[Split_apply]])) - SUM($O93:O93)</f>
        <v>0</v>
      </c>
      <c r="Q93" s="52">
        <f ca="1">Log_2019[[#This Row],[Amount]]/Log_2019[[#This Row],[Split_raw]]*MAX(0,MIN(_xlfn.DAYS(EDATE(Q$1,1),Log_2019[[#This Row],[Date]]),Log_2019[[#This Row],[Split_apply]])) - SUM($O93:P93)</f>
        <v>0</v>
      </c>
      <c r="R93" s="52">
        <f ca="1">Log_2019[[#This Row],[Amount]]/Log_2019[[#This Row],[Split_raw]]*MAX(0,MIN(_xlfn.DAYS(EDATE(R$1,1),Log_2019[[#This Row],[Date]]),Log_2019[[#This Row],[Split_apply]])) - SUM($O93:Q93)</f>
        <v>0</v>
      </c>
      <c r="S93" s="52">
        <f ca="1">Log_2019[[#This Row],[Amount]]/Log_2019[[#This Row],[Split_raw]]*MAX(0,MIN(_xlfn.DAYS(EDATE(S$1,1),Log_2019[[#This Row],[Date]]),Log_2019[[#This Row],[Split_apply]])) - SUM($O93:R93)</f>
        <v>0</v>
      </c>
      <c r="T93" s="52">
        <f ca="1">Log_2019[[#This Row],[Amount]]/Log_2019[[#This Row],[Split_raw]]*MAX(0,MIN(_xlfn.DAYS(EDATE(T$1,1),Log_2019[[#This Row],[Date]]),Log_2019[[#This Row],[Split_apply]])) - SUM($O93:S93)</f>
        <v>0</v>
      </c>
      <c r="U93" s="52">
        <f ca="1">Log_2019[[#This Row],[Amount]]/Log_2019[[#This Row],[Split_raw]]*MAX(0,MIN(_xlfn.DAYS(EDATE(U$1,1),Log_2019[[#This Row],[Date]]),Log_2019[[#This Row],[Split_apply]])) - SUM($O93:T93)</f>
        <v>0</v>
      </c>
      <c r="V93" s="52">
        <f ca="1">Log_2019[[#This Row],[Amount]]/Log_2019[[#This Row],[Split_raw]]*MAX(0,MIN(_xlfn.DAYS(EDATE(V$1,1),Log_2019[[#This Row],[Date]]),Log_2019[[#This Row],[Split_apply]])) - SUM($O93:U93)</f>
        <v>0</v>
      </c>
      <c r="W93" s="52">
        <f ca="1">Log_2019[[#This Row],[Amount]]/Log_2019[[#This Row],[Split_raw]]*MAX(0,MIN(_xlfn.DAYS(EDATE(W$1,1),Log_2019[[#This Row],[Date]]),Log_2019[[#This Row],[Split_apply]])) - SUM($O93:V93)</f>
        <v>0</v>
      </c>
      <c r="X93" s="52">
        <f ca="1">Log_2019[[#This Row],[Amount]]/Log_2019[[#This Row],[Split_raw]]*MAX(0,MIN(_xlfn.DAYS(EDATE(X$1,1),Log_2019[[#This Row],[Date]]),Log_2019[[#This Row],[Split_apply]])) - SUM($O93:W93)</f>
        <v>0</v>
      </c>
      <c r="Y93" s="52">
        <f ca="1">Log_2019[[#This Row],[Amount]]/Log_2019[[#This Row],[Split_raw]]*MAX(0,MIN(_xlfn.DAYS(EDATE(Y$1,1),Log_2019[[#This Row],[Date]]),Log_2019[[#This Row],[Split_apply]])) - SUM($O93:X93)</f>
        <v>0</v>
      </c>
      <c r="Z93" s="52">
        <f ca="1">Log_2019[[#This Row],[Amount]]/Log_2019[[#This Row],[Split_raw]]*MAX(0,MIN(_xlfn.DAYS(EDATE(Z$1,1),Log_2019[[#This Row],[Date]]),Log_2019[[#This Row],[Split_apply]])) - SUM($O93:Y93)</f>
        <v>1911.7000000000003</v>
      </c>
      <c r="AA93" s="52">
        <f ca="1">Log_2019[[#This Row],[Amount]]/Log_2019[[#This Row],[Split_raw]]*MAX(0,MIN(_xlfn.DAYS(EDATE(AA$1,1),Log_2019[[#This Row],[Date]]),Log_2019[[#This Row],[Split_apply]])) - SUM($O93:Z93)</f>
        <v>0</v>
      </c>
      <c r="AB93" s="54">
        <f ca="1">Log_2019[[#This Row],[Amount]]-SUM(O93:AA93)</f>
        <v>0</v>
      </c>
      <c r="AC93" s="7">
        <f>MAX(0,Log_2019[[#This Row],[Split_raw]] - (EDATE(AA$1,1)-Log_2019[[#This Row],[Date]]))</f>
        <v>0</v>
      </c>
    </row>
    <row r="94" spans="1:29" x14ac:dyDescent="0.25">
      <c r="A94" s="42"/>
      <c r="B94" s="34" t="s">
        <v>6</v>
      </c>
      <c r="C94" s="34"/>
      <c r="D94" s="35">
        <v>43776</v>
      </c>
      <c r="E94" s="34"/>
      <c r="F94" s="34" t="s">
        <v>763</v>
      </c>
      <c r="G94" s="34" t="s">
        <v>25</v>
      </c>
      <c r="H94">
        <v>-8.85</v>
      </c>
      <c r="I94" s="36">
        <f>IF(Log_2019[[#This Row],[My Category]]="NONTRACKED",0,Log_2019[[#This Row],[Raw Amount]])</f>
        <v>-8.85</v>
      </c>
      <c r="J94" s="37">
        <f>ABS(Log_2019[[#This Row],[Amount]])</f>
        <v>8.85</v>
      </c>
      <c r="K94" s="38">
        <v>1</v>
      </c>
      <c r="L94" s="38">
        <f ca="1">IF(Log_2019[[#This Row],[Date]]&lt;=TODAY(), MIN(Log_2019[[#This Row],[Split_raw]], TODAY()-Log_2019[[#This Row],[Date]]+1), 0)</f>
        <v>1</v>
      </c>
      <c r="M94" s="34" t="s">
        <v>35</v>
      </c>
      <c r="N94" s="34" t="s">
        <v>158</v>
      </c>
      <c r="O94" s="7">
        <v>0</v>
      </c>
      <c r="P94" s="52">
        <f ca="1">Log_2019[[#This Row],[Amount]]/Log_2019[[#This Row],[Split_raw]]*MAX(0,MIN(_xlfn.DAYS(EDATE(P$1,1),Log_2019[[#This Row],[Date]]),Log_2019[[#This Row],[Split_apply]])) - SUM($O94:O94)</f>
        <v>0</v>
      </c>
      <c r="Q94" s="52">
        <f ca="1">Log_2019[[#This Row],[Amount]]/Log_2019[[#This Row],[Split_raw]]*MAX(0,MIN(_xlfn.DAYS(EDATE(Q$1,1),Log_2019[[#This Row],[Date]]),Log_2019[[#This Row],[Split_apply]])) - SUM($O94:P94)</f>
        <v>0</v>
      </c>
      <c r="R94" s="52">
        <f ca="1">Log_2019[[#This Row],[Amount]]/Log_2019[[#This Row],[Split_raw]]*MAX(0,MIN(_xlfn.DAYS(EDATE(R$1,1),Log_2019[[#This Row],[Date]]),Log_2019[[#This Row],[Split_apply]])) - SUM($O94:Q94)</f>
        <v>0</v>
      </c>
      <c r="S94" s="52">
        <f ca="1">Log_2019[[#This Row],[Amount]]/Log_2019[[#This Row],[Split_raw]]*MAX(0,MIN(_xlfn.DAYS(EDATE(S$1,1),Log_2019[[#This Row],[Date]]),Log_2019[[#This Row],[Split_apply]])) - SUM($O94:R94)</f>
        <v>0</v>
      </c>
      <c r="T94" s="52">
        <f ca="1">Log_2019[[#This Row],[Amount]]/Log_2019[[#This Row],[Split_raw]]*MAX(0,MIN(_xlfn.DAYS(EDATE(T$1,1),Log_2019[[#This Row],[Date]]),Log_2019[[#This Row],[Split_apply]])) - SUM($O94:S94)</f>
        <v>0</v>
      </c>
      <c r="U94" s="52">
        <f ca="1">Log_2019[[#This Row],[Amount]]/Log_2019[[#This Row],[Split_raw]]*MAX(0,MIN(_xlfn.DAYS(EDATE(U$1,1),Log_2019[[#This Row],[Date]]),Log_2019[[#This Row],[Split_apply]])) - SUM($O94:T94)</f>
        <v>0</v>
      </c>
      <c r="V94" s="52">
        <f ca="1">Log_2019[[#This Row],[Amount]]/Log_2019[[#This Row],[Split_raw]]*MAX(0,MIN(_xlfn.DAYS(EDATE(V$1,1),Log_2019[[#This Row],[Date]]),Log_2019[[#This Row],[Split_apply]])) - SUM($O94:U94)</f>
        <v>0</v>
      </c>
      <c r="W94" s="52">
        <f ca="1">Log_2019[[#This Row],[Amount]]/Log_2019[[#This Row],[Split_raw]]*MAX(0,MIN(_xlfn.DAYS(EDATE(W$1,1),Log_2019[[#This Row],[Date]]),Log_2019[[#This Row],[Split_apply]])) - SUM($O94:V94)</f>
        <v>0</v>
      </c>
      <c r="X94" s="52">
        <f ca="1">Log_2019[[#This Row],[Amount]]/Log_2019[[#This Row],[Split_raw]]*MAX(0,MIN(_xlfn.DAYS(EDATE(X$1,1),Log_2019[[#This Row],[Date]]),Log_2019[[#This Row],[Split_apply]])) - SUM($O94:W94)</f>
        <v>0</v>
      </c>
      <c r="Y94" s="52">
        <f ca="1">Log_2019[[#This Row],[Amount]]/Log_2019[[#This Row],[Split_raw]]*MAX(0,MIN(_xlfn.DAYS(EDATE(Y$1,1),Log_2019[[#This Row],[Date]]),Log_2019[[#This Row],[Split_apply]])) - SUM($O94:X94)</f>
        <v>0</v>
      </c>
      <c r="Z94" s="52">
        <f ca="1">Log_2019[[#This Row],[Amount]]/Log_2019[[#This Row],[Split_raw]]*MAX(0,MIN(_xlfn.DAYS(EDATE(Z$1,1),Log_2019[[#This Row],[Date]]),Log_2019[[#This Row],[Split_apply]])) - SUM($O94:Y94)</f>
        <v>-8.85</v>
      </c>
      <c r="AA94" s="52">
        <f ca="1">Log_2019[[#This Row],[Amount]]/Log_2019[[#This Row],[Split_raw]]*MAX(0,MIN(_xlfn.DAYS(EDATE(AA$1,1),Log_2019[[#This Row],[Date]]),Log_2019[[#This Row],[Split_apply]])) - SUM($O94:Z94)</f>
        <v>0</v>
      </c>
      <c r="AB94" s="54">
        <f ca="1">Log_2019[[#This Row],[Amount]]-SUM(O94:AA94)</f>
        <v>0</v>
      </c>
      <c r="AC94" s="7">
        <f>MAX(0,Log_2019[[#This Row],[Split_raw]] - (EDATE(AA$1,1)-Log_2019[[#This Row],[Date]]))</f>
        <v>0</v>
      </c>
    </row>
    <row r="95" spans="1:29" x14ac:dyDescent="0.25">
      <c r="A95" s="42"/>
      <c r="B95" s="34" t="s">
        <v>6</v>
      </c>
      <c r="C95" s="34"/>
      <c r="D95" s="35">
        <v>43775</v>
      </c>
      <c r="E95" s="34"/>
      <c r="F95" s="34" t="s">
        <v>750</v>
      </c>
      <c r="G95" s="34" t="s">
        <v>29</v>
      </c>
      <c r="H95">
        <v>-21.6</v>
      </c>
      <c r="I95" s="36">
        <f>IF(Log_2019[[#This Row],[My Category]]="NONTRACKED",0,Log_2019[[#This Row],[Raw Amount]])</f>
        <v>-21.6</v>
      </c>
      <c r="J95" s="37">
        <f>ABS(Log_2019[[#This Row],[Amount]])</f>
        <v>21.6</v>
      </c>
      <c r="K95" s="38">
        <v>30</v>
      </c>
      <c r="L95" s="38">
        <f ca="1">IF(Log_2019[[#This Row],[Date]]&lt;=TODAY(), MIN(Log_2019[[#This Row],[Split_raw]], TODAY()-Log_2019[[#This Row],[Date]]+1), 0)</f>
        <v>30</v>
      </c>
      <c r="M95" s="34" t="s">
        <v>29</v>
      </c>
      <c r="N95" s="34" t="s">
        <v>160</v>
      </c>
      <c r="O95" s="7">
        <v>0</v>
      </c>
      <c r="P95" s="52">
        <f ca="1">Log_2019[[#This Row],[Amount]]/Log_2019[[#This Row],[Split_raw]]*MAX(0,MIN(_xlfn.DAYS(EDATE(P$1,1),Log_2019[[#This Row],[Date]]),Log_2019[[#This Row],[Split_apply]])) - SUM($O95:O95)</f>
        <v>0</v>
      </c>
      <c r="Q95" s="52">
        <f ca="1">Log_2019[[#This Row],[Amount]]/Log_2019[[#This Row],[Split_raw]]*MAX(0,MIN(_xlfn.DAYS(EDATE(Q$1,1),Log_2019[[#This Row],[Date]]),Log_2019[[#This Row],[Split_apply]])) - SUM($O95:P95)</f>
        <v>0</v>
      </c>
      <c r="R95" s="52">
        <f ca="1">Log_2019[[#This Row],[Amount]]/Log_2019[[#This Row],[Split_raw]]*MAX(0,MIN(_xlfn.DAYS(EDATE(R$1,1),Log_2019[[#This Row],[Date]]),Log_2019[[#This Row],[Split_apply]])) - SUM($O95:Q95)</f>
        <v>0</v>
      </c>
      <c r="S95" s="52">
        <f ca="1">Log_2019[[#This Row],[Amount]]/Log_2019[[#This Row],[Split_raw]]*MAX(0,MIN(_xlfn.DAYS(EDATE(S$1,1),Log_2019[[#This Row],[Date]]),Log_2019[[#This Row],[Split_apply]])) - SUM($O95:R95)</f>
        <v>0</v>
      </c>
      <c r="T95" s="52">
        <f ca="1">Log_2019[[#This Row],[Amount]]/Log_2019[[#This Row],[Split_raw]]*MAX(0,MIN(_xlfn.DAYS(EDATE(T$1,1),Log_2019[[#This Row],[Date]]),Log_2019[[#This Row],[Split_apply]])) - SUM($O95:S95)</f>
        <v>0</v>
      </c>
      <c r="U95" s="52">
        <f ca="1">Log_2019[[#This Row],[Amount]]/Log_2019[[#This Row],[Split_raw]]*MAX(0,MIN(_xlfn.DAYS(EDATE(U$1,1),Log_2019[[#This Row],[Date]]),Log_2019[[#This Row],[Split_apply]])) - SUM($O95:T95)</f>
        <v>0</v>
      </c>
      <c r="V95" s="52">
        <f ca="1">Log_2019[[#This Row],[Amount]]/Log_2019[[#This Row],[Split_raw]]*MAX(0,MIN(_xlfn.DAYS(EDATE(V$1,1),Log_2019[[#This Row],[Date]]),Log_2019[[#This Row],[Split_apply]])) - SUM($O95:U95)</f>
        <v>0</v>
      </c>
      <c r="W95" s="52">
        <f ca="1">Log_2019[[#This Row],[Amount]]/Log_2019[[#This Row],[Split_raw]]*MAX(0,MIN(_xlfn.DAYS(EDATE(W$1,1),Log_2019[[#This Row],[Date]]),Log_2019[[#This Row],[Split_apply]])) - SUM($O95:V95)</f>
        <v>0</v>
      </c>
      <c r="X95" s="52">
        <f ca="1">Log_2019[[#This Row],[Amount]]/Log_2019[[#This Row],[Split_raw]]*MAX(0,MIN(_xlfn.DAYS(EDATE(X$1,1),Log_2019[[#This Row],[Date]]),Log_2019[[#This Row],[Split_apply]])) - SUM($O95:W95)</f>
        <v>0</v>
      </c>
      <c r="Y95" s="52">
        <f ca="1">Log_2019[[#This Row],[Amount]]/Log_2019[[#This Row],[Split_raw]]*MAX(0,MIN(_xlfn.DAYS(EDATE(Y$1,1),Log_2019[[#This Row],[Date]]),Log_2019[[#This Row],[Split_apply]])) - SUM($O95:X95)</f>
        <v>0</v>
      </c>
      <c r="Z95" s="52">
        <f ca="1">Log_2019[[#This Row],[Amount]]/Log_2019[[#This Row],[Split_raw]]*MAX(0,MIN(_xlfn.DAYS(EDATE(Z$1,1),Log_2019[[#This Row],[Date]]),Log_2019[[#This Row],[Split_apply]])) - SUM($O95:Y95)</f>
        <v>-18.000000000000004</v>
      </c>
      <c r="AA95" s="52">
        <f ca="1">Log_2019[[#This Row],[Amount]]/Log_2019[[#This Row],[Split_raw]]*MAX(0,MIN(_xlfn.DAYS(EDATE(AA$1,1),Log_2019[[#This Row],[Date]]),Log_2019[[#This Row],[Split_apply]])) - SUM($O95:Z95)</f>
        <v>-3.5999999999999979</v>
      </c>
      <c r="AB95" s="54">
        <f ca="1">Log_2019[[#This Row],[Amount]]-SUM(O95:AA95)</f>
        <v>0</v>
      </c>
      <c r="AC95" s="7">
        <f>MAX(0,Log_2019[[#This Row],[Split_raw]] - (EDATE(AA$1,1)-Log_2019[[#This Row],[Date]]))</f>
        <v>0</v>
      </c>
    </row>
    <row r="96" spans="1:29" x14ac:dyDescent="0.25">
      <c r="A96" s="42"/>
      <c r="B96" s="34" t="s">
        <v>6</v>
      </c>
      <c r="C96" s="34"/>
      <c r="D96" s="35">
        <v>43775</v>
      </c>
      <c r="E96" s="34"/>
      <c r="F96" s="34" t="s">
        <v>620</v>
      </c>
      <c r="G96" s="34" t="s">
        <v>189</v>
      </c>
      <c r="H96">
        <v>-29.44</v>
      </c>
      <c r="I96" s="36">
        <f>IF(Log_2019[[#This Row],[My Category]]="NONTRACKED",0,Log_2019[[#This Row],[Raw Amount]])</f>
        <v>-29.44</v>
      </c>
      <c r="J96" s="37">
        <f>ABS(Log_2019[[#This Row],[Amount]])</f>
        <v>29.44</v>
      </c>
      <c r="K96" s="38">
        <v>30</v>
      </c>
      <c r="L96" s="38">
        <f ca="1">IF(Log_2019[[#This Row],[Date]]&lt;=TODAY(), MIN(Log_2019[[#This Row],[Split_raw]], TODAY()-Log_2019[[#This Row],[Date]]+1), 0)</f>
        <v>30</v>
      </c>
      <c r="M96" s="34" t="s">
        <v>29</v>
      </c>
      <c r="N96" s="34" t="s">
        <v>158</v>
      </c>
      <c r="O96" s="7">
        <v>0</v>
      </c>
      <c r="P96" s="52">
        <f ca="1">Log_2019[[#This Row],[Amount]]/Log_2019[[#This Row],[Split_raw]]*MAX(0,MIN(_xlfn.DAYS(EDATE(P$1,1),Log_2019[[#This Row],[Date]]),Log_2019[[#This Row],[Split_apply]])) - SUM($O96:O96)</f>
        <v>0</v>
      </c>
      <c r="Q96" s="52">
        <f ca="1">Log_2019[[#This Row],[Amount]]/Log_2019[[#This Row],[Split_raw]]*MAX(0,MIN(_xlfn.DAYS(EDATE(Q$1,1),Log_2019[[#This Row],[Date]]),Log_2019[[#This Row],[Split_apply]])) - SUM($O96:P96)</f>
        <v>0</v>
      </c>
      <c r="R96" s="52">
        <f ca="1">Log_2019[[#This Row],[Amount]]/Log_2019[[#This Row],[Split_raw]]*MAX(0,MIN(_xlfn.DAYS(EDATE(R$1,1),Log_2019[[#This Row],[Date]]),Log_2019[[#This Row],[Split_apply]])) - SUM($O96:Q96)</f>
        <v>0</v>
      </c>
      <c r="S96" s="52">
        <f ca="1">Log_2019[[#This Row],[Amount]]/Log_2019[[#This Row],[Split_raw]]*MAX(0,MIN(_xlfn.DAYS(EDATE(S$1,1),Log_2019[[#This Row],[Date]]),Log_2019[[#This Row],[Split_apply]])) - SUM($O96:R96)</f>
        <v>0</v>
      </c>
      <c r="T96" s="52">
        <f ca="1">Log_2019[[#This Row],[Amount]]/Log_2019[[#This Row],[Split_raw]]*MAX(0,MIN(_xlfn.DAYS(EDATE(T$1,1),Log_2019[[#This Row],[Date]]),Log_2019[[#This Row],[Split_apply]])) - SUM($O96:S96)</f>
        <v>0</v>
      </c>
      <c r="U96" s="52">
        <f ca="1">Log_2019[[#This Row],[Amount]]/Log_2019[[#This Row],[Split_raw]]*MAX(0,MIN(_xlfn.DAYS(EDATE(U$1,1),Log_2019[[#This Row],[Date]]),Log_2019[[#This Row],[Split_apply]])) - SUM($O96:T96)</f>
        <v>0</v>
      </c>
      <c r="V96" s="52">
        <f ca="1">Log_2019[[#This Row],[Amount]]/Log_2019[[#This Row],[Split_raw]]*MAX(0,MIN(_xlfn.DAYS(EDATE(V$1,1),Log_2019[[#This Row],[Date]]),Log_2019[[#This Row],[Split_apply]])) - SUM($O96:U96)</f>
        <v>0</v>
      </c>
      <c r="W96" s="52">
        <f ca="1">Log_2019[[#This Row],[Amount]]/Log_2019[[#This Row],[Split_raw]]*MAX(0,MIN(_xlfn.DAYS(EDATE(W$1,1),Log_2019[[#This Row],[Date]]),Log_2019[[#This Row],[Split_apply]])) - SUM($O96:V96)</f>
        <v>0</v>
      </c>
      <c r="X96" s="52">
        <f ca="1">Log_2019[[#This Row],[Amount]]/Log_2019[[#This Row],[Split_raw]]*MAX(0,MIN(_xlfn.DAYS(EDATE(X$1,1),Log_2019[[#This Row],[Date]]),Log_2019[[#This Row],[Split_apply]])) - SUM($O96:W96)</f>
        <v>0</v>
      </c>
      <c r="Y96" s="52">
        <f ca="1">Log_2019[[#This Row],[Amount]]/Log_2019[[#This Row],[Split_raw]]*MAX(0,MIN(_xlfn.DAYS(EDATE(Y$1,1),Log_2019[[#This Row],[Date]]),Log_2019[[#This Row],[Split_apply]])) - SUM($O96:X96)</f>
        <v>0</v>
      </c>
      <c r="Z96" s="52">
        <f ca="1">Log_2019[[#This Row],[Amount]]/Log_2019[[#This Row],[Split_raw]]*MAX(0,MIN(_xlfn.DAYS(EDATE(Z$1,1),Log_2019[[#This Row],[Date]]),Log_2019[[#This Row],[Split_apply]])) - SUM($O96:Y96)</f>
        <v>-24.533333333333335</v>
      </c>
      <c r="AA96" s="52">
        <f ca="1">Log_2019[[#This Row],[Amount]]/Log_2019[[#This Row],[Split_raw]]*MAX(0,MIN(_xlfn.DAYS(EDATE(AA$1,1),Log_2019[[#This Row],[Date]]),Log_2019[[#This Row],[Split_apply]])) - SUM($O96:Z96)</f>
        <v>-4.9066666666666663</v>
      </c>
      <c r="AB96" s="54">
        <f ca="1">Log_2019[[#This Row],[Amount]]-SUM(O96:AA96)</f>
        <v>0</v>
      </c>
      <c r="AC96" s="7">
        <f>MAX(0,Log_2019[[#This Row],[Split_raw]] - (EDATE(AA$1,1)-Log_2019[[#This Row],[Date]]))</f>
        <v>0</v>
      </c>
    </row>
    <row r="97" spans="1:29" x14ac:dyDescent="0.25">
      <c r="A97" s="42"/>
      <c r="B97" s="34" t="s">
        <v>6</v>
      </c>
      <c r="C97" s="34"/>
      <c r="D97" s="35">
        <v>43775</v>
      </c>
      <c r="E97" s="34"/>
      <c r="F97" s="34" t="s">
        <v>255</v>
      </c>
      <c r="G97" s="34" t="s">
        <v>12</v>
      </c>
      <c r="H97">
        <v>-13.59</v>
      </c>
      <c r="I97" s="36">
        <f>IF(Log_2019[[#This Row],[My Category]]="NONTRACKED",0,Log_2019[[#This Row],[Raw Amount]])</f>
        <v>-13.59</v>
      </c>
      <c r="J97" s="37">
        <f>ABS(Log_2019[[#This Row],[Amount]])</f>
        <v>13.59</v>
      </c>
      <c r="K97" s="38">
        <v>1</v>
      </c>
      <c r="L97" s="38">
        <f ca="1">IF(Log_2019[[#This Row],[Date]]&lt;=TODAY(), MIN(Log_2019[[#This Row],[Split_raw]], TODAY()-Log_2019[[#This Row],[Date]]+1), 0)</f>
        <v>1</v>
      </c>
      <c r="M97" s="34" t="s">
        <v>35</v>
      </c>
      <c r="N97" s="34" t="s">
        <v>158</v>
      </c>
      <c r="O97" s="7">
        <v>0</v>
      </c>
      <c r="P97" s="52">
        <f ca="1">Log_2019[[#This Row],[Amount]]/Log_2019[[#This Row],[Split_raw]]*MAX(0,MIN(_xlfn.DAYS(EDATE(P$1,1),Log_2019[[#This Row],[Date]]),Log_2019[[#This Row],[Split_apply]])) - SUM($O97:O97)</f>
        <v>0</v>
      </c>
      <c r="Q97" s="52">
        <f ca="1">Log_2019[[#This Row],[Amount]]/Log_2019[[#This Row],[Split_raw]]*MAX(0,MIN(_xlfn.DAYS(EDATE(Q$1,1),Log_2019[[#This Row],[Date]]),Log_2019[[#This Row],[Split_apply]])) - SUM($O97:P97)</f>
        <v>0</v>
      </c>
      <c r="R97" s="52">
        <f ca="1">Log_2019[[#This Row],[Amount]]/Log_2019[[#This Row],[Split_raw]]*MAX(0,MIN(_xlfn.DAYS(EDATE(R$1,1),Log_2019[[#This Row],[Date]]),Log_2019[[#This Row],[Split_apply]])) - SUM($O97:Q97)</f>
        <v>0</v>
      </c>
      <c r="S97" s="52">
        <f ca="1">Log_2019[[#This Row],[Amount]]/Log_2019[[#This Row],[Split_raw]]*MAX(0,MIN(_xlfn.DAYS(EDATE(S$1,1),Log_2019[[#This Row],[Date]]),Log_2019[[#This Row],[Split_apply]])) - SUM($O97:R97)</f>
        <v>0</v>
      </c>
      <c r="T97" s="52">
        <f ca="1">Log_2019[[#This Row],[Amount]]/Log_2019[[#This Row],[Split_raw]]*MAX(0,MIN(_xlfn.DAYS(EDATE(T$1,1),Log_2019[[#This Row],[Date]]),Log_2019[[#This Row],[Split_apply]])) - SUM($O97:S97)</f>
        <v>0</v>
      </c>
      <c r="U97" s="52">
        <f ca="1">Log_2019[[#This Row],[Amount]]/Log_2019[[#This Row],[Split_raw]]*MAX(0,MIN(_xlfn.DAYS(EDATE(U$1,1),Log_2019[[#This Row],[Date]]),Log_2019[[#This Row],[Split_apply]])) - SUM($O97:T97)</f>
        <v>0</v>
      </c>
      <c r="V97" s="52">
        <f ca="1">Log_2019[[#This Row],[Amount]]/Log_2019[[#This Row],[Split_raw]]*MAX(0,MIN(_xlfn.DAYS(EDATE(V$1,1),Log_2019[[#This Row],[Date]]),Log_2019[[#This Row],[Split_apply]])) - SUM($O97:U97)</f>
        <v>0</v>
      </c>
      <c r="W97" s="52">
        <f ca="1">Log_2019[[#This Row],[Amount]]/Log_2019[[#This Row],[Split_raw]]*MAX(0,MIN(_xlfn.DAYS(EDATE(W$1,1),Log_2019[[#This Row],[Date]]),Log_2019[[#This Row],[Split_apply]])) - SUM($O97:V97)</f>
        <v>0</v>
      </c>
      <c r="X97" s="52">
        <f ca="1">Log_2019[[#This Row],[Amount]]/Log_2019[[#This Row],[Split_raw]]*MAX(0,MIN(_xlfn.DAYS(EDATE(X$1,1),Log_2019[[#This Row],[Date]]),Log_2019[[#This Row],[Split_apply]])) - SUM($O97:W97)</f>
        <v>0</v>
      </c>
      <c r="Y97" s="52">
        <f ca="1">Log_2019[[#This Row],[Amount]]/Log_2019[[#This Row],[Split_raw]]*MAX(0,MIN(_xlfn.DAYS(EDATE(Y$1,1),Log_2019[[#This Row],[Date]]),Log_2019[[#This Row],[Split_apply]])) - SUM($O97:X97)</f>
        <v>0</v>
      </c>
      <c r="Z97" s="52">
        <f ca="1">Log_2019[[#This Row],[Amount]]/Log_2019[[#This Row],[Split_raw]]*MAX(0,MIN(_xlfn.DAYS(EDATE(Z$1,1),Log_2019[[#This Row],[Date]]),Log_2019[[#This Row],[Split_apply]])) - SUM($O97:Y97)</f>
        <v>-13.59</v>
      </c>
      <c r="AA97" s="52">
        <f ca="1">Log_2019[[#This Row],[Amount]]/Log_2019[[#This Row],[Split_raw]]*MAX(0,MIN(_xlfn.DAYS(EDATE(AA$1,1),Log_2019[[#This Row],[Date]]),Log_2019[[#This Row],[Split_apply]])) - SUM($O97:Z97)</f>
        <v>0</v>
      </c>
      <c r="AB97" s="54">
        <f ca="1">Log_2019[[#This Row],[Amount]]-SUM(O97:AA97)</f>
        <v>0</v>
      </c>
      <c r="AC97" s="7">
        <f>MAX(0,Log_2019[[#This Row],[Split_raw]] - (EDATE(AA$1,1)-Log_2019[[#This Row],[Date]]))</f>
        <v>0</v>
      </c>
    </row>
    <row r="98" spans="1:29" x14ac:dyDescent="0.25">
      <c r="A98" s="42"/>
      <c r="B98" s="34" t="s">
        <v>6</v>
      </c>
      <c r="C98" s="34"/>
      <c r="D98" s="35">
        <v>43773</v>
      </c>
      <c r="E98" s="34"/>
      <c r="F98" s="34" t="s">
        <v>527</v>
      </c>
      <c r="G98" s="34" t="s">
        <v>384</v>
      </c>
      <c r="H98">
        <v>-1600</v>
      </c>
      <c r="I98" s="36">
        <f>IF(Log_2019[[#This Row],[My Category]]="NONTRACKED",0,Log_2019[[#This Row],[Raw Amount]])</f>
        <v>-1600</v>
      </c>
      <c r="J98" s="37">
        <f>ABS(Log_2019[[#This Row],[Amount]])</f>
        <v>1600</v>
      </c>
      <c r="K98" s="38">
        <v>30</v>
      </c>
      <c r="L98" s="38">
        <f ca="1">IF(Log_2019[[#This Row],[Date]]&lt;=TODAY(), MIN(Log_2019[[#This Row],[Split_raw]], TODAY()-Log_2019[[#This Row],[Date]]+1), 0)</f>
        <v>30</v>
      </c>
      <c r="M98" s="34" t="s">
        <v>28</v>
      </c>
      <c r="N98" s="34" t="s">
        <v>160</v>
      </c>
      <c r="O98" s="7">
        <v>0</v>
      </c>
      <c r="P98" s="52">
        <f ca="1">Log_2019[[#This Row],[Amount]]/Log_2019[[#This Row],[Split_raw]]*MAX(0,MIN(_xlfn.DAYS(EDATE(P$1,1),Log_2019[[#This Row],[Date]]),Log_2019[[#This Row],[Split_apply]])) - SUM($O98:O98)</f>
        <v>0</v>
      </c>
      <c r="Q98" s="52">
        <f ca="1">Log_2019[[#This Row],[Amount]]/Log_2019[[#This Row],[Split_raw]]*MAX(0,MIN(_xlfn.DAYS(EDATE(Q$1,1),Log_2019[[#This Row],[Date]]),Log_2019[[#This Row],[Split_apply]])) - SUM($O98:P98)</f>
        <v>0</v>
      </c>
      <c r="R98" s="52">
        <f ca="1">Log_2019[[#This Row],[Amount]]/Log_2019[[#This Row],[Split_raw]]*MAX(0,MIN(_xlfn.DAYS(EDATE(R$1,1),Log_2019[[#This Row],[Date]]),Log_2019[[#This Row],[Split_apply]])) - SUM($O98:Q98)</f>
        <v>0</v>
      </c>
      <c r="S98" s="52">
        <f ca="1">Log_2019[[#This Row],[Amount]]/Log_2019[[#This Row],[Split_raw]]*MAX(0,MIN(_xlfn.DAYS(EDATE(S$1,1),Log_2019[[#This Row],[Date]]),Log_2019[[#This Row],[Split_apply]])) - SUM($O98:R98)</f>
        <v>0</v>
      </c>
      <c r="T98" s="52">
        <f ca="1">Log_2019[[#This Row],[Amount]]/Log_2019[[#This Row],[Split_raw]]*MAX(0,MIN(_xlfn.DAYS(EDATE(T$1,1),Log_2019[[#This Row],[Date]]),Log_2019[[#This Row],[Split_apply]])) - SUM($O98:S98)</f>
        <v>0</v>
      </c>
      <c r="U98" s="52">
        <f ca="1">Log_2019[[#This Row],[Amount]]/Log_2019[[#This Row],[Split_raw]]*MAX(0,MIN(_xlfn.DAYS(EDATE(U$1,1),Log_2019[[#This Row],[Date]]),Log_2019[[#This Row],[Split_apply]])) - SUM($O98:T98)</f>
        <v>0</v>
      </c>
      <c r="V98" s="52">
        <f ca="1">Log_2019[[#This Row],[Amount]]/Log_2019[[#This Row],[Split_raw]]*MAX(0,MIN(_xlfn.DAYS(EDATE(V$1,1),Log_2019[[#This Row],[Date]]),Log_2019[[#This Row],[Split_apply]])) - SUM($O98:U98)</f>
        <v>0</v>
      </c>
      <c r="W98" s="52">
        <f ca="1">Log_2019[[#This Row],[Amount]]/Log_2019[[#This Row],[Split_raw]]*MAX(0,MIN(_xlfn.DAYS(EDATE(W$1,1),Log_2019[[#This Row],[Date]]),Log_2019[[#This Row],[Split_apply]])) - SUM($O98:V98)</f>
        <v>0</v>
      </c>
      <c r="X98" s="52">
        <f ca="1">Log_2019[[#This Row],[Amount]]/Log_2019[[#This Row],[Split_raw]]*MAX(0,MIN(_xlfn.DAYS(EDATE(X$1,1),Log_2019[[#This Row],[Date]]),Log_2019[[#This Row],[Split_apply]])) - SUM($O98:W98)</f>
        <v>0</v>
      </c>
      <c r="Y98" s="52">
        <f ca="1">Log_2019[[#This Row],[Amount]]/Log_2019[[#This Row],[Split_raw]]*MAX(0,MIN(_xlfn.DAYS(EDATE(Y$1,1),Log_2019[[#This Row],[Date]]),Log_2019[[#This Row],[Split_apply]])) - SUM($O98:X98)</f>
        <v>0</v>
      </c>
      <c r="Z98" s="52">
        <f ca="1">Log_2019[[#This Row],[Amount]]/Log_2019[[#This Row],[Split_raw]]*MAX(0,MIN(_xlfn.DAYS(EDATE(Z$1,1),Log_2019[[#This Row],[Date]]),Log_2019[[#This Row],[Split_apply]])) - SUM($O98:Y98)</f>
        <v>-1440</v>
      </c>
      <c r="AA98" s="52">
        <f ca="1">Log_2019[[#This Row],[Amount]]/Log_2019[[#This Row],[Split_raw]]*MAX(0,MIN(_xlfn.DAYS(EDATE(AA$1,1),Log_2019[[#This Row],[Date]]),Log_2019[[#This Row],[Split_apply]])) - SUM($O98:Z98)</f>
        <v>-160</v>
      </c>
      <c r="AB98" s="54">
        <f ca="1">Log_2019[[#This Row],[Amount]]-SUM(O98:AA98)</f>
        <v>0</v>
      </c>
      <c r="AC98" s="7">
        <f>MAX(0,Log_2019[[#This Row],[Split_raw]] - (EDATE(AA$1,1)-Log_2019[[#This Row],[Date]]))</f>
        <v>0</v>
      </c>
    </row>
    <row r="99" spans="1:29" x14ac:dyDescent="0.25">
      <c r="A99" s="42"/>
      <c r="B99" s="34" t="s">
        <v>6</v>
      </c>
      <c r="C99" s="34"/>
      <c r="D99" s="35">
        <v>43773</v>
      </c>
      <c r="E99" s="34"/>
      <c r="F99" s="34" t="s">
        <v>673</v>
      </c>
      <c r="G99" s="34" t="s">
        <v>25</v>
      </c>
      <c r="H99">
        <v>-8.09</v>
      </c>
      <c r="I99" s="36">
        <f>IF(Log_2019[[#This Row],[My Category]]="NONTRACKED",0,Log_2019[[#This Row],[Raw Amount]])</f>
        <v>-8.09</v>
      </c>
      <c r="J99" s="37">
        <f>ABS(Log_2019[[#This Row],[Amount]])</f>
        <v>8.09</v>
      </c>
      <c r="K99" s="38">
        <v>1</v>
      </c>
      <c r="L99" s="38">
        <f ca="1">IF(Log_2019[[#This Row],[Date]]&lt;=TODAY(), MIN(Log_2019[[#This Row],[Split_raw]], TODAY()-Log_2019[[#This Row],[Date]]+1), 0)</f>
        <v>1</v>
      </c>
      <c r="M99" s="34" t="s">
        <v>35</v>
      </c>
      <c r="N99" s="34" t="s">
        <v>158</v>
      </c>
      <c r="O99" s="7">
        <v>0</v>
      </c>
      <c r="P99" s="52">
        <f ca="1">Log_2019[[#This Row],[Amount]]/Log_2019[[#This Row],[Split_raw]]*MAX(0,MIN(_xlfn.DAYS(EDATE(P$1,1),Log_2019[[#This Row],[Date]]),Log_2019[[#This Row],[Split_apply]])) - SUM($O99:O99)</f>
        <v>0</v>
      </c>
      <c r="Q99" s="52">
        <f ca="1">Log_2019[[#This Row],[Amount]]/Log_2019[[#This Row],[Split_raw]]*MAX(0,MIN(_xlfn.DAYS(EDATE(Q$1,1),Log_2019[[#This Row],[Date]]),Log_2019[[#This Row],[Split_apply]])) - SUM($O99:P99)</f>
        <v>0</v>
      </c>
      <c r="R99" s="52">
        <f ca="1">Log_2019[[#This Row],[Amount]]/Log_2019[[#This Row],[Split_raw]]*MAX(0,MIN(_xlfn.DAYS(EDATE(R$1,1),Log_2019[[#This Row],[Date]]),Log_2019[[#This Row],[Split_apply]])) - SUM($O99:Q99)</f>
        <v>0</v>
      </c>
      <c r="S99" s="52">
        <f ca="1">Log_2019[[#This Row],[Amount]]/Log_2019[[#This Row],[Split_raw]]*MAX(0,MIN(_xlfn.DAYS(EDATE(S$1,1),Log_2019[[#This Row],[Date]]),Log_2019[[#This Row],[Split_apply]])) - SUM($O99:R99)</f>
        <v>0</v>
      </c>
      <c r="T99" s="52">
        <f ca="1">Log_2019[[#This Row],[Amount]]/Log_2019[[#This Row],[Split_raw]]*MAX(0,MIN(_xlfn.DAYS(EDATE(T$1,1),Log_2019[[#This Row],[Date]]),Log_2019[[#This Row],[Split_apply]])) - SUM($O99:S99)</f>
        <v>0</v>
      </c>
      <c r="U99" s="52">
        <f ca="1">Log_2019[[#This Row],[Amount]]/Log_2019[[#This Row],[Split_raw]]*MAX(0,MIN(_xlfn.DAYS(EDATE(U$1,1),Log_2019[[#This Row],[Date]]),Log_2019[[#This Row],[Split_apply]])) - SUM($O99:T99)</f>
        <v>0</v>
      </c>
      <c r="V99" s="52">
        <f ca="1">Log_2019[[#This Row],[Amount]]/Log_2019[[#This Row],[Split_raw]]*MAX(0,MIN(_xlfn.DAYS(EDATE(V$1,1),Log_2019[[#This Row],[Date]]),Log_2019[[#This Row],[Split_apply]])) - SUM($O99:U99)</f>
        <v>0</v>
      </c>
      <c r="W99" s="52">
        <f ca="1">Log_2019[[#This Row],[Amount]]/Log_2019[[#This Row],[Split_raw]]*MAX(0,MIN(_xlfn.DAYS(EDATE(W$1,1),Log_2019[[#This Row],[Date]]),Log_2019[[#This Row],[Split_apply]])) - SUM($O99:V99)</f>
        <v>0</v>
      </c>
      <c r="X99" s="52">
        <f ca="1">Log_2019[[#This Row],[Amount]]/Log_2019[[#This Row],[Split_raw]]*MAX(0,MIN(_xlfn.DAYS(EDATE(X$1,1),Log_2019[[#This Row],[Date]]),Log_2019[[#This Row],[Split_apply]])) - SUM($O99:W99)</f>
        <v>0</v>
      </c>
      <c r="Y99" s="52">
        <f ca="1">Log_2019[[#This Row],[Amount]]/Log_2019[[#This Row],[Split_raw]]*MAX(0,MIN(_xlfn.DAYS(EDATE(Y$1,1),Log_2019[[#This Row],[Date]]),Log_2019[[#This Row],[Split_apply]])) - SUM($O99:X99)</f>
        <v>0</v>
      </c>
      <c r="Z99" s="52">
        <f ca="1">Log_2019[[#This Row],[Amount]]/Log_2019[[#This Row],[Split_raw]]*MAX(0,MIN(_xlfn.DAYS(EDATE(Z$1,1),Log_2019[[#This Row],[Date]]),Log_2019[[#This Row],[Split_apply]])) - SUM($O99:Y99)</f>
        <v>-8.09</v>
      </c>
      <c r="AA99" s="52">
        <f ca="1">Log_2019[[#This Row],[Amount]]/Log_2019[[#This Row],[Split_raw]]*MAX(0,MIN(_xlfn.DAYS(EDATE(AA$1,1),Log_2019[[#This Row],[Date]]),Log_2019[[#This Row],[Split_apply]])) - SUM($O99:Z99)</f>
        <v>0</v>
      </c>
      <c r="AB99" s="54">
        <f ca="1">Log_2019[[#This Row],[Amount]]-SUM(O99:AA99)</f>
        <v>0</v>
      </c>
      <c r="AC99" s="7">
        <f>MAX(0,Log_2019[[#This Row],[Split_raw]] - (EDATE(AA$1,1)-Log_2019[[#This Row],[Date]]))</f>
        <v>0</v>
      </c>
    </row>
    <row r="100" spans="1:29" x14ac:dyDescent="0.25">
      <c r="A100" s="42"/>
      <c r="B100" s="34" t="s">
        <v>6</v>
      </c>
      <c r="C100" s="34"/>
      <c r="D100" s="35">
        <v>43773</v>
      </c>
      <c r="E100" s="34"/>
      <c r="F100" s="34" t="s">
        <v>764</v>
      </c>
      <c r="G100" s="34" t="s">
        <v>114</v>
      </c>
      <c r="H100">
        <v>-75</v>
      </c>
      <c r="I100" s="36">
        <f>IF(Log_2019[[#This Row],[My Category]]="NONTRACKED",0,Log_2019[[#This Row],[Raw Amount]])</f>
        <v>-75</v>
      </c>
      <c r="J100" s="37">
        <f>ABS(Log_2019[[#This Row],[Amount]])</f>
        <v>75</v>
      </c>
      <c r="K100" s="38">
        <v>1</v>
      </c>
      <c r="L100" s="38">
        <f ca="1">IF(Log_2019[[#This Row],[Date]]&lt;=TODAY(), MIN(Log_2019[[#This Row],[Split_raw]], TODAY()-Log_2019[[#This Row],[Date]]+1), 0)</f>
        <v>1</v>
      </c>
      <c r="M100" s="34" t="s">
        <v>42</v>
      </c>
      <c r="N100" s="34" t="s">
        <v>158</v>
      </c>
      <c r="O100" s="7">
        <v>0</v>
      </c>
      <c r="P100" s="52">
        <f ca="1">Log_2019[[#This Row],[Amount]]/Log_2019[[#This Row],[Split_raw]]*MAX(0,MIN(_xlfn.DAYS(EDATE(P$1,1),Log_2019[[#This Row],[Date]]),Log_2019[[#This Row],[Split_apply]])) - SUM($O100:O100)</f>
        <v>0</v>
      </c>
      <c r="Q100" s="52">
        <f ca="1">Log_2019[[#This Row],[Amount]]/Log_2019[[#This Row],[Split_raw]]*MAX(0,MIN(_xlfn.DAYS(EDATE(Q$1,1),Log_2019[[#This Row],[Date]]),Log_2019[[#This Row],[Split_apply]])) - SUM($O100:P100)</f>
        <v>0</v>
      </c>
      <c r="R100" s="52">
        <f ca="1">Log_2019[[#This Row],[Amount]]/Log_2019[[#This Row],[Split_raw]]*MAX(0,MIN(_xlfn.DAYS(EDATE(R$1,1),Log_2019[[#This Row],[Date]]),Log_2019[[#This Row],[Split_apply]])) - SUM($O100:Q100)</f>
        <v>0</v>
      </c>
      <c r="S100" s="52">
        <f ca="1">Log_2019[[#This Row],[Amount]]/Log_2019[[#This Row],[Split_raw]]*MAX(0,MIN(_xlfn.DAYS(EDATE(S$1,1),Log_2019[[#This Row],[Date]]),Log_2019[[#This Row],[Split_apply]])) - SUM($O100:R100)</f>
        <v>0</v>
      </c>
      <c r="T100" s="52">
        <f ca="1">Log_2019[[#This Row],[Amount]]/Log_2019[[#This Row],[Split_raw]]*MAX(0,MIN(_xlfn.DAYS(EDATE(T$1,1),Log_2019[[#This Row],[Date]]),Log_2019[[#This Row],[Split_apply]])) - SUM($O100:S100)</f>
        <v>0</v>
      </c>
      <c r="U100" s="52">
        <f ca="1">Log_2019[[#This Row],[Amount]]/Log_2019[[#This Row],[Split_raw]]*MAX(0,MIN(_xlfn.DAYS(EDATE(U$1,1),Log_2019[[#This Row],[Date]]),Log_2019[[#This Row],[Split_apply]])) - SUM($O100:T100)</f>
        <v>0</v>
      </c>
      <c r="V100" s="52">
        <f ca="1">Log_2019[[#This Row],[Amount]]/Log_2019[[#This Row],[Split_raw]]*MAX(0,MIN(_xlfn.DAYS(EDATE(V$1,1),Log_2019[[#This Row],[Date]]),Log_2019[[#This Row],[Split_apply]])) - SUM($O100:U100)</f>
        <v>0</v>
      </c>
      <c r="W100" s="52">
        <f ca="1">Log_2019[[#This Row],[Amount]]/Log_2019[[#This Row],[Split_raw]]*MAX(0,MIN(_xlfn.DAYS(EDATE(W$1,1),Log_2019[[#This Row],[Date]]),Log_2019[[#This Row],[Split_apply]])) - SUM($O100:V100)</f>
        <v>0</v>
      </c>
      <c r="X100" s="52">
        <f ca="1">Log_2019[[#This Row],[Amount]]/Log_2019[[#This Row],[Split_raw]]*MAX(0,MIN(_xlfn.DAYS(EDATE(X$1,1),Log_2019[[#This Row],[Date]]),Log_2019[[#This Row],[Split_apply]])) - SUM($O100:W100)</f>
        <v>0</v>
      </c>
      <c r="Y100" s="52">
        <f ca="1">Log_2019[[#This Row],[Amount]]/Log_2019[[#This Row],[Split_raw]]*MAX(0,MIN(_xlfn.DAYS(EDATE(Y$1,1),Log_2019[[#This Row],[Date]]),Log_2019[[#This Row],[Split_apply]])) - SUM($O100:X100)</f>
        <v>0</v>
      </c>
      <c r="Z100" s="52">
        <f ca="1">Log_2019[[#This Row],[Amount]]/Log_2019[[#This Row],[Split_raw]]*MAX(0,MIN(_xlfn.DAYS(EDATE(Z$1,1),Log_2019[[#This Row],[Date]]),Log_2019[[#This Row],[Split_apply]])) - SUM($O100:Y100)</f>
        <v>-75</v>
      </c>
      <c r="AA100" s="52">
        <f ca="1">Log_2019[[#This Row],[Amount]]/Log_2019[[#This Row],[Split_raw]]*MAX(0,MIN(_xlfn.DAYS(EDATE(AA$1,1),Log_2019[[#This Row],[Date]]),Log_2019[[#This Row],[Split_apply]])) - SUM($O100:Z100)</f>
        <v>0</v>
      </c>
      <c r="AB100" s="54">
        <f ca="1">Log_2019[[#This Row],[Amount]]-SUM(O100:AA100)</f>
        <v>0</v>
      </c>
      <c r="AC100" s="7">
        <f>MAX(0,Log_2019[[#This Row],[Split_raw]] - (EDATE(AA$1,1)-Log_2019[[#This Row],[Date]]))</f>
        <v>0</v>
      </c>
    </row>
    <row r="101" spans="1:29" x14ac:dyDescent="0.25">
      <c r="A101" s="42"/>
      <c r="B101" s="34" t="s">
        <v>6</v>
      </c>
      <c r="C101" s="34"/>
      <c r="D101" s="35">
        <v>43770</v>
      </c>
      <c r="E101" t="s">
        <v>960</v>
      </c>
      <c r="F101" s="34" t="s">
        <v>751</v>
      </c>
      <c r="G101" s="34" t="s">
        <v>8</v>
      </c>
      <c r="H101">
        <v>-320</v>
      </c>
      <c r="I101" s="36">
        <f>IF(Log_2019[[#This Row],[My Category]]="NONTRACKED",0,Log_2019[[#This Row],[Raw Amount]])</f>
        <v>-320</v>
      </c>
      <c r="J101" s="37">
        <f>ABS(Log_2019[[#This Row],[Amount]])</f>
        <v>320</v>
      </c>
      <c r="K101" s="5">
        <v>30</v>
      </c>
      <c r="L101" s="38">
        <f ca="1">IF(Log_2019[[#This Row],[Date]]&lt;=TODAY(), MIN(Log_2019[[#This Row],[Split_raw]], TODAY()-Log_2019[[#This Row],[Date]]+1), 0)</f>
        <v>30</v>
      </c>
      <c r="M101" s="34" t="s">
        <v>93</v>
      </c>
      <c r="N101" s="34" t="s">
        <v>160</v>
      </c>
      <c r="O101" s="7">
        <v>0</v>
      </c>
      <c r="P101" s="52">
        <f ca="1">Log_2019[[#This Row],[Amount]]/Log_2019[[#This Row],[Split_raw]]*MAX(0,MIN(_xlfn.DAYS(EDATE(P$1,1),Log_2019[[#This Row],[Date]]),Log_2019[[#This Row],[Split_apply]])) - SUM($O101:O101)</f>
        <v>0</v>
      </c>
      <c r="Q101" s="52">
        <f ca="1">Log_2019[[#This Row],[Amount]]/Log_2019[[#This Row],[Split_raw]]*MAX(0,MIN(_xlfn.DAYS(EDATE(Q$1,1),Log_2019[[#This Row],[Date]]),Log_2019[[#This Row],[Split_apply]])) - SUM($O101:P101)</f>
        <v>0</v>
      </c>
      <c r="R101" s="52">
        <f ca="1">Log_2019[[#This Row],[Amount]]/Log_2019[[#This Row],[Split_raw]]*MAX(0,MIN(_xlfn.DAYS(EDATE(R$1,1),Log_2019[[#This Row],[Date]]),Log_2019[[#This Row],[Split_apply]])) - SUM($O101:Q101)</f>
        <v>0</v>
      </c>
      <c r="S101" s="52">
        <f ca="1">Log_2019[[#This Row],[Amount]]/Log_2019[[#This Row],[Split_raw]]*MAX(0,MIN(_xlfn.DAYS(EDATE(S$1,1),Log_2019[[#This Row],[Date]]),Log_2019[[#This Row],[Split_apply]])) - SUM($O101:R101)</f>
        <v>0</v>
      </c>
      <c r="T101" s="52">
        <f ca="1">Log_2019[[#This Row],[Amount]]/Log_2019[[#This Row],[Split_raw]]*MAX(0,MIN(_xlfn.DAYS(EDATE(T$1,1),Log_2019[[#This Row],[Date]]),Log_2019[[#This Row],[Split_apply]])) - SUM($O101:S101)</f>
        <v>0</v>
      </c>
      <c r="U101" s="52">
        <f ca="1">Log_2019[[#This Row],[Amount]]/Log_2019[[#This Row],[Split_raw]]*MAX(0,MIN(_xlfn.DAYS(EDATE(U$1,1),Log_2019[[#This Row],[Date]]),Log_2019[[#This Row],[Split_apply]])) - SUM($O101:T101)</f>
        <v>0</v>
      </c>
      <c r="V101" s="52">
        <f ca="1">Log_2019[[#This Row],[Amount]]/Log_2019[[#This Row],[Split_raw]]*MAX(0,MIN(_xlfn.DAYS(EDATE(V$1,1),Log_2019[[#This Row],[Date]]),Log_2019[[#This Row],[Split_apply]])) - SUM($O101:U101)</f>
        <v>0</v>
      </c>
      <c r="W101" s="52">
        <f ca="1">Log_2019[[#This Row],[Amount]]/Log_2019[[#This Row],[Split_raw]]*MAX(0,MIN(_xlfn.DAYS(EDATE(W$1,1),Log_2019[[#This Row],[Date]]),Log_2019[[#This Row],[Split_apply]])) - SUM($O101:V101)</f>
        <v>0</v>
      </c>
      <c r="X101" s="52">
        <f ca="1">Log_2019[[#This Row],[Amount]]/Log_2019[[#This Row],[Split_raw]]*MAX(0,MIN(_xlfn.DAYS(EDATE(X$1,1),Log_2019[[#This Row],[Date]]),Log_2019[[#This Row],[Split_apply]])) - SUM($O101:W101)</f>
        <v>0</v>
      </c>
      <c r="Y101" s="52">
        <f ca="1">Log_2019[[#This Row],[Amount]]/Log_2019[[#This Row],[Split_raw]]*MAX(0,MIN(_xlfn.DAYS(EDATE(Y$1,1),Log_2019[[#This Row],[Date]]),Log_2019[[#This Row],[Split_apply]])) - SUM($O101:X101)</f>
        <v>0</v>
      </c>
      <c r="Z101" s="52">
        <f ca="1">Log_2019[[#This Row],[Amount]]/Log_2019[[#This Row],[Split_raw]]*MAX(0,MIN(_xlfn.DAYS(EDATE(Z$1,1),Log_2019[[#This Row],[Date]]),Log_2019[[#This Row],[Split_apply]])) - SUM($O101:Y101)</f>
        <v>-320</v>
      </c>
      <c r="AA101" s="52">
        <f ca="1">Log_2019[[#This Row],[Amount]]/Log_2019[[#This Row],[Split_raw]]*MAX(0,MIN(_xlfn.DAYS(EDATE(AA$1,1),Log_2019[[#This Row],[Date]]),Log_2019[[#This Row],[Split_apply]])) - SUM($O101:Z101)</f>
        <v>0</v>
      </c>
      <c r="AB101" s="54">
        <f ca="1">Log_2019[[#This Row],[Amount]]-SUM(O101:AA101)</f>
        <v>0</v>
      </c>
      <c r="AC101" s="7">
        <f>MAX(0,Log_2019[[#This Row],[Split_raw]] - (EDATE(AA$1,1)-Log_2019[[#This Row],[Date]]))</f>
        <v>0</v>
      </c>
    </row>
    <row r="102" spans="1:29" x14ac:dyDescent="0.25">
      <c r="A102" s="42"/>
      <c r="B102" s="34" t="s">
        <v>6</v>
      </c>
      <c r="C102" s="34"/>
      <c r="D102" s="35">
        <v>43770</v>
      </c>
      <c r="E102" s="34" t="s">
        <v>883</v>
      </c>
      <c r="F102" s="34" t="s">
        <v>678</v>
      </c>
      <c r="G102" s="34" t="s">
        <v>384</v>
      </c>
      <c r="H102">
        <f>--29.75</f>
        <v>29.75</v>
      </c>
      <c r="I102" s="36">
        <f>IF(Log_2019[[#This Row],[My Category]]="NONTRACKED",0,Log_2019[[#This Row],[Raw Amount]])</f>
        <v>29.75</v>
      </c>
      <c r="J102" s="37">
        <f>ABS(Log_2019[[#This Row],[Amount]])</f>
        <v>29.75</v>
      </c>
      <c r="K102" s="38">
        <v>1</v>
      </c>
      <c r="L102" s="38">
        <f ca="1">IF(Log_2019[[#This Row],[Date]]&lt;=TODAY(), MIN(Log_2019[[#This Row],[Split_raw]], TODAY()-Log_2019[[#This Row],[Date]]+1), 0)</f>
        <v>1</v>
      </c>
      <c r="M102" s="34" t="s">
        <v>366</v>
      </c>
      <c r="N102" s="34" t="s">
        <v>158</v>
      </c>
      <c r="O102" s="7">
        <v>0</v>
      </c>
      <c r="P102" s="52">
        <f ca="1">Log_2019[[#This Row],[Amount]]/Log_2019[[#This Row],[Split_raw]]*MAX(0,MIN(_xlfn.DAYS(EDATE(P$1,1),Log_2019[[#This Row],[Date]]),Log_2019[[#This Row],[Split_apply]])) - SUM($O102:O102)</f>
        <v>0</v>
      </c>
      <c r="Q102" s="52">
        <f ca="1">Log_2019[[#This Row],[Amount]]/Log_2019[[#This Row],[Split_raw]]*MAX(0,MIN(_xlfn.DAYS(EDATE(Q$1,1),Log_2019[[#This Row],[Date]]),Log_2019[[#This Row],[Split_apply]])) - SUM($O102:P102)</f>
        <v>0</v>
      </c>
      <c r="R102" s="52">
        <f ca="1">Log_2019[[#This Row],[Amount]]/Log_2019[[#This Row],[Split_raw]]*MAX(0,MIN(_xlfn.DAYS(EDATE(R$1,1),Log_2019[[#This Row],[Date]]),Log_2019[[#This Row],[Split_apply]])) - SUM($O102:Q102)</f>
        <v>0</v>
      </c>
      <c r="S102" s="52">
        <f ca="1">Log_2019[[#This Row],[Amount]]/Log_2019[[#This Row],[Split_raw]]*MAX(0,MIN(_xlfn.DAYS(EDATE(S$1,1),Log_2019[[#This Row],[Date]]),Log_2019[[#This Row],[Split_apply]])) - SUM($O102:R102)</f>
        <v>0</v>
      </c>
      <c r="T102" s="52">
        <f ca="1">Log_2019[[#This Row],[Amount]]/Log_2019[[#This Row],[Split_raw]]*MAX(0,MIN(_xlfn.DAYS(EDATE(T$1,1),Log_2019[[#This Row],[Date]]),Log_2019[[#This Row],[Split_apply]])) - SUM($O102:S102)</f>
        <v>0</v>
      </c>
      <c r="U102" s="52">
        <f ca="1">Log_2019[[#This Row],[Amount]]/Log_2019[[#This Row],[Split_raw]]*MAX(0,MIN(_xlfn.DAYS(EDATE(U$1,1),Log_2019[[#This Row],[Date]]),Log_2019[[#This Row],[Split_apply]])) - SUM($O102:T102)</f>
        <v>0</v>
      </c>
      <c r="V102" s="52">
        <f ca="1">Log_2019[[#This Row],[Amount]]/Log_2019[[#This Row],[Split_raw]]*MAX(0,MIN(_xlfn.DAYS(EDATE(V$1,1),Log_2019[[#This Row],[Date]]),Log_2019[[#This Row],[Split_apply]])) - SUM($O102:U102)</f>
        <v>0</v>
      </c>
      <c r="W102" s="52">
        <f ca="1">Log_2019[[#This Row],[Amount]]/Log_2019[[#This Row],[Split_raw]]*MAX(0,MIN(_xlfn.DAYS(EDATE(W$1,1),Log_2019[[#This Row],[Date]]),Log_2019[[#This Row],[Split_apply]])) - SUM($O102:V102)</f>
        <v>0</v>
      </c>
      <c r="X102" s="52">
        <f ca="1">Log_2019[[#This Row],[Amount]]/Log_2019[[#This Row],[Split_raw]]*MAX(0,MIN(_xlfn.DAYS(EDATE(X$1,1),Log_2019[[#This Row],[Date]]),Log_2019[[#This Row],[Split_apply]])) - SUM($O102:W102)</f>
        <v>0</v>
      </c>
      <c r="Y102" s="52">
        <f ca="1">Log_2019[[#This Row],[Amount]]/Log_2019[[#This Row],[Split_raw]]*MAX(0,MIN(_xlfn.DAYS(EDATE(Y$1,1),Log_2019[[#This Row],[Date]]),Log_2019[[#This Row],[Split_apply]])) - SUM($O102:X102)</f>
        <v>0</v>
      </c>
      <c r="Z102" s="52">
        <f ca="1">Log_2019[[#This Row],[Amount]]/Log_2019[[#This Row],[Split_raw]]*MAX(0,MIN(_xlfn.DAYS(EDATE(Z$1,1),Log_2019[[#This Row],[Date]]),Log_2019[[#This Row],[Split_apply]])) - SUM($O102:Y102)</f>
        <v>29.75</v>
      </c>
      <c r="AA102" s="52">
        <f ca="1">Log_2019[[#This Row],[Amount]]/Log_2019[[#This Row],[Split_raw]]*MAX(0,MIN(_xlfn.DAYS(EDATE(AA$1,1),Log_2019[[#This Row],[Date]]),Log_2019[[#This Row],[Split_apply]])) - SUM($O102:Z102)</f>
        <v>0</v>
      </c>
      <c r="AB102" s="54">
        <f ca="1">Log_2019[[#This Row],[Amount]]-SUM(O102:AA102)</f>
        <v>0</v>
      </c>
      <c r="AC102" s="7">
        <f>MAX(0,Log_2019[[#This Row],[Split_raw]] - (EDATE(AA$1,1)-Log_2019[[#This Row],[Date]]))</f>
        <v>0</v>
      </c>
    </row>
    <row r="103" spans="1:29" x14ac:dyDescent="0.25">
      <c r="A103" s="42"/>
      <c r="B103" s="34" t="s">
        <v>6</v>
      </c>
      <c r="C103" s="34"/>
      <c r="D103" s="35">
        <v>43769</v>
      </c>
      <c r="E103" s="34"/>
      <c r="F103" s="34" t="s">
        <v>255</v>
      </c>
      <c r="G103" s="34" t="s">
        <v>10</v>
      </c>
      <c r="H103">
        <v>-28.53</v>
      </c>
      <c r="I103" s="36">
        <f>IF(Log_2019[[#This Row],[My Category]]="NONTRACKED",0,Log_2019[[#This Row],[Raw Amount]])</f>
        <v>-28.53</v>
      </c>
      <c r="J103" s="37">
        <f>ABS(Log_2019[[#This Row],[Amount]])</f>
        <v>28.53</v>
      </c>
      <c r="K103" s="38">
        <v>1</v>
      </c>
      <c r="L103" s="38">
        <f ca="1">IF(Log_2019[[#This Row],[Date]]&lt;=TODAY(), MIN(Log_2019[[#This Row],[Split_raw]], TODAY()-Log_2019[[#This Row],[Date]]+1), 0)</f>
        <v>1</v>
      </c>
      <c r="M103" s="34" t="s">
        <v>52</v>
      </c>
      <c r="N103" s="34" t="s">
        <v>158</v>
      </c>
      <c r="O103" s="7">
        <v>0</v>
      </c>
      <c r="P103" s="52">
        <f ca="1">Log_2019[[#This Row],[Amount]]/Log_2019[[#This Row],[Split_raw]]*MAX(0,MIN(_xlfn.DAYS(EDATE(P$1,1),Log_2019[[#This Row],[Date]]),Log_2019[[#This Row],[Split_apply]])) - SUM($O103:O103)</f>
        <v>0</v>
      </c>
      <c r="Q103" s="52">
        <f ca="1">Log_2019[[#This Row],[Amount]]/Log_2019[[#This Row],[Split_raw]]*MAX(0,MIN(_xlfn.DAYS(EDATE(Q$1,1),Log_2019[[#This Row],[Date]]),Log_2019[[#This Row],[Split_apply]])) - SUM($O103:P103)</f>
        <v>0</v>
      </c>
      <c r="R103" s="52">
        <f ca="1">Log_2019[[#This Row],[Amount]]/Log_2019[[#This Row],[Split_raw]]*MAX(0,MIN(_xlfn.DAYS(EDATE(R$1,1),Log_2019[[#This Row],[Date]]),Log_2019[[#This Row],[Split_apply]])) - SUM($O103:Q103)</f>
        <v>0</v>
      </c>
      <c r="S103" s="52">
        <f ca="1">Log_2019[[#This Row],[Amount]]/Log_2019[[#This Row],[Split_raw]]*MAX(0,MIN(_xlfn.DAYS(EDATE(S$1,1),Log_2019[[#This Row],[Date]]),Log_2019[[#This Row],[Split_apply]])) - SUM($O103:R103)</f>
        <v>0</v>
      </c>
      <c r="T103" s="52">
        <f ca="1">Log_2019[[#This Row],[Amount]]/Log_2019[[#This Row],[Split_raw]]*MAX(0,MIN(_xlfn.DAYS(EDATE(T$1,1),Log_2019[[#This Row],[Date]]),Log_2019[[#This Row],[Split_apply]])) - SUM($O103:S103)</f>
        <v>0</v>
      </c>
      <c r="U103" s="52">
        <f ca="1">Log_2019[[#This Row],[Amount]]/Log_2019[[#This Row],[Split_raw]]*MAX(0,MIN(_xlfn.DAYS(EDATE(U$1,1),Log_2019[[#This Row],[Date]]),Log_2019[[#This Row],[Split_apply]])) - SUM($O103:T103)</f>
        <v>0</v>
      </c>
      <c r="V103" s="52">
        <f ca="1">Log_2019[[#This Row],[Amount]]/Log_2019[[#This Row],[Split_raw]]*MAX(0,MIN(_xlfn.DAYS(EDATE(V$1,1),Log_2019[[#This Row],[Date]]),Log_2019[[#This Row],[Split_apply]])) - SUM($O103:U103)</f>
        <v>0</v>
      </c>
      <c r="W103" s="52">
        <f ca="1">Log_2019[[#This Row],[Amount]]/Log_2019[[#This Row],[Split_raw]]*MAX(0,MIN(_xlfn.DAYS(EDATE(W$1,1),Log_2019[[#This Row],[Date]]),Log_2019[[#This Row],[Split_apply]])) - SUM($O103:V103)</f>
        <v>0</v>
      </c>
      <c r="X103" s="52">
        <f ca="1">Log_2019[[#This Row],[Amount]]/Log_2019[[#This Row],[Split_raw]]*MAX(0,MIN(_xlfn.DAYS(EDATE(X$1,1),Log_2019[[#This Row],[Date]]),Log_2019[[#This Row],[Split_apply]])) - SUM($O103:W103)</f>
        <v>0</v>
      </c>
      <c r="Y103" s="52">
        <f ca="1">Log_2019[[#This Row],[Amount]]/Log_2019[[#This Row],[Split_raw]]*MAX(0,MIN(_xlfn.DAYS(EDATE(Y$1,1),Log_2019[[#This Row],[Date]]),Log_2019[[#This Row],[Split_apply]])) - SUM($O103:X103)</f>
        <v>-28.53</v>
      </c>
      <c r="Z103" s="52">
        <f ca="1">Log_2019[[#This Row],[Amount]]/Log_2019[[#This Row],[Split_raw]]*MAX(0,MIN(_xlfn.DAYS(EDATE(Z$1,1),Log_2019[[#This Row],[Date]]),Log_2019[[#This Row],[Split_apply]])) - SUM($O103:Y103)</f>
        <v>0</v>
      </c>
      <c r="AA103" s="52">
        <f ca="1">Log_2019[[#This Row],[Amount]]/Log_2019[[#This Row],[Split_raw]]*MAX(0,MIN(_xlfn.DAYS(EDATE(AA$1,1),Log_2019[[#This Row],[Date]]),Log_2019[[#This Row],[Split_apply]])) - SUM($O103:Z103)</f>
        <v>0</v>
      </c>
      <c r="AB103" s="54">
        <f ca="1">Log_2019[[#This Row],[Amount]]-SUM(O103:AA103)</f>
        <v>0</v>
      </c>
      <c r="AC103" s="7">
        <f>MAX(0,Log_2019[[#This Row],[Split_raw]] - (EDATE(AA$1,1)-Log_2019[[#This Row],[Date]]))</f>
        <v>0</v>
      </c>
    </row>
    <row r="104" spans="1:29" x14ac:dyDescent="0.25">
      <c r="A104" s="42"/>
      <c r="B104" s="34" t="s">
        <v>6</v>
      </c>
      <c r="C104" s="34"/>
      <c r="D104" s="35">
        <v>43768</v>
      </c>
      <c r="E104" s="34"/>
      <c r="F104" s="34" t="s">
        <v>16</v>
      </c>
      <c r="G104" s="34" t="s">
        <v>17</v>
      </c>
      <c r="H104">
        <f>--0.18</f>
        <v>0.18</v>
      </c>
      <c r="I104" s="36">
        <f>IF(Log_2019[[#This Row],[My Category]]="NONTRACKED",0,Log_2019[[#This Row],[Raw Amount]])</f>
        <v>0.18</v>
      </c>
      <c r="J104" s="37">
        <f>ABS(Log_2019[[#This Row],[Amount]])</f>
        <v>0.18</v>
      </c>
      <c r="K104" s="38">
        <v>1</v>
      </c>
      <c r="L104" s="38">
        <f ca="1">IF(Log_2019[[#This Row],[Date]]&lt;=TODAY(), MIN(Log_2019[[#This Row],[Split_raw]], TODAY()-Log_2019[[#This Row],[Date]]+1), 0)</f>
        <v>1</v>
      </c>
      <c r="M104" s="34" t="s">
        <v>144</v>
      </c>
      <c r="N104" s="34" t="s">
        <v>160</v>
      </c>
      <c r="O104" s="7">
        <v>0</v>
      </c>
      <c r="P104" s="52">
        <f ca="1">Log_2019[[#This Row],[Amount]]/Log_2019[[#This Row],[Split_raw]]*MAX(0,MIN(_xlfn.DAYS(EDATE(P$1,1),Log_2019[[#This Row],[Date]]),Log_2019[[#This Row],[Split_apply]])) - SUM($O104:O104)</f>
        <v>0</v>
      </c>
      <c r="Q104" s="52">
        <f ca="1">Log_2019[[#This Row],[Amount]]/Log_2019[[#This Row],[Split_raw]]*MAX(0,MIN(_xlfn.DAYS(EDATE(Q$1,1),Log_2019[[#This Row],[Date]]),Log_2019[[#This Row],[Split_apply]])) - SUM($O104:P104)</f>
        <v>0</v>
      </c>
      <c r="R104" s="52">
        <f ca="1">Log_2019[[#This Row],[Amount]]/Log_2019[[#This Row],[Split_raw]]*MAX(0,MIN(_xlfn.DAYS(EDATE(R$1,1),Log_2019[[#This Row],[Date]]),Log_2019[[#This Row],[Split_apply]])) - SUM($O104:Q104)</f>
        <v>0</v>
      </c>
      <c r="S104" s="52">
        <f ca="1">Log_2019[[#This Row],[Amount]]/Log_2019[[#This Row],[Split_raw]]*MAX(0,MIN(_xlfn.DAYS(EDATE(S$1,1),Log_2019[[#This Row],[Date]]),Log_2019[[#This Row],[Split_apply]])) - SUM($O104:R104)</f>
        <v>0</v>
      </c>
      <c r="T104" s="52">
        <f ca="1">Log_2019[[#This Row],[Amount]]/Log_2019[[#This Row],[Split_raw]]*MAX(0,MIN(_xlfn.DAYS(EDATE(T$1,1),Log_2019[[#This Row],[Date]]),Log_2019[[#This Row],[Split_apply]])) - SUM($O104:S104)</f>
        <v>0</v>
      </c>
      <c r="U104" s="52">
        <f ca="1">Log_2019[[#This Row],[Amount]]/Log_2019[[#This Row],[Split_raw]]*MAX(0,MIN(_xlfn.DAYS(EDATE(U$1,1),Log_2019[[#This Row],[Date]]),Log_2019[[#This Row],[Split_apply]])) - SUM($O104:T104)</f>
        <v>0</v>
      </c>
      <c r="V104" s="52">
        <f ca="1">Log_2019[[#This Row],[Amount]]/Log_2019[[#This Row],[Split_raw]]*MAX(0,MIN(_xlfn.DAYS(EDATE(V$1,1),Log_2019[[#This Row],[Date]]),Log_2019[[#This Row],[Split_apply]])) - SUM($O104:U104)</f>
        <v>0</v>
      </c>
      <c r="W104" s="52">
        <f ca="1">Log_2019[[#This Row],[Amount]]/Log_2019[[#This Row],[Split_raw]]*MAX(0,MIN(_xlfn.DAYS(EDATE(W$1,1),Log_2019[[#This Row],[Date]]),Log_2019[[#This Row],[Split_apply]])) - SUM($O104:V104)</f>
        <v>0</v>
      </c>
      <c r="X104" s="52">
        <f ca="1">Log_2019[[#This Row],[Amount]]/Log_2019[[#This Row],[Split_raw]]*MAX(0,MIN(_xlfn.DAYS(EDATE(X$1,1),Log_2019[[#This Row],[Date]]),Log_2019[[#This Row],[Split_apply]])) - SUM($O104:W104)</f>
        <v>0</v>
      </c>
      <c r="Y104" s="52">
        <f ca="1">Log_2019[[#This Row],[Amount]]/Log_2019[[#This Row],[Split_raw]]*MAX(0,MIN(_xlfn.DAYS(EDATE(Y$1,1),Log_2019[[#This Row],[Date]]),Log_2019[[#This Row],[Split_apply]])) - SUM($O104:X104)</f>
        <v>0.18</v>
      </c>
      <c r="Z104" s="52">
        <f ca="1">Log_2019[[#This Row],[Amount]]/Log_2019[[#This Row],[Split_raw]]*MAX(0,MIN(_xlfn.DAYS(EDATE(Z$1,1),Log_2019[[#This Row],[Date]]),Log_2019[[#This Row],[Split_apply]])) - SUM($O104:Y104)</f>
        <v>0</v>
      </c>
      <c r="AA104" s="52">
        <f ca="1">Log_2019[[#This Row],[Amount]]/Log_2019[[#This Row],[Split_raw]]*MAX(0,MIN(_xlfn.DAYS(EDATE(AA$1,1),Log_2019[[#This Row],[Date]]),Log_2019[[#This Row],[Split_apply]])) - SUM($O104:Z104)</f>
        <v>0</v>
      </c>
      <c r="AB104" s="54">
        <f ca="1">Log_2019[[#This Row],[Amount]]-SUM(O104:AA104)</f>
        <v>0</v>
      </c>
      <c r="AC104" s="7">
        <f>MAX(0,Log_2019[[#This Row],[Split_raw]] - (EDATE(AA$1,1)-Log_2019[[#This Row],[Date]]))</f>
        <v>0</v>
      </c>
    </row>
    <row r="105" spans="1:29" x14ac:dyDescent="0.25">
      <c r="A105" s="42"/>
      <c r="B105" s="34" t="s">
        <v>6</v>
      </c>
      <c r="C105" s="34"/>
      <c r="D105" s="35">
        <v>43768</v>
      </c>
      <c r="E105" s="34"/>
      <c r="F105" s="34" t="s">
        <v>765</v>
      </c>
      <c r="G105" s="34" t="s">
        <v>25</v>
      </c>
      <c r="H105">
        <v>-9.17</v>
      </c>
      <c r="I105" s="36">
        <f>IF(Log_2019[[#This Row],[My Category]]="NONTRACKED",0,Log_2019[[#This Row],[Raw Amount]])</f>
        <v>-9.17</v>
      </c>
      <c r="J105" s="37">
        <f>ABS(Log_2019[[#This Row],[Amount]])</f>
        <v>9.17</v>
      </c>
      <c r="K105" s="38">
        <v>1</v>
      </c>
      <c r="L105" s="38">
        <f ca="1">IF(Log_2019[[#This Row],[Date]]&lt;=TODAY(), MIN(Log_2019[[#This Row],[Split_raw]], TODAY()-Log_2019[[#This Row],[Date]]+1), 0)</f>
        <v>1</v>
      </c>
      <c r="M105" s="34" t="s">
        <v>35</v>
      </c>
      <c r="N105" s="34" t="s">
        <v>158</v>
      </c>
      <c r="O105" s="7">
        <v>0</v>
      </c>
      <c r="P105" s="52">
        <f ca="1">Log_2019[[#This Row],[Amount]]/Log_2019[[#This Row],[Split_raw]]*MAX(0,MIN(_xlfn.DAYS(EDATE(P$1,1),Log_2019[[#This Row],[Date]]),Log_2019[[#This Row],[Split_apply]])) - SUM($O105:O105)</f>
        <v>0</v>
      </c>
      <c r="Q105" s="52">
        <f ca="1">Log_2019[[#This Row],[Amount]]/Log_2019[[#This Row],[Split_raw]]*MAX(0,MIN(_xlfn.DAYS(EDATE(Q$1,1),Log_2019[[#This Row],[Date]]),Log_2019[[#This Row],[Split_apply]])) - SUM($O105:P105)</f>
        <v>0</v>
      </c>
      <c r="R105" s="52">
        <f ca="1">Log_2019[[#This Row],[Amount]]/Log_2019[[#This Row],[Split_raw]]*MAX(0,MIN(_xlfn.DAYS(EDATE(R$1,1),Log_2019[[#This Row],[Date]]),Log_2019[[#This Row],[Split_apply]])) - SUM($O105:Q105)</f>
        <v>0</v>
      </c>
      <c r="S105" s="52">
        <f ca="1">Log_2019[[#This Row],[Amount]]/Log_2019[[#This Row],[Split_raw]]*MAX(0,MIN(_xlfn.DAYS(EDATE(S$1,1),Log_2019[[#This Row],[Date]]),Log_2019[[#This Row],[Split_apply]])) - SUM($O105:R105)</f>
        <v>0</v>
      </c>
      <c r="T105" s="52">
        <f ca="1">Log_2019[[#This Row],[Amount]]/Log_2019[[#This Row],[Split_raw]]*MAX(0,MIN(_xlfn.DAYS(EDATE(T$1,1),Log_2019[[#This Row],[Date]]),Log_2019[[#This Row],[Split_apply]])) - SUM($O105:S105)</f>
        <v>0</v>
      </c>
      <c r="U105" s="52">
        <f ca="1">Log_2019[[#This Row],[Amount]]/Log_2019[[#This Row],[Split_raw]]*MAX(0,MIN(_xlfn.DAYS(EDATE(U$1,1),Log_2019[[#This Row],[Date]]),Log_2019[[#This Row],[Split_apply]])) - SUM($O105:T105)</f>
        <v>0</v>
      </c>
      <c r="V105" s="52">
        <f ca="1">Log_2019[[#This Row],[Amount]]/Log_2019[[#This Row],[Split_raw]]*MAX(0,MIN(_xlfn.DAYS(EDATE(V$1,1),Log_2019[[#This Row],[Date]]),Log_2019[[#This Row],[Split_apply]])) - SUM($O105:U105)</f>
        <v>0</v>
      </c>
      <c r="W105" s="52">
        <f ca="1">Log_2019[[#This Row],[Amount]]/Log_2019[[#This Row],[Split_raw]]*MAX(0,MIN(_xlfn.DAYS(EDATE(W$1,1),Log_2019[[#This Row],[Date]]),Log_2019[[#This Row],[Split_apply]])) - SUM($O105:V105)</f>
        <v>0</v>
      </c>
      <c r="X105" s="52">
        <f ca="1">Log_2019[[#This Row],[Amount]]/Log_2019[[#This Row],[Split_raw]]*MAX(0,MIN(_xlfn.DAYS(EDATE(X$1,1),Log_2019[[#This Row],[Date]]),Log_2019[[#This Row],[Split_apply]])) - SUM($O105:W105)</f>
        <v>0</v>
      </c>
      <c r="Y105" s="52">
        <f ca="1">Log_2019[[#This Row],[Amount]]/Log_2019[[#This Row],[Split_raw]]*MAX(0,MIN(_xlfn.DAYS(EDATE(Y$1,1),Log_2019[[#This Row],[Date]]),Log_2019[[#This Row],[Split_apply]])) - SUM($O105:X105)</f>
        <v>-9.17</v>
      </c>
      <c r="Z105" s="52">
        <f ca="1">Log_2019[[#This Row],[Amount]]/Log_2019[[#This Row],[Split_raw]]*MAX(0,MIN(_xlfn.DAYS(EDATE(Z$1,1),Log_2019[[#This Row],[Date]]),Log_2019[[#This Row],[Split_apply]])) - SUM($O105:Y105)</f>
        <v>0</v>
      </c>
      <c r="AA105" s="52">
        <f ca="1">Log_2019[[#This Row],[Amount]]/Log_2019[[#This Row],[Split_raw]]*MAX(0,MIN(_xlfn.DAYS(EDATE(AA$1,1),Log_2019[[#This Row],[Date]]),Log_2019[[#This Row],[Split_apply]])) - SUM($O105:Z105)</f>
        <v>0</v>
      </c>
      <c r="AB105" s="54">
        <f ca="1">Log_2019[[#This Row],[Amount]]-SUM(O105:AA105)</f>
        <v>0</v>
      </c>
      <c r="AC105" s="7">
        <f>MAX(0,Log_2019[[#This Row],[Split_raw]] - (EDATE(AA$1,1)-Log_2019[[#This Row],[Date]]))</f>
        <v>0</v>
      </c>
    </row>
    <row r="106" spans="1:29" x14ac:dyDescent="0.25">
      <c r="A106" s="42"/>
      <c r="B106" s="34" t="s">
        <v>6</v>
      </c>
      <c r="C106" s="34"/>
      <c r="D106" s="35">
        <v>43767</v>
      </c>
      <c r="E106" s="34"/>
      <c r="F106" s="34" t="s">
        <v>345</v>
      </c>
      <c r="G106" s="34" t="s">
        <v>12</v>
      </c>
      <c r="H106">
        <v>-125.09</v>
      </c>
      <c r="I106" s="36">
        <f>IF(Log_2019[[#This Row],[My Category]]="NONTRACKED",0,Log_2019[[#This Row],[Raw Amount]])</f>
        <v>-125.09</v>
      </c>
      <c r="J106" s="37">
        <f>ABS(Log_2019[[#This Row],[Amount]])</f>
        <v>125.09</v>
      </c>
      <c r="K106" s="38">
        <v>1</v>
      </c>
      <c r="L106" s="38">
        <f ca="1">IF(Log_2019[[#This Row],[Date]]&lt;=TODAY(), MIN(Log_2019[[#This Row],[Split_raw]], TODAY()-Log_2019[[#This Row],[Date]]+1), 0)</f>
        <v>1</v>
      </c>
      <c r="M106" s="34" t="s">
        <v>12</v>
      </c>
      <c r="N106" s="34" t="s">
        <v>158</v>
      </c>
      <c r="O106" s="7">
        <v>0</v>
      </c>
      <c r="P106" s="52">
        <f ca="1">Log_2019[[#This Row],[Amount]]/Log_2019[[#This Row],[Split_raw]]*MAX(0,MIN(_xlfn.DAYS(EDATE(P$1,1),Log_2019[[#This Row],[Date]]),Log_2019[[#This Row],[Split_apply]])) - SUM($O106:O106)</f>
        <v>0</v>
      </c>
      <c r="Q106" s="52">
        <f ca="1">Log_2019[[#This Row],[Amount]]/Log_2019[[#This Row],[Split_raw]]*MAX(0,MIN(_xlfn.DAYS(EDATE(Q$1,1),Log_2019[[#This Row],[Date]]),Log_2019[[#This Row],[Split_apply]])) - SUM($O106:P106)</f>
        <v>0</v>
      </c>
      <c r="R106" s="52">
        <f ca="1">Log_2019[[#This Row],[Amount]]/Log_2019[[#This Row],[Split_raw]]*MAX(0,MIN(_xlfn.DAYS(EDATE(R$1,1),Log_2019[[#This Row],[Date]]),Log_2019[[#This Row],[Split_apply]])) - SUM($O106:Q106)</f>
        <v>0</v>
      </c>
      <c r="S106" s="52">
        <f ca="1">Log_2019[[#This Row],[Amount]]/Log_2019[[#This Row],[Split_raw]]*MAX(0,MIN(_xlfn.DAYS(EDATE(S$1,1),Log_2019[[#This Row],[Date]]),Log_2019[[#This Row],[Split_apply]])) - SUM($O106:R106)</f>
        <v>0</v>
      </c>
      <c r="T106" s="52">
        <f ca="1">Log_2019[[#This Row],[Amount]]/Log_2019[[#This Row],[Split_raw]]*MAX(0,MIN(_xlfn.DAYS(EDATE(T$1,1),Log_2019[[#This Row],[Date]]),Log_2019[[#This Row],[Split_apply]])) - SUM($O106:S106)</f>
        <v>0</v>
      </c>
      <c r="U106" s="52">
        <f ca="1">Log_2019[[#This Row],[Amount]]/Log_2019[[#This Row],[Split_raw]]*MAX(0,MIN(_xlfn.DAYS(EDATE(U$1,1),Log_2019[[#This Row],[Date]]),Log_2019[[#This Row],[Split_apply]])) - SUM($O106:T106)</f>
        <v>0</v>
      </c>
      <c r="V106" s="52">
        <f ca="1">Log_2019[[#This Row],[Amount]]/Log_2019[[#This Row],[Split_raw]]*MAX(0,MIN(_xlfn.DAYS(EDATE(V$1,1),Log_2019[[#This Row],[Date]]),Log_2019[[#This Row],[Split_apply]])) - SUM($O106:U106)</f>
        <v>0</v>
      </c>
      <c r="W106" s="52">
        <f ca="1">Log_2019[[#This Row],[Amount]]/Log_2019[[#This Row],[Split_raw]]*MAX(0,MIN(_xlfn.DAYS(EDATE(W$1,1),Log_2019[[#This Row],[Date]]),Log_2019[[#This Row],[Split_apply]])) - SUM($O106:V106)</f>
        <v>0</v>
      </c>
      <c r="X106" s="52">
        <f ca="1">Log_2019[[#This Row],[Amount]]/Log_2019[[#This Row],[Split_raw]]*MAX(0,MIN(_xlfn.DAYS(EDATE(X$1,1),Log_2019[[#This Row],[Date]]),Log_2019[[#This Row],[Split_apply]])) - SUM($O106:W106)</f>
        <v>0</v>
      </c>
      <c r="Y106" s="52">
        <f ca="1">Log_2019[[#This Row],[Amount]]/Log_2019[[#This Row],[Split_raw]]*MAX(0,MIN(_xlfn.DAYS(EDATE(Y$1,1),Log_2019[[#This Row],[Date]]),Log_2019[[#This Row],[Split_apply]])) - SUM($O106:X106)</f>
        <v>-125.09</v>
      </c>
      <c r="Z106" s="52">
        <f ca="1">Log_2019[[#This Row],[Amount]]/Log_2019[[#This Row],[Split_raw]]*MAX(0,MIN(_xlfn.DAYS(EDATE(Z$1,1),Log_2019[[#This Row],[Date]]),Log_2019[[#This Row],[Split_apply]])) - SUM($O106:Y106)</f>
        <v>0</v>
      </c>
      <c r="AA106" s="52">
        <f ca="1">Log_2019[[#This Row],[Amount]]/Log_2019[[#This Row],[Split_raw]]*MAX(0,MIN(_xlfn.DAYS(EDATE(AA$1,1),Log_2019[[#This Row],[Date]]),Log_2019[[#This Row],[Split_apply]])) - SUM($O106:Z106)</f>
        <v>0</v>
      </c>
      <c r="AB106" s="54">
        <f ca="1">Log_2019[[#This Row],[Amount]]-SUM(O106:AA106)</f>
        <v>0</v>
      </c>
      <c r="AC106" s="7">
        <f>MAX(0,Log_2019[[#This Row],[Split_raw]] - (EDATE(AA$1,1)-Log_2019[[#This Row],[Date]]))</f>
        <v>0</v>
      </c>
    </row>
    <row r="107" spans="1:29" x14ac:dyDescent="0.25">
      <c r="A107" s="42"/>
      <c r="B107" s="34" t="s">
        <v>6</v>
      </c>
      <c r="C107" s="34"/>
      <c r="D107" s="35">
        <v>43767</v>
      </c>
      <c r="E107" s="34"/>
      <c r="F107" s="34" t="s">
        <v>255</v>
      </c>
      <c r="G107" s="34" t="s">
        <v>10</v>
      </c>
      <c r="H107">
        <v>-10.37</v>
      </c>
      <c r="I107" s="36">
        <f>IF(Log_2019[[#This Row],[My Category]]="NONTRACKED",0,Log_2019[[#This Row],[Raw Amount]])</f>
        <v>-10.37</v>
      </c>
      <c r="J107" s="37">
        <f>ABS(Log_2019[[#This Row],[Amount]])</f>
        <v>10.37</v>
      </c>
      <c r="K107" s="38">
        <v>1</v>
      </c>
      <c r="L107" s="38">
        <f ca="1">IF(Log_2019[[#This Row],[Date]]&lt;=TODAY(), MIN(Log_2019[[#This Row],[Split_raw]], TODAY()-Log_2019[[#This Row],[Date]]+1), 0)</f>
        <v>1</v>
      </c>
      <c r="M107" s="34" t="s">
        <v>35</v>
      </c>
      <c r="N107" s="34" t="s">
        <v>158</v>
      </c>
      <c r="O107" s="7">
        <v>0</v>
      </c>
      <c r="P107" s="52">
        <f ca="1">Log_2019[[#This Row],[Amount]]/Log_2019[[#This Row],[Split_raw]]*MAX(0,MIN(_xlfn.DAYS(EDATE(P$1,1),Log_2019[[#This Row],[Date]]),Log_2019[[#This Row],[Split_apply]])) - SUM($O107:O107)</f>
        <v>0</v>
      </c>
      <c r="Q107" s="52">
        <f ca="1">Log_2019[[#This Row],[Amount]]/Log_2019[[#This Row],[Split_raw]]*MAX(0,MIN(_xlfn.DAYS(EDATE(Q$1,1),Log_2019[[#This Row],[Date]]),Log_2019[[#This Row],[Split_apply]])) - SUM($O107:P107)</f>
        <v>0</v>
      </c>
      <c r="R107" s="52">
        <f ca="1">Log_2019[[#This Row],[Amount]]/Log_2019[[#This Row],[Split_raw]]*MAX(0,MIN(_xlfn.DAYS(EDATE(R$1,1),Log_2019[[#This Row],[Date]]),Log_2019[[#This Row],[Split_apply]])) - SUM($O107:Q107)</f>
        <v>0</v>
      </c>
      <c r="S107" s="52">
        <f ca="1">Log_2019[[#This Row],[Amount]]/Log_2019[[#This Row],[Split_raw]]*MAX(0,MIN(_xlfn.DAYS(EDATE(S$1,1),Log_2019[[#This Row],[Date]]),Log_2019[[#This Row],[Split_apply]])) - SUM($O107:R107)</f>
        <v>0</v>
      </c>
      <c r="T107" s="52">
        <f ca="1">Log_2019[[#This Row],[Amount]]/Log_2019[[#This Row],[Split_raw]]*MAX(0,MIN(_xlfn.DAYS(EDATE(T$1,1),Log_2019[[#This Row],[Date]]),Log_2019[[#This Row],[Split_apply]])) - SUM($O107:S107)</f>
        <v>0</v>
      </c>
      <c r="U107" s="52">
        <f ca="1">Log_2019[[#This Row],[Amount]]/Log_2019[[#This Row],[Split_raw]]*MAX(0,MIN(_xlfn.DAYS(EDATE(U$1,1),Log_2019[[#This Row],[Date]]),Log_2019[[#This Row],[Split_apply]])) - SUM($O107:T107)</f>
        <v>0</v>
      </c>
      <c r="V107" s="52">
        <f ca="1">Log_2019[[#This Row],[Amount]]/Log_2019[[#This Row],[Split_raw]]*MAX(0,MIN(_xlfn.DAYS(EDATE(V$1,1),Log_2019[[#This Row],[Date]]),Log_2019[[#This Row],[Split_apply]])) - SUM($O107:U107)</f>
        <v>0</v>
      </c>
      <c r="W107" s="52">
        <f ca="1">Log_2019[[#This Row],[Amount]]/Log_2019[[#This Row],[Split_raw]]*MAX(0,MIN(_xlfn.DAYS(EDATE(W$1,1),Log_2019[[#This Row],[Date]]),Log_2019[[#This Row],[Split_apply]])) - SUM($O107:V107)</f>
        <v>0</v>
      </c>
      <c r="X107" s="52">
        <f ca="1">Log_2019[[#This Row],[Amount]]/Log_2019[[#This Row],[Split_raw]]*MAX(0,MIN(_xlfn.DAYS(EDATE(X$1,1),Log_2019[[#This Row],[Date]]),Log_2019[[#This Row],[Split_apply]])) - SUM($O107:W107)</f>
        <v>0</v>
      </c>
      <c r="Y107" s="52">
        <f ca="1">Log_2019[[#This Row],[Amount]]/Log_2019[[#This Row],[Split_raw]]*MAX(0,MIN(_xlfn.DAYS(EDATE(Y$1,1),Log_2019[[#This Row],[Date]]),Log_2019[[#This Row],[Split_apply]])) - SUM($O107:X107)</f>
        <v>-10.37</v>
      </c>
      <c r="Z107" s="52">
        <f ca="1">Log_2019[[#This Row],[Amount]]/Log_2019[[#This Row],[Split_raw]]*MAX(0,MIN(_xlfn.DAYS(EDATE(Z$1,1),Log_2019[[#This Row],[Date]]),Log_2019[[#This Row],[Split_apply]])) - SUM($O107:Y107)</f>
        <v>0</v>
      </c>
      <c r="AA107" s="52">
        <f ca="1">Log_2019[[#This Row],[Amount]]/Log_2019[[#This Row],[Split_raw]]*MAX(0,MIN(_xlfn.DAYS(EDATE(AA$1,1),Log_2019[[#This Row],[Date]]),Log_2019[[#This Row],[Split_apply]])) - SUM($O107:Z107)</f>
        <v>0</v>
      </c>
      <c r="AB107" s="54">
        <f ca="1">Log_2019[[#This Row],[Amount]]-SUM(O107:AA107)</f>
        <v>0</v>
      </c>
      <c r="AC107" s="7">
        <f>MAX(0,Log_2019[[#This Row],[Split_raw]] - (EDATE(AA$1,1)-Log_2019[[#This Row],[Date]]))</f>
        <v>0</v>
      </c>
    </row>
    <row r="108" spans="1:29" x14ac:dyDescent="0.25">
      <c r="A108" s="42"/>
      <c r="B108" s="40" t="s">
        <v>148</v>
      </c>
      <c r="C108" s="40"/>
      <c r="D108" s="41">
        <v>43766</v>
      </c>
      <c r="E108" s="40" t="s">
        <v>806</v>
      </c>
      <c r="F108" s="40" t="s">
        <v>807</v>
      </c>
      <c r="G108" s="40"/>
      <c r="H108">
        <v>-234.7</v>
      </c>
      <c r="I108" s="42">
        <f>IF(Log_2019[[#This Row],[My Category]]="NONTRACKED",0,Log_2019[[#This Row],[Raw Amount]])</f>
        <v>-234.7</v>
      </c>
      <c r="J108" s="43">
        <f>ABS(Log_2019[[#This Row],[Amount]])</f>
        <v>234.7</v>
      </c>
      <c r="K108" s="44">
        <v>1</v>
      </c>
      <c r="L108" s="38">
        <f ca="1">IF(Log_2019[[#This Row],[Date]]&lt;=TODAY(), MIN(Log_2019[[#This Row],[Split_raw]], TODAY()-Log_2019[[#This Row],[Date]]+1), 0)</f>
        <v>1</v>
      </c>
      <c r="M108" s="40" t="s">
        <v>145</v>
      </c>
      <c r="N108" s="34"/>
      <c r="O108" s="7">
        <v>0</v>
      </c>
      <c r="P108" s="52">
        <f ca="1">Log_2019[[#This Row],[Amount]]/Log_2019[[#This Row],[Split_raw]]*MAX(0,MIN(_xlfn.DAYS(EDATE(P$1,1),Log_2019[[#This Row],[Date]]),Log_2019[[#This Row],[Split_apply]])) - SUM($O108:O108)</f>
        <v>0</v>
      </c>
      <c r="Q108" s="52">
        <f ca="1">Log_2019[[#This Row],[Amount]]/Log_2019[[#This Row],[Split_raw]]*MAX(0,MIN(_xlfn.DAYS(EDATE(Q$1,1),Log_2019[[#This Row],[Date]]),Log_2019[[#This Row],[Split_apply]])) - SUM($O108:P108)</f>
        <v>0</v>
      </c>
      <c r="R108" s="52">
        <f ca="1">Log_2019[[#This Row],[Amount]]/Log_2019[[#This Row],[Split_raw]]*MAX(0,MIN(_xlfn.DAYS(EDATE(R$1,1),Log_2019[[#This Row],[Date]]),Log_2019[[#This Row],[Split_apply]])) - SUM($O108:Q108)</f>
        <v>0</v>
      </c>
      <c r="S108" s="52">
        <f ca="1">Log_2019[[#This Row],[Amount]]/Log_2019[[#This Row],[Split_raw]]*MAX(0,MIN(_xlfn.DAYS(EDATE(S$1,1),Log_2019[[#This Row],[Date]]),Log_2019[[#This Row],[Split_apply]])) - SUM($O108:R108)</f>
        <v>0</v>
      </c>
      <c r="T108" s="52">
        <f ca="1">Log_2019[[#This Row],[Amount]]/Log_2019[[#This Row],[Split_raw]]*MAX(0,MIN(_xlfn.DAYS(EDATE(T$1,1),Log_2019[[#This Row],[Date]]),Log_2019[[#This Row],[Split_apply]])) - SUM($O108:S108)</f>
        <v>0</v>
      </c>
      <c r="U108" s="52">
        <f ca="1">Log_2019[[#This Row],[Amount]]/Log_2019[[#This Row],[Split_raw]]*MAX(0,MIN(_xlfn.DAYS(EDATE(U$1,1),Log_2019[[#This Row],[Date]]),Log_2019[[#This Row],[Split_apply]])) - SUM($O108:T108)</f>
        <v>0</v>
      </c>
      <c r="V108" s="52">
        <f ca="1">Log_2019[[#This Row],[Amount]]/Log_2019[[#This Row],[Split_raw]]*MAX(0,MIN(_xlfn.DAYS(EDATE(V$1,1),Log_2019[[#This Row],[Date]]),Log_2019[[#This Row],[Split_apply]])) - SUM($O108:U108)</f>
        <v>0</v>
      </c>
      <c r="W108" s="52">
        <f ca="1">Log_2019[[#This Row],[Amount]]/Log_2019[[#This Row],[Split_raw]]*MAX(0,MIN(_xlfn.DAYS(EDATE(W$1,1),Log_2019[[#This Row],[Date]]),Log_2019[[#This Row],[Split_apply]])) - SUM($O108:V108)</f>
        <v>0</v>
      </c>
      <c r="X108" s="52">
        <f ca="1">Log_2019[[#This Row],[Amount]]/Log_2019[[#This Row],[Split_raw]]*MAX(0,MIN(_xlfn.DAYS(EDATE(X$1,1),Log_2019[[#This Row],[Date]]),Log_2019[[#This Row],[Split_apply]])) - SUM($O108:W108)</f>
        <v>0</v>
      </c>
      <c r="Y108" s="52">
        <f ca="1">Log_2019[[#This Row],[Amount]]/Log_2019[[#This Row],[Split_raw]]*MAX(0,MIN(_xlfn.DAYS(EDATE(Y$1,1),Log_2019[[#This Row],[Date]]),Log_2019[[#This Row],[Split_apply]])) - SUM($O108:X108)</f>
        <v>-234.7</v>
      </c>
      <c r="Z108" s="52">
        <f ca="1">Log_2019[[#This Row],[Amount]]/Log_2019[[#This Row],[Split_raw]]*MAX(0,MIN(_xlfn.DAYS(EDATE(Z$1,1),Log_2019[[#This Row],[Date]]),Log_2019[[#This Row],[Split_apply]])) - SUM($O108:Y108)</f>
        <v>0</v>
      </c>
      <c r="AA108" s="52">
        <f ca="1">Log_2019[[#This Row],[Amount]]/Log_2019[[#This Row],[Split_raw]]*MAX(0,MIN(_xlfn.DAYS(EDATE(AA$1,1),Log_2019[[#This Row],[Date]]),Log_2019[[#This Row],[Split_apply]])) - SUM($O108:Z108)</f>
        <v>0</v>
      </c>
      <c r="AB108" s="54">
        <f ca="1">Log_2019[[#This Row],[Amount]]-SUM(O108:AA108)</f>
        <v>0</v>
      </c>
      <c r="AC108" s="7">
        <f>MAX(0,Log_2019[[#This Row],[Split_raw]] - (EDATE(AA$1,1)-Log_2019[[#This Row],[Date]]))</f>
        <v>0</v>
      </c>
    </row>
    <row r="109" spans="1:29" x14ac:dyDescent="0.25">
      <c r="A109" s="42"/>
      <c r="B109" s="40" t="s">
        <v>148</v>
      </c>
      <c r="C109" s="40"/>
      <c r="D109" s="41">
        <v>43766</v>
      </c>
      <c r="E109" s="40" t="s">
        <v>806</v>
      </c>
      <c r="F109" s="40" t="s">
        <v>808</v>
      </c>
      <c r="G109" s="40"/>
      <c r="H109">
        <v>-433.67</v>
      </c>
      <c r="I109" s="42">
        <f>IF(Log_2019[[#This Row],[My Category]]="NONTRACKED",0,Log_2019[[#This Row],[Raw Amount]])</f>
        <v>-433.67</v>
      </c>
      <c r="J109" s="43">
        <f>ABS(Log_2019[[#This Row],[Amount]])</f>
        <v>433.67</v>
      </c>
      <c r="K109" s="44">
        <v>1</v>
      </c>
      <c r="L109" s="38">
        <f ca="1">IF(Log_2019[[#This Row],[Date]]&lt;=TODAY(), MIN(Log_2019[[#This Row],[Split_raw]], TODAY()-Log_2019[[#This Row],[Date]]+1), 0)</f>
        <v>1</v>
      </c>
      <c r="M109" s="40" t="s">
        <v>36</v>
      </c>
      <c r="N109" s="34"/>
      <c r="O109" s="7">
        <v>0</v>
      </c>
      <c r="P109" s="52">
        <f ca="1">Log_2019[[#This Row],[Amount]]/Log_2019[[#This Row],[Split_raw]]*MAX(0,MIN(_xlfn.DAYS(EDATE(P$1,1),Log_2019[[#This Row],[Date]]),Log_2019[[#This Row],[Split_apply]])) - SUM($O109:O109)</f>
        <v>0</v>
      </c>
      <c r="Q109" s="52">
        <f ca="1">Log_2019[[#This Row],[Amount]]/Log_2019[[#This Row],[Split_raw]]*MAX(0,MIN(_xlfn.DAYS(EDATE(Q$1,1),Log_2019[[#This Row],[Date]]),Log_2019[[#This Row],[Split_apply]])) - SUM($O109:P109)</f>
        <v>0</v>
      </c>
      <c r="R109" s="52">
        <f ca="1">Log_2019[[#This Row],[Amount]]/Log_2019[[#This Row],[Split_raw]]*MAX(0,MIN(_xlfn.DAYS(EDATE(R$1,1),Log_2019[[#This Row],[Date]]),Log_2019[[#This Row],[Split_apply]])) - SUM($O109:Q109)</f>
        <v>0</v>
      </c>
      <c r="S109" s="52">
        <f ca="1">Log_2019[[#This Row],[Amount]]/Log_2019[[#This Row],[Split_raw]]*MAX(0,MIN(_xlfn.DAYS(EDATE(S$1,1),Log_2019[[#This Row],[Date]]),Log_2019[[#This Row],[Split_apply]])) - SUM($O109:R109)</f>
        <v>0</v>
      </c>
      <c r="T109" s="52">
        <f ca="1">Log_2019[[#This Row],[Amount]]/Log_2019[[#This Row],[Split_raw]]*MAX(0,MIN(_xlfn.DAYS(EDATE(T$1,1),Log_2019[[#This Row],[Date]]),Log_2019[[#This Row],[Split_apply]])) - SUM($O109:S109)</f>
        <v>0</v>
      </c>
      <c r="U109" s="52">
        <f ca="1">Log_2019[[#This Row],[Amount]]/Log_2019[[#This Row],[Split_raw]]*MAX(0,MIN(_xlfn.DAYS(EDATE(U$1,1),Log_2019[[#This Row],[Date]]),Log_2019[[#This Row],[Split_apply]])) - SUM($O109:T109)</f>
        <v>0</v>
      </c>
      <c r="V109" s="52">
        <f ca="1">Log_2019[[#This Row],[Amount]]/Log_2019[[#This Row],[Split_raw]]*MAX(0,MIN(_xlfn.DAYS(EDATE(V$1,1),Log_2019[[#This Row],[Date]]),Log_2019[[#This Row],[Split_apply]])) - SUM($O109:U109)</f>
        <v>0</v>
      </c>
      <c r="W109" s="52">
        <f ca="1">Log_2019[[#This Row],[Amount]]/Log_2019[[#This Row],[Split_raw]]*MAX(0,MIN(_xlfn.DAYS(EDATE(W$1,1),Log_2019[[#This Row],[Date]]),Log_2019[[#This Row],[Split_apply]])) - SUM($O109:V109)</f>
        <v>0</v>
      </c>
      <c r="X109" s="52">
        <f ca="1">Log_2019[[#This Row],[Amount]]/Log_2019[[#This Row],[Split_raw]]*MAX(0,MIN(_xlfn.DAYS(EDATE(X$1,1),Log_2019[[#This Row],[Date]]),Log_2019[[#This Row],[Split_apply]])) - SUM($O109:W109)</f>
        <v>0</v>
      </c>
      <c r="Y109" s="52">
        <f ca="1">Log_2019[[#This Row],[Amount]]/Log_2019[[#This Row],[Split_raw]]*MAX(0,MIN(_xlfn.DAYS(EDATE(Y$1,1),Log_2019[[#This Row],[Date]]),Log_2019[[#This Row],[Split_apply]])) - SUM($O109:X109)</f>
        <v>-433.67</v>
      </c>
      <c r="Z109" s="52">
        <f ca="1">Log_2019[[#This Row],[Amount]]/Log_2019[[#This Row],[Split_raw]]*MAX(0,MIN(_xlfn.DAYS(EDATE(Z$1,1),Log_2019[[#This Row],[Date]]),Log_2019[[#This Row],[Split_apply]])) - SUM($O109:Y109)</f>
        <v>0</v>
      </c>
      <c r="AA109" s="52">
        <f ca="1">Log_2019[[#This Row],[Amount]]/Log_2019[[#This Row],[Split_raw]]*MAX(0,MIN(_xlfn.DAYS(EDATE(AA$1,1),Log_2019[[#This Row],[Date]]),Log_2019[[#This Row],[Split_apply]])) - SUM($O109:Z109)</f>
        <v>0</v>
      </c>
      <c r="AB109" s="54">
        <f ca="1">Log_2019[[#This Row],[Amount]]-SUM(O109:AA109)</f>
        <v>0</v>
      </c>
      <c r="AC109" s="7">
        <f>MAX(0,Log_2019[[#This Row],[Split_raw]] - (EDATE(AA$1,1)-Log_2019[[#This Row],[Date]]))</f>
        <v>0</v>
      </c>
    </row>
    <row r="110" spans="1:29" x14ac:dyDescent="0.25">
      <c r="A110" s="42"/>
      <c r="B110" s="40" t="s">
        <v>148</v>
      </c>
      <c r="C110" s="40"/>
      <c r="D110" s="41">
        <v>43766</v>
      </c>
      <c r="E110" s="40" t="s">
        <v>806</v>
      </c>
      <c r="F110" s="40" t="s">
        <v>809</v>
      </c>
      <c r="G110" s="40"/>
      <c r="H110">
        <v>-9.41</v>
      </c>
      <c r="I110" s="42">
        <f>IF(Log_2019[[#This Row],[My Category]]="NONTRACKED",0,Log_2019[[#This Row],[Raw Amount]])</f>
        <v>-9.41</v>
      </c>
      <c r="J110" s="43">
        <f>ABS(Log_2019[[#This Row],[Amount]])</f>
        <v>9.41</v>
      </c>
      <c r="K110" s="44">
        <v>1</v>
      </c>
      <c r="L110" s="38">
        <f ca="1">IF(Log_2019[[#This Row],[Date]]&lt;=TODAY(), MIN(Log_2019[[#This Row],[Split_raw]], TODAY()-Log_2019[[#This Row],[Date]]+1), 0)</f>
        <v>1</v>
      </c>
      <c r="M110" s="40" t="s">
        <v>37</v>
      </c>
      <c r="N110" s="34"/>
      <c r="O110" s="7">
        <v>0</v>
      </c>
      <c r="P110" s="52">
        <f ca="1">Log_2019[[#This Row],[Amount]]/Log_2019[[#This Row],[Split_raw]]*MAX(0,MIN(_xlfn.DAYS(EDATE(P$1,1),Log_2019[[#This Row],[Date]]),Log_2019[[#This Row],[Split_apply]])) - SUM($O110:O110)</f>
        <v>0</v>
      </c>
      <c r="Q110" s="52">
        <f ca="1">Log_2019[[#This Row],[Amount]]/Log_2019[[#This Row],[Split_raw]]*MAX(0,MIN(_xlfn.DAYS(EDATE(Q$1,1),Log_2019[[#This Row],[Date]]),Log_2019[[#This Row],[Split_apply]])) - SUM($O110:P110)</f>
        <v>0</v>
      </c>
      <c r="R110" s="52">
        <f ca="1">Log_2019[[#This Row],[Amount]]/Log_2019[[#This Row],[Split_raw]]*MAX(0,MIN(_xlfn.DAYS(EDATE(R$1,1),Log_2019[[#This Row],[Date]]),Log_2019[[#This Row],[Split_apply]])) - SUM($O110:Q110)</f>
        <v>0</v>
      </c>
      <c r="S110" s="52">
        <f ca="1">Log_2019[[#This Row],[Amount]]/Log_2019[[#This Row],[Split_raw]]*MAX(0,MIN(_xlfn.DAYS(EDATE(S$1,1),Log_2019[[#This Row],[Date]]),Log_2019[[#This Row],[Split_apply]])) - SUM($O110:R110)</f>
        <v>0</v>
      </c>
      <c r="T110" s="52">
        <f ca="1">Log_2019[[#This Row],[Amount]]/Log_2019[[#This Row],[Split_raw]]*MAX(0,MIN(_xlfn.DAYS(EDATE(T$1,1),Log_2019[[#This Row],[Date]]),Log_2019[[#This Row],[Split_apply]])) - SUM($O110:S110)</f>
        <v>0</v>
      </c>
      <c r="U110" s="52">
        <f ca="1">Log_2019[[#This Row],[Amount]]/Log_2019[[#This Row],[Split_raw]]*MAX(0,MIN(_xlfn.DAYS(EDATE(U$1,1),Log_2019[[#This Row],[Date]]),Log_2019[[#This Row],[Split_apply]])) - SUM($O110:T110)</f>
        <v>0</v>
      </c>
      <c r="V110" s="52">
        <f ca="1">Log_2019[[#This Row],[Amount]]/Log_2019[[#This Row],[Split_raw]]*MAX(0,MIN(_xlfn.DAYS(EDATE(V$1,1),Log_2019[[#This Row],[Date]]),Log_2019[[#This Row],[Split_apply]])) - SUM($O110:U110)</f>
        <v>0</v>
      </c>
      <c r="W110" s="52">
        <f ca="1">Log_2019[[#This Row],[Amount]]/Log_2019[[#This Row],[Split_raw]]*MAX(0,MIN(_xlfn.DAYS(EDATE(W$1,1),Log_2019[[#This Row],[Date]]),Log_2019[[#This Row],[Split_apply]])) - SUM($O110:V110)</f>
        <v>0</v>
      </c>
      <c r="X110" s="52">
        <f ca="1">Log_2019[[#This Row],[Amount]]/Log_2019[[#This Row],[Split_raw]]*MAX(0,MIN(_xlfn.DAYS(EDATE(X$1,1),Log_2019[[#This Row],[Date]]),Log_2019[[#This Row],[Split_apply]])) - SUM($O110:W110)</f>
        <v>0</v>
      </c>
      <c r="Y110" s="52">
        <f ca="1">Log_2019[[#This Row],[Amount]]/Log_2019[[#This Row],[Split_raw]]*MAX(0,MIN(_xlfn.DAYS(EDATE(Y$1,1),Log_2019[[#This Row],[Date]]),Log_2019[[#This Row],[Split_apply]])) - SUM($O110:X110)</f>
        <v>-9.41</v>
      </c>
      <c r="Z110" s="52">
        <f ca="1">Log_2019[[#This Row],[Amount]]/Log_2019[[#This Row],[Split_raw]]*MAX(0,MIN(_xlfn.DAYS(EDATE(Z$1,1),Log_2019[[#This Row],[Date]]),Log_2019[[#This Row],[Split_apply]])) - SUM($O110:Y110)</f>
        <v>0</v>
      </c>
      <c r="AA110" s="52">
        <f ca="1">Log_2019[[#This Row],[Amount]]/Log_2019[[#This Row],[Split_raw]]*MAX(0,MIN(_xlfn.DAYS(EDATE(AA$1,1),Log_2019[[#This Row],[Date]]),Log_2019[[#This Row],[Split_apply]])) - SUM($O110:Z110)</f>
        <v>0</v>
      </c>
      <c r="AB110" s="54">
        <f ca="1">Log_2019[[#This Row],[Amount]]-SUM(O110:AA110)</f>
        <v>0</v>
      </c>
      <c r="AC110" s="7">
        <f>MAX(0,Log_2019[[#This Row],[Split_raw]] - (EDATE(AA$1,1)-Log_2019[[#This Row],[Date]]))</f>
        <v>0</v>
      </c>
    </row>
    <row r="111" spans="1:29" x14ac:dyDescent="0.25">
      <c r="A111" s="42"/>
      <c r="B111" s="40" t="s">
        <v>148</v>
      </c>
      <c r="C111" s="40"/>
      <c r="D111" s="41">
        <v>43766</v>
      </c>
      <c r="E111" s="40" t="s">
        <v>806</v>
      </c>
      <c r="F111" s="40" t="s">
        <v>810</v>
      </c>
      <c r="G111" s="40"/>
      <c r="H111">
        <v>-219.81</v>
      </c>
      <c r="I111" s="42">
        <f>IF(Log_2019[[#This Row],[My Category]]="NONTRACKED",0,Log_2019[[#This Row],[Raw Amount]])</f>
        <v>-219.81</v>
      </c>
      <c r="J111" s="43">
        <f>ABS(Log_2019[[#This Row],[Amount]])</f>
        <v>219.81</v>
      </c>
      <c r="K111" s="44">
        <v>1</v>
      </c>
      <c r="L111" s="38">
        <f ca="1">IF(Log_2019[[#This Row],[Date]]&lt;=TODAY(), MIN(Log_2019[[#This Row],[Split_raw]], TODAY()-Log_2019[[#This Row],[Date]]+1), 0)</f>
        <v>1</v>
      </c>
      <c r="M111" s="40" t="s">
        <v>42</v>
      </c>
      <c r="N111" s="34"/>
      <c r="O111" s="7">
        <v>0</v>
      </c>
      <c r="P111" s="52">
        <f ca="1">Log_2019[[#This Row],[Amount]]/Log_2019[[#This Row],[Split_raw]]*MAX(0,MIN(_xlfn.DAYS(EDATE(P$1,1),Log_2019[[#This Row],[Date]]),Log_2019[[#This Row],[Split_apply]])) - SUM($O111:O111)</f>
        <v>0</v>
      </c>
      <c r="Q111" s="52">
        <f ca="1">Log_2019[[#This Row],[Amount]]/Log_2019[[#This Row],[Split_raw]]*MAX(0,MIN(_xlfn.DAYS(EDATE(Q$1,1),Log_2019[[#This Row],[Date]]),Log_2019[[#This Row],[Split_apply]])) - SUM($O111:P111)</f>
        <v>0</v>
      </c>
      <c r="R111" s="52">
        <f ca="1">Log_2019[[#This Row],[Amount]]/Log_2019[[#This Row],[Split_raw]]*MAX(0,MIN(_xlfn.DAYS(EDATE(R$1,1),Log_2019[[#This Row],[Date]]),Log_2019[[#This Row],[Split_apply]])) - SUM($O111:Q111)</f>
        <v>0</v>
      </c>
      <c r="S111" s="52">
        <f ca="1">Log_2019[[#This Row],[Amount]]/Log_2019[[#This Row],[Split_raw]]*MAX(0,MIN(_xlfn.DAYS(EDATE(S$1,1),Log_2019[[#This Row],[Date]]),Log_2019[[#This Row],[Split_apply]])) - SUM($O111:R111)</f>
        <v>0</v>
      </c>
      <c r="T111" s="52">
        <f ca="1">Log_2019[[#This Row],[Amount]]/Log_2019[[#This Row],[Split_raw]]*MAX(0,MIN(_xlfn.DAYS(EDATE(T$1,1),Log_2019[[#This Row],[Date]]),Log_2019[[#This Row],[Split_apply]])) - SUM($O111:S111)</f>
        <v>0</v>
      </c>
      <c r="U111" s="52">
        <f ca="1">Log_2019[[#This Row],[Amount]]/Log_2019[[#This Row],[Split_raw]]*MAX(0,MIN(_xlfn.DAYS(EDATE(U$1,1),Log_2019[[#This Row],[Date]]),Log_2019[[#This Row],[Split_apply]])) - SUM($O111:T111)</f>
        <v>0</v>
      </c>
      <c r="V111" s="52">
        <f ca="1">Log_2019[[#This Row],[Amount]]/Log_2019[[#This Row],[Split_raw]]*MAX(0,MIN(_xlfn.DAYS(EDATE(V$1,1),Log_2019[[#This Row],[Date]]),Log_2019[[#This Row],[Split_apply]])) - SUM($O111:U111)</f>
        <v>0</v>
      </c>
      <c r="W111" s="52">
        <f ca="1">Log_2019[[#This Row],[Amount]]/Log_2019[[#This Row],[Split_raw]]*MAX(0,MIN(_xlfn.DAYS(EDATE(W$1,1),Log_2019[[#This Row],[Date]]),Log_2019[[#This Row],[Split_apply]])) - SUM($O111:V111)</f>
        <v>0</v>
      </c>
      <c r="X111" s="52">
        <f ca="1">Log_2019[[#This Row],[Amount]]/Log_2019[[#This Row],[Split_raw]]*MAX(0,MIN(_xlfn.DAYS(EDATE(X$1,1),Log_2019[[#This Row],[Date]]),Log_2019[[#This Row],[Split_apply]])) - SUM($O111:W111)</f>
        <v>0</v>
      </c>
      <c r="Y111" s="52">
        <f ca="1">Log_2019[[#This Row],[Amount]]/Log_2019[[#This Row],[Split_raw]]*MAX(0,MIN(_xlfn.DAYS(EDATE(Y$1,1),Log_2019[[#This Row],[Date]]),Log_2019[[#This Row],[Split_apply]])) - SUM($O111:X111)</f>
        <v>-219.81</v>
      </c>
      <c r="Z111" s="52">
        <f ca="1">Log_2019[[#This Row],[Amount]]/Log_2019[[#This Row],[Split_raw]]*MAX(0,MIN(_xlfn.DAYS(EDATE(Z$1,1),Log_2019[[#This Row],[Date]]),Log_2019[[#This Row],[Split_apply]])) - SUM($O111:Y111)</f>
        <v>0</v>
      </c>
      <c r="AA111" s="52">
        <f ca="1">Log_2019[[#This Row],[Amount]]/Log_2019[[#This Row],[Split_raw]]*MAX(0,MIN(_xlfn.DAYS(EDATE(AA$1,1),Log_2019[[#This Row],[Date]]),Log_2019[[#This Row],[Split_apply]])) - SUM($O111:Z111)</f>
        <v>0</v>
      </c>
      <c r="AB111" s="54">
        <f ca="1">Log_2019[[#This Row],[Amount]]-SUM(O111:AA111)</f>
        <v>0</v>
      </c>
      <c r="AC111" s="7">
        <f>MAX(0,Log_2019[[#This Row],[Split_raw]] - (EDATE(AA$1,1)-Log_2019[[#This Row],[Date]]))</f>
        <v>0</v>
      </c>
    </row>
    <row r="112" spans="1:29" x14ac:dyDescent="0.25">
      <c r="A112" s="42"/>
      <c r="B112" s="40" t="s">
        <v>148</v>
      </c>
      <c r="C112" s="40"/>
      <c r="D112" s="41">
        <v>43766</v>
      </c>
      <c r="E112" s="40" t="s">
        <v>806</v>
      </c>
      <c r="F112" s="40" t="s">
        <v>812</v>
      </c>
      <c r="G112" s="40"/>
      <c r="H112">
        <v>-73.959999999999994</v>
      </c>
      <c r="I112" s="42">
        <f>IF(Log_2019[[#This Row],[My Category]]="NONTRACKED",0,Log_2019[[#This Row],[Raw Amount]])</f>
        <v>-73.959999999999994</v>
      </c>
      <c r="J112" s="43">
        <f>ABS(Log_2019[[#This Row],[Amount]])</f>
        <v>73.959999999999994</v>
      </c>
      <c r="K112" s="44">
        <v>1</v>
      </c>
      <c r="L112" s="38">
        <f ca="1">IF(Log_2019[[#This Row],[Date]]&lt;=TODAY(), MIN(Log_2019[[#This Row],[Split_raw]], TODAY()-Log_2019[[#This Row],[Date]]+1), 0)</f>
        <v>1</v>
      </c>
      <c r="M112" s="40" t="s">
        <v>366</v>
      </c>
      <c r="N112" s="34"/>
      <c r="O112" s="7">
        <v>0</v>
      </c>
      <c r="P112" s="52">
        <f ca="1">Log_2019[[#This Row],[Amount]]/Log_2019[[#This Row],[Split_raw]]*MAX(0,MIN(_xlfn.DAYS(EDATE(P$1,1),Log_2019[[#This Row],[Date]]),Log_2019[[#This Row],[Split_apply]])) - SUM($O112:O112)</f>
        <v>0</v>
      </c>
      <c r="Q112" s="52">
        <f ca="1">Log_2019[[#This Row],[Amount]]/Log_2019[[#This Row],[Split_raw]]*MAX(0,MIN(_xlfn.DAYS(EDATE(Q$1,1),Log_2019[[#This Row],[Date]]),Log_2019[[#This Row],[Split_apply]])) - SUM($O112:P112)</f>
        <v>0</v>
      </c>
      <c r="R112" s="52">
        <f ca="1">Log_2019[[#This Row],[Amount]]/Log_2019[[#This Row],[Split_raw]]*MAX(0,MIN(_xlfn.DAYS(EDATE(R$1,1),Log_2019[[#This Row],[Date]]),Log_2019[[#This Row],[Split_apply]])) - SUM($O112:Q112)</f>
        <v>0</v>
      </c>
      <c r="S112" s="52">
        <f ca="1">Log_2019[[#This Row],[Amount]]/Log_2019[[#This Row],[Split_raw]]*MAX(0,MIN(_xlfn.DAYS(EDATE(S$1,1),Log_2019[[#This Row],[Date]]),Log_2019[[#This Row],[Split_apply]])) - SUM($O112:R112)</f>
        <v>0</v>
      </c>
      <c r="T112" s="52">
        <f ca="1">Log_2019[[#This Row],[Amount]]/Log_2019[[#This Row],[Split_raw]]*MAX(0,MIN(_xlfn.DAYS(EDATE(T$1,1),Log_2019[[#This Row],[Date]]),Log_2019[[#This Row],[Split_apply]])) - SUM($O112:S112)</f>
        <v>0</v>
      </c>
      <c r="U112" s="52">
        <f ca="1">Log_2019[[#This Row],[Amount]]/Log_2019[[#This Row],[Split_raw]]*MAX(0,MIN(_xlfn.DAYS(EDATE(U$1,1),Log_2019[[#This Row],[Date]]),Log_2019[[#This Row],[Split_apply]])) - SUM($O112:T112)</f>
        <v>0</v>
      </c>
      <c r="V112" s="52">
        <f ca="1">Log_2019[[#This Row],[Amount]]/Log_2019[[#This Row],[Split_raw]]*MAX(0,MIN(_xlfn.DAYS(EDATE(V$1,1),Log_2019[[#This Row],[Date]]),Log_2019[[#This Row],[Split_apply]])) - SUM($O112:U112)</f>
        <v>0</v>
      </c>
      <c r="W112" s="52">
        <f ca="1">Log_2019[[#This Row],[Amount]]/Log_2019[[#This Row],[Split_raw]]*MAX(0,MIN(_xlfn.DAYS(EDATE(W$1,1),Log_2019[[#This Row],[Date]]),Log_2019[[#This Row],[Split_apply]])) - SUM($O112:V112)</f>
        <v>0</v>
      </c>
      <c r="X112" s="52">
        <f ca="1">Log_2019[[#This Row],[Amount]]/Log_2019[[#This Row],[Split_raw]]*MAX(0,MIN(_xlfn.DAYS(EDATE(X$1,1),Log_2019[[#This Row],[Date]]),Log_2019[[#This Row],[Split_apply]])) - SUM($O112:W112)</f>
        <v>0</v>
      </c>
      <c r="Y112" s="52">
        <f ca="1">Log_2019[[#This Row],[Amount]]/Log_2019[[#This Row],[Split_raw]]*MAX(0,MIN(_xlfn.DAYS(EDATE(Y$1,1),Log_2019[[#This Row],[Date]]),Log_2019[[#This Row],[Split_apply]])) - SUM($O112:X112)</f>
        <v>-73.959999999999994</v>
      </c>
      <c r="Z112" s="52">
        <f ca="1">Log_2019[[#This Row],[Amount]]/Log_2019[[#This Row],[Split_raw]]*MAX(0,MIN(_xlfn.DAYS(EDATE(Z$1,1),Log_2019[[#This Row],[Date]]),Log_2019[[#This Row],[Split_apply]])) - SUM($O112:Y112)</f>
        <v>0</v>
      </c>
      <c r="AA112" s="52">
        <f ca="1">Log_2019[[#This Row],[Amount]]/Log_2019[[#This Row],[Split_raw]]*MAX(0,MIN(_xlfn.DAYS(EDATE(AA$1,1),Log_2019[[#This Row],[Date]]),Log_2019[[#This Row],[Split_apply]])) - SUM($O112:Z112)</f>
        <v>0</v>
      </c>
      <c r="AB112" s="54">
        <f ca="1">Log_2019[[#This Row],[Amount]]-SUM(O112:AA112)</f>
        <v>0</v>
      </c>
      <c r="AC112" s="7">
        <f>MAX(0,Log_2019[[#This Row],[Split_raw]] - (EDATE(AA$1,1)-Log_2019[[#This Row],[Date]]))</f>
        <v>0</v>
      </c>
    </row>
    <row r="113" spans="1:29" x14ac:dyDescent="0.25">
      <c r="A113" s="42"/>
      <c r="B113" s="40" t="s">
        <v>148</v>
      </c>
      <c r="C113" s="40"/>
      <c r="D113" s="41">
        <v>43766</v>
      </c>
      <c r="E113" s="40" t="s">
        <v>806</v>
      </c>
      <c r="F113" s="40" t="s">
        <v>811</v>
      </c>
      <c r="G113" s="40"/>
      <c r="H113">
        <v>-42.89</v>
      </c>
      <c r="I113" s="42">
        <f>IF(Log_2019[[#This Row],[My Category]]="NONTRACKED",0,Log_2019[[#This Row],[Raw Amount]])</f>
        <v>-42.89</v>
      </c>
      <c r="J113" s="43">
        <f>ABS(Log_2019[[#This Row],[Amount]])</f>
        <v>42.89</v>
      </c>
      <c r="K113" s="44">
        <v>1</v>
      </c>
      <c r="L113" s="38">
        <f ca="1">IF(Log_2019[[#This Row],[Date]]&lt;=TODAY(), MIN(Log_2019[[#This Row],[Split_raw]], TODAY()-Log_2019[[#This Row],[Date]]+1), 0)</f>
        <v>1</v>
      </c>
      <c r="M113" s="40" t="s">
        <v>12</v>
      </c>
      <c r="N113" s="34"/>
      <c r="O113" s="7">
        <v>0</v>
      </c>
      <c r="P113" s="52">
        <f ca="1">Log_2019[[#This Row],[Amount]]/Log_2019[[#This Row],[Split_raw]]*MAX(0,MIN(_xlfn.DAYS(EDATE(P$1,1),Log_2019[[#This Row],[Date]]),Log_2019[[#This Row],[Split_apply]])) - SUM($O113:O113)</f>
        <v>0</v>
      </c>
      <c r="Q113" s="52">
        <f ca="1">Log_2019[[#This Row],[Amount]]/Log_2019[[#This Row],[Split_raw]]*MAX(0,MIN(_xlfn.DAYS(EDATE(Q$1,1),Log_2019[[#This Row],[Date]]),Log_2019[[#This Row],[Split_apply]])) - SUM($O113:P113)</f>
        <v>0</v>
      </c>
      <c r="R113" s="52">
        <f ca="1">Log_2019[[#This Row],[Amount]]/Log_2019[[#This Row],[Split_raw]]*MAX(0,MIN(_xlfn.DAYS(EDATE(R$1,1),Log_2019[[#This Row],[Date]]),Log_2019[[#This Row],[Split_apply]])) - SUM($O113:Q113)</f>
        <v>0</v>
      </c>
      <c r="S113" s="52">
        <f ca="1">Log_2019[[#This Row],[Amount]]/Log_2019[[#This Row],[Split_raw]]*MAX(0,MIN(_xlfn.DAYS(EDATE(S$1,1),Log_2019[[#This Row],[Date]]),Log_2019[[#This Row],[Split_apply]])) - SUM($O113:R113)</f>
        <v>0</v>
      </c>
      <c r="T113" s="52">
        <f ca="1">Log_2019[[#This Row],[Amount]]/Log_2019[[#This Row],[Split_raw]]*MAX(0,MIN(_xlfn.DAYS(EDATE(T$1,1),Log_2019[[#This Row],[Date]]),Log_2019[[#This Row],[Split_apply]])) - SUM($O113:S113)</f>
        <v>0</v>
      </c>
      <c r="U113" s="52">
        <f ca="1">Log_2019[[#This Row],[Amount]]/Log_2019[[#This Row],[Split_raw]]*MAX(0,MIN(_xlfn.DAYS(EDATE(U$1,1),Log_2019[[#This Row],[Date]]),Log_2019[[#This Row],[Split_apply]])) - SUM($O113:T113)</f>
        <v>0</v>
      </c>
      <c r="V113" s="52">
        <f ca="1">Log_2019[[#This Row],[Amount]]/Log_2019[[#This Row],[Split_raw]]*MAX(0,MIN(_xlfn.DAYS(EDATE(V$1,1),Log_2019[[#This Row],[Date]]),Log_2019[[#This Row],[Split_apply]])) - SUM($O113:U113)</f>
        <v>0</v>
      </c>
      <c r="W113" s="52">
        <f ca="1">Log_2019[[#This Row],[Amount]]/Log_2019[[#This Row],[Split_raw]]*MAX(0,MIN(_xlfn.DAYS(EDATE(W$1,1),Log_2019[[#This Row],[Date]]),Log_2019[[#This Row],[Split_apply]])) - SUM($O113:V113)</f>
        <v>0</v>
      </c>
      <c r="X113" s="52">
        <f ca="1">Log_2019[[#This Row],[Amount]]/Log_2019[[#This Row],[Split_raw]]*MAX(0,MIN(_xlfn.DAYS(EDATE(X$1,1),Log_2019[[#This Row],[Date]]),Log_2019[[#This Row],[Split_apply]])) - SUM($O113:W113)</f>
        <v>0</v>
      </c>
      <c r="Y113" s="52">
        <f ca="1">Log_2019[[#This Row],[Amount]]/Log_2019[[#This Row],[Split_raw]]*MAX(0,MIN(_xlfn.DAYS(EDATE(Y$1,1),Log_2019[[#This Row],[Date]]),Log_2019[[#This Row],[Split_apply]])) - SUM($O113:X113)</f>
        <v>-42.89</v>
      </c>
      <c r="Z113" s="52">
        <f ca="1">Log_2019[[#This Row],[Amount]]/Log_2019[[#This Row],[Split_raw]]*MAX(0,MIN(_xlfn.DAYS(EDATE(Z$1,1),Log_2019[[#This Row],[Date]]),Log_2019[[#This Row],[Split_apply]])) - SUM($O113:Y113)</f>
        <v>0</v>
      </c>
      <c r="AA113" s="52">
        <f ca="1">Log_2019[[#This Row],[Amount]]/Log_2019[[#This Row],[Split_raw]]*MAX(0,MIN(_xlfn.DAYS(EDATE(AA$1,1),Log_2019[[#This Row],[Date]]),Log_2019[[#This Row],[Split_apply]])) - SUM($O113:Z113)</f>
        <v>0</v>
      </c>
      <c r="AB113" s="54">
        <f ca="1">Log_2019[[#This Row],[Amount]]-SUM(O113:AA113)</f>
        <v>0</v>
      </c>
      <c r="AC113" s="7">
        <f>MAX(0,Log_2019[[#This Row],[Split_raw]] - (EDATE(AA$1,1)-Log_2019[[#This Row],[Date]]))</f>
        <v>0</v>
      </c>
    </row>
    <row r="114" spans="1:29" x14ac:dyDescent="0.25">
      <c r="A114" s="42"/>
      <c r="B114" s="34" t="s">
        <v>6</v>
      </c>
      <c r="C114" s="34"/>
      <c r="D114" s="35">
        <v>43766</v>
      </c>
      <c r="E114" s="34"/>
      <c r="F114" s="34" t="s">
        <v>673</v>
      </c>
      <c r="G114" s="34" t="s">
        <v>25</v>
      </c>
      <c r="H114">
        <v>-10.25</v>
      </c>
      <c r="I114" s="36">
        <f>IF(Log_2019[[#This Row],[My Category]]="NONTRACKED",0,Log_2019[[#This Row],[Raw Amount]])</f>
        <v>-10.25</v>
      </c>
      <c r="J114" s="37">
        <f>ABS(Log_2019[[#This Row],[Amount]])</f>
        <v>10.25</v>
      </c>
      <c r="K114" s="38">
        <v>1</v>
      </c>
      <c r="L114" s="38">
        <f ca="1">IF(Log_2019[[#This Row],[Date]]&lt;=TODAY(), MIN(Log_2019[[#This Row],[Split_raw]], TODAY()-Log_2019[[#This Row],[Date]]+1), 0)</f>
        <v>1</v>
      </c>
      <c r="M114" s="34" t="s">
        <v>35</v>
      </c>
      <c r="N114" s="34" t="s">
        <v>158</v>
      </c>
      <c r="O114" s="7">
        <v>0</v>
      </c>
      <c r="P114" s="52">
        <f ca="1">Log_2019[[#This Row],[Amount]]/Log_2019[[#This Row],[Split_raw]]*MAX(0,MIN(_xlfn.DAYS(EDATE(P$1,1),Log_2019[[#This Row],[Date]]),Log_2019[[#This Row],[Split_apply]])) - SUM($O114:O114)</f>
        <v>0</v>
      </c>
      <c r="Q114" s="52">
        <f ca="1">Log_2019[[#This Row],[Amount]]/Log_2019[[#This Row],[Split_raw]]*MAX(0,MIN(_xlfn.DAYS(EDATE(Q$1,1),Log_2019[[#This Row],[Date]]),Log_2019[[#This Row],[Split_apply]])) - SUM($O114:P114)</f>
        <v>0</v>
      </c>
      <c r="R114" s="52">
        <f ca="1">Log_2019[[#This Row],[Amount]]/Log_2019[[#This Row],[Split_raw]]*MAX(0,MIN(_xlfn.DAYS(EDATE(R$1,1),Log_2019[[#This Row],[Date]]),Log_2019[[#This Row],[Split_apply]])) - SUM($O114:Q114)</f>
        <v>0</v>
      </c>
      <c r="S114" s="52">
        <f ca="1">Log_2019[[#This Row],[Amount]]/Log_2019[[#This Row],[Split_raw]]*MAX(0,MIN(_xlfn.DAYS(EDATE(S$1,1),Log_2019[[#This Row],[Date]]),Log_2019[[#This Row],[Split_apply]])) - SUM($O114:R114)</f>
        <v>0</v>
      </c>
      <c r="T114" s="52">
        <f ca="1">Log_2019[[#This Row],[Amount]]/Log_2019[[#This Row],[Split_raw]]*MAX(0,MIN(_xlfn.DAYS(EDATE(T$1,1),Log_2019[[#This Row],[Date]]),Log_2019[[#This Row],[Split_apply]])) - SUM($O114:S114)</f>
        <v>0</v>
      </c>
      <c r="U114" s="52">
        <f ca="1">Log_2019[[#This Row],[Amount]]/Log_2019[[#This Row],[Split_raw]]*MAX(0,MIN(_xlfn.DAYS(EDATE(U$1,1),Log_2019[[#This Row],[Date]]),Log_2019[[#This Row],[Split_apply]])) - SUM($O114:T114)</f>
        <v>0</v>
      </c>
      <c r="V114" s="52">
        <f ca="1">Log_2019[[#This Row],[Amount]]/Log_2019[[#This Row],[Split_raw]]*MAX(0,MIN(_xlfn.DAYS(EDATE(V$1,1),Log_2019[[#This Row],[Date]]),Log_2019[[#This Row],[Split_apply]])) - SUM($O114:U114)</f>
        <v>0</v>
      </c>
      <c r="W114" s="52">
        <f ca="1">Log_2019[[#This Row],[Amount]]/Log_2019[[#This Row],[Split_raw]]*MAX(0,MIN(_xlfn.DAYS(EDATE(W$1,1),Log_2019[[#This Row],[Date]]),Log_2019[[#This Row],[Split_apply]])) - SUM($O114:V114)</f>
        <v>0</v>
      </c>
      <c r="X114" s="52">
        <f ca="1">Log_2019[[#This Row],[Amount]]/Log_2019[[#This Row],[Split_raw]]*MAX(0,MIN(_xlfn.DAYS(EDATE(X$1,1),Log_2019[[#This Row],[Date]]),Log_2019[[#This Row],[Split_apply]])) - SUM($O114:W114)</f>
        <v>0</v>
      </c>
      <c r="Y114" s="52">
        <f ca="1">Log_2019[[#This Row],[Amount]]/Log_2019[[#This Row],[Split_raw]]*MAX(0,MIN(_xlfn.DAYS(EDATE(Y$1,1),Log_2019[[#This Row],[Date]]),Log_2019[[#This Row],[Split_apply]])) - SUM($O114:X114)</f>
        <v>-10.25</v>
      </c>
      <c r="Z114" s="52">
        <f ca="1">Log_2019[[#This Row],[Amount]]/Log_2019[[#This Row],[Split_raw]]*MAX(0,MIN(_xlfn.DAYS(EDATE(Z$1,1),Log_2019[[#This Row],[Date]]),Log_2019[[#This Row],[Split_apply]])) - SUM($O114:Y114)</f>
        <v>0</v>
      </c>
      <c r="AA114" s="52">
        <f ca="1">Log_2019[[#This Row],[Amount]]/Log_2019[[#This Row],[Split_raw]]*MAX(0,MIN(_xlfn.DAYS(EDATE(AA$1,1),Log_2019[[#This Row],[Date]]),Log_2019[[#This Row],[Split_apply]])) - SUM($O114:Z114)</f>
        <v>0</v>
      </c>
      <c r="AB114" s="54">
        <f ca="1">Log_2019[[#This Row],[Amount]]-SUM(O114:AA114)</f>
        <v>0</v>
      </c>
      <c r="AC114" s="7">
        <f>MAX(0,Log_2019[[#This Row],[Split_raw]] - (EDATE(AA$1,1)-Log_2019[[#This Row],[Date]]))</f>
        <v>0</v>
      </c>
    </row>
    <row r="115" spans="1:29" x14ac:dyDescent="0.25">
      <c r="A115" s="42"/>
      <c r="B115" s="34" t="s">
        <v>490</v>
      </c>
      <c r="C115" s="34">
        <v>2.8640324164045998E+18</v>
      </c>
      <c r="D115" s="35">
        <v>43765</v>
      </c>
      <c r="E115" s="34"/>
      <c r="F115" s="34" t="s">
        <v>814</v>
      </c>
      <c r="G115" s="34"/>
      <c r="H115">
        <v>-50</v>
      </c>
      <c r="I115" s="36">
        <f>IF(Log_2019[[#This Row],[My Category]]="NONTRACKED",0,Log_2019[[#This Row],[Raw Amount]])</f>
        <v>-50</v>
      </c>
      <c r="J115" s="37">
        <f>ABS(Log_2019[[#This Row],[Amount]])</f>
        <v>50</v>
      </c>
      <c r="K115" s="38">
        <v>1</v>
      </c>
      <c r="L115" s="38">
        <f ca="1">IF(Log_2019[[#This Row],[Date]]&lt;=TODAY(), MIN(Log_2019[[#This Row],[Split_raw]], TODAY()-Log_2019[[#This Row],[Date]]+1), 0)</f>
        <v>1</v>
      </c>
      <c r="M115" s="34" t="s">
        <v>37</v>
      </c>
      <c r="N115" s="34" t="s">
        <v>490</v>
      </c>
      <c r="O115" s="7">
        <v>0</v>
      </c>
      <c r="P115" s="52">
        <f ca="1">Log_2019[[#This Row],[Amount]]/Log_2019[[#This Row],[Split_raw]]*MAX(0,MIN(_xlfn.DAYS(EDATE(P$1,1),Log_2019[[#This Row],[Date]]),Log_2019[[#This Row],[Split_apply]])) - SUM($O115:O115)</f>
        <v>0</v>
      </c>
      <c r="Q115" s="52">
        <f ca="1">Log_2019[[#This Row],[Amount]]/Log_2019[[#This Row],[Split_raw]]*MAX(0,MIN(_xlfn.DAYS(EDATE(Q$1,1),Log_2019[[#This Row],[Date]]),Log_2019[[#This Row],[Split_apply]])) - SUM($O115:P115)</f>
        <v>0</v>
      </c>
      <c r="R115" s="52">
        <f ca="1">Log_2019[[#This Row],[Amount]]/Log_2019[[#This Row],[Split_raw]]*MAX(0,MIN(_xlfn.DAYS(EDATE(R$1,1),Log_2019[[#This Row],[Date]]),Log_2019[[#This Row],[Split_apply]])) - SUM($O115:Q115)</f>
        <v>0</v>
      </c>
      <c r="S115" s="52">
        <f ca="1">Log_2019[[#This Row],[Amount]]/Log_2019[[#This Row],[Split_raw]]*MAX(0,MIN(_xlfn.DAYS(EDATE(S$1,1),Log_2019[[#This Row],[Date]]),Log_2019[[#This Row],[Split_apply]])) - SUM($O115:R115)</f>
        <v>0</v>
      </c>
      <c r="T115" s="52">
        <f ca="1">Log_2019[[#This Row],[Amount]]/Log_2019[[#This Row],[Split_raw]]*MAX(0,MIN(_xlfn.DAYS(EDATE(T$1,1),Log_2019[[#This Row],[Date]]),Log_2019[[#This Row],[Split_apply]])) - SUM($O115:S115)</f>
        <v>0</v>
      </c>
      <c r="U115" s="52">
        <f ca="1">Log_2019[[#This Row],[Amount]]/Log_2019[[#This Row],[Split_raw]]*MAX(0,MIN(_xlfn.DAYS(EDATE(U$1,1),Log_2019[[#This Row],[Date]]),Log_2019[[#This Row],[Split_apply]])) - SUM($O115:T115)</f>
        <v>0</v>
      </c>
      <c r="V115" s="52">
        <f ca="1">Log_2019[[#This Row],[Amount]]/Log_2019[[#This Row],[Split_raw]]*MAX(0,MIN(_xlfn.DAYS(EDATE(V$1,1),Log_2019[[#This Row],[Date]]),Log_2019[[#This Row],[Split_apply]])) - SUM($O115:U115)</f>
        <v>0</v>
      </c>
      <c r="W115" s="52">
        <f ca="1">Log_2019[[#This Row],[Amount]]/Log_2019[[#This Row],[Split_raw]]*MAX(0,MIN(_xlfn.DAYS(EDATE(W$1,1),Log_2019[[#This Row],[Date]]),Log_2019[[#This Row],[Split_apply]])) - SUM($O115:V115)</f>
        <v>0</v>
      </c>
      <c r="X115" s="52">
        <f ca="1">Log_2019[[#This Row],[Amount]]/Log_2019[[#This Row],[Split_raw]]*MAX(0,MIN(_xlfn.DAYS(EDATE(X$1,1),Log_2019[[#This Row],[Date]]),Log_2019[[#This Row],[Split_apply]])) - SUM($O115:W115)</f>
        <v>0</v>
      </c>
      <c r="Y115" s="52">
        <f ca="1">Log_2019[[#This Row],[Amount]]/Log_2019[[#This Row],[Split_raw]]*MAX(0,MIN(_xlfn.DAYS(EDATE(Y$1,1),Log_2019[[#This Row],[Date]]),Log_2019[[#This Row],[Split_apply]])) - SUM($O115:X115)</f>
        <v>-50</v>
      </c>
      <c r="Z115" s="52">
        <f ca="1">Log_2019[[#This Row],[Amount]]/Log_2019[[#This Row],[Split_raw]]*MAX(0,MIN(_xlfn.DAYS(EDATE(Z$1,1),Log_2019[[#This Row],[Date]]),Log_2019[[#This Row],[Split_apply]])) - SUM($O115:Y115)</f>
        <v>0</v>
      </c>
      <c r="AA115" s="52">
        <f ca="1">Log_2019[[#This Row],[Amount]]/Log_2019[[#This Row],[Split_raw]]*MAX(0,MIN(_xlfn.DAYS(EDATE(AA$1,1),Log_2019[[#This Row],[Date]]),Log_2019[[#This Row],[Split_apply]])) - SUM($O115:Z115)</f>
        <v>0</v>
      </c>
      <c r="AB115" s="54">
        <f ca="1">Log_2019[[#This Row],[Amount]]-SUM(O115:AA115)</f>
        <v>0</v>
      </c>
      <c r="AC115" s="7">
        <f>MAX(0,Log_2019[[#This Row],[Split_raw]] - (EDATE(AA$1,1)-Log_2019[[#This Row],[Date]]))</f>
        <v>0</v>
      </c>
    </row>
    <row r="116" spans="1:29" x14ac:dyDescent="0.25">
      <c r="A116" s="42"/>
      <c r="B116" s="34" t="s">
        <v>6</v>
      </c>
      <c r="C116" s="34"/>
      <c r="D116" s="35">
        <v>43764</v>
      </c>
      <c r="E116" s="34" t="s">
        <v>784</v>
      </c>
      <c r="F116" s="34" t="s">
        <v>704</v>
      </c>
      <c r="G116" s="34" t="s">
        <v>9</v>
      </c>
      <c r="H116">
        <v>-90.57</v>
      </c>
      <c r="I116" s="36">
        <f>IF(Log_2019[[#This Row],[My Category]]="NONTRACKED",0,Log_2019[[#This Row],[Raw Amount]])</f>
        <v>0</v>
      </c>
      <c r="J116" s="37">
        <f>ABS(Log_2019[[#This Row],[Amount]])</f>
        <v>0</v>
      </c>
      <c r="K116" s="38">
        <v>1</v>
      </c>
      <c r="L116" s="38">
        <f ca="1">IF(Log_2019[[#This Row],[Date]]&lt;=TODAY(), MIN(Log_2019[[#This Row],[Split_raw]], TODAY()-Log_2019[[#This Row],[Date]]+1), 0)</f>
        <v>1</v>
      </c>
      <c r="M116" s="34" t="s">
        <v>755</v>
      </c>
      <c r="N116" s="34" t="s">
        <v>158</v>
      </c>
      <c r="O116" s="7">
        <v>0</v>
      </c>
      <c r="P116" s="52">
        <f ca="1">Log_2019[[#This Row],[Amount]]/Log_2019[[#This Row],[Split_raw]]*MAX(0,MIN(_xlfn.DAYS(EDATE(P$1,1),Log_2019[[#This Row],[Date]]),Log_2019[[#This Row],[Split_apply]])) - SUM($O116:O116)</f>
        <v>0</v>
      </c>
      <c r="Q116" s="52">
        <f ca="1">Log_2019[[#This Row],[Amount]]/Log_2019[[#This Row],[Split_raw]]*MAX(0,MIN(_xlfn.DAYS(EDATE(Q$1,1),Log_2019[[#This Row],[Date]]),Log_2019[[#This Row],[Split_apply]])) - SUM($O116:P116)</f>
        <v>0</v>
      </c>
      <c r="R116" s="52">
        <f ca="1">Log_2019[[#This Row],[Amount]]/Log_2019[[#This Row],[Split_raw]]*MAX(0,MIN(_xlfn.DAYS(EDATE(R$1,1),Log_2019[[#This Row],[Date]]),Log_2019[[#This Row],[Split_apply]])) - SUM($O116:Q116)</f>
        <v>0</v>
      </c>
      <c r="S116" s="52">
        <f ca="1">Log_2019[[#This Row],[Amount]]/Log_2019[[#This Row],[Split_raw]]*MAX(0,MIN(_xlfn.DAYS(EDATE(S$1,1),Log_2019[[#This Row],[Date]]),Log_2019[[#This Row],[Split_apply]])) - SUM($O116:R116)</f>
        <v>0</v>
      </c>
      <c r="T116" s="52">
        <f ca="1">Log_2019[[#This Row],[Amount]]/Log_2019[[#This Row],[Split_raw]]*MAX(0,MIN(_xlfn.DAYS(EDATE(T$1,1),Log_2019[[#This Row],[Date]]),Log_2019[[#This Row],[Split_apply]])) - SUM($O116:S116)</f>
        <v>0</v>
      </c>
      <c r="U116" s="52">
        <f ca="1">Log_2019[[#This Row],[Amount]]/Log_2019[[#This Row],[Split_raw]]*MAX(0,MIN(_xlfn.DAYS(EDATE(U$1,1),Log_2019[[#This Row],[Date]]),Log_2019[[#This Row],[Split_apply]])) - SUM($O116:T116)</f>
        <v>0</v>
      </c>
      <c r="V116" s="52">
        <f ca="1">Log_2019[[#This Row],[Amount]]/Log_2019[[#This Row],[Split_raw]]*MAX(0,MIN(_xlfn.DAYS(EDATE(V$1,1),Log_2019[[#This Row],[Date]]),Log_2019[[#This Row],[Split_apply]])) - SUM($O116:U116)</f>
        <v>0</v>
      </c>
      <c r="W116" s="52">
        <f ca="1">Log_2019[[#This Row],[Amount]]/Log_2019[[#This Row],[Split_raw]]*MAX(0,MIN(_xlfn.DAYS(EDATE(W$1,1),Log_2019[[#This Row],[Date]]),Log_2019[[#This Row],[Split_apply]])) - SUM($O116:V116)</f>
        <v>0</v>
      </c>
      <c r="X116" s="52">
        <f ca="1">Log_2019[[#This Row],[Amount]]/Log_2019[[#This Row],[Split_raw]]*MAX(0,MIN(_xlfn.DAYS(EDATE(X$1,1),Log_2019[[#This Row],[Date]]),Log_2019[[#This Row],[Split_apply]])) - SUM($O116:W116)</f>
        <v>0</v>
      </c>
      <c r="Y116" s="52">
        <f ca="1">Log_2019[[#This Row],[Amount]]/Log_2019[[#This Row],[Split_raw]]*MAX(0,MIN(_xlfn.DAYS(EDATE(Y$1,1),Log_2019[[#This Row],[Date]]),Log_2019[[#This Row],[Split_apply]])) - SUM($O116:X116)</f>
        <v>0</v>
      </c>
      <c r="Z116" s="52">
        <f ca="1">Log_2019[[#This Row],[Amount]]/Log_2019[[#This Row],[Split_raw]]*MAX(0,MIN(_xlfn.DAYS(EDATE(Z$1,1),Log_2019[[#This Row],[Date]]),Log_2019[[#This Row],[Split_apply]])) - SUM($O116:Y116)</f>
        <v>0</v>
      </c>
      <c r="AA116" s="52">
        <f ca="1">Log_2019[[#This Row],[Amount]]/Log_2019[[#This Row],[Split_raw]]*MAX(0,MIN(_xlfn.DAYS(EDATE(AA$1,1),Log_2019[[#This Row],[Date]]),Log_2019[[#This Row],[Split_apply]])) - SUM($O116:Z116)</f>
        <v>0</v>
      </c>
      <c r="AB116" s="54">
        <f ca="1">Log_2019[[#This Row],[Amount]]-SUM(O116:AA116)</f>
        <v>0</v>
      </c>
      <c r="AC116" s="7">
        <f>MAX(0,Log_2019[[#This Row],[Split_raw]] - (EDATE(AA$1,1)-Log_2019[[#This Row],[Date]]))</f>
        <v>0</v>
      </c>
    </row>
    <row r="117" spans="1:29" x14ac:dyDescent="0.25">
      <c r="A117" s="42"/>
      <c r="B117" s="34" t="s">
        <v>6</v>
      </c>
      <c r="C117" s="34"/>
      <c r="D117" s="35">
        <v>43764</v>
      </c>
      <c r="E117" s="34" t="s">
        <v>781</v>
      </c>
      <c r="F117" s="34" t="s">
        <v>633</v>
      </c>
      <c r="G117" s="34" t="s">
        <v>12</v>
      </c>
      <c r="H117">
        <v>-17.489999999999998</v>
      </c>
      <c r="I117" s="36">
        <f>IF(Log_2019[[#This Row],[My Category]]="NONTRACKED",0,Log_2019[[#This Row],[Raw Amount]])</f>
        <v>-17.489999999999998</v>
      </c>
      <c r="J117" s="37">
        <f>ABS(Log_2019[[#This Row],[Amount]])</f>
        <v>17.489999999999998</v>
      </c>
      <c r="K117" s="38">
        <v>1</v>
      </c>
      <c r="L117" s="38">
        <f ca="1">IF(Log_2019[[#This Row],[Date]]&lt;=TODAY(), MIN(Log_2019[[#This Row],[Split_raw]], TODAY()-Log_2019[[#This Row],[Date]]+1), 0)</f>
        <v>1</v>
      </c>
      <c r="M117" s="34" t="s">
        <v>42</v>
      </c>
      <c r="N117" s="34" t="s">
        <v>158</v>
      </c>
      <c r="O117" s="7">
        <v>0</v>
      </c>
      <c r="P117" s="52">
        <f ca="1">Log_2019[[#This Row],[Amount]]/Log_2019[[#This Row],[Split_raw]]*MAX(0,MIN(_xlfn.DAYS(EDATE(P$1,1),Log_2019[[#This Row],[Date]]),Log_2019[[#This Row],[Split_apply]])) - SUM($O117:O117)</f>
        <v>0</v>
      </c>
      <c r="Q117" s="52">
        <f ca="1">Log_2019[[#This Row],[Amount]]/Log_2019[[#This Row],[Split_raw]]*MAX(0,MIN(_xlfn.DAYS(EDATE(Q$1,1),Log_2019[[#This Row],[Date]]),Log_2019[[#This Row],[Split_apply]])) - SUM($O117:P117)</f>
        <v>0</v>
      </c>
      <c r="R117" s="52">
        <f ca="1">Log_2019[[#This Row],[Amount]]/Log_2019[[#This Row],[Split_raw]]*MAX(0,MIN(_xlfn.DAYS(EDATE(R$1,1),Log_2019[[#This Row],[Date]]),Log_2019[[#This Row],[Split_apply]])) - SUM($O117:Q117)</f>
        <v>0</v>
      </c>
      <c r="S117" s="52">
        <f ca="1">Log_2019[[#This Row],[Amount]]/Log_2019[[#This Row],[Split_raw]]*MAX(0,MIN(_xlfn.DAYS(EDATE(S$1,1),Log_2019[[#This Row],[Date]]),Log_2019[[#This Row],[Split_apply]])) - SUM($O117:R117)</f>
        <v>0</v>
      </c>
      <c r="T117" s="52">
        <f ca="1">Log_2019[[#This Row],[Amount]]/Log_2019[[#This Row],[Split_raw]]*MAX(0,MIN(_xlfn.DAYS(EDATE(T$1,1),Log_2019[[#This Row],[Date]]),Log_2019[[#This Row],[Split_apply]])) - SUM($O117:S117)</f>
        <v>0</v>
      </c>
      <c r="U117" s="52">
        <f ca="1">Log_2019[[#This Row],[Amount]]/Log_2019[[#This Row],[Split_raw]]*MAX(0,MIN(_xlfn.DAYS(EDATE(U$1,1),Log_2019[[#This Row],[Date]]),Log_2019[[#This Row],[Split_apply]])) - SUM($O117:T117)</f>
        <v>0</v>
      </c>
      <c r="V117" s="52">
        <f ca="1">Log_2019[[#This Row],[Amount]]/Log_2019[[#This Row],[Split_raw]]*MAX(0,MIN(_xlfn.DAYS(EDATE(V$1,1),Log_2019[[#This Row],[Date]]),Log_2019[[#This Row],[Split_apply]])) - SUM($O117:U117)</f>
        <v>0</v>
      </c>
      <c r="W117" s="52">
        <f ca="1">Log_2019[[#This Row],[Amount]]/Log_2019[[#This Row],[Split_raw]]*MAX(0,MIN(_xlfn.DAYS(EDATE(W$1,1),Log_2019[[#This Row],[Date]]),Log_2019[[#This Row],[Split_apply]])) - SUM($O117:V117)</f>
        <v>0</v>
      </c>
      <c r="X117" s="52">
        <f ca="1">Log_2019[[#This Row],[Amount]]/Log_2019[[#This Row],[Split_raw]]*MAX(0,MIN(_xlfn.DAYS(EDATE(X$1,1),Log_2019[[#This Row],[Date]]),Log_2019[[#This Row],[Split_apply]])) - SUM($O117:W117)</f>
        <v>0</v>
      </c>
      <c r="Y117" s="52">
        <f ca="1">Log_2019[[#This Row],[Amount]]/Log_2019[[#This Row],[Split_raw]]*MAX(0,MIN(_xlfn.DAYS(EDATE(Y$1,1),Log_2019[[#This Row],[Date]]),Log_2019[[#This Row],[Split_apply]])) - SUM($O117:X117)</f>
        <v>-17.489999999999998</v>
      </c>
      <c r="Z117" s="52">
        <f ca="1">Log_2019[[#This Row],[Amount]]/Log_2019[[#This Row],[Split_raw]]*MAX(0,MIN(_xlfn.DAYS(EDATE(Z$1,1),Log_2019[[#This Row],[Date]]),Log_2019[[#This Row],[Split_apply]])) - SUM($O117:Y117)</f>
        <v>0</v>
      </c>
      <c r="AA117" s="52">
        <f ca="1">Log_2019[[#This Row],[Amount]]/Log_2019[[#This Row],[Split_raw]]*MAX(0,MIN(_xlfn.DAYS(EDATE(AA$1,1),Log_2019[[#This Row],[Date]]),Log_2019[[#This Row],[Split_apply]])) - SUM($O117:Z117)</f>
        <v>0</v>
      </c>
      <c r="AB117" s="54">
        <f ca="1">Log_2019[[#This Row],[Amount]]-SUM(O117:AA117)</f>
        <v>0</v>
      </c>
      <c r="AC117" s="7">
        <f>MAX(0,Log_2019[[#This Row],[Split_raw]] - (EDATE(AA$1,1)-Log_2019[[#This Row],[Date]]))</f>
        <v>0</v>
      </c>
    </row>
    <row r="118" spans="1:29" x14ac:dyDescent="0.25">
      <c r="A118" s="42"/>
      <c r="B118" s="34" t="s">
        <v>6</v>
      </c>
      <c r="C118" s="34"/>
      <c r="D118" s="35">
        <v>43764</v>
      </c>
      <c r="E118" s="34" t="s">
        <v>782</v>
      </c>
      <c r="F118" s="34" t="s">
        <v>766</v>
      </c>
      <c r="G118" s="34" t="s">
        <v>19</v>
      </c>
      <c r="H118">
        <v>-66.2</v>
      </c>
      <c r="I118" s="36">
        <f>IF(Log_2019[[#This Row],[My Category]]="NONTRACKED",0,Log_2019[[#This Row],[Raw Amount]])</f>
        <v>-66.2</v>
      </c>
      <c r="J118" s="37">
        <f>ABS(Log_2019[[#This Row],[Amount]])</f>
        <v>66.2</v>
      </c>
      <c r="K118" s="38">
        <v>1</v>
      </c>
      <c r="L118" s="38">
        <f ca="1">IF(Log_2019[[#This Row],[Date]]&lt;=TODAY(), MIN(Log_2019[[#This Row],[Split_raw]], TODAY()-Log_2019[[#This Row],[Date]]+1), 0)</f>
        <v>1</v>
      </c>
      <c r="M118" s="34" t="s">
        <v>42</v>
      </c>
      <c r="N118" s="34" t="s">
        <v>158</v>
      </c>
      <c r="O118" s="7">
        <v>0</v>
      </c>
      <c r="P118" s="52">
        <f ca="1">Log_2019[[#This Row],[Amount]]/Log_2019[[#This Row],[Split_raw]]*MAX(0,MIN(_xlfn.DAYS(EDATE(P$1,1),Log_2019[[#This Row],[Date]]),Log_2019[[#This Row],[Split_apply]])) - SUM($O118:O118)</f>
        <v>0</v>
      </c>
      <c r="Q118" s="52">
        <f ca="1">Log_2019[[#This Row],[Amount]]/Log_2019[[#This Row],[Split_raw]]*MAX(0,MIN(_xlfn.DAYS(EDATE(Q$1,1),Log_2019[[#This Row],[Date]]),Log_2019[[#This Row],[Split_apply]])) - SUM($O118:P118)</f>
        <v>0</v>
      </c>
      <c r="R118" s="52">
        <f ca="1">Log_2019[[#This Row],[Amount]]/Log_2019[[#This Row],[Split_raw]]*MAX(0,MIN(_xlfn.DAYS(EDATE(R$1,1),Log_2019[[#This Row],[Date]]),Log_2019[[#This Row],[Split_apply]])) - SUM($O118:Q118)</f>
        <v>0</v>
      </c>
      <c r="S118" s="52">
        <f ca="1">Log_2019[[#This Row],[Amount]]/Log_2019[[#This Row],[Split_raw]]*MAX(0,MIN(_xlfn.DAYS(EDATE(S$1,1),Log_2019[[#This Row],[Date]]),Log_2019[[#This Row],[Split_apply]])) - SUM($O118:R118)</f>
        <v>0</v>
      </c>
      <c r="T118" s="52">
        <f ca="1">Log_2019[[#This Row],[Amount]]/Log_2019[[#This Row],[Split_raw]]*MAX(0,MIN(_xlfn.DAYS(EDATE(T$1,1),Log_2019[[#This Row],[Date]]),Log_2019[[#This Row],[Split_apply]])) - SUM($O118:S118)</f>
        <v>0</v>
      </c>
      <c r="U118" s="52">
        <f ca="1">Log_2019[[#This Row],[Amount]]/Log_2019[[#This Row],[Split_raw]]*MAX(0,MIN(_xlfn.DAYS(EDATE(U$1,1),Log_2019[[#This Row],[Date]]),Log_2019[[#This Row],[Split_apply]])) - SUM($O118:T118)</f>
        <v>0</v>
      </c>
      <c r="V118" s="52">
        <f ca="1">Log_2019[[#This Row],[Amount]]/Log_2019[[#This Row],[Split_raw]]*MAX(0,MIN(_xlfn.DAYS(EDATE(V$1,1),Log_2019[[#This Row],[Date]]),Log_2019[[#This Row],[Split_apply]])) - SUM($O118:U118)</f>
        <v>0</v>
      </c>
      <c r="W118" s="52">
        <f ca="1">Log_2019[[#This Row],[Amount]]/Log_2019[[#This Row],[Split_raw]]*MAX(0,MIN(_xlfn.DAYS(EDATE(W$1,1),Log_2019[[#This Row],[Date]]),Log_2019[[#This Row],[Split_apply]])) - SUM($O118:V118)</f>
        <v>0</v>
      </c>
      <c r="X118" s="52">
        <f ca="1">Log_2019[[#This Row],[Amount]]/Log_2019[[#This Row],[Split_raw]]*MAX(0,MIN(_xlfn.DAYS(EDATE(X$1,1),Log_2019[[#This Row],[Date]]),Log_2019[[#This Row],[Split_apply]])) - SUM($O118:W118)</f>
        <v>0</v>
      </c>
      <c r="Y118" s="52">
        <f ca="1">Log_2019[[#This Row],[Amount]]/Log_2019[[#This Row],[Split_raw]]*MAX(0,MIN(_xlfn.DAYS(EDATE(Y$1,1),Log_2019[[#This Row],[Date]]),Log_2019[[#This Row],[Split_apply]])) - SUM($O118:X118)</f>
        <v>-66.2</v>
      </c>
      <c r="Z118" s="52">
        <f ca="1">Log_2019[[#This Row],[Amount]]/Log_2019[[#This Row],[Split_raw]]*MAX(0,MIN(_xlfn.DAYS(EDATE(Z$1,1),Log_2019[[#This Row],[Date]]),Log_2019[[#This Row],[Split_apply]])) - SUM($O118:Y118)</f>
        <v>0</v>
      </c>
      <c r="AA118" s="52">
        <f ca="1">Log_2019[[#This Row],[Amount]]/Log_2019[[#This Row],[Split_raw]]*MAX(0,MIN(_xlfn.DAYS(EDATE(AA$1,1),Log_2019[[#This Row],[Date]]),Log_2019[[#This Row],[Split_apply]])) - SUM($O118:Z118)</f>
        <v>0</v>
      </c>
      <c r="AB118" s="54">
        <f ca="1">Log_2019[[#This Row],[Amount]]-SUM(O118:AA118)</f>
        <v>0</v>
      </c>
      <c r="AC118" s="7">
        <f>MAX(0,Log_2019[[#This Row],[Split_raw]] - (EDATE(AA$1,1)-Log_2019[[#This Row],[Date]]))</f>
        <v>0</v>
      </c>
    </row>
    <row r="119" spans="1:29" x14ac:dyDescent="0.25">
      <c r="A119" s="42"/>
      <c r="B119" s="34" t="s">
        <v>6</v>
      </c>
      <c r="C119" s="34"/>
      <c r="D119" s="35">
        <v>43763</v>
      </c>
      <c r="E119" s="34" t="s">
        <v>785</v>
      </c>
      <c r="F119" s="34" t="s">
        <v>587</v>
      </c>
      <c r="G119" s="34" t="s">
        <v>9</v>
      </c>
      <c r="H119">
        <v>-51.73</v>
      </c>
      <c r="I119" s="36">
        <f>IF(Log_2019[[#This Row],[My Category]]="NONTRACKED",0,Log_2019[[#This Row],[Raw Amount]])</f>
        <v>0</v>
      </c>
      <c r="J119" s="37">
        <f>ABS(Log_2019[[#This Row],[Amount]])</f>
        <v>0</v>
      </c>
      <c r="K119" s="38">
        <v>1</v>
      </c>
      <c r="L119" s="38">
        <f ca="1">IF(Log_2019[[#This Row],[Date]]&lt;=TODAY(), MIN(Log_2019[[#This Row],[Split_raw]], TODAY()-Log_2019[[#This Row],[Date]]+1), 0)</f>
        <v>1</v>
      </c>
      <c r="M119" s="34" t="s">
        <v>755</v>
      </c>
      <c r="N119" s="34" t="s">
        <v>158</v>
      </c>
      <c r="O119" s="7">
        <v>0</v>
      </c>
      <c r="P119" s="52">
        <f ca="1">Log_2019[[#This Row],[Amount]]/Log_2019[[#This Row],[Split_raw]]*MAX(0,MIN(_xlfn.DAYS(EDATE(P$1,1),Log_2019[[#This Row],[Date]]),Log_2019[[#This Row],[Split_apply]])) - SUM($O119:O119)</f>
        <v>0</v>
      </c>
      <c r="Q119" s="52">
        <f ca="1">Log_2019[[#This Row],[Amount]]/Log_2019[[#This Row],[Split_raw]]*MAX(0,MIN(_xlfn.DAYS(EDATE(Q$1,1),Log_2019[[#This Row],[Date]]),Log_2019[[#This Row],[Split_apply]])) - SUM($O119:P119)</f>
        <v>0</v>
      </c>
      <c r="R119" s="52">
        <f ca="1">Log_2019[[#This Row],[Amount]]/Log_2019[[#This Row],[Split_raw]]*MAX(0,MIN(_xlfn.DAYS(EDATE(R$1,1),Log_2019[[#This Row],[Date]]),Log_2019[[#This Row],[Split_apply]])) - SUM($O119:Q119)</f>
        <v>0</v>
      </c>
      <c r="S119" s="52">
        <f ca="1">Log_2019[[#This Row],[Amount]]/Log_2019[[#This Row],[Split_raw]]*MAX(0,MIN(_xlfn.DAYS(EDATE(S$1,1),Log_2019[[#This Row],[Date]]),Log_2019[[#This Row],[Split_apply]])) - SUM($O119:R119)</f>
        <v>0</v>
      </c>
      <c r="T119" s="52">
        <f ca="1">Log_2019[[#This Row],[Amount]]/Log_2019[[#This Row],[Split_raw]]*MAX(0,MIN(_xlfn.DAYS(EDATE(T$1,1),Log_2019[[#This Row],[Date]]),Log_2019[[#This Row],[Split_apply]])) - SUM($O119:S119)</f>
        <v>0</v>
      </c>
      <c r="U119" s="52">
        <f ca="1">Log_2019[[#This Row],[Amount]]/Log_2019[[#This Row],[Split_raw]]*MAX(0,MIN(_xlfn.DAYS(EDATE(U$1,1),Log_2019[[#This Row],[Date]]),Log_2019[[#This Row],[Split_apply]])) - SUM($O119:T119)</f>
        <v>0</v>
      </c>
      <c r="V119" s="52">
        <f ca="1">Log_2019[[#This Row],[Amount]]/Log_2019[[#This Row],[Split_raw]]*MAX(0,MIN(_xlfn.DAYS(EDATE(V$1,1),Log_2019[[#This Row],[Date]]),Log_2019[[#This Row],[Split_apply]])) - SUM($O119:U119)</f>
        <v>0</v>
      </c>
      <c r="W119" s="52">
        <f ca="1">Log_2019[[#This Row],[Amount]]/Log_2019[[#This Row],[Split_raw]]*MAX(0,MIN(_xlfn.DAYS(EDATE(W$1,1),Log_2019[[#This Row],[Date]]),Log_2019[[#This Row],[Split_apply]])) - SUM($O119:V119)</f>
        <v>0</v>
      </c>
      <c r="X119" s="52">
        <f ca="1">Log_2019[[#This Row],[Amount]]/Log_2019[[#This Row],[Split_raw]]*MAX(0,MIN(_xlfn.DAYS(EDATE(X$1,1),Log_2019[[#This Row],[Date]]),Log_2019[[#This Row],[Split_apply]])) - SUM($O119:W119)</f>
        <v>0</v>
      </c>
      <c r="Y119" s="52">
        <f ca="1">Log_2019[[#This Row],[Amount]]/Log_2019[[#This Row],[Split_raw]]*MAX(0,MIN(_xlfn.DAYS(EDATE(Y$1,1),Log_2019[[#This Row],[Date]]),Log_2019[[#This Row],[Split_apply]])) - SUM($O119:X119)</f>
        <v>0</v>
      </c>
      <c r="Z119" s="52">
        <f ca="1">Log_2019[[#This Row],[Amount]]/Log_2019[[#This Row],[Split_raw]]*MAX(0,MIN(_xlfn.DAYS(EDATE(Z$1,1),Log_2019[[#This Row],[Date]]),Log_2019[[#This Row],[Split_apply]])) - SUM($O119:Y119)</f>
        <v>0</v>
      </c>
      <c r="AA119" s="52">
        <f ca="1">Log_2019[[#This Row],[Amount]]/Log_2019[[#This Row],[Split_raw]]*MAX(0,MIN(_xlfn.DAYS(EDATE(AA$1,1),Log_2019[[#This Row],[Date]]),Log_2019[[#This Row],[Split_apply]])) - SUM($O119:Z119)</f>
        <v>0</v>
      </c>
      <c r="AB119" s="54">
        <f ca="1">Log_2019[[#This Row],[Amount]]-SUM(O119:AA119)</f>
        <v>0</v>
      </c>
      <c r="AC119" s="7">
        <f>MAX(0,Log_2019[[#This Row],[Split_raw]] - (EDATE(AA$1,1)-Log_2019[[#This Row],[Date]]))</f>
        <v>0</v>
      </c>
    </row>
    <row r="120" spans="1:29" x14ac:dyDescent="0.25">
      <c r="A120" s="42"/>
      <c r="B120" s="34" t="s">
        <v>6</v>
      </c>
      <c r="C120" s="34"/>
      <c r="D120" s="35">
        <v>43763</v>
      </c>
      <c r="E120" s="34"/>
      <c r="F120" s="34" t="s">
        <v>255</v>
      </c>
      <c r="G120" s="34" t="s">
        <v>10</v>
      </c>
      <c r="H120">
        <v>-2.96</v>
      </c>
      <c r="I120" s="36">
        <f>IF(Log_2019[[#This Row],[My Category]]="NONTRACKED",0,Log_2019[[#This Row],[Raw Amount]])</f>
        <v>-2.96</v>
      </c>
      <c r="J120" s="37">
        <f>ABS(Log_2019[[#This Row],[Amount]])</f>
        <v>2.96</v>
      </c>
      <c r="K120" s="38">
        <v>1</v>
      </c>
      <c r="L120" s="38">
        <f ca="1">IF(Log_2019[[#This Row],[Date]]&lt;=TODAY(), MIN(Log_2019[[#This Row],[Split_raw]], TODAY()-Log_2019[[#This Row],[Date]]+1), 0)</f>
        <v>1</v>
      </c>
      <c r="M120" s="34" t="s">
        <v>35</v>
      </c>
      <c r="N120" s="34" t="s">
        <v>158</v>
      </c>
      <c r="O120" s="7">
        <v>0</v>
      </c>
      <c r="P120" s="52">
        <f ca="1">Log_2019[[#This Row],[Amount]]/Log_2019[[#This Row],[Split_raw]]*MAX(0,MIN(_xlfn.DAYS(EDATE(P$1,1),Log_2019[[#This Row],[Date]]),Log_2019[[#This Row],[Split_apply]])) - SUM($O120:O120)</f>
        <v>0</v>
      </c>
      <c r="Q120" s="52">
        <f ca="1">Log_2019[[#This Row],[Amount]]/Log_2019[[#This Row],[Split_raw]]*MAX(0,MIN(_xlfn.DAYS(EDATE(Q$1,1),Log_2019[[#This Row],[Date]]),Log_2019[[#This Row],[Split_apply]])) - SUM($O120:P120)</f>
        <v>0</v>
      </c>
      <c r="R120" s="52">
        <f ca="1">Log_2019[[#This Row],[Amount]]/Log_2019[[#This Row],[Split_raw]]*MAX(0,MIN(_xlfn.DAYS(EDATE(R$1,1),Log_2019[[#This Row],[Date]]),Log_2019[[#This Row],[Split_apply]])) - SUM($O120:Q120)</f>
        <v>0</v>
      </c>
      <c r="S120" s="52">
        <f ca="1">Log_2019[[#This Row],[Amount]]/Log_2019[[#This Row],[Split_raw]]*MAX(0,MIN(_xlfn.DAYS(EDATE(S$1,1),Log_2019[[#This Row],[Date]]),Log_2019[[#This Row],[Split_apply]])) - SUM($O120:R120)</f>
        <v>0</v>
      </c>
      <c r="T120" s="52">
        <f ca="1">Log_2019[[#This Row],[Amount]]/Log_2019[[#This Row],[Split_raw]]*MAX(0,MIN(_xlfn.DAYS(EDATE(T$1,1),Log_2019[[#This Row],[Date]]),Log_2019[[#This Row],[Split_apply]])) - SUM($O120:S120)</f>
        <v>0</v>
      </c>
      <c r="U120" s="52">
        <f ca="1">Log_2019[[#This Row],[Amount]]/Log_2019[[#This Row],[Split_raw]]*MAX(0,MIN(_xlfn.DAYS(EDATE(U$1,1),Log_2019[[#This Row],[Date]]),Log_2019[[#This Row],[Split_apply]])) - SUM($O120:T120)</f>
        <v>0</v>
      </c>
      <c r="V120" s="52">
        <f ca="1">Log_2019[[#This Row],[Amount]]/Log_2019[[#This Row],[Split_raw]]*MAX(0,MIN(_xlfn.DAYS(EDATE(V$1,1),Log_2019[[#This Row],[Date]]),Log_2019[[#This Row],[Split_apply]])) - SUM($O120:U120)</f>
        <v>0</v>
      </c>
      <c r="W120" s="52">
        <f ca="1">Log_2019[[#This Row],[Amount]]/Log_2019[[#This Row],[Split_raw]]*MAX(0,MIN(_xlfn.DAYS(EDATE(W$1,1),Log_2019[[#This Row],[Date]]),Log_2019[[#This Row],[Split_apply]])) - SUM($O120:V120)</f>
        <v>0</v>
      </c>
      <c r="X120" s="52">
        <f ca="1">Log_2019[[#This Row],[Amount]]/Log_2019[[#This Row],[Split_raw]]*MAX(0,MIN(_xlfn.DAYS(EDATE(X$1,1),Log_2019[[#This Row],[Date]]),Log_2019[[#This Row],[Split_apply]])) - SUM($O120:W120)</f>
        <v>0</v>
      </c>
      <c r="Y120" s="52">
        <f ca="1">Log_2019[[#This Row],[Amount]]/Log_2019[[#This Row],[Split_raw]]*MAX(0,MIN(_xlfn.DAYS(EDATE(Y$1,1),Log_2019[[#This Row],[Date]]),Log_2019[[#This Row],[Split_apply]])) - SUM($O120:X120)</f>
        <v>-2.96</v>
      </c>
      <c r="Z120" s="52">
        <f ca="1">Log_2019[[#This Row],[Amount]]/Log_2019[[#This Row],[Split_raw]]*MAX(0,MIN(_xlfn.DAYS(EDATE(Z$1,1),Log_2019[[#This Row],[Date]]),Log_2019[[#This Row],[Split_apply]])) - SUM($O120:Y120)</f>
        <v>0</v>
      </c>
      <c r="AA120" s="52">
        <f ca="1">Log_2019[[#This Row],[Amount]]/Log_2019[[#This Row],[Split_raw]]*MAX(0,MIN(_xlfn.DAYS(EDATE(AA$1,1),Log_2019[[#This Row],[Date]]),Log_2019[[#This Row],[Split_apply]])) - SUM($O120:Z120)</f>
        <v>0</v>
      </c>
      <c r="AB120" s="54">
        <f ca="1">Log_2019[[#This Row],[Amount]]-SUM(O120:AA120)</f>
        <v>0</v>
      </c>
      <c r="AC120" s="7">
        <f>MAX(0,Log_2019[[#This Row],[Split_raw]] - (EDATE(AA$1,1)-Log_2019[[#This Row],[Date]]))</f>
        <v>0</v>
      </c>
    </row>
    <row r="121" spans="1:29" x14ac:dyDescent="0.25">
      <c r="A121" s="42"/>
      <c r="B121" s="34" t="s">
        <v>6</v>
      </c>
      <c r="C121" s="34"/>
      <c r="D121" s="35">
        <v>43762</v>
      </c>
      <c r="E121" s="34"/>
      <c r="F121" s="34" t="s">
        <v>607</v>
      </c>
      <c r="G121" s="34" t="s">
        <v>80</v>
      </c>
      <c r="H121">
        <f>--1898.48</f>
        <v>1898.48</v>
      </c>
      <c r="I121" s="36">
        <f>IF(Log_2019[[#This Row],[My Category]]="NONTRACKED",0,Log_2019[[#This Row],[Raw Amount]])</f>
        <v>1898.48</v>
      </c>
      <c r="J121" s="37">
        <f>ABS(Log_2019[[#This Row],[Amount]])</f>
        <v>1898.48</v>
      </c>
      <c r="K121" s="38">
        <v>14</v>
      </c>
      <c r="L121" s="38">
        <f ca="1">IF(Log_2019[[#This Row],[Date]]&lt;=TODAY(), MIN(Log_2019[[#This Row],[Split_raw]], TODAY()-Log_2019[[#This Row],[Date]]+1), 0)</f>
        <v>14</v>
      </c>
      <c r="M121" s="34" t="s">
        <v>91</v>
      </c>
      <c r="N121" s="34" t="s">
        <v>160</v>
      </c>
      <c r="O121" s="7">
        <v>0</v>
      </c>
      <c r="P121" s="52">
        <f ca="1">Log_2019[[#This Row],[Amount]]/Log_2019[[#This Row],[Split_raw]]*MAX(0,MIN(_xlfn.DAYS(EDATE(P$1,1),Log_2019[[#This Row],[Date]]),Log_2019[[#This Row],[Split_apply]])) - SUM($O121:O121)</f>
        <v>0</v>
      </c>
      <c r="Q121" s="52">
        <f ca="1">Log_2019[[#This Row],[Amount]]/Log_2019[[#This Row],[Split_raw]]*MAX(0,MIN(_xlfn.DAYS(EDATE(Q$1,1),Log_2019[[#This Row],[Date]]),Log_2019[[#This Row],[Split_apply]])) - SUM($O121:P121)</f>
        <v>0</v>
      </c>
      <c r="R121" s="52">
        <f ca="1">Log_2019[[#This Row],[Amount]]/Log_2019[[#This Row],[Split_raw]]*MAX(0,MIN(_xlfn.DAYS(EDATE(R$1,1),Log_2019[[#This Row],[Date]]),Log_2019[[#This Row],[Split_apply]])) - SUM($O121:Q121)</f>
        <v>0</v>
      </c>
      <c r="S121" s="52">
        <f ca="1">Log_2019[[#This Row],[Amount]]/Log_2019[[#This Row],[Split_raw]]*MAX(0,MIN(_xlfn.DAYS(EDATE(S$1,1),Log_2019[[#This Row],[Date]]),Log_2019[[#This Row],[Split_apply]])) - SUM($O121:R121)</f>
        <v>0</v>
      </c>
      <c r="T121" s="52">
        <f ca="1">Log_2019[[#This Row],[Amount]]/Log_2019[[#This Row],[Split_raw]]*MAX(0,MIN(_xlfn.DAYS(EDATE(T$1,1),Log_2019[[#This Row],[Date]]),Log_2019[[#This Row],[Split_apply]])) - SUM($O121:S121)</f>
        <v>0</v>
      </c>
      <c r="U121" s="52">
        <f ca="1">Log_2019[[#This Row],[Amount]]/Log_2019[[#This Row],[Split_raw]]*MAX(0,MIN(_xlfn.DAYS(EDATE(U$1,1),Log_2019[[#This Row],[Date]]),Log_2019[[#This Row],[Split_apply]])) - SUM($O121:T121)</f>
        <v>0</v>
      </c>
      <c r="V121" s="52">
        <f ca="1">Log_2019[[#This Row],[Amount]]/Log_2019[[#This Row],[Split_raw]]*MAX(0,MIN(_xlfn.DAYS(EDATE(V$1,1),Log_2019[[#This Row],[Date]]),Log_2019[[#This Row],[Split_apply]])) - SUM($O121:U121)</f>
        <v>0</v>
      </c>
      <c r="W121" s="52">
        <f ca="1">Log_2019[[#This Row],[Amount]]/Log_2019[[#This Row],[Split_raw]]*MAX(0,MIN(_xlfn.DAYS(EDATE(W$1,1),Log_2019[[#This Row],[Date]]),Log_2019[[#This Row],[Split_apply]])) - SUM($O121:V121)</f>
        <v>0</v>
      </c>
      <c r="X121" s="52">
        <f ca="1">Log_2019[[#This Row],[Amount]]/Log_2019[[#This Row],[Split_raw]]*MAX(0,MIN(_xlfn.DAYS(EDATE(X$1,1),Log_2019[[#This Row],[Date]]),Log_2019[[#This Row],[Split_apply]])) - SUM($O121:W121)</f>
        <v>0</v>
      </c>
      <c r="Y121" s="52">
        <f ca="1">Log_2019[[#This Row],[Amount]]/Log_2019[[#This Row],[Split_raw]]*MAX(0,MIN(_xlfn.DAYS(EDATE(Y$1,1),Log_2019[[#This Row],[Date]]),Log_2019[[#This Row],[Split_apply]])) - SUM($O121:X121)</f>
        <v>1084.8457142857144</v>
      </c>
      <c r="Z121" s="52">
        <f ca="1">Log_2019[[#This Row],[Amount]]/Log_2019[[#This Row],[Split_raw]]*MAX(0,MIN(_xlfn.DAYS(EDATE(Z$1,1),Log_2019[[#This Row],[Date]]),Log_2019[[#This Row],[Split_apply]])) - SUM($O121:Y121)</f>
        <v>813.63428571428585</v>
      </c>
      <c r="AA121" s="52">
        <f ca="1">Log_2019[[#This Row],[Amount]]/Log_2019[[#This Row],[Split_raw]]*MAX(0,MIN(_xlfn.DAYS(EDATE(AA$1,1),Log_2019[[#This Row],[Date]]),Log_2019[[#This Row],[Split_apply]])) - SUM($O121:Z121)</f>
        <v>0</v>
      </c>
      <c r="AB121" s="54">
        <f ca="1">Log_2019[[#This Row],[Amount]]-SUM(O121:AA121)</f>
        <v>0</v>
      </c>
      <c r="AC121" s="7">
        <f>MAX(0,Log_2019[[#This Row],[Split_raw]] - (EDATE(AA$1,1)-Log_2019[[#This Row],[Date]]))</f>
        <v>0</v>
      </c>
    </row>
    <row r="122" spans="1:29" x14ac:dyDescent="0.25">
      <c r="A122" s="42"/>
      <c r="B122" s="34" t="s">
        <v>6</v>
      </c>
      <c r="C122" s="34"/>
      <c r="D122" s="35">
        <v>43762</v>
      </c>
      <c r="E122" s="34"/>
      <c r="F122" s="34" t="s">
        <v>255</v>
      </c>
      <c r="G122" s="34" t="s">
        <v>10</v>
      </c>
      <c r="H122">
        <v>-10.68</v>
      </c>
      <c r="I122" s="36">
        <f>IF(Log_2019[[#This Row],[My Category]]="NONTRACKED",0,Log_2019[[#This Row],[Raw Amount]])</f>
        <v>-10.68</v>
      </c>
      <c r="J122" s="37">
        <f>ABS(Log_2019[[#This Row],[Amount]])</f>
        <v>10.68</v>
      </c>
      <c r="K122" s="38">
        <v>1</v>
      </c>
      <c r="L122" s="38">
        <f ca="1">IF(Log_2019[[#This Row],[Date]]&lt;=TODAY(), MIN(Log_2019[[#This Row],[Split_raw]], TODAY()-Log_2019[[#This Row],[Date]]+1), 0)</f>
        <v>1</v>
      </c>
      <c r="M122" s="34" t="s">
        <v>35</v>
      </c>
      <c r="N122" s="34" t="s">
        <v>158</v>
      </c>
      <c r="O122" s="7">
        <v>0</v>
      </c>
      <c r="P122" s="52">
        <f ca="1">Log_2019[[#This Row],[Amount]]/Log_2019[[#This Row],[Split_raw]]*MAX(0,MIN(_xlfn.DAYS(EDATE(P$1,1),Log_2019[[#This Row],[Date]]),Log_2019[[#This Row],[Split_apply]])) - SUM($O122:O122)</f>
        <v>0</v>
      </c>
      <c r="Q122" s="52">
        <f ca="1">Log_2019[[#This Row],[Amount]]/Log_2019[[#This Row],[Split_raw]]*MAX(0,MIN(_xlfn.DAYS(EDATE(Q$1,1),Log_2019[[#This Row],[Date]]),Log_2019[[#This Row],[Split_apply]])) - SUM($O122:P122)</f>
        <v>0</v>
      </c>
      <c r="R122" s="52">
        <f ca="1">Log_2019[[#This Row],[Amount]]/Log_2019[[#This Row],[Split_raw]]*MAX(0,MIN(_xlfn.DAYS(EDATE(R$1,1),Log_2019[[#This Row],[Date]]),Log_2019[[#This Row],[Split_apply]])) - SUM($O122:Q122)</f>
        <v>0</v>
      </c>
      <c r="S122" s="52">
        <f ca="1">Log_2019[[#This Row],[Amount]]/Log_2019[[#This Row],[Split_raw]]*MAX(0,MIN(_xlfn.DAYS(EDATE(S$1,1),Log_2019[[#This Row],[Date]]),Log_2019[[#This Row],[Split_apply]])) - SUM($O122:R122)</f>
        <v>0</v>
      </c>
      <c r="T122" s="52">
        <f ca="1">Log_2019[[#This Row],[Amount]]/Log_2019[[#This Row],[Split_raw]]*MAX(0,MIN(_xlfn.DAYS(EDATE(T$1,1),Log_2019[[#This Row],[Date]]),Log_2019[[#This Row],[Split_apply]])) - SUM($O122:S122)</f>
        <v>0</v>
      </c>
      <c r="U122" s="52">
        <f ca="1">Log_2019[[#This Row],[Amount]]/Log_2019[[#This Row],[Split_raw]]*MAX(0,MIN(_xlfn.DAYS(EDATE(U$1,1),Log_2019[[#This Row],[Date]]),Log_2019[[#This Row],[Split_apply]])) - SUM($O122:T122)</f>
        <v>0</v>
      </c>
      <c r="V122" s="52">
        <f ca="1">Log_2019[[#This Row],[Amount]]/Log_2019[[#This Row],[Split_raw]]*MAX(0,MIN(_xlfn.DAYS(EDATE(V$1,1),Log_2019[[#This Row],[Date]]),Log_2019[[#This Row],[Split_apply]])) - SUM($O122:U122)</f>
        <v>0</v>
      </c>
      <c r="W122" s="52">
        <f ca="1">Log_2019[[#This Row],[Amount]]/Log_2019[[#This Row],[Split_raw]]*MAX(0,MIN(_xlfn.DAYS(EDATE(W$1,1),Log_2019[[#This Row],[Date]]),Log_2019[[#This Row],[Split_apply]])) - SUM($O122:V122)</f>
        <v>0</v>
      </c>
      <c r="X122" s="52">
        <f ca="1">Log_2019[[#This Row],[Amount]]/Log_2019[[#This Row],[Split_raw]]*MAX(0,MIN(_xlfn.DAYS(EDATE(X$1,1),Log_2019[[#This Row],[Date]]),Log_2019[[#This Row],[Split_apply]])) - SUM($O122:W122)</f>
        <v>0</v>
      </c>
      <c r="Y122" s="52">
        <f ca="1">Log_2019[[#This Row],[Amount]]/Log_2019[[#This Row],[Split_raw]]*MAX(0,MIN(_xlfn.DAYS(EDATE(Y$1,1),Log_2019[[#This Row],[Date]]),Log_2019[[#This Row],[Split_apply]])) - SUM($O122:X122)</f>
        <v>-10.68</v>
      </c>
      <c r="Z122" s="52">
        <f ca="1">Log_2019[[#This Row],[Amount]]/Log_2019[[#This Row],[Split_raw]]*MAX(0,MIN(_xlfn.DAYS(EDATE(Z$1,1),Log_2019[[#This Row],[Date]]),Log_2019[[#This Row],[Split_apply]])) - SUM($O122:Y122)</f>
        <v>0</v>
      </c>
      <c r="AA122" s="52">
        <f ca="1">Log_2019[[#This Row],[Amount]]/Log_2019[[#This Row],[Split_raw]]*MAX(0,MIN(_xlfn.DAYS(EDATE(AA$1,1),Log_2019[[#This Row],[Date]]),Log_2019[[#This Row],[Split_apply]])) - SUM($O122:Z122)</f>
        <v>0</v>
      </c>
      <c r="AB122" s="54">
        <f ca="1">Log_2019[[#This Row],[Amount]]-SUM(O122:AA122)</f>
        <v>0</v>
      </c>
      <c r="AC122" s="7">
        <f>MAX(0,Log_2019[[#This Row],[Split_raw]] - (EDATE(AA$1,1)-Log_2019[[#This Row],[Date]]))</f>
        <v>0</v>
      </c>
    </row>
    <row r="123" spans="1:29" x14ac:dyDescent="0.25">
      <c r="A123" s="42"/>
      <c r="B123" s="34" t="s">
        <v>6</v>
      </c>
      <c r="C123" s="34"/>
      <c r="D123" s="35">
        <v>43762</v>
      </c>
      <c r="E123" s="34" t="s">
        <v>791</v>
      </c>
      <c r="F123" s="34" t="s">
        <v>767</v>
      </c>
      <c r="G123" s="34" t="s">
        <v>11</v>
      </c>
      <c r="H123">
        <v>-21.71</v>
      </c>
      <c r="I123" s="36">
        <f>IF(Log_2019[[#This Row],[My Category]]="NONTRACKED",0,Log_2019[[#This Row],[Raw Amount]])</f>
        <v>0</v>
      </c>
      <c r="J123" s="37">
        <f>ABS(Log_2019[[#This Row],[Amount]])</f>
        <v>0</v>
      </c>
      <c r="K123" s="38">
        <v>1</v>
      </c>
      <c r="L123" s="38">
        <f ca="1">IF(Log_2019[[#This Row],[Date]]&lt;=TODAY(), MIN(Log_2019[[#This Row],[Split_raw]], TODAY()-Log_2019[[#This Row],[Date]]+1), 0)</f>
        <v>1</v>
      </c>
      <c r="M123" s="34" t="s">
        <v>755</v>
      </c>
      <c r="N123" s="34" t="s">
        <v>158</v>
      </c>
      <c r="O123" s="7">
        <v>0</v>
      </c>
      <c r="P123" s="52">
        <f ca="1">Log_2019[[#This Row],[Amount]]/Log_2019[[#This Row],[Split_raw]]*MAX(0,MIN(_xlfn.DAYS(EDATE(P$1,1),Log_2019[[#This Row],[Date]]),Log_2019[[#This Row],[Split_apply]])) - SUM($O123:O123)</f>
        <v>0</v>
      </c>
      <c r="Q123" s="52">
        <f ca="1">Log_2019[[#This Row],[Amount]]/Log_2019[[#This Row],[Split_raw]]*MAX(0,MIN(_xlfn.DAYS(EDATE(Q$1,1),Log_2019[[#This Row],[Date]]),Log_2019[[#This Row],[Split_apply]])) - SUM($O123:P123)</f>
        <v>0</v>
      </c>
      <c r="R123" s="52">
        <f ca="1">Log_2019[[#This Row],[Amount]]/Log_2019[[#This Row],[Split_raw]]*MAX(0,MIN(_xlfn.DAYS(EDATE(R$1,1),Log_2019[[#This Row],[Date]]),Log_2019[[#This Row],[Split_apply]])) - SUM($O123:Q123)</f>
        <v>0</v>
      </c>
      <c r="S123" s="52">
        <f ca="1">Log_2019[[#This Row],[Amount]]/Log_2019[[#This Row],[Split_raw]]*MAX(0,MIN(_xlfn.DAYS(EDATE(S$1,1),Log_2019[[#This Row],[Date]]),Log_2019[[#This Row],[Split_apply]])) - SUM($O123:R123)</f>
        <v>0</v>
      </c>
      <c r="T123" s="52">
        <f ca="1">Log_2019[[#This Row],[Amount]]/Log_2019[[#This Row],[Split_raw]]*MAX(0,MIN(_xlfn.DAYS(EDATE(T$1,1),Log_2019[[#This Row],[Date]]),Log_2019[[#This Row],[Split_apply]])) - SUM($O123:S123)</f>
        <v>0</v>
      </c>
      <c r="U123" s="52">
        <f ca="1">Log_2019[[#This Row],[Amount]]/Log_2019[[#This Row],[Split_raw]]*MAX(0,MIN(_xlfn.DAYS(EDATE(U$1,1),Log_2019[[#This Row],[Date]]),Log_2019[[#This Row],[Split_apply]])) - SUM($O123:T123)</f>
        <v>0</v>
      </c>
      <c r="V123" s="52">
        <f ca="1">Log_2019[[#This Row],[Amount]]/Log_2019[[#This Row],[Split_raw]]*MAX(0,MIN(_xlfn.DAYS(EDATE(V$1,1),Log_2019[[#This Row],[Date]]),Log_2019[[#This Row],[Split_apply]])) - SUM($O123:U123)</f>
        <v>0</v>
      </c>
      <c r="W123" s="52">
        <f ca="1">Log_2019[[#This Row],[Amount]]/Log_2019[[#This Row],[Split_raw]]*MAX(0,MIN(_xlfn.DAYS(EDATE(W$1,1),Log_2019[[#This Row],[Date]]),Log_2019[[#This Row],[Split_apply]])) - SUM($O123:V123)</f>
        <v>0</v>
      </c>
      <c r="X123" s="52">
        <f ca="1">Log_2019[[#This Row],[Amount]]/Log_2019[[#This Row],[Split_raw]]*MAX(0,MIN(_xlfn.DAYS(EDATE(X$1,1),Log_2019[[#This Row],[Date]]),Log_2019[[#This Row],[Split_apply]])) - SUM($O123:W123)</f>
        <v>0</v>
      </c>
      <c r="Y123" s="52">
        <f ca="1">Log_2019[[#This Row],[Amount]]/Log_2019[[#This Row],[Split_raw]]*MAX(0,MIN(_xlfn.DAYS(EDATE(Y$1,1),Log_2019[[#This Row],[Date]]),Log_2019[[#This Row],[Split_apply]])) - SUM($O123:X123)</f>
        <v>0</v>
      </c>
      <c r="Z123" s="52">
        <f ca="1">Log_2019[[#This Row],[Amount]]/Log_2019[[#This Row],[Split_raw]]*MAX(0,MIN(_xlfn.DAYS(EDATE(Z$1,1),Log_2019[[#This Row],[Date]]),Log_2019[[#This Row],[Split_apply]])) - SUM($O123:Y123)</f>
        <v>0</v>
      </c>
      <c r="AA123" s="52">
        <f ca="1">Log_2019[[#This Row],[Amount]]/Log_2019[[#This Row],[Split_raw]]*MAX(0,MIN(_xlfn.DAYS(EDATE(AA$1,1),Log_2019[[#This Row],[Date]]),Log_2019[[#This Row],[Split_apply]])) - SUM($O123:Z123)</f>
        <v>0</v>
      </c>
      <c r="AB123" s="54">
        <f ca="1">Log_2019[[#This Row],[Amount]]-SUM(O123:AA123)</f>
        <v>0</v>
      </c>
      <c r="AC123" s="7">
        <f>MAX(0,Log_2019[[#This Row],[Split_raw]] - (EDATE(AA$1,1)-Log_2019[[#This Row],[Date]]))</f>
        <v>0</v>
      </c>
    </row>
    <row r="124" spans="1:29" x14ac:dyDescent="0.25">
      <c r="A124" s="42"/>
      <c r="B124" s="34" t="s">
        <v>6</v>
      </c>
      <c r="C124" s="34"/>
      <c r="D124" s="35">
        <v>43761</v>
      </c>
      <c r="E124" s="34"/>
      <c r="F124" s="34" t="s">
        <v>301</v>
      </c>
      <c r="G124" s="34" t="s">
        <v>25</v>
      </c>
      <c r="H124">
        <v>-6.09</v>
      </c>
      <c r="I124" s="36">
        <f>IF(Log_2019[[#This Row],[My Category]]="NONTRACKED",0,Log_2019[[#This Row],[Raw Amount]])</f>
        <v>-6.09</v>
      </c>
      <c r="J124" s="37">
        <f>ABS(Log_2019[[#This Row],[Amount]])</f>
        <v>6.09</v>
      </c>
      <c r="K124" s="38">
        <v>1</v>
      </c>
      <c r="L124" s="38">
        <f ca="1">IF(Log_2019[[#This Row],[Date]]&lt;=TODAY(), MIN(Log_2019[[#This Row],[Split_raw]], TODAY()-Log_2019[[#This Row],[Date]]+1), 0)</f>
        <v>1</v>
      </c>
      <c r="M124" s="34" t="s">
        <v>35</v>
      </c>
      <c r="N124" s="34" t="s">
        <v>158</v>
      </c>
      <c r="O124" s="7">
        <v>0</v>
      </c>
      <c r="P124" s="52">
        <f ca="1">Log_2019[[#This Row],[Amount]]/Log_2019[[#This Row],[Split_raw]]*MAX(0,MIN(_xlfn.DAYS(EDATE(P$1,1),Log_2019[[#This Row],[Date]]),Log_2019[[#This Row],[Split_apply]])) - SUM($O124:O124)</f>
        <v>0</v>
      </c>
      <c r="Q124" s="52">
        <f ca="1">Log_2019[[#This Row],[Amount]]/Log_2019[[#This Row],[Split_raw]]*MAX(0,MIN(_xlfn.DAYS(EDATE(Q$1,1),Log_2019[[#This Row],[Date]]),Log_2019[[#This Row],[Split_apply]])) - SUM($O124:P124)</f>
        <v>0</v>
      </c>
      <c r="R124" s="52">
        <f ca="1">Log_2019[[#This Row],[Amount]]/Log_2019[[#This Row],[Split_raw]]*MAX(0,MIN(_xlfn.DAYS(EDATE(R$1,1),Log_2019[[#This Row],[Date]]),Log_2019[[#This Row],[Split_apply]])) - SUM($O124:Q124)</f>
        <v>0</v>
      </c>
      <c r="S124" s="52">
        <f ca="1">Log_2019[[#This Row],[Amount]]/Log_2019[[#This Row],[Split_raw]]*MAX(0,MIN(_xlfn.DAYS(EDATE(S$1,1),Log_2019[[#This Row],[Date]]),Log_2019[[#This Row],[Split_apply]])) - SUM($O124:R124)</f>
        <v>0</v>
      </c>
      <c r="T124" s="52">
        <f ca="1">Log_2019[[#This Row],[Amount]]/Log_2019[[#This Row],[Split_raw]]*MAX(0,MIN(_xlfn.DAYS(EDATE(T$1,1),Log_2019[[#This Row],[Date]]),Log_2019[[#This Row],[Split_apply]])) - SUM($O124:S124)</f>
        <v>0</v>
      </c>
      <c r="U124" s="52">
        <f ca="1">Log_2019[[#This Row],[Amount]]/Log_2019[[#This Row],[Split_raw]]*MAX(0,MIN(_xlfn.DAYS(EDATE(U$1,1),Log_2019[[#This Row],[Date]]),Log_2019[[#This Row],[Split_apply]])) - SUM($O124:T124)</f>
        <v>0</v>
      </c>
      <c r="V124" s="52">
        <f ca="1">Log_2019[[#This Row],[Amount]]/Log_2019[[#This Row],[Split_raw]]*MAX(0,MIN(_xlfn.DAYS(EDATE(V$1,1),Log_2019[[#This Row],[Date]]),Log_2019[[#This Row],[Split_apply]])) - SUM($O124:U124)</f>
        <v>0</v>
      </c>
      <c r="W124" s="52">
        <f ca="1">Log_2019[[#This Row],[Amount]]/Log_2019[[#This Row],[Split_raw]]*MAX(0,MIN(_xlfn.DAYS(EDATE(W$1,1),Log_2019[[#This Row],[Date]]),Log_2019[[#This Row],[Split_apply]])) - SUM($O124:V124)</f>
        <v>0</v>
      </c>
      <c r="X124" s="52">
        <f ca="1">Log_2019[[#This Row],[Amount]]/Log_2019[[#This Row],[Split_raw]]*MAX(0,MIN(_xlfn.DAYS(EDATE(X$1,1),Log_2019[[#This Row],[Date]]),Log_2019[[#This Row],[Split_apply]])) - SUM($O124:W124)</f>
        <v>0</v>
      </c>
      <c r="Y124" s="52">
        <f ca="1">Log_2019[[#This Row],[Amount]]/Log_2019[[#This Row],[Split_raw]]*MAX(0,MIN(_xlfn.DAYS(EDATE(Y$1,1),Log_2019[[#This Row],[Date]]),Log_2019[[#This Row],[Split_apply]])) - SUM($O124:X124)</f>
        <v>-6.09</v>
      </c>
      <c r="Z124" s="52">
        <f ca="1">Log_2019[[#This Row],[Amount]]/Log_2019[[#This Row],[Split_raw]]*MAX(0,MIN(_xlfn.DAYS(EDATE(Z$1,1),Log_2019[[#This Row],[Date]]),Log_2019[[#This Row],[Split_apply]])) - SUM($O124:Y124)</f>
        <v>0</v>
      </c>
      <c r="AA124" s="52">
        <f ca="1">Log_2019[[#This Row],[Amount]]/Log_2019[[#This Row],[Split_raw]]*MAX(0,MIN(_xlfn.DAYS(EDATE(AA$1,1),Log_2019[[#This Row],[Date]]),Log_2019[[#This Row],[Split_apply]])) - SUM($O124:Z124)</f>
        <v>0</v>
      </c>
      <c r="AB124" s="54">
        <f ca="1">Log_2019[[#This Row],[Amount]]-SUM(O124:AA124)</f>
        <v>0</v>
      </c>
      <c r="AC124" s="7">
        <f>MAX(0,Log_2019[[#This Row],[Split_raw]] - (EDATE(AA$1,1)-Log_2019[[#This Row],[Date]]))</f>
        <v>0</v>
      </c>
    </row>
    <row r="125" spans="1:29" x14ac:dyDescent="0.25">
      <c r="A125" s="42"/>
      <c r="B125" s="34" t="s">
        <v>6</v>
      </c>
      <c r="C125" s="34"/>
      <c r="D125" s="35">
        <v>43761</v>
      </c>
      <c r="E125" s="34"/>
      <c r="F125" s="34" t="s">
        <v>556</v>
      </c>
      <c r="G125" s="34" t="s">
        <v>13</v>
      </c>
      <c r="H125">
        <v>-12.21</v>
      </c>
      <c r="I125" s="36">
        <f>IF(Log_2019[[#This Row],[My Category]]="NONTRACKED",0,Log_2019[[#This Row],[Raw Amount]])</f>
        <v>-12.21</v>
      </c>
      <c r="J125" s="37">
        <f>ABS(Log_2019[[#This Row],[Amount]])</f>
        <v>12.21</v>
      </c>
      <c r="K125" s="38">
        <v>1</v>
      </c>
      <c r="L125" s="38">
        <f ca="1">IF(Log_2019[[#This Row],[Date]]&lt;=TODAY(), MIN(Log_2019[[#This Row],[Split_raw]], TODAY()-Log_2019[[#This Row],[Date]]+1), 0)</f>
        <v>1</v>
      </c>
      <c r="M125" s="34" t="s">
        <v>12</v>
      </c>
      <c r="N125" s="34" t="s">
        <v>158</v>
      </c>
      <c r="O125" s="7">
        <v>0</v>
      </c>
      <c r="P125" s="52">
        <f ca="1">Log_2019[[#This Row],[Amount]]/Log_2019[[#This Row],[Split_raw]]*MAX(0,MIN(_xlfn.DAYS(EDATE(P$1,1),Log_2019[[#This Row],[Date]]),Log_2019[[#This Row],[Split_apply]])) - SUM($O125:O125)</f>
        <v>0</v>
      </c>
      <c r="Q125" s="52">
        <f ca="1">Log_2019[[#This Row],[Amount]]/Log_2019[[#This Row],[Split_raw]]*MAX(0,MIN(_xlfn.DAYS(EDATE(Q$1,1),Log_2019[[#This Row],[Date]]),Log_2019[[#This Row],[Split_apply]])) - SUM($O125:P125)</f>
        <v>0</v>
      </c>
      <c r="R125" s="52">
        <f ca="1">Log_2019[[#This Row],[Amount]]/Log_2019[[#This Row],[Split_raw]]*MAX(0,MIN(_xlfn.DAYS(EDATE(R$1,1),Log_2019[[#This Row],[Date]]),Log_2019[[#This Row],[Split_apply]])) - SUM($O125:Q125)</f>
        <v>0</v>
      </c>
      <c r="S125" s="52">
        <f ca="1">Log_2019[[#This Row],[Amount]]/Log_2019[[#This Row],[Split_raw]]*MAX(0,MIN(_xlfn.DAYS(EDATE(S$1,1),Log_2019[[#This Row],[Date]]),Log_2019[[#This Row],[Split_apply]])) - SUM($O125:R125)</f>
        <v>0</v>
      </c>
      <c r="T125" s="52">
        <f ca="1">Log_2019[[#This Row],[Amount]]/Log_2019[[#This Row],[Split_raw]]*MAX(0,MIN(_xlfn.DAYS(EDATE(T$1,1),Log_2019[[#This Row],[Date]]),Log_2019[[#This Row],[Split_apply]])) - SUM($O125:S125)</f>
        <v>0</v>
      </c>
      <c r="U125" s="52">
        <f ca="1">Log_2019[[#This Row],[Amount]]/Log_2019[[#This Row],[Split_raw]]*MAX(0,MIN(_xlfn.DAYS(EDATE(U$1,1),Log_2019[[#This Row],[Date]]),Log_2019[[#This Row],[Split_apply]])) - SUM($O125:T125)</f>
        <v>0</v>
      </c>
      <c r="V125" s="52">
        <f ca="1">Log_2019[[#This Row],[Amount]]/Log_2019[[#This Row],[Split_raw]]*MAX(0,MIN(_xlfn.DAYS(EDATE(V$1,1),Log_2019[[#This Row],[Date]]),Log_2019[[#This Row],[Split_apply]])) - SUM($O125:U125)</f>
        <v>0</v>
      </c>
      <c r="W125" s="52">
        <f ca="1">Log_2019[[#This Row],[Amount]]/Log_2019[[#This Row],[Split_raw]]*MAX(0,MIN(_xlfn.DAYS(EDATE(W$1,1),Log_2019[[#This Row],[Date]]),Log_2019[[#This Row],[Split_apply]])) - SUM($O125:V125)</f>
        <v>0</v>
      </c>
      <c r="X125" s="52">
        <f ca="1">Log_2019[[#This Row],[Amount]]/Log_2019[[#This Row],[Split_raw]]*MAX(0,MIN(_xlfn.DAYS(EDATE(X$1,1),Log_2019[[#This Row],[Date]]),Log_2019[[#This Row],[Split_apply]])) - SUM($O125:W125)</f>
        <v>0</v>
      </c>
      <c r="Y125" s="52">
        <f ca="1">Log_2019[[#This Row],[Amount]]/Log_2019[[#This Row],[Split_raw]]*MAX(0,MIN(_xlfn.DAYS(EDATE(Y$1,1),Log_2019[[#This Row],[Date]]),Log_2019[[#This Row],[Split_apply]])) - SUM($O125:X125)</f>
        <v>-12.21</v>
      </c>
      <c r="Z125" s="52">
        <f ca="1">Log_2019[[#This Row],[Amount]]/Log_2019[[#This Row],[Split_raw]]*MAX(0,MIN(_xlfn.DAYS(EDATE(Z$1,1),Log_2019[[#This Row],[Date]]),Log_2019[[#This Row],[Split_apply]])) - SUM($O125:Y125)</f>
        <v>0</v>
      </c>
      <c r="AA125" s="52">
        <f ca="1">Log_2019[[#This Row],[Amount]]/Log_2019[[#This Row],[Split_raw]]*MAX(0,MIN(_xlfn.DAYS(EDATE(AA$1,1),Log_2019[[#This Row],[Date]]),Log_2019[[#This Row],[Split_apply]])) - SUM($O125:Z125)</f>
        <v>0</v>
      </c>
      <c r="AB125" s="54">
        <f ca="1">Log_2019[[#This Row],[Amount]]-SUM(O125:AA125)</f>
        <v>0</v>
      </c>
      <c r="AC125" s="7">
        <f>MAX(0,Log_2019[[#This Row],[Split_raw]] - (EDATE(AA$1,1)-Log_2019[[#This Row],[Date]]))</f>
        <v>0</v>
      </c>
    </row>
    <row r="126" spans="1:29" x14ac:dyDescent="0.25">
      <c r="A126" s="42"/>
      <c r="B126" s="34" t="s">
        <v>96</v>
      </c>
      <c r="C126" s="34"/>
      <c r="D126" s="35">
        <v>43761</v>
      </c>
      <c r="E126" s="34" t="s">
        <v>801</v>
      </c>
      <c r="F126" s="34" t="s">
        <v>553</v>
      </c>
      <c r="G126" s="34"/>
      <c r="H126">
        <v>-18.36</v>
      </c>
      <c r="I126" s="36">
        <f>IF(Log_2019[[#This Row],[My Category]]="NONTRACKED",0,Log_2019[[#This Row],[Raw Amount]])</f>
        <v>0</v>
      </c>
      <c r="J126" s="37">
        <f>ABS(Log_2019[[#This Row],[Amount]])</f>
        <v>0</v>
      </c>
      <c r="K126" s="38">
        <v>1</v>
      </c>
      <c r="L126" s="38">
        <f ca="1">IF(Log_2019[[#This Row],[Date]]&lt;=TODAY(), MIN(Log_2019[[#This Row],[Split_raw]], TODAY()-Log_2019[[#This Row],[Date]]+1), 0)</f>
        <v>1</v>
      </c>
      <c r="M126" s="34" t="s">
        <v>755</v>
      </c>
      <c r="N126" s="34" t="s">
        <v>96</v>
      </c>
      <c r="O126" s="7">
        <v>0</v>
      </c>
      <c r="P126" s="52">
        <f ca="1">Log_2019[[#This Row],[Amount]]/Log_2019[[#This Row],[Split_raw]]*MAX(0,MIN(_xlfn.DAYS(EDATE(P$1,1),Log_2019[[#This Row],[Date]]),Log_2019[[#This Row],[Split_apply]])) - SUM($O126:O126)</f>
        <v>0</v>
      </c>
      <c r="Q126" s="52">
        <f ca="1">Log_2019[[#This Row],[Amount]]/Log_2019[[#This Row],[Split_raw]]*MAX(0,MIN(_xlfn.DAYS(EDATE(Q$1,1),Log_2019[[#This Row],[Date]]),Log_2019[[#This Row],[Split_apply]])) - SUM($O126:P126)</f>
        <v>0</v>
      </c>
      <c r="R126" s="52">
        <f ca="1">Log_2019[[#This Row],[Amount]]/Log_2019[[#This Row],[Split_raw]]*MAX(0,MIN(_xlfn.DAYS(EDATE(R$1,1),Log_2019[[#This Row],[Date]]),Log_2019[[#This Row],[Split_apply]])) - SUM($O126:Q126)</f>
        <v>0</v>
      </c>
      <c r="S126" s="52">
        <f ca="1">Log_2019[[#This Row],[Amount]]/Log_2019[[#This Row],[Split_raw]]*MAX(0,MIN(_xlfn.DAYS(EDATE(S$1,1),Log_2019[[#This Row],[Date]]),Log_2019[[#This Row],[Split_apply]])) - SUM($O126:R126)</f>
        <v>0</v>
      </c>
      <c r="T126" s="52">
        <f ca="1">Log_2019[[#This Row],[Amount]]/Log_2019[[#This Row],[Split_raw]]*MAX(0,MIN(_xlfn.DAYS(EDATE(T$1,1),Log_2019[[#This Row],[Date]]),Log_2019[[#This Row],[Split_apply]])) - SUM($O126:S126)</f>
        <v>0</v>
      </c>
      <c r="U126" s="52">
        <f ca="1">Log_2019[[#This Row],[Amount]]/Log_2019[[#This Row],[Split_raw]]*MAX(0,MIN(_xlfn.DAYS(EDATE(U$1,1),Log_2019[[#This Row],[Date]]),Log_2019[[#This Row],[Split_apply]])) - SUM($O126:T126)</f>
        <v>0</v>
      </c>
      <c r="V126" s="52">
        <f ca="1">Log_2019[[#This Row],[Amount]]/Log_2019[[#This Row],[Split_raw]]*MAX(0,MIN(_xlfn.DAYS(EDATE(V$1,1),Log_2019[[#This Row],[Date]]),Log_2019[[#This Row],[Split_apply]])) - SUM($O126:U126)</f>
        <v>0</v>
      </c>
      <c r="W126" s="52">
        <f ca="1">Log_2019[[#This Row],[Amount]]/Log_2019[[#This Row],[Split_raw]]*MAX(0,MIN(_xlfn.DAYS(EDATE(W$1,1),Log_2019[[#This Row],[Date]]),Log_2019[[#This Row],[Split_apply]])) - SUM($O126:V126)</f>
        <v>0</v>
      </c>
      <c r="X126" s="52">
        <f ca="1">Log_2019[[#This Row],[Amount]]/Log_2019[[#This Row],[Split_raw]]*MAX(0,MIN(_xlfn.DAYS(EDATE(X$1,1),Log_2019[[#This Row],[Date]]),Log_2019[[#This Row],[Split_apply]])) - SUM($O126:W126)</f>
        <v>0</v>
      </c>
      <c r="Y126" s="52">
        <f ca="1">Log_2019[[#This Row],[Amount]]/Log_2019[[#This Row],[Split_raw]]*MAX(0,MIN(_xlfn.DAYS(EDATE(Y$1,1),Log_2019[[#This Row],[Date]]),Log_2019[[#This Row],[Split_apply]])) - SUM($O126:X126)</f>
        <v>0</v>
      </c>
      <c r="Z126" s="52">
        <f ca="1">Log_2019[[#This Row],[Amount]]/Log_2019[[#This Row],[Split_raw]]*MAX(0,MIN(_xlfn.DAYS(EDATE(Z$1,1),Log_2019[[#This Row],[Date]]),Log_2019[[#This Row],[Split_apply]])) - SUM($O126:Y126)</f>
        <v>0</v>
      </c>
      <c r="AA126" s="52">
        <f ca="1">Log_2019[[#This Row],[Amount]]/Log_2019[[#This Row],[Split_raw]]*MAX(0,MIN(_xlfn.DAYS(EDATE(AA$1,1),Log_2019[[#This Row],[Date]]),Log_2019[[#This Row],[Split_apply]])) - SUM($O126:Z126)</f>
        <v>0</v>
      </c>
      <c r="AB126" s="54">
        <f ca="1">Log_2019[[#This Row],[Amount]]-SUM(O126:AA126)</f>
        <v>0</v>
      </c>
      <c r="AC126" s="7">
        <f>MAX(0,Log_2019[[#This Row],[Split_raw]] - (EDATE(AA$1,1)-Log_2019[[#This Row],[Date]]))</f>
        <v>0</v>
      </c>
    </row>
    <row r="127" spans="1:29" x14ac:dyDescent="0.25">
      <c r="A127" s="42"/>
      <c r="B127" s="34" t="s">
        <v>6</v>
      </c>
      <c r="C127" s="34"/>
      <c r="D127" s="35">
        <v>43760</v>
      </c>
      <c r="E127" s="34"/>
      <c r="F127" s="34" t="s">
        <v>581</v>
      </c>
      <c r="G127" s="34" t="s">
        <v>582</v>
      </c>
      <c r="H127">
        <v>-52.95</v>
      </c>
      <c r="I127" s="36">
        <f>IF(Log_2019[[#This Row],[My Category]]="NONTRACKED",0,Log_2019[[#This Row],[Raw Amount]])</f>
        <v>-52.95</v>
      </c>
      <c r="J127" s="37">
        <f>ABS(Log_2019[[#This Row],[Amount]])</f>
        <v>52.95</v>
      </c>
      <c r="K127" s="38">
        <v>30</v>
      </c>
      <c r="L127" s="38">
        <f ca="1">IF(Log_2019[[#This Row],[Date]]&lt;=TODAY(), MIN(Log_2019[[#This Row],[Split_raw]], TODAY()-Log_2019[[#This Row],[Date]]+1), 0)</f>
        <v>30</v>
      </c>
      <c r="M127" s="34" t="s">
        <v>30</v>
      </c>
      <c r="N127" s="34" t="s">
        <v>160</v>
      </c>
      <c r="O127" s="7">
        <v>0</v>
      </c>
      <c r="P127" s="52">
        <f ca="1">Log_2019[[#This Row],[Amount]]/Log_2019[[#This Row],[Split_raw]]*MAX(0,MIN(_xlfn.DAYS(EDATE(P$1,1),Log_2019[[#This Row],[Date]]),Log_2019[[#This Row],[Split_apply]])) - SUM($O127:O127)</f>
        <v>0</v>
      </c>
      <c r="Q127" s="52">
        <f ca="1">Log_2019[[#This Row],[Amount]]/Log_2019[[#This Row],[Split_raw]]*MAX(0,MIN(_xlfn.DAYS(EDATE(Q$1,1),Log_2019[[#This Row],[Date]]),Log_2019[[#This Row],[Split_apply]])) - SUM($O127:P127)</f>
        <v>0</v>
      </c>
      <c r="R127" s="52">
        <f ca="1">Log_2019[[#This Row],[Amount]]/Log_2019[[#This Row],[Split_raw]]*MAX(0,MIN(_xlfn.DAYS(EDATE(R$1,1),Log_2019[[#This Row],[Date]]),Log_2019[[#This Row],[Split_apply]])) - SUM($O127:Q127)</f>
        <v>0</v>
      </c>
      <c r="S127" s="52">
        <f ca="1">Log_2019[[#This Row],[Amount]]/Log_2019[[#This Row],[Split_raw]]*MAX(0,MIN(_xlfn.DAYS(EDATE(S$1,1),Log_2019[[#This Row],[Date]]),Log_2019[[#This Row],[Split_apply]])) - SUM($O127:R127)</f>
        <v>0</v>
      </c>
      <c r="T127" s="52">
        <f ca="1">Log_2019[[#This Row],[Amount]]/Log_2019[[#This Row],[Split_raw]]*MAX(0,MIN(_xlfn.DAYS(EDATE(T$1,1),Log_2019[[#This Row],[Date]]),Log_2019[[#This Row],[Split_apply]])) - SUM($O127:S127)</f>
        <v>0</v>
      </c>
      <c r="U127" s="52">
        <f ca="1">Log_2019[[#This Row],[Amount]]/Log_2019[[#This Row],[Split_raw]]*MAX(0,MIN(_xlfn.DAYS(EDATE(U$1,1),Log_2019[[#This Row],[Date]]),Log_2019[[#This Row],[Split_apply]])) - SUM($O127:T127)</f>
        <v>0</v>
      </c>
      <c r="V127" s="52">
        <f ca="1">Log_2019[[#This Row],[Amount]]/Log_2019[[#This Row],[Split_raw]]*MAX(0,MIN(_xlfn.DAYS(EDATE(V$1,1),Log_2019[[#This Row],[Date]]),Log_2019[[#This Row],[Split_apply]])) - SUM($O127:U127)</f>
        <v>0</v>
      </c>
      <c r="W127" s="52">
        <f ca="1">Log_2019[[#This Row],[Amount]]/Log_2019[[#This Row],[Split_raw]]*MAX(0,MIN(_xlfn.DAYS(EDATE(W$1,1),Log_2019[[#This Row],[Date]]),Log_2019[[#This Row],[Split_apply]])) - SUM($O127:V127)</f>
        <v>0</v>
      </c>
      <c r="X127" s="52">
        <f ca="1">Log_2019[[#This Row],[Amount]]/Log_2019[[#This Row],[Split_raw]]*MAX(0,MIN(_xlfn.DAYS(EDATE(X$1,1),Log_2019[[#This Row],[Date]]),Log_2019[[#This Row],[Split_apply]])) - SUM($O127:W127)</f>
        <v>0</v>
      </c>
      <c r="Y127" s="52">
        <f ca="1">Log_2019[[#This Row],[Amount]]/Log_2019[[#This Row],[Split_raw]]*MAX(0,MIN(_xlfn.DAYS(EDATE(Y$1,1),Log_2019[[#This Row],[Date]]),Log_2019[[#This Row],[Split_apply]])) - SUM($O127:X127)</f>
        <v>-17.650000000000002</v>
      </c>
      <c r="Z127" s="52">
        <f ca="1">Log_2019[[#This Row],[Amount]]/Log_2019[[#This Row],[Split_raw]]*MAX(0,MIN(_xlfn.DAYS(EDATE(Z$1,1),Log_2019[[#This Row],[Date]]),Log_2019[[#This Row],[Split_apply]])) - SUM($O127:Y127)</f>
        <v>-35.299999999999997</v>
      </c>
      <c r="AA127" s="52">
        <f ca="1">Log_2019[[#This Row],[Amount]]/Log_2019[[#This Row],[Split_raw]]*MAX(0,MIN(_xlfn.DAYS(EDATE(AA$1,1),Log_2019[[#This Row],[Date]]),Log_2019[[#This Row],[Split_apply]])) - SUM($O127:Z127)</f>
        <v>0</v>
      </c>
      <c r="AB127" s="54">
        <f ca="1">Log_2019[[#This Row],[Amount]]-SUM(O127:AA127)</f>
        <v>0</v>
      </c>
      <c r="AC127" s="7">
        <f>MAX(0,Log_2019[[#This Row],[Split_raw]] - (EDATE(AA$1,1)-Log_2019[[#This Row],[Date]]))</f>
        <v>0</v>
      </c>
    </row>
    <row r="128" spans="1:29" x14ac:dyDescent="0.25">
      <c r="A128" s="42"/>
      <c r="B128" s="34" t="s">
        <v>6</v>
      </c>
      <c r="C128" s="34"/>
      <c r="D128" s="35">
        <v>43760</v>
      </c>
      <c r="E128" s="34" t="s">
        <v>803</v>
      </c>
      <c r="F128" s="34" t="s">
        <v>768</v>
      </c>
      <c r="G128" s="34" t="s">
        <v>11</v>
      </c>
      <c r="H128">
        <v>4.2300000000000004</v>
      </c>
      <c r="I128" s="36">
        <f>IF(Log_2019[[#This Row],[My Category]]="NONTRACKED",0,Log_2019[[#This Row],[Raw Amount]])</f>
        <v>0</v>
      </c>
      <c r="J128" s="37">
        <f>ABS(Log_2019[[#This Row],[Amount]])</f>
        <v>0</v>
      </c>
      <c r="K128" s="38">
        <v>1</v>
      </c>
      <c r="L128" s="38">
        <f ca="1">IF(Log_2019[[#This Row],[Date]]&lt;=TODAY(), MIN(Log_2019[[#This Row],[Split_raw]], TODAY()-Log_2019[[#This Row],[Date]]+1), 0)</f>
        <v>1</v>
      </c>
      <c r="M128" s="34" t="s">
        <v>755</v>
      </c>
      <c r="N128" s="34" t="s">
        <v>158</v>
      </c>
      <c r="O128" s="7">
        <v>0</v>
      </c>
      <c r="P128" s="52">
        <f ca="1">Log_2019[[#This Row],[Amount]]/Log_2019[[#This Row],[Split_raw]]*MAX(0,MIN(_xlfn.DAYS(EDATE(P$1,1),Log_2019[[#This Row],[Date]]),Log_2019[[#This Row],[Split_apply]])) - SUM($O128:O128)</f>
        <v>0</v>
      </c>
      <c r="Q128" s="52">
        <f ca="1">Log_2019[[#This Row],[Amount]]/Log_2019[[#This Row],[Split_raw]]*MAX(0,MIN(_xlfn.DAYS(EDATE(Q$1,1),Log_2019[[#This Row],[Date]]),Log_2019[[#This Row],[Split_apply]])) - SUM($O128:P128)</f>
        <v>0</v>
      </c>
      <c r="R128" s="52">
        <f ca="1">Log_2019[[#This Row],[Amount]]/Log_2019[[#This Row],[Split_raw]]*MAX(0,MIN(_xlfn.DAYS(EDATE(R$1,1),Log_2019[[#This Row],[Date]]),Log_2019[[#This Row],[Split_apply]])) - SUM($O128:Q128)</f>
        <v>0</v>
      </c>
      <c r="S128" s="52">
        <f ca="1">Log_2019[[#This Row],[Amount]]/Log_2019[[#This Row],[Split_raw]]*MAX(0,MIN(_xlfn.DAYS(EDATE(S$1,1),Log_2019[[#This Row],[Date]]),Log_2019[[#This Row],[Split_apply]])) - SUM($O128:R128)</f>
        <v>0</v>
      </c>
      <c r="T128" s="52">
        <f ca="1">Log_2019[[#This Row],[Amount]]/Log_2019[[#This Row],[Split_raw]]*MAX(0,MIN(_xlfn.DAYS(EDATE(T$1,1),Log_2019[[#This Row],[Date]]),Log_2019[[#This Row],[Split_apply]])) - SUM($O128:S128)</f>
        <v>0</v>
      </c>
      <c r="U128" s="52">
        <f ca="1">Log_2019[[#This Row],[Amount]]/Log_2019[[#This Row],[Split_raw]]*MAX(0,MIN(_xlfn.DAYS(EDATE(U$1,1),Log_2019[[#This Row],[Date]]),Log_2019[[#This Row],[Split_apply]])) - SUM($O128:T128)</f>
        <v>0</v>
      </c>
      <c r="V128" s="52">
        <f ca="1">Log_2019[[#This Row],[Amount]]/Log_2019[[#This Row],[Split_raw]]*MAX(0,MIN(_xlfn.DAYS(EDATE(V$1,1),Log_2019[[#This Row],[Date]]),Log_2019[[#This Row],[Split_apply]])) - SUM($O128:U128)</f>
        <v>0</v>
      </c>
      <c r="W128" s="52">
        <f ca="1">Log_2019[[#This Row],[Amount]]/Log_2019[[#This Row],[Split_raw]]*MAX(0,MIN(_xlfn.DAYS(EDATE(W$1,1),Log_2019[[#This Row],[Date]]),Log_2019[[#This Row],[Split_apply]])) - SUM($O128:V128)</f>
        <v>0</v>
      </c>
      <c r="X128" s="52">
        <f ca="1">Log_2019[[#This Row],[Amount]]/Log_2019[[#This Row],[Split_raw]]*MAX(0,MIN(_xlfn.DAYS(EDATE(X$1,1),Log_2019[[#This Row],[Date]]),Log_2019[[#This Row],[Split_apply]])) - SUM($O128:W128)</f>
        <v>0</v>
      </c>
      <c r="Y128" s="52">
        <f ca="1">Log_2019[[#This Row],[Amount]]/Log_2019[[#This Row],[Split_raw]]*MAX(0,MIN(_xlfn.DAYS(EDATE(Y$1,1),Log_2019[[#This Row],[Date]]),Log_2019[[#This Row],[Split_apply]])) - SUM($O128:X128)</f>
        <v>0</v>
      </c>
      <c r="Z128" s="52">
        <f ca="1">Log_2019[[#This Row],[Amount]]/Log_2019[[#This Row],[Split_raw]]*MAX(0,MIN(_xlfn.DAYS(EDATE(Z$1,1),Log_2019[[#This Row],[Date]]),Log_2019[[#This Row],[Split_apply]])) - SUM($O128:Y128)</f>
        <v>0</v>
      </c>
      <c r="AA128" s="52">
        <f ca="1">Log_2019[[#This Row],[Amount]]/Log_2019[[#This Row],[Split_raw]]*MAX(0,MIN(_xlfn.DAYS(EDATE(AA$1,1),Log_2019[[#This Row],[Date]]),Log_2019[[#This Row],[Split_apply]])) - SUM($O128:Z128)</f>
        <v>0</v>
      </c>
      <c r="AB128" s="54">
        <f ca="1">Log_2019[[#This Row],[Amount]]-SUM(O128:AA128)</f>
        <v>0</v>
      </c>
      <c r="AC128" s="7">
        <f>MAX(0,Log_2019[[#This Row],[Split_raw]] - (EDATE(AA$1,1)-Log_2019[[#This Row],[Date]]))</f>
        <v>0</v>
      </c>
    </row>
    <row r="129" spans="1:29" x14ac:dyDescent="0.25">
      <c r="A129" s="42"/>
      <c r="B129" s="34" t="s">
        <v>6</v>
      </c>
      <c r="C129" s="34"/>
      <c r="D129" s="35">
        <v>43760</v>
      </c>
      <c r="E129" s="34" t="s">
        <v>793</v>
      </c>
      <c r="F129" s="34" t="s">
        <v>768</v>
      </c>
      <c r="G129" s="34" t="s">
        <v>11</v>
      </c>
      <c r="H129">
        <v>-20.12</v>
      </c>
      <c r="I129" s="36">
        <f>IF(Log_2019[[#This Row],[My Category]]="NONTRACKED",0,Log_2019[[#This Row],[Raw Amount]])</f>
        <v>0</v>
      </c>
      <c r="J129" s="37">
        <f>ABS(Log_2019[[#This Row],[Amount]])</f>
        <v>0</v>
      </c>
      <c r="K129" s="38">
        <v>1</v>
      </c>
      <c r="L129" s="38">
        <f ca="1">IF(Log_2019[[#This Row],[Date]]&lt;=TODAY(), MIN(Log_2019[[#This Row],[Split_raw]], TODAY()-Log_2019[[#This Row],[Date]]+1), 0)</f>
        <v>1</v>
      </c>
      <c r="M129" s="34" t="s">
        <v>755</v>
      </c>
      <c r="N129" s="34" t="s">
        <v>158</v>
      </c>
      <c r="O129" s="7">
        <v>0</v>
      </c>
      <c r="P129" s="52">
        <f ca="1">Log_2019[[#This Row],[Amount]]/Log_2019[[#This Row],[Split_raw]]*MAX(0,MIN(_xlfn.DAYS(EDATE(P$1,1),Log_2019[[#This Row],[Date]]),Log_2019[[#This Row],[Split_apply]])) - SUM($O129:O129)</f>
        <v>0</v>
      </c>
      <c r="Q129" s="52">
        <f ca="1">Log_2019[[#This Row],[Amount]]/Log_2019[[#This Row],[Split_raw]]*MAX(0,MIN(_xlfn.DAYS(EDATE(Q$1,1),Log_2019[[#This Row],[Date]]),Log_2019[[#This Row],[Split_apply]])) - SUM($O129:P129)</f>
        <v>0</v>
      </c>
      <c r="R129" s="52">
        <f ca="1">Log_2019[[#This Row],[Amount]]/Log_2019[[#This Row],[Split_raw]]*MAX(0,MIN(_xlfn.DAYS(EDATE(R$1,1),Log_2019[[#This Row],[Date]]),Log_2019[[#This Row],[Split_apply]])) - SUM($O129:Q129)</f>
        <v>0</v>
      </c>
      <c r="S129" s="52">
        <f ca="1">Log_2019[[#This Row],[Amount]]/Log_2019[[#This Row],[Split_raw]]*MAX(0,MIN(_xlfn.DAYS(EDATE(S$1,1),Log_2019[[#This Row],[Date]]),Log_2019[[#This Row],[Split_apply]])) - SUM($O129:R129)</f>
        <v>0</v>
      </c>
      <c r="T129" s="52">
        <f ca="1">Log_2019[[#This Row],[Amount]]/Log_2019[[#This Row],[Split_raw]]*MAX(0,MIN(_xlfn.DAYS(EDATE(T$1,1),Log_2019[[#This Row],[Date]]),Log_2019[[#This Row],[Split_apply]])) - SUM($O129:S129)</f>
        <v>0</v>
      </c>
      <c r="U129" s="52">
        <f ca="1">Log_2019[[#This Row],[Amount]]/Log_2019[[#This Row],[Split_raw]]*MAX(0,MIN(_xlfn.DAYS(EDATE(U$1,1),Log_2019[[#This Row],[Date]]),Log_2019[[#This Row],[Split_apply]])) - SUM($O129:T129)</f>
        <v>0</v>
      </c>
      <c r="V129" s="52">
        <f ca="1">Log_2019[[#This Row],[Amount]]/Log_2019[[#This Row],[Split_raw]]*MAX(0,MIN(_xlfn.DAYS(EDATE(V$1,1),Log_2019[[#This Row],[Date]]),Log_2019[[#This Row],[Split_apply]])) - SUM($O129:U129)</f>
        <v>0</v>
      </c>
      <c r="W129" s="52">
        <f ca="1">Log_2019[[#This Row],[Amount]]/Log_2019[[#This Row],[Split_raw]]*MAX(0,MIN(_xlfn.DAYS(EDATE(W$1,1),Log_2019[[#This Row],[Date]]),Log_2019[[#This Row],[Split_apply]])) - SUM($O129:V129)</f>
        <v>0</v>
      </c>
      <c r="X129" s="52">
        <f ca="1">Log_2019[[#This Row],[Amount]]/Log_2019[[#This Row],[Split_raw]]*MAX(0,MIN(_xlfn.DAYS(EDATE(X$1,1),Log_2019[[#This Row],[Date]]),Log_2019[[#This Row],[Split_apply]])) - SUM($O129:W129)</f>
        <v>0</v>
      </c>
      <c r="Y129" s="52">
        <f ca="1">Log_2019[[#This Row],[Amount]]/Log_2019[[#This Row],[Split_raw]]*MAX(0,MIN(_xlfn.DAYS(EDATE(Y$1,1),Log_2019[[#This Row],[Date]]),Log_2019[[#This Row],[Split_apply]])) - SUM($O129:X129)</f>
        <v>0</v>
      </c>
      <c r="Z129" s="52">
        <f ca="1">Log_2019[[#This Row],[Amount]]/Log_2019[[#This Row],[Split_raw]]*MAX(0,MIN(_xlfn.DAYS(EDATE(Z$1,1),Log_2019[[#This Row],[Date]]),Log_2019[[#This Row],[Split_apply]])) - SUM($O129:Y129)</f>
        <v>0</v>
      </c>
      <c r="AA129" s="52">
        <f ca="1">Log_2019[[#This Row],[Amount]]/Log_2019[[#This Row],[Split_raw]]*MAX(0,MIN(_xlfn.DAYS(EDATE(AA$1,1),Log_2019[[#This Row],[Date]]),Log_2019[[#This Row],[Split_apply]])) - SUM($O129:Z129)</f>
        <v>0</v>
      </c>
      <c r="AB129" s="54">
        <f ca="1">Log_2019[[#This Row],[Amount]]-SUM(O129:AA129)</f>
        <v>0</v>
      </c>
      <c r="AC129" s="7">
        <f>MAX(0,Log_2019[[#This Row],[Split_raw]] - (EDATE(AA$1,1)-Log_2019[[#This Row],[Date]]))</f>
        <v>0</v>
      </c>
    </row>
    <row r="130" spans="1:29" x14ac:dyDescent="0.25">
      <c r="A130" s="42"/>
      <c r="B130" s="34" t="s">
        <v>6</v>
      </c>
      <c r="C130" s="34"/>
      <c r="D130" s="35">
        <v>43760</v>
      </c>
      <c r="E130" s="34" t="s">
        <v>789</v>
      </c>
      <c r="F130" s="34" t="s">
        <v>382</v>
      </c>
      <c r="G130" s="34" t="s">
        <v>214</v>
      </c>
      <c r="H130">
        <v>-56.35</v>
      </c>
      <c r="I130" s="36">
        <f>IF(Log_2019[[#This Row],[My Category]]="NONTRACKED",0,Log_2019[[#This Row],[Raw Amount]])</f>
        <v>0</v>
      </c>
      <c r="J130" s="37">
        <f>ABS(Log_2019[[#This Row],[Amount]])</f>
        <v>0</v>
      </c>
      <c r="K130" s="38">
        <v>1</v>
      </c>
      <c r="L130" s="38">
        <f ca="1">IF(Log_2019[[#This Row],[Date]]&lt;=TODAY(), MIN(Log_2019[[#This Row],[Split_raw]], TODAY()-Log_2019[[#This Row],[Date]]+1), 0)</f>
        <v>1</v>
      </c>
      <c r="M130" s="34" t="s">
        <v>755</v>
      </c>
      <c r="N130" s="34" t="s">
        <v>158</v>
      </c>
      <c r="O130" s="7">
        <v>0</v>
      </c>
      <c r="P130" s="52">
        <f ca="1">Log_2019[[#This Row],[Amount]]/Log_2019[[#This Row],[Split_raw]]*MAX(0,MIN(_xlfn.DAYS(EDATE(P$1,1),Log_2019[[#This Row],[Date]]),Log_2019[[#This Row],[Split_apply]])) - SUM($O130:O130)</f>
        <v>0</v>
      </c>
      <c r="Q130" s="52">
        <f ca="1">Log_2019[[#This Row],[Amount]]/Log_2019[[#This Row],[Split_raw]]*MAX(0,MIN(_xlfn.DAYS(EDATE(Q$1,1),Log_2019[[#This Row],[Date]]),Log_2019[[#This Row],[Split_apply]])) - SUM($O130:P130)</f>
        <v>0</v>
      </c>
      <c r="R130" s="52">
        <f ca="1">Log_2019[[#This Row],[Amount]]/Log_2019[[#This Row],[Split_raw]]*MAX(0,MIN(_xlfn.DAYS(EDATE(R$1,1),Log_2019[[#This Row],[Date]]),Log_2019[[#This Row],[Split_apply]])) - SUM($O130:Q130)</f>
        <v>0</v>
      </c>
      <c r="S130" s="52">
        <f ca="1">Log_2019[[#This Row],[Amount]]/Log_2019[[#This Row],[Split_raw]]*MAX(0,MIN(_xlfn.DAYS(EDATE(S$1,1),Log_2019[[#This Row],[Date]]),Log_2019[[#This Row],[Split_apply]])) - SUM($O130:R130)</f>
        <v>0</v>
      </c>
      <c r="T130" s="52">
        <f ca="1">Log_2019[[#This Row],[Amount]]/Log_2019[[#This Row],[Split_raw]]*MAX(0,MIN(_xlfn.DAYS(EDATE(T$1,1),Log_2019[[#This Row],[Date]]),Log_2019[[#This Row],[Split_apply]])) - SUM($O130:S130)</f>
        <v>0</v>
      </c>
      <c r="U130" s="52">
        <f ca="1">Log_2019[[#This Row],[Amount]]/Log_2019[[#This Row],[Split_raw]]*MAX(0,MIN(_xlfn.DAYS(EDATE(U$1,1),Log_2019[[#This Row],[Date]]),Log_2019[[#This Row],[Split_apply]])) - SUM($O130:T130)</f>
        <v>0</v>
      </c>
      <c r="V130" s="52">
        <f ca="1">Log_2019[[#This Row],[Amount]]/Log_2019[[#This Row],[Split_raw]]*MAX(0,MIN(_xlfn.DAYS(EDATE(V$1,1),Log_2019[[#This Row],[Date]]),Log_2019[[#This Row],[Split_apply]])) - SUM($O130:U130)</f>
        <v>0</v>
      </c>
      <c r="W130" s="52">
        <f ca="1">Log_2019[[#This Row],[Amount]]/Log_2019[[#This Row],[Split_raw]]*MAX(0,MIN(_xlfn.DAYS(EDATE(W$1,1),Log_2019[[#This Row],[Date]]),Log_2019[[#This Row],[Split_apply]])) - SUM($O130:V130)</f>
        <v>0</v>
      </c>
      <c r="X130" s="52">
        <f ca="1">Log_2019[[#This Row],[Amount]]/Log_2019[[#This Row],[Split_raw]]*MAX(0,MIN(_xlfn.DAYS(EDATE(X$1,1),Log_2019[[#This Row],[Date]]),Log_2019[[#This Row],[Split_apply]])) - SUM($O130:W130)</f>
        <v>0</v>
      </c>
      <c r="Y130" s="52">
        <f ca="1">Log_2019[[#This Row],[Amount]]/Log_2019[[#This Row],[Split_raw]]*MAX(0,MIN(_xlfn.DAYS(EDATE(Y$1,1),Log_2019[[#This Row],[Date]]),Log_2019[[#This Row],[Split_apply]])) - SUM($O130:X130)</f>
        <v>0</v>
      </c>
      <c r="Z130" s="52">
        <f ca="1">Log_2019[[#This Row],[Amount]]/Log_2019[[#This Row],[Split_raw]]*MAX(0,MIN(_xlfn.DAYS(EDATE(Z$1,1),Log_2019[[#This Row],[Date]]),Log_2019[[#This Row],[Split_apply]])) - SUM($O130:Y130)</f>
        <v>0</v>
      </c>
      <c r="AA130" s="52">
        <f ca="1">Log_2019[[#This Row],[Amount]]/Log_2019[[#This Row],[Split_raw]]*MAX(0,MIN(_xlfn.DAYS(EDATE(AA$1,1),Log_2019[[#This Row],[Date]]),Log_2019[[#This Row],[Split_apply]])) - SUM($O130:Z130)</f>
        <v>0</v>
      </c>
      <c r="AB130" s="54">
        <f ca="1">Log_2019[[#This Row],[Amount]]-SUM(O130:AA130)</f>
        <v>0</v>
      </c>
      <c r="AC130" s="7">
        <f>MAX(0,Log_2019[[#This Row],[Split_raw]] - (EDATE(AA$1,1)-Log_2019[[#This Row],[Date]]))</f>
        <v>0</v>
      </c>
    </row>
    <row r="131" spans="1:29" x14ac:dyDescent="0.25">
      <c r="A131" s="42"/>
      <c r="B131" s="34" t="s">
        <v>6</v>
      </c>
      <c r="C131" s="34"/>
      <c r="D131" s="35">
        <v>43760</v>
      </c>
      <c r="E131" s="34"/>
      <c r="F131" s="34" t="s">
        <v>255</v>
      </c>
      <c r="G131" s="34" t="s">
        <v>10</v>
      </c>
      <c r="H131">
        <v>-9.67</v>
      </c>
      <c r="I131" s="36">
        <f>IF(Log_2019[[#This Row],[My Category]]="NONTRACKED",0,Log_2019[[#This Row],[Raw Amount]])</f>
        <v>-9.67</v>
      </c>
      <c r="J131" s="37">
        <f>ABS(Log_2019[[#This Row],[Amount]])</f>
        <v>9.67</v>
      </c>
      <c r="K131" s="38">
        <v>1</v>
      </c>
      <c r="L131" s="38">
        <f ca="1">IF(Log_2019[[#This Row],[Date]]&lt;=TODAY(), MIN(Log_2019[[#This Row],[Split_raw]], TODAY()-Log_2019[[#This Row],[Date]]+1), 0)</f>
        <v>1</v>
      </c>
      <c r="M131" s="34" t="s">
        <v>35</v>
      </c>
      <c r="N131" s="34" t="s">
        <v>158</v>
      </c>
      <c r="O131" s="7">
        <v>0</v>
      </c>
      <c r="P131" s="52">
        <f ca="1">Log_2019[[#This Row],[Amount]]/Log_2019[[#This Row],[Split_raw]]*MAX(0,MIN(_xlfn.DAYS(EDATE(P$1,1),Log_2019[[#This Row],[Date]]),Log_2019[[#This Row],[Split_apply]])) - SUM($O131:O131)</f>
        <v>0</v>
      </c>
      <c r="Q131" s="52">
        <f ca="1">Log_2019[[#This Row],[Amount]]/Log_2019[[#This Row],[Split_raw]]*MAX(0,MIN(_xlfn.DAYS(EDATE(Q$1,1),Log_2019[[#This Row],[Date]]),Log_2019[[#This Row],[Split_apply]])) - SUM($O131:P131)</f>
        <v>0</v>
      </c>
      <c r="R131" s="52">
        <f ca="1">Log_2019[[#This Row],[Amount]]/Log_2019[[#This Row],[Split_raw]]*MAX(0,MIN(_xlfn.DAYS(EDATE(R$1,1),Log_2019[[#This Row],[Date]]),Log_2019[[#This Row],[Split_apply]])) - SUM($O131:Q131)</f>
        <v>0</v>
      </c>
      <c r="S131" s="52">
        <f ca="1">Log_2019[[#This Row],[Amount]]/Log_2019[[#This Row],[Split_raw]]*MAX(0,MIN(_xlfn.DAYS(EDATE(S$1,1),Log_2019[[#This Row],[Date]]),Log_2019[[#This Row],[Split_apply]])) - SUM($O131:R131)</f>
        <v>0</v>
      </c>
      <c r="T131" s="52">
        <f ca="1">Log_2019[[#This Row],[Amount]]/Log_2019[[#This Row],[Split_raw]]*MAX(0,MIN(_xlfn.DAYS(EDATE(T$1,1),Log_2019[[#This Row],[Date]]),Log_2019[[#This Row],[Split_apply]])) - SUM($O131:S131)</f>
        <v>0</v>
      </c>
      <c r="U131" s="52">
        <f ca="1">Log_2019[[#This Row],[Amount]]/Log_2019[[#This Row],[Split_raw]]*MAX(0,MIN(_xlfn.DAYS(EDATE(U$1,1),Log_2019[[#This Row],[Date]]),Log_2019[[#This Row],[Split_apply]])) - SUM($O131:T131)</f>
        <v>0</v>
      </c>
      <c r="V131" s="52">
        <f ca="1">Log_2019[[#This Row],[Amount]]/Log_2019[[#This Row],[Split_raw]]*MAX(0,MIN(_xlfn.DAYS(EDATE(V$1,1),Log_2019[[#This Row],[Date]]),Log_2019[[#This Row],[Split_apply]])) - SUM($O131:U131)</f>
        <v>0</v>
      </c>
      <c r="W131" s="52">
        <f ca="1">Log_2019[[#This Row],[Amount]]/Log_2019[[#This Row],[Split_raw]]*MAX(0,MIN(_xlfn.DAYS(EDATE(W$1,1),Log_2019[[#This Row],[Date]]),Log_2019[[#This Row],[Split_apply]])) - SUM($O131:V131)</f>
        <v>0</v>
      </c>
      <c r="X131" s="52">
        <f ca="1">Log_2019[[#This Row],[Amount]]/Log_2019[[#This Row],[Split_raw]]*MAX(0,MIN(_xlfn.DAYS(EDATE(X$1,1),Log_2019[[#This Row],[Date]]),Log_2019[[#This Row],[Split_apply]])) - SUM($O131:W131)</f>
        <v>0</v>
      </c>
      <c r="Y131" s="52">
        <f ca="1">Log_2019[[#This Row],[Amount]]/Log_2019[[#This Row],[Split_raw]]*MAX(0,MIN(_xlfn.DAYS(EDATE(Y$1,1),Log_2019[[#This Row],[Date]]),Log_2019[[#This Row],[Split_apply]])) - SUM($O131:X131)</f>
        <v>-9.67</v>
      </c>
      <c r="Z131" s="52">
        <f ca="1">Log_2019[[#This Row],[Amount]]/Log_2019[[#This Row],[Split_raw]]*MAX(0,MIN(_xlfn.DAYS(EDATE(Z$1,1),Log_2019[[#This Row],[Date]]),Log_2019[[#This Row],[Split_apply]])) - SUM($O131:Y131)</f>
        <v>0</v>
      </c>
      <c r="AA131" s="52">
        <f ca="1">Log_2019[[#This Row],[Amount]]/Log_2019[[#This Row],[Split_raw]]*MAX(0,MIN(_xlfn.DAYS(EDATE(AA$1,1),Log_2019[[#This Row],[Date]]),Log_2019[[#This Row],[Split_apply]])) - SUM($O131:Z131)</f>
        <v>0</v>
      </c>
      <c r="AB131" s="54">
        <f ca="1">Log_2019[[#This Row],[Amount]]-SUM(O131:AA131)</f>
        <v>0</v>
      </c>
      <c r="AC131" s="7">
        <f>MAX(0,Log_2019[[#This Row],[Split_raw]] - (EDATE(AA$1,1)-Log_2019[[#This Row],[Date]]))</f>
        <v>0</v>
      </c>
    </row>
    <row r="132" spans="1:29" x14ac:dyDescent="0.25">
      <c r="A132" s="42"/>
      <c r="B132" s="34" t="s">
        <v>490</v>
      </c>
      <c r="C132" s="34">
        <v>2.86036300835219E+18</v>
      </c>
      <c r="D132" s="35">
        <v>43760</v>
      </c>
      <c r="E132" s="34"/>
      <c r="F132" s="34" t="s">
        <v>813</v>
      </c>
      <c r="G132" s="34"/>
      <c r="H132">
        <v>19</v>
      </c>
      <c r="I132" s="36">
        <f>IF(Log_2019[[#This Row],[My Category]]="NONTRACKED",0,Log_2019[[#This Row],[Raw Amount]])</f>
        <v>19</v>
      </c>
      <c r="J132" s="37">
        <f>ABS(Log_2019[[#This Row],[Amount]])</f>
        <v>19</v>
      </c>
      <c r="K132" s="38">
        <v>1</v>
      </c>
      <c r="L132" s="38">
        <f ca="1">IF(Log_2019[[#This Row],[Date]]&lt;=TODAY(), MIN(Log_2019[[#This Row],[Split_raw]], TODAY()-Log_2019[[#This Row],[Date]]+1), 0)</f>
        <v>1</v>
      </c>
      <c r="M132" s="34" t="s">
        <v>35</v>
      </c>
      <c r="N132" s="34" t="s">
        <v>490</v>
      </c>
      <c r="O132" s="7">
        <v>0</v>
      </c>
      <c r="P132" s="52">
        <f ca="1">Log_2019[[#This Row],[Amount]]/Log_2019[[#This Row],[Split_raw]]*MAX(0,MIN(_xlfn.DAYS(EDATE(P$1,1),Log_2019[[#This Row],[Date]]),Log_2019[[#This Row],[Split_apply]])) - SUM($O132:O132)</f>
        <v>0</v>
      </c>
      <c r="Q132" s="52">
        <f ca="1">Log_2019[[#This Row],[Amount]]/Log_2019[[#This Row],[Split_raw]]*MAX(0,MIN(_xlfn.DAYS(EDATE(Q$1,1),Log_2019[[#This Row],[Date]]),Log_2019[[#This Row],[Split_apply]])) - SUM($O132:P132)</f>
        <v>0</v>
      </c>
      <c r="R132" s="52">
        <f ca="1">Log_2019[[#This Row],[Amount]]/Log_2019[[#This Row],[Split_raw]]*MAX(0,MIN(_xlfn.DAYS(EDATE(R$1,1),Log_2019[[#This Row],[Date]]),Log_2019[[#This Row],[Split_apply]])) - SUM($O132:Q132)</f>
        <v>0</v>
      </c>
      <c r="S132" s="52">
        <f ca="1">Log_2019[[#This Row],[Amount]]/Log_2019[[#This Row],[Split_raw]]*MAX(0,MIN(_xlfn.DAYS(EDATE(S$1,1),Log_2019[[#This Row],[Date]]),Log_2019[[#This Row],[Split_apply]])) - SUM($O132:R132)</f>
        <v>0</v>
      </c>
      <c r="T132" s="52">
        <f ca="1">Log_2019[[#This Row],[Amount]]/Log_2019[[#This Row],[Split_raw]]*MAX(0,MIN(_xlfn.DAYS(EDATE(T$1,1),Log_2019[[#This Row],[Date]]),Log_2019[[#This Row],[Split_apply]])) - SUM($O132:S132)</f>
        <v>0</v>
      </c>
      <c r="U132" s="52">
        <f ca="1">Log_2019[[#This Row],[Amount]]/Log_2019[[#This Row],[Split_raw]]*MAX(0,MIN(_xlfn.DAYS(EDATE(U$1,1),Log_2019[[#This Row],[Date]]),Log_2019[[#This Row],[Split_apply]])) - SUM($O132:T132)</f>
        <v>0</v>
      </c>
      <c r="V132" s="52">
        <f ca="1">Log_2019[[#This Row],[Amount]]/Log_2019[[#This Row],[Split_raw]]*MAX(0,MIN(_xlfn.DAYS(EDATE(V$1,1),Log_2019[[#This Row],[Date]]),Log_2019[[#This Row],[Split_apply]])) - SUM($O132:U132)</f>
        <v>0</v>
      </c>
      <c r="W132" s="52">
        <f ca="1">Log_2019[[#This Row],[Amount]]/Log_2019[[#This Row],[Split_raw]]*MAX(0,MIN(_xlfn.DAYS(EDATE(W$1,1),Log_2019[[#This Row],[Date]]),Log_2019[[#This Row],[Split_apply]])) - SUM($O132:V132)</f>
        <v>0</v>
      </c>
      <c r="X132" s="52">
        <f ca="1">Log_2019[[#This Row],[Amount]]/Log_2019[[#This Row],[Split_raw]]*MAX(0,MIN(_xlfn.DAYS(EDATE(X$1,1),Log_2019[[#This Row],[Date]]),Log_2019[[#This Row],[Split_apply]])) - SUM($O132:W132)</f>
        <v>0</v>
      </c>
      <c r="Y132" s="52">
        <f ca="1">Log_2019[[#This Row],[Amount]]/Log_2019[[#This Row],[Split_raw]]*MAX(0,MIN(_xlfn.DAYS(EDATE(Y$1,1),Log_2019[[#This Row],[Date]]),Log_2019[[#This Row],[Split_apply]])) - SUM($O132:X132)</f>
        <v>19</v>
      </c>
      <c r="Z132" s="52">
        <f ca="1">Log_2019[[#This Row],[Amount]]/Log_2019[[#This Row],[Split_raw]]*MAX(0,MIN(_xlfn.DAYS(EDATE(Z$1,1),Log_2019[[#This Row],[Date]]),Log_2019[[#This Row],[Split_apply]])) - SUM($O132:Y132)</f>
        <v>0</v>
      </c>
      <c r="AA132" s="52">
        <f ca="1">Log_2019[[#This Row],[Amount]]/Log_2019[[#This Row],[Split_raw]]*MAX(0,MIN(_xlfn.DAYS(EDATE(AA$1,1),Log_2019[[#This Row],[Date]]),Log_2019[[#This Row],[Split_apply]])) - SUM($O132:Z132)</f>
        <v>0</v>
      </c>
      <c r="AB132" s="54">
        <f ca="1">Log_2019[[#This Row],[Amount]]-SUM(O132:AA132)</f>
        <v>0</v>
      </c>
      <c r="AC132" s="7">
        <f>MAX(0,Log_2019[[#This Row],[Split_raw]] - (EDATE(AA$1,1)-Log_2019[[#This Row],[Date]]))</f>
        <v>0</v>
      </c>
    </row>
    <row r="133" spans="1:29" x14ac:dyDescent="0.25">
      <c r="A133" s="42"/>
      <c r="B133" s="34" t="s">
        <v>6</v>
      </c>
      <c r="C133" s="34"/>
      <c r="D133" s="35">
        <v>43759</v>
      </c>
      <c r="E133" s="34" t="s">
        <v>792</v>
      </c>
      <c r="F133" s="34" t="s">
        <v>769</v>
      </c>
      <c r="G133" s="34" t="s">
        <v>11</v>
      </c>
      <c r="H133">
        <v>-24.87</v>
      </c>
      <c r="I133" s="36">
        <f>IF(Log_2019[[#This Row],[My Category]]="NONTRACKED",0,Log_2019[[#This Row],[Raw Amount]])</f>
        <v>0</v>
      </c>
      <c r="J133" s="37">
        <f>ABS(Log_2019[[#This Row],[Amount]])</f>
        <v>0</v>
      </c>
      <c r="K133" s="38">
        <v>1</v>
      </c>
      <c r="L133" s="38">
        <f ca="1">IF(Log_2019[[#This Row],[Date]]&lt;=TODAY(), MIN(Log_2019[[#This Row],[Split_raw]], TODAY()-Log_2019[[#This Row],[Date]]+1), 0)</f>
        <v>1</v>
      </c>
      <c r="M133" s="34" t="s">
        <v>755</v>
      </c>
      <c r="N133" s="34" t="s">
        <v>158</v>
      </c>
      <c r="O133" s="7">
        <v>0</v>
      </c>
      <c r="P133" s="52">
        <f ca="1">Log_2019[[#This Row],[Amount]]/Log_2019[[#This Row],[Split_raw]]*MAX(0,MIN(_xlfn.DAYS(EDATE(P$1,1),Log_2019[[#This Row],[Date]]),Log_2019[[#This Row],[Split_apply]])) - SUM($O133:O133)</f>
        <v>0</v>
      </c>
      <c r="Q133" s="52">
        <f ca="1">Log_2019[[#This Row],[Amount]]/Log_2019[[#This Row],[Split_raw]]*MAX(0,MIN(_xlfn.DAYS(EDATE(Q$1,1),Log_2019[[#This Row],[Date]]),Log_2019[[#This Row],[Split_apply]])) - SUM($O133:P133)</f>
        <v>0</v>
      </c>
      <c r="R133" s="52">
        <f ca="1">Log_2019[[#This Row],[Amount]]/Log_2019[[#This Row],[Split_raw]]*MAX(0,MIN(_xlfn.DAYS(EDATE(R$1,1),Log_2019[[#This Row],[Date]]),Log_2019[[#This Row],[Split_apply]])) - SUM($O133:Q133)</f>
        <v>0</v>
      </c>
      <c r="S133" s="52">
        <f ca="1">Log_2019[[#This Row],[Amount]]/Log_2019[[#This Row],[Split_raw]]*MAX(0,MIN(_xlfn.DAYS(EDATE(S$1,1),Log_2019[[#This Row],[Date]]),Log_2019[[#This Row],[Split_apply]])) - SUM($O133:R133)</f>
        <v>0</v>
      </c>
      <c r="T133" s="52">
        <f ca="1">Log_2019[[#This Row],[Amount]]/Log_2019[[#This Row],[Split_raw]]*MAX(0,MIN(_xlfn.DAYS(EDATE(T$1,1),Log_2019[[#This Row],[Date]]),Log_2019[[#This Row],[Split_apply]])) - SUM($O133:S133)</f>
        <v>0</v>
      </c>
      <c r="U133" s="52">
        <f ca="1">Log_2019[[#This Row],[Amount]]/Log_2019[[#This Row],[Split_raw]]*MAX(0,MIN(_xlfn.DAYS(EDATE(U$1,1),Log_2019[[#This Row],[Date]]),Log_2019[[#This Row],[Split_apply]])) - SUM($O133:T133)</f>
        <v>0</v>
      </c>
      <c r="V133" s="52">
        <f ca="1">Log_2019[[#This Row],[Amount]]/Log_2019[[#This Row],[Split_raw]]*MAX(0,MIN(_xlfn.DAYS(EDATE(V$1,1),Log_2019[[#This Row],[Date]]),Log_2019[[#This Row],[Split_apply]])) - SUM($O133:U133)</f>
        <v>0</v>
      </c>
      <c r="W133" s="52">
        <f ca="1">Log_2019[[#This Row],[Amount]]/Log_2019[[#This Row],[Split_raw]]*MAX(0,MIN(_xlfn.DAYS(EDATE(W$1,1),Log_2019[[#This Row],[Date]]),Log_2019[[#This Row],[Split_apply]])) - SUM($O133:V133)</f>
        <v>0</v>
      </c>
      <c r="X133" s="52">
        <f ca="1">Log_2019[[#This Row],[Amount]]/Log_2019[[#This Row],[Split_raw]]*MAX(0,MIN(_xlfn.DAYS(EDATE(X$1,1),Log_2019[[#This Row],[Date]]),Log_2019[[#This Row],[Split_apply]])) - SUM($O133:W133)</f>
        <v>0</v>
      </c>
      <c r="Y133" s="52">
        <f ca="1">Log_2019[[#This Row],[Amount]]/Log_2019[[#This Row],[Split_raw]]*MAX(0,MIN(_xlfn.DAYS(EDATE(Y$1,1),Log_2019[[#This Row],[Date]]),Log_2019[[#This Row],[Split_apply]])) - SUM($O133:X133)</f>
        <v>0</v>
      </c>
      <c r="Z133" s="52">
        <f ca="1">Log_2019[[#This Row],[Amount]]/Log_2019[[#This Row],[Split_raw]]*MAX(0,MIN(_xlfn.DAYS(EDATE(Z$1,1),Log_2019[[#This Row],[Date]]),Log_2019[[#This Row],[Split_apply]])) - SUM($O133:Y133)</f>
        <v>0</v>
      </c>
      <c r="AA133" s="52">
        <f ca="1">Log_2019[[#This Row],[Amount]]/Log_2019[[#This Row],[Split_raw]]*MAX(0,MIN(_xlfn.DAYS(EDATE(AA$1,1),Log_2019[[#This Row],[Date]]),Log_2019[[#This Row],[Split_apply]])) - SUM($O133:Z133)</f>
        <v>0</v>
      </c>
      <c r="AB133" s="54">
        <f ca="1">Log_2019[[#This Row],[Amount]]-SUM(O133:AA133)</f>
        <v>0</v>
      </c>
      <c r="AC133" s="7">
        <f>MAX(0,Log_2019[[#This Row],[Split_raw]] - (EDATE(AA$1,1)-Log_2019[[#This Row],[Date]]))</f>
        <v>0</v>
      </c>
    </row>
    <row r="134" spans="1:29" x14ac:dyDescent="0.25">
      <c r="A134" s="42"/>
      <c r="B134" s="34" t="s">
        <v>6</v>
      </c>
      <c r="C134" s="34"/>
      <c r="D134" s="35">
        <v>43759</v>
      </c>
      <c r="E134" s="34"/>
      <c r="F134" s="34" t="s">
        <v>255</v>
      </c>
      <c r="G134" s="34" t="s">
        <v>10</v>
      </c>
      <c r="H134">
        <v>-8.09</v>
      </c>
      <c r="I134" s="36">
        <f>IF(Log_2019[[#This Row],[My Category]]="NONTRACKED",0,Log_2019[[#This Row],[Raw Amount]])</f>
        <v>-8.09</v>
      </c>
      <c r="J134" s="37">
        <f>ABS(Log_2019[[#This Row],[Amount]])</f>
        <v>8.09</v>
      </c>
      <c r="K134" s="38">
        <v>1</v>
      </c>
      <c r="L134" s="38">
        <f ca="1">IF(Log_2019[[#This Row],[Date]]&lt;=TODAY(), MIN(Log_2019[[#This Row],[Split_raw]], TODAY()-Log_2019[[#This Row],[Date]]+1), 0)</f>
        <v>1</v>
      </c>
      <c r="M134" s="34" t="s">
        <v>35</v>
      </c>
      <c r="N134" s="34" t="s">
        <v>158</v>
      </c>
      <c r="O134" s="7">
        <v>0</v>
      </c>
      <c r="P134" s="52">
        <f ca="1">Log_2019[[#This Row],[Amount]]/Log_2019[[#This Row],[Split_raw]]*MAX(0,MIN(_xlfn.DAYS(EDATE(P$1,1),Log_2019[[#This Row],[Date]]),Log_2019[[#This Row],[Split_apply]])) - SUM($O134:O134)</f>
        <v>0</v>
      </c>
      <c r="Q134" s="52">
        <f ca="1">Log_2019[[#This Row],[Amount]]/Log_2019[[#This Row],[Split_raw]]*MAX(0,MIN(_xlfn.DAYS(EDATE(Q$1,1),Log_2019[[#This Row],[Date]]),Log_2019[[#This Row],[Split_apply]])) - SUM($O134:P134)</f>
        <v>0</v>
      </c>
      <c r="R134" s="52">
        <f ca="1">Log_2019[[#This Row],[Amount]]/Log_2019[[#This Row],[Split_raw]]*MAX(0,MIN(_xlfn.DAYS(EDATE(R$1,1),Log_2019[[#This Row],[Date]]),Log_2019[[#This Row],[Split_apply]])) - SUM($O134:Q134)</f>
        <v>0</v>
      </c>
      <c r="S134" s="52">
        <f ca="1">Log_2019[[#This Row],[Amount]]/Log_2019[[#This Row],[Split_raw]]*MAX(0,MIN(_xlfn.DAYS(EDATE(S$1,1),Log_2019[[#This Row],[Date]]),Log_2019[[#This Row],[Split_apply]])) - SUM($O134:R134)</f>
        <v>0</v>
      </c>
      <c r="T134" s="52">
        <f ca="1">Log_2019[[#This Row],[Amount]]/Log_2019[[#This Row],[Split_raw]]*MAX(0,MIN(_xlfn.DAYS(EDATE(T$1,1),Log_2019[[#This Row],[Date]]),Log_2019[[#This Row],[Split_apply]])) - SUM($O134:S134)</f>
        <v>0</v>
      </c>
      <c r="U134" s="52">
        <f ca="1">Log_2019[[#This Row],[Amount]]/Log_2019[[#This Row],[Split_raw]]*MAX(0,MIN(_xlfn.DAYS(EDATE(U$1,1),Log_2019[[#This Row],[Date]]),Log_2019[[#This Row],[Split_apply]])) - SUM($O134:T134)</f>
        <v>0</v>
      </c>
      <c r="V134" s="52">
        <f ca="1">Log_2019[[#This Row],[Amount]]/Log_2019[[#This Row],[Split_raw]]*MAX(0,MIN(_xlfn.DAYS(EDATE(V$1,1),Log_2019[[#This Row],[Date]]),Log_2019[[#This Row],[Split_apply]])) - SUM($O134:U134)</f>
        <v>0</v>
      </c>
      <c r="W134" s="52">
        <f ca="1">Log_2019[[#This Row],[Amount]]/Log_2019[[#This Row],[Split_raw]]*MAX(0,MIN(_xlfn.DAYS(EDATE(W$1,1),Log_2019[[#This Row],[Date]]),Log_2019[[#This Row],[Split_apply]])) - SUM($O134:V134)</f>
        <v>0</v>
      </c>
      <c r="X134" s="52">
        <f ca="1">Log_2019[[#This Row],[Amount]]/Log_2019[[#This Row],[Split_raw]]*MAX(0,MIN(_xlfn.DAYS(EDATE(X$1,1),Log_2019[[#This Row],[Date]]),Log_2019[[#This Row],[Split_apply]])) - SUM($O134:W134)</f>
        <v>0</v>
      </c>
      <c r="Y134" s="52">
        <f ca="1">Log_2019[[#This Row],[Amount]]/Log_2019[[#This Row],[Split_raw]]*MAX(0,MIN(_xlfn.DAYS(EDATE(Y$1,1),Log_2019[[#This Row],[Date]]),Log_2019[[#This Row],[Split_apply]])) - SUM($O134:X134)</f>
        <v>-8.09</v>
      </c>
      <c r="Z134" s="52">
        <f ca="1">Log_2019[[#This Row],[Amount]]/Log_2019[[#This Row],[Split_raw]]*MAX(0,MIN(_xlfn.DAYS(EDATE(Z$1,1),Log_2019[[#This Row],[Date]]),Log_2019[[#This Row],[Split_apply]])) - SUM($O134:Y134)</f>
        <v>0</v>
      </c>
      <c r="AA134" s="52">
        <f ca="1">Log_2019[[#This Row],[Amount]]/Log_2019[[#This Row],[Split_raw]]*MAX(0,MIN(_xlfn.DAYS(EDATE(AA$1,1),Log_2019[[#This Row],[Date]]),Log_2019[[#This Row],[Split_apply]])) - SUM($O134:Z134)</f>
        <v>0</v>
      </c>
      <c r="AB134" s="54">
        <f ca="1">Log_2019[[#This Row],[Amount]]-SUM(O134:AA134)</f>
        <v>0</v>
      </c>
      <c r="AC134" s="7">
        <f>MAX(0,Log_2019[[#This Row],[Split_raw]] - (EDATE(AA$1,1)-Log_2019[[#This Row],[Date]]))</f>
        <v>0</v>
      </c>
    </row>
    <row r="135" spans="1:29" x14ac:dyDescent="0.25">
      <c r="A135" s="42"/>
      <c r="B135" s="34" t="s">
        <v>6</v>
      </c>
      <c r="C135" s="34"/>
      <c r="D135" s="35">
        <v>43758</v>
      </c>
      <c r="E135" s="34" t="s">
        <v>783</v>
      </c>
      <c r="F135" s="34" t="s">
        <v>770</v>
      </c>
      <c r="G135" s="34" t="s">
        <v>9</v>
      </c>
      <c r="H135">
        <v>-13.59</v>
      </c>
      <c r="I135" s="36">
        <f>IF(Log_2019[[#This Row],[My Category]]="NONTRACKED",0,Log_2019[[#This Row],[Raw Amount]])</f>
        <v>-13.59</v>
      </c>
      <c r="J135" s="37">
        <f>ABS(Log_2019[[#This Row],[Amount]])</f>
        <v>13.59</v>
      </c>
      <c r="K135" s="38">
        <v>1</v>
      </c>
      <c r="L135" s="38">
        <f ca="1">IF(Log_2019[[#This Row],[Date]]&lt;=TODAY(), MIN(Log_2019[[#This Row],[Split_raw]], TODAY()-Log_2019[[#This Row],[Date]]+1), 0)</f>
        <v>1</v>
      </c>
      <c r="M135" s="34" t="s">
        <v>40</v>
      </c>
      <c r="N135" s="34" t="s">
        <v>158</v>
      </c>
      <c r="O135" s="7">
        <v>0</v>
      </c>
      <c r="P135" s="52">
        <f ca="1">Log_2019[[#This Row],[Amount]]/Log_2019[[#This Row],[Split_raw]]*MAX(0,MIN(_xlfn.DAYS(EDATE(P$1,1),Log_2019[[#This Row],[Date]]),Log_2019[[#This Row],[Split_apply]])) - SUM($O135:O135)</f>
        <v>0</v>
      </c>
      <c r="Q135" s="52">
        <f ca="1">Log_2019[[#This Row],[Amount]]/Log_2019[[#This Row],[Split_raw]]*MAX(0,MIN(_xlfn.DAYS(EDATE(Q$1,1),Log_2019[[#This Row],[Date]]),Log_2019[[#This Row],[Split_apply]])) - SUM($O135:P135)</f>
        <v>0</v>
      </c>
      <c r="R135" s="52">
        <f ca="1">Log_2019[[#This Row],[Amount]]/Log_2019[[#This Row],[Split_raw]]*MAX(0,MIN(_xlfn.DAYS(EDATE(R$1,1),Log_2019[[#This Row],[Date]]),Log_2019[[#This Row],[Split_apply]])) - SUM($O135:Q135)</f>
        <v>0</v>
      </c>
      <c r="S135" s="52">
        <f ca="1">Log_2019[[#This Row],[Amount]]/Log_2019[[#This Row],[Split_raw]]*MAX(0,MIN(_xlfn.DAYS(EDATE(S$1,1),Log_2019[[#This Row],[Date]]),Log_2019[[#This Row],[Split_apply]])) - SUM($O135:R135)</f>
        <v>0</v>
      </c>
      <c r="T135" s="52">
        <f ca="1">Log_2019[[#This Row],[Amount]]/Log_2019[[#This Row],[Split_raw]]*MAX(0,MIN(_xlfn.DAYS(EDATE(T$1,1),Log_2019[[#This Row],[Date]]),Log_2019[[#This Row],[Split_apply]])) - SUM($O135:S135)</f>
        <v>0</v>
      </c>
      <c r="U135" s="52">
        <f ca="1">Log_2019[[#This Row],[Amount]]/Log_2019[[#This Row],[Split_raw]]*MAX(0,MIN(_xlfn.DAYS(EDATE(U$1,1),Log_2019[[#This Row],[Date]]),Log_2019[[#This Row],[Split_apply]])) - SUM($O135:T135)</f>
        <v>0</v>
      </c>
      <c r="V135" s="52">
        <f ca="1">Log_2019[[#This Row],[Amount]]/Log_2019[[#This Row],[Split_raw]]*MAX(0,MIN(_xlfn.DAYS(EDATE(V$1,1),Log_2019[[#This Row],[Date]]),Log_2019[[#This Row],[Split_apply]])) - SUM($O135:U135)</f>
        <v>0</v>
      </c>
      <c r="W135" s="52">
        <f ca="1">Log_2019[[#This Row],[Amount]]/Log_2019[[#This Row],[Split_raw]]*MAX(0,MIN(_xlfn.DAYS(EDATE(W$1,1),Log_2019[[#This Row],[Date]]),Log_2019[[#This Row],[Split_apply]])) - SUM($O135:V135)</f>
        <v>0</v>
      </c>
      <c r="X135" s="52">
        <f ca="1">Log_2019[[#This Row],[Amount]]/Log_2019[[#This Row],[Split_raw]]*MAX(0,MIN(_xlfn.DAYS(EDATE(X$1,1),Log_2019[[#This Row],[Date]]),Log_2019[[#This Row],[Split_apply]])) - SUM($O135:W135)</f>
        <v>0</v>
      </c>
      <c r="Y135" s="52">
        <f ca="1">Log_2019[[#This Row],[Amount]]/Log_2019[[#This Row],[Split_raw]]*MAX(0,MIN(_xlfn.DAYS(EDATE(Y$1,1),Log_2019[[#This Row],[Date]]),Log_2019[[#This Row],[Split_apply]])) - SUM($O135:X135)</f>
        <v>-13.59</v>
      </c>
      <c r="Z135" s="52">
        <f ca="1">Log_2019[[#This Row],[Amount]]/Log_2019[[#This Row],[Split_raw]]*MAX(0,MIN(_xlfn.DAYS(EDATE(Z$1,1),Log_2019[[#This Row],[Date]]),Log_2019[[#This Row],[Split_apply]])) - SUM($O135:Y135)</f>
        <v>0</v>
      </c>
      <c r="AA135" s="52">
        <f ca="1">Log_2019[[#This Row],[Amount]]/Log_2019[[#This Row],[Split_raw]]*MAX(0,MIN(_xlfn.DAYS(EDATE(AA$1,1),Log_2019[[#This Row],[Date]]),Log_2019[[#This Row],[Split_apply]])) - SUM($O135:Z135)</f>
        <v>0</v>
      </c>
      <c r="AB135" s="54">
        <f ca="1">Log_2019[[#This Row],[Amount]]-SUM(O135:AA135)</f>
        <v>0</v>
      </c>
      <c r="AC135" s="7">
        <f>MAX(0,Log_2019[[#This Row],[Split_raw]] - (EDATE(AA$1,1)-Log_2019[[#This Row],[Date]]))</f>
        <v>0</v>
      </c>
    </row>
    <row r="136" spans="1:29" x14ac:dyDescent="0.25">
      <c r="A136" s="42"/>
      <c r="B136" s="34" t="s">
        <v>6</v>
      </c>
      <c r="C136" s="34"/>
      <c r="D136" s="35">
        <v>43757</v>
      </c>
      <c r="E136" s="34"/>
      <c r="F136" s="34" t="s">
        <v>673</v>
      </c>
      <c r="G136" s="34" t="s">
        <v>25</v>
      </c>
      <c r="H136">
        <v>-10.25</v>
      </c>
      <c r="I136" s="36">
        <f>IF(Log_2019[[#This Row],[My Category]]="NONTRACKED",0,Log_2019[[#This Row],[Raw Amount]])</f>
        <v>-10.25</v>
      </c>
      <c r="J136" s="37">
        <f>ABS(Log_2019[[#This Row],[Amount]])</f>
        <v>10.25</v>
      </c>
      <c r="K136" s="38">
        <v>1</v>
      </c>
      <c r="L136" s="38">
        <f ca="1">IF(Log_2019[[#This Row],[Date]]&lt;=TODAY(), MIN(Log_2019[[#This Row],[Split_raw]], TODAY()-Log_2019[[#This Row],[Date]]+1), 0)</f>
        <v>1</v>
      </c>
      <c r="M136" s="34" t="s">
        <v>35</v>
      </c>
      <c r="N136" s="34" t="s">
        <v>158</v>
      </c>
      <c r="O136" s="7">
        <v>0</v>
      </c>
      <c r="P136" s="52">
        <f ca="1">Log_2019[[#This Row],[Amount]]/Log_2019[[#This Row],[Split_raw]]*MAX(0,MIN(_xlfn.DAYS(EDATE(P$1,1),Log_2019[[#This Row],[Date]]),Log_2019[[#This Row],[Split_apply]])) - SUM($O136:O136)</f>
        <v>0</v>
      </c>
      <c r="Q136" s="52">
        <f ca="1">Log_2019[[#This Row],[Amount]]/Log_2019[[#This Row],[Split_raw]]*MAX(0,MIN(_xlfn.DAYS(EDATE(Q$1,1),Log_2019[[#This Row],[Date]]),Log_2019[[#This Row],[Split_apply]])) - SUM($O136:P136)</f>
        <v>0</v>
      </c>
      <c r="R136" s="52">
        <f ca="1">Log_2019[[#This Row],[Amount]]/Log_2019[[#This Row],[Split_raw]]*MAX(0,MIN(_xlfn.DAYS(EDATE(R$1,1),Log_2019[[#This Row],[Date]]),Log_2019[[#This Row],[Split_apply]])) - SUM($O136:Q136)</f>
        <v>0</v>
      </c>
      <c r="S136" s="52">
        <f ca="1">Log_2019[[#This Row],[Amount]]/Log_2019[[#This Row],[Split_raw]]*MAX(0,MIN(_xlfn.DAYS(EDATE(S$1,1),Log_2019[[#This Row],[Date]]),Log_2019[[#This Row],[Split_apply]])) - SUM($O136:R136)</f>
        <v>0</v>
      </c>
      <c r="T136" s="52">
        <f ca="1">Log_2019[[#This Row],[Amount]]/Log_2019[[#This Row],[Split_raw]]*MAX(0,MIN(_xlfn.DAYS(EDATE(T$1,1),Log_2019[[#This Row],[Date]]),Log_2019[[#This Row],[Split_apply]])) - SUM($O136:S136)</f>
        <v>0</v>
      </c>
      <c r="U136" s="52">
        <f ca="1">Log_2019[[#This Row],[Amount]]/Log_2019[[#This Row],[Split_raw]]*MAX(0,MIN(_xlfn.DAYS(EDATE(U$1,1),Log_2019[[#This Row],[Date]]),Log_2019[[#This Row],[Split_apply]])) - SUM($O136:T136)</f>
        <v>0</v>
      </c>
      <c r="V136" s="52">
        <f ca="1">Log_2019[[#This Row],[Amount]]/Log_2019[[#This Row],[Split_raw]]*MAX(0,MIN(_xlfn.DAYS(EDATE(V$1,1),Log_2019[[#This Row],[Date]]),Log_2019[[#This Row],[Split_apply]])) - SUM($O136:U136)</f>
        <v>0</v>
      </c>
      <c r="W136" s="52">
        <f ca="1">Log_2019[[#This Row],[Amount]]/Log_2019[[#This Row],[Split_raw]]*MAX(0,MIN(_xlfn.DAYS(EDATE(W$1,1),Log_2019[[#This Row],[Date]]),Log_2019[[#This Row],[Split_apply]])) - SUM($O136:V136)</f>
        <v>0</v>
      </c>
      <c r="X136" s="52">
        <f ca="1">Log_2019[[#This Row],[Amount]]/Log_2019[[#This Row],[Split_raw]]*MAX(0,MIN(_xlfn.DAYS(EDATE(X$1,1),Log_2019[[#This Row],[Date]]),Log_2019[[#This Row],[Split_apply]])) - SUM($O136:W136)</f>
        <v>0</v>
      </c>
      <c r="Y136" s="52">
        <f ca="1">Log_2019[[#This Row],[Amount]]/Log_2019[[#This Row],[Split_raw]]*MAX(0,MIN(_xlfn.DAYS(EDATE(Y$1,1),Log_2019[[#This Row],[Date]]),Log_2019[[#This Row],[Split_apply]])) - SUM($O136:X136)</f>
        <v>-10.25</v>
      </c>
      <c r="Z136" s="52">
        <f ca="1">Log_2019[[#This Row],[Amount]]/Log_2019[[#This Row],[Split_raw]]*MAX(0,MIN(_xlfn.DAYS(EDATE(Z$1,1),Log_2019[[#This Row],[Date]]),Log_2019[[#This Row],[Split_apply]])) - SUM($O136:Y136)</f>
        <v>0</v>
      </c>
      <c r="AA136" s="52">
        <f ca="1">Log_2019[[#This Row],[Amount]]/Log_2019[[#This Row],[Split_raw]]*MAX(0,MIN(_xlfn.DAYS(EDATE(AA$1,1),Log_2019[[#This Row],[Date]]),Log_2019[[#This Row],[Split_apply]])) - SUM($O136:Z136)</f>
        <v>0</v>
      </c>
      <c r="AB136" s="54">
        <f ca="1">Log_2019[[#This Row],[Amount]]-SUM(O136:AA136)</f>
        <v>0</v>
      </c>
      <c r="AC136" s="7">
        <f>MAX(0,Log_2019[[#This Row],[Split_raw]] - (EDATE(AA$1,1)-Log_2019[[#This Row],[Date]]))</f>
        <v>0</v>
      </c>
    </row>
    <row r="137" spans="1:29" x14ac:dyDescent="0.25">
      <c r="A137" s="42"/>
      <c r="B137" s="34" t="s">
        <v>6</v>
      </c>
      <c r="C137" s="34"/>
      <c r="D137" s="35">
        <v>43757</v>
      </c>
      <c r="E137" s="34"/>
      <c r="F137" s="34" t="s">
        <v>255</v>
      </c>
      <c r="G137" s="34" t="s">
        <v>10</v>
      </c>
      <c r="H137">
        <v>-27.01</v>
      </c>
      <c r="I137" s="36">
        <f>IF(Log_2019[[#This Row],[My Category]]="NONTRACKED",0,Log_2019[[#This Row],[Raw Amount]])</f>
        <v>-27.01</v>
      </c>
      <c r="J137" s="37">
        <f>ABS(Log_2019[[#This Row],[Amount]])</f>
        <v>27.01</v>
      </c>
      <c r="K137" s="38">
        <v>1</v>
      </c>
      <c r="L137" s="38">
        <f ca="1">IF(Log_2019[[#This Row],[Date]]&lt;=TODAY(), MIN(Log_2019[[#This Row],[Split_raw]], TODAY()-Log_2019[[#This Row],[Date]]+1), 0)</f>
        <v>1</v>
      </c>
      <c r="M137" s="34" t="s">
        <v>52</v>
      </c>
      <c r="N137" s="34" t="s">
        <v>158</v>
      </c>
      <c r="O137" s="7">
        <v>0</v>
      </c>
      <c r="P137" s="52">
        <f ca="1">Log_2019[[#This Row],[Amount]]/Log_2019[[#This Row],[Split_raw]]*MAX(0,MIN(_xlfn.DAYS(EDATE(P$1,1),Log_2019[[#This Row],[Date]]),Log_2019[[#This Row],[Split_apply]])) - SUM($O137:O137)</f>
        <v>0</v>
      </c>
      <c r="Q137" s="52">
        <f ca="1">Log_2019[[#This Row],[Amount]]/Log_2019[[#This Row],[Split_raw]]*MAX(0,MIN(_xlfn.DAYS(EDATE(Q$1,1),Log_2019[[#This Row],[Date]]),Log_2019[[#This Row],[Split_apply]])) - SUM($O137:P137)</f>
        <v>0</v>
      </c>
      <c r="R137" s="52">
        <f ca="1">Log_2019[[#This Row],[Amount]]/Log_2019[[#This Row],[Split_raw]]*MAX(0,MIN(_xlfn.DAYS(EDATE(R$1,1),Log_2019[[#This Row],[Date]]),Log_2019[[#This Row],[Split_apply]])) - SUM($O137:Q137)</f>
        <v>0</v>
      </c>
      <c r="S137" s="52">
        <f ca="1">Log_2019[[#This Row],[Amount]]/Log_2019[[#This Row],[Split_raw]]*MAX(0,MIN(_xlfn.DAYS(EDATE(S$1,1),Log_2019[[#This Row],[Date]]),Log_2019[[#This Row],[Split_apply]])) - SUM($O137:R137)</f>
        <v>0</v>
      </c>
      <c r="T137" s="52">
        <f ca="1">Log_2019[[#This Row],[Amount]]/Log_2019[[#This Row],[Split_raw]]*MAX(0,MIN(_xlfn.DAYS(EDATE(T$1,1),Log_2019[[#This Row],[Date]]),Log_2019[[#This Row],[Split_apply]])) - SUM($O137:S137)</f>
        <v>0</v>
      </c>
      <c r="U137" s="52">
        <f ca="1">Log_2019[[#This Row],[Amount]]/Log_2019[[#This Row],[Split_raw]]*MAX(0,MIN(_xlfn.DAYS(EDATE(U$1,1),Log_2019[[#This Row],[Date]]),Log_2019[[#This Row],[Split_apply]])) - SUM($O137:T137)</f>
        <v>0</v>
      </c>
      <c r="V137" s="52">
        <f ca="1">Log_2019[[#This Row],[Amount]]/Log_2019[[#This Row],[Split_raw]]*MAX(0,MIN(_xlfn.DAYS(EDATE(V$1,1),Log_2019[[#This Row],[Date]]),Log_2019[[#This Row],[Split_apply]])) - SUM($O137:U137)</f>
        <v>0</v>
      </c>
      <c r="W137" s="52">
        <f ca="1">Log_2019[[#This Row],[Amount]]/Log_2019[[#This Row],[Split_raw]]*MAX(0,MIN(_xlfn.DAYS(EDATE(W$1,1),Log_2019[[#This Row],[Date]]),Log_2019[[#This Row],[Split_apply]])) - SUM($O137:V137)</f>
        <v>0</v>
      </c>
      <c r="X137" s="52">
        <f ca="1">Log_2019[[#This Row],[Amount]]/Log_2019[[#This Row],[Split_raw]]*MAX(0,MIN(_xlfn.DAYS(EDATE(X$1,1),Log_2019[[#This Row],[Date]]),Log_2019[[#This Row],[Split_apply]])) - SUM($O137:W137)</f>
        <v>0</v>
      </c>
      <c r="Y137" s="52">
        <f ca="1">Log_2019[[#This Row],[Amount]]/Log_2019[[#This Row],[Split_raw]]*MAX(0,MIN(_xlfn.DAYS(EDATE(Y$1,1),Log_2019[[#This Row],[Date]]),Log_2019[[#This Row],[Split_apply]])) - SUM($O137:X137)</f>
        <v>-27.01</v>
      </c>
      <c r="Z137" s="52">
        <f ca="1">Log_2019[[#This Row],[Amount]]/Log_2019[[#This Row],[Split_raw]]*MAX(0,MIN(_xlfn.DAYS(EDATE(Z$1,1),Log_2019[[#This Row],[Date]]),Log_2019[[#This Row],[Split_apply]])) - SUM($O137:Y137)</f>
        <v>0</v>
      </c>
      <c r="AA137" s="52">
        <f ca="1">Log_2019[[#This Row],[Amount]]/Log_2019[[#This Row],[Split_raw]]*MAX(0,MIN(_xlfn.DAYS(EDATE(AA$1,1),Log_2019[[#This Row],[Date]]),Log_2019[[#This Row],[Split_apply]])) - SUM($O137:Z137)</f>
        <v>0</v>
      </c>
      <c r="AB137" s="54">
        <f ca="1">Log_2019[[#This Row],[Amount]]-SUM(O137:AA137)</f>
        <v>0</v>
      </c>
      <c r="AC137" s="7">
        <f>MAX(0,Log_2019[[#This Row],[Split_raw]] - (EDATE(AA$1,1)-Log_2019[[#This Row],[Date]]))</f>
        <v>0</v>
      </c>
    </row>
    <row r="138" spans="1:29" x14ac:dyDescent="0.25">
      <c r="A138" s="42"/>
      <c r="B138" s="34" t="s">
        <v>6</v>
      </c>
      <c r="C138" s="34"/>
      <c r="D138" s="35">
        <v>43757</v>
      </c>
      <c r="E138" s="34"/>
      <c r="F138" s="34" t="s">
        <v>771</v>
      </c>
      <c r="G138" s="34" t="s">
        <v>25</v>
      </c>
      <c r="H138">
        <v>-131.5</v>
      </c>
      <c r="I138" s="36">
        <f>IF(Log_2019[[#This Row],[My Category]]="NONTRACKED",0,Log_2019[[#This Row],[Raw Amount]])</f>
        <v>-131.5</v>
      </c>
      <c r="J138" s="37">
        <f>ABS(Log_2019[[#This Row],[Amount]])</f>
        <v>131.5</v>
      </c>
      <c r="K138" s="38">
        <v>1</v>
      </c>
      <c r="L138" s="38">
        <f ca="1">IF(Log_2019[[#This Row],[Date]]&lt;=TODAY(), MIN(Log_2019[[#This Row],[Split_raw]], TODAY()-Log_2019[[#This Row],[Date]]+1), 0)</f>
        <v>1</v>
      </c>
      <c r="M138" s="34" t="s">
        <v>35</v>
      </c>
      <c r="N138" s="34" t="s">
        <v>158</v>
      </c>
      <c r="O138" s="7">
        <v>0</v>
      </c>
      <c r="P138" s="52">
        <f ca="1">Log_2019[[#This Row],[Amount]]/Log_2019[[#This Row],[Split_raw]]*MAX(0,MIN(_xlfn.DAYS(EDATE(P$1,1),Log_2019[[#This Row],[Date]]),Log_2019[[#This Row],[Split_apply]])) - SUM($O138:O138)</f>
        <v>0</v>
      </c>
      <c r="Q138" s="52">
        <f ca="1">Log_2019[[#This Row],[Amount]]/Log_2019[[#This Row],[Split_raw]]*MAX(0,MIN(_xlfn.DAYS(EDATE(Q$1,1),Log_2019[[#This Row],[Date]]),Log_2019[[#This Row],[Split_apply]])) - SUM($O138:P138)</f>
        <v>0</v>
      </c>
      <c r="R138" s="52">
        <f ca="1">Log_2019[[#This Row],[Amount]]/Log_2019[[#This Row],[Split_raw]]*MAX(0,MIN(_xlfn.DAYS(EDATE(R$1,1),Log_2019[[#This Row],[Date]]),Log_2019[[#This Row],[Split_apply]])) - SUM($O138:Q138)</f>
        <v>0</v>
      </c>
      <c r="S138" s="52">
        <f ca="1">Log_2019[[#This Row],[Amount]]/Log_2019[[#This Row],[Split_raw]]*MAX(0,MIN(_xlfn.DAYS(EDATE(S$1,1),Log_2019[[#This Row],[Date]]),Log_2019[[#This Row],[Split_apply]])) - SUM($O138:R138)</f>
        <v>0</v>
      </c>
      <c r="T138" s="52">
        <f ca="1">Log_2019[[#This Row],[Amount]]/Log_2019[[#This Row],[Split_raw]]*MAX(0,MIN(_xlfn.DAYS(EDATE(T$1,1),Log_2019[[#This Row],[Date]]),Log_2019[[#This Row],[Split_apply]])) - SUM($O138:S138)</f>
        <v>0</v>
      </c>
      <c r="U138" s="52">
        <f ca="1">Log_2019[[#This Row],[Amount]]/Log_2019[[#This Row],[Split_raw]]*MAX(0,MIN(_xlfn.DAYS(EDATE(U$1,1),Log_2019[[#This Row],[Date]]),Log_2019[[#This Row],[Split_apply]])) - SUM($O138:T138)</f>
        <v>0</v>
      </c>
      <c r="V138" s="52">
        <f ca="1">Log_2019[[#This Row],[Amount]]/Log_2019[[#This Row],[Split_raw]]*MAX(0,MIN(_xlfn.DAYS(EDATE(V$1,1),Log_2019[[#This Row],[Date]]),Log_2019[[#This Row],[Split_apply]])) - SUM($O138:U138)</f>
        <v>0</v>
      </c>
      <c r="W138" s="52">
        <f ca="1">Log_2019[[#This Row],[Amount]]/Log_2019[[#This Row],[Split_raw]]*MAX(0,MIN(_xlfn.DAYS(EDATE(W$1,1),Log_2019[[#This Row],[Date]]),Log_2019[[#This Row],[Split_apply]])) - SUM($O138:V138)</f>
        <v>0</v>
      </c>
      <c r="X138" s="52">
        <f ca="1">Log_2019[[#This Row],[Amount]]/Log_2019[[#This Row],[Split_raw]]*MAX(0,MIN(_xlfn.DAYS(EDATE(X$1,1),Log_2019[[#This Row],[Date]]),Log_2019[[#This Row],[Split_apply]])) - SUM($O138:W138)</f>
        <v>0</v>
      </c>
      <c r="Y138" s="52">
        <f ca="1">Log_2019[[#This Row],[Amount]]/Log_2019[[#This Row],[Split_raw]]*MAX(0,MIN(_xlfn.DAYS(EDATE(Y$1,1),Log_2019[[#This Row],[Date]]),Log_2019[[#This Row],[Split_apply]])) - SUM($O138:X138)</f>
        <v>-131.5</v>
      </c>
      <c r="Z138" s="52">
        <f ca="1">Log_2019[[#This Row],[Amount]]/Log_2019[[#This Row],[Split_raw]]*MAX(0,MIN(_xlfn.DAYS(EDATE(Z$1,1),Log_2019[[#This Row],[Date]]),Log_2019[[#This Row],[Split_apply]])) - SUM($O138:Y138)</f>
        <v>0</v>
      </c>
      <c r="AA138" s="52">
        <f ca="1">Log_2019[[#This Row],[Amount]]/Log_2019[[#This Row],[Split_raw]]*MAX(0,MIN(_xlfn.DAYS(EDATE(AA$1,1),Log_2019[[#This Row],[Date]]),Log_2019[[#This Row],[Split_apply]])) - SUM($O138:Z138)</f>
        <v>0</v>
      </c>
      <c r="AB138" s="54">
        <f ca="1">Log_2019[[#This Row],[Amount]]-SUM(O138:AA138)</f>
        <v>0</v>
      </c>
      <c r="AC138" s="7">
        <f>MAX(0,Log_2019[[#This Row],[Split_raw]] - (EDATE(AA$1,1)-Log_2019[[#This Row],[Date]]))</f>
        <v>0</v>
      </c>
    </row>
    <row r="139" spans="1:29" x14ac:dyDescent="0.25">
      <c r="A139" s="42"/>
      <c r="B139" s="34" t="s">
        <v>6</v>
      </c>
      <c r="C139" s="34"/>
      <c r="D139" s="35">
        <v>43756</v>
      </c>
      <c r="E139" s="34"/>
      <c r="F139" s="34" t="s">
        <v>772</v>
      </c>
      <c r="G139" s="34" t="s">
        <v>9</v>
      </c>
      <c r="H139">
        <v>-10.81</v>
      </c>
      <c r="I139" s="36">
        <f>IF(Log_2019[[#This Row],[My Category]]="NONTRACKED",0,Log_2019[[#This Row],[Raw Amount]])</f>
        <v>-10.81</v>
      </c>
      <c r="J139" s="37">
        <f>ABS(Log_2019[[#This Row],[Amount]])</f>
        <v>10.81</v>
      </c>
      <c r="K139" s="38">
        <v>1</v>
      </c>
      <c r="L139" s="38">
        <f ca="1">IF(Log_2019[[#This Row],[Date]]&lt;=TODAY(), MIN(Log_2019[[#This Row],[Split_raw]], TODAY()-Log_2019[[#This Row],[Date]]+1), 0)</f>
        <v>1</v>
      </c>
      <c r="M139" s="34" t="s">
        <v>53</v>
      </c>
      <c r="N139" s="34" t="s">
        <v>158</v>
      </c>
      <c r="O139" s="7">
        <v>0</v>
      </c>
      <c r="P139" s="52">
        <f ca="1">Log_2019[[#This Row],[Amount]]/Log_2019[[#This Row],[Split_raw]]*MAX(0,MIN(_xlfn.DAYS(EDATE(P$1,1),Log_2019[[#This Row],[Date]]),Log_2019[[#This Row],[Split_apply]])) - SUM($O139:O139)</f>
        <v>0</v>
      </c>
      <c r="Q139" s="52">
        <f ca="1">Log_2019[[#This Row],[Amount]]/Log_2019[[#This Row],[Split_raw]]*MAX(0,MIN(_xlfn.DAYS(EDATE(Q$1,1),Log_2019[[#This Row],[Date]]),Log_2019[[#This Row],[Split_apply]])) - SUM($O139:P139)</f>
        <v>0</v>
      </c>
      <c r="R139" s="52">
        <f ca="1">Log_2019[[#This Row],[Amount]]/Log_2019[[#This Row],[Split_raw]]*MAX(0,MIN(_xlfn.DAYS(EDATE(R$1,1),Log_2019[[#This Row],[Date]]),Log_2019[[#This Row],[Split_apply]])) - SUM($O139:Q139)</f>
        <v>0</v>
      </c>
      <c r="S139" s="52">
        <f ca="1">Log_2019[[#This Row],[Amount]]/Log_2019[[#This Row],[Split_raw]]*MAX(0,MIN(_xlfn.DAYS(EDATE(S$1,1),Log_2019[[#This Row],[Date]]),Log_2019[[#This Row],[Split_apply]])) - SUM($O139:R139)</f>
        <v>0</v>
      </c>
      <c r="T139" s="52">
        <f ca="1">Log_2019[[#This Row],[Amount]]/Log_2019[[#This Row],[Split_raw]]*MAX(0,MIN(_xlfn.DAYS(EDATE(T$1,1),Log_2019[[#This Row],[Date]]),Log_2019[[#This Row],[Split_apply]])) - SUM($O139:S139)</f>
        <v>0</v>
      </c>
      <c r="U139" s="52">
        <f ca="1">Log_2019[[#This Row],[Amount]]/Log_2019[[#This Row],[Split_raw]]*MAX(0,MIN(_xlfn.DAYS(EDATE(U$1,1),Log_2019[[#This Row],[Date]]),Log_2019[[#This Row],[Split_apply]])) - SUM($O139:T139)</f>
        <v>0</v>
      </c>
      <c r="V139" s="52">
        <f ca="1">Log_2019[[#This Row],[Amount]]/Log_2019[[#This Row],[Split_raw]]*MAX(0,MIN(_xlfn.DAYS(EDATE(V$1,1),Log_2019[[#This Row],[Date]]),Log_2019[[#This Row],[Split_apply]])) - SUM($O139:U139)</f>
        <v>0</v>
      </c>
      <c r="W139" s="52">
        <f ca="1">Log_2019[[#This Row],[Amount]]/Log_2019[[#This Row],[Split_raw]]*MAX(0,MIN(_xlfn.DAYS(EDATE(W$1,1),Log_2019[[#This Row],[Date]]),Log_2019[[#This Row],[Split_apply]])) - SUM($O139:V139)</f>
        <v>0</v>
      </c>
      <c r="X139" s="52">
        <f ca="1">Log_2019[[#This Row],[Amount]]/Log_2019[[#This Row],[Split_raw]]*MAX(0,MIN(_xlfn.DAYS(EDATE(X$1,1),Log_2019[[#This Row],[Date]]),Log_2019[[#This Row],[Split_apply]])) - SUM($O139:W139)</f>
        <v>0</v>
      </c>
      <c r="Y139" s="52">
        <f ca="1">Log_2019[[#This Row],[Amount]]/Log_2019[[#This Row],[Split_raw]]*MAX(0,MIN(_xlfn.DAYS(EDATE(Y$1,1),Log_2019[[#This Row],[Date]]),Log_2019[[#This Row],[Split_apply]])) - SUM($O139:X139)</f>
        <v>-10.81</v>
      </c>
      <c r="Z139" s="52">
        <f ca="1">Log_2019[[#This Row],[Amount]]/Log_2019[[#This Row],[Split_raw]]*MAX(0,MIN(_xlfn.DAYS(EDATE(Z$1,1),Log_2019[[#This Row],[Date]]),Log_2019[[#This Row],[Split_apply]])) - SUM($O139:Y139)</f>
        <v>0</v>
      </c>
      <c r="AA139" s="52">
        <f ca="1">Log_2019[[#This Row],[Amount]]/Log_2019[[#This Row],[Split_raw]]*MAX(0,MIN(_xlfn.DAYS(EDATE(AA$1,1),Log_2019[[#This Row],[Date]]),Log_2019[[#This Row],[Split_apply]])) - SUM($O139:Z139)</f>
        <v>0</v>
      </c>
      <c r="AB139" s="54">
        <f ca="1">Log_2019[[#This Row],[Amount]]-SUM(O139:AA139)</f>
        <v>0</v>
      </c>
      <c r="AC139" s="7">
        <f>MAX(0,Log_2019[[#This Row],[Split_raw]] - (EDATE(AA$1,1)-Log_2019[[#This Row],[Date]]))</f>
        <v>0</v>
      </c>
    </row>
    <row r="140" spans="1:29" x14ac:dyDescent="0.25">
      <c r="A140" s="42"/>
      <c r="B140" s="34" t="s">
        <v>490</v>
      </c>
      <c r="C140" s="34">
        <v>2.85757309780702E+18</v>
      </c>
      <c r="D140" s="35">
        <v>43756</v>
      </c>
      <c r="E140" s="34"/>
      <c r="F140" s="34" t="s">
        <v>813</v>
      </c>
      <c r="G140" s="34"/>
      <c r="H140">
        <v>18.71</v>
      </c>
      <c r="I140" s="36">
        <f>IF(Log_2019[[#This Row],[My Category]]="NONTRACKED",0,Log_2019[[#This Row],[Raw Amount]])</f>
        <v>18.71</v>
      </c>
      <c r="J140" s="37">
        <f>ABS(Log_2019[[#This Row],[Amount]])</f>
        <v>18.71</v>
      </c>
      <c r="K140" s="38">
        <v>1</v>
      </c>
      <c r="L140" s="38">
        <f ca="1">IF(Log_2019[[#This Row],[Date]]&lt;=TODAY(), MIN(Log_2019[[#This Row],[Split_raw]], TODAY()-Log_2019[[#This Row],[Date]]+1), 0)</f>
        <v>1</v>
      </c>
      <c r="M140" s="34" t="s">
        <v>35</v>
      </c>
      <c r="N140" s="34" t="s">
        <v>490</v>
      </c>
      <c r="O140" s="7">
        <v>0</v>
      </c>
      <c r="P140" s="52">
        <f ca="1">Log_2019[[#This Row],[Amount]]/Log_2019[[#This Row],[Split_raw]]*MAX(0,MIN(_xlfn.DAYS(EDATE(P$1,1),Log_2019[[#This Row],[Date]]),Log_2019[[#This Row],[Split_apply]])) - SUM($O140:O140)</f>
        <v>0</v>
      </c>
      <c r="Q140" s="52">
        <f ca="1">Log_2019[[#This Row],[Amount]]/Log_2019[[#This Row],[Split_raw]]*MAX(0,MIN(_xlfn.DAYS(EDATE(Q$1,1),Log_2019[[#This Row],[Date]]),Log_2019[[#This Row],[Split_apply]])) - SUM($O140:P140)</f>
        <v>0</v>
      </c>
      <c r="R140" s="52">
        <f ca="1">Log_2019[[#This Row],[Amount]]/Log_2019[[#This Row],[Split_raw]]*MAX(0,MIN(_xlfn.DAYS(EDATE(R$1,1),Log_2019[[#This Row],[Date]]),Log_2019[[#This Row],[Split_apply]])) - SUM($O140:Q140)</f>
        <v>0</v>
      </c>
      <c r="S140" s="52">
        <f ca="1">Log_2019[[#This Row],[Amount]]/Log_2019[[#This Row],[Split_raw]]*MAX(0,MIN(_xlfn.DAYS(EDATE(S$1,1),Log_2019[[#This Row],[Date]]),Log_2019[[#This Row],[Split_apply]])) - SUM($O140:R140)</f>
        <v>0</v>
      </c>
      <c r="T140" s="52">
        <f ca="1">Log_2019[[#This Row],[Amount]]/Log_2019[[#This Row],[Split_raw]]*MAX(0,MIN(_xlfn.DAYS(EDATE(T$1,1),Log_2019[[#This Row],[Date]]),Log_2019[[#This Row],[Split_apply]])) - SUM($O140:S140)</f>
        <v>0</v>
      </c>
      <c r="U140" s="52">
        <f ca="1">Log_2019[[#This Row],[Amount]]/Log_2019[[#This Row],[Split_raw]]*MAX(0,MIN(_xlfn.DAYS(EDATE(U$1,1),Log_2019[[#This Row],[Date]]),Log_2019[[#This Row],[Split_apply]])) - SUM($O140:T140)</f>
        <v>0</v>
      </c>
      <c r="V140" s="52">
        <f ca="1">Log_2019[[#This Row],[Amount]]/Log_2019[[#This Row],[Split_raw]]*MAX(0,MIN(_xlfn.DAYS(EDATE(V$1,1),Log_2019[[#This Row],[Date]]),Log_2019[[#This Row],[Split_apply]])) - SUM($O140:U140)</f>
        <v>0</v>
      </c>
      <c r="W140" s="52">
        <f ca="1">Log_2019[[#This Row],[Amount]]/Log_2019[[#This Row],[Split_raw]]*MAX(0,MIN(_xlfn.DAYS(EDATE(W$1,1),Log_2019[[#This Row],[Date]]),Log_2019[[#This Row],[Split_apply]])) - SUM($O140:V140)</f>
        <v>0</v>
      </c>
      <c r="X140" s="52">
        <f ca="1">Log_2019[[#This Row],[Amount]]/Log_2019[[#This Row],[Split_raw]]*MAX(0,MIN(_xlfn.DAYS(EDATE(X$1,1),Log_2019[[#This Row],[Date]]),Log_2019[[#This Row],[Split_apply]])) - SUM($O140:W140)</f>
        <v>0</v>
      </c>
      <c r="Y140" s="52">
        <f ca="1">Log_2019[[#This Row],[Amount]]/Log_2019[[#This Row],[Split_raw]]*MAX(0,MIN(_xlfn.DAYS(EDATE(Y$1,1),Log_2019[[#This Row],[Date]]),Log_2019[[#This Row],[Split_apply]])) - SUM($O140:X140)</f>
        <v>18.71</v>
      </c>
      <c r="Z140" s="52">
        <f ca="1">Log_2019[[#This Row],[Amount]]/Log_2019[[#This Row],[Split_raw]]*MAX(0,MIN(_xlfn.DAYS(EDATE(Z$1,1),Log_2019[[#This Row],[Date]]),Log_2019[[#This Row],[Split_apply]])) - SUM($O140:Y140)</f>
        <v>0</v>
      </c>
      <c r="AA140" s="52">
        <f ca="1">Log_2019[[#This Row],[Amount]]/Log_2019[[#This Row],[Split_raw]]*MAX(0,MIN(_xlfn.DAYS(EDATE(AA$1,1),Log_2019[[#This Row],[Date]]),Log_2019[[#This Row],[Split_apply]])) - SUM($O140:Z140)</f>
        <v>0</v>
      </c>
      <c r="AB140" s="54">
        <f ca="1">Log_2019[[#This Row],[Amount]]-SUM(O140:AA140)</f>
        <v>0</v>
      </c>
      <c r="AC140" s="7">
        <f>MAX(0,Log_2019[[#This Row],[Split_raw]] - (EDATE(AA$1,1)-Log_2019[[#This Row],[Date]]))</f>
        <v>0</v>
      </c>
    </row>
    <row r="141" spans="1:29" x14ac:dyDescent="0.25">
      <c r="A141" s="42"/>
      <c r="B141" s="34" t="s">
        <v>490</v>
      </c>
      <c r="C141" s="34">
        <v>2.8575807211223101E+18</v>
      </c>
      <c r="D141" s="35">
        <v>43756</v>
      </c>
      <c r="E141" s="34"/>
      <c r="F141" s="34" t="s">
        <v>813</v>
      </c>
      <c r="G141" s="34"/>
      <c r="H141">
        <v>18.71</v>
      </c>
      <c r="I141" s="36">
        <f>IF(Log_2019[[#This Row],[My Category]]="NONTRACKED",0,Log_2019[[#This Row],[Raw Amount]])</f>
        <v>18.71</v>
      </c>
      <c r="J141" s="37">
        <f>ABS(Log_2019[[#This Row],[Amount]])</f>
        <v>18.71</v>
      </c>
      <c r="K141" s="38">
        <v>1</v>
      </c>
      <c r="L141" s="38">
        <f ca="1">IF(Log_2019[[#This Row],[Date]]&lt;=TODAY(), MIN(Log_2019[[#This Row],[Split_raw]], TODAY()-Log_2019[[#This Row],[Date]]+1), 0)</f>
        <v>1</v>
      </c>
      <c r="M141" s="34" t="s">
        <v>35</v>
      </c>
      <c r="N141" s="34" t="s">
        <v>490</v>
      </c>
      <c r="O141" s="7">
        <v>0</v>
      </c>
      <c r="P141" s="52">
        <f ca="1">Log_2019[[#This Row],[Amount]]/Log_2019[[#This Row],[Split_raw]]*MAX(0,MIN(_xlfn.DAYS(EDATE(P$1,1),Log_2019[[#This Row],[Date]]),Log_2019[[#This Row],[Split_apply]])) - SUM($O141:O141)</f>
        <v>0</v>
      </c>
      <c r="Q141" s="52">
        <f ca="1">Log_2019[[#This Row],[Amount]]/Log_2019[[#This Row],[Split_raw]]*MAX(0,MIN(_xlfn.DAYS(EDATE(Q$1,1),Log_2019[[#This Row],[Date]]),Log_2019[[#This Row],[Split_apply]])) - SUM($O141:P141)</f>
        <v>0</v>
      </c>
      <c r="R141" s="52">
        <f ca="1">Log_2019[[#This Row],[Amount]]/Log_2019[[#This Row],[Split_raw]]*MAX(0,MIN(_xlfn.DAYS(EDATE(R$1,1),Log_2019[[#This Row],[Date]]),Log_2019[[#This Row],[Split_apply]])) - SUM($O141:Q141)</f>
        <v>0</v>
      </c>
      <c r="S141" s="52">
        <f ca="1">Log_2019[[#This Row],[Amount]]/Log_2019[[#This Row],[Split_raw]]*MAX(0,MIN(_xlfn.DAYS(EDATE(S$1,1),Log_2019[[#This Row],[Date]]),Log_2019[[#This Row],[Split_apply]])) - SUM($O141:R141)</f>
        <v>0</v>
      </c>
      <c r="T141" s="52">
        <f ca="1">Log_2019[[#This Row],[Amount]]/Log_2019[[#This Row],[Split_raw]]*MAX(0,MIN(_xlfn.DAYS(EDATE(T$1,1),Log_2019[[#This Row],[Date]]),Log_2019[[#This Row],[Split_apply]])) - SUM($O141:S141)</f>
        <v>0</v>
      </c>
      <c r="U141" s="52">
        <f ca="1">Log_2019[[#This Row],[Amount]]/Log_2019[[#This Row],[Split_raw]]*MAX(0,MIN(_xlfn.DAYS(EDATE(U$1,1),Log_2019[[#This Row],[Date]]),Log_2019[[#This Row],[Split_apply]])) - SUM($O141:T141)</f>
        <v>0</v>
      </c>
      <c r="V141" s="52">
        <f ca="1">Log_2019[[#This Row],[Amount]]/Log_2019[[#This Row],[Split_raw]]*MAX(0,MIN(_xlfn.DAYS(EDATE(V$1,1),Log_2019[[#This Row],[Date]]),Log_2019[[#This Row],[Split_apply]])) - SUM($O141:U141)</f>
        <v>0</v>
      </c>
      <c r="W141" s="52">
        <f ca="1">Log_2019[[#This Row],[Amount]]/Log_2019[[#This Row],[Split_raw]]*MAX(0,MIN(_xlfn.DAYS(EDATE(W$1,1),Log_2019[[#This Row],[Date]]),Log_2019[[#This Row],[Split_apply]])) - SUM($O141:V141)</f>
        <v>0</v>
      </c>
      <c r="X141" s="52">
        <f ca="1">Log_2019[[#This Row],[Amount]]/Log_2019[[#This Row],[Split_raw]]*MAX(0,MIN(_xlfn.DAYS(EDATE(X$1,1),Log_2019[[#This Row],[Date]]),Log_2019[[#This Row],[Split_apply]])) - SUM($O141:W141)</f>
        <v>0</v>
      </c>
      <c r="Y141" s="52">
        <f ca="1">Log_2019[[#This Row],[Amount]]/Log_2019[[#This Row],[Split_raw]]*MAX(0,MIN(_xlfn.DAYS(EDATE(Y$1,1),Log_2019[[#This Row],[Date]]),Log_2019[[#This Row],[Split_apply]])) - SUM($O141:X141)</f>
        <v>18.71</v>
      </c>
      <c r="Z141" s="52">
        <f ca="1">Log_2019[[#This Row],[Amount]]/Log_2019[[#This Row],[Split_raw]]*MAX(0,MIN(_xlfn.DAYS(EDATE(Z$1,1),Log_2019[[#This Row],[Date]]),Log_2019[[#This Row],[Split_apply]])) - SUM($O141:Y141)</f>
        <v>0</v>
      </c>
      <c r="AA141" s="52">
        <f ca="1">Log_2019[[#This Row],[Amount]]/Log_2019[[#This Row],[Split_raw]]*MAX(0,MIN(_xlfn.DAYS(EDATE(AA$1,1),Log_2019[[#This Row],[Date]]),Log_2019[[#This Row],[Split_apply]])) - SUM($O141:Z141)</f>
        <v>0</v>
      </c>
      <c r="AB141" s="54">
        <f ca="1">Log_2019[[#This Row],[Amount]]-SUM(O141:AA141)</f>
        <v>0</v>
      </c>
      <c r="AC141" s="7">
        <f>MAX(0,Log_2019[[#This Row],[Split_raw]] - (EDATE(AA$1,1)-Log_2019[[#This Row],[Date]]))</f>
        <v>0</v>
      </c>
    </row>
    <row r="142" spans="1:29" x14ac:dyDescent="0.25">
      <c r="A142" s="42"/>
      <c r="B142" s="34" t="s">
        <v>490</v>
      </c>
      <c r="C142" s="34">
        <v>2.8575840247658501E+18</v>
      </c>
      <c r="D142" s="35">
        <v>43756</v>
      </c>
      <c r="E142" s="34"/>
      <c r="F142" s="34" t="s">
        <v>813</v>
      </c>
      <c r="G142" s="34"/>
      <c r="H142">
        <v>18.71</v>
      </c>
      <c r="I142" s="36">
        <f>IF(Log_2019[[#This Row],[My Category]]="NONTRACKED",0,Log_2019[[#This Row],[Raw Amount]])</f>
        <v>18.71</v>
      </c>
      <c r="J142" s="37">
        <f>ABS(Log_2019[[#This Row],[Amount]])</f>
        <v>18.71</v>
      </c>
      <c r="K142" s="38">
        <v>1</v>
      </c>
      <c r="L142" s="38">
        <f ca="1">IF(Log_2019[[#This Row],[Date]]&lt;=TODAY(), MIN(Log_2019[[#This Row],[Split_raw]], TODAY()-Log_2019[[#This Row],[Date]]+1), 0)</f>
        <v>1</v>
      </c>
      <c r="M142" s="34" t="s">
        <v>35</v>
      </c>
      <c r="N142" s="34" t="s">
        <v>490</v>
      </c>
      <c r="O142" s="7">
        <v>0</v>
      </c>
      <c r="P142" s="52">
        <f ca="1">Log_2019[[#This Row],[Amount]]/Log_2019[[#This Row],[Split_raw]]*MAX(0,MIN(_xlfn.DAYS(EDATE(P$1,1),Log_2019[[#This Row],[Date]]),Log_2019[[#This Row],[Split_apply]])) - SUM($O142:O142)</f>
        <v>0</v>
      </c>
      <c r="Q142" s="52">
        <f ca="1">Log_2019[[#This Row],[Amount]]/Log_2019[[#This Row],[Split_raw]]*MAX(0,MIN(_xlfn.DAYS(EDATE(Q$1,1),Log_2019[[#This Row],[Date]]),Log_2019[[#This Row],[Split_apply]])) - SUM($O142:P142)</f>
        <v>0</v>
      </c>
      <c r="R142" s="52">
        <f ca="1">Log_2019[[#This Row],[Amount]]/Log_2019[[#This Row],[Split_raw]]*MAX(0,MIN(_xlfn.DAYS(EDATE(R$1,1),Log_2019[[#This Row],[Date]]),Log_2019[[#This Row],[Split_apply]])) - SUM($O142:Q142)</f>
        <v>0</v>
      </c>
      <c r="S142" s="52">
        <f ca="1">Log_2019[[#This Row],[Amount]]/Log_2019[[#This Row],[Split_raw]]*MAX(0,MIN(_xlfn.DAYS(EDATE(S$1,1),Log_2019[[#This Row],[Date]]),Log_2019[[#This Row],[Split_apply]])) - SUM($O142:R142)</f>
        <v>0</v>
      </c>
      <c r="T142" s="52">
        <f ca="1">Log_2019[[#This Row],[Amount]]/Log_2019[[#This Row],[Split_raw]]*MAX(0,MIN(_xlfn.DAYS(EDATE(T$1,1),Log_2019[[#This Row],[Date]]),Log_2019[[#This Row],[Split_apply]])) - SUM($O142:S142)</f>
        <v>0</v>
      </c>
      <c r="U142" s="52">
        <f ca="1">Log_2019[[#This Row],[Amount]]/Log_2019[[#This Row],[Split_raw]]*MAX(0,MIN(_xlfn.DAYS(EDATE(U$1,1),Log_2019[[#This Row],[Date]]),Log_2019[[#This Row],[Split_apply]])) - SUM($O142:T142)</f>
        <v>0</v>
      </c>
      <c r="V142" s="52">
        <f ca="1">Log_2019[[#This Row],[Amount]]/Log_2019[[#This Row],[Split_raw]]*MAX(0,MIN(_xlfn.DAYS(EDATE(V$1,1),Log_2019[[#This Row],[Date]]),Log_2019[[#This Row],[Split_apply]])) - SUM($O142:U142)</f>
        <v>0</v>
      </c>
      <c r="W142" s="52">
        <f ca="1">Log_2019[[#This Row],[Amount]]/Log_2019[[#This Row],[Split_raw]]*MAX(0,MIN(_xlfn.DAYS(EDATE(W$1,1),Log_2019[[#This Row],[Date]]),Log_2019[[#This Row],[Split_apply]])) - SUM($O142:V142)</f>
        <v>0</v>
      </c>
      <c r="X142" s="52">
        <f ca="1">Log_2019[[#This Row],[Amount]]/Log_2019[[#This Row],[Split_raw]]*MAX(0,MIN(_xlfn.DAYS(EDATE(X$1,1),Log_2019[[#This Row],[Date]]),Log_2019[[#This Row],[Split_apply]])) - SUM($O142:W142)</f>
        <v>0</v>
      </c>
      <c r="Y142" s="52">
        <f ca="1">Log_2019[[#This Row],[Amount]]/Log_2019[[#This Row],[Split_raw]]*MAX(0,MIN(_xlfn.DAYS(EDATE(Y$1,1),Log_2019[[#This Row],[Date]]),Log_2019[[#This Row],[Split_apply]])) - SUM($O142:X142)</f>
        <v>18.71</v>
      </c>
      <c r="Z142" s="52">
        <f ca="1">Log_2019[[#This Row],[Amount]]/Log_2019[[#This Row],[Split_raw]]*MAX(0,MIN(_xlfn.DAYS(EDATE(Z$1,1),Log_2019[[#This Row],[Date]]),Log_2019[[#This Row],[Split_apply]])) - SUM($O142:Y142)</f>
        <v>0</v>
      </c>
      <c r="AA142" s="52">
        <f ca="1">Log_2019[[#This Row],[Amount]]/Log_2019[[#This Row],[Split_raw]]*MAX(0,MIN(_xlfn.DAYS(EDATE(AA$1,1),Log_2019[[#This Row],[Date]]),Log_2019[[#This Row],[Split_apply]])) - SUM($O142:Z142)</f>
        <v>0</v>
      </c>
      <c r="AB142" s="54">
        <f ca="1">Log_2019[[#This Row],[Amount]]-SUM(O142:AA142)</f>
        <v>0</v>
      </c>
      <c r="AC142" s="7">
        <f>MAX(0,Log_2019[[#This Row],[Split_raw]] - (EDATE(AA$1,1)-Log_2019[[#This Row],[Date]]))</f>
        <v>0</v>
      </c>
    </row>
    <row r="143" spans="1:29" x14ac:dyDescent="0.25">
      <c r="A143" s="42"/>
      <c r="B143" s="34" t="s">
        <v>6</v>
      </c>
      <c r="C143" s="34"/>
      <c r="D143" s="35">
        <v>43755</v>
      </c>
      <c r="E143" s="34" t="s">
        <v>797</v>
      </c>
      <c r="F143" s="34" t="s">
        <v>553</v>
      </c>
      <c r="G143" s="34" t="s">
        <v>27</v>
      </c>
      <c r="H143">
        <v>-52</v>
      </c>
      <c r="I143" s="36">
        <f>IF(Log_2019[[#This Row],[My Category]]="NONTRACKED",0,Log_2019[[#This Row],[Raw Amount]])</f>
        <v>0</v>
      </c>
      <c r="J143" s="37">
        <f>ABS(Log_2019[[#This Row],[Amount]])</f>
        <v>0</v>
      </c>
      <c r="K143" s="38">
        <v>1</v>
      </c>
      <c r="L143" s="38">
        <f ca="1">IF(Log_2019[[#This Row],[Date]]&lt;=TODAY(), MIN(Log_2019[[#This Row],[Split_raw]], TODAY()-Log_2019[[#This Row],[Date]]+1), 0)</f>
        <v>1</v>
      </c>
      <c r="M143" s="34" t="s">
        <v>755</v>
      </c>
      <c r="N143" s="34" t="s">
        <v>158</v>
      </c>
      <c r="O143" s="7">
        <v>0</v>
      </c>
      <c r="P143" s="52">
        <f ca="1">Log_2019[[#This Row],[Amount]]/Log_2019[[#This Row],[Split_raw]]*MAX(0,MIN(_xlfn.DAYS(EDATE(P$1,1),Log_2019[[#This Row],[Date]]),Log_2019[[#This Row],[Split_apply]])) - SUM($O143:O143)</f>
        <v>0</v>
      </c>
      <c r="Q143" s="52">
        <f ca="1">Log_2019[[#This Row],[Amount]]/Log_2019[[#This Row],[Split_raw]]*MAX(0,MIN(_xlfn.DAYS(EDATE(Q$1,1),Log_2019[[#This Row],[Date]]),Log_2019[[#This Row],[Split_apply]])) - SUM($O143:P143)</f>
        <v>0</v>
      </c>
      <c r="R143" s="52">
        <f ca="1">Log_2019[[#This Row],[Amount]]/Log_2019[[#This Row],[Split_raw]]*MAX(0,MIN(_xlfn.DAYS(EDATE(R$1,1),Log_2019[[#This Row],[Date]]),Log_2019[[#This Row],[Split_apply]])) - SUM($O143:Q143)</f>
        <v>0</v>
      </c>
      <c r="S143" s="52">
        <f ca="1">Log_2019[[#This Row],[Amount]]/Log_2019[[#This Row],[Split_raw]]*MAX(0,MIN(_xlfn.DAYS(EDATE(S$1,1),Log_2019[[#This Row],[Date]]),Log_2019[[#This Row],[Split_apply]])) - SUM($O143:R143)</f>
        <v>0</v>
      </c>
      <c r="T143" s="52">
        <f ca="1">Log_2019[[#This Row],[Amount]]/Log_2019[[#This Row],[Split_raw]]*MAX(0,MIN(_xlfn.DAYS(EDATE(T$1,1),Log_2019[[#This Row],[Date]]),Log_2019[[#This Row],[Split_apply]])) - SUM($O143:S143)</f>
        <v>0</v>
      </c>
      <c r="U143" s="52">
        <f ca="1">Log_2019[[#This Row],[Amount]]/Log_2019[[#This Row],[Split_raw]]*MAX(0,MIN(_xlfn.DAYS(EDATE(U$1,1),Log_2019[[#This Row],[Date]]),Log_2019[[#This Row],[Split_apply]])) - SUM($O143:T143)</f>
        <v>0</v>
      </c>
      <c r="V143" s="52">
        <f ca="1">Log_2019[[#This Row],[Amount]]/Log_2019[[#This Row],[Split_raw]]*MAX(0,MIN(_xlfn.DAYS(EDATE(V$1,1),Log_2019[[#This Row],[Date]]),Log_2019[[#This Row],[Split_apply]])) - SUM($O143:U143)</f>
        <v>0</v>
      </c>
      <c r="W143" s="52">
        <f ca="1">Log_2019[[#This Row],[Amount]]/Log_2019[[#This Row],[Split_raw]]*MAX(0,MIN(_xlfn.DAYS(EDATE(W$1,1),Log_2019[[#This Row],[Date]]),Log_2019[[#This Row],[Split_apply]])) - SUM($O143:V143)</f>
        <v>0</v>
      </c>
      <c r="X143" s="52">
        <f ca="1">Log_2019[[#This Row],[Amount]]/Log_2019[[#This Row],[Split_raw]]*MAX(0,MIN(_xlfn.DAYS(EDATE(X$1,1),Log_2019[[#This Row],[Date]]),Log_2019[[#This Row],[Split_apply]])) - SUM($O143:W143)</f>
        <v>0</v>
      </c>
      <c r="Y143" s="52">
        <f ca="1">Log_2019[[#This Row],[Amount]]/Log_2019[[#This Row],[Split_raw]]*MAX(0,MIN(_xlfn.DAYS(EDATE(Y$1,1),Log_2019[[#This Row],[Date]]),Log_2019[[#This Row],[Split_apply]])) - SUM($O143:X143)</f>
        <v>0</v>
      </c>
      <c r="Z143" s="52">
        <f ca="1">Log_2019[[#This Row],[Amount]]/Log_2019[[#This Row],[Split_raw]]*MAX(0,MIN(_xlfn.DAYS(EDATE(Z$1,1),Log_2019[[#This Row],[Date]]),Log_2019[[#This Row],[Split_apply]])) - SUM($O143:Y143)</f>
        <v>0</v>
      </c>
      <c r="AA143" s="52">
        <f ca="1">Log_2019[[#This Row],[Amount]]/Log_2019[[#This Row],[Split_raw]]*MAX(0,MIN(_xlfn.DAYS(EDATE(AA$1,1),Log_2019[[#This Row],[Date]]),Log_2019[[#This Row],[Split_apply]])) - SUM($O143:Z143)</f>
        <v>0</v>
      </c>
      <c r="AB143" s="54">
        <f ca="1">Log_2019[[#This Row],[Amount]]-SUM(O143:AA143)</f>
        <v>0</v>
      </c>
      <c r="AC143" s="7">
        <f>MAX(0,Log_2019[[#This Row],[Split_raw]] - (EDATE(AA$1,1)-Log_2019[[#This Row],[Date]]))</f>
        <v>0</v>
      </c>
    </row>
    <row r="144" spans="1:29" x14ac:dyDescent="0.25">
      <c r="A144" s="42"/>
      <c r="B144" s="34" t="s">
        <v>6</v>
      </c>
      <c r="C144" s="34"/>
      <c r="D144" s="35">
        <v>43754</v>
      </c>
      <c r="E144" s="34"/>
      <c r="F144" s="34" t="s">
        <v>752</v>
      </c>
      <c r="G144" s="34" t="s">
        <v>29</v>
      </c>
      <c r="H144">
        <v>-56.06</v>
      </c>
      <c r="I144" s="36">
        <f>IF(Log_2019[[#This Row],[My Category]]="NONTRACKED",0,Log_2019[[#This Row],[Raw Amount]])</f>
        <v>-56.06</v>
      </c>
      <c r="J144" s="37">
        <f>ABS(Log_2019[[#This Row],[Amount]])</f>
        <v>56.06</v>
      </c>
      <c r="K144" s="38">
        <v>30</v>
      </c>
      <c r="L144" s="38">
        <f ca="1">IF(Log_2019[[#This Row],[Date]]&lt;=TODAY(), MIN(Log_2019[[#This Row],[Split_raw]], TODAY()-Log_2019[[#This Row],[Date]]+1), 0)</f>
        <v>30</v>
      </c>
      <c r="M144" s="34" t="s">
        <v>29</v>
      </c>
      <c r="N144" s="34" t="s">
        <v>160</v>
      </c>
      <c r="O144" s="7">
        <v>0</v>
      </c>
      <c r="P144" s="52">
        <f ca="1">Log_2019[[#This Row],[Amount]]/Log_2019[[#This Row],[Split_raw]]*MAX(0,MIN(_xlfn.DAYS(EDATE(P$1,1),Log_2019[[#This Row],[Date]]),Log_2019[[#This Row],[Split_apply]])) - SUM($O144:O144)</f>
        <v>0</v>
      </c>
      <c r="Q144" s="52">
        <f ca="1">Log_2019[[#This Row],[Amount]]/Log_2019[[#This Row],[Split_raw]]*MAX(0,MIN(_xlfn.DAYS(EDATE(Q$1,1),Log_2019[[#This Row],[Date]]),Log_2019[[#This Row],[Split_apply]])) - SUM($O144:P144)</f>
        <v>0</v>
      </c>
      <c r="R144" s="52">
        <f ca="1">Log_2019[[#This Row],[Amount]]/Log_2019[[#This Row],[Split_raw]]*MAX(0,MIN(_xlfn.DAYS(EDATE(R$1,1),Log_2019[[#This Row],[Date]]),Log_2019[[#This Row],[Split_apply]])) - SUM($O144:Q144)</f>
        <v>0</v>
      </c>
      <c r="S144" s="52">
        <f ca="1">Log_2019[[#This Row],[Amount]]/Log_2019[[#This Row],[Split_raw]]*MAX(0,MIN(_xlfn.DAYS(EDATE(S$1,1),Log_2019[[#This Row],[Date]]),Log_2019[[#This Row],[Split_apply]])) - SUM($O144:R144)</f>
        <v>0</v>
      </c>
      <c r="T144" s="52">
        <f ca="1">Log_2019[[#This Row],[Amount]]/Log_2019[[#This Row],[Split_raw]]*MAX(0,MIN(_xlfn.DAYS(EDATE(T$1,1),Log_2019[[#This Row],[Date]]),Log_2019[[#This Row],[Split_apply]])) - SUM($O144:S144)</f>
        <v>0</v>
      </c>
      <c r="U144" s="52">
        <f ca="1">Log_2019[[#This Row],[Amount]]/Log_2019[[#This Row],[Split_raw]]*MAX(0,MIN(_xlfn.DAYS(EDATE(U$1,1),Log_2019[[#This Row],[Date]]),Log_2019[[#This Row],[Split_apply]])) - SUM($O144:T144)</f>
        <v>0</v>
      </c>
      <c r="V144" s="52">
        <f ca="1">Log_2019[[#This Row],[Amount]]/Log_2019[[#This Row],[Split_raw]]*MAX(0,MIN(_xlfn.DAYS(EDATE(V$1,1),Log_2019[[#This Row],[Date]]),Log_2019[[#This Row],[Split_apply]])) - SUM($O144:U144)</f>
        <v>0</v>
      </c>
      <c r="W144" s="52">
        <f ca="1">Log_2019[[#This Row],[Amount]]/Log_2019[[#This Row],[Split_raw]]*MAX(0,MIN(_xlfn.DAYS(EDATE(W$1,1),Log_2019[[#This Row],[Date]]),Log_2019[[#This Row],[Split_apply]])) - SUM($O144:V144)</f>
        <v>0</v>
      </c>
      <c r="X144" s="52">
        <f ca="1">Log_2019[[#This Row],[Amount]]/Log_2019[[#This Row],[Split_raw]]*MAX(0,MIN(_xlfn.DAYS(EDATE(X$1,1),Log_2019[[#This Row],[Date]]),Log_2019[[#This Row],[Split_apply]])) - SUM($O144:W144)</f>
        <v>0</v>
      </c>
      <c r="Y144" s="52">
        <f ca="1">Log_2019[[#This Row],[Amount]]/Log_2019[[#This Row],[Split_raw]]*MAX(0,MIN(_xlfn.DAYS(EDATE(Y$1,1),Log_2019[[#This Row],[Date]]),Log_2019[[#This Row],[Split_apply]])) - SUM($O144:X144)</f>
        <v>-29.898666666666667</v>
      </c>
      <c r="Z144" s="52">
        <f ca="1">Log_2019[[#This Row],[Amount]]/Log_2019[[#This Row],[Split_raw]]*MAX(0,MIN(_xlfn.DAYS(EDATE(Z$1,1),Log_2019[[#This Row],[Date]]),Log_2019[[#This Row],[Split_apply]])) - SUM($O144:Y144)</f>
        <v>-26.161333333333335</v>
      </c>
      <c r="AA144" s="52">
        <f ca="1">Log_2019[[#This Row],[Amount]]/Log_2019[[#This Row],[Split_raw]]*MAX(0,MIN(_xlfn.DAYS(EDATE(AA$1,1),Log_2019[[#This Row],[Date]]),Log_2019[[#This Row],[Split_apply]])) - SUM($O144:Z144)</f>
        <v>0</v>
      </c>
      <c r="AB144" s="54">
        <f ca="1">Log_2019[[#This Row],[Amount]]-SUM(O144:AA144)</f>
        <v>0</v>
      </c>
      <c r="AC144" s="7">
        <f>MAX(0,Log_2019[[#This Row],[Split_raw]] - (EDATE(AA$1,1)-Log_2019[[#This Row],[Date]]))</f>
        <v>0</v>
      </c>
    </row>
    <row r="145" spans="1:29" x14ac:dyDescent="0.25">
      <c r="A145" s="42"/>
      <c r="B145" s="34" t="s">
        <v>6</v>
      </c>
      <c r="C145" s="34"/>
      <c r="D145" s="35">
        <v>43754</v>
      </c>
      <c r="E145" s="34"/>
      <c r="F145" s="34" t="s">
        <v>673</v>
      </c>
      <c r="G145" s="34" t="s">
        <v>25</v>
      </c>
      <c r="H145">
        <v>-8.09</v>
      </c>
      <c r="I145" s="36">
        <f>IF(Log_2019[[#This Row],[My Category]]="NONTRACKED",0,Log_2019[[#This Row],[Raw Amount]])</f>
        <v>-8.09</v>
      </c>
      <c r="J145" s="37">
        <f>ABS(Log_2019[[#This Row],[Amount]])</f>
        <v>8.09</v>
      </c>
      <c r="K145" s="38">
        <v>1</v>
      </c>
      <c r="L145" s="38">
        <f ca="1">IF(Log_2019[[#This Row],[Date]]&lt;=TODAY(), MIN(Log_2019[[#This Row],[Split_raw]], TODAY()-Log_2019[[#This Row],[Date]]+1), 0)</f>
        <v>1</v>
      </c>
      <c r="M145" s="34" t="s">
        <v>35</v>
      </c>
      <c r="N145" s="34" t="s">
        <v>158</v>
      </c>
      <c r="O145" s="7">
        <v>0</v>
      </c>
      <c r="P145" s="52">
        <f ca="1">Log_2019[[#This Row],[Amount]]/Log_2019[[#This Row],[Split_raw]]*MAX(0,MIN(_xlfn.DAYS(EDATE(P$1,1),Log_2019[[#This Row],[Date]]),Log_2019[[#This Row],[Split_apply]])) - SUM($O145:O145)</f>
        <v>0</v>
      </c>
      <c r="Q145" s="52">
        <f ca="1">Log_2019[[#This Row],[Amount]]/Log_2019[[#This Row],[Split_raw]]*MAX(0,MIN(_xlfn.DAYS(EDATE(Q$1,1),Log_2019[[#This Row],[Date]]),Log_2019[[#This Row],[Split_apply]])) - SUM($O145:P145)</f>
        <v>0</v>
      </c>
      <c r="R145" s="52">
        <f ca="1">Log_2019[[#This Row],[Amount]]/Log_2019[[#This Row],[Split_raw]]*MAX(0,MIN(_xlfn.DAYS(EDATE(R$1,1),Log_2019[[#This Row],[Date]]),Log_2019[[#This Row],[Split_apply]])) - SUM($O145:Q145)</f>
        <v>0</v>
      </c>
      <c r="S145" s="52">
        <f ca="1">Log_2019[[#This Row],[Amount]]/Log_2019[[#This Row],[Split_raw]]*MAX(0,MIN(_xlfn.DAYS(EDATE(S$1,1),Log_2019[[#This Row],[Date]]),Log_2019[[#This Row],[Split_apply]])) - SUM($O145:R145)</f>
        <v>0</v>
      </c>
      <c r="T145" s="52">
        <f ca="1">Log_2019[[#This Row],[Amount]]/Log_2019[[#This Row],[Split_raw]]*MAX(0,MIN(_xlfn.DAYS(EDATE(T$1,1),Log_2019[[#This Row],[Date]]),Log_2019[[#This Row],[Split_apply]])) - SUM($O145:S145)</f>
        <v>0</v>
      </c>
      <c r="U145" s="52">
        <f ca="1">Log_2019[[#This Row],[Amount]]/Log_2019[[#This Row],[Split_raw]]*MAX(0,MIN(_xlfn.DAYS(EDATE(U$1,1),Log_2019[[#This Row],[Date]]),Log_2019[[#This Row],[Split_apply]])) - SUM($O145:T145)</f>
        <v>0</v>
      </c>
      <c r="V145" s="52">
        <f ca="1">Log_2019[[#This Row],[Amount]]/Log_2019[[#This Row],[Split_raw]]*MAX(0,MIN(_xlfn.DAYS(EDATE(V$1,1),Log_2019[[#This Row],[Date]]),Log_2019[[#This Row],[Split_apply]])) - SUM($O145:U145)</f>
        <v>0</v>
      </c>
      <c r="W145" s="52">
        <f ca="1">Log_2019[[#This Row],[Amount]]/Log_2019[[#This Row],[Split_raw]]*MAX(0,MIN(_xlfn.DAYS(EDATE(W$1,1),Log_2019[[#This Row],[Date]]),Log_2019[[#This Row],[Split_apply]])) - SUM($O145:V145)</f>
        <v>0</v>
      </c>
      <c r="X145" s="52">
        <f ca="1">Log_2019[[#This Row],[Amount]]/Log_2019[[#This Row],[Split_raw]]*MAX(0,MIN(_xlfn.DAYS(EDATE(X$1,1),Log_2019[[#This Row],[Date]]),Log_2019[[#This Row],[Split_apply]])) - SUM($O145:W145)</f>
        <v>0</v>
      </c>
      <c r="Y145" s="52">
        <f ca="1">Log_2019[[#This Row],[Amount]]/Log_2019[[#This Row],[Split_raw]]*MAX(0,MIN(_xlfn.DAYS(EDATE(Y$1,1),Log_2019[[#This Row],[Date]]),Log_2019[[#This Row],[Split_apply]])) - SUM($O145:X145)</f>
        <v>-8.09</v>
      </c>
      <c r="Z145" s="52">
        <f ca="1">Log_2019[[#This Row],[Amount]]/Log_2019[[#This Row],[Split_raw]]*MAX(0,MIN(_xlfn.DAYS(EDATE(Z$1,1),Log_2019[[#This Row],[Date]]),Log_2019[[#This Row],[Split_apply]])) - SUM($O145:Y145)</f>
        <v>0</v>
      </c>
      <c r="AA145" s="52">
        <f ca="1">Log_2019[[#This Row],[Amount]]/Log_2019[[#This Row],[Split_raw]]*MAX(0,MIN(_xlfn.DAYS(EDATE(AA$1,1),Log_2019[[#This Row],[Date]]),Log_2019[[#This Row],[Split_apply]])) - SUM($O145:Z145)</f>
        <v>0</v>
      </c>
      <c r="AB145" s="54">
        <f ca="1">Log_2019[[#This Row],[Amount]]-SUM(O145:AA145)</f>
        <v>0</v>
      </c>
      <c r="AC145" s="7">
        <f>MAX(0,Log_2019[[#This Row],[Split_raw]] - (EDATE(AA$1,1)-Log_2019[[#This Row],[Date]]))</f>
        <v>0</v>
      </c>
    </row>
    <row r="146" spans="1:29" x14ac:dyDescent="0.25">
      <c r="A146" s="42"/>
      <c r="B146" s="34" t="s">
        <v>6</v>
      </c>
      <c r="C146" s="34"/>
      <c r="D146" s="35">
        <v>43753</v>
      </c>
      <c r="E146" s="34"/>
      <c r="F146" s="34" t="s">
        <v>242</v>
      </c>
      <c r="G146" s="34" t="s">
        <v>87</v>
      </c>
      <c r="H146">
        <f>--22.22</f>
        <v>22.22</v>
      </c>
      <c r="I146" s="36">
        <f>IF(Log_2019[[#This Row],[My Category]]="NONTRACKED",0,Log_2019[[#This Row],[Raw Amount]])</f>
        <v>22.22</v>
      </c>
      <c r="J146" s="37">
        <f>ABS(Log_2019[[#This Row],[Amount]])</f>
        <v>22.22</v>
      </c>
      <c r="K146" s="38">
        <v>1</v>
      </c>
      <c r="L146" s="38">
        <f ca="1">IF(Log_2019[[#This Row],[Date]]&lt;=TODAY(), MIN(Log_2019[[#This Row],[Split_raw]], TODAY()-Log_2019[[#This Row],[Date]]+1), 0)</f>
        <v>1</v>
      </c>
      <c r="M146" s="34" t="s">
        <v>144</v>
      </c>
      <c r="N146" s="34" t="s">
        <v>160</v>
      </c>
      <c r="O146" s="7">
        <v>0</v>
      </c>
      <c r="P146" s="52">
        <f ca="1">Log_2019[[#This Row],[Amount]]/Log_2019[[#This Row],[Split_raw]]*MAX(0,MIN(_xlfn.DAYS(EDATE(P$1,1),Log_2019[[#This Row],[Date]]),Log_2019[[#This Row],[Split_apply]])) - SUM($O146:O146)</f>
        <v>0</v>
      </c>
      <c r="Q146" s="52">
        <f ca="1">Log_2019[[#This Row],[Amount]]/Log_2019[[#This Row],[Split_raw]]*MAX(0,MIN(_xlfn.DAYS(EDATE(Q$1,1),Log_2019[[#This Row],[Date]]),Log_2019[[#This Row],[Split_apply]])) - SUM($O146:P146)</f>
        <v>0</v>
      </c>
      <c r="R146" s="52">
        <f ca="1">Log_2019[[#This Row],[Amount]]/Log_2019[[#This Row],[Split_raw]]*MAX(0,MIN(_xlfn.DAYS(EDATE(R$1,1),Log_2019[[#This Row],[Date]]),Log_2019[[#This Row],[Split_apply]])) - SUM($O146:Q146)</f>
        <v>0</v>
      </c>
      <c r="S146" s="52">
        <f ca="1">Log_2019[[#This Row],[Amount]]/Log_2019[[#This Row],[Split_raw]]*MAX(0,MIN(_xlfn.DAYS(EDATE(S$1,1),Log_2019[[#This Row],[Date]]),Log_2019[[#This Row],[Split_apply]])) - SUM($O146:R146)</f>
        <v>0</v>
      </c>
      <c r="T146" s="52">
        <f ca="1">Log_2019[[#This Row],[Amount]]/Log_2019[[#This Row],[Split_raw]]*MAX(0,MIN(_xlfn.DAYS(EDATE(T$1,1),Log_2019[[#This Row],[Date]]),Log_2019[[#This Row],[Split_apply]])) - SUM($O146:S146)</f>
        <v>0</v>
      </c>
      <c r="U146" s="52">
        <f ca="1">Log_2019[[#This Row],[Amount]]/Log_2019[[#This Row],[Split_raw]]*MAX(0,MIN(_xlfn.DAYS(EDATE(U$1,1),Log_2019[[#This Row],[Date]]),Log_2019[[#This Row],[Split_apply]])) - SUM($O146:T146)</f>
        <v>0</v>
      </c>
      <c r="V146" s="52">
        <f ca="1">Log_2019[[#This Row],[Amount]]/Log_2019[[#This Row],[Split_raw]]*MAX(0,MIN(_xlfn.DAYS(EDATE(V$1,1),Log_2019[[#This Row],[Date]]),Log_2019[[#This Row],[Split_apply]])) - SUM($O146:U146)</f>
        <v>0</v>
      </c>
      <c r="W146" s="52">
        <f ca="1">Log_2019[[#This Row],[Amount]]/Log_2019[[#This Row],[Split_raw]]*MAX(0,MIN(_xlfn.DAYS(EDATE(W$1,1),Log_2019[[#This Row],[Date]]),Log_2019[[#This Row],[Split_apply]])) - SUM($O146:V146)</f>
        <v>0</v>
      </c>
      <c r="X146" s="52">
        <f ca="1">Log_2019[[#This Row],[Amount]]/Log_2019[[#This Row],[Split_raw]]*MAX(0,MIN(_xlfn.DAYS(EDATE(X$1,1),Log_2019[[#This Row],[Date]]),Log_2019[[#This Row],[Split_apply]])) - SUM($O146:W146)</f>
        <v>0</v>
      </c>
      <c r="Y146" s="52">
        <f ca="1">Log_2019[[#This Row],[Amount]]/Log_2019[[#This Row],[Split_raw]]*MAX(0,MIN(_xlfn.DAYS(EDATE(Y$1,1),Log_2019[[#This Row],[Date]]),Log_2019[[#This Row],[Split_apply]])) - SUM($O146:X146)</f>
        <v>22.22</v>
      </c>
      <c r="Z146" s="52">
        <f ca="1">Log_2019[[#This Row],[Amount]]/Log_2019[[#This Row],[Split_raw]]*MAX(0,MIN(_xlfn.DAYS(EDATE(Z$1,1),Log_2019[[#This Row],[Date]]),Log_2019[[#This Row],[Split_apply]])) - SUM($O146:Y146)</f>
        <v>0</v>
      </c>
      <c r="AA146" s="52">
        <f ca="1">Log_2019[[#This Row],[Amount]]/Log_2019[[#This Row],[Split_raw]]*MAX(0,MIN(_xlfn.DAYS(EDATE(AA$1,1),Log_2019[[#This Row],[Date]]),Log_2019[[#This Row],[Split_apply]])) - SUM($O146:Z146)</f>
        <v>0</v>
      </c>
      <c r="AB146" s="54">
        <f ca="1">Log_2019[[#This Row],[Amount]]-SUM(O146:AA146)</f>
        <v>0</v>
      </c>
      <c r="AC146" s="7">
        <f>MAX(0,Log_2019[[#This Row],[Split_raw]] - (EDATE(AA$1,1)-Log_2019[[#This Row],[Date]]))</f>
        <v>0</v>
      </c>
    </row>
    <row r="147" spans="1:29" x14ac:dyDescent="0.25">
      <c r="A147" s="42"/>
      <c r="B147" s="34" t="s">
        <v>6</v>
      </c>
      <c r="C147" s="34"/>
      <c r="D147" s="35">
        <v>43753</v>
      </c>
      <c r="E147" s="34"/>
      <c r="F147" s="34" t="s">
        <v>255</v>
      </c>
      <c r="G147" s="34" t="s">
        <v>10</v>
      </c>
      <c r="H147">
        <v>-9.57</v>
      </c>
      <c r="I147" s="36">
        <f>IF(Log_2019[[#This Row],[My Category]]="NONTRACKED",0,Log_2019[[#This Row],[Raw Amount]])</f>
        <v>-9.57</v>
      </c>
      <c r="J147" s="37">
        <f>ABS(Log_2019[[#This Row],[Amount]])</f>
        <v>9.57</v>
      </c>
      <c r="K147" s="38">
        <v>1</v>
      </c>
      <c r="L147" s="38">
        <f ca="1">IF(Log_2019[[#This Row],[Date]]&lt;=TODAY(), MIN(Log_2019[[#This Row],[Split_raw]], TODAY()-Log_2019[[#This Row],[Date]]+1), 0)</f>
        <v>1</v>
      </c>
      <c r="M147" s="34" t="s">
        <v>35</v>
      </c>
      <c r="N147" s="34" t="s">
        <v>158</v>
      </c>
      <c r="O147" s="7">
        <v>0</v>
      </c>
      <c r="P147" s="52">
        <f ca="1">Log_2019[[#This Row],[Amount]]/Log_2019[[#This Row],[Split_raw]]*MAX(0,MIN(_xlfn.DAYS(EDATE(P$1,1),Log_2019[[#This Row],[Date]]),Log_2019[[#This Row],[Split_apply]])) - SUM($O147:O147)</f>
        <v>0</v>
      </c>
      <c r="Q147" s="52">
        <f ca="1">Log_2019[[#This Row],[Amount]]/Log_2019[[#This Row],[Split_raw]]*MAX(0,MIN(_xlfn.DAYS(EDATE(Q$1,1),Log_2019[[#This Row],[Date]]),Log_2019[[#This Row],[Split_apply]])) - SUM($O147:P147)</f>
        <v>0</v>
      </c>
      <c r="R147" s="52">
        <f ca="1">Log_2019[[#This Row],[Amount]]/Log_2019[[#This Row],[Split_raw]]*MAX(0,MIN(_xlfn.DAYS(EDATE(R$1,1),Log_2019[[#This Row],[Date]]),Log_2019[[#This Row],[Split_apply]])) - SUM($O147:Q147)</f>
        <v>0</v>
      </c>
      <c r="S147" s="52">
        <f ca="1">Log_2019[[#This Row],[Amount]]/Log_2019[[#This Row],[Split_raw]]*MAX(0,MIN(_xlfn.DAYS(EDATE(S$1,1),Log_2019[[#This Row],[Date]]),Log_2019[[#This Row],[Split_apply]])) - SUM($O147:R147)</f>
        <v>0</v>
      </c>
      <c r="T147" s="52">
        <f ca="1">Log_2019[[#This Row],[Amount]]/Log_2019[[#This Row],[Split_raw]]*MAX(0,MIN(_xlfn.DAYS(EDATE(T$1,1),Log_2019[[#This Row],[Date]]),Log_2019[[#This Row],[Split_apply]])) - SUM($O147:S147)</f>
        <v>0</v>
      </c>
      <c r="U147" s="52">
        <f ca="1">Log_2019[[#This Row],[Amount]]/Log_2019[[#This Row],[Split_raw]]*MAX(0,MIN(_xlfn.DAYS(EDATE(U$1,1),Log_2019[[#This Row],[Date]]),Log_2019[[#This Row],[Split_apply]])) - SUM($O147:T147)</f>
        <v>0</v>
      </c>
      <c r="V147" s="52">
        <f ca="1">Log_2019[[#This Row],[Amount]]/Log_2019[[#This Row],[Split_raw]]*MAX(0,MIN(_xlfn.DAYS(EDATE(V$1,1),Log_2019[[#This Row],[Date]]),Log_2019[[#This Row],[Split_apply]])) - SUM($O147:U147)</f>
        <v>0</v>
      </c>
      <c r="W147" s="52">
        <f ca="1">Log_2019[[#This Row],[Amount]]/Log_2019[[#This Row],[Split_raw]]*MAX(0,MIN(_xlfn.DAYS(EDATE(W$1,1),Log_2019[[#This Row],[Date]]),Log_2019[[#This Row],[Split_apply]])) - SUM($O147:V147)</f>
        <v>0</v>
      </c>
      <c r="X147" s="52">
        <f ca="1">Log_2019[[#This Row],[Amount]]/Log_2019[[#This Row],[Split_raw]]*MAX(0,MIN(_xlfn.DAYS(EDATE(X$1,1),Log_2019[[#This Row],[Date]]),Log_2019[[#This Row],[Split_apply]])) - SUM($O147:W147)</f>
        <v>0</v>
      </c>
      <c r="Y147" s="52">
        <f ca="1">Log_2019[[#This Row],[Amount]]/Log_2019[[#This Row],[Split_raw]]*MAX(0,MIN(_xlfn.DAYS(EDATE(Y$1,1),Log_2019[[#This Row],[Date]]),Log_2019[[#This Row],[Split_apply]])) - SUM($O147:X147)</f>
        <v>-9.57</v>
      </c>
      <c r="Z147" s="52">
        <f ca="1">Log_2019[[#This Row],[Amount]]/Log_2019[[#This Row],[Split_raw]]*MAX(0,MIN(_xlfn.DAYS(EDATE(Z$1,1),Log_2019[[#This Row],[Date]]),Log_2019[[#This Row],[Split_apply]])) - SUM($O147:Y147)</f>
        <v>0</v>
      </c>
      <c r="AA147" s="52">
        <f ca="1">Log_2019[[#This Row],[Amount]]/Log_2019[[#This Row],[Split_raw]]*MAX(0,MIN(_xlfn.DAYS(EDATE(AA$1,1),Log_2019[[#This Row],[Date]]),Log_2019[[#This Row],[Split_apply]])) - SUM($O147:Z147)</f>
        <v>0</v>
      </c>
      <c r="AB147" s="54">
        <f ca="1">Log_2019[[#This Row],[Amount]]-SUM(O147:AA147)</f>
        <v>0</v>
      </c>
      <c r="AC147" s="7">
        <f>MAX(0,Log_2019[[#This Row],[Split_raw]] - (EDATE(AA$1,1)-Log_2019[[#This Row],[Date]]))</f>
        <v>0</v>
      </c>
    </row>
    <row r="148" spans="1:29" x14ac:dyDescent="0.25">
      <c r="A148" s="42"/>
      <c r="B148" s="34" t="s">
        <v>6</v>
      </c>
      <c r="C148" s="34"/>
      <c r="D148" s="35">
        <v>43752</v>
      </c>
      <c r="E148" s="34" t="s">
        <v>790</v>
      </c>
      <c r="F148" s="34" t="s">
        <v>382</v>
      </c>
      <c r="G148" s="34" t="s">
        <v>214</v>
      </c>
      <c r="H148">
        <v>-28.55</v>
      </c>
      <c r="I148" s="36">
        <f>IF(Log_2019[[#This Row],[My Category]]="NONTRACKED",0,Log_2019[[#This Row],[Raw Amount]])</f>
        <v>0</v>
      </c>
      <c r="J148" s="37">
        <f>ABS(Log_2019[[#This Row],[Amount]])</f>
        <v>0</v>
      </c>
      <c r="K148" s="38">
        <v>1</v>
      </c>
      <c r="L148" s="38">
        <f ca="1">IF(Log_2019[[#This Row],[Date]]&lt;=TODAY(), MIN(Log_2019[[#This Row],[Split_raw]], TODAY()-Log_2019[[#This Row],[Date]]+1), 0)</f>
        <v>1</v>
      </c>
      <c r="M148" s="34" t="s">
        <v>755</v>
      </c>
      <c r="N148" s="34" t="s">
        <v>158</v>
      </c>
      <c r="O148" s="7">
        <v>0</v>
      </c>
      <c r="P148" s="52">
        <f ca="1">Log_2019[[#This Row],[Amount]]/Log_2019[[#This Row],[Split_raw]]*MAX(0,MIN(_xlfn.DAYS(EDATE(P$1,1),Log_2019[[#This Row],[Date]]),Log_2019[[#This Row],[Split_apply]])) - SUM($O148:O148)</f>
        <v>0</v>
      </c>
      <c r="Q148" s="52">
        <f ca="1">Log_2019[[#This Row],[Amount]]/Log_2019[[#This Row],[Split_raw]]*MAX(0,MIN(_xlfn.DAYS(EDATE(Q$1,1),Log_2019[[#This Row],[Date]]),Log_2019[[#This Row],[Split_apply]])) - SUM($O148:P148)</f>
        <v>0</v>
      </c>
      <c r="R148" s="52">
        <f ca="1">Log_2019[[#This Row],[Amount]]/Log_2019[[#This Row],[Split_raw]]*MAX(0,MIN(_xlfn.DAYS(EDATE(R$1,1),Log_2019[[#This Row],[Date]]),Log_2019[[#This Row],[Split_apply]])) - SUM($O148:Q148)</f>
        <v>0</v>
      </c>
      <c r="S148" s="52">
        <f ca="1">Log_2019[[#This Row],[Amount]]/Log_2019[[#This Row],[Split_raw]]*MAX(0,MIN(_xlfn.DAYS(EDATE(S$1,1),Log_2019[[#This Row],[Date]]),Log_2019[[#This Row],[Split_apply]])) - SUM($O148:R148)</f>
        <v>0</v>
      </c>
      <c r="T148" s="52">
        <f ca="1">Log_2019[[#This Row],[Amount]]/Log_2019[[#This Row],[Split_raw]]*MAX(0,MIN(_xlfn.DAYS(EDATE(T$1,1),Log_2019[[#This Row],[Date]]),Log_2019[[#This Row],[Split_apply]])) - SUM($O148:S148)</f>
        <v>0</v>
      </c>
      <c r="U148" s="52">
        <f ca="1">Log_2019[[#This Row],[Amount]]/Log_2019[[#This Row],[Split_raw]]*MAX(0,MIN(_xlfn.DAYS(EDATE(U$1,1),Log_2019[[#This Row],[Date]]),Log_2019[[#This Row],[Split_apply]])) - SUM($O148:T148)</f>
        <v>0</v>
      </c>
      <c r="V148" s="52">
        <f ca="1">Log_2019[[#This Row],[Amount]]/Log_2019[[#This Row],[Split_raw]]*MAX(0,MIN(_xlfn.DAYS(EDATE(V$1,1),Log_2019[[#This Row],[Date]]),Log_2019[[#This Row],[Split_apply]])) - SUM($O148:U148)</f>
        <v>0</v>
      </c>
      <c r="W148" s="52">
        <f ca="1">Log_2019[[#This Row],[Amount]]/Log_2019[[#This Row],[Split_raw]]*MAX(0,MIN(_xlfn.DAYS(EDATE(W$1,1),Log_2019[[#This Row],[Date]]),Log_2019[[#This Row],[Split_apply]])) - SUM($O148:V148)</f>
        <v>0</v>
      </c>
      <c r="X148" s="52">
        <f ca="1">Log_2019[[#This Row],[Amount]]/Log_2019[[#This Row],[Split_raw]]*MAX(0,MIN(_xlfn.DAYS(EDATE(X$1,1),Log_2019[[#This Row],[Date]]),Log_2019[[#This Row],[Split_apply]])) - SUM($O148:W148)</f>
        <v>0</v>
      </c>
      <c r="Y148" s="52">
        <f ca="1">Log_2019[[#This Row],[Amount]]/Log_2019[[#This Row],[Split_raw]]*MAX(0,MIN(_xlfn.DAYS(EDATE(Y$1,1),Log_2019[[#This Row],[Date]]),Log_2019[[#This Row],[Split_apply]])) - SUM($O148:X148)</f>
        <v>0</v>
      </c>
      <c r="Z148" s="52">
        <f ca="1">Log_2019[[#This Row],[Amount]]/Log_2019[[#This Row],[Split_raw]]*MAX(0,MIN(_xlfn.DAYS(EDATE(Z$1,1),Log_2019[[#This Row],[Date]]),Log_2019[[#This Row],[Split_apply]])) - SUM($O148:Y148)</f>
        <v>0</v>
      </c>
      <c r="AA148" s="52">
        <f ca="1">Log_2019[[#This Row],[Amount]]/Log_2019[[#This Row],[Split_raw]]*MAX(0,MIN(_xlfn.DAYS(EDATE(AA$1,1),Log_2019[[#This Row],[Date]]),Log_2019[[#This Row],[Split_apply]])) - SUM($O148:Z148)</f>
        <v>0</v>
      </c>
      <c r="AB148" s="54">
        <f ca="1">Log_2019[[#This Row],[Amount]]-SUM(O148:AA148)</f>
        <v>0</v>
      </c>
      <c r="AC148" s="7">
        <f>MAX(0,Log_2019[[#This Row],[Split_raw]] - (EDATE(AA$1,1)-Log_2019[[#This Row],[Date]]))</f>
        <v>0</v>
      </c>
    </row>
    <row r="149" spans="1:29" x14ac:dyDescent="0.25">
      <c r="A149" s="42"/>
      <c r="B149" s="34" t="s">
        <v>6</v>
      </c>
      <c r="C149" s="34"/>
      <c r="D149" s="35">
        <v>43752</v>
      </c>
      <c r="E149" s="34"/>
      <c r="F149" s="34" t="s">
        <v>270</v>
      </c>
      <c r="G149" s="34" t="s">
        <v>25</v>
      </c>
      <c r="H149">
        <v>-9.67</v>
      </c>
      <c r="I149" s="36">
        <f>IF(Log_2019[[#This Row],[My Category]]="NONTRACKED",0,Log_2019[[#This Row],[Raw Amount]])</f>
        <v>-9.67</v>
      </c>
      <c r="J149" s="37">
        <f>ABS(Log_2019[[#This Row],[Amount]])</f>
        <v>9.67</v>
      </c>
      <c r="K149" s="38">
        <v>1</v>
      </c>
      <c r="L149" s="38">
        <f ca="1">IF(Log_2019[[#This Row],[Date]]&lt;=TODAY(), MIN(Log_2019[[#This Row],[Split_raw]], TODAY()-Log_2019[[#This Row],[Date]]+1), 0)</f>
        <v>1</v>
      </c>
      <c r="M149" s="34" t="s">
        <v>35</v>
      </c>
      <c r="N149" s="34" t="s">
        <v>158</v>
      </c>
      <c r="O149" s="7">
        <v>0</v>
      </c>
      <c r="P149" s="52">
        <f ca="1">Log_2019[[#This Row],[Amount]]/Log_2019[[#This Row],[Split_raw]]*MAX(0,MIN(_xlfn.DAYS(EDATE(P$1,1),Log_2019[[#This Row],[Date]]),Log_2019[[#This Row],[Split_apply]])) - SUM($O149:O149)</f>
        <v>0</v>
      </c>
      <c r="Q149" s="52">
        <f ca="1">Log_2019[[#This Row],[Amount]]/Log_2019[[#This Row],[Split_raw]]*MAX(0,MIN(_xlfn.DAYS(EDATE(Q$1,1),Log_2019[[#This Row],[Date]]),Log_2019[[#This Row],[Split_apply]])) - SUM($O149:P149)</f>
        <v>0</v>
      </c>
      <c r="R149" s="52">
        <f ca="1">Log_2019[[#This Row],[Amount]]/Log_2019[[#This Row],[Split_raw]]*MAX(0,MIN(_xlfn.DAYS(EDATE(R$1,1),Log_2019[[#This Row],[Date]]),Log_2019[[#This Row],[Split_apply]])) - SUM($O149:Q149)</f>
        <v>0</v>
      </c>
      <c r="S149" s="52">
        <f ca="1">Log_2019[[#This Row],[Amount]]/Log_2019[[#This Row],[Split_raw]]*MAX(0,MIN(_xlfn.DAYS(EDATE(S$1,1),Log_2019[[#This Row],[Date]]),Log_2019[[#This Row],[Split_apply]])) - SUM($O149:R149)</f>
        <v>0</v>
      </c>
      <c r="T149" s="52">
        <f ca="1">Log_2019[[#This Row],[Amount]]/Log_2019[[#This Row],[Split_raw]]*MAX(0,MIN(_xlfn.DAYS(EDATE(T$1,1),Log_2019[[#This Row],[Date]]),Log_2019[[#This Row],[Split_apply]])) - SUM($O149:S149)</f>
        <v>0</v>
      </c>
      <c r="U149" s="52">
        <f ca="1">Log_2019[[#This Row],[Amount]]/Log_2019[[#This Row],[Split_raw]]*MAX(0,MIN(_xlfn.DAYS(EDATE(U$1,1),Log_2019[[#This Row],[Date]]),Log_2019[[#This Row],[Split_apply]])) - SUM($O149:T149)</f>
        <v>0</v>
      </c>
      <c r="V149" s="52">
        <f ca="1">Log_2019[[#This Row],[Amount]]/Log_2019[[#This Row],[Split_raw]]*MAX(0,MIN(_xlfn.DAYS(EDATE(V$1,1),Log_2019[[#This Row],[Date]]),Log_2019[[#This Row],[Split_apply]])) - SUM($O149:U149)</f>
        <v>0</v>
      </c>
      <c r="W149" s="52">
        <f ca="1">Log_2019[[#This Row],[Amount]]/Log_2019[[#This Row],[Split_raw]]*MAX(0,MIN(_xlfn.DAYS(EDATE(W$1,1),Log_2019[[#This Row],[Date]]),Log_2019[[#This Row],[Split_apply]])) - SUM($O149:V149)</f>
        <v>0</v>
      </c>
      <c r="X149" s="52">
        <f ca="1">Log_2019[[#This Row],[Amount]]/Log_2019[[#This Row],[Split_raw]]*MAX(0,MIN(_xlfn.DAYS(EDATE(X$1,1),Log_2019[[#This Row],[Date]]),Log_2019[[#This Row],[Split_apply]])) - SUM($O149:W149)</f>
        <v>0</v>
      </c>
      <c r="Y149" s="52">
        <f ca="1">Log_2019[[#This Row],[Amount]]/Log_2019[[#This Row],[Split_raw]]*MAX(0,MIN(_xlfn.DAYS(EDATE(Y$1,1),Log_2019[[#This Row],[Date]]),Log_2019[[#This Row],[Split_apply]])) - SUM($O149:X149)</f>
        <v>-9.67</v>
      </c>
      <c r="Z149" s="52">
        <f ca="1">Log_2019[[#This Row],[Amount]]/Log_2019[[#This Row],[Split_raw]]*MAX(0,MIN(_xlfn.DAYS(EDATE(Z$1,1),Log_2019[[#This Row],[Date]]),Log_2019[[#This Row],[Split_apply]])) - SUM($O149:Y149)</f>
        <v>0</v>
      </c>
      <c r="AA149" s="52">
        <f ca="1">Log_2019[[#This Row],[Amount]]/Log_2019[[#This Row],[Split_raw]]*MAX(0,MIN(_xlfn.DAYS(EDATE(AA$1,1),Log_2019[[#This Row],[Date]]),Log_2019[[#This Row],[Split_apply]])) - SUM($O149:Z149)</f>
        <v>0</v>
      </c>
      <c r="AB149" s="54">
        <f ca="1">Log_2019[[#This Row],[Amount]]-SUM(O149:AA149)</f>
        <v>0</v>
      </c>
      <c r="AC149" s="7">
        <f>MAX(0,Log_2019[[#This Row],[Split_raw]] - (EDATE(AA$1,1)-Log_2019[[#This Row],[Date]]))</f>
        <v>0</v>
      </c>
    </row>
    <row r="150" spans="1:29" x14ac:dyDescent="0.25">
      <c r="A150" s="42"/>
      <c r="B150" s="34" t="s">
        <v>6</v>
      </c>
      <c r="C150" s="34"/>
      <c r="D150" s="35">
        <v>43750</v>
      </c>
      <c r="E150" s="34"/>
      <c r="F150" s="34" t="s">
        <v>328</v>
      </c>
      <c r="G150" s="34" t="s">
        <v>25</v>
      </c>
      <c r="H150">
        <v>-11.59</v>
      </c>
      <c r="I150" s="36">
        <f>IF(Log_2019[[#This Row],[My Category]]="NONTRACKED",0,Log_2019[[#This Row],[Raw Amount]])</f>
        <v>-11.59</v>
      </c>
      <c r="J150" s="37">
        <f>ABS(Log_2019[[#This Row],[Amount]])</f>
        <v>11.59</v>
      </c>
      <c r="K150" s="38">
        <v>1</v>
      </c>
      <c r="L150" s="38">
        <f ca="1">IF(Log_2019[[#This Row],[Date]]&lt;=TODAY(), MIN(Log_2019[[#This Row],[Split_raw]], TODAY()-Log_2019[[#This Row],[Date]]+1), 0)</f>
        <v>1</v>
      </c>
      <c r="M150" s="34" t="s">
        <v>35</v>
      </c>
      <c r="N150" s="34" t="s">
        <v>158</v>
      </c>
      <c r="O150" s="7">
        <v>0</v>
      </c>
      <c r="P150" s="52">
        <f ca="1">Log_2019[[#This Row],[Amount]]/Log_2019[[#This Row],[Split_raw]]*MAX(0,MIN(_xlfn.DAYS(EDATE(P$1,1),Log_2019[[#This Row],[Date]]),Log_2019[[#This Row],[Split_apply]])) - SUM($O150:O150)</f>
        <v>0</v>
      </c>
      <c r="Q150" s="52">
        <f ca="1">Log_2019[[#This Row],[Amount]]/Log_2019[[#This Row],[Split_raw]]*MAX(0,MIN(_xlfn.DAYS(EDATE(Q$1,1),Log_2019[[#This Row],[Date]]),Log_2019[[#This Row],[Split_apply]])) - SUM($O150:P150)</f>
        <v>0</v>
      </c>
      <c r="R150" s="52">
        <f ca="1">Log_2019[[#This Row],[Amount]]/Log_2019[[#This Row],[Split_raw]]*MAX(0,MIN(_xlfn.DAYS(EDATE(R$1,1),Log_2019[[#This Row],[Date]]),Log_2019[[#This Row],[Split_apply]])) - SUM($O150:Q150)</f>
        <v>0</v>
      </c>
      <c r="S150" s="52">
        <f ca="1">Log_2019[[#This Row],[Amount]]/Log_2019[[#This Row],[Split_raw]]*MAX(0,MIN(_xlfn.DAYS(EDATE(S$1,1),Log_2019[[#This Row],[Date]]),Log_2019[[#This Row],[Split_apply]])) - SUM($O150:R150)</f>
        <v>0</v>
      </c>
      <c r="T150" s="52">
        <f ca="1">Log_2019[[#This Row],[Amount]]/Log_2019[[#This Row],[Split_raw]]*MAX(0,MIN(_xlfn.DAYS(EDATE(T$1,1),Log_2019[[#This Row],[Date]]),Log_2019[[#This Row],[Split_apply]])) - SUM($O150:S150)</f>
        <v>0</v>
      </c>
      <c r="U150" s="52">
        <f ca="1">Log_2019[[#This Row],[Amount]]/Log_2019[[#This Row],[Split_raw]]*MAX(0,MIN(_xlfn.DAYS(EDATE(U$1,1),Log_2019[[#This Row],[Date]]),Log_2019[[#This Row],[Split_apply]])) - SUM($O150:T150)</f>
        <v>0</v>
      </c>
      <c r="V150" s="52">
        <f ca="1">Log_2019[[#This Row],[Amount]]/Log_2019[[#This Row],[Split_raw]]*MAX(0,MIN(_xlfn.DAYS(EDATE(V$1,1),Log_2019[[#This Row],[Date]]),Log_2019[[#This Row],[Split_apply]])) - SUM($O150:U150)</f>
        <v>0</v>
      </c>
      <c r="W150" s="52">
        <f ca="1">Log_2019[[#This Row],[Amount]]/Log_2019[[#This Row],[Split_raw]]*MAX(0,MIN(_xlfn.DAYS(EDATE(W$1,1),Log_2019[[#This Row],[Date]]),Log_2019[[#This Row],[Split_apply]])) - SUM($O150:V150)</f>
        <v>0</v>
      </c>
      <c r="X150" s="52">
        <f ca="1">Log_2019[[#This Row],[Amount]]/Log_2019[[#This Row],[Split_raw]]*MAX(0,MIN(_xlfn.DAYS(EDATE(X$1,1),Log_2019[[#This Row],[Date]]),Log_2019[[#This Row],[Split_apply]])) - SUM($O150:W150)</f>
        <v>0</v>
      </c>
      <c r="Y150" s="52">
        <f ca="1">Log_2019[[#This Row],[Amount]]/Log_2019[[#This Row],[Split_raw]]*MAX(0,MIN(_xlfn.DAYS(EDATE(Y$1,1),Log_2019[[#This Row],[Date]]),Log_2019[[#This Row],[Split_apply]])) - SUM($O150:X150)</f>
        <v>-11.59</v>
      </c>
      <c r="Z150" s="52">
        <f ca="1">Log_2019[[#This Row],[Amount]]/Log_2019[[#This Row],[Split_raw]]*MAX(0,MIN(_xlfn.DAYS(EDATE(Z$1,1),Log_2019[[#This Row],[Date]]),Log_2019[[#This Row],[Split_apply]])) - SUM($O150:Y150)</f>
        <v>0</v>
      </c>
      <c r="AA150" s="52">
        <f ca="1">Log_2019[[#This Row],[Amount]]/Log_2019[[#This Row],[Split_raw]]*MAX(0,MIN(_xlfn.DAYS(EDATE(AA$1,1),Log_2019[[#This Row],[Date]]),Log_2019[[#This Row],[Split_apply]])) - SUM($O150:Z150)</f>
        <v>0</v>
      </c>
      <c r="AB150" s="54">
        <f ca="1">Log_2019[[#This Row],[Amount]]-SUM(O150:AA150)</f>
        <v>0</v>
      </c>
      <c r="AC150" s="7">
        <f>MAX(0,Log_2019[[#This Row],[Split_raw]] - (EDATE(AA$1,1)-Log_2019[[#This Row],[Date]]))</f>
        <v>0</v>
      </c>
    </row>
    <row r="151" spans="1:29" x14ac:dyDescent="0.25">
      <c r="A151" s="42"/>
      <c r="B151" s="34" t="s">
        <v>6</v>
      </c>
      <c r="C151" s="34"/>
      <c r="D151" s="35">
        <v>43749</v>
      </c>
      <c r="E151" s="34"/>
      <c r="F151" s="34" t="s">
        <v>83</v>
      </c>
      <c r="G151" s="34" t="s">
        <v>15</v>
      </c>
      <c r="H151">
        <v>-219.51</v>
      </c>
      <c r="I151" s="36">
        <f>IF(Log_2019[[#This Row],[My Category]]="NONTRACKED",0,Log_2019[[#This Row],[Raw Amount]])</f>
        <v>-219.51</v>
      </c>
      <c r="J151" s="37">
        <f>ABS(Log_2019[[#This Row],[Amount]])</f>
        <v>219.51</v>
      </c>
      <c r="K151" s="38">
        <v>30</v>
      </c>
      <c r="L151" s="38">
        <f ca="1">IF(Log_2019[[#This Row],[Date]]&lt;=TODAY(), MIN(Log_2019[[#This Row],[Split_raw]], TODAY()-Log_2019[[#This Row],[Date]]+1), 0)</f>
        <v>30</v>
      </c>
      <c r="M151" s="34" t="s">
        <v>241</v>
      </c>
      <c r="N151" s="34" t="s">
        <v>160</v>
      </c>
      <c r="O151" s="7">
        <v>0</v>
      </c>
      <c r="P151" s="52">
        <f ca="1">Log_2019[[#This Row],[Amount]]/Log_2019[[#This Row],[Split_raw]]*MAX(0,MIN(_xlfn.DAYS(EDATE(P$1,1),Log_2019[[#This Row],[Date]]),Log_2019[[#This Row],[Split_apply]])) - SUM($O151:O151)</f>
        <v>0</v>
      </c>
      <c r="Q151" s="52">
        <f ca="1">Log_2019[[#This Row],[Amount]]/Log_2019[[#This Row],[Split_raw]]*MAX(0,MIN(_xlfn.DAYS(EDATE(Q$1,1),Log_2019[[#This Row],[Date]]),Log_2019[[#This Row],[Split_apply]])) - SUM($O151:P151)</f>
        <v>0</v>
      </c>
      <c r="R151" s="52">
        <f ca="1">Log_2019[[#This Row],[Amount]]/Log_2019[[#This Row],[Split_raw]]*MAX(0,MIN(_xlfn.DAYS(EDATE(R$1,1),Log_2019[[#This Row],[Date]]),Log_2019[[#This Row],[Split_apply]])) - SUM($O151:Q151)</f>
        <v>0</v>
      </c>
      <c r="S151" s="52">
        <f ca="1">Log_2019[[#This Row],[Amount]]/Log_2019[[#This Row],[Split_raw]]*MAX(0,MIN(_xlfn.DAYS(EDATE(S$1,1),Log_2019[[#This Row],[Date]]),Log_2019[[#This Row],[Split_apply]])) - SUM($O151:R151)</f>
        <v>0</v>
      </c>
      <c r="T151" s="52">
        <f ca="1">Log_2019[[#This Row],[Amount]]/Log_2019[[#This Row],[Split_raw]]*MAX(0,MIN(_xlfn.DAYS(EDATE(T$1,1),Log_2019[[#This Row],[Date]]),Log_2019[[#This Row],[Split_apply]])) - SUM($O151:S151)</f>
        <v>0</v>
      </c>
      <c r="U151" s="52">
        <f ca="1">Log_2019[[#This Row],[Amount]]/Log_2019[[#This Row],[Split_raw]]*MAX(0,MIN(_xlfn.DAYS(EDATE(U$1,1),Log_2019[[#This Row],[Date]]),Log_2019[[#This Row],[Split_apply]])) - SUM($O151:T151)</f>
        <v>0</v>
      </c>
      <c r="V151" s="52">
        <f ca="1">Log_2019[[#This Row],[Amount]]/Log_2019[[#This Row],[Split_raw]]*MAX(0,MIN(_xlfn.DAYS(EDATE(V$1,1),Log_2019[[#This Row],[Date]]),Log_2019[[#This Row],[Split_apply]])) - SUM($O151:U151)</f>
        <v>0</v>
      </c>
      <c r="W151" s="52">
        <f ca="1">Log_2019[[#This Row],[Amount]]/Log_2019[[#This Row],[Split_raw]]*MAX(0,MIN(_xlfn.DAYS(EDATE(W$1,1),Log_2019[[#This Row],[Date]]),Log_2019[[#This Row],[Split_apply]])) - SUM($O151:V151)</f>
        <v>0</v>
      </c>
      <c r="X151" s="52">
        <f ca="1">Log_2019[[#This Row],[Amount]]/Log_2019[[#This Row],[Split_raw]]*MAX(0,MIN(_xlfn.DAYS(EDATE(X$1,1),Log_2019[[#This Row],[Date]]),Log_2019[[#This Row],[Split_apply]])) - SUM($O151:W151)</f>
        <v>0</v>
      </c>
      <c r="Y151" s="52">
        <f ca="1">Log_2019[[#This Row],[Amount]]/Log_2019[[#This Row],[Split_raw]]*MAX(0,MIN(_xlfn.DAYS(EDATE(Y$1,1),Log_2019[[#This Row],[Date]]),Log_2019[[#This Row],[Split_apply]])) - SUM($O151:X151)</f>
        <v>-153.65699999999998</v>
      </c>
      <c r="Z151" s="52">
        <f ca="1">Log_2019[[#This Row],[Amount]]/Log_2019[[#This Row],[Split_raw]]*MAX(0,MIN(_xlfn.DAYS(EDATE(Z$1,1),Log_2019[[#This Row],[Date]]),Log_2019[[#This Row],[Split_apply]])) - SUM($O151:Y151)</f>
        <v>-65.853000000000009</v>
      </c>
      <c r="AA151" s="52">
        <f ca="1">Log_2019[[#This Row],[Amount]]/Log_2019[[#This Row],[Split_raw]]*MAX(0,MIN(_xlfn.DAYS(EDATE(AA$1,1),Log_2019[[#This Row],[Date]]),Log_2019[[#This Row],[Split_apply]])) - SUM($O151:Z151)</f>
        <v>0</v>
      </c>
      <c r="AB151" s="54">
        <f ca="1">Log_2019[[#This Row],[Amount]]-SUM(O151:AA151)</f>
        <v>0</v>
      </c>
      <c r="AC151" s="7">
        <f>MAX(0,Log_2019[[#This Row],[Split_raw]] - (EDATE(AA$1,1)-Log_2019[[#This Row],[Date]]))</f>
        <v>0</v>
      </c>
    </row>
    <row r="152" spans="1:29" x14ac:dyDescent="0.25">
      <c r="A152" s="42"/>
      <c r="B152" s="34" t="s">
        <v>6</v>
      </c>
      <c r="C152" s="34"/>
      <c r="D152" s="35">
        <v>43749</v>
      </c>
      <c r="E152" s="34" t="s">
        <v>794</v>
      </c>
      <c r="F152" s="34" t="s">
        <v>773</v>
      </c>
      <c r="G152" s="34" t="s">
        <v>11</v>
      </c>
      <c r="H152">
        <v>-95.29</v>
      </c>
      <c r="I152" s="36">
        <f>IF(Log_2019[[#This Row],[My Category]]="NONTRACKED",0,Log_2019[[#This Row],[Raw Amount]])</f>
        <v>0</v>
      </c>
      <c r="J152" s="37">
        <f>ABS(Log_2019[[#This Row],[Amount]])</f>
        <v>0</v>
      </c>
      <c r="K152" s="38">
        <v>1</v>
      </c>
      <c r="L152" s="38">
        <f ca="1">IF(Log_2019[[#This Row],[Date]]&lt;=TODAY(), MIN(Log_2019[[#This Row],[Split_raw]], TODAY()-Log_2019[[#This Row],[Date]]+1), 0)</f>
        <v>1</v>
      </c>
      <c r="M152" s="34" t="s">
        <v>755</v>
      </c>
      <c r="N152" s="34" t="s">
        <v>158</v>
      </c>
      <c r="O152" s="7">
        <v>0</v>
      </c>
      <c r="P152" s="52">
        <f ca="1">Log_2019[[#This Row],[Amount]]/Log_2019[[#This Row],[Split_raw]]*MAX(0,MIN(_xlfn.DAYS(EDATE(P$1,1),Log_2019[[#This Row],[Date]]),Log_2019[[#This Row],[Split_apply]])) - SUM($O152:O152)</f>
        <v>0</v>
      </c>
      <c r="Q152" s="52">
        <f ca="1">Log_2019[[#This Row],[Amount]]/Log_2019[[#This Row],[Split_raw]]*MAX(0,MIN(_xlfn.DAYS(EDATE(Q$1,1),Log_2019[[#This Row],[Date]]),Log_2019[[#This Row],[Split_apply]])) - SUM($O152:P152)</f>
        <v>0</v>
      </c>
      <c r="R152" s="52">
        <f ca="1">Log_2019[[#This Row],[Amount]]/Log_2019[[#This Row],[Split_raw]]*MAX(0,MIN(_xlfn.DAYS(EDATE(R$1,1),Log_2019[[#This Row],[Date]]),Log_2019[[#This Row],[Split_apply]])) - SUM($O152:Q152)</f>
        <v>0</v>
      </c>
      <c r="S152" s="52">
        <f ca="1">Log_2019[[#This Row],[Amount]]/Log_2019[[#This Row],[Split_raw]]*MAX(0,MIN(_xlfn.DAYS(EDATE(S$1,1),Log_2019[[#This Row],[Date]]),Log_2019[[#This Row],[Split_apply]])) - SUM($O152:R152)</f>
        <v>0</v>
      </c>
      <c r="T152" s="52">
        <f ca="1">Log_2019[[#This Row],[Amount]]/Log_2019[[#This Row],[Split_raw]]*MAX(0,MIN(_xlfn.DAYS(EDATE(T$1,1),Log_2019[[#This Row],[Date]]),Log_2019[[#This Row],[Split_apply]])) - SUM($O152:S152)</f>
        <v>0</v>
      </c>
      <c r="U152" s="52">
        <f ca="1">Log_2019[[#This Row],[Amount]]/Log_2019[[#This Row],[Split_raw]]*MAX(0,MIN(_xlfn.DAYS(EDATE(U$1,1),Log_2019[[#This Row],[Date]]),Log_2019[[#This Row],[Split_apply]])) - SUM($O152:T152)</f>
        <v>0</v>
      </c>
      <c r="V152" s="52">
        <f ca="1">Log_2019[[#This Row],[Amount]]/Log_2019[[#This Row],[Split_raw]]*MAX(0,MIN(_xlfn.DAYS(EDATE(V$1,1),Log_2019[[#This Row],[Date]]),Log_2019[[#This Row],[Split_apply]])) - SUM($O152:U152)</f>
        <v>0</v>
      </c>
      <c r="W152" s="52">
        <f ca="1">Log_2019[[#This Row],[Amount]]/Log_2019[[#This Row],[Split_raw]]*MAX(0,MIN(_xlfn.DAYS(EDATE(W$1,1),Log_2019[[#This Row],[Date]]),Log_2019[[#This Row],[Split_apply]])) - SUM($O152:V152)</f>
        <v>0</v>
      </c>
      <c r="X152" s="52">
        <f ca="1">Log_2019[[#This Row],[Amount]]/Log_2019[[#This Row],[Split_raw]]*MAX(0,MIN(_xlfn.DAYS(EDATE(X$1,1),Log_2019[[#This Row],[Date]]),Log_2019[[#This Row],[Split_apply]])) - SUM($O152:W152)</f>
        <v>0</v>
      </c>
      <c r="Y152" s="52">
        <f ca="1">Log_2019[[#This Row],[Amount]]/Log_2019[[#This Row],[Split_raw]]*MAX(0,MIN(_xlfn.DAYS(EDATE(Y$1,1),Log_2019[[#This Row],[Date]]),Log_2019[[#This Row],[Split_apply]])) - SUM($O152:X152)</f>
        <v>0</v>
      </c>
      <c r="Z152" s="52">
        <f ca="1">Log_2019[[#This Row],[Amount]]/Log_2019[[#This Row],[Split_raw]]*MAX(0,MIN(_xlfn.DAYS(EDATE(Z$1,1),Log_2019[[#This Row],[Date]]),Log_2019[[#This Row],[Split_apply]])) - SUM($O152:Y152)</f>
        <v>0</v>
      </c>
      <c r="AA152" s="52">
        <f ca="1">Log_2019[[#This Row],[Amount]]/Log_2019[[#This Row],[Split_raw]]*MAX(0,MIN(_xlfn.DAYS(EDATE(AA$1,1),Log_2019[[#This Row],[Date]]),Log_2019[[#This Row],[Split_apply]])) - SUM($O152:Z152)</f>
        <v>0</v>
      </c>
      <c r="AB152" s="54">
        <f ca="1">Log_2019[[#This Row],[Amount]]-SUM(O152:AA152)</f>
        <v>0</v>
      </c>
      <c r="AC152" s="7">
        <f>MAX(0,Log_2019[[#This Row],[Split_raw]] - (EDATE(AA$1,1)-Log_2019[[#This Row],[Date]]))</f>
        <v>0</v>
      </c>
    </row>
    <row r="153" spans="1:29" x14ac:dyDescent="0.25">
      <c r="A153" s="42"/>
      <c r="B153" s="34" t="s">
        <v>6</v>
      </c>
      <c r="C153" s="34"/>
      <c r="D153" s="35">
        <v>43748</v>
      </c>
      <c r="E153" s="34" t="s">
        <v>250</v>
      </c>
      <c r="F153" s="34" t="s">
        <v>243</v>
      </c>
      <c r="G153" s="34" t="s">
        <v>143</v>
      </c>
      <c r="H153">
        <v>-10.81</v>
      </c>
      <c r="I153" s="36">
        <f>IF(Log_2019[[#This Row],[My Category]]="NONTRACKED",0,Log_2019[[#This Row],[Raw Amount]])</f>
        <v>-10.81</v>
      </c>
      <c r="J153" s="37">
        <f>ABS(Log_2019[[#This Row],[Amount]])</f>
        <v>10.81</v>
      </c>
      <c r="K153" s="38">
        <v>30</v>
      </c>
      <c r="L153" s="38">
        <f ca="1">IF(Log_2019[[#This Row],[Date]]&lt;=TODAY(), MIN(Log_2019[[#This Row],[Split_raw]], TODAY()-Log_2019[[#This Row],[Date]]+1), 0)</f>
        <v>30</v>
      </c>
      <c r="M153" s="34" t="s">
        <v>53</v>
      </c>
      <c r="N153" s="34" t="s">
        <v>160</v>
      </c>
      <c r="O153" s="7">
        <v>0</v>
      </c>
      <c r="P153" s="52">
        <f ca="1">Log_2019[[#This Row],[Amount]]/Log_2019[[#This Row],[Split_raw]]*MAX(0,MIN(_xlfn.DAYS(EDATE(P$1,1),Log_2019[[#This Row],[Date]]),Log_2019[[#This Row],[Split_apply]])) - SUM($O153:O153)</f>
        <v>0</v>
      </c>
      <c r="Q153" s="52">
        <f ca="1">Log_2019[[#This Row],[Amount]]/Log_2019[[#This Row],[Split_raw]]*MAX(0,MIN(_xlfn.DAYS(EDATE(Q$1,1),Log_2019[[#This Row],[Date]]),Log_2019[[#This Row],[Split_apply]])) - SUM($O153:P153)</f>
        <v>0</v>
      </c>
      <c r="R153" s="52">
        <f ca="1">Log_2019[[#This Row],[Amount]]/Log_2019[[#This Row],[Split_raw]]*MAX(0,MIN(_xlfn.DAYS(EDATE(R$1,1),Log_2019[[#This Row],[Date]]),Log_2019[[#This Row],[Split_apply]])) - SUM($O153:Q153)</f>
        <v>0</v>
      </c>
      <c r="S153" s="52">
        <f ca="1">Log_2019[[#This Row],[Amount]]/Log_2019[[#This Row],[Split_raw]]*MAX(0,MIN(_xlfn.DAYS(EDATE(S$1,1),Log_2019[[#This Row],[Date]]),Log_2019[[#This Row],[Split_apply]])) - SUM($O153:R153)</f>
        <v>0</v>
      </c>
      <c r="T153" s="52">
        <f ca="1">Log_2019[[#This Row],[Amount]]/Log_2019[[#This Row],[Split_raw]]*MAX(0,MIN(_xlfn.DAYS(EDATE(T$1,1),Log_2019[[#This Row],[Date]]),Log_2019[[#This Row],[Split_apply]])) - SUM($O153:S153)</f>
        <v>0</v>
      </c>
      <c r="U153" s="52">
        <f ca="1">Log_2019[[#This Row],[Amount]]/Log_2019[[#This Row],[Split_raw]]*MAX(0,MIN(_xlfn.DAYS(EDATE(U$1,1),Log_2019[[#This Row],[Date]]),Log_2019[[#This Row],[Split_apply]])) - SUM($O153:T153)</f>
        <v>0</v>
      </c>
      <c r="V153" s="52">
        <f ca="1">Log_2019[[#This Row],[Amount]]/Log_2019[[#This Row],[Split_raw]]*MAX(0,MIN(_xlfn.DAYS(EDATE(V$1,1),Log_2019[[#This Row],[Date]]),Log_2019[[#This Row],[Split_apply]])) - SUM($O153:U153)</f>
        <v>0</v>
      </c>
      <c r="W153" s="52">
        <f ca="1">Log_2019[[#This Row],[Amount]]/Log_2019[[#This Row],[Split_raw]]*MAX(0,MIN(_xlfn.DAYS(EDATE(W$1,1),Log_2019[[#This Row],[Date]]),Log_2019[[#This Row],[Split_apply]])) - SUM($O153:V153)</f>
        <v>0</v>
      </c>
      <c r="X153" s="52">
        <f ca="1">Log_2019[[#This Row],[Amount]]/Log_2019[[#This Row],[Split_raw]]*MAX(0,MIN(_xlfn.DAYS(EDATE(X$1,1),Log_2019[[#This Row],[Date]]),Log_2019[[#This Row],[Split_apply]])) - SUM($O153:W153)</f>
        <v>0</v>
      </c>
      <c r="Y153" s="52">
        <f ca="1">Log_2019[[#This Row],[Amount]]/Log_2019[[#This Row],[Split_raw]]*MAX(0,MIN(_xlfn.DAYS(EDATE(Y$1,1),Log_2019[[#This Row],[Date]]),Log_2019[[#This Row],[Split_apply]])) - SUM($O153:X153)</f>
        <v>-7.9273333333333333</v>
      </c>
      <c r="Z153" s="52">
        <f ca="1">Log_2019[[#This Row],[Amount]]/Log_2019[[#This Row],[Split_raw]]*MAX(0,MIN(_xlfn.DAYS(EDATE(Z$1,1),Log_2019[[#This Row],[Date]]),Log_2019[[#This Row],[Split_apply]])) - SUM($O153:Y153)</f>
        <v>-2.8826666666666672</v>
      </c>
      <c r="AA153" s="52">
        <f ca="1">Log_2019[[#This Row],[Amount]]/Log_2019[[#This Row],[Split_raw]]*MAX(0,MIN(_xlfn.DAYS(EDATE(AA$1,1),Log_2019[[#This Row],[Date]]),Log_2019[[#This Row],[Split_apply]])) - SUM($O153:Z153)</f>
        <v>0</v>
      </c>
      <c r="AB153" s="54">
        <f ca="1">Log_2019[[#This Row],[Amount]]-SUM(O153:AA153)</f>
        <v>0</v>
      </c>
      <c r="AC153" s="7">
        <f>MAX(0,Log_2019[[#This Row],[Split_raw]] - (EDATE(AA$1,1)-Log_2019[[#This Row],[Date]]))</f>
        <v>0</v>
      </c>
    </row>
    <row r="154" spans="1:29" x14ac:dyDescent="0.25">
      <c r="A154" s="42"/>
      <c r="B154" s="34" t="s">
        <v>6</v>
      </c>
      <c r="C154" s="34"/>
      <c r="D154" s="35">
        <v>43748</v>
      </c>
      <c r="E154" s="34"/>
      <c r="F154" s="34" t="s">
        <v>566</v>
      </c>
      <c r="G154" s="34" t="s">
        <v>80</v>
      </c>
      <c r="H154">
        <f>--1898.47</f>
        <v>1898.47</v>
      </c>
      <c r="I154" s="36">
        <f>IF(Log_2019[[#This Row],[My Category]]="NONTRACKED",0,Log_2019[[#This Row],[Raw Amount]])</f>
        <v>1898.47</v>
      </c>
      <c r="J154" s="37">
        <f>ABS(Log_2019[[#This Row],[Amount]])</f>
        <v>1898.47</v>
      </c>
      <c r="K154" s="38">
        <v>14</v>
      </c>
      <c r="L154" s="38">
        <f ca="1">IF(Log_2019[[#This Row],[Date]]&lt;=TODAY(), MIN(Log_2019[[#This Row],[Split_raw]], TODAY()-Log_2019[[#This Row],[Date]]+1), 0)</f>
        <v>14</v>
      </c>
      <c r="M154" s="34" t="s">
        <v>91</v>
      </c>
      <c r="N154" s="34" t="s">
        <v>160</v>
      </c>
      <c r="O154" s="7">
        <v>0</v>
      </c>
      <c r="P154" s="52">
        <f ca="1">Log_2019[[#This Row],[Amount]]/Log_2019[[#This Row],[Split_raw]]*MAX(0,MIN(_xlfn.DAYS(EDATE(P$1,1),Log_2019[[#This Row],[Date]]),Log_2019[[#This Row],[Split_apply]])) - SUM($O154:O154)</f>
        <v>0</v>
      </c>
      <c r="Q154" s="52">
        <f ca="1">Log_2019[[#This Row],[Amount]]/Log_2019[[#This Row],[Split_raw]]*MAX(0,MIN(_xlfn.DAYS(EDATE(Q$1,1),Log_2019[[#This Row],[Date]]),Log_2019[[#This Row],[Split_apply]])) - SUM($O154:P154)</f>
        <v>0</v>
      </c>
      <c r="R154" s="52">
        <f ca="1">Log_2019[[#This Row],[Amount]]/Log_2019[[#This Row],[Split_raw]]*MAX(0,MIN(_xlfn.DAYS(EDATE(R$1,1),Log_2019[[#This Row],[Date]]),Log_2019[[#This Row],[Split_apply]])) - SUM($O154:Q154)</f>
        <v>0</v>
      </c>
      <c r="S154" s="52">
        <f ca="1">Log_2019[[#This Row],[Amount]]/Log_2019[[#This Row],[Split_raw]]*MAX(0,MIN(_xlfn.DAYS(EDATE(S$1,1),Log_2019[[#This Row],[Date]]),Log_2019[[#This Row],[Split_apply]])) - SUM($O154:R154)</f>
        <v>0</v>
      </c>
      <c r="T154" s="52">
        <f ca="1">Log_2019[[#This Row],[Amount]]/Log_2019[[#This Row],[Split_raw]]*MAX(0,MIN(_xlfn.DAYS(EDATE(T$1,1),Log_2019[[#This Row],[Date]]),Log_2019[[#This Row],[Split_apply]])) - SUM($O154:S154)</f>
        <v>0</v>
      </c>
      <c r="U154" s="52">
        <f ca="1">Log_2019[[#This Row],[Amount]]/Log_2019[[#This Row],[Split_raw]]*MAX(0,MIN(_xlfn.DAYS(EDATE(U$1,1),Log_2019[[#This Row],[Date]]),Log_2019[[#This Row],[Split_apply]])) - SUM($O154:T154)</f>
        <v>0</v>
      </c>
      <c r="V154" s="52">
        <f ca="1">Log_2019[[#This Row],[Amount]]/Log_2019[[#This Row],[Split_raw]]*MAX(0,MIN(_xlfn.DAYS(EDATE(V$1,1),Log_2019[[#This Row],[Date]]),Log_2019[[#This Row],[Split_apply]])) - SUM($O154:U154)</f>
        <v>0</v>
      </c>
      <c r="W154" s="52">
        <f ca="1">Log_2019[[#This Row],[Amount]]/Log_2019[[#This Row],[Split_raw]]*MAX(0,MIN(_xlfn.DAYS(EDATE(W$1,1),Log_2019[[#This Row],[Date]]),Log_2019[[#This Row],[Split_apply]])) - SUM($O154:V154)</f>
        <v>0</v>
      </c>
      <c r="X154" s="52">
        <f ca="1">Log_2019[[#This Row],[Amount]]/Log_2019[[#This Row],[Split_raw]]*MAX(0,MIN(_xlfn.DAYS(EDATE(X$1,1),Log_2019[[#This Row],[Date]]),Log_2019[[#This Row],[Split_apply]])) - SUM($O154:W154)</f>
        <v>0</v>
      </c>
      <c r="Y154" s="52">
        <f ca="1">Log_2019[[#This Row],[Amount]]/Log_2019[[#This Row],[Split_raw]]*MAX(0,MIN(_xlfn.DAYS(EDATE(Y$1,1),Log_2019[[#This Row],[Date]]),Log_2019[[#This Row],[Split_apply]])) - SUM($O154:X154)</f>
        <v>1898.4699999999998</v>
      </c>
      <c r="Z154" s="52">
        <f ca="1">Log_2019[[#This Row],[Amount]]/Log_2019[[#This Row],[Split_raw]]*MAX(0,MIN(_xlfn.DAYS(EDATE(Z$1,1),Log_2019[[#This Row],[Date]]),Log_2019[[#This Row],[Split_apply]])) - SUM($O154:Y154)</f>
        <v>0</v>
      </c>
      <c r="AA154" s="52">
        <f ca="1">Log_2019[[#This Row],[Amount]]/Log_2019[[#This Row],[Split_raw]]*MAX(0,MIN(_xlfn.DAYS(EDATE(AA$1,1),Log_2019[[#This Row],[Date]]),Log_2019[[#This Row],[Split_apply]])) - SUM($O154:Z154)</f>
        <v>0</v>
      </c>
      <c r="AB154" s="54">
        <f ca="1">Log_2019[[#This Row],[Amount]]-SUM(O154:AA154)</f>
        <v>0</v>
      </c>
      <c r="AC154" s="7">
        <f>MAX(0,Log_2019[[#This Row],[Split_raw]] - (EDATE(AA$1,1)-Log_2019[[#This Row],[Date]]))</f>
        <v>0</v>
      </c>
    </row>
    <row r="155" spans="1:29" x14ac:dyDescent="0.25">
      <c r="A155" s="42"/>
      <c r="B155" s="34" t="s">
        <v>6</v>
      </c>
      <c r="C155" s="34"/>
      <c r="D155" s="35">
        <v>43748</v>
      </c>
      <c r="E155" s="34"/>
      <c r="F155" s="34" t="s">
        <v>673</v>
      </c>
      <c r="G155" s="34" t="s">
        <v>25</v>
      </c>
      <c r="H155">
        <v>-11.86</v>
      </c>
      <c r="I155" s="36">
        <f>IF(Log_2019[[#This Row],[My Category]]="NONTRACKED",0,Log_2019[[#This Row],[Raw Amount]])</f>
        <v>-11.86</v>
      </c>
      <c r="J155" s="37">
        <f>ABS(Log_2019[[#This Row],[Amount]])</f>
        <v>11.86</v>
      </c>
      <c r="K155" s="38">
        <v>1</v>
      </c>
      <c r="L155" s="38">
        <f ca="1">IF(Log_2019[[#This Row],[Date]]&lt;=TODAY(), MIN(Log_2019[[#This Row],[Split_raw]], TODAY()-Log_2019[[#This Row],[Date]]+1), 0)</f>
        <v>1</v>
      </c>
      <c r="M155" s="34" t="s">
        <v>35</v>
      </c>
      <c r="N155" s="34" t="s">
        <v>158</v>
      </c>
      <c r="O155" s="7">
        <v>0</v>
      </c>
      <c r="P155" s="52">
        <f ca="1">Log_2019[[#This Row],[Amount]]/Log_2019[[#This Row],[Split_raw]]*MAX(0,MIN(_xlfn.DAYS(EDATE(P$1,1),Log_2019[[#This Row],[Date]]),Log_2019[[#This Row],[Split_apply]])) - SUM($O155:O155)</f>
        <v>0</v>
      </c>
      <c r="Q155" s="52">
        <f ca="1">Log_2019[[#This Row],[Amount]]/Log_2019[[#This Row],[Split_raw]]*MAX(0,MIN(_xlfn.DAYS(EDATE(Q$1,1),Log_2019[[#This Row],[Date]]),Log_2019[[#This Row],[Split_apply]])) - SUM($O155:P155)</f>
        <v>0</v>
      </c>
      <c r="R155" s="52">
        <f ca="1">Log_2019[[#This Row],[Amount]]/Log_2019[[#This Row],[Split_raw]]*MAX(0,MIN(_xlfn.DAYS(EDATE(R$1,1),Log_2019[[#This Row],[Date]]),Log_2019[[#This Row],[Split_apply]])) - SUM($O155:Q155)</f>
        <v>0</v>
      </c>
      <c r="S155" s="52">
        <f ca="1">Log_2019[[#This Row],[Amount]]/Log_2019[[#This Row],[Split_raw]]*MAX(0,MIN(_xlfn.DAYS(EDATE(S$1,1),Log_2019[[#This Row],[Date]]),Log_2019[[#This Row],[Split_apply]])) - SUM($O155:R155)</f>
        <v>0</v>
      </c>
      <c r="T155" s="52">
        <f ca="1">Log_2019[[#This Row],[Amount]]/Log_2019[[#This Row],[Split_raw]]*MAX(0,MIN(_xlfn.DAYS(EDATE(T$1,1),Log_2019[[#This Row],[Date]]),Log_2019[[#This Row],[Split_apply]])) - SUM($O155:S155)</f>
        <v>0</v>
      </c>
      <c r="U155" s="52">
        <f ca="1">Log_2019[[#This Row],[Amount]]/Log_2019[[#This Row],[Split_raw]]*MAX(0,MIN(_xlfn.DAYS(EDATE(U$1,1),Log_2019[[#This Row],[Date]]),Log_2019[[#This Row],[Split_apply]])) - SUM($O155:T155)</f>
        <v>0</v>
      </c>
      <c r="V155" s="52">
        <f ca="1">Log_2019[[#This Row],[Amount]]/Log_2019[[#This Row],[Split_raw]]*MAX(0,MIN(_xlfn.DAYS(EDATE(V$1,1),Log_2019[[#This Row],[Date]]),Log_2019[[#This Row],[Split_apply]])) - SUM($O155:U155)</f>
        <v>0</v>
      </c>
      <c r="W155" s="52">
        <f ca="1">Log_2019[[#This Row],[Amount]]/Log_2019[[#This Row],[Split_raw]]*MAX(0,MIN(_xlfn.DAYS(EDATE(W$1,1),Log_2019[[#This Row],[Date]]),Log_2019[[#This Row],[Split_apply]])) - SUM($O155:V155)</f>
        <v>0</v>
      </c>
      <c r="X155" s="52">
        <f ca="1">Log_2019[[#This Row],[Amount]]/Log_2019[[#This Row],[Split_raw]]*MAX(0,MIN(_xlfn.DAYS(EDATE(X$1,1),Log_2019[[#This Row],[Date]]),Log_2019[[#This Row],[Split_apply]])) - SUM($O155:W155)</f>
        <v>0</v>
      </c>
      <c r="Y155" s="52">
        <f ca="1">Log_2019[[#This Row],[Amount]]/Log_2019[[#This Row],[Split_raw]]*MAX(0,MIN(_xlfn.DAYS(EDATE(Y$1,1),Log_2019[[#This Row],[Date]]),Log_2019[[#This Row],[Split_apply]])) - SUM($O155:X155)</f>
        <v>-11.86</v>
      </c>
      <c r="Z155" s="52">
        <f ca="1">Log_2019[[#This Row],[Amount]]/Log_2019[[#This Row],[Split_raw]]*MAX(0,MIN(_xlfn.DAYS(EDATE(Z$1,1),Log_2019[[#This Row],[Date]]),Log_2019[[#This Row],[Split_apply]])) - SUM($O155:Y155)</f>
        <v>0</v>
      </c>
      <c r="AA155" s="52">
        <f ca="1">Log_2019[[#This Row],[Amount]]/Log_2019[[#This Row],[Split_raw]]*MAX(0,MIN(_xlfn.DAYS(EDATE(AA$1,1),Log_2019[[#This Row],[Date]]),Log_2019[[#This Row],[Split_apply]])) - SUM($O155:Z155)</f>
        <v>0</v>
      </c>
      <c r="AB155" s="54">
        <f ca="1">Log_2019[[#This Row],[Amount]]-SUM(O155:AA155)</f>
        <v>0</v>
      </c>
      <c r="AC155" s="7">
        <f>MAX(0,Log_2019[[#This Row],[Split_raw]] - (EDATE(AA$1,1)-Log_2019[[#This Row],[Date]]))</f>
        <v>0</v>
      </c>
    </row>
    <row r="156" spans="1:29" x14ac:dyDescent="0.25">
      <c r="A156" s="42"/>
      <c r="B156" s="34" t="s">
        <v>6</v>
      </c>
      <c r="C156" s="34"/>
      <c r="D156" s="41">
        <v>43747</v>
      </c>
      <c r="E156" s="34"/>
      <c r="F156" s="34" t="s">
        <v>138</v>
      </c>
      <c r="G156" s="34" t="s">
        <v>104</v>
      </c>
      <c r="H156">
        <v>-2135.52</v>
      </c>
      <c r="I156" s="36">
        <f>IF(Log_2019[[#This Row],[My Category]]="NONTRACKED",0,Log_2019[[#This Row],[Raw Amount]])</f>
        <v>-2135.52</v>
      </c>
      <c r="J156" s="37">
        <f>ABS(Log_2019[[#This Row],[Amount]])</f>
        <v>2135.52</v>
      </c>
      <c r="K156" s="38">
        <v>1</v>
      </c>
      <c r="L156" s="38">
        <f ca="1">IF(Log_2019[[#This Row],[Date]]&lt;=TODAY(), MIN(Log_2019[[#This Row],[Split_raw]], TODAY()-Log_2019[[#This Row],[Date]]+1), 0)</f>
        <v>1</v>
      </c>
      <c r="M156" s="34" t="s">
        <v>159</v>
      </c>
      <c r="N156" s="34" t="s">
        <v>160</v>
      </c>
      <c r="O156" s="7">
        <v>0</v>
      </c>
      <c r="P156" s="52">
        <f ca="1">Log_2019[[#This Row],[Amount]]/Log_2019[[#This Row],[Split_raw]]*MAX(0,MIN(_xlfn.DAYS(EDATE(P$1,1),Log_2019[[#This Row],[Date]]),Log_2019[[#This Row],[Split_apply]])) - SUM($O156:O156)</f>
        <v>0</v>
      </c>
      <c r="Q156" s="52">
        <f ca="1">Log_2019[[#This Row],[Amount]]/Log_2019[[#This Row],[Split_raw]]*MAX(0,MIN(_xlfn.DAYS(EDATE(Q$1,1),Log_2019[[#This Row],[Date]]),Log_2019[[#This Row],[Split_apply]])) - SUM($O156:P156)</f>
        <v>0</v>
      </c>
      <c r="R156" s="52">
        <f ca="1">Log_2019[[#This Row],[Amount]]/Log_2019[[#This Row],[Split_raw]]*MAX(0,MIN(_xlfn.DAYS(EDATE(R$1,1),Log_2019[[#This Row],[Date]]),Log_2019[[#This Row],[Split_apply]])) - SUM($O156:Q156)</f>
        <v>0</v>
      </c>
      <c r="S156" s="52">
        <f ca="1">Log_2019[[#This Row],[Amount]]/Log_2019[[#This Row],[Split_raw]]*MAX(0,MIN(_xlfn.DAYS(EDATE(S$1,1),Log_2019[[#This Row],[Date]]),Log_2019[[#This Row],[Split_apply]])) - SUM($O156:R156)</f>
        <v>0</v>
      </c>
      <c r="T156" s="52">
        <f ca="1">Log_2019[[#This Row],[Amount]]/Log_2019[[#This Row],[Split_raw]]*MAX(0,MIN(_xlfn.DAYS(EDATE(T$1,1),Log_2019[[#This Row],[Date]]),Log_2019[[#This Row],[Split_apply]])) - SUM($O156:S156)</f>
        <v>0</v>
      </c>
      <c r="U156" s="52">
        <f ca="1">Log_2019[[#This Row],[Amount]]/Log_2019[[#This Row],[Split_raw]]*MAX(0,MIN(_xlfn.DAYS(EDATE(U$1,1),Log_2019[[#This Row],[Date]]),Log_2019[[#This Row],[Split_apply]])) - SUM($O156:T156)</f>
        <v>0</v>
      </c>
      <c r="V156" s="52">
        <f ca="1">Log_2019[[#This Row],[Amount]]/Log_2019[[#This Row],[Split_raw]]*MAX(0,MIN(_xlfn.DAYS(EDATE(V$1,1),Log_2019[[#This Row],[Date]]),Log_2019[[#This Row],[Split_apply]])) - SUM($O156:U156)</f>
        <v>0</v>
      </c>
      <c r="W156" s="52">
        <f ca="1">Log_2019[[#This Row],[Amount]]/Log_2019[[#This Row],[Split_raw]]*MAX(0,MIN(_xlfn.DAYS(EDATE(W$1,1),Log_2019[[#This Row],[Date]]),Log_2019[[#This Row],[Split_apply]])) - SUM($O156:V156)</f>
        <v>0</v>
      </c>
      <c r="X156" s="52">
        <f ca="1">Log_2019[[#This Row],[Amount]]/Log_2019[[#This Row],[Split_raw]]*MAX(0,MIN(_xlfn.DAYS(EDATE(X$1,1),Log_2019[[#This Row],[Date]]),Log_2019[[#This Row],[Split_apply]])) - SUM($O156:W156)</f>
        <v>0</v>
      </c>
      <c r="Y156" s="52">
        <f ca="1">Log_2019[[#This Row],[Amount]]/Log_2019[[#This Row],[Split_raw]]*MAX(0,MIN(_xlfn.DAYS(EDATE(Y$1,1),Log_2019[[#This Row],[Date]]),Log_2019[[#This Row],[Split_apply]])) - SUM($O156:X156)</f>
        <v>-2135.52</v>
      </c>
      <c r="Z156" s="52">
        <f ca="1">Log_2019[[#This Row],[Amount]]/Log_2019[[#This Row],[Split_raw]]*MAX(0,MIN(_xlfn.DAYS(EDATE(Z$1,1),Log_2019[[#This Row],[Date]]),Log_2019[[#This Row],[Split_apply]])) - SUM($O156:Y156)</f>
        <v>0</v>
      </c>
      <c r="AA156" s="52">
        <f ca="1">Log_2019[[#This Row],[Amount]]/Log_2019[[#This Row],[Split_raw]]*MAX(0,MIN(_xlfn.DAYS(EDATE(AA$1,1),Log_2019[[#This Row],[Date]]),Log_2019[[#This Row],[Split_apply]])) - SUM($O156:Z156)</f>
        <v>0</v>
      </c>
      <c r="AB156" s="54">
        <f ca="1">Log_2019[[#This Row],[Amount]]-SUM(O156:AA156)</f>
        <v>0</v>
      </c>
      <c r="AC156" s="7">
        <f>MAX(0,Log_2019[[#This Row],[Split_raw]] - (EDATE(AA$1,1)-Log_2019[[#This Row],[Date]]))</f>
        <v>0</v>
      </c>
    </row>
    <row r="157" spans="1:29" x14ac:dyDescent="0.25">
      <c r="A157" s="42"/>
      <c r="B157" s="34" t="s">
        <v>6</v>
      </c>
      <c r="C157" s="34"/>
      <c r="D157" s="41">
        <v>43747</v>
      </c>
      <c r="E157" s="34" t="s">
        <v>802</v>
      </c>
      <c r="F157" s="34" t="s">
        <v>774</v>
      </c>
      <c r="G157" s="34" t="s">
        <v>114</v>
      </c>
      <c r="H157">
        <v>-34.520000000000003</v>
      </c>
      <c r="I157" s="36">
        <f>IF(Log_2019[[#This Row],[My Category]]="NONTRACKED",0,Log_2019[[#This Row],[Raw Amount]])</f>
        <v>0</v>
      </c>
      <c r="J157" s="37">
        <f>ABS(Log_2019[[#This Row],[Amount]])</f>
        <v>0</v>
      </c>
      <c r="K157" s="38">
        <v>1</v>
      </c>
      <c r="L157" s="38">
        <f ca="1">IF(Log_2019[[#This Row],[Date]]&lt;=TODAY(), MIN(Log_2019[[#This Row],[Split_raw]], TODAY()-Log_2019[[#This Row],[Date]]+1), 0)</f>
        <v>1</v>
      </c>
      <c r="M157" s="34" t="s">
        <v>755</v>
      </c>
      <c r="N157" s="34" t="s">
        <v>158</v>
      </c>
      <c r="O157" s="7">
        <v>0</v>
      </c>
      <c r="P157" s="52">
        <f ca="1">Log_2019[[#This Row],[Amount]]/Log_2019[[#This Row],[Split_raw]]*MAX(0,MIN(_xlfn.DAYS(EDATE(P$1,1),Log_2019[[#This Row],[Date]]),Log_2019[[#This Row],[Split_apply]])) - SUM($O157:O157)</f>
        <v>0</v>
      </c>
      <c r="Q157" s="52">
        <f ca="1">Log_2019[[#This Row],[Amount]]/Log_2019[[#This Row],[Split_raw]]*MAX(0,MIN(_xlfn.DAYS(EDATE(Q$1,1),Log_2019[[#This Row],[Date]]),Log_2019[[#This Row],[Split_apply]])) - SUM($O157:P157)</f>
        <v>0</v>
      </c>
      <c r="R157" s="52">
        <f ca="1">Log_2019[[#This Row],[Amount]]/Log_2019[[#This Row],[Split_raw]]*MAX(0,MIN(_xlfn.DAYS(EDATE(R$1,1),Log_2019[[#This Row],[Date]]),Log_2019[[#This Row],[Split_apply]])) - SUM($O157:Q157)</f>
        <v>0</v>
      </c>
      <c r="S157" s="52">
        <f ca="1">Log_2019[[#This Row],[Amount]]/Log_2019[[#This Row],[Split_raw]]*MAX(0,MIN(_xlfn.DAYS(EDATE(S$1,1),Log_2019[[#This Row],[Date]]),Log_2019[[#This Row],[Split_apply]])) - SUM($O157:R157)</f>
        <v>0</v>
      </c>
      <c r="T157" s="52">
        <f ca="1">Log_2019[[#This Row],[Amount]]/Log_2019[[#This Row],[Split_raw]]*MAX(0,MIN(_xlfn.DAYS(EDATE(T$1,1),Log_2019[[#This Row],[Date]]),Log_2019[[#This Row],[Split_apply]])) - SUM($O157:S157)</f>
        <v>0</v>
      </c>
      <c r="U157" s="52">
        <f ca="1">Log_2019[[#This Row],[Amount]]/Log_2019[[#This Row],[Split_raw]]*MAX(0,MIN(_xlfn.DAYS(EDATE(U$1,1),Log_2019[[#This Row],[Date]]),Log_2019[[#This Row],[Split_apply]])) - SUM($O157:T157)</f>
        <v>0</v>
      </c>
      <c r="V157" s="52">
        <f ca="1">Log_2019[[#This Row],[Amount]]/Log_2019[[#This Row],[Split_raw]]*MAX(0,MIN(_xlfn.DAYS(EDATE(V$1,1),Log_2019[[#This Row],[Date]]),Log_2019[[#This Row],[Split_apply]])) - SUM($O157:U157)</f>
        <v>0</v>
      </c>
      <c r="W157" s="52">
        <f ca="1">Log_2019[[#This Row],[Amount]]/Log_2019[[#This Row],[Split_raw]]*MAX(0,MIN(_xlfn.DAYS(EDATE(W$1,1),Log_2019[[#This Row],[Date]]),Log_2019[[#This Row],[Split_apply]])) - SUM($O157:V157)</f>
        <v>0</v>
      </c>
      <c r="X157" s="52">
        <f ca="1">Log_2019[[#This Row],[Amount]]/Log_2019[[#This Row],[Split_raw]]*MAX(0,MIN(_xlfn.DAYS(EDATE(X$1,1),Log_2019[[#This Row],[Date]]),Log_2019[[#This Row],[Split_apply]])) - SUM($O157:W157)</f>
        <v>0</v>
      </c>
      <c r="Y157" s="52">
        <f ca="1">Log_2019[[#This Row],[Amount]]/Log_2019[[#This Row],[Split_raw]]*MAX(0,MIN(_xlfn.DAYS(EDATE(Y$1,1),Log_2019[[#This Row],[Date]]),Log_2019[[#This Row],[Split_apply]])) - SUM($O157:X157)</f>
        <v>0</v>
      </c>
      <c r="Z157" s="52">
        <f ca="1">Log_2019[[#This Row],[Amount]]/Log_2019[[#This Row],[Split_raw]]*MAX(0,MIN(_xlfn.DAYS(EDATE(Z$1,1),Log_2019[[#This Row],[Date]]),Log_2019[[#This Row],[Split_apply]])) - SUM($O157:Y157)</f>
        <v>0</v>
      </c>
      <c r="AA157" s="52">
        <f ca="1">Log_2019[[#This Row],[Amount]]/Log_2019[[#This Row],[Split_raw]]*MAX(0,MIN(_xlfn.DAYS(EDATE(AA$1,1),Log_2019[[#This Row],[Date]]),Log_2019[[#This Row],[Split_apply]])) - SUM($O157:Z157)</f>
        <v>0</v>
      </c>
      <c r="AB157" s="54">
        <f ca="1">Log_2019[[#This Row],[Amount]]-SUM(O157:AA157)</f>
        <v>0</v>
      </c>
      <c r="AC157" s="7">
        <f>MAX(0,Log_2019[[#This Row],[Split_raw]] - (EDATE(AA$1,1)-Log_2019[[#This Row],[Date]]))</f>
        <v>0</v>
      </c>
    </row>
    <row r="158" spans="1:29" x14ac:dyDescent="0.25">
      <c r="A158" s="42"/>
      <c r="B158" s="34" t="s">
        <v>6</v>
      </c>
      <c r="C158" s="34"/>
      <c r="D158" s="41">
        <v>43747</v>
      </c>
      <c r="E158" s="34" t="s">
        <v>795</v>
      </c>
      <c r="F158" s="34" t="s">
        <v>775</v>
      </c>
      <c r="G158" s="34" t="s">
        <v>11</v>
      </c>
      <c r="H158">
        <v>-12.38</v>
      </c>
      <c r="I158" s="36">
        <f>IF(Log_2019[[#This Row],[My Category]]="NONTRACKED",0,Log_2019[[#This Row],[Raw Amount]])</f>
        <v>0</v>
      </c>
      <c r="J158" s="37">
        <f>ABS(Log_2019[[#This Row],[Amount]])</f>
        <v>0</v>
      </c>
      <c r="K158" s="38">
        <v>1</v>
      </c>
      <c r="L158" s="38">
        <f ca="1">IF(Log_2019[[#This Row],[Date]]&lt;=TODAY(), MIN(Log_2019[[#This Row],[Split_raw]], TODAY()-Log_2019[[#This Row],[Date]]+1), 0)</f>
        <v>1</v>
      </c>
      <c r="M158" s="34" t="s">
        <v>755</v>
      </c>
      <c r="N158" s="34" t="s">
        <v>158</v>
      </c>
      <c r="O158" s="7">
        <v>0</v>
      </c>
      <c r="P158" s="52">
        <f ca="1">Log_2019[[#This Row],[Amount]]/Log_2019[[#This Row],[Split_raw]]*MAX(0,MIN(_xlfn.DAYS(EDATE(P$1,1),Log_2019[[#This Row],[Date]]),Log_2019[[#This Row],[Split_apply]])) - SUM($O158:O158)</f>
        <v>0</v>
      </c>
      <c r="Q158" s="52">
        <f ca="1">Log_2019[[#This Row],[Amount]]/Log_2019[[#This Row],[Split_raw]]*MAX(0,MIN(_xlfn.DAYS(EDATE(Q$1,1),Log_2019[[#This Row],[Date]]),Log_2019[[#This Row],[Split_apply]])) - SUM($O158:P158)</f>
        <v>0</v>
      </c>
      <c r="R158" s="52">
        <f ca="1">Log_2019[[#This Row],[Amount]]/Log_2019[[#This Row],[Split_raw]]*MAX(0,MIN(_xlfn.DAYS(EDATE(R$1,1),Log_2019[[#This Row],[Date]]),Log_2019[[#This Row],[Split_apply]])) - SUM($O158:Q158)</f>
        <v>0</v>
      </c>
      <c r="S158" s="52">
        <f ca="1">Log_2019[[#This Row],[Amount]]/Log_2019[[#This Row],[Split_raw]]*MAX(0,MIN(_xlfn.DAYS(EDATE(S$1,1),Log_2019[[#This Row],[Date]]),Log_2019[[#This Row],[Split_apply]])) - SUM($O158:R158)</f>
        <v>0</v>
      </c>
      <c r="T158" s="52">
        <f ca="1">Log_2019[[#This Row],[Amount]]/Log_2019[[#This Row],[Split_raw]]*MAX(0,MIN(_xlfn.DAYS(EDATE(T$1,1),Log_2019[[#This Row],[Date]]),Log_2019[[#This Row],[Split_apply]])) - SUM($O158:S158)</f>
        <v>0</v>
      </c>
      <c r="U158" s="52">
        <f ca="1">Log_2019[[#This Row],[Amount]]/Log_2019[[#This Row],[Split_raw]]*MAX(0,MIN(_xlfn.DAYS(EDATE(U$1,1),Log_2019[[#This Row],[Date]]),Log_2019[[#This Row],[Split_apply]])) - SUM($O158:T158)</f>
        <v>0</v>
      </c>
      <c r="V158" s="52">
        <f ca="1">Log_2019[[#This Row],[Amount]]/Log_2019[[#This Row],[Split_raw]]*MAX(0,MIN(_xlfn.DAYS(EDATE(V$1,1),Log_2019[[#This Row],[Date]]),Log_2019[[#This Row],[Split_apply]])) - SUM($O158:U158)</f>
        <v>0</v>
      </c>
      <c r="W158" s="52">
        <f ca="1">Log_2019[[#This Row],[Amount]]/Log_2019[[#This Row],[Split_raw]]*MAX(0,MIN(_xlfn.DAYS(EDATE(W$1,1),Log_2019[[#This Row],[Date]]),Log_2019[[#This Row],[Split_apply]])) - SUM($O158:V158)</f>
        <v>0</v>
      </c>
      <c r="X158" s="52">
        <f ca="1">Log_2019[[#This Row],[Amount]]/Log_2019[[#This Row],[Split_raw]]*MAX(0,MIN(_xlfn.DAYS(EDATE(X$1,1),Log_2019[[#This Row],[Date]]),Log_2019[[#This Row],[Split_apply]])) - SUM($O158:W158)</f>
        <v>0</v>
      </c>
      <c r="Y158" s="52">
        <f ca="1">Log_2019[[#This Row],[Amount]]/Log_2019[[#This Row],[Split_raw]]*MAX(0,MIN(_xlfn.DAYS(EDATE(Y$1,1),Log_2019[[#This Row],[Date]]),Log_2019[[#This Row],[Split_apply]])) - SUM($O158:X158)</f>
        <v>0</v>
      </c>
      <c r="Z158" s="52">
        <f ca="1">Log_2019[[#This Row],[Amount]]/Log_2019[[#This Row],[Split_raw]]*MAX(0,MIN(_xlfn.DAYS(EDATE(Z$1,1),Log_2019[[#This Row],[Date]]),Log_2019[[#This Row],[Split_apply]])) - SUM($O158:Y158)</f>
        <v>0</v>
      </c>
      <c r="AA158" s="52">
        <f ca="1">Log_2019[[#This Row],[Amount]]/Log_2019[[#This Row],[Split_raw]]*MAX(0,MIN(_xlfn.DAYS(EDATE(AA$1,1),Log_2019[[#This Row],[Date]]),Log_2019[[#This Row],[Split_apply]])) - SUM($O158:Z158)</f>
        <v>0</v>
      </c>
      <c r="AB158" s="54">
        <f ca="1">Log_2019[[#This Row],[Amount]]-SUM(O158:AA158)</f>
        <v>0</v>
      </c>
      <c r="AC158" s="7">
        <f>MAX(0,Log_2019[[#This Row],[Split_raw]] - (EDATE(AA$1,1)-Log_2019[[#This Row],[Date]]))</f>
        <v>0</v>
      </c>
    </row>
    <row r="159" spans="1:29" x14ac:dyDescent="0.25">
      <c r="A159" s="42"/>
      <c r="B159" s="34" t="s">
        <v>6</v>
      </c>
      <c r="C159" s="34"/>
      <c r="D159" s="35">
        <v>43747</v>
      </c>
      <c r="E159" s="34" t="s">
        <v>805</v>
      </c>
      <c r="F159" s="34" t="s">
        <v>776</v>
      </c>
      <c r="G159" s="34" t="s">
        <v>11</v>
      </c>
      <c r="H159">
        <v>-10.81</v>
      </c>
      <c r="I159" s="36">
        <f>IF(Log_2019[[#This Row],[My Category]]="NONTRACKED",0,Log_2019[[#This Row],[Raw Amount]])</f>
        <v>-10.81</v>
      </c>
      <c r="J159" s="37">
        <f>ABS(Log_2019[[#This Row],[Amount]])</f>
        <v>10.81</v>
      </c>
      <c r="K159" s="38">
        <v>1</v>
      </c>
      <c r="L159" s="38">
        <f ca="1">IF(Log_2019[[#This Row],[Date]]&lt;=TODAY(), MIN(Log_2019[[#This Row],[Split_raw]], TODAY()-Log_2019[[#This Row],[Date]]+1), 0)</f>
        <v>1</v>
      </c>
      <c r="M159" s="34" t="s">
        <v>53</v>
      </c>
      <c r="N159" s="34" t="s">
        <v>158</v>
      </c>
      <c r="O159" s="7">
        <v>0</v>
      </c>
      <c r="P159" s="52">
        <f ca="1">Log_2019[[#This Row],[Amount]]/Log_2019[[#This Row],[Split_raw]]*MAX(0,MIN(_xlfn.DAYS(EDATE(P$1,1),Log_2019[[#This Row],[Date]]),Log_2019[[#This Row],[Split_apply]])) - SUM($O159:O159)</f>
        <v>0</v>
      </c>
      <c r="Q159" s="52">
        <f ca="1">Log_2019[[#This Row],[Amount]]/Log_2019[[#This Row],[Split_raw]]*MAX(0,MIN(_xlfn.DAYS(EDATE(Q$1,1),Log_2019[[#This Row],[Date]]),Log_2019[[#This Row],[Split_apply]])) - SUM($O159:P159)</f>
        <v>0</v>
      </c>
      <c r="R159" s="52">
        <f ca="1">Log_2019[[#This Row],[Amount]]/Log_2019[[#This Row],[Split_raw]]*MAX(0,MIN(_xlfn.DAYS(EDATE(R$1,1),Log_2019[[#This Row],[Date]]),Log_2019[[#This Row],[Split_apply]])) - SUM($O159:Q159)</f>
        <v>0</v>
      </c>
      <c r="S159" s="52">
        <f ca="1">Log_2019[[#This Row],[Amount]]/Log_2019[[#This Row],[Split_raw]]*MAX(0,MIN(_xlfn.DAYS(EDATE(S$1,1),Log_2019[[#This Row],[Date]]),Log_2019[[#This Row],[Split_apply]])) - SUM($O159:R159)</f>
        <v>0</v>
      </c>
      <c r="T159" s="52">
        <f ca="1">Log_2019[[#This Row],[Amount]]/Log_2019[[#This Row],[Split_raw]]*MAX(0,MIN(_xlfn.DAYS(EDATE(T$1,1),Log_2019[[#This Row],[Date]]),Log_2019[[#This Row],[Split_apply]])) - SUM($O159:S159)</f>
        <v>0</v>
      </c>
      <c r="U159" s="52">
        <f ca="1">Log_2019[[#This Row],[Amount]]/Log_2019[[#This Row],[Split_raw]]*MAX(0,MIN(_xlfn.DAYS(EDATE(U$1,1),Log_2019[[#This Row],[Date]]),Log_2019[[#This Row],[Split_apply]])) - SUM($O159:T159)</f>
        <v>0</v>
      </c>
      <c r="V159" s="52">
        <f ca="1">Log_2019[[#This Row],[Amount]]/Log_2019[[#This Row],[Split_raw]]*MAX(0,MIN(_xlfn.DAYS(EDATE(V$1,1),Log_2019[[#This Row],[Date]]),Log_2019[[#This Row],[Split_apply]])) - SUM($O159:U159)</f>
        <v>0</v>
      </c>
      <c r="W159" s="52">
        <f ca="1">Log_2019[[#This Row],[Amount]]/Log_2019[[#This Row],[Split_raw]]*MAX(0,MIN(_xlfn.DAYS(EDATE(W$1,1),Log_2019[[#This Row],[Date]]),Log_2019[[#This Row],[Split_apply]])) - SUM($O159:V159)</f>
        <v>0</v>
      </c>
      <c r="X159" s="52">
        <f ca="1">Log_2019[[#This Row],[Amount]]/Log_2019[[#This Row],[Split_raw]]*MAX(0,MIN(_xlfn.DAYS(EDATE(X$1,1),Log_2019[[#This Row],[Date]]),Log_2019[[#This Row],[Split_apply]])) - SUM($O159:W159)</f>
        <v>0</v>
      </c>
      <c r="Y159" s="52">
        <f ca="1">Log_2019[[#This Row],[Amount]]/Log_2019[[#This Row],[Split_raw]]*MAX(0,MIN(_xlfn.DAYS(EDATE(Y$1,1),Log_2019[[#This Row],[Date]]),Log_2019[[#This Row],[Split_apply]])) - SUM($O159:X159)</f>
        <v>-10.81</v>
      </c>
      <c r="Z159" s="52">
        <f ca="1">Log_2019[[#This Row],[Amount]]/Log_2019[[#This Row],[Split_raw]]*MAX(0,MIN(_xlfn.DAYS(EDATE(Z$1,1),Log_2019[[#This Row],[Date]]),Log_2019[[#This Row],[Split_apply]])) - SUM($O159:Y159)</f>
        <v>0</v>
      </c>
      <c r="AA159" s="52">
        <f ca="1">Log_2019[[#This Row],[Amount]]/Log_2019[[#This Row],[Split_raw]]*MAX(0,MIN(_xlfn.DAYS(EDATE(AA$1,1),Log_2019[[#This Row],[Date]]),Log_2019[[#This Row],[Split_apply]])) - SUM($O159:Z159)</f>
        <v>0</v>
      </c>
      <c r="AB159" s="54">
        <f ca="1">Log_2019[[#This Row],[Amount]]-SUM(O159:AA159)</f>
        <v>0</v>
      </c>
      <c r="AC159" s="7">
        <f>MAX(0,Log_2019[[#This Row],[Split_raw]] - (EDATE(AA$1,1)-Log_2019[[#This Row],[Date]]))</f>
        <v>0</v>
      </c>
    </row>
    <row r="160" spans="1:29" x14ac:dyDescent="0.25">
      <c r="A160" s="42"/>
      <c r="B160" s="34" t="s">
        <v>6</v>
      </c>
      <c r="C160" s="34"/>
      <c r="D160" s="35">
        <v>43747</v>
      </c>
      <c r="E160" s="34" t="s">
        <v>799</v>
      </c>
      <c r="F160" s="34" t="s">
        <v>777</v>
      </c>
      <c r="G160" s="34" t="s">
        <v>214</v>
      </c>
      <c r="H160">
        <v>-19.829999999999998</v>
      </c>
      <c r="I160" s="36">
        <f>IF(Log_2019[[#This Row],[My Category]]="NONTRACKED",0,Log_2019[[#This Row],[Raw Amount]])</f>
        <v>0</v>
      </c>
      <c r="J160" s="37">
        <f>ABS(Log_2019[[#This Row],[Amount]])</f>
        <v>0</v>
      </c>
      <c r="K160" s="38">
        <v>1</v>
      </c>
      <c r="L160" s="38">
        <f ca="1">IF(Log_2019[[#This Row],[Date]]&lt;=TODAY(), MIN(Log_2019[[#This Row],[Split_raw]], TODAY()-Log_2019[[#This Row],[Date]]+1), 0)</f>
        <v>1</v>
      </c>
      <c r="M160" s="34" t="s">
        <v>755</v>
      </c>
      <c r="N160" s="34" t="s">
        <v>158</v>
      </c>
      <c r="O160" s="7">
        <v>0</v>
      </c>
      <c r="P160" s="52">
        <f ca="1">Log_2019[[#This Row],[Amount]]/Log_2019[[#This Row],[Split_raw]]*MAX(0,MIN(_xlfn.DAYS(EDATE(P$1,1),Log_2019[[#This Row],[Date]]),Log_2019[[#This Row],[Split_apply]])) - SUM($O160:O160)</f>
        <v>0</v>
      </c>
      <c r="Q160" s="52">
        <f ca="1">Log_2019[[#This Row],[Amount]]/Log_2019[[#This Row],[Split_raw]]*MAX(0,MIN(_xlfn.DAYS(EDATE(Q$1,1),Log_2019[[#This Row],[Date]]),Log_2019[[#This Row],[Split_apply]])) - SUM($O160:P160)</f>
        <v>0</v>
      </c>
      <c r="R160" s="52">
        <f ca="1">Log_2019[[#This Row],[Amount]]/Log_2019[[#This Row],[Split_raw]]*MAX(0,MIN(_xlfn.DAYS(EDATE(R$1,1),Log_2019[[#This Row],[Date]]),Log_2019[[#This Row],[Split_apply]])) - SUM($O160:Q160)</f>
        <v>0</v>
      </c>
      <c r="S160" s="52">
        <f ca="1">Log_2019[[#This Row],[Amount]]/Log_2019[[#This Row],[Split_raw]]*MAX(0,MIN(_xlfn.DAYS(EDATE(S$1,1),Log_2019[[#This Row],[Date]]),Log_2019[[#This Row],[Split_apply]])) - SUM($O160:R160)</f>
        <v>0</v>
      </c>
      <c r="T160" s="52">
        <f ca="1">Log_2019[[#This Row],[Amount]]/Log_2019[[#This Row],[Split_raw]]*MAX(0,MIN(_xlfn.DAYS(EDATE(T$1,1),Log_2019[[#This Row],[Date]]),Log_2019[[#This Row],[Split_apply]])) - SUM($O160:S160)</f>
        <v>0</v>
      </c>
      <c r="U160" s="52">
        <f ca="1">Log_2019[[#This Row],[Amount]]/Log_2019[[#This Row],[Split_raw]]*MAX(0,MIN(_xlfn.DAYS(EDATE(U$1,1),Log_2019[[#This Row],[Date]]),Log_2019[[#This Row],[Split_apply]])) - SUM($O160:T160)</f>
        <v>0</v>
      </c>
      <c r="V160" s="52">
        <f ca="1">Log_2019[[#This Row],[Amount]]/Log_2019[[#This Row],[Split_raw]]*MAX(0,MIN(_xlfn.DAYS(EDATE(V$1,1),Log_2019[[#This Row],[Date]]),Log_2019[[#This Row],[Split_apply]])) - SUM($O160:U160)</f>
        <v>0</v>
      </c>
      <c r="W160" s="52">
        <f ca="1">Log_2019[[#This Row],[Amount]]/Log_2019[[#This Row],[Split_raw]]*MAX(0,MIN(_xlfn.DAYS(EDATE(W$1,1),Log_2019[[#This Row],[Date]]),Log_2019[[#This Row],[Split_apply]])) - SUM($O160:V160)</f>
        <v>0</v>
      </c>
      <c r="X160" s="52">
        <f ca="1">Log_2019[[#This Row],[Amount]]/Log_2019[[#This Row],[Split_raw]]*MAX(0,MIN(_xlfn.DAYS(EDATE(X$1,1),Log_2019[[#This Row],[Date]]),Log_2019[[#This Row],[Split_apply]])) - SUM($O160:W160)</f>
        <v>0</v>
      </c>
      <c r="Y160" s="52">
        <f ca="1">Log_2019[[#This Row],[Amount]]/Log_2019[[#This Row],[Split_raw]]*MAX(0,MIN(_xlfn.DAYS(EDATE(Y$1,1),Log_2019[[#This Row],[Date]]),Log_2019[[#This Row],[Split_apply]])) - SUM($O160:X160)</f>
        <v>0</v>
      </c>
      <c r="Z160" s="52">
        <f ca="1">Log_2019[[#This Row],[Amount]]/Log_2019[[#This Row],[Split_raw]]*MAX(0,MIN(_xlfn.DAYS(EDATE(Z$1,1),Log_2019[[#This Row],[Date]]),Log_2019[[#This Row],[Split_apply]])) - SUM($O160:Y160)</f>
        <v>0</v>
      </c>
      <c r="AA160" s="52">
        <f ca="1">Log_2019[[#This Row],[Amount]]/Log_2019[[#This Row],[Split_raw]]*MAX(0,MIN(_xlfn.DAYS(EDATE(AA$1,1),Log_2019[[#This Row],[Date]]),Log_2019[[#This Row],[Split_apply]])) - SUM($O160:Z160)</f>
        <v>0</v>
      </c>
      <c r="AB160" s="54">
        <f ca="1">Log_2019[[#This Row],[Amount]]-SUM(O160:AA160)</f>
        <v>0</v>
      </c>
      <c r="AC160" s="7">
        <f>MAX(0,Log_2019[[#This Row],[Split_raw]] - (EDATE(AA$1,1)-Log_2019[[#This Row],[Date]]))</f>
        <v>0</v>
      </c>
    </row>
    <row r="161" spans="1:29" x14ac:dyDescent="0.25">
      <c r="A161" s="42"/>
      <c r="B161" s="34" t="s">
        <v>6</v>
      </c>
      <c r="C161" s="34"/>
      <c r="D161" s="35">
        <v>43747</v>
      </c>
      <c r="E161" s="34" t="s">
        <v>798</v>
      </c>
      <c r="F161" s="34" t="s">
        <v>778</v>
      </c>
      <c r="G161" s="34" t="s">
        <v>114</v>
      </c>
      <c r="H161">
        <v>-24.57</v>
      </c>
      <c r="I161" s="36">
        <f>IF(Log_2019[[#This Row],[My Category]]="NONTRACKED",0,Log_2019[[#This Row],[Raw Amount]])</f>
        <v>0</v>
      </c>
      <c r="J161" s="37">
        <f>ABS(Log_2019[[#This Row],[Amount]])</f>
        <v>0</v>
      </c>
      <c r="K161" s="38">
        <v>1</v>
      </c>
      <c r="L161" s="38">
        <f ca="1">IF(Log_2019[[#This Row],[Date]]&lt;=TODAY(), MIN(Log_2019[[#This Row],[Split_raw]], TODAY()-Log_2019[[#This Row],[Date]]+1), 0)</f>
        <v>1</v>
      </c>
      <c r="M161" s="34" t="s">
        <v>755</v>
      </c>
      <c r="N161" s="34" t="s">
        <v>158</v>
      </c>
      <c r="O161" s="7">
        <v>0</v>
      </c>
      <c r="P161" s="52">
        <f ca="1">Log_2019[[#This Row],[Amount]]/Log_2019[[#This Row],[Split_raw]]*MAX(0,MIN(_xlfn.DAYS(EDATE(P$1,1),Log_2019[[#This Row],[Date]]),Log_2019[[#This Row],[Split_apply]])) - SUM($O161:O161)</f>
        <v>0</v>
      </c>
      <c r="Q161" s="52">
        <f ca="1">Log_2019[[#This Row],[Amount]]/Log_2019[[#This Row],[Split_raw]]*MAX(0,MIN(_xlfn.DAYS(EDATE(Q$1,1),Log_2019[[#This Row],[Date]]),Log_2019[[#This Row],[Split_apply]])) - SUM($O161:P161)</f>
        <v>0</v>
      </c>
      <c r="R161" s="52">
        <f ca="1">Log_2019[[#This Row],[Amount]]/Log_2019[[#This Row],[Split_raw]]*MAX(0,MIN(_xlfn.DAYS(EDATE(R$1,1),Log_2019[[#This Row],[Date]]),Log_2019[[#This Row],[Split_apply]])) - SUM($O161:Q161)</f>
        <v>0</v>
      </c>
      <c r="S161" s="52">
        <f ca="1">Log_2019[[#This Row],[Amount]]/Log_2019[[#This Row],[Split_raw]]*MAX(0,MIN(_xlfn.DAYS(EDATE(S$1,1),Log_2019[[#This Row],[Date]]),Log_2019[[#This Row],[Split_apply]])) - SUM($O161:R161)</f>
        <v>0</v>
      </c>
      <c r="T161" s="52">
        <f ca="1">Log_2019[[#This Row],[Amount]]/Log_2019[[#This Row],[Split_raw]]*MAX(0,MIN(_xlfn.DAYS(EDATE(T$1,1),Log_2019[[#This Row],[Date]]),Log_2019[[#This Row],[Split_apply]])) - SUM($O161:S161)</f>
        <v>0</v>
      </c>
      <c r="U161" s="52">
        <f ca="1">Log_2019[[#This Row],[Amount]]/Log_2019[[#This Row],[Split_raw]]*MAX(0,MIN(_xlfn.DAYS(EDATE(U$1,1),Log_2019[[#This Row],[Date]]),Log_2019[[#This Row],[Split_apply]])) - SUM($O161:T161)</f>
        <v>0</v>
      </c>
      <c r="V161" s="52">
        <f ca="1">Log_2019[[#This Row],[Amount]]/Log_2019[[#This Row],[Split_raw]]*MAX(0,MIN(_xlfn.DAYS(EDATE(V$1,1),Log_2019[[#This Row],[Date]]),Log_2019[[#This Row],[Split_apply]])) - SUM($O161:U161)</f>
        <v>0</v>
      </c>
      <c r="W161" s="52">
        <f ca="1">Log_2019[[#This Row],[Amount]]/Log_2019[[#This Row],[Split_raw]]*MAX(0,MIN(_xlfn.DAYS(EDATE(W$1,1),Log_2019[[#This Row],[Date]]),Log_2019[[#This Row],[Split_apply]])) - SUM($O161:V161)</f>
        <v>0</v>
      </c>
      <c r="X161" s="52">
        <f ca="1">Log_2019[[#This Row],[Amount]]/Log_2019[[#This Row],[Split_raw]]*MAX(0,MIN(_xlfn.DAYS(EDATE(X$1,1),Log_2019[[#This Row],[Date]]),Log_2019[[#This Row],[Split_apply]])) - SUM($O161:W161)</f>
        <v>0</v>
      </c>
      <c r="Y161" s="52">
        <f ca="1">Log_2019[[#This Row],[Amount]]/Log_2019[[#This Row],[Split_raw]]*MAX(0,MIN(_xlfn.DAYS(EDATE(Y$1,1),Log_2019[[#This Row],[Date]]),Log_2019[[#This Row],[Split_apply]])) - SUM($O161:X161)</f>
        <v>0</v>
      </c>
      <c r="Z161" s="52">
        <f ca="1">Log_2019[[#This Row],[Amount]]/Log_2019[[#This Row],[Split_raw]]*MAX(0,MIN(_xlfn.DAYS(EDATE(Z$1,1),Log_2019[[#This Row],[Date]]),Log_2019[[#This Row],[Split_apply]])) - SUM($O161:Y161)</f>
        <v>0</v>
      </c>
      <c r="AA161" s="52">
        <f ca="1">Log_2019[[#This Row],[Amount]]/Log_2019[[#This Row],[Split_raw]]*MAX(0,MIN(_xlfn.DAYS(EDATE(AA$1,1),Log_2019[[#This Row],[Date]]),Log_2019[[#This Row],[Split_apply]])) - SUM($O161:Z161)</f>
        <v>0</v>
      </c>
      <c r="AB161" s="54">
        <f ca="1">Log_2019[[#This Row],[Amount]]-SUM(O161:AA161)</f>
        <v>0</v>
      </c>
      <c r="AC161" s="7">
        <f>MAX(0,Log_2019[[#This Row],[Split_raw]] - (EDATE(AA$1,1)-Log_2019[[#This Row],[Date]]))</f>
        <v>0</v>
      </c>
    </row>
    <row r="162" spans="1:29" x14ac:dyDescent="0.25">
      <c r="A162" s="42"/>
      <c r="B162" s="34" t="s">
        <v>6</v>
      </c>
      <c r="C162" s="34"/>
      <c r="D162" s="41">
        <v>43746</v>
      </c>
      <c r="E162" s="34"/>
      <c r="F162" s="34" t="s">
        <v>345</v>
      </c>
      <c r="G162" s="34" t="s">
        <v>12</v>
      </c>
      <c r="H162">
        <v>-130.24</v>
      </c>
      <c r="I162" s="36">
        <f>IF(Log_2019[[#This Row],[My Category]]="NONTRACKED",0,Log_2019[[#This Row],[Raw Amount]])</f>
        <v>-130.24</v>
      </c>
      <c r="J162" s="37">
        <f>ABS(Log_2019[[#This Row],[Amount]])</f>
        <v>130.24</v>
      </c>
      <c r="K162" s="38">
        <v>1</v>
      </c>
      <c r="L162" s="38">
        <f ca="1">IF(Log_2019[[#This Row],[Date]]&lt;=TODAY(), MIN(Log_2019[[#This Row],[Split_raw]], TODAY()-Log_2019[[#This Row],[Date]]+1), 0)</f>
        <v>1</v>
      </c>
      <c r="M162" s="34" t="s">
        <v>12</v>
      </c>
      <c r="N162" s="34" t="s">
        <v>158</v>
      </c>
      <c r="O162" s="7">
        <v>0</v>
      </c>
      <c r="P162" s="52">
        <f ca="1">Log_2019[[#This Row],[Amount]]/Log_2019[[#This Row],[Split_raw]]*MAX(0,MIN(_xlfn.DAYS(EDATE(P$1,1),Log_2019[[#This Row],[Date]]),Log_2019[[#This Row],[Split_apply]])) - SUM($O162:O162)</f>
        <v>0</v>
      </c>
      <c r="Q162" s="52">
        <f ca="1">Log_2019[[#This Row],[Amount]]/Log_2019[[#This Row],[Split_raw]]*MAX(0,MIN(_xlfn.DAYS(EDATE(Q$1,1),Log_2019[[#This Row],[Date]]),Log_2019[[#This Row],[Split_apply]])) - SUM($O162:P162)</f>
        <v>0</v>
      </c>
      <c r="R162" s="52">
        <f ca="1">Log_2019[[#This Row],[Amount]]/Log_2019[[#This Row],[Split_raw]]*MAX(0,MIN(_xlfn.DAYS(EDATE(R$1,1),Log_2019[[#This Row],[Date]]),Log_2019[[#This Row],[Split_apply]])) - SUM($O162:Q162)</f>
        <v>0</v>
      </c>
      <c r="S162" s="52">
        <f ca="1">Log_2019[[#This Row],[Amount]]/Log_2019[[#This Row],[Split_raw]]*MAX(0,MIN(_xlfn.DAYS(EDATE(S$1,1),Log_2019[[#This Row],[Date]]),Log_2019[[#This Row],[Split_apply]])) - SUM($O162:R162)</f>
        <v>0</v>
      </c>
      <c r="T162" s="52">
        <f ca="1">Log_2019[[#This Row],[Amount]]/Log_2019[[#This Row],[Split_raw]]*MAX(0,MIN(_xlfn.DAYS(EDATE(T$1,1),Log_2019[[#This Row],[Date]]),Log_2019[[#This Row],[Split_apply]])) - SUM($O162:S162)</f>
        <v>0</v>
      </c>
      <c r="U162" s="52">
        <f ca="1">Log_2019[[#This Row],[Amount]]/Log_2019[[#This Row],[Split_raw]]*MAX(0,MIN(_xlfn.DAYS(EDATE(U$1,1),Log_2019[[#This Row],[Date]]),Log_2019[[#This Row],[Split_apply]])) - SUM($O162:T162)</f>
        <v>0</v>
      </c>
      <c r="V162" s="52">
        <f ca="1">Log_2019[[#This Row],[Amount]]/Log_2019[[#This Row],[Split_raw]]*MAX(0,MIN(_xlfn.DAYS(EDATE(V$1,1),Log_2019[[#This Row],[Date]]),Log_2019[[#This Row],[Split_apply]])) - SUM($O162:U162)</f>
        <v>0</v>
      </c>
      <c r="W162" s="52">
        <f ca="1">Log_2019[[#This Row],[Amount]]/Log_2019[[#This Row],[Split_raw]]*MAX(0,MIN(_xlfn.DAYS(EDATE(W$1,1),Log_2019[[#This Row],[Date]]),Log_2019[[#This Row],[Split_apply]])) - SUM($O162:V162)</f>
        <v>0</v>
      </c>
      <c r="X162" s="52">
        <f ca="1">Log_2019[[#This Row],[Amount]]/Log_2019[[#This Row],[Split_raw]]*MAX(0,MIN(_xlfn.DAYS(EDATE(X$1,1),Log_2019[[#This Row],[Date]]),Log_2019[[#This Row],[Split_apply]])) - SUM($O162:W162)</f>
        <v>0</v>
      </c>
      <c r="Y162" s="52">
        <f ca="1">Log_2019[[#This Row],[Amount]]/Log_2019[[#This Row],[Split_raw]]*MAX(0,MIN(_xlfn.DAYS(EDATE(Y$1,1),Log_2019[[#This Row],[Date]]),Log_2019[[#This Row],[Split_apply]])) - SUM($O162:X162)</f>
        <v>-130.24</v>
      </c>
      <c r="Z162" s="52">
        <f ca="1">Log_2019[[#This Row],[Amount]]/Log_2019[[#This Row],[Split_raw]]*MAX(0,MIN(_xlfn.DAYS(EDATE(Z$1,1),Log_2019[[#This Row],[Date]]),Log_2019[[#This Row],[Split_apply]])) - SUM($O162:Y162)</f>
        <v>0</v>
      </c>
      <c r="AA162" s="52">
        <f ca="1">Log_2019[[#This Row],[Amount]]/Log_2019[[#This Row],[Split_raw]]*MAX(0,MIN(_xlfn.DAYS(EDATE(AA$1,1),Log_2019[[#This Row],[Date]]),Log_2019[[#This Row],[Split_apply]])) - SUM($O162:Z162)</f>
        <v>0</v>
      </c>
      <c r="AB162" s="54">
        <f ca="1">Log_2019[[#This Row],[Amount]]-SUM(O162:AA162)</f>
        <v>0</v>
      </c>
      <c r="AC162" s="7">
        <f>MAX(0,Log_2019[[#This Row],[Split_raw]] - (EDATE(AA$1,1)-Log_2019[[#This Row],[Date]]))</f>
        <v>0</v>
      </c>
    </row>
    <row r="163" spans="1:29" x14ac:dyDescent="0.25">
      <c r="A163" s="42"/>
      <c r="B163" s="34" t="s">
        <v>6</v>
      </c>
      <c r="C163" s="34"/>
      <c r="D163" s="41">
        <v>43746</v>
      </c>
      <c r="E163" s="34"/>
      <c r="F163" s="34" t="s">
        <v>105</v>
      </c>
      <c r="G163" s="34" t="s">
        <v>104</v>
      </c>
      <c r="H163">
        <f>--2135.52</f>
        <v>2135.52</v>
      </c>
      <c r="I163" s="36">
        <f>IF(Log_2019[[#This Row],[My Category]]="NONTRACKED",0,Log_2019[[#This Row],[Raw Amount]])</f>
        <v>2135.52</v>
      </c>
      <c r="J163" s="37">
        <f>ABS(Log_2019[[#This Row],[Amount]])</f>
        <v>2135.52</v>
      </c>
      <c r="K163" s="38">
        <v>1</v>
      </c>
      <c r="L163" s="38">
        <f ca="1">IF(Log_2019[[#This Row],[Date]]&lt;=TODAY(), MIN(Log_2019[[#This Row],[Split_raw]], TODAY()-Log_2019[[#This Row],[Date]]+1), 0)</f>
        <v>1</v>
      </c>
      <c r="M163" s="34" t="s">
        <v>159</v>
      </c>
      <c r="N163" s="34" t="s">
        <v>158</v>
      </c>
      <c r="O163" s="7">
        <v>0</v>
      </c>
      <c r="P163" s="52">
        <f ca="1">Log_2019[[#This Row],[Amount]]/Log_2019[[#This Row],[Split_raw]]*MAX(0,MIN(_xlfn.DAYS(EDATE(P$1,1),Log_2019[[#This Row],[Date]]),Log_2019[[#This Row],[Split_apply]])) - SUM($O163:O163)</f>
        <v>0</v>
      </c>
      <c r="Q163" s="52">
        <f ca="1">Log_2019[[#This Row],[Amount]]/Log_2019[[#This Row],[Split_raw]]*MAX(0,MIN(_xlfn.DAYS(EDATE(Q$1,1),Log_2019[[#This Row],[Date]]),Log_2019[[#This Row],[Split_apply]])) - SUM($O163:P163)</f>
        <v>0</v>
      </c>
      <c r="R163" s="52">
        <f ca="1">Log_2019[[#This Row],[Amount]]/Log_2019[[#This Row],[Split_raw]]*MAX(0,MIN(_xlfn.DAYS(EDATE(R$1,1),Log_2019[[#This Row],[Date]]),Log_2019[[#This Row],[Split_apply]])) - SUM($O163:Q163)</f>
        <v>0</v>
      </c>
      <c r="S163" s="52">
        <f ca="1">Log_2019[[#This Row],[Amount]]/Log_2019[[#This Row],[Split_raw]]*MAX(0,MIN(_xlfn.DAYS(EDATE(S$1,1),Log_2019[[#This Row],[Date]]),Log_2019[[#This Row],[Split_apply]])) - SUM($O163:R163)</f>
        <v>0</v>
      </c>
      <c r="T163" s="52">
        <f ca="1">Log_2019[[#This Row],[Amount]]/Log_2019[[#This Row],[Split_raw]]*MAX(0,MIN(_xlfn.DAYS(EDATE(T$1,1),Log_2019[[#This Row],[Date]]),Log_2019[[#This Row],[Split_apply]])) - SUM($O163:S163)</f>
        <v>0</v>
      </c>
      <c r="U163" s="52">
        <f ca="1">Log_2019[[#This Row],[Amount]]/Log_2019[[#This Row],[Split_raw]]*MAX(0,MIN(_xlfn.DAYS(EDATE(U$1,1),Log_2019[[#This Row],[Date]]),Log_2019[[#This Row],[Split_apply]])) - SUM($O163:T163)</f>
        <v>0</v>
      </c>
      <c r="V163" s="52">
        <f ca="1">Log_2019[[#This Row],[Amount]]/Log_2019[[#This Row],[Split_raw]]*MAX(0,MIN(_xlfn.DAYS(EDATE(V$1,1),Log_2019[[#This Row],[Date]]),Log_2019[[#This Row],[Split_apply]])) - SUM($O163:U163)</f>
        <v>0</v>
      </c>
      <c r="W163" s="52">
        <f ca="1">Log_2019[[#This Row],[Amount]]/Log_2019[[#This Row],[Split_raw]]*MAX(0,MIN(_xlfn.DAYS(EDATE(W$1,1),Log_2019[[#This Row],[Date]]),Log_2019[[#This Row],[Split_apply]])) - SUM($O163:V163)</f>
        <v>0</v>
      </c>
      <c r="X163" s="52">
        <f ca="1">Log_2019[[#This Row],[Amount]]/Log_2019[[#This Row],[Split_raw]]*MAX(0,MIN(_xlfn.DAYS(EDATE(X$1,1),Log_2019[[#This Row],[Date]]),Log_2019[[#This Row],[Split_apply]])) - SUM($O163:W163)</f>
        <v>0</v>
      </c>
      <c r="Y163" s="52">
        <f ca="1">Log_2019[[#This Row],[Amount]]/Log_2019[[#This Row],[Split_raw]]*MAX(0,MIN(_xlfn.DAYS(EDATE(Y$1,1),Log_2019[[#This Row],[Date]]),Log_2019[[#This Row],[Split_apply]])) - SUM($O163:X163)</f>
        <v>2135.52</v>
      </c>
      <c r="Z163" s="52">
        <f ca="1">Log_2019[[#This Row],[Amount]]/Log_2019[[#This Row],[Split_raw]]*MAX(0,MIN(_xlfn.DAYS(EDATE(Z$1,1),Log_2019[[#This Row],[Date]]),Log_2019[[#This Row],[Split_apply]])) - SUM($O163:Y163)</f>
        <v>0</v>
      </c>
      <c r="AA163" s="52">
        <f ca="1">Log_2019[[#This Row],[Amount]]/Log_2019[[#This Row],[Split_raw]]*MAX(0,MIN(_xlfn.DAYS(EDATE(AA$1,1),Log_2019[[#This Row],[Date]]),Log_2019[[#This Row],[Split_apply]])) - SUM($O163:Z163)</f>
        <v>0</v>
      </c>
      <c r="AB163" s="54">
        <f ca="1">Log_2019[[#This Row],[Amount]]-SUM(O163:AA163)</f>
        <v>0</v>
      </c>
      <c r="AC163" s="7">
        <f>MAX(0,Log_2019[[#This Row],[Split_raw]] - (EDATE(AA$1,1)-Log_2019[[#This Row],[Date]]))</f>
        <v>0</v>
      </c>
    </row>
    <row r="164" spans="1:29" x14ac:dyDescent="0.25">
      <c r="A164" s="42"/>
      <c r="B164" s="34" t="s">
        <v>6</v>
      </c>
      <c r="C164" s="34"/>
      <c r="D164" s="41">
        <v>43746</v>
      </c>
      <c r="E164" s="34"/>
      <c r="F164" s="34" t="s">
        <v>694</v>
      </c>
      <c r="G164" s="34" t="s">
        <v>19</v>
      </c>
      <c r="H164">
        <v>-12</v>
      </c>
      <c r="I164" s="36">
        <f>IF(Log_2019[[#This Row],[My Category]]="NONTRACKED",0,Log_2019[[#This Row],[Raw Amount]])</f>
        <v>-12</v>
      </c>
      <c r="J164" s="37">
        <f>ABS(Log_2019[[#This Row],[Amount]])</f>
        <v>12</v>
      </c>
      <c r="K164" s="38">
        <v>1</v>
      </c>
      <c r="L164" s="38">
        <f ca="1">IF(Log_2019[[#This Row],[Date]]&lt;=TODAY(), MIN(Log_2019[[#This Row],[Split_raw]], TODAY()-Log_2019[[#This Row],[Date]]+1), 0)</f>
        <v>1</v>
      </c>
      <c r="M164" s="34" t="s">
        <v>35</v>
      </c>
      <c r="N164" s="34" t="s">
        <v>158</v>
      </c>
      <c r="O164" s="7">
        <v>0</v>
      </c>
      <c r="P164" s="52">
        <f ca="1">Log_2019[[#This Row],[Amount]]/Log_2019[[#This Row],[Split_raw]]*MAX(0,MIN(_xlfn.DAYS(EDATE(P$1,1),Log_2019[[#This Row],[Date]]),Log_2019[[#This Row],[Split_apply]])) - SUM($O164:O164)</f>
        <v>0</v>
      </c>
      <c r="Q164" s="52">
        <f ca="1">Log_2019[[#This Row],[Amount]]/Log_2019[[#This Row],[Split_raw]]*MAX(0,MIN(_xlfn.DAYS(EDATE(Q$1,1),Log_2019[[#This Row],[Date]]),Log_2019[[#This Row],[Split_apply]])) - SUM($O164:P164)</f>
        <v>0</v>
      </c>
      <c r="R164" s="52">
        <f ca="1">Log_2019[[#This Row],[Amount]]/Log_2019[[#This Row],[Split_raw]]*MAX(0,MIN(_xlfn.DAYS(EDATE(R$1,1),Log_2019[[#This Row],[Date]]),Log_2019[[#This Row],[Split_apply]])) - SUM($O164:Q164)</f>
        <v>0</v>
      </c>
      <c r="S164" s="52">
        <f ca="1">Log_2019[[#This Row],[Amount]]/Log_2019[[#This Row],[Split_raw]]*MAX(0,MIN(_xlfn.DAYS(EDATE(S$1,1),Log_2019[[#This Row],[Date]]),Log_2019[[#This Row],[Split_apply]])) - SUM($O164:R164)</f>
        <v>0</v>
      </c>
      <c r="T164" s="52">
        <f ca="1">Log_2019[[#This Row],[Amount]]/Log_2019[[#This Row],[Split_raw]]*MAX(0,MIN(_xlfn.DAYS(EDATE(T$1,1),Log_2019[[#This Row],[Date]]),Log_2019[[#This Row],[Split_apply]])) - SUM($O164:S164)</f>
        <v>0</v>
      </c>
      <c r="U164" s="52">
        <f ca="1">Log_2019[[#This Row],[Amount]]/Log_2019[[#This Row],[Split_raw]]*MAX(0,MIN(_xlfn.DAYS(EDATE(U$1,1),Log_2019[[#This Row],[Date]]),Log_2019[[#This Row],[Split_apply]])) - SUM($O164:T164)</f>
        <v>0</v>
      </c>
      <c r="V164" s="52">
        <f ca="1">Log_2019[[#This Row],[Amount]]/Log_2019[[#This Row],[Split_raw]]*MAX(0,MIN(_xlfn.DAYS(EDATE(V$1,1),Log_2019[[#This Row],[Date]]),Log_2019[[#This Row],[Split_apply]])) - SUM($O164:U164)</f>
        <v>0</v>
      </c>
      <c r="W164" s="52">
        <f ca="1">Log_2019[[#This Row],[Amount]]/Log_2019[[#This Row],[Split_raw]]*MAX(0,MIN(_xlfn.DAYS(EDATE(W$1,1),Log_2019[[#This Row],[Date]]),Log_2019[[#This Row],[Split_apply]])) - SUM($O164:V164)</f>
        <v>0</v>
      </c>
      <c r="X164" s="52">
        <f ca="1">Log_2019[[#This Row],[Amount]]/Log_2019[[#This Row],[Split_raw]]*MAX(0,MIN(_xlfn.DAYS(EDATE(X$1,1),Log_2019[[#This Row],[Date]]),Log_2019[[#This Row],[Split_apply]])) - SUM($O164:W164)</f>
        <v>0</v>
      </c>
      <c r="Y164" s="52">
        <f ca="1">Log_2019[[#This Row],[Amount]]/Log_2019[[#This Row],[Split_raw]]*MAX(0,MIN(_xlfn.DAYS(EDATE(Y$1,1),Log_2019[[#This Row],[Date]]),Log_2019[[#This Row],[Split_apply]])) - SUM($O164:X164)</f>
        <v>-12</v>
      </c>
      <c r="Z164" s="52">
        <f ca="1">Log_2019[[#This Row],[Amount]]/Log_2019[[#This Row],[Split_raw]]*MAX(0,MIN(_xlfn.DAYS(EDATE(Z$1,1),Log_2019[[#This Row],[Date]]),Log_2019[[#This Row],[Split_apply]])) - SUM($O164:Y164)</f>
        <v>0</v>
      </c>
      <c r="AA164" s="52">
        <f ca="1">Log_2019[[#This Row],[Amount]]/Log_2019[[#This Row],[Split_raw]]*MAX(0,MIN(_xlfn.DAYS(EDATE(AA$1,1),Log_2019[[#This Row],[Date]]),Log_2019[[#This Row],[Split_apply]])) - SUM($O164:Z164)</f>
        <v>0</v>
      </c>
      <c r="AB164" s="54">
        <f ca="1">Log_2019[[#This Row],[Amount]]-SUM(O164:AA164)</f>
        <v>0</v>
      </c>
      <c r="AC164" s="7">
        <f>MAX(0,Log_2019[[#This Row],[Split_raw]] - (EDATE(AA$1,1)-Log_2019[[#This Row],[Date]]))</f>
        <v>0</v>
      </c>
    </row>
    <row r="165" spans="1:29" x14ac:dyDescent="0.25">
      <c r="A165" s="42"/>
      <c r="B165" s="34" t="s">
        <v>6</v>
      </c>
      <c r="C165" s="34"/>
      <c r="D165" s="41">
        <v>43745</v>
      </c>
      <c r="E165" s="34"/>
      <c r="F165" s="34" t="s">
        <v>699</v>
      </c>
      <c r="G165" s="34" t="s">
        <v>29</v>
      </c>
      <c r="H165">
        <v>-21.5</v>
      </c>
      <c r="I165" s="36">
        <f>IF(Log_2019[[#This Row],[My Category]]="NONTRACKED",0,Log_2019[[#This Row],[Raw Amount]])</f>
        <v>-21.5</v>
      </c>
      <c r="J165" s="37">
        <f>ABS(Log_2019[[#This Row],[Amount]])</f>
        <v>21.5</v>
      </c>
      <c r="K165" s="38">
        <v>30</v>
      </c>
      <c r="L165" s="38">
        <f ca="1">IF(Log_2019[[#This Row],[Date]]&lt;=TODAY(), MIN(Log_2019[[#This Row],[Split_raw]], TODAY()-Log_2019[[#This Row],[Date]]+1), 0)</f>
        <v>30</v>
      </c>
      <c r="M165" s="34" t="s">
        <v>29</v>
      </c>
      <c r="N165" s="34" t="s">
        <v>160</v>
      </c>
      <c r="O165" s="7">
        <v>0</v>
      </c>
      <c r="P165" s="52">
        <f ca="1">Log_2019[[#This Row],[Amount]]/Log_2019[[#This Row],[Split_raw]]*MAX(0,MIN(_xlfn.DAYS(EDATE(P$1,1),Log_2019[[#This Row],[Date]]),Log_2019[[#This Row],[Split_apply]])) - SUM($O165:O165)</f>
        <v>0</v>
      </c>
      <c r="Q165" s="52">
        <f ca="1">Log_2019[[#This Row],[Amount]]/Log_2019[[#This Row],[Split_raw]]*MAX(0,MIN(_xlfn.DAYS(EDATE(Q$1,1),Log_2019[[#This Row],[Date]]),Log_2019[[#This Row],[Split_apply]])) - SUM($O165:P165)</f>
        <v>0</v>
      </c>
      <c r="R165" s="52">
        <f ca="1">Log_2019[[#This Row],[Amount]]/Log_2019[[#This Row],[Split_raw]]*MAX(0,MIN(_xlfn.DAYS(EDATE(R$1,1),Log_2019[[#This Row],[Date]]),Log_2019[[#This Row],[Split_apply]])) - SUM($O165:Q165)</f>
        <v>0</v>
      </c>
      <c r="S165" s="52">
        <f ca="1">Log_2019[[#This Row],[Amount]]/Log_2019[[#This Row],[Split_raw]]*MAX(0,MIN(_xlfn.DAYS(EDATE(S$1,1),Log_2019[[#This Row],[Date]]),Log_2019[[#This Row],[Split_apply]])) - SUM($O165:R165)</f>
        <v>0</v>
      </c>
      <c r="T165" s="52">
        <f ca="1">Log_2019[[#This Row],[Amount]]/Log_2019[[#This Row],[Split_raw]]*MAX(0,MIN(_xlfn.DAYS(EDATE(T$1,1),Log_2019[[#This Row],[Date]]),Log_2019[[#This Row],[Split_apply]])) - SUM($O165:S165)</f>
        <v>0</v>
      </c>
      <c r="U165" s="52">
        <f ca="1">Log_2019[[#This Row],[Amount]]/Log_2019[[#This Row],[Split_raw]]*MAX(0,MIN(_xlfn.DAYS(EDATE(U$1,1),Log_2019[[#This Row],[Date]]),Log_2019[[#This Row],[Split_apply]])) - SUM($O165:T165)</f>
        <v>0</v>
      </c>
      <c r="V165" s="52">
        <f ca="1">Log_2019[[#This Row],[Amount]]/Log_2019[[#This Row],[Split_raw]]*MAX(0,MIN(_xlfn.DAYS(EDATE(V$1,1),Log_2019[[#This Row],[Date]]),Log_2019[[#This Row],[Split_apply]])) - SUM($O165:U165)</f>
        <v>0</v>
      </c>
      <c r="W165" s="52">
        <f ca="1">Log_2019[[#This Row],[Amount]]/Log_2019[[#This Row],[Split_raw]]*MAX(0,MIN(_xlfn.DAYS(EDATE(W$1,1),Log_2019[[#This Row],[Date]]),Log_2019[[#This Row],[Split_apply]])) - SUM($O165:V165)</f>
        <v>0</v>
      </c>
      <c r="X165" s="52">
        <f ca="1">Log_2019[[#This Row],[Amount]]/Log_2019[[#This Row],[Split_raw]]*MAX(0,MIN(_xlfn.DAYS(EDATE(X$1,1),Log_2019[[#This Row],[Date]]),Log_2019[[#This Row],[Split_apply]])) - SUM($O165:W165)</f>
        <v>0</v>
      </c>
      <c r="Y165" s="52">
        <f ca="1">Log_2019[[#This Row],[Amount]]/Log_2019[[#This Row],[Split_raw]]*MAX(0,MIN(_xlfn.DAYS(EDATE(Y$1,1),Log_2019[[#This Row],[Date]]),Log_2019[[#This Row],[Split_apply]])) - SUM($O165:X165)</f>
        <v>-17.916666666666668</v>
      </c>
      <c r="Z165" s="52">
        <f ca="1">Log_2019[[#This Row],[Amount]]/Log_2019[[#This Row],[Split_raw]]*MAX(0,MIN(_xlfn.DAYS(EDATE(Z$1,1),Log_2019[[#This Row],[Date]]),Log_2019[[#This Row],[Split_apply]])) - SUM($O165:Y165)</f>
        <v>-3.5833333333333321</v>
      </c>
      <c r="AA165" s="52">
        <f ca="1">Log_2019[[#This Row],[Amount]]/Log_2019[[#This Row],[Split_raw]]*MAX(0,MIN(_xlfn.DAYS(EDATE(AA$1,1),Log_2019[[#This Row],[Date]]),Log_2019[[#This Row],[Split_apply]])) - SUM($O165:Z165)</f>
        <v>0</v>
      </c>
      <c r="AB165" s="54">
        <f ca="1">Log_2019[[#This Row],[Amount]]-SUM(O165:AA165)</f>
        <v>0</v>
      </c>
      <c r="AC165" s="7">
        <f>MAX(0,Log_2019[[#This Row],[Split_raw]] - (EDATE(AA$1,1)-Log_2019[[#This Row],[Date]]))</f>
        <v>0</v>
      </c>
    </row>
    <row r="166" spans="1:29" x14ac:dyDescent="0.25">
      <c r="A166" s="42"/>
      <c r="B166" s="34" t="s">
        <v>6</v>
      </c>
      <c r="C166" s="34"/>
      <c r="D166" s="41">
        <v>43745</v>
      </c>
      <c r="E166" s="34"/>
      <c r="F166" s="34" t="s">
        <v>255</v>
      </c>
      <c r="G166" s="34" t="s">
        <v>10</v>
      </c>
      <c r="H166">
        <v>-8.84</v>
      </c>
      <c r="I166" s="36">
        <f>IF(Log_2019[[#This Row],[My Category]]="NONTRACKED",0,Log_2019[[#This Row],[Raw Amount]])</f>
        <v>-8.84</v>
      </c>
      <c r="J166" s="37">
        <f>ABS(Log_2019[[#This Row],[Amount]])</f>
        <v>8.84</v>
      </c>
      <c r="K166" s="38">
        <v>1</v>
      </c>
      <c r="L166" s="38">
        <f ca="1">IF(Log_2019[[#This Row],[Date]]&lt;=TODAY(), MIN(Log_2019[[#This Row],[Split_raw]], TODAY()-Log_2019[[#This Row],[Date]]+1), 0)</f>
        <v>1</v>
      </c>
      <c r="M166" s="34" t="s">
        <v>35</v>
      </c>
      <c r="N166" s="34" t="s">
        <v>158</v>
      </c>
      <c r="O166" s="7">
        <v>0</v>
      </c>
      <c r="P166" s="52">
        <f ca="1">Log_2019[[#This Row],[Amount]]/Log_2019[[#This Row],[Split_raw]]*MAX(0,MIN(_xlfn.DAYS(EDATE(P$1,1),Log_2019[[#This Row],[Date]]),Log_2019[[#This Row],[Split_apply]])) - SUM($O166:O166)</f>
        <v>0</v>
      </c>
      <c r="Q166" s="52">
        <f ca="1">Log_2019[[#This Row],[Amount]]/Log_2019[[#This Row],[Split_raw]]*MAX(0,MIN(_xlfn.DAYS(EDATE(Q$1,1),Log_2019[[#This Row],[Date]]),Log_2019[[#This Row],[Split_apply]])) - SUM($O166:P166)</f>
        <v>0</v>
      </c>
      <c r="R166" s="52">
        <f ca="1">Log_2019[[#This Row],[Amount]]/Log_2019[[#This Row],[Split_raw]]*MAX(0,MIN(_xlfn.DAYS(EDATE(R$1,1),Log_2019[[#This Row],[Date]]),Log_2019[[#This Row],[Split_apply]])) - SUM($O166:Q166)</f>
        <v>0</v>
      </c>
      <c r="S166" s="52">
        <f ca="1">Log_2019[[#This Row],[Amount]]/Log_2019[[#This Row],[Split_raw]]*MAX(0,MIN(_xlfn.DAYS(EDATE(S$1,1),Log_2019[[#This Row],[Date]]),Log_2019[[#This Row],[Split_apply]])) - SUM($O166:R166)</f>
        <v>0</v>
      </c>
      <c r="T166" s="52">
        <f ca="1">Log_2019[[#This Row],[Amount]]/Log_2019[[#This Row],[Split_raw]]*MAX(0,MIN(_xlfn.DAYS(EDATE(T$1,1),Log_2019[[#This Row],[Date]]),Log_2019[[#This Row],[Split_apply]])) - SUM($O166:S166)</f>
        <v>0</v>
      </c>
      <c r="U166" s="52">
        <f ca="1">Log_2019[[#This Row],[Amount]]/Log_2019[[#This Row],[Split_raw]]*MAX(0,MIN(_xlfn.DAYS(EDATE(U$1,1),Log_2019[[#This Row],[Date]]),Log_2019[[#This Row],[Split_apply]])) - SUM($O166:T166)</f>
        <v>0</v>
      </c>
      <c r="V166" s="52">
        <f ca="1">Log_2019[[#This Row],[Amount]]/Log_2019[[#This Row],[Split_raw]]*MAX(0,MIN(_xlfn.DAYS(EDATE(V$1,1),Log_2019[[#This Row],[Date]]),Log_2019[[#This Row],[Split_apply]])) - SUM($O166:U166)</f>
        <v>0</v>
      </c>
      <c r="W166" s="52">
        <f ca="1">Log_2019[[#This Row],[Amount]]/Log_2019[[#This Row],[Split_raw]]*MAX(0,MIN(_xlfn.DAYS(EDATE(W$1,1),Log_2019[[#This Row],[Date]]),Log_2019[[#This Row],[Split_apply]])) - SUM($O166:V166)</f>
        <v>0</v>
      </c>
      <c r="X166" s="52">
        <f ca="1">Log_2019[[#This Row],[Amount]]/Log_2019[[#This Row],[Split_raw]]*MAX(0,MIN(_xlfn.DAYS(EDATE(X$1,1),Log_2019[[#This Row],[Date]]),Log_2019[[#This Row],[Split_apply]])) - SUM($O166:W166)</f>
        <v>0</v>
      </c>
      <c r="Y166" s="52">
        <f ca="1">Log_2019[[#This Row],[Amount]]/Log_2019[[#This Row],[Split_raw]]*MAX(0,MIN(_xlfn.DAYS(EDATE(Y$1,1),Log_2019[[#This Row],[Date]]),Log_2019[[#This Row],[Split_apply]])) - SUM($O166:X166)</f>
        <v>-8.84</v>
      </c>
      <c r="Z166" s="52">
        <f ca="1">Log_2019[[#This Row],[Amount]]/Log_2019[[#This Row],[Split_raw]]*MAX(0,MIN(_xlfn.DAYS(EDATE(Z$1,1),Log_2019[[#This Row],[Date]]),Log_2019[[#This Row],[Split_apply]])) - SUM($O166:Y166)</f>
        <v>0</v>
      </c>
      <c r="AA166" s="52">
        <f ca="1">Log_2019[[#This Row],[Amount]]/Log_2019[[#This Row],[Split_raw]]*MAX(0,MIN(_xlfn.DAYS(EDATE(AA$1,1),Log_2019[[#This Row],[Date]]),Log_2019[[#This Row],[Split_apply]])) - SUM($O166:Z166)</f>
        <v>0</v>
      </c>
      <c r="AB166" s="54">
        <f ca="1">Log_2019[[#This Row],[Amount]]-SUM(O166:AA166)</f>
        <v>0</v>
      </c>
      <c r="AC166" s="7">
        <f>MAX(0,Log_2019[[#This Row],[Split_raw]] - (EDATE(AA$1,1)-Log_2019[[#This Row],[Date]]))</f>
        <v>0</v>
      </c>
    </row>
    <row r="167" spans="1:29" x14ac:dyDescent="0.25">
      <c r="A167" s="42"/>
      <c r="B167" s="34" t="s">
        <v>6</v>
      </c>
      <c r="C167" s="34"/>
      <c r="D167" s="41">
        <v>43745</v>
      </c>
      <c r="E167" s="34"/>
      <c r="F167" s="34" t="s">
        <v>255</v>
      </c>
      <c r="G167" s="34" t="s">
        <v>10</v>
      </c>
      <c r="H167">
        <v>-23.87</v>
      </c>
      <c r="I167" s="36">
        <f>IF(Log_2019[[#This Row],[My Category]]="NONTRACKED",0,Log_2019[[#This Row],[Raw Amount]])</f>
        <v>-23.87</v>
      </c>
      <c r="J167" s="37">
        <f>ABS(Log_2019[[#This Row],[Amount]])</f>
        <v>23.87</v>
      </c>
      <c r="K167" s="38">
        <v>1</v>
      </c>
      <c r="L167" s="38">
        <f ca="1">IF(Log_2019[[#This Row],[Date]]&lt;=TODAY(), MIN(Log_2019[[#This Row],[Split_raw]], TODAY()-Log_2019[[#This Row],[Date]]+1), 0)</f>
        <v>1</v>
      </c>
      <c r="M167" s="34" t="s">
        <v>52</v>
      </c>
      <c r="N167" s="34" t="s">
        <v>158</v>
      </c>
      <c r="O167" s="7">
        <v>0</v>
      </c>
      <c r="P167" s="52">
        <f ca="1">Log_2019[[#This Row],[Amount]]/Log_2019[[#This Row],[Split_raw]]*MAX(0,MIN(_xlfn.DAYS(EDATE(P$1,1),Log_2019[[#This Row],[Date]]),Log_2019[[#This Row],[Split_apply]])) - SUM($O167:O167)</f>
        <v>0</v>
      </c>
      <c r="Q167" s="52">
        <f ca="1">Log_2019[[#This Row],[Amount]]/Log_2019[[#This Row],[Split_raw]]*MAX(0,MIN(_xlfn.DAYS(EDATE(Q$1,1),Log_2019[[#This Row],[Date]]),Log_2019[[#This Row],[Split_apply]])) - SUM($O167:P167)</f>
        <v>0</v>
      </c>
      <c r="R167" s="52">
        <f ca="1">Log_2019[[#This Row],[Amount]]/Log_2019[[#This Row],[Split_raw]]*MAX(0,MIN(_xlfn.DAYS(EDATE(R$1,1),Log_2019[[#This Row],[Date]]),Log_2019[[#This Row],[Split_apply]])) - SUM($O167:Q167)</f>
        <v>0</v>
      </c>
      <c r="S167" s="52">
        <f ca="1">Log_2019[[#This Row],[Amount]]/Log_2019[[#This Row],[Split_raw]]*MAX(0,MIN(_xlfn.DAYS(EDATE(S$1,1),Log_2019[[#This Row],[Date]]),Log_2019[[#This Row],[Split_apply]])) - SUM($O167:R167)</f>
        <v>0</v>
      </c>
      <c r="T167" s="52">
        <f ca="1">Log_2019[[#This Row],[Amount]]/Log_2019[[#This Row],[Split_raw]]*MAX(0,MIN(_xlfn.DAYS(EDATE(T$1,1),Log_2019[[#This Row],[Date]]),Log_2019[[#This Row],[Split_apply]])) - SUM($O167:S167)</f>
        <v>0</v>
      </c>
      <c r="U167" s="52">
        <f ca="1">Log_2019[[#This Row],[Amount]]/Log_2019[[#This Row],[Split_raw]]*MAX(0,MIN(_xlfn.DAYS(EDATE(U$1,1),Log_2019[[#This Row],[Date]]),Log_2019[[#This Row],[Split_apply]])) - SUM($O167:T167)</f>
        <v>0</v>
      </c>
      <c r="V167" s="52">
        <f ca="1">Log_2019[[#This Row],[Amount]]/Log_2019[[#This Row],[Split_raw]]*MAX(0,MIN(_xlfn.DAYS(EDATE(V$1,1),Log_2019[[#This Row],[Date]]),Log_2019[[#This Row],[Split_apply]])) - SUM($O167:U167)</f>
        <v>0</v>
      </c>
      <c r="W167" s="52">
        <f ca="1">Log_2019[[#This Row],[Amount]]/Log_2019[[#This Row],[Split_raw]]*MAX(0,MIN(_xlfn.DAYS(EDATE(W$1,1),Log_2019[[#This Row],[Date]]),Log_2019[[#This Row],[Split_apply]])) - SUM($O167:V167)</f>
        <v>0</v>
      </c>
      <c r="X167" s="52">
        <f ca="1">Log_2019[[#This Row],[Amount]]/Log_2019[[#This Row],[Split_raw]]*MAX(0,MIN(_xlfn.DAYS(EDATE(X$1,1),Log_2019[[#This Row],[Date]]),Log_2019[[#This Row],[Split_apply]])) - SUM($O167:W167)</f>
        <v>0</v>
      </c>
      <c r="Y167" s="52">
        <f ca="1">Log_2019[[#This Row],[Amount]]/Log_2019[[#This Row],[Split_raw]]*MAX(0,MIN(_xlfn.DAYS(EDATE(Y$1,1),Log_2019[[#This Row],[Date]]),Log_2019[[#This Row],[Split_apply]])) - SUM($O167:X167)</f>
        <v>-23.87</v>
      </c>
      <c r="Z167" s="52">
        <f ca="1">Log_2019[[#This Row],[Amount]]/Log_2019[[#This Row],[Split_raw]]*MAX(0,MIN(_xlfn.DAYS(EDATE(Z$1,1),Log_2019[[#This Row],[Date]]),Log_2019[[#This Row],[Split_apply]])) - SUM($O167:Y167)</f>
        <v>0</v>
      </c>
      <c r="AA167" s="52">
        <f ca="1">Log_2019[[#This Row],[Amount]]/Log_2019[[#This Row],[Split_raw]]*MAX(0,MIN(_xlfn.DAYS(EDATE(AA$1,1),Log_2019[[#This Row],[Date]]),Log_2019[[#This Row],[Split_apply]])) - SUM($O167:Z167)</f>
        <v>0</v>
      </c>
      <c r="AB167" s="54">
        <f ca="1">Log_2019[[#This Row],[Amount]]-SUM(O167:AA167)</f>
        <v>0</v>
      </c>
      <c r="AC167" s="7">
        <f>MAX(0,Log_2019[[#This Row],[Split_raw]] - (EDATE(AA$1,1)-Log_2019[[#This Row],[Date]]))</f>
        <v>0</v>
      </c>
    </row>
    <row r="168" spans="1:29" x14ac:dyDescent="0.25">
      <c r="A168" s="42"/>
      <c r="B168" s="34" t="s">
        <v>6</v>
      </c>
      <c r="C168" s="34"/>
      <c r="D168" s="41">
        <v>43745</v>
      </c>
      <c r="E168" s="34"/>
      <c r="F168" s="34" t="s">
        <v>620</v>
      </c>
      <c r="G168" s="34" t="s">
        <v>582</v>
      </c>
      <c r="H168">
        <v>-29.42</v>
      </c>
      <c r="I168" s="36">
        <f>IF(Log_2019[[#This Row],[My Category]]="NONTRACKED",0,Log_2019[[#This Row],[Raw Amount]])</f>
        <v>-29.42</v>
      </c>
      <c r="J168" s="37">
        <f>ABS(Log_2019[[#This Row],[Amount]])</f>
        <v>29.42</v>
      </c>
      <c r="K168" s="38">
        <v>30</v>
      </c>
      <c r="L168" s="38">
        <f ca="1">IF(Log_2019[[#This Row],[Date]]&lt;=TODAY(), MIN(Log_2019[[#This Row],[Split_raw]], TODAY()-Log_2019[[#This Row],[Date]]+1), 0)</f>
        <v>30</v>
      </c>
      <c r="M168" s="34" t="s">
        <v>29</v>
      </c>
      <c r="N168" s="34" t="s">
        <v>158</v>
      </c>
      <c r="O168" s="7">
        <v>0</v>
      </c>
      <c r="P168" s="52">
        <f ca="1">Log_2019[[#This Row],[Amount]]/Log_2019[[#This Row],[Split_raw]]*MAX(0,MIN(_xlfn.DAYS(EDATE(P$1,1),Log_2019[[#This Row],[Date]]),Log_2019[[#This Row],[Split_apply]])) - SUM($O168:O168)</f>
        <v>0</v>
      </c>
      <c r="Q168" s="52">
        <f ca="1">Log_2019[[#This Row],[Amount]]/Log_2019[[#This Row],[Split_raw]]*MAX(0,MIN(_xlfn.DAYS(EDATE(Q$1,1),Log_2019[[#This Row],[Date]]),Log_2019[[#This Row],[Split_apply]])) - SUM($O168:P168)</f>
        <v>0</v>
      </c>
      <c r="R168" s="52">
        <f ca="1">Log_2019[[#This Row],[Amount]]/Log_2019[[#This Row],[Split_raw]]*MAX(0,MIN(_xlfn.DAYS(EDATE(R$1,1),Log_2019[[#This Row],[Date]]),Log_2019[[#This Row],[Split_apply]])) - SUM($O168:Q168)</f>
        <v>0</v>
      </c>
      <c r="S168" s="52">
        <f ca="1">Log_2019[[#This Row],[Amount]]/Log_2019[[#This Row],[Split_raw]]*MAX(0,MIN(_xlfn.DAYS(EDATE(S$1,1),Log_2019[[#This Row],[Date]]),Log_2019[[#This Row],[Split_apply]])) - SUM($O168:R168)</f>
        <v>0</v>
      </c>
      <c r="T168" s="52">
        <f ca="1">Log_2019[[#This Row],[Amount]]/Log_2019[[#This Row],[Split_raw]]*MAX(0,MIN(_xlfn.DAYS(EDATE(T$1,1),Log_2019[[#This Row],[Date]]),Log_2019[[#This Row],[Split_apply]])) - SUM($O168:S168)</f>
        <v>0</v>
      </c>
      <c r="U168" s="52">
        <f ca="1">Log_2019[[#This Row],[Amount]]/Log_2019[[#This Row],[Split_raw]]*MAX(0,MIN(_xlfn.DAYS(EDATE(U$1,1),Log_2019[[#This Row],[Date]]),Log_2019[[#This Row],[Split_apply]])) - SUM($O168:T168)</f>
        <v>0</v>
      </c>
      <c r="V168" s="52">
        <f ca="1">Log_2019[[#This Row],[Amount]]/Log_2019[[#This Row],[Split_raw]]*MAX(0,MIN(_xlfn.DAYS(EDATE(V$1,1),Log_2019[[#This Row],[Date]]),Log_2019[[#This Row],[Split_apply]])) - SUM($O168:U168)</f>
        <v>0</v>
      </c>
      <c r="W168" s="52">
        <f ca="1">Log_2019[[#This Row],[Amount]]/Log_2019[[#This Row],[Split_raw]]*MAX(0,MIN(_xlfn.DAYS(EDATE(W$1,1),Log_2019[[#This Row],[Date]]),Log_2019[[#This Row],[Split_apply]])) - SUM($O168:V168)</f>
        <v>0</v>
      </c>
      <c r="X168" s="52">
        <f ca="1">Log_2019[[#This Row],[Amount]]/Log_2019[[#This Row],[Split_raw]]*MAX(0,MIN(_xlfn.DAYS(EDATE(X$1,1),Log_2019[[#This Row],[Date]]),Log_2019[[#This Row],[Split_apply]])) - SUM($O168:W168)</f>
        <v>0</v>
      </c>
      <c r="Y168" s="52">
        <f ca="1">Log_2019[[#This Row],[Amount]]/Log_2019[[#This Row],[Split_raw]]*MAX(0,MIN(_xlfn.DAYS(EDATE(Y$1,1),Log_2019[[#This Row],[Date]]),Log_2019[[#This Row],[Split_apply]])) - SUM($O168:X168)</f>
        <v>-24.516666666666666</v>
      </c>
      <c r="Z168" s="52">
        <f ca="1">Log_2019[[#This Row],[Amount]]/Log_2019[[#This Row],[Split_raw]]*MAX(0,MIN(_xlfn.DAYS(EDATE(Z$1,1),Log_2019[[#This Row],[Date]]),Log_2019[[#This Row],[Split_apply]])) - SUM($O168:Y168)</f>
        <v>-4.903333333333336</v>
      </c>
      <c r="AA168" s="52">
        <f ca="1">Log_2019[[#This Row],[Amount]]/Log_2019[[#This Row],[Split_raw]]*MAX(0,MIN(_xlfn.DAYS(EDATE(AA$1,1),Log_2019[[#This Row],[Date]]),Log_2019[[#This Row],[Split_apply]])) - SUM($O168:Z168)</f>
        <v>0</v>
      </c>
      <c r="AB168" s="54">
        <f ca="1">Log_2019[[#This Row],[Amount]]-SUM(O168:AA168)</f>
        <v>0</v>
      </c>
      <c r="AC168" s="7">
        <f>MAX(0,Log_2019[[#This Row],[Split_raw]] - (EDATE(AA$1,1)-Log_2019[[#This Row],[Date]]))</f>
        <v>0</v>
      </c>
    </row>
    <row r="169" spans="1:29" x14ac:dyDescent="0.25">
      <c r="A169" s="42"/>
      <c r="B169" s="34" t="s">
        <v>6</v>
      </c>
      <c r="C169" s="34"/>
      <c r="D169" s="41">
        <v>43744</v>
      </c>
      <c r="E169" s="34" t="s">
        <v>786</v>
      </c>
      <c r="F169" s="34" t="s">
        <v>703</v>
      </c>
      <c r="G169" s="34" t="s">
        <v>214</v>
      </c>
      <c r="H169">
        <v>-70.25</v>
      </c>
      <c r="I169" s="36">
        <f>IF(Log_2019[[#This Row],[My Category]]="NONTRACKED",0,Log_2019[[#This Row],[Raw Amount]])</f>
        <v>0</v>
      </c>
      <c r="J169" s="37">
        <f>ABS(Log_2019[[#This Row],[Amount]])</f>
        <v>0</v>
      </c>
      <c r="K169" s="38">
        <v>1</v>
      </c>
      <c r="L169" s="38">
        <f ca="1">IF(Log_2019[[#This Row],[Date]]&lt;=TODAY(), MIN(Log_2019[[#This Row],[Split_raw]], TODAY()-Log_2019[[#This Row],[Date]]+1), 0)</f>
        <v>1</v>
      </c>
      <c r="M169" s="34" t="s">
        <v>755</v>
      </c>
      <c r="N169" s="34" t="s">
        <v>158</v>
      </c>
      <c r="O169" s="7">
        <v>0</v>
      </c>
      <c r="P169" s="52">
        <f ca="1">Log_2019[[#This Row],[Amount]]/Log_2019[[#This Row],[Split_raw]]*MAX(0,MIN(_xlfn.DAYS(EDATE(P$1,1),Log_2019[[#This Row],[Date]]),Log_2019[[#This Row],[Split_apply]])) - SUM($O169:O169)</f>
        <v>0</v>
      </c>
      <c r="Q169" s="52">
        <f ca="1">Log_2019[[#This Row],[Amount]]/Log_2019[[#This Row],[Split_raw]]*MAX(0,MIN(_xlfn.DAYS(EDATE(Q$1,1),Log_2019[[#This Row],[Date]]),Log_2019[[#This Row],[Split_apply]])) - SUM($O169:P169)</f>
        <v>0</v>
      </c>
      <c r="R169" s="52">
        <f ca="1">Log_2019[[#This Row],[Amount]]/Log_2019[[#This Row],[Split_raw]]*MAX(0,MIN(_xlfn.DAYS(EDATE(R$1,1),Log_2019[[#This Row],[Date]]),Log_2019[[#This Row],[Split_apply]])) - SUM($O169:Q169)</f>
        <v>0</v>
      </c>
      <c r="S169" s="52">
        <f ca="1">Log_2019[[#This Row],[Amount]]/Log_2019[[#This Row],[Split_raw]]*MAX(0,MIN(_xlfn.DAYS(EDATE(S$1,1),Log_2019[[#This Row],[Date]]),Log_2019[[#This Row],[Split_apply]])) - SUM($O169:R169)</f>
        <v>0</v>
      </c>
      <c r="T169" s="52">
        <f ca="1">Log_2019[[#This Row],[Amount]]/Log_2019[[#This Row],[Split_raw]]*MAX(0,MIN(_xlfn.DAYS(EDATE(T$1,1),Log_2019[[#This Row],[Date]]),Log_2019[[#This Row],[Split_apply]])) - SUM($O169:S169)</f>
        <v>0</v>
      </c>
      <c r="U169" s="52">
        <f ca="1">Log_2019[[#This Row],[Amount]]/Log_2019[[#This Row],[Split_raw]]*MAX(0,MIN(_xlfn.DAYS(EDATE(U$1,1),Log_2019[[#This Row],[Date]]),Log_2019[[#This Row],[Split_apply]])) - SUM($O169:T169)</f>
        <v>0</v>
      </c>
      <c r="V169" s="52">
        <f ca="1">Log_2019[[#This Row],[Amount]]/Log_2019[[#This Row],[Split_raw]]*MAX(0,MIN(_xlfn.DAYS(EDATE(V$1,1),Log_2019[[#This Row],[Date]]),Log_2019[[#This Row],[Split_apply]])) - SUM($O169:U169)</f>
        <v>0</v>
      </c>
      <c r="W169" s="52">
        <f ca="1">Log_2019[[#This Row],[Amount]]/Log_2019[[#This Row],[Split_raw]]*MAX(0,MIN(_xlfn.DAYS(EDATE(W$1,1),Log_2019[[#This Row],[Date]]),Log_2019[[#This Row],[Split_apply]])) - SUM($O169:V169)</f>
        <v>0</v>
      </c>
      <c r="X169" s="52">
        <f ca="1">Log_2019[[#This Row],[Amount]]/Log_2019[[#This Row],[Split_raw]]*MAX(0,MIN(_xlfn.DAYS(EDATE(X$1,1),Log_2019[[#This Row],[Date]]),Log_2019[[#This Row],[Split_apply]])) - SUM($O169:W169)</f>
        <v>0</v>
      </c>
      <c r="Y169" s="52">
        <f ca="1">Log_2019[[#This Row],[Amount]]/Log_2019[[#This Row],[Split_raw]]*MAX(0,MIN(_xlfn.DAYS(EDATE(Y$1,1),Log_2019[[#This Row],[Date]]),Log_2019[[#This Row],[Split_apply]])) - SUM($O169:X169)</f>
        <v>0</v>
      </c>
      <c r="Z169" s="52">
        <f ca="1">Log_2019[[#This Row],[Amount]]/Log_2019[[#This Row],[Split_raw]]*MAX(0,MIN(_xlfn.DAYS(EDATE(Z$1,1),Log_2019[[#This Row],[Date]]),Log_2019[[#This Row],[Split_apply]])) - SUM($O169:Y169)</f>
        <v>0</v>
      </c>
      <c r="AA169" s="52">
        <f ca="1">Log_2019[[#This Row],[Amount]]/Log_2019[[#This Row],[Split_raw]]*MAX(0,MIN(_xlfn.DAYS(EDATE(AA$1,1),Log_2019[[#This Row],[Date]]),Log_2019[[#This Row],[Split_apply]])) - SUM($O169:Z169)</f>
        <v>0</v>
      </c>
      <c r="AB169" s="54">
        <f ca="1">Log_2019[[#This Row],[Amount]]-SUM(O169:AA169)</f>
        <v>0</v>
      </c>
      <c r="AC169" s="7">
        <f>MAX(0,Log_2019[[#This Row],[Split_raw]] - (EDATE(AA$1,1)-Log_2019[[#This Row],[Date]]))</f>
        <v>0</v>
      </c>
    </row>
    <row r="170" spans="1:29" x14ac:dyDescent="0.25">
      <c r="A170" s="42"/>
      <c r="B170" s="34" t="s">
        <v>6</v>
      </c>
      <c r="C170" s="34"/>
      <c r="D170" s="41">
        <v>43744</v>
      </c>
      <c r="E170" s="34" t="s">
        <v>787</v>
      </c>
      <c r="F170" s="34" t="s">
        <v>704</v>
      </c>
      <c r="G170" s="34" t="s">
        <v>9</v>
      </c>
      <c r="H170">
        <v>-287.14</v>
      </c>
      <c r="I170" s="36">
        <f>IF(Log_2019[[#This Row],[My Category]]="NONTRACKED",0,Log_2019[[#This Row],[Raw Amount]])</f>
        <v>0</v>
      </c>
      <c r="J170" s="37">
        <f>ABS(Log_2019[[#This Row],[Amount]])</f>
        <v>0</v>
      </c>
      <c r="K170" s="38">
        <v>1</v>
      </c>
      <c r="L170" s="38">
        <f ca="1">IF(Log_2019[[#This Row],[Date]]&lt;=TODAY(), MIN(Log_2019[[#This Row],[Split_raw]], TODAY()-Log_2019[[#This Row],[Date]]+1), 0)</f>
        <v>1</v>
      </c>
      <c r="M170" s="34" t="s">
        <v>755</v>
      </c>
      <c r="N170" s="34" t="s">
        <v>158</v>
      </c>
      <c r="O170" s="7">
        <v>0</v>
      </c>
      <c r="P170" s="52">
        <f ca="1">Log_2019[[#This Row],[Amount]]/Log_2019[[#This Row],[Split_raw]]*MAX(0,MIN(_xlfn.DAYS(EDATE(P$1,1),Log_2019[[#This Row],[Date]]),Log_2019[[#This Row],[Split_apply]])) - SUM($O170:O170)</f>
        <v>0</v>
      </c>
      <c r="Q170" s="52">
        <f ca="1">Log_2019[[#This Row],[Amount]]/Log_2019[[#This Row],[Split_raw]]*MAX(0,MIN(_xlfn.DAYS(EDATE(Q$1,1),Log_2019[[#This Row],[Date]]),Log_2019[[#This Row],[Split_apply]])) - SUM($O170:P170)</f>
        <v>0</v>
      </c>
      <c r="R170" s="52">
        <f ca="1">Log_2019[[#This Row],[Amount]]/Log_2019[[#This Row],[Split_raw]]*MAX(0,MIN(_xlfn.DAYS(EDATE(R$1,1),Log_2019[[#This Row],[Date]]),Log_2019[[#This Row],[Split_apply]])) - SUM($O170:Q170)</f>
        <v>0</v>
      </c>
      <c r="S170" s="52">
        <f ca="1">Log_2019[[#This Row],[Amount]]/Log_2019[[#This Row],[Split_raw]]*MAX(0,MIN(_xlfn.DAYS(EDATE(S$1,1),Log_2019[[#This Row],[Date]]),Log_2019[[#This Row],[Split_apply]])) - SUM($O170:R170)</f>
        <v>0</v>
      </c>
      <c r="T170" s="52">
        <f ca="1">Log_2019[[#This Row],[Amount]]/Log_2019[[#This Row],[Split_raw]]*MAX(0,MIN(_xlfn.DAYS(EDATE(T$1,1),Log_2019[[#This Row],[Date]]),Log_2019[[#This Row],[Split_apply]])) - SUM($O170:S170)</f>
        <v>0</v>
      </c>
      <c r="U170" s="52">
        <f ca="1">Log_2019[[#This Row],[Amount]]/Log_2019[[#This Row],[Split_raw]]*MAX(0,MIN(_xlfn.DAYS(EDATE(U$1,1),Log_2019[[#This Row],[Date]]),Log_2019[[#This Row],[Split_apply]])) - SUM($O170:T170)</f>
        <v>0</v>
      </c>
      <c r="V170" s="52">
        <f ca="1">Log_2019[[#This Row],[Amount]]/Log_2019[[#This Row],[Split_raw]]*MAX(0,MIN(_xlfn.DAYS(EDATE(V$1,1),Log_2019[[#This Row],[Date]]),Log_2019[[#This Row],[Split_apply]])) - SUM($O170:U170)</f>
        <v>0</v>
      </c>
      <c r="W170" s="52">
        <f ca="1">Log_2019[[#This Row],[Amount]]/Log_2019[[#This Row],[Split_raw]]*MAX(0,MIN(_xlfn.DAYS(EDATE(W$1,1),Log_2019[[#This Row],[Date]]),Log_2019[[#This Row],[Split_apply]])) - SUM($O170:V170)</f>
        <v>0</v>
      </c>
      <c r="X170" s="52">
        <f ca="1">Log_2019[[#This Row],[Amount]]/Log_2019[[#This Row],[Split_raw]]*MAX(0,MIN(_xlfn.DAYS(EDATE(X$1,1),Log_2019[[#This Row],[Date]]),Log_2019[[#This Row],[Split_apply]])) - SUM($O170:W170)</f>
        <v>0</v>
      </c>
      <c r="Y170" s="52">
        <f ca="1">Log_2019[[#This Row],[Amount]]/Log_2019[[#This Row],[Split_raw]]*MAX(0,MIN(_xlfn.DAYS(EDATE(Y$1,1),Log_2019[[#This Row],[Date]]),Log_2019[[#This Row],[Split_apply]])) - SUM($O170:X170)</f>
        <v>0</v>
      </c>
      <c r="Z170" s="52">
        <f ca="1">Log_2019[[#This Row],[Amount]]/Log_2019[[#This Row],[Split_raw]]*MAX(0,MIN(_xlfn.DAYS(EDATE(Z$1,1),Log_2019[[#This Row],[Date]]),Log_2019[[#This Row],[Split_apply]])) - SUM($O170:Y170)</f>
        <v>0</v>
      </c>
      <c r="AA170" s="52">
        <f ca="1">Log_2019[[#This Row],[Amount]]/Log_2019[[#This Row],[Split_raw]]*MAX(0,MIN(_xlfn.DAYS(EDATE(AA$1,1),Log_2019[[#This Row],[Date]]),Log_2019[[#This Row],[Split_apply]])) - SUM($O170:Z170)</f>
        <v>0</v>
      </c>
      <c r="AB170" s="54">
        <f ca="1">Log_2019[[#This Row],[Amount]]-SUM(O170:AA170)</f>
        <v>0</v>
      </c>
      <c r="AC170" s="7">
        <f>MAX(0,Log_2019[[#This Row],[Split_raw]] - (EDATE(AA$1,1)-Log_2019[[#This Row],[Date]]))</f>
        <v>0</v>
      </c>
    </row>
    <row r="171" spans="1:29" x14ac:dyDescent="0.25">
      <c r="A171" s="42"/>
      <c r="B171" s="34" t="s">
        <v>6</v>
      </c>
      <c r="C171" s="34"/>
      <c r="D171" s="41">
        <v>43744</v>
      </c>
      <c r="E171" s="34" t="s">
        <v>788</v>
      </c>
      <c r="F171" s="34" t="s">
        <v>704</v>
      </c>
      <c r="G171" s="34" t="s">
        <v>9</v>
      </c>
      <c r="H171">
        <v>-34.99</v>
      </c>
      <c r="I171" s="36">
        <f>IF(Log_2019[[#This Row],[My Category]]="NONTRACKED",0,Log_2019[[#This Row],[Raw Amount]])</f>
        <v>0</v>
      </c>
      <c r="J171" s="37">
        <f>ABS(Log_2019[[#This Row],[Amount]])</f>
        <v>0</v>
      </c>
      <c r="K171" s="38">
        <v>1</v>
      </c>
      <c r="L171" s="38">
        <f ca="1">IF(Log_2019[[#This Row],[Date]]&lt;=TODAY(), MIN(Log_2019[[#This Row],[Split_raw]], TODAY()-Log_2019[[#This Row],[Date]]+1), 0)</f>
        <v>1</v>
      </c>
      <c r="M171" s="34" t="s">
        <v>755</v>
      </c>
      <c r="N171" s="34" t="s">
        <v>158</v>
      </c>
      <c r="O171" s="7">
        <v>0</v>
      </c>
      <c r="P171" s="52">
        <f ca="1">Log_2019[[#This Row],[Amount]]/Log_2019[[#This Row],[Split_raw]]*MAX(0,MIN(_xlfn.DAYS(EDATE(P$1,1),Log_2019[[#This Row],[Date]]),Log_2019[[#This Row],[Split_apply]])) - SUM($O171:O171)</f>
        <v>0</v>
      </c>
      <c r="Q171" s="52">
        <f ca="1">Log_2019[[#This Row],[Amount]]/Log_2019[[#This Row],[Split_raw]]*MAX(0,MIN(_xlfn.DAYS(EDATE(Q$1,1),Log_2019[[#This Row],[Date]]),Log_2019[[#This Row],[Split_apply]])) - SUM($O171:P171)</f>
        <v>0</v>
      </c>
      <c r="R171" s="52">
        <f ca="1">Log_2019[[#This Row],[Amount]]/Log_2019[[#This Row],[Split_raw]]*MAX(0,MIN(_xlfn.DAYS(EDATE(R$1,1),Log_2019[[#This Row],[Date]]),Log_2019[[#This Row],[Split_apply]])) - SUM($O171:Q171)</f>
        <v>0</v>
      </c>
      <c r="S171" s="52">
        <f ca="1">Log_2019[[#This Row],[Amount]]/Log_2019[[#This Row],[Split_raw]]*MAX(0,MIN(_xlfn.DAYS(EDATE(S$1,1),Log_2019[[#This Row],[Date]]),Log_2019[[#This Row],[Split_apply]])) - SUM($O171:R171)</f>
        <v>0</v>
      </c>
      <c r="T171" s="52">
        <f ca="1">Log_2019[[#This Row],[Amount]]/Log_2019[[#This Row],[Split_raw]]*MAX(0,MIN(_xlfn.DAYS(EDATE(T$1,1),Log_2019[[#This Row],[Date]]),Log_2019[[#This Row],[Split_apply]])) - SUM($O171:S171)</f>
        <v>0</v>
      </c>
      <c r="U171" s="52">
        <f ca="1">Log_2019[[#This Row],[Amount]]/Log_2019[[#This Row],[Split_raw]]*MAX(0,MIN(_xlfn.DAYS(EDATE(U$1,1),Log_2019[[#This Row],[Date]]),Log_2019[[#This Row],[Split_apply]])) - SUM($O171:T171)</f>
        <v>0</v>
      </c>
      <c r="V171" s="52">
        <f ca="1">Log_2019[[#This Row],[Amount]]/Log_2019[[#This Row],[Split_raw]]*MAX(0,MIN(_xlfn.DAYS(EDATE(V$1,1),Log_2019[[#This Row],[Date]]),Log_2019[[#This Row],[Split_apply]])) - SUM($O171:U171)</f>
        <v>0</v>
      </c>
      <c r="W171" s="52">
        <f ca="1">Log_2019[[#This Row],[Amount]]/Log_2019[[#This Row],[Split_raw]]*MAX(0,MIN(_xlfn.DAYS(EDATE(W$1,1),Log_2019[[#This Row],[Date]]),Log_2019[[#This Row],[Split_apply]])) - SUM($O171:V171)</f>
        <v>0</v>
      </c>
      <c r="X171" s="52">
        <f ca="1">Log_2019[[#This Row],[Amount]]/Log_2019[[#This Row],[Split_raw]]*MAX(0,MIN(_xlfn.DAYS(EDATE(X$1,1),Log_2019[[#This Row],[Date]]),Log_2019[[#This Row],[Split_apply]])) - SUM($O171:W171)</f>
        <v>0</v>
      </c>
      <c r="Y171" s="52">
        <f ca="1">Log_2019[[#This Row],[Amount]]/Log_2019[[#This Row],[Split_raw]]*MAX(0,MIN(_xlfn.DAYS(EDATE(Y$1,1),Log_2019[[#This Row],[Date]]),Log_2019[[#This Row],[Split_apply]])) - SUM($O171:X171)</f>
        <v>0</v>
      </c>
      <c r="Z171" s="52">
        <f ca="1">Log_2019[[#This Row],[Amount]]/Log_2019[[#This Row],[Split_raw]]*MAX(0,MIN(_xlfn.DAYS(EDATE(Z$1,1),Log_2019[[#This Row],[Date]]),Log_2019[[#This Row],[Split_apply]])) - SUM($O171:Y171)</f>
        <v>0</v>
      </c>
      <c r="AA171" s="52">
        <f ca="1">Log_2019[[#This Row],[Amount]]/Log_2019[[#This Row],[Split_raw]]*MAX(0,MIN(_xlfn.DAYS(EDATE(AA$1,1),Log_2019[[#This Row],[Date]]),Log_2019[[#This Row],[Split_apply]])) - SUM($O171:Z171)</f>
        <v>0</v>
      </c>
      <c r="AB171" s="54">
        <f ca="1">Log_2019[[#This Row],[Amount]]-SUM(O171:AA171)</f>
        <v>0</v>
      </c>
      <c r="AC171" s="7">
        <f>MAX(0,Log_2019[[#This Row],[Split_raw]] - (EDATE(AA$1,1)-Log_2019[[#This Row],[Date]]))</f>
        <v>0</v>
      </c>
    </row>
    <row r="172" spans="1:29" x14ac:dyDescent="0.25">
      <c r="A172" s="42"/>
      <c r="B172" s="34" t="s">
        <v>6</v>
      </c>
      <c r="C172" s="34"/>
      <c r="D172" s="41">
        <v>43744</v>
      </c>
      <c r="E172" s="34" t="s">
        <v>804</v>
      </c>
      <c r="F172" s="34" t="s">
        <v>704</v>
      </c>
      <c r="G172" s="34" t="s">
        <v>9</v>
      </c>
      <c r="H172">
        <v>-36.590000000000003</v>
      </c>
      <c r="I172" s="36">
        <f>IF(Log_2019[[#This Row],[My Category]]="NONTRACKED",0,Log_2019[[#This Row],[Raw Amount]])</f>
        <v>-36.590000000000003</v>
      </c>
      <c r="J172" s="37">
        <f>ABS(Log_2019[[#This Row],[Amount]])</f>
        <v>36.590000000000003</v>
      </c>
      <c r="K172" s="38">
        <v>1</v>
      </c>
      <c r="L172" s="38">
        <f ca="1">IF(Log_2019[[#This Row],[Date]]&lt;=TODAY(), MIN(Log_2019[[#This Row],[Split_raw]], TODAY()-Log_2019[[#This Row],[Date]]+1), 0)</f>
        <v>1</v>
      </c>
      <c r="M172" s="34" t="s">
        <v>37</v>
      </c>
      <c r="N172" s="34" t="s">
        <v>158</v>
      </c>
      <c r="O172" s="7">
        <v>0</v>
      </c>
      <c r="P172" s="52">
        <f ca="1">Log_2019[[#This Row],[Amount]]/Log_2019[[#This Row],[Split_raw]]*MAX(0,MIN(_xlfn.DAYS(EDATE(P$1,1),Log_2019[[#This Row],[Date]]),Log_2019[[#This Row],[Split_apply]])) - SUM($O172:O172)</f>
        <v>0</v>
      </c>
      <c r="Q172" s="52">
        <f ca="1">Log_2019[[#This Row],[Amount]]/Log_2019[[#This Row],[Split_raw]]*MAX(0,MIN(_xlfn.DAYS(EDATE(Q$1,1),Log_2019[[#This Row],[Date]]),Log_2019[[#This Row],[Split_apply]])) - SUM($O172:P172)</f>
        <v>0</v>
      </c>
      <c r="R172" s="52">
        <f ca="1">Log_2019[[#This Row],[Amount]]/Log_2019[[#This Row],[Split_raw]]*MAX(0,MIN(_xlfn.DAYS(EDATE(R$1,1),Log_2019[[#This Row],[Date]]),Log_2019[[#This Row],[Split_apply]])) - SUM($O172:Q172)</f>
        <v>0</v>
      </c>
      <c r="S172" s="52">
        <f ca="1">Log_2019[[#This Row],[Amount]]/Log_2019[[#This Row],[Split_raw]]*MAX(0,MIN(_xlfn.DAYS(EDATE(S$1,1),Log_2019[[#This Row],[Date]]),Log_2019[[#This Row],[Split_apply]])) - SUM($O172:R172)</f>
        <v>0</v>
      </c>
      <c r="T172" s="52">
        <f ca="1">Log_2019[[#This Row],[Amount]]/Log_2019[[#This Row],[Split_raw]]*MAX(0,MIN(_xlfn.DAYS(EDATE(T$1,1),Log_2019[[#This Row],[Date]]),Log_2019[[#This Row],[Split_apply]])) - SUM($O172:S172)</f>
        <v>0</v>
      </c>
      <c r="U172" s="52">
        <f ca="1">Log_2019[[#This Row],[Amount]]/Log_2019[[#This Row],[Split_raw]]*MAX(0,MIN(_xlfn.DAYS(EDATE(U$1,1),Log_2019[[#This Row],[Date]]),Log_2019[[#This Row],[Split_apply]])) - SUM($O172:T172)</f>
        <v>0</v>
      </c>
      <c r="V172" s="52">
        <f ca="1">Log_2019[[#This Row],[Amount]]/Log_2019[[#This Row],[Split_raw]]*MAX(0,MIN(_xlfn.DAYS(EDATE(V$1,1),Log_2019[[#This Row],[Date]]),Log_2019[[#This Row],[Split_apply]])) - SUM($O172:U172)</f>
        <v>0</v>
      </c>
      <c r="W172" s="52">
        <f ca="1">Log_2019[[#This Row],[Amount]]/Log_2019[[#This Row],[Split_raw]]*MAX(0,MIN(_xlfn.DAYS(EDATE(W$1,1),Log_2019[[#This Row],[Date]]),Log_2019[[#This Row],[Split_apply]])) - SUM($O172:V172)</f>
        <v>0</v>
      </c>
      <c r="X172" s="52">
        <f ca="1">Log_2019[[#This Row],[Amount]]/Log_2019[[#This Row],[Split_raw]]*MAX(0,MIN(_xlfn.DAYS(EDATE(X$1,1),Log_2019[[#This Row],[Date]]),Log_2019[[#This Row],[Split_apply]])) - SUM($O172:W172)</f>
        <v>0</v>
      </c>
      <c r="Y172" s="52">
        <f ca="1">Log_2019[[#This Row],[Amount]]/Log_2019[[#This Row],[Split_raw]]*MAX(0,MIN(_xlfn.DAYS(EDATE(Y$1,1),Log_2019[[#This Row],[Date]]),Log_2019[[#This Row],[Split_apply]])) - SUM($O172:X172)</f>
        <v>-36.590000000000003</v>
      </c>
      <c r="Z172" s="52">
        <f ca="1">Log_2019[[#This Row],[Amount]]/Log_2019[[#This Row],[Split_raw]]*MAX(0,MIN(_xlfn.DAYS(EDATE(Z$1,1),Log_2019[[#This Row],[Date]]),Log_2019[[#This Row],[Split_apply]])) - SUM($O172:Y172)</f>
        <v>0</v>
      </c>
      <c r="AA172" s="52">
        <f ca="1">Log_2019[[#This Row],[Amount]]/Log_2019[[#This Row],[Split_raw]]*MAX(0,MIN(_xlfn.DAYS(EDATE(AA$1,1),Log_2019[[#This Row],[Date]]),Log_2019[[#This Row],[Split_apply]])) - SUM($O172:Z172)</f>
        <v>0</v>
      </c>
      <c r="AB172" s="54">
        <f ca="1">Log_2019[[#This Row],[Amount]]-SUM(O172:AA172)</f>
        <v>0</v>
      </c>
      <c r="AC172" s="7">
        <f>MAX(0,Log_2019[[#This Row],[Split_raw]] - (EDATE(AA$1,1)-Log_2019[[#This Row],[Date]]))</f>
        <v>0</v>
      </c>
    </row>
    <row r="173" spans="1:29" x14ac:dyDescent="0.25">
      <c r="A173" s="42"/>
      <c r="B173" s="34" t="s">
        <v>6</v>
      </c>
      <c r="C173" s="34"/>
      <c r="D173" s="41">
        <v>43744</v>
      </c>
      <c r="E173" s="34" t="s">
        <v>800</v>
      </c>
      <c r="F173" s="34" t="s">
        <v>705</v>
      </c>
      <c r="G173" s="34" t="s">
        <v>11</v>
      </c>
      <c r="H173">
        <v>-16.190000000000001</v>
      </c>
      <c r="I173" s="36">
        <f>IF(Log_2019[[#This Row],[My Category]]="NONTRACKED",0,Log_2019[[#This Row],[Raw Amount]])</f>
        <v>0</v>
      </c>
      <c r="J173" s="37">
        <f>ABS(Log_2019[[#This Row],[Amount]])</f>
        <v>0</v>
      </c>
      <c r="K173" s="38">
        <v>1</v>
      </c>
      <c r="L173" s="38">
        <f ca="1">IF(Log_2019[[#This Row],[Date]]&lt;=TODAY(), MIN(Log_2019[[#This Row],[Split_raw]], TODAY()-Log_2019[[#This Row],[Date]]+1), 0)</f>
        <v>1</v>
      </c>
      <c r="M173" s="34" t="s">
        <v>755</v>
      </c>
      <c r="N173" s="34" t="s">
        <v>158</v>
      </c>
      <c r="O173" s="7">
        <v>0</v>
      </c>
      <c r="P173" s="52">
        <f ca="1">Log_2019[[#This Row],[Amount]]/Log_2019[[#This Row],[Split_raw]]*MAX(0,MIN(_xlfn.DAYS(EDATE(P$1,1),Log_2019[[#This Row],[Date]]),Log_2019[[#This Row],[Split_apply]])) - SUM($O173:O173)</f>
        <v>0</v>
      </c>
      <c r="Q173" s="52">
        <f ca="1">Log_2019[[#This Row],[Amount]]/Log_2019[[#This Row],[Split_raw]]*MAX(0,MIN(_xlfn.DAYS(EDATE(Q$1,1),Log_2019[[#This Row],[Date]]),Log_2019[[#This Row],[Split_apply]])) - SUM($O173:P173)</f>
        <v>0</v>
      </c>
      <c r="R173" s="52">
        <f ca="1">Log_2019[[#This Row],[Amount]]/Log_2019[[#This Row],[Split_raw]]*MAX(0,MIN(_xlfn.DAYS(EDATE(R$1,1),Log_2019[[#This Row],[Date]]),Log_2019[[#This Row],[Split_apply]])) - SUM($O173:Q173)</f>
        <v>0</v>
      </c>
      <c r="S173" s="52">
        <f ca="1">Log_2019[[#This Row],[Amount]]/Log_2019[[#This Row],[Split_raw]]*MAX(0,MIN(_xlfn.DAYS(EDATE(S$1,1),Log_2019[[#This Row],[Date]]),Log_2019[[#This Row],[Split_apply]])) - SUM($O173:R173)</f>
        <v>0</v>
      </c>
      <c r="T173" s="52">
        <f ca="1">Log_2019[[#This Row],[Amount]]/Log_2019[[#This Row],[Split_raw]]*MAX(0,MIN(_xlfn.DAYS(EDATE(T$1,1),Log_2019[[#This Row],[Date]]),Log_2019[[#This Row],[Split_apply]])) - SUM($O173:S173)</f>
        <v>0</v>
      </c>
      <c r="U173" s="52">
        <f ca="1">Log_2019[[#This Row],[Amount]]/Log_2019[[#This Row],[Split_raw]]*MAX(0,MIN(_xlfn.DAYS(EDATE(U$1,1),Log_2019[[#This Row],[Date]]),Log_2019[[#This Row],[Split_apply]])) - SUM($O173:T173)</f>
        <v>0</v>
      </c>
      <c r="V173" s="52">
        <f ca="1">Log_2019[[#This Row],[Amount]]/Log_2019[[#This Row],[Split_raw]]*MAX(0,MIN(_xlfn.DAYS(EDATE(V$1,1),Log_2019[[#This Row],[Date]]),Log_2019[[#This Row],[Split_apply]])) - SUM($O173:U173)</f>
        <v>0</v>
      </c>
      <c r="W173" s="52">
        <f ca="1">Log_2019[[#This Row],[Amount]]/Log_2019[[#This Row],[Split_raw]]*MAX(0,MIN(_xlfn.DAYS(EDATE(W$1,1),Log_2019[[#This Row],[Date]]),Log_2019[[#This Row],[Split_apply]])) - SUM($O173:V173)</f>
        <v>0</v>
      </c>
      <c r="X173" s="52">
        <f ca="1">Log_2019[[#This Row],[Amount]]/Log_2019[[#This Row],[Split_raw]]*MAX(0,MIN(_xlfn.DAYS(EDATE(X$1,1),Log_2019[[#This Row],[Date]]),Log_2019[[#This Row],[Split_apply]])) - SUM($O173:W173)</f>
        <v>0</v>
      </c>
      <c r="Y173" s="52">
        <f ca="1">Log_2019[[#This Row],[Amount]]/Log_2019[[#This Row],[Split_raw]]*MAX(0,MIN(_xlfn.DAYS(EDATE(Y$1,1),Log_2019[[#This Row],[Date]]),Log_2019[[#This Row],[Split_apply]])) - SUM($O173:X173)</f>
        <v>0</v>
      </c>
      <c r="Z173" s="52">
        <f ca="1">Log_2019[[#This Row],[Amount]]/Log_2019[[#This Row],[Split_raw]]*MAX(0,MIN(_xlfn.DAYS(EDATE(Z$1,1),Log_2019[[#This Row],[Date]]),Log_2019[[#This Row],[Split_apply]])) - SUM($O173:Y173)</f>
        <v>0</v>
      </c>
      <c r="AA173" s="52">
        <f ca="1">Log_2019[[#This Row],[Amount]]/Log_2019[[#This Row],[Split_raw]]*MAX(0,MIN(_xlfn.DAYS(EDATE(AA$1,1),Log_2019[[#This Row],[Date]]),Log_2019[[#This Row],[Split_apply]])) - SUM($O173:Z173)</f>
        <v>0</v>
      </c>
      <c r="AB173" s="54">
        <f ca="1">Log_2019[[#This Row],[Amount]]-SUM(O173:AA173)</f>
        <v>0</v>
      </c>
      <c r="AC173" s="7">
        <f>MAX(0,Log_2019[[#This Row],[Split_raw]] - (EDATE(AA$1,1)-Log_2019[[#This Row],[Date]]))</f>
        <v>0</v>
      </c>
    </row>
    <row r="174" spans="1:29" x14ac:dyDescent="0.25">
      <c r="A174" s="42"/>
      <c r="B174" s="34" t="s">
        <v>6</v>
      </c>
      <c r="C174" s="34"/>
      <c r="D174" s="41">
        <v>43744</v>
      </c>
      <c r="E174" s="34" t="s">
        <v>885</v>
      </c>
      <c r="F174" s="34" t="s">
        <v>779</v>
      </c>
      <c r="G174" s="34" t="s">
        <v>22</v>
      </c>
      <c r="H174">
        <v>-31.32</v>
      </c>
      <c r="I174" s="36">
        <f>IF(Log_2019[[#This Row],[My Category]]="NONTRACKED",0,Log_2019[[#This Row],[Raw Amount]])</f>
        <v>-31.32</v>
      </c>
      <c r="J174" s="37">
        <f>ABS(Log_2019[[#This Row],[Amount]])</f>
        <v>31.32</v>
      </c>
      <c r="K174" s="38">
        <v>1</v>
      </c>
      <c r="L174" s="38">
        <f ca="1">IF(Log_2019[[#This Row],[Date]]&lt;=TODAY(), MIN(Log_2019[[#This Row],[Split_raw]], TODAY()-Log_2019[[#This Row],[Date]]+1), 0)</f>
        <v>1</v>
      </c>
      <c r="M174" s="34" t="s">
        <v>37</v>
      </c>
      <c r="N174" s="34" t="s">
        <v>158</v>
      </c>
      <c r="O174" s="7">
        <v>0</v>
      </c>
      <c r="P174" s="52">
        <f ca="1">Log_2019[[#This Row],[Amount]]/Log_2019[[#This Row],[Split_raw]]*MAX(0,MIN(_xlfn.DAYS(EDATE(P$1,1),Log_2019[[#This Row],[Date]]),Log_2019[[#This Row],[Split_apply]])) - SUM($O174:O174)</f>
        <v>0</v>
      </c>
      <c r="Q174" s="52">
        <f ca="1">Log_2019[[#This Row],[Amount]]/Log_2019[[#This Row],[Split_raw]]*MAX(0,MIN(_xlfn.DAYS(EDATE(Q$1,1),Log_2019[[#This Row],[Date]]),Log_2019[[#This Row],[Split_apply]])) - SUM($O174:P174)</f>
        <v>0</v>
      </c>
      <c r="R174" s="52">
        <f ca="1">Log_2019[[#This Row],[Amount]]/Log_2019[[#This Row],[Split_raw]]*MAX(0,MIN(_xlfn.DAYS(EDATE(R$1,1),Log_2019[[#This Row],[Date]]),Log_2019[[#This Row],[Split_apply]])) - SUM($O174:Q174)</f>
        <v>0</v>
      </c>
      <c r="S174" s="52">
        <f ca="1">Log_2019[[#This Row],[Amount]]/Log_2019[[#This Row],[Split_raw]]*MAX(0,MIN(_xlfn.DAYS(EDATE(S$1,1),Log_2019[[#This Row],[Date]]),Log_2019[[#This Row],[Split_apply]])) - SUM($O174:R174)</f>
        <v>0</v>
      </c>
      <c r="T174" s="52">
        <f ca="1">Log_2019[[#This Row],[Amount]]/Log_2019[[#This Row],[Split_raw]]*MAX(0,MIN(_xlfn.DAYS(EDATE(T$1,1),Log_2019[[#This Row],[Date]]),Log_2019[[#This Row],[Split_apply]])) - SUM($O174:S174)</f>
        <v>0</v>
      </c>
      <c r="U174" s="52">
        <f ca="1">Log_2019[[#This Row],[Amount]]/Log_2019[[#This Row],[Split_raw]]*MAX(0,MIN(_xlfn.DAYS(EDATE(U$1,1),Log_2019[[#This Row],[Date]]),Log_2019[[#This Row],[Split_apply]])) - SUM($O174:T174)</f>
        <v>0</v>
      </c>
      <c r="V174" s="52">
        <f ca="1">Log_2019[[#This Row],[Amount]]/Log_2019[[#This Row],[Split_raw]]*MAX(0,MIN(_xlfn.DAYS(EDATE(V$1,1),Log_2019[[#This Row],[Date]]),Log_2019[[#This Row],[Split_apply]])) - SUM($O174:U174)</f>
        <v>0</v>
      </c>
      <c r="W174" s="52">
        <f ca="1">Log_2019[[#This Row],[Amount]]/Log_2019[[#This Row],[Split_raw]]*MAX(0,MIN(_xlfn.DAYS(EDATE(W$1,1),Log_2019[[#This Row],[Date]]),Log_2019[[#This Row],[Split_apply]])) - SUM($O174:V174)</f>
        <v>0</v>
      </c>
      <c r="X174" s="52">
        <f ca="1">Log_2019[[#This Row],[Amount]]/Log_2019[[#This Row],[Split_raw]]*MAX(0,MIN(_xlfn.DAYS(EDATE(X$1,1),Log_2019[[#This Row],[Date]]),Log_2019[[#This Row],[Split_apply]])) - SUM($O174:W174)</f>
        <v>0</v>
      </c>
      <c r="Y174" s="52">
        <f ca="1">Log_2019[[#This Row],[Amount]]/Log_2019[[#This Row],[Split_raw]]*MAX(0,MIN(_xlfn.DAYS(EDATE(Y$1,1),Log_2019[[#This Row],[Date]]),Log_2019[[#This Row],[Split_apply]])) - SUM($O174:X174)</f>
        <v>-31.32</v>
      </c>
      <c r="Z174" s="52">
        <f ca="1">Log_2019[[#This Row],[Amount]]/Log_2019[[#This Row],[Split_raw]]*MAX(0,MIN(_xlfn.DAYS(EDATE(Z$1,1),Log_2019[[#This Row],[Date]]),Log_2019[[#This Row],[Split_apply]])) - SUM($O174:Y174)</f>
        <v>0</v>
      </c>
      <c r="AA174" s="52">
        <f ca="1">Log_2019[[#This Row],[Amount]]/Log_2019[[#This Row],[Split_raw]]*MAX(0,MIN(_xlfn.DAYS(EDATE(AA$1,1),Log_2019[[#This Row],[Date]]),Log_2019[[#This Row],[Split_apply]])) - SUM($O174:Z174)</f>
        <v>0</v>
      </c>
      <c r="AB174" s="54">
        <f ca="1">Log_2019[[#This Row],[Amount]]-SUM(O174:AA174)</f>
        <v>0</v>
      </c>
      <c r="AC174" s="7">
        <f>MAX(0,Log_2019[[#This Row],[Split_raw]] - (EDATE(AA$1,1)-Log_2019[[#This Row],[Date]]))</f>
        <v>0</v>
      </c>
    </row>
    <row r="175" spans="1:29" x14ac:dyDescent="0.25">
      <c r="A175" s="42"/>
      <c r="B175" s="34" t="s">
        <v>6</v>
      </c>
      <c r="C175" s="34"/>
      <c r="D175" s="41">
        <v>43743</v>
      </c>
      <c r="E175" s="34"/>
      <c r="F175" s="34" t="s">
        <v>555</v>
      </c>
      <c r="G175" s="34" t="s">
        <v>25</v>
      </c>
      <c r="H175">
        <v>-26.88</v>
      </c>
      <c r="I175" s="36">
        <f>IF(Log_2019[[#This Row],[My Category]]="NONTRACKED",0,Log_2019[[#This Row],[Raw Amount]])</f>
        <v>-26.88</v>
      </c>
      <c r="J175" s="37">
        <f>ABS(Log_2019[[#This Row],[Amount]])</f>
        <v>26.88</v>
      </c>
      <c r="K175" s="38">
        <v>1</v>
      </c>
      <c r="L175" s="38">
        <f ca="1">IF(Log_2019[[#This Row],[Date]]&lt;=TODAY(), MIN(Log_2019[[#This Row],[Split_raw]], TODAY()-Log_2019[[#This Row],[Date]]+1), 0)</f>
        <v>1</v>
      </c>
      <c r="M175" s="34" t="s">
        <v>37</v>
      </c>
      <c r="N175" s="34" t="s">
        <v>158</v>
      </c>
      <c r="O175" s="7">
        <v>0</v>
      </c>
      <c r="P175" s="52">
        <f ca="1">Log_2019[[#This Row],[Amount]]/Log_2019[[#This Row],[Split_raw]]*MAX(0,MIN(_xlfn.DAYS(EDATE(P$1,1),Log_2019[[#This Row],[Date]]),Log_2019[[#This Row],[Split_apply]])) - SUM($O175:O175)</f>
        <v>0</v>
      </c>
      <c r="Q175" s="52">
        <f ca="1">Log_2019[[#This Row],[Amount]]/Log_2019[[#This Row],[Split_raw]]*MAX(0,MIN(_xlfn.DAYS(EDATE(Q$1,1),Log_2019[[#This Row],[Date]]),Log_2019[[#This Row],[Split_apply]])) - SUM($O175:P175)</f>
        <v>0</v>
      </c>
      <c r="R175" s="52">
        <f ca="1">Log_2019[[#This Row],[Amount]]/Log_2019[[#This Row],[Split_raw]]*MAX(0,MIN(_xlfn.DAYS(EDATE(R$1,1),Log_2019[[#This Row],[Date]]),Log_2019[[#This Row],[Split_apply]])) - SUM($O175:Q175)</f>
        <v>0</v>
      </c>
      <c r="S175" s="52">
        <f ca="1">Log_2019[[#This Row],[Amount]]/Log_2019[[#This Row],[Split_raw]]*MAX(0,MIN(_xlfn.DAYS(EDATE(S$1,1),Log_2019[[#This Row],[Date]]),Log_2019[[#This Row],[Split_apply]])) - SUM($O175:R175)</f>
        <v>0</v>
      </c>
      <c r="T175" s="52">
        <f ca="1">Log_2019[[#This Row],[Amount]]/Log_2019[[#This Row],[Split_raw]]*MAX(0,MIN(_xlfn.DAYS(EDATE(T$1,1),Log_2019[[#This Row],[Date]]),Log_2019[[#This Row],[Split_apply]])) - SUM($O175:S175)</f>
        <v>0</v>
      </c>
      <c r="U175" s="52">
        <f ca="1">Log_2019[[#This Row],[Amount]]/Log_2019[[#This Row],[Split_raw]]*MAX(0,MIN(_xlfn.DAYS(EDATE(U$1,1),Log_2019[[#This Row],[Date]]),Log_2019[[#This Row],[Split_apply]])) - SUM($O175:T175)</f>
        <v>0</v>
      </c>
      <c r="V175" s="52">
        <f ca="1">Log_2019[[#This Row],[Amount]]/Log_2019[[#This Row],[Split_raw]]*MAX(0,MIN(_xlfn.DAYS(EDATE(V$1,1),Log_2019[[#This Row],[Date]]),Log_2019[[#This Row],[Split_apply]])) - SUM($O175:U175)</f>
        <v>0</v>
      </c>
      <c r="W175" s="52">
        <f ca="1">Log_2019[[#This Row],[Amount]]/Log_2019[[#This Row],[Split_raw]]*MAX(0,MIN(_xlfn.DAYS(EDATE(W$1,1),Log_2019[[#This Row],[Date]]),Log_2019[[#This Row],[Split_apply]])) - SUM($O175:V175)</f>
        <v>0</v>
      </c>
      <c r="X175" s="52">
        <f ca="1">Log_2019[[#This Row],[Amount]]/Log_2019[[#This Row],[Split_raw]]*MAX(0,MIN(_xlfn.DAYS(EDATE(X$1,1),Log_2019[[#This Row],[Date]]),Log_2019[[#This Row],[Split_apply]])) - SUM($O175:W175)</f>
        <v>0</v>
      </c>
      <c r="Y175" s="52">
        <f ca="1">Log_2019[[#This Row],[Amount]]/Log_2019[[#This Row],[Split_raw]]*MAX(0,MIN(_xlfn.DAYS(EDATE(Y$1,1),Log_2019[[#This Row],[Date]]),Log_2019[[#This Row],[Split_apply]])) - SUM($O175:X175)</f>
        <v>-26.88</v>
      </c>
      <c r="Z175" s="52">
        <f ca="1">Log_2019[[#This Row],[Amount]]/Log_2019[[#This Row],[Split_raw]]*MAX(0,MIN(_xlfn.DAYS(EDATE(Z$1,1),Log_2019[[#This Row],[Date]]),Log_2019[[#This Row],[Split_apply]])) - SUM($O175:Y175)</f>
        <v>0</v>
      </c>
      <c r="AA175" s="52">
        <f ca="1">Log_2019[[#This Row],[Amount]]/Log_2019[[#This Row],[Split_raw]]*MAX(0,MIN(_xlfn.DAYS(EDATE(AA$1,1),Log_2019[[#This Row],[Date]]),Log_2019[[#This Row],[Split_apply]])) - SUM($O175:Z175)</f>
        <v>0</v>
      </c>
      <c r="AB175" s="54">
        <f ca="1">Log_2019[[#This Row],[Amount]]-SUM(O175:AA175)</f>
        <v>0</v>
      </c>
      <c r="AC175" s="7">
        <f>MAX(0,Log_2019[[#This Row],[Split_raw]] - (EDATE(AA$1,1)-Log_2019[[#This Row],[Date]]))</f>
        <v>0</v>
      </c>
    </row>
    <row r="176" spans="1:29" x14ac:dyDescent="0.25">
      <c r="A176" s="42"/>
      <c r="B176" s="34" t="s">
        <v>6</v>
      </c>
      <c r="C176" s="34"/>
      <c r="D176" s="41">
        <v>43743</v>
      </c>
      <c r="E176" s="34" t="s">
        <v>796</v>
      </c>
      <c r="F176" s="34" t="s">
        <v>706</v>
      </c>
      <c r="G176" s="34" t="s">
        <v>11</v>
      </c>
      <c r="H176">
        <v>-59.3</v>
      </c>
      <c r="I176" s="36">
        <f>IF(Log_2019[[#This Row],[My Category]]="NONTRACKED",0,Log_2019[[#This Row],[Raw Amount]])</f>
        <v>0</v>
      </c>
      <c r="J176" s="37">
        <f>ABS(Log_2019[[#This Row],[Amount]])</f>
        <v>0</v>
      </c>
      <c r="K176" s="38">
        <v>1</v>
      </c>
      <c r="L176" s="38">
        <f ca="1">IF(Log_2019[[#This Row],[Date]]&lt;=TODAY(), MIN(Log_2019[[#This Row],[Split_raw]], TODAY()-Log_2019[[#This Row],[Date]]+1), 0)</f>
        <v>1</v>
      </c>
      <c r="M176" s="34" t="s">
        <v>755</v>
      </c>
      <c r="N176" s="34" t="s">
        <v>158</v>
      </c>
      <c r="O176" s="7">
        <v>0</v>
      </c>
      <c r="P176" s="52">
        <f ca="1">Log_2019[[#This Row],[Amount]]/Log_2019[[#This Row],[Split_raw]]*MAX(0,MIN(_xlfn.DAYS(EDATE(P$1,1),Log_2019[[#This Row],[Date]]),Log_2019[[#This Row],[Split_apply]])) - SUM($O176:O176)</f>
        <v>0</v>
      </c>
      <c r="Q176" s="52">
        <f ca="1">Log_2019[[#This Row],[Amount]]/Log_2019[[#This Row],[Split_raw]]*MAX(0,MIN(_xlfn.DAYS(EDATE(Q$1,1),Log_2019[[#This Row],[Date]]),Log_2019[[#This Row],[Split_apply]])) - SUM($O176:P176)</f>
        <v>0</v>
      </c>
      <c r="R176" s="52">
        <f ca="1">Log_2019[[#This Row],[Amount]]/Log_2019[[#This Row],[Split_raw]]*MAX(0,MIN(_xlfn.DAYS(EDATE(R$1,1),Log_2019[[#This Row],[Date]]),Log_2019[[#This Row],[Split_apply]])) - SUM($O176:Q176)</f>
        <v>0</v>
      </c>
      <c r="S176" s="52">
        <f ca="1">Log_2019[[#This Row],[Amount]]/Log_2019[[#This Row],[Split_raw]]*MAX(0,MIN(_xlfn.DAYS(EDATE(S$1,1),Log_2019[[#This Row],[Date]]),Log_2019[[#This Row],[Split_apply]])) - SUM($O176:R176)</f>
        <v>0</v>
      </c>
      <c r="T176" s="52">
        <f ca="1">Log_2019[[#This Row],[Amount]]/Log_2019[[#This Row],[Split_raw]]*MAX(0,MIN(_xlfn.DAYS(EDATE(T$1,1),Log_2019[[#This Row],[Date]]),Log_2019[[#This Row],[Split_apply]])) - SUM($O176:S176)</f>
        <v>0</v>
      </c>
      <c r="U176" s="52">
        <f ca="1">Log_2019[[#This Row],[Amount]]/Log_2019[[#This Row],[Split_raw]]*MAX(0,MIN(_xlfn.DAYS(EDATE(U$1,1),Log_2019[[#This Row],[Date]]),Log_2019[[#This Row],[Split_apply]])) - SUM($O176:T176)</f>
        <v>0</v>
      </c>
      <c r="V176" s="52">
        <f ca="1">Log_2019[[#This Row],[Amount]]/Log_2019[[#This Row],[Split_raw]]*MAX(0,MIN(_xlfn.DAYS(EDATE(V$1,1),Log_2019[[#This Row],[Date]]),Log_2019[[#This Row],[Split_apply]])) - SUM($O176:U176)</f>
        <v>0</v>
      </c>
      <c r="W176" s="52">
        <f ca="1">Log_2019[[#This Row],[Amount]]/Log_2019[[#This Row],[Split_raw]]*MAX(0,MIN(_xlfn.DAYS(EDATE(W$1,1),Log_2019[[#This Row],[Date]]),Log_2019[[#This Row],[Split_apply]])) - SUM($O176:V176)</f>
        <v>0</v>
      </c>
      <c r="X176" s="52">
        <f ca="1">Log_2019[[#This Row],[Amount]]/Log_2019[[#This Row],[Split_raw]]*MAX(0,MIN(_xlfn.DAYS(EDATE(X$1,1),Log_2019[[#This Row],[Date]]),Log_2019[[#This Row],[Split_apply]])) - SUM($O176:W176)</f>
        <v>0</v>
      </c>
      <c r="Y176" s="52">
        <f ca="1">Log_2019[[#This Row],[Amount]]/Log_2019[[#This Row],[Split_raw]]*MAX(0,MIN(_xlfn.DAYS(EDATE(Y$1,1),Log_2019[[#This Row],[Date]]),Log_2019[[#This Row],[Split_apply]])) - SUM($O176:X176)</f>
        <v>0</v>
      </c>
      <c r="Z176" s="52">
        <f ca="1">Log_2019[[#This Row],[Amount]]/Log_2019[[#This Row],[Split_raw]]*MAX(0,MIN(_xlfn.DAYS(EDATE(Z$1,1),Log_2019[[#This Row],[Date]]),Log_2019[[#This Row],[Split_apply]])) - SUM($O176:Y176)</f>
        <v>0</v>
      </c>
      <c r="AA176" s="52">
        <f ca="1">Log_2019[[#This Row],[Amount]]/Log_2019[[#This Row],[Split_raw]]*MAX(0,MIN(_xlfn.DAYS(EDATE(AA$1,1),Log_2019[[#This Row],[Date]]),Log_2019[[#This Row],[Split_apply]])) - SUM($O176:Z176)</f>
        <v>0</v>
      </c>
      <c r="AB176" s="54">
        <f ca="1">Log_2019[[#This Row],[Amount]]-SUM(O176:AA176)</f>
        <v>0</v>
      </c>
      <c r="AC176" s="7">
        <f>MAX(0,Log_2019[[#This Row],[Split_raw]] - (EDATE(AA$1,1)-Log_2019[[#This Row],[Date]]))</f>
        <v>0</v>
      </c>
    </row>
    <row r="177" spans="1:29" x14ac:dyDescent="0.25">
      <c r="A177" s="42"/>
      <c r="B177" s="34" t="s">
        <v>6</v>
      </c>
      <c r="C177" s="34"/>
      <c r="D177" s="41">
        <v>43742</v>
      </c>
      <c r="E177" s="34" t="s">
        <v>886</v>
      </c>
      <c r="F177" s="34" t="s">
        <v>707</v>
      </c>
      <c r="G177" s="34" t="s">
        <v>708</v>
      </c>
      <c r="H177">
        <v>-26.25</v>
      </c>
      <c r="I177" s="36">
        <f>IF(Log_2019[[#This Row],[My Category]]="NONTRACKED",0,Log_2019[[#This Row],[Raw Amount]])</f>
        <v>-26.25</v>
      </c>
      <c r="J177" s="37">
        <f>ABS(Log_2019[[#This Row],[Amount]])</f>
        <v>26.25</v>
      </c>
      <c r="K177" s="38">
        <v>1</v>
      </c>
      <c r="L177" s="38">
        <f ca="1">IF(Log_2019[[#This Row],[Date]]&lt;=TODAY(), MIN(Log_2019[[#This Row],[Split_raw]], TODAY()-Log_2019[[#This Row],[Date]]+1), 0)</f>
        <v>1</v>
      </c>
      <c r="M177" s="34" t="s">
        <v>37</v>
      </c>
      <c r="N177" s="34" t="s">
        <v>158</v>
      </c>
      <c r="O177" s="7">
        <v>0</v>
      </c>
      <c r="P177" s="52">
        <f ca="1">Log_2019[[#This Row],[Amount]]/Log_2019[[#This Row],[Split_raw]]*MAX(0,MIN(_xlfn.DAYS(EDATE(P$1,1),Log_2019[[#This Row],[Date]]),Log_2019[[#This Row],[Split_apply]])) - SUM($O177:O177)</f>
        <v>0</v>
      </c>
      <c r="Q177" s="52">
        <f ca="1">Log_2019[[#This Row],[Amount]]/Log_2019[[#This Row],[Split_raw]]*MAX(0,MIN(_xlfn.DAYS(EDATE(Q$1,1),Log_2019[[#This Row],[Date]]),Log_2019[[#This Row],[Split_apply]])) - SUM($O177:P177)</f>
        <v>0</v>
      </c>
      <c r="R177" s="52">
        <f ca="1">Log_2019[[#This Row],[Amount]]/Log_2019[[#This Row],[Split_raw]]*MAX(0,MIN(_xlfn.DAYS(EDATE(R$1,1),Log_2019[[#This Row],[Date]]),Log_2019[[#This Row],[Split_apply]])) - SUM($O177:Q177)</f>
        <v>0</v>
      </c>
      <c r="S177" s="52">
        <f ca="1">Log_2019[[#This Row],[Amount]]/Log_2019[[#This Row],[Split_raw]]*MAX(0,MIN(_xlfn.DAYS(EDATE(S$1,1),Log_2019[[#This Row],[Date]]),Log_2019[[#This Row],[Split_apply]])) - SUM($O177:R177)</f>
        <v>0</v>
      </c>
      <c r="T177" s="52">
        <f ca="1">Log_2019[[#This Row],[Amount]]/Log_2019[[#This Row],[Split_raw]]*MAX(0,MIN(_xlfn.DAYS(EDATE(T$1,1),Log_2019[[#This Row],[Date]]),Log_2019[[#This Row],[Split_apply]])) - SUM($O177:S177)</f>
        <v>0</v>
      </c>
      <c r="U177" s="52">
        <f ca="1">Log_2019[[#This Row],[Amount]]/Log_2019[[#This Row],[Split_raw]]*MAX(0,MIN(_xlfn.DAYS(EDATE(U$1,1),Log_2019[[#This Row],[Date]]),Log_2019[[#This Row],[Split_apply]])) - SUM($O177:T177)</f>
        <v>0</v>
      </c>
      <c r="V177" s="52">
        <f ca="1">Log_2019[[#This Row],[Amount]]/Log_2019[[#This Row],[Split_raw]]*MAX(0,MIN(_xlfn.DAYS(EDATE(V$1,1),Log_2019[[#This Row],[Date]]),Log_2019[[#This Row],[Split_apply]])) - SUM($O177:U177)</f>
        <v>0</v>
      </c>
      <c r="W177" s="52">
        <f ca="1">Log_2019[[#This Row],[Amount]]/Log_2019[[#This Row],[Split_raw]]*MAX(0,MIN(_xlfn.DAYS(EDATE(W$1,1),Log_2019[[#This Row],[Date]]),Log_2019[[#This Row],[Split_apply]])) - SUM($O177:V177)</f>
        <v>0</v>
      </c>
      <c r="X177" s="52">
        <f ca="1">Log_2019[[#This Row],[Amount]]/Log_2019[[#This Row],[Split_raw]]*MAX(0,MIN(_xlfn.DAYS(EDATE(X$1,1),Log_2019[[#This Row],[Date]]),Log_2019[[#This Row],[Split_apply]])) - SUM($O177:W177)</f>
        <v>0</v>
      </c>
      <c r="Y177" s="52">
        <f ca="1">Log_2019[[#This Row],[Amount]]/Log_2019[[#This Row],[Split_raw]]*MAX(0,MIN(_xlfn.DAYS(EDATE(Y$1,1),Log_2019[[#This Row],[Date]]),Log_2019[[#This Row],[Split_apply]])) - SUM($O177:X177)</f>
        <v>-26.25</v>
      </c>
      <c r="Z177" s="52">
        <f ca="1">Log_2019[[#This Row],[Amount]]/Log_2019[[#This Row],[Split_raw]]*MAX(0,MIN(_xlfn.DAYS(EDATE(Z$1,1),Log_2019[[#This Row],[Date]]),Log_2019[[#This Row],[Split_apply]])) - SUM($O177:Y177)</f>
        <v>0</v>
      </c>
      <c r="AA177" s="52">
        <f ca="1">Log_2019[[#This Row],[Amount]]/Log_2019[[#This Row],[Split_raw]]*MAX(0,MIN(_xlfn.DAYS(EDATE(AA$1,1),Log_2019[[#This Row],[Date]]),Log_2019[[#This Row],[Split_apply]])) - SUM($O177:Z177)</f>
        <v>0</v>
      </c>
      <c r="AB177" s="54">
        <f ca="1">Log_2019[[#This Row],[Amount]]-SUM(O177:AA177)</f>
        <v>0</v>
      </c>
      <c r="AC177" s="7">
        <f>MAX(0,Log_2019[[#This Row],[Split_raw]] - (EDATE(AA$1,1)-Log_2019[[#This Row],[Date]]))</f>
        <v>0</v>
      </c>
    </row>
    <row r="178" spans="1:29" x14ac:dyDescent="0.25">
      <c r="A178" s="42"/>
      <c r="B178" s="34" t="s">
        <v>6</v>
      </c>
      <c r="C178" s="34"/>
      <c r="D178" s="41">
        <v>43742</v>
      </c>
      <c r="E178" s="34"/>
      <c r="F178" s="34" t="s">
        <v>255</v>
      </c>
      <c r="G178" s="34" t="s">
        <v>10</v>
      </c>
      <c r="H178">
        <v>-6.69</v>
      </c>
      <c r="I178" s="36">
        <f>IF(Log_2019[[#This Row],[My Category]]="NONTRACKED",0,Log_2019[[#This Row],[Raw Amount]])</f>
        <v>-6.69</v>
      </c>
      <c r="J178" s="37">
        <f>ABS(Log_2019[[#This Row],[Amount]])</f>
        <v>6.69</v>
      </c>
      <c r="K178" s="38">
        <v>1</v>
      </c>
      <c r="L178" s="38">
        <f ca="1">IF(Log_2019[[#This Row],[Date]]&lt;=TODAY(), MIN(Log_2019[[#This Row],[Split_raw]], TODAY()-Log_2019[[#This Row],[Date]]+1), 0)</f>
        <v>1</v>
      </c>
      <c r="M178" s="34" t="s">
        <v>35</v>
      </c>
      <c r="N178" s="34" t="s">
        <v>158</v>
      </c>
      <c r="O178" s="7">
        <v>0</v>
      </c>
      <c r="P178" s="52">
        <f ca="1">Log_2019[[#This Row],[Amount]]/Log_2019[[#This Row],[Split_raw]]*MAX(0,MIN(_xlfn.DAYS(EDATE(P$1,1),Log_2019[[#This Row],[Date]]),Log_2019[[#This Row],[Split_apply]])) - SUM($O178:O178)</f>
        <v>0</v>
      </c>
      <c r="Q178" s="52">
        <f ca="1">Log_2019[[#This Row],[Amount]]/Log_2019[[#This Row],[Split_raw]]*MAX(0,MIN(_xlfn.DAYS(EDATE(Q$1,1),Log_2019[[#This Row],[Date]]),Log_2019[[#This Row],[Split_apply]])) - SUM($O178:P178)</f>
        <v>0</v>
      </c>
      <c r="R178" s="52">
        <f ca="1">Log_2019[[#This Row],[Amount]]/Log_2019[[#This Row],[Split_raw]]*MAX(0,MIN(_xlfn.DAYS(EDATE(R$1,1),Log_2019[[#This Row],[Date]]),Log_2019[[#This Row],[Split_apply]])) - SUM($O178:Q178)</f>
        <v>0</v>
      </c>
      <c r="S178" s="52">
        <f ca="1">Log_2019[[#This Row],[Amount]]/Log_2019[[#This Row],[Split_raw]]*MAX(0,MIN(_xlfn.DAYS(EDATE(S$1,1),Log_2019[[#This Row],[Date]]),Log_2019[[#This Row],[Split_apply]])) - SUM($O178:R178)</f>
        <v>0</v>
      </c>
      <c r="T178" s="52">
        <f ca="1">Log_2019[[#This Row],[Amount]]/Log_2019[[#This Row],[Split_raw]]*MAX(0,MIN(_xlfn.DAYS(EDATE(T$1,1),Log_2019[[#This Row],[Date]]),Log_2019[[#This Row],[Split_apply]])) - SUM($O178:S178)</f>
        <v>0</v>
      </c>
      <c r="U178" s="52">
        <f ca="1">Log_2019[[#This Row],[Amount]]/Log_2019[[#This Row],[Split_raw]]*MAX(0,MIN(_xlfn.DAYS(EDATE(U$1,1),Log_2019[[#This Row],[Date]]),Log_2019[[#This Row],[Split_apply]])) - SUM($O178:T178)</f>
        <v>0</v>
      </c>
      <c r="V178" s="52">
        <f ca="1">Log_2019[[#This Row],[Amount]]/Log_2019[[#This Row],[Split_raw]]*MAX(0,MIN(_xlfn.DAYS(EDATE(V$1,1),Log_2019[[#This Row],[Date]]),Log_2019[[#This Row],[Split_apply]])) - SUM($O178:U178)</f>
        <v>0</v>
      </c>
      <c r="W178" s="52">
        <f ca="1">Log_2019[[#This Row],[Amount]]/Log_2019[[#This Row],[Split_raw]]*MAX(0,MIN(_xlfn.DAYS(EDATE(W$1,1),Log_2019[[#This Row],[Date]]),Log_2019[[#This Row],[Split_apply]])) - SUM($O178:V178)</f>
        <v>0</v>
      </c>
      <c r="X178" s="52">
        <f ca="1">Log_2019[[#This Row],[Amount]]/Log_2019[[#This Row],[Split_raw]]*MAX(0,MIN(_xlfn.DAYS(EDATE(X$1,1),Log_2019[[#This Row],[Date]]),Log_2019[[#This Row],[Split_apply]])) - SUM($O178:W178)</f>
        <v>0</v>
      </c>
      <c r="Y178" s="52">
        <f ca="1">Log_2019[[#This Row],[Amount]]/Log_2019[[#This Row],[Split_raw]]*MAX(0,MIN(_xlfn.DAYS(EDATE(Y$1,1),Log_2019[[#This Row],[Date]]),Log_2019[[#This Row],[Split_apply]])) - SUM($O178:X178)</f>
        <v>-6.69</v>
      </c>
      <c r="Z178" s="52">
        <f ca="1">Log_2019[[#This Row],[Amount]]/Log_2019[[#This Row],[Split_raw]]*MAX(0,MIN(_xlfn.DAYS(EDATE(Z$1,1),Log_2019[[#This Row],[Date]]),Log_2019[[#This Row],[Split_apply]])) - SUM($O178:Y178)</f>
        <v>0</v>
      </c>
      <c r="AA178" s="52">
        <f ca="1">Log_2019[[#This Row],[Amount]]/Log_2019[[#This Row],[Split_raw]]*MAX(0,MIN(_xlfn.DAYS(EDATE(AA$1,1),Log_2019[[#This Row],[Date]]),Log_2019[[#This Row],[Split_apply]])) - SUM($O178:Z178)</f>
        <v>0</v>
      </c>
      <c r="AB178" s="54">
        <f ca="1">Log_2019[[#This Row],[Amount]]-SUM(O178:AA178)</f>
        <v>0</v>
      </c>
      <c r="AC178" s="7">
        <f>MAX(0,Log_2019[[#This Row],[Split_raw]] - (EDATE(AA$1,1)-Log_2019[[#This Row],[Date]]))</f>
        <v>0</v>
      </c>
    </row>
    <row r="179" spans="1:29" x14ac:dyDescent="0.25">
      <c r="A179" s="42"/>
      <c r="B179" s="34" t="s">
        <v>6</v>
      </c>
      <c r="C179" s="34"/>
      <c r="D179" s="41">
        <v>43740</v>
      </c>
      <c r="E179" s="34"/>
      <c r="F179" s="34" t="s">
        <v>527</v>
      </c>
      <c r="G179" s="34" t="s">
        <v>20</v>
      </c>
      <c r="H179">
        <v>-1600</v>
      </c>
      <c r="I179" s="36">
        <f>IF(Log_2019[[#This Row],[My Category]]="NONTRACKED",0,Log_2019[[#This Row],[Raw Amount]])</f>
        <v>-1600</v>
      </c>
      <c r="J179" s="37">
        <f>ABS(Log_2019[[#This Row],[Amount]])</f>
        <v>1600</v>
      </c>
      <c r="K179" s="38">
        <v>30</v>
      </c>
      <c r="L179" s="38">
        <f ca="1">IF(Log_2019[[#This Row],[Date]]&lt;=TODAY(), MIN(Log_2019[[#This Row],[Split_raw]], TODAY()-Log_2019[[#This Row],[Date]]+1), 0)</f>
        <v>30</v>
      </c>
      <c r="M179" s="34" t="s">
        <v>28</v>
      </c>
      <c r="N179" s="34" t="s">
        <v>160</v>
      </c>
      <c r="O179" s="7">
        <v>0</v>
      </c>
      <c r="P179" s="52">
        <f ca="1">Log_2019[[#This Row],[Amount]]/Log_2019[[#This Row],[Split_raw]]*MAX(0,MIN(_xlfn.DAYS(EDATE(P$1,1),Log_2019[[#This Row],[Date]]),Log_2019[[#This Row],[Split_apply]])) - SUM($O179:O179)</f>
        <v>0</v>
      </c>
      <c r="Q179" s="52">
        <f ca="1">Log_2019[[#This Row],[Amount]]/Log_2019[[#This Row],[Split_raw]]*MAX(0,MIN(_xlfn.DAYS(EDATE(Q$1,1),Log_2019[[#This Row],[Date]]),Log_2019[[#This Row],[Split_apply]])) - SUM($O179:P179)</f>
        <v>0</v>
      </c>
      <c r="R179" s="52">
        <f ca="1">Log_2019[[#This Row],[Amount]]/Log_2019[[#This Row],[Split_raw]]*MAX(0,MIN(_xlfn.DAYS(EDATE(R$1,1),Log_2019[[#This Row],[Date]]),Log_2019[[#This Row],[Split_apply]])) - SUM($O179:Q179)</f>
        <v>0</v>
      </c>
      <c r="S179" s="52">
        <f ca="1">Log_2019[[#This Row],[Amount]]/Log_2019[[#This Row],[Split_raw]]*MAX(0,MIN(_xlfn.DAYS(EDATE(S$1,1),Log_2019[[#This Row],[Date]]),Log_2019[[#This Row],[Split_apply]])) - SUM($O179:R179)</f>
        <v>0</v>
      </c>
      <c r="T179" s="52">
        <f ca="1">Log_2019[[#This Row],[Amount]]/Log_2019[[#This Row],[Split_raw]]*MAX(0,MIN(_xlfn.DAYS(EDATE(T$1,1),Log_2019[[#This Row],[Date]]),Log_2019[[#This Row],[Split_apply]])) - SUM($O179:S179)</f>
        <v>0</v>
      </c>
      <c r="U179" s="52">
        <f ca="1">Log_2019[[#This Row],[Amount]]/Log_2019[[#This Row],[Split_raw]]*MAX(0,MIN(_xlfn.DAYS(EDATE(U$1,1),Log_2019[[#This Row],[Date]]),Log_2019[[#This Row],[Split_apply]])) - SUM($O179:T179)</f>
        <v>0</v>
      </c>
      <c r="V179" s="52">
        <f ca="1">Log_2019[[#This Row],[Amount]]/Log_2019[[#This Row],[Split_raw]]*MAX(0,MIN(_xlfn.DAYS(EDATE(V$1,1),Log_2019[[#This Row],[Date]]),Log_2019[[#This Row],[Split_apply]])) - SUM($O179:U179)</f>
        <v>0</v>
      </c>
      <c r="W179" s="52">
        <f ca="1">Log_2019[[#This Row],[Amount]]/Log_2019[[#This Row],[Split_raw]]*MAX(0,MIN(_xlfn.DAYS(EDATE(W$1,1),Log_2019[[#This Row],[Date]]),Log_2019[[#This Row],[Split_apply]])) - SUM($O179:V179)</f>
        <v>0</v>
      </c>
      <c r="X179" s="52">
        <f ca="1">Log_2019[[#This Row],[Amount]]/Log_2019[[#This Row],[Split_raw]]*MAX(0,MIN(_xlfn.DAYS(EDATE(X$1,1),Log_2019[[#This Row],[Date]]),Log_2019[[#This Row],[Split_apply]])) - SUM($O179:W179)</f>
        <v>0</v>
      </c>
      <c r="Y179" s="52">
        <f ca="1">Log_2019[[#This Row],[Amount]]/Log_2019[[#This Row],[Split_raw]]*MAX(0,MIN(_xlfn.DAYS(EDATE(Y$1,1),Log_2019[[#This Row],[Date]]),Log_2019[[#This Row],[Split_apply]])) - SUM($O179:X179)</f>
        <v>-1600</v>
      </c>
      <c r="Z179" s="52">
        <f ca="1">Log_2019[[#This Row],[Amount]]/Log_2019[[#This Row],[Split_raw]]*MAX(0,MIN(_xlfn.DAYS(EDATE(Z$1,1),Log_2019[[#This Row],[Date]]),Log_2019[[#This Row],[Split_apply]])) - SUM($O179:Y179)</f>
        <v>0</v>
      </c>
      <c r="AA179" s="52">
        <f ca="1">Log_2019[[#This Row],[Amount]]/Log_2019[[#This Row],[Split_raw]]*MAX(0,MIN(_xlfn.DAYS(EDATE(AA$1,1),Log_2019[[#This Row],[Date]]),Log_2019[[#This Row],[Split_apply]])) - SUM($O179:Z179)</f>
        <v>0</v>
      </c>
      <c r="AB179" s="54">
        <f ca="1">Log_2019[[#This Row],[Amount]]-SUM(O179:AA179)</f>
        <v>0</v>
      </c>
      <c r="AC179" s="7">
        <f>MAX(0,Log_2019[[#This Row],[Split_raw]] - (EDATE(AA$1,1)-Log_2019[[#This Row],[Date]]))</f>
        <v>0</v>
      </c>
    </row>
    <row r="180" spans="1:29" x14ac:dyDescent="0.25">
      <c r="A180" s="42"/>
      <c r="B180" s="34" t="s">
        <v>6</v>
      </c>
      <c r="C180" s="34"/>
      <c r="D180" s="41">
        <v>43740</v>
      </c>
      <c r="E180" s="34"/>
      <c r="F180" s="34" t="s">
        <v>309</v>
      </c>
      <c r="G180" s="34" t="s">
        <v>13</v>
      </c>
      <c r="H180">
        <v>-13.3</v>
      </c>
      <c r="I180" s="36">
        <f>IF(Log_2019[[#This Row],[My Category]]="NONTRACKED",0,Log_2019[[#This Row],[Raw Amount]])</f>
        <v>-13.3</v>
      </c>
      <c r="J180" s="37">
        <f>ABS(Log_2019[[#This Row],[Amount]])</f>
        <v>13.3</v>
      </c>
      <c r="K180" s="38">
        <v>1</v>
      </c>
      <c r="L180" s="38">
        <f ca="1">IF(Log_2019[[#This Row],[Date]]&lt;=TODAY(), MIN(Log_2019[[#This Row],[Split_raw]], TODAY()-Log_2019[[#This Row],[Date]]+1), 0)</f>
        <v>1</v>
      </c>
      <c r="M180" s="34" t="s">
        <v>12</v>
      </c>
      <c r="N180" s="34" t="s">
        <v>158</v>
      </c>
      <c r="O180" s="7">
        <v>0</v>
      </c>
      <c r="P180" s="52">
        <f ca="1">Log_2019[[#This Row],[Amount]]/Log_2019[[#This Row],[Split_raw]]*MAX(0,MIN(_xlfn.DAYS(EDATE(P$1,1),Log_2019[[#This Row],[Date]]),Log_2019[[#This Row],[Split_apply]])) - SUM($O180:O180)</f>
        <v>0</v>
      </c>
      <c r="Q180" s="52">
        <f ca="1">Log_2019[[#This Row],[Amount]]/Log_2019[[#This Row],[Split_raw]]*MAX(0,MIN(_xlfn.DAYS(EDATE(Q$1,1),Log_2019[[#This Row],[Date]]),Log_2019[[#This Row],[Split_apply]])) - SUM($O180:P180)</f>
        <v>0</v>
      </c>
      <c r="R180" s="52">
        <f ca="1">Log_2019[[#This Row],[Amount]]/Log_2019[[#This Row],[Split_raw]]*MAX(0,MIN(_xlfn.DAYS(EDATE(R$1,1),Log_2019[[#This Row],[Date]]),Log_2019[[#This Row],[Split_apply]])) - SUM($O180:Q180)</f>
        <v>0</v>
      </c>
      <c r="S180" s="52">
        <f ca="1">Log_2019[[#This Row],[Amount]]/Log_2019[[#This Row],[Split_raw]]*MAX(0,MIN(_xlfn.DAYS(EDATE(S$1,1),Log_2019[[#This Row],[Date]]),Log_2019[[#This Row],[Split_apply]])) - SUM($O180:R180)</f>
        <v>0</v>
      </c>
      <c r="T180" s="52">
        <f ca="1">Log_2019[[#This Row],[Amount]]/Log_2019[[#This Row],[Split_raw]]*MAX(0,MIN(_xlfn.DAYS(EDATE(T$1,1),Log_2019[[#This Row],[Date]]),Log_2019[[#This Row],[Split_apply]])) - SUM($O180:S180)</f>
        <v>0</v>
      </c>
      <c r="U180" s="52">
        <f ca="1">Log_2019[[#This Row],[Amount]]/Log_2019[[#This Row],[Split_raw]]*MAX(0,MIN(_xlfn.DAYS(EDATE(U$1,1),Log_2019[[#This Row],[Date]]),Log_2019[[#This Row],[Split_apply]])) - SUM($O180:T180)</f>
        <v>0</v>
      </c>
      <c r="V180" s="52">
        <f ca="1">Log_2019[[#This Row],[Amount]]/Log_2019[[#This Row],[Split_raw]]*MAX(0,MIN(_xlfn.DAYS(EDATE(V$1,1),Log_2019[[#This Row],[Date]]),Log_2019[[#This Row],[Split_apply]])) - SUM($O180:U180)</f>
        <v>0</v>
      </c>
      <c r="W180" s="52">
        <f ca="1">Log_2019[[#This Row],[Amount]]/Log_2019[[#This Row],[Split_raw]]*MAX(0,MIN(_xlfn.DAYS(EDATE(W$1,1),Log_2019[[#This Row],[Date]]),Log_2019[[#This Row],[Split_apply]])) - SUM($O180:V180)</f>
        <v>0</v>
      </c>
      <c r="X180" s="52">
        <f ca="1">Log_2019[[#This Row],[Amount]]/Log_2019[[#This Row],[Split_raw]]*MAX(0,MIN(_xlfn.DAYS(EDATE(X$1,1),Log_2019[[#This Row],[Date]]),Log_2019[[#This Row],[Split_apply]])) - SUM($O180:W180)</f>
        <v>0</v>
      </c>
      <c r="Y180" s="52">
        <f ca="1">Log_2019[[#This Row],[Amount]]/Log_2019[[#This Row],[Split_raw]]*MAX(0,MIN(_xlfn.DAYS(EDATE(Y$1,1),Log_2019[[#This Row],[Date]]),Log_2019[[#This Row],[Split_apply]])) - SUM($O180:X180)</f>
        <v>-13.3</v>
      </c>
      <c r="Z180" s="52">
        <f ca="1">Log_2019[[#This Row],[Amount]]/Log_2019[[#This Row],[Split_raw]]*MAX(0,MIN(_xlfn.DAYS(EDATE(Z$1,1),Log_2019[[#This Row],[Date]]),Log_2019[[#This Row],[Split_apply]])) - SUM($O180:Y180)</f>
        <v>0</v>
      </c>
      <c r="AA180" s="52">
        <f ca="1">Log_2019[[#This Row],[Amount]]/Log_2019[[#This Row],[Split_raw]]*MAX(0,MIN(_xlfn.DAYS(EDATE(AA$1,1),Log_2019[[#This Row],[Date]]),Log_2019[[#This Row],[Split_apply]])) - SUM($O180:Z180)</f>
        <v>0</v>
      </c>
      <c r="AB180" s="54">
        <f ca="1">Log_2019[[#This Row],[Amount]]-SUM(O180:AA180)</f>
        <v>0</v>
      </c>
      <c r="AC180" s="7">
        <f>MAX(0,Log_2019[[#This Row],[Split_raw]] - (EDATE(AA$1,1)-Log_2019[[#This Row],[Date]]))</f>
        <v>0</v>
      </c>
    </row>
    <row r="181" spans="1:29" x14ac:dyDescent="0.25">
      <c r="A181" s="42"/>
      <c r="B181" s="34" t="s">
        <v>6</v>
      </c>
      <c r="C181" s="34"/>
      <c r="D181" s="41">
        <v>43739</v>
      </c>
      <c r="E181" t="s">
        <v>960</v>
      </c>
      <c r="F181" s="34" t="s">
        <v>700</v>
      </c>
      <c r="G181" s="34" t="s">
        <v>82</v>
      </c>
      <c r="H181">
        <v>-320</v>
      </c>
      <c r="I181" s="36">
        <f>IF(Log_2019[[#This Row],[My Category]]="NONTRACKED",0,Log_2019[[#This Row],[Raw Amount]])</f>
        <v>-320</v>
      </c>
      <c r="J181" s="37">
        <f>ABS(Log_2019[[#This Row],[Amount]])</f>
        <v>320</v>
      </c>
      <c r="K181" s="5">
        <v>31</v>
      </c>
      <c r="L181" s="38">
        <f ca="1">IF(Log_2019[[#This Row],[Date]]&lt;=TODAY(), MIN(Log_2019[[#This Row],[Split_raw]], TODAY()-Log_2019[[#This Row],[Date]]+1), 0)</f>
        <v>31</v>
      </c>
      <c r="M181" s="34" t="s">
        <v>93</v>
      </c>
      <c r="N181" s="34" t="s">
        <v>160</v>
      </c>
      <c r="O181" s="7">
        <v>0</v>
      </c>
      <c r="P181" s="52">
        <f ca="1">Log_2019[[#This Row],[Amount]]/Log_2019[[#This Row],[Split_raw]]*MAX(0,MIN(_xlfn.DAYS(EDATE(P$1,1),Log_2019[[#This Row],[Date]]),Log_2019[[#This Row],[Split_apply]])) - SUM($O181:O181)</f>
        <v>0</v>
      </c>
      <c r="Q181" s="52">
        <f ca="1">Log_2019[[#This Row],[Amount]]/Log_2019[[#This Row],[Split_raw]]*MAX(0,MIN(_xlfn.DAYS(EDATE(Q$1,1),Log_2019[[#This Row],[Date]]),Log_2019[[#This Row],[Split_apply]])) - SUM($O181:P181)</f>
        <v>0</v>
      </c>
      <c r="R181" s="52">
        <f ca="1">Log_2019[[#This Row],[Amount]]/Log_2019[[#This Row],[Split_raw]]*MAX(0,MIN(_xlfn.DAYS(EDATE(R$1,1),Log_2019[[#This Row],[Date]]),Log_2019[[#This Row],[Split_apply]])) - SUM($O181:Q181)</f>
        <v>0</v>
      </c>
      <c r="S181" s="52">
        <f ca="1">Log_2019[[#This Row],[Amount]]/Log_2019[[#This Row],[Split_raw]]*MAX(0,MIN(_xlfn.DAYS(EDATE(S$1,1),Log_2019[[#This Row],[Date]]),Log_2019[[#This Row],[Split_apply]])) - SUM($O181:R181)</f>
        <v>0</v>
      </c>
      <c r="T181" s="52">
        <f ca="1">Log_2019[[#This Row],[Amount]]/Log_2019[[#This Row],[Split_raw]]*MAX(0,MIN(_xlfn.DAYS(EDATE(T$1,1),Log_2019[[#This Row],[Date]]),Log_2019[[#This Row],[Split_apply]])) - SUM($O181:S181)</f>
        <v>0</v>
      </c>
      <c r="U181" s="52">
        <f ca="1">Log_2019[[#This Row],[Amount]]/Log_2019[[#This Row],[Split_raw]]*MAX(0,MIN(_xlfn.DAYS(EDATE(U$1,1),Log_2019[[#This Row],[Date]]),Log_2019[[#This Row],[Split_apply]])) - SUM($O181:T181)</f>
        <v>0</v>
      </c>
      <c r="V181" s="52">
        <f ca="1">Log_2019[[#This Row],[Amount]]/Log_2019[[#This Row],[Split_raw]]*MAX(0,MIN(_xlfn.DAYS(EDATE(V$1,1),Log_2019[[#This Row],[Date]]),Log_2019[[#This Row],[Split_apply]])) - SUM($O181:U181)</f>
        <v>0</v>
      </c>
      <c r="W181" s="52">
        <f ca="1">Log_2019[[#This Row],[Amount]]/Log_2019[[#This Row],[Split_raw]]*MAX(0,MIN(_xlfn.DAYS(EDATE(W$1,1),Log_2019[[#This Row],[Date]]),Log_2019[[#This Row],[Split_apply]])) - SUM($O181:V181)</f>
        <v>0</v>
      </c>
      <c r="X181" s="52">
        <f ca="1">Log_2019[[#This Row],[Amount]]/Log_2019[[#This Row],[Split_raw]]*MAX(0,MIN(_xlfn.DAYS(EDATE(X$1,1),Log_2019[[#This Row],[Date]]),Log_2019[[#This Row],[Split_apply]])) - SUM($O181:W181)</f>
        <v>0</v>
      </c>
      <c r="Y181" s="52">
        <f ca="1">Log_2019[[#This Row],[Amount]]/Log_2019[[#This Row],[Split_raw]]*MAX(0,MIN(_xlfn.DAYS(EDATE(Y$1,1),Log_2019[[#This Row],[Date]]),Log_2019[[#This Row],[Split_apply]])) - SUM($O181:X181)</f>
        <v>-320</v>
      </c>
      <c r="Z181" s="52">
        <f ca="1">Log_2019[[#This Row],[Amount]]/Log_2019[[#This Row],[Split_raw]]*MAX(0,MIN(_xlfn.DAYS(EDATE(Z$1,1),Log_2019[[#This Row],[Date]]),Log_2019[[#This Row],[Split_apply]])) - SUM($O181:Y181)</f>
        <v>0</v>
      </c>
      <c r="AA181" s="52">
        <f ca="1">Log_2019[[#This Row],[Amount]]/Log_2019[[#This Row],[Split_raw]]*MAX(0,MIN(_xlfn.DAYS(EDATE(AA$1,1),Log_2019[[#This Row],[Date]]),Log_2019[[#This Row],[Split_apply]])) - SUM($O181:Z181)</f>
        <v>0</v>
      </c>
      <c r="AB181" s="54">
        <f ca="1">Log_2019[[#This Row],[Amount]]-SUM(O181:AA181)</f>
        <v>0</v>
      </c>
      <c r="AC181" s="7">
        <f>MAX(0,Log_2019[[#This Row],[Split_raw]] - (EDATE(AA$1,1)-Log_2019[[#This Row],[Date]]))</f>
        <v>0</v>
      </c>
    </row>
    <row r="182" spans="1:29" x14ac:dyDescent="0.25">
      <c r="A182" s="42"/>
      <c r="B182" s="34" t="s">
        <v>6</v>
      </c>
      <c r="C182" s="34"/>
      <c r="D182" s="41">
        <v>43739</v>
      </c>
      <c r="E182" s="34"/>
      <c r="F182" s="34" t="s">
        <v>270</v>
      </c>
      <c r="G182" s="34" t="s">
        <v>25</v>
      </c>
      <c r="H182">
        <v>-9.7200000000000006</v>
      </c>
      <c r="I182" s="36">
        <f>IF(Log_2019[[#This Row],[My Category]]="NONTRACKED",0,Log_2019[[#This Row],[Raw Amount]])</f>
        <v>-9.7200000000000006</v>
      </c>
      <c r="J182" s="37">
        <f>ABS(Log_2019[[#This Row],[Amount]])</f>
        <v>9.7200000000000006</v>
      </c>
      <c r="K182" s="38">
        <v>1</v>
      </c>
      <c r="L182" s="38">
        <f ca="1">IF(Log_2019[[#This Row],[Date]]&lt;=TODAY(), MIN(Log_2019[[#This Row],[Split_raw]], TODAY()-Log_2019[[#This Row],[Date]]+1), 0)</f>
        <v>1</v>
      </c>
      <c r="M182" s="34" t="s">
        <v>35</v>
      </c>
      <c r="N182" s="34" t="s">
        <v>158</v>
      </c>
      <c r="O182" s="7">
        <v>0</v>
      </c>
      <c r="P182" s="52">
        <f ca="1">Log_2019[[#This Row],[Amount]]/Log_2019[[#This Row],[Split_raw]]*MAX(0,MIN(_xlfn.DAYS(EDATE(P$1,1),Log_2019[[#This Row],[Date]]),Log_2019[[#This Row],[Split_apply]])) - SUM($O182:O182)</f>
        <v>0</v>
      </c>
      <c r="Q182" s="52">
        <f ca="1">Log_2019[[#This Row],[Amount]]/Log_2019[[#This Row],[Split_raw]]*MAX(0,MIN(_xlfn.DAYS(EDATE(Q$1,1),Log_2019[[#This Row],[Date]]),Log_2019[[#This Row],[Split_apply]])) - SUM($O182:P182)</f>
        <v>0</v>
      </c>
      <c r="R182" s="52">
        <f ca="1">Log_2019[[#This Row],[Amount]]/Log_2019[[#This Row],[Split_raw]]*MAX(0,MIN(_xlfn.DAYS(EDATE(R$1,1),Log_2019[[#This Row],[Date]]),Log_2019[[#This Row],[Split_apply]])) - SUM($O182:Q182)</f>
        <v>0</v>
      </c>
      <c r="S182" s="52">
        <f ca="1">Log_2019[[#This Row],[Amount]]/Log_2019[[#This Row],[Split_raw]]*MAX(0,MIN(_xlfn.DAYS(EDATE(S$1,1),Log_2019[[#This Row],[Date]]),Log_2019[[#This Row],[Split_apply]])) - SUM($O182:R182)</f>
        <v>0</v>
      </c>
      <c r="T182" s="52">
        <f ca="1">Log_2019[[#This Row],[Amount]]/Log_2019[[#This Row],[Split_raw]]*MAX(0,MIN(_xlfn.DAYS(EDATE(T$1,1),Log_2019[[#This Row],[Date]]),Log_2019[[#This Row],[Split_apply]])) - SUM($O182:S182)</f>
        <v>0</v>
      </c>
      <c r="U182" s="52">
        <f ca="1">Log_2019[[#This Row],[Amount]]/Log_2019[[#This Row],[Split_raw]]*MAX(0,MIN(_xlfn.DAYS(EDATE(U$1,1),Log_2019[[#This Row],[Date]]),Log_2019[[#This Row],[Split_apply]])) - SUM($O182:T182)</f>
        <v>0</v>
      </c>
      <c r="V182" s="52">
        <f ca="1">Log_2019[[#This Row],[Amount]]/Log_2019[[#This Row],[Split_raw]]*MAX(0,MIN(_xlfn.DAYS(EDATE(V$1,1),Log_2019[[#This Row],[Date]]),Log_2019[[#This Row],[Split_apply]])) - SUM($O182:U182)</f>
        <v>0</v>
      </c>
      <c r="W182" s="52">
        <f ca="1">Log_2019[[#This Row],[Amount]]/Log_2019[[#This Row],[Split_raw]]*MAX(0,MIN(_xlfn.DAYS(EDATE(W$1,1),Log_2019[[#This Row],[Date]]),Log_2019[[#This Row],[Split_apply]])) - SUM($O182:V182)</f>
        <v>0</v>
      </c>
      <c r="X182" s="52">
        <f ca="1">Log_2019[[#This Row],[Amount]]/Log_2019[[#This Row],[Split_raw]]*MAX(0,MIN(_xlfn.DAYS(EDATE(X$1,1),Log_2019[[#This Row],[Date]]),Log_2019[[#This Row],[Split_apply]])) - SUM($O182:W182)</f>
        <v>0</v>
      </c>
      <c r="Y182" s="52">
        <f ca="1">Log_2019[[#This Row],[Amount]]/Log_2019[[#This Row],[Split_raw]]*MAX(0,MIN(_xlfn.DAYS(EDATE(Y$1,1),Log_2019[[#This Row],[Date]]),Log_2019[[#This Row],[Split_apply]])) - SUM($O182:X182)</f>
        <v>-9.7200000000000006</v>
      </c>
      <c r="Z182" s="52">
        <f ca="1">Log_2019[[#This Row],[Amount]]/Log_2019[[#This Row],[Split_raw]]*MAX(0,MIN(_xlfn.DAYS(EDATE(Z$1,1),Log_2019[[#This Row],[Date]]),Log_2019[[#This Row],[Split_apply]])) - SUM($O182:Y182)</f>
        <v>0</v>
      </c>
      <c r="AA182" s="52">
        <f ca="1">Log_2019[[#This Row],[Amount]]/Log_2019[[#This Row],[Split_raw]]*MAX(0,MIN(_xlfn.DAYS(EDATE(AA$1,1),Log_2019[[#This Row],[Date]]),Log_2019[[#This Row],[Split_apply]])) - SUM($O182:Z182)</f>
        <v>0</v>
      </c>
      <c r="AB182" s="54">
        <f ca="1">Log_2019[[#This Row],[Amount]]-SUM(O182:AA182)</f>
        <v>0</v>
      </c>
      <c r="AC182" s="7">
        <f>MAX(0,Log_2019[[#This Row],[Split_raw]] - (EDATE(AA$1,1)-Log_2019[[#This Row],[Date]]))</f>
        <v>0</v>
      </c>
    </row>
    <row r="183" spans="1:29" x14ac:dyDescent="0.25">
      <c r="A183" s="42"/>
      <c r="B183" s="34" t="s">
        <v>6</v>
      </c>
      <c r="C183" s="34"/>
      <c r="D183" s="41">
        <v>43739</v>
      </c>
      <c r="E183" s="34"/>
      <c r="F183" s="34" t="s">
        <v>587</v>
      </c>
      <c r="G183" s="34" t="s">
        <v>9</v>
      </c>
      <c r="H183">
        <v>-31.22</v>
      </c>
      <c r="I183" s="36">
        <f>IF(Log_2019[[#This Row],[My Category]]="NONTRACKED",0,Log_2019[[#This Row],[Raw Amount]])</f>
        <v>-31.22</v>
      </c>
      <c r="J183" s="37">
        <f>ABS(Log_2019[[#This Row],[Amount]])</f>
        <v>31.22</v>
      </c>
      <c r="K183" s="38">
        <v>1</v>
      </c>
      <c r="L183" s="38">
        <f ca="1">IF(Log_2019[[#This Row],[Date]]&lt;=TODAY(), MIN(Log_2019[[#This Row],[Split_raw]], TODAY()-Log_2019[[#This Row],[Date]]+1), 0)</f>
        <v>1</v>
      </c>
      <c r="M183" s="34" t="s">
        <v>12</v>
      </c>
      <c r="N183" s="34" t="s">
        <v>158</v>
      </c>
      <c r="O183" s="7">
        <v>0</v>
      </c>
      <c r="P183" s="52">
        <f ca="1">Log_2019[[#This Row],[Amount]]/Log_2019[[#This Row],[Split_raw]]*MAX(0,MIN(_xlfn.DAYS(EDATE(P$1,1),Log_2019[[#This Row],[Date]]),Log_2019[[#This Row],[Split_apply]])) - SUM($O183:O183)</f>
        <v>0</v>
      </c>
      <c r="Q183" s="52">
        <f ca="1">Log_2019[[#This Row],[Amount]]/Log_2019[[#This Row],[Split_raw]]*MAX(0,MIN(_xlfn.DAYS(EDATE(Q$1,1),Log_2019[[#This Row],[Date]]),Log_2019[[#This Row],[Split_apply]])) - SUM($O183:P183)</f>
        <v>0</v>
      </c>
      <c r="R183" s="52">
        <f ca="1">Log_2019[[#This Row],[Amount]]/Log_2019[[#This Row],[Split_raw]]*MAX(0,MIN(_xlfn.DAYS(EDATE(R$1,1),Log_2019[[#This Row],[Date]]),Log_2019[[#This Row],[Split_apply]])) - SUM($O183:Q183)</f>
        <v>0</v>
      </c>
      <c r="S183" s="52">
        <f ca="1">Log_2019[[#This Row],[Amount]]/Log_2019[[#This Row],[Split_raw]]*MAX(0,MIN(_xlfn.DAYS(EDATE(S$1,1),Log_2019[[#This Row],[Date]]),Log_2019[[#This Row],[Split_apply]])) - SUM($O183:R183)</f>
        <v>0</v>
      </c>
      <c r="T183" s="52">
        <f ca="1">Log_2019[[#This Row],[Amount]]/Log_2019[[#This Row],[Split_raw]]*MAX(0,MIN(_xlfn.DAYS(EDATE(T$1,1),Log_2019[[#This Row],[Date]]),Log_2019[[#This Row],[Split_apply]])) - SUM($O183:S183)</f>
        <v>0</v>
      </c>
      <c r="U183" s="52">
        <f ca="1">Log_2019[[#This Row],[Amount]]/Log_2019[[#This Row],[Split_raw]]*MAX(0,MIN(_xlfn.DAYS(EDATE(U$1,1),Log_2019[[#This Row],[Date]]),Log_2019[[#This Row],[Split_apply]])) - SUM($O183:T183)</f>
        <v>0</v>
      </c>
      <c r="V183" s="52">
        <f ca="1">Log_2019[[#This Row],[Amount]]/Log_2019[[#This Row],[Split_raw]]*MAX(0,MIN(_xlfn.DAYS(EDATE(V$1,1),Log_2019[[#This Row],[Date]]),Log_2019[[#This Row],[Split_apply]])) - SUM($O183:U183)</f>
        <v>0</v>
      </c>
      <c r="W183" s="52">
        <f ca="1">Log_2019[[#This Row],[Amount]]/Log_2019[[#This Row],[Split_raw]]*MAX(0,MIN(_xlfn.DAYS(EDATE(W$1,1),Log_2019[[#This Row],[Date]]),Log_2019[[#This Row],[Split_apply]])) - SUM($O183:V183)</f>
        <v>0</v>
      </c>
      <c r="X183" s="52">
        <f ca="1">Log_2019[[#This Row],[Amount]]/Log_2019[[#This Row],[Split_raw]]*MAX(0,MIN(_xlfn.DAYS(EDATE(X$1,1),Log_2019[[#This Row],[Date]]),Log_2019[[#This Row],[Split_apply]])) - SUM($O183:W183)</f>
        <v>0</v>
      </c>
      <c r="Y183" s="52">
        <f ca="1">Log_2019[[#This Row],[Amount]]/Log_2019[[#This Row],[Split_raw]]*MAX(0,MIN(_xlfn.DAYS(EDATE(Y$1,1),Log_2019[[#This Row],[Date]]),Log_2019[[#This Row],[Split_apply]])) - SUM($O183:X183)</f>
        <v>-31.22</v>
      </c>
      <c r="Z183" s="52">
        <f ca="1">Log_2019[[#This Row],[Amount]]/Log_2019[[#This Row],[Split_raw]]*MAX(0,MIN(_xlfn.DAYS(EDATE(Z$1,1),Log_2019[[#This Row],[Date]]),Log_2019[[#This Row],[Split_apply]])) - SUM($O183:Y183)</f>
        <v>0</v>
      </c>
      <c r="AA183" s="52">
        <f ca="1">Log_2019[[#This Row],[Amount]]/Log_2019[[#This Row],[Split_raw]]*MAX(0,MIN(_xlfn.DAYS(EDATE(AA$1,1),Log_2019[[#This Row],[Date]]),Log_2019[[#This Row],[Split_apply]])) - SUM($O183:Z183)</f>
        <v>0</v>
      </c>
      <c r="AB183" s="54">
        <f ca="1">Log_2019[[#This Row],[Amount]]-SUM(O183:AA183)</f>
        <v>0</v>
      </c>
      <c r="AC183" s="7">
        <f>MAX(0,Log_2019[[#This Row],[Split_raw]] - (EDATE(AA$1,1)-Log_2019[[#This Row],[Date]]))</f>
        <v>0</v>
      </c>
    </row>
    <row r="184" spans="1:29" x14ac:dyDescent="0.25">
      <c r="A184" s="42"/>
      <c r="B184" s="34" t="s">
        <v>6</v>
      </c>
      <c r="C184" s="34"/>
      <c r="D184" s="41">
        <v>43738</v>
      </c>
      <c r="E184" s="34"/>
      <c r="F184" s="34" t="s">
        <v>59</v>
      </c>
      <c r="G184" s="34" t="s">
        <v>25</v>
      </c>
      <c r="H184">
        <v>-7.94</v>
      </c>
      <c r="I184" s="36">
        <f>IF(Log_2019[[#This Row],[My Category]]="NONTRACKED",0,Log_2019[[#This Row],[Raw Amount]])</f>
        <v>-7.94</v>
      </c>
      <c r="J184" s="37">
        <f>ABS(Log_2019[[#This Row],[Amount]])</f>
        <v>7.94</v>
      </c>
      <c r="K184" s="38">
        <v>1</v>
      </c>
      <c r="L184" s="38">
        <f ca="1">IF(Log_2019[[#This Row],[Date]]&lt;=TODAY(), MIN(Log_2019[[#This Row],[Split_raw]], TODAY()-Log_2019[[#This Row],[Date]]+1), 0)</f>
        <v>1</v>
      </c>
      <c r="M184" s="34" t="s">
        <v>35</v>
      </c>
      <c r="N184" s="34" t="s">
        <v>158</v>
      </c>
      <c r="O184" s="7">
        <v>0</v>
      </c>
      <c r="P184" s="52">
        <f ca="1">Log_2019[[#This Row],[Amount]]/Log_2019[[#This Row],[Split_raw]]*MAX(0,MIN(_xlfn.DAYS(EDATE(P$1,1),Log_2019[[#This Row],[Date]]),Log_2019[[#This Row],[Split_apply]])) - SUM($O184:O184)</f>
        <v>0</v>
      </c>
      <c r="Q184" s="52">
        <f ca="1">Log_2019[[#This Row],[Amount]]/Log_2019[[#This Row],[Split_raw]]*MAX(0,MIN(_xlfn.DAYS(EDATE(Q$1,1),Log_2019[[#This Row],[Date]]),Log_2019[[#This Row],[Split_apply]])) - SUM($O184:P184)</f>
        <v>0</v>
      </c>
      <c r="R184" s="52">
        <f ca="1">Log_2019[[#This Row],[Amount]]/Log_2019[[#This Row],[Split_raw]]*MAX(0,MIN(_xlfn.DAYS(EDATE(R$1,1),Log_2019[[#This Row],[Date]]),Log_2019[[#This Row],[Split_apply]])) - SUM($O184:Q184)</f>
        <v>0</v>
      </c>
      <c r="S184" s="52">
        <f ca="1">Log_2019[[#This Row],[Amount]]/Log_2019[[#This Row],[Split_raw]]*MAX(0,MIN(_xlfn.DAYS(EDATE(S$1,1),Log_2019[[#This Row],[Date]]),Log_2019[[#This Row],[Split_apply]])) - SUM($O184:R184)</f>
        <v>0</v>
      </c>
      <c r="T184" s="52">
        <f ca="1">Log_2019[[#This Row],[Amount]]/Log_2019[[#This Row],[Split_raw]]*MAX(0,MIN(_xlfn.DAYS(EDATE(T$1,1),Log_2019[[#This Row],[Date]]),Log_2019[[#This Row],[Split_apply]])) - SUM($O184:S184)</f>
        <v>0</v>
      </c>
      <c r="U184" s="52">
        <f ca="1">Log_2019[[#This Row],[Amount]]/Log_2019[[#This Row],[Split_raw]]*MAX(0,MIN(_xlfn.DAYS(EDATE(U$1,1),Log_2019[[#This Row],[Date]]),Log_2019[[#This Row],[Split_apply]])) - SUM($O184:T184)</f>
        <v>0</v>
      </c>
      <c r="V184" s="52">
        <f ca="1">Log_2019[[#This Row],[Amount]]/Log_2019[[#This Row],[Split_raw]]*MAX(0,MIN(_xlfn.DAYS(EDATE(V$1,1),Log_2019[[#This Row],[Date]]),Log_2019[[#This Row],[Split_apply]])) - SUM($O184:U184)</f>
        <v>0</v>
      </c>
      <c r="W184" s="52">
        <f ca="1">Log_2019[[#This Row],[Amount]]/Log_2019[[#This Row],[Split_raw]]*MAX(0,MIN(_xlfn.DAYS(EDATE(W$1,1),Log_2019[[#This Row],[Date]]),Log_2019[[#This Row],[Split_apply]])) - SUM($O184:V184)</f>
        <v>0</v>
      </c>
      <c r="X184" s="52">
        <f ca="1">Log_2019[[#This Row],[Amount]]/Log_2019[[#This Row],[Split_raw]]*MAX(0,MIN(_xlfn.DAYS(EDATE(X$1,1),Log_2019[[#This Row],[Date]]),Log_2019[[#This Row],[Split_apply]])) - SUM($O184:W184)</f>
        <v>-7.94</v>
      </c>
      <c r="Y184" s="52">
        <f ca="1">Log_2019[[#This Row],[Amount]]/Log_2019[[#This Row],[Split_raw]]*MAX(0,MIN(_xlfn.DAYS(EDATE(Y$1,1),Log_2019[[#This Row],[Date]]),Log_2019[[#This Row],[Split_apply]])) - SUM($O184:X184)</f>
        <v>0</v>
      </c>
      <c r="Z184" s="52">
        <f ca="1">Log_2019[[#This Row],[Amount]]/Log_2019[[#This Row],[Split_raw]]*MAX(0,MIN(_xlfn.DAYS(EDATE(Z$1,1),Log_2019[[#This Row],[Date]]),Log_2019[[#This Row],[Split_apply]])) - SUM($O184:Y184)</f>
        <v>0</v>
      </c>
      <c r="AA184" s="52">
        <f ca="1">Log_2019[[#This Row],[Amount]]/Log_2019[[#This Row],[Split_raw]]*MAX(0,MIN(_xlfn.DAYS(EDATE(AA$1,1),Log_2019[[#This Row],[Date]]),Log_2019[[#This Row],[Split_apply]])) - SUM($O184:Z184)</f>
        <v>0</v>
      </c>
      <c r="AB184" s="54">
        <f ca="1">Log_2019[[#This Row],[Amount]]-SUM(O184:AA184)</f>
        <v>0</v>
      </c>
      <c r="AC184" s="7">
        <f>MAX(0,Log_2019[[#This Row],[Split_raw]] - (EDATE(AA$1,1)-Log_2019[[#This Row],[Date]]))</f>
        <v>0</v>
      </c>
    </row>
    <row r="185" spans="1:29" x14ac:dyDescent="0.25">
      <c r="A185" s="42"/>
      <c r="B185" s="34" t="s">
        <v>6</v>
      </c>
      <c r="C185" s="34"/>
      <c r="D185" s="41">
        <v>43735</v>
      </c>
      <c r="E185" s="34"/>
      <c r="F185" s="34" t="s">
        <v>16</v>
      </c>
      <c r="G185" s="34" t="s">
        <v>17</v>
      </c>
      <c r="H185">
        <f>--0.16</f>
        <v>0.16</v>
      </c>
      <c r="I185" s="36">
        <f>IF(Log_2019[[#This Row],[My Category]]="NONTRACKED",0,Log_2019[[#This Row],[Raw Amount]])</f>
        <v>0.16</v>
      </c>
      <c r="J185" s="37">
        <f>ABS(Log_2019[[#This Row],[Amount]])</f>
        <v>0.16</v>
      </c>
      <c r="K185" s="38">
        <v>1</v>
      </c>
      <c r="L185" s="38">
        <f ca="1">IF(Log_2019[[#This Row],[Date]]&lt;=TODAY(), MIN(Log_2019[[#This Row],[Split_raw]], TODAY()-Log_2019[[#This Row],[Date]]+1), 0)</f>
        <v>1</v>
      </c>
      <c r="M185" s="34" t="s">
        <v>144</v>
      </c>
      <c r="N185" s="34" t="s">
        <v>160</v>
      </c>
      <c r="O185" s="7">
        <v>0</v>
      </c>
      <c r="P185" s="52">
        <f ca="1">Log_2019[[#This Row],[Amount]]/Log_2019[[#This Row],[Split_raw]]*MAX(0,MIN(_xlfn.DAYS(EDATE(P$1,1),Log_2019[[#This Row],[Date]]),Log_2019[[#This Row],[Split_apply]])) - SUM($O185:O185)</f>
        <v>0</v>
      </c>
      <c r="Q185" s="52">
        <f ca="1">Log_2019[[#This Row],[Amount]]/Log_2019[[#This Row],[Split_raw]]*MAX(0,MIN(_xlfn.DAYS(EDATE(Q$1,1),Log_2019[[#This Row],[Date]]),Log_2019[[#This Row],[Split_apply]])) - SUM($O185:P185)</f>
        <v>0</v>
      </c>
      <c r="R185" s="52">
        <f ca="1">Log_2019[[#This Row],[Amount]]/Log_2019[[#This Row],[Split_raw]]*MAX(0,MIN(_xlfn.DAYS(EDATE(R$1,1),Log_2019[[#This Row],[Date]]),Log_2019[[#This Row],[Split_apply]])) - SUM($O185:Q185)</f>
        <v>0</v>
      </c>
      <c r="S185" s="52">
        <f ca="1">Log_2019[[#This Row],[Amount]]/Log_2019[[#This Row],[Split_raw]]*MAX(0,MIN(_xlfn.DAYS(EDATE(S$1,1),Log_2019[[#This Row],[Date]]),Log_2019[[#This Row],[Split_apply]])) - SUM($O185:R185)</f>
        <v>0</v>
      </c>
      <c r="T185" s="52">
        <f ca="1">Log_2019[[#This Row],[Amount]]/Log_2019[[#This Row],[Split_raw]]*MAX(0,MIN(_xlfn.DAYS(EDATE(T$1,1),Log_2019[[#This Row],[Date]]),Log_2019[[#This Row],[Split_apply]])) - SUM($O185:S185)</f>
        <v>0</v>
      </c>
      <c r="U185" s="52">
        <f ca="1">Log_2019[[#This Row],[Amount]]/Log_2019[[#This Row],[Split_raw]]*MAX(0,MIN(_xlfn.DAYS(EDATE(U$1,1),Log_2019[[#This Row],[Date]]),Log_2019[[#This Row],[Split_apply]])) - SUM($O185:T185)</f>
        <v>0</v>
      </c>
      <c r="V185" s="52">
        <f ca="1">Log_2019[[#This Row],[Amount]]/Log_2019[[#This Row],[Split_raw]]*MAX(0,MIN(_xlfn.DAYS(EDATE(V$1,1),Log_2019[[#This Row],[Date]]),Log_2019[[#This Row],[Split_apply]])) - SUM($O185:U185)</f>
        <v>0</v>
      </c>
      <c r="W185" s="52">
        <f ca="1">Log_2019[[#This Row],[Amount]]/Log_2019[[#This Row],[Split_raw]]*MAX(0,MIN(_xlfn.DAYS(EDATE(W$1,1),Log_2019[[#This Row],[Date]]),Log_2019[[#This Row],[Split_apply]])) - SUM($O185:V185)</f>
        <v>0</v>
      </c>
      <c r="X185" s="52">
        <f ca="1">Log_2019[[#This Row],[Amount]]/Log_2019[[#This Row],[Split_raw]]*MAX(0,MIN(_xlfn.DAYS(EDATE(X$1,1),Log_2019[[#This Row],[Date]]),Log_2019[[#This Row],[Split_apply]])) - SUM($O185:W185)</f>
        <v>0.16</v>
      </c>
      <c r="Y185" s="52">
        <f ca="1">Log_2019[[#This Row],[Amount]]/Log_2019[[#This Row],[Split_raw]]*MAX(0,MIN(_xlfn.DAYS(EDATE(Y$1,1),Log_2019[[#This Row],[Date]]),Log_2019[[#This Row],[Split_apply]])) - SUM($O185:X185)</f>
        <v>0</v>
      </c>
      <c r="Z185" s="52">
        <f ca="1">Log_2019[[#This Row],[Amount]]/Log_2019[[#This Row],[Split_raw]]*MAX(0,MIN(_xlfn.DAYS(EDATE(Z$1,1),Log_2019[[#This Row],[Date]]),Log_2019[[#This Row],[Split_apply]])) - SUM($O185:Y185)</f>
        <v>0</v>
      </c>
      <c r="AA185" s="52">
        <f ca="1">Log_2019[[#This Row],[Amount]]/Log_2019[[#This Row],[Split_raw]]*MAX(0,MIN(_xlfn.DAYS(EDATE(AA$1,1),Log_2019[[#This Row],[Date]]),Log_2019[[#This Row],[Split_apply]])) - SUM($O185:Z185)</f>
        <v>0</v>
      </c>
      <c r="AB185" s="54">
        <f ca="1">Log_2019[[#This Row],[Amount]]-SUM(O185:AA185)</f>
        <v>0</v>
      </c>
      <c r="AC185" s="7">
        <f>MAX(0,Log_2019[[#This Row],[Split_raw]] - (EDATE(AA$1,1)-Log_2019[[#This Row],[Date]]))</f>
        <v>0</v>
      </c>
    </row>
    <row r="186" spans="1:29" x14ac:dyDescent="0.25">
      <c r="A186" s="42"/>
      <c r="B186" s="34" t="s">
        <v>6</v>
      </c>
      <c r="C186" s="34"/>
      <c r="D186" s="41">
        <v>43735</v>
      </c>
      <c r="E186" s="34"/>
      <c r="F186" s="34" t="s">
        <v>23</v>
      </c>
      <c r="G186" s="34" t="s">
        <v>24</v>
      </c>
      <c r="H186">
        <f>--4</f>
        <v>4</v>
      </c>
      <c r="I186" s="36">
        <f>IF(Log_2019[[#This Row],[My Category]]="NONTRACKED",0,Log_2019[[#This Row],[Raw Amount]])</f>
        <v>4</v>
      </c>
      <c r="J186" s="37">
        <f>ABS(Log_2019[[#This Row],[Amount]])</f>
        <v>4</v>
      </c>
      <c r="K186" s="38">
        <v>1</v>
      </c>
      <c r="L186" s="38">
        <f ca="1">IF(Log_2019[[#This Row],[Date]]&lt;=TODAY(), MIN(Log_2019[[#This Row],[Split_raw]], TODAY()-Log_2019[[#This Row],[Date]]+1), 0)</f>
        <v>1</v>
      </c>
      <c r="M186" s="34" t="s">
        <v>196</v>
      </c>
      <c r="N186" s="34" t="s">
        <v>160</v>
      </c>
      <c r="O186" s="7">
        <v>0</v>
      </c>
      <c r="P186" s="52">
        <f ca="1">Log_2019[[#This Row],[Amount]]/Log_2019[[#This Row],[Split_raw]]*MAX(0,MIN(_xlfn.DAYS(EDATE(P$1,1),Log_2019[[#This Row],[Date]]),Log_2019[[#This Row],[Split_apply]])) - SUM($O186:O186)</f>
        <v>0</v>
      </c>
      <c r="Q186" s="52">
        <f ca="1">Log_2019[[#This Row],[Amount]]/Log_2019[[#This Row],[Split_raw]]*MAX(0,MIN(_xlfn.DAYS(EDATE(Q$1,1),Log_2019[[#This Row],[Date]]),Log_2019[[#This Row],[Split_apply]])) - SUM($O186:P186)</f>
        <v>0</v>
      </c>
      <c r="R186" s="52">
        <f ca="1">Log_2019[[#This Row],[Amount]]/Log_2019[[#This Row],[Split_raw]]*MAX(0,MIN(_xlfn.DAYS(EDATE(R$1,1),Log_2019[[#This Row],[Date]]),Log_2019[[#This Row],[Split_apply]])) - SUM($O186:Q186)</f>
        <v>0</v>
      </c>
      <c r="S186" s="52">
        <f ca="1">Log_2019[[#This Row],[Amount]]/Log_2019[[#This Row],[Split_raw]]*MAX(0,MIN(_xlfn.DAYS(EDATE(S$1,1),Log_2019[[#This Row],[Date]]),Log_2019[[#This Row],[Split_apply]])) - SUM($O186:R186)</f>
        <v>0</v>
      </c>
      <c r="T186" s="52">
        <f ca="1">Log_2019[[#This Row],[Amount]]/Log_2019[[#This Row],[Split_raw]]*MAX(0,MIN(_xlfn.DAYS(EDATE(T$1,1),Log_2019[[#This Row],[Date]]),Log_2019[[#This Row],[Split_apply]])) - SUM($O186:S186)</f>
        <v>0</v>
      </c>
      <c r="U186" s="52">
        <f ca="1">Log_2019[[#This Row],[Amount]]/Log_2019[[#This Row],[Split_raw]]*MAX(0,MIN(_xlfn.DAYS(EDATE(U$1,1),Log_2019[[#This Row],[Date]]),Log_2019[[#This Row],[Split_apply]])) - SUM($O186:T186)</f>
        <v>0</v>
      </c>
      <c r="V186" s="52">
        <f ca="1">Log_2019[[#This Row],[Amount]]/Log_2019[[#This Row],[Split_raw]]*MAX(0,MIN(_xlfn.DAYS(EDATE(V$1,1),Log_2019[[#This Row],[Date]]),Log_2019[[#This Row],[Split_apply]])) - SUM($O186:U186)</f>
        <v>0</v>
      </c>
      <c r="W186" s="52">
        <f ca="1">Log_2019[[#This Row],[Amount]]/Log_2019[[#This Row],[Split_raw]]*MAX(0,MIN(_xlfn.DAYS(EDATE(W$1,1),Log_2019[[#This Row],[Date]]),Log_2019[[#This Row],[Split_apply]])) - SUM($O186:V186)</f>
        <v>0</v>
      </c>
      <c r="X186" s="52">
        <f ca="1">Log_2019[[#This Row],[Amount]]/Log_2019[[#This Row],[Split_raw]]*MAX(0,MIN(_xlfn.DAYS(EDATE(X$1,1),Log_2019[[#This Row],[Date]]),Log_2019[[#This Row],[Split_apply]])) - SUM($O186:W186)</f>
        <v>4</v>
      </c>
      <c r="Y186" s="52">
        <f ca="1">Log_2019[[#This Row],[Amount]]/Log_2019[[#This Row],[Split_raw]]*MAX(0,MIN(_xlfn.DAYS(EDATE(Y$1,1),Log_2019[[#This Row],[Date]]),Log_2019[[#This Row],[Split_apply]])) - SUM($O186:X186)</f>
        <v>0</v>
      </c>
      <c r="Z186" s="52">
        <f ca="1">Log_2019[[#This Row],[Amount]]/Log_2019[[#This Row],[Split_raw]]*MAX(0,MIN(_xlfn.DAYS(EDATE(Z$1,1),Log_2019[[#This Row],[Date]]),Log_2019[[#This Row],[Split_apply]])) - SUM($O186:Y186)</f>
        <v>0</v>
      </c>
      <c r="AA186" s="52">
        <f ca="1">Log_2019[[#This Row],[Amount]]/Log_2019[[#This Row],[Split_raw]]*MAX(0,MIN(_xlfn.DAYS(EDATE(AA$1,1),Log_2019[[#This Row],[Date]]),Log_2019[[#This Row],[Split_apply]])) - SUM($O186:Z186)</f>
        <v>0</v>
      </c>
      <c r="AB186" s="54">
        <f ca="1">Log_2019[[#This Row],[Amount]]-SUM(O186:AA186)</f>
        <v>0</v>
      </c>
      <c r="AC186" s="7">
        <f>MAX(0,Log_2019[[#This Row],[Split_raw]] - (EDATE(AA$1,1)-Log_2019[[#This Row],[Date]]))</f>
        <v>0</v>
      </c>
    </row>
    <row r="187" spans="1:29" x14ac:dyDescent="0.25">
      <c r="A187" s="42"/>
      <c r="B187" s="34" t="s">
        <v>96</v>
      </c>
      <c r="C187" s="34"/>
      <c r="D187" s="41">
        <v>43735</v>
      </c>
      <c r="E187" s="34"/>
      <c r="F187" s="34" t="s">
        <v>743</v>
      </c>
      <c r="G187" s="34"/>
      <c r="H187">
        <v>50</v>
      </c>
      <c r="I187" s="36">
        <f>IF(Log_2019[[#This Row],[My Category]]="NONTRACKED",0,Log_2019[[#This Row],[Raw Amount]])</f>
        <v>50</v>
      </c>
      <c r="J187" s="37">
        <f>ABS(Log_2019[[#This Row],[Amount]])</f>
        <v>50</v>
      </c>
      <c r="K187" s="38">
        <v>1</v>
      </c>
      <c r="L187" s="38">
        <f ca="1">IF(Log_2019[[#This Row],[Date]]&lt;=TODAY(), MIN(Log_2019[[#This Row],[Split_raw]], TODAY()-Log_2019[[#This Row],[Date]]+1), 0)</f>
        <v>1</v>
      </c>
      <c r="M187" s="34" t="s">
        <v>35</v>
      </c>
      <c r="N187" s="34" t="s">
        <v>96</v>
      </c>
      <c r="O187" s="7">
        <v>0</v>
      </c>
      <c r="P187" s="52">
        <f ca="1">Log_2019[[#This Row],[Amount]]/Log_2019[[#This Row],[Split_raw]]*MAX(0,MIN(_xlfn.DAYS(EDATE(P$1,1),Log_2019[[#This Row],[Date]]),Log_2019[[#This Row],[Split_apply]])) - SUM($O187:O187)</f>
        <v>0</v>
      </c>
      <c r="Q187" s="52">
        <f ca="1">Log_2019[[#This Row],[Amount]]/Log_2019[[#This Row],[Split_raw]]*MAX(0,MIN(_xlfn.DAYS(EDATE(Q$1,1),Log_2019[[#This Row],[Date]]),Log_2019[[#This Row],[Split_apply]])) - SUM($O187:P187)</f>
        <v>0</v>
      </c>
      <c r="R187" s="52">
        <f ca="1">Log_2019[[#This Row],[Amount]]/Log_2019[[#This Row],[Split_raw]]*MAX(0,MIN(_xlfn.DAYS(EDATE(R$1,1),Log_2019[[#This Row],[Date]]),Log_2019[[#This Row],[Split_apply]])) - SUM($O187:Q187)</f>
        <v>0</v>
      </c>
      <c r="S187" s="52">
        <f ca="1">Log_2019[[#This Row],[Amount]]/Log_2019[[#This Row],[Split_raw]]*MAX(0,MIN(_xlfn.DAYS(EDATE(S$1,1),Log_2019[[#This Row],[Date]]),Log_2019[[#This Row],[Split_apply]])) - SUM($O187:R187)</f>
        <v>0</v>
      </c>
      <c r="T187" s="52">
        <f ca="1">Log_2019[[#This Row],[Amount]]/Log_2019[[#This Row],[Split_raw]]*MAX(0,MIN(_xlfn.DAYS(EDATE(T$1,1),Log_2019[[#This Row],[Date]]),Log_2019[[#This Row],[Split_apply]])) - SUM($O187:S187)</f>
        <v>0</v>
      </c>
      <c r="U187" s="52">
        <f ca="1">Log_2019[[#This Row],[Amount]]/Log_2019[[#This Row],[Split_raw]]*MAX(0,MIN(_xlfn.DAYS(EDATE(U$1,1),Log_2019[[#This Row],[Date]]),Log_2019[[#This Row],[Split_apply]])) - SUM($O187:T187)</f>
        <v>0</v>
      </c>
      <c r="V187" s="52">
        <f ca="1">Log_2019[[#This Row],[Amount]]/Log_2019[[#This Row],[Split_raw]]*MAX(0,MIN(_xlfn.DAYS(EDATE(V$1,1),Log_2019[[#This Row],[Date]]),Log_2019[[#This Row],[Split_apply]])) - SUM($O187:U187)</f>
        <v>0</v>
      </c>
      <c r="W187" s="52">
        <f ca="1">Log_2019[[#This Row],[Amount]]/Log_2019[[#This Row],[Split_raw]]*MAX(0,MIN(_xlfn.DAYS(EDATE(W$1,1),Log_2019[[#This Row],[Date]]),Log_2019[[#This Row],[Split_apply]])) - SUM($O187:V187)</f>
        <v>0</v>
      </c>
      <c r="X187" s="52">
        <f ca="1">Log_2019[[#This Row],[Amount]]/Log_2019[[#This Row],[Split_raw]]*MAX(0,MIN(_xlfn.DAYS(EDATE(X$1,1),Log_2019[[#This Row],[Date]]),Log_2019[[#This Row],[Split_apply]])) - SUM($O187:W187)</f>
        <v>50</v>
      </c>
      <c r="Y187" s="52">
        <f ca="1">Log_2019[[#This Row],[Amount]]/Log_2019[[#This Row],[Split_raw]]*MAX(0,MIN(_xlfn.DAYS(EDATE(Y$1,1),Log_2019[[#This Row],[Date]]),Log_2019[[#This Row],[Split_apply]])) - SUM($O187:X187)</f>
        <v>0</v>
      </c>
      <c r="Z187" s="52">
        <f ca="1">Log_2019[[#This Row],[Amount]]/Log_2019[[#This Row],[Split_raw]]*MAX(0,MIN(_xlfn.DAYS(EDATE(Z$1,1),Log_2019[[#This Row],[Date]]),Log_2019[[#This Row],[Split_apply]])) - SUM($O187:Y187)</f>
        <v>0</v>
      </c>
      <c r="AA187" s="52">
        <f ca="1">Log_2019[[#This Row],[Amount]]/Log_2019[[#This Row],[Split_raw]]*MAX(0,MIN(_xlfn.DAYS(EDATE(AA$1,1),Log_2019[[#This Row],[Date]]),Log_2019[[#This Row],[Split_apply]])) - SUM($O187:Z187)</f>
        <v>0</v>
      </c>
      <c r="AB187" s="54">
        <f ca="1">Log_2019[[#This Row],[Amount]]-SUM(O187:AA187)</f>
        <v>0</v>
      </c>
      <c r="AC187" s="7">
        <f>MAX(0,Log_2019[[#This Row],[Split_raw]] - (EDATE(AA$1,1)-Log_2019[[#This Row],[Date]]))</f>
        <v>0</v>
      </c>
    </row>
    <row r="188" spans="1:29" x14ac:dyDescent="0.25">
      <c r="A188" s="42"/>
      <c r="B188" s="34" t="s">
        <v>6</v>
      </c>
      <c r="C188" s="34"/>
      <c r="D188" s="41">
        <v>43735</v>
      </c>
      <c r="E188" s="34"/>
      <c r="F188" s="34" t="s">
        <v>327</v>
      </c>
      <c r="G188" s="34" t="s">
        <v>25</v>
      </c>
      <c r="H188">
        <v>-83.66</v>
      </c>
      <c r="I188" s="36">
        <f>IF(Log_2019[[#This Row],[My Category]]="NONTRACKED",0,Log_2019[[#This Row],[Raw Amount]])</f>
        <v>-83.66</v>
      </c>
      <c r="J188" s="37">
        <f>ABS(Log_2019[[#This Row],[Amount]])</f>
        <v>83.66</v>
      </c>
      <c r="K188" s="38">
        <v>1</v>
      </c>
      <c r="L188" s="38">
        <f ca="1">IF(Log_2019[[#This Row],[Date]]&lt;=TODAY(), MIN(Log_2019[[#This Row],[Split_raw]], TODAY()-Log_2019[[#This Row],[Date]]+1), 0)</f>
        <v>1</v>
      </c>
      <c r="M188" s="34" t="s">
        <v>35</v>
      </c>
      <c r="N188" s="34" t="s">
        <v>158</v>
      </c>
      <c r="O188" s="7">
        <v>0</v>
      </c>
      <c r="P188" s="52">
        <f ca="1">Log_2019[[#This Row],[Amount]]/Log_2019[[#This Row],[Split_raw]]*MAX(0,MIN(_xlfn.DAYS(EDATE(P$1,1),Log_2019[[#This Row],[Date]]),Log_2019[[#This Row],[Split_apply]])) - SUM($O188:O188)</f>
        <v>0</v>
      </c>
      <c r="Q188" s="52">
        <f ca="1">Log_2019[[#This Row],[Amount]]/Log_2019[[#This Row],[Split_raw]]*MAX(0,MIN(_xlfn.DAYS(EDATE(Q$1,1),Log_2019[[#This Row],[Date]]),Log_2019[[#This Row],[Split_apply]])) - SUM($O188:P188)</f>
        <v>0</v>
      </c>
      <c r="R188" s="52">
        <f ca="1">Log_2019[[#This Row],[Amount]]/Log_2019[[#This Row],[Split_raw]]*MAX(0,MIN(_xlfn.DAYS(EDATE(R$1,1),Log_2019[[#This Row],[Date]]),Log_2019[[#This Row],[Split_apply]])) - SUM($O188:Q188)</f>
        <v>0</v>
      </c>
      <c r="S188" s="52">
        <f ca="1">Log_2019[[#This Row],[Amount]]/Log_2019[[#This Row],[Split_raw]]*MAX(0,MIN(_xlfn.DAYS(EDATE(S$1,1),Log_2019[[#This Row],[Date]]),Log_2019[[#This Row],[Split_apply]])) - SUM($O188:R188)</f>
        <v>0</v>
      </c>
      <c r="T188" s="52">
        <f ca="1">Log_2019[[#This Row],[Amount]]/Log_2019[[#This Row],[Split_raw]]*MAX(0,MIN(_xlfn.DAYS(EDATE(T$1,1),Log_2019[[#This Row],[Date]]),Log_2019[[#This Row],[Split_apply]])) - SUM($O188:S188)</f>
        <v>0</v>
      </c>
      <c r="U188" s="52">
        <f ca="1">Log_2019[[#This Row],[Amount]]/Log_2019[[#This Row],[Split_raw]]*MAX(0,MIN(_xlfn.DAYS(EDATE(U$1,1),Log_2019[[#This Row],[Date]]),Log_2019[[#This Row],[Split_apply]])) - SUM($O188:T188)</f>
        <v>0</v>
      </c>
      <c r="V188" s="52">
        <f ca="1">Log_2019[[#This Row],[Amount]]/Log_2019[[#This Row],[Split_raw]]*MAX(0,MIN(_xlfn.DAYS(EDATE(V$1,1),Log_2019[[#This Row],[Date]]),Log_2019[[#This Row],[Split_apply]])) - SUM($O188:U188)</f>
        <v>0</v>
      </c>
      <c r="W188" s="52">
        <f ca="1">Log_2019[[#This Row],[Amount]]/Log_2019[[#This Row],[Split_raw]]*MAX(0,MIN(_xlfn.DAYS(EDATE(W$1,1),Log_2019[[#This Row],[Date]]),Log_2019[[#This Row],[Split_apply]])) - SUM($O188:V188)</f>
        <v>0</v>
      </c>
      <c r="X188" s="52">
        <f ca="1">Log_2019[[#This Row],[Amount]]/Log_2019[[#This Row],[Split_raw]]*MAX(0,MIN(_xlfn.DAYS(EDATE(X$1,1),Log_2019[[#This Row],[Date]]),Log_2019[[#This Row],[Split_apply]])) - SUM($O188:W188)</f>
        <v>-83.66</v>
      </c>
      <c r="Y188" s="52">
        <f ca="1">Log_2019[[#This Row],[Amount]]/Log_2019[[#This Row],[Split_raw]]*MAX(0,MIN(_xlfn.DAYS(EDATE(Y$1,1),Log_2019[[#This Row],[Date]]),Log_2019[[#This Row],[Split_apply]])) - SUM($O188:X188)</f>
        <v>0</v>
      </c>
      <c r="Z188" s="52">
        <f ca="1">Log_2019[[#This Row],[Amount]]/Log_2019[[#This Row],[Split_raw]]*MAX(0,MIN(_xlfn.DAYS(EDATE(Z$1,1),Log_2019[[#This Row],[Date]]),Log_2019[[#This Row],[Split_apply]])) - SUM($O188:Y188)</f>
        <v>0</v>
      </c>
      <c r="AA188" s="52">
        <f ca="1">Log_2019[[#This Row],[Amount]]/Log_2019[[#This Row],[Split_raw]]*MAX(0,MIN(_xlfn.DAYS(EDATE(AA$1,1),Log_2019[[#This Row],[Date]]),Log_2019[[#This Row],[Split_apply]])) - SUM($O188:Z188)</f>
        <v>0</v>
      </c>
      <c r="AB188" s="54">
        <f ca="1">Log_2019[[#This Row],[Amount]]-SUM(O188:AA188)</f>
        <v>0</v>
      </c>
      <c r="AC188" s="7">
        <f>MAX(0,Log_2019[[#This Row],[Split_raw]] - (EDATE(AA$1,1)-Log_2019[[#This Row],[Date]]))</f>
        <v>0</v>
      </c>
    </row>
    <row r="189" spans="1:29" x14ac:dyDescent="0.25">
      <c r="A189" s="42"/>
      <c r="B189" s="34" t="s">
        <v>490</v>
      </c>
      <c r="C189" s="34">
        <v>2.8423614603764598E+18</v>
      </c>
      <c r="D189" s="41">
        <v>43735</v>
      </c>
      <c r="E189" s="34"/>
      <c r="F189" s="34" t="s">
        <v>741</v>
      </c>
      <c r="G189" s="34"/>
      <c r="H189" s="45">
        <v>9</v>
      </c>
      <c r="I189" s="36">
        <f>IF(Log_2019[[#This Row],[My Category]]="NONTRACKED",0,Log_2019[[#This Row],[Raw Amount]])</f>
        <v>9</v>
      </c>
      <c r="J189" s="37">
        <f>ABS(Log_2019[[#This Row],[Amount]])</f>
        <v>9</v>
      </c>
      <c r="K189" s="38">
        <v>1</v>
      </c>
      <c r="L189" s="38">
        <f ca="1">IF(Log_2019[[#This Row],[Date]]&lt;=TODAY(), MIN(Log_2019[[#This Row],[Split_raw]], TODAY()-Log_2019[[#This Row],[Date]]+1), 0)</f>
        <v>1</v>
      </c>
      <c r="M189" s="34" t="s">
        <v>35</v>
      </c>
      <c r="N189" s="34" t="s">
        <v>490</v>
      </c>
      <c r="O189" s="7">
        <v>0</v>
      </c>
      <c r="P189" s="52">
        <f ca="1">Log_2019[[#This Row],[Amount]]/Log_2019[[#This Row],[Split_raw]]*MAX(0,MIN(_xlfn.DAYS(EDATE(P$1,1),Log_2019[[#This Row],[Date]]),Log_2019[[#This Row],[Split_apply]])) - SUM($O189:O189)</f>
        <v>0</v>
      </c>
      <c r="Q189" s="52">
        <f ca="1">Log_2019[[#This Row],[Amount]]/Log_2019[[#This Row],[Split_raw]]*MAX(0,MIN(_xlfn.DAYS(EDATE(Q$1,1),Log_2019[[#This Row],[Date]]),Log_2019[[#This Row],[Split_apply]])) - SUM($O189:P189)</f>
        <v>0</v>
      </c>
      <c r="R189" s="52">
        <f ca="1">Log_2019[[#This Row],[Amount]]/Log_2019[[#This Row],[Split_raw]]*MAX(0,MIN(_xlfn.DAYS(EDATE(R$1,1),Log_2019[[#This Row],[Date]]),Log_2019[[#This Row],[Split_apply]])) - SUM($O189:Q189)</f>
        <v>0</v>
      </c>
      <c r="S189" s="52">
        <f ca="1">Log_2019[[#This Row],[Amount]]/Log_2019[[#This Row],[Split_raw]]*MAX(0,MIN(_xlfn.DAYS(EDATE(S$1,1),Log_2019[[#This Row],[Date]]),Log_2019[[#This Row],[Split_apply]])) - SUM($O189:R189)</f>
        <v>0</v>
      </c>
      <c r="T189" s="52">
        <f ca="1">Log_2019[[#This Row],[Amount]]/Log_2019[[#This Row],[Split_raw]]*MAX(0,MIN(_xlfn.DAYS(EDATE(T$1,1),Log_2019[[#This Row],[Date]]),Log_2019[[#This Row],[Split_apply]])) - SUM($O189:S189)</f>
        <v>0</v>
      </c>
      <c r="U189" s="52">
        <f ca="1">Log_2019[[#This Row],[Amount]]/Log_2019[[#This Row],[Split_raw]]*MAX(0,MIN(_xlfn.DAYS(EDATE(U$1,1),Log_2019[[#This Row],[Date]]),Log_2019[[#This Row],[Split_apply]])) - SUM($O189:T189)</f>
        <v>0</v>
      </c>
      <c r="V189" s="52">
        <f ca="1">Log_2019[[#This Row],[Amount]]/Log_2019[[#This Row],[Split_raw]]*MAX(0,MIN(_xlfn.DAYS(EDATE(V$1,1),Log_2019[[#This Row],[Date]]),Log_2019[[#This Row],[Split_apply]])) - SUM($O189:U189)</f>
        <v>0</v>
      </c>
      <c r="W189" s="52">
        <f ca="1">Log_2019[[#This Row],[Amount]]/Log_2019[[#This Row],[Split_raw]]*MAX(0,MIN(_xlfn.DAYS(EDATE(W$1,1),Log_2019[[#This Row],[Date]]),Log_2019[[#This Row],[Split_apply]])) - SUM($O189:V189)</f>
        <v>0</v>
      </c>
      <c r="X189" s="52">
        <f ca="1">Log_2019[[#This Row],[Amount]]/Log_2019[[#This Row],[Split_raw]]*MAX(0,MIN(_xlfn.DAYS(EDATE(X$1,1),Log_2019[[#This Row],[Date]]),Log_2019[[#This Row],[Split_apply]])) - SUM($O189:W189)</f>
        <v>9</v>
      </c>
      <c r="Y189" s="52">
        <f ca="1">Log_2019[[#This Row],[Amount]]/Log_2019[[#This Row],[Split_raw]]*MAX(0,MIN(_xlfn.DAYS(EDATE(Y$1,1),Log_2019[[#This Row],[Date]]),Log_2019[[#This Row],[Split_apply]])) - SUM($O189:X189)</f>
        <v>0</v>
      </c>
      <c r="Z189" s="52">
        <f ca="1">Log_2019[[#This Row],[Amount]]/Log_2019[[#This Row],[Split_raw]]*MAX(0,MIN(_xlfn.DAYS(EDATE(Z$1,1),Log_2019[[#This Row],[Date]]),Log_2019[[#This Row],[Split_apply]])) - SUM($O189:Y189)</f>
        <v>0</v>
      </c>
      <c r="AA189" s="52">
        <f ca="1">Log_2019[[#This Row],[Amount]]/Log_2019[[#This Row],[Split_raw]]*MAX(0,MIN(_xlfn.DAYS(EDATE(AA$1,1),Log_2019[[#This Row],[Date]]),Log_2019[[#This Row],[Split_apply]])) - SUM($O189:Z189)</f>
        <v>0</v>
      </c>
      <c r="AB189" s="54">
        <f ca="1">Log_2019[[#This Row],[Amount]]-SUM(O189:AA189)</f>
        <v>0</v>
      </c>
      <c r="AC189" s="7">
        <f>MAX(0,Log_2019[[#This Row],[Split_raw]] - (EDATE(AA$1,1)-Log_2019[[#This Row],[Date]]))</f>
        <v>0</v>
      </c>
    </row>
    <row r="190" spans="1:29" x14ac:dyDescent="0.25">
      <c r="A190" s="42"/>
      <c r="B190" s="40" t="s">
        <v>490</v>
      </c>
      <c r="C190" s="40">
        <v>2.8423625639733402E+18</v>
      </c>
      <c r="D190" s="41">
        <v>43735</v>
      </c>
      <c r="E190" s="40"/>
      <c r="F190" s="40" t="s">
        <v>491</v>
      </c>
      <c r="G190" s="40"/>
      <c r="H190" s="46">
        <v>12</v>
      </c>
      <c r="I190" s="42">
        <f>IF(Log_2019[[#This Row],[My Category]]="NONTRACKED",0,Log_2019[[#This Row],[Raw Amount]])</f>
        <v>12</v>
      </c>
      <c r="J190" s="47">
        <f>ABS(Log_2019[[#This Row],[Amount]])</f>
        <v>12</v>
      </c>
      <c r="K190" s="44">
        <v>1</v>
      </c>
      <c r="L190" s="38">
        <f ca="1">IF(Log_2019[[#This Row],[Date]]&lt;=TODAY(), MIN(Log_2019[[#This Row],[Split_raw]], TODAY()-Log_2019[[#This Row],[Date]]+1), 0)</f>
        <v>1</v>
      </c>
      <c r="M190" s="40" t="s">
        <v>35</v>
      </c>
      <c r="N190" s="40" t="s">
        <v>490</v>
      </c>
      <c r="O190" s="7">
        <v>0</v>
      </c>
      <c r="P190" s="52">
        <f ca="1">Log_2019[[#This Row],[Amount]]/Log_2019[[#This Row],[Split_raw]]*MAX(0,MIN(_xlfn.DAYS(EDATE(P$1,1),Log_2019[[#This Row],[Date]]),Log_2019[[#This Row],[Split_apply]])) - SUM($O190:O190)</f>
        <v>0</v>
      </c>
      <c r="Q190" s="52">
        <f ca="1">Log_2019[[#This Row],[Amount]]/Log_2019[[#This Row],[Split_raw]]*MAX(0,MIN(_xlfn.DAYS(EDATE(Q$1,1),Log_2019[[#This Row],[Date]]),Log_2019[[#This Row],[Split_apply]])) - SUM($O190:P190)</f>
        <v>0</v>
      </c>
      <c r="R190" s="52">
        <f ca="1">Log_2019[[#This Row],[Amount]]/Log_2019[[#This Row],[Split_raw]]*MAX(0,MIN(_xlfn.DAYS(EDATE(R$1,1),Log_2019[[#This Row],[Date]]),Log_2019[[#This Row],[Split_apply]])) - SUM($O190:Q190)</f>
        <v>0</v>
      </c>
      <c r="S190" s="52">
        <f ca="1">Log_2019[[#This Row],[Amount]]/Log_2019[[#This Row],[Split_raw]]*MAX(0,MIN(_xlfn.DAYS(EDATE(S$1,1),Log_2019[[#This Row],[Date]]),Log_2019[[#This Row],[Split_apply]])) - SUM($O190:R190)</f>
        <v>0</v>
      </c>
      <c r="T190" s="52">
        <f ca="1">Log_2019[[#This Row],[Amount]]/Log_2019[[#This Row],[Split_raw]]*MAX(0,MIN(_xlfn.DAYS(EDATE(T$1,1),Log_2019[[#This Row],[Date]]),Log_2019[[#This Row],[Split_apply]])) - SUM($O190:S190)</f>
        <v>0</v>
      </c>
      <c r="U190" s="52">
        <f ca="1">Log_2019[[#This Row],[Amount]]/Log_2019[[#This Row],[Split_raw]]*MAX(0,MIN(_xlfn.DAYS(EDATE(U$1,1),Log_2019[[#This Row],[Date]]),Log_2019[[#This Row],[Split_apply]])) - SUM($O190:T190)</f>
        <v>0</v>
      </c>
      <c r="V190" s="52">
        <f ca="1">Log_2019[[#This Row],[Amount]]/Log_2019[[#This Row],[Split_raw]]*MAX(0,MIN(_xlfn.DAYS(EDATE(V$1,1),Log_2019[[#This Row],[Date]]),Log_2019[[#This Row],[Split_apply]])) - SUM($O190:U190)</f>
        <v>0</v>
      </c>
      <c r="W190" s="52">
        <f ca="1">Log_2019[[#This Row],[Amount]]/Log_2019[[#This Row],[Split_raw]]*MAX(0,MIN(_xlfn.DAYS(EDATE(W$1,1),Log_2019[[#This Row],[Date]]),Log_2019[[#This Row],[Split_apply]])) - SUM($O190:V190)</f>
        <v>0</v>
      </c>
      <c r="X190" s="52">
        <f ca="1">Log_2019[[#This Row],[Amount]]/Log_2019[[#This Row],[Split_raw]]*MAX(0,MIN(_xlfn.DAYS(EDATE(X$1,1),Log_2019[[#This Row],[Date]]),Log_2019[[#This Row],[Split_apply]])) - SUM($O190:W190)</f>
        <v>12</v>
      </c>
      <c r="Y190" s="52">
        <f ca="1">Log_2019[[#This Row],[Amount]]/Log_2019[[#This Row],[Split_raw]]*MAX(0,MIN(_xlfn.DAYS(EDATE(Y$1,1),Log_2019[[#This Row],[Date]]),Log_2019[[#This Row],[Split_apply]])) - SUM($O190:X190)</f>
        <v>0</v>
      </c>
      <c r="Z190" s="52">
        <f ca="1">Log_2019[[#This Row],[Amount]]/Log_2019[[#This Row],[Split_raw]]*MAX(0,MIN(_xlfn.DAYS(EDATE(Z$1,1),Log_2019[[#This Row],[Date]]),Log_2019[[#This Row],[Split_apply]])) - SUM($O190:Y190)</f>
        <v>0</v>
      </c>
      <c r="AA190" s="52">
        <f ca="1">Log_2019[[#This Row],[Amount]]/Log_2019[[#This Row],[Split_raw]]*MAX(0,MIN(_xlfn.DAYS(EDATE(AA$1,1),Log_2019[[#This Row],[Date]]),Log_2019[[#This Row],[Split_apply]])) - SUM($O190:Z190)</f>
        <v>0</v>
      </c>
      <c r="AB190" s="54">
        <f ca="1">Log_2019[[#This Row],[Amount]]-SUM(O190:AA190)</f>
        <v>0</v>
      </c>
      <c r="AC190" s="7">
        <f>MAX(0,Log_2019[[#This Row],[Split_raw]] - (EDATE(AA$1,1)-Log_2019[[#This Row],[Date]]))</f>
        <v>0</v>
      </c>
    </row>
    <row r="191" spans="1:29" x14ac:dyDescent="0.25">
      <c r="A191" s="42"/>
      <c r="B191" s="34" t="s">
        <v>6</v>
      </c>
      <c r="C191" s="34"/>
      <c r="D191" s="41">
        <v>43734</v>
      </c>
      <c r="E191" s="34"/>
      <c r="F191" s="34" t="s">
        <v>569</v>
      </c>
      <c r="G191" s="34" t="s">
        <v>80</v>
      </c>
      <c r="H191">
        <f>--1898.46</f>
        <v>1898.46</v>
      </c>
      <c r="I191" s="36">
        <f>IF(Log_2019[[#This Row],[My Category]]="NONTRACKED",0,Log_2019[[#This Row],[Raw Amount]])</f>
        <v>1898.46</v>
      </c>
      <c r="J191" s="37">
        <f>ABS(Log_2019[[#This Row],[Amount]])</f>
        <v>1898.46</v>
      </c>
      <c r="K191" s="38">
        <v>14</v>
      </c>
      <c r="L191" s="38">
        <f ca="1">IF(Log_2019[[#This Row],[Date]]&lt;=TODAY(), MIN(Log_2019[[#This Row],[Split_raw]], TODAY()-Log_2019[[#This Row],[Date]]+1), 0)</f>
        <v>14</v>
      </c>
      <c r="M191" s="34" t="s">
        <v>91</v>
      </c>
      <c r="N191" s="34" t="s">
        <v>160</v>
      </c>
      <c r="O191" s="7">
        <v>0</v>
      </c>
      <c r="P191" s="52">
        <f ca="1">Log_2019[[#This Row],[Amount]]/Log_2019[[#This Row],[Split_raw]]*MAX(0,MIN(_xlfn.DAYS(EDATE(P$1,1),Log_2019[[#This Row],[Date]]),Log_2019[[#This Row],[Split_apply]])) - SUM($O191:O191)</f>
        <v>0</v>
      </c>
      <c r="Q191" s="52">
        <f ca="1">Log_2019[[#This Row],[Amount]]/Log_2019[[#This Row],[Split_raw]]*MAX(0,MIN(_xlfn.DAYS(EDATE(Q$1,1),Log_2019[[#This Row],[Date]]),Log_2019[[#This Row],[Split_apply]])) - SUM($O191:P191)</f>
        <v>0</v>
      </c>
      <c r="R191" s="52">
        <f ca="1">Log_2019[[#This Row],[Amount]]/Log_2019[[#This Row],[Split_raw]]*MAX(0,MIN(_xlfn.DAYS(EDATE(R$1,1),Log_2019[[#This Row],[Date]]),Log_2019[[#This Row],[Split_apply]])) - SUM($O191:Q191)</f>
        <v>0</v>
      </c>
      <c r="S191" s="52">
        <f ca="1">Log_2019[[#This Row],[Amount]]/Log_2019[[#This Row],[Split_raw]]*MAX(0,MIN(_xlfn.DAYS(EDATE(S$1,1),Log_2019[[#This Row],[Date]]),Log_2019[[#This Row],[Split_apply]])) - SUM($O191:R191)</f>
        <v>0</v>
      </c>
      <c r="T191" s="52">
        <f ca="1">Log_2019[[#This Row],[Amount]]/Log_2019[[#This Row],[Split_raw]]*MAX(0,MIN(_xlfn.DAYS(EDATE(T$1,1),Log_2019[[#This Row],[Date]]),Log_2019[[#This Row],[Split_apply]])) - SUM($O191:S191)</f>
        <v>0</v>
      </c>
      <c r="U191" s="52">
        <f ca="1">Log_2019[[#This Row],[Amount]]/Log_2019[[#This Row],[Split_raw]]*MAX(0,MIN(_xlfn.DAYS(EDATE(U$1,1),Log_2019[[#This Row],[Date]]),Log_2019[[#This Row],[Split_apply]])) - SUM($O191:T191)</f>
        <v>0</v>
      </c>
      <c r="V191" s="52">
        <f ca="1">Log_2019[[#This Row],[Amount]]/Log_2019[[#This Row],[Split_raw]]*MAX(0,MIN(_xlfn.DAYS(EDATE(V$1,1),Log_2019[[#This Row],[Date]]),Log_2019[[#This Row],[Split_apply]])) - SUM($O191:U191)</f>
        <v>0</v>
      </c>
      <c r="W191" s="52">
        <f ca="1">Log_2019[[#This Row],[Amount]]/Log_2019[[#This Row],[Split_raw]]*MAX(0,MIN(_xlfn.DAYS(EDATE(W$1,1),Log_2019[[#This Row],[Date]]),Log_2019[[#This Row],[Split_apply]])) - SUM($O191:V191)</f>
        <v>0</v>
      </c>
      <c r="X191" s="52">
        <f ca="1">Log_2019[[#This Row],[Amount]]/Log_2019[[#This Row],[Split_raw]]*MAX(0,MIN(_xlfn.DAYS(EDATE(X$1,1),Log_2019[[#This Row],[Date]]),Log_2019[[#This Row],[Split_apply]])) - SUM($O191:W191)</f>
        <v>678.02142857142849</v>
      </c>
      <c r="Y191" s="52">
        <f ca="1">Log_2019[[#This Row],[Amount]]/Log_2019[[#This Row],[Split_raw]]*MAX(0,MIN(_xlfn.DAYS(EDATE(Y$1,1),Log_2019[[#This Row],[Date]]),Log_2019[[#This Row],[Split_apply]])) - SUM($O191:X191)</f>
        <v>1220.4385714285715</v>
      </c>
      <c r="Z191" s="52">
        <f ca="1">Log_2019[[#This Row],[Amount]]/Log_2019[[#This Row],[Split_raw]]*MAX(0,MIN(_xlfn.DAYS(EDATE(Z$1,1),Log_2019[[#This Row],[Date]]),Log_2019[[#This Row],[Split_apply]])) - SUM($O191:Y191)</f>
        <v>0</v>
      </c>
      <c r="AA191" s="52">
        <f ca="1">Log_2019[[#This Row],[Amount]]/Log_2019[[#This Row],[Split_raw]]*MAX(0,MIN(_xlfn.DAYS(EDATE(AA$1,1),Log_2019[[#This Row],[Date]]),Log_2019[[#This Row],[Split_apply]])) - SUM($O191:Z191)</f>
        <v>0</v>
      </c>
      <c r="AB191" s="54">
        <f ca="1">Log_2019[[#This Row],[Amount]]-SUM(O191:AA191)</f>
        <v>0</v>
      </c>
      <c r="AC191" s="7">
        <f>MAX(0,Log_2019[[#This Row],[Split_raw]] - (EDATE(AA$1,1)-Log_2019[[#This Row],[Date]]))</f>
        <v>0</v>
      </c>
    </row>
    <row r="192" spans="1:29" x14ac:dyDescent="0.25">
      <c r="A192" s="42"/>
      <c r="B192" s="34" t="s">
        <v>6</v>
      </c>
      <c r="C192" s="34"/>
      <c r="D192" s="41">
        <v>43734</v>
      </c>
      <c r="E192" s="34"/>
      <c r="F192" s="34" t="s">
        <v>709</v>
      </c>
      <c r="G192" s="34" t="s">
        <v>25</v>
      </c>
      <c r="H192">
        <v>-9.67</v>
      </c>
      <c r="I192" s="36">
        <f>IF(Log_2019[[#This Row],[My Category]]="NONTRACKED",0,Log_2019[[#This Row],[Raw Amount]])</f>
        <v>-9.67</v>
      </c>
      <c r="J192" s="37">
        <f>ABS(Log_2019[[#This Row],[Amount]])</f>
        <v>9.67</v>
      </c>
      <c r="K192" s="38">
        <v>1</v>
      </c>
      <c r="L192" s="38">
        <f ca="1">IF(Log_2019[[#This Row],[Date]]&lt;=TODAY(), MIN(Log_2019[[#This Row],[Split_raw]], TODAY()-Log_2019[[#This Row],[Date]]+1), 0)</f>
        <v>1</v>
      </c>
      <c r="M192" s="34" t="s">
        <v>37</v>
      </c>
      <c r="N192" s="34" t="s">
        <v>158</v>
      </c>
      <c r="O192" s="7">
        <v>0</v>
      </c>
      <c r="P192" s="52">
        <f ca="1">Log_2019[[#This Row],[Amount]]/Log_2019[[#This Row],[Split_raw]]*MAX(0,MIN(_xlfn.DAYS(EDATE(P$1,1),Log_2019[[#This Row],[Date]]),Log_2019[[#This Row],[Split_apply]])) - SUM($O192:O192)</f>
        <v>0</v>
      </c>
      <c r="Q192" s="52">
        <f ca="1">Log_2019[[#This Row],[Amount]]/Log_2019[[#This Row],[Split_raw]]*MAX(0,MIN(_xlfn.DAYS(EDATE(Q$1,1),Log_2019[[#This Row],[Date]]),Log_2019[[#This Row],[Split_apply]])) - SUM($O192:P192)</f>
        <v>0</v>
      </c>
      <c r="R192" s="52">
        <f ca="1">Log_2019[[#This Row],[Amount]]/Log_2019[[#This Row],[Split_raw]]*MAX(0,MIN(_xlfn.DAYS(EDATE(R$1,1),Log_2019[[#This Row],[Date]]),Log_2019[[#This Row],[Split_apply]])) - SUM($O192:Q192)</f>
        <v>0</v>
      </c>
      <c r="S192" s="52">
        <f ca="1">Log_2019[[#This Row],[Amount]]/Log_2019[[#This Row],[Split_raw]]*MAX(0,MIN(_xlfn.DAYS(EDATE(S$1,1),Log_2019[[#This Row],[Date]]),Log_2019[[#This Row],[Split_apply]])) - SUM($O192:R192)</f>
        <v>0</v>
      </c>
      <c r="T192" s="52">
        <f ca="1">Log_2019[[#This Row],[Amount]]/Log_2019[[#This Row],[Split_raw]]*MAX(0,MIN(_xlfn.DAYS(EDATE(T$1,1),Log_2019[[#This Row],[Date]]),Log_2019[[#This Row],[Split_apply]])) - SUM($O192:S192)</f>
        <v>0</v>
      </c>
      <c r="U192" s="52">
        <f ca="1">Log_2019[[#This Row],[Amount]]/Log_2019[[#This Row],[Split_raw]]*MAX(0,MIN(_xlfn.DAYS(EDATE(U$1,1),Log_2019[[#This Row],[Date]]),Log_2019[[#This Row],[Split_apply]])) - SUM($O192:T192)</f>
        <v>0</v>
      </c>
      <c r="V192" s="52">
        <f ca="1">Log_2019[[#This Row],[Amount]]/Log_2019[[#This Row],[Split_raw]]*MAX(0,MIN(_xlfn.DAYS(EDATE(V$1,1),Log_2019[[#This Row],[Date]]),Log_2019[[#This Row],[Split_apply]])) - SUM($O192:U192)</f>
        <v>0</v>
      </c>
      <c r="W192" s="52">
        <f ca="1">Log_2019[[#This Row],[Amount]]/Log_2019[[#This Row],[Split_raw]]*MAX(0,MIN(_xlfn.DAYS(EDATE(W$1,1),Log_2019[[#This Row],[Date]]),Log_2019[[#This Row],[Split_apply]])) - SUM($O192:V192)</f>
        <v>0</v>
      </c>
      <c r="X192" s="52">
        <f ca="1">Log_2019[[#This Row],[Amount]]/Log_2019[[#This Row],[Split_raw]]*MAX(0,MIN(_xlfn.DAYS(EDATE(X$1,1),Log_2019[[#This Row],[Date]]),Log_2019[[#This Row],[Split_apply]])) - SUM($O192:W192)</f>
        <v>-9.67</v>
      </c>
      <c r="Y192" s="52">
        <f ca="1">Log_2019[[#This Row],[Amount]]/Log_2019[[#This Row],[Split_raw]]*MAX(0,MIN(_xlfn.DAYS(EDATE(Y$1,1),Log_2019[[#This Row],[Date]]),Log_2019[[#This Row],[Split_apply]])) - SUM($O192:X192)</f>
        <v>0</v>
      </c>
      <c r="Z192" s="52">
        <f ca="1">Log_2019[[#This Row],[Amount]]/Log_2019[[#This Row],[Split_raw]]*MAX(0,MIN(_xlfn.DAYS(EDATE(Z$1,1),Log_2019[[#This Row],[Date]]),Log_2019[[#This Row],[Split_apply]])) - SUM($O192:Y192)</f>
        <v>0</v>
      </c>
      <c r="AA192" s="52">
        <f ca="1">Log_2019[[#This Row],[Amount]]/Log_2019[[#This Row],[Split_raw]]*MAX(0,MIN(_xlfn.DAYS(EDATE(AA$1,1),Log_2019[[#This Row],[Date]]),Log_2019[[#This Row],[Split_apply]])) - SUM($O192:Z192)</f>
        <v>0</v>
      </c>
      <c r="AB192" s="54">
        <f ca="1">Log_2019[[#This Row],[Amount]]-SUM(O192:AA192)</f>
        <v>0</v>
      </c>
      <c r="AC192" s="7">
        <f>MAX(0,Log_2019[[#This Row],[Split_raw]] - (EDATE(AA$1,1)-Log_2019[[#This Row],[Date]]))</f>
        <v>0</v>
      </c>
    </row>
    <row r="193" spans="1:29" x14ac:dyDescent="0.25">
      <c r="A193" s="42"/>
      <c r="B193" s="34" t="s">
        <v>6</v>
      </c>
      <c r="C193" s="34"/>
      <c r="D193" s="41">
        <v>43734</v>
      </c>
      <c r="E193" s="34"/>
      <c r="F193" s="34" t="s">
        <v>709</v>
      </c>
      <c r="G193" s="34" t="s">
        <v>25</v>
      </c>
      <c r="H193">
        <v>-10.75</v>
      </c>
      <c r="I193" s="36">
        <f>IF(Log_2019[[#This Row],[My Category]]="NONTRACKED",0,Log_2019[[#This Row],[Raw Amount]])</f>
        <v>-10.75</v>
      </c>
      <c r="J193" s="37">
        <f>ABS(Log_2019[[#This Row],[Amount]])</f>
        <v>10.75</v>
      </c>
      <c r="K193" s="38">
        <v>1</v>
      </c>
      <c r="L193" s="38">
        <f ca="1">IF(Log_2019[[#This Row],[Date]]&lt;=TODAY(), MIN(Log_2019[[#This Row],[Split_raw]], TODAY()-Log_2019[[#This Row],[Date]]+1), 0)</f>
        <v>1</v>
      </c>
      <c r="M193" s="34" t="s">
        <v>35</v>
      </c>
      <c r="N193" s="34" t="s">
        <v>158</v>
      </c>
      <c r="O193" s="7">
        <v>0</v>
      </c>
      <c r="P193" s="52">
        <f ca="1">Log_2019[[#This Row],[Amount]]/Log_2019[[#This Row],[Split_raw]]*MAX(0,MIN(_xlfn.DAYS(EDATE(P$1,1),Log_2019[[#This Row],[Date]]),Log_2019[[#This Row],[Split_apply]])) - SUM($O193:O193)</f>
        <v>0</v>
      </c>
      <c r="Q193" s="52">
        <f ca="1">Log_2019[[#This Row],[Amount]]/Log_2019[[#This Row],[Split_raw]]*MAX(0,MIN(_xlfn.DAYS(EDATE(Q$1,1),Log_2019[[#This Row],[Date]]),Log_2019[[#This Row],[Split_apply]])) - SUM($O193:P193)</f>
        <v>0</v>
      </c>
      <c r="R193" s="52">
        <f ca="1">Log_2019[[#This Row],[Amount]]/Log_2019[[#This Row],[Split_raw]]*MAX(0,MIN(_xlfn.DAYS(EDATE(R$1,1),Log_2019[[#This Row],[Date]]),Log_2019[[#This Row],[Split_apply]])) - SUM($O193:Q193)</f>
        <v>0</v>
      </c>
      <c r="S193" s="52">
        <f ca="1">Log_2019[[#This Row],[Amount]]/Log_2019[[#This Row],[Split_raw]]*MAX(0,MIN(_xlfn.DAYS(EDATE(S$1,1),Log_2019[[#This Row],[Date]]),Log_2019[[#This Row],[Split_apply]])) - SUM($O193:R193)</f>
        <v>0</v>
      </c>
      <c r="T193" s="52">
        <f ca="1">Log_2019[[#This Row],[Amount]]/Log_2019[[#This Row],[Split_raw]]*MAX(0,MIN(_xlfn.DAYS(EDATE(T$1,1),Log_2019[[#This Row],[Date]]),Log_2019[[#This Row],[Split_apply]])) - SUM($O193:S193)</f>
        <v>0</v>
      </c>
      <c r="U193" s="52">
        <f ca="1">Log_2019[[#This Row],[Amount]]/Log_2019[[#This Row],[Split_raw]]*MAX(0,MIN(_xlfn.DAYS(EDATE(U$1,1),Log_2019[[#This Row],[Date]]),Log_2019[[#This Row],[Split_apply]])) - SUM($O193:T193)</f>
        <v>0</v>
      </c>
      <c r="V193" s="52">
        <f ca="1">Log_2019[[#This Row],[Amount]]/Log_2019[[#This Row],[Split_raw]]*MAX(0,MIN(_xlfn.DAYS(EDATE(V$1,1),Log_2019[[#This Row],[Date]]),Log_2019[[#This Row],[Split_apply]])) - SUM($O193:U193)</f>
        <v>0</v>
      </c>
      <c r="W193" s="52">
        <f ca="1">Log_2019[[#This Row],[Amount]]/Log_2019[[#This Row],[Split_raw]]*MAX(0,MIN(_xlfn.DAYS(EDATE(W$1,1),Log_2019[[#This Row],[Date]]),Log_2019[[#This Row],[Split_apply]])) - SUM($O193:V193)</f>
        <v>0</v>
      </c>
      <c r="X193" s="52">
        <f ca="1">Log_2019[[#This Row],[Amount]]/Log_2019[[#This Row],[Split_raw]]*MAX(0,MIN(_xlfn.DAYS(EDATE(X$1,1),Log_2019[[#This Row],[Date]]),Log_2019[[#This Row],[Split_apply]])) - SUM($O193:W193)</f>
        <v>-10.75</v>
      </c>
      <c r="Y193" s="52">
        <f ca="1">Log_2019[[#This Row],[Amount]]/Log_2019[[#This Row],[Split_raw]]*MAX(0,MIN(_xlfn.DAYS(EDATE(Y$1,1),Log_2019[[#This Row],[Date]]),Log_2019[[#This Row],[Split_apply]])) - SUM($O193:X193)</f>
        <v>0</v>
      </c>
      <c r="Z193" s="52">
        <f ca="1">Log_2019[[#This Row],[Amount]]/Log_2019[[#This Row],[Split_raw]]*MAX(0,MIN(_xlfn.DAYS(EDATE(Z$1,1),Log_2019[[#This Row],[Date]]),Log_2019[[#This Row],[Split_apply]])) - SUM($O193:Y193)</f>
        <v>0</v>
      </c>
      <c r="AA193" s="52">
        <f ca="1">Log_2019[[#This Row],[Amount]]/Log_2019[[#This Row],[Split_raw]]*MAX(0,MIN(_xlfn.DAYS(EDATE(AA$1,1),Log_2019[[#This Row],[Date]]),Log_2019[[#This Row],[Split_apply]])) - SUM($O193:Z193)</f>
        <v>0</v>
      </c>
      <c r="AB193" s="54">
        <f ca="1">Log_2019[[#This Row],[Amount]]-SUM(O193:AA193)</f>
        <v>0</v>
      </c>
      <c r="AC193" s="7">
        <f>MAX(0,Log_2019[[#This Row],[Split_raw]] - (EDATE(AA$1,1)-Log_2019[[#This Row],[Date]]))</f>
        <v>0</v>
      </c>
    </row>
    <row r="194" spans="1:29" x14ac:dyDescent="0.25">
      <c r="A194" s="42"/>
      <c r="B194" s="34" t="s">
        <v>6</v>
      </c>
      <c r="C194" s="34"/>
      <c r="D194" s="41">
        <v>43734</v>
      </c>
      <c r="E194" s="34"/>
      <c r="F194" s="34" t="s">
        <v>636</v>
      </c>
      <c r="G194" s="34" t="s">
        <v>10</v>
      </c>
      <c r="H194">
        <v>-28.42</v>
      </c>
      <c r="I194" s="36">
        <f>IF(Log_2019[[#This Row],[My Category]]="NONTRACKED",0,Log_2019[[#This Row],[Raw Amount]])</f>
        <v>-28.42</v>
      </c>
      <c r="J194" s="37">
        <f>ABS(Log_2019[[#This Row],[Amount]])</f>
        <v>28.42</v>
      </c>
      <c r="K194" s="38">
        <v>1</v>
      </c>
      <c r="L194" s="38">
        <f ca="1">IF(Log_2019[[#This Row],[Date]]&lt;=TODAY(), MIN(Log_2019[[#This Row],[Split_raw]], TODAY()-Log_2019[[#This Row],[Date]]+1), 0)</f>
        <v>1</v>
      </c>
      <c r="M194" s="34" t="s">
        <v>52</v>
      </c>
      <c r="N194" s="34" t="s">
        <v>158</v>
      </c>
      <c r="O194" s="7">
        <v>0</v>
      </c>
      <c r="P194" s="52">
        <f ca="1">Log_2019[[#This Row],[Amount]]/Log_2019[[#This Row],[Split_raw]]*MAX(0,MIN(_xlfn.DAYS(EDATE(P$1,1),Log_2019[[#This Row],[Date]]),Log_2019[[#This Row],[Split_apply]])) - SUM($O194:O194)</f>
        <v>0</v>
      </c>
      <c r="Q194" s="52">
        <f ca="1">Log_2019[[#This Row],[Amount]]/Log_2019[[#This Row],[Split_raw]]*MAX(0,MIN(_xlfn.DAYS(EDATE(Q$1,1),Log_2019[[#This Row],[Date]]),Log_2019[[#This Row],[Split_apply]])) - SUM($O194:P194)</f>
        <v>0</v>
      </c>
      <c r="R194" s="52">
        <f ca="1">Log_2019[[#This Row],[Amount]]/Log_2019[[#This Row],[Split_raw]]*MAX(0,MIN(_xlfn.DAYS(EDATE(R$1,1),Log_2019[[#This Row],[Date]]),Log_2019[[#This Row],[Split_apply]])) - SUM($O194:Q194)</f>
        <v>0</v>
      </c>
      <c r="S194" s="52">
        <f ca="1">Log_2019[[#This Row],[Amount]]/Log_2019[[#This Row],[Split_raw]]*MAX(0,MIN(_xlfn.DAYS(EDATE(S$1,1),Log_2019[[#This Row],[Date]]),Log_2019[[#This Row],[Split_apply]])) - SUM($O194:R194)</f>
        <v>0</v>
      </c>
      <c r="T194" s="52">
        <f ca="1">Log_2019[[#This Row],[Amount]]/Log_2019[[#This Row],[Split_raw]]*MAX(0,MIN(_xlfn.DAYS(EDATE(T$1,1),Log_2019[[#This Row],[Date]]),Log_2019[[#This Row],[Split_apply]])) - SUM($O194:S194)</f>
        <v>0</v>
      </c>
      <c r="U194" s="52">
        <f ca="1">Log_2019[[#This Row],[Amount]]/Log_2019[[#This Row],[Split_raw]]*MAX(0,MIN(_xlfn.DAYS(EDATE(U$1,1),Log_2019[[#This Row],[Date]]),Log_2019[[#This Row],[Split_apply]])) - SUM($O194:T194)</f>
        <v>0</v>
      </c>
      <c r="V194" s="52">
        <f ca="1">Log_2019[[#This Row],[Amount]]/Log_2019[[#This Row],[Split_raw]]*MAX(0,MIN(_xlfn.DAYS(EDATE(V$1,1),Log_2019[[#This Row],[Date]]),Log_2019[[#This Row],[Split_apply]])) - SUM($O194:U194)</f>
        <v>0</v>
      </c>
      <c r="W194" s="52">
        <f ca="1">Log_2019[[#This Row],[Amount]]/Log_2019[[#This Row],[Split_raw]]*MAX(0,MIN(_xlfn.DAYS(EDATE(W$1,1),Log_2019[[#This Row],[Date]]),Log_2019[[#This Row],[Split_apply]])) - SUM($O194:V194)</f>
        <v>0</v>
      </c>
      <c r="X194" s="52">
        <f ca="1">Log_2019[[#This Row],[Amount]]/Log_2019[[#This Row],[Split_raw]]*MAX(0,MIN(_xlfn.DAYS(EDATE(X$1,1),Log_2019[[#This Row],[Date]]),Log_2019[[#This Row],[Split_apply]])) - SUM($O194:W194)</f>
        <v>-28.42</v>
      </c>
      <c r="Y194" s="52">
        <f ca="1">Log_2019[[#This Row],[Amount]]/Log_2019[[#This Row],[Split_raw]]*MAX(0,MIN(_xlfn.DAYS(EDATE(Y$1,1),Log_2019[[#This Row],[Date]]),Log_2019[[#This Row],[Split_apply]])) - SUM($O194:X194)</f>
        <v>0</v>
      </c>
      <c r="Z194" s="52">
        <f ca="1">Log_2019[[#This Row],[Amount]]/Log_2019[[#This Row],[Split_raw]]*MAX(0,MIN(_xlfn.DAYS(EDATE(Z$1,1),Log_2019[[#This Row],[Date]]),Log_2019[[#This Row],[Split_apply]])) - SUM($O194:Y194)</f>
        <v>0</v>
      </c>
      <c r="AA194" s="52">
        <f ca="1">Log_2019[[#This Row],[Amount]]/Log_2019[[#This Row],[Split_raw]]*MAX(0,MIN(_xlfn.DAYS(EDATE(AA$1,1),Log_2019[[#This Row],[Date]]),Log_2019[[#This Row],[Split_apply]])) - SUM($O194:Z194)</f>
        <v>0</v>
      </c>
      <c r="AB194" s="54">
        <f ca="1">Log_2019[[#This Row],[Amount]]-SUM(O194:AA194)</f>
        <v>0</v>
      </c>
      <c r="AC194" s="7">
        <f>MAX(0,Log_2019[[#This Row],[Split_raw]] - (EDATE(AA$1,1)-Log_2019[[#This Row],[Date]]))</f>
        <v>0</v>
      </c>
    </row>
    <row r="195" spans="1:29" x14ac:dyDescent="0.25">
      <c r="A195" s="42"/>
      <c r="B195" s="34" t="s">
        <v>6</v>
      </c>
      <c r="C195" s="34"/>
      <c r="D195" s="41">
        <v>43734</v>
      </c>
      <c r="E195" s="34"/>
      <c r="F195" s="34" t="s">
        <v>255</v>
      </c>
      <c r="G195" s="34" t="s">
        <v>10</v>
      </c>
      <c r="H195">
        <v>-8.2799999999999994</v>
      </c>
      <c r="I195" s="36">
        <f>IF(Log_2019[[#This Row],[My Category]]="NONTRACKED",0,Log_2019[[#This Row],[Raw Amount]])</f>
        <v>-8.2799999999999994</v>
      </c>
      <c r="J195" s="37">
        <f>ABS(Log_2019[[#This Row],[Amount]])</f>
        <v>8.2799999999999994</v>
      </c>
      <c r="K195" s="38">
        <v>1</v>
      </c>
      <c r="L195" s="38">
        <f ca="1">IF(Log_2019[[#This Row],[Date]]&lt;=TODAY(), MIN(Log_2019[[#This Row],[Split_raw]], TODAY()-Log_2019[[#This Row],[Date]]+1), 0)</f>
        <v>1</v>
      </c>
      <c r="M195" s="34" t="s">
        <v>35</v>
      </c>
      <c r="N195" s="34" t="s">
        <v>158</v>
      </c>
      <c r="O195" s="7">
        <v>0</v>
      </c>
      <c r="P195" s="52">
        <f ca="1">Log_2019[[#This Row],[Amount]]/Log_2019[[#This Row],[Split_raw]]*MAX(0,MIN(_xlfn.DAYS(EDATE(P$1,1),Log_2019[[#This Row],[Date]]),Log_2019[[#This Row],[Split_apply]])) - SUM($O195:O195)</f>
        <v>0</v>
      </c>
      <c r="Q195" s="52">
        <f ca="1">Log_2019[[#This Row],[Amount]]/Log_2019[[#This Row],[Split_raw]]*MAX(0,MIN(_xlfn.DAYS(EDATE(Q$1,1),Log_2019[[#This Row],[Date]]),Log_2019[[#This Row],[Split_apply]])) - SUM($O195:P195)</f>
        <v>0</v>
      </c>
      <c r="R195" s="52">
        <f ca="1">Log_2019[[#This Row],[Amount]]/Log_2019[[#This Row],[Split_raw]]*MAX(0,MIN(_xlfn.DAYS(EDATE(R$1,1),Log_2019[[#This Row],[Date]]),Log_2019[[#This Row],[Split_apply]])) - SUM($O195:Q195)</f>
        <v>0</v>
      </c>
      <c r="S195" s="52">
        <f ca="1">Log_2019[[#This Row],[Amount]]/Log_2019[[#This Row],[Split_raw]]*MAX(0,MIN(_xlfn.DAYS(EDATE(S$1,1),Log_2019[[#This Row],[Date]]),Log_2019[[#This Row],[Split_apply]])) - SUM($O195:R195)</f>
        <v>0</v>
      </c>
      <c r="T195" s="52">
        <f ca="1">Log_2019[[#This Row],[Amount]]/Log_2019[[#This Row],[Split_raw]]*MAX(0,MIN(_xlfn.DAYS(EDATE(T$1,1),Log_2019[[#This Row],[Date]]),Log_2019[[#This Row],[Split_apply]])) - SUM($O195:S195)</f>
        <v>0</v>
      </c>
      <c r="U195" s="52">
        <f ca="1">Log_2019[[#This Row],[Amount]]/Log_2019[[#This Row],[Split_raw]]*MAX(0,MIN(_xlfn.DAYS(EDATE(U$1,1),Log_2019[[#This Row],[Date]]),Log_2019[[#This Row],[Split_apply]])) - SUM($O195:T195)</f>
        <v>0</v>
      </c>
      <c r="V195" s="52">
        <f ca="1">Log_2019[[#This Row],[Amount]]/Log_2019[[#This Row],[Split_raw]]*MAX(0,MIN(_xlfn.DAYS(EDATE(V$1,1),Log_2019[[#This Row],[Date]]),Log_2019[[#This Row],[Split_apply]])) - SUM($O195:U195)</f>
        <v>0</v>
      </c>
      <c r="W195" s="52">
        <f ca="1">Log_2019[[#This Row],[Amount]]/Log_2019[[#This Row],[Split_raw]]*MAX(0,MIN(_xlfn.DAYS(EDATE(W$1,1),Log_2019[[#This Row],[Date]]),Log_2019[[#This Row],[Split_apply]])) - SUM($O195:V195)</f>
        <v>0</v>
      </c>
      <c r="X195" s="52">
        <f ca="1">Log_2019[[#This Row],[Amount]]/Log_2019[[#This Row],[Split_raw]]*MAX(0,MIN(_xlfn.DAYS(EDATE(X$1,1),Log_2019[[#This Row],[Date]]),Log_2019[[#This Row],[Split_apply]])) - SUM($O195:W195)</f>
        <v>-8.2799999999999994</v>
      </c>
      <c r="Y195" s="52">
        <f ca="1">Log_2019[[#This Row],[Amount]]/Log_2019[[#This Row],[Split_raw]]*MAX(0,MIN(_xlfn.DAYS(EDATE(Y$1,1),Log_2019[[#This Row],[Date]]),Log_2019[[#This Row],[Split_apply]])) - SUM($O195:X195)</f>
        <v>0</v>
      </c>
      <c r="Z195" s="52">
        <f ca="1">Log_2019[[#This Row],[Amount]]/Log_2019[[#This Row],[Split_raw]]*MAX(0,MIN(_xlfn.DAYS(EDATE(Z$1,1),Log_2019[[#This Row],[Date]]),Log_2019[[#This Row],[Split_apply]])) - SUM($O195:Y195)</f>
        <v>0</v>
      </c>
      <c r="AA195" s="52">
        <f ca="1">Log_2019[[#This Row],[Amount]]/Log_2019[[#This Row],[Split_raw]]*MAX(0,MIN(_xlfn.DAYS(EDATE(AA$1,1),Log_2019[[#This Row],[Date]]),Log_2019[[#This Row],[Split_apply]])) - SUM($O195:Z195)</f>
        <v>0</v>
      </c>
      <c r="AB195" s="54">
        <f ca="1">Log_2019[[#This Row],[Amount]]-SUM(O195:AA195)</f>
        <v>0</v>
      </c>
      <c r="AC195" s="7">
        <f>MAX(0,Log_2019[[#This Row],[Split_raw]] - (EDATE(AA$1,1)-Log_2019[[#This Row],[Date]]))</f>
        <v>0</v>
      </c>
    </row>
    <row r="196" spans="1:29" x14ac:dyDescent="0.25">
      <c r="A196" s="42"/>
      <c r="B196" s="34" t="s">
        <v>6</v>
      </c>
      <c r="C196" s="34"/>
      <c r="D196" s="41">
        <v>43733</v>
      </c>
      <c r="E196" s="34"/>
      <c r="F196" s="34" t="s">
        <v>671</v>
      </c>
      <c r="G196" s="34" t="s">
        <v>25</v>
      </c>
      <c r="H196">
        <v>-12.73</v>
      </c>
      <c r="I196" s="36">
        <f>IF(Log_2019[[#This Row],[My Category]]="NONTRACKED",0,Log_2019[[#This Row],[Raw Amount]])</f>
        <v>-12.73</v>
      </c>
      <c r="J196" s="37">
        <f>ABS(Log_2019[[#This Row],[Amount]])</f>
        <v>12.73</v>
      </c>
      <c r="K196" s="38">
        <v>1</v>
      </c>
      <c r="L196" s="38">
        <f ca="1">IF(Log_2019[[#This Row],[Date]]&lt;=TODAY(), MIN(Log_2019[[#This Row],[Split_raw]], TODAY()-Log_2019[[#This Row],[Date]]+1), 0)</f>
        <v>1</v>
      </c>
      <c r="M196" s="34" t="s">
        <v>35</v>
      </c>
      <c r="N196" s="34" t="s">
        <v>158</v>
      </c>
      <c r="O196" s="7">
        <v>0</v>
      </c>
      <c r="P196" s="52">
        <f ca="1">Log_2019[[#This Row],[Amount]]/Log_2019[[#This Row],[Split_raw]]*MAX(0,MIN(_xlfn.DAYS(EDATE(P$1,1),Log_2019[[#This Row],[Date]]),Log_2019[[#This Row],[Split_apply]])) - SUM($O196:O196)</f>
        <v>0</v>
      </c>
      <c r="Q196" s="52">
        <f ca="1">Log_2019[[#This Row],[Amount]]/Log_2019[[#This Row],[Split_raw]]*MAX(0,MIN(_xlfn.DAYS(EDATE(Q$1,1),Log_2019[[#This Row],[Date]]),Log_2019[[#This Row],[Split_apply]])) - SUM($O196:P196)</f>
        <v>0</v>
      </c>
      <c r="R196" s="52">
        <f ca="1">Log_2019[[#This Row],[Amount]]/Log_2019[[#This Row],[Split_raw]]*MAX(0,MIN(_xlfn.DAYS(EDATE(R$1,1),Log_2019[[#This Row],[Date]]),Log_2019[[#This Row],[Split_apply]])) - SUM($O196:Q196)</f>
        <v>0</v>
      </c>
      <c r="S196" s="52">
        <f ca="1">Log_2019[[#This Row],[Amount]]/Log_2019[[#This Row],[Split_raw]]*MAX(0,MIN(_xlfn.DAYS(EDATE(S$1,1),Log_2019[[#This Row],[Date]]),Log_2019[[#This Row],[Split_apply]])) - SUM($O196:R196)</f>
        <v>0</v>
      </c>
      <c r="T196" s="52">
        <f ca="1">Log_2019[[#This Row],[Amount]]/Log_2019[[#This Row],[Split_raw]]*MAX(0,MIN(_xlfn.DAYS(EDATE(T$1,1),Log_2019[[#This Row],[Date]]),Log_2019[[#This Row],[Split_apply]])) - SUM($O196:S196)</f>
        <v>0</v>
      </c>
      <c r="U196" s="52">
        <f ca="1">Log_2019[[#This Row],[Amount]]/Log_2019[[#This Row],[Split_raw]]*MAX(0,MIN(_xlfn.DAYS(EDATE(U$1,1),Log_2019[[#This Row],[Date]]),Log_2019[[#This Row],[Split_apply]])) - SUM($O196:T196)</f>
        <v>0</v>
      </c>
      <c r="V196" s="52">
        <f ca="1">Log_2019[[#This Row],[Amount]]/Log_2019[[#This Row],[Split_raw]]*MAX(0,MIN(_xlfn.DAYS(EDATE(V$1,1),Log_2019[[#This Row],[Date]]),Log_2019[[#This Row],[Split_apply]])) - SUM($O196:U196)</f>
        <v>0</v>
      </c>
      <c r="W196" s="52">
        <f ca="1">Log_2019[[#This Row],[Amount]]/Log_2019[[#This Row],[Split_raw]]*MAX(0,MIN(_xlfn.DAYS(EDATE(W$1,1),Log_2019[[#This Row],[Date]]),Log_2019[[#This Row],[Split_apply]])) - SUM($O196:V196)</f>
        <v>0</v>
      </c>
      <c r="X196" s="52">
        <f ca="1">Log_2019[[#This Row],[Amount]]/Log_2019[[#This Row],[Split_raw]]*MAX(0,MIN(_xlfn.DAYS(EDATE(X$1,1),Log_2019[[#This Row],[Date]]),Log_2019[[#This Row],[Split_apply]])) - SUM($O196:W196)</f>
        <v>-12.73</v>
      </c>
      <c r="Y196" s="52">
        <f ca="1">Log_2019[[#This Row],[Amount]]/Log_2019[[#This Row],[Split_raw]]*MAX(0,MIN(_xlfn.DAYS(EDATE(Y$1,1),Log_2019[[#This Row],[Date]]),Log_2019[[#This Row],[Split_apply]])) - SUM($O196:X196)</f>
        <v>0</v>
      </c>
      <c r="Z196" s="52">
        <f ca="1">Log_2019[[#This Row],[Amount]]/Log_2019[[#This Row],[Split_raw]]*MAX(0,MIN(_xlfn.DAYS(EDATE(Z$1,1),Log_2019[[#This Row],[Date]]),Log_2019[[#This Row],[Split_apply]])) - SUM($O196:Y196)</f>
        <v>0</v>
      </c>
      <c r="AA196" s="52">
        <f ca="1">Log_2019[[#This Row],[Amount]]/Log_2019[[#This Row],[Split_raw]]*MAX(0,MIN(_xlfn.DAYS(EDATE(AA$1,1),Log_2019[[#This Row],[Date]]),Log_2019[[#This Row],[Split_apply]])) - SUM($O196:Z196)</f>
        <v>0</v>
      </c>
      <c r="AB196" s="54">
        <f ca="1">Log_2019[[#This Row],[Amount]]-SUM(O196:AA196)</f>
        <v>0</v>
      </c>
      <c r="AC196" s="7">
        <f>MAX(0,Log_2019[[#This Row],[Split_raw]] - (EDATE(AA$1,1)-Log_2019[[#This Row],[Date]]))</f>
        <v>0</v>
      </c>
    </row>
    <row r="197" spans="1:29" x14ac:dyDescent="0.25">
      <c r="A197" s="42"/>
      <c r="B197" s="34" t="s">
        <v>6</v>
      </c>
      <c r="C197" s="34"/>
      <c r="D197" s="41">
        <v>43733</v>
      </c>
      <c r="E197" s="34"/>
      <c r="F197" s="34" t="s">
        <v>255</v>
      </c>
      <c r="G197" s="34" t="s">
        <v>10</v>
      </c>
      <c r="H197">
        <v>-5.43</v>
      </c>
      <c r="I197" s="36">
        <f>IF(Log_2019[[#This Row],[My Category]]="NONTRACKED",0,Log_2019[[#This Row],[Raw Amount]])</f>
        <v>-5.43</v>
      </c>
      <c r="J197" s="37">
        <f>ABS(Log_2019[[#This Row],[Amount]])</f>
        <v>5.43</v>
      </c>
      <c r="K197" s="38">
        <v>1</v>
      </c>
      <c r="L197" s="38">
        <f ca="1">IF(Log_2019[[#This Row],[Date]]&lt;=TODAY(), MIN(Log_2019[[#This Row],[Split_raw]], TODAY()-Log_2019[[#This Row],[Date]]+1), 0)</f>
        <v>1</v>
      </c>
      <c r="M197" s="34" t="s">
        <v>35</v>
      </c>
      <c r="N197" s="34" t="s">
        <v>158</v>
      </c>
      <c r="O197" s="7">
        <v>0</v>
      </c>
      <c r="P197" s="52">
        <f ca="1">Log_2019[[#This Row],[Amount]]/Log_2019[[#This Row],[Split_raw]]*MAX(0,MIN(_xlfn.DAYS(EDATE(P$1,1),Log_2019[[#This Row],[Date]]),Log_2019[[#This Row],[Split_apply]])) - SUM($O197:O197)</f>
        <v>0</v>
      </c>
      <c r="Q197" s="52">
        <f ca="1">Log_2019[[#This Row],[Amount]]/Log_2019[[#This Row],[Split_raw]]*MAX(0,MIN(_xlfn.DAYS(EDATE(Q$1,1),Log_2019[[#This Row],[Date]]),Log_2019[[#This Row],[Split_apply]])) - SUM($O197:P197)</f>
        <v>0</v>
      </c>
      <c r="R197" s="52">
        <f ca="1">Log_2019[[#This Row],[Amount]]/Log_2019[[#This Row],[Split_raw]]*MAX(0,MIN(_xlfn.DAYS(EDATE(R$1,1),Log_2019[[#This Row],[Date]]),Log_2019[[#This Row],[Split_apply]])) - SUM($O197:Q197)</f>
        <v>0</v>
      </c>
      <c r="S197" s="52">
        <f ca="1">Log_2019[[#This Row],[Amount]]/Log_2019[[#This Row],[Split_raw]]*MAX(0,MIN(_xlfn.DAYS(EDATE(S$1,1),Log_2019[[#This Row],[Date]]),Log_2019[[#This Row],[Split_apply]])) - SUM($O197:R197)</f>
        <v>0</v>
      </c>
      <c r="T197" s="52">
        <f ca="1">Log_2019[[#This Row],[Amount]]/Log_2019[[#This Row],[Split_raw]]*MAX(0,MIN(_xlfn.DAYS(EDATE(T$1,1),Log_2019[[#This Row],[Date]]),Log_2019[[#This Row],[Split_apply]])) - SUM($O197:S197)</f>
        <v>0</v>
      </c>
      <c r="U197" s="52">
        <f ca="1">Log_2019[[#This Row],[Amount]]/Log_2019[[#This Row],[Split_raw]]*MAX(0,MIN(_xlfn.DAYS(EDATE(U$1,1),Log_2019[[#This Row],[Date]]),Log_2019[[#This Row],[Split_apply]])) - SUM($O197:T197)</f>
        <v>0</v>
      </c>
      <c r="V197" s="52">
        <f ca="1">Log_2019[[#This Row],[Amount]]/Log_2019[[#This Row],[Split_raw]]*MAX(0,MIN(_xlfn.DAYS(EDATE(V$1,1),Log_2019[[#This Row],[Date]]),Log_2019[[#This Row],[Split_apply]])) - SUM($O197:U197)</f>
        <v>0</v>
      </c>
      <c r="W197" s="52">
        <f ca="1">Log_2019[[#This Row],[Amount]]/Log_2019[[#This Row],[Split_raw]]*MAX(0,MIN(_xlfn.DAYS(EDATE(W$1,1),Log_2019[[#This Row],[Date]]),Log_2019[[#This Row],[Split_apply]])) - SUM($O197:V197)</f>
        <v>0</v>
      </c>
      <c r="X197" s="52">
        <f ca="1">Log_2019[[#This Row],[Amount]]/Log_2019[[#This Row],[Split_raw]]*MAX(0,MIN(_xlfn.DAYS(EDATE(X$1,1),Log_2019[[#This Row],[Date]]),Log_2019[[#This Row],[Split_apply]])) - SUM($O197:W197)</f>
        <v>-5.43</v>
      </c>
      <c r="Y197" s="52">
        <f ca="1">Log_2019[[#This Row],[Amount]]/Log_2019[[#This Row],[Split_raw]]*MAX(0,MIN(_xlfn.DAYS(EDATE(Y$1,1),Log_2019[[#This Row],[Date]]),Log_2019[[#This Row],[Split_apply]])) - SUM($O197:X197)</f>
        <v>0</v>
      </c>
      <c r="Z197" s="52">
        <f ca="1">Log_2019[[#This Row],[Amount]]/Log_2019[[#This Row],[Split_raw]]*MAX(0,MIN(_xlfn.DAYS(EDATE(Z$1,1),Log_2019[[#This Row],[Date]]),Log_2019[[#This Row],[Split_apply]])) - SUM($O197:Y197)</f>
        <v>0</v>
      </c>
      <c r="AA197" s="52">
        <f ca="1">Log_2019[[#This Row],[Amount]]/Log_2019[[#This Row],[Split_raw]]*MAX(0,MIN(_xlfn.DAYS(EDATE(AA$1,1),Log_2019[[#This Row],[Date]]),Log_2019[[#This Row],[Split_apply]])) - SUM($O197:Z197)</f>
        <v>0</v>
      </c>
      <c r="AB197" s="54">
        <f ca="1">Log_2019[[#This Row],[Amount]]-SUM(O197:AA197)</f>
        <v>0</v>
      </c>
      <c r="AC197" s="7">
        <f>MAX(0,Log_2019[[#This Row],[Split_raw]] - (EDATE(AA$1,1)-Log_2019[[#This Row],[Date]]))</f>
        <v>0</v>
      </c>
    </row>
    <row r="198" spans="1:29" x14ac:dyDescent="0.25">
      <c r="A198" s="42"/>
      <c r="B198" s="34" t="s">
        <v>6</v>
      </c>
      <c r="C198" s="34"/>
      <c r="D198" s="41">
        <v>43732</v>
      </c>
      <c r="E198" s="34" t="s">
        <v>1014</v>
      </c>
      <c r="F198" s="34" t="s">
        <v>397</v>
      </c>
      <c r="G198" s="34" t="s">
        <v>8</v>
      </c>
      <c r="H198">
        <v>-186.83</v>
      </c>
      <c r="I198" s="36">
        <f>IF(Log_2019[[#This Row],[My Category]]="NONTRACKED",0,Log_2019[[#This Row],[Raw Amount]])</f>
        <v>-186.83</v>
      </c>
      <c r="J198" s="37">
        <f>ABS(Log_2019[[#This Row],[Amount]])</f>
        <v>186.83</v>
      </c>
      <c r="K198" s="38">
        <v>1</v>
      </c>
      <c r="L198" s="38">
        <f ca="1">IF(Log_2019[[#This Row],[Date]]&lt;=TODAY(), MIN(Log_2019[[#This Row],[Split_raw]], TODAY()-Log_2019[[#This Row],[Date]]+1), 0)</f>
        <v>1</v>
      </c>
      <c r="M198" s="34" t="s">
        <v>52</v>
      </c>
      <c r="N198" s="34" t="s">
        <v>158</v>
      </c>
      <c r="O198" s="7">
        <v>0</v>
      </c>
      <c r="P198" s="52">
        <f ca="1">Log_2019[[#This Row],[Amount]]/Log_2019[[#This Row],[Split_raw]]*MAX(0,MIN(_xlfn.DAYS(EDATE(P$1,1),Log_2019[[#This Row],[Date]]),Log_2019[[#This Row],[Split_apply]])) - SUM($O198:O198)</f>
        <v>0</v>
      </c>
      <c r="Q198" s="52">
        <f ca="1">Log_2019[[#This Row],[Amount]]/Log_2019[[#This Row],[Split_raw]]*MAX(0,MIN(_xlfn.DAYS(EDATE(Q$1,1),Log_2019[[#This Row],[Date]]),Log_2019[[#This Row],[Split_apply]])) - SUM($O198:P198)</f>
        <v>0</v>
      </c>
      <c r="R198" s="52">
        <f ca="1">Log_2019[[#This Row],[Amount]]/Log_2019[[#This Row],[Split_raw]]*MAX(0,MIN(_xlfn.DAYS(EDATE(R$1,1),Log_2019[[#This Row],[Date]]),Log_2019[[#This Row],[Split_apply]])) - SUM($O198:Q198)</f>
        <v>0</v>
      </c>
      <c r="S198" s="52">
        <f ca="1">Log_2019[[#This Row],[Amount]]/Log_2019[[#This Row],[Split_raw]]*MAX(0,MIN(_xlfn.DAYS(EDATE(S$1,1),Log_2019[[#This Row],[Date]]),Log_2019[[#This Row],[Split_apply]])) - SUM($O198:R198)</f>
        <v>0</v>
      </c>
      <c r="T198" s="52">
        <f ca="1">Log_2019[[#This Row],[Amount]]/Log_2019[[#This Row],[Split_raw]]*MAX(0,MIN(_xlfn.DAYS(EDATE(T$1,1),Log_2019[[#This Row],[Date]]),Log_2019[[#This Row],[Split_apply]])) - SUM($O198:S198)</f>
        <v>0</v>
      </c>
      <c r="U198" s="52">
        <f ca="1">Log_2019[[#This Row],[Amount]]/Log_2019[[#This Row],[Split_raw]]*MAX(0,MIN(_xlfn.DAYS(EDATE(U$1,1),Log_2019[[#This Row],[Date]]),Log_2019[[#This Row],[Split_apply]])) - SUM($O198:T198)</f>
        <v>0</v>
      </c>
      <c r="V198" s="52">
        <f ca="1">Log_2019[[#This Row],[Amount]]/Log_2019[[#This Row],[Split_raw]]*MAX(0,MIN(_xlfn.DAYS(EDATE(V$1,1),Log_2019[[#This Row],[Date]]),Log_2019[[#This Row],[Split_apply]])) - SUM($O198:U198)</f>
        <v>0</v>
      </c>
      <c r="W198" s="52">
        <f ca="1">Log_2019[[#This Row],[Amount]]/Log_2019[[#This Row],[Split_raw]]*MAX(0,MIN(_xlfn.DAYS(EDATE(W$1,1),Log_2019[[#This Row],[Date]]),Log_2019[[#This Row],[Split_apply]])) - SUM($O198:V198)</f>
        <v>0</v>
      </c>
      <c r="X198" s="52">
        <f ca="1">Log_2019[[#This Row],[Amount]]/Log_2019[[#This Row],[Split_raw]]*MAX(0,MIN(_xlfn.DAYS(EDATE(X$1,1),Log_2019[[#This Row],[Date]]),Log_2019[[#This Row],[Split_apply]])) - SUM($O198:W198)</f>
        <v>-186.83</v>
      </c>
      <c r="Y198" s="52">
        <f ca="1">Log_2019[[#This Row],[Amount]]/Log_2019[[#This Row],[Split_raw]]*MAX(0,MIN(_xlfn.DAYS(EDATE(Y$1,1),Log_2019[[#This Row],[Date]]),Log_2019[[#This Row],[Split_apply]])) - SUM($O198:X198)</f>
        <v>0</v>
      </c>
      <c r="Z198" s="52">
        <f ca="1">Log_2019[[#This Row],[Amount]]/Log_2019[[#This Row],[Split_raw]]*MAX(0,MIN(_xlfn.DAYS(EDATE(Z$1,1),Log_2019[[#This Row],[Date]]),Log_2019[[#This Row],[Split_apply]])) - SUM($O198:Y198)</f>
        <v>0</v>
      </c>
      <c r="AA198" s="52">
        <f ca="1">Log_2019[[#This Row],[Amount]]/Log_2019[[#This Row],[Split_raw]]*MAX(0,MIN(_xlfn.DAYS(EDATE(AA$1,1),Log_2019[[#This Row],[Date]]),Log_2019[[#This Row],[Split_apply]])) - SUM($O198:Z198)</f>
        <v>0</v>
      </c>
      <c r="AB198" s="54">
        <f ca="1">Log_2019[[#This Row],[Amount]]-SUM(O198:AA198)</f>
        <v>0</v>
      </c>
      <c r="AC198" s="7">
        <f>MAX(0,Log_2019[[#This Row],[Split_raw]] - (EDATE(AA$1,1)-Log_2019[[#This Row],[Date]]))</f>
        <v>0</v>
      </c>
    </row>
    <row r="199" spans="1:29" x14ac:dyDescent="0.25">
      <c r="A199" s="42"/>
      <c r="B199" s="34" t="s">
        <v>6</v>
      </c>
      <c r="C199" s="34"/>
      <c r="D199" s="41">
        <v>43732</v>
      </c>
      <c r="E199" s="34"/>
      <c r="F199" s="34" t="s">
        <v>59</v>
      </c>
      <c r="G199" s="34" t="s">
        <v>25</v>
      </c>
      <c r="H199">
        <v>-7.94</v>
      </c>
      <c r="I199" s="36">
        <f>IF(Log_2019[[#This Row],[My Category]]="NONTRACKED",0,Log_2019[[#This Row],[Raw Amount]])</f>
        <v>-7.94</v>
      </c>
      <c r="J199" s="37">
        <f>ABS(Log_2019[[#This Row],[Amount]])</f>
        <v>7.94</v>
      </c>
      <c r="K199" s="38">
        <v>1</v>
      </c>
      <c r="L199" s="38">
        <f ca="1">IF(Log_2019[[#This Row],[Date]]&lt;=TODAY(), MIN(Log_2019[[#This Row],[Split_raw]], TODAY()-Log_2019[[#This Row],[Date]]+1), 0)</f>
        <v>1</v>
      </c>
      <c r="M199" s="34" t="s">
        <v>35</v>
      </c>
      <c r="N199" s="34" t="s">
        <v>158</v>
      </c>
      <c r="O199" s="7">
        <v>0</v>
      </c>
      <c r="P199" s="52">
        <f ca="1">Log_2019[[#This Row],[Amount]]/Log_2019[[#This Row],[Split_raw]]*MAX(0,MIN(_xlfn.DAYS(EDATE(P$1,1),Log_2019[[#This Row],[Date]]),Log_2019[[#This Row],[Split_apply]])) - SUM($O199:O199)</f>
        <v>0</v>
      </c>
      <c r="Q199" s="52">
        <f ca="1">Log_2019[[#This Row],[Amount]]/Log_2019[[#This Row],[Split_raw]]*MAX(0,MIN(_xlfn.DAYS(EDATE(Q$1,1),Log_2019[[#This Row],[Date]]),Log_2019[[#This Row],[Split_apply]])) - SUM($O199:P199)</f>
        <v>0</v>
      </c>
      <c r="R199" s="52">
        <f ca="1">Log_2019[[#This Row],[Amount]]/Log_2019[[#This Row],[Split_raw]]*MAX(0,MIN(_xlfn.DAYS(EDATE(R$1,1),Log_2019[[#This Row],[Date]]),Log_2019[[#This Row],[Split_apply]])) - SUM($O199:Q199)</f>
        <v>0</v>
      </c>
      <c r="S199" s="52">
        <f ca="1">Log_2019[[#This Row],[Amount]]/Log_2019[[#This Row],[Split_raw]]*MAX(0,MIN(_xlfn.DAYS(EDATE(S$1,1),Log_2019[[#This Row],[Date]]),Log_2019[[#This Row],[Split_apply]])) - SUM($O199:R199)</f>
        <v>0</v>
      </c>
      <c r="T199" s="52">
        <f ca="1">Log_2019[[#This Row],[Amount]]/Log_2019[[#This Row],[Split_raw]]*MAX(0,MIN(_xlfn.DAYS(EDATE(T$1,1),Log_2019[[#This Row],[Date]]),Log_2019[[#This Row],[Split_apply]])) - SUM($O199:S199)</f>
        <v>0</v>
      </c>
      <c r="U199" s="52">
        <f ca="1">Log_2019[[#This Row],[Amount]]/Log_2019[[#This Row],[Split_raw]]*MAX(0,MIN(_xlfn.DAYS(EDATE(U$1,1),Log_2019[[#This Row],[Date]]),Log_2019[[#This Row],[Split_apply]])) - SUM($O199:T199)</f>
        <v>0</v>
      </c>
      <c r="V199" s="52">
        <f ca="1">Log_2019[[#This Row],[Amount]]/Log_2019[[#This Row],[Split_raw]]*MAX(0,MIN(_xlfn.DAYS(EDATE(V$1,1),Log_2019[[#This Row],[Date]]),Log_2019[[#This Row],[Split_apply]])) - SUM($O199:U199)</f>
        <v>0</v>
      </c>
      <c r="W199" s="52">
        <f ca="1">Log_2019[[#This Row],[Amount]]/Log_2019[[#This Row],[Split_raw]]*MAX(0,MIN(_xlfn.DAYS(EDATE(W$1,1),Log_2019[[#This Row],[Date]]),Log_2019[[#This Row],[Split_apply]])) - SUM($O199:V199)</f>
        <v>0</v>
      </c>
      <c r="X199" s="52">
        <f ca="1">Log_2019[[#This Row],[Amount]]/Log_2019[[#This Row],[Split_raw]]*MAX(0,MIN(_xlfn.DAYS(EDATE(X$1,1),Log_2019[[#This Row],[Date]]),Log_2019[[#This Row],[Split_apply]])) - SUM($O199:W199)</f>
        <v>-7.94</v>
      </c>
      <c r="Y199" s="52">
        <f ca="1">Log_2019[[#This Row],[Amount]]/Log_2019[[#This Row],[Split_raw]]*MAX(0,MIN(_xlfn.DAYS(EDATE(Y$1,1),Log_2019[[#This Row],[Date]]),Log_2019[[#This Row],[Split_apply]])) - SUM($O199:X199)</f>
        <v>0</v>
      </c>
      <c r="Z199" s="52">
        <f ca="1">Log_2019[[#This Row],[Amount]]/Log_2019[[#This Row],[Split_raw]]*MAX(0,MIN(_xlfn.DAYS(EDATE(Z$1,1),Log_2019[[#This Row],[Date]]),Log_2019[[#This Row],[Split_apply]])) - SUM($O199:Y199)</f>
        <v>0</v>
      </c>
      <c r="AA199" s="52">
        <f ca="1">Log_2019[[#This Row],[Amount]]/Log_2019[[#This Row],[Split_raw]]*MAX(0,MIN(_xlfn.DAYS(EDATE(AA$1,1),Log_2019[[#This Row],[Date]]),Log_2019[[#This Row],[Split_apply]])) - SUM($O199:Z199)</f>
        <v>0</v>
      </c>
      <c r="AB199" s="54">
        <f ca="1">Log_2019[[#This Row],[Amount]]-SUM(O199:AA199)</f>
        <v>0</v>
      </c>
      <c r="AC199" s="7">
        <f>MAX(0,Log_2019[[#This Row],[Split_raw]] - (EDATE(AA$1,1)-Log_2019[[#This Row],[Date]]))</f>
        <v>0</v>
      </c>
    </row>
    <row r="200" spans="1:29" x14ac:dyDescent="0.25">
      <c r="A200" s="42"/>
      <c r="B200" s="34" t="s">
        <v>6</v>
      </c>
      <c r="C200" s="34"/>
      <c r="D200" s="41">
        <v>43731</v>
      </c>
      <c r="E200" s="34"/>
      <c r="F200" s="34" t="s">
        <v>581</v>
      </c>
      <c r="G200" s="34" t="s">
        <v>582</v>
      </c>
      <c r="H200">
        <v>-52.95</v>
      </c>
      <c r="I200" s="36">
        <f>IF(Log_2019[[#This Row],[My Category]]="NONTRACKED",0,Log_2019[[#This Row],[Raw Amount]])</f>
        <v>-52.95</v>
      </c>
      <c r="J200" s="37">
        <f>ABS(Log_2019[[#This Row],[Amount]])</f>
        <v>52.95</v>
      </c>
      <c r="K200" s="38">
        <v>30</v>
      </c>
      <c r="L200" s="38">
        <f ca="1">IF(Log_2019[[#This Row],[Date]]&lt;=TODAY(), MIN(Log_2019[[#This Row],[Split_raw]], TODAY()-Log_2019[[#This Row],[Date]]+1), 0)</f>
        <v>30</v>
      </c>
      <c r="M200" s="34" t="s">
        <v>30</v>
      </c>
      <c r="N200" s="34" t="s">
        <v>160</v>
      </c>
      <c r="O200" s="7">
        <v>0</v>
      </c>
      <c r="P200" s="52">
        <f ca="1">Log_2019[[#This Row],[Amount]]/Log_2019[[#This Row],[Split_raw]]*MAX(0,MIN(_xlfn.DAYS(EDATE(P$1,1),Log_2019[[#This Row],[Date]]),Log_2019[[#This Row],[Split_apply]])) - SUM($O200:O200)</f>
        <v>0</v>
      </c>
      <c r="Q200" s="52">
        <f ca="1">Log_2019[[#This Row],[Amount]]/Log_2019[[#This Row],[Split_raw]]*MAX(0,MIN(_xlfn.DAYS(EDATE(Q$1,1),Log_2019[[#This Row],[Date]]),Log_2019[[#This Row],[Split_apply]])) - SUM($O200:P200)</f>
        <v>0</v>
      </c>
      <c r="R200" s="52">
        <f ca="1">Log_2019[[#This Row],[Amount]]/Log_2019[[#This Row],[Split_raw]]*MAX(0,MIN(_xlfn.DAYS(EDATE(R$1,1),Log_2019[[#This Row],[Date]]),Log_2019[[#This Row],[Split_apply]])) - SUM($O200:Q200)</f>
        <v>0</v>
      </c>
      <c r="S200" s="52">
        <f ca="1">Log_2019[[#This Row],[Amount]]/Log_2019[[#This Row],[Split_raw]]*MAX(0,MIN(_xlfn.DAYS(EDATE(S$1,1),Log_2019[[#This Row],[Date]]),Log_2019[[#This Row],[Split_apply]])) - SUM($O200:R200)</f>
        <v>0</v>
      </c>
      <c r="T200" s="52">
        <f ca="1">Log_2019[[#This Row],[Amount]]/Log_2019[[#This Row],[Split_raw]]*MAX(0,MIN(_xlfn.DAYS(EDATE(T$1,1),Log_2019[[#This Row],[Date]]),Log_2019[[#This Row],[Split_apply]])) - SUM($O200:S200)</f>
        <v>0</v>
      </c>
      <c r="U200" s="52">
        <f ca="1">Log_2019[[#This Row],[Amount]]/Log_2019[[#This Row],[Split_raw]]*MAX(0,MIN(_xlfn.DAYS(EDATE(U$1,1),Log_2019[[#This Row],[Date]]),Log_2019[[#This Row],[Split_apply]])) - SUM($O200:T200)</f>
        <v>0</v>
      </c>
      <c r="V200" s="52">
        <f ca="1">Log_2019[[#This Row],[Amount]]/Log_2019[[#This Row],[Split_raw]]*MAX(0,MIN(_xlfn.DAYS(EDATE(V$1,1),Log_2019[[#This Row],[Date]]),Log_2019[[#This Row],[Split_apply]])) - SUM($O200:U200)</f>
        <v>0</v>
      </c>
      <c r="W200" s="52">
        <f ca="1">Log_2019[[#This Row],[Amount]]/Log_2019[[#This Row],[Split_raw]]*MAX(0,MIN(_xlfn.DAYS(EDATE(W$1,1),Log_2019[[#This Row],[Date]]),Log_2019[[#This Row],[Split_apply]])) - SUM($O200:V200)</f>
        <v>0</v>
      </c>
      <c r="X200" s="52">
        <f ca="1">Log_2019[[#This Row],[Amount]]/Log_2019[[#This Row],[Split_raw]]*MAX(0,MIN(_xlfn.DAYS(EDATE(X$1,1),Log_2019[[#This Row],[Date]]),Log_2019[[#This Row],[Split_apply]])) - SUM($O200:W200)</f>
        <v>-14.120000000000001</v>
      </c>
      <c r="Y200" s="52">
        <f ca="1">Log_2019[[#This Row],[Amount]]/Log_2019[[#This Row],[Split_raw]]*MAX(0,MIN(_xlfn.DAYS(EDATE(Y$1,1),Log_2019[[#This Row],[Date]]),Log_2019[[#This Row],[Split_apply]])) - SUM($O200:X200)</f>
        <v>-38.83</v>
      </c>
      <c r="Z200" s="52">
        <f ca="1">Log_2019[[#This Row],[Amount]]/Log_2019[[#This Row],[Split_raw]]*MAX(0,MIN(_xlfn.DAYS(EDATE(Z$1,1),Log_2019[[#This Row],[Date]]),Log_2019[[#This Row],[Split_apply]])) - SUM($O200:Y200)</f>
        <v>0</v>
      </c>
      <c r="AA200" s="52">
        <f ca="1">Log_2019[[#This Row],[Amount]]/Log_2019[[#This Row],[Split_raw]]*MAX(0,MIN(_xlfn.DAYS(EDATE(AA$1,1),Log_2019[[#This Row],[Date]]),Log_2019[[#This Row],[Split_apply]])) - SUM($O200:Z200)</f>
        <v>0</v>
      </c>
      <c r="AB200" s="54">
        <f ca="1">Log_2019[[#This Row],[Amount]]-SUM(O200:AA200)</f>
        <v>0</v>
      </c>
      <c r="AC200" s="7">
        <f>MAX(0,Log_2019[[#This Row],[Split_raw]] - (EDATE(AA$1,1)-Log_2019[[#This Row],[Date]]))</f>
        <v>0</v>
      </c>
    </row>
    <row r="201" spans="1:29" x14ac:dyDescent="0.25">
      <c r="A201" s="42"/>
      <c r="B201" s="34" t="s">
        <v>6</v>
      </c>
      <c r="C201" s="34"/>
      <c r="D201" s="41">
        <v>43731</v>
      </c>
      <c r="E201" s="34"/>
      <c r="F201" s="34" t="s">
        <v>255</v>
      </c>
      <c r="G201" s="34" t="s">
        <v>10</v>
      </c>
      <c r="H201">
        <v>-7.98</v>
      </c>
      <c r="I201" s="36">
        <f>IF(Log_2019[[#This Row],[My Category]]="NONTRACKED",0,Log_2019[[#This Row],[Raw Amount]])</f>
        <v>-7.98</v>
      </c>
      <c r="J201" s="37">
        <f>ABS(Log_2019[[#This Row],[Amount]])</f>
        <v>7.98</v>
      </c>
      <c r="K201" s="38">
        <v>1</v>
      </c>
      <c r="L201" s="38">
        <f ca="1">IF(Log_2019[[#This Row],[Date]]&lt;=TODAY(), MIN(Log_2019[[#This Row],[Split_raw]], TODAY()-Log_2019[[#This Row],[Date]]+1), 0)</f>
        <v>1</v>
      </c>
      <c r="M201" s="34" t="s">
        <v>35</v>
      </c>
      <c r="N201" s="34" t="s">
        <v>158</v>
      </c>
      <c r="O201" s="7">
        <v>0</v>
      </c>
      <c r="P201" s="52">
        <f ca="1">Log_2019[[#This Row],[Amount]]/Log_2019[[#This Row],[Split_raw]]*MAX(0,MIN(_xlfn.DAYS(EDATE(P$1,1),Log_2019[[#This Row],[Date]]),Log_2019[[#This Row],[Split_apply]])) - SUM($O201:O201)</f>
        <v>0</v>
      </c>
      <c r="Q201" s="52">
        <f ca="1">Log_2019[[#This Row],[Amount]]/Log_2019[[#This Row],[Split_raw]]*MAX(0,MIN(_xlfn.DAYS(EDATE(Q$1,1),Log_2019[[#This Row],[Date]]),Log_2019[[#This Row],[Split_apply]])) - SUM($O201:P201)</f>
        <v>0</v>
      </c>
      <c r="R201" s="52">
        <f ca="1">Log_2019[[#This Row],[Amount]]/Log_2019[[#This Row],[Split_raw]]*MAX(0,MIN(_xlfn.DAYS(EDATE(R$1,1),Log_2019[[#This Row],[Date]]),Log_2019[[#This Row],[Split_apply]])) - SUM($O201:Q201)</f>
        <v>0</v>
      </c>
      <c r="S201" s="52">
        <f ca="1">Log_2019[[#This Row],[Amount]]/Log_2019[[#This Row],[Split_raw]]*MAX(0,MIN(_xlfn.DAYS(EDATE(S$1,1),Log_2019[[#This Row],[Date]]),Log_2019[[#This Row],[Split_apply]])) - SUM($O201:R201)</f>
        <v>0</v>
      </c>
      <c r="T201" s="52">
        <f ca="1">Log_2019[[#This Row],[Amount]]/Log_2019[[#This Row],[Split_raw]]*MAX(0,MIN(_xlfn.DAYS(EDATE(T$1,1),Log_2019[[#This Row],[Date]]),Log_2019[[#This Row],[Split_apply]])) - SUM($O201:S201)</f>
        <v>0</v>
      </c>
      <c r="U201" s="52">
        <f ca="1">Log_2019[[#This Row],[Amount]]/Log_2019[[#This Row],[Split_raw]]*MAX(0,MIN(_xlfn.DAYS(EDATE(U$1,1),Log_2019[[#This Row],[Date]]),Log_2019[[#This Row],[Split_apply]])) - SUM($O201:T201)</f>
        <v>0</v>
      </c>
      <c r="V201" s="52">
        <f ca="1">Log_2019[[#This Row],[Amount]]/Log_2019[[#This Row],[Split_raw]]*MAX(0,MIN(_xlfn.DAYS(EDATE(V$1,1),Log_2019[[#This Row],[Date]]),Log_2019[[#This Row],[Split_apply]])) - SUM($O201:U201)</f>
        <v>0</v>
      </c>
      <c r="W201" s="52">
        <f ca="1">Log_2019[[#This Row],[Amount]]/Log_2019[[#This Row],[Split_raw]]*MAX(0,MIN(_xlfn.DAYS(EDATE(W$1,1),Log_2019[[#This Row],[Date]]),Log_2019[[#This Row],[Split_apply]])) - SUM($O201:V201)</f>
        <v>0</v>
      </c>
      <c r="X201" s="52">
        <f ca="1">Log_2019[[#This Row],[Amount]]/Log_2019[[#This Row],[Split_raw]]*MAX(0,MIN(_xlfn.DAYS(EDATE(X$1,1),Log_2019[[#This Row],[Date]]),Log_2019[[#This Row],[Split_apply]])) - SUM($O201:W201)</f>
        <v>-7.98</v>
      </c>
      <c r="Y201" s="52">
        <f ca="1">Log_2019[[#This Row],[Amount]]/Log_2019[[#This Row],[Split_raw]]*MAX(0,MIN(_xlfn.DAYS(EDATE(Y$1,1),Log_2019[[#This Row],[Date]]),Log_2019[[#This Row],[Split_apply]])) - SUM($O201:X201)</f>
        <v>0</v>
      </c>
      <c r="Z201" s="52">
        <f ca="1">Log_2019[[#This Row],[Amount]]/Log_2019[[#This Row],[Split_raw]]*MAX(0,MIN(_xlfn.DAYS(EDATE(Z$1,1),Log_2019[[#This Row],[Date]]),Log_2019[[#This Row],[Split_apply]])) - SUM($O201:Y201)</f>
        <v>0</v>
      </c>
      <c r="AA201" s="52">
        <f ca="1">Log_2019[[#This Row],[Amount]]/Log_2019[[#This Row],[Split_raw]]*MAX(0,MIN(_xlfn.DAYS(EDATE(AA$1,1),Log_2019[[#This Row],[Date]]),Log_2019[[#This Row],[Split_apply]])) - SUM($O201:Z201)</f>
        <v>0</v>
      </c>
      <c r="AB201" s="54">
        <f ca="1">Log_2019[[#This Row],[Amount]]-SUM(O201:AA201)</f>
        <v>0</v>
      </c>
      <c r="AC201" s="7">
        <f>MAX(0,Log_2019[[#This Row],[Split_raw]] - (EDATE(AA$1,1)-Log_2019[[#This Row],[Date]]))</f>
        <v>0</v>
      </c>
    </row>
    <row r="202" spans="1:29" x14ac:dyDescent="0.25">
      <c r="A202" s="42"/>
      <c r="B202" s="34" t="s">
        <v>6</v>
      </c>
      <c r="C202" s="34"/>
      <c r="D202" s="41">
        <v>43727</v>
      </c>
      <c r="E202" s="34"/>
      <c r="F202" s="34" t="s">
        <v>255</v>
      </c>
      <c r="G202" s="34" t="s">
        <v>10</v>
      </c>
      <c r="H202">
        <v>-13.91</v>
      </c>
      <c r="I202" s="36">
        <f>IF(Log_2019[[#This Row],[My Category]]="NONTRACKED",0,Log_2019[[#This Row],[Raw Amount]])</f>
        <v>-13.91</v>
      </c>
      <c r="J202" s="37">
        <f>ABS(Log_2019[[#This Row],[Amount]])</f>
        <v>13.91</v>
      </c>
      <c r="K202" s="38">
        <v>1</v>
      </c>
      <c r="L202" s="38">
        <f ca="1">IF(Log_2019[[#This Row],[Date]]&lt;=TODAY(), MIN(Log_2019[[#This Row],[Split_raw]], TODAY()-Log_2019[[#This Row],[Date]]+1), 0)</f>
        <v>1</v>
      </c>
      <c r="M202" s="34" t="s">
        <v>35</v>
      </c>
      <c r="N202" s="34" t="s">
        <v>158</v>
      </c>
      <c r="O202" s="7">
        <v>0</v>
      </c>
      <c r="P202" s="52">
        <f ca="1">Log_2019[[#This Row],[Amount]]/Log_2019[[#This Row],[Split_raw]]*MAX(0,MIN(_xlfn.DAYS(EDATE(P$1,1),Log_2019[[#This Row],[Date]]),Log_2019[[#This Row],[Split_apply]])) - SUM($O202:O202)</f>
        <v>0</v>
      </c>
      <c r="Q202" s="52">
        <f ca="1">Log_2019[[#This Row],[Amount]]/Log_2019[[#This Row],[Split_raw]]*MAX(0,MIN(_xlfn.DAYS(EDATE(Q$1,1),Log_2019[[#This Row],[Date]]),Log_2019[[#This Row],[Split_apply]])) - SUM($O202:P202)</f>
        <v>0</v>
      </c>
      <c r="R202" s="52">
        <f ca="1">Log_2019[[#This Row],[Amount]]/Log_2019[[#This Row],[Split_raw]]*MAX(0,MIN(_xlfn.DAYS(EDATE(R$1,1),Log_2019[[#This Row],[Date]]),Log_2019[[#This Row],[Split_apply]])) - SUM($O202:Q202)</f>
        <v>0</v>
      </c>
      <c r="S202" s="52">
        <f ca="1">Log_2019[[#This Row],[Amount]]/Log_2019[[#This Row],[Split_raw]]*MAX(0,MIN(_xlfn.DAYS(EDATE(S$1,1),Log_2019[[#This Row],[Date]]),Log_2019[[#This Row],[Split_apply]])) - SUM($O202:R202)</f>
        <v>0</v>
      </c>
      <c r="T202" s="52">
        <f ca="1">Log_2019[[#This Row],[Amount]]/Log_2019[[#This Row],[Split_raw]]*MAX(0,MIN(_xlfn.DAYS(EDATE(T$1,1),Log_2019[[#This Row],[Date]]),Log_2019[[#This Row],[Split_apply]])) - SUM($O202:S202)</f>
        <v>0</v>
      </c>
      <c r="U202" s="52">
        <f ca="1">Log_2019[[#This Row],[Amount]]/Log_2019[[#This Row],[Split_raw]]*MAX(0,MIN(_xlfn.DAYS(EDATE(U$1,1),Log_2019[[#This Row],[Date]]),Log_2019[[#This Row],[Split_apply]])) - SUM($O202:T202)</f>
        <v>0</v>
      </c>
      <c r="V202" s="52">
        <f ca="1">Log_2019[[#This Row],[Amount]]/Log_2019[[#This Row],[Split_raw]]*MAX(0,MIN(_xlfn.DAYS(EDATE(V$1,1),Log_2019[[#This Row],[Date]]),Log_2019[[#This Row],[Split_apply]])) - SUM($O202:U202)</f>
        <v>0</v>
      </c>
      <c r="W202" s="52">
        <f ca="1">Log_2019[[#This Row],[Amount]]/Log_2019[[#This Row],[Split_raw]]*MAX(0,MIN(_xlfn.DAYS(EDATE(W$1,1),Log_2019[[#This Row],[Date]]),Log_2019[[#This Row],[Split_apply]])) - SUM($O202:V202)</f>
        <v>0</v>
      </c>
      <c r="X202" s="52">
        <f ca="1">Log_2019[[#This Row],[Amount]]/Log_2019[[#This Row],[Split_raw]]*MAX(0,MIN(_xlfn.DAYS(EDATE(X$1,1),Log_2019[[#This Row],[Date]]),Log_2019[[#This Row],[Split_apply]])) - SUM($O202:W202)</f>
        <v>-13.91</v>
      </c>
      <c r="Y202" s="52">
        <f ca="1">Log_2019[[#This Row],[Amount]]/Log_2019[[#This Row],[Split_raw]]*MAX(0,MIN(_xlfn.DAYS(EDATE(Y$1,1),Log_2019[[#This Row],[Date]]),Log_2019[[#This Row],[Split_apply]])) - SUM($O202:X202)</f>
        <v>0</v>
      </c>
      <c r="Z202" s="52">
        <f ca="1">Log_2019[[#This Row],[Amount]]/Log_2019[[#This Row],[Split_raw]]*MAX(0,MIN(_xlfn.DAYS(EDATE(Z$1,1),Log_2019[[#This Row],[Date]]),Log_2019[[#This Row],[Split_apply]])) - SUM($O202:Y202)</f>
        <v>0</v>
      </c>
      <c r="AA202" s="52">
        <f ca="1">Log_2019[[#This Row],[Amount]]/Log_2019[[#This Row],[Split_raw]]*MAX(0,MIN(_xlfn.DAYS(EDATE(AA$1,1),Log_2019[[#This Row],[Date]]),Log_2019[[#This Row],[Split_apply]])) - SUM($O202:Z202)</f>
        <v>0</v>
      </c>
      <c r="AB202" s="54">
        <f ca="1">Log_2019[[#This Row],[Amount]]-SUM(O202:AA202)</f>
        <v>0</v>
      </c>
      <c r="AC202" s="7">
        <f>MAX(0,Log_2019[[#This Row],[Split_raw]] - (EDATE(AA$1,1)-Log_2019[[#This Row],[Date]]))</f>
        <v>0</v>
      </c>
    </row>
    <row r="203" spans="1:29" x14ac:dyDescent="0.25">
      <c r="A203" s="42"/>
      <c r="B203" s="34" t="s">
        <v>6</v>
      </c>
      <c r="C203" s="34"/>
      <c r="D203" s="35">
        <v>43726</v>
      </c>
      <c r="E203" s="34"/>
      <c r="F203" s="34" t="s">
        <v>306</v>
      </c>
      <c r="G203" s="34" t="s">
        <v>25</v>
      </c>
      <c r="H203">
        <v>-10.25</v>
      </c>
      <c r="I203" s="36">
        <f>IF(Log_2019[[#This Row],[My Category]]="NONTRACKED",0,Log_2019[[#This Row],[Raw Amount]])</f>
        <v>-10.25</v>
      </c>
      <c r="J203" s="37">
        <f>ABS(Log_2019[[#This Row],[Amount]])</f>
        <v>10.25</v>
      </c>
      <c r="K203" s="38">
        <v>1</v>
      </c>
      <c r="L203" s="38">
        <f ca="1">IF(Log_2019[[#This Row],[Date]]&lt;=TODAY(), MIN(Log_2019[[#This Row],[Split_raw]], TODAY()-Log_2019[[#This Row],[Date]]+1), 0)</f>
        <v>1</v>
      </c>
      <c r="M203" s="34" t="s">
        <v>35</v>
      </c>
      <c r="N203" s="34" t="s">
        <v>158</v>
      </c>
      <c r="O203" s="7">
        <v>0</v>
      </c>
      <c r="P203" s="52">
        <f ca="1">Log_2019[[#This Row],[Amount]]/Log_2019[[#This Row],[Split_raw]]*MAX(0,MIN(_xlfn.DAYS(EDATE(P$1,1),Log_2019[[#This Row],[Date]]),Log_2019[[#This Row],[Split_apply]])) - SUM($O203:O203)</f>
        <v>0</v>
      </c>
      <c r="Q203" s="52">
        <f ca="1">Log_2019[[#This Row],[Amount]]/Log_2019[[#This Row],[Split_raw]]*MAX(0,MIN(_xlfn.DAYS(EDATE(Q$1,1),Log_2019[[#This Row],[Date]]),Log_2019[[#This Row],[Split_apply]])) - SUM($O203:P203)</f>
        <v>0</v>
      </c>
      <c r="R203" s="52">
        <f ca="1">Log_2019[[#This Row],[Amount]]/Log_2019[[#This Row],[Split_raw]]*MAX(0,MIN(_xlfn.DAYS(EDATE(R$1,1),Log_2019[[#This Row],[Date]]),Log_2019[[#This Row],[Split_apply]])) - SUM($O203:Q203)</f>
        <v>0</v>
      </c>
      <c r="S203" s="52">
        <f ca="1">Log_2019[[#This Row],[Amount]]/Log_2019[[#This Row],[Split_raw]]*MAX(0,MIN(_xlfn.DAYS(EDATE(S$1,1),Log_2019[[#This Row],[Date]]),Log_2019[[#This Row],[Split_apply]])) - SUM($O203:R203)</f>
        <v>0</v>
      </c>
      <c r="T203" s="52">
        <f ca="1">Log_2019[[#This Row],[Amount]]/Log_2019[[#This Row],[Split_raw]]*MAX(0,MIN(_xlfn.DAYS(EDATE(T$1,1),Log_2019[[#This Row],[Date]]),Log_2019[[#This Row],[Split_apply]])) - SUM($O203:S203)</f>
        <v>0</v>
      </c>
      <c r="U203" s="52">
        <f ca="1">Log_2019[[#This Row],[Amount]]/Log_2019[[#This Row],[Split_raw]]*MAX(0,MIN(_xlfn.DAYS(EDATE(U$1,1),Log_2019[[#This Row],[Date]]),Log_2019[[#This Row],[Split_apply]])) - SUM($O203:T203)</f>
        <v>0</v>
      </c>
      <c r="V203" s="52">
        <f ca="1">Log_2019[[#This Row],[Amount]]/Log_2019[[#This Row],[Split_raw]]*MAX(0,MIN(_xlfn.DAYS(EDATE(V$1,1),Log_2019[[#This Row],[Date]]),Log_2019[[#This Row],[Split_apply]])) - SUM($O203:U203)</f>
        <v>0</v>
      </c>
      <c r="W203" s="52">
        <f ca="1">Log_2019[[#This Row],[Amount]]/Log_2019[[#This Row],[Split_raw]]*MAX(0,MIN(_xlfn.DAYS(EDATE(W$1,1),Log_2019[[#This Row],[Date]]),Log_2019[[#This Row],[Split_apply]])) - SUM($O203:V203)</f>
        <v>0</v>
      </c>
      <c r="X203" s="52">
        <f ca="1">Log_2019[[#This Row],[Amount]]/Log_2019[[#This Row],[Split_raw]]*MAX(0,MIN(_xlfn.DAYS(EDATE(X$1,1),Log_2019[[#This Row],[Date]]),Log_2019[[#This Row],[Split_apply]])) - SUM($O203:W203)</f>
        <v>-10.25</v>
      </c>
      <c r="Y203" s="52">
        <f ca="1">Log_2019[[#This Row],[Amount]]/Log_2019[[#This Row],[Split_raw]]*MAX(0,MIN(_xlfn.DAYS(EDATE(Y$1,1),Log_2019[[#This Row],[Date]]),Log_2019[[#This Row],[Split_apply]])) - SUM($O203:X203)</f>
        <v>0</v>
      </c>
      <c r="Z203" s="52">
        <f ca="1">Log_2019[[#This Row],[Amount]]/Log_2019[[#This Row],[Split_raw]]*MAX(0,MIN(_xlfn.DAYS(EDATE(Z$1,1),Log_2019[[#This Row],[Date]]),Log_2019[[#This Row],[Split_apply]])) - SUM($O203:Y203)</f>
        <v>0</v>
      </c>
      <c r="AA203" s="52">
        <f ca="1">Log_2019[[#This Row],[Amount]]/Log_2019[[#This Row],[Split_raw]]*MAX(0,MIN(_xlfn.DAYS(EDATE(AA$1,1),Log_2019[[#This Row],[Date]]),Log_2019[[#This Row],[Split_apply]])) - SUM($O203:Z203)</f>
        <v>0</v>
      </c>
      <c r="AB203" s="54">
        <f ca="1">Log_2019[[#This Row],[Amount]]-SUM(O203:AA203)</f>
        <v>0</v>
      </c>
      <c r="AC203" s="7">
        <f>MAX(0,Log_2019[[#This Row],[Split_raw]] - (EDATE(AA$1,1)-Log_2019[[#This Row],[Date]]))</f>
        <v>0</v>
      </c>
    </row>
    <row r="204" spans="1:29" x14ac:dyDescent="0.25">
      <c r="A204" s="42"/>
      <c r="B204" s="34" t="s">
        <v>6</v>
      </c>
      <c r="C204" s="34"/>
      <c r="D204" s="41">
        <v>43726</v>
      </c>
      <c r="E204" s="34"/>
      <c r="F204" s="34" t="s">
        <v>270</v>
      </c>
      <c r="G204" s="34" t="s">
        <v>25</v>
      </c>
      <c r="H204">
        <v>-11.5</v>
      </c>
      <c r="I204" s="36">
        <f>IF(Log_2019[[#This Row],[My Category]]="NONTRACKED",0,Log_2019[[#This Row],[Raw Amount]])</f>
        <v>-11.5</v>
      </c>
      <c r="J204" s="37">
        <f>ABS(Log_2019[[#This Row],[Amount]])</f>
        <v>11.5</v>
      </c>
      <c r="K204" s="38">
        <v>1</v>
      </c>
      <c r="L204" s="38">
        <f ca="1">IF(Log_2019[[#This Row],[Date]]&lt;=TODAY(), MIN(Log_2019[[#This Row],[Split_raw]], TODAY()-Log_2019[[#This Row],[Date]]+1), 0)</f>
        <v>1</v>
      </c>
      <c r="M204" s="34" t="s">
        <v>35</v>
      </c>
      <c r="N204" s="34" t="s">
        <v>158</v>
      </c>
      <c r="O204" s="7">
        <v>0</v>
      </c>
      <c r="P204" s="52">
        <f ca="1">Log_2019[[#This Row],[Amount]]/Log_2019[[#This Row],[Split_raw]]*MAX(0,MIN(_xlfn.DAYS(EDATE(P$1,1),Log_2019[[#This Row],[Date]]),Log_2019[[#This Row],[Split_apply]])) - SUM($O204:O204)</f>
        <v>0</v>
      </c>
      <c r="Q204" s="52">
        <f ca="1">Log_2019[[#This Row],[Amount]]/Log_2019[[#This Row],[Split_raw]]*MAX(0,MIN(_xlfn.DAYS(EDATE(Q$1,1),Log_2019[[#This Row],[Date]]),Log_2019[[#This Row],[Split_apply]])) - SUM($O204:P204)</f>
        <v>0</v>
      </c>
      <c r="R204" s="52">
        <f ca="1">Log_2019[[#This Row],[Amount]]/Log_2019[[#This Row],[Split_raw]]*MAX(0,MIN(_xlfn.DAYS(EDATE(R$1,1),Log_2019[[#This Row],[Date]]),Log_2019[[#This Row],[Split_apply]])) - SUM($O204:Q204)</f>
        <v>0</v>
      </c>
      <c r="S204" s="52">
        <f ca="1">Log_2019[[#This Row],[Amount]]/Log_2019[[#This Row],[Split_raw]]*MAX(0,MIN(_xlfn.DAYS(EDATE(S$1,1),Log_2019[[#This Row],[Date]]),Log_2019[[#This Row],[Split_apply]])) - SUM($O204:R204)</f>
        <v>0</v>
      </c>
      <c r="T204" s="52">
        <f ca="1">Log_2019[[#This Row],[Amount]]/Log_2019[[#This Row],[Split_raw]]*MAX(0,MIN(_xlfn.DAYS(EDATE(T$1,1),Log_2019[[#This Row],[Date]]),Log_2019[[#This Row],[Split_apply]])) - SUM($O204:S204)</f>
        <v>0</v>
      </c>
      <c r="U204" s="52">
        <f ca="1">Log_2019[[#This Row],[Amount]]/Log_2019[[#This Row],[Split_raw]]*MAX(0,MIN(_xlfn.DAYS(EDATE(U$1,1),Log_2019[[#This Row],[Date]]),Log_2019[[#This Row],[Split_apply]])) - SUM($O204:T204)</f>
        <v>0</v>
      </c>
      <c r="V204" s="52">
        <f ca="1">Log_2019[[#This Row],[Amount]]/Log_2019[[#This Row],[Split_raw]]*MAX(0,MIN(_xlfn.DAYS(EDATE(V$1,1),Log_2019[[#This Row],[Date]]),Log_2019[[#This Row],[Split_apply]])) - SUM($O204:U204)</f>
        <v>0</v>
      </c>
      <c r="W204" s="52">
        <f ca="1">Log_2019[[#This Row],[Amount]]/Log_2019[[#This Row],[Split_raw]]*MAX(0,MIN(_xlfn.DAYS(EDATE(W$1,1),Log_2019[[#This Row],[Date]]),Log_2019[[#This Row],[Split_apply]])) - SUM($O204:V204)</f>
        <v>0</v>
      </c>
      <c r="X204" s="52">
        <f ca="1">Log_2019[[#This Row],[Amount]]/Log_2019[[#This Row],[Split_raw]]*MAX(0,MIN(_xlfn.DAYS(EDATE(X$1,1),Log_2019[[#This Row],[Date]]),Log_2019[[#This Row],[Split_apply]])) - SUM($O204:W204)</f>
        <v>-11.5</v>
      </c>
      <c r="Y204" s="52">
        <f ca="1">Log_2019[[#This Row],[Amount]]/Log_2019[[#This Row],[Split_raw]]*MAX(0,MIN(_xlfn.DAYS(EDATE(Y$1,1),Log_2019[[#This Row],[Date]]),Log_2019[[#This Row],[Split_apply]])) - SUM($O204:X204)</f>
        <v>0</v>
      </c>
      <c r="Z204" s="52">
        <f ca="1">Log_2019[[#This Row],[Amount]]/Log_2019[[#This Row],[Split_raw]]*MAX(0,MIN(_xlfn.DAYS(EDATE(Z$1,1),Log_2019[[#This Row],[Date]]),Log_2019[[#This Row],[Split_apply]])) - SUM($O204:Y204)</f>
        <v>0</v>
      </c>
      <c r="AA204" s="52">
        <f ca="1">Log_2019[[#This Row],[Amount]]/Log_2019[[#This Row],[Split_raw]]*MAX(0,MIN(_xlfn.DAYS(EDATE(AA$1,1),Log_2019[[#This Row],[Date]]),Log_2019[[#This Row],[Split_apply]])) - SUM($O204:Z204)</f>
        <v>0</v>
      </c>
      <c r="AB204" s="54">
        <f ca="1">Log_2019[[#This Row],[Amount]]-SUM(O204:AA204)</f>
        <v>0</v>
      </c>
      <c r="AC204" s="7">
        <f>MAX(0,Log_2019[[#This Row],[Split_raw]] - (EDATE(AA$1,1)-Log_2019[[#This Row],[Date]]))</f>
        <v>0</v>
      </c>
    </row>
    <row r="205" spans="1:29" x14ac:dyDescent="0.25">
      <c r="A205" s="42"/>
      <c r="B205" s="34" t="s">
        <v>6</v>
      </c>
      <c r="C205" s="34"/>
      <c r="D205" s="35">
        <v>43724</v>
      </c>
      <c r="E205" s="34"/>
      <c r="F205" s="34" t="s">
        <v>701</v>
      </c>
      <c r="G205" s="34" t="s">
        <v>29</v>
      </c>
      <c r="H205">
        <v>-68.42</v>
      </c>
      <c r="I205" s="36">
        <f>IF(Log_2019[[#This Row],[My Category]]="NONTRACKED",0,Log_2019[[#This Row],[Raw Amount]])</f>
        <v>-68.42</v>
      </c>
      <c r="J205" s="37">
        <f>ABS(Log_2019[[#This Row],[Amount]])</f>
        <v>68.42</v>
      </c>
      <c r="K205" s="38">
        <v>30</v>
      </c>
      <c r="L205" s="38">
        <f ca="1">IF(Log_2019[[#This Row],[Date]]&lt;=TODAY(), MIN(Log_2019[[#This Row],[Split_raw]], TODAY()-Log_2019[[#This Row],[Date]]+1), 0)</f>
        <v>30</v>
      </c>
      <c r="M205" s="34" t="s">
        <v>29</v>
      </c>
      <c r="N205" s="34" t="s">
        <v>160</v>
      </c>
      <c r="O205" s="7">
        <v>0</v>
      </c>
      <c r="P205" s="52">
        <f ca="1">Log_2019[[#This Row],[Amount]]/Log_2019[[#This Row],[Split_raw]]*MAX(0,MIN(_xlfn.DAYS(EDATE(P$1,1),Log_2019[[#This Row],[Date]]),Log_2019[[#This Row],[Split_apply]])) - SUM($O205:O205)</f>
        <v>0</v>
      </c>
      <c r="Q205" s="52">
        <f ca="1">Log_2019[[#This Row],[Amount]]/Log_2019[[#This Row],[Split_raw]]*MAX(0,MIN(_xlfn.DAYS(EDATE(Q$1,1),Log_2019[[#This Row],[Date]]),Log_2019[[#This Row],[Split_apply]])) - SUM($O205:P205)</f>
        <v>0</v>
      </c>
      <c r="R205" s="52">
        <f ca="1">Log_2019[[#This Row],[Amount]]/Log_2019[[#This Row],[Split_raw]]*MAX(0,MIN(_xlfn.DAYS(EDATE(R$1,1),Log_2019[[#This Row],[Date]]),Log_2019[[#This Row],[Split_apply]])) - SUM($O205:Q205)</f>
        <v>0</v>
      </c>
      <c r="S205" s="52">
        <f ca="1">Log_2019[[#This Row],[Amount]]/Log_2019[[#This Row],[Split_raw]]*MAX(0,MIN(_xlfn.DAYS(EDATE(S$1,1),Log_2019[[#This Row],[Date]]),Log_2019[[#This Row],[Split_apply]])) - SUM($O205:R205)</f>
        <v>0</v>
      </c>
      <c r="T205" s="52">
        <f ca="1">Log_2019[[#This Row],[Amount]]/Log_2019[[#This Row],[Split_raw]]*MAX(0,MIN(_xlfn.DAYS(EDATE(T$1,1),Log_2019[[#This Row],[Date]]),Log_2019[[#This Row],[Split_apply]])) - SUM($O205:S205)</f>
        <v>0</v>
      </c>
      <c r="U205" s="52">
        <f ca="1">Log_2019[[#This Row],[Amount]]/Log_2019[[#This Row],[Split_raw]]*MAX(0,MIN(_xlfn.DAYS(EDATE(U$1,1),Log_2019[[#This Row],[Date]]),Log_2019[[#This Row],[Split_apply]])) - SUM($O205:T205)</f>
        <v>0</v>
      </c>
      <c r="V205" s="52">
        <f ca="1">Log_2019[[#This Row],[Amount]]/Log_2019[[#This Row],[Split_raw]]*MAX(0,MIN(_xlfn.DAYS(EDATE(V$1,1),Log_2019[[#This Row],[Date]]),Log_2019[[#This Row],[Split_apply]])) - SUM($O205:U205)</f>
        <v>0</v>
      </c>
      <c r="W205" s="52">
        <f ca="1">Log_2019[[#This Row],[Amount]]/Log_2019[[#This Row],[Split_raw]]*MAX(0,MIN(_xlfn.DAYS(EDATE(W$1,1),Log_2019[[#This Row],[Date]]),Log_2019[[#This Row],[Split_apply]])) - SUM($O205:V205)</f>
        <v>0</v>
      </c>
      <c r="X205" s="52">
        <f ca="1">Log_2019[[#This Row],[Amount]]/Log_2019[[#This Row],[Split_raw]]*MAX(0,MIN(_xlfn.DAYS(EDATE(X$1,1),Log_2019[[#This Row],[Date]]),Log_2019[[#This Row],[Split_apply]])) - SUM($O205:W205)</f>
        <v>-34.21</v>
      </c>
      <c r="Y205" s="52">
        <f ca="1">Log_2019[[#This Row],[Amount]]/Log_2019[[#This Row],[Split_raw]]*MAX(0,MIN(_xlfn.DAYS(EDATE(Y$1,1),Log_2019[[#This Row],[Date]]),Log_2019[[#This Row],[Split_apply]])) - SUM($O205:X205)</f>
        <v>-34.21</v>
      </c>
      <c r="Z205" s="52">
        <f ca="1">Log_2019[[#This Row],[Amount]]/Log_2019[[#This Row],[Split_raw]]*MAX(0,MIN(_xlfn.DAYS(EDATE(Z$1,1),Log_2019[[#This Row],[Date]]),Log_2019[[#This Row],[Split_apply]])) - SUM($O205:Y205)</f>
        <v>0</v>
      </c>
      <c r="AA205" s="52">
        <f ca="1">Log_2019[[#This Row],[Amount]]/Log_2019[[#This Row],[Split_raw]]*MAX(0,MIN(_xlfn.DAYS(EDATE(AA$1,1),Log_2019[[#This Row],[Date]]),Log_2019[[#This Row],[Split_apply]])) - SUM($O205:Z205)</f>
        <v>0</v>
      </c>
      <c r="AB205" s="54">
        <f ca="1">Log_2019[[#This Row],[Amount]]-SUM(O205:AA205)</f>
        <v>0</v>
      </c>
      <c r="AC205" s="7">
        <f>MAX(0,Log_2019[[#This Row],[Split_raw]] - (EDATE(AA$1,1)-Log_2019[[#This Row],[Date]]))</f>
        <v>0</v>
      </c>
    </row>
    <row r="206" spans="1:29" x14ac:dyDescent="0.25">
      <c r="A206" s="42"/>
      <c r="B206" s="34" t="s">
        <v>6</v>
      </c>
      <c r="C206" s="34"/>
      <c r="D206" s="35">
        <v>43724</v>
      </c>
      <c r="E206" s="34" t="s">
        <v>742</v>
      </c>
      <c r="F206" s="34" t="s">
        <v>570</v>
      </c>
      <c r="G206" s="34" t="s">
        <v>143</v>
      </c>
      <c r="H206">
        <v>-15</v>
      </c>
      <c r="I206" s="36">
        <f>IF(Log_2019[[#This Row],[My Category]]="NONTRACKED",0,Log_2019[[#This Row],[Raw Amount]])</f>
        <v>-15</v>
      </c>
      <c r="J206" s="37">
        <f>ABS(Log_2019[[#This Row],[Amount]])</f>
        <v>15</v>
      </c>
      <c r="K206" s="38">
        <v>1</v>
      </c>
      <c r="L206" s="38">
        <f ca="1">IF(Log_2019[[#This Row],[Date]]&lt;=TODAY(), MIN(Log_2019[[#This Row],[Split_raw]], TODAY()-Log_2019[[#This Row],[Date]]+1), 0)</f>
        <v>1</v>
      </c>
      <c r="M206" s="34" t="s">
        <v>37</v>
      </c>
      <c r="N206" s="34" t="s">
        <v>160</v>
      </c>
      <c r="O206" s="7">
        <v>0</v>
      </c>
      <c r="P206" s="52">
        <f ca="1">Log_2019[[#This Row],[Amount]]/Log_2019[[#This Row],[Split_raw]]*MAX(0,MIN(_xlfn.DAYS(EDATE(P$1,1),Log_2019[[#This Row],[Date]]),Log_2019[[#This Row],[Split_apply]])) - SUM($O206:O206)</f>
        <v>0</v>
      </c>
      <c r="Q206" s="52">
        <f ca="1">Log_2019[[#This Row],[Amount]]/Log_2019[[#This Row],[Split_raw]]*MAX(0,MIN(_xlfn.DAYS(EDATE(Q$1,1),Log_2019[[#This Row],[Date]]),Log_2019[[#This Row],[Split_apply]])) - SUM($O206:P206)</f>
        <v>0</v>
      </c>
      <c r="R206" s="52">
        <f ca="1">Log_2019[[#This Row],[Amount]]/Log_2019[[#This Row],[Split_raw]]*MAX(0,MIN(_xlfn.DAYS(EDATE(R$1,1),Log_2019[[#This Row],[Date]]),Log_2019[[#This Row],[Split_apply]])) - SUM($O206:Q206)</f>
        <v>0</v>
      </c>
      <c r="S206" s="52">
        <f ca="1">Log_2019[[#This Row],[Amount]]/Log_2019[[#This Row],[Split_raw]]*MAX(0,MIN(_xlfn.DAYS(EDATE(S$1,1),Log_2019[[#This Row],[Date]]),Log_2019[[#This Row],[Split_apply]])) - SUM($O206:R206)</f>
        <v>0</v>
      </c>
      <c r="T206" s="52">
        <f ca="1">Log_2019[[#This Row],[Amount]]/Log_2019[[#This Row],[Split_raw]]*MAX(0,MIN(_xlfn.DAYS(EDATE(T$1,1),Log_2019[[#This Row],[Date]]),Log_2019[[#This Row],[Split_apply]])) - SUM($O206:S206)</f>
        <v>0</v>
      </c>
      <c r="U206" s="52">
        <f ca="1">Log_2019[[#This Row],[Amount]]/Log_2019[[#This Row],[Split_raw]]*MAX(0,MIN(_xlfn.DAYS(EDATE(U$1,1),Log_2019[[#This Row],[Date]]),Log_2019[[#This Row],[Split_apply]])) - SUM($O206:T206)</f>
        <v>0</v>
      </c>
      <c r="V206" s="52">
        <f ca="1">Log_2019[[#This Row],[Amount]]/Log_2019[[#This Row],[Split_raw]]*MAX(0,MIN(_xlfn.DAYS(EDATE(V$1,1),Log_2019[[#This Row],[Date]]),Log_2019[[#This Row],[Split_apply]])) - SUM($O206:U206)</f>
        <v>0</v>
      </c>
      <c r="W206" s="52">
        <f ca="1">Log_2019[[#This Row],[Amount]]/Log_2019[[#This Row],[Split_raw]]*MAX(0,MIN(_xlfn.DAYS(EDATE(W$1,1),Log_2019[[#This Row],[Date]]),Log_2019[[#This Row],[Split_apply]])) - SUM($O206:V206)</f>
        <v>0</v>
      </c>
      <c r="X206" s="52">
        <f ca="1">Log_2019[[#This Row],[Amount]]/Log_2019[[#This Row],[Split_raw]]*MAX(0,MIN(_xlfn.DAYS(EDATE(X$1,1),Log_2019[[#This Row],[Date]]),Log_2019[[#This Row],[Split_apply]])) - SUM($O206:W206)</f>
        <v>-15</v>
      </c>
      <c r="Y206" s="52">
        <f ca="1">Log_2019[[#This Row],[Amount]]/Log_2019[[#This Row],[Split_raw]]*MAX(0,MIN(_xlfn.DAYS(EDATE(Y$1,1),Log_2019[[#This Row],[Date]]),Log_2019[[#This Row],[Split_apply]])) - SUM($O206:X206)</f>
        <v>0</v>
      </c>
      <c r="Z206" s="52">
        <f ca="1">Log_2019[[#This Row],[Amount]]/Log_2019[[#This Row],[Split_raw]]*MAX(0,MIN(_xlfn.DAYS(EDATE(Z$1,1),Log_2019[[#This Row],[Date]]),Log_2019[[#This Row],[Split_apply]])) - SUM($O206:Y206)</f>
        <v>0</v>
      </c>
      <c r="AA206" s="52">
        <f ca="1">Log_2019[[#This Row],[Amount]]/Log_2019[[#This Row],[Split_raw]]*MAX(0,MIN(_xlfn.DAYS(EDATE(AA$1,1),Log_2019[[#This Row],[Date]]),Log_2019[[#This Row],[Split_apply]])) - SUM($O206:Z206)</f>
        <v>0</v>
      </c>
      <c r="AB206" s="54">
        <f ca="1">Log_2019[[#This Row],[Amount]]-SUM(O206:AA206)</f>
        <v>0</v>
      </c>
      <c r="AC206" s="7">
        <f>MAX(0,Log_2019[[#This Row],[Split_raw]] - (EDATE(AA$1,1)-Log_2019[[#This Row],[Date]]))</f>
        <v>0</v>
      </c>
    </row>
    <row r="207" spans="1:29" x14ac:dyDescent="0.25">
      <c r="A207" s="42"/>
      <c r="B207" s="34" t="s">
        <v>6</v>
      </c>
      <c r="C207" s="34"/>
      <c r="D207" s="35">
        <v>43724</v>
      </c>
      <c r="E207" s="34"/>
      <c r="F207" s="34" t="s">
        <v>702</v>
      </c>
      <c r="G207" s="34" t="s">
        <v>20</v>
      </c>
      <c r="H207">
        <v>-84</v>
      </c>
      <c r="I207" s="36">
        <f>IF(Log_2019[[#This Row],[My Category]]="NONTRACKED",0,Log_2019[[#This Row],[Raw Amount]])</f>
        <v>-84</v>
      </c>
      <c r="J207" s="37">
        <f>ABS(Log_2019[[#This Row],[Amount]])</f>
        <v>84</v>
      </c>
      <c r="K207" s="38">
        <v>1</v>
      </c>
      <c r="L207" s="38">
        <f ca="1">IF(Log_2019[[#This Row],[Date]]&lt;=TODAY(), MIN(Log_2019[[#This Row],[Split_raw]], TODAY()-Log_2019[[#This Row],[Date]]+1), 0)</f>
        <v>1</v>
      </c>
      <c r="M207" s="34" t="s">
        <v>196</v>
      </c>
      <c r="N207" s="34" t="s">
        <v>160</v>
      </c>
      <c r="O207" s="7">
        <v>0</v>
      </c>
      <c r="P207" s="52">
        <f ca="1">Log_2019[[#This Row],[Amount]]/Log_2019[[#This Row],[Split_raw]]*MAX(0,MIN(_xlfn.DAYS(EDATE(P$1,1),Log_2019[[#This Row],[Date]]),Log_2019[[#This Row],[Split_apply]])) - SUM($O207:O207)</f>
        <v>0</v>
      </c>
      <c r="Q207" s="52">
        <f ca="1">Log_2019[[#This Row],[Amount]]/Log_2019[[#This Row],[Split_raw]]*MAX(0,MIN(_xlfn.DAYS(EDATE(Q$1,1),Log_2019[[#This Row],[Date]]),Log_2019[[#This Row],[Split_apply]])) - SUM($O207:P207)</f>
        <v>0</v>
      </c>
      <c r="R207" s="52">
        <f ca="1">Log_2019[[#This Row],[Amount]]/Log_2019[[#This Row],[Split_raw]]*MAX(0,MIN(_xlfn.DAYS(EDATE(R$1,1),Log_2019[[#This Row],[Date]]),Log_2019[[#This Row],[Split_apply]])) - SUM($O207:Q207)</f>
        <v>0</v>
      </c>
      <c r="S207" s="52">
        <f ca="1">Log_2019[[#This Row],[Amount]]/Log_2019[[#This Row],[Split_raw]]*MAX(0,MIN(_xlfn.DAYS(EDATE(S$1,1),Log_2019[[#This Row],[Date]]),Log_2019[[#This Row],[Split_apply]])) - SUM($O207:R207)</f>
        <v>0</v>
      </c>
      <c r="T207" s="52">
        <f ca="1">Log_2019[[#This Row],[Amount]]/Log_2019[[#This Row],[Split_raw]]*MAX(0,MIN(_xlfn.DAYS(EDATE(T$1,1),Log_2019[[#This Row],[Date]]),Log_2019[[#This Row],[Split_apply]])) - SUM($O207:S207)</f>
        <v>0</v>
      </c>
      <c r="U207" s="52">
        <f ca="1">Log_2019[[#This Row],[Amount]]/Log_2019[[#This Row],[Split_raw]]*MAX(0,MIN(_xlfn.DAYS(EDATE(U$1,1),Log_2019[[#This Row],[Date]]),Log_2019[[#This Row],[Split_apply]])) - SUM($O207:T207)</f>
        <v>0</v>
      </c>
      <c r="V207" s="52">
        <f ca="1">Log_2019[[#This Row],[Amount]]/Log_2019[[#This Row],[Split_raw]]*MAX(0,MIN(_xlfn.DAYS(EDATE(V$1,1),Log_2019[[#This Row],[Date]]),Log_2019[[#This Row],[Split_apply]])) - SUM($O207:U207)</f>
        <v>0</v>
      </c>
      <c r="W207" s="52">
        <f ca="1">Log_2019[[#This Row],[Amount]]/Log_2019[[#This Row],[Split_raw]]*MAX(0,MIN(_xlfn.DAYS(EDATE(W$1,1),Log_2019[[#This Row],[Date]]),Log_2019[[#This Row],[Split_apply]])) - SUM($O207:V207)</f>
        <v>0</v>
      </c>
      <c r="X207" s="52">
        <f ca="1">Log_2019[[#This Row],[Amount]]/Log_2019[[#This Row],[Split_raw]]*MAX(0,MIN(_xlfn.DAYS(EDATE(X$1,1),Log_2019[[#This Row],[Date]]),Log_2019[[#This Row],[Split_apply]])) - SUM($O207:W207)</f>
        <v>-84</v>
      </c>
      <c r="Y207" s="52">
        <f ca="1">Log_2019[[#This Row],[Amount]]/Log_2019[[#This Row],[Split_raw]]*MAX(0,MIN(_xlfn.DAYS(EDATE(Y$1,1),Log_2019[[#This Row],[Date]]),Log_2019[[#This Row],[Split_apply]])) - SUM($O207:X207)</f>
        <v>0</v>
      </c>
      <c r="Z207" s="52">
        <f ca="1">Log_2019[[#This Row],[Amount]]/Log_2019[[#This Row],[Split_raw]]*MAX(0,MIN(_xlfn.DAYS(EDATE(Z$1,1),Log_2019[[#This Row],[Date]]),Log_2019[[#This Row],[Split_apply]])) - SUM($O207:Y207)</f>
        <v>0</v>
      </c>
      <c r="AA207" s="52">
        <f ca="1">Log_2019[[#This Row],[Amount]]/Log_2019[[#This Row],[Split_raw]]*MAX(0,MIN(_xlfn.DAYS(EDATE(AA$1,1),Log_2019[[#This Row],[Date]]),Log_2019[[#This Row],[Split_apply]])) - SUM($O207:Z207)</f>
        <v>0</v>
      </c>
      <c r="AB207" s="54">
        <f ca="1">Log_2019[[#This Row],[Amount]]-SUM(O207:AA207)</f>
        <v>0</v>
      </c>
      <c r="AC207" s="7">
        <f>MAX(0,Log_2019[[#This Row],[Split_raw]] - (EDATE(AA$1,1)-Log_2019[[#This Row],[Date]]))</f>
        <v>0</v>
      </c>
    </row>
    <row r="208" spans="1:29" x14ac:dyDescent="0.25">
      <c r="A208" s="42"/>
      <c r="B208" s="34" t="s">
        <v>6</v>
      </c>
      <c r="C208" s="34"/>
      <c r="D208" s="35">
        <v>43724</v>
      </c>
      <c r="E208" s="34"/>
      <c r="F208" s="34" t="s">
        <v>242</v>
      </c>
      <c r="G208" s="34" t="s">
        <v>87</v>
      </c>
      <c r="H208">
        <f>--20.4</f>
        <v>20.399999999999999</v>
      </c>
      <c r="I208" s="36">
        <f>IF(Log_2019[[#This Row],[My Category]]="NONTRACKED",0,Log_2019[[#This Row],[Raw Amount]])</f>
        <v>20.399999999999999</v>
      </c>
      <c r="J208" s="37">
        <f>ABS(Log_2019[[#This Row],[Amount]])</f>
        <v>20.399999999999999</v>
      </c>
      <c r="K208" s="38">
        <v>1</v>
      </c>
      <c r="L208" s="38">
        <f ca="1">IF(Log_2019[[#This Row],[Date]]&lt;=TODAY(), MIN(Log_2019[[#This Row],[Split_raw]], TODAY()-Log_2019[[#This Row],[Date]]+1), 0)</f>
        <v>1</v>
      </c>
      <c r="M208" s="34" t="s">
        <v>144</v>
      </c>
      <c r="N208" s="34" t="s">
        <v>160</v>
      </c>
      <c r="O208" s="7">
        <v>0</v>
      </c>
      <c r="P208" s="52">
        <f ca="1">Log_2019[[#This Row],[Amount]]/Log_2019[[#This Row],[Split_raw]]*MAX(0,MIN(_xlfn.DAYS(EDATE(P$1,1),Log_2019[[#This Row],[Date]]),Log_2019[[#This Row],[Split_apply]])) - SUM($O208:O208)</f>
        <v>0</v>
      </c>
      <c r="Q208" s="52">
        <f ca="1">Log_2019[[#This Row],[Amount]]/Log_2019[[#This Row],[Split_raw]]*MAX(0,MIN(_xlfn.DAYS(EDATE(Q$1,1),Log_2019[[#This Row],[Date]]),Log_2019[[#This Row],[Split_apply]])) - SUM($O208:P208)</f>
        <v>0</v>
      </c>
      <c r="R208" s="52">
        <f ca="1">Log_2019[[#This Row],[Amount]]/Log_2019[[#This Row],[Split_raw]]*MAX(0,MIN(_xlfn.DAYS(EDATE(R$1,1),Log_2019[[#This Row],[Date]]),Log_2019[[#This Row],[Split_apply]])) - SUM($O208:Q208)</f>
        <v>0</v>
      </c>
      <c r="S208" s="52">
        <f ca="1">Log_2019[[#This Row],[Amount]]/Log_2019[[#This Row],[Split_raw]]*MAX(0,MIN(_xlfn.DAYS(EDATE(S$1,1),Log_2019[[#This Row],[Date]]),Log_2019[[#This Row],[Split_apply]])) - SUM($O208:R208)</f>
        <v>0</v>
      </c>
      <c r="T208" s="52">
        <f ca="1">Log_2019[[#This Row],[Amount]]/Log_2019[[#This Row],[Split_raw]]*MAX(0,MIN(_xlfn.DAYS(EDATE(T$1,1),Log_2019[[#This Row],[Date]]),Log_2019[[#This Row],[Split_apply]])) - SUM($O208:S208)</f>
        <v>0</v>
      </c>
      <c r="U208" s="52">
        <f ca="1">Log_2019[[#This Row],[Amount]]/Log_2019[[#This Row],[Split_raw]]*MAX(0,MIN(_xlfn.DAYS(EDATE(U$1,1),Log_2019[[#This Row],[Date]]),Log_2019[[#This Row],[Split_apply]])) - SUM($O208:T208)</f>
        <v>0</v>
      </c>
      <c r="V208" s="52">
        <f ca="1">Log_2019[[#This Row],[Amount]]/Log_2019[[#This Row],[Split_raw]]*MAX(0,MIN(_xlfn.DAYS(EDATE(V$1,1),Log_2019[[#This Row],[Date]]),Log_2019[[#This Row],[Split_apply]])) - SUM($O208:U208)</f>
        <v>0</v>
      </c>
      <c r="W208" s="52">
        <f ca="1">Log_2019[[#This Row],[Amount]]/Log_2019[[#This Row],[Split_raw]]*MAX(0,MIN(_xlfn.DAYS(EDATE(W$1,1),Log_2019[[#This Row],[Date]]),Log_2019[[#This Row],[Split_apply]])) - SUM($O208:V208)</f>
        <v>0</v>
      </c>
      <c r="X208" s="52">
        <f ca="1">Log_2019[[#This Row],[Amount]]/Log_2019[[#This Row],[Split_raw]]*MAX(0,MIN(_xlfn.DAYS(EDATE(X$1,1),Log_2019[[#This Row],[Date]]),Log_2019[[#This Row],[Split_apply]])) - SUM($O208:W208)</f>
        <v>20.399999999999999</v>
      </c>
      <c r="Y208" s="52">
        <f ca="1">Log_2019[[#This Row],[Amount]]/Log_2019[[#This Row],[Split_raw]]*MAX(0,MIN(_xlfn.DAYS(EDATE(Y$1,1),Log_2019[[#This Row],[Date]]),Log_2019[[#This Row],[Split_apply]])) - SUM($O208:X208)</f>
        <v>0</v>
      </c>
      <c r="Z208" s="52">
        <f ca="1">Log_2019[[#This Row],[Amount]]/Log_2019[[#This Row],[Split_raw]]*MAX(0,MIN(_xlfn.DAYS(EDATE(Z$1,1),Log_2019[[#This Row],[Date]]),Log_2019[[#This Row],[Split_apply]])) - SUM($O208:Y208)</f>
        <v>0</v>
      </c>
      <c r="AA208" s="52">
        <f ca="1">Log_2019[[#This Row],[Amount]]/Log_2019[[#This Row],[Split_raw]]*MAX(0,MIN(_xlfn.DAYS(EDATE(AA$1,1),Log_2019[[#This Row],[Date]]),Log_2019[[#This Row],[Split_apply]])) - SUM($O208:Z208)</f>
        <v>0</v>
      </c>
      <c r="AB208" s="54">
        <f ca="1">Log_2019[[#This Row],[Amount]]-SUM(O208:AA208)</f>
        <v>0</v>
      </c>
      <c r="AC208" s="7">
        <f>MAX(0,Log_2019[[#This Row],[Split_raw]] - (EDATE(AA$1,1)-Log_2019[[#This Row],[Date]]))</f>
        <v>0</v>
      </c>
    </row>
    <row r="209" spans="1:29" x14ac:dyDescent="0.25">
      <c r="A209" s="42"/>
      <c r="B209" s="34" t="s">
        <v>6</v>
      </c>
      <c r="C209" s="34"/>
      <c r="D209" s="35">
        <v>43724</v>
      </c>
      <c r="E209" s="34"/>
      <c r="F209" s="34" t="s">
        <v>255</v>
      </c>
      <c r="G209" s="34" t="s">
        <v>10</v>
      </c>
      <c r="H209">
        <v>-9.57</v>
      </c>
      <c r="I209" s="36">
        <f>IF(Log_2019[[#This Row],[My Category]]="NONTRACKED",0,Log_2019[[#This Row],[Raw Amount]])</f>
        <v>-9.57</v>
      </c>
      <c r="J209" s="37">
        <f>ABS(Log_2019[[#This Row],[Amount]])</f>
        <v>9.57</v>
      </c>
      <c r="K209" s="38">
        <v>1</v>
      </c>
      <c r="L209" s="38">
        <f ca="1">IF(Log_2019[[#This Row],[Date]]&lt;=TODAY(), MIN(Log_2019[[#This Row],[Split_raw]], TODAY()-Log_2019[[#This Row],[Date]]+1), 0)</f>
        <v>1</v>
      </c>
      <c r="M209" s="34" t="s">
        <v>35</v>
      </c>
      <c r="N209" s="34" t="s">
        <v>158</v>
      </c>
      <c r="O209" s="7">
        <v>0</v>
      </c>
      <c r="P209" s="52">
        <f ca="1">Log_2019[[#This Row],[Amount]]/Log_2019[[#This Row],[Split_raw]]*MAX(0,MIN(_xlfn.DAYS(EDATE(P$1,1),Log_2019[[#This Row],[Date]]),Log_2019[[#This Row],[Split_apply]])) - SUM($O209:O209)</f>
        <v>0</v>
      </c>
      <c r="Q209" s="52">
        <f ca="1">Log_2019[[#This Row],[Amount]]/Log_2019[[#This Row],[Split_raw]]*MAX(0,MIN(_xlfn.DAYS(EDATE(Q$1,1),Log_2019[[#This Row],[Date]]),Log_2019[[#This Row],[Split_apply]])) - SUM($O209:P209)</f>
        <v>0</v>
      </c>
      <c r="R209" s="52">
        <f ca="1">Log_2019[[#This Row],[Amount]]/Log_2019[[#This Row],[Split_raw]]*MAX(0,MIN(_xlfn.DAYS(EDATE(R$1,1),Log_2019[[#This Row],[Date]]),Log_2019[[#This Row],[Split_apply]])) - SUM($O209:Q209)</f>
        <v>0</v>
      </c>
      <c r="S209" s="52">
        <f ca="1">Log_2019[[#This Row],[Amount]]/Log_2019[[#This Row],[Split_raw]]*MAX(0,MIN(_xlfn.DAYS(EDATE(S$1,1),Log_2019[[#This Row],[Date]]),Log_2019[[#This Row],[Split_apply]])) - SUM($O209:R209)</f>
        <v>0</v>
      </c>
      <c r="T209" s="52">
        <f ca="1">Log_2019[[#This Row],[Amount]]/Log_2019[[#This Row],[Split_raw]]*MAX(0,MIN(_xlfn.DAYS(EDATE(T$1,1),Log_2019[[#This Row],[Date]]),Log_2019[[#This Row],[Split_apply]])) - SUM($O209:S209)</f>
        <v>0</v>
      </c>
      <c r="U209" s="52">
        <f ca="1">Log_2019[[#This Row],[Amount]]/Log_2019[[#This Row],[Split_raw]]*MAX(0,MIN(_xlfn.DAYS(EDATE(U$1,1),Log_2019[[#This Row],[Date]]),Log_2019[[#This Row],[Split_apply]])) - SUM($O209:T209)</f>
        <v>0</v>
      </c>
      <c r="V209" s="52">
        <f ca="1">Log_2019[[#This Row],[Amount]]/Log_2019[[#This Row],[Split_raw]]*MAX(0,MIN(_xlfn.DAYS(EDATE(V$1,1),Log_2019[[#This Row],[Date]]),Log_2019[[#This Row],[Split_apply]])) - SUM($O209:U209)</f>
        <v>0</v>
      </c>
      <c r="W209" s="52">
        <f ca="1">Log_2019[[#This Row],[Amount]]/Log_2019[[#This Row],[Split_raw]]*MAX(0,MIN(_xlfn.DAYS(EDATE(W$1,1),Log_2019[[#This Row],[Date]]),Log_2019[[#This Row],[Split_apply]])) - SUM($O209:V209)</f>
        <v>0</v>
      </c>
      <c r="X209" s="52">
        <f ca="1">Log_2019[[#This Row],[Amount]]/Log_2019[[#This Row],[Split_raw]]*MAX(0,MIN(_xlfn.DAYS(EDATE(X$1,1),Log_2019[[#This Row],[Date]]),Log_2019[[#This Row],[Split_apply]])) - SUM($O209:W209)</f>
        <v>-9.57</v>
      </c>
      <c r="Y209" s="52">
        <f ca="1">Log_2019[[#This Row],[Amount]]/Log_2019[[#This Row],[Split_raw]]*MAX(0,MIN(_xlfn.DAYS(EDATE(Y$1,1),Log_2019[[#This Row],[Date]]),Log_2019[[#This Row],[Split_apply]])) - SUM($O209:X209)</f>
        <v>0</v>
      </c>
      <c r="Z209" s="52">
        <f ca="1">Log_2019[[#This Row],[Amount]]/Log_2019[[#This Row],[Split_raw]]*MAX(0,MIN(_xlfn.DAYS(EDATE(Z$1,1),Log_2019[[#This Row],[Date]]),Log_2019[[#This Row],[Split_apply]])) - SUM($O209:Y209)</f>
        <v>0</v>
      </c>
      <c r="AA209" s="52">
        <f ca="1">Log_2019[[#This Row],[Amount]]/Log_2019[[#This Row],[Split_raw]]*MAX(0,MIN(_xlfn.DAYS(EDATE(AA$1,1),Log_2019[[#This Row],[Date]]),Log_2019[[#This Row],[Split_apply]])) - SUM($O209:Z209)</f>
        <v>0</v>
      </c>
      <c r="AB209" s="54">
        <f ca="1">Log_2019[[#This Row],[Amount]]-SUM(O209:AA209)</f>
        <v>0</v>
      </c>
      <c r="AC209" s="7">
        <f>MAX(0,Log_2019[[#This Row],[Split_raw]] - (EDATE(AA$1,1)-Log_2019[[#This Row],[Date]]))</f>
        <v>0</v>
      </c>
    </row>
    <row r="210" spans="1:29" x14ac:dyDescent="0.25">
      <c r="A210" s="42"/>
      <c r="B210" s="34" t="s">
        <v>6</v>
      </c>
      <c r="C210" s="34"/>
      <c r="D210" s="35">
        <v>43723</v>
      </c>
      <c r="E210" s="34"/>
      <c r="F210" s="34" t="s">
        <v>710</v>
      </c>
      <c r="G210" s="34" t="s">
        <v>10</v>
      </c>
      <c r="H210">
        <v>-21.82</v>
      </c>
      <c r="I210" s="36">
        <f>IF(Log_2019[[#This Row],[My Category]]="NONTRACKED",0,Log_2019[[#This Row],[Raw Amount]])</f>
        <v>-21.82</v>
      </c>
      <c r="J210" s="37">
        <f>ABS(Log_2019[[#This Row],[Amount]])</f>
        <v>21.82</v>
      </c>
      <c r="K210" s="38">
        <v>1</v>
      </c>
      <c r="L210" s="38">
        <f ca="1">IF(Log_2019[[#This Row],[Date]]&lt;=TODAY(), MIN(Log_2019[[#This Row],[Split_raw]], TODAY()-Log_2019[[#This Row],[Date]]+1), 0)</f>
        <v>1</v>
      </c>
      <c r="M210" s="34" t="s">
        <v>52</v>
      </c>
      <c r="N210" s="34" t="s">
        <v>158</v>
      </c>
      <c r="O210" s="7">
        <v>0</v>
      </c>
      <c r="P210" s="52">
        <f ca="1">Log_2019[[#This Row],[Amount]]/Log_2019[[#This Row],[Split_raw]]*MAX(0,MIN(_xlfn.DAYS(EDATE(P$1,1),Log_2019[[#This Row],[Date]]),Log_2019[[#This Row],[Split_apply]])) - SUM($O210:O210)</f>
        <v>0</v>
      </c>
      <c r="Q210" s="52">
        <f ca="1">Log_2019[[#This Row],[Amount]]/Log_2019[[#This Row],[Split_raw]]*MAX(0,MIN(_xlfn.DAYS(EDATE(Q$1,1),Log_2019[[#This Row],[Date]]),Log_2019[[#This Row],[Split_apply]])) - SUM($O210:P210)</f>
        <v>0</v>
      </c>
      <c r="R210" s="52">
        <f ca="1">Log_2019[[#This Row],[Amount]]/Log_2019[[#This Row],[Split_raw]]*MAX(0,MIN(_xlfn.DAYS(EDATE(R$1,1),Log_2019[[#This Row],[Date]]),Log_2019[[#This Row],[Split_apply]])) - SUM($O210:Q210)</f>
        <v>0</v>
      </c>
      <c r="S210" s="52">
        <f ca="1">Log_2019[[#This Row],[Amount]]/Log_2019[[#This Row],[Split_raw]]*MAX(0,MIN(_xlfn.DAYS(EDATE(S$1,1),Log_2019[[#This Row],[Date]]),Log_2019[[#This Row],[Split_apply]])) - SUM($O210:R210)</f>
        <v>0</v>
      </c>
      <c r="T210" s="52">
        <f ca="1">Log_2019[[#This Row],[Amount]]/Log_2019[[#This Row],[Split_raw]]*MAX(0,MIN(_xlfn.DAYS(EDATE(T$1,1),Log_2019[[#This Row],[Date]]),Log_2019[[#This Row],[Split_apply]])) - SUM($O210:S210)</f>
        <v>0</v>
      </c>
      <c r="U210" s="52">
        <f ca="1">Log_2019[[#This Row],[Amount]]/Log_2019[[#This Row],[Split_raw]]*MAX(0,MIN(_xlfn.DAYS(EDATE(U$1,1),Log_2019[[#This Row],[Date]]),Log_2019[[#This Row],[Split_apply]])) - SUM($O210:T210)</f>
        <v>0</v>
      </c>
      <c r="V210" s="52">
        <f ca="1">Log_2019[[#This Row],[Amount]]/Log_2019[[#This Row],[Split_raw]]*MAX(0,MIN(_xlfn.DAYS(EDATE(V$1,1),Log_2019[[#This Row],[Date]]),Log_2019[[#This Row],[Split_apply]])) - SUM($O210:U210)</f>
        <v>0</v>
      </c>
      <c r="W210" s="52">
        <f ca="1">Log_2019[[#This Row],[Amount]]/Log_2019[[#This Row],[Split_raw]]*MAX(0,MIN(_xlfn.DAYS(EDATE(W$1,1),Log_2019[[#This Row],[Date]]),Log_2019[[#This Row],[Split_apply]])) - SUM($O210:V210)</f>
        <v>0</v>
      </c>
      <c r="X210" s="52">
        <f ca="1">Log_2019[[#This Row],[Amount]]/Log_2019[[#This Row],[Split_raw]]*MAX(0,MIN(_xlfn.DAYS(EDATE(X$1,1),Log_2019[[#This Row],[Date]]),Log_2019[[#This Row],[Split_apply]])) - SUM($O210:W210)</f>
        <v>-21.82</v>
      </c>
      <c r="Y210" s="52">
        <f ca="1">Log_2019[[#This Row],[Amount]]/Log_2019[[#This Row],[Split_raw]]*MAX(0,MIN(_xlfn.DAYS(EDATE(Y$1,1),Log_2019[[#This Row],[Date]]),Log_2019[[#This Row],[Split_apply]])) - SUM($O210:X210)</f>
        <v>0</v>
      </c>
      <c r="Z210" s="52">
        <f ca="1">Log_2019[[#This Row],[Amount]]/Log_2019[[#This Row],[Split_raw]]*MAX(0,MIN(_xlfn.DAYS(EDATE(Z$1,1),Log_2019[[#This Row],[Date]]),Log_2019[[#This Row],[Split_apply]])) - SUM($O210:Y210)</f>
        <v>0</v>
      </c>
      <c r="AA210" s="52">
        <f ca="1">Log_2019[[#This Row],[Amount]]/Log_2019[[#This Row],[Split_raw]]*MAX(0,MIN(_xlfn.DAYS(EDATE(AA$1,1),Log_2019[[#This Row],[Date]]),Log_2019[[#This Row],[Split_apply]])) - SUM($O210:Z210)</f>
        <v>0</v>
      </c>
      <c r="AB210" s="54">
        <f ca="1">Log_2019[[#This Row],[Amount]]-SUM(O210:AA210)</f>
        <v>0</v>
      </c>
      <c r="AC210" s="7">
        <f>MAX(0,Log_2019[[#This Row],[Split_raw]] - (EDATE(AA$1,1)-Log_2019[[#This Row],[Date]]))</f>
        <v>0</v>
      </c>
    </row>
    <row r="211" spans="1:29" x14ac:dyDescent="0.25">
      <c r="A211" s="42"/>
      <c r="B211" s="34" t="s">
        <v>6</v>
      </c>
      <c r="C211" s="34"/>
      <c r="D211" s="35">
        <v>43723</v>
      </c>
      <c r="E211" s="34" t="s">
        <v>742</v>
      </c>
      <c r="F211" s="34" t="s">
        <v>711</v>
      </c>
      <c r="G211" s="34" t="s">
        <v>27</v>
      </c>
      <c r="H211">
        <v>-9.1</v>
      </c>
      <c r="I211" s="36">
        <f>IF(Log_2019[[#This Row],[My Category]]="NONTRACKED",0,Log_2019[[#This Row],[Raw Amount]])</f>
        <v>-9.1</v>
      </c>
      <c r="J211" s="37">
        <f>ABS(Log_2019[[#This Row],[Amount]])</f>
        <v>9.1</v>
      </c>
      <c r="K211" s="38">
        <v>1</v>
      </c>
      <c r="L211" s="38">
        <f ca="1">IF(Log_2019[[#This Row],[Date]]&lt;=TODAY(), MIN(Log_2019[[#This Row],[Split_raw]], TODAY()-Log_2019[[#This Row],[Date]]+1), 0)</f>
        <v>1</v>
      </c>
      <c r="M211" s="34" t="s">
        <v>37</v>
      </c>
      <c r="N211" s="34" t="s">
        <v>158</v>
      </c>
      <c r="O211" s="7">
        <v>0</v>
      </c>
      <c r="P211" s="52">
        <f ca="1">Log_2019[[#This Row],[Amount]]/Log_2019[[#This Row],[Split_raw]]*MAX(0,MIN(_xlfn.DAYS(EDATE(P$1,1),Log_2019[[#This Row],[Date]]),Log_2019[[#This Row],[Split_apply]])) - SUM($O211:O211)</f>
        <v>0</v>
      </c>
      <c r="Q211" s="52">
        <f ca="1">Log_2019[[#This Row],[Amount]]/Log_2019[[#This Row],[Split_raw]]*MAX(0,MIN(_xlfn.DAYS(EDATE(Q$1,1),Log_2019[[#This Row],[Date]]),Log_2019[[#This Row],[Split_apply]])) - SUM($O211:P211)</f>
        <v>0</v>
      </c>
      <c r="R211" s="52">
        <f ca="1">Log_2019[[#This Row],[Amount]]/Log_2019[[#This Row],[Split_raw]]*MAX(0,MIN(_xlfn.DAYS(EDATE(R$1,1),Log_2019[[#This Row],[Date]]),Log_2019[[#This Row],[Split_apply]])) - SUM($O211:Q211)</f>
        <v>0</v>
      </c>
      <c r="S211" s="52">
        <f ca="1">Log_2019[[#This Row],[Amount]]/Log_2019[[#This Row],[Split_raw]]*MAX(0,MIN(_xlfn.DAYS(EDATE(S$1,1),Log_2019[[#This Row],[Date]]),Log_2019[[#This Row],[Split_apply]])) - SUM($O211:R211)</f>
        <v>0</v>
      </c>
      <c r="T211" s="52">
        <f ca="1">Log_2019[[#This Row],[Amount]]/Log_2019[[#This Row],[Split_raw]]*MAX(0,MIN(_xlfn.DAYS(EDATE(T$1,1),Log_2019[[#This Row],[Date]]),Log_2019[[#This Row],[Split_apply]])) - SUM($O211:S211)</f>
        <v>0</v>
      </c>
      <c r="U211" s="52">
        <f ca="1">Log_2019[[#This Row],[Amount]]/Log_2019[[#This Row],[Split_raw]]*MAX(0,MIN(_xlfn.DAYS(EDATE(U$1,1),Log_2019[[#This Row],[Date]]),Log_2019[[#This Row],[Split_apply]])) - SUM($O211:T211)</f>
        <v>0</v>
      </c>
      <c r="V211" s="52">
        <f ca="1">Log_2019[[#This Row],[Amount]]/Log_2019[[#This Row],[Split_raw]]*MAX(0,MIN(_xlfn.DAYS(EDATE(V$1,1),Log_2019[[#This Row],[Date]]),Log_2019[[#This Row],[Split_apply]])) - SUM($O211:U211)</f>
        <v>0</v>
      </c>
      <c r="W211" s="52">
        <f ca="1">Log_2019[[#This Row],[Amount]]/Log_2019[[#This Row],[Split_raw]]*MAX(0,MIN(_xlfn.DAYS(EDATE(W$1,1),Log_2019[[#This Row],[Date]]),Log_2019[[#This Row],[Split_apply]])) - SUM($O211:V211)</f>
        <v>0</v>
      </c>
      <c r="X211" s="52">
        <f ca="1">Log_2019[[#This Row],[Amount]]/Log_2019[[#This Row],[Split_raw]]*MAX(0,MIN(_xlfn.DAYS(EDATE(X$1,1),Log_2019[[#This Row],[Date]]),Log_2019[[#This Row],[Split_apply]])) - SUM($O211:W211)</f>
        <v>-9.1</v>
      </c>
      <c r="Y211" s="52">
        <f ca="1">Log_2019[[#This Row],[Amount]]/Log_2019[[#This Row],[Split_raw]]*MAX(0,MIN(_xlfn.DAYS(EDATE(Y$1,1),Log_2019[[#This Row],[Date]]),Log_2019[[#This Row],[Split_apply]])) - SUM($O211:X211)</f>
        <v>0</v>
      </c>
      <c r="Z211" s="52">
        <f ca="1">Log_2019[[#This Row],[Amount]]/Log_2019[[#This Row],[Split_raw]]*MAX(0,MIN(_xlfn.DAYS(EDATE(Z$1,1),Log_2019[[#This Row],[Date]]),Log_2019[[#This Row],[Split_apply]])) - SUM($O211:Y211)</f>
        <v>0</v>
      </c>
      <c r="AA211" s="52">
        <f ca="1">Log_2019[[#This Row],[Amount]]/Log_2019[[#This Row],[Split_raw]]*MAX(0,MIN(_xlfn.DAYS(EDATE(AA$1,1),Log_2019[[#This Row],[Date]]),Log_2019[[#This Row],[Split_apply]])) - SUM($O211:Z211)</f>
        <v>0</v>
      </c>
      <c r="AB211" s="54">
        <f ca="1">Log_2019[[#This Row],[Amount]]-SUM(O211:AA211)</f>
        <v>0</v>
      </c>
      <c r="AC211" s="7">
        <f>MAX(0,Log_2019[[#This Row],[Split_raw]] - (EDATE(AA$1,1)-Log_2019[[#This Row],[Date]]))</f>
        <v>0</v>
      </c>
    </row>
    <row r="212" spans="1:29" x14ac:dyDescent="0.25">
      <c r="A212" s="42"/>
      <c r="B212" s="34" t="s">
        <v>6</v>
      </c>
      <c r="C212" s="34"/>
      <c r="D212" s="35">
        <v>43723</v>
      </c>
      <c r="E212" s="34" t="s">
        <v>887</v>
      </c>
      <c r="F212" s="34" t="s">
        <v>712</v>
      </c>
      <c r="G212" s="34" t="s">
        <v>9</v>
      </c>
      <c r="H212">
        <v>-58.4</v>
      </c>
      <c r="I212" s="36">
        <f>IF(Log_2019[[#This Row],[My Category]]="NONTRACKED",0,Log_2019[[#This Row],[Raw Amount]])</f>
        <v>-58.4</v>
      </c>
      <c r="J212" s="37">
        <f>ABS(Log_2019[[#This Row],[Amount]])</f>
        <v>58.4</v>
      </c>
      <c r="K212" s="38">
        <v>1</v>
      </c>
      <c r="L212" s="38">
        <f ca="1">IF(Log_2019[[#This Row],[Date]]&lt;=TODAY(), MIN(Log_2019[[#This Row],[Split_raw]], TODAY()-Log_2019[[#This Row],[Date]]+1), 0)</f>
        <v>1</v>
      </c>
      <c r="M212" s="34" t="s">
        <v>37</v>
      </c>
      <c r="N212" s="34" t="s">
        <v>158</v>
      </c>
      <c r="O212" s="7">
        <v>0</v>
      </c>
      <c r="P212" s="52">
        <f ca="1">Log_2019[[#This Row],[Amount]]/Log_2019[[#This Row],[Split_raw]]*MAX(0,MIN(_xlfn.DAYS(EDATE(P$1,1),Log_2019[[#This Row],[Date]]),Log_2019[[#This Row],[Split_apply]])) - SUM($O212:O212)</f>
        <v>0</v>
      </c>
      <c r="Q212" s="52">
        <f ca="1">Log_2019[[#This Row],[Amount]]/Log_2019[[#This Row],[Split_raw]]*MAX(0,MIN(_xlfn.DAYS(EDATE(Q$1,1),Log_2019[[#This Row],[Date]]),Log_2019[[#This Row],[Split_apply]])) - SUM($O212:P212)</f>
        <v>0</v>
      </c>
      <c r="R212" s="52">
        <f ca="1">Log_2019[[#This Row],[Amount]]/Log_2019[[#This Row],[Split_raw]]*MAX(0,MIN(_xlfn.DAYS(EDATE(R$1,1),Log_2019[[#This Row],[Date]]),Log_2019[[#This Row],[Split_apply]])) - SUM($O212:Q212)</f>
        <v>0</v>
      </c>
      <c r="S212" s="52">
        <f ca="1">Log_2019[[#This Row],[Amount]]/Log_2019[[#This Row],[Split_raw]]*MAX(0,MIN(_xlfn.DAYS(EDATE(S$1,1),Log_2019[[#This Row],[Date]]),Log_2019[[#This Row],[Split_apply]])) - SUM($O212:R212)</f>
        <v>0</v>
      </c>
      <c r="T212" s="52">
        <f ca="1">Log_2019[[#This Row],[Amount]]/Log_2019[[#This Row],[Split_raw]]*MAX(0,MIN(_xlfn.DAYS(EDATE(T$1,1),Log_2019[[#This Row],[Date]]),Log_2019[[#This Row],[Split_apply]])) - SUM($O212:S212)</f>
        <v>0</v>
      </c>
      <c r="U212" s="52">
        <f ca="1">Log_2019[[#This Row],[Amount]]/Log_2019[[#This Row],[Split_raw]]*MAX(0,MIN(_xlfn.DAYS(EDATE(U$1,1),Log_2019[[#This Row],[Date]]),Log_2019[[#This Row],[Split_apply]])) - SUM($O212:T212)</f>
        <v>0</v>
      </c>
      <c r="V212" s="52">
        <f ca="1">Log_2019[[#This Row],[Amount]]/Log_2019[[#This Row],[Split_raw]]*MAX(0,MIN(_xlfn.DAYS(EDATE(V$1,1),Log_2019[[#This Row],[Date]]),Log_2019[[#This Row],[Split_apply]])) - SUM($O212:U212)</f>
        <v>0</v>
      </c>
      <c r="W212" s="52">
        <f ca="1">Log_2019[[#This Row],[Amount]]/Log_2019[[#This Row],[Split_raw]]*MAX(0,MIN(_xlfn.DAYS(EDATE(W$1,1),Log_2019[[#This Row],[Date]]),Log_2019[[#This Row],[Split_apply]])) - SUM($O212:V212)</f>
        <v>0</v>
      </c>
      <c r="X212" s="52">
        <f ca="1">Log_2019[[#This Row],[Amount]]/Log_2019[[#This Row],[Split_raw]]*MAX(0,MIN(_xlfn.DAYS(EDATE(X$1,1),Log_2019[[#This Row],[Date]]),Log_2019[[#This Row],[Split_apply]])) - SUM($O212:W212)</f>
        <v>-58.4</v>
      </c>
      <c r="Y212" s="52">
        <f ca="1">Log_2019[[#This Row],[Amount]]/Log_2019[[#This Row],[Split_raw]]*MAX(0,MIN(_xlfn.DAYS(EDATE(Y$1,1),Log_2019[[#This Row],[Date]]),Log_2019[[#This Row],[Split_apply]])) - SUM($O212:X212)</f>
        <v>0</v>
      </c>
      <c r="Z212" s="52">
        <f ca="1">Log_2019[[#This Row],[Amount]]/Log_2019[[#This Row],[Split_raw]]*MAX(0,MIN(_xlfn.DAYS(EDATE(Z$1,1),Log_2019[[#This Row],[Date]]),Log_2019[[#This Row],[Split_apply]])) - SUM($O212:Y212)</f>
        <v>0</v>
      </c>
      <c r="AA212" s="52">
        <f ca="1">Log_2019[[#This Row],[Amount]]/Log_2019[[#This Row],[Split_raw]]*MAX(0,MIN(_xlfn.DAYS(EDATE(AA$1,1),Log_2019[[#This Row],[Date]]),Log_2019[[#This Row],[Split_apply]])) - SUM($O212:Z212)</f>
        <v>0</v>
      </c>
      <c r="AB212" s="54">
        <f ca="1">Log_2019[[#This Row],[Amount]]-SUM(O212:AA212)</f>
        <v>0</v>
      </c>
      <c r="AC212" s="7">
        <f>MAX(0,Log_2019[[#This Row],[Split_raw]] - (EDATE(AA$1,1)-Log_2019[[#This Row],[Date]]))</f>
        <v>0</v>
      </c>
    </row>
    <row r="213" spans="1:29" x14ac:dyDescent="0.25">
      <c r="A213" s="42"/>
      <c r="B213" s="34" t="s">
        <v>6</v>
      </c>
      <c r="C213" s="34"/>
      <c r="D213" s="35">
        <v>43721</v>
      </c>
      <c r="E213" s="34"/>
      <c r="F213" s="34" t="s">
        <v>698</v>
      </c>
      <c r="G213" s="34" t="s">
        <v>25</v>
      </c>
      <c r="H213">
        <v>-11.34</v>
      </c>
      <c r="I213" s="36">
        <f>IF(Log_2019[[#This Row],[My Category]]="NONTRACKED",0,Log_2019[[#This Row],[Raw Amount]])</f>
        <v>-11.34</v>
      </c>
      <c r="J213" s="37">
        <f>ABS(Log_2019[[#This Row],[Amount]])</f>
        <v>11.34</v>
      </c>
      <c r="K213" s="38">
        <v>1</v>
      </c>
      <c r="L213" s="38">
        <f ca="1">IF(Log_2019[[#This Row],[Date]]&lt;=TODAY(), MIN(Log_2019[[#This Row],[Split_raw]], TODAY()-Log_2019[[#This Row],[Date]]+1), 0)</f>
        <v>1</v>
      </c>
      <c r="M213" s="34" t="s">
        <v>35</v>
      </c>
      <c r="N213" s="34" t="s">
        <v>158</v>
      </c>
      <c r="O213" s="7">
        <v>0</v>
      </c>
      <c r="P213" s="52">
        <f ca="1">Log_2019[[#This Row],[Amount]]/Log_2019[[#This Row],[Split_raw]]*MAX(0,MIN(_xlfn.DAYS(EDATE(P$1,1),Log_2019[[#This Row],[Date]]),Log_2019[[#This Row],[Split_apply]])) - SUM($O213:O213)</f>
        <v>0</v>
      </c>
      <c r="Q213" s="52">
        <f ca="1">Log_2019[[#This Row],[Amount]]/Log_2019[[#This Row],[Split_raw]]*MAX(0,MIN(_xlfn.DAYS(EDATE(Q$1,1),Log_2019[[#This Row],[Date]]),Log_2019[[#This Row],[Split_apply]])) - SUM($O213:P213)</f>
        <v>0</v>
      </c>
      <c r="R213" s="52">
        <f ca="1">Log_2019[[#This Row],[Amount]]/Log_2019[[#This Row],[Split_raw]]*MAX(0,MIN(_xlfn.DAYS(EDATE(R$1,1),Log_2019[[#This Row],[Date]]),Log_2019[[#This Row],[Split_apply]])) - SUM($O213:Q213)</f>
        <v>0</v>
      </c>
      <c r="S213" s="52">
        <f ca="1">Log_2019[[#This Row],[Amount]]/Log_2019[[#This Row],[Split_raw]]*MAX(0,MIN(_xlfn.DAYS(EDATE(S$1,1),Log_2019[[#This Row],[Date]]),Log_2019[[#This Row],[Split_apply]])) - SUM($O213:R213)</f>
        <v>0</v>
      </c>
      <c r="T213" s="52">
        <f ca="1">Log_2019[[#This Row],[Amount]]/Log_2019[[#This Row],[Split_raw]]*MAX(0,MIN(_xlfn.DAYS(EDATE(T$1,1),Log_2019[[#This Row],[Date]]),Log_2019[[#This Row],[Split_apply]])) - SUM($O213:S213)</f>
        <v>0</v>
      </c>
      <c r="U213" s="52">
        <f ca="1">Log_2019[[#This Row],[Amount]]/Log_2019[[#This Row],[Split_raw]]*MAX(0,MIN(_xlfn.DAYS(EDATE(U$1,1),Log_2019[[#This Row],[Date]]),Log_2019[[#This Row],[Split_apply]])) - SUM($O213:T213)</f>
        <v>0</v>
      </c>
      <c r="V213" s="52">
        <f ca="1">Log_2019[[#This Row],[Amount]]/Log_2019[[#This Row],[Split_raw]]*MAX(0,MIN(_xlfn.DAYS(EDATE(V$1,1),Log_2019[[#This Row],[Date]]),Log_2019[[#This Row],[Split_apply]])) - SUM($O213:U213)</f>
        <v>0</v>
      </c>
      <c r="W213" s="52">
        <f ca="1">Log_2019[[#This Row],[Amount]]/Log_2019[[#This Row],[Split_raw]]*MAX(0,MIN(_xlfn.DAYS(EDATE(W$1,1),Log_2019[[#This Row],[Date]]),Log_2019[[#This Row],[Split_apply]])) - SUM($O213:V213)</f>
        <v>0</v>
      </c>
      <c r="X213" s="52">
        <f ca="1">Log_2019[[#This Row],[Amount]]/Log_2019[[#This Row],[Split_raw]]*MAX(0,MIN(_xlfn.DAYS(EDATE(X$1,1),Log_2019[[#This Row],[Date]]),Log_2019[[#This Row],[Split_apply]])) - SUM($O213:W213)</f>
        <v>-11.34</v>
      </c>
      <c r="Y213" s="52">
        <f ca="1">Log_2019[[#This Row],[Amount]]/Log_2019[[#This Row],[Split_raw]]*MAX(0,MIN(_xlfn.DAYS(EDATE(Y$1,1),Log_2019[[#This Row],[Date]]),Log_2019[[#This Row],[Split_apply]])) - SUM($O213:X213)</f>
        <v>0</v>
      </c>
      <c r="Z213" s="52">
        <f ca="1">Log_2019[[#This Row],[Amount]]/Log_2019[[#This Row],[Split_raw]]*MAX(0,MIN(_xlfn.DAYS(EDATE(Z$1,1),Log_2019[[#This Row],[Date]]),Log_2019[[#This Row],[Split_apply]])) - SUM($O213:Y213)</f>
        <v>0</v>
      </c>
      <c r="AA213" s="52">
        <f ca="1">Log_2019[[#This Row],[Amount]]/Log_2019[[#This Row],[Split_raw]]*MAX(0,MIN(_xlfn.DAYS(EDATE(AA$1,1),Log_2019[[#This Row],[Date]]),Log_2019[[#This Row],[Split_apply]])) - SUM($O213:Z213)</f>
        <v>0</v>
      </c>
      <c r="AB213" s="54">
        <f ca="1">Log_2019[[#This Row],[Amount]]-SUM(O213:AA213)</f>
        <v>0</v>
      </c>
      <c r="AC213" s="7">
        <f>MAX(0,Log_2019[[#This Row],[Split_raw]] - (EDATE(AA$1,1)-Log_2019[[#This Row],[Date]]))</f>
        <v>0</v>
      </c>
    </row>
    <row r="214" spans="1:29" x14ac:dyDescent="0.25">
      <c r="A214" s="42"/>
      <c r="B214" s="34" t="s">
        <v>6</v>
      </c>
      <c r="C214" s="34"/>
      <c r="D214" s="35">
        <v>43720</v>
      </c>
      <c r="E214" s="34"/>
      <c r="F214" s="34" t="s">
        <v>569</v>
      </c>
      <c r="G214" s="34" t="s">
        <v>80</v>
      </c>
      <c r="H214">
        <f>--1898.47</f>
        <v>1898.47</v>
      </c>
      <c r="I214" s="36">
        <f>IF(Log_2019[[#This Row],[My Category]]="NONTRACKED",0,Log_2019[[#This Row],[Raw Amount]])</f>
        <v>1898.47</v>
      </c>
      <c r="J214" s="37">
        <f>ABS(Log_2019[[#This Row],[Amount]])</f>
        <v>1898.47</v>
      </c>
      <c r="K214" s="38">
        <v>14</v>
      </c>
      <c r="L214" s="38">
        <f ca="1">IF(Log_2019[[#This Row],[Date]]&lt;=TODAY(), MIN(Log_2019[[#This Row],[Split_raw]], TODAY()-Log_2019[[#This Row],[Date]]+1), 0)</f>
        <v>14</v>
      </c>
      <c r="M214" s="34" t="s">
        <v>91</v>
      </c>
      <c r="N214" s="34" t="s">
        <v>160</v>
      </c>
      <c r="O214" s="7">
        <v>0</v>
      </c>
      <c r="P214" s="52">
        <f ca="1">Log_2019[[#This Row],[Amount]]/Log_2019[[#This Row],[Split_raw]]*MAX(0,MIN(_xlfn.DAYS(EDATE(P$1,1),Log_2019[[#This Row],[Date]]),Log_2019[[#This Row],[Split_apply]])) - SUM($O214:O214)</f>
        <v>0</v>
      </c>
      <c r="Q214" s="52">
        <f ca="1">Log_2019[[#This Row],[Amount]]/Log_2019[[#This Row],[Split_raw]]*MAX(0,MIN(_xlfn.DAYS(EDATE(Q$1,1),Log_2019[[#This Row],[Date]]),Log_2019[[#This Row],[Split_apply]])) - SUM($O214:P214)</f>
        <v>0</v>
      </c>
      <c r="R214" s="52">
        <f ca="1">Log_2019[[#This Row],[Amount]]/Log_2019[[#This Row],[Split_raw]]*MAX(0,MIN(_xlfn.DAYS(EDATE(R$1,1),Log_2019[[#This Row],[Date]]),Log_2019[[#This Row],[Split_apply]])) - SUM($O214:Q214)</f>
        <v>0</v>
      </c>
      <c r="S214" s="52">
        <f ca="1">Log_2019[[#This Row],[Amount]]/Log_2019[[#This Row],[Split_raw]]*MAX(0,MIN(_xlfn.DAYS(EDATE(S$1,1),Log_2019[[#This Row],[Date]]),Log_2019[[#This Row],[Split_apply]])) - SUM($O214:R214)</f>
        <v>0</v>
      </c>
      <c r="T214" s="52">
        <f ca="1">Log_2019[[#This Row],[Amount]]/Log_2019[[#This Row],[Split_raw]]*MAX(0,MIN(_xlfn.DAYS(EDATE(T$1,1),Log_2019[[#This Row],[Date]]),Log_2019[[#This Row],[Split_apply]])) - SUM($O214:S214)</f>
        <v>0</v>
      </c>
      <c r="U214" s="52">
        <f ca="1">Log_2019[[#This Row],[Amount]]/Log_2019[[#This Row],[Split_raw]]*MAX(0,MIN(_xlfn.DAYS(EDATE(U$1,1),Log_2019[[#This Row],[Date]]),Log_2019[[#This Row],[Split_apply]])) - SUM($O214:T214)</f>
        <v>0</v>
      </c>
      <c r="V214" s="52">
        <f ca="1">Log_2019[[#This Row],[Amount]]/Log_2019[[#This Row],[Split_raw]]*MAX(0,MIN(_xlfn.DAYS(EDATE(V$1,1),Log_2019[[#This Row],[Date]]),Log_2019[[#This Row],[Split_apply]])) - SUM($O214:U214)</f>
        <v>0</v>
      </c>
      <c r="W214" s="52">
        <f ca="1">Log_2019[[#This Row],[Amount]]/Log_2019[[#This Row],[Split_raw]]*MAX(0,MIN(_xlfn.DAYS(EDATE(W$1,1),Log_2019[[#This Row],[Date]]),Log_2019[[#This Row],[Split_apply]])) - SUM($O214:V214)</f>
        <v>0</v>
      </c>
      <c r="X214" s="52">
        <f ca="1">Log_2019[[#This Row],[Amount]]/Log_2019[[#This Row],[Split_raw]]*MAX(0,MIN(_xlfn.DAYS(EDATE(X$1,1),Log_2019[[#This Row],[Date]]),Log_2019[[#This Row],[Split_apply]])) - SUM($O214:W214)</f>
        <v>1898.4699999999998</v>
      </c>
      <c r="Y214" s="52">
        <f ca="1">Log_2019[[#This Row],[Amount]]/Log_2019[[#This Row],[Split_raw]]*MAX(0,MIN(_xlfn.DAYS(EDATE(Y$1,1),Log_2019[[#This Row],[Date]]),Log_2019[[#This Row],[Split_apply]])) - SUM($O214:X214)</f>
        <v>0</v>
      </c>
      <c r="Z214" s="52">
        <f ca="1">Log_2019[[#This Row],[Amount]]/Log_2019[[#This Row],[Split_raw]]*MAX(0,MIN(_xlfn.DAYS(EDATE(Z$1,1),Log_2019[[#This Row],[Date]]),Log_2019[[#This Row],[Split_apply]])) - SUM($O214:Y214)</f>
        <v>0</v>
      </c>
      <c r="AA214" s="52">
        <f ca="1">Log_2019[[#This Row],[Amount]]/Log_2019[[#This Row],[Split_raw]]*MAX(0,MIN(_xlfn.DAYS(EDATE(AA$1,1),Log_2019[[#This Row],[Date]]),Log_2019[[#This Row],[Split_apply]])) - SUM($O214:Z214)</f>
        <v>0</v>
      </c>
      <c r="AB214" s="54">
        <f ca="1">Log_2019[[#This Row],[Amount]]-SUM(O214:AA214)</f>
        <v>0</v>
      </c>
      <c r="AC214" s="7">
        <f>MAX(0,Log_2019[[#This Row],[Split_raw]] - (EDATE(AA$1,1)-Log_2019[[#This Row],[Date]]))</f>
        <v>0</v>
      </c>
    </row>
    <row r="215" spans="1:29" x14ac:dyDescent="0.25">
      <c r="A215" s="42"/>
      <c r="B215" s="34" t="s">
        <v>6</v>
      </c>
      <c r="C215" s="34"/>
      <c r="D215" s="35">
        <v>43720</v>
      </c>
      <c r="E215" s="34"/>
      <c r="F215" s="34" t="s">
        <v>270</v>
      </c>
      <c r="G215" s="34" t="s">
        <v>25</v>
      </c>
      <c r="H215">
        <v>-9.67</v>
      </c>
      <c r="I215" s="36">
        <f>IF(Log_2019[[#This Row],[My Category]]="NONTRACKED",0,Log_2019[[#This Row],[Raw Amount]])</f>
        <v>-9.67</v>
      </c>
      <c r="J215" s="37">
        <f>ABS(Log_2019[[#This Row],[Amount]])</f>
        <v>9.67</v>
      </c>
      <c r="K215" s="38">
        <v>1</v>
      </c>
      <c r="L215" s="38">
        <f ca="1">IF(Log_2019[[#This Row],[Date]]&lt;=TODAY(), MIN(Log_2019[[#This Row],[Split_raw]], TODAY()-Log_2019[[#This Row],[Date]]+1), 0)</f>
        <v>1</v>
      </c>
      <c r="M215" s="34" t="s">
        <v>35</v>
      </c>
      <c r="N215" s="34" t="s">
        <v>158</v>
      </c>
      <c r="O215" s="7">
        <v>0</v>
      </c>
      <c r="P215" s="52">
        <f ca="1">Log_2019[[#This Row],[Amount]]/Log_2019[[#This Row],[Split_raw]]*MAX(0,MIN(_xlfn.DAYS(EDATE(P$1,1),Log_2019[[#This Row],[Date]]),Log_2019[[#This Row],[Split_apply]])) - SUM($O215:O215)</f>
        <v>0</v>
      </c>
      <c r="Q215" s="52">
        <f ca="1">Log_2019[[#This Row],[Amount]]/Log_2019[[#This Row],[Split_raw]]*MAX(0,MIN(_xlfn.DAYS(EDATE(Q$1,1),Log_2019[[#This Row],[Date]]),Log_2019[[#This Row],[Split_apply]])) - SUM($O215:P215)</f>
        <v>0</v>
      </c>
      <c r="R215" s="52">
        <f ca="1">Log_2019[[#This Row],[Amount]]/Log_2019[[#This Row],[Split_raw]]*MAX(0,MIN(_xlfn.DAYS(EDATE(R$1,1),Log_2019[[#This Row],[Date]]),Log_2019[[#This Row],[Split_apply]])) - SUM($O215:Q215)</f>
        <v>0</v>
      </c>
      <c r="S215" s="52">
        <f ca="1">Log_2019[[#This Row],[Amount]]/Log_2019[[#This Row],[Split_raw]]*MAX(0,MIN(_xlfn.DAYS(EDATE(S$1,1),Log_2019[[#This Row],[Date]]),Log_2019[[#This Row],[Split_apply]])) - SUM($O215:R215)</f>
        <v>0</v>
      </c>
      <c r="T215" s="52">
        <f ca="1">Log_2019[[#This Row],[Amount]]/Log_2019[[#This Row],[Split_raw]]*MAX(0,MIN(_xlfn.DAYS(EDATE(T$1,1),Log_2019[[#This Row],[Date]]),Log_2019[[#This Row],[Split_apply]])) - SUM($O215:S215)</f>
        <v>0</v>
      </c>
      <c r="U215" s="52">
        <f ca="1">Log_2019[[#This Row],[Amount]]/Log_2019[[#This Row],[Split_raw]]*MAX(0,MIN(_xlfn.DAYS(EDATE(U$1,1),Log_2019[[#This Row],[Date]]),Log_2019[[#This Row],[Split_apply]])) - SUM($O215:T215)</f>
        <v>0</v>
      </c>
      <c r="V215" s="52">
        <f ca="1">Log_2019[[#This Row],[Amount]]/Log_2019[[#This Row],[Split_raw]]*MAX(0,MIN(_xlfn.DAYS(EDATE(V$1,1),Log_2019[[#This Row],[Date]]),Log_2019[[#This Row],[Split_apply]])) - SUM($O215:U215)</f>
        <v>0</v>
      </c>
      <c r="W215" s="52">
        <f ca="1">Log_2019[[#This Row],[Amount]]/Log_2019[[#This Row],[Split_raw]]*MAX(0,MIN(_xlfn.DAYS(EDATE(W$1,1),Log_2019[[#This Row],[Date]]),Log_2019[[#This Row],[Split_apply]])) - SUM($O215:V215)</f>
        <v>0</v>
      </c>
      <c r="X215" s="52">
        <f ca="1">Log_2019[[#This Row],[Amount]]/Log_2019[[#This Row],[Split_raw]]*MAX(0,MIN(_xlfn.DAYS(EDATE(X$1,1),Log_2019[[#This Row],[Date]]),Log_2019[[#This Row],[Split_apply]])) - SUM($O215:W215)</f>
        <v>-9.67</v>
      </c>
      <c r="Y215" s="52">
        <f ca="1">Log_2019[[#This Row],[Amount]]/Log_2019[[#This Row],[Split_raw]]*MAX(0,MIN(_xlfn.DAYS(EDATE(Y$1,1),Log_2019[[#This Row],[Date]]),Log_2019[[#This Row],[Split_apply]])) - SUM($O215:X215)</f>
        <v>0</v>
      </c>
      <c r="Z215" s="52">
        <f ca="1">Log_2019[[#This Row],[Amount]]/Log_2019[[#This Row],[Split_raw]]*MAX(0,MIN(_xlfn.DAYS(EDATE(Z$1,1),Log_2019[[#This Row],[Date]]),Log_2019[[#This Row],[Split_apply]])) - SUM($O215:Y215)</f>
        <v>0</v>
      </c>
      <c r="AA215" s="52">
        <f ca="1">Log_2019[[#This Row],[Amount]]/Log_2019[[#This Row],[Split_raw]]*MAX(0,MIN(_xlfn.DAYS(EDATE(AA$1,1),Log_2019[[#This Row],[Date]]),Log_2019[[#This Row],[Split_apply]])) - SUM($O215:Z215)</f>
        <v>0</v>
      </c>
      <c r="AB215" s="54">
        <f ca="1">Log_2019[[#This Row],[Amount]]-SUM(O215:AA215)</f>
        <v>0</v>
      </c>
      <c r="AC215" s="7">
        <f>MAX(0,Log_2019[[#This Row],[Split_raw]] - (EDATE(AA$1,1)-Log_2019[[#This Row],[Date]]))</f>
        <v>0</v>
      </c>
    </row>
    <row r="216" spans="1:29" x14ac:dyDescent="0.25">
      <c r="A216" s="42"/>
      <c r="B216" s="34" t="s">
        <v>6</v>
      </c>
      <c r="C216" s="34"/>
      <c r="D216" s="35">
        <v>43719</v>
      </c>
      <c r="E216" s="34"/>
      <c r="F216" s="34" t="s">
        <v>83</v>
      </c>
      <c r="G216" s="34" t="s">
        <v>15</v>
      </c>
      <c r="H216">
        <v>-222.66</v>
      </c>
      <c r="I216" s="36">
        <f>IF(Log_2019[[#This Row],[My Category]]="NONTRACKED",0,Log_2019[[#This Row],[Raw Amount]])</f>
        <v>-222.66</v>
      </c>
      <c r="J216" s="37">
        <f>ABS(Log_2019[[#This Row],[Amount]])</f>
        <v>222.66</v>
      </c>
      <c r="K216" s="38">
        <v>30</v>
      </c>
      <c r="L216" s="38">
        <f ca="1">IF(Log_2019[[#This Row],[Date]]&lt;=TODAY(), MIN(Log_2019[[#This Row],[Split_raw]], TODAY()-Log_2019[[#This Row],[Date]]+1), 0)</f>
        <v>30</v>
      </c>
      <c r="M216" s="34" t="s">
        <v>241</v>
      </c>
      <c r="N216" s="34" t="s">
        <v>160</v>
      </c>
      <c r="O216" s="7">
        <v>0</v>
      </c>
      <c r="P216" s="52">
        <f ca="1">Log_2019[[#This Row],[Amount]]/Log_2019[[#This Row],[Split_raw]]*MAX(0,MIN(_xlfn.DAYS(EDATE(P$1,1),Log_2019[[#This Row],[Date]]),Log_2019[[#This Row],[Split_apply]])) - SUM($O216:O216)</f>
        <v>0</v>
      </c>
      <c r="Q216" s="52">
        <f ca="1">Log_2019[[#This Row],[Amount]]/Log_2019[[#This Row],[Split_raw]]*MAX(0,MIN(_xlfn.DAYS(EDATE(Q$1,1),Log_2019[[#This Row],[Date]]),Log_2019[[#This Row],[Split_apply]])) - SUM($O216:P216)</f>
        <v>0</v>
      </c>
      <c r="R216" s="52">
        <f ca="1">Log_2019[[#This Row],[Amount]]/Log_2019[[#This Row],[Split_raw]]*MAX(0,MIN(_xlfn.DAYS(EDATE(R$1,1),Log_2019[[#This Row],[Date]]),Log_2019[[#This Row],[Split_apply]])) - SUM($O216:Q216)</f>
        <v>0</v>
      </c>
      <c r="S216" s="52">
        <f ca="1">Log_2019[[#This Row],[Amount]]/Log_2019[[#This Row],[Split_raw]]*MAX(0,MIN(_xlfn.DAYS(EDATE(S$1,1),Log_2019[[#This Row],[Date]]),Log_2019[[#This Row],[Split_apply]])) - SUM($O216:R216)</f>
        <v>0</v>
      </c>
      <c r="T216" s="52">
        <f ca="1">Log_2019[[#This Row],[Amount]]/Log_2019[[#This Row],[Split_raw]]*MAX(0,MIN(_xlfn.DAYS(EDATE(T$1,1),Log_2019[[#This Row],[Date]]),Log_2019[[#This Row],[Split_apply]])) - SUM($O216:S216)</f>
        <v>0</v>
      </c>
      <c r="U216" s="52">
        <f ca="1">Log_2019[[#This Row],[Amount]]/Log_2019[[#This Row],[Split_raw]]*MAX(0,MIN(_xlfn.DAYS(EDATE(U$1,1),Log_2019[[#This Row],[Date]]),Log_2019[[#This Row],[Split_apply]])) - SUM($O216:T216)</f>
        <v>0</v>
      </c>
      <c r="V216" s="52">
        <f ca="1">Log_2019[[#This Row],[Amount]]/Log_2019[[#This Row],[Split_raw]]*MAX(0,MIN(_xlfn.DAYS(EDATE(V$1,1),Log_2019[[#This Row],[Date]]),Log_2019[[#This Row],[Split_apply]])) - SUM($O216:U216)</f>
        <v>0</v>
      </c>
      <c r="W216" s="52">
        <f ca="1">Log_2019[[#This Row],[Amount]]/Log_2019[[#This Row],[Split_raw]]*MAX(0,MIN(_xlfn.DAYS(EDATE(W$1,1),Log_2019[[#This Row],[Date]]),Log_2019[[#This Row],[Split_apply]])) - SUM($O216:V216)</f>
        <v>0</v>
      </c>
      <c r="X216" s="52">
        <f ca="1">Log_2019[[#This Row],[Amount]]/Log_2019[[#This Row],[Split_raw]]*MAX(0,MIN(_xlfn.DAYS(EDATE(X$1,1),Log_2019[[#This Row],[Date]]),Log_2019[[#This Row],[Split_apply]])) - SUM($O216:W216)</f>
        <v>-148.44</v>
      </c>
      <c r="Y216" s="52">
        <f ca="1">Log_2019[[#This Row],[Amount]]/Log_2019[[#This Row],[Split_raw]]*MAX(0,MIN(_xlfn.DAYS(EDATE(Y$1,1),Log_2019[[#This Row],[Date]]),Log_2019[[#This Row],[Split_apply]])) - SUM($O216:X216)</f>
        <v>-74.22</v>
      </c>
      <c r="Z216" s="52">
        <f ca="1">Log_2019[[#This Row],[Amount]]/Log_2019[[#This Row],[Split_raw]]*MAX(0,MIN(_xlfn.DAYS(EDATE(Z$1,1),Log_2019[[#This Row],[Date]]),Log_2019[[#This Row],[Split_apply]])) - SUM($O216:Y216)</f>
        <v>0</v>
      </c>
      <c r="AA216" s="52">
        <f ca="1">Log_2019[[#This Row],[Amount]]/Log_2019[[#This Row],[Split_raw]]*MAX(0,MIN(_xlfn.DAYS(EDATE(AA$1,1),Log_2019[[#This Row],[Date]]),Log_2019[[#This Row],[Split_apply]])) - SUM($O216:Z216)</f>
        <v>0</v>
      </c>
      <c r="AB216" s="54">
        <f ca="1">Log_2019[[#This Row],[Amount]]-SUM(O216:AA216)</f>
        <v>0</v>
      </c>
      <c r="AC216" s="7">
        <f>MAX(0,Log_2019[[#This Row],[Split_raw]] - (EDATE(AA$1,1)-Log_2019[[#This Row],[Date]]))</f>
        <v>0</v>
      </c>
    </row>
    <row r="217" spans="1:29" x14ac:dyDescent="0.25">
      <c r="A217" s="42"/>
      <c r="B217" s="34" t="s">
        <v>6</v>
      </c>
      <c r="C217" s="34"/>
      <c r="D217" s="35">
        <v>43719</v>
      </c>
      <c r="E217" s="34"/>
      <c r="F217" s="34" t="s">
        <v>255</v>
      </c>
      <c r="G217" s="34" t="s">
        <v>10</v>
      </c>
      <c r="H217">
        <v>-6.69</v>
      </c>
      <c r="I217" s="36">
        <f>IF(Log_2019[[#This Row],[My Category]]="NONTRACKED",0,Log_2019[[#This Row],[Raw Amount]])</f>
        <v>-6.69</v>
      </c>
      <c r="J217" s="37">
        <f>ABS(Log_2019[[#This Row],[Amount]])</f>
        <v>6.69</v>
      </c>
      <c r="K217" s="38">
        <v>1</v>
      </c>
      <c r="L217" s="38">
        <f ca="1">IF(Log_2019[[#This Row],[Date]]&lt;=TODAY(), MIN(Log_2019[[#This Row],[Split_raw]], TODAY()-Log_2019[[#This Row],[Date]]+1), 0)</f>
        <v>1</v>
      </c>
      <c r="M217" s="34" t="s">
        <v>35</v>
      </c>
      <c r="N217" s="34" t="s">
        <v>158</v>
      </c>
      <c r="O217" s="7">
        <v>0</v>
      </c>
      <c r="P217" s="52">
        <f ca="1">Log_2019[[#This Row],[Amount]]/Log_2019[[#This Row],[Split_raw]]*MAX(0,MIN(_xlfn.DAYS(EDATE(P$1,1),Log_2019[[#This Row],[Date]]),Log_2019[[#This Row],[Split_apply]])) - SUM($O217:O217)</f>
        <v>0</v>
      </c>
      <c r="Q217" s="52">
        <f ca="1">Log_2019[[#This Row],[Amount]]/Log_2019[[#This Row],[Split_raw]]*MAX(0,MIN(_xlfn.DAYS(EDATE(Q$1,1),Log_2019[[#This Row],[Date]]),Log_2019[[#This Row],[Split_apply]])) - SUM($O217:P217)</f>
        <v>0</v>
      </c>
      <c r="R217" s="52">
        <f ca="1">Log_2019[[#This Row],[Amount]]/Log_2019[[#This Row],[Split_raw]]*MAX(0,MIN(_xlfn.DAYS(EDATE(R$1,1),Log_2019[[#This Row],[Date]]),Log_2019[[#This Row],[Split_apply]])) - SUM($O217:Q217)</f>
        <v>0</v>
      </c>
      <c r="S217" s="52">
        <f ca="1">Log_2019[[#This Row],[Amount]]/Log_2019[[#This Row],[Split_raw]]*MAX(0,MIN(_xlfn.DAYS(EDATE(S$1,1),Log_2019[[#This Row],[Date]]),Log_2019[[#This Row],[Split_apply]])) - SUM($O217:R217)</f>
        <v>0</v>
      </c>
      <c r="T217" s="52">
        <f ca="1">Log_2019[[#This Row],[Amount]]/Log_2019[[#This Row],[Split_raw]]*MAX(0,MIN(_xlfn.DAYS(EDATE(T$1,1),Log_2019[[#This Row],[Date]]),Log_2019[[#This Row],[Split_apply]])) - SUM($O217:S217)</f>
        <v>0</v>
      </c>
      <c r="U217" s="52">
        <f ca="1">Log_2019[[#This Row],[Amount]]/Log_2019[[#This Row],[Split_raw]]*MAX(0,MIN(_xlfn.DAYS(EDATE(U$1,1),Log_2019[[#This Row],[Date]]),Log_2019[[#This Row],[Split_apply]])) - SUM($O217:T217)</f>
        <v>0</v>
      </c>
      <c r="V217" s="52">
        <f ca="1">Log_2019[[#This Row],[Amount]]/Log_2019[[#This Row],[Split_raw]]*MAX(0,MIN(_xlfn.DAYS(EDATE(V$1,1),Log_2019[[#This Row],[Date]]),Log_2019[[#This Row],[Split_apply]])) - SUM($O217:U217)</f>
        <v>0</v>
      </c>
      <c r="W217" s="52">
        <f ca="1">Log_2019[[#This Row],[Amount]]/Log_2019[[#This Row],[Split_raw]]*MAX(0,MIN(_xlfn.DAYS(EDATE(W$1,1),Log_2019[[#This Row],[Date]]),Log_2019[[#This Row],[Split_apply]])) - SUM($O217:V217)</f>
        <v>0</v>
      </c>
      <c r="X217" s="52">
        <f ca="1">Log_2019[[#This Row],[Amount]]/Log_2019[[#This Row],[Split_raw]]*MAX(0,MIN(_xlfn.DAYS(EDATE(X$1,1),Log_2019[[#This Row],[Date]]),Log_2019[[#This Row],[Split_apply]])) - SUM($O217:W217)</f>
        <v>-6.69</v>
      </c>
      <c r="Y217" s="52">
        <f ca="1">Log_2019[[#This Row],[Amount]]/Log_2019[[#This Row],[Split_raw]]*MAX(0,MIN(_xlfn.DAYS(EDATE(Y$1,1),Log_2019[[#This Row],[Date]]),Log_2019[[#This Row],[Split_apply]])) - SUM($O217:X217)</f>
        <v>0</v>
      </c>
      <c r="Z217" s="52">
        <f ca="1">Log_2019[[#This Row],[Amount]]/Log_2019[[#This Row],[Split_raw]]*MAX(0,MIN(_xlfn.DAYS(EDATE(Z$1,1),Log_2019[[#This Row],[Date]]),Log_2019[[#This Row],[Split_apply]])) - SUM($O217:Y217)</f>
        <v>0</v>
      </c>
      <c r="AA217" s="52">
        <f ca="1">Log_2019[[#This Row],[Amount]]/Log_2019[[#This Row],[Split_raw]]*MAX(0,MIN(_xlfn.DAYS(EDATE(AA$1,1),Log_2019[[#This Row],[Date]]),Log_2019[[#This Row],[Split_apply]])) - SUM($O217:Z217)</f>
        <v>0</v>
      </c>
      <c r="AB217" s="54">
        <f ca="1">Log_2019[[#This Row],[Amount]]-SUM(O217:AA217)</f>
        <v>0</v>
      </c>
      <c r="AC217" s="7">
        <f>MAX(0,Log_2019[[#This Row],[Split_raw]] - (EDATE(AA$1,1)-Log_2019[[#This Row],[Date]]))</f>
        <v>0</v>
      </c>
    </row>
    <row r="218" spans="1:29" x14ac:dyDescent="0.25">
      <c r="A218" s="42"/>
      <c r="B218" s="34" t="s">
        <v>6</v>
      </c>
      <c r="C218" s="34"/>
      <c r="D218" s="35">
        <v>43718</v>
      </c>
      <c r="E218" s="34" t="s">
        <v>250</v>
      </c>
      <c r="F218" s="34" t="s">
        <v>243</v>
      </c>
      <c r="G218" s="34" t="s">
        <v>143</v>
      </c>
      <c r="H218">
        <v>-10.81</v>
      </c>
      <c r="I218" s="36">
        <f>IF(Log_2019[[#This Row],[My Category]]="NONTRACKED",0,Log_2019[[#This Row],[Raw Amount]])</f>
        <v>-10.81</v>
      </c>
      <c r="J218" s="37">
        <f>ABS(Log_2019[[#This Row],[Amount]])</f>
        <v>10.81</v>
      </c>
      <c r="K218" s="38">
        <v>30</v>
      </c>
      <c r="L218" s="38">
        <f ca="1">IF(Log_2019[[#This Row],[Date]]&lt;=TODAY(), MIN(Log_2019[[#This Row],[Split_raw]], TODAY()-Log_2019[[#This Row],[Date]]+1), 0)</f>
        <v>30</v>
      </c>
      <c r="M218" s="34" t="s">
        <v>53</v>
      </c>
      <c r="N218" s="34" t="s">
        <v>160</v>
      </c>
      <c r="O218" s="7">
        <v>0</v>
      </c>
      <c r="P218" s="52">
        <f ca="1">Log_2019[[#This Row],[Amount]]/Log_2019[[#This Row],[Split_raw]]*MAX(0,MIN(_xlfn.DAYS(EDATE(P$1,1),Log_2019[[#This Row],[Date]]),Log_2019[[#This Row],[Split_apply]])) - SUM($O218:O218)</f>
        <v>0</v>
      </c>
      <c r="Q218" s="52">
        <f ca="1">Log_2019[[#This Row],[Amount]]/Log_2019[[#This Row],[Split_raw]]*MAX(0,MIN(_xlfn.DAYS(EDATE(Q$1,1),Log_2019[[#This Row],[Date]]),Log_2019[[#This Row],[Split_apply]])) - SUM($O218:P218)</f>
        <v>0</v>
      </c>
      <c r="R218" s="52">
        <f ca="1">Log_2019[[#This Row],[Amount]]/Log_2019[[#This Row],[Split_raw]]*MAX(0,MIN(_xlfn.DAYS(EDATE(R$1,1),Log_2019[[#This Row],[Date]]),Log_2019[[#This Row],[Split_apply]])) - SUM($O218:Q218)</f>
        <v>0</v>
      </c>
      <c r="S218" s="52">
        <f ca="1">Log_2019[[#This Row],[Amount]]/Log_2019[[#This Row],[Split_raw]]*MAX(0,MIN(_xlfn.DAYS(EDATE(S$1,1),Log_2019[[#This Row],[Date]]),Log_2019[[#This Row],[Split_apply]])) - SUM($O218:R218)</f>
        <v>0</v>
      </c>
      <c r="T218" s="52">
        <f ca="1">Log_2019[[#This Row],[Amount]]/Log_2019[[#This Row],[Split_raw]]*MAX(0,MIN(_xlfn.DAYS(EDATE(T$1,1),Log_2019[[#This Row],[Date]]),Log_2019[[#This Row],[Split_apply]])) - SUM($O218:S218)</f>
        <v>0</v>
      </c>
      <c r="U218" s="52">
        <f ca="1">Log_2019[[#This Row],[Amount]]/Log_2019[[#This Row],[Split_raw]]*MAX(0,MIN(_xlfn.DAYS(EDATE(U$1,1),Log_2019[[#This Row],[Date]]),Log_2019[[#This Row],[Split_apply]])) - SUM($O218:T218)</f>
        <v>0</v>
      </c>
      <c r="V218" s="52">
        <f ca="1">Log_2019[[#This Row],[Amount]]/Log_2019[[#This Row],[Split_raw]]*MAX(0,MIN(_xlfn.DAYS(EDATE(V$1,1),Log_2019[[#This Row],[Date]]),Log_2019[[#This Row],[Split_apply]])) - SUM($O218:U218)</f>
        <v>0</v>
      </c>
      <c r="W218" s="52">
        <f ca="1">Log_2019[[#This Row],[Amount]]/Log_2019[[#This Row],[Split_raw]]*MAX(0,MIN(_xlfn.DAYS(EDATE(W$1,1),Log_2019[[#This Row],[Date]]),Log_2019[[#This Row],[Split_apply]])) - SUM($O218:V218)</f>
        <v>0</v>
      </c>
      <c r="X218" s="52">
        <f ca="1">Log_2019[[#This Row],[Amount]]/Log_2019[[#This Row],[Split_raw]]*MAX(0,MIN(_xlfn.DAYS(EDATE(X$1,1),Log_2019[[#This Row],[Date]]),Log_2019[[#This Row],[Split_apply]])) - SUM($O218:W218)</f>
        <v>-7.5670000000000002</v>
      </c>
      <c r="Y218" s="52">
        <f ca="1">Log_2019[[#This Row],[Amount]]/Log_2019[[#This Row],[Split_raw]]*MAX(0,MIN(_xlfn.DAYS(EDATE(Y$1,1),Log_2019[[#This Row],[Date]]),Log_2019[[#This Row],[Split_apply]])) - SUM($O218:X218)</f>
        <v>-3.2430000000000003</v>
      </c>
      <c r="Z218" s="52">
        <f ca="1">Log_2019[[#This Row],[Amount]]/Log_2019[[#This Row],[Split_raw]]*MAX(0,MIN(_xlfn.DAYS(EDATE(Z$1,1),Log_2019[[#This Row],[Date]]),Log_2019[[#This Row],[Split_apply]])) - SUM($O218:Y218)</f>
        <v>0</v>
      </c>
      <c r="AA218" s="52">
        <f ca="1">Log_2019[[#This Row],[Amount]]/Log_2019[[#This Row],[Split_raw]]*MAX(0,MIN(_xlfn.DAYS(EDATE(AA$1,1),Log_2019[[#This Row],[Date]]),Log_2019[[#This Row],[Split_apply]])) - SUM($O218:Z218)</f>
        <v>0</v>
      </c>
      <c r="AB218" s="54">
        <f ca="1">Log_2019[[#This Row],[Amount]]-SUM(O218:AA218)</f>
        <v>0</v>
      </c>
      <c r="AC218" s="7">
        <f>MAX(0,Log_2019[[#This Row],[Split_raw]] - (EDATE(AA$1,1)-Log_2019[[#This Row],[Date]]))</f>
        <v>0</v>
      </c>
    </row>
    <row r="219" spans="1:29" x14ac:dyDescent="0.25">
      <c r="A219" s="42"/>
      <c r="B219" s="34" t="s">
        <v>6</v>
      </c>
      <c r="C219" s="34"/>
      <c r="D219" s="35">
        <v>43717</v>
      </c>
      <c r="E219" s="34"/>
      <c r="F219" s="34" t="s">
        <v>345</v>
      </c>
      <c r="G219" s="34" t="s">
        <v>12</v>
      </c>
      <c r="H219">
        <v>-187.35</v>
      </c>
      <c r="I219" s="36">
        <f>IF(Log_2019[[#This Row],[My Category]]="NONTRACKED",0,Log_2019[[#This Row],[Raw Amount]])</f>
        <v>-187.35</v>
      </c>
      <c r="J219" s="37">
        <f>ABS(Log_2019[[#This Row],[Amount]])</f>
        <v>187.35</v>
      </c>
      <c r="K219" s="38">
        <v>1</v>
      </c>
      <c r="L219" s="38">
        <f ca="1">IF(Log_2019[[#This Row],[Date]]&lt;=TODAY(), MIN(Log_2019[[#This Row],[Split_raw]], TODAY()-Log_2019[[#This Row],[Date]]+1), 0)</f>
        <v>1</v>
      </c>
      <c r="M219" s="34" t="s">
        <v>12</v>
      </c>
      <c r="N219" s="34" t="s">
        <v>158</v>
      </c>
      <c r="O219" s="7">
        <v>0</v>
      </c>
      <c r="P219" s="52">
        <f ca="1">Log_2019[[#This Row],[Amount]]/Log_2019[[#This Row],[Split_raw]]*MAX(0,MIN(_xlfn.DAYS(EDATE(P$1,1),Log_2019[[#This Row],[Date]]),Log_2019[[#This Row],[Split_apply]])) - SUM($O219:O219)</f>
        <v>0</v>
      </c>
      <c r="Q219" s="52">
        <f ca="1">Log_2019[[#This Row],[Amount]]/Log_2019[[#This Row],[Split_raw]]*MAX(0,MIN(_xlfn.DAYS(EDATE(Q$1,1),Log_2019[[#This Row],[Date]]),Log_2019[[#This Row],[Split_apply]])) - SUM($O219:P219)</f>
        <v>0</v>
      </c>
      <c r="R219" s="52">
        <f ca="1">Log_2019[[#This Row],[Amount]]/Log_2019[[#This Row],[Split_raw]]*MAX(0,MIN(_xlfn.DAYS(EDATE(R$1,1),Log_2019[[#This Row],[Date]]),Log_2019[[#This Row],[Split_apply]])) - SUM($O219:Q219)</f>
        <v>0</v>
      </c>
      <c r="S219" s="52">
        <f ca="1">Log_2019[[#This Row],[Amount]]/Log_2019[[#This Row],[Split_raw]]*MAX(0,MIN(_xlfn.DAYS(EDATE(S$1,1),Log_2019[[#This Row],[Date]]),Log_2019[[#This Row],[Split_apply]])) - SUM($O219:R219)</f>
        <v>0</v>
      </c>
      <c r="T219" s="52">
        <f ca="1">Log_2019[[#This Row],[Amount]]/Log_2019[[#This Row],[Split_raw]]*MAX(0,MIN(_xlfn.DAYS(EDATE(T$1,1),Log_2019[[#This Row],[Date]]),Log_2019[[#This Row],[Split_apply]])) - SUM($O219:S219)</f>
        <v>0</v>
      </c>
      <c r="U219" s="52">
        <f ca="1">Log_2019[[#This Row],[Amount]]/Log_2019[[#This Row],[Split_raw]]*MAX(0,MIN(_xlfn.DAYS(EDATE(U$1,1),Log_2019[[#This Row],[Date]]),Log_2019[[#This Row],[Split_apply]])) - SUM($O219:T219)</f>
        <v>0</v>
      </c>
      <c r="V219" s="52">
        <f ca="1">Log_2019[[#This Row],[Amount]]/Log_2019[[#This Row],[Split_raw]]*MAX(0,MIN(_xlfn.DAYS(EDATE(V$1,1),Log_2019[[#This Row],[Date]]),Log_2019[[#This Row],[Split_apply]])) - SUM($O219:U219)</f>
        <v>0</v>
      </c>
      <c r="W219" s="52">
        <f ca="1">Log_2019[[#This Row],[Amount]]/Log_2019[[#This Row],[Split_raw]]*MAX(0,MIN(_xlfn.DAYS(EDATE(W$1,1),Log_2019[[#This Row],[Date]]),Log_2019[[#This Row],[Split_apply]])) - SUM($O219:V219)</f>
        <v>0</v>
      </c>
      <c r="X219" s="52">
        <f ca="1">Log_2019[[#This Row],[Amount]]/Log_2019[[#This Row],[Split_raw]]*MAX(0,MIN(_xlfn.DAYS(EDATE(X$1,1),Log_2019[[#This Row],[Date]]),Log_2019[[#This Row],[Split_apply]])) - SUM($O219:W219)</f>
        <v>-187.35</v>
      </c>
      <c r="Y219" s="52">
        <f ca="1">Log_2019[[#This Row],[Amount]]/Log_2019[[#This Row],[Split_raw]]*MAX(0,MIN(_xlfn.DAYS(EDATE(Y$1,1),Log_2019[[#This Row],[Date]]),Log_2019[[#This Row],[Split_apply]])) - SUM($O219:X219)</f>
        <v>0</v>
      </c>
      <c r="Z219" s="52">
        <f ca="1">Log_2019[[#This Row],[Amount]]/Log_2019[[#This Row],[Split_raw]]*MAX(0,MIN(_xlfn.DAYS(EDATE(Z$1,1),Log_2019[[#This Row],[Date]]),Log_2019[[#This Row],[Split_apply]])) - SUM($O219:Y219)</f>
        <v>0</v>
      </c>
      <c r="AA219" s="52">
        <f ca="1">Log_2019[[#This Row],[Amount]]/Log_2019[[#This Row],[Split_raw]]*MAX(0,MIN(_xlfn.DAYS(EDATE(AA$1,1),Log_2019[[#This Row],[Date]]),Log_2019[[#This Row],[Split_apply]])) - SUM($O219:Z219)</f>
        <v>0</v>
      </c>
      <c r="AB219" s="54">
        <f ca="1">Log_2019[[#This Row],[Amount]]-SUM(O219:AA219)</f>
        <v>0</v>
      </c>
      <c r="AC219" s="7">
        <f>MAX(0,Log_2019[[#This Row],[Split_raw]] - (EDATE(AA$1,1)-Log_2019[[#This Row],[Date]]))</f>
        <v>0</v>
      </c>
    </row>
    <row r="220" spans="1:29" x14ac:dyDescent="0.25">
      <c r="A220" s="42"/>
      <c r="B220" s="34" t="s">
        <v>6</v>
      </c>
      <c r="C220" s="34"/>
      <c r="D220" s="35">
        <v>43717</v>
      </c>
      <c r="E220" s="34"/>
      <c r="F220" s="34" t="s">
        <v>688</v>
      </c>
      <c r="G220" s="34" t="s">
        <v>19</v>
      </c>
      <c r="H220">
        <v>-20</v>
      </c>
      <c r="I220" s="36">
        <f>IF(Log_2019[[#This Row],[My Category]]="NONTRACKED",0,Log_2019[[#This Row],[Raw Amount]])</f>
        <v>-20</v>
      </c>
      <c r="J220" s="37">
        <f>ABS(Log_2019[[#This Row],[Amount]])</f>
        <v>20</v>
      </c>
      <c r="K220" s="38">
        <v>1</v>
      </c>
      <c r="L220" s="38">
        <f ca="1">IF(Log_2019[[#This Row],[Date]]&lt;=TODAY(), MIN(Log_2019[[#This Row],[Split_raw]], TODAY()-Log_2019[[#This Row],[Date]]+1), 0)</f>
        <v>1</v>
      </c>
      <c r="M220" s="34" t="s">
        <v>35</v>
      </c>
      <c r="N220" s="34" t="s">
        <v>158</v>
      </c>
      <c r="O220" s="7">
        <v>0</v>
      </c>
      <c r="P220" s="52">
        <f ca="1">Log_2019[[#This Row],[Amount]]/Log_2019[[#This Row],[Split_raw]]*MAX(0,MIN(_xlfn.DAYS(EDATE(P$1,1),Log_2019[[#This Row],[Date]]),Log_2019[[#This Row],[Split_apply]])) - SUM($O220:O220)</f>
        <v>0</v>
      </c>
      <c r="Q220" s="52">
        <f ca="1">Log_2019[[#This Row],[Amount]]/Log_2019[[#This Row],[Split_raw]]*MAX(0,MIN(_xlfn.DAYS(EDATE(Q$1,1),Log_2019[[#This Row],[Date]]),Log_2019[[#This Row],[Split_apply]])) - SUM($O220:P220)</f>
        <v>0</v>
      </c>
      <c r="R220" s="52">
        <f ca="1">Log_2019[[#This Row],[Amount]]/Log_2019[[#This Row],[Split_raw]]*MAX(0,MIN(_xlfn.DAYS(EDATE(R$1,1),Log_2019[[#This Row],[Date]]),Log_2019[[#This Row],[Split_apply]])) - SUM($O220:Q220)</f>
        <v>0</v>
      </c>
      <c r="S220" s="52">
        <f ca="1">Log_2019[[#This Row],[Amount]]/Log_2019[[#This Row],[Split_raw]]*MAX(0,MIN(_xlfn.DAYS(EDATE(S$1,1),Log_2019[[#This Row],[Date]]),Log_2019[[#This Row],[Split_apply]])) - SUM($O220:R220)</f>
        <v>0</v>
      </c>
      <c r="T220" s="52">
        <f ca="1">Log_2019[[#This Row],[Amount]]/Log_2019[[#This Row],[Split_raw]]*MAX(0,MIN(_xlfn.DAYS(EDATE(T$1,1),Log_2019[[#This Row],[Date]]),Log_2019[[#This Row],[Split_apply]])) - SUM($O220:S220)</f>
        <v>0</v>
      </c>
      <c r="U220" s="52">
        <f ca="1">Log_2019[[#This Row],[Amount]]/Log_2019[[#This Row],[Split_raw]]*MAX(0,MIN(_xlfn.DAYS(EDATE(U$1,1),Log_2019[[#This Row],[Date]]),Log_2019[[#This Row],[Split_apply]])) - SUM($O220:T220)</f>
        <v>0</v>
      </c>
      <c r="V220" s="52">
        <f ca="1">Log_2019[[#This Row],[Amount]]/Log_2019[[#This Row],[Split_raw]]*MAX(0,MIN(_xlfn.DAYS(EDATE(V$1,1),Log_2019[[#This Row],[Date]]),Log_2019[[#This Row],[Split_apply]])) - SUM($O220:U220)</f>
        <v>0</v>
      </c>
      <c r="W220" s="52">
        <f ca="1">Log_2019[[#This Row],[Amount]]/Log_2019[[#This Row],[Split_raw]]*MAX(0,MIN(_xlfn.DAYS(EDATE(W$1,1),Log_2019[[#This Row],[Date]]),Log_2019[[#This Row],[Split_apply]])) - SUM($O220:V220)</f>
        <v>0</v>
      </c>
      <c r="X220" s="52">
        <f ca="1">Log_2019[[#This Row],[Amount]]/Log_2019[[#This Row],[Split_raw]]*MAX(0,MIN(_xlfn.DAYS(EDATE(X$1,1),Log_2019[[#This Row],[Date]]),Log_2019[[#This Row],[Split_apply]])) - SUM($O220:W220)</f>
        <v>-20</v>
      </c>
      <c r="Y220" s="52">
        <f ca="1">Log_2019[[#This Row],[Amount]]/Log_2019[[#This Row],[Split_raw]]*MAX(0,MIN(_xlfn.DAYS(EDATE(Y$1,1),Log_2019[[#This Row],[Date]]),Log_2019[[#This Row],[Split_apply]])) - SUM($O220:X220)</f>
        <v>0</v>
      </c>
      <c r="Z220" s="52">
        <f ca="1">Log_2019[[#This Row],[Amount]]/Log_2019[[#This Row],[Split_raw]]*MAX(0,MIN(_xlfn.DAYS(EDATE(Z$1,1),Log_2019[[#This Row],[Date]]),Log_2019[[#This Row],[Split_apply]])) - SUM($O220:Y220)</f>
        <v>0</v>
      </c>
      <c r="AA220" s="52">
        <f ca="1">Log_2019[[#This Row],[Amount]]/Log_2019[[#This Row],[Split_raw]]*MAX(0,MIN(_xlfn.DAYS(EDATE(AA$1,1),Log_2019[[#This Row],[Date]]),Log_2019[[#This Row],[Split_apply]])) - SUM($O220:Z220)</f>
        <v>0</v>
      </c>
      <c r="AB220" s="54">
        <f ca="1">Log_2019[[#This Row],[Amount]]-SUM(O220:AA220)</f>
        <v>0</v>
      </c>
      <c r="AC220" s="7">
        <f>MAX(0,Log_2019[[#This Row],[Split_raw]] - (EDATE(AA$1,1)-Log_2019[[#This Row],[Date]]))</f>
        <v>0</v>
      </c>
    </row>
    <row r="221" spans="1:29" x14ac:dyDescent="0.25">
      <c r="A221" s="42"/>
      <c r="B221" s="34" t="s">
        <v>6</v>
      </c>
      <c r="C221" s="34"/>
      <c r="D221" s="35">
        <v>43716</v>
      </c>
      <c r="E221" s="34"/>
      <c r="F221" s="34" t="s">
        <v>555</v>
      </c>
      <c r="G221" s="34" t="s">
        <v>25</v>
      </c>
      <c r="H221">
        <v>-12.3</v>
      </c>
      <c r="I221" s="36">
        <f>IF(Log_2019[[#This Row],[My Category]]="NONTRACKED",0,Log_2019[[#This Row],[Raw Amount]])</f>
        <v>-12.3</v>
      </c>
      <c r="J221" s="37">
        <f>ABS(Log_2019[[#This Row],[Amount]])</f>
        <v>12.3</v>
      </c>
      <c r="K221" s="38">
        <v>1</v>
      </c>
      <c r="L221" s="38">
        <f ca="1">IF(Log_2019[[#This Row],[Date]]&lt;=TODAY(), MIN(Log_2019[[#This Row],[Split_raw]], TODAY()-Log_2019[[#This Row],[Date]]+1), 0)</f>
        <v>1</v>
      </c>
      <c r="M221" s="34" t="s">
        <v>35</v>
      </c>
      <c r="N221" s="34" t="s">
        <v>158</v>
      </c>
      <c r="O221" s="7">
        <v>0</v>
      </c>
      <c r="P221" s="52">
        <f ca="1">Log_2019[[#This Row],[Amount]]/Log_2019[[#This Row],[Split_raw]]*MAX(0,MIN(_xlfn.DAYS(EDATE(P$1,1),Log_2019[[#This Row],[Date]]),Log_2019[[#This Row],[Split_apply]])) - SUM($O221:O221)</f>
        <v>0</v>
      </c>
      <c r="Q221" s="52">
        <f ca="1">Log_2019[[#This Row],[Amount]]/Log_2019[[#This Row],[Split_raw]]*MAX(0,MIN(_xlfn.DAYS(EDATE(Q$1,1),Log_2019[[#This Row],[Date]]),Log_2019[[#This Row],[Split_apply]])) - SUM($O221:P221)</f>
        <v>0</v>
      </c>
      <c r="R221" s="52">
        <f ca="1">Log_2019[[#This Row],[Amount]]/Log_2019[[#This Row],[Split_raw]]*MAX(0,MIN(_xlfn.DAYS(EDATE(R$1,1),Log_2019[[#This Row],[Date]]),Log_2019[[#This Row],[Split_apply]])) - SUM($O221:Q221)</f>
        <v>0</v>
      </c>
      <c r="S221" s="52">
        <f ca="1">Log_2019[[#This Row],[Amount]]/Log_2019[[#This Row],[Split_raw]]*MAX(0,MIN(_xlfn.DAYS(EDATE(S$1,1),Log_2019[[#This Row],[Date]]),Log_2019[[#This Row],[Split_apply]])) - SUM($O221:R221)</f>
        <v>0</v>
      </c>
      <c r="T221" s="52">
        <f ca="1">Log_2019[[#This Row],[Amount]]/Log_2019[[#This Row],[Split_raw]]*MAX(0,MIN(_xlfn.DAYS(EDATE(T$1,1),Log_2019[[#This Row],[Date]]),Log_2019[[#This Row],[Split_apply]])) - SUM($O221:S221)</f>
        <v>0</v>
      </c>
      <c r="U221" s="52">
        <f ca="1">Log_2019[[#This Row],[Amount]]/Log_2019[[#This Row],[Split_raw]]*MAX(0,MIN(_xlfn.DAYS(EDATE(U$1,1),Log_2019[[#This Row],[Date]]),Log_2019[[#This Row],[Split_apply]])) - SUM($O221:T221)</f>
        <v>0</v>
      </c>
      <c r="V221" s="52">
        <f ca="1">Log_2019[[#This Row],[Amount]]/Log_2019[[#This Row],[Split_raw]]*MAX(0,MIN(_xlfn.DAYS(EDATE(V$1,1),Log_2019[[#This Row],[Date]]),Log_2019[[#This Row],[Split_apply]])) - SUM($O221:U221)</f>
        <v>0</v>
      </c>
      <c r="W221" s="52">
        <f ca="1">Log_2019[[#This Row],[Amount]]/Log_2019[[#This Row],[Split_raw]]*MAX(0,MIN(_xlfn.DAYS(EDATE(W$1,1),Log_2019[[#This Row],[Date]]),Log_2019[[#This Row],[Split_apply]])) - SUM($O221:V221)</f>
        <v>0</v>
      </c>
      <c r="X221" s="52">
        <f ca="1">Log_2019[[#This Row],[Amount]]/Log_2019[[#This Row],[Split_raw]]*MAX(0,MIN(_xlfn.DAYS(EDATE(X$1,1),Log_2019[[#This Row],[Date]]),Log_2019[[#This Row],[Split_apply]])) - SUM($O221:W221)</f>
        <v>-12.3</v>
      </c>
      <c r="Y221" s="52">
        <f ca="1">Log_2019[[#This Row],[Amount]]/Log_2019[[#This Row],[Split_raw]]*MAX(0,MIN(_xlfn.DAYS(EDATE(Y$1,1),Log_2019[[#This Row],[Date]]),Log_2019[[#This Row],[Split_apply]])) - SUM($O221:X221)</f>
        <v>0</v>
      </c>
      <c r="Z221" s="52">
        <f ca="1">Log_2019[[#This Row],[Amount]]/Log_2019[[#This Row],[Split_raw]]*MAX(0,MIN(_xlfn.DAYS(EDATE(Z$1,1),Log_2019[[#This Row],[Date]]),Log_2019[[#This Row],[Split_apply]])) - SUM($O221:Y221)</f>
        <v>0</v>
      </c>
      <c r="AA221" s="52">
        <f ca="1">Log_2019[[#This Row],[Amount]]/Log_2019[[#This Row],[Split_raw]]*MAX(0,MIN(_xlfn.DAYS(EDATE(AA$1,1),Log_2019[[#This Row],[Date]]),Log_2019[[#This Row],[Split_apply]])) - SUM($O221:Z221)</f>
        <v>0</v>
      </c>
      <c r="AB221" s="54">
        <f ca="1">Log_2019[[#This Row],[Amount]]-SUM(O221:AA221)</f>
        <v>0</v>
      </c>
      <c r="AC221" s="7">
        <f>MAX(0,Log_2019[[#This Row],[Split_raw]] - (EDATE(AA$1,1)-Log_2019[[#This Row],[Date]]))</f>
        <v>0</v>
      </c>
    </row>
    <row r="222" spans="1:29" x14ac:dyDescent="0.25">
      <c r="A222" s="42"/>
      <c r="B222" s="34" t="s">
        <v>6</v>
      </c>
      <c r="C222" s="34"/>
      <c r="D222" s="35">
        <v>43715</v>
      </c>
      <c r="E222" s="34"/>
      <c r="F222" s="34" t="s">
        <v>328</v>
      </c>
      <c r="G222" s="34" t="s">
        <v>25</v>
      </c>
      <c r="H222">
        <v>-12.59</v>
      </c>
      <c r="I222" s="36">
        <f>IF(Log_2019[[#This Row],[My Category]]="NONTRACKED",0,Log_2019[[#This Row],[Raw Amount]])</f>
        <v>-12.59</v>
      </c>
      <c r="J222" s="37">
        <f>ABS(Log_2019[[#This Row],[Amount]])</f>
        <v>12.59</v>
      </c>
      <c r="K222" s="38">
        <v>1</v>
      </c>
      <c r="L222" s="38">
        <f ca="1">IF(Log_2019[[#This Row],[Date]]&lt;=TODAY(), MIN(Log_2019[[#This Row],[Split_raw]], TODAY()-Log_2019[[#This Row],[Date]]+1), 0)</f>
        <v>1</v>
      </c>
      <c r="M222" s="34" t="s">
        <v>35</v>
      </c>
      <c r="N222" s="34" t="s">
        <v>158</v>
      </c>
      <c r="O222" s="7">
        <v>0</v>
      </c>
      <c r="P222" s="52">
        <f ca="1">Log_2019[[#This Row],[Amount]]/Log_2019[[#This Row],[Split_raw]]*MAX(0,MIN(_xlfn.DAYS(EDATE(P$1,1),Log_2019[[#This Row],[Date]]),Log_2019[[#This Row],[Split_apply]])) - SUM($O222:O222)</f>
        <v>0</v>
      </c>
      <c r="Q222" s="52">
        <f ca="1">Log_2019[[#This Row],[Amount]]/Log_2019[[#This Row],[Split_raw]]*MAX(0,MIN(_xlfn.DAYS(EDATE(Q$1,1),Log_2019[[#This Row],[Date]]),Log_2019[[#This Row],[Split_apply]])) - SUM($O222:P222)</f>
        <v>0</v>
      </c>
      <c r="R222" s="52">
        <f ca="1">Log_2019[[#This Row],[Amount]]/Log_2019[[#This Row],[Split_raw]]*MAX(0,MIN(_xlfn.DAYS(EDATE(R$1,1),Log_2019[[#This Row],[Date]]),Log_2019[[#This Row],[Split_apply]])) - SUM($O222:Q222)</f>
        <v>0</v>
      </c>
      <c r="S222" s="52">
        <f ca="1">Log_2019[[#This Row],[Amount]]/Log_2019[[#This Row],[Split_raw]]*MAX(0,MIN(_xlfn.DAYS(EDATE(S$1,1),Log_2019[[#This Row],[Date]]),Log_2019[[#This Row],[Split_apply]])) - SUM($O222:R222)</f>
        <v>0</v>
      </c>
      <c r="T222" s="52">
        <f ca="1">Log_2019[[#This Row],[Amount]]/Log_2019[[#This Row],[Split_raw]]*MAX(0,MIN(_xlfn.DAYS(EDATE(T$1,1),Log_2019[[#This Row],[Date]]),Log_2019[[#This Row],[Split_apply]])) - SUM($O222:S222)</f>
        <v>0</v>
      </c>
      <c r="U222" s="52">
        <f ca="1">Log_2019[[#This Row],[Amount]]/Log_2019[[#This Row],[Split_raw]]*MAX(0,MIN(_xlfn.DAYS(EDATE(U$1,1),Log_2019[[#This Row],[Date]]),Log_2019[[#This Row],[Split_apply]])) - SUM($O222:T222)</f>
        <v>0</v>
      </c>
      <c r="V222" s="52">
        <f ca="1">Log_2019[[#This Row],[Amount]]/Log_2019[[#This Row],[Split_raw]]*MAX(0,MIN(_xlfn.DAYS(EDATE(V$1,1),Log_2019[[#This Row],[Date]]),Log_2019[[#This Row],[Split_apply]])) - SUM($O222:U222)</f>
        <v>0</v>
      </c>
      <c r="W222" s="52">
        <f ca="1">Log_2019[[#This Row],[Amount]]/Log_2019[[#This Row],[Split_raw]]*MAX(0,MIN(_xlfn.DAYS(EDATE(W$1,1),Log_2019[[#This Row],[Date]]),Log_2019[[#This Row],[Split_apply]])) - SUM($O222:V222)</f>
        <v>0</v>
      </c>
      <c r="X222" s="52">
        <f ca="1">Log_2019[[#This Row],[Amount]]/Log_2019[[#This Row],[Split_raw]]*MAX(0,MIN(_xlfn.DAYS(EDATE(X$1,1),Log_2019[[#This Row],[Date]]),Log_2019[[#This Row],[Split_apply]])) - SUM($O222:W222)</f>
        <v>-12.59</v>
      </c>
      <c r="Y222" s="52">
        <f ca="1">Log_2019[[#This Row],[Amount]]/Log_2019[[#This Row],[Split_raw]]*MAX(0,MIN(_xlfn.DAYS(EDATE(Y$1,1),Log_2019[[#This Row],[Date]]),Log_2019[[#This Row],[Split_apply]])) - SUM($O222:X222)</f>
        <v>0</v>
      </c>
      <c r="Z222" s="52">
        <f ca="1">Log_2019[[#This Row],[Amount]]/Log_2019[[#This Row],[Split_raw]]*MAX(0,MIN(_xlfn.DAYS(EDATE(Z$1,1),Log_2019[[#This Row],[Date]]),Log_2019[[#This Row],[Split_apply]])) - SUM($O222:Y222)</f>
        <v>0</v>
      </c>
      <c r="AA222" s="52">
        <f ca="1">Log_2019[[#This Row],[Amount]]/Log_2019[[#This Row],[Split_raw]]*MAX(0,MIN(_xlfn.DAYS(EDATE(AA$1,1),Log_2019[[#This Row],[Date]]),Log_2019[[#This Row],[Split_apply]])) - SUM($O222:Z222)</f>
        <v>0</v>
      </c>
      <c r="AB222" s="54">
        <f ca="1">Log_2019[[#This Row],[Amount]]-SUM(O222:AA222)</f>
        <v>0</v>
      </c>
      <c r="AC222" s="7">
        <f>MAX(0,Log_2019[[#This Row],[Split_raw]] - (EDATE(AA$1,1)-Log_2019[[#This Row],[Date]]))</f>
        <v>0</v>
      </c>
    </row>
    <row r="223" spans="1:29" x14ac:dyDescent="0.25">
      <c r="A223" s="42"/>
      <c r="B223" s="34" t="s">
        <v>6</v>
      </c>
      <c r="C223" s="34"/>
      <c r="D223" s="35">
        <v>43714</v>
      </c>
      <c r="E223" s="34"/>
      <c r="F223" s="34" t="s">
        <v>685</v>
      </c>
      <c r="G223" s="34" t="s">
        <v>20</v>
      </c>
      <c r="H223">
        <v>-80</v>
      </c>
      <c r="I223" s="36">
        <f>IF(Log_2019[[#This Row],[My Category]]="NONTRACKED",0,Log_2019[[#This Row],[Raw Amount]])</f>
        <v>-80</v>
      </c>
      <c r="J223" s="37">
        <f>ABS(Log_2019[[#This Row],[Amount]])</f>
        <v>80</v>
      </c>
      <c r="K223" s="38">
        <v>1</v>
      </c>
      <c r="L223" s="38">
        <f ca="1">IF(Log_2019[[#This Row],[Date]]&lt;=TODAY(), MIN(Log_2019[[#This Row],[Split_raw]], TODAY()-Log_2019[[#This Row],[Date]]+1), 0)</f>
        <v>1</v>
      </c>
      <c r="M223" s="34" t="s">
        <v>196</v>
      </c>
      <c r="N223" s="34" t="s">
        <v>160</v>
      </c>
      <c r="O223" s="7">
        <v>0</v>
      </c>
      <c r="P223" s="52">
        <f ca="1">Log_2019[[#This Row],[Amount]]/Log_2019[[#This Row],[Split_raw]]*MAX(0,MIN(_xlfn.DAYS(EDATE(P$1,1),Log_2019[[#This Row],[Date]]),Log_2019[[#This Row],[Split_apply]])) - SUM($O223:O223)</f>
        <v>0</v>
      </c>
      <c r="Q223" s="52">
        <f ca="1">Log_2019[[#This Row],[Amount]]/Log_2019[[#This Row],[Split_raw]]*MAX(0,MIN(_xlfn.DAYS(EDATE(Q$1,1),Log_2019[[#This Row],[Date]]),Log_2019[[#This Row],[Split_apply]])) - SUM($O223:P223)</f>
        <v>0</v>
      </c>
      <c r="R223" s="52">
        <f ca="1">Log_2019[[#This Row],[Amount]]/Log_2019[[#This Row],[Split_raw]]*MAX(0,MIN(_xlfn.DAYS(EDATE(R$1,1),Log_2019[[#This Row],[Date]]),Log_2019[[#This Row],[Split_apply]])) - SUM($O223:Q223)</f>
        <v>0</v>
      </c>
      <c r="S223" s="52">
        <f ca="1">Log_2019[[#This Row],[Amount]]/Log_2019[[#This Row],[Split_raw]]*MAX(0,MIN(_xlfn.DAYS(EDATE(S$1,1),Log_2019[[#This Row],[Date]]),Log_2019[[#This Row],[Split_apply]])) - SUM($O223:R223)</f>
        <v>0</v>
      </c>
      <c r="T223" s="52">
        <f ca="1">Log_2019[[#This Row],[Amount]]/Log_2019[[#This Row],[Split_raw]]*MAX(0,MIN(_xlfn.DAYS(EDATE(T$1,1),Log_2019[[#This Row],[Date]]),Log_2019[[#This Row],[Split_apply]])) - SUM($O223:S223)</f>
        <v>0</v>
      </c>
      <c r="U223" s="52">
        <f ca="1">Log_2019[[#This Row],[Amount]]/Log_2019[[#This Row],[Split_raw]]*MAX(0,MIN(_xlfn.DAYS(EDATE(U$1,1),Log_2019[[#This Row],[Date]]),Log_2019[[#This Row],[Split_apply]])) - SUM($O223:T223)</f>
        <v>0</v>
      </c>
      <c r="V223" s="52">
        <f ca="1">Log_2019[[#This Row],[Amount]]/Log_2019[[#This Row],[Split_raw]]*MAX(0,MIN(_xlfn.DAYS(EDATE(V$1,1),Log_2019[[#This Row],[Date]]),Log_2019[[#This Row],[Split_apply]])) - SUM($O223:U223)</f>
        <v>0</v>
      </c>
      <c r="W223" s="52">
        <f ca="1">Log_2019[[#This Row],[Amount]]/Log_2019[[#This Row],[Split_raw]]*MAX(0,MIN(_xlfn.DAYS(EDATE(W$1,1),Log_2019[[#This Row],[Date]]),Log_2019[[#This Row],[Split_apply]])) - SUM($O223:V223)</f>
        <v>0</v>
      </c>
      <c r="X223" s="52">
        <f ca="1">Log_2019[[#This Row],[Amount]]/Log_2019[[#This Row],[Split_raw]]*MAX(0,MIN(_xlfn.DAYS(EDATE(X$1,1),Log_2019[[#This Row],[Date]]),Log_2019[[#This Row],[Split_apply]])) - SUM($O223:W223)</f>
        <v>-80</v>
      </c>
      <c r="Y223" s="52">
        <f ca="1">Log_2019[[#This Row],[Amount]]/Log_2019[[#This Row],[Split_raw]]*MAX(0,MIN(_xlfn.DAYS(EDATE(Y$1,1),Log_2019[[#This Row],[Date]]),Log_2019[[#This Row],[Split_apply]])) - SUM($O223:X223)</f>
        <v>0</v>
      </c>
      <c r="Z223" s="52">
        <f ca="1">Log_2019[[#This Row],[Amount]]/Log_2019[[#This Row],[Split_raw]]*MAX(0,MIN(_xlfn.DAYS(EDATE(Z$1,1),Log_2019[[#This Row],[Date]]),Log_2019[[#This Row],[Split_apply]])) - SUM($O223:Y223)</f>
        <v>0</v>
      </c>
      <c r="AA223" s="52">
        <f ca="1">Log_2019[[#This Row],[Amount]]/Log_2019[[#This Row],[Split_raw]]*MAX(0,MIN(_xlfn.DAYS(EDATE(AA$1,1),Log_2019[[#This Row],[Date]]),Log_2019[[#This Row],[Split_apply]])) - SUM($O223:Z223)</f>
        <v>0</v>
      </c>
      <c r="AB223" s="54">
        <f ca="1">Log_2019[[#This Row],[Amount]]-SUM(O223:AA223)</f>
        <v>0</v>
      </c>
      <c r="AC223" s="7">
        <f>MAX(0,Log_2019[[#This Row],[Split_raw]] - (EDATE(AA$1,1)-Log_2019[[#This Row],[Date]]))</f>
        <v>0</v>
      </c>
    </row>
    <row r="224" spans="1:29" x14ac:dyDescent="0.25">
      <c r="A224" s="42"/>
      <c r="B224" s="34" t="s">
        <v>6</v>
      </c>
      <c r="C224" s="34"/>
      <c r="D224" s="35">
        <v>43714</v>
      </c>
      <c r="E224" s="34"/>
      <c r="F224" s="34" t="s">
        <v>620</v>
      </c>
      <c r="G224" s="34" t="s">
        <v>582</v>
      </c>
      <c r="H224">
        <v>-29.42</v>
      </c>
      <c r="I224" s="36">
        <f>IF(Log_2019[[#This Row],[My Category]]="NONTRACKED",0,Log_2019[[#This Row],[Raw Amount]])</f>
        <v>-29.42</v>
      </c>
      <c r="J224" s="37">
        <f>ABS(Log_2019[[#This Row],[Amount]])</f>
        <v>29.42</v>
      </c>
      <c r="K224" s="38">
        <v>30</v>
      </c>
      <c r="L224" s="38">
        <f ca="1">IF(Log_2019[[#This Row],[Date]]&lt;=TODAY(), MIN(Log_2019[[#This Row],[Split_raw]], TODAY()-Log_2019[[#This Row],[Date]]+1), 0)</f>
        <v>30</v>
      </c>
      <c r="M224" s="34" t="s">
        <v>29</v>
      </c>
      <c r="N224" s="34" t="s">
        <v>158</v>
      </c>
      <c r="O224" s="7">
        <v>0</v>
      </c>
      <c r="P224" s="52">
        <f ca="1">Log_2019[[#This Row],[Amount]]/Log_2019[[#This Row],[Split_raw]]*MAX(0,MIN(_xlfn.DAYS(EDATE(P$1,1),Log_2019[[#This Row],[Date]]),Log_2019[[#This Row],[Split_apply]])) - SUM($O224:O224)</f>
        <v>0</v>
      </c>
      <c r="Q224" s="52">
        <f ca="1">Log_2019[[#This Row],[Amount]]/Log_2019[[#This Row],[Split_raw]]*MAX(0,MIN(_xlfn.DAYS(EDATE(Q$1,1),Log_2019[[#This Row],[Date]]),Log_2019[[#This Row],[Split_apply]])) - SUM($O224:P224)</f>
        <v>0</v>
      </c>
      <c r="R224" s="52">
        <f ca="1">Log_2019[[#This Row],[Amount]]/Log_2019[[#This Row],[Split_raw]]*MAX(0,MIN(_xlfn.DAYS(EDATE(R$1,1),Log_2019[[#This Row],[Date]]),Log_2019[[#This Row],[Split_apply]])) - SUM($O224:Q224)</f>
        <v>0</v>
      </c>
      <c r="S224" s="52">
        <f ca="1">Log_2019[[#This Row],[Amount]]/Log_2019[[#This Row],[Split_raw]]*MAX(0,MIN(_xlfn.DAYS(EDATE(S$1,1),Log_2019[[#This Row],[Date]]),Log_2019[[#This Row],[Split_apply]])) - SUM($O224:R224)</f>
        <v>0</v>
      </c>
      <c r="T224" s="52">
        <f ca="1">Log_2019[[#This Row],[Amount]]/Log_2019[[#This Row],[Split_raw]]*MAX(0,MIN(_xlfn.DAYS(EDATE(T$1,1),Log_2019[[#This Row],[Date]]),Log_2019[[#This Row],[Split_apply]])) - SUM($O224:S224)</f>
        <v>0</v>
      </c>
      <c r="U224" s="52">
        <f ca="1">Log_2019[[#This Row],[Amount]]/Log_2019[[#This Row],[Split_raw]]*MAX(0,MIN(_xlfn.DAYS(EDATE(U$1,1),Log_2019[[#This Row],[Date]]),Log_2019[[#This Row],[Split_apply]])) - SUM($O224:T224)</f>
        <v>0</v>
      </c>
      <c r="V224" s="52">
        <f ca="1">Log_2019[[#This Row],[Amount]]/Log_2019[[#This Row],[Split_raw]]*MAX(0,MIN(_xlfn.DAYS(EDATE(V$1,1),Log_2019[[#This Row],[Date]]),Log_2019[[#This Row],[Split_apply]])) - SUM($O224:U224)</f>
        <v>0</v>
      </c>
      <c r="W224" s="52">
        <f ca="1">Log_2019[[#This Row],[Amount]]/Log_2019[[#This Row],[Split_raw]]*MAX(0,MIN(_xlfn.DAYS(EDATE(W$1,1),Log_2019[[#This Row],[Date]]),Log_2019[[#This Row],[Split_apply]])) - SUM($O224:V224)</f>
        <v>0</v>
      </c>
      <c r="X224" s="52">
        <f ca="1">Log_2019[[#This Row],[Amount]]/Log_2019[[#This Row],[Split_raw]]*MAX(0,MIN(_xlfn.DAYS(EDATE(X$1,1),Log_2019[[#This Row],[Date]]),Log_2019[[#This Row],[Split_apply]])) - SUM($O224:W224)</f>
        <v>-24.516666666666666</v>
      </c>
      <c r="Y224" s="52">
        <f ca="1">Log_2019[[#This Row],[Amount]]/Log_2019[[#This Row],[Split_raw]]*MAX(0,MIN(_xlfn.DAYS(EDATE(Y$1,1),Log_2019[[#This Row],[Date]]),Log_2019[[#This Row],[Split_apply]])) - SUM($O224:X224)</f>
        <v>-4.903333333333336</v>
      </c>
      <c r="Z224" s="52">
        <f ca="1">Log_2019[[#This Row],[Amount]]/Log_2019[[#This Row],[Split_raw]]*MAX(0,MIN(_xlfn.DAYS(EDATE(Z$1,1),Log_2019[[#This Row],[Date]]),Log_2019[[#This Row],[Split_apply]])) - SUM($O224:Y224)</f>
        <v>0</v>
      </c>
      <c r="AA224" s="52">
        <f ca="1">Log_2019[[#This Row],[Amount]]/Log_2019[[#This Row],[Split_raw]]*MAX(0,MIN(_xlfn.DAYS(EDATE(AA$1,1),Log_2019[[#This Row],[Date]]),Log_2019[[#This Row],[Split_apply]])) - SUM($O224:Z224)</f>
        <v>0</v>
      </c>
      <c r="AB224" s="54">
        <f ca="1">Log_2019[[#This Row],[Amount]]-SUM(O224:AA224)</f>
        <v>0</v>
      </c>
      <c r="AC224" s="7">
        <f>MAX(0,Log_2019[[#This Row],[Split_raw]] - (EDATE(AA$1,1)-Log_2019[[#This Row],[Date]]))</f>
        <v>0</v>
      </c>
    </row>
    <row r="225" spans="1:29" x14ac:dyDescent="0.25">
      <c r="A225" s="42"/>
      <c r="B225" s="34" t="s">
        <v>6</v>
      </c>
      <c r="C225" s="34"/>
      <c r="D225" s="35">
        <v>43713</v>
      </c>
      <c r="E225" s="34"/>
      <c r="F225" s="34" t="s">
        <v>686</v>
      </c>
      <c r="G225" s="34" t="s">
        <v>29</v>
      </c>
      <c r="H225">
        <v>-21.46</v>
      </c>
      <c r="I225" s="36">
        <f>IF(Log_2019[[#This Row],[My Category]]="NONTRACKED",0,Log_2019[[#This Row],[Raw Amount]])</f>
        <v>-21.46</v>
      </c>
      <c r="J225" s="37">
        <f>ABS(Log_2019[[#This Row],[Amount]])</f>
        <v>21.46</v>
      </c>
      <c r="K225" s="38">
        <v>30</v>
      </c>
      <c r="L225" s="38">
        <f ca="1">IF(Log_2019[[#This Row],[Date]]&lt;=TODAY(), MIN(Log_2019[[#This Row],[Split_raw]], TODAY()-Log_2019[[#This Row],[Date]]+1), 0)</f>
        <v>30</v>
      </c>
      <c r="M225" s="34" t="s">
        <v>29</v>
      </c>
      <c r="N225" s="34" t="s">
        <v>160</v>
      </c>
      <c r="O225" s="7">
        <v>0</v>
      </c>
      <c r="P225" s="52">
        <f ca="1">Log_2019[[#This Row],[Amount]]/Log_2019[[#This Row],[Split_raw]]*MAX(0,MIN(_xlfn.DAYS(EDATE(P$1,1),Log_2019[[#This Row],[Date]]),Log_2019[[#This Row],[Split_apply]])) - SUM($O225:O225)</f>
        <v>0</v>
      </c>
      <c r="Q225" s="52">
        <f ca="1">Log_2019[[#This Row],[Amount]]/Log_2019[[#This Row],[Split_raw]]*MAX(0,MIN(_xlfn.DAYS(EDATE(Q$1,1),Log_2019[[#This Row],[Date]]),Log_2019[[#This Row],[Split_apply]])) - SUM($O225:P225)</f>
        <v>0</v>
      </c>
      <c r="R225" s="52">
        <f ca="1">Log_2019[[#This Row],[Amount]]/Log_2019[[#This Row],[Split_raw]]*MAX(0,MIN(_xlfn.DAYS(EDATE(R$1,1),Log_2019[[#This Row],[Date]]),Log_2019[[#This Row],[Split_apply]])) - SUM($O225:Q225)</f>
        <v>0</v>
      </c>
      <c r="S225" s="52">
        <f ca="1">Log_2019[[#This Row],[Amount]]/Log_2019[[#This Row],[Split_raw]]*MAX(0,MIN(_xlfn.DAYS(EDATE(S$1,1),Log_2019[[#This Row],[Date]]),Log_2019[[#This Row],[Split_apply]])) - SUM($O225:R225)</f>
        <v>0</v>
      </c>
      <c r="T225" s="52">
        <f ca="1">Log_2019[[#This Row],[Amount]]/Log_2019[[#This Row],[Split_raw]]*MAX(0,MIN(_xlfn.DAYS(EDATE(T$1,1),Log_2019[[#This Row],[Date]]),Log_2019[[#This Row],[Split_apply]])) - SUM($O225:S225)</f>
        <v>0</v>
      </c>
      <c r="U225" s="52">
        <f ca="1">Log_2019[[#This Row],[Amount]]/Log_2019[[#This Row],[Split_raw]]*MAX(0,MIN(_xlfn.DAYS(EDATE(U$1,1),Log_2019[[#This Row],[Date]]),Log_2019[[#This Row],[Split_apply]])) - SUM($O225:T225)</f>
        <v>0</v>
      </c>
      <c r="V225" s="52">
        <f ca="1">Log_2019[[#This Row],[Amount]]/Log_2019[[#This Row],[Split_raw]]*MAX(0,MIN(_xlfn.DAYS(EDATE(V$1,1),Log_2019[[#This Row],[Date]]),Log_2019[[#This Row],[Split_apply]])) - SUM($O225:U225)</f>
        <v>0</v>
      </c>
      <c r="W225" s="52">
        <f ca="1">Log_2019[[#This Row],[Amount]]/Log_2019[[#This Row],[Split_raw]]*MAX(0,MIN(_xlfn.DAYS(EDATE(W$1,1),Log_2019[[#This Row],[Date]]),Log_2019[[#This Row],[Split_apply]])) - SUM($O225:V225)</f>
        <v>0</v>
      </c>
      <c r="X225" s="52">
        <f ca="1">Log_2019[[#This Row],[Amount]]/Log_2019[[#This Row],[Split_raw]]*MAX(0,MIN(_xlfn.DAYS(EDATE(X$1,1),Log_2019[[#This Row],[Date]]),Log_2019[[#This Row],[Split_apply]])) - SUM($O225:W225)</f>
        <v>-18.598666666666666</v>
      </c>
      <c r="Y225" s="52">
        <f ca="1">Log_2019[[#This Row],[Amount]]/Log_2019[[#This Row],[Split_raw]]*MAX(0,MIN(_xlfn.DAYS(EDATE(Y$1,1),Log_2019[[#This Row],[Date]]),Log_2019[[#This Row],[Split_apply]])) - SUM($O225:X225)</f>
        <v>-2.8613333333333344</v>
      </c>
      <c r="Z225" s="52">
        <f ca="1">Log_2019[[#This Row],[Amount]]/Log_2019[[#This Row],[Split_raw]]*MAX(0,MIN(_xlfn.DAYS(EDATE(Z$1,1),Log_2019[[#This Row],[Date]]),Log_2019[[#This Row],[Split_apply]])) - SUM($O225:Y225)</f>
        <v>0</v>
      </c>
      <c r="AA225" s="52">
        <f ca="1">Log_2019[[#This Row],[Amount]]/Log_2019[[#This Row],[Split_raw]]*MAX(0,MIN(_xlfn.DAYS(EDATE(AA$1,1),Log_2019[[#This Row],[Date]]),Log_2019[[#This Row],[Split_apply]])) - SUM($O225:Z225)</f>
        <v>0</v>
      </c>
      <c r="AB225" s="54">
        <f ca="1">Log_2019[[#This Row],[Amount]]-SUM(O225:AA225)</f>
        <v>0</v>
      </c>
      <c r="AC225" s="7">
        <f>MAX(0,Log_2019[[#This Row],[Split_raw]] - (EDATE(AA$1,1)-Log_2019[[#This Row],[Date]]))</f>
        <v>0</v>
      </c>
    </row>
    <row r="226" spans="1:29" x14ac:dyDescent="0.25">
      <c r="A226" s="42"/>
      <c r="B226" s="34" t="s">
        <v>6</v>
      </c>
      <c r="C226" s="34"/>
      <c r="D226" s="35">
        <v>43713</v>
      </c>
      <c r="E226" s="34"/>
      <c r="F226" s="34" t="s">
        <v>673</v>
      </c>
      <c r="G226" s="34" t="s">
        <v>25</v>
      </c>
      <c r="H226">
        <v>-9.7100000000000009</v>
      </c>
      <c r="I226" s="36">
        <f>IF(Log_2019[[#This Row],[My Category]]="NONTRACKED",0,Log_2019[[#This Row],[Raw Amount]])</f>
        <v>-9.7100000000000009</v>
      </c>
      <c r="J226" s="37">
        <f>ABS(Log_2019[[#This Row],[Amount]])</f>
        <v>9.7100000000000009</v>
      </c>
      <c r="K226" s="38">
        <v>1</v>
      </c>
      <c r="L226" s="38">
        <f ca="1">IF(Log_2019[[#This Row],[Date]]&lt;=TODAY(), MIN(Log_2019[[#This Row],[Split_raw]], TODAY()-Log_2019[[#This Row],[Date]]+1), 0)</f>
        <v>1</v>
      </c>
      <c r="M226" s="34" t="s">
        <v>35</v>
      </c>
      <c r="N226" s="34" t="s">
        <v>158</v>
      </c>
      <c r="O226" s="7">
        <v>0</v>
      </c>
      <c r="P226" s="52">
        <f ca="1">Log_2019[[#This Row],[Amount]]/Log_2019[[#This Row],[Split_raw]]*MAX(0,MIN(_xlfn.DAYS(EDATE(P$1,1),Log_2019[[#This Row],[Date]]),Log_2019[[#This Row],[Split_apply]])) - SUM($O226:O226)</f>
        <v>0</v>
      </c>
      <c r="Q226" s="52">
        <f ca="1">Log_2019[[#This Row],[Amount]]/Log_2019[[#This Row],[Split_raw]]*MAX(0,MIN(_xlfn.DAYS(EDATE(Q$1,1),Log_2019[[#This Row],[Date]]),Log_2019[[#This Row],[Split_apply]])) - SUM($O226:P226)</f>
        <v>0</v>
      </c>
      <c r="R226" s="52">
        <f ca="1">Log_2019[[#This Row],[Amount]]/Log_2019[[#This Row],[Split_raw]]*MAX(0,MIN(_xlfn.DAYS(EDATE(R$1,1),Log_2019[[#This Row],[Date]]),Log_2019[[#This Row],[Split_apply]])) - SUM($O226:Q226)</f>
        <v>0</v>
      </c>
      <c r="S226" s="52">
        <f ca="1">Log_2019[[#This Row],[Amount]]/Log_2019[[#This Row],[Split_raw]]*MAX(0,MIN(_xlfn.DAYS(EDATE(S$1,1),Log_2019[[#This Row],[Date]]),Log_2019[[#This Row],[Split_apply]])) - SUM($O226:R226)</f>
        <v>0</v>
      </c>
      <c r="T226" s="52">
        <f ca="1">Log_2019[[#This Row],[Amount]]/Log_2019[[#This Row],[Split_raw]]*MAX(0,MIN(_xlfn.DAYS(EDATE(T$1,1),Log_2019[[#This Row],[Date]]),Log_2019[[#This Row],[Split_apply]])) - SUM($O226:S226)</f>
        <v>0</v>
      </c>
      <c r="U226" s="52">
        <f ca="1">Log_2019[[#This Row],[Amount]]/Log_2019[[#This Row],[Split_raw]]*MAX(0,MIN(_xlfn.DAYS(EDATE(U$1,1),Log_2019[[#This Row],[Date]]),Log_2019[[#This Row],[Split_apply]])) - SUM($O226:T226)</f>
        <v>0</v>
      </c>
      <c r="V226" s="52">
        <f ca="1">Log_2019[[#This Row],[Amount]]/Log_2019[[#This Row],[Split_raw]]*MAX(0,MIN(_xlfn.DAYS(EDATE(V$1,1),Log_2019[[#This Row],[Date]]),Log_2019[[#This Row],[Split_apply]])) - SUM($O226:U226)</f>
        <v>0</v>
      </c>
      <c r="W226" s="52">
        <f ca="1">Log_2019[[#This Row],[Amount]]/Log_2019[[#This Row],[Split_raw]]*MAX(0,MIN(_xlfn.DAYS(EDATE(W$1,1),Log_2019[[#This Row],[Date]]),Log_2019[[#This Row],[Split_apply]])) - SUM($O226:V226)</f>
        <v>0</v>
      </c>
      <c r="X226" s="52">
        <f ca="1">Log_2019[[#This Row],[Amount]]/Log_2019[[#This Row],[Split_raw]]*MAX(0,MIN(_xlfn.DAYS(EDATE(X$1,1),Log_2019[[#This Row],[Date]]),Log_2019[[#This Row],[Split_apply]])) - SUM($O226:W226)</f>
        <v>-9.7100000000000009</v>
      </c>
      <c r="Y226" s="52">
        <f ca="1">Log_2019[[#This Row],[Amount]]/Log_2019[[#This Row],[Split_raw]]*MAX(0,MIN(_xlfn.DAYS(EDATE(Y$1,1),Log_2019[[#This Row],[Date]]),Log_2019[[#This Row],[Split_apply]])) - SUM($O226:X226)</f>
        <v>0</v>
      </c>
      <c r="Z226" s="52">
        <f ca="1">Log_2019[[#This Row],[Amount]]/Log_2019[[#This Row],[Split_raw]]*MAX(0,MIN(_xlfn.DAYS(EDATE(Z$1,1),Log_2019[[#This Row],[Date]]),Log_2019[[#This Row],[Split_apply]])) - SUM($O226:Y226)</f>
        <v>0</v>
      </c>
      <c r="AA226" s="52">
        <f ca="1">Log_2019[[#This Row],[Amount]]/Log_2019[[#This Row],[Split_raw]]*MAX(0,MIN(_xlfn.DAYS(EDATE(AA$1,1),Log_2019[[#This Row],[Date]]),Log_2019[[#This Row],[Split_apply]])) - SUM($O226:Z226)</f>
        <v>0</v>
      </c>
      <c r="AB226" s="54">
        <f ca="1">Log_2019[[#This Row],[Amount]]-SUM(O226:AA226)</f>
        <v>0</v>
      </c>
      <c r="AC226" s="7">
        <f>MAX(0,Log_2019[[#This Row],[Split_raw]] - (EDATE(AA$1,1)-Log_2019[[#This Row],[Date]]))</f>
        <v>0</v>
      </c>
    </row>
    <row r="227" spans="1:29" x14ac:dyDescent="0.25">
      <c r="A227" s="42"/>
      <c r="B227" s="34" t="s">
        <v>6</v>
      </c>
      <c r="C227" s="34"/>
      <c r="D227" s="35">
        <v>43713</v>
      </c>
      <c r="E227" s="34"/>
      <c r="F227" s="34" t="s">
        <v>689</v>
      </c>
      <c r="G227" s="34" t="s">
        <v>19</v>
      </c>
      <c r="H227">
        <v>-13.25</v>
      </c>
      <c r="I227" s="36">
        <f>IF(Log_2019[[#This Row],[My Category]]="NONTRACKED",0,Log_2019[[#This Row],[Raw Amount]])</f>
        <v>-13.25</v>
      </c>
      <c r="J227" s="37">
        <f>ABS(Log_2019[[#This Row],[Amount]])</f>
        <v>13.25</v>
      </c>
      <c r="K227" s="38">
        <v>1</v>
      </c>
      <c r="L227" s="38">
        <f ca="1">IF(Log_2019[[#This Row],[Date]]&lt;=TODAY(), MIN(Log_2019[[#This Row],[Split_raw]], TODAY()-Log_2019[[#This Row],[Date]]+1), 0)</f>
        <v>1</v>
      </c>
      <c r="M227" s="34" t="s">
        <v>35</v>
      </c>
      <c r="N227" s="34" t="s">
        <v>158</v>
      </c>
      <c r="O227" s="7">
        <v>0</v>
      </c>
      <c r="P227" s="52">
        <f ca="1">Log_2019[[#This Row],[Amount]]/Log_2019[[#This Row],[Split_raw]]*MAX(0,MIN(_xlfn.DAYS(EDATE(P$1,1),Log_2019[[#This Row],[Date]]),Log_2019[[#This Row],[Split_apply]])) - SUM($O227:O227)</f>
        <v>0</v>
      </c>
      <c r="Q227" s="52">
        <f ca="1">Log_2019[[#This Row],[Amount]]/Log_2019[[#This Row],[Split_raw]]*MAX(0,MIN(_xlfn.DAYS(EDATE(Q$1,1),Log_2019[[#This Row],[Date]]),Log_2019[[#This Row],[Split_apply]])) - SUM($O227:P227)</f>
        <v>0</v>
      </c>
      <c r="R227" s="52">
        <f ca="1">Log_2019[[#This Row],[Amount]]/Log_2019[[#This Row],[Split_raw]]*MAX(0,MIN(_xlfn.DAYS(EDATE(R$1,1),Log_2019[[#This Row],[Date]]),Log_2019[[#This Row],[Split_apply]])) - SUM($O227:Q227)</f>
        <v>0</v>
      </c>
      <c r="S227" s="52">
        <f ca="1">Log_2019[[#This Row],[Amount]]/Log_2019[[#This Row],[Split_raw]]*MAX(0,MIN(_xlfn.DAYS(EDATE(S$1,1),Log_2019[[#This Row],[Date]]),Log_2019[[#This Row],[Split_apply]])) - SUM($O227:R227)</f>
        <v>0</v>
      </c>
      <c r="T227" s="52">
        <f ca="1">Log_2019[[#This Row],[Amount]]/Log_2019[[#This Row],[Split_raw]]*MAX(0,MIN(_xlfn.DAYS(EDATE(T$1,1),Log_2019[[#This Row],[Date]]),Log_2019[[#This Row],[Split_apply]])) - SUM($O227:S227)</f>
        <v>0</v>
      </c>
      <c r="U227" s="52">
        <f ca="1">Log_2019[[#This Row],[Amount]]/Log_2019[[#This Row],[Split_raw]]*MAX(0,MIN(_xlfn.DAYS(EDATE(U$1,1),Log_2019[[#This Row],[Date]]),Log_2019[[#This Row],[Split_apply]])) - SUM($O227:T227)</f>
        <v>0</v>
      </c>
      <c r="V227" s="52">
        <f ca="1">Log_2019[[#This Row],[Amount]]/Log_2019[[#This Row],[Split_raw]]*MAX(0,MIN(_xlfn.DAYS(EDATE(V$1,1),Log_2019[[#This Row],[Date]]),Log_2019[[#This Row],[Split_apply]])) - SUM($O227:U227)</f>
        <v>0</v>
      </c>
      <c r="W227" s="52">
        <f ca="1">Log_2019[[#This Row],[Amount]]/Log_2019[[#This Row],[Split_raw]]*MAX(0,MIN(_xlfn.DAYS(EDATE(W$1,1),Log_2019[[#This Row],[Date]]),Log_2019[[#This Row],[Split_apply]])) - SUM($O227:V227)</f>
        <v>0</v>
      </c>
      <c r="X227" s="52">
        <f ca="1">Log_2019[[#This Row],[Amount]]/Log_2019[[#This Row],[Split_raw]]*MAX(0,MIN(_xlfn.DAYS(EDATE(X$1,1),Log_2019[[#This Row],[Date]]),Log_2019[[#This Row],[Split_apply]])) - SUM($O227:W227)</f>
        <v>-13.25</v>
      </c>
      <c r="Y227" s="52">
        <f ca="1">Log_2019[[#This Row],[Amount]]/Log_2019[[#This Row],[Split_raw]]*MAX(0,MIN(_xlfn.DAYS(EDATE(Y$1,1),Log_2019[[#This Row],[Date]]),Log_2019[[#This Row],[Split_apply]])) - SUM($O227:X227)</f>
        <v>0</v>
      </c>
      <c r="Z227" s="52">
        <f ca="1">Log_2019[[#This Row],[Amount]]/Log_2019[[#This Row],[Split_raw]]*MAX(0,MIN(_xlfn.DAYS(EDATE(Z$1,1),Log_2019[[#This Row],[Date]]),Log_2019[[#This Row],[Split_apply]])) - SUM($O227:Y227)</f>
        <v>0</v>
      </c>
      <c r="AA227" s="52">
        <f ca="1">Log_2019[[#This Row],[Amount]]/Log_2019[[#This Row],[Split_raw]]*MAX(0,MIN(_xlfn.DAYS(EDATE(AA$1,1),Log_2019[[#This Row],[Date]]),Log_2019[[#This Row],[Split_apply]])) - SUM($O227:Z227)</f>
        <v>0</v>
      </c>
      <c r="AB227" s="54">
        <f ca="1">Log_2019[[#This Row],[Amount]]-SUM(O227:AA227)</f>
        <v>0</v>
      </c>
      <c r="AC227" s="7">
        <f>MAX(0,Log_2019[[#This Row],[Split_raw]] - (EDATE(AA$1,1)-Log_2019[[#This Row],[Date]]))</f>
        <v>0</v>
      </c>
    </row>
    <row r="228" spans="1:29" x14ac:dyDescent="0.25">
      <c r="A228" s="42"/>
      <c r="B228" s="34" t="s">
        <v>6</v>
      </c>
      <c r="C228" s="34"/>
      <c r="D228" s="35">
        <v>43713</v>
      </c>
      <c r="E228" s="34"/>
      <c r="F228" s="34" t="s">
        <v>255</v>
      </c>
      <c r="G228" s="34" t="s">
        <v>10</v>
      </c>
      <c r="H228">
        <v>-28.61</v>
      </c>
      <c r="I228" s="36">
        <f>IF(Log_2019[[#This Row],[My Category]]="NONTRACKED",0,Log_2019[[#This Row],[Raw Amount]])</f>
        <v>-28.61</v>
      </c>
      <c r="J228" s="37">
        <f>ABS(Log_2019[[#This Row],[Amount]])</f>
        <v>28.61</v>
      </c>
      <c r="K228" s="38">
        <v>1</v>
      </c>
      <c r="L228" s="38">
        <f ca="1">IF(Log_2019[[#This Row],[Date]]&lt;=TODAY(), MIN(Log_2019[[#This Row],[Split_raw]], TODAY()-Log_2019[[#This Row],[Date]]+1), 0)</f>
        <v>1</v>
      </c>
      <c r="M228" s="34" t="s">
        <v>52</v>
      </c>
      <c r="N228" s="34" t="s">
        <v>158</v>
      </c>
      <c r="O228" s="7">
        <v>0</v>
      </c>
      <c r="P228" s="52">
        <f ca="1">Log_2019[[#This Row],[Amount]]/Log_2019[[#This Row],[Split_raw]]*MAX(0,MIN(_xlfn.DAYS(EDATE(P$1,1),Log_2019[[#This Row],[Date]]),Log_2019[[#This Row],[Split_apply]])) - SUM($O228:O228)</f>
        <v>0</v>
      </c>
      <c r="Q228" s="52">
        <f ca="1">Log_2019[[#This Row],[Amount]]/Log_2019[[#This Row],[Split_raw]]*MAX(0,MIN(_xlfn.DAYS(EDATE(Q$1,1),Log_2019[[#This Row],[Date]]),Log_2019[[#This Row],[Split_apply]])) - SUM($O228:P228)</f>
        <v>0</v>
      </c>
      <c r="R228" s="52">
        <f ca="1">Log_2019[[#This Row],[Amount]]/Log_2019[[#This Row],[Split_raw]]*MAX(0,MIN(_xlfn.DAYS(EDATE(R$1,1),Log_2019[[#This Row],[Date]]),Log_2019[[#This Row],[Split_apply]])) - SUM($O228:Q228)</f>
        <v>0</v>
      </c>
      <c r="S228" s="52">
        <f ca="1">Log_2019[[#This Row],[Amount]]/Log_2019[[#This Row],[Split_raw]]*MAX(0,MIN(_xlfn.DAYS(EDATE(S$1,1),Log_2019[[#This Row],[Date]]),Log_2019[[#This Row],[Split_apply]])) - SUM($O228:R228)</f>
        <v>0</v>
      </c>
      <c r="T228" s="52">
        <f ca="1">Log_2019[[#This Row],[Amount]]/Log_2019[[#This Row],[Split_raw]]*MAX(0,MIN(_xlfn.DAYS(EDATE(T$1,1),Log_2019[[#This Row],[Date]]),Log_2019[[#This Row],[Split_apply]])) - SUM($O228:S228)</f>
        <v>0</v>
      </c>
      <c r="U228" s="52">
        <f ca="1">Log_2019[[#This Row],[Amount]]/Log_2019[[#This Row],[Split_raw]]*MAX(0,MIN(_xlfn.DAYS(EDATE(U$1,1),Log_2019[[#This Row],[Date]]),Log_2019[[#This Row],[Split_apply]])) - SUM($O228:T228)</f>
        <v>0</v>
      </c>
      <c r="V228" s="52">
        <f ca="1">Log_2019[[#This Row],[Amount]]/Log_2019[[#This Row],[Split_raw]]*MAX(0,MIN(_xlfn.DAYS(EDATE(V$1,1),Log_2019[[#This Row],[Date]]),Log_2019[[#This Row],[Split_apply]])) - SUM($O228:U228)</f>
        <v>0</v>
      </c>
      <c r="W228" s="52">
        <f ca="1">Log_2019[[#This Row],[Amount]]/Log_2019[[#This Row],[Split_raw]]*MAX(0,MIN(_xlfn.DAYS(EDATE(W$1,1),Log_2019[[#This Row],[Date]]),Log_2019[[#This Row],[Split_apply]])) - SUM($O228:V228)</f>
        <v>0</v>
      </c>
      <c r="X228" s="52">
        <f ca="1">Log_2019[[#This Row],[Amount]]/Log_2019[[#This Row],[Split_raw]]*MAX(0,MIN(_xlfn.DAYS(EDATE(X$1,1),Log_2019[[#This Row],[Date]]),Log_2019[[#This Row],[Split_apply]])) - SUM($O228:W228)</f>
        <v>-28.61</v>
      </c>
      <c r="Y228" s="52">
        <f ca="1">Log_2019[[#This Row],[Amount]]/Log_2019[[#This Row],[Split_raw]]*MAX(0,MIN(_xlfn.DAYS(EDATE(Y$1,1),Log_2019[[#This Row],[Date]]),Log_2019[[#This Row],[Split_apply]])) - SUM($O228:X228)</f>
        <v>0</v>
      </c>
      <c r="Z228" s="52">
        <f ca="1">Log_2019[[#This Row],[Amount]]/Log_2019[[#This Row],[Split_raw]]*MAX(0,MIN(_xlfn.DAYS(EDATE(Z$1,1),Log_2019[[#This Row],[Date]]),Log_2019[[#This Row],[Split_apply]])) - SUM($O228:Y228)</f>
        <v>0</v>
      </c>
      <c r="AA228" s="52">
        <f ca="1">Log_2019[[#This Row],[Amount]]/Log_2019[[#This Row],[Split_raw]]*MAX(0,MIN(_xlfn.DAYS(EDATE(AA$1,1),Log_2019[[#This Row],[Date]]),Log_2019[[#This Row],[Split_apply]])) - SUM($O228:Z228)</f>
        <v>0</v>
      </c>
      <c r="AB228" s="54">
        <f ca="1">Log_2019[[#This Row],[Amount]]-SUM(O228:AA228)</f>
        <v>0</v>
      </c>
      <c r="AC228" s="7">
        <f>MAX(0,Log_2019[[#This Row],[Split_raw]] - (EDATE(AA$1,1)-Log_2019[[#This Row],[Date]]))</f>
        <v>0</v>
      </c>
    </row>
    <row r="229" spans="1:29" x14ac:dyDescent="0.25">
      <c r="A229" s="42"/>
      <c r="B229" s="34" t="s">
        <v>6</v>
      </c>
      <c r="C229" s="34"/>
      <c r="D229" s="35">
        <v>43713</v>
      </c>
      <c r="E229" s="34"/>
      <c r="F229" s="34" t="s">
        <v>255</v>
      </c>
      <c r="G229" s="34" t="s">
        <v>10</v>
      </c>
      <c r="H229">
        <v>-3.28</v>
      </c>
      <c r="I229" s="36">
        <f>IF(Log_2019[[#This Row],[My Category]]="NONTRACKED",0,Log_2019[[#This Row],[Raw Amount]])</f>
        <v>-3.28</v>
      </c>
      <c r="J229" s="37">
        <f>ABS(Log_2019[[#This Row],[Amount]])</f>
        <v>3.28</v>
      </c>
      <c r="K229" s="38">
        <v>1</v>
      </c>
      <c r="L229" s="38">
        <f ca="1">IF(Log_2019[[#This Row],[Date]]&lt;=TODAY(), MIN(Log_2019[[#This Row],[Split_raw]], TODAY()-Log_2019[[#This Row],[Date]]+1), 0)</f>
        <v>1</v>
      </c>
      <c r="M229" s="34" t="s">
        <v>35</v>
      </c>
      <c r="N229" s="34" t="s">
        <v>158</v>
      </c>
      <c r="O229" s="7">
        <v>0</v>
      </c>
      <c r="P229" s="52">
        <f ca="1">Log_2019[[#This Row],[Amount]]/Log_2019[[#This Row],[Split_raw]]*MAX(0,MIN(_xlfn.DAYS(EDATE(P$1,1),Log_2019[[#This Row],[Date]]),Log_2019[[#This Row],[Split_apply]])) - SUM($O229:O229)</f>
        <v>0</v>
      </c>
      <c r="Q229" s="52">
        <f ca="1">Log_2019[[#This Row],[Amount]]/Log_2019[[#This Row],[Split_raw]]*MAX(0,MIN(_xlfn.DAYS(EDATE(Q$1,1),Log_2019[[#This Row],[Date]]),Log_2019[[#This Row],[Split_apply]])) - SUM($O229:P229)</f>
        <v>0</v>
      </c>
      <c r="R229" s="52">
        <f ca="1">Log_2019[[#This Row],[Amount]]/Log_2019[[#This Row],[Split_raw]]*MAX(0,MIN(_xlfn.DAYS(EDATE(R$1,1),Log_2019[[#This Row],[Date]]),Log_2019[[#This Row],[Split_apply]])) - SUM($O229:Q229)</f>
        <v>0</v>
      </c>
      <c r="S229" s="52">
        <f ca="1">Log_2019[[#This Row],[Amount]]/Log_2019[[#This Row],[Split_raw]]*MAX(0,MIN(_xlfn.DAYS(EDATE(S$1,1),Log_2019[[#This Row],[Date]]),Log_2019[[#This Row],[Split_apply]])) - SUM($O229:R229)</f>
        <v>0</v>
      </c>
      <c r="T229" s="52">
        <f ca="1">Log_2019[[#This Row],[Amount]]/Log_2019[[#This Row],[Split_raw]]*MAX(0,MIN(_xlfn.DAYS(EDATE(T$1,1),Log_2019[[#This Row],[Date]]),Log_2019[[#This Row],[Split_apply]])) - SUM($O229:S229)</f>
        <v>0</v>
      </c>
      <c r="U229" s="52">
        <f ca="1">Log_2019[[#This Row],[Amount]]/Log_2019[[#This Row],[Split_raw]]*MAX(0,MIN(_xlfn.DAYS(EDATE(U$1,1),Log_2019[[#This Row],[Date]]),Log_2019[[#This Row],[Split_apply]])) - SUM($O229:T229)</f>
        <v>0</v>
      </c>
      <c r="V229" s="52">
        <f ca="1">Log_2019[[#This Row],[Amount]]/Log_2019[[#This Row],[Split_raw]]*MAX(0,MIN(_xlfn.DAYS(EDATE(V$1,1),Log_2019[[#This Row],[Date]]),Log_2019[[#This Row],[Split_apply]])) - SUM($O229:U229)</f>
        <v>0</v>
      </c>
      <c r="W229" s="52">
        <f ca="1">Log_2019[[#This Row],[Amount]]/Log_2019[[#This Row],[Split_raw]]*MAX(0,MIN(_xlfn.DAYS(EDATE(W$1,1),Log_2019[[#This Row],[Date]]),Log_2019[[#This Row],[Split_apply]])) - SUM($O229:V229)</f>
        <v>0</v>
      </c>
      <c r="X229" s="52">
        <f ca="1">Log_2019[[#This Row],[Amount]]/Log_2019[[#This Row],[Split_raw]]*MAX(0,MIN(_xlfn.DAYS(EDATE(X$1,1),Log_2019[[#This Row],[Date]]),Log_2019[[#This Row],[Split_apply]])) - SUM($O229:W229)</f>
        <v>-3.28</v>
      </c>
      <c r="Y229" s="52">
        <f ca="1">Log_2019[[#This Row],[Amount]]/Log_2019[[#This Row],[Split_raw]]*MAX(0,MIN(_xlfn.DAYS(EDATE(Y$1,1),Log_2019[[#This Row],[Date]]),Log_2019[[#This Row],[Split_apply]])) - SUM($O229:X229)</f>
        <v>0</v>
      </c>
      <c r="Z229" s="52">
        <f ca="1">Log_2019[[#This Row],[Amount]]/Log_2019[[#This Row],[Split_raw]]*MAX(0,MIN(_xlfn.DAYS(EDATE(Z$1,1),Log_2019[[#This Row],[Date]]),Log_2019[[#This Row],[Split_apply]])) - SUM($O229:Y229)</f>
        <v>0</v>
      </c>
      <c r="AA229" s="52">
        <f ca="1">Log_2019[[#This Row],[Amount]]/Log_2019[[#This Row],[Split_raw]]*MAX(0,MIN(_xlfn.DAYS(EDATE(AA$1,1),Log_2019[[#This Row],[Date]]),Log_2019[[#This Row],[Split_apply]])) - SUM($O229:Z229)</f>
        <v>0</v>
      </c>
      <c r="AB229" s="54">
        <f ca="1">Log_2019[[#This Row],[Amount]]-SUM(O229:AA229)</f>
        <v>0</v>
      </c>
      <c r="AC229" s="7">
        <f>MAX(0,Log_2019[[#This Row],[Split_raw]] - (EDATE(AA$1,1)-Log_2019[[#This Row],[Date]]))</f>
        <v>0</v>
      </c>
    </row>
    <row r="230" spans="1:29" x14ac:dyDescent="0.25">
      <c r="A230" s="42"/>
      <c r="B230" s="34" t="s">
        <v>6</v>
      </c>
      <c r="C230" s="34"/>
      <c r="D230" s="35">
        <v>43712</v>
      </c>
      <c r="E230" s="34"/>
      <c r="F230" s="34" t="s">
        <v>527</v>
      </c>
      <c r="G230" s="34" t="s">
        <v>20</v>
      </c>
      <c r="H230">
        <v>-1600</v>
      </c>
      <c r="I230" s="36">
        <f>IF(Log_2019[[#This Row],[My Category]]="NONTRACKED",0,Log_2019[[#This Row],[Raw Amount]])</f>
        <v>-1600</v>
      </c>
      <c r="J230" s="37">
        <f>ABS(Log_2019[[#This Row],[Amount]])</f>
        <v>1600</v>
      </c>
      <c r="K230" s="38">
        <v>30</v>
      </c>
      <c r="L230" s="38">
        <f ca="1">IF(Log_2019[[#This Row],[Date]]&lt;=TODAY(), MIN(Log_2019[[#This Row],[Split_raw]], TODAY()-Log_2019[[#This Row],[Date]]+1), 0)</f>
        <v>30</v>
      </c>
      <c r="M230" s="34" t="s">
        <v>28</v>
      </c>
      <c r="N230" s="34" t="s">
        <v>160</v>
      </c>
      <c r="O230" s="7">
        <v>0</v>
      </c>
      <c r="P230" s="52">
        <f ca="1">Log_2019[[#This Row],[Amount]]/Log_2019[[#This Row],[Split_raw]]*MAX(0,MIN(_xlfn.DAYS(EDATE(P$1,1),Log_2019[[#This Row],[Date]]),Log_2019[[#This Row],[Split_apply]])) - SUM($O230:O230)</f>
        <v>0</v>
      </c>
      <c r="Q230" s="52">
        <f ca="1">Log_2019[[#This Row],[Amount]]/Log_2019[[#This Row],[Split_raw]]*MAX(0,MIN(_xlfn.DAYS(EDATE(Q$1,1),Log_2019[[#This Row],[Date]]),Log_2019[[#This Row],[Split_apply]])) - SUM($O230:P230)</f>
        <v>0</v>
      </c>
      <c r="R230" s="52">
        <f ca="1">Log_2019[[#This Row],[Amount]]/Log_2019[[#This Row],[Split_raw]]*MAX(0,MIN(_xlfn.DAYS(EDATE(R$1,1),Log_2019[[#This Row],[Date]]),Log_2019[[#This Row],[Split_apply]])) - SUM($O230:Q230)</f>
        <v>0</v>
      </c>
      <c r="S230" s="52">
        <f ca="1">Log_2019[[#This Row],[Amount]]/Log_2019[[#This Row],[Split_raw]]*MAX(0,MIN(_xlfn.DAYS(EDATE(S$1,1),Log_2019[[#This Row],[Date]]),Log_2019[[#This Row],[Split_apply]])) - SUM($O230:R230)</f>
        <v>0</v>
      </c>
      <c r="T230" s="52">
        <f ca="1">Log_2019[[#This Row],[Amount]]/Log_2019[[#This Row],[Split_raw]]*MAX(0,MIN(_xlfn.DAYS(EDATE(T$1,1),Log_2019[[#This Row],[Date]]),Log_2019[[#This Row],[Split_apply]])) - SUM($O230:S230)</f>
        <v>0</v>
      </c>
      <c r="U230" s="52">
        <f ca="1">Log_2019[[#This Row],[Amount]]/Log_2019[[#This Row],[Split_raw]]*MAX(0,MIN(_xlfn.DAYS(EDATE(U$1,1),Log_2019[[#This Row],[Date]]),Log_2019[[#This Row],[Split_apply]])) - SUM($O230:T230)</f>
        <v>0</v>
      </c>
      <c r="V230" s="52">
        <f ca="1">Log_2019[[#This Row],[Amount]]/Log_2019[[#This Row],[Split_raw]]*MAX(0,MIN(_xlfn.DAYS(EDATE(V$1,1),Log_2019[[#This Row],[Date]]),Log_2019[[#This Row],[Split_apply]])) - SUM($O230:U230)</f>
        <v>0</v>
      </c>
      <c r="W230" s="52">
        <f ca="1">Log_2019[[#This Row],[Amount]]/Log_2019[[#This Row],[Split_raw]]*MAX(0,MIN(_xlfn.DAYS(EDATE(W$1,1),Log_2019[[#This Row],[Date]]),Log_2019[[#This Row],[Split_apply]])) - SUM($O230:V230)</f>
        <v>0</v>
      </c>
      <c r="X230" s="52">
        <f ca="1">Log_2019[[#This Row],[Amount]]/Log_2019[[#This Row],[Split_raw]]*MAX(0,MIN(_xlfn.DAYS(EDATE(X$1,1),Log_2019[[#This Row],[Date]]),Log_2019[[#This Row],[Split_apply]])) - SUM($O230:W230)</f>
        <v>-1440</v>
      </c>
      <c r="Y230" s="52">
        <f ca="1">Log_2019[[#This Row],[Amount]]/Log_2019[[#This Row],[Split_raw]]*MAX(0,MIN(_xlfn.DAYS(EDATE(Y$1,1),Log_2019[[#This Row],[Date]]),Log_2019[[#This Row],[Split_apply]])) - SUM($O230:X230)</f>
        <v>-160</v>
      </c>
      <c r="Z230" s="52">
        <f ca="1">Log_2019[[#This Row],[Amount]]/Log_2019[[#This Row],[Split_raw]]*MAX(0,MIN(_xlfn.DAYS(EDATE(Z$1,1),Log_2019[[#This Row],[Date]]),Log_2019[[#This Row],[Split_apply]])) - SUM($O230:Y230)</f>
        <v>0</v>
      </c>
      <c r="AA230" s="52">
        <f ca="1">Log_2019[[#This Row],[Amount]]/Log_2019[[#This Row],[Split_raw]]*MAX(0,MIN(_xlfn.DAYS(EDATE(AA$1,1),Log_2019[[#This Row],[Date]]),Log_2019[[#This Row],[Split_apply]])) - SUM($O230:Z230)</f>
        <v>0</v>
      </c>
      <c r="AB230" s="54">
        <f ca="1">Log_2019[[#This Row],[Amount]]-SUM(O230:AA230)</f>
        <v>0</v>
      </c>
      <c r="AC230" s="7">
        <f>MAX(0,Log_2019[[#This Row],[Split_raw]] - (EDATE(AA$1,1)-Log_2019[[#This Row],[Date]]))</f>
        <v>0</v>
      </c>
    </row>
    <row r="231" spans="1:29" x14ac:dyDescent="0.25">
      <c r="A231" s="42"/>
      <c r="B231" s="34" t="s">
        <v>6</v>
      </c>
      <c r="C231" s="34"/>
      <c r="D231" s="35">
        <v>43712</v>
      </c>
      <c r="E231" s="34"/>
      <c r="F231" s="34" t="s">
        <v>671</v>
      </c>
      <c r="G231" s="34" t="s">
        <v>25</v>
      </c>
      <c r="H231">
        <v>-11.11</v>
      </c>
      <c r="I231" s="36">
        <f>IF(Log_2019[[#This Row],[My Category]]="NONTRACKED",0,Log_2019[[#This Row],[Raw Amount]])</f>
        <v>-11.11</v>
      </c>
      <c r="J231" s="37">
        <f>ABS(Log_2019[[#This Row],[Amount]])</f>
        <v>11.11</v>
      </c>
      <c r="K231" s="38">
        <v>1</v>
      </c>
      <c r="L231" s="38">
        <f ca="1">IF(Log_2019[[#This Row],[Date]]&lt;=TODAY(), MIN(Log_2019[[#This Row],[Split_raw]], TODAY()-Log_2019[[#This Row],[Date]]+1), 0)</f>
        <v>1</v>
      </c>
      <c r="M231" s="34" t="s">
        <v>35</v>
      </c>
      <c r="N231" s="34" t="s">
        <v>158</v>
      </c>
      <c r="O231" s="7">
        <v>0</v>
      </c>
      <c r="P231" s="52">
        <f ca="1">Log_2019[[#This Row],[Amount]]/Log_2019[[#This Row],[Split_raw]]*MAX(0,MIN(_xlfn.DAYS(EDATE(P$1,1),Log_2019[[#This Row],[Date]]),Log_2019[[#This Row],[Split_apply]])) - SUM($O231:O231)</f>
        <v>0</v>
      </c>
      <c r="Q231" s="52">
        <f ca="1">Log_2019[[#This Row],[Amount]]/Log_2019[[#This Row],[Split_raw]]*MAX(0,MIN(_xlfn.DAYS(EDATE(Q$1,1),Log_2019[[#This Row],[Date]]),Log_2019[[#This Row],[Split_apply]])) - SUM($O231:P231)</f>
        <v>0</v>
      </c>
      <c r="R231" s="52">
        <f ca="1">Log_2019[[#This Row],[Amount]]/Log_2019[[#This Row],[Split_raw]]*MAX(0,MIN(_xlfn.DAYS(EDATE(R$1,1),Log_2019[[#This Row],[Date]]),Log_2019[[#This Row],[Split_apply]])) - SUM($O231:Q231)</f>
        <v>0</v>
      </c>
      <c r="S231" s="52">
        <f ca="1">Log_2019[[#This Row],[Amount]]/Log_2019[[#This Row],[Split_raw]]*MAX(0,MIN(_xlfn.DAYS(EDATE(S$1,1),Log_2019[[#This Row],[Date]]),Log_2019[[#This Row],[Split_apply]])) - SUM($O231:R231)</f>
        <v>0</v>
      </c>
      <c r="T231" s="52">
        <f ca="1">Log_2019[[#This Row],[Amount]]/Log_2019[[#This Row],[Split_raw]]*MAX(0,MIN(_xlfn.DAYS(EDATE(T$1,1),Log_2019[[#This Row],[Date]]),Log_2019[[#This Row],[Split_apply]])) - SUM($O231:S231)</f>
        <v>0</v>
      </c>
      <c r="U231" s="52">
        <f ca="1">Log_2019[[#This Row],[Amount]]/Log_2019[[#This Row],[Split_raw]]*MAX(0,MIN(_xlfn.DAYS(EDATE(U$1,1),Log_2019[[#This Row],[Date]]),Log_2019[[#This Row],[Split_apply]])) - SUM($O231:T231)</f>
        <v>0</v>
      </c>
      <c r="V231" s="52">
        <f ca="1">Log_2019[[#This Row],[Amount]]/Log_2019[[#This Row],[Split_raw]]*MAX(0,MIN(_xlfn.DAYS(EDATE(V$1,1),Log_2019[[#This Row],[Date]]),Log_2019[[#This Row],[Split_apply]])) - SUM($O231:U231)</f>
        <v>0</v>
      </c>
      <c r="W231" s="52">
        <f ca="1">Log_2019[[#This Row],[Amount]]/Log_2019[[#This Row],[Split_raw]]*MAX(0,MIN(_xlfn.DAYS(EDATE(W$1,1),Log_2019[[#This Row],[Date]]),Log_2019[[#This Row],[Split_apply]])) - SUM($O231:V231)</f>
        <v>0</v>
      </c>
      <c r="X231" s="52">
        <f ca="1">Log_2019[[#This Row],[Amount]]/Log_2019[[#This Row],[Split_raw]]*MAX(0,MIN(_xlfn.DAYS(EDATE(X$1,1),Log_2019[[#This Row],[Date]]),Log_2019[[#This Row],[Split_apply]])) - SUM($O231:W231)</f>
        <v>-11.11</v>
      </c>
      <c r="Y231" s="52">
        <f ca="1">Log_2019[[#This Row],[Amount]]/Log_2019[[#This Row],[Split_raw]]*MAX(0,MIN(_xlfn.DAYS(EDATE(Y$1,1),Log_2019[[#This Row],[Date]]),Log_2019[[#This Row],[Split_apply]])) - SUM($O231:X231)</f>
        <v>0</v>
      </c>
      <c r="Z231" s="52">
        <f ca="1">Log_2019[[#This Row],[Amount]]/Log_2019[[#This Row],[Split_raw]]*MAX(0,MIN(_xlfn.DAYS(EDATE(Z$1,1),Log_2019[[#This Row],[Date]]),Log_2019[[#This Row],[Split_apply]])) - SUM($O231:Y231)</f>
        <v>0</v>
      </c>
      <c r="AA231" s="52">
        <f ca="1">Log_2019[[#This Row],[Amount]]/Log_2019[[#This Row],[Split_raw]]*MAX(0,MIN(_xlfn.DAYS(EDATE(AA$1,1),Log_2019[[#This Row],[Date]]),Log_2019[[#This Row],[Split_apply]])) - SUM($O231:Z231)</f>
        <v>0</v>
      </c>
      <c r="AB231" s="54">
        <f ca="1">Log_2019[[#This Row],[Amount]]-SUM(O231:AA231)</f>
        <v>0</v>
      </c>
      <c r="AC231" s="7">
        <f>MAX(0,Log_2019[[#This Row],[Split_raw]] - (EDATE(AA$1,1)-Log_2019[[#This Row],[Date]]))</f>
        <v>0</v>
      </c>
    </row>
    <row r="232" spans="1:29" x14ac:dyDescent="0.25">
      <c r="A232" s="42"/>
      <c r="B232" s="34" t="s">
        <v>6</v>
      </c>
      <c r="C232" s="34"/>
      <c r="D232" s="35">
        <v>43712</v>
      </c>
      <c r="E232" s="34"/>
      <c r="F232" s="34" t="s">
        <v>255</v>
      </c>
      <c r="G232" s="34" t="s">
        <v>10</v>
      </c>
      <c r="H232">
        <v>-6.46</v>
      </c>
      <c r="I232" s="36">
        <f>IF(Log_2019[[#This Row],[My Category]]="NONTRACKED",0,Log_2019[[#This Row],[Raw Amount]])</f>
        <v>-6.46</v>
      </c>
      <c r="J232" s="37">
        <f>ABS(Log_2019[[#This Row],[Amount]])</f>
        <v>6.46</v>
      </c>
      <c r="K232" s="38">
        <v>1</v>
      </c>
      <c r="L232" s="38">
        <f ca="1">IF(Log_2019[[#This Row],[Date]]&lt;=TODAY(), MIN(Log_2019[[#This Row],[Split_raw]], TODAY()-Log_2019[[#This Row],[Date]]+1), 0)</f>
        <v>1</v>
      </c>
      <c r="M232" s="34" t="s">
        <v>35</v>
      </c>
      <c r="N232" s="34" t="s">
        <v>158</v>
      </c>
      <c r="O232" s="7">
        <v>0</v>
      </c>
      <c r="P232" s="52">
        <f ca="1">Log_2019[[#This Row],[Amount]]/Log_2019[[#This Row],[Split_raw]]*MAX(0,MIN(_xlfn.DAYS(EDATE(P$1,1),Log_2019[[#This Row],[Date]]),Log_2019[[#This Row],[Split_apply]])) - SUM($O232:O232)</f>
        <v>0</v>
      </c>
      <c r="Q232" s="52">
        <f ca="1">Log_2019[[#This Row],[Amount]]/Log_2019[[#This Row],[Split_raw]]*MAX(0,MIN(_xlfn.DAYS(EDATE(Q$1,1),Log_2019[[#This Row],[Date]]),Log_2019[[#This Row],[Split_apply]])) - SUM($O232:P232)</f>
        <v>0</v>
      </c>
      <c r="R232" s="52">
        <f ca="1">Log_2019[[#This Row],[Amount]]/Log_2019[[#This Row],[Split_raw]]*MAX(0,MIN(_xlfn.DAYS(EDATE(R$1,1),Log_2019[[#This Row],[Date]]),Log_2019[[#This Row],[Split_apply]])) - SUM($O232:Q232)</f>
        <v>0</v>
      </c>
      <c r="S232" s="52">
        <f ca="1">Log_2019[[#This Row],[Amount]]/Log_2019[[#This Row],[Split_raw]]*MAX(0,MIN(_xlfn.DAYS(EDATE(S$1,1),Log_2019[[#This Row],[Date]]),Log_2019[[#This Row],[Split_apply]])) - SUM($O232:R232)</f>
        <v>0</v>
      </c>
      <c r="T232" s="52">
        <f ca="1">Log_2019[[#This Row],[Amount]]/Log_2019[[#This Row],[Split_raw]]*MAX(0,MIN(_xlfn.DAYS(EDATE(T$1,1),Log_2019[[#This Row],[Date]]),Log_2019[[#This Row],[Split_apply]])) - SUM($O232:S232)</f>
        <v>0</v>
      </c>
      <c r="U232" s="52">
        <f ca="1">Log_2019[[#This Row],[Amount]]/Log_2019[[#This Row],[Split_raw]]*MAX(0,MIN(_xlfn.DAYS(EDATE(U$1,1),Log_2019[[#This Row],[Date]]),Log_2019[[#This Row],[Split_apply]])) - SUM($O232:T232)</f>
        <v>0</v>
      </c>
      <c r="V232" s="52">
        <f ca="1">Log_2019[[#This Row],[Amount]]/Log_2019[[#This Row],[Split_raw]]*MAX(0,MIN(_xlfn.DAYS(EDATE(V$1,1),Log_2019[[#This Row],[Date]]),Log_2019[[#This Row],[Split_apply]])) - SUM($O232:U232)</f>
        <v>0</v>
      </c>
      <c r="W232" s="52">
        <f ca="1">Log_2019[[#This Row],[Amount]]/Log_2019[[#This Row],[Split_raw]]*MAX(0,MIN(_xlfn.DAYS(EDATE(W$1,1),Log_2019[[#This Row],[Date]]),Log_2019[[#This Row],[Split_apply]])) - SUM($O232:V232)</f>
        <v>0</v>
      </c>
      <c r="X232" s="52">
        <f ca="1">Log_2019[[#This Row],[Amount]]/Log_2019[[#This Row],[Split_raw]]*MAX(0,MIN(_xlfn.DAYS(EDATE(X$1,1),Log_2019[[#This Row],[Date]]),Log_2019[[#This Row],[Split_apply]])) - SUM($O232:W232)</f>
        <v>-6.46</v>
      </c>
      <c r="Y232" s="52">
        <f ca="1">Log_2019[[#This Row],[Amount]]/Log_2019[[#This Row],[Split_raw]]*MAX(0,MIN(_xlfn.DAYS(EDATE(Y$1,1),Log_2019[[#This Row],[Date]]),Log_2019[[#This Row],[Split_apply]])) - SUM($O232:X232)</f>
        <v>0</v>
      </c>
      <c r="Z232" s="52">
        <f ca="1">Log_2019[[#This Row],[Amount]]/Log_2019[[#This Row],[Split_raw]]*MAX(0,MIN(_xlfn.DAYS(EDATE(Z$1,1),Log_2019[[#This Row],[Date]]),Log_2019[[#This Row],[Split_apply]])) - SUM($O232:Y232)</f>
        <v>0</v>
      </c>
      <c r="AA232" s="52">
        <f ca="1">Log_2019[[#This Row],[Amount]]/Log_2019[[#This Row],[Split_raw]]*MAX(0,MIN(_xlfn.DAYS(EDATE(AA$1,1),Log_2019[[#This Row],[Date]]),Log_2019[[#This Row],[Split_apply]])) - SUM($O232:Z232)</f>
        <v>0</v>
      </c>
      <c r="AB232" s="54">
        <f ca="1">Log_2019[[#This Row],[Amount]]-SUM(O232:AA232)</f>
        <v>0</v>
      </c>
      <c r="AC232" s="7">
        <f>MAX(0,Log_2019[[#This Row],[Split_raw]] - (EDATE(AA$1,1)-Log_2019[[#This Row],[Date]]))</f>
        <v>0</v>
      </c>
    </row>
    <row r="233" spans="1:29" x14ac:dyDescent="0.25">
      <c r="A233" s="42"/>
      <c r="B233" s="34" t="s">
        <v>6</v>
      </c>
      <c r="C233" s="34"/>
      <c r="D233" s="35">
        <v>43712</v>
      </c>
      <c r="E233" s="34" t="s">
        <v>888</v>
      </c>
      <c r="F233" s="34" t="s">
        <v>653</v>
      </c>
      <c r="G233" s="34" t="s">
        <v>9</v>
      </c>
      <c r="H233">
        <f>--22.85</f>
        <v>22.85</v>
      </c>
      <c r="I233" s="36">
        <f>IF(Log_2019[[#This Row],[My Category]]="NONTRACKED",0,Log_2019[[#This Row],[Raw Amount]])</f>
        <v>22.85</v>
      </c>
      <c r="J233" s="37">
        <f>ABS(Log_2019[[#This Row],[Amount]])</f>
        <v>22.85</v>
      </c>
      <c r="K233" s="38">
        <v>1</v>
      </c>
      <c r="L233" s="38">
        <f ca="1">IF(Log_2019[[#This Row],[Date]]&lt;=TODAY(), MIN(Log_2019[[#This Row],[Split_raw]], TODAY()-Log_2019[[#This Row],[Date]]+1), 0)</f>
        <v>1</v>
      </c>
      <c r="M233" s="34" t="s">
        <v>37</v>
      </c>
      <c r="N233" s="34" t="s">
        <v>158</v>
      </c>
      <c r="O233" s="7">
        <v>0</v>
      </c>
      <c r="P233" s="52">
        <f ca="1">Log_2019[[#This Row],[Amount]]/Log_2019[[#This Row],[Split_raw]]*MAX(0,MIN(_xlfn.DAYS(EDATE(P$1,1),Log_2019[[#This Row],[Date]]),Log_2019[[#This Row],[Split_apply]])) - SUM($O233:O233)</f>
        <v>0</v>
      </c>
      <c r="Q233" s="52">
        <f ca="1">Log_2019[[#This Row],[Amount]]/Log_2019[[#This Row],[Split_raw]]*MAX(0,MIN(_xlfn.DAYS(EDATE(Q$1,1),Log_2019[[#This Row],[Date]]),Log_2019[[#This Row],[Split_apply]])) - SUM($O233:P233)</f>
        <v>0</v>
      </c>
      <c r="R233" s="52">
        <f ca="1">Log_2019[[#This Row],[Amount]]/Log_2019[[#This Row],[Split_raw]]*MAX(0,MIN(_xlfn.DAYS(EDATE(R$1,1),Log_2019[[#This Row],[Date]]),Log_2019[[#This Row],[Split_apply]])) - SUM($O233:Q233)</f>
        <v>0</v>
      </c>
      <c r="S233" s="52">
        <f ca="1">Log_2019[[#This Row],[Amount]]/Log_2019[[#This Row],[Split_raw]]*MAX(0,MIN(_xlfn.DAYS(EDATE(S$1,1),Log_2019[[#This Row],[Date]]),Log_2019[[#This Row],[Split_apply]])) - SUM($O233:R233)</f>
        <v>0</v>
      </c>
      <c r="T233" s="52">
        <f ca="1">Log_2019[[#This Row],[Amount]]/Log_2019[[#This Row],[Split_raw]]*MAX(0,MIN(_xlfn.DAYS(EDATE(T$1,1),Log_2019[[#This Row],[Date]]),Log_2019[[#This Row],[Split_apply]])) - SUM($O233:S233)</f>
        <v>0</v>
      </c>
      <c r="U233" s="52">
        <f ca="1">Log_2019[[#This Row],[Amount]]/Log_2019[[#This Row],[Split_raw]]*MAX(0,MIN(_xlfn.DAYS(EDATE(U$1,1),Log_2019[[#This Row],[Date]]),Log_2019[[#This Row],[Split_apply]])) - SUM($O233:T233)</f>
        <v>0</v>
      </c>
      <c r="V233" s="52">
        <f ca="1">Log_2019[[#This Row],[Amount]]/Log_2019[[#This Row],[Split_raw]]*MAX(0,MIN(_xlfn.DAYS(EDATE(V$1,1),Log_2019[[#This Row],[Date]]),Log_2019[[#This Row],[Split_apply]])) - SUM($O233:U233)</f>
        <v>0</v>
      </c>
      <c r="W233" s="52">
        <f ca="1">Log_2019[[#This Row],[Amount]]/Log_2019[[#This Row],[Split_raw]]*MAX(0,MIN(_xlfn.DAYS(EDATE(W$1,1),Log_2019[[#This Row],[Date]]),Log_2019[[#This Row],[Split_apply]])) - SUM($O233:V233)</f>
        <v>0</v>
      </c>
      <c r="X233" s="52">
        <f ca="1">Log_2019[[#This Row],[Amount]]/Log_2019[[#This Row],[Split_raw]]*MAX(0,MIN(_xlfn.DAYS(EDATE(X$1,1),Log_2019[[#This Row],[Date]]),Log_2019[[#This Row],[Split_apply]])) - SUM($O233:W233)</f>
        <v>22.85</v>
      </c>
      <c r="Y233" s="52">
        <f ca="1">Log_2019[[#This Row],[Amount]]/Log_2019[[#This Row],[Split_raw]]*MAX(0,MIN(_xlfn.DAYS(EDATE(Y$1,1),Log_2019[[#This Row],[Date]]),Log_2019[[#This Row],[Split_apply]])) - SUM($O233:X233)</f>
        <v>0</v>
      </c>
      <c r="Z233" s="52">
        <f ca="1">Log_2019[[#This Row],[Amount]]/Log_2019[[#This Row],[Split_raw]]*MAX(0,MIN(_xlfn.DAYS(EDATE(Z$1,1),Log_2019[[#This Row],[Date]]),Log_2019[[#This Row],[Split_apply]])) - SUM($O233:Y233)</f>
        <v>0</v>
      </c>
      <c r="AA233" s="52">
        <f ca="1">Log_2019[[#This Row],[Amount]]/Log_2019[[#This Row],[Split_raw]]*MAX(0,MIN(_xlfn.DAYS(EDATE(AA$1,1),Log_2019[[#This Row],[Date]]),Log_2019[[#This Row],[Split_apply]])) - SUM($O233:Z233)</f>
        <v>0</v>
      </c>
      <c r="AB233" s="54">
        <f ca="1">Log_2019[[#This Row],[Amount]]-SUM(O233:AA233)</f>
        <v>0</v>
      </c>
      <c r="AC233" s="7">
        <f>MAX(0,Log_2019[[#This Row],[Split_raw]] - (EDATE(AA$1,1)-Log_2019[[#This Row],[Date]]))</f>
        <v>0</v>
      </c>
    </row>
    <row r="234" spans="1:29" x14ac:dyDescent="0.25">
      <c r="A234" s="42"/>
      <c r="B234" s="34" t="s">
        <v>490</v>
      </c>
      <c r="C234" s="34">
        <v>2.8252209292509102E+18</v>
      </c>
      <c r="D234" s="41">
        <v>43712</v>
      </c>
      <c r="E234" s="34"/>
      <c r="F234" s="34" t="s">
        <v>740</v>
      </c>
      <c r="G234" s="34"/>
      <c r="H234" s="45">
        <v>-5</v>
      </c>
      <c r="I234" s="36">
        <f>IF(Log_2019[[#This Row],[My Category]]="NONTRACKED",0,Log_2019[[#This Row],[Raw Amount]])</f>
        <v>-5</v>
      </c>
      <c r="J234" s="37">
        <f>ABS(Log_2019[[#This Row],[Amount]])</f>
        <v>5</v>
      </c>
      <c r="K234" s="38">
        <v>1</v>
      </c>
      <c r="L234" s="38">
        <f ca="1">IF(Log_2019[[#This Row],[Date]]&lt;=TODAY(), MIN(Log_2019[[#This Row],[Split_raw]], TODAY()-Log_2019[[#This Row],[Date]]+1), 0)</f>
        <v>1</v>
      </c>
      <c r="M234" s="34" t="s">
        <v>53</v>
      </c>
      <c r="N234" s="34" t="s">
        <v>490</v>
      </c>
      <c r="O234" s="7">
        <v>0</v>
      </c>
      <c r="P234" s="52">
        <f ca="1">Log_2019[[#This Row],[Amount]]/Log_2019[[#This Row],[Split_raw]]*MAX(0,MIN(_xlfn.DAYS(EDATE(P$1,1),Log_2019[[#This Row],[Date]]),Log_2019[[#This Row],[Split_apply]])) - SUM($O234:O234)</f>
        <v>0</v>
      </c>
      <c r="Q234" s="52">
        <f ca="1">Log_2019[[#This Row],[Amount]]/Log_2019[[#This Row],[Split_raw]]*MAX(0,MIN(_xlfn.DAYS(EDATE(Q$1,1),Log_2019[[#This Row],[Date]]),Log_2019[[#This Row],[Split_apply]])) - SUM($O234:P234)</f>
        <v>0</v>
      </c>
      <c r="R234" s="52">
        <f ca="1">Log_2019[[#This Row],[Amount]]/Log_2019[[#This Row],[Split_raw]]*MAX(0,MIN(_xlfn.DAYS(EDATE(R$1,1),Log_2019[[#This Row],[Date]]),Log_2019[[#This Row],[Split_apply]])) - SUM($O234:Q234)</f>
        <v>0</v>
      </c>
      <c r="S234" s="52">
        <f ca="1">Log_2019[[#This Row],[Amount]]/Log_2019[[#This Row],[Split_raw]]*MAX(0,MIN(_xlfn.DAYS(EDATE(S$1,1),Log_2019[[#This Row],[Date]]),Log_2019[[#This Row],[Split_apply]])) - SUM($O234:R234)</f>
        <v>0</v>
      </c>
      <c r="T234" s="52">
        <f ca="1">Log_2019[[#This Row],[Amount]]/Log_2019[[#This Row],[Split_raw]]*MAX(0,MIN(_xlfn.DAYS(EDATE(T$1,1),Log_2019[[#This Row],[Date]]),Log_2019[[#This Row],[Split_apply]])) - SUM($O234:S234)</f>
        <v>0</v>
      </c>
      <c r="U234" s="52">
        <f ca="1">Log_2019[[#This Row],[Amount]]/Log_2019[[#This Row],[Split_raw]]*MAX(0,MIN(_xlfn.DAYS(EDATE(U$1,1),Log_2019[[#This Row],[Date]]),Log_2019[[#This Row],[Split_apply]])) - SUM($O234:T234)</f>
        <v>0</v>
      </c>
      <c r="V234" s="52">
        <f ca="1">Log_2019[[#This Row],[Amount]]/Log_2019[[#This Row],[Split_raw]]*MAX(0,MIN(_xlfn.DAYS(EDATE(V$1,1),Log_2019[[#This Row],[Date]]),Log_2019[[#This Row],[Split_apply]])) - SUM($O234:U234)</f>
        <v>0</v>
      </c>
      <c r="W234" s="52">
        <f ca="1">Log_2019[[#This Row],[Amount]]/Log_2019[[#This Row],[Split_raw]]*MAX(0,MIN(_xlfn.DAYS(EDATE(W$1,1),Log_2019[[#This Row],[Date]]),Log_2019[[#This Row],[Split_apply]])) - SUM($O234:V234)</f>
        <v>0</v>
      </c>
      <c r="X234" s="52">
        <f ca="1">Log_2019[[#This Row],[Amount]]/Log_2019[[#This Row],[Split_raw]]*MAX(0,MIN(_xlfn.DAYS(EDATE(X$1,1),Log_2019[[#This Row],[Date]]),Log_2019[[#This Row],[Split_apply]])) - SUM($O234:W234)</f>
        <v>-5</v>
      </c>
      <c r="Y234" s="52">
        <f ca="1">Log_2019[[#This Row],[Amount]]/Log_2019[[#This Row],[Split_raw]]*MAX(0,MIN(_xlfn.DAYS(EDATE(Y$1,1),Log_2019[[#This Row],[Date]]),Log_2019[[#This Row],[Split_apply]])) - SUM($O234:X234)</f>
        <v>0</v>
      </c>
      <c r="Z234" s="52">
        <f ca="1">Log_2019[[#This Row],[Amount]]/Log_2019[[#This Row],[Split_raw]]*MAX(0,MIN(_xlfn.DAYS(EDATE(Z$1,1),Log_2019[[#This Row],[Date]]),Log_2019[[#This Row],[Split_apply]])) - SUM($O234:Y234)</f>
        <v>0</v>
      </c>
      <c r="AA234" s="52">
        <f ca="1">Log_2019[[#This Row],[Amount]]/Log_2019[[#This Row],[Split_raw]]*MAX(0,MIN(_xlfn.DAYS(EDATE(AA$1,1),Log_2019[[#This Row],[Date]]),Log_2019[[#This Row],[Split_apply]])) - SUM($O234:Z234)</f>
        <v>0</v>
      </c>
      <c r="AB234" s="54">
        <f ca="1">Log_2019[[#This Row],[Amount]]-SUM(O234:AA234)</f>
        <v>0</v>
      </c>
      <c r="AC234" s="7">
        <f>MAX(0,Log_2019[[#This Row],[Split_raw]] - (EDATE(AA$1,1)-Log_2019[[#This Row],[Date]]))</f>
        <v>0</v>
      </c>
    </row>
    <row r="235" spans="1:29" x14ac:dyDescent="0.25">
      <c r="A235" s="42"/>
      <c r="B235" s="34" t="s">
        <v>6</v>
      </c>
      <c r="C235" s="34"/>
      <c r="D235" s="35">
        <v>43711</v>
      </c>
      <c r="E235" s="34"/>
      <c r="F235" s="34" t="s">
        <v>59</v>
      </c>
      <c r="G235" s="34" t="s">
        <v>25</v>
      </c>
      <c r="H235">
        <v>-5.53</v>
      </c>
      <c r="I235" s="36">
        <f>IF(Log_2019[[#This Row],[My Category]]="NONTRACKED",0,Log_2019[[#This Row],[Raw Amount]])</f>
        <v>-5.53</v>
      </c>
      <c r="J235" s="37">
        <f>ABS(Log_2019[[#This Row],[Amount]])</f>
        <v>5.53</v>
      </c>
      <c r="K235" s="38">
        <v>1</v>
      </c>
      <c r="L235" s="38">
        <f ca="1">IF(Log_2019[[#This Row],[Date]]&lt;=TODAY(), MIN(Log_2019[[#This Row],[Split_raw]], TODAY()-Log_2019[[#This Row],[Date]]+1), 0)</f>
        <v>1</v>
      </c>
      <c r="M235" s="34" t="s">
        <v>35</v>
      </c>
      <c r="N235" s="34" t="s">
        <v>158</v>
      </c>
      <c r="O235" s="7">
        <v>0</v>
      </c>
      <c r="P235" s="52">
        <f ca="1">Log_2019[[#This Row],[Amount]]/Log_2019[[#This Row],[Split_raw]]*MAX(0,MIN(_xlfn.DAYS(EDATE(P$1,1),Log_2019[[#This Row],[Date]]),Log_2019[[#This Row],[Split_apply]])) - SUM($O235:O235)</f>
        <v>0</v>
      </c>
      <c r="Q235" s="52">
        <f ca="1">Log_2019[[#This Row],[Amount]]/Log_2019[[#This Row],[Split_raw]]*MAX(0,MIN(_xlfn.DAYS(EDATE(Q$1,1),Log_2019[[#This Row],[Date]]),Log_2019[[#This Row],[Split_apply]])) - SUM($O235:P235)</f>
        <v>0</v>
      </c>
      <c r="R235" s="52">
        <f ca="1">Log_2019[[#This Row],[Amount]]/Log_2019[[#This Row],[Split_raw]]*MAX(0,MIN(_xlfn.DAYS(EDATE(R$1,1),Log_2019[[#This Row],[Date]]),Log_2019[[#This Row],[Split_apply]])) - SUM($O235:Q235)</f>
        <v>0</v>
      </c>
      <c r="S235" s="52">
        <f ca="1">Log_2019[[#This Row],[Amount]]/Log_2019[[#This Row],[Split_raw]]*MAX(0,MIN(_xlfn.DAYS(EDATE(S$1,1),Log_2019[[#This Row],[Date]]),Log_2019[[#This Row],[Split_apply]])) - SUM($O235:R235)</f>
        <v>0</v>
      </c>
      <c r="T235" s="52">
        <f ca="1">Log_2019[[#This Row],[Amount]]/Log_2019[[#This Row],[Split_raw]]*MAX(0,MIN(_xlfn.DAYS(EDATE(T$1,1),Log_2019[[#This Row],[Date]]),Log_2019[[#This Row],[Split_apply]])) - SUM($O235:S235)</f>
        <v>0</v>
      </c>
      <c r="U235" s="52">
        <f ca="1">Log_2019[[#This Row],[Amount]]/Log_2019[[#This Row],[Split_raw]]*MAX(0,MIN(_xlfn.DAYS(EDATE(U$1,1),Log_2019[[#This Row],[Date]]),Log_2019[[#This Row],[Split_apply]])) - SUM($O235:T235)</f>
        <v>0</v>
      </c>
      <c r="V235" s="52">
        <f ca="1">Log_2019[[#This Row],[Amount]]/Log_2019[[#This Row],[Split_raw]]*MAX(0,MIN(_xlfn.DAYS(EDATE(V$1,1),Log_2019[[#This Row],[Date]]),Log_2019[[#This Row],[Split_apply]])) - SUM($O235:U235)</f>
        <v>0</v>
      </c>
      <c r="W235" s="52">
        <f ca="1">Log_2019[[#This Row],[Amount]]/Log_2019[[#This Row],[Split_raw]]*MAX(0,MIN(_xlfn.DAYS(EDATE(W$1,1),Log_2019[[#This Row],[Date]]),Log_2019[[#This Row],[Split_apply]])) - SUM($O235:V235)</f>
        <v>0</v>
      </c>
      <c r="X235" s="52">
        <f ca="1">Log_2019[[#This Row],[Amount]]/Log_2019[[#This Row],[Split_raw]]*MAX(0,MIN(_xlfn.DAYS(EDATE(X$1,1),Log_2019[[#This Row],[Date]]),Log_2019[[#This Row],[Split_apply]])) - SUM($O235:W235)</f>
        <v>-5.53</v>
      </c>
      <c r="Y235" s="52">
        <f ca="1">Log_2019[[#This Row],[Amount]]/Log_2019[[#This Row],[Split_raw]]*MAX(0,MIN(_xlfn.DAYS(EDATE(Y$1,1),Log_2019[[#This Row],[Date]]),Log_2019[[#This Row],[Split_apply]])) - SUM($O235:X235)</f>
        <v>0</v>
      </c>
      <c r="Z235" s="52">
        <f ca="1">Log_2019[[#This Row],[Amount]]/Log_2019[[#This Row],[Split_raw]]*MAX(0,MIN(_xlfn.DAYS(EDATE(Z$1,1),Log_2019[[#This Row],[Date]]),Log_2019[[#This Row],[Split_apply]])) - SUM($O235:Y235)</f>
        <v>0</v>
      </c>
      <c r="AA235" s="52">
        <f ca="1">Log_2019[[#This Row],[Amount]]/Log_2019[[#This Row],[Split_raw]]*MAX(0,MIN(_xlfn.DAYS(EDATE(AA$1,1),Log_2019[[#This Row],[Date]]),Log_2019[[#This Row],[Split_apply]])) - SUM($O235:Z235)</f>
        <v>0</v>
      </c>
      <c r="AB235" s="54">
        <f ca="1">Log_2019[[#This Row],[Amount]]-SUM(O235:AA235)</f>
        <v>0</v>
      </c>
      <c r="AC235" s="7">
        <f>MAX(0,Log_2019[[#This Row],[Split_raw]] - (EDATE(AA$1,1)-Log_2019[[#This Row],[Date]]))</f>
        <v>0</v>
      </c>
    </row>
    <row r="236" spans="1:29" x14ac:dyDescent="0.25">
      <c r="A236" s="42"/>
      <c r="B236" s="34" t="s">
        <v>6</v>
      </c>
      <c r="C236" s="34"/>
      <c r="D236" s="35">
        <v>43711</v>
      </c>
      <c r="E236" s="34"/>
      <c r="F236" s="34" t="s">
        <v>255</v>
      </c>
      <c r="G236" s="34" t="s">
        <v>10</v>
      </c>
      <c r="H236">
        <v>-3.36</v>
      </c>
      <c r="I236" s="36">
        <f>IF(Log_2019[[#This Row],[My Category]]="NONTRACKED",0,Log_2019[[#This Row],[Raw Amount]])</f>
        <v>-3.36</v>
      </c>
      <c r="J236" s="37">
        <f>ABS(Log_2019[[#This Row],[Amount]])</f>
        <v>3.36</v>
      </c>
      <c r="K236" s="38">
        <v>1</v>
      </c>
      <c r="L236" s="38">
        <f ca="1">IF(Log_2019[[#This Row],[Date]]&lt;=TODAY(), MIN(Log_2019[[#This Row],[Split_raw]], TODAY()-Log_2019[[#This Row],[Date]]+1), 0)</f>
        <v>1</v>
      </c>
      <c r="M236" s="34" t="s">
        <v>35</v>
      </c>
      <c r="N236" s="34" t="s">
        <v>158</v>
      </c>
      <c r="O236" s="7">
        <v>0</v>
      </c>
      <c r="P236" s="52">
        <f ca="1">Log_2019[[#This Row],[Amount]]/Log_2019[[#This Row],[Split_raw]]*MAX(0,MIN(_xlfn.DAYS(EDATE(P$1,1),Log_2019[[#This Row],[Date]]),Log_2019[[#This Row],[Split_apply]])) - SUM($O236:O236)</f>
        <v>0</v>
      </c>
      <c r="Q236" s="52">
        <f ca="1">Log_2019[[#This Row],[Amount]]/Log_2019[[#This Row],[Split_raw]]*MAX(0,MIN(_xlfn.DAYS(EDATE(Q$1,1),Log_2019[[#This Row],[Date]]),Log_2019[[#This Row],[Split_apply]])) - SUM($O236:P236)</f>
        <v>0</v>
      </c>
      <c r="R236" s="52">
        <f ca="1">Log_2019[[#This Row],[Amount]]/Log_2019[[#This Row],[Split_raw]]*MAX(0,MIN(_xlfn.DAYS(EDATE(R$1,1),Log_2019[[#This Row],[Date]]),Log_2019[[#This Row],[Split_apply]])) - SUM($O236:Q236)</f>
        <v>0</v>
      </c>
      <c r="S236" s="52">
        <f ca="1">Log_2019[[#This Row],[Amount]]/Log_2019[[#This Row],[Split_raw]]*MAX(0,MIN(_xlfn.DAYS(EDATE(S$1,1),Log_2019[[#This Row],[Date]]),Log_2019[[#This Row],[Split_apply]])) - SUM($O236:R236)</f>
        <v>0</v>
      </c>
      <c r="T236" s="52">
        <f ca="1">Log_2019[[#This Row],[Amount]]/Log_2019[[#This Row],[Split_raw]]*MAX(0,MIN(_xlfn.DAYS(EDATE(T$1,1),Log_2019[[#This Row],[Date]]),Log_2019[[#This Row],[Split_apply]])) - SUM($O236:S236)</f>
        <v>0</v>
      </c>
      <c r="U236" s="52">
        <f ca="1">Log_2019[[#This Row],[Amount]]/Log_2019[[#This Row],[Split_raw]]*MAX(0,MIN(_xlfn.DAYS(EDATE(U$1,1),Log_2019[[#This Row],[Date]]),Log_2019[[#This Row],[Split_apply]])) - SUM($O236:T236)</f>
        <v>0</v>
      </c>
      <c r="V236" s="52">
        <f ca="1">Log_2019[[#This Row],[Amount]]/Log_2019[[#This Row],[Split_raw]]*MAX(0,MIN(_xlfn.DAYS(EDATE(V$1,1),Log_2019[[#This Row],[Date]]),Log_2019[[#This Row],[Split_apply]])) - SUM($O236:U236)</f>
        <v>0</v>
      </c>
      <c r="W236" s="52">
        <f ca="1">Log_2019[[#This Row],[Amount]]/Log_2019[[#This Row],[Split_raw]]*MAX(0,MIN(_xlfn.DAYS(EDATE(W$1,1),Log_2019[[#This Row],[Date]]),Log_2019[[#This Row],[Split_apply]])) - SUM($O236:V236)</f>
        <v>0</v>
      </c>
      <c r="X236" s="52">
        <f ca="1">Log_2019[[#This Row],[Amount]]/Log_2019[[#This Row],[Split_raw]]*MAX(0,MIN(_xlfn.DAYS(EDATE(X$1,1),Log_2019[[#This Row],[Date]]),Log_2019[[#This Row],[Split_apply]])) - SUM($O236:W236)</f>
        <v>-3.36</v>
      </c>
      <c r="Y236" s="52">
        <f ca="1">Log_2019[[#This Row],[Amount]]/Log_2019[[#This Row],[Split_raw]]*MAX(0,MIN(_xlfn.DAYS(EDATE(Y$1,1),Log_2019[[#This Row],[Date]]),Log_2019[[#This Row],[Split_apply]])) - SUM($O236:X236)</f>
        <v>0</v>
      </c>
      <c r="Z236" s="52">
        <f ca="1">Log_2019[[#This Row],[Amount]]/Log_2019[[#This Row],[Split_raw]]*MAX(0,MIN(_xlfn.DAYS(EDATE(Z$1,1),Log_2019[[#This Row],[Date]]),Log_2019[[#This Row],[Split_apply]])) - SUM($O236:Y236)</f>
        <v>0</v>
      </c>
      <c r="AA236" s="52">
        <f ca="1">Log_2019[[#This Row],[Amount]]/Log_2019[[#This Row],[Split_raw]]*MAX(0,MIN(_xlfn.DAYS(EDATE(AA$1,1),Log_2019[[#This Row],[Date]]),Log_2019[[#This Row],[Split_apply]])) - SUM($O236:Z236)</f>
        <v>0</v>
      </c>
      <c r="AB236" s="54">
        <f ca="1">Log_2019[[#This Row],[Amount]]-SUM(O236:AA236)</f>
        <v>0</v>
      </c>
      <c r="AC236" s="7">
        <f>MAX(0,Log_2019[[#This Row],[Split_raw]] - (EDATE(AA$1,1)-Log_2019[[#This Row],[Date]]))</f>
        <v>0</v>
      </c>
    </row>
    <row r="237" spans="1:29" x14ac:dyDescent="0.25">
      <c r="A237" s="42"/>
      <c r="B237" s="34" t="s">
        <v>6</v>
      </c>
      <c r="C237" s="34"/>
      <c r="D237" s="35">
        <v>43710</v>
      </c>
      <c r="E237" s="34"/>
      <c r="F237" s="34" t="s">
        <v>255</v>
      </c>
      <c r="G237" s="34" t="s">
        <v>10</v>
      </c>
      <c r="H237">
        <v>-8.08</v>
      </c>
      <c r="I237" s="36">
        <f>IF(Log_2019[[#This Row],[My Category]]="NONTRACKED",0,Log_2019[[#This Row],[Raw Amount]])</f>
        <v>-8.08</v>
      </c>
      <c r="J237" s="37">
        <f>ABS(Log_2019[[#This Row],[Amount]])</f>
        <v>8.08</v>
      </c>
      <c r="K237" s="38">
        <v>1</v>
      </c>
      <c r="L237" s="38">
        <f ca="1">IF(Log_2019[[#This Row],[Date]]&lt;=TODAY(), MIN(Log_2019[[#This Row],[Split_raw]], TODAY()-Log_2019[[#This Row],[Date]]+1), 0)</f>
        <v>1</v>
      </c>
      <c r="M237" s="34" t="s">
        <v>35</v>
      </c>
      <c r="N237" s="34" t="s">
        <v>158</v>
      </c>
      <c r="O237" s="7">
        <v>0</v>
      </c>
      <c r="P237" s="52">
        <f ca="1">Log_2019[[#This Row],[Amount]]/Log_2019[[#This Row],[Split_raw]]*MAX(0,MIN(_xlfn.DAYS(EDATE(P$1,1),Log_2019[[#This Row],[Date]]),Log_2019[[#This Row],[Split_apply]])) - SUM($O237:O237)</f>
        <v>0</v>
      </c>
      <c r="Q237" s="52">
        <f ca="1">Log_2019[[#This Row],[Amount]]/Log_2019[[#This Row],[Split_raw]]*MAX(0,MIN(_xlfn.DAYS(EDATE(Q$1,1),Log_2019[[#This Row],[Date]]),Log_2019[[#This Row],[Split_apply]])) - SUM($O237:P237)</f>
        <v>0</v>
      </c>
      <c r="R237" s="52">
        <f ca="1">Log_2019[[#This Row],[Amount]]/Log_2019[[#This Row],[Split_raw]]*MAX(0,MIN(_xlfn.DAYS(EDATE(R$1,1),Log_2019[[#This Row],[Date]]),Log_2019[[#This Row],[Split_apply]])) - SUM($O237:Q237)</f>
        <v>0</v>
      </c>
      <c r="S237" s="52">
        <f ca="1">Log_2019[[#This Row],[Amount]]/Log_2019[[#This Row],[Split_raw]]*MAX(0,MIN(_xlfn.DAYS(EDATE(S$1,1),Log_2019[[#This Row],[Date]]),Log_2019[[#This Row],[Split_apply]])) - SUM($O237:R237)</f>
        <v>0</v>
      </c>
      <c r="T237" s="52">
        <f ca="1">Log_2019[[#This Row],[Amount]]/Log_2019[[#This Row],[Split_raw]]*MAX(0,MIN(_xlfn.DAYS(EDATE(T$1,1),Log_2019[[#This Row],[Date]]),Log_2019[[#This Row],[Split_apply]])) - SUM($O237:S237)</f>
        <v>0</v>
      </c>
      <c r="U237" s="52">
        <f ca="1">Log_2019[[#This Row],[Amount]]/Log_2019[[#This Row],[Split_raw]]*MAX(0,MIN(_xlfn.DAYS(EDATE(U$1,1),Log_2019[[#This Row],[Date]]),Log_2019[[#This Row],[Split_apply]])) - SUM($O237:T237)</f>
        <v>0</v>
      </c>
      <c r="V237" s="52">
        <f ca="1">Log_2019[[#This Row],[Amount]]/Log_2019[[#This Row],[Split_raw]]*MAX(0,MIN(_xlfn.DAYS(EDATE(V$1,1),Log_2019[[#This Row],[Date]]),Log_2019[[#This Row],[Split_apply]])) - SUM($O237:U237)</f>
        <v>0</v>
      </c>
      <c r="W237" s="52">
        <f ca="1">Log_2019[[#This Row],[Amount]]/Log_2019[[#This Row],[Split_raw]]*MAX(0,MIN(_xlfn.DAYS(EDATE(W$1,1),Log_2019[[#This Row],[Date]]),Log_2019[[#This Row],[Split_apply]])) - SUM($O237:V237)</f>
        <v>0</v>
      </c>
      <c r="X237" s="52">
        <f ca="1">Log_2019[[#This Row],[Amount]]/Log_2019[[#This Row],[Split_raw]]*MAX(0,MIN(_xlfn.DAYS(EDATE(X$1,1),Log_2019[[#This Row],[Date]]),Log_2019[[#This Row],[Split_apply]])) - SUM($O237:W237)</f>
        <v>-8.08</v>
      </c>
      <c r="Y237" s="52">
        <f ca="1">Log_2019[[#This Row],[Amount]]/Log_2019[[#This Row],[Split_raw]]*MAX(0,MIN(_xlfn.DAYS(EDATE(Y$1,1),Log_2019[[#This Row],[Date]]),Log_2019[[#This Row],[Split_apply]])) - SUM($O237:X237)</f>
        <v>0</v>
      </c>
      <c r="Z237" s="52">
        <f ca="1">Log_2019[[#This Row],[Amount]]/Log_2019[[#This Row],[Split_raw]]*MAX(0,MIN(_xlfn.DAYS(EDATE(Z$1,1),Log_2019[[#This Row],[Date]]),Log_2019[[#This Row],[Split_apply]])) - SUM($O237:Y237)</f>
        <v>0</v>
      </c>
      <c r="AA237" s="52">
        <f ca="1">Log_2019[[#This Row],[Amount]]/Log_2019[[#This Row],[Split_raw]]*MAX(0,MIN(_xlfn.DAYS(EDATE(AA$1,1),Log_2019[[#This Row],[Date]]),Log_2019[[#This Row],[Split_apply]])) - SUM($O237:Z237)</f>
        <v>0</v>
      </c>
      <c r="AB237" s="54">
        <f ca="1">Log_2019[[#This Row],[Amount]]-SUM(O237:AA237)</f>
        <v>0</v>
      </c>
      <c r="AC237" s="7">
        <f>MAX(0,Log_2019[[#This Row],[Split_raw]] - (EDATE(AA$1,1)-Log_2019[[#This Row],[Date]]))</f>
        <v>0</v>
      </c>
    </row>
    <row r="238" spans="1:29" x14ac:dyDescent="0.25">
      <c r="A238" s="42"/>
      <c r="B238" s="34" t="s">
        <v>6</v>
      </c>
      <c r="C238" s="34"/>
      <c r="D238" s="35">
        <v>43709</v>
      </c>
      <c r="E238" t="s">
        <v>960</v>
      </c>
      <c r="F238" s="34" t="s">
        <v>687</v>
      </c>
      <c r="G238" s="34" t="s">
        <v>82</v>
      </c>
      <c r="H238">
        <v>-320</v>
      </c>
      <c r="I238" s="36">
        <f>IF(Log_2019[[#This Row],[My Category]]="NONTRACKED",0,Log_2019[[#This Row],[Raw Amount]])</f>
        <v>-320</v>
      </c>
      <c r="J238" s="37">
        <f>ABS(Log_2019[[#This Row],[Amount]])</f>
        <v>320</v>
      </c>
      <c r="K238" s="5">
        <v>30</v>
      </c>
      <c r="L238" s="38">
        <f ca="1">IF(Log_2019[[#This Row],[Date]]&lt;=TODAY(), MIN(Log_2019[[#This Row],[Split_raw]], TODAY()-Log_2019[[#This Row],[Date]]+1), 0)</f>
        <v>30</v>
      </c>
      <c r="M238" s="34" t="s">
        <v>93</v>
      </c>
      <c r="N238" s="34" t="s">
        <v>160</v>
      </c>
      <c r="O238" s="7">
        <v>0</v>
      </c>
      <c r="P238" s="52">
        <f ca="1">Log_2019[[#This Row],[Amount]]/Log_2019[[#This Row],[Split_raw]]*MAX(0,MIN(_xlfn.DAYS(EDATE(P$1,1),Log_2019[[#This Row],[Date]]),Log_2019[[#This Row],[Split_apply]])) - SUM($O238:O238)</f>
        <v>0</v>
      </c>
      <c r="Q238" s="52">
        <f ca="1">Log_2019[[#This Row],[Amount]]/Log_2019[[#This Row],[Split_raw]]*MAX(0,MIN(_xlfn.DAYS(EDATE(Q$1,1),Log_2019[[#This Row],[Date]]),Log_2019[[#This Row],[Split_apply]])) - SUM($O238:P238)</f>
        <v>0</v>
      </c>
      <c r="R238" s="52">
        <f ca="1">Log_2019[[#This Row],[Amount]]/Log_2019[[#This Row],[Split_raw]]*MAX(0,MIN(_xlfn.DAYS(EDATE(R$1,1),Log_2019[[#This Row],[Date]]),Log_2019[[#This Row],[Split_apply]])) - SUM($O238:Q238)</f>
        <v>0</v>
      </c>
      <c r="S238" s="52">
        <f ca="1">Log_2019[[#This Row],[Amount]]/Log_2019[[#This Row],[Split_raw]]*MAX(0,MIN(_xlfn.DAYS(EDATE(S$1,1),Log_2019[[#This Row],[Date]]),Log_2019[[#This Row],[Split_apply]])) - SUM($O238:R238)</f>
        <v>0</v>
      </c>
      <c r="T238" s="52">
        <f ca="1">Log_2019[[#This Row],[Amount]]/Log_2019[[#This Row],[Split_raw]]*MAX(0,MIN(_xlfn.DAYS(EDATE(T$1,1),Log_2019[[#This Row],[Date]]),Log_2019[[#This Row],[Split_apply]])) - SUM($O238:S238)</f>
        <v>0</v>
      </c>
      <c r="U238" s="52">
        <f ca="1">Log_2019[[#This Row],[Amount]]/Log_2019[[#This Row],[Split_raw]]*MAX(0,MIN(_xlfn.DAYS(EDATE(U$1,1),Log_2019[[#This Row],[Date]]),Log_2019[[#This Row],[Split_apply]])) - SUM($O238:T238)</f>
        <v>0</v>
      </c>
      <c r="V238" s="52">
        <f ca="1">Log_2019[[#This Row],[Amount]]/Log_2019[[#This Row],[Split_raw]]*MAX(0,MIN(_xlfn.DAYS(EDATE(V$1,1),Log_2019[[#This Row],[Date]]),Log_2019[[#This Row],[Split_apply]])) - SUM($O238:U238)</f>
        <v>0</v>
      </c>
      <c r="W238" s="52">
        <f ca="1">Log_2019[[#This Row],[Amount]]/Log_2019[[#This Row],[Split_raw]]*MAX(0,MIN(_xlfn.DAYS(EDATE(W$1,1),Log_2019[[#This Row],[Date]]),Log_2019[[#This Row],[Split_apply]])) - SUM($O238:V238)</f>
        <v>0</v>
      </c>
      <c r="X238" s="52">
        <f ca="1">Log_2019[[#This Row],[Amount]]/Log_2019[[#This Row],[Split_raw]]*MAX(0,MIN(_xlfn.DAYS(EDATE(X$1,1),Log_2019[[#This Row],[Date]]),Log_2019[[#This Row],[Split_apply]])) - SUM($O238:W238)</f>
        <v>-320</v>
      </c>
      <c r="Y238" s="52">
        <f ca="1">Log_2019[[#This Row],[Amount]]/Log_2019[[#This Row],[Split_raw]]*MAX(0,MIN(_xlfn.DAYS(EDATE(Y$1,1),Log_2019[[#This Row],[Date]]),Log_2019[[#This Row],[Split_apply]])) - SUM($O238:X238)</f>
        <v>0</v>
      </c>
      <c r="Z238" s="52">
        <f ca="1">Log_2019[[#This Row],[Amount]]/Log_2019[[#This Row],[Split_raw]]*MAX(0,MIN(_xlfn.DAYS(EDATE(Z$1,1),Log_2019[[#This Row],[Date]]),Log_2019[[#This Row],[Split_apply]])) - SUM($O238:Y238)</f>
        <v>0</v>
      </c>
      <c r="AA238" s="52">
        <f ca="1">Log_2019[[#This Row],[Amount]]/Log_2019[[#This Row],[Split_raw]]*MAX(0,MIN(_xlfn.DAYS(EDATE(AA$1,1),Log_2019[[#This Row],[Date]]),Log_2019[[#This Row],[Split_apply]])) - SUM($O238:Z238)</f>
        <v>0</v>
      </c>
      <c r="AB238" s="54">
        <f ca="1">Log_2019[[#This Row],[Amount]]-SUM(O238:AA238)</f>
        <v>0</v>
      </c>
      <c r="AC238" s="7">
        <f>MAX(0,Log_2019[[#This Row],[Split_raw]] - (EDATE(AA$1,1)-Log_2019[[#This Row],[Date]]))</f>
        <v>0</v>
      </c>
    </row>
    <row r="239" spans="1:29" x14ac:dyDescent="0.25">
      <c r="A239" s="42"/>
      <c r="B239" s="34" t="s">
        <v>6</v>
      </c>
      <c r="C239" s="34"/>
      <c r="D239" s="35">
        <v>43709</v>
      </c>
      <c r="E239" s="34"/>
      <c r="F239" s="34" t="s">
        <v>690</v>
      </c>
      <c r="G239" s="34" t="s">
        <v>27</v>
      </c>
      <c r="H239">
        <v>-6.8</v>
      </c>
      <c r="I239" s="36">
        <f>IF(Log_2019[[#This Row],[My Category]]="NONTRACKED",0,Log_2019[[#This Row],[Raw Amount]])</f>
        <v>-6.8</v>
      </c>
      <c r="J239" s="37">
        <f>ABS(Log_2019[[#This Row],[Amount]])</f>
        <v>6.8</v>
      </c>
      <c r="K239" s="38">
        <v>1</v>
      </c>
      <c r="L239" s="38">
        <f ca="1">IF(Log_2019[[#This Row],[Date]]&lt;=TODAY(), MIN(Log_2019[[#This Row],[Split_raw]], TODAY()-Log_2019[[#This Row],[Date]]+1), 0)</f>
        <v>1</v>
      </c>
      <c r="M239" s="34" t="s">
        <v>37</v>
      </c>
      <c r="N239" s="34" t="s">
        <v>158</v>
      </c>
      <c r="O239" s="7">
        <v>0</v>
      </c>
      <c r="P239" s="52">
        <f ca="1">Log_2019[[#This Row],[Amount]]/Log_2019[[#This Row],[Split_raw]]*MAX(0,MIN(_xlfn.DAYS(EDATE(P$1,1),Log_2019[[#This Row],[Date]]),Log_2019[[#This Row],[Split_apply]])) - SUM($O239:O239)</f>
        <v>0</v>
      </c>
      <c r="Q239" s="52">
        <f ca="1">Log_2019[[#This Row],[Amount]]/Log_2019[[#This Row],[Split_raw]]*MAX(0,MIN(_xlfn.DAYS(EDATE(Q$1,1),Log_2019[[#This Row],[Date]]),Log_2019[[#This Row],[Split_apply]])) - SUM($O239:P239)</f>
        <v>0</v>
      </c>
      <c r="R239" s="52">
        <f ca="1">Log_2019[[#This Row],[Amount]]/Log_2019[[#This Row],[Split_raw]]*MAX(0,MIN(_xlfn.DAYS(EDATE(R$1,1),Log_2019[[#This Row],[Date]]),Log_2019[[#This Row],[Split_apply]])) - SUM($O239:Q239)</f>
        <v>0</v>
      </c>
      <c r="S239" s="52">
        <f ca="1">Log_2019[[#This Row],[Amount]]/Log_2019[[#This Row],[Split_raw]]*MAX(0,MIN(_xlfn.DAYS(EDATE(S$1,1),Log_2019[[#This Row],[Date]]),Log_2019[[#This Row],[Split_apply]])) - SUM($O239:R239)</f>
        <v>0</v>
      </c>
      <c r="T239" s="52">
        <f ca="1">Log_2019[[#This Row],[Amount]]/Log_2019[[#This Row],[Split_raw]]*MAX(0,MIN(_xlfn.DAYS(EDATE(T$1,1),Log_2019[[#This Row],[Date]]),Log_2019[[#This Row],[Split_apply]])) - SUM($O239:S239)</f>
        <v>0</v>
      </c>
      <c r="U239" s="52">
        <f ca="1">Log_2019[[#This Row],[Amount]]/Log_2019[[#This Row],[Split_raw]]*MAX(0,MIN(_xlfn.DAYS(EDATE(U$1,1),Log_2019[[#This Row],[Date]]),Log_2019[[#This Row],[Split_apply]])) - SUM($O239:T239)</f>
        <v>0</v>
      </c>
      <c r="V239" s="52">
        <f ca="1">Log_2019[[#This Row],[Amount]]/Log_2019[[#This Row],[Split_raw]]*MAX(0,MIN(_xlfn.DAYS(EDATE(V$1,1),Log_2019[[#This Row],[Date]]),Log_2019[[#This Row],[Split_apply]])) - SUM($O239:U239)</f>
        <v>0</v>
      </c>
      <c r="W239" s="52">
        <f ca="1">Log_2019[[#This Row],[Amount]]/Log_2019[[#This Row],[Split_raw]]*MAX(0,MIN(_xlfn.DAYS(EDATE(W$1,1),Log_2019[[#This Row],[Date]]),Log_2019[[#This Row],[Split_apply]])) - SUM($O239:V239)</f>
        <v>0</v>
      </c>
      <c r="X239" s="52">
        <f ca="1">Log_2019[[#This Row],[Amount]]/Log_2019[[#This Row],[Split_raw]]*MAX(0,MIN(_xlfn.DAYS(EDATE(X$1,1),Log_2019[[#This Row],[Date]]),Log_2019[[#This Row],[Split_apply]])) - SUM($O239:W239)</f>
        <v>-6.8</v>
      </c>
      <c r="Y239" s="52">
        <f ca="1">Log_2019[[#This Row],[Amount]]/Log_2019[[#This Row],[Split_raw]]*MAX(0,MIN(_xlfn.DAYS(EDATE(Y$1,1),Log_2019[[#This Row],[Date]]),Log_2019[[#This Row],[Split_apply]])) - SUM($O239:X239)</f>
        <v>0</v>
      </c>
      <c r="Z239" s="52">
        <f ca="1">Log_2019[[#This Row],[Amount]]/Log_2019[[#This Row],[Split_raw]]*MAX(0,MIN(_xlfn.DAYS(EDATE(Z$1,1),Log_2019[[#This Row],[Date]]),Log_2019[[#This Row],[Split_apply]])) - SUM($O239:Y239)</f>
        <v>0</v>
      </c>
      <c r="AA239" s="52">
        <f ca="1">Log_2019[[#This Row],[Amount]]/Log_2019[[#This Row],[Split_raw]]*MAX(0,MIN(_xlfn.DAYS(EDATE(AA$1,1),Log_2019[[#This Row],[Date]]),Log_2019[[#This Row],[Split_apply]])) - SUM($O239:Z239)</f>
        <v>0</v>
      </c>
      <c r="AB239" s="54">
        <f ca="1">Log_2019[[#This Row],[Amount]]-SUM(O239:AA239)</f>
        <v>0</v>
      </c>
      <c r="AC239" s="7">
        <f>MAX(0,Log_2019[[#This Row],[Split_raw]] - (EDATE(AA$1,1)-Log_2019[[#This Row],[Date]]))</f>
        <v>0</v>
      </c>
    </row>
    <row r="240" spans="1:29" x14ac:dyDescent="0.25">
      <c r="A240" s="42"/>
      <c r="B240" s="34" t="s">
        <v>6</v>
      </c>
      <c r="C240" s="34"/>
      <c r="D240" s="35">
        <v>43708</v>
      </c>
      <c r="E240" s="34"/>
      <c r="F240" s="34" t="s">
        <v>691</v>
      </c>
      <c r="G240" s="34" t="s">
        <v>27</v>
      </c>
      <c r="H240">
        <v>-134.30000000000001</v>
      </c>
      <c r="I240" s="36">
        <f>IF(Log_2019[[#This Row],[My Category]]="NONTRACKED",0,Log_2019[[#This Row],[Raw Amount]])</f>
        <v>-134.30000000000001</v>
      </c>
      <c r="J240" s="37">
        <f>ABS(Log_2019[[#This Row],[Amount]])</f>
        <v>134.30000000000001</v>
      </c>
      <c r="K240" s="38">
        <v>1</v>
      </c>
      <c r="L240" s="38">
        <f ca="1">IF(Log_2019[[#This Row],[Date]]&lt;=TODAY(), MIN(Log_2019[[#This Row],[Split_raw]], TODAY()-Log_2019[[#This Row],[Date]]+1), 0)</f>
        <v>1</v>
      </c>
      <c r="M240" s="34" t="s">
        <v>42</v>
      </c>
      <c r="N240" s="34" t="s">
        <v>158</v>
      </c>
      <c r="O240" s="7">
        <v>0</v>
      </c>
      <c r="P240" s="52">
        <f ca="1">Log_2019[[#This Row],[Amount]]/Log_2019[[#This Row],[Split_raw]]*MAX(0,MIN(_xlfn.DAYS(EDATE(P$1,1),Log_2019[[#This Row],[Date]]),Log_2019[[#This Row],[Split_apply]])) - SUM($O240:O240)</f>
        <v>0</v>
      </c>
      <c r="Q240" s="52">
        <f ca="1">Log_2019[[#This Row],[Amount]]/Log_2019[[#This Row],[Split_raw]]*MAX(0,MIN(_xlfn.DAYS(EDATE(Q$1,1),Log_2019[[#This Row],[Date]]),Log_2019[[#This Row],[Split_apply]])) - SUM($O240:P240)</f>
        <v>0</v>
      </c>
      <c r="R240" s="52">
        <f ca="1">Log_2019[[#This Row],[Amount]]/Log_2019[[#This Row],[Split_raw]]*MAX(0,MIN(_xlfn.DAYS(EDATE(R$1,1),Log_2019[[#This Row],[Date]]),Log_2019[[#This Row],[Split_apply]])) - SUM($O240:Q240)</f>
        <v>0</v>
      </c>
      <c r="S240" s="52">
        <f ca="1">Log_2019[[#This Row],[Amount]]/Log_2019[[#This Row],[Split_raw]]*MAX(0,MIN(_xlfn.DAYS(EDATE(S$1,1),Log_2019[[#This Row],[Date]]),Log_2019[[#This Row],[Split_apply]])) - SUM($O240:R240)</f>
        <v>0</v>
      </c>
      <c r="T240" s="52">
        <f ca="1">Log_2019[[#This Row],[Amount]]/Log_2019[[#This Row],[Split_raw]]*MAX(0,MIN(_xlfn.DAYS(EDATE(T$1,1),Log_2019[[#This Row],[Date]]),Log_2019[[#This Row],[Split_apply]])) - SUM($O240:S240)</f>
        <v>0</v>
      </c>
      <c r="U240" s="52">
        <f ca="1">Log_2019[[#This Row],[Amount]]/Log_2019[[#This Row],[Split_raw]]*MAX(0,MIN(_xlfn.DAYS(EDATE(U$1,1),Log_2019[[#This Row],[Date]]),Log_2019[[#This Row],[Split_apply]])) - SUM($O240:T240)</f>
        <v>0</v>
      </c>
      <c r="V240" s="52">
        <f ca="1">Log_2019[[#This Row],[Amount]]/Log_2019[[#This Row],[Split_raw]]*MAX(0,MIN(_xlfn.DAYS(EDATE(V$1,1),Log_2019[[#This Row],[Date]]),Log_2019[[#This Row],[Split_apply]])) - SUM($O240:U240)</f>
        <v>0</v>
      </c>
      <c r="W240" s="52">
        <f ca="1">Log_2019[[#This Row],[Amount]]/Log_2019[[#This Row],[Split_raw]]*MAX(0,MIN(_xlfn.DAYS(EDATE(W$1,1),Log_2019[[#This Row],[Date]]),Log_2019[[#This Row],[Split_apply]])) - SUM($O240:V240)</f>
        <v>-134.30000000000001</v>
      </c>
      <c r="X240" s="52">
        <f ca="1">Log_2019[[#This Row],[Amount]]/Log_2019[[#This Row],[Split_raw]]*MAX(0,MIN(_xlfn.DAYS(EDATE(X$1,1),Log_2019[[#This Row],[Date]]),Log_2019[[#This Row],[Split_apply]])) - SUM($O240:W240)</f>
        <v>0</v>
      </c>
      <c r="Y240" s="52">
        <f ca="1">Log_2019[[#This Row],[Amount]]/Log_2019[[#This Row],[Split_raw]]*MAX(0,MIN(_xlfn.DAYS(EDATE(Y$1,1),Log_2019[[#This Row],[Date]]),Log_2019[[#This Row],[Split_apply]])) - SUM($O240:X240)</f>
        <v>0</v>
      </c>
      <c r="Z240" s="52">
        <f ca="1">Log_2019[[#This Row],[Amount]]/Log_2019[[#This Row],[Split_raw]]*MAX(0,MIN(_xlfn.DAYS(EDATE(Z$1,1),Log_2019[[#This Row],[Date]]),Log_2019[[#This Row],[Split_apply]])) - SUM($O240:Y240)</f>
        <v>0</v>
      </c>
      <c r="AA240" s="52">
        <f ca="1">Log_2019[[#This Row],[Amount]]/Log_2019[[#This Row],[Split_raw]]*MAX(0,MIN(_xlfn.DAYS(EDATE(AA$1,1),Log_2019[[#This Row],[Date]]),Log_2019[[#This Row],[Split_apply]])) - SUM($O240:Z240)</f>
        <v>0</v>
      </c>
      <c r="AB240" s="54">
        <f ca="1">Log_2019[[#This Row],[Amount]]-SUM(O240:AA240)</f>
        <v>0</v>
      </c>
      <c r="AC240" s="7">
        <f>MAX(0,Log_2019[[#This Row],[Split_raw]] - (EDATE(AA$1,1)-Log_2019[[#This Row],[Date]]))</f>
        <v>0</v>
      </c>
    </row>
    <row r="241" spans="1:29" x14ac:dyDescent="0.25">
      <c r="A241" s="42"/>
      <c r="B241" s="34" t="s">
        <v>6</v>
      </c>
      <c r="C241" s="34"/>
      <c r="D241" s="35">
        <v>43708</v>
      </c>
      <c r="E241" s="34"/>
      <c r="F241" s="34" t="s">
        <v>692</v>
      </c>
      <c r="G241" s="34" t="s">
        <v>27</v>
      </c>
      <c r="H241">
        <v>-134.30000000000001</v>
      </c>
      <c r="I241" s="36">
        <f>IF(Log_2019[[#This Row],[My Category]]="NONTRACKED",0,Log_2019[[#This Row],[Raw Amount]])</f>
        <v>-134.30000000000001</v>
      </c>
      <c r="J241" s="37">
        <f>ABS(Log_2019[[#This Row],[Amount]])</f>
        <v>134.30000000000001</v>
      </c>
      <c r="K241" s="38">
        <v>1</v>
      </c>
      <c r="L241" s="38">
        <f ca="1">IF(Log_2019[[#This Row],[Date]]&lt;=TODAY(), MIN(Log_2019[[#This Row],[Split_raw]], TODAY()-Log_2019[[#This Row],[Date]]+1), 0)</f>
        <v>1</v>
      </c>
      <c r="M241" s="34" t="s">
        <v>42</v>
      </c>
      <c r="N241" s="34" t="s">
        <v>158</v>
      </c>
      <c r="O241" s="7">
        <v>0</v>
      </c>
      <c r="P241" s="52">
        <f ca="1">Log_2019[[#This Row],[Amount]]/Log_2019[[#This Row],[Split_raw]]*MAX(0,MIN(_xlfn.DAYS(EDATE(P$1,1),Log_2019[[#This Row],[Date]]),Log_2019[[#This Row],[Split_apply]])) - SUM($O241:O241)</f>
        <v>0</v>
      </c>
      <c r="Q241" s="52">
        <f ca="1">Log_2019[[#This Row],[Amount]]/Log_2019[[#This Row],[Split_raw]]*MAX(0,MIN(_xlfn.DAYS(EDATE(Q$1,1),Log_2019[[#This Row],[Date]]),Log_2019[[#This Row],[Split_apply]])) - SUM($O241:P241)</f>
        <v>0</v>
      </c>
      <c r="R241" s="52">
        <f ca="1">Log_2019[[#This Row],[Amount]]/Log_2019[[#This Row],[Split_raw]]*MAX(0,MIN(_xlfn.DAYS(EDATE(R$1,1),Log_2019[[#This Row],[Date]]),Log_2019[[#This Row],[Split_apply]])) - SUM($O241:Q241)</f>
        <v>0</v>
      </c>
      <c r="S241" s="52">
        <f ca="1">Log_2019[[#This Row],[Amount]]/Log_2019[[#This Row],[Split_raw]]*MAX(0,MIN(_xlfn.DAYS(EDATE(S$1,1),Log_2019[[#This Row],[Date]]),Log_2019[[#This Row],[Split_apply]])) - SUM($O241:R241)</f>
        <v>0</v>
      </c>
      <c r="T241" s="52">
        <f ca="1">Log_2019[[#This Row],[Amount]]/Log_2019[[#This Row],[Split_raw]]*MAX(0,MIN(_xlfn.DAYS(EDATE(T$1,1),Log_2019[[#This Row],[Date]]),Log_2019[[#This Row],[Split_apply]])) - SUM($O241:S241)</f>
        <v>0</v>
      </c>
      <c r="U241" s="52">
        <f ca="1">Log_2019[[#This Row],[Amount]]/Log_2019[[#This Row],[Split_raw]]*MAX(0,MIN(_xlfn.DAYS(EDATE(U$1,1),Log_2019[[#This Row],[Date]]),Log_2019[[#This Row],[Split_apply]])) - SUM($O241:T241)</f>
        <v>0</v>
      </c>
      <c r="V241" s="52">
        <f ca="1">Log_2019[[#This Row],[Amount]]/Log_2019[[#This Row],[Split_raw]]*MAX(0,MIN(_xlfn.DAYS(EDATE(V$1,1),Log_2019[[#This Row],[Date]]),Log_2019[[#This Row],[Split_apply]])) - SUM($O241:U241)</f>
        <v>0</v>
      </c>
      <c r="W241" s="52">
        <f ca="1">Log_2019[[#This Row],[Amount]]/Log_2019[[#This Row],[Split_raw]]*MAX(0,MIN(_xlfn.DAYS(EDATE(W$1,1),Log_2019[[#This Row],[Date]]),Log_2019[[#This Row],[Split_apply]])) - SUM($O241:V241)</f>
        <v>-134.30000000000001</v>
      </c>
      <c r="X241" s="52">
        <f ca="1">Log_2019[[#This Row],[Amount]]/Log_2019[[#This Row],[Split_raw]]*MAX(0,MIN(_xlfn.DAYS(EDATE(X$1,1),Log_2019[[#This Row],[Date]]),Log_2019[[#This Row],[Split_apply]])) - SUM($O241:W241)</f>
        <v>0</v>
      </c>
      <c r="Y241" s="52">
        <f ca="1">Log_2019[[#This Row],[Amount]]/Log_2019[[#This Row],[Split_raw]]*MAX(0,MIN(_xlfn.DAYS(EDATE(Y$1,1),Log_2019[[#This Row],[Date]]),Log_2019[[#This Row],[Split_apply]])) - SUM($O241:X241)</f>
        <v>0</v>
      </c>
      <c r="Z241" s="52">
        <f ca="1">Log_2019[[#This Row],[Amount]]/Log_2019[[#This Row],[Split_raw]]*MAX(0,MIN(_xlfn.DAYS(EDATE(Z$1,1),Log_2019[[#This Row],[Date]]),Log_2019[[#This Row],[Split_apply]])) - SUM($O241:Y241)</f>
        <v>0</v>
      </c>
      <c r="AA241" s="52">
        <f ca="1">Log_2019[[#This Row],[Amount]]/Log_2019[[#This Row],[Split_raw]]*MAX(0,MIN(_xlfn.DAYS(EDATE(AA$1,1),Log_2019[[#This Row],[Date]]),Log_2019[[#This Row],[Split_apply]])) - SUM($O241:Z241)</f>
        <v>0</v>
      </c>
      <c r="AB241" s="54">
        <f ca="1">Log_2019[[#This Row],[Amount]]-SUM(O241:AA241)</f>
        <v>0</v>
      </c>
      <c r="AC241" s="7">
        <f>MAX(0,Log_2019[[#This Row],[Split_raw]] - (EDATE(AA$1,1)-Log_2019[[#This Row],[Date]]))</f>
        <v>0</v>
      </c>
    </row>
    <row r="242" spans="1:29" x14ac:dyDescent="0.25">
      <c r="A242" s="42"/>
      <c r="B242" s="34" t="s">
        <v>6</v>
      </c>
      <c r="C242" s="34"/>
      <c r="D242" s="35">
        <v>43708</v>
      </c>
      <c r="E242" s="34"/>
      <c r="F242" s="34" t="s">
        <v>693</v>
      </c>
      <c r="G242" s="34" t="s">
        <v>27</v>
      </c>
      <c r="H242">
        <v>-13</v>
      </c>
      <c r="I242" s="36">
        <f>IF(Log_2019[[#This Row],[My Category]]="NONTRACKED",0,Log_2019[[#This Row],[Raw Amount]])</f>
        <v>-13</v>
      </c>
      <c r="J242" s="37">
        <f>ABS(Log_2019[[#This Row],[Amount]])</f>
        <v>13</v>
      </c>
      <c r="K242" s="38">
        <v>1</v>
      </c>
      <c r="L242" s="38">
        <f ca="1">IF(Log_2019[[#This Row],[Date]]&lt;=TODAY(), MIN(Log_2019[[#This Row],[Split_raw]], TODAY()-Log_2019[[#This Row],[Date]]+1), 0)</f>
        <v>1</v>
      </c>
      <c r="M242" s="34" t="s">
        <v>42</v>
      </c>
      <c r="N242" s="34" t="s">
        <v>158</v>
      </c>
      <c r="O242" s="7">
        <v>0</v>
      </c>
      <c r="P242" s="52">
        <f ca="1">Log_2019[[#This Row],[Amount]]/Log_2019[[#This Row],[Split_raw]]*MAX(0,MIN(_xlfn.DAYS(EDATE(P$1,1),Log_2019[[#This Row],[Date]]),Log_2019[[#This Row],[Split_apply]])) - SUM($O242:O242)</f>
        <v>0</v>
      </c>
      <c r="Q242" s="52">
        <f ca="1">Log_2019[[#This Row],[Amount]]/Log_2019[[#This Row],[Split_raw]]*MAX(0,MIN(_xlfn.DAYS(EDATE(Q$1,1),Log_2019[[#This Row],[Date]]),Log_2019[[#This Row],[Split_apply]])) - SUM($O242:P242)</f>
        <v>0</v>
      </c>
      <c r="R242" s="52">
        <f ca="1">Log_2019[[#This Row],[Amount]]/Log_2019[[#This Row],[Split_raw]]*MAX(0,MIN(_xlfn.DAYS(EDATE(R$1,1),Log_2019[[#This Row],[Date]]),Log_2019[[#This Row],[Split_apply]])) - SUM($O242:Q242)</f>
        <v>0</v>
      </c>
      <c r="S242" s="52">
        <f ca="1">Log_2019[[#This Row],[Amount]]/Log_2019[[#This Row],[Split_raw]]*MAX(0,MIN(_xlfn.DAYS(EDATE(S$1,1),Log_2019[[#This Row],[Date]]),Log_2019[[#This Row],[Split_apply]])) - SUM($O242:R242)</f>
        <v>0</v>
      </c>
      <c r="T242" s="52">
        <f ca="1">Log_2019[[#This Row],[Amount]]/Log_2019[[#This Row],[Split_raw]]*MAX(0,MIN(_xlfn.DAYS(EDATE(T$1,1),Log_2019[[#This Row],[Date]]),Log_2019[[#This Row],[Split_apply]])) - SUM($O242:S242)</f>
        <v>0</v>
      </c>
      <c r="U242" s="52">
        <f ca="1">Log_2019[[#This Row],[Amount]]/Log_2019[[#This Row],[Split_raw]]*MAX(0,MIN(_xlfn.DAYS(EDATE(U$1,1),Log_2019[[#This Row],[Date]]),Log_2019[[#This Row],[Split_apply]])) - SUM($O242:T242)</f>
        <v>0</v>
      </c>
      <c r="V242" s="52">
        <f ca="1">Log_2019[[#This Row],[Amount]]/Log_2019[[#This Row],[Split_raw]]*MAX(0,MIN(_xlfn.DAYS(EDATE(V$1,1),Log_2019[[#This Row],[Date]]),Log_2019[[#This Row],[Split_apply]])) - SUM($O242:U242)</f>
        <v>0</v>
      </c>
      <c r="W242" s="52">
        <f ca="1">Log_2019[[#This Row],[Amount]]/Log_2019[[#This Row],[Split_raw]]*MAX(0,MIN(_xlfn.DAYS(EDATE(W$1,1),Log_2019[[#This Row],[Date]]),Log_2019[[#This Row],[Split_apply]])) - SUM($O242:V242)</f>
        <v>-13</v>
      </c>
      <c r="X242" s="52">
        <f ca="1">Log_2019[[#This Row],[Amount]]/Log_2019[[#This Row],[Split_raw]]*MAX(0,MIN(_xlfn.DAYS(EDATE(X$1,1),Log_2019[[#This Row],[Date]]),Log_2019[[#This Row],[Split_apply]])) - SUM($O242:W242)</f>
        <v>0</v>
      </c>
      <c r="Y242" s="52">
        <f ca="1">Log_2019[[#This Row],[Amount]]/Log_2019[[#This Row],[Split_raw]]*MAX(0,MIN(_xlfn.DAYS(EDATE(Y$1,1),Log_2019[[#This Row],[Date]]),Log_2019[[#This Row],[Split_apply]])) - SUM($O242:X242)</f>
        <v>0</v>
      </c>
      <c r="Z242" s="52">
        <f ca="1">Log_2019[[#This Row],[Amount]]/Log_2019[[#This Row],[Split_raw]]*MAX(0,MIN(_xlfn.DAYS(EDATE(Z$1,1),Log_2019[[#This Row],[Date]]),Log_2019[[#This Row],[Split_apply]])) - SUM($O242:Y242)</f>
        <v>0</v>
      </c>
      <c r="AA242" s="52">
        <f ca="1">Log_2019[[#This Row],[Amount]]/Log_2019[[#This Row],[Split_raw]]*MAX(0,MIN(_xlfn.DAYS(EDATE(AA$1,1),Log_2019[[#This Row],[Date]]),Log_2019[[#This Row],[Split_apply]])) - SUM($O242:Z242)</f>
        <v>0</v>
      </c>
      <c r="AB242" s="54">
        <f ca="1">Log_2019[[#This Row],[Amount]]-SUM(O242:AA242)</f>
        <v>0</v>
      </c>
      <c r="AC242" s="7">
        <f>MAX(0,Log_2019[[#This Row],[Split_raw]] - (EDATE(AA$1,1)-Log_2019[[#This Row],[Date]]))</f>
        <v>0</v>
      </c>
    </row>
    <row r="243" spans="1:29" x14ac:dyDescent="0.25">
      <c r="A243" s="42"/>
      <c r="B243" s="34" t="s">
        <v>148</v>
      </c>
      <c r="C243" s="34"/>
      <c r="D243" s="35">
        <v>43708</v>
      </c>
      <c r="E243" s="34"/>
      <c r="F243" s="34" t="s">
        <v>694</v>
      </c>
      <c r="G243" s="34" t="s">
        <v>19</v>
      </c>
      <c r="H243">
        <f>-26.35/2</f>
        <v>-13.175000000000001</v>
      </c>
      <c r="I243" s="36">
        <f>IF(Log_2019[[#This Row],[My Category]]="NONTRACKED",0,Log_2019[[#This Row],[Raw Amount]])</f>
        <v>-13.175000000000001</v>
      </c>
      <c r="J243" s="37">
        <f>ABS(Log_2019[[#This Row],[Amount]])</f>
        <v>13.175000000000001</v>
      </c>
      <c r="K243" s="38">
        <v>1</v>
      </c>
      <c r="L243" s="38">
        <f ca="1">IF(Log_2019[[#This Row],[Date]]&lt;=TODAY(), MIN(Log_2019[[#This Row],[Split_raw]], TODAY()-Log_2019[[#This Row],[Date]]+1), 0)</f>
        <v>1</v>
      </c>
      <c r="M243" s="34" t="s">
        <v>35</v>
      </c>
      <c r="N243" s="34" t="s">
        <v>158</v>
      </c>
      <c r="O243" s="7">
        <v>0</v>
      </c>
      <c r="P243" s="52">
        <f ca="1">Log_2019[[#This Row],[Amount]]/Log_2019[[#This Row],[Split_raw]]*MAX(0,MIN(_xlfn.DAYS(EDATE(P$1,1),Log_2019[[#This Row],[Date]]),Log_2019[[#This Row],[Split_apply]])) - SUM($O243:O243)</f>
        <v>0</v>
      </c>
      <c r="Q243" s="52">
        <f ca="1">Log_2019[[#This Row],[Amount]]/Log_2019[[#This Row],[Split_raw]]*MAX(0,MIN(_xlfn.DAYS(EDATE(Q$1,1),Log_2019[[#This Row],[Date]]),Log_2019[[#This Row],[Split_apply]])) - SUM($O243:P243)</f>
        <v>0</v>
      </c>
      <c r="R243" s="52">
        <f ca="1">Log_2019[[#This Row],[Amount]]/Log_2019[[#This Row],[Split_raw]]*MAX(0,MIN(_xlfn.DAYS(EDATE(R$1,1),Log_2019[[#This Row],[Date]]),Log_2019[[#This Row],[Split_apply]])) - SUM($O243:Q243)</f>
        <v>0</v>
      </c>
      <c r="S243" s="52">
        <f ca="1">Log_2019[[#This Row],[Amount]]/Log_2019[[#This Row],[Split_raw]]*MAX(0,MIN(_xlfn.DAYS(EDATE(S$1,1),Log_2019[[#This Row],[Date]]),Log_2019[[#This Row],[Split_apply]])) - SUM($O243:R243)</f>
        <v>0</v>
      </c>
      <c r="T243" s="52">
        <f ca="1">Log_2019[[#This Row],[Amount]]/Log_2019[[#This Row],[Split_raw]]*MAX(0,MIN(_xlfn.DAYS(EDATE(T$1,1),Log_2019[[#This Row],[Date]]),Log_2019[[#This Row],[Split_apply]])) - SUM($O243:S243)</f>
        <v>0</v>
      </c>
      <c r="U243" s="52">
        <f ca="1">Log_2019[[#This Row],[Amount]]/Log_2019[[#This Row],[Split_raw]]*MAX(0,MIN(_xlfn.DAYS(EDATE(U$1,1),Log_2019[[#This Row],[Date]]),Log_2019[[#This Row],[Split_apply]])) - SUM($O243:T243)</f>
        <v>0</v>
      </c>
      <c r="V243" s="52">
        <f ca="1">Log_2019[[#This Row],[Amount]]/Log_2019[[#This Row],[Split_raw]]*MAX(0,MIN(_xlfn.DAYS(EDATE(V$1,1),Log_2019[[#This Row],[Date]]),Log_2019[[#This Row],[Split_apply]])) - SUM($O243:U243)</f>
        <v>0</v>
      </c>
      <c r="W243" s="52">
        <f ca="1">Log_2019[[#This Row],[Amount]]/Log_2019[[#This Row],[Split_raw]]*MAX(0,MIN(_xlfn.DAYS(EDATE(W$1,1),Log_2019[[#This Row],[Date]]),Log_2019[[#This Row],[Split_apply]])) - SUM($O243:V243)</f>
        <v>-13.175000000000001</v>
      </c>
      <c r="X243" s="52">
        <f ca="1">Log_2019[[#This Row],[Amount]]/Log_2019[[#This Row],[Split_raw]]*MAX(0,MIN(_xlfn.DAYS(EDATE(X$1,1),Log_2019[[#This Row],[Date]]),Log_2019[[#This Row],[Split_apply]])) - SUM($O243:W243)</f>
        <v>0</v>
      </c>
      <c r="Y243" s="52">
        <f ca="1">Log_2019[[#This Row],[Amount]]/Log_2019[[#This Row],[Split_raw]]*MAX(0,MIN(_xlfn.DAYS(EDATE(Y$1,1),Log_2019[[#This Row],[Date]]),Log_2019[[#This Row],[Split_apply]])) - SUM($O243:X243)</f>
        <v>0</v>
      </c>
      <c r="Z243" s="52">
        <f ca="1">Log_2019[[#This Row],[Amount]]/Log_2019[[#This Row],[Split_raw]]*MAX(0,MIN(_xlfn.DAYS(EDATE(Z$1,1),Log_2019[[#This Row],[Date]]),Log_2019[[#This Row],[Split_apply]])) - SUM($O243:Y243)</f>
        <v>0</v>
      </c>
      <c r="AA243" s="52">
        <f ca="1">Log_2019[[#This Row],[Amount]]/Log_2019[[#This Row],[Split_raw]]*MAX(0,MIN(_xlfn.DAYS(EDATE(AA$1,1),Log_2019[[#This Row],[Date]]),Log_2019[[#This Row],[Split_apply]])) - SUM($O243:Z243)</f>
        <v>0</v>
      </c>
      <c r="AB243" s="54">
        <f ca="1">Log_2019[[#This Row],[Amount]]-SUM(O243:AA243)</f>
        <v>0</v>
      </c>
      <c r="AC243" s="7">
        <f>MAX(0,Log_2019[[#This Row],[Split_raw]] - (EDATE(AA$1,1)-Log_2019[[#This Row],[Date]]))</f>
        <v>0</v>
      </c>
    </row>
    <row r="244" spans="1:29" x14ac:dyDescent="0.25">
      <c r="A244" s="42"/>
      <c r="B244" s="34" t="s">
        <v>148</v>
      </c>
      <c r="C244" s="34"/>
      <c r="D244" s="35">
        <v>43708</v>
      </c>
      <c r="E244" s="34"/>
      <c r="F244" s="34" t="s">
        <v>694</v>
      </c>
      <c r="G244" s="34" t="s">
        <v>19</v>
      </c>
      <c r="H244">
        <f>-26.35/2</f>
        <v>-13.175000000000001</v>
      </c>
      <c r="I244" s="36">
        <f>IF(Log_2019[[#This Row],[My Category]]="NONTRACKED",0,Log_2019[[#This Row],[Raw Amount]])</f>
        <v>-13.175000000000001</v>
      </c>
      <c r="J244" s="37">
        <f>ABS(Log_2019[[#This Row],[Amount]])</f>
        <v>13.175000000000001</v>
      </c>
      <c r="K244" s="38">
        <v>1</v>
      </c>
      <c r="L244" s="38">
        <f ca="1">IF(Log_2019[[#This Row],[Date]]&lt;=TODAY(), MIN(Log_2019[[#This Row],[Split_raw]], TODAY()-Log_2019[[#This Row],[Date]]+1), 0)</f>
        <v>1</v>
      </c>
      <c r="M244" s="34" t="s">
        <v>35</v>
      </c>
      <c r="N244" s="34" t="s">
        <v>158</v>
      </c>
      <c r="O244" s="7">
        <v>0</v>
      </c>
      <c r="P244" s="52">
        <f ca="1">Log_2019[[#This Row],[Amount]]/Log_2019[[#This Row],[Split_raw]]*MAX(0,MIN(_xlfn.DAYS(EDATE(P$1,1),Log_2019[[#This Row],[Date]]),Log_2019[[#This Row],[Split_apply]])) - SUM($O244:O244)</f>
        <v>0</v>
      </c>
      <c r="Q244" s="52">
        <f ca="1">Log_2019[[#This Row],[Amount]]/Log_2019[[#This Row],[Split_raw]]*MAX(0,MIN(_xlfn.DAYS(EDATE(Q$1,1),Log_2019[[#This Row],[Date]]),Log_2019[[#This Row],[Split_apply]])) - SUM($O244:P244)</f>
        <v>0</v>
      </c>
      <c r="R244" s="52">
        <f ca="1">Log_2019[[#This Row],[Amount]]/Log_2019[[#This Row],[Split_raw]]*MAX(0,MIN(_xlfn.DAYS(EDATE(R$1,1),Log_2019[[#This Row],[Date]]),Log_2019[[#This Row],[Split_apply]])) - SUM($O244:Q244)</f>
        <v>0</v>
      </c>
      <c r="S244" s="52">
        <f ca="1">Log_2019[[#This Row],[Amount]]/Log_2019[[#This Row],[Split_raw]]*MAX(0,MIN(_xlfn.DAYS(EDATE(S$1,1),Log_2019[[#This Row],[Date]]),Log_2019[[#This Row],[Split_apply]])) - SUM($O244:R244)</f>
        <v>0</v>
      </c>
      <c r="T244" s="52">
        <f ca="1">Log_2019[[#This Row],[Amount]]/Log_2019[[#This Row],[Split_raw]]*MAX(0,MIN(_xlfn.DAYS(EDATE(T$1,1),Log_2019[[#This Row],[Date]]),Log_2019[[#This Row],[Split_apply]])) - SUM($O244:S244)</f>
        <v>0</v>
      </c>
      <c r="U244" s="52">
        <f ca="1">Log_2019[[#This Row],[Amount]]/Log_2019[[#This Row],[Split_raw]]*MAX(0,MIN(_xlfn.DAYS(EDATE(U$1,1),Log_2019[[#This Row],[Date]]),Log_2019[[#This Row],[Split_apply]])) - SUM($O244:T244)</f>
        <v>0</v>
      </c>
      <c r="V244" s="52">
        <f ca="1">Log_2019[[#This Row],[Amount]]/Log_2019[[#This Row],[Split_raw]]*MAX(0,MIN(_xlfn.DAYS(EDATE(V$1,1),Log_2019[[#This Row],[Date]]),Log_2019[[#This Row],[Split_apply]])) - SUM($O244:U244)</f>
        <v>0</v>
      </c>
      <c r="W244" s="52">
        <f ca="1">Log_2019[[#This Row],[Amount]]/Log_2019[[#This Row],[Split_raw]]*MAX(0,MIN(_xlfn.DAYS(EDATE(W$1,1),Log_2019[[#This Row],[Date]]),Log_2019[[#This Row],[Split_apply]])) - SUM($O244:V244)</f>
        <v>-13.175000000000001</v>
      </c>
      <c r="X244" s="52">
        <f ca="1">Log_2019[[#This Row],[Amount]]/Log_2019[[#This Row],[Split_raw]]*MAX(0,MIN(_xlfn.DAYS(EDATE(X$1,1),Log_2019[[#This Row],[Date]]),Log_2019[[#This Row],[Split_apply]])) - SUM($O244:W244)</f>
        <v>0</v>
      </c>
      <c r="Y244" s="52">
        <f ca="1">Log_2019[[#This Row],[Amount]]/Log_2019[[#This Row],[Split_raw]]*MAX(0,MIN(_xlfn.DAYS(EDATE(Y$1,1),Log_2019[[#This Row],[Date]]),Log_2019[[#This Row],[Split_apply]])) - SUM($O244:X244)</f>
        <v>0</v>
      </c>
      <c r="Z244" s="52">
        <f ca="1">Log_2019[[#This Row],[Amount]]/Log_2019[[#This Row],[Split_raw]]*MAX(0,MIN(_xlfn.DAYS(EDATE(Z$1,1),Log_2019[[#This Row],[Date]]),Log_2019[[#This Row],[Split_apply]])) - SUM($O244:Y244)</f>
        <v>0</v>
      </c>
      <c r="AA244" s="52">
        <f ca="1">Log_2019[[#This Row],[Amount]]/Log_2019[[#This Row],[Split_raw]]*MAX(0,MIN(_xlfn.DAYS(EDATE(AA$1,1),Log_2019[[#This Row],[Date]]),Log_2019[[#This Row],[Split_apply]])) - SUM($O244:Z244)</f>
        <v>0</v>
      </c>
      <c r="AB244" s="54">
        <f ca="1">Log_2019[[#This Row],[Amount]]-SUM(O244:AA244)</f>
        <v>0</v>
      </c>
      <c r="AC244" s="7">
        <f>MAX(0,Log_2019[[#This Row],[Split_raw]] - (EDATE(AA$1,1)-Log_2019[[#This Row],[Date]]))</f>
        <v>0</v>
      </c>
    </row>
    <row r="245" spans="1:29" x14ac:dyDescent="0.25">
      <c r="A245" s="42"/>
      <c r="B245" s="34" t="s">
        <v>6</v>
      </c>
      <c r="C245" s="34"/>
      <c r="D245" s="35">
        <v>43708</v>
      </c>
      <c r="E245" s="34"/>
      <c r="F245" s="34" t="s">
        <v>695</v>
      </c>
      <c r="G245" s="34" t="s">
        <v>214</v>
      </c>
      <c r="H245">
        <v>-8</v>
      </c>
      <c r="I245" s="36">
        <f>IF(Log_2019[[#This Row],[My Category]]="NONTRACKED",0,Log_2019[[#This Row],[Raw Amount]])</f>
        <v>-8</v>
      </c>
      <c r="J245" s="37">
        <f>ABS(Log_2019[[#This Row],[Amount]])</f>
        <v>8</v>
      </c>
      <c r="K245" s="38">
        <v>1</v>
      </c>
      <c r="L245" s="38">
        <f ca="1">IF(Log_2019[[#This Row],[Date]]&lt;=TODAY(), MIN(Log_2019[[#This Row],[Split_raw]], TODAY()-Log_2019[[#This Row],[Date]]+1), 0)</f>
        <v>1</v>
      </c>
      <c r="M245" s="34" t="s">
        <v>35</v>
      </c>
      <c r="N245" s="34" t="s">
        <v>158</v>
      </c>
      <c r="O245" s="7">
        <v>0</v>
      </c>
      <c r="P245" s="52">
        <f ca="1">Log_2019[[#This Row],[Amount]]/Log_2019[[#This Row],[Split_raw]]*MAX(0,MIN(_xlfn.DAYS(EDATE(P$1,1),Log_2019[[#This Row],[Date]]),Log_2019[[#This Row],[Split_apply]])) - SUM($O245:O245)</f>
        <v>0</v>
      </c>
      <c r="Q245" s="52">
        <f ca="1">Log_2019[[#This Row],[Amount]]/Log_2019[[#This Row],[Split_raw]]*MAX(0,MIN(_xlfn.DAYS(EDATE(Q$1,1),Log_2019[[#This Row],[Date]]),Log_2019[[#This Row],[Split_apply]])) - SUM($O245:P245)</f>
        <v>0</v>
      </c>
      <c r="R245" s="52">
        <f ca="1">Log_2019[[#This Row],[Amount]]/Log_2019[[#This Row],[Split_raw]]*MAX(0,MIN(_xlfn.DAYS(EDATE(R$1,1),Log_2019[[#This Row],[Date]]),Log_2019[[#This Row],[Split_apply]])) - SUM($O245:Q245)</f>
        <v>0</v>
      </c>
      <c r="S245" s="52">
        <f ca="1">Log_2019[[#This Row],[Amount]]/Log_2019[[#This Row],[Split_raw]]*MAX(0,MIN(_xlfn.DAYS(EDATE(S$1,1),Log_2019[[#This Row],[Date]]),Log_2019[[#This Row],[Split_apply]])) - SUM($O245:R245)</f>
        <v>0</v>
      </c>
      <c r="T245" s="52">
        <f ca="1">Log_2019[[#This Row],[Amount]]/Log_2019[[#This Row],[Split_raw]]*MAX(0,MIN(_xlfn.DAYS(EDATE(T$1,1),Log_2019[[#This Row],[Date]]),Log_2019[[#This Row],[Split_apply]])) - SUM($O245:S245)</f>
        <v>0</v>
      </c>
      <c r="U245" s="52">
        <f ca="1">Log_2019[[#This Row],[Amount]]/Log_2019[[#This Row],[Split_raw]]*MAX(0,MIN(_xlfn.DAYS(EDATE(U$1,1),Log_2019[[#This Row],[Date]]),Log_2019[[#This Row],[Split_apply]])) - SUM($O245:T245)</f>
        <v>0</v>
      </c>
      <c r="V245" s="52">
        <f ca="1">Log_2019[[#This Row],[Amount]]/Log_2019[[#This Row],[Split_raw]]*MAX(0,MIN(_xlfn.DAYS(EDATE(V$1,1),Log_2019[[#This Row],[Date]]),Log_2019[[#This Row],[Split_apply]])) - SUM($O245:U245)</f>
        <v>0</v>
      </c>
      <c r="W245" s="52">
        <f ca="1">Log_2019[[#This Row],[Amount]]/Log_2019[[#This Row],[Split_raw]]*MAX(0,MIN(_xlfn.DAYS(EDATE(W$1,1),Log_2019[[#This Row],[Date]]),Log_2019[[#This Row],[Split_apply]])) - SUM($O245:V245)</f>
        <v>-8</v>
      </c>
      <c r="X245" s="52">
        <f ca="1">Log_2019[[#This Row],[Amount]]/Log_2019[[#This Row],[Split_raw]]*MAX(0,MIN(_xlfn.DAYS(EDATE(X$1,1),Log_2019[[#This Row],[Date]]),Log_2019[[#This Row],[Split_apply]])) - SUM($O245:W245)</f>
        <v>0</v>
      </c>
      <c r="Y245" s="52">
        <f ca="1">Log_2019[[#This Row],[Amount]]/Log_2019[[#This Row],[Split_raw]]*MAX(0,MIN(_xlfn.DAYS(EDATE(Y$1,1),Log_2019[[#This Row],[Date]]),Log_2019[[#This Row],[Split_apply]])) - SUM($O245:X245)</f>
        <v>0</v>
      </c>
      <c r="Z245" s="52">
        <f ca="1">Log_2019[[#This Row],[Amount]]/Log_2019[[#This Row],[Split_raw]]*MAX(0,MIN(_xlfn.DAYS(EDATE(Z$1,1),Log_2019[[#This Row],[Date]]),Log_2019[[#This Row],[Split_apply]])) - SUM($O245:Y245)</f>
        <v>0</v>
      </c>
      <c r="AA245" s="52">
        <f ca="1">Log_2019[[#This Row],[Amount]]/Log_2019[[#This Row],[Split_raw]]*MAX(0,MIN(_xlfn.DAYS(EDATE(AA$1,1),Log_2019[[#This Row],[Date]]),Log_2019[[#This Row],[Split_apply]])) - SUM($O245:Z245)</f>
        <v>0</v>
      </c>
      <c r="AB245" s="54">
        <f ca="1">Log_2019[[#This Row],[Amount]]-SUM(O245:AA245)</f>
        <v>0</v>
      </c>
      <c r="AC245" s="7">
        <f>MAX(0,Log_2019[[#This Row],[Split_raw]] - (EDATE(AA$1,1)-Log_2019[[#This Row],[Date]]))</f>
        <v>0</v>
      </c>
    </row>
    <row r="246" spans="1:29" x14ac:dyDescent="0.25">
      <c r="A246" s="42"/>
      <c r="B246" s="34" t="s">
        <v>6</v>
      </c>
      <c r="C246" s="34"/>
      <c r="D246" s="35">
        <v>43708</v>
      </c>
      <c r="E246" s="34"/>
      <c r="F246" s="34" t="s">
        <v>695</v>
      </c>
      <c r="G246" s="34" t="s">
        <v>214</v>
      </c>
      <c r="H246">
        <v>-113.36</v>
      </c>
      <c r="I246" s="36">
        <f>IF(Log_2019[[#This Row],[My Category]]="NONTRACKED",0,Log_2019[[#This Row],[Raw Amount]])</f>
        <v>-113.36</v>
      </c>
      <c r="J246" s="37">
        <f>ABS(Log_2019[[#This Row],[Amount]])</f>
        <v>113.36</v>
      </c>
      <c r="K246" s="38">
        <v>1</v>
      </c>
      <c r="L246" s="38">
        <f ca="1">IF(Log_2019[[#This Row],[Date]]&lt;=TODAY(), MIN(Log_2019[[#This Row],[Split_raw]], TODAY()-Log_2019[[#This Row],[Date]]+1), 0)</f>
        <v>1</v>
      </c>
      <c r="M246" s="34" t="s">
        <v>41</v>
      </c>
      <c r="N246" s="34" t="s">
        <v>158</v>
      </c>
      <c r="O246" s="7">
        <v>0</v>
      </c>
      <c r="P246" s="52">
        <f ca="1">Log_2019[[#This Row],[Amount]]/Log_2019[[#This Row],[Split_raw]]*MAX(0,MIN(_xlfn.DAYS(EDATE(P$1,1),Log_2019[[#This Row],[Date]]),Log_2019[[#This Row],[Split_apply]])) - SUM($O246:O246)</f>
        <v>0</v>
      </c>
      <c r="Q246" s="52">
        <f ca="1">Log_2019[[#This Row],[Amount]]/Log_2019[[#This Row],[Split_raw]]*MAX(0,MIN(_xlfn.DAYS(EDATE(Q$1,1),Log_2019[[#This Row],[Date]]),Log_2019[[#This Row],[Split_apply]])) - SUM($O246:P246)</f>
        <v>0</v>
      </c>
      <c r="R246" s="52">
        <f ca="1">Log_2019[[#This Row],[Amount]]/Log_2019[[#This Row],[Split_raw]]*MAX(0,MIN(_xlfn.DAYS(EDATE(R$1,1),Log_2019[[#This Row],[Date]]),Log_2019[[#This Row],[Split_apply]])) - SUM($O246:Q246)</f>
        <v>0</v>
      </c>
      <c r="S246" s="52">
        <f ca="1">Log_2019[[#This Row],[Amount]]/Log_2019[[#This Row],[Split_raw]]*MAX(0,MIN(_xlfn.DAYS(EDATE(S$1,1),Log_2019[[#This Row],[Date]]),Log_2019[[#This Row],[Split_apply]])) - SUM($O246:R246)</f>
        <v>0</v>
      </c>
      <c r="T246" s="52">
        <f ca="1">Log_2019[[#This Row],[Amount]]/Log_2019[[#This Row],[Split_raw]]*MAX(0,MIN(_xlfn.DAYS(EDATE(T$1,1),Log_2019[[#This Row],[Date]]),Log_2019[[#This Row],[Split_apply]])) - SUM($O246:S246)</f>
        <v>0</v>
      </c>
      <c r="U246" s="52">
        <f ca="1">Log_2019[[#This Row],[Amount]]/Log_2019[[#This Row],[Split_raw]]*MAX(0,MIN(_xlfn.DAYS(EDATE(U$1,1),Log_2019[[#This Row],[Date]]),Log_2019[[#This Row],[Split_apply]])) - SUM($O246:T246)</f>
        <v>0</v>
      </c>
      <c r="V246" s="52">
        <f ca="1">Log_2019[[#This Row],[Amount]]/Log_2019[[#This Row],[Split_raw]]*MAX(0,MIN(_xlfn.DAYS(EDATE(V$1,1),Log_2019[[#This Row],[Date]]),Log_2019[[#This Row],[Split_apply]])) - SUM($O246:U246)</f>
        <v>0</v>
      </c>
      <c r="W246" s="52">
        <f ca="1">Log_2019[[#This Row],[Amount]]/Log_2019[[#This Row],[Split_raw]]*MAX(0,MIN(_xlfn.DAYS(EDATE(W$1,1),Log_2019[[#This Row],[Date]]),Log_2019[[#This Row],[Split_apply]])) - SUM($O246:V246)</f>
        <v>-113.36</v>
      </c>
      <c r="X246" s="52">
        <f ca="1">Log_2019[[#This Row],[Amount]]/Log_2019[[#This Row],[Split_raw]]*MAX(0,MIN(_xlfn.DAYS(EDATE(X$1,1),Log_2019[[#This Row],[Date]]),Log_2019[[#This Row],[Split_apply]])) - SUM($O246:W246)</f>
        <v>0</v>
      </c>
      <c r="Y246" s="52">
        <f ca="1">Log_2019[[#This Row],[Amount]]/Log_2019[[#This Row],[Split_raw]]*MAX(0,MIN(_xlfn.DAYS(EDATE(Y$1,1),Log_2019[[#This Row],[Date]]),Log_2019[[#This Row],[Split_apply]])) - SUM($O246:X246)</f>
        <v>0</v>
      </c>
      <c r="Z246" s="52">
        <f ca="1">Log_2019[[#This Row],[Amount]]/Log_2019[[#This Row],[Split_raw]]*MAX(0,MIN(_xlfn.DAYS(EDATE(Z$1,1),Log_2019[[#This Row],[Date]]),Log_2019[[#This Row],[Split_apply]])) - SUM($O246:Y246)</f>
        <v>0</v>
      </c>
      <c r="AA246" s="52">
        <f ca="1">Log_2019[[#This Row],[Amount]]/Log_2019[[#This Row],[Split_raw]]*MAX(0,MIN(_xlfn.DAYS(EDATE(AA$1,1),Log_2019[[#This Row],[Date]]),Log_2019[[#This Row],[Split_apply]])) - SUM($O246:Z246)</f>
        <v>0</v>
      </c>
      <c r="AB246" s="54">
        <f ca="1">Log_2019[[#This Row],[Amount]]-SUM(O246:AA246)</f>
        <v>0</v>
      </c>
      <c r="AC246" s="7">
        <f>MAX(0,Log_2019[[#This Row],[Split_raw]] - (EDATE(AA$1,1)-Log_2019[[#This Row],[Date]]))</f>
        <v>0</v>
      </c>
    </row>
    <row r="247" spans="1:29" x14ac:dyDescent="0.25">
      <c r="A247" s="42"/>
      <c r="B247" s="34" t="s">
        <v>6</v>
      </c>
      <c r="C247" s="34"/>
      <c r="D247" s="35">
        <v>43706</v>
      </c>
      <c r="E247" s="34"/>
      <c r="F247" s="34" t="s">
        <v>16</v>
      </c>
      <c r="G247" s="34" t="s">
        <v>17</v>
      </c>
      <c r="H247">
        <f>--0.16</f>
        <v>0.16</v>
      </c>
      <c r="I247" s="36">
        <f>IF(Log_2019[[#This Row],[My Category]]="NONTRACKED",0,Log_2019[[#This Row],[Raw Amount]])</f>
        <v>0.16</v>
      </c>
      <c r="J247" s="37">
        <f>ABS(Log_2019[[#This Row],[Amount]])</f>
        <v>0.16</v>
      </c>
      <c r="K247" s="38">
        <v>1</v>
      </c>
      <c r="L247" s="38">
        <f ca="1">IF(Log_2019[[#This Row],[Date]]&lt;=TODAY(), MIN(Log_2019[[#This Row],[Split_raw]], TODAY()-Log_2019[[#This Row],[Date]]+1), 0)</f>
        <v>1</v>
      </c>
      <c r="M247" s="34" t="s">
        <v>144</v>
      </c>
      <c r="N247" s="34" t="s">
        <v>160</v>
      </c>
      <c r="O247" s="7">
        <v>0</v>
      </c>
      <c r="P247" s="52">
        <f ca="1">Log_2019[[#This Row],[Amount]]/Log_2019[[#This Row],[Split_raw]]*MAX(0,MIN(_xlfn.DAYS(EDATE(P$1,1),Log_2019[[#This Row],[Date]]),Log_2019[[#This Row],[Split_apply]])) - SUM($O247:O247)</f>
        <v>0</v>
      </c>
      <c r="Q247" s="52">
        <f ca="1">Log_2019[[#This Row],[Amount]]/Log_2019[[#This Row],[Split_raw]]*MAX(0,MIN(_xlfn.DAYS(EDATE(Q$1,1),Log_2019[[#This Row],[Date]]),Log_2019[[#This Row],[Split_apply]])) - SUM($O247:P247)</f>
        <v>0</v>
      </c>
      <c r="R247" s="52">
        <f ca="1">Log_2019[[#This Row],[Amount]]/Log_2019[[#This Row],[Split_raw]]*MAX(0,MIN(_xlfn.DAYS(EDATE(R$1,1),Log_2019[[#This Row],[Date]]),Log_2019[[#This Row],[Split_apply]])) - SUM($O247:Q247)</f>
        <v>0</v>
      </c>
      <c r="S247" s="52">
        <f ca="1">Log_2019[[#This Row],[Amount]]/Log_2019[[#This Row],[Split_raw]]*MAX(0,MIN(_xlfn.DAYS(EDATE(S$1,1),Log_2019[[#This Row],[Date]]),Log_2019[[#This Row],[Split_apply]])) - SUM($O247:R247)</f>
        <v>0</v>
      </c>
      <c r="T247" s="52">
        <f ca="1">Log_2019[[#This Row],[Amount]]/Log_2019[[#This Row],[Split_raw]]*MAX(0,MIN(_xlfn.DAYS(EDATE(T$1,1),Log_2019[[#This Row],[Date]]),Log_2019[[#This Row],[Split_apply]])) - SUM($O247:S247)</f>
        <v>0</v>
      </c>
      <c r="U247" s="52">
        <f ca="1">Log_2019[[#This Row],[Amount]]/Log_2019[[#This Row],[Split_raw]]*MAX(0,MIN(_xlfn.DAYS(EDATE(U$1,1),Log_2019[[#This Row],[Date]]),Log_2019[[#This Row],[Split_apply]])) - SUM($O247:T247)</f>
        <v>0</v>
      </c>
      <c r="V247" s="52">
        <f ca="1">Log_2019[[#This Row],[Amount]]/Log_2019[[#This Row],[Split_raw]]*MAX(0,MIN(_xlfn.DAYS(EDATE(V$1,1),Log_2019[[#This Row],[Date]]),Log_2019[[#This Row],[Split_apply]])) - SUM($O247:U247)</f>
        <v>0</v>
      </c>
      <c r="W247" s="52">
        <f ca="1">Log_2019[[#This Row],[Amount]]/Log_2019[[#This Row],[Split_raw]]*MAX(0,MIN(_xlfn.DAYS(EDATE(W$1,1),Log_2019[[#This Row],[Date]]),Log_2019[[#This Row],[Split_apply]])) - SUM($O247:V247)</f>
        <v>0.16</v>
      </c>
      <c r="X247" s="52">
        <f ca="1">Log_2019[[#This Row],[Amount]]/Log_2019[[#This Row],[Split_raw]]*MAX(0,MIN(_xlfn.DAYS(EDATE(X$1,1),Log_2019[[#This Row],[Date]]),Log_2019[[#This Row],[Split_apply]])) - SUM($O247:W247)</f>
        <v>0</v>
      </c>
      <c r="Y247" s="52">
        <f ca="1">Log_2019[[#This Row],[Amount]]/Log_2019[[#This Row],[Split_raw]]*MAX(0,MIN(_xlfn.DAYS(EDATE(Y$1,1),Log_2019[[#This Row],[Date]]),Log_2019[[#This Row],[Split_apply]])) - SUM($O247:X247)</f>
        <v>0</v>
      </c>
      <c r="Z247" s="52">
        <f ca="1">Log_2019[[#This Row],[Amount]]/Log_2019[[#This Row],[Split_raw]]*MAX(0,MIN(_xlfn.DAYS(EDATE(Z$1,1),Log_2019[[#This Row],[Date]]),Log_2019[[#This Row],[Split_apply]])) - SUM($O247:Y247)</f>
        <v>0</v>
      </c>
      <c r="AA247" s="52">
        <f ca="1">Log_2019[[#This Row],[Amount]]/Log_2019[[#This Row],[Split_raw]]*MAX(0,MIN(_xlfn.DAYS(EDATE(AA$1,1),Log_2019[[#This Row],[Date]]),Log_2019[[#This Row],[Split_apply]])) - SUM($O247:Z247)</f>
        <v>0</v>
      </c>
      <c r="AB247" s="54">
        <f ca="1">Log_2019[[#This Row],[Amount]]-SUM(O247:AA247)</f>
        <v>0</v>
      </c>
      <c r="AC247" s="7">
        <f>MAX(0,Log_2019[[#This Row],[Split_raw]] - (EDATE(AA$1,1)-Log_2019[[#This Row],[Date]]))</f>
        <v>0</v>
      </c>
    </row>
    <row r="248" spans="1:29" x14ac:dyDescent="0.25">
      <c r="A248" s="42"/>
      <c r="B248" s="34" t="s">
        <v>6</v>
      </c>
      <c r="C248" s="34"/>
      <c r="D248" s="35">
        <v>43706</v>
      </c>
      <c r="E248" s="34"/>
      <c r="F248" s="34" t="s">
        <v>642</v>
      </c>
      <c r="G248" s="34" t="s">
        <v>80</v>
      </c>
      <c r="H248">
        <f>--1898.48</f>
        <v>1898.48</v>
      </c>
      <c r="I248" s="36">
        <f>IF(Log_2019[[#This Row],[My Category]]="NONTRACKED",0,Log_2019[[#This Row],[Raw Amount]])</f>
        <v>1898.48</v>
      </c>
      <c r="J248" s="37">
        <f>ABS(Log_2019[[#This Row],[Amount]])</f>
        <v>1898.48</v>
      </c>
      <c r="K248" s="38">
        <v>14</v>
      </c>
      <c r="L248" s="38">
        <f ca="1">IF(Log_2019[[#This Row],[Date]]&lt;=TODAY(), MIN(Log_2019[[#This Row],[Split_raw]], TODAY()-Log_2019[[#This Row],[Date]]+1), 0)</f>
        <v>14</v>
      </c>
      <c r="M248" s="34" t="s">
        <v>91</v>
      </c>
      <c r="N248" s="34" t="s">
        <v>160</v>
      </c>
      <c r="O248" s="7">
        <v>0</v>
      </c>
      <c r="P248" s="52">
        <f ca="1">Log_2019[[#This Row],[Amount]]/Log_2019[[#This Row],[Split_raw]]*MAX(0,MIN(_xlfn.DAYS(EDATE(P$1,1),Log_2019[[#This Row],[Date]]),Log_2019[[#This Row],[Split_apply]])) - SUM($O248:O248)</f>
        <v>0</v>
      </c>
      <c r="Q248" s="52">
        <f ca="1">Log_2019[[#This Row],[Amount]]/Log_2019[[#This Row],[Split_raw]]*MAX(0,MIN(_xlfn.DAYS(EDATE(Q$1,1),Log_2019[[#This Row],[Date]]),Log_2019[[#This Row],[Split_apply]])) - SUM($O248:P248)</f>
        <v>0</v>
      </c>
      <c r="R248" s="52">
        <f ca="1">Log_2019[[#This Row],[Amount]]/Log_2019[[#This Row],[Split_raw]]*MAX(0,MIN(_xlfn.DAYS(EDATE(R$1,1),Log_2019[[#This Row],[Date]]),Log_2019[[#This Row],[Split_apply]])) - SUM($O248:Q248)</f>
        <v>0</v>
      </c>
      <c r="S248" s="52">
        <f ca="1">Log_2019[[#This Row],[Amount]]/Log_2019[[#This Row],[Split_raw]]*MAX(0,MIN(_xlfn.DAYS(EDATE(S$1,1),Log_2019[[#This Row],[Date]]),Log_2019[[#This Row],[Split_apply]])) - SUM($O248:R248)</f>
        <v>0</v>
      </c>
      <c r="T248" s="52">
        <f ca="1">Log_2019[[#This Row],[Amount]]/Log_2019[[#This Row],[Split_raw]]*MAX(0,MIN(_xlfn.DAYS(EDATE(T$1,1),Log_2019[[#This Row],[Date]]),Log_2019[[#This Row],[Split_apply]])) - SUM($O248:S248)</f>
        <v>0</v>
      </c>
      <c r="U248" s="52">
        <f ca="1">Log_2019[[#This Row],[Amount]]/Log_2019[[#This Row],[Split_raw]]*MAX(0,MIN(_xlfn.DAYS(EDATE(U$1,1),Log_2019[[#This Row],[Date]]),Log_2019[[#This Row],[Split_apply]])) - SUM($O248:T248)</f>
        <v>0</v>
      </c>
      <c r="V248" s="52">
        <f ca="1">Log_2019[[#This Row],[Amount]]/Log_2019[[#This Row],[Split_raw]]*MAX(0,MIN(_xlfn.DAYS(EDATE(V$1,1),Log_2019[[#This Row],[Date]]),Log_2019[[#This Row],[Split_apply]])) - SUM($O248:U248)</f>
        <v>0</v>
      </c>
      <c r="W248" s="52">
        <f ca="1">Log_2019[[#This Row],[Amount]]/Log_2019[[#This Row],[Split_raw]]*MAX(0,MIN(_xlfn.DAYS(EDATE(W$1,1),Log_2019[[#This Row],[Date]]),Log_2019[[#This Row],[Split_apply]])) - SUM($O248:V248)</f>
        <v>406.81714285714293</v>
      </c>
      <c r="X248" s="52">
        <f ca="1">Log_2019[[#This Row],[Amount]]/Log_2019[[#This Row],[Split_raw]]*MAX(0,MIN(_xlfn.DAYS(EDATE(X$1,1),Log_2019[[#This Row],[Date]]),Log_2019[[#This Row],[Split_apply]])) - SUM($O248:W248)</f>
        <v>1491.6628571428573</v>
      </c>
      <c r="Y248" s="52">
        <f ca="1">Log_2019[[#This Row],[Amount]]/Log_2019[[#This Row],[Split_raw]]*MAX(0,MIN(_xlfn.DAYS(EDATE(Y$1,1),Log_2019[[#This Row],[Date]]),Log_2019[[#This Row],[Split_apply]])) - SUM($O248:X248)</f>
        <v>0</v>
      </c>
      <c r="Z248" s="52">
        <f ca="1">Log_2019[[#This Row],[Amount]]/Log_2019[[#This Row],[Split_raw]]*MAX(0,MIN(_xlfn.DAYS(EDATE(Z$1,1),Log_2019[[#This Row],[Date]]),Log_2019[[#This Row],[Split_apply]])) - SUM($O248:Y248)</f>
        <v>0</v>
      </c>
      <c r="AA248" s="52">
        <f ca="1">Log_2019[[#This Row],[Amount]]/Log_2019[[#This Row],[Split_raw]]*MAX(0,MIN(_xlfn.DAYS(EDATE(AA$1,1),Log_2019[[#This Row],[Date]]),Log_2019[[#This Row],[Split_apply]])) - SUM($O248:Z248)</f>
        <v>0</v>
      </c>
      <c r="AB248" s="54">
        <f ca="1">Log_2019[[#This Row],[Amount]]-SUM(O248:AA248)</f>
        <v>0</v>
      </c>
      <c r="AC248" s="7">
        <f>MAX(0,Log_2019[[#This Row],[Split_raw]] - (EDATE(AA$1,1)-Log_2019[[#This Row],[Date]]))</f>
        <v>0</v>
      </c>
    </row>
    <row r="249" spans="1:29" x14ac:dyDescent="0.25">
      <c r="A249" s="42"/>
      <c r="B249" s="34" t="s">
        <v>6</v>
      </c>
      <c r="C249" s="34"/>
      <c r="D249" s="35">
        <v>43706</v>
      </c>
      <c r="E249" s="34"/>
      <c r="F249" s="34" t="s">
        <v>270</v>
      </c>
      <c r="G249" s="34" t="s">
        <v>25</v>
      </c>
      <c r="H249">
        <v>-12.53</v>
      </c>
      <c r="I249" s="36">
        <f>IF(Log_2019[[#This Row],[My Category]]="NONTRACKED",0,Log_2019[[#This Row],[Raw Amount]])</f>
        <v>-12.53</v>
      </c>
      <c r="J249" s="37">
        <f>ABS(Log_2019[[#This Row],[Amount]])</f>
        <v>12.53</v>
      </c>
      <c r="K249" s="38">
        <v>1</v>
      </c>
      <c r="L249" s="38">
        <f ca="1">IF(Log_2019[[#This Row],[Date]]&lt;=TODAY(), MIN(Log_2019[[#This Row],[Split_raw]], TODAY()-Log_2019[[#This Row],[Date]]+1), 0)</f>
        <v>1</v>
      </c>
      <c r="M249" s="34" t="s">
        <v>35</v>
      </c>
      <c r="N249" s="34" t="s">
        <v>158</v>
      </c>
      <c r="O249" s="7">
        <v>0</v>
      </c>
      <c r="P249" s="52">
        <f ca="1">Log_2019[[#This Row],[Amount]]/Log_2019[[#This Row],[Split_raw]]*MAX(0,MIN(_xlfn.DAYS(EDATE(P$1,1),Log_2019[[#This Row],[Date]]),Log_2019[[#This Row],[Split_apply]])) - SUM($O249:O249)</f>
        <v>0</v>
      </c>
      <c r="Q249" s="52">
        <f ca="1">Log_2019[[#This Row],[Amount]]/Log_2019[[#This Row],[Split_raw]]*MAX(0,MIN(_xlfn.DAYS(EDATE(Q$1,1),Log_2019[[#This Row],[Date]]),Log_2019[[#This Row],[Split_apply]])) - SUM($O249:P249)</f>
        <v>0</v>
      </c>
      <c r="R249" s="52">
        <f ca="1">Log_2019[[#This Row],[Amount]]/Log_2019[[#This Row],[Split_raw]]*MAX(0,MIN(_xlfn.DAYS(EDATE(R$1,1),Log_2019[[#This Row],[Date]]),Log_2019[[#This Row],[Split_apply]])) - SUM($O249:Q249)</f>
        <v>0</v>
      </c>
      <c r="S249" s="52">
        <f ca="1">Log_2019[[#This Row],[Amount]]/Log_2019[[#This Row],[Split_raw]]*MAX(0,MIN(_xlfn.DAYS(EDATE(S$1,1),Log_2019[[#This Row],[Date]]),Log_2019[[#This Row],[Split_apply]])) - SUM($O249:R249)</f>
        <v>0</v>
      </c>
      <c r="T249" s="52">
        <f ca="1">Log_2019[[#This Row],[Amount]]/Log_2019[[#This Row],[Split_raw]]*MAX(0,MIN(_xlfn.DAYS(EDATE(T$1,1),Log_2019[[#This Row],[Date]]),Log_2019[[#This Row],[Split_apply]])) - SUM($O249:S249)</f>
        <v>0</v>
      </c>
      <c r="U249" s="52">
        <f ca="1">Log_2019[[#This Row],[Amount]]/Log_2019[[#This Row],[Split_raw]]*MAX(0,MIN(_xlfn.DAYS(EDATE(U$1,1),Log_2019[[#This Row],[Date]]),Log_2019[[#This Row],[Split_apply]])) - SUM($O249:T249)</f>
        <v>0</v>
      </c>
      <c r="V249" s="52">
        <f ca="1">Log_2019[[#This Row],[Amount]]/Log_2019[[#This Row],[Split_raw]]*MAX(0,MIN(_xlfn.DAYS(EDATE(V$1,1),Log_2019[[#This Row],[Date]]),Log_2019[[#This Row],[Split_apply]])) - SUM($O249:U249)</f>
        <v>0</v>
      </c>
      <c r="W249" s="52">
        <f ca="1">Log_2019[[#This Row],[Amount]]/Log_2019[[#This Row],[Split_raw]]*MAX(0,MIN(_xlfn.DAYS(EDATE(W$1,1),Log_2019[[#This Row],[Date]]),Log_2019[[#This Row],[Split_apply]])) - SUM($O249:V249)</f>
        <v>-12.53</v>
      </c>
      <c r="X249" s="52">
        <f ca="1">Log_2019[[#This Row],[Amount]]/Log_2019[[#This Row],[Split_raw]]*MAX(0,MIN(_xlfn.DAYS(EDATE(X$1,1),Log_2019[[#This Row],[Date]]),Log_2019[[#This Row],[Split_apply]])) - SUM($O249:W249)</f>
        <v>0</v>
      </c>
      <c r="Y249" s="52">
        <f ca="1">Log_2019[[#This Row],[Amount]]/Log_2019[[#This Row],[Split_raw]]*MAX(0,MIN(_xlfn.DAYS(EDATE(Y$1,1),Log_2019[[#This Row],[Date]]),Log_2019[[#This Row],[Split_apply]])) - SUM($O249:X249)</f>
        <v>0</v>
      </c>
      <c r="Z249" s="52">
        <f ca="1">Log_2019[[#This Row],[Amount]]/Log_2019[[#This Row],[Split_raw]]*MAX(0,MIN(_xlfn.DAYS(EDATE(Z$1,1),Log_2019[[#This Row],[Date]]),Log_2019[[#This Row],[Split_apply]])) - SUM($O249:Y249)</f>
        <v>0</v>
      </c>
      <c r="AA249" s="52">
        <f ca="1">Log_2019[[#This Row],[Amount]]/Log_2019[[#This Row],[Split_raw]]*MAX(0,MIN(_xlfn.DAYS(EDATE(AA$1,1),Log_2019[[#This Row],[Date]]),Log_2019[[#This Row],[Split_apply]])) - SUM($O249:Z249)</f>
        <v>0</v>
      </c>
      <c r="AB249" s="54">
        <f ca="1">Log_2019[[#This Row],[Amount]]-SUM(O249:AA249)</f>
        <v>0</v>
      </c>
      <c r="AC249" s="7">
        <f>MAX(0,Log_2019[[#This Row],[Split_raw]] - (EDATE(AA$1,1)-Log_2019[[#This Row],[Date]]))</f>
        <v>0</v>
      </c>
    </row>
    <row r="250" spans="1:29" x14ac:dyDescent="0.25">
      <c r="A250" s="42"/>
      <c r="B250" s="34" t="s">
        <v>6</v>
      </c>
      <c r="C250" s="34"/>
      <c r="D250" s="35">
        <v>43705</v>
      </c>
      <c r="E250" s="34"/>
      <c r="F250" s="34" t="s">
        <v>696</v>
      </c>
      <c r="G250" s="34" t="s">
        <v>11</v>
      </c>
      <c r="H250">
        <v>-21.15</v>
      </c>
      <c r="I250" s="36">
        <f>IF(Log_2019[[#This Row],[My Category]]="NONTRACKED",0,Log_2019[[#This Row],[Raw Amount]])</f>
        <v>-21.15</v>
      </c>
      <c r="J250" s="37">
        <f>ABS(Log_2019[[#This Row],[Amount]])</f>
        <v>21.15</v>
      </c>
      <c r="K250" s="38">
        <v>1</v>
      </c>
      <c r="L250" s="38">
        <f ca="1">IF(Log_2019[[#This Row],[Date]]&lt;=TODAY(), MIN(Log_2019[[#This Row],[Split_raw]], TODAY()-Log_2019[[#This Row],[Date]]+1), 0)</f>
        <v>1</v>
      </c>
      <c r="M250" s="34" t="s">
        <v>366</v>
      </c>
      <c r="N250" s="34" t="s">
        <v>158</v>
      </c>
      <c r="O250" s="7">
        <v>0</v>
      </c>
      <c r="P250" s="52">
        <f ca="1">Log_2019[[#This Row],[Amount]]/Log_2019[[#This Row],[Split_raw]]*MAX(0,MIN(_xlfn.DAYS(EDATE(P$1,1),Log_2019[[#This Row],[Date]]),Log_2019[[#This Row],[Split_apply]])) - SUM($O250:O250)</f>
        <v>0</v>
      </c>
      <c r="Q250" s="52">
        <f ca="1">Log_2019[[#This Row],[Amount]]/Log_2019[[#This Row],[Split_raw]]*MAX(0,MIN(_xlfn.DAYS(EDATE(Q$1,1),Log_2019[[#This Row],[Date]]),Log_2019[[#This Row],[Split_apply]])) - SUM($O250:P250)</f>
        <v>0</v>
      </c>
      <c r="R250" s="52">
        <f ca="1">Log_2019[[#This Row],[Amount]]/Log_2019[[#This Row],[Split_raw]]*MAX(0,MIN(_xlfn.DAYS(EDATE(R$1,1),Log_2019[[#This Row],[Date]]),Log_2019[[#This Row],[Split_apply]])) - SUM($O250:Q250)</f>
        <v>0</v>
      </c>
      <c r="S250" s="52">
        <f ca="1">Log_2019[[#This Row],[Amount]]/Log_2019[[#This Row],[Split_raw]]*MAX(0,MIN(_xlfn.DAYS(EDATE(S$1,1),Log_2019[[#This Row],[Date]]),Log_2019[[#This Row],[Split_apply]])) - SUM($O250:R250)</f>
        <v>0</v>
      </c>
      <c r="T250" s="52">
        <f ca="1">Log_2019[[#This Row],[Amount]]/Log_2019[[#This Row],[Split_raw]]*MAX(0,MIN(_xlfn.DAYS(EDATE(T$1,1),Log_2019[[#This Row],[Date]]),Log_2019[[#This Row],[Split_apply]])) - SUM($O250:S250)</f>
        <v>0</v>
      </c>
      <c r="U250" s="52">
        <f ca="1">Log_2019[[#This Row],[Amount]]/Log_2019[[#This Row],[Split_raw]]*MAX(0,MIN(_xlfn.DAYS(EDATE(U$1,1),Log_2019[[#This Row],[Date]]),Log_2019[[#This Row],[Split_apply]])) - SUM($O250:T250)</f>
        <v>0</v>
      </c>
      <c r="V250" s="52">
        <f ca="1">Log_2019[[#This Row],[Amount]]/Log_2019[[#This Row],[Split_raw]]*MAX(0,MIN(_xlfn.DAYS(EDATE(V$1,1),Log_2019[[#This Row],[Date]]),Log_2019[[#This Row],[Split_apply]])) - SUM($O250:U250)</f>
        <v>0</v>
      </c>
      <c r="W250" s="52">
        <f ca="1">Log_2019[[#This Row],[Amount]]/Log_2019[[#This Row],[Split_raw]]*MAX(0,MIN(_xlfn.DAYS(EDATE(W$1,1),Log_2019[[#This Row],[Date]]),Log_2019[[#This Row],[Split_apply]])) - SUM($O250:V250)</f>
        <v>-21.15</v>
      </c>
      <c r="X250" s="52">
        <f ca="1">Log_2019[[#This Row],[Amount]]/Log_2019[[#This Row],[Split_raw]]*MAX(0,MIN(_xlfn.DAYS(EDATE(X$1,1),Log_2019[[#This Row],[Date]]),Log_2019[[#This Row],[Split_apply]])) - SUM($O250:W250)</f>
        <v>0</v>
      </c>
      <c r="Y250" s="52">
        <f ca="1">Log_2019[[#This Row],[Amount]]/Log_2019[[#This Row],[Split_raw]]*MAX(0,MIN(_xlfn.DAYS(EDATE(Y$1,1),Log_2019[[#This Row],[Date]]),Log_2019[[#This Row],[Split_apply]])) - SUM($O250:X250)</f>
        <v>0</v>
      </c>
      <c r="Z250" s="52">
        <f ca="1">Log_2019[[#This Row],[Amount]]/Log_2019[[#This Row],[Split_raw]]*MAX(0,MIN(_xlfn.DAYS(EDATE(Z$1,1),Log_2019[[#This Row],[Date]]),Log_2019[[#This Row],[Split_apply]])) - SUM($O250:Y250)</f>
        <v>0</v>
      </c>
      <c r="AA250" s="52">
        <f ca="1">Log_2019[[#This Row],[Amount]]/Log_2019[[#This Row],[Split_raw]]*MAX(0,MIN(_xlfn.DAYS(EDATE(AA$1,1),Log_2019[[#This Row],[Date]]),Log_2019[[#This Row],[Split_apply]])) - SUM($O250:Z250)</f>
        <v>0</v>
      </c>
      <c r="AB250" s="54">
        <f ca="1">Log_2019[[#This Row],[Amount]]-SUM(O250:AA250)</f>
        <v>0</v>
      </c>
      <c r="AC250" s="7">
        <f>MAX(0,Log_2019[[#This Row],[Split_raw]] - (EDATE(AA$1,1)-Log_2019[[#This Row],[Date]]))</f>
        <v>0</v>
      </c>
    </row>
    <row r="251" spans="1:29" x14ac:dyDescent="0.25">
      <c r="A251" s="42"/>
      <c r="B251" s="34" t="s">
        <v>6</v>
      </c>
      <c r="C251" s="34"/>
      <c r="D251" s="35">
        <v>43704</v>
      </c>
      <c r="E251" s="34"/>
      <c r="F251" s="34" t="s">
        <v>697</v>
      </c>
      <c r="G251" s="34" t="s">
        <v>19</v>
      </c>
      <c r="H251">
        <v>-12.48</v>
      </c>
      <c r="I251" s="36">
        <f>IF(Log_2019[[#This Row],[My Category]]="NONTRACKED",0,Log_2019[[#This Row],[Raw Amount]])</f>
        <v>-12.48</v>
      </c>
      <c r="J251" s="37">
        <f>ABS(Log_2019[[#This Row],[Amount]])</f>
        <v>12.48</v>
      </c>
      <c r="K251" s="38">
        <v>1</v>
      </c>
      <c r="L251" s="38">
        <f ca="1">IF(Log_2019[[#This Row],[Date]]&lt;=TODAY(), MIN(Log_2019[[#This Row],[Split_raw]], TODAY()-Log_2019[[#This Row],[Date]]+1), 0)</f>
        <v>1</v>
      </c>
      <c r="M251" s="34" t="s">
        <v>35</v>
      </c>
      <c r="N251" s="34" t="s">
        <v>158</v>
      </c>
      <c r="O251" s="7">
        <v>0</v>
      </c>
      <c r="P251" s="52">
        <f ca="1">Log_2019[[#This Row],[Amount]]/Log_2019[[#This Row],[Split_raw]]*MAX(0,MIN(_xlfn.DAYS(EDATE(P$1,1),Log_2019[[#This Row],[Date]]),Log_2019[[#This Row],[Split_apply]])) - SUM($O251:O251)</f>
        <v>0</v>
      </c>
      <c r="Q251" s="52">
        <f ca="1">Log_2019[[#This Row],[Amount]]/Log_2019[[#This Row],[Split_raw]]*MAX(0,MIN(_xlfn.DAYS(EDATE(Q$1,1),Log_2019[[#This Row],[Date]]),Log_2019[[#This Row],[Split_apply]])) - SUM($O251:P251)</f>
        <v>0</v>
      </c>
      <c r="R251" s="52">
        <f ca="1">Log_2019[[#This Row],[Amount]]/Log_2019[[#This Row],[Split_raw]]*MAX(0,MIN(_xlfn.DAYS(EDATE(R$1,1),Log_2019[[#This Row],[Date]]),Log_2019[[#This Row],[Split_apply]])) - SUM($O251:Q251)</f>
        <v>0</v>
      </c>
      <c r="S251" s="52">
        <f ca="1">Log_2019[[#This Row],[Amount]]/Log_2019[[#This Row],[Split_raw]]*MAX(0,MIN(_xlfn.DAYS(EDATE(S$1,1),Log_2019[[#This Row],[Date]]),Log_2019[[#This Row],[Split_apply]])) - SUM($O251:R251)</f>
        <v>0</v>
      </c>
      <c r="T251" s="52">
        <f ca="1">Log_2019[[#This Row],[Amount]]/Log_2019[[#This Row],[Split_raw]]*MAX(0,MIN(_xlfn.DAYS(EDATE(T$1,1),Log_2019[[#This Row],[Date]]),Log_2019[[#This Row],[Split_apply]])) - SUM($O251:S251)</f>
        <v>0</v>
      </c>
      <c r="U251" s="52">
        <f ca="1">Log_2019[[#This Row],[Amount]]/Log_2019[[#This Row],[Split_raw]]*MAX(0,MIN(_xlfn.DAYS(EDATE(U$1,1),Log_2019[[#This Row],[Date]]),Log_2019[[#This Row],[Split_apply]])) - SUM($O251:T251)</f>
        <v>0</v>
      </c>
      <c r="V251" s="52">
        <f ca="1">Log_2019[[#This Row],[Amount]]/Log_2019[[#This Row],[Split_raw]]*MAX(0,MIN(_xlfn.DAYS(EDATE(V$1,1),Log_2019[[#This Row],[Date]]),Log_2019[[#This Row],[Split_apply]])) - SUM($O251:U251)</f>
        <v>0</v>
      </c>
      <c r="W251" s="52">
        <f ca="1">Log_2019[[#This Row],[Amount]]/Log_2019[[#This Row],[Split_raw]]*MAX(0,MIN(_xlfn.DAYS(EDATE(W$1,1),Log_2019[[#This Row],[Date]]),Log_2019[[#This Row],[Split_apply]])) - SUM($O251:V251)</f>
        <v>-12.48</v>
      </c>
      <c r="X251" s="52">
        <f ca="1">Log_2019[[#This Row],[Amount]]/Log_2019[[#This Row],[Split_raw]]*MAX(0,MIN(_xlfn.DAYS(EDATE(X$1,1),Log_2019[[#This Row],[Date]]),Log_2019[[#This Row],[Split_apply]])) - SUM($O251:W251)</f>
        <v>0</v>
      </c>
      <c r="Y251" s="52">
        <f ca="1">Log_2019[[#This Row],[Amount]]/Log_2019[[#This Row],[Split_raw]]*MAX(0,MIN(_xlfn.DAYS(EDATE(Y$1,1),Log_2019[[#This Row],[Date]]),Log_2019[[#This Row],[Split_apply]])) - SUM($O251:X251)</f>
        <v>0</v>
      </c>
      <c r="Z251" s="52">
        <f ca="1">Log_2019[[#This Row],[Amount]]/Log_2019[[#This Row],[Split_raw]]*MAX(0,MIN(_xlfn.DAYS(EDATE(Z$1,1),Log_2019[[#This Row],[Date]]),Log_2019[[#This Row],[Split_apply]])) - SUM($O251:Y251)</f>
        <v>0</v>
      </c>
      <c r="AA251" s="52">
        <f ca="1">Log_2019[[#This Row],[Amount]]/Log_2019[[#This Row],[Split_raw]]*MAX(0,MIN(_xlfn.DAYS(EDATE(AA$1,1),Log_2019[[#This Row],[Date]]),Log_2019[[#This Row],[Split_apply]])) - SUM($O251:Z251)</f>
        <v>0</v>
      </c>
      <c r="AB251" s="54">
        <f ca="1">Log_2019[[#This Row],[Amount]]-SUM(O251:AA251)</f>
        <v>0</v>
      </c>
      <c r="AC251" s="7">
        <f>MAX(0,Log_2019[[#This Row],[Split_raw]] - (EDATE(AA$1,1)-Log_2019[[#This Row],[Date]]))</f>
        <v>0</v>
      </c>
    </row>
    <row r="252" spans="1:29" x14ac:dyDescent="0.25">
      <c r="A252" s="42"/>
      <c r="B252" s="34" t="s">
        <v>6</v>
      </c>
      <c r="C252" s="34"/>
      <c r="D252" s="35">
        <v>43703</v>
      </c>
      <c r="E252" s="34"/>
      <c r="F252" s="34" t="s">
        <v>138</v>
      </c>
      <c r="G252" s="34" t="s">
        <v>104</v>
      </c>
      <c r="H252">
        <v>-1505.49</v>
      </c>
      <c r="I252" s="36">
        <f>IF(Log_2019[[#This Row],[My Category]]="NONTRACKED",0,Log_2019[[#This Row],[Raw Amount]])</f>
        <v>-1505.49</v>
      </c>
      <c r="J252" s="37">
        <f>ABS(Log_2019[[#This Row],[Amount]])</f>
        <v>1505.49</v>
      </c>
      <c r="K252" s="38">
        <v>1</v>
      </c>
      <c r="L252" s="38">
        <f ca="1">IF(Log_2019[[#This Row],[Date]]&lt;=TODAY(), MIN(Log_2019[[#This Row],[Split_raw]], TODAY()-Log_2019[[#This Row],[Date]]+1), 0)</f>
        <v>1</v>
      </c>
      <c r="M252" s="34" t="s">
        <v>159</v>
      </c>
      <c r="N252" s="34" t="s">
        <v>160</v>
      </c>
      <c r="O252" s="7">
        <v>0</v>
      </c>
      <c r="P252" s="52">
        <f ca="1">Log_2019[[#This Row],[Amount]]/Log_2019[[#This Row],[Split_raw]]*MAX(0,MIN(_xlfn.DAYS(EDATE(P$1,1),Log_2019[[#This Row],[Date]]),Log_2019[[#This Row],[Split_apply]])) - SUM($O252:O252)</f>
        <v>0</v>
      </c>
      <c r="Q252" s="52">
        <f ca="1">Log_2019[[#This Row],[Amount]]/Log_2019[[#This Row],[Split_raw]]*MAX(0,MIN(_xlfn.DAYS(EDATE(Q$1,1),Log_2019[[#This Row],[Date]]),Log_2019[[#This Row],[Split_apply]])) - SUM($O252:P252)</f>
        <v>0</v>
      </c>
      <c r="R252" s="52">
        <f ca="1">Log_2019[[#This Row],[Amount]]/Log_2019[[#This Row],[Split_raw]]*MAX(0,MIN(_xlfn.DAYS(EDATE(R$1,1),Log_2019[[#This Row],[Date]]),Log_2019[[#This Row],[Split_apply]])) - SUM($O252:Q252)</f>
        <v>0</v>
      </c>
      <c r="S252" s="52">
        <f ca="1">Log_2019[[#This Row],[Amount]]/Log_2019[[#This Row],[Split_raw]]*MAX(0,MIN(_xlfn.DAYS(EDATE(S$1,1),Log_2019[[#This Row],[Date]]),Log_2019[[#This Row],[Split_apply]])) - SUM($O252:R252)</f>
        <v>0</v>
      </c>
      <c r="T252" s="52">
        <f ca="1">Log_2019[[#This Row],[Amount]]/Log_2019[[#This Row],[Split_raw]]*MAX(0,MIN(_xlfn.DAYS(EDATE(T$1,1),Log_2019[[#This Row],[Date]]),Log_2019[[#This Row],[Split_apply]])) - SUM($O252:S252)</f>
        <v>0</v>
      </c>
      <c r="U252" s="52">
        <f ca="1">Log_2019[[#This Row],[Amount]]/Log_2019[[#This Row],[Split_raw]]*MAX(0,MIN(_xlfn.DAYS(EDATE(U$1,1),Log_2019[[#This Row],[Date]]),Log_2019[[#This Row],[Split_apply]])) - SUM($O252:T252)</f>
        <v>0</v>
      </c>
      <c r="V252" s="52">
        <f ca="1">Log_2019[[#This Row],[Amount]]/Log_2019[[#This Row],[Split_raw]]*MAX(0,MIN(_xlfn.DAYS(EDATE(V$1,1),Log_2019[[#This Row],[Date]]),Log_2019[[#This Row],[Split_apply]])) - SUM($O252:U252)</f>
        <v>0</v>
      </c>
      <c r="W252" s="52">
        <f ca="1">Log_2019[[#This Row],[Amount]]/Log_2019[[#This Row],[Split_raw]]*MAX(0,MIN(_xlfn.DAYS(EDATE(W$1,1),Log_2019[[#This Row],[Date]]),Log_2019[[#This Row],[Split_apply]])) - SUM($O252:V252)</f>
        <v>-1505.49</v>
      </c>
      <c r="X252" s="52">
        <f ca="1">Log_2019[[#This Row],[Amount]]/Log_2019[[#This Row],[Split_raw]]*MAX(0,MIN(_xlfn.DAYS(EDATE(X$1,1),Log_2019[[#This Row],[Date]]),Log_2019[[#This Row],[Split_apply]])) - SUM($O252:W252)</f>
        <v>0</v>
      </c>
      <c r="Y252" s="52">
        <f ca="1">Log_2019[[#This Row],[Amount]]/Log_2019[[#This Row],[Split_raw]]*MAX(0,MIN(_xlfn.DAYS(EDATE(Y$1,1),Log_2019[[#This Row],[Date]]),Log_2019[[#This Row],[Split_apply]])) - SUM($O252:X252)</f>
        <v>0</v>
      </c>
      <c r="Z252" s="52">
        <f ca="1">Log_2019[[#This Row],[Amount]]/Log_2019[[#This Row],[Split_raw]]*MAX(0,MIN(_xlfn.DAYS(EDATE(Z$1,1),Log_2019[[#This Row],[Date]]),Log_2019[[#This Row],[Split_apply]])) - SUM($O252:Y252)</f>
        <v>0</v>
      </c>
      <c r="AA252" s="52">
        <f ca="1">Log_2019[[#This Row],[Amount]]/Log_2019[[#This Row],[Split_raw]]*MAX(0,MIN(_xlfn.DAYS(EDATE(AA$1,1),Log_2019[[#This Row],[Date]]),Log_2019[[#This Row],[Split_apply]])) - SUM($O252:Z252)</f>
        <v>0</v>
      </c>
      <c r="AB252" s="54">
        <f ca="1">Log_2019[[#This Row],[Amount]]-SUM(O252:AA252)</f>
        <v>0</v>
      </c>
      <c r="AC252" s="7">
        <f>MAX(0,Log_2019[[#This Row],[Split_raw]] - (EDATE(AA$1,1)-Log_2019[[#This Row],[Date]]))</f>
        <v>0</v>
      </c>
    </row>
    <row r="253" spans="1:29" x14ac:dyDescent="0.25">
      <c r="A253" s="42"/>
      <c r="B253" s="34" t="s">
        <v>6</v>
      </c>
      <c r="C253" s="34"/>
      <c r="D253" s="35">
        <v>43703</v>
      </c>
      <c r="E253" s="34"/>
      <c r="F253" s="34" t="s">
        <v>698</v>
      </c>
      <c r="G253" s="34" t="s">
        <v>25</v>
      </c>
      <c r="H253">
        <v>-21.06</v>
      </c>
      <c r="I253" s="36">
        <f>IF(Log_2019[[#This Row],[My Category]]="NONTRACKED",0,Log_2019[[#This Row],[Raw Amount]])</f>
        <v>-21.06</v>
      </c>
      <c r="J253" s="37">
        <f>ABS(Log_2019[[#This Row],[Amount]])</f>
        <v>21.06</v>
      </c>
      <c r="K253" s="38">
        <v>1</v>
      </c>
      <c r="L253" s="38">
        <f ca="1">IF(Log_2019[[#This Row],[Date]]&lt;=TODAY(), MIN(Log_2019[[#This Row],[Split_raw]], TODAY()-Log_2019[[#This Row],[Date]]+1), 0)</f>
        <v>1</v>
      </c>
      <c r="M253" s="34" t="s">
        <v>35</v>
      </c>
      <c r="N253" s="34" t="s">
        <v>158</v>
      </c>
      <c r="O253" s="7">
        <v>0</v>
      </c>
      <c r="P253" s="52">
        <f ca="1">Log_2019[[#This Row],[Amount]]/Log_2019[[#This Row],[Split_raw]]*MAX(0,MIN(_xlfn.DAYS(EDATE(P$1,1),Log_2019[[#This Row],[Date]]),Log_2019[[#This Row],[Split_apply]])) - SUM($O253:O253)</f>
        <v>0</v>
      </c>
      <c r="Q253" s="52">
        <f ca="1">Log_2019[[#This Row],[Amount]]/Log_2019[[#This Row],[Split_raw]]*MAX(0,MIN(_xlfn.DAYS(EDATE(Q$1,1),Log_2019[[#This Row],[Date]]),Log_2019[[#This Row],[Split_apply]])) - SUM($O253:P253)</f>
        <v>0</v>
      </c>
      <c r="R253" s="52">
        <f ca="1">Log_2019[[#This Row],[Amount]]/Log_2019[[#This Row],[Split_raw]]*MAX(0,MIN(_xlfn.DAYS(EDATE(R$1,1),Log_2019[[#This Row],[Date]]),Log_2019[[#This Row],[Split_apply]])) - SUM($O253:Q253)</f>
        <v>0</v>
      </c>
      <c r="S253" s="52">
        <f ca="1">Log_2019[[#This Row],[Amount]]/Log_2019[[#This Row],[Split_raw]]*MAX(0,MIN(_xlfn.DAYS(EDATE(S$1,1),Log_2019[[#This Row],[Date]]),Log_2019[[#This Row],[Split_apply]])) - SUM($O253:R253)</f>
        <v>0</v>
      </c>
      <c r="T253" s="52">
        <f ca="1">Log_2019[[#This Row],[Amount]]/Log_2019[[#This Row],[Split_raw]]*MAX(0,MIN(_xlfn.DAYS(EDATE(T$1,1),Log_2019[[#This Row],[Date]]),Log_2019[[#This Row],[Split_apply]])) - SUM($O253:S253)</f>
        <v>0</v>
      </c>
      <c r="U253" s="52">
        <f ca="1">Log_2019[[#This Row],[Amount]]/Log_2019[[#This Row],[Split_raw]]*MAX(0,MIN(_xlfn.DAYS(EDATE(U$1,1),Log_2019[[#This Row],[Date]]),Log_2019[[#This Row],[Split_apply]])) - SUM($O253:T253)</f>
        <v>0</v>
      </c>
      <c r="V253" s="52">
        <f ca="1">Log_2019[[#This Row],[Amount]]/Log_2019[[#This Row],[Split_raw]]*MAX(0,MIN(_xlfn.DAYS(EDATE(V$1,1),Log_2019[[#This Row],[Date]]),Log_2019[[#This Row],[Split_apply]])) - SUM($O253:U253)</f>
        <v>0</v>
      </c>
      <c r="W253" s="52">
        <f ca="1">Log_2019[[#This Row],[Amount]]/Log_2019[[#This Row],[Split_raw]]*MAX(0,MIN(_xlfn.DAYS(EDATE(W$1,1),Log_2019[[#This Row],[Date]]),Log_2019[[#This Row],[Split_apply]])) - SUM($O253:V253)</f>
        <v>-21.06</v>
      </c>
      <c r="X253" s="52">
        <f ca="1">Log_2019[[#This Row],[Amount]]/Log_2019[[#This Row],[Split_raw]]*MAX(0,MIN(_xlfn.DAYS(EDATE(X$1,1),Log_2019[[#This Row],[Date]]),Log_2019[[#This Row],[Split_apply]])) - SUM($O253:W253)</f>
        <v>0</v>
      </c>
      <c r="Y253" s="52">
        <f ca="1">Log_2019[[#This Row],[Amount]]/Log_2019[[#This Row],[Split_raw]]*MAX(0,MIN(_xlfn.DAYS(EDATE(Y$1,1),Log_2019[[#This Row],[Date]]),Log_2019[[#This Row],[Split_apply]])) - SUM($O253:X253)</f>
        <v>0</v>
      </c>
      <c r="Z253" s="52">
        <f ca="1">Log_2019[[#This Row],[Amount]]/Log_2019[[#This Row],[Split_raw]]*MAX(0,MIN(_xlfn.DAYS(EDATE(Z$1,1),Log_2019[[#This Row],[Date]]),Log_2019[[#This Row],[Split_apply]])) - SUM($O253:Y253)</f>
        <v>0</v>
      </c>
      <c r="AA253" s="52">
        <f ca="1">Log_2019[[#This Row],[Amount]]/Log_2019[[#This Row],[Split_raw]]*MAX(0,MIN(_xlfn.DAYS(EDATE(AA$1,1),Log_2019[[#This Row],[Date]]),Log_2019[[#This Row],[Split_apply]])) - SUM($O253:Z253)</f>
        <v>0</v>
      </c>
      <c r="AB253" s="54">
        <f ca="1">Log_2019[[#This Row],[Amount]]-SUM(O253:AA253)</f>
        <v>0</v>
      </c>
      <c r="AC253" s="7">
        <f>MAX(0,Log_2019[[#This Row],[Split_raw]] - (EDATE(AA$1,1)-Log_2019[[#This Row],[Date]]))</f>
        <v>0</v>
      </c>
    </row>
    <row r="254" spans="1:29" x14ac:dyDescent="0.25">
      <c r="A254" s="42"/>
      <c r="B254" s="34" t="s">
        <v>6</v>
      </c>
      <c r="C254" s="34"/>
      <c r="D254" s="35">
        <v>43702</v>
      </c>
      <c r="E254" s="34"/>
      <c r="F254" s="34" t="s">
        <v>555</v>
      </c>
      <c r="G254" s="34" t="s">
        <v>25</v>
      </c>
      <c r="H254">
        <v>-17.22</v>
      </c>
      <c r="I254" s="36">
        <f>IF(Log_2019[[#This Row],[My Category]]="NONTRACKED",0,Log_2019[[#This Row],[Raw Amount]])</f>
        <v>-17.22</v>
      </c>
      <c r="J254" s="37">
        <f>ABS(Log_2019[[#This Row],[Amount]])</f>
        <v>17.22</v>
      </c>
      <c r="K254" s="38">
        <v>1</v>
      </c>
      <c r="L254" s="38">
        <f ca="1">IF(Log_2019[[#This Row],[Date]]&lt;=TODAY(), MIN(Log_2019[[#This Row],[Split_raw]], TODAY()-Log_2019[[#This Row],[Date]]+1), 0)</f>
        <v>1</v>
      </c>
      <c r="M254" s="34" t="s">
        <v>35</v>
      </c>
      <c r="N254" s="34" t="s">
        <v>158</v>
      </c>
      <c r="O254" s="7">
        <v>0</v>
      </c>
      <c r="P254" s="52">
        <f ca="1">Log_2019[[#This Row],[Amount]]/Log_2019[[#This Row],[Split_raw]]*MAX(0,MIN(_xlfn.DAYS(EDATE(P$1,1),Log_2019[[#This Row],[Date]]),Log_2019[[#This Row],[Split_apply]])) - SUM($O254:O254)</f>
        <v>0</v>
      </c>
      <c r="Q254" s="52">
        <f ca="1">Log_2019[[#This Row],[Amount]]/Log_2019[[#This Row],[Split_raw]]*MAX(0,MIN(_xlfn.DAYS(EDATE(Q$1,1),Log_2019[[#This Row],[Date]]),Log_2019[[#This Row],[Split_apply]])) - SUM($O254:P254)</f>
        <v>0</v>
      </c>
      <c r="R254" s="52">
        <f ca="1">Log_2019[[#This Row],[Amount]]/Log_2019[[#This Row],[Split_raw]]*MAX(0,MIN(_xlfn.DAYS(EDATE(R$1,1),Log_2019[[#This Row],[Date]]),Log_2019[[#This Row],[Split_apply]])) - SUM($O254:Q254)</f>
        <v>0</v>
      </c>
      <c r="S254" s="52">
        <f ca="1">Log_2019[[#This Row],[Amount]]/Log_2019[[#This Row],[Split_raw]]*MAX(0,MIN(_xlfn.DAYS(EDATE(S$1,1),Log_2019[[#This Row],[Date]]),Log_2019[[#This Row],[Split_apply]])) - SUM($O254:R254)</f>
        <v>0</v>
      </c>
      <c r="T254" s="52">
        <f ca="1">Log_2019[[#This Row],[Amount]]/Log_2019[[#This Row],[Split_raw]]*MAX(0,MIN(_xlfn.DAYS(EDATE(T$1,1),Log_2019[[#This Row],[Date]]),Log_2019[[#This Row],[Split_apply]])) - SUM($O254:S254)</f>
        <v>0</v>
      </c>
      <c r="U254" s="52">
        <f ca="1">Log_2019[[#This Row],[Amount]]/Log_2019[[#This Row],[Split_raw]]*MAX(0,MIN(_xlfn.DAYS(EDATE(U$1,1),Log_2019[[#This Row],[Date]]),Log_2019[[#This Row],[Split_apply]])) - SUM($O254:T254)</f>
        <v>0</v>
      </c>
      <c r="V254" s="52">
        <f ca="1">Log_2019[[#This Row],[Amount]]/Log_2019[[#This Row],[Split_raw]]*MAX(0,MIN(_xlfn.DAYS(EDATE(V$1,1),Log_2019[[#This Row],[Date]]),Log_2019[[#This Row],[Split_apply]])) - SUM($O254:U254)</f>
        <v>0</v>
      </c>
      <c r="W254" s="52">
        <f ca="1">Log_2019[[#This Row],[Amount]]/Log_2019[[#This Row],[Split_raw]]*MAX(0,MIN(_xlfn.DAYS(EDATE(W$1,1),Log_2019[[#This Row],[Date]]),Log_2019[[#This Row],[Split_apply]])) - SUM($O254:V254)</f>
        <v>-17.22</v>
      </c>
      <c r="X254" s="52">
        <f ca="1">Log_2019[[#This Row],[Amount]]/Log_2019[[#This Row],[Split_raw]]*MAX(0,MIN(_xlfn.DAYS(EDATE(X$1,1),Log_2019[[#This Row],[Date]]),Log_2019[[#This Row],[Split_apply]])) - SUM($O254:W254)</f>
        <v>0</v>
      </c>
      <c r="Y254" s="52">
        <f ca="1">Log_2019[[#This Row],[Amount]]/Log_2019[[#This Row],[Split_raw]]*MAX(0,MIN(_xlfn.DAYS(EDATE(Y$1,1),Log_2019[[#This Row],[Date]]),Log_2019[[#This Row],[Split_apply]])) - SUM($O254:X254)</f>
        <v>0</v>
      </c>
      <c r="Z254" s="52">
        <f ca="1">Log_2019[[#This Row],[Amount]]/Log_2019[[#This Row],[Split_raw]]*MAX(0,MIN(_xlfn.DAYS(EDATE(Z$1,1),Log_2019[[#This Row],[Date]]),Log_2019[[#This Row],[Split_apply]])) - SUM($O254:Y254)</f>
        <v>0</v>
      </c>
      <c r="AA254" s="52">
        <f ca="1">Log_2019[[#This Row],[Amount]]/Log_2019[[#This Row],[Split_raw]]*MAX(0,MIN(_xlfn.DAYS(EDATE(AA$1,1),Log_2019[[#This Row],[Date]]),Log_2019[[#This Row],[Split_apply]])) - SUM($O254:Z254)</f>
        <v>0</v>
      </c>
      <c r="AB254" s="54">
        <f ca="1">Log_2019[[#This Row],[Amount]]-SUM(O254:AA254)</f>
        <v>0</v>
      </c>
      <c r="AC254" s="7">
        <f>MAX(0,Log_2019[[#This Row],[Split_raw]] - (EDATE(AA$1,1)-Log_2019[[#This Row],[Date]]))</f>
        <v>0</v>
      </c>
    </row>
    <row r="255" spans="1:29" x14ac:dyDescent="0.25">
      <c r="A255" s="42"/>
      <c r="B255" s="34" t="s">
        <v>6</v>
      </c>
      <c r="C255" s="34"/>
      <c r="D255" s="35">
        <v>43702</v>
      </c>
      <c r="E255" s="34"/>
      <c r="F255" s="34" t="s">
        <v>105</v>
      </c>
      <c r="G255" s="34" t="s">
        <v>104</v>
      </c>
      <c r="H255">
        <f>--1505.49</f>
        <v>1505.49</v>
      </c>
      <c r="I255" s="36">
        <f>IF(Log_2019[[#This Row],[My Category]]="NONTRACKED",0,Log_2019[[#This Row],[Raw Amount]])</f>
        <v>1505.49</v>
      </c>
      <c r="J255" s="37">
        <f>ABS(Log_2019[[#This Row],[Amount]])</f>
        <v>1505.49</v>
      </c>
      <c r="K255" s="38">
        <v>1</v>
      </c>
      <c r="L255" s="38">
        <f ca="1">IF(Log_2019[[#This Row],[Date]]&lt;=TODAY(), MIN(Log_2019[[#This Row],[Split_raw]], TODAY()-Log_2019[[#This Row],[Date]]+1), 0)</f>
        <v>1</v>
      </c>
      <c r="M255" s="34" t="s">
        <v>159</v>
      </c>
      <c r="N255" s="34" t="s">
        <v>158</v>
      </c>
      <c r="O255" s="7">
        <v>0</v>
      </c>
      <c r="P255" s="52">
        <f ca="1">Log_2019[[#This Row],[Amount]]/Log_2019[[#This Row],[Split_raw]]*MAX(0,MIN(_xlfn.DAYS(EDATE(P$1,1),Log_2019[[#This Row],[Date]]),Log_2019[[#This Row],[Split_apply]])) - SUM($O255:O255)</f>
        <v>0</v>
      </c>
      <c r="Q255" s="52">
        <f ca="1">Log_2019[[#This Row],[Amount]]/Log_2019[[#This Row],[Split_raw]]*MAX(0,MIN(_xlfn.DAYS(EDATE(Q$1,1),Log_2019[[#This Row],[Date]]),Log_2019[[#This Row],[Split_apply]])) - SUM($O255:P255)</f>
        <v>0</v>
      </c>
      <c r="R255" s="52">
        <f ca="1">Log_2019[[#This Row],[Amount]]/Log_2019[[#This Row],[Split_raw]]*MAX(0,MIN(_xlfn.DAYS(EDATE(R$1,1),Log_2019[[#This Row],[Date]]),Log_2019[[#This Row],[Split_apply]])) - SUM($O255:Q255)</f>
        <v>0</v>
      </c>
      <c r="S255" s="52">
        <f ca="1">Log_2019[[#This Row],[Amount]]/Log_2019[[#This Row],[Split_raw]]*MAX(0,MIN(_xlfn.DAYS(EDATE(S$1,1),Log_2019[[#This Row],[Date]]),Log_2019[[#This Row],[Split_apply]])) - SUM($O255:R255)</f>
        <v>0</v>
      </c>
      <c r="T255" s="52">
        <f ca="1">Log_2019[[#This Row],[Amount]]/Log_2019[[#This Row],[Split_raw]]*MAX(0,MIN(_xlfn.DAYS(EDATE(T$1,1),Log_2019[[#This Row],[Date]]),Log_2019[[#This Row],[Split_apply]])) - SUM($O255:S255)</f>
        <v>0</v>
      </c>
      <c r="U255" s="52">
        <f ca="1">Log_2019[[#This Row],[Amount]]/Log_2019[[#This Row],[Split_raw]]*MAX(0,MIN(_xlfn.DAYS(EDATE(U$1,1),Log_2019[[#This Row],[Date]]),Log_2019[[#This Row],[Split_apply]])) - SUM($O255:T255)</f>
        <v>0</v>
      </c>
      <c r="V255" s="52">
        <f ca="1">Log_2019[[#This Row],[Amount]]/Log_2019[[#This Row],[Split_raw]]*MAX(0,MIN(_xlfn.DAYS(EDATE(V$1,1),Log_2019[[#This Row],[Date]]),Log_2019[[#This Row],[Split_apply]])) - SUM($O255:U255)</f>
        <v>0</v>
      </c>
      <c r="W255" s="52">
        <f ca="1">Log_2019[[#This Row],[Amount]]/Log_2019[[#This Row],[Split_raw]]*MAX(0,MIN(_xlfn.DAYS(EDATE(W$1,1),Log_2019[[#This Row],[Date]]),Log_2019[[#This Row],[Split_apply]])) - SUM($O255:V255)</f>
        <v>1505.49</v>
      </c>
      <c r="X255" s="52">
        <f ca="1">Log_2019[[#This Row],[Amount]]/Log_2019[[#This Row],[Split_raw]]*MAX(0,MIN(_xlfn.DAYS(EDATE(X$1,1),Log_2019[[#This Row],[Date]]),Log_2019[[#This Row],[Split_apply]])) - SUM($O255:W255)</f>
        <v>0</v>
      </c>
      <c r="Y255" s="52">
        <f ca="1">Log_2019[[#This Row],[Amount]]/Log_2019[[#This Row],[Split_raw]]*MAX(0,MIN(_xlfn.DAYS(EDATE(Y$1,1),Log_2019[[#This Row],[Date]]),Log_2019[[#This Row],[Split_apply]])) - SUM($O255:X255)</f>
        <v>0</v>
      </c>
      <c r="Z255" s="52">
        <f ca="1">Log_2019[[#This Row],[Amount]]/Log_2019[[#This Row],[Split_raw]]*MAX(0,MIN(_xlfn.DAYS(EDATE(Z$1,1),Log_2019[[#This Row],[Date]]),Log_2019[[#This Row],[Split_apply]])) - SUM($O255:Y255)</f>
        <v>0</v>
      </c>
      <c r="AA255" s="52">
        <f ca="1">Log_2019[[#This Row],[Amount]]/Log_2019[[#This Row],[Split_raw]]*MAX(0,MIN(_xlfn.DAYS(EDATE(AA$1,1),Log_2019[[#This Row],[Date]]),Log_2019[[#This Row],[Split_apply]])) - SUM($O255:Z255)</f>
        <v>0</v>
      </c>
      <c r="AB255" s="54">
        <f ca="1">Log_2019[[#This Row],[Amount]]-SUM(O255:AA255)</f>
        <v>0</v>
      </c>
      <c r="AC255" s="7">
        <f>MAX(0,Log_2019[[#This Row],[Split_raw]] - (EDATE(AA$1,1)-Log_2019[[#This Row],[Date]]))</f>
        <v>0</v>
      </c>
    </row>
    <row r="256" spans="1:29" x14ac:dyDescent="0.25">
      <c r="A256" s="42"/>
      <c r="B256" s="34" t="s">
        <v>490</v>
      </c>
      <c r="C256" s="34">
        <v>2.81699521113201E+18</v>
      </c>
      <c r="D256" s="41">
        <v>43700</v>
      </c>
      <c r="E256" s="34"/>
      <c r="F256" s="34" t="s">
        <v>739</v>
      </c>
      <c r="G256" s="34"/>
      <c r="H256" s="45">
        <v>-18</v>
      </c>
      <c r="I256" s="36">
        <f>IF(Log_2019[[#This Row],[My Category]]="NONTRACKED",0,Log_2019[[#This Row],[Raw Amount]])</f>
        <v>-18</v>
      </c>
      <c r="J256" s="37">
        <f>ABS(Log_2019[[#This Row],[Amount]])</f>
        <v>18</v>
      </c>
      <c r="K256" s="38">
        <v>1</v>
      </c>
      <c r="L256" s="38">
        <f ca="1">IF(Log_2019[[#This Row],[Date]]&lt;=TODAY(), MIN(Log_2019[[#This Row],[Split_raw]], TODAY()-Log_2019[[#This Row],[Date]]+1), 0)</f>
        <v>1</v>
      </c>
      <c r="M256" s="34" t="s">
        <v>35</v>
      </c>
      <c r="N256" s="34" t="s">
        <v>490</v>
      </c>
      <c r="O256" s="7">
        <v>0</v>
      </c>
      <c r="P256" s="52">
        <f ca="1">Log_2019[[#This Row],[Amount]]/Log_2019[[#This Row],[Split_raw]]*MAX(0,MIN(_xlfn.DAYS(EDATE(P$1,1),Log_2019[[#This Row],[Date]]),Log_2019[[#This Row],[Split_apply]])) - SUM($O256:O256)</f>
        <v>0</v>
      </c>
      <c r="Q256" s="52">
        <f ca="1">Log_2019[[#This Row],[Amount]]/Log_2019[[#This Row],[Split_raw]]*MAX(0,MIN(_xlfn.DAYS(EDATE(Q$1,1),Log_2019[[#This Row],[Date]]),Log_2019[[#This Row],[Split_apply]])) - SUM($O256:P256)</f>
        <v>0</v>
      </c>
      <c r="R256" s="52">
        <f ca="1">Log_2019[[#This Row],[Amount]]/Log_2019[[#This Row],[Split_raw]]*MAX(0,MIN(_xlfn.DAYS(EDATE(R$1,1),Log_2019[[#This Row],[Date]]),Log_2019[[#This Row],[Split_apply]])) - SUM($O256:Q256)</f>
        <v>0</v>
      </c>
      <c r="S256" s="52">
        <f ca="1">Log_2019[[#This Row],[Amount]]/Log_2019[[#This Row],[Split_raw]]*MAX(0,MIN(_xlfn.DAYS(EDATE(S$1,1),Log_2019[[#This Row],[Date]]),Log_2019[[#This Row],[Split_apply]])) - SUM($O256:R256)</f>
        <v>0</v>
      </c>
      <c r="T256" s="52">
        <f ca="1">Log_2019[[#This Row],[Amount]]/Log_2019[[#This Row],[Split_raw]]*MAX(0,MIN(_xlfn.DAYS(EDATE(T$1,1),Log_2019[[#This Row],[Date]]),Log_2019[[#This Row],[Split_apply]])) - SUM($O256:S256)</f>
        <v>0</v>
      </c>
      <c r="U256" s="52">
        <f ca="1">Log_2019[[#This Row],[Amount]]/Log_2019[[#This Row],[Split_raw]]*MAX(0,MIN(_xlfn.DAYS(EDATE(U$1,1),Log_2019[[#This Row],[Date]]),Log_2019[[#This Row],[Split_apply]])) - SUM($O256:T256)</f>
        <v>0</v>
      </c>
      <c r="V256" s="52">
        <f ca="1">Log_2019[[#This Row],[Amount]]/Log_2019[[#This Row],[Split_raw]]*MAX(0,MIN(_xlfn.DAYS(EDATE(V$1,1),Log_2019[[#This Row],[Date]]),Log_2019[[#This Row],[Split_apply]])) - SUM($O256:U256)</f>
        <v>0</v>
      </c>
      <c r="W256" s="52">
        <f ca="1">Log_2019[[#This Row],[Amount]]/Log_2019[[#This Row],[Split_raw]]*MAX(0,MIN(_xlfn.DAYS(EDATE(W$1,1),Log_2019[[#This Row],[Date]]),Log_2019[[#This Row],[Split_apply]])) - SUM($O256:V256)</f>
        <v>-18</v>
      </c>
      <c r="X256" s="52">
        <f ca="1">Log_2019[[#This Row],[Amount]]/Log_2019[[#This Row],[Split_raw]]*MAX(0,MIN(_xlfn.DAYS(EDATE(X$1,1),Log_2019[[#This Row],[Date]]),Log_2019[[#This Row],[Split_apply]])) - SUM($O256:W256)</f>
        <v>0</v>
      </c>
      <c r="Y256" s="52">
        <f ca="1">Log_2019[[#This Row],[Amount]]/Log_2019[[#This Row],[Split_raw]]*MAX(0,MIN(_xlfn.DAYS(EDATE(Y$1,1),Log_2019[[#This Row],[Date]]),Log_2019[[#This Row],[Split_apply]])) - SUM($O256:X256)</f>
        <v>0</v>
      </c>
      <c r="Z256" s="52">
        <f ca="1">Log_2019[[#This Row],[Amount]]/Log_2019[[#This Row],[Split_raw]]*MAX(0,MIN(_xlfn.DAYS(EDATE(Z$1,1),Log_2019[[#This Row],[Date]]),Log_2019[[#This Row],[Split_apply]])) - SUM($O256:Y256)</f>
        <v>0</v>
      </c>
      <c r="AA256" s="52">
        <f ca="1">Log_2019[[#This Row],[Amount]]/Log_2019[[#This Row],[Split_raw]]*MAX(0,MIN(_xlfn.DAYS(EDATE(AA$1,1),Log_2019[[#This Row],[Date]]),Log_2019[[#This Row],[Split_apply]])) - SUM($O256:Z256)</f>
        <v>0</v>
      </c>
      <c r="AB256" s="54">
        <f ca="1">Log_2019[[#This Row],[Amount]]-SUM(O256:AA256)</f>
        <v>0</v>
      </c>
      <c r="AC256" s="7">
        <f>MAX(0,Log_2019[[#This Row],[Split_raw]] - (EDATE(AA$1,1)-Log_2019[[#This Row],[Date]]))</f>
        <v>0</v>
      </c>
    </row>
    <row r="257" spans="1:29" x14ac:dyDescent="0.25">
      <c r="A257" s="42"/>
      <c r="B257" s="34" t="s">
        <v>6</v>
      </c>
      <c r="C257" s="34"/>
      <c r="D257" s="35">
        <v>43699</v>
      </c>
      <c r="E257" s="34"/>
      <c r="F257" s="34" t="s">
        <v>255</v>
      </c>
      <c r="G257" s="34" t="s">
        <v>10</v>
      </c>
      <c r="H257">
        <v>-6.37</v>
      </c>
      <c r="I257" s="36">
        <f>IF(Log_2019[[#This Row],[My Category]]="NONTRACKED",0,Log_2019[[#This Row],[Raw Amount]])</f>
        <v>-6.37</v>
      </c>
      <c r="J257" s="37">
        <f>ABS(Log_2019[[#This Row],[Amount]])</f>
        <v>6.37</v>
      </c>
      <c r="K257" s="38">
        <v>1</v>
      </c>
      <c r="L257" s="38">
        <f ca="1">IF(Log_2019[[#This Row],[Date]]&lt;=TODAY(), MIN(Log_2019[[#This Row],[Split_raw]], TODAY()-Log_2019[[#This Row],[Date]]+1), 0)</f>
        <v>1</v>
      </c>
      <c r="M257" s="34" t="s">
        <v>35</v>
      </c>
      <c r="N257" s="34" t="s">
        <v>158</v>
      </c>
      <c r="O257" s="7">
        <v>0</v>
      </c>
      <c r="P257" s="52">
        <f ca="1">Log_2019[[#This Row],[Amount]]/Log_2019[[#This Row],[Split_raw]]*MAX(0,MIN(_xlfn.DAYS(EDATE(P$1,1),Log_2019[[#This Row],[Date]]),Log_2019[[#This Row],[Split_apply]])) - SUM($O257:O257)</f>
        <v>0</v>
      </c>
      <c r="Q257" s="52">
        <f ca="1">Log_2019[[#This Row],[Amount]]/Log_2019[[#This Row],[Split_raw]]*MAX(0,MIN(_xlfn.DAYS(EDATE(Q$1,1),Log_2019[[#This Row],[Date]]),Log_2019[[#This Row],[Split_apply]])) - SUM($O257:P257)</f>
        <v>0</v>
      </c>
      <c r="R257" s="52">
        <f ca="1">Log_2019[[#This Row],[Amount]]/Log_2019[[#This Row],[Split_raw]]*MAX(0,MIN(_xlfn.DAYS(EDATE(R$1,1),Log_2019[[#This Row],[Date]]),Log_2019[[#This Row],[Split_apply]])) - SUM($O257:Q257)</f>
        <v>0</v>
      </c>
      <c r="S257" s="52">
        <f ca="1">Log_2019[[#This Row],[Amount]]/Log_2019[[#This Row],[Split_raw]]*MAX(0,MIN(_xlfn.DAYS(EDATE(S$1,1),Log_2019[[#This Row],[Date]]),Log_2019[[#This Row],[Split_apply]])) - SUM($O257:R257)</f>
        <v>0</v>
      </c>
      <c r="T257" s="52">
        <f ca="1">Log_2019[[#This Row],[Amount]]/Log_2019[[#This Row],[Split_raw]]*MAX(0,MIN(_xlfn.DAYS(EDATE(T$1,1),Log_2019[[#This Row],[Date]]),Log_2019[[#This Row],[Split_apply]])) - SUM($O257:S257)</f>
        <v>0</v>
      </c>
      <c r="U257" s="52">
        <f ca="1">Log_2019[[#This Row],[Amount]]/Log_2019[[#This Row],[Split_raw]]*MAX(0,MIN(_xlfn.DAYS(EDATE(U$1,1),Log_2019[[#This Row],[Date]]),Log_2019[[#This Row],[Split_apply]])) - SUM($O257:T257)</f>
        <v>0</v>
      </c>
      <c r="V257" s="52">
        <f ca="1">Log_2019[[#This Row],[Amount]]/Log_2019[[#This Row],[Split_raw]]*MAX(0,MIN(_xlfn.DAYS(EDATE(V$1,1),Log_2019[[#This Row],[Date]]),Log_2019[[#This Row],[Split_apply]])) - SUM($O257:U257)</f>
        <v>0</v>
      </c>
      <c r="W257" s="52">
        <f ca="1">Log_2019[[#This Row],[Amount]]/Log_2019[[#This Row],[Split_raw]]*MAX(0,MIN(_xlfn.DAYS(EDATE(W$1,1),Log_2019[[#This Row],[Date]]),Log_2019[[#This Row],[Split_apply]])) - SUM($O257:V257)</f>
        <v>-6.37</v>
      </c>
      <c r="X257" s="52">
        <f ca="1">Log_2019[[#This Row],[Amount]]/Log_2019[[#This Row],[Split_raw]]*MAX(0,MIN(_xlfn.DAYS(EDATE(X$1,1),Log_2019[[#This Row],[Date]]),Log_2019[[#This Row],[Split_apply]])) - SUM($O257:W257)</f>
        <v>0</v>
      </c>
      <c r="Y257" s="52">
        <f ca="1">Log_2019[[#This Row],[Amount]]/Log_2019[[#This Row],[Split_raw]]*MAX(0,MIN(_xlfn.DAYS(EDATE(Y$1,1),Log_2019[[#This Row],[Date]]),Log_2019[[#This Row],[Split_apply]])) - SUM($O257:X257)</f>
        <v>0</v>
      </c>
      <c r="Z257" s="52">
        <f ca="1">Log_2019[[#This Row],[Amount]]/Log_2019[[#This Row],[Split_raw]]*MAX(0,MIN(_xlfn.DAYS(EDATE(Z$1,1),Log_2019[[#This Row],[Date]]),Log_2019[[#This Row],[Split_apply]])) - SUM($O257:Y257)</f>
        <v>0</v>
      </c>
      <c r="AA257" s="52">
        <f ca="1">Log_2019[[#This Row],[Amount]]/Log_2019[[#This Row],[Split_raw]]*MAX(0,MIN(_xlfn.DAYS(EDATE(AA$1,1),Log_2019[[#This Row],[Date]]),Log_2019[[#This Row],[Split_apply]])) - SUM($O257:Z257)</f>
        <v>0</v>
      </c>
      <c r="AB257" s="54">
        <f ca="1">Log_2019[[#This Row],[Amount]]-SUM(O257:AA257)</f>
        <v>0</v>
      </c>
      <c r="AC257" s="7">
        <f>MAX(0,Log_2019[[#This Row],[Split_raw]] - (EDATE(AA$1,1)-Log_2019[[#This Row],[Date]]))</f>
        <v>0</v>
      </c>
    </row>
    <row r="258" spans="1:29" x14ac:dyDescent="0.25">
      <c r="A258" s="42"/>
      <c r="B258" s="34" t="s">
        <v>6</v>
      </c>
      <c r="C258" s="34"/>
      <c r="D258" s="35">
        <v>43699</v>
      </c>
      <c r="E258" s="34"/>
      <c r="F258" s="34" t="s">
        <v>255</v>
      </c>
      <c r="G258" s="34" t="s">
        <v>10</v>
      </c>
      <c r="H258">
        <v>-21.29</v>
      </c>
      <c r="I258" s="36">
        <f>IF(Log_2019[[#This Row],[My Category]]="NONTRACKED",0,Log_2019[[#This Row],[Raw Amount]])</f>
        <v>-21.29</v>
      </c>
      <c r="J258" s="37">
        <f>ABS(Log_2019[[#This Row],[Amount]])</f>
        <v>21.29</v>
      </c>
      <c r="K258" s="38">
        <v>1</v>
      </c>
      <c r="L258" s="38">
        <f ca="1">IF(Log_2019[[#This Row],[Date]]&lt;=TODAY(), MIN(Log_2019[[#This Row],[Split_raw]], TODAY()-Log_2019[[#This Row],[Date]]+1), 0)</f>
        <v>1</v>
      </c>
      <c r="M258" s="34" t="s">
        <v>52</v>
      </c>
      <c r="N258" s="34" t="s">
        <v>158</v>
      </c>
      <c r="O258" s="7">
        <v>0</v>
      </c>
      <c r="P258" s="52">
        <f ca="1">Log_2019[[#This Row],[Amount]]/Log_2019[[#This Row],[Split_raw]]*MAX(0,MIN(_xlfn.DAYS(EDATE(P$1,1),Log_2019[[#This Row],[Date]]),Log_2019[[#This Row],[Split_apply]])) - SUM($O258:O258)</f>
        <v>0</v>
      </c>
      <c r="Q258" s="52">
        <f ca="1">Log_2019[[#This Row],[Amount]]/Log_2019[[#This Row],[Split_raw]]*MAX(0,MIN(_xlfn.DAYS(EDATE(Q$1,1),Log_2019[[#This Row],[Date]]),Log_2019[[#This Row],[Split_apply]])) - SUM($O258:P258)</f>
        <v>0</v>
      </c>
      <c r="R258" s="52">
        <f ca="1">Log_2019[[#This Row],[Amount]]/Log_2019[[#This Row],[Split_raw]]*MAX(0,MIN(_xlfn.DAYS(EDATE(R$1,1),Log_2019[[#This Row],[Date]]),Log_2019[[#This Row],[Split_apply]])) - SUM($O258:Q258)</f>
        <v>0</v>
      </c>
      <c r="S258" s="52">
        <f ca="1">Log_2019[[#This Row],[Amount]]/Log_2019[[#This Row],[Split_raw]]*MAX(0,MIN(_xlfn.DAYS(EDATE(S$1,1),Log_2019[[#This Row],[Date]]),Log_2019[[#This Row],[Split_apply]])) - SUM($O258:R258)</f>
        <v>0</v>
      </c>
      <c r="T258" s="52">
        <f ca="1">Log_2019[[#This Row],[Amount]]/Log_2019[[#This Row],[Split_raw]]*MAX(0,MIN(_xlfn.DAYS(EDATE(T$1,1),Log_2019[[#This Row],[Date]]),Log_2019[[#This Row],[Split_apply]])) - SUM($O258:S258)</f>
        <v>0</v>
      </c>
      <c r="U258" s="52">
        <f ca="1">Log_2019[[#This Row],[Amount]]/Log_2019[[#This Row],[Split_raw]]*MAX(0,MIN(_xlfn.DAYS(EDATE(U$1,1),Log_2019[[#This Row],[Date]]),Log_2019[[#This Row],[Split_apply]])) - SUM($O258:T258)</f>
        <v>0</v>
      </c>
      <c r="V258" s="52">
        <f ca="1">Log_2019[[#This Row],[Amount]]/Log_2019[[#This Row],[Split_raw]]*MAX(0,MIN(_xlfn.DAYS(EDATE(V$1,1),Log_2019[[#This Row],[Date]]),Log_2019[[#This Row],[Split_apply]])) - SUM($O258:U258)</f>
        <v>0</v>
      </c>
      <c r="W258" s="52">
        <f ca="1">Log_2019[[#This Row],[Amount]]/Log_2019[[#This Row],[Split_raw]]*MAX(0,MIN(_xlfn.DAYS(EDATE(W$1,1),Log_2019[[#This Row],[Date]]),Log_2019[[#This Row],[Split_apply]])) - SUM($O258:V258)</f>
        <v>-21.29</v>
      </c>
      <c r="X258" s="52">
        <f ca="1">Log_2019[[#This Row],[Amount]]/Log_2019[[#This Row],[Split_raw]]*MAX(0,MIN(_xlfn.DAYS(EDATE(X$1,1),Log_2019[[#This Row],[Date]]),Log_2019[[#This Row],[Split_apply]])) - SUM($O258:W258)</f>
        <v>0</v>
      </c>
      <c r="Y258" s="52">
        <f ca="1">Log_2019[[#This Row],[Amount]]/Log_2019[[#This Row],[Split_raw]]*MAX(0,MIN(_xlfn.DAYS(EDATE(Y$1,1),Log_2019[[#This Row],[Date]]),Log_2019[[#This Row],[Split_apply]])) - SUM($O258:X258)</f>
        <v>0</v>
      </c>
      <c r="Z258" s="52">
        <f ca="1">Log_2019[[#This Row],[Amount]]/Log_2019[[#This Row],[Split_raw]]*MAX(0,MIN(_xlfn.DAYS(EDATE(Z$1,1),Log_2019[[#This Row],[Date]]),Log_2019[[#This Row],[Split_apply]])) - SUM($O258:Y258)</f>
        <v>0</v>
      </c>
      <c r="AA258" s="52">
        <f ca="1">Log_2019[[#This Row],[Amount]]/Log_2019[[#This Row],[Split_raw]]*MAX(0,MIN(_xlfn.DAYS(EDATE(AA$1,1),Log_2019[[#This Row],[Date]]),Log_2019[[#This Row],[Split_apply]])) - SUM($O258:Z258)</f>
        <v>0</v>
      </c>
      <c r="AB258" s="54">
        <f ca="1">Log_2019[[#This Row],[Amount]]-SUM(O258:AA258)</f>
        <v>0</v>
      </c>
      <c r="AC258" s="7">
        <f>MAX(0,Log_2019[[#This Row],[Split_raw]] - (EDATE(AA$1,1)-Log_2019[[#This Row],[Date]]))</f>
        <v>0</v>
      </c>
    </row>
    <row r="259" spans="1:29" x14ac:dyDescent="0.25">
      <c r="A259" s="42"/>
      <c r="B259" s="34" t="s">
        <v>6</v>
      </c>
      <c r="C259" s="34"/>
      <c r="D259" s="35">
        <v>43699</v>
      </c>
      <c r="E259" s="34"/>
      <c r="F259" s="34" t="s">
        <v>309</v>
      </c>
      <c r="G259" s="34" t="s">
        <v>13</v>
      </c>
      <c r="H259">
        <v>-10.57</v>
      </c>
      <c r="I259" s="36">
        <f>IF(Log_2019[[#This Row],[My Category]]="NONTRACKED",0,Log_2019[[#This Row],[Raw Amount]])</f>
        <v>-10.57</v>
      </c>
      <c r="J259" s="37">
        <f>ABS(Log_2019[[#This Row],[Amount]])</f>
        <v>10.57</v>
      </c>
      <c r="K259" s="38">
        <v>1</v>
      </c>
      <c r="L259" s="38">
        <f ca="1">IF(Log_2019[[#This Row],[Date]]&lt;=TODAY(), MIN(Log_2019[[#This Row],[Split_raw]], TODAY()-Log_2019[[#This Row],[Date]]+1), 0)</f>
        <v>1</v>
      </c>
      <c r="M259" s="34" t="s">
        <v>145</v>
      </c>
      <c r="N259" s="34" t="s">
        <v>158</v>
      </c>
      <c r="O259" s="7">
        <v>0</v>
      </c>
      <c r="P259" s="52">
        <f ca="1">Log_2019[[#This Row],[Amount]]/Log_2019[[#This Row],[Split_raw]]*MAX(0,MIN(_xlfn.DAYS(EDATE(P$1,1),Log_2019[[#This Row],[Date]]),Log_2019[[#This Row],[Split_apply]])) - SUM($O259:O259)</f>
        <v>0</v>
      </c>
      <c r="Q259" s="52">
        <f ca="1">Log_2019[[#This Row],[Amount]]/Log_2019[[#This Row],[Split_raw]]*MAX(0,MIN(_xlfn.DAYS(EDATE(Q$1,1),Log_2019[[#This Row],[Date]]),Log_2019[[#This Row],[Split_apply]])) - SUM($O259:P259)</f>
        <v>0</v>
      </c>
      <c r="R259" s="52">
        <f ca="1">Log_2019[[#This Row],[Amount]]/Log_2019[[#This Row],[Split_raw]]*MAX(0,MIN(_xlfn.DAYS(EDATE(R$1,1),Log_2019[[#This Row],[Date]]),Log_2019[[#This Row],[Split_apply]])) - SUM($O259:Q259)</f>
        <v>0</v>
      </c>
      <c r="S259" s="52">
        <f ca="1">Log_2019[[#This Row],[Amount]]/Log_2019[[#This Row],[Split_raw]]*MAX(0,MIN(_xlfn.DAYS(EDATE(S$1,1),Log_2019[[#This Row],[Date]]),Log_2019[[#This Row],[Split_apply]])) - SUM($O259:R259)</f>
        <v>0</v>
      </c>
      <c r="T259" s="52">
        <f ca="1">Log_2019[[#This Row],[Amount]]/Log_2019[[#This Row],[Split_raw]]*MAX(0,MIN(_xlfn.DAYS(EDATE(T$1,1),Log_2019[[#This Row],[Date]]),Log_2019[[#This Row],[Split_apply]])) - SUM($O259:S259)</f>
        <v>0</v>
      </c>
      <c r="U259" s="52">
        <f ca="1">Log_2019[[#This Row],[Amount]]/Log_2019[[#This Row],[Split_raw]]*MAX(0,MIN(_xlfn.DAYS(EDATE(U$1,1),Log_2019[[#This Row],[Date]]),Log_2019[[#This Row],[Split_apply]])) - SUM($O259:T259)</f>
        <v>0</v>
      </c>
      <c r="V259" s="52">
        <f ca="1">Log_2019[[#This Row],[Amount]]/Log_2019[[#This Row],[Split_raw]]*MAX(0,MIN(_xlfn.DAYS(EDATE(V$1,1),Log_2019[[#This Row],[Date]]),Log_2019[[#This Row],[Split_apply]])) - SUM($O259:U259)</f>
        <v>0</v>
      </c>
      <c r="W259" s="52">
        <f ca="1">Log_2019[[#This Row],[Amount]]/Log_2019[[#This Row],[Split_raw]]*MAX(0,MIN(_xlfn.DAYS(EDATE(W$1,1),Log_2019[[#This Row],[Date]]),Log_2019[[#This Row],[Split_apply]])) - SUM($O259:V259)</f>
        <v>-10.57</v>
      </c>
      <c r="X259" s="52">
        <f ca="1">Log_2019[[#This Row],[Amount]]/Log_2019[[#This Row],[Split_raw]]*MAX(0,MIN(_xlfn.DAYS(EDATE(X$1,1),Log_2019[[#This Row],[Date]]),Log_2019[[#This Row],[Split_apply]])) - SUM($O259:W259)</f>
        <v>0</v>
      </c>
      <c r="Y259" s="52">
        <f ca="1">Log_2019[[#This Row],[Amount]]/Log_2019[[#This Row],[Split_raw]]*MAX(0,MIN(_xlfn.DAYS(EDATE(Y$1,1),Log_2019[[#This Row],[Date]]),Log_2019[[#This Row],[Split_apply]])) - SUM($O259:X259)</f>
        <v>0</v>
      </c>
      <c r="Z259" s="52">
        <f ca="1">Log_2019[[#This Row],[Amount]]/Log_2019[[#This Row],[Split_raw]]*MAX(0,MIN(_xlfn.DAYS(EDATE(Z$1,1),Log_2019[[#This Row],[Date]]),Log_2019[[#This Row],[Split_apply]])) - SUM($O259:Y259)</f>
        <v>0</v>
      </c>
      <c r="AA259" s="52">
        <f ca="1">Log_2019[[#This Row],[Amount]]/Log_2019[[#This Row],[Split_raw]]*MAX(0,MIN(_xlfn.DAYS(EDATE(AA$1,1),Log_2019[[#This Row],[Date]]),Log_2019[[#This Row],[Split_apply]])) - SUM($O259:Z259)</f>
        <v>0</v>
      </c>
      <c r="AB259" s="54">
        <f ca="1">Log_2019[[#This Row],[Amount]]-SUM(O259:AA259)</f>
        <v>0</v>
      </c>
      <c r="AC259" s="7">
        <f>MAX(0,Log_2019[[#This Row],[Split_raw]] - (EDATE(AA$1,1)-Log_2019[[#This Row],[Date]]))</f>
        <v>0</v>
      </c>
    </row>
    <row r="260" spans="1:29" x14ac:dyDescent="0.25">
      <c r="A260" s="42"/>
      <c r="B260" s="34" t="s">
        <v>6</v>
      </c>
      <c r="C260" s="34"/>
      <c r="D260" s="35">
        <v>43699</v>
      </c>
      <c r="E260" s="34"/>
      <c r="F260" s="34" t="s">
        <v>581</v>
      </c>
      <c r="G260" s="34" t="s">
        <v>582</v>
      </c>
      <c r="H260">
        <v>-52.95</v>
      </c>
      <c r="I260" s="36">
        <f>IF(Log_2019[[#This Row],[My Category]]="NONTRACKED",0,Log_2019[[#This Row],[Raw Amount]])</f>
        <v>-52.95</v>
      </c>
      <c r="J260" s="37">
        <f>ABS(Log_2019[[#This Row],[Amount]])</f>
        <v>52.95</v>
      </c>
      <c r="K260" s="38">
        <v>30</v>
      </c>
      <c r="L260" s="38">
        <f ca="1">IF(Log_2019[[#This Row],[Date]]&lt;=TODAY(), MIN(Log_2019[[#This Row],[Split_raw]], TODAY()-Log_2019[[#This Row],[Date]]+1), 0)</f>
        <v>30</v>
      </c>
      <c r="M260" s="34" t="s">
        <v>30</v>
      </c>
      <c r="N260" s="34" t="s">
        <v>160</v>
      </c>
      <c r="O260" s="7">
        <v>0</v>
      </c>
      <c r="P260" s="52">
        <f ca="1">Log_2019[[#This Row],[Amount]]/Log_2019[[#This Row],[Split_raw]]*MAX(0,MIN(_xlfn.DAYS(EDATE(P$1,1),Log_2019[[#This Row],[Date]]),Log_2019[[#This Row],[Split_apply]])) - SUM($O260:O260)</f>
        <v>0</v>
      </c>
      <c r="Q260" s="52">
        <f ca="1">Log_2019[[#This Row],[Amount]]/Log_2019[[#This Row],[Split_raw]]*MAX(0,MIN(_xlfn.DAYS(EDATE(Q$1,1),Log_2019[[#This Row],[Date]]),Log_2019[[#This Row],[Split_apply]])) - SUM($O260:P260)</f>
        <v>0</v>
      </c>
      <c r="R260" s="52">
        <f ca="1">Log_2019[[#This Row],[Amount]]/Log_2019[[#This Row],[Split_raw]]*MAX(0,MIN(_xlfn.DAYS(EDATE(R$1,1),Log_2019[[#This Row],[Date]]),Log_2019[[#This Row],[Split_apply]])) - SUM($O260:Q260)</f>
        <v>0</v>
      </c>
      <c r="S260" s="52">
        <f ca="1">Log_2019[[#This Row],[Amount]]/Log_2019[[#This Row],[Split_raw]]*MAX(0,MIN(_xlfn.DAYS(EDATE(S$1,1),Log_2019[[#This Row],[Date]]),Log_2019[[#This Row],[Split_apply]])) - SUM($O260:R260)</f>
        <v>0</v>
      </c>
      <c r="T260" s="52">
        <f ca="1">Log_2019[[#This Row],[Amount]]/Log_2019[[#This Row],[Split_raw]]*MAX(0,MIN(_xlfn.DAYS(EDATE(T$1,1),Log_2019[[#This Row],[Date]]),Log_2019[[#This Row],[Split_apply]])) - SUM($O260:S260)</f>
        <v>0</v>
      </c>
      <c r="U260" s="52">
        <f ca="1">Log_2019[[#This Row],[Amount]]/Log_2019[[#This Row],[Split_raw]]*MAX(0,MIN(_xlfn.DAYS(EDATE(U$1,1),Log_2019[[#This Row],[Date]]),Log_2019[[#This Row],[Split_apply]])) - SUM($O260:T260)</f>
        <v>0</v>
      </c>
      <c r="V260" s="52">
        <f ca="1">Log_2019[[#This Row],[Amount]]/Log_2019[[#This Row],[Split_raw]]*MAX(0,MIN(_xlfn.DAYS(EDATE(V$1,1),Log_2019[[#This Row],[Date]]),Log_2019[[#This Row],[Split_apply]])) - SUM($O260:U260)</f>
        <v>0</v>
      </c>
      <c r="W260" s="52">
        <f ca="1">Log_2019[[#This Row],[Amount]]/Log_2019[[#This Row],[Split_raw]]*MAX(0,MIN(_xlfn.DAYS(EDATE(W$1,1),Log_2019[[#This Row],[Date]]),Log_2019[[#This Row],[Split_apply]])) - SUM($O260:V260)</f>
        <v>-17.650000000000002</v>
      </c>
      <c r="X260" s="52">
        <f ca="1">Log_2019[[#This Row],[Amount]]/Log_2019[[#This Row],[Split_raw]]*MAX(0,MIN(_xlfn.DAYS(EDATE(X$1,1),Log_2019[[#This Row],[Date]]),Log_2019[[#This Row],[Split_apply]])) - SUM($O260:W260)</f>
        <v>-35.299999999999997</v>
      </c>
      <c r="Y260" s="52">
        <f ca="1">Log_2019[[#This Row],[Amount]]/Log_2019[[#This Row],[Split_raw]]*MAX(0,MIN(_xlfn.DAYS(EDATE(Y$1,1),Log_2019[[#This Row],[Date]]),Log_2019[[#This Row],[Split_apply]])) - SUM($O260:X260)</f>
        <v>0</v>
      </c>
      <c r="Z260" s="52">
        <f ca="1">Log_2019[[#This Row],[Amount]]/Log_2019[[#This Row],[Split_raw]]*MAX(0,MIN(_xlfn.DAYS(EDATE(Z$1,1),Log_2019[[#This Row],[Date]]),Log_2019[[#This Row],[Split_apply]])) - SUM($O260:Y260)</f>
        <v>0</v>
      </c>
      <c r="AA260" s="52">
        <f ca="1">Log_2019[[#This Row],[Amount]]/Log_2019[[#This Row],[Split_raw]]*MAX(0,MIN(_xlfn.DAYS(EDATE(AA$1,1),Log_2019[[#This Row],[Date]]),Log_2019[[#This Row],[Split_apply]])) - SUM($O260:Z260)</f>
        <v>0</v>
      </c>
      <c r="AB260" s="54">
        <f ca="1">Log_2019[[#This Row],[Amount]]-SUM(O260:AA260)</f>
        <v>0</v>
      </c>
      <c r="AC260" s="7">
        <f>MAX(0,Log_2019[[#This Row],[Split_raw]] - (EDATE(AA$1,1)-Log_2019[[#This Row],[Date]]))</f>
        <v>0</v>
      </c>
    </row>
    <row r="261" spans="1:29" x14ac:dyDescent="0.25">
      <c r="A261" s="42"/>
      <c r="B261" s="34" t="s">
        <v>6</v>
      </c>
      <c r="C261" s="34"/>
      <c r="D261" s="35">
        <v>43698</v>
      </c>
      <c r="E261" s="34"/>
      <c r="F261" s="34" t="s">
        <v>671</v>
      </c>
      <c r="G261" s="34" t="s">
        <v>25</v>
      </c>
      <c r="H261">
        <v>-11.11</v>
      </c>
      <c r="I261" s="36">
        <f>IF(Log_2019[[#This Row],[My Category]]="NONTRACKED",0,Log_2019[[#This Row],[Raw Amount]])</f>
        <v>-11.11</v>
      </c>
      <c r="J261" s="37">
        <f>ABS(Log_2019[[#This Row],[Amount]])</f>
        <v>11.11</v>
      </c>
      <c r="K261" s="38">
        <v>1</v>
      </c>
      <c r="L261" s="38">
        <f ca="1">IF(Log_2019[[#This Row],[Date]]&lt;=TODAY(), MIN(Log_2019[[#This Row],[Split_raw]], TODAY()-Log_2019[[#This Row],[Date]]+1), 0)</f>
        <v>1</v>
      </c>
      <c r="M261" s="34" t="s">
        <v>35</v>
      </c>
      <c r="N261" s="34" t="s">
        <v>158</v>
      </c>
      <c r="O261" s="7">
        <v>0</v>
      </c>
      <c r="P261" s="52">
        <f ca="1">Log_2019[[#This Row],[Amount]]/Log_2019[[#This Row],[Split_raw]]*MAX(0,MIN(_xlfn.DAYS(EDATE(P$1,1),Log_2019[[#This Row],[Date]]),Log_2019[[#This Row],[Split_apply]])) - SUM($O261:O261)</f>
        <v>0</v>
      </c>
      <c r="Q261" s="52">
        <f ca="1">Log_2019[[#This Row],[Amount]]/Log_2019[[#This Row],[Split_raw]]*MAX(0,MIN(_xlfn.DAYS(EDATE(Q$1,1),Log_2019[[#This Row],[Date]]),Log_2019[[#This Row],[Split_apply]])) - SUM($O261:P261)</f>
        <v>0</v>
      </c>
      <c r="R261" s="52">
        <f ca="1">Log_2019[[#This Row],[Amount]]/Log_2019[[#This Row],[Split_raw]]*MAX(0,MIN(_xlfn.DAYS(EDATE(R$1,1),Log_2019[[#This Row],[Date]]),Log_2019[[#This Row],[Split_apply]])) - SUM($O261:Q261)</f>
        <v>0</v>
      </c>
      <c r="S261" s="52">
        <f ca="1">Log_2019[[#This Row],[Amount]]/Log_2019[[#This Row],[Split_raw]]*MAX(0,MIN(_xlfn.DAYS(EDATE(S$1,1),Log_2019[[#This Row],[Date]]),Log_2019[[#This Row],[Split_apply]])) - SUM($O261:R261)</f>
        <v>0</v>
      </c>
      <c r="T261" s="52">
        <f ca="1">Log_2019[[#This Row],[Amount]]/Log_2019[[#This Row],[Split_raw]]*MAX(0,MIN(_xlfn.DAYS(EDATE(T$1,1),Log_2019[[#This Row],[Date]]),Log_2019[[#This Row],[Split_apply]])) - SUM($O261:S261)</f>
        <v>0</v>
      </c>
      <c r="U261" s="52">
        <f ca="1">Log_2019[[#This Row],[Amount]]/Log_2019[[#This Row],[Split_raw]]*MAX(0,MIN(_xlfn.DAYS(EDATE(U$1,1),Log_2019[[#This Row],[Date]]),Log_2019[[#This Row],[Split_apply]])) - SUM($O261:T261)</f>
        <v>0</v>
      </c>
      <c r="V261" s="52">
        <f ca="1">Log_2019[[#This Row],[Amount]]/Log_2019[[#This Row],[Split_raw]]*MAX(0,MIN(_xlfn.DAYS(EDATE(V$1,1),Log_2019[[#This Row],[Date]]),Log_2019[[#This Row],[Split_apply]])) - SUM($O261:U261)</f>
        <v>0</v>
      </c>
      <c r="W261" s="52">
        <f ca="1">Log_2019[[#This Row],[Amount]]/Log_2019[[#This Row],[Split_raw]]*MAX(0,MIN(_xlfn.DAYS(EDATE(W$1,1),Log_2019[[#This Row],[Date]]),Log_2019[[#This Row],[Split_apply]])) - SUM($O261:V261)</f>
        <v>-11.11</v>
      </c>
      <c r="X261" s="52">
        <f ca="1">Log_2019[[#This Row],[Amount]]/Log_2019[[#This Row],[Split_raw]]*MAX(0,MIN(_xlfn.DAYS(EDATE(X$1,1),Log_2019[[#This Row],[Date]]),Log_2019[[#This Row],[Split_apply]])) - SUM($O261:W261)</f>
        <v>0</v>
      </c>
      <c r="Y261" s="52">
        <f ca="1">Log_2019[[#This Row],[Amount]]/Log_2019[[#This Row],[Split_raw]]*MAX(0,MIN(_xlfn.DAYS(EDATE(Y$1,1),Log_2019[[#This Row],[Date]]),Log_2019[[#This Row],[Split_apply]])) - SUM($O261:X261)</f>
        <v>0</v>
      </c>
      <c r="Z261" s="52">
        <f ca="1">Log_2019[[#This Row],[Amount]]/Log_2019[[#This Row],[Split_raw]]*MAX(0,MIN(_xlfn.DAYS(EDATE(Z$1,1),Log_2019[[#This Row],[Date]]),Log_2019[[#This Row],[Split_apply]])) - SUM($O261:Y261)</f>
        <v>0</v>
      </c>
      <c r="AA261" s="52">
        <f ca="1">Log_2019[[#This Row],[Amount]]/Log_2019[[#This Row],[Split_raw]]*MAX(0,MIN(_xlfn.DAYS(EDATE(AA$1,1),Log_2019[[#This Row],[Date]]),Log_2019[[#This Row],[Split_apply]])) - SUM($O261:Z261)</f>
        <v>0</v>
      </c>
      <c r="AB261" s="54">
        <f ca="1">Log_2019[[#This Row],[Amount]]-SUM(O261:AA261)</f>
        <v>0</v>
      </c>
      <c r="AC261" s="7">
        <f>MAX(0,Log_2019[[#This Row],[Split_raw]] - (EDATE(AA$1,1)-Log_2019[[#This Row],[Date]]))</f>
        <v>0</v>
      </c>
    </row>
    <row r="262" spans="1:29" x14ac:dyDescent="0.25">
      <c r="A262" s="42"/>
      <c r="B262" s="34" t="s">
        <v>6</v>
      </c>
      <c r="C262" s="34"/>
      <c r="D262" s="35">
        <v>43698</v>
      </c>
      <c r="E262" s="34"/>
      <c r="F262" s="34" t="s">
        <v>587</v>
      </c>
      <c r="G262" s="34" t="s">
        <v>9</v>
      </c>
      <c r="H262">
        <v>-48.11</v>
      </c>
      <c r="I262" s="36">
        <f>IF(Log_2019[[#This Row],[My Category]]="NONTRACKED",0,Log_2019[[#This Row],[Raw Amount]])</f>
        <v>-48.11</v>
      </c>
      <c r="J262" s="37">
        <f>ABS(Log_2019[[#This Row],[Amount]])</f>
        <v>48.11</v>
      </c>
      <c r="K262" s="38">
        <v>1</v>
      </c>
      <c r="L262" s="38">
        <f ca="1">IF(Log_2019[[#This Row],[Date]]&lt;=TODAY(), MIN(Log_2019[[#This Row],[Split_raw]], TODAY()-Log_2019[[#This Row],[Date]]+1), 0)</f>
        <v>1</v>
      </c>
      <c r="M262" s="34" t="s">
        <v>12</v>
      </c>
      <c r="N262" s="34" t="s">
        <v>158</v>
      </c>
      <c r="O262" s="7">
        <v>0</v>
      </c>
      <c r="P262" s="52">
        <f ca="1">Log_2019[[#This Row],[Amount]]/Log_2019[[#This Row],[Split_raw]]*MAX(0,MIN(_xlfn.DAYS(EDATE(P$1,1),Log_2019[[#This Row],[Date]]),Log_2019[[#This Row],[Split_apply]])) - SUM($O262:O262)</f>
        <v>0</v>
      </c>
      <c r="Q262" s="52">
        <f ca="1">Log_2019[[#This Row],[Amount]]/Log_2019[[#This Row],[Split_raw]]*MAX(0,MIN(_xlfn.DAYS(EDATE(Q$1,1),Log_2019[[#This Row],[Date]]),Log_2019[[#This Row],[Split_apply]])) - SUM($O262:P262)</f>
        <v>0</v>
      </c>
      <c r="R262" s="52">
        <f ca="1">Log_2019[[#This Row],[Amount]]/Log_2019[[#This Row],[Split_raw]]*MAX(0,MIN(_xlfn.DAYS(EDATE(R$1,1),Log_2019[[#This Row],[Date]]),Log_2019[[#This Row],[Split_apply]])) - SUM($O262:Q262)</f>
        <v>0</v>
      </c>
      <c r="S262" s="52">
        <f ca="1">Log_2019[[#This Row],[Amount]]/Log_2019[[#This Row],[Split_raw]]*MAX(0,MIN(_xlfn.DAYS(EDATE(S$1,1),Log_2019[[#This Row],[Date]]),Log_2019[[#This Row],[Split_apply]])) - SUM($O262:R262)</f>
        <v>0</v>
      </c>
      <c r="T262" s="52">
        <f ca="1">Log_2019[[#This Row],[Amount]]/Log_2019[[#This Row],[Split_raw]]*MAX(0,MIN(_xlfn.DAYS(EDATE(T$1,1),Log_2019[[#This Row],[Date]]),Log_2019[[#This Row],[Split_apply]])) - SUM($O262:S262)</f>
        <v>0</v>
      </c>
      <c r="U262" s="52">
        <f ca="1">Log_2019[[#This Row],[Amount]]/Log_2019[[#This Row],[Split_raw]]*MAX(0,MIN(_xlfn.DAYS(EDATE(U$1,1),Log_2019[[#This Row],[Date]]),Log_2019[[#This Row],[Split_apply]])) - SUM($O262:T262)</f>
        <v>0</v>
      </c>
      <c r="V262" s="52">
        <f ca="1">Log_2019[[#This Row],[Amount]]/Log_2019[[#This Row],[Split_raw]]*MAX(0,MIN(_xlfn.DAYS(EDATE(V$1,1),Log_2019[[#This Row],[Date]]),Log_2019[[#This Row],[Split_apply]])) - SUM($O262:U262)</f>
        <v>0</v>
      </c>
      <c r="W262" s="52">
        <f ca="1">Log_2019[[#This Row],[Amount]]/Log_2019[[#This Row],[Split_raw]]*MAX(0,MIN(_xlfn.DAYS(EDATE(W$1,1),Log_2019[[#This Row],[Date]]),Log_2019[[#This Row],[Split_apply]])) - SUM($O262:V262)</f>
        <v>-48.11</v>
      </c>
      <c r="X262" s="52">
        <f ca="1">Log_2019[[#This Row],[Amount]]/Log_2019[[#This Row],[Split_raw]]*MAX(0,MIN(_xlfn.DAYS(EDATE(X$1,1),Log_2019[[#This Row],[Date]]),Log_2019[[#This Row],[Split_apply]])) - SUM($O262:W262)</f>
        <v>0</v>
      </c>
      <c r="Y262" s="52">
        <f ca="1">Log_2019[[#This Row],[Amount]]/Log_2019[[#This Row],[Split_raw]]*MAX(0,MIN(_xlfn.DAYS(EDATE(Y$1,1),Log_2019[[#This Row],[Date]]),Log_2019[[#This Row],[Split_apply]])) - SUM($O262:X262)</f>
        <v>0</v>
      </c>
      <c r="Z262" s="52">
        <f ca="1">Log_2019[[#This Row],[Amount]]/Log_2019[[#This Row],[Split_raw]]*MAX(0,MIN(_xlfn.DAYS(EDATE(Z$1,1),Log_2019[[#This Row],[Date]]),Log_2019[[#This Row],[Split_apply]])) - SUM($O262:Y262)</f>
        <v>0</v>
      </c>
      <c r="AA262" s="52">
        <f ca="1">Log_2019[[#This Row],[Amount]]/Log_2019[[#This Row],[Split_raw]]*MAX(0,MIN(_xlfn.DAYS(EDATE(AA$1,1),Log_2019[[#This Row],[Date]]),Log_2019[[#This Row],[Split_apply]])) - SUM($O262:Z262)</f>
        <v>0</v>
      </c>
      <c r="AB262" s="54">
        <f ca="1">Log_2019[[#This Row],[Amount]]-SUM(O262:AA262)</f>
        <v>0</v>
      </c>
      <c r="AC262" s="7">
        <f>MAX(0,Log_2019[[#This Row],[Split_raw]] - (EDATE(AA$1,1)-Log_2019[[#This Row],[Date]]))</f>
        <v>0</v>
      </c>
    </row>
    <row r="263" spans="1:29" x14ac:dyDescent="0.25">
      <c r="A263" s="42"/>
      <c r="B263" s="34" t="s">
        <v>6</v>
      </c>
      <c r="C263" s="34"/>
      <c r="D263" s="35">
        <v>43698</v>
      </c>
      <c r="E263" s="34"/>
      <c r="F263" s="34" t="s">
        <v>672</v>
      </c>
      <c r="G263" s="34" t="s">
        <v>11</v>
      </c>
      <c r="H263">
        <v>-9.73</v>
      </c>
      <c r="I263" s="36">
        <f>IF(Log_2019[[#This Row],[My Category]]="NONTRACKED",0,Log_2019[[#This Row],[Raw Amount]])</f>
        <v>-9.73</v>
      </c>
      <c r="J263" s="37">
        <f>ABS(Log_2019[[#This Row],[Amount]])</f>
        <v>9.73</v>
      </c>
      <c r="K263" s="38">
        <v>1</v>
      </c>
      <c r="L263" s="38">
        <f ca="1">IF(Log_2019[[#This Row],[Date]]&lt;=TODAY(), MIN(Log_2019[[#This Row],[Split_raw]], TODAY()-Log_2019[[#This Row],[Date]]+1), 0)</f>
        <v>1</v>
      </c>
      <c r="M263" s="34" t="s">
        <v>41</v>
      </c>
      <c r="N263" s="34" t="s">
        <v>158</v>
      </c>
      <c r="O263" s="7">
        <v>0</v>
      </c>
      <c r="P263" s="52">
        <f ca="1">Log_2019[[#This Row],[Amount]]/Log_2019[[#This Row],[Split_raw]]*MAX(0,MIN(_xlfn.DAYS(EDATE(P$1,1),Log_2019[[#This Row],[Date]]),Log_2019[[#This Row],[Split_apply]])) - SUM($O263:O263)</f>
        <v>0</v>
      </c>
      <c r="Q263" s="52">
        <f ca="1">Log_2019[[#This Row],[Amount]]/Log_2019[[#This Row],[Split_raw]]*MAX(0,MIN(_xlfn.DAYS(EDATE(Q$1,1),Log_2019[[#This Row],[Date]]),Log_2019[[#This Row],[Split_apply]])) - SUM($O263:P263)</f>
        <v>0</v>
      </c>
      <c r="R263" s="52">
        <f ca="1">Log_2019[[#This Row],[Amount]]/Log_2019[[#This Row],[Split_raw]]*MAX(0,MIN(_xlfn.DAYS(EDATE(R$1,1),Log_2019[[#This Row],[Date]]),Log_2019[[#This Row],[Split_apply]])) - SUM($O263:Q263)</f>
        <v>0</v>
      </c>
      <c r="S263" s="52">
        <f ca="1">Log_2019[[#This Row],[Amount]]/Log_2019[[#This Row],[Split_raw]]*MAX(0,MIN(_xlfn.DAYS(EDATE(S$1,1),Log_2019[[#This Row],[Date]]),Log_2019[[#This Row],[Split_apply]])) - SUM($O263:R263)</f>
        <v>0</v>
      </c>
      <c r="T263" s="52">
        <f ca="1">Log_2019[[#This Row],[Amount]]/Log_2019[[#This Row],[Split_raw]]*MAX(0,MIN(_xlfn.DAYS(EDATE(T$1,1),Log_2019[[#This Row],[Date]]),Log_2019[[#This Row],[Split_apply]])) - SUM($O263:S263)</f>
        <v>0</v>
      </c>
      <c r="U263" s="52">
        <f ca="1">Log_2019[[#This Row],[Amount]]/Log_2019[[#This Row],[Split_raw]]*MAX(0,MIN(_xlfn.DAYS(EDATE(U$1,1),Log_2019[[#This Row],[Date]]),Log_2019[[#This Row],[Split_apply]])) - SUM($O263:T263)</f>
        <v>0</v>
      </c>
      <c r="V263" s="52">
        <f ca="1">Log_2019[[#This Row],[Amount]]/Log_2019[[#This Row],[Split_raw]]*MAX(0,MIN(_xlfn.DAYS(EDATE(V$1,1),Log_2019[[#This Row],[Date]]),Log_2019[[#This Row],[Split_apply]])) - SUM($O263:U263)</f>
        <v>0</v>
      </c>
      <c r="W263" s="52">
        <f ca="1">Log_2019[[#This Row],[Amount]]/Log_2019[[#This Row],[Split_raw]]*MAX(0,MIN(_xlfn.DAYS(EDATE(W$1,1),Log_2019[[#This Row],[Date]]),Log_2019[[#This Row],[Split_apply]])) - SUM($O263:V263)</f>
        <v>-9.73</v>
      </c>
      <c r="X263" s="52">
        <f ca="1">Log_2019[[#This Row],[Amount]]/Log_2019[[#This Row],[Split_raw]]*MAX(0,MIN(_xlfn.DAYS(EDATE(X$1,1),Log_2019[[#This Row],[Date]]),Log_2019[[#This Row],[Split_apply]])) - SUM($O263:W263)</f>
        <v>0</v>
      </c>
      <c r="Y263" s="52">
        <f ca="1">Log_2019[[#This Row],[Amount]]/Log_2019[[#This Row],[Split_raw]]*MAX(0,MIN(_xlfn.DAYS(EDATE(Y$1,1),Log_2019[[#This Row],[Date]]),Log_2019[[#This Row],[Split_apply]])) - SUM($O263:X263)</f>
        <v>0</v>
      </c>
      <c r="Z263" s="52">
        <f ca="1">Log_2019[[#This Row],[Amount]]/Log_2019[[#This Row],[Split_raw]]*MAX(0,MIN(_xlfn.DAYS(EDATE(Z$1,1),Log_2019[[#This Row],[Date]]),Log_2019[[#This Row],[Split_apply]])) - SUM($O263:Y263)</f>
        <v>0</v>
      </c>
      <c r="AA263" s="52">
        <f ca="1">Log_2019[[#This Row],[Amount]]/Log_2019[[#This Row],[Split_raw]]*MAX(0,MIN(_xlfn.DAYS(EDATE(AA$1,1),Log_2019[[#This Row],[Date]]),Log_2019[[#This Row],[Split_apply]])) - SUM($O263:Z263)</f>
        <v>0</v>
      </c>
      <c r="AB263" s="54">
        <f ca="1">Log_2019[[#This Row],[Amount]]-SUM(O263:AA263)</f>
        <v>0</v>
      </c>
      <c r="AC263" s="7">
        <f>MAX(0,Log_2019[[#This Row],[Split_raw]] - (EDATE(AA$1,1)-Log_2019[[#This Row],[Date]]))</f>
        <v>0</v>
      </c>
    </row>
    <row r="264" spans="1:29" x14ac:dyDescent="0.25">
      <c r="A264" s="42"/>
      <c r="B264" s="34" t="s">
        <v>6</v>
      </c>
      <c r="C264" s="34"/>
      <c r="D264" s="35">
        <v>43697</v>
      </c>
      <c r="E264" s="34"/>
      <c r="F264" s="34" t="s">
        <v>673</v>
      </c>
      <c r="G264" s="34" t="s">
        <v>25</v>
      </c>
      <c r="H264">
        <v>-9.7100000000000009</v>
      </c>
      <c r="I264" s="36">
        <f>IF(Log_2019[[#This Row],[My Category]]="NONTRACKED",0,Log_2019[[#This Row],[Raw Amount]])</f>
        <v>-9.7100000000000009</v>
      </c>
      <c r="J264" s="37">
        <f>ABS(Log_2019[[#This Row],[Amount]])</f>
        <v>9.7100000000000009</v>
      </c>
      <c r="K264" s="38">
        <v>1</v>
      </c>
      <c r="L264" s="38">
        <f ca="1">IF(Log_2019[[#This Row],[Date]]&lt;=TODAY(), MIN(Log_2019[[#This Row],[Split_raw]], TODAY()-Log_2019[[#This Row],[Date]]+1), 0)</f>
        <v>1</v>
      </c>
      <c r="M264" s="34" t="s">
        <v>35</v>
      </c>
      <c r="N264" s="34" t="s">
        <v>158</v>
      </c>
      <c r="O264" s="7">
        <v>0</v>
      </c>
      <c r="P264" s="52">
        <f ca="1">Log_2019[[#This Row],[Amount]]/Log_2019[[#This Row],[Split_raw]]*MAX(0,MIN(_xlfn.DAYS(EDATE(P$1,1),Log_2019[[#This Row],[Date]]),Log_2019[[#This Row],[Split_apply]])) - SUM($O264:O264)</f>
        <v>0</v>
      </c>
      <c r="Q264" s="52">
        <f ca="1">Log_2019[[#This Row],[Amount]]/Log_2019[[#This Row],[Split_raw]]*MAX(0,MIN(_xlfn.DAYS(EDATE(Q$1,1),Log_2019[[#This Row],[Date]]),Log_2019[[#This Row],[Split_apply]])) - SUM($O264:P264)</f>
        <v>0</v>
      </c>
      <c r="R264" s="52">
        <f ca="1">Log_2019[[#This Row],[Amount]]/Log_2019[[#This Row],[Split_raw]]*MAX(0,MIN(_xlfn.DAYS(EDATE(R$1,1),Log_2019[[#This Row],[Date]]),Log_2019[[#This Row],[Split_apply]])) - SUM($O264:Q264)</f>
        <v>0</v>
      </c>
      <c r="S264" s="52">
        <f ca="1">Log_2019[[#This Row],[Amount]]/Log_2019[[#This Row],[Split_raw]]*MAX(0,MIN(_xlfn.DAYS(EDATE(S$1,1),Log_2019[[#This Row],[Date]]),Log_2019[[#This Row],[Split_apply]])) - SUM($O264:R264)</f>
        <v>0</v>
      </c>
      <c r="T264" s="52">
        <f ca="1">Log_2019[[#This Row],[Amount]]/Log_2019[[#This Row],[Split_raw]]*MAX(0,MIN(_xlfn.DAYS(EDATE(T$1,1),Log_2019[[#This Row],[Date]]),Log_2019[[#This Row],[Split_apply]])) - SUM($O264:S264)</f>
        <v>0</v>
      </c>
      <c r="U264" s="52">
        <f ca="1">Log_2019[[#This Row],[Amount]]/Log_2019[[#This Row],[Split_raw]]*MAX(0,MIN(_xlfn.DAYS(EDATE(U$1,1),Log_2019[[#This Row],[Date]]),Log_2019[[#This Row],[Split_apply]])) - SUM($O264:T264)</f>
        <v>0</v>
      </c>
      <c r="V264" s="52">
        <f ca="1">Log_2019[[#This Row],[Amount]]/Log_2019[[#This Row],[Split_raw]]*MAX(0,MIN(_xlfn.DAYS(EDATE(V$1,1),Log_2019[[#This Row],[Date]]),Log_2019[[#This Row],[Split_apply]])) - SUM($O264:U264)</f>
        <v>0</v>
      </c>
      <c r="W264" s="52">
        <f ca="1">Log_2019[[#This Row],[Amount]]/Log_2019[[#This Row],[Split_raw]]*MAX(0,MIN(_xlfn.DAYS(EDATE(W$1,1),Log_2019[[#This Row],[Date]]),Log_2019[[#This Row],[Split_apply]])) - SUM($O264:V264)</f>
        <v>-9.7100000000000009</v>
      </c>
      <c r="X264" s="52">
        <f ca="1">Log_2019[[#This Row],[Amount]]/Log_2019[[#This Row],[Split_raw]]*MAX(0,MIN(_xlfn.DAYS(EDATE(X$1,1),Log_2019[[#This Row],[Date]]),Log_2019[[#This Row],[Split_apply]])) - SUM($O264:W264)</f>
        <v>0</v>
      </c>
      <c r="Y264" s="52">
        <f ca="1">Log_2019[[#This Row],[Amount]]/Log_2019[[#This Row],[Split_raw]]*MAX(0,MIN(_xlfn.DAYS(EDATE(Y$1,1),Log_2019[[#This Row],[Date]]),Log_2019[[#This Row],[Split_apply]])) - SUM($O264:X264)</f>
        <v>0</v>
      </c>
      <c r="Z264" s="52">
        <f ca="1">Log_2019[[#This Row],[Amount]]/Log_2019[[#This Row],[Split_raw]]*MAX(0,MIN(_xlfn.DAYS(EDATE(Z$1,1),Log_2019[[#This Row],[Date]]),Log_2019[[#This Row],[Split_apply]])) - SUM($O264:Y264)</f>
        <v>0</v>
      </c>
      <c r="AA264" s="52">
        <f ca="1">Log_2019[[#This Row],[Amount]]/Log_2019[[#This Row],[Split_raw]]*MAX(0,MIN(_xlfn.DAYS(EDATE(AA$1,1),Log_2019[[#This Row],[Date]]),Log_2019[[#This Row],[Split_apply]])) - SUM($O264:Z264)</f>
        <v>0</v>
      </c>
      <c r="AB264" s="54">
        <f ca="1">Log_2019[[#This Row],[Amount]]-SUM(O264:AA264)</f>
        <v>0</v>
      </c>
      <c r="AC264" s="7">
        <f>MAX(0,Log_2019[[#This Row],[Split_raw]] - (EDATE(AA$1,1)-Log_2019[[#This Row],[Date]]))</f>
        <v>0</v>
      </c>
    </row>
    <row r="265" spans="1:29" x14ac:dyDescent="0.25">
      <c r="A265" s="42"/>
      <c r="B265" s="34" t="s">
        <v>6</v>
      </c>
      <c r="C265" s="34"/>
      <c r="D265" s="35">
        <v>43697</v>
      </c>
      <c r="E265" s="34"/>
      <c r="F265" s="34" t="s">
        <v>674</v>
      </c>
      <c r="G265" s="34" t="s">
        <v>25</v>
      </c>
      <c r="H265">
        <v>-6.48</v>
      </c>
      <c r="I265" s="36">
        <f>IF(Log_2019[[#This Row],[My Category]]="NONTRACKED",0,Log_2019[[#This Row],[Raw Amount]])</f>
        <v>-6.48</v>
      </c>
      <c r="J265" s="37">
        <f>ABS(Log_2019[[#This Row],[Amount]])</f>
        <v>6.48</v>
      </c>
      <c r="K265" s="38">
        <v>1</v>
      </c>
      <c r="L265" s="38">
        <f ca="1">IF(Log_2019[[#This Row],[Date]]&lt;=TODAY(), MIN(Log_2019[[#This Row],[Split_raw]], TODAY()-Log_2019[[#This Row],[Date]]+1), 0)</f>
        <v>1</v>
      </c>
      <c r="M265" s="34" t="s">
        <v>35</v>
      </c>
      <c r="N265" s="34" t="s">
        <v>158</v>
      </c>
      <c r="O265" s="7">
        <v>0</v>
      </c>
      <c r="P265" s="52">
        <f ca="1">Log_2019[[#This Row],[Amount]]/Log_2019[[#This Row],[Split_raw]]*MAX(0,MIN(_xlfn.DAYS(EDATE(P$1,1),Log_2019[[#This Row],[Date]]),Log_2019[[#This Row],[Split_apply]])) - SUM($O265:O265)</f>
        <v>0</v>
      </c>
      <c r="Q265" s="52">
        <f ca="1">Log_2019[[#This Row],[Amount]]/Log_2019[[#This Row],[Split_raw]]*MAX(0,MIN(_xlfn.DAYS(EDATE(Q$1,1),Log_2019[[#This Row],[Date]]),Log_2019[[#This Row],[Split_apply]])) - SUM($O265:P265)</f>
        <v>0</v>
      </c>
      <c r="R265" s="52">
        <f ca="1">Log_2019[[#This Row],[Amount]]/Log_2019[[#This Row],[Split_raw]]*MAX(0,MIN(_xlfn.DAYS(EDATE(R$1,1),Log_2019[[#This Row],[Date]]),Log_2019[[#This Row],[Split_apply]])) - SUM($O265:Q265)</f>
        <v>0</v>
      </c>
      <c r="S265" s="52">
        <f ca="1">Log_2019[[#This Row],[Amount]]/Log_2019[[#This Row],[Split_raw]]*MAX(0,MIN(_xlfn.DAYS(EDATE(S$1,1),Log_2019[[#This Row],[Date]]),Log_2019[[#This Row],[Split_apply]])) - SUM($O265:R265)</f>
        <v>0</v>
      </c>
      <c r="T265" s="52">
        <f ca="1">Log_2019[[#This Row],[Amount]]/Log_2019[[#This Row],[Split_raw]]*MAX(0,MIN(_xlfn.DAYS(EDATE(T$1,1),Log_2019[[#This Row],[Date]]),Log_2019[[#This Row],[Split_apply]])) - SUM($O265:S265)</f>
        <v>0</v>
      </c>
      <c r="U265" s="52">
        <f ca="1">Log_2019[[#This Row],[Amount]]/Log_2019[[#This Row],[Split_raw]]*MAX(0,MIN(_xlfn.DAYS(EDATE(U$1,1),Log_2019[[#This Row],[Date]]),Log_2019[[#This Row],[Split_apply]])) - SUM($O265:T265)</f>
        <v>0</v>
      </c>
      <c r="V265" s="52">
        <f ca="1">Log_2019[[#This Row],[Amount]]/Log_2019[[#This Row],[Split_raw]]*MAX(0,MIN(_xlfn.DAYS(EDATE(V$1,1),Log_2019[[#This Row],[Date]]),Log_2019[[#This Row],[Split_apply]])) - SUM($O265:U265)</f>
        <v>0</v>
      </c>
      <c r="W265" s="52">
        <f ca="1">Log_2019[[#This Row],[Amount]]/Log_2019[[#This Row],[Split_raw]]*MAX(0,MIN(_xlfn.DAYS(EDATE(W$1,1),Log_2019[[#This Row],[Date]]),Log_2019[[#This Row],[Split_apply]])) - SUM($O265:V265)</f>
        <v>-6.48</v>
      </c>
      <c r="X265" s="52">
        <f ca="1">Log_2019[[#This Row],[Amount]]/Log_2019[[#This Row],[Split_raw]]*MAX(0,MIN(_xlfn.DAYS(EDATE(X$1,1),Log_2019[[#This Row],[Date]]),Log_2019[[#This Row],[Split_apply]])) - SUM($O265:W265)</f>
        <v>0</v>
      </c>
      <c r="Y265" s="52">
        <f ca="1">Log_2019[[#This Row],[Amount]]/Log_2019[[#This Row],[Split_raw]]*MAX(0,MIN(_xlfn.DAYS(EDATE(Y$1,1),Log_2019[[#This Row],[Date]]),Log_2019[[#This Row],[Split_apply]])) - SUM($O265:X265)</f>
        <v>0</v>
      </c>
      <c r="Z265" s="52">
        <f ca="1">Log_2019[[#This Row],[Amount]]/Log_2019[[#This Row],[Split_raw]]*MAX(0,MIN(_xlfn.DAYS(EDATE(Z$1,1),Log_2019[[#This Row],[Date]]),Log_2019[[#This Row],[Split_apply]])) - SUM($O265:Y265)</f>
        <v>0</v>
      </c>
      <c r="AA265" s="52">
        <f ca="1">Log_2019[[#This Row],[Amount]]/Log_2019[[#This Row],[Split_raw]]*MAX(0,MIN(_xlfn.DAYS(EDATE(AA$1,1),Log_2019[[#This Row],[Date]]),Log_2019[[#This Row],[Split_apply]])) - SUM($O265:Z265)</f>
        <v>0</v>
      </c>
      <c r="AB265" s="54">
        <f ca="1">Log_2019[[#This Row],[Amount]]-SUM(O265:AA265)</f>
        <v>0</v>
      </c>
      <c r="AC265" s="7">
        <f>MAX(0,Log_2019[[#This Row],[Split_raw]] - (EDATE(AA$1,1)-Log_2019[[#This Row],[Date]]))</f>
        <v>0</v>
      </c>
    </row>
    <row r="266" spans="1:29" x14ac:dyDescent="0.25">
      <c r="A266" s="42"/>
      <c r="B266" s="34" t="s">
        <v>6</v>
      </c>
      <c r="C266" s="34"/>
      <c r="D266" s="35">
        <v>43696</v>
      </c>
      <c r="E266" s="34"/>
      <c r="F266" s="34" t="s">
        <v>306</v>
      </c>
      <c r="G266" s="34" t="s">
        <v>25</v>
      </c>
      <c r="H266">
        <v>-13.37</v>
      </c>
      <c r="I266" s="36">
        <f>IF(Log_2019[[#This Row],[My Category]]="NONTRACKED",0,Log_2019[[#This Row],[Raw Amount]])</f>
        <v>-13.37</v>
      </c>
      <c r="J266" s="37">
        <f>ABS(Log_2019[[#This Row],[Amount]])</f>
        <v>13.37</v>
      </c>
      <c r="K266" s="38">
        <v>1</v>
      </c>
      <c r="L266" s="38">
        <f ca="1">IF(Log_2019[[#This Row],[Date]]&lt;=TODAY(), MIN(Log_2019[[#This Row],[Split_raw]], TODAY()-Log_2019[[#This Row],[Date]]+1), 0)</f>
        <v>1</v>
      </c>
      <c r="M266" s="34" t="s">
        <v>35</v>
      </c>
      <c r="N266" s="34" t="s">
        <v>158</v>
      </c>
      <c r="O266" s="7">
        <v>0</v>
      </c>
      <c r="P266" s="52">
        <f ca="1">Log_2019[[#This Row],[Amount]]/Log_2019[[#This Row],[Split_raw]]*MAX(0,MIN(_xlfn.DAYS(EDATE(P$1,1),Log_2019[[#This Row],[Date]]),Log_2019[[#This Row],[Split_apply]])) - SUM($O266:O266)</f>
        <v>0</v>
      </c>
      <c r="Q266" s="52">
        <f ca="1">Log_2019[[#This Row],[Amount]]/Log_2019[[#This Row],[Split_raw]]*MAX(0,MIN(_xlfn.DAYS(EDATE(Q$1,1),Log_2019[[#This Row],[Date]]),Log_2019[[#This Row],[Split_apply]])) - SUM($O266:P266)</f>
        <v>0</v>
      </c>
      <c r="R266" s="52">
        <f ca="1">Log_2019[[#This Row],[Amount]]/Log_2019[[#This Row],[Split_raw]]*MAX(0,MIN(_xlfn.DAYS(EDATE(R$1,1),Log_2019[[#This Row],[Date]]),Log_2019[[#This Row],[Split_apply]])) - SUM($O266:Q266)</f>
        <v>0</v>
      </c>
      <c r="S266" s="52">
        <f ca="1">Log_2019[[#This Row],[Amount]]/Log_2019[[#This Row],[Split_raw]]*MAX(0,MIN(_xlfn.DAYS(EDATE(S$1,1),Log_2019[[#This Row],[Date]]),Log_2019[[#This Row],[Split_apply]])) - SUM($O266:R266)</f>
        <v>0</v>
      </c>
      <c r="T266" s="52">
        <f ca="1">Log_2019[[#This Row],[Amount]]/Log_2019[[#This Row],[Split_raw]]*MAX(0,MIN(_xlfn.DAYS(EDATE(T$1,1),Log_2019[[#This Row],[Date]]),Log_2019[[#This Row],[Split_apply]])) - SUM($O266:S266)</f>
        <v>0</v>
      </c>
      <c r="U266" s="52">
        <f ca="1">Log_2019[[#This Row],[Amount]]/Log_2019[[#This Row],[Split_raw]]*MAX(0,MIN(_xlfn.DAYS(EDATE(U$1,1),Log_2019[[#This Row],[Date]]),Log_2019[[#This Row],[Split_apply]])) - SUM($O266:T266)</f>
        <v>0</v>
      </c>
      <c r="V266" s="52">
        <f ca="1">Log_2019[[#This Row],[Amount]]/Log_2019[[#This Row],[Split_raw]]*MAX(0,MIN(_xlfn.DAYS(EDATE(V$1,1),Log_2019[[#This Row],[Date]]),Log_2019[[#This Row],[Split_apply]])) - SUM($O266:U266)</f>
        <v>0</v>
      </c>
      <c r="W266" s="52">
        <f ca="1">Log_2019[[#This Row],[Amount]]/Log_2019[[#This Row],[Split_raw]]*MAX(0,MIN(_xlfn.DAYS(EDATE(W$1,1),Log_2019[[#This Row],[Date]]),Log_2019[[#This Row],[Split_apply]])) - SUM($O266:V266)</f>
        <v>-13.37</v>
      </c>
      <c r="X266" s="52">
        <f ca="1">Log_2019[[#This Row],[Amount]]/Log_2019[[#This Row],[Split_raw]]*MAX(0,MIN(_xlfn.DAYS(EDATE(X$1,1),Log_2019[[#This Row],[Date]]),Log_2019[[#This Row],[Split_apply]])) - SUM($O266:W266)</f>
        <v>0</v>
      </c>
      <c r="Y266" s="52">
        <f ca="1">Log_2019[[#This Row],[Amount]]/Log_2019[[#This Row],[Split_raw]]*MAX(0,MIN(_xlfn.DAYS(EDATE(Y$1,1),Log_2019[[#This Row],[Date]]),Log_2019[[#This Row],[Split_apply]])) - SUM($O266:X266)</f>
        <v>0</v>
      </c>
      <c r="Z266" s="52">
        <f ca="1">Log_2019[[#This Row],[Amount]]/Log_2019[[#This Row],[Split_raw]]*MAX(0,MIN(_xlfn.DAYS(EDATE(Z$1,1),Log_2019[[#This Row],[Date]]),Log_2019[[#This Row],[Split_apply]])) - SUM($O266:Y266)</f>
        <v>0</v>
      </c>
      <c r="AA266" s="52">
        <f ca="1">Log_2019[[#This Row],[Amount]]/Log_2019[[#This Row],[Split_raw]]*MAX(0,MIN(_xlfn.DAYS(EDATE(AA$1,1),Log_2019[[#This Row],[Date]]),Log_2019[[#This Row],[Split_apply]])) - SUM($O266:Z266)</f>
        <v>0</v>
      </c>
      <c r="AB266" s="54">
        <f ca="1">Log_2019[[#This Row],[Amount]]-SUM(O266:AA266)</f>
        <v>0</v>
      </c>
      <c r="AC266" s="7">
        <f>MAX(0,Log_2019[[#This Row],[Split_raw]] - (EDATE(AA$1,1)-Log_2019[[#This Row],[Date]]))</f>
        <v>0</v>
      </c>
    </row>
    <row r="267" spans="1:29" x14ac:dyDescent="0.25">
      <c r="A267" s="42"/>
      <c r="B267" s="34" t="s">
        <v>6</v>
      </c>
      <c r="C267" s="34"/>
      <c r="D267" s="35">
        <v>43696</v>
      </c>
      <c r="E267" s="34"/>
      <c r="F267" s="34" t="s">
        <v>255</v>
      </c>
      <c r="G267" s="34" t="s">
        <v>10</v>
      </c>
      <c r="H267">
        <v>-5.99</v>
      </c>
      <c r="I267" s="36">
        <f>IF(Log_2019[[#This Row],[My Category]]="NONTRACKED",0,Log_2019[[#This Row],[Raw Amount]])</f>
        <v>-5.99</v>
      </c>
      <c r="J267" s="37">
        <f>ABS(Log_2019[[#This Row],[Amount]])</f>
        <v>5.99</v>
      </c>
      <c r="K267" s="38">
        <v>1</v>
      </c>
      <c r="L267" s="38">
        <f ca="1">IF(Log_2019[[#This Row],[Date]]&lt;=TODAY(), MIN(Log_2019[[#This Row],[Split_raw]], TODAY()-Log_2019[[#This Row],[Date]]+1), 0)</f>
        <v>1</v>
      </c>
      <c r="M267" s="34" t="s">
        <v>35</v>
      </c>
      <c r="N267" s="34" t="s">
        <v>158</v>
      </c>
      <c r="O267" s="7">
        <v>0</v>
      </c>
      <c r="P267" s="52">
        <f ca="1">Log_2019[[#This Row],[Amount]]/Log_2019[[#This Row],[Split_raw]]*MAX(0,MIN(_xlfn.DAYS(EDATE(P$1,1),Log_2019[[#This Row],[Date]]),Log_2019[[#This Row],[Split_apply]])) - SUM($O267:O267)</f>
        <v>0</v>
      </c>
      <c r="Q267" s="52">
        <f ca="1">Log_2019[[#This Row],[Amount]]/Log_2019[[#This Row],[Split_raw]]*MAX(0,MIN(_xlfn.DAYS(EDATE(Q$1,1),Log_2019[[#This Row],[Date]]),Log_2019[[#This Row],[Split_apply]])) - SUM($O267:P267)</f>
        <v>0</v>
      </c>
      <c r="R267" s="52">
        <f ca="1">Log_2019[[#This Row],[Amount]]/Log_2019[[#This Row],[Split_raw]]*MAX(0,MIN(_xlfn.DAYS(EDATE(R$1,1),Log_2019[[#This Row],[Date]]),Log_2019[[#This Row],[Split_apply]])) - SUM($O267:Q267)</f>
        <v>0</v>
      </c>
      <c r="S267" s="52">
        <f ca="1">Log_2019[[#This Row],[Amount]]/Log_2019[[#This Row],[Split_raw]]*MAX(0,MIN(_xlfn.DAYS(EDATE(S$1,1),Log_2019[[#This Row],[Date]]),Log_2019[[#This Row],[Split_apply]])) - SUM($O267:R267)</f>
        <v>0</v>
      </c>
      <c r="T267" s="52">
        <f ca="1">Log_2019[[#This Row],[Amount]]/Log_2019[[#This Row],[Split_raw]]*MAX(0,MIN(_xlfn.DAYS(EDATE(T$1,1),Log_2019[[#This Row],[Date]]),Log_2019[[#This Row],[Split_apply]])) - SUM($O267:S267)</f>
        <v>0</v>
      </c>
      <c r="U267" s="52">
        <f ca="1">Log_2019[[#This Row],[Amount]]/Log_2019[[#This Row],[Split_raw]]*MAX(0,MIN(_xlfn.DAYS(EDATE(U$1,1),Log_2019[[#This Row],[Date]]),Log_2019[[#This Row],[Split_apply]])) - SUM($O267:T267)</f>
        <v>0</v>
      </c>
      <c r="V267" s="52">
        <f ca="1">Log_2019[[#This Row],[Amount]]/Log_2019[[#This Row],[Split_raw]]*MAX(0,MIN(_xlfn.DAYS(EDATE(V$1,1),Log_2019[[#This Row],[Date]]),Log_2019[[#This Row],[Split_apply]])) - SUM($O267:U267)</f>
        <v>0</v>
      </c>
      <c r="W267" s="52">
        <f ca="1">Log_2019[[#This Row],[Amount]]/Log_2019[[#This Row],[Split_raw]]*MAX(0,MIN(_xlfn.DAYS(EDATE(W$1,1),Log_2019[[#This Row],[Date]]),Log_2019[[#This Row],[Split_apply]])) - SUM($O267:V267)</f>
        <v>-5.99</v>
      </c>
      <c r="X267" s="52">
        <f ca="1">Log_2019[[#This Row],[Amount]]/Log_2019[[#This Row],[Split_raw]]*MAX(0,MIN(_xlfn.DAYS(EDATE(X$1,1),Log_2019[[#This Row],[Date]]),Log_2019[[#This Row],[Split_apply]])) - SUM($O267:W267)</f>
        <v>0</v>
      </c>
      <c r="Y267" s="52">
        <f ca="1">Log_2019[[#This Row],[Amount]]/Log_2019[[#This Row],[Split_raw]]*MAX(0,MIN(_xlfn.DAYS(EDATE(Y$1,1),Log_2019[[#This Row],[Date]]),Log_2019[[#This Row],[Split_apply]])) - SUM($O267:X267)</f>
        <v>0</v>
      </c>
      <c r="Z267" s="52">
        <f ca="1">Log_2019[[#This Row],[Amount]]/Log_2019[[#This Row],[Split_raw]]*MAX(0,MIN(_xlfn.DAYS(EDATE(Z$1,1),Log_2019[[#This Row],[Date]]),Log_2019[[#This Row],[Split_apply]])) - SUM($O267:Y267)</f>
        <v>0</v>
      </c>
      <c r="AA267" s="52">
        <f ca="1">Log_2019[[#This Row],[Amount]]/Log_2019[[#This Row],[Split_raw]]*MAX(0,MIN(_xlfn.DAYS(EDATE(AA$1,1),Log_2019[[#This Row],[Date]]),Log_2019[[#This Row],[Split_apply]])) - SUM($O267:Z267)</f>
        <v>0</v>
      </c>
      <c r="AB267" s="54">
        <f ca="1">Log_2019[[#This Row],[Amount]]-SUM(O267:AA267)</f>
        <v>0</v>
      </c>
      <c r="AC267" s="7">
        <f>MAX(0,Log_2019[[#This Row],[Split_raw]] - (EDATE(AA$1,1)-Log_2019[[#This Row],[Date]]))</f>
        <v>0</v>
      </c>
    </row>
    <row r="268" spans="1:29" x14ac:dyDescent="0.25">
      <c r="A268" s="42"/>
      <c r="B268" s="34" t="s">
        <v>6</v>
      </c>
      <c r="C268" s="34"/>
      <c r="D268" s="35">
        <v>43696</v>
      </c>
      <c r="E268" s="34"/>
      <c r="F268" s="34" t="s">
        <v>675</v>
      </c>
      <c r="G268" s="34" t="s">
        <v>19</v>
      </c>
      <c r="H268">
        <v>-25.25</v>
      </c>
      <c r="I268" s="36">
        <f>IF(Log_2019[[#This Row],[My Category]]="NONTRACKED",0,Log_2019[[#This Row],[Raw Amount]])</f>
        <v>-25.25</v>
      </c>
      <c r="J268" s="37">
        <f>ABS(Log_2019[[#This Row],[Amount]])</f>
        <v>25.25</v>
      </c>
      <c r="K268" s="38">
        <v>1</v>
      </c>
      <c r="L268" s="38">
        <f ca="1">IF(Log_2019[[#This Row],[Date]]&lt;=TODAY(), MIN(Log_2019[[#This Row],[Split_raw]], TODAY()-Log_2019[[#This Row],[Date]]+1), 0)</f>
        <v>1</v>
      </c>
      <c r="M268" s="34" t="s">
        <v>35</v>
      </c>
      <c r="N268" s="34" t="s">
        <v>158</v>
      </c>
      <c r="O268" s="7">
        <v>0</v>
      </c>
      <c r="P268" s="52">
        <f ca="1">Log_2019[[#This Row],[Amount]]/Log_2019[[#This Row],[Split_raw]]*MAX(0,MIN(_xlfn.DAYS(EDATE(P$1,1),Log_2019[[#This Row],[Date]]),Log_2019[[#This Row],[Split_apply]])) - SUM($O268:O268)</f>
        <v>0</v>
      </c>
      <c r="Q268" s="52">
        <f ca="1">Log_2019[[#This Row],[Amount]]/Log_2019[[#This Row],[Split_raw]]*MAX(0,MIN(_xlfn.DAYS(EDATE(Q$1,1),Log_2019[[#This Row],[Date]]),Log_2019[[#This Row],[Split_apply]])) - SUM($O268:P268)</f>
        <v>0</v>
      </c>
      <c r="R268" s="52">
        <f ca="1">Log_2019[[#This Row],[Amount]]/Log_2019[[#This Row],[Split_raw]]*MAX(0,MIN(_xlfn.DAYS(EDATE(R$1,1),Log_2019[[#This Row],[Date]]),Log_2019[[#This Row],[Split_apply]])) - SUM($O268:Q268)</f>
        <v>0</v>
      </c>
      <c r="S268" s="52">
        <f ca="1">Log_2019[[#This Row],[Amount]]/Log_2019[[#This Row],[Split_raw]]*MAX(0,MIN(_xlfn.DAYS(EDATE(S$1,1),Log_2019[[#This Row],[Date]]),Log_2019[[#This Row],[Split_apply]])) - SUM($O268:R268)</f>
        <v>0</v>
      </c>
      <c r="T268" s="52">
        <f ca="1">Log_2019[[#This Row],[Amount]]/Log_2019[[#This Row],[Split_raw]]*MAX(0,MIN(_xlfn.DAYS(EDATE(T$1,1),Log_2019[[#This Row],[Date]]),Log_2019[[#This Row],[Split_apply]])) - SUM($O268:S268)</f>
        <v>0</v>
      </c>
      <c r="U268" s="52">
        <f ca="1">Log_2019[[#This Row],[Amount]]/Log_2019[[#This Row],[Split_raw]]*MAX(0,MIN(_xlfn.DAYS(EDATE(U$1,1),Log_2019[[#This Row],[Date]]),Log_2019[[#This Row],[Split_apply]])) - SUM($O268:T268)</f>
        <v>0</v>
      </c>
      <c r="V268" s="52">
        <f ca="1">Log_2019[[#This Row],[Amount]]/Log_2019[[#This Row],[Split_raw]]*MAX(0,MIN(_xlfn.DAYS(EDATE(V$1,1),Log_2019[[#This Row],[Date]]),Log_2019[[#This Row],[Split_apply]])) - SUM($O268:U268)</f>
        <v>0</v>
      </c>
      <c r="W268" s="52">
        <f ca="1">Log_2019[[#This Row],[Amount]]/Log_2019[[#This Row],[Split_raw]]*MAX(0,MIN(_xlfn.DAYS(EDATE(W$1,1),Log_2019[[#This Row],[Date]]),Log_2019[[#This Row],[Split_apply]])) - SUM($O268:V268)</f>
        <v>-25.25</v>
      </c>
      <c r="X268" s="52">
        <f ca="1">Log_2019[[#This Row],[Amount]]/Log_2019[[#This Row],[Split_raw]]*MAX(0,MIN(_xlfn.DAYS(EDATE(X$1,1),Log_2019[[#This Row],[Date]]),Log_2019[[#This Row],[Split_apply]])) - SUM($O268:W268)</f>
        <v>0</v>
      </c>
      <c r="Y268" s="52">
        <f ca="1">Log_2019[[#This Row],[Amount]]/Log_2019[[#This Row],[Split_raw]]*MAX(0,MIN(_xlfn.DAYS(EDATE(Y$1,1),Log_2019[[#This Row],[Date]]),Log_2019[[#This Row],[Split_apply]])) - SUM($O268:X268)</f>
        <v>0</v>
      </c>
      <c r="Z268" s="52">
        <f ca="1">Log_2019[[#This Row],[Amount]]/Log_2019[[#This Row],[Split_raw]]*MAX(0,MIN(_xlfn.DAYS(EDATE(Z$1,1),Log_2019[[#This Row],[Date]]),Log_2019[[#This Row],[Split_apply]])) - SUM($O268:Y268)</f>
        <v>0</v>
      </c>
      <c r="AA268" s="52">
        <f ca="1">Log_2019[[#This Row],[Amount]]/Log_2019[[#This Row],[Split_raw]]*MAX(0,MIN(_xlfn.DAYS(EDATE(AA$1,1),Log_2019[[#This Row],[Date]]),Log_2019[[#This Row],[Split_apply]])) - SUM($O268:Z268)</f>
        <v>0</v>
      </c>
      <c r="AB268" s="54">
        <f ca="1">Log_2019[[#This Row],[Amount]]-SUM(O268:AA268)</f>
        <v>0</v>
      </c>
      <c r="AC268" s="7">
        <f>MAX(0,Log_2019[[#This Row],[Split_raw]] - (EDATE(AA$1,1)-Log_2019[[#This Row],[Date]]))</f>
        <v>0</v>
      </c>
    </row>
    <row r="269" spans="1:29" x14ac:dyDescent="0.25">
      <c r="A269" s="42"/>
      <c r="B269" s="34" t="s">
        <v>6</v>
      </c>
      <c r="C269" s="34"/>
      <c r="D269" s="35">
        <v>43693</v>
      </c>
      <c r="E269" s="34"/>
      <c r="F269" s="34" t="s">
        <v>676</v>
      </c>
      <c r="G269" s="34" t="s">
        <v>25</v>
      </c>
      <c r="H269">
        <v>-10.36</v>
      </c>
      <c r="I269" s="36">
        <f>IF(Log_2019[[#This Row],[My Category]]="NONTRACKED",0,Log_2019[[#This Row],[Raw Amount]])</f>
        <v>-10.36</v>
      </c>
      <c r="J269" s="37">
        <f>ABS(Log_2019[[#This Row],[Amount]])</f>
        <v>10.36</v>
      </c>
      <c r="K269" s="38">
        <v>1</v>
      </c>
      <c r="L269" s="38">
        <f ca="1">IF(Log_2019[[#This Row],[Date]]&lt;=TODAY(), MIN(Log_2019[[#This Row],[Split_raw]], TODAY()-Log_2019[[#This Row],[Date]]+1), 0)</f>
        <v>1</v>
      </c>
      <c r="M269" s="34" t="s">
        <v>35</v>
      </c>
      <c r="N269" s="34" t="s">
        <v>158</v>
      </c>
      <c r="O269" s="7">
        <v>0</v>
      </c>
      <c r="P269" s="52">
        <f ca="1">Log_2019[[#This Row],[Amount]]/Log_2019[[#This Row],[Split_raw]]*MAX(0,MIN(_xlfn.DAYS(EDATE(P$1,1),Log_2019[[#This Row],[Date]]),Log_2019[[#This Row],[Split_apply]])) - SUM($O269:O269)</f>
        <v>0</v>
      </c>
      <c r="Q269" s="52">
        <f ca="1">Log_2019[[#This Row],[Amount]]/Log_2019[[#This Row],[Split_raw]]*MAX(0,MIN(_xlfn.DAYS(EDATE(Q$1,1),Log_2019[[#This Row],[Date]]),Log_2019[[#This Row],[Split_apply]])) - SUM($O269:P269)</f>
        <v>0</v>
      </c>
      <c r="R269" s="52">
        <f ca="1">Log_2019[[#This Row],[Amount]]/Log_2019[[#This Row],[Split_raw]]*MAX(0,MIN(_xlfn.DAYS(EDATE(R$1,1),Log_2019[[#This Row],[Date]]),Log_2019[[#This Row],[Split_apply]])) - SUM($O269:Q269)</f>
        <v>0</v>
      </c>
      <c r="S269" s="52">
        <f ca="1">Log_2019[[#This Row],[Amount]]/Log_2019[[#This Row],[Split_raw]]*MAX(0,MIN(_xlfn.DAYS(EDATE(S$1,1),Log_2019[[#This Row],[Date]]),Log_2019[[#This Row],[Split_apply]])) - SUM($O269:R269)</f>
        <v>0</v>
      </c>
      <c r="T269" s="52">
        <f ca="1">Log_2019[[#This Row],[Amount]]/Log_2019[[#This Row],[Split_raw]]*MAX(0,MIN(_xlfn.DAYS(EDATE(T$1,1),Log_2019[[#This Row],[Date]]),Log_2019[[#This Row],[Split_apply]])) - SUM($O269:S269)</f>
        <v>0</v>
      </c>
      <c r="U269" s="52">
        <f ca="1">Log_2019[[#This Row],[Amount]]/Log_2019[[#This Row],[Split_raw]]*MAX(0,MIN(_xlfn.DAYS(EDATE(U$1,1),Log_2019[[#This Row],[Date]]),Log_2019[[#This Row],[Split_apply]])) - SUM($O269:T269)</f>
        <v>0</v>
      </c>
      <c r="V269" s="52">
        <f ca="1">Log_2019[[#This Row],[Amount]]/Log_2019[[#This Row],[Split_raw]]*MAX(0,MIN(_xlfn.DAYS(EDATE(V$1,1),Log_2019[[#This Row],[Date]]),Log_2019[[#This Row],[Split_apply]])) - SUM($O269:U269)</f>
        <v>0</v>
      </c>
      <c r="W269" s="52">
        <f ca="1">Log_2019[[#This Row],[Amount]]/Log_2019[[#This Row],[Split_raw]]*MAX(0,MIN(_xlfn.DAYS(EDATE(W$1,1),Log_2019[[#This Row],[Date]]),Log_2019[[#This Row],[Split_apply]])) - SUM($O269:V269)</f>
        <v>-10.36</v>
      </c>
      <c r="X269" s="52">
        <f ca="1">Log_2019[[#This Row],[Amount]]/Log_2019[[#This Row],[Split_raw]]*MAX(0,MIN(_xlfn.DAYS(EDATE(X$1,1),Log_2019[[#This Row],[Date]]),Log_2019[[#This Row],[Split_apply]])) - SUM($O269:W269)</f>
        <v>0</v>
      </c>
      <c r="Y269" s="52">
        <f ca="1">Log_2019[[#This Row],[Amount]]/Log_2019[[#This Row],[Split_raw]]*MAX(0,MIN(_xlfn.DAYS(EDATE(Y$1,1),Log_2019[[#This Row],[Date]]),Log_2019[[#This Row],[Split_apply]])) - SUM($O269:X269)</f>
        <v>0</v>
      </c>
      <c r="Z269" s="52">
        <f ca="1">Log_2019[[#This Row],[Amount]]/Log_2019[[#This Row],[Split_raw]]*MAX(0,MIN(_xlfn.DAYS(EDATE(Z$1,1),Log_2019[[#This Row],[Date]]),Log_2019[[#This Row],[Split_apply]])) - SUM($O269:Y269)</f>
        <v>0</v>
      </c>
      <c r="AA269" s="52">
        <f ca="1">Log_2019[[#This Row],[Amount]]/Log_2019[[#This Row],[Split_raw]]*MAX(0,MIN(_xlfn.DAYS(EDATE(AA$1,1),Log_2019[[#This Row],[Date]]),Log_2019[[#This Row],[Split_apply]])) - SUM($O269:Z269)</f>
        <v>0</v>
      </c>
      <c r="AB269" s="54">
        <f ca="1">Log_2019[[#This Row],[Amount]]-SUM(O269:AA269)</f>
        <v>0</v>
      </c>
      <c r="AC269" s="7">
        <f>MAX(0,Log_2019[[#This Row],[Split_raw]] - (EDATE(AA$1,1)-Log_2019[[#This Row],[Date]]))</f>
        <v>0</v>
      </c>
    </row>
    <row r="270" spans="1:29" x14ac:dyDescent="0.25">
      <c r="A270" s="42"/>
      <c r="B270" s="34" t="s">
        <v>6</v>
      </c>
      <c r="C270" s="34"/>
      <c r="D270" s="35">
        <v>43693</v>
      </c>
      <c r="E270" s="34"/>
      <c r="F270" s="34" t="s">
        <v>255</v>
      </c>
      <c r="G270" s="34" t="s">
        <v>10</v>
      </c>
      <c r="H270">
        <v>-4.18</v>
      </c>
      <c r="I270" s="36">
        <f>IF(Log_2019[[#This Row],[My Category]]="NONTRACKED",0,Log_2019[[#This Row],[Raw Amount]])</f>
        <v>-4.18</v>
      </c>
      <c r="J270" s="37">
        <f>ABS(Log_2019[[#This Row],[Amount]])</f>
        <v>4.18</v>
      </c>
      <c r="K270" s="38">
        <v>1</v>
      </c>
      <c r="L270" s="38">
        <f ca="1">IF(Log_2019[[#This Row],[Date]]&lt;=TODAY(), MIN(Log_2019[[#This Row],[Split_raw]], TODAY()-Log_2019[[#This Row],[Date]]+1), 0)</f>
        <v>1</v>
      </c>
      <c r="M270" s="34" t="s">
        <v>35</v>
      </c>
      <c r="N270" s="34" t="s">
        <v>158</v>
      </c>
      <c r="O270" s="7">
        <v>0</v>
      </c>
      <c r="P270" s="52">
        <f ca="1">Log_2019[[#This Row],[Amount]]/Log_2019[[#This Row],[Split_raw]]*MAX(0,MIN(_xlfn.DAYS(EDATE(P$1,1),Log_2019[[#This Row],[Date]]),Log_2019[[#This Row],[Split_apply]])) - SUM($O270:O270)</f>
        <v>0</v>
      </c>
      <c r="Q270" s="52">
        <f ca="1">Log_2019[[#This Row],[Amount]]/Log_2019[[#This Row],[Split_raw]]*MAX(0,MIN(_xlfn.DAYS(EDATE(Q$1,1),Log_2019[[#This Row],[Date]]),Log_2019[[#This Row],[Split_apply]])) - SUM($O270:P270)</f>
        <v>0</v>
      </c>
      <c r="R270" s="52">
        <f ca="1">Log_2019[[#This Row],[Amount]]/Log_2019[[#This Row],[Split_raw]]*MAX(0,MIN(_xlfn.DAYS(EDATE(R$1,1),Log_2019[[#This Row],[Date]]),Log_2019[[#This Row],[Split_apply]])) - SUM($O270:Q270)</f>
        <v>0</v>
      </c>
      <c r="S270" s="52">
        <f ca="1">Log_2019[[#This Row],[Amount]]/Log_2019[[#This Row],[Split_raw]]*MAX(0,MIN(_xlfn.DAYS(EDATE(S$1,1),Log_2019[[#This Row],[Date]]),Log_2019[[#This Row],[Split_apply]])) - SUM($O270:R270)</f>
        <v>0</v>
      </c>
      <c r="T270" s="52">
        <f ca="1">Log_2019[[#This Row],[Amount]]/Log_2019[[#This Row],[Split_raw]]*MAX(0,MIN(_xlfn.DAYS(EDATE(T$1,1),Log_2019[[#This Row],[Date]]),Log_2019[[#This Row],[Split_apply]])) - SUM($O270:S270)</f>
        <v>0</v>
      </c>
      <c r="U270" s="52">
        <f ca="1">Log_2019[[#This Row],[Amount]]/Log_2019[[#This Row],[Split_raw]]*MAX(0,MIN(_xlfn.DAYS(EDATE(U$1,1),Log_2019[[#This Row],[Date]]),Log_2019[[#This Row],[Split_apply]])) - SUM($O270:T270)</f>
        <v>0</v>
      </c>
      <c r="V270" s="52">
        <f ca="1">Log_2019[[#This Row],[Amount]]/Log_2019[[#This Row],[Split_raw]]*MAX(0,MIN(_xlfn.DAYS(EDATE(V$1,1),Log_2019[[#This Row],[Date]]),Log_2019[[#This Row],[Split_apply]])) - SUM($O270:U270)</f>
        <v>0</v>
      </c>
      <c r="W270" s="52">
        <f ca="1">Log_2019[[#This Row],[Amount]]/Log_2019[[#This Row],[Split_raw]]*MAX(0,MIN(_xlfn.DAYS(EDATE(W$1,1),Log_2019[[#This Row],[Date]]),Log_2019[[#This Row],[Split_apply]])) - SUM($O270:V270)</f>
        <v>-4.18</v>
      </c>
      <c r="X270" s="52">
        <f ca="1">Log_2019[[#This Row],[Amount]]/Log_2019[[#This Row],[Split_raw]]*MAX(0,MIN(_xlfn.DAYS(EDATE(X$1,1),Log_2019[[#This Row],[Date]]),Log_2019[[#This Row],[Split_apply]])) - SUM($O270:W270)</f>
        <v>0</v>
      </c>
      <c r="Y270" s="52">
        <f ca="1">Log_2019[[#This Row],[Amount]]/Log_2019[[#This Row],[Split_raw]]*MAX(0,MIN(_xlfn.DAYS(EDATE(Y$1,1),Log_2019[[#This Row],[Date]]),Log_2019[[#This Row],[Split_apply]])) - SUM($O270:X270)</f>
        <v>0</v>
      </c>
      <c r="Z270" s="52">
        <f ca="1">Log_2019[[#This Row],[Amount]]/Log_2019[[#This Row],[Split_raw]]*MAX(0,MIN(_xlfn.DAYS(EDATE(Z$1,1),Log_2019[[#This Row],[Date]]),Log_2019[[#This Row],[Split_apply]])) - SUM($O270:Y270)</f>
        <v>0</v>
      </c>
      <c r="AA270" s="52">
        <f ca="1">Log_2019[[#This Row],[Amount]]/Log_2019[[#This Row],[Split_raw]]*MAX(0,MIN(_xlfn.DAYS(EDATE(AA$1,1),Log_2019[[#This Row],[Date]]),Log_2019[[#This Row],[Split_apply]])) - SUM($O270:Z270)</f>
        <v>0</v>
      </c>
      <c r="AB270" s="54">
        <f ca="1">Log_2019[[#This Row],[Amount]]-SUM(O270:AA270)</f>
        <v>0</v>
      </c>
      <c r="AC270" s="7">
        <f>MAX(0,Log_2019[[#This Row],[Split_raw]] - (EDATE(AA$1,1)-Log_2019[[#This Row],[Date]]))</f>
        <v>0</v>
      </c>
    </row>
    <row r="271" spans="1:29" x14ac:dyDescent="0.25">
      <c r="A271" s="42"/>
      <c r="B271" s="34" t="s">
        <v>6</v>
      </c>
      <c r="C271" s="34"/>
      <c r="D271" s="35">
        <v>43693</v>
      </c>
      <c r="E271" s="34"/>
      <c r="F271" s="34" t="s">
        <v>682</v>
      </c>
      <c r="G271" s="34" t="s">
        <v>29</v>
      </c>
      <c r="H271">
        <v>-71.45</v>
      </c>
      <c r="I271" s="36">
        <f>IF(Log_2019[[#This Row],[My Category]]="NONTRACKED",0,Log_2019[[#This Row],[Raw Amount]])</f>
        <v>-71.45</v>
      </c>
      <c r="J271" s="37">
        <f>ABS(Log_2019[[#This Row],[Amount]])</f>
        <v>71.45</v>
      </c>
      <c r="K271" s="38">
        <v>30</v>
      </c>
      <c r="L271" s="38">
        <f ca="1">IF(Log_2019[[#This Row],[Date]]&lt;=TODAY(), MIN(Log_2019[[#This Row],[Split_raw]], TODAY()-Log_2019[[#This Row],[Date]]+1), 0)</f>
        <v>30</v>
      </c>
      <c r="M271" s="34" t="s">
        <v>29</v>
      </c>
      <c r="N271" s="34" t="s">
        <v>160</v>
      </c>
      <c r="O271" s="7">
        <v>0</v>
      </c>
      <c r="P271" s="52">
        <f ca="1">Log_2019[[#This Row],[Amount]]/Log_2019[[#This Row],[Split_raw]]*MAX(0,MIN(_xlfn.DAYS(EDATE(P$1,1),Log_2019[[#This Row],[Date]]),Log_2019[[#This Row],[Split_apply]])) - SUM($O271:O271)</f>
        <v>0</v>
      </c>
      <c r="Q271" s="52">
        <f ca="1">Log_2019[[#This Row],[Amount]]/Log_2019[[#This Row],[Split_raw]]*MAX(0,MIN(_xlfn.DAYS(EDATE(Q$1,1),Log_2019[[#This Row],[Date]]),Log_2019[[#This Row],[Split_apply]])) - SUM($O271:P271)</f>
        <v>0</v>
      </c>
      <c r="R271" s="52">
        <f ca="1">Log_2019[[#This Row],[Amount]]/Log_2019[[#This Row],[Split_raw]]*MAX(0,MIN(_xlfn.DAYS(EDATE(R$1,1),Log_2019[[#This Row],[Date]]),Log_2019[[#This Row],[Split_apply]])) - SUM($O271:Q271)</f>
        <v>0</v>
      </c>
      <c r="S271" s="52">
        <f ca="1">Log_2019[[#This Row],[Amount]]/Log_2019[[#This Row],[Split_raw]]*MAX(0,MIN(_xlfn.DAYS(EDATE(S$1,1),Log_2019[[#This Row],[Date]]),Log_2019[[#This Row],[Split_apply]])) - SUM($O271:R271)</f>
        <v>0</v>
      </c>
      <c r="T271" s="52">
        <f ca="1">Log_2019[[#This Row],[Amount]]/Log_2019[[#This Row],[Split_raw]]*MAX(0,MIN(_xlfn.DAYS(EDATE(T$1,1),Log_2019[[#This Row],[Date]]),Log_2019[[#This Row],[Split_apply]])) - SUM($O271:S271)</f>
        <v>0</v>
      </c>
      <c r="U271" s="52">
        <f ca="1">Log_2019[[#This Row],[Amount]]/Log_2019[[#This Row],[Split_raw]]*MAX(0,MIN(_xlfn.DAYS(EDATE(U$1,1),Log_2019[[#This Row],[Date]]),Log_2019[[#This Row],[Split_apply]])) - SUM($O271:T271)</f>
        <v>0</v>
      </c>
      <c r="V271" s="52">
        <f ca="1">Log_2019[[#This Row],[Amount]]/Log_2019[[#This Row],[Split_raw]]*MAX(0,MIN(_xlfn.DAYS(EDATE(V$1,1),Log_2019[[#This Row],[Date]]),Log_2019[[#This Row],[Split_apply]])) - SUM($O271:U271)</f>
        <v>0</v>
      </c>
      <c r="W271" s="52">
        <f ca="1">Log_2019[[#This Row],[Amount]]/Log_2019[[#This Row],[Split_raw]]*MAX(0,MIN(_xlfn.DAYS(EDATE(W$1,1),Log_2019[[#This Row],[Date]]),Log_2019[[#This Row],[Split_apply]])) - SUM($O271:V271)</f>
        <v>-38.106666666666669</v>
      </c>
      <c r="X271" s="52">
        <f ca="1">Log_2019[[#This Row],[Amount]]/Log_2019[[#This Row],[Split_raw]]*MAX(0,MIN(_xlfn.DAYS(EDATE(X$1,1),Log_2019[[#This Row],[Date]]),Log_2019[[#This Row],[Split_apply]])) - SUM($O271:W271)</f>
        <v>-33.343333333333334</v>
      </c>
      <c r="Y271" s="52">
        <f ca="1">Log_2019[[#This Row],[Amount]]/Log_2019[[#This Row],[Split_raw]]*MAX(0,MIN(_xlfn.DAYS(EDATE(Y$1,1),Log_2019[[#This Row],[Date]]),Log_2019[[#This Row],[Split_apply]])) - SUM($O271:X271)</f>
        <v>0</v>
      </c>
      <c r="Z271" s="52">
        <f ca="1">Log_2019[[#This Row],[Amount]]/Log_2019[[#This Row],[Split_raw]]*MAX(0,MIN(_xlfn.DAYS(EDATE(Z$1,1),Log_2019[[#This Row],[Date]]),Log_2019[[#This Row],[Split_apply]])) - SUM($O271:Y271)</f>
        <v>0</v>
      </c>
      <c r="AA271" s="52">
        <f ca="1">Log_2019[[#This Row],[Amount]]/Log_2019[[#This Row],[Split_raw]]*MAX(0,MIN(_xlfn.DAYS(EDATE(AA$1,1),Log_2019[[#This Row],[Date]]),Log_2019[[#This Row],[Split_apply]])) - SUM($O271:Z271)</f>
        <v>0</v>
      </c>
      <c r="AB271" s="54">
        <f ca="1">Log_2019[[#This Row],[Amount]]-SUM(O271:AA271)</f>
        <v>0</v>
      </c>
      <c r="AC271" s="7">
        <f>MAX(0,Log_2019[[#This Row],[Split_raw]] - (EDATE(AA$1,1)-Log_2019[[#This Row],[Date]]))</f>
        <v>0</v>
      </c>
    </row>
    <row r="272" spans="1:29" x14ac:dyDescent="0.25">
      <c r="A272" s="42"/>
      <c r="B272" s="34" t="s">
        <v>6</v>
      </c>
      <c r="C272" s="34"/>
      <c r="D272" s="35">
        <v>43692</v>
      </c>
      <c r="E272" s="34"/>
      <c r="F272" s="34" t="s">
        <v>398</v>
      </c>
      <c r="G272" s="34" t="s">
        <v>25</v>
      </c>
      <c r="H272">
        <v>-14.37</v>
      </c>
      <c r="I272" s="36">
        <f>IF(Log_2019[[#This Row],[My Category]]="NONTRACKED",0,Log_2019[[#This Row],[Raw Amount]])</f>
        <v>-14.37</v>
      </c>
      <c r="J272" s="37">
        <f>ABS(Log_2019[[#This Row],[Amount]])</f>
        <v>14.37</v>
      </c>
      <c r="K272" s="38">
        <v>1</v>
      </c>
      <c r="L272" s="38">
        <f ca="1">IF(Log_2019[[#This Row],[Date]]&lt;=TODAY(), MIN(Log_2019[[#This Row],[Split_raw]], TODAY()-Log_2019[[#This Row],[Date]]+1), 0)</f>
        <v>1</v>
      </c>
      <c r="M272" s="34" t="s">
        <v>35</v>
      </c>
      <c r="N272" s="34" t="s">
        <v>158</v>
      </c>
      <c r="O272" s="7">
        <v>0</v>
      </c>
      <c r="P272" s="52">
        <f ca="1">Log_2019[[#This Row],[Amount]]/Log_2019[[#This Row],[Split_raw]]*MAX(0,MIN(_xlfn.DAYS(EDATE(P$1,1),Log_2019[[#This Row],[Date]]),Log_2019[[#This Row],[Split_apply]])) - SUM($O272:O272)</f>
        <v>0</v>
      </c>
      <c r="Q272" s="52">
        <f ca="1">Log_2019[[#This Row],[Amount]]/Log_2019[[#This Row],[Split_raw]]*MAX(0,MIN(_xlfn.DAYS(EDATE(Q$1,1),Log_2019[[#This Row],[Date]]),Log_2019[[#This Row],[Split_apply]])) - SUM($O272:P272)</f>
        <v>0</v>
      </c>
      <c r="R272" s="52">
        <f ca="1">Log_2019[[#This Row],[Amount]]/Log_2019[[#This Row],[Split_raw]]*MAX(0,MIN(_xlfn.DAYS(EDATE(R$1,1),Log_2019[[#This Row],[Date]]),Log_2019[[#This Row],[Split_apply]])) - SUM($O272:Q272)</f>
        <v>0</v>
      </c>
      <c r="S272" s="52">
        <f ca="1">Log_2019[[#This Row],[Amount]]/Log_2019[[#This Row],[Split_raw]]*MAX(0,MIN(_xlfn.DAYS(EDATE(S$1,1),Log_2019[[#This Row],[Date]]),Log_2019[[#This Row],[Split_apply]])) - SUM($O272:R272)</f>
        <v>0</v>
      </c>
      <c r="T272" s="52">
        <f ca="1">Log_2019[[#This Row],[Amount]]/Log_2019[[#This Row],[Split_raw]]*MAX(0,MIN(_xlfn.DAYS(EDATE(T$1,1),Log_2019[[#This Row],[Date]]),Log_2019[[#This Row],[Split_apply]])) - SUM($O272:S272)</f>
        <v>0</v>
      </c>
      <c r="U272" s="52">
        <f ca="1">Log_2019[[#This Row],[Amount]]/Log_2019[[#This Row],[Split_raw]]*MAX(0,MIN(_xlfn.DAYS(EDATE(U$1,1),Log_2019[[#This Row],[Date]]),Log_2019[[#This Row],[Split_apply]])) - SUM($O272:T272)</f>
        <v>0</v>
      </c>
      <c r="V272" s="52">
        <f ca="1">Log_2019[[#This Row],[Amount]]/Log_2019[[#This Row],[Split_raw]]*MAX(0,MIN(_xlfn.DAYS(EDATE(V$1,1),Log_2019[[#This Row],[Date]]),Log_2019[[#This Row],[Split_apply]])) - SUM($O272:U272)</f>
        <v>0</v>
      </c>
      <c r="W272" s="52">
        <f ca="1">Log_2019[[#This Row],[Amount]]/Log_2019[[#This Row],[Split_raw]]*MAX(0,MIN(_xlfn.DAYS(EDATE(W$1,1),Log_2019[[#This Row],[Date]]),Log_2019[[#This Row],[Split_apply]])) - SUM($O272:V272)</f>
        <v>-14.37</v>
      </c>
      <c r="X272" s="52">
        <f ca="1">Log_2019[[#This Row],[Amount]]/Log_2019[[#This Row],[Split_raw]]*MAX(0,MIN(_xlfn.DAYS(EDATE(X$1,1),Log_2019[[#This Row],[Date]]),Log_2019[[#This Row],[Split_apply]])) - SUM($O272:W272)</f>
        <v>0</v>
      </c>
      <c r="Y272" s="52">
        <f ca="1">Log_2019[[#This Row],[Amount]]/Log_2019[[#This Row],[Split_raw]]*MAX(0,MIN(_xlfn.DAYS(EDATE(Y$1,1),Log_2019[[#This Row],[Date]]),Log_2019[[#This Row],[Split_apply]])) - SUM($O272:X272)</f>
        <v>0</v>
      </c>
      <c r="Z272" s="52">
        <f ca="1">Log_2019[[#This Row],[Amount]]/Log_2019[[#This Row],[Split_raw]]*MAX(0,MIN(_xlfn.DAYS(EDATE(Z$1,1),Log_2019[[#This Row],[Date]]),Log_2019[[#This Row],[Split_apply]])) - SUM($O272:Y272)</f>
        <v>0</v>
      </c>
      <c r="AA272" s="52">
        <f ca="1">Log_2019[[#This Row],[Amount]]/Log_2019[[#This Row],[Split_raw]]*MAX(0,MIN(_xlfn.DAYS(EDATE(AA$1,1),Log_2019[[#This Row],[Date]]),Log_2019[[#This Row],[Split_apply]])) - SUM($O272:Z272)</f>
        <v>0</v>
      </c>
      <c r="AB272" s="54">
        <f ca="1">Log_2019[[#This Row],[Amount]]-SUM(O272:AA272)</f>
        <v>0</v>
      </c>
      <c r="AC272" s="7">
        <f>MAX(0,Log_2019[[#This Row],[Split_raw]] - (EDATE(AA$1,1)-Log_2019[[#This Row],[Date]]))</f>
        <v>0</v>
      </c>
    </row>
    <row r="273" spans="1:29" x14ac:dyDescent="0.25">
      <c r="A273" s="42"/>
      <c r="B273" s="34" t="s">
        <v>6</v>
      </c>
      <c r="C273" s="34"/>
      <c r="D273" s="35">
        <v>43692</v>
      </c>
      <c r="E273" s="34"/>
      <c r="F273" s="34" t="s">
        <v>242</v>
      </c>
      <c r="G273" s="34" t="s">
        <v>87</v>
      </c>
      <c r="H273">
        <f>--0.61</f>
        <v>0.61</v>
      </c>
      <c r="I273" s="36">
        <f>IF(Log_2019[[#This Row],[My Category]]="NONTRACKED",0,Log_2019[[#This Row],[Raw Amount]])</f>
        <v>0.61</v>
      </c>
      <c r="J273" s="37">
        <f>ABS(Log_2019[[#This Row],[Amount]])</f>
        <v>0.61</v>
      </c>
      <c r="K273" s="38">
        <v>1</v>
      </c>
      <c r="L273" s="38">
        <f ca="1">IF(Log_2019[[#This Row],[Date]]&lt;=TODAY(), MIN(Log_2019[[#This Row],[Split_raw]], TODAY()-Log_2019[[#This Row],[Date]]+1), 0)</f>
        <v>1</v>
      </c>
      <c r="M273" s="34" t="s">
        <v>144</v>
      </c>
      <c r="N273" s="34" t="s">
        <v>160</v>
      </c>
      <c r="O273" s="7">
        <v>0</v>
      </c>
      <c r="P273" s="52">
        <f ca="1">Log_2019[[#This Row],[Amount]]/Log_2019[[#This Row],[Split_raw]]*MAX(0,MIN(_xlfn.DAYS(EDATE(P$1,1),Log_2019[[#This Row],[Date]]),Log_2019[[#This Row],[Split_apply]])) - SUM($O273:O273)</f>
        <v>0</v>
      </c>
      <c r="Q273" s="52">
        <f ca="1">Log_2019[[#This Row],[Amount]]/Log_2019[[#This Row],[Split_raw]]*MAX(0,MIN(_xlfn.DAYS(EDATE(Q$1,1),Log_2019[[#This Row],[Date]]),Log_2019[[#This Row],[Split_apply]])) - SUM($O273:P273)</f>
        <v>0</v>
      </c>
      <c r="R273" s="52">
        <f ca="1">Log_2019[[#This Row],[Amount]]/Log_2019[[#This Row],[Split_raw]]*MAX(0,MIN(_xlfn.DAYS(EDATE(R$1,1),Log_2019[[#This Row],[Date]]),Log_2019[[#This Row],[Split_apply]])) - SUM($O273:Q273)</f>
        <v>0</v>
      </c>
      <c r="S273" s="52">
        <f ca="1">Log_2019[[#This Row],[Amount]]/Log_2019[[#This Row],[Split_raw]]*MAX(0,MIN(_xlfn.DAYS(EDATE(S$1,1),Log_2019[[#This Row],[Date]]),Log_2019[[#This Row],[Split_apply]])) - SUM($O273:R273)</f>
        <v>0</v>
      </c>
      <c r="T273" s="52">
        <f ca="1">Log_2019[[#This Row],[Amount]]/Log_2019[[#This Row],[Split_raw]]*MAX(0,MIN(_xlfn.DAYS(EDATE(T$1,1),Log_2019[[#This Row],[Date]]),Log_2019[[#This Row],[Split_apply]])) - SUM($O273:S273)</f>
        <v>0</v>
      </c>
      <c r="U273" s="52">
        <f ca="1">Log_2019[[#This Row],[Amount]]/Log_2019[[#This Row],[Split_raw]]*MAX(0,MIN(_xlfn.DAYS(EDATE(U$1,1),Log_2019[[#This Row],[Date]]),Log_2019[[#This Row],[Split_apply]])) - SUM($O273:T273)</f>
        <v>0</v>
      </c>
      <c r="V273" s="52">
        <f ca="1">Log_2019[[#This Row],[Amount]]/Log_2019[[#This Row],[Split_raw]]*MAX(0,MIN(_xlfn.DAYS(EDATE(V$1,1),Log_2019[[#This Row],[Date]]),Log_2019[[#This Row],[Split_apply]])) - SUM($O273:U273)</f>
        <v>0</v>
      </c>
      <c r="W273" s="52">
        <f ca="1">Log_2019[[#This Row],[Amount]]/Log_2019[[#This Row],[Split_raw]]*MAX(0,MIN(_xlfn.DAYS(EDATE(W$1,1),Log_2019[[#This Row],[Date]]),Log_2019[[#This Row],[Split_apply]])) - SUM($O273:V273)</f>
        <v>0.61</v>
      </c>
      <c r="X273" s="52">
        <f ca="1">Log_2019[[#This Row],[Amount]]/Log_2019[[#This Row],[Split_raw]]*MAX(0,MIN(_xlfn.DAYS(EDATE(X$1,1),Log_2019[[#This Row],[Date]]),Log_2019[[#This Row],[Split_apply]])) - SUM($O273:W273)</f>
        <v>0</v>
      </c>
      <c r="Y273" s="52">
        <f ca="1">Log_2019[[#This Row],[Amount]]/Log_2019[[#This Row],[Split_raw]]*MAX(0,MIN(_xlfn.DAYS(EDATE(Y$1,1),Log_2019[[#This Row],[Date]]),Log_2019[[#This Row],[Split_apply]])) - SUM($O273:X273)</f>
        <v>0</v>
      </c>
      <c r="Z273" s="52">
        <f ca="1">Log_2019[[#This Row],[Amount]]/Log_2019[[#This Row],[Split_raw]]*MAX(0,MIN(_xlfn.DAYS(EDATE(Z$1,1),Log_2019[[#This Row],[Date]]),Log_2019[[#This Row],[Split_apply]])) - SUM($O273:Y273)</f>
        <v>0</v>
      </c>
      <c r="AA273" s="52">
        <f ca="1">Log_2019[[#This Row],[Amount]]/Log_2019[[#This Row],[Split_raw]]*MAX(0,MIN(_xlfn.DAYS(EDATE(AA$1,1),Log_2019[[#This Row],[Date]]),Log_2019[[#This Row],[Split_apply]])) - SUM($O273:Z273)</f>
        <v>0</v>
      </c>
      <c r="AB273" s="54">
        <f ca="1">Log_2019[[#This Row],[Amount]]-SUM(O273:AA273)</f>
        <v>0</v>
      </c>
      <c r="AC273" s="7">
        <f>MAX(0,Log_2019[[#This Row],[Split_raw]] - (EDATE(AA$1,1)-Log_2019[[#This Row],[Date]]))</f>
        <v>0</v>
      </c>
    </row>
    <row r="274" spans="1:29" x14ac:dyDescent="0.25">
      <c r="A274" s="42"/>
      <c r="B274" s="34" t="s">
        <v>6</v>
      </c>
      <c r="C274" s="34"/>
      <c r="D274" s="35">
        <v>43692</v>
      </c>
      <c r="E274" s="34"/>
      <c r="F274" s="34" t="s">
        <v>606</v>
      </c>
      <c r="G274" s="34" t="s">
        <v>80</v>
      </c>
      <c r="H274">
        <f>--1898.47</f>
        <v>1898.47</v>
      </c>
      <c r="I274" s="36">
        <f>IF(Log_2019[[#This Row],[My Category]]="NONTRACKED",0,Log_2019[[#This Row],[Raw Amount]])</f>
        <v>1898.47</v>
      </c>
      <c r="J274" s="37">
        <f>ABS(Log_2019[[#This Row],[Amount]])</f>
        <v>1898.47</v>
      </c>
      <c r="K274" s="38">
        <v>14</v>
      </c>
      <c r="L274" s="38">
        <f ca="1">IF(Log_2019[[#This Row],[Date]]&lt;=TODAY(), MIN(Log_2019[[#This Row],[Split_raw]], TODAY()-Log_2019[[#This Row],[Date]]+1), 0)</f>
        <v>14</v>
      </c>
      <c r="M274" s="34" t="s">
        <v>91</v>
      </c>
      <c r="N274" s="34" t="s">
        <v>160</v>
      </c>
      <c r="O274" s="7">
        <v>0</v>
      </c>
      <c r="P274" s="52">
        <f ca="1">Log_2019[[#This Row],[Amount]]/Log_2019[[#This Row],[Split_raw]]*MAX(0,MIN(_xlfn.DAYS(EDATE(P$1,1),Log_2019[[#This Row],[Date]]),Log_2019[[#This Row],[Split_apply]])) - SUM($O274:O274)</f>
        <v>0</v>
      </c>
      <c r="Q274" s="52">
        <f ca="1">Log_2019[[#This Row],[Amount]]/Log_2019[[#This Row],[Split_raw]]*MAX(0,MIN(_xlfn.DAYS(EDATE(Q$1,1),Log_2019[[#This Row],[Date]]),Log_2019[[#This Row],[Split_apply]])) - SUM($O274:P274)</f>
        <v>0</v>
      </c>
      <c r="R274" s="52">
        <f ca="1">Log_2019[[#This Row],[Amount]]/Log_2019[[#This Row],[Split_raw]]*MAX(0,MIN(_xlfn.DAYS(EDATE(R$1,1),Log_2019[[#This Row],[Date]]),Log_2019[[#This Row],[Split_apply]])) - SUM($O274:Q274)</f>
        <v>0</v>
      </c>
      <c r="S274" s="52">
        <f ca="1">Log_2019[[#This Row],[Amount]]/Log_2019[[#This Row],[Split_raw]]*MAX(0,MIN(_xlfn.DAYS(EDATE(S$1,1),Log_2019[[#This Row],[Date]]),Log_2019[[#This Row],[Split_apply]])) - SUM($O274:R274)</f>
        <v>0</v>
      </c>
      <c r="T274" s="52">
        <f ca="1">Log_2019[[#This Row],[Amount]]/Log_2019[[#This Row],[Split_raw]]*MAX(0,MIN(_xlfn.DAYS(EDATE(T$1,1),Log_2019[[#This Row],[Date]]),Log_2019[[#This Row],[Split_apply]])) - SUM($O274:S274)</f>
        <v>0</v>
      </c>
      <c r="U274" s="52">
        <f ca="1">Log_2019[[#This Row],[Amount]]/Log_2019[[#This Row],[Split_raw]]*MAX(0,MIN(_xlfn.DAYS(EDATE(U$1,1),Log_2019[[#This Row],[Date]]),Log_2019[[#This Row],[Split_apply]])) - SUM($O274:T274)</f>
        <v>0</v>
      </c>
      <c r="V274" s="52">
        <f ca="1">Log_2019[[#This Row],[Amount]]/Log_2019[[#This Row],[Split_raw]]*MAX(0,MIN(_xlfn.DAYS(EDATE(V$1,1),Log_2019[[#This Row],[Date]]),Log_2019[[#This Row],[Split_apply]])) - SUM($O274:U274)</f>
        <v>0</v>
      </c>
      <c r="W274" s="52">
        <f ca="1">Log_2019[[#This Row],[Amount]]/Log_2019[[#This Row],[Split_raw]]*MAX(0,MIN(_xlfn.DAYS(EDATE(W$1,1),Log_2019[[#This Row],[Date]]),Log_2019[[#This Row],[Split_apply]])) - SUM($O274:V274)</f>
        <v>1898.4699999999998</v>
      </c>
      <c r="X274" s="52">
        <f ca="1">Log_2019[[#This Row],[Amount]]/Log_2019[[#This Row],[Split_raw]]*MAX(0,MIN(_xlfn.DAYS(EDATE(X$1,1),Log_2019[[#This Row],[Date]]),Log_2019[[#This Row],[Split_apply]])) - SUM($O274:W274)</f>
        <v>0</v>
      </c>
      <c r="Y274" s="52">
        <f ca="1">Log_2019[[#This Row],[Amount]]/Log_2019[[#This Row],[Split_raw]]*MAX(0,MIN(_xlfn.DAYS(EDATE(Y$1,1),Log_2019[[#This Row],[Date]]),Log_2019[[#This Row],[Split_apply]])) - SUM($O274:X274)</f>
        <v>0</v>
      </c>
      <c r="Z274" s="52">
        <f ca="1">Log_2019[[#This Row],[Amount]]/Log_2019[[#This Row],[Split_raw]]*MAX(0,MIN(_xlfn.DAYS(EDATE(Z$1,1),Log_2019[[#This Row],[Date]]),Log_2019[[#This Row],[Split_apply]])) - SUM($O274:Y274)</f>
        <v>0</v>
      </c>
      <c r="AA274" s="52">
        <f ca="1">Log_2019[[#This Row],[Amount]]/Log_2019[[#This Row],[Split_raw]]*MAX(0,MIN(_xlfn.DAYS(EDATE(AA$1,1),Log_2019[[#This Row],[Date]]),Log_2019[[#This Row],[Split_apply]])) - SUM($O274:Z274)</f>
        <v>0</v>
      </c>
      <c r="AB274" s="54">
        <f ca="1">Log_2019[[#This Row],[Amount]]-SUM(O274:AA274)</f>
        <v>0</v>
      </c>
      <c r="AC274" s="7">
        <f>MAX(0,Log_2019[[#This Row],[Split_raw]] - (EDATE(AA$1,1)-Log_2019[[#This Row],[Date]]))</f>
        <v>0</v>
      </c>
    </row>
    <row r="275" spans="1:29" x14ac:dyDescent="0.25">
      <c r="A275" s="42"/>
      <c r="B275" s="34" t="s">
        <v>6</v>
      </c>
      <c r="C275" s="34"/>
      <c r="D275" s="35">
        <v>43691</v>
      </c>
      <c r="E275" s="34"/>
      <c r="F275" s="34" t="s">
        <v>677</v>
      </c>
      <c r="G275" s="34" t="s">
        <v>25</v>
      </c>
      <c r="H275">
        <v>-9.75</v>
      </c>
      <c r="I275" s="36">
        <f>IF(Log_2019[[#This Row],[My Category]]="NONTRACKED",0,Log_2019[[#This Row],[Raw Amount]])</f>
        <v>-9.75</v>
      </c>
      <c r="J275" s="37">
        <f>ABS(Log_2019[[#This Row],[Amount]])</f>
        <v>9.75</v>
      </c>
      <c r="K275" s="38">
        <v>1</v>
      </c>
      <c r="L275" s="38">
        <f ca="1">IF(Log_2019[[#This Row],[Date]]&lt;=TODAY(), MIN(Log_2019[[#This Row],[Split_raw]], TODAY()-Log_2019[[#This Row],[Date]]+1), 0)</f>
        <v>1</v>
      </c>
      <c r="M275" s="34" t="s">
        <v>35</v>
      </c>
      <c r="N275" s="34" t="s">
        <v>158</v>
      </c>
      <c r="O275" s="7">
        <v>0</v>
      </c>
      <c r="P275" s="52">
        <f ca="1">Log_2019[[#This Row],[Amount]]/Log_2019[[#This Row],[Split_raw]]*MAX(0,MIN(_xlfn.DAYS(EDATE(P$1,1),Log_2019[[#This Row],[Date]]),Log_2019[[#This Row],[Split_apply]])) - SUM($O275:O275)</f>
        <v>0</v>
      </c>
      <c r="Q275" s="52">
        <f ca="1">Log_2019[[#This Row],[Amount]]/Log_2019[[#This Row],[Split_raw]]*MAX(0,MIN(_xlfn.DAYS(EDATE(Q$1,1),Log_2019[[#This Row],[Date]]),Log_2019[[#This Row],[Split_apply]])) - SUM($O275:P275)</f>
        <v>0</v>
      </c>
      <c r="R275" s="52">
        <f ca="1">Log_2019[[#This Row],[Amount]]/Log_2019[[#This Row],[Split_raw]]*MAX(0,MIN(_xlfn.DAYS(EDATE(R$1,1),Log_2019[[#This Row],[Date]]),Log_2019[[#This Row],[Split_apply]])) - SUM($O275:Q275)</f>
        <v>0</v>
      </c>
      <c r="S275" s="52">
        <f ca="1">Log_2019[[#This Row],[Amount]]/Log_2019[[#This Row],[Split_raw]]*MAX(0,MIN(_xlfn.DAYS(EDATE(S$1,1),Log_2019[[#This Row],[Date]]),Log_2019[[#This Row],[Split_apply]])) - SUM($O275:R275)</f>
        <v>0</v>
      </c>
      <c r="T275" s="52">
        <f ca="1">Log_2019[[#This Row],[Amount]]/Log_2019[[#This Row],[Split_raw]]*MAX(0,MIN(_xlfn.DAYS(EDATE(T$1,1),Log_2019[[#This Row],[Date]]),Log_2019[[#This Row],[Split_apply]])) - SUM($O275:S275)</f>
        <v>0</v>
      </c>
      <c r="U275" s="52">
        <f ca="1">Log_2019[[#This Row],[Amount]]/Log_2019[[#This Row],[Split_raw]]*MAX(0,MIN(_xlfn.DAYS(EDATE(U$1,1),Log_2019[[#This Row],[Date]]),Log_2019[[#This Row],[Split_apply]])) - SUM($O275:T275)</f>
        <v>0</v>
      </c>
      <c r="V275" s="52">
        <f ca="1">Log_2019[[#This Row],[Amount]]/Log_2019[[#This Row],[Split_raw]]*MAX(0,MIN(_xlfn.DAYS(EDATE(V$1,1),Log_2019[[#This Row],[Date]]),Log_2019[[#This Row],[Split_apply]])) - SUM($O275:U275)</f>
        <v>0</v>
      </c>
      <c r="W275" s="52">
        <f ca="1">Log_2019[[#This Row],[Amount]]/Log_2019[[#This Row],[Split_raw]]*MAX(0,MIN(_xlfn.DAYS(EDATE(W$1,1),Log_2019[[#This Row],[Date]]),Log_2019[[#This Row],[Split_apply]])) - SUM($O275:V275)</f>
        <v>-9.75</v>
      </c>
      <c r="X275" s="52">
        <f ca="1">Log_2019[[#This Row],[Amount]]/Log_2019[[#This Row],[Split_raw]]*MAX(0,MIN(_xlfn.DAYS(EDATE(X$1,1),Log_2019[[#This Row],[Date]]),Log_2019[[#This Row],[Split_apply]])) - SUM($O275:W275)</f>
        <v>0</v>
      </c>
      <c r="Y275" s="52">
        <f ca="1">Log_2019[[#This Row],[Amount]]/Log_2019[[#This Row],[Split_raw]]*MAX(0,MIN(_xlfn.DAYS(EDATE(Y$1,1),Log_2019[[#This Row],[Date]]),Log_2019[[#This Row],[Split_apply]])) - SUM($O275:X275)</f>
        <v>0</v>
      </c>
      <c r="Z275" s="52">
        <f ca="1">Log_2019[[#This Row],[Amount]]/Log_2019[[#This Row],[Split_raw]]*MAX(0,MIN(_xlfn.DAYS(EDATE(Z$1,1),Log_2019[[#This Row],[Date]]),Log_2019[[#This Row],[Split_apply]])) - SUM($O275:Y275)</f>
        <v>0</v>
      </c>
      <c r="AA275" s="52">
        <f ca="1">Log_2019[[#This Row],[Amount]]/Log_2019[[#This Row],[Split_raw]]*MAX(0,MIN(_xlfn.DAYS(EDATE(AA$1,1),Log_2019[[#This Row],[Date]]),Log_2019[[#This Row],[Split_apply]])) - SUM($O275:Z275)</f>
        <v>0</v>
      </c>
      <c r="AB275" s="54">
        <f ca="1">Log_2019[[#This Row],[Amount]]-SUM(O275:AA275)</f>
        <v>0</v>
      </c>
      <c r="AC275" s="7">
        <f>MAX(0,Log_2019[[#This Row],[Split_raw]] - (EDATE(AA$1,1)-Log_2019[[#This Row],[Date]]))</f>
        <v>0</v>
      </c>
    </row>
    <row r="276" spans="1:29" x14ac:dyDescent="0.25">
      <c r="A276" s="42"/>
      <c r="B276" s="34" t="s">
        <v>6</v>
      </c>
      <c r="C276" s="34"/>
      <c r="D276" s="35">
        <v>43691</v>
      </c>
      <c r="E276" s="34"/>
      <c r="F276" s="34" t="s">
        <v>242</v>
      </c>
      <c r="G276" s="34" t="s">
        <v>87</v>
      </c>
      <c r="H276">
        <f>--26.4</f>
        <v>26.4</v>
      </c>
      <c r="I276" s="36">
        <f>IF(Log_2019[[#This Row],[My Category]]="NONTRACKED",0,Log_2019[[#This Row],[Raw Amount]])</f>
        <v>26.4</v>
      </c>
      <c r="J276" s="37">
        <f>ABS(Log_2019[[#This Row],[Amount]])</f>
        <v>26.4</v>
      </c>
      <c r="K276" s="38">
        <v>1</v>
      </c>
      <c r="L276" s="38">
        <f ca="1">IF(Log_2019[[#This Row],[Date]]&lt;=TODAY(), MIN(Log_2019[[#This Row],[Split_raw]], TODAY()-Log_2019[[#This Row],[Date]]+1), 0)</f>
        <v>1</v>
      </c>
      <c r="M276" s="34" t="s">
        <v>144</v>
      </c>
      <c r="N276" s="34" t="s">
        <v>160</v>
      </c>
      <c r="O276" s="7">
        <v>0</v>
      </c>
      <c r="P276" s="52">
        <f ca="1">Log_2019[[#This Row],[Amount]]/Log_2019[[#This Row],[Split_raw]]*MAX(0,MIN(_xlfn.DAYS(EDATE(P$1,1),Log_2019[[#This Row],[Date]]),Log_2019[[#This Row],[Split_apply]])) - SUM($O276:O276)</f>
        <v>0</v>
      </c>
      <c r="Q276" s="52">
        <f ca="1">Log_2019[[#This Row],[Amount]]/Log_2019[[#This Row],[Split_raw]]*MAX(0,MIN(_xlfn.DAYS(EDATE(Q$1,1),Log_2019[[#This Row],[Date]]),Log_2019[[#This Row],[Split_apply]])) - SUM($O276:P276)</f>
        <v>0</v>
      </c>
      <c r="R276" s="52">
        <f ca="1">Log_2019[[#This Row],[Amount]]/Log_2019[[#This Row],[Split_raw]]*MAX(0,MIN(_xlfn.DAYS(EDATE(R$1,1),Log_2019[[#This Row],[Date]]),Log_2019[[#This Row],[Split_apply]])) - SUM($O276:Q276)</f>
        <v>0</v>
      </c>
      <c r="S276" s="52">
        <f ca="1">Log_2019[[#This Row],[Amount]]/Log_2019[[#This Row],[Split_raw]]*MAX(0,MIN(_xlfn.DAYS(EDATE(S$1,1),Log_2019[[#This Row],[Date]]),Log_2019[[#This Row],[Split_apply]])) - SUM($O276:R276)</f>
        <v>0</v>
      </c>
      <c r="T276" s="52">
        <f ca="1">Log_2019[[#This Row],[Amount]]/Log_2019[[#This Row],[Split_raw]]*MAX(0,MIN(_xlfn.DAYS(EDATE(T$1,1),Log_2019[[#This Row],[Date]]),Log_2019[[#This Row],[Split_apply]])) - SUM($O276:S276)</f>
        <v>0</v>
      </c>
      <c r="U276" s="52">
        <f ca="1">Log_2019[[#This Row],[Amount]]/Log_2019[[#This Row],[Split_raw]]*MAX(0,MIN(_xlfn.DAYS(EDATE(U$1,1),Log_2019[[#This Row],[Date]]),Log_2019[[#This Row],[Split_apply]])) - SUM($O276:T276)</f>
        <v>0</v>
      </c>
      <c r="V276" s="52">
        <f ca="1">Log_2019[[#This Row],[Amount]]/Log_2019[[#This Row],[Split_raw]]*MAX(0,MIN(_xlfn.DAYS(EDATE(V$1,1),Log_2019[[#This Row],[Date]]),Log_2019[[#This Row],[Split_apply]])) - SUM($O276:U276)</f>
        <v>0</v>
      </c>
      <c r="W276" s="52">
        <f ca="1">Log_2019[[#This Row],[Amount]]/Log_2019[[#This Row],[Split_raw]]*MAX(0,MIN(_xlfn.DAYS(EDATE(W$1,1),Log_2019[[#This Row],[Date]]),Log_2019[[#This Row],[Split_apply]])) - SUM($O276:V276)</f>
        <v>26.4</v>
      </c>
      <c r="X276" s="52">
        <f ca="1">Log_2019[[#This Row],[Amount]]/Log_2019[[#This Row],[Split_raw]]*MAX(0,MIN(_xlfn.DAYS(EDATE(X$1,1),Log_2019[[#This Row],[Date]]),Log_2019[[#This Row],[Split_apply]])) - SUM($O276:W276)</f>
        <v>0</v>
      </c>
      <c r="Y276" s="52">
        <f ca="1">Log_2019[[#This Row],[Amount]]/Log_2019[[#This Row],[Split_raw]]*MAX(0,MIN(_xlfn.DAYS(EDATE(Y$1,1),Log_2019[[#This Row],[Date]]),Log_2019[[#This Row],[Split_apply]])) - SUM($O276:X276)</f>
        <v>0</v>
      </c>
      <c r="Z276" s="52">
        <f ca="1">Log_2019[[#This Row],[Amount]]/Log_2019[[#This Row],[Split_raw]]*MAX(0,MIN(_xlfn.DAYS(EDATE(Z$1,1),Log_2019[[#This Row],[Date]]),Log_2019[[#This Row],[Split_apply]])) - SUM($O276:Y276)</f>
        <v>0</v>
      </c>
      <c r="AA276" s="52">
        <f ca="1">Log_2019[[#This Row],[Amount]]/Log_2019[[#This Row],[Split_raw]]*MAX(0,MIN(_xlfn.DAYS(EDATE(AA$1,1),Log_2019[[#This Row],[Date]]),Log_2019[[#This Row],[Split_apply]])) - SUM($O276:Z276)</f>
        <v>0</v>
      </c>
      <c r="AB276" s="54">
        <f ca="1">Log_2019[[#This Row],[Amount]]-SUM(O276:AA276)</f>
        <v>0</v>
      </c>
      <c r="AC276" s="7">
        <f>MAX(0,Log_2019[[#This Row],[Split_raw]] - (EDATE(AA$1,1)-Log_2019[[#This Row],[Date]]))</f>
        <v>0</v>
      </c>
    </row>
    <row r="277" spans="1:29" x14ac:dyDescent="0.25">
      <c r="A277" s="42"/>
      <c r="B277" s="34" t="s">
        <v>6</v>
      </c>
      <c r="C277" s="34"/>
      <c r="D277" s="35">
        <v>43690</v>
      </c>
      <c r="E277" s="34" t="s">
        <v>884</v>
      </c>
      <c r="F277" s="34" t="s">
        <v>678</v>
      </c>
      <c r="G277" s="34" t="s">
        <v>19</v>
      </c>
      <c r="H277">
        <v>-199</v>
      </c>
      <c r="I277" s="36">
        <f>IF(Log_2019[[#This Row],[My Category]]="NONTRACKED",0,Log_2019[[#This Row],[Raw Amount]])</f>
        <v>-199</v>
      </c>
      <c r="J277" s="37">
        <f>ABS(Log_2019[[#This Row],[Amount]])</f>
        <v>199</v>
      </c>
      <c r="K277" s="38">
        <v>1</v>
      </c>
      <c r="L277" s="38">
        <f ca="1">IF(Log_2019[[#This Row],[Date]]&lt;=TODAY(), MIN(Log_2019[[#This Row],[Split_raw]], TODAY()-Log_2019[[#This Row],[Date]]+1), 0)</f>
        <v>1</v>
      </c>
      <c r="M277" s="34" t="s">
        <v>366</v>
      </c>
      <c r="N277" s="34" t="s">
        <v>158</v>
      </c>
      <c r="O277" s="7">
        <v>0</v>
      </c>
      <c r="P277" s="52">
        <f ca="1">Log_2019[[#This Row],[Amount]]/Log_2019[[#This Row],[Split_raw]]*MAX(0,MIN(_xlfn.DAYS(EDATE(P$1,1),Log_2019[[#This Row],[Date]]),Log_2019[[#This Row],[Split_apply]])) - SUM($O277:O277)</f>
        <v>0</v>
      </c>
      <c r="Q277" s="52">
        <f ca="1">Log_2019[[#This Row],[Amount]]/Log_2019[[#This Row],[Split_raw]]*MAX(0,MIN(_xlfn.DAYS(EDATE(Q$1,1),Log_2019[[#This Row],[Date]]),Log_2019[[#This Row],[Split_apply]])) - SUM($O277:P277)</f>
        <v>0</v>
      </c>
      <c r="R277" s="52">
        <f ca="1">Log_2019[[#This Row],[Amount]]/Log_2019[[#This Row],[Split_raw]]*MAX(0,MIN(_xlfn.DAYS(EDATE(R$1,1),Log_2019[[#This Row],[Date]]),Log_2019[[#This Row],[Split_apply]])) - SUM($O277:Q277)</f>
        <v>0</v>
      </c>
      <c r="S277" s="52">
        <f ca="1">Log_2019[[#This Row],[Amount]]/Log_2019[[#This Row],[Split_raw]]*MAX(0,MIN(_xlfn.DAYS(EDATE(S$1,1),Log_2019[[#This Row],[Date]]),Log_2019[[#This Row],[Split_apply]])) - SUM($O277:R277)</f>
        <v>0</v>
      </c>
      <c r="T277" s="52">
        <f ca="1">Log_2019[[#This Row],[Amount]]/Log_2019[[#This Row],[Split_raw]]*MAX(0,MIN(_xlfn.DAYS(EDATE(T$1,1),Log_2019[[#This Row],[Date]]),Log_2019[[#This Row],[Split_apply]])) - SUM($O277:S277)</f>
        <v>0</v>
      </c>
      <c r="U277" s="52">
        <f ca="1">Log_2019[[#This Row],[Amount]]/Log_2019[[#This Row],[Split_raw]]*MAX(0,MIN(_xlfn.DAYS(EDATE(U$1,1),Log_2019[[#This Row],[Date]]),Log_2019[[#This Row],[Split_apply]])) - SUM($O277:T277)</f>
        <v>0</v>
      </c>
      <c r="V277" s="52">
        <f ca="1">Log_2019[[#This Row],[Amount]]/Log_2019[[#This Row],[Split_raw]]*MAX(0,MIN(_xlfn.DAYS(EDATE(V$1,1),Log_2019[[#This Row],[Date]]),Log_2019[[#This Row],[Split_apply]])) - SUM($O277:U277)</f>
        <v>0</v>
      </c>
      <c r="W277" s="52">
        <f ca="1">Log_2019[[#This Row],[Amount]]/Log_2019[[#This Row],[Split_raw]]*MAX(0,MIN(_xlfn.DAYS(EDATE(W$1,1),Log_2019[[#This Row],[Date]]),Log_2019[[#This Row],[Split_apply]])) - SUM($O277:V277)</f>
        <v>-199</v>
      </c>
      <c r="X277" s="52">
        <f ca="1">Log_2019[[#This Row],[Amount]]/Log_2019[[#This Row],[Split_raw]]*MAX(0,MIN(_xlfn.DAYS(EDATE(X$1,1),Log_2019[[#This Row],[Date]]),Log_2019[[#This Row],[Split_apply]])) - SUM($O277:W277)</f>
        <v>0</v>
      </c>
      <c r="Y277" s="52">
        <f ca="1">Log_2019[[#This Row],[Amount]]/Log_2019[[#This Row],[Split_raw]]*MAX(0,MIN(_xlfn.DAYS(EDATE(Y$1,1),Log_2019[[#This Row],[Date]]),Log_2019[[#This Row],[Split_apply]])) - SUM($O277:X277)</f>
        <v>0</v>
      </c>
      <c r="Z277" s="52">
        <f ca="1">Log_2019[[#This Row],[Amount]]/Log_2019[[#This Row],[Split_raw]]*MAX(0,MIN(_xlfn.DAYS(EDATE(Z$1,1),Log_2019[[#This Row],[Date]]),Log_2019[[#This Row],[Split_apply]])) - SUM($O277:Y277)</f>
        <v>0</v>
      </c>
      <c r="AA277" s="52">
        <f ca="1">Log_2019[[#This Row],[Amount]]/Log_2019[[#This Row],[Split_raw]]*MAX(0,MIN(_xlfn.DAYS(EDATE(AA$1,1),Log_2019[[#This Row],[Date]]),Log_2019[[#This Row],[Split_apply]])) - SUM($O277:Z277)</f>
        <v>0</v>
      </c>
      <c r="AB277" s="54">
        <f ca="1">Log_2019[[#This Row],[Amount]]-SUM(O277:AA277)</f>
        <v>0</v>
      </c>
      <c r="AC277" s="7">
        <f>MAX(0,Log_2019[[#This Row],[Split_raw]] - (EDATE(AA$1,1)-Log_2019[[#This Row],[Date]]))</f>
        <v>0</v>
      </c>
    </row>
    <row r="278" spans="1:29" x14ac:dyDescent="0.25">
      <c r="A278" s="42"/>
      <c r="B278" s="34" t="s">
        <v>6</v>
      </c>
      <c r="C278" s="34"/>
      <c r="D278" s="35">
        <v>43690</v>
      </c>
      <c r="E278" s="34"/>
      <c r="F278" s="34" t="s">
        <v>255</v>
      </c>
      <c r="G278" s="34" t="s">
        <v>10</v>
      </c>
      <c r="H278">
        <v>-4.18</v>
      </c>
      <c r="I278" s="36">
        <f>IF(Log_2019[[#This Row],[My Category]]="NONTRACKED",0,Log_2019[[#This Row],[Raw Amount]])</f>
        <v>-4.18</v>
      </c>
      <c r="J278" s="37">
        <f>ABS(Log_2019[[#This Row],[Amount]])</f>
        <v>4.18</v>
      </c>
      <c r="K278" s="38">
        <v>1</v>
      </c>
      <c r="L278" s="38">
        <f ca="1">IF(Log_2019[[#This Row],[Date]]&lt;=TODAY(), MIN(Log_2019[[#This Row],[Split_raw]], TODAY()-Log_2019[[#This Row],[Date]]+1), 0)</f>
        <v>1</v>
      </c>
      <c r="M278" s="34" t="s">
        <v>35</v>
      </c>
      <c r="N278" s="34" t="s">
        <v>158</v>
      </c>
      <c r="O278" s="7">
        <v>0</v>
      </c>
      <c r="P278" s="52">
        <f ca="1">Log_2019[[#This Row],[Amount]]/Log_2019[[#This Row],[Split_raw]]*MAX(0,MIN(_xlfn.DAYS(EDATE(P$1,1),Log_2019[[#This Row],[Date]]),Log_2019[[#This Row],[Split_apply]])) - SUM($O278:O278)</f>
        <v>0</v>
      </c>
      <c r="Q278" s="52">
        <f ca="1">Log_2019[[#This Row],[Amount]]/Log_2019[[#This Row],[Split_raw]]*MAX(0,MIN(_xlfn.DAYS(EDATE(Q$1,1),Log_2019[[#This Row],[Date]]),Log_2019[[#This Row],[Split_apply]])) - SUM($O278:P278)</f>
        <v>0</v>
      </c>
      <c r="R278" s="52">
        <f ca="1">Log_2019[[#This Row],[Amount]]/Log_2019[[#This Row],[Split_raw]]*MAX(0,MIN(_xlfn.DAYS(EDATE(R$1,1),Log_2019[[#This Row],[Date]]),Log_2019[[#This Row],[Split_apply]])) - SUM($O278:Q278)</f>
        <v>0</v>
      </c>
      <c r="S278" s="52">
        <f ca="1">Log_2019[[#This Row],[Amount]]/Log_2019[[#This Row],[Split_raw]]*MAX(0,MIN(_xlfn.DAYS(EDATE(S$1,1),Log_2019[[#This Row],[Date]]),Log_2019[[#This Row],[Split_apply]])) - SUM($O278:R278)</f>
        <v>0</v>
      </c>
      <c r="T278" s="52">
        <f ca="1">Log_2019[[#This Row],[Amount]]/Log_2019[[#This Row],[Split_raw]]*MAX(0,MIN(_xlfn.DAYS(EDATE(T$1,1),Log_2019[[#This Row],[Date]]),Log_2019[[#This Row],[Split_apply]])) - SUM($O278:S278)</f>
        <v>0</v>
      </c>
      <c r="U278" s="52">
        <f ca="1">Log_2019[[#This Row],[Amount]]/Log_2019[[#This Row],[Split_raw]]*MAX(0,MIN(_xlfn.DAYS(EDATE(U$1,1),Log_2019[[#This Row],[Date]]),Log_2019[[#This Row],[Split_apply]])) - SUM($O278:T278)</f>
        <v>0</v>
      </c>
      <c r="V278" s="52">
        <f ca="1">Log_2019[[#This Row],[Amount]]/Log_2019[[#This Row],[Split_raw]]*MAX(0,MIN(_xlfn.DAYS(EDATE(V$1,1),Log_2019[[#This Row],[Date]]),Log_2019[[#This Row],[Split_apply]])) - SUM($O278:U278)</f>
        <v>0</v>
      </c>
      <c r="W278" s="52">
        <f ca="1">Log_2019[[#This Row],[Amount]]/Log_2019[[#This Row],[Split_raw]]*MAX(0,MIN(_xlfn.DAYS(EDATE(W$1,1),Log_2019[[#This Row],[Date]]),Log_2019[[#This Row],[Split_apply]])) - SUM($O278:V278)</f>
        <v>-4.18</v>
      </c>
      <c r="X278" s="52">
        <f ca="1">Log_2019[[#This Row],[Amount]]/Log_2019[[#This Row],[Split_raw]]*MAX(0,MIN(_xlfn.DAYS(EDATE(X$1,1),Log_2019[[#This Row],[Date]]),Log_2019[[#This Row],[Split_apply]])) - SUM($O278:W278)</f>
        <v>0</v>
      </c>
      <c r="Y278" s="52">
        <f ca="1">Log_2019[[#This Row],[Amount]]/Log_2019[[#This Row],[Split_raw]]*MAX(0,MIN(_xlfn.DAYS(EDATE(Y$1,1),Log_2019[[#This Row],[Date]]),Log_2019[[#This Row],[Split_apply]])) - SUM($O278:X278)</f>
        <v>0</v>
      </c>
      <c r="Z278" s="52">
        <f ca="1">Log_2019[[#This Row],[Amount]]/Log_2019[[#This Row],[Split_raw]]*MAX(0,MIN(_xlfn.DAYS(EDATE(Z$1,1),Log_2019[[#This Row],[Date]]),Log_2019[[#This Row],[Split_apply]])) - SUM($O278:Y278)</f>
        <v>0</v>
      </c>
      <c r="AA278" s="52">
        <f ca="1">Log_2019[[#This Row],[Amount]]/Log_2019[[#This Row],[Split_raw]]*MAX(0,MIN(_xlfn.DAYS(EDATE(AA$1,1),Log_2019[[#This Row],[Date]]),Log_2019[[#This Row],[Split_apply]])) - SUM($O278:Z278)</f>
        <v>0</v>
      </c>
      <c r="AB278" s="54">
        <f ca="1">Log_2019[[#This Row],[Amount]]-SUM(O278:AA278)</f>
        <v>0</v>
      </c>
      <c r="AC278" s="7">
        <f>MAX(0,Log_2019[[#This Row],[Split_raw]] - (EDATE(AA$1,1)-Log_2019[[#This Row],[Date]]))</f>
        <v>0</v>
      </c>
    </row>
    <row r="279" spans="1:29" x14ac:dyDescent="0.25">
      <c r="A279" s="42"/>
      <c r="B279" s="34" t="s">
        <v>6</v>
      </c>
      <c r="C279" s="34"/>
      <c r="D279" s="35">
        <v>43690</v>
      </c>
      <c r="E279" s="34"/>
      <c r="F279" s="34" t="s">
        <v>529</v>
      </c>
      <c r="G279" s="34" t="s">
        <v>25</v>
      </c>
      <c r="H279">
        <v>-7.5</v>
      </c>
      <c r="I279" s="36">
        <f>IF(Log_2019[[#This Row],[My Category]]="NONTRACKED",0,Log_2019[[#This Row],[Raw Amount]])</f>
        <v>-7.5</v>
      </c>
      <c r="J279" s="37">
        <f>ABS(Log_2019[[#This Row],[Amount]])</f>
        <v>7.5</v>
      </c>
      <c r="K279" s="38">
        <v>1</v>
      </c>
      <c r="L279" s="38">
        <f ca="1">IF(Log_2019[[#This Row],[Date]]&lt;=TODAY(), MIN(Log_2019[[#This Row],[Split_raw]], TODAY()-Log_2019[[#This Row],[Date]]+1), 0)</f>
        <v>1</v>
      </c>
      <c r="M279" s="34" t="s">
        <v>40</v>
      </c>
      <c r="N279" s="34" t="s">
        <v>158</v>
      </c>
      <c r="O279" s="7">
        <v>0</v>
      </c>
      <c r="P279" s="52">
        <f ca="1">Log_2019[[#This Row],[Amount]]/Log_2019[[#This Row],[Split_raw]]*MAX(0,MIN(_xlfn.DAYS(EDATE(P$1,1),Log_2019[[#This Row],[Date]]),Log_2019[[#This Row],[Split_apply]])) - SUM($O279:O279)</f>
        <v>0</v>
      </c>
      <c r="Q279" s="52">
        <f ca="1">Log_2019[[#This Row],[Amount]]/Log_2019[[#This Row],[Split_raw]]*MAX(0,MIN(_xlfn.DAYS(EDATE(Q$1,1),Log_2019[[#This Row],[Date]]),Log_2019[[#This Row],[Split_apply]])) - SUM($O279:P279)</f>
        <v>0</v>
      </c>
      <c r="R279" s="52">
        <f ca="1">Log_2019[[#This Row],[Amount]]/Log_2019[[#This Row],[Split_raw]]*MAX(0,MIN(_xlfn.DAYS(EDATE(R$1,1),Log_2019[[#This Row],[Date]]),Log_2019[[#This Row],[Split_apply]])) - SUM($O279:Q279)</f>
        <v>0</v>
      </c>
      <c r="S279" s="52">
        <f ca="1">Log_2019[[#This Row],[Amount]]/Log_2019[[#This Row],[Split_raw]]*MAX(0,MIN(_xlfn.DAYS(EDATE(S$1,1),Log_2019[[#This Row],[Date]]),Log_2019[[#This Row],[Split_apply]])) - SUM($O279:R279)</f>
        <v>0</v>
      </c>
      <c r="T279" s="52">
        <f ca="1">Log_2019[[#This Row],[Amount]]/Log_2019[[#This Row],[Split_raw]]*MAX(0,MIN(_xlfn.DAYS(EDATE(T$1,1),Log_2019[[#This Row],[Date]]),Log_2019[[#This Row],[Split_apply]])) - SUM($O279:S279)</f>
        <v>0</v>
      </c>
      <c r="U279" s="52">
        <f ca="1">Log_2019[[#This Row],[Amount]]/Log_2019[[#This Row],[Split_raw]]*MAX(0,MIN(_xlfn.DAYS(EDATE(U$1,1),Log_2019[[#This Row],[Date]]),Log_2019[[#This Row],[Split_apply]])) - SUM($O279:T279)</f>
        <v>0</v>
      </c>
      <c r="V279" s="52">
        <f ca="1">Log_2019[[#This Row],[Amount]]/Log_2019[[#This Row],[Split_raw]]*MAX(0,MIN(_xlfn.DAYS(EDATE(V$1,1),Log_2019[[#This Row],[Date]]),Log_2019[[#This Row],[Split_apply]])) - SUM($O279:U279)</f>
        <v>0</v>
      </c>
      <c r="W279" s="52">
        <f ca="1">Log_2019[[#This Row],[Amount]]/Log_2019[[#This Row],[Split_raw]]*MAX(0,MIN(_xlfn.DAYS(EDATE(W$1,1),Log_2019[[#This Row],[Date]]),Log_2019[[#This Row],[Split_apply]])) - SUM($O279:V279)</f>
        <v>-7.5</v>
      </c>
      <c r="X279" s="52">
        <f ca="1">Log_2019[[#This Row],[Amount]]/Log_2019[[#This Row],[Split_raw]]*MAX(0,MIN(_xlfn.DAYS(EDATE(X$1,1),Log_2019[[#This Row],[Date]]),Log_2019[[#This Row],[Split_apply]])) - SUM($O279:W279)</f>
        <v>0</v>
      </c>
      <c r="Y279" s="52">
        <f ca="1">Log_2019[[#This Row],[Amount]]/Log_2019[[#This Row],[Split_raw]]*MAX(0,MIN(_xlfn.DAYS(EDATE(Y$1,1),Log_2019[[#This Row],[Date]]),Log_2019[[#This Row],[Split_apply]])) - SUM($O279:X279)</f>
        <v>0</v>
      </c>
      <c r="Z279" s="52">
        <f ca="1">Log_2019[[#This Row],[Amount]]/Log_2019[[#This Row],[Split_raw]]*MAX(0,MIN(_xlfn.DAYS(EDATE(Z$1,1),Log_2019[[#This Row],[Date]]),Log_2019[[#This Row],[Split_apply]])) - SUM($O279:Y279)</f>
        <v>0</v>
      </c>
      <c r="AA279" s="52">
        <f ca="1">Log_2019[[#This Row],[Amount]]/Log_2019[[#This Row],[Split_raw]]*MAX(0,MIN(_xlfn.DAYS(EDATE(AA$1,1),Log_2019[[#This Row],[Date]]),Log_2019[[#This Row],[Split_apply]])) - SUM($O279:Z279)</f>
        <v>0</v>
      </c>
      <c r="AB279" s="54">
        <f ca="1">Log_2019[[#This Row],[Amount]]-SUM(O279:AA279)</f>
        <v>0</v>
      </c>
      <c r="AC279" s="7">
        <f>MAX(0,Log_2019[[#This Row],[Split_raw]] - (EDATE(AA$1,1)-Log_2019[[#This Row],[Date]]))</f>
        <v>0</v>
      </c>
    </row>
    <row r="280" spans="1:29" x14ac:dyDescent="0.25">
      <c r="A280" s="42"/>
      <c r="B280" s="34" t="s">
        <v>6</v>
      </c>
      <c r="C280" s="34"/>
      <c r="D280" s="35">
        <v>43690</v>
      </c>
      <c r="E280" s="34"/>
      <c r="F280" s="34" t="s">
        <v>331</v>
      </c>
      <c r="G280" s="34" t="s">
        <v>104</v>
      </c>
      <c r="H280">
        <v>-703.67</v>
      </c>
      <c r="I280" s="36">
        <f>IF(Log_2019[[#This Row],[My Category]]="NONTRACKED",0,Log_2019[[#This Row],[Raw Amount]])</f>
        <v>-703.67</v>
      </c>
      <c r="J280" s="37">
        <f>ABS(Log_2019[[#This Row],[Amount]])</f>
        <v>703.67</v>
      </c>
      <c r="K280" s="38">
        <v>1</v>
      </c>
      <c r="L280" s="38">
        <f ca="1">IF(Log_2019[[#This Row],[Date]]&lt;=TODAY(), MIN(Log_2019[[#This Row],[Split_raw]], TODAY()-Log_2019[[#This Row],[Date]]+1), 0)</f>
        <v>1</v>
      </c>
      <c r="M280" s="34" t="s">
        <v>159</v>
      </c>
      <c r="N280" s="34" t="s">
        <v>160</v>
      </c>
      <c r="O280" s="7">
        <v>0</v>
      </c>
      <c r="P280" s="52">
        <f ca="1">Log_2019[[#This Row],[Amount]]/Log_2019[[#This Row],[Split_raw]]*MAX(0,MIN(_xlfn.DAYS(EDATE(P$1,1),Log_2019[[#This Row],[Date]]),Log_2019[[#This Row],[Split_apply]])) - SUM($O280:O280)</f>
        <v>0</v>
      </c>
      <c r="Q280" s="52">
        <f ca="1">Log_2019[[#This Row],[Amount]]/Log_2019[[#This Row],[Split_raw]]*MAX(0,MIN(_xlfn.DAYS(EDATE(Q$1,1),Log_2019[[#This Row],[Date]]),Log_2019[[#This Row],[Split_apply]])) - SUM($O280:P280)</f>
        <v>0</v>
      </c>
      <c r="R280" s="52">
        <f ca="1">Log_2019[[#This Row],[Amount]]/Log_2019[[#This Row],[Split_raw]]*MAX(0,MIN(_xlfn.DAYS(EDATE(R$1,1),Log_2019[[#This Row],[Date]]),Log_2019[[#This Row],[Split_apply]])) - SUM($O280:Q280)</f>
        <v>0</v>
      </c>
      <c r="S280" s="52">
        <f ca="1">Log_2019[[#This Row],[Amount]]/Log_2019[[#This Row],[Split_raw]]*MAX(0,MIN(_xlfn.DAYS(EDATE(S$1,1),Log_2019[[#This Row],[Date]]),Log_2019[[#This Row],[Split_apply]])) - SUM($O280:R280)</f>
        <v>0</v>
      </c>
      <c r="T280" s="52">
        <f ca="1">Log_2019[[#This Row],[Amount]]/Log_2019[[#This Row],[Split_raw]]*MAX(0,MIN(_xlfn.DAYS(EDATE(T$1,1),Log_2019[[#This Row],[Date]]),Log_2019[[#This Row],[Split_apply]])) - SUM($O280:S280)</f>
        <v>0</v>
      </c>
      <c r="U280" s="52">
        <f ca="1">Log_2019[[#This Row],[Amount]]/Log_2019[[#This Row],[Split_raw]]*MAX(0,MIN(_xlfn.DAYS(EDATE(U$1,1),Log_2019[[#This Row],[Date]]),Log_2019[[#This Row],[Split_apply]])) - SUM($O280:T280)</f>
        <v>0</v>
      </c>
      <c r="V280" s="52">
        <f ca="1">Log_2019[[#This Row],[Amount]]/Log_2019[[#This Row],[Split_raw]]*MAX(0,MIN(_xlfn.DAYS(EDATE(V$1,1),Log_2019[[#This Row],[Date]]),Log_2019[[#This Row],[Split_apply]])) - SUM($O280:U280)</f>
        <v>0</v>
      </c>
      <c r="W280" s="52">
        <f ca="1">Log_2019[[#This Row],[Amount]]/Log_2019[[#This Row],[Split_raw]]*MAX(0,MIN(_xlfn.DAYS(EDATE(W$1,1),Log_2019[[#This Row],[Date]]),Log_2019[[#This Row],[Split_apply]])) - SUM($O280:V280)</f>
        <v>-703.67</v>
      </c>
      <c r="X280" s="52">
        <f ca="1">Log_2019[[#This Row],[Amount]]/Log_2019[[#This Row],[Split_raw]]*MAX(0,MIN(_xlfn.DAYS(EDATE(X$1,1),Log_2019[[#This Row],[Date]]),Log_2019[[#This Row],[Split_apply]])) - SUM($O280:W280)</f>
        <v>0</v>
      </c>
      <c r="Y280" s="52">
        <f ca="1">Log_2019[[#This Row],[Amount]]/Log_2019[[#This Row],[Split_raw]]*MAX(0,MIN(_xlfn.DAYS(EDATE(Y$1,1),Log_2019[[#This Row],[Date]]),Log_2019[[#This Row],[Split_apply]])) - SUM($O280:X280)</f>
        <v>0</v>
      </c>
      <c r="Z280" s="52">
        <f ca="1">Log_2019[[#This Row],[Amount]]/Log_2019[[#This Row],[Split_raw]]*MAX(0,MIN(_xlfn.DAYS(EDATE(Z$1,1),Log_2019[[#This Row],[Date]]),Log_2019[[#This Row],[Split_apply]])) - SUM($O280:Y280)</f>
        <v>0</v>
      </c>
      <c r="AA280" s="52">
        <f ca="1">Log_2019[[#This Row],[Amount]]/Log_2019[[#This Row],[Split_raw]]*MAX(0,MIN(_xlfn.DAYS(EDATE(AA$1,1),Log_2019[[#This Row],[Date]]),Log_2019[[#This Row],[Split_apply]])) - SUM($O280:Z280)</f>
        <v>0</v>
      </c>
      <c r="AB280" s="54">
        <f ca="1">Log_2019[[#This Row],[Amount]]-SUM(O280:AA280)</f>
        <v>0</v>
      </c>
      <c r="AC280" s="7">
        <f>MAX(0,Log_2019[[#This Row],[Split_raw]] - (EDATE(AA$1,1)-Log_2019[[#This Row],[Date]]))</f>
        <v>0</v>
      </c>
    </row>
    <row r="281" spans="1:29" x14ac:dyDescent="0.25">
      <c r="A281" s="42"/>
      <c r="B281" s="34" t="s">
        <v>6</v>
      </c>
      <c r="C281" s="34"/>
      <c r="D281" s="35">
        <v>43690</v>
      </c>
      <c r="E281" s="34"/>
      <c r="F281" s="34" t="s">
        <v>83</v>
      </c>
      <c r="G281" s="34" t="s">
        <v>15</v>
      </c>
      <c r="H281">
        <v>-222.65</v>
      </c>
      <c r="I281" s="36">
        <f>IF(Log_2019[[#This Row],[My Category]]="NONTRACKED",0,Log_2019[[#This Row],[Raw Amount]])</f>
        <v>-222.65</v>
      </c>
      <c r="J281" s="37">
        <f>ABS(Log_2019[[#This Row],[Amount]])</f>
        <v>222.65</v>
      </c>
      <c r="K281" s="38">
        <v>30</v>
      </c>
      <c r="L281" s="38">
        <f ca="1">IF(Log_2019[[#This Row],[Date]]&lt;=TODAY(), MIN(Log_2019[[#This Row],[Split_raw]], TODAY()-Log_2019[[#This Row],[Date]]+1), 0)</f>
        <v>30</v>
      </c>
      <c r="M281" s="34" t="s">
        <v>241</v>
      </c>
      <c r="N281" s="34" t="s">
        <v>160</v>
      </c>
      <c r="O281" s="7">
        <v>0</v>
      </c>
      <c r="P281" s="52">
        <f ca="1">Log_2019[[#This Row],[Amount]]/Log_2019[[#This Row],[Split_raw]]*MAX(0,MIN(_xlfn.DAYS(EDATE(P$1,1),Log_2019[[#This Row],[Date]]),Log_2019[[#This Row],[Split_apply]])) - SUM($O281:O281)</f>
        <v>0</v>
      </c>
      <c r="Q281" s="52">
        <f ca="1">Log_2019[[#This Row],[Amount]]/Log_2019[[#This Row],[Split_raw]]*MAX(0,MIN(_xlfn.DAYS(EDATE(Q$1,1),Log_2019[[#This Row],[Date]]),Log_2019[[#This Row],[Split_apply]])) - SUM($O281:P281)</f>
        <v>0</v>
      </c>
      <c r="R281" s="52">
        <f ca="1">Log_2019[[#This Row],[Amount]]/Log_2019[[#This Row],[Split_raw]]*MAX(0,MIN(_xlfn.DAYS(EDATE(R$1,1),Log_2019[[#This Row],[Date]]),Log_2019[[#This Row],[Split_apply]])) - SUM($O281:Q281)</f>
        <v>0</v>
      </c>
      <c r="S281" s="52">
        <f ca="1">Log_2019[[#This Row],[Amount]]/Log_2019[[#This Row],[Split_raw]]*MAX(0,MIN(_xlfn.DAYS(EDATE(S$1,1),Log_2019[[#This Row],[Date]]),Log_2019[[#This Row],[Split_apply]])) - SUM($O281:R281)</f>
        <v>0</v>
      </c>
      <c r="T281" s="52">
        <f ca="1">Log_2019[[#This Row],[Amount]]/Log_2019[[#This Row],[Split_raw]]*MAX(0,MIN(_xlfn.DAYS(EDATE(T$1,1),Log_2019[[#This Row],[Date]]),Log_2019[[#This Row],[Split_apply]])) - SUM($O281:S281)</f>
        <v>0</v>
      </c>
      <c r="U281" s="52">
        <f ca="1">Log_2019[[#This Row],[Amount]]/Log_2019[[#This Row],[Split_raw]]*MAX(0,MIN(_xlfn.DAYS(EDATE(U$1,1),Log_2019[[#This Row],[Date]]),Log_2019[[#This Row],[Split_apply]])) - SUM($O281:T281)</f>
        <v>0</v>
      </c>
      <c r="V281" s="52">
        <f ca="1">Log_2019[[#This Row],[Amount]]/Log_2019[[#This Row],[Split_raw]]*MAX(0,MIN(_xlfn.DAYS(EDATE(V$1,1),Log_2019[[#This Row],[Date]]),Log_2019[[#This Row],[Split_apply]])) - SUM($O281:U281)</f>
        <v>0</v>
      </c>
      <c r="W281" s="52">
        <f ca="1">Log_2019[[#This Row],[Amount]]/Log_2019[[#This Row],[Split_raw]]*MAX(0,MIN(_xlfn.DAYS(EDATE(W$1,1),Log_2019[[#This Row],[Date]]),Log_2019[[#This Row],[Split_apply]])) - SUM($O281:V281)</f>
        <v>-141.01166666666666</v>
      </c>
      <c r="X281" s="52">
        <f ca="1">Log_2019[[#This Row],[Amount]]/Log_2019[[#This Row],[Split_raw]]*MAX(0,MIN(_xlfn.DAYS(EDATE(X$1,1),Log_2019[[#This Row],[Date]]),Log_2019[[#This Row],[Split_apply]])) - SUM($O281:W281)</f>
        <v>-81.63833333333335</v>
      </c>
      <c r="Y281" s="52">
        <f ca="1">Log_2019[[#This Row],[Amount]]/Log_2019[[#This Row],[Split_raw]]*MAX(0,MIN(_xlfn.DAYS(EDATE(Y$1,1),Log_2019[[#This Row],[Date]]),Log_2019[[#This Row],[Split_apply]])) - SUM($O281:X281)</f>
        <v>0</v>
      </c>
      <c r="Z281" s="52">
        <f ca="1">Log_2019[[#This Row],[Amount]]/Log_2019[[#This Row],[Split_raw]]*MAX(0,MIN(_xlfn.DAYS(EDATE(Z$1,1),Log_2019[[#This Row],[Date]]),Log_2019[[#This Row],[Split_apply]])) - SUM($O281:Y281)</f>
        <v>0</v>
      </c>
      <c r="AA281" s="52">
        <f ca="1">Log_2019[[#This Row],[Amount]]/Log_2019[[#This Row],[Split_raw]]*MAX(0,MIN(_xlfn.DAYS(EDATE(AA$1,1),Log_2019[[#This Row],[Date]]),Log_2019[[#This Row],[Split_apply]])) - SUM($O281:Z281)</f>
        <v>0</v>
      </c>
      <c r="AB281" s="54">
        <f ca="1">Log_2019[[#This Row],[Amount]]-SUM(O281:AA281)</f>
        <v>0</v>
      </c>
      <c r="AC281" s="7">
        <f>MAX(0,Log_2019[[#This Row],[Split_raw]] - (EDATE(AA$1,1)-Log_2019[[#This Row],[Date]]))</f>
        <v>0</v>
      </c>
    </row>
    <row r="282" spans="1:29" x14ac:dyDescent="0.25">
      <c r="A282" s="42"/>
      <c r="B282" s="34" t="s">
        <v>6</v>
      </c>
      <c r="C282" s="34"/>
      <c r="D282" s="35">
        <v>43689</v>
      </c>
      <c r="E282" s="34"/>
      <c r="F282" s="34" t="s">
        <v>673</v>
      </c>
      <c r="G282" s="34" t="s">
        <v>25</v>
      </c>
      <c r="H282">
        <v>-9.7100000000000009</v>
      </c>
      <c r="I282" s="36">
        <f>IF(Log_2019[[#This Row],[My Category]]="NONTRACKED",0,Log_2019[[#This Row],[Raw Amount]])</f>
        <v>-9.7100000000000009</v>
      </c>
      <c r="J282" s="37">
        <f>ABS(Log_2019[[#This Row],[Amount]])</f>
        <v>9.7100000000000009</v>
      </c>
      <c r="K282" s="38">
        <v>1</v>
      </c>
      <c r="L282" s="38">
        <f ca="1">IF(Log_2019[[#This Row],[Date]]&lt;=TODAY(), MIN(Log_2019[[#This Row],[Split_raw]], TODAY()-Log_2019[[#This Row],[Date]]+1), 0)</f>
        <v>1</v>
      </c>
      <c r="M282" s="34" t="s">
        <v>35</v>
      </c>
      <c r="N282" s="34" t="s">
        <v>158</v>
      </c>
      <c r="O282" s="7">
        <v>0</v>
      </c>
      <c r="P282" s="52">
        <f ca="1">Log_2019[[#This Row],[Amount]]/Log_2019[[#This Row],[Split_raw]]*MAX(0,MIN(_xlfn.DAYS(EDATE(P$1,1),Log_2019[[#This Row],[Date]]),Log_2019[[#This Row],[Split_apply]])) - SUM($O282:O282)</f>
        <v>0</v>
      </c>
      <c r="Q282" s="52">
        <f ca="1">Log_2019[[#This Row],[Amount]]/Log_2019[[#This Row],[Split_raw]]*MAX(0,MIN(_xlfn.DAYS(EDATE(Q$1,1),Log_2019[[#This Row],[Date]]),Log_2019[[#This Row],[Split_apply]])) - SUM($O282:P282)</f>
        <v>0</v>
      </c>
      <c r="R282" s="52">
        <f ca="1">Log_2019[[#This Row],[Amount]]/Log_2019[[#This Row],[Split_raw]]*MAX(0,MIN(_xlfn.DAYS(EDATE(R$1,1),Log_2019[[#This Row],[Date]]),Log_2019[[#This Row],[Split_apply]])) - SUM($O282:Q282)</f>
        <v>0</v>
      </c>
      <c r="S282" s="52">
        <f ca="1">Log_2019[[#This Row],[Amount]]/Log_2019[[#This Row],[Split_raw]]*MAX(0,MIN(_xlfn.DAYS(EDATE(S$1,1),Log_2019[[#This Row],[Date]]),Log_2019[[#This Row],[Split_apply]])) - SUM($O282:R282)</f>
        <v>0</v>
      </c>
      <c r="T282" s="52">
        <f ca="1">Log_2019[[#This Row],[Amount]]/Log_2019[[#This Row],[Split_raw]]*MAX(0,MIN(_xlfn.DAYS(EDATE(T$1,1),Log_2019[[#This Row],[Date]]),Log_2019[[#This Row],[Split_apply]])) - SUM($O282:S282)</f>
        <v>0</v>
      </c>
      <c r="U282" s="52">
        <f ca="1">Log_2019[[#This Row],[Amount]]/Log_2019[[#This Row],[Split_raw]]*MAX(0,MIN(_xlfn.DAYS(EDATE(U$1,1),Log_2019[[#This Row],[Date]]),Log_2019[[#This Row],[Split_apply]])) - SUM($O282:T282)</f>
        <v>0</v>
      </c>
      <c r="V282" s="52">
        <f ca="1">Log_2019[[#This Row],[Amount]]/Log_2019[[#This Row],[Split_raw]]*MAX(0,MIN(_xlfn.DAYS(EDATE(V$1,1),Log_2019[[#This Row],[Date]]),Log_2019[[#This Row],[Split_apply]])) - SUM($O282:U282)</f>
        <v>0</v>
      </c>
      <c r="W282" s="52">
        <f ca="1">Log_2019[[#This Row],[Amount]]/Log_2019[[#This Row],[Split_raw]]*MAX(0,MIN(_xlfn.DAYS(EDATE(W$1,1),Log_2019[[#This Row],[Date]]),Log_2019[[#This Row],[Split_apply]])) - SUM($O282:V282)</f>
        <v>-9.7100000000000009</v>
      </c>
      <c r="X282" s="52">
        <f ca="1">Log_2019[[#This Row],[Amount]]/Log_2019[[#This Row],[Split_raw]]*MAX(0,MIN(_xlfn.DAYS(EDATE(X$1,1),Log_2019[[#This Row],[Date]]),Log_2019[[#This Row],[Split_apply]])) - SUM($O282:W282)</f>
        <v>0</v>
      </c>
      <c r="Y282" s="52">
        <f ca="1">Log_2019[[#This Row],[Amount]]/Log_2019[[#This Row],[Split_raw]]*MAX(0,MIN(_xlfn.DAYS(EDATE(Y$1,1),Log_2019[[#This Row],[Date]]),Log_2019[[#This Row],[Split_apply]])) - SUM($O282:X282)</f>
        <v>0</v>
      </c>
      <c r="Z282" s="52">
        <f ca="1">Log_2019[[#This Row],[Amount]]/Log_2019[[#This Row],[Split_raw]]*MAX(0,MIN(_xlfn.DAYS(EDATE(Z$1,1),Log_2019[[#This Row],[Date]]),Log_2019[[#This Row],[Split_apply]])) - SUM($O282:Y282)</f>
        <v>0</v>
      </c>
      <c r="AA282" s="52">
        <f ca="1">Log_2019[[#This Row],[Amount]]/Log_2019[[#This Row],[Split_raw]]*MAX(0,MIN(_xlfn.DAYS(EDATE(AA$1,1),Log_2019[[#This Row],[Date]]),Log_2019[[#This Row],[Split_apply]])) - SUM($O282:Z282)</f>
        <v>0</v>
      </c>
      <c r="AB282" s="54">
        <f ca="1">Log_2019[[#This Row],[Amount]]-SUM(O282:AA282)</f>
        <v>0</v>
      </c>
      <c r="AC282" s="7">
        <f>MAX(0,Log_2019[[#This Row],[Split_raw]] - (EDATE(AA$1,1)-Log_2019[[#This Row],[Date]]))</f>
        <v>0</v>
      </c>
    </row>
    <row r="283" spans="1:29" x14ac:dyDescent="0.25">
      <c r="A283" s="42"/>
      <c r="B283" s="34" t="s">
        <v>6</v>
      </c>
      <c r="C283" s="34"/>
      <c r="D283" s="35">
        <v>43689</v>
      </c>
      <c r="E283" s="34"/>
      <c r="F283" s="34" t="s">
        <v>636</v>
      </c>
      <c r="G283" s="34" t="s">
        <v>10</v>
      </c>
      <c r="H283">
        <v>-30.89</v>
      </c>
      <c r="I283" s="36">
        <f>IF(Log_2019[[#This Row],[My Category]]="NONTRACKED",0,Log_2019[[#This Row],[Raw Amount]])</f>
        <v>-30.89</v>
      </c>
      <c r="J283" s="37">
        <f>ABS(Log_2019[[#This Row],[Amount]])</f>
        <v>30.89</v>
      </c>
      <c r="K283" s="38">
        <v>1</v>
      </c>
      <c r="L283" s="38">
        <f ca="1">IF(Log_2019[[#This Row],[Date]]&lt;=TODAY(), MIN(Log_2019[[#This Row],[Split_raw]], TODAY()-Log_2019[[#This Row],[Date]]+1), 0)</f>
        <v>1</v>
      </c>
      <c r="M283" s="34" t="s">
        <v>52</v>
      </c>
      <c r="N283" s="34" t="s">
        <v>158</v>
      </c>
      <c r="O283" s="7">
        <v>0</v>
      </c>
      <c r="P283" s="52">
        <f ca="1">Log_2019[[#This Row],[Amount]]/Log_2019[[#This Row],[Split_raw]]*MAX(0,MIN(_xlfn.DAYS(EDATE(P$1,1),Log_2019[[#This Row],[Date]]),Log_2019[[#This Row],[Split_apply]])) - SUM($O283:O283)</f>
        <v>0</v>
      </c>
      <c r="Q283" s="52">
        <f ca="1">Log_2019[[#This Row],[Amount]]/Log_2019[[#This Row],[Split_raw]]*MAX(0,MIN(_xlfn.DAYS(EDATE(Q$1,1),Log_2019[[#This Row],[Date]]),Log_2019[[#This Row],[Split_apply]])) - SUM($O283:P283)</f>
        <v>0</v>
      </c>
      <c r="R283" s="52">
        <f ca="1">Log_2019[[#This Row],[Amount]]/Log_2019[[#This Row],[Split_raw]]*MAX(0,MIN(_xlfn.DAYS(EDATE(R$1,1),Log_2019[[#This Row],[Date]]),Log_2019[[#This Row],[Split_apply]])) - SUM($O283:Q283)</f>
        <v>0</v>
      </c>
      <c r="S283" s="52">
        <f ca="1">Log_2019[[#This Row],[Amount]]/Log_2019[[#This Row],[Split_raw]]*MAX(0,MIN(_xlfn.DAYS(EDATE(S$1,1),Log_2019[[#This Row],[Date]]),Log_2019[[#This Row],[Split_apply]])) - SUM($O283:R283)</f>
        <v>0</v>
      </c>
      <c r="T283" s="52">
        <f ca="1">Log_2019[[#This Row],[Amount]]/Log_2019[[#This Row],[Split_raw]]*MAX(0,MIN(_xlfn.DAYS(EDATE(T$1,1),Log_2019[[#This Row],[Date]]),Log_2019[[#This Row],[Split_apply]])) - SUM($O283:S283)</f>
        <v>0</v>
      </c>
      <c r="U283" s="52">
        <f ca="1">Log_2019[[#This Row],[Amount]]/Log_2019[[#This Row],[Split_raw]]*MAX(0,MIN(_xlfn.DAYS(EDATE(U$1,1),Log_2019[[#This Row],[Date]]),Log_2019[[#This Row],[Split_apply]])) - SUM($O283:T283)</f>
        <v>0</v>
      </c>
      <c r="V283" s="52">
        <f ca="1">Log_2019[[#This Row],[Amount]]/Log_2019[[#This Row],[Split_raw]]*MAX(0,MIN(_xlfn.DAYS(EDATE(V$1,1),Log_2019[[#This Row],[Date]]),Log_2019[[#This Row],[Split_apply]])) - SUM($O283:U283)</f>
        <v>0</v>
      </c>
      <c r="W283" s="52">
        <f ca="1">Log_2019[[#This Row],[Amount]]/Log_2019[[#This Row],[Split_raw]]*MAX(0,MIN(_xlfn.DAYS(EDATE(W$1,1),Log_2019[[#This Row],[Date]]),Log_2019[[#This Row],[Split_apply]])) - SUM($O283:V283)</f>
        <v>-30.89</v>
      </c>
      <c r="X283" s="52">
        <f ca="1">Log_2019[[#This Row],[Amount]]/Log_2019[[#This Row],[Split_raw]]*MAX(0,MIN(_xlfn.DAYS(EDATE(X$1,1),Log_2019[[#This Row],[Date]]),Log_2019[[#This Row],[Split_apply]])) - SUM($O283:W283)</f>
        <v>0</v>
      </c>
      <c r="Y283" s="52">
        <f ca="1">Log_2019[[#This Row],[Amount]]/Log_2019[[#This Row],[Split_raw]]*MAX(0,MIN(_xlfn.DAYS(EDATE(Y$1,1),Log_2019[[#This Row],[Date]]),Log_2019[[#This Row],[Split_apply]])) - SUM($O283:X283)</f>
        <v>0</v>
      </c>
      <c r="Z283" s="52">
        <f ca="1">Log_2019[[#This Row],[Amount]]/Log_2019[[#This Row],[Split_raw]]*MAX(0,MIN(_xlfn.DAYS(EDATE(Z$1,1),Log_2019[[#This Row],[Date]]),Log_2019[[#This Row],[Split_apply]])) - SUM($O283:Y283)</f>
        <v>0</v>
      </c>
      <c r="AA283" s="52">
        <f ca="1">Log_2019[[#This Row],[Amount]]/Log_2019[[#This Row],[Split_raw]]*MAX(0,MIN(_xlfn.DAYS(EDATE(AA$1,1),Log_2019[[#This Row],[Date]]),Log_2019[[#This Row],[Split_apply]])) - SUM($O283:Z283)</f>
        <v>0</v>
      </c>
      <c r="AB283" s="54">
        <f ca="1">Log_2019[[#This Row],[Amount]]-SUM(O283:AA283)</f>
        <v>0</v>
      </c>
      <c r="AC283" s="7">
        <f>MAX(0,Log_2019[[#This Row],[Split_raw]] - (EDATE(AA$1,1)-Log_2019[[#This Row],[Date]]))</f>
        <v>0</v>
      </c>
    </row>
    <row r="284" spans="1:29" x14ac:dyDescent="0.25">
      <c r="A284" s="42"/>
      <c r="B284" s="34" t="s">
        <v>6</v>
      </c>
      <c r="C284" s="34"/>
      <c r="D284" s="35">
        <v>43689</v>
      </c>
      <c r="E284" s="34"/>
      <c r="F284" s="34" t="s">
        <v>587</v>
      </c>
      <c r="G284" s="34" t="s">
        <v>9</v>
      </c>
      <c r="H284">
        <v>-40.47</v>
      </c>
      <c r="I284" s="36">
        <f>IF(Log_2019[[#This Row],[My Category]]="NONTRACKED",0,Log_2019[[#This Row],[Raw Amount]])</f>
        <v>-40.47</v>
      </c>
      <c r="J284" s="37">
        <f>ABS(Log_2019[[#This Row],[Amount]])</f>
        <v>40.47</v>
      </c>
      <c r="K284" s="38">
        <v>1</v>
      </c>
      <c r="L284" s="38">
        <f ca="1">IF(Log_2019[[#This Row],[Date]]&lt;=TODAY(), MIN(Log_2019[[#This Row],[Split_raw]], TODAY()-Log_2019[[#This Row],[Date]]+1), 0)</f>
        <v>1</v>
      </c>
      <c r="M284" s="34" t="s">
        <v>12</v>
      </c>
      <c r="N284" s="34" t="s">
        <v>158</v>
      </c>
      <c r="O284" s="7">
        <v>0</v>
      </c>
      <c r="P284" s="52">
        <f ca="1">Log_2019[[#This Row],[Amount]]/Log_2019[[#This Row],[Split_raw]]*MAX(0,MIN(_xlfn.DAYS(EDATE(P$1,1),Log_2019[[#This Row],[Date]]),Log_2019[[#This Row],[Split_apply]])) - SUM($O284:O284)</f>
        <v>0</v>
      </c>
      <c r="Q284" s="52">
        <f ca="1">Log_2019[[#This Row],[Amount]]/Log_2019[[#This Row],[Split_raw]]*MAX(0,MIN(_xlfn.DAYS(EDATE(Q$1,1),Log_2019[[#This Row],[Date]]),Log_2019[[#This Row],[Split_apply]])) - SUM($O284:P284)</f>
        <v>0</v>
      </c>
      <c r="R284" s="52">
        <f ca="1">Log_2019[[#This Row],[Amount]]/Log_2019[[#This Row],[Split_raw]]*MAX(0,MIN(_xlfn.DAYS(EDATE(R$1,1),Log_2019[[#This Row],[Date]]),Log_2019[[#This Row],[Split_apply]])) - SUM($O284:Q284)</f>
        <v>0</v>
      </c>
      <c r="S284" s="52">
        <f ca="1">Log_2019[[#This Row],[Amount]]/Log_2019[[#This Row],[Split_raw]]*MAX(0,MIN(_xlfn.DAYS(EDATE(S$1,1),Log_2019[[#This Row],[Date]]),Log_2019[[#This Row],[Split_apply]])) - SUM($O284:R284)</f>
        <v>0</v>
      </c>
      <c r="T284" s="52">
        <f ca="1">Log_2019[[#This Row],[Amount]]/Log_2019[[#This Row],[Split_raw]]*MAX(0,MIN(_xlfn.DAYS(EDATE(T$1,1),Log_2019[[#This Row],[Date]]),Log_2019[[#This Row],[Split_apply]])) - SUM($O284:S284)</f>
        <v>0</v>
      </c>
      <c r="U284" s="52">
        <f ca="1">Log_2019[[#This Row],[Amount]]/Log_2019[[#This Row],[Split_raw]]*MAX(0,MIN(_xlfn.DAYS(EDATE(U$1,1),Log_2019[[#This Row],[Date]]),Log_2019[[#This Row],[Split_apply]])) - SUM($O284:T284)</f>
        <v>0</v>
      </c>
      <c r="V284" s="52">
        <f ca="1">Log_2019[[#This Row],[Amount]]/Log_2019[[#This Row],[Split_raw]]*MAX(0,MIN(_xlfn.DAYS(EDATE(V$1,1),Log_2019[[#This Row],[Date]]),Log_2019[[#This Row],[Split_apply]])) - SUM($O284:U284)</f>
        <v>0</v>
      </c>
      <c r="W284" s="52">
        <f ca="1">Log_2019[[#This Row],[Amount]]/Log_2019[[#This Row],[Split_raw]]*MAX(0,MIN(_xlfn.DAYS(EDATE(W$1,1),Log_2019[[#This Row],[Date]]),Log_2019[[#This Row],[Split_apply]])) - SUM($O284:V284)</f>
        <v>-40.47</v>
      </c>
      <c r="X284" s="52">
        <f ca="1">Log_2019[[#This Row],[Amount]]/Log_2019[[#This Row],[Split_raw]]*MAX(0,MIN(_xlfn.DAYS(EDATE(X$1,1),Log_2019[[#This Row],[Date]]),Log_2019[[#This Row],[Split_apply]])) - SUM($O284:W284)</f>
        <v>0</v>
      </c>
      <c r="Y284" s="52">
        <f ca="1">Log_2019[[#This Row],[Amount]]/Log_2019[[#This Row],[Split_raw]]*MAX(0,MIN(_xlfn.DAYS(EDATE(Y$1,1),Log_2019[[#This Row],[Date]]),Log_2019[[#This Row],[Split_apply]])) - SUM($O284:X284)</f>
        <v>0</v>
      </c>
      <c r="Z284" s="52">
        <f ca="1">Log_2019[[#This Row],[Amount]]/Log_2019[[#This Row],[Split_raw]]*MAX(0,MIN(_xlfn.DAYS(EDATE(Z$1,1),Log_2019[[#This Row],[Date]]),Log_2019[[#This Row],[Split_apply]])) - SUM($O284:Y284)</f>
        <v>0</v>
      </c>
      <c r="AA284" s="52">
        <f ca="1">Log_2019[[#This Row],[Amount]]/Log_2019[[#This Row],[Split_raw]]*MAX(0,MIN(_xlfn.DAYS(EDATE(AA$1,1),Log_2019[[#This Row],[Date]]),Log_2019[[#This Row],[Split_apply]])) - SUM($O284:Z284)</f>
        <v>0</v>
      </c>
      <c r="AB284" s="54">
        <f ca="1">Log_2019[[#This Row],[Amount]]-SUM(O284:AA284)</f>
        <v>0</v>
      </c>
      <c r="AC284" s="7">
        <f>MAX(0,Log_2019[[#This Row],[Split_raw]] - (EDATE(AA$1,1)-Log_2019[[#This Row],[Date]]))</f>
        <v>0</v>
      </c>
    </row>
    <row r="285" spans="1:29" x14ac:dyDescent="0.25">
      <c r="A285" s="42"/>
      <c r="B285" s="34" t="s">
        <v>6</v>
      </c>
      <c r="C285" s="34"/>
      <c r="D285" s="35">
        <v>43689</v>
      </c>
      <c r="E285" s="34"/>
      <c r="F285" s="34" t="s">
        <v>316</v>
      </c>
      <c r="G285" s="34" t="s">
        <v>104</v>
      </c>
      <c r="H285">
        <f>--703.67</f>
        <v>703.67</v>
      </c>
      <c r="I285" s="36">
        <f>IF(Log_2019[[#This Row],[My Category]]="NONTRACKED",0,Log_2019[[#This Row],[Raw Amount]])</f>
        <v>703.67</v>
      </c>
      <c r="J285" s="37">
        <f>ABS(Log_2019[[#This Row],[Amount]])</f>
        <v>703.67</v>
      </c>
      <c r="K285" s="38">
        <v>1</v>
      </c>
      <c r="L285" s="38">
        <f ca="1">IF(Log_2019[[#This Row],[Date]]&lt;=TODAY(), MIN(Log_2019[[#This Row],[Split_raw]], TODAY()-Log_2019[[#This Row],[Date]]+1), 0)</f>
        <v>1</v>
      </c>
      <c r="M285" s="34" t="s">
        <v>159</v>
      </c>
      <c r="N285" s="34" t="s">
        <v>158</v>
      </c>
      <c r="O285" s="7">
        <v>0</v>
      </c>
      <c r="P285" s="52">
        <f ca="1">Log_2019[[#This Row],[Amount]]/Log_2019[[#This Row],[Split_raw]]*MAX(0,MIN(_xlfn.DAYS(EDATE(P$1,1),Log_2019[[#This Row],[Date]]),Log_2019[[#This Row],[Split_apply]])) - SUM($O285:O285)</f>
        <v>0</v>
      </c>
      <c r="Q285" s="52">
        <f ca="1">Log_2019[[#This Row],[Amount]]/Log_2019[[#This Row],[Split_raw]]*MAX(0,MIN(_xlfn.DAYS(EDATE(Q$1,1),Log_2019[[#This Row],[Date]]),Log_2019[[#This Row],[Split_apply]])) - SUM($O285:P285)</f>
        <v>0</v>
      </c>
      <c r="R285" s="52">
        <f ca="1">Log_2019[[#This Row],[Amount]]/Log_2019[[#This Row],[Split_raw]]*MAX(0,MIN(_xlfn.DAYS(EDATE(R$1,1),Log_2019[[#This Row],[Date]]),Log_2019[[#This Row],[Split_apply]])) - SUM($O285:Q285)</f>
        <v>0</v>
      </c>
      <c r="S285" s="52">
        <f ca="1">Log_2019[[#This Row],[Amount]]/Log_2019[[#This Row],[Split_raw]]*MAX(0,MIN(_xlfn.DAYS(EDATE(S$1,1),Log_2019[[#This Row],[Date]]),Log_2019[[#This Row],[Split_apply]])) - SUM($O285:R285)</f>
        <v>0</v>
      </c>
      <c r="T285" s="52">
        <f ca="1">Log_2019[[#This Row],[Amount]]/Log_2019[[#This Row],[Split_raw]]*MAX(0,MIN(_xlfn.DAYS(EDATE(T$1,1),Log_2019[[#This Row],[Date]]),Log_2019[[#This Row],[Split_apply]])) - SUM($O285:S285)</f>
        <v>0</v>
      </c>
      <c r="U285" s="52">
        <f ca="1">Log_2019[[#This Row],[Amount]]/Log_2019[[#This Row],[Split_raw]]*MAX(0,MIN(_xlfn.DAYS(EDATE(U$1,1),Log_2019[[#This Row],[Date]]),Log_2019[[#This Row],[Split_apply]])) - SUM($O285:T285)</f>
        <v>0</v>
      </c>
      <c r="V285" s="52">
        <f ca="1">Log_2019[[#This Row],[Amount]]/Log_2019[[#This Row],[Split_raw]]*MAX(0,MIN(_xlfn.DAYS(EDATE(V$1,1),Log_2019[[#This Row],[Date]]),Log_2019[[#This Row],[Split_apply]])) - SUM($O285:U285)</f>
        <v>0</v>
      </c>
      <c r="W285" s="52">
        <f ca="1">Log_2019[[#This Row],[Amount]]/Log_2019[[#This Row],[Split_raw]]*MAX(0,MIN(_xlfn.DAYS(EDATE(W$1,1),Log_2019[[#This Row],[Date]]),Log_2019[[#This Row],[Split_apply]])) - SUM($O285:V285)</f>
        <v>703.67</v>
      </c>
      <c r="X285" s="52">
        <f ca="1">Log_2019[[#This Row],[Amount]]/Log_2019[[#This Row],[Split_raw]]*MAX(0,MIN(_xlfn.DAYS(EDATE(X$1,1),Log_2019[[#This Row],[Date]]),Log_2019[[#This Row],[Split_apply]])) - SUM($O285:W285)</f>
        <v>0</v>
      </c>
      <c r="Y285" s="52">
        <f ca="1">Log_2019[[#This Row],[Amount]]/Log_2019[[#This Row],[Split_raw]]*MAX(0,MIN(_xlfn.DAYS(EDATE(Y$1,1),Log_2019[[#This Row],[Date]]),Log_2019[[#This Row],[Split_apply]])) - SUM($O285:X285)</f>
        <v>0</v>
      </c>
      <c r="Z285" s="52">
        <f ca="1">Log_2019[[#This Row],[Amount]]/Log_2019[[#This Row],[Split_raw]]*MAX(0,MIN(_xlfn.DAYS(EDATE(Z$1,1),Log_2019[[#This Row],[Date]]),Log_2019[[#This Row],[Split_apply]])) - SUM($O285:Y285)</f>
        <v>0</v>
      </c>
      <c r="AA285" s="52">
        <f ca="1">Log_2019[[#This Row],[Amount]]/Log_2019[[#This Row],[Split_raw]]*MAX(0,MIN(_xlfn.DAYS(EDATE(AA$1,1),Log_2019[[#This Row],[Date]]),Log_2019[[#This Row],[Split_apply]])) - SUM($O285:Z285)</f>
        <v>0</v>
      </c>
      <c r="AB285" s="54">
        <f ca="1">Log_2019[[#This Row],[Amount]]-SUM(O285:AA285)</f>
        <v>0</v>
      </c>
      <c r="AC285" s="7">
        <f>MAX(0,Log_2019[[#This Row],[Split_raw]] - (EDATE(AA$1,1)-Log_2019[[#This Row],[Date]]))</f>
        <v>0</v>
      </c>
    </row>
    <row r="286" spans="1:29" x14ac:dyDescent="0.25">
      <c r="A286" s="42"/>
      <c r="B286" s="34" t="s">
        <v>6</v>
      </c>
      <c r="C286" s="34"/>
      <c r="D286" s="35">
        <v>43689</v>
      </c>
      <c r="E286" s="34" t="s">
        <v>250</v>
      </c>
      <c r="F286" s="34" t="s">
        <v>243</v>
      </c>
      <c r="G286" s="34" t="s">
        <v>143</v>
      </c>
      <c r="H286">
        <v>-10.81</v>
      </c>
      <c r="I286" s="36">
        <f>IF(Log_2019[[#This Row],[My Category]]="NONTRACKED",0,Log_2019[[#This Row],[Raw Amount]])</f>
        <v>-10.81</v>
      </c>
      <c r="J286" s="37">
        <f>ABS(Log_2019[[#This Row],[Amount]])</f>
        <v>10.81</v>
      </c>
      <c r="K286" s="38">
        <v>30</v>
      </c>
      <c r="L286" s="38">
        <f ca="1">IF(Log_2019[[#This Row],[Date]]&lt;=TODAY(), MIN(Log_2019[[#This Row],[Split_raw]], TODAY()-Log_2019[[#This Row],[Date]]+1), 0)</f>
        <v>30</v>
      </c>
      <c r="M286" s="34" t="s">
        <v>53</v>
      </c>
      <c r="N286" s="34" t="s">
        <v>160</v>
      </c>
      <c r="O286" s="7">
        <v>0</v>
      </c>
      <c r="P286" s="52">
        <f ca="1">Log_2019[[#This Row],[Amount]]/Log_2019[[#This Row],[Split_raw]]*MAX(0,MIN(_xlfn.DAYS(EDATE(P$1,1),Log_2019[[#This Row],[Date]]),Log_2019[[#This Row],[Split_apply]])) - SUM($O286:O286)</f>
        <v>0</v>
      </c>
      <c r="Q286" s="52">
        <f ca="1">Log_2019[[#This Row],[Amount]]/Log_2019[[#This Row],[Split_raw]]*MAX(0,MIN(_xlfn.DAYS(EDATE(Q$1,1),Log_2019[[#This Row],[Date]]),Log_2019[[#This Row],[Split_apply]])) - SUM($O286:P286)</f>
        <v>0</v>
      </c>
      <c r="R286" s="52">
        <f ca="1">Log_2019[[#This Row],[Amount]]/Log_2019[[#This Row],[Split_raw]]*MAX(0,MIN(_xlfn.DAYS(EDATE(R$1,1),Log_2019[[#This Row],[Date]]),Log_2019[[#This Row],[Split_apply]])) - SUM($O286:Q286)</f>
        <v>0</v>
      </c>
      <c r="S286" s="52">
        <f ca="1">Log_2019[[#This Row],[Amount]]/Log_2019[[#This Row],[Split_raw]]*MAX(0,MIN(_xlfn.DAYS(EDATE(S$1,1),Log_2019[[#This Row],[Date]]),Log_2019[[#This Row],[Split_apply]])) - SUM($O286:R286)</f>
        <v>0</v>
      </c>
      <c r="T286" s="52">
        <f ca="1">Log_2019[[#This Row],[Amount]]/Log_2019[[#This Row],[Split_raw]]*MAX(0,MIN(_xlfn.DAYS(EDATE(T$1,1),Log_2019[[#This Row],[Date]]),Log_2019[[#This Row],[Split_apply]])) - SUM($O286:S286)</f>
        <v>0</v>
      </c>
      <c r="U286" s="52">
        <f ca="1">Log_2019[[#This Row],[Amount]]/Log_2019[[#This Row],[Split_raw]]*MAX(0,MIN(_xlfn.DAYS(EDATE(U$1,1),Log_2019[[#This Row],[Date]]),Log_2019[[#This Row],[Split_apply]])) - SUM($O286:T286)</f>
        <v>0</v>
      </c>
      <c r="V286" s="52">
        <f ca="1">Log_2019[[#This Row],[Amount]]/Log_2019[[#This Row],[Split_raw]]*MAX(0,MIN(_xlfn.DAYS(EDATE(V$1,1),Log_2019[[#This Row],[Date]]),Log_2019[[#This Row],[Split_apply]])) - SUM($O286:U286)</f>
        <v>0</v>
      </c>
      <c r="W286" s="52">
        <f ca="1">Log_2019[[#This Row],[Amount]]/Log_2019[[#This Row],[Split_raw]]*MAX(0,MIN(_xlfn.DAYS(EDATE(W$1,1),Log_2019[[#This Row],[Date]]),Log_2019[[#This Row],[Split_apply]])) - SUM($O286:V286)</f>
        <v>-7.206666666666667</v>
      </c>
      <c r="X286" s="52">
        <f ca="1">Log_2019[[#This Row],[Amount]]/Log_2019[[#This Row],[Split_raw]]*MAX(0,MIN(_xlfn.DAYS(EDATE(X$1,1),Log_2019[[#This Row],[Date]]),Log_2019[[#This Row],[Split_apply]])) - SUM($O286:W286)</f>
        <v>-3.6033333333333335</v>
      </c>
      <c r="Y286" s="52">
        <f ca="1">Log_2019[[#This Row],[Amount]]/Log_2019[[#This Row],[Split_raw]]*MAX(0,MIN(_xlfn.DAYS(EDATE(Y$1,1),Log_2019[[#This Row],[Date]]),Log_2019[[#This Row],[Split_apply]])) - SUM($O286:X286)</f>
        <v>0</v>
      </c>
      <c r="Z286" s="52">
        <f ca="1">Log_2019[[#This Row],[Amount]]/Log_2019[[#This Row],[Split_raw]]*MAX(0,MIN(_xlfn.DAYS(EDATE(Z$1,1),Log_2019[[#This Row],[Date]]),Log_2019[[#This Row],[Split_apply]])) - SUM($O286:Y286)</f>
        <v>0</v>
      </c>
      <c r="AA286" s="52">
        <f ca="1">Log_2019[[#This Row],[Amount]]/Log_2019[[#This Row],[Split_raw]]*MAX(0,MIN(_xlfn.DAYS(EDATE(AA$1,1),Log_2019[[#This Row],[Date]]),Log_2019[[#This Row],[Split_apply]])) - SUM($O286:Z286)</f>
        <v>0</v>
      </c>
      <c r="AB286" s="54">
        <f ca="1">Log_2019[[#This Row],[Amount]]-SUM(O286:AA286)</f>
        <v>0</v>
      </c>
      <c r="AC286" s="7">
        <f>MAX(0,Log_2019[[#This Row],[Split_raw]] - (EDATE(AA$1,1)-Log_2019[[#This Row],[Date]]))</f>
        <v>0</v>
      </c>
    </row>
    <row r="287" spans="1:29" x14ac:dyDescent="0.25">
      <c r="A287" s="42"/>
      <c r="B287" s="34" t="s">
        <v>96</v>
      </c>
      <c r="C287" s="34"/>
      <c r="D287" s="35">
        <v>43686</v>
      </c>
      <c r="E287" s="34"/>
      <c r="F287" s="34" t="s">
        <v>746</v>
      </c>
      <c r="G287" s="34"/>
      <c r="H287">
        <v>40</v>
      </c>
      <c r="I287" s="36">
        <f>IF(Log_2019[[#This Row],[My Category]]="NONTRACKED",0,Log_2019[[#This Row],[Raw Amount]])</f>
        <v>40</v>
      </c>
      <c r="J287" s="37">
        <f>ABS(Log_2019[[#This Row],[Amount]])</f>
        <v>40</v>
      </c>
      <c r="K287" s="38">
        <v>1</v>
      </c>
      <c r="L287" s="38">
        <f ca="1">IF(Log_2019[[#This Row],[Date]]&lt;=TODAY(), MIN(Log_2019[[#This Row],[Split_raw]], TODAY()-Log_2019[[#This Row],[Date]]+1), 0)</f>
        <v>1</v>
      </c>
      <c r="M287" s="34" t="s">
        <v>35</v>
      </c>
      <c r="N287" s="34" t="s">
        <v>96</v>
      </c>
      <c r="O287" s="7">
        <v>0</v>
      </c>
      <c r="P287" s="52">
        <f ca="1">Log_2019[[#This Row],[Amount]]/Log_2019[[#This Row],[Split_raw]]*MAX(0,MIN(_xlfn.DAYS(EDATE(P$1,1),Log_2019[[#This Row],[Date]]),Log_2019[[#This Row],[Split_apply]])) - SUM($O287:O287)</f>
        <v>0</v>
      </c>
      <c r="Q287" s="52">
        <f ca="1">Log_2019[[#This Row],[Amount]]/Log_2019[[#This Row],[Split_raw]]*MAX(0,MIN(_xlfn.DAYS(EDATE(Q$1,1),Log_2019[[#This Row],[Date]]),Log_2019[[#This Row],[Split_apply]])) - SUM($O287:P287)</f>
        <v>0</v>
      </c>
      <c r="R287" s="52">
        <f ca="1">Log_2019[[#This Row],[Amount]]/Log_2019[[#This Row],[Split_raw]]*MAX(0,MIN(_xlfn.DAYS(EDATE(R$1,1),Log_2019[[#This Row],[Date]]),Log_2019[[#This Row],[Split_apply]])) - SUM($O287:Q287)</f>
        <v>0</v>
      </c>
      <c r="S287" s="52">
        <f ca="1">Log_2019[[#This Row],[Amount]]/Log_2019[[#This Row],[Split_raw]]*MAX(0,MIN(_xlfn.DAYS(EDATE(S$1,1),Log_2019[[#This Row],[Date]]),Log_2019[[#This Row],[Split_apply]])) - SUM($O287:R287)</f>
        <v>0</v>
      </c>
      <c r="T287" s="52">
        <f ca="1">Log_2019[[#This Row],[Amount]]/Log_2019[[#This Row],[Split_raw]]*MAX(0,MIN(_xlfn.DAYS(EDATE(T$1,1),Log_2019[[#This Row],[Date]]),Log_2019[[#This Row],[Split_apply]])) - SUM($O287:S287)</f>
        <v>0</v>
      </c>
      <c r="U287" s="52">
        <f ca="1">Log_2019[[#This Row],[Amount]]/Log_2019[[#This Row],[Split_raw]]*MAX(0,MIN(_xlfn.DAYS(EDATE(U$1,1),Log_2019[[#This Row],[Date]]),Log_2019[[#This Row],[Split_apply]])) - SUM($O287:T287)</f>
        <v>0</v>
      </c>
      <c r="V287" s="52">
        <f ca="1">Log_2019[[#This Row],[Amount]]/Log_2019[[#This Row],[Split_raw]]*MAX(0,MIN(_xlfn.DAYS(EDATE(V$1,1),Log_2019[[#This Row],[Date]]),Log_2019[[#This Row],[Split_apply]])) - SUM($O287:U287)</f>
        <v>0</v>
      </c>
      <c r="W287" s="52">
        <f ca="1">Log_2019[[#This Row],[Amount]]/Log_2019[[#This Row],[Split_raw]]*MAX(0,MIN(_xlfn.DAYS(EDATE(W$1,1),Log_2019[[#This Row],[Date]]),Log_2019[[#This Row],[Split_apply]])) - SUM($O287:V287)</f>
        <v>40</v>
      </c>
      <c r="X287" s="52">
        <f ca="1">Log_2019[[#This Row],[Amount]]/Log_2019[[#This Row],[Split_raw]]*MAX(0,MIN(_xlfn.DAYS(EDATE(X$1,1),Log_2019[[#This Row],[Date]]),Log_2019[[#This Row],[Split_apply]])) - SUM($O287:W287)</f>
        <v>0</v>
      </c>
      <c r="Y287" s="52">
        <f ca="1">Log_2019[[#This Row],[Amount]]/Log_2019[[#This Row],[Split_raw]]*MAX(0,MIN(_xlfn.DAYS(EDATE(Y$1,1),Log_2019[[#This Row],[Date]]),Log_2019[[#This Row],[Split_apply]])) - SUM($O287:X287)</f>
        <v>0</v>
      </c>
      <c r="Z287" s="52">
        <f ca="1">Log_2019[[#This Row],[Amount]]/Log_2019[[#This Row],[Split_raw]]*MAX(0,MIN(_xlfn.DAYS(EDATE(Z$1,1),Log_2019[[#This Row],[Date]]),Log_2019[[#This Row],[Split_apply]])) - SUM($O287:Y287)</f>
        <v>0</v>
      </c>
      <c r="AA287" s="52">
        <f ca="1">Log_2019[[#This Row],[Amount]]/Log_2019[[#This Row],[Split_raw]]*MAX(0,MIN(_xlfn.DAYS(EDATE(AA$1,1),Log_2019[[#This Row],[Date]]),Log_2019[[#This Row],[Split_apply]])) - SUM($O287:Z287)</f>
        <v>0</v>
      </c>
      <c r="AB287" s="54">
        <f ca="1">Log_2019[[#This Row],[Amount]]-SUM(O287:AA287)</f>
        <v>0</v>
      </c>
      <c r="AC287" s="7">
        <f>MAX(0,Log_2019[[#This Row],[Split_raw]] - (EDATE(AA$1,1)-Log_2019[[#This Row],[Date]]))</f>
        <v>0</v>
      </c>
    </row>
    <row r="288" spans="1:29" x14ac:dyDescent="0.25">
      <c r="A288" s="42"/>
      <c r="B288" s="34" t="s">
        <v>6</v>
      </c>
      <c r="C288" s="34"/>
      <c r="D288" s="35">
        <v>43686</v>
      </c>
      <c r="E288" s="34"/>
      <c r="F288" s="34" t="s">
        <v>679</v>
      </c>
      <c r="G288" s="34" t="s">
        <v>25</v>
      </c>
      <c r="H288">
        <v>-88.84</v>
      </c>
      <c r="I288" s="36">
        <f>IF(Log_2019[[#This Row],[My Category]]="NONTRACKED",0,Log_2019[[#This Row],[Raw Amount]])</f>
        <v>-88.84</v>
      </c>
      <c r="J288" s="37">
        <f>ABS(Log_2019[[#This Row],[Amount]])</f>
        <v>88.84</v>
      </c>
      <c r="K288" s="38">
        <v>1</v>
      </c>
      <c r="L288" s="38">
        <f ca="1">IF(Log_2019[[#This Row],[Date]]&lt;=TODAY(), MIN(Log_2019[[#This Row],[Split_raw]], TODAY()-Log_2019[[#This Row],[Date]]+1), 0)</f>
        <v>1</v>
      </c>
      <c r="M288" s="34" t="s">
        <v>35</v>
      </c>
      <c r="N288" s="34" t="s">
        <v>158</v>
      </c>
      <c r="O288" s="7">
        <v>0</v>
      </c>
      <c r="P288" s="52">
        <f ca="1">Log_2019[[#This Row],[Amount]]/Log_2019[[#This Row],[Split_raw]]*MAX(0,MIN(_xlfn.DAYS(EDATE(P$1,1),Log_2019[[#This Row],[Date]]),Log_2019[[#This Row],[Split_apply]])) - SUM($O288:O288)</f>
        <v>0</v>
      </c>
      <c r="Q288" s="52">
        <f ca="1">Log_2019[[#This Row],[Amount]]/Log_2019[[#This Row],[Split_raw]]*MAX(0,MIN(_xlfn.DAYS(EDATE(Q$1,1),Log_2019[[#This Row],[Date]]),Log_2019[[#This Row],[Split_apply]])) - SUM($O288:P288)</f>
        <v>0</v>
      </c>
      <c r="R288" s="52">
        <f ca="1">Log_2019[[#This Row],[Amount]]/Log_2019[[#This Row],[Split_raw]]*MAX(0,MIN(_xlfn.DAYS(EDATE(R$1,1),Log_2019[[#This Row],[Date]]),Log_2019[[#This Row],[Split_apply]])) - SUM($O288:Q288)</f>
        <v>0</v>
      </c>
      <c r="S288" s="52">
        <f ca="1">Log_2019[[#This Row],[Amount]]/Log_2019[[#This Row],[Split_raw]]*MAX(0,MIN(_xlfn.DAYS(EDATE(S$1,1),Log_2019[[#This Row],[Date]]),Log_2019[[#This Row],[Split_apply]])) - SUM($O288:R288)</f>
        <v>0</v>
      </c>
      <c r="T288" s="52">
        <f ca="1">Log_2019[[#This Row],[Amount]]/Log_2019[[#This Row],[Split_raw]]*MAX(0,MIN(_xlfn.DAYS(EDATE(T$1,1),Log_2019[[#This Row],[Date]]),Log_2019[[#This Row],[Split_apply]])) - SUM($O288:S288)</f>
        <v>0</v>
      </c>
      <c r="U288" s="52">
        <f ca="1">Log_2019[[#This Row],[Amount]]/Log_2019[[#This Row],[Split_raw]]*MAX(0,MIN(_xlfn.DAYS(EDATE(U$1,1),Log_2019[[#This Row],[Date]]),Log_2019[[#This Row],[Split_apply]])) - SUM($O288:T288)</f>
        <v>0</v>
      </c>
      <c r="V288" s="52">
        <f ca="1">Log_2019[[#This Row],[Amount]]/Log_2019[[#This Row],[Split_raw]]*MAX(0,MIN(_xlfn.DAYS(EDATE(V$1,1),Log_2019[[#This Row],[Date]]),Log_2019[[#This Row],[Split_apply]])) - SUM($O288:U288)</f>
        <v>0</v>
      </c>
      <c r="W288" s="52">
        <f ca="1">Log_2019[[#This Row],[Amount]]/Log_2019[[#This Row],[Split_raw]]*MAX(0,MIN(_xlfn.DAYS(EDATE(W$1,1),Log_2019[[#This Row],[Date]]),Log_2019[[#This Row],[Split_apply]])) - SUM($O288:V288)</f>
        <v>-88.84</v>
      </c>
      <c r="X288" s="52">
        <f ca="1">Log_2019[[#This Row],[Amount]]/Log_2019[[#This Row],[Split_raw]]*MAX(0,MIN(_xlfn.DAYS(EDATE(X$1,1),Log_2019[[#This Row],[Date]]),Log_2019[[#This Row],[Split_apply]])) - SUM($O288:W288)</f>
        <v>0</v>
      </c>
      <c r="Y288" s="52">
        <f ca="1">Log_2019[[#This Row],[Amount]]/Log_2019[[#This Row],[Split_raw]]*MAX(0,MIN(_xlfn.DAYS(EDATE(Y$1,1),Log_2019[[#This Row],[Date]]),Log_2019[[#This Row],[Split_apply]])) - SUM($O288:X288)</f>
        <v>0</v>
      </c>
      <c r="Z288" s="52">
        <f ca="1">Log_2019[[#This Row],[Amount]]/Log_2019[[#This Row],[Split_raw]]*MAX(0,MIN(_xlfn.DAYS(EDATE(Z$1,1),Log_2019[[#This Row],[Date]]),Log_2019[[#This Row],[Split_apply]])) - SUM($O288:Y288)</f>
        <v>0</v>
      </c>
      <c r="AA288" s="52">
        <f ca="1">Log_2019[[#This Row],[Amount]]/Log_2019[[#This Row],[Split_raw]]*MAX(0,MIN(_xlfn.DAYS(EDATE(AA$1,1),Log_2019[[#This Row],[Date]]),Log_2019[[#This Row],[Split_apply]])) - SUM($O288:Z288)</f>
        <v>0</v>
      </c>
      <c r="AB288" s="54">
        <f ca="1">Log_2019[[#This Row],[Amount]]-SUM(O288:AA288)</f>
        <v>0</v>
      </c>
      <c r="AC288" s="7">
        <f>MAX(0,Log_2019[[#This Row],[Split_raw]] - (EDATE(AA$1,1)-Log_2019[[#This Row],[Date]]))</f>
        <v>0</v>
      </c>
    </row>
    <row r="289" spans="1:29" x14ac:dyDescent="0.25">
      <c r="A289" s="42"/>
      <c r="B289" s="34" t="s">
        <v>6</v>
      </c>
      <c r="C289" s="34"/>
      <c r="D289" s="35">
        <v>43685</v>
      </c>
      <c r="E289" s="34"/>
      <c r="F289" s="34" t="s">
        <v>599</v>
      </c>
      <c r="G289" s="34" t="s">
        <v>27</v>
      </c>
      <c r="H289">
        <v>-9.99</v>
      </c>
      <c r="I289" s="36">
        <f>IF(Log_2019[[#This Row],[My Category]]="NONTRACKED",0,Log_2019[[#This Row],[Raw Amount]])</f>
        <v>-9.99</v>
      </c>
      <c r="J289" s="37">
        <f>ABS(Log_2019[[#This Row],[Amount]])</f>
        <v>9.99</v>
      </c>
      <c r="K289" s="38">
        <v>1</v>
      </c>
      <c r="L289" s="38">
        <f ca="1">IF(Log_2019[[#This Row],[Date]]&lt;=TODAY(), MIN(Log_2019[[#This Row],[Split_raw]], TODAY()-Log_2019[[#This Row],[Date]]+1), 0)</f>
        <v>1</v>
      </c>
      <c r="M289" s="34" t="s">
        <v>35</v>
      </c>
      <c r="N289" s="34" t="s">
        <v>158</v>
      </c>
      <c r="O289" s="7">
        <v>0</v>
      </c>
      <c r="P289" s="52">
        <f ca="1">Log_2019[[#This Row],[Amount]]/Log_2019[[#This Row],[Split_raw]]*MAX(0,MIN(_xlfn.DAYS(EDATE(P$1,1),Log_2019[[#This Row],[Date]]),Log_2019[[#This Row],[Split_apply]])) - SUM($O289:O289)</f>
        <v>0</v>
      </c>
      <c r="Q289" s="52">
        <f ca="1">Log_2019[[#This Row],[Amount]]/Log_2019[[#This Row],[Split_raw]]*MAX(0,MIN(_xlfn.DAYS(EDATE(Q$1,1),Log_2019[[#This Row],[Date]]),Log_2019[[#This Row],[Split_apply]])) - SUM($O289:P289)</f>
        <v>0</v>
      </c>
      <c r="R289" s="52">
        <f ca="1">Log_2019[[#This Row],[Amount]]/Log_2019[[#This Row],[Split_raw]]*MAX(0,MIN(_xlfn.DAYS(EDATE(R$1,1),Log_2019[[#This Row],[Date]]),Log_2019[[#This Row],[Split_apply]])) - SUM($O289:Q289)</f>
        <v>0</v>
      </c>
      <c r="S289" s="52">
        <f ca="1">Log_2019[[#This Row],[Amount]]/Log_2019[[#This Row],[Split_raw]]*MAX(0,MIN(_xlfn.DAYS(EDATE(S$1,1),Log_2019[[#This Row],[Date]]),Log_2019[[#This Row],[Split_apply]])) - SUM($O289:R289)</f>
        <v>0</v>
      </c>
      <c r="T289" s="52">
        <f ca="1">Log_2019[[#This Row],[Amount]]/Log_2019[[#This Row],[Split_raw]]*MAX(0,MIN(_xlfn.DAYS(EDATE(T$1,1),Log_2019[[#This Row],[Date]]),Log_2019[[#This Row],[Split_apply]])) - SUM($O289:S289)</f>
        <v>0</v>
      </c>
      <c r="U289" s="52">
        <f ca="1">Log_2019[[#This Row],[Amount]]/Log_2019[[#This Row],[Split_raw]]*MAX(0,MIN(_xlfn.DAYS(EDATE(U$1,1),Log_2019[[#This Row],[Date]]),Log_2019[[#This Row],[Split_apply]])) - SUM($O289:T289)</f>
        <v>0</v>
      </c>
      <c r="V289" s="52">
        <f ca="1">Log_2019[[#This Row],[Amount]]/Log_2019[[#This Row],[Split_raw]]*MAX(0,MIN(_xlfn.DAYS(EDATE(V$1,1),Log_2019[[#This Row],[Date]]),Log_2019[[#This Row],[Split_apply]])) - SUM($O289:U289)</f>
        <v>0</v>
      </c>
      <c r="W289" s="52">
        <f ca="1">Log_2019[[#This Row],[Amount]]/Log_2019[[#This Row],[Split_raw]]*MAX(0,MIN(_xlfn.DAYS(EDATE(W$1,1),Log_2019[[#This Row],[Date]]),Log_2019[[#This Row],[Split_apply]])) - SUM($O289:V289)</f>
        <v>-9.99</v>
      </c>
      <c r="X289" s="52">
        <f ca="1">Log_2019[[#This Row],[Amount]]/Log_2019[[#This Row],[Split_raw]]*MAX(0,MIN(_xlfn.DAYS(EDATE(X$1,1),Log_2019[[#This Row],[Date]]),Log_2019[[#This Row],[Split_apply]])) - SUM($O289:W289)</f>
        <v>0</v>
      </c>
      <c r="Y289" s="52">
        <f ca="1">Log_2019[[#This Row],[Amount]]/Log_2019[[#This Row],[Split_raw]]*MAX(0,MIN(_xlfn.DAYS(EDATE(Y$1,1),Log_2019[[#This Row],[Date]]),Log_2019[[#This Row],[Split_apply]])) - SUM($O289:X289)</f>
        <v>0</v>
      </c>
      <c r="Z289" s="52">
        <f ca="1">Log_2019[[#This Row],[Amount]]/Log_2019[[#This Row],[Split_raw]]*MAX(0,MIN(_xlfn.DAYS(EDATE(Z$1,1),Log_2019[[#This Row],[Date]]),Log_2019[[#This Row],[Split_apply]])) - SUM($O289:Y289)</f>
        <v>0</v>
      </c>
      <c r="AA289" s="52">
        <f ca="1">Log_2019[[#This Row],[Amount]]/Log_2019[[#This Row],[Split_raw]]*MAX(0,MIN(_xlfn.DAYS(EDATE(AA$1,1),Log_2019[[#This Row],[Date]]),Log_2019[[#This Row],[Split_apply]])) - SUM($O289:Z289)</f>
        <v>0</v>
      </c>
      <c r="AB289" s="54">
        <f ca="1">Log_2019[[#This Row],[Amount]]-SUM(O289:AA289)</f>
        <v>0</v>
      </c>
      <c r="AC289" s="7">
        <f>MAX(0,Log_2019[[#This Row],[Split_raw]] - (EDATE(AA$1,1)-Log_2019[[#This Row],[Date]]))</f>
        <v>0</v>
      </c>
    </row>
    <row r="290" spans="1:29" x14ac:dyDescent="0.25">
      <c r="A290" s="42"/>
      <c r="B290" s="34" t="s">
        <v>6</v>
      </c>
      <c r="C290" s="34"/>
      <c r="D290" s="35">
        <v>43685</v>
      </c>
      <c r="E290" s="34"/>
      <c r="F290" s="34" t="s">
        <v>306</v>
      </c>
      <c r="G290" s="34" t="s">
        <v>25</v>
      </c>
      <c r="H290">
        <v>-10.25</v>
      </c>
      <c r="I290" s="36">
        <f>IF(Log_2019[[#This Row],[My Category]]="NONTRACKED",0,Log_2019[[#This Row],[Raw Amount]])</f>
        <v>-10.25</v>
      </c>
      <c r="J290" s="37">
        <f>ABS(Log_2019[[#This Row],[Amount]])</f>
        <v>10.25</v>
      </c>
      <c r="K290" s="38">
        <v>1</v>
      </c>
      <c r="L290" s="38">
        <f ca="1">IF(Log_2019[[#This Row],[Date]]&lt;=TODAY(), MIN(Log_2019[[#This Row],[Split_raw]], TODAY()-Log_2019[[#This Row],[Date]]+1), 0)</f>
        <v>1</v>
      </c>
      <c r="M290" s="34" t="s">
        <v>35</v>
      </c>
      <c r="N290" s="34" t="s">
        <v>158</v>
      </c>
      <c r="O290" s="7">
        <v>0</v>
      </c>
      <c r="P290" s="52">
        <f ca="1">Log_2019[[#This Row],[Amount]]/Log_2019[[#This Row],[Split_raw]]*MAX(0,MIN(_xlfn.DAYS(EDATE(P$1,1),Log_2019[[#This Row],[Date]]),Log_2019[[#This Row],[Split_apply]])) - SUM($O290:O290)</f>
        <v>0</v>
      </c>
      <c r="Q290" s="52">
        <f ca="1">Log_2019[[#This Row],[Amount]]/Log_2019[[#This Row],[Split_raw]]*MAX(0,MIN(_xlfn.DAYS(EDATE(Q$1,1),Log_2019[[#This Row],[Date]]),Log_2019[[#This Row],[Split_apply]])) - SUM($O290:P290)</f>
        <v>0</v>
      </c>
      <c r="R290" s="52">
        <f ca="1">Log_2019[[#This Row],[Amount]]/Log_2019[[#This Row],[Split_raw]]*MAX(0,MIN(_xlfn.DAYS(EDATE(R$1,1),Log_2019[[#This Row],[Date]]),Log_2019[[#This Row],[Split_apply]])) - SUM($O290:Q290)</f>
        <v>0</v>
      </c>
      <c r="S290" s="52">
        <f ca="1">Log_2019[[#This Row],[Amount]]/Log_2019[[#This Row],[Split_raw]]*MAX(0,MIN(_xlfn.DAYS(EDATE(S$1,1),Log_2019[[#This Row],[Date]]),Log_2019[[#This Row],[Split_apply]])) - SUM($O290:R290)</f>
        <v>0</v>
      </c>
      <c r="T290" s="52">
        <f ca="1">Log_2019[[#This Row],[Amount]]/Log_2019[[#This Row],[Split_raw]]*MAX(0,MIN(_xlfn.DAYS(EDATE(T$1,1),Log_2019[[#This Row],[Date]]),Log_2019[[#This Row],[Split_apply]])) - SUM($O290:S290)</f>
        <v>0</v>
      </c>
      <c r="U290" s="52">
        <f ca="1">Log_2019[[#This Row],[Amount]]/Log_2019[[#This Row],[Split_raw]]*MAX(0,MIN(_xlfn.DAYS(EDATE(U$1,1),Log_2019[[#This Row],[Date]]),Log_2019[[#This Row],[Split_apply]])) - SUM($O290:T290)</f>
        <v>0</v>
      </c>
      <c r="V290" s="52">
        <f ca="1">Log_2019[[#This Row],[Amount]]/Log_2019[[#This Row],[Split_raw]]*MAX(0,MIN(_xlfn.DAYS(EDATE(V$1,1),Log_2019[[#This Row],[Date]]),Log_2019[[#This Row],[Split_apply]])) - SUM($O290:U290)</f>
        <v>0</v>
      </c>
      <c r="W290" s="52">
        <f ca="1">Log_2019[[#This Row],[Amount]]/Log_2019[[#This Row],[Split_raw]]*MAX(0,MIN(_xlfn.DAYS(EDATE(W$1,1),Log_2019[[#This Row],[Date]]),Log_2019[[#This Row],[Split_apply]])) - SUM($O290:V290)</f>
        <v>-10.25</v>
      </c>
      <c r="X290" s="52">
        <f ca="1">Log_2019[[#This Row],[Amount]]/Log_2019[[#This Row],[Split_raw]]*MAX(0,MIN(_xlfn.DAYS(EDATE(X$1,1),Log_2019[[#This Row],[Date]]),Log_2019[[#This Row],[Split_apply]])) - SUM($O290:W290)</f>
        <v>0</v>
      </c>
      <c r="Y290" s="52">
        <f ca="1">Log_2019[[#This Row],[Amount]]/Log_2019[[#This Row],[Split_raw]]*MAX(0,MIN(_xlfn.DAYS(EDATE(Y$1,1),Log_2019[[#This Row],[Date]]),Log_2019[[#This Row],[Split_apply]])) - SUM($O290:X290)</f>
        <v>0</v>
      </c>
      <c r="Z290" s="52">
        <f ca="1">Log_2019[[#This Row],[Amount]]/Log_2019[[#This Row],[Split_raw]]*MAX(0,MIN(_xlfn.DAYS(EDATE(Z$1,1),Log_2019[[#This Row],[Date]]),Log_2019[[#This Row],[Split_apply]])) - SUM($O290:Y290)</f>
        <v>0</v>
      </c>
      <c r="AA290" s="52">
        <f ca="1">Log_2019[[#This Row],[Amount]]/Log_2019[[#This Row],[Split_raw]]*MAX(0,MIN(_xlfn.DAYS(EDATE(AA$1,1),Log_2019[[#This Row],[Date]]),Log_2019[[#This Row],[Split_apply]])) - SUM($O290:Z290)</f>
        <v>0</v>
      </c>
      <c r="AB290" s="54">
        <f ca="1">Log_2019[[#This Row],[Amount]]-SUM(O290:AA290)</f>
        <v>0</v>
      </c>
      <c r="AC290" s="7">
        <f>MAX(0,Log_2019[[#This Row],[Split_raw]] - (EDATE(AA$1,1)-Log_2019[[#This Row],[Date]]))</f>
        <v>0</v>
      </c>
    </row>
    <row r="291" spans="1:29" x14ac:dyDescent="0.25">
      <c r="A291" s="42"/>
      <c r="B291" s="34" t="s">
        <v>6</v>
      </c>
      <c r="C291" s="34"/>
      <c r="D291" s="35">
        <v>43684</v>
      </c>
      <c r="E291" s="34"/>
      <c r="F291" s="34" t="s">
        <v>309</v>
      </c>
      <c r="G291" s="34" t="s">
        <v>13</v>
      </c>
      <c r="H291">
        <v>-8.2899999999999991</v>
      </c>
      <c r="I291" s="36">
        <f>IF(Log_2019[[#This Row],[My Category]]="NONTRACKED",0,Log_2019[[#This Row],[Raw Amount]])</f>
        <v>-8.2899999999999991</v>
      </c>
      <c r="J291" s="37">
        <f>ABS(Log_2019[[#This Row],[Amount]])</f>
        <v>8.2899999999999991</v>
      </c>
      <c r="K291" s="38">
        <v>1</v>
      </c>
      <c r="L291" s="38">
        <f ca="1">IF(Log_2019[[#This Row],[Date]]&lt;=TODAY(), MIN(Log_2019[[#This Row],[Split_raw]], TODAY()-Log_2019[[#This Row],[Date]]+1), 0)</f>
        <v>1</v>
      </c>
      <c r="M291" s="34" t="s">
        <v>145</v>
      </c>
      <c r="N291" s="34" t="s">
        <v>158</v>
      </c>
      <c r="O291" s="7">
        <v>0</v>
      </c>
      <c r="P291" s="52">
        <f ca="1">Log_2019[[#This Row],[Amount]]/Log_2019[[#This Row],[Split_raw]]*MAX(0,MIN(_xlfn.DAYS(EDATE(P$1,1),Log_2019[[#This Row],[Date]]),Log_2019[[#This Row],[Split_apply]])) - SUM($O291:O291)</f>
        <v>0</v>
      </c>
      <c r="Q291" s="52">
        <f ca="1">Log_2019[[#This Row],[Amount]]/Log_2019[[#This Row],[Split_raw]]*MAX(0,MIN(_xlfn.DAYS(EDATE(Q$1,1),Log_2019[[#This Row],[Date]]),Log_2019[[#This Row],[Split_apply]])) - SUM($O291:P291)</f>
        <v>0</v>
      </c>
      <c r="R291" s="52">
        <f ca="1">Log_2019[[#This Row],[Amount]]/Log_2019[[#This Row],[Split_raw]]*MAX(0,MIN(_xlfn.DAYS(EDATE(R$1,1),Log_2019[[#This Row],[Date]]),Log_2019[[#This Row],[Split_apply]])) - SUM($O291:Q291)</f>
        <v>0</v>
      </c>
      <c r="S291" s="52">
        <f ca="1">Log_2019[[#This Row],[Amount]]/Log_2019[[#This Row],[Split_raw]]*MAX(0,MIN(_xlfn.DAYS(EDATE(S$1,1),Log_2019[[#This Row],[Date]]),Log_2019[[#This Row],[Split_apply]])) - SUM($O291:R291)</f>
        <v>0</v>
      </c>
      <c r="T291" s="52">
        <f ca="1">Log_2019[[#This Row],[Amount]]/Log_2019[[#This Row],[Split_raw]]*MAX(0,MIN(_xlfn.DAYS(EDATE(T$1,1),Log_2019[[#This Row],[Date]]),Log_2019[[#This Row],[Split_apply]])) - SUM($O291:S291)</f>
        <v>0</v>
      </c>
      <c r="U291" s="52">
        <f ca="1">Log_2019[[#This Row],[Amount]]/Log_2019[[#This Row],[Split_raw]]*MAX(0,MIN(_xlfn.DAYS(EDATE(U$1,1),Log_2019[[#This Row],[Date]]),Log_2019[[#This Row],[Split_apply]])) - SUM($O291:T291)</f>
        <v>0</v>
      </c>
      <c r="V291" s="52">
        <f ca="1">Log_2019[[#This Row],[Amount]]/Log_2019[[#This Row],[Split_raw]]*MAX(0,MIN(_xlfn.DAYS(EDATE(V$1,1),Log_2019[[#This Row],[Date]]),Log_2019[[#This Row],[Split_apply]])) - SUM($O291:U291)</f>
        <v>0</v>
      </c>
      <c r="W291" s="52">
        <f ca="1">Log_2019[[#This Row],[Amount]]/Log_2019[[#This Row],[Split_raw]]*MAX(0,MIN(_xlfn.DAYS(EDATE(W$1,1),Log_2019[[#This Row],[Date]]),Log_2019[[#This Row],[Split_apply]])) - SUM($O291:V291)</f>
        <v>-8.2899999999999991</v>
      </c>
      <c r="X291" s="52">
        <f ca="1">Log_2019[[#This Row],[Amount]]/Log_2019[[#This Row],[Split_raw]]*MAX(0,MIN(_xlfn.DAYS(EDATE(X$1,1),Log_2019[[#This Row],[Date]]),Log_2019[[#This Row],[Split_apply]])) - SUM($O291:W291)</f>
        <v>0</v>
      </c>
      <c r="Y291" s="52">
        <f ca="1">Log_2019[[#This Row],[Amount]]/Log_2019[[#This Row],[Split_raw]]*MAX(0,MIN(_xlfn.DAYS(EDATE(Y$1,1),Log_2019[[#This Row],[Date]]),Log_2019[[#This Row],[Split_apply]])) - SUM($O291:X291)</f>
        <v>0</v>
      </c>
      <c r="Z291" s="52">
        <f ca="1">Log_2019[[#This Row],[Amount]]/Log_2019[[#This Row],[Split_raw]]*MAX(0,MIN(_xlfn.DAYS(EDATE(Z$1,1),Log_2019[[#This Row],[Date]]),Log_2019[[#This Row],[Split_apply]])) - SUM($O291:Y291)</f>
        <v>0</v>
      </c>
      <c r="AA291" s="52">
        <f ca="1">Log_2019[[#This Row],[Amount]]/Log_2019[[#This Row],[Split_raw]]*MAX(0,MIN(_xlfn.DAYS(EDATE(AA$1,1),Log_2019[[#This Row],[Date]]),Log_2019[[#This Row],[Split_apply]])) - SUM($O291:Z291)</f>
        <v>0</v>
      </c>
      <c r="AB291" s="54">
        <f ca="1">Log_2019[[#This Row],[Amount]]-SUM(O291:AA291)</f>
        <v>0</v>
      </c>
      <c r="AC291" s="7">
        <f>MAX(0,Log_2019[[#This Row],[Split_raw]] - (EDATE(AA$1,1)-Log_2019[[#This Row],[Date]]))</f>
        <v>0</v>
      </c>
    </row>
    <row r="292" spans="1:29" x14ac:dyDescent="0.25">
      <c r="A292" s="42"/>
      <c r="B292" s="34" t="s">
        <v>6</v>
      </c>
      <c r="C292" s="34"/>
      <c r="D292" s="35">
        <v>43683</v>
      </c>
      <c r="E292" s="34"/>
      <c r="F292" s="34" t="s">
        <v>620</v>
      </c>
      <c r="G292" s="34" t="s">
        <v>582</v>
      </c>
      <c r="H292">
        <v>-29.42</v>
      </c>
      <c r="I292" s="36">
        <f>IF(Log_2019[[#This Row],[My Category]]="NONTRACKED",0,Log_2019[[#This Row],[Raw Amount]])</f>
        <v>-29.42</v>
      </c>
      <c r="J292" s="37">
        <f>ABS(Log_2019[[#This Row],[Amount]])</f>
        <v>29.42</v>
      </c>
      <c r="K292" s="38">
        <v>30</v>
      </c>
      <c r="L292" s="38">
        <f ca="1">IF(Log_2019[[#This Row],[Date]]&lt;=TODAY(), MIN(Log_2019[[#This Row],[Split_raw]], TODAY()-Log_2019[[#This Row],[Date]]+1), 0)</f>
        <v>30</v>
      </c>
      <c r="M292" s="34" t="s">
        <v>29</v>
      </c>
      <c r="N292" s="34" t="s">
        <v>158</v>
      </c>
      <c r="O292" s="7">
        <v>0</v>
      </c>
      <c r="P292" s="52">
        <f ca="1">Log_2019[[#This Row],[Amount]]/Log_2019[[#This Row],[Split_raw]]*MAX(0,MIN(_xlfn.DAYS(EDATE(P$1,1),Log_2019[[#This Row],[Date]]),Log_2019[[#This Row],[Split_apply]])) - SUM($O292:O292)</f>
        <v>0</v>
      </c>
      <c r="Q292" s="52">
        <f ca="1">Log_2019[[#This Row],[Amount]]/Log_2019[[#This Row],[Split_raw]]*MAX(0,MIN(_xlfn.DAYS(EDATE(Q$1,1),Log_2019[[#This Row],[Date]]),Log_2019[[#This Row],[Split_apply]])) - SUM($O292:P292)</f>
        <v>0</v>
      </c>
      <c r="R292" s="52">
        <f ca="1">Log_2019[[#This Row],[Amount]]/Log_2019[[#This Row],[Split_raw]]*MAX(0,MIN(_xlfn.DAYS(EDATE(R$1,1),Log_2019[[#This Row],[Date]]),Log_2019[[#This Row],[Split_apply]])) - SUM($O292:Q292)</f>
        <v>0</v>
      </c>
      <c r="S292" s="52">
        <f ca="1">Log_2019[[#This Row],[Amount]]/Log_2019[[#This Row],[Split_raw]]*MAX(0,MIN(_xlfn.DAYS(EDATE(S$1,1),Log_2019[[#This Row],[Date]]),Log_2019[[#This Row],[Split_apply]])) - SUM($O292:R292)</f>
        <v>0</v>
      </c>
      <c r="T292" s="52">
        <f ca="1">Log_2019[[#This Row],[Amount]]/Log_2019[[#This Row],[Split_raw]]*MAX(0,MIN(_xlfn.DAYS(EDATE(T$1,1),Log_2019[[#This Row],[Date]]),Log_2019[[#This Row],[Split_apply]])) - SUM($O292:S292)</f>
        <v>0</v>
      </c>
      <c r="U292" s="52">
        <f ca="1">Log_2019[[#This Row],[Amount]]/Log_2019[[#This Row],[Split_raw]]*MAX(0,MIN(_xlfn.DAYS(EDATE(U$1,1),Log_2019[[#This Row],[Date]]),Log_2019[[#This Row],[Split_apply]])) - SUM($O292:T292)</f>
        <v>0</v>
      </c>
      <c r="V292" s="52">
        <f ca="1">Log_2019[[#This Row],[Amount]]/Log_2019[[#This Row],[Split_raw]]*MAX(0,MIN(_xlfn.DAYS(EDATE(V$1,1),Log_2019[[#This Row],[Date]]),Log_2019[[#This Row],[Split_apply]])) - SUM($O292:U292)</f>
        <v>0</v>
      </c>
      <c r="W292" s="52">
        <f ca="1">Log_2019[[#This Row],[Amount]]/Log_2019[[#This Row],[Split_raw]]*MAX(0,MIN(_xlfn.DAYS(EDATE(W$1,1),Log_2019[[#This Row],[Date]]),Log_2019[[#This Row],[Split_apply]])) - SUM($O292:V292)</f>
        <v>-25.497333333333334</v>
      </c>
      <c r="X292" s="52">
        <f ca="1">Log_2019[[#This Row],[Amount]]/Log_2019[[#This Row],[Split_raw]]*MAX(0,MIN(_xlfn.DAYS(EDATE(X$1,1),Log_2019[[#This Row],[Date]]),Log_2019[[#This Row],[Split_apply]])) - SUM($O292:W292)</f>
        <v>-3.9226666666666681</v>
      </c>
      <c r="Y292" s="52">
        <f ca="1">Log_2019[[#This Row],[Amount]]/Log_2019[[#This Row],[Split_raw]]*MAX(0,MIN(_xlfn.DAYS(EDATE(Y$1,1),Log_2019[[#This Row],[Date]]),Log_2019[[#This Row],[Split_apply]])) - SUM($O292:X292)</f>
        <v>0</v>
      </c>
      <c r="Z292" s="52">
        <f ca="1">Log_2019[[#This Row],[Amount]]/Log_2019[[#This Row],[Split_raw]]*MAX(0,MIN(_xlfn.DAYS(EDATE(Z$1,1),Log_2019[[#This Row],[Date]]),Log_2019[[#This Row],[Split_apply]])) - SUM($O292:Y292)</f>
        <v>0</v>
      </c>
      <c r="AA292" s="52">
        <f ca="1">Log_2019[[#This Row],[Amount]]/Log_2019[[#This Row],[Split_raw]]*MAX(0,MIN(_xlfn.DAYS(EDATE(AA$1,1),Log_2019[[#This Row],[Date]]),Log_2019[[#This Row],[Split_apply]])) - SUM($O292:Z292)</f>
        <v>0</v>
      </c>
      <c r="AB292" s="54">
        <f ca="1">Log_2019[[#This Row],[Amount]]-SUM(O292:AA292)</f>
        <v>0</v>
      </c>
      <c r="AC292" s="7">
        <f>MAX(0,Log_2019[[#This Row],[Split_raw]] - (EDATE(AA$1,1)-Log_2019[[#This Row],[Date]]))</f>
        <v>0</v>
      </c>
    </row>
    <row r="293" spans="1:29" x14ac:dyDescent="0.25">
      <c r="A293" s="42"/>
      <c r="B293" s="34" t="s">
        <v>6</v>
      </c>
      <c r="C293" s="34"/>
      <c r="D293" s="35">
        <v>43683</v>
      </c>
      <c r="E293" s="34"/>
      <c r="F293" s="34" t="s">
        <v>255</v>
      </c>
      <c r="G293" s="34" t="s">
        <v>10</v>
      </c>
      <c r="H293">
        <v>-5.4</v>
      </c>
      <c r="I293" s="36">
        <f>IF(Log_2019[[#This Row],[My Category]]="NONTRACKED",0,Log_2019[[#This Row],[Raw Amount]])</f>
        <v>-5.4</v>
      </c>
      <c r="J293" s="37">
        <f>ABS(Log_2019[[#This Row],[Amount]])</f>
        <v>5.4</v>
      </c>
      <c r="K293" s="38">
        <v>1</v>
      </c>
      <c r="L293" s="38">
        <f ca="1">IF(Log_2019[[#This Row],[Date]]&lt;=TODAY(), MIN(Log_2019[[#This Row],[Split_raw]], TODAY()-Log_2019[[#This Row],[Date]]+1), 0)</f>
        <v>1</v>
      </c>
      <c r="M293" s="34" t="s">
        <v>35</v>
      </c>
      <c r="N293" s="34" t="s">
        <v>158</v>
      </c>
      <c r="O293" s="7">
        <v>0</v>
      </c>
      <c r="P293" s="52">
        <f ca="1">Log_2019[[#This Row],[Amount]]/Log_2019[[#This Row],[Split_raw]]*MAX(0,MIN(_xlfn.DAYS(EDATE(P$1,1),Log_2019[[#This Row],[Date]]),Log_2019[[#This Row],[Split_apply]])) - SUM($O293:O293)</f>
        <v>0</v>
      </c>
      <c r="Q293" s="52">
        <f ca="1">Log_2019[[#This Row],[Amount]]/Log_2019[[#This Row],[Split_raw]]*MAX(0,MIN(_xlfn.DAYS(EDATE(Q$1,1),Log_2019[[#This Row],[Date]]),Log_2019[[#This Row],[Split_apply]])) - SUM($O293:P293)</f>
        <v>0</v>
      </c>
      <c r="R293" s="52">
        <f ca="1">Log_2019[[#This Row],[Amount]]/Log_2019[[#This Row],[Split_raw]]*MAX(0,MIN(_xlfn.DAYS(EDATE(R$1,1),Log_2019[[#This Row],[Date]]),Log_2019[[#This Row],[Split_apply]])) - SUM($O293:Q293)</f>
        <v>0</v>
      </c>
      <c r="S293" s="52">
        <f ca="1">Log_2019[[#This Row],[Amount]]/Log_2019[[#This Row],[Split_raw]]*MAX(0,MIN(_xlfn.DAYS(EDATE(S$1,1),Log_2019[[#This Row],[Date]]),Log_2019[[#This Row],[Split_apply]])) - SUM($O293:R293)</f>
        <v>0</v>
      </c>
      <c r="T293" s="52">
        <f ca="1">Log_2019[[#This Row],[Amount]]/Log_2019[[#This Row],[Split_raw]]*MAX(0,MIN(_xlfn.DAYS(EDATE(T$1,1),Log_2019[[#This Row],[Date]]),Log_2019[[#This Row],[Split_apply]])) - SUM($O293:S293)</f>
        <v>0</v>
      </c>
      <c r="U293" s="52">
        <f ca="1">Log_2019[[#This Row],[Amount]]/Log_2019[[#This Row],[Split_raw]]*MAX(0,MIN(_xlfn.DAYS(EDATE(U$1,1),Log_2019[[#This Row],[Date]]),Log_2019[[#This Row],[Split_apply]])) - SUM($O293:T293)</f>
        <v>0</v>
      </c>
      <c r="V293" s="52">
        <f ca="1">Log_2019[[#This Row],[Amount]]/Log_2019[[#This Row],[Split_raw]]*MAX(0,MIN(_xlfn.DAYS(EDATE(V$1,1),Log_2019[[#This Row],[Date]]),Log_2019[[#This Row],[Split_apply]])) - SUM($O293:U293)</f>
        <v>0</v>
      </c>
      <c r="W293" s="52">
        <f ca="1">Log_2019[[#This Row],[Amount]]/Log_2019[[#This Row],[Split_raw]]*MAX(0,MIN(_xlfn.DAYS(EDATE(W$1,1),Log_2019[[#This Row],[Date]]),Log_2019[[#This Row],[Split_apply]])) - SUM($O293:V293)</f>
        <v>-5.4</v>
      </c>
      <c r="X293" s="52">
        <f ca="1">Log_2019[[#This Row],[Amount]]/Log_2019[[#This Row],[Split_raw]]*MAX(0,MIN(_xlfn.DAYS(EDATE(X$1,1),Log_2019[[#This Row],[Date]]),Log_2019[[#This Row],[Split_apply]])) - SUM($O293:W293)</f>
        <v>0</v>
      </c>
      <c r="Y293" s="52">
        <f ca="1">Log_2019[[#This Row],[Amount]]/Log_2019[[#This Row],[Split_raw]]*MAX(0,MIN(_xlfn.DAYS(EDATE(Y$1,1),Log_2019[[#This Row],[Date]]),Log_2019[[#This Row],[Split_apply]])) - SUM($O293:X293)</f>
        <v>0</v>
      </c>
      <c r="Z293" s="52">
        <f ca="1">Log_2019[[#This Row],[Amount]]/Log_2019[[#This Row],[Split_raw]]*MAX(0,MIN(_xlfn.DAYS(EDATE(Z$1,1),Log_2019[[#This Row],[Date]]),Log_2019[[#This Row],[Split_apply]])) - SUM($O293:Y293)</f>
        <v>0</v>
      </c>
      <c r="AA293" s="52">
        <f ca="1">Log_2019[[#This Row],[Amount]]/Log_2019[[#This Row],[Split_raw]]*MAX(0,MIN(_xlfn.DAYS(EDATE(AA$1,1),Log_2019[[#This Row],[Date]]),Log_2019[[#This Row],[Split_apply]])) - SUM($O293:Z293)</f>
        <v>0</v>
      </c>
      <c r="AB293" s="54">
        <f ca="1">Log_2019[[#This Row],[Amount]]-SUM(O293:AA293)</f>
        <v>0</v>
      </c>
      <c r="AC293" s="7">
        <f>MAX(0,Log_2019[[#This Row],[Split_raw]] - (EDATE(AA$1,1)-Log_2019[[#This Row],[Date]]))</f>
        <v>0</v>
      </c>
    </row>
    <row r="294" spans="1:29" x14ac:dyDescent="0.25">
      <c r="A294" s="42"/>
      <c r="B294" s="34" t="s">
        <v>6</v>
      </c>
      <c r="C294" s="34"/>
      <c r="D294" s="35">
        <v>43683</v>
      </c>
      <c r="E294" s="34" t="s">
        <v>684</v>
      </c>
      <c r="F294" s="34" t="s">
        <v>309</v>
      </c>
      <c r="G294" s="34" t="s">
        <v>13</v>
      </c>
      <c r="H294">
        <v>-106.93</v>
      </c>
      <c r="I294" s="36">
        <f>IF(Log_2019[[#This Row],[My Category]]="NONTRACKED",0,Log_2019[[#This Row],[Raw Amount]])</f>
        <v>-106.93</v>
      </c>
      <c r="J294" s="37">
        <f>ABS(Log_2019[[#This Row],[Amount]])</f>
        <v>106.93</v>
      </c>
      <c r="K294" s="38">
        <v>1</v>
      </c>
      <c r="L294" s="38">
        <f ca="1">IF(Log_2019[[#This Row],[Date]]&lt;=TODAY(), MIN(Log_2019[[#This Row],[Split_raw]], TODAY()-Log_2019[[#This Row],[Date]]+1), 0)</f>
        <v>1</v>
      </c>
      <c r="M294" s="34" t="s">
        <v>145</v>
      </c>
      <c r="N294" s="34" t="s">
        <v>158</v>
      </c>
      <c r="O294" s="7">
        <v>0</v>
      </c>
      <c r="P294" s="52">
        <f ca="1">Log_2019[[#This Row],[Amount]]/Log_2019[[#This Row],[Split_raw]]*MAX(0,MIN(_xlfn.DAYS(EDATE(P$1,1),Log_2019[[#This Row],[Date]]),Log_2019[[#This Row],[Split_apply]])) - SUM($O294:O294)</f>
        <v>0</v>
      </c>
      <c r="Q294" s="52">
        <f ca="1">Log_2019[[#This Row],[Amount]]/Log_2019[[#This Row],[Split_raw]]*MAX(0,MIN(_xlfn.DAYS(EDATE(Q$1,1),Log_2019[[#This Row],[Date]]),Log_2019[[#This Row],[Split_apply]])) - SUM($O294:P294)</f>
        <v>0</v>
      </c>
      <c r="R294" s="52">
        <f ca="1">Log_2019[[#This Row],[Amount]]/Log_2019[[#This Row],[Split_raw]]*MAX(0,MIN(_xlfn.DAYS(EDATE(R$1,1),Log_2019[[#This Row],[Date]]),Log_2019[[#This Row],[Split_apply]])) - SUM($O294:Q294)</f>
        <v>0</v>
      </c>
      <c r="S294" s="52">
        <f ca="1">Log_2019[[#This Row],[Amount]]/Log_2019[[#This Row],[Split_raw]]*MAX(0,MIN(_xlfn.DAYS(EDATE(S$1,1),Log_2019[[#This Row],[Date]]),Log_2019[[#This Row],[Split_apply]])) - SUM($O294:R294)</f>
        <v>0</v>
      </c>
      <c r="T294" s="52">
        <f ca="1">Log_2019[[#This Row],[Amount]]/Log_2019[[#This Row],[Split_raw]]*MAX(0,MIN(_xlfn.DAYS(EDATE(T$1,1),Log_2019[[#This Row],[Date]]),Log_2019[[#This Row],[Split_apply]])) - SUM($O294:S294)</f>
        <v>0</v>
      </c>
      <c r="U294" s="52">
        <f ca="1">Log_2019[[#This Row],[Amount]]/Log_2019[[#This Row],[Split_raw]]*MAX(0,MIN(_xlfn.DAYS(EDATE(U$1,1),Log_2019[[#This Row],[Date]]),Log_2019[[#This Row],[Split_apply]])) - SUM($O294:T294)</f>
        <v>0</v>
      </c>
      <c r="V294" s="52">
        <f ca="1">Log_2019[[#This Row],[Amount]]/Log_2019[[#This Row],[Split_raw]]*MAX(0,MIN(_xlfn.DAYS(EDATE(V$1,1),Log_2019[[#This Row],[Date]]),Log_2019[[#This Row],[Split_apply]])) - SUM($O294:U294)</f>
        <v>0</v>
      </c>
      <c r="W294" s="52">
        <f ca="1">Log_2019[[#This Row],[Amount]]/Log_2019[[#This Row],[Split_raw]]*MAX(0,MIN(_xlfn.DAYS(EDATE(W$1,1),Log_2019[[#This Row],[Date]]),Log_2019[[#This Row],[Split_apply]])) - SUM($O294:V294)</f>
        <v>-106.93</v>
      </c>
      <c r="X294" s="52">
        <f ca="1">Log_2019[[#This Row],[Amount]]/Log_2019[[#This Row],[Split_raw]]*MAX(0,MIN(_xlfn.DAYS(EDATE(X$1,1),Log_2019[[#This Row],[Date]]),Log_2019[[#This Row],[Split_apply]])) - SUM($O294:W294)</f>
        <v>0</v>
      </c>
      <c r="Y294" s="52">
        <f ca="1">Log_2019[[#This Row],[Amount]]/Log_2019[[#This Row],[Split_raw]]*MAX(0,MIN(_xlfn.DAYS(EDATE(Y$1,1),Log_2019[[#This Row],[Date]]),Log_2019[[#This Row],[Split_apply]])) - SUM($O294:X294)</f>
        <v>0</v>
      </c>
      <c r="Z294" s="52">
        <f ca="1">Log_2019[[#This Row],[Amount]]/Log_2019[[#This Row],[Split_raw]]*MAX(0,MIN(_xlfn.DAYS(EDATE(Z$1,1),Log_2019[[#This Row],[Date]]),Log_2019[[#This Row],[Split_apply]])) - SUM($O294:Y294)</f>
        <v>0</v>
      </c>
      <c r="AA294" s="52">
        <f ca="1">Log_2019[[#This Row],[Amount]]/Log_2019[[#This Row],[Split_raw]]*MAX(0,MIN(_xlfn.DAYS(EDATE(AA$1,1),Log_2019[[#This Row],[Date]]),Log_2019[[#This Row],[Split_apply]])) - SUM($O294:Z294)</f>
        <v>0</v>
      </c>
      <c r="AB294" s="54">
        <f ca="1">Log_2019[[#This Row],[Amount]]-SUM(O294:AA294)</f>
        <v>0</v>
      </c>
      <c r="AC294" s="7">
        <f>MAX(0,Log_2019[[#This Row],[Split_raw]] - (EDATE(AA$1,1)-Log_2019[[#This Row],[Date]]))</f>
        <v>0</v>
      </c>
    </row>
    <row r="295" spans="1:29" x14ac:dyDescent="0.25">
      <c r="A295" s="42"/>
      <c r="B295" s="34" t="s">
        <v>6</v>
      </c>
      <c r="C295" s="34"/>
      <c r="D295" s="35">
        <v>43683</v>
      </c>
      <c r="E295" s="34"/>
      <c r="F295" s="34" t="s">
        <v>683</v>
      </c>
      <c r="G295" s="34" t="s">
        <v>29</v>
      </c>
      <c r="H295">
        <v>-22.82</v>
      </c>
      <c r="I295" s="36">
        <f>IF(Log_2019[[#This Row],[My Category]]="NONTRACKED",0,Log_2019[[#This Row],[Raw Amount]])</f>
        <v>-22.82</v>
      </c>
      <c r="J295" s="37">
        <f>ABS(Log_2019[[#This Row],[Amount]])</f>
        <v>22.82</v>
      </c>
      <c r="K295" s="38">
        <v>30</v>
      </c>
      <c r="L295" s="38">
        <f ca="1">IF(Log_2019[[#This Row],[Date]]&lt;=TODAY(), MIN(Log_2019[[#This Row],[Split_raw]], TODAY()-Log_2019[[#This Row],[Date]]+1), 0)</f>
        <v>30</v>
      </c>
      <c r="M295" s="34" t="s">
        <v>29</v>
      </c>
      <c r="N295" s="34" t="s">
        <v>160</v>
      </c>
      <c r="O295" s="7">
        <v>0</v>
      </c>
      <c r="P295" s="52">
        <f ca="1">Log_2019[[#This Row],[Amount]]/Log_2019[[#This Row],[Split_raw]]*MAX(0,MIN(_xlfn.DAYS(EDATE(P$1,1),Log_2019[[#This Row],[Date]]),Log_2019[[#This Row],[Split_apply]])) - SUM($O295:O295)</f>
        <v>0</v>
      </c>
      <c r="Q295" s="52">
        <f ca="1">Log_2019[[#This Row],[Amount]]/Log_2019[[#This Row],[Split_raw]]*MAX(0,MIN(_xlfn.DAYS(EDATE(Q$1,1),Log_2019[[#This Row],[Date]]),Log_2019[[#This Row],[Split_apply]])) - SUM($O295:P295)</f>
        <v>0</v>
      </c>
      <c r="R295" s="52">
        <f ca="1">Log_2019[[#This Row],[Amount]]/Log_2019[[#This Row],[Split_raw]]*MAX(0,MIN(_xlfn.DAYS(EDATE(R$1,1),Log_2019[[#This Row],[Date]]),Log_2019[[#This Row],[Split_apply]])) - SUM($O295:Q295)</f>
        <v>0</v>
      </c>
      <c r="S295" s="52">
        <f ca="1">Log_2019[[#This Row],[Amount]]/Log_2019[[#This Row],[Split_raw]]*MAX(0,MIN(_xlfn.DAYS(EDATE(S$1,1),Log_2019[[#This Row],[Date]]),Log_2019[[#This Row],[Split_apply]])) - SUM($O295:R295)</f>
        <v>0</v>
      </c>
      <c r="T295" s="52">
        <f ca="1">Log_2019[[#This Row],[Amount]]/Log_2019[[#This Row],[Split_raw]]*MAX(0,MIN(_xlfn.DAYS(EDATE(T$1,1),Log_2019[[#This Row],[Date]]),Log_2019[[#This Row],[Split_apply]])) - SUM($O295:S295)</f>
        <v>0</v>
      </c>
      <c r="U295" s="52">
        <f ca="1">Log_2019[[#This Row],[Amount]]/Log_2019[[#This Row],[Split_raw]]*MAX(0,MIN(_xlfn.DAYS(EDATE(U$1,1),Log_2019[[#This Row],[Date]]),Log_2019[[#This Row],[Split_apply]])) - SUM($O295:T295)</f>
        <v>0</v>
      </c>
      <c r="V295" s="52">
        <f ca="1">Log_2019[[#This Row],[Amount]]/Log_2019[[#This Row],[Split_raw]]*MAX(0,MIN(_xlfn.DAYS(EDATE(V$1,1),Log_2019[[#This Row],[Date]]),Log_2019[[#This Row],[Split_apply]])) - SUM($O295:U295)</f>
        <v>0</v>
      </c>
      <c r="W295" s="52">
        <f ca="1">Log_2019[[#This Row],[Amount]]/Log_2019[[#This Row],[Split_raw]]*MAX(0,MIN(_xlfn.DAYS(EDATE(W$1,1),Log_2019[[#This Row],[Date]]),Log_2019[[#This Row],[Split_apply]])) - SUM($O295:V295)</f>
        <v>-19.777333333333335</v>
      </c>
      <c r="X295" s="52">
        <f ca="1">Log_2019[[#This Row],[Amount]]/Log_2019[[#This Row],[Split_raw]]*MAX(0,MIN(_xlfn.DAYS(EDATE(X$1,1),Log_2019[[#This Row],[Date]]),Log_2019[[#This Row],[Split_apply]])) - SUM($O295:W295)</f>
        <v>-3.0426666666666655</v>
      </c>
      <c r="Y295" s="52">
        <f ca="1">Log_2019[[#This Row],[Amount]]/Log_2019[[#This Row],[Split_raw]]*MAX(0,MIN(_xlfn.DAYS(EDATE(Y$1,1),Log_2019[[#This Row],[Date]]),Log_2019[[#This Row],[Split_apply]])) - SUM($O295:X295)</f>
        <v>0</v>
      </c>
      <c r="Z295" s="52">
        <f ca="1">Log_2019[[#This Row],[Amount]]/Log_2019[[#This Row],[Split_raw]]*MAX(0,MIN(_xlfn.DAYS(EDATE(Z$1,1),Log_2019[[#This Row],[Date]]),Log_2019[[#This Row],[Split_apply]])) - SUM($O295:Y295)</f>
        <v>0</v>
      </c>
      <c r="AA295" s="52">
        <f ca="1">Log_2019[[#This Row],[Amount]]/Log_2019[[#This Row],[Split_raw]]*MAX(0,MIN(_xlfn.DAYS(EDATE(AA$1,1),Log_2019[[#This Row],[Date]]),Log_2019[[#This Row],[Split_apply]])) - SUM($O295:Z295)</f>
        <v>0</v>
      </c>
      <c r="AB295" s="54">
        <f ca="1">Log_2019[[#This Row],[Amount]]-SUM(O295:AA295)</f>
        <v>0</v>
      </c>
      <c r="AC295" s="7">
        <f>MAX(0,Log_2019[[#This Row],[Split_raw]] - (EDATE(AA$1,1)-Log_2019[[#This Row],[Date]]))</f>
        <v>0</v>
      </c>
    </row>
    <row r="296" spans="1:29" x14ac:dyDescent="0.25">
      <c r="A296" s="42"/>
      <c r="B296" s="34" t="s">
        <v>6</v>
      </c>
      <c r="C296" s="34"/>
      <c r="D296" s="35">
        <v>43682</v>
      </c>
      <c r="E296" s="34"/>
      <c r="F296" s="34" t="s">
        <v>587</v>
      </c>
      <c r="G296" s="34" t="s">
        <v>9</v>
      </c>
      <c r="H296">
        <v>-48.15</v>
      </c>
      <c r="I296" s="36">
        <f>IF(Log_2019[[#This Row],[My Category]]="NONTRACKED",0,Log_2019[[#This Row],[Raw Amount]])</f>
        <v>-48.15</v>
      </c>
      <c r="J296" s="37">
        <f>ABS(Log_2019[[#This Row],[Amount]])</f>
        <v>48.15</v>
      </c>
      <c r="K296" s="38">
        <v>1</v>
      </c>
      <c r="L296" s="38">
        <f ca="1">IF(Log_2019[[#This Row],[Date]]&lt;=TODAY(), MIN(Log_2019[[#This Row],[Split_raw]], TODAY()-Log_2019[[#This Row],[Date]]+1), 0)</f>
        <v>1</v>
      </c>
      <c r="M296" s="34" t="s">
        <v>12</v>
      </c>
      <c r="N296" s="34" t="s">
        <v>158</v>
      </c>
      <c r="O296" s="7">
        <v>0</v>
      </c>
      <c r="P296" s="52">
        <f ca="1">Log_2019[[#This Row],[Amount]]/Log_2019[[#This Row],[Split_raw]]*MAX(0,MIN(_xlfn.DAYS(EDATE(P$1,1),Log_2019[[#This Row],[Date]]),Log_2019[[#This Row],[Split_apply]])) - SUM($O296:O296)</f>
        <v>0</v>
      </c>
      <c r="Q296" s="52">
        <f ca="1">Log_2019[[#This Row],[Amount]]/Log_2019[[#This Row],[Split_raw]]*MAX(0,MIN(_xlfn.DAYS(EDATE(Q$1,1),Log_2019[[#This Row],[Date]]),Log_2019[[#This Row],[Split_apply]])) - SUM($O296:P296)</f>
        <v>0</v>
      </c>
      <c r="R296" s="52">
        <f ca="1">Log_2019[[#This Row],[Amount]]/Log_2019[[#This Row],[Split_raw]]*MAX(0,MIN(_xlfn.DAYS(EDATE(R$1,1),Log_2019[[#This Row],[Date]]),Log_2019[[#This Row],[Split_apply]])) - SUM($O296:Q296)</f>
        <v>0</v>
      </c>
      <c r="S296" s="52">
        <f ca="1">Log_2019[[#This Row],[Amount]]/Log_2019[[#This Row],[Split_raw]]*MAX(0,MIN(_xlfn.DAYS(EDATE(S$1,1),Log_2019[[#This Row],[Date]]),Log_2019[[#This Row],[Split_apply]])) - SUM($O296:R296)</f>
        <v>0</v>
      </c>
      <c r="T296" s="52">
        <f ca="1">Log_2019[[#This Row],[Amount]]/Log_2019[[#This Row],[Split_raw]]*MAX(0,MIN(_xlfn.DAYS(EDATE(T$1,1),Log_2019[[#This Row],[Date]]),Log_2019[[#This Row],[Split_apply]])) - SUM($O296:S296)</f>
        <v>0</v>
      </c>
      <c r="U296" s="52">
        <f ca="1">Log_2019[[#This Row],[Amount]]/Log_2019[[#This Row],[Split_raw]]*MAX(0,MIN(_xlfn.DAYS(EDATE(U$1,1),Log_2019[[#This Row],[Date]]),Log_2019[[#This Row],[Split_apply]])) - SUM($O296:T296)</f>
        <v>0</v>
      </c>
      <c r="V296" s="52">
        <f ca="1">Log_2019[[#This Row],[Amount]]/Log_2019[[#This Row],[Split_raw]]*MAX(0,MIN(_xlfn.DAYS(EDATE(V$1,1),Log_2019[[#This Row],[Date]]),Log_2019[[#This Row],[Split_apply]])) - SUM($O296:U296)</f>
        <v>0</v>
      </c>
      <c r="W296" s="52">
        <f ca="1">Log_2019[[#This Row],[Amount]]/Log_2019[[#This Row],[Split_raw]]*MAX(0,MIN(_xlfn.DAYS(EDATE(W$1,1),Log_2019[[#This Row],[Date]]),Log_2019[[#This Row],[Split_apply]])) - SUM($O296:V296)</f>
        <v>-48.15</v>
      </c>
      <c r="X296" s="52">
        <f ca="1">Log_2019[[#This Row],[Amount]]/Log_2019[[#This Row],[Split_raw]]*MAX(0,MIN(_xlfn.DAYS(EDATE(X$1,1),Log_2019[[#This Row],[Date]]),Log_2019[[#This Row],[Split_apply]])) - SUM($O296:W296)</f>
        <v>0</v>
      </c>
      <c r="Y296" s="52">
        <f ca="1">Log_2019[[#This Row],[Amount]]/Log_2019[[#This Row],[Split_raw]]*MAX(0,MIN(_xlfn.DAYS(EDATE(Y$1,1),Log_2019[[#This Row],[Date]]),Log_2019[[#This Row],[Split_apply]])) - SUM($O296:X296)</f>
        <v>0</v>
      </c>
      <c r="Z296" s="52">
        <f ca="1">Log_2019[[#This Row],[Amount]]/Log_2019[[#This Row],[Split_raw]]*MAX(0,MIN(_xlfn.DAYS(EDATE(Z$1,1),Log_2019[[#This Row],[Date]]),Log_2019[[#This Row],[Split_apply]])) - SUM($O296:Y296)</f>
        <v>0</v>
      </c>
      <c r="AA296" s="52">
        <f ca="1">Log_2019[[#This Row],[Amount]]/Log_2019[[#This Row],[Split_raw]]*MAX(0,MIN(_xlfn.DAYS(EDATE(AA$1,1),Log_2019[[#This Row],[Date]]),Log_2019[[#This Row],[Split_apply]])) - SUM($O296:Z296)</f>
        <v>0</v>
      </c>
      <c r="AB296" s="54">
        <f ca="1">Log_2019[[#This Row],[Amount]]-SUM(O296:AA296)</f>
        <v>0</v>
      </c>
      <c r="AC296" s="7">
        <f>MAX(0,Log_2019[[#This Row],[Split_raw]] - (EDATE(AA$1,1)-Log_2019[[#This Row],[Date]]))</f>
        <v>0</v>
      </c>
    </row>
    <row r="297" spans="1:29" x14ac:dyDescent="0.25">
      <c r="A297" s="42"/>
      <c r="B297" s="34" t="s">
        <v>6</v>
      </c>
      <c r="C297" s="34"/>
      <c r="D297" s="35">
        <v>43682</v>
      </c>
      <c r="E297" s="34"/>
      <c r="F297" s="34" t="s">
        <v>255</v>
      </c>
      <c r="G297" s="34" t="s">
        <v>10</v>
      </c>
      <c r="H297">
        <v>-4.07</v>
      </c>
      <c r="I297" s="36">
        <f>IF(Log_2019[[#This Row],[My Category]]="NONTRACKED",0,Log_2019[[#This Row],[Raw Amount]])</f>
        <v>-4.07</v>
      </c>
      <c r="J297" s="37">
        <f>ABS(Log_2019[[#This Row],[Amount]])</f>
        <v>4.07</v>
      </c>
      <c r="K297" s="38">
        <v>1</v>
      </c>
      <c r="L297" s="38">
        <f ca="1">IF(Log_2019[[#This Row],[Date]]&lt;=TODAY(), MIN(Log_2019[[#This Row],[Split_raw]], TODAY()-Log_2019[[#This Row],[Date]]+1), 0)</f>
        <v>1</v>
      </c>
      <c r="M297" s="34" t="s">
        <v>35</v>
      </c>
      <c r="N297" s="34" t="s">
        <v>158</v>
      </c>
      <c r="O297" s="7">
        <v>0</v>
      </c>
      <c r="P297" s="52">
        <f ca="1">Log_2019[[#This Row],[Amount]]/Log_2019[[#This Row],[Split_raw]]*MAX(0,MIN(_xlfn.DAYS(EDATE(P$1,1),Log_2019[[#This Row],[Date]]),Log_2019[[#This Row],[Split_apply]])) - SUM($O297:O297)</f>
        <v>0</v>
      </c>
      <c r="Q297" s="52">
        <f ca="1">Log_2019[[#This Row],[Amount]]/Log_2019[[#This Row],[Split_raw]]*MAX(0,MIN(_xlfn.DAYS(EDATE(Q$1,1),Log_2019[[#This Row],[Date]]),Log_2019[[#This Row],[Split_apply]])) - SUM($O297:P297)</f>
        <v>0</v>
      </c>
      <c r="R297" s="52">
        <f ca="1">Log_2019[[#This Row],[Amount]]/Log_2019[[#This Row],[Split_raw]]*MAX(0,MIN(_xlfn.DAYS(EDATE(R$1,1),Log_2019[[#This Row],[Date]]),Log_2019[[#This Row],[Split_apply]])) - SUM($O297:Q297)</f>
        <v>0</v>
      </c>
      <c r="S297" s="52">
        <f ca="1">Log_2019[[#This Row],[Amount]]/Log_2019[[#This Row],[Split_raw]]*MAX(0,MIN(_xlfn.DAYS(EDATE(S$1,1),Log_2019[[#This Row],[Date]]),Log_2019[[#This Row],[Split_apply]])) - SUM($O297:R297)</f>
        <v>0</v>
      </c>
      <c r="T297" s="52">
        <f ca="1">Log_2019[[#This Row],[Amount]]/Log_2019[[#This Row],[Split_raw]]*MAX(0,MIN(_xlfn.DAYS(EDATE(T$1,1),Log_2019[[#This Row],[Date]]),Log_2019[[#This Row],[Split_apply]])) - SUM($O297:S297)</f>
        <v>0</v>
      </c>
      <c r="U297" s="52">
        <f ca="1">Log_2019[[#This Row],[Amount]]/Log_2019[[#This Row],[Split_raw]]*MAX(0,MIN(_xlfn.DAYS(EDATE(U$1,1),Log_2019[[#This Row],[Date]]),Log_2019[[#This Row],[Split_apply]])) - SUM($O297:T297)</f>
        <v>0</v>
      </c>
      <c r="V297" s="52">
        <f ca="1">Log_2019[[#This Row],[Amount]]/Log_2019[[#This Row],[Split_raw]]*MAX(0,MIN(_xlfn.DAYS(EDATE(V$1,1),Log_2019[[#This Row],[Date]]),Log_2019[[#This Row],[Split_apply]])) - SUM($O297:U297)</f>
        <v>0</v>
      </c>
      <c r="W297" s="52">
        <f ca="1">Log_2019[[#This Row],[Amount]]/Log_2019[[#This Row],[Split_raw]]*MAX(0,MIN(_xlfn.DAYS(EDATE(W$1,1),Log_2019[[#This Row],[Date]]),Log_2019[[#This Row],[Split_apply]])) - SUM($O297:V297)</f>
        <v>-4.07</v>
      </c>
      <c r="X297" s="52">
        <f ca="1">Log_2019[[#This Row],[Amount]]/Log_2019[[#This Row],[Split_raw]]*MAX(0,MIN(_xlfn.DAYS(EDATE(X$1,1),Log_2019[[#This Row],[Date]]),Log_2019[[#This Row],[Split_apply]])) - SUM($O297:W297)</f>
        <v>0</v>
      </c>
      <c r="Y297" s="52">
        <f ca="1">Log_2019[[#This Row],[Amount]]/Log_2019[[#This Row],[Split_raw]]*MAX(0,MIN(_xlfn.DAYS(EDATE(Y$1,1),Log_2019[[#This Row],[Date]]),Log_2019[[#This Row],[Split_apply]])) - SUM($O297:X297)</f>
        <v>0</v>
      </c>
      <c r="Z297" s="52">
        <f ca="1">Log_2019[[#This Row],[Amount]]/Log_2019[[#This Row],[Split_raw]]*MAX(0,MIN(_xlfn.DAYS(EDATE(Z$1,1),Log_2019[[#This Row],[Date]]),Log_2019[[#This Row],[Split_apply]])) - SUM($O297:Y297)</f>
        <v>0</v>
      </c>
      <c r="AA297" s="52">
        <f ca="1">Log_2019[[#This Row],[Amount]]/Log_2019[[#This Row],[Split_raw]]*MAX(0,MIN(_xlfn.DAYS(EDATE(AA$1,1),Log_2019[[#This Row],[Date]]),Log_2019[[#This Row],[Split_apply]])) - SUM($O297:Z297)</f>
        <v>0</v>
      </c>
      <c r="AB297" s="54">
        <f ca="1">Log_2019[[#This Row],[Amount]]-SUM(O297:AA297)</f>
        <v>0</v>
      </c>
      <c r="AC297" s="7">
        <f>MAX(0,Log_2019[[#This Row],[Split_raw]] - (EDATE(AA$1,1)-Log_2019[[#This Row],[Date]]))</f>
        <v>0</v>
      </c>
    </row>
    <row r="298" spans="1:29" x14ac:dyDescent="0.25">
      <c r="A298" s="42"/>
      <c r="B298" s="34" t="s">
        <v>6</v>
      </c>
      <c r="C298" s="34"/>
      <c r="D298" s="35">
        <v>43680</v>
      </c>
      <c r="E298" s="34"/>
      <c r="F298" s="34" t="s">
        <v>680</v>
      </c>
      <c r="G298" s="34" t="s">
        <v>27</v>
      </c>
      <c r="H298">
        <v>-11.54</v>
      </c>
      <c r="I298" s="36">
        <f>IF(Log_2019[[#This Row],[My Category]]="NONTRACKED",0,Log_2019[[#This Row],[Raw Amount]])</f>
        <v>-11.54</v>
      </c>
      <c r="J298" s="37">
        <f>ABS(Log_2019[[#This Row],[Amount]])</f>
        <v>11.54</v>
      </c>
      <c r="K298" s="38">
        <v>1</v>
      </c>
      <c r="L298" s="38">
        <f ca="1">IF(Log_2019[[#This Row],[Date]]&lt;=TODAY(), MIN(Log_2019[[#This Row],[Split_raw]], TODAY()-Log_2019[[#This Row],[Date]]+1), 0)</f>
        <v>1</v>
      </c>
      <c r="M298" s="34" t="s">
        <v>37</v>
      </c>
      <c r="N298" s="34" t="s">
        <v>158</v>
      </c>
      <c r="O298" s="7">
        <v>0</v>
      </c>
      <c r="P298" s="52">
        <f ca="1">Log_2019[[#This Row],[Amount]]/Log_2019[[#This Row],[Split_raw]]*MAX(0,MIN(_xlfn.DAYS(EDATE(P$1,1),Log_2019[[#This Row],[Date]]),Log_2019[[#This Row],[Split_apply]])) - SUM($O298:O298)</f>
        <v>0</v>
      </c>
      <c r="Q298" s="52">
        <f ca="1">Log_2019[[#This Row],[Amount]]/Log_2019[[#This Row],[Split_raw]]*MAX(0,MIN(_xlfn.DAYS(EDATE(Q$1,1),Log_2019[[#This Row],[Date]]),Log_2019[[#This Row],[Split_apply]])) - SUM($O298:P298)</f>
        <v>0</v>
      </c>
      <c r="R298" s="52">
        <f ca="1">Log_2019[[#This Row],[Amount]]/Log_2019[[#This Row],[Split_raw]]*MAX(0,MIN(_xlfn.DAYS(EDATE(R$1,1),Log_2019[[#This Row],[Date]]),Log_2019[[#This Row],[Split_apply]])) - SUM($O298:Q298)</f>
        <v>0</v>
      </c>
      <c r="S298" s="52">
        <f ca="1">Log_2019[[#This Row],[Amount]]/Log_2019[[#This Row],[Split_raw]]*MAX(0,MIN(_xlfn.DAYS(EDATE(S$1,1),Log_2019[[#This Row],[Date]]),Log_2019[[#This Row],[Split_apply]])) - SUM($O298:R298)</f>
        <v>0</v>
      </c>
      <c r="T298" s="52">
        <f ca="1">Log_2019[[#This Row],[Amount]]/Log_2019[[#This Row],[Split_raw]]*MAX(0,MIN(_xlfn.DAYS(EDATE(T$1,1),Log_2019[[#This Row],[Date]]),Log_2019[[#This Row],[Split_apply]])) - SUM($O298:S298)</f>
        <v>0</v>
      </c>
      <c r="U298" s="52">
        <f ca="1">Log_2019[[#This Row],[Amount]]/Log_2019[[#This Row],[Split_raw]]*MAX(0,MIN(_xlfn.DAYS(EDATE(U$1,1),Log_2019[[#This Row],[Date]]),Log_2019[[#This Row],[Split_apply]])) - SUM($O298:T298)</f>
        <v>0</v>
      </c>
      <c r="V298" s="52">
        <f ca="1">Log_2019[[#This Row],[Amount]]/Log_2019[[#This Row],[Split_raw]]*MAX(0,MIN(_xlfn.DAYS(EDATE(V$1,1),Log_2019[[#This Row],[Date]]),Log_2019[[#This Row],[Split_apply]])) - SUM($O298:U298)</f>
        <v>0</v>
      </c>
      <c r="W298" s="52">
        <f ca="1">Log_2019[[#This Row],[Amount]]/Log_2019[[#This Row],[Split_raw]]*MAX(0,MIN(_xlfn.DAYS(EDATE(W$1,1),Log_2019[[#This Row],[Date]]),Log_2019[[#This Row],[Split_apply]])) - SUM($O298:V298)</f>
        <v>-11.54</v>
      </c>
      <c r="X298" s="52">
        <f ca="1">Log_2019[[#This Row],[Amount]]/Log_2019[[#This Row],[Split_raw]]*MAX(0,MIN(_xlfn.DAYS(EDATE(X$1,1),Log_2019[[#This Row],[Date]]),Log_2019[[#This Row],[Split_apply]])) - SUM($O298:W298)</f>
        <v>0</v>
      </c>
      <c r="Y298" s="52">
        <f ca="1">Log_2019[[#This Row],[Amount]]/Log_2019[[#This Row],[Split_raw]]*MAX(0,MIN(_xlfn.DAYS(EDATE(Y$1,1),Log_2019[[#This Row],[Date]]),Log_2019[[#This Row],[Split_apply]])) - SUM($O298:X298)</f>
        <v>0</v>
      </c>
      <c r="Z298" s="52">
        <f ca="1">Log_2019[[#This Row],[Amount]]/Log_2019[[#This Row],[Split_raw]]*MAX(0,MIN(_xlfn.DAYS(EDATE(Z$1,1),Log_2019[[#This Row],[Date]]),Log_2019[[#This Row],[Split_apply]])) - SUM($O298:Y298)</f>
        <v>0</v>
      </c>
      <c r="AA298" s="52">
        <f ca="1">Log_2019[[#This Row],[Amount]]/Log_2019[[#This Row],[Split_raw]]*MAX(0,MIN(_xlfn.DAYS(EDATE(AA$1,1),Log_2019[[#This Row],[Date]]),Log_2019[[#This Row],[Split_apply]])) - SUM($O298:Z298)</f>
        <v>0</v>
      </c>
      <c r="AB298" s="54">
        <f ca="1">Log_2019[[#This Row],[Amount]]-SUM(O298:AA298)</f>
        <v>0</v>
      </c>
      <c r="AC298" s="7">
        <f>MAX(0,Log_2019[[#This Row],[Split_raw]] - (EDATE(AA$1,1)-Log_2019[[#This Row],[Date]]))</f>
        <v>0</v>
      </c>
    </row>
    <row r="299" spans="1:29" x14ac:dyDescent="0.25">
      <c r="A299" s="42"/>
      <c r="B299" s="34" t="s">
        <v>6</v>
      </c>
      <c r="C299" s="34"/>
      <c r="D299" s="35">
        <v>43679</v>
      </c>
      <c r="E299" s="34"/>
      <c r="F299" s="34" t="s">
        <v>527</v>
      </c>
      <c r="G299" s="34" t="s">
        <v>20</v>
      </c>
      <c r="H299">
        <v>-1600</v>
      </c>
      <c r="I299" s="36">
        <f>IF(Log_2019[[#This Row],[My Category]]="NONTRACKED",0,Log_2019[[#This Row],[Raw Amount]])</f>
        <v>-1600</v>
      </c>
      <c r="J299" s="37">
        <f>ABS(Log_2019[[#This Row],[Amount]])</f>
        <v>1600</v>
      </c>
      <c r="K299" s="38">
        <v>30</v>
      </c>
      <c r="L299" s="38">
        <f ca="1">IF(Log_2019[[#This Row],[Date]]&lt;=TODAY(), MIN(Log_2019[[#This Row],[Split_raw]], TODAY()-Log_2019[[#This Row],[Date]]+1), 0)</f>
        <v>30</v>
      </c>
      <c r="M299" s="34" t="s">
        <v>28</v>
      </c>
      <c r="N299" s="34" t="s">
        <v>160</v>
      </c>
      <c r="O299" s="7">
        <v>0</v>
      </c>
      <c r="P299" s="52">
        <f ca="1">Log_2019[[#This Row],[Amount]]/Log_2019[[#This Row],[Split_raw]]*MAX(0,MIN(_xlfn.DAYS(EDATE(P$1,1),Log_2019[[#This Row],[Date]]),Log_2019[[#This Row],[Split_apply]])) - SUM($O299:O299)</f>
        <v>0</v>
      </c>
      <c r="Q299" s="52">
        <f ca="1">Log_2019[[#This Row],[Amount]]/Log_2019[[#This Row],[Split_raw]]*MAX(0,MIN(_xlfn.DAYS(EDATE(Q$1,1),Log_2019[[#This Row],[Date]]),Log_2019[[#This Row],[Split_apply]])) - SUM($O299:P299)</f>
        <v>0</v>
      </c>
      <c r="R299" s="52">
        <f ca="1">Log_2019[[#This Row],[Amount]]/Log_2019[[#This Row],[Split_raw]]*MAX(0,MIN(_xlfn.DAYS(EDATE(R$1,1),Log_2019[[#This Row],[Date]]),Log_2019[[#This Row],[Split_apply]])) - SUM($O299:Q299)</f>
        <v>0</v>
      </c>
      <c r="S299" s="52">
        <f ca="1">Log_2019[[#This Row],[Amount]]/Log_2019[[#This Row],[Split_raw]]*MAX(0,MIN(_xlfn.DAYS(EDATE(S$1,1),Log_2019[[#This Row],[Date]]),Log_2019[[#This Row],[Split_apply]])) - SUM($O299:R299)</f>
        <v>0</v>
      </c>
      <c r="T299" s="52">
        <f ca="1">Log_2019[[#This Row],[Amount]]/Log_2019[[#This Row],[Split_raw]]*MAX(0,MIN(_xlfn.DAYS(EDATE(T$1,1),Log_2019[[#This Row],[Date]]),Log_2019[[#This Row],[Split_apply]])) - SUM($O299:S299)</f>
        <v>0</v>
      </c>
      <c r="U299" s="52">
        <f ca="1">Log_2019[[#This Row],[Amount]]/Log_2019[[#This Row],[Split_raw]]*MAX(0,MIN(_xlfn.DAYS(EDATE(U$1,1),Log_2019[[#This Row],[Date]]),Log_2019[[#This Row],[Split_apply]])) - SUM($O299:T299)</f>
        <v>0</v>
      </c>
      <c r="V299" s="52">
        <f ca="1">Log_2019[[#This Row],[Amount]]/Log_2019[[#This Row],[Split_raw]]*MAX(0,MIN(_xlfn.DAYS(EDATE(V$1,1),Log_2019[[#This Row],[Date]]),Log_2019[[#This Row],[Split_apply]])) - SUM($O299:U299)</f>
        <v>0</v>
      </c>
      <c r="W299" s="52">
        <f ca="1">Log_2019[[#This Row],[Amount]]/Log_2019[[#This Row],[Split_raw]]*MAX(0,MIN(_xlfn.DAYS(EDATE(W$1,1),Log_2019[[#This Row],[Date]]),Log_2019[[#This Row],[Split_apply]])) - SUM($O299:V299)</f>
        <v>-1600</v>
      </c>
      <c r="X299" s="52">
        <f ca="1">Log_2019[[#This Row],[Amount]]/Log_2019[[#This Row],[Split_raw]]*MAX(0,MIN(_xlfn.DAYS(EDATE(X$1,1),Log_2019[[#This Row],[Date]]),Log_2019[[#This Row],[Split_apply]])) - SUM($O299:W299)</f>
        <v>0</v>
      </c>
      <c r="Y299" s="52">
        <f ca="1">Log_2019[[#This Row],[Amount]]/Log_2019[[#This Row],[Split_raw]]*MAX(0,MIN(_xlfn.DAYS(EDATE(Y$1,1),Log_2019[[#This Row],[Date]]),Log_2019[[#This Row],[Split_apply]])) - SUM($O299:X299)</f>
        <v>0</v>
      </c>
      <c r="Z299" s="52">
        <f ca="1">Log_2019[[#This Row],[Amount]]/Log_2019[[#This Row],[Split_raw]]*MAX(0,MIN(_xlfn.DAYS(EDATE(Z$1,1),Log_2019[[#This Row],[Date]]),Log_2019[[#This Row],[Split_apply]])) - SUM($O299:Y299)</f>
        <v>0</v>
      </c>
      <c r="AA299" s="52">
        <f ca="1">Log_2019[[#This Row],[Amount]]/Log_2019[[#This Row],[Split_raw]]*MAX(0,MIN(_xlfn.DAYS(EDATE(AA$1,1),Log_2019[[#This Row],[Date]]),Log_2019[[#This Row],[Split_apply]])) - SUM($O299:Z299)</f>
        <v>0</v>
      </c>
      <c r="AB299" s="54">
        <f ca="1">Log_2019[[#This Row],[Amount]]-SUM(O299:AA299)</f>
        <v>0</v>
      </c>
      <c r="AC299" s="7">
        <f>MAX(0,Log_2019[[#This Row],[Split_raw]] - (EDATE(AA$1,1)-Log_2019[[#This Row],[Date]]))</f>
        <v>0</v>
      </c>
    </row>
    <row r="300" spans="1:29" x14ac:dyDescent="0.25">
      <c r="A300" s="42"/>
      <c r="B300" s="34" t="s">
        <v>6</v>
      </c>
      <c r="C300" s="34"/>
      <c r="D300" s="35">
        <v>43679</v>
      </c>
      <c r="E300" s="34"/>
      <c r="F300" s="34" t="s">
        <v>286</v>
      </c>
      <c r="G300" s="34" t="s">
        <v>25</v>
      </c>
      <c r="H300">
        <v>-47.42</v>
      </c>
      <c r="I300" s="36">
        <f>IF(Log_2019[[#This Row],[My Category]]="NONTRACKED",0,Log_2019[[#This Row],[Raw Amount]])</f>
        <v>-47.42</v>
      </c>
      <c r="J300" s="37">
        <f>ABS(Log_2019[[#This Row],[Amount]])</f>
        <v>47.42</v>
      </c>
      <c r="K300" s="38">
        <v>1</v>
      </c>
      <c r="L300" s="38">
        <f ca="1">IF(Log_2019[[#This Row],[Date]]&lt;=TODAY(), MIN(Log_2019[[#This Row],[Split_raw]], TODAY()-Log_2019[[#This Row],[Date]]+1), 0)</f>
        <v>1</v>
      </c>
      <c r="M300" s="34" t="s">
        <v>35</v>
      </c>
      <c r="N300" s="34" t="s">
        <v>158</v>
      </c>
      <c r="O300" s="7">
        <v>0</v>
      </c>
      <c r="P300" s="52">
        <f ca="1">Log_2019[[#This Row],[Amount]]/Log_2019[[#This Row],[Split_raw]]*MAX(0,MIN(_xlfn.DAYS(EDATE(P$1,1),Log_2019[[#This Row],[Date]]),Log_2019[[#This Row],[Split_apply]])) - SUM($O300:O300)</f>
        <v>0</v>
      </c>
      <c r="Q300" s="52">
        <f ca="1">Log_2019[[#This Row],[Amount]]/Log_2019[[#This Row],[Split_raw]]*MAX(0,MIN(_xlfn.DAYS(EDATE(Q$1,1),Log_2019[[#This Row],[Date]]),Log_2019[[#This Row],[Split_apply]])) - SUM($O300:P300)</f>
        <v>0</v>
      </c>
      <c r="R300" s="52">
        <f ca="1">Log_2019[[#This Row],[Amount]]/Log_2019[[#This Row],[Split_raw]]*MAX(0,MIN(_xlfn.DAYS(EDATE(R$1,1),Log_2019[[#This Row],[Date]]),Log_2019[[#This Row],[Split_apply]])) - SUM($O300:Q300)</f>
        <v>0</v>
      </c>
      <c r="S300" s="52">
        <f ca="1">Log_2019[[#This Row],[Amount]]/Log_2019[[#This Row],[Split_raw]]*MAX(0,MIN(_xlfn.DAYS(EDATE(S$1,1),Log_2019[[#This Row],[Date]]),Log_2019[[#This Row],[Split_apply]])) - SUM($O300:R300)</f>
        <v>0</v>
      </c>
      <c r="T300" s="52">
        <f ca="1">Log_2019[[#This Row],[Amount]]/Log_2019[[#This Row],[Split_raw]]*MAX(0,MIN(_xlfn.DAYS(EDATE(T$1,1),Log_2019[[#This Row],[Date]]),Log_2019[[#This Row],[Split_apply]])) - SUM($O300:S300)</f>
        <v>0</v>
      </c>
      <c r="U300" s="52">
        <f ca="1">Log_2019[[#This Row],[Amount]]/Log_2019[[#This Row],[Split_raw]]*MAX(0,MIN(_xlfn.DAYS(EDATE(U$1,1),Log_2019[[#This Row],[Date]]),Log_2019[[#This Row],[Split_apply]])) - SUM($O300:T300)</f>
        <v>0</v>
      </c>
      <c r="V300" s="52">
        <f ca="1">Log_2019[[#This Row],[Amount]]/Log_2019[[#This Row],[Split_raw]]*MAX(0,MIN(_xlfn.DAYS(EDATE(V$1,1),Log_2019[[#This Row],[Date]]),Log_2019[[#This Row],[Split_apply]])) - SUM($O300:U300)</f>
        <v>0</v>
      </c>
      <c r="W300" s="52">
        <f ca="1">Log_2019[[#This Row],[Amount]]/Log_2019[[#This Row],[Split_raw]]*MAX(0,MIN(_xlfn.DAYS(EDATE(W$1,1),Log_2019[[#This Row],[Date]]),Log_2019[[#This Row],[Split_apply]])) - SUM($O300:V300)</f>
        <v>-47.42</v>
      </c>
      <c r="X300" s="52">
        <f ca="1">Log_2019[[#This Row],[Amount]]/Log_2019[[#This Row],[Split_raw]]*MAX(0,MIN(_xlfn.DAYS(EDATE(X$1,1),Log_2019[[#This Row],[Date]]),Log_2019[[#This Row],[Split_apply]])) - SUM($O300:W300)</f>
        <v>0</v>
      </c>
      <c r="Y300" s="52">
        <f ca="1">Log_2019[[#This Row],[Amount]]/Log_2019[[#This Row],[Split_raw]]*MAX(0,MIN(_xlfn.DAYS(EDATE(Y$1,1),Log_2019[[#This Row],[Date]]),Log_2019[[#This Row],[Split_apply]])) - SUM($O300:X300)</f>
        <v>0</v>
      </c>
      <c r="Z300" s="52">
        <f ca="1">Log_2019[[#This Row],[Amount]]/Log_2019[[#This Row],[Split_raw]]*MAX(0,MIN(_xlfn.DAYS(EDATE(Z$1,1),Log_2019[[#This Row],[Date]]),Log_2019[[#This Row],[Split_apply]])) - SUM($O300:Y300)</f>
        <v>0</v>
      </c>
      <c r="AA300" s="52">
        <f ca="1">Log_2019[[#This Row],[Amount]]/Log_2019[[#This Row],[Split_raw]]*MAX(0,MIN(_xlfn.DAYS(EDATE(AA$1,1),Log_2019[[#This Row],[Date]]),Log_2019[[#This Row],[Split_apply]])) - SUM($O300:Z300)</f>
        <v>0</v>
      </c>
      <c r="AB300" s="54">
        <f ca="1">Log_2019[[#This Row],[Amount]]-SUM(O300:AA300)</f>
        <v>0</v>
      </c>
      <c r="AC300" s="7">
        <f>MAX(0,Log_2019[[#This Row],[Split_raw]] - (EDATE(AA$1,1)-Log_2019[[#This Row],[Date]]))</f>
        <v>0</v>
      </c>
    </row>
    <row r="301" spans="1:29" x14ac:dyDescent="0.25">
      <c r="A301" s="42"/>
      <c r="B301" s="34" t="s">
        <v>6</v>
      </c>
      <c r="C301" s="34"/>
      <c r="D301" s="35">
        <v>43679</v>
      </c>
      <c r="E301" s="34"/>
      <c r="F301" s="34" t="s">
        <v>681</v>
      </c>
      <c r="G301" s="34" t="s">
        <v>27</v>
      </c>
      <c r="H301">
        <v>-12.13</v>
      </c>
      <c r="I301" s="36">
        <f>IF(Log_2019[[#This Row],[My Category]]="NONTRACKED",0,Log_2019[[#This Row],[Raw Amount]])</f>
        <v>-12.13</v>
      </c>
      <c r="J301" s="37">
        <f>ABS(Log_2019[[#This Row],[Amount]])</f>
        <v>12.13</v>
      </c>
      <c r="K301" s="38">
        <v>1</v>
      </c>
      <c r="L301" s="38">
        <f ca="1">IF(Log_2019[[#This Row],[Date]]&lt;=TODAY(), MIN(Log_2019[[#This Row],[Split_raw]], TODAY()-Log_2019[[#This Row],[Date]]+1), 0)</f>
        <v>1</v>
      </c>
      <c r="M301" s="34" t="s">
        <v>37</v>
      </c>
      <c r="N301" s="34" t="s">
        <v>158</v>
      </c>
      <c r="O301" s="7">
        <v>0</v>
      </c>
      <c r="P301" s="52">
        <f ca="1">Log_2019[[#This Row],[Amount]]/Log_2019[[#This Row],[Split_raw]]*MAX(0,MIN(_xlfn.DAYS(EDATE(P$1,1),Log_2019[[#This Row],[Date]]),Log_2019[[#This Row],[Split_apply]])) - SUM($O301:O301)</f>
        <v>0</v>
      </c>
      <c r="Q301" s="52">
        <f ca="1">Log_2019[[#This Row],[Amount]]/Log_2019[[#This Row],[Split_raw]]*MAX(0,MIN(_xlfn.DAYS(EDATE(Q$1,1),Log_2019[[#This Row],[Date]]),Log_2019[[#This Row],[Split_apply]])) - SUM($O301:P301)</f>
        <v>0</v>
      </c>
      <c r="R301" s="52">
        <f ca="1">Log_2019[[#This Row],[Amount]]/Log_2019[[#This Row],[Split_raw]]*MAX(0,MIN(_xlfn.DAYS(EDATE(R$1,1),Log_2019[[#This Row],[Date]]),Log_2019[[#This Row],[Split_apply]])) - SUM($O301:Q301)</f>
        <v>0</v>
      </c>
      <c r="S301" s="52">
        <f ca="1">Log_2019[[#This Row],[Amount]]/Log_2019[[#This Row],[Split_raw]]*MAX(0,MIN(_xlfn.DAYS(EDATE(S$1,1),Log_2019[[#This Row],[Date]]),Log_2019[[#This Row],[Split_apply]])) - SUM($O301:R301)</f>
        <v>0</v>
      </c>
      <c r="T301" s="52">
        <f ca="1">Log_2019[[#This Row],[Amount]]/Log_2019[[#This Row],[Split_raw]]*MAX(0,MIN(_xlfn.DAYS(EDATE(T$1,1),Log_2019[[#This Row],[Date]]),Log_2019[[#This Row],[Split_apply]])) - SUM($O301:S301)</f>
        <v>0</v>
      </c>
      <c r="U301" s="52">
        <f ca="1">Log_2019[[#This Row],[Amount]]/Log_2019[[#This Row],[Split_raw]]*MAX(0,MIN(_xlfn.DAYS(EDATE(U$1,1),Log_2019[[#This Row],[Date]]),Log_2019[[#This Row],[Split_apply]])) - SUM($O301:T301)</f>
        <v>0</v>
      </c>
      <c r="V301" s="52">
        <f ca="1">Log_2019[[#This Row],[Amount]]/Log_2019[[#This Row],[Split_raw]]*MAX(0,MIN(_xlfn.DAYS(EDATE(V$1,1),Log_2019[[#This Row],[Date]]),Log_2019[[#This Row],[Split_apply]])) - SUM($O301:U301)</f>
        <v>0</v>
      </c>
      <c r="W301" s="52">
        <f ca="1">Log_2019[[#This Row],[Amount]]/Log_2019[[#This Row],[Split_raw]]*MAX(0,MIN(_xlfn.DAYS(EDATE(W$1,1),Log_2019[[#This Row],[Date]]),Log_2019[[#This Row],[Split_apply]])) - SUM($O301:V301)</f>
        <v>-12.13</v>
      </c>
      <c r="X301" s="52">
        <f ca="1">Log_2019[[#This Row],[Amount]]/Log_2019[[#This Row],[Split_raw]]*MAX(0,MIN(_xlfn.DAYS(EDATE(X$1,1),Log_2019[[#This Row],[Date]]),Log_2019[[#This Row],[Split_apply]])) - SUM($O301:W301)</f>
        <v>0</v>
      </c>
      <c r="Y301" s="52">
        <f ca="1">Log_2019[[#This Row],[Amount]]/Log_2019[[#This Row],[Split_raw]]*MAX(0,MIN(_xlfn.DAYS(EDATE(Y$1,1),Log_2019[[#This Row],[Date]]),Log_2019[[#This Row],[Split_apply]])) - SUM($O301:X301)</f>
        <v>0</v>
      </c>
      <c r="Z301" s="52">
        <f ca="1">Log_2019[[#This Row],[Amount]]/Log_2019[[#This Row],[Split_raw]]*MAX(0,MIN(_xlfn.DAYS(EDATE(Z$1,1),Log_2019[[#This Row],[Date]]),Log_2019[[#This Row],[Split_apply]])) - SUM($O301:Y301)</f>
        <v>0</v>
      </c>
      <c r="AA301" s="52">
        <f ca="1">Log_2019[[#This Row],[Amount]]/Log_2019[[#This Row],[Split_raw]]*MAX(0,MIN(_xlfn.DAYS(EDATE(AA$1,1),Log_2019[[#This Row],[Date]]),Log_2019[[#This Row],[Split_apply]])) - SUM($O301:Z301)</f>
        <v>0</v>
      </c>
      <c r="AB301" s="54">
        <f ca="1">Log_2019[[#This Row],[Amount]]-SUM(O301:AA301)</f>
        <v>0</v>
      </c>
      <c r="AC301" s="7">
        <f>MAX(0,Log_2019[[#This Row],[Split_raw]] - (EDATE(AA$1,1)-Log_2019[[#This Row],[Date]]))</f>
        <v>0</v>
      </c>
    </row>
    <row r="302" spans="1:29" x14ac:dyDescent="0.25">
      <c r="A302" s="42"/>
      <c r="B302" s="34" t="s">
        <v>490</v>
      </c>
      <c r="C302" s="34">
        <v>2.8017721307509499E+18</v>
      </c>
      <c r="D302" s="41">
        <v>43679</v>
      </c>
      <c r="E302" s="34"/>
      <c r="F302" s="34" t="s">
        <v>745</v>
      </c>
      <c r="G302" s="34"/>
      <c r="H302" s="45">
        <v>12.3</v>
      </c>
      <c r="I302" s="36">
        <f>IF(Log_2019[[#This Row],[My Category]]="NONTRACKED",0,Log_2019[[#This Row],[Raw Amount]])</f>
        <v>12.3</v>
      </c>
      <c r="J302" s="37">
        <f>ABS(Log_2019[[#This Row],[Amount]])</f>
        <v>12.3</v>
      </c>
      <c r="K302" s="38">
        <v>1</v>
      </c>
      <c r="L302" s="38">
        <f ca="1">IF(Log_2019[[#This Row],[Date]]&lt;=TODAY(), MIN(Log_2019[[#This Row],[Split_raw]], TODAY()-Log_2019[[#This Row],[Date]]+1), 0)</f>
        <v>1</v>
      </c>
      <c r="M302" s="34" t="s">
        <v>35</v>
      </c>
      <c r="N302" s="34" t="s">
        <v>490</v>
      </c>
      <c r="O302" s="7">
        <v>0</v>
      </c>
      <c r="P302" s="52">
        <f ca="1">Log_2019[[#This Row],[Amount]]/Log_2019[[#This Row],[Split_raw]]*MAX(0,MIN(_xlfn.DAYS(EDATE(P$1,1),Log_2019[[#This Row],[Date]]),Log_2019[[#This Row],[Split_apply]])) - SUM($O302:O302)</f>
        <v>0</v>
      </c>
      <c r="Q302" s="52">
        <f ca="1">Log_2019[[#This Row],[Amount]]/Log_2019[[#This Row],[Split_raw]]*MAX(0,MIN(_xlfn.DAYS(EDATE(Q$1,1),Log_2019[[#This Row],[Date]]),Log_2019[[#This Row],[Split_apply]])) - SUM($O302:P302)</f>
        <v>0</v>
      </c>
      <c r="R302" s="52">
        <f ca="1">Log_2019[[#This Row],[Amount]]/Log_2019[[#This Row],[Split_raw]]*MAX(0,MIN(_xlfn.DAYS(EDATE(R$1,1),Log_2019[[#This Row],[Date]]),Log_2019[[#This Row],[Split_apply]])) - SUM($O302:Q302)</f>
        <v>0</v>
      </c>
      <c r="S302" s="52">
        <f ca="1">Log_2019[[#This Row],[Amount]]/Log_2019[[#This Row],[Split_raw]]*MAX(0,MIN(_xlfn.DAYS(EDATE(S$1,1),Log_2019[[#This Row],[Date]]),Log_2019[[#This Row],[Split_apply]])) - SUM($O302:R302)</f>
        <v>0</v>
      </c>
      <c r="T302" s="52">
        <f ca="1">Log_2019[[#This Row],[Amount]]/Log_2019[[#This Row],[Split_raw]]*MAX(0,MIN(_xlfn.DAYS(EDATE(T$1,1),Log_2019[[#This Row],[Date]]),Log_2019[[#This Row],[Split_apply]])) - SUM($O302:S302)</f>
        <v>0</v>
      </c>
      <c r="U302" s="52">
        <f ca="1">Log_2019[[#This Row],[Amount]]/Log_2019[[#This Row],[Split_raw]]*MAX(0,MIN(_xlfn.DAYS(EDATE(U$1,1),Log_2019[[#This Row],[Date]]),Log_2019[[#This Row],[Split_apply]])) - SUM($O302:T302)</f>
        <v>0</v>
      </c>
      <c r="V302" s="52">
        <f ca="1">Log_2019[[#This Row],[Amount]]/Log_2019[[#This Row],[Split_raw]]*MAX(0,MIN(_xlfn.DAYS(EDATE(V$1,1),Log_2019[[#This Row],[Date]]),Log_2019[[#This Row],[Split_apply]])) - SUM($O302:U302)</f>
        <v>0</v>
      </c>
      <c r="W302" s="52">
        <f ca="1">Log_2019[[#This Row],[Amount]]/Log_2019[[#This Row],[Split_raw]]*MAX(0,MIN(_xlfn.DAYS(EDATE(W$1,1),Log_2019[[#This Row],[Date]]),Log_2019[[#This Row],[Split_apply]])) - SUM($O302:V302)</f>
        <v>12.3</v>
      </c>
      <c r="X302" s="52">
        <f ca="1">Log_2019[[#This Row],[Amount]]/Log_2019[[#This Row],[Split_raw]]*MAX(0,MIN(_xlfn.DAYS(EDATE(X$1,1),Log_2019[[#This Row],[Date]]),Log_2019[[#This Row],[Split_apply]])) - SUM($O302:W302)</f>
        <v>0</v>
      </c>
      <c r="Y302" s="52">
        <f ca="1">Log_2019[[#This Row],[Amount]]/Log_2019[[#This Row],[Split_raw]]*MAX(0,MIN(_xlfn.DAYS(EDATE(Y$1,1),Log_2019[[#This Row],[Date]]),Log_2019[[#This Row],[Split_apply]])) - SUM($O302:X302)</f>
        <v>0</v>
      </c>
      <c r="Z302" s="52">
        <f ca="1">Log_2019[[#This Row],[Amount]]/Log_2019[[#This Row],[Split_raw]]*MAX(0,MIN(_xlfn.DAYS(EDATE(Z$1,1),Log_2019[[#This Row],[Date]]),Log_2019[[#This Row],[Split_apply]])) - SUM($O302:Y302)</f>
        <v>0</v>
      </c>
      <c r="AA302" s="52">
        <f ca="1">Log_2019[[#This Row],[Amount]]/Log_2019[[#This Row],[Split_raw]]*MAX(0,MIN(_xlfn.DAYS(EDATE(AA$1,1),Log_2019[[#This Row],[Date]]),Log_2019[[#This Row],[Split_apply]])) - SUM($O302:Z302)</f>
        <v>0</v>
      </c>
      <c r="AB302" s="54">
        <f ca="1">Log_2019[[#This Row],[Amount]]-SUM(O302:AA302)</f>
        <v>0</v>
      </c>
      <c r="AC302" s="7">
        <f>MAX(0,Log_2019[[#This Row],[Split_raw]] - (EDATE(AA$1,1)-Log_2019[[#This Row],[Date]]))</f>
        <v>0</v>
      </c>
    </row>
    <row r="303" spans="1:29" x14ac:dyDescent="0.25">
      <c r="A303" s="42"/>
      <c r="B303" s="34" t="s">
        <v>490</v>
      </c>
      <c r="C303" s="34">
        <v>2.80177430802255E+18</v>
      </c>
      <c r="D303" s="41">
        <v>43679</v>
      </c>
      <c r="E303" s="34"/>
      <c r="F303" s="34" t="s">
        <v>744</v>
      </c>
      <c r="G303" s="34"/>
      <c r="H303" s="45">
        <v>18</v>
      </c>
      <c r="I303" s="36">
        <f>IF(Log_2019[[#This Row],[My Category]]="NONTRACKED",0,Log_2019[[#This Row],[Raw Amount]])</f>
        <v>18</v>
      </c>
      <c r="J303" s="37">
        <f>ABS(Log_2019[[#This Row],[Amount]])</f>
        <v>18</v>
      </c>
      <c r="K303" s="38">
        <v>1</v>
      </c>
      <c r="L303" s="38">
        <f ca="1">IF(Log_2019[[#This Row],[Date]]&lt;=TODAY(), MIN(Log_2019[[#This Row],[Split_raw]], TODAY()-Log_2019[[#This Row],[Date]]+1), 0)</f>
        <v>1</v>
      </c>
      <c r="M303" s="34" t="s">
        <v>35</v>
      </c>
      <c r="N303" s="34" t="s">
        <v>490</v>
      </c>
      <c r="O303" s="7">
        <v>0</v>
      </c>
      <c r="P303" s="52">
        <f ca="1">Log_2019[[#This Row],[Amount]]/Log_2019[[#This Row],[Split_raw]]*MAX(0,MIN(_xlfn.DAYS(EDATE(P$1,1),Log_2019[[#This Row],[Date]]),Log_2019[[#This Row],[Split_apply]])) - SUM($O303:O303)</f>
        <v>0</v>
      </c>
      <c r="Q303" s="52">
        <f ca="1">Log_2019[[#This Row],[Amount]]/Log_2019[[#This Row],[Split_raw]]*MAX(0,MIN(_xlfn.DAYS(EDATE(Q$1,1),Log_2019[[#This Row],[Date]]),Log_2019[[#This Row],[Split_apply]])) - SUM($O303:P303)</f>
        <v>0</v>
      </c>
      <c r="R303" s="52">
        <f ca="1">Log_2019[[#This Row],[Amount]]/Log_2019[[#This Row],[Split_raw]]*MAX(0,MIN(_xlfn.DAYS(EDATE(R$1,1),Log_2019[[#This Row],[Date]]),Log_2019[[#This Row],[Split_apply]])) - SUM($O303:Q303)</f>
        <v>0</v>
      </c>
      <c r="S303" s="52">
        <f ca="1">Log_2019[[#This Row],[Amount]]/Log_2019[[#This Row],[Split_raw]]*MAX(0,MIN(_xlfn.DAYS(EDATE(S$1,1),Log_2019[[#This Row],[Date]]),Log_2019[[#This Row],[Split_apply]])) - SUM($O303:R303)</f>
        <v>0</v>
      </c>
      <c r="T303" s="52">
        <f ca="1">Log_2019[[#This Row],[Amount]]/Log_2019[[#This Row],[Split_raw]]*MAX(0,MIN(_xlfn.DAYS(EDATE(T$1,1),Log_2019[[#This Row],[Date]]),Log_2019[[#This Row],[Split_apply]])) - SUM($O303:S303)</f>
        <v>0</v>
      </c>
      <c r="U303" s="52">
        <f ca="1">Log_2019[[#This Row],[Amount]]/Log_2019[[#This Row],[Split_raw]]*MAX(0,MIN(_xlfn.DAYS(EDATE(U$1,1),Log_2019[[#This Row],[Date]]),Log_2019[[#This Row],[Split_apply]])) - SUM($O303:T303)</f>
        <v>0</v>
      </c>
      <c r="V303" s="52">
        <f ca="1">Log_2019[[#This Row],[Amount]]/Log_2019[[#This Row],[Split_raw]]*MAX(0,MIN(_xlfn.DAYS(EDATE(V$1,1),Log_2019[[#This Row],[Date]]),Log_2019[[#This Row],[Split_apply]])) - SUM($O303:U303)</f>
        <v>0</v>
      </c>
      <c r="W303" s="52">
        <f ca="1">Log_2019[[#This Row],[Amount]]/Log_2019[[#This Row],[Split_raw]]*MAX(0,MIN(_xlfn.DAYS(EDATE(W$1,1),Log_2019[[#This Row],[Date]]),Log_2019[[#This Row],[Split_apply]])) - SUM($O303:V303)</f>
        <v>18</v>
      </c>
      <c r="X303" s="52">
        <f ca="1">Log_2019[[#This Row],[Amount]]/Log_2019[[#This Row],[Split_raw]]*MAX(0,MIN(_xlfn.DAYS(EDATE(X$1,1),Log_2019[[#This Row],[Date]]),Log_2019[[#This Row],[Split_apply]])) - SUM($O303:W303)</f>
        <v>0</v>
      </c>
      <c r="Y303" s="52">
        <f ca="1">Log_2019[[#This Row],[Amount]]/Log_2019[[#This Row],[Split_raw]]*MAX(0,MIN(_xlfn.DAYS(EDATE(Y$1,1),Log_2019[[#This Row],[Date]]),Log_2019[[#This Row],[Split_apply]])) - SUM($O303:X303)</f>
        <v>0</v>
      </c>
      <c r="Z303" s="52">
        <f ca="1">Log_2019[[#This Row],[Amount]]/Log_2019[[#This Row],[Split_raw]]*MAX(0,MIN(_xlfn.DAYS(EDATE(Z$1,1),Log_2019[[#This Row],[Date]]),Log_2019[[#This Row],[Split_apply]])) - SUM($O303:Y303)</f>
        <v>0</v>
      </c>
      <c r="AA303" s="52">
        <f ca="1">Log_2019[[#This Row],[Amount]]/Log_2019[[#This Row],[Split_raw]]*MAX(0,MIN(_xlfn.DAYS(EDATE(AA$1,1),Log_2019[[#This Row],[Date]]),Log_2019[[#This Row],[Split_apply]])) - SUM($O303:Z303)</f>
        <v>0</v>
      </c>
      <c r="AB303" s="54">
        <f ca="1">Log_2019[[#This Row],[Amount]]-SUM(O303:AA303)</f>
        <v>0</v>
      </c>
      <c r="AC303" s="7">
        <f>MAX(0,Log_2019[[#This Row],[Split_raw]] - (EDATE(AA$1,1)-Log_2019[[#This Row],[Date]]))</f>
        <v>0</v>
      </c>
    </row>
    <row r="304" spans="1:29" x14ac:dyDescent="0.25">
      <c r="A304" s="42"/>
      <c r="B304" s="34" t="s">
        <v>6</v>
      </c>
      <c r="C304" s="34"/>
      <c r="D304" s="35">
        <v>43678</v>
      </c>
      <c r="E304" t="s">
        <v>960</v>
      </c>
      <c r="F304" s="34" t="s">
        <v>659</v>
      </c>
      <c r="G304" s="34" t="s">
        <v>82</v>
      </c>
      <c r="H304">
        <v>-320</v>
      </c>
      <c r="I304" s="36">
        <f>IF(Log_2019[[#This Row],[My Category]]="NONTRACKED",0,Log_2019[[#This Row],[Raw Amount]])</f>
        <v>-320</v>
      </c>
      <c r="J304" s="37">
        <f>ABS(Log_2019[[#This Row],[Amount]])</f>
        <v>320</v>
      </c>
      <c r="K304" s="5">
        <v>31</v>
      </c>
      <c r="L304" s="38">
        <f ca="1">IF(Log_2019[[#This Row],[Date]]&lt;=TODAY(), MIN(Log_2019[[#This Row],[Split_raw]], TODAY()-Log_2019[[#This Row],[Date]]+1), 0)</f>
        <v>31</v>
      </c>
      <c r="M304" s="34" t="s">
        <v>93</v>
      </c>
      <c r="N304" s="34" t="s">
        <v>160</v>
      </c>
      <c r="O304" s="7">
        <v>0</v>
      </c>
      <c r="P304" s="52">
        <f ca="1">Log_2019[[#This Row],[Amount]]/Log_2019[[#This Row],[Split_raw]]*MAX(0,MIN(_xlfn.DAYS(EDATE(P$1,1),Log_2019[[#This Row],[Date]]),Log_2019[[#This Row],[Split_apply]])) - SUM($O304:O304)</f>
        <v>0</v>
      </c>
      <c r="Q304" s="52">
        <f ca="1">Log_2019[[#This Row],[Amount]]/Log_2019[[#This Row],[Split_raw]]*MAX(0,MIN(_xlfn.DAYS(EDATE(Q$1,1),Log_2019[[#This Row],[Date]]),Log_2019[[#This Row],[Split_apply]])) - SUM($O304:P304)</f>
        <v>0</v>
      </c>
      <c r="R304" s="52">
        <f ca="1">Log_2019[[#This Row],[Amount]]/Log_2019[[#This Row],[Split_raw]]*MAX(0,MIN(_xlfn.DAYS(EDATE(R$1,1),Log_2019[[#This Row],[Date]]),Log_2019[[#This Row],[Split_apply]])) - SUM($O304:Q304)</f>
        <v>0</v>
      </c>
      <c r="S304" s="52">
        <f ca="1">Log_2019[[#This Row],[Amount]]/Log_2019[[#This Row],[Split_raw]]*MAX(0,MIN(_xlfn.DAYS(EDATE(S$1,1),Log_2019[[#This Row],[Date]]),Log_2019[[#This Row],[Split_apply]])) - SUM($O304:R304)</f>
        <v>0</v>
      </c>
      <c r="T304" s="52">
        <f ca="1">Log_2019[[#This Row],[Amount]]/Log_2019[[#This Row],[Split_raw]]*MAX(0,MIN(_xlfn.DAYS(EDATE(T$1,1),Log_2019[[#This Row],[Date]]),Log_2019[[#This Row],[Split_apply]])) - SUM($O304:S304)</f>
        <v>0</v>
      </c>
      <c r="U304" s="52">
        <f ca="1">Log_2019[[#This Row],[Amount]]/Log_2019[[#This Row],[Split_raw]]*MAX(0,MIN(_xlfn.DAYS(EDATE(U$1,1),Log_2019[[#This Row],[Date]]),Log_2019[[#This Row],[Split_apply]])) - SUM($O304:T304)</f>
        <v>0</v>
      </c>
      <c r="V304" s="52">
        <f ca="1">Log_2019[[#This Row],[Amount]]/Log_2019[[#This Row],[Split_raw]]*MAX(0,MIN(_xlfn.DAYS(EDATE(V$1,1),Log_2019[[#This Row],[Date]]),Log_2019[[#This Row],[Split_apply]])) - SUM($O304:U304)</f>
        <v>0</v>
      </c>
      <c r="W304" s="52">
        <f ca="1">Log_2019[[#This Row],[Amount]]/Log_2019[[#This Row],[Split_raw]]*MAX(0,MIN(_xlfn.DAYS(EDATE(W$1,1),Log_2019[[#This Row],[Date]]),Log_2019[[#This Row],[Split_apply]])) - SUM($O304:V304)</f>
        <v>-320</v>
      </c>
      <c r="X304" s="52">
        <f ca="1">Log_2019[[#This Row],[Amount]]/Log_2019[[#This Row],[Split_raw]]*MAX(0,MIN(_xlfn.DAYS(EDATE(X$1,1),Log_2019[[#This Row],[Date]]),Log_2019[[#This Row],[Split_apply]])) - SUM($O304:W304)</f>
        <v>0</v>
      </c>
      <c r="Y304" s="52">
        <f ca="1">Log_2019[[#This Row],[Amount]]/Log_2019[[#This Row],[Split_raw]]*MAX(0,MIN(_xlfn.DAYS(EDATE(Y$1,1),Log_2019[[#This Row],[Date]]),Log_2019[[#This Row],[Split_apply]])) - SUM($O304:X304)</f>
        <v>0</v>
      </c>
      <c r="Z304" s="52">
        <f ca="1">Log_2019[[#This Row],[Amount]]/Log_2019[[#This Row],[Split_raw]]*MAX(0,MIN(_xlfn.DAYS(EDATE(Z$1,1),Log_2019[[#This Row],[Date]]),Log_2019[[#This Row],[Split_apply]])) - SUM($O304:Y304)</f>
        <v>0</v>
      </c>
      <c r="AA304" s="52">
        <f ca="1">Log_2019[[#This Row],[Amount]]/Log_2019[[#This Row],[Split_raw]]*MAX(0,MIN(_xlfn.DAYS(EDATE(AA$1,1),Log_2019[[#This Row],[Date]]),Log_2019[[#This Row],[Split_apply]])) - SUM($O304:Z304)</f>
        <v>0</v>
      </c>
      <c r="AB304" s="54">
        <f ca="1">Log_2019[[#This Row],[Amount]]-SUM(O304:AA304)</f>
        <v>0</v>
      </c>
      <c r="AC304" s="7">
        <f>MAX(0,Log_2019[[#This Row],[Split_raw]] - (EDATE(AA$1,1)-Log_2019[[#This Row],[Date]]))</f>
        <v>0</v>
      </c>
    </row>
    <row r="305" spans="1:29" x14ac:dyDescent="0.25">
      <c r="A305" s="42"/>
      <c r="B305" s="34" t="s">
        <v>6</v>
      </c>
      <c r="C305" s="34"/>
      <c r="D305" s="35">
        <v>43678</v>
      </c>
      <c r="E305" s="34"/>
      <c r="F305" s="34" t="s">
        <v>255</v>
      </c>
      <c r="G305" s="34" t="s">
        <v>25</v>
      </c>
      <c r="H305">
        <v>-8.08</v>
      </c>
      <c r="I305" s="36">
        <f>IF(Log_2019[[#This Row],[My Category]]="NONTRACKED",0,Log_2019[[#This Row],[Raw Amount]])</f>
        <v>-8.08</v>
      </c>
      <c r="J305" s="37">
        <f>ABS(Log_2019[[#This Row],[Amount]])</f>
        <v>8.08</v>
      </c>
      <c r="K305" s="38">
        <v>1</v>
      </c>
      <c r="L305" s="38">
        <f ca="1">IF(Log_2019[[#This Row],[Date]]&lt;=TODAY(), MIN(Log_2019[[#This Row],[Split_raw]], TODAY()-Log_2019[[#This Row],[Date]]+1), 0)</f>
        <v>1</v>
      </c>
      <c r="M305" s="34" t="s">
        <v>35</v>
      </c>
      <c r="N305" s="34" t="s">
        <v>158</v>
      </c>
      <c r="O305" s="7">
        <v>0</v>
      </c>
      <c r="P305" s="52">
        <f ca="1">Log_2019[[#This Row],[Amount]]/Log_2019[[#This Row],[Split_raw]]*MAX(0,MIN(_xlfn.DAYS(EDATE(P$1,1),Log_2019[[#This Row],[Date]]),Log_2019[[#This Row],[Split_apply]])) - SUM($O305:O305)</f>
        <v>0</v>
      </c>
      <c r="Q305" s="52">
        <f ca="1">Log_2019[[#This Row],[Amount]]/Log_2019[[#This Row],[Split_raw]]*MAX(0,MIN(_xlfn.DAYS(EDATE(Q$1,1),Log_2019[[#This Row],[Date]]),Log_2019[[#This Row],[Split_apply]])) - SUM($O305:P305)</f>
        <v>0</v>
      </c>
      <c r="R305" s="52">
        <f ca="1">Log_2019[[#This Row],[Amount]]/Log_2019[[#This Row],[Split_raw]]*MAX(0,MIN(_xlfn.DAYS(EDATE(R$1,1),Log_2019[[#This Row],[Date]]),Log_2019[[#This Row],[Split_apply]])) - SUM($O305:Q305)</f>
        <v>0</v>
      </c>
      <c r="S305" s="52">
        <f ca="1">Log_2019[[#This Row],[Amount]]/Log_2019[[#This Row],[Split_raw]]*MAX(0,MIN(_xlfn.DAYS(EDATE(S$1,1),Log_2019[[#This Row],[Date]]),Log_2019[[#This Row],[Split_apply]])) - SUM($O305:R305)</f>
        <v>0</v>
      </c>
      <c r="T305" s="52">
        <f ca="1">Log_2019[[#This Row],[Amount]]/Log_2019[[#This Row],[Split_raw]]*MAX(0,MIN(_xlfn.DAYS(EDATE(T$1,1),Log_2019[[#This Row],[Date]]),Log_2019[[#This Row],[Split_apply]])) - SUM($O305:S305)</f>
        <v>0</v>
      </c>
      <c r="U305" s="52">
        <f ca="1">Log_2019[[#This Row],[Amount]]/Log_2019[[#This Row],[Split_raw]]*MAX(0,MIN(_xlfn.DAYS(EDATE(U$1,1),Log_2019[[#This Row],[Date]]),Log_2019[[#This Row],[Split_apply]])) - SUM($O305:T305)</f>
        <v>0</v>
      </c>
      <c r="V305" s="52">
        <f ca="1">Log_2019[[#This Row],[Amount]]/Log_2019[[#This Row],[Split_raw]]*MAX(0,MIN(_xlfn.DAYS(EDATE(V$1,1),Log_2019[[#This Row],[Date]]),Log_2019[[#This Row],[Split_apply]])) - SUM($O305:U305)</f>
        <v>0</v>
      </c>
      <c r="W305" s="52">
        <f ca="1">Log_2019[[#This Row],[Amount]]/Log_2019[[#This Row],[Split_raw]]*MAX(0,MIN(_xlfn.DAYS(EDATE(W$1,1),Log_2019[[#This Row],[Date]]),Log_2019[[#This Row],[Split_apply]])) - SUM($O305:V305)</f>
        <v>-8.08</v>
      </c>
      <c r="X305" s="52">
        <f ca="1">Log_2019[[#This Row],[Amount]]/Log_2019[[#This Row],[Split_raw]]*MAX(0,MIN(_xlfn.DAYS(EDATE(X$1,1),Log_2019[[#This Row],[Date]]),Log_2019[[#This Row],[Split_apply]])) - SUM($O305:W305)</f>
        <v>0</v>
      </c>
      <c r="Y305" s="52">
        <f ca="1">Log_2019[[#This Row],[Amount]]/Log_2019[[#This Row],[Split_raw]]*MAX(0,MIN(_xlfn.DAYS(EDATE(Y$1,1),Log_2019[[#This Row],[Date]]),Log_2019[[#This Row],[Split_apply]])) - SUM($O305:X305)</f>
        <v>0</v>
      </c>
      <c r="Z305" s="52">
        <f ca="1">Log_2019[[#This Row],[Amount]]/Log_2019[[#This Row],[Split_raw]]*MAX(0,MIN(_xlfn.DAYS(EDATE(Z$1,1),Log_2019[[#This Row],[Date]]),Log_2019[[#This Row],[Split_apply]])) - SUM($O305:Y305)</f>
        <v>0</v>
      </c>
      <c r="AA305" s="52">
        <f ca="1">Log_2019[[#This Row],[Amount]]/Log_2019[[#This Row],[Split_raw]]*MAX(0,MIN(_xlfn.DAYS(EDATE(AA$1,1),Log_2019[[#This Row],[Date]]),Log_2019[[#This Row],[Split_apply]])) - SUM($O305:Z305)</f>
        <v>0</v>
      </c>
      <c r="AB305" s="54">
        <f ca="1">Log_2019[[#This Row],[Amount]]-SUM(O305:AA305)</f>
        <v>0</v>
      </c>
      <c r="AC305" s="7">
        <f>MAX(0,Log_2019[[#This Row],[Split_raw]] - (EDATE(AA$1,1)-Log_2019[[#This Row],[Date]]))</f>
        <v>0</v>
      </c>
    </row>
    <row r="306" spans="1:29" x14ac:dyDescent="0.25">
      <c r="A306" s="42"/>
      <c r="B306" s="34" t="s">
        <v>6</v>
      </c>
      <c r="C306" s="34"/>
      <c r="D306" s="35">
        <v>43678</v>
      </c>
      <c r="E306" s="34" t="s">
        <v>664</v>
      </c>
      <c r="F306" s="34" t="s">
        <v>529</v>
      </c>
      <c r="G306" s="34" t="s">
        <v>25</v>
      </c>
      <c r="H306">
        <v>-35.049999999999997</v>
      </c>
      <c r="I306" s="36">
        <f>IF(Log_2019[[#This Row],[My Category]]="NONTRACKED",0,Log_2019[[#This Row],[Raw Amount]])</f>
        <v>-35.049999999999997</v>
      </c>
      <c r="J306" s="37">
        <f>ABS(Log_2019[[#This Row],[Amount]])</f>
        <v>35.049999999999997</v>
      </c>
      <c r="K306" s="38">
        <v>1</v>
      </c>
      <c r="L306" s="38">
        <f ca="1">IF(Log_2019[[#This Row],[Date]]&lt;=TODAY(), MIN(Log_2019[[#This Row],[Split_raw]], TODAY()-Log_2019[[#This Row],[Date]]+1), 0)</f>
        <v>1</v>
      </c>
      <c r="M306" s="34" t="s">
        <v>40</v>
      </c>
      <c r="N306" s="34" t="s">
        <v>158</v>
      </c>
      <c r="O306" s="7">
        <v>0</v>
      </c>
      <c r="P306" s="52">
        <f ca="1">Log_2019[[#This Row],[Amount]]/Log_2019[[#This Row],[Split_raw]]*MAX(0,MIN(_xlfn.DAYS(EDATE(P$1,1),Log_2019[[#This Row],[Date]]),Log_2019[[#This Row],[Split_apply]])) - SUM($O306:O306)</f>
        <v>0</v>
      </c>
      <c r="Q306" s="52">
        <f ca="1">Log_2019[[#This Row],[Amount]]/Log_2019[[#This Row],[Split_raw]]*MAX(0,MIN(_xlfn.DAYS(EDATE(Q$1,1),Log_2019[[#This Row],[Date]]),Log_2019[[#This Row],[Split_apply]])) - SUM($O306:P306)</f>
        <v>0</v>
      </c>
      <c r="R306" s="52">
        <f ca="1">Log_2019[[#This Row],[Amount]]/Log_2019[[#This Row],[Split_raw]]*MAX(0,MIN(_xlfn.DAYS(EDATE(R$1,1),Log_2019[[#This Row],[Date]]),Log_2019[[#This Row],[Split_apply]])) - SUM($O306:Q306)</f>
        <v>0</v>
      </c>
      <c r="S306" s="52">
        <f ca="1">Log_2019[[#This Row],[Amount]]/Log_2019[[#This Row],[Split_raw]]*MAX(0,MIN(_xlfn.DAYS(EDATE(S$1,1),Log_2019[[#This Row],[Date]]),Log_2019[[#This Row],[Split_apply]])) - SUM($O306:R306)</f>
        <v>0</v>
      </c>
      <c r="T306" s="52">
        <f ca="1">Log_2019[[#This Row],[Amount]]/Log_2019[[#This Row],[Split_raw]]*MAX(0,MIN(_xlfn.DAYS(EDATE(T$1,1),Log_2019[[#This Row],[Date]]),Log_2019[[#This Row],[Split_apply]])) - SUM($O306:S306)</f>
        <v>0</v>
      </c>
      <c r="U306" s="52">
        <f ca="1">Log_2019[[#This Row],[Amount]]/Log_2019[[#This Row],[Split_raw]]*MAX(0,MIN(_xlfn.DAYS(EDATE(U$1,1),Log_2019[[#This Row],[Date]]),Log_2019[[#This Row],[Split_apply]])) - SUM($O306:T306)</f>
        <v>0</v>
      </c>
      <c r="V306" s="52">
        <f ca="1">Log_2019[[#This Row],[Amount]]/Log_2019[[#This Row],[Split_raw]]*MAX(0,MIN(_xlfn.DAYS(EDATE(V$1,1),Log_2019[[#This Row],[Date]]),Log_2019[[#This Row],[Split_apply]])) - SUM($O306:U306)</f>
        <v>0</v>
      </c>
      <c r="W306" s="52">
        <f ca="1">Log_2019[[#This Row],[Amount]]/Log_2019[[#This Row],[Split_raw]]*MAX(0,MIN(_xlfn.DAYS(EDATE(W$1,1),Log_2019[[#This Row],[Date]]),Log_2019[[#This Row],[Split_apply]])) - SUM($O306:V306)</f>
        <v>-35.049999999999997</v>
      </c>
      <c r="X306" s="52">
        <f ca="1">Log_2019[[#This Row],[Amount]]/Log_2019[[#This Row],[Split_raw]]*MAX(0,MIN(_xlfn.DAYS(EDATE(X$1,1),Log_2019[[#This Row],[Date]]),Log_2019[[#This Row],[Split_apply]])) - SUM($O306:W306)</f>
        <v>0</v>
      </c>
      <c r="Y306" s="52">
        <f ca="1">Log_2019[[#This Row],[Amount]]/Log_2019[[#This Row],[Split_raw]]*MAX(0,MIN(_xlfn.DAYS(EDATE(Y$1,1),Log_2019[[#This Row],[Date]]),Log_2019[[#This Row],[Split_apply]])) - SUM($O306:X306)</f>
        <v>0</v>
      </c>
      <c r="Z306" s="52">
        <f ca="1">Log_2019[[#This Row],[Amount]]/Log_2019[[#This Row],[Split_raw]]*MAX(0,MIN(_xlfn.DAYS(EDATE(Z$1,1),Log_2019[[#This Row],[Date]]),Log_2019[[#This Row],[Split_apply]])) - SUM($O306:Y306)</f>
        <v>0</v>
      </c>
      <c r="AA306" s="52">
        <f ca="1">Log_2019[[#This Row],[Amount]]/Log_2019[[#This Row],[Split_raw]]*MAX(0,MIN(_xlfn.DAYS(EDATE(AA$1,1),Log_2019[[#This Row],[Date]]),Log_2019[[#This Row],[Split_apply]])) - SUM($O306:Z306)</f>
        <v>0</v>
      </c>
      <c r="AB306" s="54">
        <f ca="1">Log_2019[[#This Row],[Amount]]-SUM(O306:AA306)</f>
        <v>0</v>
      </c>
      <c r="AC306" s="7">
        <f>MAX(0,Log_2019[[#This Row],[Split_raw]] - (EDATE(AA$1,1)-Log_2019[[#This Row],[Date]]))</f>
        <v>0</v>
      </c>
    </row>
    <row r="307" spans="1:29" x14ac:dyDescent="0.25">
      <c r="A307" s="42"/>
      <c r="B307" s="34" t="s">
        <v>6</v>
      </c>
      <c r="C307" s="34"/>
      <c r="D307" s="35">
        <v>43678</v>
      </c>
      <c r="E307" s="34"/>
      <c r="F307" s="34" t="s">
        <v>642</v>
      </c>
      <c r="G307" s="34" t="s">
        <v>80</v>
      </c>
      <c r="H307">
        <f>--1898.46</f>
        <v>1898.46</v>
      </c>
      <c r="I307" s="36">
        <f>IF(Log_2019[[#This Row],[My Category]]="NONTRACKED",0,Log_2019[[#This Row],[Raw Amount]])</f>
        <v>1898.46</v>
      </c>
      <c r="J307" s="37">
        <f>ABS(Log_2019[[#This Row],[Amount]])</f>
        <v>1898.46</v>
      </c>
      <c r="K307" s="38">
        <v>14</v>
      </c>
      <c r="L307" s="38">
        <f ca="1">IF(Log_2019[[#This Row],[Date]]&lt;=TODAY(), MIN(Log_2019[[#This Row],[Split_raw]], TODAY()-Log_2019[[#This Row],[Date]]+1), 0)</f>
        <v>14</v>
      </c>
      <c r="M307" s="34" t="s">
        <v>91</v>
      </c>
      <c r="N307" s="34" t="s">
        <v>160</v>
      </c>
      <c r="O307" s="7">
        <v>0</v>
      </c>
      <c r="P307" s="52">
        <f ca="1">Log_2019[[#This Row],[Amount]]/Log_2019[[#This Row],[Split_raw]]*MAX(0,MIN(_xlfn.DAYS(EDATE(P$1,1),Log_2019[[#This Row],[Date]]),Log_2019[[#This Row],[Split_apply]])) - SUM($O307:O307)</f>
        <v>0</v>
      </c>
      <c r="Q307" s="52">
        <f ca="1">Log_2019[[#This Row],[Amount]]/Log_2019[[#This Row],[Split_raw]]*MAX(0,MIN(_xlfn.DAYS(EDATE(Q$1,1),Log_2019[[#This Row],[Date]]),Log_2019[[#This Row],[Split_apply]])) - SUM($O307:P307)</f>
        <v>0</v>
      </c>
      <c r="R307" s="52">
        <f ca="1">Log_2019[[#This Row],[Amount]]/Log_2019[[#This Row],[Split_raw]]*MAX(0,MIN(_xlfn.DAYS(EDATE(R$1,1),Log_2019[[#This Row],[Date]]),Log_2019[[#This Row],[Split_apply]])) - SUM($O307:Q307)</f>
        <v>0</v>
      </c>
      <c r="S307" s="52">
        <f ca="1">Log_2019[[#This Row],[Amount]]/Log_2019[[#This Row],[Split_raw]]*MAX(0,MIN(_xlfn.DAYS(EDATE(S$1,1),Log_2019[[#This Row],[Date]]),Log_2019[[#This Row],[Split_apply]])) - SUM($O307:R307)</f>
        <v>0</v>
      </c>
      <c r="T307" s="52">
        <f ca="1">Log_2019[[#This Row],[Amount]]/Log_2019[[#This Row],[Split_raw]]*MAX(0,MIN(_xlfn.DAYS(EDATE(T$1,1),Log_2019[[#This Row],[Date]]),Log_2019[[#This Row],[Split_apply]])) - SUM($O307:S307)</f>
        <v>0</v>
      </c>
      <c r="U307" s="52">
        <f ca="1">Log_2019[[#This Row],[Amount]]/Log_2019[[#This Row],[Split_raw]]*MAX(0,MIN(_xlfn.DAYS(EDATE(U$1,1),Log_2019[[#This Row],[Date]]),Log_2019[[#This Row],[Split_apply]])) - SUM($O307:T307)</f>
        <v>0</v>
      </c>
      <c r="V307" s="52">
        <f ca="1">Log_2019[[#This Row],[Amount]]/Log_2019[[#This Row],[Split_raw]]*MAX(0,MIN(_xlfn.DAYS(EDATE(V$1,1),Log_2019[[#This Row],[Date]]),Log_2019[[#This Row],[Split_apply]])) - SUM($O307:U307)</f>
        <v>0</v>
      </c>
      <c r="W307" s="52">
        <f ca="1">Log_2019[[#This Row],[Amount]]/Log_2019[[#This Row],[Split_raw]]*MAX(0,MIN(_xlfn.DAYS(EDATE(W$1,1),Log_2019[[#This Row],[Date]]),Log_2019[[#This Row],[Split_apply]])) - SUM($O307:V307)</f>
        <v>1898.46</v>
      </c>
      <c r="X307" s="52">
        <f ca="1">Log_2019[[#This Row],[Amount]]/Log_2019[[#This Row],[Split_raw]]*MAX(0,MIN(_xlfn.DAYS(EDATE(X$1,1),Log_2019[[#This Row],[Date]]),Log_2019[[#This Row],[Split_apply]])) - SUM($O307:W307)</f>
        <v>0</v>
      </c>
      <c r="Y307" s="52">
        <f ca="1">Log_2019[[#This Row],[Amount]]/Log_2019[[#This Row],[Split_raw]]*MAX(0,MIN(_xlfn.DAYS(EDATE(Y$1,1),Log_2019[[#This Row],[Date]]),Log_2019[[#This Row],[Split_apply]])) - SUM($O307:X307)</f>
        <v>0</v>
      </c>
      <c r="Z307" s="52">
        <f ca="1">Log_2019[[#This Row],[Amount]]/Log_2019[[#This Row],[Split_raw]]*MAX(0,MIN(_xlfn.DAYS(EDATE(Z$1,1),Log_2019[[#This Row],[Date]]),Log_2019[[#This Row],[Split_apply]])) - SUM($O307:Y307)</f>
        <v>0</v>
      </c>
      <c r="AA307" s="52">
        <f ca="1">Log_2019[[#This Row],[Amount]]/Log_2019[[#This Row],[Split_raw]]*MAX(0,MIN(_xlfn.DAYS(EDATE(AA$1,1),Log_2019[[#This Row],[Date]]),Log_2019[[#This Row],[Split_apply]])) - SUM($O307:Z307)</f>
        <v>0</v>
      </c>
      <c r="AB307" s="54">
        <f ca="1">Log_2019[[#This Row],[Amount]]-SUM(O307:AA307)</f>
        <v>0</v>
      </c>
      <c r="AC307" s="7">
        <f>MAX(0,Log_2019[[#This Row],[Split_raw]] - (EDATE(AA$1,1)-Log_2019[[#This Row],[Date]]))</f>
        <v>0</v>
      </c>
    </row>
    <row r="308" spans="1:29" x14ac:dyDescent="0.25">
      <c r="A308" s="42"/>
      <c r="B308" s="34" t="s">
        <v>6</v>
      </c>
      <c r="C308" s="34"/>
      <c r="D308" s="35">
        <v>43676</v>
      </c>
      <c r="E308" s="34"/>
      <c r="F308" s="34" t="s">
        <v>647</v>
      </c>
      <c r="G308" s="34" t="s">
        <v>25</v>
      </c>
      <c r="H308">
        <v>-12.4</v>
      </c>
      <c r="I308" s="36">
        <f>IF(Log_2019[[#This Row],[My Category]]="NONTRACKED",0,Log_2019[[#This Row],[Raw Amount]])</f>
        <v>-12.4</v>
      </c>
      <c r="J308" s="37">
        <f>ABS(Log_2019[[#This Row],[Amount]])</f>
        <v>12.4</v>
      </c>
      <c r="K308" s="38">
        <v>1</v>
      </c>
      <c r="L308" s="38">
        <f ca="1">IF(Log_2019[[#This Row],[Date]]&lt;=TODAY(), MIN(Log_2019[[#This Row],[Split_raw]], TODAY()-Log_2019[[#This Row],[Date]]+1), 0)</f>
        <v>1</v>
      </c>
      <c r="M308" s="34" t="s">
        <v>35</v>
      </c>
      <c r="N308" s="34" t="s">
        <v>158</v>
      </c>
      <c r="O308" s="7">
        <v>0</v>
      </c>
      <c r="P308" s="52">
        <f ca="1">Log_2019[[#This Row],[Amount]]/Log_2019[[#This Row],[Split_raw]]*MAX(0,MIN(_xlfn.DAYS(EDATE(P$1,1),Log_2019[[#This Row],[Date]]),Log_2019[[#This Row],[Split_apply]])) - SUM($O308:O308)</f>
        <v>0</v>
      </c>
      <c r="Q308" s="52">
        <f ca="1">Log_2019[[#This Row],[Amount]]/Log_2019[[#This Row],[Split_raw]]*MAX(0,MIN(_xlfn.DAYS(EDATE(Q$1,1),Log_2019[[#This Row],[Date]]),Log_2019[[#This Row],[Split_apply]])) - SUM($O308:P308)</f>
        <v>0</v>
      </c>
      <c r="R308" s="52">
        <f ca="1">Log_2019[[#This Row],[Amount]]/Log_2019[[#This Row],[Split_raw]]*MAX(0,MIN(_xlfn.DAYS(EDATE(R$1,1),Log_2019[[#This Row],[Date]]),Log_2019[[#This Row],[Split_apply]])) - SUM($O308:Q308)</f>
        <v>0</v>
      </c>
      <c r="S308" s="52">
        <f ca="1">Log_2019[[#This Row],[Amount]]/Log_2019[[#This Row],[Split_raw]]*MAX(0,MIN(_xlfn.DAYS(EDATE(S$1,1),Log_2019[[#This Row],[Date]]),Log_2019[[#This Row],[Split_apply]])) - SUM($O308:R308)</f>
        <v>0</v>
      </c>
      <c r="T308" s="52">
        <f ca="1">Log_2019[[#This Row],[Amount]]/Log_2019[[#This Row],[Split_raw]]*MAX(0,MIN(_xlfn.DAYS(EDATE(T$1,1),Log_2019[[#This Row],[Date]]),Log_2019[[#This Row],[Split_apply]])) - SUM($O308:S308)</f>
        <v>0</v>
      </c>
      <c r="U308" s="52">
        <f ca="1">Log_2019[[#This Row],[Amount]]/Log_2019[[#This Row],[Split_raw]]*MAX(0,MIN(_xlfn.DAYS(EDATE(U$1,1),Log_2019[[#This Row],[Date]]),Log_2019[[#This Row],[Split_apply]])) - SUM($O308:T308)</f>
        <v>0</v>
      </c>
      <c r="V308" s="52">
        <f ca="1">Log_2019[[#This Row],[Amount]]/Log_2019[[#This Row],[Split_raw]]*MAX(0,MIN(_xlfn.DAYS(EDATE(V$1,1),Log_2019[[#This Row],[Date]]),Log_2019[[#This Row],[Split_apply]])) - SUM($O308:U308)</f>
        <v>-12.4</v>
      </c>
      <c r="W308" s="52">
        <f ca="1">Log_2019[[#This Row],[Amount]]/Log_2019[[#This Row],[Split_raw]]*MAX(0,MIN(_xlfn.DAYS(EDATE(W$1,1),Log_2019[[#This Row],[Date]]),Log_2019[[#This Row],[Split_apply]])) - SUM($O308:V308)</f>
        <v>0</v>
      </c>
      <c r="X308" s="52">
        <f ca="1">Log_2019[[#This Row],[Amount]]/Log_2019[[#This Row],[Split_raw]]*MAX(0,MIN(_xlfn.DAYS(EDATE(X$1,1),Log_2019[[#This Row],[Date]]),Log_2019[[#This Row],[Split_apply]])) - SUM($O308:W308)</f>
        <v>0</v>
      </c>
      <c r="Y308" s="52">
        <f ca="1">Log_2019[[#This Row],[Amount]]/Log_2019[[#This Row],[Split_raw]]*MAX(0,MIN(_xlfn.DAYS(EDATE(Y$1,1),Log_2019[[#This Row],[Date]]),Log_2019[[#This Row],[Split_apply]])) - SUM($O308:X308)</f>
        <v>0</v>
      </c>
      <c r="Z308" s="52">
        <f ca="1">Log_2019[[#This Row],[Amount]]/Log_2019[[#This Row],[Split_raw]]*MAX(0,MIN(_xlfn.DAYS(EDATE(Z$1,1),Log_2019[[#This Row],[Date]]),Log_2019[[#This Row],[Split_apply]])) - SUM($O308:Y308)</f>
        <v>0</v>
      </c>
      <c r="AA308" s="52">
        <f ca="1">Log_2019[[#This Row],[Amount]]/Log_2019[[#This Row],[Split_raw]]*MAX(0,MIN(_xlfn.DAYS(EDATE(AA$1,1),Log_2019[[#This Row],[Date]]),Log_2019[[#This Row],[Split_apply]])) - SUM($O308:Z308)</f>
        <v>0</v>
      </c>
      <c r="AB308" s="54">
        <f ca="1">Log_2019[[#This Row],[Amount]]-SUM(O308:AA308)</f>
        <v>0</v>
      </c>
      <c r="AC308" s="7">
        <f>MAX(0,Log_2019[[#This Row],[Split_raw]] - (EDATE(AA$1,1)-Log_2019[[#This Row],[Date]]))</f>
        <v>0</v>
      </c>
    </row>
    <row r="309" spans="1:29" x14ac:dyDescent="0.25">
      <c r="A309" s="42"/>
      <c r="B309" s="34" t="s">
        <v>6</v>
      </c>
      <c r="C309" s="34"/>
      <c r="D309" s="35">
        <v>43676</v>
      </c>
      <c r="E309" s="34" t="s">
        <v>665</v>
      </c>
      <c r="F309" s="34" t="s">
        <v>648</v>
      </c>
      <c r="G309" s="34" t="s">
        <v>27</v>
      </c>
      <c r="H309">
        <v>-134.30000000000001</v>
      </c>
      <c r="I309" s="36">
        <f>IF(Log_2019[[#This Row],[My Category]]="NONTRACKED",0,Log_2019[[#This Row],[Raw Amount]])</f>
        <v>-134.30000000000001</v>
      </c>
      <c r="J309" s="37">
        <f>ABS(Log_2019[[#This Row],[Amount]])</f>
        <v>134.30000000000001</v>
      </c>
      <c r="K309" s="38">
        <v>1</v>
      </c>
      <c r="L309" s="38">
        <f ca="1">IF(Log_2019[[#This Row],[Date]]&lt;=TODAY(), MIN(Log_2019[[#This Row],[Split_raw]], TODAY()-Log_2019[[#This Row],[Date]]+1), 0)</f>
        <v>1</v>
      </c>
      <c r="M309" s="34" t="s">
        <v>42</v>
      </c>
      <c r="N309" s="34" t="s">
        <v>158</v>
      </c>
      <c r="O309" s="7">
        <v>0</v>
      </c>
      <c r="P309" s="52">
        <f ca="1">Log_2019[[#This Row],[Amount]]/Log_2019[[#This Row],[Split_raw]]*MAX(0,MIN(_xlfn.DAYS(EDATE(P$1,1),Log_2019[[#This Row],[Date]]),Log_2019[[#This Row],[Split_apply]])) - SUM($O309:O309)</f>
        <v>0</v>
      </c>
      <c r="Q309" s="52">
        <f ca="1">Log_2019[[#This Row],[Amount]]/Log_2019[[#This Row],[Split_raw]]*MAX(0,MIN(_xlfn.DAYS(EDATE(Q$1,1),Log_2019[[#This Row],[Date]]),Log_2019[[#This Row],[Split_apply]])) - SUM($O309:P309)</f>
        <v>0</v>
      </c>
      <c r="R309" s="52">
        <f ca="1">Log_2019[[#This Row],[Amount]]/Log_2019[[#This Row],[Split_raw]]*MAX(0,MIN(_xlfn.DAYS(EDATE(R$1,1),Log_2019[[#This Row],[Date]]),Log_2019[[#This Row],[Split_apply]])) - SUM($O309:Q309)</f>
        <v>0</v>
      </c>
      <c r="S309" s="52">
        <f ca="1">Log_2019[[#This Row],[Amount]]/Log_2019[[#This Row],[Split_raw]]*MAX(0,MIN(_xlfn.DAYS(EDATE(S$1,1),Log_2019[[#This Row],[Date]]),Log_2019[[#This Row],[Split_apply]])) - SUM($O309:R309)</f>
        <v>0</v>
      </c>
      <c r="T309" s="52">
        <f ca="1">Log_2019[[#This Row],[Amount]]/Log_2019[[#This Row],[Split_raw]]*MAX(0,MIN(_xlfn.DAYS(EDATE(T$1,1),Log_2019[[#This Row],[Date]]),Log_2019[[#This Row],[Split_apply]])) - SUM($O309:S309)</f>
        <v>0</v>
      </c>
      <c r="U309" s="52">
        <f ca="1">Log_2019[[#This Row],[Amount]]/Log_2019[[#This Row],[Split_raw]]*MAX(0,MIN(_xlfn.DAYS(EDATE(U$1,1),Log_2019[[#This Row],[Date]]),Log_2019[[#This Row],[Split_apply]])) - SUM($O309:T309)</f>
        <v>0</v>
      </c>
      <c r="V309" s="52">
        <f ca="1">Log_2019[[#This Row],[Amount]]/Log_2019[[#This Row],[Split_raw]]*MAX(0,MIN(_xlfn.DAYS(EDATE(V$1,1),Log_2019[[#This Row],[Date]]),Log_2019[[#This Row],[Split_apply]])) - SUM($O309:U309)</f>
        <v>-134.30000000000001</v>
      </c>
      <c r="W309" s="52">
        <f ca="1">Log_2019[[#This Row],[Amount]]/Log_2019[[#This Row],[Split_raw]]*MAX(0,MIN(_xlfn.DAYS(EDATE(W$1,1),Log_2019[[#This Row],[Date]]),Log_2019[[#This Row],[Split_apply]])) - SUM($O309:V309)</f>
        <v>0</v>
      </c>
      <c r="X309" s="52">
        <f ca="1">Log_2019[[#This Row],[Amount]]/Log_2019[[#This Row],[Split_raw]]*MAX(0,MIN(_xlfn.DAYS(EDATE(X$1,1),Log_2019[[#This Row],[Date]]),Log_2019[[#This Row],[Split_apply]])) - SUM($O309:W309)</f>
        <v>0</v>
      </c>
      <c r="Y309" s="52">
        <f ca="1">Log_2019[[#This Row],[Amount]]/Log_2019[[#This Row],[Split_raw]]*MAX(0,MIN(_xlfn.DAYS(EDATE(Y$1,1),Log_2019[[#This Row],[Date]]),Log_2019[[#This Row],[Split_apply]])) - SUM($O309:X309)</f>
        <v>0</v>
      </c>
      <c r="Z309" s="52">
        <f ca="1">Log_2019[[#This Row],[Amount]]/Log_2019[[#This Row],[Split_raw]]*MAX(0,MIN(_xlfn.DAYS(EDATE(Z$1,1),Log_2019[[#This Row],[Date]]),Log_2019[[#This Row],[Split_apply]])) - SUM($O309:Y309)</f>
        <v>0</v>
      </c>
      <c r="AA309" s="52">
        <f ca="1">Log_2019[[#This Row],[Amount]]/Log_2019[[#This Row],[Split_raw]]*MAX(0,MIN(_xlfn.DAYS(EDATE(AA$1,1),Log_2019[[#This Row],[Date]]),Log_2019[[#This Row],[Split_apply]])) - SUM($O309:Z309)</f>
        <v>0</v>
      </c>
      <c r="AB309" s="54">
        <f ca="1">Log_2019[[#This Row],[Amount]]-SUM(O309:AA309)</f>
        <v>0</v>
      </c>
      <c r="AC309" s="7">
        <f>MAX(0,Log_2019[[#This Row],[Split_raw]] - (EDATE(AA$1,1)-Log_2019[[#This Row],[Date]]))</f>
        <v>0</v>
      </c>
    </row>
    <row r="310" spans="1:29" x14ac:dyDescent="0.25">
      <c r="A310" s="42"/>
      <c r="B310" s="34" t="s">
        <v>6</v>
      </c>
      <c r="C310" s="34"/>
      <c r="D310" s="35">
        <v>43676</v>
      </c>
      <c r="E310" s="34" t="s">
        <v>666</v>
      </c>
      <c r="F310" s="34" t="s">
        <v>529</v>
      </c>
      <c r="G310" s="34" t="s">
        <v>25</v>
      </c>
      <c r="H310">
        <v>-16.2</v>
      </c>
      <c r="I310" s="36">
        <f>IF(Log_2019[[#This Row],[My Category]]="NONTRACKED",0,Log_2019[[#This Row],[Raw Amount]])</f>
        <v>-16.2</v>
      </c>
      <c r="J310" s="37">
        <f>ABS(Log_2019[[#This Row],[Amount]])</f>
        <v>16.2</v>
      </c>
      <c r="K310" s="38">
        <v>1</v>
      </c>
      <c r="L310" s="38">
        <f ca="1">IF(Log_2019[[#This Row],[Date]]&lt;=TODAY(), MIN(Log_2019[[#This Row],[Split_raw]], TODAY()-Log_2019[[#This Row],[Date]]+1), 0)</f>
        <v>1</v>
      </c>
      <c r="M310" s="34" t="s">
        <v>40</v>
      </c>
      <c r="N310" s="34" t="s">
        <v>158</v>
      </c>
      <c r="O310" s="7">
        <v>0</v>
      </c>
      <c r="P310" s="52">
        <f ca="1">Log_2019[[#This Row],[Amount]]/Log_2019[[#This Row],[Split_raw]]*MAX(0,MIN(_xlfn.DAYS(EDATE(P$1,1),Log_2019[[#This Row],[Date]]),Log_2019[[#This Row],[Split_apply]])) - SUM($O310:O310)</f>
        <v>0</v>
      </c>
      <c r="Q310" s="52">
        <f ca="1">Log_2019[[#This Row],[Amount]]/Log_2019[[#This Row],[Split_raw]]*MAX(0,MIN(_xlfn.DAYS(EDATE(Q$1,1),Log_2019[[#This Row],[Date]]),Log_2019[[#This Row],[Split_apply]])) - SUM($O310:P310)</f>
        <v>0</v>
      </c>
      <c r="R310" s="52">
        <f ca="1">Log_2019[[#This Row],[Amount]]/Log_2019[[#This Row],[Split_raw]]*MAX(0,MIN(_xlfn.DAYS(EDATE(R$1,1),Log_2019[[#This Row],[Date]]),Log_2019[[#This Row],[Split_apply]])) - SUM($O310:Q310)</f>
        <v>0</v>
      </c>
      <c r="S310" s="52">
        <f ca="1">Log_2019[[#This Row],[Amount]]/Log_2019[[#This Row],[Split_raw]]*MAX(0,MIN(_xlfn.DAYS(EDATE(S$1,1),Log_2019[[#This Row],[Date]]),Log_2019[[#This Row],[Split_apply]])) - SUM($O310:R310)</f>
        <v>0</v>
      </c>
      <c r="T310" s="52">
        <f ca="1">Log_2019[[#This Row],[Amount]]/Log_2019[[#This Row],[Split_raw]]*MAX(0,MIN(_xlfn.DAYS(EDATE(T$1,1),Log_2019[[#This Row],[Date]]),Log_2019[[#This Row],[Split_apply]])) - SUM($O310:S310)</f>
        <v>0</v>
      </c>
      <c r="U310" s="52">
        <f ca="1">Log_2019[[#This Row],[Amount]]/Log_2019[[#This Row],[Split_raw]]*MAX(0,MIN(_xlfn.DAYS(EDATE(U$1,1),Log_2019[[#This Row],[Date]]),Log_2019[[#This Row],[Split_apply]])) - SUM($O310:T310)</f>
        <v>0</v>
      </c>
      <c r="V310" s="52">
        <f ca="1">Log_2019[[#This Row],[Amount]]/Log_2019[[#This Row],[Split_raw]]*MAX(0,MIN(_xlfn.DAYS(EDATE(V$1,1),Log_2019[[#This Row],[Date]]),Log_2019[[#This Row],[Split_apply]])) - SUM($O310:U310)</f>
        <v>-16.2</v>
      </c>
      <c r="W310" s="52">
        <f ca="1">Log_2019[[#This Row],[Amount]]/Log_2019[[#This Row],[Split_raw]]*MAX(0,MIN(_xlfn.DAYS(EDATE(W$1,1),Log_2019[[#This Row],[Date]]),Log_2019[[#This Row],[Split_apply]])) - SUM($O310:V310)</f>
        <v>0</v>
      </c>
      <c r="X310" s="52">
        <f ca="1">Log_2019[[#This Row],[Amount]]/Log_2019[[#This Row],[Split_raw]]*MAX(0,MIN(_xlfn.DAYS(EDATE(X$1,1),Log_2019[[#This Row],[Date]]),Log_2019[[#This Row],[Split_apply]])) - SUM($O310:W310)</f>
        <v>0</v>
      </c>
      <c r="Y310" s="52">
        <f ca="1">Log_2019[[#This Row],[Amount]]/Log_2019[[#This Row],[Split_raw]]*MAX(0,MIN(_xlfn.DAYS(EDATE(Y$1,1),Log_2019[[#This Row],[Date]]),Log_2019[[#This Row],[Split_apply]])) - SUM($O310:X310)</f>
        <v>0</v>
      </c>
      <c r="Z310" s="52">
        <f ca="1">Log_2019[[#This Row],[Amount]]/Log_2019[[#This Row],[Split_raw]]*MAX(0,MIN(_xlfn.DAYS(EDATE(Z$1,1),Log_2019[[#This Row],[Date]]),Log_2019[[#This Row],[Split_apply]])) - SUM($O310:Y310)</f>
        <v>0</v>
      </c>
      <c r="AA310" s="52">
        <f ca="1">Log_2019[[#This Row],[Amount]]/Log_2019[[#This Row],[Split_raw]]*MAX(0,MIN(_xlfn.DAYS(EDATE(AA$1,1),Log_2019[[#This Row],[Date]]),Log_2019[[#This Row],[Split_apply]])) - SUM($O310:Z310)</f>
        <v>0</v>
      </c>
      <c r="AB310" s="54">
        <f ca="1">Log_2019[[#This Row],[Amount]]-SUM(O310:AA310)</f>
        <v>0</v>
      </c>
      <c r="AC310" s="7">
        <f>MAX(0,Log_2019[[#This Row],[Split_raw]] - (EDATE(AA$1,1)-Log_2019[[#This Row],[Date]]))</f>
        <v>0</v>
      </c>
    </row>
    <row r="311" spans="1:29" x14ac:dyDescent="0.25">
      <c r="A311" s="42"/>
      <c r="B311" s="34" t="s">
        <v>6</v>
      </c>
      <c r="C311" s="34"/>
      <c r="D311" s="35">
        <v>43676</v>
      </c>
      <c r="E311" s="34"/>
      <c r="F311" s="34" t="s">
        <v>16</v>
      </c>
      <c r="G311" s="34" t="s">
        <v>17</v>
      </c>
      <c r="H311">
        <f>--0.15</f>
        <v>0.15</v>
      </c>
      <c r="I311" s="36">
        <f>IF(Log_2019[[#This Row],[My Category]]="NONTRACKED",0,Log_2019[[#This Row],[Raw Amount]])</f>
        <v>0.15</v>
      </c>
      <c r="J311" s="37">
        <f>ABS(Log_2019[[#This Row],[Amount]])</f>
        <v>0.15</v>
      </c>
      <c r="K311" s="38">
        <v>1</v>
      </c>
      <c r="L311" s="38">
        <f ca="1">IF(Log_2019[[#This Row],[Date]]&lt;=TODAY(), MIN(Log_2019[[#This Row],[Split_raw]], TODAY()-Log_2019[[#This Row],[Date]]+1), 0)</f>
        <v>1</v>
      </c>
      <c r="M311" s="34" t="s">
        <v>144</v>
      </c>
      <c r="N311" s="34" t="s">
        <v>160</v>
      </c>
      <c r="O311" s="7">
        <v>0</v>
      </c>
      <c r="P311" s="52">
        <f ca="1">Log_2019[[#This Row],[Amount]]/Log_2019[[#This Row],[Split_raw]]*MAX(0,MIN(_xlfn.DAYS(EDATE(P$1,1),Log_2019[[#This Row],[Date]]),Log_2019[[#This Row],[Split_apply]])) - SUM($O311:O311)</f>
        <v>0</v>
      </c>
      <c r="Q311" s="52">
        <f ca="1">Log_2019[[#This Row],[Amount]]/Log_2019[[#This Row],[Split_raw]]*MAX(0,MIN(_xlfn.DAYS(EDATE(Q$1,1),Log_2019[[#This Row],[Date]]),Log_2019[[#This Row],[Split_apply]])) - SUM($O311:P311)</f>
        <v>0</v>
      </c>
      <c r="R311" s="52">
        <f ca="1">Log_2019[[#This Row],[Amount]]/Log_2019[[#This Row],[Split_raw]]*MAX(0,MIN(_xlfn.DAYS(EDATE(R$1,1),Log_2019[[#This Row],[Date]]),Log_2019[[#This Row],[Split_apply]])) - SUM($O311:Q311)</f>
        <v>0</v>
      </c>
      <c r="S311" s="52">
        <f ca="1">Log_2019[[#This Row],[Amount]]/Log_2019[[#This Row],[Split_raw]]*MAX(0,MIN(_xlfn.DAYS(EDATE(S$1,1),Log_2019[[#This Row],[Date]]),Log_2019[[#This Row],[Split_apply]])) - SUM($O311:R311)</f>
        <v>0</v>
      </c>
      <c r="T311" s="52">
        <f ca="1">Log_2019[[#This Row],[Amount]]/Log_2019[[#This Row],[Split_raw]]*MAX(0,MIN(_xlfn.DAYS(EDATE(T$1,1),Log_2019[[#This Row],[Date]]),Log_2019[[#This Row],[Split_apply]])) - SUM($O311:S311)</f>
        <v>0</v>
      </c>
      <c r="U311" s="52">
        <f ca="1">Log_2019[[#This Row],[Amount]]/Log_2019[[#This Row],[Split_raw]]*MAX(0,MIN(_xlfn.DAYS(EDATE(U$1,1),Log_2019[[#This Row],[Date]]),Log_2019[[#This Row],[Split_apply]])) - SUM($O311:T311)</f>
        <v>0</v>
      </c>
      <c r="V311" s="52">
        <f ca="1">Log_2019[[#This Row],[Amount]]/Log_2019[[#This Row],[Split_raw]]*MAX(0,MIN(_xlfn.DAYS(EDATE(V$1,1),Log_2019[[#This Row],[Date]]),Log_2019[[#This Row],[Split_apply]])) - SUM($O311:U311)</f>
        <v>0.15</v>
      </c>
      <c r="W311" s="52">
        <f ca="1">Log_2019[[#This Row],[Amount]]/Log_2019[[#This Row],[Split_raw]]*MAX(0,MIN(_xlfn.DAYS(EDATE(W$1,1),Log_2019[[#This Row],[Date]]),Log_2019[[#This Row],[Split_apply]])) - SUM($O311:V311)</f>
        <v>0</v>
      </c>
      <c r="X311" s="52">
        <f ca="1">Log_2019[[#This Row],[Amount]]/Log_2019[[#This Row],[Split_raw]]*MAX(0,MIN(_xlfn.DAYS(EDATE(X$1,1),Log_2019[[#This Row],[Date]]),Log_2019[[#This Row],[Split_apply]])) - SUM($O311:W311)</f>
        <v>0</v>
      </c>
      <c r="Y311" s="52">
        <f ca="1">Log_2019[[#This Row],[Amount]]/Log_2019[[#This Row],[Split_raw]]*MAX(0,MIN(_xlfn.DAYS(EDATE(Y$1,1),Log_2019[[#This Row],[Date]]),Log_2019[[#This Row],[Split_apply]])) - SUM($O311:X311)</f>
        <v>0</v>
      </c>
      <c r="Z311" s="52">
        <f ca="1">Log_2019[[#This Row],[Amount]]/Log_2019[[#This Row],[Split_raw]]*MAX(0,MIN(_xlfn.DAYS(EDATE(Z$1,1),Log_2019[[#This Row],[Date]]),Log_2019[[#This Row],[Split_apply]])) - SUM($O311:Y311)</f>
        <v>0</v>
      </c>
      <c r="AA311" s="52">
        <f ca="1">Log_2019[[#This Row],[Amount]]/Log_2019[[#This Row],[Split_raw]]*MAX(0,MIN(_xlfn.DAYS(EDATE(AA$1,1),Log_2019[[#This Row],[Date]]),Log_2019[[#This Row],[Split_apply]])) - SUM($O311:Z311)</f>
        <v>0</v>
      </c>
      <c r="AB311" s="54">
        <f ca="1">Log_2019[[#This Row],[Amount]]-SUM(O311:AA311)</f>
        <v>0</v>
      </c>
      <c r="AC311" s="7">
        <f>MAX(0,Log_2019[[#This Row],[Split_raw]] - (EDATE(AA$1,1)-Log_2019[[#This Row],[Date]]))</f>
        <v>0</v>
      </c>
    </row>
    <row r="312" spans="1:29" x14ac:dyDescent="0.25">
      <c r="A312" s="42"/>
      <c r="B312" s="34" t="s">
        <v>6</v>
      </c>
      <c r="C312" s="34"/>
      <c r="D312" s="35">
        <v>43675</v>
      </c>
      <c r="E312" s="34" t="s">
        <v>665</v>
      </c>
      <c r="F312" s="34" t="s">
        <v>649</v>
      </c>
      <c r="G312" s="34" t="s">
        <v>27</v>
      </c>
      <c r="H312">
        <v>-5.6</v>
      </c>
      <c r="I312" s="36">
        <f>IF(Log_2019[[#This Row],[My Category]]="NONTRACKED",0,Log_2019[[#This Row],[Raw Amount]])</f>
        <v>-5.6</v>
      </c>
      <c r="J312" s="37">
        <f>ABS(Log_2019[[#This Row],[Amount]])</f>
        <v>5.6</v>
      </c>
      <c r="K312" s="38">
        <v>1</v>
      </c>
      <c r="L312" s="38">
        <f ca="1">IF(Log_2019[[#This Row],[Date]]&lt;=TODAY(), MIN(Log_2019[[#This Row],[Split_raw]], TODAY()-Log_2019[[#This Row],[Date]]+1), 0)</f>
        <v>1</v>
      </c>
      <c r="M312" s="34" t="s">
        <v>42</v>
      </c>
      <c r="N312" s="34" t="s">
        <v>158</v>
      </c>
      <c r="O312" s="7">
        <v>0</v>
      </c>
      <c r="P312" s="52">
        <f ca="1">Log_2019[[#This Row],[Amount]]/Log_2019[[#This Row],[Split_raw]]*MAX(0,MIN(_xlfn.DAYS(EDATE(P$1,1),Log_2019[[#This Row],[Date]]),Log_2019[[#This Row],[Split_apply]])) - SUM($O312:O312)</f>
        <v>0</v>
      </c>
      <c r="Q312" s="52">
        <f ca="1">Log_2019[[#This Row],[Amount]]/Log_2019[[#This Row],[Split_raw]]*MAX(0,MIN(_xlfn.DAYS(EDATE(Q$1,1),Log_2019[[#This Row],[Date]]),Log_2019[[#This Row],[Split_apply]])) - SUM($O312:P312)</f>
        <v>0</v>
      </c>
      <c r="R312" s="52">
        <f ca="1">Log_2019[[#This Row],[Amount]]/Log_2019[[#This Row],[Split_raw]]*MAX(0,MIN(_xlfn.DAYS(EDATE(R$1,1),Log_2019[[#This Row],[Date]]),Log_2019[[#This Row],[Split_apply]])) - SUM($O312:Q312)</f>
        <v>0</v>
      </c>
      <c r="S312" s="52">
        <f ca="1">Log_2019[[#This Row],[Amount]]/Log_2019[[#This Row],[Split_raw]]*MAX(0,MIN(_xlfn.DAYS(EDATE(S$1,1),Log_2019[[#This Row],[Date]]),Log_2019[[#This Row],[Split_apply]])) - SUM($O312:R312)</f>
        <v>0</v>
      </c>
      <c r="T312" s="52">
        <f ca="1">Log_2019[[#This Row],[Amount]]/Log_2019[[#This Row],[Split_raw]]*MAX(0,MIN(_xlfn.DAYS(EDATE(T$1,1),Log_2019[[#This Row],[Date]]),Log_2019[[#This Row],[Split_apply]])) - SUM($O312:S312)</f>
        <v>0</v>
      </c>
      <c r="U312" s="52">
        <f ca="1">Log_2019[[#This Row],[Amount]]/Log_2019[[#This Row],[Split_raw]]*MAX(0,MIN(_xlfn.DAYS(EDATE(U$1,1),Log_2019[[#This Row],[Date]]),Log_2019[[#This Row],[Split_apply]])) - SUM($O312:T312)</f>
        <v>0</v>
      </c>
      <c r="V312" s="52">
        <f ca="1">Log_2019[[#This Row],[Amount]]/Log_2019[[#This Row],[Split_raw]]*MAX(0,MIN(_xlfn.DAYS(EDATE(V$1,1),Log_2019[[#This Row],[Date]]),Log_2019[[#This Row],[Split_apply]])) - SUM($O312:U312)</f>
        <v>-5.6</v>
      </c>
      <c r="W312" s="52">
        <f ca="1">Log_2019[[#This Row],[Amount]]/Log_2019[[#This Row],[Split_raw]]*MAX(0,MIN(_xlfn.DAYS(EDATE(W$1,1),Log_2019[[#This Row],[Date]]),Log_2019[[#This Row],[Split_apply]])) - SUM($O312:V312)</f>
        <v>0</v>
      </c>
      <c r="X312" s="52">
        <f ca="1">Log_2019[[#This Row],[Amount]]/Log_2019[[#This Row],[Split_raw]]*MAX(0,MIN(_xlfn.DAYS(EDATE(X$1,1),Log_2019[[#This Row],[Date]]),Log_2019[[#This Row],[Split_apply]])) - SUM($O312:W312)</f>
        <v>0</v>
      </c>
      <c r="Y312" s="52">
        <f ca="1">Log_2019[[#This Row],[Amount]]/Log_2019[[#This Row],[Split_raw]]*MAX(0,MIN(_xlfn.DAYS(EDATE(Y$1,1),Log_2019[[#This Row],[Date]]),Log_2019[[#This Row],[Split_apply]])) - SUM($O312:X312)</f>
        <v>0</v>
      </c>
      <c r="Z312" s="52">
        <f ca="1">Log_2019[[#This Row],[Amount]]/Log_2019[[#This Row],[Split_raw]]*MAX(0,MIN(_xlfn.DAYS(EDATE(Z$1,1),Log_2019[[#This Row],[Date]]),Log_2019[[#This Row],[Split_apply]])) - SUM($O312:Y312)</f>
        <v>0</v>
      </c>
      <c r="AA312" s="52">
        <f ca="1">Log_2019[[#This Row],[Amount]]/Log_2019[[#This Row],[Split_raw]]*MAX(0,MIN(_xlfn.DAYS(EDATE(AA$1,1),Log_2019[[#This Row],[Date]]),Log_2019[[#This Row],[Split_apply]])) - SUM($O312:Z312)</f>
        <v>0</v>
      </c>
      <c r="AB312" s="54">
        <f ca="1">Log_2019[[#This Row],[Amount]]-SUM(O312:AA312)</f>
        <v>0</v>
      </c>
      <c r="AC312" s="7">
        <f>MAX(0,Log_2019[[#This Row],[Split_raw]] - (EDATE(AA$1,1)-Log_2019[[#This Row],[Date]]))</f>
        <v>0</v>
      </c>
    </row>
    <row r="313" spans="1:29" x14ac:dyDescent="0.25">
      <c r="A313" s="42"/>
      <c r="B313" s="34" t="s">
        <v>6</v>
      </c>
      <c r="C313" s="34"/>
      <c r="D313" s="35">
        <v>43675</v>
      </c>
      <c r="E313" s="34"/>
      <c r="F313" s="34" t="s">
        <v>255</v>
      </c>
      <c r="G313" s="34" t="s">
        <v>25</v>
      </c>
      <c r="H313">
        <v>-27.63</v>
      </c>
      <c r="I313" s="36">
        <f>IF(Log_2019[[#This Row],[My Category]]="NONTRACKED",0,Log_2019[[#This Row],[Raw Amount]])</f>
        <v>-27.63</v>
      </c>
      <c r="J313" s="37">
        <f>ABS(Log_2019[[#This Row],[Amount]])</f>
        <v>27.63</v>
      </c>
      <c r="K313" s="38">
        <v>1</v>
      </c>
      <c r="L313" s="38">
        <f ca="1">IF(Log_2019[[#This Row],[Date]]&lt;=TODAY(), MIN(Log_2019[[#This Row],[Split_raw]], TODAY()-Log_2019[[#This Row],[Date]]+1), 0)</f>
        <v>1</v>
      </c>
      <c r="M313" s="34" t="s">
        <v>52</v>
      </c>
      <c r="N313" s="34" t="s">
        <v>158</v>
      </c>
      <c r="O313" s="7">
        <v>0</v>
      </c>
      <c r="P313" s="52">
        <f ca="1">Log_2019[[#This Row],[Amount]]/Log_2019[[#This Row],[Split_raw]]*MAX(0,MIN(_xlfn.DAYS(EDATE(P$1,1),Log_2019[[#This Row],[Date]]),Log_2019[[#This Row],[Split_apply]])) - SUM($O313:O313)</f>
        <v>0</v>
      </c>
      <c r="Q313" s="52">
        <f ca="1">Log_2019[[#This Row],[Amount]]/Log_2019[[#This Row],[Split_raw]]*MAX(0,MIN(_xlfn.DAYS(EDATE(Q$1,1),Log_2019[[#This Row],[Date]]),Log_2019[[#This Row],[Split_apply]])) - SUM($O313:P313)</f>
        <v>0</v>
      </c>
      <c r="R313" s="52">
        <f ca="1">Log_2019[[#This Row],[Amount]]/Log_2019[[#This Row],[Split_raw]]*MAX(0,MIN(_xlfn.DAYS(EDATE(R$1,1),Log_2019[[#This Row],[Date]]),Log_2019[[#This Row],[Split_apply]])) - SUM($O313:Q313)</f>
        <v>0</v>
      </c>
      <c r="S313" s="52">
        <f ca="1">Log_2019[[#This Row],[Amount]]/Log_2019[[#This Row],[Split_raw]]*MAX(0,MIN(_xlfn.DAYS(EDATE(S$1,1),Log_2019[[#This Row],[Date]]),Log_2019[[#This Row],[Split_apply]])) - SUM($O313:R313)</f>
        <v>0</v>
      </c>
      <c r="T313" s="52">
        <f ca="1">Log_2019[[#This Row],[Amount]]/Log_2019[[#This Row],[Split_raw]]*MAX(0,MIN(_xlfn.DAYS(EDATE(T$1,1),Log_2019[[#This Row],[Date]]),Log_2019[[#This Row],[Split_apply]])) - SUM($O313:S313)</f>
        <v>0</v>
      </c>
      <c r="U313" s="52">
        <f ca="1">Log_2019[[#This Row],[Amount]]/Log_2019[[#This Row],[Split_raw]]*MAX(0,MIN(_xlfn.DAYS(EDATE(U$1,1),Log_2019[[#This Row],[Date]]),Log_2019[[#This Row],[Split_apply]])) - SUM($O313:T313)</f>
        <v>0</v>
      </c>
      <c r="V313" s="52">
        <f ca="1">Log_2019[[#This Row],[Amount]]/Log_2019[[#This Row],[Split_raw]]*MAX(0,MIN(_xlfn.DAYS(EDATE(V$1,1),Log_2019[[#This Row],[Date]]),Log_2019[[#This Row],[Split_apply]])) - SUM($O313:U313)</f>
        <v>-27.63</v>
      </c>
      <c r="W313" s="52">
        <f ca="1">Log_2019[[#This Row],[Amount]]/Log_2019[[#This Row],[Split_raw]]*MAX(0,MIN(_xlfn.DAYS(EDATE(W$1,1),Log_2019[[#This Row],[Date]]),Log_2019[[#This Row],[Split_apply]])) - SUM($O313:V313)</f>
        <v>0</v>
      </c>
      <c r="X313" s="52">
        <f ca="1">Log_2019[[#This Row],[Amount]]/Log_2019[[#This Row],[Split_raw]]*MAX(0,MIN(_xlfn.DAYS(EDATE(X$1,1),Log_2019[[#This Row],[Date]]),Log_2019[[#This Row],[Split_apply]])) - SUM($O313:W313)</f>
        <v>0</v>
      </c>
      <c r="Y313" s="52">
        <f ca="1">Log_2019[[#This Row],[Amount]]/Log_2019[[#This Row],[Split_raw]]*MAX(0,MIN(_xlfn.DAYS(EDATE(Y$1,1),Log_2019[[#This Row],[Date]]),Log_2019[[#This Row],[Split_apply]])) - SUM($O313:X313)</f>
        <v>0</v>
      </c>
      <c r="Z313" s="52">
        <f ca="1">Log_2019[[#This Row],[Amount]]/Log_2019[[#This Row],[Split_raw]]*MAX(0,MIN(_xlfn.DAYS(EDATE(Z$1,1),Log_2019[[#This Row],[Date]]),Log_2019[[#This Row],[Split_apply]])) - SUM($O313:Y313)</f>
        <v>0</v>
      </c>
      <c r="AA313" s="52">
        <f ca="1">Log_2019[[#This Row],[Amount]]/Log_2019[[#This Row],[Split_raw]]*MAX(0,MIN(_xlfn.DAYS(EDATE(AA$1,1),Log_2019[[#This Row],[Date]]),Log_2019[[#This Row],[Split_apply]])) - SUM($O313:Z313)</f>
        <v>0</v>
      </c>
      <c r="AB313" s="54">
        <f ca="1">Log_2019[[#This Row],[Amount]]-SUM(O313:AA313)</f>
        <v>0</v>
      </c>
      <c r="AC313" s="7">
        <f>MAX(0,Log_2019[[#This Row],[Split_raw]] - (EDATE(AA$1,1)-Log_2019[[#This Row],[Date]]))</f>
        <v>0</v>
      </c>
    </row>
    <row r="314" spans="1:29" x14ac:dyDescent="0.25">
      <c r="A314" s="42"/>
      <c r="B314" s="34" t="s">
        <v>6</v>
      </c>
      <c r="C314" s="34"/>
      <c r="D314" s="35">
        <v>43675</v>
      </c>
      <c r="E314" s="34"/>
      <c r="F314" s="34" t="s">
        <v>255</v>
      </c>
      <c r="G314" s="34" t="s">
        <v>25</v>
      </c>
      <c r="H314">
        <v>-5.4</v>
      </c>
      <c r="I314" s="36">
        <f>IF(Log_2019[[#This Row],[My Category]]="NONTRACKED",0,Log_2019[[#This Row],[Raw Amount]])</f>
        <v>-5.4</v>
      </c>
      <c r="J314" s="37">
        <f>ABS(Log_2019[[#This Row],[Amount]])</f>
        <v>5.4</v>
      </c>
      <c r="K314" s="38">
        <v>1</v>
      </c>
      <c r="L314" s="38">
        <f ca="1">IF(Log_2019[[#This Row],[Date]]&lt;=TODAY(), MIN(Log_2019[[#This Row],[Split_raw]], TODAY()-Log_2019[[#This Row],[Date]]+1), 0)</f>
        <v>1</v>
      </c>
      <c r="M314" s="34" t="s">
        <v>35</v>
      </c>
      <c r="N314" s="34" t="s">
        <v>158</v>
      </c>
      <c r="O314" s="7">
        <v>0</v>
      </c>
      <c r="P314" s="52">
        <f ca="1">Log_2019[[#This Row],[Amount]]/Log_2019[[#This Row],[Split_raw]]*MAX(0,MIN(_xlfn.DAYS(EDATE(P$1,1),Log_2019[[#This Row],[Date]]),Log_2019[[#This Row],[Split_apply]])) - SUM($O314:O314)</f>
        <v>0</v>
      </c>
      <c r="Q314" s="52">
        <f ca="1">Log_2019[[#This Row],[Amount]]/Log_2019[[#This Row],[Split_raw]]*MAX(0,MIN(_xlfn.DAYS(EDATE(Q$1,1),Log_2019[[#This Row],[Date]]),Log_2019[[#This Row],[Split_apply]])) - SUM($O314:P314)</f>
        <v>0</v>
      </c>
      <c r="R314" s="52">
        <f ca="1">Log_2019[[#This Row],[Amount]]/Log_2019[[#This Row],[Split_raw]]*MAX(0,MIN(_xlfn.DAYS(EDATE(R$1,1),Log_2019[[#This Row],[Date]]),Log_2019[[#This Row],[Split_apply]])) - SUM($O314:Q314)</f>
        <v>0</v>
      </c>
      <c r="S314" s="52">
        <f ca="1">Log_2019[[#This Row],[Amount]]/Log_2019[[#This Row],[Split_raw]]*MAX(0,MIN(_xlfn.DAYS(EDATE(S$1,1),Log_2019[[#This Row],[Date]]),Log_2019[[#This Row],[Split_apply]])) - SUM($O314:R314)</f>
        <v>0</v>
      </c>
      <c r="T314" s="52">
        <f ca="1">Log_2019[[#This Row],[Amount]]/Log_2019[[#This Row],[Split_raw]]*MAX(0,MIN(_xlfn.DAYS(EDATE(T$1,1),Log_2019[[#This Row],[Date]]),Log_2019[[#This Row],[Split_apply]])) - SUM($O314:S314)</f>
        <v>0</v>
      </c>
      <c r="U314" s="52">
        <f ca="1">Log_2019[[#This Row],[Amount]]/Log_2019[[#This Row],[Split_raw]]*MAX(0,MIN(_xlfn.DAYS(EDATE(U$1,1),Log_2019[[#This Row],[Date]]),Log_2019[[#This Row],[Split_apply]])) - SUM($O314:T314)</f>
        <v>0</v>
      </c>
      <c r="V314" s="52">
        <f ca="1">Log_2019[[#This Row],[Amount]]/Log_2019[[#This Row],[Split_raw]]*MAX(0,MIN(_xlfn.DAYS(EDATE(V$1,1),Log_2019[[#This Row],[Date]]),Log_2019[[#This Row],[Split_apply]])) - SUM($O314:U314)</f>
        <v>-5.4</v>
      </c>
      <c r="W314" s="52">
        <f ca="1">Log_2019[[#This Row],[Amount]]/Log_2019[[#This Row],[Split_raw]]*MAX(0,MIN(_xlfn.DAYS(EDATE(W$1,1),Log_2019[[#This Row],[Date]]),Log_2019[[#This Row],[Split_apply]])) - SUM($O314:V314)</f>
        <v>0</v>
      </c>
      <c r="X314" s="52">
        <f ca="1">Log_2019[[#This Row],[Amount]]/Log_2019[[#This Row],[Split_raw]]*MAX(0,MIN(_xlfn.DAYS(EDATE(X$1,1),Log_2019[[#This Row],[Date]]),Log_2019[[#This Row],[Split_apply]])) - SUM($O314:W314)</f>
        <v>0</v>
      </c>
      <c r="Y314" s="52">
        <f ca="1">Log_2019[[#This Row],[Amount]]/Log_2019[[#This Row],[Split_raw]]*MAX(0,MIN(_xlfn.DAYS(EDATE(Y$1,1),Log_2019[[#This Row],[Date]]),Log_2019[[#This Row],[Split_apply]])) - SUM($O314:X314)</f>
        <v>0</v>
      </c>
      <c r="Z314" s="52">
        <f ca="1">Log_2019[[#This Row],[Amount]]/Log_2019[[#This Row],[Split_raw]]*MAX(0,MIN(_xlfn.DAYS(EDATE(Z$1,1),Log_2019[[#This Row],[Date]]),Log_2019[[#This Row],[Split_apply]])) - SUM($O314:Y314)</f>
        <v>0</v>
      </c>
      <c r="AA314" s="52">
        <f ca="1">Log_2019[[#This Row],[Amount]]/Log_2019[[#This Row],[Split_raw]]*MAX(0,MIN(_xlfn.DAYS(EDATE(AA$1,1),Log_2019[[#This Row],[Date]]),Log_2019[[#This Row],[Split_apply]])) - SUM($O314:Z314)</f>
        <v>0</v>
      </c>
      <c r="AB314" s="54">
        <f ca="1">Log_2019[[#This Row],[Amount]]-SUM(O314:AA314)</f>
        <v>0</v>
      </c>
      <c r="AC314" s="7">
        <f>MAX(0,Log_2019[[#This Row],[Split_raw]] - (EDATE(AA$1,1)-Log_2019[[#This Row],[Date]]))</f>
        <v>0</v>
      </c>
    </row>
    <row r="315" spans="1:29" x14ac:dyDescent="0.25">
      <c r="A315" s="42"/>
      <c r="B315" s="34" t="s">
        <v>6</v>
      </c>
      <c r="C315" s="34"/>
      <c r="D315" s="35">
        <v>43675</v>
      </c>
      <c r="E315" s="34" t="s">
        <v>667</v>
      </c>
      <c r="F315" s="34" t="s">
        <v>650</v>
      </c>
      <c r="G315" s="34" t="s">
        <v>27</v>
      </c>
      <c r="H315">
        <v>-11.37</v>
      </c>
      <c r="I315" s="36">
        <f>IF(Log_2019[[#This Row],[My Category]]="NONTRACKED",0,Log_2019[[#This Row],[Raw Amount]])</f>
        <v>-11.37</v>
      </c>
      <c r="J315" s="37">
        <f>ABS(Log_2019[[#This Row],[Amount]])</f>
        <v>11.37</v>
      </c>
      <c r="K315" s="38">
        <v>1</v>
      </c>
      <c r="L315" s="38">
        <f ca="1">IF(Log_2019[[#This Row],[Date]]&lt;=TODAY(), MIN(Log_2019[[#This Row],[Split_raw]], TODAY()-Log_2019[[#This Row],[Date]]+1), 0)</f>
        <v>1</v>
      </c>
      <c r="M315" s="34" t="s">
        <v>53</v>
      </c>
      <c r="N315" s="34" t="s">
        <v>158</v>
      </c>
      <c r="O315" s="7">
        <v>0</v>
      </c>
      <c r="P315" s="52">
        <f ca="1">Log_2019[[#This Row],[Amount]]/Log_2019[[#This Row],[Split_raw]]*MAX(0,MIN(_xlfn.DAYS(EDATE(P$1,1),Log_2019[[#This Row],[Date]]),Log_2019[[#This Row],[Split_apply]])) - SUM($O315:O315)</f>
        <v>0</v>
      </c>
      <c r="Q315" s="52">
        <f ca="1">Log_2019[[#This Row],[Amount]]/Log_2019[[#This Row],[Split_raw]]*MAX(0,MIN(_xlfn.DAYS(EDATE(Q$1,1),Log_2019[[#This Row],[Date]]),Log_2019[[#This Row],[Split_apply]])) - SUM($O315:P315)</f>
        <v>0</v>
      </c>
      <c r="R315" s="52">
        <f ca="1">Log_2019[[#This Row],[Amount]]/Log_2019[[#This Row],[Split_raw]]*MAX(0,MIN(_xlfn.DAYS(EDATE(R$1,1),Log_2019[[#This Row],[Date]]),Log_2019[[#This Row],[Split_apply]])) - SUM($O315:Q315)</f>
        <v>0</v>
      </c>
      <c r="S315" s="52">
        <f ca="1">Log_2019[[#This Row],[Amount]]/Log_2019[[#This Row],[Split_raw]]*MAX(0,MIN(_xlfn.DAYS(EDATE(S$1,1),Log_2019[[#This Row],[Date]]),Log_2019[[#This Row],[Split_apply]])) - SUM($O315:R315)</f>
        <v>0</v>
      </c>
      <c r="T315" s="52">
        <f ca="1">Log_2019[[#This Row],[Amount]]/Log_2019[[#This Row],[Split_raw]]*MAX(0,MIN(_xlfn.DAYS(EDATE(T$1,1),Log_2019[[#This Row],[Date]]),Log_2019[[#This Row],[Split_apply]])) - SUM($O315:S315)</f>
        <v>0</v>
      </c>
      <c r="U315" s="52">
        <f ca="1">Log_2019[[#This Row],[Amount]]/Log_2019[[#This Row],[Split_raw]]*MAX(0,MIN(_xlfn.DAYS(EDATE(U$1,1),Log_2019[[#This Row],[Date]]),Log_2019[[#This Row],[Split_apply]])) - SUM($O315:T315)</f>
        <v>0</v>
      </c>
      <c r="V315" s="52">
        <f ca="1">Log_2019[[#This Row],[Amount]]/Log_2019[[#This Row],[Split_raw]]*MAX(0,MIN(_xlfn.DAYS(EDATE(V$1,1),Log_2019[[#This Row],[Date]]),Log_2019[[#This Row],[Split_apply]])) - SUM($O315:U315)</f>
        <v>-11.37</v>
      </c>
      <c r="W315" s="52">
        <f ca="1">Log_2019[[#This Row],[Amount]]/Log_2019[[#This Row],[Split_raw]]*MAX(0,MIN(_xlfn.DAYS(EDATE(W$1,1),Log_2019[[#This Row],[Date]]),Log_2019[[#This Row],[Split_apply]])) - SUM($O315:V315)</f>
        <v>0</v>
      </c>
      <c r="X315" s="52">
        <f ca="1">Log_2019[[#This Row],[Amount]]/Log_2019[[#This Row],[Split_raw]]*MAX(0,MIN(_xlfn.DAYS(EDATE(X$1,1),Log_2019[[#This Row],[Date]]),Log_2019[[#This Row],[Split_apply]])) - SUM($O315:W315)</f>
        <v>0</v>
      </c>
      <c r="Y315" s="52">
        <f ca="1">Log_2019[[#This Row],[Amount]]/Log_2019[[#This Row],[Split_raw]]*MAX(0,MIN(_xlfn.DAYS(EDATE(Y$1,1),Log_2019[[#This Row],[Date]]),Log_2019[[#This Row],[Split_apply]])) - SUM($O315:X315)</f>
        <v>0</v>
      </c>
      <c r="Z315" s="52">
        <f ca="1">Log_2019[[#This Row],[Amount]]/Log_2019[[#This Row],[Split_raw]]*MAX(0,MIN(_xlfn.DAYS(EDATE(Z$1,1),Log_2019[[#This Row],[Date]]),Log_2019[[#This Row],[Split_apply]])) - SUM($O315:Y315)</f>
        <v>0</v>
      </c>
      <c r="AA315" s="52">
        <f ca="1">Log_2019[[#This Row],[Amount]]/Log_2019[[#This Row],[Split_raw]]*MAX(0,MIN(_xlfn.DAYS(EDATE(AA$1,1),Log_2019[[#This Row],[Date]]),Log_2019[[#This Row],[Split_apply]])) - SUM($O315:Z315)</f>
        <v>0</v>
      </c>
      <c r="AB315" s="54">
        <f ca="1">Log_2019[[#This Row],[Amount]]-SUM(O315:AA315)</f>
        <v>0</v>
      </c>
      <c r="AC315" s="7">
        <f>MAX(0,Log_2019[[#This Row],[Split_raw]] - (EDATE(AA$1,1)-Log_2019[[#This Row],[Date]]))</f>
        <v>0</v>
      </c>
    </row>
    <row r="316" spans="1:29" x14ac:dyDescent="0.25">
      <c r="A316" s="42"/>
      <c r="B316" s="34" t="s">
        <v>6</v>
      </c>
      <c r="C316" s="34"/>
      <c r="D316" s="35">
        <v>43674</v>
      </c>
      <c r="E316" s="34"/>
      <c r="F316" s="34" t="s">
        <v>410</v>
      </c>
      <c r="G316" s="34" t="s">
        <v>25</v>
      </c>
      <c r="H316">
        <v>-29.41</v>
      </c>
      <c r="I316" s="36">
        <f>IF(Log_2019[[#This Row],[My Category]]="NONTRACKED",0,Log_2019[[#This Row],[Raw Amount]])</f>
        <v>-29.41</v>
      </c>
      <c r="J316" s="37">
        <f>ABS(Log_2019[[#This Row],[Amount]])</f>
        <v>29.41</v>
      </c>
      <c r="K316" s="38">
        <v>1</v>
      </c>
      <c r="L316" s="38">
        <f ca="1">IF(Log_2019[[#This Row],[Date]]&lt;=TODAY(), MIN(Log_2019[[#This Row],[Split_raw]], TODAY()-Log_2019[[#This Row],[Date]]+1), 0)</f>
        <v>1</v>
      </c>
      <c r="M316" s="34" t="s">
        <v>37</v>
      </c>
      <c r="N316" s="34" t="s">
        <v>158</v>
      </c>
      <c r="O316" s="7">
        <v>0</v>
      </c>
      <c r="P316" s="52">
        <f ca="1">Log_2019[[#This Row],[Amount]]/Log_2019[[#This Row],[Split_raw]]*MAX(0,MIN(_xlfn.DAYS(EDATE(P$1,1),Log_2019[[#This Row],[Date]]),Log_2019[[#This Row],[Split_apply]])) - SUM($O316:O316)</f>
        <v>0</v>
      </c>
      <c r="Q316" s="52">
        <f ca="1">Log_2019[[#This Row],[Amount]]/Log_2019[[#This Row],[Split_raw]]*MAX(0,MIN(_xlfn.DAYS(EDATE(Q$1,1),Log_2019[[#This Row],[Date]]),Log_2019[[#This Row],[Split_apply]])) - SUM($O316:P316)</f>
        <v>0</v>
      </c>
      <c r="R316" s="52">
        <f ca="1">Log_2019[[#This Row],[Amount]]/Log_2019[[#This Row],[Split_raw]]*MAX(0,MIN(_xlfn.DAYS(EDATE(R$1,1),Log_2019[[#This Row],[Date]]),Log_2019[[#This Row],[Split_apply]])) - SUM($O316:Q316)</f>
        <v>0</v>
      </c>
      <c r="S316" s="52">
        <f ca="1">Log_2019[[#This Row],[Amount]]/Log_2019[[#This Row],[Split_raw]]*MAX(0,MIN(_xlfn.DAYS(EDATE(S$1,1),Log_2019[[#This Row],[Date]]),Log_2019[[#This Row],[Split_apply]])) - SUM($O316:R316)</f>
        <v>0</v>
      </c>
      <c r="T316" s="52">
        <f ca="1">Log_2019[[#This Row],[Amount]]/Log_2019[[#This Row],[Split_raw]]*MAX(0,MIN(_xlfn.DAYS(EDATE(T$1,1),Log_2019[[#This Row],[Date]]),Log_2019[[#This Row],[Split_apply]])) - SUM($O316:S316)</f>
        <v>0</v>
      </c>
      <c r="U316" s="52">
        <f ca="1">Log_2019[[#This Row],[Amount]]/Log_2019[[#This Row],[Split_raw]]*MAX(0,MIN(_xlfn.DAYS(EDATE(U$1,1),Log_2019[[#This Row],[Date]]),Log_2019[[#This Row],[Split_apply]])) - SUM($O316:T316)</f>
        <v>0</v>
      </c>
      <c r="V316" s="52">
        <f ca="1">Log_2019[[#This Row],[Amount]]/Log_2019[[#This Row],[Split_raw]]*MAX(0,MIN(_xlfn.DAYS(EDATE(V$1,1),Log_2019[[#This Row],[Date]]),Log_2019[[#This Row],[Split_apply]])) - SUM($O316:U316)</f>
        <v>-29.41</v>
      </c>
      <c r="W316" s="52">
        <f ca="1">Log_2019[[#This Row],[Amount]]/Log_2019[[#This Row],[Split_raw]]*MAX(0,MIN(_xlfn.DAYS(EDATE(W$1,1),Log_2019[[#This Row],[Date]]),Log_2019[[#This Row],[Split_apply]])) - SUM($O316:V316)</f>
        <v>0</v>
      </c>
      <c r="X316" s="52">
        <f ca="1">Log_2019[[#This Row],[Amount]]/Log_2019[[#This Row],[Split_raw]]*MAX(0,MIN(_xlfn.DAYS(EDATE(X$1,1),Log_2019[[#This Row],[Date]]),Log_2019[[#This Row],[Split_apply]])) - SUM($O316:W316)</f>
        <v>0</v>
      </c>
      <c r="Y316" s="52">
        <f ca="1">Log_2019[[#This Row],[Amount]]/Log_2019[[#This Row],[Split_raw]]*MAX(0,MIN(_xlfn.DAYS(EDATE(Y$1,1),Log_2019[[#This Row],[Date]]),Log_2019[[#This Row],[Split_apply]])) - SUM($O316:X316)</f>
        <v>0</v>
      </c>
      <c r="Z316" s="52">
        <f ca="1">Log_2019[[#This Row],[Amount]]/Log_2019[[#This Row],[Split_raw]]*MAX(0,MIN(_xlfn.DAYS(EDATE(Z$1,1),Log_2019[[#This Row],[Date]]),Log_2019[[#This Row],[Split_apply]])) - SUM($O316:Y316)</f>
        <v>0</v>
      </c>
      <c r="AA316" s="52">
        <f ca="1">Log_2019[[#This Row],[Amount]]/Log_2019[[#This Row],[Split_raw]]*MAX(0,MIN(_xlfn.DAYS(EDATE(AA$1,1),Log_2019[[#This Row],[Date]]),Log_2019[[#This Row],[Split_apply]])) - SUM($O316:Z316)</f>
        <v>0</v>
      </c>
      <c r="AB316" s="54">
        <f ca="1">Log_2019[[#This Row],[Amount]]-SUM(O316:AA316)</f>
        <v>0</v>
      </c>
      <c r="AC316" s="7">
        <f>MAX(0,Log_2019[[#This Row],[Split_raw]] - (EDATE(AA$1,1)-Log_2019[[#This Row],[Date]]))</f>
        <v>0</v>
      </c>
    </row>
    <row r="317" spans="1:29" x14ac:dyDescent="0.25">
      <c r="A317" s="42"/>
      <c r="B317" s="34" t="s">
        <v>6</v>
      </c>
      <c r="C317" s="34"/>
      <c r="D317" s="35">
        <v>43674</v>
      </c>
      <c r="E317" s="34" t="s">
        <v>667</v>
      </c>
      <c r="F317" s="34" t="s">
        <v>651</v>
      </c>
      <c r="G317" s="34" t="s">
        <v>27</v>
      </c>
      <c r="H317">
        <v>-11.9</v>
      </c>
      <c r="I317" s="36">
        <f>IF(Log_2019[[#This Row],[My Category]]="NONTRACKED",0,Log_2019[[#This Row],[Raw Amount]])</f>
        <v>-11.9</v>
      </c>
      <c r="J317" s="37">
        <f>ABS(Log_2019[[#This Row],[Amount]])</f>
        <v>11.9</v>
      </c>
      <c r="K317" s="38">
        <v>1</v>
      </c>
      <c r="L317" s="38">
        <f ca="1">IF(Log_2019[[#This Row],[Date]]&lt;=TODAY(), MIN(Log_2019[[#This Row],[Split_raw]], TODAY()-Log_2019[[#This Row],[Date]]+1), 0)</f>
        <v>1</v>
      </c>
      <c r="M317" s="34" t="s">
        <v>53</v>
      </c>
      <c r="N317" s="34" t="s">
        <v>158</v>
      </c>
      <c r="O317" s="7">
        <v>0</v>
      </c>
      <c r="P317" s="52">
        <f ca="1">Log_2019[[#This Row],[Amount]]/Log_2019[[#This Row],[Split_raw]]*MAX(0,MIN(_xlfn.DAYS(EDATE(P$1,1),Log_2019[[#This Row],[Date]]),Log_2019[[#This Row],[Split_apply]])) - SUM($O317:O317)</f>
        <v>0</v>
      </c>
      <c r="Q317" s="52">
        <f ca="1">Log_2019[[#This Row],[Amount]]/Log_2019[[#This Row],[Split_raw]]*MAX(0,MIN(_xlfn.DAYS(EDATE(Q$1,1),Log_2019[[#This Row],[Date]]),Log_2019[[#This Row],[Split_apply]])) - SUM($O317:P317)</f>
        <v>0</v>
      </c>
      <c r="R317" s="52">
        <f ca="1">Log_2019[[#This Row],[Amount]]/Log_2019[[#This Row],[Split_raw]]*MAX(0,MIN(_xlfn.DAYS(EDATE(R$1,1),Log_2019[[#This Row],[Date]]),Log_2019[[#This Row],[Split_apply]])) - SUM($O317:Q317)</f>
        <v>0</v>
      </c>
      <c r="S317" s="52">
        <f ca="1">Log_2019[[#This Row],[Amount]]/Log_2019[[#This Row],[Split_raw]]*MAX(0,MIN(_xlfn.DAYS(EDATE(S$1,1),Log_2019[[#This Row],[Date]]),Log_2019[[#This Row],[Split_apply]])) - SUM($O317:R317)</f>
        <v>0</v>
      </c>
      <c r="T317" s="52">
        <f ca="1">Log_2019[[#This Row],[Amount]]/Log_2019[[#This Row],[Split_raw]]*MAX(0,MIN(_xlfn.DAYS(EDATE(T$1,1),Log_2019[[#This Row],[Date]]),Log_2019[[#This Row],[Split_apply]])) - SUM($O317:S317)</f>
        <v>0</v>
      </c>
      <c r="U317" s="52">
        <f ca="1">Log_2019[[#This Row],[Amount]]/Log_2019[[#This Row],[Split_raw]]*MAX(0,MIN(_xlfn.DAYS(EDATE(U$1,1),Log_2019[[#This Row],[Date]]),Log_2019[[#This Row],[Split_apply]])) - SUM($O317:T317)</f>
        <v>0</v>
      </c>
      <c r="V317" s="52">
        <f ca="1">Log_2019[[#This Row],[Amount]]/Log_2019[[#This Row],[Split_raw]]*MAX(0,MIN(_xlfn.DAYS(EDATE(V$1,1),Log_2019[[#This Row],[Date]]),Log_2019[[#This Row],[Split_apply]])) - SUM($O317:U317)</f>
        <v>-11.9</v>
      </c>
      <c r="W317" s="52">
        <f ca="1">Log_2019[[#This Row],[Amount]]/Log_2019[[#This Row],[Split_raw]]*MAX(0,MIN(_xlfn.DAYS(EDATE(W$1,1),Log_2019[[#This Row],[Date]]),Log_2019[[#This Row],[Split_apply]])) - SUM($O317:V317)</f>
        <v>0</v>
      </c>
      <c r="X317" s="52">
        <f ca="1">Log_2019[[#This Row],[Amount]]/Log_2019[[#This Row],[Split_raw]]*MAX(0,MIN(_xlfn.DAYS(EDATE(X$1,1),Log_2019[[#This Row],[Date]]),Log_2019[[#This Row],[Split_apply]])) - SUM($O317:W317)</f>
        <v>0</v>
      </c>
      <c r="Y317" s="52">
        <f ca="1">Log_2019[[#This Row],[Amount]]/Log_2019[[#This Row],[Split_raw]]*MAX(0,MIN(_xlfn.DAYS(EDATE(Y$1,1),Log_2019[[#This Row],[Date]]),Log_2019[[#This Row],[Split_apply]])) - SUM($O317:X317)</f>
        <v>0</v>
      </c>
      <c r="Z317" s="52">
        <f ca="1">Log_2019[[#This Row],[Amount]]/Log_2019[[#This Row],[Split_raw]]*MAX(0,MIN(_xlfn.DAYS(EDATE(Z$1,1),Log_2019[[#This Row],[Date]]),Log_2019[[#This Row],[Split_apply]])) - SUM($O317:Y317)</f>
        <v>0</v>
      </c>
      <c r="AA317" s="52">
        <f ca="1">Log_2019[[#This Row],[Amount]]/Log_2019[[#This Row],[Split_raw]]*MAX(0,MIN(_xlfn.DAYS(EDATE(AA$1,1),Log_2019[[#This Row],[Date]]),Log_2019[[#This Row],[Split_apply]])) - SUM($O317:Z317)</f>
        <v>0</v>
      </c>
      <c r="AB317" s="54">
        <f ca="1">Log_2019[[#This Row],[Amount]]-SUM(O317:AA317)</f>
        <v>0</v>
      </c>
      <c r="AC317" s="7">
        <f>MAX(0,Log_2019[[#This Row],[Split_raw]] - (EDATE(AA$1,1)-Log_2019[[#This Row],[Date]]))</f>
        <v>0</v>
      </c>
    </row>
    <row r="318" spans="1:29" x14ac:dyDescent="0.25">
      <c r="A318" s="42"/>
      <c r="B318" s="34" t="s">
        <v>6</v>
      </c>
      <c r="C318" s="34"/>
      <c r="D318" s="35">
        <v>43672</v>
      </c>
      <c r="E318" s="34" t="s">
        <v>669</v>
      </c>
      <c r="F318" s="34" t="s">
        <v>652</v>
      </c>
      <c r="G318" s="34" t="s">
        <v>11</v>
      </c>
      <c r="H318">
        <v>-31.36</v>
      </c>
      <c r="I318" s="36">
        <f>IF(Log_2019[[#This Row],[My Category]]="NONTRACKED",0,Log_2019[[#This Row],[Raw Amount]])</f>
        <v>-31.36</v>
      </c>
      <c r="J318" s="37">
        <f>ABS(Log_2019[[#This Row],[Amount]])</f>
        <v>31.36</v>
      </c>
      <c r="K318" s="38">
        <v>1</v>
      </c>
      <c r="L318" s="38">
        <f ca="1">IF(Log_2019[[#This Row],[Date]]&lt;=TODAY(), MIN(Log_2019[[#This Row],[Split_raw]], TODAY()-Log_2019[[#This Row],[Date]]+1), 0)</f>
        <v>1</v>
      </c>
      <c r="M318" s="34" t="s">
        <v>145</v>
      </c>
      <c r="N318" s="34" t="s">
        <v>158</v>
      </c>
      <c r="O318" s="7">
        <v>0</v>
      </c>
      <c r="P318" s="52">
        <f ca="1">Log_2019[[#This Row],[Amount]]/Log_2019[[#This Row],[Split_raw]]*MAX(0,MIN(_xlfn.DAYS(EDATE(P$1,1),Log_2019[[#This Row],[Date]]),Log_2019[[#This Row],[Split_apply]])) - SUM($O318:O318)</f>
        <v>0</v>
      </c>
      <c r="Q318" s="52">
        <f ca="1">Log_2019[[#This Row],[Amount]]/Log_2019[[#This Row],[Split_raw]]*MAX(0,MIN(_xlfn.DAYS(EDATE(Q$1,1),Log_2019[[#This Row],[Date]]),Log_2019[[#This Row],[Split_apply]])) - SUM($O318:P318)</f>
        <v>0</v>
      </c>
      <c r="R318" s="52">
        <f ca="1">Log_2019[[#This Row],[Amount]]/Log_2019[[#This Row],[Split_raw]]*MAX(0,MIN(_xlfn.DAYS(EDATE(R$1,1),Log_2019[[#This Row],[Date]]),Log_2019[[#This Row],[Split_apply]])) - SUM($O318:Q318)</f>
        <v>0</v>
      </c>
      <c r="S318" s="52">
        <f ca="1">Log_2019[[#This Row],[Amount]]/Log_2019[[#This Row],[Split_raw]]*MAX(0,MIN(_xlfn.DAYS(EDATE(S$1,1),Log_2019[[#This Row],[Date]]),Log_2019[[#This Row],[Split_apply]])) - SUM($O318:R318)</f>
        <v>0</v>
      </c>
      <c r="T318" s="52">
        <f ca="1">Log_2019[[#This Row],[Amount]]/Log_2019[[#This Row],[Split_raw]]*MAX(0,MIN(_xlfn.DAYS(EDATE(T$1,1),Log_2019[[#This Row],[Date]]),Log_2019[[#This Row],[Split_apply]])) - SUM($O318:S318)</f>
        <v>0</v>
      </c>
      <c r="U318" s="52">
        <f ca="1">Log_2019[[#This Row],[Amount]]/Log_2019[[#This Row],[Split_raw]]*MAX(0,MIN(_xlfn.DAYS(EDATE(U$1,1),Log_2019[[#This Row],[Date]]),Log_2019[[#This Row],[Split_apply]])) - SUM($O318:T318)</f>
        <v>0</v>
      </c>
      <c r="V318" s="52">
        <f ca="1">Log_2019[[#This Row],[Amount]]/Log_2019[[#This Row],[Split_raw]]*MAX(0,MIN(_xlfn.DAYS(EDATE(V$1,1),Log_2019[[#This Row],[Date]]),Log_2019[[#This Row],[Split_apply]])) - SUM($O318:U318)</f>
        <v>-31.36</v>
      </c>
      <c r="W318" s="52">
        <f ca="1">Log_2019[[#This Row],[Amount]]/Log_2019[[#This Row],[Split_raw]]*MAX(0,MIN(_xlfn.DAYS(EDATE(W$1,1),Log_2019[[#This Row],[Date]]),Log_2019[[#This Row],[Split_apply]])) - SUM($O318:V318)</f>
        <v>0</v>
      </c>
      <c r="X318" s="52">
        <f ca="1">Log_2019[[#This Row],[Amount]]/Log_2019[[#This Row],[Split_raw]]*MAX(0,MIN(_xlfn.DAYS(EDATE(X$1,1),Log_2019[[#This Row],[Date]]),Log_2019[[#This Row],[Split_apply]])) - SUM($O318:W318)</f>
        <v>0</v>
      </c>
      <c r="Y318" s="52">
        <f ca="1">Log_2019[[#This Row],[Amount]]/Log_2019[[#This Row],[Split_raw]]*MAX(0,MIN(_xlfn.DAYS(EDATE(Y$1,1),Log_2019[[#This Row],[Date]]),Log_2019[[#This Row],[Split_apply]])) - SUM($O318:X318)</f>
        <v>0</v>
      </c>
      <c r="Z318" s="52">
        <f ca="1">Log_2019[[#This Row],[Amount]]/Log_2019[[#This Row],[Split_raw]]*MAX(0,MIN(_xlfn.DAYS(EDATE(Z$1,1),Log_2019[[#This Row],[Date]]),Log_2019[[#This Row],[Split_apply]])) - SUM($O318:Y318)</f>
        <v>0</v>
      </c>
      <c r="AA318" s="52">
        <f ca="1">Log_2019[[#This Row],[Amount]]/Log_2019[[#This Row],[Split_raw]]*MAX(0,MIN(_xlfn.DAYS(EDATE(AA$1,1),Log_2019[[#This Row],[Date]]),Log_2019[[#This Row],[Split_apply]])) - SUM($O318:Z318)</f>
        <v>0</v>
      </c>
      <c r="AB318" s="54">
        <f ca="1">Log_2019[[#This Row],[Amount]]-SUM(O318:AA318)</f>
        <v>0</v>
      </c>
      <c r="AC318" s="7">
        <f>MAX(0,Log_2019[[#This Row],[Split_raw]] - (EDATE(AA$1,1)-Log_2019[[#This Row],[Date]]))</f>
        <v>0</v>
      </c>
    </row>
    <row r="319" spans="1:29" x14ac:dyDescent="0.25">
      <c r="A319" s="42"/>
      <c r="B319" s="34" t="s">
        <v>6</v>
      </c>
      <c r="C319" s="34"/>
      <c r="D319" s="35">
        <v>43672</v>
      </c>
      <c r="E319" s="34"/>
      <c r="F319" s="34" t="s">
        <v>270</v>
      </c>
      <c r="G319" s="34" t="s">
        <v>25</v>
      </c>
      <c r="H319">
        <v>-9.18</v>
      </c>
      <c r="I319" s="36">
        <f>IF(Log_2019[[#This Row],[My Category]]="NONTRACKED",0,Log_2019[[#This Row],[Raw Amount]])</f>
        <v>-9.18</v>
      </c>
      <c r="J319" s="37">
        <f>ABS(Log_2019[[#This Row],[Amount]])</f>
        <v>9.18</v>
      </c>
      <c r="K319" s="38">
        <v>1</v>
      </c>
      <c r="L319" s="38">
        <f ca="1">IF(Log_2019[[#This Row],[Date]]&lt;=TODAY(), MIN(Log_2019[[#This Row],[Split_raw]], TODAY()-Log_2019[[#This Row],[Date]]+1), 0)</f>
        <v>1</v>
      </c>
      <c r="M319" s="34" t="s">
        <v>35</v>
      </c>
      <c r="N319" s="34" t="s">
        <v>158</v>
      </c>
      <c r="O319" s="7">
        <v>0</v>
      </c>
      <c r="P319" s="52">
        <f ca="1">Log_2019[[#This Row],[Amount]]/Log_2019[[#This Row],[Split_raw]]*MAX(0,MIN(_xlfn.DAYS(EDATE(P$1,1),Log_2019[[#This Row],[Date]]),Log_2019[[#This Row],[Split_apply]])) - SUM($O319:O319)</f>
        <v>0</v>
      </c>
      <c r="Q319" s="52">
        <f ca="1">Log_2019[[#This Row],[Amount]]/Log_2019[[#This Row],[Split_raw]]*MAX(0,MIN(_xlfn.DAYS(EDATE(Q$1,1),Log_2019[[#This Row],[Date]]),Log_2019[[#This Row],[Split_apply]])) - SUM($O319:P319)</f>
        <v>0</v>
      </c>
      <c r="R319" s="52">
        <f ca="1">Log_2019[[#This Row],[Amount]]/Log_2019[[#This Row],[Split_raw]]*MAX(0,MIN(_xlfn.DAYS(EDATE(R$1,1),Log_2019[[#This Row],[Date]]),Log_2019[[#This Row],[Split_apply]])) - SUM($O319:Q319)</f>
        <v>0</v>
      </c>
      <c r="S319" s="52">
        <f ca="1">Log_2019[[#This Row],[Amount]]/Log_2019[[#This Row],[Split_raw]]*MAX(0,MIN(_xlfn.DAYS(EDATE(S$1,1),Log_2019[[#This Row],[Date]]),Log_2019[[#This Row],[Split_apply]])) - SUM($O319:R319)</f>
        <v>0</v>
      </c>
      <c r="T319" s="52">
        <f ca="1">Log_2019[[#This Row],[Amount]]/Log_2019[[#This Row],[Split_raw]]*MAX(0,MIN(_xlfn.DAYS(EDATE(T$1,1),Log_2019[[#This Row],[Date]]),Log_2019[[#This Row],[Split_apply]])) - SUM($O319:S319)</f>
        <v>0</v>
      </c>
      <c r="U319" s="52">
        <f ca="1">Log_2019[[#This Row],[Amount]]/Log_2019[[#This Row],[Split_raw]]*MAX(0,MIN(_xlfn.DAYS(EDATE(U$1,1),Log_2019[[#This Row],[Date]]),Log_2019[[#This Row],[Split_apply]])) - SUM($O319:T319)</f>
        <v>0</v>
      </c>
      <c r="V319" s="52">
        <f ca="1">Log_2019[[#This Row],[Amount]]/Log_2019[[#This Row],[Split_raw]]*MAX(0,MIN(_xlfn.DAYS(EDATE(V$1,1),Log_2019[[#This Row],[Date]]),Log_2019[[#This Row],[Split_apply]])) - SUM($O319:U319)</f>
        <v>-9.18</v>
      </c>
      <c r="W319" s="52">
        <f ca="1">Log_2019[[#This Row],[Amount]]/Log_2019[[#This Row],[Split_raw]]*MAX(0,MIN(_xlfn.DAYS(EDATE(W$1,1),Log_2019[[#This Row],[Date]]),Log_2019[[#This Row],[Split_apply]])) - SUM($O319:V319)</f>
        <v>0</v>
      </c>
      <c r="X319" s="52">
        <f ca="1">Log_2019[[#This Row],[Amount]]/Log_2019[[#This Row],[Split_raw]]*MAX(0,MIN(_xlfn.DAYS(EDATE(X$1,1),Log_2019[[#This Row],[Date]]),Log_2019[[#This Row],[Split_apply]])) - SUM($O319:W319)</f>
        <v>0</v>
      </c>
      <c r="Y319" s="52">
        <f ca="1">Log_2019[[#This Row],[Amount]]/Log_2019[[#This Row],[Split_raw]]*MAX(0,MIN(_xlfn.DAYS(EDATE(Y$1,1),Log_2019[[#This Row],[Date]]),Log_2019[[#This Row],[Split_apply]])) - SUM($O319:X319)</f>
        <v>0</v>
      </c>
      <c r="Z319" s="52">
        <f ca="1">Log_2019[[#This Row],[Amount]]/Log_2019[[#This Row],[Split_raw]]*MAX(0,MIN(_xlfn.DAYS(EDATE(Z$1,1),Log_2019[[#This Row],[Date]]),Log_2019[[#This Row],[Split_apply]])) - SUM($O319:Y319)</f>
        <v>0</v>
      </c>
      <c r="AA319" s="52">
        <f ca="1">Log_2019[[#This Row],[Amount]]/Log_2019[[#This Row],[Split_raw]]*MAX(0,MIN(_xlfn.DAYS(EDATE(AA$1,1),Log_2019[[#This Row],[Date]]),Log_2019[[#This Row],[Split_apply]])) - SUM($O319:Z319)</f>
        <v>0</v>
      </c>
      <c r="AB319" s="54">
        <f ca="1">Log_2019[[#This Row],[Amount]]-SUM(O319:AA319)</f>
        <v>0</v>
      </c>
      <c r="AC319" s="7">
        <f>MAX(0,Log_2019[[#This Row],[Split_raw]] - (EDATE(AA$1,1)-Log_2019[[#This Row],[Date]]))</f>
        <v>0</v>
      </c>
    </row>
    <row r="320" spans="1:29" x14ac:dyDescent="0.25">
      <c r="A320" s="42"/>
      <c r="B320" s="34" t="s">
        <v>6</v>
      </c>
      <c r="C320" s="34"/>
      <c r="D320" s="35">
        <v>43672</v>
      </c>
      <c r="E320" s="34"/>
      <c r="F320" s="34" t="s">
        <v>587</v>
      </c>
      <c r="G320" s="34" t="s">
        <v>9</v>
      </c>
      <c r="H320">
        <v>-37.65</v>
      </c>
      <c r="I320" s="36">
        <f>IF(Log_2019[[#This Row],[My Category]]="NONTRACKED",0,Log_2019[[#This Row],[Raw Amount]])</f>
        <v>-37.65</v>
      </c>
      <c r="J320" s="37">
        <f>ABS(Log_2019[[#This Row],[Amount]])</f>
        <v>37.65</v>
      </c>
      <c r="K320" s="38">
        <v>1</v>
      </c>
      <c r="L320" s="38">
        <f ca="1">IF(Log_2019[[#This Row],[Date]]&lt;=TODAY(), MIN(Log_2019[[#This Row],[Split_raw]], TODAY()-Log_2019[[#This Row],[Date]]+1), 0)</f>
        <v>1</v>
      </c>
      <c r="M320" s="34" t="s">
        <v>12</v>
      </c>
      <c r="N320" s="34" t="s">
        <v>158</v>
      </c>
      <c r="O320" s="7">
        <v>0</v>
      </c>
      <c r="P320" s="52">
        <f ca="1">Log_2019[[#This Row],[Amount]]/Log_2019[[#This Row],[Split_raw]]*MAX(0,MIN(_xlfn.DAYS(EDATE(P$1,1),Log_2019[[#This Row],[Date]]),Log_2019[[#This Row],[Split_apply]])) - SUM($O320:O320)</f>
        <v>0</v>
      </c>
      <c r="Q320" s="52">
        <f ca="1">Log_2019[[#This Row],[Amount]]/Log_2019[[#This Row],[Split_raw]]*MAX(0,MIN(_xlfn.DAYS(EDATE(Q$1,1),Log_2019[[#This Row],[Date]]),Log_2019[[#This Row],[Split_apply]])) - SUM($O320:P320)</f>
        <v>0</v>
      </c>
      <c r="R320" s="52">
        <f ca="1">Log_2019[[#This Row],[Amount]]/Log_2019[[#This Row],[Split_raw]]*MAX(0,MIN(_xlfn.DAYS(EDATE(R$1,1),Log_2019[[#This Row],[Date]]),Log_2019[[#This Row],[Split_apply]])) - SUM($O320:Q320)</f>
        <v>0</v>
      </c>
      <c r="S320" s="52">
        <f ca="1">Log_2019[[#This Row],[Amount]]/Log_2019[[#This Row],[Split_raw]]*MAX(0,MIN(_xlfn.DAYS(EDATE(S$1,1),Log_2019[[#This Row],[Date]]),Log_2019[[#This Row],[Split_apply]])) - SUM($O320:R320)</f>
        <v>0</v>
      </c>
      <c r="T320" s="52">
        <f ca="1">Log_2019[[#This Row],[Amount]]/Log_2019[[#This Row],[Split_raw]]*MAX(0,MIN(_xlfn.DAYS(EDATE(T$1,1),Log_2019[[#This Row],[Date]]),Log_2019[[#This Row],[Split_apply]])) - SUM($O320:S320)</f>
        <v>0</v>
      </c>
      <c r="U320" s="52">
        <f ca="1">Log_2019[[#This Row],[Amount]]/Log_2019[[#This Row],[Split_raw]]*MAX(0,MIN(_xlfn.DAYS(EDATE(U$1,1),Log_2019[[#This Row],[Date]]),Log_2019[[#This Row],[Split_apply]])) - SUM($O320:T320)</f>
        <v>0</v>
      </c>
      <c r="V320" s="52">
        <f ca="1">Log_2019[[#This Row],[Amount]]/Log_2019[[#This Row],[Split_raw]]*MAX(0,MIN(_xlfn.DAYS(EDATE(V$1,1),Log_2019[[#This Row],[Date]]),Log_2019[[#This Row],[Split_apply]])) - SUM($O320:U320)</f>
        <v>-37.65</v>
      </c>
      <c r="W320" s="52">
        <f ca="1">Log_2019[[#This Row],[Amount]]/Log_2019[[#This Row],[Split_raw]]*MAX(0,MIN(_xlfn.DAYS(EDATE(W$1,1),Log_2019[[#This Row],[Date]]),Log_2019[[#This Row],[Split_apply]])) - SUM($O320:V320)</f>
        <v>0</v>
      </c>
      <c r="X320" s="52">
        <f ca="1">Log_2019[[#This Row],[Amount]]/Log_2019[[#This Row],[Split_raw]]*MAX(0,MIN(_xlfn.DAYS(EDATE(X$1,1),Log_2019[[#This Row],[Date]]),Log_2019[[#This Row],[Split_apply]])) - SUM($O320:W320)</f>
        <v>0</v>
      </c>
      <c r="Y320" s="52">
        <f ca="1">Log_2019[[#This Row],[Amount]]/Log_2019[[#This Row],[Split_raw]]*MAX(0,MIN(_xlfn.DAYS(EDATE(Y$1,1),Log_2019[[#This Row],[Date]]),Log_2019[[#This Row],[Split_apply]])) - SUM($O320:X320)</f>
        <v>0</v>
      </c>
      <c r="Z320" s="52">
        <f ca="1">Log_2019[[#This Row],[Amount]]/Log_2019[[#This Row],[Split_raw]]*MAX(0,MIN(_xlfn.DAYS(EDATE(Z$1,1),Log_2019[[#This Row],[Date]]),Log_2019[[#This Row],[Split_apply]])) - SUM($O320:Y320)</f>
        <v>0</v>
      </c>
      <c r="AA320" s="52">
        <f ca="1">Log_2019[[#This Row],[Amount]]/Log_2019[[#This Row],[Split_raw]]*MAX(0,MIN(_xlfn.DAYS(EDATE(AA$1,1),Log_2019[[#This Row],[Date]]),Log_2019[[#This Row],[Split_apply]])) - SUM($O320:Z320)</f>
        <v>0</v>
      </c>
      <c r="AB320" s="54">
        <f ca="1">Log_2019[[#This Row],[Amount]]-SUM(O320:AA320)</f>
        <v>0</v>
      </c>
      <c r="AC320" s="7">
        <f>MAX(0,Log_2019[[#This Row],[Split_raw]] - (EDATE(AA$1,1)-Log_2019[[#This Row],[Date]]))</f>
        <v>0</v>
      </c>
    </row>
    <row r="321" spans="1:29" x14ac:dyDescent="0.25">
      <c r="A321" s="42"/>
      <c r="B321" s="34" t="s">
        <v>191</v>
      </c>
      <c r="C321" s="34"/>
      <c r="D321" s="35">
        <v>43672</v>
      </c>
      <c r="E321" s="34" t="s">
        <v>668</v>
      </c>
      <c r="F321" s="34" t="s">
        <v>514</v>
      </c>
      <c r="G321" s="34" t="s">
        <v>9</v>
      </c>
      <c r="H321">
        <f>-113.08/2</f>
        <v>-56.54</v>
      </c>
      <c r="I321" s="36">
        <f>IF(Log_2019[[#This Row],[My Category]]="NONTRACKED",0,Log_2019[[#This Row],[Raw Amount]])</f>
        <v>-56.54</v>
      </c>
      <c r="J321" s="37">
        <f>ABS(Log_2019[[#This Row],[Amount]])</f>
        <v>56.54</v>
      </c>
      <c r="K321" s="38">
        <v>1</v>
      </c>
      <c r="L321" s="38">
        <f ca="1">IF(Log_2019[[#This Row],[Date]]&lt;=TODAY(), MIN(Log_2019[[#This Row],[Split_raw]], TODAY()-Log_2019[[#This Row],[Date]]+1), 0)</f>
        <v>1</v>
      </c>
      <c r="M321" s="34" t="s">
        <v>42</v>
      </c>
      <c r="N321" s="34" t="s">
        <v>158</v>
      </c>
      <c r="O321" s="7">
        <v>0</v>
      </c>
      <c r="P321" s="52">
        <f ca="1">Log_2019[[#This Row],[Amount]]/Log_2019[[#This Row],[Split_raw]]*MAX(0,MIN(_xlfn.DAYS(EDATE(P$1,1),Log_2019[[#This Row],[Date]]),Log_2019[[#This Row],[Split_apply]])) - SUM($O321:O321)</f>
        <v>0</v>
      </c>
      <c r="Q321" s="52">
        <f ca="1">Log_2019[[#This Row],[Amount]]/Log_2019[[#This Row],[Split_raw]]*MAX(0,MIN(_xlfn.DAYS(EDATE(Q$1,1),Log_2019[[#This Row],[Date]]),Log_2019[[#This Row],[Split_apply]])) - SUM($O321:P321)</f>
        <v>0</v>
      </c>
      <c r="R321" s="52">
        <f ca="1">Log_2019[[#This Row],[Amount]]/Log_2019[[#This Row],[Split_raw]]*MAX(0,MIN(_xlfn.DAYS(EDATE(R$1,1),Log_2019[[#This Row],[Date]]),Log_2019[[#This Row],[Split_apply]])) - SUM($O321:Q321)</f>
        <v>0</v>
      </c>
      <c r="S321" s="52">
        <f ca="1">Log_2019[[#This Row],[Amount]]/Log_2019[[#This Row],[Split_raw]]*MAX(0,MIN(_xlfn.DAYS(EDATE(S$1,1),Log_2019[[#This Row],[Date]]),Log_2019[[#This Row],[Split_apply]])) - SUM($O321:R321)</f>
        <v>0</v>
      </c>
      <c r="T321" s="52">
        <f ca="1">Log_2019[[#This Row],[Amount]]/Log_2019[[#This Row],[Split_raw]]*MAX(0,MIN(_xlfn.DAYS(EDATE(T$1,1),Log_2019[[#This Row],[Date]]),Log_2019[[#This Row],[Split_apply]])) - SUM($O321:S321)</f>
        <v>0</v>
      </c>
      <c r="U321" s="52">
        <f ca="1">Log_2019[[#This Row],[Amount]]/Log_2019[[#This Row],[Split_raw]]*MAX(0,MIN(_xlfn.DAYS(EDATE(U$1,1),Log_2019[[#This Row],[Date]]),Log_2019[[#This Row],[Split_apply]])) - SUM($O321:T321)</f>
        <v>0</v>
      </c>
      <c r="V321" s="52">
        <f ca="1">Log_2019[[#This Row],[Amount]]/Log_2019[[#This Row],[Split_raw]]*MAX(0,MIN(_xlfn.DAYS(EDATE(V$1,1),Log_2019[[#This Row],[Date]]),Log_2019[[#This Row],[Split_apply]])) - SUM($O321:U321)</f>
        <v>-56.54</v>
      </c>
      <c r="W321" s="52">
        <f ca="1">Log_2019[[#This Row],[Amount]]/Log_2019[[#This Row],[Split_raw]]*MAX(0,MIN(_xlfn.DAYS(EDATE(W$1,1),Log_2019[[#This Row],[Date]]),Log_2019[[#This Row],[Split_apply]])) - SUM($O321:V321)</f>
        <v>0</v>
      </c>
      <c r="X321" s="52">
        <f ca="1">Log_2019[[#This Row],[Amount]]/Log_2019[[#This Row],[Split_raw]]*MAX(0,MIN(_xlfn.DAYS(EDATE(X$1,1),Log_2019[[#This Row],[Date]]),Log_2019[[#This Row],[Split_apply]])) - SUM($O321:W321)</f>
        <v>0</v>
      </c>
      <c r="Y321" s="52">
        <f ca="1">Log_2019[[#This Row],[Amount]]/Log_2019[[#This Row],[Split_raw]]*MAX(0,MIN(_xlfn.DAYS(EDATE(Y$1,1),Log_2019[[#This Row],[Date]]),Log_2019[[#This Row],[Split_apply]])) - SUM($O321:X321)</f>
        <v>0</v>
      </c>
      <c r="Z321" s="52">
        <f ca="1">Log_2019[[#This Row],[Amount]]/Log_2019[[#This Row],[Split_raw]]*MAX(0,MIN(_xlfn.DAYS(EDATE(Z$1,1),Log_2019[[#This Row],[Date]]),Log_2019[[#This Row],[Split_apply]])) - SUM($O321:Y321)</f>
        <v>0</v>
      </c>
      <c r="AA321" s="52">
        <f ca="1">Log_2019[[#This Row],[Amount]]/Log_2019[[#This Row],[Split_raw]]*MAX(0,MIN(_xlfn.DAYS(EDATE(AA$1,1),Log_2019[[#This Row],[Date]]),Log_2019[[#This Row],[Split_apply]])) - SUM($O321:Z321)</f>
        <v>0</v>
      </c>
      <c r="AB321" s="54">
        <f ca="1">Log_2019[[#This Row],[Amount]]-SUM(O321:AA321)</f>
        <v>0</v>
      </c>
      <c r="AC321" s="7">
        <f>MAX(0,Log_2019[[#This Row],[Split_raw]] - (EDATE(AA$1,1)-Log_2019[[#This Row],[Date]]))</f>
        <v>0</v>
      </c>
    </row>
    <row r="322" spans="1:29" x14ac:dyDescent="0.25">
      <c r="A322" s="42"/>
      <c r="B322" s="34" t="s">
        <v>191</v>
      </c>
      <c r="C322" s="34"/>
      <c r="D322" s="35">
        <v>43672</v>
      </c>
      <c r="E322" s="34" t="s">
        <v>668</v>
      </c>
      <c r="F322" s="34" t="s">
        <v>514</v>
      </c>
      <c r="G322" s="34" t="s">
        <v>9</v>
      </c>
      <c r="H322">
        <f>-113.08/2</f>
        <v>-56.54</v>
      </c>
      <c r="I322" s="36">
        <f>IF(Log_2019[[#This Row],[My Category]]="NONTRACKED",0,Log_2019[[#This Row],[Raw Amount]])</f>
        <v>-56.54</v>
      </c>
      <c r="J322" s="37">
        <f>ABS(Log_2019[[#This Row],[Amount]])</f>
        <v>56.54</v>
      </c>
      <c r="K322" s="38">
        <v>1</v>
      </c>
      <c r="L322" s="38">
        <f ca="1">IF(Log_2019[[#This Row],[Date]]&lt;=TODAY(), MIN(Log_2019[[#This Row],[Split_raw]], TODAY()-Log_2019[[#This Row],[Date]]+1), 0)</f>
        <v>1</v>
      </c>
      <c r="M322" s="34" t="s">
        <v>145</v>
      </c>
      <c r="N322" s="34" t="s">
        <v>158</v>
      </c>
      <c r="O322" s="7">
        <v>0</v>
      </c>
      <c r="P322" s="52">
        <f ca="1">Log_2019[[#This Row],[Amount]]/Log_2019[[#This Row],[Split_raw]]*MAX(0,MIN(_xlfn.DAYS(EDATE(P$1,1),Log_2019[[#This Row],[Date]]),Log_2019[[#This Row],[Split_apply]])) - SUM($O322:O322)</f>
        <v>0</v>
      </c>
      <c r="Q322" s="52">
        <f ca="1">Log_2019[[#This Row],[Amount]]/Log_2019[[#This Row],[Split_raw]]*MAX(0,MIN(_xlfn.DAYS(EDATE(Q$1,1),Log_2019[[#This Row],[Date]]),Log_2019[[#This Row],[Split_apply]])) - SUM($O322:P322)</f>
        <v>0</v>
      </c>
      <c r="R322" s="52">
        <f ca="1">Log_2019[[#This Row],[Amount]]/Log_2019[[#This Row],[Split_raw]]*MAX(0,MIN(_xlfn.DAYS(EDATE(R$1,1),Log_2019[[#This Row],[Date]]),Log_2019[[#This Row],[Split_apply]])) - SUM($O322:Q322)</f>
        <v>0</v>
      </c>
      <c r="S322" s="52">
        <f ca="1">Log_2019[[#This Row],[Amount]]/Log_2019[[#This Row],[Split_raw]]*MAX(0,MIN(_xlfn.DAYS(EDATE(S$1,1),Log_2019[[#This Row],[Date]]),Log_2019[[#This Row],[Split_apply]])) - SUM($O322:R322)</f>
        <v>0</v>
      </c>
      <c r="T322" s="52">
        <f ca="1">Log_2019[[#This Row],[Amount]]/Log_2019[[#This Row],[Split_raw]]*MAX(0,MIN(_xlfn.DAYS(EDATE(T$1,1),Log_2019[[#This Row],[Date]]),Log_2019[[#This Row],[Split_apply]])) - SUM($O322:S322)</f>
        <v>0</v>
      </c>
      <c r="U322" s="52">
        <f ca="1">Log_2019[[#This Row],[Amount]]/Log_2019[[#This Row],[Split_raw]]*MAX(0,MIN(_xlfn.DAYS(EDATE(U$1,1),Log_2019[[#This Row],[Date]]),Log_2019[[#This Row],[Split_apply]])) - SUM($O322:T322)</f>
        <v>0</v>
      </c>
      <c r="V322" s="52">
        <f ca="1">Log_2019[[#This Row],[Amount]]/Log_2019[[#This Row],[Split_raw]]*MAX(0,MIN(_xlfn.DAYS(EDATE(V$1,1),Log_2019[[#This Row],[Date]]),Log_2019[[#This Row],[Split_apply]])) - SUM($O322:U322)</f>
        <v>-56.54</v>
      </c>
      <c r="W322" s="52">
        <f ca="1">Log_2019[[#This Row],[Amount]]/Log_2019[[#This Row],[Split_raw]]*MAX(0,MIN(_xlfn.DAYS(EDATE(W$1,1),Log_2019[[#This Row],[Date]]),Log_2019[[#This Row],[Split_apply]])) - SUM($O322:V322)</f>
        <v>0</v>
      </c>
      <c r="X322" s="52">
        <f ca="1">Log_2019[[#This Row],[Amount]]/Log_2019[[#This Row],[Split_raw]]*MAX(0,MIN(_xlfn.DAYS(EDATE(X$1,1),Log_2019[[#This Row],[Date]]),Log_2019[[#This Row],[Split_apply]])) - SUM($O322:W322)</f>
        <v>0</v>
      </c>
      <c r="Y322" s="52">
        <f ca="1">Log_2019[[#This Row],[Amount]]/Log_2019[[#This Row],[Split_raw]]*MAX(0,MIN(_xlfn.DAYS(EDATE(Y$1,1),Log_2019[[#This Row],[Date]]),Log_2019[[#This Row],[Split_apply]])) - SUM($O322:X322)</f>
        <v>0</v>
      </c>
      <c r="Z322" s="52">
        <f ca="1">Log_2019[[#This Row],[Amount]]/Log_2019[[#This Row],[Split_raw]]*MAX(0,MIN(_xlfn.DAYS(EDATE(Z$1,1),Log_2019[[#This Row],[Date]]),Log_2019[[#This Row],[Split_apply]])) - SUM($O322:Y322)</f>
        <v>0</v>
      </c>
      <c r="AA322" s="52">
        <f ca="1">Log_2019[[#This Row],[Amount]]/Log_2019[[#This Row],[Split_raw]]*MAX(0,MIN(_xlfn.DAYS(EDATE(AA$1,1),Log_2019[[#This Row],[Date]]),Log_2019[[#This Row],[Split_apply]])) - SUM($O322:Z322)</f>
        <v>0</v>
      </c>
      <c r="AB322" s="54">
        <f ca="1">Log_2019[[#This Row],[Amount]]-SUM(O322:AA322)</f>
        <v>0</v>
      </c>
      <c r="AC322" s="7">
        <f>MAX(0,Log_2019[[#This Row],[Split_raw]] - (EDATE(AA$1,1)-Log_2019[[#This Row],[Date]]))</f>
        <v>0</v>
      </c>
    </row>
    <row r="323" spans="1:29" x14ac:dyDescent="0.25">
      <c r="A323" s="42"/>
      <c r="B323" s="34" t="s">
        <v>6</v>
      </c>
      <c r="C323" s="34"/>
      <c r="D323" s="35">
        <v>43672</v>
      </c>
      <c r="E323" s="34"/>
      <c r="F323" s="34" t="s">
        <v>255</v>
      </c>
      <c r="G323" s="34" t="s">
        <v>25</v>
      </c>
      <c r="H323">
        <v>-4.1500000000000004</v>
      </c>
      <c r="I323" s="36">
        <f>IF(Log_2019[[#This Row],[My Category]]="NONTRACKED",0,Log_2019[[#This Row],[Raw Amount]])</f>
        <v>-4.1500000000000004</v>
      </c>
      <c r="J323" s="37">
        <f>ABS(Log_2019[[#This Row],[Amount]])</f>
        <v>4.1500000000000004</v>
      </c>
      <c r="K323" s="38">
        <v>1</v>
      </c>
      <c r="L323" s="38">
        <f ca="1">IF(Log_2019[[#This Row],[Date]]&lt;=TODAY(), MIN(Log_2019[[#This Row],[Split_raw]], TODAY()-Log_2019[[#This Row],[Date]]+1), 0)</f>
        <v>1</v>
      </c>
      <c r="M323" s="34" t="s">
        <v>35</v>
      </c>
      <c r="N323" s="34" t="s">
        <v>158</v>
      </c>
      <c r="O323" s="7">
        <v>0</v>
      </c>
      <c r="P323" s="52">
        <f ca="1">Log_2019[[#This Row],[Amount]]/Log_2019[[#This Row],[Split_raw]]*MAX(0,MIN(_xlfn.DAYS(EDATE(P$1,1),Log_2019[[#This Row],[Date]]),Log_2019[[#This Row],[Split_apply]])) - SUM($O323:O323)</f>
        <v>0</v>
      </c>
      <c r="Q323" s="52">
        <f ca="1">Log_2019[[#This Row],[Amount]]/Log_2019[[#This Row],[Split_raw]]*MAX(0,MIN(_xlfn.DAYS(EDATE(Q$1,1),Log_2019[[#This Row],[Date]]),Log_2019[[#This Row],[Split_apply]])) - SUM($O323:P323)</f>
        <v>0</v>
      </c>
      <c r="R323" s="52">
        <f ca="1">Log_2019[[#This Row],[Amount]]/Log_2019[[#This Row],[Split_raw]]*MAX(0,MIN(_xlfn.DAYS(EDATE(R$1,1),Log_2019[[#This Row],[Date]]),Log_2019[[#This Row],[Split_apply]])) - SUM($O323:Q323)</f>
        <v>0</v>
      </c>
      <c r="S323" s="52">
        <f ca="1">Log_2019[[#This Row],[Amount]]/Log_2019[[#This Row],[Split_raw]]*MAX(0,MIN(_xlfn.DAYS(EDATE(S$1,1),Log_2019[[#This Row],[Date]]),Log_2019[[#This Row],[Split_apply]])) - SUM($O323:R323)</f>
        <v>0</v>
      </c>
      <c r="T323" s="52">
        <f ca="1">Log_2019[[#This Row],[Amount]]/Log_2019[[#This Row],[Split_raw]]*MAX(0,MIN(_xlfn.DAYS(EDATE(T$1,1),Log_2019[[#This Row],[Date]]),Log_2019[[#This Row],[Split_apply]])) - SUM($O323:S323)</f>
        <v>0</v>
      </c>
      <c r="U323" s="52">
        <f ca="1">Log_2019[[#This Row],[Amount]]/Log_2019[[#This Row],[Split_raw]]*MAX(0,MIN(_xlfn.DAYS(EDATE(U$1,1),Log_2019[[#This Row],[Date]]),Log_2019[[#This Row],[Split_apply]])) - SUM($O323:T323)</f>
        <v>0</v>
      </c>
      <c r="V323" s="52">
        <f ca="1">Log_2019[[#This Row],[Amount]]/Log_2019[[#This Row],[Split_raw]]*MAX(0,MIN(_xlfn.DAYS(EDATE(V$1,1),Log_2019[[#This Row],[Date]]),Log_2019[[#This Row],[Split_apply]])) - SUM($O323:U323)</f>
        <v>-4.1500000000000004</v>
      </c>
      <c r="W323" s="52">
        <f ca="1">Log_2019[[#This Row],[Amount]]/Log_2019[[#This Row],[Split_raw]]*MAX(0,MIN(_xlfn.DAYS(EDATE(W$1,1),Log_2019[[#This Row],[Date]]),Log_2019[[#This Row],[Split_apply]])) - SUM($O323:V323)</f>
        <v>0</v>
      </c>
      <c r="X323" s="52">
        <f ca="1">Log_2019[[#This Row],[Amount]]/Log_2019[[#This Row],[Split_raw]]*MAX(0,MIN(_xlfn.DAYS(EDATE(X$1,1),Log_2019[[#This Row],[Date]]),Log_2019[[#This Row],[Split_apply]])) - SUM($O323:W323)</f>
        <v>0</v>
      </c>
      <c r="Y323" s="52">
        <f ca="1">Log_2019[[#This Row],[Amount]]/Log_2019[[#This Row],[Split_raw]]*MAX(0,MIN(_xlfn.DAYS(EDATE(Y$1,1),Log_2019[[#This Row],[Date]]),Log_2019[[#This Row],[Split_apply]])) - SUM($O323:X323)</f>
        <v>0</v>
      </c>
      <c r="Z323" s="52">
        <f ca="1">Log_2019[[#This Row],[Amount]]/Log_2019[[#This Row],[Split_raw]]*MAX(0,MIN(_xlfn.DAYS(EDATE(Z$1,1),Log_2019[[#This Row],[Date]]),Log_2019[[#This Row],[Split_apply]])) - SUM($O323:Y323)</f>
        <v>0</v>
      </c>
      <c r="AA323" s="52">
        <f ca="1">Log_2019[[#This Row],[Amount]]/Log_2019[[#This Row],[Split_raw]]*MAX(0,MIN(_xlfn.DAYS(EDATE(AA$1,1),Log_2019[[#This Row],[Date]]),Log_2019[[#This Row],[Split_apply]])) - SUM($O323:Z323)</f>
        <v>0</v>
      </c>
      <c r="AB323" s="54">
        <f ca="1">Log_2019[[#This Row],[Amount]]-SUM(O323:AA323)</f>
        <v>0</v>
      </c>
      <c r="AC323" s="7">
        <f>MAX(0,Log_2019[[#This Row],[Split_raw]] - (EDATE(AA$1,1)-Log_2019[[#This Row],[Date]]))</f>
        <v>0</v>
      </c>
    </row>
    <row r="324" spans="1:29" x14ac:dyDescent="0.25">
      <c r="A324" s="42"/>
      <c r="B324" s="34" t="s">
        <v>6</v>
      </c>
      <c r="C324" s="34"/>
      <c r="D324" s="35">
        <v>43671</v>
      </c>
      <c r="E324" s="34" t="s">
        <v>574</v>
      </c>
      <c r="F324" s="34" t="s">
        <v>653</v>
      </c>
      <c r="G324" s="34" t="s">
        <v>9</v>
      </c>
      <c r="H324">
        <v>-22.85</v>
      </c>
      <c r="I324" s="36">
        <f>IF(Log_2019[[#This Row],[My Category]]="NONTRACKED",0,Log_2019[[#This Row],[Raw Amount]])</f>
        <v>-22.85</v>
      </c>
      <c r="J324" s="37">
        <f>ABS(Log_2019[[#This Row],[Amount]])</f>
        <v>22.85</v>
      </c>
      <c r="K324" s="38">
        <v>1</v>
      </c>
      <c r="L324" s="38">
        <f ca="1">IF(Log_2019[[#This Row],[Date]]&lt;=TODAY(), MIN(Log_2019[[#This Row],[Split_raw]], TODAY()-Log_2019[[#This Row],[Date]]+1), 0)</f>
        <v>1</v>
      </c>
      <c r="M324" s="34" t="s">
        <v>37</v>
      </c>
      <c r="N324" s="34" t="s">
        <v>158</v>
      </c>
      <c r="O324" s="7">
        <v>0</v>
      </c>
      <c r="P324" s="52">
        <f ca="1">Log_2019[[#This Row],[Amount]]/Log_2019[[#This Row],[Split_raw]]*MAX(0,MIN(_xlfn.DAYS(EDATE(P$1,1),Log_2019[[#This Row],[Date]]),Log_2019[[#This Row],[Split_apply]])) - SUM($O324:O324)</f>
        <v>0</v>
      </c>
      <c r="Q324" s="52">
        <f ca="1">Log_2019[[#This Row],[Amount]]/Log_2019[[#This Row],[Split_raw]]*MAX(0,MIN(_xlfn.DAYS(EDATE(Q$1,1),Log_2019[[#This Row],[Date]]),Log_2019[[#This Row],[Split_apply]])) - SUM($O324:P324)</f>
        <v>0</v>
      </c>
      <c r="R324" s="52">
        <f ca="1">Log_2019[[#This Row],[Amount]]/Log_2019[[#This Row],[Split_raw]]*MAX(0,MIN(_xlfn.DAYS(EDATE(R$1,1),Log_2019[[#This Row],[Date]]),Log_2019[[#This Row],[Split_apply]])) - SUM($O324:Q324)</f>
        <v>0</v>
      </c>
      <c r="S324" s="52">
        <f ca="1">Log_2019[[#This Row],[Amount]]/Log_2019[[#This Row],[Split_raw]]*MAX(0,MIN(_xlfn.DAYS(EDATE(S$1,1),Log_2019[[#This Row],[Date]]),Log_2019[[#This Row],[Split_apply]])) - SUM($O324:R324)</f>
        <v>0</v>
      </c>
      <c r="T324" s="52">
        <f ca="1">Log_2019[[#This Row],[Amount]]/Log_2019[[#This Row],[Split_raw]]*MAX(0,MIN(_xlfn.DAYS(EDATE(T$1,1),Log_2019[[#This Row],[Date]]),Log_2019[[#This Row],[Split_apply]])) - SUM($O324:S324)</f>
        <v>0</v>
      </c>
      <c r="U324" s="52">
        <f ca="1">Log_2019[[#This Row],[Amount]]/Log_2019[[#This Row],[Split_raw]]*MAX(0,MIN(_xlfn.DAYS(EDATE(U$1,1),Log_2019[[#This Row],[Date]]),Log_2019[[#This Row],[Split_apply]])) - SUM($O324:T324)</f>
        <v>0</v>
      </c>
      <c r="V324" s="52">
        <f ca="1">Log_2019[[#This Row],[Amount]]/Log_2019[[#This Row],[Split_raw]]*MAX(0,MIN(_xlfn.DAYS(EDATE(V$1,1),Log_2019[[#This Row],[Date]]),Log_2019[[#This Row],[Split_apply]])) - SUM($O324:U324)</f>
        <v>-22.85</v>
      </c>
      <c r="W324" s="52">
        <f ca="1">Log_2019[[#This Row],[Amount]]/Log_2019[[#This Row],[Split_raw]]*MAX(0,MIN(_xlfn.DAYS(EDATE(W$1,1),Log_2019[[#This Row],[Date]]),Log_2019[[#This Row],[Split_apply]])) - SUM($O324:V324)</f>
        <v>0</v>
      </c>
      <c r="X324" s="52">
        <f ca="1">Log_2019[[#This Row],[Amount]]/Log_2019[[#This Row],[Split_raw]]*MAX(0,MIN(_xlfn.DAYS(EDATE(X$1,1),Log_2019[[#This Row],[Date]]),Log_2019[[#This Row],[Split_apply]])) - SUM($O324:W324)</f>
        <v>0</v>
      </c>
      <c r="Y324" s="52">
        <f ca="1">Log_2019[[#This Row],[Amount]]/Log_2019[[#This Row],[Split_raw]]*MAX(0,MIN(_xlfn.DAYS(EDATE(Y$1,1),Log_2019[[#This Row],[Date]]),Log_2019[[#This Row],[Split_apply]])) - SUM($O324:X324)</f>
        <v>0</v>
      </c>
      <c r="Z324" s="52">
        <f ca="1">Log_2019[[#This Row],[Amount]]/Log_2019[[#This Row],[Split_raw]]*MAX(0,MIN(_xlfn.DAYS(EDATE(Z$1,1),Log_2019[[#This Row],[Date]]),Log_2019[[#This Row],[Split_apply]])) - SUM($O324:Y324)</f>
        <v>0</v>
      </c>
      <c r="AA324" s="52">
        <f ca="1">Log_2019[[#This Row],[Amount]]/Log_2019[[#This Row],[Split_raw]]*MAX(0,MIN(_xlfn.DAYS(EDATE(AA$1,1),Log_2019[[#This Row],[Date]]),Log_2019[[#This Row],[Split_apply]])) - SUM($O324:Z324)</f>
        <v>0</v>
      </c>
      <c r="AB324" s="54">
        <f ca="1">Log_2019[[#This Row],[Amount]]-SUM(O324:AA324)</f>
        <v>0</v>
      </c>
      <c r="AC324" s="7">
        <f>MAX(0,Log_2019[[#This Row],[Split_raw]] - (EDATE(AA$1,1)-Log_2019[[#This Row],[Date]]))</f>
        <v>0</v>
      </c>
    </row>
    <row r="325" spans="1:29" x14ac:dyDescent="0.25">
      <c r="A325" s="42"/>
      <c r="B325" s="34" t="s">
        <v>6</v>
      </c>
      <c r="C325" s="34"/>
      <c r="D325" s="35">
        <v>43671</v>
      </c>
      <c r="E325" s="34"/>
      <c r="F325" s="34" t="s">
        <v>59</v>
      </c>
      <c r="G325" s="34" t="s">
        <v>25</v>
      </c>
      <c r="H325">
        <v>-7.94</v>
      </c>
      <c r="I325" s="36">
        <f>IF(Log_2019[[#This Row],[My Category]]="NONTRACKED",0,Log_2019[[#This Row],[Raw Amount]])</f>
        <v>-7.94</v>
      </c>
      <c r="J325" s="37">
        <f>ABS(Log_2019[[#This Row],[Amount]])</f>
        <v>7.94</v>
      </c>
      <c r="K325" s="38">
        <v>1</v>
      </c>
      <c r="L325" s="38">
        <f ca="1">IF(Log_2019[[#This Row],[Date]]&lt;=TODAY(), MIN(Log_2019[[#This Row],[Split_raw]], TODAY()-Log_2019[[#This Row],[Date]]+1), 0)</f>
        <v>1</v>
      </c>
      <c r="M325" s="34" t="s">
        <v>35</v>
      </c>
      <c r="N325" s="34" t="s">
        <v>158</v>
      </c>
      <c r="O325" s="7">
        <v>0</v>
      </c>
      <c r="P325" s="52">
        <f ca="1">Log_2019[[#This Row],[Amount]]/Log_2019[[#This Row],[Split_raw]]*MAX(0,MIN(_xlfn.DAYS(EDATE(P$1,1),Log_2019[[#This Row],[Date]]),Log_2019[[#This Row],[Split_apply]])) - SUM($O325:O325)</f>
        <v>0</v>
      </c>
      <c r="Q325" s="52">
        <f ca="1">Log_2019[[#This Row],[Amount]]/Log_2019[[#This Row],[Split_raw]]*MAX(0,MIN(_xlfn.DAYS(EDATE(Q$1,1),Log_2019[[#This Row],[Date]]),Log_2019[[#This Row],[Split_apply]])) - SUM($O325:P325)</f>
        <v>0</v>
      </c>
      <c r="R325" s="52">
        <f ca="1">Log_2019[[#This Row],[Amount]]/Log_2019[[#This Row],[Split_raw]]*MAX(0,MIN(_xlfn.DAYS(EDATE(R$1,1),Log_2019[[#This Row],[Date]]),Log_2019[[#This Row],[Split_apply]])) - SUM($O325:Q325)</f>
        <v>0</v>
      </c>
      <c r="S325" s="52">
        <f ca="1">Log_2019[[#This Row],[Amount]]/Log_2019[[#This Row],[Split_raw]]*MAX(0,MIN(_xlfn.DAYS(EDATE(S$1,1),Log_2019[[#This Row],[Date]]),Log_2019[[#This Row],[Split_apply]])) - SUM($O325:R325)</f>
        <v>0</v>
      </c>
      <c r="T325" s="52">
        <f ca="1">Log_2019[[#This Row],[Amount]]/Log_2019[[#This Row],[Split_raw]]*MAX(0,MIN(_xlfn.DAYS(EDATE(T$1,1),Log_2019[[#This Row],[Date]]),Log_2019[[#This Row],[Split_apply]])) - SUM($O325:S325)</f>
        <v>0</v>
      </c>
      <c r="U325" s="52">
        <f ca="1">Log_2019[[#This Row],[Amount]]/Log_2019[[#This Row],[Split_raw]]*MAX(0,MIN(_xlfn.DAYS(EDATE(U$1,1),Log_2019[[#This Row],[Date]]),Log_2019[[#This Row],[Split_apply]])) - SUM($O325:T325)</f>
        <v>0</v>
      </c>
      <c r="V325" s="52">
        <f ca="1">Log_2019[[#This Row],[Amount]]/Log_2019[[#This Row],[Split_raw]]*MAX(0,MIN(_xlfn.DAYS(EDATE(V$1,1),Log_2019[[#This Row],[Date]]),Log_2019[[#This Row],[Split_apply]])) - SUM($O325:U325)</f>
        <v>-7.94</v>
      </c>
      <c r="W325" s="52">
        <f ca="1">Log_2019[[#This Row],[Amount]]/Log_2019[[#This Row],[Split_raw]]*MAX(0,MIN(_xlfn.DAYS(EDATE(W$1,1),Log_2019[[#This Row],[Date]]),Log_2019[[#This Row],[Split_apply]])) - SUM($O325:V325)</f>
        <v>0</v>
      </c>
      <c r="X325" s="52">
        <f ca="1">Log_2019[[#This Row],[Amount]]/Log_2019[[#This Row],[Split_raw]]*MAX(0,MIN(_xlfn.DAYS(EDATE(X$1,1),Log_2019[[#This Row],[Date]]),Log_2019[[#This Row],[Split_apply]])) - SUM($O325:W325)</f>
        <v>0</v>
      </c>
      <c r="Y325" s="52">
        <f ca="1">Log_2019[[#This Row],[Amount]]/Log_2019[[#This Row],[Split_raw]]*MAX(0,MIN(_xlfn.DAYS(EDATE(Y$1,1),Log_2019[[#This Row],[Date]]),Log_2019[[#This Row],[Split_apply]])) - SUM($O325:X325)</f>
        <v>0</v>
      </c>
      <c r="Z325" s="52">
        <f ca="1">Log_2019[[#This Row],[Amount]]/Log_2019[[#This Row],[Split_raw]]*MAX(0,MIN(_xlfn.DAYS(EDATE(Z$1,1),Log_2019[[#This Row],[Date]]),Log_2019[[#This Row],[Split_apply]])) - SUM($O325:Y325)</f>
        <v>0</v>
      </c>
      <c r="AA325" s="52">
        <f ca="1">Log_2019[[#This Row],[Amount]]/Log_2019[[#This Row],[Split_raw]]*MAX(0,MIN(_xlfn.DAYS(EDATE(AA$1,1),Log_2019[[#This Row],[Date]]),Log_2019[[#This Row],[Split_apply]])) - SUM($O325:Z325)</f>
        <v>0</v>
      </c>
      <c r="AB325" s="54">
        <f ca="1">Log_2019[[#This Row],[Amount]]-SUM(O325:AA325)</f>
        <v>0</v>
      </c>
      <c r="AC325" s="7">
        <f>MAX(0,Log_2019[[#This Row],[Split_raw]] - (EDATE(AA$1,1)-Log_2019[[#This Row],[Date]]))</f>
        <v>0</v>
      </c>
    </row>
    <row r="326" spans="1:29" x14ac:dyDescent="0.25">
      <c r="A326" s="42"/>
      <c r="B326" s="34" t="s">
        <v>6</v>
      </c>
      <c r="C326" s="34"/>
      <c r="D326" s="35">
        <v>43671</v>
      </c>
      <c r="E326" s="34"/>
      <c r="F326" s="34" t="s">
        <v>255</v>
      </c>
      <c r="G326" s="34" t="s">
        <v>25</v>
      </c>
      <c r="H326">
        <v>-3.28</v>
      </c>
      <c r="I326" s="36">
        <f>IF(Log_2019[[#This Row],[My Category]]="NONTRACKED",0,Log_2019[[#This Row],[Raw Amount]])</f>
        <v>-3.28</v>
      </c>
      <c r="J326" s="37">
        <f>ABS(Log_2019[[#This Row],[Amount]])</f>
        <v>3.28</v>
      </c>
      <c r="K326" s="38">
        <v>1</v>
      </c>
      <c r="L326" s="38">
        <f ca="1">IF(Log_2019[[#This Row],[Date]]&lt;=TODAY(), MIN(Log_2019[[#This Row],[Split_raw]], TODAY()-Log_2019[[#This Row],[Date]]+1), 0)</f>
        <v>1</v>
      </c>
      <c r="M326" s="34" t="s">
        <v>35</v>
      </c>
      <c r="N326" s="34" t="s">
        <v>158</v>
      </c>
      <c r="O326" s="7">
        <v>0</v>
      </c>
      <c r="P326" s="52">
        <f ca="1">Log_2019[[#This Row],[Amount]]/Log_2019[[#This Row],[Split_raw]]*MAX(0,MIN(_xlfn.DAYS(EDATE(P$1,1),Log_2019[[#This Row],[Date]]),Log_2019[[#This Row],[Split_apply]])) - SUM($O326:O326)</f>
        <v>0</v>
      </c>
      <c r="Q326" s="52">
        <f ca="1">Log_2019[[#This Row],[Amount]]/Log_2019[[#This Row],[Split_raw]]*MAX(0,MIN(_xlfn.DAYS(EDATE(Q$1,1),Log_2019[[#This Row],[Date]]),Log_2019[[#This Row],[Split_apply]])) - SUM($O326:P326)</f>
        <v>0</v>
      </c>
      <c r="R326" s="52">
        <f ca="1">Log_2019[[#This Row],[Amount]]/Log_2019[[#This Row],[Split_raw]]*MAX(0,MIN(_xlfn.DAYS(EDATE(R$1,1),Log_2019[[#This Row],[Date]]),Log_2019[[#This Row],[Split_apply]])) - SUM($O326:Q326)</f>
        <v>0</v>
      </c>
      <c r="S326" s="52">
        <f ca="1">Log_2019[[#This Row],[Amount]]/Log_2019[[#This Row],[Split_raw]]*MAX(0,MIN(_xlfn.DAYS(EDATE(S$1,1),Log_2019[[#This Row],[Date]]),Log_2019[[#This Row],[Split_apply]])) - SUM($O326:R326)</f>
        <v>0</v>
      </c>
      <c r="T326" s="52">
        <f ca="1">Log_2019[[#This Row],[Amount]]/Log_2019[[#This Row],[Split_raw]]*MAX(0,MIN(_xlfn.DAYS(EDATE(T$1,1),Log_2019[[#This Row],[Date]]),Log_2019[[#This Row],[Split_apply]])) - SUM($O326:S326)</f>
        <v>0</v>
      </c>
      <c r="U326" s="52">
        <f ca="1">Log_2019[[#This Row],[Amount]]/Log_2019[[#This Row],[Split_raw]]*MAX(0,MIN(_xlfn.DAYS(EDATE(U$1,1),Log_2019[[#This Row],[Date]]),Log_2019[[#This Row],[Split_apply]])) - SUM($O326:T326)</f>
        <v>0</v>
      </c>
      <c r="V326" s="52">
        <f ca="1">Log_2019[[#This Row],[Amount]]/Log_2019[[#This Row],[Split_raw]]*MAX(0,MIN(_xlfn.DAYS(EDATE(V$1,1),Log_2019[[#This Row],[Date]]),Log_2019[[#This Row],[Split_apply]])) - SUM($O326:U326)</f>
        <v>-3.28</v>
      </c>
      <c r="W326" s="52">
        <f ca="1">Log_2019[[#This Row],[Amount]]/Log_2019[[#This Row],[Split_raw]]*MAX(0,MIN(_xlfn.DAYS(EDATE(W$1,1),Log_2019[[#This Row],[Date]]),Log_2019[[#This Row],[Split_apply]])) - SUM($O326:V326)</f>
        <v>0</v>
      </c>
      <c r="X326" s="52">
        <f ca="1">Log_2019[[#This Row],[Amount]]/Log_2019[[#This Row],[Split_raw]]*MAX(0,MIN(_xlfn.DAYS(EDATE(X$1,1),Log_2019[[#This Row],[Date]]),Log_2019[[#This Row],[Split_apply]])) - SUM($O326:W326)</f>
        <v>0</v>
      </c>
      <c r="Y326" s="52">
        <f ca="1">Log_2019[[#This Row],[Amount]]/Log_2019[[#This Row],[Split_raw]]*MAX(0,MIN(_xlfn.DAYS(EDATE(Y$1,1),Log_2019[[#This Row],[Date]]),Log_2019[[#This Row],[Split_apply]])) - SUM($O326:X326)</f>
        <v>0</v>
      </c>
      <c r="Z326" s="52">
        <f ca="1">Log_2019[[#This Row],[Amount]]/Log_2019[[#This Row],[Split_raw]]*MAX(0,MIN(_xlfn.DAYS(EDATE(Z$1,1),Log_2019[[#This Row],[Date]]),Log_2019[[#This Row],[Split_apply]])) - SUM($O326:Y326)</f>
        <v>0</v>
      </c>
      <c r="AA326" s="52">
        <f ca="1">Log_2019[[#This Row],[Amount]]/Log_2019[[#This Row],[Split_raw]]*MAX(0,MIN(_xlfn.DAYS(EDATE(AA$1,1),Log_2019[[#This Row],[Date]]),Log_2019[[#This Row],[Split_apply]])) - SUM($O326:Z326)</f>
        <v>0</v>
      </c>
      <c r="AB326" s="54">
        <f ca="1">Log_2019[[#This Row],[Amount]]-SUM(O326:AA326)</f>
        <v>0</v>
      </c>
      <c r="AC326" s="7">
        <f>MAX(0,Log_2019[[#This Row],[Split_raw]] - (EDATE(AA$1,1)-Log_2019[[#This Row],[Date]]))</f>
        <v>0</v>
      </c>
    </row>
    <row r="327" spans="1:29" x14ac:dyDescent="0.25">
      <c r="A327" s="42"/>
      <c r="B327" s="34" t="s">
        <v>6</v>
      </c>
      <c r="C327" s="34"/>
      <c r="D327" s="35">
        <v>43670</v>
      </c>
      <c r="E327" s="34"/>
      <c r="F327" s="34" t="s">
        <v>59</v>
      </c>
      <c r="G327" s="34" t="s">
        <v>25</v>
      </c>
      <c r="H327">
        <v>-7.94</v>
      </c>
      <c r="I327" s="36">
        <f>IF(Log_2019[[#This Row],[My Category]]="NONTRACKED",0,Log_2019[[#This Row],[Raw Amount]])</f>
        <v>-7.94</v>
      </c>
      <c r="J327" s="37">
        <f>ABS(Log_2019[[#This Row],[Amount]])</f>
        <v>7.94</v>
      </c>
      <c r="K327" s="38">
        <v>1</v>
      </c>
      <c r="L327" s="38">
        <f ca="1">IF(Log_2019[[#This Row],[Date]]&lt;=TODAY(), MIN(Log_2019[[#This Row],[Split_raw]], TODAY()-Log_2019[[#This Row],[Date]]+1), 0)</f>
        <v>1</v>
      </c>
      <c r="M327" s="34" t="s">
        <v>35</v>
      </c>
      <c r="N327" s="34" t="s">
        <v>158</v>
      </c>
      <c r="O327" s="7">
        <v>0</v>
      </c>
      <c r="P327" s="52">
        <f ca="1">Log_2019[[#This Row],[Amount]]/Log_2019[[#This Row],[Split_raw]]*MAX(0,MIN(_xlfn.DAYS(EDATE(P$1,1),Log_2019[[#This Row],[Date]]),Log_2019[[#This Row],[Split_apply]])) - SUM($O327:O327)</f>
        <v>0</v>
      </c>
      <c r="Q327" s="52">
        <f ca="1">Log_2019[[#This Row],[Amount]]/Log_2019[[#This Row],[Split_raw]]*MAX(0,MIN(_xlfn.DAYS(EDATE(Q$1,1),Log_2019[[#This Row],[Date]]),Log_2019[[#This Row],[Split_apply]])) - SUM($O327:P327)</f>
        <v>0</v>
      </c>
      <c r="R327" s="52">
        <f ca="1">Log_2019[[#This Row],[Amount]]/Log_2019[[#This Row],[Split_raw]]*MAX(0,MIN(_xlfn.DAYS(EDATE(R$1,1),Log_2019[[#This Row],[Date]]),Log_2019[[#This Row],[Split_apply]])) - SUM($O327:Q327)</f>
        <v>0</v>
      </c>
      <c r="S327" s="52">
        <f ca="1">Log_2019[[#This Row],[Amount]]/Log_2019[[#This Row],[Split_raw]]*MAX(0,MIN(_xlfn.DAYS(EDATE(S$1,1),Log_2019[[#This Row],[Date]]),Log_2019[[#This Row],[Split_apply]])) - SUM($O327:R327)</f>
        <v>0</v>
      </c>
      <c r="T327" s="52">
        <f ca="1">Log_2019[[#This Row],[Amount]]/Log_2019[[#This Row],[Split_raw]]*MAX(0,MIN(_xlfn.DAYS(EDATE(T$1,1),Log_2019[[#This Row],[Date]]),Log_2019[[#This Row],[Split_apply]])) - SUM($O327:S327)</f>
        <v>0</v>
      </c>
      <c r="U327" s="52">
        <f ca="1">Log_2019[[#This Row],[Amount]]/Log_2019[[#This Row],[Split_raw]]*MAX(0,MIN(_xlfn.DAYS(EDATE(U$1,1),Log_2019[[#This Row],[Date]]),Log_2019[[#This Row],[Split_apply]])) - SUM($O327:T327)</f>
        <v>0</v>
      </c>
      <c r="V327" s="52">
        <f ca="1">Log_2019[[#This Row],[Amount]]/Log_2019[[#This Row],[Split_raw]]*MAX(0,MIN(_xlfn.DAYS(EDATE(V$1,1),Log_2019[[#This Row],[Date]]),Log_2019[[#This Row],[Split_apply]])) - SUM($O327:U327)</f>
        <v>-7.94</v>
      </c>
      <c r="W327" s="52">
        <f ca="1">Log_2019[[#This Row],[Amount]]/Log_2019[[#This Row],[Split_raw]]*MAX(0,MIN(_xlfn.DAYS(EDATE(W$1,1),Log_2019[[#This Row],[Date]]),Log_2019[[#This Row],[Split_apply]])) - SUM($O327:V327)</f>
        <v>0</v>
      </c>
      <c r="X327" s="52">
        <f ca="1">Log_2019[[#This Row],[Amount]]/Log_2019[[#This Row],[Split_raw]]*MAX(0,MIN(_xlfn.DAYS(EDATE(X$1,1),Log_2019[[#This Row],[Date]]),Log_2019[[#This Row],[Split_apply]])) - SUM($O327:W327)</f>
        <v>0</v>
      </c>
      <c r="Y327" s="52">
        <f ca="1">Log_2019[[#This Row],[Amount]]/Log_2019[[#This Row],[Split_raw]]*MAX(0,MIN(_xlfn.DAYS(EDATE(Y$1,1),Log_2019[[#This Row],[Date]]),Log_2019[[#This Row],[Split_apply]])) - SUM($O327:X327)</f>
        <v>0</v>
      </c>
      <c r="Z327" s="52">
        <f ca="1">Log_2019[[#This Row],[Amount]]/Log_2019[[#This Row],[Split_raw]]*MAX(0,MIN(_xlfn.DAYS(EDATE(Z$1,1),Log_2019[[#This Row],[Date]]),Log_2019[[#This Row],[Split_apply]])) - SUM($O327:Y327)</f>
        <v>0</v>
      </c>
      <c r="AA327" s="52">
        <f ca="1">Log_2019[[#This Row],[Amount]]/Log_2019[[#This Row],[Split_raw]]*MAX(0,MIN(_xlfn.DAYS(EDATE(AA$1,1),Log_2019[[#This Row],[Date]]),Log_2019[[#This Row],[Split_apply]])) - SUM($O327:Z327)</f>
        <v>0</v>
      </c>
      <c r="AB327" s="54">
        <f ca="1">Log_2019[[#This Row],[Amount]]-SUM(O327:AA327)</f>
        <v>0</v>
      </c>
      <c r="AC327" s="7">
        <f>MAX(0,Log_2019[[#This Row],[Split_raw]] - (EDATE(AA$1,1)-Log_2019[[#This Row],[Date]]))</f>
        <v>0</v>
      </c>
    </row>
    <row r="328" spans="1:29" x14ac:dyDescent="0.25">
      <c r="A328" s="42"/>
      <c r="B328" s="34" t="s">
        <v>6</v>
      </c>
      <c r="C328" s="34"/>
      <c r="D328" s="35">
        <v>43669</v>
      </c>
      <c r="E328" s="34"/>
      <c r="F328" s="34" t="s">
        <v>255</v>
      </c>
      <c r="G328" s="34" t="s">
        <v>25</v>
      </c>
      <c r="H328">
        <v>-5.4</v>
      </c>
      <c r="I328" s="36">
        <f>IF(Log_2019[[#This Row],[My Category]]="NONTRACKED",0,Log_2019[[#This Row],[Raw Amount]])</f>
        <v>-5.4</v>
      </c>
      <c r="J328" s="37">
        <f>ABS(Log_2019[[#This Row],[Amount]])</f>
        <v>5.4</v>
      </c>
      <c r="K328" s="38">
        <v>1</v>
      </c>
      <c r="L328" s="38">
        <f ca="1">IF(Log_2019[[#This Row],[Date]]&lt;=TODAY(), MIN(Log_2019[[#This Row],[Split_raw]], TODAY()-Log_2019[[#This Row],[Date]]+1), 0)</f>
        <v>1</v>
      </c>
      <c r="M328" s="34" t="s">
        <v>35</v>
      </c>
      <c r="N328" s="34" t="s">
        <v>158</v>
      </c>
      <c r="O328" s="7">
        <v>0</v>
      </c>
      <c r="P328" s="52">
        <f ca="1">Log_2019[[#This Row],[Amount]]/Log_2019[[#This Row],[Split_raw]]*MAX(0,MIN(_xlfn.DAYS(EDATE(P$1,1),Log_2019[[#This Row],[Date]]),Log_2019[[#This Row],[Split_apply]])) - SUM($O328:O328)</f>
        <v>0</v>
      </c>
      <c r="Q328" s="52">
        <f ca="1">Log_2019[[#This Row],[Amount]]/Log_2019[[#This Row],[Split_raw]]*MAX(0,MIN(_xlfn.DAYS(EDATE(Q$1,1),Log_2019[[#This Row],[Date]]),Log_2019[[#This Row],[Split_apply]])) - SUM($O328:P328)</f>
        <v>0</v>
      </c>
      <c r="R328" s="52">
        <f ca="1">Log_2019[[#This Row],[Amount]]/Log_2019[[#This Row],[Split_raw]]*MAX(0,MIN(_xlfn.DAYS(EDATE(R$1,1),Log_2019[[#This Row],[Date]]),Log_2019[[#This Row],[Split_apply]])) - SUM($O328:Q328)</f>
        <v>0</v>
      </c>
      <c r="S328" s="52">
        <f ca="1">Log_2019[[#This Row],[Amount]]/Log_2019[[#This Row],[Split_raw]]*MAX(0,MIN(_xlfn.DAYS(EDATE(S$1,1),Log_2019[[#This Row],[Date]]),Log_2019[[#This Row],[Split_apply]])) - SUM($O328:R328)</f>
        <v>0</v>
      </c>
      <c r="T328" s="52">
        <f ca="1">Log_2019[[#This Row],[Amount]]/Log_2019[[#This Row],[Split_raw]]*MAX(0,MIN(_xlfn.DAYS(EDATE(T$1,1),Log_2019[[#This Row],[Date]]),Log_2019[[#This Row],[Split_apply]])) - SUM($O328:S328)</f>
        <v>0</v>
      </c>
      <c r="U328" s="52">
        <f ca="1">Log_2019[[#This Row],[Amount]]/Log_2019[[#This Row],[Split_raw]]*MAX(0,MIN(_xlfn.DAYS(EDATE(U$1,1),Log_2019[[#This Row],[Date]]),Log_2019[[#This Row],[Split_apply]])) - SUM($O328:T328)</f>
        <v>0</v>
      </c>
      <c r="V328" s="52">
        <f ca="1">Log_2019[[#This Row],[Amount]]/Log_2019[[#This Row],[Split_raw]]*MAX(0,MIN(_xlfn.DAYS(EDATE(V$1,1),Log_2019[[#This Row],[Date]]),Log_2019[[#This Row],[Split_apply]])) - SUM($O328:U328)</f>
        <v>-5.4</v>
      </c>
      <c r="W328" s="52">
        <f ca="1">Log_2019[[#This Row],[Amount]]/Log_2019[[#This Row],[Split_raw]]*MAX(0,MIN(_xlfn.DAYS(EDATE(W$1,1),Log_2019[[#This Row],[Date]]),Log_2019[[#This Row],[Split_apply]])) - SUM($O328:V328)</f>
        <v>0</v>
      </c>
      <c r="X328" s="52">
        <f ca="1">Log_2019[[#This Row],[Amount]]/Log_2019[[#This Row],[Split_raw]]*MAX(0,MIN(_xlfn.DAYS(EDATE(X$1,1),Log_2019[[#This Row],[Date]]),Log_2019[[#This Row],[Split_apply]])) - SUM($O328:W328)</f>
        <v>0</v>
      </c>
      <c r="Y328" s="52">
        <f ca="1">Log_2019[[#This Row],[Amount]]/Log_2019[[#This Row],[Split_raw]]*MAX(0,MIN(_xlfn.DAYS(EDATE(Y$1,1),Log_2019[[#This Row],[Date]]),Log_2019[[#This Row],[Split_apply]])) - SUM($O328:X328)</f>
        <v>0</v>
      </c>
      <c r="Z328" s="52">
        <f ca="1">Log_2019[[#This Row],[Amount]]/Log_2019[[#This Row],[Split_raw]]*MAX(0,MIN(_xlfn.DAYS(EDATE(Z$1,1),Log_2019[[#This Row],[Date]]),Log_2019[[#This Row],[Split_apply]])) - SUM($O328:Y328)</f>
        <v>0</v>
      </c>
      <c r="AA328" s="52">
        <f ca="1">Log_2019[[#This Row],[Amount]]/Log_2019[[#This Row],[Split_raw]]*MAX(0,MIN(_xlfn.DAYS(EDATE(AA$1,1),Log_2019[[#This Row],[Date]]),Log_2019[[#This Row],[Split_apply]])) - SUM($O328:Z328)</f>
        <v>0</v>
      </c>
      <c r="AB328" s="54">
        <f ca="1">Log_2019[[#This Row],[Amount]]-SUM(O328:AA328)</f>
        <v>0</v>
      </c>
      <c r="AC328" s="7">
        <f>MAX(0,Log_2019[[#This Row],[Split_raw]] - (EDATE(AA$1,1)-Log_2019[[#This Row],[Date]]))</f>
        <v>0</v>
      </c>
    </row>
    <row r="329" spans="1:29" x14ac:dyDescent="0.25">
      <c r="A329" s="42"/>
      <c r="B329" s="34" t="s">
        <v>490</v>
      </c>
      <c r="C329" s="34">
        <v>2.7940157798534298E+18</v>
      </c>
      <c r="D329" s="41">
        <v>43669</v>
      </c>
      <c r="E329" s="34"/>
      <c r="F329" s="34" t="s">
        <v>736</v>
      </c>
      <c r="G329" s="34"/>
      <c r="H329" s="45">
        <v>-7</v>
      </c>
      <c r="I329" s="36">
        <f>IF(Log_2019[[#This Row],[My Category]]="NONTRACKED",0,Log_2019[[#This Row],[Raw Amount]])</f>
        <v>-7</v>
      </c>
      <c r="J329" s="37">
        <f>ABS(Log_2019[[#This Row],[Amount]])</f>
        <v>7</v>
      </c>
      <c r="K329" s="38">
        <v>1</v>
      </c>
      <c r="L329" s="38">
        <f ca="1">IF(Log_2019[[#This Row],[Date]]&lt;=TODAY(), MIN(Log_2019[[#This Row],[Split_raw]], TODAY()-Log_2019[[#This Row],[Date]]+1), 0)</f>
        <v>1</v>
      </c>
      <c r="M329" s="34" t="s">
        <v>53</v>
      </c>
      <c r="N329" s="34" t="s">
        <v>490</v>
      </c>
      <c r="O329" s="7">
        <v>0</v>
      </c>
      <c r="P329" s="52">
        <f ca="1">Log_2019[[#This Row],[Amount]]/Log_2019[[#This Row],[Split_raw]]*MAX(0,MIN(_xlfn.DAYS(EDATE(P$1,1),Log_2019[[#This Row],[Date]]),Log_2019[[#This Row],[Split_apply]])) - SUM($O329:O329)</f>
        <v>0</v>
      </c>
      <c r="Q329" s="52">
        <f ca="1">Log_2019[[#This Row],[Amount]]/Log_2019[[#This Row],[Split_raw]]*MAX(0,MIN(_xlfn.DAYS(EDATE(Q$1,1),Log_2019[[#This Row],[Date]]),Log_2019[[#This Row],[Split_apply]])) - SUM($O329:P329)</f>
        <v>0</v>
      </c>
      <c r="R329" s="52">
        <f ca="1">Log_2019[[#This Row],[Amount]]/Log_2019[[#This Row],[Split_raw]]*MAX(0,MIN(_xlfn.DAYS(EDATE(R$1,1),Log_2019[[#This Row],[Date]]),Log_2019[[#This Row],[Split_apply]])) - SUM($O329:Q329)</f>
        <v>0</v>
      </c>
      <c r="S329" s="52">
        <f ca="1">Log_2019[[#This Row],[Amount]]/Log_2019[[#This Row],[Split_raw]]*MAX(0,MIN(_xlfn.DAYS(EDATE(S$1,1),Log_2019[[#This Row],[Date]]),Log_2019[[#This Row],[Split_apply]])) - SUM($O329:R329)</f>
        <v>0</v>
      </c>
      <c r="T329" s="52">
        <f ca="1">Log_2019[[#This Row],[Amount]]/Log_2019[[#This Row],[Split_raw]]*MAX(0,MIN(_xlfn.DAYS(EDATE(T$1,1),Log_2019[[#This Row],[Date]]),Log_2019[[#This Row],[Split_apply]])) - SUM($O329:S329)</f>
        <v>0</v>
      </c>
      <c r="U329" s="52">
        <f ca="1">Log_2019[[#This Row],[Amount]]/Log_2019[[#This Row],[Split_raw]]*MAX(0,MIN(_xlfn.DAYS(EDATE(U$1,1),Log_2019[[#This Row],[Date]]),Log_2019[[#This Row],[Split_apply]])) - SUM($O329:T329)</f>
        <v>0</v>
      </c>
      <c r="V329" s="52">
        <f ca="1">Log_2019[[#This Row],[Amount]]/Log_2019[[#This Row],[Split_raw]]*MAX(0,MIN(_xlfn.DAYS(EDATE(V$1,1),Log_2019[[#This Row],[Date]]),Log_2019[[#This Row],[Split_apply]])) - SUM($O329:U329)</f>
        <v>-7</v>
      </c>
      <c r="W329" s="52">
        <f ca="1">Log_2019[[#This Row],[Amount]]/Log_2019[[#This Row],[Split_raw]]*MAX(0,MIN(_xlfn.DAYS(EDATE(W$1,1),Log_2019[[#This Row],[Date]]),Log_2019[[#This Row],[Split_apply]])) - SUM($O329:V329)</f>
        <v>0</v>
      </c>
      <c r="X329" s="52">
        <f ca="1">Log_2019[[#This Row],[Amount]]/Log_2019[[#This Row],[Split_raw]]*MAX(0,MIN(_xlfn.DAYS(EDATE(X$1,1),Log_2019[[#This Row],[Date]]),Log_2019[[#This Row],[Split_apply]])) - SUM($O329:W329)</f>
        <v>0</v>
      </c>
      <c r="Y329" s="52">
        <f ca="1">Log_2019[[#This Row],[Amount]]/Log_2019[[#This Row],[Split_raw]]*MAX(0,MIN(_xlfn.DAYS(EDATE(Y$1,1),Log_2019[[#This Row],[Date]]),Log_2019[[#This Row],[Split_apply]])) - SUM($O329:X329)</f>
        <v>0</v>
      </c>
      <c r="Z329" s="52">
        <f ca="1">Log_2019[[#This Row],[Amount]]/Log_2019[[#This Row],[Split_raw]]*MAX(0,MIN(_xlfn.DAYS(EDATE(Z$1,1),Log_2019[[#This Row],[Date]]),Log_2019[[#This Row],[Split_apply]])) - SUM($O329:Y329)</f>
        <v>0</v>
      </c>
      <c r="AA329" s="52">
        <f ca="1">Log_2019[[#This Row],[Amount]]/Log_2019[[#This Row],[Split_raw]]*MAX(0,MIN(_xlfn.DAYS(EDATE(AA$1,1),Log_2019[[#This Row],[Date]]),Log_2019[[#This Row],[Split_apply]])) - SUM($O329:Z329)</f>
        <v>0</v>
      </c>
      <c r="AB329" s="54">
        <f ca="1">Log_2019[[#This Row],[Amount]]-SUM(O329:AA329)</f>
        <v>0</v>
      </c>
      <c r="AC329" s="7">
        <f>MAX(0,Log_2019[[#This Row],[Split_raw]] - (EDATE(AA$1,1)-Log_2019[[#This Row],[Date]]))</f>
        <v>0</v>
      </c>
    </row>
    <row r="330" spans="1:29" x14ac:dyDescent="0.25">
      <c r="A330" s="42"/>
      <c r="B330" s="34" t="s">
        <v>490</v>
      </c>
      <c r="C330" s="34">
        <v>2.7940166194440402E+18</v>
      </c>
      <c r="D330" s="41">
        <v>43669</v>
      </c>
      <c r="E330" s="34"/>
      <c r="F330" s="34" t="s">
        <v>737</v>
      </c>
      <c r="G330" s="34"/>
      <c r="H330" s="45">
        <v>-5</v>
      </c>
      <c r="I330" s="36">
        <f>IF(Log_2019[[#This Row],[My Category]]="NONTRACKED",0,Log_2019[[#This Row],[Raw Amount]])</f>
        <v>-5</v>
      </c>
      <c r="J330" s="37">
        <f>ABS(Log_2019[[#This Row],[Amount]])</f>
        <v>5</v>
      </c>
      <c r="K330" s="38">
        <v>1</v>
      </c>
      <c r="L330" s="38">
        <f ca="1">IF(Log_2019[[#This Row],[Date]]&lt;=TODAY(), MIN(Log_2019[[#This Row],[Split_raw]], TODAY()-Log_2019[[#This Row],[Date]]+1), 0)</f>
        <v>1</v>
      </c>
      <c r="M330" s="34" t="s">
        <v>53</v>
      </c>
      <c r="N330" s="34" t="s">
        <v>490</v>
      </c>
      <c r="O330" s="7">
        <v>0</v>
      </c>
      <c r="P330" s="52">
        <f ca="1">Log_2019[[#This Row],[Amount]]/Log_2019[[#This Row],[Split_raw]]*MAX(0,MIN(_xlfn.DAYS(EDATE(P$1,1),Log_2019[[#This Row],[Date]]),Log_2019[[#This Row],[Split_apply]])) - SUM($O330:O330)</f>
        <v>0</v>
      </c>
      <c r="Q330" s="52">
        <f ca="1">Log_2019[[#This Row],[Amount]]/Log_2019[[#This Row],[Split_raw]]*MAX(0,MIN(_xlfn.DAYS(EDATE(Q$1,1),Log_2019[[#This Row],[Date]]),Log_2019[[#This Row],[Split_apply]])) - SUM($O330:P330)</f>
        <v>0</v>
      </c>
      <c r="R330" s="52">
        <f ca="1">Log_2019[[#This Row],[Amount]]/Log_2019[[#This Row],[Split_raw]]*MAX(0,MIN(_xlfn.DAYS(EDATE(R$1,1),Log_2019[[#This Row],[Date]]),Log_2019[[#This Row],[Split_apply]])) - SUM($O330:Q330)</f>
        <v>0</v>
      </c>
      <c r="S330" s="52">
        <f ca="1">Log_2019[[#This Row],[Amount]]/Log_2019[[#This Row],[Split_raw]]*MAX(0,MIN(_xlfn.DAYS(EDATE(S$1,1),Log_2019[[#This Row],[Date]]),Log_2019[[#This Row],[Split_apply]])) - SUM($O330:R330)</f>
        <v>0</v>
      </c>
      <c r="T330" s="52">
        <f ca="1">Log_2019[[#This Row],[Amount]]/Log_2019[[#This Row],[Split_raw]]*MAX(0,MIN(_xlfn.DAYS(EDATE(T$1,1),Log_2019[[#This Row],[Date]]),Log_2019[[#This Row],[Split_apply]])) - SUM($O330:S330)</f>
        <v>0</v>
      </c>
      <c r="U330" s="52">
        <f ca="1">Log_2019[[#This Row],[Amount]]/Log_2019[[#This Row],[Split_raw]]*MAX(0,MIN(_xlfn.DAYS(EDATE(U$1,1),Log_2019[[#This Row],[Date]]),Log_2019[[#This Row],[Split_apply]])) - SUM($O330:T330)</f>
        <v>0</v>
      </c>
      <c r="V330" s="52">
        <f ca="1">Log_2019[[#This Row],[Amount]]/Log_2019[[#This Row],[Split_raw]]*MAX(0,MIN(_xlfn.DAYS(EDATE(V$1,1),Log_2019[[#This Row],[Date]]),Log_2019[[#This Row],[Split_apply]])) - SUM($O330:U330)</f>
        <v>-5</v>
      </c>
      <c r="W330" s="52">
        <f ca="1">Log_2019[[#This Row],[Amount]]/Log_2019[[#This Row],[Split_raw]]*MAX(0,MIN(_xlfn.DAYS(EDATE(W$1,1),Log_2019[[#This Row],[Date]]),Log_2019[[#This Row],[Split_apply]])) - SUM($O330:V330)</f>
        <v>0</v>
      </c>
      <c r="X330" s="52">
        <f ca="1">Log_2019[[#This Row],[Amount]]/Log_2019[[#This Row],[Split_raw]]*MAX(0,MIN(_xlfn.DAYS(EDATE(X$1,1),Log_2019[[#This Row],[Date]]),Log_2019[[#This Row],[Split_apply]])) - SUM($O330:W330)</f>
        <v>0</v>
      </c>
      <c r="Y330" s="52">
        <f ca="1">Log_2019[[#This Row],[Amount]]/Log_2019[[#This Row],[Split_raw]]*MAX(0,MIN(_xlfn.DAYS(EDATE(Y$1,1),Log_2019[[#This Row],[Date]]),Log_2019[[#This Row],[Split_apply]])) - SUM($O330:X330)</f>
        <v>0</v>
      </c>
      <c r="Z330" s="52">
        <f ca="1">Log_2019[[#This Row],[Amount]]/Log_2019[[#This Row],[Split_raw]]*MAX(0,MIN(_xlfn.DAYS(EDATE(Z$1,1),Log_2019[[#This Row],[Date]]),Log_2019[[#This Row],[Split_apply]])) - SUM($O330:Y330)</f>
        <v>0</v>
      </c>
      <c r="AA330" s="52">
        <f ca="1">Log_2019[[#This Row],[Amount]]/Log_2019[[#This Row],[Split_raw]]*MAX(0,MIN(_xlfn.DAYS(EDATE(AA$1,1),Log_2019[[#This Row],[Date]]),Log_2019[[#This Row],[Split_apply]])) - SUM($O330:Z330)</f>
        <v>0</v>
      </c>
      <c r="AB330" s="54">
        <f ca="1">Log_2019[[#This Row],[Amount]]-SUM(O330:AA330)</f>
        <v>0</v>
      </c>
      <c r="AC330" s="7">
        <f>MAX(0,Log_2019[[#This Row],[Split_raw]] - (EDATE(AA$1,1)-Log_2019[[#This Row],[Date]]))</f>
        <v>0</v>
      </c>
    </row>
    <row r="331" spans="1:29" x14ac:dyDescent="0.25">
      <c r="A331" s="42"/>
      <c r="B331" s="34" t="s">
        <v>490</v>
      </c>
      <c r="C331" s="34">
        <v>2.7940181182030802E+18</v>
      </c>
      <c r="D331" s="41">
        <v>43669</v>
      </c>
      <c r="E331" s="34"/>
      <c r="F331" s="34" t="s">
        <v>738</v>
      </c>
      <c r="G331" s="34"/>
      <c r="H331" s="45">
        <v>-5</v>
      </c>
      <c r="I331" s="36">
        <f>IF(Log_2019[[#This Row],[My Category]]="NONTRACKED",0,Log_2019[[#This Row],[Raw Amount]])</f>
        <v>-5</v>
      </c>
      <c r="J331" s="37">
        <f>ABS(Log_2019[[#This Row],[Amount]])</f>
        <v>5</v>
      </c>
      <c r="K331" s="38">
        <v>1</v>
      </c>
      <c r="L331" s="38">
        <f ca="1">IF(Log_2019[[#This Row],[Date]]&lt;=TODAY(), MIN(Log_2019[[#This Row],[Split_raw]], TODAY()-Log_2019[[#This Row],[Date]]+1), 0)</f>
        <v>1</v>
      </c>
      <c r="M331" s="34" t="s">
        <v>35</v>
      </c>
      <c r="N331" s="34" t="s">
        <v>490</v>
      </c>
      <c r="O331" s="7">
        <v>0</v>
      </c>
      <c r="P331" s="52">
        <f ca="1">Log_2019[[#This Row],[Amount]]/Log_2019[[#This Row],[Split_raw]]*MAX(0,MIN(_xlfn.DAYS(EDATE(P$1,1),Log_2019[[#This Row],[Date]]),Log_2019[[#This Row],[Split_apply]])) - SUM($O331:O331)</f>
        <v>0</v>
      </c>
      <c r="Q331" s="52">
        <f ca="1">Log_2019[[#This Row],[Amount]]/Log_2019[[#This Row],[Split_raw]]*MAX(0,MIN(_xlfn.DAYS(EDATE(Q$1,1),Log_2019[[#This Row],[Date]]),Log_2019[[#This Row],[Split_apply]])) - SUM($O331:P331)</f>
        <v>0</v>
      </c>
      <c r="R331" s="52">
        <f ca="1">Log_2019[[#This Row],[Amount]]/Log_2019[[#This Row],[Split_raw]]*MAX(0,MIN(_xlfn.DAYS(EDATE(R$1,1),Log_2019[[#This Row],[Date]]),Log_2019[[#This Row],[Split_apply]])) - SUM($O331:Q331)</f>
        <v>0</v>
      </c>
      <c r="S331" s="52">
        <f ca="1">Log_2019[[#This Row],[Amount]]/Log_2019[[#This Row],[Split_raw]]*MAX(0,MIN(_xlfn.DAYS(EDATE(S$1,1),Log_2019[[#This Row],[Date]]),Log_2019[[#This Row],[Split_apply]])) - SUM($O331:R331)</f>
        <v>0</v>
      </c>
      <c r="T331" s="52">
        <f ca="1">Log_2019[[#This Row],[Amount]]/Log_2019[[#This Row],[Split_raw]]*MAX(0,MIN(_xlfn.DAYS(EDATE(T$1,1),Log_2019[[#This Row],[Date]]),Log_2019[[#This Row],[Split_apply]])) - SUM($O331:S331)</f>
        <v>0</v>
      </c>
      <c r="U331" s="52">
        <f ca="1">Log_2019[[#This Row],[Amount]]/Log_2019[[#This Row],[Split_raw]]*MAX(0,MIN(_xlfn.DAYS(EDATE(U$1,1),Log_2019[[#This Row],[Date]]),Log_2019[[#This Row],[Split_apply]])) - SUM($O331:T331)</f>
        <v>0</v>
      </c>
      <c r="V331" s="52">
        <f ca="1">Log_2019[[#This Row],[Amount]]/Log_2019[[#This Row],[Split_raw]]*MAX(0,MIN(_xlfn.DAYS(EDATE(V$1,1),Log_2019[[#This Row],[Date]]),Log_2019[[#This Row],[Split_apply]])) - SUM($O331:U331)</f>
        <v>-5</v>
      </c>
      <c r="W331" s="52">
        <f ca="1">Log_2019[[#This Row],[Amount]]/Log_2019[[#This Row],[Split_raw]]*MAX(0,MIN(_xlfn.DAYS(EDATE(W$1,1),Log_2019[[#This Row],[Date]]),Log_2019[[#This Row],[Split_apply]])) - SUM($O331:V331)</f>
        <v>0</v>
      </c>
      <c r="X331" s="52">
        <f ca="1">Log_2019[[#This Row],[Amount]]/Log_2019[[#This Row],[Split_raw]]*MAX(0,MIN(_xlfn.DAYS(EDATE(X$1,1),Log_2019[[#This Row],[Date]]),Log_2019[[#This Row],[Split_apply]])) - SUM($O331:W331)</f>
        <v>0</v>
      </c>
      <c r="Y331" s="52">
        <f ca="1">Log_2019[[#This Row],[Amount]]/Log_2019[[#This Row],[Split_raw]]*MAX(0,MIN(_xlfn.DAYS(EDATE(Y$1,1),Log_2019[[#This Row],[Date]]),Log_2019[[#This Row],[Split_apply]])) - SUM($O331:X331)</f>
        <v>0</v>
      </c>
      <c r="Z331" s="52">
        <f ca="1">Log_2019[[#This Row],[Amount]]/Log_2019[[#This Row],[Split_raw]]*MAX(0,MIN(_xlfn.DAYS(EDATE(Z$1,1),Log_2019[[#This Row],[Date]]),Log_2019[[#This Row],[Split_apply]])) - SUM($O331:Y331)</f>
        <v>0</v>
      </c>
      <c r="AA331" s="52">
        <f ca="1">Log_2019[[#This Row],[Amount]]/Log_2019[[#This Row],[Split_raw]]*MAX(0,MIN(_xlfn.DAYS(EDATE(AA$1,1),Log_2019[[#This Row],[Date]]),Log_2019[[#This Row],[Split_apply]])) - SUM($O331:Z331)</f>
        <v>0</v>
      </c>
      <c r="AB331" s="54">
        <f ca="1">Log_2019[[#This Row],[Amount]]-SUM(O331:AA331)</f>
        <v>0</v>
      </c>
      <c r="AC331" s="7">
        <f>MAX(0,Log_2019[[#This Row],[Split_raw]] - (EDATE(AA$1,1)-Log_2019[[#This Row],[Date]]))</f>
        <v>0</v>
      </c>
    </row>
    <row r="332" spans="1:29" x14ac:dyDescent="0.25">
      <c r="A332" s="42"/>
      <c r="B332" s="34" t="s">
        <v>6</v>
      </c>
      <c r="C332" s="34"/>
      <c r="D332" s="35">
        <v>43668</v>
      </c>
      <c r="E332" s="34"/>
      <c r="F332" s="34" t="s">
        <v>59</v>
      </c>
      <c r="G332" s="34" t="s">
        <v>25</v>
      </c>
      <c r="H332">
        <v>-4.53</v>
      </c>
      <c r="I332" s="36">
        <f>IF(Log_2019[[#This Row],[My Category]]="NONTRACKED",0,Log_2019[[#This Row],[Raw Amount]])</f>
        <v>-4.53</v>
      </c>
      <c r="J332" s="37">
        <f>ABS(Log_2019[[#This Row],[Amount]])</f>
        <v>4.53</v>
      </c>
      <c r="K332" s="38">
        <v>1</v>
      </c>
      <c r="L332" s="38">
        <f ca="1">IF(Log_2019[[#This Row],[Date]]&lt;=TODAY(), MIN(Log_2019[[#This Row],[Split_raw]], TODAY()-Log_2019[[#This Row],[Date]]+1), 0)</f>
        <v>1</v>
      </c>
      <c r="M332" s="34" t="s">
        <v>35</v>
      </c>
      <c r="N332" s="34" t="s">
        <v>158</v>
      </c>
      <c r="O332" s="7">
        <v>0</v>
      </c>
      <c r="P332" s="52">
        <f ca="1">Log_2019[[#This Row],[Amount]]/Log_2019[[#This Row],[Split_raw]]*MAX(0,MIN(_xlfn.DAYS(EDATE(P$1,1),Log_2019[[#This Row],[Date]]),Log_2019[[#This Row],[Split_apply]])) - SUM($O332:O332)</f>
        <v>0</v>
      </c>
      <c r="Q332" s="52">
        <f ca="1">Log_2019[[#This Row],[Amount]]/Log_2019[[#This Row],[Split_raw]]*MAX(0,MIN(_xlfn.DAYS(EDATE(Q$1,1),Log_2019[[#This Row],[Date]]),Log_2019[[#This Row],[Split_apply]])) - SUM($O332:P332)</f>
        <v>0</v>
      </c>
      <c r="R332" s="52">
        <f ca="1">Log_2019[[#This Row],[Amount]]/Log_2019[[#This Row],[Split_raw]]*MAX(0,MIN(_xlfn.DAYS(EDATE(R$1,1),Log_2019[[#This Row],[Date]]),Log_2019[[#This Row],[Split_apply]])) - SUM($O332:Q332)</f>
        <v>0</v>
      </c>
      <c r="S332" s="52">
        <f ca="1">Log_2019[[#This Row],[Amount]]/Log_2019[[#This Row],[Split_raw]]*MAX(0,MIN(_xlfn.DAYS(EDATE(S$1,1),Log_2019[[#This Row],[Date]]),Log_2019[[#This Row],[Split_apply]])) - SUM($O332:R332)</f>
        <v>0</v>
      </c>
      <c r="T332" s="52">
        <f ca="1">Log_2019[[#This Row],[Amount]]/Log_2019[[#This Row],[Split_raw]]*MAX(0,MIN(_xlfn.DAYS(EDATE(T$1,1),Log_2019[[#This Row],[Date]]),Log_2019[[#This Row],[Split_apply]])) - SUM($O332:S332)</f>
        <v>0</v>
      </c>
      <c r="U332" s="52">
        <f ca="1">Log_2019[[#This Row],[Amount]]/Log_2019[[#This Row],[Split_raw]]*MAX(0,MIN(_xlfn.DAYS(EDATE(U$1,1),Log_2019[[#This Row],[Date]]),Log_2019[[#This Row],[Split_apply]])) - SUM($O332:T332)</f>
        <v>0</v>
      </c>
      <c r="V332" s="52">
        <f ca="1">Log_2019[[#This Row],[Amount]]/Log_2019[[#This Row],[Split_raw]]*MAX(0,MIN(_xlfn.DAYS(EDATE(V$1,1),Log_2019[[#This Row],[Date]]),Log_2019[[#This Row],[Split_apply]])) - SUM($O332:U332)</f>
        <v>-4.53</v>
      </c>
      <c r="W332" s="52">
        <f ca="1">Log_2019[[#This Row],[Amount]]/Log_2019[[#This Row],[Split_raw]]*MAX(0,MIN(_xlfn.DAYS(EDATE(W$1,1),Log_2019[[#This Row],[Date]]),Log_2019[[#This Row],[Split_apply]])) - SUM($O332:V332)</f>
        <v>0</v>
      </c>
      <c r="X332" s="52">
        <f ca="1">Log_2019[[#This Row],[Amount]]/Log_2019[[#This Row],[Split_raw]]*MAX(0,MIN(_xlfn.DAYS(EDATE(X$1,1),Log_2019[[#This Row],[Date]]),Log_2019[[#This Row],[Split_apply]])) - SUM($O332:W332)</f>
        <v>0</v>
      </c>
      <c r="Y332" s="52">
        <f ca="1">Log_2019[[#This Row],[Amount]]/Log_2019[[#This Row],[Split_raw]]*MAX(0,MIN(_xlfn.DAYS(EDATE(Y$1,1),Log_2019[[#This Row],[Date]]),Log_2019[[#This Row],[Split_apply]])) - SUM($O332:X332)</f>
        <v>0</v>
      </c>
      <c r="Z332" s="52">
        <f ca="1">Log_2019[[#This Row],[Amount]]/Log_2019[[#This Row],[Split_raw]]*MAX(0,MIN(_xlfn.DAYS(EDATE(Z$1,1),Log_2019[[#This Row],[Date]]),Log_2019[[#This Row],[Split_apply]])) - SUM($O332:Y332)</f>
        <v>0</v>
      </c>
      <c r="AA332" s="52">
        <f ca="1">Log_2019[[#This Row],[Amount]]/Log_2019[[#This Row],[Split_raw]]*MAX(0,MIN(_xlfn.DAYS(EDATE(AA$1,1),Log_2019[[#This Row],[Date]]),Log_2019[[#This Row],[Split_apply]])) - SUM($O332:Z332)</f>
        <v>0</v>
      </c>
      <c r="AB332" s="54">
        <f ca="1">Log_2019[[#This Row],[Amount]]-SUM(O332:AA332)</f>
        <v>0</v>
      </c>
      <c r="AC332" s="7">
        <f>MAX(0,Log_2019[[#This Row],[Split_raw]] - (EDATE(AA$1,1)-Log_2019[[#This Row],[Date]]))</f>
        <v>0</v>
      </c>
    </row>
    <row r="333" spans="1:29" x14ac:dyDescent="0.25">
      <c r="A333" s="42"/>
      <c r="B333" s="34" t="s">
        <v>6</v>
      </c>
      <c r="C333" s="34"/>
      <c r="D333" s="35">
        <v>43668</v>
      </c>
      <c r="E333" s="34"/>
      <c r="F333" s="34" t="s">
        <v>309</v>
      </c>
      <c r="G333" s="34" t="s">
        <v>13</v>
      </c>
      <c r="H333">
        <v>-17.27</v>
      </c>
      <c r="I333" s="36">
        <f>IF(Log_2019[[#This Row],[My Category]]="NONTRACKED",0,Log_2019[[#This Row],[Raw Amount]])</f>
        <v>-17.27</v>
      </c>
      <c r="J333" s="37">
        <f>ABS(Log_2019[[#This Row],[Amount]])</f>
        <v>17.27</v>
      </c>
      <c r="K333" s="38">
        <v>1</v>
      </c>
      <c r="L333" s="38">
        <f ca="1">IF(Log_2019[[#This Row],[Date]]&lt;=TODAY(), MIN(Log_2019[[#This Row],[Split_raw]], TODAY()-Log_2019[[#This Row],[Date]]+1), 0)</f>
        <v>1</v>
      </c>
      <c r="M333" s="34" t="s">
        <v>146</v>
      </c>
      <c r="N333" s="34" t="s">
        <v>158</v>
      </c>
      <c r="O333" s="7">
        <v>0</v>
      </c>
      <c r="P333" s="52">
        <f ca="1">Log_2019[[#This Row],[Amount]]/Log_2019[[#This Row],[Split_raw]]*MAX(0,MIN(_xlfn.DAYS(EDATE(P$1,1),Log_2019[[#This Row],[Date]]),Log_2019[[#This Row],[Split_apply]])) - SUM($O333:O333)</f>
        <v>0</v>
      </c>
      <c r="Q333" s="52">
        <f ca="1">Log_2019[[#This Row],[Amount]]/Log_2019[[#This Row],[Split_raw]]*MAX(0,MIN(_xlfn.DAYS(EDATE(Q$1,1),Log_2019[[#This Row],[Date]]),Log_2019[[#This Row],[Split_apply]])) - SUM($O333:P333)</f>
        <v>0</v>
      </c>
      <c r="R333" s="52">
        <f ca="1">Log_2019[[#This Row],[Amount]]/Log_2019[[#This Row],[Split_raw]]*MAX(0,MIN(_xlfn.DAYS(EDATE(R$1,1),Log_2019[[#This Row],[Date]]),Log_2019[[#This Row],[Split_apply]])) - SUM($O333:Q333)</f>
        <v>0</v>
      </c>
      <c r="S333" s="52">
        <f ca="1">Log_2019[[#This Row],[Amount]]/Log_2019[[#This Row],[Split_raw]]*MAX(0,MIN(_xlfn.DAYS(EDATE(S$1,1),Log_2019[[#This Row],[Date]]),Log_2019[[#This Row],[Split_apply]])) - SUM($O333:R333)</f>
        <v>0</v>
      </c>
      <c r="T333" s="52">
        <f ca="1">Log_2019[[#This Row],[Amount]]/Log_2019[[#This Row],[Split_raw]]*MAX(0,MIN(_xlfn.DAYS(EDATE(T$1,1),Log_2019[[#This Row],[Date]]),Log_2019[[#This Row],[Split_apply]])) - SUM($O333:S333)</f>
        <v>0</v>
      </c>
      <c r="U333" s="52">
        <f ca="1">Log_2019[[#This Row],[Amount]]/Log_2019[[#This Row],[Split_raw]]*MAX(0,MIN(_xlfn.DAYS(EDATE(U$1,1),Log_2019[[#This Row],[Date]]),Log_2019[[#This Row],[Split_apply]])) - SUM($O333:T333)</f>
        <v>0</v>
      </c>
      <c r="V333" s="52">
        <f ca="1">Log_2019[[#This Row],[Amount]]/Log_2019[[#This Row],[Split_raw]]*MAX(0,MIN(_xlfn.DAYS(EDATE(V$1,1),Log_2019[[#This Row],[Date]]),Log_2019[[#This Row],[Split_apply]])) - SUM($O333:U333)</f>
        <v>-17.27</v>
      </c>
      <c r="W333" s="52">
        <f ca="1">Log_2019[[#This Row],[Amount]]/Log_2019[[#This Row],[Split_raw]]*MAX(0,MIN(_xlfn.DAYS(EDATE(W$1,1),Log_2019[[#This Row],[Date]]),Log_2019[[#This Row],[Split_apply]])) - SUM($O333:V333)</f>
        <v>0</v>
      </c>
      <c r="X333" s="52">
        <f ca="1">Log_2019[[#This Row],[Amount]]/Log_2019[[#This Row],[Split_raw]]*MAX(0,MIN(_xlfn.DAYS(EDATE(X$1,1),Log_2019[[#This Row],[Date]]),Log_2019[[#This Row],[Split_apply]])) - SUM($O333:W333)</f>
        <v>0</v>
      </c>
      <c r="Y333" s="52">
        <f ca="1">Log_2019[[#This Row],[Amount]]/Log_2019[[#This Row],[Split_raw]]*MAX(0,MIN(_xlfn.DAYS(EDATE(Y$1,1),Log_2019[[#This Row],[Date]]),Log_2019[[#This Row],[Split_apply]])) - SUM($O333:X333)</f>
        <v>0</v>
      </c>
      <c r="Z333" s="52">
        <f ca="1">Log_2019[[#This Row],[Amount]]/Log_2019[[#This Row],[Split_raw]]*MAX(0,MIN(_xlfn.DAYS(EDATE(Z$1,1),Log_2019[[#This Row],[Date]]),Log_2019[[#This Row],[Split_apply]])) - SUM($O333:Y333)</f>
        <v>0</v>
      </c>
      <c r="AA333" s="52">
        <f ca="1">Log_2019[[#This Row],[Amount]]/Log_2019[[#This Row],[Split_raw]]*MAX(0,MIN(_xlfn.DAYS(EDATE(AA$1,1),Log_2019[[#This Row],[Date]]),Log_2019[[#This Row],[Split_apply]])) - SUM($O333:Z333)</f>
        <v>0</v>
      </c>
      <c r="AB333" s="54">
        <f ca="1">Log_2019[[#This Row],[Amount]]-SUM(O333:AA333)</f>
        <v>0</v>
      </c>
      <c r="AC333" s="7">
        <f>MAX(0,Log_2019[[#This Row],[Split_raw]] - (EDATE(AA$1,1)-Log_2019[[#This Row],[Date]]))</f>
        <v>0</v>
      </c>
    </row>
    <row r="334" spans="1:29" x14ac:dyDescent="0.25">
      <c r="A334" s="42"/>
      <c r="B334" s="34" t="s">
        <v>6</v>
      </c>
      <c r="C334" s="34"/>
      <c r="D334" s="35">
        <v>43668</v>
      </c>
      <c r="E334" s="34"/>
      <c r="F334" s="34" t="s">
        <v>581</v>
      </c>
      <c r="G334" s="34" t="s">
        <v>582</v>
      </c>
      <c r="H334">
        <v>-52.95</v>
      </c>
      <c r="I334" s="36">
        <f>IF(Log_2019[[#This Row],[My Category]]="NONTRACKED",0,Log_2019[[#This Row],[Raw Amount]])</f>
        <v>-52.95</v>
      </c>
      <c r="J334" s="37">
        <f>ABS(Log_2019[[#This Row],[Amount]])</f>
        <v>52.95</v>
      </c>
      <c r="K334" s="38">
        <v>30</v>
      </c>
      <c r="L334" s="38">
        <f ca="1">IF(Log_2019[[#This Row],[Date]]&lt;=TODAY(), MIN(Log_2019[[#This Row],[Split_raw]], TODAY()-Log_2019[[#This Row],[Date]]+1), 0)</f>
        <v>30</v>
      </c>
      <c r="M334" s="34" t="s">
        <v>30</v>
      </c>
      <c r="N334" s="34" t="s">
        <v>160</v>
      </c>
      <c r="O334" s="7">
        <v>0</v>
      </c>
      <c r="P334" s="52">
        <f ca="1">Log_2019[[#This Row],[Amount]]/Log_2019[[#This Row],[Split_raw]]*MAX(0,MIN(_xlfn.DAYS(EDATE(P$1,1),Log_2019[[#This Row],[Date]]),Log_2019[[#This Row],[Split_apply]])) - SUM($O334:O334)</f>
        <v>0</v>
      </c>
      <c r="Q334" s="52">
        <f ca="1">Log_2019[[#This Row],[Amount]]/Log_2019[[#This Row],[Split_raw]]*MAX(0,MIN(_xlfn.DAYS(EDATE(Q$1,1),Log_2019[[#This Row],[Date]]),Log_2019[[#This Row],[Split_apply]])) - SUM($O334:P334)</f>
        <v>0</v>
      </c>
      <c r="R334" s="52">
        <f ca="1">Log_2019[[#This Row],[Amount]]/Log_2019[[#This Row],[Split_raw]]*MAX(0,MIN(_xlfn.DAYS(EDATE(R$1,1),Log_2019[[#This Row],[Date]]),Log_2019[[#This Row],[Split_apply]])) - SUM($O334:Q334)</f>
        <v>0</v>
      </c>
      <c r="S334" s="52">
        <f ca="1">Log_2019[[#This Row],[Amount]]/Log_2019[[#This Row],[Split_raw]]*MAX(0,MIN(_xlfn.DAYS(EDATE(S$1,1),Log_2019[[#This Row],[Date]]),Log_2019[[#This Row],[Split_apply]])) - SUM($O334:R334)</f>
        <v>0</v>
      </c>
      <c r="T334" s="52">
        <f ca="1">Log_2019[[#This Row],[Amount]]/Log_2019[[#This Row],[Split_raw]]*MAX(0,MIN(_xlfn.DAYS(EDATE(T$1,1),Log_2019[[#This Row],[Date]]),Log_2019[[#This Row],[Split_apply]])) - SUM($O334:S334)</f>
        <v>0</v>
      </c>
      <c r="U334" s="52">
        <f ca="1">Log_2019[[#This Row],[Amount]]/Log_2019[[#This Row],[Split_raw]]*MAX(0,MIN(_xlfn.DAYS(EDATE(U$1,1),Log_2019[[#This Row],[Date]]),Log_2019[[#This Row],[Split_apply]])) - SUM($O334:T334)</f>
        <v>0</v>
      </c>
      <c r="V334" s="52">
        <f ca="1">Log_2019[[#This Row],[Amount]]/Log_2019[[#This Row],[Split_raw]]*MAX(0,MIN(_xlfn.DAYS(EDATE(V$1,1),Log_2019[[#This Row],[Date]]),Log_2019[[#This Row],[Split_apply]])) - SUM($O334:U334)</f>
        <v>-17.650000000000002</v>
      </c>
      <c r="W334" s="52">
        <f ca="1">Log_2019[[#This Row],[Amount]]/Log_2019[[#This Row],[Split_raw]]*MAX(0,MIN(_xlfn.DAYS(EDATE(W$1,1),Log_2019[[#This Row],[Date]]),Log_2019[[#This Row],[Split_apply]])) - SUM($O334:V334)</f>
        <v>-35.299999999999997</v>
      </c>
      <c r="X334" s="52">
        <f ca="1">Log_2019[[#This Row],[Amount]]/Log_2019[[#This Row],[Split_raw]]*MAX(0,MIN(_xlfn.DAYS(EDATE(X$1,1),Log_2019[[#This Row],[Date]]),Log_2019[[#This Row],[Split_apply]])) - SUM($O334:W334)</f>
        <v>0</v>
      </c>
      <c r="Y334" s="52">
        <f ca="1">Log_2019[[#This Row],[Amount]]/Log_2019[[#This Row],[Split_raw]]*MAX(0,MIN(_xlfn.DAYS(EDATE(Y$1,1),Log_2019[[#This Row],[Date]]),Log_2019[[#This Row],[Split_apply]])) - SUM($O334:X334)</f>
        <v>0</v>
      </c>
      <c r="Z334" s="52">
        <f ca="1">Log_2019[[#This Row],[Amount]]/Log_2019[[#This Row],[Split_raw]]*MAX(0,MIN(_xlfn.DAYS(EDATE(Z$1,1),Log_2019[[#This Row],[Date]]),Log_2019[[#This Row],[Split_apply]])) - SUM($O334:Y334)</f>
        <v>0</v>
      </c>
      <c r="AA334" s="52">
        <f ca="1">Log_2019[[#This Row],[Amount]]/Log_2019[[#This Row],[Split_raw]]*MAX(0,MIN(_xlfn.DAYS(EDATE(AA$1,1),Log_2019[[#This Row],[Date]]),Log_2019[[#This Row],[Split_apply]])) - SUM($O334:Z334)</f>
        <v>0</v>
      </c>
      <c r="AB334" s="54">
        <f ca="1">Log_2019[[#This Row],[Amount]]-SUM(O334:AA334)</f>
        <v>0</v>
      </c>
      <c r="AC334" s="7">
        <f>MAX(0,Log_2019[[#This Row],[Split_raw]] - (EDATE(AA$1,1)-Log_2019[[#This Row],[Date]]))</f>
        <v>0</v>
      </c>
    </row>
    <row r="335" spans="1:29" x14ac:dyDescent="0.25">
      <c r="A335" s="42"/>
      <c r="B335" s="34" t="s">
        <v>6</v>
      </c>
      <c r="C335" s="34"/>
      <c r="D335" s="35">
        <v>43668</v>
      </c>
      <c r="E335" s="34"/>
      <c r="F335" s="34" t="s">
        <v>660</v>
      </c>
      <c r="G335" s="34" t="s">
        <v>20</v>
      </c>
      <c r="H335">
        <v>-60</v>
      </c>
      <c r="I335" s="36">
        <f>IF(Log_2019[[#This Row],[My Category]]="NONTRACKED",0,Log_2019[[#This Row],[Raw Amount]])</f>
        <v>-60</v>
      </c>
      <c r="J335" s="37">
        <f>ABS(Log_2019[[#This Row],[Amount]])</f>
        <v>60</v>
      </c>
      <c r="K335" s="38">
        <v>1</v>
      </c>
      <c r="L335" s="38">
        <f ca="1">IF(Log_2019[[#This Row],[Date]]&lt;=TODAY(), MIN(Log_2019[[#This Row],[Split_raw]], TODAY()-Log_2019[[#This Row],[Date]]+1), 0)</f>
        <v>1</v>
      </c>
      <c r="M335" s="34" t="s">
        <v>196</v>
      </c>
      <c r="N335" s="34" t="s">
        <v>160</v>
      </c>
      <c r="O335" s="7">
        <v>0</v>
      </c>
      <c r="P335" s="52">
        <f ca="1">Log_2019[[#This Row],[Amount]]/Log_2019[[#This Row],[Split_raw]]*MAX(0,MIN(_xlfn.DAYS(EDATE(P$1,1),Log_2019[[#This Row],[Date]]),Log_2019[[#This Row],[Split_apply]])) - SUM($O335:O335)</f>
        <v>0</v>
      </c>
      <c r="Q335" s="52">
        <f ca="1">Log_2019[[#This Row],[Amount]]/Log_2019[[#This Row],[Split_raw]]*MAX(0,MIN(_xlfn.DAYS(EDATE(Q$1,1),Log_2019[[#This Row],[Date]]),Log_2019[[#This Row],[Split_apply]])) - SUM($O335:P335)</f>
        <v>0</v>
      </c>
      <c r="R335" s="52">
        <f ca="1">Log_2019[[#This Row],[Amount]]/Log_2019[[#This Row],[Split_raw]]*MAX(0,MIN(_xlfn.DAYS(EDATE(R$1,1),Log_2019[[#This Row],[Date]]),Log_2019[[#This Row],[Split_apply]])) - SUM($O335:Q335)</f>
        <v>0</v>
      </c>
      <c r="S335" s="52">
        <f ca="1">Log_2019[[#This Row],[Amount]]/Log_2019[[#This Row],[Split_raw]]*MAX(0,MIN(_xlfn.DAYS(EDATE(S$1,1),Log_2019[[#This Row],[Date]]),Log_2019[[#This Row],[Split_apply]])) - SUM($O335:R335)</f>
        <v>0</v>
      </c>
      <c r="T335" s="52">
        <f ca="1">Log_2019[[#This Row],[Amount]]/Log_2019[[#This Row],[Split_raw]]*MAX(0,MIN(_xlfn.DAYS(EDATE(T$1,1),Log_2019[[#This Row],[Date]]),Log_2019[[#This Row],[Split_apply]])) - SUM($O335:S335)</f>
        <v>0</v>
      </c>
      <c r="U335" s="52">
        <f ca="1">Log_2019[[#This Row],[Amount]]/Log_2019[[#This Row],[Split_raw]]*MAX(0,MIN(_xlfn.DAYS(EDATE(U$1,1),Log_2019[[#This Row],[Date]]),Log_2019[[#This Row],[Split_apply]])) - SUM($O335:T335)</f>
        <v>0</v>
      </c>
      <c r="V335" s="52">
        <f ca="1">Log_2019[[#This Row],[Amount]]/Log_2019[[#This Row],[Split_raw]]*MAX(0,MIN(_xlfn.DAYS(EDATE(V$1,1),Log_2019[[#This Row],[Date]]),Log_2019[[#This Row],[Split_apply]])) - SUM($O335:U335)</f>
        <v>-60</v>
      </c>
      <c r="W335" s="52">
        <f ca="1">Log_2019[[#This Row],[Amount]]/Log_2019[[#This Row],[Split_raw]]*MAX(0,MIN(_xlfn.DAYS(EDATE(W$1,1),Log_2019[[#This Row],[Date]]),Log_2019[[#This Row],[Split_apply]])) - SUM($O335:V335)</f>
        <v>0</v>
      </c>
      <c r="X335" s="52">
        <f ca="1">Log_2019[[#This Row],[Amount]]/Log_2019[[#This Row],[Split_raw]]*MAX(0,MIN(_xlfn.DAYS(EDATE(X$1,1),Log_2019[[#This Row],[Date]]),Log_2019[[#This Row],[Split_apply]])) - SUM($O335:W335)</f>
        <v>0</v>
      </c>
      <c r="Y335" s="52">
        <f ca="1">Log_2019[[#This Row],[Amount]]/Log_2019[[#This Row],[Split_raw]]*MAX(0,MIN(_xlfn.DAYS(EDATE(Y$1,1),Log_2019[[#This Row],[Date]]),Log_2019[[#This Row],[Split_apply]])) - SUM($O335:X335)</f>
        <v>0</v>
      </c>
      <c r="Z335" s="52">
        <f ca="1">Log_2019[[#This Row],[Amount]]/Log_2019[[#This Row],[Split_raw]]*MAX(0,MIN(_xlfn.DAYS(EDATE(Z$1,1),Log_2019[[#This Row],[Date]]),Log_2019[[#This Row],[Split_apply]])) - SUM($O335:Y335)</f>
        <v>0</v>
      </c>
      <c r="AA335" s="52">
        <f ca="1">Log_2019[[#This Row],[Amount]]/Log_2019[[#This Row],[Split_raw]]*MAX(0,MIN(_xlfn.DAYS(EDATE(AA$1,1),Log_2019[[#This Row],[Date]]),Log_2019[[#This Row],[Split_apply]])) - SUM($O335:Z335)</f>
        <v>0</v>
      </c>
      <c r="AB335" s="54">
        <f ca="1">Log_2019[[#This Row],[Amount]]-SUM(O335:AA335)</f>
        <v>0</v>
      </c>
      <c r="AC335" s="7">
        <f>MAX(0,Log_2019[[#This Row],[Split_raw]] - (EDATE(AA$1,1)-Log_2019[[#This Row],[Date]]))</f>
        <v>0</v>
      </c>
    </row>
    <row r="336" spans="1:29" x14ac:dyDescent="0.25">
      <c r="A336" s="42"/>
      <c r="B336" s="34" t="s">
        <v>6</v>
      </c>
      <c r="C336" s="34"/>
      <c r="D336" s="35">
        <v>43668</v>
      </c>
      <c r="E336" s="34" t="s">
        <v>890</v>
      </c>
      <c r="F336" s="34" t="s">
        <v>142</v>
      </c>
      <c r="G336" s="34" t="s">
        <v>143</v>
      </c>
      <c r="H336">
        <f>--5000</f>
        <v>5000</v>
      </c>
      <c r="I336" s="36">
        <f>IF(Log_2019[[#This Row],[My Category]]="NONTRACKED",0,Log_2019[[#This Row],[Raw Amount]])</f>
        <v>5000</v>
      </c>
      <c r="J336" s="37">
        <f>ABS(Log_2019[[#This Row],[Amount]])</f>
        <v>5000</v>
      </c>
      <c r="K336" s="38">
        <v>1</v>
      </c>
      <c r="L336" s="38">
        <f ca="1">IF(Log_2019[[#This Row],[Date]]&lt;=TODAY(), MIN(Log_2019[[#This Row],[Split_raw]], TODAY()-Log_2019[[#This Row],[Date]]+1), 0)</f>
        <v>1</v>
      </c>
      <c r="M336" s="34" t="s">
        <v>101</v>
      </c>
      <c r="N336" s="34" t="s">
        <v>160</v>
      </c>
      <c r="O336" s="7">
        <v>0</v>
      </c>
      <c r="P336" s="52">
        <f ca="1">Log_2019[[#This Row],[Amount]]/Log_2019[[#This Row],[Split_raw]]*MAX(0,MIN(_xlfn.DAYS(EDATE(P$1,1),Log_2019[[#This Row],[Date]]),Log_2019[[#This Row],[Split_apply]])) - SUM($O336:O336)</f>
        <v>0</v>
      </c>
      <c r="Q336" s="52">
        <f ca="1">Log_2019[[#This Row],[Amount]]/Log_2019[[#This Row],[Split_raw]]*MAX(0,MIN(_xlfn.DAYS(EDATE(Q$1,1),Log_2019[[#This Row],[Date]]),Log_2019[[#This Row],[Split_apply]])) - SUM($O336:P336)</f>
        <v>0</v>
      </c>
      <c r="R336" s="52">
        <f ca="1">Log_2019[[#This Row],[Amount]]/Log_2019[[#This Row],[Split_raw]]*MAX(0,MIN(_xlfn.DAYS(EDATE(R$1,1),Log_2019[[#This Row],[Date]]),Log_2019[[#This Row],[Split_apply]])) - SUM($O336:Q336)</f>
        <v>0</v>
      </c>
      <c r="S336" s="52">
        <f ca="1">Log_2019[[#This Row],[Amount]]/Log_2019[[#This Row],[Split_raw]]*MAX(0,MIN(_xlfn.DAYS(EDATE(S$1,1),Log_2019[[#This Row],[Date]]),Log_2019[[#This Row],[Split_apply]])) - SUM($O336:R336)</f>
        <v>0</v>
      </c>
      <c r="T336" s="52">
        <f ca="1">Log_2019[[#This Row],[Amount]]/Log_2019[[#This Row],[Split_raw]]*MAX(0,MIN(_xlfn.DAYS(EDATE(T$1,1),Log_2019[[#This Row],[Date]]),Log_2019[[#This Row],[Split_apply]])) - SUM($O336:S336)</f>
        <v>0</v>
      </c>
      <c r="U336" s="52">
        <f ca="1">Log_2019[[#This Row],[Amount]]/Log_2019[[#This Row],[Split_raw]]*MAX(0,MIN(_xlfn.DAYS(EDATE(U$1,1),Log_2019[[#This Row],[Date]]),Log_2019[[#This Row],[Split_apply]])) - SUM($O336:T336)</f>
        <v>0</v>
      </c>
      <c r="V336" s="52">
        <f ca="1">Log_2019[[#This Row],[Amount]]/Log_2019[[#This Row],[Split_raw]]*MAX(0,MIN(_xlfn.DAYS(EDATE(V$1,1),Log_2019[[#This Row],[Date]]),Log_2019[[#This Row],[Split_apply]])) - SUM($O336:U336)</f>
        <v>5000</v>
      </c>
      <c r="W336" s="52">
        <f ca="1">Log_2019[[#This Row],[Amount]]/Log_2019[[#This Row],[Split_raw]]*MAX(0,MIN(_xlfn.DAYS(EDATE(W$1,1),Log_2019[[#This Row],[Date]]),Log_2019[[#This Row],[Split_apply]])) - SUM($O336:V336)</f>
        <v>0</v>
      </c>
      <c r="X336" s="52">
        <f ca="1">Log_2019[[#This Row],[Amount]]/Log_2019[[#This Row],[Split_raw]]*MAX(0,MIN(_xlfn.DAYS(EDATE(X$1,1),Log_2019[[#This Row],[Date]]),Log_2019[[#This Row],[Split_apply]])) - SUM($O336:W336)</f>
        <v>0</v>
      </c>
      <c r="Y336" s="52">
        <f ca="1">Log_2019[[#This Row],[Amount]]/Log_2019[[#This Row],[Split_raw]]*MAX(0,MIN(_xlfn.DAYS(EDATE(Y$1,1),Log_2019[[#This Row],[Date]]),Log_2019[[#This Row],[Split_apply]])) - SUM($O336:X336)</f>
        <v>0</v>
      </c>
      <c r="Z336" s="52">
        <f ca="1">Log_2019[[#This Row],[Amount]]/Log_2019[[#This Row],[Split_raw]]*MAX(0,MIN(_xlfn.DAYS(EDATE(Z$1,1),Log_2019[[#This Row],[Date]]),Log_2019[[#This Row],[Split_apply]])) - SUM($O336:Y336)</f>
        <v>0</v>
      </c>
      <c r="AA336" s="52">
        <f ca="1">Log_2019[[#This Row],[Amount]]/Log_2019[[#This Row],[Split_raw]]*MAX(0,MIN(_xlfn.DAYS(EDATE(AA$1,1),Log_2019[[#This Row],[Date]]),Log_2019[[#This Row],[Split_apply]])) - SUM($O336:Z336)</f>
        <v>0</v>
      </c>
      <c r="AB336" s="54">
        <f ca="1">Log_2019[[#This Row],[Amount]]-SUM(O336:AA336)</f>
        <v>0</v>
      </c>
      <c r="AC336" s="7">
        <f>MAX(0,Log_2019[[#This Row],[Split_raw]] - (EDATE(AA$1,1)-Log_2019[[#This Row],[Date]]))</f>
        <v>0</v>
      </c>
    </row>
    <row r="337" spans="1:29" x14ac:dyDescent="0.25">
      <c r="A337" s="42"/>
      <c r="B337" s="34" t="s">
        <v>6</v>
      </c>
      <c r="C337" s="34"/>
      <c r="D337" s="35">
        <v>43666</v>
      </c>
      <c r="E337" s="34"/>
      <c r="F337" s="34" t="s">
        <v>654</v>
      </c>
      <c r="G337" s="34" t="s">
        <v>25</v>
      </c>
      <c r="H337">
        <v>-8.4</v>
      </c>
      <c r="I337" s="36">
        <f>IF(Log_2019[[#This Row],[My Category]]="NONTRACKED",0,Log_2019[[#This Row],[Raw Amount]])</f>
        <v>-8.4</v>
      </c>
      <c r="J337" s="37">
        <f>ABS(Log_2019[[#This Row],[Amount]])</f>
        <v>8.4</v>
      </c>
      <c r="K337" s="38">
        <v>1</v>
      </c>
      <c r="L337" s="38">
        <f ca="1">IF(Log_2019[[#This Row],[Date]]&lt;=TODAY(), MIN(Log_2019[[#This Row],[Split_raw]], TODAY()-Log_2019[[#This Row],[Date]]+1), 0)</f>
        <v>1</v>
      </c>
      <c r="M337" s="34" t="s">
        <v>35</v>
      </c>
      <c r="N337" s="34" t="s">
        <v>158</v>
      </c>
      <c r="O337" s="7">
        <v>0</v>
      </c>
      <c r="P337" s="52">
        <f ca="1">Log_2019[[#This Row],[Amount]]/Log_2019[[#This Row],[Split_raw]]*MAX(0,MIN(_xlfn.DAYS(EDATE(P$1,1),Log_2019[[#This Row],[Date]]),Log_2019[[#This Row],[Split_apply]])) - SUM($O337:O337)</f>
        <v>0</v>
      </c>
      <c r="Q337" s="52">
        <f ca="1">Log_2019[[#This Row],[Amount]]/Log_2019[[#This Row],[Split_raw]]*MAX(0,MIN(_xlfn.DAYS(EDATE(Q$1,1),Log_2019[[#This Row],[Date]]),Log_2019[[#This Row],[Split_apply]])) - SUM($O337:P337)</f>
        <v>0</v>
      </c>
      <c r="R337" s="52">
        <f ca="1">Log_2019[[#This Row],[Amount]]/Log_2019[[#This Row],[Split_raw]]*MAX(0,MIN(_xlfn.DAYS(EDATE(R$1,1),Log_2019[[#This Row],[Date]]),Log_2019[[#This Row],[Split_apply]])) - SUM($O337:Q337)</f>
        <v>0</v>
      </c>
      <c r="S337" s="52">
        <f ca="1">Log_2019[[#This Row],[Amount]]/Log_2019[[#This Row],[Split_raw]]*MAX(0,MIN(_xlfn.DAYS(EDATE(S$1,1),Log_2019[[#This Row],[Date]]),Log_2019[[#This Row],[Split_apply]])) - SUM($O337:R337)</f>
        <v>0</v>
      </c>
      <c r="T337" s="52">
        <f ca="1">Log_2019[[#This Row],[Amount]]/Log_2019[[#This Row],[Split_raw]]*MAX(0,MIN(_xlfn.DAYS(EDATE(T$1,1),Log_2019[[#This Row],[Date]]),Log_2019[[#This Row],[Split_apply]])) - SUM($O337:S337)</f>
        <v>0</v>
      </c>
      <c r="U337" s="52">
        <f ca="1">Log_2019[[#This Row],[Amount]]/Log_2019[[#This Row],[Split_raw]]*MAX(0,MIN(_xlfn.DAYS(EDATE(U$1,1),Log_2019[[#This Row],[Date]]),Log_2019[[#This Row],[Split_apply]])) - SUM($O337:T337)</f>
        <v>0</v>
      </c>
      <c r="V337" s="52">
        <f ca="1">Log_2019[[#This Row],[Amount]]/Log_2019[[#This Row],[Split_raw]]*MAX(0,MIN(_xlfn.DAYS(EDATE(V$1,1),Log_2019[[#This Row],[Date]]),Log_2019[[#This Row],[Split_apply]])) - SUM($O337:U337)</f>
        <v>-8.4</v>
      </c>
      <c r="W337" s="52">
        <f ca="1">Log_2019[[#This Row],[Amount]]/Log_2019[[#This Row],[Split_raw]]*MAX(0,MIN(_xlfn.DAYS(EDATE(W$1,1),Log_2019[[#This Row],[Date]]),Log_2019[[#This Row],[Split_apply]])) - SUM($O337:V337)</f>
        <v>0</v>
      </c>
      <c r="X337" s="52">
        <f ca="1">Log_2019[[#This Row],[Amount]]/Log_2019[[#This Row],[Split_raw]]*MAX(0,MIN(_xlfn.DAYS(EDATE(X$1,1),Log_2019[[#This Row],[Date]]),Log_2019[[#This Row],[Split_apply]])) - SUM($O337:W337)</f>
        <v>0</v>
      </c>
      <c r="Y337" s="52">
        <f ca="1">Log_2019[[#This Row],[Amount]]/Log_2019[[#This Row],[Split_raw]]*MAX(0,MIN(_xlfn.DAYS(EDATE(Y$1,1),Log_2019[[#This Row],[Date]]),Log_2019[[#This Row],[Split_apply]])) - SUM($O337:X337)</f>
        <v>0</v>
      </c>
      <c r="Z337" s="52">
        <f ca="1">Log_2019[[#This Row],[Amount]]/Log_2019[[#This Row],[Split_raw]]*MAX(0,MIN(_xlfn.DAYS(EDATE(Z$1,1),Log_2019[[#This Row],[Date]]),Log_2019[[#This Row],[Split_apply]])) - SUM($O337:Y337)</f>
        <v>0</v>
      </c>
      <c r="AA337" s="52">
        <f ca="1">Log_2019[[#This Row],[Amount]]/Log_2019[[#This Row],[Split_raw]]*MAX(0,MIN(_xlfn.DAYS(EDATE(AA$1,1),Log_2019[[#This Row],[Date]]),Log_2019[[#This Row],[Split_apply]])) - SUM($O337:Z337)</f>
        <v>0</v>
      </c>
      <c r="AB337" s="54">
        <f ca="1">Log_2019[[#This Row],[Amount]]-SUM(O337:AA337)</f>
        <v>0</v>
      </c>
      <c r="AC337" s="7">
        <f>MAX(0,Log_2019[[#This Row],[Split_raw]] - (EDATE(AA$1,1)-Log_2019[[#This Row],[Date]]))</f>
        <v>0</v>
      </c>
    </row>
    <row r="338" spans="1:29" x14ac:dyDescent="0.25">
      <c r="A338" s="42"/>
      <c r="B338" s="34" t="s">
        <v>6</v>
      </c>
      <c r="C338" s="34"/>
      <c r="D338" s="35">
        <v>43665</v>
      </c>
      <c r="E338" s="34"/>
      <c r="F338" s="34" t="s">
        <v>345</v>
      </c>
      <c r="G338" s="34" t="s">
        <v>12</v>
      </c>
      <c r="H338">
        <v>-41.5</v>
      </c>
      <c r="I338" s="36">
        <f>IF(Log_2019[[#This Row],[My Category]]="NONTRACKED",0,Log_2019[[#This Row],[Raw Amount]])</f>
        <v>-41.5</v>
      </c>
      <c r="J338" s="37">
        <f>ABS(Log_2019[[#This Row],[Amount]])</f>
        <v>41.5</v>
      </c>
      <c r="K338" s="38">
        <v>1</v>
      </c>
      <c r="L338" s="38">
        <f ca="1">IF(Log_2019[[#This Row],[Date]]&lt;=TODAY(), MIN(Log_2019[[#This Row],[Split_raw]], TODAY()-Log_2019[[#This Row],[Date]]+1), 0)</f>
        <v>1</v>
      </c>
      <c r="M338" s="34" t="s">
        <v>12</v>
      </c>
      <c r="N338" s="34" t="s">
        <v>158</v>
      </c>
      <c r="O338" s="7">
        <v>0</v>
      </c>
      <c r="P338" s="52">
        <f ca="1">Log_2019[[#This Row],[Amount]]/Log_2019[[#This Row],[Split_raw]]*MAX(0,MIN(_xlfn.DAYS(EDATE(P$1,1),Log_2019[[#This Row],[Date]]),Log_2019[[#This Row],[Split_apply]])) - SUM($O338:O338)</f>
        <v>0</v>
      </c>
      <c r="Q338" s="52">
        <f ca="1">Log_2019[[#This Row],[Amount]]/Log_2019[[#This Row],[Split_raw]]*MAX(0,MIN(_xlfn.DAYS(EDATE(Q$1,1),Log_2019[[#This Row],[Date]]),Log_2019[[#This Row],[Split_apply]])) - SUM($O338:P338)</f>
        <v>0</v>
      </c>
      <c r="R338" s="52">
        <f ca="1">Log_2019[[#This Row],[Amount]]/Log_2019[[#This Row],[Split_raw]]*MAX(0,MIN(_xlfn.DAYS(EDATE(R$1,1),Log_2019[[#This Row],[Date]]),Log_2019[[#This Row],[Split_apply]])) - SUM($O338:Q338)</f>
        <v>0</v>
      </c>
      <c r="S338" s="52">
        <f ca="1">Log_2019[[#This Row],[Amount]]/Log_2019[[#This Row],[Split_raw]]*MAX(0,MIN(_xlfn.DAYS(EDATE(S$1,1),Log_2019[[#This Row],[Date]]),Log_2019[[#This Row],[Split_apply]])) - SUM($O338:R338)</f>
        <v>0</v>
      </c>
      <c r="T338" s="52">
        <f ca="1">Log_2019[[#This Row],[Amount]]/Log_2019[[#This Row],[Split_raw]]*MAX(0,MIN(_xlfn.DAYS(EDATE(T$1,1),Log_2019[[#This Row],[Date]]),Log_2019[[#This Row],[Split_apply]])) - SUM($O338:S338)</f>
        <v>0</v>
      </c>
      <c r="U338" s="52">
        <f ca="1">Log_2019[[#This Row],[Amount]]/Log_2019[[#This Row],[Split_raw]]*MAX(0,MIN(_xlfn.DAYS(EDATE(U$1,1),Log_2019[[#This Row],[Date]]),Log_2019[[#This Row],[Split_apply]])) - SUM($O338:T338)</f>
        <v>0</v>
      </c>
      <c r="V338" s="52">
        <f ca="1">Log_2019[[#This Row],[Amount]]/Log_2019[[#This Row],[Split_raw]]*MAX(0,MIN(_xlfn.DAYS(EDATE(V$1,1),Log_2019[[#This Row],[Date]]),Log_2019[[#This Row],[Split_apply]])) - SUM($O338:U338)</f>
        <v>-41.5</v>
      </c>
      <c r="W338" s="52">
        <f ca="1">Log_2019[[#This Row],[Amount]]/Log_2019[[#This Row],[Split_raw]]*MAX(0,MIN(_xlfn.DAYS(EDATE(W$1,1),Log_2019[[#This Row],[Date]]),Log_2019[[#This Row],[Split_apply]])) - SUM($O338:V338)</f>
        <v>0</v>
      </c>
      <c r="X338" s="52">
        <f ca="1">Log_2019[[#This Row],[Amount]]/Log_2019[[#This Row],[Split_raw]]*MAX(0,MIN(_xlfn.DAYS(EDATE(X$1,1),Log_2019[[#This Row],[Date]]),Log_2019[[#This Row],[Split_apply]])) - SUM($O338:W338)</f>
        <v>0</v>
      </c>
      <c r="Y338" s="52">
        <f ca="1">Log_2019[[#This Row],[Amount]]/Log_2019[[#This Row],[Split_raw]]*MAX(0,MIN(_xlfn.DAYS(EDATE(Y$1,1),Log_2019[[#This Row],[Date]]),Log_2019[[#This Row],[Split_apply]])) - SUM($O338:X338)</f>
        <v>0</v>
      </c>
      <c r="Z338" s="52">
        <f ca="1">Log_2019[[#This Row],[Amount]]/Log_2019[[#This Row],[Split_raw]]*MAX(0,MIN(_xlfn.DAYS(EDATE(Z$1,1),Log_2019[[#This Row],[Date]]),Log_2019[[#This Row],[Split_apply]])) - SUM($O338:Y338)</f>
        <v>0</v>
      </c>
      <c r="AA338" s="52">
        <f ca="1">Log_2019[[#This Row],[Amount]]/Log_2019[[#This Row],[Split_raw]]*MAX(0,MIN(_xlfn.DAYS(EDATE(AA$1,1),Log_2019[[#This Row],[Date]]),Log_2019[[#This Row],[Split_apply]])) - SUM($O338:Z338)</f>
        <v>0</v>
      </c>
      <c r="AB338" s="54">
        <f ca="1">Log_2019[[#This Row],[Amount]]-SUM(O338:AA338)</f>
        <v>0</v>
      </c>
      <c r="AC338" s="7">
        <f>MAX(0,Log_2019[[#This Row],[Split_raw]] - (EDATE(AA$1,1)-Log_2019[[#This Row],[Date]]))</f>
        <v>0</v>
      </c>
    </row>
    <row r="339" spans="1:29" x14ac:dyDescent="0.25">
      <c r="A339" s="42"/>
      <c r="B339" s="34" t="s">
        <v>6</v>
      </c>
      <c r="C339" s="34"/>
      <c r="D339" s="35">
        <v>43665</v>
      </c>
      <c r="E339" s="34"/>
      <c r="F339" s="34" t="s">
        <v>327</v>
      </c>
      <c r="G339" s="34" t="s">
        <v>25</v>
      </c>
      <c r="H339">
        <v>-12.8</v>
      </c>
      <c r="I339" s="36">
        <f>IF(Log_2019[[#This Row],[My Category]]="NONTRACKED",0,Log_2019[[#This Row],[Raw Amount]])</f>
        <v>-12.8</v>
      </c>
      <c r="J339" s="37">
        <f>ABS(Log_2019[[#This Row],[Amount]])</f>
        <v>12.8</v>
      </c>
      <c r="K339" s="38">
        <v>1</v>
      </c>
      <c r="L339" s="38">
        <f ca="1">IF(Log_2019[[#This Row],[Date]]&lt;=TODAY(), MIN(Log_2019[[#This Row],[Split_raw]], TODAY()-Log_2019[[#This Row],[Date]]+1), 0)</f>
        <v>1</v>
      </c>
      <c r="M339" s="34" t="s">
        <v>35</v>
      </c>
      <c r="N339" s="34" t="s">
        <v>158</v>
      </c>
      <c r="O339" s="7">
        <v>0</v>
      </c>
      <c r="P339" s="52">
        <f ca="1">Log_2019[[#This Row],[Amount]]/Log_2019[[#This Row],[Split_raw]]*MAX(0,MIN(_xlfn.DAYS(EDATE(P$1,1),Log_2019[[#This Row],[Date]]),Log_2019[[#This Row],[Split_apply]])) - SUM($O339:O339)</f>
        <v>0</v>
      </c>
      <c r="Q339" s="52">
        <f ca="1">Log_2019[[#This Row],[Amount]]/Log_2019[[#This Row],[Split_raw]]*MAX(0,MIN(_xlfn.DAYS(EDATE(Q$1,1),Log_2019[[#This Row],[Date]]),Log_2019[[#This Row],[Split_apply]])) - SUM($O339:P339)</f>
        <v>0</v>
      </c>
      <c r="R339" s="52">
        <f ca="1">Log_2019[[#This Row],[Amount]]/Log_2019[[#This Row],[Split_raw]]*MAX(0,MIN(_xlfn.DAYS(EDATE(R$1,1),Log_2019[[#This Row],[Date]]),Log_2019[[#This Row],[Split_apply]])) - SUM($O339:Q339)</f>
        <v>0</v>
      </c>
      <c r="S339" s="52">
        <f ca="1">Log_2019[[#This Row],[Amount]]/Log_2019[[#This Row],[Split_raw]]*MAX(0,MIN(_xlfn.DAYS(EDATE(S$1,1),Log_2019[[#This Row],[Date]]),Log_2019[[#This Row],[Split_apply]])) - SUM($O339:R339)</f>
        <v>0</v>
      </c>
      <c r="T339" s="52">
        <f ca="1">Log_2019[[#This Row],[Amount]]/Log_2019[[#This Row],[Split_raw]]*MAX(0,MIN(_xlfn.DAYS(EDATE(T$1,1),Log_2019[[#This Row],[Date]]),Log_2019[[#This Row],[Split_apply]])) - SUM($O339:S339)</f>
        <v>0</v>
      </c>
      <c r="U339" s="52">
        <f ca="1">Log_2019[[#This Row],[Amount]]/Log_2019[[#This Row],[Split_raw]]*MAX(0,MIN(_xlfn.DAYS(EDATE(U$1,1),Log_2019[[#This Row],[Date]]),Log_2019[[#This Row],[Split_apply]])) - SUM($O339:T339)</f>
        <v>0</v>
      </c>
      <c r="V339" s="52">
        <f ca="1">Log_2019[[#This Row],[Amount]]/Log_2019[[#This Row],[Split_raw]]*MAX(0,MIN(_xlfn.DAYS(EDATE(V$1,1),Log_2019[[#This Row],[Date]]),Log_2019[[#This Row],[Split_apply]])) - SUM($O339:U339)</f>
        <v>-12.8</v>
      </c>
      <c r="W339" s="52">
        <f ca="1">Log_2019[[#This Row],[Amount]]/Log_2019[[#This Row],[Split_raw]]*MAX(0,MIN(_xlfn.DAYS(EDATE(W$1,1),Log_2019[[#This Row],[Date]]),Log_2019[[#This Row],[Split_apply]])) - SUM($O339:V339)</f>
        <v>0</v>
      </c>
      <c r="X339" s="52">
        <f ca="1">Log_2019[[#This Row],[Amount]]/Log_2019[[#This Row],[Split_raw]]*MAX(0,MIN(_xlfn.DAYS(EDATE(X$1,1),Log_2019[[#This Row],[Date]]),Log_2019[[#This Row],[Split_apply]])) - SUM($O339:W339)</f>
        <v>0</v>
      </c>
      <c r="Y339" s="52">
        <f ca="1">Log_2019[[#This Row],[Amount]]/Log_2019[[#This Row],[Split_raw]]*MAX(0,MIN(_xlfn.DAYS(EDATE(Y$1,1),Log_2019[[#This Row],[Date]]),Log_2019[[#This Row],[Split_apply]])) - SUM($O339:X339)</f>
        <v>0</v>
      </c>
      <c r="Z339" s="52">
        <f ca="1">Log_2019[[#This Row],[Amount]]/Log_2019[[#This Row],[Split_raw]]*MAX(0,MIN(_xlfn.DAYS(EDATE(Z$1,1),Log_2019[[#This Row],[Date]]),Log_2019[[#This Row],[Split_apply]])) - SUM($O339:Y339)</f>
        <v>0</v>
      </c>
      <c r="AA339" s="52">
        <f ca="1">Log_2019[[#This Row],[Amount]]/Log_2019[[#This Row],[Split_raw]]*MAX(0,MIN(_xlfn.DAYS(EDATE(AA$1,1),Log_2019[[#This Row],[Date]]),Log_2019[[#This Row],[Split_apply]])) - SUM($O339:Z339)</f>
        <v>0</v>
      </c>
      <c r="AB339" s="54">
        <f ca="1">Log_2019[[#This Row],[Amount]]-SUM(O339:AA339)</f>
        <v>0</v>
      </c>
      <c r="AC339" s="7">
        <f>MAX(0,Log_2019[[#This Row],[Split_raw]] - (EDATE(AA$1,1)-Log_2019[[#This Row],[Date]]))</f>
        <v>0</v>
      </c>
    </row>
    <row r="340" spans="1:29" x14ac:dyDescent="0.25">
      <c r="A340" s="42"/>
      <c r="B340" s="34" t="s">
        <v>6</v>
      </c>
      <c r="C340" s="34"/>
      <c r="D340" s="35">
        <v>43664</v>
      </c>
      <c r="E340" s="34" t="s">
        <v>669</v>
      </c>
      <c r="F340" s="34" t="s">
        <v>344</v>
      </c>
      <c r="G340" s="34" t="s">
        <v>51</v>
      </c>
      <c r="H340">
        <f>--31.36</f>
        <v>31.36</v>
      </c>
      <c r="I340" s="36">
        <f>IF(Log_2019[[#This Row],[My Category]]="NONTRACKED",0,Log_2019[[#This Row],[Raw Amount]])</f>
        <v>31.36</v>
      </c>
      <c r="J340" s="37">
        <f>ABS(Log_2019[[#This Row],[Amount]])</f>
        <v>31.36</v>
      </c>
      <c r="K340" s="38">
        <v>1</v>
      </c>
      <c r="L340" s="38">
        <f ca="1">IF(Log_2019[[#This Row],[Date]]&lt;=TODAY(), MIN(Log_2019[[#This Row],[Split_raw]], TODAY()-Log_2019[[#This Row],[Date]]+1), 0)</f>
        <v>1</v>
      </c>
      <c r="M340" s="34" t="s">
        <v>145</v>
      </c>
      <c r="N340" s="34" t="s">
        <v>158</v>
      </c>
      <c r="O340" s="7">
        <v>0</v>
      </c>
      <c r="P340" s="52">
        <f ca="1">Log_2019[[#This Row],[Amount]]/Log_2019[[#This Row],[Split_raw]]*MAX(0,MIN(_xlfn.DAYS(EDATE(P$1,1),Log_2019[[#This Row],[Date]]),Log_2019[[#This Row],[Split_apply]])) - SUM($O340:O340)</f>
        <v>0</v>
      </c>
      <c r="Q340" s="52">
        <f ca="1">Log_2019[[#This Row],[Amount]]/Log_2019[[#This Row],[Split_raw]]*MAX(0,MIN(_xlfn.DAYS(EDATE(Q$1,1),Log_2019[[#This Row],[Date]]),Log_2019[[#This Row],[Split_apply]])) - SUM($O340:P340)</f>
        <v>0</v>
      </c>
      <c r="R340" s="52">
        <f ca="1">Log_2019[[#This Row],[Amount]]/Log_2019[[#This Row],[Split_raw]]*MAX(0,MIN(_xlfn.DAYS(EDATE(R$1,1),Log_2019[[#This Row],[Date]]),Log_2019[[#This Row],[Split_apply]])) - SUM($O340:Q340)</f>
        <v>0</v>
      </c>
      <c r="S340" s="52">
        <f ca="1">Log_2019[[#This Row],[Amount]]/Log_2019[[#This Row],[Split_raw]]*MAX(0,MIN(_xlfn.DAYS(EDATE(S$1,1),Log_2019[[#This Row],[Date]]),Log_2019[[#This Row],[Split_apply]])) - SUM($O340:R340)</f>
        <v>0</v>
      </c>
      <c r="T340" s="52">
        <f ca="1">Log_2019[[#This Row],[Amount]]/Log_2019[[#This Row],[Split_raw]]*MAX(0,MIN(_xlfn.DAYS(EDATE(T$1,1),Log_2019[[#This Row],[Date]]),Log_2019[[#This Row],[Split_apply]])) - SUM($O340:S340)</f>
        <v>0</v>
      </c>
      <c r="U340" s="52">
        <f ca="1">Log_2019[[#This Row],[Amount]]/Log_2019[[#This Row],[Split_raw]]*MAX(0,MIN(_xlfn.DAYS(EDATE(U$1,1),Log_2019[[#This Row],[Date]]),Log_2019[[#This Row],[Split_apply]])) - SUM($O340:T340)</f>
        <v>0</v>
      </c>
      <c r="V340" s="52">
        <f ca="1">Log_2019[[#This Row],[Amount]]/Log_2019[[#This Row],[Split_raw]]*MAX(0,MIN(_xlfn.DAYS(EDATE(V$1,1),Log_2019[[#This Row],[Date]]),Log_2019[[#This Row],[Split_apply]])) - SUM($O340:U340)</f>
        <v>31.36</v>
      </c>
      <c r="W340" s="52">
        <f ca="1">Log_2019[[#This Row],[Amount]]/Log_2019[[#This Row],[Split_raw]]*MAX(0,MIN(_xlfn.DAYS(EDATE(W$1,1),Log_2019[[#This Row],[Date]]),Log_2019[[#This Row],[Split_apply]])) - SUM($O340:V340)</f>
        <v>0</v>
      </c>
      <c r="X340" s="52">
        <f ca="1">Log_2019[[#This Row],[Amount]]/Log_2019[[#This Row],[Split_raw]]*MAX(0,MIN(_xlfn.DAYS(EDATE(X$1,1),Log_2019[[#This Row],[Date]]),Log_2019[[#This Row],[Split_apply]])) - SUM($O340:W340)</f>
        <v>0</v>
      </c>
      <c r="Y340" s="52">
        <f ca="1">Log_2019[[#This Row],[Amount]]/Log_2019[[#This Row],[Split_raw]]*MAX(0,MIN(_xlfn.DAYS(EDATE(Y$1,1),Log_2019[[#This Row],[Date]]),Log_2019[[#This Row],[Split_apply]])) - SUM($O340:X340)</f>
        <v>0</v>
      </c>
      <c r="Z340" s="52">
        <f ca="1">Log_2019[[#This Row],[Amount]]/Log_2019[[#This Row],[Split_raw]]*MAX(0,MIN(_xlfn.DAYS(EDATE(Z$1,1),Log_2019[[#This Row],[Date]]),Log_2019[[#This Row],[Split_apply]])) - SUM($O340:Y340)</f>
        <v>0</v>
      </c>
      <c r="AA340" s="52">
        <f ca="1">Log_2019[[#This Row],[Amount]]/Log_2019[[#This Row],[Split_raw]]*MAX(0,MIN(_xlfn.DAYS(EDATE(AA$1,1),Log_2019[[#This Row],[Date]]),Log_2019[[#This Row],[Split_apply]])) - SUM($O340:Z340)</f>
        <v>0</v>
      </c>
      <c r="AB340" s="54">
        <f ca="1">Log_2019[[#This Row],[Amount]]-SUM(O340:AA340)</f>
        <v>0</v>
      </c>
      <c r="AC340" s="7">
        <f>MAX(0,Log_2019[[#This Row],[Split_raw]] - (EDATE(AA$1,1)-Log_2019[[#This Row],[Date]]))</f>
        <v>0</v>
      </c>
    </row>
    <row r="341" spans="1:29" x14ac:dyDescent="0.25">
      <c r="A341" s="42"/>
      <c r="B341" s="34" t="s">
        <v>6</v>
      </c>
      <c r="C341" s="34"/>
      <c r="D341" s="35">
        <v>43664</v>
      </c>
      <c r="E341" s="34"/>
      <c r="F341" s="34" t="s">
        <v>661</v>
      </c>
      <c r="G341" s="34" t="s">
        <v>80</v>
      </c>
      <c r="H341">
        <f>--1898.48</f>
        <v>1898.48</v>
      </c>
      <c r="I341" s="36">
        <f>IF(Log_2019[[#This Row],[My Category]]="NONTRACKED",0,Log_2019[[#This Row],[Raw Amount]])</f>
        <v>1898.48</v>
      </c>
      <c r="J341" s="37">
        <f>ABS(Log_2019[[#This Row],[Amount]])</f>
        <v>1898.48</v>
      </c>
      <c r="K341" s="38">
        <v>14</v>
      </c>
      <c r="L341" s="38">
        <f ca="1">IF(Log_2019[[#This Row],[Date]]&lt;=TODAY(), MIN(Log_2019[[#This Row],[Split_raw]], TODAY()-Log_2019[[#This Row],[Date]]+1), 0)</f>
        <v>14</v>
      </c>
      <c r="M341" s="34" t="s">
        <v>91</v>
      </c>
      <c r="N341" s="34" t="s">
        <v>160</v>
      </c>
      <c r="O341" s="7">
        <v>0</v>
      </c>
      <c r="P341" s="52">
        <f ca="1">Log_2019[[#This Row],[Amount]]/Log_2019[[#This Row],[Split_raw]]*MAX(0,MIN(_xlfn.DAYS(EDATE(P$1,1),Log_2019[[#This Row],[Date]]),Log_2019[[#This Row],[Split_apply]])) - SUM($O341:O341)</f>
        <v>0</v>
      </c>
      <c r="Q341" s="52">
        <f ca="1">Log_2019[[#This Row],[Amount]]/Log_2019[[#This Row],[Split_raw]]*MAX(0,MIN(_xlfn.DAYS(EDATE(Q$1,1),Log_2019[[#This Row],[Date]]),Log_2019[[#This Row],[Split_apply]])) - SUM($O341:P341)</f>
        <v>0</v>
      </c>
      <c r="R341" s="52">
        <f ca="1">Log_2019[[#This Row],[Amount]]/Log_2019[[#This Row],[Split_raw]]*MAX(0,MIN(_xlfn.DAYS(EDATE(R$1,1),Log_2019[[#This Row],[Date]]),Log_2019[[#This Row],[Split_apply]])) - SUM($O341:Q341)</f>
        <v>0</v>
      </c>
      <c r="S341" s="52">
        <f ca="1">Log_2019[[#This Row],[Amount]]/Log_2019[[#This Row],[Split_raw]]*MAX(0,MIN(_xlfn.DAYS(EDATE(S$1,1),Log_2019[[#This Row],[Date]]),Log_2019[[#This Row],[Split_apply]])) - SUM($O341:R341)</f>
        <v>0</v>
      </c>
      <c r="T341" s="52">
        <f ca="1">Log_2019[[#This Row],[Amount]]/Log_2019[[#This Row],[Split_raw]]*MAX(0,MIN(_xlfn.DAYS(EDATE(T$1,1),Log_2019[[#This Row],[Date]]),Log_2019[[#This Row],[Split_apply]])) - SUM($O341:S341)</f>
        <v>0</v>
      </c>
      <c r="U341" s="52">
        <f ca="1">Log_2019[[#This Row],[Amount]]/Log_2019[[#This Row],[Split_raw]]*MAX(0,MIN(_xlfn.DAYS(EDATE(U$1,1),Log_2019[[#This Row],[Date]]),Log_2019[[#This Row],[Split_apply]])) - SUM($O341:T341)</f>
        <v>0</v>
      </c>
      <c r="V341" s="52">
        <f ca="1">Log_2019[[#This Row],[Amount]]/Log_2019[[#This Row],[Split_raw]]*MAX(0,MIN(_xlfn.DAYS(EDATE(V$1,1),Log_2019[[#This Row],[Date]]),Log_2019[[#This Row],[Split_apply]])) - SUM($O341:U341)</f>
        <v>1898.4800000000002</v>
      </c>
      <c r="W341" s="52">
        <f ca="1">Log_2019[[#This Row],[Amount]]/Log_2019[[#This Row],[Split_raw]]*MAX(0,MIN(_xlfn.DAYS(EDATE(W$1,1),Log_2019[[#This Row],[Date]]),Log_2019[[#This Row],[Split_apply]])) - SUM($O341:V341)</f>
        <v>0</v>
      </c>
      <c r="X341" s="52">
        <f ca="1">Log_2019[[#This Row],[Amount]]/Log_2019[[#This Row],[Split_raw]]*MAX(0,MIN(_xlfn.DAYS(EDATE(X$1,1),Log_2019[[#This Row],[Date]]),Log_2019[[#This Row],[Split_apply]])) - SUM($O341:W341)</f>
        <v>0</v>
      </c>
      <c r="Y341" s="52">
        <f ca="1">Log_2019[[#This Row],[Amount]]/Log_2019[[#This Row],[Split_raw]]*MAX(0,MIN(_xlfn.DAYS(EDATE(Y$1,1),Log_2019[[#This Row],[Date]]),Log_2019[[#This Row],[Split_apply]])) - SUM($O341:X341)</f>
        <v>0</v>
      </c>
      <c r="Z341" s="52">
        <f ca="1">Log_2019[[#This Row],[Amount]]/Log_2019[[#This Row],[Split_raw]]*MAX(0,MIN(_xlfn.DAYS(EDATE(Z$1,1),Log_2019[[#This Row],[Date]]),Log_2019[[#This Row],[Split_apply]])) - SUM($O341:Y341)</f>
        <v>0</v>
      </c>
      <c r="AA341" s="52">
        <f ca="1">Log_2019[[#This Row],[Amount]]/Log_2019[[#This Row],[Split_raw]]*MAX(0,MIN(_xlfn.DAYS(EDATE(AA$1,1),Log_2019[[#This Row],[Date]]),Log_2019[[#This Row],[Split_apply]])) - SUM($O341:Z341)</f>
        <v>0</v>
      </c>
      <c r="AB341" s="54">
        <f ca="1">Log_2019[[#This Row],[Amount]]-SUM(O341:AA341)</f>
        <v>0</v>
      </c>
      <c r="AC341" s="7">
        <f>MAX(0,Log_2019[[#This Row],[Split_raw]] - (EDATE(AA$1,1)-Log_2019[[#This Row],[Date]]))</f>
        <v>0</v>
      </c>
    </row>
    <row r="342" spans="1:29" x14ac:dyDescent="0.25">
      <c r="A342" s="42"/>
      <c r="B342" s="34" t="s">
        <v>6</v>
      </c>
      <c r="C342" s="34"/>
      <c r="D342" s="35">
        <v>43663</v>
      </c>
      <c r="E342" s="34"/>
      <c r="F342" s="34" t="s">
        <v>255</v>
      </c>
      <c r="G342" s="34" t="s">
        <v>25</v>
      </c>
      <c r="H342">
        <v>-7.01</v>
      </c>
      <c r="I342" s="36">
        <f>IF(Log_2019[[#This Row],[My Category]]="NONTRACKED",0,Log_2019[[#This Row],[Raw Amount]])</f>
        <v>-7.01</v>
      </c>
      <c r="J342" s="37">
        <f>ABS(Log_2019[[#This Row],[Amount]])</f>
        <v>7.01</v>
      </c>
      <c r="K342" s="38">
        <v>1</v>
      </c>
      <c r="L342" s="38">
        <f ca="1">IF(Log_2019[[#This Row],[Date]]&lt;=TODAY(), MIN(Log_2019[[#This Row],[Split_raw]], TODAY()-Log_2019[[#This Row],[Date]]+1), 0)</f>
        <v>1</v>
      </c>
      <c r="M342" s="34" t="s">
        <v>35</v>
      </c>
      <c r="N342" s="34" t="s">
        <v>158</v>
      </c>
      <c r="O342" s="7">
        <v>0</v>
      </c>
      <c r="P342" s="52">
        <f ca="1">Log_2019[[#This Row],[Amount]]/Log_2019[[#This Row],[Split_raw]]*MAX(0,MIN(_xlfn.DAYS(EDATE(P$1,1),Log_2019[[#This Row],[Date]]),Log_2019[[#This Row],[Split_apply]])) - SUM($O342:O342)</f>
        <v>0</v>
      </c>
      <c r="Q342" s="52">
        <f ca="1">Log_2019[[#This Row],[Amount]]/Log_2019[[#This Row],[Split_raw]]*MAX(0,MIN(_xlfn.DAYS(EDATE(Q$1,1),Log_2019[[#This Row],[Date]]),Log_2019[[#This Row],[Split_apply]])) - SUM($O342:P342)</f>
        <v>0</v>
      </c>
      <c r="R342" s="52">
        <f ca="1">Log_2019[[#This Row],[Amount]]/Log_2019[[#This Row],[Split_raw]]*MAX(0,MIN(_xlfn.DAYS(EDATE(R$1,1),Log_2019[[#This Row],[Date]]),Log_2019[[#This Row],[Split_apply]])) - SUM($O342:Q342)</f>
        <v>0</v>
      </c>
      <c r="S342" s="52">
        <f ca="1">Log_2019[[#This Row],[Amount]]/Log_2019[[#This Row],[Split_raw]]*MAX(0,MIN(_xlfn.DAYS(EDATE(S$1,1),Log_2019[[#This Row],[Date]]),Log_2019[[#This Row],[Split_apply]])) - SUM($O342:R342)</f>
        <v>0</v>
      </c>
      <c r="T342" s="52">
        <f ca="1">Log_2019[[#This Row],[Amount]]/Log_2019[[#This Row],[Split_raw]]*MAX(0,MIN(_xlfn.DAYS(EDATE(T$1,1),Log_2019[[#This Row],[Date]]),Log_2019[[#This Row],[Split_apply]])) - SUM($O342:S342)</f>
        <v>0</v>
      </c>
      <c r="U342" s="52">
        <f ca="1">Log_2019[[#This Row],[Amount]]/Log_2019[[#This Row],[Split_raw]]*MAX(0,MIN(_xlfn.DAYS(EDATE(U$1,1),Log_2019[[#This Row],[Date]]),Log_2019[[#This Row],[Split_apply]])) - SUM($O342:T342)</f>
        <v>0</v>
      </c>
      <c r="V342" s="52">
        <f ca="1">Log_2019[[#This Row],[Amount]]/Log_2019[[#This Row],[Split_raw]]*MAX(0,MIN(_xlfn.DAYS(EDATE(V$1,1),Log_2019[[#This Row],[Date]]),Log_2019[[#This Row],[Split_apply]])) - SUM($O342:U342)</f>
        <v>-7.01</v>
      </c>
      <c r="W342" s="52">
        <f ca="1">Log_2019[[#This Row],[Amount]]/Log_2019[[#This Row],[Split_raw]]*MAX(0,MIN(_xlfn.DAYS(EDATE(W$1,1),Log_2019[[#This Row],[Date]]),Log_2019[[#This Row],[Split_apply]])) - SUM($O342:V342)</f>
        <v>0</v>
      </c>
      <c r="X342" s="52">
        <f ca="1">Log_2019[[#This Row],[Amount]]/Log_2019[[#This Row],[Split_raw]]*MAX(0,MIN(_xlfn.DAYS(EDATE(X$1,1),Log_2019[[#This Row],[Date]]),Log_2019[[#This Row],[Split_apply]])) - SUM($O342:W342)</f>
        <v>0</v>
      </c>
      <c r="Y342" s="52">
        <f ca="1">Log_2019[[#This Row],[Amount]]/Log_2019[[#This Row],[Split_raw]]*MAX(0,MIN(_xlfn.DAYS(EDATE(Y$1,1),Log_2019[[#This Row],[Date]]),Log_2019[[#This Row],[Split_apply]])) - SUM($O342:X342)</f>
        <v>0</v>
      </c>
      <c r="Z342" s="52">
        <f ca="1">Log_2019[[#This Row],[Amount]]/Log_2019[[#This Row],[Split_raw]]*MAX(0,MIN(_xlfn.DAYS(EDATE(Z$1,1),Log_2019[[#This Row],[Date]]),Log_2019[[#This Row],[Split_apply]])) - SUM($O342:Y342)</f>
        <v>0</v>
      </c>
      <c r="AA342" s="52">
        <f ca="1">Log_2019[[#This Row],[Amount]]/Log_2019[[#This Row],[Split_raw]]*MAX(0,MIN(_xlfn.DAYS(EDATE(AA$1,1),Log_2019[[#This Row],[Date]]),Log_2019[[#This Row],[Split_apply]])) - SUM($O342:Z342)</f>
        <v>0</v>
      </c>
      <c r="AB342" s="54">
        <f ca="1">Log_2019[[#This Row],[Amount]]-SUM(O342:AA342)</f>
        <v>0</v>
      </c>
      <c r="AC342" s="7">
        <f>MAX(0,Log_2019[[#This Row],[Split_raw]] - (EDATE(AA$1,1)-Log_2019[[#This Row],[Date]]))</f>
        <v>0</v>
      </c>
    </row>
    <row r="343" spans="1:29" x14ac:dyDescent="0.25">
      <c r="A343" s="42"/>
      <c r="B343" s="34" t="s">
        <v>6</v>
      </c>
      <c r="C343" s="34"/>
      <c r="D343" s="35">
        <v>43663</v>
      </c>
      <c r="E343" s="34"/>
      <c r="F343" s="34" t="s">
        <v>662</v>
      </c>
      <c r="G343" s="34" t="s">
        <v>29</v>
      </c>
      <c r="H343">
        <v>-51.34</v>
      </c>
      <c r="I343" s="36">
        <f>IF(Log_2019[[#This Row],[My Category]]="NONTRACKED",0,Log_2019[[#This Row],[Raw Amount]])</f>
        <v>-51.34</v>
      </c>
      <c r="J343" s="37">
        <f>ABS(Log_2019[[#This Row],[Amount]])</f>
        <v>51.34</v>
      </c>
      <c r="K343" s="38">
        <v>30</v>
      </c>
      <c r="L343" s="38">
        <f ca="1">IF(Log_2019[[#This Row],[Date]]&lt;=TODAY(), MIN(Log_2019[[#This Row],[Split_raw]], TODAY()-Log_2019[[#This Row],[Date]]+1), 0)</f>
        <v>30</v>
      </c>
      <c r="M343" s="34" t="s">
        <v>29</v>
      </c>
      <c r="N343" s="34" t="s">
        <v>160</v>
      </c>
      <c r="O343" s="7">
        <v>0</v>
      </c>
      <c r="P343" s="52">
        <f ca="1">Log_2019[[#This Row],[Amount]]/Log_2019[[#This Row],[Split_raw]]*MAX(0,MIN(_xlfn.DAYS(EDATE(P$1,1),Log_2019[[#This Row],[Date]]),Log_2019[[#This Row],[Split_apply]])) - SUM($O343:O343)</f>
        <v>0</v>
      </c>
      <c r="Q343" s="52">
        <f ca="1">Log_2019[[#This Row],[Amount]]/Log_2019[[#This Row],[Split_raw]]*MAX(0,MIN(_xlfn.DAYS(EDATE(Q$1,1),Log_2019[[#This Row],[Date]]),Log_2019[[#This Row],[Split_apply]])) - SUM($O343:P343)</f>
        <v>0</v>
      </c>
      <c r="R343" s="52">
        <f ca="1">Log_2019[[#This Row],[Amount]]/Log_2019[[#This Row],[Split_raw]]*MAX(0,MIN(_xlfn.DAYS(EDATE(R$1,1),Log_2019[[#This Row],[Date]]),Log_2019[[#This Row],[Split_apply]])) - SUM($O343:Q343)</f>
        <v>0</v>
      </c>
      <c r="S343" s="52">
        <f ca="1">Log_2019[[#This Row],[Amount]]/Log_2019[[#This Row],[Split_raw]]*MAX(0,MIN(_xlfn.DAYS(EDATE(S$1,1),Log_2019[[#This Row],[Date]]),Log_2019[[#This Row],[Split_apply]])) - SUM($O343:R343)</f>
        <v>0</v>
      </c>
      <c r="T343" s="52">
        <f ca="1">Log_2019[[#This Row],[Amount]]/Log_2019[[#This Row],[Split_raw]]*MAX(0,MIN(_xlfn.DAYS(EDATE(T$1,1),Log_2019[[#This Row],[Date]]),Log_2019[[#This Row],[Split_apply]])) - SUM($O343:S343)</f>
        <v>0</v>
      </c>
      <c r="U343" s="52">
        <f ca="1">Log_2019[[#This Row],[Amount]]/Log_2019[[#This Row],[Split_raw]]*MAX(0,MIN(_xlfn.DAYS(EDATE(U$1,1),Log_2019[[#This Row],[Date]]),Log_2019[[#This Row],[Split_apply]])) - SUM($O343:T343)</f>
        <v>0</v>
      </c>
      <c r="V343" s="52">
        <f ca="1">Log_2019[[#This Row],[Amount]]/Log_2019[[#This Row],[Split_raw]]*MAX(0,MIN(_xlfn.DAYS(EDATE(V$1,1),Log_2019[[#This Row],[Date]]),Log_2019[[#This Row],[Split_apply]])) - SUM($O343:U343)</f>
        <v>-25.67</v>
      </c>
      <c r="W343" s="52">
        <f ca="1">Log_2019[[#This Row],[Amount]]/Log_2019[[#This Row],[Split_raw]]*MAX(0,MIN(_xlfn.DAYS(EDATE(W$1,1),Log_2019[[#This Row],[Date]]),Log_2019[[#This Row],[Split_apply]])) - SUM($O343:V343)</f>
        <v>-25.67</v>
      </c>
      <c r="X343" s="52">
        <f ca="1">Log_2019[[#This Row],[Amount]]/Log_2019[[#This Row],[Split_raw]]*MAX(0,MIN(_xlfn.DAYS(EDATE(X$1,1),Log_2019[[#This Row],[Date]]),Log_2019[[#This Row],[Split_apply]])) - SUM($O343:W343)</f>
        <v>0</v>
      </c>
      <c r="Y343" s="52">
        <f ca="1">Log_2019[[#This Row],[Amount]]/Log_2019[[#This Row],[Split_raw]]*MAX(0,MIN(_xlfn.DAYS(EDATE(Y$1,1),Log_2019[[#This Row],[Date]]),Log_2019[[#This Row],[Split_apply]])) - SUM($O343:X343)</f>
        <v>0</v>
      </c>
      <c r="Z343" s="52">
        <f ca="1">Log_2019[[#This Row],[Amount]]/Log_2019[[#This Row],[Split_raw]]*MAX(0,MIN(_xlfn.DAYS(EDATE(Z$1,1),Log_2019[[#This Row],[Date]]),Log_2019[[#This Row],[Split_apply]])) - SUM($O343:Y343)</f>
        <v>0</v>
      </c>
      <c r="AA343" s="52">
        <f ca="1">Log_2019[[#This Row],[Amount]]/Log_2019[[#This Row],[Split_raw]]*MAX(0,MIN(_xlfn.DAYS(EDATE(AA$1,1),Log_2019[[#This Row],[Date]]),Log_2019[[#This Row],[Split_apply]])) - SUM($O343:Z343)</f>
        <v>0</v>
      </c>
      <c r="AB343" s="54">
        <f ca="1">Log_2019[[#This Row],[Amount]]-SUM(O343:AA343)</f>
        <v>0</v>
      </c>
      <c r="AC343" s="7">
        <f>MAX(0,Log_2019[[#This Row],[Split_raw]] - (EDATE(AA$1,1)-Log_2019[[#This Row],[Date]]))</f>
        <v>0</v>
      </c>
    </row>
    <row r="344" spans="1:29" x14ac:dyDescent="0.25">
      <c r="A344" s="42"/>
      <c r="B344" s="34" t="s">
        <v>6</v>
      </c>
      <c r="C344" s="34"/>
      <c r="D344" s="35">
        <v>43662</v>
      </c>
      <c r="E344" s="34"/>
      <c r="F344" s="34" t="s">
        <v>381</v>
      </c>
      <c r="G344" s="34" t="s">
        <v>12</v>
      </c>
      <c r="H344">
        <v>-22.63</v>
      </c>
      <c r="I344" s="36">
        <f>IF(Log_2019[[#This Row],[My Category]]="NONTRACKED",0,Log_2019[[#This Row],[Raw Amount]])</f>
        <v>-22.63</v>
      </c>
      <c r="J344" s="37">
        <f>ABS(Log_2019[[#This Row],[Amount]])</f>
        <v>22.63</v>
      </c>
      <c r="K344" s="38">
        <v>1</v>
      </c>
      <c r="L344" s="38">
        <f ca="1">IF(Log_2019[[#This Row],[Date]]&lt;=TODAY(), MIN(Log_2019[[#This Row],[Split_raw]], TODAY()-Log_2019[[#This Row],[Date]]+1), 0)</f>
        <v>1</v>
      </c>
      <c r="M344" s="34" t="s">
        <v>12</v>
      </c>
      <c r="N344" s="34" t="s">
        <v>158</v>
      </c>
      <c r="O344" s="7">
        <v>0</v>
      </c>
      <c r="P344" s="52">
        <f ca="1">Log_2019[[#This Row],[Amount]]/Log_2019[[#This Row],[Split_raw]]*MAX(0,MIN(_xlfn.DAYS(EDATE(P$1,1),Log_2019[[#This Row],[Date]]),Log_2019[[#This Row],[Split_apply]])) - SUM($O344:O344)</f>
        <v>0</v>
      </c>
      <c r="Q344" s="52">
        <f ca="1">Log_2019[[#This Row],[Amount]]/Log_2019[[#This Row],[Split_raw]]*MAX(0,MIN(_xlfn.DAYS(EDATE(Q$1,1),Log_2019[[#This Row],[Date]]),Log_2019[[#This Row],[Split_apply]])) - SUM($O344:P344)</f>
        <v>0</v>
      </c>
      <c r="R344" s="52">
        <f ca="1">Log_2019[[#This Row],[Amount]]/Log_2019[[#This Row],[Split_raw]]*MAX(0,MIN(_xlfn.DAYS(EDATE(R$1,1),Log_2019[[#This Row],[Date]]),Log_2019[[#This Row],[Split_apply]])) - SUM($O344:Q344)</f>
        <v>0</v>
      </c>
      <c r="S344" s="52">
        <f ca="1">Log_2019[[#This Row],[Amount]]/Log_2019[[#This Row],[Split_raw]]*MAX(0,MIN(_xlfn.DAYS(EDATE(S$1,1),Log_2019[[#This Row],[Date]]),Log_2019[[#This Row],[Split_apply]])) - SUM($O344:R344)</f>
        <v>0</v>
      </c>
      <c r="T344" s="52">
        <f ca="1">Log_2019[[#This Row],[Amount]]/Log_2019[[#This Row],[Split_raw]]*MAX(0,MIN(_xlfn.DAYS(EDATE(T$1,1),Log_2019[[#This Row],[Date]]),Log_2019[[#This Row],[Split_apply]])) - SUM($O344:S344)</f>
        <v>0</v>
      </c>
      <c r="U344" s="52">
        <f ca="1">Log_2019[[#This Row],[Amount]]/Log_2019[[#This Row],[Split_raw]]*MAX(0,MIN(_xlfn.DAYS(EDATE(U$1,1),Log_2019[[#This Row],[Date]]),Log_2019[[#This Row],[Split_apply]])) - SUM($O344:T344)</f>
        <v>0</v>
      </c>
      <c r="V344" s="52">
        <f ca="1">Log_2019[[#This Row],[Amount]]/Log_2019[[#This Row],[Split_raw]]*MAX(0,MIN(_xlfn.DAYS(EDATE(V$1,1),Log_2019[[#This Row],[Date]]),Log_2019[[#This Row],[Split_apply]])) - SUM($O344:U344)</f>
        <v>-22.63</v>
      </c>
      <c r="W344" s="52">
        <f ca="1">Log_2019[[#This Row],[Amount]]/Log_2019[[#This Row],[Split_raw]]*MAX(0,MIN(_xlfn.DAYS(EDATE(W$1,1),Log_2019[[#This Row],[Date]]),Log_2019[[#This Row],[Split_apply]])) - SUM($O344:V344)</f>
        <v>0</v>
      </c>
      <c r="X344" s="52">
        <f ca="1">Log_2019[[#This Row],[Amount]]/Log_2019[[#This Row],[Split_raw]]*MAX(0,MIN(_xlfn.DAYS(EDATE(X$1,1),Log_2019[[#This Row],[Date]]),Log_2019[[#This Row],[Split_apply]])) - SUM($O344:W344)</f>
        <v>0</v>
      </c>
      <c r="Y344" s="52">
        <f ca="1">Log_2019[[#This Row],[Amount]]/Log_2019[[#This Row],[Split_raw]]*MAX(0,MIN(_xlfn.DAYS(EDATE(Y$1,1),Log_2019[[#This Row],[Date]]),Log_2019[[#This Row],[Split_apply]])) - SUM($O344:X344)</f>
        <v>0</v>
      </c>
      <c r="Z344" s="52">
        <f ca="1">Log_2019[[#This Row],[Amount]]/Log_2019[[#This Row],[Split_raw]]*MAX(0,MIN(_xlfn.DAYS(EDATE(Z$1,1),Log_2019[[#This Row],[Date]]),Log_2019[[#This Row],[Split_apply]])) - SUM($O344:Y344)</f>
        <v>0</v>
      </c>
      <c r="AA344" s="52">
        <f ca="1">Log_2019[[#This Row],[Amount]]/Log_2019[[#This Row],[Split_raw]]*MAX(0,MIN(_xlfn.DAYS(EDATE(AA$1,1),Log_2019[[#This Row],[Date]]),Log_2019[[#This Row],[Split_apply]])) - SUM($O344:Z344)</f>
        <v>0</v>
      </c>
      <c r="AB344" s="54">
        <f ca="1">Log_2019[[#This Row],[Amount]]-SUM(O344:AA344)</f>
        <v>0</v>
      </c>
      <c r="AC344" s="7">
        <f>MAX(0,Log_2019[[#This Row],[Split_raw]] - (EDATE(AA$1,1)-Log_2019[[#This Row],[Date]]))</f>
        <v>0</v>
      </c>
    </row>
    <row r="345" spans="1:29" x14ac:dyDescent="0.25">
      <c r="A345" s="42"/>
      <c r="B345" s="34" t="s">
        <v>6</v>
      </c>
      <c r="C345" s="34"/>
      <c r="D345" s="35">
        <v>43662</v>
      </c>
      <c r="E345" s="34"/>
      <c r="F345" s="34" t="s">
        <v>308</v>
      </c>
      <c r="G345" s="34" t="s">
        <v>25</v>
      </c>
      <c r="H345">
        <v>-9.7100000000000009</v>
      </c>
      <c r="I345" s="36">
        <f>IF(Log_2019[[#This Row],[My Category]]="NONTRACKED",0,Log_2019[[#This Row],[Raw Amount]])</f>
        <v>-9.7100000000000009</v>
      </c>
      <c r="J345" s="37">
        <f>ABS(Log_2019[[#This Row],[Amount]])</f>
        <v>9.7100000000000009</v>
      </c>
      <c r="K345" s="38">
        <v>1</v>
      </c>
      <c r="L345" s="38">
        <f ca="1">IF(Log_2019[[#This Row],[Date]]&lt;=TODAY(), MIN(Log_2019[[#This Row],[Split_raw]], TODAY()-Log_2019[[#This Row],[Date]]+1), 0)</f>
        <v>1</v>
      </c>
      <c r="M345" s="34" t="s">
        <v>35</v>
      </c>
      <c r="N345" s="34" t="s">
        <v>158</v>
      </c>
      <c r="O345" s="7">
        <v>0</v>
      </c>
      <c r="P345" s="52">
        <f ca="1">Log_2019[[#This Row],[Amount]]/Log_2019[[#This Row],[Split_raw]]*MAX(0,MIN(_xlfn.DAYS(EDATE(P$1,1),Log_2019[[#This Row],[Date]]),Log_2019[[#This Row],[Split_apply]])) - SUM($O345:O345)</f>
        <v>0</v>
      </c>
      <c r="Q345" s="52">
        <f ca="1">Log_2019[[#This Row],[Amount]]/Log_2019[[#This Row],[Split_raw]]*MAX(0,MIN(_xlfn.DAYS(EDATE(Q$1,1),Log_2019[[#This Row],[Date]]),Log_2019[[#This Row],[Split_apply]])) - SUM($O345:P345)</f>
        <v>0</v>
      </c>
      <c r="R345" s="52">
        <f ca="1">Log_2019[[#This Row],[Amount]]/Log_2019[[#This Row],[Split_raw]]*MAX(0,MIN(_xlfn.DAYS(EDATE(R$1,1),Log_2019[[#This Row],[Date]]),Log_2019[[#This Row],[Split_apply]])) - SUM($O345:Q345)</f>
        <v>0</v>
      </c>
      <c r="S345" s="52">
        <f ca="1">Log_2019[[#This Row],[Amount]]/Log_2019[[#This Row],[Split_raw]]*MAX(0,MIN(_xlfn.DAYS(EDATE(S$1,1),Log_2019[[#This Row],[Date]]),Log_2019[[#This Row],[Split_apply]])) - SUM($O345:R345)</f>
        <v>0</v>
      </c>
      <c r="T345" s="52">
        <f ca="1">Log_2019[[#This Row],[Amount]]/Log_2019[[#This Row],[Split_raw]]*MAX(0,MIN(_xlfn.DAYS(EDATE(T$1,1),Log_2019[[#This Row],[Date]]),Log_2019[[#This Row],[Split_apply]])) - SUM($O345:S345)</f>
        <v>0</v>
      </c>
      <c r="U345" s="52">
        <f ca="1">Log_2019[[#This Row],[Amount]]/Log_2019[[#This Row],[Split_raw]]*MAX(0,MIN(_xlfn.DAYS(EDATE(U$1,1),Log_2019[[#This Row],[Date]]),Log_2019[[#This Row],[Split_apply]])) - SUM($O345:T345)</f>
        <v>0</v>
      </c>
      <c r="V345" s="52">
        <f ca="1">Log_2019[[#This Row],[Amount]]/Log_2019[[#This Row],[Split_raw]]*MAX(0,MIN(_xlfn.DAYS(EDATE(V$1,1),Log_2019[[#This Row],[Date]]),Log_2019[[#This Row],[Split_apply]])) - SUM($O345:U345)</f>
        <v>-9.7100000000000009</v>
      </c>
      <c r="W345" s="52">
        <f ca="1">Log_2019[[#This Row],[Amount]]/Log_2019[[#This Row],[Split_raw]]*MAX(0,MIN(_xlfn.DAYS(EDATE(W$1,1),Log_2019[[#This Row],[Date]]),Log_2019[[#This Row],[Split_apply]])) - SUM($O345:V345)</f>
        <v>0</v>
      </c>
      <c r="X345" s="52">
        <f ca="1">Log_2019[[#This Row],[Amount]]/Log_2019[[#This Row],[Split_raw]]*MAX(0,MIN(_xlfn.DAYS(EDATE(X$1,1),Log_2019[[#This Row],[Date]]),Log_2019[[#This Row],[Split_apply]])) - SUM($O345:W345)</f>
        <v>0</v>
      </c>
      <c r="Y345" s="52">
        <f ca="1">Log_2019[[#This Row],[Amount]]/Log_2019[[#This Row],[Split_raw]]*MAX(0,MIN(_xlfn.DAYS(EDATE(Y$1,1),Log_2019[[#This Row],[Date]]),Log_2019[[#This Row],[Split_apply]])) - SUM($O345:X345)</f>
        <v>0</v>
      </c>
      <c r="Z345" s="52">
        <f ca="1">Log_2019[[#This Row],[Amount]]/Log_2019[[#This Row],[Split_raw]]*MAX(0,MIN(_xlfn.DAYS(EDATE(Z$1,1),Log_2019[[#This Row],[Date]]),Log_2019[[#This Row],[Split_apply]])) - SUM($O345:Y345)</f>
        <v>0</v>
      </c>
      <c r="AA345" s="52">
        <f ca="1">Log_2019[[#This Row],[Amount]]/Log_2019[[#This Row],[Split_raw]]*MAX(0,MIN(_xlfn.DAYS(EDATE(AA$1,1),Log_2019[[#This Row],[Date]]),Log_2019[[#This Row],[Split_apply]])) - SUM($O345:Z345)</f>
        <v>0</v>
      </c>
      <c r="AB345" s="54">
        <f ca="1">Log_2019[[#This Row],[Amount]]-SUM(O345:AA345)</f>
        <v>0</v>
      </c>
      <c r="AC345" s="7">
        <f>MAX(0,Log_2019[[#This Row],[Split_raw]] - (EDATE(AA$1,1)-Log_2019[[#This Row],[Date]]))</f>
        <v>0</v>
      </c>
    </row>
    <row r="346" spans="1:29" x14ac:dyDescent="0.25">
      <c r="A346" s="42"/>
      <c r="B346" s="34" t="s">
        <v>6</v>
      </c>
      <c r="C346" s="34"/>
      <c r="D346" s="35">
        <v>43662</v>
      </c>
      <c r="E346" s="34"/>
      <c r="F346" s="34" t="s">
        <v>255</v>
      </c>
      <c r="G346" s="34" t="s">
        <v>25</v>
      </c>
      <c r="H346">
        <v>-2.66</v>
      </c>
      <c r="I346" s="36">
        <f>IF(Log_2019[[#This Row],[My Category]]="NONTRACKED",0,Log_2019[[#This Row],[Raw Amount]])</f>
        <v>-2.66</v>
      </c>
      <c r="J346" s="37">
        <f>ABS(Log_2019[[#This Row],[Amount]])</f>
        <v>2.66</v>
      </c>
      <c r="K346" s="38">
        <v>1</v>
      </c>
      <c r="L346" s="38">
        <f ca="1">IF(Log_2019[[#This Row],[Date]]&lt;=TODAY(), MIN(Log_2019[[#This Row],[Split_raw]], TODAY()-Log_2019[[#This Row],[Date]]+1), 0)</f>
        <v>1</v>
      </c>
      <c r="M346" s="34" t="s">
        <v>35</v>
      </c>
      <c r="N346" s="34" t="s">
        <v>158</v>
      </c>
      <c r="O346" s="7">
        <v>0</v>
      </c>
      <c r="P346" s="52">
        <f ca="1">Log_2019[[#This Row],[Amount]]/Log_2019[[#This Row],[Split_raw]]*MAX(0,MIN(_xlfn.DAYS(EDATE(P$1,1),Log_2019[[#This Row],[Date]]),Log_2019[[#This Row],[Split_apply]])) - SUM($O346:O346)</f>
        <v>0</v>
      </c>
      <c r="Q346" s="52">
        <f ca="1">Log_2019[[#This Row],[Amount]]/Log_2019[[#This Row],[Split_raw]]*MAX(0,MIN(_xlfn.DAYS(EDATE(Q$1,1),Log_2019[[#This Row],[Date]]),Log_2019[[#This Row],[Split_apply]])) - SUM($O346:P346)</f>
        <v>0</v>
      </c>
      <c r="R346" s="52">
        <f ca="1">Log_2019[[#This Row],[Amount]]/Log_2019[[#This Row],[Split_raw]]*MAX(0,MIN(_xlfn.DAYS(EDATE(R$1,1),Log_2019[[#This Row],[Date]]),Log_2019[[#This Row],[Split_apply]])) - SUM($O346:Q346)</f>
        <v>0</v>
      </c>
      <c r="S346" s="52">
        <f ca="1">Log_2019[[#This Row],[Amount]]/Log_2019[[#This Row],[Split_raw]]*MAX(0,MIN(_xlfn.DAYS(EDATE(S$1,1),Log_2019[[#This Row],[Date]]),Log_2019[[#This Row],[Split_apply]])) - SUM($O346:R346)</f>
        <v>0</v>
      </c>
      <c r="T346" s="52">
        <f ca="1">Log_2019[[#This Row],[Amount]]/Log_2019[[#This Row],[Split_raw]]*MAX(0,MIN(_xlfn.DAYS(EDATE(T$1,1),Log_2019[[#This Row],[Date]]),Log_2019[[#This Row],[Split_apply]])) - SUM($O346:S346)</f>
        <v>0</v>
      </c>
      <c r="U346" s="52">
        <f ca="1">Log_2019[[#This Row],[Amount]]/Log_2019[[#This Row],[Split_raw]]*MAX(0,MIN(_xlfn.DAYS(EDATE(U$1,1),Log_2019[[#This Row],[Date]]),Log_2019[[#This Row],[Split_apply]])) - SUM($O346:T346)</f>
        <v>0</v>
      </c>
      <c r="V346" s="52">
        <f ca="1">Log_2019[[#This Row],[Amount]]/Log_2019[[#This Row],[Split_raw]]*MAX(0,MIN(_xlfn.DAYS(EDATE(V$1,1),Log_2019[[#This Row],[Date]]),Log_2019[[#This Row],[Split_apply]])) - SUM($O346:U346)</f>
        <v>-2.66</v>
      </c>
      <c r="W346" s="52">
        <f ca="1">Log_2019[[#This Row],[Amount]]/Log_2019[[#This Row],[Split_raw]]*MAX(0,MIN(_xlfn.DAYS(EDATE(W$1,1),Log_2019[[#This Row],[Date]]),Log_2019[[#This Row],[Split_apply]])) - SUM($O346:V346)</f>
        <v>0</v>
      </c>
      <c r="X346" s="52">
        <f ca="1">Log_2019[[#This Row],[Amount]]/Log_2019[[#This Row],[Split_raw]]*MAX(0,MIN(_xlfn.DAYS(EDATE(X$1,1),Log_2019[[#This Row],[Date]]),Log_2019[[#This Row],[Split_apply]])) - SUM($O346:W346)</f>
        <v>0</v>
      </c>
      <c r="Y346" s="52">
        <f ca="1">Log_2019[[#This Row],[Amount]]/Log_2019[[#This Row],[Split_raw]]*MAX(0,MIN(_xlfn.DAYS(EDATE(Y$1,1),Log_2019[[#This Row],[Date]]),Log_2019[[#This Row],[Split_apply]])) - SUM($O346:X346)</f>
        <v>0</v>
      </c>
      <c r="Z346" s="52">
        <f ca="1">Log_2019[[#This Row],[Amount]]/Log_2019[[#This Row],[Split_raw]]*MAX(0,MIN(_xlfn.DAYS(EDATE(Z$1,1),Log_2019[[#This Row],[Date]]),Log_2019[[#This Row],[Split_apply]])) - SUM($O346:Y346)</f>
        <v>0</v>
      </c>
      <c r="AA346" s="52">
        <f ca="1">Log_2019[[#This Row],[Amount]]/Log_2019[[#This Row],[Split_raw]]*MAX(0,MIN(_xlfn.DAYS(EDATE(AA$1,1),Log_2019[[#This Row],[Date]]),Log_2019[[#This Row],[Split_apply]])) - SUM($O346:Z346)</f>
        <v>0</v>
      </c>
      <c r="AB346" s="54">
        <f ca="1">Log_2019[[#This Row],[Amount]]-SUM(O346:AA346)</f>
        <v>0</v>
      </c>
      <c r="AC346" s="7">
        <f>MAX(0,Log_2019[[#This Row],[Split_raw]] - (EDATE(AA$1,1)-Log_2019[[#This Row],[Date]]))</f>
        <v>0</v>
      </c>
    </row>
    <row r="347" spans="1:29" x14ac:dyDescent="0.25">
      <c r="A347" s="42"/>
      <c r="B347" s="34" t="s">
        <v>6</v>
      </c>
      <c r="C347" s="34"/>
      <c r="D347" s="35">
        <v>43662</v>
      </c>
      <c r="E347" s="34"/>
      <c r="F347" s="34" t="s">
        <v>255</v>
      </c>
      <c r="G347" s="34" t="s">
        <v>25</v>
      </c>
      <c r="H347">
        <v>-28.88</v>
      </c>
      <c r="I347" s="36">
        <f>IF(Log_2019[[#This Row],[My Category]]="NONTRACKED",0,Log_2019[[#This Row],[Raw Amount]])</f>
        <v>-28.88</v>
      </c>
      <c r="J347" s="37">
        <f>ABS(Log_2019[[#This Row],[Amount]])</f>
        <v>28.88</v>
      </c>
      <c r="K347" s="38">
        <v>1</v>
      </c>
      <c r="L347" s="38">
        <f ca="1">IF(Log_2019[[#This Row],[Date]]&lt;=TODAY(), MIN(Log_2019[[#This Row],[Split_raw]], TODAY()-Log_2019[[#This Row],[Date]]+1), 0)</f>
        <v>1</v>
      </c>
      <c r="M347" s="34" t="s">
        <v>52</v>
      </c>
      <c r="N347" s="34" t="s">
        <v>158</v>
      </c>
      <c r="O347" s="7">
        <v>0</v>
      </c>
      <c r="P347" s="52">
        <f ca="1">Log_2019[[#This Row],[Amount]]/Log_2019[[#This Row],[Split_raw]]*MAX(0,MIN(_xlfn.DAYS(EDATE(P$1,1),Log_2019[[#This Row],[Date]]),Log_2019[[#This Row],[Split_apply]])) - SUM($O347:O347)</f>
        <v>0</v>
      </c>
      <c r="Q347" s="52">
        <f ca="1">Log_2019[[#This Row],[Amount]]/Log_2019[[#This Row],[Split_raw]]*MAX(0,MIN(_xlfn.DAYS(EDATE(Q$1,1),Log_2019[[#This Row],[Date]]),Log_2019[[#This Row],[Split_apply]])) - SUM($O347:P347)</f>
        <v>0</v>
      </c>
      <c r="R347" s="52">
        <f ca="1">Log_2019[[#This Row],[Amount]]/Log_2019[[#This Row],[Split_raw]]*MAX(0,MIN(_xlfn.DAYS(EDATE(R$1,1),Log_2019[[#This Row],[Date]]),Log_2019[[#This Row],[Split_apply]])) - SUM($O347:Q347)</f>
        <v>0</v>
      </c>
      <c r="S347" s="52">
        <f ca="1">Log_2019[[#This Row],[Amount]]/Log_2019[[#This Row],[Split_raw]]*MAX(0,MIN(_xlfn.DAYS(EDATE(S$1,1),Log_2019[[#This Row],[Date]]),Log_2019[[#This Row],[Split_apply]])) - SUM($O347:R347)</f>
        <v>0</v>
      </c>
      <c r="T347" s="52">
        <f ca="1">Log_2019[[#This Row],[Amount]]/Log_2019[[#This Row],[Split_raw]]*MAX(0,MIN(_xlfn.DAYS(EDATE(T$1,1),Log_2019[[#This Row],[Date]]),Log_2019[[#This Row],[Split_apply]])) - SUM($O347:S347)</f>
        <v>0</v>
      </c>
      <c r="U347" s="52">
        <f ca="1">Log_2019[[#This Row],[Amount]]/Log_2019[[#This Row],[Split_raw]]*MAX(0,MIN(_xlfn.DAYS(EDATE(U$1,1),Log_2019[[#This Row],[Date]]),Log_2019[[#This Row],[Split_apply]])) - SUM($O347:T347)</f>
        <v>0</v>
      </c>
      <c r="V347" s="52">
        <f ca="1">Log_2019[[#This Row],[Amount]]/Log_2019[[#This Row],[Split_raw]]*MAX(0,MIN(_xlfn.DAYS(EDATE(V$1,1),Log_2019[[#This Row],[Date]]),Log_2019[[#This Row],[Split_apply]])) - SUM($O347:U347)</f>
        <v>-28.88</v>
      </c>
      <c r="W347" s="52">
        <f ca="1">Log_2019[[#This Row],[Amount]]/Log_2019[[#This Row],[Split_raw]]*MAX(0,MIN(_xlfn.DAYS(EDATE(W$1,1),Log_2019[[#This Row],[Date]]),Log_2019[[#This Row],[Split_apply]])) - SUM($O347:V347)</f>
        <v>0</v>
      </c>
      <c r="X347" s="52">
        <f ca="1">Log_2019[[#This Row],[Amount]]/Log_2019[[#This Row],[Split_raw]]*MAX(0,MIN(_xlfn.DAYS(EDATE(X$1,1),Log_2019[[#This Row],[Date]]),Log_2019[[#This Row],[Split_apply]])) - SUM($O347:W347)</f>
        <v>0</v>
      </c>
      <c r="Y347" s="52">
        <f ca="1">Log_2019[[#This Row],[Amount]]/Log_2019[[#This Row],[Split_raw]]*MAX(0,MIN(_xlfn.DAYS(EDATE(Y$1,1),Log_2019[[#This Row],[Date]]),Log_2019[[#This Row],[Split_apply]])) - SUM($O347:X347)</f>
        <v>0</v>
      </c>
      <c r="Z347" s="52">
        <f ca="1">Log_2019[[#This Row],[Amount]]/Log_2019[[#This Row],[Split_raw]]*MAX(0,MIN(_xlfn.DAYS(EDATE(Z$1,1),Log_2019[[#This Row],[Date]]),Log_2019[[#This Row],[Split_apply]])) - SUM($O347:Y347)</f>
        <v>0</v>
      </c>
      <c r="AA347" s="52">
        <f ca="1">Log_2019[[#This Row],[Amount]]/Log_2019[[#This Row],[Split_raw]]*MAX(0,MIN(_xlfn.DAYS(EDATE(AA$1,1),Log_2019[[#This Row],[Date]]),Log_2019[[#This Row],[Split_apply]])) - SUM($O347:Z347)</f>
        <v>0</v>
      </c>
      <c r="AB347" s="54">
        <f ca="1">Log_2019[[#This Row],[Amount]]-SUM(O347:AA347)</f>
        <v>0</v>
      </c>
      <c r="AC347" s="7">
        <f>MAX(0,Log_2019[[#This Row],[Split_raw]] - (EDATE(AA$1,1)-Log_2019[[#This Row],[Date]]))</f>
        <v>0</v>
      </c>
    </row>
    <row r="348" spans="1:29" x14ac:dyDescent="0.25">
      <c r="A348" s="42"/>
      <c r="B348" s="34" t="s">
        <v>6</v>
      </c>
      <c r="C348" s="34"/>
      <c r="D348" s="35">
        <v>43661</v>
      </c>
      <c r="E348" s="34" t="s">
        <v>670</v>
      </c>
      <c r="F348" s="34" t="s">
        <v>655</v>
      </c>
      <c r="G348" s="34" t="s">
        <v>11</v>
      </c>
      <c r="H348">
        <v>-49.81</v>
      </c>
      <c r="I348" s="36">
        <f>IF(Log_2019[[#This Row],[My Category]]="NONTRACKED",0,Log_2019[[#This Row],[Raw Amount]])</f>
        <v>-49.81</v>
      </c>
      <c r="J348" s="37">
        <f>ABS(Log_2019[[#This Row],[Amount]])</f>
        <v>49.81</v>
      </c>
      <c r="K348" s="38">
        <v>1</v>
      </c>
      <c r="L348" s="38">
        <f ca="1">IF(Log_2019[[#This Row],[Date]]&lt;=TODAY(), MIN(Log_2019[[#This Row],[Split_raw]], TODAY()-Log_2019[[#This Row],[Date]]+1), 0)</f>
        <v>1</v>
      </c>
      <c r="M348" s="34" t="s">
        <v>145</v>
      </c>
      <c r="N348" s="34" t="s">
        <v>158</v>
      </c>
      <c r="O348" s="7">
        <v>0</v>
      </c>
      <c r="P348" s="52">
        <f ca="1">Log_2019[[#This Row],[Amount]]/Log_2019[[#This Row],[Split_raw]]*MAX(0,MIN(_xlfn.DAYS(EDATE(P$1,1),Log_2019[[#This Row],[Date]]),Log_2019[[#This Row],[Split_apply]])) - SUM($O348:O348)</f>
        <v>0</v>
      </c>
      <c r="Q348" s="52">
        <f ca="1">Log_2019[[#This Row],[Amount]]/Log_2019[[#This Row],[Split_raw]]*MAX(0,MIN(_xlfn.DAYS(EDATE(Q$1,1),Log_2019[[#This Row],[Date]]),Log_2019[[#This Row],[Split_apply]])) - SUM($O348:P348)</f>
        <v>0</v>
      </c>
      <c r="R348" s="52">
        <f ca="1">Log_2019[[#This Row],[Amount]]/Log_2019[[#This Row],[Split_raw]]*MAX(0,MIN(_xlfn.DAYS(EDATE(R$1,1),Log_2019[[#This Row],[Date]]),Log_2019[[#This Row],[Split_apply]])) - SUM($O348:Q348)</f>
        <v>0</v>
      </c>
      <c r="S348" s="52">
        <f ca="1">Log_2019[[#This Row],[Amount]]/Log_2019[[#This Row],[Split_raw]]*MAX(0,MIN(_xlfn.DAYS(EDATE(S$1,1),Log_2019[[#This Row],[Date]]),Log_2019[[#This Row],[Split_apply]])) - SUM($O348:R348)</f>
        <v>0</v>
      </c>
      <c r="T348" s="52">
        <f ca="1">Log_2019[[#This Row],[Amount]]/Log_2019[[#This Row],[Split_raw]]*MAX(0,MIN(_xlfn.DAYS(EDATE(T$1,1),Log_2019[[#This Row],[Date]]),Log_2019[[#This Row],[Split_apply]])) - SUM($O348:S348)</f>
        <v>0</v>
      </c>
      <c r="U348" s="52">
        <f ca="1">Log_2019[[#This Row],[Amount]]/Log_2019[[#This Row],[Split_raw]]*MAX(0,MIN(_xlfn.DAYS(EDATE(U$1,1),Log_2019[[#This Row],[Date]]),Log_2019[[#This Row],[Split_apply]])) - SUM($O348:T348)</f>
        <v>0</v>
      </c>
      <c r="V348" s="52">
        <f ca="1">Log_2019[[#This Row],[Amount]]/Log_2019[[#This Row],[Split_raw]]*MAX(0,MIN(_xlfn.DAYS(EDATE(V$1,1),Log_2019[[#This Row],[Date]]),Log_2019[[#This Row],[Split_apply]])) - SUM($O348:U348)</f>
        <v>-49.81</v>
      </c>
      <c r="W348" s="52">
        <f ca="1">Log_2019[[#This Row],[Amount]]/Log_2019[[#This Row],[Split_raw]]*MAX(0,MIN(_xlfn.DAYS(EDATE(W$1,1),Log_2019[[#This Row],[Date]]),Log_2019[[#This Row],[Split_apply]])) - SUM($O348:V348)</f>
        <v>0</v>
      </c>
      <c r="X348" s="52">
        <f ca="1">Log_2019[[#This Row],[Amount]]/Log_2019[[#This Row],[Split_raw]]*MAX(0,MIN(_xlfn.DAYS(EDATE(X$1,1),Log_2019[[#This Row],[Date]]),Log_2019[[#This Row],[Split_apply]])) - SUM($O348:W348)</f>
        <v>0</v>
      </c>
      <c r="Y348" s="52">
        <f ca="1">Log_2019[[#This Row],[Amount]]/Log_2019[[#This Row],[Split_raw]]*MAX(0,MIN(_xlfn.DAYS(EDATE(Y$1,1),Log_2019[[#This Row],[Date]]),Log_2019[[#This Row],[Split_apply]])) - SUM($O348:X348)</f>
        <v>0</v>
      </c>
      <c r="Z348" s="52">
        <f ca="1">Log_2019[[#This Row],[Amount]]/Log_2019[[#This Row],[Split_raw]]*MAX(0,MIN(_xlfn.DAYS(EDATE(Z$1,1),Log_2019[[#This Row],[Date]]),Log_2019[[#This Row],[Split_apply]])) - SUM($O348:Y348)</f>
        <v>0</v>
      </c>
      <c r="AA348" s="52">
        <f ca="1">Log_2019[[#This Row],[Amount]]/Log_2019[[#This Row],[Split_raw]]*MAX(0,MIN(_xlfn.DAYS(EDATE(AA$1,1),Log_2019[[#This Row],[Date]]),Log_2019[[#This Row],[Split_apply]])) - SUM($O348:Z348)</f>
        <v>0</v>
      </c>
      <c r="AB348" s="54">
        <f ca="1">Log_2019[[#This Row],[Amount]]-SUM(O348:AA348)</f>
        <v>0</v>
      </c>
      <c r="AC348" s="7">
        <f>MAX(0,Log_2019[[#This Row],[Split_raw]] - (EDATE(AA$1,1)-Log_2019[[#This Row],[Date]]))</f>
        <v>0</v>
      </c>
    </row>
    <row r="349" spans="1:29" x14ac:dyDescent="0.25">
      <c r="A349" s="42"/>
      <c r="B349" s="34" t="s">
        <v>6</v>
      </c>
      <c r="C349" s="34"/>
      <c r="D349" s="35">
        <v>43661</v>
      </c>
      <c r="E349" s="34"/>
      <c r="F349" s="34" t="s">
        <v>554</v>
      </c>
      <c r="G349" s="34" t="s">
        <v>182</v>
      </c>
      <c r="H349">
        <v>-6.85</v>
      </c>
      <c r="I349" s="36">
        <f>IF(Log_2019[[#This Row],[My Category]]="NONTRACKED",0,Log_2019[[#This Row],[Raw Amount]])</f>
        <v>-6.85</v>
      </c>
      <c r="J349" s="37">
        <f>ABS(Log_2019[[#This Row],[Amount]])</f>
        <v>6.85</v>
      </c>
      <c r="K349" s="38">
        <v>1</v>
      </c>
      <c r="L349" s="38">
        <f ca="1">IF(Log_2019[[#This Row],[Date]]&lt;=TODAY(), MIN(Log_2019[[#This Row],[Split_raw]], TODAY()-Log_2019[[#This Row],[Date]]+1), 0)</f>
        <v>1</v>
      </c>
      <c r="M349" s="34" t="s">
        <v>12</v>
      </c>
      <c r="N349" s="34" t="s">
        <v>158</v>
      </c>
      <c r="O349" s="7">
        <v>0</v>
      </c>
      <c r="P349" s="52">
        <f ca="1">Log_2019[[#This Row],[Amount]]/Log_2019[[#This Row],[Split_raw]]*MAX(0,MIN(_xlfn.DAYS(EDATE(P$1,1),Log_2019[[#This Row],[Date]]),Log_2019[[#This Row],[Split_apply]])) - SUM($O349:O349)</f>
        <v>0</v>
      </c>
      <c r="Q349" s="52">
        <f ca="1">Log_2019[[#This Row],[Amount]]/Log_2019[[#This Row],[Split_raw]]*MAX(0,MIN(_xlfn.DAYS(EDATE(Q$1,1),Log_2019[[#This Row],[Date]]),Log_2019[[#This Row],[Split_apply]])) - SUM($O349:P349)</f>
        <v>0</v>
      </c>
      <c r="R349" s="52">
        <f ca="1">Log_2019[[#This Row],[Amount]]/Log_2019[[#This Row],[Split_raw]]*MAX(0,MIN(_xlfn.DAYS(EDATE(R$1,1),Log_2019[[#This Row],[Date]]),Log_2019[[#This Row],[Split_apply]])) - SUM($O349:Q349)</f>
        <v>0</v>
      </c>
      <c r="S349" s="52">
        <f ca="1">Log_2019[[#This Row],[Amount]]/Log_2019[[#This Row],[Split_raw]]*MAX(0,MIN(_xlfn.DAYS(EDATE(S$1,1),Log_2019[[#This Row],[Date]]),Log_2019[[#This Row],[Split_apply]])) - SUM($O349:R349)</f>
        <v>0</v>
      </c>
      <c r="T349" s="52">
        <f ca="1">Log_2019[[#This Row],[Amount]]/Log_2019[[#This Row],[Split_raw]]*MAX(0,MIN(_xlfn.DAYS(EDATE(T$1,1),Log_2019[[#This Row],[Date]]),Log_2019[[#This Row],[Split_apply]])) - SUM($O349:S349)</f>
        <v>0</v>
      </c>
      <c r="U349" s="52">
        <f ca="1">Log_2019[[#This Row],[Amount]]/Log_2019[[#This Row],[Split_raw]]*MAX(0,MIN(_xlfn.DAYS(EDATE(U$1,1),Log_2019[[#This Row],[Date]]),Log_2019[[#This Row],[Split_apply]])) - SUM($O349:T349)</f>
        <v>0</v>
      </c>
      <c r="V349" s="52">
        <f ca="1">Log_2019[[#This Row],[Amount]]/Log_2019[[#This Row],[Split_raw]]*MAX(0,MIN(_xlfn.DAYS(EDATE(V$1,1),Log_2019[[#This Row],[Date]]),Log_2019[[#This Row],[Split_apply]])) - SUM($O349:U349)</f>
        <v>-6.85</v>
      </c>
      <c r="W349" s="52">
        <f ca="1">Log_2019[[#This Row],[Amount]]/Log_2019[[#This Row],[Split_raw]]*MAX(0,MIN(_xlfn.DAYS(EDATE(W$1,1),Log_2019[[#This Row],[Date]]),Log_2019[[#This Row],[Split_apply]])) - SUM($O349:V349)</f>
        <v>0</v>
      </c>
      <c r="X349" s="52">
        <f ca="1">Log_2019[[#This Row],[Amount]]/Log_2019[[#This Row],[Split_raw]]*MAX(0,MIN(_xlfn.DAYS(EDATE(X$1,1),Log_2019[[#This Row],[Date]]),Log_2019[[#This Row],[Split_apply]])) - SUM($O349:W349)</f>
        <v>0</v>
      </c>
      <c r="Y349" s="52">
        <f ca="1">Log_2019[[#This Row],[Amount]]/Log_2019[[#This Row],[Split_raw]]*MAX(0,MIN(_xlfn.DAYS(EDATE(Y$1,1),Log_2019[[#This Row],[Date]]),Log_2019[[#This Row],[Split_apply]])) - SUM($O349:X349)</f>
        <v>0</v>
      </c>
      <c r="Z349" s="52">
        <f ca="1">Log_2019[[#This Row],[Amount]]/Log_2019[[#This Row],[Split_raw]]*MAX(0,MIN(_xlfn.DAYS(EDATE(Z$1,1),Log_2019[[#This Row],[Date]]),Log_2019[[#This Row],[Split_apply]])) - SUM($O349:Y349)</f>
        <v>0</v>
      </c>
      <c r="AA349" s="52">
        <f ca="1">Log_2019[[#This Row],[Amount]]/Log_2019[[#This Row],[Split_raw]]*MAX(0,MIN(_xlfn.DAYS(EDATE(AA$1,1),Log_2019[[#This Row],[Date]]),Log_2019[[#This Row],[Split_apply]])) - SUM($O349:Z349)</f>
        <v>0</v>
      </c>
      <c r="AB349" s="54">
        <f ca="1">Log_2019[[#This Row],[Amount]]-SUM(O349:AA349)</f>
        <v>0</v>
      </c>
      <c r="AC349" s="7">
        <f>MAX(0,Log_2019[[#This Row],[Split_raw]] - (EDATE(AA$1,1)-Log_2019[[#This Row],[Date]]))</f>
        <v>0</v>
      </c>
    </row>
    <row r="350" spans="1:29" x14ac:dyDescent="0.25">
      <c r="A350" s="42"/>
      <c r="B350" s="34" t="s">
        <v>6</v>
      </c>
      <c r="C350" s="34"/>
      <c r="D350" s="35">
        <v>43661</v>
      </c>
      <c r="E350" s="34"/>
      <c r="F350" s="34" t="s">
        <v>255</v>
      </c>
      <c r="G350" s="34" t="s">
        <v>25</v>
      </c>
      <c r="H350">
        <v>-3.28</v>
      </c>
      <c r="I350" s="36">
        <f>IF(Log_2019[[#This Row],[My Category]]="NONTRACKED",0,Log_2019[[#This Row],[Raw Amount]])</f>
        <v>-3.28</v>
      </c>
      <c r="J350" s="37">
        <f>ABS(Log_2019[[#This Row],[Amount]])</f>
        <v>3.28</v>
      </c>
      <c r="K350" s="38">
        <v>1</v>
      </c>
      <c r="L350" s="38">
        <f ca="1">IF(Log_2019[[#This Row],[Date]]&lt;=TODAY(), MIN(Log_2019[[#This Row],[Split_raw]], TODAY()-Log_2019[[#This Row],[Date]]+1), 0)</f>
        <v>1</v>
      </c>
      <c r="M350" s="34" t="s">
        <v>35</v>
      </c>
      <c r="N350" s="34" t="s">
        <v>158</v>
      </c>
      <c r="O350" s="7">
        <v>0</v>
      </c>
      <c r="P350" s="52">
        <f ca="1">Log_2019[[#This Row],[Amount]]/Log_2019[[#This Row],[Split_raw]]*MAX(0,MIN(_xlfn.DAYS(EDATE(P$1,1),Log_2019[[#This Row],[Date]]),Log_2019[[#This Row],[Split_apply]])) - SUM($O350:O350)</f>
        <v>0</v>
      </c>
      <c r="Q350" s="52">
        <f ca="1">Log_2019[[#This Row],[Amount]]/Log_2019[[#This Row],[Split_raw]]*MAX(0,MIN(_xlfn.DAYS(EDATE(Q$1,1),Log_2019[[#This Row],[Date]]),Log_2019[[#This Row],[Split_apply]])) - SUM($O350:P350)</f>
        <v>0</v>
      </c>
      <c r="R350" s="52">
        <f ca="1">Log_2019[[#This Row],[Amount]]/Log_2019[[#This Row],[Split_raw]]*MAX(0,MIN(_xlfn.DAYS(EDATE(R$1,1),Log_2019[[#This Row],[Date]]),Log_2019[[#This Row],[Split_apply]])) - SUM($O350:Q350)</f>
        <v>0</v>
      </c>
      <c r="S350" s="52">
        <f ca="1">Log_2019[[#This Row],[Amount]]/Log_2019[[#This Row],[Split_raw]]*MAX(0,MIN(_xlfn.DAYS(EDATE(S$1,1),Log_2019[[#This Row],[Date]]),Log_2019[[#This Row],[Split_apply]])) - SUM($O350:R350)</f>
        <v>0</v>
      </c>
      <c r="T350" s="52">
        <f ca="1">Log_2019[[#This Row],[Amount]]/Log_2019[[#This Row],[Split_raw]]*MAX(0,MIN(_xlfn.DAYS(EDATE(T$1,1),Log_2019[[#This Row],[Date]]),Log_2019[[#This Row],[Split_apply]])) - SUM($O350:S350)</f>
        <v>0</v>
      </c>
      <c r="U350" s="52">
        <f ca="1">Log_2019[[#This Row],[Amount]]/Log_2019[[#This Row],[Split_raw]]*MAX(0,MIN(_xlfn.DAYS(EDATE(U$1,1),Log_2019[[#This Row],[Date]]),Log_2019[[#This Row],[Split_apply]])) - SUM($O350:T350)</f>
        <v>0</v>
      </c>
      <c r="V350" s="52">
        <f ca="1">Log_2019[[#This Row],[Amount]]/Log_2019[[#This Row],[Split_raw]]*MAX(0,MIN(_xlfn.DAYS(EDATE(V$1,1),Log_2019[[#This Row],[Date]]),Log_2019[[#This Row],[Split_apply]])) - SUM($O350:U350)</f>
        <v>-3.28</v>
      </c>
      <c r="W350" s="52">
        <f ca="1">Log_2019[[#This Row],[Amount]]/Log_2019[[#This Row],[Split_raw]]*MAX(0,MIN(_xlfn.DAYS(EDATE(W$1,1),Log_2019[[#This Row],[Date]]),Log_2019[[#This Row],[Split_apply]])) - SUM($O350:V350)</f>
        <v>0</v>
      </c>
      <c r="X350" s="52">
        <f ca="1">Log_2019[[#This Row],[Amount]]/Log_2019[[#This Row],[Split_raw]]*MAX(0,MIN(_xlfn.DAYS(EDATE(X$1,1),Log_2019[[#This Row],[Date]]),Log_2019[[#This Row],[Split_apply]])) - SUM($O350:W350)</f>
        <v>0</v>
      </c>
      <c r="Y350" s="52">
        <f ca="1">Log_2019[[#This Row],[Amount]]/Log_2019[[#This Row],[Split_raw]]*MAX(0,MIN(_xlfn.DAYS(EDATE(Y$1,1),Log_2019[[#This Row],[Date]]),Log_2019[[#This Row],[Split_apply]])) - SUM($O350:X350)</f>
        <v>0</v>
      </c>
      <c r="Z350" s="52">
        <f ca="1">Log_2019[[#This Row],[Amount]]/Log_2019[[#This Row],[Split_raw]]*MAX(0,MIN(_xlfn.DAYS(EDATE(Z$1,1),Log_2019[[#This Row],[Date]]),Log_2019[[#This Row],[Split_apply]])) - SUM($O350:Y350)</f>
        <v>0</v>
      </c>
      <c r="AA350" s="52">
        <f ca="1">Log_2019[[#This Row],[Amount]]/Log_2019[[#This Row],[Split_raw]]*MAX(0,MIN(_xlfn.DAYS(EDATE(AA$1,1),Log_2019[[#This Row],[Date]]),Log_2019[[#This Row],[Split_apply]])) - SUM($O350:Z350)</f>
        <v>0</v>
      </c>
      <c r="AB350" s="54">
        <f ca="1">Log_2019[[#This Row],[Amount]]-SUM(O350:AA350)</f>
        <v>0</v>
      </c>
      <c r="AC350" s="7">
        <f>MAX(0,Log_2019[[#This Row],[Split_raw]] - (EDATE(AA$1,1)-Log_2019[[#This Row],[Date]]))</f>
        <v>0</v>
      </c>
    </row>
    <row r="351" spans="1:29" x14ac:dyDescent="0.25">
      <c r="A351" s="42"/>
      <c r="B351" s="34" t="s">
        <v>6</v>
      </c>
      <c r="C351" s="34"/>
      <c r="D351" s="35">
        <v>43661</v>
      </c>
      <c r="E351" s="34" t="s">
        <v>669</v>
      </c>
      <c r="F351" s="34" t="s">
        <v>656</v>
      </c>
      <c r="G351" s="34" t="s">
        <v>11</v>
      </c>
      <c r="H351">
        <v>-31.36</v>
      </c>
      <c r="I351" s="36">
        <f>IF(Log_2019[[#This Row],[My Category]]="NONTRACKED",0,Log_2019[[#This Row],[Raw Amount]])</f>
        <v>-31.36</v>
      </c>
      <c r="J351" s="37">
        <f>ABS(Log_2019[[#This Row],[Amount]])</f>
        <v>31.36</v>
      </c>
      <c r="K351" s="38">
        <v>1</v>
      </c>
      <c r="L351" s="38">
        <f ca="1">IF(Log_2019[[#This Row],[Date]]&lt;=TODAY(), MIN(Log_2019[[#This Row],[Split_raw]], TODAY()-Log_2019[[#This Row],[Date]]+1), 0)</f>
        <v>1</v>
      </c>
      <c r="M351" s="34" t="s">
        <v>145</v>
      </c>
      <c r="N351" s="34" t="s">
        <v>158</v>
      </c>
      <c r="O351" s="7">
        <v>0</v>
      </c>
      <c r="P351" s="52">
        <f ca="1">Log_2019[[#This Row],[Amount]]/Log_2019[[#This Row],[Split_raw]]*MAX(0,MIN(_xlfn.DAYS(EDATE(P$1,1),Log_2019[[#This Row],[Date]]),Log_2019[[#This Row],[Split_apply]])) - SUM($O351:O351)</f>
        <v>0</v>
      </c>
      <c r="Q351" s="52">
        <f ca="1">Log_2019[[#This Row],[Amount]]/Log_2019[[#This Row],[Split_raw]]*MAX(0,MIN(_xlfn.DAYS(EDATE(Q$1,1),Log_2019[[#This Row],[Date]]),Log_2019[[#This Row],[Split_apply]])) - SUM($O351:P351)</f>
        <v>0</v>
      </c>
      <c r="R351" s="52">
        <f ca="1">Log_2019[[#This Row],[Amount]]/Log_2019[[#This Row],[Split_raw]]*MAX(0,MIN(_xlfn.DAYS(EDATE(R$1,1),Log_2019[[#This Row],[Date]]),Log_2019[[#This Row],[Split_apply]])) - SUM($O351:Q351)</f>
        <v>0</v>
      </c>
      <c r="S351" s="52">
        <f ca="1">Log_2019[[#This Row],[Amount]]/Log_2019[[#This Row],[Split_raw]]*MAX(0,MIN(_xlfn.DAYS(EDATE(S$1,1),Log_2019[[#This Row],[Date]]),Log_2019[[#This Row],[Split_apply]])) - SUM($O351:R351)</f>
        <v>0</v>
      </c>
      <c r="T351" s="52">
        <f ca="1">Log_2019[[#This Row],[Amount]]/Log_2019[[#This Row],[Split_raw]]*MAX(0,MIN(_xlfn.DAYS(EDATE(T$1,1),Log_2019[[#This Row],[Date]]),Log_2019[[#This Row],[Split_apply]])) - SUM($O351:S351)</f>
        <v>0</v>
      </c>
      <c r="U351" s="52">
        <f ca="1">Log_2019[[#This Row],[Amount]]/Log_2019[[#This Row],[Split_raw]]*MAX(0,MIN(_xlfn.DAYS(EDATE(U$1,1),Log_2019[[#This Row],[Date]]),Log_2019[[#This Row],[Split_apply]])) - SUM($O351:T351)</f>
        <v>0</v>
      </c>
      <c r="V351" s="52">
        <f ca="1">Log_2019[[#This Row],[Amount]]/Log_2019[[#This Row],[Split_raw]]*MAX(0,MIN(_xlfn.DAYS(EDATE(V$1,1),Log_2019[[#This Row],[Date]]),Log_2019[[#This Row],[Split_apply]])) - SUM($O351:U351)</f>
        <v>-31.36</v>
      </c>
      <c r="W351" s="52">
        <f ca="1">Log_2019[[#This Row],[Amount]]/Log_2019[[#This Row],[Split_raw]]*MAX(0,MIN(_xlfn.DAYS(EDATE(W$1,1),Log_2019[[#This Row],[Date]]),Log_2019[[#This Row],[Split_apply]])) - SUM($O351:V351)</f>
        <v>0</v>
      </c>
      <c r="X351" s="52">
        <f ca="1">Log_2019[[#This Row],[Amount]]/Log_2019[[#This Row],[Split_raw]]*MAX(0,MIN(_xlfn.DAYS(EDATE(X$1,1),Log_2019[[#This Row],[Date]]),Log_2019[[#This Row],[Split_apply]])) - SUM($O351:W351)</f>
        <v>0</v>
      </c>
      <c r="Y351" s="52">
        <f ca="1">Log_2019[[#This Row],[Amount]]/Log_2019[[#This Row],[Split_raw]]*MAX(0,MIN(_xlfn.DAYS(EDATE(Y$1,1),Log_2019[[#This Row],[Date]]),Log_2019[[#This Row],[Split_apply]])) - SUM($O351:X351)</f>
        <v>0</v>
      </c>
      <c r="Z351" s="52">
        <f ca="1">Log_2019[[#This Row],[Amount]]/Log_2019[[#This Row],[Split_raw]]*MAX(0,MIN(_xlfn.DAYS(EDATE(Z$1,1),Log_2019[[#This Row],[Date]]),Log_2019[[#This Row],[Split_apply]])) - SUM($O351:Y351)</f>
        <v>0</v>
      </c>
      <c r="AA351" s="52">
        <f ca="1">Log_2019[[#This Row],[Amount]]/Log_2019[[#This Row],[Split_raw]]*MAX(0,MIN(_xlfn.DAYS(EDATE(AA$1,1),Log_2019[[#This Row],[Date]]),Log_2019[[#This Row],[Split_apply]])) - SUM($O351:Z351)</f>
        <v>0</v>
      </c>
      <c r="AB351" s="54">
        <f ca="1">Log_2019[[#This Row],[Amount]]-SUM(O351:AA351)</f>
        <v>0</v>
      </c>
      <c r="AC351" s="7">
        <f>MAX(0,Log_2019[[#This Row],[Split_raw]] - (EDATE(AA$1,1)-Log_2019[[#This Row],[Date]]))</f>
        <v>0</v>
      </c>
    </row>
    <row r="352" spans="1:29" x14ac:dyDescent="0.25">
      <c r="A352" s="42"/>
      <c r="B352" s="34" t="s">
        <v>6</v>
      </c>
      <c r="C352" s="34"/>
      <c r="D352" s="35">
        <v>43661</v>
      </c>
      <c r="E352" s="34"/>
      <c r="F352" s="34" t="s">
        <v>331</v>
      </c>
      <c r="G352" s="34" t="s">
        <v>104</v>
      </c>
      <c r="H352">
        <v>-9.5399999999999991</v>
      </c>
      <c r="I352" s="36">
        <f>IF(Log_2019[[#This Row],[My Category]]="NONTRACKED",0,Log_2019[[#This Row],[Raw Amount]])</f>
        <v>-9.5399999999999991</v>
      </c>
      <c r="J352" s="37">
        <f>ABS(Log_2019[[#This Row],[Amount]])</f>
        <v>9.5399999999999991</v>
      </c>
      <c r="K352" s="38">
        <v>1</v>
      </c>
      <c r="L352" s="38">
        <f ca="1">IF(Log_2019[[#This Row],[Date]]&lt;=TODAY(), MIN(Log_2019[[#This Row],[Split_raw]], TODAY()-Log_2019[[#This Row],[Date]]+1), 0)</f>
        <v>1</v>
      </c>
      <c r="M352" s="34" t="s">
        <v>159</v>
      </c>
      <c r="N352" s="34" t="s">
        <v>160</v>
      </c>
      <c r="O352" s="7">
        <v>0</v>
      </c>
      <c r="P352" s="52">
        <f ca="1">Log_2019[[#This Row],[Amount]]/Log_2019[[#This Row],[Split_raw]]*MAX(0,MIN(_xlfn.DAYS(EDATE(P$1,1),Log_2019[[#This Row],[Date]]),Log_2019[[#This Row],[Split_apply]])) - SUM($O352:O352)</f>
        <v>0</v>
      </c>
      <c r="Q352" s="52">
        <f ca="1">Log_2019[[#This Row],[Amount]]/Log_2019[[#This Row],[Split_raw]]*MAX(0,MIN(_xlfn.DAYS(EDATE(Q$1,1),Log_2019[[#This Row],[Date]]),Log_2019[[#This Row],[Split_apply]])) - SUM($O352:P352)</f>
        <v>0</v>
      </c>
      <c r="R352" s="52">
        <f ca="1">Log_2019[[#This Row],[Amount]]/Log_2019[[#This Row],[Split_raw]]*MAX(0,MIN(_xlfn.DAYS(EDATE(R$1,1),Log_2019[[#This Row],[Date]]),Log_2019[[#This Row],[Split_apply]])) - SUM($O352:Q352)</f>
        <v>0</v>
      </c>
      <c r="S352" s="52">
        <f ca="1">Log_2019[[#This Row],[Amount]]/Log_2019[[#This Row],[Split_raw]]*MAX(0,MIN(_xlfn.DAYS(EDATE(S$1,1),Log_2019[[#This Row],[Date]]),Log_2019[[#This Row],[Split_apply]])) - SUM($O352:R352)</f>
        <v>0</v>
      </c>
      <c r="T352" s="52">
        <f ca="1">Log_2019[[#This Row],[Amount]]/Log_2019[[#This Row],[Split_raw]]*MAX(0,MIN(_xlfn.DAYS(EDATE(T$1,1),Log_2019[[#This Row],[Date]]),Log_2019[[#This Row],[Split_apply]])) - SUM($O352:S352)</f>
        <v>0</v>
      </c>
      <c r="U352" s="52">
        <f ca="1">Log_2019[[#This Row],[Amount]]/Log_2019[[#This Row],[Split_raw]]*MAX(0,MIN(_xlfn.DAYS(EDATE(U$1,1),Log_2019[[#This Row],[Date]]),Log_2019[[#This Row],[Split_apply]])) - SUM($O352:T352)</f>
        <v>0</v>
      </c>
      <c r="V352" s="52">
        <f ca="1">Log_2019[[#This Row],[Amount]]/Log_2019[[#This Row],[Split_raw]]*MAX(0,MIN(_xlfn.DAYS(EDATE(V$1,1),Log_2019[[#This Row],[Date]]),Log_2019[[#This Row],[Split_apply]])) - SUM($O352:U352)</f>
        <v>-9.5399999999999991</v>
      </c>
      <c r="W352" s="52">
        <f ca="1">Log_2019[[#This Row],[Amount]]/Log_2019[[#This Row],[Split_raw]]*MAX(0,MIN(_xlfn.DAYS(EDATE(W$1,1),Log_2019[[#This Row],[Date]]),Log_2019[[#This Row],[Split_apply]])) - SUM($O352:V352)</f>
        <v>0</v>
      </c>
      <c r="X352" s="52">
        <f ca="1">Log_2019[[#This Row],[Amount]]/Log_2019[[#This Row],[Split_raw]]*MAX(0,MIN(_xlfn.DAYS(EDATE(X$1,1),Log_2019[[#This Row],[Date]]),Log_2019[[#This Row],[Split_apply]])) - SUM($O352:W352)</f>
        <v>0</v>
      </c>
      <c r="Y352" s="52">
        <f ca="1">Log_2019[[#This Row],[Amount]]/Log_2019[[#This Row],[Split_raw]]*MAX(0,MIN(_xlfn.DAYS(EDATE(Y$1,1),Log_2019[[#This Row],[Date]]),Log_2019[[#This Row],[Split_apply]])) - SUM($O352:X352)</f>
        <v>0</v>
      </c>
      <c r="Z352" s="52">
        <f ca="1">Log_2019[[#This Row],[Amount]]/Log_2019[[#This Row],[Split_raw]]*MAX(0,MIN(_xlfn.DAYS(EDATE(Z$1,1),Log_2019[[#This Row],[Date]]),Log_2019[[#This Row],[Split_apply]])) - SUM($O352:Y352)</f>
        <v>0</v>
      </c>
      <c r="AA352" s="52">
        <f ca="1">Log_2019[[#This Row],[Amount]]/Log_2019[[#This Row],[Split_raw]]*MAX(0,MIN(_xlfn.DAYS(EDATE(AA$1,1),Log_2019[[#This Row],[Date]]),Log_2019[[#This Row],[Split_apply]])) - SUM($O352:Z352)</f>
        <v>0</v>
      </c>
      <c r="AB352" s="54">
        <f ca="1">Log_2019[[#This Row],[Amount]]-SUM(O352:AA352)</f>
        <v>0</v>
      </c>
      <c r="AC352" s="7">
        <f>MAX(0,Log_2019[[#This Row],[Split_raw]] - (EDATE(AA$1,1)-Log_2019[[#This Row],[Date]]))</f>
        <v>0</v>
      </c>
    </row>
    <row r="353" spans="1:29" x14ac:dyDescent="0.25">
      <c r="A353" s="42"/>
      <c r="B353" s="34" t="s">
        <v>191</v>
      </c>
      <c r="C353" s="34"/>
      <c r="D353" s="35">
        <v>43661</v>
      </c>
      <c r="E353" s="34" t="s">
        <v>1016</v>
      </c>
      <c r="F353" s="34" t="s">
        <v>86</v>
      </c>
      <c r="G353" s="34" t="s">
        <v>87</v>
      </c>
      <c r="H353">
        <v>-59.12</v>
      </c>
      <c r="I353" s="36">
        <f>IF(Log_2019[[#This Row],[My Category]]="NONTRACKED",0,Log_2019[[#This Row],[Raw Amount]])</f>
        <v>-59.12</v>
      </c>
      <c r="J353" s="37">
        <f>ABS(Log_2019[[#This Row],[Amount]])</f>
        <v>59.12</v>
      </c>
      <c r="K353" s="38">
        <v>30</v>
      </c>
      <c r="L353" s="38">
        <f ca="1">IF(Log_2019[[#This Row],[Date]]&lt;=TODAY(), MIN(Log_2019[[#This Row],[Split_raw]], TODAY()-Log_2019[[#This Row],[Date]]+1), 0)</f>
        <v>30</v>
      </c>
      <c r="M353" s="34" t="s">
        <v>29</v>
      </c>
      <c r="N353" s="34" t="s">
        <v>160</v>
      </c>
      <c r="O353" s="7">
        <v>0</v>
      </c>
      <c r="P353" s="52">
        <f ca="1">Log_2019[[#This Row],[Amount]]/Log_2019[[#This Row],[Split_raw]]*MAX(0,MIN(_xlfn.DAYS(EDATE(P$1,1),Log_2019[[#This Row],[Date]]),Log_2019[[#This Row],[Split_apply]])) - SUM($O353:O353)</f>
        <v>0</v>
      </c>
      <c r="Q353" s="52">
        <f ca="1">Log_2019[[#This Row],[Amount]]/Log_2019[[#This Row],[Split_raw]]*MAX(0,MIN(_xlfn.DAYS(EDATE(Q$1,1),Log_2019[[#This Row],[Date]]),Log_2019[[#This Row],[Split_apply]])) - SUM($O353:P353)</f>
        <v>0</v>
      </c>
      <c r="R353" s="52">
        <f ca="1">Log_2019[[#This Row],[Amount]]/Log_2019[[#This Row],[Split_raw]]*MAX(0,MIN(_xlfn.DAYS(EDATE(R$1,1),Log_2019[[#This Row],[Date]]),Log_2019[[#This Row],[Split_apply]])) - SUM($O353:Q353)</f>
        <v>0</v>
      </c>
      <c r="S353" s="52">
        <f ca="1">Log_2019[[#This Row],[Amount]]/Log_2019[[#This Row],[Split_raw]]*MAX(0,MIN(_xlfn.DAYS(EDATE(S$1,1),Log_2019[[#This Row],[Date]]),Log_2019[[#This Row],[Split_apply]])) - SUM($O353:R353)</f>
        <v>0</v>
      </c>
      <c r="T353" s="52">
        <f ca="1">Log_2019[[#This Row],[Amount]]/Log_2019[[#This Row],[Split_raw]]*MAX(0,MIN(_xlfn.DAYS(EDATE(T$1,1),Log_2019[[#This Row],[Date]]),Log_2019[[#This Row],[Split_apply]])) - SUM($O353:S353)</f>
        <v>0</v>
      </c>
      <c r="U353" s="52">
        <f ca="1">Log_2019[[#This Row],[Amount]]/Log_2019[[#This Row],[Split_raw]]*MAX(0,MIN(_xlfn.DAYS(EDATE(U$1,1),Log_2019[[#This Row],[Date]]),Log_2019[[#This Row],[Split_apply]])) - SUM($O353:T353)</f>
        <v>0</v>
      </c>
      <c r="V353" s="52">
        <f ca="1">Log_2019[[#This Row],[Amount]]/Log_2019[[#This Row],[Split_raw]]*MAX(0,MIN(_xlfn.DAYS(EDATE(V$1,1),Log_2019[[#This Row],[Date]]),Log_2019[[#This Row],[Split_apply]])) - SUM($O353:U353)</f>
        <v>-33.501333333333335</v>
      </c>
      <c r="W353" s="52">
        <f ca="1">Log_2019[[#This Row],[Amount]]/Log_2019[[#This Row],[Split_raw]]*MAX(0,MIN(_xlfn.DAYS(EDATE(W$1,1),Log_2019[[#This Row],[Date]]),Log_2019[[#This Row],[Split_apply]])) - SUM($O353:V353)</f>
        <v>-25.618666666666662</v>
      </c>
      <c r="X353" s="52">
        <f ca="1">Log_2019[[#This Row],[Amount]]/Log_2019[[#This Row],[Split_raw]]*MAX(0,MIN(_xlfn.DAYS(EDATE(X$1,1),Log_2019[[#This Row],[Date]]),Log_2019[[#This Row],[Split_apply]])) - SUM($O353:W353)</f>
        <v>0</v>
      </c>
      <c r="Y353" s="52">
        <f ca="1">Log_2019[[#This Row],[Amount]]/Log_2019[[#This Row],[Split_raw]]*MAX(0,MIN(_xlfn.DAYS(EDATE(Y$1,1),Log_2019[[#This Row],[Date]]),Log_2019[[#This Row],[Split_apply]])) - SUM($O353:X353)</f>
        <v>0</v>
      </c>
      <c r="Z353" s="52">
        <f ca="1">Log_2019[[#This Row],[Amount]]/Log_2019[[#This Row],[Split_raw]]*MAX(0,MIN(_xlfn.DAYS(EDATE(Z$1,1),Log_2019[[#This Row],[Date]]),Log_2019[[#This Row],[Split_apply]])) - SUM($O353:Y353)</f>
        <v>0</v>
      </c>
      <c r="AA353" s="52">
        <f ca="1">Log_2019[[#This Row],[Amount]]/Log_2019[[#This Row],[Split_raw]]*MAX(0,MIN(_xlfn.DAYS(EDATE(AA$1,1),Log_2019[[#This Row],[Date]]),Log_2019[[#This Row],[Split_apply]])) - SUM($O353:Z353)</f>
        <v>0</v>
      </c>
      <c r="AB353" s="54">
        <f ca="1">Log_2019[[#This Row],[Amount]]-SUM(O353:AA353)</f>
        <v>0</v>
      </c>
      <c r="AC353" s="74">
        <f>MAX(0,Log_2019[[#This Row],[Split_raw]] - (EDATE(AA$1,1)-Log_2019[[#This Row],[Date]]))</f>
        <v>0</v>
      </c>
    </row>
    <row r="354" spans="1:29" x14ac:dyDescent="0.25">
      <c r="A354" s="42"/>
      <c r="B354" s="34" t="s">
        <v>6</v>
      </c>
      <c r="C354" s="34"/>
      <c r="D354" s="35">
        <v>43658</v>
      </c>
      <c r="E354" s="34"/>
      <c r="F354" s="34" t="s">
        <v>270</v>
      </c>
      <c r="G354" s="34" t="s">
        <v>25</v>
      </c>
      <c r="H354">
        <v>-10.210000000000001</v>
      </c>
      <c r="I354" s="36">
        <f>IF(Log_2019[[#This Row],[My Category]]="NONTRACKED",0,Log_2019[[#This Row],[Raw Amount]])</f>
        <v>-10.210000000000001</v>
      </c>
      <c r="J354" s="37">
        <f>ABS(Log_2019[[#This Row],[Amount]])</f>
        <v>10.210000000000001</v>
      </c>
      <c r="K354" s="38">
        <v>1</v>
      </c>
      <c r="L354" s="38">
        <f ca="1">IF(Log_2019[[#This Row],[Date]]&lt;=TODAY(), MIN(Log_2019[[#This Row],[Split_raw]], TODAY()-Log_2019[[#This Row],[Date]]+1), 0)</f>
        <v>1</v>
      </c>
      <c r="M354" s="34" t="s">
        <v>35</v>
      </c>
      <c r="N354" s="34" t="s">
        <v>158</v>
      </c>
      <c r="O354" s="7">
        <v>0</v>
      </c>
      <c r="P354" s="52">
        <f ca="1">Log_2019[[#This Row],[Amount]]/Log_2019[[#This Row],[Split_raw]]*MAX(0,MIN(_xlfn.DAYS(EDATE(P$1,1),Log_2019[[#This Row],[Date]]),Log_2019[[#This Row],[Split_apply]])) - SUM($O354:O354)</f>
        <v>0</v>
      </c>
      <c r="Q354" s="52">
        <f ca="1">Log_2019[[#This Row],[Amount]]/Log_2019[[#This Row],[Split_raw]]*MAX(0,MIN(_xlfn.DAYS(EDATE(Q$1,1),Log_2019[[#This Row],[Date]]),Log_2019[[#This Row],[Split_apply]])) - SUM($O354:P354)</f>
        <v>0</v>
      </c>
      <c r="R354" s="52">
        <f ca="1">Log_2019[[#This Row],[Amount]]/Log_2019[[#This Row],[Split_raw]]*MAX(0,MIN(_xlfn.DAYS(EDATE(R$1,1),Log_2019[[#This Row],[Date]]),Log_2019[[#This Row],[Split_apply]])) - SUM($O354:Q354)</f>
        <v>0</v>
      </c>
      <c r="S354" s="52">
        <f ca="1">Log_2019[[#This Row],[Amount]]/Log_2019[[#This Row],[Split_raw]]*MAX(0,MIN(_xlfn.DAYS(EDATE(S$1,1),Log_2019[[#This Row],[Date]]),Log_2019[[#This Row],[Split_apply]])) - SUM($O354:R354)</f>
        <v>0</v>
      </c>
      <c r="T354" s="52">
        <f ca="1">Log_2019[[#This Row],[Amount]]/Log_2019[[#This Row],[Split_raw]]*MAX(0,MIN(_xlfn.DAYS(EDATE(T$1,1),Log_2019[[#This Row],[Date]]),Log_2019[[#This Row],[Split_apply]])) - SUM($O354:S354)</f>
        <v>0</v>
      </c>
      <c r="U354" s="52">
        <f ca="1">Log_2019[[#This Row],[Amount]]/Log_2019[[#This Row],[Split_raw]]*MAX(0,MIN(_xlfn.DAYS(EDATE(U$1,1),Log_2019[[#This Row],[Date]]),Log_2019[[#This Row],[Split_apply]])) - SUM($O354:T354)</f>
        <v>0</v>
      </c>
      <c r="V354" s="52">
        <f ca="1">Log_2019[[#This Row],[Amount]]/Log_2019[[#This Row],[Split_raw]]*MAX(0,MIN(_xlfn.DAYS(EDATE(V$1,1),Log_2019[[#This Row],[Date]]),Log_2019[[#This Row],[Split_apply]])) - SUM($O354:U354)</f>
        <v>-10.210000000000001</v>
      </c>
      <c r="W354" s="52">
        <f ca="1">Log_2019[[#This Row],[Amount]]/Log_2019[[#This Row],[Split_raw]]*MAX(0,MIN(_xlfn.DAYS(EDATE(W$1,1),Log_2019[[#This Row],[Date]]),Log_2019[[#This Row],[Split_apply]])) - SUM($O354:V354)</f>
        <v>0</v>
      </c>
      <c r="X354" s="52">
        <f ca="1">Log_2019[[#This Row],[Amount]]/Log_2019[[#This Row],[Split_raw]]*MAX(0,MIN(_xlfn.DAYS(EDATE(X$1,1),Log_2019[[#This Row],[Date]]),Log_2019[[#This Row],[Split_apply]])) - SUM($O354:W354)</f>
        <v>0</v>
      </c>
      <c r="Y354" s="52">
        <f ca="1">Log_2019[[#This Row],[Amount]]/Log_2019[[#This Row],[Split_raw]]*MAX(0,MIN(_xlfn.DAYS(EDATE(Y$1,1),Log_2019[[#This Row],[Date]]),Log_2019[[#This Row],[Split_apply]])) - SUM($O354:X354)</f>
        <v>0</v>
      </c>
      <c r="Z354" s="52">
        <f ca="1">Log_2019[[#This Row],[Amount]]/Log_2019[[#This Row],[Split_raw]]*MAX(0,MIN(_xlfn.DAYS(EDATE(Z$1,1),Log_2019[[#This Row],[Date]]),Log_2019[[#This Row],[Split_apply]])) - SUM($O354:Y354)</f>
        <v>0</v>
      </c>
      <c r="AA354" s="52">
        <f ca="1">Log_2019[[#This Row],[Amount]]/Log_2019[[#This Row],[Split_raw]]*MAX(0,MIN(_xlfn.DAYS(EDATE(AA$1,1),Log_2019[[#This Row],[Date]]),Log_2019[[#This Row],[Split_apply]])) - SUM($O354:Z354)</f>
        <v>0</v>
      </c>
      <c r="AB354" s="54">
        <f ca="1">Log_2019[[#This Row],[Amount]]-SUM(O354:AA354)</f>
        <v>0</v>
      </c>
      <c r="AC354" s="7">
        <f>MAX(0,Log_2019[[#This Row],[Split_raw]] - (EDATE(AA$1,1)-Log_2019[[#This Row],[Date]]))</f>
        <v>0</v>
      </c>
    </row>
    <row r="355" spans="1:29" x14ac:dyDescent="0.25">
      <c r="A355" s="42"/>
      <c r="B355" s="34" t="s">
        <v>6</v>
      </c>
      <c r="C355" s="34"/>
      <c r="D355" s="35">
        <v>43658</v>
      </c>
      <c r="E355" s="34"/>
      <c r="F355" s="34" t="s">
        <v>316</v>
      </c>
      <c r="G355" s="34" t="s">
        <v>104</v>
      </c>
      <c r="H355">
        <f>--9.54</f>
        <v>9.5399999999999991</v>
      </c>
      <c r="I355" s="36">
        <f>IF(Log_2019[[#This Row],[My Category]]="NONTRACKED",0,Log_2019[[#This Row],[Raw Amount]])</f>
        <v>9.5399999999999991</v>
      </c>
      <c r="J355" s="37">
        <f>ABS(Log_2019[[#This Row],[Amount]])</f>
        <v>9.5399999999999991</v>
      </c>
      <c r="K355" s="38">
        <v>1</v>
      </c>
      <c r="L355" s="38">
        <f ca="1">IF(Log_2019[[#This Row],[Date]]&lt;=TODAY(), MIN(Log_2019[[#This Row],[Split_raw]], TODAY()-Log_2019[[#This Row],[Date]]+1), 0)</f>
        <v>1</v>
      </c>
      <c r="M355" s="34" t="s">
        <v>159</v>
      </c>
      <c r="N355" s="34" t="s">
        <v>158</v>
      </c>
      <c r="O355" s="7">
        <v>0</v>
      </c>
      <c r="P355" s="52">
        <f ca="1">Log_2019[[#This Row],[Amount]]/Log_2019[[#This Row],[Split_raw]]*MAX(0,MIN(_xlfn.DAYS(EDATE(P$1,1),Log_2019[[#This Row],[Date]]),Log_2019[[#This Row],[Split_apply]])) - SUM($O355:O355)</f>
        <v>0</v>
      </c>
      <c r="Q355" s="52">
        <f ca="1">Log_2019[[#This Row],[Amount]]/Log_2019[[#This Row],[Split_raw]]*MAX(0,MIN(_xlfn.DAYS(EDATE(Q$1,1),Log_2019[[#This Row],[Date]]),Log_2019[[#This Row],[Split_apply]])) - SUM($O355:P355)</f>
        <v>0</v>
      </c>
      <c r="R355" s="52">
        <f ca="1">Log_2019[[#This Row],[Amount]]/Log_2019[[#This Row],[Split_raw]]*MAX(0,MIN(_xlfn.DAYS(EDATE(R$1,1),Log_2019[[#This Row],[Date]]),Log_2019[[#This Row],[Split_apply]])) - SUM($O355:Q355)</f>
        <v>0</v>
      </c>
      <c r="S355" s="52">
        <f ca="1">Log_2019[[#This Row],[Amount]]/Log_2019[[#This Row],[Split_raw]]*MAX(0,MIN(_xlfn.DAYS(EDATE(S$1,1),Log_2019[[#This Row],[Date]]),Log_2019[[#This Row],[Split_apply]])) - SUM($O355:R355)</f>
        <v>0</v>
      </c>
      <c r="T355" s="52">
        <f ca="1">Log_2019[[#This Row],[Amount]]/Log_2019[[#This Row],[Split_raw]]*MAX(0,MIN(_xlfn.DAYS(EDATE(T$1,1),Log_2019[[#This Row],[Date]]),Log_2019[[#This Row],[Split_apply]])) - SUM($O355:S355)</f>
        <v>0</v>
      </c>
      <c r="U355" s="52">
        <f ca="1">Log_2019[[#This Row],[Amount]]/Log_2019[[#This Row],[Split_raw]]*MAX(0,MIN(_xlfn.DAYS(EDATE(U$1,1),Log_2019[[#This Row],[Date]]),Log_2019[[#This Row],[Split_apply]])) - SUM($O355:T355)</f>
        <v>0</v>
      </c>
      <c r="V355" s="52">
        <f ca="1">Log_2019[[#This Row],[Amount]]/Log_2019[[#This Row],[Split_raw]]*MAX(0,MIN(_xlfn.DAYS(EDATE(V$1,1),Log_2019[[#This Row],[Date]]),Log_2019[[#This Row],[Split_apply]])) - SUM($O355:U355)</f>
        <v>9.5399999999999991</v>
      </c>
      <c r="W355" s="52">
        <f ca="1">Log_2019[[#This Row],[Amount]]/Log_2019[[#This Row],[Split_raw]]*MAX(0,MIN(_xlfn.DAYS(EDATE(W$1,1),Log_2019[[#This Row],[Date]]),Log_2019[[#This Row],[Split_apply]])) - SUM($O355:V355)</f>
        <v>0</v>
      </c>
      <c r="X355" s="52">
        <f ca="1">Log_2019[[#This Row],[Amount]]/Log_2019[[#This Row],[Split_raw]]*MAX(0,MIN(_xlfn.DAYS(EDATE(X$1,1),Log_2019[[#This Row],[Date]]),Log_2019[[#This Row],[Split_apply]])) - SUM($O355:W355)</f>
        <v>0</v>
      </c>
      <c r="Y355" s="52">
        <f ca="1">Log_2019[[#This Row],[Amount]]/Log_2019[[#This Row],[Split_raw]]*MAX(0,MIN(_xlfn.DAYS(EDATE(Y$1,1),Log_2019[[#This Row],[Date]]),Log_2019[[#This Row],[Split_apply]])) - SUM($O355:X355)</f>
        <v>0</v>
      </c>
      <c r="Z355" s="52">
        <f ca="1">Log_2019[[#This Row],[Amount]]/Log_2019[[#This Row],[Split_raw]]*MAX(0,MIN(_xlfn.DAYS(EDATE(Z$1,1),Log_2019[[#This Row],[Date]]),Log_2019[[#This Row],[Split_apply]])) - SUM($O355:Y355)</f>
        <v>0</v>
      </c>
      <c r="AA355" s="52">
        <f ca="1">Log_2019[[#This Row],[Amount]]/Log_2019[[#This Row],[Split_raw]]*MAX(0,MIN(_xlfn.DAYS(EDATE(AA$1,1),Log_2019[[#This Row],[Date]]),Log_2019[[#This Row],[Split_apply]])) - SUM($O355:Z355)</f>
        <v>0</v>
      </c>
      <c r="AB355" s="54">
        <f ca="1">Log_2019[[#This Row],[Amount]]-SUM(O355:AA355)</f>
        <v>0</v>
      </c>
      <c r="AC355" s="7">
        <f>MAX(0,Log_2019[[#This Row],[Split_raw]] - (EDATE(AA$1,1)-Log_2019[[#This Row],[Date]]))</f>
        <v>0</v>
      </c>
    </row>
    <row r="356" spans="1:29" x14ac:dyDescent="0.25">
      <c r="A356" s="42"/>
      <c r="B356" s="34" t="s">
        <v>6</v>
      </c>
      <c r="C356" s="34"/>
      <c r="D356" s="35">
        <v>43657</v>
      </c>
      <c r="E356" s="34"/>
      <c r="F356" s="34" t="s">
        <v>255</v>
      </c>
      <c r="G356" s="34" t="s">
        <v>25</v>
      </c>
      <c r="H356">
        <v>-8.5299999999999994</v>
      </c>
      <c r="I356" s="36">
        <f>IF(Log_2019[[#This Row],[My Category]]="NONTRACKED",0,Log_2019[[#This Row],[Raw Amount]])</f>
        <v>-8.5299999999999994</v>
      </c>
      <c r="J356" s="37">
        <f>ABS(Log_2019[[#This Row],[Amount]])</f>
        <v>8.5299999999999994</v>
      </c>
      <c r="K356" s="38">
        <v>1</v>
      </c>
      <c r="L356" s="38">
        <f ca="1">IF(Log_2019[[#This Row],[Date]]&lt;=TODAY(), MIN(Log_2019[[#This Row],[Split_raw]], TODAY()-Log_2019[[#This Row],[Date]]+1), 0)</f>
        <v>1</v>
      </c>
      <c r="M356" s="34" t="s">
        <v>35</v>
      </c>
      <c r="N356" s="34" t="s">
        <v>158</v>
      </c>
      <c r="O356" s="7">
        <v>0</v>
      </c>
      <c r="P356" s="52">
        <f ca="1">Log_2019[[#This Row],[Amount]]/Log_2019[[#This Row],[Split_raw]]*MAX(0,MIN(_xlfn.DAYS(EDATE(P$1,1),Log_2019[[#This Row],[Date]]),Log_2019[[#This Row],[Split_apply]])) - SUM($O356:O356)</f>
        <v>0</v>
      </c>
      <c r="Q356" s="52">
        <f ca="1">Log_2019[[#This Row],[Amount]]/Log_2019[[#This Row],[Split_raw]]*MAX(0,MIN(_xlfn.DAYS(EDATE(Q$1,1),Log_2019[[#This Row],[Date]]),Log_2019[[#This Row],[Split_apply]])) - SUM($O356:P356)</f>
        <v>0</v>
      </c>
      <c r="R356" s="52">
        <f ca="1">Log_2019[[#This Row],[Amount]]/Log_2019[[#This Row],[Split_raw]]*MAX(0,MIN(_xlfn.DAYS(EDATE(R$1,1),Log_2019[[#This Row],[Date]]),Log_2019[[#This Row],[Split_apply]])) - SUM($O356:Q356)</f>
        <v>0</v>
      </c>
      <c r="S356" s="52">
        <f ca="1">Log_2019[[#This Row],[Amount]]/Log_2019[[#This Row],[Split_raw]]*MAX(0,MIN(_xlfn.DAYS(EDATE(S$1,1),Log_2019[[#This Row],[Date]]),Log_2019[[#This Row],[Split_apply]])) - SUM($O356:R356)</f>
        <v>0</v>
      </c>
      <c r="T356" s="52">
        <f ca="1">Log_2019[[#This Row],[Amount]]/Log_2019[[#This Row],[Split_raw]]*MAX(0,MIN(_xlfn.DAYS(EDATE(T$1,1),Log_2019[[#This Row],[Date]]),Log_2019[[#This Row],[Split_apply]])) - SUM($O356:S356)</f>
        <v>0</v>
      </c>
      <c r="U356" s="52">
        <f ca="1">Log_2019[[#This Row],[Amount]]/Log_2019[[#This Row],[Split_raw]]*MAX(0,MIN(_xlfn.DAYS(EDATE(U$1,1),Log_2019[[#This Row],[Date]]),Log_2019[[#This Row],[Split_apply]])) - SUM($O356:T356)</f>
        <v>0</v>
      </c>
      <c r="V356" s="52">
        <f ca="1">Log_2019[[#This Row],[Amount]]/Log_2019[[#This Row],[Split_raw]]*MAX(0,MIN(_xlfn.DAYS(EDATE(V$1,1),Log_2019[[#This Row],[Date]]),Log_2019[[#This Row],[Split_apply]])) - SUM($O356:U356)</f>
        <v>-8.5299999999999994</v>
      </c>
      <c r="W356" s="52">
        <f ca="1">Log_2019[[#This Row],[Amount]]/Log_2019[[#This Row],[Split_raw]]*MAX(0,MIN(_xlfn.DAYS(EDATE(W$1,1),Log_2019[[#This Row],[Date]]),Log_2019[[#This Row],[Split_apply]])) - SUM($O356:V356)</f>
        <v>0</v>
      </c>
      <c r="X356" s="52">
        <f ca="1">Log_2019[[#This Row],[Amount]]/Log_2019[[#This Row],[Split_raw]]*MAX(0,MIN(_xlfn.DAYS(EDATE(X$1,1),Log_2019[[#This Row],[Date]]),Log_2019[[#This Row],[Split_apply]])) - SUM($O356:W356)</f>
        <v>0</v>
      </c>
      <c r="Y356" s="52">
        <f ca="1">Log_2019[[#This Row],[Amount]]/Log_2019[[#This Row],[Split_raw]]*MAX(0,MIN(_xlfn.DAYS(EDATE(Y$1,1),Log_2019[[#This Row],[Date]]),Log_2019[[#This Row],[Split_apply]])) - SUM($O356:X356)</f>
        <v>0</v>
      </c>
      <c r="Z356" s="52">
        <f ca="1">Log_2019[[#This Row],[Amount]]/Log_2019[[#This Row],[Split_raw]]*MAX(0,MIN(_xlfn.DAYS(EDATE(Z$1,1),Log_2019[[#This Row],[Date]]),Log_2019[[#This Row],[Split_apply]])) - SUM($O356:Y356)</f>
        <v>0</v>
      </c>
      <c r="AA356" s="52">
        <f ca="1">Log_2019[[#This Row],[Amount]]/Log_2019[[#This Row],[Split_raw]]*MAX(0,MIN(_xlfn.DAYS(EDATE(AA$1,1),Log_2019[[#This Row],[Date]]),Log_2019[[#This Row],[Split_apply]])) - SUM($O356:Z356)</f>
        <v>0</v>
      </c>
      <c r="AB356" s="54">
        <f ca="1">Log_2019[[#This Row],[Amount]]-SUM(O356:AA356)</f>
        <v>0</v>
      </c>
      <c r="AC356" s="7">
        <f>MAX(0,Log_2019[[#This Row],[Split_raw]] - (EDATE(AA$1,1)-Log_2019[[#This Row],[Date]]))</f>
        <v>0</v>
      </c>
    </row>
    <row r="357" spans="1:29" x14ac:dyDescent="0.25">
      <c r="A357" s="42"/>
      <c r="B357" s="34" t="s">
        <v>6</v>
      </c>
      <c r="C357" s="34"/>
      <c r="D357" s="35">
        <v>43657</v>
      </c>
      <c r="E357" s="34"/>
      <c r="F357" s="34" t="s">
        <v>83</v>
      </c>
      <c r="G357" s="34" t="s">
        <v>15</v>
      </c>
      <c r="H357">
        <v>-222.65</v>
      </c>
      <c r="I357" s="36">
        <f>IF(Log_2019[[#This Row],[My Category]]="NONTRACKED",0,Log_2019[[#This Row],[Raw Amount]])</f>
        <v>-222.65</v>
      </c>
      <c r="J357" s="37">
        <f>ABS(Log_2019[[#This Row],[Amount]])</f>
        <v>222.65</v>
      </c>
      <c r="K357" s="38">
        <v>30</v>
      </c>
      <c r="L357" s="38">
        <f ca="1">IF(Log_2019[[#This Row],[Date]]&lt;=TODAY(), MIN(Log_2019[[#This Row],[Split_raw]], TODAY()-Log_2019[[#This Row],[Date]]+1), 0)</f>
        <v>30</v>
      </c>
      <c r="M357" s="34" t="s">
        <v>241</v>
      </c>
      <c r="N357" s="34" t="s">
        <v>160</v>
      </c>
      <c r="O357" s="7">
        <v>0</v>
      </c>
      <c r="P357" s="52">
        <f ca="1">Log_2019[[#This Row],[Amount]]/Log_2019[[#This Row],[Split_raw]]*MAX(0,MIN(_xlfn.DAYS(EDATE(P$1,1),Log_2019[[#This Row],[Date]]),Log_2019[[#This Row],[Split_apply]])) - SUM($O357:O357)</f>
        <v>0</v>
      </c>
      <c r="Q357" s="52">
        <f ca="1">Log_2019[[#This Row],[Amount]]/Log_2019[[#This Row],[Split_raw]]*MAX(0,MIN(_xlfn.DAYS(EDATE(Q$1,1),Log_2019[[#This Row],[Date]]),Log_2019[[#This Row],[Split_apply]])) - SUM($O357:P357)</f>
        <v>0</v>
      </c>
      <c r="R357" s="52">
        <f ca="1">Log_2019[[#This Row],[Amount]]/Log_2019[[#This Row],[Split_raw]]*MAX(0,MIN(_xlfn.DAYS(EDATE(R$1,1),Log_2019[[#This Row],[Date]]),Log_2019[[#This Row],[Split_apply]])) - SUM($O357:Q357)</f>
        <v>0</v>
      </c>
      <c r="S357" s="52">
        <f ca="1">Log_2019[[#This Row],[Amount]]/Log_2019[[#This Row],[Split_raw]]*MAX(0,MIN(_xlfn.DAYS(EDATE(S$1,1),Log_2019[[#This Row],[Date]]),Log_2019[[#This Row],[Split_apply]])) - SUM($O357:R357)</f>
        <v>0</v>
      </c>
      <c r="T357" s="52">
        <f ca="1">Log_2019[[#This Row],[Amount]]/Log_2019[[#This Row],[Split_raw]]*MAX(0,MIN(_xlfn.DAYS(EDATE(T$1,1),Log_2019[[#This Row],[Date]]),Log_2019[[#This Row],[Split_apply]])) - SUM($O357:S357)</f>
        <v>0</v>
      </c>
      <c r="U357" s="52">
        <f ca="1">Log_2019[[#This Row],[Amount]]/Log_2019[[#This Row],[Split_raw]]*MAX(0,MIN(_xlfn.DAYS(EDATE(U$1,1),Log_2019[[#This Row],[Date]]),Log_2019[[#This Row],[Split_apply]])) - SUM($O357:T357)</f>
        <v>0</v>
      </c>
      <c r="V357" s="52">
        <f ca="1">Log_2019[[#This Row],[Amount]]/Log_2019[[#This Row],[Split_raw]]*MAX(0,MIN(_xlfn.DAYS(EDATE(V$1,1),Log_2019[[#This Row],[Date]]),Log_2019[[#This Row],[Split_apply]])) - SUM($O357:U357)</f>
        <v>-155.85500000000002</v>
      </c>
      <c r="W357" s="52">
        <f ca="1">Log_2019[[#This Row],[Amount]]/Log_2019[[#This Row],[Split_raw]]*MAX(0,MIN(_xlfn.DAYS(EDATE(W$1,1),Log_2019[[#This Row],[Date]]),Log_2019[[#This Row],[Split_apply]])) - SUM($O357:V357)</f>
        <v>-66.794999999999987</v>
      </c>
      <c r="X357" s="52">
        <f ca="1">Log_2019[[#This Row],[Amount]]/Log_2019[[#This Row],[Split_raw]]*MAX(0,MIN(_xlfn.DAYS(EDATE(X$1,1),Log_2019[[#This Row],[Date]]),Log_2019[[#This Row],[Split_apply]])) - SUM($O357:W357)</f>
        <v>0</v>
      </c>
      <c r="Y357" s="52">
        <f ca="1">Log_2019[[#This Row],[Amount]]/Log_2019[[#This Row],[Split_raw]]*MAX(0,MIN(_xlfn.DAYS(EDATE(Y$1,1),Log_2019[[#This Row],[Date]]),Log_2019[[#This Row],[Split_apply]])) - SUM($O357:X357)</f>
        <v>0</v>
      </c>
      <c r="Z357" s="52">
        <f ca="1">Log_2019[[#This Row],[Amount]]/Log_2019[[#This Row],[Split_raw]]*MAX(0,MIN(_xlfn.DAYS(EDATE(Z$1,1),Log_2019[[#This Row],[Date]]),Log_2019[[#This Row],[Split_apply]])) - SUM($O357:Y357)</f>
        <v>0</v>
      </c>
      <c r="AA357" s="52">
        <f ca="1">Log_2019[[#This Row],[Amount]]/Log_2019[[#This Row],[Split_raw]]*MAX(0,MIN(_xlfn.DAYS(EDATE(AA$1,1),Log_2019[[#This Row],[Date]]),Log_2019[[#This Row],[Split_apply]])) - SUM($O357:Z357)</f>
        <v>0</v>
      </c>
      <c r="AB357" s="54">
        <f ca="1">Log_2019[[#This Row],[Amount]]-SUM(O357:AA357)</f>
        <v>0</v>
      </c>
      <c r="AC357" s="7">
        <f>MAX(0,Log_2019[[#This Row],[Split_raw]] - (EDATE(AA$1,1)-Log_2019[[#This Row],[Date]]))</f>
        <v>0</v>
      </c>
    </row>
    <row r="358" spans="1:29" x14ac:dyDescent="0.25">
      <c r="A358" s="42"/>
      <c r="B358" s="34" t="s">
        <v>6</v>
      </c>
      <c r="C358" s="34"/>
      <c r="D358" s="35">
        <v>43656</v>
      </c>
      <c r="E358" s="34"/>
      <c r="F358" s="34" t="s">
        <v>306</v>
      </c>
      <c r="G358" s="34" t="s">
        <v>25</v>
      </c>
      <c r="H358">
        <v>-10.25</v>
      </c>
      <c r="I358" s="36">
        <f>IF(Log_2019[[#This Row],[My Category]]="NONTRACKED",0,Log_2019[[#This Row],[Raw Amount]])</f>
        <v>-10.25</v>
      </c>
      <c r="J358" s="37">
        <f>ABS(Log_2019[[#This Row],[Amount]])</f>
        <v>10.25</v>
      </c>
      <c r="K358" s="38">
        <v>1</v>
      </c>
      <c r="L358" s="38">
        <f ca="1">IF(Log_2019[[#This Row],[Date]]&lt;=TODAY(), MIN(Log_2019[[#This Row],[Split_raw]], TODAY()-Log_2019[[#This Row],[Date]]+1), 0)</f>
        <v>1</v>
      </c>
      <c r="M358" s="34" t="s">
        <v>35</v>
      </c>
      <c r="N358" s="34" t="s">
        <v>158</v>
      </c>
      <c r="O358" s="7">
        <v>0</v>
      </c>
      <c r="P358" s="52">
        <f ca="1">Log_2019[[#This Row],[Amount]]/Log_2019[[#This Row],[Split_raw]]*MAX(0,MIN(_xlfn.DAYS(EDATE(P$1,1),Log_2019[[#This Row],[Date]]),Log_2019[[#This Row],[Split_apply]])) - SUM($O358:O358)</f>
        <v>0</v>
      </c>
      <c r="Q358" s="52">
        <f ca="1">Log_2019[[#This Row],[Amount]]/Log_2019[[#This Row],[Split_raw]]*MAX(0,MIN(_xlfn.DAYS(EDATE(Q$1,1),Log_2019[[#This Row],[Date]]),Log_2019[[#This Row],[Split_apply]])) - SUM($O358:P358)</f>
        <v>0</v>
      </c>
      <c r="R358" s="52">
        <f ca="1">Log_2019[[#This Row],[Amount]]/Log_2019[[#This Row],[Split_raw]]*MAX(0,MIN(_xlfn.DAYS(EDATE(R$1,1),Log_2019[[#This Row],[Date]]),Log_2019[[#This Row],[Split_apply]])) - SUM($O358:Q358)</f>
        <v>0</v>
      </c>
      <c r="S358" s="52">
        <f ca="1">Log_2019[[#This Row],[Amount]]/Log_2019[[#This Row],[Split_raw]]*MAX(0,MIN(_xlfn.DAYS(EDATE(S$1,1),Log_2019[[#This Row],[Date]]),Log_2019[[#This Row],[Split_apply]])) - SUM($O358:R358)</f>
        <v>0</v>
      </c>
      <c r="T358" s="52">
        <f ca="1">Log_2019[[#This Row],[Amount]]/Log_2019[[#This Row],[Split_raw]]*MAX(0,MIN(_xlfn.DAYS(EDATE(T$1,1),Log_2019[[#This Row],[Date]]),Log_2019[[#This Row],[Split_apply]])) - SUM($O358:S358)</f>
        <v>0</v>
      </c>
      <c r="U358" s="52">
        <f ca="1">Log_2019[[#This Row],[Amount]]/Log_2019[[#This Row],[Split_raw]]*MAX(0,MIN(_xlfn.DAYS(EDATE(U$1,1),Log_2019[[#This Row],[Date]]),Log_2019[[#This Row],[Split_apply]])) - SUM($O358:T358)</f>
        <v>0</v>
      </c>
      <c r="V358" s="52">
        <f ca="1">Log_2019[[#This Row],[Amount]]/Log_2019[[#This Row],[Split_raw]]*MAX(0,MIN(_xlfn.DAYS(EDATE(V$1,1),Log_2019[[#This Row],[Date]]),Log_2019[[#This Row],[Split_apply]])) - SUM($O358:U358)</f>
        <v>-10.25</v>
      </c>
      <c r="W358" s="52">
        <f ca="1">Log_2019[[#This Row],[Amount]]/Log_2019[[#This Row],[Split_raw]]*MAX(0,MIN(_xlfn.DAYS(EDATE(W$1,1),Log_2019[[#This Row],[Date]]),Log_2019[[#This Row],[Split_apply]])) - SUM($O358:V358)</f>
        <v>0</v>
      </c>
      <c r="X358" s="52">
        <f ca="1">Log_2019[[#This Row],[Amount]]/Log_2019[[#This Row],[Split_raw]]*MAX(0,MIN(_xlfn.DAYS(EDATE(X$1,1),Log_2019[[#This Row],[Date]]),Log_2019[[#This Row],[Split_apply]])) - SUM($O358:W358)</f>
        <v>0</v>
      </c>
      <c r="Y358" s="52">
        <f ca="1">Log_2019[[#This Row],[Amount]]/Log_2019[[#This Row],[Split_raw]]*MAX(0,MIN(_xlfn.DAYS(EDATE(Y$1,1),Log_2019[[#This Row],[Date]]),Log_2019[[#This Row],[Split_apply]])) - SUM($O358:X358)</f>
        <v>0</v>
      </c>
      <c r="Z358" s="52">
        <f ca="1">Log_2019[[#This Row],[Amount]]/Log_2019[[#This Row],[Split_raw]]*MAX(0,MIN(_xlfn.DAYS(EDATE(Z$1,1),Log_2019[[#This Row],[Date]]),Log_2019[[#This Row],[Split_apply]])) - SUM($O358:Y358)</f>
        <v>0</v>
      </c>
      <c r="AA358" s="52">
        <f ca="1">Log_2019[[#This Row],[Amount]]/Log_2019[[#This Row],[Split_raw]]*MAX(0,MIN(_xlfn.DAYS(EDATE(AA$1,1),Log_2019[[#This Row],[Date]]),Log_2019[[#This Row],[Split_apply]])) - SUM($O358:Z358)</f>
        <v>0</v>
      </c>
      <c r="AB358" s="54">
        <f ca="1">Log_2019[[#This Row],[Amount]]-SUM(O358:AA358)</f>
        <v>0</v>
      </c>
      <c r="AC358" s="7">
        <f>MAX(0,Log_2019[[#This Row],[Split_raw]] - (EDATE(AA$1,1)-Log_2019[[#This Row],[Date]]))</f>
        <v>0</v>
      </c>
    </row>
    <row r="359" spans="1:29" x14ac:dyDescent="0.25">
      <c r="A359" s="42"/>
      <c r="B359" s="34" t="s">
        <v>6</v>
      </c>
      <c r="C359" s="34"/>
      <c r="D359" s="35">
        <v>43656</v>
      </c>
      <c r="E359" s="34" t="s">
        <v>250</v>
      </c>
      <c r="F359" s="34" t="s">
        <v>243</v>
      </c>
      <c r="G359" s="34" t="s">
        <v>143</v>
      </c>
      <c r="H359">
        <v>-10.81</v>
      </c>
      <c r="I359" s="36">
        <f>IF(Log_2019[[#This Row],[My Category]]="NONTRACKED",0,Log_2019[[#This Row],[Raw Amount]])</f>
        <v>-10.81</v>
      </c>
      <c r="J359" s="37">
        <f>ABS(Log_2019[[#This Row],[Amount]])</f>
        <v>10.81</v>
      </c>
      <c r="K359" s="38">
        <v>30</v>
      </c>
      <c r="L359" s="38">
        <f ca="1">IF(Log_2019[[#This Row],[Date]]&lt;=TODAY(), MIN(Log_2019[[#This Row],[Split_raw]], TODAY()-Log_2019[[#This Row],[Date]]+1), 0)</f>
        <v>30</v>
      </c>
      <c r="M359" s="34" t="s">
        <v>53</v>
      </c>
      <c r="N359" s="34" t="s">
        <v>160</v>
      </c>
      <c r="O359" s="7">
        <v>0</v>
      </c>
      <c r="P359" s="52">
        <f ca="1">Log_2019[[#This Row],[Amount]]/Log_2019[[#This Row],[Split_raw]]*MAX(0,MIN(_xlfn.DAYS(EDATE(P$1,1),Log_2019[[#This Row],[Date]]),Log_2019[[#This Row],[Split_apply]])) - SUM($O359:O359)</f>
        <v>0</v>
      </c>
      <c r="Q359" s="52">
        <f ca="1">Log_2019[[#This Row],[Amount]]/Log_2019[[#This Row],[Split_raw]]*MAX(0,MIN(_xlfn.DAYS(EDATE(Q$1,1),Log_2019[[#This Row],[Date]]),Log_2019[[#This Row],[Split_apply]])) - SUM($O359:P359)</f>
        <v>0</v>
      </c>
      <c r="R359" s="52">
        <f ca="1">Log_2019[[#This Row],[Amount]]/Log_2019[[#This Row],[Split_raw]]*MAX(0,MIN(_xlfn.DAYS(EDATE(R$1,1),Log_2019[[#This Row],[Date]]),Log_2019[[#This Row],[Split_apply]])) - SUM($O359:Q359)</f>
        <v>0</v>
      </c>
      <c r="S359" s="52">
        <f ca="1">Log_2019[[#This Row],[Amount]]/Log_2019[[#This Row],[Split_raw]]*MAX(0,MIN(_xlfn.DAYS(EDATE(S$1,1),Log_2019[[#This Row],[Date]]),Log_2019[[#This Row],[Split_apply]])) - SUM($O359:R359)</f>
        <v>0</v>
      </c>
      <c r="T359" s="52">
        <f ca="1">Log_2019[[#This Row],[Amount]]/Log_2019[[#This Row],[Split_raw]]*MAX(0,MIN(_xlfn.DAYS(EDATE(T$1,1),Log_2019[[#This Row],[Date]]),Log_2019[[#This Row],[Split_apply]])) - SUM($O359:S359)</f>
        <v>0</v>
      </c>
      <c r="U359" s="52">
        <f ca="1">Log_2019[[#This Row],[Amount]]/Log_2019[[#This Row],[Split_raw]]*MAX(0,MIN(_xlfn.DAYS(EDATE(U$1,1),Log_2019[[#This Row],[Date]]),Log_2019[[#This Row],[Split_apply]])) - SUM($O359:T359)</f>
        <v>0</v>
      </c>
      <c r="V359" s="52">
        <f ca="1">Log_2019[[#This Row],[Amount]]/Log_2019[[#This Row],[Split_raw]]*MAX(0,MIN(_xlfn.DAYS(EDATE(V$1,1),Log_2019[[#This Row],[Date]]),Log_2019[[#This Row],[Split_apply]])) - SUM($O359:U359)</f>
        <v>-7.9273333333333333</v>
      </c>
      <c r="W359" s="52">
        <f ca="1">Log_2019[[#This Row],[Amount]]/Log_2019[[#This Row],[Split_raw]]*MAX(0,MIN(_xlfn.DAYS(EDATE(W$1,1),Log_2019[[#This Row],[Date]]),Log_2019[[#This Row],[Split_apply]])) - SUM($O359:V359)</f>
        <v>-2.8826666666666672</v>
      </c>
      <c r="X359" s="52">
        <f ca="1">Log_2019[[#This Row],[Amount]]/Log_2019[[#This Row],[Split_raw]]*MAX(0,MIN(_xlfn.DAYS(EDATE(X$1,1),Log_2019[[#This Row],[Date]]),Log_2019[[#This Row],[Split_apply]])) - SUM($O359:W359)</f>
        <v>0</v>
      </c>
      <c r="Y359" s="52">
        <f ca="1">Log_2019[[#This Row],[Amount]]/Log_2019[[#This Row],[Split_raw]]*MAX(0,MIN(_xlfn.DAYS(EDATE(Y$1,1),Log_2019[[#This Row],[Date]]),Log_2019[[#This Row],[Split_apply]])) - SUM($O359:X359)</f>
        <v>0</v>
      </c>
      <c r="Z359" s="52">
        <f ca="1">Log_2019[[#This Row],[Amount]]/Log_2019[[#This Row],[Split_raw]]*MAX(0,MIN(_xlfn.DAYS(EDATE(Z$1,1),Log_2019[[#This Row],[Date]]),Log_2019[[#This Row],[Split_apply]])) - SUM($O359:Y359)</f>
        <v>0</v>
      </c>
      <c r="AA359" s="52">
        <f ca="1">Log_2019[[#This Row],[Amount]]/Log_2019[[#This Row],[Split_raw]]*MAX(0,MIN(_xlfn.DAYS(EDATE(AA$1,1),Log_2019[[#This Row],[Date]]),Log_2019[[#This Row],[Split_apply]])) - SUM($O359:Z359)</f>
        <v>0</v>
      </c>
      <c r="AB359" s="54">
        <f ca="1">Log_2019[[#This Row],[Amount]]-SUM(O359:AA359)</f>
        <v>0</v>
      </c>
      <c r="AC359" s="7">
        <f>MAX(0,Log_2019[[#This Row],[Split_raw]] - (EDATE(AA$1,1)-Log_2019[[#This Row],[Date]]))</f>
        <v>0</v>
      </c>
    </row>
    <row r="360" spans="1:29" x14ac:dyDescent="0.25">
      <c r="A360" s="42"/>
      <c r="B360" s="40" t="s">
        <v>96</v>
      </c>
      <c r="C360" s="40"/>
      <c r="D360" s="41">
        <v>43655</v>
      </c>
      <c r="E360" s="40" t="s">
        <v>872</v>
      </c>
      <c r="F360" s="40" t="s">
        <v>550</v>
      </c>
      <c r="G360" s="40"/>
      <c r="H360">
        <v>-20</v>
      </c>
      <c r="I360" s="42">
        <f>IF(Log_2019[[#This Row],[My Category]]="NONTRACKED",0,Log_2019[[#This Row],[Raw Amount]])</f>
        <v>-20</v>
      </c>
      <c r="J360" s="43">
        <f>ABS(Log_2019[[#This Row],[Amount]])</f>
        <v>20</v>
      </c>
      <c r="K360" s="44">
        <v>1</v>
      </c>
      <c r="L360" s="38">
        <f ca="1">IF(Log_2019[[#This Row],[Date]]&lt;=TODAY(), MIN(Log_2019[[#This Row],[Split_raw]], TODAY()-Log_2019[[#This Row],[Date]]+1), 0)</f>
        <v>1</v>
      </c>
      <c r="M360" t="s">
        <v>366</v>
      </c>
      <c r="N360" s="34" t="s">
        <v>156</v>
      </c>
      <c r="O360" s="7">
        <v>0</v>
      </c>
      <c r="P360" s="52">
        <f ca="1">Log_2019[[#This Row],[Amount]]/Log_2019[[#This Row],[Split_raw]]*MAX(0,MIN(_xlfn.DAYS(EDATE(P$1,1),Log_2019[[#This Row],[Date]]),Log_2019[[#This Row],[Split_apply]])) - SUM($O360:O360)</f>
        <v>0</v>
      </c>
      <c r="Q360" s="52">
        <f ca="1">Log_2019[[#This Row],[Amount]]/Log_2019[[#This Row],[Split_raw]]*MAX(0,MIN(_xlfn.DAYS(EDATE(Q$1,1),Log_2019[[#This Row],[Date]]),Log_2019[[#This Row],[Split_apply]])) - SUM($O360:P360)</f>
        <v>0</v>
      </c>
      <c r="R360" s="52">
        <f ca="1">Log_2019[[#This Row],[Amount]]/Log_2019[[#This Row],[Split_raw]]*MAX(0,MIN(_xlfn.DAYS(EDATE(R$1,1),Log_2019[[#This Row],[Date]]),Log_2019[[#This Row],[Split_apply]])) - SUM($O360:Q360)</f>
        <v>0</v>
      </c>
      <c r="S360" s="52">
        <f ca="1">Log_2019[[#This Row],[Amount]]/Log_2019[[#This Row],[Split_raw]]*MAX(0,MIN(_xlfn.DAYS(EDATE(S$1,1),Log_2019[[#This Row],[Date]]),Log_2019[[#This Row],[Split_apply]])) - SUM($O360:R360)</f>
        <v>0</v>
      </c>
      <c r="T360" s="52">
        <f ca="1">Log_2019[[#This Row],[Amount]]/Log_2019[[#This Row],[Split_raw]]*MAX(0,MIN(_xlfn.DAYS(EDATE(T$1,1),Log_2019[[#This Row],[Date]]),Log_2019[[#This Row],[Split_apply]])) - SUM($O360:S360)</f>
        <v>0</v>
      </c>
      <c r="U360" s="52">
        <f ca="1">Log_2019[[#This Row],[Amount]]/Log_2019[[#This Row],[Split_raw]]*MAX(0,MIN(_xlfn.DAYS(EDATE(U$1,1),Log_2019[[#This Row],[Date]]),Log_2019[[#This Row],[Split_apply]])) - SUM($O360:T360)</f>
        <v>0</v>
      </c>
      <c r="V360" s="52">
        <f ca="1">Log_2019[[#This Row],[Amount]]/Log_2019[[#This Row],[Split_raw]]*MAX(0,MIN(_xlfn.DAYS(EDATE(V$1,1),Log_2019[[#This Row],[Date]]),Log_2019[[#This Row],[Split_apply]])) - SUM($O360:U360)</f>
        <v>-20</v>
      </c>
      <c r="W360" s="52">
        <f ca="1">Log_2019[[#This Row],[Amount]]/Log_2019[[#This Row],[Split_raw]]*MAX(0,MIN(_xlfn.DAYS(EDATE(W$1,1),Log_2019[[#This Row],[Date]]),Log_2019[[#This Row],[Split_apply]])) - SUM($O360:V360)</f>
        <v>0</v>
      </c>
      <c r="X360" s="52">
        <f ca="1">Log_2019[[#This Row],[Amount]]/Log_2019[[#This Row],[Split_raw]]*MAX(0,MIN(_xlfn.DAYS(EDATE(X$1,1),Log_2019[[#This Row],[Date]]),Log_2019[[#This Row],[Split_apply]])) - SUM($O360:W360)</f>
        <v>0</v>
      </c>
      <c r="Y360" s="52">
        <f ca="1">Log_2019[[#This Row],[Amount]]/Log_2019[[#This Row],[Split_raw]]*MAX(0,MIN(_xlfn.DAYS(EDATE(Y$1,1),Log_2019[[#This Row],[Date]]),Log_2019[[#This Row],[Split_apply]])) - SUM($O360:X360)</f>
        <v>0</v>
      </c>
      <c r="Z360" s="52">
        <f ca="1">Log_2019[[#This Row],[Amount]]/Log_2019[[#This Row],[Split_raw]]*MAX(0,MIN(_xlfn.DAYS(EDATE(Z$1,1),Log_2019[[#This Row],[Date]]),Log_2019[[#This Row],[Split_apply]])) - SUM($O360:Y360)</f>
        <v>0</v>
      </c>
      <c r="AA360" s="52">
        <f ca="1">Log_2019[[#This Row],[Amount]]/Log_2019[[#This Row],[Split_raw]]*MAX(0,MIN(_xlfn.DAYS(EDATE(AA$1,1),Log_2019[[#This Row],[Date]]),Log_2019[[#This Row],[Split_apply]])) - SUM($O360:Z360)</f>
        <v>0</v>
      </c>
      <c r="AB360" s="54">
        <f ca="1">Log_2019[[#This Row],[Amount]]-SUM(O360:AA360)</f>
        <v>0</v>
      </c>
      <c r="AC360" s="7">
        <f>MAX(0,Log_2019[[#This Row],[Split_raw]] - (EDATE(AA$1,1)-Log_2019[[#This Row],[Date]]))</f>
        <v>0</v>
      </c>
    </row>
    <row r="361" spans="1:29" x14ac:dyDescent="0.25">
      <c r="A361" s="42"/>
      <c r="B361" s="34" t="s">
        <v>6</v>
      </c>
      <c r="C361" s="34"/>
      <c r="D361" s="35">
        <v>43655</v>
      </c>
      <c r="E361" s="34"/>
      <c r="F361" s="34" t="s">
        <v>255</v>
      </c>
      <c r="G361" s="34" t="s">
        <v>25</v>
      </c>
      <c r="H361">
        <v>-6.99</v>
      </c>
      <c r="I361" s="36">
        <f>IF(Log_2019[[#This Row],[My Category]]="NONTRACKED",0,Log_2019[[#This Row],[Raw Amount]])</f>
        <v>-6.99</v>
      </c>
      <c r="J361" s="37">
        <f>ABS(Log_2019[[#This Row],[Amount]])</f>
        <v>6.99</v>
      </c>
      <c r="K361" s="38">
        <v>1</v>
      </c>
      <c r="L361" s="38">
        <f ca="1">IF(Log_2019[[#This Row],[Date]]&lt;=TODAY(), MIN(Log_2019[[#This Row],[Split_raw]], TODAY()-Log_2019[[#This Row],[Date]]+1), 0)</f>
        <v>1</v>
      </c>
      <c r="M361" s="34" t="s">
        <v>35</v>
      </c>
      <c r="N361" s="34" t="s">
        <v>158</v>
      </c>
      <c r="O361" s="7">
        <v>0</v>
      </c>
      <c r="P361" s="52">
        <f ca="1">Log_2019[[#This Row],[Amount]]/Log_2019[[#This Row],[Split_raw]]*MAX(0,MIN(_xlfn.DAYS(EDATE(P$1,1),Log_2019[[#This Row],[Date]]),Log_2019[[#This Row],[Split_apply]])) - SUM($O361:O361)</f>
        <v>0</v>
      </c>
      <c r="Q361" s="52">
        <f ca="1">Log_2019[[#This Row],[Amount]]/Log_2019[[#This Row],[Split_raw]]*MAX(0,MIN(_xlfn.DAYS(EDATE(Q$1,1),Log_2019[[#This Row],[Date]]),Log_2019[[#This Row],[Split_apply]])) - SUM($O361:P361)</f>
        <v>0</v>
      </c>
      <c r="R361" s="52">
        <f ca="1">Log_2019[[#This Row],[Amount]]/Log_2019[[#This Row],[Split_raw]]*MAX(0,MIN(_xlfn.DAYS(EDATE(R$1,1),Log_2019[[#This Row],[Date]]),Log_2019[[#This Row],[Split_apply]])) - SUM($O361:Q361)</f>
        <v>0</v>
      </c>
      <c r="S361" s="52">
        <f ca="1">Log_2019[[#This Row],[Amount]]/Log_2019[[#This Row],[Split_raw]]*MAX(0,MIN(_xlfn.DAYS(EDATE(S$1,1),Log_2019[[#This Row],[Date]]),Log_2019[[#This Row],[Split_apply]])) - SUM($O361:R361)</f>
        <v>0</v>
      </c>
      <c r="T361" s="52">
        <f ca="1">Log_2019[[#This Row],[Amount]]/Log_2019[[#This Row],[Split_raw]]*MAX(0,MIN(_xlfn.DAYS(EDATE(T$1,1),Log_2019[[#This Row],[Date]]),Log_2019[[#This Row],[Split_apply]])) - SUM($O361:S361)</f>
        <v>0</v>
      </c>
      <c r="U361" s="52">
        <f ca="1">Log_2019[[#This Row],[Amount]]/Log_2019[[#This Row],[Split_raw]]*MAX(0,MIN(_xlfn.DAYS(EDATE(U$1,1),Log_2019[[#This Row],[Date]]),Log_2019[[#This Row],[Split_apply]])) - SUM($O361:T361)</f>
        <v>0</v>
      </c>
      <c r="V361" s="52">
        <f ca="1">Log_2019[[#This Row],[Amount]]/Log_2019[[#This Row],[Split_raw]]*MAX(0,MIN(_xlfn.DAYS(EDATE(V$1,1),Log_2019[[#This Row],[Date]]),Log_2019[[#This Row],[Split_apply]])) - SUM($O361:U361)</f>
        <v>-6.99</v>
      </c>
      <c r="W361" s="52">
        <f ca="1">Log_2019[[#This Row],[Amount]]/Log_2019[[#This Row],[Split_raw]]*MAX(0,MIN(_xlfn.DAYS(EDATE(W$1,1),Log_2019[[#This Row],[Date]]),Log_2019[[#This Row],[Split_apply]])) - SUM($O361:V361)</f>
        <v>0</v>
      </c>
      <c r="X361" s="52">
        <f ca="1">Log_2019[[#This Row],[Amount]]/Log_2019[[#This Row],[Split_raw]]*MAX(0,MIN(_xlfn.DAYS(EDATE(X$1,1),Log_2019[[#This Row],[Date]]),Log_2019[[#This Row],[Split_apply]])) - SUM($O361:W361)</f>
        <v>0</v>
      </c>
      <c r="Y361" s="52">
        <f ca="1">Log_2019[[#This Row],[Amount]]/Log_2019[[#This Row],[Split_raw]]*MAX(0,MIN(_xlfn.DAYS(EDATE(Y$1,1),Log_2019[[#This Row],[Date]]),Log_2019[[#This Row],[Split_apply]])) - SUM($O361:X361)</f>
        <v>0</v>
      </c>
      <c r="Z361" s="52">
        <f ca="1">Log_2019[[#This Row],[Amount]]/Log_2019[[#This Row],[Split_raw]]*MAX(0,MIN(_xlfn.DAYS(EDATE(Z$1,1),Log_2019[[#This Row],[Date]]),Log_2019[[#This Row],[Split_apply]])) - SUM($O361:Y361)</f>
        <v>0</v>
      </c>
      <c r="AA361" s="52">
        <f ca="1">Log_2019[[#This Row],[Amount]]/Log_2019[[#This Row],[Split_raw]]*MAX(0,MIN(_xlfn.DAYS(EDATE(AA$1,1),Log_2019[[#This Row],[Date]]),Log_2019[[#This Row],[Split_apply]])) - SUM($O361:Z361)</f>
        <v>0</v>
      </c>
      <c r="AB361" s="54">
        <f ca="1">Log_2019[[#This Row],[Amount]]-SUM(O361:AA361)</f>
        <v>0</v>
      </c>
      <c r="AC361" s="7">
        <f>MAX(0,Log_2019[[#This Row],[Split_raw]] - (EDATE(AA$1,1)-Log_2019[[#This Row],[Date]]))</f>
        <v>0</v>
      </c>
    </row>
    <row r="362" spans="1:29" x14ac:dyDescent="0.25">
      <c r="A362" s="42"/>
      <c r="B362" s="34" t="s">
        <v>6</v>
      </c>
      <c r="C362" s="34"/>
      <c r="D362" s="35">
        <v>43655</v>
      </c>
      <c r="E362" s="34" t="s">
        <v>890</v>
      </c>
      <c r="F362" s="34" t="s">
        <v>460</v>
      </c>
      <c r="G362" s="34" t="s">
        <v>143</v>
      </c>
      <c r="H362">
        <v>-5000</v>
      </c>
      <c r="I362" s="36">
        <f>IF(Log_2019[[#This Row],[My Category]]="NONTRACKED",0,Log_2019[[#This Row],[Raw Amount]])</f>
        <v>-5000</v>
      </c>
      <c r="J362" s="37">
        <f>ABS(Log_2019[[#This Row],[Amount]])</f>
        <v>5000</v>
      </c>
      <c r="K362" s="38">
        <v>1</v>
      </c>
      <c r="L362" s="38">
        <f ca="1">IF(Log_2019[[#This Row],[Date]]&lt;=TODAY(), MIN(Log_2019[[#This Row],[Split_raw]], TODAY()-Log_2019[[#This Row],[Date]]+1), 0)</f>
        <v>1</v>
      </c>
      <c r="M362" s="34" t="s">
        <v>101</v>
      </c>
      <c r="N362" s="34" t="s">
        <v>160</v>
      </c>
      <c r="O362" s="7">
        <v>0</v>
      </c>
      <c r="P362" s="52">
        <f ca="1">Log_2019[[#This Row],[Amount]]/Log_2019[[#This Row],[Split_raw]]*MAX(0,MIN(_xlfn.DAYS(EDATE(P$1,1),Log_2019[[#This Row],[Date]]),Log_2019[[#This Row],[Split_apply]])) - SUM($O362:O362)</f>
        <v>0</v>
      </c>
      <c r="Q362" s="52">
        <f ca="1">Log_2019[[#This Row],[Amount]]/Log_2019[[#This Row],[Split_raw]]*MAX(0,MIN(_xlfn.DAYS(EDATE(Q$1,1),Log_2019[[#This Row],[Date]]),Log_2019[[#This Row],[Split_apply]])) - SUM($O362:P362)</f>
        <v>0</v>
      </c>
      <c r="R362" s="52">
        <f ca="1">Log_2019[[#This Row],[Amount]]/Log_2019[[#This Row],[Split_raw]]*MAX(0,MIN(_xlfn.DAYS(EDATE(R$1,1),Log_2019[[#This Row],[Date]]),Log_2019[[#This Row],[Split_apply]])) - SUM($O362:Q362)</f>
        <v>0</v>
      </c>
      <c r="S362" s="52">
        <f ca="1">Log_2019[[#This Row],[Amount]]/Log_2019[[#This Row],[Split_raw]]*MAX(0,MIN(_xlfn.DAYS(EDATE(S$1,1),Log_2019[[#This Row],[Date]]),Log_2019[[#This Row],[Split_apply]])) - SUM($O362:R362)</f>
        <v>0</v>
      </c>
      <c r="T362" s="52">
        <f ca="1">Log_2019[[#This Row],[Amount]]/Log_2019[[#This Row],[Split_raw]]*MAX(0,MIN(_xlfn.DAYS(EDATE(T$1,1),Log_2019[[#This Row],[Date]]),Log_2019[[#This Row],[Split_apply]])) - SUM($O362:S362)</f>
        <v>0</v>
      </c>
      <c r="U362" s="52">
        <f ca="1">Log_2019[[#This Row],[Amount]]/Log_2019[[#This Row],[Split_raw]]*MAX(0,MIN(_xlfn.DAYS(EDATE(U$1,1),Log_2019[[#This Row],[Date]]),Log_2019[[#This Row],[Split_apply]])) - SUM($O362:T362)</f>
        <v>0</v>
      </c>
      <c r="V362" s="52">
        <f ca="1">Log_2019[[#This Row],[Amount]]/Log_2019[[#This Row],[Split_raw]]*MAX(0,MIN(_xlfn.DAYS(EDATE(V$1,1),Log_2019[[#This Row],[Date]]),Log_2019[[#This Row],[Split_apply]])) - SUM($O362:U362)</f>
        <v>-5000</v>
      </c>
      <c r="W362" s="52">
        <f ca="1">Log_2019[[#This Row],[Amount]]/Log_2019[[#This Row],[Split_raw]]*MAX(0,MIN(_xlfn.DAYS(EDATE(W$1,1),Log_2019[[#This Row],[Date]]),Log_2019[[#This Row],[Split_apply]])) - SUM($O362:V362)</f>
        <v>0</v>
      </c>
      <c r="X362" s="52">
        <f ca="1">Log_2019[[#This Row],[Amount]]/Log_2019[[#This Row],[Split_raw]]*MAX(0,MIN(_xlfn.DAYS(EDATE(X$1,1),Log_2019[[#This Row],[Date]]),Log_2019[[#This Row],[Split_apply]])) - SUM($O362:W362)</f>
        <v>0</v>
      </c>
      <c r="Y362" s="52">
        <f ca="1">Log_2019[[#This Row],[Amount]]/Log_2019[[#This Row],[Split_raw]]*MAX(0,MIN(_xlfn.DAYS(EDATE(Y$1,1),Log_2019[[#This Row],[Date]]),Log_2019[[#This Row],[Split_apply]])) - SUM($O362:X362)</f>
        <v>0</v>
      </c>
      <c r="Z362" s="52">
        <f ca="1">Log_2019[[#This Row],[Amount]]/Log_2019[[#This Row],[Split_raw]]*MAX(0,MIN(_xlfn.DAYS(EDATE(Z$1,1),Log_2019[[#This Row],[Date]]),Log_2019[[#This Row],[Split_apply]])) - SUM($O362:Y362)</f>
        <v>0</v>
      </c>
      <c r="AA362" s="52">
        <f ca="1">Log_2019[[#This Row],[Amount]]/Log_2019[[#This Row],[Split_raw]]*MAX(0,MIN(_xlfn.DAYS(EDATE(AA$1,1),Log_2019[[#This Row],[Date]]),Log_2019[[#This Row],[Split_apply]])) - SUM($O362:Z362)</f>
        <v>0</v>
      </c>
      <c r="AB362" s="54">
        <f ca="1">Log_2019[[#This Row],[Amount]]-SUM(O362:AA362)</f>
        <v>0</v>
      </c>
      <c r="AC362" s="7">
        <f>MAX(0,Log_2019[[#This Row],[Split_raw]] - (EDATE(AA$1,1)-Log_2019[[#This Row],[Date]]))</f>
        <v>0</v>
      </c>
    </row>
    <row r="363" spans="1:29" x14ac:dyDescent="0.25">
      <c r="A363" s="42"/>
      <c r="B363" s="34" t="s">
        <v>6</v>
      </c>
      <c r="C363" s="34"/>
      <c r="D363" s="35">
        <v>43654</v>
      </c>
      <c r="E363" s="34"/>
      <c r="F363" s="34" t="s">
        <v>657</v>
      </c>
      <c r="G363" s="34" t="s">
        <v>19</v>
      </c>
      <c r="H363">
        <v>-1</v>
      </c>
      <c r="I363" s="36">
        <f>IF(Log_2019[[#This Row],[My Category]]="NONTRACKED",0,Log_2019[[#This Row],[Raw Amount]])</f>
        <v>-1</v>
      </c>
      <c r="J363" s="37">
        <f>ABS(Log_2019[[#This Row],[Amount]])</f>
        <v>1</v>
      </c>
      <c r="K363" s="38">
        <v>1</v>
      </c>
      <c r="L363" s="38">
        <f ca="1">IF(Log_2019[[#This Row],[Date]]&lt;=TODAY(), MIN(Log_2019[[#This Row],[Split_raw]], TODAY()-Log_2019[[#This Row],[Date]]+1), 0)</f>
        <v>1</v>
      </c>
      <c r="M363" s="34" t="s">
        <v>147</v>
      </c>
      <c r="N363" s="34" t="s">
        <v>158</v>
      </c>
      <c r="O363" s="7">
        <v>0</v>
      </c>
      <c r="P363" s="52">
        <f ca="1">Log_2019[[#This Row],[Amount]]/Log_2019[[#This Row],[Split_raw]]*MAX(0,MIN(_xlfn.DAYS(EDATE(P$1,1),Log_2019[[#This Row],[Date]]),Log_2019[[#This Row],[Split_apply]])) - SUM($O363:O363)</f>
        <v>0</v>
      </c>
      <c r="Q363" s="52">
        <f ca="1">Log_2019[[#This Row],[Amount]]/Log_2019[[#This Row],[Split_raw]]*MAX(0,MIN(_xlfn.DAYS(EDATE(Q$1,1),Log_2019[[#This Row],[Date]]),Log_2019[[#This Row],[Split_apply]])) - SUM($O363:P363)</f>
        <v>0</v>
      </c>
      <c r="R363" s="52">
        <f ca="1">Log_2019[[#This Row],[Amount]]/Log_2019[[#This Row],[Split_raw]]*MAX(0,MIN(_xlfn.DAYS(EDATE(R$1,1),Log_2019[[#This Row],[Date]]),Log_2019[[#This Row],[Split_apply]])) - SUM($O363:Q363)</f>
        <v>0</v>
      </c>
      <c r="S363" s="52">
        <f ca="1">Log_2019[[#This Row],[Amount]]/Log_2019[[#This Row],[Split_raw]]*MAX(0,MIN(_xlfn.DAYS(EDATE(S$1,1),Log_2019[[#This Row],[Date]]),Log_2019[[#This Row],[Split_apply]])) - SUM($O363:R363)</f>
        <v>0</v>
      </c>
      <c r="T363" s="52">
        <f ca="1">Log_2019[[#This Row],[Amount]]/Log_2019[[#This Row],[Split_raw]]*MAX(0,MIN(_xlfn.DAYS(EDATE(T$1,1),Log_2019[[#This Row],[Date]]),Log_2019[[#This Row],[Split_apply]])) - SUM($O363:S363)</f>
        <v>0</v>
      </c>
      <c r="U363" s="52">
        <f ca="1">Log_2019[[#This Row],[Amount]]/Log_2019[[#This Row],[Split_raw]]*MAX(0,MIN(_xlfn.DAYS(EDATE(U$1,1),Log_2019[[#This Row],[Date]]),Log_2019[[#This Row],[Split_apply]])) - SUM($O363:T363)</f>
        <v>0</v>
      </c>
      <c r="V363" s="52">
        <f ca="1">Log_2019[[#This Row],[Amount]]/Log_2019[[#This Row],[Split_raw]]*MAX(0,MIN(_xlfn.DAYS(EDATE(V$1,1),Log_2019[[#This Row],[Date]]),Log_2019[[#This Row],[Split_apply]])) - SUM($O363:U363)</f>
        <v>-1</v>
      </c>
      <c r="W363" s="52">
        <f ca="1">Log_2019[[#This Row],[Amount]]/Log_2019[[#This Row],[Split_raw]]*MAX(0,MIN(_xlfn.DAYS(EDATE(W$1,1),Log_2019[[#This Row],[Date]]),Log_2019[[#This Row],[Split_apply]])) - SUM($O363:V363)</f>
        <v>0</v>
      </c>
      <c r="X363" s="52">
        <f ca="1">Log_2019[[#This Row],[Amount]]/Log_2019[[#This Row],[Split_raw]]*MAX(0,MIN(_xlfn.DAYS(EDATE(X$1,1),Log_2019[[#This Row],[Date]]),Log_2019[[#This Row],[Split_apply]])) - SUM($O363:W363)</f>
        <v>0</v>
      </c>
      <c r="Y363" s="52">
        <f ca="1">Log_2019[[#This Row],[Amount]]/Log_2019[[#This Row],[Split_raw]]*MAX(0,MIN(_xlfn.DAYS(EDATE(Y$1,1),Log_2019[[#This Row],[Date]]),Log_2019[[#This Row],[Split_apply]])) - SUM($O363:X363)</f>
        <v>0</v>
      </c>
      <c r="Z363" s="52">
        <f ca="1">Log_2019[[#This Row],[Amount]]/Log_2019[[#This Row],[Split_raw]]*MAX(0,MIN(_xlfn.DAYS(EDATE(Z$1,1),Log_2019[[#This Row],[Date]]),Log_2019[[#This Row],[Split_apply]])) - SUM($O363:Y363)</f>
        <v>0</v>
      </c>
      <c r="AA363" s="52">
        <f ca="1">Log_2019[[#This Row],[Amount]]/Log_2019[[#This Row],[Split_raw]]*MAX(0,MIN(_xlfn.DAYS(EDATE(AA$1,1),Log_2019[[#This Row],[Date]]),Log_2019[[#This Row],[Split_apply]])) - SUM($O363:Z363)</f>
        <v>0</v>
      </c>
      <c r="AB363" s="54">
        <f ca="1">Log_2019[[#This Row],[Amount]]-SUM(O363:AA363)</f>
        <v>0</v>
      </c>
      <c r="AC363" s="7">
        <f>MAX(0,Log_2019[[#This Row],[Split_raw]] - (EDATE(AA$1,1)-Log_2019[[#This Row],[Date]]))</f>
        <v>0</v>
      </c>
    </row>
    <row r="364" spans="1:29" x14ac:dyDescent="0.25">
      <c r="A364" s="42"/>
      <c r="B364" s="34" t="s">
        <v>6</v>
      </c>
      <c r="C364" s="34"/>
      <c r="D364" s="35">
        <v>43654</v>
      </c>
      <c r="E364" s="34" t="s">
        <v>663</v>
      </c>
      <c r="F364" s="34" t="s">
        <v>658</v>
      </c>
      <c r="G364" s="34" t="s">
        <v>9</v>
      </c>
      <c r="H364">
        <v>-15.29</v>
      </c>
      <c r="I364" s="36">
        <f>IF(Log_2019[[#This Row],[My Category]]="NONTRACKED",0,Log_2019[[#This Row],[Raw Amount]])</f>
        <v>-15.29</v>
      </c>
      <c r="J364" s="37">
        <f>ABS(Log_2019[[#This Row],[Amount]])</f>
        <v>15.29</v>
      </c>
      <c r="K364" s="38">
        <v>1</v>
      </c>
      <c r="L364" s="38">
        <f ca="1">IF(Log_2019[[#This Row],[Date]]&lt;=TODAY(), MIN(Log_2019[[#This Row],[Split_raw]], TODAY()-Log_2019[[#This Row],[Date]]+1), 0)</f>
        <v>1</v>
      </c>
      <c r="M364" s="34" t="s">
        <v>40</v>
      </c>
      <c r="N364" s="34" t="s">
        <v>158</v>
      </c>
      <c r="O364" s="7">
        <v>0</v>
      </c>
      <c r="P364" s="52">
        <f ca="1">Log_2019[[#This Row],[Amount]]/Log_2019[[#This Row],[Split_raw]]*MAX(0,MIN(_xlfn.DAYS(EDATE(P$1,1),Log_2019[[#This Row],[Date]]),Log_2019[[#This Row],[Split_apply]])) - SUM($O364:O364)</f>
        <v>0</v>
      </c>
      <c r="Q364" s="52">
        <f ca="1">Log_2019[[#This Row],[Amount]]/Log_2019[[#This Row],[Split_raw]]*MAX(0,MIN(_xlfn.DAYS(EDATE(Q$1,1),Log_2019[[#This Row],[Date]]),Log_2019[[#This Row],[Split_apply]])) - SUM($O364:P364)</f>
        <v>0</v>
      </c>
      <c r="R364" s="52">
        <f ca="1">Log_2019[[#This Row],[Amount]]/Log_2019[[#This Row],[Split_raw]]*MAX(0,MIN(_xlfn.DAYS(EDATE(R$1,1),Log_2019[[#This Row],[Date]]),Log_2019[[#This Row],[Split_apply]])) - SUM($O364:Q364)</f>
        <v>0</v>
      </c>
      <c r="S364" s="52">
        <f ca="1">Log_2019[[#This Row],[Amount]]/Log_2019[[#This Row],[Split_raw]]*MAX(0,MIN(_xlfn.DAYS(EDATE(S$1,1),Log_2019[[#This Row],[Date]]),Log_2019[[#This Row],[Split_apply]])) - SUM($O364:R364)</f>
        <v>0</v>
      </c>
      <c r="T364" s="52">
        <f ca="1">Log_2019[[#This Row],[Amount]]/Log_2019[[#This Row],[Split_raw]]*MAX(0,MIN(_xlfn.DAYS(EDATE(T$1,1),Log_2019[[#This Row],[Date]]),Log_2019[[#This Row],[Split_apply]])) - SUM($O364:S364)</f>
        <v>0</v>
      </c>
      <c r="U364" s="52">
        <f ca="1">Log_2019[[#This Row],[Amount]]/Log_2019[[#This Row],[Split_raw]]*MAX(0,MIN(_xlfn.DAYS(EDATE(U$1,1),Log_2019[[#This Row],[Date]]),Log_2019[[#This Row],[Split_apply]])) - SUM($O364:T364)</f>
        <v>0</v>
      </c>
      <c r="V364" s="52">
        <f ca="1">Log_2019[[#This Row],[Amount]]/Log_2019[[#This Row],[Split_raw]]*MAX(0,MIN(_xlfn.DAYS(EDATE(V$1,1),Log_2019[[#This Row],[Date]]),Log_2019[[#This Row],[Split_apply]])) - SUM($O364:U364)</f>
        <v>-15.29</v>
      </c>
      <c r="W364" s="52">
        <f ca="1">Log_2019[[#This Row],[Amount]]/Log_2019[[#This Row],[Split_raw]]*MAX(0,MIN(_xlfn.DAYS(EDATE(W$1,1),Log_2019[[#This Row],[Date]]),Log_2019[[#This Row],[Split_apply]])) - SUM($O364:V364)</f>
        <v>0</v>
      </c>
      <c r="X364" s="52">
        <f ca="1">Log_2019[[#This Row],[Amount]]/Log_2019[[#This Row],[Split_raw]]*MAX(0,MIN(_xlfn.DAYS(EDATE(X$1,1),Log_2019[[#This Row],[Date]]),Log_2019[[#This Row],[Split_apply]])) - SUM($O364:W364)</f>
        <v>0</v>
      </c>
      <c r="Y364" s="52">
        <f ca="1">Log_2019[[#This Row],[Amount]]/Log_2019[[#This Row],[Split_raw]]*MAX(0,MIN(_xlfn.DAYS(EDATE(Y$1,1),Log_2019[[#This Row],[Date]]),Log_2019[[#This Row],[Split_apply]])) - SUM($O364:X364)</f>
        <v>0</v>
      </c>
      <c r="Z364" s="52">
        <f ca="1">Log_2019[[#This Row],[Amount]]/Log_2019[[#This Row],[Split_raw]]*MAX(0,MIN(_xlfn.DAYS(EDATE(Z$1,1),Log_2019[[#This Row],[Date]]),Log_2019[[#This Row],[Split_apply]])) - SUM($O364:Y364)</f>
        <v>0</v>
      </c>
      <c r="AA364" s="52">
        <f ca="1">Log_2019[[#This Row],[Amount]]/Log_2019[[#This Row],[Split_raw]]*MAX(0,MIN(_xlfn.DAYS(EDATE(AA$1,1),Log_2019[[#This Row],[Date]]),Log_2019[[#This Row],[Split_apply]])) - SUM($O364:Z364)</f>
        <v>0</v>
      </c>
      <c r="AB364" s="54">
        <f ca="1">Log_2019[[#This Row],[Amount]]-SUM(O364:AA364)</f>
        <v>0</v>
      </c>
      <c r="AC364" s="7">
        <f>MAX(0,Log_2019[[#This Row],[Split_raw]] - (EDATE(AA$1,1)-Log_2019[[#This Row],[Date]]))</f>
        <v>0</v>
      </c>
    </row>
    <row r="365" spans="1:29" x14ac:dyDescent="0.25">
      <c r="A365" s="42"/>
      <c r="B365" s="34" t="s">
        <v>6</v>
      </c>
      <c r="C365" s="34"/>
      <c r="D365" s="35">
        <v>43653</v>
      </c>
      <c r="E365" s="34"/>
      <c r="F365" s="34" t="s">
        <v>620</v>
      </c>
      <c r="G365" s="34" t="s">
        <v>582</v>
      </c>
      <c r="H365">
        <v>-29.37</v>
      </c>
      <c r="I365" s="36">
        <f>IF(Log_2019[[#This Row],[My Category]]="NONTRACKED",0,Log_2019[[#This Row],[Raw Amount]])</f>
        <v>-29.37</v>
      </c>
      <c r="J365" s="37">
        <f>ABS(Log_2019[[#This Row],[Amount]])</f>
        <v>29.37</v>
      </c>
      <c r="K365" s="38">
        <v>30</v>
      </c>
      <c r="L365" s="38">
        <f ca="1">IF(Log_2019[[#This Row],[Date]]&lt;=TODAY(), MIN(Log_2019[[#This Row],[Split_raw]], TODAY()-Log_2019[[#This Row],[Date]]+1), 0)</f>
        <v>30</v>
      </c>
      <c r="M365" s="34" t="s">
        <v>29</v>
      </c>
      <c r="N365" s="34" t="s">
        <v>158</v>
      </c>
      <c r="O365" s="7">
        <v>0</v>
      </c>
      <c r="P365" s="52">
        <f ca="1">Log_2019[[#This Row],[Amount]]/Log_2019[[#This Row],[Split_raw]]*MAX(0,MIN(_xlfn.DAYS(EDATE(P$1,1),Log_2019[[#This Row],[Date]]),Log_2019[[#This Row],[Split_apply]])) - SUM($O365:O365)</f>
        <v>0</v>
      </c>
      <c r="Q365" s="52">
        <f ca="1">Log_2019[[#This Row],[Amount]]/Log_2019[[#This Row],[Split_raw]]*MAX(0,MIN(_xlfn.DAYS(EDATE(Q$1,1),Log_2019[[#This Row],[Date]]),Log_2019[[#This Row],[Split_apply]])) - SUM($O365:P365)</f>
        <v>0</v>
      </c>
      <c r="R365" s="52">
        <f ca="1">Log_2019[[#This Row],[Amount]]/Log_2019[[#This Row],[Split_raw]]*MAX(0,MIN(_xlfn.DAYS(EDATE(R$1,1),Log_2019[[#This Row],[Date]]),Log_2019[[#This Row],[Split_apply]])) - SUM($O365:Q365)</f>
        <v>0</v>
      </c>
      <c r="S365" s="52">
        <f ca="1">Log_2019[[#This Row],[Amount]]/Log_2019[[#This Row],[Split_raw]]*MAX(0,MIN(_xlfn.DAYS(EDATE(S$1,1),Log_2019[[#This Row],[Date]]),Log_2019[[#This Row],[Split_apply]])) - SUM($O365:R365)</f>
        <v>0</v>
      </c>
      <c r="T365" s="52">
        <f ca="1">Log_2019[[#This Row],[Amount]]/Log_2019[[#This Row],[Split_raw]]*MAX(0,MIN(_xlfn.DAYS(EDATE(T$1,1),Log_2019[[#This Row],[Date]]),Log_2019[[#This Row],[Split_apply]])) - SUM($O365:S365)</f>
        <v>0</v>
      </c>
      <c r="U365" s="52">
        <f ca="1">Log_2019[[#This Row],[Amount]]/Log_2019[[#This Row],[Split_raw]]*MAX(0,MIN(_xlfn.DAYS(EDATE(U$1,1),Log_2019[[#This Row],[Date]]),Log_2019[[#This Row],[Split_apply]])) - SUM($O365:T365)</f>
        <v>0</v>
      </c>
      <c r="V365" s="52">
        <f ca="1">Log_2019[[#This Row],[Amount]]/Log_2019[[#This Row],[Split_raw]]*MAX(0,MIN(_xlfn.DAYS(EDATE(V$1,1),Log_2019[[#This Row],[Date]]),Log_2019[[#This Row],[Split_apply]])) - SUM($O365:U365)</f>
        <v>-24.474999999999998</v>
      </c>
      <c r="W365" s="52">
        <f ca="1">Log_2019[[#This Row],[Amount]]/Log_2019[[#This Row],[Split_raw]]*MAX(0,MIN(_xlfn.DAYS(EDATE(W$1,1),Log_2019[[#This Row],[Date]]),Log_2019[[#This Row],[Split_apply]])) - SUM($O365:V365)</f>
        <v>-4.8950000000000031</v>
      </c>
      <c r="X365" s="52">
        <f ca="1">Log_2019[[#This Row],[Amount]]/Log_2019[[#This Row],[Split_raw]]*MAX(0,MIN(_xlfn.DAYS(EDATE(X$1,1),Log_2019[[#This Row],[Date]]),Log_2019[[#This Row],[Split_apply]])) - SUM($O365:W365)</f>
        <v>0</v>
      </c>
      <c r="Y365" s="52">
        <f ca="1">Log_2019[[#This Row],[Amount]]/Log_2019[[#This Row],[Split_raw]]*MAX(0,MIN(_xlfn.DAYS(EDATE(Y$1,1),Log_2019[[#This Row],[Date]]),Log_2019[[#This Row],[Split_apply]])) - SUM($O365:X365)</f>
        <v>0</v>
      </c>
      <c r="Z365" s="52">
        <f ca="1">Log_2019[[#This Row],[Amount]]/Log_2019[[#This Row],[Split_raw]]*MAX(0,MIN(_xlfn.DAYS(EDATE(Z$1,1),Log_2019[[#This Row],[Date]]),Log_2019[[#This Row],[Split_apply]])) - SUM($O365:Y365)</f>
        <v>0</v>
      </c>
      <c r="AA365" s="52">
        <f ca="1">Log_2019[[#This Row],[Amount]]/Log_2019[[#This Row],[Split_raw]]*MAX(0,MIN(_xlfn.DAYS(EDATE(AA$1,1),Log_2019[[#This Row],[Date]]),Log_2019[[#This Row],[Split_apply]])) - SUM($O365:Z365)</f>
        <v>0</v>
      </c>
      <c r="AB365" s="54">
        <f ca="1">Log_2019[[#This Row],[Amount]]-SUM(O365:AA365)</f>
        <v>0</v>
      </c>
      <c r="AC365" s="7">
        <f>MAX(0,Log_2019[[#This Row],[Split_raw]] - (EDATE(AA$1,1)-Log_2019[[#This Row],[Date]]))</f>
        <v>0</v>
      </c>
    </row>
    <row r="366" spans="1:29" x14ac:dyDescent="0.25">
      <c r="A366" s="42"/>
      <c r="B366" t="s">
        <v>6</v>
      </c>
      <c r="D366" s="26">
        <v>43651</v>
      </c>
      <c r="E366" t="s">
        <v>891</v>
      </c>
      <c r="F366" t="s">
        <v>642</v>
      </c>
      <c r="G366" t="s">
        <v>80</v>
      </c>
      <c r="H366">
        <f>--1940.55</f>
        <v>1940.55</v>
      </c>
      <c r="I366" s="36">
        <f>IF(Log_2019[[#This Row],[My Category]]="NONTRACKED",0,Log_2019[[#This Row],[Raw Amount]])</f>
        <v>1940.55</v>
      </c>
      <c r="J366" s="37">
        <f>ABS(Log_2019[[#This Row],[Amount]])</f>
        <v>1940.55</v>
      </c>
      <c r="K366" s="38">
        <v>14</v>
      </c>
      <c r="L366" s="38">
        <f ca="1">IF(Log_2019[[#This Row],[Date]]&lt;=TODAY(), MIN(Log_2019[[#This Row],[Split_raw]], TODAY()-Log_2019[[#This Row],[Date]]+1), 0)</f>
        <v>14</v>
      </c>
      <c r="M366" s="34" t="s">
        <v>91</v>
      </c>
      <c r="N366" s="34" t="s">
        <v>160</v>
      </c>
      <c r="O366" s="7">
        <v>0</v>
      </c>
      <c r="P366" s="52">
        <f ca="1">Log_2019[[#This Row],[Amount]]/Log_2019[[#This Row],[Split_raw]]*MAX(0,MIN(_xlfn.DAYS(EDATE(P$1,1),Log_2019[[#This Row],[Date]]),Log_2019[[#This Row],[Split_apply]])) - SUM($O366:O366)</f>
        <v>0</v>
      </c>
      <c r="Q366" s="52">
        <f ca="1">Log_2019[[#This Row],[Amount]]/Log_2019[[#This Row],[Split_raw]]*MAX(0,MIN(_xlfn.DAYS(EDATE(Q$1,1),Log_2019[[#This Row],[Date]]),Log_2019[[#This Row],[Split_apply]])) - SUM($O366:P366)</f>
        <v>0</v>
      </c>
      <c r="R366" s="52">
        <f ca="1">Log_2019[[#This Row],[Amount]]/Log_2019[[#This Row],[Split_raw]]*MAX(0,MIN(_xlfn.DAYS(EDATE(R$1,1),Log_2019[[#This Row],[Date]]),Log_2019[[#This Row],[Split_apply]])) - SUM($O366:Q366)</f>
        <v>0</v>
      </c>
      <c r="S366" s="52">
        <f ca="1">Log_2019[[#This Row],[Amount]]/Log_2019[[#This Row],[Split_raw]]*MAX(0,MIN(_xlfn.DAYS(EDATE(S$1,1),Log_2019[[#This Row],[Date]]),Log_2019[[#This Row],[Split_apply]])) - SUM($O366:R366)</f>
        <v>0</v>
      </c>
      <c r="T366" s="52">
        <f ca="1">Log_2019[[#This Row],[Amount]]/Log_2019[[#This Row],[Split_raw]]*MAX(0,MIN(_xlfn.DAYS(EDATE(T$1,1),Log_2019[[#This Row],[Date]]),Log_2019[[#This Row],[Split_apply]])) - SUM($O366:S366)</f>
        <v>0</v>
      </c>
      <c r="U366" s="52">
        <f ca="1">Log_2019[[#This Row],[Amount]]/Log_2019[[#This Row],[Split_raw]]*MAX(0,MIN(_xlfn.DAYS(EDATE(U$1,1),Log_2019[[#This Row],[Date]]),Log_2019[[#This Row],[Split_apply]])) - SUM($O366:T366)</f>
        <v>0</v>
      </c>
      <c r="V366" s="52">
        <f ca="1">Log_2019[[#This Row],[Amount]]/Log_2019[[#This Row],[Split_raw]]*MAX(0,MIN(_xlfn.DAYS(EDATE(V$1,1),Log_2019[[#This Row],[Date]]),Log_2019[[#This Row],[Split_apply]])) - SUM($O366:U366)</f>
        <v>1940.5500000000002</v>
      </c>
      <c r="W366" s="52">
        <f ca="1">Log_2019[[#This Row],[Amount]]/Log_2019[[#This Row],[Split_raw]]*MAX(0,MIN(_xlfn.DAYS(EDATE(W$1,1),Log_2019[[#This Row],[Date]]),Log_2019[[#This Row],[Split_apply]])) - SUM($O366:V366)</f>
        <v>0</v>
      </c>
      <c r="X366" s="52">
        <f ca="1">Log_2019[[#This Row],[Amount]]/Log_2019[[#This Row],[Split_raw]]*MAX(0,MIN(_xlfn.DAYS(EDATE(X$1,1),Log_2019[[#This Row],[Date]]),Log_2019[[#This Row],[Split_apply]])) - SUM($O366:W366)</f>
        <v>0</v>
      </c>
      <c r="Y366" s="52">
        <f ca="1">Log_2019[[#This Row],[Amount]]/Log_2019[[#This Row],[Split_raw]]*MAX(0,MIN(_xlfn.DAYS(EDATE(Y$1,1),Log_2019[[#This Row],[Date]]),Log_2019[[#This Row],[Split_apply]])) - SUM($O366:X366)</f>
        <v>0</v>
      </c>
      <c r="Z366" s="52">
        <f ca="1">Log_2019[[#This Row],[Amount]]/Log_2019[[#This Row],[Split_raw]]*MAX(0,MIN(_xlfn.DAYS(EDATE(Z$1,1),Log_2019[[#This Row],[Date]]),Log_2019[[#This Row],[Split_apply]])) - SUM($O366:Y366)</f>
        <v>0</v>
      </c>
      <c r="AA366" s="52">
        <f ca="1">Log_2019[[#This Row],[Amount]]/Log_2019[[#This Row],[Split_raw]]*MAX(0,MIN(_xlfn.DAYS(EDATE(AA$1,1),Log_2019[[#This Row],[Date]]),Log_2019[[#This Row],[Split_apply]])) - SUM($O366:Z366)</f>
        <v>0</v>
      </c>
      <c r="AB366" s="54">
        <f ca="1">Log_2019[[#This Row],[Amount]]-SUM(O366:AA366)</f>
        <v>0</v>
      </c>
      <c r="AC366" s="7">
        <f>MAX(0,Log_2019[[#This Row],[Split_raw]] - (EDATE(AA$1,1)-Log_2019[[#This Row],[Date]]))</f>
        <v>0</v>
      </c>
    </row>
    <row r="367" spans="1:29" x14ac:dyDescent="0.25">
      <c r="A367" s="42"/>
      <c r="B367" s="34" t="s">
        <v>6</v>
      </c>
      <c r="C367" s="34"/>
      <c r="D367" s="35">
        <v>43650</v>
      </c>
      <c r="E367" s="34"/>
      <c r="F367" s="34" t="s">
        <v>633</v>
      </c>
      <c r="G367" s="34" t="s">
        <v>12</v>
      </c>
      <c r="H367">
        <v>-33.46</v>
      </c>
      <c r="I367" s="36">
        <f>IF(Log_2019[[#This Row],[My Category]]="NONTRACKED",0,Log_2019[[#This Row],[Raw Amount]])</f>
        <v>-33.46</v>
      </c>
      <c r="J367" s="37">
        <f>ABS(Log_2019[[#This Row],[Amount]])</f>
        <v>33.46</v>
      </c>
      <c r="K367" s="38">
        <v>1</v>
      </c>
      <c r="L367" s="38">
        <f ca="1">IF(Log_2019[[#This Row],[Date]]&lt;=TODAY(), MIN(Log_2019[[#This Row],[Split_raw]], TODAY()-Log_2019[[#This Row],[Date]]+1), 0)</f>
        <v>1</v>
      </c>
      <c r="M367" s="34" t="s">
        <v>40</v>
      </c>
      <c r="N367" s="34" t="s">
        <v>158</v>
      </c>
      <c r="O367" s="7">
        <v>0</v>
      </c>
      <c r="P367" s="52">
        <f ca="1">Log_2019[[#This Row],[Amount]]/Log_2019[[#This Row],[Split_raw]]*MAX(0,MIN(_xlfn.DAYS(EDATE(P$1,1),Log_2019[[#This Row],[Date]]),Log_2019[[#This Row],[Split_apply]])) - SUM($O367:O367)</f>
        <v>0</v>
      </c>
      <c r="Q367" s="52">
        <f ca="1">Log_2019[[#This Row],[Amount]]/Log_2019[[#This Row],[Split_raw]]*MAX(0,MIN(_xlfn.DAYS(EDATE(Q$1,1),Log_2019[[#This Row],[Date]]),Log_2019[[#This Row],[Split_apply]])) - SUM($O367:P367)</f>
        <v>0</v>
      </c>
      <c r="R367" s="52">
        <f ca="1">Log_2019[[#This Row],[Amount]]/Log_2019[[#This Row],[Split_raw]]*MAX(0,MIN(_xlfn.DAYS(EDATE(R$1,1),Log_2019[[#This Row],[Date]]),Log_2019[[#This Row],[Split_apply]])) - SUM($O367:Q367)</f>
        <v>0</v>
      </c>
      <c r="S367" s="52">
        <f ca="1">Log_2019[[#This Row],[Amount]]/Log_2019[[#This Row],[Split_raw]]*MAX(0,MIN(_xlfn.DAYS(EDATE(S$1,1),Log_2019[[#This Row],[Date]]),Log_2019[[#This Row],[Split_apply]])) - SUM($O367:R367)</f>
        <v>0</v>
      </c>
      <c r="T367" s="52">
        <f ca="1">Log_2019[[#This Row],[Amount]]/Log_2019[[#This Row],[Split_raw]]*MAX(0,MIN(_xlfn.DAYS(EDATE(T$1,1),Log_2019[[#This Row],[Date]]),Log_2019[[#This Row],[Split_apply]])) - SUM($O367:S367)</f>
        <v>0</v>
      </c>
      <c r="U367" s="52">
        <f ca="1">Log_2019[[#This Row],[Amount]]/Log_2019[[#This Row],[Split_raw]]*MAX(0,MIN(_xlfn.DAYS(EDATE(U$1,1),Log_2019[[#This Row],[Date]]),Log_2019[[#This Row],[Split_apply]])) - SUM($O367:T367)</f>
        <v>0</v>
      </c>
      <c r="V367" s="52">
        <f ca="1">Log_2019[[#This Row],[Amount]]/Log_2019[[#This Row],[Split_raw]]*MAX(0,MIN(_xlfn.DAYS(EDATE(V$1,1),Log_2019[[#This Row],[Date]]),Log_2019[[#This Row],[Split_apply]])) - SUM($O367:U367)</f>
        <v>-33.46</v>
      </c>
      <c r="W367" s="52">
        <f ca="1">Log_2019[[#This Row],[Amount]]/Log_2019[[#This Row],[Split_raw]]*MAX(0,MIN(_xlfn.DAYS(EDATE(W$1,1),Log_2019[[#This Row],[Date]]),Log_2019[[#This Row],[Split_apply]])) - SUM($O367:V367)</f>
        <v>0</v>
      </c>
      <c r="X367" s="52">
        <f ca="1">Log_2019[[#This Row],[Amount]]/Log_2019[[#This Row],[Split_raw]]*MAX(0,MIN(_xlfn.DAYS(EDATE(X$1,1),Log_2019[[#This Row],[Date]]),Log_2019[[#This Row],[Split_apply]])) - SUM($O367:W367)</f>
        <v>0</v>
      </c>
      <c r="Y367" s="52">
        <f ca="1">Log_2019[[#This Row],[Amount]]/Log_2019[[#This Row],[Split_raw]]*MAX(0,MIN(_xlfn.DAYS(EDATE(Y$1,1),Log_2019[[#This Row],[Date]]),Log_2019[[#This Row],[Split_apply]])) - SUM($O367:X367)</f>
        <v>0</v>
      </c>
      <c r="Z367" s="52">
        <f ca="1">Log_2019[[#This Row],[Amount]]/Log_2019[[#This Row],[Split_raw]]*MAX(0,MIN(_xlfn.DAYS(EDATE(Z$1,1),Log_2019[[#This Row],[Date]]),Log_2019[[#This Row],[Split_apply]])) - SUM($O367:Y367)</f>
        <v>0</v>
      </c>
      <c r="AA367" s="52">
        <f ca="1">Log_2019[[#This Row],[Amount]]/Log_2019[[#This Row],[Split_raw]]*MAX(0,MIN(_xlfn.DAYS(EDATE(AA$1,1),Log_2019[[#This Row],[Date]]),Log_2019[[#This Row],[Split_apply]])) - SUM($O367:Z367)</f>
        <v>0</v>
      </c>
      <c r="AB367" s="54">
        <f ca="1">Log_2019[[#This Row],[Amount]]-SUM(O367:AA367)</f>
        <v>0</v>
      </c>
      <c r="AC367" s="7">
        <f>MAX(0,Log_2019[[#This Row],[Split_raw]] - (EDATE(AA$1,1)-Log_2019[[#This Row],[Date]]))</f>
        <v>0</v>
      </c>
    </row>
    <row r="368" spans="1:29" x14ac:dyDescent="0.25">
      <c r="A368" s="42"/>
      <c r="B368" s="34" t="s">
        <v>6</v>
      </c>
      <c r="C368" s="34"/>
      <c r="D368" s="35">
        <v>43650</v>
      </c>
      <c r="E368" s="34"/>
      <c r="F368" s="34" t="s">
        <v>634</v>
      </c>
      <c r="G368" s="34" t="s">
        <v>27</v>
      </c>
      <c r="H368">
        <v>-5.82</v>
      </c>
      <c r="I368" s="36">
        <f>IF(Log_2019[[#This Row],[My Category]]="NONTRACKED",0,Log_2019[[#This Row],[Raw Amount]])</f>
        <v>-5.82</v>
      </c>
      <c r="J368" s="37">
        <f>ABS(Log_2019[[#This Row],[Amount]])</f>
        <v>5.82</v>
      </c>
      <c r="K368" s="38">
        <v>1</v>
      </c>
      <c r="L368" s="38">
        <f ca="1">IF(Log_2019[[#This Row],[Date]]&lt;=TODAY(), MIN(Log_2019[[#This Row],[Split_raw]], TODAY()-Log_2019[[#This Row],[Date]]+1), 0)</f>
        <v>1</v>
      </c>
      <c r="M368" s="34" t="s">
        <v>40</v>
      </c>
      <c r="N368" s="34" t="s">
        <v>158</v>
      </c>
      <c r="O368" s="7">
        <v>0</v>
      </c>
      <c r="P368" s="52">
        <f ca="1">Log_2019[[#This Row],[Amount]]/Log_2019[[#This Row],[Split_raw]]*MAX(0,MIN(_xlfn.DAYS(EDATE(P$1,1),Log_2019[[#This Row],[Date]]),Log_2019[[#This Row],[Split_apply]])) - SUM($O368:O368)</f>
        <v>0</v>
      </c>
      <c r="Q368" s="52">
        <f ca="1">Log_2019[[#This Row],[Amount]]/Log_2019[[#This Row],[Split_raw]]*MAX(0,MIN(_xlfn.DAYS(EDATE(Q$1,1),Log_2019[[#This Row],[Date]]),Log_2019[[#This Row],[Split_apply]])) - SUM($O368:P368)</f>
        <v>0</v>
      </c>
      <c r="R368" s="52">
        <f ca="1">Log_2019[[#This Row],[Amount]]/Log_2019[[#This Row],[Split_raw]]*MAX(0,MIN(_xlfn.DAYS(EDATE(R$1,1),Log_2019[[#This Row],[Date]]),Log_2019[[#This Row],[Split_apply]])) - SUM($O368:Q368)</f>
        <v>0</v>
      </c>
      <c r="S368" s="52">
        <f ca="1">Log_2019[[#This Row],[Amount]]/Log_2019[[#This Row],[Split_raw]]*MAX(0,MIN(_xlfn.DAYS(EDATE(S$1,1),Log_2019[[#This Row],[Date]]),Log_2019[[#This Row],[Split_apply]])) - SUM($O368:R368)</f>
        <v>0</v>
      </c>
      <c r="T368" s="52">
        <f ca="1">Log_2019[[#This Row],[Amount]]/Log_2019[[#This Row],[Split_raw]]*MAX(0,MIN(_xlfn.DAYS(EDATE(T$1,1),Log_2019[[#This Row],[Date]]),Log_2019[[#This Row],[Split_apply]])) - SUM($O368:S368)</f>
        <v>0</v>
      </c>
      <c r="U368" s="52">
        <f ca="1">Log_2019[[#This Row],[Amount]]/Log_2019[[#This Row],[Split_raw]]*MAX(0,MIN(_xlfn.DAYS(EDATE(U$1,1),Log_2019[[#This Row],[Date]]),Log_2019[[#This Row],[Split_apply]])) - SUM($O368:T368)</f>
        <v>0</v>
      </c>
      <c r="V368" s="52">
        <f ca="1">Log_2019[[#This Row],[Amount]]/Log_2019[[#This Row],[Split_raw]]*MAX(0,MIN(_xlfn.DAYS(EDATE(V$1,1),Log_2019[[#This Row],[Date]]),Log_2019[[#This Row],[Split_apply]])) - SUM($O368:U368)</f>
        <v>-5.82</v>
      </c>
      <c r="W368" s="52">
        <f ca="1">Log_2019[[#This Row],[Amount]]/Log_2019[[#This Row],[Split_raw]]*MAX(0,MIN(_xlfn.DAYS(EDATE(W$1,1),Log_2019[[#This Row],[Date]]),Log_2019[[#This Row],[Split_apply]])) - SUM($O368:V368)</f>
        <v>0</v>
      </c>
      <c r="X368" s="52">
        <f ca="1">Log_2019[[#This Row],[Amount]]/Log_2019[[#This Row],[Split_raw]]*MAX(0,MIN(_xlfn.DAYS(EDATE(X$1,1),Log_2019[[#This Row],[Date]]),Log_2019[[#This Row],[Split_apply]])) - SUM($O368:W368)</f>
        <v>0</v>
      </c>
      <c r="Y368" s="52">
        <f ca="1">Log_2019[[#This Row],[Amount]]/Log_2019[[#This Row],[Split_raw]]*MAX(0,MIN(_xlfn.DAYS(EDATE(Y$1,1),Log_2019[[#This Row],[Date]]),Log_2019[[#This Row],[Split_apply]])) - SUM($O368:X368)</f>
        <v>0</v>
      </c>
      <c r="Z368" s="52">
        <f ca="1">Log_2019[[#This Row],[Amount]]/Log_2019[[#This Row],[Split_raw]]*MAX(0,MIN(_xlfn.DAYS(EDATE(Z$1,1),Log_2019[[#This Row],[Date]]),Log_2019[[#This Row],[Split_apply]])) - SUM($O368:Y368)</f>
        <v>0</v>
      </c>
      <c r="AA368" s="52">
        <f ca="1">Log_2019[[#This Row],[Amount]]/Log_2019[[#This Row],[Split_raw]]*MAX(0,MIN(_xlfn.DAYS(EDATE(AA$1,1),Log_2019[[#This Row],[Date]]),Log_2019[[#This Row],[Split_apply]])) - SUM($O368:Z368)</f>
        <v>0</v>
      </c>
      <c r="AB368" s="54">
        <f ca="1">Log_2019[[#This Row],[Amount]]-SUM(O368:AA368)</f>
        <v>0</v>
      </c>
      <c r="AC368" s="7">
        <f>MAX(0,Log_2019[[#This Row],[Split_raw]] - (EDATE(AA$1,1)-Log_2019[[#This Row],[Date]]))</f>
        <v>0</v>
      </c>
    </row>
    <row r="369" spans="1:29" x14ac:dyDescent="0.25">
      <c r="A369" s="42"/>
      <c r="B369" s="34" t="s">
        <v>6</v>
      </c>
      <c r="C369" s="34"/>
      <c r="D369" s="35">
        <v>43650</v>
      </c>
      <c r="E369" s="34" t="s">
        <v>641</v>
      </c>
      <c r="F369" s="34" t="s">
        <v>346</v>
      </c>
      <c r="G369" s="34" t="s">
        <v>9</v>
      </c>
      <c r="H369">
        <v>-2.2400000000000002</v>
      </c>
      <c r="I369" s="36">
        <f>IF(Log_2019[[#This Row],[My Category]]="NONTRACKED",0,Log_2019[[#This Row],[Raw Amount]])</f>
        <v>-2.2400000000000002</v>
      </c>
      <c r="J369" s="37">
        <f>ABS(Log_2019[[#This Row],[Amount]])</f>
        <v>2.2400000000000002</v>
      </c>
      <c r="K369" s="38">
        <v>1</v>
      </c>
      <c r="L369" s="38">
        <f ca="1">IF(Log_2019[[#This Row],[Date]]&lt;=TODAY(), MIN(Log_2019[[#This Row],[Split_raw]], TODAY()-Log_2019[[#This Row],[Date]]+1), 0)</f>
        <v>1</v>
      </c>
      <c r="M369" s="34" t="s">
        <v>39</v>
      </c>
      <c r="N369" s="34" t="s">
        <v>158</v>
      </c>
      <c r="O369" s="7">
        <v>0</v>
      </c>
      <c r="P369" s="52">
        <f ca="1">Log_2019[[#This Row],[Amount]]/Log_2019[[#This Row],[Split_raw]]*MAX(0,MIN(_xlfn.DAYS(EDATE(P$1,1),Log_2019[[#This Row],[Date]]),Log_2019[[#This Row],[Split_apply]])) - SUM($O369:O369)</f>
        <v>0</v>
      </c>
      <c r="Q369" s="52">
        <f ca="1">Log_2019[[#This Row],[Amount]]/Log_2019[[#This Row],[Split_raw]]*MAX(0,MIN(_xlfn.DAYS(EDATE(Q$1,1),Log_2019[[#This Row],[Date]]),Log_2019[[#This Row],[Split_apply]])) - SUM($O369:P369)</f>
        <v>0</v>
      </c>
      <c r="R369" s="52">
        <f ca="1">Log_2019[[#This Row],[Amount]]/Log_2019[[#This Row],[Split_raw]]*MAX(0,MIN(_xlfn.DAYS(EDATE(R$1,1),Log_2019[[#This Row],[Date]]),Log_2019[[#This Row],[Split_apply]])) - SUM($O369:Q369)</f>
        <v>0</v>
      </c>
      <c r="S369" s="52">
        <f ca="1">Log_2019[[#This Row],[Amount]]/Log_2019[[#This Row],[Split_raw]]*MAX(0,MIN(_xlfn.DAYS(EDATE(S$1,1),Log_2019[[#This Row],[Date]]),Log_2019[[#This Row],[Split_apply]])) - SUM($O369:R369)</f>
        <v>0</v>
      </c>
      <c r="T369" s="52">
        <f ca="1">Log_2019[[#This Row],[Amount]]/Log_2019[[#This Row],[Split_raw]]*MAX(0,MIN(_xlfn.DAYS(EDATE(T$1,1),Log_2019[[#This Row],[Date]]),Log_2019[[#This Row],[Split_apply]])) - SUM($O369:S369)</f>
        <v>0</v>
      </c>
      <c r="U369" s="52">
        <f ca="1">Log_2019[[#This Row],[Amount]]/Log_2019[[#This Row],[Split_raw]]*MAX(0,MIN(_xlfn.DAYS(EDATE(U$1,1),Log_2019[[#This Row],[Date]]),Log_2019[[#This Row],[Split_apply]])) - SUM($O369:T369)</f>
        <v>0</v>
      </c>
      <c r="V369" s="52">
        <f ca="1">Log_2019[[#This Row],[Amount]]/Log_2019[[#This Row],[Split_raw]]*MAX(0,MIN(_xlfn.DAYS(EDATE(V$1,1),Log_2019[[#This Row],[Date]]),Log_2019[[#This Row],[Split_apply]])) - SUM($O369:U369)</f>
        <v>-2.2400000000000002</v>
      </c>
      <c r="W369" s="52">
        <f ca="1">Log_2019[[#This Row],[Amount]]/Log_2019[[#This Row],[Split_raw]]*MAX(0,MIN(_xlfn.DAYS(EDATE(W$1,1),Log_2019[[#This Row],[Date]]),Log_2019[[#This Row],[Split_apply]])) - SUM($O369:V369)</f>
        <v>0</v>
      </c>
      <c r="X369" s="52">
        <f ca="1">Log_2019[[#This Row],[Amount]]/Log_2019[[#This Row],[Split_raw]]*MAX(0,MIN(_xlfn.DAYS(EDATE(X$1,1),Log_2019[[#This Row],[Date]]),Log_2019[[#This Row],[Split_apply]])) - SUM($O369:W369)</f>
        <v>0</v>
      </c>
      <c r="Y369" s="52">
        <f ca="1">Log_2019[[#This Row],[Amount]]/Log_2019[[#This Row],[Split_raw]]*MAX(0,MIN(_xlfn.DAYS(EDATE(Y$1,1),Log_2019[[#This Row],[Date]]),Log_2019[[#This Row],[Split_apply]])) - SUM($O369:X369)</f>
        <v>0</v>
      </c>
      <c r="Z369" s="52">
        <f ca="1">Log_2019[[#This Row],[Amount]]/Log_2019[[#This Row],[Split_raw]]*MAX(0,MIN(_xlfn.DAYS(EDATE(Z$1,1),Log_2019[[#This Row],[Date]]),Log_2019[[#This Row],[Split_apply]])) - SUM($O369:Y369)</f>
        <v>0</v>
      </c>
      <c r="AA369" s="52">
        <f ca="1">Log_2019[[#This Row],[Amount]]/Log_2019[[#This Row],[Split_raw]]*MAX(0,MIN(_xlfn.DAYS(EDATE(AA$1,1),Log_2019[[#This Row],[Date]]),Log_2019[[#This Row],[Split_apply]])) - SUM($O369:Z369)</f>
        <v>0</v>
      </c>
      <c r="AB369" s="54">
        <f ca="1">Log_2019[[#This Row],[Amount]]-SUM(O369:AA369)</f>
        <v>0</v>
      </c>
      <c r="AC369" s="7">
        <f>MAX(0,Log_2019[[#This Row],[Split_raw]] - (EDATE(AA$1,1)-Log_2019[[#This Row],[Date]]))</f>
        <v>0</v>
      </c>
    </row>
    <row r="370" spans="1:29" x14ac:dyDescent="0.25">
      <c r="A370" s="42"/>
      <c r="B370" s="34" t="s">
        <v>490</v>
      </c>
      <c r="C370" s="34">
        <v>2.7803702438626499E+18</v>
      </c>
      <c r="D370" s="41">
        <v>43650</v>
      </c>
      <c r="E370" s="34"/>
      <c r="F370" s="34" t="s">
        <v>735</v>
      </c>
      <c r="G370" s="34"/>
      <c r="H370" s="45">
        <v>20</v>
      </c>
      <c r="I370" s="36">
        <f>IF(Log_2019[[#This Row],[My Category]]="NONTRACKED",0,Log_2019[[#This Row],[Raw Amount]])</f>
        <v>20</v>
      </c>
      <c r="J370" s="37">
        <f>ABS(Log_2019[[#This Row],[Amount]])</f>
        <v>20</v>
      </c>
      <c r="K370" s="38">
        <v>1</v>
      </c>
      <c r="L370" s="38">
        <f ca="1">IF(Log_2019[[#This Row],[Date]]&lt;=TODAY(), MIN(Log_2019[[#This Row],[Split_raw]], TODAY()-Log_2019[[#This Row],[Date]]+1), 0)</f>
        <v>1</v>
      </c>
      <c r="M370" s="34" t="s">
        <v>40</v>
      </c>
      <c r="N370" s="34" t="s">
        <v>490</v>
      </c>
      <c r="O370" s="7">
        <v>0</v>
      </c>
      <c r="P370" s="52">
        <f ca="1">Log_2019[[#This Row],[Amount]]/Log_2019[[#This Row],[Split_raw]]*MAX(0,MIN(_xlfn.DAYS(EDATE(P$1,1),Log_2019[[#This Row],[Date]]),Log_2019[[#This Row],[Split_apply]])) - SUM($O370:O370)</f>
        <v>0</v>
      </c>
      <c r="Q370" s="52">
        <f ca="1">Log_2019[[#This Row],[Amount]]/Log_2019[[#This Row],[Split_raw]]*MAX(0,MIN(_xlfn.DAYS(EDATE(Q$1,1),Log_2019[[#This Row],[Date]]),Log_2019[[#This Row],[Split_apply]])) - SUM($O370:P370)</f>
        <v>0</v>
      </c>
      <c r="R370" s="52">
        <f ca="1">Log_2019[[#This Row],[Amount]]/Log_2019[[#This Row],[Split_raw]]*MAX(0,MIN(_xlfn.DAYS(EDATE(R$1,1),Log_2019[[#This Row],[Date]]),Log_2019[[#This Row],[Split_apply]])) - SUM($O370:Q370)</f>
        <v>0</v>
      </c>
      <c r="S370" s="52">
        <f ca="1">Log_2019[[#This Row],[Amount]]/Log_2019[[#This Row],[Split_raw]]*MAX(0,MIN(_xlfn.DAYS(EDATE(S$1,1),Log_2019[[#This Row],[Date]]),Log_2019[[#This Row],[Split_apply]])) - SUM($O370:R370)</f>
        <v>0</v>
      </c>
      <c r="T370" s="52">
        <f ca="1">Log_2019[[#This Row],[Amount]]/Log_2019[[#This Row],[Split_raw]]*MAX(0,MIN(_xlfn.DAYS(EDATE(T$1,1),Log_2019[[#This Row],[Date]]),Log_2019[[#This Row],[Split_apply]])) - SUM($O370:S370)</f>
        <v>0</v>
      </c>
      <c r="U370" s="52">
        <f ca="1">Log_2019[[#This Row],[Amount]]/Log_2019[[#This Row],[Split_raw]]*MAX(0,MIN(_xlfn.DAYS(EDATE(U$1,1),Log_2019[[#This Row],[Date]]),Log_2019[[#This Row],[Split_apply]])) - SUM($O370:T370)</f>
        <v>0</v>
      </c>
      <c r="V370" s="52">
        <f ca="1">Log_2019[[#This Row],[Amount]]/Log_2019[[#This Row],[Split_raw]]*MAX(0,MIN(_xlfn.DAYS(EDATE(V$1,1),Log_2019[[#This Row],[Date]]),Log_2019[[#This Row],[Split_apply]])) - SUM($O370:U370)</f>
        <v>20</v>
      </c>
      <c r="W370" s="52">
        <f ca="1">Log_2019[[#This Row],[Amount]]/Log_2019[[#This Row],[Split_raw]]*MAX(0,MIN(_xlfn.DAYS(EDATE(W$1,1),Log_2019[[#This Row],[Date]]),Log_2019[[#This Row],[Split_apply]])) - SUM($O370:V370)</f>
        <v>0</v>
      </c>
      <c r="X370" s="52">
        <f ca="1">Log_2019[[#This Row],[Amount]]/Log_2019[[#This Row],[Split_raw]]*MAX(0,MIN(_xlfn.DAYS(EDATE(X$1,1),Log_2019[[#This Row],[Date]]),Log_2019[[#This Row],[Split_apply]])) - SUM($O370:W370)</f>
        <v>0</v>
      </c>
      <c r="Y370" s="52">
        <f ca="1">Log_2019[[#This Row],[Amount]]/Log_2019[[#This Row],[Split_raw]]*MAX(0,MIN(_xlfn.DAYS(EDATE(Y$1,1),Log_2019[[#This Row],[Date]]),Log_2019[[#This Row],[Split_apply]])) - SUM($O370:X370)</f>
        <v>0</v>
      </c>
      <c r="Z370" s="52">
        <f ca="1">Log_2019[[#This Row],[Amount]]/Log_2019[[#This Row],[Split_raw]]*MAX(0,MIN(_xlfn.DAYS(EDATE(Z$1,1),Log_2019[[#This Row],[Date]]),Log_2019[[#This Row],[Split_apply]])) - SUM($O370:Y370)</f>
        <v>0</v>
      </c>
      <c r="AA370" s="52">
        <f ca="1">Log_2019[[#This Row],[Amount]]/Log_2019[[#This Row],[Split_raw]]*MAX(0,MIN(_xlfn.DAYS(EDATE(AA$1,1),Log_2019[[#This Row],[Date]]),Log_2019[[#This Row],[Split_apply]])) - SUM($O370:Z370)</f>
        <v>0</v>
      </c>
      <c r="AB370" s="54">
        <f ca="1">Log_2019[[#This Row],[Amount]]-SUM(O370:AA370)</f>
        <v>0</v>
      </c>
      <c r="AC370" s="7">
        <f>MAX(0,Log_2019[[#This Row],[Split_raw]] - (EDATE(AA$1,1)-Log_2019[[#This Row],[Date]]))</f>
        <v>0</v>
      </c>
    </row>
    <row r="371" spans="1:29" x14ac:dyDescent="0.25">
      <c r="A371" s="42"/>
      <c r="B371" s="34" t="s">
        <v>6</v>
      </c>
      <c r="C371" s="34"/>
      <c r="D371" s="35">
        <v>43649</v>
      </c>
      <c r="E371" s="34"/>
      <c r="F371" s="34" t="s">
        <v>255</v>
      </c>
      <c r="G371" s="34" t="s">
        <v>25</v>
      </c>
      <c r="H371">
        <v>-6.39</v>
      </c>
      <c r="I371" s="36">
        <f>IF(Log_2019[[#This Row],[My Category]]="NONTRACKED",0,Log_2019[[#This Row],[Raw Amount]])</f>
        <v>-6.39</v>
      </c>
      <c r="J371" s="37">
        <f>ABS(Log_2019[[#This Row],[Amount]])</f>
        <v>6.39</v>
      </c>
      <c r="K371" s="38">
        <v>1</v>
      </c>
      <c r="L371" s="38">
        <f ca="1">IF(Log_2019[[#This Row],[Date]]&lt;=TODAY(), MIN(Log_2019[[#This Row],[Split_raw]], TODAY()-Log_2019[[#This Row],[Date]]+1), 0)</f>
        <v>1</v>
      </c>
      <c r="M371" s="34" t="s">
        <v>35</v>
      </c>
      <c r="N371" s="34" t="s">
        <v>158</v>
      </c>
      <c r="O371" s="7">
        <v>0</v>
      </c>
      <c r="P371" s="52">
        <f ca="1">Log_2019[[#This Row],[Amount]]/Log_2019[[#This Row],[Split_raw]]*MAX(0,MIN(_xlfn.DAYS(EDATE(P$1,1),Log_2019[[#This Row],[Date]]),Log_2019[[#This Row],[Split_apply]])) - SUM($O371:O371)</f>
        <v>0</v>
      </c>
      <c r="Q371" s="52">
        <f ca="1">Log_2019[[#This Row],[Amount]]/Log_2019[[#This Row],[Split_raw]]*MAX(0,MIN(_xlfn.DAYS(EDATE(Q$1,1),Log_2019[[#This Row],[Date]]),Log_2019[[#This Row],[Split_apply]])) - SUM($O371:P371)</f>
        <v>0</v>
      </c>
      <c r="R371" s="52">
        <f ca="1">Log_2019[[#This Row],[Amount]]/Log_2019[[#This Row],[Split_raw]]*MAX(0,MIN(_xlfn.DAYS(EDATE(R$1,1),Log_2019[[#This Row],[Date]]),Log_2019[[#This Row],[Split_apply]])) - SUM($O371:Q371)</f>
        <v>0</v>
      </c>
      <c r="S371" s="52">
        <f ca="1">Log_2019[[#This Row],[Amount]]/Log_2019[[#This Row],[Split_raw]]*MAX(0,MIN(_xlfn.DAYS(EDATE(S$1,1),Log_2019[[#This Row],[Date]]),Log_2019[[#This Row],[Split_apply]])) - SUM($O371:R371)</f>
        <v>0</v>
      </c>
      <c r="T371" s="52">
        <f ca="1">Log_2019[[#This Row],[Amount]]/Log_2019[[#This Row],[Split_raw]]*MAX(0,MIN(_xlfn.DAYS(EDATE(T$1,1),Log_2019[[#This Row],[Date]]),Log_2019[[#This Row],[Split_apply]])) - SUM($O371:S371)</f>
        <v>0</v>
      </c>
      <c r="U371" s="52">
        <f ca="1">Log_2019[[#This Row],[Amount]]/Log_2019[[#This Row],[Split_raw]]*MAX(0,MIN(_xlfn.DAYS(EDATE(U$1,1),Log_2019[[#This Row],[Date]]),Log_2019[[#This Row],[Split_apply]])) - SUM($O371:T371)</f>
        <v>0</v>
      </c>
      <c r="V371" s="52">
        <f ca="1">Log_2019[[#This Row],[Amount]]/Log_2019[[#This Row],[Split_raw]]*MAX(0,MIN(_xlfn.DAYS(EDATE(V$1,1),Log_2019[[#This Row],[Date]]),Log_2019[[#This Row],[Split_apply]])) - SUM($O371:U371)</f>
        <v>-6.39</v>
      </c>
      <c r="W371" s="52">
        <f ca="1">Log_2019[[#This Row],[Amount]]/Log_2019[[#This Row],[Split_raw]]*MAX(0,MIN(_xlfn.DAYS(EDATE(W$1,1),Log_2019[[#This Row],[Date]]),Log_2019[[#This Row],[Split_apply]])) - SUM($O371:V371)</f>
        <v>0</v>
      </c>
      <c r="X371" s="52">
        <f ca="1">Log_2019[[#This Row],[Amount]]/Log_2019[[#This Row],[Split_raw]]*MAX(0,MIN(_xlfn.DAYS(EDATE(X$1,1),Log_2019[[#This Row],[Date]]),Log_2019[[#This Row],[Split_apply]])) - SUM($O371:W371)</f>
        <v>0</v>
      </c>
      <c r="Y371" s="52">
        <f ca="1">Log_2019[[#This Row],[Amount]]/Log_2019[[#This Row],[Split_raw]]*MAX(0,MIN(_xlfn.DAYS(EDATE(Y$1,1),Log_2019[[#This Row],[Date]]),Log_2019[[#This Row],[Split_apply]])) - SUM($O371:X371)</f>
        <v>0</v>
      </c>
      <c r="Z371" s="52">
        <f ca="1">Log_2019[[#This Row],[Amount]]/Log_2019[[#This Row],[Split_raw]]*MAX(0,MIN(_xlfn.DAYS(EDATE(Z$1,1),Log_2019[[#This Row],[Date]]),Log_2019[[#This Row],[Split_apply]])) - SUM($O371:Y371)</f>
        <v>0</v>
      </c>
      <c r="AA371" s="52">
        <f ca="1">Log_2019[[#This Row],[Amount]]/Log_2019[[#This Row],[Split_raw]]*MAX(0,MIN(_xlfn.DAYS(EDATE(AA$1,1),Log_2019[[#This Row],[Date]]),Log_2019[[#This Row],[Split_apply]])) - SUM($O371:Z371)</f>
        <v>0</v>
      </c>
      <c r="AB371" s="54">
        <f ca="1">Log_2019[[#This Row],[Amount]]-SUM(O371:AA371)</f>
        <v>0</v>
      </c>
      <c r="AC371" s="7">
        <f>MAX(0,Log_2019[[#This Row],[Split_raw]] - (EDATE(AA$1,1)-Log_2019[[#This Row],[Date]]))</f>
        <v>0</v>
      </c>
    </row>
    <row r="372" spans="1:29" x14ac:dyDescent="0.25">
      <c r="A372" s="42"/>
      <c r="B372" s="34" t="s">
        <v>6</v>
      </c>
      <c r="C372" s="34"/>
      <c r="D372" s="35">
        <v>43649</v>
      </c>
      <c r="E372" s="34"/>
      <c r="F372" s="34" t="s">
        <v>529</v>
      </c>
      <c r="G372" s="34" t="s">
        <v>25</v>
      </c>
      <c r="H372">
        <v>-43.3</v>
      </c>
      <c r="I372" s="36">
        <f>IF(Log_2019[[#This Row],[My Category]]="NONTRACKED",0,Log_2019[[#This Row],[Raw Amount]])</f>
        <v>-43.3</v>
      </c>
      <c r="J372" s="37">
        <f>ABS(Log_2019[[#This Row],[Amount]])</f>
        <v>43.3</v>
      </c>
      <c r="K372" s="38">
        <v>1</v>
      </c>
      <c r="L372" s="38">
        <f ca="1">IF(Log_2019[[#This Row],[Date]]&lt;=TODAY(), MIN(Log_2019[[#This Row],[Split_raw]], TODAY()-Log_2019[[#This Row],[Date]]+1), 0)</f>
        <v>1</v>
      </c>
      <c r="M372" s="34" t="s">
        <v>40</v>
      </c>
      <c r="N372" s="34" t="s">
        <v>158</v>
      </c>
      <c r="O372" s="7">
        <v>0</v>
      </c>
      <c r="P372" s="52">
        <f ca="1">Log_2019[[#This Row],[Amount]]/Log_2019[[#This Row],[Split_raw]]*MAX(0,MIN(_xlfn.DAYS(EDATE(P$1,1),Log_2019[[#This Row],[Date]]),Log_2019[[#This Row],[Split_apply]])) - SUM($O372:O372)</f>
        <v>0</v>
      </c>
      <c r="Q372" s="52">
        <f ca="1">Log_2019[[#This Row],[Amount]]/Log_2019[[#This Row],[Split_raw]]*MAX(0,MIN(_xlfn.DAYS(EDATE(Q$1,1),Log_2019[[#This Row],[Date]]),Log_2019[[#This Row],[Split_apply]])) - SUM($O372:P372)</f>
        <v>0</v>
      </c>
      <c r="R372" s="52">
        <f ca="1">Log_2019[[#This Row],[Amount]]/Log_2019[[#This Row],[Split_raw]]*MAX(0,MIN(_xlfn.DAYS(EDATE(R$1,1),Log_2019[[#This Row],[Date]]),Log_2019[[#This Row],[Split_apply]])) - SUM($O372:Q372)</f>
        <v>0</v>
      </c>
      <c r="S372" s="52">
        <f ca="1">Log_2019[[#This Row],[Amount]]/Log_2019[[#This Row],[Split_raw]]*MAX(0,MIN(_xlfn.DAYS(EDATE(S$1,1),Log_2019[[#This Row],[Date]]),Log_2019[[#This Row],[Split_apply]])) - SUM($O372:R372)</f>
        <v>0</v>
      </c>
      <c r="T372" s="52">
        <f ca="1">Log_2019[[#This Row],[Amount]]/Log_2019[[#This Row],[Split_raw]]*MAX(0,MIN(_xlfn.DAYS(EDATE(T$1,1),Log_2019[[#This Row],[Date]]),Log_2019[[#This Row],[Split_apply]])) - SUM($O372:S372)</f>
        <v>0</v>
      </c>
      <c r="U372" s="52">
        <f ca="1">Log_2019[[#This Row],[Amount]]/Log_2019[[#This Row],[Split_raw]]*MAX(0,MIN(_xlfn.DAYS(EDATE(U$1,1),Log_2019[[#This Row],[Date]]),Log_2019[[#This Row],[Split_apply]])) - SUM($O372:T372)</f>
        <v>0</v>
      </c>
      <c r="V372" s="52">
        <f ca="1">Log_2019[[#This Row],[Amount]]/Log_2019[[#This Row],[Split_raw]]*MAX(0,MIN(_xlfn.DAYS(EDATE(V$1,1),Log_2019[[#This Row],[Date]]),Log_2019[[#This Row],[Split_apply]])) - SUM($O372:U372)</f>
        <v>-43.3</v>
      </c>
      <c r="W372" s="52">
        <f ca="1">Log_2019[[#This Row],[Amount]]/Log_2019[[#This Row],[Split_raw]]*MAX(0,MIN(_xlfn.DAYS(EDATE(W$1,1),Log_2019[[#This Row],[Date]]),Log_2019[[#This Row],[Split_apply]])) - SUM($O372:V372)</f>
        <v>0</v>
      </c>
      <c r="X372" s="52">
        <f ca="1">Log_2019[[#This Row],[Amount]]/Log_2019[[#This Row],[Split_raw]]*MAX(0,MIN(_xlfn.DAYS(EDATE(X$1,1),Log_2019[[#This Row],[Date]]),Log_2019[[#This Row],[Split_apply]])) - SUM($O372:W372)</f>
        <v>0</v>
      </c>
      <c r="Y372" s="52">
        <f ca="1">Log_2019[[#This Row],[Amount]]/Log_2019[[#This Row],[Split_raw]]*MAX(0,MIN(_xlfn.DAYS(EDATE(Y$1,1),Log_2019[[#This Row],[Date]]),Log_2019[[#This Row],[Split_apply]])) - SUM($O372:X372)</f>
        <v>0</v>
      </c>
      <c r="Z372" s="52">
        <f ca="1">Log_2019[[#This Row],[Amount]]/Log_2019[[#This Row],[Split_raw]]*MAX(0,MIN(_xlfn.DAYS(EDATE(Z$1,1),Log_2019[[#This Row],[Date]]),Log_2019[[#This Row],[Split_apply]])) - SUM($O372:Y372)</f>
        <v>0</v>
      </c>
      <c r="AA372" s="52">
        <f ca="1">Log_2019[[#This Row],[Amount]]/Log_2019[[#This Row],[Split_raw]]*MAX(0,MIN(_xlfn.DAYS(EDATE(AA$1,1),Log_2019[[#This Row],[Date]]),Log_2019[[#This Row],[Split_apply]])) - SUM($O372:Z372)</f>
        <v>0</v>
      </c>
      <c r="AB372" s="54">
        <f ca="1">Log_2019[[#This Row],[Amount]]-SUM(O372:AA372)</f>
        <v>0</v>
      </c>
      <c r="AC372" s="7">
        <f>MAX(0,Log_2019[[#This Row],[Split_raw]] - (EDATE(AA$1,1)-Log_2019[[#This Row],[Date]]))</f>
        <v>0</v>
      </c>
    </row>
    <row r="373" spans="1:29" x14ac:dyDescent="0.25">
      <c r="A373" s="42"/>
      <c r="B373" s="34" t="s">
        <v>6</v>
      </c>
      <c r="C373" s="34"/>
      <c r="D373" s="35">
        <v>43648</v>
      </c>
      <c r="E373" s="34"/>
      <c r="F373" s="34" t="s">
        <v>635</v>
      </c>
      <c r="G373" s="34" t="s">
        <v>25</v>
      </c>
      <c r="H373">
        <v>-11.71</v>
      </c>
      <c r="I373" s="36">
        <f>IF(Log_2019[[#This Row],[My Category]]="NONTRACKED",0,Log_2019[[#This Row],[Raw Amount]])</f>
        <v>-11.71</v>
      </c>
      <c r="J373" s="37">
        <f>ABS(Log_2019[[#This Row],[Amount]])</f>
        <v>11.71</v>
      </c>
      <c r="K373" s="38">
        <v>1</v>
      </c>
      <c r="L373" s="38">
        <f ca="1">IF(Log_2019[[#This Row],[Date]]&lt;=TODAY(), MIN(Log_2019[[#This Row],[Split_raw]], TODAY()-Log_2019[[#This Row],[Date]]+1), 0)</f>
        <v>1</v>
      </c>
      <c r="M373" s="34" t="s">
        <v>35</v>
      </c>
      <c r="N373" s="34" t="s">
        <v>158</v>
      </c>
      <c r="O373" s="7">
        <v>0</v>
      </c>
      <c r="P373" s="52">
        <f ca="1">Log_2019[[#This Row],[Amount]]/Log_2019[[#This Row],[Split_raw]]*MAX(0,MIN(_xlfn.DAYS(EDATE(P$1,1),Log_2019[[#This Row],[Date]]),Log_2019[[#This Row],[Split_apply]])) - SUM($O373:O373)</f>
        <v>0</v>
      </c>
      <c r="Q373" s="52">
        <f ca="1">Log_2019[[#This Row],[Amount]]/Log_2019[[#This Row],[Split_raw]]*MAX(0,MIN(_xlfn.DAYS(EDATE(Q$1,1),Log_2019[[#This Row],[Date]]),Log_2019[[#This Row],[Split_apply]])) - SUM($O373:P373)</f>
        <v>0</v>
      </c>
      <c r="R373" s="52">
        <f ca="1">Log_2019[[#This Row],[Amount]]/Log_2019[[#This Row],[Split_raw]]*MAX(0,MIN(_xlfn.DAYS(EDATE(R$1,1),Log_2019[[#This Row],[Date]]),Log_2019[[#This Row],[Split_apply]])) - SUM($O373:Q373)</f>
        <v>0</v>
      </c>
      <c r="S373" s="52">
        <f ca="1">Log_2019[[#This Row],[Amount]]/Log_2019[[#This Row],[Split_raw]]*MAX(0,MIN(_xlfn.DAYS(EDATE(S$1,1),Log_2019[[#This Row],[Date]]),Log_2019[[#This Row],[Split_apply]])) - SUM($O373:R373)</f>
        <v>0</v>
      </c>
      <c r="T373" s="52">
        <f ca="1">Log_2019[[#This Row],[Amount]]/Log_2019[[#This Row],[Split_raw]]*MAX(0,MIN(_xlfn.DAYS(EDATE(T$1,1),Log_2019[[#This Row],[Date]]),Log_2019[[#This Row],[Split_apply]])) - SUM($O373:S373)</f>
        <v>0</v>
      </c>
      <c r="U373" s="52">
        <f ca="1">Log_2019[[#This Row],[Amount]]/Log_2019[[#This Row],[Split_raw]]*MAX(0,MIN(_xlfn.DAYS(EDATE(U$1,1),Log_2019[[#This Row],[Date]]),Log_2019[[#This Row],[Split_apply]])) - SUM($O373:T373)</f>
        <v>0</v>
      </c>
      <c r="V373" s="52">
        <f ca="1">Log_2019[[#This Row],[Amount]]/Log_2019[[#This Row],[Split_raw]]*MAX(0,MIN(_xlfn.DAYS(EDATE(V$1,1),Log_2019[[#This Row],[Date]]),Log_2019[[#This Row],[Split_apply]])) - SUM($O373:U373)</f>
        <v>-11.71</v>
      </c>
      <c r="W373" s="52">
        <f ca="1">Log_2019[[#This Row],[Amount]]/Log_2019[[#This Row],[Split_raw]]*MAX(0,MIN(_xlfn.DAYS(EDATE(W$1,1),Log_2019[[#This Row],[Date]]),Log_2019[[#This Row],[Split_apply]])) - SUM($O373:V373)</f>
        <v>0</v>
      </c>
      <c r="X373" s="52">
        <f ca="1">Log_2019[[#This Row],[Amount]]/Log_2019[[#This Row],[Split_raw]]*MAX(0,MIN(_xlfn.DAYS(EDATE(X$1,1),Log_2019[[#This Row],[Date]]),Log_2019[[#This Row],[Split_apply]])) - SUM($O373:W373)</f>
        <v>0</v>
      </c>
      <c r="Y373" s="52">
        <f ca="1">Log_2019[[#This Row],[Amount]]/Log_2019[[#This Row],[Split_raw]]*MAX(0,MIN(_xlfn.DAYS(EDATE(Y$1,1),Log_2019[[#This Row],[Date]]),Log_2019[[#This Row],[Split_apply]])) - SUM($O373:X373)</f>
        <v>0</v>
      </c>
      <c r="Z373" s="52">
        <f ca="1">Log_2019[[#This Row],[Amount]]/Log_2019[[#This Row],[Split_raw]]*MAX(0,MIN(_xlfn.DAYS(EDATE(Z$1,1),Log_2019[[#This Row],[Date]]),Log_2019[[#This Row],[Split_apply]])) - SUM($O373:Y373)</f>
        <v>0</v>
      </c>
      <c r="AA373" s="52">
        <f ca="1">Log_2019[[#This Row],[Amount]]/Log_2019[[#This Row],[Split_raw]]*MAX(0,MIN(_xlfn.DAYS(EDATE(AA$1,1),Log_2019[[#This Row],[Date]]),Log_2019[[#This Row],[Split_apply]])) - SUM($O373:Z373)</f>
        <v>0</v>
      </c>
      <c r="AB373" s="54">
        <f ca="1">Log_2019[[#This Row],[Amount]]-SUM(O373:AA373)</f>
        <v>0</v>
      </c>
      <c r="AC373" s="7">
        <f>MAX(0,Log_2019[[#This Row],[Split_raw]] - (EDATE(AA$1,1)-Log_2019[[#This Row],[Date]]))</f>
        <v>0</v>
      </c>
    </row>
    <row r="374" spans="1:29" x14ac:dyDescent="0.25">
      <c r="A374" s="42"/>
      <c r="B374" t="s">
        <v>6</v>
      </c>
      <c r="D374" s="26">
        <v>43648</v>
      </c>
      <c r="F374" t="s">
        <v>527</v>
      </c>
      <c r="G374" t="s">
        <v>20</v>
      </c>
      <c r="H374">
        <v>-1600</v>
      </c>
      <c r="I374" s="36">
        <f>IF(Log_2019[[#This Row],[My Category]]="NONTRACKED",0,Log_2019[[#This Row],[Raw Amount]])</f>
        <v>-1600</v>
      </c>
      <c r="J374" s="37">
        <f>ABS(Log_2019[[#This Row],[Amount]])</f>
        <v>1600</v>
      </c>
      <c r="K374" s="38">
        <v>30</v>
      </c>
      <c r="L374" s="38">
        <f ca="1">IF(Log_2019[[#This Row],[Date]]&lt;=TODAY(), MIN(Log_2019[[#This Row],[Split_raw]], TODAY()-Log_2019[[#This Row],[Date]]+1), 0)</f>
        <v>30</v>
      </c>
      <c r="M374" s="34" t="s">
        <v>28</v>
      </c>
      <c r="N374" s="34" t="s">
        <v>160</v>
      </c>
      <c r="O374" s="7">
        <v>0</v>
      </c>
      <c r="P374" s="52">
        <f ca="1">Log_2019[[#This Row],[Amount]]/Log_2019[[#This Row],[Split_raw]]*MAX(0,MIN(_xlfn.DAYS(EDATE(P$1,1),Log_2019[[#This Row],[Date]]),Log_2019[[#This Row],[Split_apply]])) - SUM($O374:O374)</f>
        <v>0</v>
      </c>
      <c r="Q374" s="52">
        <f ca="1">Log_2019[[#This Row],[Amount]]/Log_2019[[#This Row],[Split_raw]]*MAX(0,MIN(_xlfn.DAYS(EDATE(Q$1,1),Log_2019[[#This Row],[Date]]),Log_2019[[#This Row],[Split_apply]])) - SUM($O374:P374)</f>
        <v>0</v>
      </c>
      <c r="R374" s="52">
        <f ca="1">Log_2019[[#This Row],[Amount]]/Log_2019[[#This Row],[Split_raw]]*MAX(0,MIN(_xlfn.DAYS(EDATE(R$1,1),Log_2019[[#This Row],[Date]]),Log_2019[[#This Row],[Split_apply]])) - SUM($O374:Q374)</f>
        <v>0</v>
      </c>
      <c r="S374" s="52">
        <f ca="1">Log_2019[[#This Row],[Amount]]/Log_2019[[#This Row],[Split_raw]]*MAX(0,MIN(_xlfn.DAYS(EDATE(S$1,1),Log_2019[[#This Row],[Date]]),Log_2019[[#This Row],[Split_apply]])) - SUM($O374:R374)</f>
        <v>0</v>
      </c>
      <c r="T374" s="52">
        <f ca="1">Log_2019[[#This Row],[Amount]]/Log_2019[[#This Row],[Split_raw]]*MAX(0,MIN(_xlfn.DAYS(EDATE(T$1,1),Log_2019[[#This Row],[Date]]),Log_2019[[#This Row],[Split_apply]])) - SUM($O374:S374)</f>
        <v>0</v>
      </c>
      <c r="U374" s="52">
        <f ca="1">Log_2019[[#This Row],[Amount]]/Log_2019[[#This Row],[Split_raw]]*MAX(0,MIN(_xlfn.DAYS(EDATE(U$1,1),Log_2019[[#This Row],[Date]]),Log_2019[[#This Row],[Split_apply]])) - SUM($O374:T374)</f>
        <v>0</v>
      </c>
      <c r="V374" s="52">
        <f ca="1">Log_2019[[#This Row],[Amount]]/Log_2019[[#This Row],[Split_raw]]*MAX(0,MIN(_xlfn.DAYS(EDATE(V$1,1),Log_2019[[#This Row],[Date]]),Log_2019[[#This Row],[Split_apply]])) - SUM($O374:U374)</f>
        <v>-1600</v>
      </c>
      <c r="W374" s="52">
        <f ca="1">Log_2019[[#This Row],[Amount]]/Log_2019[[#This Row],[Split_raw]]*MAX(0,MIN(_xlfn.DAYS(EDATE(W$1,1),Log_2019[[#This Row],[Date]]),Log_2019[[#This Row],[Split_apply]])) - SUM($O374:V374)</f>
        <v>0</v>
      </c>
      <c r="X374" s="52">
        <f ca="1">Log_2019[[#This Row],[Amount]]/Log_2019[[#This Row],[Split_raw]]*MAX(0,MIN(_xlfn.DAYS(EDATE(X$1,1),Log_2019[[#This Row],[Date]]),Log_2019[[#This Row],[Split_apply]])) - SUM($O374:W374)</f>
        <v>0</v>
      </c>
      <c r="Y374" s="52">
        <f ca="1">Log_2019[[#This Row],[Amount]]/Log_2019[[#This Row],[Split_raw]]*MAX(0,MIN(_xlfn.DAYS(EDATE(Y$1,1),Log_2019[[#This Row],[Date]]),Log_2019[[#This Row],[Split_apply]])) - SUM($O374:X374)</f>
        <v>0</v>
      </c>
      <c r="Z374" s="52">
        <f ca="1">Log_2019[[#This Row],[Amount]]/Log_2019[[#This Row],[Split_raw]]*MAX(0,MIN(_xlfn.DAYS(EDATE(Z$1,1),Log_2019[[#This Row],[Date]]),Log_2019[[#This Row],[Split_apply]])) - SUM($O374:Y374)</f>
        <v>0</v>
      </c>
      <c r="AA374" s="52">
        <f ca="1">Log_2019[[#This Row],[Amount]]/Log_2019[[#This Row],[Split_raw]]*MAX(0,MIN(_xlfn.DAYS(EDATE(AA$1,1),Log_2019[[#This Row],[Date]]),Log_2019[[#This Row],[Split_apply]])) - SUM($O374:Z374)</f>
        <v>0</v>
      </c>
      <c r="AB374" s="54">
        <f ca="1">Log_2019[[#This Row],[Amount]]-SUM(O374:AA374)</f>
        <v>0</v>
      </c>
      <c r="AC374" s="7">
        <f>MAX(0,Log_2019[[#This Row],[Split_raw]] - (EDATE(AA$1,1)-Log_2019[[#This Row],[Date]]))</f>
        <v>0</v>
      </c>
    </row>
    <row r="375" spans="1:29" x14ac:dyDescent="0.25">
      <c r="A375" s="42"/>
      <c r="B375" t="s">
        <v>6</v>
      </c>
      <c r="D375" s="26">
        <v>43647</v>
      </c>
      <c r="E375" t="s">
        <v>960</v>
      </c>
      <c r="F375" t="s">
        <v>643</v>
      </c>
      <c r="G375" t="s">
        <v>82</v>
      </c>
      <c r="H375">
        <v>-320</v>
      </c>
      <c r="I375" s="36">
        <f>IF(Log_2019[[#This Row],[My Category]]="NONTRACKED",0,Log_2019[[#This Row],[Raw Amount]])</f>
        <v>-320</v>
      </c>
      <c r="J375" s="37">
        <f>ABS(Log_2019[[#This Row],[Amount]])</f>
        <v>320</v>
      </c>
      <c r="K375" s="5">
        <v>31</v>
      </c>
      <c r="L375" s="38">
        <f ca="1">IF(Log_2019[[#This Row],[Date]]&lt;=TODAY(), MIN(Log_2019[[#This Row],[Split_raw]], TODAY()-Log_2019[[#This Row],[Date]]+1), 0)</f>
        <v>31</v>
      </c>
      <c r="M375" s="34" t="s">
        <v>93</v>
      </c>
      <c r="N375" s="34" t="s">
        <v>160</v>
      </c>
      <c r="O375" s="7">
        <v>0</v>
      </c>
      <c r="P375" s="52">
        <f ca="1">Log_2019[[#This Row],[Amount]]/Log_2019[[#This Row],[Split_raw]]*MAX(0,MIN(_xlfn.DAYS(EDATE(P$1,1),Log_2019[[#This Row],[Date]]),Log_2019[[#This Row],[Split_apply]])) - SUM($O375:O375)</f>
        <v>0</v>
      </c>
      <c r="Q375" s="52">
        <f ca="1">Log_2019[[#This Row],[Amount]]/Log_2019[[#This Row],[Split_raw]]*MAX(0,MIN(_xlfn.DAYS(EDATE(Q$1,1),Log_2019[[#This Row],[Date]]),Log_2019[[#This Row],[Split_apply]])) - SUM($O375:P375)</f>
        <v>0</v>
      </c>
      <c r="R375" s="52">
        <f ca="1">Log_2019[[#This Row],[Amount]]/Log_2019[[#This Row],[Split_raw]]*MAX(0,MIN(_xlfn.DAYS(EDATE(R$1,1),Log_2019[[#This Row],[Date]]),Log_2019[[#This Row],[Split_apply]])) - SUM($O375:Q375)</f>
        <v>0</v>
      </c>
      <c r="S375" s="52">
        <f ca="1">Log_2019[[#This Row],[Amount]]/Log_2019[[#This Row],[Split_raw]]*MAX(0,MIN(_xlfn.DAYS(EDATE(S$1,1),Log_2019[[#This Row],[Date]]),Log_2019[[#This Row],[Split_apply]])) - SUM($O375:R375)</f>
        <v>0</v>
      </c>
      <c r="T375" s="52">
        <f ca="1">Log_2019[[#This Row],[Amount]]/Log_2019[[#This Row],[Split_raw]]*MAX(0,MIN(_xlfn.DAYS(EDATE(T$1,1),Log_2019[[#This Row],[Date]]),Log_2019[[#This Row],[Split_apply]])) - SUM($O375:S375)</f>
        <v>0</v>
      </c>
      <c r="U375" s="52">
        <f ca="1">Log_2019[[#This Row],[Amount]]/Log_2019[[#This Row],[Split_raw]]*MAX(0,MIN(_xlfn.DAYS(EDATE(U$1,1),Log_2019[[#This Row],[Date]]),Log_2019[[#This Row],[Split_apply]])) - SUM($O375:T375)</f>
        <v>0</v>
      </c>
      <c r="V375" s="52">
        <f ca="1">Log_2019[[#This Row],[Amount]]/Log_2019[[#This Row],[Split_raw]]*MAX(0,MIN(_xlfn.DAYS(EDATE(V$1,1),Log_2019[[#This Row],[Date]]),Log_2019[[#This Row],[Split_apply]])) - SUM($O375:U375)</f>
        <v>-320</v>
      </c>
      <c r="W375" s="52">
        <f ca="1">Log_2019[[#This Row],[Amount]]/Log_2019[[#This Row],[Split_raw]]*MAX(0,MIN(_xlfn.DAYS(EDATE(W$1,1),Log_2019[[#This Row],[Date]]),Log_2019[[#This Row],[Split_apply]])) - SUM($O375:V375)</f>
        <v>0</v>
      </c>
      <c r="X375" s="52">
        <f ca="1">Log_2019[[#This Row],[Amount]]/Log_2019[[#This Row],[Split_raw]]*MAX(0,MIN(_xlfn.DAYS(EDATE(X$1,1),Log_2019[[#This Row],[Date]]),Log_2019[[#This Row],[Split_apply]])) - SUM($O375:W375)</f>
        <v>0</v>
      </c>
      <c r="Y375" s="52">
        <f ca="1">Log_2019[[#This Row],[Amount]]/Log_2019[[#This Row],[Split_raw]]*MAX(0,MIN(_xlfn.DAYS(EDATE(Y$1,1),Log_2019[[#This Row],[Date]]),Log_2019[[#This Row],[Split_apply]])) - SUM($O375:X375)</f>
        <v>0</v>
      </c>
      <c r="Z375" s="52">
        <f ca="1">Log_2019[[#This Row],[Amount]]/Log_2019[[#This Row],[Split_raw]]*MAX(0,MIN(_xlfn.DAYS(EDATE(Z$1,1),Log_2019[[#This Row],[Date]]),Log_2019[[#This Row],[Split_apply]])) - SUM($O375:Y375)</f>
        <v>0</v>
      </c>
      <c r="AA375" s="52">
        <f ca="1">Log_2019[[#This Row],[Amount]]/Log_2019[[#This Row],[Split_raw]]*MAX(0,MIN(_xlfn.DAYS(EDATE(AA$1,1),Log_2019[[#This Row],[Date]]),Log_2019[[#This Row],[Split_apply]])) - SUM($O375:Z375)</f>
        <v>0</v>
      </c>
      <c r="AB375" s="54">
        <f ca="1">Log_2019[[#This Row],[Amount]]-SUM(O375:AA375)</f>
        <v>0</v>
      </c>
      <c r="AC375" s="7">
        <f>MAX(0,Log_2019[[#This Row],[Split_raw]] - (EDATE(AA$1,1)-Log_2019[[#This Row],[Date]]))</f>
        <v>0</v>
      </c>
    </row>
    <row r="376" spans="1:29" x14ac:dyDescent="0.25">
      <c r="A376" s="42"/>
      <c r="B376" s="34" t="s">
        <v>6</v>
      </c>
      <c r="C376" s="34"/>
      <c r="D376" s="35">
        <v>43647</v>
      </c>
      <c r="E376" s="34"/>
      <c r="F376" s="34" t="s">
        <v>345</v>
      </c>
      <c r="G376" s="34" t="s">
        <v>12</v>
      </c>
      <c r="H376">
        <v>-73.239999999999995</v>
      </c>
      <c r="I376" s="36">
        <f>IF(Log_2019[[#This Row],[My Category]]="NONTRACKED",0,Log_2019[[#This Row],[Raw Amount]])</f>
        <v>-73.239999999999995</v>
      </c>
      <c r="J376" s="37">
        <f>ABS(Log_2019[[#This Row],[Amount]])</f>
        <v>73.239999999999995</v>
      </c>
      <c r="K376" s="38">
        <v>1</v>
      </c>
      <c r="L376" s="38">
        <f ca="1">IF(Log_2019[[#This Row],[Date]]&lt;=TODAY(), MIN(Log_2019[[#This Row],[Split_raw]], TODAY()-Log_2019[[#This Row],[Date]]+1), 0)</f>
        <v>1</v>
      </c>
      <c r="M376" s="34" t="s">
        <v>12</v>
      </c>
      <c r="N376" s="34" t="s">
        <v>158</v>
      </c>
      <c r="O376" s="7">
        <v>0</v>
      </c>
      <c r="P376" s="52">
        <f ca="1">Log_2019[[#This Row],[Amount]]/Log_2019[[#This Row],[Split_raw]]*MAX(0,MIN(_xlfn.DAYS(EDATE(P$1,1),Log_2019[[#This Row],[Date]]),Log_2019[[#This Row],[Split_apply]])) - SUM($O376:O376)</f>
        <v>0</v>
      </c>
      <c r="Q376" s="52">
        <f ca="1">Log_2019[[#This Row],[Amount]]/Log_2019[[#This Row],[Split_raw]]*MAX(0,MIN(_xlfn.DAYS(EDATE(Q$1,1),Log_2019[[#This Row],[Date]]),Log_2019[[#This Row],[Split_apply]])) - SUM($O376:P376)</f>
        <v>0</v>
      </c>
      <c r="R376" s="52">
        <f ca="1">Log_2019[[#This Row],[Amount]]/Log_2019[[#This Row],[Split_raw]]*MAX(0,MIN(_xlfn.DAYS(EDATE(R$1,1),Log_2019[[#This Row],[Date]]),Log_2019[[#This Row],[Split_apply]])) - SUM($O376:Q376)</f>
        <v>0</v>
      </c>
      <c r="S376" s="52">
        <f ca="1">Log_2019[[#This Row],[Amount]]/Log_2019[[#This Row],[Split_raw]]*MAX(0,MIN(_xlfn.DAYS(EDATE(S$1,1),Log_2019[[#This Row],[Date]]),Log_2019[[#This Row],[Split_apply]])) - SUM($O376:R376)</f>
        <v>0</v>
      </c>
      <c r="T376" s="52">
        <f ca="1">Log_2019[[#This Row],[Amount]]/Log_2019[[#This Row],[Split_raw]]*MAX(0,MIN(_xlfn.DAYS(EDATE(T$1,1),Log_2019[[#This Row],[Date]]),Log_2019[[#This Row],[Split_apply]])) - SUM($O376:S376)</f>
        <v>0</v>
      </c>
      <c r="U376" s="52">
        <f ca="1">Log_2019[[#This Row],[Amount]]/Log_2019[[#This Row],[Split_raw]]*MAX(0,MIN(_xlfn.DAYS(EDATE(U$1,1),Log_2019[[#This Row],[Date]]),Log_2019[[#This Row],[Split_apply]])) - SUM($O376:T376)</f>
        <v>0</v>
      </c>
      <c r="V376" s="52">
        <f ca="1">Log_2019[[#This Row],[Amount]]/Log_2019[[#This Row],[Split_raw]]*MAX(0,MIN(_xlfn.DAYS(EDATE(V$1,1),Log_2019[[#This Row],[Date]]),Log_2019[[#This Row],[Split_apply]])) - SUM($O376:U376)</f>
        <v>-73.239999999999995</v>
      </c>
      <c r="W376" s="52">
        <f ca="1">Log_2019[[#This Row],[Amount]]/Log_2019[[#This Row],[Split_raw]]*MAX(0,MIN(_xlfn.DAYS(EDATE(W$1,1),Log_2019[[#This Row],[Date]]),Log_2019[[#This Row],[Split_apply]])) - SUM($O376:V376)</f>
        <v>0</v>
      </c>
      <c r="X376" s="52">
        <f ca="1">Log_2019[[#This Row],[Amount]]/Log_2019[[#This Row],[Split_raw]]*MAX(0,MIN(_xlfn.DAYS(EDATE(X$1,1),Log_2019[[#This Row],[Date]]),Log_2019[[#This Row],[Split_apply]])) - SUM($O376:W376)</f>
        <v>0</v>
      </c>
      <c r="Y376" s="52">
        <f ca="1">Log_2019[[#This Row],[Amount]]/Log_2019[[#This Row],[Split_raw]]*MAX(0,MIN(_xlfn.DAYS(EDATE(Y$1,1),Log_2019[[#This Row],[Date]]),Log_2019[[#This Row],[Split_apply]])) - SUM($O376:X376)</f>
        <v>0</v>
      </c>
      <c r="Z376" s="52">
        <f ca="1">Log_2019[[#This Row],[Amount]]/Log_2019[[#This Row],[Split_raw]]*MAX(0,MIN(_xlfn.DAYS(EDATE(Z$1,1),Log_2019[[#This Row],[Date]]),Log_2019[[#This Row],[Split_apply]])) - SUM($O376:Y376)</f>
        <v>0</v>
      </c>
      <c r="AA376" s="52">
        <f ca="1">Log_2019[[#This Row],[Amount]]/Log_2019[[#This Row],[Split_raw]]*MAX(0,MIN(_xlfn.DAYS(EDATE(AA$1,1),Log_2019[[#This Row],[Date]]),Log_2019[[#This Row],[Split_apply]])) - SUM($O376:Z376)</f>
        <v>0</v>
      </c>
      <c r="AB376" s="54">
        <f ca="1">Log_2019[[#This Row],[Amount]]-SUM(O376:AA376)</f>
        <v>0</v>
      </c>
      <c r="AC376" s="7">
        <f>MAX(0,Log_2019[[#This Row],[Split_raw]] - (EDATE(AA$1,1)-Log_2019[[#This Row],[Date]]))</f>
        <v>0</v>
      </c>
    </row>
    <row r="377" spans="1:29" x14ac:dyDescent="0.25">
      <c r="A377" s="42"/>
      <c r="B377" t="s">
        <v>6</v>
      </c>
      <c r="D377" s="26">
        <v>43647</v>
      </c>
      <c r="F377" t="s">
        <v>644</v>
      </c>
      <c r="G377" t="s">
        <v>29</v>
      </c>
      <c r="H377">
        <v>-63.97</v>
      </c>
      <c r="I377" s="36">
        <f>IF(Log_2019[[#This Row],[My Category]]="NONTRACKED",0,Log_2019[[#This Row],[Raw Amount]])</f>
        <v>-63.97</v>
      </c>
      <c r="J377" s="37">
        <f>ABS(Log_2019[[#This Row],[Amount]])</f>
        <v>63.97</v>
      </c>
      <c r="K377" s="38">
        <v>30</v>
      </c>
      <c r="L377" s="38">
        <f ca="1">IF(Log_2019[[#This Row],[Date]]&lt;=TODAY(), MIN(Log_2019[[#This Row],[Split_raw]], TODAY()-Log_2019[[#This Row],[Date]]+1), 0)</f>
        <v>30</v>
      </c>
      <c r="M377" s="34" t="s">
        <v>29</v>
      </c>
      <c r="N377" s="34" t="s">
        <v>160</v>
      </c>
      <c r="O377" s="7">
        <v>0</v>
      </c>
      <c r="P377" s="52">
        <f ca="1">Log_2019[[#This Row],[Amount]]/Log_2019[[#This Row],[Split_raw]]*MAX(0,MIN(_xlfn.DAYS(EDATE(P$1,1),Log_2019[[#This Row],[Date]]),Log_2019[[#This Row],[Split_apply]])) - SUM($O377:O377)</f>
        <v>0</v>
      </c>
      <c r="Q377" s="52">
        <f ca="1">Log_2019[[#This Row],[Amount]]/Log_2019[[#This Row],[Split_raw]]*MAX(0,MIN(_xlfn.DAYS(EDATE(Q$1,1),Log_2019[[#This Row],[Date]]),Log_2019[[#This Row],[Split_apply]])) - SUM($O377:P377)</f>
        <v>0</v>
      </c>
      <c r="R377" s="52">
        <f ca="1">Log_2019[[#This Row],[Amount]]/Log_2019[[#This Row],[Split_raw]]*MAX(0,MIN(_xlfn.DAYS(EDATE(R$1,1),Log_2019[[#This Row],[Date]]),Log_2019[[#This Row],[Split_apply]])) - SUM($O377:Q377)</f>
        <v>0</v>
      </c>
      <c r="S377" s="52">
        <f ca="1">Log_2019[[#This Row],[Amount]]/Log_2019[[#This Row],[Split_raw]]*MAX(0,MIN(_xlfn.DAYS(EDATE(S$1,1),Log_2019[[#This Row],[Date]]),Log_2019[[#This Row],[Split_apply]])) - SUM($O377:R377)</f>
        <v>0</v>
      </c>
      <c r="T377" s="52">
        <f ca="1">Log_2019[[#This Row],[Amount]]/Log_2019[[#This Row],[Split_raw]]*MAX(0,MIN(_xlfn.DAYS(EDATE(T$1,1),Log_2019[[#This Row],[Date]]),Log_2019[[#This Row],[Split_apply]])) - SUM($O377:S377)</f>
        <v>0</v>
      </c>
      <c r="U377" s="52">
        <f ca="1">Log_2019[[#This Row],[Amount]]/Log_2019[[#This Row],[Split_raw]]*MAX(0,MIN(_xlfn.DAYS(EDATE(U$1,1),Log_2019[[#This Row],[Date]]),Log_2019[[#This Row],[Split_apply]])) - SUM($O377:T377)</f>
        <v>0</v>
      </c>
      <c r="V377" s="52">
        <f ca="1">Log_2019[[#This Row],[Amount]]/Log_2019[[#This Row],[Split_raw]]*MAX(0,MIN(_xlfn.DAYS(EDATE(V$1,1),Log_2019[[#This Row],[Date]]),Log_2019[[#This Row],[Split_apply]])) - SUM($O377:U377)</f>
        <v>-63.97</v>
      </c>
      <c r="W377" s="52">
        <f ca="1">Log_2019[[#This Row],[Amount]]/Log_2019[[#This Row],[Split_raw]]*MAX(0,MIN(_xlfn.DAYS(EDATE(W$1,1),Log_2019[[#This Row],[Date]]),Log_2019[[#This Row],[Split_apply]])) - SUM($O377:V377)</f>
        <v>0</v>
      </c>
      <c r="X377" s="52">
        <f ca="1">Log_2019[[#This Row],[Amount]]/Log_2019[[#This Row],[Split_raw]]*MAX(0,MIN(_xlfn.DAYS(EDATE(X$1,1),Log_2019[[#This Row],[Date]]),Log_2019[[#This Row],[Split_apply]])) - SUM($O377:W377)</f>
        <v>0</v>
      </c>
      <c r="Y377" s="52">
        <f ca="1">Log_2019[[#This Row],[Amount]]/Log_2019[[#This Row],[Split_raw]]*MAX(0,MIN(_xlfn.DAYS(EDATE(Y$1,1),Log_2019[[#This Row],[Date]]),Log_2019[[#This Row],[Split_apply]])) - SUM($O377:X377)</f>
        <v>0</v>
      </c>
      <c r="Z377" s="52">
        <f ca="1">Log_2019[[#This Row],[Amount]]/Log_2019[[#This Row],[Split_raw]]*MAX(0,MIN(_xlfn.DAYS(EDATE(Z$1,1),Log_2019[[#This Row],[Date]]),Log_2019[[#This Row],[Split_apply]])) - SUM($O377:Y377)</f>
        <v>0</v>
      </c>
      <c r="AA377" s="52">
        <f ca="1">Log_2019[[#This Row],[Amount]]/Log_2019[[#This Row],[Split_raw]]*MAX(0,MIN(_xlfn.DAYS(EDATE(AA$1,1),Log_2019[[#This Row],[Date]]),Log_2019[[#This Row],[Split_apply]])) - SUM($O377:Z377)</f>
        <v>0</v>
      </c>
      <c r="AB377" s="54">
        <f ca="1">Log_2019[[#This Row],[Amount]]-SUM(O377:AA377)</f>
        <v>0</v>
      </c>
      <c r="AC377" s="7">
        <f>MAX(0,Log_2019[[#This Row],[Split_raw]] - (EDATE(AA$1,1)-Log_2019[[#This Row],[Date]]))</f>
        <v>0</v>
      </c>
    </row>
    <row r="378" spans="1:29" x14ac:dyDescent="0.25">
      <c r="A378" s="42"/>
      <c r="B378" s="34" t="s">
        <v>6</v>
      </c>
      <c r="C378" s="34"/>
      <c r="D378" s="35">
        <v>43646</v>
      </c>
      <c r="E378" s="34"/>
      <c r="F378" s="34" t="s">
        <v>555</v>
      </c>
      <c r="G378" s="34" t="s">
        <v>25</v>
      </c>
      <c r="H378">
        <v>-9.23</v>
      </c>
      <c r="I378" s="36">
        <f>IF(Log_2019[[#This Row],[My Category]]="NONTRACKED",0,Log_2019[[#This Row],[Raw Amount]])</f>
        <v>-9.23</v>
      </c>
      <c r="J378" s="37">
        <f>ABS(Log_2019[[#This Row],[Amount]])</f>
        <v>9.23</v>
      </c>
      <c r="K378" s="38">
        <v>1</v>
      </c>
      <c r="L378" s="38">
        <f ca="1">IF(Log_2019[[#This Row],[Date]]&lt;=TODAY(), MIN(Log_2019[[#This Row],[Split_raw]], TODAY()-Log_2019[[#This Row],[Date]]+1), 0)</f>
        <v>1</v>
      </c>
      <c r="M378" s="34" t="s">
        <v>35</v>
      </c>
      <c r="N378" s="34" t="s">
        <v>158</v>
      </c>
      <c r="O378" s="7">
        <v>0</v>
      </c>
      <c r="P378" s="52">
        <f ca="1">Log_2019[[#This Row],[Amount]]/Log_2019[[#This Row],[Split_raw]]*MAX(0,MIN(_xlfn.DAYS(EDATE(P$1,1),Log_2019[[#This Row],[Date]]),Log_2019[[#This Row],[Split_apply]])) - SUM($O378:O378)</f>
        <v>0</v>
      </c>
      <c r="Q378" s="52">
        <f ca="1">Log_2019[[#This Row],[Amount]]/Log_2019[[#This Row],[Split_raw]]*MAX(0,MIN(_xlfn.DAYS(EDATE(Q$1,1),Log_2019[[#This Row],[Date]]),Log_2019[[#This Row],[Split_apply]])) - SUM($O378:P378)</f>
        <v>0</v>
      </c>
      <c r="R378" s="52">
        <f ca="1">Log_2019[[#This Row],[Amount]]/Log_2019[[#This Row],[Split_raw]]*MAX(0,MIN(_xlfn.DAYS(EDATE(R$1,1),Log_2019[[#This Row],[Date]]),Log_2019[[#This Row],[Split_apply]])) - SUM($O378:Q378)</f>
        <v>0</v>
      </c>
      <c r="S378" s="52">
        <f ca="1">Log_2019[[#This Row],[Amount]]/Log_2019[[#This Row],[Split_raw]]*MAX(0,MIN(_xlfn.DAYS(EDATE(S$1,1),Log_2019[[#This Row],[Date]]),Log_2019[[#This Row],[Split_apply]])) - SUM($O378:R378)</f>
        <v>0</v>
      </c>
      <c r="T378" s="52">
        <f ca="1">Log_2019[[#This Row],[Amount]]/Log_2019[[#This Row],[Split_raw]]*MAX(0,MIN(_xlfn.DAYS(EDATE(T$1,1),Log_2019[[#This Row],[Date]]),Log_2019[[#This Row],[Split_apply]])) - SUM($O378:S378)</f>
        <v>0</v>
      </c>
      <c r="U378" s="52">
        <f ca="1">Log_2019[[#This Row],[Amount]]/Log_2019[[#This Row],[Split_raw]]*MAX(0,MIN(_xlfn.DAYS(EDATE(U$1,1),Log_2019[[#This Row],[Date]]),Log_2019[[#This Row],[Split_apply]])) - SUM($O378:T378)</f>
        <v>-9.23</v>
      </c>
      <c r="V378" s="52">
        <f ca="1">Log_2019[[#This Row],[Amount]]/Log_2019[[#This Row],[Split_raw]]*MAX(0,MIN(_xlfn.DAYS(EDATE(V$1,1),Log_2019[[#This Row],[Date]]),Log_2019[[#This Row],[Split_apply]])) - SUM($O378:U378)</f>
        <v>0</v>
      </c>
      <c r="W378" s="52">
        <f ca="1">Log_2019[[#This Row],[Amount]]/Log_2019[[#This Row],[Split_raw]]*MAX(0,MIN(_xlfn.DAYS(EDATE(W$1,1),Log_2019[[#This Row],[Date]]),Log_2019[[#This Row],[Split_apply]])) - SUM($O378:V378)</f>
        <v>0</v>
      </c>
      <c r="X378" s="52">
        <f ca="1">Log_2019[[#This Row],[Amount]]/Log_2019[[#This Row],[Split_raw]]*MAX(0,MIN(_xlfn.DAYS(EDATE(X$1,1),Log_2019[[#This Row],[Date]]),Log_2019[[#This Row],[Split_apply]])) - SUM($O378:W378)</f>
        <v>0</v>
      </c>
      <c r="Y378" s="52">
        <f ca="1">Log_2019[[#This Row],[Amount]]/Log_2019[[#This Row],[Split_raw]]*MAX(0,MIN(_xlfn.DAYS(EDATE(Y$1,1),Log_2019[[#This Row],[Date]]),Log_2019[[#This Row],[Split_apply]])) - SUM($O378:X378)</f>
        <v>0</v>
      </c>
      <c r="Z378" s="52">
        <f ca="1">Log_2019[[#This Row],[Amount]]/Log_2019[[#This Row],[Split_raw]]*MAX(0,MIN(_xlfn.DAYS(EDATE(Z$1,1),Log_2019[[#This Row],[Date]]),Log_2019[[#This Row],[Split_apply]])) - SUM($O378:Y378)</f>
        <v>0</v>
      </c>
      <c r="AA378" s="52">
        <f ca="1">Log_2019[[#This Row],[Amount]]/Log_2019[[#This Row],[Split_raw]]*MAX(0,MIN(_xlfn.DAYS(EDATE(AA$1,1),Log_2019[[#This Row],[Date]]),Log_2019[[#This Row],[Split_apply]])) - SUM($O378:Z378)</f>
        <v>0</v>
      </c>
      <c r="AB378" s="54">
        <f ca="1">Log_2019[[#This Row],[Amount]]-SUM(O378:AA378)</f>
        <v>0</v>
      </c>
      <c r="AC378" s="7">
        <f>MAX(0,Log_2019[[#This Row],[Split_raw]] - (EDATE(AA$1,1)-Log_2019[[#This Row],[Date]]))</f>
        <v>0</v>
      </c>
    </row>
    <row r="379" spans="1:29" x14ac:dyDescent="0.25">
      <c r="A379" s="42"/>
      <c r="B379" s="34" t="s">
        <v>6</v>
      </c>
      <c r="C379" s="34"/>
      <c r="D379" s="35">
        <v>43646</v>
      </c>
      <c r="E379" s="34"/>
      <c r="F379" s="34" t="s">
        <v>636</v>
      </c>
      <c r="G379" s="34" t="s">
        <v>10</v>
      </c>
      <c r="H379">
        <v>-31.92</v>
      </c>
      <c r="I379" s="36">
        <f>IF(Log_2019[[#This Row],[My Category]]="NONTRACKED",0,Log_2019[[#This Row],[Raw Amount]])</f>
        <v>-31.92</v>
      </c>
      <c r="J379" s="37">
        <f>ABS(Log_2019[[#This Row],[Amount]])</f>
        <v>31.92</v>
      </c>
      <c r="K379" s="38">
        <v>1</v>
      </c>
      <c r="L379" s="38">
        <f ca="1">IF(Log_2019[[#This Row],[Date]]&lt;=TODAY(), MIN(Log_2019[[#This Row],[Split_raw]], TODAY()-Log_2019[[#This Row],[Date]]+1), 0)</f>
        <v>1</v>
      </c>
      <c r="M379" s="34" t="s">
        <v>52</v>
      </c>
      <c r="N379" s="34" t="s">
        <v>158</v>
      </c>
      <c r="O379" s="7">
        <v>0</v>
      </c>
      <c r="P379" s="52">
        <f ca="1">Log_2019[[#This Row],[Amount]]/Log_2019[[#This Row],[Split_raw]]*MAX(0,MIN(_xlfn.DAYS(EDATE(P$1,1),Log_2019[[#This Row],[Date]]),Log_2019[[#This Row],[Split_apply]])) - SUM($O379:O379)</f>
        <v>0</v>
      </c>
      <c r="Q379" s="52">
        <f ca="1">Log_2019[[#This Row],[Amount]]/Log_2019[[#This Row],[Split_raw]]*MAX(0,MIN(_xlfn.DAYS(EDATE(Q$1,1),Log_2019[[#This Row],[Date]]),Log_2019[[#This Row],[Split_apply]])) - SUM($O379:P379)</f>
        <v>0</v>
      </c>
      <c r="R379" s="52">
        <f ca="1">Log_2019[[#This Row],[Amount]]/Log_2019[[#This Row],[Split_raw]]*MAX(0,MIN(_xlfn.DAYS(EDATE(R$1,1),Log_2019[[#This Row],[Date]]),Log_2019[[#This Row],[Split_apply]])) - SUM($O379:Q379)</f>
        <v>0</v>
      </c>
      <c r="S379" s="52">
        <f ca="1">Log_2019[[#This Row],[Amount]]/Log_2019[[#This Row],[Split_raw]]*MAX(0,MIN(_xlfn.DAYS(EDATE(S$1,1),Log_2019[[#This Row],[Date]]),Log_2019[[#This Row],[Split_apply]])) - SUM($O379:R379)</f>
        <v>0</v>
      </c>
      <c r="T379" s="52">
        <f ca="1">Log_2019[[#This Row],[Amount]]/Log_2019[[#This Row],[Split_raw]]*MAX(0,MIN(_xlfn.DAYS(EDATE(T$1,1),Log_2019[[#This Row],[Date]]),Log_2019[[#This Row],[Split_apply]])) - SUM($O379:S379)</f>
        <v>0</v>
      </c>
      <c r="U379" s="52">
        <f ca="1">Log_2019[[#This Row],[Amount]]/Log_2019[[#This Row],[Split_raw]]*MAX(0,MIN(_xlfn.DAYS(EDATE(U$1,1),Log_2019[[#This Row],[Date]]),Log_2019[[#This Row],[Split_apply]])) - SUM($O379:T379)</f>
        <v>-31.92</v>
      </c>
      <c r="V379" s="52">
        <f ca="1">Log_2019[[#This Row],[Amount]]/Log_2019[[#This Row],[Split_raw]]*MAX(0,MIN(_xlfn.DAYS(EDATE(V$1,1),Log_2019[[#This Row],[Date]]),Log_2019[[#This Row],[Split_apply]])) - SUM($O379:U379)</f>
        <v>0</v>
      </c>
      <c r="W379" s="52">
        <f ca="1">Log_2019[[#This Row],[Amount]]/Log_2019[[#This Row],[Split_raw]]*MAX(0,MIN(_xlfn.DAYS(EDATE(W$1,1),Log_2019[[#This Row],[Date]]),Log_2019[[#This Row],[Split_apply]])) - SUM($O379:V379)</f>
        <v>0</v>
      </c>
      <c r="X379" s="52">
        <f ca="1">Log_2019[[#This Row],[Amount]]/Log_2019[[#This Row],[Split_raw]]*MAX(0,MIN(_xlfn.DAYS(EDATE(X$1,1),Log_2019[[#This Row],[Date]]),Log_2019[[#This Row],[Split_apply]])) - SUM($O379:W379)</f>
        <v>0</v>
      </c>
      <c r="Y379" s="52">
        <f ca="1">Log_2019[[#This Row],[Amount]]/Log_2019[[#This Row],[Split_raw]]*MAX(0,MIN(_xlfn.DAYS(EDATE(Y$1,1),Log_2019[[#This Row],[Date]]),Log_2019[[#This Row],[Split_apply]])) - SUM($O379:X379)</f>
        <v>0</v>
      </c>
      <c r="Z379" s="52">
        <f ca="1">Log_2019[[#This Row],[Amount]]/Log_2019[[#This Row],[Split_raw]]*MAX(0,MIN(_xlfn.DAYS(EDATE(Z$1,1),Log_2019[[#This Row],[Date]]),Log_2019[[#This Row],[Split_apply]])) - SUM($O379:Y379)</f>
        <v>0</v>
      </c>
      <c r="AA379" s="52">
        <f ca="1">Log_2019[[#This Row],[Amount]]/Log_2019[[#This Row],[Split_raw]]*MAX(0,MIN(_xlfn.DAYS(EDATE(AA$1,1),Log_2019[[#This Row],[Date]]),Log_2019[[#This Row],[Split_apply]])) - SUM($O379:Z379)</f>
        <v>0</v>
      </c>
      <c r="AB379" s="54">
        <f ca="1">Log_2019[[#This Row],[Amount]]-SUM(O379:AA379)</f>
        <v>0</v>
      </c>
      <c r="AC379" s="7">
        <f>MAX(0,Log_2019[[#This Row],[Split_raw]] - (EDATE(AA$1,1)-Log_2019[[#This Row],[Date]]))</f>
        <v>0</v>
      </c>
    </row>
    <row r="380" spans="1:29" x14ac:dyDescent="0.25">
      <c r="A380" s="42"/>
      <c r="B380" s="34" t="s">
        <v>6</v>
      </c>
      <c r="C380" s="34"/>
      <c r="D380" s="35">
        <v>43646</v>
      </c>
      <c r="E380" s="34"/>
      <c r="F380" s="34" t="s">
        <v>587</v>
      </c>
      <c r="G380" s="34" t="s">
        <v>9</v>
      </c>
      <c r="H380">
        <v>-17.760000000000002</v>
      </c>
      <c r="I380" s="36">
        <f>IF(Log_2019[[#This Row],[My Category]]="NONTRACKED",0,Log_2019[[#This Row],[Raw Amount]])</f>
        <v>-17.760000000000002</v>
      </c>
      <c r="J380" s="37">
        <f>ABS(Log_2019[[#This Row],[Amount]])</f>
        <v>17.760000000000002</v>
      </c>
      <c r="K380" s="38">
        <v>1</v>
      </c>
      <c r="L380" s="38">
        <f ca="1">IF(Log_2019[[#This Row],[Date]]&lt;=TODAY(), MIN(Log_2019[[#This Row],[Split_raw]], TODAY()-Log_2019[[#This Row],[Date]]+1), 0)</f>
        <v>1</v>
      </c>
      <c r="M380" s="34" t="s">
        <v>12</v>
      </c>
      <c r="N380" s="34" t="s">
        <v>158</v>
      </c>
      <c r="O380" s="7">
        <v>0</v>
      </c>
      <c r="P380" s="52">
        <f ca="1">Log_2019[[#This Row],[Amount]]/Log_2019[[#This Row],[Split_raw]]*MAX(0,MIN(_xlfn.DAYS(EDATE(P$1,1),Log_2019[[#This Row],[Date]]),Log_2019[[#This Row],[Split_apply]])) - SUM($O380:O380)</f>
        <v>0</v>
      </c>
      <c r="Q380" s="52">
        <f ca="1">Log_2019[[#This Row],[Amount]]/Log_2019[[#This Row],[Split_raw]]*MAX(0,MIN(_xlfn.DAYS(EDATE(Q$1,1),Log_2019[[#This Row],[Date]]),Log_2019[[#This Row],[Split_apply]])) - SUM($O380:P380)</f>
        <v>0</v>
      </c>
      <c r="R380" s="52">
        <f ca="1">Log_2019[[#This Row],[Amount]]/Log_2019[[#This Row],[Split_raw]]*MAX(0,MIN(_xlfn.DAYS(EDATE(R$1,1),Log_2019[[#This Row],[Date]]),Log_2019[[#This Row],[Split_apply]])) - SUM($O380:Q380)</f>
        <v>0</v>
      </c>
      <c r="S380" s="52">
        <f ca="1">Log_2019[[#This Row],[Amount]]/Log_2019[[#This Row],[Split_raw]]*MAX(0,MIN(_xlfn.DAYS(EDATE(S$1,1),Log_2019[[#This Row],[Date]]),Log_2019[[#This Row],[Split_apply]])) - SUM($O380:R380)</f>
        <v>0</v>
      </c>
      <c r="T380" s="52">
        <f ca="1">Log_2019[[#This Row],[Amount]]/Log_2019[[#This Row],[Split_raw]]*MAX(0,MIN(_xlfn.DAYS(EDATE(T$1,1),Log_2019[[#This Row],[Date]]),Log_2019[[#This Row],[Split_apply]])) - SUM($O380:S380)</f>
        <v>0</v>
      </c>
      <c r="U380" s="52">
        <f ca="1">Log_2019[[#This Row],[Amount]]/Log_2019[[#This Row],[Split_raw]]*MAX(0,MIN(_xlfn.DAYS(EDATE(U$1,1),Log_2019[[#This Row],[Date]]),Log_2019[[#This Row],[Split_apply]])) - SUM($O380:T380)</f>
        <v>-17.760000000000002</v>
      </c>
      <c r="V380" s="52">
        <f ca="1">Log_2019[[#This Row],[Amount]]/Log_2019[[#This Row],[Split_raw]]*MAX(0,MIN(_xlfn.DAYS(EDATE(V$1,1),Log_2019[[#This Row],[Date]]),Log_2019[[#This Row],[Split_apply]])) - SUM($O380:U380)</f>
        <v>0</v>
      </c>
      <c r="W380" s="52">
        <f ca="1">Log_2019[[#This Row],[Amount]]/Log_2019[[#This Row],[Split_raw]]*MAX(0,MIN(_xlfn.DAYS(EDATE(W$1,1),Log_2019[[#This Row],[Date]]),Log_2019[[#This Row],[Split_apply]])) - SUM($O380:V380)</f>
        <v>0</v>
      </c>
      <c r="X380" s="52">
        <f ca="1">Log_2019[[#This Row],[Amount]]/Log_2019[[#This Row],[Split_raw]]*MAX(0,MIN(_xlfn.DAYS(EDATE(X$1,1),Log_2019[[#This Row],[Date]]),Log_2019[[#This Row],[Split_apply]])) - SUM($O380:W380)</f>
        <v>0</v>
      </c>
      <c r="Y380" s="52">
        <f ca="1">Log_2019[[#This Row],[Amount]]/Log_2019[[#This Row],[Split_raw]]*MAX(0,MIN(_xlfn.DAYS(EDATE(Y$1,1),Log_2019[[#This Row],[Date]]),Log_2019[[#This Row],[Split_apply]])) - SUM($O380:X380)</f>
        <v>0</v>
      </c>
      <c r="Z380" s="52">
        <f ca="1">Log_2019[[#This Row],[Amount]]/Log_2019[[#This Row],[Split_raw]]*MAX(0,MIN(_xlfn.DAYS(EDATE(Z$1,1),Log_2019[[#This Row],[Date]]),Log_2019[[#This Row],[Split_apply]])) - SUM($O380:Y380)</f>
        <v>0</v>
      </c>
      <c r="AA380" s="52">
        <f ca="1">Log_2019[[#This Row],[Amount]]/Log_2019[[#This Row],[Split_raw]]*MAX(0,MIN(_xlfn.DAYS(EDATE(AA$1,1),Log_2019[[#This Row],[Date]]),Log_2019[[#This Row],[Split_apply]])) - SUM($O380:Z380)</f>
        <v>0</v>
      </c>
      <c r="AB380" s="54">
        <f ca="1">Log_2019[[#This Row],[Amount]]-SUM(O380:AA380)</f>
        <v>0</v>
      </c>
      <c r="AC380" s="7">
        <f>MAX(0,Log_2019[[#This Row],[Split_raw]] - (EDATE(AA$1,1)-Log_2019[[#This Row],[Date]]))</f>
        <v>0</v>
      </c>
    </row>
    <row r="381" spans="1:29" x14ac:dyDescent="0.25">
      <c r="A381" s="42"/>
      <c r="B381" s="34" t="s">
        <v>6</v>
      </c>
      <c r="C381" s="34"/>
      <c r="D381" s="35">
        <v>43645</v>
      </c>
      <c r="E381" s="34"/>
      <c r="F381" s="34" t="s">
        <v>637</v>
      </c>
      <c r="G381" s="34" t="s">
        <v>25</v>
      </c>
      <c r="H381">
        <v>-12</v>
      </c>
      <c r="I381" s="36">
        <f>IF(Log_2019[[#This Row],[My Category]]="NONTRACKED",0,Log_2019[[#This Row],[Raw Amount]])</f>
        <v>-12</v>
      </c>
      <c r="J381" s="37">
        <f>ABS(Log_2019[[#This Row],[Amount]])</f>
        <v>12</v>
      </c>
      <c r="K381" s="38">
        <v>1</v>
      </c>
      <c r="L381" s="38">
        <f ca="1">IF(Log_2019[[#This Row],[Date]]&lt;=TODAY(), MIN(Log_2019[[#This Row],[Split_raw]], TODAY()-Log_2019[[#This Row],[Date]]+1), 0)</f>
        <v>1</v>
      </c>
      <c r="M381" s="34" t="s">
        <v>37</v>
      </c>
      <c r="N381" s="34" t="s">
        <v>158</v>
      </c>
      <c r="O381" s="7">
        <v>0</v>
      </c>
      <c r="P381" s="52">
        <f ca="1">Log_2019[[#This Row],[Amount]]/Log_2019[[#This Row],[Split_raw]]*MAX(0,MIN(_xlfn.DAYS(EDATE(P$1,1),Log_2019[[#This Row],[Date]]),Log_2019[[#This Row],[Split_apply]])) - SUM($O381:O381)</f>
        <v>0</v>
      </c>
      <c r="Q381" s="52">
        <f ca="1">Log_2019[[#This Row],[Amount]]/Log_2019[[#This Row],[Split_raw]]*MAX(0,MIN(_xlfn.DAYS(EDATE(Q$1,1),Log_2019[[#This Row],[Date]]),Log_2019[[#This Row],[Split_apply]])) - SUM($O381:P381)</f>
        <v>0</v>
      </c>
      <c r="R381" s="52">
        <f ca="1">Log_2019[[#This Row],[Amount]]/Log_2019[[#This Row],[Split_raw]]*MAX(0,MIN(_xlfn.DAYS(EDATE(R$1,1),Log_2019[[#This Row],[Date]]),Log_2019[[#This Row],[Split_apply]])) - SUM($O381:Q381)</f>
        <v>0</v>
      </c>
      <c r="S381" s="52">
        <f ca="1">Log_2019[[#This Row],[Amount]]/Log_2019[[#This Row],[Split_raw]]*MAX(0,MIN(_xlfn.DAYS(EDATE(S$1,1),Log_2019[[#This Row],[Date]]),Log_2019[[#This Row],[Split_apply]])) - SUM($O381:R381)</f>
        <v>0</v>
      </c>
      <c r="T381" s="52">
        <f ca="1">Log_2019[[#This Row],[Amount]]/Log_2019[[#This Row],[Split_raw]]*MAX(0,MIN(_xlfn.DAYS(EDATE(T$1,1),Log_2019[[#This Row],[Date]]),Log_2019[[#This Row],[Split_apply]])) - SUM($O381:S381)</f>
        <v>0</v>
      </c>
      <c r="U381" s="52">
        <f ca="1">Log_2019[[#This Row],[Amount]]/Log_2019[[#This Row],[Split_raw]]*MAX(0,MIN(_xlfn.DAYS(EDATE(U$1,1),Log_2019[[#This Row],[Date]]),Log_2019[[#This Row],[Split_apply]])) - SUM($O381:T381)</f>
        <v>-12</v>
      </c>
      <c r="V381" s="52">
        <f ca="1">Log_2019[[#This Row],[Amount]]/Log_2019[[#This Row],[Split_raw]]*MAX(0,MIN(_xlfn.DAYS(EDATE(V$1,1),Log_2019[[#This Row],[Date]]),Log_2019[[#This Row],[Split_apply]])) - SUM($O381:U381)</f>
        <v>0</v>
      </c>
      <c r="W381" s="52">
        <f ca="1">Log_2019[[#This Row],[Amount]]/Log_2019[[#This Row],[Split_raw]]*MAX(0,MIN(_xlfn.DAYS(EDATE(W$1,1),Log_2019[[#This Row],[Date]]),Log_2019[[#This Row],[Split_apply]])) - SUM($O381:V381)</f>
        <v>0</v>
      </c>
      <c r="X381" s="52">
        <f ca="1">Log_2019[[#This Row],[Amount]]/Log_2019[[#This Row],[Split_raw]]*MAX(0,MIN(_xlfn.DAYS(EDATE(X$1,1),Log_2019[[#This Row],[Date]]),Log_2019[[#This Row],[Split_apply]])) - SUM($O381:W381)</f>
        <v>0</v>
      </c>
      <c r="Y381" s="52">
        <f ca="1">Log_2019[[#This Row],[Amount]]/Log_2019[[#This Row],[Split_raw]]*MAX(0,MIN(_xlfn.DAYS(EDATE(Y$1,1),Log_2019[[#This Row],[Date]]),Log_2019[[#This Row],[Split_apply]])) - SUM($O381:X381)</f>
        <v>0</v>
      </c>
      <c r="Z381" s="52">
        <f ca="1">Log_2019[[#This Row],[Amount]]/Log_2019[[#This Row],[Split_raw]]*MAX(0,MIN(_xlfn.DAYS(EDATE(Z$1,1),Log_2019[[#This Row],[Date]]),Log_2019[[#This Row],[Split_apply]])) - SUM($O381:Y381)</f>
        <v>0</v>
      </c>
      <c r="AA381" s="52">
        <f ca="1">Log_2019[[#This Row],[Amount]]/Log_2019[[#This Row],[Split_raw]]*MAX(0,MIN(_xlfn.DAYS(EDATE(AA$1,1),Log_2019[[#This Row],[Date]]),Log_2019[[#This Row],[Split_apply]])) - SUM($O381:Z381)</f>
        <v>0</v>
      </c>
      <c r="AB381" s="54">
        <f ca="1">Log_2019[[#This Row],[Amount]]-SUM(O381:AA381)</f>
        <v>0</v>
      </c>
      <c r="AC381" s="7">
        <f>MAX(0,Log_2019[[#This Row],[Split_raw]] - (EDATE(AA$1,1)-Log_2019[[#This Row],[Date]]))</f>
        <v>0</v>
      </c>
    </row>
    <row r="382" spans="1:29" x14ac:dyDescent="0.25">
      <c r="A382" s="42"/>
      <c r="B382" s="34" t="s">
        <v>6</v>
      </c>
      <c r="C382" s="34"/>
      <c r="D382" s="35">
        <v>43645</v>
      </c>
      <c r="E382" s="34" t="s">
        <v>645</v>
      </c>
      <c r="F382" s="34" t="s">
        <v>638</v>
      </c>
      <c r="G382" s="34" t="s">
        <v>11</v>
      </c>
      <c r="H382">
        <v>-19.940000000000001</v>
      </c>
      <c r="I382" s="36">
        <f>IF(Log_2019[[#This Row],[My Category]]="NONTRACKED",0,Log_2019[[#This Row],[Raw Amount]])</f>
        <v>-19.940000000000001</v>
      </c>
      <c r="J382" s="37">
        <f>ABS(Log_2019[[#This Row],[Amount]])</f>
        <v>19.940000000000001</v>
      </c>
      <c r="K382" s="38">
        <v>1</v>
      </c>
      <c r="L382" s="38">
        <f ca="1">IF(Log_2019[[#This Row],[Date]]&lt;=TODAY(), MIN(Log_2019[[#This Row],[Split_raw]], TODAY()-Log_2019[[#This Row],[Date]]+1), 0)</f>
        <v>1</v>
      </c>
      <c r="M382" s="34" t="s">
        <v>145</v>
      </c>
      <c r="N382" s="34" t="s">
        <v>158</v>
      </c>
      <c r="O382" s="7">
        <v>0</v>
      </c>
      <c r="P382" s="52">
        <f ca="1">Log_2019[[#This Row],[Amount]]/Log_2019[[#This Row],[Split_raw]]*MAX(0,MIN(_xlfn.DAYS(EDATE(P$1,1),Log_2019[[#This Row],[Date]]),Log_2019[[#This Row],[Split_apply]])) - SUM($O382:O382)</f>
        <v>0</v>
      </c>
      <c r="Q382" s="52">
        <f ca="1">Log_2019[[#This Row],[Amount]]/Log_2019[[#This Row],[Split_raw]]*MAX(0,MIN(_xlfn.DAYS(EDATE(Q$1,1),Log_2019[[#This Row],[Date]]),Log_2019[[#This Row],[Split_apply]])) - SUM($O382:P382)</f>
        <v>0</v>
      </c>
      <c r="R382" s="52">
        <f ca="1">Log_2019[[#This Row],[Amount]]/Log_2019[[#This Row],[Split_raw]]*MAX(0,MIN(_xlfn.DAYS(EDATE(R$1,1),Log_2019[[#This Row],[Date]]),Log_2019[[#This Row],[Split_apply]])) - SUM($O382:Q382)</f>
        <v>0</v>
      </c>
      <c r="S382" s="52">
        <f ca="1">Log_2019[[#This Row],[Amount]]/Log_2019[[#This Row],[Split_raw]]*MAX(0,MIN(_xlfn.DAYS(EDATE(S$1,1),Log_2019[[#This Row],[Date]]),Log_2019[[#This Row],[Split_apply]])) - SUM($O382:R382)</f>
        <v>0</v>
      </c>
      <c r="T382" s="52">
        <f ca="1">Log_2019[[#This Row],[Amount]]/Log_2019[[#This Row],[Split_raw]]*MAX(0,MIN(_xlfn.DAYS(EDATE(T$1,1),Log_2019[[#This Row],[Date]]),Log_2019[[#This Row],[Split_apply]])) - SUM($O382:S382)</f>
        <v>0</v>
      </c>
      <c r="U382" s="52">
        <f ca="1">Log_2019[[#This Row],[Amount]]/Log_2019[[#This Row],[Split_raw]]*MAX(0,MIN(_xlfn.DAYS(EDATE(U$1,1),Log_2019[[#This Row],[Date]]),Log_2019[[#This Row],[Split_apply]])) - SUM($O382:T382)</f>
        <v>-19.940000000000001</v>
      </c>
      <c r="V382" s="52">
        <f ca="1">Log_2019[[#This Row],[Amount]]/Log_2019[[#This Row],[Split_raw]]*MAX(0,MIN(_xlfn.DAYS(EDATE(V$1,1),Log_2019[[#This Row],[Date]]),Log_2019[[#This Row],[Split_apply]])) - SUM($O382:U382)</f>
        <v>0</v>
      </c>
      <c r="W382" s="52">
        <f ca="1">Log_2019[[#This Row],[Amount]]/Log_2019[[#This Row],[Split_raw]]*MAX(0,MIN(_xlfn.DAYS(EDATE(W$1,1),Log_2019[[#This Row],[Date]]),Log_2019[[#This Row],[Split_apply]])) - SUM($O382:V382)</f>
        <v>0</v>
      </c>
      <c r="X382" s="52">
        <f ca="1">Log_2019[[#This Row],[Amount]]/Log_2019[[#This Row],[Split_raw]]*MAX(0,MIN(_xlfn.DAYS(EDATE(X$1,1),Log_2019[[#This Row],[Date]]),Log_2019[[#This Row],[Split_apply]])) - SUM($O382:W382)</f>
        <v>0</v>
      </c>
      <c r="Y382" s="52">
        <f ca="1">Log_2019[[#This Row],[Amount]]/Log_2019[[#This Row],[Split_raw]]*MAX(0,MIN(_xlfn.DAYS(EDATE(Y$1,1),Log_2019[[#This Row],[Date]]),Log_2019[[#This Row],[Split_apply]])) - SUM($O382:X382)</f>
        <v>0</v>
      </c>
      <c r="Z382" s="52">
        <f ca="1">Log_2019[[#This Row],[Amount]]/Log_2019[[#This Row],[Split_raw]]*MAX(0,MIN(_xlfn.DAYS(EDATE(Z$1,1),Log_2019[[#This Row],[Date]]),Log_2019[[#This Row],[Split_apply]])) - SUM($O382:Y382)</f>
        <v>0</v>
      </c>
      <c r="AA382" s="52">
        <f ca="1">Log_2019[[#This Row],[Amount]]/Log_2019[[#This Row],[Split_raw]]*MAX(0,MIN(_xlfn.DAYS(EDATE(AA$1,1),Log_2019[[#This Row],[Date]]),Log_2019[[#This Row],[Split_apply]])) - SUM($O382:Z382)</f>
        <v>0</v>
      </c>
      <c r="AB382" s="54">
        <f ca="1">Log_2019[[#This Row],[Amount]]-SUM(O382:AA382)</f>
        <v>0</v>
      </c>
      <c r="AC382" s="7">
        <f>MAX(0,Log_2019[[#This Row],[Split_raw]] - (EDATE(AA$1,1)-Log_2019[[#This Row],[Date]]))</f>
        <v>0</v>
      </c>
    </row>
    <row r="383" spans="1:29" x14ac:dyDescent="0.25">
      <c r="A383" s="42"/>
      <c r="B383" s="34" t="s">
        <v>6</v>
      </c>
      <c r="C383" s="34"/>
      <c r="D383" s="35">
        <v>43644</v>
      </c>
      <c r="E383" s="34"/>
      <c r="F383" s="34" t="s">
        <v>270</v>
      </c>
      <c r="G383" s="34" t="s">
        <v>25</v>
      </c>
      <c r="H383">
        <v>-10.96</v>
      </c>
      <c r="I383" s="36">
        <f>IF(Log_2019[[#This Row],[My Category]]="NONTRACKED",0,Log_2019[[#This Row],[Raw Amount]])</f>
        <v>-10.96</v>
      </c>
      <c r="J383" s="37">
        <f>ABS(Log_2019[[#This Row],[Amount]])</f>
        <v>10.96</v>
      </c>
      <c r="K383" s="38">
        <v>1</v>
      </c>
      <c r="L383" s="38">
        <f ca="1">IF(Log_2019[[#This Row],[Date]]&lt;=TODAY(), MIN(Log_2019[[#This Row],[Split_raw]], TODAY()-Log_2019[[#This Row],[Date]]+1), 0)</f>
        <v>1</v>
      </c>
      <c r="M383" s="34" t="s">
        <v>35</v>
      </c>
      <c r="N383" s="34" t="s">
        <v>158</v>
      </c>
      <c r="O383" s="7">
        <v>0</v>
      </c>
      <c r="P383" s="52">
        <f ca="1">Log_2019[[#This Row],[Amount]]/Log_2019[[#This Row],[Split_raw]]*MAX(0,MIN(_xlfn.DAYS(EDATE(P$1,1),Log_2019[[#This Row],[Date]]),Log_2019[[#This Row],[Split_apply]])) - SUM($O383:O383)</f>
        <v>0</v>
      </c>
      <c r="Q383" s="52">
        <f ca="1">Log_2019[[#This Row],[Amount]]/Log_2019[[#This Row],[Split_raw]]*MAX(0,MIN(_xlfn.DAYS(EDATE(Q$1,1),Log_2019[[#This Row],[Date]]),Log_2019[[#This Row],[Split_apply]])) - SUM($O383:P383)</f>
        <v>0</v>
      </c>
      <c r="R383" s="52">
        <f ca="1">Log_2019[[#This Row],[Amount]]/Log_2019[[#This Row],[Split_raw]]*MAX(0,MIN(_xlfn.DAYS(EDATE(R$1,1),Log_2019[[#This Row],[Date]]),Log_2019[[#This Row],[Split_apply]])) - SUM($O383:Q383)</f>
        <v>0</v>
      </c>
      <c r="S383" s="52">
        <f ca="1">Log_2019[[#This Row],[Amount]]/Log_2019[[#This Row],[Split_raw]]*MAX(0,MIN(_xlfn.DAYS(EDATE(S$1,1),Log_2019[[#This Row],[Date]]),Log_2019[[#This Row],[Split_apply]])) - SUM($O383:R383)</f>
        <v>0</v>
      </c>
      <c r="T383" s="52">
        <f ca="1">Log_2019[[#This Row],[Amount]]/Log_2019[[#This Row],[Split_raw]]*MAX(0,MIN(_xlfn.DAYS(EDATE(T$1,1),Log_2019[[#This Row],[Date]]),Log_2019[[#This Row],[Split_apply]])) - SUM($O383:S383)</f>
        <v>0</v>
      </c>
      <c r="U383" s="52">
        <f ca="1">Log_2019[[#This Row],[Amount]]/Log_2019[[#This Row],[Split_raw]]*MAX(0,MIN(_xlfn.DAYS(EDATE(U$1,1),Log_2019[[#This Row],[Date]]),Log_2019[[#This Row],[Split_apply]])) - SUM($O383:T383)</f>
        <v>-10.96</v>
      </c>
      <c r="V383" s="52">
        <f ca="1">Log_2019[[#This Row],[Amount]]/Log_2019[[#This Row],[Split_raw]]*MAX(0,MIN(_xlfn.DAYS(EDATE(V$1,1),Log_2019[[#This Row],[Date]]),Log_2019[[#This Row],[Split_apply]])) - SUM($O383:U383)</f>
        <v>0</v>
      </c>
      <c r="W383" s="52">
        <f ca="1">Log_2019[[#This Row],[Amount]]/Log_2019[[#This Row],[Split_raw]]*MAX(0,MIN(_xlfn.DAYS(EDATE(W$1,1),Log_2019[[#This Row],[Date]]),Log_2019[[#This Row],[Split_apply]])) - SUM($O383:V383)</f>
        <v>0</v>
      </c>
      <c r="X383" s="52">
        <f ca="1">Log_2019[[#This Row],[Amount]]/Log_2019[[#This Row],[Split_raw]]*MAX(0,MIN(_xlfn.DAYS(EDATE(X$1,1),Log_2019[[#This Row],[Date]]),Log_2019[[#This Row],[Split_apply]])) - SUM($O383:W383)</f>
        <v>0</v>
      </c>
      <c r="Y383" s="52">
        <f ca="1">Log_2019[[#This Row],[Amount]]/Log_2019[[#This Row],[Split_raw]]*MAX(0,MIN(_xlfn.DAYS(EDATE(Y$1,1),Log_2019[[#This Row],[Date]]),Log_2019[[#This Row],[Split_apply]])) - SUM($O383:X383)</f>
        <v>0</v>
      </c>
      <c r="Z383" s="52">
        <f ca="1">Log_2019[[#This Row],[Amount]]/Log_2019[[#This Row],[Split_raw]]*MAX(0,MIN(_xlfn.DAYS(EDATE(Z$1,1),Log_2019[[#This Row],[Date]]),Log_2019[[#This Row],[Split_apply]])) - SUM($O383:Y383)</f>
        <v>0</v>
      </c>
      <c r="AA383" s="52">
        <f ca="1">Log_2019[[#This Row],[Amount]]/Log_2019[[#This Row],[Split_raw]]*MAX(0,MIN(_xlfn.DAYS(EDATE(AA$1,1),Log_2019[[#This Row],[Date]]),Log_2019[[#This Row],[Split_apply]])) - SUM($O383:Z383)</f>
        <v>0</v>
      </c>
      <c r="AB383" s="54">
        <f ca="1">Log_2019[[#This Row],[Amount]]-SUM(O383:AA383)</f>
        <v>0</v>
      </c>
      <c r="AC383" s="7">
        <f>MAX(0,Log_2019[[#This Row],[Split_raw]] - (EDATE(AA$1,1)-Log_2019[[#This Row],[Date]]))</f>
        <v>0</v>
      </c>
    </row>
    <row r="384" spans="1:29" x14ac:dyDescent="0.25">
      <c r="A384" s="42"/>
      <c r="B384" s="34" t="s">
        <v>6</v>
      </c>
      <c r="C384" s="34"/>
      <c r="D384" s="35">
        <v>43644</v>
      </c>
      <c r="E384" s="34"/>
      <c r="F384" s="34" t="s">
        <v>255</v>
      </c>
      <c r="G384" s="34" t="s">
        <v>25</v>
      </c>
      <c r="H384">
        <v>-3.88</v>
      </c>
      <c r="I384" s="36">
        <f>IF(Log_2019[[#This Row],[My Category]]="NONTRACKED",0,Log_2019[[#This Row],[Raw Amount]])</f>
        <v>-3.88</v>
      </c>
      <c r="J384" s="37">
        <f>ABS(Log_2019[[#This Row],[Amount]])</f>
        <v>3.88</v>
      </c>
      <c r="K384" s="38">
        <v>1</v>
      </c>
      <c r="L384" s="38">
        <f ca="1">IF(Log_2019[[#This Row],[Date]]&lt;=TODAY(), MIN(Log_2019[[#This Row],[Split_raw]], TODAY()-Log_2019[[#This Row],[Date]]+1), 0)</f>
        <v>1</v>
      </c>
      <c r="M384" s="34" t="s">
        <v>35</v>
      </c>
      <c r="N384" s="34" t="s">
        <v>158</v>
      </c>
      <c r="O384" s="7">
        <v>0</v>
      </c>
      <c r="P384" s="52">
        <f ca="1">Log_2019[[#This Row],[Amount]]/Log_2019[[#This Row],[Split_raw]]*MAX(0,MIN(_xlfn.DAYS(EDATE(P$1,1),Log_2019[[#This Row],[Date]]),Log_2019[[#This Row],[Split_apply]])) - SUM($O384:O384)</f>
        <v>0</v>
      </c>
      <c r="Q384" s="52">
        <f ca="1">Log_2019[[#This Row],[Amount]]/Log_2019[[#This Row],[Split_raw]]*MAX(0,MIN(_xlfn.DAYS(EDATE(Q$1,1),Log_2019[[#This Row],[Date]]),Log_2019[[#This Row],[Split_apply]])) - SUM($O384:P384)</f>
        <v>0</v>
      </c>
      <c r="R384" s="52">
        <f ca="1">Log_2019[[#This Row],[Amount]]/Log_2019[[#This Row],[Split_raw]]*MAX(0,MIN(_xlfn.DAYS(EDATE(R$1,1),Log_2019[[#This Row],[Date]]),Log_2019[[#This Row],[Split_apply]])) - SUM($O384:Q384)</f>
        <v>0</v>
      </c>
      <c r="S384" s="52">
        <f ca="1">Log_2019[[#This Row],[Amount]]/Log_2019[[#This Row],[Split_raw]]*MAX(0,MIN(_xlfn.DAYS(EDATE(S$1,1),Log_2019[[#This Row],[Date]]),Log_2019[[#This Row],[Split_apply]])) - SUM($O384:R384)</f>
        <v>0</v>
      </c>
      <c r="T384" s="52">
        <f ca="1">Log_2019[[#This Row],[Amount]]/Log_2019[[#This Row],[Split_raw]]*MAX(0,MIN(_xlfn.DAYS(EDATE(T$1,1),Log_2019[[#This Row],[Date]]),Log_2019[[#This Row],[Split_apply]])) - SUM($O384:S384)</f>
        <v>0</v>
      </c>
      <c r="U384" s="52">
        <f ca="1">Log_2019[[#This Row],[Amount]]/Log_2019[[#This Row],[Split_raw]]*MAX(0,MIN(_xlfn.DAYS(EDATE(U$1,1),Log_2019[[#This Row],[Date]]),Log_2019[[#This Row],[Split_apply]])) - SUM($O384:T384)</f>
        <v>-3.88</v>
      </c>
      <c r="V384" s="52">
        <f ca="1">Log_2019[[#This Row],[Amount]]/Log_2019[[#This Row],[Split_raw]]*MAX(0,MIN(_xlfn.DAYS(EDATE(V$1,1),Log_2019[[#This Row],[Date]]),Log_2019[[#This Row],[Split_apply]])) - SUM($O384:U384)</f>
        <v>0</v>
      </c>
      <c r="W384" s="52">
        <f ca="1">Log_2019[[#This Row],[Amount]]/Log_2019[[#This Row],[Split_raw]]*MAX(0,MIN(_xlfn.DAYS(EDATE(W$1,1),Log_2019[[#This Row],[Date]]),Log_2019[[#This Row],[Split_apply]])) - SUM($O384:V384)</f>
        <v>0</v>
      </c>
      <c r="X384" s="52">
        <f ca="1">Log_2019[[#This Row],[Amount]]/Log_2019[[#This Row],[Split_raw]]*MAX(0,MIN(_xlfn.DAYS(EDATE(X$1,1),Log_2019[[#This Row],[Date]]),Log_2019[[#This Row],[Split_apply]])) - SUM($O384:W384)</f>
        <v>0</v>
      </c>
      <c r="Y384" s="52">
        <f ca="1">Log_2019[[#This Row],[Amount]]/Log_2019[[#This Row],[Split_raw]]*MAX(0,MIN(_xlfn.DAYS(EDATE(Y$1,1),Log_2019[[#This Row],[Date]]),Log_2019[[#This Row],[Split_apply]])) - SUM($O384:X384)</f>
        <v>0</v>
      </c>
      <c r="Z384" s="52">
        <f ca="1">Log_2019[[#This Row],[Amount]]/Log_2019[[#This Row],[Split_raw]]*MAX(0,MIN(_xlfn.DAYS(EDATE(Z$1,1),Log_2019[[#This Row],[Date]]),Log_2019[[#This Row],[Split_apply]])) - SUM($O384:Y384)</f>
        <v>0</v>
      </c>
      <c r="AA384" s="52">
        <f ca="1">Log_2019[[#This Row],[Amount]]/Log_2019[[#This Row],[Split_raw]]*MAX(0,MIN(_xlfn.DAYS(EDATE(AA$1,1),Log_2019[[#This Row],[Date]]),Log_2019[[#This Row],[Split_apply]])) - SUM($O384:Z384)</f>
        <v>0</v>
      </c>
      <c r="AB384" s="54">
        <f ca="1">Log_2019[[#This Row],[Amount]]-SUM(O384:AA384)</f>
        <v>0</v>
      </c>
      <c r="AC384" s="7">
        <f>MAX(0,Log_2019[[#This Row],[Split_raw]] - (EDATE(AA$1,1)-Log_2019[[#This Row],[Date]]))</f>
        <v>0</v>
      </c>
    </row>
    <row r="385" spans="1:29" x14ac:dyDescent="0.25">
      <c r="A385" s="42"/>
      <c r="B385" s="34" t="s">
        <v>6</v>
      </c>
      <c r="C385" s="34"/>
      <c r="D385" s="35">
        <v>43643</v>
      </c>
      <c r="E385" s="34"/>
      <c r="F385" s="34" t="s">
        <v>255</v>
      </c>
      <c r="G385" s="34" t="s">
        <v>25</v>
      </c>
      <c r="H385">
        <v>-5.4</v>
      </c>
      <c r="I385" s="36">
        <f>IF(Log_2019[[#This Row],[My Category]]="NONTRACKED",0,Log_2019[[#This Row],[Raw Amount]])</f>
        <v>-5.4</v>
      </c>
      <c r="J385" s="37">
        <f>ABS(Log_2019[[#This Row],[Amount]])</f>
        <v>5.4</v>
      </c>
      <c r="K385" s="38">
        <v>1</v>
      </c>
      <c r="L385" s="38">
        <f ca="1">IF(Log_2019[[#This Row],[Date]]&lt;=TODAY(), MIN(Log_2019[[#This Row],[Split_raw]], TODAY()-Log_2019[[#This Row],[Date]]+1), 0)</f>
        <v>1</v>
      </c>
      <c r="M385" s="34" t="s">
        <v>35</v>
      </c>
      <c r="N385" s="34" t="s">
        <v>158</v>
      </c>
      <c r="O385" s="7">
        <v>0</v>
      </c>
      <c r="P385" s="52">
        <f ca="1">Log_2019[[#This Row],[Amount]]/Log_2019[[#This Row],[Split_raw]]*MAX(0,MIN(_xlfn.DAYS(EDATE(P$1,1),Log_2019[[#This Row],[Date]]),Log_2019[[#This Row],[Split_apply]])) - SUM($O385:O385)</f>
        <v>0</v>
      </c>
      <c r="Q385" s="52">
        <f ca="1">Log_2019[[#This Row],[Amount]]/Log_2019[[#This Row],[Split_raw]]*MAX(0,MIN(_xlfn.DAYS(EDATE(Q$1,1),Log_2019[[#This Row],[Date]]),Log_2019[[#This Row],[Split_apply]])) - SUM($O385:P385)</f>
        <v>0</v>
      </c>
      <c r="R385" s="52">
        <f ca="1">Log_2019[[#This Row],[Amount]]/Log_2019[[#This Row],[Split_raw]]*MAX(0,MIN(_xlfn.DAYS(EDATE(R$1,1),Log_2019[[#This Row],[Date]]),Log_2019[[#This Row],[Split_apply]])) - SUM($O385:Q385)</f>
        <v>0</v>
      </c>
      <c r="S385" s="52">
        <f ca="1">Log_2019[[#This Row],[Amount]]/Log_2019[[#This Row],[Split_raw]]*MAX(0,MIN(_xlfn.DAYS(EDATE(S$1,1),Log_2019[[#This Row],[Date]]),Log_2019[[#This Row],[Split_apply]])) - SUM($O385:R385)</f>
        <v>0</v>
      </c>
      <c r="T385" s="52">
        <f ca="1">Log_2019[[#This Row],[Amount]]/Log_2019[[#This Row],[Split_raw]]*MAX(0,MIN(_xlfn.DAYS(EDATE(T$1,1),Log_2019[[#This Row],[Date]]),Log_2019[[#This Row],[Split_apply]])) - SUM($O385:S385)</f>
        <v>0</v>
      </c>
      <c r="U385" s="52">
        <f ca="1">Log_2019[[#This Row],[Amount]]/Log_2019[[#This Row],[Split_raw]]*MAX(0,MIN(_xlfn.DAYS(EDATE(U$1,1),Log_2019[[#This Row],[Date]]),Log_2019[[#This Row],[Split_apply]])) - SUM($O385:T385)</f>
        <v>-5.4</v>
      </c>
      <c r="V385" s="52">
        <f ca="1">Log_2019[[#This Row],[Amount]]/Log_2019[[#This Row],[Split_raw]]*MAX(0,MIN(_xlfn.DAYS(EDATE(V$1,1),Log_2019[[#This Row],[Date]]),Log_2019[[#This Row],[Split_apply]])) - SUM($O385:U385)</f>
        <v>0</v>
      </c>
      <c r="W385" s="52">
        <f ca="1">Log_2019[[#This Row],[Amount]]/Log_2019[[#This Row],[Split_raw]]*MAX(0,MIN(_xlfn.DAYS(EDATE(W$1,1),Log_2019[[#This Row],[Date]]),Log_2019[[#This Row],[Split_apply]])) - SUM($O385:V385)</f>
        <v>0</v>
      </c>
      <c r="X385" s="52">
        <f ca="1">Log_2019[[#This Row],[Amount]]/Log_2019[[#This Row],[Split_raw]]*MAX(0,MIN(_xlfn.DAYS(EDATE(X$1,1),Log_2019[[#This Row],[Date]]),Log_2019[[#This Row],[Split_apply]])) - SUM($O385:W385)</f>
        <v>0</v>
      </c>
      <c r="Y385" s="52">
        <f ca="1">Log_2019[[#This Row],[Amount]]/Log_2019[[#This Row],[Split_raw]]*MAX(0,MIN(_xlfn.DAYS(EDATE(Y$1,1),Log_2019[[#This Row],[Date]]),Log_2019[[#This Row],[Split_apply]])) - SUM($O385:X385)</f>
        <v>0</v>
      </c>
      <c r="Z385" s="52">
        <f ca="1">Log_2019[[#This Row],[Amount]]/Log_2019[[#This Row],[Split_raw]]*MAX(0,MIN(_xlfn.DAYS(EDATE(Z$1,1),Log_2019[[#This Row],[Date]]),Log_2019[[#This Row],[Split_apply]])) - SUM($O385:Y385)</f>
        <v>0</v>
      </c>
      <c r="AA385" s="52">
        <f ca="1">Log_2019[[#This Row],[Amount]]/Log_2019[[#This Row],[Split_raw]]*MAX(0,MIN(_xlfn.DAYS(EDATE(AA$1,1),Log_2019[[#This Row],[Date]]),Log_2019[[#This Row],[Split_apply]])) - SUM($O385:Z385)</f>
        <v>0</v>
      </c>
      <c r="AB385" s="54">
        <f ca="1">Log_2019[[#This Row],[Amount]]-SUM(O385:AA385)</f>
        <v>0</v>
      </c>
      <c r="AC385" s="7">
        <f>MAX(0,Log_2019[[#This Row],[Split_raw]] - (EDATE(AA$1,1)-Log_2019[[#This Row],[Date]]))</f>
        <v>0</v>
      </c>
    </row>
    <row r="386" spans="1:29" x14ac:dyDescent="0.25">
      <c r="A386" s="42"/>
      <c r="B386" t="s">
        <v>6</v>
      </c>
      <c r="D386" s="26">
        <v>43643</v>
      </c>
      <c r="F386" t="s">
        <v>16</v>
      </c>
      <c r="G386" t="s">
        <v>17</v>
      </c>
      <c r="H386">
        <f>--0.13</f>
        <v>0.13</v>
      </c>
      <c r="I386" s="36">
        <f>IF(Log_2019[[#This Row],[My Category]]="NONTRACKED",0,Log_2019[[#This Row],[Raw Amount]])</f>
        <v>0.13</v>
      </c>
      <c r="J386" s="37">
        <f>ABS(Log_2019[[#This Row],[Amount]])</f>
        <v>0.13</v>
      </c>
      <c r="K386" s="38">
        <v>1</v>
      </c>
      <c r="L386" s="38">
        <f ca="1">IF(Log_2019[[#This Row],[Date]]&lt;=TODAY(), MIN(Log_2019[[#This Row],[Split_raw]], TODAY()-Log_2019[[#This Row],[Date]]+1), 0)</f>
        <v>1</v>
      </c>
      <c r="M386" s="34" t="s">
        <v>144</v>
      </c>
      <c r="N386" s="34" t="s">
        <v>160</v>
      </c>
      <c r="O386" s="7">
        <v>0</v>
      </c>
      <c r="P386" s="52">
        <f ca="1">Log_2019[[#This Row],[Amount]]/Log_2019[[#This Row],[Split_raw]]*MAX(0,MIN(_xlfn.DAYS(EDATE(P$1,1),Log_2019[[#This Row],[Date]]),Log_2019[[#This Row],[Split_apply]])) - SUM($O386:O386)</f>
        <v>0</v>
      </c>
      <c r="Q386" s="52">
        <f ca="1">Log_2019[[#This Row],[Amount]]/Log_2019[[#This Row],[Split_raw]]*MAX(0,MIN(_xlfn.DAYS(EDATE(Q$1,1),Log_2019[[#This Row],[Date]]),Log_2019[[#This Row],[Split_apply]])) - SUM($O386:P386)</f>
        <v>0</v>
      </c>
      <c r="R386" s="52">
        <f ca="1">Log_2019[[#This Row],[Amount]]/Log_2019[[#This Row],[Split_raw]]*MAX(0,MIN(_xlfn.DAYS(EDATE(R$1,1),Log_2019[[#This Row],[Date]]),Log_2019[[#This Row],[Split_apply]])) - SUM($O386:Q386)</f>
        <v>0</v>
      </c>
      <c r="S386" s="52">
        <f ca="1">Log_2019[[#This Row],[Amount]]/Log_2019[[#This Row],[Split_raw]]*MAX(0,MIN(_xlfn.DAYS(EDATE(S$1,1),Log_2019[[#This Row],[Date]]),Log_2019[[#This Row],[Split_apply]])) - SUM($O386:R386)</f>
        <v>0</v>
      </c>
      <c r="T386" s="52">
        <f ca="1">Log_2019[[#This Row],[Amount]]/Log_2019[[#This Row],[Split_raw]]*MAX(0,MIN(_xlfn.DAYS(EDATE(T$1,1),Log_2019[[#This Row],[Date]]),Log_2019[[#This Row],[Split_apply]])) - SUM($O386:S386)</f>
        <v>0</v>
      </c>
      <c r="U386" s="52">
        <f ca="1">Log_2019[[#This Row],[Amount]]/Log_2019[[#This Row],[Split_raw]]*MAX(0,MIN(_xlfn.DAYS(EDATE(U$1,1),Log_2019[[#This Row],[Date]]),Log_2019[[#This Row],[Split_apply]])) - SUM($O386:T386)</f>
        <v>0.13</v>
      </c>
      <c r="V386" s="52">
        <f ca="1">Log_2019[[#This Row],[Amount]]/Log_2019[[#This Row],[Split_raw]]*MAX(0,MIN(_xlfn.DAYS(EDATE(V$1,1),Log_2019[[#This Row],[Date]]),Log_2019[[#This Row],[Split_apply]])) - SUM($O386:U386)</f>
        <v>0</v>
      </c>
      <c r="W386" s="52">
        <f ca="1">Log_2019[[#This Row],[Amount]]/Log_2019[[#This Row],[Split_raw]]*MAX(0,MIN(_xlfn.DAYS(EDATE(W$1,1),Log_2019[[#This Row],[Date]]),Log_2019[[#This Row],[Split_apply]])) - SUM($O386:V386)</f>
        <v>0</v>
      </c>
      <c r="X386" s="52">
        <f ca="1">Log_2019[[#This Row],[Amount]]/Log_2019[[#This Row],[Split_raw]]*MAX(0,MIN(_xlfn.DAYS(EDATE(X$1,1),Log_2019[[#This Row],[Date]]),Log_2019[[#This Row],[Split_apply]])) - SUM($O386:W386)</f>
        <v>0</v>
      </c>
      <c r="Y386" s="52">
        <f ca="1">Log_2019[[#This Row],[Amount]]/Log_2019[[#This Row],[Split_raw]]*MAX(0,MIN(_xlfn.DAYS(EDATE(Y$1,1),Log_2019[[#This Row],[Date]]),Log_2019[[#This Row],[Split_apply]])) - SUM($O386:X386)</f>
        <v>0</v>
      </c>
      <c r="Z386" s="52">
        <f ca="1">Log_2019[[#This Row],[Amount]]/Log_2019[[#This Row],[Split_raw]]*MAX(0,MIN(_xlfn.DAYS(EDATE(Z$1,1),Log_2019[[#This Row],[Date]]),Log_2019[[#This Row],[Split_apply]])) - SUM($O386:Y386)</f>
        <v>0</v>
      </c>
      <c r="AA386" s="52">
        <f ca="1">Log_2019[[#This Row],[Amount]]/Log_2019[[#This Row],[Split_raw]]*MAX(0,MIN(_xlfn.DAYS(EDATE(AA$1,1),Log_2019[[#This Row],[Date]]),Log_2019[[#This Row],[Split_apply]])) - SUM($O386:Z386)</f>
        <v>0</v>
      </c>
      <c r="AB386" s="54">
        <f ca="1">Log_2019[[#This Row],[Amount]]-SUM(O386:AA386)</f>
        <v>0</v>
      </c>
      <c r="AC386" s="7">
        <f>MAX(0,Log_2019[[#This Row],[Split_raw]] - (EDATE(AA$1,1)-Log_2019[[#This Row],[Date]]))</f>
        <v>0</v>
      </c>
    </row>
    <row r="387" spans="1:29" x14ac:dyDescent="0.25">
      <c r="A387" s="42"/>
      <c r="B387" s="34" t="s">
        <v>6</v>
      </c>
      <c r="C387" s="34"/>
      <c r="D387" s="35">
        <v>43642</v>
      </c>
      <c r="E387" s="34" t="s">
        <v>640</v>
      </c>
      <c r="F387" s="34" t="s">
        <v>346</v>
      </c>
      <c r="G387" s="34" t="s">
        <v>9</v>
      </c>
      <c r="H387">
        <v>-2.59</v>
      </c>
      <c r="I387" s="36">
        <f>IF(Log_2019[[#This Row],[My Category]]="NONTRACKED",0,Log_2019[[#This Row],[Raw Amount]])</f>
        <v>-2.59</v>
      </c>
      <c r="J387" s="37">
        <f>ABS(Log_2019[[#This Row],[Amount]])</f>
        <v>2.59</v>
      </c>
      <c r="K387" s="38">
        <v>1</v>
      </c>
      <c r="L387" s="38">
        <f ca="1">IF(Log_2019[[#This Row],[Date]]&lt;=TODAY(), MIN(Log_2019[[#This Row],[Split_raw]], TODAY()-Log_2019[[#This Row],[Date]]+1), 0)</f>
        <v>1</v>
      </c>
      <c r="M387" s="34" t="s">
        <v>39</v>
      </c>
      <c r="N387" s="34" t="s">
        <v>158</v>
      </c>
      <c r="O387" s="7">
        <v>0</v>
      </c>
      <c r="P387" s="52">
        <f ca="1">Log_2019[[#This Row],[Amount]]/Log_2019[[#This Row],[Split_raw]]*MAX(0,MIN(_xlfn.DAYS(EDATE(P$1,1),Log_2019[[#This Row],[Date]]),Log_2019[[#This Row],[Split_apply]])) - SUM($O387:O387)</f>
        <v>0</v>
      </c>
      <c r="Q387" s="52">
        <f ca="1">Log_2019[[#This Row],[Amount]]/Log_2019[[#This Row],[Split_raw]]*MAX(0,MIN(_xlfn.DAYS(EDATE(Q$1,1),Log_2019[[#This Row],[Date]]),Log_2019[[#This Row],[Split_apply]])) - SUM($O387:P387)</f>
        <v>0</v>
      </c>
      <c r="R387" s="52">
        <f ca="1">Log_2019[[#This Row],[Amount]]/Log_2019[[#This Row],[Split_raw]]*MAX(0,MIN(_xlfn.DAYS(EDATE(R$1,1),Log_2019[[#This Row],[Date]]),Log_2019[[#This Row],[Split_apply]])) - SUM($O387:Q387)</f>
        <v>0</v>
      </c>
      <c r="S387" s="52">
        <f ca="1">Log_2019[[#This Row],[Amount]]/Log_2019[[#This Row],[Split_raw]]*MAX(0,MIN(_xlfn.DAYS(EDATE(S$1,1),Log_2019[[#This Row],[Date]]),Log_2019[[#This Row],[Split_apply]])) - SUM($O387:R387)</f>
        <v>0</v>
      </c>
      <c r="T387" s="52">
        <f ca="1">Log_2019[[#This Row],[Amount]]/Log_2019[[#This Row],[Split_raw]]*MAX(0,MIN(_xlfn.DAYS(EDATE(T$1,1),Log_2019[[#This Row],[Date]]),Log_2019[[#This Row],[Split_apply]])) - SUM($O387:S387)</f>
        <v>0</v>
      </c>
      <c r="U387" s="52">
        <f ca="1">Log_2019[[#This Row],[Amount]]/Log_2019[[#This Row],[Split_raw]]*MAX(0,MIN(_xlfn.DAYS(EDATE(U$1,1),Log_2019[[#This Row],[Date]]),Log_2019[[#This Row],[Split_apply]])) - SUM($O387:T387)</f>
        <v>-2.59</v>
      </c>
      <c r="V387" s="52">
        <f ca="1">Log_2019[[#This Row],[Amount]]/Log_2019[[#This Row],[Split_raw]]*MAX(0,MIN(_xlfn.DAYS(EDATE(V$1,1),Log_2019[[#This Row],[Date]]),Log_2019[[#This Row],[Split_apply]])) - SUM($O387:U387)</f>
        <v>0</v>
      </c>
      <c r="W387" s="52">
        <f ca="1">Log_2019[[#This Row],[Amount]]/Log_2019[[#This Row],[Split_raw]]*MAX(0,MIN(_xlfn.DAYS(EDATE(W$1,1),Log_2019[[#This Row],[Date]]),Log_2019[[#This Row],[Split_apply]])) - SUM($O387:V387)</f>
        <v>0</v>
      </c>
      <c r="X387" s="52">
        <f ca="1">Log_2019[[#This Row],[Amount]]/Log_2019[[#This Row],[Split_raw]]*MAX(0,MIN(_xlfn.DAYS(EDATE(X$1,1),Log_2019[[#This Row],[Date]]),Log_2019[[#This Row],[Split_apply]])) - SUM($O387:W387)</f>
        <v>0</v>
      </c>
      <c r="Y387" s="52">
        <f ca="1">Log_2019[[#This Row],[Amount]]/Log_2019[[#This Row],[Split_raw]]*MAX(0,MIN(_xlfn.DAYS(EDATE(Y$1,1),Log_2019[[#This Row],[Date]]),Log_2019[[#This Row],[Split_apply]])) - SUM($O387:X387)</f>
        <v>0</v>
      </c>
      <c r="Z387" s="52">
        <f ca="1">Log_2019[[#This Row],[Amount]]/Log_2019[[#This Row],[Split_raw]]*MAX(0,MIN(_xlfn.DAYS(EDATE(Z$1,1),Log_2019[[#This Row],[Date]]),Log_2019[[#This Row],[Split_apply]])) - SUM($O387:Y387)</f>
        <v>0</v>
      </c>
      <c r="AA387" s="52">
        <f ca="1">Log_2019[[#This Row],[Amount]]/Log_2019[[#This Row],[Split_raw]]*MAX(0,MIN(_xlfn.DAYS(EDATE(AA$1,1),Log_2019[[#This Row],[Date]]),Log_2019[[#This Row],[Split_apply]])) - SUM($O387:Z387)</f>
        <v>0</v>
      </c>
      <c r="AB387" s="54">
        <f ca="1">Log_2019[[#This Row],[Amount]]-SUM(O387:AA387)</f>
        <v>0</v>
      </c>
      <c r="AC387" s="7">
        <f>MAX(0,Log_2019[[#This Row],[Split_raw]] - (EDATE(AA$1,1)-Log_2019[[#This Row],[Date]]))</f>
        <v>0</v>
      </c>
    </row>
    <row r="388" spans="1:29" x14ac:dyDescent="0.25">
      <c r="A388" s="42"/>
      <c r="B388" s="34" t="s">
        <v>6</v>
      </c>
      <c r="C388" s="34"/>
      <c r="D388" s="35">
        <v>43642</v>
      </c>
      <c r="E388" s="34"/>
      <c r="F388" s="34" t="s">
        <v>255</v>
      </c>
      <c r="G388" s="34" t="s">
        <v>25</v>
      </c>
      <c r="H388">
        <v>-5.4</v>
      </c>
      <c r="I388" s="36">
        <f>IF(Log_2019[[#This Row],[My Category]]="NONTRACKED",0,Log_2019[[#This Row],[Raw Amount]])</f>
        <v>-5.4</v>
      </c>
      <c r="J388" s="37">
        <f>ABS(Log_2019[[#This Row],[Amount]])</f>
        <v>5.4</v>
      </c>
      <c r="K388" s="38">
        <v>1</v>
      </c>
      <c r="L388" s="38">
        <f ca="1">IF(Log_2019[[#This Row],[Date]]&lt;=TODAY(), MIN(Log_2019[[#This Row],[Split_raw]], TODAY()-Log_2019[[#This Row],[Date]]+1), 0)</f>
        <v>1</v>
      </c>
      <c r="M388" s="34" t="s">
        <v>35</v>
      </c>
      <c r="N388" s="34" t="s">
        <v>158</v>
      </c>
      <c r="O388" s="7">
        <v>0</v>
      </c>
      <c r="P388" s="52">
        <f ca="1">Log_2019[[#This Row],[Amount]]/Log_2019[[#This Row],[Split_raw]]*MAX(0,MIN(_xlfn.DAYS(EDATE(P$1,1),Log_2019[[#This Row],[Date]]),Log_2019[[#This Row],[Split_apply]])) - SUM($O388:O388)</f>
        <v>0</v>
      </c>
      <c r="Q388" s="52">
        <f ca="1">Log_2019[[#This Row],[Amount]]/Log_2019[[#This Row],[Split_raw]]*MAX(0,MIN(_xlfn.DAYS(EDATE(Q$1,1),Log_2019[[#This Row],[Date]]),Log_2019[[#This Row],[Split_apply]])) - SUM($O388:P388)</f>
        <v>0</v>
      </c>
      <c r="R388" s="52">
        <f ca="1">Log_2019[[#This Row],[Amount]]/Log_2019[[#This Row],[Split_raw]]*MAX(0,MIN(_xlfn.DAYS(EDATE(R$1,1),Log_2019[[#This Row],[Date]]),Log_2019[[#This Row],[Split_apply]])) - SUM($O388:Q388)</f>
        <v>0</v>
      </c>
      <c r="S388" s="52">
        <f ca="1">Log_2019[[#This Row],[Amount]]/Log_2019[[#This Row],[Split_raw]]*MAX(0,MIN(_xlfn.DAYS(EDATE(S$1,1),Log_2019[[#This Row],[Date]]),Log_2019[[#This Row],[Split_apply]])) - SUM($O388:R388)</f>
        <v>0</v>
      </c>
      <c r="T388" s="52">
        <f ca="1">Log_2019[[#This Row],[Amount]]/Log_2019[[#This Row],[Split_raw]]*MAX(0,MIN(_xlfn.DAYS(EDATE(T$1,1),Log_2019[[#This Row],[Date]]),Log_2019[[#This Row],[Split_apply]])) - SUM($O388:S388)</f>
        <v>0</v>
      </c>
      <c r="U388" s="52">
        <f ca="1">Log_2019[[#This Row],[Amount]]/Log_2019[[#This Row],[Split_raw]]*MAX(0,MIN(_xlfn.DAYS(EDATE(U$1,1),Log_2019[[#This Row],[Date]]),Log_2019[[#This Row],[Split_apply]])) - SUM($O388:T388)</f>
        <v>-5.4</v>
      </c>
      <c r="V388" s="52">
        <f ca="1">Log_2019[[#This Row],[Amount]]/Log_2019[[#This Row],[Split_raw]]*MAX(0,MIN(_xlfn.DAYS(EDATE(V$1,1),Log_2019[[#This Row],[Date]]),Log_2019[[#This Row],[Split_apply]])) - SUM($O388:U388)</f>
        <v>0</v>
      </c>
      <c r="W388" s="52">
        <f ca="1">Log_2019[[#This Row],[Amount]]/Log_2019[[#This Row],[Split_raw]]*MAX(0,MIN(_xlfn.DAYS(EDATE(W$1,1),Log_2019[[#This Row],[Date]]),Log_2019[[#This Row],[Split_apply]])) - SUM($O388:V388)</f>
        <v>0</v>
      </c>
      <c r="X388" s="52">
        <f ca="1">Log_2019[[#This Row],[Amount]]/Log_2019[[#This Row],[Split_raw]]*MAX(0,MIN(_xlfn.DAYS(EDATE(X$1,1),Log_2019[[#This Row],[Date]]),Log_2019[[#This Row],[Split_apply]])) - SUM($O388:W388)</f>
        <v>0</v>
      </c>
      <c r="Y388" s="52">
        <f ca="1">Log_2019[[#This Row],[Amount]]/Log_2019[[#This Row],[Split_raw]]*MAX(0,MIN(_xlfn.DAYS(EDATE(Y$1,1),Log_2019[[#This Row],[Date]]),Log_2019[[#This Row],[Split_apply]])) - SUM($O388:X388)</f>
        <v>0</v>
      </c>
      <c r="Z388" s="52">
        <f ca="1">Log_2019[[#This Row],[Amount]]/Log_2019[[#This Row],[Split_raw]]*MAX(0,MIN(_xlfn.DAYS(EDATE(Z$1,1),Log_2019[[#This Row],[Date]]),Log_2019[[#This Row],[Split_apply]])) - SUM($O388:Y388)</f>
        <v>0</v>
      </c>
      <c r="AA388" s="52">
        <f ca="1">Log_2019[[#This Row],[Amount]]/Log_2019[[#This Row],[Split_raw]]*MAX(0,MIN(_xlfn.DAYS(EDATE(AA$1,1),Log_2019[[#This Row],[Date]]),Log_2019[[#This Row],[Split_apply]])) - SUM($O388:Z388)</f>
        <v>0</v>
      </c>
      <c r="AB388" s="54">
        <f ca="1">Log_2019[[#This Row],[Amount]]-SUM(O388:AA388)</f>
        <v>0</v>
      </c>
      <c r="AC388" s="7">
        <f>MAX(0,Log_2019[[#This Row],[Split_raw]] - (EDATE(AA$1,1)-Log_2019[[#This Row],[Date]]))</f>
        <v>0</v>
      </c>
    </row>
    <row r="389" spans="1:29" x14ac:dyDescent="0.25">
      <c r="A389" s="42"/>
      <c r="B389" s="34" t="s">
        <v>6</v>
      </c>
      <c r="C389" s="34"/>
      <c r="D389" s="35">
        <v>43642</v>
      </c>
      <c r="E389" s="34"/>
      <c r="F389" s="34" t="s">
        <v>255</v>
      </c>
      <c r="G389" s="34" t="s">
        <v>25</v>
      </c>
      <c r="H389">
        <v>-5.71</v>
      </c>
      <c r="I389" s="36">
        <f>IF(Log_2019[[#This Row],[My Category]]="NONTRACKED",0,Log_2019[[#This Row],[Raw Amount]])</f>
        <v>-5.71</v>
      </c>
      <c r="J389" s="37">
        <f>ABS(Log_2019[[#This Row],[Amount]])</f>
        <v>5.71</v>
      </c>
      <c r="K389" s="38">
        <v>1</v>
      </c>
      <c r="L389" s="38">
        <f ca="1">IF(Log_2019[[#This Row],[Date]]&lt;=TODAY(), MIN(Log_2019[[#This Row],[Split_raw]], TODAY()-Log_2019[[#This Row],[Date]]+1), 0)</f>
        <v>1</v>
      </c>
      <c r="M389" s="34" t="s">
        <v>35</v>
      </c>
      <c r="N389" s="34" t="s">
        <v>158</v>
      </c>
      <c r="O389" s="7">
        <v>0</v>
      </c>
      <c r="P389" s="52">
        <f ca="1">Log_2019[[#This Row],[Amount]]/Log_2019[[#This Row],[Split_raw]]*MAX(0,MIN(_xlfn.DAYS(EDATE(P$1,1),Log_2019[[#This Row],[Date]]),Log_2019[[#This Row],[Split_apply]])) - SUM($O389:O389)</f>
        <v>0</v>
      </c>
      <c r="Q389" s="52">
        <f ca="1">Log_2019[[#This Row],[Amount]]/Log_2019[[#This Row],[Split_raw]]*MAX(0,MIN(_xlfn.DAYS(EDATE(Q$1,1),Log_2019[[#This Row],[Date]]),Log_2019[[#This Row],[Split_apply]])) - SUM($O389:P389)</f>
        <v>0</v>
      </c>
      <c r="R389" s="52">
        <f ca="1">Log_2019[[#This Row],[Amount]]/Log_2019[[#This Row],[Split_raw]]*MAX(0,MIN(_xlfn.DAYS(EDATE(R$1,1),Log_2019[[#This Row],[Date]]),Log_2019[[#This Row],[Split_apply]])) - SUM($O389:Q389)</f>
        <v>0</v>
      </c>
      <c r="S389" s="52">
        <f ca="1">Log_2019[[#This Row],[Amount]]/Log_2019[[#This Row],[Split_raw]]*MAX(0,MIN(_xlfn.DAYS(EDATE(S$1,1),Log_2019[[#This Row],[Date]]),Log_2019[[#This Row],[Split_apply]])) - SUM($O389:R389)</f>
        <v>0</v>
      </c>
      <c r="T389" s="52">
        <f ca="1">Log_2019[[#This Row],[Amount]]/Log_2019[[#This Row],[Split_raw]]*MAX(0,MIN(_xlfn.DAYS(EDATE(T$1,1),Log_2019[[#This Row],[Date]]),Log_2019[[#This Row],[Split_apply]])) - SUM($O389:S389)</f>
        <v>0</v>
      </c>
      <c r="U389" s="52">
        <f ca="1">Log_2019[[#This Row],[Amount]]/Log_2019[[#This Row],[Split_raw]]*MAX(0,MIN(_xlfn.DAYS(EDATE(U$1,1),Log_2019[[#This Row],[Date]]),Log_2019[[#This Row],[Split_apply]])) - SUM($O389:T389)</f>
        <v>-5.71</v>
      </c>
      <c r="V389" s="52">
        <f ca="1">Log_2019[[#This Row],[Amount]]/Log_2019[[#This Row],[Split_raw]]*MAX(0,MIN(_xlfn.DAYS(EDATE(V$1,1),Log_2019[[#This Row],[Date]]),Log_2019[[#This Row],[Split_apply]])) - SUM($O389:U389)</f>
        <v>0</v>
      </c>
      <c r="W389" s="52">
        <f ca="1">Log_2019[[#This Row],[Amount]]/Log_2019[[#This Row],[Split_raw]]*MAX(0,MIN(_xlfn.DAYS(EDATE(W$1,1),Log_2019[[#This Row],[Date]]),Log_2019[[#This Row],[Split_apply]])) - SUM($O389:V389)</f>
        <v>0</v>
      </c>
      <c r="X389" s="52">
        <f ca="1">Log_2019[[#This Row],[Amount]]/Log_2019[[#This Row],[Split_raw]]*MAX(0,MIN(_xlfn.DAYS(EDATE(X$1,1),Log_2019[[#This Row],[Date]]),Log_2019[[#This Row],[Split_apply]])) - SUM($O389:W389)</f>
        <v>0</v>
      </c>
      <c r="Y389" s="52">
        <f ca="1">Log_2019[[#This Row],[Amount]]/Log_2019[[#This Row],[Split_raw]]*MAX(0,MIN(_xlfn.DAYS(EDATE(Y$1,1),Log_2019[[#This Row],[Date]]),Log_2019[[#This Row],[Split_apply]])) - SUM($O389:X389)</f>
        <v>0</v>
      </c>
      <c r="Z389" s="52">
        <f ca="1">Log_2019[[#This Row],[Amount]]/Log_2019[[#This Row],[Split_raw]]*MAX(0,MIN(_xlfn.DAYS(EDATE(Z$1,1),Log_2019[[#This Row],[Date]]),Log_2019[[#This Row],[Split_apply]])) - SUM($O389:Y389)</f>
        <v>0</v>
      </c>
      <c r="AA389" s="52">
        <f ca="1">Log_2019[[#This Row],[Amount]]/Log_2019[[#This Row],[Split_raw]]*MAX(0,MIN(_xlfn.DAYS(EDATE(AA$1,1),Log_2019[[#This Row],[Date]]),Log_2019[[#This Row],[Split_apply]])) - SUM($O389:Z389)</f>
        <v>0</v>
      </c>
      <c r="AB389" s="54">
        <f ca="1">Log_2019[[#This Row],[Amount]]-SUM(O389:AA389)</f>
        <v>0</v>
      </c>
      <c r="AC389" s="7">
        <f>MAX(0,Log_2019[[#This Row],[Split_raw]] - (EDATE(AA$1,1)-Log_2019[[#This Row],[Date]]))</f>
        <v>0</v>
      </c>
    </row>
    <row r="390" spans="1:29" x14ac:dyDescent="0.25">
      <c r="A390" s="42"/>
      <c r="B390" s="34" t="s">
        <v>6</v>
      </c>
      <c r="C390" s="34"/>
      <c r="D390" s="35">
        <v>43640</v>
      </c>
      <c r="E390" s="34"/>
      <c r="F390" s="34" t="s">
        <v>551</v>
      </c>
      <c r="G390" s="34" t="s">
        <v>27</v>
      </c>
      <c r="H390">
        <v>-10</v>
      </c>
      <c r="I390" s="36">
        <f>IF(Log_2019[[#This Row],[My Category]]="NONTRACKED",0,Log_2019[[#This Row],[Raw Amount]])</f>
        <v>-10</v>
      </c>
      <c r="J390" s="37">
        <f>ABS(Log_2019[[#This Row],[Amount]])</f>
        <v>10</v>
      </c>
      <c r="K390" s="38">
        <v>1</v>
      </c>
      <c r="L390" s="38">
        <f ca="1">IF(Log_2019[[#This Row],[Date]]&lt;=TODAY(), MIN(Log_2019[[#This Row],[Split_raw]], TODAY()-Log_2019[[#This Row],[Date]]+1), 0)</f>
        <v>1</v>
      </c>
      <c r="M390" s="34" t="s">
        <v>35</v>
      </c>
      <c r="N390" s="34" t="s">
        <v>158</v>
      </c>
      <c r="O390" s="7">
        <v>0</v>
      </c>
      <c r="P390" s="52">
        <f ca="1">Log_2019[[#This Row],[Amount]]/Log_2019[[#This Row],[Split_raw]]*MAX(0,MIN(_xlfn.DAYS(EDATE(P$1,1),Log_2019[[#This Row],[Date]]),Log_2019[[#This Row],[Split_apply]])) - SUM($O390:O390)</f>
        <v>0</v>
      </c>
      <c r="Q390" s="52">
        <f ca="1">Log_2019[[#This Row],[Amount]]/Log_2019[[#This Row],[Split_raw]]*MAX(0,MIN(_xlfn.DAYS(EDATE(Q$1,1),Log_2019[[#This Row],[Date]]),Log_2019[[#This Row],[Split_apply]])) - SUM($O390:P390)</f>
        <v>0</v>
      </c>
      <c r="R390" s="52">
        <f ca="1">Log_2019[[#This Row],[Amount]]/Log_2019[[#This Row],[Split_raw]]*MAX(0,MIN(_xlfn.DAYS(EDATE(R$1,1),Log_2019[[#This Row],[Date]]),Log_2019[[#This Row],[Split_apply]])) - SUM($O390:Q390)</f>
        <v>0</v>
      </c>
      <c r="S390" s="52">
        <f ca="1">Log_2019[[#This Row],[Amount]]/Log_2019[[#This Row],[Split_raw]]*MAX(0,MIN(_xlfn.DAYS(EDATE(S$1,1),Log_2019[[#This Row],[Date]]),Log_2019[[#This Row],[Split_apply]])) - SUM($O390:R390)</f>
        <v>0</v>
      </c>
      <c r="T390" s="52">
        <f ca="1">Log_2019[[#This Row],[Amount]]/Log_2019[[#This Row],[Split_raw]]*MAX(0,MIN(_xlfn.DAYS(EDATE(T$1,1),Log_2019[[#This Row],[Date]]),Log_2019[[#This Row],[Split_apply]])) - SUM($O390:S390)</f>
        <v>0</v>
      </c>
      <c r="U390" s="52">
        <f ca="1">Log_2019[[#This Row],[Amount]]/Log_2019[[#This Row],[Split_raw]]*MAX(0,MIN(_xlfn.DAYS(EDATE(U$1,1),Log_2019[[#This Row],[Date]]),Log_2019[[#This Row],[Split_apply]])) - SUM($O390:T390)</f>
        <v>-10</v>
      </c>
      <c r="V390" s="52">
        <f ca="1">Log_2019[[#This Row],[Amount]]/Log_2019[[#This Row],[Split_raw]]*MAX(0,MIN(_xlfn.DAYS(EDATE(V$1,1),Log_2019[[#This Row],[Date]]),Log_2019[[#This Row],[Split_apply]])) - SUM($O390:U390)</f>
        <v>0</v>
      </c>
      <c r="W390" s="52">
        <f ca="1">Log_2019[[#This Row],[Amount]]/Log_2019[[#This Row],[Split_raw]]*MAX(0,MIN(_xlfn.DAYS(EDATE(W$1,1),Log_2019[[#This Row],[Date]]),Log_2019[[#This Row],[Split_apply]])) - SUM($O390:V390)</f>
        <v>0</v>
      </c>
      <c r="X390" s="52">
        <f ca="1">Log_2019[[#This Row],[Amount]]/Log_2019[[#This Row],[Split_raw]]*MAX(0,MIN(_xlfn.DAYS(EDATE(X$1,1),Log_2019[[#This Row],[Date]]),Log_2019[[#This Row],[Split_apply]])) - SUM($O390:W390)</f>
        <v>0</v>
      </c>
      <c r="Y390" s="52">
        <f ca="1">Log_2019[[#This Row],[Amount]]/Log_2019[[#This Row],[Split_raw]]*MAX(0,MIN(_xlfn.DAYS(EDATE(Y$1,1),Log_2019[[#This Row],[Date]]),Log_2019[[#This Row],[Split_apply]])) - SUM($O390:X390)</f>
        <v>0</v>
      </c>
      <c r="Z390" s="52">
        <f ca="1">Log_2019[[#This Row],[Amount]]/Log_2019[[#This Row],[Split_raw]]*MAX(0,MIN(_xlfn.DAYS(EDATE(Z$1,1),Log_2019[[#This Row],[Date]]),Log_2019[[#This Row],[Split_apply]])) - SUM($O390:Y390)</f>
        <v>0</v>
      </c>
      <c r="AA390" s="52">
        <f ca="1">Log_2019[[#This Row],[Amount]]/Log_2019[[#This Row],[Split_raw]]*MAX(0,MIN(_xlfn.DAYS(EDATE(AA$1,1),Log_2019[[#This Row],[Date]]),Log_2019[[#This Row],[Split_apply]])) - SUM($O390:Z390)</f>
        <v>0</v>
      </c>
      <c r="AB390" s="54">
        <f ca="1">Log_2019[[#This Row],[Amount]]-SUM(O390:AA390)</f>
        <v>0</v>
      </c>
      <c r="AC390" s="7">
        <f>MAX(0,Log_2019[[#This Row],[Split_raw]] - (EDATE(AA$1,1)-Log_2019[[#This Row],[Date]]))</f>
        <v>0</v>
      </c>
    </row>
    <row r="391" spans="1:29" x14ac:dyDescent="0.25">
      <c r="A391" s="42"/>
      <c r="B391" s="34" t="s">
        <v>6</v>
      </c>
      <c r="C391" s="34"/>
      <c r="D391" s="35">
        <v>43640</v>
      </c>
      <c r="E391" s="34"/>
      <c r="F391" s="34" t="s">
        <v>308</v>
      </c>
      <c r="G391" s="34" t="s">
        <v>25</v>
      </c>
      <c r="H391">
        <v>-9.7100000000000009</v>
      </c>
      <c r="I391" s="36">
        <f>IF(Log_2019[[#This Row],[My Category]]="NONTRACKED",0,Log_2019[[#This Row],[Raw Amount]])</f>
        <v>-9.7100000000000009</v>
      </c>
      <c r="J391" s="37">
        <f>ABS(Log_2019[[#This Row],[Amount]])</f>
        <v>9.7100000000000009</v>
      </c>
      <c r="K391" s="38">
        <v>1</v>
      </c>
      <c r="L391" s="38">
        <f ca="1">IF(Log_2019[[#This Row],[Date]]&lt;=TODAY(), MIN(Log_2019[[#This Row],[Split_raw]], TODAY()-Log_2019[[#This Row],[Date]]+1), 0)</f>
        <v>1</v>
      </c>
      <c r="M391" s="34" t="s">
        <v>35</v>
      </c>
      <c r="N391" s="34" t="s">
        <v>158</v>
      </c>
      <c r="O391" s="7">
        <v>0</v>
      </c>
      <c r="P391" s="52">
        <f ca="1">Log_2019[[#This Row],[Amount]]/Log_2019[[#This Row],[Split_raw]]*MAX(0,MIN(_xlfn.DAYS(EDATE(P$1,1),Log_2019[[#This Row],[Date]]),Log_2019[[#This Row],[Split_apply]])) - SUM($O391:O391)</f>
        <v>0</v>
      </c>
      <c r="Q391" s="52">
        <f ca="1">Log_2019[[#This Row],[Amount]]/Log_2019[[#This Row],[Split_raw]]*MAX(0,MIN(_xlfn.DAYS(EDATE(Q$1,1),Log_2019[[#This Row],[Date]]),Log_2019[[#This Row],[Split_apply]])) - SUM($O391:P391)</f>
        <v>0</v>
      </c>
      <c r="R391" s="52">
        <f ca="1">Log_2019[[#This Row],[Amount]]/Log_2019[[#This Row],[Split_raw]]*MAX(0,MIN(_xlfn.DAYS(EDATE(R$1,1),Log_2019[[#This Row],[Date]]),Log_2019[[#This Row],[Split_apply]])) - SUM($O391:Q391)</f>
        <v>0</v>
      </c>
      <c r="S391" s="52">
        <f ca="1">Log_2019[[#This Row],[Amount]]/Log_2019[[#This Row],[Split_raw]]*MAX(0,MIN(_xlfn.DAYS(EDATE(S$1,1),Log_2019[[#This Row],[Date]]),Log_2019[[#This Row],[Split_apply]])) - SUM($O391:R391)</f>
        <v>0</v>
      </c>
      <c r="T391" s="52">
        <f ca="1">Log_2019[[#This Row],[Amount]]/Log_2019[[#This Row],[Split_raw]]*MAX(0,MIN(_xlfn.DAYS(EDATE(T$1,1),Log_2019[[#This Row],[Date]]),Log_2019[[#This Row],[Split_apply]])) - SUM($O391:S391)</f>
        <v>0</v>
      </c>
      <c r="U391" s="52">
        <f ca="1">Log_2019[[#This Row],[Amount]]/Log_2019[[#This Row],[Split_raw]]*MAX(0,MIN(_xlfn.DAYS(EDATE(U$1,1),Log_2019[[#This Row],[Date]]),Log_2019[[#This Row],[Split_apply]])) - SUM($O391:T391)</f>
        <v>-9.7100000000000009</v>
      </c>
      <c r="V391" s="52">
        <f ca="1">Log_2019[[#This Row],[Amount]]/Log_2019[[#This Row],[Split_raw]]*MAX(0,MIN(_xlfn.DAYS(EDATE(V$1,1),Log_2019[[#This Row],[Date]]),Log_2019[[#This Row],[Split_apply]])) - SUM($O391:U391)</f>
        <v>0</v>
      </c>
      <c r="W391" s="52">
        <f ca="1">Log_2019[[#This Row],[Amount]]/Log_2019[[#This Row],[Split_raw]]*MAX(0,MIN(_xlfn.DAYS(EDATE(W$1,1),Log_2019[[#This Row],[Date]]),Log_2019[[#This Row],[Split_apply]])) - SUM($O391:V391)</f>
        <v>0</v>
      </c>
      <c r="X391" s="52">
        <f ca="1">Log_2019[[#This Row],[Amount]]/Log_2019[[#This Row],[Split_raw]]*MAX(0,MIN(_xlfn.DAYS(EDATE(X$1,1),Log_2019[[#This Row],[Date]]),Log_2019[[#This Row],[Split_apply]])) - SUM($O391:W391)</f>
        <v>0</v>
      </c>
      <c r="Y391" s="52">
        <f ca="1">Log_2019[[#This Row],[Amount]]/Log_2019[[#This Row],[Split_raw]]*MAX(0,MIN(_xlfn.DAYS(EDATE(Y$1,1),Log_2019[[#This Row],[Date]]),Log_2019[[#This Row],[Split_apply]])) - SUM($O391:X391)</f>
        <v>0</v>
      </c>
      <c r="Z391" s="52">
        <f ca="1">Log_2019[[#This Row],[Amount]]/Log_2019[[#This Row],[Split_raw]]*MAX(0,MIN(_xlfn.DAYS(EDATE(Z$1,1),Log_2019[[#This Row],[Date]]),Log_2019[[#This Row],[Split_apply]])) - SUM($O391:Y391)</f>
        <v>0</v>
      </c>
      <c r="AA391" s="52">
        <f ca="1">Log_2019[[#This Row],[Amount]]/Log_2019[[#This Row],[Split_raw]]*MAX(0,MIN(_xlfn.DAYS(EDATE(AA$1,1),Log_2019[[#This Row],[Date]]),Log_2019[[#This Row],[Split_apply]])) - SUM($O391:Z391)</f>
        <v>0</v>
      </c>
      <c r="AB391" s="54">
        <f ca="1">Log_2019[[#This Row],[Amount]]-SUM(O391:AA391)</f>
        <v>0</v>
      </c>
      <c r="AC391" s="7">
        <f>MAX(0,Log_2019[[#This Row],[Split_raw]] - (EDATE(AA$1,1)-Log_2019[[#This Row],[Date]]))</f>
        <v>0</v>
      </c>
    </row>
    <row r="392" spans="1:29" x14ac:dyDescent="0.25">
      <c r="A392" s="42"/>
      <c r="B392" t="s">
        <v>6</v>
      </c>
      <c r="D392" s="26">
        <v>43640</v>
      </c>
      <c r="F392" t="s">
        <v>581</v>
      </c>
      <c r="G392" t="s">
        <v>582</v>
      </c>
      <c r="H392">
        <v>-52.95</v>
      </c>
      <c r="I392" s="36">
        <f>IF(Log_2019[[#This Row],[My Category]]="NONTRACKED",0,Log_2019[[#This Row],[Raw Amount]])</f>
        <v>-52.95</v>
      </c>
      <c r="J392" s="37">
        <f>ABS(Log_2019[[#This Row],[Amount]])</f>
        <v>52.95</v>
      </c>
      <c r="K392" s="38">
        <v>30</v>
      </c>
      <c r="L392" s="38">
        <f ca="1">IF(Log_2019[[#This Row],[Date]]&lt;=TODAY(), MIN(Log_2019[[#This Row],[Split_raw]], TODAY()-Log_2019[[#This Row],[Date]]+1), 0)</f>
        <v>30</v>
      </c>
      <c r="M392" s="34" t="s">
        <v>30</v>
      </c>
      <c r="N392" s="34" t="s">
        <v>160</v>
      </c>
      <c r="O392" s="7">
        <v>0</v>
      </c>
      <c r="P392" s="52">
        <f ca="1">Log_2019[[#This Row],[Amount]]/Log_2019[[#This Row],[Split_raw]]*MAX(0,MIN(_xlfn.DAYS(EDATE(P$1,1),Log_2019[[#This Row],[Date]]),Log_2019[[#This Row],[Split_apply]])) - SUM($O392:O392)</f>
        <v>0</v>
      </c>
      <c r="Q392" s="52">
        <f ca="1">Log_2019[[#This Row],[Amount]]/Log_2019[[#This Row],[Split_raw]]*MAX(0,MIN(_xlfn.DAYS(EDATE(Q$1,1),Log_2019[[#This Row],[Date]]),Log_2019[[#This Row],[Split_apply]])) - SUM($O392:P392)</f>
        <v>0</v>
      </c>
      <c r="R392" s="52">
        <f ca="1">Log_2019[[#This Row],[Amount]]/Log_2019[[#This Row],[Split_raw]]*MAX(0,MIN(_xlfn.DAYS(EDATE(R$1,1),Log_2019[[#This Row],[Date]]),Log_2019[[#This Row],[Split_apply]])) - SUM($O392:Q392)</f>
        <v>0</v>
      </c>
      <c r="S392" s="52">
        <f ca="1">Log_2019[[#This Row],[Amount]]/Log_2019[[#This Row],[Split_raw]]*MAX(0,MIN(_xlfn.DAYS(EDATE(S$1,1),Log_2019[[#This Row],[Date]]),Log_2019[[#This Row],[Split_apply]])) - SUM($O392:R392)</f>
        <v>0</v>
      </c>
      <c r="T392" s="52">
        <f ca="1">Log_2019[[#This Row],[Amount]]/Log_2019[[#This Row],[Split_raw]]*MAX(0,MIN(_xlfn.DAYS(EDATE(T$1,1),Log_2019[[#This Row],[Date]]),Log_2019[[#This Row],[Split_apply]])) - SUM($O392:S392)</f>
        <v>0</v>
      </c>
      <c r="U392" s="52">
        <f ca="1">Log_2019[[#This Row],[Amount]]/Log_2019[[#This Row],[Split_raw]]*MAX(0,MIN(_xlfn.DAYS(EDATE(U$1,1),Log_2019[[#This Row],[Date]]),Log_2019[[#This Row],[Split_apply]])) - SUM($O392:T392)</f>
        <v>-12.355</v>
      </c>
      <c r="V392" s="52">
        <f ca="1">Log_2019[[#This Row],[Amount]]/Log_2019[[#This Row],[Split_raw]]*MAX(0,MIN(_xlfn.DAYS(EDATE(V$1,1),Log_2019[[#This Row],[Date]]),Log_2019[[#This Row],[Split_apply]])) - SUM($O392:U392)</f>
        <v>-40.594999999999999</v>
      </c>
      <c r="W392" s="52">
        <f ca="1">Log_2019[[#This Row],[Amount]]/Log_2019[[#This Row],[Split_raw]]*MAX(0,MIN(_xlfn.DAYS(EDATE(W$1,1),Log_2019[[#This Row],[Date]]),Log_2019[[#This Row],[Split_apply]])) - SUM($O392:V392)</f>
        <v>0</v>
      </c>
      <c r="X392" s="52">
        <f ca="1">Log_2019[[#This Row],[Amount]]/Log_2019[[#This Row],[Split_raw]]*MAX(0,MIN(_xlfn.DAYS(EDATE(X$1,1),Log_2019[[#This Row],[Date]]),Log_2019[[#This Row],[Split_apply]])) - SUM($O392:W392)</f>
        <v>0</v>
      </c>
      <c r="Y392" s="52">
        <f ca="1">Log_2019[[#This Row],[Amount]]/Log_2019[[#This Row],[Split_raw]]*MAX(0,MIN(_xlfn.DAYS(EDATE(Y$1,1),Log_2019[[#This Row],[Date]]),Log_2019[[#This Row],[Split_apply]])) - SUM($O392:X392)</f>
        <v>0</v>
      </c>
      <c r="Z392" s="52">
        <f ca="1">Log_2019[[#This Row],[Amount]]/Log_2019[[#This Row],[Split_raw]]*MAX(0,MIN(_xlfn.DAYS(EDATE(Z$1,1),Log_2019[[#This Row],[Date]]),Log_2019[[#This Row],[Split_apply]])) - SUM($O392:Y392)</f>
        <v>0</v>
      </c>
      <c r="AA392" s="52">
        <f ca="1">Log_2019[[#This Row],[Amount]]/Log_2019[[#This Row],[Split_raw]]*MAX(0,MIN(_xlfn.DAYS(EDATE(AA$1,1),Log_2019[[#This Row],[Date]]),Log_2019[[#This Row],[Split_apply]])) - SUM($O392:Z392)</f>
        <v>0</v>
      </c>
      <c r="AB392" s="54">
        <f ca="1">Log_2019[[#This Row],[Amount]]-SUM(O392:AA392)</f>
        <v>0</v>
      </c>
      <c r="AC392" s="7">
        <f>MAX(0,Log_2019[[#This Row],[Split_raw]] - (EDATE(AA$1,1)-Log_2019[[#This Row],[Date]]))</f>
        <v>0</v>
      </c>
    </row>
    <row r="393" spans="1:29" x14ac:dyDescent="0.25">
      <c r="A393" s="42"/>
      <c r="B393" s="34" t="s">
        <v>6</v>
      </c>
      <c r="C393" s="34"/>
      <c r="D393" s="35">
        <v>43637</v>
      </c>
      <c r="E393" s="34"/>
      <c r="F393" s="34" t="s">
        <v>639</v>
      </c>
      <c r="G393" s="34" t="s">
        <v>25</v>
      </c>
      <c r="H393">
        <v>-16.53</v>
      </c>
      <c r="I393" s="36">
        <f>IF(Log_2019[[#This Row],[My Category]]="NONTRACKED",0,Log_2019[[#This Row],[Raw Amount]])</f>
        <v>-16.53</v>
      </c>
      <c r="J393" s="37">
        <f>ABS(Log_2019[[#This Row],[Amount]])</f>
        <v>16.53</v>
      </c>
      <c r="K393" s="38">
        <v>1</v>
      </c>
      <c r="L393" s="38">
        <f ca="1">IF(Log_2019[[#This Row],[Date]]&lt;=TODAY(), MIN(Log_2019[[#This Row],[Split_raw]], TODAY()-Log_2019[[#This Row],[Date]]+1), 0)</f>
        <v>1</v>
      </c>
      <c r="M393" s="34" t="s">
        <v>35</v>
      </c>
      <c r="N393" s="34" t="s">
        <v>158</v>
      </c>
      <c r="O393" s="7">
        <v>0</v>
      </c>
      <c r="P393" s="52">
        <f ca="1">Log_2019[[#This Row],[Amount]]/Log_2019[[#This Row],[Split_raw]]*MAX(0,MIN(_xlfn.DAYS(EDATE(P$1,1),Log_2019[[#This Row],[Date]]),Log_2019[[#This Row],[Split_apply]])) - SUM($O393:O393)</f>
        <v>0</v>
      </c>
      <c r="Q393" s="52">
        <f ca="1">Log_2019[[#This Row],[Amount]]/Log_2019[[#This Row],[Split_raw]]*MAX(0,MIN(_xlfn.DAYS(EDATE(Q$1,1),Log_2019[[#This Row],[Date]]),Log_2019[[#This Row],[Split_apply]])) - SUM($O393:P393)</f>
        <v>0</v>
      </c>
      <c r="R393" s="52">
        <f ca="1">Log_2019[[#This Row],[Amount]]/Log_2019[[#This Row],[Split_raw]]*MAX(0,MIN(_xlfn.DAYS(EDATE(R$1,1),Log_2019[[#This Row],[Date]]),Log_2019[[#This Row],[Split_apply]])) - SUM($O393:Q393)</f>
        <v>0</v>
      </c>
      <c r="S393" s="52">
        <f ca="1">Log_2019[[#This Row],[Amount]]/Log_2019[[#This Row],[Split_raw]]*MAX(0,MIN(_xlfn.DAYS(EDATE(S$1,1),Log_2019[[#This Row],[Date]]),Log_2019[[#This Row],[Split_apply]])) - SUM($O393:R393)</f>
        <v>0</v>
      </c>
      <c r="T393" s="52">
        <f ca="1">Log_2019[[#This Row],[Amount]]/Log_2019[[#This Row],[Split_raw]]*MAX(0,MIN(_xlfn.DAYS(EDATE(T$1,1),Log_2019[[#This Row],[Date]]),Log_2019[[#This Row],[Split_apply]])) - SUM($O393:S393)</f>
        <v>0</v>
      </c>
      <c r="U393" s="52">
        <f ca="1">Log_2019[[#This Row],[Amount]]/Log_2019[[#This Row],[Split_raw]]*MAX(0,MIN(_xlfn.DAYS(EDATE(U$1,1),Log_2019[[#This Row],[Date]]),Log_2019[[#This Row],[Split_apply]])) - SUM($O393:T393)</f>
        <v>-16.53</v>
      </c>
      <c r="V393" s="52">
        <f ca="1">Log_2019[[#This Row],[Amount]]/Log_2019[[#This Row],[Split_raw]]*MAX(0,MIN(_xlfn.DAYS(EDATE(V$1,1),Log_2019[[#This Row],[Date]]),Log_2019[[#This Row],[Split_apply]])) - SUM($O393:U393)</f>
        <v>0</v>
      </c>
      <c r="W393" s="52">
        <f ca="1">Log_2019[[#This Row],[Amount]]/Log_2019[[#This Row],[Split_raw]]*MAX(0,MIN(_xlfn.DAYS(EDATE(W$1,1),Log_2019[[#This Row],[Date]]),Log_2019[[#This Row],[Split_apply]])) - SUM($O393:V393)</f>
        <v>0</v>
      </c>
      <c r="X393" s="52">
        <f ca="1">Log_2019[[#This Row],[Amount]]/Log_2019[[#This Row],[Split_raw]]*MAX(0,MIN(_xlfn.DAYS(EDATE(X$1,1),Log_2019[[#This Row],[Date]]),Log_2019[[#This Row],[Split_apply]])) - SUM($O393:W393)</f>
        <v>0</v>
      </c>
      <c r="Y393" s="52">
        <f ca="1">Log_2019[[#This Row],[Amount]]/Log_2019[[#This Row],[Split_raw]]*MAX(0,MIN(_xlfn.DAYS(EDATE(Y$1,1),Log_2019[[#This Row],[Date]]),Log_2019[[#This Row],[Split_apply]])) - SUM($O393:X393)</f>
        <v>0</v>
      </c>
      <c r="Z393" s="52">
        <f ca="1">Log_2019[[#This Row],[Amount]]/Log_2019[[#This Row],[Split_raw]]*MAX(0,MIN(_xlfn.DAYS(EDATE(Z$1,1),Log_2019[[#This Row],[Date]]),Log_2019[[#This Row],[Split_apply]])) - SUM($O393:Y393)</f>
        <v>0</v>
      </c>
      <c r="AA393" s="52">
        <f ca="1">Log_2019[[#This Row],[Amount]]/Log_2019[[#This Row],[Split_raw]]*MAX(0,MIN(_xlfn.DAYS(EDATE(AA$1,1),Log_2019[[#This Row],[Date]]),Log_2019[[#This Row],[Split_apply]])) - SUM($O393:Z393)</f>
        <v>0</v>
      </c>
      <c r="AB393" s="54">
        <f ca="1">Log_2019[[#This Row],[Amount]]-SUM(O393:AA393)</f>
        <v>0</v>
      </c>
      <c r="AC393" s="7">
        <f>MAX(0,Log_2019[[#This Row],[Split_raw]] - (EDATE(AA$1,1)-Log_2019[[#This Row],[Date]]))</f>
        <v>0</v>
      </c>
    </row>
    <row r="394" spans="1:29" x14ac:dyDescent="0.25">
      <c r="A394" s="42"/>
      <c r="B394" s="34" t="s">
        <v>6</v>
      </c>
      <c r="C394" s="34"/>
      <c r="D394" s="35">
        <v>43637</v>
      </c>
      <c r="E394" s="34"/>
      <c r="F394" s="34" t="s">
        <v>529</v>
      </c>
      <c r="G394" s="34" t="s">
        <v>25</v>
      </c>
      <c r="H394">
        <v>-19</v>
      </c>
      <c r="I394" s="36">
        <f>IF(Log_2019[[#This Row],[My Category]]="NONTRACKED",0,Log_2019[[#This Row],[Raw Amount]])</f>
        <v>-19</v>
      </c>
      <c r="J394" s="37">
        <f>ABS(Log_2019[[#This Row],[Amount]])</f>
        <v>19</v>
      </c>
      <c r="K394" s="38">
        <v>1</v>
      </c>
      <c r="L394" s="38">
        <f ca="1">IF(Log_2019[[#This Row],[Date]]&lt;=TODAY(), MIN(Log_2019[[#This Row],[Split_raw]], TODAY()-Log_2019[[#This Row],[Date]]+1), 0)</f>
        <v>1</v>
      </c>
      <c r="M394" s="34" t="s">
        <v>40</v>
      </c>
      <c r="N394" s="34" t="s">
        <v>158</v>
      </c>
      <c r="O394" s="7">
        <v>0</v>
      </c>
      <c r="P394" s="52">
        <f ca="1">Log_2019[[#This Row],[Amount]]/Log_2019[[#This Row],[Split_raw]]*MAX(0,MIN(_xlfn.DAYS(EDATE(P$1,1),Log_2019[[#This Row],[Date]]),Log_2019[[#This Row],[Split_apply]])) - SUM($O394:O394)</f>
        <v>0</v>
      </c>
      <c r="Q394" s="52">
        <f ca="1">Log_2019[[#This Row],[Amount]]/Log_2019[[#This Row],[Split_raw]]*MAX(0,MIN(_xlfn.DAYS(EDATE(Q$1,1),Log_2019[[#This Row],[Date]]),Log_2019[[#This Row],[Split_apply]])) - SUM($O394:P394)</f>
        <v>0</v>
      </c>
      <c r="R394" s="52">
        <f ca="1">Log_2019[[#This Row],[Amount]]/Log_2019[[#This Row],[Split_raw]]*MAX(0,MIN(_xlfn.DAYS(EDATE(R$1,1),Log_2019[[#This Row],[Date]]),Log_2019[[#This Row],[Split_apply]])) - SUM($O394:Q394)</f>
        <v>0</v>
      </c>
      <c r="S394" s="52">
        <f ca="1">Log_2019[[#This Row],[Amount]]/Log_2019[[#This Row],[Split_raw]]*MAX(0,MIN(_xlfn.DAYS(EDATE(S$1,1),Log_2019[[#This Row],[Date]]),Log_2019[[#This Row],[Split_apply]])) - SUM($O394:R394)</f>
        <v>0</v>
      </c>
      <c r="T394" s="52">
        <f ca="1">Log_2019[[#This Row],[Amount]]/Log_2019[[#This Row],[Split_raw]]*MAX(0,MIN(_xlfn.DAYS(EDATE(T$1,1),Log_2019[[#This Row],[Date]]),Log_2019[[#This Row],[Split_apply]])) - SUM($O394:S394)</f>
        <v>0</v>
      </c>
      <c r="U394" s="52">
        <f ca="1">Log_2019[[#This Row],[Amount]]/Log_2019[[#This Row],[Split_raw]]*MAX(0,MIN(_xlfn.DAYS(EDATE(U$1,1),Log_2019[[#This Row],[Date]]),Log_2019[[#This Row],[Split_apply]])) - SUM($O394:T394)</f>
        <v>-19</v>
      </c>
      <c r="V394" s="52">
        <f ca="1">Log_2019[[#This Row],[Amount]]/Log_2019[[#This Row],[Split_raw]]*MAX(0,MIN(_xlfn.DAYS(EDATE(V$1,1),Log_2019[[#This Row],[Date]]),Log_2019[[#This Row],[Split_apply]])) - SUM($O394:U394)</f>
        <v>0</v>
      </c>
      <c r="W394" s="52">
        <f ca="1">Log_2019[[#This Row],[Amount]]/Log_2019[[#This Row],[Split_raw]]*MAX(0,MIN(_xlfn.DAYS(EDATE(W$1,1),Log_2019[[#This Row],[Date]]),Log_2019[[#This Row],[Split_apply]])) - SUM($O394:V394)</f>
        <v>0</v>
      </c>
      <c r="X394" s="52">
        <f ca="1">Log_2019[[#This Row],[Amount]]/Log_2019[[#This Row],[Split_raw]]*MAX(0,MIN(_xlfn.DAYS(EDATE(X$1,1),Log_2019[[#This Row],[Date]]),Log_2019[[#This Row],[Split_apply]])) - SUM($O394:W394)</f>
        <v>0</v>
      </c>
      <c r="Y394" s="52">
        <f ca="1">Log_2019[[#This Row],[Amount]]/Log_2019[[#This Row],[Split_raw]]*MAX(0,MIN(_xlfn.DAYS(EDATE(Y$1,1),Log_2019[[#This Row],[Date]]),Log_2019[[#This Row],[Split_apply]])) - SUM($O394:X394)</f>
        <v>0</v>
      </c>
      <c r="Z394" s="52">
        <f ca="1">Log_2019[[#This Row],[Amount]]/Log_2019[[#This Row],[Split_raw]]*MAX(0,MIN(_xlfn.DAYS(EDATE(Z$1,1),Log_2019[[#This Row],[Date]]),Log_2019[[#This Row],[Split_apply]])) - SUM($O394:Y394)</f>
        <v>0</v>
      </c>
      <c r="AA394" s="52">
        <f ca="1">Log_2019[[#This Row],[Amount]]/Log_2019[[#This Row],[Split_raw]]*MAX(0,MIN(_xlfn.DAYS(EDATE(AA$1,1),Log_2019[[#This Row],[Date]]),Log_2019[[#This Row],[Split_apply]])) - SUM($O394:Z394)</f>
        <v>0</v>
      </c>
      <c r="AB394" s="54">
        <f ca="1">Log_2019[[#This Row],[Amount]]-SUM(O394:AA394)</f>
        <v>0</v>
      </c>
      <c r="AC394" s="7">
        <f>MAX(0,Log_2019[[#This Row],[Split_raw]] - (EDATE(AA$1,1)-Log_2019[[#This Row],[Date]]))</f>
        <v>0</v>
      </c>
    </row>
    <row r="395" spans="1:29" x14ac:dyDescent="0.25">
      <c r="A395" s="42"/>
      <c r="B395" s="34" t="s">
        <v>6</v>
      </c>
      <c r="C395" s="34"/>
      <c r="D395" s="35">
        <v>43636</v>
      </c>
      <c r="E395" s="34"/>
      <c r="F395" s="34" t="s">
        <v>345</v>
      </c>
      <c r="G395" s="34" t="s">
        <v>12</v>
      </c>
      <c r="H395">
        <v>-29.64</v>
      </c>
      <c r="I395" s="36">
        <f>IF(Log_2019[[#This Row],[My Category]]="NONTRACKED",0,Log_2019[[#This Row],[Raw Amount]])</f>
        <v>-29.64</v>
      </c>
      <c r="J395" s="37">
        <f>ABS(Log_2019[[#This Row],[Amount]])</f>
        <v>29.64</v>
      </c>
      <c r="K395" s="38">
        <v>1</v>
      </c>
      <c r="L395" s="38">
        <f ca="1">IF(Log_2019[[#This Row],[Date]]&lt;=TODAY(), MIN(Log_2019[[#This Row],[Split_raw]], TODAY()-Log_2019[[#This Row],[Date]]+1), 0)</f>
        <v>1</v>
      </c>
      <c r="M395" s="34" t="s">
        <v>12</v>
      </c>
      <c r="N395" s="34" t="s">
        <v>158</v>
      </c>
      <c r="O395" s="7">
        <v>0</v>
      </c>
      <c r="P395" s="52">
        <f ca="1">Log_2019[[#This Row],[Amount]]/Log_2019[[#This Row],[Split_raw]]*MAX(0,MIN(_xlfn.DAYS(EDATE(P$1,1),Log_2019[[#This Row],[Date]]),Log_2019[[#This Row],[Split_apply]])) - SUM($O395:O395)</f>
        <v>0</v>
      </c>
      <c r="Q395" s="52">
        <f ca="1">Log_2019[[#This Row],[Amount]]/Log_2019[[#This Row],[Split_raw]]*MAX(0,MIN(_xlfn.DAYS(EDATE(Q$1,1),Log_2019[[#This Row],[Date]]),Log_2019[[#This Row],[Split_apply]])) - SUM($O395:P395)</f>
        <v>0</v>
      </c>
      <c r="R395" s="52">
        <f ca="1">Log_2019[[#This Row],[Amount]]/Log_2019[[#This Row],[Split_raw]]*MAX(0,MIN(_xlfn.DAYS(EDATE(R$1,1),Log_2019[[#This Row],[Date]]),Log_2019[[#This Row],[Split_apply]])) - SUM($O395:Q395)</f>
        <v>0</v>
      </c>
      <c r="S395" s="52">
        <f ca="1">Log_2019[[#This Row],[Amount]]/Log_2019[[#This Row],[Split_raw]]*MAX(0,MIN(_xlfn.DAYS(EDATE(S$1,1),Log_2019[[#This Row],[Date]]),Log_2019[[#This Row],[Split_apply]])) - SUM($O395:R395)</f>
        <v>0</v>
      </c>
      <c r="T395" s="52">
        <f ca="1">Log_2019[[#This Row],[Amount]]/Log_2019[[#This Row],[Split_raw]]*MAX(0,MIN(_xlfn.DAYS(EDATE(T$1,1),Log_2019[[#This Row],[Date]]),Log_2019[[#This Row],[Split_apply]])) - SUM($O395:S395)</f>
        <v>0</v>
      </c>
      <c r="U395" s="52">
        <f ca="1">Log_2019[[#This Row],[Amount]]/Log_2019[[#This Row],[Split_raw]]*MAX(0,MIN(_xlfn.DAYS(EDATE(U$1,1),Log_2019[[#This Row],[Date]]),Log_2019[[#This Row],[Split_apply]])) - SUM($O395:T395)</f>
        <v>-29.64</v>
      </c>
      <c r="V395" s="52">
        <f ca="1">Log_2019[[#This Row],[Amount]]/Log_2019[[#This Row],[Split_raw]]*MAX(0,MIN(_xlfn.DAYS(EDATE(V$1,1),Log_2019[[#This Row],[Date]]),Log_2019[[#This Row],[Split_apply]])) - SUM($O395:U395)</f>
        <v>0</v>
      </c>
      <c r="W395" s="52">
        <f ca="1">Log_2019[[#This Row],[Amount]]/Log_2019[[#This Row],[Split_raw]]*MAX(0,MIN(_xlfn.DAYS(EDATE(W$1,1),Log_2019[[#This Row],[Date]]),Log_2019[[#This Row],[Split_apply]])) - SUM($O395:V395)</f>
        <v>0</v>
      </c>
      <c r="X395" s="52">
        <f ca="1">Log_2019[[#This Row],[Amount]]/Log_2019[[#This Row],[Split_raw]]*MAX(0,MIN(_xlfn.DAYS(EDATE(X$1,1),Log_2019[[#This Row],[Date]]),Log_2019[[#This Row],[Split_apply]])) - SUM($O395:W395)</f>
        <v>0</v>
      </c>
      <c r="Y395" s="52">
        <f ca="1">Log_2019[[#This Row],[Amount]]/Log_2019[[#This Row],[Split_raw]]*MAX(0,MIN(_xlfn.DAYS(EDATE(Y$1,1),Log_2019[[#This Row],[Date]]),Log_2019[[#This Row],[Split_apply]])) - SUM($O395:X395)</f>
        <v>0</v>
      </c>
      <c r="Z395" s="52">
        <f ca="1">Log_2019[[#This Row],[Amount]]/Log_2019[[#This Row],[Split_raw]]*MAX(0,MIN(_xlfn.DAYS(EDATE(Z$1,1),Log_2019[[#This Row],[Date]]),Log_2019[[#This Row],[Split_apply]])) - SUM($O395:Y395)</f>
        <v>0</v>
      </c>
      <c r="AA395" s="52">
        <f ca="1">Log_2019[[#This Row],[Amount]]/Log_2019[[#This Row],[Split_raw]]*MAX(0,MIN(_xlfn.DAYS(EDATE(AA$1,1),Log_2019[[#This Row],[Date]]),Log_2019[[#This Row],[Split_apply]])) - SUM($O395:Z395)</f>
        <v>0</v>
      </c>
      <c r="AB395" s="54">
        <f ca="1">Log_2019[[#This Row],[Amount]]-SUM(O395:AA395)</f>
        <v>0</v>
      </c>
      <c r="AC395" s="7">
        <f>MAX(0,Log_2019[[#This Row],[Split_raw]] - (EDATE(AA$1,1)-Log_2019[[#This Row],[Date]]))</f>
        <v>0</v>
      </c>
    </row>
    <row r="396" spans="1:29" x14ac:dyDescent="0.25">
      <c r="A396" s="42"/>
      <c r="B396" s="34" t="s">
        <v>6</v>
      </c>
      <c r="C396" s="34"/>
      <c r="D396" s="35">
        <v>43636</v>
      </c>
      <c r="E396" s="34"/>
      <c r="F396" s="34" t="s">
        <v>59</v>
      </c>
      <c r="G396" s="34" t="s">
        <v>25</v>
      </c>
      <c r="H396">
        <v>-7.94</v>
      </c>
      <c r="I396" s="36">
        <f>IF(Log_2019[[#This Row],[My Category]]="NONTRACKED",0,Log_2019[[#This Row],[Raw Amount]])</f>
        <v>-7.94</v>
      </c>
      <c r="J396" s="37">
        <f>ABS(Log_2019[[#This Row],[Amount]])</f>
        <v>7.94</v>
      </c>
      <c r="K396" s="38">
        <v>1</v>
      </c>
      <c r="L396" s="38">
        <f ca="1">IF(Log_2019[[#This Row],[Date]]&lt;=TODAY(), MIN(Log_2019[[#This Row],[Split_raw]], TODAY()-Log_2019[[#This Row],[Date]]+1), 0)</f>
        <v>1</v>
      </c>
      <c r="M396" s="34" t="s">
        <v>35</v>
      </c>
      <c r="N396" s="34" t="s">
        <v>158</v>
      </c>
      <c r="O396" s="7">
        <v>0</v>
      </c>
      <c r="P396" s="52">
        <f ca="1">Log_2019[[#This Row],[Amount]]/Log_2019[[#This Row],[Split_raw]]*MAX(0,MIN(_xlfn.DAYS(EDATE(P$1,1),Log_2019[[#This Row],[Date]]),Log_2019[[#This Row],[Split_apply]])) - SUM($O396:O396)</f>
        <v>0</v>
      </c>
      <c r="Q396" s="52">
        <f ca="1">Log_2019[[#This Row],[Amount]]/Log_2019[[#This Row],[Split_raw]]*MAX(0,MIN(_xlfn.DAYS(EDATE(Q$1,1),Log_2019[[#This Row],[Date]]),Log_2019[[#This Row],[Split_apply]])) - SUM($O396:P396)</f>
        <v>0</v>
      </c>
      <c r="R396" s="52">
        <f ca="1">Log_2019[[#This Row],[Amount]]/Log_2019[[#This Row],[Split_raw]]*MAX(0,MIN(_xlfn.DAYS(EDATE(R$1,1),Log_2019[[#This Row],[Date]]),Log_2019[[#This Row],[Split_apply]])) - SUM($O396:Q396)</f>
        <v>0</v>
      </c>
      <c r="S396" s="52">
        <f ca="1">Log_2019[[#This Row],[Amount]]/Log_2019[[#This Row],[Split_raw]]*MAX(0,MIN(_xlfn.DAYS(EDATE(S$1,1),Log_2019[[#This Row],[Date]]),Log_2019[[#This Row],[Split_apply]])) - SUM($O396:R396)</f>
        <v>0</v>
      </c>
      <c r="T396" s="52">
        <f ca="1">Log_2019[[#This Row],[Amount]]/Log_2019[[#This Row],[Split_raw]]*MAX(0,MIN(_xlfn.DAYS(EDATE(T$1,1),Log_2019[[#This Row],[Date]]),Log_2019[[#This Row],[Split_apply]])) - SUM($O396:S396)</f>
        <v>0</v>
      </c>
      <c r="U396" s="52">
        <f ca="1">Log_2019[[#This Row],[Amount]]/Log_2019[[#This Row],[Split_raw]]*MAX(0,MIN(_xlfn.DAYS(EDATE(U$1,1),Log_2019[[#This Row],[Date]]),Log_2019[[#This Row],[Split_apply]])) - SUM($O396:T396)</f>
        <v>-7.94</v>
      </c>
      <c r="V396" s="52">
        <f ca="1">Log_2019[[#This Row],[Amount]]/Log_2019[[#This Row],[Split_raw]]*MAX(0,MIN(_xlfn.DAYS(EDATE(V$1,1),Log_2019[[#This Row],[Date]]),Log_2019[[#This Row],[Split_apply]])) - SUM($O396:U396)</f>
        <v>0</v>
      </c>
      <c r="W396" s="52">
        <f ca="1">Log_2019[[#This Row],[Amount]]/Log_2019[[#This Row],[Split_raw]]*MAX(0,MIN(_xlfn.DAYS(EDATE(W$1,1),Log_2019[[#This Row],[Date]]),Log_2019[[#This Row],[Split_apply]])) - SUM($O396:V396)</f>
        <v>0</v>
      </c>
      <c r="X396" s="52">
        <f ca="1">Log_2019[[#This Row],[Amount]]/Log_2019[[#This Row],[Split_raw]]*MAX(0,MIN(_xlfn.DAYS(EDATE(X$1,1),Log_2019[[#This Row],[Date]]),Log_2019[[#This Row],[Split_apply]])) - SUM($O396:W396)</f>
        <v>0</v>
      </c>
      <c r="Y396" s="52">
        <f ca="1">Log_2019[[#This Row],[Amount]]/Log_2019[[#This Row],[Split_raw]]*MAX(0,MIN(_xlfn.DAYS(EDATE(Y$1,1),Log_2019[[#This Row],[Date]]),Log_2019[[#This Row],[Split_apply]])) - SUM($O396:X396)</f>
        <v>0</v>
      </c>
      <c r="Z396" s="52">
        <f ca="1">Log_2019[[#This Row],[Amount]]/Log_2019[[#This Row],[Split_raw]]*MAX(0,MIN(_xlfn.DAYS(EDATE(Z$1,1),Log_2019[[#This Row],[Date]]),Log_2019[[#This Row],[Split_apply]])) - SUM($O396:Y396)</f>
        <v>0</v>
      </c>
      <c r="AA396" s="52">
        <f ca="1">Log_2019[[#This Row],[Amount]]/Log_2019[[#This Row],[Split_raw]]*MAX(0,MIN(_xlfn.DAYS(EDATE(AA$1,1),Log_2019[[#This Row],[Date]]),Log_2019[[#This Row],[Split_apply]])) - SUM($O396:Z396)</f>
        <v>0</v>
      </c>
      <c r="AB396" s="54">
        <f ca="1">Log_2019[[#This Row],[Amount]]-SUM(O396:AA396)</f>
        <v>0</v>
      </c>
      <c r="AC396" s="7">
        <f>MAX(0,Log_2019[[#This Row],[Split_raw]] - (EDATE(AA$1,1)-Log_2019[[#This Row],[Date]]))</f>
        <v>0</v>
      </c>
    </row>
    <row r="397" spans="1:29" x14ac:dyDescent="0.25">
      <c r="A397" s="42"/>
      <c r="B397" s="34" t="s">
        <v>6</v>
      </c>
      <c r="C397" s="34"/>
      <c r="D397" s="35">
        <v>43636</v>
      </c>
      <c r="E397" s="34"/>
      <c r="F397" s="34" t="s">
        <v>606</v>
      </c>
      <c r="G397" s="34" t="s">
        <v>80</v>
      </c>
      <c r="H397">
        <f>--1891.68</f>
        <v>1891.68</v>
      </c>
      <c r="I397" s="36">
        <f>IF(Log_2019[[#This Row],[My Category]]="NONTRACKED",0,Log_2019[[#This Row],[Raw Amount]])</f>
        <v>1891.68</v>
      </c>
      <c r="J397" s="37">
        <f>ABS(Log_2019[[#This Row],[Amount]])</f>
        <v>1891.68</v>
      </c>
      <c r="K397" s="38">
        <v>14</v>
      </c>
      <c r="L397" s="38">
        <f ca="1">IF(Log_2019[[#This Row],[Date]]&lt;=TODAY(), MIN(Log_2019[[#This Row],[Split_raw]], TODAY()-Log_2019[[#This Row],[Date]]+1), 0)</f>
        <v>14</v>
      </c>
      <c r="M397" s="34" t="s">
        <v>91</v>
      </c>
      <c r="N397" s="34" t="s">
        <v>160</v>
      </c>
      <c r="O397" s="7">
        <v>0</v>
      </c>
      <c r="P397" s="52">
        <f ca="1">Log_2019[[#This Row],[Amount]]/Log_2019[[#This Row],[Split_raw]]*MAX(0,MIN(_xlfn.DAYS(EDATE(P$1,1),Log_2019[[#This Row],[Date]]),Log_2019[[#This Row],[Split_apply]])) - SUM($O397:O397)</f>
        <v>0</v>
      </c>
      <c r="Q397" s="52">
        <f ca="1">Log_2019[[#This Row],[Amount]]/Log_2019[[#This Row],[Split_raw]]*MAX(0,MIN(_xlfn.DAYS(EDATE(Q$1,1),Log_2019[[#This Row],[Date]]),Log_2019[[#This Row],[Split_apply]])) - SUM($O397:P397)</f>
        <v>0</v>
      </c>
      <c r="R397" s="52">
        <f ca="1">Log_2019[[#This Row],[Amount]]/Log_2019[[#This Row],[Split_raw]]*MAX(0,MIN(_xlfn.DAYS(EDATE(R$1,1),Log_2019[[#This Row],[Date]]),Log_2019[[#This Row],[Split_apply]])) - SUM($O397:Q397)</f>
        <v>0</v>
      </c>
      <c r="S397" s="52">
        <f ca="1">Log_2019[[#This Row],[Amount]]/Log_2019[[#This Row],[Split_raw]]*MAX(0,MIN(_xlfn.DAYS(EDATE(S$1,1),Log_2019[[#This Row],[Date]]),Log_2019[[#This Row],[Split_apply]])) - SUM($O397:R397)</f>
        <v>0</v>
      </c>
      <c r="T397" s="52">
        <f ca="1">Log_2019[[#This Row],[Amount]]/Log_2019[[#This Row],[Split_raw]]*MAX(0,MIN(_xlfn.DAYS(EDATE(T$1,1),Log_2019[[#This Row],[Date]]),Log_2019[[#This Row],[Split_apply]])) - SUM($O397:S397)</f>
        <v>0</v>
      </c>
      <c r="U397" s="52">
        <f ca="1">Log_2019[[#This Row],[Amount]]/Log_2019[[#This Row],[Split_raw]]*MAX(0,MIN(_xlfn.DAYS(EDATE(U$1,1),Log_2019[[#This Row],[Date]]),Log_2019[[#This Row],[Split_apply]])) - SUM($O397:T397)</f>
        <v>1486.3200000000002</v>
      </c>
      <c r="V397" s="52">
        <f ca="1">Log_2019[[#This Row],[Amount]]/Log_2019[[#This Row],[Split_raw]]*MAX(0,MIN(_xlfn.DAYS(EDATE(V$1,1),Log_2019[[#This Row],[Date]]),Log_2019[[#This Row],[Split_apply]])) - SUM($O397:U397)</f>
        <v>405.3599999999999</v>
      </c>
      <c r="W397" s="52">
        <f ca="1">Log_2019[[#This Row],[Amount]]/Log_2019[[#This Row],[Split_raw]]*MAX(0,MIN(_xlfn.DAYS(EDATE(W$1,1),Log_2019[[#This Row],[Date]]),Log_2019[[#This Row],[Split_apply]])) - SUM($O397:V397)</f>
        <v>0</v>
      </c>
      <c r="X397" s="52">
        <f ca="1">Log_2019[[#This Row],[Amount]]/Log_2019[[#This Row],[Split_raw]]*MAX(0,MIN(_xlfn.DAYS(EDATE(X$1,1),Log_2019[[#This Row],[Date]]),Log_2019[[#This Row],[Split_apply]])) - SUM($O397:W397)</f>
        <v>0</v>
      </c>
      <c r="Y397" s="52">
        <f ca="1">Log_2019[[#This Row],[Amount]]/Log_2019[[#This Row],[Split_raw]]*MAX(0,MIN(_xlfn.DAYS(EDATE(Y$1,1),Log_2019[[#This Row],[Date]]),Log_2019[[#This Row],[Split_apply]])) - SUM($O397:X397)</f>
        <v>0</v>
      </c>
      <c r="Z397" s="52">
        <f ca="1">Log_2019[[#This Row],[Amount]]/Log_2019[[#This Row],[Split_raw]]*MAX(0,MIN(_xlfn.DAYS(EDATE(Z$1,1),Log_2019[[#This Row],[Date]]),Log_2019[[#This Row],[Split_apply]])) - SUM($O397:Y397)</f>
        <v>0</v>
      </c>
      <c r="AA397" s="52">
        <f ca="1">Log_2019[[#This Row],[Amount]]/Log_2019[[#This Row],[Split_raw]]*MAX(0,MIN(_xlfn.DAYS(EDATE(AA$1,1),Log_2019[[#This Row],[Date]]),Log_2019[[#This Row],[Split_apply]])) - SUM($O397:Z397)</f>
        <v>0</v>
      </c>
      <c r="AB397" s="54">
        <f ca="1">Log_2019[[#This Row],[Amount]]-SUM(O397:AA397)</f>
        <v>0</v>
      </c>
      <c r="AC397" s="7">
        <f>MAX(0,Log_2019[[#This Row],[Split_raw]] - (EDATE(AA$1,1)-Log_2019[[#This Row],[Date]]))</f>
        <v>0</v>
      </c>
    </row>
    <row r="398" spans="1:29" x14ac:dyDescent="0.25">
      <c r="A398" s="42"/>
      <c r="B398" s="34" t="s">
        <v>6</v>
      </c>
      <c r="C398" s="34"/>
      <c r="D398" s="35">
        <v>43635</v>
      </c>
      <c r="E398" s="34"/>
      <c r="F398" s="34" t="s">
        <v>270</v>
      </c>
      <c r="G398" s="34" t="s">
        <v>25</v>
      </c>
      <c r="H398" s="36">
        <v>-8.1</v>
      </c>
      <c r="I398" s="36">
        <f>IF(Log_2019[[#This Row],[My Category]]="NONTRACKED",0,Log_2019[[#This Row],[Raw Amount]])</f>
        <v>-8.1</v>
      </c>
      <c r="J398" s="37">
        <f>ABS(Log_2019[[#This Row],[Amount]])</f>
        <v>8.1</v>
      </c>
      <c r="K398" s="38">
        <v>1</v>
      </c>
      <c r="L398" s="38">
        <f ca="1">IF(Log_2019[[#This Row],[Date]]&lt;=TODAY(), MIN(Log_2019[[#This Row],[Split_raw]], TODAY()-Log_2019[[#This Row],[Date]]+1), 0)</f>
        <v>1</v>
      </c>
      <c r="M398" s="34" t="s">
        <v>35</v>
      </c>
      <c r="N398" s="34" t="s">
        <v>158</v>
      </c>
      <c r="O398" s="7">
        <v>0</v>
      </c>
      <c r="P398" s="52">
        <f ca="1">Log_2019[[#This Row],[Amount]]/Log_2019[[#This Row],[Split_raw]]*MAX(0,MIN(_xlfn.DAYS(EDATE(P$1,1),Log_2019[[#This Row],[Date]]),Log_2019[[#This Row],[Split_apply]])) - SUM($O398:O398)</f>
        <v>0</v>
      </c>
      <c r="Q398" s="52">
        <f ca="1">Log_2019[[#This Row],[Amount]]/Log_2019[[#This Row],[Split_raw]]*MAX(0,MIN(_xlfn.DAYS(EDATE(Q$1,1),Log_2019[[#This Row],[Date]]),Log_2019[[#This Row],[Split_apply]])) - SUM($O398:P398)</f>
        <v>0</v>
      </c>
      <c r="R398" s="52">
        <f ca="1">Log_2019[[#This Row],[Amount]]/Log_2019[[#This Row],[Split_raw]]*MAX(0,MIN(_xlfn.DAYS(EDATE(R$1,1),Log_2019[[#This Row],[Date]]),Log_2019[[#This Row],[Split_apply]])) - SUM($O398:Q398)</f>
        <v>0</v>
      </c>
      <c r="S398" s="52">
        <f ca="1">Log_2019[[#This Row],[Amount]]/Log_2019[[#This Row],[Split_raw]]*MAX(0,MIN(_xlfn.DAYS(EDATE(S$1,1),Log_2019[[#This Row],[Date]]),Log_2019[[#This Row],[Split_apply]])) - SUM($O398:R398)</f>
        <v>0</v>
      </c>
      <c r="T398" s="52">
        <f ca="1">Log_2019[[#This Row],[Amount]]/Log_2019[[#This Row],[Split_raw]]*MAX(0,MIN(_xlfn.DAYS(EDATE(T$1,1),Log_2019[[#This Row],[Date]]),Log_2019[[#This Row],[Split_apply]])) - SUM($O398:S398)</f>
        <v>0</v>
      </c>
      <c r="U398" s="52">
        <f ca="1">Log_2019[[#This Row],[Amount]]/Log_2019[[#This Row],[Split_raw]]*MAX(0,MIN(_xlfn.DAYS(EDATE(U$1,1),Log_2019[[#This Row],[Date]]),Log_2019[[#This Row],[Split_apply]])) - SUM($O398:T398)</f>
        <v>-8.1</v>
      </c>
      <c r="V398" s="52">
        <f ca="1">Log_2019[[#This Row],[Amount]]/Log_2019[[#This Row],[Split_raw]]*MAX(0,MIN(_xlfn.DAYS(EDATE(V$1,1),Log_2019[[#This Row],[Date]]),Log_2019[[#This Row],[Split_apply]])) - SUM($O398:U398)</f>
        <v>0</v>
      </c>
      <c r="W398" s="52">
        <f ca="1">Log_2019[[#This Row],[Amount]]/Log_2019[[#This Row],[Split_raw]]*MAX(0,MIN(_xlfn.DAYS(EDATE(W$1,1),Log_2019[[#This Row],[Date]]),Log_2019[[#This Row],[Split_apply]])) - SUM($O398:V398)</f>
        <v>0</v>
      </c>
      <c r="X398" s="52">
        <f ca="1">Log_2019[[#This Row],[Amount]]/Log_2019[[#This Row],[Split_raw]]*MAX(0,MIN(_xlfn.DAYS(EDATE(X$1,1),Log_2019[[#This Row],[Date]]),Log_2019[[#This Row],[Split_apply]])) - SUM($O398:W398)</f>
        <v>0</v>
      </c>
      <c r="Y398" s="52">
        <f ca="1">Log_2019[[#This Row],[Amount]]/Log_2019[[#This Row],[Split_raw]]*MAX(0,MIN(_xlfn.DAYS(EDATE(Y$1,1),Log_2019[[#This Row],[Date]]),Log_2019[[#This Row],[Split_apply]])) - SUM($O398:X398)</f>
        <v>0</v>
      </c>
      <c r="Z398" s="52">
        <f ca="1">Log_2019[[#This Row],[Amount]]/Log_2019[[#This Row],[Split_raw]]*MAX(0,MIN(_xlfn.DAYS(EDATE(Z$1,1),Log_2019[[#This Row],[Date]]),Log_2019[[#This Row],[Split_apply]])) - SUM($O398:Y398)</f>
        <v>0</v>
      </c>
      <c r="AA398" s="52">
        <f ca="1">Log_2019[[#This Row],[Amount]]/Log_2019[[#This Row],[Split_raw]]*MAX(0,MIN(_xlfn.DAYS(EDATE(AA$1,1),Log_2019[[#This Row],[Date]]),Log_2019[[#This Row],[Split_apply]])) - SUM($O398:Z398)</f>
        <v>0</v>
      </c>
      <c r="AB398" s="54">
        <f ca="1">Log_2019[[#This Row],[Amount]]-SUM(O398:AA398)</f>
        <v>0</v>
      </c>
      <c r="AC398" s="7">
        <f>MAX(0,Log_2019[[#This Row],[Split_raw]] - (EDATE(AA$1,1)-Log_2019[[#This Row],[Date]]))</f>
        <v>0</v>
      </c>
    </row>
    <row r="399" spans="1:29" x14ac:dyDescent="0.25">
      <c r="A399" s="42"/>
      <c r="B399" s="34" t="s">
        <v>6</v>
      </c>
      <c r="C399" s="34"/>
      <c r="D399" s="35">
        <v>43634</v>
      </c>
      <c r="E399" s="34"/>
      <c r="F399" s="34" t="s">
        <v>309</v>
      </c>
      <c r="G399" s="34" t="s">
        <v>13</v>
      </c>
      <c r="H399" s="36">
        <v>-5.29</v>
      </c>
      <c r="I399" s="36">
        <f>IF(Log_2019[[#This Row],[My Category]]="NONTRACKED",0,Log_2019[[#This Row],[Raw Amount]])</f>
        <v>-5.29</v>
      </c>
      <c r="J399" s="37">
        <f>ABS(Log_2019[[#This Row],[Amount]])</f>
        <v>5.29</v>
      </c>
      <c r="K399" s="38">
        <v>1</v>
      </c>
      <c r="L399" s="38">
        <f ca="1">IF(Log_2019[[#This Row],[Date]]&lt;=TODAY(), MIN(Log_2019[[#This Row],[Split_raw]], TODAY()-Log_2019[[#This Row],[Date]]+1), 0)</f>
        <v>1</v>
      </c>
      <c r="M399" s="34" t="s">
        <v>145</v>
      </c>
      <c r="N399" s="34" t="s">
        <v>158</v>
      </c>
      <c r="O399" s="7">
        <v>0</v>
      </c>
      <c r="P399" s="52">
        <f ca="1">Log_2019[[#This Row],[Amount]]/Log_2019[[#This Row],[Split_raw]]*MAX(0,MIN(_xlfn.DAYS(EDATE(P$1,1),Log_2019[[#This Row],[Date]]),Log_2019[[#This Row],[Split_apply]])) - SUM($O399:O399)</f>
        <v>0</v>
      </c>
      <c r="Q399" s="52">
        <f ca="1">Log_2019[[#This Row],[Amount]]/Log_2019[[#This Row],[Split_raw]]*MAX(0,MIN(_xlfn.DAYS(EDATE(Q$1,1),Log_2019[[#This Row],[Date]]),Log_2019[[#This Row],[Split_apply]])) - SUM($O399:P399)</f>
        <v>0</v>
      </c>
      <c r="R399" s="52">
        <f ca="1">Log_2019[[#This Row],[Amount]]/Log_2019[[#This Row],[Split_raw]]*MAX(0,MIN(_xlfn.DAYS(EDATE(R$1,1),Log_2019[[#This Row],[Date]]),Log_2019[[#This Row],[Split_apply]])) - SUM($O399:Q399)</f>
        <v>0</v>
      </c>
      <c r="S399" s="52">
        <f ca="1">Log_2019[[#This Row],[Amount]]/Log_2019[[#This Row],[Split_raw]]*MAX(0,MIN(_xlfn.DAYS(EDATE(S$1,1),Log_2019[[#This Row],[Date]]),Log_2019[[#This Row],[Split_apply]])) - SUM($O399:R399)</f>
        <v>0</v>
      </c>
      <c r="T399" s="52">
        <f ca="1">Log_2019[[#This Row],[Amount]]/Log_2019[[#This Row],[Split_raw]]*MAX(0,MIN(_xlfn.DAYS(EDATE(T$1,1),Log_2019[[#This Row],[Date]]),Log_2019[[#This Row],[Split_apply]])) - SUM($O399:S399)</f>
        <v>0</v>
      </c>
      <c r="U399" s="52">
        <f ca="1">Log_2019[[#This Row],[Amount]]/Log_2019[[#This Row],[Split_raw]]*MAX(0,MIN(_xlfn.DAYS(EDATE(U$1,1),Log_2019[[#This Row],[Date]]),Log_2019[[#This Row],[Split_apply]])) - SUM($O399:T399)</f>
        <v>-5.29</v>
      </c>
      <c r="V399" s="52">
        <f ca="1">Log_2019[[#This Row],[Amount]]/Log_2019[[#This Row],[Split_raw]]*MAX(0,MIN(_xlfn.DAYS(EDATE(V$1,1),Log_2019[[#This Row],[Date]]),Log_2019[[#This Row],[Split_apply]])) - SUM($O399:U399)</f>
        <v>0</v>
      </c>
      <c r="W399" s="52">
        <f ca="1">Log_2019[[#This Row],[Amount]]/Log_2019[[#This Row],[Split_raw]]*MAX(0,MIN(_xlfn.DAYS(EDATE(W$1,1),Log_2019[[#This Row],[Date]]),Log_2019[[#This Row],[Split_apply]])) - SUM($O399:V399)</f>
        <v>0</v>
      </c>
      <c r="X399" s="52">
        <f ca="1">Log_2019[[#This Row],[Amount]]/Log_2019[[#This Row],[Split_raw]]*MAX(0,MIN(_xlfn.DAYS(EDATE(X$1,1),Log_2019[[#This Row],[Date]]),Log_2019[[#This Row],[Split_apply]])) - SUM($O399:W399)</f>
        <v>0</v>
      </c>
      <c r="Y399" s="52">
        <f ca="1">Log_2019[[#This Row],[Amount]]/Log_2019[[#This Row],[Split_raw]]*MAX(0,MIN(_xlfn.DAYS(EDATE(Y$1,1),Log_2019[[#This Row],[Date]]),Log_2019[[#This Row],[Split_apply]])) - SUM($O399:X399)</f>
        <v>0</v>
      </c>
      <c r="Z399" s="52">
        <f ca="1">Log_2019[[#This Row],[Amount]]/Log_2019[[#This Row],[Split_raw]]*MAX(0,MIN(_xlfn.DAYS(EDATE(Z$1,1),Log_2019[[#This Row],[Date]]),Log_2019[[#This Row],[Split_apply]])) - SUM($O399:Y399)</f>
        <v>0</v>
      </c>
      <c r="AA399" s="52">
        <f ca="1">Log_2019[[#This Row],[Amount]]/Log_2019[[#This Row],[Split_raw]]*MAX(0,MIN(_xlfn.DAYS(EDATE(AA$1,1),Log_2019[[#This Row],[Date]]),Log_2019[[#This Row],[Split_apply]])) - SUM($O399:Z399)</f>
        <v>0</v>
      </c>
      <c r="AB399" s="54">
        <f ca="1">Log_2019[[#This Row],[Amount]]-SUM(O399:AA399)</f>
        <v>0</v>
      </c>
      <c r="AC399" s="7">
        <f>MAX(0,Log_2019[[#This Row],[Split_raw]] - (EDATE(AA$1,1)-Log_2019[[#This Row],[Date]]))</f>
        <v>0</v>
      </c>
    </row>
    <row r="400" spans="1:29" x14ac:dyDescent="0.25">
      <c r="A400" s="42"/>
      <c r="B400" s="34" t="s">
        <v>6</v>
      </c>
      <c r="C400" s="34"/>
      <c r="D400" s="35">
        <v>43634</v>
      </c>
      <c r="E400" s="34"/>
      <c r="F400" s="34" t="s">
        <v>629</v>
      </c>
      <c r="G400" s="34" t="s">
        <v>300</v>
      </c>
      <c r="H400" s="36">
        <v>-36.71</v>
      </c>
      <c r="I400" s="36">
        <f>IF(Log_2019[[#This Row],[My Category]]="NONTRACKED",0,Log_2019[[#This Row],[Raw Amount]])</f>
        <v>-36.71</v>
      </c>
      <c r="J400" s="37">
        <f>ABS(Log_2019[[#This Row],[Amount]])</f>
        <v>36.71</v>
      </c>
      <c r="K400" s="38">
        <v>1</v>
      </c>
      <c r="L400" s="38">
        <f ca="1">IF(Log_2019[[#This Row],[Date]]&lt;=TODAY(), MIN(Log_2019[[#This Row],[Split_raw]], TODAY()-Log_2019[[#This Row],[Date]]+1), 0)</f>
        <v>1</v>
      </c>
      <c r="M400" s="34" t="s">
        <v>39</v>
      </c>
      <c r="N400" s="34" t="s">
        <v>158</v>
      </c>
      <c r="O400" s="7">
        <v>0</v>
      </c>
      <c r="P400" s="52">
        <f ca="1">Log_2019[[#This Row],[Amount]]/Log_2019[[#This Row],[Split_raw]]*MAX(0,MIN(_xlfn.DAYS(EDATE(P$1,1),Log_2019[[#This Row],[Date]]),Log_2019[[#This Row],[Split_apply]])) - SUM($O400:O400)</f>
        <v>0</v>
      </c>
      <c r="Q400" s="52">
        <f ca="1">Log_2019[[#This Row],[Amount]]/Log_2019[[#This Row],[Split_raw]]*MAX(0,MIN(_xlfn.DAYS(EDATE(Q$1,1),Log_2019[[#This Row],[Date]]),Log_2019[[#This Row],[Split_apply]])) - SUM($O400:P400)</f>
        <v>0</v>
      </c>
      <c r="R400" s="52">
        <f ca="1">Log_2019[[#This Row],[Amount]]/Log_2019[[#This Row],[Split_raw]]*MAX(0,MIN(_xlfn.DAYS(EDATE(R$1,1),Log_2019[[#This Row],[Date]]),Log_2019[[#This Row],[Split_apply]])) - SUM($O400:Q400)</f>
        <v>0</v>
      </c>
      <c r="S400" s="52">
        <f ca="1">Log_2019[[#This Row],[Amount]]/Log_2019[[#This Row],[Split_raw]]*MAX(0,MIN(_xlfn.DAYS(EDATE(S$1,1),Log_2019[[#This Row],[Date]]),Log_2019[[#This Row],[Split_apply]])) - SUM($O400:R400)</f>
        <v>0</v>
      </c>
      <c r="T400" s="52">
        <f ca="1">Log_2019[[#This Row],[Amount]]/Log_2019[[#This Row],[Split_raw]]*MAX(0,MIN(_xlfn.DAYS(EDATE(T$1,1),Log_2019[[#This Row],[Date]]),Log_2019[[#This Row],[Split_apply]])) - SUM($O400:S400)</f>
        <v>0</v>
      </c>
      <c r="U400" s="52">
        <f ca="1">Log_2019[[#This Row],[Amount]]/Log_2019[[#This Row],[Split_raw]]*MAX(0,MIN(_xlfn.DAYS(EDATE(U$1,1),Log_2019[[#This Row],[Date]]),Log_2019[[#This Row],[Split_apply]])) - SUM($O400:T400)</f>
        <v>-36.71</v>
      </c>
      <c r="V400" s="52">
        <f ca="1">Log_2019[[#This Row],[Amount]]/Log_2019[[#This Row],[Split_raw]]*MAX(0,MIN(_xlfn.DAYS(EDATE(V$1,1),Log_2019[[#This Row],[Date]]),Log_2019[[#This Row],[Split_apply]])) - SUM($O400:U400)</f>
        <v>0</v>
      </c>
      <c r="W400" s="52">
        <f ca="1">Log_2019[[#This Row],[Amount]]/Log_2019[[#This Row],[Split_raw]]*MAX(0,MIN(_xlfn.DAYS(EDATE(W$1,1),Log_2019[[#This Row],[Date]]),Log_2019[[#This Row],[Split_apply]])) - SUM($O400:V400)</f>
        <v>0</v>
      </c>
      <c r="X400" s="52">
        <f ca="1">Log_2019[[#This Row],[Amount]]/Log_2019[[#This Row],[Split_raw]]*MAX(0,MIN(_xlfn.DAYS(EDATE(X$1,1),Log_2019[[#This Row],[Date]]),Log_2019[[#This Row],[Split_apply]])) - SUM($O400:W400)</f>
        <v>0</v>
      </c>
      <c r="Y400" s="52">
        <f ca="1">Log_2019[[#This Row],[Amount]]/Log_2019[[#This Row],[Split_raw]]*MAX(0,MIN(_xlfn.DAYS(EDATE(Y$1,1),Log_2019[[#This Row],[Date]]),Log_2019[[#This Row],[Split_apply]])) - SUM($O400:X400)</f>
        <v>0</v>
      </c>
      <c r="Z400" s="52">
        <f ca="1">Log_2019[[#This Row],[Amount]]/Log_2019[[#This Row],[Split_raw]]*MAX(0,MIN(_xlfn.DAYS(EDATE(Z$1,1),Log_2019[[#This Row],[Date]]),Log_2019[[#This Row],[Split_apply]])) - SUM($O400:Y400)</f>
        <v>0</v>
      </c>
      <c r="AA400" s="52">
        <f ca="1">Log_2019[[#This Row],[Amount]]/Log_2019[[#This Row],[Split_raw]]*MAX(0,MIN(_xlfn.DAYS(EDATE(AA$1,1),Log_2019[[#This Row],[Date]]),Log_2019[[#This Row],[Split_apply]])) - SUM($O400:Z400)</f>
        <v>0</v>
      </c>
      <c r="AB400" s="54">
        <f ca="1">Log_2019[[#This Row],[Amount]]-SUM(O400:AA400)</f>
        <v>0</v>
      </c>
      <c r="AC400" s="7">
        <f>MAX(0,Log_2019[[#This Row],[Split_raw]] - (EDATE(AA$1,1)-Log_2019[[#This Row],[Date]]))</f>
        <v>0</v>
      </c>
    </row>
    <row r="401" spans="1:29" x14ac:dyDescent="0.25">
      <c r="A401" s="42"/>
      <c r="B401" s="34" t="s">
        <v>6</v>
      </c>
      <c r="C401" s="34"/>
      <c r="D401" s="35">
        <v>43634</v>
      </c>
      <c r="E401" s="34"/>
      <c r="F401" s="34" t="s">
        <v>255</v>
      </c>
      <c r="G401" s="34" t="s">
        <v>25</v>
      </c>
      <c r="H401" s="36">
        <v>-12.08</v>
      </c>
      <c r="I401" s="36">
        <f>IF(Log_2019[[#This Row],[My Category]]="NONTRACKED",0,Log_2019[[#This Row],[Raw Amount]])</f>
        <v>-12.08</v>
      </c>
      <c r="J401" s="37">
        <f>ABS(Log_2019[[#This Row],[Amount]])</f>
        <v>12.08</v>
      </c>
      <c r="K401" s="38">
        <v>1</v>
      </c>
      <c r="L401" s="38">
        <f ca="1">IF(Log_2019[[#This Row],[Date]]&lt;=TODAY(), MIN(Log_2019[[#This Row],[Split_raw]], TODAY()-Log_2019[[#This Row],[Date]]+1), 0)</f>
        <v>1</v>
      </c>
      <c r="M401" s="34" t="s">
        <v>35</v>
      </c>
      <c r="N401" s="34" t="s">
        <v>158</v>
      </c>
      <c r="O401" s="7">
        <v>0</v>
      </c>
      <c r="P401" s="52">
        <f ca="1">Log_2019[[#This Row],[Amount]]/Log_2019[[#This Row],[Split_raw]]*MAX(0,MIN(_xlfn.DAYS(EDATE(P$1,1),Log_2019[[#This Row],[Date]]),Log_2019[[#This Row],[Split_apply]])) - SUM($O401:O401)</f>
        <v>0</v>
      </c>
      <c r="Q401" s="52">
        <f ca="1">Log_2019[[#This Row],[Amount]]/Log_2019[[#This Row],[Split_raw]]*MAX(0,MIN(_xlfn.DAYS(EDATE(Q$1,1),Log_2019[[#This Row],[Date]]),Log_2019[[#This Row],[Split_apply]])) - SUM($O401:P401)</f>
        <v>0</v>
      </c>
      <c r="R401" s="52">
        <f ca="1">Log_2019[[#This Row],[Amount]]/Log_2019[[#This Row],[Split_raw]]*MAX(0,MIN(_xlfn.DAYS(EDATE(R$1,1),Log_2019[[#This Row],[Date]]),Log_2019[[#This Row],[Split_apply]])) - SUM($O401:Q401)</f>
        <v>0</v>
      </c>
      <c r="S401" s="52">
        <f ca="1">Log_2019[[#This Row],[Amount]]/Log_2019[[#This Row],[Split_raw]]*MAX(0,MIN(_xlfn.DAYS(EDATE(S$1,1),Log_2019[[#This Row],[Date]]),Log_2019[[#This Row],[Split_apply]])) - SUM($O401:R401)</f>
        <v>0</v>
      </c>
      <c r="T401" s="52">
        <f ca="1">Log_2019[[#This Row],[Amount]]/Log_2019[[#This Row],[Split_raw]]*MAX(0,MIN(_xlfn.DAYS(EDATE(T$1,1),Log_2019[[#This Row],[Date]]),Log_2019[[#This Row],[Split_apply]])) - SUM($O401:S401)</f>
        <v>0</v>
      </c>
      <c r="U401" s="52">
        <f ca="1">Log_2019[[#This Row],[Amount]]/Log_2019[[#This Row],[Split_raw]]*MAX(0,MIN(_xlfn.DAYS(EDATE(U$1,1),Log_2019[[#This Row],[Date]]),Log_2019[[#This Row],[Split_apply]])) - SUM($O401:T401)</f>
        <v>-12.08</v>
      </c>
      <c r="V401" s="52">
        <f ca="1">Log_2019[[#This Row],[Amount]]/Log_2019[[#This Row],[Split_raw]]*MAX(0,MIN(_xlfn.DAYS(EDATE(V$1,1),Log_2019[[#This Row],[Date]]),Log_2019[[#This Row],[Split_apply]])) - SUM($O401:U401)</f>
        <v>0</v>
      </c>
      <c r="W401" s="52">
        <f ca="1">Log_2019[[#This Row],[Amount]]/Log_2019[[#This Row],[Split_raw]]*MAX(0,MIN(_xlfn.DAYS(EDATE(W$1,1),Log_2019[[#This Row],[Date]]),Log_2019[[#This Row],[Split_apply]])) - SUM($O401:V401)</f>
        <v>0</v>
      </c>
      <c r="X401" s="52">
        <f ca="1">Log_2019[[#This Row],[Amount]]/Log_2019[[#This Row],[Split_raw]]*MAX(0,MIN(_xlfn.DAYS(EDATE(X$1,1),Log_2019[[#This Row],[Date]]),Log_2019[[#This Row],[Split_apply]])) - SUM($O401:W401)</f>
        <v>0</v>
      </c>
      <c r="Y401" s="52">
        <f ca="1">Log_2019[[#This Row],[Amount]]/Log_2019[[#This Row],[Split_raw]]*MAX(0,MIN(_xlfn.DAYS(EDATE(Y$1,1),Log_2019[[#This Row],[Date]]),Log_2019[[#This Row],[Split_apply]])) - SUM($O401:X401)</f>
        <v>0</v>
      </c>
      <c r="Z401" s="52">
        <f ca="1">Log_2019[[#This Row],[Amount]]/Log_2019[[#This Row],[Split_raw]]*MAX(0,MIN(_xlfn.DAYS(EDATE(Z$1,1),Log_2019[[#This Row],[Date]]),Log_2019[[#This Row],[Split_apply]])) - SUM($O401:Y401)</f>
        <v>0</v>
      </c>
      <c r="AA401" s="52">
        <f ca="1">Log_2019[[#This Row],[Amount]]/Log_2019[[#This Row],[Split_raw]]*MAX(0,MIN(_xlfn.DAYS(EDATE(AA$1,1),Log_2019[[#This Row],[Date]]),Log_2019[[#This Row],[Split_apply]])) - SUM($O401:Z401)</f>
        <v>0</v>
      </c>
      <c r="AB401" s="54">
        <f ca="1">Log_2019[[#This Row],[Amount]]-SUM(O401:AA401)</f>
        <v>0</v>
      </c>
      <c r="AC401" s="7">
        <f>MAX(0,Log_2019[[#This Row],[Split_raw]] - (EDATE(AA$1,1)-Log_2019[[#This Row],[Date]]))</f>
        <v>0</v>
      </c>
    </row>
    <row r="402" spans="1:29" x14ac:dyDescent="0.25">
      <c r="A402" s="42"/>
      <c r="B402" s="34" t="s">
        <v>6</v>
      </c>
      <c r="C402" s="34"/>
      <c r="D402" s="35">
        <v>43634</v>
      </c>
      <c r="E402" s="34"/>
      <c r="F402" s="34" t="s">
        <v>630</v>
      </c>
      <c r="G402" s="34" t="s">
        <v>12</v>
      </c>
      <c r="H402" s="36">
        <v>-35.25</v>
      </c>
      <c r="I402" s="36">
        <f>IF(Log_2019[[#This Row],[My Category]]="NONTRACKED",0,Log_2019[[#This Row],[Raw Amount]])</f>
        <v>-35.25</v>
      </c>
      <c r="J402" s="37">
        <f>ABS(Log_2019[[#This Row],[Amount]])</f>
        <v>35.25</v>
      </c>
      <c r="K402" s="38">
        <v>1</v>
      </c>
      <c r="L402" s="38">
        <f ca="1">IF(Log_2019[[#This Row],[Date]]&lt;=TODAY(), MIN(Log_2019[[#This Row],[Split_raw]], TODAY()-Log_2019[[#This Row],[Date]]+1), 0)</f>
        <v>1</v>
      </c>
      <c r="M402" s="34" t="s">
        <v>12</v>
      </c>
      <c r="N402" s="34" t="s">
        <v>158</v>
      </c>
      <c r="O402" s="7">
        <v>0</v>
      </c>
      <c r="P402" s="52">
        <f ca="1">Log_2019[[#This Row],[Amount]]/Log_2019[[#This Row],[Split_raw]]*MAX(0,MIN(_xlfn.DAYS(EDATE(P$1,1),Log_2019[[#This Row],[Date]]),Log_2019[[#This Row],[Split_apply]])) - SUM($O402:O402)</f>
        <v>0</v>
      </c>
      <c r="Q402" s="52">
        <f ca="1">Log_2019[[#This Row],[Amount]]/Log_2019[[#This Row],[Split_raw]]*MAX(0,MIN(_xlfn.DAYS(EDATE(Q$1,1),Log_2019[[#This Row],[Date]]),Log_2019[[#This Row],[Split_apply]])) - SUM($O402:P402)</f>
        <v>0</v>
      </c>
      <c r="R402" s="52">
        <f ca="1">Log_2019[[#This Row],[Amount]]/Log_2019[[#This Row],[Split_raw]]*MAX(0,MIN(_xlfn.DAYS(EDATE(R$1,1),Log_2019[[#This Row],[Date]]),Log_2019[[#This Row],[Split_apply]])) - SUM($O402:Q402)</f>
        <v>0</v>
      </c>
      <c r="S402" s="52">
        <f ca="1">Log_2019[[#This Row],[Amount]]/Log_2019[[#This Row],[Split_raw]]*MAX(0,MIN(_xlfn.DAYS(EDATE(S$1,1),Log_2019[[#This Row],[Date]]),Log_2019[[#This Row],[Split_apply]])) - SUM($O402:R402)</f>
        <v>0</v>
      </c>
      <c r="T402" s="52">
        <f ca="1">Log_2019[[#This Row],[Amount]]/Log_2019[[#This Row],[Split_raw]]*MAX(0,MIN(_xlfn.DAYS(EDATE(T$1,1),Log_2019[[#This Row],[Date]]),Log_2019[[#This Row],[Split_apply]])) - SUM($O402:S402)</f>
        <v>0</v>
      </c>
      <c r="U402" s="52">
        <f ca="1">Log_2019[[#This Row],[Amount]]/Log_2019[[#This Row],[Split_raw]]*MAX(0,MIN(_xlfn.DAYS(EDATE(U$1,1),Log_2019[[#This Row],[Date]]),Log_2019[[#This Row],[Split_apply]])) - SUM($O402:T402)</f>
        <v>-35.25</v>
      </c>
      <c r="V402" s="52">
        <f ca="1">Log_2019[[#This Row],[Amount]]/Log_2019[[#This Row],[Split_raw]]*MAX(0,MIN(_xlfn.DAYS(EDATE(V$1,1),Log_2019[[#This Row],[Date]]),Log_2019[[#This Row],[Split_apply]])) - SUM($O402:U402)</f>
        <v>0</v>
      </c>
      <c r="W402" s="52">
        <f ca="1">Log_2019[[#This Row],[Amount]]/Log_2019[[#This Row],[Split_raw]]*MAX(0,MIN(_xlfn.DAYS(EDATE(W$1,1),Log_2019[[#This Row],[Date]]),Log_2019[[#This Row],[Split_apply]])) - SUM($O402:V402)</f>
        <v>0</v>
      </c>
      <c r="X402" s="52">
        <f ca="1">Log_2019[[#This Row],[Amount]]/Log_2019[[#This Row],[Split_raw]]*MAX(0,MIN(_xlfn.DAYS(EDATE(X$1,1),Log_2019[[#This Row],[Date]]),Log_2019[[#This Row],[Split_apply]])) - SUM($O402:W402)</f>
        <v>0</v>
      </c>
      <c r="Y402" s="52">
        <f ca="1">Log_2019[[#This Row],[Amount]]/Log_2019[[#This Row],[Split_raw]]*MAX(0,MIN(_xlfn.DAYS(EDATE(Y$1,1),Log_2019[[#This Row],[Date]]),Log_2019[[#This Row],[Split_apply]])) - SUM($O402:X402)</f>
        <v>0</v>
      </c>
      <c r="Z402" s="52">
        <f ca="1">Log_2019[[#This Row],[Amount]]/Log_2019[[#This Row],[Split_raw]]*MAX(0,MIN(_xlfn.DAYS(EDATE(Z$1,1),Log_2019[[#This Row],[Date]]),Log_2019[[#This Row],[Split_apply]])) - SUM($O402:Y402)</f>
        <v>0</v>
      </c>
      <c r="AA402" s="52">
        <f ca="1">Log_2019[[#This Row],[Amount]]/Log_2019[[#This Row],[Split_raw]]*MAX(0,MIN(_xlfn.DAYS(EDATE(AA$1,1),Log_2019[[#This Row],[Date]]),Log_2019[[#This Row],[Split_apply]])) - SUM($O402:Z402)</f>
        <v>0</v>
      </c>
      <c r="AB402" s="54">
        <f ca="1">Log_2019[[#This Row],[Amount]]-SUM(O402:AA402)</f>
        <v>0</v>
      </c>
      <c r="AC402" s="7">
        <f>MAX(0,Log_2019[[#This Row],[Split_raw]] - (EDATE(AA$1,1)-Log_2019[[#This Row],[Date]]))</f>
        <v>0</v>
      </c>
    </row>
    <row r="403" spans="1:29" x14ac:dyDescent="0.25">
      <c r="A403" s="42"/>
      <c r="B403" s="34" t="s">
        <v>6</v>
      </c>
      <c r="C403" s="34"/>
      <c r="D403" s="35">
        <v>43634</v>
      </c>
      <c r="E403" s="34"/>
      <c r="F403" s="34" t="s">
        <v>631</v>
      </c>
      <c r="G403" s="34" t="s">
        <v>29</v>
      </c>
      <c r="H403" s="36">
        <v>-33.93</v>
      </c>
      <c r="I403" s="36">
        <f>IF(Log_2019[[#This Row],[My Category]]="NONTRACKED",0,Log_2019[[#This Row],[Raw Amount]])</f>
        <v>-33.93</v>
      </c>
      <c r="J403" s="37">
        <f>ABS(Log_2019[[#This Row],[Amount]])</f>
        <v>33.93</v>
      </c>
      <c r="K403" s="38">
        <v>30</v>
      </c>
      <c r="L403" s="38">
        <f ca="1">IF(Log_2019[[#This Row],[Date]]&lt;=TODAY(), MIN(Log_2019[[#This Row],[Split_raw]], TODAY()-Log_2019[[#This Row],[Date]]+1), 0)</f>
        <v>30</v>
      </c>
      <c r="M403" s="34" t="s">
        <v>29</v>
      </c>
      <c r="N403" s="34" t="s">
        <v>160</v>
      </c>
      <c r="O403" s="7">
        <v>0</v>
      </c>
      <c r="P403" s="52">
        <f ca="1">Log_2019[[#This Row],[Amount]]/Log_2019[[#This Row],[Split_raw]]*MAX(0,MIN(_xlfn.DAYS(EDATE(P$1,1),Log_2019[[#This Row],[Date]]),Log_2019[[#This Row],[Split_apply]])) - SUM($O403:O403)</f>
        <v>0</v>
      </c>
      <c r="Q403" s="52">
        <f ca="1">Log_2019[[#This Row],[Amount]]/Log_2019[[#This Row],[Split_raw]]*MAX(0,MIN(_xlfn.DAYS(EDATE(Q$1,1),Log_2019[[#This Row],[Date]]),Log_2019[[#This Row],[Split_apply]])) - SUM($O403:P403)</f>
        <v>0</v>
      </c>
      <c r="R403" s="52">
        <f ca="1">Log_2019[[#This Row],[Amount]]/Log_2019[[#This Row],[Split_raw]]*MAX(0,MIN(_xlfn.DAYS(EDATE(R$1,1),Log_2019[[#This Row],[Date]]),Log_2019[[#This Row],[Split_apply]])) - SUM($O403:Q403)</f>
        <v>0</v>
      </c>
      <c r="S403" s="52">
        <f ca="1">Log_2019[[#This Row],[Amount]]/Log_2019[[#This Row],[Split_raw]]*MAX(0,MIN(_xlfn.DAYS(EDATE(S$1,1),Log_2019[[#This Row],[Date]]),Log_2019[[#This Row],[Split_apply]])) - SUM($O403:R403)</f>
        <v>0</v>
      </c>
      <c r="T403" s="52">
        <f ca="1">Log_2019[[#This Row],[Amount]]/Log_2019[[#This Row],[Split_raw]]*MAX(0,MIN(_xlfn.DAYS(EDATE(T$1,1),Log_2019[[#This Row],[Date]]),Log_2019[[#This Row],[Split_apply]])) - SUM($O403:S403)</f>
        <v>0</v>
      </c>
      <c r="U403" s="52">
        <f ca="1">Log_2019[[#This Row],[Amount]]/Log_2019[[#This Row],[Split_raw]]*MAX(0,MIN(_xlfn.DAYS(EDATE(U$1,1),Log_2019[[#This Row],[Date]]),Log_2019[[#This Row],[Split_apply]])) - SUM($O403:T403)</f>
        <v>-14.702999999999999</v>
      </c>
      <c r="V403" s="52">
        <f ca="1">Log_2019[[#This Row],[Amount]]/Log_2019[[#This Row],[Split_raw]]*MAX(0,MIN(_xlfn.DAYS(EDATE(V$1,1),Log_2019[[#This Row],[Date]]),Log_2019[[#This Row],[Split_apply]])) - SUM($O403:U403)</f>
        <v>-19.227</v>
      </c>
      <c r="W403" s="52">
        <f ca="1">Log_2019[[#This Row],[Amount]]/Log_2019[[#This Row],[Split_raw]]*MAX(0,MIN(_xlfn.DAYS(EDATE(W$1,1),Log_2019[[#This Row],[Date]]),Log_2019[[#This Row],[Split_apply]])) - SUM($O403:V403)</f>
        <v>0</v>
      </c>
      <c r="X403" s="52">
        <f ca="1">Log_2019[[#This Row],[Amount]]/Log_2019[[#This Row],[Split_raw]]*MAX(0,MIN(_xlfn.DAYS(EDATE(X$1,1),Log_2019[[#This Row],[Date]]),Log_2019[[#This Row],[Split_apply]])) - SUM($O403:W403)</f>
        <v>0</v>
      </c>
      <c r="Y403" s="52">
        <f ca="1">Log_2019[[#This Row],[Amount]]/Log_2019[[#This Row],[Split_raw]]*MAX(0,MIN(_xlfn.DAYS(EDATE(Y$1,1),Log_2019[[#This Row],[Date]]),Log_2019[[#This Row],[Split_apply]])) - SUM($O403:X403)</f>
        <v>0</v>
      </c>
      <c r="Z403" s="52">
        <f ca="1">Log_2019[[#This Row],[Amount]]/Log_2019[[#This Row],[Split_raw]]*MAX(0,MIN(_xlfn.DAYS(EDATE(Z$1,1),Log_2019[[#This Row],[Date]]),Log_2019[[#This Row],[Split_apply]])) - SUM($O403:Y403)</f>
        <v>0</v>
      </c>
      <c r="AA403" s="52">
        <f ca="1">Log_2019[[#This Row],[Amount]]/Log_2019[[#This Row],[Split_raw]]*MAX(0,MIN(_xlfn.DAYS(EDATE(AA$1,1),Log_2019[[#This Row],[Date]]),Log_2019[[#This Row],[Split_apply]])) - SUM($O403:Z403)</f>
        <v>0</v>
      </c>
      <c r="AB403" s="54">
        <f ca="1">Log_2019[[#This Row],[Amount]]-SUM(O403:AA403)</f>
        <v>0</v>
      </c>
      <c r="AC403" s="7">
        <f>MAX(0,Log_2019[[#This Row],[Split_raw]] - (EDATE(AA$1,1)-Log_2019[[#This Row],[Date]]))</f>
        <v>0</v>
      </c>
    </row>
    <row r="404" spans="1:29" x14ac:dyDescent="0.25">
      <c r="A404" s="42"/>
      <c r="B404" s="34" t="s">
        <v>6</v>
      </c>
      <c r="C404" s="34"/>
      <c r="D404" s="35">
        <v>43633</v>
      </c>
      <c r="E404" s="34"/>
      <c r="F404" s="34" t="s">
        <v>105</v>
      </c>
      <c r="G404" s="34" t="s">
        <v>104</v>
      </c>
      <c r="H404" s="36">
        <f>--541.63</f>
        <v>541.63</v>
      </c>
      <c r="I404" s="36">
        <f>IF(Log_2019[[#This Row],[My Category]]="NONTRACKED",0,Log_2019[[#This Row],[Raw Amount]])</f>
        <v>541.63</v>
      </c>
      <c r="J404" s="37">
        <f>ABS(Log_2019[[#This Row],[Amount]])</f>
        <v>541.63</v>
      </c>
      <c r="K404" s="38">
        <v>1</v>
      </c>
      <c r="L404" s="38">
        <f ca="1">IF(Log_2019[[#This Row],[Date]]&lt;=TODAY(), MIN(Log_2019[[#This Row],[Split_raw]], TODAY()-Log_2019[[#This Row],[Date]]+1), 0)</f>
        <v>1</v>
      </c>
      <c r="M404" s="34" t="s">
        <v>159</v>
      </c>
      <c r="N404" s="34" t="s">
        <v>158</v>
      </c>
      <c r="O404" s="7">
        <v>0</v>
      </c>
      <c r="P404" s="52">
        <f ca="1">Log_2019[[#This Row],[Amount]]/Log_2019[[#This Row],[Split_raw]]*MAX(0,MIN(_xlfn.DAYS(EDATE(P$1,1),Log_2019[[#This Row],[Date]]),Log_2019[[#This Row],[Split_apply]])) - SUM($O404:O404)</f>
        <v>0</v>
      </c>
      <c r="Q404" s="52">
        <f ca="1">Log_2019[[#This Row],[Amount]]/Log_2019[[#This Row],[Split_raw]]*MAX(0,MIN(_xlfn.DAYS(EDATE(Q$1,1),Log_2019[[#This Row],[Date]]),Log_2019[[#This Row],[Split_apply]])) - SUM($O404:P404)</f>
        <v>0</v>
      </c>
      <c r="R404" s="52">
        <f ca="1">Log_2019[[#This Row],[Amount]]/Log_2019[[#This Row],[Split_raw]]*MAX(0,MIN(_xlfn.DAYS(EDATE(R$1,1),Log_2019[[#This Row],[Date]]),Log_2019[[#This Row],[Split_apply]])) - SUM($O404:Q404)</f>
        <v>0</v>
      </c>
      <c r="S404" s="52">
        <f ca="1">Log_2019[[#This Row],[Amount]]/Log_2019[[#This Row],[Split_raw]]*MAX(0,MIN(_xlfn.DAYS(EDATE(S$1,1),Log_2019[[#This Row],[Date]]),Log_2019[[#This Row],[Split_apply]])) - SUM($O404:R404)</f>
        <v>0</v>
      </c>
      <c r="T404" s="52">
        <f ca="1">Log_2019[[#This Row],[Amount]]/Log_2019[[#This Row],[Split_raw]]*MAX(0,MIN(_xlfn.DAYS(EDATE(T$1,1),Log_2019[[#This Row],[Date]]),Log_2019[[#This Row],[Split_apply]])) - SUM($O404:S404)</f>
        <v>0</v>
      </c>
      <c r="U404" s="52">
        <f ca="1">Log_2019[[#This Row],[Amount]]/Log_2019[[#This Row],[Split_raw]]*MAX(0,MIN(_xlfn.DAYS(EDATE(U$1,1),Log_2019[[#This Row],[Date]]),Log_2019[[#This Row],[Split_apply]])) - SUM($O404:T404)</f>
        <v>541.63</v>
      </c>
      <c r="V404" s="52">
        <f ca="1">Log_2019[[#This Row],[Amount]]/Log_2019[[#This Row],[Split_raw]]*MAX(0,MIN(_xlfn.DAYS(EDATE(V$1,1),Log_2019[[#This Row],[Date]]),Log_2019[[#This Row],[Split_apply]])) - SUM($O404:U404)</f>
        <v>0</v>
      </c>
      <c r="W404" s="52">
        <f ca="1">Log_2019[[#This Row],[Amount]]/Log_2019[[#This Row],[Split_raw]]*MAX(0,MIN(_xlfn.DAYS(EDATE(W$1,1),Log_2019[[#This Row],[Date]]),Log_2019[[#This Row],[Split_apply]])) - SUM($O404:V404)</f>
        <v>0</v>
      </c>
      <c r="X404" s="52">
        <f ca="1">Log_2019[[#This Row],[Amount]]/Log_2019[[#This Row],[Split_raw]]*MAX(0,MIN(_xlfn.DAYS(EDATE(X$1,1),Log_2019[[#This Row],[Date]]),Log_2019[[#This Row],[Split_apply]])) - SUM($O404:W404)</f>
        <v>0</v>
      </c>
      <c r="Y404" s="52">
        <f ca="1">Log_2019[[#This Row],[Amount]]/Log_2019[[#This Row],[Split_raw]]*MAX(0,MIN(_xlfn.DAYS(EDATE(Y$1,1),Log_2019[[#This Row],[Date]]),Log_2019[[#This Row],[Split_apply]])) - SUM($O404:X404)</f>
        <v>0</v>
      </c>
      <c r="Z404" s="52">
        <f ca="1">Log_2019[[#This Row],[Amount]]/Log_2019[[#This Row],[Split_raw]]*MAX(0,MIN(_xlfn.DAYS(EDATE(Z$1,1),Log_2019[[#This Row],[Date]]),Log_2019[[#This Row],[Split_apply]])) - SUM($O404:Y404)</f>
        <v>0</v>
      </c>
      <c r="AA404" s="52">
        <f ca="1">Log_2019[[#This Row],[Amount]]/Log_2019[[#This Row],[Split_raw]]*MAX(0,MIN(_xlfn.DAYS(EDATE(AA$1,1),Log_2019[[#This Row],[Date]]),Log_2019[[#This Row],[Split_apply]])) - SUM($O404:Z404)</f>
        <v>0</v>
      </c>
      <c r="AB404" s="54">
        <f ca="1">Log_2019[[#This Row],[Amount]]-SUM(O404:AA404)</f>
        <v>0</v>
      </c>
      <c r="AC404" s="7">
        <f>MAX(0,Log_2019[[#This Row],[Split_raw]] - (EDATE(AA$1,1)-Log_2019[[#This Row],[Date]]))</f>
        <v>0</v>
      </c>
    </row>
    <row r="405" spans="1:29" x14ac:dyDescent="0.25">
      <c r="A405" s="42"/>
      <c r="B405" s="34" t="s">
        <v>6</v>
      </c>
      <c r="C405" s="34"/>
      <c r="D405" s="35">
        <v>43633</v>
      </c>
      <c r="E405" s="34"/>
      <c r="F405" s="34" t="s">
        <v>138</v>
      </c>
      <c r="G405" s="34" t="s">
        <v>104</v>
      </c>
      <c r="H405" s="36">
        <v>-541.63</v>
      </c>
      <c r="I405" s="36">
        <f>IF(Log_2019[[#This Row],[My Category]]="NONTRACKED",0,Log_2019[[#This Row],[Raw Amount]])</f>
        <v>-541.63</v>
      </c>
      <c r="J405" s="37">
        <f>ABS(Log_2019[[#This Row],[Amount]])</f>
        <v>541.63</v>
      </c>
      <c r="K405" s="38">
        <v>1</v>
      </c>
      <c r="L405" s="38">
        <f ca="1">IF(Log_2019[[#This Row],[Date]]&lt;=TODAY(), MIN(Log_2019[[#This Row],[Split_raw]], TODAY()-Log_2019[[#This Row],[Date]]+1), 0)</f>
        <v>1</v>
      </c>
      <c r="M405" s="34" t="s">
        <v>159</v>
      </c>
      <c r="N405" s="34" t="s">
        <v>160</v>
      </c>
      <c r="O405" s="7">
        <v>0</v>
      </c>
      <c r="P405" s="52">
        <f ca="1">Log_2019[[#This Row],[Amount]]/Log_2019[[#This Row],[Split_raw]]*MAX(0,MIN(_xlfn.DAYS(EDATE(P$1,1),Log_2019[[#This Row],[Date]]),Log_2019[[#This Row],[Split_apply]])) - SUM($O405:O405)</f>
        <v>0</v>
      </c>
      <c r="Q405" s="52">
        <f ca="1">Log_2019[[#This Row],[Amount]]/Log_2019[[#This Row],[Split_raw]]*MAX(0,MIN(_xlfn.DAYS(EDATE(Q$1,1),Log_2019[[#This Row],[Date]]),Log_2019[[#This Row],[Split_apply]])) - SUM($O405:P405)</f>
        <v>0</v>
      </c>
      <c r="R405" s="52">
        <f ca="1">Log_2019[[#This Row],[Amount]]/Log_2019[[#This Row],[Split_raw]]*MAX(0,MIN(_xlfn.DAYS(EDATE(R$1,1),Log_2019[[#This Row],[Date]]),Log_2019[[#This Row],[Split_apply]])) - SUM($O405:Q405)</f>
        <v>0</v>
      </c>
      <c r="S405" s="52">
        <f ca="1">Log_2019[[#This Row],[Amount]]/Log_2019[[#This Row],[Split_raw]]*MAX(0,MIN(_xlfn.DAYS(EDATE(S$1,1),Log_2019[[#This Row],[Date]]),Log_2019[[#This Row],[Split_apply]])) - SUM($O405:R405)</f>
        <v>0</v>
      </c>
      <c r="T405" s="52">
        <f ca="1">Log_2019[[#This Row],[Amount]]/Log_2019[[#This Row],[Split_raw]]*MAX(0,MIN(_xlfn.DAYS(EDATE(T$1,1),Log_2019[[#This Row],[Date]]),Log_2019[[#This Row],[Split_apply]])) - SUM($O405:S405)</f>
        <v>0</v>
      </c>
      <c r="U405" s="52">
        <f ca="1">Log_2019[[#This Row],[Amount]]/Log_2019[[#This Row],[Split_raw]]*MAX(0,MIN(_xlfn.DAYS(EDATE(U$1,1),Log_2019[[#This Row],[Date]]),Log_2019[[#This Row],[Split_apply]])) - SUM($O405:T405)</f>
        <v>-541.63</v>
      </c>
      <c r="V405" s="52">
        <f ca="1">Log_2019[[#This Row],[Amount]]/Log_2019[[#This Row],[Split_raw]]*MAX(0,MIN(_xlfn.DAYS(EDATE(V$1,1),Log_2019[[#This Row],[Date]]),Log_2019[[#This Row],[Split_apply]])) - SUM($O405:U405)</f>
        <v>0</v>
      </c>
      <c r="W405" s="52">
        <f ca="1">Log_2019[[#This Row],[Amount]]/Log_2019[[#This Row],[Split_raw]]*MAX(0,MIN(_xlfn.DAYS(EDATE(W$1,1),Log_2019[[#This Row],[Date]]),Log_2019[[#This Row],[Split_apply]])) - SUM($O405:V405)</f>
        <v>0</v>
      </c>
      <c r="X405" s="52">
        <f ca="1">Log_2019[[#This Row],[Amount]]/Log_2019[[#This Row],[Split_raw]]*MAX(0,MIN(_xlfn.DAYS(EDATE(X$1,1),Log_2019[[#This Row],[Date]]),Log_2019[[#This Row],[Split_apply]])) - SUM($O405:W405)</f>
        <v>0</v>
      </c>
      <c r="Y405" s="52">
        <f ca="1">Log_2019[[#This Row],[Amount]]/Log_2019[[#This Row],[Split_raw]]*MAX(0,MIN(_xlfn.DAYS(EDATE(Y$1,1),Log_2019[[#This Row],[Date]]),Log_2019[[#This Row],[Split_apply]])) - SUM($O405:X405)</f>
        <v>0</v>
      </c>
      <c r="Z405" s="52">
        <f ca="1">Log_2019[[#This Row],[Amount]]/Log_2019[[#This Row],[Split_raw]]*MAX(0,MIN(_xlfn.DAYS(EDATE(Z$1,1),Log_2019[[#This Row],[Date]]),Log_2019[[#This Row],[Split_apply]])) - SUM($O405:Y405)</f>
        <v>0</v>
      </c>
      <c r="AA405" s="52">
        <f ca="1">Log_2019[[#This Row],[Amount]]/Log_2019[[#This Row],[Split_raw]]*MAX(0,MIN(_xlfn.DAYS(EDATE(AA$1,1),Log_2019[[#This Row],[Date]]),Log_2019[[#This Row],[Split_apply]])) - SUM($O405:Z405)</f>
        <v>0</v>
      </c>
      <c r="AB405" s="54">
        <f ca="1">Log_2019[[#This Row],[Amount]]-SUM(O405:AA405)</f>
        <v>0</v>
      </c>
      <c r="AC405" s="7">
        <f>MAX(0,Log_2019[[#This Row],[Split_raw]] - (EDATE(AA$1,1)-Log_2019[[#This Row],[Date]]))</f>
        <v>0</v>
      </c>
    </row>
    <row r="406" spans="1:29" x14ac:dyDescent="0.25">
      <c r="A406" s="42"/>
      <c r="B406" s="34" t="s">
        <v>6</v>
      </c>
      <c r="C406" s="34"/>
      <c r="D406" s="35">
        <v>43631</v>
      </c>
      <c r="E406" s="34"/>
      <c r="F406" s="34" t="s">
        <v>614</v>
      </c>
      <c r="G406" s="34" t="s">
        <v>27</v>
      </c>
      <c r="H406" s="36">
        <v>-6.54</v>
      </c>
      <c r="I406" s="36">
        <f>IF(Log_2019[[#This Row],[My Category]]="NONTRACKED",0,Log_2019[[#This Row],[Raw Amount]])</f>
        <v>-6.54</v>
      </c>
      <c r="J406" s="37">
        <f>ABS(Log_2019[[#This Row],[Amount]])</f>
        <v>6.54</v>
      </c>
      <c r="K406" s="38">
        <v>1</v>
      </c>
      <c r="L406" s="38">
        <f ca="1">IF(Log_2019[[#This Row],[Date]]&lt;=TODAY(), MIN(Log_2019[[#This Row],[Split_raw]], TODAY()-Log_2019[[#This Row],[Date]]+1), 0)</f>
        <v>1</v>
      </c>
      <c r="M406" s="34" t="s">
        <v>37</v>
      </c>
      <c r="N406" s="34" t="s">
        <v>158</v>
      </c>
      <c r="O406" s="7">
        <v>0</v>
      </c>
      <c r="P406" s="52">
        <f ca="1">Log_2019[[#This Row],[Amount]]/Log_2019[[#This Row],[Split_raw]]*MAX(0,MIN(_xlfn.DAYS(EDATE(P$1,1),Log_2019[[#This Row],[Date]]),Log_2019[[#This Row],[Split_apply]])) - SUM($O406:O406)</f>
        <v>0</v>
      </c>
      <c r="Q406" s="52">
        <f ca="1">Log_2019[[#This Row],[Amount]]/Log_2019[[#This Row],[Split_raw]]*MAX(0,MIN(_xlfn.DAYS(EDATE(Q$1,1),Log_2019[[#This Row],[Date]]),Log_2019[[#This Row],[Split_apply]])) - SUM($O406:P406)</f>
        <v>0</v>
      </c>
      <c r="R406" s="52">
        <f ca="1">Log_2019[[#This Row],[Amount]]/Log_2019[[#This Row],[Split_raw]]*MAX(0,MIN(_xlfn.DAYS(EDATE(R$1,1),Log_2019[[#This Row],[Date]]),Log_2019[[#This Row],[Split_apply]])) - SUM($O406:Q406)</f>
        <v>0</v>
      </c>
      <c r="S406" s="52">
        <f ca="1">Log_2019[[#This Row],[Amount]]/Log_2019[[#This Row],[Split_raw]]*MAX(0,MIN(_xlfn.DAYS(EDATE(S$1,1),Log_2019[[#This Row],[Date]]),Log_2019[[#This Row],[Split_apply]])) - SUM($O406:R406)</f>
        <v>0</v>
      </c>
      <c r="T406" s="52">
        <f ca="1">Log_2019[[#This Row],[Amount]]/Log_2019[[#This Row],[Split_raw]]*MAX(0,MIN(_xlfn.DAYS(EDATE(T$1,1),Log_2019[[#This Row],[Date]]),Log_2019[[#This Row],[Split_apply]])) - SUM($O406:S406)</f>
        <v>0</v>
      </c>
      <c r="U406" s="52">
        <f ca="1">Log_2019[[#This Row],[Amount]]/Log_2019[[#This Row],[Split_raw]]*MAX(0,MIN(_xlfn.DAYS(EDATE(U$1,1),Log_2019[[#This Row],[Date]]),Log_2019[[#This Row],[Split_apply]])) - SUM($O406:T406)</f>
        <v>-6.54</v>
      </c>
      <c r="V406" s="52">
        <f ca="1">Log_2019[[#This Row],[Amount]]/Log_2019[[#This Row],[Split_raw]]*MAX(0,MIN(_xlfn.DAYS(EDATE(V$1,1),Log_2019[[#This Row],[Date]]),Log_2019[[#This Row],[Split_apply]])) - SUM($O406:U406)</f>
        <v>0</v>
      </c>
      <c r="W406" s="52">
        <f ca="1">Log_2019[[#This Row],[Amount]]/Log_2019[[#This Row],[Split_raw]]*MAX(0,MIN(_xlfn.DAYS(EDATE(W$1,1),Log_2019[[#This Row],[Date]]),Log_2019[[#This Row],[Split_apply]])) - SUM($O406:V406)</f>
        <v>0</v>
      </c>
      <c r="X406" s="52">
        <f ca="1">Log_2019[[#This Row],[Amount]]/Log_2019[[#This Row],[Split_raw]]*MAX(0,MIN(_xlfn.DAYS(EDATE(X$1,1),Log_2019[[#This Row],[Date]]),Log_2019[[#This Row],[Split_apply]])) - SUM($O406:W406)</f>
        <v>0</v>
      </c>
      <c r="Y406" s="52">
        <f ca="1">Log_2019[[#This Row],[Amount]]/Log_2019[[#This Row],[Split_raw]]*MAX(0,MIN(_xlfn.DAYS(EDATE(Y$1,1),Log_2019[[#This Row],[Date]]),Log_2019[[#This Row],[Split_apply]])) - SUM($O406:X406)</f>
        <v>0</v>
      </c>
      <c r="Z406" s="52">
        <f ca="1">Log_2019[[#This Row],[Amount]]/Log_2019[[#This Row],[Split_raw]]*MAX(0,MIN(_xlfn.DAYS(EDATE(Z$1,1),Log_2019[[#This Row],[Date]]),Log_2019[[#This Row],[Split_apply]])) - SUM($O406:Y406)</f>
        <v>0</v>
      </c>
      <c r="AA406" s="52">
        <f ca="1">Log_2019[[#This Row],[Amount]]/Log_2019[[#This Row],[Split_raw]]*MAX(0,MIN(_xlfn.DAYS(EDATE(AA$1,1),Log_2019[[#This Row],[Date]]),Log_2019[[#This Row],[Split_apply]])) - SUM($O406:Z406)</f>
        <v>0</v>
      </c>
      <c r="AB406" s="54">
        <f ca="1">Log_2019[[#This Row],[Amount]]-SUM(O406:AA406)</f>
        <v>0</v>
      </c>
      <c r="AC406" s="7">
        <f>MAX(0,Log_2019[[#This Row],[Split_raw]] - (EDATE(AA$1,1)-Log_2019[[#This Row],[Date]]))</f>
        <v>0</v>
      </c>
    </row>
    <row r="407" spans="1:29" x14ac:dyDescent="0.25">
      <c r="A407" s="42"/>
      <c r="B407" s="34" t="s">
        <v>6</v>
      </c>
      <c r="C407" s="34"/>
      <c r="D407" s="35">
        <v>43630</v>
      </c>
      <c r="E407" s="34"/>
      <c r="F407" s="34" t="s">
        <v>255</v>
      </c>
      <c r="G407" s="34" t="s">
        <v>25</v>
      </c>
      <c r="H407" s="36">
        <v>-10.69</v>
      </c>
      <c r="I407" s="36">
        <f>IF(Log_2019[[#This Row],[My Category]]="NONTRACKED",0,Log_2019[[#This Row],[Raw Amount]])</f>
        <v>-10.69</v>
      </c>
      <c r="J407" s="37">
        <f>ABS(Log_2019[[#This Row],[Amount]])</f>
        <v>10.69</v>
      </c>
      <c r="K407" s="38">
        <v>1</v>
      </c>
      <c r="L407" s="38">
        <f ca="1">IF(Log_2019[[#This Row],[Date]]&lt;=TODAY(), MIN(Log_2019[[#This Row],[Split_raw]], TODAY()-Log_2019[[#This Row],[Date]]+1), 0)</f>
        <v>1</v>
      </c>
      <c r="M407" s="34" t="s">
        <v>35</v>
      </c>
      <c r="N407" s="34" t="s">
        <v>158</v>
      </c>
      <c r="O407" s="7">
        <v>0</v>
      </c>
      <c r="P407" s="52">
        <f ca="1">Log_2019[[#This Row],[Amount]]/Log_2019[[#This Row],[Split_raw]]*MAX(0,MIN(_xlfn.DAYS(EDATE(P$1,1),Log_2019[[#This Row],[Date]]),Log_2019[[#This Row],[Split_apply]])) - SUM($O407:O407)</f>
        <v>0</v>
      </c>
      <c r="Q407" s="52">
        <f ca="1">Log_2019[[#This Row],[Amount]]/Log_2019[[#This Row],[Split_raw]]*MAX(0,MIN(_xlfn.DAYS(EDATE(Q$1,1),Log_2019[[#This Row],[Date]]),Log_2019[[#This Row],[Split_apply]])) - SUM($O407:P407)</f>
        <v>0</v>
      </c>
      <c r="R407" s="52">
        <f ca="1">Log_2019[[#This Row],[Amount]]/Log_2019[[#This Row],[Split_raw]]*MAX(0,MIN(_xlfn.DAYS(EDATE(R$1,1),Log_2019[[#This Row],[Date]]),Log_2019[[#This Row],[Split_apply]])) - SUM($O407:Q407)</f>
        <v>0</v>
      </c>
      <c r="S407" s="52">
        <f ca="1">Log_2019[[#This Row],[Amount]]/Log_2019[[#This Row],[Split_raw]]*MAX(0,MIN(_xlfn.DAYS(EDATE(S$1,1),Log_2019[[#This Row],[Date]]),Log_2019[[#This Row],[Split_apply]])) - SUM($O407:R407)</f>
        <v>0</v>
      </c>
      <c r="T407" s="52">
        <f ca="1">Log_2019[[#This Row],[Amount]]/Log_2019[[#This Row],[Split_raw]]*MAX(0,MIN(_xlfn.DAYS(EDATE(T$1,1),Log_2019[[#This Row],[Date]]),Log_2019[[#This Row],[Split_apply]])) - SUM($O407:S407)</f>
        <v>0</v>
      </c>
      <c r="U407" s="52">
        <f ca="1">Log_2019[[#This Row],[Amount]]/Log_2019[[#This Row],[Split_raw]]*MAX(0,MIN(_xlfn.DAYS(EDATE(U$1,1),Log_2019[[#This Row],[Date]]),Log_2019[[#This Row],[Split_apply]])) - SUM($O407:T407)</f>
        <v>-10.69</v>
      </c>
      <c r="V407" s="52">
        <f ca="1">Log_2019[[#This Row],[Amount]]/Log_2019[[#This Row],[Split_raw]]*MAX(0,MIN(_xlfn.DAYS(EDATE(V$1,1),Log_2019[[#This Row],[Date]]),Log_2019[[#This Row],[Split_apply]])) - SUM($O407:U407)</f>
        <v>0</v>
      </c>
      <c r="W407" s="52">
        <f ca="1">Log_2019[[#This Row],[Amount]]/Log_2019[[#This Row],[Split_raw]]*MAX(0,MIN(_xlfn.DAYS(EDATE(W$1,1),Log_2019[[#This Row],[Date]]),Log_2019[[#This Row],[Split_apply]])) - SUM($O407:V407)</f>
        <v>0</v>
      </c>
      <c r="X407" s="52">
        <f ca="1">Log_2019[[#This Row],[Amount]]/Log_2019[[#This Row],[Split_raw]]*MAX(0,MIN(_xlfn.DAYS(EDATE(X$1,1),Log_2019[[#This Row],[Date]]),Log_2019[[#This Row],[Split_apply]])) - SUM($O407:W407)</f>
        <v>0</v>
      </c>
      <c r="Y407" s="52">
        <f ca="1">Log_2019[[#This Row],[Amount]]/Log_2019[[#This Row],[Split_raw]]*MAX(0,MIN(_xlfn.DAYS(EDATE(Y$1,1),Log_2019[[#This Row],[Date]]),Log_2019[[#This Row],[Split_apply]])) - SUM($O407:X407)</f>
        <v>0</v>
      </c>
      <c r="Z407" s="52">
        <f ca="1">Log_2019[[#This Row],[Amount]]/Log_2019[[#This Row],[Split_raw]]*MAX(0,MIN(_xlfn.DAYS(EDATE(Z$1,1),Log_2019[[#This Row],[Date]]),Log_2019[[#This Row],[Split_apply]])) - SUM($O407:Y407)</f>
        <v>0</v>
      </c>
      <c r="AA407" s="52">
        <f ca="1">Log_2019[[#This Row],[Amount]]/Log_2019[[#This Row],[Split_raw]]*MAX(0,MIN(_xlfn.DAYS(EDATE(AA$1,1),Log_2019[[#This Row],[Date]]),Log_2019[[#This Row],[Split_apply]])) - SUM($O407:Z407)</f>
        <v>0</v>
      </c>
      <c r="AB407" s="54">
        <f ca="1">Log_2019[[#This Row],[Amount]]-SUM(O407:AA407)</f>
        <v>0</v>
      </c>
      <c r="AC407" s="7">
        <f>MAX(0,Log_2019[[#This Row],[Split_raw]] - (EDATE(AA$1,1)-Log_2019[[#This Row],[Date]]))</f>
        <v>0</v>
      </c>
    </row>
    <row r="408" spans="1:29" x14ac:dyDescent="0.25">
      <c r="A408" s="42"/>
      <c r="B408" s="34" t="s">
        <v>6</v>
      </c>
      <c r="C408" s="34"/>
      <c r="D408" s="35">
        <v>43630</v>
      </c>
      <c r="E408" s="34"/>
      <c r="F408" s="34" t="s">
        <v>255</v>
      </c>
      <c r="G408" s="34" t="s">
        <v>25</v>
      </c>
      <c r="H408" s="36">
        <v>-23.2</v>
      </c>
      <c r="I408" s="36">
        <f>IF(Log_2019[[#This Row],[My Category]]="NONTRACKED",0,Log_2019[[#This Row],[Raw Amount]])</f>
        <v>-23.2</v>
      </c>
      <c r="J408" s="37">
        <f>ABS(Log_2019[[#This Row],[Amount]])</f>
        <v>23.2</v>
      </c>
      <c r="K408" s="38">
        <v>1</v>
      </c>
      <c r="L408" s="38">
        <f ca="1">IF(Log_2019[[#This Row],[Date]]&lt;=TODAY(), MIN(Log_2019[[#This Row],[Split_raw]], TODAY()-Log_2019[[#This Row],[Date]]+1), 0)</f>
        <v>1</v>
      </c>
      <c r="M408" s="34" t="s">
        <v>52</v>
      </c>
      <c r="N408" s="34" t="s">
        <v>158</v>
      </c>
      <c r="O408" s="7">
        <v>0</v>
      </c>
      <c r="P408" s="52">
        <f ca="1">Log_2019[[#This Row],[Amount]]/Log_2019[[#This Row],[Split_raw]]*MAX(0,MIN(_xlfn.DAYS(EDATE(P$1,1),Log_2019[[#This Row],[Date]]),Log_2019[[#This Row],[Split_apply]])) - SUM($O408:O408)</f>
        <v>0</v>
      </c>
      <c r="Q408" s="52">
        <f ca="1">Log_2019[[#This Row],[Amount]]/Log_2019[[#This Row],[Split_raw]]*MAX(0,MIN(_xlfn.DAYS(EDATE(Q$1,1),Log_2019[[#This Row],[Date]]),Log_2019[[#This Row],[Split_apply]])) - SUM($O408:P408)</f>
        <v>0</v>
      </c>
      <c r="R408" s="52">
        <f ca="1">Log_2019[[#This Row],[Amount]]/Log_2019[[#This Row],[Split_raw]]*MAX(0,MIN(_xlfn.DAYS(EDATE(R$1,1),Log_2019[[#This Row],[Date]]),Log_2019[[#This Row],[Split_apply]])) - SUM($O408:Q408)</f>
        <v>0</v>
      </c>
      <c r="S408" s="52">
        <f ca="1">Log_2019[[#This Row],[Amount]]/Log_2019[[#This Row],[Split_raw]]*MAX(0,MIN(_xlfn.DAYS(EDATE(S$1,1),Log_2019[[#This Row],[Date]]),Log_2019[[#This Row],[Split_apply]])) - SUM($O408:R408)</f>
        <v>0</v>
      </c>
      <c r="T408" s="52">
        <f ca="1">Log_2019[[#This Row],[Amount]]/Log_2019[[#This Row],[Split_raw]]*MAX(0,MIN(_xlfn.DAYS(EDATE(T$1,1),Log_2019[[#This Row],[Date]]),Log_2019[[#This Row],[Split_apply]])) - SUM($O408:S408)</f>
        <v>0</v>
      </c>
      <c r="U408" s="52">
        <f ca="1">Log_2019[[#This Row],[Amount]]/Log_2019[[#This Row],[Split_raw]]*MAX(0,MIN(_xlfn.DAYS(EDATE(U$1,1),Log_2019[[#This Row],[Date]]),Log_2019[[#This Row],[Split_apply]])) - SUM($O408:T408)</f>
        <v>-23.2</v>
      </c>
      <c r="V408" s="52">
        <f ca="1">Log_2019[[#This Row],[Amount]]/Log_2019[[#This Row],[Split_raw]]*MAX(0,MIN(_xlfn.DAYS(EDATE(V$1,1),Log_2019[[#This Row],[Date]]),Log_2019[[#This Row],[Split_apply]])) - SUM($O408:U408)</f>
        <v>0</v>
      </c>
      <c r="W408" s="52">
        <f ca="1">Log_2019[[#This Row],[Amount]]/Log_2019[[#This Row],[Split_raw]]*MAX(0,MIN(_xlfn.DAYS(EDATE(W$1,1),Log_2019[[#This Row],[Date]]),Log_2019[[#This Row],[Split_apply]])) - SUM($O408:V408)</f>
        <v>0</v>
      </c>
      <c r="X408" s="52">
        <f ca="1">Log_2019[[#This Row],[Amount]]/Log_2019[[#This Row],[Split_raw]]*MAX(0,MIN(_xlfn.DAYS(EDATE(X$1,1),Log_2019[[#This Row],[Date]]),Log_2019[[#This Row],[Split_apply]])) - SUM($O408:W408)</f>
        <v>0</v>
      </c>
      <c r="Y408" s="52">
        <f ca="1">Log_2019[[#This Row],[Amount]]/Log_2019[[#This Row],[Split_raw]]*MAX(0,MIN(_xlfn.DAYS(EDATE(Y$1,1),Log_2019[[#This Row],[Date]]),Log_2019[[#This Row],[Split_apply]])) - SUM($O408:X408)</f>
        <v>0</v>
      </c>
      <c r="Z408" s="52">
        <f ca="1">Log_2019[[#This Row],[Amount]]/Log_2019[[#This Row],[Split_raw]]*MAX(0,MIN(_xlfn.DAYS(EDATE(Z$1,1),Log_2019[[#This Row],[Date]]),Log_2019[[#This Row],[Split_apply]])) - SUM($O408:Y408)</f>
        <v>0</v>
      </c>
      <c r="AA408" s="52">
        <f ca="1">Log_2019[[#This Row],[Amount]]/Log_2019[[#This Row],[Split_raw]]*MAX(0,MIN(_xlfn.DAYS(EDATE(AA$1,1),Log_2019[[#This Row],[Date]]),Log_2019[[#This Row],[Split_apply]])) - SUM($O408:Z408)</f>
        <v>0</v>
      </c>
      <c r="AB408" s="54">
        <f ca="1">Log_2019[[#This Row],[Amount]]-SUM(O408:AA408)</f>
        <v>0</v>
      </c>
      <c r="AC408" s="7">
        <f>MAX(0,Log_2019[[#This Row],[Split_raw]] - (EDATE(AA$1,1)-Log_2019[[#This Row],[Date]]))</f>
        <v>0</v>
      </c>
    </row>
    <row r="409" spans="1:29" x14ac:dyDescent="0.25">
      <c r="A409" s="42"/>
      <c r="B409" s="34" t="s">
        <v>6</v>
      </c>
      <c r="C409" s="34"/>
      <c r="D409" s="35">
        <v>43630</v>
      </c>
      <c r="E409" s="34"/>
      <c r="F409" s="34" t="s">
        <v>242</v>
      </c>
      <c r="G409" s="34" t="s">
        <v>87</v>
      </c>
      <c r="H409" s="36">
        <f>--14.9</f>
        <v>14.9</v>
      </c>
      <c r="I409" s="36">
        <f>IF(Log_2019[[#This Row],[My Category]]="NONTRACKED",0,Log_2019[[#This Row],[Raw Amount]])</f>
        <v>14.9</v>
      </c>
      <c r="J409" s="37">
        <f>ABS(Log_2019[[#This Row],[Amount]])</f>
        <v>14.9</v>
      </c>
      <c r="K409" s="38">
        <v>1</v>
      </c>
      <c r="L409" s="38">
        <f ca="1">IF(Log_2019[[#This Row],[Date]]&lt;=TODAY(), MIN(Log_2019[[#This Row],[Split_raw]], TODAY()-Log_2019[[#This Row],[Date]]+1), 0)</f>
        <v>1</v>
      </c>
      <c r="M409" s="34" t="s">
        <v>144</v>
      </c>
      <c r="N409" s="34" t="s">
        <v>160</v>
      </c>
      <c r="O409" s="7">
        <v>0</v>
      </c>
      <c r="P409" s="52">
        <f ca="1">Log_2019[[#This Row],[Amount]]/Log_2019[[#This Row],[Split_raw]]*MAX(0,MIN(_xlfn.DAYS(EDATE(P$1,1),Log_2019[[#This Row],[Date]]),Log_2019[[#This Row],[Split_apply]])) - SUM($O409:O409)</f>
        <v>0</v>
      </c>
      <c r="Q409" s="52">
        <f ca="1">Log_2019[[#This Row],[Amount]]/Log_2019[[#This Row],[Split_raw]]*MAX(0,MIN(_xlfn.DAYS(EDATE(Q$1,1),Log_2019[[#This Row],[Date]]),Log_2019[[#This Row],[Split_apply]])) - SUM($O409:P409)</f>
        <v>0</v>
      </c>
      <c r="R409" s="52">
        <f ca="1">Log_2019[[#This Row],[Amount]]/Log_2019[[#This Row],[Split_raw]]*MAX(0,MIN(_xlfn.DAYS(EDATE(R$1,1),Log_2019[[#This Row],[Date]]),Log_2019[[#This Row],[Split_apply]])) - SUM($O409:Q409)</f>
        <v>0</v>
      </c>
      <c r="S409" s="52">
        <f ca="1">Log_2019[[#This Row],[Amount]]/Log_2019[[#This Row],[Split_raw]]*MAX(0,MIN(_xlfn.DAYS(EDATE(S$1,1),Log_2019[[#This Row],[Date]]),Log_2019[[#This Row],[Split_apply]])) - SUM($O409:R409)</f>
        <v>0</v>
      </c>
      <c r="T409" s="52">
        <f ca="1">Log_2019[[#This Row],[Amount]]/Log_2019[[#This Row],[Split_raw]]*MAX(0,MIN(_xlfn.DAYS(EDATE(T$1,1),Log_2019[[#This Row],[Date]]),Log_2019[[#This Row],[Split_apply]])) - SUM($O409:S409)</f>
        <v>0</v>
      </c>
      <c r="U409" s="52">
        <f ca="1">Log_2019[[#This Row],[Amount]]/Log_2019[[#This Row],[Split_raw]]*MAX(0,MIN(_xlfn.DAYS(EDATE(U$1,1),Log_2019[[#This Row],[Date]]),Log_2019[[#This Row],[Split_apply]])) - SUM($O409:T409)</f>
        <v>14.9</v>
      </c>
      <c r="V409" s="52">
        <f ca="1">Log_2019[[#This Row],[Amount]]/Log_2019[[#This Row],[Split_raw]]*MAX(0,MIN(_xlfn.DAYS(EDATE(V$1,1),Log_2019[[#This Row],[Date]]),Log_2019[[#This Row],[Split_apply]])) - SUM($O409:U409)</f>
        <v>0</v>
      </c>
      <c r="W409" s="52">
        <f ca="1">Log_2019[[#This Row],[Amount]]/Log_2019[[#This Row],[Split_raw]]*MAX(0,MIN(_xlfn.DAYS(EDATE(W$1,1),Log_2019[[#This Row],[Date]]),Log_2019[[#This Row],[Split_apply]])) - SUM($O409:V409)</f>
        <v>0</v>
      </c>
      <c r="X409" s="52">
        <f ca="1">Log_2019[[#This Row],[Amount]]/Log_2019[[#This Row],[Split_raw]]*MAX(0,MIN(_xlfn.DAYS(EDATE(X$1,1),Log_2019[[#This Row],[Date]]),Log_2019[[#This Row],[Split_apply]])) - SUM($O409:W409)</f>
        <v>0</v>
      </c>
      <c r="Y409" s="52">
        <f ca="1">Log_2019[[#This Row],[Amount]]/Log_2019[[#This Row],[Split_raw]]*MAX(0,MIN(_xlfn.DAYS(EDATE(Y$1,1),Log_2019[[#This Row],[Date]]),Log_2019[[#This Row],[Split_apply]])) - SUM($O409:X409)</f>
        <v>0</v>
      </c>
      <c r="Z409" s="52">
        <f ca="1">Log_2019[[#This Row],[Amount]]/Log_2019[[#This Row],[Split_raw]]*MAX(0,MIN(_xlfn.DAYS(EDATE(Z$1,1),Log_2019[[#This Row],[Date]]),Log_2019[[#This Row],[Split_apply]])) - SUM($O409:Y409)</f>
        <v>0</v>
      </c>
      <c r="AA409" s="52">
        <f ca="1">Log_2019[[#This Row],[Amount]]/Log_2019[[#This Row],[Split_raw]]*MAX(0,MIN(_xlfn.DAYS(EDATE(AA$1,1),Log_2019[[#This Row],[Date]]),Log_2019[[#This Row],[Split_apply]])) - SUM($O409:Z409)</f>
        <v>0</v>
      </c>
      <c r="AB409" s="54">
        <f ca="1">Log_2019[[#This Row],[Amount]]-SUM(O409:AA409)</f>
        <v>0</v>
      </c>
      <c r="AC409" s="7">
        <f>MAX(0,Log_2019[[#This Row],[Split_raw]] - (EDATE(AA$1,1)-Log_2019[[#This Row],[Date]]))</f>
        <v>0</v>
      </c>
    </row>
    <row r="410" spans="1:29" x14ac:dyDescent="0.25">
      <c r="A410" s="42"/>
      <c r="B410" s="34" t="s">
        <v>6</v>
      </c>
      <c r="C410" s="34"/>
      <c r="D410" s="35">
        <v>43627</v>
      </c>
      <c r="E410" s="34"/>
      <c r="F410" s="34" t="s">
        <v>255</v>
      </c>
      <c r="G410" s="34" t="s">
        <v>25</v>
      </c>
      <c r="H410" s="36">
        <v>-7.96</v>
      </c>
      <c r="I410" s="36">
        <f>IF(Log_2019[[#This Row],[My Category]]="NONTRACKED",0,Log_2019[[#This Row],[Raw Amount]])</f>
        <v>-7.96</v>
      </c>
      <c r="J410" s="37">
        <f>ABS(Log_2019[[#This Row],[Amount]])</f>
        <v>7.96</v>
      </c>
      <c r="K410" s="38">
        <v>1</v>
      </c>
      <c r="L410" s="38">
        <f ca="1">IF(Log_2019[[#This Row],[Date]]&lt;=TODAY(), MIN(Log_2019[[#This Row],[Split_raw]], TODAY()-Log_2019[[#This Row],[Date]]+1), 0)</f>
        <v>1</v>
      </c>
      <c r="M410" s="34" t="s">
        <v>35</v>
      </c>
      <c r="N410" s="34" t="s">
        <v>158</v>
      </c>
      <c r="O410" s="7">
        <v>0</v>
      </c>
      <c r="P410" s="52">
        <f ca="1">Log_2019[[#This Row],[Amount]]/Log_2019[[#This Row],[Split_raw]]*MAX(0,MIN(_xlfn.DAYS(EDATE(P$1,1),Log_2019[[#This Row],[Date]]),Log_2019[[#This Row],[Split_apply]])) - SUM($O410:O410)</f>
        <v>0</v>
      </c>
      <c r="Q410" s="52">
        <f ca="1">Log_2019[[#This Row],[Amount]]/Log_2019[[#This Row],[Split_raw]]*MAX(0,MIN(_xlfn.DAYS(EDATE(Q$1,1),Log_2019[[#This Row],[Date]]),Log_2019[[#This Row],[Split_apply]])) - SUM($O410:P410)</f>
        <v>0</v>
      </c>
      <c r="R410" s="52">
        <f ca="1">Log_2019[[#This Row],[Amount]]/Log_2019[[#This Row],[Split_raw]]*MAX(0,MIN(_xlfn.DAYS(EDATE(R$1,1),Log_2019[[#This Row],[Date]]),Log_2019[[#This Row],[Split_apply]])) - SUM($O410:Q410)</f>
        <v>0</v>
      </c>
      <c r="S410" s="52">
        <f ca="1">Log_2019[[#This Row],[Amount]]/Log_2019[[#This Row],[Split_raw]]*MAX(0,MIN(_xlfn.DAYS(EDATE(S$1,1),Log_2019[[#This Row],[Date]]),Log_2019[[#This Row],[Split_apply]])) - SUM($O410:R410)</f>
        <v>0</v>
      </c>
      <c r="T410" s="52">
        <f ca="1">Log_2019[[#This Row],[Amount]]/Log_2019[[#This Row],[Split_raw]]*MAX(0,MIN(_xlfn.DAYS(EDATE(T$1,1),Log_2019[[#This Row],[Date]]),Log_2019[[#This Row],[Split_apply]])) - SUM($O410:S410)</f>
        <v>0</v>
      </c>
      <c r="U410" s="52">
        <f ca="1">Log_2019[[#This Row],[Amount]]/Log_2019[[#This Row],[Split_raw]]*MAX(0,MIN(_xlfn.DAYS(EDATE(U$1,1),Log_2019[[#This Row],[Date]]),Log_2019[[#This Row],[Split_apply]])) - SUM($O410:T410)</f>
        <v>-7.96</v>
      </c>
      <c r="V410" s="52">
        <f ca="1">Log_2019[[#This Row],[Amount]]/Log_2019[[#This Row],[Split_raw]]*MAX(0,MIN(_xlfn.DAYS(EDATE(V$1,1),Log_2019[[#This Row],[Date]]),Log_2019[[#This Row],[Split_apply]])) - SUM($O410:U410)</f>
        <v>0</v>
      </c>
      <c r="W410" s="52">
        <f ca="1">Log_2019[[#This Row],[Amount]]/Log_2019[[#This Row],[Split_raw]]*MAX(0,MIN(_xlfn.DAYS(EDATE(W$1,1),Log_2019[[#This Row],[Date]]),Log_2019[[#This Row],[Split_apply]])) - SUM($O410:V410)</f>
        <v>0</v>
      </c>
      <c r="X410" s="52">
        <f ca="1">Log_2019[[#This Row],[Amount]]/Log_2019[[#This Row],[Split_raw]]*MAX(0,MIN(_xlfn.DAYS(EDATE(X$1,1),Log_2019[[#This Row],[Date]]),Log_2019[[#This Row],[Split_apply]])) - SUM($O410:W410)</f>
        <v>0</v>
      </c>
      <c r="Y410" s="52">
        <f ca="1">Log_2019[[#This Row],[Amount]]/Log_2019[[#This Row],[Split_raw]]*MAX(0,MIN(_xlfn.DAYS(EDATE(Y$1,1),Log_2019[[#This Row],[Date]]),Log_2019[[#This Row],[Split_apply]])) - SUM($O410:X410)</f>
        <v>0</v>
      </c>
      <c r="Z410" s="52">
        <f ca="1">Log_2019[[#This Row],[Amount]]/Log_2019[[#This Row],[Split_raw]]*MAX(0,MIN(_xlfn.DAYS(EDATE(Z$1,1),Log_2019[[#This Row],[Date]]),Log_2019[[#This Row],[Split_apply]])) - SUM($O410:Y410)</f>
        <v>0</v>
      </c>
      <c r="AA410" s="52">
        <f ca="1">Log_2019[[#This Row],[Amount]]/Log_2019[[#This Row],[Split_raw]]*MAX(0,MIN(_xlfn.DAYS(EDATE(AA$1,1),Log_2019[[#This Row],[Date]]),Log_2019[[#This Row],[Split_apply]])) - SUM($O410:Z410)</f>
        <v>0</v>
      </c>
      <c r="AB410" s="54">
        <f ca="1">Log_2019[[#This Row],[Amount]]-SUM(O410:AA410)</f>
        <v>0</v>
      </c>
      <c r="AC410" s="7">
        <f>MAX(0,Log_2019[[#This Row],[Split_raw]] - (EDATE(AA$1,1)-Log_2019[[#This Row],[Date]]))</f>
        <v>0</v>
      </c>
    </row>
    <row r="411" spans="1:29" x14ac:dyDescent="0.25">
      <c r="A411" s="42"/>
      <c r="B411" s="34" t="s">
        <v>6</v>
      </c>
      <c r="C411" s="34"/>
      <c r="D411" s="35">
        <v>43627</v>
      </c>
      <c r="E411" s="34"/>
      <c r="F411" s="34" t="s">
        <v>83</v>
      </c>
      <c r="G411" s="34" t="s">
        <v>15</v>
      </c>
      <c r="H411" s="36">
        <v>-222.65</v>
      </c>
      <c r="I411" s="36">
        <f>IF(Log_2019[[#This Row],[My Category]]="NONTRACKED",0,Log_2019[[#This Row],[Raw Amount]])</f>
        <v>-222.65</v>
      </c>
      <c r="J411" s="37">
        <f>ABS(Log_2019[[#This Row],[Amount]])</f>
        <v>222.65</v>
      </c>
      <c r="K411" s="38">
        <v>30</v>
      </c>
      <c r="L411" s="38">
        <f ca="1">IF(Log_2019[[#This Row],[Date]]&lt;=TODAY(), MIN(Log_2019[[#This Row],[Split_raw]], TODAY()-Log_2019[[#This Row],[Date]]+1), 0)</f>
        <v>30</v>
      </c>
      <c r="M411" s="34" t="s">
        <v>241</v>
      </c>
      <c r="N411" s="34" t="s">
        <v>160</v>
      </c>
      <c r="O411" s="7">
        <v>0</v>
      </c>
      <c r="P411" s="52">
        <f ca="1">Log_2019[[#This Row],[Amount]]/Log_2019[[#This Row],[Split_raw]]*MAX(0,MIN(_xlfn.DAYS(EDATE(P$1,1),Log_2019[[#This Row],[Date]]),Log_2019[[#This Row],[Split_apply]])) - SUM($O411:O411)</f>
        <v>0</v>
      </c>
      <c r="Q411" s="52">
        <f ca="1">Log_2019[[#This Row],[Amount]]/Log_2019[[#This Row],[Split_raw]]*MAX(0,MIN(_xlfn.DAYS(EDATE(Q$1,1),Log_2019[[#This Row],[Date]]),Log_2019[[#This Row],[Split_apply]])) - SUM($O411:P411)</f>
        <v>0</v>
      </c>
      <c r="R411" s="52">
        <f ca="1">Log_2019[[#This Row],[Amount]]/Log_2019[[#This Row],[Split_raw]]*MAX(0,MIN(_xlfn.DAYS(EDATE(R$1,1),Log_2019[[#This Row],[Date]]),Log_2019[[#This Row],[Split_apply]])) - SUM($O411:Q411)</f>
        <v>0</v>
      </c>
      <c r="S411" s="52">
        <f ca="1">Log_2019[[#This Row],[Amount]]/Log_2019[[#This Row],[Split_raw]]*MAX(0,MIN(_xlfn.DAYS(EDATE(S$1,1),Log_2019[[#This Row],[Date]]),Log_2019[[#This Row],[Split_apply]])) - SUM($O411:R411)</f>
        <v>0</v>
      </c>
      <c r="T411" s="52">
        <f ca="1">Log_2019[[#This Row],[Amount]]/Log_2019[[#This Row],[Split_raw]]*MAX(0,MIN(_xlfn.DAYS(EDATE(T$1,1),Log_2019[[#This Row],[Date]]),Log_2019[[#This Row],[Split_apply]])) - SUM($O411:S411)</f>
        <v>0</v>
      </c>
      <c r="U411" s="52">
        <f ca="1">Log_2019[[#This Row],[Amount]]/Log_2019[[#This Row],[Split_raw]]*MAX(0,MIN(_xlfn.DAYS(EDATE(U$1,1),Log_2019[[#This Row],[Date]]),Log_2019[[#This Row],[Split_apply]])) - SUM($O411:T411)</f>
        <v>-148.43333333333334</v>
      </c>
      <c r="V411" s="52">
        <f ca="1">Log_2019[[#This Row],[Amount]]/Log_2019[[#This Row],[Split_raw]]*MAX(0,MIN(_xlfn.DAYS(EDATE(V$1,1),Log_2019[[#This Row],[Date]]),Log_2019[[#This Row],[Split_apply]])) - SUM($O411:U411)</f>
        <v>-74.216666666666669</v>
      </c>
      <c r="W411" s="52">
        <f ca="1">Log_2019[[#This Row],[Amount]]/Log_2019[[#This Row],[Split_raw]]*MAX(0,MIN(_xlfn.DAYS(EDATE(W$1,1),Log_2019[[#This Row],[Date]]),Log_2019[[#This Row],[Split_apply]])) - SUM($O411:V411)</f>
        <v>0</v>
      </c>
      <c r="X411" s="52">
        <f ca="1">Log_2019[[#This Row],[Amount]]/Log_2019[[#This Row],[Split_raw]]*MAX(0,MIN(_xlfn.DAYS(EDATE(X$1,1),Log_2019[[#This Row],[Date]]),Log_2019[[#This Row],[Split_apply]])) - SUM($O411:W411)</f>
        <v>0</v>
      </c>
      <c r="Y411" s="52">
        <f ca="1">Log_2019[[#This Row],[Amount]]/Log_2019[[#This Row],[Split_raw]]*MAX(0,MIN(_xlfn.DAYS(EDATE(Y$1,1),Log_2019[[#This Row],[Date]]),Log_2019[[#This Row],[Split_apply]])) - SUM($O411:X411)</f>
        <v>0</v>
      </c>
      <c r="Z411" s="52">
        <f ca="1">Log_2019[[#This Row],[Amount]]/Log_2019[[#This Row],[Split_raw]]*MAX(0,MIN(_xlfn.DAYS(EDATE(Z$1,1),Log_2019[[#This Row],[Date]]),Log_2019[[#This Row],[Split_apply]])) - SUM($O411:Y411)</f>
        <v>0</v>
      </c>
      <c r="AA411" s="52">
        <f ca="1">Log_2019[[#This Row],[Amount]]/Log_2019[[#This Row],[Split_raw]]*MAX(0,MIN(_xlfn.DAYS(EDATE(AA$1,1),Log_2019[[#This Row],[Date]]),Log_2019[[#This Row],[Split_apply]])) - SUM($O411:Z411)</f>
        <v>0</v>
      </c>
      <c r="AB411" s="54">
        <f ca="1">Log_2019[[#This Row],[Amount]]-SUM(O411:AA411)</f>
        <v>0</v>
      </c>
      <c r="AC411" s="7">
        <f>MAX(0,Log_2019[[#This Row],[Split_raw]] - (EDATE(AA$1,1)-Log_2019[[#This Row],[Date]]))</f>
        <v>0</v>
      </c>
    </row>
    <row r="412" spans="1:29" x14ac:dyDescent="0.25">
      <c r="A412" s="42"/>
      <c r="B412" s="34" t="s">
        <v>6</v>
      </c>
      <c r="C412" s="34"/>
      <c r="D412" s="35">
        <v>43626</v>
      </c>
      <c r="E412" s="34" t="s">
        <v>250</v>
      </c>
      <c r="F412" s="34" t="s">
        <v>243</v>
      </c>
      <c r="G412" s="34" t="s">
        <v>143</v>
      </c>
      <c r="H412" s="36">
        <v>-10.81</v>
      </c>
      <c r="I412" s="36">
        <f>IF(Log_2019[[#This Row],[My Category]]="NONTRACKED",0,Log_2019[[#This Row],[Raw Amount]])</f>
        <v>-10.81</v>
      </c>
      <c r="J412" s="37">
        <f>ABS(Log_2019[[#This Row],[Amount]])</f>
        <v>10.81</v>
      </c>
      <c r="K412" s="38">
        <v>30</v>
      </c>
      <c r="L412" s="38">
        <f ca="1">IF(Log_2019[[#This Row],[Date]]&lt;=TODAY(), MIN(Log_2019[[#This Row],[Split_raw]], TODAY()-Log_2019[[#This Row],[Date]]+1), 0)</f>
        <v>30</v>
      </c>
      <c r="M412" s="34" t="s">
        <v>53</v>
      </c>
      <c r="N412" s="34" t="s">
        <v>160</v>
      </c>
      <c r="O412" s="7">
        <v>0</v>
      </c>
      <c r="P412" s="52">
        <f ca="1">Log_2019[[#This Row],[Amount]]/Log_2019[[#This Row],[Split_raw]]*MAX(0,MIN(_xlfn.DAYS(EDATE(P$1,1),Log_2019[[#This Row],[Date]]),Log_2019[[#This Row],[Split_apply]])) - SUM($O412:O412)</f>
        <v>0</v>
      </c>
      <c r="Q412" s="52">
        <f ca="1">Log_2019[[#This Row],[Amount]]/Log_2019[[#This Row],[Split_raw]]*MAX(0,MIN(_xlfn.DAYS(EDATE(Q$1,1),Log_2019[[#This Row],[Date]]),Log_2019[[#This Row],[Split_apply]])) - SUM($O412:P412)</f>
        <v>0</v>
      </c>
      <c r="R412" s="52">
        <f ca="1">Log_2019[[#This Row],[Amount]]/Log_2019[[#This Row],[Split_raw]]*MAX(0,MIN(_xlfn.DAYS(EDATE(R$1,1),Log_2019[[#This Row],[Date]]),Log_2019[[#This Row],[Split_apply]])) - SUM($O412:Q412)</f>
        <v>0</v>
      </c>
      <c r="S412" s="52">
        <f ca="1">Log_2019[[#This Row],[Amount]]/Log_2019[[#This Row],[Split_raw]]*MAX(0,MIN(_xlfn.DAYS(EDATE(S$1,1),Log_2019[[#This Row],[Date]]),Log_2019[[#This Row],[Split_apply]])) - SUM($O412:R412)</f>
        <v>0</v>
      </c>
      <c r="T412" s="52">
        <f ca="1">Log_2019[[#This Row],[Amount]]/Log_2019[[#This Row],[Split_raw]]*MAX(0,MIN(_xlfn.DAYS(EDATE(T$1,1),Log_2019[[#This Row],[Date]]),Log_2019[[#This Row],[Split_apply]])) - SUM($O412:S412)</f>
        <v>0</v>
      </c>
      <c r="U412" s="52">
        <f ca="1">Log_2019[[#This Row],[Amount]]/Log_2019[[#This Row],[Split_raw]]*MAX(0,MIN(_xlfn.DAYS(EDATE(U$1,1),Log_2019[[#This Row],[Date]]),Log_2019[[#This Row],[Split_apply]])) - SUM($O412:T412)</f>
        <v>-7.5670000000000002</v>
      </c>
      <c r="V412" s="52">
        <f ca="1">Log_2019[[#This Row],[Amount]]/Log_2019[[#This Row],[Split_raw]]*MAX(0,MIN(_xlfn.DAYS(EDATE(V$1,1),Log_2019[[#This Row],[Date]]),Log_2019[[#This Row],[Split_apply]])) - SUM($O412:U412)</f>
        <v>-3.2430000000000003</v>
      </c>
      <c r="W412" s="52">
        <f ca="1">Log_2019[[#This Row],[Amount]]/Log_2019[[#This Row],[Split_raw]]*MAX(0,MIN(_xlfn.DAYS(EDATE(W$1,1),Log_2019[[#This Row],[Date]]),Log_2019[[#This Row],[Split_apply]])) - SUM($O412:V412)</f>
        <v>0</v>
      </c>
      <c r="X412" s="52">
        <f ca="1">Log_2019[[#This Row],[Amount]]/Log_2019[[#This Row],[Split_raw]]*MAX(0,MIN(_xlfn.DAYS(EDATE(X$1,1),Log_2019[[#This Row],[Date]]),Log_2019[[#This Row],[Split_apply]])) - SUM($O412:W412)</f>
        <v>0</v>
      </c>
      <c r="Y412" s="52">
        <f ca="1">Log_2019[[#This Row],[Amount]]/Log_2019[[#This Row],[Split_raw]]*MAX(0,MIN(_xlfn.DAYS(EDATE(Y$1,1),Log_2019[[#This Row],[Date]]),Log_2019[[#This Row],[Split_apply]])) - SUM($O412:X412)</f>
        <v>0</v>
      </c>
      <c r="Z412" s="52">
        <f ca="1">Log_2019[[#This Row],[Amount]]/Log_2019[[#This Row],[Split_raw]]*MAX(0,MIN(_xlfn.DAYS(EDATE(Z$1,1),Log_2019[[#This Row],[Date]]),Log_2019[[#This Row],[Split_apply]])) - SUM($O412:Y412)</f>
        <v>0</v>
      </c>
      <c r="AA412" s="52">
        <f ca="1">Log_2019[[#This Row],[Amount]]/Log_2019[[#This Row],[Split_raw]]*MAX(0,MIN(_xlfn.DAYS(EDATE(AA$1,1),Log_2019[[#This Row],[Date]]),Log_2019[[#This Row],[Split_apply]])) - SUM($O412:Z412)</f>
        <v>0</v>
      </c>
      <c r="AB412" s="54">
        <f ca="1">Log_2019[[#This Row],[Amount]]-SUM(O412:AA412)</f>
        <v>0</v>
      </c>
      <c r="AC412" s="7">
        <f>MAX(0,Log_2019[[#This Row],[Split_raw]] - (EDATE(AA$1,1)-Log_2019[[#This Row],[Date]]))</f>
        <v>0</v>
      </c>
    </row>
    <row r="413" spans="1:29" x14ac:dyDescent="0.25">
      <c r="A413" s="42"/>
      <c r="B413" s="34" t="s">
        <v>6</v>
      </c>
      <c r="C413" s="34"/>
      <c r="D413" s="35">
        <v>43625</v>
      </c>
      <c r="E413" s="34"/>
      <c r="F413" s="34" t="s">
        <v>287</v>
      </c>
      <c r="G413" s="34" t="s">
        <v>9</v>
      </c>
      <c r="H413" s="36">
        <v>-3.99</v>
      </c>
      <c r="I413" s="36">
        <f>IF(Log_2019[[#This Row],[My Category]]="NONTRACKED",0,Log_2019[[#This Row],[Raw Amount]])</f>
        <v>-3.99</v>
      </c>
      <c r="J413" s="37">
        <f>ABS(Log_2019[[#This Row],[Amount]])</f>
        <v>3.99</v>
      </c>
      <c r="K413" s="38">
        <v>1</v>
      </c>
      <c r="L413" s="38">
        <f ca="1">IF(Log_2019[[#This Row],[Date]]&lt;=TODAY(), MIN(Log_2019[[#This Row],[Split_raw]], TODAY()-Log_2019[[#This Row],[Date]]+1), 0)</f>
        <v>1</v>
      </c>
      <c r="M413" s="34" t="s">
        <v>39</v>
      </c>
      <c r="N413" s="34" t="s">
        <v>158</v>
      </c>
      <c r="O413" s="7">
        <v>0</v>
      </c>
      <c r="P413" s="52">
        <f ca="1">Log_2019[[#This Row],[Amount]]/Log_2019[[#This Row],[Split_raw]]*MAX(0,MIN(_xlfn.DAYS(EDATE(P$1,1),Log_2019[[#This Row],[Date]]),Log_2019[[#This Row],[Split_apply]])) - SUM($O413:O413)</f>
        <v>0</v>
      </c>
      <c r="Q413" s="52">
        <f ca="1">Log_2019[[#This Row],[Amount]]/Log_2019[[#This Row],[Split_raw]]*MAX(0,MIN(_xlfn.DAYS(EDATE(Q$1,1),Log_2019[[#This Row],[Date]]),Log_2019[[#This Row],[Split_apply]])) - SUM($O413:P413)</f>
        <v>0</v>
      </c>
      <c r="R413" s="52">
        <f ca="1">Log_2019[[#This Row],[Amount]]/Log_2019[[#This Row],[Split_raw]]*MAX(0,MIN(_xlfn.DAYS(EDATE(R$1,1),Log_2019[[#This Row],[Date]]),Log_2019[[#This Row],[Split_apply]])) - SUM($O413:Q413)</f>
        <v>0</v>
      </c>
      <c r="S413" s="52">
        <f ca="1">Log_2019[[#This Row],[Amount]]/Log_2019[[#This Row],[Split_raw]]*MAX(0,MIN(_xlfn.DAYS(EDATE(S$1,1),Log_2019[[#This Row],[Date]]),Log_2019[[#This Row],[Split_apply]])) - SUM($O413:R413)</f>
        <v>0</v>
      </c>
      <c r="T413" s="52">
        <f ca="1">Log_2019[[#This Row],[Amount]]/Log_2019[[#This Row],[Split_raw]]*MAX(0,MIN(_xlfn.DAYS(EDATE(T$1,1),Log_2019[[#This Row],[Date]]),Log_2019[[#This Row],[Split_apply]])) - SUM($O413:S413)</f>
        <v>0</v>
      </c>
      <c r="U413" s="52">
        <f ca="1">Log_2019[[#This Row],[Amount]]/Log_2019[[#This Row],[Split_raw]]*MAX(0,MIN(_xlfn.DAYS(EDATE(U$1,1),Log_2019[[#This Row],[Date]]),Log_2019[[#This Row],[Split_apply]])) - SUM($O413:T413)</f>
        <v>-3.99</v>
      </c>
      <c r="V413" s="52">
        <f ca="1">Log_2019[[#This Row],[Amount]]/Log_2019[[#This Row],[Split_raw]]*MAX(0,MIN(_xlfn.DAYS(EDATE(V$1,1),Log_2019[[#This Row],[Date]]),Log_2019[[#This Row],[Split_apply]])) - SUM($O413:U413)</f>
        <v>0</v>
      </c>
      <c r="W413" s="52">
        <f ca="1">Log_2019[[#This Row],[Amount]]/Log_2019[[#This Row],[Split_raw]]*MAX(0,MIN(_xlfn.DAYS(EDATE(W$1,1),Log_2019[[#This Row],[Date]]),Log_2019[[#This Row],[Split_apply]])) - SUM($O413:V413)</f>
        <v>0</v>
      </c>
      <c r="X413" s="52">
        <f ca="1">Log_2019[[#This Row],[Amount]]/Log_2019[[#This Row],[Split_raw]]*MAX(0,MIN(_xlfn.DAYS(EDATE(X$1,1),Log_2019[[#This Row],[Date]]),Log_2019[[#This Row],[Split_apply]])) - SUM($O413:W413)</f>
        <v>0</v>
      </c>
      <c r="Y413" s="52">
        <f ca="1">Log_2019[[#This Row],[Amount]]/Log_2019[[#This Row],[Split_raw]]*MAX(0,MIN(_xlfn.DAYS(EDATE(Y$1,1),Log_2019[[#This Row],[Date]]),Log_2019[[#This Row],[Split_apply]])) - SUM($O413:X413)</f>
        <v>0</v>
      </c>
      <c r="Z413" s="52">
        <f ca="1">Log_2019[[#This Row],[Amount]]/Log_2019[[#This Row],[Split_raw]]*MAX(0,MIN(_xlfn.DAYS(EDATE(Z$1,1),Log_2019[[#This Row],[Date]]),Log_2019[[#This Row],[Split_apply]])) - SUM($O413:Y413)</f>
        <v>0</v>
      </c>
      <c r="AA413" s="52">
        <f ca="1">Log_2019[[#This Row],[Amount]]/Log_2019[[#This Row],[Split_raw]]*MAX(0,MIN(_xlfn.DAYS(EDATE(AA$1,1),Log_2019[[#This Row],[Date]]),Log_2019[[#This Row],[Split_apply]])) - SUM($O413:Z413)</f>
        <v>0</v>
      </c>
      <c r="AB413" s="54">
        <f ca="1">Log_2019[[#This Row],[Amount]]-SUM(O413:AA413)</f>
        <v>0</v>
      </c>
      <c r="AC413" s="7">
        <f>MAX(0,Log_2019[[#This Row],[Split_raw]] - (EDATE(AA$1,1)-Log_2019[[#This Row],[Date]]))</f>
        <v>0</v>
      </c>
    </row>
    <row r="414" spans="1:29" x14ac:dyDescent="0.25">
      <c r="A414" s="42"/>
      <c r="B414" s="34" t="s">
        <v>6</v>
      </c>
      <c r="C414" s="34"/>
      <c r="D414" s="35">
        <v>43624</v>
      </c>
      <c r="E414" s="34"/>
      <c r="F414" s="34" t="s">
        <v>615</v>
      </c>
      <c r="G414" s="34" t="s">
        <v>25</v>
      </c>
      <c r="H414" s="36">
        <v>-14</v>
      </c>
      <c r="I414" s="36">
        <f>IF(Log_2019[[#This Row],[My Category]]="NONTRACKED",0,Log_2019[[#This Row],[Raw Amount]])</f>
        <v>-14</v>
      </c>
      <c r="J414" s="37">
        <f>ABS(Log_2019[[#This Row],[Amount]])</f>
        <v>14</v>
      </c>
      <c r="K414" s="38">
        <v>1</v>
      </c>
      <c r="L414" s="38">
        <f ca="1">IF(Log_2019[[#This Row],[Date]]&lt;=TODAY(), MIN(Log_2019[[#This Row],[Split_raw]], TODAY()-Log_2019[[#This Row],[Date]]+1), 0)</f>
        <v>1</v>
      </c>
      <c r="M414" s="34" t="s">
        <v>35</v>
      </c>
      <c r="N414" s="34" t="s">
        <v>158</v>
      </c>
      <c r="O414" s="7">
        <v>0</v>
      </c>
      <c r="P414" s="52">
        <f ca="1">Log_2019[[#This Row],[Amount]]/Log_2019[[#This Row],[Split_raw]]*MAX(0,MIN(_xlfn.DAYS(EDATE(P$1,1),Log_2019[[#This Row],[Date]]),Log_2019[[#This Row],[Split_apply]])) - SUM($O414:O414)</f>
        <v>0</v>
      </c>
      <c r="Q414" s="52">
        <f ca="1">Log_2019[[#This Row],[Amount]]/Log_2019[[#This Row],[Split_raw]]*MAX(0,MIN(_xlfn.DAYS(EDATE(Q$1,1),Log_2019[[#This Row],[Date]]),Log_2019[[#This Row],[Split_apply]])) - SUM($O414:P414)</f>
        <v>0</v>
      </c>
      <c r="R414" s="52">
        <f ca="1">Log_2019[[#This Row],[Amount]]/Log_2019[[#This Row],[Split_raw]]*MAX(0,MIN(_xlfn.DAYS(EDATE(R$1,1),Log_2019[[#This Row],[Date]]),Log_2019[[#This Row],[Split_apply]])) - SUM($O414:Q414)</f>
        <v>0</v>
      </c>
      <c r="S414" s="52">
        <f ca="1">Log_2019[[#This Row],[Amount]]/Log_2019[[#This Row],[Split_raw]]*MAX(0,MIN(_xlfn.DAYS(EDATE(S$1,1),Log_2019[[#This Row],[Date]]),Log_2019[[#This Row],[Split_apply]])) - SUM($O414:R414)</f>
        <v>0</v>
      </c>
      <c r="T414" s="52">
        <f ca="1">Log_2019[[#This Row],[Amount]]/Log_2019[[#This Row],[Split_raw]]*MAX(0,MIN(_xlfn.DAYS(EDATE(T$1,1),Log_2019[[#This Row],[Date]]),Log_2019[[#This Row],[Split_apply]])) - SUM($O414:S414)</f>
        <v>0</v>
      </c>
      <c r="U414" s="52">
        <f ca="1">Log_2019[[#This Row],[Amount]]/Log_2019[[#This Row],[Split_raw]]*MAX(0,MIN(_xlfn.DAYS(EDATE(U$1,1),Log_2019[[#This Row],[Date]]),Log_2019[[#This Row],[Split_apply]])) - SUM($O414:T414)</f>
        <v>-14</v>
      </c>
      <c r="V414" s="52">
        <f ca="1">Log_2019[[#This Row],[Amount]]/Log_2019[[#This Row],[Split_raw]]*MAX(0,MIN(_xlfn.DAYS(EDATE(V$1,1),Log_2019[[#This Row],[Date]]),Log_2019[[#This Row],[Split_apply]])) - SUM($O414:U414)</f>
        <v>0</v>
      </c>
      <c r="W414" s="52">
        <f ca="1">Log_2019[[#This Row],[Amount]]/Log_2019[[#This Row],[Split_raw]]*MAX(0,MIN(_xlfn.DAYS(EDATE(W$1,1),Log_2019[[#This Row],[Date]]),Log_2019[[#This Row],[Split_apply]])) - SUM($O414:V414)</f>
        <v>0</v>
      </c>
      <c r="X414" s="52">
        <f ca="1">Log_2019[[#This Row],[Amount]]/Log_2019[[#This Row],[Split_raw]]*MAX(0,MIN(_xlfn.DAYS(EDATE(X$1,1),Log_2019[[#This Row],[Date]]),Log_2019[[#This Row],[Split_apply]])) - SUM($O414:W414)</f>
        <v>0</v>
      </c>
      <c r="Y414" s="52">
        <f ca="1">Log_2019[[#This Row],[Amount]]/Log_2019[[#This Row],[Split_raw]]*MAX(0,MIN(_xlfn.DAYS(EDATE(Y$1,1),Log_2019[[#This Row],[Date]]),Log_2019[[#This Row],[Split_apply]])) - SUM($O414:X414)</f>
        <v>0</v>
      </c>
      <c r="Z414" s="52">
        <f ca="1">Log_2019[[#This Row],[Amount]]/Log_2019[[#This Row],[Split_raw]]*MAX(0,MIN(_xlfn.DAYS(EDATE(Z$1,1),Log_2019[[#This Row],[Date]]),Log_2019[[#This Row],[Split_apply]])) - SUM($O414:Y414)</f>
        <v>0</v>
      </c>
      <c r="AA414" s="52">
        <f ca="1">Log_2019[[#This Row],[Amount]]/Log_2019[[#This Row],[Split_raw]]*MAX(0,MIN(_xlfn.DAYS(EDATE(AA$1,1),Log_2019[[#This Row],[Date]]),Log_2019[[#This Row],[Split_apply]])) - SUM($O414:Z414)</f>
        <v>0</v>
      </c>
      <c r="AB414" s="54">
        <f ca="1">Log_2019[[#This Row],[Amount]]-SUM(O414:AA414)</f>
        <v>0</v>
      </c>
      <c r="AC414" s="7">
        <f>MAX(0,Log_2019[[#This Row],[Split_raw]] - (EDATE(AA$1,1)-Log_2019[[#This Row],[Date]]))</f>
        <v>0</v>
      </c>
    </row>
    <row r="415" spans="1:29" x14ac:dyDescent="0.25">
      <c r="A415" s="42"/>
      <c r="B415" s="34" t="s">
        <v>6</v>
      </c>
      <c r="C415" s="34"/>
      <c r="D415" s="35">
        <v>43624</v>
      </c>
      <c r="E415" s="34"/>
      <c r="F415" s="34" t="s">
        <v>616</v>
      </c>
      <c r="G415" s="34" t="s">
        <v>27</v>
      </c>
      <c r="H415" s="36">
        <v>-5.29</v>
      </c>
      <c r="I415" s="36">
        <f>IF(Log_2019[[#This Row],[My Category]]="NONTRACKED",0,Log_2019[[#This Row],[Raw Amount]])</f>
        <v>-5.29</v>
      </c>
      <c r="J415" s="37">
        <f>ABS(Log_2019[[#This Row],[Amount]])</f>
        <v>5.29</v>
      </c>
      <c r="K415" s="38">
        <v>1</v>
      </c>
      <c r="L415" s="38">
        <f ca="1">IF(Log_2019[[#This Row],[Date]]&lt;=TODAY(), MIN(Log_2019[[#This Row],[Split_raw]], TODAY()-Log_2019[[#This Row],[Date]]+1), 0)</f>
        <v>1</v>
      </c>
      <c r="M415" s="34" t="s">
        <v>40</v>
      </c>
      <c r="N415" s="34" t="s">
        <v>158</v>
      </c>
      <c r="O415" s="7">
        <v>0</v>
      </c>
      <c r="P415" s="52">
        <f ca="1">Log_2019[[#This Row],[Amount]]/Log_2019[[#This Row],[Split_raw]]*MAX(0,MIN(_xlfn.DAYS(EDATE(P$1,1),Log_2019[[#This Row],[Date]]),Log_2019[[#This Row],[Split_apply]])) - SUM($O415:O415)</f>
        <v>0</v>
      </c>
      <c r="Q415" s="52">
        <f ca="1">Log_2019[[#This Row],[Amount]]/Log_2019[[#This Row],[Split_raw]]*MAX(0,MIN(_xlfn.DAYS(EDATE(Q$1,1),Log_2019[[#This Row],[Date]]),Log_2019[[#This Row],[Split_apply]])) - SUM($O415:P415)</f>
        <v>0</v>
      </c>
      <c r="R415" s="52">
        <f ca="1">Log_2019[[#This Row],[Amount]]/Log_2019[[#This Row],[Split_raw]]*MAX(0,MIN(_xlfn.DAYS(EDATE(R$1,1),Log_2019[[#This Row],[Date]]),Log_2019[[#This Row],[Split_apply]])) - SUM($O415:Q415)</f>
        <v>0</v>
      </c>
      <c r="S415" s="52">
        <f ca="1">Log_2019[[#This Row],[Amount]]/Log_2019[[#This Row],[Split_raw]]*MAX(0,MIN(_xlfn.DAYS(EDATE(S$1,1),Log_2019[[#This Row],[Date]]),Log_2019[[#This Row],[Split_apply]])) - SUM($O415:R415)</f>
        <v>0</v>
      </c>
      <c r="T415" s="52">
        <f ca="1">Log_2019[[#This Row],[Amount]]/Log_2019[[#This Row],[Split_raw]]*MAX(0,MIN(_xlfn.DAYS(EDATE(T$1,1),Log_2019[[#This Row],[Date]]),Log_2019[[#This Row],[Split_apply]])) - SUM($O415:S415)</f>
        <v>0</v>
      </c>
      <c r="U415" s="52">
        <f ca="1">Log_2019[[#This Row],[Amount]]/Log_2019[[#This Row],[Split_raw]]*MAX(0,MIN(_xlfn.DAYS(EDATE(U$1,1),Log_2019[[#This Row],[Date]]),Log_2019[[#This Row],[Split_apply]])) - SUM($O415:T415)</f>
        <v>-5.29</v>
      </c>
      <c r="V415" s="52">
        <f ca="1">Log_2019[[#This Row],[Amount]]/Log_2019[[#This Row],[Split_raw]]*MAX(0,MIN(_xlfn.DAYS(EDATE(V$1,1),Log_2019[[#This Row],[Date]]),Log_2019[[#This Row],[Split_apply]])) - SUM($O415:U415)</f>
        <v>0</v>
      </c>
      <c r="W415" s="52">
        <f ca="1">Log_2019[[#This Row],[Amount]]/Log_2019[[#This Row],[Split_raw]]*MAX(0,MIN(_xlfn.DAYS(EDATE(W$1,1),Log_2019[[#This Row],[Date]]),Log_2019[[#This Row],[Split_apply]])) - SUM($O415:V415)</f>
        <v>0</v>
      </c>
      <c r="X415" s="52">
        <f ca="1">Log_2019[[#This Row],[Amount]]/Log_2019[[#This Row],[Split_raw]]*MAX(0,MIN(_xlfn.DAYS(EDATE(X$1,1),Log_2019[[#This Row],[Date]]),Log_2019[[#This Row],[Split_apply]])) - SUM($O415:W415)</f>
        <v>0</v>
      </c>
      <c r="Y415" s="52">
        <f ca="1">Log_2019[[#This Row],[Amount]]/Log_2019[[#This Row],[Split_raw]]*MAX(0,MIN(_xlfn.DAYS(EDATE(Y$1,1),Log_2019[[#This Row],[Date]]),Log_2019[[#This Row],[Split_apply]])) - SUM($O415:X415)</f>
        <v>0</v>
      </c>
      <c r="Z415" s="52">
        <f ca="1">Log_2019[[#This Row],[Amount]]/Log_2019[[#This Row],[Split_raw]]*MAX(0,MIN(_xlfn.DAYS(EDATE(Z$1,1),Log_2019[[#This Row],[Date]]),Log_2019[[#This Row],[Split_apply]])) - SUM($O415:Y415)</f>
        <v>0</v>
      </c>
      <c r="AA415" s="52">
        <f ca="1">Log_2019[[#This Row],[Amount]]/Log_2019[[#This Row],[Split_raw]]*MAX(0,MIN(_xlfn.DAYS(EDATE(AA$1,1),Log_2019[[#This Row],[Date]]),Log_2019[[#This Row],[Split_apply]])) - SUM($O415:Z415)</f>
        <v>0</v>
      </c>
      <c r="AB415" s="54">
        <f ca="1">Log_2019[[#This Row],[Amount]]-SUM(O415:AA415)</f>
        <v>0</v>
      </c>
      <c r="AC415" s="7">
        <f>MAX(0,Log_2019[[#This Row],[Split_raw]] - (EDATE(AA$1,1)-Log_2019[[#This Row],[Date]]))</f>
        <v>0</v>
      </c>
    </row>
    <row r="416" spans="1:29" x14ac:dyDescent="0.25">
      <c r="A416" s="42"/>
      <c r="B416" s="34" t="s">
        <v>6</v>
      </c>
      <c r="C416" s="34"/>
      <c r="D416" s="35">
        <v>43624</v>
      </c>
      <c r="E416" s="34"/>
      <c r="F416" s="34" t="s">
        <v>617</v>
      </c>
      <c r="G416" s="34" t="s">
        <v>27</v>
      </c>
      <c r="H416" s="36">
        <v>-10.54</v>
      </c>
      <c r="I416" s="36">
        <f>IF(Log_2019[[#This Row],[My Category]]="NONTRACKED",0,Log_2019[[#This Row],[Raw Amount]])</f>
        <v>-10.54</v>
      </c>
      <c r="J416" s="37">
        <f>ABS(Log_2019[[#This Row],[Amount]])</f>
        <v>10.54</v>
      </c>
      <c r="K416" s="38">
        <v>1</v>
      </c>
      <c r="L416" s="38">
        <f ca="1">IF(Log_2019[[#This Row],[Date]]&lt;=TODAY(), MIN(Log_2019[[#This Row],[Split_raw]], TODAY()-Log_2019[[#This Row],[Date]]+1), 0)</f>
        <v>1</v>
      </c>
      <c r="M416" s="34" t="s">
        <v>40</v>
      </c>
      <c r="N416" s="34" t="s">
        <v>158</v>
      </c>
      <c r="O416" s="7">
        <v>0</v>
      </c>
      <c r="P416" s="52">
        <f ca="1">Log_2019[[#This Row],[Amount]]/Log_2019[[#This Row],[Split_raw]]*MAX(0,MIN(_xlfn.DAYS(EDATE(P$1,1),Log_2019[[#This Row],[Date]]),Log_2019[[#This Row],[Split_apply]])) - SUM($O416:O416)</f>
        <v>0</v>
      </c>
      <c r="Q416" s="52">
        <f ca="1">Log_2019[[#This Row],[Amount]]/Log_2019[[#This Row],[Split_raw]]*MAX(0,MIN(_xlfn.DAYS(EDATE(Q$1,1),Log_2019[[#This Row],[Date]]),Log_2019[[#This Row],[Split_apply]])) - SUM($O416:P416)</f>
        <v>0</v>
      </c>
      <c r="R416" s="52">
        <f ca="1">Log_2019[[#This Row],[Amount]]/Log_2019[[#This Row],[Split_raw]]*MAX(0,MIN(_xlfn.DAYS(EDATE(R$1,1),Log_2019[[#This Row],[Date]]),Log_2019[[#This Row],[Split_apply]])) - SUM($O416:Q416)</f>
        <v>0</v>
      </c>
      <c r="S416" s="52">
        <f ca="1">Log_2019[[#This Row],[Amount]]/Log_2019[[#This Row],[Split_raw]]*MAX(0,MIN(_xlfn.DAYS(EDATE(S$1,1),Log_2019[[#This Row],[Date]]),Log_2019[[#This Row],[Split_apply]])) - SUM($O416:R416)</f>
        <v>0</v>
      </c>
      <c r="T416" s="52">
        <f ca="1">Log_2019[[#This Row],[Amount]]/Log_2019[[#This Row],[Split_raw]]*MAX(0,MIN(_xlfn.DAYS(EDATE(T$1,1),Log_2019[[#This Row],[Date]]),Log_2019[[#This Row],[Split_apply]])) - SUM($O416:S416)</f>
        <v>0</v>
      </c>
      <c r="U416" s="52">
        <f ca="1">Log_2019[[#This Row],[Amount]]/Log_2019[[#This Row],[Split_raw]]*MAX(0,MIN(_xlfn.DAYS(EDATE(U$1,1),Log_2019[[#This Row],[Date]]),Log_2019[[#This Row],[Split_apply]])) - SUM($O416:T416)</f>
        <v>-10.54</v>
      </c>
      <c r="V416" s="52">
        <f ca="1">Log_2019[[#This Row],[Amount]]/Log_2019[[#This Row],[Split_raw]]*MAX(0,MIN(_xlfn.DAYS(EDATE(V$1,1),Log_2019[[#This Row],[Date]]),Log_2019[[#This Row],[Split_apply]])) - SUM($O416:U416)</f>
        <v>0</v>
      </c>
      <c r="W416" s="52">
        <f ca="1">Log_2019[[#This Row],[Amount]]/Log_2019[[#This Row],[Split_raw]]*MAX(0,MIN(_xlfn.DAYS(EDATE(W$1,1),Log_2019[[#This Row],[Date]]),Log_2019[[#This Row],[Split_apply]])) - SUM($O416:V416)</f>
        <v>0</v>
      </c>
      <c r="X416" s="52">
        <f ca="1">Log_2019[[#This Row],[Amount]]/Log_2019[[#This Row],[Split_raw]]*MAX(0,MIN(_xlfn.DAYS(EDATE(X$1,1),Log_2019[[#This Row],[Date]]),Log_2019[[#This Row],[Split_apply]])) - SUM($O416:W416)</f>
        <v>0</v>
      </c>
      <c r="Y416" s="52">
        <f ca="1">Log_2019[[#This Row],[Amount]]/Log_2019[[#This Row],[Split_raw]]*MAX(0,MIN(_xlfn.DAYS(EDATE(Y$1,1),Log_2019[[#This Row],[Date]]),Log_2019[[#This Row],[Split_apply]])) - SUM($O416:X416)</f>
        <v>0</v>
      </c>
      <c r="Z416" s="52">
        <f ca="1">Log_2019[[#This Row],[Amount]]/Log_2019[[#This Row],[Split_raw]]*MAX(0,MIN(_xlfn.DAYS(EDATE(Z$1,1),Log_2019[[#This Row],[Date]]),Log_2019[[#This Row],[Split_apply]])) - SUM($O416:Y416)</f>
        <v>0</v>
      </c>
      <c r="AA416" s="52">
        <f ca="1">Log_2019[[#This Row],[Amount]]/Log_2019[[#This Row],[Split_raw]]*MAX(0,MIN(_xlfn.DAYS(EDATE(AA$1,1),Log_2019[[#This Row],[Date]]),Log_2019[[#This Row],[Split_apply]])) - SUM($O416:Z416)</f>
        <v>0</v>
      </c>
      <c r="AB416" s="54">
        <f ca="1">Log_2019[[#This Row],[Amount]]-SUM(O416:AA416)</f>
        <v>0</v>
      </c>
      <c r="AC416" s="7">
        <f>MAX(0,Log_2019[[#This Row],[Split_raw]] - (EDATE(AA$1,1)-Log_2019[[#This Row],[Date]]))</f>
        <v>0</v>
      </c>
    </row>
    <row r="417" spans="1:29" x14ac:dyDescent="0.25">
      <c r="A417" s="42"/>
      <c r="B417" s="34" t="s">
        <v>490</v>
      </c>
      <c r="C417" s="34">
        <v>2.7614578129481201E+18</v>
      </c>
      <c r="D417" s="41">
        <v>43624</v>
      </c>
      <c r="E417" s="34"/>
      <c r="F417" s="34" t="s">
        <v>734</v>
      </c>
      <c r="G417" s="34"/>
      <c r="H417" s="45">
        <v>25</v>
      </c>
      <c r="I417" s="36">
        <f>IF(Log_2019[[#This Row],[My Category]]="NONTRACKED",0,Log_2019[[#This Row],[Raw Amount]])</f>
        <v>25</v>
      </c>
      <c r="J417" s="37">
        <f>ABS(Log_2019[[#This Row],[Amount]])</f>
        <v>25</v>
      </c>
      <c r="K417" s="38">
        <v>1</v>
      </c>
      <c r="L417" s="38">
        <f ca="1">IF(Log_2019[[#This Row],[Date]]&lt;=TODAY(), MIN(Log_2019[[#This Row],[Split_raw]], TODAY()-Log_2019[[#This Row],[Date]]+1), 0)</f>
        <v>1</v>
      </c>
      <c r="M417" s="34" t="s">
        <v>37</v>
      </c>
      <c r="N417" s="34" t="s">
        <v>490</v>
      </c>
      <c r="O417" s="7">
        <v>0</v>
      </c>
      <c r="P417" s="52">
        <f ca="1">Log_2019[[#This Row],[Amount]]/Log_2019[[#This Row],[Split_raw]]*MAX(0,MIN(_xlfn.DAYS(EDATE(P$1,1),Log_2019[[#This Row],[Date]]),Log_2019[[#This Row],[Split_apply]])) - SUM($O417:O417)</f>
        <v>0</v>
      </c>
      <c r="Q417" s="52">
        <f ca="1">Log_2019[[#This Row],[Amount]]/Log_2019[[#This Row],[Split_raw]]*MAX(0,MIN(_xlfn.DAYS(EDATE(Q$1,1),Log_2019[[#This Row],[Date]]),Log_2019[[#This Row],[Split_apply]])) - SUM($O417:P417)</f>
        <v>0</v>
      </c>
      <c r="R417" s="52">
        <f ca="1">Log_2019[[#This Row],[Amount]]/Log_2019[[#This Row],[Split_raw]]*MAX(0,MIN(_xlfn.DAYS(EDATE(R$1,1),Log_2019[[#This Row],[Date]]),Log_2019[[#This Row],[Split_apply]])) - SUM($O417:Q417)</f>
        <v>0</v>
      </c>
      <c r="S417" s="52">
        <f ca="1">Log_2019[[#This Row],[Amount]]/Log_2019[[#This Row],[Split_raw]]*MAX(0,MIN(_xlfn.DAYS(EDATE(S$1,1),Log_2019[[#This Row],[Date]]),Log_2019[[#This Row],[Split_apply]])) - SUM($O417:R417)</f>
        <v>0</v>
      </c>
      <c r="T417" s="52">
        <f ca="1">Log_2019[[#This Row],[Amount]]/Log_2019[[#This Row],[Split_raw]]*MAX(0,MIN(_xlfn.DAYS(EDATE(T$1,1),Log_2019[[#This Row],[Date]]),Log_2019[[#This Row],[Split_apply]])) - SUM($O417:S417)</f>
        <v>0</v>
      </c>
      <c r="U417" s="52">
        <f ca="1">Log_2019[[#This Row],[Amount]]/Log_2019[[#This Row],[Split_raw]]*MAX(0,MIN(_xlfn.DAYS(EDATE(U$1,1),Log_2019[[#This Row],[Date]]),Log_2019[[#This Row],[Split_apply]])) - SUM($O417:T417)</f>
        <v>25</v>
      </c>
      <c r="V417" s="52">
        <f ca="1">Log_2019[[#This Row],[Amount]]/Log_2019[[#This Row],[Split_raw]]*MAX(0,MIN(_xlfn.DAYS(EDATE(V$1,1),Log_2019[[#This Row],[Date]]),Log_2019[[#This Row],[Split_apply]])) - SUM($O417:U417)</f>
        <v>0</v>
      </c>
      <c r="W417" s="52">
        <f ca="1">Log_2019[[#This Row],[Amount]]/Log_2019[[#This Row],[Split_raw]]*MAX(0,MIN(_xlfn.DAYS(EDATE(W$1,1),Log_2019[[#This Row],[Date]]),Log_2019[[#This Row],[Split_apply]])) - SUM($O417:V417)</f>
        <v>0</v>
      </c>
      <c r="X417" s="52">
        <f ca="1">Log_2019[[#This Row],[Amount]]/Log_2019[[#This Row],[Split_raw]]*MAX(0,MIN(_xlfn.DAYS(EDATE(X$1,1),Log_2019[[#This Row],[Date]]),Log_2019[[#This Row],[Split_apply]])) - SUM($O417:W417)</f>
        <v>0</v>
      </c>
      <c r="Y417" s="52">
        <f ca="1">Log_2019[[#This Row],[Amount]]/Log_2019[[#This Row],[Split_raw]]*MAX(0,MIN(_xlfn.DAYS(EDATE(Y$1,1),Log_2019[[#This Row],[Date]]),Log_2019[[#This Row],[Split_apply]])) - SUM($O417:X417)</f>
        <v>0</v>
      </c>
      <c r="Z417" s="52">
        <f ca="1">Log_2019[[#This Row],[Amount]]/Log_2019[[#This Row],[Split_raw]]*MAX(0,MIN(_xlfn.DAYS(EDATE(Z$1,1),Log_2019[[#This Row],[Date]]),Log_2019[[#This Row],[Split_apply]])) - SUM($O417:Y417)</f>
        <v>0</v>
      </c>
      <c r="AA417" s="52">
        <f ca="1">Log_2019[[#This Row],[Amount]]/Log_2019[[#This Row],[Split_raw]]*MAX(0,MIN(_xlfn.DAYS(EDATE(AA$1,1),Log_2019[[#This Row],[Date]]),Log_2019[[#This Row],[Split_apply]])) - SUM($O417:Z417)</f>
        <v>0</v>
      </c>
      <c r="AB417" s="54">
        <f ca="1">Log_2019[[#This Row],[Amount]]-SUM(O417:AA417)</f>
        <v>0</v>
      </c>
      <c r="AC417" s="7">
        <f>MAX(0,Log_2019[[#This Row],[Split_raw]] - (EDATE(AA$1,1)-Log_2019[[#This Row],[Date]]))</f>
        <v>0</v>
      </c>
    </row>
    <row r="418" spans="1:29" x14ac:dyDescent="0.25">
      <c r="A418" s="42"/>
      <c r="B418" s="34" t="s">
        <v>6</v>
      </c>
      <c r="C418" s="34"/>
      <c r="D418" s="35">
        <v>43623</v>
      </c>
      <c r="E418" s="34"/>
      <c r="F418" s="34" t="s">
        <v>618</v>
      </c>
      <c r="G418" s="34" t="s">
        <v>27</v>
      </c>
      <c r="H418" s="36">
        <v>-5.07</v>
      </c>
      <c r="I418" s="36">
        <f>IF(Log_2019[[#This Row],[My Category]]="NONTRACKED",0,Log_2019[[#This Row],[Raw Amount]])</f>
        <v>-5.07</v>
      </c>
      <c r="J418" s="37">
        <f>ABS(Log_2019[[#This Row],[Amount]])</f>
        <v>5.07</v>
      </c>
      <c r="K418" s="38">
        <v>1</v>
      </c>
      <c r="L418" s="38">
        <f ca="1">IF(Log_2019[[#This Row],[Date]]&lt;=TODAY(), MIN(Log_2019[[#This Row],[Split_raw]], TODAY()-Log_2019[[#This Row],[Date]]+1), 0)</f>
        <v>1</v>
      </c>
      <c r="M418" s="34" t="s">
        <v>40</v>
      </c>
      <c r="N418" s="34" t="s">
        <v>158</v>
      </c>
      <c r="O418" s="7">
        <v>0</v>
      </c>
      <c r="P418" s="52">
        <f ca="1">Log_2019[[#This Row],[Amount]]/Log_2019[[#This Row],[Split_raw]]*MAX(0,MIN(_xlfn.DAYS(EDATE(P$1,1),Log_2019[[#This Row],[Date]]),Log_2019[[#This Row],[Split_apply]])) - SUM($O418:O418)</f>
        <v>0</v>
      </c>
      <c r="Q418" s="52">
        <f ca="1">Log_2019[[#This Row],[Amount]]/Log_2019[[#This Row],[Split_raw]]*MAX(0,MIN(_xlfn.DAYS(EDATE(Q$1,1),Log_2019[[#This Row],[Date]]),Log_2019[[#This Row],[Split_apply]])) - SUM($O418:P418)</f>
        <v>0</v>
      </c>
      <c r="R418" s="52">
        <f ca="1">Log_2019[[#This Row],[Amount]]/Log_2019[[#This Row],[Split_raw]]*MAX(0,MIN(_xlfn.DAYS(EDATE(R$1,1),Log_2019[[#This Row],[Date]]),Log_2019[[#This Row],[Split_apply]])) - SUM($O418:Q418)</f>
        <v>0</v>
      </c>
      <c r="S418" s="52">
        <f ca="1">Log_2019[[#This Row],[Amount]]/Log_2019[[#This Row],[Split_raw]]*MAX(0,MIN(_xlfn.DAYS(EDATE(S$1,1),Log_2019[[#This Row],[Date]]),Log_2019[[#This Row],[Split_apply]])) - SUM($O418:R418)</f>
        <v>0</v>
      </c>
      <c r="T418" s="52">
        <f ca="1">Log_2019[[#This Row],[Amount]]/Log_2019[[#This Row],[Split_raw]]*MAX(0,MIN(_xlfn.DAYS(EDATE(T$1,1),Log_2019[[#This Row],[Date]]),Log_2019[[#This Row],[Split_apply]])) - SUM($O418:S418)</f>
        <v>0</v>
      </c>
      <c r="U418" s="52">
        <f ca="1">Log_2019[[#This Row],[Amount]]/Log_2019[[#This Row],[Split_raw]]*MAX(0,MIN(_xlfn.DAYS(EDATE(U$1,1),Log_2019[[#This Row],[Date]]),Log_2019[[#This Row],[Split_apply]])) - SUM($O418:T418)</f>
        <v>-5.07</v>
      </c>
      <c r="V418" s="52">
        <f ca="1">Log_2019[[#This Row],[Amount]]/Log_2019[[#This Row],[Split_raw]]*MAX(0,MIN(_xlfn.DAYS(EDATE(V$1,1),Log_2019[[#This Row],[Date]]),Log_2019[[#This Row],[Split_apply]])) - SUM($O418:U418)</f>
        <v>0</v>
      </c>
      <c r="W418" s="52">
        <f ca="1">Log_2019[[#This Row],[Amount]]/Log_2019[[#This Row],[Split_raw]]*MAX(0,MIN(_xlfn.DAYS(EDATE(W$1,1),Log_2019[[#This Row],[Date]]),Log_2019[[#This Row],[Split_apply]])) - SUM($O418:V418)</f>
        <v>0</v>
      </c>
      <c r="X418" s="52">
        <f ca="1">Log_2019[[#This Row],[Amount]]/Log_2019[[#This Row],[Split_raw]]*MAX(0,MIN(_xlfn.DAYS(EDATE(X$1,1),Log_2019[[#This Row],[Date]]),Log_2019[[#This Row],[Split_apply]])) - SUM($O418:W418)</f>
        <v>0</v>
      </c>
      <c r="Y418" s="52">
        <f ca="1">Log_2019[[#This Row],[Amount]]/Log_2019[[#This Row],[Split_raw]]*MAX(0,MIN(_xlfn.DAYS(EDATE(Y$1,1),Log_2019[[#This Row],[Date]]),Log_2019[[#This Row],[Split_apply]])) - SUM($O418:X418)</f>
        <v>0</v>
      </c>
      <c r="Z418" s="52">
        <f ca="1">Log_2019[[#This Row],[Amount]]/Log_2019[[#This Row],[Split_raw]]*MAX(0,MIN(_xlfn.DAYS(EDATE(Z$1,1),Log_2019[[#This Row],[Date]]),Log_2019[[#This Row],[Split_apply]])) - SUM($O418:Y418)</f>
        <v>0</v>
      </c>
      <c r="AA418" s="52">
        <f ca="1">Log_2019[[#This Row],[Amount]]/Log_2019[[#This Row],[Split_raw]]*MAX(0,MIN(_xlfn.DAYS(EDATE(AA$1,1),Log_2019[[#This Row],[Date]]),Log_2019[[#This Row],[Split_apply]])) - SUM($O418:Z418)</f>
        <v>0</v>
      </c>
      <c r="AB418" s="54">
        <f ca="1">Log_2019[[#This Row],[Amount]]-SUM(O418:AA418)</f>
        <v>0</v>
      </c>
      <c r="AC418" s="7">
        <f>MAX(0,Log_2019[[#This Row],[Split_raw]] - (EDATE(AA$1,1)-Log_2019[[#This Row],[Date]]))</f>
        <v>0</v>
      </c>
    </row>
    <row r="419" spans="1:29" x14ac:dyDescent="0.25">
      <c r="A419" s="42"/>
      <c r="B419" s="34" t="s">
        <v>6</v>
      </c>
      <c r="C419" s="34"/>
      <c r="D419" s="35">
        <v>43623</v>
      </c>
      <c r="E419" s="34"/>
      <c r="F419" s="34" t="s">
        <v>619</v>
      </c>
      <c r="G419" s="34" t="s">
        <v>25</v>
      </c>
      <c r="H419" s="36">
        <v>-39.32</v>
      </c>
      <c r="I419" s="36">
        <f>IF(Log_2019[[#This Row],[My Category]]="NONTRACKED",0,Log_2019[[#This Row],[Raw Amount]])</f>
        <v>-39.32</v>
      </c>
      <c r="J419" s="37">
        <f>ABS(Log_2019[[#This Row],[Amount]])</f>
        <v>39.32</v>
      </c>
      <c r="K419" s="38">
        <v>1</v>
      </c>
      <c r="L419" s="38">
        <f ca="1">IF(Log_2019[[#This Row],[Date]]&lt;=TODAY(), MIN(Log_2019[[#This Row],[Split_raw]], TODAY()-Log_2019[[#This Row],[Date]]+1), 0)</f>
        <v>1</v>
      </c>
      <c r="M419" s="34" t="s">
        <v>40</v>
      </c>
      <c r="N419" s="34" t="s">
        <v>158</v>
      </c>
      <c r="O419" s="7">
        <v>0</v>
      </c>
      <c r="P419" s="52">
        <f ca="1">Log_2019[[#This Row],[Amount]]/Log_2019[[#This Row],[Split_raw]]*MAX(0,MIN(_xlfn.DAYS(EDATE(P$1,1),Log_2019[[#This Row],[Date]]),Log_2019[[#This Row],[Split_apply]])) - SUM($O419:O419)</f>
        <v>0</v>
      </c>
      <c r="Q419" s="52">
        <f ca="1">Log_2019[[#This Row],[Amount]]/Log_2019[[#This Row],[Split_raw]]*MAX(0,MIN(_xlfn.DAYS(EDATE(Q$1,1),Log_2019[[#This Row],[Date]]),Log_2019[[#This Row],[Split_apply]])) - SUM($O419:P419)</f>
        <v>0</v>
      </c>
      <c r="R419" s="52">
        <f ca="1">Log_2019[[#This Row],[Amount]]/Log_2019[[#This Row],[Split_raw]]*MAX(0,MIN(_xlfn.DAYS(EDATE(R$1,1),Log_2019[[#This Row],[Date]]),Log_2019[[#This Row],[Split_apply]])) - SUM($O419:Q419)</f>
        <v>0</v>
      </c>
      <c r="S419" s="52">
        <f ca="1">Log_2019[[#This Row],[Amount]]/Log_2019[[#This Row],[Split_raw]]*MAX(0,MIN(_xlfn.DAYS(EDATE(S$1,1),Log_2019[[#This Row],[Date]]),Log_2019[[#This Row],[Split_apply]])) - SUM($O419:R419)</f>
        <v>0</v>
      </c>
      <c r="T419" s="52">
        <f ca="1">Log_2019[[#This Row],[Amount]]/Log_2019[[#This Row],[Split_raw]]*MAX(0,MIN(_xlfn.DAYS(EDATE(T$1,1),Log_2019[[#This Row],[Date]]),Log_2019[[#This Row],[Split_apply]])) - SUM($O419:S419)</f>
        <v>0</v>
      </c>
      <c r="U419" s="52">
        <f ca="1">Log_2019[[#This Row],[Amount]]/Log_2019[[#This Row],[Split_raw]]*MAX(0,MIN(_xlfn.DAYS(EDATE(U$1,1),Log_2019[[#This Row],[Date]]),Log_2019[[#This Row],[Split_apply]])) - SUM($O419:T419)</f>
        <v>-39.32</v>
      </c>
      <c r="V419" s="52">
        <f ca="1">Log_2019[[#This Row],[Amount]]/Log_2019[[#This Row],[Split_raw]]*MAX(0,MIN(_xlfn.DAYS(EDATE(V$1,1),Log_2019[[#This Row],[Date]]),Log_2019[[#This Row],[Split_apply]])) - SUM($O419:U419)</f>
        <v>0</v>
      </c>
      <c r="W419" s="52">
        <f ca="1">Log_2019[[#This Row],[Amount]]/Log_2019[[#This Row],[Split_raw]]*MAX(0,MIN(_xlfn.DAYS(EDATE(W$1,1),Log_2019[[#This Row],[Date]]),Log_2019[[#This Row],[Split_apply]])) - SUM($O419:V419)</f>
        <v>0</v>
      </c>
      <c r="X419" s="52">
        <f ca="1">Log_2019[[#This Row],[Amount]]/Log_2019[[#This Row],[Split_raw]]*MAX(0,MIN(_xlfn.DAYS(EDATE(X$1,1),Log_2019[[#This Row],[Date]]),Log_2019[[#This Row],[Split_apply]])) - SUM($O419:W419)</f>
        <v>0</v>
      </c>
      <c r="Y419" s="52">
        <f ca="1">Log_2019[[#This Row],[Amount]]/Log_2019[[#This Row],[Split_raw]]*MAX(0,MIN(_xlfn.DAYS(EDATE(Y$1,1),Log_2019[[#This Row],[Date]]),Log_2019[[#This Row],[Split_apply]])) - SUM($O419:X419)</f>
        <v>0</v>
      </c>
      <c r="Z419" s="52">
        <f ca="1">Log_2019[[#This Row],[Amount]]/Log_2019[[#This Row],[Split_raw]]*MAX(0,MIN(_xlfn.DAYS(EDATE(Z$1,1),Log_2019[[#This Row],[Date]]),Log_2019[[#This Row],[Split_apply]])) - SUM($O419:Y419)</f>
        <v>0</v>
      </c>
      <c r="AA419" s="52">
        <f ca="1">Log_2019[[#This Row],[Amount]]/Log_2019[[#This Row],[Split_raw]]*MAX(0,MIN(_xlfn.DAYS(EDATE(AA$1,1),Log_2019[[#This Row],[Date]]),Log_2019[[#This Row],[Split_apply]])) - SUM($O419:Z419)</f>
        <v>0</v>
      </c>
      <c r="AB419" s="54">
        <f ca="1">Log_2019[[#This Row],[Amount]]-SUM(O419:AA419)</f>
        <v>0</v>
      </c>
      <c r="AC419" s="7">
        <f>MAX(0,Log_2019[[#This Row],[Split_raw]] - (EDATE(AA$1,1)-Log_2019[[#This Row],[Date]]))</f>
        <v>0</v>
      </c>
    </row>
    <row r="420" spans="1:29" x14ac:dyDescent="0.25">
      <c r="A420" s="42"/>
      <c r="B420" s="34" t="s">
        <v>490</v>
      </c>
      <c r="C420" s="34">
        <v>2.7612069225593498E+18</v>
      </c>
      <c r="D420" s="41">
        <v>43623</v>
      </c>
      <c r="E420" s="34"/>
      <c r="F420" s="34" t="s">
        <v>733</v>
      </c>
      <c r="G420" s="34"/>
      <c r="H420" s="45">
        <v>-13.5</v>
      </c>
      <c r="I420" s="36">
        <f>IF(Log_2019[[#This Row],[My Category]]="NONTRACKED",0,Log_2019[[#This Row],[Raw Amount]])</f>
        <v>-13.5</v>
      </c>
      <c r="J420" s="37">
        <f>ABS(Log_2019[[#This Row],[Amount]])</f>
        <v>13.5</v>
      </c>
      <c r="K420" s="38">
        <v>1</v>
      </c>
      <c r="L420" s="38">
        <f ca="1">IF(Log_2019[[#This Row],[Date]]&lt;=TODAY(), MIN(Log_2019[[#This Row],[Split_raw]], TODAY()-Log_2019[[#This Row],[Date]]+1), 0)</f>
        <v>1</v>
      </c>
      <c r="M420" s="34" t="s">
        <v>35</v>
      </c>
      <c r="N420" s="34" t="s">
        <v>490</v>
      </c>
      <c r="O420" s="7">
        <v>0</v>
      </c>
      <c r="P420" s="52">
        <f ca="1">Log_2019[[#This Row],[Amount]]/Log_2019[[#This Row],[Split_raw]]*MAX(0,MIN(_xlfn.DAYS(EDATE(P$1,1),Log_2019[[#This Row],[Date]]),Log_2019[[#This Row],[Split_apply]])) - SUM($O420:O420)</f>
        <v>0</v>
      </c>
      <c r="Q420" s="52">
        <f ca="1">Log_2019[[#This Row],[Amount]]/Log_2019[[#This Row],[Split_raw]]*MAX(0,MIN(_xlfn.DAYS(EDATE(Q$1,1),Log_2019[[#This Row],[Date]]),Log_2019[[#This Row],[Split_apply]])) - SUM($O420:P420)</f>
        <v>0</v>
      </c>
      <c r="R420" s="52">
        <f ca="1">Log_2019[[#This Row],[Amount]]/Log_2019[[#This Row],[Split_raw]]*MAX(0,MIN(_xlfn.DAYS(EDATE(R$1,1),Log_2019[[#This Row],[Date]]),Log_2019[[#This Row],[Split_apply]])) - SUM($O420:Q420)</f>
        <v>0</v>
      </c>
      <c r="S420" s="52">
        <f ca="1">Log_2019[[#This Row],[Amount]]/Log_2019[[#This Row],[Split_raw]]*MAX(0,MIN(_xlfn.DAYS(EDATE(S$1,1),Log_2019[[#This Row],[Date]]),Log_2019[[#This Row],[Split_apply]])) - SUM($O420:R420)</f>
        <v>0</v>
      </c>
      <c r="T420" s="52">
        <f ca="1">Log_2019[[#This Row],[Amount]]/Log_2019[[#This Row],[Split_raw]]*MAX(0,MIN(_xlfn.DAYS(EDATE(T$1,1),Log_2019[[#This Row],[Date]]),Log_2019[[#This Row],[Split_apply]])) - SUM($O420:S420)</f>
        <v>0</v>
      </c>
      <c r="U420" s="52">
        <f ca="1">Log_2019[[#This Row],[Amount]]/Log_2019[[#This Row],[Split_raw]]*MAX(0,MIN(_xlfn.DAYS(EDATE(U$1,1),Log_2019[[#This Row],[Date]]),Log_2019[[#This Row],[Split_apply]])) - SUM($O420:T420)</f>
        <v>-13.5</v>
      </c>
      <c r="V420" s="52">
        <f ca="1">Log_2019[[#This Row],[Amount]]/Log_2019[[#This Row],[Split_raw]]*MAX(0,MIN(_xlfn.DAYS(EDATE(V$1,1),Log_2019[[#This Row],[Date]]),Log_2019[[#This Row],[Split_apply]])) - SUM($O420:U420)</f>
        <v>0</v>
      </c>
      <c r="W420" s="52">
        <f ca="1">Log_2019[[#This Row],[Amount]]/Log_2019[[#This Row],[Split_raw]]*MAX(0,MIN(_xlfn.DAYS(EDATE(W$1,1),Log_2019[[#This Row],[Date]]),Log_2019[[#This Row],[Split_apply]])) - SUM($O420:V420)</f>
        <v>0</v>
      </c>
      <c r="X420" s="52">
        <f ca="1">Log_2019[[#This Row],[Amount]]/Log_2019[[#This Row],[Split_raw]]*MAX(0,MIN(_xlfn.DAYS(EDATE(X$1,1),Log_2019[[#This Row],[Date]]),Log_2019[[#This Row],[Split_apply]])) - SUM($O420:W420)</f>
        <v>0</v>
      </c>
      <c r="Y420" s="52">
        <f ca="1">Log_2019[[#This Row],[Amount]]/Log_2019[[#This Row],[Split_raw]]*MAX(0,MIN(_xlfn.DAYS(EDATE(Y$1,1),Log_2019[[#This Row],[Date]]),Log_2019[[#This Row],[Split_apply]])) - SUM($O420:X420)</f>
        <v>0</v>
      </c>
      <c r="Z420" s="52">
        <f ca="1">Log_2019[[#This Row],[Amount]]/Log_2019[[#This Row],[Split_raw]]*MAX(0,MIN(_xlfn.DAYS(EDATE(Z$1,1),Log_2019[[#This Row],[Date]]),Log_2019[[#This Row],[Split_apply]])) - SUM($O420:Y420)</f>
        <v>0</v>
      </c>
      <c r="AA420" s="52">
        <f ca="1">Log_2019[[#This Row],[Amount]]/Log_2019[[#This Row],[Split_raw]]*MAX(0,MIN(_xlfn.DAYS(EDATE(AA$1,1),Log_2019[[#This Row],[Date]]),Log_2019[[#This Row],[Split_apply]])) - SUM($O420:Z420)</f>
        <v>0</v>
      </c>
      <c r="AB420" s="54">
        <f ca="1">Log_2019[[#This Row],[Amount]]-SUM(O420:AA420)</f>
        <v>0</v>
      </c>
      <c r="AC420" s="7">
        <f>MAX(0,Log_2019[[#This Row],[Split_raw]] - (EDATE(AA$1,1)-Log_2019[[#This Row],[Date]]))</f>
        <v>0</v>
      </c>
    </row>
    <row r="421" spans="1:29" x14ac:dyDescent="0.25">
      <c r="A421" s="42"/>
      <c r="B421" s="34" t="s">
        <v>6</v>
      </c>
      <c r="C421" s="34"/>
      <c r="D421" s="35">
        <v>43622</v>
      </c>
      <c r="E421" s="34"/>
      <c r="F421" s="34" t="s">
        <v>620</v>
      </c>
      <c r="G421" s="34" t="s">
        <v>582</v>
      </c>
      <c r="H421" s="36">
        <v>-34.5</v>
      </c>
      <c r="I421" s="36">
        <f>IF(Log_2019[[#This Row],[My Category]]="NONTRACKED",0,Log_2019[[#This Row],[Raw Amount]])</f>
        <v>-34.5</v>
      </c>
      <c r="J421" s="37">
        <f>ABS(Log_2019[[#This Row],[Amount]])</f>
        <v>34.5</v>
      </c>
      <c r="K421" s="38">
        <v>30</v>
      </c>
      <c r="L421" s="38">
        <f ca="1">IF(Log_2019[[#This Row],[Date]]&lt;=TODAY(), MIN(Log_2019[[#This Row],[Split_raw]], TODAY()-Log_2019[[#This Row],[Date]]+1), 0)</f>
        <v>30</v>
      </c>
      <c r="M421" s="34" t="s">
        <v>29</v>
      </c>
      <c r="N421" s="34" t="s">
        <v>158</v>
      </c>
      <c r="O421" s="7">
        <v>0</v>
      </c>
      <c r="P421" s="52">
        <f ca="1">Log_2019[[#This Row],[Amount]]/Log_2019[[#This Row],[Split_raw]]*MAX(0,MIN(_xlfn.DAYS(EDATE(P$1,1),Log_2019[[#This Row],[Date]]),Log_2019[[#This Row],[Split_apply]])) - SUM($O421:O421)</f>
        <v>0</v>
      </c>
      <c r="Q421" s="52">
        <f ca="1">Log_2019[[#This Row],[Amount]]/Log_2019[[#This Row],[Split_raw]]*MAX(0,MIN(_xlfn.DAYS(EDATE(Q$1,1),Log_2019[[#This Row],[Date]]),Log_2019[[#This Row],[Split_apply]])) - SUM($O421:P421)</f>
        <v>0</v>
      </c>
      <c r="R421" s="52">
        <f ca="1">Log_2019[[#This Row],[Amount]]/Log_2019[[#This Row],[Split_raw]]*MAX(0,MIN(_xlfn.DAYS(EDATE(R$1,1),Log_2019[[#This Row],[Date]]),Log_2019[[#This Row],[Split_apply]])) - SUM($O421:Q421)</f>
        <v>0</v>
      </c>
      <c r="S421" s="52">
        <f ca="1">Log_2019[[#This Row],[Amount]]/Log_2019[[#This Row],[Split_raw]]*MAX(0,MIN(_xlfn.DAYS(EDATE(S$1,1),Log_2019[[#This Row],[Date]]),Log_2019[[#This Row],[Split_apply]])) - SUM($O421:R421)</f>
        <v>0</v>
      </c>
      <c r="T421" s="52">
        <f ca="1">Log_2019[[#This Row],[Amount]]/Log_2019[[#This Row],[Split_raw]]*MAX(0,MIN(_xlfn.DAYS(EDATE(T$1,1),Log_2019[[#This Row],[Date]]),Log_2019[[#This Row],[Split_apply]])) - SUM($O421:S421)</f>
        <v>0</v>
      </c>
      <c r="U421" s="52">
        <f ca="1">Log_2019[[#This Row],[Amount]]/Log_2019[[#This Row],[Split_raw]]*MAX(0,MIN(_xlfn.DAYS(EDATE(U$1,1),Log_2019[[#This Row],[Date]]),Log_2019[[#This Row],[Split_apply]])) - SUM($O421:T421)</f>
        <v>-28.749999999999996</v>
      </c>
      <c r="V421" s="52">
        <f ca="1">Log_2019[[#This Row],[Amount]]/Log_2019[[#This Row],[Split_raw]]*MAX(0,MIN(_xlfn.DAYS(EDATE(V$1,1),Log_2019[[#This Row],[Date]]),Log_2019[[#This Row],[Split_apply]])) - SUM($O421:U421)</f>
        <v>-5.7500000000000036</v>
      </c>
      <c r="W421" s="52">
        <f ca="1">Log_2019[[#This Row],[Amount]]/Log_2019[[#This Row],[Split_raw]]*MAX(0,MIN(_xlfn.DAYS(EDATE(W$1,1),Log_2019[[#This Row],[Date]]),Log_2019[[#This Row],[Split_apply]])) - SUM($O421:V421)</f>
        <v>0</v>
      </c>
      <c r="X421" s="52">
        <f ca="1">Log_2019[[#This Row],[Amount]]/Log_2019[[#This Row],[Split_raw]]*MAX(0,MIN(_xlfn.DAYS(EDATE(X$1,1),Log_2019[[#This Row],[Date]]),Log_2019[[#This Row],[Split_apply]])) - SUM($O421:W421)</f>
        <v>0</v>
      </c>
      <c r="Y421" s="52">
        <f ca="1">Log_2019[[#This Row],[Amount]]/Log_2019[[#This Row],[Split_raw]]*MAX(0,MIN(_xlfn.DAYS(EDATE(Y$1,1),Log_2019[[#This Row],[Date]]),Log_2019[[#This Row],[Split_apply]])) - SUM($O421:X421)</f>
        <v>0</v>
      </c>
      <c r="Z421" s="52">
        <f ca="1">Log_2019[[#This Row],[Amount]]/Log_2019[[#This Row],[Split_raw]]*MAX(0,MIN(_xlfn.DAYS(EDATE(Z$1,1),Log_2019[[#This Row],[Date]]),Log_2019[[#This Row],[Split_apply]])) - SUM($O421:Y421)</f>
        <v>0</v>
      </c>
      <c r="AA421" s="52">
        <f ca="1">Log_2019[[#This Row],[Amount]]/Log_2019[[#This Row],[Split_raw]]*MAX(0,MIN(_xlfn.DAYS(EDATE(AA$1,1),Log_2019[[#This Row],[Date]]),Log_2019[[#This Row],[Split_apply]])) - SUM($O421:Z421)</f>
        <v>0</v>
      </c>
      <c r="AB421" s="54">
        <f ca="1">Log_2019[[#This Row],[Amount]]-SUM(O421:AA421)</f>
        <v>0</v>
      </c>
      <c r="AC421" s="7">
        <f>MAX(0,Log_2019[[#This Row],[Split_raw]] - (EDATE(AA$1,1)-Log_2019[[#This Row],[Date]]))</f>
        <v>0</v>
      </c>
    </row>
    <row r="422" spans="1:29" x14ac:dyDescent="0.25">
      <c r="A422" s="42"/>
      <c r="B422" s="34" t="s">
        <v>6</v>
      </c>
      <c r="C422" s="34"/>
      <c r="D422" s="35">
        <v>43622</v>
      </c>
      <c r="E422" s="34"/>
      <c r="F422" s="34" t="s">
        <v>255</v>
      </c>
      <c r="G422" s="34" t="s">
        <v>25</v>
      </c>
      <c r="H422" s="36">
        <v>-13.69</v>
      </c>
      <c r="I422" s="36">
        <f>IF(Log_2019[[#This Row],[My Category]]="NONTRACKED",0,Log_2019[[#This Row],[Raw Amount]])</f>
        <v>-13.69</v>
      </c>
      <c r="J422" s="37">
        <f>ABS(Log_2019[[#This Row],[Amount]])</f>
        <v>13.69</v>
      </c>
      <c r="K422" s="38">
        <v>1</v>
      </c>
      <c r="L422" s="38">
        <f ca="1">IF(Log_2019[[#This Row],[Date]]&lt;=TODAY(), MIN(Log_2019[[#This Row],[Split_raw]], TODAY()-Log_2019[[#This Row],[Date]]+1), 0)</f>
        <v>1</v>
      </c>
      <c r="M422" s="34" t="s">
        <v>35</v>
      </c>
      <c r="N422" s="34" t="s">
        <v>158</v>
      </c>
      <c r="O422" s="7">
        <v>0</v>
      </c>
      <c r="P422" s="52">
        <f ca="1">Log_2019[[#This Row],[Amount]]/Log_2019[[#This Row],[Split_raw]]*MAX(0,MIN(_xlfn.DAYS(EDATE(P$1,1),Log_2019[[#This Row],[Date]]),Log_2019[[#This Row],[Split_apply]])) - SUM($O422:O422)</f>
        <v>0</v>
      </c>
      <c r="Q422" s="52">
        <f ca="1">Log_2019[[#This Row],[Amount]]/Log_2019[[#This Row],[Split_raw]]*MAX(0,MIN(_xlfn.DAYS(EDATE(Q$1,1),Log_2019[[#This Row],[Date]]),Log_2019[[#This Row],[Split_apply]])) - SUM($O422:P422)</f>
        <v>0</v>
      </c>
      <c r="R422" s="52">
        <f ca="1">Log_2019[[#This Row],[Amount]]/Log_2019[[#This Row],[Split_raw]]*MAX(0,MIN(_xlfn.DAYS(EDATE(R$1,1),Log_2019[[#This Row],[Date]]),Log_2019[[#This Row],[Split_apply]])) - SUM($O422:Q422)</f>
        <v>0</v>
      </c>
      <c r="S422" s="52">
        <f ca="1">Log_2019[[#This Row],[Amount]]/Log_2019[[#This Row],[Split_raw]]*MAX(0,MIN(_xlfn.DAYS(EDATE(S$1,1),Log_2019[[#This Row],[Date]]),Log_2019[[#This Row],[Split_apply]])) - SUM($O422:R422)</f>
        <v>0</v>
      </c>
      <c r="T422" s="52">
        <f ca="1">Log_2019[[#This Row],[Amount]]/Log_2019[[#This Row],[Split_raw]]*MAX(0,MIN(_xlfn.DAYS(EDATE(T$1,1),Log_2019[[#This Row],[Date]]),Log_2019[[#This Row],[Split_apply]])) - SUM($O422:S422)</f>
        <v>0</v>
      </c>
      <c r="U422" s="52">
        <f ca="1">Log_2019[[#This Row],[Amount]]/Log_2019[[#This Row],[Split_raw]]*MAX(0,MIN(_xlfn.DAYS(EDATE(U$1,1),Log_2019[[#This Row],[Date]]),Log_2019[[#This Row],[Split_apply]])) - SUM($O422:T422)</f>
        <v>-13.69</v>
      </c>
      <c r="V422" s="52">
        <f ca="1">Log_2019[[#This Row],[Amount]]/Log_2019[[#This Row],[Split_raw]]*MAX(0,MIN(_xlfn.DAYS(EDATE(V$1,1),Log_2019[[#This Row],[Date]]),Log_2019[[#This Row],[Split_apply]])) - SUM($O422:U422)</f>
        <v>0</v>
      </c>
      <c r="W422" s="52">
        <f ca="1">Log_2019[[#This Row],[Amount]]/Log_2019[[#This Row],[Split_raw]]*MAX(0,MIN(_xlfn.DAYS(EDATE(W$1,1),Log_2019[[#This Row],[Date]]),Log_2019[[#This Row],[Split_apply]])) - SUM($O422:V422)</f>
        <v>0</v>
      </c>
      <c r="X422" s="52">
        <f ca="1">Log_2019[[#This Row],[Amount]]/Log_2019[[#This Row],[Split_raw]]*MAX(0,MIN(_xlfn.DAYS(EDATE(X$1,1),Log_2019[[#This Row],[Date]]),Log_2019[[#This Row],[Split_apply]])) - SUM($O422:W422)</f>
        <v>0</v>
      </c>
      <c r="Y422" s="52">
        <f ca="1">Log_2019[[#This Row],[Amount]]/Log_2019[[#This Row],[Split_raw]]*MAX(0,MIN(_xlfn.DAYS(EDATE(Y$1,1),Log_2019[[#This Row],[Date]]),Log_2019[[#This Row],[Split_apply]])) - SUM($O422:X422)</f>
        <v>0</v>
      </c>
      <c r="Z422" s="52">
        <f ca="1">Log_2019[[#This Row],[Amount]]/Log_2019[[#This Row],[Split_raw]]*MAX(0,MIN(_xlfn.DAYS(EDATE(Z$1,1),Log_2019[[#This Row],[Date]]),Log_2019[[#This Row],[Split_apply]])) - SUM($O422:Y422)</f>
        <v>0</v>
      </c>
      <c r="AA422" s="52">
        <f ca="1">Log_2019[[#This Row],[Amount]]/Log_2019[[#This Row],[Split_raw]]*MAX(0,MIN(_xlfn.DAYS(EDATE(AA$1,1),Log_2019[[#This Row],[Date]]),Log_2019[[#This Row],[Split_apply]])) - SUM($O422:Z422)</f>
        <v>0</v>
      </c>
      <c r="AB422" s="54">
        <f ca="1">Log_2019[[#This Row],[Amount]]-SUM(O422:AA422)</f>
        <v>0</v>
      </c>
      <c r="AC422" s="7">
        <f>MAX(0,Log_2019[[#This Row],[Split_raw]] - (EDATE(AA$1,1)-Log_2019[[#This Row],[Date]]))</f>
        <v>0</v>
      </c>
    </row>
    <row r="423" spans="1:29" x14ac:dyDescent="0.25">
      <c r="A423" s="42"/>
      <c r="B423" s="34" t="s">
        <v>6</v>
      </c>
      <c r="C423" s="34"/>
      <c r="D423" s="35">
        <v>43622</v>
      </c>
      <c r="E423" s="34"/>
      <c r="F423" s="34" t="s">
        <v>626</v>
      </c>
      <c r="G423" s="34" t="s">
        <v>80</v>
      </c>
      <c r="H423" s="36">
        <f>--1891.67</f>
        <v>1891.67</v>
      </c>
      <c r="I423" s="36">
        <f>IF(Log_2019[[#This Row],[My Category]]="NONTRACKED",0,Log_2019[[#This Row],[Raw Amount]])</f>
        <v>1891.67</v>
      </c>
      <c r="J423" s="37">
        <f>ABS(Log_2019[[#This Row],[Amount]])</f>
        <v>1891.67</v>
      </c>
      <c r="K423" s="38">
        <v>14</v>
      </c>
      <c r="L423" s="38">
        <f ca="1">IF(Log_2019[[#This Row],[Date]]&lt;=TODAY(), MIN(Log_2019[[#This Row],[Split_raw]], TODAY()-Log_2019[[#This Row],[Date]]+1), 0)</f>
        <v>14</v>
      </c>
      <c r="M423" s="34" t="s">
        <v>91</v>
      </c>
      <c r="N423" s="34" t="s">
        <v>160</v>
      </c>
      <c r="O423" s="7">
        <v>0</v>
      </c>
      <c r="P423" s="52">
        <f ca="1">Log_2019[[#This Row],[Amount]]/Log_2019[[#This Row],[Split_raw]]*MAX(0,MIN(_xlfn.DAYS(EDATE(P$1,1),Log_2019[[#This Row],[Date]]),Log_2019[[#This Row],[Split_apply]])) - SUM($O423:O423)</f>
        <v>0</v>
      </c>
      <c r="Q423" s="52">
        <f ca="1">Log_2019[[#This Row],[Amount]]/Log_2019[[#This Row],[Split_raw]]*MAX(0,MIN(_xlfn.DAYS(EDATE(Q$1,1),Log_2019[[#This Row],[Date]]),Log_2019[[#This Row],[Split_apply]])) - SUM($O423:P423)</f>
        <v>0</v>
      </c>
      <c r="R423" s="52">
        <f ca="1">Log_2019[[#This Row],[Amount]]/Log_2019[[#This Row],[Split_raw]]*MAX(0,MIN(_xlfn.DAYS(EDATE(R$1,1),Log_2019[[#This Row],[Date]]),Log_2019[[#This Row],[Split_apply]])) - SUM($O423:Q423)</f>
        <v>0</v>
      </c>
      <c r="S423" s="52">
        <f ca="1">Log_2019[[#This Row],[Amount]]/Log_2019[[#This Row],[Split_raw]]*MAX(0,MIN(_xlfn.DAYS(EDATE(S$1,1),Log_2019[[#This Row],[Date]]),Log_2019[[#This Row],[Split_apply]])) - SUM($O423:R423)</f>
        <v>0</v>
      </c>
      <c r="T423" s="52">
        <f ca="1">Log_2019[[#This Row],[Amount]]/Log_2019[[#This Row],[Split_raw]]*MAX(0,MIN(_xlfn.DAYS(EDATE(T$1,1),Log_2019[[#This Row],[Date]]),Log_2019[[#This Row],[Split_apply]])) - SUM($O423:S423)</f>
        <v>0</v>
      </c>
      <c r="U423" s="52">
        <f ca="1">Log_2019[[#This Row],[Amount]]/Log_2019[[#This Row],[Split_raw]]*MAX(0,MIN(_xlfn.DAYS(EDATE(U$1,1),Log_2019[[#This Row],[Date]]),Log_2019[[#This Row],[Split_apply]])) - SUM($O423:T423)</f>
        <v>1891.67</v>
      </c>
      <c r="V423" s="52">
        <f ca="1">Log_2019[[#This Row],[Amount]]/Log_2019[[#This Row],[Split_raw]]*MAX(0,MIN(_xlfn.DAYS(EDATE(V$1,1),Log_2019[[#This Row],[Date]]),Log_2019[[#This Row],[Split_apply]])) - SUM($O423:U423)</f>
        <v>0</v>
      </c>
      <c r="W423" s="52">
        <f ca="1">Log_2019[[#This Row],[Amount]]/Log_2019[[#This Row],[Split_raw]]*MAX(0,MIN(_xlfn.DAYS(EDATE(W$1,1),Log_2019[[#This Row],[Date]]),Log_2019[[#This Row],[Split_apply]])) - SUM($O423:V423)</f>
        <v>0</v>
      </c>
      <c r="X423" s="52">
        <f ca="1">Log_2019[[#This Row],[Amount]]/Log_2019[[#This Row],[Split_raw]]*MAX(0,MIN(_xlfn.DAYS(EDATE(X$1,1),Log_2019[[#This Row],[Date]]),Log_2019[[#This Row],[Split_apply]])) - SUM($O423:W423)</f>
        <v>0</v>
      </c>
      <c r="Y423" s="52">
        <f ca="1">Log_2019[[#This Row],[Amount]]/Log_2019[[#This Row],[Split_raw]]*MAX(0,MIN(_xlfn.DAYS(EDATE(Y$1,1),Log_2019[[#This Row],[Date]]),Log_2019[[#This Row],[Split_apply]])) - SUM($O423:X423)</f>
        <v>0</v>
      </c>
      <c r="Z423" s="52">
        <f ca="1">Log_2019[[#This Row],[Amount]]/Log_2019[[#This Row],[Split_raw]]*MAX(0,MIN(_xlfn.DAYS(EDATE(Z$1,1),Log_2019[[#This Row],[Date]]),Log_2019[[#This Row],[Split_apply]])) - SUM($O423:Y423)</f>
        <v>0</v>
      </c>
      <c r="AA423" s="52">
        <f ca="1">Log_2019[[#This Row],[Amount]]/Log_2019[[#This Row],[Split_raw]]*MAX(0,MIN(_xlfn.DAYS(EDATE(AA$1,1),Log_2019[[#This Row],[Date]]),Log_2019[[#This Row],[Split_apply]])) - SUM($O423:Z423)</f>
        <v>0</v>
      </c>
      <c r="AB423" s="54">
        <f ca="1">Log_2019[[#This Row],[Amount]]-SUM(O423:AA423)</f>
        <v>0</v>
      </c>
      <c r="AC423" s="7">
        <f>MAX(0,Log_2019[[#This Row],[Split_raw]] - (EDATE(AA$1,1)-Log_2019[[#This Row],[Date]]))</f>
        <v>0</v>
      </c>
    </row>
    <row r="424" spans="1:29" x14ac:dyDescent="0.25">
      <c r="A424" s="42"/>
      <c r="B424" s="34" t="s">
        <v>6</v>
      </c>
      <c r="C424" s="34"/>
      <c r="D424" s="35">
        <v>43621</v>
      </c>
      <c r="E424" s="34"/>
      <c r="F424" s="34" t="s">
        <v>306</v>
      </c>
      <c r="G424" s="34" t="s">
        <v>25</v>
      </c>
      <c r="H424" s="36">
        <v>-12.83</v>
      </c>
      <c r="I424" s="36">
        <f>IF(Log_2019[[#This Row],[My Category]]="NONTRACKED",0,Log_2019[[#This Row],[Raw Amount]])</f>
        <v>-12.83</v>
      </c>
      <c r="J424" s="37">
        <f>ABS(Log_2019[[#This Row],[Amount]])</f>
        <v>12.83</v>
      </c>
      <c r="K424" s="38">
        <v>1</v>
      </c>
      <c r="L424" s="38">
        <f ca="1">IF(Log_2019[[#This Row],[Date]]&lt;=TODAY(), MIN(Log_2019[[#This Row],[Split_raw]], TODAY()-Log_2019[[#This Row],[Date]]+1), 0)</f>
        <v>1</v>
      </c>
      <c r="M424" s="34" t="s">
        <v>35</v>
      </c>
      <c r="N424" s="34" t="s">
        <v>158</v>
      </c>
      <c r="O424" s="7">
        <v>0</v>
      </c>
      <c r="P424" s="52">
        <f ca="1">Log_2019[[#This Row],[Amount]]/Log_2019[[#This Row],[Split_raw]]*MAX(0,MIN(_xlfn.DAYS(EDATE(P$1,1),Log_2019[[#This Row],[Date]]),Log_2019[[#This Row],[Split_apply]])) - SUM($O424:O424)</f>
        <v>0</v>
      </c>
      <c r="Q424" s="52">
        <f ca="1">Log_2019[[#This Row],[Amount]]/Log_2019[[#This Row],[Split_raw]]*MAX(0,MIN(_xlfn.DAYS(EDATE(Q$1,1),Log_2019[[#This Row],[Date]]),Log_2019[[#This Row],[Split_apply]])) - SUM($O424:P424)</f>
        <v>0</v>
      </c>
      <c r="R424" s="52">
        <f ca="1">Log_2019[[#This Row],[Amount]]/Log_2019[[#This Row],[Split_raw]]*MAX(0,MIN(_xlfn.DAYS(EDATE(R$1,1),Log_2019[[#This Row],[Date]]),Log_2019[[#This Row],[Split_apply]])) - SUM($O424:Q424)</f>
        <v>0</v>
      </c>
      <c r="S424" s="52">
        <f ca="1">Log_2019[[#This Row],[Amount]]/Log_2019[[#This Row],[Split_raw]]*MAX(0,MIN(_xlfn.DAYS(EDATE(S$1,1),Log_2019[[#This Row],[Date]]),Log_2019[[#This Row],[Split_apply]])) - SUM($O424:R424)</f>
        <v>0</v>
      </c>
      <c r="T424" s="52">
        <f ca="1">Log_2019[[#This Row],[Amount]]/Log_2019[[#This Row],[Split_raw]]*MAX(0,MIN(_xlfn.DAYS(EDATE(T$1,1),Log_2019[[#This Row],[Date]]),Log_2019[[#This Row],[Split_apply]])) - SUM($O424:S424)</f>
        <v>0</v>
      </c>
      <c r="U424" s="52">
        <f ca="1">Log_2019[[#This Row],[Amount]]/Log_2019[[#This Row],[Split_raw]]*MAX(0,MIN(_xlfn.DAYS(EDATE(U$1,1),Log_2019[[#This Row],[Date]]),Log_2019[[#This Row],[Split_apply]])) - SUM($O424:T424)</f>
        <v>-12.83</v>
      </c>
      <c r="V424" s="52">
        <f ca="1">Log_2019[[#This Row],[Amount]]/Log_2019[[#This Row],[Split_raw]]*MAX(0,MIN(_xlfn.DAYS(EDATE(V$1,1),Log_2019[[#This Row],[Date]]),Log_2019[[#This Row],[Split_apply]])) - SUM($O424:U424)</f>
        <v>0</v>
      </c>
      <c r="W424" s="52">
        <f ca="1">Log_2019[[#This Row],[Amount]]/Log_2019[[#This Row],[Split_raw]]*MAX(0,MIN(_xlfn.DAYS(EDATE(W$1,1),Log_2019[[#This Row],[Date]]),Log_2019[[#This Row],[Split_apply]])) - SUM($O424:V424)</f>
        <v>0</v>
      </c>
      <c r="X424" s="52">
        <f ca="1">Log_2019[[#This Row],[Amount]]/Log_2019[[#This Row],[Split_raw]]*MAX(0,MIN(_xlfn.DAYS(EDATE(X$1,1),Log_2019[[#This Row],[Date]]),Log_2019[[#This Row],[Split_apply]])) - SUM($O424:W424)</f>
        <v>0</v>
      </c>
      <c r="Y424" s="52">
        <f ca="1">Log_2019[[#This Row],[Amount]]/Log_2019[[#This Row],[Split_raw]]*MAX(0,MIN(_xlfn.DAYS(EDATE(Y$1,1),Log_2019[[#This Row],[Date]]),Log_2019[[#This Row],[Split_apply]])) - SUM($O424:X424)</f>
        <v>0</v>
      </c>
      <c r="Z424" s="52">
        <f ca="1">Log_2019[[#This Row],[Amount]]/Log_2019[[#This Row],[Split_raw]]*MAX(0,MIN(_xlfn.DAYS(EDATE(Z$1,1),Log_2019[[#This Row],[Date]]),Log_2019[[#This Row],[Split_apply]])) - SUM($O424:Y424)</f>
        <v>0</v>
      </c>
      <c r="AA424" s="52">
        <f ca="1">Log_2019[[#This Row],[Amount]]/Log_2019[[#This Row],[Split_raw]]*MAX(0,MIN(_xlfn.DAYS(EDATE(AA$1,1),Log_2019[[#This Row],[Date]]),Log_2019[[#This Row],[Split_apply]])) - SUM($O424:Z424)</f>
        <v>0</v>
      </c>
      <c r="AB424" s="54">
        <f ca="1">Log_2019[[#This Row],[Amount]]-SUM(O424:AA424)</f>
        <v>0</v>
      </c>
      <c r="AC424" s="7">
        <f>MAX(0,Log_2019[[#This Row],[Split_raw]] - (EDATE(AA$1,1)-Log_2019[[#This Row],[Date]]))</f>
        <v>0</v>
      </c>
    </row>
    <row r="425" spans="1:29" x14ac:dyDescent="0.25">
      <c r="A425" s="42"/>
      <c r="B425" s="34" t="s">
        <v>6</v>
      </c>
      <c r="C425" s="34"/>
      <c r="D425" s="35">
        <v>43621</v>
      </c>
      <c r="E425" s="34"/>
      <c r="F425" s="34" t="s">
        <v>527</v>
      </c>
      <c r="G425" s="34" t="s">
        <v>20</v>
      </c>
      <c r="H425" s="36">
        <v>-1600</v>
      </c>
      <c r="I425" s="36">
        <f>IF(Log_2019[[#This Row],[My Category]]="NONTRACKED",0,Log_2019[[#This Row],[Raw Amount]])</f>
        <v>-1600</v>
      </c>
      <c r="J425" s="37">
        <f>ABS(Log_2019[[#This Row],[Amount]])</f>
        <v>1600</v>
      </c>
      <c r="K425" s="38">
        <v>30</v>
      </c>
      <c r="L425" s="38">
        <f ca="1">IF(Log_2019[[#This Row],[Date]]&lt;=TODAY(), MIN(Log_2019[[#This Row],[Split_raw]], TODAY()-Log_2019[[#This Row],[Date]]+1), 0)</f>
        <v>30</v>
      </c>
      <c r="M425" s="34" t="s">
        <v>28</v>
      </c>
      <c r="N425" s="34" t="s">
        <v>160</v>
      </c>
      <c r="O425" s="7">
        <v>0</v>
      </c>
      <c r="P425" s="52">
        <f ca="1">Log_2019[[#This Row],[Amount]]/Log_2019[[#This Row],[Split_raw]]*MAX(0,MIN(_xlfn.DAYS(EDATE(P$1,1),Log_2019[[#This Row],[Date]]),Log_2019[[#This Row],[Split_apply]])) - SUM($O425:O425)</f>
        <v>0</v>
      </c>
      <c r="Q425" s="52">
        <f ca="1">Log_2019[[#This Row],[Amount]]/Log_2019[[#This Row],[Split_raw]]*MAX(0,MIN(_xlfn.DAYS(EDATE(Q$1,1),Log_2019[[#This Row],[Date]]),Log_2019[[#This Row],[Split_apply]])) - SUM($O425:P425)</f>
        <v>0</v>
      </c>
      <c r="R425" s="52">
        <f ca="1">Log_2019[[#This Row],[Amount]]/Log_2019[[#This Row],[Split_raw]]*MAX(0,MIN(_xlfn.DAYS(EDATE(R$1,1),Log_2019[[#This Row],[Date]]),Log_2019[[#This Row],[Split_apply]])) - SUM($O425:Q425)</f>
        <v>0</v>
      </c>
      <c r="S425" s="52">
        <f ca="1">Log_2019[[#This Row],[Amount]]/Log_2019[[#This Row],[Split_raw]]*MAX(0,MIN(_xlfn.DAYS(EDATE(S$1,1),Log_2019[[#This Row],[Date]]),Log_2019[[#This Row],[Split_apply]])) - SUM($O425:R425)</f>
        <v>0</v>
      </c>
      <c r="T425" s="52">
        <f ca="1">Log_2019[[#This Row],[Amount]]/Log_2019[[#This Row],[Split_raw]]*MAX(0,MIN(_xlfn.DAYS(EDATE(T$1,1),Log_2019[[#This Row],[Date]]),Log_2019[[#This Row],[Split_apply]])) - SUM($O425:S425)</f>
        <v>0</v>
      </c>
      <c r="U425" s="52">
        <f ca="1">Log_2019[[#This Row],[Amount]]/Log_2019[[#This Row],[Split_raw]]*MAX(0,MIN(_xlfn.DAYS(EDATE(U$1,1),Log_2019[[#This Row],[Date]]),Log_2019[[#This Row],[Split_apply]])) - SUM($O425:T425)</f>
        <v>-1386.6666666666667</v>
      </c>
      <c r="V425" s="52">
        <f ca="1">Log_2019[[#This Row],[Amount]]/Log_2019[[#This Row],[Split_raw]]*MAX(0,MIN(_xlfn.DAYS(EDATE(V$1,1),Log_2019[[#This Row],[Date]]),Log_2019[[#This Row],[Split_apply]])) - SUM($O425:U425)</f>
        <v>-213.33333333333326</v>
      </c>
      <c r="W425" s="52">
        <f ca="1">Log_2019[[#This Row],[Amount]]/Log_2019[[#This Row],[Split_raw]]*MAX(0,MIN(_xlfn.DAYS(EDATE(W$1,1),Log_2019[[#This Row],[Date]]),Log_2019[[#This Row],[Split_apply]])) - SUM($O425:V425)</f>
        <v>0</v>
      </c>
      <c r="X425" s="52">
        <f ca="1">Log_2019[[#This Row],[Amount]]/Log_2019[[#This Row],[Split_raw]]*MAX(0,MIN(_xlfn.DAYS(EDATE(X$1,1),Log_2019[[#This Row],[Date]]),Log_2019[[#This Row],[Split_apply]])) - SUM($O425:W425)</f>
        <v>0</v>
      </c>
      <c r="Y425" s="52">
        <f ca="1">Log_2019[[#This Row],[Amount]]/Log_2019[[#This Row],[Split_raw]]*MAX(0,MIN(_xlfn.DAYS(EDATE(Y$1,1),Log_2019[[#This Row],[Date]]),Log_2019[[#This Row],[Split_apply]])) - SUM($O425:X425)</f>
        <v>0</v>
      </c>
      <c r="Z425" s="52">
        <f ca="1">Log_2019[[#This Row],[Amount]]/Log_2019[[#This Row],[Split_raw]]*MAX(0,MIN(_xlfn.DAYS(EDATE(Z$1,1),Log_2019[[#This Row],[Date]]),Log_2019[[#This Row],[Split_apply]])) - SUM($O425:Y425)</f>
        <v>0</v>
      </c>
      <c r="AA425" s="52">
        <f ca="1">Log_2019[[#This Row],[Amount]]/Log_2019[[#This Row],[Split_raw]]*MAX(0,MIN(_xlfn.DAYS(EDATE(AA$1,1),Log_2019[[#This Row],[Date]]),Log_2019[[#This Row],[Split_apply]])) - SUM($O425:Z425)</f>
        <v>0</v>
      </c>
      <c r="AB425" s="54">
        <f ca="1">Log_2019[[#This Row],[Amount]]-SUM(O425:AA425)</f>
        <v>0</v>
      </c>
      <c r="AC425" s="7">
        <f>MAX(0,Log_2019[[#This Row],[Split_raw]] - (EDATE(AA$1,1)-Log_2019[[#This Row],[Date]]))</f>
        <v>0</v>
      </c>
    </row>
    <row r="426" spans="1:29" x14ac:dyDescent="0.25">
      <c r="A426" s="42"/>
      <c r="B426" s="34" t="s">
        <v>6</v>
      </c>
      <c r="C426" s="34"/>
      <c r="D426" s="35">
        <v>43620</v>
      </c>
      <c r="E426" s="34"/>
      <c r="F426" s="34" t="s">
        <v>255</v>
      </c>
      <c r="G426" s="34" t="s">
        <v>25</v>
      </c>
      <c r="H426" s="36">
        <v>-10.74</v>
      </c>
      <c r="I426" s="36">
        <f>IF(Log_2019[[#This Row],[My Category]]="NONTRACKED",0,Log_2019[[#This Row],[Raw Amount]])</f>
        <v>-10.74</v>
      </c>
      <c r="J426" s="37">
        <f>ABS(Log_2019[[#This Row],[Amount]])</f>
        <v>10.74</v>
      </c>
      <c r="K426" s="38">
        <v>1</v>
      </c>
      <c r="L426" s="38">
        <f ca="1">IF(Log_2019[[#This Row],[Date]]&lt;=TODAY(), MIN(Log_2019[[#This Row],[Split_raw]], TODAY()-Log_2019[[#This Row],[Date]]+1), 0)</f>
        <v>1</v>
      </c>
      <c r="M426" s="34" t="s">
        <v>35</v>
      </c>
      <c r="N426" s="34" t="s">
        <v>158</v>
      </c>
      <c r="O426" s="7">
        <v>0</v>
      </c>
      <c r="P426" s="52">
        <f ca="1">Log_2019[[#This Row],[Amount]]/Log_2019[[#This Row],[Split_raw]]*MAX(0,MIN(_xlfn.DAYS(EDATE(P$1,1),Log_2019[[#This Row],[Date]]),Log_2019[[#This Row],[Split_apply]])) - SUM($O426:O426)</f>
        <v>0</v>
      </c>
      <c r="Q426" s="52">
        <f ca="1">Log_2019[[#This Row],[Amount]]/Log_2019[[#This Row],[Split_raw]]*MAX(0,MIN(_xlfn.DAYS(EDATE(Q$1,1),Log_2019[[#This Row],[Date]]),Log_2019[[#This Row],[Split_apply]])) - SUM($O426:P426)</f>
        <v>0</v>
      </c>
      <c r="R426" s="52">
        <f ca="1">Log_2019[[#This Row],[Amount]]/Log_2019[[#This Row],[Split_raw]]*MAX(0,MIN(_xlfn.DAYS(EDATE(R$1,1),Log_2019[[#This Row],[Date]]),Log_2019[[#This Row],[Split_apply]])) - SUM($O426:Q426)</f>
        <v>0</v>
      </c>
      <c r="S426" s="52">
        <f ca="1">Log_2019[[#This Row],[Amount]]/Log_2019[[#This Row],[Split_raw]]*MAX(0,MIN(_xlfn.DAYS(EDATE(S$1,1),Log_2019[[#This Row],[Date]]),Log_2019[[#This Row],[Split_apply]])) - SUM($O426:R426)</f>
        <v>0</v>
      </c>
      <c r="T426" s="52">
        <f ca="1">Log_2019[[#This Row],[Amount]]/Log_2019[[#This Row],[Split_raw]]*MAX(0,MIN(_xlfn.DAYS(EDATE(T$1,1),Log_2019[[#This Row],[Date]]),Log_2019[[#This Row],[Split_apply]])) - SUM($O426:S426)</f>
        <v>0</v>
      </c>
      <c r="U426" s="52">
        <f ca="1">Log_2019[[#This Row],[Amount]]/Log_2019[[#This Row],[Split_raw]]*MAX(0,MIN(_xlfn.DAYS(EDATE(U$1,1),Log_2019[[#This Row],[Date]]),Log_2019[[#This Row],[Split_apply]])) - SUM($O426:T426)</f>
        <v>-10.74</v>
      </c>
      <c r="V426" s="52">
        <f ca="1">Log_2019[[#This Row],[Amount]]/Log_2019[[#This Row],[Split_raw]]*MAX(0,MIN(_xlfn.DAYS(EDATE(V$1,1),Log_2019[[#This Row],[Date]]),Log_2019[[#This Row],[Split_apply]])) - SUM($O426:U426)</f>
        <v>0</v>
      </c>
      <c r="W426" s="52">
        <f ca="1">Log_2019[[#This Row],[Amount]]/Log_2019[[#This Row],[Split_raw]]*MAX(0,MIN(_xlfn.DAYS(EDATE(W$1,1),Log_2019[[#This Row],[Date]]),Log_2019[[#This Row],[Split_apply]])) - SUM($O426:V426)</f>
        <v>0</v>
      </c>
      <c r="X426" s="52">
        <f ca="1">Log_2019[[#This Row],[Amount]]/Log_2019[[#This Row],[Split_raw]]*MAX(0,MIN(_xlfn.DAYS(EDATE(X$1,1),Log_2019[[#This Row],[Date]]),Log_2019[[#This Row],[Split_apply]])) - SUM($O426:W426)</f>
        <v>0</v>
      </c>
      <c r="Y426" s="52">
        <f ca="1">Log_2019[[#This Row],[Amount]]/Log_2019[[#This Row],[Split_raw]]*MAX(0,MIN(_xlfn.DAYS(EDATE(Y$1,1),Log_2019[[#This Row],[Date]]),Log_2019[[#This Row],[Split_apply]])) - SUM($O426:X426)</f>
        <v>0</v>
      </c>
      <c r="Z426" s="52">
        <f ca="1">Log_2019[[#This Row],[Amount]]/Log_2019[[#This Row],[Split_raw]]*MAX(0,MIN(_xlfn.DAYS(EDATE(Z$1,1),Log_2019[[#This Row],[Date]]),Log_2019[[#This Row],[Split_apply]])) - SUM($O426:Y426)</f>
        <v>0</v>
      </c>
      <c r="AA426" s="52">
        <f ca="1">Log_2019[[#This Row],[Amount]]/Log_2019[[#This Row],[Split_raw]]*MAX(0,MIN(_xlfn.DAYS(EDATE(AA$1,1),Log_2019[[#This Row],[Date]]),Log_2019[[#This Row],[Split_apply]])) - SUM($O426:Z426)</f>
        <v>0</v>
      </c>
      <c r="AB426" s="54">
        <f ca="1">Log_2019[[#This Row],[Amount]]-SUM(O426:AA426)</f>
        <v>0</v>
      </c>
      <c r="AC426" s="7">
        <f>MAX(0,Log_2019[[#This Row],[Split_raw]] - (EDATE(AA$1,1)-Log_2019[[#This Row],[Date]]))</f>
        <v>0</v>
      </c>
    </row>
    <row r="427" spans="1:29" x14ac:dyDescent="0.25">
      <c r="A427" s="42"/>
      <c r="B427" s="34" t="s">
        <v>6</v>
      </c>
      <c r="C427" s="34"/>
      <c r="D427" s="35">
        <v>43620</v>
      </c>
      <c r="E427" s="34"/>
      <c r="F427" s="34" t="s">
        <v>255</v>
      </c>
      <c r="G427" s="34" t="s">
        <v>25</v>
      </c>
      <c r="H427" s="36">
        <v>-28.91</v>
      </c>
      <c r="I427" s="36">
        <f>IF(Log_2019[[#This Row],[My Category]]="NONTRACKED",0,Log_2019[[#This Row],[Raw Amount]])</f>
        <v>-28.91</v>
      </c>
      <c r="J427" s="37">
        <f>ABS(Log_2019[[#This Row],[Amount]])</f>
        <v>28.91</v>
      </c>
      <c r="K427" s="38">
        <v>1</v>
      </c>
      <c r="L427" s="38">
        <f ca="1">IF(Log_2019[[#This Row],[Date]]&lt;=TODAY(), MIN(Log_2019[[#This Row],[Split_raw]], TODAY()-Log_2019[[#This Row],[Date]]+1), 0)</f>
        <v>1</v>
      </c>
      <c r="M427" s="34" t="s">
        <v>52</v>
      </c>
      <c r="N427" s="34" t="s">
        <v>158</v>
      </c>
      <c r="O427" s="7">
        <v>0</v>
      </c>
      <c r="P427" s="52">
        <f ca="1">Log_2019[[#This Row],[Amount]]/Log_2019[[#This Row],[Split_raw]]*MAX(0,MIN(_xlfn.DAYS(EDATE(P$1,1),Log_2019[[#This Row],[Date]]),Log_2019[[#This Row],[Split_apply]])) - SUM($O427:O427)</f>
        <v>0</v>
      </c>
      <c r="Q427" s="52">
        <f ca="1">Log_2019[[#This Row],[Amount]]/Log_2019[[#This Row],[Split_raw]]*MAX(0,MIN(_xlfn.DAYS(EDATE(Q$1,1),Log_2019[[#This Row],[Date]]),Log_2019[[#This Row],[Split_apply]])) - SUM($O427:P427)</f>
        <v>0</v>
      </c>
      <c r="R427" s="52">
        <f ca="1">Log_2019[[#This Row],[Amount]]/Log_2019[[#This Row],[Split_raw]]*MAX(0,MIN(_xlfn.DAYS(EDATE(R$1,1),Log_2019[[#This Row],[Date]]),Log_2019[[#This Row],[Split_apply]])) - SUM($O427:Q427)</f>
        <v>0</v>
      </c>
      <c r="S427" s="52">
        <f ca="1">Log_2019[[#This Row],[Amount]]/Log_2019[[#This Row],[Split_raw]]*MAX(0,MIN(_xlfn.DAYS(EDATE(S$1,1),Log_2019[[#This Row],[Date]]),Log_2019[[#This Row],[Split_apply]])) - SUM($O427:R427)</f>
        <v>0</v>
      </c>
      <c r="T427" s="52">
        <f ca="1">Log_2019[[#This Row],[Amount]]/Log_2019[[#This Row],[Split_raw]]*MAX(0,MIN(_xlfn.DAYS(EDATE(T$1,1),Log_2019[[#This Row],[Date]]),Log_2019[[#This Row],[Split_apply]])) - SUM($O427:S427)</f>
        <v>0</v>
      </c>
      <c r="U427" s="52">
        <f ca="1">Log_2019[[#This Row],[Amount]]/Log_2019[[#This Row],[Split_raw]]*MAX(0,MIN(_xlfn.DAYS(EDATE(U$1,1),Log_2019[[#This Row],[Date]]),Log_2019[[#This Row],[Split_apply]])) - SUM($O427:T427)</f>
        <v>-28.91</v>
      </c>
      <c r="V427" s="52">
        <f ca="1">Log_2019[[#This Row],[Amount]]/Log_2019[[#This Row],[Split_raw]]*MAX(0,MIN(_xlfn.DAYS(EDATE(V$1,1),Log_2019[[#This Row],[Date]]),Log_2019[[#This Row],[Split_apply]])) - SUM($O427:U427)</f>
        <v>0</v>
      </c>
      <c r="W427" s="52">
        <f ca="1">Log_2019[[#This Row],[Amount]]/Log_2019[[#This Row],[Split_raw]]*MAX(0,MIN(_xlfn.DAYS(EDATE(W$1,1),Log_2019[[#This Row],[Date]]),Log_2019[[#This Row],[Split_apply]])) - SUM($O427:V427)</f>
        <v>0</v>
      </c>
      <c r="X427" s="52">
        <f ca="1">Log_2019[[#This Row],[Amount]]/Log_2019[[#This Row],[Split_raw]]*MAX(0,MIN(_xlfn.DAYS(EDATE(X$1,1),Log_2019[[#This Row],[Date]]),Log_2019[[#This Row],[Split_apply]])) - SUM($O427:W427)</f>
        <v>0</v>
      </c>
      <c r="Y427" s="52">
        <f ca="1">Log_2019[[#This Row],[Amount]]/Log_2019[[#This Row],[Split_raw]]*MAX(0,MIN(_xlfn.DAYS(EDATE(Y$1,1),Log_2019[[#This Row],[Date]]),Log_2019[[#This Row],[Split_apply]])) - SUM($O427:X427)</f>
        <v>0</v>
      </c>
      <c r="Z427" s="52">
        <f ca="1">Log_2019[[#This Row],[Amount]]/Log_2019[[#This Row],[Split_raw]]*MAX(0,MIN(_xlfn.DAYS(EDATE(Z$1,1),Log_2019[[#This Row],[Date]]),Log_2019[[#This Row],[Split_apply]])) - SUM($O427:Y427)</f>
        <v>0</v>
      </c>
      <c r="AA427" s="52">
        <f ca="1">Log_2019[[#This Row],[Amount]]/Log_2019[[#This Row],[Split_raw]]*MAX(0,MIN(_xlfn.DAYS(EDATE(AA$1,1),Log_2019[[#This Row],[Date]]),Log_2019[[#This Row],[Split_apply]])) - SUM($O427:Z427)</f>
        <v>0</v>
      </c>
      <c r="AB427" s="54">
        <f ca="1">Log_2019[[#This Row],[Amount]]-SUM(O427:AA427)</f>
        <v>0</v>
      </c>
      <c r="AC427" s="7">
        <f>MAX(0,Log_2019[[#This Row],[Split_raw]] - (EDATE(AA$1,1)-Log_2019[[#This Row],[Date]]))</f>
        <v>0</v>
      </c>
    </row>
    <row r="428" spans="1:29" x14ac:dyDescent="0.25">
      <c r="A428" s="42"/>
      <c r="B428" s="34" t="s">
        <v>6</v>
      </c>
      <c r="C428" s="34"/>
      <c r="D428" s="35">
        <v>43619</v>
      </c>
      <c r="E428" s="34"/>
      <c r="F428" s="34" t="s">
        <v>308</v>
      </c>
      <c r="G428" s="34" t="s">
        <v>25</v>
      </c>
      <c r="H428" s="36">
        <v>-7.55</v>
      </c>
      <c r="I428" s="36">
        <f>IF(Log_2019[[#This Row],[My Category]]="NONTRACKED",0,Log_2019[[#This Row],[Raw Amount]])</f>
        <v>-7.55</v>
      </c>
      <c r="J428" s="37">
        <f>ABS(Log_2019[[#This Row],[Amount]])</f>
        <v>7.55</v>
      </c>
      <c r="K428" s="38">
        <v>1</v>
      </c>
      <c r="L428" s="38">
        <f ca="1">IF(Log_2019[[#This Row],[Date]]&lt;=TODAY(), MIN(Log_2019[[#This Row],[Split_raw]], TODAY()-Log_2019[[#This Row],[Date]]+1), 0)</f>
        <v>1</v>
      </c>
      <c r="M428" s="34" t="s">
        <v>35</v>
      </c>
      <c r="N428" s="34" t="s">
        <v>158</v>
      </c>
      <c r="O428" s="7">
        <v>0</v>
      </c>
      <c r="P428" s="52">
        <f ca="1">Log_2019[[#This Row],[Amount]]/Log_2019[[#This Row],[Split_raw]]*MAX(0,MIN(_xlfn.DAYS(EDATE(P$1,1),Log_2019[[#This Row],[Date]]),Log_2019[[#This Row],[Split_apply]])) - SUM($O428:O428)</f>
        <v>0</v>
      </c>
      <c r="Q428" s="52">
        <f ca="1">Log_2019[[#This Row],[Amount]]/Log_2019[[#This Row],[Split_raw]]*MAX(0,MIN(_xlfn.DAYS(EDATE(Q$1,1),Log_2019[[#This Row],[Date]]),Log_2019[[#This Row],[Split_apply]])) - SUM($O428:P428)</f>
        <v>0</v>
      </c>
      <c r="R428" s="52">
        <f ca="1">Log_2019[[#This Row],[Amount]]/Log_2019[[#This Row],[Split_raw]]*MAX(0,MIN(_xlfn.DAYS(EDATE(R$1,1),Log_2019[[#This Row],[Date]]),Log_2019[[#This Row],[Split_apply]])) - SUM($O428:Q428)</f>
        <v>0</v>
      </c>
      <c r="S428" s="52">
        <f ca="1">Log_2019[[#This Row],[Amount]]/Log_2019[[#This Row],[Split_raw]]*MAX(0,MIN(_xlfn.DAYS(EDATE(S$1,1),Log_2019[[#This Row],[Date]]),Log_2019[[#This Row],[Split_apply]])) - SUM($O428:R428)</f>
        <v>0</v>
      </c>
      <c r="T428" s="52">
        <f ca="1">Log_2019[[#This Row],[Amount]]/Log_2019[[#This Row],[Split_raw]]*MAX(0,MIN(_xlfn.DAYS(EDATE(T$1,1),Log_2019[[#This Row],[Date]]),Log_2019[[#This Row],[Split_apply]])) - SUM($O428:S428)</f>
        <v>0</v>
      </c>
      <c r="U428" s="52">
        <f ca="1">Log_2019[[#This Row],[Amount]]/Log_2019[[#This Row],[Split_raw]]*MAX(0,MIN(_xlfn.DAYS(EDATE(U$1,1),Log_2019[[#This Row],[Date]]),Log_2019[[#This Row],[Split_apply]])) - SUM($O428:T428)</f>
        <v>-7.55</v>
      </c>
      <c r="V428" s="52">
        <f ca="1">Log_2019[[#This Row],[Amount]]/Log_2019[[#This Row],[Split_raw]]*MAX(0,MIN(_xlfn.DAYS(EDATE(V$1,1),Log_2019[[#This Row],[Date]]),Log_2019[[#This Row],[Split_apply]])) - SUM($O428:U428)</f>
        <v>0</v>
      </c>
      <c r="W428" s="52">
        <f ca="1">Log_2019[[#This Row],[Amount]]/Log_2019[[#This Row],[Split_raw]]*MAX(0,MIN(_xlfn.DAYS(EDATE(W$1,1),Log_2019[[#This Row],[Date]]),Log_2019[[#This Row],[Split_apply]])) - SUM($O428:V428)</f>
        <v>0</v>
      </c>
      <c r="X428" s="52">
        <f ca="1">Log_2019[[#This Row],[Amount]]/Log_2019[[#This Row],[Split_raw]]*MAX(0,MIN(_xlfn.DAYS(EDATE(X$1,1),Log_2019[[#This Row],[Date]]),Log_2019[[#This Row],[Split_apply]])) - SUM($O428:W428)</f>
        <v>0</v>
      </c>
      <c r="Y428" s="52">
        <f ca="1">Log_2019[[#This Row],[Amount]]/Log_2019[[#This Row],[Split_raw]]*MAX(0,MIN(_xlfn.DAYS(EDATE(Y$1,1),Log_2019[[#This Row],[Date]]),Log_2019[[#This Row],[Split_apply]])) - SUM($O428:X428)</f>
        <v>0</v>
      </c>
      <c r="Z428" s="52">
        <f ca="1">Log_2019[[#This Row],[Amount]]/Log_2019[[#This Row],[Split_raw]]*MAX(0,MIN(_xlfn.DAYS(EDATE(Z$1,1),Log_2019[[#This Row],[Date]]),Log_2019[[#This Row],[Split_apply]])) - SUM($O428:Y428)</f>
        <v>0</v>
      </c>
      <c r="AA428" s="52">
        <f ca="1">Log_2019[[#This Row],[Amount]]/Log_2019[[#This Row],[Split_raw]]*MAX(0,MIN(_xlfn.DAYS(EDATE(AA$1,1),Log_2019[[#This Row],[Date]]),Log_2019[[#This Row],[Split_apply]])) - SUM($O428:Z428)</f>
        <v>0</v>
      </c>
      <c r="AB428" s="54">
        <f ca="1">Log_2019[[#This Row],[Amount]]-SUM(O428:AA428)</f>
        <v>0</v>
      </c>
      <c r="AC428" s="7">
        <f>MAX(0,Log_2019[[#This Row],[Split_raw]] - (EDATE(AA$1,1)-Log_2019[[#This Row],[Date]]))</f>
        <v>0</v>
      </c>
    </row>
    <row r="429" spans="1:29" x14ac:dyDescent="0.25">
      <c r="A429" s="42"/>
      <c r="B429" s="34" t="s">
        <v>490</v>
      </c>
      <c r="C429" s="34">
        <v>2.7571518632613601E+18</v>
      </c>
      <c r="D429" s="41">
        <v>43618</v>
      </c>
      <c r="E429" s="34"/>
      <c r="F429" s="34" t="s">
        <v>732</v>
      </c>
      <c r="G429" s="34"/>
      <c r="H429" s="45">
        <v>-5</v>
      </c>
      <c r="I429" s="36">
        <f>IF(Log_2019[[#This Row],[My Category]]="NONTRACKED",0,Log_2019[[#This Row],[Raw Amount]])</f>
        <v>-5</v>
      </c>
      <c r="J429" s="37">
        <f>ABS(Log_2019[[#This Row],[Amount]])</f>
        <v>5</v>
      </c>
      <c r="K429" s="38">
        <v>1</v>
      </c>
      <c r="L429" s="38">
        <f ca="1">IF(Log_2019[[#This Row],[Date]]&lt;=TODAY(), MIN(Log_2019[[#This Row],[Split_raw]], TODAY()-Log_2019[[#This Row],[Date]]+1), 0)</f>
        <v>1</v>
      </c>
      <c r="M429" s="34" t="s">
        <v>40</v>
      </c>
      <c r="N429" s="34" t="s">
        <v>490</v>
      </c>
      <c r="O429" s="7">
        <v>0</v>
      </c>
      <c r="P429" s="52">
        <f ca="1">Log_2019[[#This Row],[Amount]]/Log_2019[[#This Row],[Split_raw]]*MAX(0,MIN(_xlfn.DAYS(EDATE(P$1,1),Log_2019[[#This Row],[Date]]),Log_2019[[#This Row],[Split_apply]])) - SUM($O429:O429)</f>
        <v>0</v>
      </c>
      <c r="Q429" s="52">
        <f ca="1">Log_2019[[#This Row],[Amount]]/Log_2019[[#This Row],[Split_raw]]*MAX(0,MIN(_xlfn.DAYS(EDATE(Q$1,1),Log_2019[[#This Row],[Date]]),Log_2019[[#This Row],[Split_apply]])) - SUM($O429:P429)</f>
        <v>0</v>
      </c>
      <c r="R429" s="52">
        <f ca="1">Log_2019[[#This Row],[Amount]]/Log_2019[[#This Row],[Split_raw]]*MAX(0,MIN(_xlfn.DAYS(EDATE(R$1,1),Log_2019[[#This Row],[Date]]),Log_2019[[#This Row],[Split_apply]])) - SUM($O429:Q429)</f>
        <v>0</v>
      </c>
      <c r="S429" s="52">
        <f ca="1">Log_2019[[#This Row],[Amount]]/Log_2019[[#This Row],[Split_raw]]*MAX(0,MIN(_xlfn.DAYS(EDATE(S$1,1),Log_2019[[#This Row],[Date]]),Log_2019[[#This Row],[Split_apply]])) - SUM($O429:R429)</f>
        <v>0</v>
      </c>
      <c r="T429" s="52">
        <f ca="1">Log_2019[[#This Row],[Amount]]/Log_2019[[#This Row],[Split_raw]]*MAX(0,MIN(_xlfn.DAYS(EDATE(T$1,1),Log_2019[[#This Row],[Date]]),Log_2019[[#This Row],[Split_apply]])) - SUM($O429:S429)</f>
        <v>0</v>
      </c>
      <c r="U429" s="52">
        <f ca="1">Log_2019[[#This Row],[Amount]]/Log_2019[[#This Row],[Split_raw]]*MAX(0,MIN(_xlfn.DAYS(EDATE(U$1,1),Log_2019[[#This Row],[Date]]),Log_2019[[#This Row],[Split_apply]])) - SUM($O429:T429)</f>
        <v>-5</v>
      </c>
      <c r="V429" s="52">
        <f ca="1">Log_2019[[#This Row],[Amount]]/Log_2019[[#This Row],[Split_raw]]*MAX(0,MIN(_xlfn.DAYS(EDATE(V$1,1),Log_2019[[#This Row],[Date]]),Log_2019[[#This Row],[Split_apply]])) - SUM($O429:U429)</f>
        <v>0</v>
      </c>
      <c r="W429" s="52">
        <f ca="1">Log_2019[[#This Row],[Amount]]/Log_2019[[#This Row],[Split_raw]]*MAX(0,MIN(_xlfn.DAYS(EDATE(W$1,1),Log_2019[[#This Row],[Date]]),Log_2019[[#This Row],[Split_apply]])) - SUM($O429:V429)</f>
        <v>0</v>
      </c>
      <c r="X429" s="52">
        <f ca="1">Log_2019[[#This Row],[Amount]]/Log_2019[[#This Row],[Split_raw]]*MAX(0,MIN(_xlfn.DAYS(EDATE(X$1,1),Log_2019[[#This Row],[Date]]),Log_2019[[#This Row],[Split_apply]])) - SUM($O429:W429)</f>
        <v>0</v>
      </c>
      <c r="Y429" s="52">
        <f ca="1">Log_2019[[#This Row],[Amount]]/Log_2019[[#This Row],[Split_raw]]*MAX(0,MIN(_xlfn.DAYS(EDATE(Y$1,1),Log_2019[[#This Row],[Date]]),Log_2019[[#This Row],[Split_apply]])) - SUM($O429:X429)</f>
        <v>0</v>
      </c>
      <c r="Z429" s="52">
        <f ca="1">Log_2019[[#This Row],[Amount]]/Log_2019[[#This Row],[Split_raw]]*MAX(0,MIN(_xlfn.DAYS(EDATE(Z$1,1),Log_2019[[#This Row],[Date]]),Log_2019[[#This Row],[Split_apply]])) - SUM($O429:Y429)</f>
        <v>0</v>
      </c>
      <c r="AA429" s="52">
        <f ca="1">Log_2019[[#This Row],[Amount]]/Log_2019[[#This Row],[Split_raw]]*MAX(0,MIN(_xlfn.DAYS(EDATE(AA$1,1),Log_2019[[#This Row],[Date]]),Log_2019[[#This Row],[Split_apply]])) - SUM($O429:Z429)</f>
        <v>0</v>
      </c>
      <c r="AB429" s="54">
        <f ca="1">Log_2019[[#This Row],[Amount]]-SUM(O429:AA429)</f>
        <v>0</v>
      </c>
      <c r="AC429" s="7">
        <f>MAX(0,Log_2019[[#This Row],[Split_raw]] - (EDATE(AA$1,1)-Log_2019[[#This Row],[Date]]))</f>
        <v>0</v>
      </c>
    </row>
    <row r="430" spans="1:29" x14ac:dyDescent="0.25">
      <c r="A430" s="42"/>
      <c r="B430" s="34" t="s">
        <v>6</v>
      </c>
      <c r="C430" s="34"/>
      <c r="D430" s="35">
        <v>43617</v>
      </c>
      <c r="E430" t="s">
        <v>960</v>
      </c>
      <c r="F430" s="34" t="s">
        <v>627</v>
      </c>
      <c r="G430" s="34" t="s">
        <v>82</v>
      </c>
      <c r="H430" s="36">
        <v>-320</v>
      </c>
      <c r="I430" s="36">
        <f>IF(Log_2019[[#This Row],[My Category]]="NONTRACKED",0,Log_2019[[#This Row],[Raw Amount]])</f>
        <v>-320</v>
      </c>
      <c r="J430" s="37">
        <f>ABS(Log_2019[[#This Row],[Amount]])</f>
        <v>320</v>
      </c>
      <c r="K430" s="5">
        <v>30</v>
      </c>
      <c r="L430" s="38">
        <f ca="1">IF(Log_2019[[#This Row],[Date]]&lt;=TODAY(), MIN(Log_2019[[#This Row],[Split_raw]], TODAY()-Log_2019[[#This Row],[Date]]+1), 0)</f>
        <v>30</v>
      </c>
      <c r="M430" s="34" t="s">
        <v>93</v>
      </c>
      <c r="N430" s="34" t="s">
        <v>160</v>
      </c>
      <c r="O430" s="7">
        <v>0</v>
      </c>
      <c r="P430" s="52">
        <f ca="1">Log_2019[[#This Row],[Amount]]/Log_2019[[#This Row],[Split_raw]]*MAX(0,MIN(_xlfn.DAYS(EDATE(P$1,1),Log_2019[[#This Row],[Date]]),Log_2019[[#This Row],[Split_apply]])) - SUM($O430:O430)</f>
        <v>0</v>
      </c>
      <c r="Q430" s="52">
        <f ca="1">Log_2019[[#This Row],[Amount]]/Log_2019[[#This Row],[Split_raw]]*MAX(0,MIN(_xlfn.DAYS(EDATE(Q$1,1),Log_2019[[#This Row],[Date]]),Log_2019[[#This Row],[Split_apply]])) - SUM($O430:P430)</f>
        <v>0</v>
      </c>
      <c r="R430" s="52">
        <f ca="1">Log_2019[[#This Row],[Amount]]/Log_2019[[#This Row],[Split_raw]]*MAX(0,MIN(_xlfn.DAYS(EDATE(R$1,1),Log_2019[[#This Row],[Date]]),Log_2019[[#This Row],[Split_apply]])) - SUM($O430:Q430)</f>
        <v>0</v>
      </c>
      <c r="S430" s="52">
        <f ca="1">Log_2019[[#This Row],[Amount]]/Log_2019[[#This Row],[Split_raw]]*MAX(0,MIN(_xlfn.DAYS(EDATE(S$1,1),Log_2019[[#This Row],[Date]]),Log_2019[[#This Row],[Split_apply]])) - SUM($O430:R430)</f>
        <v>0</v>
      </c>
      <c r="T430" s="52">
        <f ca="1">Log_2019[[#This Row],[Amount]]/Log_2019[[#This Row],[Split_raw]]*MAX(0,MIN(_xlfn.DAYS(EDATE(T$1,1),Log_2019[[#This Row],[Date]]),Log_2019[[#This Row],[Split_apply]])) - SUM($O430:S430)</f>
        <v>0</v>
      </c>
      <c r="U430" s="52">
        <f ca="1">Log_2019[[#This Row],[Amount]]/Log_2019[[#This Row],[Split_raw]]*MAX(0,MIN(_xlfn.DAYS(EDATE(U$1,1),Log_2019[[#This Row],[Date]]),Log_2019[[#This Row],[Split_apply]])) - SUM($O430:T430)</f>
        <v>-320</v>
      </c>
      <c r="V430" s="52">
        <f ca="1">Log_2019[[#This Row],[Amount]]/Log_2019[[#This Row],[Split_raw]]*MAX(0,MIN(_xlfn.DAYS(EDATE(V$1,1),Log_2019[[#This Row],[Date]]),Log_2019[[#This Row],[Split_apply]])) - SUM($O430:U430)</f>
        <v>0</v>
      </c>
      <c r="W430" s="52">
        <f ca="1">Log_2019[[#This Row],[Amount]]/Log_2019[[#This Row],[Split_raw]]*MAX(0,MIN(_xlfn.DAYS(EDATE(W$1,1),Log_2019[[#This Row],[Date]]),Log_2019[[#This Row],[Split_apply]])) - SUM($O430:V430)</f>
        <v>0</v>
      </c>
      <c r="X430" s="52">
        <f ca="1">Log_2019[[#This Row],[Amount]]/Log_2019[[#This Row],[Split_raw]]*MAX(0,MIN(_xlfn.DAYS(EDATE(X$1,1),Log_2019[[#This Row],[Date]]),Log_2019[[#This Row],[Split_apply]])) - SUM($O430:W430)</f>
        <v>0</v>
      </c>
      <c r="Y430" s="52">
        <f ca="1">Log_2019[[#This Row],[Amount]]/Log_2019[[#This Row],[Split_raw]]*MAX(0,MIN(_xlfn.DAYS(EDATE(Y$1,1),Log_2019[[#This Row],[Date]]),Log_2019[[#This Row],[Split_apply]])) - SUM($O430:X430)</f>
        <v>0</v>
      </c>
      <c r="Z430" s="52">
        <f ca="1">Log_2019[[#This Row],[Amount]]/Log_2019[[#This Row],[Split_raw]]*MAX(0,MIN(_xlfn.DAYS(EDATE(Z$1,1),Log_2019[[#This Row],[Date]]),Log_2019[[#This Row],[Split_apply]])) - SUM($O430:Y430)</f>
        <v>0</v>
      </c>
      <c r="AA430" s="52">
        <f ca="1">Log_2019[[#This Row],[Amount]]/Log_2019[[#This Row],[Split_raw]]*MAX(0,MIN(_xlfn.DAYS(EDATE(AA$1,1),Log_2019[[#This Row],[Date]]),Log_2019[[#This Row],[Split_apply]])) - SUM($O430:Z430)</f>
        <v>0</v>
      </c>
      <c r="AB430" s="54">
        <f ca="1">Log_2019[[#This Row],[Amount]]-SUM(O430:AA430)</f>
        <v>0</v>
      </c>
      <c r="AC430" s="7">
        <f>MAX(0,Log_2019[[#This Row],[Split_raw]] - (EDATE(AA$1,1)-Log_2019[[#This Row],[Date]]))</f>
        <v>0</v>
      </c>
    </row>
    <row r="431" spans="1:29" x14ac:dyDescent="0.25">
      <c r="A431" s="42"/>
      <c r="B431" s="34" t="s">
        <v>6</v>
      </c>
      <c r="C431" s="34"/>
      <c r="D431" s="35">
        <v>43617</v>
      </c>
      <c r="E431" s="34"/>
      <c r="F431" s="34" t="s">
        <v>621</v>
      </c>
      <c r="G431" s="34" t="s">
        <v>9</v>
      </c>
      <c r="H431" s="36">
        <v>-8.85</v>
      </c>
      <c r="I431" s="36">
        <f>IF(Log_2019[[#This Row],[My Category]]="NONTRACKED",0,Log_2019[[#This Row],[Raw Amount]])</f>
        <v>-8.85</v>
      </c>
      <c r="J431" s="37">
        <f>ABS(Log_2019[[#This Row],[Amount]])</f>
        <v>8.85</v>
      </c>
      <c r="K431" s="38">
        <v>1</v>
      </c>
      <c r="L431" s="38">
        <f ca="1">IF(Log_2019[[#This Row],[Date]]&lt;=TODAY(), MIN(Log_2019[[#This Row],[Split_raw]], TODAY()-Log_2019[[#This Row],[Date]]+1), 0)</f>
        <v>1</v>
      </c>
      <c r="M431" s="34" t="s">
        <v>53</v>
      </c>
      <c r="N431" s="34" t="s">
        <v>158</v>
      </c>
      <c r="O431" s="7">
        <v>0</v>
      </c>
      <c r="P431" s="52">
        <f ca="1">Log_2019[[#This Row],[Amount]]/Log_2019[[#This Row],[Split_raw]]*MAX(0,MIN(_xlfn.DAYS(EDATE(P$1,1),Log_2019[[#This Row],[Date]]),Log_2019[[#This Row],[Split_apply]])) - SUM($O431:O431)</f>
        <v>0</v>
      </c>
      <c r="Q431" s="52">
        <f ca="1">Log_2019[[#This Row],[Amount]]/Log_2019[[#This Row],[Split_raw]]*MAX(0,MIN(_xlfn.DAYS(EDATE(Q$1,1),Log_2019[[#This Row],[Date]]),Log_2019[[#This Row],[Split_apply]])) - SUM($O431:P431)</f>
        <v>0</v>
      </c>
      <c r="R431" s="52">
        <f ca="1">Log_2019[[#This Row],[Amount]]/Log_2019[[#This Row],[Split_raw]]*MAX(0,MIN(_xlfn.DAYS(EDATE(R$1,1),Log_2019[[#This Row],[Date]]),Log_2019[[#This Row],[Split_apply]])) - SUM($O431:Q431)</f>
        <v>0</v>
      </c>
      <c r="S431" s="52">
        <f ca="1">Log_2019[[#This Row],[Amount]]/Log_2019[[#This Row],[Split_raw]]*MAX(0,MIN(_xlfn.DAYS(EDATE(S$1,1),Log_2019[[#This Row],[Date]]),Log_2019[[#This Row],[Split_apply]])) - SUM($O431:R431)</f>
        <v>0</v>
      </c>
      <c r="T431" s="52">
        <f ca="1">Log_2019[[#This Row],[Amount]]/Log_2019[[#This Row],[Split_raw]]*MAX(0,MIN(_xlfn.DAYS(EDATE(T$1,1),Log_2019[[#This Row],[Date]]),Log_2019[[#This Row],[Split_apply]])) - SUM($O431:S431)</f>
        <v>0</v>
      </c>
      <c r="U431" s="52">
        <f ca="1">Log_2019[[#This Row],[Amount]]/Log_2019[[#This Row],[Split_raw]]*MAX(0,MIN(_xlfn.DAYS(EDATE(U$1,1),Log_2019[[#This Row],[Date]]),Log_2019[[#This Row],[Split_apply]])) - SUM($O431:T431)</f>
        <v>-8.85</v>
      </c>
      <c r="V431" s="52">
        <f ca="1">Log_2019[[#This Row],[Amount]]/Log_2019[[#This Row],[Split_raw]]*MAX(0,MIN(_xlfn.DAYS(EDATE(V$1,1),Log_2019[[#This Row],[Date]]),Log_2019[[#This Row],[Split_apply]])) - SUM($O431:U431)</f>
        <v>0</v>
      </c>
      <c r="W431" s="52">
        <f ca="1">Log_2019[[#This Row],[Amount]]/Log_2019[[#This Row],[Split_raw]]*MAX(0,MIN(_xlfn.DAYS(EDATE(W$1,1),Log_2019[[#This Row],[Date]]),Log_2019[[#This Row],[Split_apply]])) - SUM($O431:V431)</f>
        <v>0</v>
      </c>
      <c r="X431" s="52">
        <f ca="1">Log_2019[[#This Row],[Amount]]/Log_2019[[#This Row],[Split_raw]]*MAX(0,MIN(_xlfn.DAYS(EDATE(X$1,1),Log_2019[[#This Row],[Date]]),Log_2019[[#This Row],[Split_apply]])) - SUM($O431:W431)</f>
        <v>0</v>
      </c>
      <c r="Y431" s="52">
        <f ca="1">Log_2019[[#This Row],[Amount]]/Log_2019[[#This Row],[Split_raw]]*MAX(0,MIN(_xlfn.DAYS(EDATE(Y$1,1),Log_2019[[#This Row],[Date]]),Log_2019[[#This Row],[Split_apply]])) - SUM($O431:X431)</f>
        <v>0</v>
      </c>
      <c r="Z431" s="52">
        <f ca="1">Log_2019[[#This Row],[Amount]]/Log_2019[[#This Row],[Split_raw]]*MAX(0,MIN(_xlfn.DAYS(EDATE(Z$1,1),Log_2019[[#This Row],[Date]]),Log_2019[[#This Row],[Split_apply]])) - SUM($O431:Y431)</f>
        <v>0</v>
      </c>
      <c r="AA431" s="52">
        <f ca="1">Log_2019[[#This Row],[Amount]]/Log_2019[[#This Row],[Split_raw]]*MAX(0,MIN(_xlfn.DAYS(EDATE(AA$1,1),Log_2019[[#This Row],[Date]]),Log_2019[[#This Row],[Split_apply]])) - SUM($O431:Z431)</f>
        <v>0</v>
      </c>
      <c r="AB431" s="54">
        <f ca="1">Log_2019[[#This Row],[Amount]]-SUM(O431:AA431)</f>
        <v>0</v>
      </c>
      <c r="AC431" s="7">
        <f>MAX(0,Log_2019[[#This Row],[Split_raw]] - (EDATE(AA$1,1)-Log_2019[[#This Row],[Date]]))</f>
        <v>0</v>
      </c>
    </row>
    <row r="432" spans="1:29" x14ac:dyDescent="0.25">
      <c r="A432" s="42"/>
      <c r="B432" s="34" t="s">
        <v>490</v>
      </c>
      <c r="C432" s="34">
        <v>2.7569249589143798E+18</v>
      </c>
      <c r="D432" s="41">
        <v>43617</v>
      </c>
      <c r="E432" s="34"/>
      <c r="F432" s="34" t="s">
        <v>731</v>
      </c>
      <c r="G432" s="34"/>
      <c r="H432" s="45">
        <v>-22</v>
      </c>
      <c r="I432" s="36">
        <f>IF(Log_2019[[#This Row],[My Category]]="NONTRACKED",0,Log_2019[[#This Row],[Raw Amount]])</f>
        <v>-22</v>
      </c>
      <c r="J432" s="37">
        <f>ABS(Log_2019[[#This Row],[Amount]])</f>
        <v>22</v>
      </c>
      <c r="K432" s="38">
        <v>1</v>
      </c>
      <c r="L432" s="38">
        <f ca="1">IF(Log_2019[[#This Row],[Date]]&lt;=TODAY(), MIN(Log_2019[[#This Row],[Split_raw]], TODAY()-Log_2019[[#This Row],[Date]]+1), 0)</f>
        <v>1</v>
      </c>
      <c r="M432" s="34" t="s">
        <v>40</v>
      </c>
      <c r="N432" s="34" t="s">
        <v>490</v>
      </c>
      <c r="O432" s="7">
        <v>0</v>
      </c>
      <c r="P432" s="52">
        <f ca="1">Log_2019[[#This Row],[Amount]]/Log_2019[[#This Row],[Split_raw]]*MAX(0,MIN(_xlfn.DAYS(EDATE(P$1,1),Log_2019[[#This Row],[Date]]),Log_2019[[#This Row],[Split_apply]])) - SUM($O432:O432)</f>
        <v>0</v>
      </c>
      <c r="Q432" s="52">
        <f ca="1">Log_2019[[#This Row],[Amount]]/Log_2019[[#This Row],[Split_raw]]*MAX(0,MIN(_xlfn.DAYS(EDATE(Q$1,1),Log_2019[[#This Row],[Date]]),Log_2019[[#This Row],[Split_apply]])) - SUM($O432:P432)</f>
        <v>0</v>
      </c>
      <c r="R432" s="52">
        <f ca="1">Log_2019[[#This Row],[Amount]]/Log_2019[[#This Row],[Split_raw]]*MAX(0,MIN(_xlfn.DAYS(EDATE(R$1,1),Log_2019[[#This Row],[Date]]),Log_2019[[#This Row],[Split_apply]])) - SUM($O432:Q432)</f>
        <v>0</v>
      </c>
      <c r="S432" s="52">
        <f ca="1">Log_2019[[#This Row],[Amount]]/Log_2019[[#This Row],[Split_raw]]*MAX(0,MIN(_xlfn.DAYS(EDATE(S$1,1),Log_2019[[#This Row],[Date]]),Log_2019[[#This Row],[Split_apply]])) - SUM($O432:R432)</f>
        <v>0</v>
      </c>
      <c r="T432" s="52">
        <f ca="1">Log_2019[[#This Row],[Amount]]/Log_2019[[#This Row],[Split_raw]]*MAX(0,MIN(_xlfn.DAYS(EDATE(T$1,1),Log_2019[[#This Row],[Date]]),Log_2019[[#This Row],[Split_apply]])) - SUM($O432:S432)</f>
        <v>0</v>
      </c>
      <c r="U432" s="52">
        <f ca="1">Log_2019[[#This Row],[Amount]]/Log_2019[[#This Row],[Split_raw]]*MAX(0,MIN(_xlfn.DAYS(EDATE(U$1,1),Log_2019[[#This Row],[Date]]),Log_2019[[#This Row],[Split_apply]])) - SUM($O432:T432)</f>
        <v>-22</v>
      </c>
      <c r="V432" s="52">
        <f ca="1">Log_2019[[#This Row],[Amount]]/Log_2019[[#This Row],[Split_raw]]*MAX(0,MIN(_xlfn.DAYS(EDATE(V$1,1),Log_2019[[#This Row],[Date]]),Log_2019[[#This Row],[Split_apply]])) - SUM($O432:U432)</f>
        <v>0</v>
      </c>
      <c r="W432" s="52">
        <f ca="1">Log_2019[[#This Row],[Amount]]/Log_2019[[#This Row],[Split_raw]]*MAX(0,MIN(_xlfn.DAYS(EDATE(W$1,1),Log_2019[[#This Row],[Date]]),Log_2019[[#This Row],[Split_apply]])) - SUM($O432:V432)</f>
        <v>0</v>
      </c>
      <c r="X432" s="52">
        <f ca="1">Log_2019[[#This Row],[Amount]]/Log_2019[[#This Row],[Split_raw]]*MAX(0,MIN(_xlfn.DAYS(EDATE(X$1,1),Log_2019[[#This Row],[Date]]),Log_2019[[#This Row],[Split_apply]])) - SUM($O432:W432)</f>
        <v>0</v>
      </c>
      <c r="Y432" s="52">
        <f ca="1">Log_2019[[#This Row],[Amount]]/Log_2019[[#This Row],[Split_raw]]*MAX(0,MIN(_xlfn.DAYS(EDATE(Y$1,1),Log_2019[[#This Row],[Date]]),Log_2019[[#This Row],[Split_apply]])) - SUM($O432:X432)</f>
        <v>0</v>
      </c>
      <c r="Z432" s="52">
        <f ca="1">Log_2019[[#This Row],[Amount]]/Log_2019[[#This Row],[Split_raw]]*MAX(0,MIN(_xlfn.DAYS(EDATE(Z$1,1),Log_2019[[#This Row],[Date]]),Log_2019[[#This Row],[Split_apply]])) - SUM($O432:Y432)</f>
        <v>0</v>
      </c>
      <c r="AA432" s="52">
        <f ca="1">Log_2019[[#This Row],[Amount]]/Log_2019[[#This Row],[Split_raw]]*MAX(0,MIN(_xlfn.DAYS(EDATE(AA$1,1),Log_2019[[#This Row],[Date]]),Log_2019[[#This Row],[Split_apply]])) - SUM($O432:Z432)</f>
        <v>0</v>
      </c>
      <c r="AB432" s="54">
        <f ca="1">Log_2019[[#This Row],[Amount]]-SUM(O432:AA432)</f>
        <v>0</v>
      </c>
      <c r="AC432" s="7">
        <f>MAX(0,Log_2019[[#This Row],[Split_raw]] - (EDATE(AA$1,1)-Log_2019[[#This Row],[Date]]))</f>
        <v>0</v>
      </c>
    </row>
    <row r="433" spans="1:29" x14ac:dyDescent="0.25">
      <c r="A433" s="42"/>
      <c r="B433" s="34" t="s">
        <v>6</v>
      </c>
      <c r="C433" s="34"/>
      <c r="D433" s="35">
        <v>43616</v>
      </c>
      <c r="E433" s="34" t="s">
        <v>628</v>
      </c>
      <c r="F433" s="34" t="s">
        <v>622</v>
      </c>
      <c r="G433" s="34" t="s">
        <v>300</v>
      </c>
      <c r="H433" s="36">
        <v>-18.010000000000002</v>
      </c>
      <c r="I433" s="36">
        <f>IF(Log_2019[[#This Row],[My Category]]="NONTRACKED",0,Log_2019[[#This Row],[Raw Amount]])</f>
        <v>-18.010000000000002</v>
      </c>
      <c r="J433" s="37">
        <f>ABS(Log_2019[[#This Row],[Amount]])</f>
        <v>18.010000000000002</v>
      </c>
      <c r="K433" s="38">
        <v>1</v>
      </c>
      <c r="L433" s="38">
        <f ca="1">IF(Log_2019[[#This Row],[Date]]&lt;=TODAY(), MIN(Log_2019[[#This Row],[Split_raw]], TODAY()-Log_2019[[#This Row],[Date]]+1), 0)</f>
        <v>1</v>
      </c>
      <c r="M433" s="34" t="s">
        <v>145</v>
      </c>
      <c r="N433" s="34" t="s">
        <v>158</v>
      </c>
      <c r="O433" s="7">
        <v>0</v>
      </c>
      <c r="P433" s="52">
        <f ca="1">Log_2019[[#This Row],[Amount]]/Log_2019[[#This Row],[Split_raw]]*MAX(0,MIN(_xlfn.DAYS(EDATE(P$1,1),Log_2019[[#This Row],[Date]]),Log_2019[[#This Row],[Split_apply]])) - SUM($O433:O433)</f>
        <v>0</v>
      </c>
      <c r="Q433" s="52">
        <f ca="1">Log_2019[[#This Row],[Amount]]/Log_2019[[#This Row],[Split_raw]]*MAX(0,MIN(_xlfn.DAYS(EDATE(Q$1,1),Log_2019[[#This Row],[Date]]),Log_2019[[#This Row],[Split_apply]])) - SUM($O433:P433)</f>
        <v>0</v>
      </c>
      <c r="R433" s="52">
        <f ca="1">Log_2019[[#This Row],[Amount]]/Log_2019[[#This Row],[Split_raw]]*MAX(0,MIN(_xlfn.DAYS(EDATE(R$1,1),Log_2019[[#This Row],[Date]]),Log_2019[[#This Row],[Split_apply]])) - SUM($O433:Q433)</f>
        <v>0</v>
      </c>
      <c r="S433" s="52">
        <f ca="1">Log_2019[[#This Row],[Amount]]/Log_2019[[#This Row],[Split_raw]]*MAX(0,MIN(_xlfn.DAYS(EDATE(S$1,1),Log_2019[[#This Row],[Date]]),Log_2019[[#This Row],[Split_apply]])) - SUM($O433:R433)</f>
        <v>0</v>
      </c>
      <c r="T433" s="52">
        <f ca="1">Log_2019[[#This Row],[Amount]]/Log_2019[[#This Row],[Split_raw]]*MAX(0,MIN(_xlfn.DAYS(EDATE(T$1,1),Log_2019[[#This Row],[Date]]),Log_2019[[#This Row],[Split_apply]])) - SUM($O433:S433)</f>
        <v>-18.010000000000002</v>
      </c>
      <c r="U433" s="52">
        <f ca="1">Log_2019[[#This Row],[Amount]]/Log_2019[[#This Row],[Split_raw]]*MAX(0,MIN(_xlfn.DAYS(EDATE(U$1,1),Log_2019[[#This Row],[Date]]),Log_2019[[#This Row],[Split_apply]])) - SUM($O433:T433)</f>
        <v>0</v>
      </c>
      <c r="V433" s="52">
        <f ca="1">Log_2019[[#This Row],[Amount]]/Log_2019[[#This Row],[Split_raw]]*MAX(0,MIN(_xlfn.DAYS(EDATE(V$1,1),Log_2019[[#This Row],[Date]]),Log_2019[[#This Row],[Split_apply]])) - SUM($O433:U433)</f>
        <v>0</v>
      </c>
      <c r="W433" s="52">
        <f ca="1">Log_2019[[#This Row],[Amount]]/Log_2019[[#This Row],[Split_raw]]*MAX(0,MIN(_xlfn.DAYS(EDATE(W$1,1),Log_2019[[#This Row],[Date]]),Log_2019[[#This Row],[Split_apply]])) - SUM($O433:V433)</f>
        <v>0</v>
      </c>
      <c r="X433" s="52">
        <f ca="1">Log_2019[[#This Row],[Amount]]/Log_2019[[#This Row],[Split_raw]]*MAX(0,MIN(_xlfn.DAYS(EDATE(X$1,1),Log_2019[[#This Row],[Date]]),Log_2019[[#This Row],[Split_apply]])) - SUM($O433:W433)</f>
        <v>0</v>
      </c>
      <c r="Y433" s="52">
        <f ca="1">Log_2019[[#This Row],[Amount]]/Log_2019[[#This Row],[Split_raw]]*MAX(0,MIN(_xlfn.DAYS(EDATE(Y$1,1),Log_2019[[#This Row],[Date]]),Log_2019[[#This Row],[Split_apply]])) - SUM($O433:X433)</f>
        <v>0</v>
      </c>
      <c r="Z433" s="52">
        <f ca="1">Log_2019[[#This Row],[Amount]]/Log_2019[[#This Row],[Split_raw]]*MAX(0,MIN(_xlfn.DAYS(EDATE(Z$1,1),Log_2019[[#This Row],[Date]]),Log_2019[[#This Row],[Split_apply]])) - SUM($O433:Y433)</f>
        <v>0</v>
      </c>
      <c r="AA433" s="52">
        <f ca="1">Log_2019[[#This Row],[Amount]]/Log_2019[[#This Row],[Split_raw]]*MAX(0,MIN(_xlfn.DAYS(EDATE(AA$1,1),Log_2019[[#This Row],[Date]]),Log_2019[[#This Row],[Split_apply]])) - SUM($O433:Z433)</f>
        <v>0</v>
      </c>
      <c r="AB433" s="54">
        <f ca="1">Log_2019[[#This Row],[Amount]]-SUM(O433:AA433)</f>
        <v>0</v>
      </c>
      <c r="AC433" s="7">
        <f>MAX(0,Log_2019[[#This Row],[Split_raw]] - (EDATE(AA$1,1)-Log_2019[[#This Row],[Date]]))</f>
        <v>0</v>
      </c>
    </row>
    <row r="434" spans="1:29" x14ac:dyDescent="0.25">
      <c r="A434" s="42"/>
      <c r="B434" s="34" t="s">
        <v>6</v>
      </c>
      <c r="C434" s="34"/>
      <c r="D434" s="35">
        <v>43616</v>
      </c>
      <c r="E434" s="34"/>
      <c r="F434" s="34" t="s">
        <v>623</v>
      </c>
      <c r="G434" s="34" t="s">
        <v>25</v>
      </c>
      <c r="H434" s="36">
        <v>-9.7100000000000009</v>
      </c>
      <c r="I434" s="36">
        <f>IF(Log_2019[[#This Row],[My Category]]="NONTRACKED",0,Log_2019[[#This Row],[Raw Amount]])</f>
        <v>-9.7100000000000009</v>
      </c>
      <c r="J434" s="37">
        <f>ABS(Log_2019[[#This Row],[Amount]])</f>
        <v>9.7100000000000009</v>
      </c>
      <c r="K434" s="38">
        <v>1</v>
      </c>
      <c r="L434" s="38">
        <f ca="1">IF(Log_2019[[#This Row],[Date]]&lt;=TODAY(), MIN(Log_2019[[#This Row],[Split_raw]], TODAY()-Log_2019[[#This Row],[Date]]+1), 0)</f>
        <v>1</v>
      </c>
      <c r="M434" s="34" t="s">
        <v>35</v>
      </c>
      <c r="N434" s="34" t="s">
        <v>158</v>
      </c>
      <c r="O434" s="7">
        <v>0</v>
      </c>
      <c r="P434" s="52">
        <f ca="1">Log_2019[[#This Row],[Amount]]/Log_2019[[#This Row],[Split_raw]]*MAX(0,MIN(_xlfn.DAYS(EDATE(P$1,1),Log_2019[[#This Row],[Date]]),Log_2019[[#This Row],[Split_apply]])) - SUM($O434:O434)</f>
        <v>0</v>
      </c>
      <c r="Q434" s="52">
        <f ca="1">Log_2019[[#This Row],[Amount]]/Log_2019[[#This Row],[Split_raw]]*MAX(0,MIN(_xlfn.DAYS(EDATE(Q$1,1),Log_2019[[#This Row],[Date]]),Log_2019[[#This Row],[Split_apply]])) - SUM($O434:P434)</f>
        <v>0</v>
      </c>
      <c r="R434" s="52">
        <f ca="1">Log_2019[[#This Row],[Amount]]/Log_2019[[#This Row],[Split_raw]]*MAX(0,MIN(_xlfn.DAYS(EDATE(R$1,1),Log_2019[[#This Row],[Date]]),Log_2019[[#This Row],[Split_apply]])) - SUM($O434:Q434)</f>
        <v>0</v>
      </c>
      <c r="S434" s="52">
        <f ca="1">Log_2019[[#This Row],[Amount]]/Log_2019[[#This Row],[Split_raw]]*MAX(0,MIN(_xlfn.DAYS(EDATE(S$1,1),Log_2019[[#This Row],[Date]]),Log_2019[[#This Row],[Split_apply]])) - SUM($O434:R434)</f>
        <v>0</v>
      </c>
      <c r="T434" s="52">
        <f ca="1">Log_2019[[#This Row],[Amount]]/Log_2019[[#This Row],[Split_raw]]*MAX(0,MIN(_xlfn.DAYS(EDATE(T$1,1),Log_2019[[#This Row],[Date]]),Log_2019[[#This Row],[Split_apply]])) - SUM($O434:S434)</f>
        <v>-9.7100000000000009</v>
      </c>
      <c r="U434" s="52">
        <f ca="1">Log_2019[[#This Row],[Amount]]/Log_2019[[#This Row],[Split_raw]]*MAX(0,MIN(_xlfn.DAYS(EDATE(U$1,1),Log_2019[[#This Row],[Date]]),Log_2019[[#This Row],[Split_apply]])) - SUM($O434:T434)</f>
        <v>0</v>
      </c>
      <c r="V434" s="52">
        <f ca="1">Log_2019[[#This Row],[Amount]]/Log_2019[[#This Row],[Split_raw]]*MAX(0,MIN(_xlfn.DAYS(EDATE(V$1,1),Log_2019[[#This Row],[Date]]),Log_2019[[#This Row],[Split_apply]])) - SUM($O434:U434)</f>
        <v>0</v>
      </c>
      <c r="W434" s="52">
        <f ca="1">Log_2019[[#This Row],[Amount]]/Log_2019[[#This Row],[Split_raw]]*MAX(0,MIN(_xlfn.DAYS(EDATE(W$1,1),Log_2019[[#This Row],[Date]]),Log_2019[[#This Row],[Split_apply]])) - SUM($O434:V434)</f>
        <v>0</v>
      </c>
      <c r="X434" s="52">
        <f ca="1">Log_2019[[#This Row],[Amount]]/Log_2019[[#This Row],[Split_raw]]*MAX(0,MIN(_xlfn.DAYS(EDATE(X$1,1),Log_2019[[#This Row],[Date]]),Log_2019[[#This Row],[Split_apply]])) - SUM($O434:W434)</f>
        <v>0</v>
      </c>
      <c r="Y434" s="52">
        <f ca="1">Log_2019[[#This Row],[Amount]]/Log_2019[[#This Row],[Split_raw]]*MAX(0,MIN(_xlfn.DAYS(EDATE(Y$1,1),Log_2019[[#This Row],[Date]]),Log_2019[[#This Row],[Split_apply]])) - SUM($O434:X434)</f>
        <v>0</v>
      </c>
      <c r="Z434" s="52">
        <f ca="1">Log_2019[[#This Row],[Amount]]/Log_2019[[#This Row],[Split_raw]]*MAX(0,MIN(_xlfn.DAYS(EDATE(Z$1,1),Log_2019[[#This Row],[Date]]),Log_2019[[#This Row],[Split_apply]])) - SUM($O434:Y434)</f>
        <v>0</v>
      </c>
      <c r="AA434" s="52">
        <f ca="1">Log_2019[[#This Row],[Amount]]/Log_2019[[#This Row],[Split_raw]]*MAX(0,MIN(_xlfn.DAYS(EDATE(AA$1,1),Log_2019[[#This Row],[Date]]),Log_2019[[#This Row],[Split_apply]])) - SUM($O434:Z434)</f>
        <v>0</v>
      </c>
      <c r="AB434" s="54">
        <f ca="1">Log_2019[[#This Row],[Amount]]-SUM(O434:AA434)</f>
        <v>0</v>
      </c>
      <c r="AC434" s="7">
        <f>MAX(0,Log_2019[[#This Row],[Split_raw]] - (EDATE(AA$1,1)-Log_2019[[#This Row],[Date]]))</f>
        <v>0</v>
      </c>
    </row>
    <row r="435" spans="1:29" x14ac:dyDescent="0.25">
      <c r="A435" s="42"/>
      <c r="B435" s="34" t="s">
        <v>6</v>
      </c>
      <c r="C435" s="34"/>
      <c r="D435" s="35">
        <v>43615</v>
      </c>
      <c r="E435" s="34"/>
      <c r="F435" s="34" t="s">
        <v>345</v>
      </c>
      <c r="G435" s="34" t="s">
        <v>12</v>
      </c>
      <c r="H435" s="36">
        <v>-102.24</v>
      </c>
      <c r="I435" s="36">
        <f>IF(Log_2019[[#This Row],[My Category]]="NONTRACKED",0,Log_2019[[#This Row],[Raw Amount]])</f>
        <v>-102.24</v>
      </c>
      <c r="J435" s="37">
        <f>ABS(Log_2019[[#This Row],[Amount]])</f>
        <v>102.24</v>
      </c>
      <c r="K435" s="38">
        <v>1</v>
      </c>
      <c r="L435" s="38">
        <f ca="1">IF(Log_2019[[#This Row],[Date]]&lt;=TODAY(), MIN(Log_2019[[#This Row],[Split_raw]], TODAY()-Log_2019[[#This Row],[Date]]+1), 0)</f>
        <v>1</v>
      </c>
      <c r="M435" s="34" t="s">
        <v>12</v>
      </c>
      <c r="N435" s="34" t="s">
        <v>158</v>
      </c>
      <c r="O435" s="7">
        <v>0</v>
      </c>
      <c r="P435" s="52">
        <f ca="1">Log_2019[[#This Row],[Amount]]/Log_2019[[#This Row],[Split_raw]]*MAX(0,MIN(_xlfn.DAYS(EDATE(P$1,1),Log_2019[[#This Row],[Date]]),Log_2019[[#This Row],[Split_apply]])) - SUM($O435:O435)</f>
        <v>0</v>
      </c>
      <c r="Q435" s="52">
        <f ca="1">Log_2019[[#This Row],[Amount]]/Log_2019[[#This Row],[Split_raw]]*MAX(0,MIN(_xlfn.DAYS(EDATE(Q$1,1),Log_2019[[#This Row],[Date]]),Log_2019[[#This Row],[Split_apply]])) - SUM($O435:P435)</f>
        <v>0</v>
      </c>
      <c r="R435" s="52">
        <f ca="1">Log_2019[[#This Row],[Amount]]/Log_2019[[#This Row],[Split_raw]]*MAX(0,MIN(_xlfn.DAYS(EDATE(R$1,1),Log_2019[[#This Row],[Date]]),Log_2019[[#This Row],[Split_apply]])) - SUM($O435:Q435)</f>
        <v>0</v>
      </c>
      <c r="S435" s="52">
        <f ca="1">Log_2019[[#This Row],[Amount]]/Log_2019[[#This Row],[Split_raw]]*MAX(0,MIN(_xlfn.DAYS(EDATE(S$1,1),Log_2019[[#This Row],[Date]]),Log_2019[[#This Row],[Split_apply]])) - SUM($O435:R435)</f>
        <v>0</v>
      </c>
      <c r="T435" s="52">
        <f ca="1">Log_2019[[#This Row],[Amount]]/Log_2019[[#This Row],[Split_raw]]*MAX(0,MIN(_xlfn.DAYS(EDATE(T$1,1),Log_2019[[#This Row],[Date]]),Log_2019[[#This Row],[Split_apply]])) - SUM($O435:S435)</f>
        <v>-102.24</v>
      </c>
      <c r="U435" s="52">
        <f ca="1">Log_2019[[#This Row],[Amount]]/Log_2019[[#This Row],[Split_raw]]*MAX(0,MIN(_xlfn.DAYS(EDATE(U$1,1),Log_2019[[#This Row],[Date]]),Log_2019[[#This Row],[Split_apply]])) - SUM($O435:T435)</f>
        <v>0</v>
      </c>
      <c r="V435" s="52">
        <f ca="1">Log_2019[[#This Row],[Amount]]/Log_2019[[#This Row],[Split_raw]]*MAX(0,MIN(_xlfn.DAYS(EDATE(V$1,1),Log_2019[[#This Row],[Date]]),Log_2019[[#This Row],[Split_apply]])) - SUM($O435:U435)</f>
        <v>0</v>
      </c>
      <c r="W435" s="52">
        <f ca="1">Log_2019[[#This Row],[Amount]]/Log_2019[[#This Row],[Split_raw]]*MAX(0,MIN(_xlfn.DAYS(EDATE(W$1,1),Log_2019[[#This Row],[Date]]),Log_2019[[#This Row],[Split_apply]])) - SUM($O435:V435)</f>
        <v>0</v>
      </c>
      <c r="X435" s="52">
        <f ca="1">Log_2019[[#This Row],[Amount]]/Log_2019[[#This Row],[Split_raw]]*MAX(0,MIN(_xlfn.DAYS(EDATE(X$1,1),Log_2019[[#This Row],[Date]]),Log_2019[[#This Row],[Split_apply]])) - SUM($O435:W435)</f>
        <v>0</v>
      </c>
      <c r="Y435" s="52">
        <f ca="1">Log_2019[[#This Row],[Amount]]/Log_2019[[#This Row],[Split_raw]]*MAX(0,MIN(_xlfn.DAYS(EDATE(Y$1,1),Log_2019[[#This Row],[Date]]),Log_2019[[#This Row],[Split_apply]])) - SUM($O435:X435)</f>
        <v>0</v>
      </c>
      <c r="Z435" s="52">
        <f ca="1">Log_2019[[#This Row],[Amount]]/Log_2019[[#This Row],[Split_raw]]*MAX(0,MIN(_xlfn.DAYS(EDATE(Z$1,1),Log_2019[[#This Row],[Date]]),Log_2019[[#This Row],[Split_apply]])) - SUM($O435:Y435)</f>
        <v>0</v>
      </c>
      <c r="AA435" s="52">
        <f ca="1">Log_2019[[#This Row],[Amount]]/Log_2019[[#This Row],[Split_raw]]*MAX(0,MIN(_xlfn.DAYS(EDATE(AA$1,1),Log_2019[[#This Row],[Date]]),Log_2019[[#This Row],[Split_apply]])) - SUM($O435:Z435)</f>
        <v>0</v>
      </c>
      <c r="AB435" s="54">
        <f ca="1">Log_2019[[#This Row],[Amount]]-SUM(O435:AA435)</f>
        <v>0</v>
      </c>
      <c r="AC435" s="7">
        <f>MAX(0,Log_2019[[#This Row],[Split_raw]] - (EDATE(AA$1,1)-Log_2019[[#This Row],[Date]]))</f>
        <v>0</v>
      </c>
    </row>
    <row r="436" spans="1:29" x14ac:dyDescent="0.25">
      <c r="A436" s="42"/>
      <c r="B436" s="34" t="s">
        <v>6</v>
      </c>
      <c r="C436" s="34"/>
      <c r="D436" s="35">
        <v>43615</v>
      </c>
      <c r="E436" s="34"/>
      <c r="F436" s="34" t="s">
        <v>624</v>
      </c>
      <c r="G436" s="34" t="s">
        <v>12</v>
      </c>
      <c r="H436" s="36">
        <v>-52.92</v>
      </c>
      <c r="I436" s="36">
        <f>IF(Log_2019[[#This Row],[My Category]]="NONTRACKED",0,Log_2019[[#This Row],[Raw Amount]])</f>
        <v>-52.92</v>
      </c>
      <c r="J436" s="37">
        <f>ABS(Log_2019[[#This Row],[Amount]])</f>
        <v>52.92</v>
      </c>
      <c r="K436" s="38">
        <v>1</v>
      </c>
      <c r="L436" s="38">
        <f ca="1">IF(Log_2019[[#This Row],[Date]]&lt;=TODAY(), MIN(Log_2019[[#This Row],[Split_raw]], TODAY()-Log_2019[[#This Row],[Date]]+1), 0)</f>
        <v>1</v>
      </c>
      <c r="M436" s="34" t="s">
        <v>12</v>
      </c>
      <c r="N436" s="34" t="s">
        <v>158</v>
      </c>
      <c r="O436" s="7">
        <v>0</v>
      </c>
      <c r="P436" s="52">
        <f ca="1">Log_2019[[#This Row],[Amount]]/Log_2019[[#This Row],[Split_raw]]*MAX(0,MIN(_xlfn.DAYS(EDATE(P$1,1),Log_2019[[#This Row],[Date]]),Log_2019[[#This Row],[Split_apply]])) - SUM($O436:O436)</f>
        <v>0</v>
      </c>
      <c r="Q436" s="52">
        <f ca="1">Log_2019[[#This Row],[Amount]]/Log_2019[[#This Row],[Split_raw]]*MAX(0,MIN(_xlfn.DAYS(EDATE(Q$1,1),Log_2019[[#This Row],[Date]]),Log_2019[[#This Row],[Split_apply]])) - SUM($O436:P436)</f>
        <v>0</v>
      </c>
      <c r="R436" s="52">
        <f ca="1">Log_2019[[#This Row],[Amount]]/Log_2019[[#This Row],[Split_raw]]*MAX(0,MIN(_xlfn.DAYS(EDATE(R$1,1),Log_2019[[#This Row],[Date]]),Log_2019[[#This Row],[Split_apply]])) - SUM($O436:Q436)</f>
        <v>0</v>
      </c>
      <c r="S436" s="52">
        <f ca="1">Log_2019[[#This Row],[Amount]]/Log_2019[[#This Row],[Split_raw]]*MAX(0,MIN(_xlfn.DAYS(EDATE(S$1,1),Log_2019[[#This Row],[Date]]),Log_2019[[#This Row],[Split_apply]])) - SUM($O436:R436)</f>
        <v>0</v>
      </c>
      <c r="T436" s="52">
        <f ca="1">Log_2019[[#This Row],[Amount]]/Log_2019[[#This Row],[Split_raw]]*MAX(0,MIN(_xlfn.DAYS(EDATE(T$1,1),Log_2019[[#This Row],[Date]]),Log_2019[[#This Row],[Split_apply]])) - SUM($O436:S436)</f>
        <v>-52.92</v>
      </c>
      <c r="U436" s="52">
        <f ca="1">Log_2019[[#This Row],[Amount]]/Log_2019[[#This Row],[Split_raw]]*MAX(0,MIN(_xlfn.DAYS(EDATE(U$1,1),Log_2019[[#This Row],[Date]]),Log_2019[[#This Row],[Split_apply]])) - SUM($O436:T436)</f>
        <v>0</v>
      </c>
      <c r="V436" s="52">
        <f ca="1">Log_2019[[#This Row],[Amount]]/Log_2019[[#This Row],[Split_raw]]*MAX(0,MIN(_xlfn.DAYS(EDATE(V$1,1),Log_2019[[#This Row],[Date]]),Log_2019[[#This Row],[Split_apply]])) - SUM($O436:U436)</f>
        <v>0</v>
      </c>
      <c r="W436" s="52">
        <f ca="1">Log_2019[[#This Row],[Amount]]/Log_2019[[#This Row],[Split_raw]]*MAX(0,MIN(_xlfn.DAYS(EDATE(W$1,1),Log_2019[[#This Row],[Date]]),Log_2019[[#This Row],[Split_apply]])) - SUM($O436:V436)</f>
        <v>0</v>
      </c>
      <c r="X436" s="52">
        <f ca="1">Log_2019[[#This Row],[Amount]]/Log_2019[[#This Row],[Split_raw]]*MAX(0,MIN(_xlfn.DAYS(EDATE(X$1,1),Log_2019[[#This Row],[Date]]),Log_2019[[#This Row],[Split_apply]])) - SUM($O436:W436)</f>
        <v>0</v>
      </c>
      <c r="Y436" s="52">
        <f ca="1">Log_2019[[#This Row],[Amount]]/Log_2019[[#This Row],[Split_raw]]*MAX(0,MIN(_xlfn.DAYS(EDATE(Y$1,1),Log_2019[[#This Row],[Date]]),Log_2019[[#This Row],[Split_apply]])) - SUM($O436:X436)</f>
        <v>0</v>
      </c>
      <c r="Z436" s="52">
        <f ca="1">Log_2019[[#This Row],[Amount]]/Log_2019[[#This Row],[Split_raw]]*MAX(0,MIN(_xlfn.DAYS(EDATE(Z$1,1),Log_2019[[#This Row],[Date]]),Log_2019[[#This Row],[Split_apply]])) - SUM($O436:Y436)</f>
        <v>0</v>
      </c>
      <c r="AA436" s="52">
        <f ca="1">Log_2019[[#This Row],[Amount]]/Log_2019[[#This Row],[Split_raw]]*MAX(0,MIN(_xlfn.DAYS(EDATE(AA$1,1),Log_2019[[#This Row],[Date]]),Log_2019[[#This Row],[Split_apply]])) - SUM($O436:Z436)</f>
        <v>0</v>
      </c>
      <c r="AB436" s="54">
        <f ca="1">Log_2019[[#This Row],[Amount]]-SUM(O436:AA436)</f>
        <v>0</v>
      </c>
      <c r="AC436" s="7">
        <f>MAX(0,Log_2019[[#This Row],[Split_raw]] - (EDATE(AA$1,1)-Log_2019[[#This Row],[Date]]))</f>
        <v>0</v>
      </c>
    </row>
    <row r="437" spans="1:29" x14ac:dyDescent="0.25">
      <c r="A437" s="42"/>
      <c r="B437" s="34" t="s">
        <v>6</v>
      </c>
      <c r="C437" s="34"/>
      <c r="D437" s="35">
        <v>43615</v>
      </c>
      <c r="E437" s="34"/>
      <c r="F437" s="34" t="s">
        <v>59</v>
      </c>
      <c r="G437" s="34" t="s">
        <v>25</v>
      </c>
      <c r="H437" s="36">
        <v>-8.94</v>
      </c>
      <c r="I437" s="36">
        <f>IF(Log_2019[[#This Row],[My Category]]="NONTRACKED",0,Log_2019[[#This Row],[Raw Amount]])</f>
        <v>-8.94</v>
      </c>
      <c r="J437" s="37">
        <f>ABS(Log_2019[[#This Row],[Amount]])</f>
        <v>8.94</v>
      </c>
      <c r="K437" s="38">
        <v>1</v>
      </c>
      <c r="L437" s="38">
        <f ca="1">IF(Log_2019[[#This Row],[Date]]&lt;=TODAY(), MIN(Log_2019[[#This Row],[Split_raw]], TODAY()-Log_2019[[#This Row],[Date]]+1), 0)</f>
        <v>1</v>
      </c>
      <c r="M437" s="34" t="s">
        <v>35</v>
      </c>
      <c r="N437" s="34" t="s">
        <v>158</v>
      </c>
      <c r="O437" s="7">
        <v>0</v>
      </c>
      <c r="P437" s="52">
        <f ca="1">Log_2019[[#This Row],[Amount]]/Log_2019[[#This Row],[Split_raw]]*MAX(0,MIN(_xlfn.DAYS(EDATE(P$1,1),Log_2019[[#This Row],[Date]]),Log_2019[[#This Row],[Split_apply]])) - SUM($O437:O437)</f>
        <v>0</v>
      </c>
      <c r="Q437" s="52">
        <f ca="1">Log_2019[[#This Row],[Amount]]/Log_2019[[#This Row],[Split_raw]]*MAX(0,MIN(_xlfn.DAYS(EDATE(Q$1,1),Log_2019[[#This Row],[Date]]),Log_2019[[#This Row],[Split_apply]])) - SUM($O437:P437)</f>
        <v>0</v>
      </c>
      <c r="R437" s="52">
        <f ca="1">Log_2019[[#This Row],[Amount]]/Log_2019[[#This Row],[Split_raw]]*MAX(0,MIN(_xlfn.DAYS(EDATE(R$1,1),Log_2019[[#This Row],[Date]]),Log_2019[[#This Row],[Split_apply]])) - SUM($O437:Q437)</f>
        <v>0</v>
      </c>
      <c r="S437" s="52">
        <f ca="1">Log_2019[[#This Row],[Amount]]/Log_2019[[#This Row],[Split_raw]]*MAX(0,MIN(_xlfn.DAYS(EDATE(S$1,1),Log_2019[[#This Row],[Date]]),Log_2019[[#This Row],[Split_apply]])) - SUM($O437:R437)</f>
        <v>0</v>
      </c>
      <c r="T437" s="52">
        <f ca="1">Log_2019[[#This Row],[Amount]]/Log_2019[[#This Row],[Split_raw]]*MAX(0,MIN(_xlfn.DAYS(EDATE(T$1,1),Log_2019[[#This Row],[Date]]),Log_2019[[#This Row],[Split_apply]])) - SUM($O437:S437)</f>
        <v>-8.94</v>
      </c>
      <c r="U437" s="52">
        <f ca="1">Log_2019[[#This Row],[Amount]]/Log_2019[[#This Row],[Split_raw]]*MAX(0,MIN(_xlfn.DAYS(EDATE(U$1,1),Log_2019[[#This Row],[Date]]),Log_2019[[#This Row],[Split_apply]])) - SUM($O437:T437)</f>
        <v>0</v>
      </c>
      <c r="V437" s="52">
        <f ca="1">Log_2019[[#This Row],[Amount]]/Log_2019[[#This Row],[Split_raw]]*MAX(0,MIN(_xlfn.DAYS(EDATE(V$1,1),Log_2019[[#This Row],[Date]]),Log_2019[[#This Row],[Split_apply]])) - SUM($O437:U437)</f>
        <v>0</v>
      </c>
      <c r="W437" s="52">
        <f ca="1">Log_2019[[#This Row],[Amount]]/Log_2019[[#This Row],[Split_raw]]*MAX(0,MIN(_xlfn.DAYS(EDATE(W$1,1),Log_2019[[#This Row],[Date]]),Log_2019[[#This Row],[Split_apply]])) - SUM($O437:V437)</f>
        <v>0</v>
      </c>
      <c r="X437" s="52">
        <f ca="1">Log_2019[[#This Row],[Amount]]/Log_2019[[#This Row],[Split_raw]]*MAX(0,MIN(_xlfn.DAYS(EDATE(X$1,1),Log_2019[[#This Row],[Date]]),Log_2019[[#This Row],[Split_apply]])) - SUM($O437:W437)</f>
        <v>0</v>
      </c>
      <c r="Y437" s="52">
        <f ca="1">Log_2019[[#This Row],[Amount]]/Log_2019[[#This Row],[Split_raw]]*MAX(0,MIN(_xlfn.DAYS(EDATE(Y$1,1),Log_2019[[#This Row],[Date]]),Log_2019[[#This Row],[Split_apply]])) - SUM($O437:X437)</f>
        <v>0</v>
      </c>
      <c r="Z437" s="52">
        <f ca="1">Log_2019[[#This Row],[Amount]]/Log_2019[[#This Row],[Split_raw]]*MAX(0,MIN(_xlfn.DAYS(EDATE(Z$1,1),Log_2019[[#This Row],[Date]]),Log_2019[[#This Row],[Split_apply]])) - SUM($O437:Y437)</f>
        <v>0</v>
      </c>
      <c r="AA437" s="52">
        <f ca="1">Log_2019[[#This Row],[Amount]]/Log_2019[[#This Row],[Split_raw]]*MAX(0,MIN(_xlfn.DAYS(EDATE(AA$1,1),Log_2019[[#This Row],[Date]]),Log_2019[[#This Row],[Split_apply]])) - SUM($O437:Z437)</f>
        <v>0</v>
      </c>
      <c r="AB437" s="54">
        <f ca="1">Log_2019[[#This Row],[Amount]]-SUM(O437:AA437)</f>
        <v>0</v>
      </c>
      <c r="AC437" s="7">
        <f>MAX(0,Log_2019[[#This Row],[Split_raw]] - (EDATE(AA$1,1)-Log_2019[[#This Row],[Date]]))</f>
        <v>0</v>
      </c>
    </row>
    <row r="438" spans="1:29" x14ac:dyDescent="0.25">
      <c r="A438" s="42"/>
      <c r="B438" s="34" t="s">
        <v>6</v>
      </c>
      <c r="C438" s="34"/>
      <c r="D438" s="35">
        <v>43615</v>
      </c>
      <c r="E438" s="34"/>
      <c r="F438" s="34" t="s">
        <v>255</v>
      </c>
      <c r="G438" s="34" t="s">
        <v>25</v>
      </c>
      <c r="H438" s="36">
        <v>-5.33</v>
      </c>
      <c r="I438" s="36">
        <f>IF(Log_2019[[#This Row],[My Category]]="NONTRACKED",0,Log_2019[[#This Row],[Raw Amount]])</f>
        <v>-5.33</v>
      </c>
      <c r="J438" s="37">
        <f>ABS(Log_2019[[#This Row],[Amount]])</f>
        <v>5.33</v>
      </c>
      <c r="K438" s="38">
        <v>1</v>
      </c>
      <c r="L438" s="38">
        <f ca="1">IF(Log_2019[[#This Row],[Date]]&lt;=TODAY(), MIN(Log_2019[[#This Row],[Split_raw]], TODAY()-Log_2019[[#This Row],[Date]]+1), 0)</f>
        <v>1</v>
      </c>
      <c r="M438" s="34" t="s">
        <v>35</v>
      </c>
      <c r="N438" s="34" t="s">
        <v>158</v>
      </c>
      <c r="O438" s="7">
        <v>0</v>
      </c>
      <c r="P438" s="52">
        <f ca="1">Log_2019[[#This Row],[Amount]]/Log_2019[[#This Row],[Split_raw]]*MAX(0,MIN(_xlfn.DAYS(EDATE(P$1,1),Log_2019[[#This Row],[Date]]),Log_2019[[#This Row],[Split_apply]])) - SUM($O438:O438)</f>
        <v>0</v>
      </c>
      <c r="Q438" s="52">
        <f ca="1">Log_2019[[#This Row],[Amount]]/Log_2019[[#This Row],[Split_raw]]*MAX(0,MIN(_xlfn.DAYS(EDATE(Q$1,1),Log_2019[[#This Row],[Date]]),Log_2019[[#This Row],[Split_apply]])) - SUM($O438:P438)</f>
        <v>0</v>
      </c>
      <c r="R438" s="52">
        <f ca="1">Log_2019[[#This Row],[Amount]]/Log_2019[[#This Row],[Split_raw]]*MAX(0,MIN(_xlfn.DAYS(EDATE(R$1,1),Log_2019[[#This Row],[Date]]),Log_2019[[#This Row],[Split_apply]])) - SUM($O438:Q438)</f>
        <v>0</v>
      </c>
      <c r="S438" s="52">
        <f ca="1">Log_2019[[#This Row],[Amount]]/Log_2019[[#This Row],[Split_raw]]*MAX(0,MIN(_xlfn.DAYS(EDATE(S$1,1),Log_2019[[#This Row],[Date]]),Log_2019[[#This Row],[Split_apply]])) - SUM($O438:R438)</f>
        <v>0</v>
      </c>
      <c r="T438" s="52">
        <f ca="1">Log_2019[[#This Row],[Amount]]/Log_2019[[#This Row],[Split_raw]]*MAX(0,MIN(_xlfn.DAYS(EDATE(T$1,1),Log_2019[[#This Row],[Date]]),Log_2019[[#This Row],[Split_apply]])) - SUM($O438:S438)</f>
        <v>-5.33</v>
      </c>
      <c r="U438" s="52">
        <f ca="1">Log_2019[[#This Row],[Amount]]/Log_2019[[#This Row],[Split_raw]]*MAX(0,MIN(_xlfn.DAYS(EDATE(U$1,1),Log_2019[[#This Row],[Date]]),Log_2019[[#This Row],[Split_apply]])) - SUM($O438:T438)</f>
        <v>0</v>
      </c>
      <c r="V438" s="52">
        <f ca="1">Log_2019[[#This Row],[Amount]]/Log_2019[[#This Row],[Split_raw]]*MAX(0,MIN(_xlfn.DAYS(EDATE(V$1,1),Log_2019[[#This Row],[Date]]),Log_2019[[#This Row],[Split_apply]])) - SUM($O438:U438)</f>
        <v>0</v>
      </c>
      <c r="W438" s="52">
        <f ca="1">Log_2019[[#This Row],[Amount]]/Log_2019[[#This Row],[Split_raw]]*MAX(0,MIN(_xlfn.DAYS(EDATE(W$1,1),Log_2019[[#This Row],[Date]]),Log_2019[[#This Row],[Split_apply]])) - SUM($O438:V438)</f>
        <v>0</v>
      </c>
      <c r="X438" s="52">
        <f ca="1">Log_2019[[#This Row],[Amount]]/Log_2019[[#This Row],[Split_raw]]*MAX(0,MIN(_xlfn.DAYS(EDATE(X$1,1),Log_2019[[#This Row],[Date]]),Log_2019[[#This Row],[Split_apply]])) - SUM($O438:W438)</f>
        <v>0</v>
      </c>
      <c r="Y438" s="52">
        <f ca="1">Log_2019[[#This Row],[Amount]]/Log_2019[[#This Row],[Split_raw]]*MAX(0,MIN(_xlfn.DAYS(EDATE(Y$1,1),Log_2019[[#This Row],[Date]]),Log_2019[[#This Row],[Split_apply]])) - SUM($O438:X438)</f>
        <v>0</v>
      </c>
      <c r="Z438" s="52">
        <f ca="1">Log_2019[[#This Row],[Amount]]/Log_2019[[#This Row],[Split_raw]]*MAX(0,MIN(_xlfn.DAYS(EDATE(Z$1,1),Log_2019[[#This Row],[Date]]),Log_2019[[#This Row],[Split_apply]])) - SUM($O438:Y438)</f>
        <v>0</v>
      </c>
      <c r="AA438" s="52">
        <f ca="1">Log_2019[[#This Row],[Amount]]/Log_2019[[#This Row],[Split_raw]]*MAX(0,MIN(_xlfn.DAYS(EDATE(AA$1,1),Log_2019[[#This Row],[Date]]),Log_2019[[#This Row],[Split_apply]])) - SUM($O438:Z438)</f>
        <v>0</v>
      </c>
      <c r="AB438" s="54">
        <f ca="1">Log_2019[[#This Row],[Amount]]-SUM(O438:AA438)</f>
        <v>0</v>
      </c>
      <c r="AC438" s="7">
        <f>MAX(0,Log_2019[[#This Row],[Split_raw]] - (EDATE(AA$1,1)-Log_2019[[#This Row],[Date]]))</f>
        <v>0</v>
      </c>
    </row>
    <row r="439" spans="1:29" x14ac:dyDescent="0.25">
      <c r="A439" s="42"/>
      <c r="B439" s="34" t="s">
        <v>6</v>
      </c>
      <c r="C439" s="34"/>
      <c r="D439" s="35">
        <v>43615</v>
      </c>
      <c r="E439" s="34"/>
      <c r="F439" s="34" t="s">
        <v>16</v>
      </c>
      <c r="G439" s="34" t="s">
        <v>17</v>
      </c>
      <c r="H439" s="36">
        <f>--0.12</f>
        <v>0.12</v>
      </c>
      <c r="I439" s="36">
        <f>IF(Log_2019[[#This Row],[My Category]]="NONTRACKED",0,Log_2019[[#This Row],[Raw Amount]])</f>
        <v>0.12</v>
      </c>
      <c r="J439" s="37">
        <f>ABS(Log_2019[[#This Row],[Amount]])</f>
        <v>0.12</v>
      </c>
      <c r="K439" s="38">
        <v>1</v>
      </c>
      <c r="L439" s="38">
        <f ca="1">IF(Log_2019[[#This Row],[Date]]&lt;=TODAY(), MIN(Log_2019[[#This Row],[Split_raw]], TODAY()-Log_2019[[#This Row],[Date]]+1), 0)</f>
        <v>1</v>
      </c>
      <c r="M439" s="34" t="s">
        <v>144</v>
      </c>
      <c r="N439" s="34" t="s">
        <v>160</v>
      </c>
      <c r="O439" s="7">
        <v>0</v>
      </c>
      <c r="P439" s="52">
        <f ca="1">Log_2019[[#This Row],[Amount]]/Log_2019[[#This Row],[Split_raw]]*MAX(0,MIN(_xlfn.DAYS(EDATE(P$1,1),Log_2019[[#This Row],[Date]]),Log_2019[[#This Row],[Split_apply]])) - SUM($O439:O439)</f>
        <v>0</v>
      </c>
      <c r="Q439" s="52">
        <f ca="1">Log_2019[[#This Row],[Amount]]/Log_2019[[#This Row],[Split_raw]]*MAX(0,MIN(_xlfn.DAYS(EDATE(Q$1,1),Log_2019[[#This Row],[Date]]),Log_2019[[#This Row],[Split_apply]])) - SUM($O439:P439)</f>
        <v>0</v>
      </c>
      <c r="R439" s="52">
        <f ca="1">Log_2019[[#This Row],[Amount]]/Log_2019[[#This Row],[Split_raw]]*MAX(0,MIN(_xlfn.DAYS(EDATE(R$1,1),Log_2019[[#This Row],[Date]]),Log_2019[[#This Row],[Split_apply]])) - SUM($O439:Q439)</f>
        <v>0</v>
      </c>
      <c r="S439" s="52">
        <f ca="1">Log_2019[[#This Row],[Amount]]/Log_2019[[#This Row],[Split_raw]]*MAX(0,MIN(_xlfn.DAYS(EDATE(S$1,1),Log_2019[[#This Row],[Date]]),Log_2019[[#This Row],[Split_apply]])) - SUM($O439:R439)</f>
        <v>0</v>
      </c>
      <c r="T439" s="52">
        <f ca="1">Log_2019[[#This Row],[Amount]]/Log_2019[[#This Row],[Split_raw]]*MAX(0,MIN(_xlfn.DAYS(EDATE(T$1,1),Log_2019[[#This Row],[Date]]),Log_2019[[#This Row],[Split_apply]])) - SUM($O439:S439)</f>
        <v>0.12</v>
      </c>
      <c r="U439" s="52">
        <f ca="1">Log_2019[[#This Row],[Amount]]/Log_2019[[#This Row],[Split_raw]]*MAX(0,MIN(_xlfn.DAYS(EDATE(U$1,1),Log_2019[[#This Row],[Date]]),Log_2019[[#This Row],[Split_apply]])) - SUM($O439:T439)</f>
        <v>0</v>
      </c>
      <c r="V439" s="52">
        <f ca="1">Log_2019[[#This Row],[Amount]]/Log_2019[[#This Row],[Split_raw]]*MAX(0,MIN(_xlfn.DAYS(EDATE(V$1,1),Log_2019[[#This Row],[Date]]),Log_2019[[#This Row],[Split_apply]])) - SUM($O439:U439)</f>
        <v>0</v>
      </c>
      <c r="W439" s="52">
        <f ca="1">Log_2019[[#This Row],[Amount]]/Log_2019[[#This Row],[Split_raw]]*MAX(0,MIN(_xlfn.DAYS(EDATE(W$1,1),Log_2019[[#This Row],[Date]]),Log_2019[[#This Row],[Split_apply]])) - SUM($O439:V439)</f>
        <v>0</v>
      </c>
      <c r="X439" s="52">
        <f ca="1">Log_2019[[#This Row],[Amount]]/Log_2019[[#This Row],[Split_raw]]*MAX(0,MIN(_xlfn.DAYS(EDATE(X$1,1),Log_2019[[#This Row],[Date]]),Log_2019[[#This Row],[Split_apply]])) - SUM($O439:W439)</f>
        <v>0</v>
      </c>
      <c r="Y439" s="52">
        <f ca="1">Log_2019[[#This Row],[Amount]]/Log_2019[[#This Row],[Split_raw]]*MAX(0,MIN(_xlfn.DAYS(EDATE(Y$1,1),Log_2019[[#This Row],[Date]]),Log_2019[[#This Row],[Split_apply]])) - SUM($O439:X439)</f>
        <v>0</v>
      </c>
      <c r="Z439" s="52">
        <f ca="1">Log_2019[[#This Row],[Amount]]/Log_2019[[#This Row],[Split_raw]]*MAX(0,MIN(_xlfn.DAYS(EDATE(Z$1,1),Log_2019[[#This Row],[Date]]),Log_2019[[#This Row],[Split_apply]])) - SUM($O439:Y439)</f>
        <v>0</v>
      </c>
      <c r="AA439" s="52">
        <f ca="1">Log_2019[[#This Row],[Amount]]/Log_2019[[#This Row],[Split_raw]]*MAX(0,MIN(_xlfn.DAYS(EDATE(AA$1,1),Log_2019[[#This Row],[Date]]),Log_2019[[#This Row],[Split_apply]])) - SUM($O439:Z439)</f>
        <v>0</v>
      </c>
      <c r="AB439" s="54">
        <f ca="1">Log_2019[[#This Row],[Amount]]-SUM(O439:AA439)</f>
        <v>0</v>
      </c>
      <c r="AC439" s="7">
        <f>MAX(0,Log_2019[[#This Row],[Split_raw]] - (EDATE(AA$1,1)-Log_2019[[#This Row],[Date]]))</f>
        <v>0</v>
      </c>
    </row>
    <row r="440" spans="1:29" x14ac:dyDescent="0.25">
      <c r="A440" s="42"/>
      <c r="B440" s="34" t="s">
        <v>490</v>
      </c>
      <c r="C440" s="34">
        <v>2.7555689908131599E+18</v>
      </c>
      <c r="D440" s="41">
        <v>43615</v>
      </c>
      <c r="E440" s="34"/>
      <c r="F440" s="34" t="s">
        <v>730</v>
      </c>
      <c r="G440" s="34"/>
      <c r="H440" s="45">
        <v>-23</v>
      </c>
      <c r="I440" s="36">
        <f>IF(Log_2019[[#This Row],[My Category]]="NONTRACKED",0,Log_2019[[#This Row],[Raw Amount]])</f>
        <v>-23</v>
      </c>
      <c r="J440" s="37">
        <f>ABS(Log_2019[[#This Row],[Amount]])</f>
        <v>23</v>
      </c>
      <c r="K440" s="38">
        <v>1</v>
      </c>
      <c r="L440" s="38">
        <f ca="1">IF(Log_2019[[#This Row],[Date]]&lt;=TODAY(), MIN(Log_2019[[#This Row],[Split_raw]], TODAY()-Log_2019[[#This Row],[Date]]+1), 0)</f>
        <v>1</v>
      </c>
      <c r="M440" s="34" t="s">
        <v>147</v>
      </c>
      <c r="N440" s="34" t="s">
        <v>490</v>
      </c>
      <c r="O440" s="7">
        <v>0</v>
      </c>
      <c r="P440" s="52">
        <f ca="1">Log_2019[[#This Row],[Amount]]/Log_2019[[#This Row],[Split_raw]]*MAX(0,MIN(_xlfn.DAYS(EDATE(P$1,1),Log_2019[[#This Row],[Date]]),Log_2019[[#This Row],[Split_apply]])) - SUM($O440:O440)</f>
        <v>0</v>
      </c>
      <c r="Q440" s="52">
        <f ca="1">Log_2019[[#This Row],[Amount]]/Log_2019[[#This Row],[Split_raw]]*MAX(0,MIN(_xlfn.DAYS(EDATE(Q$1,1),Log_2019[[#This Row],[Date]]),Log_2019[[#This Row],[Split_apply]])) - SUM($O440:P440)</f>
        <v>0</v>
      </c>
      <c r="R440" s="52">
        <f ca="1">Log_2019[[#This Row],[Amount]]/Log_2019[[#This Row],[Split_raw]]*MAX(0,MIN(_xlfn.DAYS(EDATE(R$1,1),Log_2019[[#This Row],[Date]]),Log_2019[[#This Row],[Split_apply]])) - SUM($O440:Q440)</f>
        <v>0</v>
      </c>
      <c r="S440" s="52">
        <f ca="1">Log_2019[[#This Row],[Amount]]/Log_2019[[#This Row],[Split_raw]]*MAX(0,MIN(_xlfn.DAYS(EDATE(S$1,1),Log_2019[[#This Row],[Date]]),Log_2019[[#This Row],[Split_apply]])) - SUM($O440:R440)</f>
        <v>0</v>
      </c>
      <c r="T440" s="52">
        <f ca="1">Log_2019[[#This Row],[Amount]]/Log_2019[[#This Row],[Split_raw]]*MAX(0,MIN(_xlfn.DAYS(EDATE(T$1,1),Log_2019[[#This Row],[Date]]),Log_2019[[#This Row],[Split_apply]])) - SUM($O440:S440)</f>
        <v>-23</v>
      </c>
      <c r="U440" s="52">
        <f ca="1">Log_2019[[#This Row],[Amount]]/Log_2019[[#This Row],[Split_raw]]*MAX(0,MIN(_xlfn.DAYS(EDATE(U$1,1),Log_2019[[#This Row],[Date]]),Log_2019[[#This Row],[Split_apply]])) - SUM($O440:T440)</f>
        <v>0</v>
      </c>
      <c r="V440" s="52">
        <f ca="1">Log_2019[[#This Row],[Amount]]/Log_2019[[#This Row],[Split_raw]]*MAX(0,MIN(_xlfn.DAYS(EDATE(V$1,1),Log_2019[[#This Row],[Date]]),Log_2019[[#This Row],[Split_apply]])) - SUM($O440:U440)</f>
        <v>0</v>
      </c>
      <c r="W440" s="52">
        <f ca="1">Log_2019[[#This Row],[Amount]]/Log_2019[[#This Row],[Split_raw]]*MAX(0,MIN(_xlfn.DAYS(EDATE(W$1,1),Log_2019[[#This Row],[Date]]),Log_2019[[#This Row],[Split_apply]])) - SUM($O440:V440)</f>
        <v>0</v>
      </c>
      <c r="X440" s="52">
        <f ca="1">Log_2019[[#This Row],[Amount]]/Log_2019[[#This Row],[Split_raw]]*MAX(0,MIN(_xlfn.DAYS(EDATE(X$1,1),Log_2019[[#This Row],[Date]]),Log_2019[[#This Row],[Split_apply]])) - SUM($O440:W440)</f>
        <v>0</v>
      </c>
      <c r="Y440" s="52">
        <f ca="1">Log_2019[[#This Row],[Amount]]/Log_2019[[#This Row],[Split_raw]]*MAX(0,MIN(_xlfn.DAYS(EDATE(Y$1,1),Log_2019[[#This Row],[Date]]),Log_2019[[#This Row],[Split_apply]])) - SUM($O440:X440)</f>
        <v>0</v>
      </c>
      <c r="Z440" s="52">
        <f ca="1">Log_2019[[#This Row],[Amount]]/Log_2019[[#This Row],[Split_raw]]*MAX(0,MIN(_xlfn.DAYS(EDATE(Z$1,1),Log_2019[[#This Row],[Date]]),Log_2019[[#This Row],[Split_apply]])) - SUM($O440:Y440)</f>
        <v>0</v>
      </c>
      <c r="AA440" s="52">
        <f ca="1">Log_2019[[#This Row],[Amount]]/Log_2019[[#This Row],[Split_raw]]*MAX(0,MIN(_xlfn.DAYS(EDATE(AA$1,1),Log_2019[[#This Row],[Date]]),Log_2019[[#This Row],[Split_apply]])) - SUM($O440:Z440)</f>
        <v>0</v>
      </c>
      <c r="AB440" s="54">
        <f ca="1">Log_2019[[#This Row],[Amount]]-SUM(O440:AA440)</f>
        <v>0</v>
      </c>
      <c r="AC440" s="7">
        <f>MAX(0,Log_2019[[#This Row],[Split_raw]] - (EDATE(AA$1,1)-Log_2019[[#This Row],[Date]]))</f>
        <v>0</v>
      </c>
    </row>
    <row r="441" spans="1:29" x14ac:dyDescent="0.25">
      <c r="A441" s="42"/>
      <c r="B441" s="34" t="s">
        <v>6</v>
      </c>
      <c r="C441" s="34"/>
      <c r="D441" s="35">
        <v>43614</v>
      </c>
      <c r="E441" s="34"/>
      <c r="F441" s="34" t="s">
        <v>255</v>
      </c>
      <c r="G441" s="34" t="s">
        <v>25</v>
      </c>
      <c r="H441" s="36">
        <v>-3.85</v>
      </c>
      <c r="I441" s="36">
        <f>IF(Log_2019[[#This Row],[My Category]]="NONTRACKED",0,Log_2019[[#This Row],[Raw Amount]])</f>
        <v>-3.85</v>
      </c>
      <c r="J441" s="37">
        <f>ABS(Log_2019[[#This Row],[Amount]])</f>
        <v>3.85</v>
      </c>
      <c r="K441" s="38">
        <v>1</v>
      </c>
      <c r="L441" s="38">
        <f ca="1">IF(Log_2019[[#This Row],[Date]]&lt;=TODAY(), MIN(Log_2019[[#This Row],[Split_raw]], TODAY()-Log_2019[[#This Row],[Date]]+1), 0)</f>
        <v>1</v>
      </c>
      <c r="M441" s="34" t="s">
        <v>35</v>
      </c>
      <c r="N441" s="34" t="s">
        <v>158</v>
      </c>
      <c r="O441" s="7">
        <v>0</v>
      </c>
      <c r="P441" s="52">
        <f ca="1">Log_2019[[#This Row],[Amount]]/Log_2019[[#This Row],[Split_raw]]*MAX(0,MIN(_xlfn.DAYS(EDATE(P$1,1),Log_2019[[#This Row],[Date]]),Log_2019[[#This Row],[Split_apply]])) - SUM($O441:O441)</f>
        <v>0</v>
      </c>
      <c r="Q441" s="52">
        <f ca="1">Log_2019[[#This Row],[Amount]]/Log_2019[[#This Row],[Split_raw]]*MAX(0,MIN(_xlfn.DAYS(EDATE(Q$1,1),Log_2019[[#This Row],[Date]]),Log_2019[[#This Row],[Split_apply]])) - SUM($O441:P441)</f>
        <v>0</v>
      </c>
      <c r="R441" s="52">
        <f ca="1">Log_2019[[#This Row],[Amount]]/Log_2019[[#This Row],[Split_raw]]*MAX(0,MIN(_xlfn.DAYS(EDATE(R$1,1),Log_2019[[#This Row],[Date]]),Log_2019[[#This Row],[Split_apply]])) - SUM($O441:Q441)</f>
        <v>0</v>
      </c>
      <c r="S441" s="52">
        <f ca="1">Log_2019[[#This Row],[Amount]]/Log_2019[[#This Row],[Split_raw]]*MAX(0,MIN(_xlfn.DAYS(EDATE(S$1,1),Log_2019[[#This Row],[Date]]),Log_2019[[#This Row],[Split_apply]])) - SUM($O441:R441)</f>
        <v>0</v>
      </c>
      <c r="T441" s="52">
        <f ca="1">Log_2019[[#This Row],[Amount]]/Log_2019[[#This Row],[Split_raw]]*MAX(0,MIN(_xlfn.DAYS(EDATE(T$1,1),Log_2019[[#This Row],[Date]]),Log_2019[[#This Row],[Split_apply]])) - SUM($O441:S441)</f>
        <v>-3.85</v>
      </c>
      <c r="U441" s="52">
        <f ca="1">Log_2019[[#This Row],[Amount]]/Log_2019[[#This Row],[Split_raw]]*MAX(0,MIN(_xlfn.DAYS(EDATE(U$1,1),Log_2019[[#This Row],[Date]]),Log_2019[[#This Row],[Split_apply]])) - SUM($O441:T441)</f>
        <v>0</v>
      </c>
      <c r="V441" s="52">
        <f ca="1">Log_2019[[#This Row],[Amount]]/Log_2019[[#This Row],[Split_raw]]*MAX(0,MIN(_xlfn.DAYS(EDATE(V$1,1),Log_2019[[#This Row],[Date]]),Log_2019[[#This Row],[Split_apply]])) - SUM($O441:U441)</f>
        <v>0</v>
      </c>
      <c r="W441" s="52">
        <f ca="1">Log_2019[[#This Row],[Amount]]/Log_2019[[#This Row],[Split_raw]]*MAX(0,MIN(_xlfn.DAYS(EDATE(W$1,1),Log_2019[[#This Row],[Date]]),Log_2019[[#This Row],[Split_apply]])) - SUM($O441:V441)</f>
        <v>0</v>
      </c>
      <c r="X441" s="52">
        <f ca="1">Log_2019[[#This Row],[Amount]]/Log_2019[[#This Row],[Split_raw]]*MAX(0,MIN(_xlfn.DAYS(EDATE(X$1,1),Log_2019[[#This Row],[Date]]),Log_2019[[#This Row],[Split_apply]])) - SUM($O441:W441)</f>
        <v>0</v>
      </c>
      <c r="Y441" s="52">
        <f ca="1">Log_2019[[#This Row],[Amount]]/Log_2019[[#This Row],[Split_raw]]*MAX(0,MIN(_xlfn.DAYS(EDATE(Y$1,1),Log_2019[[#This Row],[Date]]),Log_2019[[#This Row],[Split_apply]])) - SUM($O441:X441)</f>
        <v>0</v>
      </c>
      <c r="Z441" s="52">
        <f ca="1">Log_2019[[#This Row],[Amount]]/Log_2019[[#This Row],[Split_raw]]*MAX(0,MIN(_xlfn.DAYS(EDATE(Z$1,1),Log_2019[[#This Row],[Date]]),Log_2019[[#This Row],[Split_apply]])) - SUM($O441:Y441)</f>
        <v>0</v>
      </c>
      <c r="AA441" s="52">
        <f ca="1">Log_2019[[#This Row],[Amount]]/Log_2019[[#This Row],[Split_raw]]*MAX(0,MIN(_xlfn.DAYS(EDATE(AA$1,1),Log_2019[[#This Row],[Date]]),Log_2019[[#This Row],[Split_apply]])) - SUM($O441:Z441)</f>
        <v>0</v>
      </c>
      <c r="AB441" s="54">
        <f ca="1">Log_2019[[#This Row],[Amount]]-SUM(O441:AA441)</f>
        <v>0</v>
      </c>
      <c r="AC441" s="7">
        <f>MAX(0,Log_2019[[#This Row],[Split_raw]] - (EDATE(AA$1,1)-Log_2019[[#This Row],[Date]]))</f>
        <v>0</v>
      </c>
    </row>
    <row r="442" spans="1:29" x14ac:dyDescent="0.25">
      <c r="A442" s="42"/>
      <c r="B442" s="34" t="s">
        <v>6</v>
      </c>
      <c r="C442" s="34"/>
      <c r="D442" s="35">
        <v>43613</v>
      </c>
      <c r="E442" s="34"/>
      <c r="F442" s="34" t="s">
        <v>529</v>
      </c>
      <c r="G442" s="34" t="s">
        <v>25</v>
      </c>
      <c r="H442" s="36">
        <v>-21.42</v>
      </c>
      <c r="I442" s="36">
        <f>IF(Log_2019[[#This Row],[My Category]]="NONTRACKED",0,Log_2019[[#This Row],[Raw Amount]])</f>
        <v>-21.42</v>
      </c>
      <c r="J442" s="37">
        <f>ABS(Log_2019[[#This Row],[Amount]])</f>
        <v>21.42</v>
      </c>
      <c r="K442" s="38">
        <v>1</v>
      </c>
      <c r="L442" s="38">
        <f ca="1">IF(Log_2019[[#This Row],[Date]]&lt;=TODAY(), MIN(Log_2019[[#This Row],[Split_raw]], TODAY()-Log_2019[[#This Row],[Date]]+1), 0)</f>
        <v>1</v>
      </c>
      <c r="M442" s="34" t="s">
        <v>40</v>
      </c>
      <c r="N442" s="34" t="s">
        <v>158</v>
      </c>
      <c r="O442" s="7">
        <v>0</v>
      </c>
      <c r="P442" s="52">
        <f ca="1">Log_2019[[#This Row],[Amount]]/Log_2019[[#This Row],[Split_raw]]*MAX(0,MIN(_xlfn.DAYS(EDATE(P$1,1),Log_2019[[#This Row],[Date]]),Log_2019[[#This Row],[Split_apply]])) - SUM($O442:O442)</f>
        <v>0</v>
      </c>
      <c r="Q442" s="52">
        <f ca="1">Log_2019[[#This Row],[Amount]]/Log_2019[[#This Row],[Split_raw]]*MAX(0,MIN(_xlfn.DAYS(EDATE(Q$1,1),Log_2019[[#This Row],[Date]]),Log_2019[[#This Row],[Split_apply]])) - SUM($O442:P442)</f>
        <v>0</v>
      </c>
      <c r="R442" s="52">
        <f ca="1">Log_2019[[#This Row],[Amount]]/Log_2019[[#This Row],[Split_raw]]*MAX(0,MIN(_xlfn.DAYS(EDATE(R$1,1),Log_2019[[#This Row],[Date]]),Log_2019[[#This Row],[Split_apply]])) - SUM($O442:Q442)</f>
        <v>0</v>
      </c>
      <c r="S442" s="52">
        <f ca="1">Log_2019[[#This Row],[Amount]]/Log_2019[[#This Row],[Split_raw]]*MAX(0,MIN(_xlfn.DAYS(EDATE(S$1,1),Log_2019[[#This Row],[Date]]),Log_2019[[#This Row],[Split_apply]])) - SUM($O442:R442)</f>
        <v>0</v>
      </c>
      <c r="T442" s="52">
        <f ca="1">Log_2019[[#This Row],[Amount]]/Log_2019[[#This Row],[Split_raw]]*MAX(0,MIN(_xlfn.DAYS(EDATE(T$1,1),Log_2019[[#This Row],[Date]]),Log_2019[[#This Row],[Split_apply]])) - SUM($O442:S442)</f>
        <v>-21.42</v>
      </c>
      <c r="U442" s="52">
        <f ca="1">Log_2019[[#This Row],[Amount]]/Log_2019[[#This Row],[Split_raw]]*MAX(0,MIN(_xlfn.DAYS(EDATE(U$1,1),Log_2019[[#This Row],[Date]]),Log_2019[[#This Row],[Split_apply]])) - SUM($O442:T442)</f>
        <v>0</v>
      </c>
      <c r="V442" s="52">
        <f ca="1">Log_2019[[#This Row],[Amount]]/Log_2019[[#This Row],[Split_raw]]*MAX(0,MIN(_xlfn.DAYS(EDATE(V$1,1),Log_2019[[#This Row],[Date]]),Log_2019[[#This Row],[Split_apply]])) - SUM($O442:U442)</f>
        <v>0</v>
      </c>
      <c r="W442" s="52">
        <f ca="1">Log_2019[[#This Row],[Amount]]/Log_2019[[#This Row],[Split_raw]]*MAX(0,MIN(_xlfn.DAYS(EDATE(W$1,1),Log_2019[[#This Row],[Date]]),Log_2019[[#This Row],[Split_apply]])) - SUM($O442:V442)</f>
        <v>0</v>
      </c>
      <c r="X442" s="52">
        <f ca="1">Log_2019[[#This Row],[Amount]]/Log_2019[[#This Row],[Split_raw]]*MAX(0,MIN(_xlfn.DAYS(EDATE(X$1,1),Log_2019[[#This Row],[Date]]),Log_2019[[#This Row],[Split_apply]])) - SUM($O442:W442)</f>
        <v>0</v>
      </c>
      <c r="Y442" s="52">
        <f ca="1">Log_2019[[#This Row],[Amount]]/Log_2019[[#This Row],[Split_raw]]*MAX(0,MIN(_xlfn.DAYS(EDATE(Y$1,1),Log_2019[[#This Row],[Date]]),Log_2019[[#This Row],[Split_apply]])) - SUM($O442:X442)</f>
        <v>0</v>
      </c>
      <c r="Z442" s="52">
        <f ca="1">Log_2019[[#This Row],[Amount]]/Log_2019[[#This Row],[Split_raw]]*MAX(0,MIN(_xlfn.DAYS(EDATE(Z$1,1),Log_2019[[#This Row],[Date]]),Log_2019[[#This Row],[Split_apply]])) - SUM($O442:Y442)</f>
        <v>0</v>
      </c>
      <c r="AA442" s="52">
        <f ca="1">Log_2019[[#This Row],[Amount]]/Log_2019[[#This Row],[Split_raw]]*MAX(0,MIN(_xlfn.DAYS(EDATE(AA$1,1),Log_2019[[#This Row],[Date]]),Log_2019[[#This Row],[Split_apply]])) - SUM($O442:Z442)</f>
        <v>0</v>
      </c>
      <c r="AB442" s="54">
        <f ca="1">Log_2019[[#This Row],[Amount]]-SUM(O442:AA442)</f>
        <v>0</v>
      </c>
      <c r="AC442" s="7">
        <f>MAX(0,Log_2019[[#This Row],[Split_raw]] - (EDATE(AA$1,1)-Log_2019[[#This Row],[Date]]))</f>
        <v>0</v>
      </c>
    </row>
    <row r="443" spans="1:29" x14ac:dyDescent="0.25">
      <c r="A443" s="42"/>
      <c r="B443" s="34" t="s">
        <v>6</v>
      </c>
      <c r="C443" s="34"/>
      <c r="D443" s="35">
        <v>43613</v>
      </c>
      <c r="E443" s="34"/>
      <c r="F443" s="34" t="s">
        <v>59</v>
      </c>
      <c r="G443" s="34" t="s">
        <v>25</v>
      </c>
      <c r="H443" s="36">
        <v>-7.94</v>
      </c>
      <c r="I443" s="36">
        <f>IF(Log_2019[[#This Row],[My Category]]="NONTRACKED",0,Log_2019[[#This Row],[Raw Amount]])</f>
        <v>-7.94</v>
      </c>
      <c r="J443" s="37">
        <f>ABS(Log_2019[[#This Row],[Amount]])</f>
        <v>7.94</v>
      </c>
      <c r="K443" s="38">
        <v>1</v>
      </c>
      <c r="L443" s="38">
        <f ca="1">IF(Log_2019[[#This Row],[Date]]&lt;=TODAY(), MIN(Log_2019[[#This Row],[Split_raw]], TODAY()-Log_2019[[#This Row],[Date]]+1), 0)</f>
        <v>1</v>
      </c>
      <c r="M443" s="34" t="s">
        <v>35</v>
      </c>
      <c r="N443" s="34" t="s">
        <v>158</v>
      </c>
      <c r="O443" s="7">
        <v>0</v>
      </c>
      <c r="P443" s="52">
        <f ca="1">Log_2019[[#This Row],[Amount]]/Log_2019[[#This Row],[Split_raw]]*MAX(0,MIN(_xlfn.DAYS(EDATE(P$1,1),Log_2019[[#This Row],[Date]]),Log_2019[[#This Row],[Split_apply]])) - SUM($O443:O443)</f>
        <v>0</v>
      </c>
      <c r="Q443" s="52">
        <f ca="1">Log_2019[[#This Row],[Amount]]/Log_2019[[#This Row],[Split_raw]]*MAX(0,MIN(_xlfn.DAYS(EDATE(Q$1,1),Log_2019[[#This Row],[Date]]),Log_2019[[#This Row],[Split_apply]])) - SUM($O443:P443)</f>
        <v>0</v>
      </c>
      <c r="R443" s="52">
        <f ca="1">Log_2019[[#This Row],[Amount]]/Log_2019[[#This Row],[Split_raw]]*MAX(0,MIN(_xlfn.DAYS(EDATE(R$1,1),Log_2019[[#This Row],[Date]]),Log_2019[[#This Row],[Split_apply]])) - SUM($O443:Q443)</f>
        <v>0</v>
      </c>
      <c r="S443" s="52">
        <f ca="1">Log_2019[[#This Row],[Amount]]/Log_2019[[#This Row],[Split_raw]]*MAX(0,MIN(_xlfn.DAYS(EDATE(S$1,1),Log_2019[[#This Row],[Date]]),Log_2019[[#This Row],[Split_apply]])) - SUM($O443:R443)</f>
        <v>0</v>
      </c>
      <c r="T443" s="52">
        <f ca="1">Log_2019[[#This Row],[Amount]]/Log_2019[[#This Row],[Split_raw]]*MAX(0,MIN(_xlfn.DAYS(EDATE(T$1,1),Log_2019[[#This Row],[Date]]),Log_2019[[#This Row],[Split_apply]])) - SUM($O443:S443)</f>
        <v>-7.94</v>
      </c>
      <c r="U443" s="52">
        <f ca="1">Log_2019[[#This Row],[Amount]]/Log_2019[[#This Row],[Split_raw]]*MAX(0,MIN(_xlfn.DAYS(EDATE(U$1,1),Log_2019[[#This Row],[Date]]),Log_2019[[#This Row],[Split_apply]])) - SUM($O443:T443)</f>
        <v>0</v>
      </c>
      <c r="V443" s="52">
        <f ca="1">Log_2019[[#This Row],[Amount]]/Log_2019[[#This Row],[Split_raw]]*MAX(0,MIN(_xlfn.DAYS(EDATE(V$1,1),Log_2019[[#This Row],[Date]]),Log_2019[[#This Row],[Split_apply]])) - SUM($O443:U443)</f>
        <v>0</v>
      </c>
      <c r="W443" s="52">
        <f ca="1">Log_2019[[#This Row],[Amount]]/Log_2019[[#This Row],[Split_raw]]*MAX(0,MIN(_xlfn.DAYS(EDATE(W$1,1),Log_2019[[#This Row],[Date]]),Log_2019[[#This Row],[Split_apply]])) - SUM($O443:V443)</f>
        <v>0</v>
      </c>
      <c r="X443" s="52">
        <f ca="1">Log_2019[[#This Row],[Amount]]/Log_2019[[#This Row],[Split_raw]]*MAX(0,MIN(_xlfn.DAYS(EDATE(X$1,1),Log_2019[[#This Row],[Date]]),Log_2019[[#This Row],[Split_apply]])) - SUM($O443:W443)</f>
        <v>0</v>
      </c>
      <c r="Y443" s="52">
        <f ca="1">Log_2019[[#This Row],[Amount]]/Log_2019[[#This Row],[Split_raw]]*MAX(0,MIN(_xlfn.DAYS(EDATE(Y$1,1),Log_2019[[#This Row],[Date]]),Log_2019[[#This Row],[Split_apply]])) - SUM($O443:X443)</f>
        <v>0</v>
      </c>
      <c r="Z443" s="52">
        <f ca="1">Log_2019[[#This Row],[Amount]]/Log_2019[[#This Row],[Split_raw]]*MAX(0,MIN(_xlfn.DAYS(EDATE(Z$1,1),Log_2019[[#This Row],[Date]]),Log_2019[[#This Row],[Split_apply]])) - SUM($O443:Y443)</f>
        <v>0</v>
      </c>
      <c r="AA443" s="52">
        <f ca="1">Log_2019[[#This Row],[Amount]]/Log_2019[[#This Row],[Split_raw]]*MAX(0,MIN(_xlfn.DAYS(EDATE(AA$1,1),Log_2019[[#This Row],[Date]]),Log_2019[[#This Row],[Split_apply]])) - SUM($O443:Z443)</f>
        <v>0</v>
      </c>
      <c r="AB443" s="54">
        <f ca="1">Log_2019[[#This Row],[Amount]]-SUM(O443:AA443)</f>
        <v>0</v>
      </c>
      <c r="AC443" s="7">
        <f>MAX(0,Log_2019[[#This Row],[Split_raw]] - (EDATE(AA$1,1)-Log_2019[[#This Row],[Date]]))</f>
        <v>0</v>
      </c>
    </row>
    <row r="444" spans="1:29" x14ac:dyDescent="0.25">
      <c r="A444" s="42"/>
      <c r="B444" s="34" t="s">
        <v>6</v>
      </c>
      <c r="C444" s="34"/>
      <c r="D444" s="35">
        <v>43613</v>
      </c>
      <c r="E444" s="34"/>
      <c r="F444" s="34" t="s">
        <v>138</v>
      </c>
      <c r="G444" s="34" t="s">
        <v>104</v>
      </c>
      <c r="H444" s="36">
        <v>-207.19</v>
      </c>
      <c r="I444" s="36">
        <f>IF(Log_2019[[#This Row],[My Category]]="NONTRACKED",0,Log_2019[[#This Row],[Raw Amount]])</f>
        <v>-207.19</v>
      </c>
      <c r="J444" s="37">
        <f>ABS(Log_2019[[#This Row],[Amount]])</f>
        <v>207.19</v>
      </c>
      <c r="K444" s="38">
        <v>1</v>
      </c>
      <c r="L444" s="38">
        <f ca="1">IF(Log_2019[[#This Row],[Date]]&lt;=TODAY(), MIN(Log_2019[[#This Row],[Split_raw]], TODAY()-Log_2019[[#This Row],[Date]]+1), 0)</f>
        <v>1</v>
      </c>
      <c r="M444" s="34" t="s">
        <v>159</v>
      </c>
      <c r="N444" s="34" t="s">
        <v>160</v>
      </c>
      <c r="O444" s="7">
        <v>0</v>
      </c>
      <c r="P444" s="52">
        <f ca="1">Log_2019[[#This Row],[Amount]]/Log_2019[[#This Row],[Split_raw]]*MAX(0,MIN(_xlfn.DAYS(EDATE(P$1,1),Log_2019[[#This Row],[Date]]),Log_2019[[#This Row],[Split_apply]])) - SUM($O444:O444)</f>
        <v>0</v>
      </c>
      <c r="Q444" s="52">
        <f ca="1">Log_2019[[#This Row],[Amount]]/Log_2019[[#This Row],[Split_raw]]*MAX(0,MIN(_xlfn.DAYS(EDATE(Q$1,1),Log_2019[[#This Row],[Date]]),Log_2019[[#This Row],[Split_apply]])) - SUM($O444:P444)</f>
        <v>0</v>
      </c>
      <c r="R444" s="52">
        <f ca="1">Log_2019[[#This Row],[Amount]]/Log_2019[[#This Row],[Split_raw]]*MAX(0,MIN(_xlfn.DAYS(EDATE(R$1,1),Log_2019[[#This Row],[Date]]),Log_2019[[#This Row],[Split_apply]])) - SUM($O444:Q444)</f>
        <v>0</v>
      </c>
      <c r="S444" s="52">
        <f ca="1">Log_2019[[#This Row],[Amount]]/Log_2019[[#This Row],[Split_raw]]*MAX(0,MIN(_xlfn.DAYS(EDATE(S$1,1),Log_2019[[#This Row],[Date]]),Log_2019[[#This Row],[Split_apply]])) - SUM($O444:R444)</f>
        <v>0</v>
      </c>
      <c r="T444" s="52">
        <f ca="1">Log_2019[[#This Row],[Amount]]/Log_2019[[#This Row],[Split_raw]]*MAX(0,MIN(_xlfn.DAYS(EDATE(T$1,1),Log_2019[[#This Row],[Date]]),Log_2019[[#This Row],[Split_apply]])) - SUM($O444:S444)</f>
        <v>-207.19</v>
      </c>
      <c r="U444" s="52">
        <f ca="1">Log_2019[[#This Row],[Amount]]/Log_2019[[#This Row],[Split_raw]]*MAX(0,MIN(_xlfn.DAYS(EDATE(U$1,1),Log_2019[[#This Row],[Date]]),Log_2019[[#This Row],[Split_apply]])) - SUM($O444:T444)</f>
        <v>0</v>
      </c>
      <c r="V444" s="52">
        <f ca="1">Log_2019[[#This Row],[Amount]]/Log_2019[[#This Row],[Split_raw]]*MAX(0,MIN(_xlfn.DAYS(EDATE(V$1,1),Log_2019[[#This Row],[Date]]),Log_2019[[#This Row],[Split_apply]])) - SUM($O444:U444)</f>
        <v>0</v>
      </c>
      <c r="W444" s="52">
        <f ca="1">Log_2019[[#This Row],[Amount]]/Log_2019[[#This Row],[Split_raw]]*MAX(0,MIN(_xlfn.DAYS(EDATE(W$1,1),Log_2019[[#This Row],[Date]]),Log_2019[[#This Row],[Split_apply]])) - SUM($O444:V444)</f>
        <v>0</v>
      </c>
      <c r="X444" s="52">
        <f ca="1">Log_2019[[#This Row],[Amount]]/Log_2019[[#This Row],[Split_raw]]*MAX(0,MIN(_xlfn.DAYS(EDATE(X$1,1),Log_2019[[#This Row],[Date]]),Log_2019[[#This Row],[Split_apply]])) - SUM($O444:W444)</f>
        <v>0</v>
      </c>
      <c r="Y444" s="52">
        <f ca="1">Log_2019[[#This Row],[Amount]]/Log_2019[[#This Row],[Split_raw]]*MAX(0,MIN(_xlfn.DAYS(EDATE(Y$1,1),Log_2019[[#This Row],[Date]]),Log_2019[[#This Row],[Split_apply]])) - SUM($O444:X444)</f>
        <v>0</v>
      </c>
      <c r="Z444" s="52">
        <f ca="1">Log_2019[[#This Row],[Amount]]/Log_2019[[#This Row],[Split_raw]]*MAX(0,MIN(_xlfn.DAYS(EDATE(Z$1,1),Log_2019[[#This Row],[Date]]),Log_2019[[#This Row],[Split_apply]])) - SUM($O444:Y444)</f>
        <v>0</v>
      </c>
      <c r="AA444" s="52">
        <f ca="1">Log_2019[[#This Row],[Amount]]/Log_2019[[#This Row],[Split_raw]]*MAX(0,MIN(_xlfn.DAYS(EDATE(AA$1,1),Log_2019[[#This Row],[Date]]),Log_2019[[#This Row],[Split_apply]])) - SUM($O444:Z444)</f>
        <v>0</v>
      </c>
      <c r="AB444" s="54">
        <f ca="1">Log_2019[[#This Row],[Amount]]-SUM(O444:AA444)</f>
        <v>0</v>
      </c>
      <c r="AC444" s="7">
        <f>MAX(0,Log_2019[[#This Row],[Split_raw]] - (EDATE(AA$1,1)-Log_2019[[#This Row],[Date]]))</f>
        <v>0</v>
      </c>
    </row>
    <row r="445" spans="1:29" x14ac:dyDescent="0.25">
      <c r="A445" s="42"/>
      <c r="B445" s="34" t="s">
        <v>6</v>
      </c>
      <c r="C445" s="34"/>
      <c r="D445" s="35">
        <v>43611</v>
      </c>
      <c r="E445" s="34"/>
      <c r="F445" s="34" t="s">
        <v>105</v>
      </c>
      <c r="G445" s="34" t="s">
        <v>104</v>
      </c>
      <c r="H445" s="36">
        <f>--207.19</f>
        <v>207.19</v>
      </c>
      <c r="I445" s="36">
        <f>IF(Log_2019[[#This Row],[My Category]]="NONTRACKED",0,Log_2019[[#This Row],[Raw Amount]])</f>
        <v>207.19</v>
      </c>
      <c r="J445" s="37">
        <f>ABS(Log_2019[[#This Row],[Amount]])</f>
        <v>207.19</v>
      </c>
      <c r="K445" s="38">
        <v>1</v>
      </c>
      <c r="L445" s="38">
        <f ca="1">IF(Log_2019[[#This Row],[Date]]&lt;=TODAY(), MIN(Log_2019[[#This Row],[Split_raw]], TODAY()-Log_2019[[#This Row],[Date]]+1), 0)</f>
        <v>1</v>
      </c>
      <c r="M445" s="34" t="s">
        <v>159</v>
      </c>
      <c r="N445" s="34" t="s">
        <v>158</v>
      </c>
      <c r="O445" s="7">
        <v>0</v>
      </c>
      <c r="P445" s="52">
        <f ca="1">Log_2019[[#This Row],[Amount]]/Log_2019[[#This Row],[Split_raw]]*MAX(0,MIN(_xlfn.DAYS(EDATE(P$1,1),Log_2019[[#This Row],[Date]]),Log_2019[[#This Row],[Split_apply]])) - SUM($O445:O445)</f>
        <v>0</v>
      </c>
      <c r="Q445" s="52">
        <f ca="1">Log_2019[[#This Row],[Amount]]/Log_2019[[#This Row],[Split_raw]]*MAX(0,MIN(_xlfn.DAYS(EDATE(Q$1,1),Log_2019[[#This Row],[Date]]),Log_2019[[#This Row],[Split_apply]])) - SUM($O445:P445)</f>
        <v>0</v>
      </c>
      <c r="R445" s="52">
        <f ca="1">Log_2019[[#This Row],[Amount]]/Log_2019[[#This Row],[Split_raw]]*MAX(0,MIN(_xlfn.DAYS(EDATE(R$1,1),Log_2019[[#This Row],[Date]]),Log_2019[[#This Row],[Split_apply]])) - SUM($O445:Q445)</f>
        <v>0</v>
      </c>
      <c r="S445" s="52">
        <f ca="1">Log_2019[[#This Row],[Amount]]/Log_2019[[#This Row],[Split_raw]]*MAX(0,MIN(_xlfn.DAYS(EDATE(S$1,1),Log_2019[[#This Row],[Date]]),Log_2019[[#This Row],[Split_apply]])) - SUM($O445:R445)</f>
        <v>0</v>
      </c>
      <c r="T445" s="52">
        <f ca="1">Log_2019[[#This Row],[Amount]]/Log_2019[[#This Row],[Split_raw]]*MAX(0,MIN(_xlfn.DAYS(EDATE(T$1,1),Log_2019[[#This Row],[Date]]),Log_2019[[#This Row],[Split_apply]])) - SUM($O445:S445)</f>
        <v>207.19</v>
      </c>
      <c r="U445" s="52">
        <f ca="1">Log_2019[[#This Row],[Amount]]/Log_2019[[#This Row],[Split_raw]]*MAX(0,MIN(_xlfn.DAYS(EDATE(U$1,1),Log_2019[[#This Row],[Date]]),Log_2019[[#This Row],[Split_apply]])) - SUM($O445:T445)</f>
        <v>0</v>
      </c>
      <c r="V445" s="52">
        <f ca="1">Log_2019[[#This Row],[Amount]]/Log_2019[[#This Row],[Split_raw]]*MAX(0,MIN(_xlfn.DAYS(EDATE(V$1,1),Log_2019[[#This Row],[Date]]),Log_2019[[#This Row],[Split_apply]])) - SUM($O445:U445)</f>
        <v>0</v>
      </c>
      <c r="W445" s="52">
        <f ca="1">Log_2019[[#This Row],[Amount]]/Log_2019[[#This Row],[Split_raw]]*MAX(0,MIN(_xlfn.DAYS(EDATE(W$1,1),Log_2019[[#This Row],[Date]]),Log_2019[[#This Row],[Split_apply]])) - SUM($O445:V445)</f>
        <v>0</v>
      </c>
      <c r="X445" s="52">
        <f ca="1">Log_2019[[#This Row],[Amount]]/Log_2019[[#This Row],[Split_raw]]*MAX(0,MIN(_xlfn.DAYS(EDATE(X$1,1),Log_2019[[#This Row],[Date]]),Log_2019[[#This Row],[Split_apply]])) - SUM($O445:W445)</f>
        <v>0</v>
      </c>
      <c r="Y445" s="52">
        <f ca="1">Log_2019[[#This Row],[Amount]]/Log_2019[[#This Row],[Split_raw]]*MAX(0,MIN(_xlfn.DAYS(EDATE(Y$1,1),Log_2019[[#This Row],[Date]]),Log_2019[[#This Row],[Split_apply]])) - SUM($O445:X445)</f>
        <v>0</v>
      </c>
      <c r="Z445" s="52">
        <f ca="1">Log_2019[[#This Row],[Amount]]/Log_2019[[#This Row],[Split_raw]]*MAX(0,MIN(_xlfn.DAYS(EDATE(Z$1,1),Log_2019[[#This Row],[Date]]),Log_2019[[#This Row],[Split_apply]])) - SUM($O445:Y445)</f>
        <v>0</v>
      </c>
      <c r="AA445" s="52">
        <f ca="1">Log_2019[[#This Row],[Amount]]/Log_2019[[#This Row],[Split_raw]]*MAX(0,MIN(_xlfn.DAYS(EDATE(AA$1,1),Log_2019[[#This Row],[Date]]),Log_2019[[#This Row],[Split_apply]])) - SUM($O445:Z445)</f>
        <v>0</v>
      </c>
      <c r="AB445" s="54">
        <f ca="1">Log_2019[[#This Row],[Amount]]-SUM(O445:AA445)</f>
        <v>0</v>
      </c>
      <c r="AC445" s="7">
        <f>MAX(0,Log_2019[[#This Row],[Split_raw]] - (EDATE(AA$1,1)-Log_2019[[#This Row],[Date]]))</f>
        <v>0</v>
      </c>
    </row>
    <row r="446" spans="1:29" x14ac:dyDescent="0.25">
      <c r="A446" s="42"/>
      <c r="B446" s="34" t="s">
        <v>6</v>
      </c>
      <c r="C446" s="34"/>
      <c r="D446" s="35">
        <v>43611</v>
      </c>
      <c r="E446" s="34"/>
      <c r="F446" s="34" t="s">
        <v>625</v>
      </c>
      <c r="G446" s="34" t="s">
        <v>19</v>
      </c>
      <c r="H446" s="36">
        <v>-32.06</v>
      </c>
      <c r="I446" s="36">
        <f>IF(Log_2019[[#This Row],[My Category]]="NONTRACKED",0,Log_2019[[#This Row],[Raw Amount]])</f>
        <v>-32.06</v>
      </c>
      <c r="J446" s="37">
        <f>ABS(Log_2019[[#This Row],[Amount]])</f>
        <v>32.06</v>
      </c>
      <c r="K446" s="38">
        <v>1</v>
      </c>
      <c r="L446" s="38">
        <f ca="1">IF(Log_2019[[#This Row],[Date]]&lt;=TODAY(), MIN(Log_2019[[#This Row],[Split_raw]], TODAY()-Log_2019[[#This Row],[Date]]+1), 0)</f>
        <v>1</v>
      </c>
      <c r="M446" s="34" t="s">
        <v>35</v>
      </c>
      <c r="N446" s="34" t="s">
        <v>158</v>
      </c>
      <c r="O446" s="7">
        <v>0</v>
      </c>
      <c r="P446" s="52">
        <f ca="1">Log_2019[[#This Row],[Amount]]/Log_2019[[#This Row],[Split_raw]]*MAX(0,MIN(_xlfn.DAYS(EDATE(P$1,1),Log_2019[[#This Row],[Date]]),Log_2019[[#This Row],[Split_apply]])) - SUM($O446:O446)</f>
        <v>0</v>
      </c>
      <c r="Q446" s="52">
        <f ca="1">Log_2019[[#This Row],[Amount]]/Log_2019[[#This Row],[Split_raw]]*MAX(0,MIN(_xlfn.DAYS(EDATE(Q$1,1),Log_2019[[#This Row],[Date]]),Log_2019[[#This Row],[Split_apply]])) - SUM($O446:P446)</f>
        <v>0</v>
      </c>
      <c r="R446" s="52">
        <f ca="1">Log_2019[[#This Row],[Amount]]/Log_2019[[#This Row],[Split_raw]]*MAX(0,MIN(_xlfn.DAYS(EDATE(R$1,1),Log_2019[[#This Row],[Date]]),Log_2019[[#This Row],[Split_apply]])) - SUM($O446:Q446)</f>
        <v>0</v>
      </c>
      <c r="S446" s="52">
        <f ca="1">Log_2019[[#This Row],[Amount]]/Log_2019[[#This Row],[Split_raw]]*MAX(0,MIN(_xlfn.DAYS(EDATE(S$1,1),Log_2019[[#This Row],[Date]]),Log_2019[[#This Row],[Split_apply]])) - SUM($O446:R446)</f>
        <v>0</v>
      </c>
      <c r="T446" s="52">
        <f ca="1">Log_2019[[#This Row],[Amount]]/Log_2019[[#This Row],[Split_raw]]*MAX(0,MIN(_xlfn.DAYS(EDATE(T$1,1),Log_2019[[#This Row],[Date]]),Log_2019[[#This Row],[Split_apply]])) - SUM($O446:S446)</f>
        <v>-32.06</v>
      </c>
      <c r="U446" s="52">
        <f ca="1">Log_2019[[#This Row],[Amount]]/Log_2019[[#This Row],[Split_raw]]*MAX(0,MIN(_xlfn.DAYS(EDATE(U$1,1),Log_2019[[#This Row],[Date]]),Log_2019[[#This Row],[Split_apply]])) - SUM($O446:T446)</f>
        <v>0</v>
      </c>
      <c r="V446" s="52">
        <f ca="1">Log_2019[[#This Row],[Amount]]/Log_2019[[#This Row],[Split_raw]]*MAX(0,MIN(_xlfn.DAYS(EDATE(V$1,1),Log_2019[[#This Row],[Date]]),Log_2019[[#This Row],[Split_apply]])) - SUM($O446:U446)</f>
        <v>0</v>
      </c>
      <c r="W446" s="52">
        <f ca="1">Log_2019[[#This Row],[Amount]]/Log_2019[[#This Row],[Split_raw]]*MAX(0,MIN(_xlfn.DAYS(EDATE(W$1,1),Log_2019[[#This Row],[Date]]),Log_2019[[#This Row],[Split_apply]])) - SUM($O446:V446)</f>
        <v>0</v>
      </c>
      <c r="X446" s="52">
        <f ca="1">Log_2019[[#This Row],[Amount]]/Log_2019[[#This Row],[Split_raw]]*MAX(0,MIN(_xlfn.DAYS(EDATE(X$1,1),Log_2019[[#This Row],[Date]]),Log_2019[[#This Row],[Split_apply]])) - SUM($O446:W446)</f>
        <v>0</v>
      </c>
      <c r="Y446" s="52">
        <f ca="1">Log_2019[[#This Row],[Amount]]/Log_2019[[#This Row],[Split_raw]]*MAX(0,MIN(_xlfn.DAYS(EDATE(Y$1,1),Log_2019[[#This Row],[Date]]),Log_2019[[#This Row],[Split_apply]])) - SUM($O446:X446)</f>
        <v>0</v>
      </c>
      <c r="Z446" s="52">
        <f ca="1">Log_2019[[#This Row],[Amount]]/Log_2019[[#This Row],[Split_raw]]*MAX(0,MIN(_xlfn.DAYS(EDATE(Z$1,1),Log_2019[[#This Row],[Date]]),Log_2019[[#This Row],[Split_apply]])) - SUM($O446:Y446)</f>
        <v>0</v>
      </c>
      <c r="AA446" s="52">
        <f ca="1">Log_2019[[#This Row],[Amount]]/Log_2019[[#This Row],[Split_raw]]*MAX(0,MIN(_xlfn.DAYS(EDATE(AA$1,1),Log_2019[[#This Row],[Date]]),Log_2019[[#This Row],[Split_apply]])) - SUM($O446:Z446)</f>
        <v>0</v>
      </c>
      <c r="AB446" s="54">
        <f ca="1">Log_2019[[#This Row],[Amount]]-SUM(O446:AA446)</f>
        <v>0</v>
      </c>
      <c r="AC446" s="7">
        <f>MAX(0,Log_2019[[#This Row],[Split_raw]] - (EDATE(AA$1,1)-Log_2019[[#This Row],[Date]]))</f>
        <v>0</v>
      </c>
    </row>
    <row r="447" spans="1:29" x14ac:dyDescent="0.25">
      <c r="A447" s="42"/>
      <c r="B447" s="34" t="s">
        <v>490</v>
      </c>
      <c r="C447" s="34">
        <v>2.75195271508813E+18</v>
      </c>
      <c r="D447" s="41">
        <v>43610</v>
      </c>
      <c r="E447" s="34"/>
      <c r="F447" s="34" t="s">
        <v>729</v>
      </c>
      <c r="G447" s="34"/>
      <c r="H447" s="45">
        <v>19</v>
      </c>
      <c r="I447" s="36">
        <f>IF(Log_2019[[#This Row],[My Category]]="NONTRACKED",0,Log_2019[[#This Row],[Raw Amount]])</f>
        <v>19</v>
      </c>
      <c r="J447" s="37">
        <f>ABS(Log_2019[[#This Row],[Amount]])</f>
        <v>19</v>
      </c>
      <c r="K447" s="38">
        <v>1</v>
      </c>
      <c r="L447" s="38">
        <f ca="1">IF(Log_2019[[#This Row],[Date]]&lt;=TODAY(), MIN(Log_2019[[#This Row],[Split_raw]], TODAY()-Log_2019[[#This Row],[Date]]+1), 0)</f>
        <v>1</v>
      </c>
      <c r="M447" s="34" t="s">
        <v>37</v>
      </c>
      <c r="N447" s="34" t="s">
        <v>490</v>
      </c>
      <c r="O447" s="7">
        <v>0</v>
      </c>
      <c r="P447" s="52">
        <f ca="1">Log_2019[[#This Row],[Amount]]/Log_2019[[#This Row],[Split_raw]]*MAX(0,MIN(_xlfn.DAYS(EDATE(P$1,1),Log_2019[[#This Row],[Date]]),Log_2019[[#This Row],[Split_apply]])) - SUM($O447:O447)</f>
        <v>0</v>
      </c>
      <c r="Q447" s="52">
        <f ca="1">Log_2019[[#This Row],[Amount]]/Log_2019[[#This Row],[Split_raw]]*MAX(0,MIN(_xlfn.DAYS(EDATE(Q$1,1),Log_2019[[#This Row],[Date]]),Log_2019[[#This Row],[Split_apply]])) - SUM($O447:P447)</f>
        <v>0</v>
      </c>
      <c r="R447" s="52">
        <f ca="1">Log_2019[[#This Row],[Amount]]/Log_2019[[#This Row],[Split_raw]]*MAX(0,MIN(_xlfn.DAYS(EDATE(R$1,1),Log_2019[[#This Row],[Date]]),Log_2019[[#This Row],[Split_apply]])) - SUM($O447:Q447)</f>
        <v>0</v>
      </c>
      <c r="S447" s="52">
        <f ca="1">Log_2019[[#This Row],[Amount]]/Log_2019[[#This Row],[Split_raw]]*MAX(0,MIN(_xlfn.DAYS(EDATE(S$1,1),Log_2019[[#This Row],[Date]]),Log_2019[[#This Row],[Split_apply]])) - SUM($O447:R447)</f>
        <v>0</v>
      </c>
      <c r="T447" s="52">
        <f ca="1">Log_2019[[#This Row],[Amount]]/Log_2019[[#This Row],[Split_raw]]*MAX(0,MIN(_xlfn.DAYS(EDATE(T$1,1),Log_2019[[#This Row],[Date]]),Log_2019[[#This Row],[Split_apply]])) - SUM($O447:S447)</f>
        <v>19</v>
      </c>
      <c r="U447" s="52">
        <f ca="1">Log_2019[[#This Row],[Amount]]/Log_2019[[#This Row],[Split_raw]]*MAX(0,MIN(_xlfn.DAYS(EDATE(U$1,1),Log_2019[[#This Row],[Date]]),Log_2019[[#This Row],[Split_apply]])) - SUM($O447:T447)</f>
        <v>0</v>
      </c>
      <c r="V447" s="52">
        <f ca="1">Log_2019[[#This Row],[Amount]]/Log_2019[[#This Row],[Split_raw]]*MAX(0,MIN(_xlfn.DAYS(EDATE(V$1,1),Log_2019[[#This Row],[Date]]),Log_2019[[#This Row],[Split_apply]])) - SUM($O447:U447)</f>
        <v>0</v>
      </c>
      <c r="W447" s="52">
        <f ca="1">Log_2019[[#This Row],[Amount]]/Log_2019[[#This Row],[Split_raw]]*MAX(0,MIN(_xlfn.DAYS(EDATE(W$1,1),Log_2019[[#This Row],[Date]]),Log_2019[[#This Row],[Split_apply]])) - SUM($O447:V447)</f>
        <v>0</v>
      </c>
      <c r="X447" s="52">
        <f ca="1">Log_2019[[#This Row],[Amount]]/Log_2019[[#This Row],[Split_raw]]*MAX(0,MIN(_xlfn.DAYS(EDATE(X$1,1),Log_2019[[#This Row],[Date]]),Log_2019[[#This Row],[Split_apply]])) - SUM($O447:W447)</f>
        <v>0</v>
      </c>
      <c r="Y447" s="52">
        <f ca="1">Log_2019[[#This Row],[Amount]]/Log_2019[[#This Row],[Split_raw]]*MAX(0,MIN(_xlfn.DAYS(EDATE(Y$1,1),Log_2019[[#This Row],[Date]]),Log_2019[[#This Row],[Split_apply]])) - SUM($O447:X447)</f>
        <v>0</v>
      </c>
      <c r="Z447" s="52">
        <f ca="1">Log_2019[[#This Row],[Amount]]/Log_2019[[#This Row],[Split_raw]]*MAX(0,MIN(_xlfn.DAYS(EDATE(Z$1,1),Log_2019[[#This Row],[Date]]),Log_2019[[#This Row],[Split_apply]])) - SUM($O447:Y447)</f>
        <v>0</v>
      </c>
      <c r="AA447" s="52">
        <f ca="1">Log_2019[[#This Row],[Amount]]/Log_2019[[#This Row],[Split_raw]]*MAX(0,MIN(_xlfn.DAYS(EDATE(AA$1,1),Log_2019[[#This Row],[Date]]),Log_2019[[#This Row],[Split_apply]])) - SUM($O447:Z447)</f>
        <v>0</v>
      </c>
      <c r="AB447" s="54">
        <f ca="1">Log_2019[[#This Row],[Amount]]-SUM(O447:AA447)</f>
        <v>0</v>
      </c>
      <c r="AC447" s="7">
        <f>MAX(0,Log_2019[[#This Row],[Split_raw]] - (EDATE(AA$1,1)-Log_2019[[#This Row],[Date]]))</f>
        <v>0</v>
      </c>
    </row>
    <row r="448" spans="1:29" x14ac:dyDescent="0.25">
      <c r="A448" s="42"/>
      <c r="B448" s="34" t="s">
        <v>6</v>
      </c>
      <c r="C448" s="34"/>
      <c r="D448" s="35">
        <v>43609</v>
      </c>
      <c r="E448" s="34"/>
      <c r="F448" s="34" t="s">
        <v>529</v>
      </c>
      <c r="G448" s="34" t="s">
        <v>25</v>
      </c>
      <c r="H448" s="36">
        <v>-35.54</v>
      </c>
      <c r="I448" s="36">
        <f>IF(Log_2019[[#This Row],[My Category]]="NONTRACKED",0,Log_2019[[#This Row],[Raw Amount]])</f>
        <v>-35.54</v>
      </c>
      <c r="J448" s="37">
        <f>ABS(Log_2019[[#This Row],[Amount]])</f>
        <v>35.54</v>
      </c>
      <c r="K448" s="38">
        <v>1</v>
      </c>
      <c r="L448" s="38">
        <f ca="1">IF(Log_2019[[#This Row],[Date]]&lt;=TODAY(), MIN(Log_2019[[#This Row],[Split_raw]], TODAY()-Log_2019[[#This Row],[Date]]+1), 0)</f>
        <v>1</v>
      </c>
      <c r="M448" s="34" t="s">
        <v>40</v>
      </c>
      <c r="N448" s="34" t="s">
        <v>158</v>
      </c>
      <c r="O448" s="7">
        <v>0</v>
      </c>
      <c r="P448" s="52">
        <f ca="1">Log_2019[[#This Row],[Amount]]/Log_2019[[#This Row],[Split_raw]]*MAX(0,MIN(_xlfn.DAYS(EDATE(P$1,1),Log_2019[[#This Row],[Date]]),Log_2019[[#This Row],[Split_apply]])) - SUM($O448:O448)</f>
        <v>0</v>
      </c>
      <c r="Q448" s="52">
        <f ca="1">Log_2019[[#This Row],[Amount]]/Log_2019[[#This Row],[Split_raw]]*MAX(0,MIN(_xlfn.DAYS(EDATE(Q$1,1),Log_2019[[#This Row],[Date]]),Log_2019[[#This Row],[Split_apply]])) - SUM($O448:P448)</f>
        <v>0</v>
      </c>
      <c r="R448" s="52">
        <f ca="1">Log_2019[[#This Row],[Amount]]/Log_2019[[#This Row],[Split_raw]]*MAX(0,MIN(_xlfn.DAYS(EDATE(R$1,1),Log_2019[[#This Row],[Date]]),Log_2019[[#This Row],[Split_apply]])) - SUM($O448:Q448)</f>
        <v>0</v>
      </c>
      <c r="S448" s="52">
        <f ca="1">Log_2019[[#This Row],[Amount]]/Log_2019[[#This Row],[Split_raw]]*MAX(0,MIN(_xlfn.DAYS(EDATE(S$1,1),Log_2019[[#This Row],[Date]]),Log_2019[[#This Row],[Split_apply]])) - SUM($O448:R448)</f>
        <v>0</v>
      </c>
      <c r="T448" s="52">
        <f ca="1">Log_2019[[#This Row],[Amount]]/Log_2019[[#This Row],[Split_raw]]*MAX(0,MIN(_xlfn.DAYS(EDATE(T$1,1),Log_2019[[#This Row],[Date]]),Log_2019[[#This Row],[Split_apply]])) - SUM($O448:S448)</f>
        <v>-35.54</v>
      </c>
      <c r="U448" s="52">
        <f ca="1">Log_2019[[#This Row],[Amount]]/Log_2019[[#This Row],[Split_raw]]*MAX(0,MIN(_xlfn.DAYS(EDATE(U$1,1),Log_2019[[#This Row],[Date]]),Log_2019[[#This Row],[Split_apply]])) - SUM($O448:T448)</f>
        <v>0</v>
      </c>
      <c r="V448" s="52">
        <f ca="1">Log_2019[[#This Row],[Amount]]/Log_2019[[#This Row],[Split_raw]]*MAX(0,MIN(_xlfn.DAYS(EDATE(V$1,1),Log_2019[[#This Row],[Date]]),Log_2019[[#This Row],[Split_apply]])) - SUM($O448:U448)</f>
        <v>0</v>
      </c>
      <c r="W448" s="52">
        <f ca="1">Log_2019[[#This Row],[Amount]]/Log_2019[[#This Row],[Split_raw]]*MAX(0,MIN(_xlfn.DAYS(EDATE(W$1,1),Log_2019[[#This Row],[Date]]),Log_2019[[#This Row],[Split_apply]])) - SUM($O448:V448)</f>
        <v>0</v>
      </c>
      <c r="X448" s="52">
        <f ca="1">Log_2019[[#This Row],[Amount]]/Log_2019[[#This Row],[Split_raw]]*MAX(0,MIN(_xlfn.DAYS(EDATE(X$1,1),Log_2019[[#This Row],[Date]]),Log_2019[[#This Row],[Split_apply]])) - SUM($O448:W448)</f>
        <v>0</v>
      </c>
      <c r="Y448" s="52">
        <f ca="1">Log_2019[[#This Row],[Amount]]/Log_2019[[#This Row],[Split_raw]]*MAX(0,MIN(_xlfn.DAYS(EDATE(Y$1,1),Log_2019[[#This Row],[Date]]),Log_2019[[#This Row],[Split_apply]])) - SUM($O448:X448)</f>
        <v>0</v>
      </c>
      <c r="Z448" s="52">
        <f ca="1">Log_2019[[#This Row],[Amount]]/Log_2019[[#This Row],[Split_raw]]*MAX(0,MIN(_xlfn.DAYS(EDATE(Z$1,1),Log_2019[[#This Row],[Date]]),Log_2019[[#This Row],[Split_apply]])) - SUM($O448:Y448)</f>
        <v>0</v>
      </c>
      <c r="AA448" s="52">
        <f ca="1">Log_2019[[#This Row],[Amount]]/Log_2019[[#This Row],[Split_raw]]*MAX(0,MIN(_xlfn.DAYS(EDATE(AA$1,1),Log_2019[[#This Row],[Date]]),Log_2019[[#This Row],[Split_apply]])) - SUM($O448:Z448)</f>
        <v>0</v>
      </c>
      <c r="AB448" s="54">
        <f ca="1">Log_2019[[#This Row],[Amount]]-SUM(O448:AA448)</f>
        <v>0</v>
      </c>
      <c r="AC448" s="7">
        <f>MAX(0,Log_2019[[#This Row],[Split_raw]] - (EDATE(AA$1,1)-Log_2019[[#This Row],[Date]]))</f>
        <v>0</v>
      </c>
    </row>
    <row r="449" spans="1:29" x14ac:dyDescent="0.25">
      <c r="A449" s="42"/>
      <c r="B449" s="34" t="s">
        <v>6</v>
      </c>
      <c r="C449" s="34"/>
      <c r="D449" s="35">
        <v>43608</v>
      </c>
      <c r="E449" s="34"/>
      <c r="F449" s="34" t="s">
        <v>606</v>
      </c>
      <c r="G449" s="34" t="s">
        <v>80</v>
      </c>
      <c r="H449" s="36">
        <f>--1891.68</f>
        <v>1891.68</v>
      </c>
      <c r="I449" s="36">
        <f>IF(Log_2019[[#This Row],[My Category]]="NONTRACKED",0,Log_2019[[#This Row],[Raw Amount]])</f>
        <v>1891.68</v>
      </c>
      <c r="J449" s="37">
        <f>ABS(Log_2019[[#This Row],[Amount]])</f>
        <v>1891.68</v>
      </c>
      <c r="K449" s="38">
        <v>14</v>
      </c>
      <c r="L449" s="38">
        <f ca="1">IF(Log_2019[[#This Row],[Date]]&lt;=TODAY(), MIN(Log_2019[[#This Row],[Split_raw]], TODAY()-Log_2019[[#This Row],[Date]]+1), 0)</f>
        <v>14</v>
      </c>
      <c r="M449" s="34" t="s">
        <v>91</v>
      </c>
      <c r="N449" s="34" t="s">
        <v>160</v>
      </c>
      <c r="O449" s="7">
        <v>0</v>
      </c>
      <c r="P449" s="52">
        <f ca="1">Log_2019[[#This Row],[Amount]]/Log_2019[[#This Row],[Split_raw]]*MAX(0,MIN(_xlfn.DAYS(EDATE(P$1,1),Log_2019[[#This Row],[Date]]),Log_2019[[#This Row],[Split_apply]])) - SUM($O449:O449)</f>
        <v>0</v>
      </c>
      <c r="Q449" s="52">
        <f ca="1">Log_2019[[#This Row],[Amount]]/Log_2019[[#This Row],[Split_raw]]*MAX(0,MIN(_xlfn.DAYS(EDATE(Q$1,1),Log_2019[[#This Row],[Date]]),Log_2019[[#This Row],[Split_apply]])) - SUM($O449:P449)</f>
        <v>0</v>
      </c>
      <c r="R449" s="52">
        <f ca="1">Log_2019[[#This Row],[Amount]]/Log_2019[[#This Row],[Split_raw]]*MAX(0,MIN(_xlfn.DAYS(EDATE(R$1,1),Log_2019[[#This Row],[Date]]),Log_2019[[#This Row],[Split_apply]])) - SUM($O449:Q449)</f>
        <v>0</v>
      </c>
      <c r="S449" s="52">
        <f ca="1">Log_2019[[#This Row],[Amount]]/Log_2019[[#This Row],[Split_raw]]*MAX(0,MIN(_xlfn.DAYS(EDATE(S$1,1),Log_2019[[#This Row],[Date]]),Log_2019[[#This Row],[Split_apply]])) - SUM($O449:R449)</f>
        <v>0</v>
      </c>
      <c r="T449" s="52">
        <f ca="1">Log_2019[[#This Row],[Amount]]/Log_2019[[#This Row],[Split_raw]]*MAX(0,MIN(_xlfn.DAYS(EDATE(T$1,1),Log_2019[[#This Row],[Date]]),Log_2019[[#This Row],[Split_apply]])) - SUM($O449:S449)</f>
        <v>1216.08</v>
      </c>
      <c r="U449" s="52">
        <f ca="1">Log_2019[[#This Row],[Amount]]/Log_2019[[#This Row],[Split_raw]]*MAX(0,MIN(_xlfn.DAYS(EDATE(U$1,1),Log_2019[[#This Row],[Date]]),Log_2019[[#This Row],[Split_apply]])) - SUM($O449:T449)</f>
        <v>675.60000000000014</v>
      </c>
      <c r="V449" s="52">
        <f ca="1">Log_2019[[#This Row],[Amount]]/Log_2019[[#This Row],[Split_raw]]*MAX(0,MIN(_xlfn.DAYS(EDATE(V$1,1),Log_2019[[#This Row],[Date]]),Log_2019[[#This Row],[Split_apply]])) - SUM($O449:U449)</f>
        <v>0</v>
      </c>
      <c r="W449" s="52">
        <f ca="1">Log_2019[[#This Row],[Amount]]/Log_2019[[#This Row],[Split_raw]]*MAX(0,MIN(_xlfn.DAYS(EDATE(W$1,1),Log_2019[[#This Row],[Date]]),Log_2019[[#This Row],[Split_apply]])) - SUM($O449:V449)</f>
        <v>0</v>
      </c>
      <c r="X449" s="52">
        <f ca="1">Log_2019[[#This Row],[Amount]]/Log_2019[[#This Row],[Split_raw]]*MAX(0,MIN(_xlfn.DAYS(EDATE(X$1,1),Log_2019[[#This Row],[Date]]),Log_2019[[#This Row],[Split_apply]])) - SUM($O449:W449)</f>
        <v>0</v>
      </c>
      <c r="Y449" s="52">
        <f ca="1">Log_2019[[#This Row],[Amount]]/Log_2019[[#This Row],[Split_raw]]*MAX(0,MIN(_xlfn.DAYS(EDATE(Y$1,1),Log_2019[[#This Row],[Date]]),Log_2019[[#This Row],[Split_apply]])) - SUM($O449:X449)</f>
        <v>0</v>
      </c>
      <c r="Z449" s="52">
        <f ca="1">Log_2019[[#This Row],[Amount]]/Log_2019[[#This Row],[Split_raw]]*MAX(0,MIN(_xlfn.DAYS(EDATE(Z$1,1),Log_2019[[#This Row],[Date]]),Log_2019[[#This Row],[Split_apply]])) - SUM($O449:Y449)</f>
        <v>0</v>
      </c>
      <c r="AA449" s="52">
        <f ca="1">Log_2019[[#This Row],[Amount]]/Log_2019[[#This Row],[Split_raw]]*MAX(0,MIN(_xlfn.DAYS(EDATE(AA$1,1),Log_2019[[#This Row],[Date]]),Log_2019[[#This Row],[Split_apply]])) - SUM($O449:Z449)</f>
        <v>0</v>
      </c>
      <c r="AB449" s="54">
        <f ca="1">Log_2019[[#This Row],[Amount]]-SUM(O449:AA449)</f>
        <v>0</v>
      </c>
      <c r="AC449" s="7">
        <f>MAX(0,Log_2019[[#This Row],[Split_raw]] - (EDATE(AA$1,1)-Log_2019[[#This Row],[Date]]))</f>
        <v>0</v>
      </c>
    </row>
    <row r="450" spans="1:29" x14ac:dyDescent="0.25">
      <c r="A450" s="42"/>
      <c r="B450" s="34" t="s">
        <v>6</v>
      </c>
      <c r="C450" s="34"/>
      <c r="D450" s="35">
        <v>43608</v>
      </c>
      <c r="E450" s="34"/>
      <c r="F450" s="34" t="s">
        <v>308</v>
      </c>
      <c r="G450" s="34" t="s">
        <v>25</v>
      </c>
      <c r="H450" s="36">
        <v>-11.86</v>
      </c>
      <c r="I450" s="36">
        <f>IF(Log_2019[[#This Row],[My Category]]="NONTRACKED",0,Log_2019[[#This Row],[Raw Amount]])</f>
        <v>-11.86</v>
      </c>
      <c r="J450" s="37">
        <f>ABS(Log_2019[[#This Row],[Amount]])</f>
        <v>11.86</v>
      </c>
      <c r="K450" s="38">
        <v>1</v>
      </c>
      <c r="L450" s="38">
        <f ca="1">IF(Log_2019[[#This Row],[Date]]&lt;=TODAY(), MIN(Log_2019[[#This Row],[Split_raw]], TODAY()-Log_2019[[#This Row],[Date]]+1), 0)</f>
        <v>1</v>
      </c>
      <c r="M450" s="34" t="s">
        <v>35</v>
      </c>
      <c r="N450" s="34" t="s">
        <v>158</v>
      </c>
      <c r="O450" s="7">
        <v>0</v>
      </c>
      <c r="P450" s="52">
        <f ca="1">Log_2019[[#This Row],[Amount]]/Log_2019[[#This Row],[Split_raw]]*MAX(0,MIN(_xlfn.DAYS(EDATE(P$1,1),Log_2019[[#This Row],[Date]]),Log_2019[[#This Row],[Split_apply]])) - SUM($O450:O450)</f>
        <v>0</v>
      </c>
      <c r="Q450" s="52">
        <f ca="1">Log_2019[[#This Row],[Amount]]/Log_2019[[#This Row],[Split_raw]]*MAX(0,MIN(_xlfn.DAYS(EDATE(Q$1,1),Log_2019[[#This Row],[Date]]),Log_2019[[#This Row],[Split_apply]])) - SUM($O450:P450)</f>
        <v>0</v>
      </c>
      <c r="R450" s="52">
        <f ca="1">Log_2019[[#This Row],[Amount]]/Log_2019[[#This Row],[Split_raw]]*MAX(0,MIN(_xlfn.DAYS(EDATE(R$1,1),Log_2019[[#This Row],[Date]]),Log_2019[[#This Row],[Split_apply]])) - SUM($O450:Q450)</f>
        <v>0</v>
      </c>
      <c r="S450" s="52">
        <f ca="1">Log_2019[[#This Row],[Amount]]/Log_2019[[#This Row],[Split_raw]]*MAX(0,MIN(_xlfn.DAYS(EDATE(S$1,1),Log_2019[[#This Row],[Date]]),Log_2019[[#This Row],[Split_apply]])) - SUM($O450:R450)</f>
        <v>0</v>
      </c>
      <c r="T450" s="52">
        <f ca="1">Log_2019[[#This Row],[Amount]]/Log_2019[[#This Row],[Split_raw]]*MAX(0,MIN(_xlfn.DAYS(EDATE(T$1,1),Log_2019[[#This Row],[Date]]),Log_2019[[#This Row],[Split_apply]])) - SUM($O450:S450)</f>
        <v>-11.86</v>
      </c>
      <c r="U450" s="52">
        <f ca="1">Log_2019[[#This Row],[Amount]]/Log_2019[[#This Row],[Split_raw]]*MAX(0,MIN(_xlfn.DAYS(EDATE(U$1,1),Log_2019[[#This Row],[Date]]),Log_2019[[#This Row],[Split_apply]])) - SUM($O450:T450)</f>
        <v>0</v>
      </c>
      <c r="V450" s="52">
        <f ca="1">Log_2019[[#This Row],[Amount]]/Log_2019[[#This Row],[Split_raw]]*MAX(0,MIN(_xlfn.DAYS(EDATE(V$1,1),Log_2019[[#This Row],[Date]]),Log_2019[[#This Row],[Split_apply]])) - SUM($O450:U450)</f>
        <v>0</v>
      </c>
      <c r="W450" s="52">
        <f ca="1">Log_2019[[#This Row],[Amount]]/Log_2019[[#This Row],[Split_raw]]*MAX(0,MIN(_xlfn.DAYS(EDATE(W$1,1),Log_2019[[#This Row],[Date]]),Log_2019[[#This Row],[Split_apply]])) - SUM($O450:V450)</f>
        <v>0</v>
      </c>
      <c r="X450" s="52">
        <f ca="1">Log_2019[[#This Row],[Amount]]/Log_2019[[#This Row],[Split_raw]]*MAX(0,MIN(_xlfn.DAYS(EDATE(X$1,1),Log_2019[[#This Row],[Date]]),Log_2019[[#This Row],[Split_apply]])) - SUM($O450:W450)</f>
        <v>0</v>
      </c>
      <c r="Y450" s="52">
        <f ca="1">Log_2019[[#This Row],[Amount]]/Log_2019[[#This Row],[Split_raw]]*MAX(0,MIN(_xlfn.DAYS(EDATE(Y$1,1),Log_2019[[#This Row],[Date]]),Log_2019[[#This Row],[Split_apply]])) - SUM($O450:X450)</f>
        <v>0</v>
      </c>
      <c r="Z450" s="52">
        <f ca="1">Log_2019[[#This Row],[Amount]]/Log_2019[[#This Row],[Split_raw]]*MAX(0,MIN(_xlfn.DAYS(EDATE(Z$1,1),Log_2019[[#This Row],[Date]]),Log_2019[[#This Row],[Split_apply]])) - SUM($O450:Y450)</f>
        <v>0</v>
      </c>
      <c r="AA450" s="52">
        <f ca="1">Log_2019[[#This Row],[Amount]]/Log_2019[[#This Row],[Split_raw]]*MAX(0,MIN(_xlfn.DAYS(EDATE(AA$1,1),Log_2019[[#This Row],[Date]]),Log_2019[[#This Row],[Split_apply]])) - SUM($O450:Z450)</f>
        <v>0</v>
      </c>
      <c r="AB450" s="54">
        <f ca="1">Log_2019[[#This Row],[Amount]]-SUM(O450:AA450)</f>
        <v>0</v>
      </c>
      <c r="AC450" s="7">
        <f>MAX(0,Log_2019[[#This Row],[Split_raw]] - (EDATE(AA$1,1)-Log_2019[[#This Row],[Date]]))</f>
        <v>0</v>
      </c>
    </row>
    <row r="451" spans="1:29" x14ac:dyDescent="0.25">
      <c r="A451" s="42"/>
      <c r="B451" s="34" t="s">
        <v>6</v>
      </c>
      <c r="C451" s="34"/>
      <c r="D451" s="35">
        <v>43608</v>
      </c>
      <c r="E451" s="34" t="s">
        <v>609</v>
      </c>
      <c r="F451" s="34" t="s">
        <v>607</v>
      </c>
      <c r="G451" s="34" t="s">
        <v>80</v>
      </c>
      <c r="H451" s="36">
        <f>--1557.78</f>
        <v>1557.78</v>
      </c>
      <c r="I451" s="36">
        <f>IF(Log_2019[[#This Row],[My Category]]="NONTRACKED",0,Log_2019[[#This Row],[Raw Amount]])</f>
        <v>1557.78</v>
      </c>
      <c r="J451" s="37">
        <f>ABS(Log_2019[[#This Row],[Amount]])</f>
        <v>1557.78</v>
      </c>
      <c r="K451" s="38">
        <v>1</v>
      </c>
      <c r="L451" s="38">
        <f ca="1">IF(Log_2019[[#This Row],[Date]]&lt;=TODAY(), MIN(Log_2019[[#This Row],[Split_raw]], TODAY()-Log_2019[[#This Row],[Date]]+1), 0)</f>
        <v>1</v>
      </c>
      <c r="M451" s="34" t="s">
        <v>144</v>
      </c>
      <c r="N451" s="34" t="s">
        <v>160</v>
      </c>
      <c r="O451" s="7">
        <v>0</v>
      </c>
      <c r="P451" s="52">
        <f ca="1">Log_2019[[#This Row],[Amount]]/Log_2019[[#This Row],[Split_raw]]*MAX(0,MIN(_xlfn.DAYS(EDATE(P$1,1),Log_2019[[#This Row],[Date]]),Log_2019[[#This Row],[Split_apply]])) - SUM($O451:O451)</f>
        <v>0</v>
      </c>
      <c r="Q451" s="52">
        <f ca="1">Log_2019[[#This Row],[Amount]]/Log_2019[[#This Row],[Split_raw]]*MAX(0,MIN(_xlfn.DAYS(EDATE(Q$1,1),Log_2019[[#This Row],[Date]]),Log_2019[[#This Row],[Split_apply]])) - SUM($O451:P451)</f>
        <v>0</v>
      </c>
      <c r="R451" s="52">
        <f ca="1">Log_2019[[#This Row],[Amount]]/Log_2019[[#This Row],[Split_raw]]*MAX(0,MIN(_xlfn.DAYS(EDATE(R$1,1),Log_2019[[#This Row],[Date]]),Log_2019[[#This Row],[Split_apply]])) - SUM($O451:Q451)</f>
        <v>0</v>
      </c>
      <c r="S451" s="52">
        <f ca="1">Log_2019[[#This Row],[Amount]]/Log_2019[[#This Row],[Split_raw]]*MAX(0,MIN(_xlfn.DAYS(EDATE(S$1,1),Log_2019[[#This Row],[Date]]),Log_2019[[#This Row],[Split_apply]])) - SUM($O451:R451)</f>
        <v>0</v>
      </c>
      <c r="T451" s="52">
        <f ca="1">Log_2019[[#This Row],[Amount]]/Log_2019[[#This Row],[Split_raw]]*MAX(0,MIN(_xlfn.DAYS(EDATE(T$1,1),Log_2019[[#This Row],[Date]]),Log_2019[[#This Row],[Split_apply]])) - SUM($O451:S451)</f>
        <v>1557.78</v>
      </c>
      <c r="U451" s="52">
        <f ca="1">Log_2019[[#This Row],[Amount]]/Log_2019[[#This Row],[Split_raw]]*MAX(0,MIN(_xlfn.DAYS(EDATE(U$1,1),Log_2019[[#This Row],[Date]]),Log_2019[[#This Row],[Split_apply]])) - SUM($O451:T451)</f>
        <v>0</v>
      </c>
      <c r="V451" s="52">
        <f ca="1">Log_2019[[#This Row],[Amount]]/Log_2019[[#This Row],[Split_raw]]*MAX(0,MIN(_xlfn.DAYS(EDATE(V$1,1),Log_2019[[#This Row],[Date]]),Log_2019[[#This Row],[Split_apply]])) - SUM($O451:U451)</f>
        <v>0</v>
      </c>
      <c r="W451" s="52">
        <f ca="1">Log_2019[[#This Row],[Amount]]/Log_2019[[#This Row],[Split_raw]]*MAX(0,MIN(_xlfn.DAYS(EDATE(W$1,1),Log_2019[[#This Row],[Date]]),Log_2019[[#This Row],[Split_apply]])) - SUM($O451:V451)</f>
        <v>0</v>
      </c>
      <c r="X451" s="52">
        <f ca="1">Log_2019[[#This Row],[Amount]]/Log_2019[[#This Row],[Split_raw]]*MAX(0,MIN(_xlfn.DAYS(EDATE(X$1,1),Log_2019[[#This Row],[Date]]),Log_2019[[#This Row],[Split_apply]])) - SUM($O451:W451)</f>
        <v>0</v>
      </c>
      <c r="Y451" s="52">
        <f ca="1">Log_2019[[#This Row],[Amount]]/Log_2019[[#This Row],[Split_raw]]*MAX(0,MIN(_xlfn.DAYS(EDATE(Y$1,1),Log_2019[[#This Row],[Date]]),Log_2019[[#This Row],[Split_apply]])) - SUM($O451:X451)</f>
        <v>0</v>
      </c>
      <c r="Z451" s="52">
        <f ca="1">Log_2019[[#This Row],[Amount]]/Log_2019[[#This Row],[Split_raw]]*MAX(0,MIN(_xlfn.DAYS(EDATE(Z$1,1),Log_2019[[#This Row],[Date]]),Log_2019[[#This Row],[Split_apply]])) - SUM($O451:Y451)</f>
        <v>0</v>
      </c>
      <c r="AA451" s="52">
        <f ca="1">Log_2019[[#This Row],[Amount]]/Log_2019[[#This Row],[Split_raw]]*MAX(0,MIN(_xlfn.DAYS(EDATE(AA$1,1),Log_2019[[#This Row],[Date]]),Log_2019[[#This Row],[Split_apply]])) - SUM($O451:Z451)</f>
        <v>0</v>
      </c>
      <c r="AB451" s="54">
        <f ca="1">Log_2019[[#This Row],[Amount]]-SUM(O451:AA451)</f>
        <v>0</v>
      </c>
      <c r="AC451" s="7">
        <f>MAX(0,Log_2019[[#This Row],[Split_raw]] - (EDATE(AA$1,1)-Log_2019[[#This Row],[Date]]))</f>
        <v>0</v>
      </c>
    </row>
    <row r="452" spans="1:29" x14ac:dyDescent="0.25">
      <c r="A452" s="42"/>
      <c r="B452" s="34" t="s">
        <v>6</v>
      </c>
      <c r="C452" s="34"/>
      <c r="D452" s="35">
        <v>43607</v>
      </c>
      <c r="E452" s="34"/>
      <c r="F452" s="34" t="s">
        <v>598</v>
      </c>
      <c r="G452" s="34" t="s">
        <v>12</v>
      </c>
      <c r="H452" s="36">
        <v>-27.95</v>
      </c>
      <c r="I452" s="36">
        <f>IF(Log_2019[[#This Row],[My Category]]="NONTRACKED",0,Log_2019[[#This Row],[Raw Amount]])</f>
        <v>-27.95</v>
      </c>
      <c r="J452" s="37">
        <f>ABS(Log_2019[[#This Row],[Amount]])</f>
        <v>27.95</v>
      </c>
      <c r="K452" s="38">
        <v>1</v>
      </c>
      <c r="L452" s="38">
        <f ca="1">IF(Log_2019[[#This Row],[Date]]&lt;=TODAY(), MIN(Log_2019[[#This Row],[Split_raw]], TODAY()-Log_2019[[#This Row],[Date]]+1), 0)</f>
        <v>1</v>
      </c>
      <c r="M452" s="34" t="s">
        <v>12</v>
      </c>
      <c r="N452" s="34" t="s">
        <v>158</v>
      </c>
      <c r="O452" s="7">
        <v>0</v>
      </c>
      <c r="P452" s="52">
        <f ca="1">Log_2019[[#This Row],[Amount]]/Log_2019[[#This Row],[Split_raw]]*MAX(0,MIN(_xlfn.DAYS(EDATE(P$1,1),Log_2019[[#This Row],[Date]]),Log_2019[[#This Row],[Split_apply]])) - SUM($O452:O452)</f>
        <v>0</v>
      </c>
      <c r="Q452" s="52">
        <f ca="1">Log_2019[[#This Row],[Amount]]/Log_2019[[#This Row],[Split_raw]]*MAX(0,MIN(_xlfn.DAYS(EDATE(Q$1,1),Log_2019[[#This Row],[Date]]),Log_2019[[#This Row],[Split_apply]])) - SUM($O452:P452)</f>
        <v>0</v>
      </c>
      <c r="R452" s="52">
        <f ca="1">Log_2019[[#This Row],[Amount]]/Log_2019[[#This Row],[Split_raw]]*MAX(0,MIN(_xlfn.DAYS(EDATE(R$1,1),Log_2019[[#This Row],[Date]]),Log_2019[[#This Row],[Split_apply]])) - SUM($O452:Q452)</f>
        <v>0</v>
      </c>
      <c r="S452" s="52">
        <f ca="1">Log_2019[[#This Row],[Amount]]/Log_2019[[#This Row],[Split_raw]]*MAX(0,MIN(_xlfn.DAYS(EDATE(S$1,1),Log_2019[[#This Row],[Date]]),Log_2019[[#This Row],[Split_apply]])) - SUM($O452:R452)</f>
        <v>0</v>
      </c>
      <c r="T452" s="52">
        <f ca="1">Log_2019[[#This Row],[Amount]]/Log_2019[[#This Row],[Split_raw]]*MAX(0,MIN(_xlfn.DAYS(EDATE(T$1,1),Log_2019[[#This Row],[Date]]),Log_2019[[#This Row],[Split_apply]])) - SUM($O452:S452)</f>
        <v>-27.95</v>
      </c>
      <c r="U452" s="52">
        <f ca="1">Log_2019[[#This Row],[Amount]]/Log_2019[[#This Row],[Split_raw]]*MAX(0,MIN(_xlfn.DAYS(EDATE(U$1,1),Log_2019[[#This Row],[Date]]),Log_2019[[#This Row],[Split_apply]])) - SUM($O452:T452)</f>
        <v>0</v>
      </c>
      <c r="V452" s="52">
        <f ca="1">Log_2019[[#This Row],[Amount]]/Log_2019[[#This Row],[Split_raw]]*MAX(0,MIN(_xlfn.DAYS(EDATE(V$1,1),Log_2019[[#This Row],[Date]]),Log_2019[[#This Row],[Split_apply]])) - SUM($O452:U452)</f>
        <v>0</v>
      </c>
      <c r="W452" s="52">
        <f ca="1">Log_2019[[#This Row],[Amount]]/Log_2019[[#This Row],[Split_raw]]*MAX(0,MIN(_xlfn.DAYS(EDATE(W$1,1),Log_2019[[#This Row],[Date]]),Log_2019[[#This Row],[Split_apply]])) - SUM($O452:V452)</f>
        <v>0</v>
      </c>
      <c r="X452" s="52">
        <f ca="1">Log_2019[[#This Row],[Amount]]/Log_2019[[#This Row],[Split_raw]]*MAX(0,MIN(_xlfn.DAYS(EDATE(X$1,1),Log_2019[[#This Row],[Date]]),Log_2019[[#This Row],[Split_apply]])) - SUM($O452:W452)</f>
        <v>0</v>
      </c>
      <c r="Y452" s="52">
        <f ca="1">Log_2019[[#This Row],[Amount]]/Log_2019[[#This Row],[Split_raw]]*MAX(0,MIN(_xlfn.DAYS(EDATE(Y$1,1),Log_2019[[#This Row],[Date]]),Log_2019[[#This Row],[Split_apply]])) - SUM($O452:X452)</f>
        <v>0</v>
      </c>
      <c r="Z452" s="52">
        <f ca="1">Log_2019[[#This Row],[Amount]]/Log_2019[[#This Row],[Split_raw]]*MAX(0,MIN(_xlfn.DAYS(EDATE(Z$1,1),Log_2019[[#This Row],[Date]]),Log_2019[[#This Row],[Split_apply]])) - SUM($O452:Y452)</f>
        <v>0</v>
      </c>
      <c r="AA452" s="52">
        <f ca="1">Log_2019[[#This Row],[Amount]]/Log_2019[[#This Row],[Split_raw]]*MAX(0,MIN(_xlfn.DAYS(EDATE(AA$1,1),Log_2019[[#This Row],[Date]]),Log_2019[[#This Row],[Split_apply]])) - SUM($O452:Z452)</f>
        <v>0</v>
      </c>
      <c r="AB452" s="54">
        <f ca="1">Log_2019[[#This Row],[Amount]]-SUM(O452:AA452)</f>
        <v>0</v>
      </c>
      <c r="AC452" s="7">
        <f>MAX(0,Log_2019[[#This Row],[Split_raw]] - (EDATE(AA$1,1)-Log_2019[[#This Row],[Date]]))</f>
        <v>0</v>
      </c>
    </row>
    <row r="453" spans="1:29" x14ac:dyDescent="0.25">
      <c r="A453" s="42"/>
      <c r="B453" s="34" t="s">
        <v>6</v>
      </c>
      <c r="C453" s="34"/>
      <c r="D453" s="35">
        <v>43607</v>
      </c>
      <c r="E453" s="34"/>
      <c r="F453" s="34" t="s">
        <v>270</v>
      </c>
      <c r="G453" s="34" t="s">
        <v>25</v>
      </c>
      <c r="H453" s="36">
        <v>-9.67</v>
      </c>
      <c r="I453" s="36">
        <f>IF(Log_2019[[#This Row],[My Category]]="NONTRACKED",0,Log_2019[[#This Row],[Raw Amount]])</f>
        <v>-9.67</v>
      </c>
      <c r="J453" s="37">
        <f>ABS(Log_2019[[#This Row],[Amount]])</f>
        <v>9.67</v>
      </c>
      <c r="K453" s="38">
        <v>1</v>
      </c>
      <c r="L453" s="38">
        <f ca="1">IF(Log_2019[[#This Row],[Date]]&lt;=TODAY(), MIN(Log_2019[[#This Row],[Split_raw]], TODAY()-Log_2019[[#This Row],[Date]]+1), 0)</f>
        <v>1</v>
      </c>
      <c r="M453" s="34" t="s">
        <v>35</v>
      </c>
      <c r="N453" s="34" t="s">
        <v>158</v>
      </c>
      <c r="O453" s="7">
        <v>0</v>
      </c>
      <c r="P453" s="52">
        <f ca="1">Log_2019[[#This Row],[Amount]]/Log_2019[[#This Row],[Split_raw]]*MAX(0,MIN(_xlfn.DAYS(EDATE(P$1,1),Log_2019[[#This Row],[Date]]),Log_2019[[#This Row],[Split_apply]])) - SUM($O453:O453)</f>
        <v>0</v>
      </c>
      <c r="Q453" s="52">
        <f ca="1">Log_2019[[#This Row],[Amount]]/Log_2019[[#This Row],[Split_raw]]*MAX(0,MIN(_xlfn.DAYS(EDATE(Q$1,1),Log_2019[[#This Row],[Date]]),Log_2019[[#This Row],[Split_apply]])) - SUM($O453:P453)</f>
        <v>0</v>
      </c>
      <c r="R453" s="52">
        <f ca="1">Log_2019[[#This Row],[Amount]]/Log_2019[[#This Row],[Split_raw]]*MAX(0,MIN(_xlfn.DAYS(EDATE(R$1,1),Log_2019[[#This Row],[Date]]),Log_2019[[#This Row],[Split_apply]])) - SUM($O453:Q453)</f>
        <v>0</v>
      </c>
      <c r="S453" s="52">
        <f ca="1">Log_2019[[#This Row],[Amount]]/Log_2019[[#This Row],[Split_raw]]*MAX(0,MIN(_xlfn.DAYS(EDATE(S$1,1),Log_2019[[#This Row],[Date]]),Log_2019[[#This Row],[Split_apply]])) - SUM($O453:R453)</f>
        <v>0</v>
      </c>
      <c r="T453" s="52">
        <f ca="1">Log_2019[[#This Row],[Amount]]/Log_2019[[#This Row],[Split_raw]]*MAX(0,MIN(_xlfn.DAYS(EDATE(T$1,1),Log_2019[[#This Row],[Date]]),Log_2019[[#This Row],[Split_apply]])) - SUM($O453:S453)</f>
        <v>-9.67</v>
      </c>
      <c r="U453" s="52">
        <f ca="1">Log_2019[[#This Row],[Amount]]/Log_2019[[#This Row],[Split_raw]]*MAX(0,MIN(_xlfn.DAYS(EDATE(U$1,1),Log_2019[[#This Row],[Date]]),Log_2019[[#This Row],[Split_apply]])) - SUM($O453:T453)</f>
        <v>0</v>
      </c>
      <c r="V453" s="52">
        <f ca="1">Log_2019[[#This Row],[Amount]]/Log_2019[[#This Row],[Split_raw]]*MAX(0,MIN(_xlfn.DAYS(EDATE(V$1,1),Log_2019[[#This Row],[Date]]),Log_2019[[#This Row],[Split_apply]])) - SUM($O453:U453)</f>
        <v>0</v>
      </c>
      <c r="W453" s="52">
        <f ca="1">Log_2019[[#This Row],[Amount]]/Log_2019[[#This Row],[Split_raw]]*MAX(0,MIN(_xlfn.DAYS(EDATE(W$1,1),Log_2019[[#This Row],[Date]]),Log_2019[[#This Row],[Split_apply]])) - SUM($O453:V453)</f>
        <v>0</v>
      </c>
      <c r="X453" s="52">
        <f ca="1">Log_2019[[#This Row],[Amount]]/Log_2019[[#This Row],[Split_raw]]*MAX(0,MIN(_xlfn.DAYS(EDATE(X$1,1),Log_2019[[#This Row],[Date]]),Log_2019[[#This Row],[Split_apply]])) - SUM($O453:W453)</f>
        <v>0</v>
      </c>
      <c r="Y453" s="52">
        <f ca="1">Log_2019[[#This Row],[Amount]]/Log_2019[[#This Row],[Split_raw]]*MAX(0,MIN(_xlfn.DAYS(EDATE(Y$1,1),Log_2019[[#This Row],[Date]]),Log_2019[[#This Row],[Split_apply]])) - SUM($O453:X453)</f>
        <v>0</v>
      </c>
      <c r="Z453" s="52">
        <f ca="1">Log_2019[[#This Row],[Amount]]/Log_2019[[#This Row],[Split_raw]]*MAX(0,MIN(_xlfn.DAYS(EDATE(Z$1,1),Log_2019[[#This Row],[Date]]),Log_2019[[#This Row],[Split_apply]])) - SUM($O453:Y453)</f>
        <v>0</v>
      </c>
      <c r="AA453" s="52">
        <f ca="1">Log_2019[[#This Row],[Amount]]/Log_2019[[#This Row],[Split_raw]]*MAX(0,MIN(_xlfn.DAYS(EDATE(AA$1,1),Log_2019[[#This Row],[Date]]),Log_2019[[#This Row],[Split_apply]])) - SUM($O453:Z453)</f>
        <v>0</v>
      </c>
      <c r="AB453" s="54">
        <f ca="1">Log_2019[[#This Row],[Amount]]-SUM(O453:AA453)</f>
        <v>0</v>
      </c>
      <c r="AC453" s="7">
        <f>MAX(0,Log_2019[[#This Row],[Split_raw]] - (EDATE(AA$1,1)-Log_2019[[#This Row],[Date]]))</f>
        <v>0</v>
      </c>
    </row>
    <row r="454" spans="1:29" x14ac:dyDescent="0.25">
      <c r="A454" s="42"/>
      <c r="B454" s="34" t="s">
        <v>6</v>
      </c>
      <c r="C454" s="34"/>
      <c r="D454" s="35">
        <v>43607</v>
      </c>
      <c r="E454" s="34"/>
      <c r="F454" s="34" t="s">
        <v>255</v>
      </c>
      <c r="G454" s="34" t="s">
        <v>25</v>
      </c>
      <c r="H454" s="36">
        <v>-2.66</v>
      </c>
      <c r="I454" s="36">
        <f>IF(Log_2019[[#This Row],[My Category]]="NONTRACKED",0,Log_2019[[#This Row],[Raw Amount]])</f>
        <v>-2.66</v>
      </c>
      <c r="J454" s="37">
        <f>ABS(Log_2019[[#This Row],[Amount]])</f>
        <v>2.66</v>
      </c>
      <c r="K454" s="38">
        <v>1</v>
      </c>
      <c r="L454" s="38">
        <f ca="1">IF(Log_2019[[#This Row],[Date]]&lt;=TODAY(), MIN(Log_2019[[#This Row],[Split_raw]], TODAY()-Log_2019[[#This Row],[Date]]+1), 0)</f>
        <v>1</v>
      </c>
      <c r="M454" s="34" t="s">
        <v>35</v>
      </c>
      <c r="N454" s="34" t="s">
        <v>158</v>
      </c>
      <c r="O454" s="7">
        <v>0</v>
      </c>
      <c r="P454" s="52">
        <f ca="1">Log_2019[[#This Row],[Amount]]/Log_2019[[#This Row],[Split_raw]]*MAX(0,MIN(_xlfn.DAYS(EDATE(P$1,1),Log_2019[[#This Row],[Date]]),Log_2019[[#This Row],[Split_apply]])) - SUM($O454:O454)</f>
        <v>0</v>
      </c>
      <c r="Q454" s="52">
        <f ca="1">Log_2019[[#This Row],[Amount]]/Log_2019[[#This Row],[Split_raw]]*MAX(0,MIN(_xlfn.DAYS(EDATE(Q$1,1),Log_2019[[#This Row],[Date]]),Log_2019[[#This Row],[Split_apply]])) - SUM($O454:P454)</f>
        <v>0</v>
      </c>
      <c r="R454" s="52">
        <f ca="1">Log_2019[[#This Row],[Amount]]/Log_2019[[#This Row],[Split_raw]]*MAX(0,MIN(_xlfn.DAYS(EDATE(R$1,1),Log_2019[[#This Row],[Date]]),Log_2019[[#This Row],[Split_apply]])) - SUM($O454:Q454)</f>
        <v>0</v>
      </c>
      <c r="S454" s="52">
        <f ca="1">Log_2019[[#This Row],[Amount]]/Log_2019[[#This Row],[Split_raw]]*MAX(0,MIN(_xlfn.DAYS(EDATE(S$1,1),Log_2019[[#This Row],[Date]]),Log_2019[[#This Row],[Split_apply]])) - SUM($O454:R454)</f>
        <v>0</v>
      </c>
      <c r="T454" s="52">
        <f ca="1">Log_2019[[#This Row],[Amount]]/Log_2019[[#This Row],[Split_raw]]*MAX(0,MIN(_xlfn.DAYS(EDATE(T$1,1),Log_2019[[#This Row],[Date]]),Log_2019[[#This Row],[Split_apply]])) - SUM($O454:S454)</f>
        <v>-2.66</v>
      </c>
      <c r="U454" s="52">
        <f ca="1">Log_2019[[#This Row],[Amount]]/Log_2019[[#This Row],[Split_raw]]*MAX(0,MIN(_xlfn.DAYS(EDATE(U$1,1),Log_2019[[#This Row],[Date]]),Log_2019[[#This Row],[Split_apply]])) - SUM($O454:T454)</f>
        <v>0</v>
      </c>
      <c r="V454" s="52">
        <f ca="1">Log_2019[[#This Row],[Amount]]/Log_2019[[#This Row],[Split_raw]]*MAX(0,MIN(_xlfn.DAYS(EDATE(V$1,1),Log_2019[[#This Row],[Date]]),Log_2019[[#This Row],[Split_apply]])) - SUM($O454:U454)</f>
        <v>0</v>
      </c>
      <c r="W454" s="52">
        <f ca="1">Log_2019[[#This Row],[Amount]]/Log_2019[[#This Row],[Split_raw]]*MAX(0,MIN(_xlfn.DAYS(EDATE(W$1,1),Log_2019[[#This Row],[Date]]),Log_2019[[#This Row],[Split_apply]])) - SUM($O454:V454)</f>
        <v>0</v>
      </c>
      <c r="X454" s="52">
        <f ca="1">Log_2019[[#This Row],[Amount]]/Log_2019[[#This Row],[Split_raw]]*MAX(0,MIN(_xlfn.DAYS(EDATE(X$1,1),Log_2019[[#This Row],[Date]]),Log_2019[[#This Row],[Split_apply]])) - SUM($O454:W454)</f>
        <v>0</v>
      </c>
      <c r="Y454" s="52">
        <f ca="1">Log_2019[[#This Row],[Amount]]/Log_2019[[#This Row],[Split_raw]]*MAX(0,MIN(_xlfn.DAYS(EDATE(Y$1,1),Log_2019[[#This Row],[Date]]),Log_2019[[#This Row],[Split_apply]])) - SUM($O454:X454)</f>
        <v>0</v>
      </c>
      <c r="Z454" s="52">
        <f ca="1">Log_2019[[#This Row],[Amount]]/Log_2019[[#This Row],[Split_raw]]*MAX(0,MIN(_xlfn.DAYS(EDATE(Z$1,1),Log_2019[[#This Row],[Date]]),Log_2019[[#This Row],[Split_apply]])) - SUM($O454:Y454)</f>
        <v>0</v>
      </c>
      <c r="AA454" s="52">
        <f ca="1">Log_2019[[#This Row],[Amount]]/Log_2019[[#This Row],[Split_raw]]*MAX(0,MIN(_xlfn.DAYS(EDATE(AA$1,1),Log_2019[[#This Row],[Date]]),Log_2019[[#This Row],[Split_apply]])) - SUM($O454:Z454)</f>
        <v>0</v>
      </c>
      <c r="AB454" s="54">
        <f ca="1">Log_2019[[#This Row],[Amount]]-SUM(O454:AA454)</f>
        <v>0</v>
      </c>
      <c r="AC454" s="7">
        <f>MAX(0,Log_2019[[#This Row],[Split_raw]] - (EDATE(AA$1,1)-Log_2019[[#This Row],[Date]]))</f>
        <v>0</v>
      </c>
    </row>
    <row r="455" spans="1:29" x14ac:dyDescent="0.25">
      <c r="A455" s="42"/>
      <c r="B455" t="s">
        <v>6</v>
      </c>
      <c r="C455" s="34"/>
      <c r="D455" s="35">
        <v>43607</v>
      </c>
      <c r="E455" s="34"/>
      <c r="F455" s="34" t="s">
        <v>581</v>
      </c>
      <c r="G455" s="34" t="s">
        <v>582</v>
      </c>
      <c r="H455" s="36">
        <v>-52.95</v>
      </c>
      <c r="I455" s="36">
        <f>IF(Log_2019[[#This Row],[My Category]]="NONTRACKED",0,Log_2019[[#This Row],[Raw Amount]])</f>
        <v>-52.95</v>
      </c>
      <c r="J455" s="37">
        <f>ABS(Log_2019[[#This Row],[Amount]])</f>
        <v>52.95</v>
      </c>
      <c r="K455" s="38">
        <v>30</v>
      </c>
      <c r="L455" s="38">
        <f ca="1">IF(Log_2019[[#This Row],[Date]]&lt;=TODAY(), MIN(Log_2019[[#This Row],[Split_raw]], TODAY()-Log_2019[[#This Row],[Date]]+1), 0)</f>
        <v>30</v>
      </c>
      <c r="M455" s="34" t="s">
        <v>30</v>
      </c>
      <c r="N455" s="34" t="s">
        <v>160</v>
      </c>
      <c r="O455" s="7">
        <v>0</v>
      </c>
      <c r="P455" s="52">
        <f ca="1">Log_2019[[#This Row],[Amount]]/Log_2019[[#This Row],[Split_raw]]*MAX(0,MIN(_xlfn.DAYS(EDATE(P$1,1),Log_2019[[#This Row],[Date]]),Log_2019[[#This Row],[Split_apply]])) - SUM($O455:O455)</f>
        <v>0</v>
      </c>
      <c r="Q455" s="52">
        <f ca="1">Log_2019[[#This Row],[Amount]]/Log_2019[[#This Row],[Split_raw]]*MAX(0,MIN(_xlfn.DAYS(EDATE(Q$1,1),Log_2019[[#This Row],[Date]]),Log_2019[[#This Row],[Split_apply]])) - SUM($O455:P455)</f>
        <v>0</v>
      </c>
      <c r="R455" s="52">
        <f ca="1">Log_2019[[#This Row],[Amount]]/Log_2019[[#This Row],[Split_raw]]*MAX(0,MIN(_xlfn.DAYS(EDATE(R$1,1),Log_2019[[#This Row],[Date]]),Log_2019[[#This Row],[Split_apply]])) - SUM($O455:Q455)</f>
        <v>0</v>
      </c>
      <c r="S455" s="52">
        <f ca="1">Log_2019[[#This Row],[Amount]]/Log_2019[[#This Row],[Split_raw]]*MAX(0,MIN(_xlfn.DAYS(EDATE(S$1,1),Log_2019[[#This Row],[Date]]),Log_2019[[#This Row],[Split_apply]])) - SUM($O455:R455)</f>
        <v>0</v>
      </c>
      <c r="T455" s="52">
        <f ca="1">Log_2019[[#This Row],[Amount]]/Log_2019[[#This Row],[Split_raw]]*MAX(0,MIN(_xlfn.DAYS(EDATE(T$1,1),Log_2019[[#This Row],[Date]]),Log_2019[[#This Row],[Split_apply]])) - SUM($O455:S455)</f>
        <v>-17.650000000000002</v>
      </c>
      <c r="U455" s="52">
        <f ca="1">Log_2019[[#This Row],[Amount]]/Log_2019[[#This Row],[Split_raw]]*MAX(0,MIN(_xlfn.DAYS(EDATE(U$1,1),Log_2019[[#This Row],[Date]]),Log_2019[[#This Row],[Split_apply]])) - SUM($O455:T455)</f>
        <v>-35.299999999999997</v>
      </c>
      <c r="V455" s="52">
        <f ca="1">Log_2019[[#This Row],[Amount]]/Log_2019[[#This Row],[Split_raw]]*MAX(0,MIN(_xlfn.DAYS(EDATE(V$1,1),Log_2019[[#This Row],[Date]]),Log_2019[[#This Row],[Split_apply]])) - SUM($O455:U455)</f>
        <v>0</v>
      </c>
      <c r="W455" s="52">
        <f ca="1">Log_2019[[#This Row],[Amount]]/Log_2019[[#This Row],[Split_raw]]*MAX(0,MIN(_xlfn.DAYS(EDATE(W$1,1),Log_2019[[#This Row],[Date]]),Log_2019[[#This Row],[Split_apply]])) - SUM($O455:V455)</f>
        <v>0</v>
      </c>
      <c r="X455" s="52">
        <f ca="1">Log_2019[[#This Row],[Amount]]/Log_2019[[#This Row],[Split_raw]]*MAX(0,MIN(_xlfn.DAYS(EDATE(X$1,1),Log_2019[[#This Row],[Date]]),Log_2019[[#This Row],[Split_apply]])) - SUM($O455:W455)</f>
        <v>0</v>
      </c>
      <c r="Y455" s="52">
        <f ca="1">Log_2019[[#This Row],[Amount]]/Log_2019[[#This Row],[Split_raw]]*MAX(0,MIN(_xlfn.DAYS(EDATE(Y$1,1),Log_2019[[#This Row],[Date]]),Log_2019[[#This Row],[Split_apply]])) - SUM($O455:X455)</f>
        <v>0</v>
      </c>
      <c r="Z455" s="52">
        <f ca="1">Log_2019[[#This Row],[Amount]]/Log_2019[[#This Row],[Split_raw]]*MAX(0,MIN(_xlfn.DAYS(EDATE(Z$1,1),Log_2019[[#This Row],[Date]]),Log_2019[[#This Row],[Split_apply]])) - SUM($O455:Y455)</f>
        <v>0</v>
      </c>
      <c r="AA455" s="52">
        <f ca="1">Log_2019[[#This Row],[Amount]]/Log_2019[[#This Row],[Split_raw]]*MAX(0,MIN(_xlfn.DAYS(EDATE(AA$1,1),Log_2019[[#This Row],[Date]]),Log_2019[[#This Row],[Split_apply]])) - SUM($O455:Z455)</f>
        <v>0</v>
      </c>
      <c r="AB455" s="54">
        <f ca="1">Log_2019[[#This Row],[Amount]]-SUM(O455:AA455)</f>
        <v>0</v>
      </c>
      <c r="AC455" s="7">
        <f>MAX(0,Log_2019[[#This Row],[Split_raw]] - (EDATE(AA$1,1)-Log_2019[[#This Row],[Date]]))</f>
        <v>0</v>
      </c>
    </row>
    <row r="456" spans="1:29" x14ac:dyDescent="0.25">
      <c r="A456" s="42"/>
      <c r="B456" s="34" t="s">
        <v>6</v>
      </c>
      <c r="C456" s="34"/>
      <c r="D456" s="35">
        <v>43606</v>
      </c>
      <c r="E456" s="34"/>
      <c r="F456" s="34" t="s">
        <v>555</v>
      </c>
      <c r="G456" s="34" t="s">
        <v>25</v>
      </c>
      <c r="H456" s="36">
        <v>-6.75</v>
      </c>
      <c r="I456" s="36">
        <f>IF(Log_2019[[#This Row],[My Category]]="NONTRACKED",0,Log_2019[[#This Row],[Raw Amount]])</f>
        <v>-6.75</v>
      </c>
      <c r="J456" s="37">
        <f>ABS(Log_2019[[#This Row],[Amount]])</f>
        <v>6.75</v>
      </c>
      <c r="K456" s="38">
        <v>1</v>
      </c>
      <c r="L456" s="38">
        <f ca="1">IF(Log_2019[[#This Row],[Date]]&lt;=TODAY(), MIN(Log_2019[[#This Row],[Split_raw]], TODAY()-Log_2019[[#This Row],[Date]]+1), 0)</f>
        <v>1</v>
      </c>
      <c r="M456" s="34" t="s">
        <v>35</v>
      </c>
      <c r="N456" s="34" t="s">
        <v>158</v>
      </c>
      <c r="O456" s="7">
        <v>0</v>
      </c>
      <c r="P456" s="52">
        <f ca="1">Log_2019[[#This Row],[Amount]]/Log_2019[[#This Row],[Split_raw]]*MAX(0,MIN(_xlfn.DAYS(EDATE(P$1,1),Log_2019[[#This Row],[Date]]),Log_2019[[#This Row],[Split_apply]])) - SUM($O456:O456)</f>
        <v>0</v>
      </c>
      <c r="Q456" s="52">
        <f ca="1">Log_2019[[#This Row],[Amount]]/Log_2019[[#This Row],[Split_raw]]*MAX(0,MIN(_xlfn.DAYS(EDATE(Q$1,1),Log_2019[[#This Row],[Date]]),Log_2019[[#This Row],[Split_apply]])) - SUM($O456:P456)</f>
        <v>0</v>
      </c>
      <c r="R456" s="52">
        <f ca="1">Log_2019[[#This Row],[Amount]]/Log_2019[[#This Row],[Split_raw]]*MAX(0,MIN(_xlfn.DAYS(EDATE(R$1,1),Log_2019[[#This Row],[Date]]),Log_2019[[#This Row],[Split_apply]])) - SUM($O456:Q456)</f>
        <v>0</v>
      </c>
      <c r="S456" s="52">
        <f ca="1">Log_2019[[#This Row],[Amount]]/Log_2019[[#This Row],[Split_raw]]*MAX(0,MIN(_xlfn.DAYS(EDATE(S$1,1),Log_2019[[#This Row],[Date]]),Log_2019[[#This Row],[Split_apply]])) - SUM($O456:R456)</f>
        <v>0</v>
      </c>
      <c r="T456" s="52">
        <f ca="1">Log_2019[[#This Row],[Amount]]/Log_2019[[#This Row],[Split_raw]]*MAX(0,MIN(_xlfn.DAYS(EDATE(T$1,1),Log_2019[[#This Row],[Date]]),Log_2019[[#This Row],[Split_apply]])) - SUM($O456:S456)</f>
        <v>-6.75</v>
      </c>
      <c r="U456" s="52">
        <f ca="1">Log_2019[[#This Row],[Amount]]/Log_2019[[#This Row],[Split_raw]]*MAX(0,MIN(_xlfn.DAYS(EDATE(U$1,1),Log_2019[[#This Row],[Date]]),Log_2019[[#This Row],[Split_apply]])) - SUM($O456:T456)</f>
        <v>0</v>
      </c>
      <c r="V456" s="52">
        <f ca="1">Log_2019[[#This Row],[Amount]]/Log_2019[[#This Row],[Split_raw]]*MAX(0,MIN(_xlfn.DAYS(EDATE(V$1,1),Log_2019[[#This Row],[Date]]),Log_2019[[#This Row],[Split_apply]])) - SUM($O456:U456)</f>
        <v>0</v>
      </c>
      <c r="W456" s="52">
        <f ca="1">Log_2019[[#This Row],[Amount]]/Log_2019[[#This Row],[Split_raw]]*MAX(0,MIN(_xlfn.DAYS(EDATE(W$1,1),Log_2019[[#This Row],[Date]]),Log_2019[[#This Row],[Split_apply]])) - SUM($O456:V456)</f>
        <v>0</v>
      </c>
      <c r="X456" s="52">
        <f ca="1">Log_2019[[#This Row],[Amount]]/Log_2019[[#This Row],[Split_raw]]*MAX(0,MIN(_xlfn.DAYS(EDATE(X$1,1),Log_2019[[#This Row],[Date]]),Log_2019[[#This Row],[Split_apply]])) - SUM($O456:W456)</f>
        <v>0</v>
      </c>
      <c r="Y456" s="52">
        <f ca="1">Log_2019[[#This Row],[Amount]]/Log_2019[[#This Row],[Split_raw]]*MAX(0,MIN(_xlfn.DAYS(EDATE(Y$1,1),Log_2019[[#This Row],[Date]]),Log_2019[[#This Row],[Split_apply]])) - SUM($O456:X456)</f>
        <v>0</v>
      </c>
      <c r="Z456" s="52">
        <f ca="1">Log_2019[[#This Row],[Amount]]/Log_2019[[#This Row],[Split_raw]]*MAX(0,MIN(_xlfn.DAYS(EDATE(Z$1,1),Log_2019[[#This Row],[Date]]),Log_2019[[#This Row],[Split_apply]])) - SUM($O456:Y456)</f>
        <v>0</v>
      </c>
      <c r="AA456" s="52">
        <f ca="1">Log_2019[[#This Row],[Amount]]/Log_2019[[#This Row],[Split_raw]]*MAX(0,MIN(_xlfn.DAYS(EDATE(AA$1,1),Log_2019[[#This Row],[Date]]),Log_2019[[#This Row],[Split_apply]])) - SUM($O456:Z456)</f>
        <v>0</v>
      </c>
      <c r="AB456" s="54">
        <f ca="1">Log_2019[[#This Row],[Amount]]-SUM(O456:AA456)</f>
        <v>0</v>
      </c>
      <c r="AC456" s="7">
        <f>MAX(0,Log_2019[[#This Row],[Split_raw]] - (EDATE(AA$1,1)-Log_2019[[#This Row],[Date]]))</f>
        <v>0</v>
      </c>
    </row>
    <row r="457" spans="1:29" x14ac:dyDescent="0.25">
      <c r="A457" s="42"/>
      <c r="B457" s="34" t="s">
        <v>6</v>
      </c>
      <c r="C457" s="34"/>
      <c r="D457" s="35">
        <v>43606</v>
      </c>
      <c r="E457" s="34"/>
      <c r="F457" s="34" t="s">
        <v>255</v>
      </c>
      <c r="G457" s="34" t="s">
        <v>25</v>
      </c>
      <c r="H457" s="36">
        <v>-11.21</v>
      </c>
      <c r="I457" s="36">
        <f>IF(Log_2019[[#This Row],[My Category]]="NONTRACKED",0,Log_2019[[#This Row],[Raw Amount]])</f>
        <v>-11.21</v>
      </c>
      <c r="J457" s="37">
        <f>ABS(Log_2019[[#This Row],[Amount]])</f>
        <v>11.21</v>
      </c>
      <c r="K457" s="38">
        <v>1</v>
      </c>
      <c r="L457" s="38">
        <f ca="1">IF(Log_2019[[#This Row],[Date]]&lt;=TODAY(), MIN(Log_2019[[#This Row],[Split_raw]], TODAY()-Log_2019[[#This Row],[Date]]+1), 0)</f>
        <v>1</v>
      </c>
      <c r="M457" s="34" t="s">
        <v>35</v>
      </c>
      <c r="N457" s="34" t="s">
        <v>158</v>
      </c>
      <c r="O457" s="7">
        <v>0</v>
      </c>
      <c r="P457" s="52">
        <f ca="1">Log_2019[[#This Row],[Amount]]/Log_2019[[#This Row],[Split_raw]]*MAX(0,MIN(_xlfn.DAYS(EDATE(P$1,1),Log_2019[[#This Row],[Date]]),Log_2019[[#This Row],[Split_apply]])) - SUM($O457:O457)</f>
        <v>0</v>
      </c>
      <c r="Q457" s="52">
        <f ca="1">Log_2019[[#This Row],[Amount]]/Log_2019[[#This Row],[Split_raw]]*MAX(0,MIN(_xlfn.DAYS(EDATE(Q$1,1),Log_2019[[#This Row],[Date]]),Log_2019[[#This Row],[Split_apply]])) - SUM($O457:P457)</f>
        <v>0</v>
      </c>
      <c r="R457" s="52">
        <f ca="1">Log_2019[[#This Row],[Amount]]/Log_2019[[#This Row],[Split_raw]]*MAX(0,MIN(_xlfn.DAYS(EDATE(R$1,1),Log_2019[[#This Row],[Date]]),Log_2019[[#This Row],[Split_apply]])) - SUM($O457:Q457)</f>
        <v>0</v>
      </c>
      <c r="S457" s="52">
        <f ca="1">Log_2019[[#This Row],[Amount]]/Log_2019[[#This Row],[Split_raw]]*MAX(0,MIN(_xlfn.DAYS(EDATE(S$1,1),Log_2019[[#This Row],[Date]]),Log_2019[[#This Row],[Split_apply]])) - SUM($O457:R457)</f>
        <v>0</v>
      </c>
      <c r="T457" s="52">
        <f ca="1">Log_2019[[#This Row],[Amount]]/Log_2019[[#This Row],[Split_raw]]*MAX(0,MIN(_xlfn.DAYS(EDATE(T$1,1),Log_2019[[#This Row],[Date]]),Log_2019[[#This Row],[Split_apply]])) - SUM($O457:S457)</f>
        <v>-11.21</v>
      </c>
      <c r="U457" s="52">
        <f ca="1">Log_2019[[#This Row],[Amount]]/Log_2019[[#This Row],[Split_raw]]*MAX(0,MIN(_xlfn.DAYS(EDATE(U$1,1),Log_2019[[#This Row],[Date]]),Log_2019[[#This Row],[Split_apply]])) - SUM($O457:T457)</f>
        <v>0</v>
      </c>
      <c r="V457" s="52">
        <f ca="1">Log_2019[[#This Row],[Amount]]/Log_2019[[#This Row],[Split_raw]]*MAX(0,MIN(_xlfn.DAYS(EDATE(V$1,1),Log_2019[[#This Row],[Date]]),Log_2019[[#This Row],[Split_apply]])) - SUM($O457:U457)</f>
        <v>0</v>
      </c>
      <c r="W457" s="52">
        <f ca="1">Log_2019[[#This Row],[Amount]]/Log_2019[[#This Row],[Split_raw]]*MAX(0,MIN(_xlfn.DAYS(EDATE(W$1,1),Log_2019[[#This Row],[Date]]),Log_2019[[#This Row],[Split_apply]])) - SUM($O457:V457)</f>
        <v>0</v>
      </c>
      <c r="X457" s="52">
        <f ca="1">Log_2019[[#This Row],[Amount]]/Log_2019[[#This Row],[Split_raw]]*MAX(0,MIN(_xlfn.DAYS(EDATE(X$1,1),Log_2019[[#This Row],[Date]]),Log_2019[[#This Row],[Split_apply]])) - SUM($O457:W457)</f>
        <v>0</v>
      </c>
      <c r="Y457" s="52">
        <f ca="1">Log_2019[[#This Row],[Amount]]/Log_2019[[#This Row],[Split_raw]]*MAX(0,MIN(_xlfn.DAYS(EDATE(Y$1,1),Log_2019[[#This Row],[Date]]),Log_2019[[#This Row],[Split_apply]])) - SUM($O457:X457)</f>
        <v>0</v>
      </c>
      <c r="Z457" s="52">
        <f ca="1">Log_2019[[#This Row],[Amount]]/Log_2019[[#This Row],[Split_raw]]*MAX(0,MIN(_xlfn.DAYS(EDATE(Z$1,1),Log_2019[[#This Row],[Date]]),Log_2019[[#This Row],[Split_apply]])) - SUM($O457:Y457)</f>
        <v>0</v>
      </c>
      <c r="AA457" s="52">
        <f ca="1">Log_2019[[#This Row],[Amount]]/Log_2019[[#This Row],[Split_raw]]*MAX(0,MIN(_xlfn.DAYS(EDATE(AA$1,1),Log_2019[[#This Row],[Date]]),Log_2019[[#This Row],[Split_apply]])) - SUM($O457:Z457)</f>
        <v>0</v>
      </c>
      <c r="AB457" s="54">
        <f ca="1">Log_2019[[#This Row],[Amount]]-SUM(O457:AA457)</f>
        <v>0</v>
      </c>
      <c r="AC457" s="7">
        <f>MAX(0,Log_2019[[#This Row],[Split_raw]] - (EDATE(AA$1,1)-Log_2019[[#This Row],[Date]]))</f>
        <v>0</v>
      </c>
    </row>
    <row r="458" spans="1:29" x14ac:dyDescent="0.25">
      <c r="A458" s="42"/>
      <c r="B458" s="34" t="s">
        <v>6</v>
      </c>
      <c r="C458" s="34"/>
      <c r="D458" s="35">
        <v>43606</v>
      </c>
      <c r="E458" s="34"/>
      <c r="F458" s="34" t="s">
        <v>255</v>
      </c>
      <c r="G458" s="34" t="s">
        <v>25</v>
      </c>
      <c r="H458" s="36">
        <v>-22.22</v>
      </c>
      <c r="I458" s="36">
        <f>IF(Log_2019[[#This Row],[My Category]]="NONTRACKED",0,Log_2019[[#This Row],[Raw Amount]])</f>
        <v>-22.22</v>
      </c>
      <c r="J458" s="37">
        <f>ABS(Log_2019[[#This Row],[Amount]])</f>
        <v>22.22</v>
      </c>
      <c r="K458" s="38">
        <v>1</v>
      </c>
      <c r="L458" s="38">
        <f ca="1">IF(Log_2019[[#This Row],[Date]]&lt;=TODAY(), MIN(Log_2019[[#This Row],[Split_raw]], TODAY()-Log_2019[[#This Row],[Date]]+1), 0)</f>
        <v>1</v>
      </c>
      <c r="M458" s="34" t="s">
        <v>52</v>
      </c>
      <c r="N458" s="34" t="s">
        <v>158</v>
      </c>
      <c r="O458" s="7">
        <v>0</v>
      </c>
      <c r="P458" s="52">
        <f ca="1">Log_2019[[#This Row],[Amount]]/Log_2019[[#This Row],[Split_raw]]*MAX(0,MIN(_xlfn.DAYS(EDATE(P$1,1),Log_2019[[#This Row],[Date]]),Log_2019[[#This Row],[Split_apply]])) - SUM($O458:O458)</f>
        <v>0</v>
      </c>
      <c r="Q458" s="52">
        <f ca="1">Log_2019[[#This Row],[Amount]]/Log_2019[[#This Row],[Split_raw]]*MAX(0,MIN(_xlfn.DAYS(EDATE(Q$1,1),Log_2019[[#This Row],[Date]]),Log_2019[[#This Row],[Split_apply]])) - SUM($O458:P458)</f>
        <v>0</v>
      </c>
      <c r="R458" s="52">
        <f ca="1">Log_2019[[#This Row],[Amount]]/Log_2019[[#This Row],[Split_raw]]*MAX(0,MIN(_xlfn.DAYS(EDATE(R$1,1),Log_2019[[#This Row],[Date]]),Log_2019[[#This Row],[Split_apply]])) - SUM($O458:Q458)</f>
        <v>0</v>
      </c>
      <c r="S458" s="52">
        <f ca="1">Log_2019[[#This Row],[Amount]]/Log_2019[[#This Row],[Split_raw]]*MAX(0,MIN(_xlfn.DAYS(EDATE(S$1,1),Log_2019[[#This Row],[Date]]),Log_2019[[#This Row],[Split_apply]])) - SUM($O458:R458)</f>
        <v>0</v>
      </c>
      <c r="T458" s="52">
        <f ca="1">Log_2019[[#This Row],[Amount]]/Log_2019[[#This Row],[Split_raw]]*MAX(0,MIN(_xlfn.DAYS(EDATE(T$1,1),Log_2019[[#This Row],[Date]]),Log_2019[[#This Row],[Split_apply]])) - SUM($O458:S458)</f>
        <v>-22.22</v>
      </c>
      <c r="U458" s="52">
        <f ca="1">Log_2019[[#This Row],[Amount]]/Log_2019[[#This Row],[Split_raw]]*MAX(0,MIN(_xlfn.DAYS(EDATE(U$1,1),Log_2019[[#This Row],[Date]]),Log_2019[[#This Row],[Split_apply]])) - SUM($O458:T458)</f>
        <v>0</v>
      </c>
      <c r="V458" s="52">
        <f ca="1">Log_2019[[#This Row],[Amount]]/Log_2019[[#This Row],[Split_raw]]*MAX(0,MIN(_xlfn.DAYS(EDATE(V$1,1),Log_2019[[#This Row],[Date]]),Log_2019[[#This Row],[Split_apply]])) - SUM($O458:U458)</f>
        <v>0</v>
      </c>
      <c r="W458" s="52">
        <f ca="1">Log_2019[[#This Row],[Amount]]/Log_2019[[#This Row],[Split_raw]]*MAX(0,MIN(_xlfn.DAYS(EDATE(W$1,1),Log_2019[[#This Row],[Date]]),Log_2019[[#This Row],[Split_apply]])) - SUM($O458:V458)</f>
        <v>0</v>
      </c>
      <c r="X458" s="52">
        <f ca="1">Log_2019[[#This Row],[Amount]]/Log_2019[[#This Row],[Split_raw]]*MAX(0,MIN(_xlfn.DAYS(EDATE(X$1,1),Log_2019[[#This Row],[Date]]),Log_2019[[#This Row],[Split_apply]])) - SUM($O458:W458)</f>
        <v>0</v>
      </c>
      <c r="Y458" s="52">
        <f ca="1">Log_2019[[#This Row],[Amount]]/Log_2019[[#This Row],[Split_raw]]*MAX(0,MIN(_xlfn.DAYS(EDATE(Y$1,1),Log_2019[[#This Row],[Date]]),Log_2019[[#This Row],[Split_apply]])) - SUM($O458:X458)</f>
        <v>0</v>
      </c>
      <c r="Z458" s="52">
        <f ca="1">Log_2019[[#This Row],[Amount]]/Log_2019[[#This Row],[Split_raw]]*MAX(0,MIN(_xlfn.DAYS(EDATE(Z$1,1),Log_2019[[#This Row],[Date]]),Log_2019[[#This Row],[Split_apply]])) - SUM($O458:Y458)</f>
        <v>0</v>
      </c>
      <c r="AA458" s="52">
        <f ca="1">Log_2019[[#This Row],[Amount]]/Log_2019[[#This Row],[Split_raw]]*MAX(0,MIN(_xlfn.DAYS(EDATE(AA$1,1),Log_2019[[#This Row],[Date]]),Log_2019[[#This Row],[Split_apply]])) - SUM($O458:Z458)</f>
        <v>0</v>
      </c>
      <c r="AB458" s="54">
        <f ca="1">Log_2019[[#This Row],[Amount]]-SUM(O458:AA458)</f>
        <v>0</v>
      </c>
      <c r="AC458" s="7">
        <f>MAX(0,Log_2019[[#This Row],[Split_raw]] - (EDATE(AA$1,1)-Log_2019[[#This Row],[Date]]))</f>
        <v>0</v>
      </c>
    </row>
    <row r="459" spans="1:29" x14ac:dyDescent="0.25">
      <c r="A459" s="42"/>
      <c r="B459" s="34" t="s">
        <v>6</v>
      </c>
      <c r="C459" s="34"/>
      <c r="D459" s="35">
        <v>43605</v>
      </c>
      <c r="E459" s="34"/>
      <c r="F459" s="34" t="s">
        <v>599</v>
      </c>
      <c r="G459" s="34" t="s">
        <v>27</v>
      </c>
      <c r="H459" s="36">
        <v>-9.67</v>
      </c>
      <c r="I459" s="36">
        <f>IF(Log_2019[[#This Row],[My Category]]="NONTRACKED",0,Log_2019[[#This Row],[Raw Amount]])</f>
        <v>-9.67</v>
      </c>
      <c r="J459" s="37">
        <f>ABS(Log_2019[[#This Row],[Amount]])</f>
        <v>9.67</v>
      </c>
      <c r="K459" s="38">
        <v>1</v>
      </c>
      <c r="L459" s="38">
        <f ca="1">IF(Log_2019[[#This Row],[Date]]&lt;=TODAY(), MIN(Log_2019[[#This Row],[Split_raw]], TODAY()-Log_2019[[#This Row],[Date]]+1), 0)</f>
        <v>1</v>
      </c>
      <c r="M459" s="34" t="s">
        <v>35</v>
      </c>
      <c r="N459" s="34" t="s">
        <v>158</v>
      </c>
      <c r="O459" s="7">
        <v>0</v>
      </c>
      <c r="P459" s="52">
        <f ca="1">Log_2019[[#This Row],[Amount]]/Log_2019[[#This Row],[Split_raw]]*MAX(0,MIN(_xlfn.DAYS(EDATE(P$1,1),Log_2019[[#This Row],[Date]]),Log_2019[[#This Row],[Split_apply]])) - SUM($O459:O459)</f>
        <v>0</v>
      </c>
      <c r="Q459" s="52">
        <f ca="1">Log_2019[[#This Row],[Amount]]/Log_2019[[#This Row],[Split_raw]]*MAX(0,MIN(_xlfn.DAYS(EDATE(Q$1,1),Log_2019[[#This Row],[Date]]),Log_2019[[#This Row],[Split_apply]])) - SUM($O459:P459)</f>
        <v>0</v>
      </c>
      <c r="R459" s="52">
        <f ca="1">Log_2019[[#This Row],[Amount]]/Log_2019[[#This Row],[Split_raw]]*MAX(0,MIN(_xlfn.DAYS(EDATE(R$1,1),Log_2019[[#This Row],[Date]]),Log_2019[[#This Row],[Split_apply]])) - SUM($O459:Q459)</f>
        <v>0</v>
      </c>
      <c r="S459" s="52">
        <f ca="1">Log_2019[[#This Row],[Amount]]/Log_2019[[#This Row],[Split_raw]]*MAX(0,MIN(_xlfn.DAYS(EDATE(S$1,1),Log_2019[[#This Row],[Date]]),Log_2019[[#This Row],[Split_apply]])) - SUM($O459:R459)</f>
        <v>0</v>
      </c>
      <c r="T459" s="52">
        <f ca="1">Log_2019[[#This Row],[Amount]]/Log_2019[[#This Row],[Split_raw]]*MAX(0,MIN(_xlfn.DAYS(EDATE(T$1,1),Log_2019[[#This Row],[Date]]),Log_2019[[#This Row],[Split_apply]])) - SUM($O459:S459)</f>
        <v>-9.67</v>
      </c>
      <c r="U459" s="52">
        <f ca="1">Log_2019[[#This Row],[Amount]]/Log_2019[[#This Row],[Split_raw]]*MAX(0,MIN(_xlfn.DAYS(EDATE(U$1,1),Log_2019[[#This Row],[Date]]),Log_2019[[#This Row],[Split_apply]])) - SUM($O459:T459)</f>
        <v>0</v>
      </c>
      <c r="V459" s="52">
        <f ca="1">Log_2019[[#This Row],[Amount]]/Log_2019[[#This Row],[Split_raw]]*MAX(0,MIN(_xlfn.DAYS(EDATE(V$1,1),Log_2019[[#This Row],[Date]]),Log_2019[[#This Row],[Split_apply]])) - SUM($O459:U459)</f>
        <v>0</v>
      </c>
      <c r="W459" s="52">
        <f ca="1">Log_2019[[#This Row],[Amount]]/Log_2019[[#This Row],[Split_raw]]*MAX(0,MIN(_xlfn.DAYS(EDATE(W$1,1),Log_2019[[#This Row],[Date]]),Log_2019[[#This Row],[Split_apply]])) - SUM($O459:V459)</f>
        <v>0</v>
      </c>
      <c r="X459" s="52">
        <f ca="1">Log_2019[[#This Row],[Amount]]/Log_2019[[#This Row],[Split_raw]]*MAX(0,MIN(_xlfn.DAYS(EDATE(X$1,1),Log_2019[[#This Row],[Date]]),Log_2019[[#This Row],[Split_apply]])) - SUM($O459:W459)</f>
        <v>0</v>
      </c>
      <c r="Y459" s="52">
        <f ca="1">Log_2019[[#This Row],[Amount]]/Log_2019[[#This Row],[Split_raw]]*MAX(0,MIN(_xlfn.DAYS(EDATE(Y$1,1),Log_2019[[#This Row],[Date]]),Log_2019[[#This Row],[Split_apply]])) - SUM($O459:X459)</f>
        <v>0</v>
      </c>
      <c r="Z459" s="52">
        <f ca="1">Log_2019[[#This Row],[Amount]]/Log_2019[[#This Row],[Split_raw]]*MAX(0,MIN(_xlfn.DAYS(EDATE(Z$1,1),Log_2019[[#This Row],[Date]]),Log_2019[[#This Row],[Split_apply]])) - SUM($O459:Y459)</f>
        <v>0</v>
      </c>
      <c r="AA459" s="52">
        <f ca="1">Log_2019[[#This Row],[Amount]]/Log_2019[[#This Row],[Split_raw]]*MAX(0,MIN(_xlfn.DAYS(EDATE(AA$1,1),Log_2019[[#This Row],[Date]]),Log_2019[[#This Row],[Split_apply]])) - SUM($O459:Z459)</f>
        <v>0</v>
      </c>
      <c r="AB459" s="54">
        <f ca="1">Log_2019[[#This Row],[Amount]]-SUM(O459:AA459)</f>
        <v>0</v>
      </c>
      <c r="AC459" s="7">
        <f>MAX(0,Log_2019[[#This Row],[Split_raw]] - (EDATE(AA$1,1)-Log_2019[[#This Row],[Date]]))</f>
        <v>0</v>
      </c>
    </row>
    <row r="460" spans="1:29" x14ac:dyDescent="0.25">
      <c r="A460" s="42"/>
      <c r="B460" s="34" t="s">
        <v>6</v>
      </c>
      <c r="C460" s="34"/>
      <c r="D460" s="35">
        <v>43605</v>
      </c>
      <c r="E460" s="34"/>
      <c r="F460" s="34" t="s">
        <v>59</v>
      </c>
      <c r="G460" s="34" t="s">
        <v>25</v>
      </c>
      <c r="H460" s="36">
        <v>-7.94</v>
      </c>
      <c r="I460" s="36">
        <f>IF(Log_2019[[#This Row],[My Category]]="NONTRACKED",0,Log_2019[[#This Row],[Raw Amount]])</f>
        <v>-7.94</v>
      </c>
      <c r="J460" s="37">
        <f>ABS(Log_2019[[#This Row],[Amount]])</f>
        <v>7.94</v>
      </c>
      <c r="K460" s="38">
        <v>1</v>
      </c>
      <c r="L460" s="38">
        <f ca="1">IF(Log_2019[[#This Row],[Date]]&lt;=TODAY(), MIN(Log_2019[[#This Row],[Split_raw]], TODAY()-Log_2019[[#This Row],[Date]]+1), 0)</f>
        <v>1</v>
      </c>
      <c r="M460" s="34" t="s">
        <v>35</v>
      </c>
      <c r="N460" s="34" t="s">
        <v>158</v>
      </c>
      <c r="O460" s="7">
        <v>0</v>
      </c>
      <c r="P460" s="52">
        <f ca="1">Log_2019[[#This Row],[Amount]]/Log_2019[[#This Row],[Split_raw]]*MAX(0,MIN(_xlfn.DAYS(EDATE(P$1,1),Log_2019[[#This Row],[Date]]),Log_2019[[#This Row],[Split_apply]])) - SUM($O460:O460)</f>
        <v>0</v>
      </c>
      <c r="Q460" s="52">
        <f ca="1">Log_2019[[#This Row],[Amount]]/Log_2019[[#This Row],[Split_raw]]*MAX(0,MIN(_xlfn.DAYS(EDATE(Q$1,1),Log_2019[[#This Row],[Date]]),Log_2019[[#This Row],[Split_apply]])) - SUM($O460:P460)</f>
        <v>0</v>
      </c>
      <c r="R460" s="52">
        <f ca="1">Log_2019[[#This Row],[Amount]]/Log_2019[[#This Row],[Split_raw]]*MAX(0,MIN(_xlfn.DAYS(EDATE(R$1,1),Log_2019[[#This Row],[Date]]),Log_2019[[#This Row],[Split_apply]])) - SUM($O460:Q460)</f>
        <v>0</v>
      </c>
      <c r="S460" s="52">
        <f ca="1">Log_2019[[#This Row],[Amount]]/Log_2019[[#This Row],[Split_raw]]*MAX(0,MIN(_xlfn.DAYS(EDATE(S$1,1),Log_2019[[#This Row],[Date]]),Log_2019[[#This Row],[Split_apply]])) - SUM($O460:R460)</f>
        <v>0</v>
      </c>
      <c r="T460" s="52">
        <f ca="1">Log_2019[[#This Row],[Amount]]/Log_2019[[#This Row],[Split_raw]]*MAX(0,MIN(_xlfn.DAYS(EDATE(T$1,1),Log_2019[[#This Row],[Date]]),Log_2019[[#This Row],[Split_apply]])) - SUM($O460:S460)</f>
        <v>-7.94</v>
      </c>
      <c r="U460" s="52">
        <f ca="1">Log_2019[[#This Row],[Amount]]/Log_2019[[#This Row],[Split_raw]]*MAX(0,MIN(_xlfn.DAYS(EDATE(U$1,1),Log_2019[[#This Row],[Date]]),Log_2019[[#This Row],[Split_apply]])) - SUM($O460:T460)</f>
        <v>0</v>
      </c>
      <c r="V460" s="52">
        <f ca="1">Log_2019[[#This Row],[Amount]]/Log_2019[[#This Row],[Split_raw]]*MAX(0,MIN(_xlfn.DAYS(EDATE(V$1,1),Log_2019[[#This Row],[Date]]),Log_2019[[#This Row],[Split_apply]])) - SUM($O460:U460)</f>
        <v>0</v>
      </c>
      <c r="W460" s="52">
        <f ca="1">Log_2019[[#This Row],[Amount]]/Log_2019[[#This Row],[Split_raw]]*MAX(0,MIN(_xlfn.DAYS(EDATE(W$1,1),Log_2019[[#This Row],[Date]]),Log_2019[[#This Row],[Split_apply]])) - SUM($O460:V460)</f>
        <v>0</v>
      </c>
      <c r="X460" s="52">
        <f ca="1">Log_2019[[#This Row],[Amount]]/Log_2019[[#This Row],[Split_raw]]*MAX(0,MIN(_xlfn.DAYS(EDATE(X$1,1),Log_2019[[#This Row],[Date]]),Log_2019[[#This Row],[Split_apply]])) - SUM($O460:W460)</f>
        <v>0</v>
      </c>
      <c r="Y460" s="52">
        <f ca="1">Log_2019[[#This Row],[Amount]]/Log_2019[[#This Row],[Split_raw]]*MAX(0,MIN(_xlfn.DAYS(EDATE(Y$1,1),Log_2019[[#This Row],[Date]]),Log_2019[[#This Row],[Split_apply]])) - SUM($O460:X460)</f>
        <v>0</v>
      </c>
      <c r="Z460" s="52">
        <f ca="1">Log_2019[[#This Row],[Amount]]/Log_2019[[#This Row],[Split_raw]]*MAX(0,MIN(_xlfn.DAYS(EDATE(Z$1,1),Log_2019[[#This Row],[Date]]),Log_2019[[#This Row],[Split_apply]])) - SUM($O460:Y460)</f>
        <v>0</v>
      </c>
      <c r="AA460" s="52">
        <f ca="1">Log_2019[[#This Row],[Amount]]/Log_2019[[#This Row],[Split_raw]]*MAX(0,MIN(_xlfn.DAYS(EDATE(AA$1,1),Log_2019[[#This Row],[Date]]),Log_2019[[#This Row],[Split_apply]])) - SUM($O460:Z460)</f>
        <v>0</v>
      </c>
      <c r="AB460" s="54">
        <f ca="1">Log_2019[[#This Row],[Amount]]-SUM(O460:AA460)</f>
        <v>0</v>
      </c>
      <c r="AC460" s="7">
        <f>MAX(0,Log_2019[[#This Row],[Split_raw]] - (EDATE(AA$1,1)-Log_2019[[#This Row],[Date]]))</f>
        <v>0</v>
      </c>
    </row>
    <row r="461" spans="1:29" x14ac:dyDescent="0.25">
      <c r="A461" s="42"/>
      <c r="B461" s="34" t="s">
        <v>6</v>
      </c>
      <c r="C461" s="34"/>
      <c r="D461" s="35">
        <v>43604</v>
      </c>
      <c r="E461" s="34" t="s">
        <v>610</v>
      </c>
      <c r="F461" s="34" t="s">
        <v>287</v>
      </c>
      <c r="G461" s="34" t="s">
        <v>9</v>
      </c>
      <c r="H461" s="36">
        <v>-10.19</v>
      </c>
      <c r="I461" s="36">
        <f>IF(Log_2019[[#This Row],[My Category]]="NONTRACKED",0,Log_2019[[#This Row],[Raw Amount]])</f>
        <v>-10.19</v>
      </c>
      <c r="J461" s="37">
        <f>ABS(Log_2019[[#This Row],[Amount]])</f>
        <v>10.19</v>
      </c>
      <c r="K461" s="38">
        <v>1</v>
      </c>
      <c r="L461" s="38">
        <f ca="1">IF(Log_2019[[#This Row],[Date]]&lt;=TODAY(), MIN(Log_2019[[#This Row],[Split_raw]], TODAY()-Log_2019[[#This Row],[Date]]+1), 0)</f>
        <v>1</v>
      </c>
      <c r="M461" s="34" t="s">
        <v>39</v>
      </c>
      <c r="N461" s="34" t="s">
        <v>158</v>
      </c>
      <c r="O461" s="7">
        <v>0</v>
      </c>
      <c r="P461" s="52">
        <f ca="1">Log_2019[[#This Row],[Amount]]/Log_2019[[#This Row],[Split_raw]]*MAX(0,MIN(_xlfn.DAYS(EDATE(P$1,1),Log_2019[[#This Row],[Date]]),Log_2019[[#This Row],[Split_apply]])) - SUM($O461:O461)</f>
        <v>0</v>
      </c>
      <c r="Q461" s="52">
        <f ca="1">Log_2019[[#This Row],[Amount]]/Log_2019[[#This Row],[Split_raw]]*MAX(0,MIN(_xlfn.DAYS(EDATE(Q$1,1),Log_2019[[#This Row],[Date]]),Log_2019[[#This Row],[Split_apply]])) - SUM($O461:P461)</f>
        <v>0</v>
      </c>
      <c r="R461" s="52">
        <f ca="1">Log_2019[[#This Row],[Amount]]/Log_2019[[#This Row],[Split_raw]]*MAX(0,MIN(_xlfn.DAYS(EDATE(R$1,1),Log_2019[[#This Row],[Date]]),Log_2019[[#This Row],[Split_apply]])) - SUM($O461:Q461)</f>
        <v>0</v>
      </c>
      <c r="S461" s="52">
        <f ca="1">Log_2019[[#This Row],[Amount]]/Log_2019[[#This Row],[Split_raw]]*MAX(0,MIN(_xlfn.DAYS(EDATE(S$1,1),Log_2019[[#This Row],[Date]]),Log_2019[[#This Row],[Split_apply]])) - SUM($O461:R461)</f>
        <v>0</v>
      </c>
      <c r="T461" s="52">
        <f ca="1">Log_2019[[#This Row],[Amount]]/Log_2019[[#This Row],[Split_raw]]*MAX(0,MIN(_xlfn.DAYS(EDATE(T$1,1),Log_2019[[#This Row],[Date]]),Log_2019[[#This Row],[Split_apply]])) - SUM($O461:S461)</f>
        <v>-10.19</v>
      </c>
      <c r="U461" s="52">
        <f ca="1">Log_2019[[#This Row],[Amount]]/Log_2019[[#This Row],[Split_raw]]*MAX(0,MIN(_xlfn.DAYS(EDATE(U$1,1),Log_2019[[#This Row],[Date]]),Log_2019[[#This Row],[Split_apply]])) - SUM($O461:T461)</f>
        <v>0</v>
      </c>
      <c r="V461" s="52">
        <f ca="1">Log_2019[[#This Row],[Amount]]/Log_2019[[#This Row],[Split_raw]]*MAX(0,MIN(_xlfn.DAYS(EDATE(V$1,1),Log_2019[[#This Row],[Date]]),Log_2019[[#This Row],[Split_apply]])) - SUM($O461:U461)</f>
        <v>0</v>
      </c>
      <c r="W461" s="52">
        <f ca="1">Log_2019[[#This Row],[Amount]]/Log_2019[[#This Row],[Split_raw]]*MAX(0,MIN(_xlfn.DAYS(EDATE(W$1,1),Log_2019[[#This Row],[Date]]),Log_2019[[#This Row],[Split_apply]])) - SUM($O461:V461)</f>
        <v>0</v>
      </c>
      <c r="X461" s="52">
        <f ca="1">Log_2019[[#This Row],[Amount]]/Log_2019[[#This Row],[Split_raw]]*MAX(0,MIN(_xlfn.DAYS(EDATE(X$1,1),Log_2019[[#This Row],[Date]]),Log_2019[[#This Row],[Split_apply]])) - SUM($O461:W461)</f>
        <v>0</v>
      </c>
      <c r="Y461" s="52">
        <f ca="1">Log_2019[[#This Row],[Amount]]/Log_2019[[#This Row],[Split_raw]]*MAX(0,MIN(_xlfn.DAYS(EDATE(Y$1,1),Log_2019[[#This Row],[Date]]),Log_2019[[#This Row],[Split_apply]])) - SUM($O461:X461)</f>
        <v>0</v>
      </c>
      <c r="Z461" s="52">
        <f ca="1">Log_2019[[#This Row],[Amount]]/Log_2019[[#This Row],[Split_raw]]*MAX(0,MIN(_xlfn.DAYS(EDATE(Z$1,1),Log_2019[[#This Row],[Date]]),Log_2019[[#This Row],[Split_apply]])) - SUM($O461:Y461)</f>
        <v>0</v>
      </c>
      <c r="AA461" s="52">
        <f ca="1">Log_2019[[#This Row],[Amount]]/Log_2019[[#This Row],[Split_raw]]*MAX(0,MIN(_xlfn.DAYS(EDATE(AA$1,1),Log_2019[[#This Row],[Date]]),Log_2019[[#This Row],[Split_apply]])) - SUM($O461:Z461)</f>
        <v>0</v>
      </c>
      <c r="AB461" s="54">
        <f ca="1">Log_2019[[#This Row],[Amount]]-SUM(O461:AA461)</f>
        <v>0</v>
      </c>
      <c r="AC461" s="7">
        <f>MAX(0,Log_2019[[#This Row],[Split_raw]] - (EDATE(AA$1,1)-Log_2019[[#This Row],[Date]]))</f>
        <v>0</v>
      </c>
    </row>
    <row r="462" spans="1:29" x14ac:dyDescent="0.25">
      <c r="A462" s="42"/>
      <c r="B462" s="34" t="s">
        <v>6</v>
      </c>
      <c r="C462" s="34"/>
      <c r="D462" s="35">
        <v>43603</v>
      </c>
      <c r="E462" s="34"/>
      <c r="F462" s="34" t="s">
        <v>529</v>
      </c>
      <c r="G462" s="34" t="s">
        <v>25</v>
      </c>
      <c r="H462" s="36">
        <v>-15.1</v>
      </c>
      <c r="I462" s="36">
        <f>IF(Log_2019[[#This Row],[My Category]]="NONTRACKED",0,Log_2019[[#This Row],[Raw Amount]])</f>
        <v>-15.1</v>
      </c>
      <c r="J462" s="37">
        <f>ABS(Log_2019[[#This Row],[Amount]])</f>
        <v>15.1</v>
      </c>
      <c r="K462" s="38">
        <v>1</v>
      </c>
      <c r="L462" s="38">
        <f ca="1">IF(Log_2019[[#This Row],[Date]]&lt;=TODAY(), MIN(Log_2019[[#This Row],[Split_raw]], TODAY()-Log_2019[[#This Row],[Date]]+1), 0)</f>
        <v>1</v>
      </c>
      <c r="M462" s="34" t="s">
        <v>40</v>
      </c>
      <c r="N462" s="34" t="s">
        <v>158</v>
      </c>
      <c r="O462" s="7">
        <v>0</v>
      </c>
      <c r="P462" s="52">
        <f ca="1">Log_2019[[#This Row],[Amount]]/Log_2019[[#This Row],[Split_raw]]*MAX(0,MIN(_xlfn.DAYS(EDATE(P$1,1),Log_2019[[#This Row],[Date]]),Log_2019[[#This Row],[Split_apply]])) - SUM($O462:O462)</f>
        <v>0</v>
      </c>
      <c r="Q462" s="52">
        <f ca="1">Log_2019[[#This Row],[Amount]]/Log_2019[[#This Row],[Split_raw]]*MAX(0,MIN(_xlfn.DAYS(EDATE(Q$1,1),Log_2019[[#This Row],[Date]]),Log_2019[[#This Row],[Split_apply]])) - SUM($O462:P462)</f>
        <v>0</v>
      </c>
      <c r="R462" s="52">
        <f ca="1">Log_2019[[#This Row],[Amount]]/Log_2019[[#This Row],[Split_raw]]*MAX(0,MIN(_xlfn.DAYS(EDATE(R$1,1),Log_2019[[#This Row],[Date]]),Log_2019[[#This Row],[Split_apply]])) - SUM($O462:Q462)</f>
        <v>0</v>
      </c>
      <c r="S462" s="52">
        <f ca="1">Log_2019[[#This Row],[Amount]]/Log_2019[[#This Row],[Split_raw]]*MAX(0,MIN(_xlfn.DAYS(EDATE(S$1,1),Log_2019[[#This Row],[Date]]),Log_2019[[#This Row],[Split_apply]])) - SUM($O462:R462)</f>
        <v>0</v>
      </c>
      <c r="T462" s="52">
        <f ca="1">Log_2019[[#This Row],[Amount]]/Log_2019[[#This Row],[Split_raw]]*MAX(0,MIN(_xlfn.DAYS(EDATE(T$1,1),Log_2019[[#This Row],[Date]]),Log_2019[[#This Row],[Split_apply]])) - SUM($O462:S462)</f>
        <v>-15.1</v>
      </c>
      <c r="U462" s="52">
        <f ca="1">Log_2019[[#This Row],[Amount]]/Log_2019[[#This Row],[Split_raw]]*MAX(0,MIN(_xlfn.DAYS(EDATE(U$1,1),Log_2019[[#This Row],[Date]]),Log_2019[[#This Row],[Split_apply]])) - SUM($O462:T462)</f>
        <v>0</v>
      </c>
      <c r="V462" s="52">
        <f ca="1">Log_2019[[#This Row],[Amount]]/Log_2019[[#This Row],[Split_raw]]*MAX(0,MIN(_xlfn.DAYS(EDATE(V$1,1),Log_2019[[#This Row],[Date]]),Log_2019[[#This Row],[Split_apply]])) - SUM($O462:U462)</f>
        <v>0</v>
      </c>
      <c r="W462" s="52">
        <f ca="1">Log_2019[[#This Row],[Amount]]/Log_2019[[#This Row],[Split_raw]]*MAX(0,MIN(_xlfn.DAYS(EDATE(W$1,1),Log_2019[[#This Row],[Date]]),Log_2019[[#This Row],[Split_apply]])) - SUM($O462:V462)</f>
        <v>0</v>
      </c>
      <c r="X462" s="52">
        <f ca="1">Log_2019[[#This Row],[Amount]]/Log_2019[[#This Row],[Split_raw]]*MAX(0,MIN(_xlfn.DAYS(EDATE(X$1,1),Log_2019[[#This Row],[Date]]),Log_2019[[#This Row],[Split_apply]])) - SUM($O462:W462)</f>
        <v>0</v>
      </c>
      <c r="Y462" s="52">
        <f ca="1">Log_2019[[#This Row],[Amount]]/Log_2019[[#This Row],[Split_raw]]*MAX(0,MIN(_xlfn.DAYS(EDATE(Y$1,1),Log_2019[[#This Row],[Date]]),Log_2019[[#This Row],[Split_apply]])) - SUM($O462:X462)</f>
        <v>0</v>
      </c>
      <c r="Z462" s="52">
        <f ca="1">Log_2019[[#This Row],[Amount]]/Log_2019[[#This Row],[Split_raw]]*MAX(0,MIN(_xlfn.DAYS(EDATE(Z$1,1),Log_2019[[#This Row],[Date]]),Log_2019[[#This Row],[Split_apply]])) - SUM($O462:Y462)</f>
        <v>0</v>
      </c>
      <c r="AA462" s="52">
        <f ca="1">Log_2019[[#This Row],[Amount]]/Log_2019[[#This Row],[Split_raw]]*MAX(0,MIN(_xlfn.DAYS(EDATE(AA$1,1),Log_2019[[#This Row],[Date]]),Log_2019[[#This Row],[Split_apply]])) - SUM($O462:Z462)</f>
        <v>0</v>
      </c>
      <c r="AB462" s="54">
        <f ca="1">Log_2019[[#This Row],[Amount]]-SUM(O462:AA462)</f>
        <v>0</v>
      </c>
      <c r="AC462" s="7">
        <f>MAX(0,Log_2019[[#This Row],[Split_raw]] - (EDATE(AA$1,1)-Log_2019[[#This Row],[Date]]))</f>
        <v>0</v>
      </c>
    </row>
    <row r="463" spans="1:29" x14ac:dyDescent="0.25">
      <c r="A463" s="42"/>
      <c r="B463" s="34" t="s">
        <v>6</v>
      </c>
      <c r="C463" s="34"/>
      <c r="D463" s="35">
        <v>43602</v>
      </c>
      <c r="E463" s="34"/>
      <c r="F463" s="34" t="s">
        <v>608</v>
      </c>
      <c r="G463" s="34" t="s">
        <v>29</v>
      </c>
      <c r="H463" s="36">
        <v>-31.94</v>
      </c>
      <c r="I463" s="36">
        <f>IF(Log_2019[[#This Row],[My Category]]="NONTRACKED",0,Log_2019[[#This Row],[Raw Amount]])</f>
        <v>-31.94</v>
      </c>
      <c r="J463" s="37">
        <f>ABS(Log_2019[[#This Row],[Amount]])</f>
        <v>31.94</v>
      </c>
      <c r="K463" s="38">
        <v>30</v>
      </c>
      <c r="L463" s="38">
        <f ca="1">IF(Log_2019[[#This Row],[Date]]&lt;=TODAY(), MIN(Log_2019[[#This Row],[Split_raw]], TODAY()-Log_2019[[#This Row],[Date]]+1), 0)</f>
        <v>30</v>
      </c>
      <c r="M463" s="34" t="s">
        <v>29</v>
      </c>
      <c r="N463" s="34" t="s">
        <v>160</v>
      </c>
      <c r="O463" s="7">
        <v>0</v>
      </c>
      <c r="P463" s="52">
        <f ca="1">Log_2019[[#This Row],[Amount]]/Log_2019[[#This Row],[Split_raw]]*MAX(0,MIN(_xlfn.DAYS(EDATE(P$1,1),Log_2019[[#This Row],[Date]]),Log_2019[[#This Row],[Split_apply]])) - SUM($O463:O463)</f>
        <v>0</v>
      </c>
      <c r="Q463" s="52">
        <f ca="1">Log_2019[[#This Row],[Amount]]/Log_2019[[#This Row],[Split_raw]]*MAX(0,MIN(_xlfn.DAYS(EDATE(Q$1,1),Log_2019[[#This Row],[Date]]),Log_2019[[#This Row],[Split_apply]])) - SUM($O463:P463)</f>
        <v>0</v>
      </c>
      <c r="R463" s="52">
        <f ca="1">Log_2019[[#This Row],[Amount]]/Log_2019[[#This Row],[Split_raw]]*MAX(0,MIN(_xlfn.DAYS(EDATE(R$1,1),Log_2019[[#This Row],[Date]]),Log_2019[[#This Row],[Split_apply]])) - SUM($O463:Q463)</f>
        <v>0</v>
      </c>
      <c r="S463" s="52">
        <f ca="1">Log_2019[[#This Row],[Amount]]/Log_2019[[#This Row],[Split_raw]]*MAX(0,MIN(_xlfn.DAYS(EDATE(S$1,1),Log_2019[[#This Row],[Date]]),Log_2019[[#This Row],[Split_apply]])) - SUM($O463:R463)</f>
        <v>0</v>
      </c>
      <c r="T463" s="52">
        <f ca="1">Log_2019[[#This Row],[Amount]]/Log_2019[[#This Row],[Split_raw]]*MAX(0,MIN(_xlfn.DAYS(EDATE(T$1,1),Log_2019[[#This Row],[Date]]),Log_2019[[#This Row],[Split_apply]])) - SUM($O463:S463)</f>
        <v>-15.969999999999999</v>
      </c>
      <c r="U463" s="52">
        <f ca="1">Log_2019[[#This Row],[Amount]]/Log_2019[[#This Row],[Split_raw]]*MAX(0,MIN(_xlfn.DAYS(EDATE(U$1,1),Log_2019[[#This Row],[Date]]),Log_2019[[#This Row],[Split_apply]])) - SUM($O463:T463)</f>
        <v>-15.969999999999999</v>
      </c>
      <c r="V463" s="52">
        <f ca="1">Log_2019[[#This Row],[Amount]]/Log_2019[[#This Row],[Split_raw]]*MAX(0,MIN(_xlfn.DAYS(EDATE(V$1,1),Log_2019[[#This Row],[Date]]),Log_2019[[#This Row],[Split_apply]])) - SUM($O463:U463)</f>
        <v>0</v>
      </c>
      <c r="W463" s="52">
        <f ca="1">Log_2019[[#This Row],[Amount]]/Log_2019[[#This Row],[Split_raw]]*MAX(0,MIN(_xlfn.DAYS(EDATE(W$1,1),Log_2019[[#This Row],[Date]]),Log_2019[[#This Row],[Split_apply]])) - SUM($O463:V463)</f>
        <v>0</v>
      </c>
      <c r="X463" s="52">
        <f ca="1">Log_2019[[#This Row],[Amount]]/Log_2019[[#This Row],[Split_raw]]*MAX(0,MIN(_xlfn.DAYS(EDATE(X$1,1),Log_2019[[#This Row],[Date]]),Log_2019[[#This Row],[Split_apply]])) - SUM($O463:W463)</f>
        <v>0</v>
      </c>
      <c r="Y463" s="52">
        <f ca="1">Log_2019[[#This Row],[Amount]]/Log_2019[[#This Row],[Split_raw]]*MAX(0,MIN(_xlfn.DAYS(EDATE(Y$1,1),Log_2019[[#This Row],[Date]]),Log_2019[[#This Row],[Split_apply]])) - SUM($O463:X463)</f>
        <v>0</v>
      </c>
      <c r="Z463" s="52">
        <f ca="1">Log_2019[[#This Row],[Amount]]/Log_2019[[#This Row],[Split_raw]]*MAX(0,MIN(_xlfn.DAYS(EDATE(Z$1,1),Log_2019[[#This Row],[Date]]),Log_2019[[#This Row],[Split_apply]])) - SUM($O463:Y463)</f>
        <v>0</v>
      </c>
      <c r="AA463" s="52">
        <f ca="1">Log_2019[[#This Row],[Amount]]/Log_2019[[#This Row],[Split_raw]]*MAX(0,MIN(_xlfn.DAYS(EDATE(AA$1,1),Log_2019[[#This Row],[Date]]),Log_2019[[#This Row],[Split_apply]])) - SUM($O463:Z463)</f>
        <v>0</v>
      </c>
      <c r="AB463" s="54">
        <f ca="1">Log_2019[[#This Row],[Amount]]-SUM(O463:AA463)</f>
        <v>0</v>
      </c>
      <c r="AC463" s="7">
        <f>MAX(0,Log_2019[[#This Row],[Split_raw]] - (EDATE(AA$1,1)-Log_2019[[#This Row],[Date]]))</f>
        <v>0</v>
      </c>
    </row>
    <row r="464" spans="1:29" x14ac:dyDescent="0.25">
      <c r="A464" s="42"/>
      <c r="B464" s="34" t="s">
        <v>6</v>
      </c>
      <c r="C464" s="34"/>
      <c r="D464" s="35">
        <v>43601</v>
      </c>
      <c r="E464" s="34"/>
      <c r="F464" s="34" t="s">
        <v>611</v>
      </c>
      <c r="G464" s="34" t="s">
        <v>25</v>
      </c>
      <c r="H464" s="36">
        <v>-10.5</v>
      </c>
      <c r="I464" s="36">
        <f>IF(Log_2019[[#This Row],[My Category]]="NONTRACKED",0,Log_2019[[#This Row],[Raw Amount]])</f>
        <v>-10.5</v>
      </c>
      <c r="J464" s="37">
        <f>ABS(Log_2019[[#This Row],[Amount]])</f>
        <v>10.5</v>
      </c>
      <c r="K464" s="38">
        <v>1</v>
      </c>
      <c r="L464" s="38">
        <f ca="1">IF(Log_2019[[#This Row],[Date]]&lt;=TODAY(), MIN(Log_2019[[#This Row],[Split_raw]], TODAY()-Log_2019[[#This Row],[Date]]+1), 0)</f>
        <v>1</v>
      </c>
      <c r="M464" s="34" t="s">
        <v>35</v>
      </c>
      <c r="N464" s="34" t="s">
        <v>158</v>
      </c>
      <c r="O464" s="7">
        <v>0</v>
      </c>
      <c r="P464" s="52">
        <f ca="1">Log_2019[[#This Row],[Amount]]/Log_2019[[#This Row],[Split_raw]]*MAX(0,MIN(_xlfn.DAYS(EDATE(P$1,1),Log_2019[[#This Row],[Date]]),Log_2019[[#This Row],[Split_apply]])) - SUM($O464:O464)</f>
        <v>0</v>
      </c>
      <c r="Q464" s="52">
        <f ca="1">Log_2019[[#This Row],[Amount]]/Log_2019[[#This Row],[Split_raw]]*MAX(0,MIN(_xlfn.DAYS(EDATE(Q$1,1),Log_2019[[#This Row],[Date]]),Log_2019[[#This Row],[Split_apply]])) - SUM($O464:P464)</f>
        <v>0</v>
      </c>
      <c r="R464" s="52">
        <f ca="1">Log_2019[[#This Row],[Amount]]/Log_2019[[#This Row],[Split_raw]]*MAX(0,MIN(_xlfn.DAYS(EDATE(R$1,1),Log_2019[[#This Row],[Date]]),Log_2019[[#This Row],[Split_apply]])) - SUM($O464:Q464)</f>
        <v>0</v>
      </c>
      <c r="S464" s="52">
        <f ca="1">Log_2019[[#This Row],[Amount]]/Log_2019[[#This Row],[Split_raw]]*MAX(0,MIN(_xlfn.DAYS(EDATE(S$1,1),Log_2019[[#This Row],[Date]]),Log_2019[[#This Row],[Split_apply]])) - SUM($O464:R464)</f>
        <v>0</v>
      </c>
      <c r="T464" s="52">
        <f ca="1">Log_2019[[#This Row],[Amount]]/Log_2019[[#This Row],[Split_raw]]*MAX(0,MIN(_xlfn.DAYS(EDATE(T$1,1),Log_2019[[#This Row],[Date]]),Log_2019[[#This Row],[Split_apply]])) - SUM($O464:S464)</f>
        <v>-10.5</v>
      </c>
      <c r="U464" s="52">
        <f ca="1">Log_2019[[#This Row],[Amount]]/Log_2019[[#This Row],[Split_raw]]*MAX(0,MIN(_xlfn.DAYS(EDATE(U$1,1),Log_2019[[#This Row],[Date]]),Log_2019[[#This Row],[Split_apply]])) - SUM($O464:T464)</f>
        <v>0</v>
      </c>
      <c r="V464" s="52">
        <f ca="1">Log_2019[[#This Row],[Amount]]/Log_2019[[#This Row],[Split_raw]]*MAX(0,MIN(_xlfn.DAYS(EDATE(V$1,1),Log_2019[[#This Row],[Date]]),Log_2019[[#This Row],[Split_apply]])) - SUM($O464:U464)</f>
        <v>0</v>
      </c>
      <c r="W464" s="52">
        <f ca="1">Log_2019[[#This Row],[Amount]]/Log_2019[[#This Row],[Split_raw]]*MAX(0,MIN(_xlfn.DAYS(EDATE(W$1,1),Log_2019[[#This Row],[Date]]),Log_2019[[#This Row],[Split_apply]])) - SUM($O464:V464)</f>
        <v>0</v>
      </c>
      <c r="X464" s="52">
        <f ca="1">Log_2019[[#This Row],[Amount]]/Log_2019[[#This Row],[Split_raw]]*MAX(0,MIN(_xlfn.DAYS(EDATE(X$1,1),Log_2019[[#This Row],[Date]]),Log_2019[[#This Row],[Split_apply]])) - SUM($O464:W464)</f>
        <v>0</v>
      </c>
      <c r="Y464" s="52">
        <f ca="1">Log_2019[[#This Row],[Amount]]/Log_2019[[#This Row],[Split_raw]]*MAX(0,MIN(_xlfn.DAYS(EDATE(Y$1,1),Log_2019[[#This Row],[Date]]),Log_2019[[#This Row],[Split_apply]])) - SUM($O464:X464)</f>
        <v>0</v>
      </c>
      <c r="Z464" s="52">
        <f ca="1">Log_2019[[#This Row],[Amount]]/Log_2019[[#This Row],[Split_raw]]*MAX(0,MIN(_xlfn.DAYS(EDATE(Z$1,1),Log_2019[[#This Row],[Date]]),Log_2019[[#This Row],[Split_apply]])) - SUM($O464:Y464)</f>
        <v>0</v>
      </c>
      <c r="AA464" s="52">
        <f ca="1">Log_2019[[#This Row],[Amount]]/Log_2019[[#This Row],[Split_raw]]*MAX(0,MIN(_xlfn.DAYS(EDATE(AA$1,1),Log_2019[[#This Row],[Date]]),Log_2019[[#This Row],[Split_apply]])) - SUM($O464:Z464)</f>
        <v>0</v>
      </c>
      <c r="AB464" s="54">
        <f ca="1">Log_2019[[#This Row],[Amount]]-SUM(O464:AA464)</f>
        <v>0</v>
      </c>
      <c r="AC464" s="7">
        <f>MAX(0,Log_2019[[#This Row],[Split_raw]] - (EDATE(AA$1,1)-Log_2019[[#This Row],[Date]]))</f>
        <v>0</v>
      </c>
    </row>
    <row r="465" spans="1:29" x14ac:dyDescent="0.25">
      <c r="A465" s="42"/>
      <c r="B465" s="34" t="s">
        <v>6</v>
      </c>
      <c r="C465" s="34"/>
      <c r="D465" s="35">
        <v>43600</v>
      </c>
      <c r="E465" s="34"/>
      <c r="F465" s="34" t="s">
        <v>105</v>
      </c>
      <c r="G465" s="34" t="s">
        <v>104</v>
      </c>
      <c r="H465" s="36">
        <f>--642.47</f>
        <v>642.47</v>
      </c>
      <c r="I465" s="36">
        <f>IF(Log_2019[[#This Row],[My Category]]="NONTRACKED",0,Log_2019[[#This Row],[Raw Amount]])</f>
        <v>642.47</v>
      </c>
      <c r="J465" s="37">
        <f>ABS(Log_2019[[#This Row],[Amount]])</f>
        <v>642.47</v>
      </c>
      <c r="K465" s="38">
        <v>1</v>
      </c>
      <c r="L465" s="38">
        <f ca="1">IF(Log_2019[[#This Row],[Date]]&lt;=TODAY(), MIN(Log_2019[[#This Row],[Split_raw]], TODAY()-Log_2019[[#This Row],[Date]]+1), 0)</f>
        <v>1</v>
      </c>
      <c r="M465" s="34" t="s">
        <v>159</v>
      </c>
      <c r="N465" s="34" t="s">
        <v>158</v>
      </c>
      <c r="O465" s="7">
        <v>0</v>
      </c>
      <c r="P465" s="52">
        <f ca="1">Log_2019[[#This Row],[Amount]]/Log_2019[[#This Row],[Split_raw]]*MAX(0,MIN(_xlfn.DAYS(EDATE(P$1,1),Log_2019[[#This Row],[Date]]),Log_2019[[#This Row],[Split_apply]])) - SUM($O465:O465)</f>
        <v>0</v>
      </c>
      <c r="Q465" s="52">
        <f ca="1">Log_2019[[#This Row],[Amount]]/Log_2019[[#This Row],[Split_raw]]*MAX(0,MIN(_xlfn.DAYS(EDATE(Q$1,1),Log_2019[[#This Row],[Date]]),Log_2019[[#This Row],[Split_apply]])) - SUM($O465:P465)</f>
        <v>0</v>
      </c>
      <c r="R465" s="52">
        <f ca="1">Log_2019[[#This Row],[Amount]]/Log_2019[[#This Row],[Split_raw]]*MAX(0,MIN(_xlfn.DAYS(EDATE(R$1,1),Log_2019[[#This Row],[Date]]),Log_2019[[#This Row],[Split_apply]])) - SUM($O465:Q465)</f>
        <v>0</v>
      </c>
      <c r="S465" s="52">
        <f ca="1">Log_2019[[#This Row],[Amount]]/Log_2019[[#This Row],[Split_raw]]*MAX(0,MIN(_xlfn.DAYS(EDATE(S$1,1),Log_2019[[#This Row],[Date]]),Log_2019[[#This Row],[Split_apply]])) - SUM($O465:R465)</f>
        <v>0</v>
      </c>
      <c r="T465" s="52">
        <f ca="1">Log_2019[[#This Row],[Amount]]/Log_2019[[#This Row],[Split_raw]]*MAX(0,MIN(_xlfn.DAYS(EDATE(T$1,1),Log_2019[[#This Row],[Date]]),Log_2019[[#This Row],[Split_apply]])) - SUM($O465:S465)</f>
        <v>642.47</v>
      </c>
      <c r="U465" s="52">
        <f ca="1">Log_2019[[#This Row],[Amount]]/Log_2019[[#This Row],[Split_raw]]*MAX(0,MIN(_xlfn.DAYS(EDATE(U$1,1),Log_2019[[#This Row],[Date]]),Log_2019[[#This Row],[Split_apply]])) - SUM($O465:T465)</f>
        <v>0</v>
      </c>
      <c r="V465" s="52">
        <f ca="1">Log_2019[[#This Row],[Amount]]/Log_2019[[#This Row],[Split_raw]]*MAX(0,MIN(_xlfn.DAYS(EDATE(V$1,1),Log_2019[[#This Row],[Date]]),Log_2019[[#This Row],[Split_apply]])) - SUM($O465:U465)</f>
        <v>0</v>
      </c>
      <c r="W465" s="52">
        <f ca="1">Log_2019[[#This Row],[Amount]]/Log_2019[[#This Row],[Split_raw]]*MAX(0,MIN(_xlfn.DAYS(EDATE(W$1,1),Log_2019[[#This Row],[Date]]),Log_2019[[#This Row],[Split_apply]])) - SUM($O465:V465)</f>
        <v>0</v>
      </c>
      <c r="X465" s="52">
        <f ca="1">Log_2019[[#This Row],[Amount]]/Log_2019[[#This Row],[Split_raw]]*MAX(0,MIN(_xlfn.DAYS(EDATE(X$1,1),Log_2019[[#This Row],[Date]]),Log_2019[[#This Row],[Split_apply]])) - SUM($O465:W465)</f>
        <v>0</v>
      </c>
      <c r="Y465" s="52">
        <f ca="1">Log_2019[[#This Row],[Amount]]/Log_2019[[#This Row],[Split_raw]]*MAX(0,MIN(_xlfn.DAYS(EDATE(Y$1,1),Log_2019[[#This Row],[Date]]),Log_2019[[#This Row],[Split_apply]])) - SUM($O465:X465)</f>
        <v>0</v>
      </c>
      <c r="Z465" s="52">
        <f ca="1">Log_2019[[#This Row],[Amount]]/Log_2019[[#This Row],[Split_raw]]*MAX(0,MIN(_xlfn.DAYS(EDATE(Z$1,1),Log_2019[[#This Row],[Date]]),Log_2019[[#This Row],[Split_apply]])) - SUM($O465:Y465)</f>
        <v>0</v>
      </c>
      <c r="AA465" s="52">
        <f ca="1">Log_2019[[#This Row],[Amount]]/Log_2019[[#This Row],[Split_raw]]*MAX(0,MIN(_xlfn.DAYS(EDATE(AA$1,1),Log_2019[[#This Row],[Date]]),Log_2019[[#This Row],[Split_apply]])) - SUM($O465:Z465)</f>
        <v>0</v>
      </c>
      <c r="AB465" s="54">
        <f ca="1">Log_2019[[#This Row],[Amount]]-SUM(O465:AA465)</f>
        <v>0</v>
      </c>
      <c r="AC465" s="7">
        <f>MAX(0,Log_2019[[#This Row],[Split_raw]] - (EDATE(AA$1,1)-Log_2019[[#This Row],[Date]]))</f>
        <v>0</v>
      </c>
    </row>
    <row r="466" spans="1:29" x14ac:dyDescent="0.25">
      <c r="A466" s="42"/>
      <c r="B466" s="34" t="s">
        <v>6</v>
      </c>
      <c r="C466" s="34"/>
      <c r="D466" s="35">
        <v>43600</v>
      </c>
      <c r="E466" s="34"/>
      <c r="F466" s="34" t="s">
        <v>612</v>
      </c>
      <c r="G466" s="34" t="s">
        <v>20</v>
      </c>
      <c r="H466" s="36">
        <v>-16.23</v>
      </c>
      <c r="I466" s="36">
        <f>IF(Log_2019[[#This Row],[My Category]]="NONTRACKED",0,Log_2019[[#This Row],[Raw Amount]])</f>
        <v>-16.23</v>
      </c>
      <c r="J466" s="37">
        <f>ABS(Log_2019[[#This Row],[Amount]])</f>
        <v>16.23</v>
      </c>
      <c r="K466" s="38">
        <v>30</v>
      </c>
      <c r="L466" s="38">
        <f ca="1">IF(Log_2019[[#This Row],[Date]]&lt;=TODAY(), MIN(Log_2019[[#This Row],[Split_raw]], TODAY()-Log_2019[[#This Row],[Date]]+1), 0)</f>
        <v>30</v>
      </c>
      <c r="M466" s="34" t="s">
        <v>53</v>
      </c>
      <c r="N466" s="34" t="s">
        <v>158</v>
      </c>
      <c r="O466" s="7">
        <v>0</v>
      </c>
      <c r="P466" s="52">
        <f ca="1">Log_2019[[#This Row],[Amount]]/Log_2019[[#This Row],[Split_raw]]*MAX(0,MIN(_xlfn.DAYS(EDATE(P$1,1),Log_2019[[#This Row],[Date]]),Log_2019[[#This Row],[Split_apply]])) - SUM($O466:O466)</f>
        <v>0</v>
      </c>
      <c r="Q466" s="52">
        <f ca="1">Log_2019[[#This Row],[Amount]]/Log_2019[[#This Row],[Split_raw]]*MAX(0,MIN(_xlfn.DAYS(EDATE(Q$1,1),Log_2019[[#This Row],[Date]]),Log_2019[[#This Row],[Split_apply]])) - SUM($O466:P466)</f>
        <v>0</v>
      </c>
      <c r="R466" s="52">
        <f ca="1">Log_2019[[#This Row],[Amount]]/Log_2019[[#This Row],[Split_raw]]*MAX(0,MIN(_xlfn.DAYS(EDATE(R$1,1),Log_2019[[#This Row],[Date]]),Log_2019[[#This Row],[Split_apply]])) - SUM($O466:Q466)</f>
        <v>0</v>
      </c>
      <c r="S466" s="52">
        <f ca="1">Log_2019[[#This Row],[Amount]]/Log_2019[[#This Row],[Split_raw]]*MAX(0,MIN(_xlfn.DAYS(EDATE(S$1,1),Log_2019[[#This Row],[Date]]),Log_2019[[#This Row],[Split_apply]])) - SUM($O466:R466)</f>
        <v>0</v>
      </c>
      <c r="T466" s="52">
        <f ca="1">Log_2019[[#This Row],[Amount]]/Log_2019[[#This Row],[Split_raw]]*MAX(0,MIN(_xlfn.DAYS(EDATE(T$1,1),Log_2019[[#This Row],[Date]]),Log_2019[[#This Row],[Split_apply]])) - SUM($O466:S466)</f>
        <v>-9.197000000000001</v>
      </c>
      <c r="U466" s="52">
        <f ca="1">Log_2019[[#This Row],[Amount]]/Log_2019[[#This Row],[Split_raw]]*MAX(0,MIN(_xlfn.DAYS(EDATE(U$1,1),Log_2019[[#This Row],[Date]]),Log_2019[[#This Row],[Split_apply]])) - SUM($O466:T466)</f>
        <v>-7.0329999999999995</v>
      </c>
      <c r="V466" s="52">
        <f ca="1">Log_2019[[#This Row],[Amount]]/Log_2019[[#This Row],[Split_raw]]*MAX(0,MIN(_xlfn.DAYS(EDATE(V$1,1),Log_2019[[#This Row],[Date]]),Log_2019[[#This Row],[Split_apply]])) - SUM($O466:U466)</f>
        <v>0</v>
      </c>
      <c r="W466" s="52">
        <f ca="1">Log_2019[[#This Row],[Amount]]/Log_2019[[#This Row],[Split_raw]]*MAX(0,MIN(_xlfn.DAYS(EDATE(W$1,1),Log_2019[[#This Row],[Date]]),Log_2019[[#This Row],[Split_apply]])) - SUM($O466:V466)</f>
        <v>0</v>
      </c>
      <c r="X466" s="52">
        <f ca="1">Log_2019[[#This Row],[Amount]]/Log_2019[[#This Row],[Split_raw]]*MAX(0,MIN(_xlfn.DAYS(EDATE(X$1,1),Log_2019[[#This Row],[Date]]),Log_2019[[#This Row],[Split_apply]])) - SUM($O466:W466)</f>
        <v>0</v>
      </c>
      <c r="Y466" s="52">
        <f ca="1">Log_2019[[#This Row],[Amount]]/Log_2019[[#This Row],[Split_raw]]*MAX(0,MIN(_xlfn.DAYS(EDATE(Y$1,1),Log_2019[[#This Row],[Date]]),Log_2019[[#This Row],[Split_apply]])) - SUM($O466:X466)</f>
        <v>0</v>
      </c>
      <c r="Z466" s="52">
        <f ca="1">Log_2019[[#This Row],[Amount]]/Log_2019[[#This Row],[Split_raw]]*MAX(0,MIN(_xlfn.DAYS(EDATE(Z$1,1),Log_2019[[#This Row],[Date]]),Log_2019[[#This Row],[Split_apply]])) - SUM($O466:Y466)</f>
        <v>0</v>
      </c>
      <c r="AA466" s="52">
        <f ca="1">Log_2019[[#This Row],[Amount]]/Log_2019[[#This Row],[Split_raw]]*MAX(0,MIN(_xlfn.DAYS(EDATE(AA$1,1),Log_2019[[#This Row],[Date]]),Log_2019[[#This Row],[Split_apply]])) - SUM($O466:Z466)</f>
        <v>0</v>
      </c>
      <c r="AB466" s="54">
        <f ca="1">Log_2019[[#This Row],[Amount]]-SUM(O466:AA466)</f>
        <v>0</v>
      </c>
      <c r="AC466" s="7">
        <f>MAX(0,Log_2019[[#This Row],[Split_raw]] - (EDATE(AA$1,1)-Log_2019[[#This Row],[Date]]))</f>
        <v>0</v>
      </c>
    </row>
    <row r="467" spans="1:29" x14ac:dyDescent="0.25">
      <c r="A467" s="42"/>
      <c r="B467" s="34" t="s">
        <v>6</v>
      </c>
      <c r="C467" s="34"/>
      <c r="D467" s="35">
        <v>43600</v>
      </c>
      <c r="E467" s="34"/>
      <c r="F467" s="34" t="s">
        <v>138</v>
      </c>
      <c r="G467" s="34" t="s">
        <v>104</v>
      </c>
      <c r="H467" s="36">
        <v>-642.47</v>
      </c>
      <c r="I467" s="36">
        <f>IF(Log_2019[[#This Row],[My Category]]="NONTRACKED",0,Log_2019[[#This Row],[Raw Amount]])</f>
        <v>-642.47</v>
      </c>
      <c r="J467" s="37">
        <f>ABS(Log_2019[[#This Row],[Amount]])</f>
        <v>642.47</v>
      </c>
      <c r="K467" s="38">
        <v>1</v>
      </c>
      <c r="L467" s="38">
        <f ca="1">IF(Log_2019[[#This Row],[Date]]&lt;=TODAY(), MIN(Log_2019[[#This Row],[Split_raw]], TODAY()-Log_2019[[#This Row],[Date]]+1), 0)</f>
        <v>1</v>
      </c>
      <c r="M467" s="34" t="s">
        <v>159</v>
      </c>
      <c r="N467" s="34" t="s">
        <v>160</v>
      </c>
      <c r="O467" s="7">
        <v>0</v>
      </c>
      <c r="P467" s="52">
        <f ca="1">Log_2019[[#This Row],[Amount]]/Log_2019[[#This Row],[Split_raw]]*MAX(0,MIN(_xlfn.DAYS(EDATE(P$1,1),Log_2019[[#This Row],[Date]]),Log_2019[[#This Row],[Split_apply]])) - SUM($O467:O467)</f>
        <v>0</v>
      </c>
      <c r="Q467" s="52">
        <f ca="1">Log_2019[[#This Row],[Amount]]/Log_2019[[#This Row],[Split_raw]]*MAX(0,MIN(_xlfn.DAYS(EDATE(Q$1,1),Log_2019[[#This Row],[Date]]),Log_2019[[#This Row],[Split_apply]])) - SUM($O467:P467)</f>
        <v>0</v>
      </c>
      <c r="R467" s="52">
        <f ca="1">Log_2019[[#This Row],[Amount]]/Log_2019[[#This Row],[Split_raw]]*MAX(0,MIN(_xlfn.DAYS(EDATE(R$1,1),Log_2019[[#This Row],[Date]]),Log_2019[[#This Row],[Split_apply]])) - SUM($O467:Q467)</f>
        <v>0</v>
      </c>
      <c r="S467" s="52">
        <f ca="1">Log_2019[[#This Row],[Amount]]/Log_2019[[#This Row],[Split_raw]]*MAX(0,MIN(_xlfn.DAYS(EDATE(S$1,1),Log_2019[[#This Row],[Date]]),Log_2019[[#This Row],[Split_apply]])) - SUM($O467:R467)</f>
        <v>0</v>
      </c>
      <c r="T467" s="52">
        <f ca="1">Log_2019[[#This Row],[Amount]]/Log_2019[[#This Row],[Split_raw]]*MAX(0,MIN(_xlfn.DAYS(EDATE(T$1,1),Log_2019[[#This Row],[Date]]),Log_2019[[#This Row],[Split_apply]])) - SUM($O467:S467)</f>
        <v>-642.47</v>
      </c>
      <c r="U467" s="52">
        <f ca="1">Log_2019[[#This Row],[Amount]]/Log_2019[[#This Row],[Split_raw]]*MAX(0,MIN(_xlfn.DAYS(EDATE(U$1,1),Log_2019[[#This Row],[Date]]),Log_2019[[#This Row],[Split_apply]])) - SUM($O467:T467)</f>
        <v>0</v>
      </c>
      <c r="V467" s="52">
        <f ca="1">Log_2019[[#This Row],[Amount]]/Log_2019[[#This Row],[Split_raw]]*MAX(0,MIN(_xlfn.DAYS(EDATE(V$1,1),Log_2019[[#This Row],[Date]]),Log_2019[[#This Row],[Split_apply]])) - SUM($O467:U467)</f>
        <v>0</v>
      </c>
      <c r="W467" s="52">
        <f ca="1">Log_2019[[#This Row],[Amount]]/Log_2019[[#This Row],[Split_raw]]*MAX(0,MIN(_xlfn.DAYS(EDATE(W$1,1),Log_2019[[#This Row],[Date]]),Log_2019[[#This Row],[Split_apply]])) - SUM($O467:V467)</f>
        <v>0</v>
      </c>
      <c r="X467" s="52">
        <f ca="1">Log_2019[[#This Row],[Amount]]/Log_2019[[#This Row],[Split_raw]]*MAX(0,MIN(_xlfn.DAYS(EDATE(X$1,1),Log_2019[[#This Row],[Date]]),Log_2019[[#This Row],[Split_apply]])) - SUM($O467:W467)</f>
        <v>0</v>
      </c>
      <c r="Y467" s="52">
        <f ca="1">Log_2019[[#This Row],[Amount]]/Log_2019[[#This Row],[Split_raw]]*MAX(0,MIN(_xlfn.DAYS(EDATE(Y$1,1),Log_2019[[#This Row],[Date]]),Log_2019[[#This Row],[Split_apply]])) - SUM($O467:X467)</f>
        <v>0</v>
      </c>
      <c r="Z467" s="52">
        <f ca="1">Log_2019[[#This Row],[Amount]]/Log_2019[[#This Row],[Split_raw]]*MAX(0,MIN(_xlfn.DAYS(EDATE(Z$1,1),Log_2019[[#This Row],[Date]]),Log_2019[[#This Row],[Split_apply]])) - SUM($O467:Y467)</f>
        <v>0</v>
      </c>
      <c r="AA467" s="52">
        <f ca="1">Log_2019[[#This Row],[Amount]]/Log_2019[[#This Row],[Split_raw]]*MAX(0,MIN(_xlfn.DAYS(EDATE(AA$1,1),Log_2019[[#This Row],[Date]]),Log_2019[[#This Row],[Split_apply]])) - SUM($O467:Z467)</f>
        <v>0</v>
      </c>
      <c r="AB467" s="54">
        <f ca="1">Log_2019[[#This Row],[Amount]]-SUM(O467:AA467)</f>
        <v>0</v>
      </c>
      <c r="AC467" s="7">
        <f>MAX(0,Log_2019[[#This Row],[Split_raw]] - (EDATE(AA$1,1)-Log_2019[[#This Row],[Date]]))</f>
        <v>0</v>
      </c>
    </row>
    <row r="468" spans="1:29" x14ac:dyDescent="0.25">
      <c r="A468" s="42"/>
      <c r="B468" s="34" t="s">
        <v>6</v>
      </c>
      <c r="C468" s="34"/>
      <c r="D468" s="35">
        <v>43599</v>
      </c>
      <c r="E468" s="34" t="s">
        <v>892</v>
      </c>
      <c r="F468" s="34" t="s">
        <v>613</v>
      </c>
      <c r="G468" s="34" t="s">
        <v>582</v>
      </c>
      <c r="H468" s="36">
        <v>-39.71</v>
      </c>
      <c r="I468" s="36">
        <f>IF(Log_2019[[#This Row],[My Category]]="NONTRACKED",0,Log_2019[[#This Row],[Raw Amount]])</f>
        <v>-39.71</v>
      </c>
      <c r="J468" s="37">
        <f>ABS(Log_2019[[#This Row],[Amount]])</f>
        <v>39.71</v>
      </c>
      <c r="K468" s="38">
        <v>23</v>
      </c>
      <c r="L468" s="38">
        <f ca="1">IF(Log_2019[[#This Row],[Date]]&lt;=TODAY(), MIN(Log_2019[[#This Row],[Split_raw]], TODAY()-Log_2019[[#This Row],[Date]]+1), 0)</f>
        <v>23</v>
      </c>
      <c r="M468" s="34" t="s">
        <v>29</v>
      </c>
      <c r="N468" s="34" t="s">
        <v>158</v>
      </c>
      <c r="O468" s="7">
        <v>0</v>
      </c>
      <c r="P468" s="52">
        <f ca="1">Log_2019[[#This Row],[Amount]]/Log_2019[[#This Row],[Split_raw]]*MAX(0,MIN(_xlfn.DAYS(EDATE(P$1,1),Log_2019[[#This Row],[Date]]),Log_2019[[#This Row],[Split_apply]])) - SUM($O468:O468)</f>
        <v>0</v>
      </c>
      <c r="Q468" s="52">
        <f ca="1">Log_2019[[#This Row],[Amount]]/Log_2019[[#This Row],[Split_raw]]*MAX(0,MIN(_xlfn.DAYS(EDATE(Q$1,1),Log_2019[[#This Row],[Date]]),Log_2019[[#This Row],[Split_apply]])) - SUM($O468:P468)</f>
        <v>0</v>
      </c>
      <c r="R468" s="52">
        <f ca="1">Log_2019[[#This Row],[Amount]]/Log_2019[[#This Row],[Split_raw]]*MAX(0,MIN(_xlfn.DAYS(EDATE(R$1,1),Log_2019[[#This Row],[Date]]),Log_2019[[#This Row],[Split_apply]])) - SUM($O468:Q468)</f>
        <v>0</v>
      </c>
      <c r="S468" s="52">
        <f ca="1">Log_2019[[#This Row],[Amount]]/Log_2019[[#This Row],[Split_raw]]*MAX(0,MIN(_xlfn.DAYS(EDATE(S$1,1),Log_2019[[#This Row],[Date]]),Log_2019[[#This Row],[Split_apply]])) - SUM($O468:R468)</f>
        <v>0</v>
      </c>
      <c r="T468" s="52">
        <f ca="1">Log_2019[[#This Row],[Amount]]/Log_2019[[#This Row],[Split_raw]]*MAX(0,MIN(_xlfn.DAYS(EDATE(T$1,1),Log_2019[[#This Row],[Date]]),Log_2019[[#This Row],[Split_apply]])) - SUM($O468:S468)</f>
        <v>-31.077391304347827</v>
      </c>
      <c r="U468" s="52">
        <f ca="1">Log_2019[[#This Row],[Amount]]/Log_2019[[#This Row],[Split_raw]]*MAX(0,MIN(_xlfn.DAYS(EDATE(U$1,1),Log_2019[[#This Row],[Date]]),Log_2019[[#This Row],[Split_apply]])) - SUM($O468:T468)</f>
        <v>-8.6326086956521735</v>
      </c>
      <c r="V468" s="52">
        <f ca="1">Log_2019[[#This Row],[Amount]]/Log_2019[[#This Row],[Split_raw]]*MAX(0,MIN(_xlfn.DAYS(EDATE(V$1,1),Log_2019[[#This Row],[Date]]),Log_2019[[#This Row],[Split_apply]])) - SUM($O468:U468)</f>
        <v>0</v>
      </c>
      <c r="W468" s="52">
        <f ca="1">Log_2019[[#This Row],[Amount]]/Log_2019[[#This Row],[Split_raw]]*MAX(0,MIN(_xlfn.DAYS(EDATE(W$1,1),Log_2019[[#This Row],[Date]]),Log_2019[[#This Row],[Split_apply]])) - SUM($O468:V468)</f>
        <v>0</v>
      </c>
      <c r="X468" s="52">
        <f ca="1">Log_2019[[#This Row],[Amount]]/Log_2019[[#This Row],[Split_raw]]*MAX(0,MIN(_xlfn.DAYS(EDATE(X$1,1),Log_2019[[#This Row],[Date]]),Log_2019[[#This Row],[Split_apply]])) - SUM($O468:W468)</f>
        <v>0</v>
      </c>
      <c r="Y468" s="52">
        <f ca="1">Log_2019[[#This Row],[Amount]]/Log_2019[[#This Row],[Split_raw]]*MAX(0,MIN(_xlfn.DAYS(EDATE(Y$1,1),Log_2019[[#This Row],[Date]]),Log_2019[[#This Row],[Split_apply]])) - SUM($O468:X468)</f>
        <v>0</v>
      </c>
      <c r="Z468" s="52">
        <f ca="1">Log_2019[[#This Row],[Amount]]/Log_2019[[#This Row],[Split_raw]]*MAX(0,MIN(_xlfn.DAYS(EDATE(Z$1,1),Log_2019[[#This Row],[Date]]),Log_2019[[#This Row],[Split_apply]])) - SUM($O468:Y468)</f>
        <v>0</v>
      </c>
      <c r="AA468" s="52">
        <f ca="1">Log_2019[[#This Row],[Amount]]/Log_2019[[#This Row],[Split_raw]]*MAX(0,MIN(_xlfn.DAYS(EDATE(AA$1,1),Log_2019[[#This Row],[Date]]),Log_2019[[#This Row],[Split_apply]])) - SUM($O468:Z468)</f>
        <v>0</v>
      </c>
      <c r="AB468" s="54">
        <f ca="1">Log_2019[[#This Row],[Amount]]-SUM(O468:AA468)</f>
        <v>0</v>
      </c>
      <c r="AC468" s="7">
        <f>MAX(0,Log_2019[[#This Row],[Split_raw]] - (EDATE(AA$1,1)-Log_2019[[#This Row],[Date]]))</f>
        <v>0</v>
      </c>
    </row>
    <row r="469" spans="1:29" x14ac:dyDescent="0.25">
      <c r="A469" s="42"/>
      <c r="B469" s="34" t="s">
        <v>6</v>
      </c>
      <c r="C469" s="34"/>
      <c r="D469" s="35">
        <v>43599</v>
      </c>
      <c r="E469" s="34"/>
      <c r="F469" s="34" t="s">
        <v>59</v>
      </c>
      <c r="G469" s="34" t="s">
        <v>25</v>
      </c>
      <c r="H469" s="36">
        <v>-5.53</v>
      </c>
      <c r="I469" s="36">
        <f>IF(Log_2019[[#This Row],[My Category]]="NONTRACKED",0,Log_2019[[#This Row],[Raw Amount]])</f>
        <v>-5.53</v>
      </c>
      <c r="J469" s="37">
        <f>ABS(Log_2019[[#This Row],[Amount]])</f>
        <v>5.53</v>
      </c>
      <c r="K469" s="38">
        <v>1</v>
      </c>
      <c r="L469" s="38">
        <f ca="1">IF(Log_2019[[#This Row],[Date]]&lt;=TODAY(), MIN(Log_2019[[#This Row],[Split_raw]], TODAY()-Log_2019[[#This Row],[Date]]+1), 0)</f>
        <v>1</v>
      </c>
      <c r="M469" s="34" t="s">
        <v>35</v>
      </c>
      <c r="N469" s="34" t="s">
        <v>158</v>
      </c>
      <c r="O469" s="7">
        <v>0</v>
      </c>
      <c r="P469" s="52">
        <f ca="1">Log_2019[[#This Row],[Amount]]/Log_2019[[#This Row],[Split_raw]]*MAX(0,MIN(_xlfn.DAYS(EDATE(P$1,1),Log_2019[[#This Row],[Date]]),Log_2019[[#This Row],[Split_apply]])) - SUM($O469:O469)</f>
        <v>0</v>
      </c>
      <c r="Q469" s="52">
        <f ca="1">Log_2019[[#This Row],[Amount]]/Log_2019[[#This Row],[Split_raw]]*MAX(0,MIN(_xlfn.DAYS(EDATE(Q$1,1),Log_2019[[#This Row],[Date]]),Log_2019[[#This Row],[Split_apply]])) - SUM($O469:P469)</f>
        <v>0</v>
      </c>
      <c r="R469" s="52">
        <f ca="1">Log_2019[[#This Row],[Amount]]/Log_2019[[#This Row],[Split_raw]]*MAX(0,MIN(_xlfn.DAYS(EDATE(R$1,1),Log_2019[[#This Row],[Date]]),Log_2019[[#This Row],[Split_apply]])) - SUM($O469:Q469)</f>
        <v>0</v>
      </c>
      <c r="S469" s="52">
        <f ca="1">Log_2019[[#This Row],[Amount]]/Log_2019[[#This Row],[Split_raw]]*MAX(0,MIN(_xlfn.DAYS(EDATE(S$1,1),Log_2019[[#This Row],[Date]]),Log_2019[[#This Row],[Split_apply]])) - SUM($O469:R469)</f>
        <v>0</v>
      </c>
      <c r="T469" s="52">
        <f ca="1">Log_2019[[#This Row],[Amount]]/Log_2019[[#This Row],[Split_raw]]*MAX(0,MIN(_xlfn.DAYS(EDATE(T$1,1),Log_2019[[#This Row],[Date]]),Log_2019[[#This Row],[Split_apply]])) - SUM($O469:S469)</f>
        <v>-5.53</v>
      </c>
      <c r="U469" s="52">
        <f ca="1">Log_2019[[#This Row],[Amount]]/Log_2019[[#This Row],[Split_raw]]*MAX(0,MIN(_xlfn.DAYS(EDATE(U$1,1),Log_2019[[#This Row],[Date]]),Log_2019[[#This Row],[Split_apply]])) - SUM($O469:T469)</f>
        <v>0</v>
      </c>
      <c r="V469" s="52">
        <f ca="1">Log_2019[[#This Row],[Amount]]/Log_2019[[#This Row],[Split_raw]]*MAX(0,MIN(_xlfn.DAYS(EDATE(V$1,1),Log_2019[[#This Row],[Date]]),Log_2019[[#This Row],[Split_apply]])) - SUM($O469:U469)</f>
        <v>0</v>
      </c>
      <c r="W469" s="52">
        <f ca="1">Log_2019[[#This Row],[Amount]]/Log_2019[[#This Row],[Split_raw]]*MAX(0,MIN(_xlfn.DAYS(EDATE(W$1,1),Log_2019[[#This Row],[Date]]),Log_2019[[#This Row],[Split_apply]])) - SUM($O469:V469)</f>
        <v>0</v>
      </c>
      <c r="X469" s="52">
        <f ca="1">Log_2019[[#This Row],[Amount]]/Log_2019[[#This Row],[Split_raw]]*MAX(0,MIN(_xlfn.DAYS(EDATE(X$1,1),Log_2019[[#This Row],[Date]]),Log_2019[[#This Row],[Split_apply]])) - SUM($O469:W469)</f>
        <v>0</v>
      </c>
      <c r="Y469" s="52">
        <f ca="1">Log_2019[[#This Row],[Amount]]/Log_2019[[#This Row],[Split_raw]]*MAX(0,MIN(_xlfn.DAYS(EDATE(Y$1,1),Log_2019[[#This Row],[Date]]),Log_2019[[#This Row],[Split_apply]])) - SUM($O469:X469)</f>
        <v>0</v>
      </c>
      <c r="Z469" s="52">
        <f ca="1">Log_2019[[#This Row],[Amount]]/Log_2019[[#This Row],[Split_raw]]*MAX(0,MIN(_xlfn.DAYS(EDATE(Z$1,1),Log_2019[[#This Row],[Date]]),Log_2019[[#This Row],[Split_apply]])) - SUM($O469:Y469)</f>
        <v>0</v>
      </c>
      <c r="AA469" s="52">
        <f ca="1">Log_2019[[#This Row],[Amount]]/Log_2019[[#This Row],[Split_raw]]*MAX(0,MIN(_xlfn.DAYS(EDATE(AA$1,1),Log_2019[[#This Row],[Date]]),Log_2019[[#This Row],[Split_apply]])) - SUM($O469:Z469)</f>
        <v>0</v>
      </c>
      <c r="AB469" s="54">
        <f ca="1">Log_2019[[#This Row],[Amount]]-SUM(O469:AA469)</f>
        <v>0</v>
      </c>
      <c r="AC469" s="7">
        <f>MAX(0,Log_2019[[#This Row],[Split_raw]] - (EDATE(AA$1,1)-Log_2019[[#This Row],[Date]]))</f>
        <v>0</v>
      </c>
    </row>
    <row r="470" spans="1:29" x14ac:dyDescent="0.25">
      <c r="A470" s="42"/>
      <c r="B470" s="34" t="s">
        <v>6</v>
      </c>
      <c r="C470" s="34"/>
      <c r="D470" s="35">
        <v>43599</v>
      </c>
      <c r="E470" s="34"/>
      <c r="F470" s="34" t="s">
        <v>242</v>
      </c>
      <c r="G470" s="34" t="s">
        <v>87</v>
      </c>
      <c r="H470" s="36">
        <f>--20.29</f>
        <v>20.29</v>
      </c>
      <c r="I470" s="36">
        <f>IF(Log_2019[[#This Row],[My Category]]="NONTRACKED",0,Log_2019[[#This Row],[Raw Amount]])</f>
        <v>20.29</v>
      </c>
      <c r="J470" s="37">
        <f>ABS(Log_2019[[#This Row],[Amount]])</f>
        <v>20.29</v>
      </c>
      <c r="K470" s="38">
        <v>1</v>
      </c>
      <c r="L470" s="38">
        <f ca="1">IF(Log_2019[[#This Row],[Date]]&lt;=TODAY(), MIN(Log_2019[[#This Row],[Split_raw]], TODAY()-Log_2019[[#This Row],[Date]]+1), 0)</f>
        <v>1</v>
      </c>
      <c r="M470" s="34" t="s">
        <v>144</v>
      </c>
      <c r="N470" s="34" t="s">
        <v>160</v>
      </c>
      <c r="O470" s="7">
        <v>0</v>
      </c>
      <c r="P470" s="52">
        <f ca="1">Log_2019[[#This Row],[Amount]]/Log_2019[[#This Row],[Split_raw]]*MAX(0,MIN(_xlfn.DAYS(EDATE(P$1,1),Log_2019[[#This Row],[Date]]),Log_2019[[#This Row],[Split_apply]])) - SUM($O470:O470)</f>
        <v>0</v>
      </c>
      <c r="Q470" s="52">
        <f ca="1">Log_2019[[#This Row],[Amount]]/Log_2019[[#This Row],[Split_raw]]*MAX(0,MIN(_xlfn.DAYS(EDATE(Q$1,1),Log_2019[[#This Row],[Date]]),Log_2019[[#This Row],[Split_apply]])) - SUM($O470:P470)</f>
        <v>0</v>
      </c>
      <c r="R470" s="52">
        <f ca="1">Log_2019[[#This Row],[Amount]]/Log_2019[[#This Row],[Split_raw]]*MAX(0,MIN(_xlfn.DAYS(EDATE(R$1,1),Log_2019[[#This Row],[Date]]),Log_2019[[#This Row],[Split_apply]])) - SUM($O470:Q470)</f>
        <v>0</v>
      </c>
      <c r="S470" s="52">
        <f ca="1">Log_2019[[#This Row],[Amount]]/Log_2019[[#This Row],[Split_raw]]*MAX(0,MIN(_xlfn.DAYS(EDATE(S$1,1),Log_2019[[#This Row],[Date]]),Log_2019[[#This Row],[Split_apply]])) - SUM($O470:R470)</f>
        <v>0</v>
      </c>
      <c r="T470" s="52">
        <f ca="1">Log_2019[[#This Row],[Amount]]/Log_2019[[#This Row],[Split_raw]]*MAX(0,MIN(_xlfn.DAYS(EDATE(T$1,1),Log_2019[[#This Row],[Date]]),Log_2019[[#This Row],[Split_apply]])) - SUM($O470:S470)</f>
        <v>20.29</v>
      </c>
      <c r="U470" s="52">
        <f ca="1">Log_2019[[#This Row],[Amount]]/Log_2019[[#This Row],[Split_raw]]*MAX(0,MIN(_xlfn.DAYS(EDATE(U$1,1),Log_2019[[#This Row],[Date]]),Log_2019[[#This Row],[Split_apply]])) - SUM($O470:T470)</f>
        <v>0</v>
      </c>
      <c r="V470" s="52">
        <f ca="1">Log_2019[[#This Row],[Amount]]/Log_2019[[#This Row],[Split_raw]]*MAX(0,MIN(_xlfn.DAYS(EDATE(V$1,1),Log_2019[[#This Row],[Date]]),Log_2019[[#This Row],[Split_apply]])) - SUM($O470:U470)</f>
        <v>0</v>
      </c>
      <c r="W470" s="52">
        <f ca="1">Log_2019[[#This Row],[Amount]]/Log_2019[[#This Row],[Split_raw]]*MAX(0,MIN(_xlfn.DAYS(EDATE(W$1,1),Log_2019[[#This Row],[Date]]),Log_2019[[#This Row],[Split_apply]])) - SUM($O470:V470)</f>
        <v>0</v>
      </c>
      <c r="X470" s="52">
        <f ca="1">Log_2019[[#This Row],[Amount]]/Log_2019[[#This Row],[Split_raw]]*MAX(0,MIN(_xlfn.DAYS(EDATE(X$1,1),Log_2019[[#This Row],[Date]]),Log_2019[[#This Row],[Split_apply]])) - SUM($O470:W470)</f>
        <v>0</v>
      </c>
      <c r="Y470" s="52">
        <f ca="1">Log_2019[[#This Row],[Amount]]/Log_2019[[#This Row],[Split_raw]]*MAX(0,MIN(_xlfn.DAYS(EDATE(Y$1,1),Log_2019[[#This Row],[Date]]),Log_2019[[#This Row],[Split_apply]])) - SUM($O470:X470)</f>
        <v>0</v>
      </c>
      <c r="Z470" s="52">
        <f ca="1">Log_2019[[#This Row],[Amount]]/Log_2019[[#This Row],[Split_raw]]*MAX(0,MIN(_xlfn.DAYS(EDATE(Z$1,1),Log_2019[[#This Row],[Date]]),Log_2019[[#This Row],[Split_apply]])) - SUM($O470:Y470)</f>
        <v>0</v>
      </c>
      <c r="AA470" s="52">
        <f ca="1">Log_2019[[#This Row],[Amount]]/Log_2019[[#This Row],[Split_raw]]*MAX(0,MIN(_xlfn.DAYS(EDATE(AA$1,1),Log_2019[[#This Row],[Date]]),Log_2019[[#This Row],[Split_apply]])) - SUM($O470:Z470)</f>
        <v>0</v>
      </c>
      <c r="AB470" s="54">
        <f ca="1">Log_2019[[#This Row],[Amount]]-SUM(O470:AA470)</f>
        <v>0</v>
      </c>
      <c r="AC470" s="7">
        <f>MAX(0,Log_2019[[#This Row],[Split_raw]] - (EDATE(AA$1,1)-Log_2019[[#This Row],[Date]]))</f>
        <v>0</v>
      </c>
    </row>
    <row r="471" spans="1:29" x14ac:dyDescent="0.25">
      <c r="A471" s="42"/>
      <c r="B471" s="34" t="s">
        <v>6</v>
      </c>
      <c r="C471" s="34"/>
      <c r="D471" s="35">
        <v>43598</v>
      </c>
      <c r="E471" s="34"/>
      <c r="F471" s="34" t="s">
        <v>255</v>
      </c>
      <c r="G471" s="34" t="s">
        <v>25</v>
      </c>
      <c r="H471" s="36">
        <v>-9.49</v>
      </c>
      <c r="I471" s="36">
        <f>IF(Log_2019[[#This Row],[My Category]]="NONTRACKED",0,Log_2019[[#This Row],[Raw Amount]])</f>
        <v>-9.49</v>
      </c>
      <c r="J471" s="37">
        <f>ABS(Log_2019[[#This Row],[Amount]])</f>
        <v>9.49</v>
      </c>
      <c r="K471" s="38">
        <v>1</v>
      </c>
      <c r="L471" s="38">
        <f ca="1">IF(Log_2019[[#This Row],[Date]]&lt;=TODAY(), MIN(Log_2019[[#This Row],[Split_raw]], TODAY()-Log_2019[[#This Row],[Date]]+1), 0)</f>
        <v>1</v>
      </c>
      <c r="M471" s="34" t="s">
        <v>35</v>
      </c>
      <c r="N471" s="34" t="s">
        <v>158</v>
      </c>
      <c r="O471" s="7">
        <v>0</v>
      </c>
      <c r="P471" s="52">
        <f ca="1">Log_2019[[#This Row],[Amount]]/Log_2019[[#This Row],[Split_raw]]*MAX(0,MIN(_xlfn.DAYS(EDATE(P$1,1),Log_2019[[#This Row],[Date]]),Log_2019[[#This Row],[Split_apply]])) - SUM($O471:O471)</f>
        <v>0</v>
      </c>
      <c r="Q471" s="52">
        <f ca="1">Log_2019[[#This Row],[Amount]]/Log_2019[[#This Row],[Split_raw]]*MAX(0,MIN(_xlfn.DAYS(EDATE(Q$1,1),Log_2019[[#This Row],[Date]]),Log_2019[[#This Row],[Split_apply]])) - SUM($O471:P471)</f>
        <v>0</v>
      </c>
      <c r="R471" s="52">
        <f ca="1">Log_2019[[#This Row],[Amount]]/Log_2019[[#This Row],[Split_raw]]*MAX(0,MIN(_xlfn.DAYS(EDATE(R$1,1),Log_2019[[#This Row],[Date]]),Log_2019[[#This Row],[Split_apply]])) - SUM($O471:Q471)</f>
        <v>0</v>
      </c>
      <c r="S471" s="52">
        <f ca="1">Log_2019[[#This Row],[Amount]]/Log_2019[[#This Row],[Split_raw]]*MAX(0,MIN(_xlfn.DAYS(EDATE(S$1,1),Log_2019[[#This Row],[Date]]),Log_2019[[#This Row],[Split_apply]])) - SUM($O471:R471)</f>
        <v>0</v>
      </c>
      <c r="T471" s="52">
        <f ca="1">Log_2019[[#This Row],[Amount]]/Log_2019[[#This Row],[Split_raw]]*MAX(0,MIN(_xlfn.DAYS(EDATE(T$1,1),Log_2019[[#This Row],[Date]]),Log_2019[[#This Row],[Split_apply]])) - SUM($O471:S471)</f>
        <v>-9.49</v>
      </c>
      <c r="U471" s="52">
        <f ca="1">Log_2019[[#This Row],[Amount]]/Log_2019[[#This Row],[Split_raw]]*MAX(0,MIN(_xlfn.DAYS(EDATE(U$1,1),Log_2019[[#This Row],[Date]]),Log_2019[[#This Row],[Split_apply]])) - SUM($O471:T471)</f>
        <v>0</v>
      </c>
      <c r="V471" s="52">
        <f ca="1">Log_2019[[#This Row],[Amount]]/Log_2019[[#This Row],[Split_raw]]*MAX(0,MIN(_xlfn.DAYS(EDATE(V$1,1),Log_2019[[#This Row],[Date]]),Log_2019[[#This Row],[Split_apply]])) - SUM($O471:U471)</f>
        <v>0</v>
      </c>
      <c r="W471" s="52">
        <f ca="1">Log_2019[[#This Row],[Amount]]/Log_2019[[#This Row],[Split_raw]]*MAX(0,MIN(_xlfn.DAYS(EDATE(W$1,1),Log_2019[[#This Row],[Date]]),Log_2019[[#This Row],[Split_apply]])) - SUM($O471:V471)</f>
        <v>0</v>
      </c>
      <c r="X471" s="52">
        <f ca="1">Log_2019[[#This Row],[Amount]]/Log_2019[[#This Row],[Split_raw]]*MAX(0,MIN(_xlfn.DAYS(EDATE(X$1,1),Log_2019[[#This Row],[Date]]),Log_2019[[#This Row],[Split_apply]])) - SUM($O471:W471)</f>
        <v>0</v>
      </c>
      <c r="Y471" s="52">
        <f ca="1">Log_2019[[#This Row],[Amount]]/Log_2019[[#This Row],[Split_raw]]*MAX(0,MIN(_xlfn.DAYS(EDATE(Y$1,1),Log_2019[[#This Row],[Date]]),Log_2019[[#This Row],[Split_apply]])) - SUM($O471:X471)</f>
        <v>0</v>
      </c>
      <c r="Z471" s="52">
        <f ca="1">Log_2019[[#This Row],[Amount]]/Log_2019[[#This Row],[Split_raw]]*MAX(0,MIN(_xlfn.DAYS(EDATE(Z$1,1),Log_2019[[#This Row],[Date]]),Log_2019[[#This Row],[Split_apply]])) - SUM($O471:Y471)</f>
        <v>0</v>
      </c>
      <c r="AA471" s="52">
        <f ca="1">Log_2019[[#This Row],[Amount]]/Log_2019[[#This Row],[Split_raw]]*MAX(0,MIN(_xlfn.DAYS(EDATE(AA$1,1),Log_2019[[#This Row],[Date]]),Log_2019[[#This Row],[Split_apply]])) - SUM($O471:Z471)</f>
        <v>0</v>
      </c>
      <c r="AB471" s="54">
        <f ca="1">Log_2019[[#This Row],[Amount]]-SUM(O471:AA471)</f>
        <v>0</v>
      </c>
      <c r="AC471" s="7">
        <f>MAX(0,Log_2019[[#This Row],[Split_raw]] - (EDATE(AA$1,1)-Log_2019[[#This Row],[Date]]))</f>
        <v>0</v>
      </c>
    </row>
    <row r="472" spans="1:29" x14ac:dyDescent="0.25">
      <c r="A472" s="42"/>
      <c r="B472" s="34" t="s">
        <v>6</v>
      </c>
      <c r="C472" s="34"/>
      <c r="D472" s="35">
        <v>43598</v>
      </c>
      <c r="E472" s="34"/>
      <c r="F472" s="34" t="s">
        <v>83</v>
      </c>
      <c r="G472" s="34" t="s">
        <v>15</v>
      </c>
      <c r="H472" s="36">
        <v>-222.65</v>
      </c>
      <c r="I472" s="36">
        <f>IF(Log_2019[[#This Row],[My Category]]="NONTRACKED",0,Log_2019[[#This Row],[Raw Amount]])</f>
        <v>-222.65</v>
      </c>
      <c r="J472" s="37">
        <f>ABS(Log_2019[[#This Row],[Amount]])</f>
        <v>222.65</v>
      </c>
      <c r="K472" s="38">
        <v>30</v>
      </c>
      <c r="L472" s="38">
        <f ca="1">IF(Log_2019[[#This Row],[Date]]&lt;=TODAY(), MIN(Log_2019[[#This Row],[Split_raw]], TODAY()-Log_2019[[#This Row],[Date]]+1), 0)</f>
        <v>30</v>
      </c>
      <c r="M472" s="34" t="s">
        <v>241</v>
      </c>
      <c r="N472" s="34" t="s">
        <v>160</v>
      </c>
      <c r="O472" s="7">
        <v>0</v>
      </c>
      <c r="P472" s="52">
        <f ca="1">Log_2019[[#This Row],[Amount]]/Log_2019[[#This Row],[Split_raw]]*MAX(0,MIN(_xlfn.DAYS(EDATE(P$1,1),Log_2019[[#This Row],[Date]]),Log_2019[[#This Row],[Split_apply]])) - SUM($O472:O472)</f>
        <v>0</v>
      </c>
      <c r="Q472" s="52">
        <f ca="1">Log_2019[[#This Row],[Amount]]/Log_2019[[#This Row],[Split_raw]]*MAX(0,MIN(_xlfn.DAYS(EDATE(Q$1,1),Log_2019[[#This Row],[Date]]),Log_2019[[#This Row],[Split_apply]])) - SUM($O472:P472)</f>
        <v>0</v>
      </c>
      <c r="R472" s="52">
        <f ca="1">Log_2019[[#This Row],[Amount]]/Log_2019[[#This Row],[Split_raw]]*MAX(0,MIN(_xlfn.DAYS(EDATE(R$1,1),Log_2019[[#This Row],[Date]]),Log_2019[[#This Row],[Split_apply]])) - SUM($O472:Q472)</f>
        <v>0</v>
      </c>
      <c r="S472" s="52">
        <f ca="1">Log_2019[[#This Row],[Amount]]/Log_2019[[#This Row],[Split_raw]]*MAX(0,MIN(_xlfn.DAYS(EDATE(S$1,1),Log_2019[[#This Row],[Date]]),Log_2019[[#This Row],[Split_apply]])) - SUM($O472:R472)</f>
        <v>0</v>
      </c>
      <c r="T472" s="52">
        <f ca="1">Log_2019[[#This Row],[Amount]]/Log_2019[[#This Row],[Split_raw]]*MAX(0,MIN(_xlfn.DAYS(EDATE(T$1,1),Log_2019[[#This Row],[Date]]),Log_2019[[#This Row],[Split_apply]])) - SUM($O472:S472)</f>
        <v>-141.01166666666666</v>
      </c>
      <c r="U472" s="52">
        <f ca="1">Log_2019[[#This Row],[Amount]]/Log_2019[[#This Row],[Split_raw]]*MAX(0,MIN(_xlfn.DAYS(EDATE(U$1,1),Log_2019[[#This Row],[Date]]),Log_2019[[#This Row],[Split_apply]])) - SUM($O472:T472)</f>
        <v>-81.63833333333335</v>
      </c>
      <c r="V472" s="52">
        <f ca="1">Log_2019[[#This Row],[Amount]]/Log_2019[[#This Row],[Split_raw]]*MAX(0,MIN(_xlfn.DAYS(EDATE(V$1,1),Log_2019[[#This Row],[Date]]),Log_2019[[#This Row],[Split_apply]])) - SUM($O472:U472)</f>
        <v>0</v>
      </c>
      <c r="W472" s="52">
        <f ca="1">Log_2019[[#This Row],[Amount]]/Log_2019[[#This Row],[Split_raw]]*MAX(0,MIN(_xlfn.DAYS(EDATE(W$1,1),Log_2019[[#This Row],[Date]]),Log_2019[[#This Row],[Split_apply]])) - SUM($O472:V472)</f>
        <v>0</v>
      </c>
      <c r="X472" s="52">
        <f ca="1">Log_2019[[#This Row],[Amount]]/Log_2019[[#This Row],[Split_raw]]*MAX(0,MIN(_xlfn.DAYS(EDATE(X$1,1),Log_2019[[#This Row],[Date]]),Log_2019[[#This Row],[Split_apply]])) - SUM($O472:W472)</f>
        <v>0</v>
      </c>
      <c r="Y472" s="52">
        <f ca="1">Log_2019[[#This Row],[Amount]]/Log_2019[[#This Row],[Split_raw]]*MAX(0,MIN(_xlfn.DAYS(EDATE(Y$1,1),Log_2019[[#This Row],[Date]]),Log_2019[[#This Row],[Split_apply]])) - SUM($O472:X472)</f>
        <v>0</v>
      </c>
      <c r="Z472" s="52">
        <f ca="1">Log_2019[[#This Row],[Amount]]/Log_2019[[#This Row],[Split_raw]]*MAX(0,MIN(_xlfn.DAYS(EDATE(Z$1,1),Log_2019[[#This Row],[Date]]),Log_2019[[#This Row],[Split_apply]])) - SUM($O472:Y472)</f>
        <v>0</v>
      </c>
      <c r="AA472" s="52">
        <f ca="1">Log_2019[[#This Row],[Amount]]/Log_2019[[#This Row],[Split_raw]]*MAX(0,MIN(_xlfn.DAYS(EDATE(AA$1,1),Log_2019[[#This Row],[Date]]),Log_2019[[#This Row],[Split_apply]])) - SUM($O472:Z472)</f>
        <v>0</v>
      </c>
      <c r="AB472" s="54">
        <f ca="1">Log_2019[[#This Row],[Amount]]-SUM(O472:AA472)</f>
        <v>0</v>
      </c>
      <c r="AC472" s="7">
        <f>MAX(0,Log_2019[[#This Row],[Split_raw]] - (EDATE(AA$1,1)-Log_2019[[#This Row],[Date]]))</f>
        <v>0</v>
      </c>
    </row>
    <row r="473" spans="1:29" x14ac:dyDescent="0.25">
      <c r="A473" s="42"/>
      <c r="B473" s="34" t="s">
        <v>6</v>
      </c>
      <c r="C473" s="34"/>
      <c r="D473" s="35">
        <v>43596</v>
      </c>
      <c r="E473" s="34"/>
      <c r="F473" s="34" t="s">
        <v>345</v>
      </c>
      <c r="G473" s="34" t="s">
        <v>12</v>
      </c>
      <c r="H473" s="36">
        <v>-24.19</v>
      </c>
      <c r="I473" s="36">
        <f>IF(Log_2019[[#This Row],[My Category]]="NONTRACKED",0,Log_2019[[#This Row],[Raw Amount]])</f>
        <v>-24.19</v>
      </c>
      <c r="J473" s="37">
        <f>ABS(Log_2019[[#This Row],[Amount]])</f>
        <v>24.19</v>
      </c>
      <c r="K473" s="38">
        <v>1</v>
      </c>
      <c r="L473" s="38">
        <f ca="1">IF(Log_2019[[#This Row],[Date]]&lt;=TODAY(), MIN(Log_2019[[#This Row],[Split_raw]], TODAY()-Log_2019[[#This Row],[Date]]+1), 0)</f>
        <v>1</v>
      </c>
      <c r="M473" s="34" t="s">
        <v>12</v>
      </c>
      <c r="N473" s="34" t="s">
        <v>158</v>
      </c>
      <c r="O473" s="7">
        <v>0</v>
      </c>
      <c r="P473" s="52">
        <f ca="1">Log_2019[[#This Row],[Amount]]/Log_2019[[#This Row],[Split_raw]]*MAX(0,MIN(_xlfn.DAYS(EDATE(P$1,1),Log_2019[[#This Row],[Date]]),Log_2019[[#This Row],[Split_apply]])) - SUM($O473:O473)</f>
        <v>0</v>
      </c>
      <c r="Q473" s="52">
        <f ca="1">Log_2019[[#This Row],[Amount]]/Log_2019[[#This Row],[Split_raw]]*MAX(0,MIN(_xlfn.DAYS(EDATE(Q$1,1),Log_2019[[#This Row],[Date]]),Log_2019[[#This Row],[Split_apply]])) - SUM($O473:P473)</f>
        <v>0</v>
      </c>
      <c r="R473" s="52">
        <f ca="1">Log_2019[[#This Row],[Amount]]/Log_2019[[#This Row],[Split_raw]]*MAX(0,MIN(_xlfn.DAYS(EDATE(R$1,1),Log_2019[[#This Row],[Date]]),Log_2019[[#This Row],[Split_apply]])) - SUM($O473:Q473)</f>
        <v>0</v>
      </c>
      <c r="S473" s="52">
        <f ca="1">Log_2019[[#This Row],[Amount]]/Log_2019[[#This Row],[Split_raw]]*MAX(0,MIN(_xlfn.DAYS(EDATE(S$1,1),Log_2019[[#This Row],[Date]]),Log_2019[[#This Row],[Split_apply]])) - SUM($O473:R473)</f>
        <v>0</v>
      </c>
      <c r="T473" s="52">
        <f ca="1">Log_2019[[#This Row],[Amount]]/Log_2019[[#This Row],[Split_raw]]*MAX(0,MIN(_xlfn.DAYS(EDATE(T$1,1),Log_2019[[#This Row],[Date]]),Log_2019[[#This Row],[Split_apply]])) - SUM($O473:S473)</f>
        <v>-24.19</v>
      </c>
      <c r="U473" s="52">
        <f ca="1">Log_2019[[#This Row],[Amount]]/Log_2019[[#This Row],[Split_raw]]*MAX(0,MIN(_xlfn.DAYS(EDATE(U$1,1),Log_2019[[#This Row],[Date]]),Log_2019[[#This Row],[Split_apply]])) - SUM($O473:T473)</f>
        <v>0</v>
      </c>
      <c r="V473" s="52">
        <f ca="1">Log_2019[[#This Row],[Amount]]/Log_2019[[#This Row],[Split_raw]]*MAX(0,MIN(_xlfn.DAYS(EDATE(V$1,1),Log_2019[[#This Row],[Date]]),Log_2019[[#This Row],[Split_apply]])) - SUM($O473:U473)</f>
        <v>0</v>
      </c>
      <c r="W473" s="52">
        <f ca="1">Log_2019[[#This Row],[Amount]]/Log_2019[[#This Row],[Split_raw]]*MAX(0,MIN(_xlfn.DAYS(EDATE(W$1,1),Log_2019[[#This Row],[Date]]),Log_2019[[#This Row],[Split_apply]])) - SUM($O473:V473)</f>
        <v>0</v>
      </c>
      <c r="X473" s="52">
        <f ca="1">Log_2019[[#This Row],[Amount]]/Log_2019[[#This Row],[Split_raw]]*MAX(0,MIN(_xlfn.DAYS(EDATE(X$1,1),Log_2019[[#This Row],[Date]]),Log_2019[[#This Row],[Split_apply]])) - SUM($O473:W473)</f>
        <v>0</v>
      </c>
      <c r="Y473" s="52">
        <f ca="1">Log_2019[[#This Row],[Amount]]/Log_2019[[#This Row],[Split_raw]]*MAX(0,MIN(_xlfn.DAYS(EDATE(Y$1,1),Log_2019[[#This Row],[Date]]),Log_2019[[#This Row],[Split_apply]])) - SUM($O473:X473)</f>
        <v>0</v>
      </c>
      <c r="Z473" s="52">
        <f ca="1">Log_2019[[#This Row],[Amount]]/Log_2019[[#This Row],[Split_raw]]*MAX(0,MIN(_xlfn.DAYS(EDATE(Z$1,1),Log_2019[[#This Row],[Date]]),Log_2019[[#This Row],[Split_apply]])) - SUM($O473:Y473)</f>
        <v>0</v>
      </c>
      <c r="AA473" s="52">
        <f ca="1">Log_2019[[#This Row],[Amount]]/Log_2019[[#This Row],[Split_raw]]*MAX(0,MIN(_xlfn.DAYS(EDATE(AA$1,1),Log_2019[[#This Row],[Date]]),Log_2019[[#This Row],[Split_apply]])) - SUM($O473:Z473)</f>
        <v>0</v>
      </c>
      <c r="AB473" s="54">
        <f ca="1">Log_2019[[#This Row],[Amount]]-SUM(O473:AA473)</f>
        <v>0</v>
      </c>
      <c r="AC473" s="7">
        <f>MAX(0,Log_2019[[#This Row],[Split_raw]] - (EDATE(AA$1,1)-Log_2019[[#This Row],[Date]]))</f>
        <v>0</v>
      </c>
    </row>
    <row r="474" spans="1:29" x14ac:dyDescent="0.25">
      <c r="A474" s="42"/>
      <c r="B474" s="34" t="s">
        <v>6</v>
      </c>
      <c r="C474" s="34"/>
      <c r="D474" s="35">
        <v>43596</v>
      </c>
      <c r="E474" s="34"/>
      <c r="F474" s="34" t="s">
        <v>345</v>
      </c>
      <c r="G474" s="34" t="s">
        <v>12</v>
      </c>
      <c r="H474" s="36">
        <v>-12.64</v>
      </c>
      <c r="I474" s="36">
        <f>IF(Log_2019[[#This Row],[My Category]]="NONTRACKED",0,Log_2019[[#This Row],[Raw Amount]])</f>
        <v>-12.64</v>
      </c>
      <c r="J474" s="37">
        <f>ABS(Log_2019[[#This Row],[Amount]])</f>
        <v>12.64</v>
      </c>
      <c r="K474" s="38">
        <v>1</v>
      </c>
      <c r="L474" s="38">
        <f ca="1">IF(Log_2019[[#This Row],[Date]]&lt;=TODAY(), MIN(Log_2019[[#This Row],[Split_raw]], TODAY()-Log_2019[[#This Row],[Date]]+1), 0)</f>
        <v>1</v>
      </c>
      <c r="M474" s="34" t="s">
        <v>12</v>
      </c>
      <c r="N474" s="34" t="s">
        <v>158</v>
      </c>
      <c r="O474" s="7">
        <v>0</v>
      </c>
      <c r="P474" s="52">
        <f ca="1">Log_2019[[#This Row],[Amount]]/Log_2019[[#This Row],[Split_raw]]*MAX(0,MIN(_xlfn.DAYS(EDATE(P$1,1),Log_2019[[#This Row],[Date]]),Log_2019[[#This Row],[Split_apply]])) - SUM($O474:O474)</f>
        <v>0</v>
      </c>
      <c r="Q474" s="52">
        <f ca="1">Log_2019[[#This Row],[Amount]]/Log_2019[[#This Row],[Split_raw]]*MAX(0,MIN(_xlfn.DAYS(EDATE(Q$1,1),Log_2019[[#This Row],[Date]]),Log_2019[[#This Row],[Split_apply]])) - SUM($O474:P474)</f>
        <v>0</v>
      </c>
      <c r="R474" s="52">
        <f ca="1">Log_2019[[#This Row],[Amount]]/Log_2019[[#This Row],[Split_raw]]*MAX(0,MIN(_xlfn.DAYS(EDATE(R$1,1),Log_2019[[#This Row],[Date]]),Log_2019[[#This Row],[Split_apply]])) - SUM($O474:Q474)</f>
        <v>0</v>
      </c>
      <c r="S474" s="52">
        <f ca="1">Log_2019[[#This Row],[Amount]]/Log_2019[[#This Row],[Split_raw]]*MAX(0,MIN(_xlfn.DAYS(EDATE(S$1,1),Log_2019[[#This Row],[Date]]),Log_2019[[#This Row],[Split_apply]])) - SUM($O474:R474)</f>
        <v>0</v>
      </c>
      <c r="T474" s="52">
        <f ca="1">Log_2019[[#This Row],[Amount]]/Log_2019[[#This Row],[Split_raw]]*MAX(0,MIN(_xlfn.DAYS(EDATE(T$1,1),Log_2019[[#This Row],[Date]]),Log_2019[[#This Row],[Split_apply]])) - SUM($O474:S474)</f>
        <v>-12.64</v>
      </c>
      <c r="U474" s="52">
        <f ca="1">Log_2019[[#This Row],[Amount]]/Log_2019[[#This Row],[Split_raw]]*MAX(0,MIN(_xlfn.DAYS(EDATE(U$1,1),Log_2019[[#This Row],[Date]]),Log_2019[[#This Row],[Split_apply]])) - SUM($O474:T474)</f>
        <v>0</v>
      </c>
      <c r="V474" s="52">
        <f ca="1">Log_2019[[#This Row],[Amount]]/Log_2019[[#This Row],[Split_raw]]*MAX(0,MIN(_xlfn.DAYS(EDATE(V$1,1),Log_2019[[#This Row],[Date]]),Log_2019[[#This Row],[Split_apply]])) - SUM($O474:U474)</f>
        <v>0</v>
      </c>
      <c r="W474" s="52">
        <f ca="1">Log_2019[[#This Row],[Amount]]/Log_2019[[#This Row],[Split_raw]]*MAX(0,MIN(_xlfn.DAYS(EDATE(W$1,1),Log_2019[[#This Row],[Date]]),Log_2019[[#This Row],[Split_apply]])) - SUM($O474:V474)</f>
        <v>0</v>
      </c>
      <c r="X474" s="52">
        <f ca="1">Log_2019[[#This Row],[Amount]]/Log_2019[[#This Row],[Split_raw]]*MAX(0,MIN(_xlfn.DAYS(EDATE(X$1,1),Log_2019[[#This Row],[Date]]),Log_2019[[#This Row],[Split_apply]])) - SUM($O474:W474)</f>
        <v>0</v>
      </c>
      <c r="Y474" s="52">
        <f ca="1">Log_2019[[#This Row],[Amount]]/Log_2019[[#This Row],[Split_raw]]*MAX(0,MIN(_xlfn.DAYS(EDATE(Y$1,1),Log_2019[[#This Row],[Date]]),Log_2019[[#This Row],[Split_apply]])) - SUM($O474:X474)</f>
        <v>0</v>
      </c>
      <c r="Z474" s="52">
        <f ca="1">Log_2019[[#This Row],[Amount]]/Log_2019[[#This Row],[Split_raw]]*MAX(0,MIN(_xlfn.DAYS(EDATE(Z$1,1),Log_2019[[#This Row],[Date]]),Log_2019[[#This Row],[Split_apply]])) - SUM($O474:Y474)</f>
        <v>0</v>
      </c>
      <c r="AA474" s="52">
        <f ca="1">Log_2019[[#This Row],[Amount]]/Log_2019[[#This Row],[Split_raw]]*MAX(0,MIN(_xlfn.DAYS(EDATE(AA$1,1),Log_2019[[#This Row],[Date]]),Log_2019[[#This Row],[Split_apply]])) - SUM($O474:Z474)</f>
        <v>0</v>
      </c>
      <c r="AB474" s="54">
        <f ca="1">Log_2019[[#This Row],[Amount]]-SUM(O474:AA474)</f>
        <v>0</v>
      </c>
      <c r="AC474" s="7">
        <f>MAX(0,Log_2019[[#This Row],[Split_raw]] - (EDATE(AA$1,1)-Log_2019[[#This Row],[Date]]))</f>
        <v>0</v>
      </c>
    </row>
    <row r="475" spans="1:29" x14ac:dyDescent="0.25">
      <c r="A475" s="42"/>
      <c r="B475" s="34" t="s">
        <v>6</v>
      </c>
      <c r="C475" s="34"/>
      <c r="D475" s="35">
        <v>43596</v>
      </c>
      <c r="E475" s="34"/>
      <c r="F475" s="34" t="s">
        <v>345</v>
      </c>
      <c r="G475" s="34" t="s">
        <v>12</v>
      </c>
      <c r="H475" s="36">
        <v>-141.94</v>
      </c>
      <c r="I475" s="36">
        <f>IF(Log_2019[[#This Row],[My Category]]="NONTRACKED",0,Log_2019[[#This Row],[Raw Amount]])</f>
        <v>-141.94</v>
      </c>
      <c r="J475" s="37">
        <f>ABS(Log_2019[[#This Row],[Amount]])</f>
        <v>141.94</v>
      </c>
      <c r="K475" s="38">
        <v>1</v>
      </c>
      <c r="L475" s="38">
        <f ca="1">IF(Log_2019[[#This Row],[Date]]&lt;=TODAY(), MIN(Log_2019[[#This Row],[Split_raw]], TODAY()-Log_2019[[#This Row],[Date]]+1), 0)</f>
        <v>1</v>
      </c>
      <c r="M475" s="34" t="s">
        <v>12</v>
      </c>
      <c r="N475" s="34" t="s">
        <v>158</v>
      </c>
      <c r="O475" s="7">
        <v>0</v>
      </c>
      <c r="P475" s="52">
        <f ca="1">Log_2019[[#This Row],[Amount]]/Log_2019[[#This Row],[Split_raw]]*MAX(0,MIN(_xlfn.DAYS(EDATE(P$1,1),Log_2019[[#This Row],[Date]]),Log_2019[[#This Row],[Split_apply]])) - SUM($O475:O475)</f>
        <v>0</v>
      </c>
      <c r="Q475" s="52">
        <f ca="1">Log_2019[[#This Row],[Amount]]/Log_2019[[#This Row],[Split_raw]]*MAX(0,MIN(_xlfn.DAYS(EDATE(Q$1,1),Log_2019[[#This Row],[Date]]),Log_2019[[#This Row],[Split_apply]])) - SUM($O475:P475)</f>
        <v>0</v>
      </c>
      <c r="R475" s="52">
        <f ca="1">Log_2019[[#This Row],[Amount]]/Log_2019[[#This Row],[Split_raw]]*MAX(0,MIN(_xlfn.DAYS(EDATE(R$1,1),Log_2019[[#This Row],[Date]]),Log_2019[[#This Row],[Split_apply]])) - SUM($O475:Q475)</f>
        <v>0</v>
      </c>
      <c r="S475" s="52">
        <f ca="1">Log_2019[[#This Row],[Amount]]/Log_2019[[#This Row],[Split_raw]]*MAX(0,MIN(_xlfn.DAYS(EDATE(S$1,1),Log_2019[[#This Row],[Date]]),Log_2019[[#This Row],[Split_apply]])) - SUM($O475:R475)</f>
        <v>0</v>
      </c>
      <c r="T475" s="52">
        <f ca="1">Log_2019[[#This Row],[Amount]]/Log_2019[[#This Row],[Split_raw]]*MAX(0,MIN(_xlfn.DAYS(EDATE(T$1,1),Log_2019[[#This Row],[Date]]),Log_2019[[#This Row],[Split_apply]])) - SUM($O475:S475)</f>
        <v>-141.94</v>
      </c>
      <c r="U475" s="52">
        <f ca="1">Log_2019[[#This Row],[Amount]]/Log_2019[[#This Row],[Split_raw]]*MAX(0,MIN(_xlfn.DAYS(EDATE(U$1,1),Log_2019[[#This Row],[Date]]),Log_2019[[#This Row],[Split_apply]])) - SUM($O475:T475)</f>
        <v>0</v>
      </c>
      <c r="V475" s="52">
        <f ca="1">Log_2019[[#This Row],[Amount]]/Log_2019[[#This Row],[Split_raw]]*MAX(0,MIN(_xlfn.DAYS(EDATE(V$1,1),Log_2019[[#This Row],[Date]]),Log_2019[[#This Row],[Split_apply]])) - SUM($O475:U475)</f>
        <v>0</v>
      </c>
      <c r="W475" s="52">
        <f ca="1">Log_2019[[#This Row],[Amount]]/Log_2019[[#This Row],[Split_raw]]*MAX(0,MIN(_xlfn.DAYS(EDATE(W$1,1),Log_2019[[#This Row],[Date]]),Log_2019[[#This Row],[Split_apply]])) - SUM($O475:V475)</f>
        <v>0</v>
      </c>
      <c r="X475" s="52">
        <f ca="1">Log_2019[[#This Row],[Amount]]/Log_2019[[#This Row],[Split_raw]]*MAX(0,MIN(_xlfn.DAYS(EDATE(X$1,1),Log_2019[[#This Row],[Date]]),Log_2019[[#This Row],[Split_apply]])) - SUM($O475:W475)</f>
        <v>0</v>
      </c>
      <c r="Y475" s="52">
        <f ca="1">Log_2019[[#This Row],[Amount]]/Log_2019[[#This Row],[Split_raw]]*MAX(0,MIN(_xlfn.DAYS(EDATE(Y$1,1),Log_2019[[#This Row],[Date]]),Log_2019[[#This Row],[Split_apply]])) - SUM($O475:X475)</f>
        <v>0</v>
      </c>
      <c r="Z475" s="52">
        <f ca="1">Log_2019[[#This Row],[Amount]]/Log_2019[[#This Row],[Split_raw]]*MAX(0,MIN(_xlfn.DAYS(EDATE(Z$1,1),Log_2019[[#This Row],[Date]]),Log_2019[[#This Row],[Split_apply]])) - SUM($O475:Y475)</f>
        <v>0</v>
      </c>
      <c r="AA475" s="52">
        <f ca="1">Log_2019[[#This Row],[Amount]]/Log_2019[[#This Row],[Split_raw]]*MAX(0,MIN(_xlfn.DAYS(EDATE(AA$1,1),Log_2019[[#This Row],[Date]]),Log_2019[[#This Row],[Split_apply]])) - SUM($O475:Z475)</f>
        <v>0</v>
      </c>
      <c r="AB475" s="54">
        <f ca="1">Log_2019[[#This Row],[Amount]]-SUM(O475:AA475)</f>
        <v>0</v>
      </c>
      <c r="AC475" s="7">
        <f>MAX(0,Log_2019[[#This Row],[Split_raw]] - (EDATE(AA$1,1)-Log_2019[[#This Row],[Date]]))</f>
        <v>0</v>
      </c>
    </row>
    <row r="476" spans="1:29" x14ac:dyDescent="0.25">
      <c r="A476" s="42"/>
      <c r="B476" s="34" t="s">
        <v>6</v>
      </c>
      <c r="C476" s="34"/>
      <c r="D476" s="35">
        <v>43596</v>
      </c>
      <c r="E476" s="34"/>
      <c r="F476" s="34" t="s">
        <v>529</v>
      </c>
      <c r="G476" s="34" t="s">
        <v>25</v>
      </c>
      <c r="H476" s="36">
        <v>-96.76</v>
      </c>
      <c r="I476" s="36">
        <f>IF(Log_2019[[#This Row],[My Category]]="NONTRACKED",0,Log_2019[[#This Row],[Raw Amount]])</f>
        <v>-96.76</v>
      </c>
      <c r="J476" s="37">
        <f>ABS(Log_2019[[#This Row],[Amount]])</f>
        <v>96.76</v>
      </c>
      <c r="K476" s="38">
        <v>1</v>
      </c>
      <c r="L476" s="38">
        <f ca="1">IF(Log_2019[[#This Row],[Date]]&lt;=TODAY(), MIN(Log_2019[[#This Row],[Split_raw]], TODAY()-Log_2019[[#This Row],[Date]]+1), 0)</f>
        <v>1</v>
      </c>
      <c r="M476" s="34" t="s">
        <v>42</v>
      </c>
      <c r="N476" s="34" t="s">
        <v>158</v>
      </c>
      <c r="O476" s="7">
        <v>0</v>
      </c>
      <c r="P476" s="52">
        <f ca="1">Log_2019[[#This Row],[Amount]]/Log_2019[[#This Row],[Split_raw]]*MAX(0,MIN(_xlfn.DAYS(EDATE(P$1,1),Log_2019[[#This Row],[Date]]),Log_2019[[#This Row],[Split_apply]])) - SUM($O476:O476)</f>
        <v>0</v>
      </c>
      <c r="Q476" s="52">
        <f ca="1">Log_2019[[#This Row],[Amount]]/Log_2019[[#This Row],[Split_raw]]*MAX(0,MIN(_xlfn.DAYS(EDATE(Q$1,1),Log_2019[[#This Row],[Date]]),Log_2019[[#This Row],[Split_apply]])) - SUM($O476:P476)</f>
        <v>0</v>
      </c>
      <c r="R476" s="52">
        <f ca="1">Log_2019[[#This Row],[Amount]]/Log_2019[[#This Row],[Split_raw]]*MAX(0,MIN(_xlfn.DAYS(EDATE(R$1,1),Log_2019[[#This Row],[Date]]),Log_2019[[#This Row],[Split_apply]])) - SUM($O476:Q476)</f>
        <v>0</v>
      </c>
      <c r="S476" s="52">
        <f ca="1">Log_2019[[#This Row],[Amount]]/Log_2019[[#This Row],[Split_raw]]*MAX(0,MIN(_xlfn.DAYS(EDATE(S$1,1),Log_2019[[#This Row],[Date]]),Log_2019[[#This Row],[Split_apply]])) - SUM($O476:R476)</f>
        <v>0</v>
      </c>
      <c r="T476" s="52">
        <f ca="1">Log_2019[[#This Row],[Amount]]/Log_2019[[#This Row],[Split_raw]]*MAX(0,MIN(_xlfn.DAYS(EDATE(T$1,1),Log_2019[[#This Row],[Date]]),Log_2019[[#This Row],[Split_apply]])) - SUM($O476:S476)</f>
        <v>-96.76</v>
      </c>
      <c r="U476" s="52">
        <f ca="1">Log_2019[[#This Row],[Amount]]/Log_2019[[#This Row],[Split_raw]]*MAX(0,MIN(_xlfn.DAYS(EDATE(U$1,1),Log_2019[[#This Row],[Date]]),Log_2019[[#This Row],[Split_apply]])) - SUM($O476:T476)</f>
        <v>0</v>
      </c>
      <c r="V476" s="52">
        <f ca="1">Log_2019[[#This Row],[Amount]]/Log_2019[[#This Row],[Split_raw]]*MAX(0,MIN(_xlfn.DAYS(EDATE(V$1,1),Log_2019[[#This Row],[Date]]),Log_2019[[#This Row],[Split_apply]])) - SUM($O476:U476)</f>
        <v>0</v>
      </c>
      <c r="W476" s="52">
        <f ca="1">Log_2019[[#This Row],[Amount]]/Log_2019[[#This Row],[Split_raw]]*MAX(0,MIN(_xlfn.DAYS(EDATE(W$1,1),Log_2019[[#This Row],[Date]]),Log_2019[[#This Row],[Split_apply]])) - SUM($O476:V476)</f>
        <v>0</v>
      </c>
      <c r="X476" s="52">
        <f ca="1">Log_2019[[#This Row],[Amount]]/Log_2019[[#This Row],[Split_raw]]*MAX(0,MIN(_xlfn.DAYS(EDATE(X$1,1),Log_2019[[#This Row],[Date]]),Log_2019[[#This Row],[Split_apply]])) - SUM($O476:W476)</f>
        <v>0</v>
      </c>
      <c r="Y476" s="52">
        <f ca="1">Log_2019[[#This Row],[Amount]]/Log_2019[[#This Row],[Split_raw]]*MAX(0,MIN(_xlfn.DAYS(EDATE(Y$1,1),Log_2019[[#This Row],[Date]]),Log_2019[[#This Row],[Split_apply]])) - SUM($O476:X476)</f>
        <v>0</v>
      </c>
      <c r="Z476" s="52">
        <f ca="1">Log_2019[[#This Row],[Amount]]/Log_2019[[#This Row],[Split_raw]]*MAX(0,MIN(_xlfn.DAYS(EDATE(Z$1,1),Log_2019[[#This Row],[Date]]),Log_2019[[#This Row],[Split_apply]])) - SUM($O476:Y476)</f>
        <v>0</v>
      </c>
      <c r="AA476" s="52">
        <f ca="1">Log_2019[[#This Row],[Amount]]/Log_2019[[#This Row],[Split_raw]]*MAX(0,MIN(_xlfn.DAYS(EDATE(AA$1,1),Log_2019[[#This Row],[Date]]),Log_2019[[#This Row],[Split_apply]])) - SUM($O476:Z476)</f>
        <v>0</v>
      </c>
      <c r="AB476" s="54">
        <f ca="1">Log_2019[[#This Row],[Amount]]-SUM(O476:AA476)</f>
        <v>0</v>
      </c>
      <c r="AC476" s="7">
        <f>MAX(0,Log_2019[[#This Row],[Split_raw]] - (EDATE(AA$1,1)-Log_2019[[#This Row],[Date]]))</f>
        <v>0</v>
      </c>
    </row>
    <row r="477" spans="1:29" x14ac:dyDescent="0.25">
      <c r="A477" s="42"/>
      <c r="B477" s="34" t="s">
        <v>6</v>
      </c>
      <c r="C477" s="34"/>
      <c r="D477" s="35">
        <v>43596</v>
      </c>
      <c r="E477" s="34"/>
      <c r="F477" s="34" t="s">
        <v>229</v>
      </c>
      <c r="G477" s="34" t="s">
        <v>12</v>
      </c>
      <c r="H477" s="36">
        <v>-20.51</v>
      </c>
      <c r="I477" s="36">
        <f>IF(Log_2019[[#This Row],[My Category]]="NONTRACKED",0,Log_2019[[#This Row],[Raw Amount]])</f>
        <v>-20.51</v>
      </c>
      <c r="J477" s="37">
        <f>ABS(Log_2019[[#This Row],[Amount]])</f>
        <v>20.51</v>
      </c>
      <c r="K477" s="38">
        <v>1</v>
      </c>
      <c r="L477" s="38">
        <f ca="1">IF(Log_2019[[#This Row],[Date]]&lt;=TODAY(), MIN(Log_2019[[#This Row],[Split_raw]], TODAY()-Log_2019[[#This Row],[Date]]+1), 0)</f>
        <v>1</v>
      </c>
      <c r="M477" s="34" t="s">
        <v>42</v>
      </c>
      <c r="N477" s="34" t="s">
        <v>158</v>
      </c>
      <c r="O477" s="7">
        <v>0</v>
      </c>
      <c r="P477" s="52">
        <f ca="1">Log_2019[[#This Row],[Amount]]/Log_2019[[#This Row],[Split_raw]]*MAX(0,MIN(_xlfn.DAYS(EDATE(P$1,1),Log_2019[[#This Row],[Date]]),Log_2019[[#This Row],[Split_apply]])) - SUM($O477:O477)</f>
        <v>0</v>
      </c>
      <c r="Q477" s="52">
        <f ca="1">Log_2019[[#This Row],[Amount]]/Log_2019[[#This Row],[Split_raw]]*MAX(0,MIN(_xlfn.DAYS(EDATE(Q$1,1),Log_2019[[#This Row],[Date]]),Log_2019[[#This Row],[Split_apply]])) - SUM($O477:P477)</f>
        <v>0</v>
      </c>
      <c r="R477" s="52">
        <f ca="1">Log_2019[[#This Row],[Amount]]/Log_2019[[#This Row],[Split_raw]]*MAX(0,MIN(_xlfn.DAYS(EDATE(R$1,1),Log_2019[[#This Row],[Date]]),Log_2019[[#This Row],[Split_apply]])) - SUM($O477:Q477)</f>
        <v>0</v>
      </c>
      <c r="S477" s="52">
        <f ca="1">Log_2019[[#This Row],[Amount]]/Log_2019[[#This Row],[Split_raw]]*MAX(0,MIN(_xlfn.DAYS(EDATE(S$1,1),Log_2019[[#This Row],[Date]]),Log_2019[[#This Row],[Split_apply]])) - SUM($O477:R477)</f>
        <v>0</v>
      </c>
      <c r="T477" s="52">
        <f ca="1">Log_2019[[#This Row],[Amount]]/Log_2019[[#This Row],[Split_raw]]*MAX(0,MIN(_xlfn.DAYS(EDATE(T$1,1),Log_2019[[#This Row],[Date]]),Log_2019[[#This Row],[Split_apply]])) - SUM($O477:S477)</f>
        <v>-20.51</v>
      </c>
      <c r="U477" s="52">
        <f ca="1">Log_2019[[#This Row],[Amount]]/Log_2019[[#This Row],[Split_raw]]*MAX(0,MIN(_xlfn.DAYS(EDATE(U$1,1),Log_2019[[#This Row],[Date]]),Log_2019[[#This Row],[Split_apply]])) - SUM($O477:T477)</f>
        <v>0</v>
      </c>
      <c r="V477" s="52">
        <f ca="1">Log_2019[[#This Row],[Amount]]/Log_2019[[#This Row],[Split_raw]]*MAX(0,MIN(_xlfn.DAYS(EDATE(V$1,1),Log_2019[[#This Row],[Date]]),Log_2019[[#This Row],[Split_apply]])) - SUM($O477:U477)</f>
        <v>0</v>
      </c>
      <c r="W477" s="52">
        <f ca="1">Log_2019[[#This Row],[Amount]]/Log_2019[[#This Row],[Split_raw]]*MAX(0,MIN(_xlfn.DAYS(EDATE(W$1,1),Log_2019[[#This Row],[Date]]),Log_2019[[#This Row],[Split_apply]])) - SUM($O477:V477)</f>
        <v>0</v>
      </c>
      <c r="X477" s="52">
        <f ca="1">Log_2019[[#This Row],[Amount]]/Log_2019[[#This Row],[Split_raw]]*MAX(0,MIN(_xlfn.DAYS(EDATE(X$1,1),Log_2019[[#This Row],[Date]]),Log_2019[[#This Row],[Split_apply]])) - SUM($O477:W477)</f>
        <v>0</v>
      </c>
      <c r="Y477" s="52">
        <f ca="1">Log_2019[[#This Row],[Amount]]/Log_2019[[#This Row],[Split_raw]]*MAX(0,MIN(_xlfn.DAYS(EDATE(Y$1,1),Log_2019[[#This Row],[Date]]),Log_2019[[#This Row],[Split_apply]])) - SUM($O477:X477)</f>
        <v>0</v>
      </c>
      <c r="Z477" s="52">
        <f ca="1">Log_2019[[#This Row],[Amount]]/Log_2019[[#This Row],[Split_raw]]*MAX(0,MIN(_xlfn.DAYS(EDATE(Z$1,1),Log_2019[[#This Row],[Date]]),Log_2019[[#This Row],[Split_apply]])) - SUM($O477:Y477)</f>
        <v>0</v>
      </c>
      <c r="AA477" s="52">
        <f ca="1">Log_2019[[#This Row],[Amount]]/Log_2019[[#This Row],[Split_raw]]*MAX(0,MIN(_xlfn.DAYS(EDATE(AA$1,1),Log_2019[[#This Row],[Date]]),Log_2019[[#This Row],[Split_apply]])) - SUM($O477:Z477)</f>
        <v>0</v>
      </c>
      <c r="AB477" s="54">
        <f ca="1">Log_2019[[#This Row],[Amount]]-SUM(O477:AA477)</f>
        <v>0</v>
      </c>
      <c r="AC477" s="7">
        <f>MAX(0,Log_2019[[#This Row],[Split_raw]] - (EDATE(AA$1,1)-Log_2019[[#This Row],[Date]]))</f>
        <v>0</v>
      </c>
    </row>
    <row r="478" spans="1:29" x14ac:dyDescent="0.25">
      <c r="A478" s="42"/>
      <c r="B478" s="34" t="s">
        <v>490</v>
      </c>
      <c r="C478" s="34">
        <v>2.74179593798995E+18</v>
      </c>
      <c r="D478" s="41">
        <v>43596</v>
      </c>
      <c r="E478" s="34" t="s">
        <v>881</v>
      </c>
      <c r="F478" s="34" t="s">
        <v>722</v>
      </c>
      <c r="G478" s="34"/>
      <c r="H478" s="45">
        <v>16.38</v>
      </c>
      <c r="I478" s="36">
        <f>IF(Log_2019[[#This Row],[My Category]]="NONTRACKED",0,Log_2019[[#This Row],[Raw Amount]])</f>
        <v>16.38</v>
      </c>
      <c r="J478" s="37">
        <f>ABS(Log_2019[[#This Row],[Amount]])</f>
        <v>16.38</v>
      </c>
      <c r="K478" s="38">
        <v>1</v>
      </c>
      <c r="L478" s="38">
        <f ca="1">IF(Log_2019[[#This Row],[Date]]&lt;=TODAY(), MIN(Log_2019[[#This Row],[Split_raw]], TODAY()-Log_2019[[#This Row],[Date]]+1), 0)</f>
        <v>1</v>
      </c>
      <c r="M478" s="34" t="s">
        <v>42</v>
      </c>
      <c r="N478" s="34" t="s">
        <v>490</v>
      </c>
      <c r="O478" s="7">
        <v>0</v>
      </c>
      <c r="P478" s="52">
        <f ca="1">Log_2019[[#This Row],[Amount]]/Log_2019[[#This Row],[Split_raw]]*MAX(0,MIN(_xlfn.DAYS(EDATE(P$1,1),Log_2019[[#This Row],[Date]]),Log_2019[[#This Row],[Split_apply]])) - SUM($O478:O478)</f>
        <v>0</v>
      </c>
      <c r="Q478" s="52">
        <f ca="1">Log_2019[[#This Row],[Amount]]/Log_2019[[#This Row],[Split_raw]]*MAX(0,MIN(_xlfn.DAYS(EDATE(Q$1,1),Log_2019[[#This Row],[Date]]),Log_2019[[#This Row],[Split_apply]])) - SUM($O478:P478)</f>
        <v>0</v>
      </c>
      <c r="R478" s="52">
        <f ca="1">Log_2019[[#This Row],[Amount]]/Log_2019[[#This Row],[Split_raw]]*MAX(0,MIN(_xlfn.DAYS(EDATE(R$1,1),Log_2019[[#This Row],[Date]]),Log_2019[[#This Row],[Split_apply]])) - SUM($O478:Q478)</f>
        <v>0</v>
      </c>
      <c r="S478" s="52">
        <f ca="1">Log_2019[[#This Row],[Amount]]/Log_2019[[#This Row],[Split_raw]]*MAX(0,MIN(_xlfn.DAYS(EDATE(S$1,1),Log_2019[[#This Row],[Date]]),Log_2019[[#This Row],[Split_apply]])) - SUM($O478:R478)</f>
        <v>0</v>
      </c>
      <c r="T478" s="52">
        <f ca="1">Log_2019[[#This Row],[Amount]]/Log_2019[[#This Row],[Split_raw]]*MAX(0,MIN(_xlfn.DAYS(EDATE(T$1,1),Log_2019[[#This Row],[Date]]),Log_2019[[#This Row],[Split_apply]])) - SUM($O478:S478)</f>
        <v>16.38</v>
      </c>
      <c r="U478" s="52">
        <f ca="1">Log_2019[[#This Row],[Amount]]/Log_2019[[#This Row],[Split_raw]]*MAX(0,MIN(_xlfn.DAYS(EDATE(U$1,1),Log_2019[[#This Row],[Date]]),Log_2019[[#This Row],[Split_apply]])) - SUM($O478:T478)</f>
        <v>0</v>
      </c>
      <c r="V478" s="52">
        <f ca="1">Log_2019[[#This Row],[Amount]]/Log_2019[[#This Row],[Split_raw]]*MAX(0,MIN(_xlfn.DAYS(EDATE(V$1,1),Log_2019[[#This Row],[Date]]),Log_2019[[#This Row],[Split_apply]])) - SUM($O478:U478)</f>
        <v>0</v>
      </c>
      <c r="W478" s="52">
        <f ca="1">Log_2019[[#This Row],[Amount]]/Log_2019[[#This Row],[Split_raw]]*MAX(0,MIN(_xlfn.DAYS(EDATE(W$1,1),Log_2019[[#This Row],[Date]]),Log_2019[[#This Row],[Split_apply]])) - SUM($O478:V478)</f>
        <v>0</v>
      </c>
      <c r="X478" s="52">
        <f ca="1">Log_2019[[#This Row],[Amount]]/Log_2019[[#This Row],[Split_raw]]*MAX(0,MIN(_xlfn.DAYS(EDATE(X$1,1),Log_2019[[#This Row],[Date]]),Log_2019[[#This Row],[Split_apply]])) - SUM($O478:W478)</f>
        <v>0</v>
      </c>
      <c r="Y478" s="52">
        <f ca="1">Log_2019[[#This Row],[Amount]]/Log_2019[[#This Row],[Split_raw]]*MAX(0,MIN(_xlfn.DAYS(EDATE(Y$1,1),Log_2019[[#This Row],[Date]]),Log_2019[[#This Row],[Split_apply]])) - SUM($O478:X478)</f>
        <v>0</v>
      </c>
      <c r="Z478" s="52">
        <f ca="1">Log_2019[[#This Row],[Amount]]/Log_2019[[#This Row],[Split_raw]]*MAX(0,MIN(_xlfn.DAYS(EDATE(Z$1,1),Log_2019[[#This Row],[Date]]),Log_2019[[#This Row],[Split_apply]])) - SUM($O478:Y478)</f>
        <v>0</v>
      </c>
      <c r="AA478" s="52">
        <f ca="1">Log_2019[[#This Row],[Amount]]/Log_2019[[#This Row],[Split_raw]]*MAX(0,MIN(_xlfn.DAYS(EDATE(AA$1,1),Log_2019[[#This Row],[Date]]),Log_2019[[#This Row],[Split_apply]])) - SUM($O478:Z478)</f>
        <v>0</v>
      </c>
      <c r="AB478" s="54">
        <f ca="1">Log_2019[[#This Row],[Amount]]-SUM(O478:AA478)</f>
        <v>0</v>
      </c>
      <c r="AC478" s="7">
        <f>MAX(0,Log_2019[[#This Row],[Split_raw]] - (EDATE(AA$1,1)-Log_2019[[#This Row],[Date]]))</f>
        <v>0</v>
      </c>
    </row>
    <row r="479" spans="1:29" x14ac:dyDescent="0.25">
      <c r="A479" s="42"/>
      <c r="B479" s="34" t="s">
        <v>490</v>
      </c>
      <c r="C479" s="34">
        <v>2.7417962082457298E+18</v>
      </c>
      <c r="D479" s="41">
        <v>43596</v>
      </c>
      <c r="E479" s="34" t="s">
        <v>881</v>
      </c>
      <c r="F479" s="34" t="s">
        <v>723</v>
      </c>
      <c r="G479" s="34"/>
      <c r="H479" s="45">
        <v>13</v>
      </c>
      <c r="I479" s="36">
        <f>IF(Log_2019[[#This Row],[My Category]]="NONTRACKED",0,Log_2019[[#This Row],[Raw Amount]])</f>
        <v>13</v>
      </c>
      <c r="J479" s="37">
        <f>ABS(Log_2019[[#This Row],[Amount]])</f>
        <v>13</v>
      </c>
      <c r="K479" s="38">
        <v>1</v>
      </c>
      <c r="L479" s="38">
        <f ca="1">IF(Log_2019[[#This Row],[Date]]&lt;=TODAY(), MIN(Log_2019[[#This Row],[Split_raw]], TODAY()-Log_2019[[#This Row],[Date]]+1), 0)</f>
        <v>1</v>
      </c>
      <c r="M479" s="34" t="s">
        <v>42</v>
      </c>
      <c r="N479" s="34" t="s">
        <v>490</v>
      </c>
      <c r="O479" s="7">
        <v>0</v>
      </c>
      <c r="P479" s="52">
        <f ca="1">Log_2019[[#This Row],[Amount]]/Log_2019[[#This Row],[Split_raw]]*MAX(0,MIN(_xlfn.DAYS(EDATE(P$1,1),Log_2019[[#This Row],[Date]]),Log_2019[[#This Row],[Split_apply]])) - SUM($O479:O479)</f>
        <v>0</v>
      </c>
      <c r="Q479" s="52">
        <f ca="1">Log_2019[[#This Row],[Amount]]/Log_2019[[#This Row],[Split_raw]]*MAX(0,MIN(_xlfn.DAYS(EDATE(Q$1,1),Log_2019[[#This Row],[Date]]),Log_2019[[#This Row],[Split_apply]])) - SUM($O479:P479)</f>
        <v>0</v>
      </c>
      <c r="R479" s="52">
        <f ca="1">Log_2019[[#This Row],[Amount]]/Log_2019[[#This Row],[Split_raw]]*MAX(0,MIN(_xlfn.DAYS(EDATE(R$1,1),Log_2019[[#This Row],[Date]]),Log_2019[[#This Row],[Split_apply]])) - SUM($O479:Q479)</f>
        <v>0</v>
      </c>
      <c r="S479" s="52">
        <f ca="1">Log_2019[[#This Row],[Amount]]/Log_2019[[#This Row],[Split_raw]]*MAX(0,MIN(_xlfn.DAYS(EDATE(S$1,1),Log_2019[[#This Row],[Date]]),Log_2019[[#This Row],[Split_apply]])) - SUM($O479:R479)</f>
        <v>0</v>
      </c>
      <c r="T479" s="52">
        <f ca="1">Log_2019[[#This Row],[Amount]]/Log_2019[[#This Row],[Split_raw]]*MAX(0,MIN(_xlfn.DAYS(EDATE(T$1,1),Log_2019[[#This Row],[Date]]),Log_2019[[#This Row],[Split_apply]])) - SUM($O479:S479)</f>
        <v>13</v>
      </c>
      <c r="U479" s="52">
        <f ca="1">Log_2019[[#This Row],[Amount]]/Log_2019[[#This Row],[Split_raw]]*MAX(0,MIN(_xlfn.DAYS(EDATE(U$1,1),Log_2019[[#This Row],[Date]]),Log_2019[[#This Row],[Split_apply]])) - SUM($O479:T479)</f>
        <v>0</v>
      </c>
      <c r="V479" s="52">
        <f ca="1">Log_2019[[#This Row],[Amount]]/Log_2019[[#This Row],[Split_raw]]*MAX(0,MIN(_xlfn.DAYS(EDATE(V$1,1),Log_2019[[#This Row],[Date]]),Log_2019[[#This Row],[Split_apply]])) - SUM($O479:U479)</f>
        <v>0</v>
      </c>
      <c r="W479" s="52">
        <f ca="1">Log_2019[[#This Row],[Amount]]/Log_2019[[#This Row],[Split_raw]]*MAX(0,MIN(_xlfn.DAYS(EDATE(W$1,1),Log_2019[[#This Row],[Date]]),Log_2019[[#This Row],[Split_apply]])) - SUM($O479:V479)</f>
        <v>0</v>
      </c>
      <c r="X479" s="52">
        <f ca="1">Log_2019[[#This Row],[Amount]]/Log_2019[[#This Row],[Split_raw]]*MAX(0,MIN(_xlfn.DAYS(EDATE(X$1,1),Log_2019[[#This Row],[Date]]),Log_2019[[#This Row],[Split_apply]])) - SUM($O479:W479)</f>
        <v>0</v>
      </c>
      <c r="Y479" s="52">
        <f ca="1">Log_2019[[#This Row],[Amount]]/Log_2019[[#This Row],[Split_raw]]*MAX(0,MIN(_xlfn.DAYS(EDATE(Y$1,1),Log_2019[[#This Row],[Date]]),Log_2019[[#This Row],[Split_apply]])) - SUM($O479:X479)</f>
        <v>0</v>
      </c>
      <c r="Z479" s="52">
        <f ca="1">Log_2019[[#This Row],[Amount]]/Log_2019[[#This Row],[Split_raw]]*MAX(0,MIN(_xlfn.DAYS(EDATE(Z$1,1),Log_2019[[#This Row],[Date]]),Log_2019[[#This Row],[Split_apply]])) - SUM($O479:Y479)</f>
        <v>0</v>
      </c>
      <c r="AA479" s="52">
        <f ca="1">Log_2019[[#This Row],[Amount]]/Log_2019[[#This Row],[Split_raw]]*MAX(0,MIN(_xlfn.DAYS(EDATE(AA$1,1),Log_2019[[#This Row],[Date]]),Log_2019[[#This Row],[Split_apply]])) - SUM($O479:Z479)</f>
        <v>0</v>
      </c>
      <c r="AB479" s="54">
        <f ca="1">Log_2019[[#This Row],[Amount]]-SUM(O479:AA479)</f>
        <v>0</v>
      </c>
      <c r="AC479" s="7">
        <f>MAX(0,Log_2019[[#This Row],[Split_raw]] - (EDATE(AA$1,1)-Log_2019[[#This Row],[Date]]))</f>
        <v>0</v>
      </c>
    </row>
    <row r="480" spans="1:29" x14ac:dyDescent="0.25">
      <c r="A480" s="42"/>
      <c r="B480" s="34" t="s">
        <v>490</v>
      </c>
      <c r="C480" s="34">
        <v>2.7417962407935299E+18</v>
      </c>
      <c r="D480" s="41">
        <v>43596</v>
      </c>
      <c r="E480" s="34" t="s">
        <v>881</v>
      </c>
      <c r="F480" s="34" t="s">
        <v>724</v>
      </c>
      <c r="G480" s="34"/>
      <c r="H480" s="45">
        <v>15</v>
      </c>
      <c r="I480" s="36">
        <f>IF(Log_2019[[#This Row],[My Category]]="NONTRACKED",0,Log_2019[[#This Row],[Raw Amount]])</f>
        <v>15</v>
      </c>
      <c r="J480" s="37">
        <f>ABS(Log_2019[[#This Row],[Amount]])</f>
        <v>15</v>
      </c>
      <c r="K480" s="38">
        <v>1</v>
      </c>
      <c r="L480" s="38">
        <f ca="1">IF(Log_2019[[#This Row],[Date]]&lt;=TODAY(), MIN(Log_2019[[#This Row],[Split_raw]], TODAY()-Log_2019[[#This Row],[Date]]+1), 0)</f>
        <v>1</v>
      </c>
      <c r="M480" s="34" t="s">
        <v>42</v>
      </c>
      <c r="N480" s="34" t="s">
        <v>490</v>
      </c>
      <c r="O480" s="7">
        <v>0</v>
      </c>
      <c r="P480" s="52">
        <f ca="1">Log_2019[[#This Row],[Amount]]/Log_2019[[#This Row],[Split_raw]]*MAX(0,MIN(_xlfn.DAYS(EDATE(P$1,1),Log_2019[[#This Row],[Date]]),Log_2019[[#This Row],[Split_apply]])) - SUM($O480:O480)</f>
        <v>0</v>
      </c>
      <c r="Q480" s="52">
        <f ca="1">Log_2019[[#This Row],[Amount]]/Log_2019[[#This Row],[Split_raw]]*MAX(0,MIN(_xlfn.DAYS(EDATE(Q$1,1),Log_2019[[#This Row],[Date]]),Log_2019[[#This Row],[Split_apply]])) - SUM($O480:P480)</f>
        <v>0</v>
      </c>
      <c r="R480" s="52">
        <f ca="1">Log_2019[[#This Row],[Amount]]/Log_2019[[#This Row],[Split_raw]]*MAX(0,MIN(_xlfn.DAYS(EDATE(R$1,1),Log_2019[[#This Row],[Date]]),Log_2019[[#This Row],[Split_apply]])) - SUM($O480:Q480)</f>
        <v>0</v>
      </c>
      <c r="S480" s="52">
        <f ca="1">Log_2019[[#This Row],[Amount]]/Log_2019[[#This Row],[Split_raw]]*MAX(0,MIN(_xlfn.DAYS(EDATE(S$1,1),Log_2019[[#This Row],[Date]]),Log_2019[[#This Row],[Split_apply]])) - SUM($O480:R480)</f>
        <v>0</v>
      </c>
      <c r="T480" s="52">
        <f ca="1">Log_2019[[#This Row],[Amount]]/Log_2019[[#This Row],[Split_raw]]*MAX(0,MIN(_xlfn.DAYS(EDATE(T$1,1),Log_2019[[#This Row],[Date]]),Log_2019[[#This Row],[Split_apply]])) - SUM($O480:S480)</f>
        <v>15</v>
      </c>
      <c r="U480" s="52">
        <f ca="1">Log_2019[[#This Row],[Amount]]/Log_2019[[#This Row],[Split_raw]]*MAX(0,MIN(_xlfn.DAYS(EDATE(U$1,1),Log_2019[[#This Row],[Date]]),Log_2019[[#This Row],[Split_apply]])) - SUM($O480:T480)</f>
        <v>0</v>
      </c>
      <c r="V480" s="52">
        <f ca="1">Log_2019[[#This Row],[Amount]]/Log_2019[[#This Row],[Split_raw]]*MAX(0,MIN(_xlfn.DAYS(EDATE(V$1,1),Log_2019[[#This Row],[Date]]),Log_2019[[#This Row],[Split_apply]])) - SUM($O480:U480)</f>
        <v>0</v>
      </c>
      <c r="W480" s="52">
        <f ca="1">Log_2019[[#This Row],[Amount]]/Log_2019[[#This Row],[Split_raw]]*MAX(0,MIN(_xlfn.DAYS(EDATE(W$1,1),Log_2019[[#This Row],[Date]]),Log_2019[[#This Row],[Split_apply]])) - SUM($O480:V480)</f>
        <v>0</v>
      </c>
      <c r="X480" s="52">
        <f ca="1">Log_2019[[#This Row],[Amount]]/Log_2019[[#This Row],[Split_raw]]*MAX(0,MIN(_xlfn.DAYS(EDATE(X$1,1),Log_2019[[#This Row],[Date]]),Log_2019[[#This Row],[Split_apply]])) - SUM($O480:W480)</f>
        <v>0</v>
      </c>
      <c r="Y480" s="52">
        <f ca="1">Log_2019[[#This Row],[Amount]]/Log_2019[[#This Row],[Split_raw]]*MAX(0,MIN(_xlfn.DAYS(EDATE(Y$1,1),Log_2019[[#This Row],[Date]]),Log_2019[[#This Row],[Split_apply]])) - SUM($O480:X480)</f>
        <v>0</v>
      </c>
      <c r="Z480" s="52">
        <f ca="1">Log_2019[[#This Row],[Amount]]/Log_2019[[#This Row],[Split_raw]]*MAX(0,MIN(_xlfn.DAYS(EDATE(Z$1,1),Log_2019[[#This Row],[Date]]),Log_2019[[#This Row],[Split_apply]])) - SUM($O480:Y480)</f>
        <v>0</v>
      </c>
      <c r="AA480" s="52">
        <f ca="1">Log_2019[[#This Row],[Amount]]/Log_2019[[#This Row],[Split_raw]]*MAX(0,MIN(_xlfn.DAYS(EDATE(AA$1,1),Log_2019[[#This Row],[Date]]),Log_2019[[#This Row],[Split_apply]])) - SUM($O480:Z480)</f>
        <v>0</v>
      </c>
      <c r="AB480" s="54">
        <f ca="1">Log_2019[[#This Row],[Amount]]-SUM(O480:AA480)</f>
        <v>0</v>
      </c>
      <c r="AC480" s="7">
        <f>MAX(0,Log_2019[[#This Row],[Split_raw]] - (EDATE(AA$1,1)-Log_2019[[#This Row],[Date]]))</f>
        <v>0</v>
      </c>
    </row>
    <row r="481" spans="1:29" x14ac:dyDescent="0.25">
      <c r="A481" s="42"/>
      <c r="B481" s="34" t="s">
        <v>490</v>
      </c>
      <c r="C481" s="34">
        <v>2.7417963996318198E+18</v>
      </c>
      <c r="D481" s="41">
        <v>43596</v>
      </c>
      <c r="E481" s="34" t="s">
        <v>881</v>
      </c>
      <c r="F481" s="34" t="s">
        <v>725</v>
      </c>
      <c r="G481" s="34"/>
      <c r="H481" s="45">
        <v>15.6</v>
      </c>
      <c r="I481" s="36">
        <f>IF(Log_2019[[#This Row],[My Category]]="NONTRACKED",0,Log_2019[[#This Row],[Raw Amount]])</f>
        <v>15.6</v>
      </c>
      <c r="J481" s="37">
        <f>ABS(Log_2019[[#This Row],[Amount]])</f>
        <v>15.6</v>
      </c>
      <c r="K481" s="38">
        <v>1</v>
      </c>
      <c r="L481" s="38">
        <f ca="1">IF(Log_2019[[#This Row],[Date]]&lt;=TODAY(), MIN(Log_2019[[#This Row],[Split_raw]], TODAY()-Log_2019[[#This Row],[Date]]+1), 0)</f>
        <v>1</v>
      </c>
      <c r="M481" s="34" t="s">
        <v>42</v>
      </c>
      <c r="N481" s="34" t="s">
        <v>490</v>
      </c>
      <c r="O481" s="7">
        <v>0</v>
      </c>
      <c r="P481" s="52">
        <f ca="1">Log_2019[[#This Row],[Amount]]/Log_2019[[#This Row],[Split_raw]]*MAX(0,MIN(_xlfn.DAYS(EDATE(P$1,1),Log_2019[[#This Row],[Date]]),Log_2019[[#This Row],[Split_apply]])) - SUM($O481:O481)</f>
        <v>0</v>
      </c>
      <c r="Q481" s="52">
        <f ca="1">Log_2019[[#This Row],[Amount]]/Log_2019[[#This Row],[Split_raw]]*MAX(0,MIN(_xlfn.DAYS(EDATE(Q$1,1),Log_2019[[#This Row],[Date]]),Log_2019[[#This Row],[Split_apply]])) - SUM($O481:P481)</f>
        <v>0</v>
      </c>
      <c r="R481" s="52">
        <f ca="1">Log_2019[[#This Row],[Amount]]/Log_2019[[#This Row],[Split_raw]]*MAX(0,MIN(_xlfn.DAYS(EDATE(R$1,1),Log_2019[[#This Row],[Date]]),Log_2019[[#This Row],[Split_apply]])) - SUM($O481:Q481)</f>
        <v>0</v>
      </c>
      <c r="S481" s="52">
        <f ca="1">Log_2019[[#This Row],[Amount]]/Log_2019[[#This Row],[Split_raw]]*MAX(0,MIN(_xlfn.DAYS(EDATE(S$1,1),Log_2019[[#This Row],[Date]]),Log_2019[[#This Row],[Split_apply]])) - SUM($O481:R481)</f>
        <v>0</v>
      </c>
      <c r="T481" s="52">
        <f ca="1">Log_2019[[#This Row],[Amount]]/Log_2019[[#This Row],[Split_raw]]*MAX(0,MIN(_xlfn.DAYS(EDATE(T$1,1),Log_2019[[#This Row],[Date]]),Log_2019[[#This Row],[Split_apply]])) - SUM($O481:S481)</f>
        <v>15.6</v>
      </c>
      <c r="U481" s="52">
        <f ca="1">Log_2019[[#This Row],[Amount]]/Log_2019[[#This Row],[Split_raw]]*MAX(0,MIN(_xlfn.DAYS(EDATE(U$1,1),Log_2019[[#This Row],[Date]]),Log_2019[[#This Row],[Split_apply]])) - SUM($O481:T481)</f>
        <v>0</v>
      </c>
      <c r="V481" s="52">
        <f ca="1">Log_2019[[#This Row],[Amount]]/Log_2019[[#This Row],[Split_raw]]*MAX(0,MIN(_xlfn.DAYS(EDATE(V$1,1),Log_2019[[#This Row],[Date]]),Log_2019[[#This Row],[Split_apply]])) - SUM($O481:U481)</f>
        <v>0</v>
      </c>
      <c r="W481" s="52">
        <f ca="1">Log_2019[[#This Row],[Amount]]/Log_2019[[#This Row],[Split_raw]]*MAX(0,MIN(_xlfn.DAYS(EDATE(W$1,1),Log_2019[[#This Row],[Date]]),Log_2019[[#This Row],[Split_apply]])) - SUM($O481:V481)</f>
        <v>0</v>
      </c>
      <c r="X481" s="52">
        <f ca="1">Log_2019[[#This Row],[Amount]]/Log_2019[[#This Row],[Split_raw]]*MAX(0,MIN(_xlfn.DAYS(EDATE(X$1,1),Log_2019[[#This Row],[Date]]),Log_2019[[#This Row],[Split_apply]])) - SUM($O481:W481)</f>
        <v>0</v>
      </c>
      <c r="Y481" s="52">
        <f ca="1">Log_2019[[#This Row],[Amount]]/Log_2019[[#This Row],[Split_raw]]*MAX(0,MIN(_xlfn.DAYS(EDATE(Y$1,1),Log_2019[[#This Row],[Date]]),Log_2019[[#This Row],[Split_apply]])) - SUM($O481:X481)</f>
        <v>0</v>
      </c>
      <c r="Z481" s="52">
        <f ca="1">Log_2019[[#This Row],[Amount]]/Log_2019[[#This Row],[Split_raw]]*MAX(0,MIN(_xlfn.DAYS(EDATE(Z$1,1),Log_2019[[#This Row],[Date]]),Log_2019[[#This Row],[Split_apply]])) - SUM($O481:Y481)</f>
        <v>0</v>
      </c>
      <c r="AA481" s="52">
        <f ca="1">Log_2019[[#This Row],[Amount]]/Log_2019[[#This Row],[Split_raw]]*MAX(0,MIN(_xlfn.DAYS(EDATE(AA$1,1),Log_2019[[#This Row],[Date]]),Log_2019[[#This Row],[Split_apply]])) - SUM($O481:Z481)</f>
        <v>0</v>
      </c>
      <c r="AB481" s="54">
        <f ca="1">Log_2019[[#This Row],[Amount]]-SUM(O481:AA481)</f>
        <v>0</v>
      </c>
      <c r="AC481" s="7">
        <f>MAX(0,Log_2019[[#This Row],[Split_raw]] - (EDATE(AA$1,1)-Log_2019[[#This Row],[Date]]))</f>
        <v>0</v>
      </c>
    </row>
    <row r="482" spans="1:29" x14ac:dyDescent="0.25">
      <c r="A482" s="42"/>
      <c r="B482" s="34" t="s">
        <v>490</v>
      </c>
      <c r="C482" s="34">
        <v>2.7417965065110799E+18</v>
      </c>
      <c r="D482" s="41">
        <v>43596</v>
      </c>
      <c r="E482" s="34" t="s">
        <v>881</v>
      </c>
      <c r="F482" s="34" t="s">
        <v>726</v>
      </c>
      <c r="G482" s="34"/>
      <c r="H482" s="45">
        <v>14</v>
      </c>
      <c r="I482" s="36">
        <f>IF(Log_2019[[#This Row],[My Category]]="NONTRACKED",0,Log_2019[[#This Row],[Raw Amount]])</f>
        <v>14</v>
      </c>
      <c r="J482" s="37">
        <f>ABS(Log_2019[[#This Row],[Amount]])</f>
        <v>14</v>
      </c>
      <c r="K482" s="38">
        <v>1</v>
      </c>
      <c r="L482" s="38">
        <f ca="1">IF(Log_2019[[#This Row],[Date]]&lt;=TODAY(), MIN(Log_2019[[#This Row],[Split_raw]], TODAY()-Log_2019[[#This Row],[Date]]+1), 0)</f>
        <v>1</v>
      </c>
      <c r="M482" s="34" t="s">
        <v>42</v>
      </c>
      <c r="N482" s="34" t="s">
        <v>490</v>
      </c>
      <c r="O482" s="7">
        <v>0</v>
      </c>
      <c r="P482" s="52">
        <f ca="1">Log_2019[[#This Row],[Amount]]/Log_2019[[#This Row],[Split_raw]]*MAX(0,MIN(_xlfn.DAYS(EDATE(P$1,1),Log_2019[[#This Row],[Date]]),Log_2019[[#This Row],[Split_apply]])) - SUM($O482:O482)</f>
        <v>0</v>
      </c>
      <c r="Q482" s="52">
        <f ca="1">Log_2019[[#This Row],[Amount]]/Log_2019[[#This Row],[Split_raw]]*MAX(0,MIN(_xlfn.DAYS(EDATE(Q$1,1),Log_2019[[#This Row],[Date]]),Log_2019[[#This Row],[Split_apply]])) - SUM($O482:P482)</f>
        <v>0</v>
      </c>
      <c r="R482" s="52">
        <f ca="1">Log_2019[[#This Row],[Amount]]/Log_2019[[#This Row],[Split_raw]]*MAX(0,MIN(_xlfn.DAYS(EDATE(R$1,1),Log_2019[[#This Row],[Date]]),Log_2019[[#This Row],[Split_apply]])) - SUM($O482:Q482)</f>
        <v>0</v>
      </c>
      <c r="S482" s="52">
        <f ca="1">Log_2019[[#This Row],[Amount]]/Log_2019[[#This Row],[Split_raw]]*MAX(0,MIN(_xlfn.DAYS(EDATE(S$1,1),Log_2019[[#This Row],[Date]]),Log_2019[[#This Row],[Split_apply]])) - SUM($O482:R482)</f>
        <v>0</v>
      </c>
      <c r="T482" s="52">
        <f ca="1">Log_2019[[#This Row],[Amount]]/Log_2019[[#This Row],[Split_raw]]*MAX(0,MIN(_xlfn.DAYS(EDATE(T$1,1),Log_2019[[#This Row],[Date]]),Log_2019[[#This Row],[Split_apply]])) - SUM($O482:S482)</f>
        <v>14</v>
      </c>
      <c r="U482" s="52">
        <f ca="1">Log_2019[[#This Row],[Amount]]/Log_2019[[#This Row],[Split_raw]]*MAX(0,MIN(_xlfn.DAYS(EDATE(U$1,1),Log_2019[[#This Row],[Date]]),Log_2019[[#This Row],[Split_apply]])) - SUM($O482:T482)</f>
        <v>0</v>
      </c>
      <c r="V482" s="52">
        <f ca="1">Log_2019[[#This Row],[Amount]]/Log_2019[[#This Row],[Split_raw]]*MAX(0,MIN(_xlfn.DAYS(EDATE(V$1,1),Log_2019[[#This Row],[Date]]),Log_2019[[#This Row],[Split_apply]])) - SUM($O482:U482)</f>
        <v>0</v>
      </c>
      <c r="W482" s="52">
        <f ca="1">Log_2019[[#This Row],[Amount]]/Log_2019[[#This Row],[Split_raw]]*MAX(0,MIN(_xlfn.DAYS(EDATE(W$1,1),Log_2019[[#This Row],[Date]]),Log_2019[[#This Row],[Split_apply]])) - SUM($O482:V482)</f>
        <v>0</v>
      </c>
      <c r="X482" s="52">
        <f ca="1">Log_2019[[#This Row],[Amount]]/Log_2019[[#This Row],[Split_raw]]*MAX(0,MIN(_xlfn.DAYS(EDATE(X$1,1),Log_2019[[#This Row],[Date]]),Log_2019[[#This Row],[Split_apply]])) - SUM($O482:W482)</f>
        <v>0</v>
      </c>
      <c r="Y482" s="52">
        <f ca="1">Log_2019[[#This Row],[Amount]]/Log_2019[[#This Row],[Split_raw]]*MAX(0,MIN(_xlfn.DAYS(EDATE(Y$1,1),Log_2019[[#This Row],[Date]]),Log_2019[[#This Row],[Split_apply]])) - SUM($O482:X482)</f>
        <v>0</v>
      </c>
      <c r="Z482" s="52">
        <f ca="1">Log_2019[[#This Row],[Amount]]/Log_2019[[#This Row],[Split_raw]]*MAX(0,MIN(_xlfn.DAYS(EDATE(Z$1,1),Log_2019[[#This Row],[Date]]),Log_2019[[#This Row],[Split_apply]])) - SUM($O482:Y482)</f>
        <v>0</v>
      </c>
      <c r="AA482" s="52">
        <f ca="1">Log_2019[[#This Row],[Amount]]/Log_2019[[#This Row],[Split_raw]]*MAX(0,MIN(_xlfn.DAYS(EDATE(AA$1,1),Log_2019[[#This Row],[Date]]),Log_2019[[#This Row],[Split_apply]])) - SUM($O482:Z482)</f>
        <v>0</v>
      </c>
      <c r="AB482" s="54">
        <f ca="1">Log_2019[[#This Row],[Amount]]-SUM(O482:AA482)</f>
        <v>0</v>
      </c>
      <c r="AC482" s="7">
        <f>MAX(0,Log_2019[[#This Row],[Split_raw]] - (EDATE(AA$1,1)-Log_2019[[#This Row],[Date]]))</f>
        <v>0</v>
      </c>
    </row>
    <row r="483" spans="1:29" x14ac:dyDescent="0.25">
      <c r="A483" s="42"/>
      <c r="B483" s="34" t="s">
        <v>490</v>
      </c>
      <c r="C483" s="34">
        <v>2.7417986554711199E+18</v>
      </c>
      <c r="D483" s="41">
        <v>43596</v>
      </c>
      <c r="E483" s="34" t="s">
        <v>881</v>
      </c>
      <c r="F483" s="34" t="s">
        <v>727</v>
      </c>
      <c r="G483" s="34"/>
      <c r="H483" s="45">
        <v>6.38</v>
      </c>
      <c r="I483" s="36">
        <f>IF(Log_2019[[#This Row],[My Category]]="NONTRACKED",0,Log_2019[[#This Row],[Raw Amount]])</f>
        <v>6.38</v>
      </c>
      <c r="J483" s="37">
        <f>ABS(Log_2019[[#This Row],[Amount]])</f>
        <v>6.38</v>
      </c>
      <c r="K483" s="38">
        <v>1</v>
      </c>
      <c r="L483" s="38">
        <f ca="1">IF(Log_2019[[#This Row],[Date]]&lt;=TODAY(), MIN(Log_2019[[#This Row],[Split_raw]], TODAY()-Log_2019[[#This Row],[Date]]+1), 0)</f>
        <v>1</v>
      </c>
      <c r="M483" s="34" t="s">
        <v>42</v>
      </c>
      <c r="N483" s="34" t="s">
        <v>490</v>
      </c>
      <c r="O483" s="7">
        <v>0</v>
      </c>
      <c r="P483" s="52">
        <f ca="1">Log_2019[[#This Row],[Amount]]/Log_2019[[#This Row],[Split_raw]]*MAX(0,MIN(_xlfn.DAYS(EDATE(P$1,1),Log_2019[[#This Row],[Date]]),Log_2019[[#This Row],[Split_apply]])) - SUM($O483:O483)</f>
        <v>0</v>
      </c>
      <c r="Q483" s="52">
        <f ca="1">Log_2019[[#This Row],[Amount]]/Log_2019[[#This Row],[Split_raw]]*MAX(0,MIN(_xlfn.DAYS(EDATE(Q$1,1),Log_2019[[#This Row],[Date]]),Log_2019[[#This Row],[Split_apply]])) - SUM($O483:P483)</f>
        <v>0</v>
      </c>
      <c r="R483" s="52">
        <f ca="1">Log_2019[[#This Row],[Amount]]/Log_2019[[#This Row],[Split_raw]]*MAX(0,MIN(_xlfn.DAYS(EDATE(R$1,1),Log_2019[[#This Row],[Date]]),Log_2019[[#This Row],[Split_apply]])) - SUM($O483:Q483)</f>
        <v>0</v>
      </c>
      <c r="S483" s="52">
        <f ca="1">Log_2019[[#This Row],[Amount]]/Log_2019[[#This Row],[Split_raw]]*MAX(0,MIN(_xlfn.DAYS(EDATE(S$1,1),Log_2019[[#This Row],[Date]]),Log_2019[[#This Row],[Split_apply]])) - SUM($O483:R483)</f>
        <v>0</v>
      </c>
      <c r="T483" s="52">
        <f ca="1">Log_2019[[#This Row],[Amount]]/Log_2019[[#This Row],[Split_raw]]*MAX(0,MIN(_xlfn.DAYS(EDATE(T$1,1),Log_2019[[#This Row],[Date]]),Log_2019[[#This Row],[Split_apply]])) - SUM($O483:S483)</f>
        <v>6.38</v>
      </c>
      <c r="U483" s="52">
        <f ca="1">Log_2019[[#This Row],[Amount]]/Log_2019[[#This Row],[Split_raw]]*MAX(0,MIN(_xlfn.DAYS(EDATE(U$1,1),Log_2019[[#This Row],[Date]]),Log_2019[[#This Row],[Split_apply]])) - SUM($O483:T483)</f>
        <v>0</v>
      </c>
      <c r="V483" s="52">
        <f ca="1">Log_2019[[#This Row],[Amount]]/Log_2019[[#This Row],[Split_raw]]*MAX(0,MIN(_xlfn.DAYS(EDATE(V$1,1),Log_2019[[#This Row],[Date]]),Log_2019[[#This Row],[Split_apply]])) - SUM($O483:U483)</f>
        <v>0</v>
      </c>
      <c r="W483" s="52">
        <f ca="1">Log_2019[[#This Row],[Amount]]/Log_2019[[#This Row],[Split_raw]]*MAX(0,MIN(_xlfn.DAYS(EDATE(W$1,1),Log_2019[[#This Row],[Date]]),Log_2019[[#This Row],[Split_apply]])) - SUM($O483:V483)</f>
        <v>0</v>
      </c>
      <c r="X483" s="52">
        <f ca="1">Log_2019[[#This Row],[Amount]]/Log_2019[[#This Row],[Split_raw]]*MAX(0,MIN(_xlfn.DAYS(EDATE(X$1,1),Log_2019[[#This Row],[Date]]),Log_2019[[#This Row],[Split_apply]])) - SUM($O483:W483)</f>
        <v>0</v>
      </c>
      <c r="Y483" s="52">
        <f ca="1">Log_2019[[#This Row],[Amount]]/Log_2019[[#This Row],[Split_raw]]*MAX(0,MIN(_xlfn.DAYS(EDATE(Y$1,1),Log_2019[[#This Row],[Date]]),Log_2019[[#This Row],[Split_apply]])) - SUM($O483:X483)</f>
        <v>0</v>
      </c>
      <c r="Z483" s="52">
        <f ca="1">Log_2019[[#This Row],[Amount]]/Log_2019[[#This Row],[Split_raw]]*MAX(0,MIN(_xlfn.DAYS(EDATE(Z$1,1),Log_2019[[#This Row],[Date]]),Log_2019[[#This Row],[Split_apply]])) - SUM($O483:Y483)</f>
        <v>0</v>
      </c>
      <c r="AA483" s="52">
        <f ca="1">Log_2019[[#This Row],[Amount]]/Log_2019[[#This Row],[Split_raw]]*MAX(0,MIN(_xlfn.DAYS(EDATE(AA$1,1),Log_2019[[#This Row],[Date]]),Log_2019[[#This Row],[Split_apply]])) - SUM($O483:Z483)</f>
        <v>0</v>
      </c>
      <c r="AB483" s="54">
        <f ca="1">Log_2019[[#This Row],[Amount]]-SUM(O483:AA483)</f>
        <v>0</v>
      </c>
      <c r="AC483" s="7">
        <f>MAX(0,Log_2019[[#This Row],[Split_raw]] - (EDATE(AA$1,1)-Log_2019[[#This Row],[Date]]))</f>
        <v>0</v>
      </c>
    </row>
    <row r="484" spans="1:29" x14ac:dyDescent="0.25">
      <c r="A484" s="42"/>
      <c r="B484" s="34" t="s">
        <v>490</v>
      </c>
      <c r="C484" s="34">
        <v>2.7418152857858202E+18</v>
      </c>
      <c r="D484" s="41">
        <v>43596</v>
      </c>
      <c r="E484" s="34" t="s">
        <v>881</v>
      </c>
      <c r="F484" s="34" t="s">
        <v>728</v>
      </c>
      <c r="G484" s="34"/>
      <c r="H484" s="45">
        <v>10</v>
      </c>
      <c r="I484" s="36">
        <f>IF(Log_2019[[#This Row],[My Category]]="NONTRACKED",0,Log_2019[[#This Row],[Raw Amount]])</f>
        <v>10</v>
      </c>
      <c r="J484" s="37">
        <f>ABS(Log_2019[[#This Row],[Amount]])</f>
        <v>10</v>
      </c>
      <c r="K484" s="38">
        <v>1</v>
      </c>
      <c r="L484" s="38">
        <f ca="1">IF(Log_2019[[#This Row],[Date]]&lt;=TODAY(), MIN(Log_2019[[#This Row],[Split_raw]], TODAY()-Log_2019[[#This Row],[Date]]+1), 0)</f>
        <v>1</v>
      </c>
      <c r="M484" s="34" t="s">
        <v>42</v>
      </c>
      <c r="N484" s="34" t="s">
        <v>490</v>
      </c>
      <c r="O484" s="7">
        <v>0</v>
      </c>
      <c r="P484" s="52">
        <f ca="1">Log_2019[[#This Row],[Amount]]/Log_2019[[#This Row],[Split_raw]]*MAX(0,MIN(_xlfn.DAYS(EDATE(P$1,1),Log_2019[[#This Row],[Date]]),Log_2019[[#This Row],[Split_apply]])) - SUM($O484:O484)</f>
        <v>0</v>
      </c>
      <c r="Q484" s="52">
        <f ca="1">Log_2019[[#This Row],[Amount]]/Log_2019[[#This Row],[Split_raw]]*MAX(0,MIN(_xlfn.DAYS(EDATE(Q$1,1),Log_2019[[#This Row],[Date]]),Log_2019[[#This Row],[Split_apply]])) - SUM($O484:P484)</f>
        <v>0</v>
      </c>
      <c r="R484" s="52">
        <f ca="1">Log_2019[[#This Row],[Amount]]/Log_2019[[#This Row],[Split_raw]]*MAX(0,MIN(_xlfn.DAYS(EDATE(R$1,1),Log_2019[[#This Row],[Date]]),Log_2019[[#This Row],[Split_apply]])) - SUM($O484:Q484)</f>
        <v>0</v>
      </c>
      <c r="S484" s="52">
        <f ca="1">Log_2019[[#This Row],[Amount]]/Log_2019[[#This Row],[Split_raw]]*MAX(0,MIN(_xlfn.DAYS(EDATE(S$1,1),Log_2019[[#This Row],[Date]]),Log_2019[[#This Row],[Split_apply]])) - SUM($O484:R484)</f>
        <v>0</v>
      </c>
      <c r="T484" s="52">
        <f ca="1">Log_2019[[#This Row],[Amount]]/Log_2019[[#This Row],[Split_raw]]*MAX(0,MIN(_xlfn.DAYS(EDATE(T$1,1),Log_2019[[#This Row],[Date]]),Log_2019[[#This Row],[Split_apply]])) - SUM($O484:S484)</f>
        <v>10</v>
      </c>
      <c r="U484" s="52">
        <f ca="1">Log_2019[[#This Row],[Amount]]/Log_2019[[#This Row],[Split_raw]]*MAX(0,MIN(_xlfn.DAYS(EDATE(U$1,1),Log_2019[[#This Row],[Date]]),Log_2019[[#This Row],[Split_apply]])) - SUM($O484:T484)</f>
        <v>0</v>
      </c>
      <c r="V484" s="52">
        <f ca="1">Log_2019[[#This Row],[Amount]]/Log_2019[[#This Row],[Split_raw]]*MAX(0,MIN(_xlfn.DAYS(EDATE(V$1,1),Log_2019[[#This Row],[Date]]),Log_2019[[#This Row],[Split_apply]])) - SUM($O484:U484)</f>
        <v>0</v>
      </c>
      <c r="W484" s="52">
        <f ca="1">Log_2019[[#This Row],[Amount]]/Log_2019[[#This Row],[Split_raw]]*MAX(0,MIN(_xlfn.DAYS(EDATE(W$1,1),Log_2019[[#This Row],[Date]]),Log_2019[[#This Row],[Split_apply]])) - SUM($O484:V484)</f>
        <v>0</v>
      </c>
      <c r="X484" s="52">
        <f ca="1">Log_2019[[#This Row],[Amount]]/Log_2019[[#This Row],[Split_raw]]*MAX(0,MIN(_xlfn.DAYS(EDATE(X$1,1),Log_2019[[#This Row],[Date]]),Log_2019[[#This Row],[Split_apply]])) - SUM($O484:W484)</f>
        <v>0</v>
      </c>
      <c r="Y484" s="52">
        <f ca="1">Log_2019[[#This Row],[Amount]]/Log_2019[[#This Row],[Split_raw]]*MAX(0,MIN(_xlfn.DAYS(EDATE(Y$1,1),Log_2019[[#This Row],[Date]]),Log_2019[[#This Row],[Split_apply]])) - SUM($O484:X484)</f>
        <v>0</v>
      </c>
      <c r="Z484" s="52">
        <f ca="1">Log_2019[[#This Row],[Amount]]/Log_2019[[#This Row],[Split_raw]]*MAX(0,MIN(_xlfn.DAYS(EDATE(Z$1,1),Log_2019[[#This Row],[Date]]),Log_2019[[#This Row],[Split_apply]])) - SUM($O484:Y484)</f>
        <v>0</v>
      </c>
      <c r="AA484" s="52">
        <f ca="1">Log_2019[[#This Row],[Amount]]/Log_2019[[#This Row],[Split_raw]]*MAX(0,MIN(_xlfn.DAYS(EDATE(AA$1,1),Log_2019[[#This Row],[Date]]),Log_2019[[#This Row],[Split_apply]])) - SUM($O484:Z484)</f>
        <v>0</v>
      </c>
      <c r="AB484" s="54">
        <f ca="1">Log_2019[[#This Row],[Amount]]-SUM(O484:AA484)</f>
        <v>0</v>
      </c>
      <c r="AC484" s="7">
        <f>MAX(0,Log_2019[[#This Row],[Split_raw]] - (EDATE(AA$1,1)-Log_2019[[#This Row],[Date]]))</f>
        <v>0</v>
      </c>
    </row>
    <row r="485" spans="1:29" x14ac:dyDescent="0.25">
      <c r="A485" s="42"/>
      <c r="B485" s="34" t="s">
        <v>6</v>
      </c>
      <c r="C485" s="34"/>
      <c r="D485" s="35">
        <v>43595</v>
      </c>
      <c r="E485" s="34"/>
      <c r="F485" s="34" t="s">
        <v>255</v>
      </c>
      <c r="G485" s="34" t="s">
        <v>25</v>
      </c>
      <c r="H485" s="36">
        <v>-3.65</v>
      </c>
      <c r="I485" s="36">
        <f>IF(Log_2019[[#This Row],[My Category]]="NONTRACKED",0,Log_2019[[#This Row],[Raw Amount]])</f>
        <v>-3.65</v>
      </c>
      <c r="J485" s="37">
        <f>ABS(Log_2019[[#This Row],[Amount]])</f>
        <v>3.65</v>
      </c>
      <c r="K485" s="38">
        <v>1</v>
      </c>
      <c r="L485" s="38">
        <f ca="1">IF(Log_2019[[#This Row],[Date]]&lt;=TODAY(), MIN(Log_2019[[#This Row],[Split_raw]], TODAY()-Log_2019[[#This Row],[Date]]+1), 0)</f>
        <v>1</v>
      </c>
      <c r="M485" s="34" t="s">
        <v>35</v>
      </c>
      <c r="N485" s="34" t="s">
        <v>158</v>
      </c>
      <c r="O485" s="7">
        <v>0</v>
      </c>
      <c r="P485" s="52">
        <f ca="1">Log_2019[[#This Row],[Amount]]/Log_2019[[#This Row],[Split_raw]]*MAX(0,MIN(_xlfn.DAYS(EDATE(P$1,1),Log_2019[[#This Row],[Date]]),Log_2019[[#This Row],[Split_apply]])) - SUM($O485:O485)</f>
        <v>0</v>
      </c>
      <c r="Q485" s="52">
        <f ca="1">Log_2019[[#This Row],[Amount]]/Log_2019[[#This Row],[Split_raw]]*MAX(0,MIN(_xlfn.DAYS(EDATE(Q$1,1),Log_2019[[#This Row],[Date]]),Log_2019[[#This Row],[Split_apply]])) - SUM($O485:P485)</f>
        <v>0</v>
      </c>
      <c r="R485" s="52">
        <f ca="1">Log_2019[[#This Row],[Amount]]/Log_2019[[#This Row],[Split_raw]]*MAX(0,MIN(_xlfn.DAYS(EDATE(R$1,1),Log_2019[[#This Row],[Date]]),Log_2019[[#This Row],[Split_apply]])) - SUM($O485:Q485)</f>
        <v>0</v>
      </c>
      <c r="S485" s="52">
        <f ca="1">Log_2019[[#This Row],[Amount]]/Log_2019[[#This Row],[Split_raw]]*MAX(0,MIN(_xlfn.DAYS(EDATE(S$1,1),Log_2019[[#This Row],[Date]]),Log_2019[[#This Row],[Split_apply]])) - SUM($O485:R485)</f>
        <v>0</v>
      </c>
      <c r="T485" s="52">
        <f ca="1">Log_2019[[#This Row],[Amount]]/Log_2019[[#This Row],[Split_raw]]*MAX(0,MIN(_xlfn.DAYS(EDATE(T$1,1),Log_2019[[#This Row],[Date]]),Log_2019[[#This Row],[Split_apply]])) - SUM($O485:S485)</f>
        <v>-3.65</v>
      </c>
      <c r="U485" s="52">
        <f ca="1">Log_2019[[#This Row],[Amount]]/Log_2019[[#This Row],[Split_raw]]*MAX(0,MIN(_xlfn.DAYS(EDATE(U$1,1),Log_2019[[#This Row],[Date]]),Log_2019[[#This Row],[Split_apply]])) - SUM($O485:T485)</f>
        <v>0</v>
      </c>
      <c r="V485" s="52">
        <f ca="1">Log_2019[[#This Row],[Amount]]/Log_2019[[#This Row],[Split_raw]]*MAX(0,MIN(_xlfn.DAYS(EDATE(V$1,1),Log_2019[[#This Row],[Date]]),Log_2019[[#This Row],[Split_apply]])) - SUM($O485:U485)</f>
        <v>0</v>
      </c>
      <c r="W485" s="52">
        <f ca="1">Log_2019[[#This Row],[Amount]]/Log_2019[[#This Row],[Split_raw]]*MAX(0,MIN(_xlfn.DAYS(EDATE(W$1,1),Log_2019[[#This Row],[Date]]),Log_2019[[#This Row],[Split_apply]])) - SUM($O485:V485)</f>
        <v>0</v>
      </c>
      <c r="X485" s="52">
        <f ca="1">Log_2019[[#This Row],[Amount]]/Log_2019[[#This Row],[Split_raw]]*MAX(0,MIN(_xlfn.DAYS(EDATE(X$1,1),Log_2019[[#This Row],[Date]]),Log_2019[[#This Row],[Split_apply]])) - SUM($O485:W485)</f>
        <v>0</v>
      </c>
      <c r="Y485" s="52">
        <f ca="1">Log_2019[[#This Row],[Amount]]/Log_2019[[#This Row],[Split_raw]]*MAX(0,MIN(_xlfn.DAYS(EDATE(Y$1,1),Log_2019[[#This Row],[Date]]),Log_2019[[#This Row],[Split_apply]])) - SUM($O485:X485)</f>
        <v>0</v>
      </c>
      <c r="Z485" s="52">
        <f ca="1">Log_2019[[#This Row],[Amount]]/Log_2019[[#This Row],[Split_raw]]*MAX(0,MIN(_xlfn.DAYS(EDATE(Z$1,1),Log_2019[[#This Row],[Date]]),Log_2019[[#This Row],[Split_apply]])) - SUM($O485:Y485)</f>
        <v>0</v>
      </c>
      <c r="AA485" s="52">
        <f ca="1">Log_2019[[#This Row],[Amount]]/Log_2019[[#This Row],[Split_raw]]*MAX(0,MIN(_xlfn.DAYS(EDATE(AA$1,1),Log_2019[[#This Row],[Date]]),Log_2019[[#This Row],[Split_apply]])) - SUM($O485:Z485)</f>
        <v>0</v>
      </c>
      <c r="AB485" s="54">
        <f ca="1">Log_2019[[#This Row],[Amount]]-SUM(O485:AA485)</f>
        <v>0</v>
      </c>
      <c r="AC485" s="7">
        <f>MAX(0,Log_2019[[#This Row],[Split_raw]] - (EDATE(AA$1,1)-Log_2019[[#This Row],[Date]]))</f>
        <v>0</v>
      </c>
    </row>
    <row r="486" spans="1:29" x14ac:dyDescent="0.25">
      <c r="A486" s="42"/>
      <c r="B486" s="34" t="s">
        <v>6</v>
      </c>
      <c r="C486" s="34"/>
      <c r="D486" s="35">
        <v>43595</v>
      </c>
      <c r="E486" s="34" t="s">
        <v>250</v>
      </c>
      <c r="F486" s="34" t="s">
        <v>243</v>
      </c>
      <c r="G486" s="34" t="s">
        <v>143</v>
      </c>
      <c r="H486" s="36">
        <v>-10.81</v>
      </c>
      <c r="I486" s="36">
        <f>IF(Log_2019[[#This Row],[My Category]]="NONTRACKED",0,Log_2019[[#This Row],[Raw Amount]])</f>
        <v>-10.81</v>
      </c>
      <c r="J486" s="37">
        <f>ABS(Log_2019[[#This Row],[Amount]])</f>
        <v>10.81</v>
      </c>
      <c r="K486" s="38">
        <v>30</v>
      </c>
      <c r="L486" s="38">
        <f ca="1">IF(Log_2019[[#This Row],[Date]]&lt;=TODAY(), MIN(Log_2019[[#This Row],[Split_raw]], TODAY()-Log_2019[[#This Row],[Date]]+1), 0)</f>
        <v>30</v>
      </c>
      <c r="M486" s="34" t="s">
        <v>53</v>
      </c>
      <c r="N486" s="34" t="s">
        <v>160</v>
      </c>
      <c r="O486" s="7">
        <v>0</v>
      </c>
      <c r="P486" s="52">
        <f ca="1">Log_2019[[#This Row],[Amount]]/Log_2019[[#This Row],[Split_raw]]*MAX(0,MIN(_xlfn.DAYS(EDATE(P$1,1),Log_2019[[#This Row],[Date]]),Log_2019[[#This Row],[Split_apply]])) - SUM($O486:O486)</f>
        <v>0</v>
      </c>
      <c r="Q486" s="52">
        <f ca="1">Log_2019[[#This Row],[Amount]]/Log_2019[[#This Row],[Split_raw]]*MAX(0,MIN(_xlfn.DAYS(EDATE(Q$1,1),Log_2019[[#This Row],[Date]]),Log_2019[[#This Row],[Split_apply]])) - SUM($O486:P486)</f>
        <v>0</v>
      </c>
      <c r="R486" s="52">
        <f ca="1">Log_2019[[#This Row],[Amount]]/Log_2019[[#This Row],[Split_raw]]*MAX(0,MIN(_xlfn.DAYS(EDATE(R$1,1),Log_2019[[#This Row],[Date]]),Log_2019[[#This Row],[Split_apply]])) - SUM($O486:Q486)</f>
        <v>0</v>
      </c>
      <c r="S486" s="52">
        <f ca="1">Log_2019[[#This Row],[Amount]]/Log_2019[[#This Row],[Split_raw]]*MAX(0,MIN(_xlfn.DAYS(EDATE(S$1,1),Log_2019[[#This Row],[Date]]),Log_2019[[#This Row],[Split_apply]])) - SUM($O486:R486)</f>
        <v>0</v>
      </c>
      <c r="T486" s="52">
        <f ca="1">Log_2019[[#This Row],[Amount]]/Log_2019[[#This Row],[Split_raw]]*MAX(0,MIN(_xlfn.DAYS(EDATE(T$1,1),Log_2019[[#This Row],[Date]]),Log_2019[[#This Row],[Split_apply]])) - SUM($O486:S486)</f>
        <v>-7.9273333333333333</v>
      </c>
      <c r="U486" s="52">
        <f ca="1">Log_2019[[#This Row],[Amount]]/Log_2019[[#This Row],[Split_raw]]*MAX(0,MIN(_xlfn.DAYS(EDATE(U$1,1),Log_2019[[#This Row],[Date]]),Log_2019[[#This Row],[Split_apply]])) - SUM($O486:T486)</f>
        <v>-2.8826666666666672</v>
      </c>
      <c r="V486" s="52">
        <f ca="1">Log_2019[[#This Row],[Amount]]/Log_2019[[#This Row],[Split_raw]]*MAX(0,MIN(_xlfn.DAYS(EDATE(V$1,1),Log_2019[[#This Row],[Date]]),Log_2019[[#This Row],[Split_apply]])) - SUM($O486:U486)</f>
        <v>0</v>
      </c>
      <c r="W486" s="52">
        <f ca="1">Log_2019[[#This Row],[Amount]]/Log_2019[[#This Row],[Split_raw]]*MAX(0,MIN(_xlfn.DAYS(EDATE(W$1,1),Log_2019[[#This Row],[Date]]),Log_2019[[#This Row],[Split_apply]])) - SUM($O486:V486)</f>
        <v>0</v>
      </c>
      <c r="X486" s="52">
        <f ca="1">Log_2019[[#This Row],[Amount]]/Log_2019[[#This Row],[Split_raw]]*MAX(0,MIN(_xlfn.DAYS(EDATE(X$1,1),Log_2019[[#This Row],[Date]]),Log_2019[[#This Row],[Split_apply]])) - SUM($O486:W486)</f>
        <v>0</v>
      </c>
      <c r="Y486" s="52">
        <f ca="1">Log_2019[[#This Row],[Amount]]/Log_2019[[#This Row],[Split_raw]]*MAX(0,MIN(_xlfn.DAYS(EDATE(Y$1,1),Log_2019[[#This Row],[Date]]),Log_2019[[#This Row],[Split_apply]])) - SUM($O486:X486)</f>
        <v>0</v>
      </c>
      <c r="Z486" s="52">
        <f ca="1">Log_2019[[#This Row],[Amount]]/Log_2019[[#This Row],[Split_raw]]*MAX(0,MIN(_xlfn.DAYS(EDATE(Z$1,1),Log_2019[[#This Row],[Date]]),Log_2019[[#This Row],[Split_apply]])) - SUM($O486:Y486)</f>
        <v>0</v>
      </c>
      <c r="AA486" s="52">
        <f ca="1">Log_2019[[#This Row],[Amount]]/Log_2019[[#This Row],[Split_raw]]*MAX(0,MIN(_xlfn.DAYS(EDATE(AA$1,1),Log_2019[[#This Row],[Date]]),Log_2019[[#This Row],[Split_apply]])) - SUM($O486:Z486)</f>
        <v>0</v>
      </c>
      <c r="AB486" s="54">
        <f ca="1">Log_2019[[#This Row],[Amount]]-SUM(O486:AA486)</f>
        <v>0</v>
      </c>
      <c r="AC486" s="7">
        <f>MAX(0,Log_2019[[#This Row],[Split_raw]] - (EDATE(AA$1,1)-Log_2019[[#This Row],[Date]]))</f>
        <v>0</v>
      </c>
    </row>
    <row r="487" spans="1:29" x14ac:dyDescent="0.25">
      <c r="A487" s="42"/>
      <c r="B487" s="34" t="s">
        <v>490</v>
      </c>
      <c r="C487" s="34">
        <v>2.7408919210848399E+18</v>
      </c>
      <c r="D487" s="41">
        <v>43595</v>
      </c>
      <c r="E487" s="34"/>
      <c r="F487" s="34" t="s">
        <v>721</v>
      </c>
      <c r="G487" s="34"/>
      <c r="H487" s="45">
        <v>-12</v>
      </c>
      <c r="I487" s="36">
        <f>IF(Log_2019[[#This Row],[My Category]]="NONTRACKED",0,Log_2019[[#This Row],[Raw Amount]])</f>
        <v>-12</v>
      </c>
      <c r="J487" s="37">
        <f>ABS(Log_2019[[#This Row],[Amount]])</f>
        <v>12</v>
      </c>
      <c r="K487" s="38">
        <v>1</v>
      </c>
      <c r="L487" s="38">
        <f ca="1">IF(Log_2019[[#This Row],[Date]]&lt;=TODAY(), MIN(Log_2019[[#This Row],[Split_raw]], TODAY()-Log_2019[[#This Row],[Date]]+1), 0)</f>
        <v>1</v>
      </c>
      <c r="M487" s="34" t="s">
        <v>35</v>
      </c>
      <c r="N487" s="34" t="s">
        <v>490</v>
      </c>
      <c r="O487" s="7">
        <v>0</v>
      </c>
      <c r="P487" s="52">
        <f ca="1">Log_2019[[#This Row],[Amount]]/Log_2019[[#This Row],[Split_raw]]*MAX(0,MIN(_xlfn.DAYS(EDATE(P$1,1),Log_2019[[#This Row],[Date]]),Log_2019[[#This Row],[Split_apply]])) - SUM($O487:O487)</f>
        <v>0</v>
      </c>
      <c r="Q487" s="52">
        <f ca="1">Log_2019[[#This Row],[Amount]]/Log_2019[[#This Row],[Split_raw]]*MAX(0,MIN(_xlfn.DAYS(EDATE(Q$1,1),Log_2019[[#This Row],[Date]]),Log_2019[[#This Row],[Split_apply]])) - SUM($O487:P487)</f>
        <v>0</v>
      </c>
      <c r="R487" s="52">
        <f ca="1">Log_2019[[#This Row],[Amount]]/Log_2019[[#This Row],[Split_raw]]*MAX(0,MIN(_xlfn.DAYS(EDATE(R$1,1),Log_2019[[#This Row],[Date]]),Log_2019[[#This Row],[Split_apply]])) - SUM($O487:Q487)</f>
        <v>0</v>
      </c>
      <c r="S487" s="52">
        <f ca="1">Log_2019[[#This Row],[Amount]]/Log_2019[[#This Row],[Split_raw]]*MAX(0,MIN(_xlfn.DAYS(EDATE(S$1,1),Log_2019[[#This Row],[Date]]),Log_2019[[#This Row],[Split_apply]])) - SUM($O487:R487)</f>
        <v>0</v>
      </c>
      <c r="T487" s="52">
        <f ca="1">Log_2019[[#This Row],[Amount]]/Log_2019[[#This Row],[Split_raw]]*MAX(0,MIN(_xlfn.DAYS(EDATE(T$1,1),Log_2019[[#This Row],[Date]]),Log_2019[[#This Row],[Split_apply]])) - SUM($O487:S487)</f>
        <v>-12</v>
      </c>
      <c r="U487" s="52">
        <f ca="1">Log_2019[[#This Row],[Amount]]/Log_2019[[#This Row],[Split_raw]]*MAX(0,MIN(_xlfn.DAYS(EDATE(U$1,1),Log_2019[[#This Row],[Date]]),Log_2019[[#This Row],[Split_apply]])) - SUM($O487:T487)</f>
        <v>0</v>
      </c>
      <c r="V487" s="52">
        <f ca="1">Log_2019[[#This Row],[Amount]]/Log_2019[[#This Row],[Split_raw]]*MAX(0,MIN(_xlfn.DAYS(EDATE(V$1,1),Log_2019[[#This Row],[Date]]),Log_2019[[#This Row],[Split_apply]])) - SUM($O487:U487)</f>
        <v>0</v>
      </c>
      <c r="W487" s="52">
        <f ca="1">Log_2019[[#This Row],[Amount]]/Log_2019[[#This Row],[Split_raw]]*MAX(0,MIN(_xlfn.DAYS(EDATE(W$1,1),Log_2019[[#This Row],[Date]]),Log_2019[[#This Row],[Split_apply]])) - SUM($O487:V487)</f>
        <v>0</v>
      </c>
      <c r="X487" s="52">
        <f ca="1">Log_2019[[#This Row],[Amount]]/Log_2019[[#This Row],[Split_raw]]*MAX(0,MIN(_xlfn.DAYS(EDATE(X$1,1),Log_2019[[#This Row],[Date]]),Log_2019[[#This Row],[Split_apply]])) - SUM($O487:W487)</f>
        <v>0</v>
      </c>
      <c r="Y487" s="52">
        <f ca="1">Log_2019[[#This Row],[Amount]]/Log_2019[[#This Row],[Split_raw]]*MAX(0,MIN(_xlfn.DAYS(EDATE(Y$1,1),Log_2019[[#This Row],[Date]]),Log_2019[[#This Row],[Split_apply]])) - SUM($O487:X487)</f>
        <v>0</v>
      </c>
      <c r="Z487" s="52">
        <f ca="1">Log_2019[[#This Row],[Amount]]/Log_2019[[#This Row],[Split_raw]]*MAX(0,MIN(_xlfn.DAYS(EDATE(Z$1,1),Log_2019[[#This Row],[Date]]),Log_2019[[#This Row],[Split_apply]])) - SUM($O487:Y487)</f>
        <v>0</v>
      </c>
      <c r="AA487" s="52">
        <f ca="1">Log_2019[[#This Row],[Amount]]/Log_2019[[#This Row],[Split_raw]]*MAX(0,MIN(_xlfn.DAYS(EDATE(AA$1,1),Log_2019[[#This Row],[Date]]),Log_2019[[#This Row],[Split_apply]])) - SUM($O487:Z487)</f>
        <v>0</v>
      </c>
      <c r="AB487" s="54">
        <f ca="1">Log_2019[[#This Row],[Amount]]-SUM(O487:AA487)</f>
        <v>0</v>
      </c>
      <c r="AC487" s="7">
        <f>MAX(0,Log_2019[[#This Row],[Split_raw]] - (EDATE(AA$1,1)-Log_2019[[#This Row],[Date]]))</f>
        <v>0</v>
      </c>
    </row>
    <row r="488" spans="1:29" x14ac:dyDescent="0.25">
      <c r="A488" s="42"/>
      <c r="B488" s="34" t="s">
        <v>6</v>
      </c>
      <c r="C488" s="34"/>
      <c r="D488" s="35">
        <v>43594</v>
      </c>
      <c r="E488" s="34"/>
      <c r="F488" s="34" t="s">
        <v>59</v>
      </c>
      <c r="G488" s="34" t="s">
        <v>25</v>
      </c>
      <c r="H488" s="36">
        <v>-5.53</v>
      </c>
      <c r="I488" s="36">
        <f>IF(Log_2019[[#This Row],[My Category]]="NONTRACKED",0,Log_2019[[#This Row],[Raw Amount]])</f>
        <v>-5.53</v>
      </c>
      <c r="J488" s="37">
        <f>ABS(Log_2019[[#This Row],[Amount]])</f>
        <v>5.53</v>
      </c>
      <c r="K488" s="38">
        <v>1</v>
      </c>
      <c r="L488" s="38">
        <f ca="1">IF(Log_2019[[#This Row],[Date]]&lt;=TODAY(), MIN(Log_2019[[#This Row],[Split_raw]], TODAY()-Log_2019[[#This Row],[Date]]+1), 0)</f>
        <v>1</v>
      </c>
      <c r="M488" s="34" t="s">
        <v>35</v>
      </c>
      <c r="N488" s="34" t="s">
        <v>158</v>
      </c>
      <c r="O488" s="7">
        <v>0</v>
      </c>
      <c r="P488" s="52">
        <f ca="1">Log_2019[[#This Row],[Amount]]/Log_2019[[#This Row],[Split_raw]]*MAX(0,MIN(_xlfn.DAYS(EDATE(P$1,1),Log_2019[[#This Row],[Date]]),Log_2019[[#This Row],[Split_apply]])) - SUM($O488:O488)</f>
        <v>0</v>
      </c>
      <c r="Q488" s="52">
        <f ca="1">Log_2019[[#This Row],[Amount]]/Log_2019[[#This Row],[Split_raw]]*MAX(0,MIN(_xlfn.DAYS(EDATE(Q$1,1),Log_2019[[#This Row],[Date]]),Log_2019[[#This Row],[Split_apply]])) - SUM($O488:P488)</f>
        <v>0</v>
      </c>
      <c r="R488" s="52">
        <f ca="1">Log_2019[[#This Row],[Amount]]/Log_2019[[#This Row],[Split_raw]]*MAX(0,MIN(_xlfn.DAYS(EDATE(R$1,1),Log_2019[[#This Row],[Date]]),Log_2019[[#This Row],[Split_apply]])) - SUM($O488:Q488)</f>
        <v>0</v>
      </c>
      <c r="S488" s="52">
        <f ca="1">Log_2019[[#This Row],[Amount]]/Log_2019[[#This Row],[Split_raw]]*MAX(0,MIN(_xlfn.DAYS(EDATE(S$1,1),Log_2019[[#This Row],[Date]]),Log_2019[[#This Row],[Split_apply]])) - SUM($O488:R488)</f>
        <v>0</v>
      </c>
      <c r="T488" s="52">
        <f ca="1">Log_2019[[#This Row],[Amount]]/Log_2019[[#This Row],[Split_raw]]*MAX(0,MIN(_xlfn.DAYS(EDATE(T$1,1),Log_2019[[#This Row],[Date]]),Log_2019[[#This Row],[Split_apply]])) - SUM($O488:S488)</f>
        <v>-5.53</v>
      </c>
      <c r="U488" s="52">
        <f ca="1">Log_2019[[#This Row],[Amount]]/Log_2019[[#This Row],[Split_raw]]*MAX(0,MIN(_xlfn.DAYS(EDATE(U$1,1),Log_2019[[#This Row],[Date]]),Log_2019[[#This Row],[Split_apply]])) - SUM($O488:T488)</f>
        <v>0</v>
      </c>
      <c r="V488" s="52">
        <f ca="1">Log_2019[[#This Row],[Amount]]/Log_2019[[#This Row],[Split_raw]]*MAX(0,MIN(_xlfn.DAYS(EDATE(V$1,1),Log_2019[[#This Row],[Date]]),Log_2019[[#This Row],[Split_apply]])) - SUM($O488:U488)</f>
        <v>0</v>
      </c>
      <c r="W488" s="52">
        <f ca="1">Log_2019[[#This Row],[Amount]]/Log_2019[[#This Row],[Split_raw]]*MAX(0,MIN(_xlfn.DAYS(EDATE(W$1,1),Log_2019[[#This Row],[Date]]),Log_2019[[#This Row],[Split_apply]])) - SUM($O488:V488)</f>
        <v>0</v>
      </c>
      <c r="X488" s="52">
        <f ca="1">Log_2019[[#This Row],[Amount]]/Log_2019[[#This Row],[Split_raw]]*MAX(0,MIN(_xlfn.DAYS(EDATE(X$1,1),Log_2019[[#This Row],[Date]]),Log_2019[[#This Row],[Split_apply]])) - SUM($O488:W488)</f>
        <v>0</v>
      </c>
      <c r="Y488" s="52">
        <f ca="1">Log_2019[[#This Row],[Amount]]/Log_2019[[#This Row],[Split_raw]]*MAX(0,MIN(_xlfn.DAYS(EDATE(Y$1,1),Log_2019[[#This Row],[Date]]),Log_2019[[#This Row],[Split_apply]])) - SUM($O488:X488)</f>
        <v>0</v>
      </c>
      <c r="Z488" s="52">
        <f ca="1">Log_2019[[#This Row],[Amount]]/Log_2019[[#This Row],[Split_raw]]*MAX(0,MIN(_xlfn.DAYS(EDATE(Z$1,1),Log_2019[[#This Row],[Date]]),Log_2019[[#This Row],[Split_apply]])) - SUM($O488:Y488)</f>
        <v>0</v>
      </c>
      <c r="AA488" s="52">
        <f ca="1">Log_2019[[#This Row],[Amount]]/Log_2019[[#This Row],[Split_raw]]*MAX(0,MIN(_xlfn.DAYS(EDATE(AA$1,1),Log_2019[[#This Row],[Date]]),Log_2019[[#This Row],[Split_apply]])) - SUM($O488:Z488)</f>
        <v>0</v>
      </c>
      <c r="AB488" s="54">
        <f ca="1">Log_2019[[#This Row],[Amount]]-SUM(O488:AA488)</f>
        <v>0</v>
      </c>
      <c r="AC488" s="7">
        <f>MAX(0,Log_2019[[#This Row],[Split_raw]] - (EDATE(AA$1,1)-Log_2019[[#This Row],[Date]]))</f>
        <v>0</v>
      </c>
    </row>
    <row r="489" spans="1:29" x14ac:dyDescent="0.25">
      <c r="A489" s="42"/>
      <c r="B489" s="40" t="s">
        <v>6</v>
      </c>
      <c r="C489" s="40"/>
      <c r="D489" s="41">
        <v>43594</v>
      </c>
      <c r="E489" s="40"/>
      <c r="F489" s="40" t="s">
        <v>566</v>
      </c>
      <c r="G489" s="40" t="s">
        <v>80</v>
      </c>
      <c r="H489" s="42">
        <v>1891.67</v>
      </c>
      <c r="I489" s="36">
        <f>IF(Log_2019[[#This Row],[My Category]]="NONTRACKED",0,Log_2019[[#This Row],[Raw Amount]])</f>
        <v>1891.67</v>
      </c>
      <c r="J489" s="43">
        <f>ABS(Log_2019[[#This Row],[Amount]])</f>
        <v>1891.67</v>
      </c>
      <c r="K489" s="44">
        <v>14</v>
      </c>
      <c r="L489" s="38">
        <f ca="1">IF(Log_2019[[#This Row],[Date]]&lt;=TODAY(), MIN(Log_2019[[#This Row],[Split_raw]], TODAY()-Log_2019[[#This Row],[Date]]+1), 0)</f>
        <v>14</v>
      </c>
      <c r="M489" s="40" t="s">
        <v>91</v>
      </c>
      <c r="N489" s="34" t="s">
        <v>160</v>
      </c>
      <c r="O489" s="7">
        <v>0</v>
      </c>
      <c r="P489" s="52">
        <f ca="1">Log_2019[[#This Row],[Amount]]/Log_2019[[#This Row],[Split_raw]]*MAX(0,MIN(_xlfn.DAYS(EDATE(P$1,1),Log_2019[[#This Row],[Date]]),Log_2019[[#This Row],[Split_apply]])) - SUM($O489:O489)</f>
        <v>0</v>
      </c>
      <c r="Q489" s="52">
        <f ca="1">Log_2019[[#This Row],[Amount]]/Log_2019[[#This Row],[Split_raw]]*MAX(0,MIN(_xlfn.DAYS(EDATE(Q$1,1),Log_2019[[#This Row],[Date]]),Log_2019[[#This Row],[Split_apply]])) - SUM($O489:P489)</f>
        <v>0</v>
      </c>
      <c r="R489" s="52">
        <f ca="1">Log_2019[[#This Row],[Amount]]/Log_2019[[#This Row],[Split_raw]]*MAX(0,MIN(_xlfn.DAYS(EDATE(R$1,1),Log_2019[[#This Row],[Date]]),Log_2019[[#This Row],[Split_apply]])) - SUM($O489:Q489)</f>
        <v>0</v>
      </c>
      <c r="S489" s="52">
        <f ca="1">Log_2019[[#This Row],[Amount]]/Log_2019[[#This Row],[Split_raw]]*MAX(0,MIN(_xlfn.DAYS(EDATE(S$1,1),Log_2019[[#This Row],[Date]]),Log_2019[[#This Row],[Split_apply]])) - SUM($O489:R489)</f>
        <v>0</v>
      </c>
      <c r="T489" s="52">
        <f ca="1">Log_2019[[#This Row],[Amount]]/Log_2019[[#This Row],[Split_raw]]*MAX(0,MIN(_xlfn.DAYS(EDATE(T$1,1),Log_2019[[#This Row],[Date]]),Log_2019[[#This Row],[Split_apply]])) - SUM($O489:S489)</f>
        <v>1891.67</v>
      </c>
      <c r="U489" s="52">
        <f ca="1">Log_2019[[#This Row],[Amount]]/Log_2019[[#This Row],[Split_raw]]*MAX(0,MIN(_xlfn.DAYS(EDATE(U$1,1),Log_2019[[#This Row],[Date]]),Log_2019[[#This Row],[Split_apply]])) - SUM($O489:T489)</f>
        <v>0</v>
      </c>
      <c r="V489" s="52">
        <f ca="1">Log_2019[[#This Row],[Amount]]/Log_2019[[#This Row],[Split_raw]]*MAX(0,MIN(_xlfn.DAYS(EDATE(V$1,1),Log_2019[[#This Row],[Date]]),Log_2019[[#This Row],[Split_apply]])) - SUM($O489:U489)</f>
        <v>0</v>
      </c>
      <c r="W489" s="52">
        <f ca="1">Log_2019[[#This Row],[Amount]]/Log_2019[[#This Row],[Split_raw]]*MAX(0,MIN(_xlfn.DAYS(EDATE(W$1,1),Log_2019[[#This Row],[Date]]),Log_2019[[#This Row],[Split_apply]])) - SUM($O489:V489)</f>
        <v>0</v>
      </c>
      <c r="X489" s="52">
        <f ca="1">Log_2019[[#This Row],[Amount]]/Log_2019[[#This Row],[Split_raw]]*MAX(0,MIN(_xlfn.DAYS(EDATE(X$1,1),Log_2019[[#This Row],[Date]]),Log_2019[[#This Row],[Split_apply]])) - SUM($O489:W489)</f>
        <v>0</v>
      </c>
      <c r="Y489" s="52">
        <f ca="1">Log_2019[[#This Row],[Amount]]/Log_2019[[#This Row],[Split_raw]]*MAX(0,MIN(_xlfn.DAYS(EDATE(Y$1,1),Log_2019[[#This Row],[Date]]),Log_2019[[#This Row],[Split_apply]])) - SUM($O489:X489)</f>
        <v>0</v>
      </c>
      <c r="Z489" s="52">
        <f ca="1">Log_2019[[#This Row],[Amount]]/Log_2019[[#This Row],[Split_raw]]*MAX(0,MIN(_xlfn.DAYS(EDATE(Z$1,1),Log_2019[[#This Row],[Date]]),Log_2019[[#This Row],[Split_apply]])) - SUM($O489:Y489)</f>
        <v>0</v>
      </c>
      <c r="AA489" s="52">
        <f ca="1">Log_2019[[#This Row],[Amount]]/Log_2019[[#This Row],[Split_raw]]*MAX(0,MIN(_xlfn.DAYS(EDATE(AA$1,1),Log_2019[[#This Row],[Date]]),Log_2019[[#This Row],[Split_apply]])) - SUM($O489:Z489)</f>
        <v>0</v>
      </c>
      <c r="AB489" s="54">
        <f ca="1">Log_2019[[#This Row],[Amount]]-SUM(O489:AA489)</f>
        <v>0</v>
      </c>
      <c r="AC489" s="7">
        <f>MAX(0,Log_2019[[#This Row],[Split_raw]] - (EDATE(AA$1,1)-Log_2019[[#This Row],[Date]]))</f>
        <v>0</v>
      </c>
    </row>
    <row r="490" spans="1:29" x14ac:dyDescent="0.25">
      <c r="A490" s="42"/>
      <c r="B490" s="34" t="s">
        <v>6</v>
      </c>
      <c r="C490" s="34"/>
      <c r="D490" s="35">
        <v>43593</v>
      </c>
      <c r="E490" s="34"/>
      <c r="F490" s="34" t="s">
        <v>598</v>
      </c>
      <c r="G490" s="34" t="s">
        <v>12</v>
      </c>
      <c r="H490" s="36">
        <v>-27.95</v>
      </c>
      <c r="I490" s="36">
        <f>IF(Log_2019[[#This Row],[My Category]]="NONTRACKED",0,Log_2019[[#This Row],[Raw Amount]])</f>
        <v>-27.95</v>
      </c>
      <c r="J490" s="37">
        <f>ABS(Log_2019[[#This Row],[Amount]])</f>
        <v>27.95</v>
      </c>
      <c r="K490" s="38">
        <v>1</v>
      </c>
      <c r="L490" s="38">
        <f ca="1">IF(Log_2019[[#This Row],[Date]]&lt;=TODAY(), MIN(Log_2019[[#This Row],[Split_raw]], TODAY()-Log_2019[[#This Row],[Date]]+1), 0)</f>
        <v>1</v>
      </c>
      <c r="M490" s="34" t="s">
        <v>12</v>
      </c>
      <c r="N490" s="34" t="s">
        <v>158</v>
      </c>
      <c r="O490" s="7">
        <v>0</v>
      </c>
      <c r="P490" s="52">
        <f ca="1">Log_2019[[#This Row],[Amount]]/Log_2019[[#This Row],[Split_raw]]*MAX(0,MIN(_xlfn.DAYS(EDATE(P$1,1),Log_2019[[#This Row],[Date]]),Log_2019[[#This Row],[Split_apply]])) - SUM($O490:O490)</f>
        <v>0</v>
      </c>
      <c r="Q490" s="52">
        <f ca="1">Log_2019[[#This Row],[Amount]]/Log_2019[[#This Row],[Split_raw]]*MAX(0,MIN(_xlfn.DAYS(EDATE(Q$1,1),Log_2019[[#This Row],[Date]]),Log_2019[[#This Row],[Split_apply]])) - SUM($O490:P490)</f>
        <v>0</v>
      </c>
      <c r="R490" s="52">
        <f ca="1">Log_2019[[#This Row],[Amount]]/Log_2019[[#This Row],[Split_raw]]*MAX(0,MIN(_xlfn.DAYS(EDATE(R$1,1),Log_2019[[#This Row],[Date]]),Log_2019[[#This Row],[Split_apply]])) - SUM($O490:Q490)</f>
        <v>0</v>
      </c>
      <c r="S490" s="52">
        <f ca="1">Log_2019[[#This Row],[Amount]]/Log_2019[[#This Row],[Split_raw]]*MAX(0,MIN(_xlfn.DAYS(EDATE(S$1,1),Log_2019[[#This Row],[Date]]),Log_2019[[#This Row],[Split_apply]])) - SUM($O490:R490)</f>
        <v>0</v>
      </c>
      <c r="T490" s="52">
        <f ca="1">Log_2019[[#This Row],[Amount]]/Log_2019[[#This Row],[Split_raw]]*MAX(0,MIN(_xlfn.DAYS(EDATE(T$1,1),Log_2019[[#This Row],[Date]]),Log_2019[[#This Row],[Split_apply]])) - SUM($O490:S490)</f>
        <v>-27.95</v>
      </c>
      <c r="U490" s="52">
        <f ca="1">Log_2019[[#This Row],[Amount]]/Log_2019[[#This Row],[Split_raw]]*MAX(0,MIN(_xlfn.DAYS(EDATE(U$1,1),Log_2019[[#This Row],[Date]]),Log_2019[[#This Row],[Split_apply]])) - SUM($O490:T490)</f>
        <v>0</v>
      </c>
      <c r="V490" s="52">
        <f ca="1">Log_2019[[#This Row],[Amount]]/Log_2019[[#This Row],[Split_raw]]*MAX(0,MIN(_xlfn.DAYS(EDATE(V$1,1),Log_2019[[#This Row],[Date]]),Log_2019[[#This Row],[Split_apply]])) - SUM($O490:U490)</f>
        <v>0</v>
      </c>
      <c r="W490" s="52">
        <f ca="1">Log_2019[[#This Row],[Amount]]/Log_2019[[#This Row],[Split_raw]]*MAX(0,MIN(_xlfn.DAYS(EDATE(W$1,1),Log_2019[[#This Row],[Date]]),Log_2019[[#This Row],[Split_apply]])) - SUM($O490:V490)</f>
        <v>0</v>
      </c>
      <c r="X490" s="52">
        <f ca="1">Log_2019[[#This Row],[Amount]]/Log_2019[[#This Row],[Split_raw]]*MAX(0,MIN(_xlfn.DAYS(EDATE(X$1,1),Log_2019[[#This Row],[Date]]),Log_2019[[#This Row],[Split_apply]])) - SUM($O490:W490)</f>
        <v>0</v>
      </c>
      <c r="Y490" s="52">
        <f ca="1">Log_2019[[#This Row],[Amount]]/Log_2019[[#This Row],[Split_raw]]*MAX(0,MIN(_xlfn.DAYS(EDATE(Y$1,1),Log_2019[[#This Row],[Date]]),Log_2019[[#This Row],[Split_apply]])) - SUM($O490:X490)</f>
        <v>0</v>
      </c>
      <c r="Z490" s="52">
        <f ca="1">Log_2019[[#This Row],[Amount]]/Log_2019[[#This Row],[Split_raw]]*MAX(0,MIN(_xlfn.DAYS(EDATE(Z$1,1),Log_2019[[#This Row],[Date]]),Log_2019[[#This Row],[Split_apply]])) - SUM($O490:Y490)</f>
        <v>0</v>
      </c>
      <c r="AA490" s="52">
        <f ca="1">Log_2019[[#This Row],[Amount]]/Log_2019[[#This Row],[Split_raw]]*MAX(0,MIN(_xlfn.DAYS(EDATE(AA$1,1),Log_2019[[#This Row],[Date]]),Log_2019[[#This Row],[Split_apply]])) - SUM($O490:Z490)</f>
        <v>0</v>
      </c>
      <c r="AB490" s="54">
        <f ca="1">Log_2019[[#This Row],[Amount]]-SUM(O490:AA490)</f>
        <v>0</v>
      </c>
      <c r="AC490" s="7">
        <f>MAX(0,Log_2019[[#This Row],[Split_raw]] - (EDATE(AA$1,1)-Log_2019[[#This Row],[Date]]))</f>
        <v>0</v>
      </c>
    </row>
    <row r="491" spans="1:29" x14ac:dyDescent="0.25">
      <c r="A491" s="42"/>
      <c r="B491" s="34" t="s">
        <v>6</v>
      </c>
      <c r="C491" s="34"/>
      <c r="D491" s="35">
        <v>43593</v>
      </c>
      <c r="E491" s="34"/>
      <c r="F491" s="34" t="s">
        <v>255</v>
      </c>
      <c r="G491" s="34" t="s">
        <v>25</v>
      </c>
      <c r="H491" s="36">
        <v>-9.49</v>
      </c>
      <c r="I491" s="36">
        <f>IF(Log_2019[[#This Row],[My Category]]="NONTRACKED",0,Log_2019[[#This Row],[Raw Amount]])</f>
        <v>-9.49</v>
      </c>
      <c r="J491" s="37">
        <f>ABS(Log_2019[[#This Row],[Amount]])</f>
        <v>9.49</v>
      </c>
      <c r="K491" s="38">
        <v>1</v>
      </c>
      <c r="L491" s="38">
        <f ca="1">IF(Log_2019[[#This Row],[Date]]&lt;=TODAY(), MIN(Log_2019[[#This Row],[Split_raw]], TODAY()-Log_2019[[#This Row],[Date]]+1), 0)</f>
        <v>1</v>
      </c>
      <c r="M491" s="34" t="s">
        <v>35</v>
      </c>
      <c r="N491" s="34" t="s">
        <v>158</v>
      </c>
      <c r="O491" s="7">
        <v>0</v>
      </c>
      <c r="P491" s="52">
        <f ca="1">Log_2019[[#This Row],[Amount]]/Log_2019[[#This Row],[Split_raw]]*MAX(0,MIN(_xlfn.DAYS(EDATE(P$1,1),Log_2019[[#This Row],[Date]]),Log_2019[[#This Row],[Split_apply]])) - SUM($O491:O491)</f>
        <v>0</v>
      </c>
      <c r="Q491" s="52">
        <f ca="1">Log_2019[[#This Row],[Amount]]/Log_2019[[#This Row],[Split_raw]]*MAX(0,MIN(_xlfn.DAYS(EDATE(Q$1,1),Log_2019[[#This Row],[Date]]),Log_2019[[#This Row],[Split_apply]])) - SUM($O491:P491)</f>
        <v>0</v>
      </c>
      <c r="R491" s="52">
        <f ca="1">Log_2019[[#This Row],[Amount]]/Log_2019[[#This Row],[Split_raw]]*MAX(0,MIN(_xlfn.DAYS(EDATE(R$1,1),Log_2019[[#This Row],[Date]]),Log_2019[[#This Row],[Split_apply]])) - SUM($O491:Q491)</f>
        <v>0</v>
      </c>
      <c r="S491" s="52">
        <f ca="1">Log_2019[[#This Row],[Amount]]/Log_2019[[#This Row],[Split_raw]]*MAX(0,MIN(_xlfn.DAYS(EDATE(S$1,1),Log_2019[[#This Row],[Date]]),Log_2019[[#This Row],[Split_apply]])) - SUM($O491:R491)</f>
        <v>0</v>
      </c>
      <c r="T491" s="52">
        <f ca="1">Log_2019[[#This Row],[Amount]]/Log_2019[[#This Row],[Split_raw]]*MAX(0,MIN(_xlfn.DAYS(EDATE(T$1,1),Log_2019[[#This Row],[Date]]),Log_2019[[#This Row],[Split_apply]])) - SUM($O491:S491)</f>
        <v>-9.49</v>
      </c>
      <c r="U491" s="52">
        <f ca="1">Log_2019[[#This Row],[Amount]]/Log_2019[[#This Row],[Split_raw]]*MAX(0,MIN(_xlfn.DAYS(EDATE(U$1,1),Log_2019[[#This Row],[Date]]),Log_2019[[#This Row],[Split_apply]])) - SUM($O491:T491)</f>
        <v>0</v>
      </c>
      <c r="V491" s="52">
        <f ca="1">Log_2019[[#This Row],[Amount]]/Log_2019[[#This Row],[Split_raw]]*MAX(0,MIN(_xlfn.DAYS(EDATE(V$1,1),Log_2019[[#This Row],[Date]]),Log_2019[[#This Row],[Split_apply]])) - SUM($O491:U491)</f>
        <v>0</v>
      </c>
      <c r="W491" s="52">
        <f ca="1">Log_2019[[#This Row],[Amount]]/Log_2019[[#This Row],[Split_raw]]*MAX(0,MIN(_xlfn.DAYS(EDATE(W$1,1),Log_2019[[#This Row],[Date]]),Log_2019[[#This Row],[Split_apply]])) - SUM($O491:V491)</f>
        <v>0</v>
      </c>
      <c r="X491" s="52">
        <f ca="1">Log_2019[[#This Row],[Amount]]/Log_2019[[#This Row],[Split_raw]]*MAX(0,MIN(_xlfn.DAYS(EDATE(X$1,1),Log_2019[[#This Row],[Date]]),Log_2019[[#This Row],[Split_apply]])) - SUM($O491:W491)</f>
        <v>0</v>
      </c>
      <c r="Y491" s="52">
        <f ca="1">Log_2019[[#This Row],[Amount]]/Log_2019[[#This Row],[Split_raw]]*MAX(0,MIN(_xlfn.DAYS(EDATE(Y$1,1),Log_2019[[#This Row],[Date]]),Log_2019[[#This Row],[Split_apply]])) - SUM($O491:X491)</f>
        <v>0</v>
      </c>
      <c r="Z491" s="52">
        <f ca="1">Log_2019[[#This Row],[Amount]]/Log_2019[[#This Row],[Split_raw]]*MAX(0,MIN(_xlfn.DAYS(EDATE(Z$1,1),Log_2019[[#This Row],[Date]]),Log_2019[[#This Row],[Split_apply]])) - SUM($O491:Y491)</f>
        <v>0</v>
      </c>
      <c r="AA491" s="52">
        <f ca="1">Log_2019[[#This Row],[Amount]]/Log_2019[[#This Row],[Split_raw]]*MAX(0,MIN(_xlfn.DAYS(EDATE(AA$1,1),Log_2019[[#This Row],[Date]]),Log_2019[[#This Row],[Split_apply]])) - SUM($O491:Z491)</f>
        <v>0</v>
      </c>
      <c r="AB491" s="54">
        <f ca="1">Log_2019[[#This Row],[Amount]]-SUM(O491:AA491)</f>
        <v>0</v>
      </c>
      <c r="AC491" s="7">
        <f>MAX(0,Log_2019[[#This Row],[Split_raw]] - (EDATE(AA$1,1)-Log_2019[[#This Row],[Date]]))</f>
        <v>0</v>
      </c>
    </row>
    <row r="492" spans="1:29" x14ac:dyDescent="0.25">
      <c r="A492" s="42"/>
      <c r="B492" s="34" t="s">
        <v>6</v>
      </c>
      <c r="C492" s="34"/>
      <c r="D492" s="35">
        <v>43593</v>
      </c>
      <c r="E492" s="34"/>
      <c r="F492" s="34" t="s">
        <v>255</v>
      </c>
      <c r="G492" s="34" t="s">
        <v>25</v>
      </c>
      <c r="H492" s="36">
        <v>-21.72</v>
      </c>
      <c r="I492" s="36">
        <f>IF(Log_2019[[#This Row],[My Category]]="NONTRACKED",0,Log_2019[[#This Row],[Raw Amount]])</f>
        <v>-21.72</v>
      </c>
      <c r="J492" s="37">
        <f>ABS(Log_2019[[#This Row],[Amount]])</f>
        <v>21.72</v>
      </c>
      <c r="K492" s="38">
        <v>1</v>
      </c>
      <c r="L492" s="38">
        <f ca="1">IF(Log_2019[[#This Row],[Date]]&lt;=TODAY(), MIN(Log_2019[[#This Row],[Split_raw]], TODAY()-Log_2019[[#This Row],[Date]]+1), 0)</f>
        <v>1</v>
      </c>
      <c r="M492" s="34" t="s">
        <v>52</v>
      </c>
      <c r="N492" s="34" t="s">
        <v>158</v>
      </c>
      <c r="O492" s="7">
        <v>0</v>
      </c>
      <c r="P492" s="52">
        <f ca="1">Log_2019[[#This Row],[Amount]]/Log_2019[[#This Row],[Split_raw]]*MAX(0,MIN(_xlfn.DAYS(EDATE(P$1,1),Log_2019[[#This Row],[Date]]),Log_2019[[#This Row],[Split_apply]])) - SUM($O492:O492)</f>
        <v>0</v>
      </c>
      <c r="Q492" s="52">
        <f ca="1">Log_2019[[#This Row],[Amount]]/Log_2019[[#This Row],[Split_raw]]*MAX(0,MIN(_xlfn.DAYS(EDATE(Q$1,1),Log_2019[[#This Row],[Date]]),Log_2019[[#This Row],[Split_apply]])) - SUM($O492:P492)</f>
        <v>0</v>
      </c>
      <c r="R492" s="52">
        <f ca="1">Log_2019[[#This Row],[Amount]]/Log_2019[[#This Row],[Split_raw]]*MAX(0,MIN(_xlfn.DAYS(EDATE(R$1,1),Log_2019[[#This Row],[Date]]),Log_2019[[#This Row],[Split_apply]])) - SUM($O492:Q492)</f>
        <v>0</v>
      </c>
      <c r="S492" s="52">
        <f ca="1">Log_2019[[#This Row],[Amount]]/Log_2019[[#This Row],[Split_raw]]*MAX(0,MIN(_xlfn.DAYS(EDATE(S$1,1),Log_2019[[#This Row],[Date]]),Log_2019[[#This Row],[Split_apply]])) - SUM($O492:R492)</f>
        <v>0</v>
      </c>
      <c r="T492" s="52">
        <f ca="1">Log_2019[[#This Row],[Amount]]/Log_2019[[#This Row],[Split_raw]]*MAX(0,MIN(_xlfn.DAYS(EDATE(T$1,1),Log_2019[[#This Row],[Date]]),Log_2019[[#This Row],[Split_apply]])) - SUM($O492:S492)</f>
        <v>-21.72</v>
      </c>
      <c r="U492" s="52">
        <f ca="1">Log_2019[[#This Row],[Amount]]/Log_2019[[#This Row],[Split_raw]]*MAX(0,MIN(_xlfn.DAYS(EDATE(U$1,1),Log_2019[[#This Row],[Date]]),Log_2019[[#This Row],[Split_apply]])) - SUM($O492:T492)</f>
        <v>0</v>
      </c>
      <c r="V492" s="52">
        <f ca="1">Log_2019[[#This Row],[Amount]]/Log_2019[[#This Row],[Split_raw]]*MAX(0,MIN(_xlfn.DAYS(EDATE(V$1,1),Log_2019[[#This Row],[Date]]),Log_2019[[#This Row],[Split_apply]])) - SUM($O492:U492)</f>
        <v>0</v>
      </c>
      <c r="W492" s="52">
        <f ca="1">Log_2019[[#This Row],[Amount]]/Log_2019[[#This Row],[Split_raw]]*MAX(0,MIN(_xlfn.DAYS(EDATE(W$1,1),Log_2019[[#This Row],[Date]]),Log_2019[[#This Row],[Split_apply]])) - SUM($O492:V492)</f>
        <v>0</v>
      </c>
      <c r="X492" s="52">
        <f ca="1">Log_2019[[#This Row],[Amount]]/Log_2019[[#This Row],[Split_raw]]*MAX(0,MIN(_xlfn.DAYS(EDATE(X$1,1),Log_2019[[#This Row],[Date]]),Log_2019[[#This Row],[Split_apply]])) - SUM($O492:W492)</f>
        <v>0</v>
      </c>
      <c r="Y492" s="52">
        <f ca="1">Log_2019[[#This Row],[Amount]]/Log_2019[[#This Row],[Split_raw]]*MAX(0,MIN(_xlfn.DAYS(EDATE(Y$1,1),Log_2019[[#This Row],[Date]]),Log_2019[[#This Row],[Split_apply]])) - SUM($O492:X492)</f>
        <v>0</v>
      </c>
      <c r="Z492" s="52">
        <f ca="1">Log_2019[[#This Row],[Amount]]/Log_2019[[#This Row],[Split_raw]]*MAX(0,MIN(_xlfn.DAYS(EDATE(Z$1,1),Log_2019[[#This Row],[Date]]),Log_2019[[#This Row],[Split_apply]])) - SUM($O492:Y492)</f>
        <v>0</v>
      </c>
      <c r="AA492" s="52">
        <f ca="1">Log_2019[[#This Row],[Amount]]/Log_2019[[#This Row],[Split_raw]]*MAX(0,MIN(_xlfn.DAYS(EDATE(AA$1,1),Log_2019[[#This Row],[Date]]),Log_2019[[#This Row],[Split_apply]])) - SUM($O492:Z492)</f>
        <v>0</v>
      </c>
      <c r="AB492" s="54">
        <f ca="1">Log_2019[[#This Row],[Amount]]-SUM(O492:AA492)</f>
        <v>0</v>
      </c>
      <c r="AC492" s="7">
        <f>MAX(0,Log_2019[[#This Row],[Split_raw]] - (EDATE(AA$1,1)-Log_2019[[#This Row],[Date]]))</f>
        <v>0</v>
      </c>
    </row>
    <row r="493" spans="1:29" x14ac:dyDescent="0.25">
      <c r="A493" s="42"/>
      <c r="B493" s="34" t="s">
        <v>6</v>
      </c>
      <c r="C493" s="34"/>
      <c r="D493" s="35">
        <v>43592</v>
      </c>
      <c r="E493" s="34"/>
      <c r="F493" s="34" t="s">
        <v>308</v>
      </c>
      <c r="G493" s="34" t="s">
        <v>25</v>
      </c>
      <c r="H493" s="36">
        <v>-9.7100000000000009</v>
      </c>
      <c r="I493" s="36">
        <f>IF(Log_2019[[#This Row],[My Category]]="NONTRACKED",0,Log_2019[[#This Row],[Raw Amount]])</f>
        <v>-9.7100000000000009</v>
      </c>
      <c r="J493" s="37">
        <f>ABS(Log_2019[[#This Row],[Amount]])</f>
        <v>9.7100000000000009</v>
      </c>
      <c r="K493" s="38">
        <v>1</v>
      </c>
      <c r="L493" s="38">
        <f ca="1">IF(Log_2019[[#This Row],[Date]]&lt;=TODAY(), MIN(Log_2019[[#This Row],[Split_raw]], TODAY()-Log_2019[[#This Row],[Date]]+1), 0)</f>
        <v>1</v>
      </c>
      <c r="M493" s="34" t="s">
        <v>35</v>
      </c>
      <c r="N493" s="34" t="s">
        <v>158</v>
      </c>
      <c r="O493" s="7">
        <v>0</v>
      </c>
      <c r="P493" s="52">
        <f ca="1">Log_2019[[#This Row],[Amount]]/Log_2019[[#This Row],[Split_raw]]*MAX(0,MIN(_xlfn.DAYS(EDATE(P$1,1),Log_2019[[#This Row],[Date]]),Log_2019[[#This Row],[Split_apply]])) - SUM($O493:O493)</f>
        <v>0</v>
      </c>
      <c r="Q493" s="52">
        <f ca="1">Log_2019[[#This Row],[Amount]]/Log_2019[[#This Row],[Split_raw]]*MAX(0,MIN(_xlfn.DAYS(EDATE(Q$1,1),Log_2019[[#This Row],[Date]]),Log_2019[[#This Row],[Split_apply]])) - SUM($O493:P493)</f>
        <v>0</v>
      </c>
      <c r="R493" s="52">
        <f ca="1">Log_2019[[#This Row],[Amount]]/Log_2019[[#This Row],[Split_raw]]*MAX(0,MIN(_xlfn.DAYS(EDATE(R$1,1),Log_2019[[#This Row],[Date]]),Log_2019[[#This Row],[Split_apply]])) - SUM($O493:Q493)</f>
        <v>0</v>
      </c>
      <c r="S493" s="52">
        <f ca="1">Log_2019[[#This Row],[Amount]]/Log_2019[[#This Row],[Split_raw]]*MAX(0,MIN(_xlfn.DAYS(EDATE(S$1,1),Log_2019[[#This Row],[Date]]),Log_2019[[#This Row],[Split_apply]])) - SUM($O493:R493)</f>
        <v>0</v>
      </c>
      <c r="T493" s="52">
        <f ca="1">Log_2019[[#This Row],[Amount]]/Log_2019[[#This Row],[Split_raw]]*MAX(0,MIN(_xlfn.DAYS(EDATE(T$1,1),Log_2019[[#This Row],[Date]]),Log_2019[[#This Row],[Split_apply]])) - SUM($O493:S493)</f>
        <v>-9.7100000000000009</v>
      </c>
      <c r="U493" s="52">
        <f ca="1">Log_2019[[#This Row],[Amount]]/Log_2019[[#This Row],[Split_raw]]*MAX(0,MIN(_xlfn.DAYS(EDATE(U$1,1),Log_2019[[#This Row],[Date]]),Log_2019[[#This Row],[Split_apply]])) - SUM($O493:T493)</f>
        <v>0</v>
      </c>
      <c r="V493" s="52">
        <f ca="1">Log_2019[[#This Row],[Amount]]/Log_2019[[#This Row],[Split_raw]]*MAX(0,MIN(_xlfn.DAYS(EDATE(V$1,1),Log_2019[[#This Row],[Date]]),Log_2019[[#This Row],[Split_apply]])) - SUM($O493:U493)</f>
        <v>0</v>
      </c>
      <c r="W493" s="52">
        <f ca="1">Log_2019[[#This Row],[Amount]]/Log_2019[[#This Row],[Split_raw]]*MAX(0,MIN(_xlfn.DAYS(EDATE(W$1,1),Log_2019[[#This Row],[Date]]),Log_2019[[#This Row],[Split_apply]])) - SUM($O493:V493)</f>
        <v>0</v>
      </c>
      <c r="X493" s="52">
        <f ca="1">Log_2019[[#This Row],[Amount]]/Log_2019[[#This Row],[Split_raw]]*MAX(0,MIN(_xlfn.DAYS(EDATE(X$1,1),Log_2019[[#This Row],[Date]]),Log_2019[[#This Row],[Split_apply]])) - SUM($O493:W493)</f>
        <v>0</v>
      </c>
      <c r="Y493" s="52">
        <f ca="1">Log_2019[[#This Row],[Amount]]/Log_2019[[#This Row],[Split_raw]]*MAX(0,MIN(_xlfn.DAYS(EDATE(Y$1,1),Log_2019[[#This Row],[Date]]),Log_2019[[#This Row],[Split_apply]])) - SUM($O493:X493)</f>
        <v>0</v>
      </c>
      <c r="Z493" s="52">
        <f ca="1">Log_2019[[#This Row],[Amount]]/Log_2019[[#This Row],[Split_raw]]*MAX(0,MIN(_xlfn.DAYS(EDATE(Z$1,1),Log_2019[[#This Row],[Date]]),Log_2019[[#This Row],[Split_apply]])) - SUM($O493:Y493)</f>
        <v>0</v>
      </c>
      <c r="AA493" s="52">
        <f ca="1">Log_2019[[#This Row],[Amount]]/Log_2019[[#This Row],[Split_raw]]*MAX(0,MIN(_xlfn.DAYS(EDATE(AA$1,1),Log_2019[[#This Row],[Date]]),Log_2019[[#This Row],[Split_apply]])) - SUM($O493:Z493)</f>
        <v>0</v>
      </c>
      <c r="AB493" s="54">
        <f ca="1">Log_2019[[#This Row],[Amount]]-SUM(O493:AA493)</f>
        <v>0</v>
      </c>
      <c r="AC493" s="7">
        <f>MAX(0,Log_2019[[#This Row],[Split_raw]] - (EDATE(AA$1,1)-Log_2019[[#This Row],[Date]]))</f>
        <v>0</v>
      </c>
    </row>
    <row r="494" spans="1:29" x14ac:dyDescent="0.25">
      <c r="A494" s="42"/>
      <c r="B494" s="34" t="s">
        <v>6</v>
      </c>
      <c r="C494" s="34"/>
      <c r="D494" s="35">
        <v>43592</v>
      </c>
      <c r="E494" s="34"/>
      <c r="F494" s="34" t="s">
        <v>514</v>
      </c>
      <c r="G494" s="34" t="s">
        <v>9</v>
      </c>
      <c r="H494" s="36">
        <v>-33.43</v>
      </c>
      <c r="I494" s="36">
        <f>IF(Log_2019[[#This Row],[My Category]]="NONTRACKED",0,Log_2019[[#This Row],[Raw Amount]])</f>
        <v>-33.43</v>
      </c>
      <c r="J494" s="37">
        <f>ABS(Log_2019[[#This Row],[Amount]])</f>
        <v>33.43</v>
      </c>
      <c r="K494" s="38">
        <v>1</v>
      </c>
      <c r="L494" s="38">
        <f ca="1">IF(Log_2019[[#This Row],[Date]]&lt;=TODAY(), MIN(Log_2019[[#This Row],[Split_raw]], TODAY()-Log_2019[[#This Row],[Date]]+1), 0)</f>
        <v>1</v>
      </c>
      <c r="M494" s="34" t="s">
        <v>12</v>
      </c>
      <c r="N494" s="34" t="s">
        <v>158</v>
      </c>
      <c r="O494" s="7">
        <v>0</v>
      </c>
      <c r="P494" s="52">
        <f ca="1">Log_2019[[#This Row],[Amount]]/Log_2019[[#This Row],[Split_raw]]*MAX(0,MIN(_xlfn.DAYS(EDATE(P$1,1),Log_2019[[#This Row],[Date]]),Log_2019[[#This Row],[Split_apply]])) - SUM($O494:O494)</f>
        <v>0</v>
      </c>
      <c r="Q494" s="52">
        <f ca="1">Log_2019[[#This Row],[Amount]]/Log_2019[[#This Row],[Split_raw]]*MAX(0,MIN(_xlfn.DAYS(EDATE(Q$1,1),Log_2019[[#This Row],[Date]]),Log_2019[[#This Row],[Split_apply]])) - SUM($O494:P494)</f>
        <v>0</v>
      </c>
      <c r="R494" s="52">
        <f ca="1">Log_2019[[#This Row],[Amount]]/Log_2019[[#This Row],[Split_raw]]*MAX(0,MIN(_xlfn.DAYS(EDATE(R$1,1),Log_2019[[#This Row],[Date]]),Log_2019[[#This Row],[Split_apply]])) - SUM($O494:Q494)</f>
        <v>0</v>
      </c>
      <c r="S494" s="52">
        <f ca="1">Log_2019[[#This Row],[Amount]]/Log_2019[[#This Row],[Split_raw]]*MAX(0,MIN(_xlfn.DAYS(EDATE(S$1,1),Log_2019[[#This Row],[Date]]),Log_2019[[#This Row],[Split_apply]])) - SUM($O494:R494)</f>
        <v>0</v>
      </c>
      <c r="T494" s="52">
        <f ca="1">Log_2019[[#This Row],[Amount]]/Log_2019[[#This Row],[Split_raw]]*MAX(0,MIN(_xlfn.DAYS(EDATE(T$1,1),Log_2019[[#This Row],[Date]]),Log_2019[[#This Row],[Split_apply]])) - SUM($O494:S494)</f>
        <v>-33.43</v>
      </c>
      <c r="U494" s="52">
        <f ca="1">Log_2019[[#This Row],[Amount]]/Log_2019[[#This Row],[Split_raw]]*MAX(0,MIN(_xlfn.DAYS(EDATE(U$1,1),Log_2019[[#This Row],[Date]]),Log_2019[[#This Row],[Split_apply]])) - SUM($O494:T494)</f>
        <v>0</v>
      </c>
      <c r="V494" s="52">
        <f ca="1">Log_2019[[#This Row],[Amount]]/Log_2019[[#This Row],[Split_raw]]*MAX(0,MIN(_xlfn.DAYS(EDATE(V$1,1),Log_2019[[#This Row],[Date]]),Log_2019[[#This Row],[Split_apply]])) - SUM($O494:U494)</f>
        <v>0</v>
      </c>
      <c r="W494" s="52">
        <f ca="1">Log_2019[[#This Row],[Amount]]/Log_2019[[#This Row],[Split_raw]]*MAX(0,MIN(_xlfn.DAYS(EDATE(W$1,1),Log_2019[[#This Row],[Date]]),Log_2019[[#This Row],[Split_apply]])) - SUM($O494:V494)</f>
        <v>0</v>
      </c>
      <c r="X494" s="52">
        <f ca="1">Log_2019[[#This Row],[Amount]]/Log_2019[[#This Row],[Split_raw]]*MAX(0,MIN(_xlfn.DAYS(EDATE(X$1,1),Log_2019[[#This Row],[Date]]),Log_2019[[#This Row],[Split_apply]])) - SUM($O494:W494)</f>
        <v>0</v>
      </c>
      <c r="Y494" s="52">
        <f ca="1">Log_2019[[#This Row],[Amount]]/Log_2019[[#This Row],[Split_raw]]*MAX(0,MIN(_xlfn.DAYS(EDATE(Y$1,1),Log_2019[[#This Row],[Date]]),Log_2019[[#This Row],[Split_apply]])) - SUM($O494:X494)</f>
        <v>0</v>
      </c>
      <c r="Z494" s="52">
        <f ca="1">Log_2019[[#This Row],[Amount]]/Log_2019[[#This Row],[Split_raw]]*MAX(0,MIN(_xlfn.DAYS(EDATE(Z$1,1),Log_2019[[#This Row],[Date]]),Log_2019[[#This Row],[Split_apply]])) - SUM($O494:Y494)</f>
        <v>0</v>
      </c>
      <c r="AA494" s="52">
        <f ca="1">Log_2019[[#This Row],[Amount]]/Log_2019[[#This Row],[Split_raw]]*MAX(0,MIN(_xlfn.DAYS(EDATE(AA$1,1),Log_2019[[#This Row],[Date]]),Log_2019[[#This Row],[Split_apply]])) - SUM($O494:Z494)</f>
        <v>0</v>
      </c>
      <c r="AB494" s="54">
        <f ca="1">Log_2019[[#This Row],[Amount]]-SUM(O494:AA494)</f>
        <v>0</v>
      </c>
      <c r="AC494" s="7">
        <f>MAX(0,Log_2019[[#This Row],[Split_raw]] - (EDATE(AA$1,1)-Log_2019[[#This Row],[Date]]))</f>
        <v>0</v>
      </c>
    </row>
    <row r="495" spans="1:29" x14ac:dyDescent="0.25">
      <c r="A495" s="42"/>
      <c r="B495" s="34" t="s">
        <v>6</v>
      </c>
      <c r="C495" s="34"/>
      <c r="D495" s="35">
        <v>43591</v>
      </c>
      <c r="E495" s="34"/>
      <c r="F495" s="34" t="s">
        <v>270</v>
      </c>
      <c r="G495" s="34" t="s">
        <v>25</v>
      </c>
      <c r="H495" s="36">
        <v>-9.67</v>
      </c>
      <c r="I495" s="36">
        <f>IF(Log_2019[[#This Row],[My Category]]="NONTRACKED",0,Log_2019[[#This Row],[Raw Amount]])</f>
        <v>-9.67</v>
      </c>
      <c r="J495" s="37">
        <f>ABS(Log_2019[[#This Row],[Amount]])</f>
        <v>9.67</v>
      </c>
      <c r="K495" s="38">
        <v>1</v>
      </c>
      <c r="L495" s="38">
        <f ca="1">IF(Log_2019[[#This Row],[Date]]&lt;=TODAY(), MIN(Log_2019[[#This Row],[Split_raw]], TODAY()-Log_2019[[#This Row],[Date]]+1), 0)</f>
        <v>1</v>
      </c>
      <c r="M495" s="34" t="s">
        <v>35</v>
      </c>
      <c r="N495" s="34" t="s">
        <v>158</v>
      </c>
      <c r="O495" s="7">
        <v>0</v>
      </c>
      <c r="P495" s="52">
        <f ca="1">Log_2019[[#This Row],[Amount]]/Log_2019[[#This Row],[Split_raw]]*MAX(0,MIN(_xlfn.DAYS(EDATE(P$1,1),Log_2019[[#This Row],[Date]]),Log_2019[[#This Row],[Split_apply]])) - SUM($O495:O495)</f>
        <v>0</v>
      </c>
      <c r="Q495" s="52">
        <f ca="1">Log_2019[[#This Row],[Amount]]/Log_2019[[#This Row],[Split_raw]]*MAX(0,MIN(_xlfn.DAYS(EDATE(Q$1,1),Log_2019[[#This Row],[Date]]),Log_2019[[#This Row],[Split_apply]])) - SUM($O495:P495)</f>
        <v>0</v>
      </c>
      <c r="R495" s="52">
        <f ca="1">Log_2019[[#This Row],[Amount]]/Log_2019[[#This Row],[Split_raw]]*MAX(0,MIN(_xlfn.DAYS(EDATE(R$1,1),Log_2019[[#This Row],[Date]]),Log_2019[[#This Row],[Split_apply]])) - SUM($O495:Q495)</f>
        <v>0</v>
      </c>
      <c r="S495" s="52">
        <f ca="1">Log_2019[[#This Row],[Amount]]/Log_2019[[#This Row],[Split_raw]]*MAX(0,MIN(_xlfn.DAYS(EDATE(S$1,1),Log_2019[[#This Row],[Date]]),Log_2019[[#This Row],[Split_apply]])) - SUM($O495:R495)</f>
        <v>0</v>
      </c>
      <c r="T495" s="52">
        <f ca="1">Log_2019[[#This Row],[Amount]]/Log_2019[[#This Row],[Split_raw]]*MAX(0,MIN(_xlfn.DAYS(EDATE(T$1,1),Log_2019[[#This Row],[Date]]),Log_2019[[#This Row],[Split_apply]])) - SUM($O495:S495)</f>
        <v>-9.67</v>
      </c>
      <c r="U495" s="52">
        <f ca="1">Log_2019[[#This Row],[Amount]]/Log_2019[[#This Row],[Split_raw]]*MAX(0,MIN(_xlfn.DAYS(EDATE(U$1,1),Log_2019[[#This Row],[Date]]),Log_2019[[#This Row],[Split_apply]])) - SUM($O495:T495)</f>
        <v>0</v>
      </c>
      <c r="V495" s="52">
        <f ca="1">Log_2019[[#This Row],[Amount]]/Log_2019[[#This Row],[Split_raw]]*MAX(0,MIN(_xlfn.DAYS(EDATE(V$1,1),Log_2019[[#This Row],[Date]]),Log_2019[[#This Row],[Split_apply]])) - SUM($O495:U495)</f>
        <v>0</v>
      </c>
      <c r="W495" s="52">
        <f ca="1">Log_2019[[#This Row],[Amount]]/Log_2019[[#This Row],[Split_raw]]*MAX(0,MIN(_xlfn.DAYS(EDATE(W$1,1),Log_2019[[#This Row],[Date]]),Log_2019[[#This Row],[Split_apply]])) - SUM($O495:V495)</f>
        <v>0</v>
      </c>
      <c r="X495" s="52">
        <f ca="1">Log_2019[[#This Row],[Amount]]/Log_2019[[#This Row],[Split_raw]]*MAX(0,MIN(_xlfn.DAYS(EDATE(X$1,1),Log_2019[[#This Row],[Date]]),Log_2019[[#This Row],[Split_apply]])) - SUM($O495:W495)</f>
        <v>0</v>
      </c>
      <c r="Y495" s="52">
        <f ca="1">Log_2019[[#This Row],[Amount]]/Log_2019[[#This Row],[Split_raw]]*MAX(0,MIN(_xlfn.DAYS(EDATE(Y$1,1),Log_2019[[#This Row],[Date]]),Log_2019[[#This Row],[Split_apply]])) - SUM($O495:X495)</f>
        <v>0</v>
      </c>
      <c r="Z495" s="52">
        <f ca="1">Log_2019[[#This Row],[Amount]]/Log_2019[[#This Row],[Split_raw]]*MAX(0,MIN(_xlfn.DAYS(EDATE(Z$1,1),Log_2019[[#This Row],[Date]]),Log_2019[[#This Row],[Split_apply]])) - SUM($O495:Y495)</f>
        <v>0</v>
      </c>
      <c r="AA495" s="52">
        <f ca="1">Log_2019[[#This Row],[Amount]]/Log_2019[[#This Row],[Split_raw]]*MAX(0,MIN(_xlfn.DAYS(EDATE(AA$1,1),Log_2019[[#This Row],[Date]]),Log_2019[[#This Row],[Split_apply]])) - SUM($O495:Z495)</f>
        <v>0</v>
      </c>
      <c r="AB495" s="54">
        <f ca="1">Log_2019[[#This Row],[Amount]]-SUM(O495:AA495)</f>
        <v>0</v>
      </c>
      <c r="AC495" s="7">
        <f>MAX(0,Log_2019[[#This Row],[Split_raw]] - (EDATE(AA$1,1)-Log_2019[[#This Row],[Date]]))</f>
        <v>0</v>
      </c>
    </row>
    <row r="496" spans="1:29" x14ac:dyDescent="0.25">
      <c r="A496" s="42"/>
      <c r="B496" s="34" t="s">
        <v>6</v>
      </c>
      <c r="C496" s="34"/>
      <c r="D496" s="35">
        <v>43591</v>
      </c>
      <c r="E496" s="34"/>
      <c r="F496" s="34" t="s">
        <v>587</v>
      </c>
      <c r="G496" s="34" t="s">
        <v>9</v>
      </c>
      <c r="H496" s="36">
        <v>-59.96</v>
      </c>
      <c r="I496" s="36">
        <f>IF(Log_2019[[#This Row],[My Category]]="NONTRACKED",0,Log_2019[[#This Row],[Raw Amount]])</f>
        <v>-59.96</v>
      </c>
      <c r="J496" s="37">
        <f>ABS(Log_2019[[#This Row],[Amount]])</f>
        <v>59.96</v>
      </c>
      <c r="K496" s="38">
        <v>1</v>
      </c>
      <c r="L496" s="38">
        <f ca="1">IF(Log_2019[[#This Row],[Date]]&lt;=TODAY(), MIN(Log_2019[[#This Row],[Split_raw]], TODAY()-Log_2019[[#This Row],[Date]]+1), 0)</f>
        <v>1</v>
      </c>
      <c r="M496" s="34" t="s">
        <v>12</v>
      </c>
      <c r="N496" s="34" t="s">
        <v>158</v>
      </c>
      <c r="O496" s="7">
        <v>0</v>
      </c>
      <c r="P496" s="52">
        <f ca="1">Log_2019[[#This Row],[Amount]]/Log_2019[[#This Row],[Split_raw]]*MAX(0,MIN(_xlfn.DAYS(EDATE(P$1,1),Log_2019[[#This Row],[Date]]),Log_2019[[#This Row],[Split_apply]])) - SUM($O496:O496)</f>
        <v>0</v>
      </c>
      <c r="Q496" s="52">
        <f ca="1">Log_2019[[#This Row],[Amount]]/Log_2019[[#This Row],[Split_raw]]*MAX(0,MIN(_xlfn.DAYS(EDATE(Q$1,1),Log_2019[[#This Row],[Date]]),Log_2019[[#This Row],[Split_apply]])) - SUM($O496:P496)</f>
        <v>0</v>
      </c>
      <c r="R496" s="52">
        <f ca="1">Log_2019[[#This Row],[Amount]]/Log_2019[[#This Row],[Split_raw]]*MAX(0,MIN(_xlfn.DAYS(EDATE(R$1,1),Log_2019[[#This Row],[Date]]),Log_2019[[#This Row],[Split_apply]])) - SUM($O496:Q496)</f>
        <v>0</v>
      </c>
      <c r="S496" s="52">
        <f ca="1">Log_2019[[#This Row],[Amount]]/Log_2019[[#This Row],[Split_raw]]*MAX(0,MIN(_xlfn.DAYS(EDATE(S$1,1),Log_2019[[#This Row],[Date]]),Log_2019[[#This Row],[Split_apply]])) - SUM($O496:R496)</f>
        <v>0</v>
      </c>
      <c r="T496" s="52">
        <f ca="1">Log_2019[[#This Row],[Amount]]/Log_2019[[#This Row],[Split_raw]]*MAX(0,MIN(_xlfn.DAYS(EDATE(T$1,1),Log_2019[[#This Row],[Date]]),Log_2019[[#This Row],[Split_apply]])) - SUM($O496:S496)</f>
        <v>-59.96</v>
      </c>
      <c r="U496" s="52">
        <f ca="1">Log_2019[[#This Row],[Amount]]/Log_2019[[#This Row],[Split_raw]]*MAX(0,MIN(_xlfn.DAYS(EDATE(U$1,1),Log_2019[[#This Row],[Date]]),Log_2019[[#This Row],[Split_apply]])) - SUM($O496:T496)</f>
        <v>0</v>
      </c>
      <c r="V496" s="52">
        <f ca="1">Log_2019[[#This Row],[Amount]]/Log_2019[[#This Row],[Split_raw]]*MAX(0,MIN(_xlfn.DAYS(EDATE(V$1,1),Log_2019[[#This Row],[Date]]),Log_2019[[#This Row],[Split_apply]])) - SUM($O496:U496)</f>
        <v>0</v>
      </c>
      <c r="W496" s="52">
        <f ca="1">Log_2019[[#This Row],[Amount]]/Log_2019[[#This Row],[Split_raw]]*MAX(0,MIN(_xlfn.DAYS(EDATE(W$1,1),Log_2019[[#This Row],[Date]]),Log_2019[[#This Row],[Split_apply]])) - SUM($O496:V496)</f>
        <v>0</v>
      </c>
      <c r="X496" s="52">
        <f ca="1">Log_2019[[#This Row],[Amount]]/Log_2019[[#This Row],[Split_raw]]*MAX(0,MIN(_xlfn.DAYS(EDATE(X$1,1),Log_2019[[#This Row],[Date]]),Log_2019[[#This Row],[Split_apply]])) - SUM($O496:W496)</f>
        <v>0</v>
      </c>
      <c r="Y496" s="52">
        <f ca="1">Log_2019[[#This Row],[Amount]]/Log_2019[[#This Row],[Split_raw]]*MAX(0,MIN(_xlfn.DAYS(EDATE(Y$1,1),Log_2019[[#This Row],[Date]]),Log_2019[[#This Row],[Split_apply]])) - SUM($O496:X496)</f>
        <v>0</v>
      </c>
      <c r="Z496" s="52">
        <f ca="1">Log_2019[[#This Row],[Amount]]/Log_2019[[#This Row],[Split_raw]]*MAX(0,MIN(_xlfn.DAYS(EDATE(Z$1,1),Log_2019[[#This Row],[Date]]),Log_2019[[#This Row],[Split_apply]])) - SUM($O496:Y496)</f>
        <v>0</v>
      </c>
      <c r="AA496" s="52">
        <f ca="1">Log_2019[[#This Row],[Amount]]/Log_2019[[#This Row],[Split_raw]]*MAX(0,MIN(_xlfn.DAYS(EDATE(AA$1,1),Log_2019[[#This Row],[Date]]),Log_2019[[#This Row],[Split_apply]])) - SUM($O496:Z496)</f>
        <v>0</v>
      </c>
      <c r="AB496" s="54">
        <f ca="1">Log_2019[[#This Row],[Amount]]-SUM(O496:AA496)</f>
        <v>0</v>
      </c>
      <c r="AC496" s="7">
        <f>MAX(0,Log_2019[[#This Row],[Split_raw]] - (EDATE(AA$1,1)-Log_2019[[#This Row],[Date]]))</f>
        <v>0</v>
      </c>
    </row>
    <row r="497" spans="1:29" x14ac:dyDescent="0.25">
      <c r="A497" s="42"/>
      <c r="B497" s="34" t="s">
        <v>6</v>
      </c>
      <c r="C497" s="34"/>
      <c r="D497" s="35">
        <v>43591</v>
      </c>
      <c r="E497" s="34"/>
      <c r="F497" s="34" t="s">
        <v>255</v>
      </c>
      <c r="G497" s="34" t="s">
        <v>25</v>
      </c>
      <c r="H497" s="36">
        <v>-3.88</v>
      </c>
      <c r="I497" s="36">
        <f>IF(Log_2019[[#This Row],[My Category]]="NONTRACKED",0,Log_2019[[#This Row],[Raw Amount]])</f>
        <v>-3.88</v>
      </c>
      <c r="J497" s="37">
        <f>ABS(Log_2019[[#This Row],[Amount]])</f>
        <v>3.88</v>
      </c>
      <c r="K497" s="38">
        <v>1</v>
      </c>
      <c r="L497" s="38">
        <f ca="1">IF(Log_2019[[#This Row],[Date]]&lt;=TODAY(), MIN(Log_2019[[#This Row],[Split_raw]], TODAY()-Log_2019[[#This Row],[Date]]+1), 0)</f>
        <v>1</v>
      </c>
      <c r="M497" s="34" t="s">
        <v>35</v>
      </c>
      <c r="N497" s="34" t="s">
        <v>158</v>
      </c>
      <c r="O497" s="7">
        <v>0</v>
      </c>
      <c r="P497" s="52">
        <f ca="1">Log_2019[[#This Row],[Amount]]/Log_2019[[#This Row],[Split_raw]]*MAX(0,MIN(_xlfn.DAYS(EDATE(P$1,1),Log_2019[[#This Row],[Date]]),Log_2019[[#This Row],[Split_apply]])) - SUM($O497:O497)</f>
        <v>0</v>
      </c>
      <c r="Q497" s="52">
        <f ca="1">Log_2019[[#This Row],[Amount]]/Log_2019[[#This Row],[Split_raw]]*MAX(0,MIN(_xlfn.DAYS(EDATE(Q$1,1),Log_2019[[#This Row],[Date]]),Log_2019[[#This Row],[Split_apply]])) - SUM($O497:P497)</f>
        <v>0</v>
      </c>
      <c r="R497" s="52">
        <f ca="1">Log_2019[[#This Row],[Amount]]/Log_2019[[#This Row],[Split_raw]]*MAX(0,MIN(_xlfn.DAYS(EDATE(R$1,1),Log_2019[[#This Row],[Date]]),Log_2019[[#This Row],[Split_apply]])) - SUM($O497:Q497)</f>
        <v>0</v>
      </c>
      <c r="S497" s="52">
        <f ca="1">Log_2019[[#This Row],[Amount]]/Log_2019[[#This Row],[Split_raw]]*MAX(0,MIN(_xlfn.DAYS(EDATE(S$1,1),Log_2019[[#This Row],[Date]]),Log_2019[[#This Row],[Split_apply]])) - SUM($O497:R497)</f>
        <v>0</v>
      </c>
      <c r="T497" s="52">
        <f ca="1">Log_2019[[#This Row],[Amount]]/Log_2019[[#This Row],[Split_raw]]*MAX(0,MIN(_xlfn.DAYS(EDATE(T$1,1),Log_2019[[#This Row],[Date]]),Log_2019[[#This Row],[Split_apply]])) - SUM($O497:S497)</f>
        <v>-3.88</v>
      </c>
      <c r="U497" s="52">
        <f ca="1">Log_2019[[#This Row],[Amount]]/Log_2019[[#This Row],[Split_raw]]*MAX(0,MIN(_xlfn.DAYS(EDATE(U$1,1),Log_2019[[#This Row],[Date]]),Log_2019[[#This Row],[Split_apply]])) - SUM($O497:T497)</f>
        <v>0</v>
      </c>
      <c r="V497" s="52">
        <f ca="1">Log_2019[[#This Row],[Amount]]/Log_2019[[#This Row],[Split_raw]]*MAX(0,MIN(_xlfn.DAYS(EDATE(V$1,1),Log_2019[[#This Row],[Date]]),Log_2019[[#This Row],[Split_apply]])) - SUM($O497:U497)</f>
        <v>0</v>
      </c>
      <c r="W497" s="52">
        <f ca="1">Log_2019[[#This Row],[Amount]]/Log_2019[[#This Row],[Split_raw]]*MAX(0,MIN(_xlfn.DAYS(EDATE(W$1,1),Log_2019[[#This Row],[Date]]),Log_2019[[#This Row],[Split_apply]])) - SUM($O497:V497)</f>
        <v>0</v>
      </c>
      <c r="X497" s="52">
        <f ca="1">Log_2019[[#This Row],[Amount]]/Log_2019[[#This Row],[Split_raw]]*MAX(0,MIN(_xlfn.DAYS(EDATE(X$1,1),Log_2019[[#This Row],[Date]]),Log_2019[[#This Row],[Split_apply]])) - SUM($O497:W497)</f>
        <v>0</v>
      </c>
      <c r="Y497" s="52">
        <f ca="1">Log_2019[[#This Row],[Amount]]/Log_2019[[#This Row],[Split_raw]]*MAX(0,MIN(_xlfn.DAYS(EDATE(Y$1,1),Log_2019[[#This Row],[Date]]),Log_2019[[#This Row],[Split_apply]])) - SUM($O497:X497)</f>
        <v>0</v>
      </c>
      <c r="Z497" s="52">
        <f ca="1">Log_2019[[#This Row],[Amount]]/Log_2019[[#This Row],[Split_raw]]*MAX(0,MIN(_xlfn.DAYS(EDATE(Z$1,1),Log_2019[[#This Row],[Date]]),Log_2019[[#This Row],[Split_apply]])) - SUM($O497:Y497)</f>
        <v>0</v>
      </c>
      <c r="AA497" s="52">
        <f ca="1">Log_2019[[#This Row],[Amount]]/Log_2019[[#This Row],[Split_raw]]*MAX(0,MIN(_xlfn.DAYS(EDATE(AA$1,1),Log_2019[[#This Row],[Date]]),Log_2019[[#This Row],[Split_apply]])) - SUM($O497:Z497)</f>
        <v>0</v>
      </c>
      <c r="AB497" s="54">
        <f ca="1">Log_2019[[#This Row],[Amount]]-SUM(O497:AA497)</f>
        <v>0</v>
      </c>
      <c r="AC497" s="7">
        <f>MAX(0,Log_2019[[#This Row],[Split_raw]] - (EDATE(AA$1,1)-Log_2019[[#This Row],[Date]]))</f>
        <v>0</v>
      </c>
    </row>
    <row r="498" spans="1:29" x14ac:dyDescent="0.25">
      <c r="A498" s="42"/>
      <c r="B498" s="34" t="s">
        <v>6</v>
      </c>
      <c r="C498" s="34"/>
      <c r="D498" s="35">
        <v>43589</v>
      </c>
      <c r="E498" s="34"/>
      <c r="F498" s="34" t="s">
        <v>255</v>
      </c>
      <c r="G498" s="34" t="s">
        <v>25</v>
      </c>
      <c r="H498" s="36">
        <v>-9.41</v>
      </c>
      <c r="I498" s="36">
        <f>IF(Log_2019[[#This Row],[My Category]]="NONTRACKED",0,Log_2019[[#This Row],[Raw Amount]])</f>
        <v>-9.41</v>
      </c>
      <c r="J498" s="37">
        <f>ABS(Log_2019[[#This Row],[Amount]])</f>
        <v>9.41</v>
      </c>
      <c r="K498" s="38">
        <v>1</v>
      </c>
      <c r="L498" s="38">
        <f ca="1">IF(Log_2019[[#This Row],[Date]]&lt;=TODAY(), MIN(Log_2019[[#This Row],[Split_raw]], TODAY()-Log_2019[[#This Row],[Date]]+1), 0)</f>
        <v>1</v>
      </c>
      <c r="M498" s="34" t="s">
        <v>35</v>
      </c>
      <c r="N498" s="34" t="s">
        <v>158</v>
      </c>
      <c r="O498" s="7">
        <v>0</v>
      </c>
      <c r="P498" s="52">
        <f ca="1">Log_2019[[#This Row],[Amount]]/Log_2019[[#This Row],[Split_raw]]*MAX(0,MIN(_xlfn.DAYS(EDATE(P$1,1),Log_2019[[#This Row],[Date]]),Log_2019[[#This Row],[Split_apply]])) - SUM($O498:O498)</f>
        <v>0</v>
      </c>
      <c r="Q498" s="52">
        <f ca="1">Log_2019[[#This Row],[Amount]]/Log_2019[[#This Row],[Split_raw]]*MAX(0,MIN(_xlfn.DAYS(EDATE(Q$1,1),Log_2019[[#This Row],[Date]]),Log_2019[[#This Row],[Split_apply]])) - SUM($O498:P498)</f>
        <v>0</v>
      </c>
      <c r="R498" s="52">
        <f ca="1">Log_2019[[#This Row],[Amount]]/Log_2019[[#This Row],[Split_raw]]*MAX(0,MIN(_xlfn.DAYS(EDATE(R$1,1),Log_2019[[#This Row],[Date]]),Log_2019[[#This Row],[Split_apply]])) - SUM($O498:Q498)</f>
        <v>0</v>
      </c>
      <c r="S498" s="52">
        <f ca="1">Log_2019[[#This Row],[Amount]]/Log_2019[[#This Row],[Split_raw]]*MAX(0,MIN(_xlfn.DAYS(EDATE(S$1,1),Log_2019[[#This Row],[Date]]),Log_2019[[#This Row],[Split_apply]])) - SUM($O498:R498)</f>
        <v>0</v>
      </c>
      <c r="T498" s="52">
        <f ca="1">Log_2019[[#This Row],[Amount]]/Log_2019[[#This Row],[Split_raw]]*MAX(0,MIN(_xlfn.DAYS(EDATE(T$1,1),Log_2019[[#This Row],[Date]]),Log_2019[[#This Row],[Split_apply]])) - SUM($O498:S498)</f>
        <v>-9.41</v>
      </c>
      <c r="U498" s="52">
        <f ca="1">Log_2019[[#This Row],[Amount]]/Log_2019[[#This Row],[Split_raw]]*MAX(0,MIN(_xlfn.DAYS(EDATE(U$1,1),Log_2019[[#This Row],[Date]]),Log_2019[[#This Row],[Split_apply]])) - SUM($O498:T498)</f>
        <v>0</v>
      </c>
      <c r="V498" s="52">
        <f ca="1">Log_2019[[#This Row],[Amount]]/Log_2019[[#This Row],[Split_raw]]*MAX(0,MIN(_xlfn.DAYS(EDATE(V$1,1),Log_2019[[#This Row],[Date]]),Log_2019[[#This Row],[Split_apply]])) - SUM($O498:U498)</f>
        <v>0</v>
      </c>
      <c r="W498" s="52">
        <f ca="1">Log_2019[[#This Row],[Amount]]/Log_2019[[#This Row],[Split_raw]]*MAX(0,MIN(_xlfn.DAYS(EDATE(W$1,1),Log_2019[[#This Row],[Date]]),Log_2019[[#This Row],[Split_apply]])) - SUM($O498:V498)</f>
        <v>0</v>
      </c>
      <c r="X498" s="52">
        <f ca="1">Log_2019[[#This Row],[Amount]]/Log_2019[[#This Row],[Split_raw]]*MAX(0,MIN(_xlfn.DAYS(EDATE(X$1,1),Log_2019[[#This Row],[Date]]),Log_2019[[#This Row],[Split_apply]])) - SUM($O498:W498)</f>
        <v>0</v>
      </c>
      <c r="Y498" s="52">
        <f ca="1">Log_2019[[#This Row],[Amount]]/Log_2019[[#This Row],[Split_raw]]*MAX(0,MIN(_xlfn.DAYS(EDATE(Y$1,1),Log_2019[[#This Row],[Date]]),Log_2019[[#This Row],[Split_apply]])) - SUM($O498:X498)</f>
        <v>0</v>
      </c>
      <c r="Z498" s="52">
        <f ca="1">Log_2019[[#This Row],[Amount]]/Log_2019[[#This Row],[Split_raw]]*MAX(0,MIN(_xlfn.DAYS(EDATE(Z$1,1),Log_2019[[#This Row],[Date]]),Log_2019[[#This Row],[Split_apply]])) - SUM($O498:Y498)</f>
        <v>0</v>
      </c>
      <c r="AA498" s="52">
        <f ca="1">Log_2019[[#This Row],[Amount]]/Log_2019[[#This Row],[Split_raw]]*MAX(0,MIN(_xlfn.DAYS(EDATE(AA$1,1),Log_2019[[#This Row],[Date]]),Log_2019[[#This Row],[Split_apply]])) - SUM($O498:Z498)</f>
        <v>0</v>
      </c>
      <c r="AB498" s="54">
        <f ca="1">Log_2019[[#This Row],[Amount]]-SUM(O498:AA498)</f>
        <v>0</v>
      </c>
      <c r="AC498" s="7">
        <f>MAX(0,Log_2019[[#This Row],[Split_raw]] - (EDATE(AA$1,1)-Log_2019[[#This Row],[Date]]))</f>
        <v>0</v>
      </c>
    </row>
    <row r="499" spans="1:29" x14ac:dyDescent="0.25">
      <c r="A499" s="42"/>
      <c r="B499" s="34" t="s">
        <v>6</v>
      </c>
      <c r="C499" s="34"/>
      <c r="D499" s="35">
        <v>43589</v>
      </c>
      <c r="E499" s="34"/>
      <c r="F499" s="34" t="s">
        <v>588</v>
      </c>
      <c r="G499" s="34" t="s">
        <v>22</v>
      </c>
      <c r="H499" s="36">
        <v>-3.36</v>
      </c>
      <c r="I499" s="36">
        <f>IF(Log_2019[[#This Row],[My Category]]="NONTRACKED",0,Log_2019[[#This Row],[Raw Amount]])</f>
        <v>-3.36</v>
      </c>
      <c r="J499" s="37">
        <f>ABS(Log_2019[[#This Row],[Amount]])</f>
        <v>3.36</v>
      </c>
      <c r="K499" s="38">
        <v>1</v>
      </c>
      <c r="L499" s="38">
        <f ca="1">IF(Log_2019[[#This Row],[Date]]&lt;=TODAY(), MIN(Log_2019[[#This Row],[Split_raw]], TODAY()-Log_2019[[#This Row],[Date]]+1), 0)</f>
        <v>1</v>
      </c>
      <c r="M499" s="34" t="s">
        <v>35</v>
      </c>
      <c r="N499" s="34" t="s">
        <v>158</v>
      </c>
      <c r="O499" s="7">
        <v>0</v>
      </c>
      <c r="P499" s="52">
        <f ca="1">Log_2019[[#This Row],[Amount]]/Log_2019[[#This Row],[Split_raw]]*MAX(0,MIN(_xlfn.DAYS(EDATE(P$1,1),Log_2019[[#This Row],[Date]]),Log_2019[[#This Row],[Split_apply]])) - SUM($O499:O499)</f>
        <v>0</v>
      </c>
      <c r="Q499" s="52">
        <f ca="1">Log_2019[[#This Row],[Amount]]/Log_2019[[#This Row],[Split_raw]]*MAX(0,MIN(_xlfn.DAYS(EDATE(Q$1,1),Log_2019[[#This Row],[Date]]),Log_2019[[#This Row],[Split_apply]])) - SUM($O499:P499)</f>
        <v>0</v>
      </c>
      <c r="R499" s="52">
        <f ca="1">Log_2019[[#This Row],[Amount]]/Log_2019[[#This Row],[Split_raw]]*MAX(0,MIN(_xlfn.DAYS(EDATE(R$1,1),Log_2019[[#This Row],[Date]]),Log_2019[[#This Row],[Split_apply]])) - SUM($O499:Q499)</f>
        <v>0</v>
      </c>
      <c r="S499" s="52">
        <f ca="1">Log_2019[[#This Row],[Amount]]/Log_2019[[#This Row],[Split_raw]]*MAX(0,MIN(_xlfn.DAYS(EDATE(S$1,1),Log_2019[[#This Row],[Date]]),Log_2019[[#This Row],[Split_apply]])) - SUM($O499:R499)</f>
        <v>0</v>
      </c>
      <c r="T499" s="52">
        <f ca="1">Log_2019[[#This Row],[Amount]]/Log_2019[[#This Row],[Split_raw]]*MAX(0,MIN(_xlfn.DAYS(EDATE(T$1,1),Log_2019[[#This Row],[Date]]),Log_2019[[#This Row],[Split_apply]])) - SUM($O499:S499)</f>
        <v>-3.36</v>
      </c>
      <c r="U499" s="52">
        <f ca="1">Log_2019[[#This Row],[Amount]]/Log_2019[[#This Row],[Split_raw]]*MAX(0,MIN(_xlfn.DAYS(EDATE(U$1,1),Log_2019[[#This Row],[Date]]),Log_2019[[#This Row],[Split_apply]])) - SUM($O499:T499)</f>
        <v>0</v>
      </c>
      <c r="V499" s="52">
        <f ca="1">Log_2019[[#This Row],[Amount]]/Log_2019[[#This Row],[Split_raw]]*MAX(0,MIN(_xlfn.DAYS(EDATE(V$1,1),Log_2019[[#This Row],[Date]]),Log_2019[[#This Row],[Split_apply]])) - SUM($O499:U499)</f>
        <v>0</v>
      </c>
      <c r="W499" s="52">
        <f ca="1">Log_2019[[#This Row],[Amount]]/Log_2019[[#This Row],[Split_raw]]*MAX(0,MIN(_xlfn.DAYS(EDATE(W$1,1),Log_2019[[#This Row],[Date]]),Log_2019[[#This Row],[Split_apply]])) - SUM($O499:V499)</f>
        <v>0</v>
      </c>
      <c r="X499" s="52">
        <f ca="1">Log_2019[[#This Row],[Amount]]/Log_2019[[#This Row],[Split_raw]]*MAX(0,MIN(_xlfn.DAYS(EDATE(X$1,1),Log_2019[[#This Row],[Date]]),Log_2019[[#This Row],[Split_apply]])) - SUM($O499:W499)</f>
        <v>0</v>
      </c>
      <c r="Y499" s="52">
        <f ca="1">Log_2019[[#This Row],[Amount]]/Log_2019[[#This Row],[Split_raw]]*MAX(0,MIN(_xlfn.DAYS(EDATE(Y$1,1),Log_2019[[#This Row],[Date]]),Log_2019[[#This Row],[Split_apply]])) - SUM($O499:X499)</f>
        <v>0</v>
      </c>
      <c r="Z499" s="52">
        <f ca="1">Log_2019[[#This Row],[Amount]]/Log_2019[[#This Row],[Split_raw]]*MAX(0,MIN(_xlfn.DAYS(EDATE(Z$1,1),Log_2019[[#This Row],[Date]]),Log_2019[[#This Row],[Split_apply]])) - SUM($O499:Y499)</f>
        <v>0</v>
      </c>
      <c r="AA499" s="52">
        <f ca="1">Log_2019[[#This Row],[Amount]]/Log_2019[[#This Row],[Split_raw]]*MAX(0,MIN(_xlfn.DAYS(EDATE(AA$1,1),Log_2019[[#This Row],[Date]]),Log_2019[[#This Row],[Split_apply]])) - SUM($O499:Z499)</f>
        <v>0</v>
      </c>
      <c r="AB499" s="54">
        <f ca="1">Log_2019[[#This Row],[Amount]]-SUM(O499:AA499)</f>
        <v>0</v>
      </c>
      <c r="AC499" s="7">
        <f>MAX(0,Log_2019[[#This Row],[Split_raw]] - (EDATE(AA$1,1)-Log_2019[[#This Row],[Date]]))</f>
        <v>0</v>
      </c>
    </row>
    <row r="500" spans="1:29" x14ac:dyDescent="0.25">
      <c r="A500" s="42"/>
      <c r="B500" s="34" t="s">
        <v>6</v>
      </c>
      <c r="C500" s="34"/>
      <c r="D500" s="35">
        <v>43589</v>
      </c>
      <c r="E500" s="34"/>
      <c r="F500" s="34" t="s">
        <v>588</v>
      </c>
      <c r="G500" s="34" t="s">
        <v>22</v>
      </c>
      <c r="H500" s="36">
        <v>-10.76</v>
      </c>
      <c r="I500" s="36">
        <f>IF(Log_2019[[#This Row],[My Category]]="NONTRACKED",0,Log_2019[[#This Row],[Raw Amount]])</f>
        <v>-10.76</v>
      </c>
      <c r="J500" s="37">
        <f>ABS(Log_2019[[#This Row],[Amount]])</f>
        <v>10.76</v>
      </c>
      <c r="K500" s="38">
        <v>1</v>
      </c>
      <c r="L500" s="38">
        <f ca="1">IF(Log_2019[[#This Row],[Date]]&lt;=TODAY(), MIN(Log_2019[[#This Row],[Split_raw]], TODAY()-Log_2019[[#This Row],[Date]]+1), 0)</f>
        <v>1</v>
      </c>
      <c r="M500" s="34" t="s">
        <v>35</v>
      </c>
      <c r="N500" s="34" t="s">
        <v>158</v>
      </c>
      <c r="O500" s="7">
        <v>0</v>
      </c>
      <c r="P500" s="52">
        <f ca="1">Log_2019[[#This Row],[Amount]]/Log_2019[[#This Row],[Split_raw]]*MAX(0,MIN(_xlfn.DAYS(EDATE(P$1,1),Log_2019[[#This Row],[Date]]),Log_2019[[#This Row],[Split_apply]])) - SUM($O500:O500)</f>
        <v>0</v>
      </c>
      <c r="Q500" s="52">
        <f ca="1">Log_2019[[#This Row],[Amount]]/Log_2019[[#This Row],[Split_raw]]*MAX(0,MIN(_xlfn.DAYS(EDATE(Q$1,1),Log_2019[[#This Row],[Date]]),Log_2019[[#This Row],[Split_apply]])) - SUM($O500:P500)</f>
        <v>0</v>
      </c>
      <c r="R500" s="52">
        <f ca="1">Log_2019[[#This Row],[Amount]]/Log_2019[[#This Row],[Split_raw]]*MAX(0,MIN(_xlfn.DAYS(EDATE(R$1,1),Log_2019[[#This Row],[Date]]),Log_2019[[#This Row],[Split_apply]])) - SUM($O500:Q500)</f>
        <v>0</v>
      </c>
      <c r="S500" s="52">
        <f ca="1">Log_2019[[#This Row],[Amount]]/Log_2019[[#This Row],[Split_raw]]*MAX(0,MIN(_xlfn.DAYS(EDATE(S$1,1),Log_2019[[#This Row],[Date]]),Log_2019[[#This Row],[Split_apply]])) - SUM($O500:R500)</f>
        <v>0</v>
      </c>
      <c r="T500" s="52">
        <f ca="1">Log_2019[[#This Row],[Amount]]/Log_2019[[#This Row],[Split_raw]]*MAX(0,MIN(_xlfn.DAYS(EDATE(T$1,1),Log_2019[[#This Row],[Date]]),Log_2019[[#This Row],[Split_apply]])) - SUM($O500:S500)</f>
        <v>-10.76</v>
      </c>
      <c r="U500" s="52">
        <f ca="1">Log_2019[[#This Row],[Amount]]/Log_2019[[#This Row],[Split_raw]]*MAX(0,MIN(_xlfn.DAYS(EDATE(U$1,1),Log_2019[[#This Row],[Date]]),Log_2019[[#This Row],[Split_apply]])) - SUM($O500:T500)</f>
        <v>0</v>
      </c>
      <c r="V500" s="52">
        <f ca="1">Log_2019[[#This Row],[Amount]]/Log_2019[[#This Row],[Split_raw]]*MAX(0,MIN(_xlfn.DAYS(EDATE(V$1,1),Log_2019[[#This Row],[Date]]),Log_2019[[#This Row],[Split_apply]])) - SUM($O500:U500)</f>
        <v>0</v>
      </c>
      <c r="W500" s="52">
        <f ca="1">Log_2019[[#This Row],[Amount]]/Log_2019[[#This Row],[Split_raw]]*MAX(0,MIN(_xlfn.DAYS(EDATE(W$1,1),Log_2019[[#This Row],[Date]]),Log_2019[[#This Row],[Split_apply]])) - SUM($O500:V500)</f>
        <v>0</v>
      </c>
      <c r="X500" s="52">
        <f ca="1">Log_2019[[#This Row],[Amount]]/Log_2019[[#This Row],[Split_raw]]*MAX(0,MIN(_xlfn.DAYS(EDATE(X$1,1),Log_2019[[#This Row],[Date]]),Log_2019[[#This Row],[Split_apply]])) - SUM($O500:W500)</f>
        <v>0</v>
      </c>
      <c r="Y500" s="52">
        <f ca="1">Log_2019[[#This Row],[Amount]]/Log_2019[[#This Row],[Split_raw]]*MAX(0,MIN(_xlfn.DAYS(EDATE(Y$1,1),Log_2019[[#This Row],[Date]]),Log_2019[[#This Row],[Split_apply]])) - SUM($O500:X500)</f>
        <v>0</v>
      </c>
      <c r="Z500" s="52">
        <f ca="1">Log_2019[[#This Row],[Amount]]/Log_2019[[#This Row],[Split_raw]]*MAX(0,MIN(_xlfn.DAYS(EDATE(Z$1,1),Log_2019[[#This Row],[Date]]),Log_2019[[#This Row],[Split_apply]])) - SUM($O500:Y500)</f>
        <v>0</v>
      </c>
      <c r="AA500" s="52">
        <f ca="1">Log_2019[[#This Row],[Amount]]/Log_2019[[#This Row],[Split_raw]]*MAX(0,MIN(_xlfn.DAYS(EDATE(AA$1,1),Log_2019[[#This Row],[Date]]),Log_2019[[#This Row],[Split_apply]])) - SUM($O500:Z500)</f>
        <v>0</v>
      </c>
      <c r="AB500" s="54">
        <f ca="1">Log_2019[[#This Row],[Amount]]-SUM(O500:AA500)</f>
        <v>0</v>
      </c>
      <c r="AC500" s="7">
        <f>MAX(0,Log_2019[[#This Row],[Split_raw]] - (EDATE(AA$1,1)-Log_2019[[#This Row],[Date]]))</f>
        <v>0</v>
      </c>
    </row>
    <row r="501" spans="1:29" x14ac:dyDescent="0.25">
      <c r="A501" s="42"/>
      <c r="B501" s="34" t="s">
        <v>6</v>
      </c>
      <c r="C501" s="34"/>
      <c r="D501" s="35">
        <v>43588</v>
      </c>
      <c r="E501" s="34" t="s">
        <v>603</v>
      </c>
      <c r="F501" s="34" t="s">
        <v>589</v>
      </c>
      <c r="G501" s="34" t="s">
        <v>27</v>
      </c>
      <c r="H501" s="36">
        <v>-134</v>
      </c>
      <c r="I501" s="36">
        <f>IF(Log_2019[[#This Row],[My Category]]="NONTRACKED",0,Log_2019[[#This Row],[Raw Amount]])</f>
        <v>-134</v>
      </c>
      <c r="J501" s="37">
        <f>ABS(Log_2019[[#This Row],[Amount]])</f>
        <v>134</v>
      </c>
      <c r="K501" s="38">
        <v>1</v>
      </c>
      <c r="L501" s="38">
        <f ca="1">IF(Log_2019[[#This Row],[Date]]&lt;=TODAY(), MIN(Log_2019[[#This Row],[Split_raw]], TODAY()-Log_2019[[#This Row],[Date]]+1), 0)</f>
        <v>1</v>
      </c>
      <c r="M501" s="34" t="s">
        <v>38</v>
      </c>
      <c r="N501" s="34" t="s">
        <v>158</v>
      </c>
      <c r="O501" s="7">
        <v>0</v>
      </c>
      <c r="P501" s="52">
        <f ca="1">Log_2019[[#This Row],[Amount]]/Log_2019[[#This Row],[Split_raw]]*MAX(0,MIN(_xlfn.DAYS(EDATE(P$1,1),Log_2019[[#This Row],[Date]]),Log_2019[[#This Row],[Split_apply]])) - SUM($O501:O501)</f>
        <v>0</v>
      </c>
      <c r="Q501" s="52">
        <f ca="1">Log_2019[[#This Row],[Amount]]/Log_2019[[#This Row],[Split_raw]]*MAX(0,MIN(_xlfn.DAYS(EDATE(Q$1,1),Log_2019[[#This Row],[Date]]),Log_2019[[#This Row],[Split_apply]])) - SUM($O501:P501)</f>
        <v>0</v>
      </c>
      <c r="R501" s="52">
        <f ca="1">Log_2019[[#This Row],[Amount]]/Log_2019[[#This Row],[Split_raw]]*MAX(0,MIN(_xlfn.DAYS(EDATE(R$1,1),Log_2019[[#This Row],[Date]]),Log_2019[[#This Row],[Split_apply]])) - SUM($O501:Q501)</f>
        <v>0</v>
      </c>
      <c r="S501" s="52">
        <f ca="1">Log_2019[[#This Row],[Amount]]/Log_2019[[#This Row],[Split_raw]]*MAX(0,MIN(_xlfn.DAYS(EDATE(S$1,1),Log_2019[[#This Row],[Date]]),Log_2019[[#This Row],[Split_apply]])) - SUM($O501:R501)</f>
        <v>0</v>
      </c>
      <c r="T501" s="52">
        <f ca="1">Log_2019[[#This Row],[Amount]]/Log_2019[[#This Row],[Split_raw]]*MAX(0,MIN(_xlfn.DAYS(EDATE(T$1,1),Log_2019[[#This Row],[Date]]),Log_2019[[#This Row],[Split_apply]])) - SUM($O501:S501)</f>
        <v>-134</v>
      </c>
      <c r="U501" s="52">
        <f ca="1">Log_2019[[#This Row],[Amount]]/Log_2019[[#This Row],[Split_raw]]*MAX(0,MIN(_xlfn.DAYS(EDATE(U$1,1),Log_2019[[#This Row],[Date]]),Log_2019[[#This Row],[Split_apply]])) - SUM($O501:T501)</f>
        <v>0</v>
      </c>
      <c r="V501" s="52">
        <f ca="1">Log_2019[[#This Row],[Amount]]/Log_2019[[#This Row],[Split_raw]]*MAX(0,MIN(_xlfn.DAYS(EDATE(V$1,1),Log_2019[[#This Row],[Date]]),Log_2019[[#This Row],[Split_apply]])) - SUM($O501:U501)</f>
        <v>0</v>
      </c>
      <c r="W501" s="52">
        <f ca="1">Log_2019[[#This Row],[Amount]]/Log_2019[[#This Row],[Split_raw]]*MAX(0,MIN(_xlfn.DAYS(EDATE(W$1,1),Log_2019[[#This Row],[Date]]),Log_2019[[#This Row],[Split_apply]])) - SUM($O501:V501)</f>
        <v>0</v>
      </c>
      <c r="X501" s="52">
        <f ca="1">Log_2019[[#This Row],[Amount]]/Log_2019[[#This Row],[Split_raw]]*MAX(0,MIN(_xlfn.DAYS(EDATE(X$1,1),Log_2019[[#This Row],[Date]]),Log_2019[[#This Row],[Split_apply]])) - SUM($O501:W501)</f>
        <v>0</v>
      </c>
      <c r="Y501" s="52">
        <f ca="1">Log_2019[[#This Row],[Amount]]/Log_2019[[#This Row],[Split_raw]]*MAX(0,MIN(_xlfn.DAYS(EDATE(Y$1,1),Log_2019[[#This Row],[Date]]),Log_2019[[#This Row],[Split_apply]])) - SUM($O501:X501)</f>
        <v>0</v>
      </c>
      <c r="Z501" s="52">
        <f ca="1">Log_2019[[#This Row],[Amount]]/Log_2019[[#This Row],[Split_raw]]*MAX(0,MIN(_xlfn.DAYS(EDATE(Z$1,1),Log_2019[[#This Row],[Date]]),Log_2019[[#This Row],[Split_apply]])) - SUM($O501:Y501)</f>
        <v>0</v>
      </c>
      <c r="AA501" s="52">
        <f ca="1">Log_2019[[#This Row],[Amount]]/Log_2019[[#This Row],[Split_raw]]*MAX(0,MIN(_xlfn.DAYS(EDATE(AA$1,1),Log_2019[[#This Row],[Date]]),Log_2019[[#This Row],[Split_apply]])) - SUM($O501:Z501)</f>
        <v>0</v>
      </c>
      <c r="AB501" s="54">
        <f ca="1">Log_2019[[#This Row],[Amount]]-SUM(O501:AA501)</f>
        <v>0</v>
      </c>
      <c r="AC501" s="7">
        <f>MAX(0,Log_2019[[#This Row],[Split_raw]] - (EDATE(AA$1,1)-Log_2019[[#This Row],[Date]]))</f>
        <v>0</v>
      </c>
    </row>
    <row r="502" spans="1:29" x14ac:dyDescent="0.25">
      <c r="A502" s="42"/>
      <c r="B502" s="34" t="s">
        <v>6</v>
      </c>
      <c r="C502" s="34"/>
      <c r="D502" s="35">
        <v>43588</v>
      </c>
      <c r="E502" s="34"/>
      <c r="F502" s="34" t="s">
        <v>575</v>
      </c>
      <c r="G502" s="34" t="s">
        <v>29</v>
      </c>
      <c r="H502" s="36">
        <v>-6</v>
      </c>
      <c r="I502" s="36">
        <f>IF(Log_2019[[#This Row],[My Category]]="NONTRACKED",0,Log_2019[[#This Row],[Raw Amount]])</f>
        <v>-6</v>
      </c>
      <c r="J502" s="37">
        <f>ABS(Log_2019[[#This Row],[Amount]])</f>
        <v>6</v>
      </c>
      <c r="K502" s="38">
        <v>1</v>
      </c>
      <c r="L502" s="38">
        <f ca="1">IF(Log_2019[[#This Row],[Date]]&lt;=TODAY(), MIN(Log_2019[[#This Row],[Split_raw]], TODAY()-Log_2019[[#This Row],[Date]]+1), 0)</f>
        <v>1</v>
      </c>
      <c r="M502" s="34" t="s">
        <v>29</v>
      </c>
      <c r="N502" s="34" t="s">
        <v>160</v>
      </c>
      <c r="O502" s="7">
        <v>0</v>
      </c>
      <c r="P502" s="52">
        <f ca="1">Log_2019[[#This Row],[Amount]]/Log_2019[[#This Row],[Split_raw]]*MAX(0,MIN(_xlfn.DAYS(EDATE(P$1,1),Log_2019[[#This Row],[Date]]),Log_2019[[#This Row],[Split_apply]])) - SUM($O502:O502)</f>
        <v>0</v>
      </c>
      <c r="Q502" s="52">
        <f ca="1">Log_2019[[#This Row],[Amount]]/Log_2019[[#This Row],[Split_raw]]*MAX(0,MIN(_xlfn.DAYS(EDATE(Q$1,1),Log_2019[[#This Row],[Date]]),Log_2019[[#This Row],[Split_apply]])) - SUM($O502:P502)</f>
        <v>0</v>
      </c>
      <c r="R502" s="52">
        <f ca="1">Log_2019[[#This Row],[Amount]]/Log_2019[[#This Row],[Split_raw]]*MAX(0,MIN(_xlfn.DAYS(EDATE(R$1,1),Log_2019[[#This Row],[Date]]),Log_2019[[#This Row],[Split_apply]])) - SUM($O502:Q502)</f>
        <v>0</v>
      </c>
      <c r="S502" s="52">
        <f ca="1">Log_2019[[#This Row],[Amount]]/Log_2019[[#This Row],[Split_raw]]*MAX(0,MIN(_xlfn.DAYS(EDATE(S$1,1),Log_2019[[#This Row],[Date]]),Log_2019[[#This Row],[Split_apply]])) - SUM($O502:R502)</f>
        <v>0</v>
      </c>
      <c r="T502" s="52">
        <f ca="1">Log_2019[[#This Row],[Amount]]/Log_2019[[#This Row],[Split_raw]]*MAX(0,MIN(_xlfn.DAYS(EDATE(T$1,1),Log_2019[[#This Row],[Date]]),Log_2019[[#This Row],[Split_apply]])) - SUM($O502:S502)</f>
        <v>-6</v>
      </c>
      <c r="U502" s="52">
        <f ca="1">Log_2019[[#This Row],[Amount]]/Log_2019[[#This Row],[Split_raw]]*MAX(0,MIN(_xlfn.DAYS(EDATE(U$1,1),Log_2019[[#This Row],[Date]]),Log_2019[[#This Row],[Split_apply]])) - SUM($O502:T502)</f>
        <v>0</v>
      </c>
      <c r="V502" s="52">
        <f ca="1">Log_2019[[#This Row],[Amount]]/Log_2019[[#This Row],[Split_raw]]*MAX(0,MIN(_xlfn.DAYS(EDATE(V$1,1),Log_2019[[#This Row],[Date]]),Log_2019[[#This Row],[Split_apply]])) - SUM($O502:U502)</f>
        <v>0</v>
      </c>
      <c r="W502" s="52">
        <f ca="1">Log_2019[[#This Row],[Amount]]/Log_2019[[#This Row],[Split_raw]]*MAX(0,MIN(_xlfn.DAYS(EDATE(W$1,1),Log_2019[[#This Row],[Date]]),Log_2019[[#This Row],[Split_apply]])) - SUM($O502:V502)</f>
        <v>0</v>
      </c>
      <c r="X502" s="52">
        <f ca="1">Log_2019[[#This Row],[Amount]]/Log_2019[[#This Row],[Split_raw]]*MAX(0,MIN(_xlfn.DAYS(EDATE(X$1,1),Log_2019[[#This Row],[Date]]),Log_2019[[#This Row],[Split_apply]])) - SUM($O502:W502)</f>
        <v>0</v>
      </c>
      <c r="Y502" s="52">
        <f ca="1">Log_2019[[#This Row],[Amount]]/Log_2019[[#This Row],[Split_raw]]*MAX(0,MIN(_xlfn.DAYS(EDATE(Y$1,1),Log_2019[[#This Row],[Date]]),Log_2019[[#This Row],[Split_apply]])) - SUM($O502:X502)</f>
        <v>0</v>
      </c>
      <c r="Z502" s="52">
        <f ca="1">Log_2019[[#This Row],[Amount]]/Log_2019[[#This Row],[Split_raw]]*MAX(0,MIN(_xlfn.DAYS(EDATE(Z$1,1),Log_2019[[#This Row],[Date]]),Log_2019[[#This Row],[Split_apply]])) - SUM($O502:Y502)</f>
        <v>0</v>
      </c>
      <c r="AA502" s="52">
        <f ca="1">Log_2019[[#This Row],[Amount]]/Log_2019[[#This Row],[Split_raw]]*MAX(0,MIN(_xlfn.DAYS(EDATE(AA$1,1),Log_2019[[#This Row],[Date]]),Log_2019[[#This Row],[Split_apply]])) - SUM($O502:Z502)</f>
        <v>0</v>
      </c>
      <c r="AB502" s="54">
        <f ca="1">Log_2019[[#This Row],[Amount]]-SUM(O502:AA502)</f>
        <v>0</v>
      </c>
      <c r="AC502" s="7">
        <f>MAX(0,Log_2019[[#This Row],[Split_raw]] - (EDATE(AA$1,1)-Log_2019[[#This Row],[Date]]))</f>
        <v>0</v>
      </c>
    </row>
    <row r="503" spans="1:29" x14ac:dyDescent="0.25">
      <c r="A503" s="42"/>
      <c r="B503" s="34" t="s">
        <v>6</v>
      </c>
      <c r="C503" s="34"/>
      <c r="D503" s="35">
        <v>43587</v>
      </c>
      <c r="E503" s="34"/>
      <c r="F503" s="34" t="s">
        <v>577</v>
      </c>
      <c r="G503" s="34" t="s">
        <v>29</v>
      </c>
      <c r="H503" s="36">
        <v>-10.84</v>
      </c>
      <c r="I503" s="36">
        <f>IF(Log_2019[[#This Row],[My Category]]="NONTRACKED",0,Log_2019[[#This Row],[Raw Amount]])</f>
        <v>-10.84</v>
      </c>
      <c r="J503" s="37">
        <f>ABS(Log_2019[[#This Row],[Amount]])</f>
        <v>10.84</v>
      </c>
      <c r="K503" s="38">
        <v>1</v>
      </c>
      <c r="L503" s="38">
        <f ca="1">IF(Log_2019[[#This Row],[Date]]&lt;=TODAY(), MIN(Log_2019[[#This Row],[Split_raw]], TODAY()-Log_2019[[#This Row],[Date]]+1), 0)</f>
        <v>1</v>
      </c>
      <c r="M503" s="34" t="s">
        <v>29</v>
      </c>
      <c r="N503" s="34" t="s">
        <v>160</v>
      </c>
      <c r="O503" s="7">
        <v>0</v>
      </c>
      <c r="P503" s="52">
        <f ca="1">Log_2019[[#This Row],[Amount]]/Log_2019[[#This Row],[Split_raw]]*MAX(0,MIN(_xlfn.DAYS(EDATE(P$1,1),Log_2019[[#This Row],[Date]]),Log_2019[[#This Row],[Split_apply]])) - SUM($O503:O503)</f>
        <v>0</v>
      </c>
      <c r="Q503" s="52">
        <f ca="1">Log_2019[[#This Row],[Amount]]/Log_2019[[#This Row],[Split_raw]]*MAX(0,MIN(_xlfn.DAYS(EDATE(Q$1,1),Log_2019[[#This Row],[Date]]),Log_2019[[#This Row],[Split_apply]])) - SUM($O503:P503)</f>
        <v>0</v>
      </c>
      <c r="R503" s="52">
        <f ca="1">Log_2019[[#This Row],[Amount]]/Log_2019[[#This Row],[Split_raw]]*MAX(0,MIN(_xlfn.DAYS(EDATE(R$1,1),Log_2019[[#This Row],[Date]]),Log_2019[[#This Row],[Split_apply]])) - SUM($O503:Q503)</f>
        <v>0</v>
      </c>
      <c r="S503" s="52">
        <f ca="1">Log_2019[[#This Row],[Amount]]/Log_2019[[#This Row],[Split_raw]]*MAX(0,MIN(_xlfn.DAYS(EDATE(S$1,1),Log_2019[[#This Row],[Date]]),Log_2019[[#This Row],[Split_apply]])) - SUM($O503:R503)</f>
        <v>0</v>
      </c>
      <c r="T503" s="52">
        <f ca="1">Log_2019[[#This Row],[Amount]]/Log_2019[[#This Row],[Split_raw]]*MAX(0,MIN(_xlfn.DAYS(EDATE(T$1,1),Log_2019[[#This Row],[Date]]),Log_2019[[#This Row],[Split_apply]])) - SUM($O503:S503)</f>
        <v>-10.84</v>
      </c>
      <c r="U503" s="52">
        <f ca="1">Log_2019[[#This Row],[Amount]]/Log_2019[[#This Row],[Split_raw]]*MAX(0,MIN(_xlfn.DAYS(EDATE(U$1,1),Log_2019[[#This Row],[Date]]),Log_2019[[#This Row],[Split_apply]])) - SUM($O503:T503)</f>
        <v>0</v>
      </c>
      <c r="V503" s="52">
        <f ca="1">Log_2019[[#This Row],[Amount]]/Log_2019[[#This Row],[Split_raw]]*MAX(0,MIN(_xlfn.DAYS(EDATE(V$1,1),Log_2019[[#This Row],[Date]]),Log_2019[[#This Row],[Split_apply]])) - SUM($O503:U503)</f>
        <v>0</v>
      </c>
      <c r="W503" s="52">
        <f ca="1">Log_2019[[#This Row],[Amount]]/Log_2019[[#This Row],[Split_raw]]*MAX(0,MIN(_xlfn.DAYS(EDATE(W$1,1),Log_2019[[#This Row],[Date]]),Log_2019[[#This Row],[Split_apply]])) - SUM($O503:V503)</f>
        <v>0</v>
      </c>
      <c r="X503" s="52">
        <f ca="1">Log_2019[[#This Row],[Amount]]/Log_2019[[#This Row],[Split_raw]]*MAX(0,MIN(_xlfn.DAYS(EDATE(X$1,1),Log_2019[[#This Row],[Date]]),Log_2019[[#This Row],[Split_apply]])) - SUM($O503:W503)</f>
        <v>0</v>
      </c>
      <c r="Y503" s="52">
        <f ca="1">Log_2019[[#This Row],[Amount]]/Log_2019[[#This Row],[Split_raw]]*MAX(0,MIN(_xlfn.DAYS(EDATE(Y$1,1),Log_2019[[#This Row],[Date]]),Log_2019[[#This Row],[Split_apply]])) - SUM($O503:X503)</f>
        <v>0</v>
      </c>
      <c r="Z503" s="52">
        <f ca="1">Log_2019[[#This Row],[Amount]]/Log_2019[[#This Row],[Split_raw]]*MAX(0,MIN(_xlfn.DAYS(EDATE(Z$1,1),Log_2019[[#This Row],[Date]]),Log_2019[[#This Row],[Split_apply]])) - SUM($O503:Y503)</f>
        <v>0</v>
      </c>
      <c r="AA503" s="52">
        <f ca="1">Log_2019[[#This Row],[Amount]]/Log_2019[[#This Row],[Split_raw]]*MAX(0,MIN(_xlfn.DAYS(EDATE(AA$1,1),Log_2019[[#This Row],[Date]]),Log_2019[[#This Row],[Split_apply]])) - SUM($O503:Z503)</f>
        <v>0</v>
      </c>
      <c r="AB503" s="54">
        <f ca="1">Log_2019[[#This Row],[Amount]]-SUM(O503:AA503)</f>
        <v>0</v>
      </c>
      <c r="AC503" s="7">
        <f>MAX(0,Log_2019[[#This Row],[Split_raw]] - (EDATE(AA$1,1)-Log_2019[[#This Row],[Date]]))</f>
        <v>0</v>
      </c>
    </row>
    <row r="504" spans="1:29" x14ac:dyDescent="0.25">
      <c r="A504" s="42"/>
      <c r="B504" s="34" t="s">
        <v>6</v>
      </c>
      <c r="C504" s="34"/>
      <c r="D504" s="35">
        <v>43587</v>
      </c>
      <c r="E504" s="34"/>
      <c r="F504" s="34" t="s">
        <v>188</v>
      </c>
      <c r="G504" s="34" t="s">
        <v>189</v>
      </c>
      <c r="H504" s="36">
        <f>--55.02</f>
        <v>55.02</v>
      </c>
      <c r="I504" s="36">
        <f>IF(Log_2019[[#This Row],[My Category]]="NONTRACKED",0,Log_2019[[#This Row],[Raw Amount]])</f>
        <v>55.02</v>
      </c>
      <c r="J504" s="37">
        <f>ABS(Log_2019[[#This Row],[Amount]])</f>
        <v>55.02</v>
      </c>
      <c r="K504" s="38">
        <v>1</v>
      </c>
      <c r="L504" s="38">
        <f ca="1">IF(Log_2019[[#This Row],[Date]]&lt;=TODAY(), MIN(Log_2019[[#This Row],[Split_raw]], TODAY()-Log_2019[[#This Row],[Date]]+1), 0)</f>
        <v>1</v>
      </c>
      <c r="M504" s="34" t="s">
        <v>30</v>
      </c>
      <c r="N504" s="34" t="s">
        <v>158</v>
      </c>
      <c r="O504" s="7">
        <v>0</v>
      </c>
      <c r="P504" s="52">
        <f ca="1">Log_2019[[#This Row],[Amount]]/Log_2019[[#This Row],[Split_raw]]*MAX(0,MIN(_xlfn.DAYS(EDATE(P$1,1),Log_2019[[#This Row],[Date]]),Log_2019[[#This Row],[Split_apply]])) - SUM($O504:O504)</f>
        <v>0</v>
      </c>
      <c r="Q504" s="52">
        <f ca="1">Log_2019[[#This Row],[Amount]]/Log_2019[[#This Row],[Split_raw]]*MAX(0,MIN(_xlfn.DAYS(EDATE(Q$1,1),Log_2019[[#This Row],[Date]]),Log_2019[[#This Row],[Split_apply]])) - SUM($O504:P504)</f>
        <v>0</v>
      </c>
      <c r="R504" s="52">
        <f ca="1">Log_2019[[#This Row],[Amount]]/Log_2019[[#This Row],[Split_raw]]*MAX(0,MIN(_xlfn.DAYS(EDATE(R$1,1),Log_2019[[#This Row],[Date]]),Log_2019[[#This Row],[Split_apply]])) - SUM($O504:Q504)</f>
        <v>0</v>
      </c>
      <c r="S504" s="52">
        <f ca="1">Log_2019[[#This Row],[Amount]]/Log_2019[[#This Row],[Split_raw]]*MAX(0,MIN(_xlfn.DAYS(EDATE(S$1,1),Log_2019[[#This Row],[Date]]),Log_2019[[#This Row],[Split_apply]])) - SUM($O504:R504)</f>
        <v>0</v>
      </c>
      <c r="T504" s="52">
        <f ca="1">Log_2019[[#This Row],[Amount]]/Log_2019[[#This Row],[Split_raw]]*MAX(0,MIN(_xlfn.DAYS(EDATE(T$1,1),Log_2019[[#This Row],[Date]]),Log_2019[[#This Row],[Split_apply]])) - SUM($O504:S504)</f>
        <v>55.02</v>
      </c>
      <c r="U504" s="52">
        <f ca="1">Log_2019[[#This Row],[Amount]]/Log_2019[[#This Row],[Split_raw]]*MAX(0,MIN(_xlfn.DAYS(EDATE(U$1,1),Log_2019[[#This Row],[Date]]),Log_2019[[#This Row],[Split_apply]])) - SUM($O504:T504)</f>
        <v>0</v>
      </c>
      <c r="V504" s="52">
        <f ca="1">Log_2019[[#This Row],[Amount]]/Log_2019[[#This Row],[Split_raw]]*MAX(0,MIN(_xlfn.DAYS(EDATE(V$1,1),Log_2019[[#This Row],[Date]]),Log_2019[[#This Row],[Split_apply]])) - SUM($O504:U504)</f>
        <v>0</v>
      </c>
      <c r="W504" s="52">
        <f ca="1">Log_2019[[#This Row],[Amount]]/Log_2019[[#This Row],[Split_raw]]*MAX(0,MIN(_xlfn.DAYS(EDATE(W$1,1),Log_2019[[#This Row],[Date]]),Log_2019[[#This Row],[Split_apply]])) - SUM($O504:V504)</f>
        <v>0</v>
      </c>
      <c r="X504" s="52">
        <f ca="1">Log_2019[[#This Row],[Amount]]/Log_2019[[#This Row],[Split_raw]]*MAX(0,MIN(_xlfn.DAYS(EDATE(X$1,1),Log_2019[[#This Row],[Date]]),Log_2019[[#This Row],[Split_apply]])) - SUM($O504:W504)</f>
        <v>0</v>
      </c>
      <c r="Y504" s="52">
        <f ca="1">Log_2019[[#This Row],[Amount]]/Log_2019[[#This Row],[Split_raw]]*MAX(0,MIN(_xlfn.DAYS(EDATE(Y$1,1),Log_2019[[#This Row],[Date]]),Log_2019[[#This Row],[Split_apply]])) - SUM($O504:X504)</f>
        <v>0</v>
      </c>
      <c r="Z504" s="52">
        <f ca="1">Log_2019[[#This Row],[Amount]]/Log_2019[[#This Row],[Split_raw]]*MAX(0,MIN(_xlfn.DAYS(EDATE(Z$1,1),Log_2019[[#This Row],[Date]]),Log_2019[[#This Row],[Split_apply]])) - SUM($O504:Y504)</f>
        <v>0</v>
      </c>
      <c r="AA504" s="52">
        <f ca="1">Log_2019[[#This Row],[Amount]]/Log_2019[[#This Row],[Split_raw]]*MAX(0,MIN(_xlfn.DAYS(EDATE(AA$1,1),Log_2019[[#This Row],[Date]]),Log_2019[[#This Row],[Split_apply]])) - SUM($O504:Z504)</f>
        <v>0</v>
      </c>
      <c r="AB504" s="54">
        <f ca="1">Log_2019[[#This Row],[Amount]]-SUM(O504:AA504)</f>
        <v>0</v>
      </c>
      <c r="AC504" s="7">
        <f>MAX(0,Log_2019[[#This Row],[Split_raw]] - (EDATE(AA$1,1)-Log_2019[[#This Row],[Date]]))</f>
        <v>0</v>
      </c>
    </row>
    <row r="505" spans="1:29" x14ac:dyDescent="0.25">
      <c r="A505" s="42"/>
      <c r="B505" s="34" t="s">
        <v>6</v>
      </c>
      <c r="C505" s="34"/>
      <c r="D505" s="35">
        <v>43587</v>
      </c>
      <c r="E505" s="34"/>
      <c r="F505" s="34" t="s">
        <v>527</v>
      </c>
      <c r="G505" s="34" t="s">
        <v>20</v>
      </c>
      <c r="H505" s="36">
        <v>-1600</v>
      </c>
      <c r="I505" s="36">
        <f>IF(Log_2019[[#This Row],[My Category]]="NONTRACKED",0,Log_2019[[#This Row],[Raw Amount]])</f>
        <v>-1600</v>
      </c>
      <c r="J505" s="37">
        <f>ABS(Log_2019[[#This Row],[Amount]])</f>
        <v>1600</v>
      </c>
      <c r="K505" s="38">
        <v>30</v>
      </c>
      <c r="L505" s="38">
        <f ca="1">IF(Log_2019[[#This Row],[Date]]&lt;=TODAY(), MIN(Log_2019[[#This Row],[Split_raw]], TODAY()-Log_2019[[#This Row],[Date]]+1), 0)</f>
        <v>30</v>
      </c>
      <c r="M505" s="34" t="s">
        <v>28</v>
      </c>
      <c r="N505" s="34" t="s">
        <v>160</v>
      </c>
      <c r="O505" s="7">
        <v>0</v>
      </c>
      <c r="P505" s="52">
        <f ca="1">Log_2019[[#This Row],[Amount]]/Log_2019[[#This Row],[Split_raw]]*MAX(0,MIN(_xlfn.DAYS(EDATE(P$1,1),Log_2019[[#This Row],[Date]]),Log_2019[[#This Row],[Split_apply]])) - SUM($O505:O505)</f>
        <v>0</v>
      </c>
      <c r="Q505" s="52">
        <f ca="1">Log_2019[[#This Row],[Amount]]/Log_2019[[#This Row],[Split_raw]]*MAX(0,MIN(_xlfn.DAYS(EDATE(Q$1,1),Log_2019[[#This Row],[Date]]),Log_2019[[#This Row],[Split_apply]])) - SUM($O505:P505)</f>
        <v>0</v>
      </c>
      <c r="R505" s="52">
        <f ca="1">Log_2019[[#This Row],[Amount]]/Log_2019[[#This Row],[Split_raw]]*MAX(0,MIN(_xlfn.DAYS(EDATE(R$1,1),Log_2019[[#This Row],[Date]]),Log_2019[[#This Row],[Split_apply]])) - SUM($O505:Q505)</f>
        <v>0</v>
      </c>
      <c r="S505" s="52">
        <f ca="1">Log_2019[[#This Row],[Amount]]/Log_2019[[#This Row],[Split_raw]]*MAX(0,MIN(_xlfn.DAYS(EDATE(S$1,1),Log_2019[[#This Row],[Date]]),Log_2019[[#This Row],[Split_apply]])) - SUM($O505:R505)</f>
        <v>0</v>
      </c>
      <c r="T505" s="52">
        <f ca="1">Log_2019[[#This Row],[Amount]]/Log_2019[[#This Row],[Split_raw]]*MAX(0,MIN(_xlfn.DAYS(EDATE(T$1,1),Log_2019[[#This Row],[Date]]),Log_2019[[#This Row],[Split_apply]])) - SUM($O505:S505)</f>
        <v>-1600</v>
      </c>
      <c r="U505" s="52">
        <f ca="1">Log_2019[[#This Row],[Amount]]/Log_2019[[#This Row],[Split_raw]]*MAX(0,MIN(_xlfn.DAYS(EDATE(U$1,1),Log_2019[[#This Row],[Date]]),Log_2019[[#This Row],[Split_apply]])) - SUM($O505:T505)</f>
        <v>0</v>
      </c>
      <c r="V505" s="52">
        <f ca="1">Log_2019[[#This Row],[Amount]]/Log_2019[[#This Row],[Split_raw]]*MAX(0,MIN(_xlfn.DAYS(EDATE(V$1,1),Log_2019[[#This Row],[Date]]),Log_2019[[#This Row],[Split_apply]])) - SUM($O505:U505)</f>
        <v>0</v>
      </c>
      <c r="W505" s="52">
        <f ca="1">Log_2019[[#This Row],[Amount]]/Log_2019[[#This Row],[Split_raw]]*MAX(0,MIN(_xlfn.DAYS(EDATE(W$1,1),Log_2019[[#This Row],[Date]]),Log_2019[[#This Row],[Split_apply]])) - SUM($O505:V505)</f>
        <v>0</v>
      </c>
      <c r="X505" s="52">
        <f ca="1">Log_2019[[#This Row],[Amount]]/Log_2019[[#This Row],[Split_raw]]*MAX(0,MIN(_xlfn.DAYS(EDATE(X$1,1),Log_2019[[#This Row],[Date]]),Log_2019[[#This Row],[Split_apply]])) - SUM($O505:W505)</f>
        <v>0</v>
      </c>
      <c r="Y505" s="52">
        <f ca="1">Log_2019[[#This Row],[Amount]]/Log_2019[[#This Row],[Split_raw]]*MAX(0,MIN(_xlfn.DAYS(EDATE(Y$1,1),Log_2019[[#This Row],[Date]]),Log_2019[[#This Row],[Split_apply]])) - SUM($O505:X505)</f>
        <v>0</v>
      </c>
      <c r="Z505" s="52">
        <f ca="1">Log_2019[[#This Row],[Amount]]/Log_2019[[#This Row],[Split_raw]]*MAX(0,MIN(_xlfn.DAYS(EDATE(Z$1,1),Log_2019[[#This Row],[Date]]),Log_2019[[#This Row],[Split_apply]])) - SUM($O505:Y505)</f>
        <v>0</v>
      </c>
      <c r="AA505" s="52">
        <f ca="1">Log_2019[[#This Row],[Amount]]/Log_2019[[#This Row],[Split_raw]]*MAX(0,MIN(_xlfn.DAYS(EDATE(AA$1,1),Log_2019[[#This Row],[Date]]),Log_2019[[#This Row],[Split_apply]])) - SUM($O505:Z505)</f>
        <v>0</v>
      </c>
      <c r="AB505" s="54">
        <f ca="1">Log_2019[[#This Row],[Amount]]-SUM(O505:AA505)</f>
        <v>0</v>
      </c>
      <c r="AC505" s="7">
        <f>MAX(0,Log_2019[[#This Row],[Split_raw]] - (EDATE(AA$1,1)-Log_2019[[#This Row],[Date]]))</f>
        <v>0</v>
      </c>
    </row>
    <row r="506" spans="1:29" x14ac:dyDescent="0.25">
      <c r="A506" s="42"/>
      <c r="B506" s="34" t="s">
        <v>6</v>
      </c>
      <c r="C506" s="34"/>
      <c r="D506" s="35">
        <v>43586</v>
      </c>
      <c r="E506" t="s">
        <v>960</v>
      </c>
      <c r="F506" s="34" t="s">
        <v>576</v>
      </c>
      <c r="G506" s="34" t="s">
        <v>82</v>
      </c>
      <c r="H506" s="36">
        <v>-320</v>
      </c>
      <c r="I506" s="36">
        <f>IF(Log_2019[[#This Row],[My Category]]="NONTRACKED",0,Log_2019[[#This Row],[Raw Amount]])</f>
        <v>-320</v>
      </c>
      <c r="J506" s="37">
        <f>ABS(Log_2019[[#This Row],[Amount]])</f>
        <v>320</v>
      </c>
      <c r="K506" s="5">
        <v>31</v>
      </c>
      <c r="L506" s="38">
        <f ca="1">IF(Log_2019[[#This Row],[Date]]&lt;=TODAY(), MIN(Log_2019[[#This Row],[Split_raw]], TODAY()-Log_2019[[#This Row],[Date]]+1), 0)</f>
        <v>31</v>
      </c>
      <c r="M506" s="34" t="s">
        <v>93</v>
      </c>
      <c r="N506" s="34" t="s">
        <v>160</v>
      </c>
      <c r="O506" s="7">
        <v>0</v>
      </c>
      <c r="P506" s="52">
        <f ca="1">Log_2019[[#This Row],[Amount]]/Log_2019[[#This Row],[Split_raw]]*MAX(0,MIN(_xlfn.DAYS(EDATE(P$1,1),Log_2019[[#This Row],[Date]]),Log_2019[[#This Row],[Split_apply]])) - SUM($O506:O506)</f>
        <v>0</v>
      </c>
      <c r="Q506" s="52">
        <f ca="1">Log_2019[[#This Row],[Amount]]/Log_2019[[#This Row],[Split_raw]]*MAX(0,MIN(_xlfn.DAYS(EDATE(Q$1,1),Log_2019[[#This Row],[Date]]),Log_2019[[#This Row],[Split_apply]])) - SUM($O506:P506)</f>
        <v>0</v>
      </c>
      <c r="R506" s="52">
        <f ca="1">Log_2019[[#This Row],[Amount]]/Log_2019[[#This Row],[Split_raw]]*MAX(0,MIN(_xlfn.DAYS(EDATE(R$1,1),Log_2019[[#This Row],[Date]]),Log_2019[[#This Row],[Split_apply]])) - SUM($O506:Q506)</f>
        <v>0</v>
      </c>
      <c r="S506" s="52">
        <f ca="1">Log_2019[[#This Row],[Amount]]/Log_2019[[#This Row],[Split_raw]]*MAX(0,MIN(_xlfn.DAYS(EDATE(S$1,1),Log_2019[[#This Row],[Date]]),Log_2019[[#This Row],[Split_apply]])) - SUM($O506:R506)</f>
        <v>0</v>
      </c>
      <c r="T506" s="52">
        <f ca="1">Log_2019[[#This Row],[Amount]]/Log_2019[[#This Row],[Split_raw]]*MAX(0,MIN(_xlfn.DAYS(EDATE(T$1,1),Log_2019[[#This Row],[Date]]),Log_2019[[#This Row],[Split_apply]])) - SUM($O506:S506)</f>
        <v>-320</v>
      </c>
      <c r="U506" s="52">
        <f ca="1">Log_2019[[#This Row],[Amount]]/Log_2019[[#This Row],[Split_raw]]*MAX(0,MIN(_xlfn.DAYS(EDATE(U$1,1),Log_2019[[#This Row],[Date]]),Log_2019[[#This Row],[Split_apply]])) - SUM($O506:T506)</f>
        <v>0</v>
      </c>
      <c r="V506" s="52">
        <f ca="1">Log_2019[[#This Row],[Amount]]/Log_2019[[#This Row],[Split_raw]]*MAX(0,MIN(_xlfn.DAYS(EDATE(V$1,1),Log_2019[[#This Row],[Date]]),Log_2019[[#This Row],[Split_apply]])) - SUM($O506:U506)</f>
        <v>0</v>
      </c>
      <c r="W506" s="52">
        <f ca="1">Log_2019[[#This Row],[Amount]]/Log_2019[[#This Row],[Split_raw]]*MAX(0,MIN(_xlfn.DAYS(EDATE(W$1,1),Log_2019[[#This Row],[Date]]),Log_2019[[#This Row],[Split_apply]])) - SUM($O506:V506)</f>
        <v>0</v>
      </c>
      <c r="X506" s="52">
        <f ca="1">Log_2019[[#This Row],[Amount]]/Log_2019[[#This Row],[Split_raw]]*MAX(0,MIN(_xlfn.DAYS(EDATE(X$1,1),Log_2019[[#This Row],[Date]]),Log_2019[[#This Row],[Split_apply]])) - SUM($O506:W506)</f>
        <v>0</v>
      </c>
      <c r="Y506" s="52">
        <f ca="1">Log_2019[[#This Row],[Amount]]/Log_2019[[#This Row],[Split_raw]]*MAX(0,MIN(_xlfn.DAYS(EDATE(Y$1,1),Log_2019[[#This Row],[Date]]),Log_2019[[#This Row],[Split_apply]])) - SUM($O506:X506)</f>
        <v>0</v>
      </c>
      <c r="Z506" s="52">
        <f ca="1">Log_2019[[#This Row],[Amount]]/Log_2019[[#This Row],[Split_raw]]*MAX(0,MIN(_xlfn.DAYS(EDATE(Z$1,1),Log_2019[[#This Row],[Date]]),Log_2019[[#This Row],[Split_apply]])) - SUM($O506:Y506)</f>
        <v>0</v>
      </c>
      <c r="AA506" s="52">
        <f ca="1">Log_2019[[#This Row],[Amount]]/Log_2019[[#This Row],[Split_raw]]*MAX(0,MIN(_xlfn.DAYS(EDATE(AA$1,1),Log_2019[[#This Row],[Date]]),Log_2019[[#This Row],[Split_apply]])) - SUM($O506:Z506)</f>
        <v>0</v>
      </c>
      <c r="AB506" s="54">
        <f ca="1">Log_2019[[#This Row],[Amount]]-SUM(O506:AA506)</f>
        <v>0</v>
      </c>
      <c r="AC506" s="7">
        <f>MAX(0,Log_2019[[#This Row],[Split_raw]] - (EDATE(AA$1,1)-Log_2019[[#This Row],[Date]]))</f>
        <v>0</v>
      </c>
    </row>
    <row r="507" spans="1:29" x14ac:dyDescent="0.25">
      <c r="A507" s="42"/>
      <c r="B507" s="34" t="s">
        <v>6</v>
      </c>
      <c r="C507" s="34"/>
      <c r="D507" s="35">
        <v>43586</v>
      </c>
      <c r="E507" s="34"/>
      <c r="F507" s="34" t="s">
        <v>590</v>
      </c>
      <c r="G507" s="34" t="s">
        <v>19</v>
      </c>
      <c r="H507" s="36">
        <v>-49.44</v>
      </c>
      <c r="I507" s="36">
        <f>IF(Log_2019[[#This Row],[My Category]]="NONTRACKED",0,Log_2019[[#This Row],[Raw Amount]])</f>
        <v>-49.44</v>
      </c>
      <c r="J507" s="37">
        <f>ABS(Log_2019[[#This Row],[Amount]])</f>
        <v>49.44</v>
      </c>
      <c r="K507" s="38">
        <v>1</v>
      </c>
      <c r="L507" s="38">
        <f ca="1">IF(Log_2019[[#This Row],[Date]]&lt;=TODAY(), MIN(Log_2019[[#This Row],[Split_raw]], TODAY()-Log_2019[[#This Row],[Date]]+1), 0)</f>
        <v>1</v>
      </c>
      <c r="M507" s="34" t="s">
        <v>366</v>
      </c>
      <c r="N507" s="34" t="s">
        <v>158</v>
      </c>
      <c r="O507" s="7">
        <v>0</v>
      </c>
      <c r="P507" s="52">
        <f ca="1">Log_2019[[#This Row],[Amount]]/Log_2019[[#This Row],[Split_raw]]*MAX(0,MIN(_xlfn.DAYS(EDATE(P$1,1),Log_2019[[#This Row],[Date]]),Log_2019[[#This Row],[Split_apply]])) - SUM($O507:O507)</f>
        <v>0</v>
      </c>
      <c r="Q507" s="52">
        <f ca="1">Log_2019[[#This Row],[Amount]]/Log_2019[[#This Row],[Split_raw]]*MAX(0,MIN(_xlfn.DAYS(EDATE(Q$1,1),Log_2019[[#This Row],[Date]]),Log_2019[[#This Row],[Split_apply]])) - SUM($O507:P507)</f>
        <v>0</v>
      </c>
      <c r="R507" s="52">
        <f ca="1">Log_2019[[#This Row],[Amount]]/Log_2019[[#This Row],[Split_raw]]*MAX(0,MIN(_xlfn.DAYS(EDATE(R$1,1),Log_2019[[#This Row],[Date]]),Log_2019[[#This Row],[Split_apply]])) - SUM($O507:Q507)</f>
        <v>0</v>
      </c>
      <c r="S507" s="52">
        <f ca="1">Log_2019[[#This Row],[Amount]]/Log_2019[[#This Row],[Split_raw]]*MAX(0,MIN(_xlfn.DAYS(EDATE(S$1,1),Log_2019[[#This Row],[Date]]),Log_2019[[#This Row],[Split_apply]])) - SUM($O507:R507)</f>
        <v>0</v>
      </c>
      <c r="T507" s="52">
        <f ca="1">Log_2019[[#This Row],[Amount]]/Log_2019[[#This Row],[Split_raw]]*MAX(0,MIN(_xlfn.DAYS(EDATE(T$1,1),Log_2019[[#This Row],[Date]]),Log_2019[[#This Row],[Split_apply]])) - SUM($O507:S507)</f>
        <v>-49.44</v>
      </c>
      <c r="U507" s="52">
        <f ca="1">Log_2019[[#This Row],[Amount]]/Log_2019[[#This Row],[Split_raw]]*MAX(0,MIN(_xlfn.DAYS(EDATE(U$1,1),Log_2019[[#This Row],[Date]]),Log_2019[[#This Row],[Split_apply]])) - SUM($O507:T507)</f>
        <v>0</v>
      </c>
      <c r="V507" s="52">
        <f ca="1">Log_2019[[#This Row],[Amount]]/Log_2019[[#This Row],[Split_raw]]*MAX(0,MIN(_xlfn.DAYS(EDATE(V$1,1),Log_2019[[#This Row],[Date]]),Log_2019[[#This Row],[Split_apply]])) - SUM($O507:U507)</f>
        <v>0</v>
      </c>
      <c r="W507" s="52">
        <f ca="1">Log_2019[[#This Row],[Amount]]/Log_2019[[#This Row],[Split_raw]]*MAX(0,MIN(_xlfn.DAYS(EDATE(W$1,1),Log_2019[[#This Row],[Date]]),Log_2019[[#This Row],[Split_apply]])) - SUM($O507:V507)</f>
        <v>0</v>
      </c>
      <c r="X507" s="52">
        <f ca="1">Log_2019[[#This Row],[Amount]]/Log_2019[[#This Row],[Split_raw]]*MAX(0,MIN(_xlfn.DAYS(EDATE(X$1,1),Log_2019[[#This Row],[Date]]),Log_2019[[#This Row],[Split_apply]])) - SUM($O507:W507)</f>
        <v>0</v>
      </c>
      <c r="Y507" s="52">
        <f ca="1">Log_2019[[#This Row],[Amount]]/Log_2019[[#This Row],[Split_raw]]*MAX(0,MIN(_xlfn.DAYS(EDATE(Y$1,1),Log_2019[[#This Row],[Date]]),Log_2019[[#This Row],[Split_apply]])) - SUM($O507:X507)</f>
        <v>0</v>
      </c>
      <c r="Z507" s="52">
        <f ca="1">Log_2019[[#This Row],[Amount]]/Log_2019[[#This Row],[Split_raw]]*MAX(0,MIN(_xlfn.DAYS(EDATE(Z$1,1),Log_2019[[#This Row],[Date]]),Log_2019[[#This Row],[Split_apply]])) - SUM($O507:Y507)</f>
        <v>0</v>
      </c>
      <c r="AA507" s="52">
        <f ca="1">Log_2019[[#This Row],[Amount]]/Log_2019[[#This Row],[Split_raw]]*MAX(0,MIN(_xlfn.DAYS(EDATE(AA$1,1),Log_2019[[#This Row],[Date]]),Log_2019[[#This Row],[Split_apply]])) - SUM($O507:Z507)</f>
        <v>0</v>
      </c>
      <c r="AB507" s="54">
        <f ca="1">Log_2019[[#This Row],[Amount]]-SUM(O507:AA507)</f>
        <v>0</v>
      </c>
      <c r="AC507" s="7">
        <f>MAX(0,Log_2019[[#This Row],[Split_raw]] - (EDATE(AA$1,1)-Log_2019[[#This Row],[Date]]))</f>
        <v>0</v>
      </c>
    </row>
    <row r="508" spans="1:29" x14ac:dyDescent="0.25">
      <c r="A508" s="42"/>
      <c r="B508" s="34" t="s">
        <v>6</v>
      </c>
      <c r="C508" s="34"/>
      <c r="D508" s="35">
        <v>43586</v>
      </c>
      <c r="E508" s="34"/>
      <c r="F508" s="34" t="s">
        <v>105</v>
      </c>
      <c r="G508" s="34" t="s">
        <v>104</v>
      </c>
      <c r="H508" s="36">
        <f>--995.28</f>
        <v>995.28</v>
      </c>
      <c r="I508" s="36">
        <f>IF(Log_2019[[#This Row],[My Category]]="NONTRACKED",0,Log_2019[[#This Row],[Raw Amount]])</f>
        <v>995.28</v>
      </c>
      <c r="J508" s="37">
        <f>ABS(Log_2019[[#This Row],[Amount]])</f>
        <v>995.28</v>
      </c>
      <c r="K508" s="38">
        <v>1</v>
      </c>
      <c r="L508" s="38">
        <f ca="1">IF(Log_2019[[#This Row],[Date]]&lt;=TODAY(), MIN(Log_2019[[#This Row],[Split_raw]], TODAY()-Log_2019[[#This Row],[Date]]+1), 0)</f>
        <v>1</v>
      </c>
      <c r="M508" s="34" t="s">
        <v>159</v>
      </c>
      <c r="N508" s="34" t="s">
        <v>158</v>
      </c>
      <c r="O508" s="7">
        <v>0</v>
      </c>
      <c r="P508" s="52">
        <f ca="1">Log_2019[[#This Row],[Amount]]/Log_2019[[#This Row],[Split_raw]]*MAX(0,MIN(_xlfn.DAYS(EDATE(P$1,1),Log_2019[[#This Row],[Date]]),Log_2019[[#This Row],[Split_apply]])) - SUM($O508:O508)</f>
        <v>0</v>
      </c>
      <c r="Q508" s="52">
        <f ca="1">Log_2019[[#This Row],[Amount]]/Log_2019[[#This Row],[Split_raw]]*MAX(0,MIN(_xlfn.DAYS(EDATE(Q$1,1),Log_2019[[#This Row],[Date]]),Log_2019[[#This Row],[Split_apply]])) - SUM($O508:P508)</f>
        <v>0</v>
      </c>
      <c r="R508" s="52">
        <f ca="1">Log_2019[[#This Row],[Amount]]/Log_2019[[#This Row],[Split_raw]]*MAX(0,MIN(_xlfn.DAYS(EDATE(R$1,1),Log_2019[[#This Row],[Date]]),Log_2019[[#This Row],[Split_apply]])) - SUM($O508:Q508)</f>
        <v>0</v>
      </c>
      <c r="S508" s="52">
        <f ca="1">Log_2019[[#This Row],[Amount]]/Log_2019[[#This Row],[Split_raw]]*MAX(0,MIN(_xlfn.DAYS(EDATE(S$1,1),Log_2019[[#This Row],[Date]]),Log_2019[[#This Row],[Split_apply]])) - SUM($O508:R508)</f>
        <v>0</v>
      </c>
      <c r="T508" s="52">
        <f ca="1">Log_2019[[#This Row],[Amount]]/Log_2019[[#This Row],[Split_raw]]*MAX(0,MIN(_xlfn.DAYS(EDATE(T$1,1),Log_2019[[#This Row],[Date]]),Log_2019[[#This Row],[Split_apply]])) - SUM($O508:S508)</f>
        <v>995.28</v>
      </c>
      <c r="U508" s="52">
        <f ca="1">Log_2019[[#This Row],[Amount]]/Log_2019[[#This Row],[Split_raw]]*MAX(0,MIN(_xlfn.DAYS(EDATE(U$1,1),Log_2019[[#This Row],[Date]]),Log_2019[[#This Row],[Split_apply]])) - SUM($O508:T508)</f>
        <v>0</v>
      </c>
      <c r="V508" s="52">
        <f ca="1">Log_2019[[#This Row],[Amount]]/Log_2019[[#This Row],[Split_raw]]*MAX(0,MIN(_xlfn.DAYS(EDATE(V$1,1),Log_2019[[#This Row],[Date]]),Log_2019[[#This Row],[Split_apply]])) - SUM($O508:U508)</f>
        <v>0</v>
      </c>
      <c r="W508" s="52">
        <f ca="1">Log_2019[[#This Row],[Amount]]/Log_2019[[#This Row],[Split_raw]]*MAX(0,MIN(_xlfn.DAYS(EDATE(W$1,1),Log_2019[[#This Row],[Date]]),Log_2019[[#This Row],[Split_apply]])) - SUM($O508:V508)</f>
        <v>0</v>
      </c>
      <c r="X508" s="52">
        <f ca="1">Log_2019[[#This Row],[Amount]]/Log_2019[[#This Row],[Split_raw]]*MAX(0,MIN(_xlfn.DAYS(EDATE(X$1,1),Log_2019[[#This Row],[Date]]),Log_2019[[#This Row],[Split_apply]])) - SUM($O508:W508)</f>
        <v>0</v>
      </c>
      <c r="Y508" s="52">
        <f ca="1">Log_2019[[#This Row],[Amount]]/Log_2019[[#This Row],[Split_raw]]*MAX(0,MIN(_xlfn.DAYS(EDATE(Y$1,1),Log_2019[[#This Row],[Date]]),Log_2019[[#This Row],[Split_apply]])) - SUM($O508:X508)</f>
        <v>0</v>
      </c>
      <c r="Z508" s="52">
        <f ca="1">Log_2019[[#This Row],[Amount]]/Log_2019[[#This Row],[Split_raw]]*MAX(0,MIN(_xlfn.DAYS(EDATE(Z$1,1),Log_2019[[#This Row],[Date]]),Log_2019[[#This Row],[Split_apply]])) - SUM($O508:Y508)</f>
        <v>0</v>
      </c>
      <c r="AA508" s="52">
        <f ca="1">Log_2019[[#This Row],[Amount]]/Log_2019[[#This Row],[Split_raw]]*MAX(0,MIN(_xlfn.DAYS(EDATE(AA$1,1),Log_2019[[#This Row],[Date]]),Log_2019[[#This Row],[Split_apply]])) - SUM($O508:Z508)</f>
        <v>0</v>
      </c>
      <c r="AB508" s="54">
        <f ca="1">Log_2019[[#This Row],[Amount]]-SUM(O508:AA508)</f>
        <v>0</v>
      </c>
      <c r="AC508" s="7">
        <f>MAX(0,Log_2019[[#This Row],[Split_raw]] - (EDATE(AA$1,1)-Log_2019[[#This Row],[Date]]))</f>
        <v>0</v>
      </c>
    </row>
    <row r="509" spans="1:29" x14ac:dyDescent="0.25">
      <c r="A509" s="42"/>
      <c r="B509" s="34" t="s">
        <v>6</v>
      </c>
      <c r="C509" s="34"/>
      <c r="D509" s="35">
        <v>43586</v>
      </c>
      <c r="E509" s="34"/>
      <c r="F509" s="34" t="s">
        <v>138</v>
      </c>
      <c r="G509" s="34" t="s">
        <v>104</v>
      </c>
      <c r="H509" s="36">
        <v>-995.28</v>
      </c>
      <c r="I509" s="36">
        <f>IF(Log_2019[[#This Row],[My Category]]="NONTRACKED",0,Log_2019[[#This Row],[Raw Amount]])</f>
        <v>-995.28</v>
      </c>
      <c r="J509" s="37">
        <f>ABS(Log_2019[[#This Row],[Amount]])</f>
        <v>995.28</v>
      </c>
      <c r="K509" s="38">
        <v>1</v>
      </c>
      <c r="L509" s="38">
        <f ca="1">IF(Log_2019[[#This Row],[Date]]&lt;=TODAY(), MIN(Log_2019[[#This Row],[Split_raw]], TODAY()-Log_2019[[#This Row],[Date]]+1), 0)</f>
        <v>1</v>
      </c>
      <c r="M509" s="34" t="s">
        <v>159</v>
      </c>
      <c r="N509" s="34" t="s">
        <v>160</v>
      </c>
      <c r="O509" s="7">
        <v>0</v>
      </c>
      <c r="P509" s="52">
        <f ca="1">Log_2019[[#This Row],[Amount]]/Log_2019[[#This Row],[Split_raw]]*MAX(0,MIN(_xlfn.DAYS(EDATE(P$1,1),Log_2019[[#This Row],[Date]]),Log_2019[[#This Row],[Split_apply]])) - SUM($O509:O509)</f>
        <v>0</v>
      </c>
      <c r="Q509" s="52">
        <f ca="1">Log_2019[[#This Row],[Amount]]/Log_2019[[#This Row],[Split_raw]]*MAX(0,MIN(_xlfn.DAYS(EDATE(Q$1,1),Log_2019[[#This Row],[Date]]),Log_2019[[#This Row],[Split_apply]])) - SUM($O509:P509)</f>
        <v>0</v>
      </c>
      <c r="R509" s="52">
        <f ca="1">Log_2019[[#This Row],[Amount]]/Log_2019[[#This Row],[Split_raw]]*MAX(0,MIN(_xlfn.DAYS(EDATE(R$1,1),Log_2019[[#This Row],[Date]]),Log_2019[[#This Row],[Split_apply]])) - SUM($O509:Q509)</f>
        <v>0</v>
      </c>
      <c r="S509" s="52">
        <f ca="1">Log_2019[[#This Row],[Amount]]/Log_2019[[#This Row],[Split_raw]]*MAX(0,MIN(_xlfn.DAYS(EDATE(S$1,1),Log_2019[[#This Row],[Date]]),Log_2019[[#This Row],[Split_apply]])) - SUM($O509:R509)</f>
        <v>0</v>
      </c>
      <c r="T509" s="52">
        <f ca="1">Log_2019[[#This Row],[Amount]]/Log_2019[[#This Row],[Split_raw]]*MAX(0,MIN(_xlfn.DAYS(EDATE(T$1,1),Log_2019[[#This Row],[Date]]),Log_2019[[#This Row],[Split_apply]])) - SUM($O509:S509)</f>
        <v>-995.28</v>
      </c>
      <c r="U509" s="52">
        <f ca="1">Log_2019[[#This Row],[Amount]]/Log_2019[[#This Row],[Split_raw]]*MAX(0,MIN(_xlfn.DAYS(EDATE(U$1,1),Log_2019[[#This Row],[Date]]),Log_2019[[#This Row],[Split_apply]])) - SUM($O509:T509)</f>
        <v>0</v>
      </c>
      <c r="V509" s="52">
        <f ca="1">Log_2019[[#This Row],[Amount]]/Log_2019[[#This Row],[Split_raw]]*MAX(0,MIN(_xlfn.DAYS(EDATE(V$1,1),Log_2019[[#This Row],[Date]]),Log_2019[[#This Row],[Split_apply]])) - SUM($O509:U509)</f>
        <v>0</v>
      </c>
      <c r="W509" s="52">
        <f ca="1">Log_2019[[#This Row],[Amount]]/Log_2019[[#This Row],[Split_raw]]*MAX(0,MIN(_xlfn.DAYS(EDATE(W$1,1),Log_2019[[#This Row],[Date]]),Log_2019[[#This Row],[Split_apply]])) - SUM($O509:V509)</f>
        <v>0</v>
      </c>
      <c r="X509" s="52">
        <f ca="1">Log_2019[[#This Row],[Amount]]/Log_2019[[#This Row],[Split_raw]]*MAX(0,MIN(_xlfn.DAYS(EDATE(X$1,1),Log_2019[[#This Row],[Date]]),Log_2019[[#This Row],[Split_apply]])) - SUM($O509:W509)</f>
        <v>0</v>
      </c>
      <c r="Y509" s="52">
        <f ca="1">Log_2019[[#This Row],[Amount]]/Log_2019[[#This Row],[Split_raw]]*MAX(0,MIN(_xlfn.DAYS(EDATE(Y$1,1),Log_2019[[#This Row],[Date]]),Log_2019[[#This Row],[Split_apply]])) - SUM($O509:X509)</f>
        <v>0</v>
      </c>
      <c r="Z509" s="52">
        <f ca="1">Log_2019[[#This Row],[Amount]]/Log_2019[[#This Row],[Split_raw]]*MAX(0,MIN(_xlfn.DAYS(EDATE(Z$1,1),Log_2019[[#This Row],[Date]]),Log_2019[[#This Row],[Split_apply]])) - SUM($O509:Y509)</f>
        <v>0</v>
      </c>
      <c r="AA509" s="52">
        <f ca="1">Log_2019[[#This Row],[Amount]]/Log_2019[[#This Row],[Split_raw]]*MAX(0,MIN(_xlfn.DAYS(EDATE(AA$1,1),Log_2019[[#This Row],[Date]]),Log_2019[[#This Row],[Split_apply]])) - SUM($O509:Z509)</f>
        <v>0</v>
      </c>
      <c r="AB509" s="54">
        <f ca="1">Log_2019[[#This Row],[Amount]]-SUM(O509:AA509)</f>
        <v>0</v>
      </c>
      <c r="AC509" s="7">
        <f>MAX(0,Log_2019[[#This Row],[Split_raw]] - (EDATE(AA$1,1)-Log_2019[[#This Row],[Date]]))</f>
        <v>0</v>
      </c>
    </row>
    <row r="510" spans="1:29" x14ac:dyDescent="0.25">
      <c r="A510" s="42"/>
      <c r="B510" s="34" t="s">
        <v>6</v>
      </c>
      <c r="C510" s="34"/>
      <c r="D510" s="35">
        <v>43585</v>
      </c>
      <c r="E510" s="34"/>
      <c r="F510" s="34" t="s">
        <v>578</v>
      </c>
      <c r="G510" s="34" t="s">
        <v>20</v>
      </c>
      <c r="H510" s="36">
        <v>-164.1</v>
      </c>
      <c r="I510" s="36">
        <f>IF(Log_2019[[#This Row],[My Category]]="NONTRACKED",0,Log_2019[[#This Row],[Raw Amount]])</f>
        <v>-164.1</v>
      </c>
      <c r="J510" s="37">
        <f>ABS(Log_2019[[#This Row],[Amount]])</f>
        <v>164.1</v>
      </c>
      <c r="K510" s="38">
        <v>1</v>
      </c>
      <c r="L510" s="38">
        <f ca="1">IF(Log_2019[[#This Row],[Date]]&lt;=TODAY(), MIN(Log_2019[[#This Row],[Split_raw]], TODAY()-Log_2019[[#This Row],[Date]]+1), 0)</f>
        <v>1</v>
      </c>
      <c r="M510" s="34" t="s">
        <v>196</v>
      </c>
      <c r="N510" s="34" t="s">
        <v>160</v>
      </c>
      <c r="O510" s="7">
        <v>0</v>
      </c>
      <c r="P510" s="52">
        <f ca="1">Log_2019[[#This Row],[Amount]]/Log_2019[[#This Row],[Split_raw]]*MAX(0,MIN(_xlfn.DAYS(EDATE(P$1,1),Log_2019[[#This Row],[Date]]),Log_2019[[#This Row],[Split_apply]])) - SUM($O510:O510)</f>
        <v>0</v>
      </c>
      <c r="Q510" s="52">
        <f ca="1">Log_2019[[#This Row],[Amount]]/Log_2019[[#This Row],[Split_raw]]*MAX(0,MIN(_xlfn.DAYS(EDATE(Q$1,1),Log_2019[[#This Row],[Date]]),Log_2019[[#This Row],[Split_apply]])) - SUM($O510:P510)</f>
        <v>0</v>
      </c>
      <c r="R510" s="52">
        <f ca="1">Log_2019[[#This Row],[Amount]]/Log_2019[[#This Row],[Split_raw]]*MAX(0,MIN(_xlfn.DAYS(EDATE(R$1,1),Log_2019[[#This Row],[Date]]),Log_2019[[#This Row],[Split_apply]])) - SUM($O510:Q510)</f>
        <v>0</v>
      </c>
      <c r="S510" s="52">
        <f ca="1">Log_2019[[#This Row],[Amount]]/Log_2019[[#This Row],[Split_raw]]*MAX(0,MIN(_xlfn.DAYS(EDATE(S$1,1),Log_2019[[#This Row],[Date]]),Log_2019[[#This Row],[Split_apply]])) - SUM($O510:R510)</f>
        <v>-164.1</v>
      </c>
      <c r="T510" s="52">
        <f ca="1">Log_2019[[#This Row],[Amount]]/Log_2019[[#This Row],[Split_raw]]*MAX(0,MIN(_xlfn.DAYS(EDATE(T$1,1),Log_2019[[#This Row],[Date]]),Log_2019[[#This Row],[Split_apply]])) - SUM($O510:S510)</f>
        <v>0</v>
      </c>
      <c r="U510" s="52">
        <f ca="1">Log_2019[[#This Row],[Amount]]/Log_2019[[#This Row],[Split_raw]]*MAX(0,MIN(_xlfn.DAYS(EDATE(U$1,1),Log_2019[[#This Row],[Date]]),Log_2019[[#This Row],[Split_apply]])) - SUM($O510:T510)</f>
        <v>0</v>
      </c>
      <c r="V510" s="52">
        <f ca="1">Log_2019[[#This Row],[Amount]]/Log_2019[[#This Row],[Split_raw]]*MAX(0,MIN(_xlfn.DAYS(EDATE(V$1,1),Log_2019[[#This Row],[Date]]),Log_2019[[#This Row],[Split_apply]])) - SUM($O510:U510)</f>
        <v>0</v>
      </c>
      <c r="W510" s="52">
        <f ca="1">Log_2019[[#This Row],[Amount]]/Log_2019[[#This Row],[Split_raw]]*MAX(0,MIN(_xlfn.DAYS(EDATE(W$1,1),Log_2019[[#This Row],[Date]]),Log_2019[[#This Row],[Split_apply]])) - SUM($O510:V510)</f>
        <v>0</v>
      </c>
      <c r="X510" s="52">
        <f ca="1">Log_2019[[#This Row],[Amount]]/Log_2019[[#This Row],[Split_raw]]*MAX(0,MIN(_xlfn.DAYS(EDATE(X$1,1),Log_2019[[#This Row],[Date]]),Log_2019[[#This Row],[Split_apply]])) - SUM($O510:W510)</f>
        <v>0</v>
      </c>
      <c r="Y510" s="52">
        <f ca="1">Log_2019[[#This Row],[Amount]]/Log_2019[[#This Row],[Split_raw]]*MAX(0,MIN(_xlfn.DAYS(EDATE(Y$1,1),Log_2019[[#This Row],[Date]]),Log_2019[[#This Row],[Split_apply]])) - SUM($O510:X510)</f>
        <v>0</v>
      </c>
      <c r="Z510" s="52">
        <f ca="1">Log_2019[[#This Row],[Amount]]/Log_2019[[#This Row],[Split_raw]]*MAX(0,MIN(_xlfn.DAYS(EDATE(Z$1,1),Log_2019[[#This Row],[Date]]),Log_2019[[#This Row],[Split_apply]])) - SUM($O510:Y510)</f>
        <v>0</v>
      </c>
      <c r="AA510" s="52">
        <f ca="1">Log_2019[[#This Row],[Amount]]/Log_2019[[#This Row],[Split_raw]]*MAX(0,MIN(_xlfn.DAYS(EDATE(AA$1,1),Log_2019[[#This Row],[Date]]),Log_2019[[#This Row],[Split_apply]])) - SUM($O510:Z510)</f>
        <v>0</v>
      </c>
      <c r="AB510" s="54">
        <f ca="1">Log_2019[[#This Row],[Amount]]-SUM(O510:AA510)</f>
        <v>0</v>
      </c>
      <c r="AC510" s="7">
        <f>MAX(0,Log_2019[[#This Row],[Split_raw]] - (EDATE(AA$1,1)-Log_2019[[#This Row],[Date]]))</f>
        <v>0</v>
      </c>
    </row>
    <row r="511" spans="1:29" x14ac:dyDescent="0.25">
      <c r="A511" s="42"/>
      <c r="B511" s="34" t="s">
        <v>6</v>
      </c>
      <c r="C511" s="34"/>
      <c r="D511" s="35">
        <v>43584</v>
      </c>
      <c r="E511" s="34"/>
      <c r="F511" s="34" t="s">
        <v>16</v>
      </c>
      <c r="G511" s="34" t="s">
        <v>17</v>
      </c>
      <c r="H511" s="36">
        <f>--0.12</f>
        <v>0.12</v>
      </c>
      <c r="I511" s="36">
        <f>IF(Log_2019[[#This Row],[My Category]]="NONTRACKED",0,Log_2019[[#This Row],[Raw Amount]])</f>
        <v>0.12</v>
      </c>
      <c r="J511" s="37">
        <f>ABS(Log_2019[[#This Row],[Amount]])</f>
        <v>0.12</v>
      </c>
      <c r="K511" s="38">
        <v>1</v>
      </c>
      <c r="L511" s="38">
        <f ca="1">IF(Log_2019[[#This Row],[Date]]&lt;=TODAY(), MIN(Log_2019[[#This Row],[Split_raw]], TODAY()-Log_2019[[#This Row],[Date]]+1), 0)</f>
        <v>1</v>
      </c>
      <c r="M511" s="34" t="s">
        <v>144</v>
      </c>
      <c r="N511" s="34" t="s">
        <v>160</v>
      </c>
      <c r="O511" s="7">
        <v>0</v>
      </c>
      <c r="P511" s="52">
        <f ca="1">Log_2019[[#This Row],[Amount]]/Log_2019[[#This Row],[Split_raw]]*MAX(0,MIN(_xlfn.DAYS(EDATE(P$1,1),Log_2019[[#This Row],[Date]]),Log_2019[[#This Row],[Split_apply]])) - SUM($O511:O511)</f>
        <v>0</v>
      </c>
      <c r="Q511" s="52">
        <f ca="1">Log_2019[[#This Row],[Amount]]/Log_2019[[#This Row],[Split_raw]]*MAX(0,MIN(_xlfn.DAYS(EDATE(Q$1,1),Log_2019[[#This Row],[Date]]),Log_2019[[#This Row],[Split_apply]])) - SUM($O511:P511)</f>
        <v>0</v>
      </c>
      <c r="R511" s="52">
        <f ca="1">Log_2019[[#This Row],[Amount]]/Log_2019[[#This Row],[Split_raw]]*MAX(0,MIN(_xlfn.DAYS(EDATE(R$1,1),Log_2019[[#This Row],[Date]]),Log_2019[[#This Row],[Split_apply]])) - SUM($O511:Q511)</f>
        <v>0</v>
      </c>
      <c r="S511" s="52">
        <f ca="1">Log_2019[[#This Row],[Amount]]/Log_2019[[#This Row],[Split_raw]]*MAX(0,MIN(_xlfn.DAYS(EDATE(S$1,1),Log_2019[[#This Row],[Date]]),Log_2019[[#This Row],[Split_apply]])) - SUM($O511:R511)</f>
        <v>0.12</v>
      </c>
      <c r="T511" s="52">
        <f ca="1">Log_2019[[#This Row],[Amount]]/Log_2019[[#This Row],[Split_raw]]*MAX(0,MIN(_xlfn.DAYS(EDATE(T$1,1),Log_2019[[#This Row],[Date]]),Log_2019[[#This Row],[Split_apply]])) - SUM($O511:S511)</f>
        <v>0</v>
      </c>
      <c r="U511" s="52">
        <f ca="1">Log_2019[[#This Row],[Amount]]/Log_2019[[#This Row],[Split_raw]]*MAX(0,MIN(_xlfn.DAYS(EDATE(U$1,1),Log_2019[[#This Row],[Date]]),Log_2019[[#This Row],[Split_apply]])) - SUM($O511:T511)</f>
        <v>0</v>
      </c>
      <c r="V511" s="52">
        <f ca="1">Log_2019[[#This Row],[Amount]]/Log_2019[[#This Row],[Split_raw]]*MAX(0,MIN(_xlfn.DAYS(EDATE(V$1,1),Log_2019[[#This Row],[Date]]),Log_2019[[#This Row],[Split_apply]])) - SUM($O511:U511)</f>
        <v>0</v>
      </c>
      <c r="W511" s="52">
        <f ca="1">Log_2019[[#This Row],[Amount]]/Log_2019[[#This Row],[Split_raw]]*MAX(0,MIN(_xlfn.DAYS(EDATE(W$1,1),Log_2019[[#This Row],[Date]]),Log_2019[[#This Row],[Split_apply]])) - SUM($O511:V511)</f>
        <v>0</v>
      </c>
      <c r="X511" s="52">
        <f ca="1">Log_2019[[#This Row],[Amount]]/Log_2019[[#This Row],[Split_raw]]*MAX(0,MIN(_xlfn.DAYS(EDATE(X$1,1),Log_2019[[#This Row],[Date]]),Log_2019[[#This Row],[Split_apply]])) - SUM($O511:W511)</f>
        <v>0</v>
      </c>
      <c r="Y511" s="52">
        <f ca="1">Log_2019[[#This Row],[Amount]]/Log_2019[[#This Row],[Split_raw]]*MAX(0,MIN(_xlfn.DAYS(EDATE(Y$1,1),Log_2019[[#This Row],[Date]]),Log_2019[[#This Row],[Split_apply]])) - SUM($O511:X511)</f>
        <v>0</v>
      </c>
      <c r="Z511" s="52">
        <f ca="1">Log_2019[[#This Row],[Amount]]/Log_2019[[#This Row],[Split_raw]]*MAX(0,MIN(_xlfn.DAYS(EDATE(Z$1,1),Log_2019[[#This Row],[Date]]),Log_2019[[#This Row],[Split_apply]])) - SUM($O511:Y511)</f>
        <v>0</v>
      </c>
      <c r="AA511" s="52">
        <f ca="1">Log_2019[[#This Row],[Amount]]/Log_2019[[#This Row],[Split_raw]]*MAX(0,MIN(_xlfn.DAYS(EDATE(AA$1,1),Log_2019[[#This Row],[Date]]),Log_2019[[#This Row],[Split_apply]])) - SUM($O511:Z511)</f>
        <v>0</v>
      </c>
      <c r="AB511" s="54">
        <f ca="1">Log_2019[[#This Row],[Amount]]-SUM(O511:AA511)</f>
        <v>0</v>
      </c>
      <c r="AC511" s="7">
        <f>MAX(0,Log_2019[[#This Row],[Split_raw]] - (EDATE(AA$1,1)-Log_2019[[#This Row],[Date]]))</f>
        <v>0</v>
      </c>
    </row>
    <row r="512" spans="1:29" x14ac:dyDescent="0.25">
      <c r="A512" s="42"/>
      <c r="B512" s="34" t="s">
        <v>6</v>
      </c>
      <c r="C512" s="34"/>
      <c r="D512" s="35">
        <v>43584</v>
      </c>
      <c r="E512" s="34" t="s">
        <v>251</v>
      </c>
      <c r="F512" s="34" t="s">
        <v>246</v>
      </c>
      <c r="G512" s="34" t="s">
        <v>143</v>
      </c>
      <c r="H512" s="36">
        <v>-9.73</v>
      </c>
      <c r="I512" s="36">
        <f>IF(Log_2019[[#This Row],[My Category]]="NONTRACKED",0,Log_2019[[#This Row],[Raw Amount]])</f>
        <v>-9.73</v>
      </c>
      <c r="J512" s="37">
        <f>ABS(Log_2019[[#This Row],[Amount]])</f>
        <v>9.73</v>
      </c>
      <c r="K512" s="38">
        <v>30</v>
      </c>
      <c r="L512" s="38">
        <f ca="1">IF(Log_2019[[#This Row],[Date]]&lt;=TODAY(), MIN(Log_2019[[#This Row],[Split_raw]], TODAY()-Log_2019[[#This Row],[Date]]+1), 0)</f>
        <v>30</v>
      </c>
      <c r="M512" s="34" t="s">
        <v>53</v>
      </c>
      <c r="N512" s="34" t="s">
        <v>160</v>
      </c>
      <c r="O512" s="7">
        <v>0</v>
      </c>
      <c r="P512" s="52">
        <f ca="1">Log_2019[[#This Row],[Amount]]/Log_2019[[#This Row],[Split_raw]]*MAX(0,MIN(_xlfn.DAYS(EDATE(P$1,1),Log_2019[[#This Row],[Date]]),Log_2019[[#This Row],[Split_apply]])) - SUM($O512:O512)</f>
        <v>0</v>
      </c>
      <c r="Q512" s="52">
        <f ca="1">Log_2019[[#This Row],[Amount]]/Log_2019[[#This Row],[Split_raw]]*MAX(0,MIN(_xlfn.DAYS(EDATE(Q$1,1),Log_2019[[#This Row],[Date]]),Log_2019[[#This Row],[Split_apply]])) - SUM($O512:P512)</f>
        <v>0</v>
      </c>
      <c r="R512" s="52">
        <f ca="1">Log_2019[[#This Row],[Amount]]/Log_2019[[#This Row],[Split_raw]]*MAX(0,MIN(_xlfn.DAYS(EDATE(R$1,1),Log_2019[[#This Row],[Date]]),Log_2019[[#This Row],[Split_apply]])) - SUM($O512:Q512)</f>
        <v>0</v>
      </c>
      <c r="S512" s="52">
        <f ca="1">Log_2019[[#This Row],[Amount]]/Log_2019[[#This Row],[Split_raw]]*MAX(0,MIN(_xlfn.DAYS(EDATE(S$1,1),Log_2019[[#This Row],[Date]]),Log_2019[[#This Row],[Split_apply]])) - SUM($O512:R512)</f>
        <v>-0.64866666666666672</v>
      </c>
      <c r="T512" s="52">
        <f ca="1">Log_2019[[#This Row],[Amount]]/Log_2019[[#This Row],[Split_raw]]*MAX(0,MIN(_xlfn.DAYS(EDATE(T$1,1),Log_2019[[#This Row],[Date]]),Log_2019[[#This Row],[Split_apply]])) - SUM($O512:S512)</f>
        <v>-9.0813333333333333</v>
      </c>
      <c r="U512" s="52">
        <f ca="1">Log_2019[[#This Row],[Amount]]/Log_2019[[#This Row],[Split_raw]]*MAX(0,MIN(_xlfn.DAYS(EDATE(U$1,1),Log_2019[[#This Row],[Date]]),Log_2019[[#This Row],[Split_apply]])) - SUM($O512:T512)</f>
        <v>0</v>
      </c>
      <c r="V512" s="52">
        <f ca="1">Log_2019[[#This Row],[Amount]]/Log_2019[[#This Row],[Split_raw]]*MAX(0,MIN(_xlfn.DAYS(EDATE(V$1,1),Log_2019[[#This Row],[Date]]),Log_2019[[#This Row],[Split_apply]])) - SUM($O512:U512)</f>
        <v>0</v>
      </c>
      <c r="W512" s="52">
        <f ca="1">Log_2019[[#This Row],[Amount]]/Log_2019[[#This Row],[Split_raw]]*MAX(0,MIN(_xlfn.DAYS(EDATE(W$1,1),Log_2019[[#This Row],[Date]]),Log_2019[[#This Row],[Split_apply]])) - SUM($O512:V512)</f>
        <v>0</v>
      </c>
      <c r="X512" s="52">
        <f ca="1">Log_2019[[#This Row],[Amount]]/Log_2019[[#This Row],[Split_raw]]*MAX(0,MIN(_xlfn.DAYS(EDATE(X$1,1),Log_2019[[#This Row],[Date]]),Log_2019[[#This Row],[Split_apply]])) - SUM($O512:W512)</f>
        <v>0</v>
      </c>
      <c r="Y512" s="52">
        <f ca="1">Log_2019[[#This Row],[Amount]]/Log_2019[[#This Row],[Split_raw]]*MAX(0,MIN(_xlfn.DAYS(EDATE(Y$1,1),Log_2019[[#This Row],[Date]]),Log_2019[[#This Row],[Split_apply]])) - SUM($O512:X512)</f>
        <v>0</v>
      </c>
      <c r="Z512" s="52">
        <f ca="1">Log_2019[[#This Row],[Amount]]/Log_2019[[#This Row],[Split_raw]]*MAX(0,MIN(_xlfn.DAYS(EDATE(Z$1,1),Log_2019[[#This Row],[Date]]),Log_2019[[#This Row],[Split_apply]])) - SUM($O512:Y512)</f>
        <v>0</v>
      </c>
      <c r="AA512" s="52">
        <f ca="1">Log_2019[[#This Row],[Amount]]/Log_2019[[#This Row],[Split_raw]]*MAX(0,MIN(_xlfn.DAYS(EDATE(AA$1,1),Log_2019[[#This Row],[Date]]),Log_2019[[#This Row],[Split_apply]])) - SUM($O512:Z512)</f>
        <v>0</v>
      </c>
      <c r="AB512" s="54">
        <f ca="1">Log_2019[[#This Row],[Amount]]-SUM(O512:AA512)</f>
        <v>0</v>
      </c>
      <c r="AC512" s="7">
        <f>MAX(0,Log_2019[[#This Row],[Split_raw]] - (EDATE(AA$1,1)-Log_2019[[#This Row],[Date]]))</f>
        <v>0</v>
      </c>
    </row>
    <row r="513" spans="1:29" x14ac:dyDescent="0.25">
      <c r="A513" s="42"/>
      <c r="B513" s="34" t="s">
        <v>6</v>
      </c>
      <c r="C513" s="34"/>
      <c r="D513" s="35">
        <v>43584</v>
      </c>
      <c r="E513" s="34" t="s">
        <v>600</v>
      </c>
      <c r="F513" s="34" t="s">
        <v>579</v>
      </c>
      <c r="G513" s="34" t="s">
        <v>27</v>
      </c>
      <c r="H513" s="36">
        <v>-13.06</v>
      </c>
      <c r="I513" s="36">
        <f>IF(Log_2019[[#This Row],[My Category]]="NONTRACKED",0,Log_2019[[#This Row],[Raw Amount]])</f>
        <v>-13.06</v>
      </c>
      <c r="J513" s="37">
        <f>ABS(Log_2019[[#This Row],[Amount]])</f>
        <v>13.06</v>
      </c>
      <c r="K513" s="38">
        <v>1</v>
      </c>
      <c r="L513" s="38">
        <f ca="1">IF(Log_2019[[#This Row],[Date]]&lt;=TODAY(), MIN(Log_2019[[#This Row],[Split_raw]], TODAY()-Log_2019[[#This Row],[Date]]+1), 0)</f>
        <v>1</v>
      </c>
      <c r="M513" s="34" t="s">
        <v>53</v>
      </c>
      <c r="N513" s="34" t="s">
        <v>160</v>
      </c>
      <c r="O513" s="7">
        <v>0</v>
      </c>
      <c r="P513" s="52">
        <f ca="1">Log_2019[[#This Row],[Amount]]/Log_2019[[#This Row],[Split_raw]]*MAX(0,MIN(_xlfn.DAYS(EDATE(P$1,1),Log_2019[[#This Row],[Date]]),Log_2019[[#This Row],[Split_apply]])) - SUM($O513:O513)</f>
        <v>0</v>
      </c>
      <c r="Q513" s="52">
        <f ca="1">Log_2019[[#This Row],[Amount]]/Log_2019[[#This Row],[Split_raw]]*MAX(0,MIN(_xlfn.DAYS(EDATE(Q$1,1),Log_2019[[#This Row],[Date]]),Log_2019[[#This Row],[Split_apply]])) - SUM($O513:P513)</f>
        <v>0</v>
      </c>
      <c r="R513" s="52">
        <f ca="1">Log_2019[[#This Row],[Amount]]/Log_2019[[#This Row],[Split_raw]]*MAX(0,MIN(_xlfn.DAYS(EDATE(R$1,1),Log_2019[[#This Row],[Date]]),Log_2019[[#This Row],[Split_apply]])) - SUM($O513:Q513)</f>
        <v>0</v>
      </c>
      <c r="S513" s="52">
        <f ca="1">Log_2019[[#This Row],[Amount]]/Log_2019[[#This Row],[Split_raw]]*MAX(0,MIN(_xlfn.DAYS(EDATE(S$1,1),Log_2019[[#This Row],[Date]]),Log_2019[[#This Row],[Split_apply]])) - SUM($O513:R513)</f>
        <v>-13.06</v>
      </c>
      <c r="T513" s="52">
        <f ca="1">Log_2019[[#This Row],[Amount]]/Log_2019[[#This Row],[Split_raw]]*MAX(0,MIN(_xlfn.DAYS(EDATE(T$1,1),Log_2019[[#This Row],[Date]]),Log_2019[[#This Row],[Split_apply]])) - SUM($O513:S513)</f>
        <v>0</v>
      </c>
      <c r="U513" s="52">
        <f ca="1">Log_2019[[#This Row],[Amount]]/Log_2019[[#This Row],[Split_raw]]*MAX(0,MIN(_xlfn.DAYS(EDATE(U$1,1),Log_2019[[#This Row],[Date]]),Log_2019[[#This Row],[Split_apply]])) - SUM($O513:T513)</f>
        <v>0</v>
      </c>
      <c r="V513" s="52">
        <f ca="1">Log_2019[[#This Row],[Amount]]/Log_2019[[#This Row],[Split_raw]]*MAX(0,MIN(_xlfn.DAYS(EDATE(V$1,1),Log_2019[[#This Row],[Date]]),Log_2019[[#This Row],[Split_apply]])) - SUM($O513:U513)</f>
        <v>0</v>
      </c>
      <c r="W513" s="52">
        <f ca="1">Log_2019[[#This Row],[Amount]]/Log_2019[[#This Row],[Split_raw]]*MAX(0,MIN(_xlfn.DAYS(EDATE(W$1,1),Log_2019[[#This Row],[Date]]),Log_2019[[#This Row],[Split_apply]])) - SUM($O513:V513)</f>
        <v>0</v>
      </c>
      <c r="X513" s="52">
        <f ca="1">Log_2019[[#This Row],[Amount]]/Log_2019[[#This Row],[Split_raw]]*MAX(0,MIN(_xlfn.DAYS(EDATE(X$1,1),Log_2019[[#This Row],[Date]]),Log_2019[[#This Row],[Split_apply]])) - SUM($O513:W513)</f>
        <v>0</v>
      </c>
      <c r="Y513" s="52">
        <f ca="1">Log_2019[[#This Row],[Amount]]/Log_2019[[#This Row],[Split_raw]]*MAX(0,MIN(_xlfn.DAYS(EDATE(Y$1,1),Log_2019[[#This Row],[Date]]),Log_2019[[#This Row],[Split_apply]])) - SUM($O513:X513)</f>
        <v>0</v>
      </c>
      <c r="Z513" s="52">
        <f ca="1">Log_2019[[#This Row],[Amount]]/Log_2019[[#This Row],[Split_raw]]*MAX(0,MIN(_xlfn.DAYS(EDATE(Z$1,1),Log_2019[[#This Row],[Date]]),Log_2019[[#This Row],[Split_apply]])) - SUM($O513:Y513)</f>
        <v>0</v>
      </c>
      <c r="AA513" s="52">
        <f ca="1">Log_2019[[#This Row],[Amount]]/Log_2019[[#This Row],[Split_raw]]*MAX(0,MIN(_xlfn.DAYS(EDATE(AA$1,1),Log_2019[[#This Row],[Date]]),Log_2019[[#This Row],[Split_apply]])) - SUM($O513:Z513)</f>
        <v>0</v>
      </c>
      <c r="AB513" s="54">
        <f ca="1">Log_2019[[#This Row],[Amount]]-SUM(O513:AA513)</f>
        <v>0</v>
      </c>
      <c r="AC513" s="7">
        <f>MAX(0,Log_2019[[#This Row],[Split_raw]] - (EDATE(AA$1,1)-Log_2019[[#This Row],[Date]]))</f>
        <v>0</v>
      </c>
    </row>
    <row r="514" spans="1:29" x14ac:dyDescent="0.25">
      <c r="A514" s="42"/>
      <c r="B514" s="34" t="s">
        <v>6</v>
      </c>
      <c r="C514" s="34"/>
      <c r="D514" s="35">
        <v>43584</v>
      </c>
      <c r="E514" s="34" t="s">
        <v>604</v>
      </c>
      <c r="F514" s="34" t="s">
        <v>591</v>
      </c>
      <c r="G514" s="34" t="s">
        <v>27</v>
      </c>
      <c r="H514" s="36">
        <v>-476.77</v>
      </c>
      <c r="I514" s="36">
        <f>IF(Log_2019[[#This Row],[My Category]]="NONTRACKED",0,Log_2019[[#This Row],[Raw Amount]])</f>
        <v>-476.77</v>
      </c>
      <c r="J514" s="37">
        <f>ABS(Log_2019[[#This Row],[Amount]])</f>
        <v>476.77</v>
      </c>
      <c r="K514" s="38">
        <v>1</v>
      </c>
      <c r="L514" s="38">
        <f ca="1">IF(Log_2019[[#This Row],[Date]]&lt;=TODAY(), MIN(Log_2019[[#This Row],[Split_raw]], TODAY()-Log_2019[[#This Row],[Date]]+1), 0)</f>
        <v>1</v>
      </c>
      <c r="M514" s="34" t="s">
        <v>38</v>
      </c>
      <c r="N514" s="34" t="s">
        <v>158</v>
      </c>
      <c r="O514" s="7">
        <v>0</v>
      </c>
      <c r="P514" s="52">
        <f ca="1">Log_2019[[#This Row],[Amount]]/Log_2019[[#This Row],[Split_raw]]*MAX(0,MIN(_xlfn.DAYS(EDATE(P$1,1),Log_2019[[#This Row],[Date]]),Log_2019[[#This Row],[Split_apply]])) - SUM($O514:O514)</f>
        <v>0</v>
      </c>
      <c r="Q514" s="52">
        <f ca="1">Log_2019[[#This Row],[Amount]]/Log_2019[[#This Row],[Split_raw]]*MAX(0,MIN(_xlfn.DAYS(EDATE(Q$1,1),Log_2019[[#This Row],[Date]]),Log_2019[[#This Row],[Split_apply]])) - SUM($O514:P514)</f>
        <v>0</v>
      </c>
      <c r="R514" s="52">
        <f ca="1">Log_2019[[#This Row],[Amount]]/Log_2019[[#This Row],[Split_raw]]*MAX(0,MIN(_xlfn.DAYS(EDATE(R$1,1),Log_2019[[#This Row],[Date]]),Log_2019[[#This Row],[Split_apply]])) - SUM($O514:Q514)</f>
        <v>0</v>
      </c>
      <c r="S514" s="52">
        <f ca="1">Log_2019[[#This Row],[Amount]]/Log_2019[[#This Row],[Split_raw]]*MAX(0,MIN(_xlfn.DAYS(EDATE(S$1,1),Log_2019[[#This Row],[Date]]),Log_2019[[#This Row],[Split_apply]])) - SUM($O514:R514)</f>
        <v>-476.77</v>
      </c>
      <c r="T514" s="52">
        <f ca="1">Log_2019[[#This Row],[Amount]]/Log_2019[[#This Row],[Split_raw]]*MAX(0,MIN(_xlfn.DAYS(EDATE(T$1,1),Log_2019[[#This Row],[Date]]),Log_2019[[#This Row],[Split_apply]])) - SUM($O514:S514)</f>
        <v>0</v>
      </c>
      <c r="U514" s="52">
        <f ca="1">Log_2019[[#This Row],[Amount]]/Log_2019[[#This Row],[Split_raw]]*MAX(0,MIN(_xlfn.DAYS(EDATE(U$1,1),Log_2019[[#This Row],[Date]]),Log_2019[[#This Row],[Split_apply]])) - SUM($O514:T514)</f>
        <v>0</v>
      </c>
      <c r="V514" s="52">
        <f ca="1">Log_2019[[#This Row],[Amount]]/Log_2019[[#This Row],[Split_raw]]*MAX(0,MIN(_xlfn.DAYS(EDATE(V$1,1),Log_2019[[#This Row],[Date]]),Log_2019[[#This Row],[Split_apply]])) - SUM($O514:U514)</f>
        <v>0</v>
      </c>
      <c r="W514" s="52">
        <f ca="1">Log_2019[[#This Row],[Amount]]/Log_2019[[#This Row],[Split_raw]]*MAX(0,MIN(_xlfn.DAYS(EDATE(W$1,1),Log_2019[[#This Row],[Date]]),Log_2019[[#This Row],[Split_apply]])) - SUM($O514:V514)</f>
        <v>0</v>
      </c>
      <c r="X514" s="52">
        <f ca="1">Log_2019[[#This Row],[Amount]]/Log_2019[[#This Row],[Split_raw]]*MAX(0,MIN(_xlfn.DAYS(EDATE(X$1,1),Log_2019[[#This Row],[Date]]),Log_2019[[#This Row],[Split_apply]])) - SUM($O514:W514)</f>
        <v>0</v>
      </c>
      <c r="Y514" s="52">
        <f ca="1">Log_2019[[#This Row],[Amount]]/Log_2019[[#This Row],[Split_raw]]*MAX(0,MIN(_xlfn.DAYS(EDATE(Y$1,1),Log_2019[[#This Row],[Date]]),Log_2019[[#This Row],[Split_apply]])) - SUM($O514:X514)</f>
        <v>0</v>
      </c>
      <c r="Z514" s="52">
        <f ca="1">Log_2019[[#This Row],[Amount]]/Log_2019[[#This Row],[Split_raw]]*MAX(0,MIN(_xlfn.DAYS(EDATE(Z$1,1),Log_2019[[#This Row],[Date]]),Log_2019[[#This Row],[Split_apply]])) - SUM($O514:Y514)</f>
        <v>0</v>
      </c>
      <c r="AA514" s="52">
        <f ca="1">Log_2019[[#This Row],[Amount]]/Log_2019[[#This Row],[Split_raw]]*MAX(0,MIN(_xlfn.DAYS(EDATE(AA$1,1),Log_2019[[#This Row],[Date]]),Log_2019[[#This Row],[Split_apply]])) - SUM($O514:Z514)</f>
        <v>0</v>
      </c>
      <c r="AB514" s="54">
        <f ca="1">Log_2019[[#This Row],[Amount]]-SUM(O514:AA514)</f>
        <v>0</v>
      </c>
      <c r="AC514" s="7">
        <f>MAX(0,Log_2019[[#This Row],[Split_raw]] - (EDATE(AA$1,1)-Log_2019[[#This Row],[Date]]))</f>
        <v>0</v>
      </c>
    </row>
    <row r="515" spans="1:29" x14ac:dyDescent="0.25">
      <c r="A515" s="42"/>
      <c r="B515" s="34" t="s">
        <v>6</v>
      </c>
      <c r="C515" s="34"/>
      <c r="D515" s="35">
        <v>43584</v>
      </c>
      <c r="E515" s="34"/>
      <c r="F515" s="34" t="s">
        <v>592</v>
      </c>
      <c r="G515" s="34" t="s">
        <v>25</v>
      </c>
      <c r="H515" s="36">
        <v>-22.43</v>
      </c>
      <c r="I515" s="36">
        <f>IF(Log_2019[[#This Row],[My Category]]="NONTRACKED",0,Log_2019[[#This Row],[Raw Amount]])</f>
        <v>-22.43</v>
      </c>
      <c r="J515" s="37">
        <f>ABS(Log_2019[[#This Row],[Amount]])</f>
        <v>22.43</v>
      </c>
      <c r="K515" s="38">
        <v>1</v>
      </c>
      <c r="L515" s="38">
        <f ca="1">IF(Log_2019[[#This Row],[Date]]&lt;=TODAY(), MIN(Log_2019[[#This Row],[Split_raw]], TODAY()-Log_2019[[#This Row],[Date]]+1), 0)</f>
        <v>1</v>
      </c>
      <c r="M515" s="34" t="s">
        <v>35</v>
      </c>
      <c r="N515" s="34" t="s">
        <v>158</v>
      </c>
      <c r="O515" s="7">
        <v>0</v>
      </c>
      <c r="P515" s="52">
        <f ca="1">Log_2019[[#This Row],[Amount]]/Log_2019[[#This Row],[Split_raw]]*MAX(0,MIN(_xlfn.DAYS(EDATE(P$1,1),Log_2019[[#This Row],[Date]]),Log_2019[[#This Row],[Split_apply]])) - SUM($O515:O515)</f>
        <v>0</v>
      </c>
      <c r="Q515" s="52">
        <f ca="1">Log_2019[[#This Row],[Amount]]/Log_2019[[#This Row],[Split_raw]]*MAX(0,MIN(_xlfn.DAYS(EDATE(Q$1,1),Log_2019[[#This Row],[Date]]),Log_2019[[#This Row],[Split_apply]])) - SUM($O515:P515)</f>
        <v>0</v>
      </c>
      <c r="R515" s="52">
        <f ca="1">Log_2019[[#This Row],[Amount]]/Log_2019[[#This Row],[Split_raw]]*MAX(0,MIN(_xlfn.DAYS(EDATE(R$1,1),Log_2019[[#This Row],[Date]]),Log_2019[[#This Row],[Split_apply]])) - SUM($O515:Q515)</f>
        <v>0</v>
      </c>
      <c r="S515" s="52">
        <f ca="1">Log_2019[[#This Row],[Amount]]/Log_2019[[#This Row],[Split_raw]]*MAX(0,MIN(_xlfn.DAYS(EDATE(S$1,1),Log_2019[[#This Row],[Date]]),Log_2019[[#This Row],[Split_apply]])) - SUM($O515:R515)</f>
        <v>-22.43</v>
      </c>
      <c r="T515" s="52">
        <f ca="1">Log_2019[[#This Row],[Amount]]/Log_2019[[#This Row],[Split_raw]]*MAX(0,MIN(_xlfn.DAYS(EDATE(T$1,1),Log_2019[[#This Row],[Date]]),Log_2019[[#This Row],[Split_apply]])) - SUM($O515:S515)</f>
        <v>0</v>
      </c>
      <c r="U515" s="52">
        <f ca="1">Log_2019[[#This Row],[Amount]]/Log_2019[[#This Row],[Split_raw]]*MAX(0,MIN(_xlfn.DAYS(EDATE(U$1,1),Log_2019[[#This Row],[Date]]),Log_2019[[#This Row],[Split_apply]])) - SUM($O515:T515)</f>
        <v>0</v>
      </c>
      <c r="V515" s="52">
        <f ca="1">Log_2019[[#This Row],[Amount]]/Log_2019[[#This Row],[Split_raw]]*MAX(0,MIN(_xlfn.DAYS(EDATE(V$1,1),Log_2019[[#This Row],[Date]]),Log_2019[[#This Row],[Split_apply]])) - SUM($O515:U515)</f>
        <v>0</v>
      </c>
      <c r="W515" s="52">
        <f ca="1">Log_2019[[#This Row],[Amount]]/Log_2019[[#This Row],[Split_raw]]*MAX(0,MIN(_xlfn.DAYS(EDATE(W$1,1),Log_2019[[#This Row],[Date]]),Log_2019[[#This Row],[Split_apply]])) - SUM($O515:V515)</f>
        <v>0</v>
      </c>
      <c r="X515" s="52">
        <f ca="1">Log_2019[[#This Row],[Amount]]/Log_2019[[#This Row],[Split_raw]]*MAX(0,MIN(_xlfn.DAYS(EDATE(X$1,1),Log_2019[[#This Row],[Date]]),Log_2019[[#This Row],[Split_apply]])) - SUM($O515:W515)</f>
        <v>0</v>
      </c>
      <c r="Y515" s="52">
        <f ca="1">Log_2019[[#This Row],[Amount]]/Log_2019[[#This Row],[Split_raw]]*MAX(0,MIN(_xlfn.DAYS(EDATE(Y$1,1),Log_2019[[#This Row],[Date]]),Log_2019[[#This Row],[Split_apply]])) - SUM($O515:X515)</f>
        <v>0</v>
      </c>
      <c r="Z515" s="52">
        <f ca="1">Log_2019[[#This Row],[Amount]]/Log_2019[[#This Row],[Split_raw]]*MAX(0,MIN(_xlfn.DAYS(EDATE(Z$1,1),Log_2019[[#This Row],[Date]]),Log_2019[[#This Row],[Split_apply]])) - SUM($O515:Y515)</f>
        <v>0</v>
      </c>
      <c r="AA515" s="52">
        <f ca="1">Log_2019[[#This Row],[Amount]]/Log_2019[[#This Row],[Split_raw]]*MAX(0,MIN(_xlfn.DAYS(EDATE(AA$1,1),Log_2019[[#This Row],[Date]]),Log_2019[[#This Row],[Split_apply]])) - SUM($O515:Z515)</f>
        <v>0</v>
      </c>
      <c r="AB515" s="54">
        <f ca="1">Log_2019[[#This Row],[Amount]]-SUM(O515:AA515)</f>
        <v>0</v>
      </c>
      <c r="AC515" s="7">
        <f>MAX(0,Log_2019[[#This Row],[Split_raw]] - (EDATE(AA$1,1)-Log_2019[[#This Row],[Date]]))</f>
        <v>0</v>
      </c>
    </row>
    <row r="516" spans="1:29" x14ac:dyDescent="0.25">
      <c r="A516" s="42"/>
      <c r="B516" s="34" t="s">
        <v>6</v>
      </c>
      <c r="C516" s="34"/>
      <c r="D516" s="35">
        <v>43584</v>
      </c>
      <c r="E516" s="34"/>
      <c r="F516" s="34" t="s">
        <v>593</v>
      </c>
      <c r="G516" s="34" t="s">
        <v>12</v>
      </c>
      <c r="H516" s="36">
        <v>-11.72</v>
      </c>
      <c r="I516" s="36">
        <f>IF(Log_2019[[#This Row],[My Category]]="NONTRACKED",0,Log_2019[[#This Row],[Raw Amount]])</f>
        <v>-11.72</v>
      </c>
      <c r="J516" s="37">
        <f>ABS(Log_2019[[#This Row],[Amount]])</f>
        <v>11.72</v>
      </c>
      <c r="K516" s="38">
        <v>1</v>
      </c>
      <c r="L516" s="38">
        <f ca="1">IF(Log_2019[[#This Row],[Date]]&lt;=TODAY(), MIN(Log_2019[[#This Row],[Split_raw]], TODAY()-Log_2019[[#This Row],[Date]]+1), 0)</f>
        <v>1</v>
      </c>
      <c r="M516" t="s">
        <v>146</v>
      </c>
      <c r="N516" s="34" t="s">
        <v>158</v>
      </c>
      <c r="O516" s="7">
        <v>0</v>
      </c>
      <c r="P516" s="52">
        <f ca="1">Log_2019[[#This Row],[Amount]]/Log_2019[[#This Row],[Split_raw]]*MAX(0,MIN(_xlfn.DAYS(EDATE(P$1,1),Log_2019[[#This Row],[Date]]),Log_2019[[#This Row],[Split_apply]])) - SUM($O516:O516)</f>
        <v>0</v>
      </c>
      <c r="Q516" s="52">
        <f ca="1">Log_2019[[#This Row],[Amount]]/Log_2019[[#This Row],[Split_raw]]*MAX(0,MIN(_xlfn.DAYS(EDATE(Q$1,1),Log_2019[[#This Row],[Date]]),Log_2019[[#This Row],[Split_apply]])) - SUM($O516:P516)</f>
        <v>0</v>
      </c>
      <c r="R516" s="52">
        <f ca="1">Log_2019[[#This Row],[Amount]]/Log_2019[[#This Row],[Split_raw]]*MAX(0,MIN(_xlfn.DAYS(EDATE(R$1,1),Log_2019[[#This Row],[Date]]),Log_2019[[#This Row],[Split_apply]])) - SUM($O516:Q516)</f>
        <v>0</v>
      </c>
      <c r="S516" s="52">
        <f ca="1">Log_2019[[#This Row],[Amount]]/Log_2019[[#This Row],[Split_raw]]*MAX(0,MIN(_xlfn.DAYS(EDATE(S$1,1),Log_2019[[#This Row],[Date]]),Log_2019[[#This Row],[Split_apply]])) - SUM($O516:R516)</f>
        <v>-11.72</v>
      </c>
      <c r="T516" s="52">
        <f ca="1">Log_2019[[#This Row],[Amount]]/Log_2019[[#This Row],[Split_raw]]*MAX(0,MIN(_xlfn.DAYS(EDATE(T$1,1),Log_2019[[#This Row],[Date]]),Log_2019[[#This Row],[Split_apply]])) - SUM($O516:S516)</f>
        <v>0</v>
      </c>
      <c r="U516" s="52">
        <f ca="1">Log_2019[[#This Row],[Amount]]/Log_2019[[#This Row],[Split_raw]]*MAX(0,MIN(_xlfn.DAYS(EDATE(U$1,1),Log_2019[[#This Row],[Date]]),Log_2019[[#This Row],[Split_apply]])) - SUM($O516:T516)</f>
        <v>0</v>
      </c>
      <c r="V516" s="52">
        <f ca="1">Log_2019[[#This Row],[Amount]]/Log_2019[[#This Row],[Split_raw]]*MAX(0,MIN(_xlfn.DAYS(EDATE(V$1,1),Log_2019[[#This Row],[Date]]),Log_2019[[#This Row],[Split_apply]])) - SUM($O516:U516)</f>
        <v>0</v>
      </c>
      <c r="W516" s="52">
        <f ca="1">Log_2019[[#This Row],[Amount]]/Log_2019[[#This Row],[Split_raw]]*MAX(0,MIN(_xlfn.DAYS(EDATE(W$1,1),Log_2019[[#This Row],[Date]]),Log_2019[[#This Row],[Split_apply]])) - SUM($O516:V516)</f>
        <v>0</v>
      </c>
      <c r="X516" s="52">
        <f ca="1">Log_2019[[#This Row],[Amount]]/Log_2019[[#This Row],[Split_raw]]*MAX(0,MIN(_xlfn.DAYS(EDATE(X$1,1),Log_2019[[#This Row],[Date]]),Log_2019[[#This Row],[Split_apply]])) - SUM($O516:W516)</f>
        <v>0</v>
      </c>
      <c r="Y516" s="52">
        <f ca="1">Log_2019[[#This Row],[Amount]]/Log_2019[[#This Row],[Split_raw]]*MAX(0,MIN(_xlfn.DAYS(EDATE(Y$1,1),Log_2019[[#This Row],[Date]]),Log_2019[[#This Row],[Split_apply]])) - SUM($O516:X516)</f>
        <v>0</v>
      </c>
      <c r="Z516" s="52">
        <f ca="1">Log_2019[[#This Row],[Amount]]/Log_2019[[#This Row],[Split_raw]]*MAX(0,MIN(_xlfn.DAYS(EDATE(Z$1,1),Log_2019[[#This Row],[Date]]),Log_2019[[#This Row],[Split_apply]])) - SUM($O516:Y516)</f>
        <v>0</v>
      </c>
      <c r="AA516" s="52">
        <f ca="1">Log_2019[[#This Row],[Amount]]/Log_2019[[#This Row],[Split_raw]]*MAX(0,MIN(_xlfn.DAYS(EDATE(AA$1,1),Log_2019[[#This Row],[Date]]),Log_2019[[#This Row],[Split_apply]])) - SUM($O516:Z516)</f>
        <v>0</v>
      </c>
      <c r="AB516" s="54">
        <f ca="1">Log_2019[[#This Row],[Amount]]-SUM(O516:AA516)</f>
        <v>0</v>
      </c>
      <c r="AC516" s="7">
        <f>MAX(0,Log_2019[[#This Row],[Split_raw]] - (EDATE(AA$1,1)-Log_2019[[#This Row],[Date]]))</f>
        <v>0</v>
      </c>
    </row>
    <row r="517" spans="1:29" x14ac:dyDescent="0.25">
      <c r="A517" s="42"/>
      <c r="B517" s="34" t="s">
        <v>6</v>
      </c>
      <c r="C517" s="34"/>
      <c r="D517" s="35">
        <v>43584</v>
      </c>
      <c r="E517" s="34" t="s">
        <v>600</v>
      </c>
      <c r="F517" s="34" t="s">
        <v>579</v>
      </c>
      <c r="G517" s="34" t="s">
        <v>27</v>
      </c>
      <c r="H517" s="36">
        <v>-5.6</v>
      </c>
      <c r="I517" s="36">
        <f>IF(Log_2019[[#This Row],[My Category]]="NONTRACKED",0,Log_2019[[#This Row],[Raw Amount]])</f>
        <v>-5.6</v>
      </c>
      <c r="J517" s="37">
        <f>ABS(Log_2019[[#This Row],[Amount]])</f>
        <v>5.6</v>
      </c>
      <c r="K517" s="38">
        <v>1</v>
      </c>
      <c r="L517" s="38">
        <f ca="1">IF(Log_2019[[#This Row],[Date]]&lt;=TODAY(), MIN(Log_2019[[#This Row],[Split_raw]], TODAY()-Log_2019[[#This Row],[Date]]+1), 0)</f>
        <v>1</v>
      </c>
      <c r="M517" s="34" t="s">
        <v>53</v>
      </c>
      <c r="N517" s="34" t="s">
        <v>160</v>
      </c>
      <c r="O517" s="7">
        <v>0</v>
      </c>
      <c r="P517" s="52">
        <f ca="1">Log_2019[[#This Row],[Amount]]/Log_2019[[#This Row],[Split_raw]]*MAX(0,MIN(_xlfn.DAYS(EDATE(P$1,1),Log_2019[[#This Row],[Date]]),Log_2019[[#This Row],[Split_apply]])) - SUM($O517:O517)</f>
        <v>0</v>
      </c>
      <c r="Q517" s="52">
        <f ca="1">Log_2019[[#This Row],[Amount]]/Log_2019[[#This Row],[Split_raw]]*MAX(0,MIN(_xlfn.DAYS(EDATE(Q$1,1),Log_2019[[#This Row],[Date]]),Log_2019[[#This Row],[Split_apply]])) - SUM($O517:P517)</f>
        <v>0</v>
      </c>
      <c r="R517" s="52">
        <f ca="1">Log_2019[[#This Row],[Amount]]/Log_2019[[#This Row],[Split_raw]]*MAX(0,MIN(_xlfn.DAYS(EDATE(R$1,1),Log_2019[[#This Row],[Date]]),Log_2019[[#This Row],[Split_apply]])) - SUM($O517:Q517)</f>
        <v>0</v>
      </c>
      <c r="S517" s="52">
        <f ca="1">Log_2019[[#This Row],[Amount]]/Log_2019[[#This Row],[Split_raw]]*MAX(0,MIN(_xlfn.DAYS(EDATE(S$1,1),Log_2019[[#This Row],[Date]]),Log_2019[[#This Row],[Split_apply]])) - SUM($O517:R517)</f>
        <v>-5.6</v>
      </c>
      <c r="T517" s="52">
        <f ca="1">Log_2019[[#This Row],[Amount]]/Log_2019[[#This Row],[Split_raw]]*MAX(0,MIN(_xlfn.DAYS(EDATE(T$1,1),Log_2019[[#This Row],[Date]]),Log_2019[[#This Row],[Split_apply]])) - SUM($O517:S517)</f>
        <v>0</v>
      </c>
      <c r="U517" s="52">
        <f ca="1">Log_2019[[#This Row],[Amount]]/Log_2019[[#This Row],[Split_raw]]*MAX(0,MIN(_xlfn.DAYS(EDATE(U$1,1),Log_2019[[#This Row],[Date]]),Log_2019[[#This Row],[Split_apply]])) - SUM($O517:T517)</f>
        <v>0</v>
      </c>
      <c r="V517" s="52">
        <f ca="1">Log_2019[[#This Row],[Amount]]/Log_2019[[#This Row],[Split_raw]]*MAX(0,MIN(_xlfn.DAYS(EDATE(V$1,1),Log_2019[[#This Row],[Date]]),Log_2019[[#This Row],[Split_apply]])) - SUM($O517:U517)</f>
        <v>0</v>
      </c>
      <c r="W517" s="52">
        <f ca="1">Log_2019[[#This Row],[Amount]]/Log_2019[[#This Row],[Split_raw]]*MAX(0,MIN(_xlfn.DAYS(EDATE(W$1,1),Log_2019[[#This Row],[Date]]),Log_2019[[#This Row],[Split_apply]])) - SUM($O517:V517)</f>
        <v>0</v>
      </c>
      <c r="X517" s="52">
        <f ca="1">Log_2019[[#This Row],[Amount]]/Log_2019[[#This Row],[Split_raw]]*MAX(0,MIN(_xlfn.DAYS(EDATE(X$1,1),Log_2019[[#This Row],[Date]]),Log_2019[[#This Row],[Split_apply]])) - SUM($O517:W517)</f>
        <v>0</v>
      </c>
      <c r="Y517" s="52">
        <f ca="1">Log_2019[[#This Row],[Amount]]/Log_2019[[#This Row],[Split_raw]]*MAX(0,MIN(_xlfn.DAYS(EDATE(Y$1,1),Log_2019[[#This Row],[Date]]),Log_2019[[#This Row],[Split_apply]])) - SUM($O517:X517)</f>
        <v>0</v>
      </c>
      <c r="Z517" s="52">
        <f ca="1">Log_2019[[#This Row],[Amount]]/Log_2019[[#This Row],[Split_raw]]*MAX(0,MIN(_xlfn.DAYS(EDATE(Z$1,1),Log_2019[[#This Row],[Date]]),Log_2019[[#This Row],[Split_apply]])) - SUM($O517:Y517)</f>
        <v>0</v>
      </c>
      <c r="AA517" s="52">
        <f ca="1">Log_2019[[#This Row],[Amount]]/Log_2019[[#This Row],[Split_raw]]*MAX(0,MIN(_xlfn.DAYS(EDATE(AA$1,1),Log_2019[[#This Row],[Date]]),Log_2019[[#This Row],[Split_apply]])) - SUM($O517:Z517)</f>
        <v>0</v>
      </c>
      <c r="AB517" s="54">
        <f ca="1">Log_2019[[#This Row],[Amount]]-SUM(O517:AA517)</f>
        <v>0</v>
      </c>
      <c r="AC517" s="7">
        <f>MAX(0,Log_2019[[#This Row],[Split_raw]] - (EDATE(AA$1,1)-Log_2019[[#This Row],[Date]]))</f>
        <v>0</v>
      </c>
    </row>
    <row r="518" spans="1:29" x14ac:dyDescent="0.25">
      <c r="A518" s="42"/>
      <c r="B518" s="34" t="s">
        <v>6</v>
      </c>
      <c r="C518" s="34"/>
      <c r="D518" s="35">
        <v>43582</v>
      </c>
      <c r="E518" s="34" t="s">
        <v>1042</v>
      </c>
      <c r="F518" s="34" t="s">
        <v>605</v>
      </c>
      <c r="G518" s="34" t="s">
        <v>87</v>
      </c>
      <c r="H518" s="36">
        <f>--729.25</f>
        <v>729.25</v>
      </c>
      <c r="I518" s="36">
        <f>IF(Log_2019[[#This Row],[My Category]]="NONTRACKED",0,Log_2019[[#This Row],[Raw Amount]])</f>
        <v>729.25</v>
      </c>
      <c r="J518" s="37">
        <f>ABS(Log_2019[[#This Row],[Amount]])</f>
        <v>729.25</v>
      </c>
      <c r="K518" s="38">
        <v>5</v>
      </c>
      <c r="L518" s="38">
        <f ca="1">IF(Log_2019[[#This Row],[Date]]&lt;=TODAY(), MIN(Log_2019[[#This Row],[Split_raw]], TODAY()-Log_2019[[#This Row],[Date]]+1), 0)</f>
        <v>5</v>
      </c>
      <c r="M518" s="34" t="s">
        <v>38</v>
      </c>
      <c r="N518" s="34" t="s">
        <v>160</v>
      </c>
      <c r="O518" s="7">
        <v>0</v>
      </c>
      <c r="P518" s="52">
        <f ca="1">Log_2019[[#This Row],[Amount]]/Log_2019[[#This Row],[Split_raw]]*MAX(0,MIN(_xlfn.DAYS(EDATE(P$1,1),Log_2019[[#This Row],[Date]]),Log_2019[[#This Row],[Split_apply]])) - SUM($O518:O518)</f>
        <v>0</v>
      </c>
      <c r="Q518" s="52">
        <f ca="1">Log_2019[[#This Row],[Amount]]/Log_2019[[#This Row],[Split_raw]]*MAX(0,MIN(_xlfn.DAYS(EDATE(Q$1,1),Log_2019[[#This Row],[Date]]),Log_2019[[#This Row],[Split_apply]])) - SUM($O518:P518)</f>
        <v>0</v>
      </c>
      <c r="R518" s="52">
        <f ca="1">Log_2019[[#This Row],[Amount]]/Log_2019[[#This Row],[Split_raw]]*MAX(0,MIN(_xlfn.DAYS(EDATE(R$1,1),Log_2019[[#This Row],[Date]]),Log_2019[[#This Row],[Split_apply]])) - SUM($O518:Q518)</f>
        <v>0</v>
      </c>
      <c r="S518" s="52">
        <f ca="1">Log_2019[[#This Row],[Amount]]/Log_2019[[#This Row],[Split_raw]]*MAX(0,MIN(_xlfn.DAYS(EDATE(S$1,1),Log_2019[[#This Row],[Date]]),Log_2019[[#This Row],[Split_apply]])) - SUM($O518:R518)</f>
        <v>583.4</v>
      </c>
      <c r="T518" s="52">
        <f ca="1">Log_2019[[#This Row],[Amount]]/Log_2019[[#This Row],[Split_raw]]*MAX(0,MIN(_xlfn.DAYS(EDATE(T$1,1),Log_2019[[#This Row],[Date]]),Log_2019[[#This Row],[Split_apply]])) - SUM($O518:S518)</f>
        <v>145.85000000000002</v>
      </c>
      <c r="U518" s="52">
        <f ca="1">Log_2019[[#This Row],[Amount]]/Log_2019[[#This Row],[Split_raw]]*MAX(0,MIN(_xlfn.DAYS(EDATE(U$1,1),Log_2019[[#This Row],[Date]]),Log_2019[[#This Row],[Split_apply]])) - SUM($O518:T518)</f>
        <v>0</v>
      </c>
      <c r="V518" s="52">
        <f ca="1">Log_2019[[#This Row],[Amount]]/Log_2019[[#This Row],[Split_raw]]*MAX(0,MIN(_xlfn.DAYS(EDATE(V$1,1),Log_2019[[#This Row],[Date]]),Log_2019[[#This Row],[Split_apply]])) - SUM($O518:U518)</f>
        <v>0</v>
      </c>
      <c r="W518" s="52">
        <f ca="1">Log_2019[[#This Row],[Amount]]/Log_2019[[#This Row],[Split_raw]]*MAX(0,MIN(_xlfn.DAYS(EDATE(W$1,1),Log_2019[[#This Row],[Date]]),Log_2019[[#This Row],[Split_apply]])) - SUM($O518:V518)</f>
        <v>0</v>
      </c>
      <c r="X518" s="52">
        <f ca="1">Log_2019[[#This Row],[Amount]]/Log_2019[[#This Row],[Split_raw]]*MAX(0,MIN(_xlfn.DAYS(EDATE(X$1,1),Log_2019[[#This Row],[Date]]),Log_2019[[#This Row],[Split_apply]])) - SUM($O518:W518)</f>
        <v>0</v>
      </c>
      <c r="Y518" s="52">
        <f ca="1">Log_2019[[#This Row],[Amount]]/Log_2019[[#This Row],[Split_raw]]*MAX(0,MIN(_xlfn.DAYS(EDATE(Y$1,1),Log_2019[[#This Row],[Date]]),Log_2019[[#This Row],[Split_apply]])) - SUM($O518:X518)</f>
        <v>0</v>
      </c>
      <c r="Z518" s="52">
        <f ca="1">Log_2019[[#This Row],[Amount]]/Log_2019[[#This Row],[Split_raw]]*MAX(0,MIN(_xlfn.DAYS(EDATE(Z$1,1),Log_2019[[#This Row],[Date]]),Log_2019[[#This Row],[Split_apply]])) - SUM($O518:Y518)</f>
        <v>0</v>
      </c>
      <c r="AA518" s="52">
        <f ca="1">Log_2019[[#This Row],[Amount]]/Log_2019[[#This Row],[Split_raw]]*MAX(0,MIN(_xlfn.DAYS(EDATE(AA$1,1),Log_2019[[#This Row],[Date]]),Log_2019[[#This Row],[Split_apply]])) - SUM($O518:Z518)</f>
        <v>0</v>
      </c>
      <c r="AB518" s="54">
        <f ca="1">Log_2019[[#This Row],[Amount]]-SUM(O518:AA518)</f>
        <v>0</v>
      </c>
      <c r="AC518" s="7">
        <f>MAX(0,Log_2019[[#This Row],[Split_raw]] - (EDATE(AA$1,1)-Log_2019[[#This Row],[Date]]))</f>
        <v>0</v>
      </c>
    </row>
    <row r="519" spans="1:29" x14ac:dyDescent="0.25">
      <c r="A519" s="42"/>
      <c r="B519" s="34" t="s">
        <v>6</v>
      </c>
      <c r="C519" s="34"/>
      <c r="D519" s="35">
        <v>43582</v>
      </c>
      <c r="E519" s="34" t="s">
        <v>603</v>
      </c>
      <c r="F519" s="34" t="s">
        <v>594</v>
      </c>
      <c r="G519" s="34" t="s">
        <v>27</v>
      </c>
      <c r="H519" s="36">
        <v>-119</v>
      </c>
      <c r="I519" s="36">
        <f>IF(Log_2019[[#This Row],[My Category]]="NONTRACKED",0,Log_2019[[#This Row],[Raw Amount]])</f>
        <v>-119</v>
      </c>
      <c r="J519" s="37">
        <f>ABS(Log_2019[[#This Row],[Amount]])</f>
        <v>119</v>
      </c>
      <c r="K519" s="38">
        <v>1</v>
      </c>
      <c r="L519" s="38">
        <f ca="1">IF(Log_2019[[#This Row],[Date]]&lt;=TODAY(), MIN(Log_2019[[#This Row],[Split_raw]], TODAY()-Log_2019[[#This Row],[Date]]+1), 0)</f>
        <v>1</v>
      </c>
      <c r="M519" s="34" t="s">
        <v>38</v>
      </c>
      <c r="N519" s="34" t="s">
        <v>158</v>
      </c>
      <c r="O519" s="7">
        <v>0</v>
      </c>
      <c r="P519" s="52">
        <f ca="1">Log_2019[[#This Row],[Amount]]/Log_2019[[#This Row],[Split_raw]]*MAX(0,MIN(_xlfn.DAYS(EDATE(P$1,1),Log_2019[[#This Row],[Date]]),Log_2019[[#This Row],[Split_apply]])) - SUM($O519:O519)</f>
        <v>0</v>
      </c>
      <c r="Q519" s="52">
        <f ca="1">Log_2019[[#This Row],[Amount]]/Log_2019[[#This Row],[Split_raw]]*MAX(0,MIN(_xlfn.DAYS(EDATE(Q$1,1),Log_2019[[#This Row],[Date]]),Log_2019[[#This Row],[Split_apply]])) - SUM($O519:P519)</f>
        <v>0</v>
      </c>
      <c r="R519" s="52">
        <f ca="1">Log_2019[[#This Row],[Amount]]/Log_2019[[#This Row],[Split_raw]]*MAX(0,MIN(_xlfn.DAYS(EDATE(R$1,1),Log_2019[[#This Row],[Date]]),Log_2019[[#This Row],[Split_apply]])) - SUM($O519:Q519)</f>
        <v>0</v>
      </c>
      <c r="S519" s="52">
        <f ca="1">Log_2019[[#This Row],[Amount]]/Log_2019[[#This Row],[Split_raw]]*MAX(0,MIN(_xlfn.DAYS(EDATE(S$1,1),Log_2019[[#This Row],[Date]]),Log_2019[[#This Row],[Split_apply]])) - SUM($O519:R519)</f>
        <v>-119</v>
      </c>
      <c r="T519" s="52">
        <f ca="1">Log_2019[[#This Row],[Amount]]/Log_2019[[#This Row],[Split_raw]]*MAX(0,MIN(_xlfn.DAYS(EDATE(T$1,1),Log_2019[[#This Row],[Date]]),Log_2019[[#This Row],[Split_apply]])) - SUM($O519:S519)</f>
        <v>0</v>
      </c>
      <c r="U519" s="52">
        <f ca="1">Log_2019[[#This Row],[Amount]]/Log_2019[[#This Row],[Split_raw]]*MAX(0,MIN(_xlfn.DAYS(EDATE(U$1,1),Log_2019[[#This Row],[Date]]),Log_2019[[#This Row],[Split_apply]])) - SUM($O519:T519)</f>
        <v>0</v>
      </c>
      <c r="V519" s="52">
        <f ca="1">Log_2019[[#This Row],[Amount]]/Log_2019[[#This Row],[Split_raw]]*MAX(0,MIN(_xlfn.DAYS(EDATE(V$1,1),Log_2019[[#This Row],[Date]]),Log_2019[[#This Row],[Split_apply]])) - SUM($O519:U519)</f>
        <v>0</v>
      </c>
      <c r="W519" s="52">
        <f ca="1">Log_2019[[#This Row],[Amount]]/Log_2019[[#This Row],[Split_raw]]*MAX(0,MIN(_xlfn.DAYS(EDATE(W$1,1),Log_2019[[#This Row],[Date]]),Log_2019[[#This Row],[Split_apply]])) - SUM($O519:V519)</f>
        <v>0</v>
      </c>
      <c r="X519" s="52">
        <f ca="1">Log_2019[[#This Row],[Amount]]/Log_2019[[#This Row],[Split_raw]]*MAX(0,MIN(_xlfn.DAYS(EDATE(X$1,1),Log_2019[[#This Row],[Date]]),Log_2019[[#This Row],[Split_apply]])) - SUM($O519:W519)</f>
        <v>0</v>
      </c>
      <c r="Y519" s="52">
        <f ca="1">Log_2019[[#This Row],[Amount]]/Log_2019[[#This Row],[Split_raw]]*MAX(0,MIN(_xlfn.DAYS(EDATE(Y$1,1),Log_2019[[#This Row],[Date]]),Log_2019[[#This Row],[Split_apply]])) - SUM($O519:X519)</f>
        <v>0</v>
      </c>
      <c r="Z519" s="52">
        <f ca="1">Log_2019[[#This Row],[Amount]]/Log_2019[[#This Row],[Split_raw]]*MAX(0,MIN(_xlfn.DAYS(EDATE(Z$1,1),Log_2019[[#This Row],[Date]]),Log_2019[[#This Row],[Split_apply]])) - SUM($O519:Y519)</f>
        <v>0</v>
      </c>
      <c r="AA519" s="52">
        <f ca="1">Log_2019[[#This Row],[Amount]]/Log_2019[[#This Row],[Split_raw]]*MAX(0,MIN(_xlfn.DAYS(EDATE(AA$1,1),Log_2019[[#This Row],[Date]]),Log_2019[[#This Row],[Split_apply]])) - SUM($O519:Z519)</f>
        <v>0</v>
      </c>
      <c r="AB519" s="54">
        <f ca="1">Log_2019[[#This Row],[Amount]]-SUM(O519:AA519)</f>
        <v>0</v>
      </c>
      <c r="AC519" s="7">
        <f>MAX(0,Log_2019[[#This Row],[Split_raw]] - (EDATE(AA$1,1)-Log_2019[[#This Row],[Date]]))</f>
        <v>0</v>
      </c>
    </row>
    <row r="520" spans="1:29" x14ac:dyDescent="0.25">
      <c r="A520" s="42"/>
      <c r="B520" s="34" t="s">
        <v>6</v>
      </c>
      <c r="C520" s="34"/>
      <c r="D520" s="35">
        <v>43582</v>
      </c>
      <c r="E520" s="34"/>
      <c r="F520" s="34" t="s">
        <v>555</v>
      </c>
      <c r="G520" s="34" t="s">
        <v>25</v>
      </c>
      <c r="H520" s="36">
        <v>-9.5399999999999991</v>
      </c>
      <c r="I520" s="36">
        <f>IF(Log_2019[[#This Row],[My Category]]="NONTRACKED",0,Log_2019[[#This Row],[Raw Amount]])</f>
        <v>-9.5399999999999991</v>
      </c>
      <c r="J520" s="37">
        <f>ABS(Log_2019[[#This Row],[Amount]])</f>
        <v>9.5399999999999991</v>
      </c>
      <c r="K520" s="38">
        <v>1</v>
      </c>
      <c r="L520" s="38">
        <f ca="1">IF(Log_2019[[#This Row],[Date]]&lt;=TODAY(), MIN(Log_2019[[#This Row],[Split_raw]], TODAY()-Log_2019[[#This Row],[Date]]+1), 0)</f>
        <v>1</v>
      </c>
      <c r="M520" s="34" t="s">
        <v>35</v>
      </c>
      <c r="N520" s="34" t="s">
        <v>158</v>
      </c>
      <c r="O520" s="7">
        <v>0</v>
      </c>
      <c r="P520" s="52">
        <f ca="1">Log_2019[[#This Row],[Amount]]/Log_2019[[#This Row],[Split_raw]]*MAX(0,MIN(_xlfn.DAYS(EDATE(P$1,1),Log_2019[[#This Row],[Date]]),Log_2019[[#This Row],[Split_apply]])) - SUM($O520:O520)</f>
        <v>0</v>
      </c>
      <c r="Q520" s="52">
        <f ca="1">Log_2019[[#This Row],[Amount]]/Log_2019[[#This Row],[Split_raw]]*MAX(0,MIN(_xlfn.DAYS(EDATE(Q$1,1),Log_2019[[#This Row],[Date]]),Log_2019[[#This Row],[Split_apply]])) - SUM($O520:P520)</f>
        <v>0</v>
      </c>
      <c r="R520" s="52">
        <f ca="1">Log_2019[[#This Row],[Amount]]/Log_2019[[#This Row],[Split_raw]]*MAX(0,MIN(_xlfn.DAYS(EDATE(R$1,1),Log_2019[[#This Row],[Date]]),Log_2019[[#This Row],[Split_apply]])) - SUM($O520:Q520)</f>
        <v>0</v>
      </c>
      <c r="S520" s="52">
        <f ca="1">Log_2019[[#This Row],[Amount]]/Log_2019[[#This Row],[Split_raw]]*MAX(0,MIN(_xlfn.DAYS(EDATE(S$1,1),Log_2019[[#This Row],[Date]]),Log_2019[[#This Row],[Split_apply]])) - SUM($O520:R520)</f>
        <v>-9.5399999999999991</v>
      </c>
      <c r="T520" s="52">
        <f ca="1">Log_2019[[#This Row],[Amount]]/Log_2019[[#This Row],[Split_raw]]*MAX(0,MIN(_xlfn.DAYS(EDATE(T$1,1),Log_2019[[#This Row],[Date]]),Log_2019[[#This Row],[Split_apply]])) - SUM($O520:S520)</f>
        <v>0</v>
      </c>
      <c r="U520" s="52">
        <f ca="1">Log_2019[[#This Row],[Amount]]/Log_2019[[#This Row],[Split_raw]]*MAX(0,MIN(_xlfn.DAYS(EDATE(U$1,1),Log_2019[[#This Row],[Date]]),Log_2019[[#This Row],[Split_apply]])) - SUM($O520:T520)</f>
        <v>0</v>
      </c>
      <c r="V520" s="52">
        <f ca="1">Log_2019[[#This Row],[Amount]]/Log_2019[[#This Row],[Split_raw]]*MAX(0,MIN(_xlfn.DAYS(EDATE(V$1,1),Log_2019[[#This Row],[Date]]),Log_2019[[#This Row],[Split_apply]])) - SUM($O520:U520)</f>
        <v>0</v>
      </c>
      <c r="W520" s="52">
        <f ca="1">Log_2019[[#This Row],[Amount]]/Log_2019[[#This Row],[Split_raw]]*MAX(0,MIN(_xlfn.DAYS(EDATE(W$1,1),Log_2019[[#This Row],[Date]]),Log_2019[[#This Row],[Split_apply]])) - SUM($O520:V520)</f>
        <v>0</v>
      </c>
      <c r="X520" s="52">
        <f ca="1">Log_2019[[#This Row],[Amount]]/Log_2019[[#This Row],[Split_raw]]*MAX(0,MIN(_xlfn.DAYS(EDATE(X$1,1),Log_2019[[#This Row],[Date]]),Log_2019[[#This Row],[Split_apply]])) - SUM($O520:W520)</f>
        <v>0</v>
      </c>
      <c r="Y520" s="52">
        <f ca="1">Log_2019[[#This Row],[Amount]]/Log_2019[[#This Row],[Split_raw]]*MAX(0,MIN(_xlfn.DAYS(EDATE(Y$1,1),Log_2019[[#This Row],[Date]]),Log_2019[[#This Row],[Split_apply]])) - SUM($O520:X520)</f>
        <v>0</v>
      </c>
      <c r="Z520" s="52">
        <f ca="1">Log_2019[[#This Row],[Amount]]/Log_2019[[#This Row],[Split_raw]]*MAX(0,MIN(_xlfn.DAYS(EDATE(Z$1,1),Log_2019[[#This Row],[Date]]),Log_2019[[#This Row],[Split_apply]])) - SUM($O520:Y520)</f>
        <v>0</v>
      </c>
      <c r="AA520" s="52">
        <f ca="1">Log_2019[[#This Row],[Amount]]/Log_2019[[#This Row],[Split_raw]]*MAX(0,MIN(_xlfn.DAYS(EDATE(AA$1,1),Log_2019[[#This Row],[Date]]),Log_2019[[#This Row],[Split_apply]])) - SUM($O520:Z520)</f>
        <v>0</v>
      </c>
      <c r="AB520" s="54">
        <f ca="1">Log_2019[[#This Row],[Amount]]-SUM(O520:AA520)</f>
        <v>0</v>
      </c>
      <c r="AC520" s="7">
        <f>MAX(0,Log_2019[[#This Row],[Split_raw]] - (EDATE(AA$1,1)-Log_2019[[#This Row],[Date]]))</f>
        <v>0</v>
      </c>
    </row>
    <row r="521" spans="1:29" x14ac:dyDescent="0.25">
      <c r="A521" s="42"/>
      <c r="B521" s="34" t="s">
        <v>490</v>
      </c>
      <c r="C521" s="34">
        <v>2.7307629795858099E+18</v>
      </c>
      <c r="D521" s="41">
        <v>43581</v>
      </c>
      <c r="E521" s="34"/>
      <c r="F521" s="34" t="s">
        <v>721</v>
      </c>
      <c r="G521" s="34"/>
      <c r="H521" s="45">
        <v>-11</v>
      </c>
      <c r="I521" s="36">
        <f>IF(Log_2019[[#This Row],[My Category]]="NONTRACKED",0,Log_2019[[#This Row],[Raw Amount]])</f>
        <v>-11</v>
      </c>
      <c r="J521" s="37">
        <f>ABS(Log_2019[[#This Row],[Amount]])</f>
        <v>11</v>
      </c>
      <c r="K521" s="38">
        <v>1</v>
      </c>
      <c r="L521" s="38">
        <f ca="1">IF(Log_2019[[#This Row],[Date]]&lt;=TODAY(), MIN(Log_2019[[#This Row],[Split_raw]], TODAY()-Log_2019[[#This Row],[Date]]+1), 0)</f>
        <v>1</v>
      </c>
      <c r="M521" s="34" t="s">
        <v>35</v>
      </c>
      <c r="N521" s="34" t="s">
        <v>490</v>
      </c>
      <c r="O521" s="7">
        <v>0</v>
      </c>
      <c r="P521" s="52">
        <f ca="1">Log_2019[[#This Row],[Amount]]/Log_2019[[#This Row],[Split_raw]]*MAX(0,MIN(_xlfn.DAYS(EDATE(P$1,1),Log_2019[[#This Row],[Date]]),Log_2019[[#This Row],[Split_apply]])) - SUM($O521:O521)</f>
        <v>0</v>
      </c>
      <c r="Q521" s="52">
        <f ca="1">Log_2019[[#This Row],[Amount]]/Log_2019[[#This Row],[Split_raw]]*MAX(0,MIN(_xlfn.DAYS(EDATE(Q$1,1),Log_2019[[#This Row],[Date]]),Log_2019[[#This Row],[Split_apply]])) - SUM($O521:P521)</f>
        <v>0</v>
      </c>
      <c r="R521" s="52">
        <f ca="1">Log_2019[[#This Row],[Amount]]/Log_2019[[#This Row],[Split_raw]]*MAX(0,MIN(_xlfn.DAYS(EDATE(R$1,1),Log_2019[[#This Row],[Date]]),Log_2019[[#This Row],[Split_apply]])) - SUM($O521:Q521)</f>
        <v>0</v>
      </c>
      <c r="S521" s="52">
        <f ca="1">Log_2019[[#This Row],[Amount]]/Log_2019[[#This Row],[Split_raw]]*MAX(0,MIN(_xlfn.DAYS(EDATE(S$1,1),Log_2019[[#This Row],[Date]]),Log_2019[[#This Row],[Split_apply]])) - SUM($O521:R521)</f>
        <v>-11</v>
      </c>
      <c r="T521" s="52">
        <f ca="1">Log_2019[[#This Row],[Amount]]/Log_2019[[#This Row],[Split_raw]]*MAX(0,MIN(_xlfn.DAYS(EDATE(T$1,1),Log_2019[[#This Row],[Date]]),Log_2019[[#This Row],[Split_apply]])) - SUM($O521:S521)</f>
        <v>0</v>
      </c>
      <c r="U521" s="52">
        <f ca="1">Log_2019[[#This Row],[Amount]]/Log_2019[[#This Row],[Split_raw]]*MAX(0,MIN(_xlfn.DAYS(EDATE(U$1,1),Log_2019[[#This Row],[Date]]),Log_2019[[#This Row],[Split_apply]])) - SUM($O521:T521)</f>
        <v>0</v>
      </c>
      <c r="V521" s="52">
        <f ca="1">Log_2019[[#This Row],[Amount]]/Log_2019[[#This Row],[Split_raw]]*MAX(0,MIN(_xlfn.DAYS(EDATE(V$1,1),Log_2019[[#This Row],[Date]]),Log_2019[[#This Row],[Split_apply]])) - SUM($O521:U521)</f>
        <v>0</v>
      </c>
      <c r="W521" s="52">
        <f ca="1">Log_2019[[#This Row],[Amount]]/Log_2019[[#This Row],[Split_raw]]*MAX(0,MIN(_xlfn.DAYS(EDATE(W$1,1),Log_2019[[#This Row],[Date]]),Log_2019[[#This Row],[Split_apply]])) - SUM($O521:V521)</f>
        <v>0</v>
      </c>
      <c r="X521" s="52">
        <f ca="1">Log_2019[[#This Row],[Amount]]/Log_2019[[#This Row],[Split_raw]]*MAX(0,MIN(_xlfn.DAYS(EDATE(X$1,1),Log_2019[[#This Row],[Date]]),Log_2019[[#This Row],[Split_apply]])) - SUM($O521:W521)</f>
        <v>0</v>
      </c>
      <c r="Y521" s="52">
        <f ca="1">Log_2019[[#This Row],[Amount]]/Log_2019[[#This Row],[Split_raw]]*MAX(0,MIN(_xlfn.DAYS(EDATE(Y$1,1),Log_2019[[#This Row],[Date]]),Log_2019[[#This Row],[Split_apply]])) - SUM($O521:X521)</f>
        <v>0</v>
      </c>
      <c r="Z521" s="52">
        <f ca="1">Log_2019[[#This Row],[Amount]]/Log_2019[[#This Row],[Split_raw]]*MAX(0,MIN(_xlfn.DAYS(EDATE(Z$1,1),Log_2019[[#This Row],[Date]]),Log_2019[[#This Row],[Split_apply]])) - SUM($O521:Y521)</f>
        <v>0</v>
      </c>
      <c r="AA521" s="52">
        <f ca="1">Log_2019[[#This Row],[Amount]]/Log_2019[[#This Row],[Split_raw]]*MAX(0,MIN(_xlfn.DAYS(EDATE(AA$1,1),Log_2019[[#This Row],[Date]]),Log_2019[[#This Row],[Split_apply]])) - SUM($O521:Z521)</f>
        <v>0</v>
      </c>
      <c r="AB521" s="54">
        <f ca="1">Log_2019[[#This Row],[Amount]]-SUM(O521:AA521)</f>
        <v>0</v>
      </c>
      <c r="AC521" s="7">
        <f>MAX(0,Log_2019[[#This Row],[Split_raw]] - (EDATE(AA$1,1)-Log_2019[[#This Row],[Date]]))</f>
        <v>0</v>
      </c>
    </row>
    <row r="522" spans="1:29" x14ac:dyDescent="0.25">
      <c r="A522" s="42"/>
      <c r="B522" s="34" t="s">
        <v>6</v>
      </c>
      <c r="C522" s="34"/>
      <c r="D522" s="35">
        <v>43580</v>
      </c>
      <c r="E522" s="34"/>
      <c r="F522" s="34" t="s">
        <v>255</v>
      </c>
      <c r="G522" s="34" t="s">
        <v>25</v>
      </c>
      <c r="H522" s="36">
        <v>-26.82</v>
      </c>
      <c r="I522" s="36">
        <f>IF(Log_2019[[#This Row],[My Category]]="NONTRACKED",0,Log_2019[[#This Row],[Raw Amount]])</f>
        <v>-26.82</v>
      </c>
      <c r="J522" s="37">
        <f>ABS(Log_2019[[#This Row],[Amount]])</f>
        <v>26.82</v>
      </c>
      <c r="K522" s="38">
        <v>1</v>
      </c>
      <c r="L522" s="38">
        <f ca="1">IF(Log_2019[[#This Row],[Date]]&lt;=TODAY(), MIN(Log_2019[[#This Row],[Split_raw]], TODAY()-Log_2019[[#This Row],[Date]]+1), 0)</f>
        <v>1</v>
      </c>
      <c r="M522" s="34" t="s">
        <v>52</v>
      </c>
      <c r="N522" s="34" t="s">
        <v>158</v>
      </c>
      <c r="O522" s="7">
        <v>0</v>
      </c>
      <c r="P522" s="52">
        <f ca="1">Log_2019[[#This Row],[Amount]]/Log_2019[[#This Row],[Split_raw]]*MAX(0,MIN(_xlfn.DAYS(EDATE(P$1,1),Log_2019[[#This Row],[Date]]),Log_2019[[#This Row],[Split_apply]])) - SUM($O522:O522)</f>
        <v>0</v>
      </c>
      <c r="Q522" s="52">
        <f ca="1">Log_2019[[#This Row],[Amount]]/Log_2019[[#This Row],[Split_raw]]*MAX(0,MIN(_xlfn.DAYS(EDATE(Q$1,1),Log_2019[[#This Row],[Date]]),Log_2019[[#This Row],[Split_apply]])) - SUM($O522:P522)</f>
        <v>0</v>
      </c>
      <c r="R522" s="52">
        <f ca="1">Log_2019[[#This Row],[Amount]]/Log_2019[[#This Row],[Split_raw]]*MAX(0,MIN(_xlfn.DAYS(EDATE(R$1,1),Log_2019[[#This Row],[Date]]),Log_2019[[#This Row],[Split_apply]])) - SUM($O522:Q522)</f>
        <v>0</v>
      </c>
      <c r="S522" s="52">
        <f ca="1">Log_2019[[#This Row],[Amount]]/Log_2019[[#This Row],[Split_raw]]*MAX(0,MIN(_xlfn.DAYS(EDATE(S$1,1),Log_2019[[#This Row],[Date]]),Log_2019[[#This Row],[Split_apply]])) - SUM($O522:R522)</f>
        <v>-26.82</v>
      </c>
      <c r="T522" s="52">
        <f ca="1">Log_2019[[#This Row],[Amount]]/Log_2019[[#This Row],[Split_raw]]*MAX(0,MIN(_xlfn.DAYS(EDATE(T$1,1),Log_2019[[#This Row],[Date]]),Log_2019[[#This Row],[Split_apply]])) - SUM($O522:S522)</f>
        <v>0</v>
      </c>
      <c r="U522" s="52">
        <f ca="1">Log_2019[[#This Row],[Amount]]/Log_2019[[#This Row],[Split_raw]]*MAX(0,MIN(_xlfn.DAYS(EDATE(U$1,1),Log_2019[[#This Row],[Date]]),Log_2019[[#This Row],[Split_apply]])) - SUM($O522:T522)</f>
        <v>0</v>
      </c>
      <c r="V522" s="52">
        <f ca="1">Log_2019[[#This Row],[Amount]]/Log_2019[[#This Row],[Split_raw]]*MAX(0,MIN(_xlfn.DAYS(EDATE(V$1,1),Log_2019[[#This Row],[Date]]),Log_2019[[#This Row],[Split_apply]])) - SUM($O522:U522)</f>
        <v>0</v>
      </c>
      <c r="W522" s="52">
        <f ca="1">Log_2019[[#This Row],[Amount]]/Log_2019[[#This Row],[Split_raw]]*MAX(0,MIN(_xlfn.DAYS(EDATE(W$1,1),Log_2019[[#This Row],[Date]]),Log_2019[[#This Row],[Split_apply]])) - SUM($O522:V522)</f>
        <v>0</v>
      </c>
      <c r="X522" s="52">
        <f ca="1">Log_2019[[#This Row],[Amount]]/Log_2019[[#This Row],[Split_raw]]*MAX(0,MIN(_xlfn.DAYS(EDATE(X$1,1),Log_2019[[#This Row],[Date]]),Log_2019[[#This Row],[Split_apply]])) - SUM($O522:W522)</f>
        <v>0</v>
      </c>
      <c r="Y522" s="52">
        <f ca="1">Log_2019[[#This Row],[Amount]]/Log_2019[[#This Row],[Split_raw]]*MAX(0,MIN(_xlfn.DAYS(EDATE(Y$1,1),Log_2019[[#This Row],[Date]]),Log_2019[[#This Row],[Split_apply]])) - SUM($O522:X522)</f>
        <v>0</v>
      </c>
      <c r="Z522" s="52">
        <f ca="1">Log_2019[[#This Row],[Amount]]/Log_2019[[#This Row],[Split_raw]]*MAX(0,MIN(_xlfn.DAYS(EDATE(Z$1,1),Log_2019[[#This Row],[Date]]),Log_2019[[#This Row],[Split_apply]])) - SUM($O522:Y522)</f>
        <v>0</v>
      </c>
      <c r="AA522" s="52">
        <f ca="1">Log_2019[[#This Row],[Amount]]/Log_2019[[#This Row],[Split_raw]]*MAX(0,MIN(_xlfn.DAYS(EDATE(AA$1,1),Log_2019[[#This Row],[Date]]),Log_2019[[#This Row],[Split_apply]])) - SUM($O522:Z522)</f>
        <v>0</v>
      </c>
      <c r="AB522" s="54">
        <f ca="1">Log_2019[[#This Row],[Amount]]-SUM(O522:AA522)</f>
        <v>0</v>
      </c>
      <c r="AC522" s="7">
        <f>MAX(0,Log_2019[[#This Row],[Split_raw]] - (EDATE(AA$1,1)-Log_2019[[#This Row],[Date]]))</f>
        <v>0</v>
      </c>
    </row>
    <row r="523" spans="1:29" x14ac:dyDescent="0.25">
      <c r="A523" s="42"/>
      <c r="B523" s="34" t="s">
        <v>6</v>
      </c>
      <c r="C523" s="34"/>
      <c r="D523" s="35">
        <v>43580</v>
      </c>
      <c r="E523" s="34"/>
      <c r="F523" s="34" t="s">
        <v>580</v>
      </c>
      <c r="G523" s="34" t="s">
        <v>80</v>
      </c>
      <c r="H523" s="36">
        <f>--1891.68</f>
        <v>1891.68</v>
      </c>
      <c r="I523" s="36">
        <f>IF(Log_2019[[#This Row],[My Category]]="NONTRACKED",0,Log_2019[[#This Row],[Raw Amount]])</f>
        <v>1891.68</v>
      </c>
      <c r="J523" s="37">
        <f>ABS(Log_2019[[#This Row],[Amount]])</f>
        <v>1891.68</v>
      </c>
      <c r="K523" s="38">
        <v>14</v>
      </c>
      <c r="L523" s="38">
        <f ca="1">IF(Log_2019[[#This Row],[Date]]&lt;=TODAY(), MIN(Log_2019[[#This Row],[Split_raw]], TODAY()-Log_2019[[#This Row],[Date]]+1), 0)</f>
        <v>14</v>
      </c>
      <c r="M523" s="34" t="s">
        <v>91</v>
      </c>
      <c r="N523" s="34" t="s">
        <v>160</v>
      </c>
      <c r="O523" s="7">
        <v>0</v>
      </c>
      <c r="P523" s="52">
        <f ca="1">Log_2019[[#This Row],[Amount]]/Log_2019[[#This Row],[Split_raw]]*MAX(0,MIN(_xlfn.DAYS(EDATE(P$1,1),Log_2019[[#This Row],[Date]]),Log_2019[[#This Row],[Split_apply]])) - SUM($O523:O523)</f>
        <v>0</v>
      </c>
      <c r="Q523" s="52">
        <f ca="1">Log_2019[[#This Row],[Amount]]/Log_2019[[#This Row],[Split_raw]]*MAX(0,MIN(_xlfn.DAYS(EDATE(Q$1,1),Log_2019[[#This Row],[Date]]),Log_2019[[#This Row],[Split_apply]])) - SUM($O523:P523)</f>
        <v>0</v>
      </c>
      <c r="R523" s="52">
        <f ca="1">Log_2019[[#This Row],[Amount]]/Log_2019[[#This Row],[Split_raw]]*MAX(0,MIN(_xlfn.DAYS(EDATE(R$1,1),Log_2019[[#This Row],[Date]]),Log_2019[[#This Row],[Split_apply]])) - SUM($O523:Q523)</f>
        <v>0</v>
      </c>
      <c r="S523" s="52">
        <f ca="1">Log_2019[[#This Row],[Amount]]/Log_2019[[#This Row],[Split_raw]]*MAX(0,MIN(_xlfn.DAYS(EDATE(S$1,1),Log_2019[[#This Row],[Date]]),Log_2019[[#This Row],[Split_apply]])) - SUM($O523:R523)</f>
        <v>810.72</v>
      </c>
      <c r="T523" s="52">
        <f ca="1">Log_2019[[#This Row],[Amount]]/Log_2019[[#This Row],[Split_raw]]*MAX(0,MIN(_xlfn.DAYS(EDATE(T$1,1),Log_2019[[#This Row],[Date]]),Log_2019[[#This Row],[Split_apply]])) - SUM($O523:S523)</f>
        <v>1080.96</v>
      </c>
      <c r="U523" s="52">
        <f ca="1">Log_2019[[#This Row],[Amount]]/Log_2019[[#This Row],[Split_raw]]*MAX(0,MIN(_xlfn.DAYS(EDATE(U$1,1),Log_2019[[#This Row],[Date]]),Log_2019[[#This Row],[Split_apply]])) - SUM($O523:T523)</f>
        <v>0</v>
      </c>
      <c r="V523" s="52">
        <f ca="1">Log_2019[[#This Row],[Amount]]/Log_2019[[#This Row],[Split_raw]]*MAX(0,MIN(_xlfn.DAYS(EDATE(V$1,1),Log_2019[[#This Row],[Date]]),Log_2019[[#This Row],[Split_apply]])) - SUM($O523:U523)</f>
        <v>0</v>
      </c>
      <c r="W523" s="52">
        <f ca="1">Log_2019[[#This Row],[Amount]]/Log_2019[[#This Row],[Split_raw]]*MAX(0,MIN(_xlfn.DAYS(EDATE(W$1,1),Log_2019[[#This Row],[Date]]),Log_2019[[#This Row],[Split_apply]])) - SUM($O523:V523)</f>
        <v>0</v>
      </c>
      <c r="X523" s="52">
        <f ca="1">Log_2019[[#This Row],[Amount]]/Log_2019[[#This Row],[Split_raw]]*MAX(0,MIN(_xlfn.DAYS(EDATE(X$1,1),Log_2019[[#This Row],[Date]]),Log_2019[[#This Row],[Split_apply]])) - SUM($O523:W523)</f>
        <v>0</v>
      </c>
      <c r="Y523" s="52">
        <f ca="1">Log_2019[[#This Row],[Amount]]/Log_2019[[#This Row],[Split_raw]]*MAX(0,MIN(_xlfn.DAYS(EDATE(Y$1,1),Log_2019[[#This Row],[Date]]),Log_2019[[#This Row],[Split_apply]])) - SUM($O523:X523)</f>
        <v>0</v>
      </c>
      <c r="Z523" s="52">
        <f ca="1">Log_2019[[#This Row],[Amount]]/Log_2019[[#This Row],[Split_raw]]*MAX(0,MIN(_xlfn.DAYS(EDATE(Z$1,1),Log_2019[[#This Row],[Date]]),Log_2019[[#This Row],[Split_apply]])) - SUM($O523:Y523)</f>
        <v>0</v>
      </c>
      <c r="AA523" s="52">
        <f ca="1">Log_2019[[#This Row],[Amount]]/Log_2019[[#This Row],[Split_raw]]*MAX(0,MIN(_xlfn.DAYS(EDATE(AA$1,1),Log_2019[[#This Row],[Date]]),Log_2019[[#This Row],[Split_apply]])) - SUM($O523:Z523)</f>
        <v>0</v>
      </c>
      <c r="AB523" s="54">
        <f ca="1">Log_2019[[#This Row],[Amount]]-SUM(O523:AA523)</f>
        <v>0</v>
      </c>
      <c r="AC523" s="7">
        <f>MAX(0,Log_2019[[#This Row],[Split_raw]] - (EDATE(AA$1,1)-Log_2019[[#This Row],[Date]]))</f>
        <v>0</v>
      </c>
    </row>
    <row r="524" spans="1:29" x14ac:dyDescent="0.25">
      <c r="A524" s="42"/>
      <c r="B524" s="34" t="s">
        <v>6</v>
      </c>
      <c r="C524" s="34"/>
      <c r="D524" s="35">
        <v>43579</v>
      </c>
      <c r="E524" s="34"/>
      <c r="F524" s="34" t="s">
        <v>59</v>
      </c>
      <c r="G524" s="34" t="s">
        <v>25</v>
      </c>
      <c r="H524" s="36">
        <v>-7.94</v>
      </c>
      <c r="I524" s="36">
        <f>IF(Log_2019[[#This Row],[My Category]]="NONTRACKED",0,Log_2019[[#This Row],[Raw Amount]])</f>
        <v>-7.94</v>
      </c>
      <c r="J524" s="37">
        <f>ABS(Log_2019[[#This Row],[Amount]])</f>
        <v>7.94</v>
      </c>
      <c r="K524" s="38">
        <v>1</v>
      </c>
      <c r="L524" s="38">
        <f ca="1">IF(Log_2019[[#This Row],[Date]]&lt;=TODAY(), MIN(Log_2019[[#This Row],[Split_raw]], TODAY()-Log_2019[[#This Row],[Date]]+1), 0)</f>
        <v>1</v>
      </c>
      <c r="M524" s="34" t="s">
        <v>35</v>
      </c>
      <c r="N524" s="34" t="s">
        <v>158</v>
      </c>
      <c r="O524" s="7">
        <v>0</v>
      </c>
      <c r="P524" s="52">
        <f ca="1">Log_2019[[#This Row],[Amount]]/Log_2019[[#This Row],[Split_raw]]*MAX(0,MIN(_xlfn.DAYS(EDATE(P$1,1),Log_2019[[#This Row],[Date]]),Log_2019[[#This Row],[Split_apply]])) - SUM($O524:O524)</f>
        <v>0</v>
      </c>
      <c r="Q524" s="52">
        <f ca="1">Log_2019[[#This Row],[Amount]]/Log_2019[[#This Row],[Split_raw]]*MAX(0,MIN(_xlfn.DAYS(EDATE(Q$1,1),Log_2019[[#This Row],[Date]]),Log_2019[[#This Row],[Split_apply]])) - SUM($O524:P524)</f>
        <v>0</v>
      </c>
      <c r="R524" s="52">
        <f ca="1">Log_2019[[#This Row],[Amount]]/Log_2019[[#This Row],[Split_raw]]*MAX(0,MIN(_xlfn.DAYS(EDATE(R$1,1),Log_2019[[#This Row],[Date]]),Log_2019[[#This Row],[Split_apply]])) - SUM($O524:Q524)</f>
        <v>0</v>
      </c>
      <c r="S524" s="52">
        <f ca="1">Log_2019[[#This Row],[Amount]]/Log_2019[[#This Row],[Split_raw]]*MAX(0,MIN(_xlfn.DAYS(EDATE(S$1,1),Log_2019[[#This Row],[Date]]),Log_2019[[#This Row],[Split_apply]])) - SUM($O524:R524)</f>
        <v>-7.94</v>
      </c>
      <c r="T524" s="52">
        <f ca="1">Log_2019[[#This Row],[Amount]]/Log_2019[[#This Row],[Split_raw]]*MAX(0,MIN(_xlfn.DAYS(EDATE(T$1,1),Log_2019[[#This Row],[Date]]),Log_2019[[#This Row],[Split_apply]])) - SUM($O524:S524)</f>
        <v>0</v>
      </c>
      <c r="U524" s="52">
        <f ca="1">Log_2019[[#This Row],[Amount]]/Log_2019[[#This Row],[Split_raw]]*MAX(0,MIN(_xlfn.DAYS(EDATE(U$1,1),Log_2019[[#This Row],[Date]]),Log_2019[[#This Row],[Split_apply]])) - SUM($O524:T524)</f>
        <v>0</v>
      </c>
      <c r="V524" s="52">
        <f ca="1">Log_2019[[#This Row],[Amount]]/Log_2019[[#This Row],[Split_raw]]*MAX(0,MIN(_xlfn.DAYS(EDATE(V$1,1),Log_2019[[#This Row],[Date]]),Log_2019[[#This Row],[Split_apply]])) - SUM($O524:U524)</f>
        <v>0</v>
      </c>
      <c r="W524" s="52">
        <f ca="1">Log_2019[[#This Row],[Amount]]/Log_2019[[#This Row],[Split_raw]]*MAX(0,MIN(_xlfn.DAYS(EDATE(W$1,1),Log_2019[[#This Row],[Date]]),Log_2019[[#This Row],[Split_apply]])) - SUM($O524:V524)</f>
        <v>0</v>
      </c>
      <c r="X524" s="52">
        <f ca="1">Log_2019[[#This Row],[Amount]]/Log_2019[[#This Row],[Split_raw]]*MAX(0,MIN(_xlfn.DAYS(EDATE(X$1,1),Log_2019[[#This Row],[Date]]),Log_2019[[#This Row],[Split_apply]])) - SUM($O524:W524)</f>
        <v>0</v>
      </c>
      <c r="Y524" s="52">
        <f ca="1">Log_2019[[#This Row],[Amount]]/Log_2019[[#This Row],[Split_raw]]*MAX(0,MIN(_xlfn.DAYS(EDATE(Y$1,1),Log_2019[[#This Row],[Date]]),Log_2019[[#This Row],[Split_apply]])) - SUM($O524:X524)</f>
        <v>0</v>
      </c>
      <c r="Z524" s="52">
        <f ca="1">Log_2019[[#This Row],[Amount]]/Log_2019[[#This Row],[Split_raw]]*MAX(0,MIN(_xlfn.DAYS(EDATE(Z$1,1),Log_2019[[#This Row],[Date]]),Log_2019[[#This Row],[Split_apply]])) - SUM($O524:Y524)</f>
        <v>0</v>
      </c>
      <c r="AA524" s="52">
        <f ca="1">Log_2019[[#This Row],[Amount]]/Log_2019[[#This Row],[Split_raw]]*MAX(0,MIN(_xlfn.DAYS(EDATE(AA$1,1),Log_2019[[#This Row],[Date]]),Log_2019[[#This Row],[Split_apply]])) - SUM($O524:Z524)</f>
        <v>0</v>
      </c>
      <c r="AB524" s="54">
        <f ca="1">Log_2019[[#This Row],[Amount]]-SUM(O524:AA524)</f>
        <v>0</v>
      </c>
      <c r="AC524" s="7">
        <f>MAX(0,Log_2019[[#This Row],[Split_raw]] - (EDATE(AA$1,1)-Log_2019[[#This Row],[Date]]))</f>
        <v>0</v>
      </c>
    </row>
    <row r="525" spans="1:29" x14ac:dyDescent="0.25">
      <c r="A525" s="42"/>
      <c r="B525" s="34" t="s">
        <v>6</v>
      </c>
      <c r="C525" s="34"/>
      <c r="D525" s="35">
        <v>43579</v>
      </c>
      <c r="E525" s="34" t="s">
        <v>601</v>
      </c>
      <c r="F525" s="34" t="s">
        <v>595</v>
      </c>
      <c r="G525" s="34" t="s">
        <v>9</v>
      </c>
      <c r="H525" s="36">
        <v>-23.55</v>
      </c>
      <c r="I525" s="36">
        <f>IF(Log_2019[[#This Row],[My Category]]="NONTRACKED",0,Log_2019[[#This Row],[Raw Amount]])</f>
        <v>-23.55</v>
      </c>
      <c r="J525" s="37">
        <f>ABS(Log_2019[[#This Row],[Amount]])</f>
        <v>23.55</v>
      </c>
      <c r="K525" s="38">
        <v>1</v>
      </c>
      <c r="L525" s="38">
        <f ca="1">IF(Log_2019[[#This Row],[Date]]&lt;=TODAY(), MIN(Log_2019[[#This Row],[Split_raw]], TODAY()-Log_2019[[#This Row],[Date]]+1), 0)</f>
        <v>1</v>
      </c>
      <c r="M525" s="34" t="s">
        <v>53</v>
      </c>
      <c r="N525" s="34" t="s">
        <v>158</v>
      </c>
      <c r="O525" s="7">
        <v>0</v>
      </c>
      <c r="P525" s="52">
        <f ca="1">Log_2019[[#This Row],[Amount]]/Log_2019[[#This Row],[Split_raw]]*MAX(0,MIN(_xlfn.DAYS(EDATE(P$1,1),Log_2019[[#This Row],[Date]]),Log_2019[[#This Row],[Split_apply]])) - SUM($O525:O525)</f>
        <v>0</v>
      </c>
      <c r="Q525" s="52">
        <f ca="1">Log_2019[[#This Row],[Amount]]/Log_2019[[#This Row],[Split_raw]]*MAX(0,MIN(_xlfn.DAYS(EDATE(Q$1,1),Log_2019[[#This Row],[Date]]),Log_2019[[#This Row],[Split_apply]])) - SUM($O525:P525)</f>
        <v>0</v>
      </c>
      <c r="R525" s="52">
        <f ca="1">Log_2019[[#This Row],[Amount]]/Log_2019[[#This Row],[Split_raw]]*MAX(0,MIN(_xlfn.DAYS(EDATE(R$1,1),Log_2019[[#This Row],[Date]]),Log_2019[[#This Row],[Split_apply]])) - SUM($O525:Q525)</f>
        <v>0</v>
      </c>
      <c r="S525" s="52">
        <f ca="1">Log_2019[[#This Row],[Amount]]/Log_2019[[#This Row],[Split_raw]]*MAX(0,MIN(_xlfn.DAYS(EDATE(S$1,1),Log_2019[[#This Row],[Date]]),Log_2019[[#This Row],[Split_apply]])) - SUM($O525:R525)</f>
        <v>-23.55</v>
      </c>
      <c r="T525" s="52">
        <f ca="1">Log_2019[[#This Row],[Amount]]/Log_2019[[#This Row],[Split_raw]]*MAX(0,MIN(_xlfn.DAYS(EDATE(T$1,1),Log_2019[[#This Row],[Date]]),Log_2019[[#This Row],[Split_apply]])) - SUM($O525:S525)</f>
        <v>0</v>
      </c>
      <c r="U525" s="52">
        <f ca="1">Log_2019[[#This Row],[Amount]]/Log_2019[[#This Row],[Split_raw]]*MAX(0,MIN(_xlfn.DAYS(EDATE(U$1,1),Log_2019[[#This Row],[Date]]),Log_2019[[#This Row],[Split_apply]])) - SUM($O525:T525)</f>
        <v>0</v>
      </c>
      <c r="V525" s="52">
        <f ca="1">Log_2019[[#This Row],[Amount]]/Log_2019[[#This Row],[Split_raw]]*MAX(0,MIN(_xlfn.DAYS(EDATE(V$1,1),Log_2019[[#This Row],[Date]]),Log_2019[[#This Row],[Split_apply]])) - SUM($O525:U525)</f>
        <v>0</v>
      </c>
      <c r="W525" s="52">
        <f ca="1">Log_2019[[#This Row],[Amount]]/Log_2019[[#This Row],[Split_raw]]*MAX(0,MIN(_xlfn.DAYS(EDATE(W$1,1),Log_2019[[#This Row],[Date]]),Log_2019[[#This Row],[Split_apply]])) - SUM($O525:V525)</f>
        <v>0</v>
      </c>
      <c r="X525" s="52">
        <f ca="1">Log_2019[[#This Row],[Amount]]/Log_2019[[#This Row],[Split_raw]]*MAX(0,MIN(_xlfn.DAYS(EDATE(X$1,1),Log_2019[[#This Row],[Date]]),Log_2019[[#This Row],[Split_apply]])) - SUM($O525:W525)</f>
        <v>0</v>
      </c>
      <c r="Y525" s="52">
        <f ca="1">Log_2019[[#This Row],[Amount]]/Log_2019[[#This Row],[Split_raw]]*MAX(0,MIN(_xlfn.DAYS(EDATE(Y$1,1),Log_2019[[#This Row],[Date]]),Log_2019[[#This Row],[Split_apply]])) - SUM($O525:X525)</f>
        <v>0</v>
      </c>
      <c r="Z525" s="52">
        <f ca="1">Log_2019[[#This Row],[Amount]]/Log_2019[[#This Row],[Split_raw]]*MAX(0,MIN(_xlfn.DAYS(EDATE(Z$1,1),Log_2019[[#This Row],[Date]]),Log_2019[[#This Row],[Split_apply]])) - SUM($O525:Y525)</f>
        <v>0</v>
      </c>
      <c r="AA525" s="52">
        <f ca="1">Log_2019[[#This Row],[Amount]]/Log_2019[[#This Row],[Split_raw]]*MAX(0,MIN(_xlfn.DAYS(EDATE(AA$1,1),Log_2019[[#This Row],[Date]]),Log_2019[[#This Row],[Split_apply]])) - SUM($O525:Z525)</f>
        <v>0</v>
      </c>
      <c r="AB525" s="54">
        <f ca="1">Log_2019[[#This Row],[Amount]]-SUM(O525:AA525)</f>
        <v>0</v>
      </c>
      <c r="AC525" s="7">
        <f>MAX(0,Log_2019[[#This Row],[Split_raw]] - (EDATE(AA$1,1)-Log_2019[[#This Row],[Date]]))</f>
        <v>0</v>
      </c>
    </row>
    <row r="526" spans="1:29" x14ac:dyDescent="0.25">
      <c r="A526" s="42"/>
      <c r="B526" s="34" t="s">
        <v>6</v>
      </c>
      <c r="C526" s="34"/>
      <c r="D526" s="35">
        <v>43578</v>
      </c>
      <c r="E526" s="34"/>
      <c r="F526" s="34" t="s">
        <v>306</v>
      </c>
      <c r="G526" s="34" t="s">
        <v>25</v>
      </c>
      <c r="H526" s="36">
        <v>-10.25</v>
      </c>
      <c r="I526" s="36">
        <f>IF(Log_2019[[#This Row],[My Category]]="NONTRACKED",0,Log_2019[[#This Row],[Raw Amount]])</f>
        <v>-10.25</v>
      </c>
      <c r="J526" s="37">
        <f>ABS(Log_2019[[#This Row],[Amount]])</f>
        <v>10.25</v>
      </c>
      <c r="K526" s="38">
        <v>1</v>
      </c>
      <c r="L526" s="38">
        <f ca="1">IF(Log_2019[[#This Row],[Date]]&lt;=TODAY(), MIN(Log_2019[[#This Row],[Split_raw]], TODAY()-Log_2019[[#This Row],[Date]]+1), 0)</f>
        <v>1</v>
      </c>
      <c r="M526" s="34" t="s">
        <v>35</v>
      </c>
      <c r="N526" s="34" t="s">
        <v>158</v>
      </c>
      <c r="O526" s="7">
        <v>0</v>
      </c>
      <c r="P526" s="52">
        <f ca="1">Log_2019[[#This Row],[Amount]]/Log_2019[[#This Row],[Split_raw]]*MAX(0,MIN(_xlfn.DAYS(EDATE(P$1,1),Log_2019[[#This Row],[Date]]),Log_2019[[#This Row],[Split_apply]])) - SUM($O526:O526)</f>
        <v>0</v>
      </c>
      <c r="Q526" s="52">
        <f ca="1">Log_2019[[#This Row],[Amount]]/Log_2019[[#This Row],[Split_raw]]*MAX(0,MIN(_xlfn.DAYS(EDATE(Q$1,1),Log_2019[[#This Row],[Date]]),Log_2019[[#This Row],[Split_apply]])) - SUM($O526:P526)</f>
        <v>0</v>
      </c>
      <c r="R526" s="52">
        <f ca="1">Log_2019[[#This Row],[Amount]]/Log_2019[[#This Row],[Split_raw]]*MAX(0,MIN(_xlfn.DAYS(EDATE(R$1,1),Log_2019[[#This Row],[Date]]),Log_2019[[#This Row],[Split_apply]])) - SUM($O526:Q526)</f>
        <v>0</v>
      </c>
      <c r="S526" s="52">
        <f ca="1">Log_2019[[#This Row],[Amount]]/Log_2019[[#This Row],[Split_raw]]*MAX(0,MIN(_xlfn.DAYS(EDATE(S$1,1),Log_2019[[#This Row],[Date]]),Log_2019[[#This Row],[Split_apply]])) - SUM($O526:R526)</f>
        <v>-10.25</v>
      </c>
      <c r="T526" s="52">
        <f ca="1">Log_2019[[#This Row],[Amount]]/Log_2019[[#This Row],[Split_raw]]*MAX(0,MIN(_xlfn.DAYS(EDATE(T$1,1),Log_2019[[#This Row],[Date]]),Log_2019[[#This Row],[Split_apply]])) - SUM($O526:S526)</f>
        <v>0</v>
      </c>
      <c r="U526" s="52">
        <f ca="1">Log_2019[[#This Row],[Amount]]/Log_2019[[#This Row],[Split_raw]]*MAX(0,MIN(_xlfn.DAYS(EDATE(U$1,1),Log_2019[[#This Row],[Date]]),Log_2019[[#This Row],[Split_apply]])) - SUM($O526:T526)</f>
        <v>0</v>
      </c>
      <c r="V526" s="52">
        <f ca="1">Log_2019[[#This Row],[Amount]]/Log_2019[[#This Row],[Split_raw]]*MAX(0,MIN(_xlfn.DAYS(EDATE(V$1,1),Log_2019[[#This Row],[Date]]),Log_2019[[#This Row],[Split_apply]])) - SUM($O526:U526)</f>
        <v>0</v>
      </c>
      <c r="W526" s="52">
        <f ca="1">Log_2019[[#This Row],[Amount]]/Log_2019[[#This Row],[Split_raw]]*MAX(0,MIN(_xlfn.DAYS(EDATE(W$1,1),Log_2019[[#This Row],[Date]]),Log_2019[[#This Row],[Split_apply]])) - SUM($O526:V526)</f>
        <v>0</v>
      </c>
      <c r="X526" s="52">
        <f ca="1">Log_2019[[#This Row],[Amount]]/Log_2019[[#This Row],[Split_raw]]*MAX(0,MIN(_xlfn.DAYS(EDATE(X$1,1),Log_2019[[#This Row],[Date]]),Log_2019[[#This Row],[Split_apply]])) - SUM($O526:W526)</f>
        <v>0</v>
      </c>
      <c r="Y526" s="52">
        <f ca="1">Log_2019[[#This Row],[Amount]]/Log_2019[[#This Row],[Split_raw]]*MAX(0,MIN(_xlfn.DAYS(EDATE(Y$1,1),Log_2019[[#This Row],[Date]]),Log_2019[[#This Row],[Split_apply]])) - SUM($O526:X526)</f>
        <v>0</v>
      </c>
      <c r="Z526" s="52">
        <f ca="1">Log_2019[[#This Row],[Amount]]/Log_2019[[#This Row],[Split_raw]]*MAX(0,MIN(_xlfn.DAYS(EDATE(Z$1,1),Log_2019[[#This Row],[Date]]),Log_2019[[#This Row],[Split_apply]])) - SUM($O526:Y526)</f>
        <v>0</v>
      </c>
      <c r="AA526" s="52">
        <f ca="1">Log_2019[[#This Row],[Amount]]/Log_2019[[#This Row],[Split_raw]]*MAX(0,MIN(_xlfn.DAYS(EDATE(AA$1,1),Log_2019[[#This Row],[Date]]),Log_2019[[#This Row],[Split_apply]])) - SUM($O526:Z526)</f>
        <v>0</v>
      </c>
      <c r="AB526" s="54">
        <f ca="1">Log_2019[[#This Row],[Amount]]-SUM(O526:AA526)</f>
        <v>0</v>
      </c>
      <c r="AC526" s="7">
        <f>MAX(0,Log_2019[[#This Row],[Split_raw]] - (EDATE(AA$1,1)-Log_2019[[#This Row],[Date]]))</f>
        <v>0</v>
      </c>
    </row>
    <row r="527" spans="1:29" x14ac:dyDescent="0.25">
      <c r="A527" s="42"/>
      <c r="B527" t="s">
        <v>6</v>
      </c>
      <c r="C527" s="34"/>
      <c r="D527" s="35">
        <v>43577</v>
      </c>
      <c r="E527" s="34"/>
      <c r="F527" s="34" t="s">
        <v>581</v>
      </c>
      <c r="G527" s="34" t="s">
        <v>582</v>
      </c>
      <c r="H527" s="36">
        <v>-52.95</v>
      </c>
      <c r="I527" s="36">
        <f>IF(Log_2019[[#This Row],[My Category]]="NONTRACKED",0,Log_2019[[#This Row],[Raw Amount]])</f>
        <v>-52.95</v>
      </c>
      <c r="J527" s="37">
        <f>ABS(Log_2019[[#This Row],[Amount]])</f>
        <v>52.95</v>
      </c>
      <c r="K527" s="38">
        <v>30</v>
      </c>
      <c r="L527" s="38">
        <f ca="1">IF(Log_2019[[#This Row],[Date]]&lt;=TODAY(), MIN(Log_2019[[#This Row],[Split_raw]], TODAY()-Log_2019[[#This Row],[Date]]+1), 0)</f>
        <v>30</v>
      </c>
      <c r="M527" s="34" t="s">
        <v>30</v>
      </c>
      <c r="N527" s="34" t="s">
        <v>160</v>
      </c>
      <c r="O527" s="7">
        <v>0</v>
      </c>
      <c r="P527" s="52">
        <f ca="1">Log_2019[[#This Row],[Amount]]/Log_2019[[#This Row],[Split_raw]]*MAX(0,MIN(_xlfn.DAYS(EDATE(P$1,1),Log_2019[[#This Row],[Date]]),Log_2019[[#This Row],[Split_apply]])) - SUM($O527:O527)</f>
        <v>0</v>
      </c>
      <c r="Q527" s="52">
        <f ca="1">Log_2019[[#This Row],[Amount]]/Log_2019[[#This Row],[Split_raw]]*MAX(0,MIN(_xlfn.DAYS(EDATE(Q$1,1),Log_2019[[#This Row],[Date]]),Log_2019[[#This Row],[Split_apply]])) - SUM($O527:P527)</f>
        <v>0</v>
      </c>
      <c r="R527" s="52">
        <f ca="1">Log_2019[[#This Row],[Amount]]/Log_2019[[#This Row],[Split_raw]]*MAX(0,MIN(_xlfn.DAYS(EDATE(R$1,1),Log_2019[[#This Row],[Date]]),Log_2019[[#This Row],[Split_apply]])) - SUM($O527:Q527)</f>
        <v>0</v>
      </c>
      <c r="S527" s="52">
        <f ca="1">Log_2019[[#This Row],[Amount]]/Log_2019[[#This Row],[Split_raw]]*MAX(0,MIN(_xlfn.DAYS(EDATE(S$1,1),Log_2019[[#This Row],[Date]]),Log_2019[[#This Row],[Split_apply]])) - SUM($O527:R527)</f>
        <v>-15.885000000000002</v>
      </c>
      <c r="T527" s="52">
        <f ca="1">Log_2019[[#This Row],[Amount]]/Log_2019[[#This Row],[Split_raw]]*MAX(0,MIN(_xlfn.DAYS(EDATE(T$1,1),Log_2019[[#This Row],[Date]]),Log_2019[[#This Row],[Split_apply]])) - SUM($O527:S527)</f>
        <v>-37.064999999999998</v>
      </c>
      <c r="U527" s="52">
        <f ca="1">Log_2019[[#This Row],[Amount]]/Log_2019[[#This Row],[Split_raw]]*MAX(0,MIN(_xlfn.DAYS(EDATE(U$1,1),Log_2019[[#This Row],[Date]]),Log_2019[[#This Row],[Split_apply]])) - SUM($O527:T527)</f>
        <v>0</v>
      </c>
      <c r="V527" s="52">
        <f ca="1">Log_2019[[#This Row],[Amount]]/Log_2019[[#This Row],[Split_raw]]*MAX(0,MIN(_xlfn.DAYS(EDATE(V$1,1),Log_2019[[#This Row],[Date]]),Log_2019[[#This Row],[Split_apply]])) - SUM($O527:U527)</f>
        <v>0</v>
      </c>
      <c r="W527" s="52">
        <f ca="1">Log_2019[[#This Row],[Amount]]/Log_2019[[#This Row],[Split_raw]]*MAX(0,MIN(_xlfn.DAYS(EDATE(W$1,1),Log_2019[[#This Row],[Date]]),Log_2019[[#This Row],[Split_apply]])) - SUM($O527:V527)</f>
        <v>0</v>
      </c>
      <c r="X527" s="52">
        <f ca="1">Log_2019[[#This Row],[Amount]]/Log_2019[[#This Row],[Split_raw]]*MAX(0,MIN(_xlfn.DAYS(EDATE(X$1,1),Log_2019[[#This Row],[Date]]),Log_2019[[#This Row],[Split_apply]])) - SUM($O527:W527)</f>
        <v>0</v>
      </c>
      <c r="Y527" s="52">
        <f ca="1">Log_2019[[#This Row],[Amount]]/Log_2019[[#This Row],[Split_raw]]*MAX(0,MIN(_xlfn.DAYS(EDATE(Y$1,1),Log_2019[[#This Row],[Date]]),Log_2019[[#This Row],[Split_apply]])) - SUM($O527:X527)</f>
        <v>0</v>
      </c>
      <c r="Z527" s="52">
        <f ca="1">Log_2019[[#This Row],[Amount]]/Log_2019[[#This Row],[Split_raw]]*MAX(0,MIN(_xlfn.DAYS(EDATE(Z$1,1),Log_2019[[#This Row],[Date]]),Log_2019[[#This Row],[Split_apply]])) - SUM($O527:Y527)</f>
        <v>0</v>
      </c>
      <c r="AA527" s="52">
        <f ca="1">Log_2019[[#This Row],[Amount]]/Log_2019[[#This Row],[Split_raw]]*MAX(0,MIN(_xlfn.DAYS(EDATE(AA$1,1),Log_2019[[#This Row],[Date]]),Log_2019[[#This Row],[Split_apply]])) - SUM($O527:Z527)</f>
        <v>0</v>
      </c>
      <c r="AB527" s="54">
        <f ca="1">Log_2019[[#This Row],[Amount]]-SUM(O527:AA527)</f>
        <v>0</v>
      </c>
      <c r="AC527" s="7">
        <f>MAX(0,Log_2019[[#This Row],[Split_raw]] - (EDATE(AA$1,1)-Log_2019[[#This Row],[Date]]))</f>
        <v>0</v>
      </c>
    </row>
    <row r="528" spans="1:29" x14ac:dyDescent="0.25">
      <c r="A528" s="42"/>
      <c r="B528" s="34" t="s">
        <v>6</v>
      </c>
      <c r="C528" s="34"/>
      <c r="D528" s="35">
        <v>43577</v>
      </c>
      <c r="E528" s="34"/>
      <c r="F528" s="34" t="s">
        <v>345</v>
      </c>
      <c r="G528" s="34" t="s">
        <v>12</v>
      </c>
      <c r="H528" s="36">
        <v>-59.87</v>
      </c>
      <c r="I528" s="36">
        <f>IF(Log_2019[[#This Row],[My Category]]="NONTRACKED",0,Log_2019[[#This Row],[Raw Amount]])</f>
        <v>-59.87</v>
      </c>
      <c r="J528" s="37">
        <f>ABS(Log_2019[[#This Row],[Amount]])</f>
        <v>59.87</v>
      </c>
      <c r="K528" s="38">
        <v>1</v>
      </c>
      <c r="L528" s="38">
        <f ca="1">IF(Log_2019[[#This Row],[Date]]&lt;=TODAY(), MIN(Log_2019[[#This Row],[Split_raw]], TODAY()-Log_2019[[#This Row],[Date]]+1), 0)</f>
        <v>1</v>
      </c>
      <c r="M528" s="34" t="s">
        <v>12</v>
      </c>
      <c r="N528" s="34" t="s">
        <v>158</v>
      </c>
      <c r="O528" s="7">
        <v>0</v>
      </c>
      <c r="P528" s="52">
        <f ca="1">Log_2019[[#This Row],[Amount]]/Log_2019[[#This Row],[Split_raw]]*MAX(0,MIN(_xlfn.DAYS(EDATE(P$1,1),Log_2019[[#This Row],[Date]]),Log_2019[[#This Row],[Split_apply]])) - SUM($O528:O528)</f>
        <v>0</v>
      </c>
      <c r="Q528" s="52">
        <f ca="1">Log_2019[[#This Row],[Amount]]/Log_2019[[#This Row],[Split_raw]]*MAX(0,MIN(_xlfn.DAYS(EDATE(Q$1,1),Log_2019[[#This Row],[Date]]),Log_2019[[#This Row],[Split_apply]])) - SUM($O528:P528)</f>
        <v>0</v>
      </c>
      <c r="R528" s="52">
        <f ca="1">Log_2019[[#This Row],[Amount]]/Log_2019[[#This Row],[Split_raw]]*MAX(0,MIN(_xlfn.DAYS(EDATE(R$1,1),Log_2019[[#This Row],[Date]]),Log_2019[[#This Row],[Split_apply]])) - SUM($O528:Q528)</f>
        <v>0</v>
      </c>
      <c r="S528" s="52">
        <f ca="1">Log_2019[[#This Row],[Amount]]/Log_2019[[#This Row],[Split_raw]]*MAX(0,MIN(_xlfn.DAYS(EDATE(S$1,1),Log_2019[[#This Row],[Date]]),Log_2019[[#This Row],[Split_apply]])) - SUM($O528:R528)</f>
        <v>-59.87</v>
      </c>
      <c r="T528" s="52">
        <f ca="1">Log_2019[[#This Row],[Amount]]/Log_2019[[#This Row],[Split_raw]]*MAX(0,MIN(_xlfn.DAYS(EDATE(T$1,1),Log_2019[[#This Row],[Date]]),Log_2019[[#This Row],[Split_apply]])) - SUM($O528:S528)</f>
        <v>0</v>
      </c>
      <c r="U528" s="52">
        <f ca="1">Log_2019[[#This Row],[Amount]]/Log_2019[[#This Row],[Split_raw]]*MAX(0,MIN(_xlfn.DAYS(EDATE(U$1,1),Log_2019[[#This Row],[Date]]),Log_2019[[#This Row],[Split_apply]])) - SUM($O528:T528)</f>
        <v>0</v>
      </c>
      <c r="V528" s="52">
        <f ca="1">Log_2019[[#This Row],[Amount]]/Log_2019[[#This Row],[Split_raw]]*MAX(0,MIN(_xlfn.DAYS(EDATE(V$1,1),Log_2019[[#This Row],[Date]]),Log_2019[[#This Row],[Split_apply]])) - SUM($O528:U528)</f>
        <v>0</v>
      </c>
      <c r="W528" s="52">
        <f ca="1">Log_2019[[#This Row],[Amount]]/Log_2019[[#This Row],[Split_raw]]*MAX(0,MIN(_xlfn.DAYS(EDATE(W$1,1),Log_2019[[#This Row],[Date]]),Log_2019[[#This Row],[Split_apply]])) - SUM($O528:V528)</f>
        <v>0</v>
      </c>
      <c r="X528" s="52">
        <f ca="1">Log_2019[[#This Row],[Amount]]/Log_2019[[#This Row],[Split_raw]]*MAX(0,MIN(_xlfn.DAYS(EDATE(X$1,1),Log_2019[[#This Row],[Date]]),Log_2019[[#This Row],[Split_apply]])) - SUM($O528:W528)</f>
        <v>0</v>
      </c>
      <c r="Y528" s="52">
        <f ca="1">Log_2019[[#This Row],[Amount]]/Log_2019[[#This Row],[Split_raw]]*MAX(0,MIN(_xlfn.DAYS(EDATE(Y$1,1),Log_2019[[#This Row],[Date]]),Log_2019[[#This Row],[Split_apply]])) - SUM($O528:X528)</f>
        <v>0</v>
      </c>
      <c r="Z528" s="52">
        <f ca="1">Log_2019[[#This Row],[Amount]]/Log_2019[[#This Row],[Split_raw]]*MAX(0,MIN(_xlfn.DAYS(EDATE(Z$1,1),Log_2019[[#This Row],[Date]]),Log_2019[[#This Row],[Split_apply]])) - SUM($O528:Y528)</f>
        <v>0</v>
      </c>
      <c r="AA528" s="52">
        <f ca="1">Log_2019[[#This Row],[Amount]]/Log_2019[[#This Row],[Split_raw]]*MAX(0,MIN(_xlfn.DAYS(EDATE(AA$1,1),Log_2019[[#This Row],[Date]]),Log_2019[[#This Row],[Split_apply]])) - SUM($O528:Z528)</f>
        <v>0</v>
      </c>
      <c r="AB528" s="54">
        <f ca="1">Log_2019[[#This Row],[Amount]]-SUM(O528:AA528)</f>
        <v>0</v>
      </c>
      <c r="AC528" s="7">
        <f>MAX(0,Log_2019[[#This Row],[Split_raw]] - (EDATE(AA$1,1)-Log_2019[[#This Row],[Date]]))</f>
        <v>0</v>
      </c>
    </row>
    <row r="529" spans="1:29" x14ac:dyDescent="0.25">
      <c r="A529" s="42"/>
      <c r="B529" s="34" t="s">
        <v>6</v>
      </c>
      <c r="C529" s="34"/>
      <c r="D529" s="35">
        <v>43577</v>
      </c>
      <c r="E529" s="34"/>
      <c r="F529" s="34" t="s">
        <v>596</v>
      </c>
      <c r="G529" s="34" t="s">
        <v>12</v>
      </c>
      <c r="H529" s="36">
        <v>-5.98</v>
      </c>
      <c r="I529" s="36">
        <f>IF(Log_2019[[#This Row],[My Category]]="NONTRACKED",0,Log_2019[[#This Row],[Raw Amount]])</f>
        <v>-5.98</v>
      </c>
      <c r="J529" s="37">
        <f>ABS(Log_2019[[#This Row],[Amount]])</f>
        <v>5.98</v>
      </c>
      <c r="K529" s="38">
        <v>1</v>
      </c>
      <c r="L529" s="38">
        <f ca="1">IF(Log_2019[[#This Row],[Date]]&lt;=TODAY(), MIN(Log_2019[[#This Row],[Split_raw]], TODAY()-Log_2019[[#This Row],[Date]]+1), 0)</f>
        <v>1</v>
      </c>
      <c r="M529" s="34" t="s">
        <v>12</v>
      </c>
      <c r="N529" s="34" t="s">
        <v>158</v>
      </c>
      <c r="O529" s="7">
        <v>0</v>
      </c>
      <c r="P529" s="52">
        <f ca="1">Log_2019[[#This Row],[Amount]]/Log_2019[[#This Row],[Split_raw]]*MAX(0,MIN(_xlfn.DAYS(EDATE(P$1,1),Log_2019[[#This Row],[Date]]),Log_2019[[#This Row],[Split_apply]])) - SUM($O529:O529)</f>
        <v>0</v>
      </c>
      <c r="Q529" s="52">
        <f ca="1">Log_2019[[#This Row],[Amount]]/Log_2019[[#This Row],[Split_raw]]*MAX(0,MIN(_xlfn.DAYS(EDATE(Q$1,1),Log_2019[[#This Row],[Date]]),Log_2019[[#This Row],[Split_apply]])) - SUM($O529:P529)</f>
        <v>0</v>
      </c>
      <c r="R529" s="52">
        <f ca="1">Log_2019[[#This Row],[Amount]]/Log_2019[[#This Row],[Split_raw]]*MAX(0,MIN(_xlfn.DAYS(EDATE(R$1,1),Log_2019[[#This Row],[Date]]),Log_2019[[#This Row],[Split_apply]])) - SUM($O529:Q529)</f>
        <v>0</v>
      </c>
      <c r="S529" s="52">
        <f ca="1">Log_2019[[#This Row],[Amount]]/Log_2019[[#This Row],[Split_raw]]*MAX(0,MIN(_xlfn.DAYS(EDATE(S$1,1),Log_2019[[#This Row],[Date]]),Log_2019[[#This Row],[Split_apply]])) - SUM($O529:R529)</f>
        <v>-5.98</v>
      </c>
      <c r="T529" s="52">
        <f ca="1">Log_2019[[#This Row],[Amount]]/Log_2019[[#This Row],[Split_raw]]*MAX(0,MIN(_xlfn.DAYS(EDATE(T$1,1),Log_2019[[#This Row],[Date]]),Log_2019[[#This Row],[Split_apply]])) - SUM($O529:S529)</f>
        <v>0</v>
      </c>
      <c r="U529" s="52">
        <f ca="1">Log_2019[[#This Row],[Amount]]/Log_2019[[#This Row],[Split_raw]]*MAX(0,MIN(_xlfn.DAYS(EDATE(U$1,1),Log_2019[[#This Row],[Date]]),Log_2019[[#This Row],[Split_apply]])) - SUM($O529:T529)</f>
        <v>0</v>
      </c>
      <c r="V529" s="52">
        <f ca="1">Log_2019[[#This Row],[Amount]]/Log_2019[[#This Row],[Split_raw]]*MAX(0,MIN(_xlfn.DAYS(EDATE(V$1,1),Log_2019[[#This Row],[Date]]),Log_2019[[#This Row],[Split_apply]])) - SUM($O529:U529)</f>
        <v>0</v>
      </c>
      <c r="W529" s="52">
        <f ca="1">Log_2019[[#This Row],[Amount]]/Log_2019[[#This Row],[Split_raw]]*MAX(0,MIN(_xlfn.DAYS(EDATE(W$1,1),Log_2019[[#This Row],[Date]]),Log_2019[[#This Row],[Split_apply]])) - SUM($O529:V529)</f>
        <v>0</v>
      </c>
      <c r="X529" s="52">
        <f ca="1">Log_2019[[#This Row],[Amount]]/Log_2019[[#This Row],[Split_raw]]*MAX(0,MIN(_xlfn.DAYS(EDATE(X$1,1),Log_2019[[#This Row],[Date]]),Log_2019[[#This Row],[Split_apply]])) - SUM($O529:W529)</f>
        <v>0</v>
      </c>
      <c r="Y529" s="52">
        <f ca="1">Log_2019[[#This Row],[Amount]]/Log_2019[[#This Row],[Split_raw]]*MAX(0,MIN(_xlfn.DAYS(EDATE(Y$1,1),Log_2019[[#This Row],[Date]]),Log_2019[[#This Row],[Split_apply]])) - SUM($O529:X529)</f>
        <v>0</v>
      </c>
      <c r="Z529" s="52">
        <f ca="1">Log_2019[[#This Row],[Amount]]/Log_2019[[#This Row],[Split_raw]]*MAX(0,MIN(_xlfn.DAYS(EDATE(Z$1,1),Log_2019[[#This Row],[Date]]),Log_2019[[#This Row],[Split_apply]])) - SUM($O529:Y529)</f>
        <v>0</v>
      </c>
      <c r="AA529" s="52">
        <f ca="1">Log_2019[[#This Row],[Amount]]/Log_2019[[#This Row],[Split_raw]]*MAX(0,MIN(_xlfn.DAYS(EDATE(AA$1,1),Log_2019[[#This Row],[Date]]),Log_2019[[#This Row],[Split_apply]])) - SUM($O529:Z529)</f>
        <v>0</v>
      </c>
      <c r="AB529" s="54">
        <f ca="1">Log_2019[[#This Row],[Amount]]-SUM(O529:AA529)</f>
        <v>0</v>
      </c>
      <c r="AC529" s="7">
        <f>MAX(0,Log_2019[[#This Row],[Split_raw]] - (EDATE(AA$1,1)-Log_2019[[#This Row],[Date]]))</f>
        <v>0</v>
      </c>
    </row>
    <row r="530" spans="1:29" x14ac:dyDescent="0.25">
      <c r="A530" s="42"/>
      <c r="B530" s="34" t="s">
        <v>6</v>
      </c>
      <c r="C530" s="34"/>
      <c r="D530" s="35">
        <v>43577</v>
      </c>
      <c r="E530" s="34"/>
      <c r="F530" s="34" t="s">
        <v>553</v>
      </c>
      <c r="G530" s="34" t="s">
        <v>27</v>
      </c>
      <c r="H530" s="36">
        <v>-21.99</v>
      </c>
      <c r="I530" s="36">
        <f>IF(Log_2019[[#This Row],[My Category]]="NONTRACKED",0,Log_2019[[#This Row],[Raw Amount]])</f>
        <v>-21.99</v>
      </c>
      <c r="J530" s="37">
        <f>ABS(Log_2019[[#This Row],[Amount]])</f>
        <v>21.99</v>
      </c>
      <c r="K530" s="38">
        <v>1</v>
      </c>
      <c r="L530" s="38">
        <f ca="1">IF(Log_2019[[#This Row],[Date]]&lt;=TODAY(), MIN(Log_2019[[#This Row],[Split_raw]], TODAY()-Log_2019[[#This Row],[Date]]+1), 0)</f>
        <v>1</v>
      </c>
      <c r="M530" s="34" t="s">
        <v>145</v>
      </c>
      <c r="N530" s="34" t="s">
        <v>158</v>
      </c>
      <c r="O530" s="7">
        <v>0</v>
      </c>
      <c r="P530" s="52">
        <f ca="1">Log_2019[[#This Row],[Amount]]/Log_2019[[#This Row],[Split_raw]]*MAX(0,MIN(_xlfn.DAYS(EDATE(P$1,1),Log_2019[[#This Row],[Date]]),Log_2019[[#This Row],[Split_apply]])) - SUM($O530:O530)</f>
        <v>0</v>
      </c>
      <c r="Q530" s="52">
        <f ca="1">Log_2019[[#This Row],[Amount]]/Log_2019[[#This Row],[Split_raw]]*MAX(0,MIN(_xlfn.DAYS(EDATE(Q$1,1),Log_2019[[#This Row],[Date]]),Log_2019[[#This Row],[Split_apply]])) - SUM($O530:P530)</f>
        <v>0</v>
      </c>
      <c r="R530" s="52">
        <f ca="1">Log_2019[[#This Row],[Amount]]/Log_2019[[#This Row],[Split_raw]]*MAX(0,MIN(_xlfn.DAYS(EDATE(R$1,1),Log_2019[[#This Row],[Date]]),Log_2019[[#This Row],[Split_apply]])) - SUM($O530:Q530)</f>
        <v>0</v>
      </c>
      <c r="S530" s="52">
        <f ca="1">Log_2019[[#This Row],[Amount]]/Log_2019[[#This Row],[Split_raw]]*MAX(0,MIN(_xlfn.DAYS(EDATE(S$1,1),Log_2019[[#This Row],[Date]]),Log_2019[[#This Row],[Split_apply]])) - SUM($O530:R530)</f>
        <v>-21.99</v>
      </c>
      <c r="T530" s="52">
        <f ca="1">Log_2019[[#This Row],[Amount]]/Log_2019[[#This Row],[Split_raw]]*MAX(0,MIN(_xlfn.DAYS(EDATE(T$1,1),Log_2019[[#This Row],[Date]]),Log_2019[[#This Row],[Split_apply]])) - SUM($O530:S530)</f>
        <v>0</v>
      </c>
      <c r="U530" s="52">
        <f ca="1">Log_2019[[#This Row],[Amount]]/Log_2019[[#This Row],[Split_raw]]*MAX(0,MIN(_xlfn.DAYS(EDATE(U$1,1),Log_2019[[#This Row],[Date]]),Log_2019[[#This Row],[Split_apply]])) - SUM($O530:T530)</f>
        <v>0</v>
      </c>
      <c r="V530" s="52">
        <f ca="1">Log_2019[[#This Row],[Amount]]/Log_2019[[#This Row],[Split_raw]]*MAX(0,MIN(_xlfn.DAYS(EDATE(V$1,1),Log_2019[[#This Row],[Date]]),Log_2019[[#This Row],[Split_apply]])) - SUM($O530:U530)</f>
        <v>0</v>
      </c>
      <c r="W530" s="52">
        <f ca="1">Log_2019[[#This Row],[Amount]]/Log_2019[[#This Row],[Split_raw]]*MAX(0,MIN(_xlfn.DAYS(EDATE(W$1,1),Log_2019[[#This Row],[Date]]),Log_2019[[#This Row],[Split_apply]])) - SUM($O530:V530)</f>
        <v>0</v>
      </c>
      <c r="X530" s="52">
        <f ca="1">Log_2019[[#This Row],[Amount]]/Log_2019[[#This Row],[Split_raw]]*MAX(0,MIN(_xlfn.DAYS(EDATE(X$1,1),Log_2019[[#This Row],[Date]]),Log_2019[[#This Row],[Split_apply]])) - SUM($O530:W530)</f>
        <v>0</v>
      </c>
      <c r="Y530" s="52">
        <f ca="1">Log_2019[[#This Row],[Amount]]/Log_2019[[#This Row],[Split_raw]]*MAX(0,MIN(_xlfn.DAYS(EDATE(Y$1,1),Log_2019[[#This Row],[Date]]),Log_2019[[#This Row],[Split_apply]])) - SUM($O530:X530)</f>
        <v>0</v>
      </c>
      <c r="Z530" s="52">
        <f ca="1">Log_2019[[#This Row],[Amount]]/Log_2019[[#This Row],[Split_raw]]*MAX(0,MIN(_xlfn.DAYS(EDATE(Z$1,1),Log_2019[[#This Row],[Date]]),Log_2019[[#This Row],[Split_apply]])) - SUM($O530:Y530)</f>
        <v>0</v>
      </c>
      <c r="AA530" s="52">
        <f ca="1">Log_2019[[#This Row],[Amount]]/Log_2019[[#This Row],[Split_raw]]*MAX(0,MIN(_xlfn.DAYS(EDATE(AA$1,1),Log_2019[[#This Row],[Date]]),Log_2019[[#This Row],[Split_apply]])) - SUM($O530:Z530)</f>
        <v>0</v>
      </c>
      <c r="AB530" s="54">
        <f ca="1">Log_2019[[#This Row],[Amount]]-SUM(O530:AA530)</f>
        <v>0</v>
      </c>
      <c r="AC530" s="7">
        <f>MAX(0,Log_2019[[#This Row],[Split_raw]] - (EDATE(AA$1,1)-Log_2019[[#This Row],[Date]]))</f>
        <v>0</v>
      </c>
    </row>
    <row r="531" spans="1:29" x14ac:dyDescent="0.25">
      <c r="A531" s="42"/>
      <c r="B531" s="34" t="s">
        <v>6</v>
      </c>
      <c r="C531" s="34"/>
      <c r="D531" s="35">
        <v>43577</v>
      </c>
      <c r="E531" s="34" t="s">
        <v>602</v>
      </c>
      <c r="F531" s="34" t="s">
        <v>597</v>
      </c>
      <c r="G531" s="34" t="s">
        <v>11</v>
      </c>
      <c r="H531" s="36">
        <v>-56.93</v>
      </c>
      <c r="I531" s="36">
        <f>IF(Log_2019[[#This Row],[My Category]]="NONTRACKED",0,Log_2019[[#This Row],[Raw Amount]])</f>
        <v>-56.93</v>
      </c>
      <c r="J531" s="37">
        <f>ABS(Log_2019[[#This Row],[Amount]])</f>
        <v>56.93</v>
      </c>
      <c r="K531" s="38">
        <v>1</v>
      </c>
      <c r="L531" s="38">
        <f ca="1">IF(Log_2019[[#This Row],[Date]]&lt;=TODAY(), MIN(Log_2019[[#This Row],[Split_raw]], TODAY()-Log_2019[[#This Row],[Date]]+1), 0)</f>
        <v>1</v>
      </c>
      <c r="M531" s="34" t="s">
        <v>145</v>
      </c>
      <c r="N531" s="34" t="s">
        <v>158</v>
      </c>
      <c r="O531" s="7">
        <v>0</v>
      </c>
      <c r="P531" s="52">
        <f ca="1">Log_2019[[#This Row],[Amount]]/Log_2019[[#This Row],[Split_raw]]*MAX(0,MIN(_xlfn.DAYS(EDATE(P$1,1),Log_2019[[#This Row],[Date]]),Log_2019[[#This Row],[Split_apply]])) - SUM($O531:O531)</f>
        <v>0</v>
      </c>
      <c r="Q531" s="52">
        <f ca="1">Log_2019[[#This Row],[Amount]]/Log_2019[[#This Row],[Split_raw]]*MAX(0,MIN(_xlfn.DAYS(EDATE(Q$1,1),Log_2019[[#This Row],[Date]]),Log_2019[[#This Row],[Split_apply]])) - SUM($O531:P531)</f>
        <v>0</v>
      </c>
      <c r="R531" s="52">
        <f ca="1">Log_2019[[#This Row],[Amount]]/Log_2019[[#This Row],[Split_raw]]*MAX(0,MIN(_xlfn.DAYS(EDATE(R$1,1),Log_2019[[#This Row],[Date]]),Log_2019[[#This Row],[Split_apply]])) - SUM($O531:Q531)</f>
        <v>0</v>
      </c>
      <c r="S531" s="52">
        <f ca="1">Log_2019[[#This Row],[Amount]]/Log_2019[[#This Row],[Split_raw]]*MAX(0,MIN(_xlfn.DAYS(EDATE(S$1,1),Log_2019[[#This Row],[Date]]),Log_2019[[#This Row],[Split_apply]])) - SUM($O531:R531)</f>
        <v>-56.93</v>
      </c>
      <c r="T531" s="52">
        <f ca="1">Log_2019[[#This Row],[Amount]]/Log_2019[[#This Row],[Split_raw]]*MAX(0,MIN(_xlfn.DAYS(EDATE(T$1,1),Log_2019[[#This Row],[Date]]),Log_2019[[#This Row],[Split_apply]])) - SUM($O531:S531)</f>
        <v>0</v>
      </c>
      <c r="U531" s="52">
        <f ca="1">Log_2019[[#This Row],[Amount]]/Log_2019[[#This Row],[Split_raw]]*MAX(0,MIN(_xlfn.DAYS(EDATE(U$1,1),Log_2019[[#This Row],[Date]]),Log_2019[[#This Row],[Split_apply]])) - SUM($O531:T531)</f>
        <v>0</v>
      </c>
      <c r="V531" s="52">
        <f ca="1">Log_2019[[#This Row],[Amount]]/Log_2019[[#This Row],[Split_raw]]*MAX(0,MIN(_xlfn.DAYS(EDATE(V$1,1),Log_2019[[#This Row],[Date]]),Log_2019[[#This Row],[Split_apply]])) - SUM($O531:U531)</f>
        <v>0</v>
      </c>
      <c r="W531" s="52">
        <f ca="1">Log_2019[[#This Row],[Amount]]/Log_2019[[#This Row],[Split_raw]]*MAX(0,MIN(_xlfn.DAYS(EDATE(W$1,1),Log_2019[[#This Row],[Date]]),Log_2019[[#This Row],[Split_apply]])) - SUM($O531:V531)</f>
        <v>0</v>
      </c>
      <c r="X531" s="52">
        <f ca="1">Log_2019[[#This Row],[Amount]]/Log_2019[[#This Row],[Split_raw]]*MAX(0,MIN(_xlfn.DAYS(EDATE(X$1,1),Log_2019[[#This Row],[Date]]),Log_2019[[#This Row],[Split_apply]])) - SUM($O531:W531)</f>
        <v>0</v>
      </c>
      <c r="Y531" s="52">
        <f ca="1">Log_2019[[#This Row],[Amount]]/Log_2019[[#This Row],[Split_raw]]*MAX(0,MIN(_xlfn.DAYS(EDATE(Y$1,1),Log_2019[[#This Row],[Date]]),Log_2019[[#This Row],[Split_apply]])) - SUM($O531:X531)</f>
        <v>0</v>
      </c>
      <c r="Z531" s="52">
        <f ca="1">Log_2019[[#This Row],[Amount]]/Log_2019[[#This Row],[Split_raw]]*MAX(0,MIN(_xlfn.DAYS(EDATE(Z$1,1),Log_2019[[#This Row],[Date]]),Log_2019[[#This Row],[Split_apply]])) - SUM($O531:Y531)</f>
        <v>0</v>
      </c>
      <c r="AA531" s="52">
        <f ca="1">Log_2019[[#This Row],[Amount]]/Log_2019[[#This Row],[Split_raw]]*MAX(0,MIN(_xlfn.DAYS(EDATE(AA$1,1),Log_2019[[#This Row],[Date]]),Log_2019[[#This Row],[Split_apply]])) - SUM($O531:Z531)</f>
        <v>0</v>
      </c>
      <c r="AB531" s="54">
        <f ca="1">Log_2019[[#This Row],[Amount]]-SUM(O531:AA531)</f>
        <v>0</v>
      </c>
      <c r="AC531" s="7">
        <f>MAX(0,Log_2019[[#This Row],[Split_raw]] - (EDATE(AA$1,1)-Log_2019[[#This Row],[Date]]))</f>
        <v>0</v>
      </c>
    </row>
    <row r="532" spans="1:29" x14ac:dyDescent="0.25">
      <c r="A532" s="42"/>
      <c r="B532" s="34" t="s">
        <v>6</v>
      </c>
      <c r="C532" s="34"/>
      <c r="D532" s="35">
        <v>43577</v>
      </c>
      <c r="E532" s="34"/>
      <c r="F532" s="34" t="s">
        <v>255</v>
      </c>
      <c r="G532" s="34" t="s">
        <v>25</v>
      </c>
      <c r="H532" s="36">
        <v>-10.48</v>
      </c>
      <c r="I532" s="36">
        <f>IF(Log_2019[[#This Row],[My Category]]="NONTRACKED",0,Log_2019[[#This Row],[Raw Amount]])</f>
        <v>-10.48</v>
      </c>
      <c r="J532" s="37">
        <f>ABS(Log_2019[[#This Row],[Amount]])</f>
        <v>10.48</v>
      </c>
      <c r="K532" s="38">
        <v>1</v>
      </c>
      <c r="L532" s="38">
        <f ca="1">IF(Log_2019[[#This Row],[Date]]&lt;=TODAY(), MIN(Log_2019[[#This Row],[Split_raw]], TODAY()-Log_2019[[#This Row],[Date]]+1), 0)</f>
        <v>1</v>
      </c>
      <c r="M532" s="34" t="s">
        <v>35</v>
      </c>
      <c r="N532" s="34" t="s">
        <v>158</v>
      </c>
      <c r="O532" s="7">
        <v>0</v>
      </c>
      <c r="P532" s="52">
        <f ca="1">Log_2019[[#This Row],[Amount]]/Log_2019[[#This Row],[Split_raw]]*MAX(0,MIN(_xlfn.DAYS(EDATE(P$1,1),Log_2019[[#This Row],[Date]]),Log_2019[[#This Row],[Split_apply]])) - SUM($O532:O532)</f>
        <v>0</v>
      </c>
      <c r="Q532" s="52">
        <f ca="1">Log_2019[[#This Row],[Amount]]/Log_2019[[#This Row],[Split_raw]]*MAX(0,MIN(_xlfn.DAYS(EDATE(Q$1,1),Log_2019[[#This Row],[Date]]),Log_2019[[#This Row],[Split_apply]])) - SUM($O532:P532)</f>
        <v>0</v>
      </c>
      <c r="R532" s="52">
        <f ca="1">Log_2019[[#This Row],[Amount]]/Log_2019[[#This Row],[Split_raw]]*MAX(0,MIN(_xlfn.DAYS(EDATE(R$1,1),Log_2019[[#This Row],[Date]]),Log_2019[[#This Row],[Split_apply]])) - SUM($O532:Q532)</f>
        <v>0</v>
      </c>
      <c r="S532" s="52">
        <f ca="1">Log_2019[[#This Row],[Amount]]/Log_2019[[#This Row],[Split_raw]]*MAX(0,MIN(_xlfn.DAYS(EDATE(S$1,1),Log_2019[[#This Row],[Date]]),Log_2019[[#This Row],[Split_apply]])) - SUM($O532:R532)</f>
        <v>-10.48</v>
      </c>
      <c r="T532" s="52">
        <f ca="1">Log_2019[[#This Row],[Amount]]/Log_2019[[#This Row],[Split_raw]]*MAX(0,MIN(_xlfn.DAYS(EDATE(T$1,1),Log_2019[[#This Row],[Date]]),Log_2019[[#This Row],[Split_apply]])) - SUM($O532:S532)</f>
        <v>0</v>
      </c>
      <c r="U532" s="52">
        <f ca="1">Log_2019[[#This Row],[Amount]]/Log_2019[[#This Row],[Split_raw]]*MAX(0,MIN(_xlfn.DAYS(EDATE(U$1,1),Log_2019[[#This Row],[Date]]),Log_2019[[#This Row],[Split_apply]])) - SUM($O532:T532)</f>
        <v>0</v>
      </c>
      <c r="V532" s="52">
        <f ca="1">Log_2019[[#This Row],[Amount]]/Log_2019[[#This Row],[Split_raw]]*MAX(0,MIN(_xlfn.DAYS(EDATE(V$1,1),Log_2019[[#This Row],[Date]]),Log_2019[[#This Row],[Split_apply]])) - SUM($O532:U532)</f>
        <v>0</v>
      </c>
      <c r="W532" s="52">
        <f ca="1">Log_2019[[#This Row],[Amount]]/Log_2019[[#This Row],[Split_raw]]*MAX(0,MIN(_xlfn.DAYS(EDATE(W$1,1),Log_2019[[#This Row],[Date]]),Log_2019[[#This Row],[Split_apply]])) - SUM($O532:V532)</f>
        <v>0</v>
      </c>
      <c r="X532" s="52">
        <f ca="1">Log_2019[[#This Row],[Amount]]/Log_2019[[#This Row],[Split_raw]]*MAX(0,MIN(_xlfn.DAYS(EDATE(X$1,1),Log_2019[[#This Row],[Date]]),Log_2019[[#This Row],[Split_apply]])) - SUM($O532:W532)</f>
        <v>0</v>
      </c>
      <c r="Y532" s="52">
        <f ca="1">Log_2019[[#This Row],[Amount]]/Log_2019[[#This Row],[Split_raw]]*MAX(0,MIN(_xlfn.DAYS(EDATE(Y$1,1),Log_2019[[#This Row],[Date]]),Log_2019[[#This Row],[Split_apply]])) - SUM($O532:X532)</f>
        <v>0</v>
      </c>
      <c r="Z532" s="52">
        <f ca="1">Log_2019[[#This Row],[Amount]]/Log_2019[[#This Row],[Split_raw]]*MAX(0,MIN(_xlfn.DAYS(EDATE(Z$1,1),Log_2019[[#This Row],[Date]]),Log_2019[[#This Row],[Split_apply]])) - SUM($O532:Y532)</f>
        <v>0</v>
      </c>
      <c r="AA532" s="52">
        <f ca="1">Log_2019[[#This Row],[Amount]]/Log_2019[[#This Row],[Split_raw]]*MAX(0,MIN(_xlfn.DAYS(EDATE(AA$1,1),Log_2019[[#This Row],[Date]]),Log_2019[[#This Row],[Split_apply]])) - SUM($O532:Z532)</f>
        <v>0</v>
      </c>
      <c r="AB532" s="54">
        <f ca="1">Log_2019[[#This Row],[Amount]]-SUM(O532:AA532)</f>
        <v>0</v>
      </c>
      <c r="AC532" s="7">
        <f>MAX(0,Log_2019[[#This Row],[Split_raw]] - (EDATE(AA$1,1)-Log_2019[[#This Row],[Date]]))</f>
        <v>0</v>
      </c>
    </row>
    <row r="533" spans="1:29" x14ac:dyDescent="0.25">
      <c r="A533" s="42"/>
      <c r="B533" s="34" t="s">
        <v>6</v>
      </c>
      <c r="C533" s="34"/>
      <c r="D533" s="35">
        <v>43577</v>
      </c>
      <c r="E533" s="34"/>
      <c r="F533" s="34" t="s">
        <v>583</v>
      </c>
      <c r="G533" s="34" t="s">
        <v>29</v>
      </c>
      <c r="H533" s="36">
        <v>-36.03</v>
      </c>
      <c r="I533" s="36">
        <f>IF(Log_2019[[#This Row],[My Category]]="NONTRACKED",0,Log_2019[[#This Row],[Raw Amount]])</f>
        <v>-36.03</v>
      </c>
      <c r="J533" s="37">
        <f>ABS(Log_2019[[#This Row],[Amount]])</f>
        <v>36.03</v>
      </c>
      <c r="K533" s="38">
        <v>30</v>
      </c>
      <c r="L533" s="38">
        <f ca="1">IF(Log_2019[[#This Row],[Date]]&lt;=TODAY(), MIN(Log_2019[[#This Row],[Split_raw]], TODAY()-Log_2019[[#This Row],[Date]]+1), 0)</f>
        <v>30</v>
      </c>
      <c r="M533" s="34" t="s">
        <v>29</v>
      </c>
      <c r="N533" s="34" t="s">
        <v>160</v>
      </c>
      <c r="O533" s="7">
        <v>0</v>
      </c>
      <c r="P533" s="52">
        <f ca="1">Log_2019[[#This Row],[Amount]]/Log_2019[[#This Row],[Split_raw]]*MAX(0,MIN(_xlfn.DAYS(EDATE(P$1,1),Log_2019[[#This Row],[Date]]),Log_2019[[#This Row],[Split_apply]])) - SUM($O533:O533)</f>
        <v>0</v>
      </c>
      <c r="Q533" s="52">
        <f ca="1">Log_2019[[#This Row],[Amount]]/Log_2019[[#This Row],[Split_raw]]*MAX(0,MIN(_xlfn.DAYS(EDATE(Q$1,1),Log_2019[[#This Row],[Date]]),Log_2019[[#This Row],[Split_apply]])) - SUM($O533:P533)</f>
        <v>0</v>
      </c>
      <c r="R533" s="52">
        <f ca="1">Log_2019[[#This Row],[Amount]]/Log_2019[[#This Row],[Split_raw]]*MAX(0,MIN(_xlfn.DAYS(EDATE(R$1,1),Log_2019[[#This Row],[Date]]),Log_2019[[#This Row],[Split_apply]])) - SUM($O533:Q533)</f>
        <v>0</v>
      </c>
      <c r="S533" s="52">
        <f ca="1">Log_2019[[#This Row],[Amount]]/Log_2019[[#This Row],[Split_raw]]*MAX(0,MIN(_xlfn.DAYS(EDATE(S$1,1),Log_2019[[#This Row],[Date]]),Log_2019[[#This Row],[Split_apply]])) - SUM($O533:R533)</f>
        <v>-10.809000000000001</v>
      </c>
      <c r="T533" s="52">
        <f ca="1">Log_2019[[#This Row],[Amount]]/Log_2019[[#This Row],[Split_raw]]*MAX(0,MIN(_xlfn.DAYS(EDATE(T$1,1),Log_2019[[#This Row],[Date]]),Log_2019[[#This Row],[Split_apply]])) - SUM($O533:S533)</f>
        <v>-25.221</v>
      </c>
      <c r="U533" s="52">
        <f ca="1">Log_2019[[#This Row],[Amount]]/Log_2019[[#This Row],[Split_raw]]*MAX(0,MIN(_xlfn.DAYS(EDATE(U$1,1),Log_2019[[#This Row],[Date]]),Log_2019[[#This Row],[Split_apply]])) - SUM($O533:T533)</f>
        <v>0</v>
      </c>
      <c r="V533" s="52">
        <f ca="1">Log_2019[[#This Row],[Amount]]/Log_2019[[#This Row],[Split_raw]]*MAX(0,MIN(_xlfn.DAYS(EDATE(V$1,1),Log_2019[[#This Row],[Date]]),Log_2019[[#This Row],[Split_apply]])) - SUM($O533:U533)</f>
        <v>0</v>
      </c>
      <c r="W533" s="52">
        <f ca="1">Log_2019[[#This Row],[Amount]]/Log_2019[[#This Row],[Split_raw]]*MAX(0,MIN(_xlfn.DAYS(EDATE(W$1,1),Log_2019[[#This Row],[Date]]),Log_2019[[#This Row],[Split_apply]])) - SUM($O533:V533)</f>
        <v>0</v>
      </c>
      <c r="X533" s="52">
        <f ca="1">Log_2019[[#This Row],[Amount]]/Log_2019[[#This Row],[Split_raw]]*MAX(0,MIN(_xlfn.DAYS(EDATE(X$1,1),Log_2019[[#This Row],[Date]]),Log_2019[[#This Row],[Split_apply]])) - SUM($O533:W533)</f>
        <v>0</v>
      </c>
      <c r="Y533" s="52">
        <f ca="1">Log_2019[[#This Row],[Amount]]/Log_2019[[#This Row],[Split_raw]]*MAX(0,MIN(_xlfn.DAYS(EDATE(Y$1,1),Log_2019[[#This Row],[Date]]),Log_2019[[#This Row],[Split_apply]])) - SUM($O533:X533)</f>
        <v>0</v>
      </c>
      <c r="Z533" s="52">
        <f ca="1">Log_2019[[#This Row],[Amount]]/Log_2019[[#This Row],[Split_raw]]*MAX(0,MIN(_xlfn.DAYS(EDATE(Z$1,1),Log_2019[[#This Row],[Date]]),Log_2019[[#This Row],[Split_apply]])) - SUM($O533:Y533)</f>
        <v>0</v>
      </c>
      <c r="AA533" s="52">
        <f ca="1">Log_2019[[#This Row],[Amount]]/Log_2019[[#This Row],[Split_raw]]*MAX(0,MIN(_xlfn.DAYS(EDATE(AA$1,1),Log_2019[[#This Row],[Date]]),Log_2019[[#This Row],[Split_apply]])) - SUM($O533:Z533)</f>
        <v>0</v>
      </c>
      <c r="AB533" s="54">
        <f ca="1">Log_2019[[#This Row],[Amount]]-SUM(O533:AA533)</f>
        <v>0</v>
      </c>
      <c r="AC533" s="7">
        <f>MAX(0,Log_2019[[#This Row],[Split_raw]] - (EDATE(AA$1,1)-Log_2019[[#This Row],[Date]]))</f>
        <v>0</v>
      </c>
    </row>
    <row r="534" spans="1:29" x14ac:dyDescent="0.25">
      <c r="A534" s="42"/>
      <c r="B534" s="34" t="s">
        <v>6</v>
      </c>
      <c r="C534" s="34"/>
      <c r="D534" s="35">
        <v>43575</v>
      </c>
      <c r="E534" s="34"/>
      <c r="F534" s="34" t="s">
        <v>554</v>
      </c>
      <c r="G534" s="34" t="s">
        <v>182</v>
      </c>
      <c r="H534" s="36">
        <v>-21.53</v>
      </c>
      <c r="I534" s="36">
        <f>IF(Log_2019[[#This Row],[My Category]]="NONTRACKED",0,Log_2019[[#This Row],[Raw Amount]])</f>
        <v>-21.53</v>
      </c>
      <c r="J534" s="37">
        <f>ABS(Log_2019[[#This Row],[Amount]])</f>
        <v>21.53</v>
      </c>
      <c r="K534" s="38">
        <v>1</v>
      </c>
      <c r="L534" s="38">
        <f ca="1">IF(Log_2019[[#This Row],[Date]]&lt;=TODAY(), MIN(Log_2019[[#This Row],[Split_raw]], TODAY()-Log_2019[[#This Row],[Date]]+1), 0)</f>
        <v>1</v>
      </c>
      <c r="M534" s="34" t="s">
        <v>12</v>
      </c>
      <c r="N534" s="34" t="s">
        <v>158</v>
      </c>
      <c r="O534" s="7">
        <v>0</v>
      </c>
      <c r="P534" s="52">
        <f ca="1">Log_2019[[#This Row],[Amount]]/Log_2019[[#This Row],[Split_raw]]*MAX(0,MIN(_xlfn.DAYS(EDATE(P$1,1),Log_2019[[#This Row],[Date]]),Log_2019[[#This Row],[Split_apply]])) - SUM($O534:O534)</f>
        <v>0</v>
      </c>
      <c r="Q534" s="52">
        <f ca="1">Log_2019[[#This Row],[Amount]]/Log_2019[[#This Row],[Split_raw]]*MAX(0,MIN(_xlfn.DAYS(EDATE(Q$1,1),Log_2019[[#This Row],[Date]]),Log_2019[[#This Row],[Split_apply]])) - SUM($O534:P534)</f>
        <v>0</v>
      </c>
      <c r="R534" s="52">
        <f ca="1">Log_2019[[#This Row],[Amount]]/Log_2019[[#This Row],[Split_raw]]*MAX(0,MIN(_xlfn.DAYS(EDATE(R$1,1),Log_2019[[#This Row],[Date]]),Log_2019[[#This Row],[Split_apply]])) - SUM($O534:Q534)</f>
        <v>0</v>
      </c>
      <c r="S534" s="52">
        <f ca="1">Log_2019[[#This Row],[Amount]]/Log_2019[[#This Row],[Split_raw]]*MAX(0,MIN(_xlfn.DAYS(EDATE(S$1,1),Log_2019[[#This Row],[Date]]),Log_2019[[#This Row],[Split_apply]])) - SUM($O534:R534)</f>
        <v>-21.53</v>
      </c>
      <c r="T534" s="52">
        <f ca="1">Log_2019[[#This Row],[Amount]]/Log_2019[[#This Row],[Split_raw]]*MAX(0,MIN(_xlfn.DAYS(EDATE(T$1,1),Log_2019[[#This Row],[Date]]),Log_2019[[#This Row],[Split_apply]])) - SUM($O534:S534)</f>
        <v>0</v>
      </c>
      <c r="U534" s="52">
        <f ca="1">Log_2019[[#This Row],[Amount]]/Log_2019[[#This Row],[Split_raw]]*MAX(0,MIN(_xlfn.DAYS(EDATE(U$1,1),Log_2019[[#This Row],[Date]]),Log_2019[[#This Row],[Split_apply]])) - SUM($O534:T534)</f>
        <v>0</v>
      </c>
      <c r="V534" s="52">
        <f ca="1">Log_2019[[#This Row],[Amount]]/Log_2019[[#This Row],[Split_raw]]*MAX(0,MIN(_xlfn.DAYS(EDATE(V$1,1),Log_2019[[#This Row],[Date]]),Log_2019[[#This Row],[Split_apply]])) - SUM($O534:U534)</f>
        <v>0</v>
      </c>
      <c r="W534" s="52">
        <f ca="1">Log_2019[[#This Row],[Amount]]/Log_2019[[#This Row],[Split_raw]]*MAX(0,MIN(_xlfn.DAYS(EDATE(W$1,1),Log_2019[[#This Row],[Date]]),Log_2019[[#This Row],[Split_apply]])) - SUM($O534:V534)</f>
        <v>0</v>
      </c>
      <c r="X534" s="52">
        <f ca="1">Log_2019[[#This Row],[Amount]]/Log_2019[[#This Row],[Split_raw]]*MAX(0,MIN(_xlfn.DAYS(EDATE(X$1,1),Log_2019[[#This Row],[Date]]),Log_2019[[#This Row],[Split_apply]])) - SUM($O534:W534)</f>
        <v>0</v>
      </c>
      <c r="Y534" s="52">
        <f ca="1">Log_2019[[#This Row],[Amount]]/Log_2019[[#This Row],[Split_raw]]*MAX(0,MIN(_xlfn.DAYS(EDATE(Y$1,1),Log_2019[[#This Row],[Date]]),Log_2019[[#This Row],[Split_apply]])) - SUM($O534:X534)</f>
        <v>0</v>
      </c>
      <c r="Z534" s="52">
        <f ca="1">Log_2019[[#This Row],[Amount]]/Log_2019[[#This Row],[Split_raw]]*MAX(0,MIN(_xlfn.DAYS(EDATE(Z$1,1),Log_2019[[#This Row],[Date]]),Log_2019[[#This Row],[Split_apply]])) - SUM($O534:Y534)</f>
        <v>0</v>
      </c>
      <c r="AA534" s="52">
        <f ca="1">Log_2019[[#This Row],[Amount]]/Log_2019[[#This Row],[Split_raw]]*MAX(0,MIN(_xlfn.DAYS(EDATE(AA$1,1),Log_2019[[#This Row],[Date]]),Log_2019[[#This Row],[Split_apply]])) - SUM($O534:Z534)</f>
        <v>0</v>
      </c>
      <c r="AB534" s="54">
        <f ca="1">Log_2019[[#This Row],[Amount]]-SUM(O534:AA534)</f>
        <v>0</v>
      </c>
      <c r="AC534" s="7">
        <f>MAX(0,Log_2019[[#This Row],[Split_raw]] - (EDATE(AA$1,1)-Log_2019[[#This Row],[Date]]))</f>
        <v>0</v>
      </c>
    </row>
    <row r="535" spans="1:29" x14ac:dyDescent="0.25">
      <c r="A535" s="42"/>
      <c r="B535" s="34" t="s">
        <v>6</v>
      </c>
      <c r="C535" s="34"/>
      <c r="D535" s="35">
        <v>43575</v>
      </c>
      <c r="E535" s="34"/>
      <c r="F535" s="34" t="s">
        <v>598</v>
      </c>
      <c r="G535" s="34" t="s">
        <v>12</v>
      </c>
      <c r="H535" s="36">
        <v>-19.96</v>
      </c>
      <c r="I535" s="36">
        <f>IF(Log_2019[[#This Row],[My Category]]="NONTRACKED",0,Log_2019[[#This Row],[Raw Amount]])</f>
        <v>-19.96</v>
      </c>
      <c r="J535" s="37">
        <f>ABS(Log_2019[[#This Row],[Amount]])</f>
        <v>19.96</v>
      </c>
      <c r="K535" s="38">
        <v>1</v>
      </c>
      <c r="L535" s="38">
        <f ca="1">IF(Log_2019[[#This Row],[Date]]&lt;=TODAY(), MIN(Log_2019[[#This Row],[Split_raw]], TODAY()-Log_2019[[#This Row],[Date]]+1), 0)</f>
        <v>1</v>
      </c>
      <c r="M535" s="34" t="s">
        <v>12</v>
      </c>
      <c r="N535" s="34" t="s">
        <v>158</v>
      </c>
      <c r="O535" s="7">
        <v>0</v>
      </c>
      <c r="P535" s="52">
        <f ca="1">Log_2019[[#This Row],[Amount]]/Log_2019[[#This Row],[Split_raw]]*MAX(0,MIN(_xlfn.DAYS(EDATE(P$1,1),Log_2019[[#This Row],[Date]]),Log_2019[[#This Row],[Split_apply]])) - SUM($O535:O535)</f>
        <v>0</v>
      </c>
      <c r="Q535" s="52">
        <f ca="1">Log_2019[[#This Row],[Amount]]/Log_2019[[#This Row],[Split_raw]]*MAX(0,MIN(_xlfn.DAYS(EDATE(Q$1,1),Log_2019[[#This Row],[Date]]),Log_2019[[#This Row],[Split_apply]])) - SUM($O535:P535)</f>
        <v>0</v>
      </c>
      <c r="R535" s="52">
        <f ca="1">Log_2019[[#This Row],[Amount]]/Log_2019[[#This Row],[Split_raw]]*MAX(0,MIN(_xlfn.DAYS(EDATE(R$1,1),Log_2019[[#This Row],[Date]]),Log_2019[[#This Row],[Split_apply]])) - SUM($O535:Q535)</f>
        <v>0</v>
      </c>
      <c r="S535" s="52">
        <f ca="1">Log_2019[[#This Row],[Amount]]/Log_2019[[#This Row],[Split_raw]]*MAX(0,MIN(_xlfn.DAYS(EDATE(S$1,1),Log_2019[[#This Row],[Date]]),Log_2019[[#This Row],[Split_apply]])) - SUM($O535:R535)</f>
        <v>-19.96</v>
      </c>
      <c r="T535" s="52">
        <f ca="1">Log_2019[[#This Row],[Amount]]/Log_2019[[#This Row],[Split_raw]]*MAX(0,MIN(_xlfn.DAYS(EDATE(T$1,1),Log_2019[[#This Row],[Date]]),Log_2019[[#This Row],[Split_apply]])) - SUM($O535:S535)</f>
        <v>0</v>
      </c>
      <c r="U535" s="52">
        <f ca="1">Log_2019[[#This Row],[Amount]]/Log_2019[[#This Row],[Split_raw]]*MAX(0,MIN(_xlfn.DAYS(EDATE(U$1,1),Log_2019[[#This Row],[Date]]),Log_2019[[#This Row],[Split_apply]])) - SUM($O535:T535)</f>
        <v>0</v>
      </c>
      <c r="V535" s="52">
        <f ca="1">Log_2019[[#This Row],[Amount]]/Log_2019[[#This Row],[Split_raw]]*MAX(0,MIN(_xlfn.DAYS(EDATE(V$1,1),Log_2019[[#This Row],[Date]]),Log_2019[[#This Row],[Split_apply]])) - SUM($O535:U535)</f>
        <v>0</v>
      </c>
      <c r="W535" s="52">
        <f ca="1">Log_2019[[#This Row],[Amount]]/Log_2019[[#This Row],[Split_raw]]*MAX(0,MIN(_xlfn.DAYS(EDATE(W$1,1),Log_2019[[#This Row],[Date]]),Log_2019[[#This Row],[Split_apply]])) - SUM($O535:V535)</f>
        <v>0</v>
      </c>
      <c r="X535" s="52">
        <f ca="1">Log_2019[[#This Row],[Amount]]/Log_2019[[#This Row],[Split_raw]]*MAX(0,MIN(_xlfn.DAYS(EDATE(X$1,1),Log_2019[[#This Row],[Date]]),Log_2019[[#This Row],[Split_apply]])) - SUM($O535:W535)</f>
        <v>0</v>
      </c>
      <c r="Y535" s="52">
        <f ca="1">Log_2019[[#This Row],[Amount]]/Log_2019[[#This Row],[Split_raw]]*MAX(0,MIN(_xlfn.DAYS(EDATE(Y$1,1),Log_2019[[#This Row],[Date]]),Log_2019[[#This Row],[Split_apply]])) - SUM($O535:X535)</f>
        <v>0</v>
      </c>
      <c r="Z535" s="52">
        <f ca="1">Log_2019[[#This Row],[Amount]]/Log_2019[[#This Row],[Split_raw]]*MAX(0,MIN(_xlfn.DAYS(EDATE(Z$1,1),Log_2019[[#This Row],[Date]]),Log_2019[[#This Row],[Split_apply]])) - SUM($O535:Y535)</f>
        <v>0</v>
      </c>
      <c r="AA535" s="52">
        <f ca="1">Log_2019[[#This Row],[Amount]]/Log_2019[[#This Row],[Split_raw]]*MAX(0,MIN(_xlfn.DAYS(EDATE(AA$1,1),Log_2019[[#This Row],[Date]]),Log_2019[[#This Row],[Split_apply]])) - SUM($O535:Z535)</f>
        <v>0</v>
      </c>
      <c r="AB535" s="54">
        <f ca="1">Log_2019[[#This Row],[Amount]]-SUM(O535:AA535)</f>
        <v>0</v>
      </c>
      <c r="AC535" s="7">
        <f>MAX(0,Log_2019[[#This Row],[Split_raw]] - (EDATE(AA$1,1)-Log_2019[[#This Row],[Date]]))</f>
        <v>0</v>
      </c>
    </row>
    <row r="536" spans="1:29" x14ac:dyDescent="0.25">
      <c r="A536" s="42"/>
      <c r="B536" s="34" t="s">
        <v>6</v>
      </c>
      <c r="C536" s="34"/>
      <c r="D536" s="35">
        <v>43573</v>
      </c>
      <c r="E536" s="34"/>
      <c r="F536" s="34" t="s">
        <v>59</v>
      </c>
      <c r="G536" s="34" t="s">
        <v>25</v>
      </c>
      <c r="H536" s="36">
        <v>-7.94</v>
      </c>
      <c r="I536" s="36">
        <f>IF(Log_2019[[#This Row],[My Category]]="NONTRACKED",0,Log_2019[[#This Row],[Raw Amount]])</f>
        <v>-7.94</v>
      </c>
      <c r="J536" s="37">
        <f>ABS(Log_2019[[#This Row],[Amount]])</f>
        <v>7.94</v>
      </c>
      <c r="K536" s="38">
        <v>1</v>
      </c>
      <c r="L536" s="38">
        <f ca="1">IF(Log_2019[[#This Row],[Date]]&lt;=TODAY(), MIN(Log_2019[[#This Row],[Split_raw]], TODAY()-Log_2019[[#This Row],[Date]]+1), 0)</f>
        <v>1</v>
      </c>
      <c r="M536" s="34" t="s">
        <v>35</v>
      </c>
      <c r="N536" s="34" t="s">
        <v>158</v>
      </c>
      <c r="O536" s="7">
        <v>0</v>
      </c>
      <c r="P536" s="52">
        <f ca="1">Log_2019[[#This Row],[Amount]]/Log_2019[[#This Row],[Split_raw]]*MAX(0,MIN(_xlfn.DAYS(EDATE(P$1,1),Log_2019[[#This Row],[Date]]),Log_2019[[#This Row],[Split_apply]])) - SUM($O536:O536)</f>
        <v>0</v>
      </c>
      <c r="Q536" s="52">
        <f ca="1">Log_2019[[#This Row],[Amount]]/Log_2019[[#This Row],[Split_raw]]*MAX(0,MIN(_xlfn.DAYS(EDATE(Q$1,1),Log_2019[[#This Row],[Date]]),Log_2019[[#This Row],[Split_apply]])) - SUM($O536:P536)</f>
        <v>0</v>
      </c>
      <c r="R536" s="52">
        <f ca="1">Log_2019[[#This Row],[Amount]]/Log_2019[[#This Row],[Split_raw]]*MAX(0,MIN(_xlfn.DAYS(EDATE(R$1,1),Log_2019[[#This Row],[Date]]),Log_2019[[#This Row],[Split_apply]])) - SUM($O536:Q536)</f>
        <v>0</v>
      </c>
      <c r="S536" s="52">
        <f ca="1">Log_2019[[#This Row],[Amount]]/Log_2019[[#This Row],[Split_raw]]*MAX(0,MIN(_xlfn.DAYS(EDATE(S$1,1),Log_2019[[#This Row],[Date]]),Log_2019[[#This Row],[Split_apply]])) - SUM($O536:R536)</f>
        <v>-7.94</v>
      </c>
      <c r="T536" s="52">
        <f ca="1">Log_2019[[#This Row],[Amount]]/Log_2019[[#This Row],[Split_raw]]*MAX(0,MIN(_xlfn.DAYS(EDATE(T$1,1),Log_2019[[#This Row],[Date]]),Log_2019[[#This Row],[Split_apply]])) - SUM($O536:S536)</f>
        <v>0</v>
      </c>
      <c r="U536" s="52">
        <f ca="1">Log_2019[[#This Row],[Amount]]/Log_2019[[#This Row],[Split_raw]]*MAX(0,MIN(_xlfn.DAYS(EDATE(U$1,1),Log_2019[[#This Row],[Date]]),Log_2019[[#This Row],[Split_apply]])) - SUM($O536:T536)</f>
        <v>0</v>
      </c>
      <c r="V536" s="52">
        <f ca="1">Log_2019[[#This Row],[Amount]]/Log_2019[[#This Row],[Split_raw]]*MAX(0,MIN(_xlfn.DAYS(EDATE(V$1,1),Log_2019[[#This Row],[Date]]),Log_2019[[#This Row],[Split_apply]])) - SUM($O536:U536)</f>
        <v>0</v>
      </c>
      <c r="W536" s="52">
        <f ca="1">Log_2019[[#This Row],[Amount]]/Log_2019[[#This Row],[Split_raw]]*MAX(0,MIN(_xlfn.DAYS(EDATE(W$1,1),Log_2019[[#This Row],[Date]]),Log_2019[[#This Row],[Split_apply]])) - SUM($O536:V536)</f>
        <v>0</v>
      </c>
      <c r="X536" s="52">
        <f ca="1">Log_2019[[#This Row],[Amount]]/Log_2019[[#This Row],[Split_raw]]*MAX(0,MIN(_xlfn.DAYS(EDATE(X$1,1),Log_2019[[#This Row],[Date]]),Log_2019[[#This Row],[Split_apply]])) - SUM($O536:W536)</f>
        <v>0</v>
      </c>
      <c r="Y536" s="52">
        <f ca="1">Log_2019[[#This Row],[Amount]]/Log_2019[[#This Row],[Split_raw]]*MAX(0,MIN(_xlfn.DAYS(EDATE(Y$1,1),Log_2019[[#This Row],[Date]]),Log_2019[[#This Row],[Split_apply]])) - SUM($O536:X536)</f>
        <v>0</v>
      </c>
      <c r="Z536" s="52">
        <f ca="1">Log_2019[[#This Row],[Amount]]/Log_2019[[#This Row],[Split_raw]]*MAX(0,MIN(_xlfn.DAYS(EDATE(Z$1,1),Log_2019[[#This Row],[Date]]),Log_2019[[#This Row],[Split_apply]])) - SUM($O536:Y536)</f>
        <v>0</v>
      </c>
      <c r="AA536" s="52">
        <f ca="1">Log_2019[[#This Row],[Amount]]/Log_2019[[#This Row],[Split_raw]]*MAX(0,MIN(_xlfn.DAYS(EDATE(AA$1,1),Log_2019[[#This Row],[Date]]),Log_2019[[#This Row],[Split_apply]])) - SUM($O536:Z536)</f>
        <v>0</v>
      </c>
      <c r="AB536" s="54">
        <f ca="1">Log_2019[[#This Row],[Amount]]-SUM(O536:AA536)</f>
        <v>0</v>
      </c>
      <c r="AC536" s="7">
        <f>MAX(0,Log_2019[[#This Row],[Split_raw]] - (EDATE(AA$1,1)-Log_2019[[#This Row],[Date]]))</f>
        <v>0</v>
      </c>
    </row>
    <row r="537" spans="1:29" x14ac:dyDescent="0.25">
      <c r="A537" s="42"/>
      <c r="B537" s="34" t="s">
        <v>6</v>
      </c>
      <c r="C537" s="34"/>
      <c r="D537" s="35">
        <v>43573</v>
      </c>
      <c r="E537" s="34"/>
      <c r="F537" s="34" t="s">
        <v>255</v>
      </c>
      <c r="G537" s="34" t="s">
        <v>25</v>
      </c>
      <c r="H537" s="36">
        <v>-4.82</v>
      </c>
      <c r="I537" s="36">
        <f>IF(Log_2019[[#This Row],[My Category]]="NONTRACKED",0,Log_2019[[#This Row],[Raw Amount]])</f>
        <v>-4.82</v>
      </c>
      <c r="J537" s="37">
        <f>ABS(Log_2019[[#This Row],[Amount]])</f>
        <v>4.82</v>
      </c>
      <c r="K537" s="38">
        <v>1</v>
      </c>
      <c r="L537" s="38">
        <f ca="1">IF(Log_2019[[#This Row],[Date]]&lt;=TODAY(), MIN(Log_2019[[#This Row],[Split_raw]], TODAY()-Log_2019[[#This Row],[Date]]+1), 0)</f>
        <v>1</v>
      </c>
      <c r="M537" s="34" t="s">
        <v>35</v>
      </c>
      <c r="N537" s="34" t="s">
        <v>158</v>
      </c>
      <c r="O537" s="7">
        <v>0</v>
      </c>
      <c r="P537" s="52">
        <f ca="1">Log_2019[[#This Row],[Amount]]/Log_2019[[#This Row],[Split_raw]]*MAX(0,MIN(_xlfn.DAYS(EDATE(P$1,1),Log_2019[[#This Row],[Date]]),Log_2019[[#This Row],[Split_apply]])) - SUM($O537:O537)</f>
        <v>0</v>
      </c>
      <c r="Q537" s="52">
        <f ca="1">Log_2019[[#This Row],[Amount]]/Log_2019[[#This Row],[Split_raw]]*MAX(0,MIN(_xlfn.DAYS(EDATE(Q$1,1),Log_2019[[#This Row],[Date]]),Log_2019[[#This Row],[Split_apply]])) - SUM($O537:P537)</f>
        <v>0</v>
      </c>
      <c r="R537" s="52">
        <f ca="1">Log_2019[[#This Row],[Amount]]/Log_2019[[#This Row],[Split_raw]]*MAX(0,MIN(_xlfn.DAYS(EDATE(R$1,1),Log_2019[[#This Row],[Date]]),Log_2019[[#This Row],[Split_apply]])) - SUM($O537:Q537)</f>
        <v>0</v>
      </c>
      <c r="S537" s="52">
        <f ca="1">Log_2019[[#This Row],[Amount]]/Log_2019[[#This Row],[Split_raw]]*MAX(0,MIN(_xlfn.DAYS(EDATE(S$1,1),Log_2019[[#This Row],[Date]]),Log_2019[[#This Row],[Split_apply]])) - SUM($O537:R537)</f>
        <v>-4.82</v>
      </c>
      <c r="T537" s="52">
        <f ca="1">Log_2019[[#This Row],[Amount]]/Log_2019[[#This Row],[Split_raw]]*MAX(0,MIN(_xlfn.DAYS(EDATE(T$1,1),Log_2019[[#This Row],[Date]]),Log_2019[[#This Row],[Split_apply]])) - SUM($O537:S537)</f>
        <v>0</v>
      </c>
      <c r="U537" s="52">
        <f ca="1">Log_2019[[#This Row],[Amount]]/Log_2019[[#This Row],[Split_raw]]*MAX(0,MIN(_xlfn.DAYS(EDATE(U$1,1),Log_2019[[#This Row],[Date]]),Log_2019[[#This Row],[Split_apply]])) - SUM($O537:T537)</f>
        <v>0</v>
      </c>
      <c r="V537" s="52">
        <f ca="1">Log_2019[[#This Row],[Amount]]/Log_2019[[#This Row],[Split_raw]]*MAX(0,MIN(_xlfn.DAYS(EDATE(V$1,1),Log_2019[[#This Row],[Date]]),Log_2019[[#This Row],[Split_apply]])) - SUM($O537:U537)</f>
        <v>0</v>
      </c>
      <c r="W537" s="52">
        <f ca="1">Log_2019[[#This Row],[Amount]]/Log_2019[[#This Row],[Split_raw]]*MAX(0,MIN(_xlfn.DAYS(EDATE(W$1,1),Log_2019[[#This Row],[Date]]),Log_2019[[#This Row],[Split_apply]])) - SUM($O537:V537)</f>
        <v>0</v>
      </c>
      <c r="X537" s="52">
        <f ca="1">Log_2019[[#This Row],[Amount]]/Log_2019[[#This Row],[Split_raw]]*MAX(0,MIN(_xlfn.DAYS(EDATE(X$1,1),Log_2019[[#This Row],[Date]]),Log_2019[[#This Row],[Split_apply]])) - SUM($O537:W537)</f>
        <v>0</v>
      </c>
      <c r="Y537" s="52">
        <f ca="1">Log_2019[[#This Row],[Amount]]/Log_2019[[#This Row],[Split_raw]]*MAX(0,MIN(_xlfn.DAYS(EDATE(Y$1,1),Log_2019[[#This Row],[Date]]),Log_2019[[#This Row],[Split_apply]])) - SUM($O537:X537)</f>
        <v>0</v>
      </c>
      <c r="Z537" s="52">
        <f ca="1">Log_2019[[#This Row],[Amount]]/Log_2019[[#This Row],[Split_raw]]*MAX(0,MIN(_xlfn.DAYS(EDATE(Z$1,1),Log_2019[[#This Row],[Date]]),Log_2019[[#This Row],[Split_apply]])) - SUM($O537:Y537)</f>
        <v>0</v>
      </c>
      <c r="AA537" s="52">
        <f ca="1">Log_2019[[#This Row],[Amount]]/Log_2019[[#This Row],[Split_raw]]*MAX(0,MIN(_xlfn.DAYS(EDATE(AA$1,1),Log_2019[[#This Row],[Date]]),Log_2019[[#This Row],[Split_apply]])) - SUM($O537:Z537)</f>
        <v>0</v>
      </c>
      <c r="AB537" s="54">
        <f ca="1">Log_2019[[#This Row],[Amount]]-SUM(O537:AA537)</f>
        <v>0</v>
      </c>
      <c r="AC537" s="7">
        <f>MAX(0,Log_2019[[#This Row],[Split_raw]] - (EDATE(AA$1,1)-Log_2019[[#This Row],[Date]]))</f>
        <v>0</v>
      </c>
    </row>
    <row r="538" spans="1:29" x14ac:dyDescent="0.25">
      <c r="A538" s="42"/>
      <c r="B538" s="34" t="s">
        <v>6</v>
      </c>
      <c r="C538" s="34"/>
      <c r="D538" s="35">
        <v>43573</v>
      </c>
      <c r="E538" s="34"/>
      <c r="F538" s="34" t="s">
        <v>255</v>
      </c>
      <c r="G538" s="34" t="s">
        <v>25</v>
      </c>
      <c r="H538" s="36">
        <v>-3.87</v>
      </c>
      <c r="I538" s="36">
        <f>IF(Log_2019[[#This Row],[My Category]]="NONTRACKED",0,Log_2019[[#This Row],[Raw Amount]])</f>
        <v>-3.87</v>
      </c>
      <c r="J538" s="37">
        <f>ABS(Log_2019[[#This Row],[Amount]])</f>
        <v>3.87</v>
      </c>
      <c r="K538" s="38">
        <v>1</v>
      </c>
      <c r="L538" s="38">
        <f ca="1">IF(Log_2019[[#This Row],[Date]]&lt;=TODAY(), MIN(Log_2019[[#This Row],[Split_raw]], TODAY()-Log_2019[[#This Row],[Date]]+1), 0)</f>
        <v>1</v>
      </c>
      <c r="M538" s="34" t="s">
        <v>35</v>
      </c>
      <c r="N538" s="34" t="s">
        <v>158</v>
      </c>
      <c r="O538" s="7">
        <v>0</v>
      </c>
      <c r="P538" s="52">
        <f ca="1">Log_2019[[#This Row],[Amount]]/Log_2019[[#This Row],[Split_raw]]*MAX(0,MIN(_xlfn.DAYS(EDATE(P$1,1),Log_2019[[#This Row],[Date]]),Log_2019[[#This Row],[Split_apply]])) - SUM($O538:O538)</f>
        <v>0</v>
      </c>
      <c r="Q538" s="52">
        <f ca="1">Log_2019[[#This Row],[Amount]]/Log_2019[[#This Row],[Split_raw]]*MAX(0,MIN(_xlfn.DAYS(EDATE(Q$1,1),Log_2019[[#This Row],[Date]]),Log_2019[[#This Row],[Split_apply]])) - SUM($O538:P538)</f>
        <v>0</v>
      </c>
      <c r="R538" s="52">
        <f ca="1">Log_2019[[#This Row],[Amount]]/Log_2019[[#This Row],[Split_raw]]*MAX(0,MIN(_xlfn.DAYS(EDATE(R$1,1),Log_2019[[#This Row],[Date]]),Log_2019[[#This Row],[Split_apply]])) - SUM($O538:Q538)</f>
        <v>0</v>
      </c>
      <c r="S538" s="52">
        <f ca="1">Log_2019[[#This Row],[Amount]]/Log_2019[[#This Row],[Split_raw]]*MAX(0,MIN(_xlfn.DAYS(EDATE(S$1,1),Log_2019[[#This Row],[Date]]),Log_2019[[#This Row],[Split_apply]])) - SUM($O538:R538)</f>
        <v>-3.87</v>
      </c>
      <c r="T538" s="52">
        <f ca="1">Log_2019[[#This Row],[Amount]]/Log_2019[[#This Row],[Split_raw]]*MAX(0,MIN(_xlfn.DAYS(EDATE(T$1,1),Log_2019[[#This Row],[Date]]),Log_2019[[#This Row],[Split_apply]])) - SUM($O538:S538)</f>
        <v>0</v>
      </c>
      <c r="U538" s="52">
        <f ca="1">Log_2019[[#This Row],[Amount]]/Log_2019[[#This Row],[Split_raw]]*MAX(0,MIN(_xlfn.DAYS(EDATE(U$1,1),Log_2019[[#This Row],[Date]]),Log_2019[[#This Row],[Split_apply]])) - SUM($O538:T538)</f>
        <v>0</v>
      </c>
      <c r="V538" s="52">
        <f ca="1">Log_2019[[#This Row],[Amount]]/Log_2019[[#This Row],[Split_raw]]*MAX(0,MIN(_xlfn.DAYS(EDATE(V$1,1),Log_2019[[#This Row],[Date]]),Log_2019[[#This Row],[Split_apply]])) - SUM($O538:U538)</f>
        <v>0</v>
      </c>
      <c r="W538" s="52">
        <f ca="1">Log_2019[[#This Row],[Amount]]/Log_2019[[#This Row],[Split_raw]]*MAX(0,MIN(_xlfn.DAYS(EDATE(W$1,1),Log_2019[[#This Row],[Date]]),Log_2019[[#This Row],[Split_apply]])) - SUM($O538:V538)</f>
        <v>0</v>
      </c>
      <c r="X538" s="52">
        <f ca="1">Log_2019[[#This Row],[Amount]]/Log_2019[[#This Row],[Split_raw]]*MAX(0,MIN(_xlfn.DAYS(EDATE(X$1,1),Log_2019[[#This Row],[Date]]),Log_2019[[#This Row],[Split_apply]])) - SUM($O538:W538)</f>
        <v>0</v>
      </c>
      <c r="Y538" s="52">
        <f ca="1">Log_2019[[#This Row],[Amount]]/Log_2019[[#This Row],[Split_raw]]*MAX(0,MIN(_xlfn.DAYS(EDATE(Y$1,1),Log_2019[[#This Row],[Date]]),Log_2019[[#This Row],[Split_apply]])) - SUM($O538:X538)</f>
        <v>0</v>
      </c>
      <c r="Z538" s="52">
        <f ca="1">Log_2019[[#This Row],[Amount]]/Log_2019[[#This Row],[Split_raw]]*MAX(0,MIN(_xlfn.DAYS(EDATE(Z$1,1),Log_2019[[#This Row],[Date]]),Log_2019[[#This Row],[Split_apply]])) - SUM($O538:Y538)</f>
        <v>0</v>
      </c>
      <c r="AA538" s="52">
        <f ca="1">Log_2019[[#This Row],[Amount]]/Log_2019[[#This Row],[Split_raw]]*MAX(0,MIN(_xlfn.DAYS(EDATE(AA$1,1),Log_2019[[#This Row],[Date]]),Log_2019[[#This Row],[Split_apply]])) - SUM($O538:Z538)</f>
        <v>0</v>
      </c>
      <c r="AB538" s="54">
        <f ca="1">Log_2019[[#This Row],[Amount]]-SUM(O538:AA538)</f>
        <v>0</v>
      </c>
      <c r="AC538" s="7">
        <f>MAX(0,Log_2019[[#This Row],[Split_raw]] - (EDATE(AA$1,1)-Log_2019[[#This Row],[Date]]))</f>
        <v>0</v>
      </c>
    </row>
    <row r="539" spans="1:29" x14ac:dyDescent="0.25">
      <c r="A539" s="42"/>
      <c r="B539" s="34" t="s">
        <v>490</v>
      </c>
      <c r="C539" s="34">
        <v>2.7249499168235802E+18</v>
      </c>
      <c r="D539" s="41">
        <v>43573</v>
      </c>
      <c r="E539" s="34"/>
      <c r="F539" s="34" t="s">
        <v>497</v>
      </c>
      <c r="G539" s="34"/>
      <c r="H539" s="45">
        <v>-8</v>
      </c>
      <c r="I539" s="36">
        <f>IF(Log_2019[[#This Row],[My Category]]="NONTRACKED",0,Log_2019[[#This Row],[Raw Amount]])</f>
        <v>-8</v>
      </c>
      <c r="J539" s="37">
        <f>ABS(Log_2019[[#This Row],[Amount]])</f>
        <v>8</v>
      </c>
      <c r="K539" s="38">
        <v>1</v>
      </c>
      <c r="L539" s="38">
        <f ca="1">IF(Log_2019[[#This Row],[Date]]&lt;=TODAY(), MIN(Log_2019[[#This Row],[Split_raw]], TODAY()-Log_2019[[#This Row],[Date]]+1), 0)</f>
        <v>1</v>
      </c>
      <c r="M539" s="34" t="s">
        <v>35</v>
      </c>
      <c r="N539" s="34" t="s">
        <v>490</v>
      </c>
      <c r="O539" s="7">
        <v>0</v>
      </c>
      <c r="P539" s="52">
        <f ca="1">Log_2019[[#This Row],[Amount]]/Log_2019[[#This Row],[Split_raw]]*MAX(0,MIN(_xlfn.DAYS(EDATE(P$1,1),Log_2019[[#This Row],[Date]]),Log_2019[[#This Row],[Split_apply]])) - SUM($O539:O539)</f>
        <v>0</v>
      </c>
      <c r="Q539" s="52">
        <f ca="1">Log_2019[[#This Row],[Amount]]/Log_2019[[#This Row],[Split_raw]]*MAX(0,MIN(_xlfn.DAYS(EDATE(Q$1,1),Log_2019[[#This Row],[Date]]),Log_2019[[#This Row],[Split_apply]])) - SUM($O539:P539)</f>
        <v>0</v>
      </c>
      <c r="R539" s="52">
        <f ca="1">Log_2019[[#This Row],[Amount]]/Log_2019[[#This Row],[Split_raw]]*MAX(0,MIN(_xlfn.DAYS(EDATE(R$1,1),Log_2019[[#This Row],[Date]]),Log_2019[[#This Row],[Split_apply]])) - SUM($O539:Q539)</f>
        <v>0</v>
      </c>
      <c r="S539" s="52">
        <f ca="1">Log_2019[[#This Row],[Amount]]/Log_2019[[#This Row],[Split_raw]]*MAX(0,MIN(_xlfn.DAYS(EDATE(S$1,1),Log_2019[[#This Row],[Date]]),Log_2019[[#This Row],[Split_apply]])) - SUM($O539:R539)</f>
        <v>-8</v>
      </c>
      <c r="T539" s="52">
        <f ca="1">Log_2019[[#This Row],[Amount]]/Log_2019[[#This Row],[Split_raw]]*MAX(0,MIN(_xlfn.DAYS(EDATE(T$1,1),Log_2019[[#This Row],[Date]]),Log_2019[[#This Row],[Split_apply]])) - SUM($O539:S539)</f>
        <v>0</v>
      </c>
      <c r="U539" s="52">
        <f ca="1">Log_2019[[#This Row],[Amount]]/Log_2019[[#This Row],[Split_raw]]*MAX(0,MIN(_xlfn.DAYS(EDATE(U$1,1),Log_2019[[#This Row],[Date]]),Log_2019[[#This Row],[Split_apply]])) - SUM($O539:T539)</f>
        <v>0</v>
      </c>
      <c r="V539" s="52">
        <f ca="1">Log_2019[[#This Row],[Amount]]/Log_2019[[#This Row],[Split_raw]]*MAX(0,MIN(_xlfn.DAYS(EDATE(V$1,1),Log_2019[[#This Row],[Date]]),Log_2019[[#This Row],[Split_apply]])) - SUM($O539:U539)</f>
        <v>0</v>
      </c>
      <c r="W539" s="52">
        <f ca="1">Log_2019[[#This Row],[Amount]]/Log_2019[[#This Row],[Split_raw]]*MAX(0,MIN(_xlfn.DAYS(EDATE(W$1,1),Log_2019[[#This Row],[Date]]),Log_2019[[#This Row],[Split_apply]])) - SUM($O539:V539)</f>
        <v>0</v>
      </c>
      <c r="X539" s="52">
        <f ca="1">Log_2019[[#This Row],[Amount]]/Log_2019[[#This Row],[Split_raw]]*MAX(0,MIN(_xlfn.DAYS(EDATE(X$1,1),Log_2019[[#This Row],[Date]]),Log_2019[[#This Row],[Split_apply]])) - SUM($O539:W539)</f>
        <v>0</v>
      </c>
      <c r="Y539" s="52">
        <f ca="1">Log_2019[[#This Row],[Amount]]/Log_2019[[#This Row],[Split_raw]]*MAX(0,MIN(_xlfn.DAYS(EDATE(Y$1,1),Log_2019[[#This Row],[Date]]),Log_2019[[#This Row],[Split_apply]])) - SUM($O539:X539)</f>
        <v>0</v>
      </c>
      <c r="Z539" s="52">
        <f ca="1">Log_2019[[#This Row],[Amount]]/Log_2019[[#This Row],[Split_raw]]*MAX(0,MIN(_xlfn.DAYS(EDATE(Z$1,1),Log_2019[[#This Row],[Date]]),Log_2019[[#This Row],[Split_apply]])) - SUM($O539:Y539)</f>
        <v>0</v>
      </c>
      <c r="AA539" s="52">
        <f ca="1">Log_2019[[#This Row],[Amount]]/Log_2019[[#This Row],[Split_raw]]*MAX(0,MIN(_xlfn.DAYS(EDATE(AA$1,1),Log_2019[[#This Row],[Date]]),Log_2019[[#This Row],[Split_apply]])) - SUM($O539:Z539)</f>
        <v>0</v>
      </c>
      <c r="AB539" s="54">
        <f ca="1">Log_2019[[#This Row],[Amount]]-SUM(O539:AA539)</f>
        <v>0</v>
      </c>
      <c r="AC539" s="7">
        <f>MAX(0,Log_2019[[#This Row],[Split_raw]] - (EDATE(AA$1,1)-Log_2019[[#This Row],[Date]]))</f>
        <v>0</v>
      </c>
    </row>
    <row r="540" spans="1:29" x14ac:dyDescent="0.25">
      <c r="A540" s="42"/>
      <c r="B540" s="34" t="s">
        <v>6</v>
      </c>
      <c r="C540" s="34"/>
      <c r="D540" s="35">
        <v>43572</v>
      </c>
      <c r="E540" s="34"/>
      <c r="F540" s="34" t="s">
        <v>584</v>
      </c>
      <c r="G540" s="34" t="s">
        <v>20</v>
      </c>
      <c r="H540" s="36">
        <v>-20</v>
      </c>
      <c r="I540" s="36">
        <f>IF(Log_2019[[#This Row],[My Category]]="NONTRACKED",0,Log_2019[[#This Row],[Raw Amount]])</f>
        <v>-20</v>
      </c>
      <c r="J540" s="37">
        <f>ABS(Log_2019[[#This Row],[Amount]])</f>
        <v>20</v>
      </c>
      <c r="K540" s="38">
        <v>1</v>
      </c>
      <c r="L540" s="38">
        <f ca="1">IF(Log_2019[[#This Row],[Date]]&lt;=TODAY(), MIN(Log_2019[[#This Row],[Split_raw]], TODAY()-Log_2019[[#This Row],[Date]]+1), 0)</f>
        <v>1</v>
      </c>
      <c r="M540" s="34" t="s">
        <v>34</v>
      </c>
      <c r="N540" s="34" t="s">
        <v>160</v>
      </c>
      <c r="O540" s="7">
        <v>0</v>
      </c>
      <c r="P540" s="52">
        <f ca="1">Log_2019[[#This Row],[Amount]]/Log_2019[[#This Row],[Split_raw]]*MAX(0,MIN(_xlfn.DAYS(EDATE(P$1,1),Log_2019[[#This Row],[Date]]),Log_2019[[#This Row],[Split_apply]])) - SUM($O540:O540)</f>
        <v>0</v>
      </c>
      <c r="Q540" s="52">
        <f ca="1">Log_2019[[#This Row],[Amount]]/Log_2019[[#This Row],[Split_raw]]*MAX(0,MIN(_xlfn.DAYS(EDATE(Q$1,1),Log_2019[[#This Row],[Date]]),Log_2019[[#This Row],[Split_apply]])) - SUM($O540:P540)</f>
        <v>0</v>
      </c>
      <c r="R540" s="52">
        <f ca="1">Log_2019[[#This Row],[Amount]]/Log_2019[[#This Row],[Split_raw]]*MAX(0,MIN(_xlfn.DAYS(EDATE(R$1,1),Log_2019[[#This Row],[Date]]),Log_2019[[#This Row],[Split_apply]])) - SUM($O540:Q540)</f>
        <v>0</v>
      </c>
      <c r="S540" s="52">
        <f ca="1">Log_2019[[#This Row],[Amount]]/Log_2019[[#This Row],[Split_raw]]*MAX(0,MIN(_xlfn.DAYS(EDATE(S$1,1),Log_2019[[#This Row],[Date]]),Log_2019[[#This Row],[Split_apply]])) - SUM($O540:R540)</f>
        <v>-20</v>
      </c>
      <c r="T540" s="52">
        <f ca="1">Log_2019[[#This Row],[Amount]]/Log_2019[[#This Row],[Split_raw]]*MAX(0,MIN(_xlfn.DAYS(EDATE(T$1,1),Log_2019[[#This Row],[Date]]),Log_2019[[#This Row],[Split_apply]])) - SUM($O540:S540)</f>
        <v>0</v>
      </c>
      <c r="U540" s="52">
        <f ca="1">Log_2019[[#This Row],[Amount]]/Log_2019[[#This Row],[Split_raw]]*MAX(0,MIN(_xlfn.DAYS(EDATE(U$1,1),Log_2019[[#This Row],[Date]]),Log_2019[[#This Row],[Split_apply]])) - SUM($O540:T540)</f>
        <v>0</v>
      </c>
      <c r="V540" s="52">
        <f ca="1">Log_2019[[#This Row],[Amount]]/Log_2019[[#This Row],[Split_raw]]*MAX(0,MIN(_xlfn.DAYS(EDATE(V$1,1),Log_2019[[#This Row],[Date]]),Log_2019[[#This Row],[Split_apply]])) - SUM($O540:U540)</f>
        <v>0</v>
      </c>
      <c r="W540" s="52">
        <f ca="1">Log_2019[[#This Row],[Amount]]/Log_2019[[#This Row],[Split_raw]]*MAX(0,MIN(_xlfn.DAYS(EDATE(W$1,1),Log_2019[[#This Row],[Date]]),Log_2019[[#This Row],[Split_apply]])) - SUM($O540:V540)</f>
        <v>0</v>
      </c>
      <c r="X540" s="52">
        <f ca="1">Log_2019[[#This Row],[Amount]]/Log_2019[[#This Row],[Split_raw]]*MAX(0,MIN(_xlfn.DAYS(EDATE(X$1,1),Log_2019[[#This Row],[Date]]),Log_2019[[#This Row],[Split_apply]])) - SUM($O540:W540)</f>
        <v>0</v>
      </c>
      <c r="Y540" s="52">
        <f ca="1">Log_2019[[#This Row],[Amount]]/Log_2019[[#This Row],[Split_raw]]*MAX(0,MIN(_xlfn.DAYS(EDATE(Y$1,1),Log_2019[[#This Row],[Date]]),Log_2019[[#This Row],[Split_apply]])) - SUM($O540:X540)</f>
        <v>0</v>
      </c>
      <c r="Z540" s="52">
        <f ca="1">Log_2019[[#This Row],[Amount]]/Log_2019[[#This Row],[Split_raw]]*MAX(0,MIN(_xlfn.DAYS(EDATE(Z$1,1),Log_2019[[#This Row],[Date]]),Log_2019[[#This Row],[Split_apply]])) - SUM($O540:Y540)</f>
        <v>0</v>
      </c>
      <c r="AA540" s="52">
        <f ca="1">Log_2019[[#This Row],[Amount]]/Log_2019[[#This Row],[Split_raw]]*MAX(0,MIN(_xlfn.DAYS(EDATE(AA$1,1),Log_2019[[#This Row],[Date]]),Log_2019[[#This Row],[Split_apply]])) - SUM($O540:Z540)</f>
        <v>0</v>
      </c>
      <c r="AB540" s="54">
        <f ca="1">Log_2019[[#This Row],[Amount]]-SUM(O540:AA540)</f>
        <v>0</v>
      </c>
      <c r="AC540" s="7">
        <f>MAX(0,Log_2019[[#This Row],[Split_raw]] - (EDATE(AA$1,1)-Log_2019[[#This Row],[Date]]))</f>
        <v>0</v>
      </c>
    </row>
    <row r="541" spans="1:29" x14ac:dyDescent="0.25">
      <c r="A541" s="42"/>
      <c r="B541" s="34" t="s">
        <v>6</v>
      </c>
      <c r="C541" s="34"/>
      <c r="D541" s="35">
        <v>43571</v>
      </c>
      <c r="E541" s="34"/>
      <c r="F541" s="34" t="s">
        <v>255</v>
      </c>
      <c r="G541" s="34" t="s">
        <v>25</v>
      </c>
      <c r="H541" s="36">
        <v>-8.52</v>
      </c>
      <c r="I541" s="36">
        <f>IF(Log_2019[[#This Row],[My Category]]="NONTRACKED",0,Log_2019[[#This Row],[Raw Amount]])</f>
        <v>-8.52</v>
      </c>
      <c r="J541" s="37">
        <f>ABS(Log_2019[[#This Row],[Amount]])</f>
        <v>8.52</v>
      </c>
      <c r="K541" s="38">
        <v>1</v>
      </c>
      <c r="L541" s="38">
        <f ca="1">IF(Log_2019[[#This Row],[Date]]&lt;=TODAY(), MIN(Log_2019[[#This Row],[Split_raw]], TODAY()-Log_2019[[#This Row],[Date]]+1), 0)</f>
        <v>1</v>
      </c>
      <c r="M541" s="34" t="s">
        <v>35</v>
      </c>
      <c r="N541" s="34" t="s">
        <v>158</v>
      </c>
      <c r="O541" s="7">
        <v>0</v>
      </c>
      <c r="P541" s="52">
        <f ca="1">Log_2019[[#This Row],[Amount]]/Log_2019[[#This Row],[Split_raw]]*MAX(0,MIN(_xlfn.DAYS(EDATE(P$1,1),Log_2019[[#This Row],[Date]]),Log_2019[[#This Row],[Split_apply]])) - SUM($O541:O541)</f>
        <v>0</v>
      </c>
      <c r="Q541" s="52">
        <f ca="1">Log_2019[[#This Row],[Amount]]/Log_2019[[#This Row],[Split_raw]]*MAX(0,MIN(_xlfn.DAYS(EDATE(Q$1,1),Log_2019[[#This Row],[Date]]),Log_2019[[#This Row],[Split_apply]])) - SUM($O541:P541)</f>
        <v>0</v>
      </c>
      <c r="R541" s="52">
        <f ca="1">Log_2019[[#This Row],[Amount]]/Log_2019[[#This Row],[Split_raw]]*MAX(0,MIN(_xlfn.DAYS(EDATE(R$1,1),Log_2019[[#This Row],[Date]]),Log_2019[[#This Row],[Split_apply]])) - SUM($O541:Q541)</f>
        <v>0</v>
      </c>
      <c r="S541" s="52">
        <f ca="1">Log_2019[[#This Row],[Amount]]/Log_2019[[#This Row],[Split_raw]]*MAX(0,MIN(_xlfn.DAYS(EDATE(S$1,1),Log_2019[[#This Row],[Date]]),Log_2019[[#This Row],[Split_apply]])) - SUM($O541:R541)</f>
        <v>-8.52</v>
      </c>
      <c r="T541" s="52">
        <f ca="1">Log_2019[[#This Row],[Amount]]/Log_2019[[#This Row],[Split_raw]]*MAX(0,MIN(_xlfn.DAYS(EDATE(T$1,1),Log_2019[[#This Row],[Date]]),Log_2019[[#This Row],[Split_apply]])) - SUM($O541:S541)</f>
        <v>0</v>
      </c>
      <c r="U541" s="52">
        <f ca="1">Log_2019[[#This Row],[Amount]]/Log_2019[[#This Row],[Split_raw]]*MAX(0,MIN(_xlfn.DAYS(EDATE(U$1,1),Log_2019[[#This Row],[Date]]),Log_2019[[#This Row],[Split_apply]])) - SUM($O541:T541)</f>
        <v>0</v>
      </c>
      <c r="V541" s="52">
        <f ca="1">Log_2019[[#This Row],[Amount]]/Log_2019[[#This Row],[Split_raw]]*MAX(0,MIN(_xlfn.DAYS(EDATE(V$1,1),Log_2019[[#This Row],[Date]]),Log_2019[[#This Row],[Split_apply]])) - SUM($O541:U541)</f>
        <v>0</v>
      </c>
      <c r="W541" s="52">
        <f ca="1">Log_2019[[#This Row],[Amount]]/Log_2019[[#This Row],[Split_raw]]*MAX(0,MIN(_xlfn.DAYS(EDATE(W$1,1),Log_2019[[#This Row],[Date]]),Log_2019[[#This Row],[Split_apply]])) - SUM($O541:V541)</f>
        <v>0</v>
      </c>
      <c r="X541" s="52">
        <f ca="1">Log_2019[[#This Row],[Amount]]/Log_2019[[#This Row],[Split_raw]]*MAX(0,MIN(_xlfn.DAYS(EDATE(X$1,1),Log_2019[[#This Row],[Date]]),Log_2019[[#This Row],[Split_apply]])) - SUM($O541:W541)</f>
        <v>0</v>
      </c>
      <c r="Y541" s="52">
        <f ca="1">Log_2019[[#This Row],[Amount]]/Log_2019[[#This Row],[Split_raw]]*MAX(0,MIN(_xlfn.DAYS(EDATE(Y$1,1),Log_2019[[#This Row],[Date]]),Log_2019[[#This Row],[Split_apply]])) - SUM($O541:X541)</f>
        <v>0</v>
      </c>
      <c r="Z541" s="52">
        <f ca="1">Log_2019[[#This Row],[Amount]]/Log_2019[[#This Row],[Split_raw]]*MAX(0,MIN(_xlfn.DAYS(EDATE(Z$1,1),Log_2019[[#This Row],[Date]]),Log_2019[[#This Row],[Split_apply]])) - SUM($O541:Y541)</f>
        <v>0</v>
      </c>
      <c r="AA541" s="52">
        <f ca="1">Log_2019[[#This Row],[Amount]]/Log_2019[[#This Row],[Split_raw]]*MAX(0,MIN(_xlfn.DAYS(EDATE(AA$1,1),Log_2019[[#This Row],[Date]]),Log_2019[[#This Row],[Split_apply]])) - SUM($O541:Z541)</f>
        <v>0</v>
      </c>
      <c r="AB541" s="54">
        <f ca="1">Log_2019[[#This Row],[Amount]]-SUM(O541:AA541)</f>
        <v>0</v>
      </c>
      <c r="AC541" s="7">
        <f>MAX(0,Log_2019[[#This Row],[Split_raw]] - (EDATE(AA$1,1)-Log_2019[[#This Row],[Date]]))</f>
        <v>0</v>
      </c>
    </row>
    <row r="542" spans="1:29" x14ac:dyDescent="0.25">
      <c r="A542" s="42"/>
      <c r="B542" s="34" t="s">
        <v>6</v>
      </c>
      <c r="C542" s="34"/>
      <c r="D542" s="35">
        <v>43571</v>
      </c>
      <c r="E542" s="34"/>
      <c r="F542" s="34" t="s">
        <v>585</v>
      </c>
      <c r="G542" s="34" t="s">
        <v>586</v>
      </c>
      <c r="H542" s="36">
        <v>-695</v>
      </c>
      <c r="I542" s="36">
        <f>IF(Log_2019[[#This Row],[My Category]]="NONTRACKED",0,Log_2019[[#This Row],[Raw Amount]])</f>
        <v>-695</v>
      </c>
      <c r="J542" s="37">
        <f>ABS(Log_2019[[#This Row],[Amount]])</f>
        <v>695</v>
      </c>
      <c r="K542" s="38">
        <v>1</v>
      </c>
      <c r="L542" s="38">
        <f ca="1">IF(Log_2019[[#This Row],[Date]]&lt;=TODAY(), MIN(Log_2019[[#This Row],[Split_raw]], TODAY()-Log_2019[[#This Row],[Date]]+1), 0)</f>
        <v>1</v>
      </c>
      <c r="M542" s="34" t="s">
        <v>34</v>
      </c>
      <c r="N542" s="34" t="s">
        <v>160</v>
      </c>
      <c r="O542" s="7">
        <v>0</v>
      </c>
      <c r="P542" s="52">
        <f ca="1">Log_2019[[#This Row],[Amount]]/Log_2019[[#This Row],[Split_raw]]*MAX(0,MIN(_xlfn.DAYS(EDATE(P$1,1),Log_2019[[#This Row],[Date]]),Log_2019[[#This Row],[Split_apply]])) - SUM($O542:O542)</f>
        <v>0</v>
      </c>
      <c r="Q542" s="52">
        <f ca="1">Log_2019[[#This Row],[Amount]]/Log_2019[[#This Row],[Split_raw]]*MAX(0,MIN(_xlfn.DAYS(EDATE(Q$1,1),Log_2019[[#This Row],[Date]]),Log_2019[[#This Row],[Split_apply]])) - SUM($O542:P542)</f>
        <v>0</v>
      </c>
      <c r="R542" s="52">
        <f ca="1">Log_2019[[#This Row],[Amount]]/Log_2019[[#This Row],[Split_raw]]*MAX(0,MIN(_xlfn.DAYS(EDATE(R$1,1),Log_2019[[#This Row],[Date]]),Log_2019[[#This Row],[Split_apply]])) - SUM($O542:Q542)</f>
        <v>0</v>
      </c>
      <c r="S542" s="52">
        <f ca="1">Log_2019[[#This Row],[Amount]]/Log_2019[[#This Row],[Split_raw]]*MAX(0,MIN(_xlfn.DAYS(EDATE(S$1,1),Log_2019[[#This Row],[Date]]),Log_2019[[#This Row],[Split_apply]])) - SUM($O542:R542)</f>
        <v>-695</v>
      </c>
      <c r="T542" s="52">
        <f ca="1">Log_2019[[#This Row],[Amount]]/Log_2019[[#This Row],[Split_raw]]*MAX(0,MIN(_xlfn.DAYS(EDATE(T$1,1),Log_2019[[#This Row],[Date]]),Log_2019[[#This Row],[Split_apply]])) - SUM($O542:S542)</f>
        <v>0</v>
      </c>
      <c r="U542" s="52">
        <f ca="1">Log_2019[[#This Row],[Amount]]/Log_2019[[#This Row],[Split_raw]]*MAX(0,MIN(_xlfn.DAYS(EDATE(U$1,1),Log_2019[[#This Row],[Date]]),Log_2019[[#This Row],[Split_apply]])) - SUM($O542:T542)</f>
        <v>0</v>
      </c>
      <c r="V542" s="52">
        <f ca="1">Log_2019[[#This Row],[Amount]]/Log_2019[[#This Row],[Split_raw]]*MAX(0,MIN(_xlfn.DAYS(EDATE(V$1,1),Log_2019[[#This Row],[Date]]),Log_2019[[#This Row],[Split_apply]])) - SUM($O542:U542)</f>
        <v>0</v>
      </c>
      <c r="W542" s="52">
        <f ca="1">Log_2019[[#This Row],[Amount]]/Log_2019[[#This Row],[Split_raw]]*MAX(0,MIN(_xlfn.DAYS(EDATE(W$1,1),Log_2019[[#This Row],[Date]]),Log_2019[[#This Row],[Split_apply]])) - SUM($O542:V542)</f>
        <v>0</v>
      </c>
      <c r="X542" s="52">
        <f ca="1">Log_2019[[#This Row],[Amount]]/Log_2019[[#This Row],[Split_raw]]*MAX(0,MIN(_xlfn.DAYS(EDATE(X$1,1),Log_2019[[#This Row],[Date]]),Log_2019[[#This Row],[Split_apply]])) - SUM($O542:W542)</f>
        <v>0</v>
      </c>
      <c r="Y542" s="52">
        <f ca="1">Log_2019[[#This Row],[Amount]]/Log_2019[[#This Row],[Split_raw]]*MAX(0,MIN(_xlfn.DAYS(EDATE(Y$1,1),Log_2019[[#This Row],[Date]]),Log_2019[[#This Row],[Split_apply]])) - SUM($O542:X542)</f>
        <v>0</v>
      </c>
      <c r="Z542" s="52">
        <f ca="1">Log_2019[[#This Row],[Amount]]/Log_2019[[#This Row],[Split_raw]]*MAX(0,MIN(_xlfn.DAYS(EDATE(Z$1,1),Log_2019[[#This Row],[Date]]),Log_2019[[#This Row],[Split_apply]])) - SUM($O542:Y542)</f>
        <v>0</v>
      </c>
      <c r="AA542" s="52">
        <f ca="1">Log_2019[[#This Row],[Amount]]/Log_2019[[#This Row],[Split_raw]]*MAX(0,MIN(_xlfn.DAYS(EDATE(AA$1,1),Log_2019[[#This Row],[Date]]),Log_2019[[#This Row],[Split_apply]])) - SUM($O542:Z542)</f>
        <v>0</v>
      </c>
      <c r="AB542" s="54">
        <f ca="1">Log_2019[[#This Row],[Amount]]-SUM(O542:AA542)</f>
        <v>0</v>
      </c>
      <c r="AC542" s="7">
        <f>MAX(0,Log_2019[[#This Row],[Split_raw]] - (EDATE(AA$1,1)-Log_2019[[#This Row],[Date]]))</f>
        <v>0</v>
      </c>
    </row>
    <row r="543" spans="1:29" x14ac:dyDescent="0.25">
      <c r="A543" s="42"/>
      <c r="B543" s="34" t="s">
        <v>6</v>
      </c>
      <c r="C543" s="34"/>
      <c r="D543" s="35">
        <v>43570</v>
      </c>
      <c r="E543" s="34"/>
      <c r="F543" s="34" t="s">
        <v>138</v>
      </c>
      <c r="G543" s="34" t="s">
        <v>104</v>
      </c>
      <c r="H543" s="36">
        <v>-776.03</v>
      </c>
      <c r="I543" s="36">
        <f>IF(Log_2019[[#This Row],[My Category]]="NONTRACKED",0,Log_2019[[#This Row],[Raw Amount]])</f>
        <v>-776.03</v>
      </c>
      <c r="J543" s="37">
        <f>ABS(Log_2019[[#This Row],[Amount]])</f>
        <v>776.03</v>
      </c>
      <c r="K543" s="38">
        <v>1</v>
      </c>
      <c r="L543" s="38">
        <f ca="1">IF(Log_2019[[#This Row],[Date]]&lt;=TODAY(), MIN(Log_2019[[#This Row],[Split_raw]], TODAY()-Log_2019[[#This Row],[Date]]+1), 0)</f>
        <v>1</v>
      </c>
      <c r="M543" s="34" t="s">
        <v>159</v>
      </c>
      <c r="N543" s="34" t="s">
        <v>160</v>
      </c>
      <c r="O543" s="7">
        <v>0</v>
      </c>
      <c r="P543" s="52">
        <f ca="1">Log_2019[[#This Row],[Amount]]/Log_2019[[#This Row],[Split_raw]]*MAX(0,MIN(_xlfn.DAYS(EDATE(P$1,1),Log_2019[[#This Row],[Date]]),Log_2019[[#This Row],[Split_apply]])) - SUM($O543:O543)</f>
        <v>0</v>
      </c>
      <c r="Q543" s="52">
        <f ca="1">Log_2019[[#This Row],[Amount]]/Log_2019[[#This Row],[Split_raw]]*MAX(0,MIN(_xlfn.DAYS(EDATE(Q$1,1),Log_2019[[#This Row],[Date]]),Log_2019[[#This Row],[Split_apply]])) - SUM($O543:P543)</f>
        <v>0</v>
      </c>
      <c r="R543" s="52">
        <f ca="1">Log_2019[[#This Row],[Amount]]/Log_2019[[#This Row],[Split_raw]]*MAX(0,MIN(_xlfn.DAYS(EDATE(R$1,1),Log_2019[[#This Row],[Date]]),Log_2019[[#This Row],[Split_apply]])) - SUM($O543:Q543)</f>
        <v>0</v>
      </c>
      <c r="S543" s="52">
        <f ca="1">Log_2019[[#This Row],[Amount]]/Log_2019[[#This Row],[Split_raw]]*MAX(0,MIN(_xlfn.DAYS(EDATE(S$1,1),Log_2019[[#This Row],[Date]]),Log_2019[[#This Row],[Split_apply]])) - SUM($O543:R543)</f>
        <v>-776.03</v>
      </c>
      <c r="T543" s="52">
        <f ca="1">Log_2019[[#This Row],[Amount]]/Log_2019[[#This Row],[Split_raw]]*MAX(0,MIN(_xlfn.DAYS(EDATE(T$1,1),Log_2019[[#This Row],[Date]]),Log_2019[[#This Row],[Split_apply]])) - SUM($O543:S543)</f>
        <v>0</v>
      </c>
      <c r="U543" s="52">
        <f ca="1">Log_2019[[#This Row],[Amount]]/Log_2019[[#This Row],[Split_raw]]*MAX(0,MIN(_xlfn.DAYS(EDATE(U$1,1),Log_2019[[#This Row],[Date]]),Log_2019[[#This Row],[Split_apply]])) - SUM($O543:T543)</f>
        <v>0</v>
      </c>
      <c r="V543" s="52">
        <f ca="1">Log_2019[[#This Row],[Amount]]/Log_2019[[#This Row],[Split_raw]]*MAX(0,MIN(_xlfn.DAYS(EDATE(V$1,1),Log_2019[[#This Row],[Date]]),Log_2019[[#This Row],[Split_apply]])) - SUM($O543:U543)</f>
        <v>0</v>
      </c>
      <c r="W543" s="52">
        <f ca="1">Log_2019[[#This Row],[Amount]]/Log_2019[[#This Row],[Split_raw]]*MAX(0,MIN(_xlfn.DAYS(EDATE(W$1,1),Log_2019[[#This Row],[Date]]),Log_2019[[#This Row],[Split_apply]])) - SUM($O543:V543)</f>
        <v>0</v>
      </c>
      <c r="X543" s="52">
        <f ca="1">Log_2019[[#This Row],[Amount]]/Log_2019[[#This Row],[Split_raw]]*MAX(0,MIN(_xlfn.DAYS(EDATE(X$1,1),Log_2019[[#This Row],[Date]]),Log_2019[[#This Row],[Split_apply]])) - SUM($O543:W543)</f>
        <v>0</v>
      </c>
      <c r="Y543" s="52">
        <f ca="1">Log_2019[[#This Row],[Amount]]/Log_2019[[#This Row],[Split_raw]]*MAX(0,MIN(_xlfn.DAYS(EDATE(Y$1,1),Log_2019[[#This Row],[Date]]),Log_2019[[#This Row],[Split_apply]])) - SUM($O543:X543)</f>
        <v>0</v>
      </c>
      <c r="Z543" s="52">
        <f ca="1">Log_2019[[#This Row],[Amount]]/Log_2019[[#This Row],[Split_raw]]*MAX(0,MIN(_xlfn.DAYS(EDATE(Z$1,1),Log_2019[[#This Row],[Date]]),Log_2019[[#This Row],[Split_apply]])) - SUM($O543:Y543)</f>
        <v>0</v>
      </c>
      <c r="AA543" s="52">
        <f ca="1">Log_2019[[#This Row],[Amount]]/Log_2019[[#This Row],[Split_raw]]*MAX(0,MIN(_xlfn.DAYS(EDATE(AA$1,1),Log_2019[[#This Row],[Date]]),Log_2019[[#This Row],[Split_apply]])) - SUM($O543:Z543)</f>
        <v>0</v>
      </c>
      <c r="AB543" s="54">
        <f ca="1">Log_2019[[#This Row],[Amount]]-SUM(O543:AA543)</f>
        <v>0</v>
      </c>
      <c r="AC543" s="7">
        <f>MAX(0,Log_2019[[#This Row],[Split_raw]] - (EDATE(AA$1,1)-Log_2019[[#This Row],[Date]]))</f>
        <v>0</v>
      </c>
    </row>
    <row r="544" spans="1:29" x14ac:dyDescent="0.25">
      <c r="A544" s="42"/>
      <c r="B544" s="34" t="s">
        <v>6</v>
      </c>
      <c r="C544" s="34"/>
      <c r="D544" s="35">
        <v>43570</v>
      </c>
      <c r="E544" s="34"/>
      <c r="F544" s="34" t="s">
        <v>301</v>
      </c>
      <c r="G544" s="34" t="s">
        <v>25</v>
      </c>
      <c r="H544" s="36">
        <v>-7.23</v>
      </c>
      <c r="I544" s="36">
        <f>IF(Log_2019[[#This Row],[My Category]]="NONTRACKED",0,Log_2019[[#This Row],[Raw Amount]])</f>
        <v>-7.23</v>
      </c>
      <c r="J544" s="37">
        <f>ABS(Log_2019[[#This Row],[Amount]])</f>
        <v>7.23</v>
      </c>
      <c r="K544" s="38">
        <v>1</v>
      </c>
      <c r="L544" s="38">
        <f ca="1">IF(Log_2019[[#This Row],[Date]]&lt;=TODAY(), MIN(Log_2019[[#This Row],[Split_raw]], TODAY()-Log_2019[[#This Row],[Date]]+1), 0)</f>
        <v>1</v>
      </c>
      <c r="M544" s="34" t="s">
        <v>35</v>
      </c>
      <c r="N544" s="34" t="s">
        <v>158</v>
      </c>
      <c r="O544" s="7">
        <v>0</v>
      </c>
      <c r="P544" s="52">
        <f ca="1">Log_2019[[#This Row],[Amount]]/Log_2019[[#This Row],[Split_raw]]*MAX(0,MIN(_xlfn.DAYS(EDATE(P$1,1),Log_2019[[#This Row],[Date]]),Log_2019[[#This Row],[Split_apply]])) - SUM($O544:O544)</f>
        <v>0</v>
      </c>
      <c r="Q544" s="52">
        <f ca="1">Log_2019[[#This Row],[Amount]]/Log_2019[[#This Row],[Split_raw]]*MAX(0,MIN(_xlfn.DAYS(EDATE(Q$1,1),Log_2019[[#This Row],[Date]]),Log_2019[[#This Row],[Split_apply]])) - SUM($O544:P544)</f>
        <v>0</v>
      </c>
      <c r="R544" s="52">
        <f ca="1">Log_2019[[#This Row],[Amount]]/Log_2019[[#This Row],[Split_raw]]*MAX(0,MIN(_xlfn.DAYS(EDATE(R$1,1),Log_2019[[#This Row],[Date]]),Log_2019[[#This Row],[Split_apply]])) - SUM($O544:Q544)</f>
        <v>0</v>
      </c>
      <c r="S544" s="52">
        <f ca="1">Log_2019[[#This Row],[Amount]]/Log_2019[[#This Row],[Split_raw]]*MAX(0,MIN(_xlfn.DAYS(EDATE(S$1,1),Log_2019[[#This Row],[Date]]),Log_2019[[#This Row],[Split_apply]])) - SUM($O544:R544)</f>
        <v>-7.23</v>
      </c>
      <c r="T544" s="52">
        <f ca="1">Log_2019[[#This Row],[Amount]]/Log_2019[[#This Row],[Split_raw]]*MAX(0,MIN(_xlfn.DAYS(EDATE(T$1,1),Log_2019[[#This Row],[Date]]),Log_2019[[#This Row],[Split_apply]])) - SUM($O544:S544)</f>
        <v>0</v>
      </c>
      <c r="U544" s="52">
        <f ca="1">Log_2019[[#This Row],[Amount]]/Log_2019[[#This Row],[Split_raw]]*MAX(0,MIN(_xlfn.DAYS(EDATE(U$1,1),Log_2019[[#This Row],[Date]]),Log_2019[[#This Row],[Split_apply]])) - SUM($O544:T544)</f>
        <v>0</v>
      </c>
      <c r="V544" s="52">
        <f ca="1">Log_2019[[#This Row],[Amount]]/Log_2019[[#This Row],[Split_raw]]*MAX(0,MIN(_xlfn.DAYS(EDATE(V$1,1),Log_2019[[#This Row],[Date]]),Log_2019[[#This Row],[Split_apply]])) - SUM($O544:U544)</f>
        <v>0</v>
      </c>
      <c r="W544" s="52">
        <f ca="1">Log_2019[[#This Row],[Amount]]/Log_2019[[#This Row],[Split_raw]]*MAX(0,MIN(_xlfn.DAYS(EDATE(W$1,1),Log_2019[[#This Row],[Date]]),Log_2019[[#This Row],[Split_apply]])) - SUM($O544:V544)</f>
        <v>0</v>
      </c>
      <c r="X544" s="52">
        <f ca="1">Log_2019[[#This Row],[Amount]]/Log_2019[[#This Row],[Split_raw]]*MAX(0,MIN(_xlfn.DAYS(EDATE(X$1,1),Log_2019[[#This Row],[Date]]),Log_2019[[#This Row],[Split_apply]])) - SUM($O544:W544)</f>
        <v>0</v>
      </c>
      <c r="Y544" s="52">
        <f ca="1">Log_2019[[#This Row],[Amount]]/Log_2019[[#This Row],[Split_raw]]*MAX(0,MIN(_xlfn.DAYS(EDATE(Y$1,1),Log_2019[[#This Row],[Date]]),Log_2019[[#This Row],[Split_apply]])) - SUM($O544:X544)</f>
        <v>0</v>
      </c>
      <c r="Z544" s="52">
        <f ca="1">Log_2019[[#This Row],[Amount]]/Log_2019[[#This Row],[Split_raw]]*MAX(0,MIN(_xlfn.DAYS(EDATE(Z$1,1),Log_2019[[#This Row],[Date]]),Log_2019[[#This Row],[Split_apply]])) - SUM($O544:Y544)</f>
        <v>0</v>
      </c>
      <c r="AA544" s="52">
        <f ca="1">Log_2019[[#This Row],[Amount]]/Log_2019[[#This Row],[Split_raw]]*MAX(0,MIN(_xlfn.DAYS(EDATE(AA$1,1),Log_2019[[#This Row],[Date]]),Log_2019[[#This Row],[Split_apply]])) - SUM($O544:Z544)</f>
        <v>0</v>
      </c>
      <c r="AB544" s="54">
        <f ca="1">Log_2019[[#This Row],[Amount]]-SUM(O544:AA544)</f>
        <v>0</v>
      </c>
      <c r="AC544" s="7">
        <f>MAX(0,Log_2019[[#This Row],[Split_raw]] - (EDATE(AA$1,1)-Log_2019[[#This Row],[Date]]))</f>
        <v>0</v>
      </c>
    </row>
    <row r="545" spans="1:29" x14ac:dyDescent="0.25">
      <c r="A545" s="42"/>
      <c r="B545" s="34" t="s">
        <v>6</v>
      </c>
      <c r="C545" s="34"/>
      <c r="D545" s="35">
        <v>43570</v>
      </c>
      <c r="E545" s="34"/>
      <c r="F545" s="34" t="s">
        <v>242</v>
      </c>
      <c r="G545" s="34" t="s">
        <v>87</v>
      </c>
      <c r="H545" s="36">
        <f>--27.57</f>
        <v>27.57</v>
      </c>
      <c r="I545" s="36">
        <f>IF(Log_2019[[#This Row],[My Category]]="NONTRACKED",0,Log_2019[[#This Row],[Raw Amount]])</f>
        <v>27.57</v>
      </c>
      <c r="J545" s="37">
        <f>ABS(Log_2019[[#This Row],[Amount]])</f>
        <v>27.57</v>
      </c>
      <c r="K545" s="38">
        <v>1</v>
      </c>
      <c r="L545" s="38">
        <f ca="1">IF(Log_2019[[#This Row],[Date]]&lt;=TODAY(), MIN(Log_2019[[#This Row],[Split_raw]], TODAY()-Log_2019[[#This Row],[Date]]+1), 0)</f>
        <v>1</v>
      </c>
      <c r="M545" s="34" t="s">
        <v>144</v>
      </c>
      <c r="N545" s="34" t="s">
        <v>160</v>
      </c>
      <c r="O545" s="7">
        <v>0</v>
      </c>
      <c r="P545" s="52">
        <f ca="1">Log_2019[[#This Row],[Amount]]/Log_2019[[#This Row],[Split_raw]]*MAX(0,MIN(_xlfn.DAYS(EDATE(P$1,1),Log_2019[[#This Row],[Date]]),Log_2019[[#This Row],[Split_apply]])) - SUM($O545:O545)</f>
        <v>0</v>
      </c>
      <c r="Q545" s="52">
        <f ca="1">Log_2019[[#This Row],[Amount]]/Log_2019[[#This Row],[Split_raw]]*MAX(0,MIN(_xlfn.DAYS(EDATE(Q$1,1),Log_2019[[#This Row],[Date]]),Log_2019[[#This Row],[Split_apply]])) - SUM($O545:P545)</f>
        <v>0</v>
      </c>
      <c r="R545" s="52">
        <f ca="1">Log_2019[[#This Row],[Amount]]/Log_2019[[#This Row],[Split_raw]]*MAX(0,MIN(_xlfn.DAYS(EDATE(R$1,1),Log_2019[[#This Row],[Date]]),Log_2019[[#This Row],[Split_apply]])) - SUM($O545:Q545)</f>
        <v>0</v>
      </c>
      <c r="S545" s="52">
        <f ca="1">Log_2019[[#This Row],[Amount]]/Log_2019[[#This Row],[Split_raw]]*MAX(0,MIN(_xlfn.DAYS(EDATE(S$1,1),Log_2019[[#This Row],[Date]]),Log_2019[[#This Row],[Split_apply]])) - SUM($O545:R545)</f>
        <v>27.57</v>
      </c>
      <c r="T545" s="52">
        <f ca="1">Log_2019[[#This Row],[Amount]]/Log_2019[[#This Row],[Split_raw]]*MAX(0,MIN(_xlfn.DAYS(EDATE(T$1,1),Log_2019[[#This Row],[Date]]),Log_2019[[#This Row],[Split_apply]])) - SUM($O545:S545)</f>
        <v>0</v>
      </c>
      <c r="U545" s="52">
        <f ca="1">Log_2019[[#This Row],[Amount]]/Log_2019[[#This Row],[Split_raw]]*MAX(0,MIN(_xlfn.DAYS(EDATE(U$1,1),Log_2019[[#This Row],[Date]]),Log_2019[[#This Row],[Split_apply]])) - SUM($O545:T545)</f>
        <v>0</v>
      </c>
      <c r="V545" s="52">
        <f ca="1">Log_2019[[#This Row],[Amount]]/Log_2019[[#This Row],[Split_raw]]*MAX(0,MIN(_xlfn.DAYS(EDATE(V$1,1),Log_2019[[#This Row],[Date]]),Log_2019[[#This Row],[Split_apply]])) - SUM($O545:U545)</f>
        <v>0</v>
      </c>
      <c r="W545" s="52">
        <f ca="1">Log_2019[[#This Row],[Amount]]/Log_2019[[#This Row],[Split_raw]]*MAX(0,MIN(_xlfn.DAYS(EDATE(W$1,1),Log_2019[[#This Row],[Date]]),Log_2019[[#This Row],[Split_apply]])) - SUM($O545:V545)</f>
        <v>0</v>
      </c>
      <c r="X545" s="52">
        <f ca="1">Log_2019[[#This Row],[Amount]]/Log_2019[[#This Row],[Split_raw]]*MAX(0,MIN(_xlfn.DAYS(EDATE(X$1,1),Log_2019[[#This Row],[Date]]),Log_2019[[#This Row],[Split_apply]])) - SUM($O545:W545)</f>
        <v>0</v>
      </c>
      <c r="Y545" s="52">
        <f ca="1">Log_2019[[#This Row],[Amount]]/Log_2019[[#This Row],[Split_raw]]*MAX(0,MIN(_xlfn.DAYS(EDATE(Y$1,1),Log_2019[[#This Row],[Date]]),Log_2019[[#This Row],[Split_apply]])) - SUM($O545:X545)</f>
        <v>0</v>
      </c>
      <c r="Z545" s="52">
        <f ca="1">Log_2019[[#This Row],[Amount]]/Log_2019[[#This Row],[Split_raw]]*MAX(0,MIN(_xlfn.DAYS(EDATE(Z$1,1),Log_2019[[#This Row],[Date]]),Log_2019[[#This Row],[Split_apply]])) - SUM($O545:Y545)</f>
        <v>0</v>
      </c>
      <c r="AA545" s="52">
        <f ca="1">Log_2019[[#This Row],[Amount]]/Log_2019[[#This Row],[Split_raw]]*MAX(0,MIN(_xlfn.DAYS(EDATE(AA$1,1),Log_2019[[#This Row],[Date]]),Log_2019[[#This Row],[Split_apply]])) - SUM($O545:Z545)</f>
        <v>0</v>
      </c>
      <c r="AB545" s="54">
        <f ca="1">Log_2019[[#This Row],[Amount]]-SUM(O545:AA545)</f>
        <v>0</v>
      </c>
      <c r="AC545" s="7">
        <f>MAX(0,Log_2019[[#This Row],[Split_raw]] - (EDATE(AA$1,1)-Log_2019[[#This Row],[Date]]))</f>
        <v>0</v>
      </c>
    </row>
    <row r="546" spans="1:29" x14ac:dyDescent="0.25">
      <c r="A546" s="42"/>
      <c r="B546" s="34" t="s">
        <v>6</v>
      </c>
      <c r="C546" s="34"/>
      <c r="D546" s="35">
        <v>43569</v>
      </c>
      <c r="E546" s="34"/>
      <c r="F546" s="34" t="s">
        <v>555</v>
      </c>
      <c r="G546" s="34" t="s">
        <v>25</v>
      </c>
      <c r="H546" s="36">
        <v>-9.5399999999999991</v>
      </c>
      <c r="I546" s="36">
        <f>IF(Log_2019[[#This Row],[My Category]]="NONTRACKED",0,Log_2019[[#This Row],[Raw Amount]])</f>
        <v>-9.5399999999999991</v>
      </c>
      <c r="J546" s="37">
        <f>ABS(Log_2019[[#This Row],[Amount]])</f>
        <v>9.5399999999999991</v>
      </c>
      <c r="K546" s="38">
        <v>1</v>
      </c>
      <c r="L546" s="38">
        <f ca="1">IF(Log_2019[[#This Row],[Date]]&lt;=TODAY(), MIN(Log_2019[[#This Row],[Split_raw]], TODAY()-Log_2019[[#This Row],[Date]]+1), 0)</f>
        <v>1</v>
      </c>
      <c r="M546" s="34" t="s">
        <v>35</v>
      </c>
      <c r="N546" s="34" t="s">
        <v>158</v>
      </c>
      <c r="O546" s="7">
        <v>0</v>
      </c>
      <c r="P546" s="52">
        <f ca="1">Log_2019[[#This Row],[Amount]]/Log_2019[[#This Row],[Split_raw]]*MAX(0,MIN(_xlfn.DAYS(EDATE(P$1,1),Log_2019[[#This Row],[Date]]),Log_2019[[#This Row],[Split_apply]])) - SUM($O546:O546)</f>
        <v>0</v>
      </c>
      <c r="Q546" s="52">
        <f ca="1">Log_2019[[#This Row],[Amount]]/Log_2019[[#This Row],[Split_raw]]*MAX(0,MIN(_xlfn.DAYS(EDATE(Q$1,1),Log_2019[[#This Row],[Date]]),Log_2019[[#This Row],[Split_apply]])) - SUM($O546:P546)</f>
        <v>0</v>
      </c>
      <c r="R546" s="52">
        <f ca="1">Log_2019[[#This Row],[Amount]]/Log_2019[[#This Row],[Split_raw]]*MAX(0,MIN(_xlfn.DAYS(EDATE(R$1,1),Log_2019[[#This Row],[Date]]),Log_2019[[#This Row],[Split_apply]])) - SUM($O546:Q546)</f>
        <v>0</v>
      </c>
      <c r="S546" s="52">
        <f ca="1">Log_2019[[#This Row],[Amount]]/Log_2019[[#This Row],[Split_raw]]*MAX(0,MIN(_xlfn.DAYS(EDATE(S$1,1),Log_2019[[#This Row],[Date]]),Log_2019[[#This Row],[Split_apply]])) - SUM($O546:R546)</f>
        <v>-9.5399999999999991</v>
      </c>
      <c r="T546" s="52">
        <f ca="1">Log_2019[[#This Row],[Amount]]/Log_2019[[#This Row],[Split_raw]]*MAX(0,MIN(_xlfn.DAYS(EDATE(T$1,1),Log_2019[[#This Row],[Date]]),Log_2019[[#This Row],[Split_apply]])) - SUM($O546:S546)</f>
        <v>0</v>
      </c>
      <c r="U546" s="52">
        <f ca="1">Log_2019[[#This Row],[Amount]]/Log_2019[[#This Row],[Split_raw]]*MAX(0,MIN(_xlfn.DAYS(EDATE(U$1,1),Log_2019[[#This Row],[Date]]),Log_2019[[#This Row],[Split_apply]])) - SUM($O546:T546)</f>
        <v>0</v>
      </c>
      <c r="V546" s="52">
        <f ca="1">Log_2019[[#This Row],[Amount]]/Log_2019[[#This Row],[Split_raw]]*MAX(0,MIN(_xlfn.DAYS(EDATE(V$1,1),Log_2019[[#This Row],[Date]]),Log_2019[[#This Row],[Split_apply]])) - SUM($O546:U546)</f>
        <v>0</v>
      </c>
      <c r="W546" s="52">
        <f ca="1">Log_2019[[#This Row],[Amount]]/Log_2019[[#This Row],[Split_raw]]*MAX(0,MIN(_xlfn.DAYS(EDATE(W$1,1),Log_2019[[#This Row],[Date]]),Log_2019[[#This Row],[Split_apply]])) - SUM($O546:V546)</f>
        <v>0</v>
      </c>
      <c r="X546" s="52">
        <f ca="1">Log_2019[[#This Row],[Amount]]/Log_2019[[#This Row],[Split_raw]]*MAX(0,MIN(_xlfn.DAYS(EDATE(X$1,1),Log_2019[[#This Row],[Date]]),Log_2019[[#This Row],[Split_apply]])) - SUM($O546:W546)</f>
        <v>0</v>
      </c>
      <c r="Y546" s="52">
        <f ca="1">Log_2019[[#This Row],[Amount]]/Log_2019[[#This Row],[Split_raw]]*MAX(0,MIN(_xlfn.DAYS(EDATE(Y$1,1),Log_2019[[#This Row],[Date]]),Log_2019[[#This Row],[Split_apply]])) - SUM($O546:X546)</f>
        <v>0</v>
      </c>
      <c r="Z546" s="52">
        <f ca="1">Log_2019[[#This Row],[Amount]]/Log_2019[[#This Row],[Split_raw]]*MAX(0,MIN(_xlfn.DAYS(EDATE(Z$1,1),Log_2019[[#This Row],[Date]]),Log_2019[[#This Row],[Split_apply]])) - SUM($O546:Y546)</f>
        <v>0</v>
      </c>
      <c r="AA546" s="52">
        <f ca="1">Log_2019[[#This Row],[Amount]]/Log_2019[[#This Row],[Split_raw]]*MAX(0,MIN(_xlfn.DAYS(EDATE(AA$1,1),Log_2019[[#This Row],[Date]]),Log_2019[[#This Row],[Split_apply]])) - SUM($O546:Z546)</f>
        <v>0</v>
      </c>
      <c r="AB546" s="54">
        <f ca="1">Log_2019[[#This Row],[Amount]]-SUM(O546:AA546)</f>
        <v>0</v>
      </c>
      <c r="AC546" s="7">
        <f>MAX(0,Log_2019[[#This Row],[Split_raw]] - (EDATE(AA$1,1)-Log_2019[[#This Row],[Date]]))</f>
        <v>0</v>
      </c>
    </row>
    <row r="547" spans="1:29" x14ac:dyDescent="0.25">
      <c r="A547" s="42"/>
      <c r="B547" s="34" t="s">
        <v>6</v>
      </c>
      <c r="C547" s="34"/>
      <c r="D547" s="35">
        <v>43568</v>
      </c>
      <c r="E547" s="34"/>
      <c r="F547" s="34" t="s">
        <v>599</v>
      </c>
      <c r="G547" s="34" t="s">
        <v>27</v>
      </c>
      <c r="H547" s="36">
        <v>-10.67</v>
      </c>
      <c r="I547" s="36">
        <f>IF(Log_2019[[#This Row],[My Category]]="NONTRACKED",0,Log_2019[[#This Row],[Raw Amount]])</f>
        <v>-10.67</v>
      </c>
      <c r="J547" s="37">
        <f>ABS(Log_2019[[#This Row],[Amount]])</f>
        <v>10.67</v>
      </c>
      <c r="K547" s="38">
        <v>1</v>
      </c>
      <c r="L547" s="38">
        <f ca="1">IF(Log_2019[[#This Row],[Date]]&lt;=TODAY(), MIN(Log_2019[[#This Row],[Split_raw]], TODAY()-Log_2019[[#This Row],[Date]]+1), 0)</f>
        <v>1</v>
      </c>
      <c r="M547" s="34" t="s">
        <v>35</v>
      </c>
      <c r="N547" s="34" t="s">
        <v>158</v>
      </c>
      <c r="O547" s="7">
        <v>0</v>
      </c>
      <c r="P547" s="52">
        <f ca="1">Log_2019[[#This Row],[Amount]]/Log_2019[[#This Row],[Split_raw]]*MAX(0,MIN(_xlfn.DAYS(EDATE(P$1,1),Log_2019[[#This Row],[Date]]),Log_2019[[#This Row],[Split_apply]])) - SUM($O547:O547)</f>
        <v>0</v>
      </c>
      <c r="Q547" s="52">
        <f ca="1">Log_2019[[#This Row],[Amount]]/Log_2019[[#This Row],[Split_raw]]*MAX(0,MIN(_xlfn.DAYS(EDATE(Q$1,1),Log_2019[[#This Row],[Date]]),Log_2019[[#This Row],[Split_apply]])) - SUM($O547:P547)</f>
        <v>0</v>
      </c>
      <c r="R547" s="52">
        <f ca="1">Log_2019[[#This Row],[Amount]]/Log_2019[[#This Row],[Split_raw]]*MAX(0,MIN(_xlfn.DAYS(EDATE(R$1,1),Log_2019[[#This Row],[Date]]),Log_2019[[#This Row],[Split_apply]])) - SUM($O547:Q547)</f>
        <v>0</v>
      </c>
      <c r="S547" s="52">
        <f ca="1">Log_2019[[#This Row],[Amount]]/Log_2019[[#This Row],[Split_raw]]*MAX(0,MIN(_xlfn.DAYS(EDATE(S$1,1),Log_2019[[#This Row],[Date]]),Log_2019[[#This Row],[Split_apply]])) - SUM($O547:R547)</f>
        <v>-10.67</v>
      </c>
      <c r="T547" s="52">
        <f ca="1">Log_2019[[#This Row],[Amount]]/Log_2019[[#This Row],[Split_raw]]*MAX(0,MIN(_xlfn.DAYS(EDATE(T$1,1),Log_2019[[#This Row],[Date]]),Log_2019[[#This Row],[Split_apply]])) - SUM($O547:S547)</f>
        <v>0</v>
      </c>
      <c r="U547" s="52">
        <f ca="1">Log_2019[[#This Row],[Amount]]/Log_2019[[#This Row],[Split_raw]]*MAX(0,MIN(_xlfn.DAYS(EDATE(U$1,1),Log_2019[[#This Row],[Date]]),Log_2019[[#This Row],[Split_apply]])) - SUM($O547:T547)</f>
        <v>0</v>
      </c>
      <c r="V547" s="52">
        <f ca="1">Log_2019[[#This Row],[Amount]]/Log_2019[[#This Row],[Split_raw]]*MAX(0,MIN(_xlfn.DAYS(EDATE(V$1,1),Log_2019[[#This Row],[Date]]),Log_2019[[#This Row],[Split_apply]])) - SUM($O547:U547)</f>
        <v>0</v>
      </c>
      <c r="W547" s="52">
        <f ca="1">Log_2019[[#This Row],[Amount]]/Log_2019[[#This Row],[Split_raw]]*MAX(0,MIN(_xlfn.DAYS(EDATE(W$1,1),Log_2019[[#This Row],[Date]]),Log_2019[[#This Row],[Split_apply]])) - SUM($O547:V547)</f>
        <v>0</v>
      </c>
      <c r="X547" s="52">
        <f ca="1">Log_2019[[#This Row],[Amount]]/Log_2019[[#This Row],[Split_raw]]*MAX(0,MIN(_xlfn.DAYS(EDATE(X$1,1),Log_2019[[#This Row],[Date]]),Log_2019[[#This Row],[Split_apply]])) - SUM($O547:W547)</f>
        <v>0</v>
      </c>
      <c r="Y547" s="52">
        <f ca="1">Log_2019[[#This Row],[Amount]]/Log_2019[[#This Row],[Split_raw]]*MAX(0,MIN(_xlfn.DAYS(EDATE(Y$1,1),Log_2019[[#This Row],[Date]]),Log_2019[[#This Row],[Split_apply]])) - SUM($O547:X547)</f>
        <v>0</v>
      </c>
      <c r="Z547" s="52">
        <f ca="1">Log_2019[[#This Row],[Amount]]/Log_2019[[#This Row],[Split_raw]]*MAX(0,MIN(_xlfn.DAYS(EDATE(Z$1,1),Log_2019[[#This Row],[Date]]),Log_2019[[#This Row],[Split_apply]])) - SUM($O547:Y547)</f>
        <v>0</v>
      </c>
      <c r="AA547" s="52">
        <f ca="1">Log_2019[[#This Row],[Amount]]/Log_2019[[#This Row],[Split_raw]]*MAX(0,MIN(_xlfn.DAYS(EDATE(AA$1,1),Log_2019[[#This Row],[Date]]),Log_2019[[#This Row],[Split_apply]])) - SUM($O547:Z547)</f>
        <v>0</v>
      </c>
      <c r="AB547" s="54">
        <f ca="1">Log_2019[[#This Row],[Amount]]-SUM(O547:AA547)</f>
        <v>0</v>
      </c>
      <c r="AC547" s="7">
        <f>MAX(0,Log_2019[[#This Row],[Split_raw]] - (EDATE(AA$1,1)-Log_2019[[#This Row],[Date]]))</f>
        <v>0</v>
      </c>
    </row>
    <row r="548" spans="1:29" x14ac:dyDescent="0.25">
      <c r="A548" s="42"/>
      <c r="B548" s="34" t="s">
        <v>6</v>
      </c>
      <c r="C548" s="34"/>
      <c r="D548" s="35">
        <v>43568</v>
      </c>
      <c r="E548" s="34"/>
      <c r="F548" s="34" t="s">
        <v>587</v>
      </c>
      <c r="G548" s="34" t="s">
        <v>9</v>
      </c>
      <c r="H548" s="36">
        <v>-28.88</v>
      </c>
      <c r="I548" s="36">
        <f>IF(Log_2019[[#This Row],[My Category]]="NONTRACKED",0,Log_2019[[#This Row],[Raw Amount]])</f>
        <v>-28.88</v>
      </c>
      <c r="J548" s="37">
        <f>ABS(Log_2019[[#This Row],[Amount]])</f>
        <v>28.88</v>
      </c>
      <c r="K548" s="38">
        <v>1</v>
      </c>
      <c r="L548" s="38">
        <f ca="1">IF(Log_2019[[#This Row],[Date]]&lt;=TODAY(), MIN(Log_2019[[#This Row],[Split_raw]], TODAY()-Log_2019[[#This Row],[Date]]+1), 0)</f>
        <v>1</v>
      </c>
      <c r="M548" s="34" t="s">
        <v>145</v>
      </c>
      <c r="N548" s="34" t="s">
        <v>158</v>
      </c>
      <c r="O548" s="7">
        <v>0</v>
      </c>
      <c r="P548" s="52">
        <f ca="1">Log_2019[[#This Row],[Amount]]/Log_2019[[#This Row],[Split_raw]]*MAX(0,MIN(_xlfn.DAYS(EDATE(P$1,1),Log_2019[[#This Row],[Date]]),Log_2019[[#This Row],[Split_apply]])) - SUM($O548:O548)</f>
        <v>0</v>
      </c>
      <c r="Q548" s="52">
        <f ca="1">Log_2019[[#This Row],[Amount]]/Log_2019[[#This Row],[Split_raw]]*MAX(0,MIN(_xlfn.DAYS(EDATE(Q$1,1),Log_2019[[#This Row],[Date]]),Log_2019[[#This Row],[Split_apply]])) - SUM($O548:P548)</f>
        <v>0</v>
      </c>
      <c r="R548" s="52">
        <f ca="1">Log_2019[[#This Row],[Amount]]/Log_2019[[#This Row],[Split_raw]]*MAX(0,MIN(_xlfn.DAYS(EDATE(R$1,1),Log_2019[[#This Row],[Date]]),Log_2019[[#This Row],[Split_apply]])) - SUM($O548:Q548)</f>
        <v>0</v>
      </c>
      <c r="S548" s="52">
        <f ca="1">Log_2019[[#This Row],[Amount]]/Log_2019[[#This Row],[Split_raw]]*MAX(0,MIN(_xlfn.DAYS(EDATE(S$1,1),Log_2019[[#This Row],[Date]]),Log_2019[[#This Row],[Split_apply]])) - SUM($O548:R548)</f>
        <v>-28.88</v>
      </c>
      <c r="T548" s="52">
        <f ca="1">Log_2019[[#This Row],[Amount]]/Log_2019[[#This Row],[Split_raw]]*MAX(0,MIN(_xlfn.DAYS(EDATE(T$1,1),Log_2019[[#This Row],[Date]]),Log_2019[[#This Row],[Split_apply]])) - SUM($O548:S548)</f>
        <v>0</v>
      </c>
      <c r="U548" s="52">
        <f ca="1">Log_2019[[#This Row],[Amount]]/Log_2019[[#This Row],[Split_raw]]*MAX(0,MIN(_xlfn.DAYS(EDATE(U$1,1),Log_2019[[#This Row],[Date]]),Log_2019[[#This Row],[Split_apply]])) - SUM($O548:T548)</f>
        <v>0</v>
      </c>
      <c r="V548" s="52">
        <f ca="1">Log_2019[[#This Row],[Amount]]/Log_2019[[#This Row],[Split_raw]]*MAX(0,MIN(_xlfn.DAYS(EDATE(V$1,1),Log_2019[[#This Row],[Date]]),Log_2019[[#This Row],[Split_apply]])) - SUM($O548:U548)</f>
        <v>0</v>
      </c>
      <c r="W548" s="52">
        <f ca="1">Log_2019[[#This Row],[Amount]]/Log_2019[[#This Row],[Split_raw]]*MAX(0,MIN(_xlfn.DAYS(EDATE(W$1,1),Log_2019[[#This Row],[Date]]),Log_2019[[#This Row],[Split_apply]])) - SUM($O548:V548)</f>
        <v>0</v>
      </c>
      <c r="X548" s="52">
        <f ca="1">Log_2019[[#This Row],[Amount]]/Log_2019[[#This Row],[Split_raw]]*MAX(0,MIN(_xlfn.DAYS(EDATE(X$1,1),Log_2019[[#This Row],[Date]]),Log_2019[[#This Row],[Split_apply]])) - SUM($O548:W548)</f>
        <v>0</v>
      </c>
      <c r="Y548" s="52">
        <f ca="1">Log_2019[[#This Row],[Amount]]/Log_2019[[#This Row],[Split_raw]]*MAX(0,MIN(_xlfn.DAYS(EDATE(Y$1,1),Log_2019[[#This Row],[Date]]),Log_2019[[#This Row],[Split_apply]])) - SUM($O548:X548)</f>
        <v>0</v>
      </c>
      <c r="Z548" s="52">
        <f ca="1">Log_2019[[#This Row],[Amount]]/Log_2019[[#This Row],[Split_raw]]*MAX(0,MIN(_xlfn.DAYS(EDATE(Z$1,1),Log_2019[[#This Row],[Date]]),Log_2019[[#This Row],[Split_apply]])) - SUM($O548:Y548)</f>
        <v>0</v>
      </c>
      <c r="AA548" s="52">
        <f ca="1">Log_2019[[#This Row],[Amount]]/Log_2019[[#This Row],[Split_raw]]*MAX(0,MIN(_xlfn.DAYS(EDATE(AA$1,1),Log_2019[[#This Row],[Date]]),Log_2019[[#This Row],[Split_apply]])) - SUM($O548:Z548)</f>
        <v>0</v>
      </c>
      <c r="AB548" s="54">
        <f ca="1">Log_2019[[#This Row],[Amount]]-SUM(O548:AA548)</f>
        <v>0</v>
      </c>
      <c r="AC548" s="7">
        <f>MAX(0,Log_2019[[#This Row],[Split_raw]] - (EDATE(AA$1,1)-Log_2019[[#This Row],[Date]]))</f>
        <v>0</v>
      </c>
    </row>
    <row r="549" spans="1:29" x14ac:dyDescent="0.25">
      <c r="A549" s="42"/>
      <c r="B549" s="34" t="s">
        <v>6</v>
      </c>
      <c r="C549" s="34"/>
      <c r="D549" s="35">
        <v>43568</v>
      </c>
      <c r="E549" s="34"/>
      <c r="F549" s="34" t="s">
        <v>105</v>
      </c>
      <c r="G549" s="34" t="s">
        <v>104</v>
      </c>
      <c r="H549" s="36">
        <f>--776.03</f>
        <v>776.03</v>
      </c>
      <c r="I549" s="36">
        <f>IF(Log_2019[[#This Row],[My Category]]="NONTRACKED",0,Log_2019[[#This Row],[Raw Amount]])</f>
        <v>776.03</v>
      </c>
      <c r="J549" s="37">
        <f>ABS(Log_2019[[#This Row],[Amount]])</f>
        <v>776.03</v>
      </c>
      <c r="K549" s="38">
        <v>1</v>
      </c>
      <c r="L549" s="38">
        <f ca="1">IF(Log_2019[[#This Row],[Date]]&lt;=TODAY(), MIN(Log_2019[[#This Row],[Split_raw]], TODAY()-Log_2019[[#This Row],[Date]]+1), 0)</f>
        <v>1</v>
      </c>
      <c r="M549" s="34" t="s">
        <v>159</v>
      </c>
      <c r="N549" s="34" t="s">
        <v>158</v>
      </c>
      <c r="O549" s="7">
        <v>0</v>
      </c>
      <c r="P549" s="52">
        <f ca="1">Log_2019[[#This Row],[Amount]]/Log_2019[[#This Row],[Split_raw]]*MAX(0,MIN(_xlfn.DAYS(EDATE(P$1,1),Log_2019[[#This Row],[Date]]),Log_2019[[#This Row],[Split_apply]])) - SUM($O549:O549)</f>
        <v>0</v>
      </c>
      <c r="Q549" s="52">
        <f ca="1">Log_2019[[#This Row],[Amount]]/Log_2019[[#This Row],[Split_raw]]*MAX(0,MIN(_xlfn.DAYS(EDATE(Q$1,1),Log_2019[[#This Row],[Date]]),Log_2019[[#This Row],[Split_apply]])) - SUM($O549:P549)</f>
        <v>0</v>
      </c>
      <c r="R549" s="52">
        <f ca="1">Log_2019[[#This Row],[Amount]]/Log_2019[[#This Row],[Split_raw]]*MAX(0,MIN(_xlfn.DAYS(EDATE(R$1,1),Log_2019[[#This Row],[Date]]),Log_2019[[#This Row],[Split_apply]])) - SUM($O549:Q549)</f>
        <v>0</v>
      </c>
      <c r="S549" s="52">
        <f ca="1">Log_2019[[#This Row],[Amount]]/Log_2019[[#This Row],[Split_raw]]*MAX(0,MIN(_xlfn.DAYS(EDATE(S$1,1),Log_2019[[#This Row],[Date]]),Log_2019[[#This Row],[Split_apply]])) - SUM($O549:R549)</f>
        <v>776.03</v>
      </c>
      <c r="T549" s="52">
        <f ca="1">Log_2019[[#This Row],[Amount]]/Log_2019[[#This Row],[Split_raw]]*MAX(0,MIN(_xlfn.DAYS(EDATE(T$1,1),Log_2019[[#This Row],[Date]]),Log_2019[[#This Row],[Split_apply]])) - SUM($O549:S549)</f>
        <v>0</v>
      </c>
      <c r="U549" s="52">
        <f ca="1">Log_2019[[#This Row],[Amount]]/Log_2019[[#This Row],[Split_raw]]*MAX(0,MIN(_xlfn.DAYS(EDATE(U$1,1),Log_2019[[#This Row],[Date]]),Log_2019[[#This Row],[Split_apply]])) - SUM($O549:T549)</f>
        <v>0</v>
      </c>
      <c r="V549" s="52">
        <f ca="1">Log_2019[[#This Row],[Amount]]/Log_2019[[#This Row],[Split_raw]]*MAX(0,MIN(_xlfn.DAYS(EDATE(V$1,1),Log_2019[[#This Row],[Date]]),Log_2019[[#This Row],[Split_apply]])) - SUM($O549:U549)</f>
        <v>0</v>
      </c>
      <c r="W549" s="52">
        <f ca="1">Log_2019[[#This Row],[Amount]]/Log_2019[[#This Row],[Split_raw]]*MAX(0,MIN(_xlfn.DAYS(EDATE(W$1,1),Log_2019[[#This Row],[Date]]),Log_2019[[#This Row],[Split_apply]])) - SUM($O549:V549)</f>
        <v>0</v>
      </c>
      <c r="X549" s="52">
        <f ca="1">Log_2019[[#This Row],[Amount]]/Log_2019[[#This Row],[Split_raw]]*MAX(0,MIN(_xlfn.DAYS(EDATE(X$1,1),Log_2019[[#This Row],[Date]]),Log_2019[[#This Row],[Split_apply]])) - SUM($O549:W549)</f>
        <v>0</v>
      </c>
      <c r="Y549" s="52">
        <f ca="1">Log_2019[[#This Row],[Amount]]/Log_2019[[#This Row],[Split_raw]]*MAX(0,MIN(_xlfn.DAYS(EDATE(Y$1,1),Log_2019[[#This Row],[Date]]),Log_2019[[#This Row],[Split_apply]])) - SUM($O549:X549)</f>
        <v>0</v>
      </c>
      <c r="Z549" s="52">
        <f ca="1">Log_2019[[#This Row],[Amount]]/Log_2019[[#This Row],[Split_raw]]*MAX(0,MIN(_xlfn.DAYS(EDATE(Z$1,1),Log_2019[[#This Row],[Date]]),Log_2019[[#This Row],[Split_apply]])) - SUM($O549:Y549)</f>
        <v>0</v>
      </c>
      <c r="AA549" s="52">
        <f ca="1">Log_2019[[#This Row],[Amount]]/Log_2019[[#This Row],[Split_raw]]*MAX(0,MIN(_xlfn.DAYS(EDATE(AA$1,1),Log_2019[[#This Row],[Date]]),Log_2019[[#This Row],[Split_apply]])) - SUM($O549:Z549)</f>
        <v>0</v>
      </c>
      <c r="AB549" s="54">
        <f ca="1">Log_2019[[#This Row],[Amount]]-SUM(O549:AA549)</f>
        <v>0</v>
      </c>
      <c r="AC549" s="7">
        <f>MAX(0,Log_2019[[#This Row],[Split_raw]] - (EDATE(AA$1,1)-Log_2019[[#This Row],[Date]]))</f>
        <v>0</v>
      </c>
    </row>
    <row r="550" spans="1:29" x14ac:dyDescent="0.25">
      <c r="A550" s="42"/>
      <c r="B550" s="34" t="s">
        <v>6</v>
      </c>
      <c r="C550" s="34"/>
      <c r="D550" s="35">
        <v>43567</v>
      </c>
      <c r="E550" s="34" t="s">
        <v>571</v>
      </c>
      <c r="F550" s="34" t="s">
        <v>456</v>
      </c>
      <c r="G550" s="34" t="s">
        <v>27</v>
      </c>
      <c r="H550" s="36">
        <v>-8.7200000000000006</v>
      </c>
      <c r="I550" s="36">
        <f>IF(Log_2019[[#This Row],[My Category]]="NONTRACKED",0,Log_2019[[#This Row],[Raw Amount]])</f>
        <v>-8.7200000000000006</v>
      </c>
      <c r="J550" s="37">
        <f>ABS(Log_2019[[#This Row],[Amount]])</f>
        <v>8.7200000000000006</v>
      </c>
      <c r="K550" s="38">
        <v>1</v>
      </c>
      <c r="L550" s="38">
        <f ca="1">IF(Log_2019[[#This Row],[Date]]&lt;=TODAY(), MIN(Log_2019[[#This Row],[Split_raw]], TODAY()-Log_2019[[#This Row],[Date]]+1), 0)</f>
        <v>1</v>
      </c>
      <c r="M550" s="34" t="s">
        <v>40</v>
      </c>
      <c r="N550" s="34" t="s">
        <v>160</v>
      </c>
      <c r="O550" s="7">
        <v>0</v>
      </c>
      <c r="P550" s="52">
        <f ca="1">Log_2019[[#This Row],[Amount]]/Log_2019[[#This Row],[Split_raw]]*MAX(0,MIN(_xlfn.DAYS(EDATE(P$1,1),Log_2019[[#This Row],[Date]]),Log_2019[[#This Row],[Split_apply]])) - SUM($O550:O550)</f>
        <v>0</v>
      </c>
      <c r="Q550" s="52">
        <f ca="1">Log_2019[[#This Row],[Amount]]/Log_2019[[#This Row],[Split_raw]]*MAX(0,MIN(_xlfn.DAYS(EDATE(Q$1,1),Log_2019[[#This Row],[Date]]),Log_2019[[#This Row],[Split_apply]])) - SUM($O550:P550)</f>
        <v>0</v>
      </c>
      <c r="R550" s="52">
        <f ca="1">Log_2019[[#This Row],[Amount]]/Log_2019[[#This Row],[Split_raw]]*MAX(0,MIN(_xlfn.DAYS(EDATE(R$1,1),Log_2019[[#This Row],[Date]]),Log_2019[[#This Row],[Split_apply]])) - SUM($O550:Q550)</f>
        <v>0</v>
      </c>
      <c r="S550" s="52">
        <f ca="1">Log_2019[[#This Row],[Amount]]/Log_2019[[#This Row],[Split_raw]]*MAX(0,MIN(_xlfn.DAYS(EDATE(S$1,1),Log_2019[[#This Row],[Date]]),Log_2019[[#This Row],[Split_apply]])) - SUM($O550:R550)</f>
        <v>-8.7200000000000006</v>
      </c>
      <c r="T550" s="52">
        <f ca="1">Log_2019[[#This Row],[Amount]]/Log_2019[[#This Row],[Split_raw]]*MAX(0,MIN(_xlfn.DAYS(EDATE(T$1,1),Log_2019[[#This Row],[Date]]),Log_2019[[#This Row],[Split_apply]])) - SUM($O550:S550)</f>
        <v>0</v>
      </c>
      <c r="U550" s="52">
        <f ca="1">Log_2019[[#This Row],[Amount]]/Log_2019[[#This Row],[Split_raw]]*MAX(0,MIN(_xlfn.DAYS(EDATE(U$1,1),Log_2019[[#This Row],[Date]]),Log_2019[[#This Row],[Split_apply]])) - SUM($O550:T550)</f>
        <v>0</v>
      </c>
      <c r="V550" s="52">
        <f ca="1">Log_2019[[#This Row],[Amount]]/Log_2019[[#This Row],[Split_raw]]*MAX(0,MIN(_xlfn.DAYS(EDATE(V$1,1),Log_2019[[#This Row],[Date]]),Log_2019[[#This Row],[Split_apply]])) - SUM($O550:U550)</f>
        <v>0</v>
      </c>
      <c r="W550" s="52">
        <f ca="1">Log_2019[[#This Row],[Amount]]/Log_2019[[#This Row],[Split_raw]]*MAX(0,MIN(_xlfn.DAYS(EDATE(W$1,1),Log_2019[[#This Row],[Date]]),Log_2019[[#This Row],[Split_apply]])) - SUM($O550:V550)</f>
        <v>0</v>
      </c>
      <c r="X550" s="52">
        <f ca="1">Log_2019[[#This Row],[Amount]]/Log_2019[[#This Row],[Split_raw]]*MAX(0,MIN(_xlfn.DAYS(EDATE(X$1,1),Log_2019[[#This Row],[Date]]),Log_2019[[#This Row],[Split_apply]])) - SUM($O550:W550)</f>
        <v>0</v>
      </c>
      <c r="Y550" s="52">
        <f ca="1">Log_2019[[#This Row],[Amount]]/Log_2019[[#This Row],[Split_raw]]*MAX(0,MIN(_xlfn.DAYS(EDATE(Y$1,1),Log_2019[[#This Row],[Date]]),Log_2019[[#This Row],[Split_apply]])) - SUM($O550:X550)</f>
        <v>0</v>
      </c>
      <c r="Z550" s="52">
        <f ca="1">Log_2019[[#This Row],[Amount]]/Log_2019[[#This Row],[Split_raw]]*MAX(0,MIN(_xlfn.DAYS(EDATE(Z$1,1),Log_2019[[#This Row],[Date]]),Log_2019[[#This Row],[Split_apply]])) - SUM($O550:Y550)</f>
        <v>0</v>
      </c>
      <c r="AA550" s="52">
        <f ca="1">Log_2019[[#This Row],[Amount]]/Log_2019[[#This Row],[Split_raw]]*MAX(0,MIN(_xlfn.DAYS(EDATE(AA$1,1),Log_2019[[#This Row],[Date]]),Log_2019[[#This Row],[Split_apply]])) - SUM($O550:Z550)</f>
        <v>0</v>
      </c>
      <c r="AB550" s="54">
        <f ca="1">Log_2019[[#This Row],[Amount]]-SUM(O550:AA550)</f>
        <v>0</v>
      </c>
      <c r="AC550" s="7">
        <f>MAX(0,Log_2019[[#This Row],[Split_raw]] - (EDATE(AA$1,1)-Log_2019[[#This Row],[Date]]))</f>
        <v>0</v>
      </c>
    </row>
    <row r="551" spans="1:29" x14ac:dyDescent="0.25">
      <c r="A551" s="42"/>
      <c r="B551" s="34" t="s">
        <v>6</v>
      </c>
      <c r="C551" s="34"/>
      <c r="D551" s="35">
        <v>43567</v>
      </c>
      <c r="E551" s="34"/>
      <c r="F551" s="34" t="s">
        <v>555</v>
      </c>
      <c r="G551" s="34" t="s">
        <v>25</v>
      </c>
      <c r="H551" s="36">
        <v>-9.0500000000000007</v>
      </c>
      <c r="I551" s="36">
        <f>IF(Log_2019[[#This Row],[My Category]]="NONTRACKED",0,Log_2019[[#This Row],[Raw Amount]])</f>
        <v>-9.0500000000000007</v>
      </c>
      <c r="J551" s="37">
        <f>ABS(Log_2019[[#This Row],[Amount]])</f>
        <v>9.0500000000000007</v>
      </c>
      <c r="K551" s="38">
        <v>1</v>
      </c>
      <c r="L551" s="38">
        <f ca="1">IF(Log_2019[[#This Row],[Date]]&lt;=TODAY(), MIN(Log_2019[[#This Row],[Split_raw]], TODAY()-Log_2019[[#This Row],[Date]]+1), 0)</f>
        <v>1</v>
      </c>
      <c r="M551" s="34" t="s">
        <v>35</v>
      </c>
      <c r="N551" s="34" t="s">
        <v>158</v>
      </c>
      <c r="O551" s="7">
        <v>0</v>
      </c>
      <c r="P551" s="52">
        <f ca="1">Log_2019[[#This Row],[Amount]]/Log_2019[[#This Row],[Split_raw]]*MAX(0,MIN(_xlfn.DAYS(EDATE(P$1,1),Log_2019[[#This Row],[Date]]),Log_2019[[#This Row],[Split_apply]])) - SUM($O551:O551)</f>
        <v>0</v>
      </c>
      <c r="Q551" s="52">
        <f ca="1">Log_2019[[#This Row],[Amount]]/Log_2019[[#This Row],[Split_raw]]*MAX(0,MIN(_xlfn.DAYS(EDATE(Q$1,1),Log_2019[[#This Row],[Date]]),Log_2019[[#This Row],[Split_apply]])) - SUM($O551:P551)</f>
        <v>0</v>
      </c>
      <c r="R551" s="52">
        <f ca="1">Log_2019[[#This Row],[Amount]]/Log_2019[[#This Row],[Split_raw]]*MAX(0,MIN(_xlfn.DAYS(EDATE(R$1,1),Log_2019[[#This Row],[Date]]),Log_2019[[#This Row],[Split_apply]])) - SUM($O551:Q551)</f>
        <v>0</v>
      </c>
      <c r="S551" s="52">
        <f ca="1">Log_2019[[#This Row],[Amount]]/Log_2019[[#This Row],[Split_raw]]*MAX(0,MIN(_xlfn.DAYS(EDATE(S$1,1),Log_2019[[#This Row],[Date]]),Log_2019[[#This Row],[Split_apply]])) - SUM($O551:R551)</f>
        <v>-9.0500000000000007</v>
      </c>
      <c r="T551" s="52">
        <f ca="1">Log_2019[[#This Row],[Amount]]/Log_2019[[#This Row],[Split_raw]]*MAX(0,MIN(_xlfn.DAYS(EDATE(T$1,1),Log_2019[[#This Row],[Date]]),Log_2019[[#This Row],[Split_apply]])) - SUM($O551:S551)</f>
        <v>0</v>
      </c>
      <c r="U551" s="52">
        <f ca="1">Log_2019[[#This Row],[Amount]]/Log_2019[[#This Row],[Split_raw]]*MAX(0,MIN(_xlfn.DAYS(EDATE(U$1,1),Log_2019[[#This Row],[Date]]),Log_2019[[#This Row],[Split_apply]])) - SUM($O551:T551)</f>
        <v>0</v>
      </c>
      <c r="V551" s="52">
        <f ca="1">Log_2019[[#This Row],[Amount]]/Log_2019[[#This Row],[Split_raw]]*MAX(0,MIN(_xlfn.DAYS(EDATE(V$1,1),Log_2019[[#This Row],[Date]]),Log_2019[[#This Row],[Split_apply]])) - SUM($O551:U551)</f>
        <v>0</v>
      </c>
      <c r="W551" s="52">
        <f ca="1">Log_2019[[#This Row],[Amount]]/Log_2019[[#This Row],[Split_raw]]*MAX(0,MIN(_xlfn.DAYS(EDATE(W$1,1),Log_2019[[#This Row],[Date]]),Log_2019[[#This Row],[Split_apply]])) - SUM($O551:V551)</f>
        <v>0</v>
      </c>
      <c r="X551" s="52">
        <f ca="1">Log_2019[[#This Row],[Amount]]/Log_2019[[#This Row],[Split_raw]]*MAX(0,MIN(_xlfn.DAYS(EDATE(X$1,1),Log_2019[[#This Row],[Date]]),Log_2019[[#This Row],[Split_apply]])) - SUM($O551:W551)</f>
        <v>0</v>
      </c>
      <c r="Y551" s="52">
        <f ca="1">Log_2019[[#This Row],[Amount]]/Log_2019[[#This Row],[Split_raw]]*MAX(0,MIN(_xlfn.DAYS(EDATE(Y$1,1),Log_2019[[#This Row],[Date]]),Log_2019[[#This Row],[Split_apply]])) - SUM($O551:X551)</f>
        <v>0</v>
      </c>
      <c r="Z551" s="52">
        <f ca="1">Log_2019[[#This Row],[Amount]]/Log_2019[[#This Row],[Split_raw]]*MAX(0,MIN(_xlfn.DAYS(EDATE(Z$1,1),Log_2019[[#This Row],[Date]]),Log_2019[[#This Row],[Split_apply]])) - SUM($O551:Y551)</f>
        <v>0</v>
      </c>
      <c r="AA551" s="52">
        <f ca="1">Log_2019[[#This Row],[Amount]]/Log_2019[[#This Row],[Split_raw]]*MAX(0,MIN(_xlfn.DAYS(EDATE(AA$1,1),Log_2019[[#This Row],[Date]]),Log_2019[[#This Row],[Split_apply]])) - SUM($O551:Z551)</f>
        <v>0</v>
      </c>
      <c r="AB551" s="54">
        <f ca="1">Log_2019[[#This Row],[Amount]]-SUM(O551:AA551)</f>
        <v>0</v>
      </c>
      <c r="AC551" s="7">
        <f>MAX(0,Log_2019[[#This Row],[Split_raw]] - (EDATE(AA$1,1)-Log_2019[[#This Row],[Date]]))</f>
        <v>0</v>
      </c>
    </row>
    <row r="552" spans="1:29" x14ac:dyDescent="0.25">
      <c r="A552" s="42"/>
      <c r="B552" s="34" t="s">
        <v>6</v>
      </c>
      <c r="C552" s="34"/>
      <c r="D552" s="35">
        <v>43567</v>
      </c>
      <c r="E552" s="34" t="s">
        <v>571</v>
      </c>
      <c r="F552" s="34" t="s">
        <v>456</v>
      </c>
      <c r="G552" s="34" t="s">
        <v>27</v>
      </c>
      <c r="H552" s="36">
        <v>-4.6100000000000003</v>
      </c>
      <c r="I552" s="36">
        <f>IF(Log_2019[[#This Row],[My Category]]="NONTRACKED",0,Log_2019[[#This Row],[Raw Amount]])</f>
        <v>-4.6100000000000003</v>
      </c>
      <c r="J552" s="37">
        <f>ABS(Log_2019[[#This Row],[Amount]])</f>
        <v>4.6100000000000003</v>
      </c>
      <c r="K552" s="38">
        <v>1</v>
      </c>
      <c r="L552" s="38">
        <f ca="1">IF(Log_2019[[#This Row],[Date]]&lt;=TODAY(), MIN(Log_2019[[#This Row],[Split_raw]], TODAY()-Log_2019[[#This Row],[Date]]+1), 0)</f>
        <v>1</v>
      </c>
      <c r="M552" s="34" t="s">
        <v>40</v>
      </c>
      <c r="N552" s="34" t="s">
        <v>160</v>
      </c>
      <c r="O552" s="7">
        <v>0</v>
      </c>
      <c r="P552" s="52">
        <f ca="1">Log_2019[[#This Row],[Amount]]/Log_2019[[#This Row],[Split_raw]]*MAX(0,MIN(_xlfn.DAYS(EDATE(P$1,1),Log_2019[[#This Row],[Date]]),Log_2019[[#This Row],[Split_apply]])) - SUM($O552:O552)</f>
        <v>0</v>
      </c>
      <c r="Q552" s="52">
        <f ca="1">Log_2019[[#This Row],[Amount]]/Log_2019[[#This Row],[Split_raw]]*MAX(0,MIN(_xlfn.DAYS(EDATE(Q$1,1),Log_2019[[#This Row],[Date]]),Log_2019[[#This Row],[Split_apply]])) - SUM($O552:P552)</f>
        <v>0</v>
      </c>
      <c r="R552" s="52">
        <f ca="1">Log_2019[[#This Row],[Amount]]/Log_2019[[#This Row],[Split_raw]]*MAX(0,MIN(_xlfn.DAYS(EDATE(R$1,1),Log_2019[[#This Row],[Date]]),Log_2019[[#This Row],[Split_apply]])) - SUM($O552:Q552)</f>
        <v>0</v>
      </c>
      <c r="S552" s="52">
        <f ca="1">Log_2019[[#This Row],[Amount]]/Log_2019[[#This Row],[Split_raw]]*MAX(0,MIN(_xlfn.DAYS(EDATE(S$1,1),Log_2019[[#This Row],[Date]]),Log_2019[[#This Row],[Split_apply]])) - SUM($O552:R552)</f>
        <v>-4.6100000000000003</v>
      </c>
      <c r="T552" s="52">
        <f ca="1">Log_2019[[#This Row],[Amount]]/Log_2019[[#This Row],[Split_raw]]*MAX(0,MIN(_xlfn.DAYS(EDATE(T$1,1),Log_2019[[#This Row],[Date]]),Log_2019[[#This Row],[Split_apply]])) - SUM($O552:S552)</f>
        <v>0</v>
      </c>
      <c r="U552" s="52">
        <f ca="1">Log_2019[[#This Row],[Amount]]/Log_2019[[#This Row],[Split_raw]]*MAX(0,MIN(_xlfn.DAYS(EDATE(U$1,1),Log_2019[[#This Row],[Date]]),Log_2019[[#This Row],[Split_apply]])) - SUM($O552:T552)</f>
        <v>0</v>
      </c>
      <c r="V552" s="52">
        <f ca="1">Log_2019[[#This Row],[Amount]]/Log_2019[[#This Row],[Split_raw]]*MAX(0,MIN(_xlfn.DAYS(EDATE(V$1,1),Log_2019[[#This Row],[Date]]),Log_2019[[#This Row],[Split_apply]])) - SUM($O552:U552)</f>
        <v>0</v>
      </c>
      <c r="W552" s="52">
        <f ca="1">Log_2019[[#This Row],[Amount]]/Log_2019[[#This Row],[Split_raw]]*MAX(0,MIN(_xlfn.DAYS(EDATE(W$1,1),Log_2019[[#This Row],[Date]]),Log_2019[[#This Row],[Split_apply]])) - SUM($O552:V552)</f>
        <v>0</v>
      </c>
      <c r="X552" s="52">
        <f ca="1">Log_2019[[#This Row],[Amount]]/Log_2019[[#This Row],[Split_raw]]*MAX(0,MIN(_xlfn.DAYS(EDATE(X$1,1),Log_2019[[#This Row],[Date]]),Log_2019[[#This Row],[Split_apply]])) - SUM($O552:W552)</f>
        <v>0</v>
      </c>
      <c r="Y552" s="52">
        <f ca="1">Log_2019[[#This Row],[Amount]]/Log_2019[[#This Row],[Split_raw]]*MAX(0,MIN(_xlfn.DAYS(EDATE(Y$1,1),Log_2019[[#This Row],[Date]]),Log_2019[[#This Row],[Split_apply]])) - SUM($O552:X552)</f>
        <v>0</v>
      </c>
      <c r="Z552" s="52">
        <f ca="1">Log_2019[[#This Row],[Amount]]/Log_2019[[#This Row],[Split_raw]]*MAX(0,MIN(_xlfn.DAYS(EDATE(Z$1,1),Log_2019[[#This Row],[Date]]),Log_2019[[#This Row],[Split_apply]])) - SUM($O552:Y552)</f>
        <v>0</v>
      </c>
      <c r="AA552" s="52">
        <f ca="1">Log_2019[[#This Row],[Amount]]/Log_2019[[#This Row],[Split_raw]]*MAX(0,MIN(_xlfn.DAYS(EDATE(AA$1,1),Log_2019[[#This Row],[Date]]),Log_2019[[#This Row],[Split_apply]])) - SUM($O552:Z552)</f>
        <v>0</v>
      </c>
      <c r="AB552" s="54">
        <f ca="1">Log_2019[[#This Row],[Amount]]-SUM(O552:AA552)</f>
        <v>0</v>
      </c>
      <c r="AC552" s="7">
        <f>MAX(0,Log_2019[[#This Row],[Split_raw]] - (EDATE(AA$1,1)-Log_2019[[#This Row],[Date]]))</f>
        <v>0</v>
      </c>
    </row>
    <row r="553" spans="1:29" x14ac:dyDescent="0.25">
      <c r="A553" s="42"/>
      <c r="B553" s="34" t="s">
        <v>6</v>
      </c>
      <c r="C553" s="34"/>
      <c r="D553" s="35">
        <v>43566</v>
      </c>
      <c r="E553" s="34"/>
      <c r="F553" s="34" t="s">
        <v>255</v>
      </c>
      <c r="G553" s="34" t="s">
        <v>25</v>
      </c>
      <c r="H553" s="36">
        <v>-7.56</v>
      </c>
      <c r="I553" s="36">
        <f>IF(Log_2019[[#This Row],[My Category]]="NONTRACKED",0,Log_2019[[#This Row],[Raw Amount]])</f>
        <v>-7.56</v>
      </c>
      <c r="J553" s="37">
        <f>ABS(Log_2019[[#This Row],[Amount]])</f>
        <v>7.56</v>
      </c>
      <c r="K553" s="38">
        <v>1</v>
      </c>
      <c r="L553" s="38">
        <f ca="1">IF(Log_2019[[#This Row],[Date]]&lt;=TODAY(), MIN(Log_2019[[#This Row],[Split_raw]], TODAY()-Log_2019[[#This Row],[Date]]+1), 0)</f>
        <v>1</v>
      </c>
      <c r="M553" s="34" t="s">
        <v>35</v>
      </c>
      <c r="N553" s="34" t="s">
        <v>158</v>
      </c>
      <c r="O553" s="7">
        <v>0</v>
      </c>
      <c r="P553" s="52">
        <f ca="1">Log_2019[[#This Row],[Amount]]/Log_2019[[#This Row],[Split_raw]]*MAX(0,MIN(_xlfn.DAYS(EDATE(P$1,1),Log_2019[[#This Row],[Date]]),Log_2019[[#This Row],[Split_apply]])) - SUM($O553:O553)</f>
        <v>0</v>
      </c>
      <c r="Q553" s="52">
        <f ca="1">Log_2019[[#This Row],[Amount]]/Log_2019[[#This Row],[Split_raw]]*MAX(0,MIN(_xlfn.DAYS(EDATE(Q$1,1),Log_2019[[#This Row],[Date]]),Log_2019[[#This Row],[Split_apply]])) - SUM($O553:P553)</f>
        <v>0</v>
      </c>
      <c r="R553" s="52">
        <f ca="1">Log_2019[[#This Row],[Amount]]/Log_2019[[#This Row],[Split_raw]]*MAX(0,MIN(_xlfn.DAYS(EDATE(R$1,1),Log_2019[[#This Row],[Date]]),Log_2019[[#This Row],[Split_apply]])) - SUM($O553:Q553)</f>
        <v>0</v>
      </c>
      <c r="S553" s="52">
        <f ca="1">Log_2019[[#This Row],[Amount]]/Log_2019[[#This Row],[Split_raw]]*MAX(0,MIN(_xlfn.DAYS(EDATE(S$1,1),Log_2019[[#This Row],[Date]]),Log_2019[[#This Row],[Split_apply]])) - SUM($O553:R553)</f>
        <v>-7.56</v>
      </c>
      <c r="T553" s="52">
        <f ca="1">Log_2019[[#This Row],[Amount]]/Log_2019[[#This Row],[Split_raw]]*MAX(0,MIN(_xlfn.DAYS(EDATE(T$1,1),Log_2019[[#This Row],[Date]]),Log_2019[[#This Row],[Split_apply]])) - SUM($O553:S553)</f>
        <v>0</v>
      </c>
      <c r="U553" s="52">
        <f ca="1">Log_2019[[#This Row],[Amount]]/Log_2019[[#This Row],[Split_raw]]*MAX(0,MIN(_xlfn.DAYS(EDATE(U$1,1),Log_2019[[#This Row],[Date]]),Log_2019[[#This Row],[Split_apply]])) - SUM($O553:T553)</f>
        <v>0</v>
      </c>
      <c r="V553" s="52">
        <f ca="1">Log_2019[[#This Row],[Amount]]/Log_2019[[#This Row],[Split_raw]]*MAX(0,MIN(_xlfn.DAYS(EDATE(V$1,1),Log_2019[[#This Row],[Date]]),Log_2019[[#This Row],[Split_apply]])) - SUM($O553:U553)</f>
        <v>0</v>
      </c>
      <c r="W553" s="52">
        <f ca="1">Log_2019[[#This Row],[Amount]]/Log_2019[[#This Row],[Split_raw]]*MAX(0,MIN(_xlfn.DAYS(EDATE(W$1,1),Log_2019[[#This Row],[Date]]),Log_2019[[#This Row],[Split_apply]])) - SUM($O553:V553)</f>
        <v>0</v>
      </c>
      <c r="X553" s="52">
        <f ca="1">Log_2019[[#This Row],[Amount]]/Log_2019[[#This Row],[Split_raw]]*MAX(0,MIN(_xlfn.DAYS(EDATE(X$1,1),Log_2019[[#This Row],[Date]]),Log_2019[[#This Row],[Split_apply]])) - SUM($O553:W553)</f>
        <v>0</v>
      </c>
      <c r="Y553" s="52">
        <f ca="1">Log_2019[[#This Row],[Amount]]/Log_2019[[#This Row],[Split_raw]]*MAX(0,MIN(_xlfn.DAYS(EDATE(Y$1,1),Log_2019[[#This Row],[Date]]),Log_2019[[#This Row],[Split_apply]])) - SUM($O553:X553)</f>
        <v>0</v>
      </c>
      <c r="Z553" s="52">
        <f ca="1">Log_2019[[#This Row],[Amount]]/Log_2019[[#This Row],[Split_raw]]*MAX(0,MIN(_xlfn.DAYS(EDATE(Z$1,1),Log_2019[[#This Row],[Date]]),Log_2019[[#This Row],[Split_apply]])) - SUM($O553:Y553)</f>
        <v>0</v>
      </c>
      <c r="AA553" s="52">
        <f ca="1">Log_2019[[#This Row],[Amount]]/Log_2019[[#This Row],[Split_raw]]*MAX(0,MIN(_xlfn.DAYS(EDATE(AA$1,1),Log_2019[[#This Row],[Date]]),Log_2019[[#This Row],[Split_apply]])) - SUM($O553:Z553)</f>
        <v>0</v>
      </c>
      <c r="AB553" s="54">
        <f ca="1">Log_2019[[#This Row],[Amount]]-SUM(O553:AA553)</f>
        <v>0</v>
      </c>
      <c r="AC553" s="7">
        <f>MAX(0,Log_2019[[#This Row],[Split_raw]] - (EDATE(AA$1,1)-Log_2019[[#This Row],[Date]]))</f>
        <v>0</v>
      </c>
    </row>
    <row r="554" spans="1:29" x14ac:dyDescent="0.25">
      <c r="A554" s="42"/>
      <c r="B554" s="34" t="s">
        <v>6</v>
      </c>
      <c r="C554" s="34"/>
      <c r="D554" s="35">
        <v>43566</v>
      </c>
      <c r="E554" s="34"/>
      <c r="F554" s="34" t="s">
        <v>255</v>
      </c>
      <c r="G554" s="34" t="s">
        <v>25</v>
      </c>
      <c r="H554" s="36">
        <v>-20.07</v>
      </c>
      <c r="I554" s="36">
        <f>IF(Log_2019[[#This Row],[My Category]]="NONTRACKED",0,Log_2019[[#This Row],[Raw Amount]])</f>
        <v>-20.07</v>
      </c>
      <c r="J554" s="37">
        <f>ABS(Log_2019[[#This Row],[Amount]])</f>
        <v>20.07</v>
      </c>
      <c r="K554" s="38">
        <v>1</v>
      </c>
      <c r="L554" s="38">
        <f ca="1">IF(Log_2019[[#This Row],[Date]]&lt;=TODAY(), MIN(Log_2019[[#This Row],[Split_raw]], TODAY()-Log_2019[[#This Row],[Date]]+1), 0)</f>
        <v>1</v>
      </c>
      <c r="M554" s="34" t="s">
        <v>52</v>
      </c>
      <c r="N554" s="34" t="s">
        <v>158</v>
      </c>
      <c r="O554" s="7">
        <v>0</v>
      </c>
      <c r="P554" s="52">
        <f ca="1">Log_2019[[#This Row],[Amount]]/Log_2019[[#This Row],[Split_raw]]*MAX(0,MIN(_xlfn.DAYS(EDATE(P$1,1),Log_2019[[#This Row],[Date]]),Log_2019[[#This Row],[Split_apply]])) - SUM($O554:O554)</f>
        <v>0</v>
      </c>
      <c r="Q554" s="52">
        <f ca="1">Log_2019[[#This Row],[Amount]]/Log_2019[[#This Row],[Split_raw]]*MAX(0,MIN(_xlfn.DAYS(EDATE(Q$1,1),Log_2019[[#This Row],[Date]]),Log_2019[[#This Row],[Split_apply]])) - SUM($O554:P554)</f>
        <v>0</v>
      </c>
      <c r="R554" s="52">
        <f ca="1">Log_2019[[#This Row],[Amount]]/Log_2019[[#This Row],[Split_raw]]*MAX(0,MIN(_xlfn.DAYS(EDATE(R$1,1),Log_2019[[#This Row],[Date]]),Log_2019[[#This Row],[Split_apply]])) - SUM($O554:Q554)</f>
        <v>0</v>
      </c>
      <c r="S554" s="52">
        <f ca="1">Log_2019[[#This Row],[Amount]]/Log_2019[[#This Row],[Split_raw]]*MAX(0,MIN(_xlfn.DAYS(EDATE(S$1,1),Log_2019[[#This Row],[Date]]),Log_2019[[#This Row],[Split_apply]])) - SUM($O554:R554)</f>
        <v>-20.07</v>
      </c>
      <c r="T554" s="52">
        <f ca="1">Log_2019[[#This Row],[Amount]]/Log_2019[[#This Row],[Split_raw]]*MAX(0,MIN(_xlfn.DAYS(EDATE(T$1,1),Log_2019[[#This Row],[Date]]),Log_2019[[#This Row],[Split_apply]])) - SUM($O554:S554)</f>
        <v>0</v>
      </c>
      <c r="U554" s="52">
        <f ca="1">Log_2019[[#This Row],[Amount]]/Log_2019[[#This Row],[Split_raw]]*MAX(0,MIN(_xlfn.DAYS(EDATE(U$1,1),Log_2019[[#This Row],[Date]]),Log_2019[[#This Row],[Split_apply]])) - SUM($O554:T554)</f>
        <v>0</v>
      </c>
      <c r="V554" s="52">
        <f ca="1">Log_2019[[#This Row],[Amount]]/Log_2019[[#This Row],[Split_raw]]*MAX(0,MIN(_xlfn.DAYS(EDATE(V$1,1),Log_2019[[#This Row],[Date]]),Log_2019[[#This Row],[Split_apply]])) - SUM($O554:U554)</f>
        <v>0</v>
      </c>
      <c r="W554" s="52">
        <f ca="1">Log_2019[[#This Row],[Amount]]/Log_2019[[#This Row],[Split_raw]]*MAX(0,MIN(_xlfn.DAYS(EDATE(W$1,1),Log_2019[[#This Row],[Date]]),Log_2019[[#This Row],[Split_apply]])) - SUM($O554:V554)</f>
        <v>0</v>
      </c>
      <c r="X554" s="52">
        <f ca="1">Log_2019[[#This Row],[Amount]]/Log_2019[[#This Row],[Split_raw]]*MAX(0,MIN(_xlfn.DAYS(EDATE(X$1,1),Log_2019[[#This Row],[Date]]),Log_2019[[#This Row],[Split_apply]])) - SUM($O554:W554)</f>
        <v>0</v>
      </c>
      <c r="Y554" s="52">
        <f ca="1">Log_2019[[#This Row],[Amount]]/Log_2019[[#This Row],[Split_raw]]*MAX(0,MIN(_xlfn.DAYS(EDATE(Y$1,1),Log_2019[[#This Row],[Date]]),Log_2019[[#This Row],[Split_apply]])) - SUM($O554:X554)</f>
        <v>0</v>
      </c>
      <c r="Z554" s="52">
        <f ca="1">Log_2019[[#This Row],[Amount]]/Log_2019[[#This Row],[Split_raw]]*MAX(0,MIN(_xlfn.DAYS(EDATE(Z$1,1),Log_2019[[#This Row],[Date]]),Log_2019[[#This Row],[Split_apply]])) - SUM($O554:Y554)</f>
        <v>0</v>
      </c>
      <c r="AA554" s="52">
        <f ca="1">Log_2019[[#This Row],[Amount]]/Log_2019[[#This Row],[Split_raw]]*MAX(0,MIN(_xlfn.DAYS(EDATE(AA$1,1),Log_2019[[#This Row],[Date]]),Log_2019[[#This Row],[Split_apply]])) - SUM($O554:Z554)</f>
        <v>0</v>
      </c>
      <c r="AB554" s="54">
        <f ca="1">Log_2019[[#This Row],[Amount]]-SUM(O554:AA554)</f>
        <v>0</v>
      </c>
      <c r="AC554" s="7">
        <f>MAX(0,Log_2019[[#This Row],[Split_raw]] - (EDATE(AA$1,1)-Log_2019[[#This Row],[Date]]))</f>
        <v>0</v>
      </c>
    </row>
    <row r="555" spans="1:29" x14ac:dyDescent="0.25">
      <c r="A555" s="42"/>
      <c r="B555" s="34" t="s">
        <v>6</v>
      </c>
      <c r="C555" s="34"/>
      <c r="D555" s="35">
        <v>43566</v>
      </c>
      <c r="E555" s="34"/>
      <c r="F555" s="34" t="s">
        <v>548</v>
      </c>
      <c r="G555" s="34" t="s">
        <v>25</v>
      </c>
      <c r="H555" s="36">
        <v>-15.81</v>
      </c>
      <c r="I555" s="36">
        <f>IF(Log_2019[[#This Row],[My Category]]="NONTRACKED",0,Log_2019[[#This Row],[Raw Amount]])</f>
        <v>-15.81</v>
      </c>
      <c r="J555" s="37">
        <f>ABS(Log_2019[[#This Row],[Amount]])</f>
        <v>15.81</v>
      </c>
      <c r="K555" s="38">
        <v>1</v>
      </c>
      <c r="L555" s="38">
        <f ca="1">IF(Log_2019[[#This Row],[Date]]&lt;=TODAY(), MIN(Log_2019[[#This Row],[Split_raw]], TODAY()-Log_2019[[#This Row],[Date]]+1), 0)</f>
        <v>1</v>
      </c>
      <c r="M555" s="34" t="s">
        <v>40</v>
      </c>
      <c r="N555" s="34" t="s">
        <v>158</v>
      </c>
      <c r="O555" s="7">
        <v>0</v>
      </c>
      <c r="P555" s="52">
        <f ca="1">Log_2019[[#This Row],[Amount]]/Log_2019[[#This Row],[Split_raw]]*MAX(0,MIN(_xlfn.DAYS(EDATE(P$1,1),Log_2019[[#This Row],[Date]]),Log_2019[[#This Row],[Split_apply]])) - SUM($O555:O555)</f>
        <v>0</v>
      </c>
      <c r="Q555" s="52">
        <f ca="1">Log_2019[[#This Row],[Amount]]/Log_2019[[#This Row],[Split_raw]]*MAX(0,MIN(_xlfn.DAYS(EDATE(Q$1,1),Log_2019[[#This Row],[Date]]),Log_2019[[#This Row],[Split_apply]])) - SUM($O555:P555)</f>
        <v>0</v>
      </c>
      <c r="R555" s="52">
        <f ca="1">Log_2019[[#This Row],[Amount]]/Log_2019[[#This Row],[Split_raw]]*MAX(0,MIN(_xlfn.DAYS(EDATE(R$1,1),Log_2019[[#This Row],[Date]]),Log_2019[[#This Row],[Split_apply]])) - SUM($O555:Q555)</f>
        <v>0</v>
      </c>
      <c r="S555" s="52">
        <f ca="1">Log_2019[[#This Row],[Amount]]/Log_2019[[#This Row],[Split_raw]]*MAX(0,MIN(_xlfn.DAYS(EDATE(S$1,1),Log_2019[[#This Row],[Date]]),Log_2019[[#This Row],[Split_apply]])) - SUM($O555:R555)</f>
        <v>-15.81</v>
      </c>
      <c r="T555" s="52">
        <f ca="1">Log_2019[[#This Row],[Amount]]/Log_2019[[#This Row],[Split_raw]]*MAX(0,MIN(_xlfn.DAYS(EDATE(T$1,1),Log_2019[[#This Row],[Date]]),Log_2019[[#This Row],[Split_apply]])) - SUM($O555:S555)</f>
        <v>0</v>
      </c>
      <c r="U555" s="52">
        <f ca="1">Log_2019[[#This Row],[Amount]]/Log_2019[[#This Row],[Split_raw]]*MAX(0,MIN(_xlfn.DAYS(EDATE(U$1,1),Log_2019[[#This Row],[Date]]),Log_2019[[#This Row],[Split_apply]])) - SUM($O555:T555)</f>
        <v>0</v>
      </c>
      <c r="V555" s="52">
        <f ca="1">Log_2019[[#This Row],[Amount]]/Log_2019[[#This Row],[Split_raw]]*MAX(0,MIN(_xlfn.DAYS(EDATE(V$1,1),Log_2019[[#This Row],[Date]]),Log_2019[[#This Row],[Split_apply]])) - SUM($O555:U555)</f>
        <v>0</v>
      </c>
      <c r="W555" s="52">
        <f ca="1">Log_2019[[#This Row],[Amount]]/Log_2019[[#This Row],[Split_raw]]*MAX(0,MIN(_xlfn.DAYS(EDATE(W$1,1),Log_2019[[#This Row],[Date]]),Log_2019[[#This Row],[Split_apply]])) - SUM($O555:V555)</f>
        <v>0</v>
      </c>
      <c r="X555" s="52">
        <f ca="1">Log_2019[[#This Row],[Amount]]/Log_2019[[#This Row],[Split_raw]]*MAX(0,MIN(_xlfn.DAYS(EDATE(X$1,1),Log_2019[[#This Row],[Date]]),Log_2019[[#This Row],[Split_apply]])) - SUM($O555:W555)</f>
        <v>0</v>
      </c>
      <c r="Y555" s="52">
        <f ca="1">Log_2019[[#This Row],[Amount]]/Log_2019[[#This Row],[Split_raw]]*MAX(0,MIN(_xlfn.DAYS(EDATE(Y$1,1),Log_2019[[#This Row],[Date]]),Log_2019[[#This Row],[Split_apply]])) - SUM($O555:X555)</f>
        <v>0</v>
      </c>
      <c r="Z555" s="52">
        <f ca="1">Log_2019[[#This Row],[Amount]]/Log_2019[[#This Row],[Split_raw]]*MAX(0,MIN(_xlfn.DAYS(EDATE(Z$1,1),Log_2019[[#This Row],[Date]]),Log_2019[[#This Row],[Split_apply]])) - SUM($O555:Y555)</f>
        <v>0</v>
      </c>
      <c r="AA555" s="52">
        <f ca="1">Log_2019[[#This Row],[Amount]]/Log_2019[[#This Row],[Split_raw]]*MAX(0,MIN(_xlfn.DAYS(EDATE(AA$1,1),Log_2019[[#This Row],[Date]]),Log_2019[[#This Row],[Split_apply]])) - SUM($O555:Z555)</f>
        <v>0</v>
      </c>
      <c r="AB555" s="54">
        <f ca="1">Log_2019[[#This Row],[Amount]]-SUM(O555:AA555)</f>
        <v>0</v>
      </c>
      <c r="AC555" s="7">
        <f>MAX(0,Log_2019[[#This Row],[Split_raw]] - (EDATE(AA$1,1)-Log_2019[[#This Row],[Date]]))</f>
        <v>0</v>
      </c>
    </row>
    <row r="556" spans="1:29" x14ac:dyDescent="0.25">
      <c r="A556" s="42"/>
      <c r="B556" s="34" t="s">
        <v>6</v>
      </c>
      <c r="C556" s="34"/>
      <c r="D556" s="35">
        <v>43566</v>
      </c>
      <c r="E556" s="34"/>
      <c r="F556" s="34" t="s">
        <v>83</v>
      </c>
      <c r="G556" s="34" t="s">
        <v>15</v>
      </c>
      <c r="H556" s="36">
        <v>-222.65</v>
      </c>
      <c r="I556" s="36">
        <f>IF(Log_2019[[#This Row],[My Category]]="NONTRACKED",0,Log_2019[[#This Row],[Raw Amount]])</f>
        <v>-222.65</v>
      </c>
      <c r="J556" s="37">
        <f>ABS(Log_2019[[#This Row],[Amount]])</f>
        <v>222.65</v>
      </c>
      <c r="K556" s="38">
        <v>30</v>
      </c>
      <c r="L556" s="38">
        <f ca="1">IF(Log_2019[[#This Row],[Date]]&lt;=TODAY(), MIN(Log_2019[[#This Row],[Split_raw]], TODAY()-Log_2019[[#This Row],[Date]]+1), 0)</f>
        <v>30</v>
      </c>
      <c r="M556" s="34" t="s">
        <v>241</v>
      </c>
      <c r="N556" s="34" t="s">
        <v>160</v>
      </c>
      <c r="O556" s="7">
        <v>0</v>
      </c>
      <c r="P556" s="52">
        <f ca="1">Log_2019[[#This Row],[Amount]]/Log_2019[[#This Row],[Split_raw]]*MAX(0,MIN(_xlfn.DAYS(EDATE(P$1,1),Log_2019[[#This Row],[Date]]),Log_2019[[#This Row],[Split_apply]])) - SUM($O556:O556)</f>
        <v>0</v>
      </c>
      <c r="Q556" s="52">
        <f ca="1">Log_2019[[#This Row],[Amount]]/Log_2019[[#This Row],[Split_raw]]*MAX(0,MIN(_xlfn.DAYS(EDATE(Q$1,1),Log_2019[[#This Row],[Date]]),Log_2019[[#This Row],[Split_apply]])) - SUM($O556:P556)</f>
        <v>0</v>
      </c>
      <c r="R556" s="52">
        <f ca="1">Log_2019[[#This Row],[Amount]]/Log_2019[[#This Row],[Split_raw]]*MAX(0,MIN(_xlfn.DAYS(EDATE(R$1,1),Log_2019[[#This Row],[Date]]),Log_2019[[#This Row],[Split_apply]])) - SUM($O556:Q556)</f>
        <v>0</v>
      </c>
      <c r="S556" s="52">
        <f ca="1">Log_2019[[#This Row],[Amount]]/Log_2019[[#This Row],[Split_raw]]*MAX(0,MIN(_xlfn.DAYS(EDATE(S$1,1),Log_2019[[#This Row],[Date]]),Log_2019[[#This Row],[Split_apply]])) - SUM($O556:R556)</f>
        <v>-148.43333333333334</v>
      </c>
      <c r="T556" s="52">
        <f ca="1">Log_2019[[#This Row],[Amount]]/Log_2019[[#This Row],[Split_raw]]*MAX(0,MIN(_xlfn.DAYS(EDATE(T$1,1),Log_2019[[#This Row],[Date]]),Log_2019[[#This Row],[Split_apply]])) - SUM($O556:S556)</f>
        <v>-74.216666666666669</v>
      </c>
      <c r="U556" s="52">
        <f ca="1">Log_2019[[#This Row],[Amount]]/Log_2019[[#This Row],[Split_raw]]*MAX(0,MIN(_xlfn.DAYS(EDATE(U$1,1),Log_2019[[#This Row],[Date]]),Log_2019[[#This Row],[Split_apply]])) - SUM($O556:T556)</f>
        <v>0</v>
      </c>
      <c r="V556" s="52">
        <f ca="1">Log_2019[[#This Row],[Amount]]/Log_2019[[#This Row],[Split_raw]]*MAX(0,MIN(_xlfn.DAYS(EDATE(V$1,1),Log_2019[[#This Row],[Date]]),Log_2019[[#This Row],[Split_apply]])) - SUM($O556:U556)</f>
        <v>0</v>
      </c>
      <c r="W556" s="52">
        <f ca="1">Log_2019[[#This Row],[Amount]]/Log_2019[[#This Row],[Split_raw]]*MAX(0,MIN(_xlfn.DAYS(EDATE(W$1,1),Log_2019[[#This Row],[Date]]),Log_2019[[#This Row],[Split_apply]])) - SUM($O556:V556)</f>
        <v>0</v>
      </c>
      <c r="X556" s="52">
        <f ca="1">Log_2019[[#This Row],[Amount]]/Log_2019[[#This Row],[Split_raw]]*MAX(0,MIN(_xlfn.DAYS(EDATE(X$1,1),Log_2019[[#This Row],[Date]]),Log_2019[[#This Row],[Split_apply]])) - SUM($O556:W556)</f>
        <v>0</v>
      </c>
      <c r="Y556" s="52">
        <f ca="1">Log_2019[[#This Row],[Amount]]/Log_2019[[#This Row],[Split_raw]]*MAX(0,MIN(_xlfn.DAYS(EDATE(Y$1,1),Log_2019[[#This Row],[Date]]),Log_2019[[#This Row],[Split_apply]])) - SUM($O556:X556)</f>
        <v>0</v>
      </c>
      <c r="Z556" s="52">
        <f ca="1">Log_2019[[#This Row],[Amount]]/Log_2019[[#This Row],[Split_raw]]*MAX(0,MIN(_xlfn.DAYS(EDATE(Z$1,1),Log_2019[[#This Row],[Date]]),Log_2019[[#This Row],[Split_apply]])) - SUM($O556:Y556)</f>
        <v>0</v>
      </c>
      <c r="AA556" s="52">
        <f ca="1">Log_2019[[#This Row],[Amount]]/Log_2019[[#This Row],[Split_raw]]*MAX(0,MIN(_xlfn.DAYS(EDATE(AA$1,1),Log_2019[[#This Row],[Date]]),Log_2019[[#This Row],[Split_apply]])) - SUM($O556:Z556)</f>
        <v>0</v>
      </c>
      <c r="AB556" s="54">
        <f ca="1">Log_2019[[#This Row],[Amount]]-SUM(O556:AA556)</f>
        <v>0</v>
      </c>
      <c r="AC556" s="7">
        <f>MAX(0,Log_2019[[#This Row],[Split_raw]] - (EDATE(AA$1,1)-Log_2019[[#This Row],[Date]]))</f>
        <v>0</v>
      </c>
    </row>
    <row r="557" spans="1:29" x14ac:dyDescent="0.25">
      <c r="A557" s="42"/>
      <c r="B557" s="34" t="s">
        <v>6</v>
      </c>
      <c r="C557" s="34"/>
      <c r="D557" s="35">
        <v>43566</v>
      </c>
      <c r="E557" s="34"/>
      <c r="F557" s="34" t="s">
        <v>566</v>
      </c>
      <c r="G557" s="34" t="s">
        <v>80</v>
      </c>
      <c r="H557" s="36">
        <f>--1891.68</f>
        <v>1891.68</v>
      </c>
      <c r="I557" s="36">
        <f>IF(Log_2019[[#This Row],[My Category]]="NONTRACKED",0,Log_2019[[#This Row],[Raw Amount]])</f>
        <v>1891.68</v>
      </c>
      <c r="J557" s="37">
        <f>ABS(Log_2019[[#This Row],[Amount]])</f>
        <v>1891.68</v>
      </c>
      <c r="K557" s="38">
        <v>14</v>
      </c>
      <c r="L557" s="38">
        <f ca="1">IF(Log_2019[[#This Row],[Date]]&lt;=TODAY(), MIN(Log_2019[[#This Row],[Split_raw]], TODAY()-Log_2019[[#This Row],[Date]]+1), 0)</f>
        <v>14</v>
      </c>
      <c r="M557" s="34" t="s">
        <v>91</v>
      </c>
      <c r="N557" s="34" t="s">
        <v>160</v>
      </c>
      <c r="O557" s="7">
        <v>0</v>
      </c>
      <c r="P557" s="52">
        <f ca="1">Log_2019[[#This Row],[Amount]]/Log_2019[[#This Row],[Split_raw]]*MAX(0,MIN(_xlfn.DAYS(EDATE(P$1,1),Log_2019[[#This Row],[Date]]),Log_2019[[#This Row],[Split_apply]])) - SUM($O557:O557)</f>
        <v>0</v>
      </c>
      <c r="Q557" s="52">
        <f ca="1">Log_2019[[#This Row],[Amount]]/Log_2019[[#This Row],[Split_raw]]*MAX(0,MIN(_xlfn.DAYS(EDATE(Q$1,1),Log_2019[[#This Row],[Date]]),Log_2019[[#This Row],[Split_apply]])) - SUM($O557:P557)</f>
        <v>0</v>
      </c>
      <c r="R557" s="52">
        <f ca="1">Log_2019[[#This Row],[Amount]]/Log_2019[[#This Row],[Split_raw]]*MAX(0,MIN(_xlfn.DAYS(EDATE(R$1,1),Log_2019[[#This Row],[Date]]),Log_2019[[#This Row],[Split_apply]])) - SUM($O557:Q557)</f>
        <v>0</v>
      </c>
      <c r="S557" s="52">
        <f ca="1">Log_2019[[#This Row],[Amount]]/Log_2019[[#This Row],[Split_raw]]*MAX(0,MIN(_xlfn.DAYS(EDATE(S$1,1),Log_2019[[#This Row],[Date]]),Log_2019[[#This Row],[Split_apply]])) - SUM($O557:R557)</f>
        <v>1891.68</v>
      </c>
      <c r="T557" s="52">
        <f ca="1">Log_2019[[#This Row],[Amount]]/Log_2019[[#This Row],[Split_raw]]*MAX(0,MIN(_xlfn.DAYS(EDATE(T$1,1),Log_2019[[#This Row],[Date]]),Log_2019[[#This Row],[Split_apply]])) - SUM($O557:S557)</f>
        <v>0</v>
      </c>
      <c r="U557" s="52">
        <f ca="1">Log_2019[[#This Row],[Amount]]/Log_2019[[#This Row],[Split_raw]]*MAX(0,MIN(_xlfn.DAYS(EDATE(U$1,1),Log_2019[[#This Row],[Date]]),Log_2019[[#This Row],[Split_apply]])) - SUM($O557:T557)</f>
        <v>0</v>
      </c>
      <c r="V557" s="52">
        <f ca="1">Log_2019[[#This Row],[Amount]]/Log_2019[[#This Row],[Split_raw]]*MAX(0,MIN(_xlfn.DAYS(EDATE(V$1,1),Log_2019[[#This Row],[Date]]),Log_2019[[#This Row],[Split_apply]])) - SUM($O557:U557)</f>
        <v>0</v>
      </c>
      <c r="W557" s="52">
        <f ca="1">Log_2019[[#This Row],[Amount]]/Log_2019[[#This Row],[Split_raw]]*MAX(0,MIN(_xlfn.DAYS(EDATE(W$1,1),Log_2019[[#This Row],[Date]]),Log_2019[[#This Row],[Split_apply]])) - SUM($O557:V557)</f>
        <v>0</v>
      </c>
      <c r="X557" s="52">
        <f ca="1">Log_2019[[#This Row],[Amount]]/Log_2019[[#This Row],[Split_raw]]*MAX(0,MIN(_xlfn.DAYS(EDATE(X$1,1),Log_2019[[#This Row],[Date]]),Log_2019[[#This Row],[Split_apply]])) - SUM($O557:W557)</f>
        <v>0</v>
      </c>
      <c r="Y557" s="52">
        <f ca="1">Log_2019[[#This Row],[Amount]]/Log_2019[[#This Row],[Split_raw]]*MAX(0,MIN(_xlfn.DAYS(EDATE(Y$1,1),Log_2019[[#This Row],[Date]]),Log_2019[[#This Row],[Split_apply]])) - SUM($O557:X557)</f>
        <v>0</v>
      </c>
      <c r="Z557" s="52">
        <f ca="1">Log_2019[[#This Row],[Amount]]/Log_2019[[#This Row],[Split_raw]]*MAX(0,MIN(_xlfn.DAYS(EDATE(Z$1,1),Log_2019[[#This Row],[Date]]),Log_2019[[#This Row],[Split_apply]])) - SUM($O557:Y557)</f>
        <v>0</v>
      </c>
      <c r="AA557" s="52">
        <f ca="1">Log_2019[[#This Row],[Amount]]/Log_2019[[#This Row],[Split_raw]]*MAX(0,MIN(_xlfn.DAYS(EDATE(AA$1,1),Log_2019[[#This Row],[Date]]),Log_2019[[#This Row],[Split_apply]])) - SUM($O557:Z557)</f>
        <v>0</v>
      </c>
      <c r="AB557" s="54">
        <f ca="1">Log_2019[[#This Row],[Amount]]-SUM(O557:AA557)</f>
        <v>0</v>
      </c>
      <c r="AC557" s="7">
        <f>MAX(0,Log_2019[[#This Row],[Split_raw]] - (EDATE(AA$1,1)-Log_2019[[#This Row],[Date]]))</f>
        <v>0</v>
      </c>
    </row>
    <row r="558" spans="1:29" x14ac:dyDescent="0.25">
      <c r="A558" s="42"/>
      <c r="B558" s="34" t="s">
        <v>6</v>
      </c>
      <c r="C558" s="34"/>
      <c r="D558" s="35">
        <v>43565</v>
      </c>
      <c r="E558" s="34"/>
      <c r="F558" s="34" t="s">
        <v>549</v>
      </c>
      <c r="G558" s="34" t="s">
        <v>25</v>
      </c>
      <c r="H558" s="36">
        <v>-12.8</v>
      </c>
      <c r="I558" s="36">
        <f>IF(Log_2019[[#This Row],[My Category]]="NONTRACKED",0,Log_2019[[#This Row],[Raw Amount]])</f>
        <v>-12.8</v>
      </c>
      <c r="J558" s="37">
        <f>ABS(Log_2019[[#This Row],[Amount]])</f>
        <v>12.8</v>
      </c>
      <c r="K558" s="38">
        <v>1</v>
      </c>
      <c r="L558" s="38">
        <f ca="1">IF(Log_2019[[#This Row],[Date]]&lt;=TODAY(), MIN(Log_2019[[#This Row],[Split_raw]], TODAY()-Log_2019[[#This Row],[Date]]+1), 0)</f>
        <v>1</v>
      </c>
      <c r="M558" s="34" t="s">
        <v>35</v>
      </c>
      <c r="N558" s="34" t="s">
        <v>158</v>
      </c>
      <c r="O558" s="7">
        <v>0</v>
      </c>
      <c r="P558" s="52">
        <f ca="1">Log_2019[[#This Row],[Amount]]/Log_2019[[#This Row],[Split_raw]]*MAX(0,MIN(_xlfn.DAYS(EDATE(P$1,1),Log_2019[[#This Row],[Date]]),Log_2019[[#This Row],[Split_apply]])) - SUM($O558:O558)</f>
        <v>0</v>
      </c>
      <c r="Q558" s="52">
        <f ca="1">Log_2019[[#This Row],[Amount]]/Log_2019[[#This Row],[Split_raw]]*MAX(0,MIN(_xlfn.DAYS(EDATE(Q$1,1),Log_2019[[#This Row],[Date]]),Log_2019[[#This Row],[Split_apply]])) - SUM($O558:P558)</f>
        <v>0</v>
      </c>
      <c r="R558" s="52">
        <f ca="1">Log_2019[[#This Row],[Amount]]/Log_2019[[#This Row],[Split_raw]]*MAX(0,MIN(_xlfn.DAYS(EDATE(R$1,1),Log_2019[[#This Row],[Date]]),Log_2019[[#This Row],[Split_apply]])) - SUM($O558:Q558)</f>
        <v>0</v>
      </c>
      <c r="S558" s="52">
        <f ca="1">Log_2019[[#This Row],[Amount]]/Log_2019[[#This Row],[Split_raw]]*MAX(0,MIN(_xlfn.DAYS(EDATE(S$1,1),Log_2019[[#This Row],[Date]]),Log_2019[[#This Row],[Split_apply]])) - SUM($O558:R558)</f>
        <v>-12.8</v>
      </c>
      <c r="T558" s="52">
        <f ca="1">Log_2019[[#This Row],[Amount]]/Log_2019[[#This Row],[Split_raw]]*MAX(0,MIN(_xlfn.DAYS(EDATE(T$1,1),Log_2019[[#This Row],[Date]]),Log_2019[[#This Row],[Split_apply]])) - SUM($O558:S558)</f>
        <v>0</v>
      </c>
      <c r="U558" s="52">
        <f ca="1">Log_2019[[#This Row],[Amount]]/Log_2019[[#This Row],[Split_raw]]*MAX(0,MIN(_xlfn.DAYS(EDATE(U$1,1),Log_2019[[#This Row],[Date]]),Log_2019[[#This Row],[Split_apply]])) - SUM($O558:T558)</f>
        <v>0</v>
      </c>
      <c r="V558" s="52">
        <f ca="1">Log_2019[[#This Row],[Amount]]/Log_2019[[#This Row],[Split_raw]]*MAX(0,MIN(_xlfn.DAYS(EDATE(V$1,1),Log_2019[[#This Row],[Date]]),Log_2019[[#This Row],[Split_apply]])) - SUM($O558:U558)</f>
        <v>0</v>
      </c>
      <c r="W558" s="52">
        <f ca="1">Log_2019[[#This Row],[Amount]]/Log_2019[[#This Row],[Split_raw]]*MAX(0,MIN(_xlfn.DAYS(EDATE(W$1,1),Log_2019[[#This Row],[Date]]),Log_2019[[#This Row],[Split_apply]])) - SUM($O558:V558)</f>
        <v>0</v>
      </c>
      <c r="X558" s="52">
        <f ca="1">Log_2019[[#This Row],[Amount]]/Log_2019[[#This Row],[Split_raw]]*MAX(0,MIN(_xlfn.DAYS(EDATE(X$1,1),Log_2019[[#This Row],[Date]]),Log_2019[[#This Row],[Split_apply]])) - SUM($O558:W558)</f>
        <v>0</v>
      </c>
      <c r="Y558" s="52">
        <f ca="1">Log_2019[[#This Row],[Amount]]/Log_2019[[#This Row],[Split_raw]]*MAX(0,MIN(_xlfn.DAYS(EDATE(Y$1,1),Log_2019[[#This Row],[Date]]),Log_2019[[#This Row],[Split_apply]])) - SUM($O558:X558)</f>
        <v>0</v>
      </c>
      <c r="Z558" s="52">
        <f ca="1">Log_2019[[#This Row],[Amount]]/Log_2019[[#This Row],[Split_raw]]*MAX(0,MIN(_xlfn.DAYS(EDATE(Z$1,1),Log_2019[[#This Row],[Date]]),Log_2019[[#This Row],[Split_apply]])) - SUM($O558:Y558)</f>
        <v>0</v>
      </c>
      <c r="AA558" s="52">
        <f ca="1">Log_2019[[#This Row],[Amount]]/Log_2019[[#This Row],[Split_raw]]*MAX(0,MIN(_xlfn.DAYS(EDATE(AA$1,1),Log_2019[[#This Row],[Date]]),Log_2019[[#This Row],[Split_apply]])) - SUM($O558:Z558)</f>
        <v>0</v>
      </c>
      <c r="AB558" s="54">
        <f ca="1">Log_2019[[#This Row],[Amount]]-SUM(O558:AA558)</f>
        <v>0</v>
      </c>
      <c r="AC558" s="7">
        <f>MAX(0,Log_2019[[#This Row],[Split_raw]] - (EDATE(AA$1,1)-Log_2019[[#This Row],[Date]]))</f>
        <v>0</v>
      </c>
    </row>
    <row r="559" spans="1:29" x14ac:dyDescent="0.25">
      <c r="A559" s="42"/>
      <c r="B559" s="34" t="s">
        <v>6</v>
      </c>
      <c r="C559" s="34"/>
      <c r="D559" s="35">
        <v>43565</v>
      </c>
      <c r="E559" s="34"/>
      <c r="F559" s="34" t="s">
        <v>308</v>
      </c>
      <c r="G559" s="34" t="s">
        <v>25</v>
      </c>
      <c r="H559" s="36">
        <v>-11.86</v>
      </c>
      <c r="I559" s="36">
        <f>IF(Log_2019[[#This Row],[My Category]]="NONTRACKED",0,Log_2019[[#This Row],[Raw Amount]])</f>
        <v>-11.86</v>
      </c>
      <c r="J559" s="37">
        <f>ABS(Log_2019[[#This Row],[Amount]])</f>
        <v>11.86</v>
      </c>
      <c r="K559" s="38">
        <v>1</v>
      </c>
      <c r="L559" s="38">
        <f ca="1">IF(Log_2019[[#This Row],[Date]]&lt;=TODAY(), MIN(Log_2019[[#This Row],[Split_raw]], TODAY()-Log_2019[[#This Row],[Date]]+1), 0)</f>
        <v>1</v>
      </c>
      <c r="M559" s="34" t="s">
        <v>35</v>
      </c>
      <c r="N559" s="34" t="s">
        <v>158</v>
      </c>
      <c r="O559" s="7">
        <v>0</v>
      </c>
      <c r="P559" s="52">
        <f ca="1">Log_2019[[#This Row],[Amount]]/Log_2019[[#This Row],[Split_raw]]*MAX(0,MIN(_xlfn.DAYS(EDATE(P$1,1),Log_2019[[#This Row],[Date]]),Log_2019[[#This Row],[Split_apply]])) - SUM($O559:O559)</f>
        <v>0</v>
      </c>
      <c r="Q559" s="52">
        <f ca="1">Log_2019[[#This Row],[Amount]]/Log_2019[[#This Row],[Split_raw]]*MAX(0,MIN(_xlfn.DAYS(EDATE(Q$1,1),Log_2019[[#This Row],[Date]]),Log_2019[[#This Row],[Split_apply]])) - SUM($O559:P559)</f>
        <v>0</v>
      </c>
      <c r="R559" s="52">
        <f ca="1">Log_2019[[#This Row],[Amount]]/Log_2019[[#This Row],[Split_raw]]*MAX(0,MIN(_xlfn.DAYS(EDATE(R$1,1),Log_2019[[#This Row],[Date]]),Log_2019[[#This Row],[Split_apply]])) - SUM($O559:Q559)</f>
        <v>0</v>
      </c>
      <c r="S559" s="52">
        <f ca="1">Log_2019[[#This Row],[Amount]]/Log_2019[[#This Row],[Split_raw]]*MAX(0,MIN(_xlfn.DAYS(EDATE(S$1,1),Log_2019[[#This Row],[Date]]),Log_2019[[#This Row],[Split_apply]])) - SUM($O559:R559)</f>
        <v>-11.86</v>
      </c>
      <c r="T559" s="52">
        <f ca="1">Log_2019[[#This Row],[Amount]]/Log_2019[[#This Row],[Split_raw]]*MAX(0,MIN(_xlfn.DAYS(EDATE(T$1,1),Log_2019[[#This Row],[Date]]),Log_2019[[#This Row],[Split_apply]])) - SUM($O559:S559)</f>
        <v>0</v>
      </c>
      <c r="U559" s="52">
        <f ca="1">Log_2019[[#This Row],[Amount]]/Log_2019[[#This Row],[Split_raw]]*MAX(0,MIN(_xlfn.DAYS(EDATE(U$1,1),Log_2019[[#This Row],[Date]]),Log_2019[[#This Row],[Split_apply]])) - SUM($O559:T559)</f>
        <v>0</v>
      </c>
      <c r="V559" s="52">
        <f ca="1">Log_2019[[#This Row],[Amount]]/Log_2019[[#This Row],[Split_raw]]*MAX(0,MIN(_xlfn.DAYS(EDATE(V$1,1),Log_2019[[#This Row],[Date]]),Log_2019[[#This Row],[Split_apply]])) - SUM($O559:U559)</f>
        <v>0</v>
      </c>
      <c r="W559" s="52">
        <f ca="1">Log_2019[[#This Row],[Amount]]/Log_2019[[#This Row],[Split_raw]]*MAX(0,MIN(_xlfn.DAYS(EDATE(W$1,1),Log_2019[[#This Row],[Date]]),Log_2019[[#This Row],[Split_apply]])) - SUM($O559:V559)</f>
        <v>0</v>
      </c>
      <c r="X559" s="52">
        <f ca="1">Log_2019[[#This Row],[Amount]]/Log_2019[[#This Row],[Split_raw]]*MAX(0,MIN(_xlfn.DAYS(EDATE(X$1,1),Log_2019[[#This Row],[Date]]),Log_2019[[#This Row],[Split_apply]])) - SUM($O559:W559)</f>
        <v>0</v>
      </c>
      <c r="Y559" s="52">
        <f ca="1">Log_2019[[#This Row],[Amount]]/Log_2019[[#This Row],[Split_raw]]*MAX(0,MIN(_xlfn.DAYS(EDATE(Y$1,1),Log_2019[[#This Row],[Date]]),Log_2019[[#This Row],[Split_apply]])) - SUM($O559:X559)</f>
        <v>0</v>
      </c>
      <c r="Z559" s="52">
        <f ca="1">Log_2019[[#This Row],[Amount]]/Log_2019[[#This Row],[Split_raw]]*MAX(0,MIN(_xlfn.DAYS(EDATE(Z$1,1),Log_2019[[#This Row],[Date]]),Log_2019[[#This Row],[Split_apply]])) - SUM($O559:Y559)</f>
        <v>0</v>
      </c>
      <c r="AA559" s="52">
        <f ca="1">Log_2019[[#This Row],[Amount]]/Log_2019[[#This Row],[Split_raw]]*MAX(0,MIN(_xlfn.DAYS(EDATE(AA$1,1),Log_2019[[#This Row],[Date]]),Log_2019[[#This Row],[Split_apply]])) - SUM($O559:Z559)</f>
        <v>0</v>
      </c>
      <c r="AB559" s="54">
        <f ca="1">Log_2019[[#This Row],[Amount]]-SUM(O559:AA559)</f>
        <v>0</v>
      </c>
      <c r="AC559" s="7">
        <f>MAX(0,Log_2019[[#This Row],[Split_raw]] - (EDATE(AA$1,1)-Log_2019[[#This Row],[Date]]))</f>
        <v>0</v>
      </c>
    </row>
    <row r="560" spans="1:29" x14ac:dyDescent="0.25">
      <c r="A560" s="42"/>
      <c r="B560" s="34" t="s">
        <v>6</v>
      </c>
      <c r="C560" s="34"/>
      <c r="D560" s="35">
        <v>43565</v>
      </c>
      <c r="E560" s="34" t="s">
        <v>872</v>
      </c>
      <c r="F560" s="34" t="s">
        <v>550</v>
      </c>
      <c r="G560" s="34" t="s">
        <v>22</v>
      </c>
      <c r="H560" s="36">
        <v>-23</v>
      </c>
      <c r="I560" s="36">
        <f>IF(Log_2019[[#This Row],[My Category]]="NONTRACKED",0,Log_2019[[#This Row],[Raw Amount]])</f>
        <v>-23</v>
      </c>
      <c r="J560" s="37">
        <f>ABS(Log_2019[[#This Row],[Amount]])</f>
        <v>23</v>
      </c>
      <c r="K560" s="38">
        <v>1</v>
      </c>
      <c r="L560" s="38">
        <f ca="1">IF(Log_2019[[#This Row],[Date]]&lt;=TODAY(), MIN(Log_2019[[#This Row],[Split_raw]], TODAY()-Log_2019[[#This Row],[Date]]+1), 0)</f>
        <v>1</v>
      </c>
      <c r="M560" s="34" t="s">
        <v>366</v>
      </c>
      <c r="N560" s="34" t="s">
        <v>158</v>
      </c>
      <c r="O560" s="7">
        <v>0</v>
      </c>
      <c r="P560" s="52">
        <f ca="1">Log_2019[[#This Row],[Amount]]/Log_2019[[#This Row],[Split_raw]]*MAX(0,MIN(_xlfn.DAYS(EDATE(P$1,1),Log_2019[[#This Row],[Date]]),Log_2019[[#This Row],[Split_apply]])) - SUM($O560:O560)</f>
        <v>0</v>
      </c>
      <c r="Q560" s="52">
        <f ca="1">Log_2019[[#This Row],[Amount]]/Log_2019[[#This Row],[Split_raw]]*MAX(0,MIN(_xlfn.DAYS(EDATE(Q$1,1),Log_2019[[#This Row],[Date]]),Log_2019[[#This Row],[Split_apply]])) - SUM($O560:P560)</f>
        <v>0</v>
      </c>
      <c r="R560" s="52">
        <f ca="1">Log_2019[[#This Row],[Amount]]/Log_2019[[#This Row],[Split_raw]]*MAX(0,MIN(_xlfn.DAYS(EDATE(R$1,1),Log_2019[[#This Row],[Date]]),Log_2019[[#This Row],[Split_apply]])) - SUM($O560:Q560)</f>
        <v>0</v>
      </c>
      <c r="S560" s="52">
        <f ca="1">Log_2019[[#This Row],[Amount]]/Log_2019[[#This Row],[Split_raw]]*MAX(0,MIN(_xlfn.DAYS(EDATE(S$1,1),Log_2019[[#This Row],[Date]]),Log_2019[[#This Row],[Split_apply]])) - SUM($O560:R560)</f>
        <v>-23</v>
      </c>
      <c r="T560" s="52">
        <f ca="1">Log_2019[[#This Row],[Amount]]/Log_2019[[#This Row],[Split_raw]]*MAX(0,MIN(_xlfn.DAYS(EDATE(T$1,1),Log_2019[[#This Row],[Date]]),Log_2019[[#This Row],[Split_apply]])) - SUM($O560:S560)</f>
        <v>0</v>
      </c>
      <c r="U560" s="52">
        <f ca="1">Log_2019[[#This Row],[Amount]]/Log_2019[[#This Row],[Split_raw]]*MAX(0,MIN(_xlfn.DAYS(EDATE(U$1,1),Log_2019[[#This Row],[Date]]),Log_2019[[#This Row],[Split_apply]])) - SUM($O560:T560)</f>
        <v>0</v>
      </c>
      <c r="V560" s="52">
        <f ca="1">Log_2019[[#This Row],[Amount]]/Log_2019[[#This Row],[Split_raw]]*MAX(0,MIN(_xlfn.DAYS(EDATE(V$1,1),Log_2019[[#This Row],[Date]]),Log_2019[[#This Row],[Split_apply]])) - SUM($O560:U560)</f>
        <v>0</v>
      </c>
      <c r="W560" s="52">
        <f ca="1">Log_2019[[#This Row],[Amount]]/Log_2019[[#This Row],[Split_raw]]*MAX(0,MIN(_xlfn.DAYS(EDATE(W$1,1),Log_2019[[#This Row],[Date]]),Log_2019[[#This Row],[Split_apply]])) - SUM($O560:V560)</f>
        <v>0</v>
      </c>
      <c r="X560" s="52">
        <f ca="1">Log_2019[[#This Row],[Amount]]/Log_2019[[#This Row],[Split_raw]]*MAX(0,MIN(_xlfn.DAYS(EDATE(X$1,1),Log_2019[[#This Row],[Date]]),Log_2019[[#This Row],[Split_apply]])) - SUM($O560:W560)</f>
        <v>0</v>
      </c>
      <c r="Y560" s="52">
        <f ca="1">Log_2019[[#This Row],[Amount]]/Log_2019[[#This Row],[Split_raw]]*MAX(0,MIN(_xlfn.DAYS(EDATE(Y$1,1),Log_2019[[#This Row],[Date]]),Log_2019[[#This Row],[Split_apply]])) - SUM($O560:X560)</f>
        <v>0</v>
      </c>
      <c r="Z560" s="52">
        <f ca="1">Log_2019[[#This Row],[Amount]]/Log_2019[[#This Row],[Split_raw]]*MAX(0,MIN(_xlfn.DAYS(EDATE(Z$1,1),Log_2019[[#This Row],[Date]]),Log_2019[[#This Row],[Split_apply]])) - SUM($O560:Y560)</f>
        <v>0</v>
      </c>
      <c r="AA560" s="52">
        <f ca="1">Log_2019[[#This Row],[Amount]]/Log_2019[[#This Row],[Split_raw]]*MAX(0,MIN(_xlfn.DAYS(EDATE(AA$1,1),Log_2019[[#This Row],[Date]]),Log_2019[[#This Row],[Split_apply]])) - SUM($O560:Z560)</f>
        <v>0</v>
      </c>
      <c r="AB560" s="54">
        <f ca="1">Log_2019[[#This Row],[Amount]]-SUM(O560:AA560)</f>
        <v>0</v>
      </c>
      <c r="AC560" s="7">
        <f>MAX(0,Log_2019[[#This Row],[Split_raw]] - (EDATE(AA$1,1)-Log_2019[[#This Row],[Date]]))</f>
        <v>0</v>
      </c>
    </row>
    <row r="561" spans="1:29" x14ac:dyDescent="0.25">
      <c r="A561" s="42"/>
      <c r="B561" s="34" t="s">
        <v>6</v>
      </c>
      <c r="C561" s="34"/>
      <c r="D561" s="35">
        <v>43565</v>
      </c>
      <c r="E561" s="34" t="s">
        <v>250</v>
      </c>
      <c r="F561" s="34" t="s">
        <v>243</v>
      </c>
      <c r="G561" s="34" t="s">
        <v>143</v>
      </c>
      <c r="H561" s="36">
        <v>-10.81</v>
      </c>
      <c r="I561" s="36">
        <f>IF(Log_2019[[#This Row],[My Category]]="NONTRACKED",0,Log_2019[[#This Row],[Raw Amount]])</f>
        <v>-10.81</v>
      </c>
      <c r="J561" s="37">
        <f>ABS(Log_2019[[#This Row],[Amount]])</f>
        <v>10.81</v>
      </c>
      <c r="K561" s="38">
        <v>30</v>
      </c>
      <c r="L561" s="38">
        <f ca="1">IF(Log_2019[[#This Row],[Date]]&lt;=TODAY(), MIN(Log_2019[[#This Row],[Split_raw]], TODAY()-Log_2019[[#This Row],[Date]]+1), 0)</f>
        <v>30</v>
      </c>
      <c r="M561" s="34" t="s">
        <v>53</v>
      </c>
      <c r="N561" s="34" t="s">
        <v>160</v>
      </c>
      <c r="O561" s="7">
        <v>0</v>
      </c>
      <c r="P561" s="52">
        <f ca="1">Log_2019[[#This Row],[Amount]]/Log_2019[[#This Row],[Split_raw]]*MAX(0,MIN(_xlfn.DAYS(EDATE(P$1,1),Log_2019[[#This Row],[Date]]),Log_2019[[#This Row],[Split_apply]])) - SUM($O561:O561)</f>
        <v>0</v>
      </c>
      <c r="Q561" s="52">
        <f ca="1">Log_2019[[#This Row],[Amount]]/Log_2019[[#This Row],[Split_raw]]*MAX(0,MIN(_xlfn.DAYS(EDATE(Q$1,1),Log_2019[[#This Row],[Date]]),Log_2019[[#This Row],[Split_apply]])) - SUM($O561:P561)</f>
        <v>0</v>
      </c>
      <c r="R561" s="52">
        <f ca="1">Log_2019[[#This Row],[Amount]]/Log_2019[[#This Row],[Split_raw]]*MAX(0,MIN(_xlfn.DAYS(EDATE(R$1,1),Log_2019[[#This Row],[Date]]),Log_2019[[#This Row],[Split_apply]])) - SUM($O561:Q561)</f>
        <v>0</v>
      </c>
      <c r="S561" s="52">
        <f ca="1">Log_2019[[#This Row],[Amount]]/Log_2019[[#This Row],[Split_raw]]*MAX(0,MIN(_xlfn.DAYS(EDATE(S$1,1),Log_2019[[#This Row],[Date]]),Log_2019[[#This Row],[Split_apply]])) - SUM($O561:R561)</f>
        <v>-7.5670000000000002</v>
      </c>
      <c r="T561" s="52">
        <f ca="1">Log_2019[[#This Row],[Amount]]/Log_2019[[#This Row],[Split_raw]]*MAX(0,MIN(_xlfn.DAYS(EDATE(T$1,1),Log_2019[[#This Row],[Date]]),Log_2019[[#This Row],[Split_apply]])) - SUM($O561:S561)</f>
        <v>-3.2430000000000003</v>
      </c>
      <c r="U561" s="52">
        <f ca="1">Log_2019[[#This Row],[Amount]]/Log_2019[[#This Row],[Split_raw]]*MAX(0,MIN(_xlfn.DAYS(EDATE(U$1,1),Log_2019[[#This Row],[Date]]),Log_2019[[#This Row],[Split_apply]])) - SUM($O561:T561)</f>
        <v>0</v>
      </c>
      <c r="V561" s="52">
        <f ca="1">Log_2019[[#This Row],[Amount]]/Log_2019[[#This Row],[Split_raw]]*MAX(0,MIN(_xlfn.DAYS(EDATE(V$1,1),Log_2019[[#This Row],[Date]]),Log_2019[[#This Row],[Split_apply]])) - SUM($O561:U561)</f>
        <v>0</v>
      </c>
      <c r="W561" s="52">
        <f ca="1">Log_2019[[#This Row],[Amount]]/Log_2019[[#This Row],[Split_raw]]*MAX(0,MIN(_xlfn.DAYS(EDATE(W$1,1),Log_2019[[#This Row],[Date]]),Log_2019[[#This Row],[Split_apply]])) - SUM($O561:V561)</f>
        <v>0</v>
      </c>
      <c r="X561" s="52">
        <f ca="1">Log_2019[[#This Row],[Amount]]/Log_2019[[#This Row],[Split_raw]]*MAX(0,MIN(_xlfn.DAYS(EDATE(X$1,1),Log_2019[[#This Row],[Date]]),Log_2019[[#This Row],[Split_apply]])) - SUM($O561:W561)</f>
        <v>0</v>
      </c>
      <c r="Y561" s="52">
        <f ca="1">Log_2019[[#This Row],[Amount]]/Log_2019[[#This Row],[Split_raw]]*MAX(0,MIN(_xlfn.DAYS(EDATE(Y$1,1),Log_2019[[#This Row],[Date]]),Log_2019[[#This Row],[Split_apply]])) - SUM($O561:X561)</f>
        <v>0</v>
      </c>
      <c r="Z561" s="52">
        <f ca="1">Log_2019[[#This Row],[Amount]]/Log_2019[[#This Row],[Split_raw]]*MAX(0,MIN(_xlfn.DAYS(EDATE(Z$1,1),Log_2019[[#This Row],[Date]]),Log_2019[[#This Row],[Split_apply]])) - SUM($O561:Y561)</f>
        <v>0</v>
      </c>
      <c r="AA561" s="52">
        <f ca="1">Log_2019[[#This Row],[Amount]]/Log_2019[[#This Row],[Split_raw]]*MAX(0,MIN(_xlfn.DAYS(EDATE(AA$1,1),Log_2019[[#This Row],[Date]]),Log_2019[[#This Row],[Split_apply]])) - SUM($O561:Z561)</f>
        <v>0</v>
      </c>
      <c r="AB561" s="54">
        <f ca="1">Log_2019[[#This Row],[Amount]]-SUM(O561:AA561)</f>
        <v>0</v>
      </c>
      <c r="AC561" s="7">
        <f>MAX(0,Log_2019[[#This Row],[Split_raw]] - (EDATE(AA$1,1)-Log_2019[[#This Row],[Date]]))</f>
        <v>0</v>
      </c>
    </row>
    <row r="562" spans="1:29" x14ac:dyDescent="0.25">
      <c r="A562" s="42"/>
      <c r="B562" s="34" t="s">
        <v>6</v>
      </c>
      <c r="C562" s="34"/>
      <c r="D562" s="35">
        <v>43564</v>
      </c>
      <c r="E562" s="34"/>
      <c r="F562" s="34" t="s">
        <v>551</v>
      </c>
      <c r="G562" s="34" t="s">
        <v>27</v>
      </c>
      <c r="H562" s="36">
        <v>-9.67</v>
      </c>
      <c r="I562" s="36">
        <f>IF(Log_2019[[#This Row],[My Category]]="NONTRACKED",0,Log_2019[[#This Row],[Raw Amount]])</f>
        <v>-9.67</v>
      </c>
      <c r="J562" s="37">
        <f>ABS(Log_2019[[#This Row],[Amount]])</f>
        <v>9.67</v>
      </c>
      <c r="K562" s="38">
        <v>1</v>
      </c>
      <c r="L562" s="38">
        <f ca="1">IF(Log_2019[[#This Row],[Date]]&lt;=TODAY(), MIN(Log_2019[[#This Row],[Split_raw]], TODAY()-Log_2019[[#This Row],[Date]]+1), 0)</f>
        <v>1</v>
      </c>
      <c r="M562" s="34" t="s">
        <v>35</v>
      </c>
      <c r="N562" s="34" t="s">
        <v>158</v>
      </c>
      <c r="O562" s="7">
        <v>0</v>
      </c>
      <c r="P562" s="52">
        <f ca="1">Log_2019[[#This Row],[Amount]]/Log_2019[[#This Row],[Split_raw]]*MAX(0,MIN(_xlfn.DAYS(EDATE(P$1,1),Log_2019[[#This Row],[Date]]),Log_2019[[#This Row],[Split_apply]])) - SUM($O562:O562)</f>
        <v>0</v>
      </c>
      <c r="Q562" s="52">
        <f ca="1">Log_2019[[#This Row],[Amount]]/Log_2019[[#This Row],[Split_raw]]*MAX(0,MIN(_xlfn.DAYS(EDATE(Q$1,1),Log_2019[[#This Row],[Date]]),Log_2019[[#This Row],[Split_apply]])) - SUM($O562:P562)</f>
        <v>0</v>
      </c>
      <c r="R562" s="52">
        <f ca="1">Log_2019[[#This Row],[Amount]]/Log_2019[[#This Row],[Split_raw]]*MAX(0,MIN(_xlfn.DAYS(EDATE(R$1,1),Log_2019[[#This Row],[Date]]),Log_2019[[#This Row],[Split_apply]])) - SUM($O562:Q562)</f>
        <v>0</v>
      </c>
      <c r="S562" s="52">
        <f ca="1">Log_2019[[#This Row],[Amount]]/Log_2019[[#This Row],[Split_raw]]*MAX(0,MIN(_xlfn.DAYS(EDATE(S$1,1),Log_2019[[#This Row],[Date]]),Log_2019[[#This Row],[Split_apply]])) - SUM($O562:R562)</f>
        <v>-9.67</v>
      </c>
      <c r="T562" s="52">
        <f ca="1">Log_2019[[#This Row],[Amount]]/Log_2019[[#This Row],[Split_raw]]*MAX(0,MIN(_xlfn.DAYS(EDATE(T$1,1),Log_2019[[#This Row],[Date]]),Log_2019[[#This Row],[Split_apply]])) - SUM($O562:S562)</f>
        <v>0</v>
      </c>
      <c r="U562" s="52">
        <f ca="1">Log_2019[[#This Row],[Amount]]/Log_2019[[#This Row],[Split_raw]]*MAX(0,MIN(_xlfn.DAYS(EDATE(U$1,1),Log_2019[[#This Row],[Date]]),Log_2019[[#This Row],[Split_apply]])) - SUM($O562:T562)</f>
        <v>0</v>
      </c>
      <c r="V562" s="52">
        <f ca="1">Log_2019[[#This Row],[Amount]]/Log_2019[[#This Row],[Split_raw]]*MAX(0,MIN(_xlfn.DAYS(EDATE(V$1,1),Log_2019[[#This Row],[Date]]),Log_2019[[#This Row],[Split_apply]])) - SUM($O562:U562)</f>
        <v>0</v>
      </c>
      <c r="W562" s="52">
        <f ca="1">Log_2019[[#This Row],[Amount]]/Log_2019[[#This Row],[Split_raw]]*MAX(0,MIN(_xlfn.DAYS(EDATE(W$1,1),Log_2019[[#This Row],[Date]]),Log_2019[[#This Row],[Split_apply]])) - SUM($O562:V562)</f>
        <v>0</v>
      </c>
      <c r="X562" s="52">
        <f ca="1">Log_2019[[#This Row],[Amount]]/Log_2019[[#This Row],[Split_raw]]*MAX(0,MIN(_xlfn.DAYS(EDATE(X$1,1),Log_2019[[#This Row],[Date]]),Log_2019[[#This Row],[Split_apply]])) - SUM($O562:W562)</f>
        <v>0</v>
      </c>
      <c r="Y562" s="52">
        <f ca="1">Log_2019[[#This Row],[Amount]]/Log_2019[[#This Row],[Split_raw]]*MAX(0,MIN(_xlfn.DAYS(EDATE(Y$1,1),Log_2019[[#This Row],[Date]]),Log_2019[[#This Row],[Split_apply]])) - SUM($O562:X562)</f>
        <v>0</v>
      </c>
      <c r="Z562" s="52">
        <f ca="1">Log_2019[[#This Row],[Amount]]/Log_2019[[#This Row],[Split_raw]]*MAX(0,MIN(_xlfn.DAYS(EDATE(Z$1,1),Log_2019[[#This Row],[Date]]),Log_2019[[#This Row],[Split_apply]])) - SUM($O562:Y562)</f>
        <v>0</v>
      </c>
      <c r="AA562" s="52">
        <f ca="1">Log_2019[[#This Row],[Amount]]/Log_2019[[#This Row],[Split_raw]]*MAX(0,MIN(_xlfn.DAYS(EDATE(AA$1,1),Log_2019[[#This Row],[Date]]),Log_2019[[#This Row],[Split_apply]])) - SUM($O562:Z562)</f>
        <v>0</v>
      </c>
      <c r="AB562" s="54">
        <f ca="1">Log_2019[[#This Row],[Amount]]-SUM(O562:AA562)</f>
        <v>0</v>
      </c>
      <c r="AC562" s="7">
        <f>MAX(0,Log_2019[[#This Row],[Split_raw]] - (EDATE(AA$1,1)-Log_2019[[#This Row],[Date]]))</f>
        <v>0</v>
      </c>
    </row>
    <row r="563" spans="1:29" x14ac:dyDescent="0.25">
      <c r="A563" s="42"/>
      <c r="B563" s="34" t="s">
        <v>6</v>
      </c>
      <c r="C563" s="34"/>
      <c r="D563" s="35">
        <v>43564</v>
      </c>
      <c r="E563" s="34"/>
      <c r="F563" s="34" t="s">
        <v>309</v>
      </c>
      <c r="G563" s="34" t="s">
        <v>13</v>
      </c>
      <c r="H563" s="36">
        <v>-10.28</v>
      </c>
      <c r="I563" s="36">
        <f>IF(Log_2019[[#This Row],[My Category]]="NONTRACKED",0,Log_2019[[#This Row],[Raw Amount]])</f>
        <v>-10.28</v>
      </c>
      <c r="J563" s="37">
        <f>ABS(Log_2019[[#This Row],[Amount]])</f>
        <v>10.28</v>
      </c>
      <c r="K563" s="38">
        <v>1</v>
      </c>
      <c r="L563" s="38">
        <f ca="1">IF(Log_2019[[#This Row],[Date]]&lt;=TODAY(), MIN(Log_2019[[#This Row],[Split_raw]], TODAY()-Log_2019[[#This Row],[Date]]+1), 0)</f>
        <v>1</v>
      </c>
      <c r="M563" s="34" t="s">
        <v>146</v>
      </c>
      <c r="N563" s="34" t="s">
        <v>158</v>
      </c>
      <c r="O563" s="7">
        <v>0</v>
      </c>
      <c r="P563" s="52">
        <f ca="1">Log_2019[[#This Row],[Amount]]/Log_2019[[#This Row],[Split_raw]]*MAX(0,MIN(_xlfn.DAYS(EDATE(P$1,1),Log_2019[[#This Row],[Date]]),Log_2019[[#This Row],[Split_apply]])) - SUM($O563:O563)</f>
        <v>0</v>
      </c>
      <c r="Q563" s="52">
        <f ca="1">Log_2019[[#This Row],[Amount]]/Log_2019[[#This Row],[Split_raw]]*MAX(0,MIN(_xlfn.DAYS(EDATE(Q$1,1),Log_2019[[#This Row],[Date]]),Log_2019[[#This Row],[Split_apply]])) - SUM($O563:P563)</f>
        <v>0</v>
      </c>
      <c r="R563" s="52">
        <f ca="1">Log_2019[[#This Row],[Amount]]/Log_2019[[#This Row],[Split_raw]]*MAX(0,MIN(_xlfn.DAYS(EDATE(R$1,1),Log_2019[[#This Row],[Date]]),Log_2019[[#This Row],[Split_apply]])) - SUM($O563:Q563)</f>
        <v>0</v>
      </c>
      <c r="S563" s="52">
        <f ca="1">Log_2019[[#This Row],[Amount]]/Log_2019[[#This Row],[Split_raw]]*MAX(0,MIN(_xlfn.DAYS(EDATE(S$1,1),Log_2019[[#This Row],[Date]]),Log_2019[[#This Row],[Split_apply]])) - SUM($O563:R563)</f>
        <v>-10.28</v>
      </c>
      <c r="T563" s="52">
        <f ca="1">Log_2019[[#This Row],[Amount]]/Log_2019[[#This Row],[Split_raw]]*MAX(0,MIN(_xlfn.DAYS(EDATE(T$1,1),Log_2019[[#This Row],[Date]]),Log_2019[[#This Row],[Split_apply]])) - SUM($O563:S563)</f>
        <v>0</v>
      </c>
      <c r="U563" s="52">
        <f ca="1">Log_2019[[#This Row],[Amount]]/Log_2019[[#This Row],[Split_raw]]*MAX(0,MIN(_xlfn.DAYS(EDATE(U$1,1),Log_2019[[#This Row],[Date]]),Log_2019[[#This Row],[Split_apply]])) - SUM($O563:T563)</f>
        <v>0</v>
      </c>
      <c r="V563" s="52">
        <f ca="1">Log_2019[[#This Row],[Amount]]/Log_2019[[#This Row],[Split_raw]]*MAX(0,MIN(_xlfn.DAYS(EDATE(V$1,1),Log_2019[[#This Row],[Date]]),Log_2019[[#This Row],[Split_apply]])) - SUM($O563:U563)</f>
        <v>0</v>
      </c>
      <c r="W563" s="52">
        <f ca="1">Log_2019[[#This Row],[Amount]]/Log_2019[[#This Row],[Split_raw]]*MAX(0,MIN(_xlfn.DAYS(EDATE(W$1,1),Log_2019[[#This Row],[Date]]),Log_2019[[#This Row],[Split_apply]])) - SUM($O563:V563)</f>
        <v>0</v>
      </c>
      <c r="X563" s="52">
        <f ca="1">Log_2019[[#This Row],[Amount]]/Log_2019[[#This Row],[Split_raw]]*MAX(0,MIN(_xlfn.DAYS(EDATE(X$1,1),Log_2019[[#This Row],[Date]]),Log_2019[[#This Row],[Split_apply]])) - SUM($O563:W563)</f>
        <v>0</v>
      </c>
      <c r="Y563" s="52">
        <f ca="1">Log_2019[[#This Row],[Amount]]/Log_2019[[#This Row],[Split_raw]]*MAX(0,MIN(_xlfn.DAYS(EDATE(Y$1,1),Log_2019[[#This Row],[Date]]),Log_2019[[#This Row],[Split_apply]])) - SUM($O563:X563)</f>
        <v>0</v>
      </c>
      <c r="Z563" s="52">
        <f ca="1">Log_2019[[#This Row],[Amount]]/Log_2019[[#This Row],[Split_raw]]*MAX(0,MIN(_xlfn.DAYS(EDATE(Z$1,1),Log_2019[[#This Row],[Date]]),Log_2019[[#This Row],[Split_apply]])) - SUM($O563:Y563)</f>
        <v>0</v>
      </c>
      <c r="AA563" s="52">
        <f ca="1">Log_2019[[#This Row],[Amount]]/Log_2019[[#This Row],[Split_raw]]*MAX(0,MIN(_xlfn.DAYS(EDATE(AA$1,1),Log_2019[[#This Row],[Date]]),Log_2019[[#This Row],[Split_apply]])) - SUM($O563:Z563)</f>
        <v>0</v>
      </c>
      <c r="AB563" s="54">
        <f ca="1">Log_2019[[#This Row],[Amount]]-SUM(O563:AA563)</f>
        <v>0</v>
      </c>
      <c r="AC563" s="7">
        <f>MAX(0,Log_2019[[#This Row],[Split_raw]] - (EDATE(AA$1,1)-Log_2019[[#This Row],[Date]]))</f>
        <v>0</v>
      </c>
    </row>
    <row r="564" spans="1:29" x14ac:dyDescent="0.25">
      <c r="A564" s="42"/>
      <c r="B564" s="34" t="s">
        <v>6</v>
      </c>
      <c r="C564" s="34"/>
      <c r="D564" s="35">
        <v>43564</v>
      </c>
      <c r="E564" s="34" t="s">
        <v>573</v>
      </c>
      <c r="F564" s="34" t="s">
        <v>552</v>
      </c>
      <c r="G564" s="34" t="s">
        <v>11</v>
      </c>
      <c r="H564" s="36">
        <v>-39.1</v>
      </c>
      <c r="I564" s="36">
        <f>IF(Log_2019[[#This Row],[My Category]]="NONTRACKED",0,Log_2019[[#This Row],[Raw Amount]])</f>
        <v>-39.1</v>
      </c>
      <c r="J564" s="37">
        <f>ABS(Log_2019[[#This Row],[Amount]])</f>
        <v>39.1</v>
      </c>
      <c r="K564" s="38">
        <v>1</v>
      </c>
      <c r="L564" s="38">
        <f ca="1">IF(Log_2019[[#This Row],[Date]]&lt;=TODAY(), MIN(Log_2019[[#This Row],[Split_raw]], TODAY()-Log_2019[[#This Row],[Date]]+1), 0)</f>
        <v>1</v>
      </c>
      <c r="M564" s="34" t="s">
        <v>145</v>
      </c>
      <c r="N564" s="34" t="s">
        <v>158</v>
      </c>
      <c r="O564" s="7">
        <v>0</v>
      </c>
      <c r="P564" s="52">
        <f ca="1">Log_2019[[#This Row],[Amount]]/Log_2019[[#This Row],[Split_raw]]*MAX(0,MIN(_xlfn.DAYS(EDATE(P$1,1),Log_2019[[#This Row],[Date]]),Log_2019[[#This Row],[Split_apply]])) - SUM($O564:O564)</f>
        <v>0</v>
      </c>
      <c r="Q564" s="52">
        <f ca="1">Log_2019[[#This Row],[Amount]]/Log_2019[[#This Row],[Split_raw]]*MAX(0,MIN(_xlfn.DAYS(EDATE(Q$1,1),Log_2019[[#This Row],[Date]]),Log_2019[[#This Row],[Split_apply]])) - SUM($O564:P564)</f>
        <v>0</v>
      </c>
      <c r="R564" s="52">
        <f ca="1">Log_2019[[#This Row],[Amount]]/Log_2019[[#This Row],[Split_raw]]*MAX(0,MIN(_xlfn.DAYS(EDATE(R$1,1),Log_2019[[#This Row],[Date]]),Log_2019[[#This Row],[Split_apply]])) - SUM($O564:Q564)</f>
        <v>0</v>
      </c>
      <c r="S564" s="52">
        <f ca="1">Log_2019[[#This Row],[Amount]]/Log_2019[[#This Row],[Split_raw]]*MAX(0,MIN(_xlfn.DAYS(EDATE(S$1,1),Log_2019[[#This Row],[Date]]),Log_2019[[#This Row],[Split_apply]])) - SUM($O564:R564)</f>
        <v>-39.1</v>
      </c>
      <c r="T564" s="52">
        <f ca="1">Log_2019[[#This Row],[Amount]]/Log_2019[[#This Row],[Split_raw]]*MAX(0,MIN(_xlfn.DAYS(EDATE(T$1,1),Log_2019[[#This Row],[Date]]),Log_2019[[#This Row],[Split_apply]])) - SUM($O564:S564)</f>
        <v>0</v>
      </c>
      <c r="U564" s="52">
        <f ca="1">Log_2019[[#This Row],[Amount]]/Log_2019[[#This Row],[Split_raw]]*MAX(0,MIN(_xlfn.DAYS(EDATE(U$1,1),Log_2019[[#This Row],[Date]]),Log_2019[[#This Row],[Split_apply]])) - SUM($O564:T564)</f>
        <v>0</v>
      </c>
      <c r="V564" s="52">
        <f ca="1">Log_2019[[#This Row],[Amount]]/Log_2019[[#This Row],[Split_raw]]*MAX(0,MIN(_xlfn.DAYS(EDATE(V$1,1),Log_2019[[#This Row],[Date]]),Log_2019[[#This Row],[Split_apply]])) - SUM($O564:U564)</f>
        <v>0</v>
      </c>
      <c r="W564" s="52">
        <f ca="1">Log_2019[[#This Row],[Amount]]/Log_2019[[#This Row],[Split_raw]]*MAX(0,MIN(_xlfn.DAYS(EDATE(W$1,1),Log_2019[[#This Row],[Date]]),Log_2019[[#This Row],[Split_apply]])) - SUM($O564:V564)</f>
        <v>0</v>
      </c>
      <c r="X564" s="52">
        <f ca="1">Log_2019[[#This Row],[Amount]]/Log_2019[[#This Row],[Split_raw]]*MAX(0,MIN(_xlfn.DAYS(EDATE(X$1,1),Log_2019[[#This Row],[Date]]),Log_2019[[#This Row],[Split_apply]])) - SUM($O564:W564)</f>
        <v>0</v>
      </c>
      <c r="Y564" s="52">
        <f ca="1">Log_2019[[#This Row],[Amount]]/Log_2019[[#This Row],[Split_raw]]*MAX(0,MIN(_xlfn.DAYS(EDATE(Y$1,1),Log_2019[[#This Row],[Date]]),Log_2019[[#This Row],[Split_apply]])) - SUM($O564:X564)</f>
        <v>0</v>
      </c>
      <c r="Z564" s="52">
        <f ca="1">Log_2019[[#This Row],[Amount]]/Log_2019[[#This Row],[Split_raw]]*MAX(0,MIN(_xlfn.DAYS(EDATE(Z$1,1),Log_2019[[#This Row],[Date]]),Log_2019[[#This Row],[Split_apply]])) - SUM($O564:Y564)</f>
        <v>0</v>
      </c>
      <c r="AA564" s="52">
        <f ca="1">Log_2019[[#This Row],[Amount]]/Log_2019[[#This Row],[Split_raw]]*MAX(0,MIN(_xlfn.DAYS(EDATE(AA$1,1),Log_2019[[#This Row],[Date]]),Log_2019[[#This Row],[Split_apply]])) - SUM($O564:Z564)</f>
        <v>0</v>
      </c>
      <c r="AB564" s="54">
        <f ca="1">Log_2019[[#This Row],[Amount]]-SUM(O564:AA564)</f>
        <v>0</v>
      </c>
      <c r="AC564" s="7">
        <f>MAX(0,Log_2019[[#This Row],[Split_raw]] - (EDATE(AA$1,1)-Log_2019[[#This Row],[Date]]))</f>
        <v>0</v>
      </c>
    </row>
    <row r="565" spans="1:29" x14ac:dyDescent="0.25">
      <c r="A565" s="42"/>
      <c r="B565" s="34" t="s">
        <v>6</v>
      </c>
      <c r="C565" s="34"/>
      <c r="D565" s="35">
        <v>43564</v>
      </c>
      <c r="E565" s="34"/>
      <c r="F565" s="34" t="s">
        <v>59</v>
      </c>
      <c r="G565" s="34" t="s">
        <v>25</v>
      </c>
      <c r="H565" s="36">
        <v>-5.53</v>
      </c>
      <c r="I565" s="36">
        <f>IF(Log_2019[[#This Row],[My Category]]="NONTRACKED",0,Log_2019[[#This Row],[Raw Amount]])</f>
        <v>-5.53</v>
      </c>
      <c r="J565" s="37">
        <f>ABS(Log_2019[[#This Row],[Amount]])</f>
        <v>5.53</v>
      </c>
      <c r="K565" s="38">
        <v>1</v>
      </c>
      <c r="L565" s="38">
        <f ca="1">IF(Log_2019[[#This Row],[Date]]&lt;=TODAY(), MIN(Log_2019[[#This Row],[Split_raw]], TODAY()-Log_2019[[#This Row],[Date]]+1), 0)</f>
        <v>1</v>
      </c>
      <c r="M565" s="34" t="s">
        <v>35</v>
      </c>
      <c r="N565" s="34" t="s">
        <v>158</v>
      </c>
      <c r="O565" s="7">
        <v>0</v>
      </c>
      <c r="P565" s="52">
        <f ca="1">Log_2019[[#This Row],[Amount]]/Log_2019[[#This Row],[Split_raw]]*MAX(0,MIN(_xlfn.DAYS(EDATE(P$1,1),Log_2019[[#This Row],[Date]]),Log_2019[[#This Row],[Split_apply]])) - SUM($O565:O565)</f>
        <v>0</v>
      </c>
      <c r="Q565" s="52">
        <f ca="1">Log_2019[[#This Row],[Amount]]/Log_2019[[#This Row],[Split_raw]]*MAX(0,MIN(_xlfn.DAYS(EDATE(Q$1,1),Log_2019[[#This Row],[Date]]),Log_2019[[#This Row],[Split_apply]])) - SUM($O565:P565)</f>
        <v>0</v>
      </c>
      <c r="R565" s="52">
        <f ca="1">Log_2019[[#This Row],[Amount]]/Log_2019[[#This Row],[Split_raw]]*MAX(0,MIN(_xlfn.DAYS(EDATE(R$1,1),Log_2019[[#This Row],[Date]]),Log_2019[[#This Row],[Split_apply]])) - SUM($O565:Q565)</f>
        <v>0</v>
      </c>
      <c r="S565" s="52">
        <f ca="1">Log_2019[[#This Row],[Amount]]/Log_2019[[#This Row],[Split_raw]]*MAX(0,MIN(_xlfn.DAYS(EDATE(S$1,1),Log_2019[[#This Row],[Date]]),Log_2019[[#This Row],[Split_apply]])) - SUM($O565:R565)</f>
        <v>-5.53</v>
      </c>
      <c r="T565" s="52">
        <f ca="1">Log_2019[[#This Row],[Amount]]/Log_2019[[#This Row],[Split_raw]]*MAX(0,MIN(_xlfn.DAYS(EDATE(T$1,1),Log_2019[[#This Row],[Date]]),Log_2019[[#This Row],[Split_apply]])) - SUM($O565:S565)</f>
        <v>0</v>
      </c>
      <c r="U565" s="52">
        <f ca="1">Log_2019[[#This Row],[Amount]]/Log_2019[[#This Row],[Split_raw]]*MAX(0,MIN(_xlfn.DAYS(EDATE(U$1,1),Log_2019[[#This Row],[Date]]),Log_2019[[#This Row],[Split_apply]])) - SUM($O565:T565)</f>
        <v>0</v>
      </c>
      <c r="V565" s="52">
        <f ca="1">Log_2019[[#This Row],[Amount]]/Log_2019[[#This Row],[Split_raw]]*MAX(0,MIN(_xlfn.DAYS(EDATE(V$1,1),Log_2019[[#This Row],[Date]]),Log_2019[[#This Row],[Split_apply]])) - SUM($O565:U565)</f>
        <v>0</v>
      </c>
      <c r="W565" s="52">
        <f ca="1">Log_2019[[#This Row],[Amount]]/Log_2019[[#This Row],[Split_raw]]*MAX(0,MIN(_xlfn.DAYS(EDATE(W$1,1),Log_2019[[#This Row],[Date]]),Log_2019[[#This Row],[Split_apply]])) - SUM($O565:V565)</f>
        <v>0</v>
      </c>
      <c r="X565" s="52">
        <f ca="1">Log_2019[[#This Row],[Amount]]/Log_2019[[#This Row],[Split_raw]]*MAX(0,MIN(_xlfn.DAYS(EDATE(X$1,1),Log_2019[[#This Row],[Date]]),Log_2019[[#This Row],[Split_apply]])) - SUM($O565:W565)</f>
        <v>0</v>
      </c>
      <c r="Y565" s="52">
        <f ca="1">Log_2019[[#This Row],[Amount]]/Log_2019[[#This Row],[Split_raw]]*MAX(0,MIN(_xlfn.DAYS(EDATE(Y$1,1),Log_2019[[#This Row],[Date]]),Log_2019[[#This Row],[Split_apply]])) - SUM($O565:X565)</f>
        <v>0</v>
      </c>
      <c r="Z565" s="52">
        <f ca="1">Log_2019[[#This Row],[Amount]]/Log_2019[[#This Row],[Split_raw]]*MAX(0,MIN(_xlfn.DAYS(EDATE(Z$1,1),Log_2019[[#This Row],[Date]]),Log_2019[[#This Row],[Split_apply]])) - SUM($O565:Y565)</f>
        <v>0</v>
      </c>
      <c r="AA565" s="52">
        <f ca="1">Log_2019[[#This Row],[Amount]]/Log_2019[[#This Row],[Split_raw]]*MAX(0,MIN(_xlfn.DAYS(EDATE(AA$1,1),Log_2019[[#This Row],[Date]]),Log_2019[[#This Row],[Split_apply]])) - SUM($O565:Z565)</f>
        <v>0</v>
      </c>
      <c r="AB565" s="54">
        <f ca="1">Log_2019[[#This Row],[Amount]]-SUM(O565:AA565)</f>
        <v>0</v>
      </c>
      <c r="AC565" s="7">
        <f>MAX(0,Log_2019[[#This Row],[Split_raw]] - (EDATE(AA$1,1)-Log_2019[[#This Row],[Date]]))</f>
        <v>0</v>
      </c>
    </row>
    <row r="566" spans="1:29" x14ac:dyDescent="0.25">
      <c r="A566" s="42"/>
      <c r="B566" s="34" t="s">
        <v>6</v>
      </c>
      <c r="C566" s="34"/>
      <c r="D566" s="35">
        <v>43564</v>
      </c>
      <c r="E566" s="34"/>
      <c r="F566" s="34" t="s">
        <v>255</v>
      </c>
      <c r="G566" s="34" t="s">
        <v>25</v>
      </c>
      <c r="H566" s="36">
        <v>-3.28</v>
      </c>
      <c r="I566" s="36">
        <f>IF(Log_2019[[#This Row],[My Category]]="NONTRACKED",0,Log_2019[[#This Row],[Raw Amount]])</f>
        <v>-3.28</v>
      </c>
      <c r="J566" s="37">
        <f>ABS(Log_2019[[#This Row],[Amount]])</f>
        <v>3.28</v>
      </c>
      <c r="K566" s="38">
        <v>1</v>
      </c>
      <c r="L566" s="38">
        <f ca="1">IF(Log_2019[[#This Row],[Date]]&lt;=TODAY(), MIN(Log_2019[[#This Row],[Split_raw]], TODAY()-Log_2019[[#This Row],[Date]]+1), 0)</f>
        <v>1</v>
      </c>
      <c r="M566" s="34" t="s">
        <v>35</v>
      </c>
      <c r="N566" s="34" t="s">
        <v>158</v>
      </c>
      <c r="O566" s="7">
        <v>0</v>
      </c>
      <c r="P566" s="52">
        <f ca="1">Log_2019[[#This Row],[Amount]]/Log_2019[[#This Row],[Split_raw]]*MAX(0,MIN(_xlfn.DAYS(EDATE(P$1,1),Log_2019[[#This Row],[Date]]),Log_2019[[#This Row],[Split_apply]])) - SUM($O566:O566)</f>
        <v>0</v>
      </c>
      <c r="Q566" s="52">
        <f ca="1">Log_2019[[#This Row],[Amount]]/Log_2019[[#This Row],[Split_raw]]*MAX(0,MIN(_xlfn.DAYS(EDATE(Q$1,1),Log_2019[[#This Row],[Date]]),Log_2019[[#This Row],[Split_apply]])) - SUM($O566:P566)</f>
        <v>0</v>
      </c>
      <c r="R566" s="52">
        <f ca="1">Log_2019[[#This Row],[Amount]]/Log_2019[[#This Row],[Split_raw]]*MAX(0,MIN(_xlfn.DAYS(EDATE(R$1,1),Log_2019[[#This Row],[Date]]),Log_2019[[#This Row],[Split_apply]])) - SUM($O566:Q566)</f>
        <v>0</v>
      </c>
      <c r="S566" s="52">
        <f ca="1">Log_2019[[#This Row],[Amount]]/Log_2019[[#This Row],[Split_raw]]*MAX(0,MIN(_xlfn.DAYS(EDATE(S$1,1),Log_2019[[#This Row],[Date]]),Log_2019[[#This Row],[Split_apply]])) - SUM($O566:R566)</f>
        <v>-3.28</v>
      </c>
      <c r="T566" s="52">
        <f ca="1">Log_2019[[#This Row],[Amount]]/Log_2019[[#This Row],[Split_raw]]*MAX(0,MIN(_xlfn.DAYS(EDATE(T$1,1),Log_2019[[#This Row],[Date]]),Log_2019[[#This Row],[Split_apply]])) - SUM($O566:S566)</f>
        <v>0</v>
      </c>
      <c r="U566" s="52">
        <f ca="1">Log_2019[[#This Row],[Amount]]/Log_2019[[#This Row],[Split_raw]]*MAX(0,MIN(_xlfn.DAYS(EDATE(U$1,1),Log_2019[[#This Row],[Date]]),Log_2019[[#This Row],[Split_apply]])) - SUM($O566:T566)</f>
        <v>0</v>
      </c>
      <c r="V566" s="52">
        <f ca="1">Log_2019[[#This Row],[Amount]]/Log_2019[[#This Row],[Split_raw]]*MAX(0,MIN(_xlfn.DAYS(EDATE(V$1,1),Log_2019[[#This Row],[Date]]),Log_2019[[#This Row],[Split_apply]])) - SUM($O566:U566)</f>
        <v>0</v>
      </c>
      <c r="W566" s="52">
        <f ca="1">Log_2019[[#This Row],[Amount]]/Log_2019[[#This Row],[Split_raw]]*MAX(0,MIN(_xlfn.DAYS(EDATE(W$1,1),Log_2019[[#This Row],[Date]]),Log_2019[[#This Row],[Split_apply]])) - SUM($O566:V566)</f>
        <v>0</v>
      </c>
      <c r="X566" s="52">
        <f ca="1">Log_2019[[#This Row],[Amount]]/Log_2019[[#This Row],[Split_raw]]*MAX(0,MIN(_xlfn.DAYS(EDATE(X$1,1),Log_2019[[#This Row],[Date]]),Log_2019[[#This Row],[Split_apply]])) - SUM($O566:W566)</f>
        <v>0</v>
      </c>
      <c r="Y566" s="52">
        <f ca="1">Log_2019[[#This Row],[Amount]]/Log_2019[[#This Row],[Split_raw]]*MAX(0,MIN(_xlfn.DAYS(EDATE(Y$1,1),Log_2019[[#This Row],[Date]]),Log_2019[[#This Row],[Split_apply]])) - SUM($O566:X566)</f>
        <v>0</v>
      </c>
      <c r="Z566" s="52">
        <f ca="1">Log_2019[[#This Row],[Amount]]/Log_2019[[#This Row],[Split_raw]]*MAX(0,MIN(_xlfn.DAYS(EDATE(Z$1,1),Log_2019[[#This Row],[Date]]),Log_2019[[#This Row],[Split_apply]])) - SUM($O566:Y566)</f>
        <v>0</v>
      </c>
      <c r="AA566" s="52">
        <f ca="1">Log_2019[[#This Row],[Amount]]/Log_2019[[#This Row],[Split_raw]]*MAX(0,MIN(_xlfn.DAYS(EDATE(AA$1,1),Log_2019[[#This Row],[Date]]),Log_2019[[#This Row],[Split_apply]])) - SUM($O566:Z566)</f>
        <v>0</v>
      </c>
      <c r="AB566" s="54">
        <f ca="1">Log_2019[[#This Row],[Amount]]-SUM(O566:AA566)</f>
        <v>0</v>
      </c>
      <c r="AC566" s="7">
        <f>MAX(0,Log_2019[[#This Row],[Split_raw]] - (EDATE(AA$1,1)-Log_2019[[#This Row],[Date]]))</f>
        <v>0</v>
      </c>
    </row>
    <row r="567" spans="1:29" x14ac:dyDescent="0.25">
      <c r="A567" s="42"/>
      <c r="B567" s="34" t="s">
        <v>6</v>
      </c>
      <c r="C567" s="34"/>
      <c r="D567" s="35">
        <v>43563</v>
      </c>
      <c r="E567" s="34"/>
      <c r="F567" s="34" t="s">
        <v>553</v>
      </c>
      <c r="G567" s="34" t="s">
        <v>27</v>
      </c>
      <c r="H567" s="36">
        <v>-7.55</v>
      </c>
      <c r="I567" s="36">
        <f>IF(Log_2019[[#This Row],[My Category]]="NONTRACKED",0,Log_2019[[#This Row],[Raw Amount]])</f>
        <v>-7.55</v>
      </c>
      <c r="J567" s="37">
        <f>ABS(Log_2019[[#This Row],[Amount]])</f>
        <v>7.55</v>
      </c>
      <c r="K567" s="38">
        <v>1</v>
      </c>
      <c r="L567" s="38">
        <f ca="1">IF(Log_2019[[#This Row],[Date]]&lt;=TODAY(), MIN(Log_2019[[#This Row],[Split_raw]], TODAY()-Log_2019[[#This Row],[Date]]+1), 0)</f>
        <v>1</v>
      </c>
      <c r="M567" s="34" t="s">
        <v>145</v>
      </c>
      <c r="N567" s="34" t="s">
        <v>158</v>
      </c>
      <c r="O567" s="7">
        <v>0</v>
      </c>
      <c r="P567" s="52">
        <f ca="1">Log_2019[[#This Row],[Amount]]/Log_2019[[#This Row],[Split_raw]]*MAX(0,MIN(_xlfn.DAYS(EDATE(P$1,1),Log_2019[[#This Row],[Date]]),Log_2019[[#This Row],[Split_apply]])) - SUM($O567:O567)</f>
        <v>0</v>
      </c>
      <c r="Q567" s="52">
        <f ca="1">Log_2019[[#This Row],[Amount]]/Log_2019[[#This Row],[Split_raw]]*MAX(0,MIN(_xlfn.DAYS(EDATE(Q$1,1),Log_2019[[#This Row],[Date]]),Log_2019[[#This Row],[Split_apply]])) - SUM($O567:P567)</f>
        <v>0</v>
      </c>
      <c r="R567" s="52">
        <f ca="1">Log_2019[[#This Row],[Amount]]/Log_2019[[#This Row],[Split_raw]]*MAX(0,MIN(_xlfn.DAYS(EDATE(R$1,1),Log_2019[[#This Row],[Date]]),Log_2019[[#This Row],[Split_apply]])) - SUM($O567:Q567)</f>
        <v>0</v>
      </c>
      <c r="S567" s="52">
        <f ca="1">Log_2019[[#This Row],[Amount]]/Log_2019[[#This Row],[Split_raw]]*MAX(0,MIN(_xlfn.DAYS(EDATE(S$1,1),Log_2019[[#This Row],[Date]]),Log_2019[[#This Row],[Split_apply]])) - SUM($O567:R567)</f>
        <v>-7.55</v>
      </c>
      <c r="T567" s="52">
        <f ca="1">Log_2019[[#This Row],[Amount]]/Log_2019[[#This Row],[Split_raw]]*MAX(0,MIN(_xlfn.DAYS(EDATE(T$1,1),Log_2019[[#This Row],[Date]]),Log_2019[[#This Row],[Split_apply]])) - SUM($O567:S567)</f>
        <v>0</v>
      </c>
      <c r="U567" s="52">
        <f ca="1">Log_2019[[#This Row],[Amount]]/Log_2019[[#This Row],[Split_raw]]*MAX(0,MIN(_xlfn.DAYS(EDATE(U$1,1),Log_2019[[#This Row],[Date]]),Log_2019[[#This Row],[Split_apply]])) - SUM($O567:T567)</f>
        <v>0</v>
      </c>
      <c r="V567" s="52">
        <f ca="1">Log_2019[[#This Row],[Amount]]/Log_2019[[#This Row],[Split_raw]]*MAX(0,MIN(_xlfn.DAYS(EDATE(V$1,1),Log_2019[[#This Row],[Date]]),Log_2019[[#This Row],[Split_apply]])) - SUM($O567:U567)</f>
        <v>0</v>
      </c>
      <c r="W567" s="52">
        <f ca="1">Log_2019[[#This Row],[Amount]]/Log_2019[[#This Row],[Split_raw]]*MAX(0,MIN(_xlfn.DAYS(EDATE(W$1,1),Log_2019[[#This Row],[Date]]),Log_2019[[#This Row],[Split_apply]])) - SUM($O567:V567)</f>
        <v>0</v>
      </c>
      <c r="X567" s="52">
        <f ca="1">Log_2019[[#This Row],[Amount]]/Log_2019[[#This Row],[Split_raw]]*MAX(0,MIN(_xlfn.DAYS(EDATE(X$1,1),Log_2019[[#This Row],[Date]]),Log_2019[[#This Row],[Split_apply]])) - SUM($O567:W567)</f>
        <v>0</v>
      </c>
      <c r="Y567" s="52">
        <f ca="1">Log_2019[[#This Row],[Amount]]/Log_2019[[#This Row],[Split_raw]]*MAX(0,MIN(_xlfn.DAYS(EDATE(Y$1,1),Log_2019[[#This Row],[Date]]),Log_2019[[#This Row],[Split_apply]])) - SUM($O567:X567)</f>
        <v>0</v>
      </c>
      <c r="Z567" s="52">
        <f ca="1">Log_2019[[#This Row],[Amount]]/Log_2019[[#This Row],[Split_raw]]*MAX(0,MIN(_xlfn.DAYS(EDATE(Z$1,1),Log_2019[[#This Row],[Date]]),Log_2019[[#This Row],[Split_apply]])) - SUM($O567:Y567)</f>
        <v>0</v>
      </c>
      <c r="AA567" s="52">
        <f ca="1">Log_2019[[#This Row],[Amount]]/Log_2019[[#This Row],[Split_raw]]*MAX(0,MIN(_xlfn.DAYS(EDATE(AA$1,1),Log_2019[[#This Row],[Date]]),Log_2019[[#This Row],[Split_apply]])) - SUM($O567:Z567)</f>
        <v>0</v>
      </c>
      <c r="AB567" s="54">
        <f ca="1">Log_2019[[#This Row],[Amount]]-SUM(O567:AA567)</f>
        <v>0</v>
      </c>
      <c r="AC567" s="7">
        <f>MAX(0,Log_2019[[#This Row],[Split_raw]] - (EDATE(AA$1,1)-Log_2019[[#This Row],[Date]]))</f>
        <v>0</v>
      </c>
    </row>
    <row r="568" spans="1:29" x14ac:dyDescent="0.25">
      <c r="A568" s="42"/>
      <c r="B568" s="34" t="s">
        <v>6</v>
      </c>
      <c r="C568" s="34"/>
      <c r="D568" s="35">
        <v>43563</v>
      </c>
      <c r="E568" s="34"/>
      <c r="F568" s="34" t="s">
        <v>270</v>
      </c>
      <c r="G568" s="34" t="s">
        <v>25</v>
      </c>
      <c r="H568" s="36">
        <v>-9.67</v>
      </c>
      <c r="I568" s="36">
        <f>IF(Log_2019[[#This Row],[My Category]]="NONTRACKED",0,Log_2019[[#This Row],[Raw Amount]])</f>
        <v>-9.67</v>
      </c>
      <c r="J568" s="37">
        <f>ABS(Log_2019[[#This Row],[Amount]])</f>
        <v>9.67</v>
      </c>
      <c r="K568" s="38">
        <v>1</v>
      </c>
      <c r="L568" s="38">
        <f ca="1">IF(Log_2019[[#This Row],[Date]]&lt;=TODAY(), MIN(Log_2019[[#This Row],[Split_raw]], TODAY()-Log_2019[[#This Row],[Date]]+1), 0)</f>
        <v>1</v>
      </c>
      <c r="M568" s="34" t="s">
        <v>35</v>
      </c>
      <c r="N568" s="34" t="s">
        <v>158</v>
      </c>
      <c r="O568" s="7">
        <v>0</v>
      </c>
      <c r="P568" s="52">
        <f ca="1">Log_2019[[#This Row],[Amount]]/Log_2019[[#This Row],[Split_raw]]*MAX(0,MIN(_xlfn.DAYS(EDATE(P$1,1),Log_2019[[#This Row],[Date]]),Log_2019[[#This Row],[Split_apply]])) - SUM($O568:O568)</f>
        <v>0</v>
      </c>
      <c r="Q568" s="52">
        <f ca="1">Log_2019[[#This Row],[Amount]]/Log_2019[[#This Row],[Split_raw]]*MAX(0,MIN(_xlfn.DAYS(EDATE(Q$1,1),Log_2019[[#This Row],[Date]]),Log_2019[[#This Row],[Split_apply]])) - SUM($O568:P568)</f>
        <v>0</v>
      </c>
      <c r="R568" s="52">
        <f ca="1">Log_2019[[#This Row],[Amount]]/Log_2019[[#This Row],[Split_raw]]*MAX(0,MIN(_xlfn.DAYS(EDATE(R$1,1),Log_2019[[#This Row],[Date]]),Log_2019[[#This Row],[Split_apply]])) - SUM($O568:Q568)</f>
        <v>0</v>
      </c>
      <c r="S568" s="52">
        <f ca="1">Log_2019[[#This Row],[Amount]]/Log_2019[[#This Row],[Split_raw]]*MAX(0,MIN(_xlfn.DAYS(EDATE(S$1,1),Log_2019[[#This Row],[Date]]),Log_2019[[#This Row],[Split_apply]])) - SUM($O568:R568)</f>
        <v>-9.67</v>
      </c>
      <c r="T568" s="52">
        <f ca="1">Log_2019[[#This Row],[Amount]]/Log_2019[[#This Row],[Split_raw]]*MAX(0,MIN(_xlfn.DAYS(EDATE(T$1,1),Log_2019[[#This Row],[Date]]),Log_2019[[#This Row],[Split_apply]])) - SUM($O568:S568)</f>
        <v>0</v>
      </c>
      <c r="U568" s="52">
        <f ca="1">Log_2019[[#This Row],[Amount]]/Log_2019[[#This Row],[Split_raw]]*MAX(0,MIN(_xlfn.DAYS(EDATE(U$1,1),Log_2019[[#This Row],[Date]]),Log_2019[[#This Row],[Split_apply]])) - SUM($O568:T568)</f>
        <v>0</v>
      </c>
      <c r="V568" s="52">
        <f ca="1">Log_2019[[#This Row],[Amount]]/Log_2019[[#This Row],[Split_raw]]*MAX(0,MIN(_xlfn.DAYS(EDATE(V$1,1),Log_2019[[#This Row],[Date]]),Log_2019[[#This Row],[Split_apply]])) - SUM($O568:U568)</f>
        <v>0</v>
      </c>
      <c r="W568" s="52">
        <f ca="1">Log_2019[[#This Row],[Amount]]/Log_2019[[#This Row],[Split_raw]]*MAX(0,MIN(_xlfn.DAYS(EDATE(W$1,1),Log_2019[[#This Row],[Date]]),Log_2019[[#This Row],[Split_apply]])) - SUM($O568:V568)</f>
        <v>0</v>
      </c>
      <c r="X568" s="52">
        <f ca="1">Log_2019[[#This Row],[Amount]]/Log_2019[[#This Row],[Split_raw]]*MAX(0,MIN(_xlfn.DAYS(EDATE(X$1,1),Log_2019[[#This Row],[Date]]),Log_2019[[#This Row],[Split_apply]])) - SUM($O568:W568)</f>
        <v>0</v>
      </c>
      <c r="Y568" s="52">
        <f ca="1">Log_2019[[#This Row],[Amount]]/Log_2019[[#This Row],[Split_raw]]*MAX(0,MIN(_xlfn.DAYS(EDATE(Y$1,1),Log_2019[[#This Row],[Date]]),Log_2019[[#This Row],[Split_apply]])) - SUM($O568:X568)</f>
        <v>0</v>
      </c>
      <c r="Z568" s="52">
        <f ca="1">Log_2019[[#This Row],[Amount]]/Log_2019[[#This Row],[Split_raw]]*MAX(0,MIN(_xlfn.DAYS(EDATE(Z$1,1),Log_2019[[#This Row],[Date]]),Log_2019[[#This Row],[Split_apply]])) - SUM($O568:Y568)</f>
        <v>0</v>
      </c>
      <c r="AA568" s="52">
        <f ca="1">Log_2019[[#This Row],[Amount]]/Log_2019[[#This Row],[Split_raw]]*MAX(0,MIN(_xlfn.DAYS(EDATE(AA$1,1),Log_2019[[#This Row],[Date]]),Log_2019[[#This Row],[Split_apply]])) - SUM($O568:Z568)</f>
        <v>0</v>
      </c>
      <c r="AB568" s="54">
        <f ca="1">Log_2019[[#This Row],[Amount]]-SUM(O568:AA568)</f>
        <v>0</v>
      </c>
      <c r="AC568" s="7">
        <f>MAX(0,Log_2019[[#This Row],[Split_raw]] - (EDATE(AA$1,1)-Log_2019[[#This Row],[Date]]))</f>
        <v>0</v>
      </c>
    </row>
    <row r="569" spans="1:29" x14ac:dyDescent="0.25">
      <c r="A569" s="42"/>
      <c r="B569" s="34" t="s">
        <v>6</v>
      </c>
      <c r="C569" s="34"/>
      <c r="D569" s="35">
        <v>43563</v>
      </c>
      <c r="E569" s="34"/>
      <c r="F569" s="34" t="s">
        <v>554</v>
      </c>
      <c r="G569" s="34" t="s">
        <v>182</v>
      </c>
      <c r="H569" s="36">
        <v>-10.75</v>
      </c>
      <c r="I569" s="36">
        <f>IF(Log_2019[[#This Row],[My Category]]="NONTRACKED",0,Log_2019[[#This Row],[Raw Amount]])</f>
        <v>-10.75</v>
      </c>
      <c r="J569" s="37">
        <f>ABS(Log_2019[[#This Row],[Amount]])</f>
        <v>10.75</v>
      </c>
      <c r="K569" s="38">
        <v>1</v>
      </c>
      <c r="L569" s="38">
        <f ca="1">IF(Log_2019[[#This Row],[Date]]&lt;=TODAY(), MIN(Log_2019[[#This Row],[Split_raw]], TODAY()-Log_2019[[#This Row],[Date]]+1), 0)</f>
        <v>1</v>
      </c>
      <c r="M569" s="34" t="s">
        <v>35</v>
      </c>
      <c r="N569" s="34" t="s">
        <v>158</v>
      </c>
      <c r="O569" s="7">
        <v>0</v>
      </c>
      <c r="P569" s="52">
        <f ca="1">Log_2019[[#This Row],[Amount]]/Log_2019[[#This Row],[Split_raw]]*MAX(0,MIN(_xlfn.DAYS(EDATE(P$1,1),Log_2019[[#This Row],[Date]]),Log_2019[[#This Row],[Split_apply]])) - SUM($O569:O569)</f>
        <v>0</v>
      </c>
      <c r="Q569" s="52">
        <f ca="1">Log_2019[[#This Row],[Amount]]/Log_2019[[#This Row],[Split_raw]]*MAX(0,MIN(_xlfn.DAYS(EDATE(Q$1,1),Log_2019[[#This Row],[Date]]),Log_2019[[#This Row],[Split_apply]])) - SUM($O569:P569)</f>
        <v>0</v>
      </c>
      <c r="R569" s="52">
        <f ca="1">Log_2019[[#This Row],[Amount]]/Log_2019[[#This Row],[Split_raw]]*MAX(0,MIN(_xlfn.DAYS(EDATE(R$1,1),Log_2019[[#This Row],[Date]]),Log_2019[[#This Row],[Split_apply]])) - SUM($O569:Q569)</f>
        <v>0</v>
      </c>
      <c r="S569" s="52">
        <f ca="1">Log_2019[[#This Row],[Amount]]/Log_2019[[#This Row],[Split_raw]]*MAX(0,MIN(_xlfn.DAYS(EDATE(S$1,1),Log_2019[[#This Row],[Date]]),Log_2019[[#This Row],[Split_apply]])) - SUM($O569:R569)</f>
        <v>-10.75</v>
      </c>
      <c r="T569" s="52">
        <f ca="1">Log_2019[[#This Row],[Amount]]/Log_2019[[#This Row],[Split_raw]]*MAX(0,MIN(_xlfn.DAYS(EDATE(T$1,1),Log_2019[[#This Row],[Date]]),Log_2019[[#This Row],[Split_apply]])) - SUM($O569:S569)</f>
        <v>0</v>
      </c>
      <c r="U569" s="52">
        <f ca="1">Log_2019[[#This Row],[Amount]]/Log_2019[[#This Row],[Split_raw]]*MAX(0,MIN(_xlfn.DAYS(EDATE(U$1,1),Log_2019[[#This Row],[Date]]),Log_2019[[#This Row],[Split_apply]])) - SUM($O569:T569)</f>
        <v>0</v>
      </c>
      <c r="V569" s="52">
        <f ca="1">Log_2019[[#This Row],[Amount]]/Log_2019[[#This Row],[Split_raw]]*MAX(0,MIN(_xlfn.DAYS(EDATE(V$1,1),Log_2019[[#This Row],[Date]]),Log_2019[[#This Row],[Split_apply]])) - SUM($O569:U569)</f>
        <v>0</v>
      </c>
      <c r="W569" s="52">
        <f ca="1">Log_2019[[#This Row],[Amount]]/Log_2019[[#This Row],[Split_raw]]*MAX(0,MIN(_xlfn.DAYS(EDATE(W$1,1),Log_2019[[#This Row],[Date]]),Log_2019[[#This Row],[Split_apply]])) - SUM($O569:V569)</f>
        <v>0</v>
      </c>
      <c r="X569" s="52">
        <f ca="1">Log_2019[[#This Row],[Amount]]/Log_2019[[#This Row],[Split_raw]]*MAX(0,MIN(_xlfn.DAYS(EDATE(X$1,1),Log_2019[[#This Row],[Date]]),Log_2019[[#This Row],[Split_apply]])) - SUM($O569:W569)</f>
        <v>0</v>
      </c>
      <c r="Y569" s="52">
        <f ca="1">Log_2019[[#This Row],[Amount]]/Log_2019[[#This Row],[Split_raw]]*MAX(0,MIN(_xlfn.DAYS(EDATE(Y$1,1),Log_2019[[#This Row],[Date]]),Log_2019[[#This Row],[Split_apply]])) - SUM($O569:X569)</f>
        <v>0</v>
      </c>
      <c r="Z569" s="52">
        <f ca="1">Log_2019[[#This Row],[Amount]]/Log_2019[[#This Row],[Split_raw]]*MAX(0,MIN(_xlfn.DAYS(EDATE(Z$1,1),Log_2019[[#This Row],[Date]]),Log_2019[[#This Row],[Split_apply]])) - SUM($O569:Y569)</f>
        <v>0</v>
      </c>
      <c r="AA569" s="52">
        <f ca="1">Log_2019[[#This Row],[Amount]]/Log_2019[[#This Row],[Split_raw]]*MAX(0,MIN(_xlfn.DAYS(EDATE(AA$1,1),Log_2019[[#This Row],[Date]]),Log_2019[[#This Row],[Split_apply]])) - SUM($O569:Z569)</f>
        <v>0</v>
      </c>
      <c r="AB569" s="54">
        <f ca="1">Log_2019[[#This Row],[Amount]]-SUM(O569:AA569)</f>
        <v>0</v>
      </c>
      <c r="AC569" s="7">
        <f>MAX(0,Log_2019[[#This Row],[Split_raw]] - (EDATE(AA$1,1)-Log_2019[[#This Row],[Date]]))</f>
        <v>0</v>
      </c>
    </row>
    <row r="570" spans="1:29" x14ac:dyDescent="0.25">
      <c r="A570" s="42"/>
      <c r="B570" s="34" t="s">
        <v>6</v>
      </c>
      <c r="C570" s="34"/>
      <c r="D570" s="35">
        <v>43562</v>
      </c>
      <c r="E570" s="34"/>
      <c r="F570" s="34" t="s">
        <v>352</v>
      </c>
      <c r="G570" s="34" t="s">
        <v>25</v>
      </c>
      <c r="H570" s="36">
        <v>-20</v>
      </c>
      <c r="I570" s="36">
        <f>IF(Log_2019[[#This Row],[My Category]]="NONTRACKED",0,Log_2019[[#This Row],[Raw Amount]])</f>
        <v>-20</v>
      </c>
      <c r="J570" s="37">
        <f>ABS(Log_2019[[#This Row],[Amount]])</f>
        <v>20</v>
      </c>
      <c r="K570" s="38">
        <v>1</v>
      </c>
      <c r="L570" s="38">
        <f ca="1">IF(Log_2019[[#This Row],[Date]]&lt;=TODAY(), MIN(Log_2019[[#This Row],[Split_raw]], TODAY()-Log_2019[[#This Row],[Date]]+1), 0)</f>
        <v>1</v>
      </c>
      <c r="M570" s="34" t="s">
        <v>35</v>
      </c>
      <c r="N570" s="34" t="s">
        <v>158</v>
      </c>
      <c r="O570" s="7">
        <v>0</v>
      </c>
      <c r="P570" s="52">
        <f ca="1">Log_2019[[#This Row],[Amount]]/Log_2019[[#This Row],[Split_raw]]*MAX(0,MIN(_xlfn.DAYS(EDATE(P$1,1),Log_2019[[#This Row],[Date]]),Log_2019[[#This Row],[Split_apply]])) - SUM($O570:O570)</f>
        <v>0</v>
      </c>
      <c r="Q570" s="52">
        <f ca="1">Log_2019[[#This Row],[Amount]]/Log_2019[[#This Row],[Split_raw]]*MAX(0,MIN(_xlfn.DAYS(EDATE(Q$1,1),Log_2019[[#This Row],[Date]]),Log_2019[[#This Row],[Split_apply]])) - SUM($O570:P570)</f>
        <v>0</v>
      </c>
      <c r="R570" s="52">
        <f ca="1">Log_2019[[#This Row],[Amount]]/Log_2019[[#This Row],[Split_raw]]*MAX(0,MIN(_xlfn.DAYS(EDATE(R$1,1),Log_2019[[#This Row],[Date]]),Log_2019[[#This Row],[Split_apply]])) - SUM($O570:Q570)</f>
        <v>0</v>
      </c>
      <c r="S570" s="52">
        <f ca="1">Log_2019[[#This Row],[Amount]]/Log_2019[[#This Row],[Split_raw]]*MAX(0,MIN(_xlfn.DAYS(EDATE(S$1,1),Log_2019[[#This Row],[Date]]),Log_2019[[#This Row],[Split_apply]])) - SUM($O570:R570)</f>
        <v>-20</v>
      </c>
      <c r="T570" s="52">
        <f ca="1">Log_2019[[#This Row],[Amount]]/Log_2019[[#This Row],[Split_raw]]*MAX(0,MIN(_xlfn.DAYS(EDATE(T$1,1),Log_2019[[#This Row],[Date]]),Log_2019[[#This Row],[Split_apply]])) - SUM($O570:S570)</f>
        <v>0</v>
      </c>
      <c r="U570" s="52">
        <f ca="1">Log_2019[[#This Row],[Amount]]/Log_2019[[#This Row],[Split_raw]]*MAX(0,MIN(_xlfn.DAYS(EDATE(U$1,1),Log_2019[[#This Row],[Date]]),Log_2019[[#This Row],[Split_apply]])) - SUM($O570:T570)</f>
        <v>0</v>
      </c>
      <c r="V570" s="52">
        <f ca="1">Log_2019[[#This Row],[Amount]]/Log_2019[[#This Row],[Split_raw]]*MAX(0,MIN(_xlfn.DAYS(EDATE(V$1,1),Log_2019[[#This Row],[Date]]),Log_2019[[#This Row],[Split_apply]])) - SUM($O570:U570)</f>
        <v>0</v>
      </c>
      <c r="W570" s="52">
        <f ca="1">Log_2019[[#This Row],[Amount]]/Log_2019[[#This Row],[Split_raw]]*MAX(0,MIN(_xlfn.DAYS(EDATE(W$1,1),Log_2019[[#This Row],[Date]]),Log_2019[[#This Row],[Split_apply]])) - SUM($O570:V570)</f>
        <v>0</v>
      </c>
      <c r="X570" s="52">
        <f ca="1">Log_2019[[#This Row],[Amount]]/Log_2019[[#This Row],[Split_raw]]*MAX(0,MIN(_xlfn.DAYS(EDATE(X$1,1),Log_2019[[#This Row],[Date]]),Log_2019[[#This Row],[Split_apply]])) - SUM($O570:W570)</f>
        <v>0</v>
      </c>
      <c r="Y570" s="52">
        <f ca="1">Log_2019[[#This Row],[Amount]]/Log_2019[[#This Row],[Split_raw]]*MAX(0,MIN(_xlfn.DAYS(EDATE(Y$1,1),Log_2019[[#This Row],[Date]]),Log_2019[[#This Row],[Split_apply]])) - SUM($O570:X570)</f>
        <v>0</v>
      </c>
      <c r="Z570" s="52">
        <f ca="1">Log_2019[[#This Row],[Amount]]/Log_2019[[#This Row],[Split_raw]]*MAX(0,MIN(_xlfn.DAYS(EDATE(Z$1,1),Log_2019[[#This Row],[Date]]),Log_2019[[#This Row],[Split_apply]])) - SUM($O570:Y570)</f>
        <v>0</v>
      </c>
      <c r="AA570" s="52">
        <f ca="1">Log_2019[[#This Row],[Amount]]/Log_2019[[#This Row],[Split_raw]]*MAX(0,MIN(_xlfn.DAYS(EDATE(AA$1,1),Log_2019[[#This Row],[Date]]),Log_2019[[#This Row],[Split_apply]])) - SUM($O570:Z570)</f>
        <v>0</v>
      </c>
      <c r="AB570" s="54">
        <f ca="1">Log_2019[[#This Row],[Amount]]-SUM(O570:AA570)</f>
        <v>0</v>
      </c>
      <c r="AC570" s="7">
        <f>MAX(0,Log_2019[[#This Row],[Split_raw]] - (EDATE(AA$1,1)-Log_2019[[#This Row],[Date]]))</f>
        <v>0</v>
      </c>
    </row>
    <row r="571" spans="1:29" x14ac:dyDescent="0.25">
      <c r="A571" s="42"/>
      <c r="B571" s="34" t="s">
        <v>6</v>
      </c>
      <c r="C571" s="34"/>
      <c r="D571" s="35">
        <v>43562</v>
      </c>
      <c r="E571" s="34"/>
      <c r="F571" s="34" t="s">
        <v>537</v>
      </c>
      <c r="G571" s="34" t="s">
        <v>11</v>
      </c>
      <c r="H571" s="36">
        <f>--5.4</f>
        <v>5.4</v>
      </c>
      <c r="I571" s="36">
        <f>IF(Log_2019[[#This Row],[My Category]]="NONTRACKED",0,Log_2019[[#This Row],[Raw Amount]])</f>
        <v>5.4</v>
      </c>
      <c r="J571" s="37">
        <f>ABS(Log_2019[[#This Row],[Amount]])</f>
        <v>5.4</v>
      </c>
      <c r="K571" s="38">
        <v>1</v>
      </c>
      <c r="L571" s="38">
        <f ca="1">IF(Log_2019[[#This Row],[Date]]&lt;=TODAY(), MIN(Log_2019[[#This Row],[Split_raw]], TODAY()-Log_2019[[#This Row],[Date]]+1), 0)</f>
        <v>1</v>
      </c>
      <c r="M571" s="34" t="s">
        <v>145</v>
      </c>
      <c r="N571" s="34" t="s">
        <v>158</v>
      </c>
      <c r="O571" s="7">
        <v>0</v>
      </c>
      <c r="P571" s="52">
        <f ca="1">Log_2019[[#This Row],[Amount]]/Log_2019[[#This Row],[Split_raw]]*MAX(0,MIN(_xlfn.DAYS(EDATE(P$1,1),Log_2019[[#This Row],[Date]]),Log_2019[[#This Row],[Split_apply]])) - SUM($O571:O571)</f>
        <v>0</v>
      </c>
      <c r="Q571" s="52">
        <f ca="1">Log_2019[[#This Row],[Amount]]/Log_2019[[#This Row],[Split_raw]]*MAX(0,MIN(_xlfn.DAYS(EDATE(Q$1,1),Log_2019[[#This Row],[Date]]),Log_2019[[#This Row],[Split_apply]])) - SUM($O571:P571)</f>
        <v>0</v>
      </c>
      <c r="R571" s="52">
        <f ca="1">Log_2019[[#This Row],[Amount]]/Log_2019[[#This Row],[Split_raw]]*MAX(0,MIN(_xlfn.DAYS(EDATE(R$1,1),Log_2019[[#This Row],[Date]]),Log_2019[[#This Row],[Split_apply]])) - SUM($O571:Q571)</f>
        <v>0</v>
      </c>
      <c r="S571" s="52">
        <f ca="1">Log_2019[[#This Row],[Amount]]/Log_2019[[#This Row],[Split_raw]]*MAX(0,MIN(_xlfn.DAYS(EDATE(S$1,1),Log_2019[[#This Row],[Date]]),Log_2019[[#This Row],[Split_apply]])) - SUM($O571:R571)</f>
        <v>5.4</v>
      </c>
      <c r="T571" s="52">
        <f ca="1">Log_2019[[#This Row],[Amount]]/Log_2019[[#This Row],[Split_raw]]*MAX(0,MIN(_xlfn.DAYS(EDATE(T$1,1),Log_2019[[#This Row],[Date]]),Log_2019[[#This Row],[Split_apply]])) - SUM($O571:S571)</f>
        <v>0</v>
      </c>
      <c r="U571" s="52">
        <f ca="1">Log_2019[[#This Row],[Amount]]/Log_2019[[#This Row],[Split_raw]]*MAX(0,MIN(_xlfn.DAYS(EDATE(U$1,1),Log_2019[[#This Row],[Date]]),Log_2019[[#This Row],[Split_apply]])) - SUM($O571:T571)</f>
        <v>0</v>
      </c>
      <c r="V571" s="52">
        <f ca="1">Log_2019[[#This Row],[Amount]]/Log_2019[[#This Row],[Split_raw]]*MAX(0,MIN(_xlfn.DAYS(EDATE(V$1,1),Log_2019[[#This Row],[Date]]),Log_2019[[#This Row],[Split_apply]])) - SUM($O571:U571)</f>
        <v>0</v>
      </c>
      <c r="W571" s="52">
        <f ca="1">Log_2019[[#This Row],[Amount]]/Log_2019[[#This Row],[Split_raw]]*MAX(0,MIN(_xlfn.DAYS(EDATE(W$1,1),Log_2019[[#This Row],[Date]]),Log_2019[[#This Row],[Split_apply]])) - SUM($O571:V571)</f>
        <v>0</v>
      </c>
      <c r="X571" s="52">
        <f ca="1">Log_2019[[#This Row],[Amount]]/Log_2019[[#This Row],[Split_raw]]*MAX(0,MIN(_xlfn.DAYS(EDATE(X$1,1),Log_2019[[#This Row],[Date]]),Log_2019[[#This Row],[Split_apply]])) - SUM($O571:W571)</f>
        <v>0</v>
      </c>
      <c r="Y571" s="52">
        <f ca="1">Log_2019[[#This Row],[Amount]]/Log_2019[[#This Row],[Split_raw]]*MAX(0,MIN(_xlfn.DAYS(EDATE(Y$1,1),Log_2019[[#This Row],[Date]]),Log_2019[[#This Row],[Split_apply]])) - SUM($O571:X571)</f>
        <v>0</v>
      </c>
      <c r="Z571" s="52">
        <f ca="1">Log_2019[[#This Row],[Amount]]/Log_2019[[#This Row],[Split_raw]]*MAX(0,MIN(_xlfn.DAYS(EDATE(Z$1,1),Log_2019[[#This Row],[Date]]),Log_2019[[#This Row],[Split_apply]])) - SUM($O571:Y571)</f>
        <v>0</v>
      </c>
      <c r="AA571" s="52">
        <f ca="1">Log_2019[[#This Row],[Amount]]/Log_2019[[#This Row],[Split_raw]]*MAX(0,MIN(_xlfn.DAYS(EDATE(AA$1,1),Log_2019[[#This Row],[Date]]),Log_2019[[#This Row],[Split_apply]])) - SUM($O571:Z571)</f>
        <v>0</v>
      </c>
      <c r="AB571" s="54">
        <f ca="1">Log_2019[[#This Row],[Amount]]-SUM(O571:AA571)</f>
        <v>0</v>
      </c>
      <c r="AC571" s="7">
        <f>MAX(0,Log_2019[[#This Row],[Split_raw]] - (EDATE(AA$1,1)-Log_2019[[#This Row],[Date]]))</f>
        <v>0</v>
      </c>
    </row>
    <row r="572" spans="1:29" x14ac:dyDescent="0.25">
      <c r="A572" s="42"/>
      <c r="B572" s="34" t="s">
        <v>6</v>
      </c>
      <c r="C572" s="34"/>
      <c r="D572" s="35">
        <v>43562</v>
      </c>
      <c r="E572" s="34"/>
      <c r="F572" s="34" t="s">
        <v>537</v>
      </c>
      <c r="G572" s="34" t="s">
        <v>11</v>
      </c>
      <c r="H572" s="36">
        <f>--51.84</f>
        <v>51.84</v>
      </c>
      <c r="I572" s="36">
        <f>IF(Log_2019[[#This Row],[My Category]]="NONTRACKED",0,Log_2019[[#This Row],[Raw Amount]])</f>
        <v>51.84</v>
      </c>
      <c r="J572" s="37">
        <f>ABS(Log_2019[[#This Row],[Amount]])</f>
        <v>51.84</v>
      </c>
      <c r="K572" s="38">
        <v>1</v>
      </c>
      <c r="L572" s="38">
        <f ca="1">IF(Log_2019[[#This Row],[Date]]&lt;=TODAY(), MIN(Log_2019[[#This Row],[Split_raw]], TODAY()-Log_2019[[#This Row],[Date]]+1), 0)</f>
        <v>1</v>
      </c>
      <c r="M572" s="34" t="s">
        <v>145</v>
      </c>
      <c r="N572" s="34" t="s">
        <v>158</v>
      </c>
      <c r="O572" s="7">
        <v>0</v>
      </c>
      <c r="P572" s="52">
        <f ca="1">Log_2019[[#This Row],[Amount]]/Log_2019[[#This Row],[Split_raw]]*MAX(0,MIN(_xlfn.DAYS(EDATE(P$1,1),Log_2019[[#This Row],[Date]]),Log_2019[[#This Row],[Split_apply]])) - SUM($O572:O572)</f>
        <v>0</v>
      </c>
      <c r="Q572" s="52">
        <f ca="1">Log_2019[[#This Row],[Amount]]/Log_2019[[#This Row],[Split_raw]]*MAX(0,MIN(_xlfn.DAYS(EDATE(Q$1,1),Log_2019[[#This Row],[Date]]),Log_2019[[#This Row],[Split_apply]])) - SUM($O572:P572)</f>
        <v>0</v>
      </c>
      <c r="R572" s="52">
        <f ca="1">Log_2019[[#This Row],[Amount]]/Log_2019[[#This Row],[Split_raw]]*MAX(0,MIN(_xlfn.DAYS(EDATE(R$1,1),Log_2019[[#This Row],[Date]]),Log_2019[[#This Row],[Split_apply]])) - SUM($O572:Q572)</f>
        <v>0</v>
      </c>
      <c r="S572" s="52">
        <f ca="1">Log_2019[[#This Row],[Amount]]/Log_2019[[#This Row],[Split_raw]]*MAX(0,MIN(_xlfn.DAYS(EDATE(S$1,1),Log_2019[[#This Row],[Date]]),Log_2019[[#This Row],[Split_apply]])) - SUM($O572:R572)</f>
        <v>51.84</v>
      </c>
      <c r="T572" s="52">
        <f ca="1">Log_2019[[#This Row],[Amount]]/Log_2019[[#This Row],[Split_raw]]*MAX(0,MIN(_xlfn.DAYS(EDATE(T$1,1),Log_2019[[#This Row],[Date]]),Log_2019[[#This Row],[Split_apply]])) - SUM($O572:S572)</f>
        <v>0</v>
      </c>
      <c r="U572" s="52">
        <f ca="1">Log_2019[[#This Row],[Amount]]/Log_2019[[#This Row],[Split_raw]]*MAX(0,MIN(_xlfn.DAYS(EDATE(U$1,1),Log_2019[[#This Row],[Date]]),Log_2019[[#This Row],[Split_apply]])) - SUM($O572:T572)</f>
        <v>0</v>
      </c>
      <c r="V572" s="52">
        <f ca="1">Log_2019[[#This Row],[Amount]]/Log_2019[[#This Row],[Split_raw]]*MAX(0,MIN(_xlfn.DAYS(EDATE(V$1,1),Log_2019[[#This Row],[Date]]),Log_2019[[#This Row],[Split_apply]])) - SUM($O572:U572)</f>
        <v>0</v>
      </c>
      <c r="W572" s="52">
        <f ca="1">Log_2019[[#This Row],[Amount]]/Log_2019[[#This Row],[Split_raw]]*MAX(0,MIN(_xlfn.DAYS(EDATE(W$1,1),Log_2019[[#This Row],[Date]]),Log_2019[[#This Row],[Split_apply]])) - SUM($O572:V572)</f>
        <v>0</v>
      </c>
      <c r="X572" s="52">
        <f ca="1">Log_2019[[#This Row],[Amount]]/Log_2019[[#This Row],[Split_raw]]*MAX(0,MIN(_xlfn.DAYS(EDATE(X$1,1),Log_2019[[#This Row],[Date]]),Log_2019[[#This Row],[Split_apply]])) - SUM($O572:W572)</f>
        <v>0</v>
      </c>
      <c r="Y572" s="52">
        <f ca="1">Log_2019[[#This Row],[Amount]]/Log_2019[[#This Row],[Split_raw]]*MAX(0,MIN(_xlfn.DAYS(EDATE(Y$1,1),Log_2019[[#This Row],[Date]]),Log_2019[[#This Row],[Split_apply]])) - SUM($O572:X572)</f>
        <v>0</v>
      </c>
      <c r="Z572" s="52">
        <f ca="1">Log_2019[[#This Row],[Amount]]/Log_2019[[#This Row],[Split_raw]]*MAX(0,MIN(_xlfn.DAYS(EDATE(Z$1,1),Log_2019[[#This Row],[Date]]),Log_2019[[#This Row],[Split_apply]])) - SUM($O572:Y572)</f>
        <v>0</v>
      </c>
      <c r="AA572" s="52">
        <f ca="1">Log_2019[[#This Row],[Amount]]/Log_2019[[#This Row],[Split_raw]]*MAX(0,MIN(_xlfn.DAYS(EDATE(AA$1,1),Log_2019[[#This Row],[Date]]),Log_2019[[#This Row],[Split_apply]])) - SUM($O572:Z572)</f>
        <v>0</v>
      </c>
      <c r="AB572" s="54">
        <f ca="1">Log_2019[[#This Row],[Amount]]-SUM(O572:AA572)</f>
        <v>0</v>
      </c>
      <c r="AC572" s="7">
        <f>MAX(0,Log_2019[[#This Row],[Split_raw]] - (EDATE(AA$1,1)-Log_2019[[#This Row],[Date]]))</f>
        <v>0</v>
      </c>
    </row>
    <row r="573" spans="1:29" x14ac:dyDescent="0.25">
      <c r="A573" s="42"/>
      <c r="B573" s="34" t="s">
        <v>6</v>
      </c>
      <c r="C573" s="34"/>
      <c r="D573" s="35">
        <v>43562</v>
      </c>
      <c r="E573" s="34"/>
      <c r="F573" s="34" t="s">
        <v>188</v>
      </c>
      <c r="G573" s="34" t="s">
        <v>189</v>
      </c>
      <c r="H573" s="36">
        <v>-100.51</v>
      </c>
      <c r="I573" s="36">
        <f>IF(Log_2019[[#This Row],[My Category]]="NONTRACKED",0,Log_2019[[#This Row],[Raw Amount]])</f>
        <v>-100.51</v>
      </c>
      <c r="J573" s="37">
        <f>ABS(Log_2019[[#This Row],[Amount]])</f>
        <v>100.51</v>
      </c>
      <c r="K573" s="38">
        <v>30</v>
      </c>
      <c r="L573" s="38">
        <f ca="1">IF(Log_2019[[#This Row],[Date]]&lt;=TODAY(), MIN(Log_2019[[#This Row],[Split_raw]], TODAY()-Log_2019[[#This Row],[Date]]+1), 0)</f>
        <v>30</v>
      </c>
      <c r="M573" s="34" t="s">
        <v>30</v>
      </c>
      <c r="N573" s="34" t="s">
        <v>158</v>
      </c>
      <c r="O573" s="7">
        <v>0</v>
      </c>
      <c r="P573" s="52">
        <f ca="1">Log_2019[[#This Row],[Amount]]/Log_2019[[#This Row],[Split_raw]]*MAX(0,MIN(_xlfn.DAYS(EDATE(P$1,1),Log_2019[[#This Row],[Date]]),Log_2019[[#This Row],[Split_apply]])) - SUM($O573:O573)</f>
        <v>0</v>
      </c>
      <c r="Q573" s="52">
        <f ca="1">Log_2019[[#This Row],[Amount]]/Log_2019[[#This Row],[Split_raw]]*MAX(0,MIN(_xlfn.DAYS(EDATE(Q$1,1),Log_2019[[#This Row],[Date]]),Log_2019[[#This Row],[Split_apply]])) - SUM($O573:P573)</f>
        <v>0</v>
      </c>
      <c r="R573" s="52">
        <f ca="1">Log_2019[[#This Row],[Amount]]/Log_2019[[#This Row],[Split_raw]]*MAX(0,MIN(_xlfn.DAYS(EDATE(R$1,1),Log_2019[[#This Row],[Date]]),Log_2019[[#This Row],[Split_apply]])) - SUM($O573:Q573)</f>
        <v>0</v>
      </c>
      <c r="S573" s="52">
        <f ca="1">Log_2019[[#This Row],[Amount]]/Log_2019[[#This Row],[Split_raw]]*MAX(0,MIN(_xlfn.DAYS(EDATE(S$1,1),Log_2019[[#This Row],[Date]]),Log_2019[[#This Row],[Split_apply]])) - SUM($O573:R573)</f>
        <v>-80.408000000000001</v>
      </c>
      <c r="T573" s="52">
        <f ca="1">Log_2019[[#This Row],[Amount]]/Log_2019[[#This Row],[Split_raw]]*MAX(0,MIN(_xlfn.DAYS(EDATE(T$1,1),Log_2019[[#This Row],[Date]]),Log_2019[[#This Row],[Split_apply]])) - SUM($O573:S573)</f>
        <v>-20.102000000000004</v>
      </c>
      <c r="U573" s="52">
        <f ca="1">Log_2019[[#This Row],[Amount]]/Log_2019[[#This Row],[Split_raw]]*MAX(0,MIN(_xlfn.DAYS(EDATE(U$1,1),Log_2019[[#This Row],[Date]]),Log_2019[[#This Row],[Split_apply]])) - SUM($O573:T573)</f>
        <v>0</v>
      </c>
      <c r="V573" s="52">
        <f ca="1">Log_2019[[#This Row],[Amount]]/Log_2019[[#This Row],[Split_raw]]*MAX(0,MIN(_xlfn.DAYS(EDATE(V$1,1),Log_2019[[#This Row],[Date]]),Log_2019[[#This Row],[Split_apply]])) - SUM($O573:U573)</f>
        <v>0</v>
      </c>
      <c r="W573" s="52">
        <f ca="1">Log_2019[[#This Row],[Amount]]/Log_2019[[#This Row],[Split_raw]]*MAX(0,MIN(_xlfn.DAYS(EDATE(W$1,1),Log_2019[[#This Row],[Date]]),Log_2019[[#This Row],[Split_apply]])) - SUM($O573:V573)</f>
        <v>0</v>
      </c>
      <c r="X573" s="52">
        <f ca="1">Log_2019[[#This Row],[Amount]]/Log_2019[[#This Row],[Split_raw]]*MAX(0,MIN(_xlfn.DAYS(EDATE(X$1,1),Log_2019[[#This Row],[Date]]),Log_2019[[#This Row],[Split_apply]])) - SUM($O573:W573)</f>
        <v>0</v>
      </c>
      <c r="Y573" s="52">
        <f ca="1">Log_2019[[#This Row],[Amount]]/Log_2019[[#This Row],[Split_raw]]*MAX(0,MIN(_xlfn.DAYS(EDATE(Y$1,1),Log_2019[[#This Row],[Date]]),Log_2019[[#This Row],[Split_apply]])) - SUM($O573:X573)</f>
        <v>0</v>
      </c>
      <c r="Z573" s="52">
        <f ca="1">Log_2019[[#This Row],[Amount]]/Log_2019[[#This Row],[Split_raw]]*MAX(0,MIN(_xlfn.DAYS(EDATE(Z$1,1),Log_2019[[#This Row],[Date]]),Log_2019[[#This Row],[Split_apply]])) - SUM($O573:Y573)</f>
        <v>0</v>
      </c>
      <c r="AA573" s="52">
        <f ca="1">Log_2019[[#This Row],[Amount]]/Log_2019[[#This Row],[Split_raw]]*MAX(0,MIN(_xlfn.DAYS(EDATE(AA$1,1),Log_2019[[#This Row],[Date]]),Log_2019[[#This Row],[Split_apply]])) - SUM($O573:Z573)</f>
        <v>0</v>
      </c>
      <c r="AB573" s="54">
        <f ca="1">Log_2019[[#This Row],[Amount]]-SUM(O573:AA573)</f>
        <v>0</v>
      </c>
      <c r="AC573" s="7">
        <f>MAX(0,Log_2019[[#This Row],[Split_raw]] - (EDATE(AA$1,1)-Log_2019[[#This Row],[Date]]))</f>
        <v>0</v>
      </c>
    </row>
    <row r="574" spans="1:29" x14ac:dyDescent="0.25">
      <c r="A574" s="42"/>
      <c r="B574" s="34" t="s">
        <v>6</v>
      </c>
      <c r="C574" s="34"/>
      <c r="D574" s="35">
        <v>43561</v>
      </c>
      <c r="E574" s="34"/>
      <c r="F574" s="34" t="s">
        <v>555</v>
      </c>
      <c r="G574" s="34" t="s">
        <v>25</v>
      </c>
      <c r="H574" s="36">
        <v>-15.12</v>
      </c>
      <c r="I574" s="36">
        <f>IF(Log_2019[[#This Row],[My Category]]="NONTRACKED",0,Log_2019[[#This Row],[Raw Amount]])</f>
        <v>-15.12</v>
      </c>
      <c r="J574" s="37">
        <f>ABS(Log_2019[[#This Row],[Amount]])</f>
        <v>15.12</v>
      </c>
      <c r="K574" s="38">
        <v>1</v>
      </c>
      <c r="L574" s="38">
        <f ca="1">IF(Log_2019[[#This Row],[Date]]&lt;=TODAY(), MIN(Log_2019[[#This Row],[Split_raw]], TODAY()-Log_2019[[#This Row],[Date]]+1), 0)</f>
        <v>1</v>
      </c>
      <c r="M574" s="34" t="s">
        <v>35</v>
      </c>
      <c r="N574" s="34" t="s">
        <v>158</v>
      </c>
      <c r="O574" s="7">
        <v>0</v>
      </c>
      <c r="P574" s="52">
        <f ca="1">Log_2019[[#This Row],[Amount]]/Log_2019[[#This Row],[Split_raw]]*MAX(0,MIN(_xlfn.DAYS(EDATE(P$1,1),Log_2019[[#This Row],[Date]]),Log_2019[[#This Row],[Split_apply]])) - SUM($O574:O574)</f>
        <v>0</v>
      </c>
      <c r="Q574" s="52">
        <f ca="1">Log_2019[[#This Row],[Amount]]/Log_2019[[#This Row],[Split_raw]]*MAX(0,MIN(_xlfn.DAYS(EDATE(Q$1,1),Log_2019[[#This Row],[Date]]),Log_2019[[#This Row],[Split_apply]])) - SUM($O574:P574)</f>
        <v>0</v>
      </c>
      <c r="R574" s="52">
        <f ca="1">Log_2019[[#This Row],[Amount]]/Log_2019[[#This Row],[Split_raw]]*MAX(0,MIN(_xlfn.DAYS(EDATE(R$1,1),Log_2019[[#This Row],[Date]]),Log_2019[[#This Row],[Split_apply]])) - SUM($O574:Q574)</f>
        <v>0</v>
      </c>
      <c r="S574" s="52">
        <f ca="1">Log_2019[[#This Row],[Amount]]/Log_2019[[#This Row],[Split_raw]]*MAX(0,MIN(_xlfn.DAYS(EDATE(S$1,1),Log_2019[[#This Row],[Date]]),Log_2019[[#This Row],[Split_apply]])) - SUM($O574:R574)</f>
        <v>-15.12</v>
      </c>
      <c r="T574" s="52">
        <f ca="1">Log_2019[[#This Row],[Amount]]/Log_2019[[#This Row],[Split_raw]]*MAX(0,MIN(_xlfn.DAYS(EDATE(T$1,1),Log_2019[[#This Row],[Date]]),Log_2019[[#This Row],[Split_apply]])) - SUM($O574:S574)</f>
        <v>0</v>
      </c>
      <c r="U574" s="52">
        <f ca="1">Log_2019[[#This Row],[Amount]]/Log_2019[[#This Row],[Split_raw]]*MAX(0,MIN(_xlfn.DAYS(EDATE(U$1,1),Log_2019[[#This Row],[Date]]),Log_2019[[#This Row],[Split_apply]])) - SUM($O574:T574)</f>
        <v>0</v>
      </c>
      <c r="V574" s="52">
        <f ca="1">Log_2019[[#This Row],[Amount]]/Log_2019[[#This Row],[Split_raw]]*MAX(0,MIN(_xlfn.DAYS(EDATE(V$1,1),Log_2019[[#This Row],[Date]]),Log_2019[[#This Row],[Split_apply]])) - SUM($O574:U574)</f>
        <v>0</v>
      </c>
      <c r="W574" s="52">
        <f ca="1">Log_2019[[#This Row],[Amount]]/Log_2019[[#This Row],[Split_raw]]*MAX(0,MIN(_xlfn.DAYS(EDATE(W$1,1),Log_2019[[#This Row],[Date]]),Log_2019[[#This Row],[Split_apply]])) - SUM($O574:V574)</f>
        <v>0</v>
      </c>
      <c r="X574" s="52">
        <f ca="1">Log_2019[[#This Row],[Amount]]/Log_2019[[#This Row],[Split_raw]]*MAX(0,MIN(_xlfn.DAYS(EDATE(X$1,1),Log_2019[[#This Row],[Date]]),Log_2019[[#This Row],[Split_apply]])) - SUM($O574:W574)</f>
        <v>0</v>
      </c>
      <c r="Y574" s="52">
        <f ca="1">Log_2019[[#This Row],[Amount]]/Log_2019[[#This Row],[Split_raw]]*MAX(0,MIN(_xlfn.DAYS(EDATE(Y$1,1),Log_2019[[#This Row],[Date]]),Log_2019[[#This Row],[Split_apply]])) - SUM($O574:X574)</f>
        <v>0</v>
      </c>
      <c r="Z574" s="52">
        <f ca="1">Log_2019[[#This Row],[Amount]]/Log_2019[[#This Row],[Split_raw]]*MAX(0,MIN(_xlfn.DAYS(EDATE(Z$1,1),Log_2019[[#This Row],[Date]]),Log_2019[[#This Row],[Split_apply]])) - SUM($O574:Y574)</f>
        <v>0</v>
      </c>
      <c r="AA574" s="52">
        <f ca="1">Log_2019[[#This Row],[Amount]]/Log_2019[[#This Row],[Split_raw]]*MAX(0,MIN(_xlfn.DAYS(EDATE(AA$1,1),Log_2019[[#This Row],[Date]]),Log_2019[[#This Row],[Split_apply]])) - SUM($O574:Z574)</f>
        <v>0</v>
      </c>
      <c r="AB574" s="54">
        <f ca="1">Log_2019[[#This Row],[Amount]]-SUM(O574:AA574)</f>
        <v>0</v>
      </c>
      <c r="AC574" s="7">
        <f>MAX(0,Log_2019[[#This Row],[Split_raw]] - (EDATE(AA$1,1)-Log_2019[[#This Row],[Date]]))</f>
        <v>0</v>
      </c>
    </row>
    <row r="575" spans="1:29" x14ac:dyDescent="0.25">
      <c r="A575" s="42"/>
      <c r="B575" s="34" t="s">
        <v>6</v>
      </c>
      <c r="C575" s="34"/>
      <c r="D575" s="35">
        <v>43561</v>
      </c>
      <c r="E575" s="34"/>
      <c r="F575" s="34" t="s">
        <v>328</v>
      </c>
      <c r="G575" s="34" t="s">
        <v>25</v>
      </c>
      <c r="H575" s="36">
        <v>-11.59</v>
      </c>
      <c r="I575" s="36">
        <f>IF(Log_2019[[#This Row],[My Category]]="NONTRACKED",0,Log_2019[[#This Row],[Raw Amount]])</f>
        <v>-11.59</v>
      </c>
      <c r="J575" s="37">
        <f>ABS(Log_2019[[#This Row],[Amount]])</f>
        <v>11.59</v>
      </c>
      <c r="K575" s="38">
        <v>1</v>
      </c>
      <c r="L575" s="38">
        <f ca="1">IF(Log_2019[[#This Row],[Date]]&lt;=TODAY(), MIN(Log_2019[[#This Row],[Split_raw]], TODAY()-Log_2019[[#This Row],[Date]]+1), 0)</f>
        <v>1</v>
      </c>
      <c r="M575" s="34" t="s">
        <v>35</v>
      </c>
      <c r="N575" s="34" t="s">
        <v>158</v>
      </c>
      <c r="O575" s="7">
        <v>0</v>
      </c>
      <c r="P575" s="52">
        <f ca="1">Log_2019[[#This Row],[Amount]]/Log_2019[[#This Row],[Split_raw]]*MAX(0,MIN(_xlfn.DAYS(EDATE(P$1,1),Log_2019[[#This Row],[Date]]),Log_2019[[#This Row],[Split_apply]])) - SUM($O575:O575)</f>
        <v>0</v>
      </c>
      <c r="Q575" s="52">
        <f ca="1">Log_2019[[#This Row],[Amount]]/Log_2019[[#This Row],[Split_raw]]*MAX(0,MIN(_xlfn.DAYS(EDATE(Q$1,1),Log_2019[[#This Row],[Date]]),Log_2019[[#This Row],[Split_apply]])) - SUM($O575:P575)</f>
        <v>0</v>
      </c>
      <c r="R575" s="52">
        <f ca="1">Log_2019[[#This Row],[Amount]]/Log_2019[[#This Row],[Split_raw]]*MAX(0,MIN(_xlfn.DAYS(EDATE(R$1,1),Log_2019[[#This Row],[Date]]),Log_2019[[#This Row],[Split_apply]])) - SUM($O575:Q575)</f>
        <v>0</v>
      </c>
      <c r="S575" s="52">
        <f ca="1">Log_2019[[#This Row],[Amount]]/Log_2019[[#This Row],[Split_raw]]*MAX(0,MIN(_xlfn.DAYS(EDATE(S$1,1),Log_2019[[#This Row],[Date]]),Log_2019[[#This Row],[Split_apply]])) - SUM($O575:R575)</f>
        <v>-11.59</v>
      </c>
      <c r="T575" s="52">
        <f ca="1">Log_2019[[#This Row],[Amount]]/Log_2019[[#This Row],[Split_raw]]*MAX(0,MIN(_xlfn.DAYS(EDATE(T$1,1),Log_2019[[#This Row],[Date]]),Log_2019[[#This Row],[Split_apply]])) - SUM($O575:S575)</f>
        <v>0</v>
      </c>
      <c r="U575" s="52">
        <f ca="1">Log_2019[[#This Row],[Amount]]/Log_2019[[#This Row],[Split_raw]]*MAX(0,MIN(_xlfn.DAYS(EDATE(U$1,1),Log_2019[[#This Row],[Date]]),Log_2019[[#This Row],[Split_apply]])) - SUM($O575:T575)</f>
        <v>0</v>
      </c>
      <c r="V575" s="52">
        <f ca="1">Log_2019[[#This Row],[Amount]]/Log_2019[[#This Row],[Split_raw]]*MAX(0,MIN(_xlfn.DAYS(EDATE(V$1,1),Log_2019[[#This Row],[Date]]),Log_2019[[#This Row],[Split_apply]])) - SUM($O575:U575)</f>
        <v>0</v>
      </c>
      <c r="W575" s="52">
        <f ca="1">Log_2019[[#This Row],[Amount]]/Log_2019[[#This Row],[Split_raw]]*MAX(0,MIN(_xlfn.DAYS(EDATE(W$1,1),Log_2019[[#This Row],[Date]]),Log_2019[[#This Row],[Split_apply]])) - SUM($O575:V575)</f>
        <v>0</v>
      </c>
      <c r="X575" s="52">
        <f ca="1">Log_2019[[#This Row],[Amount]]/Log_2019[[#This Row],[Split_raw]]*MAX(0,MIN(_xlfn.DAYS(EDATE(X$1,1),Log_2019[[#This Row],[Date]]),Log_2019[[#This Row],[Split_apply]])) - SUM($O575:W575)</f>
        <v>0</v>
      </c>
      <c r="Y575" s="52">
        <f ca="1">Log_2019[[#This Row],[Amount]]/Log_2019[[#This Row],[Split_raw]]*MAX(0,MIN(_xlfn.DAYS(EDATE(Y$1,1),Log_2019[[#This Row],[Date]]),Log_2019[[#This Row],[Split_apply]])) - SUM($O575:X575)</f>
        <v>0</v>
      </c>
      <c r="Z575" s="52">
        <f ca="1">Log_2019[[#This Row],[Amount]]/Log_2019[[#This Row],[Split_raw]]*MAX(0,MIN(_xlfn.DAYS(EDATE(Z$1,1),Log_2019[[#This Row],[Date]]),Log_2019[[#This Row],[Split_apply]])) - SUM($O575:Y575)</f>
        <v>0</v>
      </c>
      <c r="AA575" s="52">
        <f ca="1">Log_2019[[#This Row],[Amount]]/Log_2019[[#This Row],[Split_raw]]*MAX(0,MIN(_xlfn.DAYS(EDATE(AA$1,1),Log_2019[[#This Row],[Date]]),Log_2019[[#This Row],[Split_apply]])) - SUM($O575:Z575)</f>
        <v>0</v>
      </c>
      <c r="AB575" s="54">
        <f ca="1">Log_2019[[#This Row],[Amount]]-SUM(O575:AA575)</f>
        <v>0</v>
      </c>
      <c r="AC575" s="7">
        <f>MAX(0,Log_2019[[#This Row],[Split_raw]] - (EDATE(AA$1,1)-Log_2019[[#This Row],[Date]]))</f>
        <v>0</v>
      </c>
    </row>
    <row r="576" spans="1:29" x14ac:dyDescent="0.25">
      <c r="A576" s="42"/>
      <c r="B576" s="34" t="s">
        <v>6</v>
      </c>
      <c r="C576" s="34"/>
      <c r="D576" s="35">
        <v>43560</v>
      </c>
      <c r="E576" s="34"/>
      <c r="F576" s="34" t="s">
        <v>537</v>
      </c>
      <c r="G576" s="34" t="s">
        <v>11</v>
      </c>
      <c r="H576" s="36">
        <v>-84.24</v>
      </c>
      <c r="I576" s="36">
        <f>IF(Log_2019[[#This Row],[My Category]]="NONTRACKED",0,Log_2019[[#This Row],[Raw Amount]])</f>
        <v>-84.24</v>
      </c>
      <c r="J576" s="37">
        <f>ABS(Log_2019[[#This Row],[Amount]])</f>
        <v>84.24</v>
      </c>
      <c r="K576" s="38">
        <v>1</v>
      </c>
      <c r="L576" s="38">
        <f ca="1">IF(Log_2019[[#This Row],[Date]]&lt;=TODAY(), MIN(Log_2019[[#This Row],[Split_raw]], TODAY()-Log_2019[[#This Row],[Date]]+1), 0)</f>
        <v>1</v>
      </c>
      <c r="M576" s="34" t="s">
        <v>145</v>
      </c>
      <c r="N576" s="34" t="s">
        <v>158</v>
      </c>
      <c r="O576" s="7">
        <v>0</v>
      </c>
      <c r="P576" s="52">
        <f ca="1">Log_2019[[#This Row],[Amount]]/Log_2019[[#This Row],[Split_raw]]*MAX(0,MIN(_xlfn.DAYS(EDATE(P$1,1),Log_2019[[#This Row],[Date]]),Log_2019[[#This Row],[Split_apply]])) - SUM($O576:O576)</f>
        <v>0</v>
      </c>
      <c r="Q576" s="52">
        <f ca="1">Log_2019[[#This Row],[Amount]]/Log_2019[[#This Row],[Split_raw]]*MAX(0,MIN(_xlfn.DAYS(EDATE(Q$1,1),Log_2019[[#This Row],[Date]]),Log_2019[[#This Row],[Split_apply]])) - SUM($O576:P576)</f>
        <v>0</v>
      </c>
      <c r="R576" s="52">
        <f ca="1">Log_2019[[#This Row],[Amount]]/Log_2019[[#This Row],[Split_raw]]*MAX(0,MIN(_xlfn.DAYS(EDATE(R$1,1),Log_2019[[#This Row],[Date]]),Log_2019[[#This Row],[Split_apply]])) - SUM($O576:Q576)</f>
        <v>0</v>
      </c>
      <c r="S576" s="52">
        <f ca="1">Log_2019[[#This Row],[Amount]]/Log_2019[[#This Row],[Split_raw]]*MAX(0,MIN(_xlfn.DAYS(EDATE(S$1,1),Log_2019[[#This Row],[Date]]),Log_2019[[#This Row],[Split_apply]])) - SUM($O576:R576)</f>
        <v>-84.24</v>
      </c>
      <c r="T576" s="52">
        <f ca="1">Log_2019[[#This Row],[Amount]]/Log_2019[[#This Row],[Split_raw]]*MAX(0,MIN(_xlfn.DAYS(EDATE(T$1,1),Log_2019[[#This Row],[Date]]),Log_2019[[#This Row],[Split_apply]])) - SUM($O576:S576)</f>
        <v>0</v>
      </c>
      <c r="U576" s="52">
        <f ca="1">Log_2019[[#This Row],[Amount]]/Log_2019[[#This Row],[Split_raw]]*MAX(0,MIN(_xlfn.DAYS(EDATE(U$1,1),Log_2019[[#This Row],[Date]]),Log_2019[[#This Row],[Split_apply]])) - SUM($O576:T576)</f>
        <v>0</v>
      </c>
      <c r="V576" s="52">
        <f ca="1">Log_2019[[#This Row],[Amount]]/Log_2019[[#This Row],[Split_raw]]*MAX(0,MIN(_xlfn.DAYS(EDATE(V$1,1),Log_2019[[#This Row],[Date]]),Log_2019[[#This Row],[Split_apply]])) - SUM($O576:U576)</f>
        <v>0</v>
      </c>
      <c r="W576" s="52">
        <f ca="1">Log_2019[[#This Row],[Amount]]/Log_2019[[#This Row],[Split_raw]]*MAX(0,MIN(_xlfn.DAYS(EDATE(W$1,1),Log_2019[[#This Row],[Date]]),Log_2019[[#This Row],[Split_apply]])) - SUM($O576:V576)</f>
        <v>0</v>
      </c>
      <c r="X576" s="52">
        <f ca="1">Log_2019[[#This Row],[Amount]]/Log_2019[[#This Row],[Split_raw]]*MAX(0,MIN(_xlfn.DAYS(EDATE(X$1,1),Log_2019[[#This Row],[Date]]),Log_2019[[#This Row],[Split_apply]])) - SUM($O576:W576)</f>
        <v>0</v>
      </c>
      <c r="Y576" s="52">
        <f ca="1">Log_2019[[#This Row],[Amount]]/Log_2019[[#This Row],[Split_raw]]*MAX(0,MIN(_xlfn.DAYS(EDATE(Y$1,1),Log_2019[[#This Row],[Date]]),Log_2019[[#This Row],[Split_apply]])) - SUM($O576:X576)</f>
        <v>0</v>
      </c>
      <c r="Z576" s="52">
        <f ca="1">Log_2019[[#This Row],[Amount]]/Log_2019[[#This Row],[Split_raw]]*MAX(0,MIN(_xlfn.DAYS(EDATE(Z$1,1),Log_2019[[#This Row],[Date]]),Log_2019[[#This Row],[Split_apply]])) - SUM($O576:Y576)</f>
        <v>0</v>
      </c>
      <c r="AA576" s="52">
        <f ca="1">Log_2019[[#This Row],[Amount]]/Log_2019[[#This Row],[Split_raw]]*MAX(0,MIN(_xlfn.DAYS(EDATE(AA$1,1),Log_2019[[#This Row],[Date]]),Log_2019[[#This Row],[Split_apply]])) - SUM($O576:Z576)</f>
        <v>0</v>
      </c>
      <c r="AB576" s="54">
        <f ca="1">Log_2019[[#This Row],[Amount]]-SUM(O576:AA576)</f>
        <v>0</v>
      </c>
      <c r="AC576" s="7">
        <f>MAX(0,Log_2019[[#This Row],[Split_raw]] - (EDATE(AA$1,1)-Log_2019[[#This Row],[Date]]))</f>
        <v>0</v>
      </c>
    </row>
    <row r="577" spans="1:29" x14ac:dyDescent="0.25">
      <c r="A577" s="42"/>
      <c r="B577" s="34" t="s">
        <v>191</v>
      </c>
      <c r="C577" s="34"/>
      <c r="D577" s="35">
        <v>43560</v>
      </c>
      <c r="E577" s="34" t="s">
        <v>1043</v>
      </c>
      <c r="F577" s="34" t="s">
        <v>567</v>
      </c>
      <c r="G577" s="34" t="s">
        <v>20</v>
      </c>
      <c r="H577" s="36">
        <v>-500.69</v>
      </c>
      <c r="I577" s="36">
        <f>IF(Log_2019[[#This Row],[My Category]]="NONTRACKED",0,Log_2019[[#This Row],[Raw Amount]])</f>
        <v>-500.69</v>
      </c>
      <c r="J577" s="37">
        <f>ABS(Log_2019[[#This Row],[Amount]])</f>
        <v>500.69</v>
      </c>
      <c r="K577" s="38">
        <v>1</v>
      </c>
      <c r="L577" s="38">
        <f ca="1">IF(Log_2019[[#This Row],[Date]]&lt;=TODAY(), MIN(Log_2019[[#This Row],[Split_raw]], TODAY()-Log_2019[[#This Row],[Date]]+1), 0)</f>
        <v>1</v>
      </c>
      <c r="M577" s="34" t="s">
        <v>34</v>
      </c>
      <c r="N577" s="34" t="s">
        <v>160</v>
      </c>
      <c r="O577" s="7">
        <v>0</v>
      </c>
      <c r="P577" s="52">
        <f ca="1">Log_2019[[#This Row],[Amount]]/Log_2019[[#This Row],[Split_raw]]*MAX(0,MIN(_xlfn.DAYS(EDATE(P$1,1),Log_2019[[#This Row],[Date]]),Log_2019[[#This Row],[Split_apply]])) - SUM($O577:O577)</f>
        <v>0</v>
      </c>
      <c r="Q577" s="52">
        <f ca="1">Log_2019[[#This Row],[Amount]]/Log_2019[[#This Row],[Split_raw]]*MAX(0,MIN(_xlfn.DAYS(EDATE(Q$1,1),Log_2019[[#This Row],[Date]]),Log_2019[[#This Row],[Split_apply]])) - SUM($O577:P577)</f>
        <v>0</v>
      </c>
      <c r="R577" s="52">
        <f ca="1">Log_2019[[#This Row],[Amount]]/Log_2019[[#This Row],[Split_raw]]*MAX(0,MIN(_xlfn.DAYS(EDATE(R$1,1),Log_2019[[#This Row],[Date]]),Log_2019[[#This Row],[Split_apply]])) - SUM($O577:Q577)</f>
        <v>0</v>
      </c>
      <c r="S577" s="52">
        <f ca="1">Log_2019[[#This Row],[Amount]]/Log_2019[[#This Row],[Split_raw]]*MAX(0,MIN(_xlfn.DAYS(EDATE(S$1,1),Log_2019[[#This Row],[Date]]),Log_2019[[#This Row],[Split_apply]])) - SUM($O577:R577)</f>
        <v>-500.69</v>
      </c>
      <c r="T577" s="52">
        <f ca="1">Log_2019[[#This Row],[Amount]]/Log_2019[[#This Row],[Split_raw]]*MAX(0,MIN(_xlfn.DAYS(EDATE(T$1,1),Log_2019[[#This Row],[Date]]),Log_2019[[#This Row],[Split_apply]])) - SUM($O577:S577)</f>
        <v>0</v>
      </c>
      <c r="U577" s="52">
        <f ca="1">Log_2019[[#This Row],[Amount]]/Log_2019[[#This Row],[Split_raw]]*MAX(0,MIN(_xlfn.DAYS(EDATE(U$1,1),Log_2019[[#This Row],[Date]]),Log_2019[[#This Row],[Split_apply]])) - SUM($O577:T577)</f>
        <v>0</v>
      </c>
      <c r="V577" s="52">
        <f ca="1">Log_2019[[#This Row],[Amount]]/Log_2019[[#This Row],[Split_raw]]*MAX(0,MIN(_xlfn.DAYS(EDATE(V$1,1),Log_2019[[#This Row],[Date]]),Log_2019[[#This Row],[Split_apply]])) - SUM($O577:U577)</f>
        <v>0</v>
      </c>
      <c r="W577" s="52">
        <f ca="1">Log_2019[[#This Row],[Amount]]/Log_2019[[#This Row],[Split_raw]]*MAX(0,MIN(_xlfn.DAYS(EDATE(W$1,1),Log_2019[[#This Row],[Date]]),Log_2019[[#This Row],[Split_apply]])) - SUM($O577:V577)</f>
        <v>0</v>
      </c>
      <c r="X577" s="52">
        <f ca="1">Log_2019[[#This Row],[Amount]]/Log_2019[[#This Row],[Split_raw]]*MAX(0,MIN(_xlfn.DAYS(EDATE(X$1,1),Log_2019[[#This Row],[Date]]),Log_2019[[#This Row],[Split_apply]])) - SUM($O577:W577)</f>
        <v>0</v>
      </c>
      <c r="Y577" s="52">
        <f ca="1">Log_2019[[#This Row],[Amount]]/Log_2019[[#This Row],[Split_raw]]*MAX(0,MIN(_xlfn.DAYS(EDATE(Y$1,1),Log_2019[[#This Row],[Date]]),Log_2019[[#This Row],[Split_apply]])) - SUM($O577:X577)</f>
        <v>0</v>
      </c>
      <c r="Z577" s="52">
        <f ca="1">Log_2019[[#This Row],[Amount]]/Log_2019[[#This Row],[Split_raw]]*MAX(0,MIN(_xlfn.DAYS(EDATE(Z$1,1),Log_2019[[#This Row],[Date]]),Log_2019[[#This Row],[Split_apply]])) - SUM($O577:Y577)</f>
        <v>0</v>
      </c>
      <c r="AA577" s="52">
        <f ca="1">Log_2019[[#This Row],[Amount]]/Log_2019[[#This Row],[Split_raw]]*MAX(0,MIN(_xlfn.DAYS(EDATE(AA$1,1),Log_2019[[#This Row],[Date]]),Log_2019[[#This Row],[Split_apply]])) - SUM($O577:Z577)</f>
        <v>0</v>
      </c>
      <c r="AB577" s="54">
        <f ca="1">Log_2019[[#This Row],[Amount]]-SUM(O577:AA577)</f>
        <v>0</v>
      </c>
      <c r="AC577" s="7">
        <f>MAX(0,Log_2019[[#This Row],[Split_raw]] - (EDATE(AA$1,1)-Log_2019[[#This Row],[Date]]))</f>
        <v>0</v>
      </c>
    </row>
    <row r="578" spans="1:29" x14ac:dyDescent="0.25">
      <c r="A578" s="42"/>
      <c r="B578" s="34" t="s">
        <v>6</v>
      </c>
      <c r="C578" s="34"/>
      <c r="D578" s="35">
        <v>43559</v>
      </c>
      <c r="E578" s="34"/>
      <c r="F578" s="34" t="s">
        <v>255</v>
      </c>
      <c r="G578" s="34" t="s">
        <v>25</v>
      </c>
      <c r="H578" s="36">
        <v>-6.38</v>
      </c>
      <c r="I578" s="36">
        <f>IF(Log_2019[[#This Row],[My Category]]="NONTRACKED",0,Log_2019[[#This Row],[Raw Amount]])</f>
        <v>-6.38</v>
      </c>
      <c r="J578" s="37">
        <f>ABS(Log_2019[[#This Row],[Amount]])</f>
        <v>6.38</v>
      </c>
      <c r="K578" s="38">
        <v>1</v>
      </c>
      <c r="L578" s="38">
        <f ca="1">IF(Log_2019[[#This Row],[Date]]&lt;=TODAY(), MIN(Log_2019[[#This Row],[Split_raw]], TODAY()-Log_2019[[#This Row],[Date]]+1), 0)</f>
        <v>1</v>
      </c>
      <c r="M578" s="34" t="s">
        <v>35</v>
      </c>
      <c r="N578" s="34" t="s">
        <v>158</v>
      </c>
      <c r="O578" s="7">
        <v>0</v>
      </c>
      <c r="P578" s="52">
        <f ca="1">Log_2019[[#This Row],[Amount]]/Log_2019[[#This Row],[Split_raw]]*MAX(0,MIN(_xlfn.DAYS(EDATE(P$1,1),Log_2019[[#This Row],[Date]]),Log_2019[[#This Row],[Split_apply]])) - SUM($O578:O578)</f>
        <v>0</v>
      </c>
      <c r="Q578" s="52">
        <f ca="1">Log_2019[[#This Row],[Amount]]/Log_2019[[#This Row],[Split_raw]]*MAX(0,MIN(_xlfn.DAYS(EDATE(Q$1,1),Log_2019[[#This Row],[Date]]),Log_2019[[#This Row],[Split_apply]])) - SUM($O578:P578)</f>
        <v>0</v>
      </c>
      <c r="R578" s="52">
        <f ca="1">Log_2019[[#This Row],[Amount]]/Log_2019[[#This Row],[Split_raw]]*MAX(0,MIN(_xlfn.DAYS(EDATE(R$1,1),Log_2019[[#This Row],[Date]]),Log_2019[[#This Row],[Split_apply]])) - SUM($O578:Q578)</f>
        <v>0</v>
      </c>
      <c r="S578" s="52">
        <f ca="1">Log_2019[[#This Row],[Amount]]/Log_2019[[#This Row],[Split_raw]]*MAX(0,MIN(_xlfn.DAYS(EDATE(S$1,1),Log_2019[[#This Row],[Date]]),Log_2019[[#This Row],[Split_apply]])) - SUM($O578:R578)</f>
        <v>-6.38</v>
      </c>
      <c r="T578" s="52">
        <f ca="1">Log_2019[[#This Row],[Amount]]/Log_2019[[#This Row],[Split_raw]]*MAX(0,MIN(_xlfn.DAYS(EDATE(T$1,1),Log_2019[[#This Row],[Date]]),Log_2019[[#This Row],[Split_apply]])) - SUM($O578:S578)</f>
        <v>0</v>
      </c>
      <c r="U578" s="52">
        <f ca="1">Log_2019[[#This Row],[Amount]]/Log_2019[[#This Row],[Split_raw]]*MAX(0,MIN(_xlfn.DAYS(EDATE(U$1,1),Log_2019[[#This Row],[Date]]),Log_2019[[#This Row],[Split_apply]])) - SUM($O578:T578)</f>
        <v>0</v>
      </c>
      <c r="V578" s="52">
        <f ca="1">Log_2019[[#This Row],[Amount]]/Log_2019[[#This Row],[Split_raw]]*MAX(0,MIN(_xlfn.DAYS(EDATE(V$1,1),Log_2019[[#This Row],[Date]]),Log_2019[[#This Row],[Split_apply]])) - SUM($O578:U578)</f>
        <v>0</v>
      </c>
      <c r="W578" s="52">
        <f ca="1">Log_2019[[#This Row],[Amount]]/Log_2019[[#This Row],[Split_raw]]*MAX(0,MIN(_xlfn.DAYS(EDATE(W$1,1),Log_2019[[#This Row],[Date]]),Log_2019[[#This Row],[Split_apply]])) - SUM($O578:V578)</f>
        <v>0</v>
      </c>
      <c r="X578" s="52">
        <f ca="1">Log_2019[[#This Row],[Amount]]/Log_2019[[#This Row],[Split_raw]]*MAX(0,MIN(_xlfn.DAYS(EDATE(X$1,1),Log_2019[[#This Row],[Date]]),Log_2019[[#This Row],[Split_apply]])) - SUM($O578:W578)</f>
        <v>0</v>
      </c>
      <c r="Y578" s="52">
        <f ca="1">Log_2019[[#This Row],[Amount]]/Log_2019[[#This Row],[Split_raw]]*MAX(0,MIN(_xlfn.DAYS(EDATE(Y$1,1),Log_2019[[#This Row],[Date]]),Log_2019[[#This Row],[Split_apply]])) - SUM($O578:X578)</f>
        <v>0</v>
      </c>
      <c r="Z578" s="52">
        <f ca="1">Log_2019[[#This Row],[Amount]]/Log_2019[[#This Row],[Split_raw]]*MAX(0,MIN(_xlfn.DAYS(EDATE(Z$1,1),Log_2019[[#This Row],[Date]]),Log_2019[[#This Row],[Split_apply]])) - SUM($O578:Y578)</f>
        <v>0</v>
      </c>
      <c r="AA578" s="52">
        <f ca="1">Log_2019[[#This Row],[Amount]]/Log_2019[[#This Row],[Split_raw]]*MAX(0,MIN(_xlfn.DAYS(EDATE(AA$1,1),Log_2019[[#This Row],[Date]]),Log_2019[[#This Row],[Split_apply]])) - SUM($O578:Z578)</f>
        <v>0</v>
      </c>
      <c r="AB578" s="54">
        <f ca="1">Log_2019[[#This Row],[Amount]]-SUM(O578:AA578)</f>
        <v>0</v>
      </c>
      <c r="AC578" s="7">
        <f>MAX(0,Log_2019[[#This Row],[Split_raw]] - (EDATE(AA$1,1)-Log_2019[[#This Row],[Date]]))</f>
        <v>0</v>
      </c>
    </row>
    <row r="579" spans="1:29" x14ac:dyDescent="0.25">
      <c r="A579" s="42"/>
      <c r="B579" s="34" t="s">
        <v>6</v>
      </c>
      <c r="C579" s="34"/>
      <c r="D579" s="35">
        <v>43559</v>
      </c>
      <c r="E579" s="34"/>
      <c r="F579" s="34" t="s">
        <v>255</v>
      </c>
      <c r="G579" s="34" t="s">
        <v>25</v>
      </c>
      <c r="H579" s="36">
        <v>-23.38</v>
      </c>
      <c r="I579" s="36">
        <f>IF(Log_2019[[#This Row],[My Category]]="NONTRACKED",0,Log_2019[[#This Row],[Raw Amount]])</f>
        <v>-23.38</v>
      </c>
      <c r="J579" s="37">
        <f>ABS(Log_2019[[#This Row],[Amount]])</f>
        <v>23.38</v>
      </c>
      <c r="K579" s="38">
        <v>1</v>
      </c>
      <c r="L579" s="38">
        <f ca="1">IF(Log_2019[[#This Row],[Date]]&lt;=TODAY(), MIN(Log_2019[[#This Row],[Split_raw]], TODAY()-Log_2019[[#This Row],[Date]]+1), 0)</f>
        <v>1</v>
      </c>
      <c r="M579" s="34" t="s">
        <v>52</v>
      </c>
      <c r="N579" s="34" t="s">
        <v>158</v>
      </c>
      <c r="O579" s="7">
        <v>0</v>
      </c>
      <c r="P579" s="52">
        <f ca="1">Log_2019[[#This Row],[Amount]]/Log_2019[[#This Row],[Split_raw]]*MAX(0,MIN(_xlfn.DAYS(EDATE(P$1,1),Log_2019[[#This Row],[Date]]),Log_2019[[#This Row],[Split_apply]])) - SUM($O579:O579)</f>
        <v>0</v>
      </c>
      <c r="Q579" s="52">
        <f ca="1">Log_2019[[#This Row],[Amount]]/Log_2019[[#This Row],[Split_raw]]*MAX(0,MIN(_xlfn.DAYS(EDATE(Q$1,1),Log_2019[[#This Row],[Date]]),Log_2019[[#This Row],[Split_apply]])) - SUM($O579:P579)</f>
        <v>0</v>
      </c>
      <c r="R579" s="52">
        <f ca="1">Log_2019[[#This Row],[Amount]]/Log_2019[[#This Row],[Split_raw]]*MAX(0,MIN(_xlfn.DAYS(EDATE(R$1,1),Log_2019[[#This Row],[Date]]),Log_2019[[#This Row],[Split_apply]])) - SUM($O579:Q579)</f>
        <v>0</v>
      </c>
      <c r="S579" s="52">
        <f ca="1">Log_2019[[#This Row],[Amount]]/Log_2019[[#This Row],[Split_raw]]*MAX(0,MIN(_xlfn.DAYS(EDATE(S$1,1),Log_2019[[#This Row],[Date]]),Log_2019[[#This Row],[Split_apply]])) - SUM($O579:R579)</f>
        <v>-23.38</v>
      </c>
      <c r="T579" s="52">
        <f ca="1">Log_2019[[#This Row],[Amount]]/Log_2019[[#This Row],[Split_raw]]*MAX(0,MIN(_xlfn.DAYS(EDATE(T$1,1),Log_2019[[#This Row],[Date]]),Log_2019[[#This Row],[Split_apply]])) - SUM($O579:S579)</f>
        <v>0</v>
      </c>
      <c r="U579" s="52">
        <f ca="1">Log_2019[[#This Row],[Amount]]/Log_2019[[#This Row],[Split_raw]]*MAX(0,MIN(_xlfn.DAYS(EDATE(U$1,1),Log_2019[[#This Row],[Date]]),Log_2019[[#This Row],[Split_apply]])) - SUM($O579:T579)</f>
        <v>0</v>
      </c>
      <c r="V579" s="52">
        <f ca="1">Log_2019[[#This Row],[Amount]]/Log_2019[[#This Row],[Split_raw]]*MAX(0,MIN(_xlfn.DAYS(EDATE(V$1,1),Log_2019[[#This Row],[Date]]),Log_2019[[#This Row],[Split_apply]])) - SUM($O579:U579)</f>
        <v>0</v>
      </c>
      <c r="W579" s="52">
        <f ca="1">Log_2019[[#This Row],[Amount]]/Log_2019[[#This Row],[Split_raw]]*MAX(0,MIN(_xlfn.DAYS(EDATE(W$1,1),Log_2019[[#This Row],[Date]]),Log_2019[[#This Row],[Split_apply]])) - SUM($O579:V579)</f>
        <v>0</v>
      </c>
      <c r="X579" s="52">
        <f ca="1">Log_2019[[#This Row],[Amount]]/Log_2019[[#This Row],[Split_raw]]*MAX(0,MIN(_xlfn.DAYS(EDATE(X$1,1),Log_2019[[#This Row],[Date]]),Log_2019[[#This Row],[Split_apply]])) - SUM($O579:W579)</f>
        <v>0</v>
      </c>
      <c r="Y579" s="52">
        <f ca="1">Log_2019[[#This Row],[Amount]]/Log_2019[[#This Row],[Split_raw]]*MAX(0,MIN(_xlfn.DAYS(EDATE(Y$1,1),Log_2019[[#This Row],[Date]]),Log_2019[[#This Row],[Split_apply]])) - SUM($O579:X579)</f>
        <v>0</v>
      </c>
      <c r="Z579" s="52">
        <f ca="1">Log_2019[[#This Row],[Amount]]/Log_2019[[#This Row],[Split_raw]]*MAX(0,MIN(_xlfn.DAYS(EDATE(Z$1,1),Log_2019[[#This Row],[Date]]),Log_2019[[#This Row],[Split_apply]])) - SUM($O579:Y579)</f>
        <v>0</v>
      </c>
      <c r="AA579" s="52">
        <f ca="1">Log_2019[[#This Row],[Amount]]/Log_2019[[#This Row],[Split_raw]]*MAX(0,MIN(_xlfn.DAYS(EDATE(AA$1,1),Log_2019[[#This Row],[Date]]),Log_2019[[#This Row],[Split_apply]])) - SUM($O579:Z579)</f>
        <v>0</v>
      </c>
      <c r="AB579" s="54">
        <f ca="1">Log_2019[[#This Row],[Amount]]-SUM(O579:AA579)</f>
        <v>0</v>
      </c>
      <c r="AC579" s="7">
        <f>MAX(0,Log_2019[[#This Row],[Split_raw]] - (EDATE(AA$1,1)-Log_2019[[#This Row],[Date]]))</f>
        <v>0</v>
      </c>
    </row>
    <row r="580" spans="1:29" x14ac:dyDescent="0.25">
      <c r="A580" s="42"/>
      <c r="B580" s="34" t="s">
        <v>6</v>
      </c>
      <c r="C580" s="34"/>
      <c r="D580" s="35">
        <v>43559</v>
      </c>
      <c r="E580" s="34"/>
      <c r="F580" s="34" t="s">
        <v>556</v>
      </c>
      <c r="G580" s="34" t="s">
        <v>13</v>
      </c>
      <c r="H580" s="36">
        <v>-10.99</v>
      </c>
      <c r="I580" s="36">
        <f>IF(Log_2019[[#This Row],[My Category]]="NONTRACKED",0,Log_2019[[#This Row],[Raw Amount]])</f>
        <v>-10.99</v>
      </c>
      <c r="J580" s="37">
        <f>ABS(Log_2019[[#This Row],[Amount]])</f>
        <v>10.99</v>
      </c>
      <c r="K580" s="38">
        <v>1</v>
      </c>
      <c r="L580" s="38">
        <f ca="1">IF(Log_2019[[#This Row],[Date]]&lt;=TODAY(), MIN(Log_2019[[#This Row],[Split_raw]], TODAY()-Log_2019[[#This Row],[Date]]+1), 0)</f>
        <v>1</v>
      </c>
      <c r="M580" s="34" t="s">
        <v>145</v>
      </c>
      <c r="N580" s="34" t="s">
        <v>158</v>
      </c>
      <c r="O580" s="7">
        <v>0</v>
      </c>
      <c r="P580" s="52">
        <f ca="1">Log_2019[[#This Row],[Amount]]/Log_2019[[#This Row],[Split_raw]]*MAX(0,MIN(_xlfn.DAYS(EDATE(P$1,1),Log_2019[[#This Row],[Date]]),Log_2019[[#This Row],[Split_apply]])) - SUM($O580:O580)</f>
        <v>0</v>
      </c>
      <c r="Q580" s="52">
        <f ca="1">Log_2019[[#This Row],[Amount]]/Log_2019[[#This Row],[Split_raw]]*MAX(0,MIN(_xlfn.DAYS(EDATE(Q$1,1),Log_2019[[#This Row],[Date]]),Log_2019[[#This Row],[Split_apply]])) - SUM($O580:P580)</f>
        <v>0</v>
      </c>
      <c r="R580" s="52">
        <f ca="1">Log_2019[[#This Row],[Amount]]/Log_2019[[#This Row],[Split_raw]]*MAX(0,MIN(_xlfn.DAYS(EDATE(R$1,1),Log_2019[[#This Row],[Date]]),Log_2019[[#This Row],[Split_apply]])) - SUM($O580:Q580)</f>
        <v>0</v>
      </c>
      <c r="S580" s="52">
        <f ca="1">Log_2019[[#This Row],[Amount]]/Log_2019[[#This Row],[Split_raw]]*MAX(0,MIN(_xlfn.DAYS(EDATE(S$1,1),Log_2019[[#This Row],[Date]]),Log_2019[[#This Row],[Split_apply]])) - SUM($O580:R580)</f>
        <v>-10.99</v>
      </c>
      <c r="T580" s="52">
        <f ca="1">Log_2019[[#This Row],[Amount]]/Log_2019[[#This Row],[Split_raw]]*MAX(0,MIN(_xlfn.DAYS(EDATE(T$1,1),Log_2019[[#This Row],[Date]]),Log_2019[[#This Row],[Split_apply]])) - SUM($O580:S580)</f>
        <v>0</v>
      </c>
      <c r="U580" s="52">
        <f ca="1">Log_2019[[#This Row],[Amount]]/Log_2019[[#This Row],[Split_raw]]*MAX(0,MIN(_xlfn.DAYS(EDATE(U$1,1),Log_2019[[#This Row],[Date]]),Log_2019[[#This Row],[Split_apply]])) - SUM($O580:T580)</f>
        <v>0</v>
      </c>
      <c r="V580" s="52">
        <f ca="1">Log_2019[[#This Row],[Amount]]/Log_2019[[#This Row],[Split_raw]]*MAX(0,MIN(_xlfn.DAYS(EDATE(V$1,1),Log_2019[[#This Row],[Date]]),Log_2019[[#This Row],[Split_apply]])) - SUM($O580:U580)</f>
        <v>0</v>
      </c>
      <c r="W580" s="52">
        <f ca="1">Log_2019[[#This Row],[Amount]]/Log_2019[[#This Row],[Split_raw]]*MAX(0,MIN(_xlfn.DAYS(EDATE(W$1,1),Log_2019[[#This Row],[Date]]),Log_2019[[#This Row],[Split_apply]])) - SUM($O580:V580)</f>
        <v>0</v>
      </c>
      <c r="X580" s="52">
        <f ca="1">Log_2019[[#This Row],[Amount]]/Log_2019[[#This Row],[Split_raw]]*MAX(0,MIN(_xlfn.DAYS(EDATE(X$1,1),Log_2019[[#This Row],[Date]]),Log_2019[[#This Row],[Split_apply]])) - SUM($O580:W580)</f>
        <v>0</v>
      </c>
      <c r="Y580" s="52">
        <f ca="1">Log_2019[[#This Row],[Amount]]/Log_2019[[#This Row],[Split_raw]]*MAX(0,MIN(_xlfn.DAYS(EDATE(Y$1,1),Log_2019[[#This Row],[Date]]),Log_2019[[#This Row],[Split_apply]])) - SUM($O580:X580)</f>
        <v>0</v>
      </c>
      <c r="Z580" s="52">
        <f ca="1">Log_2019[[#This Row],[Amount]]/Log_2019[[#This Row],[Split_raw]]*MAX(0,MIN(_xlfn.DAYS(EDATE(Z$1,1),Log_2019[[#This Row],[Date]]),Log_2019[[#This Row],[Split_apply]])) - SUM($O580:Y580)</f>
        <v>0</v>
      </c>
      <c r="AA580" s="52">
        <f ca="1">Log_2019[[#This Row],[Amount]]/Log_2019[[#This Row],[Split_raw]]*MAX(0,MIN(_xlfn.DAYS(EDATE(AA$1,1),Log_2019[[#This Row],[Date]]),Log_2019[[#This Row],[Split_apply]])) - SUM($O580:Z580)</f>
        <v>0</v>
      </c>
      <c r="AB580" s="54">
        <f ca="1">Log_2019[[#This Row],[Amount]]-SUM(O580:AA580)</f>
        <v>0</v>
      </c>
      <c r="AC580" s="7">
        <f>MAX(0,Log_2019[[#This Row],[Split_raw]] - (EDATE(AA$1,1)-Log_2019[[#This Row],[Date]]))</f>
        <v>0</v>
      </c>
    </row>
    <row r="581" spans="1:29" x14ac:dyDescent="0.25">
      <c r="A581" s="42"/>
      <c r="B581" s="34" t="s">
        <v>6</v>
      </c>
      <c r="C581" s="34"/>
      <c r="D581" s="35">
        <v>43558</v>
      </c>
      <c r="E581" s="34"/>
      <c r="F581" s="34" t="s">
        <v>184</v>
      </c>
      <c r="G581" s="34" t="s">
        <v>11</v>
      </c>
      <c r="H581" s="36">
        <v>-3.24</v>
      </c>
      <c r="I581" s="36">
        <f>IF(Log_2019[[#This Row],[My Category]]="NONTRACKED",0,Log_2019[[#This Row],[Raw Amount]])</f>
        <v>-3.24</v>
      </c>
      <c r="J581" s="37">
        <f>ABS(Log_2019[[#This Row],[Amount]])</f>
        <v>3.24</v>
      </c>
      <c r="K581" s="38">
        <v>1</v>
      </c>
      <c r="L581" s="38">
        <f ca="1">IF(Log_2019[[#This Row],[Date]]&lt;=TODAY(), MIN(Log_2019[[#This Row],[Split_raw]], TODAY()-Log_2019[[#This Row],[Date]]+1), 0)</f>
        <v>1</v>
      </c>
      <c r="M581" s="34" t="s">
        <v>12</v>
      </c>
      <c r="N581" s="34" t="s">
        <v>158</v>
      </c>
      <c r="O581" s="7">
        <v>0</v>
      </c>
      <c r="P581" s="52">
        <f ca="1">Log_2019[[#This Row],[Amount]]/Log_2019[[#This Row],[Split_raw]]*MAX(0,MIN(_xlfn.DAYS(EDATE(P$1,1),Log_2019[[#This Row],[Date]]),Log_2019[[#This Row],[Split_apply]])) - SUM($O581:O581)</f>
        <v>0</v>
      </c>
      <c r="Q581" s="52">
        <f ca="1">Log_2019[[#This Row],[Amount]]/Log_2019[[#This Row],[Split_raw]]*MAX(0,MIN(_xlfn.DAYS(EDATE(Q$1,1),Log_2019[[#This Row],[Date]]),Log_2019[[#This Row],[Split_apply]])) - SUM($O581:P581)</f>
        <v>0</v>
      </c>
      <c r="R581" s="52">
        <f ca="1">Log_2019[[#This Row],[Amount]]/Log_2019[[#This Row],[Split_raw]]*MAX(0,MIN(_xlfn.DAYS(EDATE(R$1,1),Log_2019[[#This Row],[Date]]),Log_2019[[#This Row],[Split_apply]])) - SUM($O581:Q581)</f>
        <v>0</v>
      </c>
      <c r="S581" s="52">
        <f ca="1">Log_2019[[#This Row],[Amount]]/Log_2019[[#This Row],[Split_raw]]*MAX(0,MIN(_xlfn.DAYS(EDATE(S$1,1),Log_2019[[#This Row],[Date]]),Log_2019[[#This Row],[Split_apply]])) - SUM($O581:R581)</f>
        <v>-3.24</v>
      </c>
      <c r="T581" s="52">
        <f ca="1">Log_2019[[#This Row],[Amount]]/Log_2019[[#This Row],[Split_raw]]*MAX(0,MIN(_xlfn.DAYS(EDATE(T$1,1),Log_2019[[#This Row],[Date]]),Log_2019[[#This Row],[Split_apply]])) - SUM($O581:S581)</f>
        <v>0</v>
      </c>
      <c r="U581" s="52">
        <f ca="1">Log_2019[[#This Row],[Amount]]/Log_2019[[#This Row],[Split_raw]]*MAX(0,MIN(_xlfn.DAYS(EDATE(U$1,1),Log_2019[[#This Row],[Date]]),Log_2019[[#This Row],[Split_apply]])) - SUM($O581:T581)</f>
        <v>0</v>
      </c>
      <c r="V581" s="52">
        <f ca="1">Log_2019[[#This Row],[Amount]]/Log_2019[[#This Row],[Split_raw]]*MAX(0,MIN(_xlfn.DAYS(EDATE(V$1,1),Log_2019[[#This Row],[Date]]),Log_2019[[#This Row],[Split_apply]])) - SUM($O581:U581)</f>
        <v>0</v>
      </c>
      <c r="W581" s="52">
        <f ca="1">Log_2019[[#This Row],[Amount]]/Log_2019[[#This Row],[Split_raw]]*MAX(0,MIN(_xlfn.DAYS(EDATE(W$1,1),Log_2019[[#This Row],[Date]]),Log_2019[[#This Row],[Split_apply]])) - SUM($O581:V581)</f>
        <v>0</v>
      </c>
      <c r="X581" s="52">
        <f ca="1">Log_2019[[#This Row],[Amount]]/Log_2019[[#This Row],[Split_raw]]*MAX(0,MIN(_xlfn.DAYS(EDATE(X$1,1),Log_2019[[#This Row],[Date]]),Log_2019[[#This Row],[Split_apply]])) - SUM($O581:W581)</f>
        <v>0</v>
      </c>
      <c r="Y581" s="52">
        <f ca="1">Log_2019[[#This Row],[Amount]]/Log_2019[[#This Row],[Split_raw]]*MAX(0,MIN(_xlfn.DAYS(EDATE(Y$1,1),Log_2019[[#This Row],[Date]]),Log_2019[[#This Row],[Split_apply]])) - SUM($O581:X581)</f>
        <v>0</v>
      </c>
      <c r="Z581" s="52">
        <f ca="1">Log_2019[[#This Row],[Amount]]/Log_2019[[#This Row],[Split_raw]]*MAX(0,MIN(_xlfn.DAYS(EDATE(Z$1,1),Log_2019[[#This Row],[Date]]),Log_2019[[#This Row],[Split_apply]])) - SUM($O581:Y581)</f>
        <v>0</v>
      </c>
      <c r="AA581" s="52">
        <f ca="1">Log_2019[[#This Row],[Amount]]/Log_2019[[#This Row],[Split_raw]]*MAX(0,MIN(_xlfn.DAYS(EDATE(AA$1,1),Log_2019[[#This Row],[Date]]),Log_2019[[#This Row],[Split_apply]])) - SUM($O581:Z581)</f>
        <v>0</v>
      </c>
      <c r="AB581" s="54">
        <f ca="1">Log_2019[[#This Row],[Amount]]-SUM(O581:AA581)</f>
        <v>0</v>
      </c>
      <c r="AC581" s="7">
        <f>MAX(0,Log_2019[[#This Row],[Split_raw]] - (EDATE(AA$1,1)-Log_2019[[#This Row],[Date]]))</f>
        <v>0</v>
      </c>
    </row>
    <row r="582" spans="1:29" x14ac:dyDescent="0.25">
      <c r="A582" s="42"/>
      <c r="B582" s="34" t="s">
        <v>6</v>
      </c>
      <c r="C582" s="34"/>
      <c r="D582" s="35">
        <v>43558</v>
      </c>
      <c r="E582" s="34" t="s">
        <v>562</v>
      </c>
      <c r="F582" s="34" t="s">
        <v>553</v>
      </c>
      <c r="G582" s="34" t="s">
        <v>27</v>
      </c>
      <c r="H582" s="36">
        <v>-95.02</v>
      </c>
      <c r="I582" s="36">
        <f>IF(Log_2019[[#This Row],[My Category]]="NONTRACKED",0,Log_2019[[#This Row],[Raw Amount]])</f>
        <v>-95.02</v>
      </c>
      <c r="J582" s="37">
        <f>ABS(Log_2019[[#This Row],[Amount]])</f>
        <v>95.02</v>
      </c>
      <c r="K582" s="38">
        <v>1</v>
      </c>
      <c r="L582" s="38">
        <f ca="1">IF(Log_2019[[#This Row],[Date]]&lt;=TODAY(), MIN(Log_2019[[#This Row],[Split_raw]], TODAY()-Log_2019[[#This Row],[Date]]+1), 0)</f>
        <v>1</v>
      </c>
      <c r="M582" s="34" t="s">
        <v>145</v>
      </c>
      <c r="N582" s="34" t="s">
        <v>158</v>
      </c>
      <c r="O582" s="7">
        <v>0</v>
      </c>
      <c r="P582" s="52">
        <f ca="1">Log_2019[[#This Row],[Amount]]/Log_2019[[#This Row],[Split_raw]]*MAX(0,MIN(_xlfn.DAYS(EDATE(P$1,1),Log_2019[[#This Row],[Date]]),Log_2019[[#This Row],[Split_apply]])) - SUM($O582:O582)</f>
        <v>0</v>
      </c>
      <c r="Q582" s="52">
        <f ca="1">Log_2019[[#This Row],[Amount]]/Log_2019[[#This Row],[Split_raw]]*MAX(0,MIN(_xlfn.DAYS(EDATE(Q$1,1),Log_2019[[#This Row],[Date]]),Log_2019[[#This Row],[Split_apply]])) - SUM($O582:P582)</f>
        <v>0</v>
      </c>
      <c r="R582" s="52">
        <f ca="1">Log_2019[[#This Row],[Amount]]/Log_2019[[#This Row],[Split_raw]]*MAX(0,MIN(_xlfn.DAYS(EDATE(R$1,1),Log_2019[[#This Row],[Date]]),Log_2019[[#This Row],[Split_apply]])) - SUM($O582:Q582)</f>
        <v>0</v>
      </c>
      <c r="S582" s="52">
        <f ca="1">Log_2019[[#This Row],[Amount]]/Log_2019[[#This Row],[Split_raw]]*MAX(0,MIN(_xlfn.DAYS(EDATE(S$1,1),Log_2019[[#This Row],[Date]]),Log_2019[[#This Row],[Split_apply]])) - SUM($O582:R582)</f>
        <v>-95.02</v>
      </c>
      <c r="T582" s="52">
        <f ca="1">Log_2019[[#This Row],[Amount]]/Log_2019[[#This Row],[Split_raw]]*MAX(0,MIN(_xlfn.DAYS(EDATE(T$1,1),Log_2019[[#This Row],[Date]]),Log_2019[[#This Row],[Split_apply]])) - SUM($O582:S582)</f>
        <v>0</v>
      </c>
      <c r="U582" s="52">
        <f ca="1">Log_2019[[#This Row],[Amount]]/Log_2019[[#This Row],[Split_raw]]*MAX(0,MIN(_xlfn.DAYS(EDATE(U$1,1),Log_2019[[#This Row],[Date]]),Log_2019[[#This Row],[Split_apply]])) - SUM($O582:T582)</f>
        <v>0</v>
      </c>
      <c r="V582" s="52">
        <f ca="1">Log_2019[[#This Row],[Amount]]/Log_2019[[#This Row],[Split_raw]]*MAX(0,MIN(_xlfn.DAYS(EDATE(V$1,1),Log_2019[[#This Row],[Date]]),Log_2019[[#This Row],[Split_apply]])) - SUM($O582:U582)</f>
        <v>0</v>
      </c>
      <c r="W582" s="52">
        <f ca="1">Log_2019[[#This Row],[Amount]]/Log_2019[[#This Row],[Split_raw]]*MAX(0,MIN(_xlfn.DAYS(EDATE(W$1,1),Log_2019[[#This Row],[Date]]),Log_2019[[#This Row],[Split_apply]])) - SUM($O582:V582)</f>
        <v>0</v>
      </c>
      <c r="X582" s="52">
        <f ca="1">Log_2019[[#This Row],[Amount]]/Log_2019[[#This Row],[Split_raw]]*MAX(0,MIN(_xlfn.DAYS(EDATE(X$1,1),Log_2019[[#This Row],[Date]]),Log_2019[[#This Row],[Split_apply]])) - SUM($O582:W582)</f>
        <v>0</v>
      </c>
      <c r="Y582" s="52">
        <f ca="1">Log_2019[[#This Row],[Amount]]/Log_2019[[#This Row],[Split_raw]]*MAX(0,MIN(_xlfn.DAYS(EDATE(Y$1,1),Log_2019[[#This Row],[Date]]),Log_2019[[#This Row],[Split_apply]])) - SUM($O582:X582)</f>
        <v>0</v>
      </c>
      <c r="Z582" s="52">
        <f ca="1">Log_2019[[#This Row],[Amount]]/Log_2019[[#This Row],[Split_raw]]*MAX(0,MIN(_xlfn.DAYS(EDATE(Z$1,1),Log_2019[[#This Row],[Date]]),Log_2019[[#This Row],[Split_apply]])) - SUM($O582:Y582)</f>
        <v>0</v>
      </c>
      <c r="AA582" s="52">
        <f ca="1">Log_2019[[#This Row],[Amount]]/Log_2019[[#This Row],[Split_raw]]*MAX(0,MIN(_xlfn.DAYS(EDATE(AA$1,1),Log_2019[[#This Row],[Date]]),Log_2019[[#This Row],[Split_apply]])) - SUM($O582:Z582)</f>
        <v>0</v>
      </c>
      <c r="AB582" s="54">
        <f ca="1">Log_2019[[#This Row],[Amount]]-SUM(O582:AA582)</f>
        <v>0</v>
      </c>
      <c r="AC582" s="7">
        <f>MAX(0,Log_2019[[#This Row],[Split_raw]] - (EDATE(AA$1,1)-Log_2019[[#This Row],[Date]]))</f>
        <v>0</v>
      </c>
    </row>
    <row r="583" spans="1:29" x14ac:dyDescent="0.25">
      <c r="A583" s="42"/>
      <c r="B583" s="34" t="s">
        <v>6</v>
      </c>
      <c r="C583" s="34"/>
      <c r="D583" s="35">
        <v>43558</v>
      </c>
      <c r="E583" s="34" t="s">
        <v>563</v>
      </c>
      <c r="F583" s="34" t="s">
        <v>381</v>
      </c>
      <c r="G583" s="34" t="s">
        <v>12</v>
      </c>
      <c r="H583" s="36">
        <v>-9.2799999999999994</v>
      </c>
      <c r="I583" s="36">
        <f>IF(Log_2019[[#This Row],[My Category]]="NONTRACKED",0,Log_2019[[#This Row],[Raw Amount]])</f>
        <v>-9.2799999999999994</v>
      </c>
      <c r="J583" s="37">
        <f>ABS(Log_2019[[#This Row],[Amount]])</f>
        <v>9.2799999999999994</v>
      </c>
      <c r="K583" s="38">
        <v>1</v>
      </c>
      <c r="L583" s="38">
        <f ca="1">IF(Log_2019[[#This Row],[Date]]&lt;=TODAY(), MIN(Log_2019[[#This Row],[Split_raw]], TODAY()-Log_2019[[#This Row],[Date]]+1), 0)</f>
        <v>1</v>
      </c>
      <c r="M583" s="34" t="s">
        <v>12</v>
      </c>
      <c r="N583" s="34" t="s">
        <v>158</v>
      </c>
      <c r="O583" s="7">
        <v>0</v>
      </c>
      <c r="P583" s="52">
        <f ca="1">Log_2019[[#This Row],[Amount]]/Log_2019[[#This Row],[Split_raw]]*MAX(0,MIN(_xlfn.DAYS(EDATE(P$1,1),Log_2019[[#This Row],[Date]]),Log_2019[[#This Row],[Split_apply]])) - SUM($O583:O583)</f>
        <v>0</v>
      </c>
      <c r="Q583" s="52">
        <f ca="1">Log_2019[[#This Row],[Amount]]/Log_2019[[#This Row],[Split_raw]]*MAX(0,MIN(_xlfn.DAYS(EDATE(Q$1,1),Log_2019[[#This Row],[Date]]),Log_2019[[#This Row],[Split_apply]])) - SUM($O583:P583)</f>
        <v>0</v>
      </c>
      <c r="R583" s="52">
        <f ca="1">Log_2019[[#This Row],[Amount]]/Log_2019[[#This Row],[Split_raw]]*MAX(0,MIN(_xlfn.DAYS(EDATE(R$1,1),Log_2019[[#This Row],[Date]]),Log_2019[[#This Row],[Split_apply]])) - SUM($O583:Q583)</f>
        <v>0</v>
      </c>
      <c r="S583" s="52">
        <f ca="1">Log_2019[[#This Row],[Amount]]/Log_2019[[#This Row],[Split_raw]]*MAX(0,MIN(_xlfn.DAYS(EDATE(S$1,1),Log_2019[[#This Row],[Date]]),Log_2019[[#This Row],[Split_apply]])) - SUM($O583:R583)</f>
        <v>-9.2799999999999994</v>
      </c>
      <c r="T583" s="52">
        <f ca="1">Log_2019[[#This Row],[Amount]]/Log_2019[[#This Row],[Split_raw]]*MAX(0,MIN(_xlfn.DAYS(EDATE(T$1,1),Log_2019[[#This Row],[Date]]),Log_2019[[#This Row],[Split_apply]])) - SUM($O583:S583)</f>
        <v>0</v>
      </c>
      <c r="U583" s="52">
        <f ca="1">Log_2019[[#This Row],[Amount]]/Log_2019[[#This Row],[Split_raw]]*MAX(0,MIN(_xlfn.DAYS(EDATE(U$1,1),Log_2019[[#This Row],[Date]]),Log_2019[[#This Row],[Split_apply]])) - SUM($O583:T583)</f>
        <v>0</v>
      </c>
      <c r="V583" s="52">
        <f ca="1">Log_2019[[#This Row],[Amount]]/Log_2019[[#This Row],[Split_raw]]*MAX(0,MIN(_xlfn.DAYS(EDATE(V$1,1),Log_2019[[#This Row],[Date]]),Log_2019[[#This Row],[Split_apply]])) - SUM($O583:U583)</f>
        <v>0</v>
      </c>
      <c r="W583" s="52">
        <f ca="1">Log_2019[[#This Row],[Amount]]/Log_2019[[#This Row],[Split_raw]]*MAX(0,MIN(_xlfn.DAYS(EDATE(W$1,1),Log_2019[[#This Row],[Date]]),Log_2019[[#This Row],[Split_apply]])) - SUM($O583:V583)</f>
        <v>0</v>
      </c>
      <c r="X583" s="52">
        <f ca="1">Log_2019[[#This Row],[Amount]]/Log_2019[[#This Row],[Split_raw]]*MAX(0,MIN(_xlfn.DAYS(EDATE(X$1,1),Log_2019[[#This Row],[Date]]),Log_2019[[#This Row],[Split_apply]])) - SUM($O583:W583)</f>
        <v>0</v>
      </c>
      <c r="Y583" s="52">
        <f ca="1">Log_2019[[#This Row],[Amount]]/Log_2019[[#This Row],[Split_raw]]*MAX(0,MIN(_xlfn.DAYS(EDATE(Y$1,1),Log_2019[[#This Row],[Date]]),Log_2019[[#This Row],[Split_apply]])) - SUM($O583:X583)</f>
        <v>0</v>
      </c>
      <c r="Z583" s="52">
        <f ca="1">Log_2019[[#This Row],[Amount]]/Log_2019[[#This Row],[Split_raw]]*MAX(0,MIN(_xlfn.DAYS(EDATE(Z$1,1),Log_2019[[#This Row],[Date]]),Log_2019[[#This Row],[Split_apply]])) - SUM($O583:Y583)</f>
        <v>0</v>
      </c>
      <c r="AA583" s="52">
        <f ca="1">Log_2019[[#This Row],[Amount]]/Log_2019[[#This Row],[Split_raw]]*MAX(0,MIN(_xlfn.DAYS(EDATE(AA$1,1),Log_2019[[#This Row],[Date]]),Log_2019[[#This Row],[Split_apply]])) - SUM($O583:Z583)</f>
        <v>0</v>
      </c>
      <c r="AB583" s="54">
        <f ca="1">Log_2019[[#This Row],[Amount]]-SUM(O583:AA583)</f>
        <v>0</v>
      </c>
      <c r="AC583" s="7">
        <f>MAX(0,Log_2019[[#This Row],[Split_raw]] - (EDATE(AA$1,1)-Log_2019[[#This Row],[Date]]))</f>
        <v>0</v>
      </c>
    </row>
    <row r="584" spans="1:29" x14ac:dyDescent="0.25">
      <c r="A584" s="42"/>
      <c r="B584" s="34" t="s">
        <v>6</v>
      </c>
      <c r="C584" s="34"/>
      <c r="D584" s="35">
        <v>43558</v>
      </c>
      <c r="E584" s="34"/>
      <c r="F584" s="34" t="s">
        <v>349</v>
      </c>
      <c r="G584" s="34" t="s">
        <v>25</v>
      </c>
      <c r="H584" s="36">
        <v>-10.36</v>
      </c>
      <c r="I584" s="36">
        <f>IF(Log_2019[[#This Row],[My Category]]="NONTRACKED",0,Log_2019[[#This Row],[Raw Amount]])</f>
        <v>-10.36</v>
      </c>
      <c r="J584" s="37">
        <f>ABS(Log_2019[[#This Row],[Amount]])</f>
        <v>10.36</v>
      </c>
      <c r="K584" s="38">
        <v>1</v>
      </c>
      <c r="L584" s="38">
        <f ca="1">IF(Log_2019[[#This Row],[Date]]&lt;=TODAY(), MIN(Log_2019[[#This Row],[Split_raw]], TODAY()-Log_2019[[#This Row],[Date]]+1), 0)</f>
        <v>1</v>
      </c>
      <c r="M584" s="34" t="s">
        <v>35</v>
      </c>
      <c r="N584" s="34" t="s">
        <v>158</v>
      </c>
      <c r="O584" s="7">
        <v>0</v>
      </c>
      <c r="P584" s="52">
        <f ca="1">Log_2019[[#This Row],[Amount]]/Log_2019[[#This Row],[Split_raw]]*MAX(0,MIN(_xlfn.DAYS(EDATE(P$1,1),Log_2019[[#This Row],[Date]]),Log_2019[[#This Row],[Split_apply]])) - SUM($O584:O584)</f>
        <v>0</v>
      </c>
      <c r="Q584" s="52">
        <f ca="1">Log_2019[[#This Row],[Amount]]/Log_2019[[#This Row],[Split_raw]]*MAX(0,MIN(_xlfn.DAYS(EDATE(Q$1,1),Log_2019[[#This Row],[Date]]),Log_2019[[#This Row],[Split_apply]])) - SUM($O584:P584)</f>
        <v>0</v>
      </c>
      <c r="R584" s="52">
        <f ca="1">Log_2019[[#This Row],[Amount]]/Log_2019[[#This Row],[Split_raw]]*MAX(0,MIN(_xlfn.DAYS(EDATE(R$1,1),Log_2019[[#This Row],[Date]]),Log_2019[[#This Row],[Split_apply]])) - SUM($O584:Q584)</f>
        <v>0</v>
      </c>
      <c r="S584" s="52">
        <f ca="1">Log_2019[[#This Row],[Amount]]/Log_2019[[#This Row],[Split_raw]]*MAX(0,MIN(_xlfn.DAYS(EDATE(S$1,1),Log_2019[[#This Row],[Date]]),Log_2019[[#This Row],[Split_apply]])) - SUM($O584:R584)</f>
        <v>-10.36</v>
      </c>
      <c r="T584" s="52">
        <f ca="1">Log_2019[[#This Row],[Amount]]/Log_2019[[#This Row],[Split_raw]]*MAX(0,MIN(_xlfn.DAYS(EDATE(T$1,1),Log_2019[[#This Row],[Date]]),Log_2019[[#This Row],[Split_apply]])) - SUM($O584:S584)</f>
        <v>0</v>
      </c>
      <c r="U584" s="52">
        <f ca="1">Log_2019[[#This Row],[Amount]]/Log_2019[[#This Row],[Split_raw]]*MAX(0,MIN(_xlfn.DAYS(EDATE(U$1,1),Log_2019[[#This Row],[Date]]),Log_2019[[#This Row],[Split_apply]])) - SUM($O584:T584)</f>
        <v>0</v>
      </c>
      <c r="V584" s="52">
        <f ca="1">Log_2019[[#This Row],[Amount]]/Log_2019[[#This Row],[Split_raw]]*MAX(0,MIN(_xlfn.DAYS(EDATE(V$1,1),Log_2019[[#This Row],[Date]]),Log_2019[[#This Row],[Split_apply]])) - SUM($O584:U584)</f>
        <v>0</v>
      </c>
      <c r="W584" s="52">
        <f ca="1">Log_2019[[#This Row],[Amount]]/Log_2019[[#This Row],[Split_raw]]*MAX(0,MIN(_xlfn.DAYS(EDATE(W$1,1),Log_2019[[#This Row],[Date]]),Log_2019[[#This Row],[Split_apply]])) - SUM($O584:V584)</f>
        <v>0</v>
      </c>
      <c r="X584" s="52">
        <f ca="1">Log_2019[[#This Row],[Amount]]/Log_2019[[#This Row],[Split_raw]]*MAX(0,MIN(_xlfn.DAYS(EDATE(X$1,1),Log_2019[[#This Row],[Date]]),Log_2019[[#This Row],[Split_apply]])) - SUM($O584:W584)</f>
        <v>0</v>
      </c>
      <c r="Y584" s="52">
        <f ca="1">Log_2019[[#This Row],[Amount]]/Log_2019[[#This Row],[Split_raw]]*MAX(0,MIN(_xlfn.DAYS(EDATE(Y$1,1),Log_2019[[#This Row],[Date]]),Log_2019[[#This Row],[Split_apply]])) - SUM($O584:X584)</f>
        <v>0</v>
      </c>
      <c r="Z584" s="52">
        <f ca="1">Log_2019[[#This Row],[Amount]]/Log_2019[[#This Row],[Split_raw]]*MAX(0,MIN(_xlfn.DAYS(EDATE(Z$1,1),Log_2019[[#This Row],[Date]]),Log_2019[[#This Row],[Split_apply]])) - SUM($O584:Y584)</f>
        <v>0</v>
      </c>
      <c r="AA584" s="52">
        <f ca="1">Log_2019[[#This Row],[Amount]]/Log_2019[[#This Row],[Split_raw]]*MAX(0,MIN(_xlfn.DAYS(EDATE(AA$1,1),Log_2019[[#This Row],[Date]]),Log_2019[[#This Row],[Split_apply]])) - SUM($O584:Z584)</f>
        <v>0</v>
      </c>
      <c r="AB584" s="54">
        <f ca="1">Log_2019[[#This Row],[Amount]]-SUM(O584:AA584)</f>
        <v>0</v>
      </c>
      <c r="AC584" s="7">
        <f>MAX(0,Log_2019[[#This Row],[Split_raw]] - (EDATE(AA$1,1)-Log_2019[[#This Row],[Date]]))</f>
        <v>0</v>
      </c>
    </row>
    <row r="585" spans="1:29" x14ac:dyDescent="0.25">
      <c r="A585" s="42"/>
      <c r="B585" s="34" t="s">
        <v>6</v>
      </c>
      <c r="C585" s="34"/>
      <c r="D585" s="35">
        <v>43557</v>
      </c>
      <c r="E585" s="34"/>
      <c r="F585" s="34" t="s">
        <v>537</v>
      </c>
      <c r="G585" s="34" t="s">
        <v>11</v>
      </c>
      <c r="H585" s="36">
        <v>-91.09</v>
      </c>
      <c r="I585" s="36">
        <f>IF(Log_2019[[#This Row],[My Category]]="NONTRACKED",0,Log_2019[[#This Row],[Raw Amount]])</f>
        <v>-91.09</v>
      </c>
      <c r="J585" s="37">
        <f>ABS(Log_2019[[#This Row],[Amount]])</f>
        <v>91.09</v>
      </c>
      <c r="K585" s="38">
        <v>1</v>
      </c>
      <c r="L585" s="38">
        <f ca="1">IF(Log_2019[[#This Row],[Date]]&lt;=TODAY(), MIN(Log_2019[[#This Row],[Split_raw]], TODAY()-Log_2019[[#This Row],[Date]]+1), 0)</f>
        <v>1</v>
      </c>
      <c r="M585" s="34" t="s">
        <v>145</v>
      </c>
      <c r="N585" s="34" t="s">
        <v>158</v>
      </c>
      <c r="O585" s="7">
        <v>0</v>
      </c>
      <c r="P585" s="52">
        <f ca="1">Log_2019[[#This Row],[Amount]]/Log_2019[[#This Row],[Split_raw]]*MAX(0,MIN(_xlfn.DAYS(EDATE(P$1,1),Log_2019[[#This Row],[Date]]),Log_2019[[#This Row],[Split_apply]])) - SUM($O585:O585)</f>
        <v>0</v>
      </c>
      <c r="Q585" s="52">
        <f ca="1">Log_2019[[#This Row],[Amount]]/Log_2019[[#This Row],[Split_raw]]*MAX(0,MIN(_xlfn.DAYS(EDATE(Q$1,1),Log_2019[[#This Row],[Date]]),Log_2019[[#This Row],[Split_apply]])) - SUM($O585:P585)</f>
        <v>0</v>
      </c>
      <c r="R585" s="52">
        <f ca="1">Log_2019[[#This Row],[Amount]]/Log_2019[[#This Row],[Split_raw]]*MAX(0,MIN(_xlfn.DAYS(EDATE(R$1,1),Log_2019[[#This Row],[Date]]),Log_2019[[#This Row],[Split_apply]])) - SUM($O585:Q585)</f>
        <v>0</v>
      </c>
      <c r="S585" s="52">
        <f ca="1">Log_2019[[#This Row],[Amount]]/Log_2019[[#This Row],[Split_raw]]*MAX(0,MIN(_xlfn.DAYS(EDATE(S$1,1),Log_2019[[#This Row],[Date]]),Log_2019[[#This Row],[Split_apply]])) - SUM($O585:R585)</f>
        <v>-91.09</v>
      </c>
      <c r="T585" s="52">
        <f ca="1">Log_2019[[#This Row],[Amount]]/Log_2019[[#This Row],[Split_raw]]*MAX(0,MIN(_xlfn.DAYS(EDATE(T$1,1),Log_2019[[#This Row],[Date]]),Log_2019[[#This Row],[Split_apply]])) - SUM($O585:S585)</f>
        <v>0</v>
      </c>
      <c r="U585" s="52">
        <f ca="1">Log_2019[[#This Row],[Amount]]/Log_2019[[#This Row],[Split_raw]]*MAX(0,MIN(_xlfn.DAYS(EDATE(U$1,1),Log_2019[[#This Row],[Date]]),Log_2019[[#This Row],[Split_apply]])) - SUM($O585:T585)</f>
        <v>0</v>
      </c>
      <c r="V585" s="52">
        <f ca="1">Log_2019[[#This Row],[Amount]]/Log_2019[[#This Row],[Split_raw]]*MAX(0,MIN(_xlfn.DAYS(EDATE(V$1,1),Log_2019[[#This Row],[Date]]),Log_2019[[#This Row],[Split_apply]])) - SUM($O585:U585)</f>
        <v>0</v>
      </c>
      <c r="W585" s="52">
        <f ca="1">Log_2019[[#This Row],[Amount]]/Log_2019[[#This Row],[Split_raw]]*MAX(0,MIN(_xlfn.DAYS(EDATE(W$1,1),Log_2019[[#This Row],[Date]]),Log_2019[[#This Row],[Split_apply]])) - SUM($O585:V585)</f>
        <v>0</v>
      </c>
      <c r="X585" s="52">
        <f ca="1">Log_2019[[#This Row],[Amount]]/Log_2019[[#This Row],[Split_raw]]*MAX(0,MIN(_xlfn.DAYS(EDATE(X$1,1),Log_2019[[#This Row],[Date]]),Log_2019[[#This Row],[Split_apply]])) - SUM($O585:W585)</f>
        <v>0</v>
      </c>
      <c r="Y585" s="52">
        <f ca="1">Log_2019[[#This Row],[Amount]]/Log_2019[[#This Row],[Split_raw]]*MAX(0,MIN(_xlfn.DAYS(EDATE(Y$1,1),Log_2019[[#This Row],[Date]]),Log_2019[[#This Row],[Split_apply]])) - SUM($O585:X585)</f>
        <v>0</v>
      </c>
      <c r="Z585" s="52">
        <f ca="1">Log_2019[[#This Row],[Amount]]/Log_2019[[#This Row],[Split_raw]]*MAX(0,MIN(_xlfn.DAYS(EDATE(Z$1,1),Log_2019[[#This Row],[Date]]),Log_2019[[#This Row],[Split_apply]])) - SUM($O585:Y585)</f>
        <v>0</v>
      </c>
      <c r="AA585" s="52">
        <f ca="1">Log_2019[[#This Row],[Amount]]/Log_2019[[#This Row],[Split_raw]]*MAX(0,MIN(_xlfn.DAYS(EDATE(AA$1,1),Log_2019[[#This Row],[Date]]),Log_2019[[#This Row],[Split_apply]])) - SUM($O585:Z585)</f>
        <v>0</v>
      </c>
      <c r="AB585" s="54">
        <f ca="1">Log_2019[[#This Row],[Amount]]-SUM(O585:AA585)</f>
        <v>0</v>
      </c>
      <c r="AC585" s="7">
        <f>MAX(0,Log_2019[[#This Row],[Split_raw]] - (EDATE(AA$1,1)-Log_2019[[#This Row],[Date]]))</f>
        <v>0</v>
      </c>
    </row>
    <row r="586" spans="1:29" x14ac:dyDescent="0.25">
      <c r="A586" s="42"/>
      <c r="B586" s="34" t="s">
        <v>6</v>
      </c>
      <c r="C586" s="34"/>
      <c r="D586" s="35">
        <v>43557</v>
      </c>
      <c r="E586" s="34"/>
      <c r="F586" s="34" t="s">
        <v>270</v>
      </c>
      <c r="G586" s="34" t="s">
        <v>25</v>
      </c>
      <c r="H586" s="36">
        <v>-10.210000000000001</v>
      </c>
      <c r="I586" s="36">
        <f>IF(Log_2019[[#This Row],[My Category]]="NONTRACKED",0,Log_2019[[#This Row],[Raw Amount]])</f>
        <v>-10.210000000000001</v>
      </c>
      <c r="J586" s="37">
        <f>ABS(Log_2019[[#This Row],[Amount]])</f>
        <v>10.210000000000001</v>
      </c>
      <c r="K586" s="38">
        <v>1</v>
      </c>
      <c r="L586" s="38">
        <f ca="1">IF(Log_2019[[#This Row],[Date]]&lt;=TODAY(), MIN(Log_2019[[#This Row],[Split_raw]], TODAY()-Log_2019[[#This Row],[Date]]+1), 0)</f>
        <v>1</v>
      </c>
      <c r="M586" s="34" t="s">
        <v>35</v>
      </c>
      <c r="N586" s="34" t="s">
        <v>158</v>
      </c>
      <c r="O586" s="7">
        <v>0</v>
      </c>
      <c r="P586" s="52">
        <f ca="1">Log_2019[[#This Row],[Amount]]/Log_2019[[#This Row],[Split_raw]]*MAX(0,MIN(_xlfn.DAYS(EDATE(P$1,1),Log_2019[[#This Row],[Date]]),Log_2019[[#This Row],[Split_apply]])) - SUM($O586:O586)</f>
        <v>0</v>
      </c>
      <c r="Q586" s="52">
        <f ca="1">Log_2019[[#This Row],[Amount]]/Log_2019[[#This Row],[Split_raw]]*MAX(0,MIN(_xlfn.DAYS(EDATE(Q$1,1),Log_2019[[#This Row],[Date]]),Log_2019[[#This Row],[Split_apply]])) - SUM($O586:P586)</f>
        <v>0</v>
      </c>
      <c r="R586" s="52">
        <f ca="1">Log_2019[[#This Row],[Amount]]/Log_2019[[#This Row],[Split_raw]]*MAX(0,MIN(_xlfn.DAYS(EDATE(R$1,1),Log_2019[[#This Row],[Date]]),Log_2019[[#This Row],[Split_apply]])) - SUM($O586:Q586)</f>
        <v>0</v>
      </c>
      <c r="S586" s="52">
        <f ca="1">Log_2019[[#This Row],[Amount]]/Log_2019[[#This Row],[Split_raw]]*MAX(0,MIN(_xlfn.DAYS(EDATE(S$1,1),Log_2019[[#This Row],[Date]]),Log_2019[[#This Row],[Split_apply]])) - SUM($O586:R586)</f>
        <v>-10.210000000000001</v>
      </c>
      <c r="T586" s="52">
        <f ca="1">Log_2019[[#This Row],[Amount]]/Log_2019[[#This Row],[Split_raw]]*MAX(0,MIN(_xlfn.DAYS(EDATE(T$1,1),Log_2019[[#This Row],[Date]]),Log_2019[[#This Row],[Split_apply]])) - SUM($O586:S586)</f>
        <v>0</v>
      </c>
      <c r="U586" s="52">
        <f ca="1">Log_2019[[#This Row],[Amount]]/Log_2019[[#This Row],[Split_raw]]*MAX(0,MIN(_xlfn.DAYS(EDATE(U$1,1),Log_2019[[#This Row],[Date]]),Log_2019[[#This Row],[Split_apply]])) - SUM($O586:T586)</f>
        <v>0</v>
      </c>
      <c r="V586" s="52">
        <f ca="1">Log_2019[[#This Row],[Amount]]/Log_2019[[#This Row],[Split_raw]]*MAX(0,MIN(_xlfn.DAYS(EDATE(V$1,1),Log_2019[[#This Row],[Date]]),Log_2019[[#This Row],[Split_apply]])) - SUM($O586:U586)</f>
        <v>0</v>
      </c>
      <c r="W586" s="52">
        <f ca="1">Log_2019[[#This Row],[Amount]]/Log_2019[[#This Row],[Split_raw]]*MAX(0,MIN(_xlfn.DAYS(EDATE(W$1,1),Log_2019[[#This Row],[Date]]),Log_2019[[#This Row],[Split_apply]])) - SUM($O586:V586)</f>
        <v>0</v>
      </c>
      <c r="X586" s="52">
        <f ca="1">Log_2019[[#This Row],[Amount]]/Log_2019[[#This Row],[Split_raw]]*MAX(0,MIN(_xlfn.DAYS(EDATE(X$1,1),Log_2019[[#This Row],[Date]]),Log_2019[[#This Row],[Split_apply]])) - SUM($O586:W586)</f>
        <v>0</v>
      </c>
      <c r="Y586" s="52">
        <f ca="1">Log_2019[[#This Row],[Amount]]/Log_2019[[#This Row],[Split_raw]]*MAX(0,MIN(_xlfn.DAYS(EDATE(Y$1,1),Log_2019[[#This Row],[Date]]),Log_2019[[#This Row],[Split_apply]])) - SUM($O586:X586)</f>
        <v>0</v>
      </c>
      <c r="Z586" s="52">
        <f ca="1">Log_2019[[#This Row],[Amount]]/Log_2019[[#This Row],[Split_raw]]*MAX(0,MIN(_xlfn.DAYS(EDATE(Z$1,1),Log_2019[[#This Row],[Date]]),Log_2019[[#This Row],[Split_apply]])) - SUM($O586:Y586)</f>
        <v>0</v>
      </c>
      <c r="AA586" s="52">
        <f ca="1">Log_2019[[#This Row],[Amount]]/Log_2019[[#This Row],[Split_raw]]*MAX(0,MIN(_xlfn.DAYS(EDATE(AA$1,1),Log_2019[[#This Row],[Date]]),Log_2019[[#This Row],[Split_apply]])) - SUM($O586:Z586)</f>
        <v>0</v>
      </c>
      <c r="AB586" s="54">
        <f ca="1">Log_2019[[#This Row],[Amount]]-SUM(O586:AA586)</f>
        <v>0</v>
      </c>
      <c r="AC586" s="7">
        <f>MAX(0,Log_2019[[#This Row],[Split_raw]] - (EDATE(AA$1,1)-Log_2019[[#This Row],[Date]]))</f>
        <v>0</v>
      </c>
    </row>
    <row r="587" spans="1:29" x14ac:dyDescent="0.25">
      <c r="A587" s="42"/>
      <c r="B587" s="34" t="s">
        <v>6</v>
      </c>
      <c r="C587" s="34"/>
      <c r="D587" s="35">
        <v>43557</v>
      </c>
      <c r="E587" s="34"/>
      <c r="F587" s="34" t="s">
        <v>255</v>
      </c>
      <c r="G587" s="34" t="s">
        <v>25</v>
      </c>
      <c r="H587" s="36">
        <v>-5.8</v>
      </c>
      <c r="I587" s="36">
        <f>IF(Log_2019[[#This Row],[My Category]]="NONTRACKED",0,Log_2019[[#This Row],[Raw Amount]])</f>
        <v>-5.8</v>
      </c>
      <c r="J587" s="37">
        <f>ABS(Log_2019[[#This Row],[Amount]])</f>
        <v>5.8</v>
      </c>
      <c r="K587" s="38">
        <v>1</v>
      </c>
      <c r="L587" s="38">
        <f ca="1">IF(Log_2019[[#This Row],[Date]]&lt;=TODAY(), MIN(Log_2019[[#This Row],[Split_raw]], TODAY()-Log_2019[[#This Row],[Date]]+1), 0)</f>
        <v>1</v>
      </c>
      <c r="M587" s="34" t="s">
        <v>35</v>
      </c>
      <c r="N587" s="34" t="s">
        <v>158</v>
      </c>
      <c r="O587" s="7">
        <v>0</v>
      </c>
      <c r="P587" s="52">
        <f ca="1">Log_2019[[#This Row],[Amount]]/Log_2019[[#This Row],[Split_raw]]*MAX(0,MIN(_xlfn.DAYS(EDATE(P$1,1),Log_2019[[#This Row],[Date]]),Log_2019[[#This Row],[Split_apply]])) - SUM($O587:O587)</f>
        <v>0</v>
      </c>
      <c r="Q587" s="52">
        <f ca="1">Log_2019[[#This Row],[Amount]]/Log_2019[[#This Row],[Split_raw]]*MAX(0,MIN(_xlfn.DAYS(EDATE(Q$1,1),Log_2019[[#This Row],[Date]]),Log_2019[[#This Row],[Split_apply]])) - SUM($O587:P587)</f>
        <v>0</v>
      </c>
      <c r="R587" s="52">
        <f ca="1">Log_2019[[#This Row],[Amount]]/Log_2019[[#This Row],[Split_raw]]*MAX(0,MIN(_xlfn.DAYS(EDATE(R$1,1),Log_2019[[#This Row],[Date]]),Log_2019[[#This Row],[Split_apply]])) - SUM($O587:Q587)</f>
        <v>0</v>
      </c>
      <c r="S587" s="52">
        <f ca="1">Log_2019[[#This Row],[Amount]]/Log_2019[[#This Row],[Split_raw]]*MAX(0,MIN(_xlfn.DAYS(EDATE(S$1,1),Log_2019[[#This Row],[Date]]),Log_2019[[#This Row],[Split_apply]])) - SUM($O587:R587)</f>
        <v>-5.8</v>
      </c>
      <c r="T587" s="52">
        <f ca="1">Log_2019[[#This Row],[Amount]]/Log_2019[[#This Row],[Split_raw]]*MAX(0,MIN(_xlfn.DAYS(EDATE(T$1,1),Log_2019[[#This Row],[Date]]),Log_2019[[#This Row],[Split_apply]])) - SUM($O587:S587)</f>
        <v>0</v>
      </c>
      <c r="U587" s="52">
        <f ca="1">Log_2019[[#This Row],[Amount]]/Log_2019[[#This Row],[Split_raw]]*MAX(0,MIN(_xlfn.DAYS(EDATE(U$1,1),Log_2019[[#This Row],[Date]]),Log_2019[[#This Row],[Split_apply]])) - SUM($O587:T587)</f>
        <v>0</v>
      </c>
      <c r="V587" s="52">
        <f ca="1">Log_2019[[#This Row],[Amount]]/Log_2019[[#This Row],[Split_raw]]*MAX(0,MIN(_xlfn.DAYS(EDATE(V$1,1),Log_2019[[#This Row],[Date]]),Log_2019[[#This Row],[Split_apply]])) - SUM($O587:U587)</f>
        <v>0</v>
      </c>
      <c r="W587" s="52">
        <f ca="1">Log_2019[[#This Row],[Amount]]/Log_2019[[#This Row],[Split_raw]]*MAX(0,MIN(_xlfn.DAYS(EDATE(W$1,1),Log_2019[[#This Row],[Date]]),Log_2019[[#This Row],[Split_apply]])) - SUM($O587:V587)</f>
        <v>0</v>
      </c>
      <c r="X587" s="52">
        <f ca="1">Log_2019[[#This Row],[Amount]]/Log_2019[[#This Row],[Split_raw]]*MAX(0,MIN(_xlfn.DAYS(EDATE(X$1,1),Log_2019[[#This Row],[Date]]),Log_2019[[#This Row],[Split_apply]])) - SUM($O587:W587)</f>
        <v>0</v>
      </c>
      <c r="Y587" s="52">
        <f ca="1">Log_2019[[#This Row],[Amount]]/Log_2019[[#This Row],[Split_raw]]*MAX(0,MIN(_xlfn.DAYS(EDATE(Y$1,1),Log_2019[[#This Row],[Date]]),Log_2019[[#This Row],[Split_apply]])) - SUM($O587:X587)</f>
        <v>0</v>
      </c>
      <c r="Z587" s="52">
        <f ca="1">Log_2019[[#This Row],[Amount]]/Log_2019[[#This Row],[Split_raw]]*MAX(0,MIN(_xlfn.DAYS(EDATE(Z$1,1),Log_2019[[#This Row],[Date]]),Log_2019[[#This Row],[Split_apply]])) - SUM($O587:Y587)</f>
        <v>0</v>
      </c>
      <c r="AA587" s="52">
        <f ca="1">Log_2019[[#This Row],[Amount]]/Log_2019[[#This Row],[Split_raw]]*MAX(0,MIN(_xlfn.DAYS(EDATE(AA$1,1),Log_2019[[#This Row],[Date]]),Log_2019[[#This Row],[Split_apply]])) - SUM($O587:Z587)</f>
        <v>0</v>
      </c>
      <c r="AB587" s="54">
        <f ca="1">Log_2019[[#This Row],[Amount]]-SUM(O587:AA587)</f>
        <v>0</v>
      </c>
      <c r="AC587" s="7">
        <f>MAX(0,Log_2019[[#This Row],[Split_raw]] - (EDATE(AA$1,1)-Log_2019[[#This Row],[Date]]))</f>
        <v>0</v>
      </c>
    </row>
    <row r="588" spans="1:29" x14ac:dyDescent="0.25">
      <c r="A588" s="42"/>
      <c r="B588" s="34" t="s">
        <v>191</v>
      </c>
      <c r="C588" s="34"/>
      <c r="D588" s="35">
        <v>43556</v>
      </c>
      <c r="E588" s="34" t="s">
        <v>1044</v>
      </c>
      <c r="F588" s="34" t="s">
        <v>86</v>
      </c>
      <c r="G588" s="34" t="s">
        <v>87</v>
      </c>
      <c r="H588">
        <v>500</v>
      </c>
      <c r="I588" s="36">
        <f>IF(Log_2019[[#This Row],[My Category]]="NONTRACKED",0,Log_2019[[#This Row],[Raw Amount]])</f>
        <v>500</v>
      </c>
      <c r="J588" s="37">
        <f>ABS(Log_2019[[#This Row],[Amount]])</f>
        <v>500</v>
      </c>
      <c r="K588" s="38">
        <v>1</v>
      </c>
      <c r="L588" s="38">
        <f ca="1">IF(Log_2019[[#This Row],[Date]]&lt;=TODAY(), MIN(Log_2019[[#This Row],[Split_raw]], TODAY()-Log_2019[[#This Row],[Date]]+1), 0)</f>
        <v>1</v>
      </c>
      <c r="M588" s="34" t="s">
        <v>34</v>
      </c>
      <c r="N588" s="34" t="s">
        <v>160</v>
      </c>
      <c r="O588" s="7">
        <v>0</v>
      </c>
      <c r="P588" s="52">
        <f ca="1">Log_2019[[#This Row],[Amount]]/Log_2019[[#This Row],[Split_raw]]*MAX(0,MIN(_xlfn.DAYS(EDATE(P$1,1),Log_2019[[#This Row],[Date]]),Log_2019[[#This Row],[Split_apply]])) - SUM($O588:O588)</f>
        <v>0</v>
      </c>
      <c r="Q588" s="52">
        <f ca="1">Log_2019[[#This Row],[Amount]]/Log_2019[[#This Row],[Split_raw]]*MAX(0,MIN(_xlfn.DAYS(EDATE(Q$1,1),Log_2019[[#This Row],[Date]]),Log_2019[[#This Row],[Split_apply]])) - SUM($O588:P588)</f>
        <v>0</v>
      </c>
      <c r="R588" s="52">
        <f ca="1">Log_2019[[#This Row],[Amount]]/Log_2019[[#This Row],[Split_raw]]*MAX(0,MIN(_xlfn.DAYS(EDATE(R$1,1),Log_2019[[#This Row],[Date]]),Log_2019[[#This Row],[Split_apply]])) - SUM($O588:Q588)</f>
        <v>0</v>
      </c>
      <c r="S588" s="52">
        <f ca="1">Log_2019[[#This Row],[Amount]]/Log_2019[[#This Row],[Split_raw]]*MAX(0,MIN(_xlfn.DAYS(EDATE(S$1,1),Log_2019[[#This Row],[Date]]),Log_2019[[#This Row],[Split_apply]])) - SUM($O588:R588)</f>
        <v>500</v>
      </c>
      <c r="T588" s="52">
        <f ca="1">Log_2019[[#This Row],[Amount]]/Log_2019[[#This Row],[Split_raw]]*MAX(0,MIN(_xlfn.DAYS(EDATE(T$1,1),Log_2019[[#This Row],[Date]]),Log_2019[[#This Row],[Split_apply]])) - SUM($O588:S588)</f>
        <v>0</v>
      </c>
      <c r="U588" s="52">
        <f ca="1">Log_2019[[#This Row],[Amount]]/Log_2019[[#This Row],[Split_raw]]*MAX(0,MIN(_xlfn.DAYS(EDATE(U$1,1),Log_2019[[#This Row],[Date]]),Log_2019[[#This Row],[Split_apply]])) - SUM($O588:T588)</f>
        <v>0</v>
      </c>
      <c r="V588" s="52">
        <f ca="1">Log_2019[[#This Row],[Amount]]/Log_2019[[#This Row],[Split_raw]]*MAX(0,MIN(_xlfn.DAYS(EDATE(V$1,1),Log_2019[[#This Row],[Date]]),Log_2019[[#This Row],[Split_apply]])) - SUM($O588:U588)</f>
        <v>0</v>
      </c>
      <c r="W588" s="52">
        <f ca="1">Log_2019[[#This Row],[Amount]]/Log_2019[[#This Row],[Split_raw]]*MAX(0,MIN(_xlfn.DAYS(EDATE(W$1,1),Log_2019[[#This Row],[Date]]),Log_2019[[#This Row],[Split_apply]])) - SUM($O588:V588)</f>
        <v>0</v>
      </c>
      <c r="X588" s="52">
        <f ca="1">Log_2019[[#This Row],[Amount]]/Log_2019[[#This Row],[Split_raw]]*MAX(0,MIN(_xlfn.DAYS(EDATE(X$1,1),Log_2019[[#This Row],[Date]]),Log_2019[[#This Row],[Split_apply]])) - SUM($O588:W588)</f>
        <v>0</v>
      </c>
      <c r="Y588" s="52">
        <f ca="1">Log_2019[[#This Row],[Amount]]/Log_2019[[#This Row],[Split_raw]]*MAX(0,MIN(_xlfn.DAYS(EDATE(Y$1,1),Log_2019[[#This Row],[Date]]),Log_2019[[#This Row],[Split_apply]])) - SUM($O588:X588)</f>
        <v>0</v>
      </c>
      <c r="Z588" s="52">
        <f ca="1">Log_2019[[#This Row],[Amount]]/Log_2019[[#This Row],[Split_raw]]*MAX(0,MIN(_xlfn.DAYS(EDATE(Z$1,1),Log_2019[[#This Row],[Date]]),Log_2019[[#This Row],[Split_apply]])) - SUM($O588:Y588)</f>
        <v>0</v>
      </c>
      <c r="AA588" s="52">
        <f ca="1">Log_2019[[#This Row],[Amount]]/Log_2019[[#This Row],[Split_raw]]*MAX(0,MIN(_xlfn.DAYS(EDATE(AA$1,1),Log_2019[[#This Row],[Date]]),Log_2019[[#This Row],[Split_apply]])) - SUM($O588:Z588)</f>
        <v>0</v>
      </c>
      <c r="AB588" s="54">
        <f ca="1">Log_2019[[#This Row],[Amount]]-SUM(O588:AA588)</f>
        <v>0</v>
      </c>
      <c r="AC588" s="7">
        <f>MAX(0,Log_2019[[#This Row],[Split_raw]] - (EDATE(AA$1,1)-Log_2019[[#This Row],[Date]]))</f>
        <v>0</v>
      </c>
    </row>
    <row r="589" spans="1:29" x14ac:dyDescent="0.25">
      <c r="A589" s="42"/>
      <c r="B589" t="s">
        <v>191</v>
      </c>
      <c r="C589" s="34"/>
      <c r="D589" s="26">
        <v>43556</v>
      </c>
      <c r="E589" s="34" t="s">
        <v>893</v>
      </c>
      <c r="F589" s="34" t="s">
        <v>527</v>
      </c>
      <c r="G589" s="34" t="s">
        <v>384</v>
      </c>
      <c r="H589">
        <v>-245</v>
      </c>
      <c r="I589" s="36">
        <f>IF(Log_2019[[#This Row],[My Category]]="NONTRACKED",0,Log_2019[[#This Row],[Raw Amount]])</f>
        <v>-245</v>
      </c>
      <c r="J589" s="37">
        <f>ABS(Log_2019[[#This Row],[Amount]])</f>
        <v>245</v>
      </c>
      <c r="K589" s="5">
        <v>274</v>
      </c>
      <c r="L589" s="38">
        <f ca="1">IF(Log_2019[[#This Row],[Date]]&lt;=TODAY(), MIN(Log_2019[[#This Row],[Split_raw]], TODAY()-Log_2019[[#This Row],[Date]]+1), 0)</f>
        <v>274</v>
      </c>
      <c r="M589" s="34" t="s">
        <v>29</v>
      </c>
      <c r="N589" s="34" t="s">
        <v>160</v>
      </c>
      <c r="O589" s="7">
        <v>0</v>
      </c>
      <c r="P589" s="52">
        <f ca="1">Log_2019[[#This Row],[Amount]]/Log_2019[[#This Row],[Split_raw]]*MAX(0,MIN(_xlfn.DAYS(EDATE(P$1,1),Log_2019[[#This Row],[Date]]),Log_2019[[#This Row],[Split_apply]])) - SUM($O589:O589)</f>
        <v>0</v>
      </c>
      <c r="Q589" s="52">
        <f ca="1">Log_2019[[#This Row],[Amount]]/Log_2019[[#This Row],[Split_raw]]*MAX(0,MIN(_xlfn.DAYS(EDATE(Q$1,1),Log_2019[[#This Row],[Date]]),Log_2019[[#This Row],[Split_apply]])) - SUM($O589:P589)</f>
        <v>0</v>
      </c>
      <c r="R589" s="52">
        <f ca="1">Log_2019[[#This Row],[Amount]]/Log_2019[[#This Row],[Split_raw]]*MAX(0,MIN(_xlfn.DAYS(EDATE(R$1,1),Log_2019[[#This Row],[Date]]),Log_2019[[#This Row],[Split_apply]])) - SUM($O589:Q589)</f>
        <v>0</v>
      </c>
      <c r="S589" s="52">
        <f ca="1">Log_2019[[#This Row],[Amount]]/Log_2019[[#This Row],[Split_raw]]*MAX(0,MIN(_xlfn.DAYS(EDATE(S$1,1),Log_2019[[#This Row],[Date]]),Log_2019[[#This Row],[Split_apply]])) - SUM($O589:R589)</f>
        <v>-26.824817518248175</v>
      </c>
      <c r="T589" s="52">
        <f ca="1">Log_2019[[#This Row],[Amount]]/Log_2019[[#This Row],[Split_raw]]*MAX(0,MIN(_xlfn.DAYS(EDATE(T$1,1),Log_2019[[#This Row],[Date]]),Log_2019[[#This Row],[Split_apply]])) - SUM($O589:S589)</f>
        <v>-27.71897810218978</v>
      </c>
      <c r="U589" s="52">
        <f ca="1">Log_2019[[#This Row],[Amount]]/Log_2019[[#This Row],[Split_raw]]*MAX(0,MIN(_xlfn.DAYS(EDATE(U$1,1),Log_2019[[#This Row],[Date]]),Log_2019[[#This Row],[Split_apply]])) - SUM($O589:T589)</f>
        <v>-26.824817518248175</v>
      </c>
      <c r="V589" s="52">
        <f ca="1">Log_2019[[#This Row],[Amount]]/Log_2019[[#This Row],[Split_raw]]*MAX(0,MIN(_xlfn.DAYS(EDATE(V$1,1),Log_2019[[#This Row],[Date]]),Log_2019[[#This Row],[Split_apply]])) - SUM($O589:U589)</f>
        <v>-27.71897810218978</v>
      </c>
      <c r="W589" s="52">
        <f ca="1">Log_2019[[#This Row],[Amount]]/Log_2019[[#This Row],[Split_raw]]*MAX(0,MIN(_xlfn.DAYS(EDATE(W$1,1),Log_2019[[#This Row],[Date]]),Log_2019[[#This Row],[Split_apply]])) - SUM($O589:V589)</f>
        <v>-27.71897810218978</v>
      </c>
      <c r="X589" s="52">
        <f ca="1">Log_2019[[#This Row],[Amount]]/Log_2019[[#This Row],[Split_raw]]*MAX(0,MIN(_xlfn.DAYS(EDATE(X$1,1),Log_2019[[#This Row],[Date]]),Log_2019[[#This Row],[Split_apply]])) - SUM($O589:W589)</f>
        <v>-26.824817518248182</v>
      </c>
      <c r="Y589" s="52">
        <f ca="1">Log_2019[[#This Row],[Amount]]/Log_2019[[#This Row],[Split_raw]]*MAX(0,MIN(_xlfn.DAYS(EDATE(Y$1,1),Log_2019[[#This Row],[Date]]),Log_2019[[#This Row],[Split_apply]])) - SUM($O589:X589)</f>
        <v>-27.718978102189766</v>
      </c>
      <c r="Z589" s="52">
        <f ca="1">Log_2019[[#This Row],[Amount]]/Log_2019[[#This Row],[Split_raw]]*MAX(0,MIN(_xlfn.DAYS(EDATE(Z$1,1),Log_2019[[#This Row],[Date]]),Log_2019[[#This Row],[Split_apply]])) - SUM($O589:Y589)</f>
        <v>-26.824817518248182</v>
      </c>
      <c r="AA589" s="52">
        <f ca="1">Log_2019[[#This Row],[Amount]]/Log_2019[[#This Row],[Split_raw]]*MAX(0,MIN(_xlfn.DAYS(EDATE(AA$1,1),Log_2019[[#This Row],[Date]]),Log_2019[[#This Row],[Split_apply]])) - SUM($O589:Z589)</f>
        <v>-26.824817518248182</v>
      </c>
      <c r="AB589" s="54">
        <f ca="1">Log_2019[[#This Row],[Amount]]-SUM(O589:AA589)</f>
        <v>0</v>
      </c>
      <c r="AC589" s="7">
        <f>MAX(0,Log_2019[[#This Row],[Split_raw]] - (EDATE(AA$1,1)-Log_2019[[#This Row],[Date]]))</f>
        <v>0</v>
      </c>
    </row>
    <row r="590" spans="1:29" x14ac:dyDescent="0.25">
      <c r="A590" s="42"/>
      <c r="B590" s="34" t="s">
        <v>6</v>
      </c>
      <c r="C590" s="34"/>
      <c r="D590" s="35">
        <v>43556</v>
      </c>
      <c r="E590" t="s">
        <v>960</v>
      </c>
      <c r="F590" s="34" t="s">
        <v>568</v>
      </c>
      <c r="G590" s="34" t="s">
        <v>176</v>
      </c>
      <c r="H590" s="36">
        <v>-320</v>
      </c>
      <c r="I590" s="36">
        <f>IF(Log_2019[[#This Row],[My Category]]="NONTRACKED",0,Log_2019[[#This Row],[Raw Amount]])</f>
        <v>-320</v>
      </c>
      <c r="J590" s="37">
        <f>ABS(Log_2019[[#This Row],[Amount]])</f>
        <v>320</v>
      </c>
      <c r="K590" s="5">
        <v>30</v>
      </c>
      <c r="L590" s="38">
        <f ca="1">IF(Log_2019[[#This Row],[Date]]&lt;=TODAY(), MIN(Log_2019[[#This Row],[Split_raw]], TODAY()-Log_2019[[#This Row],[Date]]+1), 0)</f>
        <v>30</v>
      </c>
      <c r="M590" s="34" t="s">
        <v>93</v>
      </c>
      <c r="N590" s="34" t="s">
        <v>160</v>
      </c>
      <c r="O590" s="7">
        <v>0</v>
      </c>
      <c r="P590" s="52">
        <f ca="1">Log_2019[[#This Row],[Amount]]/Log_2019[[#This Row],[Split_raw]]*MAX(0,MIN(_xlfn.DAYS(EDATE(P$1,1),Log_2019[[#This Row],[Date]]),Log_2019[[#This Row],[Split_apply]])) - SUM($O590:O590)</f>
        <v>0</v>
      </c>
      <c r="Q590" s="52">
        <f ca="1">Log_2019[[#This Row],[Amount]]/Log_2019[[#This Row],[Split_raw]]*MAX(0,MIN(_xlfn.DAYS(EDATE(Q$1,1),Log_2019[[#This Row],[Date]]),Log_2019[[#This Row],[Split_apply]])) - SUM($O590:P590)</f>
        <v>0</v>
      </c>
      <c r="R590" s="52">
        <f ca="1">Log_2019[[#This Row],[Amount]]/Log_2019[[#This Row],[Split_raw]]*MAX(0,MIN(_xlfn.DAYS(EDATE(R$1,1),Log_2019[[#This Row],[Date]]),Log_2019[[#This Row],[Split_apply]])) - SUM($O590:Q590)</f>
        <v>0</v>
      </c>
      <c r="S590" s="52">
        <f ca="1">Log_2019[[#This Row],[Amount]]/Log_2019[[#This Row],[Split_raw]]*MAX(0,MIN(_xlfn.DAYS(EDATE(S$1,1),Log_2019[[#This Row],[Date]]),Log_2019[[#This Row],[Split_apply]])) - SUM($O590:R590)</f>
        <v>-320</v>
      </c>
      <c r="T590" s="52">
        <f ca="1">Log_2019[[#This Row],[Amount]]/Log_2019[[#This Row],[Split_raw]]*MAX(0,MIN(_xlfn.DAYS(EDATE(T$1,1),Log_2019[[#This Row],[Date]]),Log_2019[[#This Row],[Split_apply]])) - SUM($O590:S590)</f>
        <v>0</v>
      </c>
      <c r="U590" s="52">
        <f ca="1">Log_2019[[#This Row],[Amount]]/Log_2019[[#This Row],[Split_raw]]*MAX(0,MIN(_xlfn.DAYS(EDATE(U$1,1),Log_2019[[#This Row],[Date]]),Log_2019[[#This Row],[Split_apply]])) - SUM($O590:T590)</f>
        <v>0</v>
      </c>
      <c r="V590" s="52">
        <f ca="1">Log_2019[[#This Row],[Amount]]/Log_2019[[#This Row],[Split_raw]]*MAX(0,MIN(_xlfn.DAYS(EDATE(V$1,1),Log_2019[[#This Row],[Date]]),Log_2019[[#This Row],[Split_apply]])) - SUM($O590:U590)</f>
        <v>0</v>
      </c>
      <c r="W590" s="52">
        <f ca="1">Log_2019[[#This Row],[Amount]]/Log_2019[[#This Row],[Split_raw]]*MAX(0,MIN(_xlfn.DAYS(EDATE(W$1,1),Log_2019[[#This Row],[Date]]),Log_2019[[#This Row],[Split_apply]])) - SUM($O590:V590)</f>
        <v>0</v>
      </c>
      <c r="X590" s="52">
        <f ca="1">Log_2019[[#This Row],[Amount]]/Log_2019[[#This Row],[Split_raw]]*MAX(0,MIN(_xlfn.DAYS(EDATE(X$1,1),Log_2019[[#This Row],[Date]]),Log_2019[[#This Row],[Split_apply]])) - SUM($O590:W590)</f>
        <v>0</v>
      </c>
      <c r="Y590" s="52">
        <f ca="1">Log_2019[[#This Row],[Amount]]/Log_2019[[#This Row],[Split_raw]]*MAX(0,MIN(_xlfn.DAYS(EDATE(Y$1,1),Log_2019[[#This Row],[Date]]),Log_2019[[#This Row],[Split_apply]])) - SUM($O590:X590)</f>
        <v>0</v>
      </c>
      <c r="Z590" s="52">
        <f ca="1">Log_2019[[#This Row],[Amount]]/Log_2019[[#This Row],[Split_raw]]*MAX(0,MIN(_xlfn.DAYS(EDATE(Z$1,1),Log_2019[[#This Row],[Date]]),Log_2019[[#This Row],[Split_apply]])) - SUM($O590:Y590)</f>
        <v>0</v>
      </c>
      <c r="AA590" s="52">
        <f ca="1">Log_2019[[#This Row],[Amount]]/Log_2019[[#This Row],[Split_raw]]*MAX(0,MIN(_xlfn.DAYS(EDATE(AA$1,1),Log_2019[[#This Row],[Date]]),Log_2019[[#This Row],[Split_apply]])) - SUM($O590:Z590)</f>
        <v>0</v>
      </c>
      <c r="AB590" s="54">
        <f ca="1">Log_2019[[#This Row],[Amount]]-SUM(O590:AA590)</f>
        <v>0</v>
      </c>
      <c r="AC590" s="7">
        <f>MAX(0,Log_2019[[#This Row],[Split_raw]] - (EDATE(AA$1,1)-Log_2019[[#This Row],[Date]]))</f>
        <v>0</v>
      </c>
    </row>
    <row r="591" spans="1:29" x14ac:dyDescent="0.25">
      <c r="A591" s="42"/>
      <c r="B591" s="34" t="s">
        <v>6</v>
      </c>
      <c r="C591" s="34"/>
      <c r="D591" s="35">
        <v>43556</v>
      </c>
      <c r="E591" s="34"/>
      <c r="F591" s="34" t="s">
        <v>557</v>
      </c>
      <c r="G591" s="34" t="s">
        <v>203</v>
      </c>
      <c r="H591" s="36">
        <v>-1.05</v>
      </c>
      <c r="I591" s="36">
        <f>IF(Log_2019[[#This Row],[My Category]]="NONTRACKED",0,Log_2019[[#This Row],[Raw Amount]])</f>
        <v>-1.05</v>
      </c>
      <c r="J591" s="37">
        <f>ABS(Log_2019[[#This Row],[Amount]])</f>
        <v>1.05</v>
      </c>
      <c r="K591" s="38">
        <v>1</v>
      </c>
      <c r="L591" s="38">
        <f ca="1">IF(Log_2019[[#This Row],[Date]]&lt;=TODAY(), MIN(Log_2019[[#This Row],[Split_raw]], TODAY()-Log_2019[[#This Row],[Date]]+1), 0)</f>
        <v>1</v>
      </c>
      <c r="M591" s="34" t="s">
        <v>145</v>
      </c>
      <c r="N591" s="34" t="s">
        <v>158</v>
      </c>
      <c r="O591" s="7">
        <v>0</v>
      </c>
      <c r="P591" s="52">
        <f ca="1">Log_2019[[#This Row],[Amount]]/Log_2019[[#This Row],[Split_raw]]*MAX(0,MIN(_xlfn.DAYS(EDATE(P$1,1),Log_2019[[#This Row],[Date]]),Log_2019[[#This Row],[Split_apply]])) - SUM($O591:O591)</f>
        <v>0</v>
      </c>
      <c r="Q591" s="52">
        <f ca="1">Log_2019[[#This Row],[Amount]]/Log_2019[[#This Row],[Split_raw]]*MAX(0,MIN(_xlfn.DAYS(EDATE(Q$1,1),Log_2019[[#This Row],[Date]]),Log_2019[[#This Row],[Split_apply]])) - SUM($O591:P591)</f>
        <v>0</v>
      </c>
      <c r="R591" s="52">
        <f ca="1">Log_2019[[#This Row],[Amount]]/Log_2019[[#This Row],[Split_raw]]*MAX(0,MIN(_xlfn.DAYS(EDATE(R$1,1),Log_2019[[#This Row],[Date]]),Log_2019[[#This Row],[Split_apply]])) - SUM($O591:Q591)</f>
        <v>0</v>
      </c>
      <c r="S591" s="52">
        <f ca="1">Log_2019[[#This Row],[Amount]]/Log_2019[[#This Row],[Split_raw]]*MAX(0,MIN(_xlfn.DAYS(EDATE(S$1,1),Log_2019[[#This Row],[Date]]),Log_2019[[#This Row],[Split_apply]])) - SUM($O591:R591)</f>
        <v>-1.05</v>
      </c>
      <c r="T591" s="52">
        <f ca="1">Log_2019[[#This Row],[Amount]]/Log_2019[[#This Row],[Split_raw]]*MAX(0,MIN(_xlfn.DAYS(EDATE(T$1,1),Log_2019[[#This Row],[Date]]),Log_2019[[#This Row],[Split_apply]])) - SUM($O591:S591)</f>
        <v>0</v>
      </c>
      <c r="U591" s="52">
        <f ca="1">Log_2019[[#This Row],[Amount]]/Log_2019[[#This Row],[Split_raw]]*MAX(0,MIN(_xlfn.DAYS(EDATE(U$1,1),Log_2019[[#This Row],[Date]]),Log_2019[[#This Row],[Split_apply]])) - SUM($O591:T591)</f>
        <v>0</v>
      </c>
      <c r="V591" s="52">
        <f ca="1">Log_2019[[#This Row],[Amount]]/Log_2019[[#This Row],[Split_raw]]*MAX(0,MIN(_xlfn.DAYS(EDATE(V$1,1),Log_2019[[#This Row],[Date]]),Log_2019[[#This Row],[Split_apply]])) - SUM($O591:U591)</f>
        <v>0</v>
      </c>
      <c r="W591" s="52">
        <f ca="1">Log_2019[[#This Row],[Amount]]/Log_2019[[#This Row],[Split_raw]]*MAX(0,MIN(_xlfn.DAYS(EDATE(W$1,1),Log_2019[[#This Row],[Date]]),Log_2019[[#This Row],[Split_apply]])) - SUM($O591:V591)</f>
        <v>0</v>
      </c>
      <c r="X591" s="52">
        <f ca="1">Log_2019[[#This Row],[Amount]]/Log_2019[[#This Row],[Split_raw]]*MAX(0,MIN(_xlfn.DAYS(EDATE(X$1,1),Log_2019[[#This Row],[Date]]),Log_2019[[#This Row],[Split_apply]])) - SUM($O591:W591)</f>
        <v>0</v>
      </c>
      <c r="Y591" s="52">
        <f ca="1">Log_2019[[#This Row],[Amount]]/Log_2019[[#This Row],[Split_raw]]*MAX(0,MIN(_xlfn.DAYS(EDATE(Y$1,1),Log_2019[[#This Row],[Date]]),Log_2019[[#This Row],[Split_apply]])) - SUM($O591:X591)</f>
        <v>0</v>
      </c>
      <c r="Z591" s="52">
        <f ca="1">Log_2019[[#This Row],[Amount]]/Log_2019[[#This Row],[Split_raw]]*MAX(0,MIN(_xlfn.DAYS(EDATE(Z$1,1),Log_2019[[#This Row],[Date]]),Log_2019[[#This Row],[Split_apply]])) - SUM($O591:Y591)</f>
        <v>0</v>
      </c>
      <c r="AA591" s="52">
        <f ca="1">Log_2019[[#This Row],[Amount]]/Log_2019[[#This Row],[Split_raw]]*MAX(0,MIN(_xlfn.DAYS(EDATE(AA$1,1),Log_2019[[#This Row],[Date]]),Log_2019[[#This Row],[Split_apply]])) - SUM($O591:Z591)</f>
        <v>0</v>
      </c>
      <c r="AB591" s="54">
        <f ca="1">Log_2019[[#This Row],[Amount]]-SUM(O591:AA591)</f>
        <v>0</v>
      </c>
      <c r="AC591" s="7">
        <f>MAX(0,Log_2019[[#This Row],[Split_raw]] - (EDATE(AA$1,1)-Log_2019[[#This Row],[Date]]))</f>
        <v>0</v>
      </c>
    </row>
    <row r="592" spans="1:29" x14ac:dyDescent="0.25">
      <c r="A592" s="42"/>
      <c r="B592" s="34" t="s">
        <v>6</v>
      </c>
      <c r="C592" s="34"/>
      <c r="D592" s="35">
        <v>43556</v>
      </c>
      <c r="E592" s="34"/>
      <c r="F592" s="34" t="s">
        <v>553</v>
      </c>
      <c r="G592" s="34" t="s">
        <v>27</v>
      </c>
      <c r="H592" s="36">
        <v>-48.62</v>
      </c>
      <c r="I592" s="36">
        <f>IF(Log_2019[[#This Row],[My Category]]="NONTRACKED",0,Log_2019[[#This Row],[Raw Amount]])</f>
        <v>-48.62</v>
      </c>
      <c r="J592" s="37">
        <f>ABS(Log_2019[[#This Row],[Amount]])</f>
        <v>48.62</v>
      </c>
      <c r="K592" s="38">
        <v>1</v>
      </c>
      <c r="L592" s="38">
        <f ca="1">IF(Log_2019[[#This Row],[Date]]&lt;=TODAY(), MIN(Log_2019[[#This Row],[Split_raw]], TODAY()-Log_2019[[#This Row],[Date]]+1), 0)</f>
        <v>1</v>
      </c>
      <c r="M592" s="34" t="s">
        <v>145</v>
      </c>
      <c r="N592" s="34" t="s">
        <v>158</v>
      </c>
      <c r="O592" s="7">
        <v>0</v>
      </c>
      <c r="P592" s="52">
        <f ca="1">Log_2019[[#This Row],[Amount]]/Log_2019[[#This Row],[Split_raw]]*MAX(0,MIN(_xlfn.DAYS(EDATE(P$1,1),Log_2019[[#This Row],[Date]]),Log_2019[[#This Row],[Split_apply]])) - SUM($O592:O592)</f>
        <v>0</v>
      </c>
      <c r="Q592" s="52">
        <f ca="1">Log_2019[[#This Row],[Amount]]/Log_2019[[#This Row],[Split_raw]]*MAX(0,MIN(_xlfn.DAYS(EDATE(Q$1,1),Log_2019[[#This Row],[Date]]),Log_2019[[#This Row],[Split_apply]])) - SUM($O592:P592)</f>
        <v>0</v>
      </c>
      <c r="R592" s="52">
        <f ca="1">Log_2019[[#This Row],[Amount]]/Log_2019[[#This Row],[Split_raw]]*MAX(0,MIN(_xlfn.DAYS(EDATE(R$1,1),Log_2019[[#This Row],[Date]]),Log_2019[[#This Row],[Split_apply]])) - SUM($O592:Q592)</f>
        <v>0</v>
      </c>
      <c r="S592" s="52">
        <f ca="1">Log_2019[[#This Row],[Amount]]/Log_2019[[#This Row],[Split_raw]]*MAX(0,MIN(_xlfn.DAYS(EDATE(S$1,1),Log_2019[[#This Row],[Date]]),Log_2019[[#This Row],[Split_apply]])) - SUM($O592:R592)</f>
        <v>-48.62</v>
      </c>
      <c r="T592" s="52">
        <f ca="1">Log_2019[[#This Row],[Amount]]/Log_2019[[#This Row],[Split_raw]]*MAX(0,MIN(_xlfn.DAYS(EDATE(T$1,1),Log_2019[[#This Row],[Date]]),Log_2019[[#This Row],[Split_apply]])) - SUM($O592:S592)</f>
        <v>0</v>
      </c>
      <c r="U592" s="52">
        <f ca="1">Log_2019[[#This Row],[Amount]]/Log_2019[[#This Row],[Split_raw]]*MAX(0,MIN(_xlfn.DAYS(EDATE(U$1,1),Log_2019[[#This Row],[Date]]),Log_2019[[#This Row],[Split_apply]])) - SUM($O592:T592)</f>
        <v>0</v>
      </c>
      <c r="V592" s="52">
        <f ca="1">Log_2019[[#This Row],[Amount]]/Log_2019[[#This Row],[Split_raw]]*MAX(0,MIN(_xlfn.DAYS(EDATE(V$1,1),Log_2019[[#This Row],[Date]]),Log_2019[[#This Row],[Split_apply]])) - SUM($O592:U592)</f>
        <v>0</v>
      </c>
      <c r="W592" s="52">
        <f ca="1">Log_2019[[#This Row],[Amount]]/Log_2019[[#This Row],[Split_raw]]*MAX(0,MIN(_xlfn.DAYS(EDATE(W$1,1),Log_2019[[#This Row],[Date]]),Log_2019[[#This Row],[Split_apply]])) - SUM($O592:V592)</f>
        <v>0</v>
      </c>
      <c r="X592" s="52">
        <f ca="1">Log_2019[[#This Row],[Amount]]/Log_2019[[#This Row],[Split_raw]]*MAX(0,MIN(_xlfn.DAYS(EDATE(X$1,1),Log_2019[[#This Row],[Date]]),Log_2019[[#This Row],[Split_apply]])) - SUM($O592:W592)</f>
        <v>0</v>
      </c>
      <c r="Y592" s="52">
        <f ca="1">Log_2019[[#This Row],[Amount]]/Log_2019[[#This Row],[Split_raw]]*MAX(0,MIN(_xlfn.DAYS(EDATE(Y$1,1),Log_2019[[#This Row],[Date]]),Log_2019[[#This Row],[Split_apply]])) - SUM($O592:X592)</f>
        <v>0</v>
      </c>
      <c r="Z592" s="52">
        <f ca="1">Log_2019[[#This Row],[Amount]]/Log_2019[[#This Row],[Split_raw]]*MAX(0,MIN(_xlfn.DAYS(EDATE(Z$1,1),Log_2019[[#This Row],[Date]]),Log_2019[[#This Row],[Split_apply]])) - SUM($O592:Y592)</f>
        <v>0</v>
      </c>
      <c r="AA592" s="52">
        <f ca="1">Log_2019[[#This Row],[Amount]]/Log_2019[[#This Row],[Split_raw]]*MAX(0,MIN(_xlfn.DAYS(EDATE(AA$1,1),Log_2019[[#This Row],[Date]]),Log_2019[[#This Row],[Split_apply]])) - SUM($O592:Z592)</f>
        <v>0</v>
      </c>
      <c r="AB592" s="54">
        <f ca="1">Log_2019[[#This Row],[Amount]]-SUM(O592:AA592)</f>
        <v>0</v>
      </c>
      <c r="AC592" s="7">
        <f>MAX(0,Log_2019[[#This Row],[Split_raw]] - (EDATE(AA$1,1)-Log_2019[[#This Row],[Date]]))</f>
        <v>0</v>
      </c>
    </row>
    <row r="593" spans="1:29" x14ac:dyDescent="0.25">
      <c r="A593" s="42"/>
      <c r="B593" s="34" t="s">
        <v>6</v>
      </c>
      <c r="C593" s="34"/>
      <c r="D593" s="35">
        <v>43556</v>
      </c>
      <c r="E593" s="34" t="s">
        <v>572</v>
      </c>
      <c r="F593" s="34" t="s">
        <v>456</v>
      </c>
      <c r="G593" s="34" t="s">
        <v>27</v>
      </c>
      <c r="H593" s="36">
        <v>-9.81</v>
      </c>
      <c r="I593" s="36">
        <f>IF(Log_2019[[#This Row],[My Category]]="NONTRACKED",0,Log_2019[[#This Row],[Raw Amount]])</f>
        <v>-9.81</v>
      </c>
      <c r="J593" s="37">
        <f>ABS(Log_2019[[#This Row],[Amount]])</f>
        <v>9.81</v>
      </c>
      <c r="K593" s="38">
        <v>1</v>
      </c>
      <c r="L593" s="38">
        <f ca="1">IF(Log_2019[[#This Row],[Date]]&lt;=TODAY(), MIN(Log_2019[[#This Row],[Split_raw]], TODAY()-Log_2019[[#This Row],[Date]]+1), 0)</f>
        <v>1</v>
      </c>
      <c r="M593" s="34" t="s">
        <v>145</v>
      </c>
      <c r="N593" s="34" t="s">
        <v>160</v>
      </c>
      <c r="O593" s="7">
        <v>0</v>
      </c>
      <c r="P593" s="52">
        <f ca="1">Log_2019[[#This Row],[Amount]]/Log_2019[[#This Row],[Split_raw]]*MAX(0,MIN(_xlfn.DAYS(EDATE(P$1,1),Log_2019[[#This Row],[Date]]),Log_2019[[#This Row],[Split_apply]])) - SUM($O593:O593)</f>
        <v>0</v>
      </c>
      <c r="Q593" s="52">
        <f ca="1">Log_2019[[#This Row],[Amount]]/Log_2019[[#This Row],[Split_raw]]*MAX(0,MIN(_xlfn.DAYS(EDATE(Q$1,1),Log_2019[[#This Row],[Date]]),Log_2019[[#This Row],[Split_apply]])) - SUM($O593:P593)</f>
        <v>0</v>
      </c>
      <c r="R593" s="52">
        <f ca="1">Log_2019[[#This Row],[Amount]]/Log_2019[[#This Row],[Split_raw]]*MAX(0,MIN(_xlfn.DAYS(EDATE(R$1,1),Log_2019[[#This Row],[Date]]),Log_2019[[#This Row],[Split_apply]])) - SUM($O593:Q593)</f>
        <v>0</v>
      </c>
      <c r="S593" s="52">
        <f ca="1">Log_2019[[#This Row],[Amount]]/Log_2019[[#This Row],[Split_raw]]*MAX(0,MIN(_xlfn.DAYS(EDATE(S$1,1),Log_2019[[#This Row],[Date]]),Log_2019[[#This Row],[Split_apply]])) - SUM($O593:R593)</f>
        <v>-9.81</v>
      </c>
      <c r="T593" s="52">
        <f ca="1">Log_2019[[#This Row],[Amount]]/Log_2019[[#This Row],[Split_raw]]*MAX(0,MIN(_xlfn.DAYS(EDATE(T$1,1),Log_2019[[#This Row],[Date]]),Log_2019[[#This Row],[Split_apply]])) - SUM($O593:S593)</f>
        <v>0</v>
      </c>
      <c r="U593" s="52">
        <f ca="1">Log_2019[[#This Row],[Amount]]/Log_2019[[#This Row],[Split_raw]]*MAX(0,MIN(_xlfn.DAYS(EDATE(U$1,1),Log_2019[[#This Row],[Date]]),Log_2019[[#This Row],[Split_apply]])) - SUM($O593:T593)</f>
        <v>0</v>
      </c>
      <c r="V593" s="52">
        <f ca="1">Log_2019[[#This Row],[Amount]]/Log_2019[[#This Row],[Split_raw]]*MAX(0,MIN(_xlfn.DAYS(EDATE(V$1,1),Log_2019[[#This Row],[Date]]),Log_2019[[#This Row],[Split_apply]])) - SUM($O593:U593)</f>
        <v>0</v>
      </c>
      <c r="W593" s="52">
        <f ca="1">Log_2019[[#This Row],[Amount]]/Log_2019[[#This Row],[Split_raw]]*MAX(0,MIN(_xlfn.DAYS(EDATE(W$1,1),Log_2019[[#This Row],[Date]]),Log_2019[[#This Row],[Split_apply]])) - SUM($O593:V593)</f>
        <v>0</v>
      </c>
      <c r="X593" s="52">
        <f ca="1">Log_2019[[#This Row],[Amount]]/Log_2019[[#This Row],[Split_raw]]*MAX(0,MIN(_xlfn.DAYS(EDATE(X$1,1),Log_2019[[#This Row],[Date]]),Log_2019[[#This Row],[Split_apply]])) - SUM($O593:W593)</f>
        <v>0</v>
      </c>
      <c r="Y593" s="52">
        <f ca="1">Log_2019[[#This Row],[Amount]]/Log_2019[[#This Row],[Split_raw]]*MAX(0,MIN(_xlfn.DAYS(EDATE(Y$1,1),Log_2019[[#This Row],[Date]]),Log_2019[[#This Row],[Split_apply]])) - SUM($O593:X593)</f>
        <v>0</v>
      </c>
      <c r="Z593" s="52">
        <f ca="1">Log_2019[[#This Row],[Amount]]/Log_2019[[#This Row],[Split_raw]]*MAX(0,MIN(_xlfn.DAYS(EDATE(Z$1,1),Log_2019[[#This Row],[Date]]),Log_2019[[#This Row],[Split_apply]])) - SUM($O593:Y593)</f>
        <v>0</v>
      </c>
      <c r="AA593" s="52">
        <f ca="1">Log_2019[[#This Row],[Amount]]/Log_2019[[#This Row],[Split_raw]]*MAX(0,MIN(_xlfn.DAYS(EDATE(AA$1,1),Log_2019[[#This Row],[Date]]),Log_2019[[#This Row],[Split_apply]])) - SUM($O593:Z593)</f>
        <v>0</v>
      </c>
      <c r="AB593" s="54">
        <f ca="1">Log_2019[[#This Row],[Amount]]-SUM(O593:AA593)</f>
        <v>0</v>
      </c>
      <c r="AC593" s="7">
        <f>MAX(0,Log_2019[[#This Row],[Split_raw]] - (EDATE(AA$1,1)-Log_2019[[#This Row],[Date]]))</f>
        <v>0</v>
      </c>
    </row>
    <row r="594" spans="1:29" x14ac:dyDescent="0.25">
      <c r="A594" s="42"/>
      <c r="B594" s="34" t="s">
        <v>6</v>
      </c>
      <c r="C594" s="34"/>
      <c r="D594" s="35">
        <v>43556</v>
      </c>
      <c r="E594" s="34" t="s">
        <v>572</v>
      </c>
      <c r="F594" s="34" t="s">
        <v>456</v>
      </c>
      <c r="G594" s="34" t="s">
        <v>27</v>
      </c>
      <c r="H594" s="36">
        <v>-8.56</v>
      </c>
      <c r="I594" s="36">
        <f>IF(Log_2019[[#This Row],[My Category]]="NONTRACKED",0,Log_2019[[#This Row],[Raw Amount]])</f>
        <v>-8.56</v>
      </c>
      <c r="J594" s="37">
        <f>ABS(Log_2019[[#This Row],[Amount]])</f>
        <v>8.56</v>
      </c>
      <c r="K594" s="38">
        <v>1</v>
      </c>
      <c r="L594" s="38">
        <f ca="1">IF(Log_2019[[#This Row],[Date]]&lt;=TODAY(), MIN(Log_2019[[#This Row],[Split_raw]], TODAY()-Log_2019[[#This Row],[Date]]+1), 0)</f>
        <v>1</v>
      </c>
      <c r="M594" s="34" t="s">
        <v>145</v>
      </c>
      <c r="N594" s="34" t="s">
        <v>160</v>
      </c>
      <c r="O594" s="7">
        <v>0</v>
      </c>
      <c r="P594" s="52">
        <f ca="1">Log_2019[[#This Row],[Amount]]/Log_2019[[#This Row],[Split_raw]]*MAX(0,MIN(_xlfn.DAYS(EDATE(P$1,1),Log_2019[[#This Row],[Date]]),Log_2019[[#This Row],[Split_apply]])) - SUM($O594:O594)</f>
        <v>0</v>
      </c>
      <c r="Q594" s="52">
        <f ca="1">Log_2019[[#This Row],[Amount]]/Log_2019[[#This Row],[Split_raw]]*MAX(0,MIN(_xlfn.DAYS(EDATE(Q$1,1),Log_2019[[#This Row],[Date]]),Log_2019[[#This Row],[Split_apply]])) - SUM($O594:P594)</f>
        <v>0</v>
      </c>
      <c r="R594" s="52">
        <f ca="1">Log_2019[[#This Row],[Amount]]/Log_2019[[#This Row],[Split_raw]]*MAX(0,MIN(_xlfn.DAYS(EDATE(R$1,1),Log_2019[[#This Row],[Date]]),Log_2019[[#This Row],[Split_apply]])) - SUM($O594:Q594)</f>
        <v>0</v>
      </c>
      <c r="S594" s="52">
        <f ca="1">Log_2019[[#This Row],[Amount]]/Log_2019[[#This Row],[Split_raw]]*MAX(0,MIN(_xlfn.DAYS(EDATE(S$1,1),Log_2019[[#This Row],[Date]]),Log_2019[[#This Row],[Split_apply]])) - SUM($O594:R594)</f>
        <v>-8.56</v>
      </c>
      <c r="T594" s="52">
        <f ca="1">Log_2019[[#This Row],[Amount]]/Log_2019[[#This Row],[Split_raw]]*MAX(0,MIN(_xlfn.DAYS(EDATE(T$1,1),Log_2019[[#This Row],[Date]]),Log_2019[[#This Row],[Split_apply]])) - SUM($O594:S594)</f>
        <v>0</v>
      </c>
      <c r="U594" s="52">
        <f ca="1">Log_2019[[#This Row],[Amount]]/Log_2019[[#This Row],[Split_raw]]*MAX(0,MIN(_xlfn.DAYS(EDATE(U$1,1),Log_2019[[#This Row],[Date]]),Log_2019[[#This Row],[Split_apply]])) - SUM($O594:T594)</f>
        <v>0</v>
      </c>
      <c r="V594" s="52">
        <f ca="1">Log_2019[[#This Row],[Amount]]/Log_2019[[#This Row],[Split_raw]]*MAX(0,MIN(_xlfn.DAYS(EDATE(V$1,1),Log_2019[[#This Row],[Date]]),Log_2019[[#This Row],[Split_apply]])) - SUM($O594:U594)</f>
        <v>0</v>
      </c>
      <c r="W594" s="52">
        <f ca="1">Log_2019[[#This Row],[Amount]]/Log_2019[[#This Row],[Split_raw]]*MAX(0,MIN(_xlfn.DAYS(EDATE(W$1,1),Log_2019[[#This Row],[Date]]),Log_2019[[#This Row],[Split_apply]])) - SUM($O594:V594)</f>
        <v>0</v>
      </c>
      <c r="X594" s="52">
        <f ca="1">Log_2019[[#This Row],[Amount]]/Log_2019[[#This Row],[Split_raw]]*MAX(0,MIN(_xlfn.DAYS(EDATE(X$1,1),Log_2019[[#This Row],[Date]]),Log_2019[[#This Row],[Split_apply]])) - SUM($O594:W594)</f>
        <v>0</v>
      </c>
      <c r="Y594" s="52">
        <f ca="1">Log_2019[[#This Row],[Amount]]/Log_2019[[#This Row],[Split_raw]]*MAX(0,MIN(_xlfn.DAYS(EDATE(Y$1,1),Log_2019[[#This Row],[Date]]),Log_2019[[#This Row],[Split_apply]])) - SUM($O594:X594)</f>
        <v>0</v>
      </c>
      <c r="Z594" s="52">
        <f ca="1">Log_2019[[#This Row],[Amount]]/Log_2019[[#This Row],[Split_raw]]*MAX(0,MIN(_xlfn.DAYS(EDATE(Z$1,1),Log_2019[[#This Row],[Date]]),Log_2019[[#This Row],[Split_apply]])) - SUM($O594:Y594)</f>
        <v>0</v>
      </c>
      <c r="AA594" s="52">
        <f ca="1">Log_2019[[#This Row],[Amount]]/Log_2019[[#This Row],[Split_raw]]*MAX(0,MIN(_xlfn.DAYS(EDATE(AA$1,1),Log_2019[[#This Row],[Date]]),Log_2019[[#This Row],[Split_apply]])) - SUM($O594:Z594)</f>
        <v>0</v>
      </c>
      <c r="AB594" s="54">
        <f ca="1">Log_2019[[#This Row],[Amount]]-SUM(O594:AA594)</f>
        <v>0</v>
      </c>
      <c r="AC594" s="7">
        <f>MAX(0,Log_2019[[#This Row],[Split_raw]] - (EDATE(AA$1,1)-Log_2019[[#This Row],[Date]]))</f>
        <v>0</v>
      </c>
    </row>
    <row r="595" spans="1:29" x14ac:dyDescent="0.25">
      <c r="A595" s="42"/>
      <c r="B595" s="34" t="s">
        <v>191</v>
      </c>
      <c r="C595" s="34"/>
      <c r="D595" s="35">
        <v>43556</v>
      </c>
      <c r="E595" s="34" t="s">
        <v>1017</v>
      </c>
      <c r="F595" t="s">
        <v>527</v>
      </c>
      <c r="G595" t="s">
        <v>20</v>
      </c>
      <c r="H595" s="3">
        <v>-1600</v>
      </c>
      <c r="I595" s="36">
        <f>IF(Log_2019[[#This Row],[My Category]]="NONTRACKED",0,Log_2019[[#This Row],[Raw Amount]])</f>
        <v>-1600</v>
      </c>
      <c r="J595" s="37">
        <f>ABS(Log_2019[[#This Row],[Amount]])</f>
        <v>1600</v>
      </c>
      <c r="K595" s="38">
        <v>30</v>
      </c>
      <c r="L595" s="38">
        <f ca="1">IF(Log_2019[[#This Row],[Date]]&lt;=TODAY(), MIN(Log_2019[[#This Row],[Split_raw]], TODAY()-Log_2019[[#This Row],[Date]]+1), 0)</f>
        <v>30</v>
      </c>
      <c r="M595" s="34" t="s">
        <v>28</v>
      </c>
      <c r="N595" t="s">
        <v>160</v>
      </c>
      <c r="O595" s="7">
        <v>0</v>
      </c>
      <c r="P595" s="52">
        <f ca="1">Log_2019[[#This Row],[Amount]]/Log_2019[[#This Row],[Split_raw]]*MAX(0,MIN(_xlfn.DAYS(EDATE(P$1,1),Log_2019[[#This Row],[Date]]),Log_2019[[#This Row],[Split_apply]])) - SUM($O595:O595)</f>
        <v>0</v>
      </c>
      <c r="Q595" s="52">
        <f ca="1">Log_2019[[#This Row],[Amount]]/Log_2019[[#This Row],[Split_raw]]*MAX(0,MIN(_xlfn.DAYS(EDATE(Q$1,1),Log_2019[[#This Row],[Date]]),Log_2019[[#This Row],[Split_apply]])) - SUM($O595:P595)</f>
        <v>0</v>
      </c>
      <c r="R595" s="52">
        <f ca="1">Log_2019[[#This Row],[Amount]]/Log_2019[[#This Row],[Split_raw]]*MAX(0,MIN(_xlfn.DAYS(EDATE(R$1,1),Log_2019[[#This Row],[Date]]),Log_2019[[#This Row],[Split_apply]])) - SUM($O595:Q595)</f>
        <v>0</v>
      </c>
      <c r="S595" s="52">
        <f ca="1">Log_2019[[#This Row],[Amount]]/Log_2019[[#This Row],[Split_raw]]*MAX(0,MIN(_xlfn.DAYS(EDATE(S$1,1),Log_2019[[#This Row],[Date]]),Log_2019[[#This Row],[Split_apply]])) - SUM($O595:R595)</f>
        <v>-1600</v>
      </c>
      <c r="T595" s="52">
        <f ca="1">Log_2019[[#This Row],[Amount]]/Log_2019[[#This Row],[Split_raw]]*MAX(0,MIN(_xlfn.DAYS(EDATE(T$1,1),Log_2019[[#This Row],[Date]]),Log_2019[[#This Row],[Split_apply]])) - SUM($O595:S595)</f>
        <v>0</v>
      </c>
      <c r="U595" s="52">
        <f ca="1">Log_2019[[#This Row],[Amount]]/Log_2019[[#This Row],[Split_raw]]*MAX(0,MIN(_xlfn.DAYS(EDATE(U$1,1),Log_2019[[#This Row],[Date]]),Log_2019[[#This Row],[Split_apply]])) - SUM($O595:T595)</f>
        <v>0</v>
      </c>
      <c r="V595" s="52">
        <f ca="1">Log_2019[[#This Row],[Amount]]/Log_2019[[#This Row],[Split_raw]]*MAX(0,MIN(_xlfn.DAYS(EDATE(V$1,1),Log_2019[[#This Row],[Date]]),Log_2019[[#This Row],[Split_apply]])) - SUM($O595:U595)</f>
        <v>0</v>
      </c>
      <c r="W595" s="52">
        <f ca="1">Log_2019[[#This Row],[Amount]]/Log_2019[[#This Row],[Split_raw]]*MAX(0,MIN(_xlfn.DAYS(EDATE(W$1,1),Log_2019[[#This Row],[Date]]),Log_2019[[#This Row],[Split_apply]])) - SUM($O595:V595)</f>
        <v>0</v>
      </c>
      <c r="X595" s="52">
        <f ca="1">Log_2019[[#This Row],[Amount]]/Log_2019[[#This Row],[Split_raw]]*MAX(0,MIN(_xlfn.DAYS(EDATE(X$1,1),Log_2019[[#This Row],[Date]]),Log_2019[[#This Row],[Split_apply]])) - SUM($O595:W595)</f>
        <v>0</v>
      </c>
      <c r="Y595" s="52">
        <f ca="1">Log_2019[[#This Row],[Amount]]/Log_2019[[#This Row],[Split_raw]]*MAX(0,MIN(_xlfn.DAYS(EDATE(Y$1,1),Log_2019[[#This Row],[Date]]),Log_2019[[#This Row],[Split_apply]])) - SUM($O595:X595)</f>
        <v>0</v>
      </c>
      <c r="Z595" s="52">
        <f ca="1">Log_2019[[#This Row],[Amount]]/Log_2019[[#This Row],[Split_raw]]*MAX(0,MIN(_xlfn.DAYS(EDATE(Z$1,1),Log_2019[[#This Row],[Date]]),Log_2019[[#This Row],[Split_apply]])) - SUM($O595:Y595)</f>
        <v>0</v>
      </c>
      <c r="AA595" s="52">
        <f ca="1">Log_2019[[#This Row],[Amount]]/Log_2019[[#This Row],[Split_raw]]*MAX(0,MIN(_xlfn.DAYS(EDATE(AA$1,1),Log_2019[[#This Row],[Date]]),Log_2019[[#This Row],[Split_apply]])) - SUM($O595:Z595)</f>
        <v>0</v>
      </c>
      <c r="AB595" s="54">
        <f ca="1">Log_2019[[#This Row],[Amount]]-SUM(O595:AA595)</f>
        <v>0</v>
      </c>
      <c r="AC595" s="74">
        <f>MAX(0,Log_2019[[#This Row],[Split_raw]] - (EDATE(AA$1,1)-Log_2019[[#This Row],[Date]]))</f>
        <v>0</v>
      </c>
    </row>
    <row r="596" spans="1:29" x14ac:dyDescent="0.25">
      <c r="A596" s="42"/>
      <c r="B596" s="34" t="s">
        <v>191</v>
      </c>
      <c r="C596" s="34"/>
      <c r="D596" s="35">
        <v>43556</v>
      </c>
      <c r="E596" s="34" t="s">
        <v>1018</v>
      </c>
      <c r="F596" t="s">
        <v>527</v>
      </c>
      <c r="G596" t="s">
        <v>20</v>
      </c>
      <c r="H596" s="3">
        <v>-1600</v>
      </c>
      <c r="I596" s="36">
        <f>IF(Log_2019[[#This Row],[My Category]]="NONTRACKED",0,Log_2019[[#This Row],[Raw Amount]])</f>
        <v>-1600</v>
      </c>
      <c r="J596" s="37">
        <f>ABS(Log_2019[[#This Row],[Amount]])</f>
        <v>1600</v>
      </c>
      <c r="K596" s="38">
        <v>1</v>
      </c>
      <c r="L596" s="38">
        <f ca="1">IF(Log_2019[[#This Row],[Date]]&lt;=TODAY(), MIN(Log_2019[[#This Row],[Split_raw]], TODAY()-Log_2019[[#This Row],[Date]]+1), 0)</f>
        <v>1</v>
      </c>
      <c r="M596" s="34" t="s">
        <v>34</v>
      </c>
      <c r="N596" t="s">
        <v>160</v>
      </c>
      <c r="O596" s="7">
        <v>0</v>
      </c>
      <c r="P596" s="52">
        <f ca="1">Log_2019[[#This Row],[Amount]]/Log_2019[[#This Row],[Split_raw]]*MAX(0,MIN(_xlfn.DAYS(EDATE(P$1,1),Log_2019[[#This Row],[Date]]),Log_2019[[#This Row],[Split_apply]])) - SUM($O596:O596)</f>
        <v>0</v>
      </c>
      <c r="Q596" s="52">
        <f ca="1">Log_2019[[#This Row],[Amount]]/Log_2019[[#This Row],[Split_raw]]*MAX(0,MIN(_xlfn.DAYS(EDATE(Q$1,1),Log_2019[[#This Row],[Date]]),Log_2019[[#This Row],[Split_apply]])) - SUM($O596:P596)</f>
        <v>0</v>
      </c>
      <c r="R596" s="52">
        <f ca="1">Log_2019[[#This Row],[Amount]]/Log_2019[[#This Row],[Split_raw]]*MAX(0,MIN(_xlfn.DAYS(EDATE(R$1,1),Log_2019[[#This Row],[Date]]),Log_2019[[#This Row],[Split_apply]])) - SUM($O596:Q596)</f>
        <v>0</v>
      </c>
      <c r="S596" s="52">
        <f ca="1">Log_2019[[#This Row],[Amount]]/Log_2019[[#This Row],[Split_raw]]*MAX(0,MIN(_xlfn.DAYS(EDATE(S$1,1),Log_2019[[#This Row],[Date]]),Log_2019[[#This Row],[Split_apply]])) - SUM($O596:R596)</f>
        <v>-1600</v>
      </c>
      <c r="T596" s="52">
        <f ca="1">Log_2019[[#This Row],[Amount]]/Log_2019[[#This Row],[Split_raw]]*MAX(0,MIN(_xlfn.DAYS(EDATE(T$1,1),Log_2019[[#This Row],[Date]]),Log_2019[[#This Row],[Split_apply]])) - SUM($O596:S596)</f>
        <v>0</v>
      </c>
      <c r="U596" s="52">
        <f ca="1">Log_2019[[#This Row],[Amount]]/Log_2019[[#This Row],[Split_raw]]*MAX(0,MIN(_xlfn.DAYS(EDATE(U$1,1),Log_2019[[#This Row],[Date]]),Log_2019[[#This Row],[Split_apply]])) - SUM($O596:T596)</f>
        <v>0</v>
      </c>
      <c r="V596" s="52">
        <f ca="1">Log_2019[[#This Row],[Amount]]/Log_2019[[#This Row],[Split_raw]]*MAX(0,MIN(_xlfn.DAYS(EDATE(V$1,1),Log_2019[[#This Row],[Date]]),Log_2019[[#This Row],[Split_apply]])) - SUM($O596:U596)</f>
        <v>0</v>
      </c>
      <c r="W596" s="52">
        <f ca="1">Log_2019[[#This Row],[Amount]]/Log_2019[[#This Row],[Split_raw]]*MAX(0,MIN(_xlfn.DAYS(EDATE(W$1,1),Log_2019[[#This Row],[Date]]),Log_2019[[#This Row],[Split_apply]])) - SUM($O596:V596)</f>
        <v>0</v>
      </c>
      <c r="X596" s="52">
        <f ca="1">Log_2019[[#This Row],[Amount]]/Log_2019[[#This Row],[Split_raw]]*MAX(0,MIN(_xlfn.DAYS(EDATE(X$1,1),Log_2019[[#This Row],[Date]]),Log_2019[[#This Row],[Split_apply]])) - SUM($O596:W596)</f>
        <v>0</v>
      </c>
      <c r="Y596" s="52">
        <f ca="1">Log_2019[[#This Row],[Amount]]/Log_2019[[#This Row],[Split_raw]]*MAX(0,MIN(_xlfn.DAYS(EDATE(Y$1,1),Log_2019[[#This Row],[Date]]),Log_2019[[#This Row],[Split_apply]])) - SUM($O596:X596)</f>
        <v>0</v>
      </c>
      <c r="Z596" s="52">
        <f ca="1">Log_2019[[#This Row],[Amount]]/Log_2019[[#This Row],[Split_raw]]*MAX(0,MIN(_xlfn.DAYS(EDATE(Z$1,1),Log_2019[[#This Row],[Date]]),Log_2019[[#This Row],[Split_apply]])) - SUM($O596:Y596)</f>
        <v>0</v>
      </c>
      <c r="AA596" s="52">
        <f ca="1">Log_2019[[#This Row],[Amount]]/Log_2019[[#This Row],[Split_raw]]*MAX(0,MIN(_xlfn.DAYS(EDATE(AA$1,1),Log_2019[[#This Row],[Date]]),Log_2019[[#This Row],[Split_apply]])) - SUM($O596:Z596)</f>
        <v>0</v>
      </c>
      <c r="AB596" s="54">
        <f ca="1">Log_2019[[#This Row],[Amount]]-SUM(O596:AA596)</f>
        <v>0</v>
      </c>
      <c r="AC596" s="74">
        <f>MAX(0,Log_2019[[#This Row],[Split_raw]] - (EDATE(AA$1,1)-Log_2019[[#This Row],[Date]]))</f>
        <v>0</v>
      </c>
    </row>
    <row r="597" spans="1:29" x14ac:dyDescent="0.25">
      <c r="A597" s="42"/>
      <c r="B597" s="34" t="s">
        <v>6</v>
      </c>
      <c r="C597" s="34"/>
      <c r="D597" s="35">
        <v>43555</v>
      </c>
      <c r="E597" s="34"/>
      <c r="F597" s="34" t="s">
        <v>558</v>
      </c>
      <c r="G597" s="34" t="s">
        <v>8</v>
      </c>
      <c r="H597" s="36">
        <v>-47.79</v>
      </c>
      <c r="I597" s="36">
        <f>IF(Log_2019[[#This Row],[My Category]]="NONTRACKED",0,Log_2019[[#This Row],[Raw Amount]])</f>
        <v>-47.79</v>
      </c>
      <c r="J597" s="37">
        <f>ABS(Log_2019[[#This Row],[Amount]])</f>
        <v>47.79</v>
      </c>
      <c r="K597" s="38">
        <v>1</v>
      </c>
      <c r="L597" s="38">
        <f ca="1">IF(Log_2019[[#This Row],[Date]]&lt;=TODAY(), MIN(Log_2019[[#This Row],[Split_raw]], TODAY()-Log_2019[[#This Row],[Date]]+1), 0)</f>
        <v>1</v>
      </c>
      <c r="M597" s="34" t="s">
        <v>145</v>
      </c>
      <c r="N597" s="34" t="s">
        <v>158</v>
      </c>
      <c r="O597" s="7">
        <v>0</v>
      </c>
      <c r="P597" s="52">
        <f ca="1">Log_2019[[#This Row],[Amount]]/Log_2019[[#This Row],[Split_raw]]*MAX(0,MIN(_xlfn.DAYS(EDATE(P$1,1),Log_2019[[#This Row],[Date]]),Log_2019[[#This Row],[Split_apply]])) - SUM($O597:O597)</f>
        <v>0</v>
      </c>
      <c r="Q597" s="52">
        <f ca="1">Log_2019[[#This Row],[Amount]]/Log_2019[[#This Row],[Split_raw]]*MAX(0,MIN(_xlfn.DAYS(EDATE(Q$1,1),Log_2019[[#This Row],[Date]]),Log_2019[[#This Row],[Split_apply]])) - SUM($O597:P597)</f>
        <v>0</v>
      </c>
      <c r="R597" s="52">
        <f ca="1">Log_2019[[#This Row],[Amount]]/Log_2019[[#This Row],[Split_raw]]*MAX(0,MIN(_xlfn.DAYS(EDATE(R$1,1),Log_2019[[#This Row],[Date]]),Log_2019[[#This Row],[Split_apply]])) - SUM($O597:Q597)</f>
        <v>-47.79</v>
      </c>
      <c r="S597" s="52">
        <f ca="1">Log_2019[[#This Row],[Amount]]/Log_2019[[#This Row],[Split_raw]]*MAX(0,MIN(_xlfn.DAYS(EDATE(S$1,1),Log_2019[[#This Row],[Date]]),Log_2019[[#This Row],[Split_apply]])) - SUM($O597:R597)</f>
        <v>0</v>
      </c>
      <c r="T597" s="52">
        <f ca="1">Log_2019[[#This Row],[Amount]]/Log_2019[[#This Row],[Split_raw]]*MAX(0,MIN(_xlfn.DAYS(EDATE(T$1,1),Log_2019[[#This Row],[Date]]),Log_2019[[#This Row],[Split_apply]])) - SUM($O597:S597)</f>
        <v>0</v>
      </c>
      <c r="U597" s="52">
        <f ca="1">Log_2019[[#This Row],[Amount]]/Log_2019[[#This Row],[Split_raw]]*MAX(0,MIN(_xlfn.DAYS(EDATE(U$1,1),Log_2019[[#This Row],[Date]]),Log_2019[[#This Row],[Split_apply]])) - SUM($O597:T597)</f>
        <v>0</v>
      </c>
      <c r="V597" s="52">
        <f ca="1">Log_2019[[#This Row],[Amount]]/Log_2019[[#This Row],[Split_raw]]*MAX(0,MIN(_xlfn.DAYS(EDATE(V$1,1),Log_2019[[#This Row],[Date]]),Log_2019[[#This Row],[Split_apply]])) - SUM($O597:U597)</f>
        <v>0</v>
      </c>
      <c r="W597" s="52">
        <f ca="1">Log_2019[[#This Row],[Amount]]/Log_2019[[#This Row],[Split_raw]]*MAX(0,MIN(_xlfn.DAYS(EDATE(W$1,1),Log_2019[[#This Row],[Date]]),Log_2019[[#This Row],[Split_apply]])) - SUM($O597:V597)</f>
        <v>0</v>
      </c>
      <c r="X597" s="52">
        <f ca="1">Log_2019[[#This Row],[Amount]]/Log_2019[[#This Row],[Split_raw]]*MAX(0,MIN(_xlfn.DAYS(EDATE(X$1,1),Log_2019[[#This Row],[Date]]),Log_2019[[#This Row],[Split_apply]])) - SUM($O597:W597)</f>
        <v>0</v>
      </c>
      <c r="Y597" s="52">
        <f ca="1">Log_2019[[#This Row],[Amount]]/Log_2019[[#This Row],[Split_raw]]*MAX(0,MIN(_xlfn.DAYS(EDATE(Y$1,1),Log_2019[[#This Row],[Date]]),Log_2019[[#This Row],[Split_apply]])) - SUM($O597:X597)</f>
        <v>0</v>
      </c>
      <c r="Z597" s="52">
        <f ca="1">Log_2019[[#This Row],[Amount]]/Log_2019[[#This Row],[Split_raw]]*MAX(0,MIN(_xlfn.DAYS(EDATE(Z$1,1),Log_2019[[#This Row],[Date]]),Log_2019[[#This Row],[Split_apply]])) - SUM($O597:Y597)</f>
        <v>0</v>
      </c>
      <c r="AA597" s="52">
        <f ca="1">Log_2019[[#This Row],[Amount]]/Log_2019[[#This Row],[Split_raw]]*MAX(0,MIN(_xlfn.DAYS(EDATE(AA$1,1),Log_2019[[#This Row],[Date]]),Log_2019[[#This Row],[Split_apply]])) - SUM($O597:Z597)</f>
        <v>0</v>
      </c>
      <c r="AB597" s="54">
        <f ca="1">Log_2019[[#This Row],[Amount]]-SUM(O597:AA597)</f>
        <v>0</v>
      </c>
      <c r="AC597" s="7">
        <f>MAX(0,Log_2019[[#This Row],[Split_raw]] - (EDATE(AA$1,1)-Log_2019[[#This Row],[Date]]))</f>
        <v>0</v>
      </c>
    </row>
    <row r="598" spans="1:29" x14ac:dyDescent="0.25">
      <c r="A598" s="42"/>
      <c r="B598" s="34" t="s">
        <v>6</v>
      </c>
      <c r="C598" s="34"/>
      <c r="D598" s="35">
        <v>43555</v>
      </c>
      <c r="E598" s="34"/>
      <c r="F598" s="34" t="s">
        <v>184</v>
      </c>
      <c r="G598" s="34" t="s">
        <v>11</v>
      </c>
      <c r="H598" s="36">
        <v>-4.45</v>
      </c>
      <c r="I598" s="36">
        <f>IF(Log_2019[[#This Row],[My Category]]="NONTRACKED",0,Log_2019[[#This Row],[Raw Amount]])</f>
        <v>-4.45</v>
      </c>
      <c r="J598" s="37">
        <f>ABS(Log_2019[[#This Row],[Amount]])</f>
        <v>4.45</v>
      </c>
      <c r="K598" s="38">
        <v>1</v>
      </c>
      <c r="L598" s="38">
        <f ca="1">IF(Log_2019[[#This Row],[Date]]&lt;=TODAY(), MIN(Log_2019[[#This Row],[Split_raw]], TODAY()-Log_2019[[#This Row],[Date]]+1), 0)</f>
        <v>1</v>
      </c>
      <c r="M598" s="34" t="s">
        <v>12</v>
      </c>
      <c r="N598" s="34" t="s">
        <v>158</v>
      </c>
      <c r="O598" s="7">
        <v>0</v>
      </c>
      <c r="P598" s="52">
        <f ca="1">Log_2019[[#This Row],[Amount]]/Log_2019[[#This Row],[Split_raw]]*MAX(0,MIN(_xlfn.DAYS(EDATE(P$1,1),Log_2019[[#This Row],[Date]]),Log_2019[[#This Row],[Split_apply]])) - SUM($O598:O598)</f>
        <v>0</v>
      </c>
      <c r="Q598" s="52">
        <f ca="1">Log_2019[[#This Row],[Amount]]/Log_2019[[#This Row],[Split_raw]]*MAX(0,MIN(_xlfn.DAYS(EDATE(Q$1,1),Log_2019[[#This Row],[Date]]),Log_2019[[#This Row],[Split_apply]])) - SUM($O598:P598)</f>
        <v>0</v>
      </c>
      <c r="R598" s="52">
        <f ca="1">Log_2019[[#This Row],[Amount]]/Log_2019[[#This Row],[Split_raw]]*MAX(0,MIN(_xlfn.DAYS(EDATE(R$1,1),Log_2019[[#This Row],[Date]]),Log_2019[[#This Row],[Split_apply]])) - SUM($O598:Q598)</f>
        <v>-4.45</v>
      </c>
      <c r="S598" s="52">
        <f ca="1">Log_2019[[#This Row],[Amount]]/Log_2019[[#This Row],[Split_raw]]*MAX(0,MIN(_xlfn.DAYS(EDATE(S$1,1),Log_2019[[#This Row],[Date]]),Log_2019[[#This Row],[Split_apply]])) - SUM($O598:R598)</f>
        <v>0</v>
      </c>
      <c r="T598" s="52">
        <f ca="1">Log_2019[[#This Row],[Amount]]/Log_2019[[#This Row],[Split_raw]]*MAX(0,MIN(_xlfn.DAYS(EDATE(T$1,1),Log_2019[[#This Row],[Date]]),Log_2019[[#This Row],[Split_apply]])) - SUM($O598:S598)</f>
        <v>0</v>
      </c>
      <c r="U598" s="52">
        <f ca="1">Log_2019[[#This Row],[Amount]]/Log_2019[[#This Row],[Split_raw]]*MAX(0,MIN(_xlfn.DAYS(EDATE(U$1,1),Log_2019[[#This Row],[Date]]),Log_2019[[#This Row],[Split_apply]])) - SUM($O598:T598)</f>
        <v>0</v>
      </c>
      <c r="V598" s="52">
        <f ca="1">Log_2019[[#This Row],[Amount]]/Log_2019[[#This Row],[Split_raw]]*MAX(0,MIN(_xlfn.DAYS(EDATE(V$1,1),Log_2019[[#This Row],[Date]]),Log_2019[[#This Row],[Split_apply]])) - SUM($O598:U598)</f>
        <v>0</v>
      </c>
      <c r="W598" s="52">
        <f ca="1">Log_2019[[#This Row],[Amount]]/Log_2019[[#This Row],[Split_raw]]*MAX(0,MIN(_xlfn.DAYS(EDATE(W$1,1),Log_2019[[#This Row],[Date]]),Log_2019[[#This Row],[Split_apply]])) - SUM($O598:V598)</f>
        <v>0</v>
      </c>
      <c r="X598" s="52">
        <f ca="1">Log_2019[[#This Row],[Amount]]/Log_2019[[#This Row],[Split_raw]]*MAX(0,MIN(_xlfn.DAYS(EDATE(X$1,1),Log_2019[[#This Row],[Date]]),Log_2019[[#This Row],[Split_apply]])) - SUM($O598:W598)</f>
        <v>0</v>
      </c>
      <c r="Y598" s="52">
        <f ca="1">Log_2019[[#This Row],[Amount]]/Log_2019[[#This Row],[Split_raw]]*MAX(0,MIN(_xlfn.DAYS(EDATE(Y$1,1),Log_2019[[#This Row],[Date]]),Log_2019[[#This Row],[Split_apply]])) - SUM($O598:X598)</f>
        <v>0</v>
      </c>
      <c r="Z598" s="52">
        <f ca="1">Log_2019[[#This Row],[Amount]]/Log_2019[[#This Row],[Split_raw]]*MAX(0,MIN(_xlfn.DAYS(EDATE(Z$1,1),Log_2019[[#This Row],[Date]]),Log_2019[[#This Row],[Split_apply]])) - SUM($O598:Y598)</f>
        <v>0</v>
      </c>
      <c r="AA598" s="52">
        <f ca="1">Log_2019[[#This Row],[Amount]]/Log_2019[[#This Row],[Split_raw]]*MAX(0,MIN(_xlfn.DAYS(EDATE(AA$1,1),Log_2019[[#This Row],[Date]]),Log_2019[[#This Row],[Split_apply]])) - SUM($O598:Z598)</f>
        <v>0</v>
      </c>
      <c r="AB598" s="54">
        <f ca="1">Log_2019[[#This Row],[Amount]]-SUM(O598:AA598)</f>
        <v>0</v>
      </c>
      <c r="AC598" s="7">
        <f>MAX(0,Log_2019[[#This Row],[Split_raw]] - (EDATE(AA$1,1)-Log_2019[[#This Row],[Date]]))</f>
        <v>0</v>
      </c>
    </row>
    <row r="599" spans="1:29" x14ac:dyDescent="0.25">
      <c r="A599" s="42"/>
      <c r="B599" s="34" t="s">
        <v>6</v>
      </c>
      <c r="C599" s="34"/>
      <c r="D599" s="35">
        <v>43555</v>
      </c>
      <c r="E599" s="34" t="s">
        <v>564</v>
      </c>
      <c r="F599" s="34" t="s">
        <v>559</v>
      </c>
      <c r="G599" s="34" t="s">
        <v>10</v>
      </c>
      <c r="H599" s="36">
        <v>-7.92</v>
      </c>
      <c r="I599" s="36">
        <f>IF(Log_2019[[#This Row],[My Category]]="NONTRACKED",0,Log_2019[[#This Row],[Raw Amount]])</f>
        <v>-7.92</v>
      </c>
      <c r="J599" s="37">
        <f>ABS(Log_2019[[#This Row],[Amount]])</f>
        <v>7.92</v>
      </c>
      <c r="K599" s="38">
        <v>1</v>
      </c>
      <c r="L599" s="38">
        <f ca="1">IF(Log_2019[[#This Row],[Date]]&lt;=TODAY(), MIN(Log_2019[[#This Row],[Split_raw]], TODAY()-Log_2019[[#This Row],[Date]]+1), 0)</f>
        <v>1</v>
      </c>
      <c r="M599" s="34" t="s">
        <v>145</v>
      </c>
      <c r="N599" s="34" t="s">
        <v>158</v>
      </c>
      <c r="O599" s="7">
        <v>0</v>
      </c>
      <c r="P599" s="52">
        <f ca="1">Log_2019[[#This Row],[Amount]]/Log_2019[[#This Row],[Split_raw]]*MAX(0,MIN(_xlfn.DAYS(EDATE(P$1,1),Log_2019[[#This Row],[Date]]),Log_2019[[#This Row],[Split_apply]])) - SUM($O599:O599)</f>
        <v>0</v>
      </c>
      <c r="Q599" s="52">
        <f ca="1">Log_2019[[#This Row],[Amount]]/Log_2019[[#This Row],[Split_raw]]*MAX(0,MIN(_xlfn.DAYS(EDATE(Q$1,1),Log_2019[[#This Row],[Date]]),Log_2019[[#This Row],[Split_apply]])) - SUM($O599:P599)</f>
        <v>0</v>
      </c>
      <c r="R599" s="52">
        <f ca="1">Log_2019[[#This Row],[Amount]]/Log_2019[[#This Row],[Split_raw]]*MAX(0,MIN(_xlfn.DAYS(EDATE(R$1,1),Log_2019[[#This Row],[Date]]),Log_2019[[#This Row],[Split_apply]])) - SUM($O599:Q599)</f>
        <v>-7.92</v>
      </c>
      <c r="S599" s="52">
        <f ca="1">Log_2019[[#This Row],[Amount]]/Log_2019[[#This Row],[Split_raw]]*MAX(0,MIN(_xlfn.DAYS(EDATE(S$1,1),Log_2019[[#This Row],[Date]]),Log_2019[[#This Row],[Split_apply]])) - SUM($O599:R599)</f>
        <v>0</v>
      </c>
      <c r="T599" s="52">
        <f ca="1">Log_2019[[#This Row],[Amount]]/Log_2019[[#This Row],[Split_raw]]*MAX(0,MIN(_xlfn.DAYS(EDATE(T$1,1),Log_2019[[#This Row],[Date]]),Log_2019[[#This Row],[Split_apply]])) - SUM($O599:S599)</f>
        <v>0</v>
      </c>
      <c r="U599" s="52">
        <f ca="1">Log_2019[[#This Row],[Amount]]/Log_2019[[#This Row],[Split_raw]]*MAX(0,MIN(_xlfn.DAYS(EDATE(U$1,1),Log_2019[[#This Row],[Date]]),Log_2019[[#This Row],[Split_apply]])) - SUM($O599:T599)</f>
        <v>0</v>
      </c>
      <c r="V599" s="52">
        <f ca="1">Log_2019[[#This Row],[Amount]]/Log_2019[[#This Row],[Split_raw]]*MAX(0,MIN(_xlfn.DAYS(EDATE(V$1,1),Log_2019[[#This Row],[Date]]),Log_2019[[#This Row],[Split_apply]])) - SUM($O599:U599)</f>
        <v>0</v>
      </c>
      <c r="W599" s="52">
        <f ca="1">Log_2019[[#This Row],[Amount]]/Log_2019[[#This Row],[Split_raw]]*MAX(0,MIN(_xlfn.DAYS(EDATE(W$1,1),Log_2019[[#This Row],[Date]]),Log_2019[[#This Row],[Split_apply]])) - SUM($O599:V599)</f>
        <v>0</v>
      </c>
      <c r="X599" s="52">
        <f ca="1">Log_2019[[#This Row],[Amount]]/Log_2019[[#This Row],[Split_raw]]*MAX(0,MIN(_xlfn.DAYS(EDATE(X$1,1),Log_2019[[#This Row],[Date]]),Log_2019[[#This Row],[Split_apply]])) - SUM($O599:W599)</f>
        <v>0</v>
      </c>
      <c r="Y599" s="52">
        <f ca="1">Log_2019[[#This Row],[Amount]]/Log_2019[[#This Row],[Split_raw]]*MAX(0,MIN(_xlfn.DAYS(EDATE(Y$1,1),Log_2019[[#This Row],[Date]]),Log_2019[[#This Row],[Split_apply]])) - SUM($O599:X599)</f>
        <v>0</v>
      </c>
      <c r="Z599" s="52">
        <f ca="1">Log_2019[[#This Row],[Amount]]/Log_2019[[#This Row],[Split_raw]]*MAX(0,MIN(_xlfn.DAYS(EDATE(Z$1,1),Log_2019[[#This Row],[Date]]),Log_2019[[#This Row],[Split_apply]])) - SUM($O599:Y599)</f>
        <v>0</v>
      </c>
      <c r="AA599" s="52">
        <f ca="1">Log_2019[[#This Row],[Amount]]/Log_2019[[#This Row],[Split_raw]]*MAX(0,MIN(_xlfn.DAYS(EDATE(AA$1,1),Log_2019[[#This Row],[Date]]),Log_2019[[#This Row],[Split_apply]])) - SUM($O599:Z599)</f>
        <v>0</v>
      </c>
      <c r="AB599" s="54">
        <f ca="1">Log_2019[[#This Row],[Amount]]-SUM(O599:AA599)</f>
        <v>0</v>
      </c>
      <c r="AC599" s="7">
        <f>MAX(0,Log_2019[[#This Row],[Split_raw]] - (EDATE(AA$1,1)-Log_2019[[#This Row],[Date]]))</f>
        <v>0</v>
      </c>
    </row>
    <row r="600" spans="1:29" x14ac:dyDescent="0.25">
      <c r="A600" s="42"/>
      <c r="B600" s="34" t="s">
        <v>6</v>
      </c>
      <c r="C600" s="34"/>
      <c r="D600" s="35">
        <v>43555</v>
      </c>
      <c r="E600" s="34"/>
      <c r="F600" s="34" t="s">
        <v>555</v>
      </c>
      <c r="G600" s="34" t="s">
        <v>25</v>
      </c>
      <c r="H600" s="36">
        <v>-16.7</v>
      </c>
      <c r="I600" s="36">
        <f>IF(Log_2019[[#This Row],[My Category]]="NONTRACKED",0,Log_2019[[#This Row],[Raw Amount]])</f>
        <v>-16.7</v>
      </c>
      <c r="J600" s="37">
        <f>ABS(Log_2019[[#This Row],[Amount]])</f>
        <v>16.7</v>
      </c>
      <c r="K600" s="38">
        <v>1</v>
      </c>
      <c r="L600" s="38">
        <f ca="1">IF(Log_2019[[#This Row],[Date]]&lt;=TODAY(), MIN(Log_2019[[#This Row],[Split_raw]], TODAY()-Log_2019[[#This Row],[Date]]+1), 0)</f>
        <v>1</v>
      </c>
      <c r="M600" s="34" t="s">
        <v>35</v>
      </c>
      <c r="N600" s="34" t="s">
        <v>158</v>
      </c>
      <c r="O600" s="7">
        <v>0</v>
      </c>
      <c r="P600" s="52">
        <f ca="1">Log_2019[[#This Row],[Amount]]/Log_2019[[#This Row],[Split_raw]]*MAX(0,MIN(_xlfn.DAYS(EDATE(P$1,1),Log_2019[[#This Row],[Date]]),Log_2019[[#This Row],[Split_apply]])) - SUM($O600:O600)</f>
        <v>0</v>
      </c>
      <c r="Q600" s="52">
        <f ca="1">Log_2019[[#This Row],[Amount]]/Log_2019[[#This Row],[Split_raw]]*MAX(0,MIN(_xlfn.DAYS(EDATE(Q$1,1),Log_2019[[#This Row],[Date]]),Log_2019[[#This Row],[Split_apply]])) - SUM($O600:P600)</f>
        <v>0</v>
      </c>
      <c r="R600" s="52">
        <f ca="1">Log_2019[[#This Row],[Amount]]/Log_2019[[#This Row],[Split_raw]]*MAX(0,MIN(_xlfn.DAYS(EDATE(R$1,1),Log_2019[[#This Row],[Date]]),Log_2019[[#This Row],[Split_apply]])) - SUM($O600:Q600)</f>
        <v>-16.7</v>
      </c>
      <c r="S600" s="52">
        <f ca="1">Log_2019[[#This Row],[Amount]]/Log_2019[[#This Row],[Split_raw]]*MAX(0,MIN(_xlfn.DAYS(EDATE(S$1,1),Log_2019[[#This Row],[Date]]),Log_2019[[#This Row],[Split_apply]])) - SUM($O600:R600)</f>
        <v>0</v>
      </c>
      <c r="T600" s="52">
        <f ca="1">Log_2019[[#This Row],[Amount]]/Log_2019[[#This Row],[Split_raw]]*MAX(0,MIN(_xlfn.DAYS(EDATE(T$1,1),Log_2019[[#This Row],[Date]]),Log_2019[[#This Row],[Split_apply]])) - SUM($O600:S600)</f>
        <v>0</v>
      </c>
      <c r="U600" s="52">
        <f ca="1">Log_2019[[#This Row],[Amount]]/Log_2019[[#This Row],[Split_raw]]*MAX(0,MIN(_xlfn.DAYS(EDATE(U$1,1),Log_2019[[#This Row],[Date]]),Log_2019[[#This Row],[Split_apply]])) - SUM($O600:T600)</f>
        <v>0</v>
      </c>
      <c r="V600" s="52">
        <f ca="1">Log_2019[[#This Row],[Amount]]/Log_2019[[#This Row],[Split_raw]]*MAX(0,MIN(_xlfn.DAYS(EDATE(V$1,1),Log_2019[[#This Row],[Date]]),Log_2019[[#This Row],[Split_apply]])) - SUM($O600:U600)</f>
        <v>0</v>
      </c>
      <c r="W600" s="52">
        <f ca="1">Log_2019[[#This Row],[Amount]]/Log_2019[[#This Row],[Split_raw]]*MAX(0,MIN(_xlfn.DAYS(EDATE(W$1,1),Log_2019[[#This Row],[Date]]),Log_2019[[#This Row],[Split_apply]])) - SUM($O600:V600)</f>
        <v>0</v>
      </c>
      <c r="X600" s="52">
        <f ca="1">Log_2019[[#This Row],[Amount]]/Log_2019[[#This Row],[Split_raw]]*MAX(0,MIN(_xlfn.DAYS(EDATE(X$1,1),Log_2019[[#This Row],[Date]]),Log_2019[[#This Row],[Split_apply]])) - SUM($O600:W600)</f>
        <v>0</v>
      </c>
      <c r="Y600" s="52">
        <f ca="1">Log_2019[[#This Row],[Amount]]/Log_2019[[#This Row],[Split_raw]]*MAX(0,MIN(_xlfn.DAYS(EDATE(Y$1,1),Log_2019[[#This Row],[Date]]),Log_2019[[#This Row],[Split_apply]])) - SUM($O600:X600)</f>
        <v>0</v>
      </c>
      <c r="Z600" s="52">
        <f ca="1">Log_2019[[#This Row],[Amount]]/Log_2019[[#This Row],[Split_raw]]*MAX(0,MIN(_xlfn.DAYS(EDATE(Z$1,1),Log_2019[[#This Row],[Date]]),Log_2019[[#This Row],[Split_apply]])) - SUM($O600:Y600)</f>
        <v>0</v>
      </c>
      <c r="AA600" s="52">
        <f ca="1">Log_2019[[#This Row],[Amount]]/Log_2019[[#This Row],[Split_raw]]*MAX(0,MIN(_xlfn.DAYS(EDATE(AA$1,1),Log_2019[[#This Row],[Date]]),Log_2019[[#This Row],[Split_apply]])) - SUM($O600:Z600)</f>
        <v>0</v>
      </c>
      <c r="AB600" s="54">
        <f ca="1">Log_2019[[#This Row],[Amount]]-SUM(O600:AA600)</f>
        <v>0</v>
      </c>
      <c r="AC600" s="7">
        <f>MAX(0,Log_2019[[#This Row],[Split_raw]] - (EDATE(AA$1,1)-Log_2019[[#This Row],[Date]]))</f>
        <v>0</v>
      </c>
    </row>
    <row r="601" spans="1:29" x14ac:dyDescent="0.25">
      <c r="A601" s="42"/>
      <c r="B601" s="34" t="s">
        <v>490</v>
      </c>
      <c r="C601" s="34">
        <v>2.7115504685757199E+18</v>
      </c>
      <c r="D601" s="41">
        <v>43555</v>
      </c>
      <c r="E601" s="34"/>
      <c r="F601" s="34" t="s">
        <v>719</v>
      </c>
      <c r="G601" s="34"/>
      <c r="H601" s="45">
        <v>-6</v>
      </c>
      <c r="I601" s="36">
        <f>IF(Log_2019[[#This Row],[My Category]]="NONTRACKED",0,Log_2019[[#This Row],[Raw Amount]])</f>
        <v>-6</v>
      </c>
      <c r="J601" s="37">
        <f>ABS(Log_2019[[#This Row],[Amount]])</f>
        <v>6</v>
      </c>
      <c r="K601" s="38">
        <v>1</v>
      </c>
      <c r="L601" s="38">
        <f ca="1">IF(Log_2019[[#This Row],[Date]]&lt;=TODAY(), MIN(Log_2019[[#This Row],[Split_raw]], TODAY()-Log_2019[[#This Row],[Date]]+1), 0)</f>
        <v>1</v>
      </c>
      <c r="M601" s="34" t="s">
        <v>40</v>
      </c>
      <c r="N601" s="34" t="s">
        <v>490</v>
      </c>
      <c r="O601" s="7">
        <v>0</v>
      </c>
      <c r="P601" s="52">
        <f ca="1">Log_2019[[#This Row],[Amount]]/Log_2019[[#This Row],[Split_raw]]*MAX(0,MIN(_xlfn.DAYS(EDATE(P$1,1),Log_2019[[#This Row],[Date]]),Log_2019[[#This Row],[Split_apply]])) - SUM($O601:O601)</f>
        <v>0</v>
      </c>
      <c r="Q601" s="52">
        <f ca="1">Log_2019[[#This Row],[Amount]]/Log_2019[[#This Row],[Split_raw]]*MAX(0,MIN(_xlfn.DAYS(EDATE(Q$1,1),Log_2019[[#This Row],[Date]]),Log_2019[[#This Row],[Split_apply]])) - SUM($O601:P601)</f>
        <v>0</v>
      </c>
      <c r="R601" s="52">
        <f ca="1">Log_2019[[#This Row],[Amount]]/Log_2019[[#This Row],[Split_raw]]*MAX(0,MIN(_xlfn.DAYS(EDATE(R$1,1),Log_2019[[#This Row],[Date]]),Log_2019[[#This Row],[Split_apply]])) - SUM($O601:Q601)</f>
        <v>-6</v>
      </c>
      <c r="S601" s="52">
        <f ca="1">Log_2019[[#This Row],[Amount]]/Log_2019[[#This Row],[Split_raw]]*MAX(0,MIN(_xlfn.DAYS(EDATE(S$1,1),Log_2019[[#This Row],[Date]]),Log_2019[[#This Row],[Split_apply]])) - SUM($O601:R601)</f>
        <v>0</v>
      </c>
      <c r="T601" s="52">
        <f ca="1">Log_2019[[#This Row],[Amount]]/Log_2019[[#This Row],[Split_raw]]*MAX(0,MIN(_xlfn.DAYS(EDATE(T$1,1),Log_2019[[#This Row],[Date]]),Log_2019[[#This Row],[Split_apply]])) - SUM($O601:S601)</f>
        <v>0</v>
      </c>
      <c r="U601" s="52">
        <f ca="1">Log_2019[[#This Row],[Amount]]/Log_2019[[#This Row],[Split_raw]]*MAX(0,MIN(_xlfn.DAYS(EDATE(U$1,1),Log_2019[[#This Row],[Date]]),Log_2019[[#This Row],[Split_apply]])) - SUM($O601:T601)</f>
        <v>0</v>
      </c>
      <c r="V601" s="52">
        <f ca="1">Log_2019[[#This Row],[Amount]]/Log_2019[[#This Row],[Split_raw]]*MAX(0,MIN(_xlfn.DAYS(EDATE(V$1,1),Log_2019[[#This Row],[Date]]),Log_2019[[#This Row],[Split_apply]])) - SUM($O601:U601)</f>
        <v>0</v>
      </c>
      <c r="W601" s="52">
        <f ca="1">Log_2019[[#This Row],[Amount]]/Log_2019[[#This Row],[Split_raw]]*MAX(0,MIN(_xlfn.DAYS(EDATE(W$1,1),Log_2019[[#This Row],[Date]]),Log_2019[[#This Row],[Split_apply]])) - SUM($O601:V601)</f>
        <v>0</v>
      </c>
      <c r="X601" s="52">
        <f ca="1">Log_2019[[#This Row],[Amount]]/Log_2019[[#This Row],[Split_raw]]*MAX(0,MIN(_xlfn.DAYS(EDATE(X$1,1),Log_2019[[#This Row],[Date]]),Log_2019[[#This Row],[Split_apply]])) - SUM($O601:W601)</f>
        <v>0</v>
      </c>
      <c r="Y601" s="52">
        <f ca="1">Log_2019[[#This Row],[Amount]]/Log_2019[[#This Row],[Split_raw]]*MAX(0,MIN(_xlfn.DAYS(EDATE(Y$1,1),Log_2019[[#This Row],[Date]]),Log_2019[[#This Row],[Split_apply]])) - SUM($O601:X601)</f>
        <v>0</v>
      </c>
      <c r="Z601" s="52">
        <f ca="1">Log_2019[[#This Row],[Amount]]/Log_2019[[#This Row],[Split_raw]]*MAX(0,MIN(_xlfn.DAYS(EDATE(Z$1,1),Log_2019[[#This Row],[Date]]),Log_2019[[#This Row],[Split_apply]])) - SUM($O601:Y601)</f>
        <v>0</v>
      </c>
      <c r="AA601" s="52">
        <f ca="1">Log_2019[[#This Row],[Amount]]/Log_2019[[#This Row],[Split_raw]]*MAX(0,MIN(_xlfn.DAYS(EDATE(AA$1,1),Log_2019[[#This Row],[Date]]),Log_2019[[#This Row],[Split_apply]])) - SUM($O601:Z601)</f>
        <v>0</v>
      </c>
      <c r="AB601" s="54">
        <f ca="1">Log_2019[[#This Row],[Amount]]-SUM(O601:AA601)</f>
        <v>0</v>
      </c>
      <c r="AC601" s="7">
        <f>MAX(0,Log_2019[[#This Row],[Split_raw]] - (EDATE(AA$1,1)-Log_2019[[#This Row],[Date]]))</f>
        <v>0</v>
      </c>
    </row>
    <row r="602" spans="1:29" x14ac:dyDescent="0.25">
      <c r="A602" s="42"/>
      <c r="B602" s="34" t="s">
        <v>490</v>
      </c>
      <c r="C602" s="34">
        <v>2.71155103927789E+18</v>
      </c>
      <c r="D602" s="41">
        <v>43555</v>
      </c>
      <c r="E602" s="34"/>
      <c r="F602" s="34" t="s">
        <v>720</v>
      </c>
      <c r="G602" s="34"/>
      <c r="H602" s="45">
        <v>-6</v>
      </c>
      <c r="I602" s="36">
        <f>IF(Log_2019[[#This Row],[My Category]]="NONTRACKED",0,Log_2019[[#This Row],[Raw Amount]])</f>
        <v>-6</v>
      </c>
      <c r="J602" s="37">
        <f>ABS(Log_2019[[#This Row],[Amount]])</f>
        <v>6</v>
      </c>
      <c r="K602" s="38">
        <v>1</v>
      </c>
      <c r="L602" s="38">
        <f ca="1">IF(Log_2019[[#This Row],[Date]]&lt;=TODAY(), MIN(Log_2019[[#This Row],[Split_raw]], TODAY()-Log_2019[[#This Row],[Date]]+1), 0)</f>
        <v>1</v>
      </c>
      <c r="M602" s="34" t="s">
        <v>40</v>
      </c>
      <c r="N602" s="34" t="s">
        <v>490</v>
      </c>
      <c r="O602" s="7">
        <v>0</v>
      </c>
      <c r="P602" s="52">
        <f ca="1">Log_2019[[#This Row],[Amount]]/Log_2019[[#This Row],[Split_raw]]*MAX(0,MIN(_xlfn.DAYS(EDATE(P$1,1),Log_2019[[#This Row],[Date]]),Log_2019[[#This Row],[Split_apply]])) - SUM($O602:O602)</f>
        <v>0</v>
      </c>
      <c r="Q602" s="52">
        <f ca="1">Log_2019[[#This Row],[Amount]]/Log_2019[[#This Row],[Split_raw]]*MAX(0,MIN(_xlfn.DAYS(EDATE(Q$1,1),Log_2019[[#This Row],[Date]]),Log_2019[[#This Row],[Split_apply]])) - SUM($O602:P602)</f>
        <v>0</v>
      </c>
      <c r="R602" s="52">
        <f ca="1">Log_2019[[#This Row],[Amount]]/Log_2019[[#This Row],[Split_raw]]*MAX(0,MIN(_xlfn.DAYS(EDATE(R$1,1),Log_2019[[#This Row],[Date]]),Log_2019[[#This Row],[Split_apply]])) - SUM($O602:Q602)</f>
        <v>-6</v>
      </c>
      <c r="S602" s="52">
        <f ca="1">Log_2019[[#This Row],[Amount]]/Log_2019[[#This Row],[Split_raw]]*MAX(0,MIN(_xlfn.DAYS(EDATE(S$1,1),Log_2019[[#This Row],[Date]]),Log_2019[[#This Row],[Split_apply]])) - SUM($O602:R602)</f>
        <v>0</v>
      </c>
      <c r="T602" s="52">
        <f ca="1">Log_2019[[#This Row],[Amount]]/Log_2019[[#This Row],[Split_raw]]*MAX(0,MIN(_xlfn.DAYS(EDATE(T$1,1),Log_2019[[#This Row],[Date]]),Log_2019[[#This Row],[Split_apply]])) - SUM($O602:S602)</f>
        <v>0</v>
      </c>
      <c r="U602" s="52">
        <f ca="1">Log_2019[[#This Row],[Amount]]/Log_2019[[#This Row],[Split_raw]]*MAX(0,MIN(_xlfn.DAYS(EDATE(U$1,1),Log_2019[[#This Row],[Date]]),Log_2019[[#This Row],[Split_apply]])) - SUM($O602:T602)</f>
        <v>0</v>
      </c>
      <c r="V602" s="52">
        <f ca="1">Log_2019[[#This Row],[Amount]]/Log_2019[[#This Row],[Split_raw]]*MAX(0,MIN(_xlfn.DAYS(EDATE(V$1,1),Log_2019[[#This Row],[Date]]),Log_2019[[#This Row],[Split_apply]])) - SUM($O602:U602)</f>
        <v>0</v>
      </c>
      <c r="W602" s="52">
        <f ca="1">Log_2019[[#This Row],[Amount]]/Log_2019[[#This Row],[Split_raw]]*MAX(0,MIN(_xlfn.DAYS(EDATE(W$1,1),Log_2019[[#This Row],[Date]]),Log_2019[[#This Row],[Split_apply]])) - SUM($O602:V602)</f>
        <v>0</v>
      </c>
      <c r="X602" s="52">
        <f ca="1">Log_2019[[#This Row],[Amount]]/Log_2019[[#This Row],[Split_raw]]*MAX(0,MIN(_xlfn.DAYS(EDATE(X$1,1),Log_2019[[#This Row],[Date]]),Log_2019[[#This Row],[Split_apply]])) - SUM($O602:W602)</f>
        <v>0</v>
      </c>
      <c r="Y602" s="52">
        <f ca="1">Log_2019[[#This Row],[Amount]]/Log_2019[[#This Row],[Split_raw]]*MAX(0,MIN(_xlfn.DAYS(EDATE(Y$1,1),Log_2019[[#This Row],[Date]]),Log_2019[[#This Row],[Split_apply]])) - SUM($O602:X602)</f>
        <v>0</v>
      </c>
      <c r="Z602" s="52">
        <f ca="1">Log_2019[[#This Row],[Amount]]/Log_2019[[#This Row],[Split_raw]]*MAX(0,MIN(_xlfn.DAYS(EDATE(Z$1,1),Log_2019[[#This Row],[Date]]),Log_2019[[#This Row],[Split_apply]])) - SUM($O602:Y602)</f>
        <v>0</v>
      </c>
      <c r="AA602" s="52">
        <f ca="1">Log_2019[[#This Row],[Amount]]/Log_2019[[#This Row],[Split_raw]]*MAX(0,MIN(_xlfn.DAYS(EDATE(AA$1,1),Log_2019[[#This Row],[Date]]),Log_2019[[#This Row],[Split_apply]])) - SUM($O602:Z602)</f>
        <v>0</v>
      </c>
      <c r="AB602" s="54">
        <f ca="1">Log_2019[[#This Row],[Amount]]-SUM(O602:AA602)</f>
        <v>0</v>
      </c>
      <c r="AC602" s="7">
        <f>MAX(0,Log_2019[[#This Row],[Split_raw]] - (EDATE(AA$1,1)-Log_2019[[#This Row],[Date]]))</f>
        <v>0</v>
      </c>
    </row>
    <row r="603" spans="1:29" x14ac:dyDescent="0.25">
      <c r="A603" s="42"/>
      <c r="B603" s="34" t="s">
        <v>6</v>
      </c>
      <c r="C603" s="34"/>
      <c r="D603" s="35">
        <v>43553</v>
      </c>
      <c r="E603" s="34"/>
      <c r="F603" s="34" t="s">
        <v>327</v>
      </c>
      <c r="G603" s="34" t="s">
        <v>25</v>
      </c>
      <c r="H603" s="36">
        <v>-10.8</v>
      </c>
      <c r="I603" s="36">
        <f>IF(Log_2019[[#This Row],[My Category]]="NONTRACKED",0,Log_2019[[#This Row],[Raw Amount]])</f>
        <v>-10.8</v>
      </c>
      <c r="J603" s="37">
        <f>ABS(Log_2019[[#This Row],[Amount]])</f>
        <v>10.8</v>
      </c>
      <c r="K603" s="38">
        <v>1</v>
      </c>
      <c r="L603" s="38">
        <f ca="1">IF(Log_2019[[#This Row],[Date]]&lt;=TODAY(), MIN(Log_2019[[#This Row],[Split_raw]], TODAY()-Log_2019[[#This Row],[Date]]+1), 0)</f>
        <v>1</v>
      </c>
      <c r="M603" s="34" t="s">
        <v>35</v>
      </c>
      <c r="N603" s="34" t="s">
        <v>158</v>
      </c>
      <c r="O603" s="7">
        <v>0</v>
      </c>
      <c r="P603" s="52">
        <f ca="1">Log_2019[[#This Row],[Amount]]/Log_2019[[#This Row],[Split_raw]]*MAX(0,MIN(_xlfn.DAYS(EDATE(P$1,1),Log_2019[[#This Row],[Date]]),Log_2019[[#This Row],[Split_apply]])) - SUM($O603:O603)</f>
        <v>0</v>
      </c>
      <c r="Q603" s="52">
        <f ca="1">Log_2019[[#This Row],[Amount]]/Log_2019[[#This Row],[Split_raw]]*MAX(0,MIN(_xlfn.DAYS(EDATE(Q$1,1),Log_2019[[#This Row],[Date]]),Log_2019[[#This Row],[Split_apply]])) - SUM($O603:P603)</f>
        <v>0</v>
      </c>
      <c r="R603" s="52">
        <f ca="1">Log_2019[[#This Row],[Amount]]/Log_2019[[#This Row],[Split_raw]]*MAX(0,MIN(_xlfn.DAYS(EDATE(R$1,1),Log_2019[[#This Row],[Date]]),Log_2019[[#This Row],[Split_apply]])) - SUM($O603:Q603)</f>
        <v>-10.8</v>
      </c>
      <c r="S603" s="52">
        <f ca="1">Log_2019[[#This Row],[Amount]]/Log_2019[[#This Row],[Split_raw]]*MAX(0,MIN(_xlfn.DAYS(EDATE(S$1,1),Log_2019[[#This Row],[Date]]),Log_2019[[#This Row],[Split_apply]])) - SUM($O603:R603)</f>
        <v>0</v>
      </c>
      <c r="T603" s="52">
        <f ca="1">Log_2019[[#This Row],[Amount]]/Log_2019[[#This Row],[Split_raw]]*MAX(0,MIN(_xlfn.DAYS(EDATE(T$1,1),Log_2019[[#This Row],[Date]]),Log_2019[[#This Row],[Split_apply]])) - SUM($O603:S603)</f>
        <v>0</v>
      </c>
      <c r="U603" s="52">
        <f ca="1">Log_2019[[#This Row],[Amount]]/Log_2019[[#This Row],[Split_raw]]*MAX(0,MIN(_xlfn.DAYS(EDATE(U$1,1),Log_2019[[#This Row],[Date]]),Log_2019[[#This Row],[Split_apply]])) - SUM($O603:T603)</f>
        <v>0</v>
      </c>
      <c r="V603" s="52">
        <f ca="1">Log_2019[[#This Row],[Amount]]/Log_2019[[#This Row],[Split_raw]]*MAX(0,MIN(_xlfn.DAYS(EDATE(V$1,1),Log_2019[[#This Row],[Date]]),Log_2019[[#This Row],[Split_apply]])) - SUM($O603:U603)</f>
        <v>0</v>
      </c>
      <c r="W603" s="52">
        <f ca="1">Log_2019[[#This Row],[Amount]]/Log_2019[[#This Row],[Split_raw]]*MAX(0,MIN(_xlfn.DAYS(EDATE(W$1,1),Log_2019[[#This Row],[Date]]),Log_2019[[#This Row],[Split_apply]])) - SUM($O603:V603)</f>
        <v>0</v>
      </c>
      <c r="X603" s="52">
        <f ca="1">Log_2019[[#This Row],[Amount]]/Log_2019[[#This Row],[Split_raw]]*MAX(0,MIN(_xlfn.DAYS(EDATE(X$1,1),Log_2019[[#This Row],[Date]]),Log_2019[[#This Row],[Split_apply]])) - SUM($O603:W603)</f>
        <v>0</v>
      </c>
      <c r="Y603" s="52">
        <f ca="1">Log_2019[[#This Row],[Amount]]/Log_2019[[#This Row],[Split_raw]]*MAX(0,MIN(_xlfn.DAYS(EDATE(Y$1,1),Log_2019[[#This Row],[Date]]),Log_2019[[#This Row],[Split_apply]])) - SUM($O603:X603)</f>
        <v>0</v>
      </c>
      <c r="Z603" s="52">
        <f ca="1">Log_2019[[#This Row],[Amount]]/Log_2019[[#This Row],[Split_raw]]*MAX(0,MIN(_xlfn.DAYS(EDATE(Z$1,1),Log_2019[[#This Row],[Date]]),Log_2019[[#This Row],[Split_apply]])) - SUM($O603:Y603)</f>
        <v>0</v>
      </c>
      <c r="AA603" s="52">
        <f ca="1">Log_2019[[#This Row],[Amount]]/Log_2019[[#This Row],[Split_raw]]*MAX(0,MIN(_xlfn.DAYS(EDATE(AA$1,1),Log_2019[[#This Row],[Date]]),Log_2019[[#This Row],[Split_apply]])) - SUM($O603:Z603)</f>
        <v>0</v>
      </c>
      <c r="AB603" s="54">
        <f ca="1">Log_2019[[#This Row],[Amount]]-SUM(O603:AA603)</f>
        <v>0</v>
      </c>
      <c r="AC603" s="7">
        <f>MAX(0,Log_2019[[#This Row],[Split_raw]] - (EDATE(AA$1,1)-Log_2019[[#This Row],[Date]]))</f>
        <v>0</v>
      </c>
    </row>
    <row r="604" spans="1:29" x14ac:dyDescent="0.25">
      <c r="A604" s="42"/>
      <c r="B604" s="34" t="s">
        <v>6</v>
      </c>
      <c r="C604" s="34"/>
      <c r="D604" s="35">
        <v>43553</v>
      </c>
      <c r="E604" s="34"/>
      <c r="F604" s="34" t="s">
        <v>138</v>
      </c>
      <c r="G604" s="34" t="s">
        <v>104</v>
      </c>
      <c r="H604" s="36">
        <v>-1251.53</v>
      </c>
      <c r="I604" s="36">
        <f>IF(Log_2019[[#This Row],[My Category]]="NONTRACKED",0,Log_2019[[#This Row],[Raw Amount]])</f>
        <v>-1251.53</v>
      </c>
      <c r="J604" s="37">
        <f>ABS(Log_2019[[#This Row],[Amount]])</f>
        <v>1251.53</v>
      </c>
      <c r="K604" s="38">
        <v>1</v>
      </c>
      <c r="L604" s="38">
        <f ca="1">IF(Log_2019[[#This Row],[Date]]&lt;=TODAY(), MIN(Log_2019[[#This Row],[Split_raw]], TODAY()-Log_2019[[#This Row],[Date]]+1), 0)</f>
        <v>1</v>
      </c>
      <c r="M604" s="34" t="s">
        <v>159</v>
      </c>
      <c r="N604" s="34" t="s">
        <v>160</v>
      </c>
      <c r="O604" s="7">
        <v>0</v>
      </c>
      <c r="P604" s="52">
        <f ca="1">Log_2019[[#This Row],[Amount]]/Log_2019[[#This Row],[Split_raw]]*MAX(0,MIN(_xlfn.DAYS(EDATE(P$1,1),Log_2019[[#This Row],[Date]]),Log_2019[[#This Row],[Split_apply]])) - SUM($O604:O604)</f>
        <v>0</v>
      </c>
      <c r="Q604" s="52">
        <f ca="1">Log_2019[[#This Row],[Amount]]/Log_2019[[#This Row],[Split_raw]]*MAX(0,MIN(_xlfn.DAYS(EDATE(Q$1,1),Log_2019[[#This Row],[Date]]),Log_2019[[#This Row],[Split_apply]])) - SUM($O604:P604)</f>
        <v>0</v>
      </c>
      <c r="R604" s="52">
        <f ca="1">Log_2019[[#This Row],[Amount]]/Log_2019[[#This Row],[Split_raw]]*MAX(0,MIN(_xlfn.DAYS(EDATE(R$1,1),Log_2019[[#This Row],[Date]]),Log_2019[[#This Row],[Split_apply]])) - SUM($O604:Q604)</f>
        <v>-1251.53</v>
      </c>
      <c r="S604" s="52">
        <f ca="1">Log_2019[[#This Row],[Amount]]/Log_2019[[#This Row],[Split_raw]]*MAX(0,MIN(_xlfn.DAYS(EDATE(S$1,1),Log_2019[[#This Row],[Date]]),Log_2019[[#This Row],[Split_apply]])) - SUM($O604:R604)</f>
        <v>0</v>
      </c>
      <c r="T604" s="52">
        <f ca="1">Log_2019[[#This Row],[Amount]]/Log_2019[[#This Row],[Split_raw]]*MAX(0,MIN(_xlfn.DAYS(EDATE(T$1,1),Log_2019[[#This Row],[Date]]),Log_2019[[#This Row],[Split_apply]])) - SUM($O604:S604)</f>
        <v>0</v>
      </c>
      <c r="U604" s="52">
        <f ca="1">Log_2019[[#This Row],[Amount]]/Log_2019[[#This Row],[Split_raw]]*MAX(0,MIN(_xlfn.DAYS(EDATE(U$1,1),Log_2019[[#This Row],[Date]]),Log_2019[[#This Row],[Split_apply]])) - SUM($O604:T604)</f>
        <v>0</v>
      </c>
      <c r="V604" s="52">
        <f ca="1">Log_2019[[#This Row],[Amount]]/Log_2019[[#This Row],[Split_raw]]*MAX(0,MIN(_xlfn.DAYS(EDATE(V$1,1),Log_2019[[#This Row],[Date]]),Log_2019[[#This Row],[Split_apply]])) - SUM($O604:U604)</f>
        <v>0</v>
      </c>
      <c r="W604" s="52">
        <f ca="1">Log_2019[[#This Row],[Amount]]/Log_2019[[#This Row],[Split_raw]]*MAX(0,MIN(_xlfn.DAYS(EDATE(W$1,1),Log_2019[[#This Row],[Date]]),Log_2019[[#This Row],[Split_apply]])) - SUM($O604:V604)</f>
        <v>0</v>
      </c>
      <c r="X604" s="52">
        <f ca="1">Log_2019[[#This Row],[Amount]]/Log_2019[[#This Row],[Split_raw]]*MAX(0,MIN(_xlfn.DAYS(EDATE(X$1,1),Log_2019[[#This Row],[Date]]),Log_2019[[#This Row],[Split_apply]])) - SUM($O604:W604)</f>
        <v>0</v>
      </c>
      <c r="Y604" s="52">
        <f ca="1">Log_2019[[#This Row],[Amount]]/Log_2019[[#This Row],[Split_raw]]*MAX(0,MIN(_xlfn.DAYS(EDATE(Y$1,1),Log_2019[[#This Row],[Date]]),Log_2019[[#This Row],[Split_apply]])) - SUM($O604:X604)</f>
        <v>0</v>
      </c>
      <c r="Z604" s="52">
        <f ca="1">Log_2019[[#This Row],[Amount]]/Log_2019[[#This Row],[Split_raw]]*MAX(0,MIN(_xlfn.DAYS(EDATE(Z$1,1),Log_2019[[#This Row],[Date]]),Log_2019[[#This Row],[Split_apply]])) - SUM($O604:Y604)</f>
        <v>0</v>
      </c>
      <c r="AA604" s="52">
        <f ca="1">Log_2019[[#This Row],[Amount]]/Log_2019[[#This Row],[Split_raw]]*MAX(0,MIN(_xlfn.DAYS(EDATE(AA$1,1),Log_2019[[#This Row],[Date]]),Log_2019[[#This Row],[Split_apply]])) - SUM($O604:Z604)</f>
        <v>0</v>
      </c>
      <c r="AB604" s="54">
        <f ca="1">Log_2019[[#This Row],[Amount]]-SUM(O604:AA604)</f>
        <v>0</v>
      </c>
      <c r="AC604" s="7">
        <f>MAX(0,Log_2019[[#This Row],[Split_raw]] - (EDATE(AA$1,1)-Log_2019[[#This Row],[Date]]))</f>
        <v>0</v>
      </c>
    </row>
    <row r="605" spans="1:29" x14ac:dyDescent="0.25">
      <c r="A605" s="42"/>
      <c r="B605" s="34" t="s">
        <v>6</v>
      </c>
      <c r="C605" s="34"/>
      <c r="D605" s="35">
        <v>43552</v>
      </c>
      <c r="E605" s="34"/>
      <c r="F605" s="34" t="s">
        <v>105</v>
      </c>
      <c r="G605" s="34" t="s">
        <v>104</v>
      </c>
      <c r="H605" s="36">
        <f>--1251.53</f>
        <v>1251.53</v>
      </c>
      <c r="I605" s="36">
        <f>IF(Log_2019[[#This Row],[My Category]]="NONTRACKED",0,Log_2019[[#This Row],[Raw Amount]])</f>
        <v>1251.53</v>
      </c>
      <c r="J605" s="37">
        <f>ABS(Log_2019[[#This Row],[Amount]])</f>
        <v>1251.53</v>
      </c>
      <c r="K605" s="38">
        <v>1</v>
      </c>
      <c r="L605" s="38">
        <f ca="1">IF(Log_2019[[#This Row],[Date]]&lt;=TODAY(), MIN(Log_2019[[#This Row],[Split_raw]], TODAY()-Log_2019[[#This Row],[Date]]+1), 0)</f>
        <v>1</v>
      </c>
      <c r="M605" s="34" t="s">
        <v>159</v>
      </c>
      <c r="N605" s="34" t="s">
        <v>158</v>
      </c>
      <c r="O605" s="7">
        <v>0</v>
      </c>
      <c r="P605" s="52">
        <f ca="1">Log_2019[[#This Row],[Amount]]/Log_2019[[#This Row],[Split_raw]]*MAX(0,MIN(_xlfn.DAYS(EDATE(P$1,1),Log_2019[[#This Row],[Date]]),Log_2019[[#This Row],[Split_apply]])) - SUM($O605:O605)</f>
        <v>0</v>
      </c>
      <c r="Q605" s="52">
        <f ca="1">Log_2019[[#This Row],[Amount]]/Log_2019[[#This Row],[Split_raw]]*MAX(0,MIN(_xlfn.DAYS(EDATE(Q$1,1),Log_2019[[#This Row],[Date]]),Log_2019[[#This Row],[Split_apply]])) - SUM($O605:P605)</f>
        <v>0</v>
      </c>
      <c r="R605" s="52">
        <f ca="1">Log_2019[[#This Row],[Amount]]/Log_2019[[#This Row],[Split_raw]]*MAX(0,MIN(_xlfn.DAYS(EDATE(R$1,1),Log_2019[[#This Row],[Date]]),Log_2019[[#This Row],[Split_apply]])) - SUM($O605:Q605)</f>
        <v>1251.53</v>
      </c>
      <c r="S605" s="52">
        <f ca="1">Log_2019[[#This Row],[Amount]]/Log_2019[[#This Row],[Split_raw]]*MAX(0,MIN(_xlfn.DAYS(EDATE(S$1,1),Log_2019[[#This Row],[Date]]),Log_2019[[#This Row],[Split_apply]])) - SUM($O605:R605)</f>
        <v>0</v>
      </c>
      <c r="T605" s="52">
        <f ca="1">Log_2019[[#This Row],[Amount]]/Log_2019[[#This Row],[Split_raw]]*MAX(0,MIN(_xlfn.DAYS(EDATE(T$1,1),Log_2019[[#This Row],[Date]]),Log_2019[[#This Row],[Split_apply]])) - SUM($O605:S605)</f>
        <v>0</v>
      </c>
      <c r="U605" s="52">
        <f ca="1">Log_2019[[#This Row],[Amount]]/Log_2019[[#This Row],[Split_raw]]*MAX(0,MIN(_xlfn.DAYS(EDATE(U$1,1),Log_2019[[#This Row],[Date]]),Log_2019[[#This Row],[Split_apply]])) - SUM($O605:T605)</f>
        <v>0</v>
      </c>
      <c r="V605" s="52">
        <f ca="1">Log_2019[[#This Row],[Amount]]/Log_2019[[#This Row],[Split_raw]]*MAX(0,MIN(_xlfn.DAYS(EDATE(V$1,1),Log_2019[[#This Row],[Date]]),Log_2019[[#This Row],[Split_apply]])) - SUM($O605:U605)</f>
        <v>0</v>
      </c>
      <c r="W605" s="52">
        <f ca="1">Log_2019[[#This Row],[Amount]]/Log_2019[[#This Row],[Split_raw]]*MAX(0,MIN(_xlfn.DAYS(EDATE(W$1,1),Log_2019[[#This Row],[Date]]),Log_2019[[#This Row],[Split_apply]])) - SUM($O605:V605)</f>
        <v>0</v>
      </c>
      <c r="X605" s="52">
        <f ca="1">Log_2019[[#This Row],[Amount]]/Log_2019[[#This Row],[Split_raw]]*MAX(0,MIN(_xlfn.DAYS(EDATE(X$1,1),Log_2019[[#This Row],[Date]]),Log_2019[[#This Row],[Split_apply]])) - SUM($O605:W605)</f>
        <v>0</v>
      </c>
      <c r="Y605" s="52">
        <f ca="1">Log_2019[[#This Row],[Amount]]/Log_2019[[#This Row],[Split_raw]]*MAX(0,MIN(_xlfn.DAYS(EDATE(Y$1,1),Log_2019[[#This Row],[Date]]),Log_2019[[#This Row],[Split_apply]])) - SUM($O605:X605)</f>
        <v>0</v>
      </c>
      <c r="Z605" s="52">
        <f ca="1">Log_2019[[#This Row],[Amount]]/Log_2019[[#This Row],[Split_raw]]*MAX(0,MIN(_xlfn.DAYS(EDATE(Z$1,1),Log_2019[[#This Row],[Date]]),Log_2019[[#This Row],[Split_apply]])) - SUM($O605:Y605)</f>
        <v>0</v>
      </c>
      <c r="AA605" s="52">
        <f ca="1">Log_2019[[#This Row],[Amount]]/Log_2019[[#This Row],[Split_raw]]*MAX(0,MIN(_xlfn.DAYS(EDATE(AA$1,1),Log_2019[[#This Row],[Date]]),Log_2019[[#This Row],[Split_apply]])) - SUM($O605:Z605)</f>
        <v>0</v>
      </c>
      <c r="AB605" s="54">
        <f ca="1">Log_2019[[#This Row],[Amount]]-SUM(O605:AA605)</f>
        <v>0</v>
      </c>
      <c r="AC605" s="7">
        <f>MAX(0,Log_2019[[#This Row],[Split_raw]] - (EDATE(AA$1,1)-Log_2019[[#This Row],[Date]]))</f>
        <v>0</v>
      </c>
    </row>
    <row r="606" spans="1:29" x14ac:dyDescent="0.25">
      <c r="A606" s="42"/>
      <c r="B606" s="34" t="s">
        <v>6</v>
      </c>
      <c r="C606" s="34"/>
      <c r="D606" s="35">
        <v>43552</v>
      </c>
      <c r="E606" s="34"/>
      <c r="F606" s="34" t="s">
        <v>255</v>
      </c>
      <c r="G606" s="34" t="s">
        <v>25</v>
      </c>
      <c r="H606" s="36">
        <v>-8.52</v>
      </c>
      <c r="I606" s="36">
        <f>IF(Log_2019[[#This Row],[My Category]]="NONTRACKED",0,Log_2019[[#This Row],[Raw Amount]])</f>
        <v>-8.52</v>
      </c>
      <c r="J606" s="37">
        <f>ABS(Log_2019[[#This Row],[Amount]])</f>
        <v>8.52</v>
      </c>
      <c r="K606" s="38">
        <v>1</v>
      </c>
      <c r="L606" s="38">
        <f ca="1">IF(Log_2019[[#This Row],[Date]]&lt;=TODAY(), MIN(Log_2019[[#This Row],[Split_raw]], TODAY()-Log_2019[[#This Row],[Date]]+1), 0)</f>
        <v>1</v>
      </c>
      <c r="M606" s="34" t="s">
        <v>35</v>
      </c>
      <c r="N606" s="34" t="s">
        <v>158</v>
      </c>
      <c r="O606" s="7">
        <v>0</v>
      </c>
      <c r="P606" s="52">
        <f ca="1">Log_2019[[#This Row],[Amount]]/Log_2019[[#This Row],[Split_raw]]*MAX(0,MIN(_xlfn.DAYS(EDATE(P$1,1),Log_2019[[#This Row],[Date]]),Log_2019[[#This Row],[Split_apply]])) - SUM($O606:O606)</f>
        <v>0</v>
      </c>
      <c r="Q606" s="52">
        <f ca="1">Log_2019[[#This Row],[Amount]]/Log_2019[[#This Row],[Split_raw]]*MAX(0,MIN(_xlfn.DAYS(EDATE(Q$1,1),Log_2019[[#This Row],[Date]]),Log_2019[[#This Row],[Split_apply]])) - SUM($O606:P606)</f>
        <v>0</v>
      </c>
      <c r="R606" s="52">
        <f ca="1">Log_2019[[#This Row],[Amount]]/Log_2019[[#This Row],[Split_raw]]*MAX(0,MIN(_xlfn.DAYS(EDATE(R$1,1),Log_2019[[#This Row],[Date]]),Log_2019[[#This Row],[Split_apply]])) - SUM($O606:Q606)</f>
        <v>-8.52</v>
      </c>
      <c r="S606" s="52">
        <f ca="1">Log_2019[[#This Row],[Amount]]/Log_2019[[#This Row],[Split_raw]]*MAX(0,MIN(_xlfn.DAYS(EDATE(S$1,1),Log_2019[[#This Row],[Date]]),Log_2019[[#This Row],[Split_apply]])) - SUM($O606:R606)</f>
        <v>0</v>
      </c>
      <c r="T606" s="52">
        <f ca="1">Log_2019[[#This Row],[Amount]]/Log_2019[[#This Row],[Split_raw]]*MAX(0,MIN(_xlfn.DAYS(EDATE(T$1,1),Log_2019[[#This Row],[Date]]),Log_2019[[#This Row],[Split_apply]])) - SUM($O606:S606)</f>
        <v>0</v>
      </c>
      <c r="U606" s="52">
        <f ca="1">Log_2019[[#This Row],[Amount]]/Log_2019[[#This Row],[Split_raw]]*MAX(0,MIN(_xlfn.DAYS(EDATE(U$1,1),Log_2019[[#This Row],[Date]]),Log_2019[[#This Row],[Split_apply]])) - SUM($O606:T606)</f>
        <v>0</v>
      </c>
      <c r="V606" s="52">
        <f ca="1">Log_2019[[#This Row],[Amount]]/Log_2019[[#This Row],[Split_raw]]*MAX(0,MIN(_xlfn.DAYS(EDATE(V$1,1),Log_2019[[#This Row],[Date]]),Log_2019[[#This Row],[Split_apply]])) - SUM($O606:U606)</f>
        <v>0</v>
      </c>
      <c r="W606" s="52">
        <f ca="1">Log_2019[[#This Row],[Amount]]/Log_2019[[#This Row],[Split_raw]]*MAX(0,MIN(_xlfn.DAYS(EDATE(W$1,1),Log_2019[[#This Row],[Date]]),Log_2019[[#This Row],[Split_apply]])) - SUM($O606:V606)</f>
        <v>0</v>
      </c>
      <c r="X606" s="52">
        <f ca="1">Log_2019[[#This Row],[Amount]]/Log_2019[[#This Row],[Split_raw]]*MAX(0,MIN(_xlfn.DAYS(EDATE(X$1,1),Log_2019[[#This Row],[Date]]),Log_2019[[#This Row],[Split_apply]])) - SUM($O606:W606)</f>
        <v>0</v>
      </c>
      <c r="Y606" s="52">
        <f ca="1">Log_2019[[#This Row],[Amount]]/Log_2019[[#This Row],[Split_raw]]*MAX(0,MIN(_xlfn.DAYS(EDATE(Y$1,1),Log_2019[[#This Row],[Date]]),Log_2019[[#This Row],[Split_apply]])) - SUM($O606:X606)</f>
        <v>0</v>
      </c>
      <c r="Z606" s="52">
        <f ca="1">Log_2019[[#This Row],[Amount]]/Log_2019[[#This Row],[Split_raw]]*MAX(0,MIN(_xlfn.DAYS(EDATE(Z$1,1),Log_2019[[#This Row],[Date]]),Log_2019[[#This Row],[Split_apply]])) - SUM($O606:Y606)</f>
        <v>0</v>
      </c>
      <c r="AA606" s="52">
        <f ca="1">Log_2019[[#This Row],[Amount]]/Log_2019[[#This Row],[Split_raw]]*MAX(0,MIN(_xlfn.DAYS(EDATE(AA$1,1),Log_2019[[#This Row],[Date]]),Log_2019[[#This Row],[Split_apply]])) - SUM($O606:Z606)</f>
        <v>0</v>
      </c>
      <c r="AB606" s="54">
        <f ca="1">Log_2019[[#This Row],[Amount]]-SUM(O606:AA606)</f>
        <v>0</v>
      </c>
      <c r="AC606" s="7">
        <f>MAX(0,Log_2019[[#This Row],[Split_raw]] - (EDATE(AA$1,1)-Log_2019[[#This Row],[Date]]))</f>
        <v>0</v>
      </c>
    </row>
    <row r="607" spans="1:29" x14ac:dyDescent="0.25">
      <c r="A607" s="42"/>
      <c r="B607" s="34" t="s">
        <v>6</v>
      </c>
      <c r="C607" s="34"/>
      <c r="D607" s="35">
        <v>43552</v>
      </c>
      <c r="E607" s="34"/>
      <c r="F607" s="34" t="s">
        <v>255</v>
      </c>
      <c r="G607" s="34" t="s">
        <v>25</v>
      </c>
      <c r="H607" s="36">
        <v>-3.28</v>
      </c>
      <c r="I607" s="36">
        <f>IF(Log_2019[[#This Row],[My Category]]="NONTRACKED",0,Log_2019[[#This Row],[Raw Amount]])</f>
        <v>-3.28</v>
      </c>
      <c r="J607" s="37">
        <f>ABS(Log_2019[[#This Row],[Amount]])</f>
        <v>3.28</v>
      </c>
      <c r="K607" s="38">
        <v>1</v>
      </c>
      <c r="L607" s="38">
        <f ca="1">IF(Log_2019[[#This Row],[Date]]&lt;=TODAY(), MIN(Log_2019[[#This Row],[Split_raw]], TODAY()-Log_2019[[#This Row],[Date]]+1), 0)</f>
        <v>1</v>
      </c>
      <c r="M607" s="34" t="s">
        <v>35</v>
      </c>
      <c r="N607" s="34" t="s">
        <v>158</v>
      </c>
      <c r="O607" s="7">
        <v>0</v>
      </c>
      <c r="P607" s="52">
        <f ca="1">Log_2019[[#This Row],[Amount]]/Log_2019[[#This Row],[Split_raw]]*MAX(0,MIN(_xlfn.DAYS(EDATE(P$1,1),Log_2019[[#This Row],[Date]]),Log_2019[[#This Row],[Split_apply]])) - SUM($O607:O607)</f>
        <v>0</v>
      </c>
      <c r="Q607" s="52">
        <f ca="1">Log_2019[[#This Row],[Amount]]/Log_2019[[#This Row],[Split_raw]]*MAX(0,MIN(_xlfn.DAYS(EDATE(Q$1,1),Log_2019[[#This Row],[Date]]),Log_2019[[#This Row],[Split_apply]])) - SUM($O607:P607)</f>
        <v>0</v>
      </c>
      <c r="R607" s="52">
        <f ca="1">Log_2019[[#This Row],[Amount]]/Log_2019[[#This Row],[Split_raw]]*MAX(0,MIN(_xlfn.DAYS(EDATE(R$1,1),Log_2019[[#This Row],[Date]]),Log_2019[[#This Row],[Split_apply]])) - SUM($O607:Q607)</f>
        <v>-3.28</v>
      </c>
      <c r="S607" s="52">
        <f ca="1">Log_2019[[#This Row],[Amount]]/Log_2019[[#This Row],[Split_raw]]*MAX(0,MIN(_xlfn.DAYS(EDATE(S$1,1),Log_2019[[#This Row],[Date]]),Log_2019[[#This Row],[Split_apply]])) - SUM($O607:R607)</f>
        <v>0</v>
      </c>
      <c r="T607" s="52">
        <f ca="1">Log_2019[[#This Row],[Amount]]/Log_2019[[#This Row],[Split_raw]]*MAX(0,MIN(_xlfn.DAYS(EDATE(T$1,1),Log_2019[[#This Row],[Date]]),Log_2019[[#This Row],[Split_apply]])) - SUM($O607:S607)</f>
        <v>0</v>
      </c>
      <c r="U607" s="52">
        <f ca="1">Log_2019[[#This Row],[Amount]]/Log_2019[[#This Row],[Split_raw]]*MAX(0,MIN(_xlfn.DAYS(EDATE(U$1,1),Log_2019[[#This Row],[Date]]),Log_2019[[#This Row],[Split_apply]])) - SUM($O607:T607)</f>
        <v>0</v>
      </c>
      <c r="V607" s="52">
        <f ca="1">Log_2019[[#This Row],[Amount]]/Log_2019[[#This Row],[Split_raw]]*MAX(0,MIN(_xlfn.DAYS(EDATE(V$1,1),Log_2019[[#This Row],[Date]]),Log_2019[[#This Row],[Split_apply]])) - SUM($O607:U607)</f>
        <v>0</v>
      </c>
      <c r="W607" s="52">
        <f ca="1">Log_2019[[#This Row],[Amount]]/Log_2019[[#This Row],[Split_raw]]*MAX(0,MIN(_xlfn.DAYS(EDATE(W$1,1),Log_2019[[#This Row],[Date]]),Log_2019[[#This Row],[Split_apply]])) - SUM($O607:V607)</f>
        <v>0</v>
      </c>
      <c r="X607" s="52">
        <f ca="1">Log_2019[[#This Row],[Amount]]/Log_2019[[#This Row],[Split_raw]]*MAX(0,MIN(_xlfn.DAYS(EDATE(X$1,1),Log_2019[[#This Row],[Date]]),Log_2019[[#This Row],[Split_apply]])) - SUM($O607:W607)</f>
        <v>0</v>
      </c>
      <c r="Y607" s="52">
        <f ca="1">Log_2019[[#This Row],[Amount]]/Log_2019[[#This Row],[Split_raw]]*MAX(0,MIN(_xlfn.DAYS(EDATE(Y$1,1),Log_2019[[#This Row],[Date]]),Log_2019[[#This Row],[Split_apply]])) - SUM($O607:X607)</f>
        <v>0</v>
      </c>
      <c r="Z607" s="52">
        <f ca="1">Log_2019[[#This Row],[Amount]]/Log_2019[[#This Row],[Split_raw]]*MAX(0,MIN(_xlfn.DAYS(EDATE(Z$1,1),Log_2019[[#This Row],[Date]]),Log_2019[[#This Row],[Split_apply]])) - SUM($O607:Y607)</f>
        <v>0</v>
      </c>
      <c r="AA607" s="52">
        <f ca="1">Log_2019[[#This Row],[Amount]]/Log_2019[[#This Row],[Split_raw]]*MAX(0,MIN(_xlfn.DAYS(EDATE(AA$1,1),Log_2019[[#This Row],[Date]]),Log_2019[[#This Row],[Split_apply]])) - SUM($O607:Z607)</f>
        <v>0</v>
      </c>
      <c r="AB607" s="54">
        <f ca="1">Log_2019[[#This Row],[Amount]]-SUM(O607:AA607)</f>
        <v>0</v>
      </c>
      <c r="AC607" s="7">
        <f>MAX(0,Log_2019[[#This Row],[Split_raw]] - (EDATE(AA$1,1)-Log_2019[[#This Row],[Date]]))</f>
        <v>0</v>
      </c>
    </row>
    <row r="608" spans="1:29" x14ac:dyDescent="0.25">
      <c r="A608" s="42"/>
      <c r="B608" s="34" t="s">
        <v>6</v>
      </c>
      <c r="C608" s="34"/>
      <c r="D608" s="35">
        <v>43552</v>
      </c>
      <c r="E608" s="34"/>
      <c r="F608" s="34" t="s">
        <v>16</v>
      </c>
      <c r="G608" s="34" t="s">
        <v>17</v>
      </c>
      <c r="H608" s="36">
        <f>--0.11</f>
        <v>0.11</v>
      </c>
      <c r="I608" s="36">
        <f>IF(Log_2019[[#This Row],[My Category]]="NONTRACKED",0,Log_2019[[#This Row],[Raw Amount]])</f>
        <v>0.11</v>
      </c>
      <c r="J608" s="37">
        <f>ABS(Log_2019[[#This Row],[Amount]])</f>
        <v>0.11</v>
      </c>
      <c r="K608" s="38">
        <v>1</v>
      </c>
      <c r="L608" s="38">
        <f ca="1">IF(Log_2019[[#This Row],[Date]]&lt;=TODAY(), MIN(Log_2019[[#This Row],[Split_raw]], TODAY()-Log_2019[[#This Row],[Date]]+1), 0)</f>
        <v>1</v>
      </c>
      <c r="M608" s="34" t="s">
        <v>144</v>
      </c>
      <c r="N608" s="34" t="s">
        <v>160</v>
      </c>
      <c r="O608" s="7">
        <v>0</v>
      </c>
      <c r="P608" s="52">
        <f ca="1">Log_2019[[#This Row],[Amount]]/Log_2019[[#This Row],[Split_raw]]*MAX(0,MIN(_xlfn.DAYS(EDATE(P$1,1),Log_2019[[#This Row],[Date]]),Log_2019[[#This Row],[Split_apply]])) - SUM($O608:O608)</f>
        <v>0</v>
      </c>
      <c r="Q608" s="52">
        <f ca="1">Log_2019[[#This Row],[Amount]]/Log_2019[[#This Row],[Split_raw]]*MAX(0,MIN(_xlfn.DAYS(EDATE(Q$1,1),Log_2019[[#This Row],[Date]]),Log_2019[[#This Row],[Split_apply]])) - SUM($O608:P608)</f>
        <v>0</v>
      </c>
      <c r="R608" s="52">
        <f ca="1">Log_2019[[#This Row],[Amount]]/Log_2019[[#This Row],[Split_raw]]*MAX(0,MIN(_xlfn.DAYS(EDATE(R$1,1),Log_2019[[#This Row],[Date]]),Log_2019[[#This Row],[Split_apply]])) - SUM($O608:Q608)</f>
        <v>0.11</v>
      </c>
      <c r="S608" s="52">
        <f ca="1">Log_2019[[#This Row],[Amount]]/Log_2019[[#This Row],[Split_raw]]*MAX(0,MIN(_xlfn.DAYS(EDATE(S$1,1),Log_2019[[#This Row],[Date]]),Log_2019[[#This Row],[Split_apply]])) - SUM($O608:R608)</f>
        <v>0</v>
      </c>
      <c r="T608" s="52">
        <f ca="1">Log_2019[[#This Row],[Amount]]/Log_2019[[#This Row],[Split_raw]]*MAX(0,MIN(_xlfn.DAYS(EDATE(T$1,1),Log_2019[[#This Row],[Date]]),Log_2019[[#This Row],[Split_apply]])) - SUM($O608:S608)</f>
        <v>0</v>
      </c>
      <c r="U608" s="52">
        <f ca="1">Log_2019[[#This Row],[Amount]]/Log_2019[[#This Row],[Split_raw]]*MAX(0,MIN(_xlfn.DAYS(EDATE(U$1,1),Log_2019[[#This Row],[Date]]),Log_2019[[#This Row],[Split_apply]])) - SUM($O608:T608)</f>
        <v>0</v>
      </c>
      <c r="V608" s="52">
        <f ca="1">Log_2019[[#This Row],[Amount]]/Log_2019[[#This Row],[Split_raw]]*MAX(0,MIN(_xlfn.DAYS(EDATE(V$1,1),Log_2019[[#This Row],[Date]]),Log_2019[[#This Row],[Split_apply]])) - SUM($O608:U608)</f>
        <v>0</v>
      </c>
      <c r="W608" s="52">
        <f ca="1">Log_2019[[#This Row],[Amount]]/Log_2019[[#This Row],[Split_raw]]*MAX(0,MIN(_xlfn.DAYS(EDATE(W$1,1),Log_2019[[#This Row],[Date]]),Log_2019[[#This Row],[Split_apply]])) - SUM($O608:V608)</f>
        <v>0</v>
      </c>
      <c r="X608" s="52">
        <f ca="1">Log_2019[[#This Row],[Amount]]/Log_2019[[#This Row],[Split_raw]]*MAX(0,MIN(_xlfn.DAYS(EDATE(X$1,1),Log_2019[[#This Row],[Date]]),Log_2019[[#This Row],[Split_apply]])) - SUM($O608:W608)</f>
        <v>0</v>
      </c>
      <c r="Y608" s="52">
        <f ca="1">Log_2019[[#This Row],[Amount]]/Log_2019[[#This Row],[Split_raw]]*MAX(0,MIN(_xlfn.DAYS(EDATE(Y$1,1),Log_2019[[#This Row],[Date]]),Log_2019[[#This Row],[Split_apply]])) - SUM($O608:X608)</f>
        <v>0</v>
      </c>
      <c r="Z608" s="52">
        <f ca="1">Log_2019[[#This Row],[Amount]]/Log_2019[[#This Row],[Split_raw]]*MAX(0,MIN(_xlfn.DAYS(EDATE(Z$1,1),Log_2019[[#This Row],[Date]]),Log_2019[[#This Row],[Split_apply]])) - SUM($O608:Y608)</f>
        <v>0</v>
      </c>
      <c r="AA608" s="52">
        <f ca="1">Log_2019[[#This Row],[Amount]]/Log_2019[[#This Row],[Split_raw]]*MAX(0,MIN(_xlfn.DAYS(EDATE(AA$1,1),Log_2019[[#This Row],[Date]]),Log_2019[[#This Row],[Split_apply]])) - SUM($O608:Z608)</f>
        <v>0</v>
      </c>
      <c r="AB608" s="54">
        <f ca="1">Log_2019[[#This Row],[Amount]]-SUM(O608:AA608)</f>
        <v>0</v>
      </c>
      <c r="AC608" s="7">
        <f>MAX(0,Log_2019[[#This Row],[Split_raw]] - (EDATE(AA$1,1)-Log_2019[[#This Row],[Date]]))</f>
        <v>0</v>
      </c>
    </row>
    <row r="609" spans="1:29" x14ac:dyDescent="0.25">
      <c r="A609" s="42"/>
      <c r="B609" s="34" t="s">
        <v>6</v>
      </c>
      <c r="C609" s="34"/>
      <c r="D609" s="35">
        <v>43552</v>
      </c>
      <c r="E609" s="34" t="s">
        <v>251</v>
      </c>
      <c r="F609" s="34" t="s">
        <v>246</v>
      </c>
      <c r="G609" s="34" t="s">
        <v>143</v>
      </c>
      <c r="H609" s="36">
        <v>-8.65</v>
      </c>
      <c r="I609" s="36">
        <f>IF(Log_2019[[#This Row],[My Category]]="NONTRACKED",0,Log_2019[[#This Row],[Raw Amount]])</f>
        <v>-8.65</v>
      </c>
      <c r="J609" s="37">
        <f>ABS(Log_2019[[#This Row],[Amount]])</f>
        <v>8.65</v>
      </c>
      <c r="K609" s="38">
        <v>30</v>
      </c>
      <c r="L609" s="38">
        <f ca="1">IF(Log_2019[[#This Row],[Date]]&lt;=TODAY(), MIN(Log_2019[[#This Row],[Split_raw]], TODAY()-Log_2019[[#This Row],[Date]]+1), 0)</f>
        <v>30</v>
      </c>
      <c r="M609" s="34" t="s">
        <v>53</v>
      </c>
      <c r="N609" s="34" t="s">
        <v>160</v>
      </c>
      <c r="O609" s="7">
        <v>0</v>
      </c>
      <c r="P609" s="52">
        <f ca="1">Log_2019[[#This Row],[Amount]]/Log_2019[[#This Row],[Split_raw]]*MAX(0,MIN(_xlfn.DAYS(EDATE(P$1,1),Log_2019[[#This Row],[Date]]),Log_2019[[#This Row],[Split_apply]])) - SUM($O609:O609)</f>
        <v>0</v>
      </c>
      <c r="Q609" s="52">
        <f ca="1">Log_2019[[#This Row],[Amount]]/Log_2019[[#This Row],[Split_raw]]*MAX(0,MIN(_xlfn.DAYS(EDATE(Q$1,1),Log_2019[[#This Row],[Date]]),Log_2019[[#This Row],[Split_apply]])) - SUM($O609:P609)</f>
        <v>0</v>
      </c>
      <c r="R609" s="52">
        <f ca="1">Log_2019[[#This Row],[Amount]]/Log_2019[[#This Row],[Split_raw]]*MAX(0,MIN(_xlfn.DAYS(EDATE(R$1,1),Log_2019[[#This Row],[Date]]),Log_2019[[#This Row],[Split_apply]])) - SUM($O609:Q609)</f>
        <v>-1.1533333333333333</v>
      </c>
      <c r="S609" s="52">
        <f ca="1">Log_2019[[#This Row],[Amount]]/Log_2019[[#This Row],[Split_raw]]*MAX(0,MIN(_xlfn.DAYS(EDATE(S$1,1),Log_2019[[#This Row],[Date]]),Log_2019[[#This Row],[Split_apply]])) - SUM($O609:R609)</f>
        <v>-7.496666666666667</v>
      </c>
      <c r="T609" s="52">
        <f ca="1">Log_2019[[#This Row],[Amount]]/Log_2019[[#This Row],[Split_raw]]*MAX(0,MIN(_xlfn.DAYS(EDATE(T$1,1),Log_2019[[#This Row],[Date]]),Log_2019[[#This Row],[Split_apply]])) - SUM($O609:S609)</f>
        <v>0</v>
      </c>
      <c r="U609" s="52">
        <f ca="1">Log_2019[[#This Row],[Amount]]/Log_2019[[#This Row],[Split_raw]]*MAX(0,MIN(_xlfn.DAYS(EDATE(U$1,1),Log_2019[[#This Row],[Date]]),Log_2019[[#This Row],[Split_apply]])) - SUM($O609:T609)</f>
        <v>0</v>
      </c>
      <c r="V609" s="52">
        <f ca="1">Log_2019[[#This Row],[Amount]]/Log_2019[[#This Row],[Split_raw]]*MAX(0,MIN(_xlfn.DAYS(EDATE(V$1,1),Log_2019[[#This Row],[Date]]),Log_2019[[#This Row],[Split_apply]])) - SUM($O609:U609)</f>
        <v>0</v>
      </c>
      <c r="W609" s="52">
        <f ca="1">Log_2019[[#This Row],[Amount]]/Log_2019[[#This Row],[Split_raw]]*MAX(0,MIN(_xlfn.DAYS(EDATE(W$1,1),Log_2019[[#This Row],[Date]]),Log_2019[[#This Row],[Split_apply]])) - SUM($O609:V609)</f>
        <v>0</v>
      </c>
      <c r="X609" s="52">
        <f ca="1">Log_2019[[#This Row],[Amount]]/Log_2019[[#This Row],[Split_raw]]*MAX(0,MIN(_xlfn.DAYS(EDATE(X$1,1),Log_2019[[#This Row],[Date]]),Log_2019[[#This Row],[Split_apply]])) - SUM($O609:W609)</f>
        <v>0</v>
      </c>
      <c r="Y609" s="52">
        <f ca="1">Log_2019[[#This Row],[Amount]]/Log_2019[[#This Row],[Split_raw]]*MAX(0,MIN(_xlfn.DAYS(EDATE(Y$1,1),Log_2019[[#This Row],[Date]]),Log_2019[[#This Row],[Split_apply]])) - SUM($O609:X609)</f>
        <v>0</v>
      </c>
      <c r="Z609" s="52">
        <f ca="1">Log_2019[[#This Row],[Amount]]/Log_2019[[#This Row],[Split_raw]]*MAX(0,MIN(_xlfn.DAYS(EDATE(Z$1,1),Log_2019[[#This Row],[Date]]),Log_2019[[#This Row],[Split_apply]])) - SUM($O609:Y609)</f>
        <v>0</v>
      </c>
      <c r="AA609" s="52">
        <f ca="1">Log_2019[[#This Row],[Amount]]/Log_2019[[#This Row],[Split_raw]]*MAX(0,MIN(_xlfn.DAYS(EDATE(AA$1,1),Log_2019[[#This Row],[Date]]),Log_2019[[#This Row],[Split_apply]])) - SUM($O609:Z609)</f>
        <v>0</v>
      </c>
      <c r="AB609" s="54">
        <f ca="1">Log_2019[[#This Row],[Amount]]-SUM(O609:AA609)</f>
        <v>0</v>
      </c>
      <c r="AC609" s="7">
        <f>MAX(0,Log_2019[[#This Row],[Split_raw]] - (EDATE(AA$1,1)-Log_2019[[#This Row],[Date]]))</f>
        <v>0</v>
      </c>
    </row>
    <row r="610" spans="1:29" x14ac:dyDescent="0.25">
      <c r="A610" s="42"/>
      <c r="B610" s="34" t="s">
        <v>6</v>
      </c>
      <c r="C610" s="34"/>
      <c r="D610" s="35">
        <v>43552</v>
      </c>
      <c r="E610" s="34"/>
      <c r="F610" s="34" t="s">
        <v>569</v>
      </c>
      <c r="G610" s="34" t="s">
        <v>80</v>
      </c>
      <c r="H610" s="36">
        <f>--1891.67</f>
        <v>1891.67</v>
      </c>
      <c r="I610" s="36">
        <f>IF(Log_2019[[#This Row],[My Category]]="NONTRACKED",0,Log_2019[[#This Row],[Raw Amount]])</f>
        <v>1891.67</v>
      </c>
      <c r="J610" s="37">
        <f>ABS(Log_2019[[#This Row],[Amount]])</f>
        <v>1891.67</v>
      </c>
      <c r="K610" s="38">
        <v>14</v>
      </c>
      <c r="L610" s="38">
        <f ca="1">IF(Log_2019[[#This Row],[Date]]&lt;=TODAY(), MIN(Log_2019[[#This Row],[Split_raw]], TODAY()-Log_2019[[#This Row],[Date]]+1), 0)</f>
        <v>14</v>
      </c>
      <c r="M610" s="34" t="s">
        <v>91</v>
      </c>
      <c r="N610" s="34" t="s">
        <v>160</v>
      </c>
      <c r="O610" s="7">
        <v>0</v>
      </c>
      <c r="P610" s="52">
        <f ca="1">Log_2019[[#This Row],[Amount]]/Log_2019[[#This Row],[Split_raw]]*MAX(0,MIN(_xlfn.DAYS(EDATE(P$1,1),Log_2019[[#This Row],[Date]]),Log_2019[[#This Row],[Split_apply]])) - SUM($O610:O610)</f>
        <v>0</v>
      </c>
      <c r="Q610" s="52">
        <f ca="1">Log_2019[[#This Row],[Amount]]/Log_2019[[#This Row],[Split_raw]]*MAX(0,MIN(_xlfn.DAYS(EDATE(Q$1,1),Log_2019[[#This Row],[Date]]),Log_2019[[#This Row],[Split_apply]])) - SUM($O610:P610)</f>
        <v>0</v>
      </c>
      <c r="R610" s="52">
        <f ca="1">Log_2019[[#This Row],[Amount]]/Log_2019[[#This Row],[Split_raw]]*MAX(0,MIN(_xlfn.DAYS(EDATE(R$1,1),Log_2019[[#This Row],[Date]]),Log_2019[[#This Row],[Split_apply]])) - SUM($O610:Q610)</f>
        <v>540.47714285714289</v>
      </c>
      <c r="S610" s="52">
        <f ca="1">Log_2019[[#This Row],[Amount]]/Log_2019[[#This Row],[Split_raw]]*MAX(0,MIN(_xlfn.DAYS(EDATE(S$1,1),Log_2019[[#This Row],[Date]]),Log_2019[[#This Row],[Split_apply]])) - SUM($O610:R610)</f>
        <v>1351.1928571428571</v>
      </c>
      <c r="T610" s="52">
        <f ca="1">Log_2019[[#This Row],[Amount]]/Log_2019[[#This Row],[Split_raw]]*MAX(0,MIN(_xlfn.DAYS(EDATE(T$1,1),Log_2019[[#This Row],[Date]]),Log_2019[[#This Row],[Split_apply]])) - SUM($O610:S610)</f>
        <v>0</v>
      </c>
      <c r="U610" s="52">
        <f ca="1">Log_2019[[#This Row],[Amount]]/Log_2019[[#This Row],[Split_raw]]*MAX(0,MIN(_xlfn.DAYS(EDATE(U$1,1),Log_2019[[#This Row],[Date]]),Log_2019[[#This Row],[Split_apply]])) - SUM($O610:T610)</f>
        <v>0</v>
      </c>
      <c r="V610" s="52">
        <f ca="1">Log_2019[[#This Row],[Amount]]/Log_2019[[#This Row],[Split_raw]]*MAX(0,MIN(_xlfn.DAYS(EDATE(V$1,1),Log_2019[[#This Row],[Date]]),Log_2019[[#This Row],[Split_apply]])) - SUM($O610:U610)</f>
        <v>0</v>
      </c>
      <c r="W610" s="52">
        <f ca="1">Log_2019[[#This Row],[Amount]]/Log_2019[[#This Row],[Split_raw]]*MAX(0,MIN(_xlfn.DAYS(EDATE(W$1,1),Log_2019[[#This Row],[Date]]),Log_2019[[#This Row],[Split_apply]])) - SUM($O610:V610)</f>
        <v>0</v>
      </c>
      <c r="X610" s="52">
        <f ca="1">Log_2019[[#This Row],[Amount]]/Log_2019[[#This Row],[Split_raw]]*MAX(0,MIN(_xlfn.DAYS(EDATE(X$1,1),Log_2019[[#This Row],[Date]]),Log_2019[[#This Row],[Split_apply]])) - SUM($O610:W610)</f>
        <v>0</v>
      </c>
      <c r="Y610" s="52">
        <f ca="1">Log_2019[[#This Row],[Amount]]/Log_2019[[#This Row],[Split_raw]]*MAX(0,MIN(_xlfn.DAYS(EDATE(Y$1,1),Log_2019[[#This Row],[Date]]),Log_2019[[#This Row],[Split_apply]])) - SUM($O610:X610)</f>
        <v>0</v>
      </c>
      <c r="Z610" s="52">
        <f ca="1">Log_2019[[#This Row],[Amount]]/Log_2019[[#This Row],[Split_raw]]*MAX(0,MIN(_xlfn.DAYS(EDATE(Z$1,1),Log_2019[[#This Row],[Date]]),Log_2019[[#This Row],[Split_apply]])) - SUM($O610:Y610)</f>
        <v>0</v>
      </c>
      <c r="AA610" s="52">
        <f ca="1">Log_2019[[#This Row],[Amount]]/Log_2019[[#This Row],[Split_raw]]*MAX(0,MIN(_xlfn.DAYS(EDATE(AA$1,1),Log_2019[[#This Row],[Date]]),Log_2019[[#This Row],[Split_apply]])) - SUM($O610:Z610)</f>
        <v>0</v>
      </c>
      <c r="AB610" s="54">
        <f ca="1">Log_2019[[#This Row],[Amount]]-SUM(O610:AA610)</f>
        <v>0</v>
      </c>
      <c r="AC610" s="7">
        <f>MAX(0,Log_2019[[#This Row],[Split_raw]] - (EDATE(AA$1,1)-Log_2019[[#This Row],[Date]]))</f>
        <v>0</v>
      </c>
    </row>
    <row r="611" spans="1:29" x14ac:dyDescent="0.25">
      <c r="A611" s="42"/>
      <c r="B611" s="34" t="s">
        <v>6</v>
      </c>
      <c r="C611" s="34"/>
      <c r="D611" s="35">
        <v>43551</v>
      </c>
      <c r="E611" s="34" t="s">
        <v>565</v>
      </c>
      <c r="F611" s="34" t="s">
        <v>560</v>
      </c>
      <c r="G611" s="34" t="s">
        <v>27</v>
      </c>
      <c r="H611" s="36">
        <v>-103</v>
      </c>
      <c r="I611" s="36">
        <f>IF(Log_2019[[#This Row],[My Category]]="NONTRACKED",0,Log_2019[[#This Row],[Raw Amount]])</f>
        <v>-103</v>
      </c>
      <c r="J611" s="37">
        <f>ABS(Log_2019[[#This Row],[Amount]])</f>
        <v>103</v>
      </c>
      <c r="K611" s="38">
        <v>1</v>
      </c>
      <c r="L611" s="38">
        <f ca="1">IF(Log_2019[[#This Row],[Date]]&lt;=TODAY(), MIN(Log_2019[[#This Row],[Split_raw]], TODAY()-Log_2019[[#This Row],[Date]]+1), 0)</f>
        <v>1</v>
      </c>
      <c r="M611" s="34" t="s">
        <v>34</v>
      </c>
      <c r="N611" s="34" t="s">
        <v>158</v>
      </c>
      <c r="O611" s="7">
        <v>0</v>
      </c>
      <c r="P611" s="52">
        <f ca="1">Log_2019[[#This Row],[Amount]]/Log_2019[[#This Row],[Split_raw]]*MAX(0,MIN(_xlfn.DAYS(EDATE(P$1,1),Log_2019[[#This Row],[Date]]),Log_2019[[#This Row],[Split_apply]])) - SUM($O611:O611)</f>
        <v>0</v>
      </c>
      <c r="Q611" s="52">
        <f ca="1">Log_2019[[#This Row],[Amount]]/Log_2019[[#This Row],[Split_raw]]*MAX(0,MIN(_xlfn.DAYS(EDATE(Q$1,1),Log_2019[[#This Row],[Date]]),Log_2019[[#This Row],[Split_apply]])) - SUM($O611:P611)</f>
        <v>0</v>
      </c>
      <c r="R611" s="52">
        <f ca="1">Log_2019[[#This Row],[Amount]]/Log_2019[[#This Row],[Split_raw]]*MAX(0,MIN(_xlfn.DAYS(EDATE(R$1,1),Log_2019[[#This Row],[Date]]),Log_2019[[#This Row],[Split_apply]])) - SUM($O611:Q611)</f>
        <v>-103</v>
      </c>
      <c r="S611" s="52">
        <f ca="1">Log_2019[[#This Row],[Amount]]/Log_2019[[#This Row],[Split_raw]]*MAX(0,MIN(_xlfn.DAYS(EDATE(S$1,1),Log_2019[[#This Row],[Date]]),Log_2019[[#This Row],[Split_apply]])) - SUM($O611:R611)</f>
        <v>0</v>
      </c>
      <c r="T611" s="52">
        <f ca="1">Log_2019[[#This Row],[Amount]]/Log_2019[[#This Row],[Split_raw]]*MAX(0,MIN(_xlfn.DAYS(EDATE(T$1,1),Log_2019[[#This Row],[Date]]),Log_2019[[#This Row],[Split_apply]])) - SUM($O611:S611)</f>
        <v>0</v>
      </c>
      <c r="U611" s="52">
        <f ca="1">Log_2019[[#This Row],[Amount]]/Log_2019[[#This Row],[Split_raw]]*MAX(0,MIN(_xlfn.DAYS(EDATE(U$1,1),Log_2019[[#This Row],[Date]]),Log_2019[[#This Row],[Split_apply]])) - SUM($O611:T611)</f>
        <v>0</v>
      </c>
      <c r="V611" s="52">
        <f ca="1">Log_2019[[#This Row],[Amount]]/Log_2019[[#This Row],[Split_raw]]*MAX(0,MIN(_xlfn.DAYS(EDATE(V$1,1),Log_2019[[#This Row],[Date]]),Log_2019[[#This Row],[Split_apply]])) - SUM($O611:U611)</f>
        <v>0</v>
      </c>
      <c r="W611" s="52">
        <f ca="1">Log_2019[[#This Row],[Amount]]/Log_2019[[#This Row],[Split_raw]]*MAX(0,MIN(_xlfn.DAYS(EDATE(W$1,1),Log_2019[[#This Row],[Date]]),Log_2019[[#This Row],[Split_apply]])) - SUM($O611:V611)</f>
        <v>0</v>
      </c>
      <c r="X611" s="52">
        <f ca="1">Log_2019[[#This Row],[Amount]]/Log_2019[[#This Row],[Split_raw]]*MAX(0,MIN(_xlfn.DAYS(EDATE(X$1,1),Log_2019[[#This Row],[Date]]),Log_2019[[#This Row],[Split_apply]])) - SUM($O611:W611)</f>
        <v>0</v>
      </c>
      <c r="Y611" s="52">
        <f ca="1">Log_2019[[#This Row],[Amount]]/Log_2019[[#This Row],[Split_raw]]*MAX(0,MIN(_xlfn.DAYS(EDATE(Y$1,1),Log_2019[[#This Row],[Date]]),Log_2019[[#This Row],[Split_apply]])) - SUM($O611:X611)</f>
        <v>0</v>
      </c>
      <c r="Z611" s="52">
        <f ca="1">Log_2019[[#This Row],[Amount]]/Log_2019[[#This Row],[Split_raw]]*MAX(0,MIN(_xlfn.DAYS(EDATE(Z$1,1),Log_2019[[#This Row],[Date]]),Log_2019[[#This Row],[Split_apply]])) - SUM($O611:Y611)</f>
        <v>0</v>
      </c>
      <c r="AA611" s="52">
        <f ca="1">Log_2019[[#This Row],[Amount]]/Log_2019[[#This Row],[Split_raw]]*MAX(0,MIN(_xlfn.DAYS(EDATE(AA$1,1),Log_2019[[#This Row],[Date]]),Log_2019[[#This Row],[Split_apply]])) - SUM($O611:Z611)</f>
        <v>0</v>
      </c>
      <c r="AB611" s="54">
        <f ca="1">Log_2019[[#This Row],[Amount]]-SUM(O611:AA611)</f>
        <v>0</v>
      </c>
      <c r="AC611" s="7">
        <f>MAX(0,Log_2019[[#This Row],[Split_raw]] - (EDATE(AA$1,1)-Log_2019[[#This Row],[Date]]))</f>
        <v>0</v>
      </c>
    </row>
    <row r="612" spans="1:29" x14ac:dyDescent="0.25">
      <c r="A612" s="42"/>
      <c r="B612" s="34" t="s">
        <v>6</v>
      </c>
      <c r="C612" s="34"/>
      <c r="D612" s="35">
        <v>43551</v>
      </c>
      <c r="E612" s="34" t="s">
        <v>574</v>
      </c>
      <c r="F612" s="34" t="s">
        <v>570</v>
      </c>
      <c r="G612" s="34" t="s">
        <v>143</v>
      </c>
      <c r="H612" s="36">
        <v>-33.46</v>
      </c>
      <c r="I612" s="36">
        <f>IF(Log_2019[[#This Row],[My Category]]="NONTRACKED",0,Log_2019[[#This Row],[Raw Amount]])</f>
        <v>-33.46</v>
      </c>
      <c r="J612" s="37">
        <f>ABS(Log_2019[[#This Row],[Amount]])</f>
        <v>33.46</v>
      </c>
      <c r="K612" s="38">
        <v>1</v>
      </c>
      <c r="L612" s="38">
        <f ca="1">IF(Log_2019[[#This Row],[Date]]&lt;=TODAY(), MIN(Log_2019[[#This Row],[Split_raw]], TODAY()-Log_2019[[#This Row],[Date]]+1), 0)</f>
        <v>1</v>
      </c>
      <c r="M612" s="34" t="s">
        <v>37</v>
      </c>
      <c r="N612" s="34" t="s">
        <v>160</v>
      </c>
      <c r="O612" s="7">
        <v>0</v>
      </c>
      <c r="P612" s="52">
        <f ca="1">Log_2019[[#This Row],[Amount]]/Log_2019[[#This Row],[Split_raw]]*MAX(0,MIN(_xlfn.DAYS(EDATE(P$1,1),Log_2019[[#This Row],[Date]]),Log_2019[[#This Row],[Split_apply]])) - SUM($O612:O612)</f>
        <v>0</v>
      </c>
      <c r="Q612" s="52">
        <f ca="1">Log_2019[[#This Row],[Amount]]/Log_2019[[#This Row],[Split_raw]]*MAX(0,MIN(_xlfn.DAYS(EDATE(Q$1,1),Log_2019[[#This Row],[Date]]),Log_2019[[#This Row],[Split_apply]])) - SUM($O612:P612)</f>
        <v>0</v>
      </c>
      <c r="R612" s="52">
        <f ca="1">Log_2019[[#This Row],[Amount]]/Log_2019[[#This Row],[Split_raw]]*MAX(0,MIN(_xlfn.DAYS(EDATE(R$1,1),Log_2019[[#This Row],[Date]]),Log_2019[[#This Row],[Split_apply]])) - SUM($O612:Q612)</f>
        <v>-33.46</v>
      </c>
      <c r="S612" s="52">
        <f ca="1">Log_2019[[#This Row],[Amount]]/Log_2019[[#This Row],[Split_raw]]*MAX(0,MIN(_xlfn.DAYS(EDATE(S$1,1),Log_2019[[#This Row],[Date]]),Log_2019[[#This Row],[Split_apply]])) - SUM($O612:R612)</f>
        <v>0</v>
      </c>
      <c r="T612" s="52">
        <f ca="1">Log_2019[[#This Row],[Amount]]/Log_2019[[#This Row],[Split_raw]]*MAX(0,MIN(_xlfn.DAYS(EDATE(T$1,1),Log_2019[[#This Row],[Date]]),Log_2019[[#This Row],[Split_apply]])) - SUM($O612:S612)</f>
        <v>0</v>
      </c>
      <c r="U612" s="52">
        <f ca="1">Log_2019[[#This Row],[Amount]]/Log_2019[[#This Row],[Split_raw]]*MAX(0,MIN(_xlfn.DAYS(EDATE(U$1,1),Log_2019[[#This Row],[Date]]),Log_2019[[#This Row],[Split_apply]])) - SUM($O612:T612)</f>
        <v>0</v>
      </c>
      <c r="V612" s="52">
        <f ca="1">Log_2019[[#This Row],[Amount]]/Log_2019[[#This Row],[Split_raw]]*MAX(0,MIN(_xlfn.DAYS(EDATE(V$1,1),Log_2019[[#This Row],[Date]]),Log_2019[[#This Row],[Split_apply]])) - SUM($O612:U612)</f>
        <v>0</v>
      </c>
      <c r="W612" s="52">
        <f ca="1">Log_2019[[#This Row],[Amount]]/Log_2019[[#This Row],[Split_raw]]*MAX(0,MIN(_xlfn.DAYS(EDATE(W$1,1),Log_2019[[#This Row],[Date]]),Log_2019[[#This Row],[Split_apply]])) - SUM($O612:V612)</f>
        <v>0</v>
      </c>
      <c r="X612" s="52">
        <f ca="1">Log_2019[[#This Row],[Amount]]/Log_2019[[#This Row],[Split_raw]]*MAX(0,MIN(_xlfn.DAYS(EDATE(X$1,1),Log_2019[[#This Row],[Date]]),Log_2019[[#This Row],[Split_apply]])) - SUM($O612:W612)</f>
        <v>0</v>
      </c>
      <c r="Y612" s="52">
        <f ca="1">Log_2019[[#This Row],[Amount]]/Log_2019[[#This Row],[Split_raw]]*MAX(0,MIN(_xlfn.DAYS(EDATE(Y$1,1),Log_2019[[#This Row],[Date]]),Log_2019[[#This Row],[Split_apply]])) - SUM($O612:X612)</f>
        <v>0</v>
      </c>
      <c r="Z612" s="52">
        <f ca="1">Log_2019[[#This Row],[Amount]]/Log_2019[[#This Row],[Split_raw]]*MAX(0,MIN(_xlfn.DAYS(EDATE(Z$1,1),Log_2019[[#This Row],[Date]]),Log_2019[[#This Row],[Split_apply]])) - SUM($O612:Y612)</f>
        <v>0</v>
      </c>
      <c r="AA612" s="52">
        <f ca="1">Log_2019[[#This Row],[Amount]]/Log_2019[[#This Row],[Split_raw]]*MAX(0,MIN(_xlfn.DAYS(EDATE(AA$1,1),Log_2019[[#This Row],[Date]]),Log_2019[[#This Row],[Split_apply]])) - SUM($O612:Z612)</f>
        <v>0</v>
      </c>
      <c r="AB612" s="54">
        <f ca="1">Log_2019[[#This Row],[Amount]]-SUM(O612:AA612)</f>
        <v>0</v>
      </c>
      <c r="AC612" s="7">
        <f>MAX(0,Log_2019[[#This Row],[Split_raw]] - (EDATE(AA$1,1)-Log_2019[[#This Row],[Date]]))</f>
        <v>0</v>
      </c>
    </row>
    <row r="613" spans="1:29" x14ac:dyDescent="0.25">
      <c r="A613" s="42"/>
      <c r="B613" s="34" t="s">
        <v>6</v>
      </c>
      <c r="C613" s="34"/>
      <c r="D613" s="35">
        <v>43549</v>
      </c>
      <c r="E613" s="34"/>
      <c r="F613" s="34" t="s">
        <v>255</v>
      </c>
      <c r="G613" s="34" t="s">
        <v>25</v>
      </c>
      <c r="H613" s="36">
        <v>-6.67</v>
      </c>
      <c r="I613" s="36">
        <f>IF(Log_2019[[#This Row],[My Category]]="NONTRACKED",0,Log_2019[[#This Row],[Raw Amount]])</f>
        <v>-6.67</v>
      </c>
      <c r="J613" s="37">
        <f>ABS(Log_2019[[#This Row],[Amount]])</f>
        <v>6.67</v>
      </c>
      <c r="K613" s="38">
        <v>1</v>
      </c>
      <c r="L613" s="38">
        <f ca="1">IF(Log_2019[[#This Row],[Date]]&lt;=TODAY(), MIN(Log_2019[[#This Row],[Split_raw]], TODAY()-Log_2019[[#This Row],[Date]]+1), 0)</f>
        <v>1</v>
      </c>
      <c r="M613" s="34" t="s">
        <v>35</v>
      </c>
      <c r="N613" s="34" t="s">
        <v>158</v>
      </c>
      <c r="O613" s="7">
        <v>0</v>
      </c>
      <c r="P613" s="52">
        <f ca="1">Log_2019[[#This Row],[Amount]]/Log_2019[[#This Row],[Split_raw]]*MAX(0,MIN(_xlfn.DAYS(EDATE(P$1,1),Log_2019[[#This Row],[Date]]),Log_2019[[#This Row],[Split_apply]])) - SUM($O613:O613)</f>
        <v>0</v>
      </c>
      <c r="Q613" s="52">
        <f ca="1">Log_2019[[#This Row],[Amount]]/Log_2019[[#This Row],[Split_raw]]*MAX(0,MIN(_xlfn.DAYS(EDATE(Q$1,1),Log_2019[[#This Row],[Date]]),Log_2019[[#This Row],[Split_apply]])) - SUM($O613:P613)</f>
        <v>0</v>
      </c>
      <c r="R613" s="52">
        <f ca="1">Log_2019[[#This Row],[Amount]]/Log_2019[[#This Row],[Split_raw]]*MAX(0,MIN(_xlfn.DAYS(EDATE(R$1,1),Log_2019[[#This Row],[Date]]),Log_2019[[#This Row],[Split_apply]])) - SUM($O613:Q613)</f>
        <v>-6.67</v>
      </c>
      <c r="S613" s="52">
        <f ca="1">Log_2019[[#This Row],[Amount]]/Log_2019[[#This Row],[Split_raw]]*MAX(0,MIN(_xlfn.DAYS(EDATE(S$1,1),Log_2019[[#This Row],[Date]]),Log_2019[[#This Row],[Split_apply]])) - SUM($O613:R613)</f>
        <v>0</v>
      </c>
      <c r="T613" s="52">
        <f ca="1">Log_2019[[#This Row],[Amount]]/Log_2019[[#This Row],[Split_raw]]*MAX(0,MIN(_xlfn.DAYS(EDATE(T$1,1),Log_2019[[#This Row],[Date]]),Log_2019[[#This Row],[Split_apply]])) - SUM($O613:S613)</f>
        <v>0</v>
      </c>
      <c r="U613" s="52">
        <f ca="1">Log_2019[[#This Row],[Amount]]/Log_2019[[#This Row],[Split_raw]]*MAX(0,MIN(_xlfn.DAYS(EDATE(U$1,1),Log_2019[[#This Row],[Date]]),Log_2019[[#This Row],[Split_apply]])) - SUM($O613:T613)</f>
        <v>0</v>
      </c>
      <c r="V613" s="52">
        <f ca="1">Log_2019[[#This Row],[Amount]]/Log_2019[[#This Row],[Split_raw]]*MAX(0,MIN(_xlfn.DAYS(EDATE(V$1,1),Log_2019[[#This Row],[Date]]),Log_2019[[#This Row],[Split_apply]])) - SUM($O613:U613)</f>
        <v>0</v>
      </c>
      <c r="W613" s="52">
        <f ca="1">Log_2019[[#This Row],[Amount]]/Log_2019[[#This Row],[Split_raw]]*MAX(0,MIN(_xlfn.DAYS(EDATE(W$1,1),Log_2019[[#This Row],[Date]]),Log_2019[[#This Row],[Split_apply]])) - SUM($O613:V613)</f>
        <v>0</v>
      </c>
      <c r="X613" s="52">
        <f ca="1">Log_2019[[#This Row],[Amount]]/Log_2019[[#This Row],[Split_raw]]*MAX(0,MIN(_xlfn.DAYS(EDATE(X$1,1),Log_2019[[#This Row],[Date]]),Log_2019[[#This Row],[Split_apply]])) - SUM($O613:W613)</f>
        <v>0</v>
      </c>
      <c r="Y613" s="52">
        <f ca="1">Log_2019[[#This Row],[Amount]]/Log_2019[[#This Row],[Split_raw]]*MAX(0,MIN(_xlfn.DAYS(EDATE(Y$1,1),Log_2019[[#This Row],[Date]]),Log_2019[[#This Row],[Split_apply]])) - SUM($O613:X613)</f>
        <v>0</v>
      </c>
      <c r="Z613" s="52">
        <f ca="1">Log_2019[[#This Row],[Amount]]/Log_2019[[#This Row],[Split_raw]]*MAX(0,MIN(_xlfn.DAYS(EDATE(Z$1,1),Log_2019[[#This Row],[Date]]),Log_2019[[#This Row],[Split_apply]])) - SUM($O613:Y613)</f>
        <v>0</v>
      </c>
      <c r="AA613" s="52">
        <f ca="1">Log_2019[[#This Row],[Amount]]/Log_2019[[#This Row],[Split_raw]]*MAX(0,MIN(_xlfn.DAYS(EDATE(AA$1,1),Log_2019[[#This Row],[Date]]),Log_2019[[#This Row],[Split_apply]])) - SUM($O613:Z613)</f>
        <v>0</v>
      </c>
      <c r="AB613" s="54">
        <f ca="1">Log_2019[[#This Row],[Amount]]-SUM(O613:AA613)</f>
        <v>0</v>
      </c>
      <c r="AC613" s="7">
        <f>MAX(0,Log_2019[[#This Row],[Split_raw]] - (EDATE(AA$1,1)-Log_2019[[#This Row],[Date]]))</f>
        <v>0</v>
      </c>
    </row>
    <row r="614" spans="1:29" x14ac:dyDescent="0.25">
      <c r="A614" s="42"/>
      <c r="B614" s="34" t="s">
        <v>6</v>
      </c>
      <c r="C614" s="34"/>
      <c r="D614" s="35">
        <v>43549</v>
      </c>
      <c r="E614" s="34"/>
      <c r="F614" s="34" t="s">
        <v>255</v>
      </c>
      <c r="G614" s="34" t="s">
        <v>25</v>
      </c>
      <c r="H614" s="36">
        <v>-21.68</v>
      </c>
      <c r="I614" s="36">
        <f>IF(Log_2019[[#This Row],[My Category]]="NONTRACKED",0,Log_2019[[#This Row],[Raw Amount]])</f>
        <v>-21.68</v>
      </c>
      <c r="J614" s="37">
        <f>ABS(Log_2019[[#This Row],[Amount]])</f>
        <v>21.68</v>
      </c>
      <c r="K614" s="38">
        <v>1</v>
      </c>
      <c r="L614" s="38">
        <f ca="1">IF(Log_2019[[#This Row],[Date]]&lt;=TODAY(), MIN(Log_2019[[#This Row],[Split_raw]], TODAY()-Log_2019[[#This Row],[Date]]+1), 0)</f>
        <v>1</v>
      </c>
      <c r="M614" s="34" t="s">
        <v>52</v>
      </c>
      <c r="N614" s="34" t="s">
        <v>158</v>
      </c>
      <c r="O614" s="7">
        <v>0</v>
      </c>
      <c r="P614" s="52">
        <f ca="1">Log_2019[[#This Row],[Amount]]/Log_2019[[#This Row],[Split_raw]]*MAX(0,MIN(_xlfn.DAYS(EDATE(P$1,1),Log_2019[[#This Row],[Date]]),Log_2019[[#This Row],[Split_apply]])) - SUM($O614:O614)</f>
        <v>0</v>
      </c>
      <c r="Q614" s="52">
        <f ca="1">Log_2019[[#This Row],[Amount]]/Log_2019[[#This Row],[Split_raw]]*MAX(0,MIN(_xlfn.DAYS(EDATE(Q$1,1),Log_2019[[#This Row],[Date]]),Log_2019[[#This Row],[Split_apply]])) - SUM($O614:P614)</f>
        <v>0</v>
      </c>
      <c r="R614" s="52">
        <f ca="1">Log_2019[[#This Row],[Amount]]/Log_2019[[#This Row],[Split_raw]]*MAX(0,MIN(_xlfn.DAYS(EDATE(R$1,1),Log_2019[[#This Row],[Date]]),Log_2019[[#This Row],[Split_apply]])) - SUM($O614:Q614)</f>
        <v>-21.68</v>
      </c>
      <c r="S614" s="52">
        <f ca="1">Log_2019[[#This Row],[Amount]]/Log_2019[[#This Row],[Split_raw]]*MAX(0,MIN(_xlfn.DAYS(EDATE(S$1,1),Log_2019[[#This Row],[Date]]),Log_2019[[#This Row],[Split_apply]])) - SUM($O614:R614)</f>
        <v>0</v>
      </c>
      <c r="T614" s="52">
        <f ca="1">Log_2019[[#This Row],[Amount]]/Log_2019[[#This Row],[Split_raw]]*MAX(0,MIN(_xlfn.DAYS(EDATE(T$1,1),Log_2019[[#This Row],[Date]]),Log_2019[[#This Row],[Split_apply]])) - SUM($O614:S614)</f>
        <v>0</v>
      </c>
      <c r="U614" s="52">
        <f ca="1">Log_2019[[#This Row],[Amount]]/Log_2019[[#This Row],[Split_raw]]*MAX(0,MIN(_xlfn.DAYS(EDATE(U$1,1),Log_2019[[#This Row],[Date]]),Log_2019[[#This Row],[Split_apply]])) - SUM($O614:T614)</f>
        <v>0</v>
      </c>
      <c r="V614" s="52">
        <f ca="1">Log_2019[[#This Row],[Amount]]/Log_2019[[#This Row],[Split_raw]]*MAX(0,MIN(_xlfn.DAYS(EDATE(V$1,1),Log_2019[[#This Row],[Date]]),Log_2019[[#This Row],[Split_apply]])) - SUM($O614:U614)</f>
        <v>0</v>
      </c>
      <c r="W614" s="52">
        <f ca="1">Log_2019[[#This Row],[Amount]]/Log_2019[[#This Row],[Split_raw]]*MAX(0,MIN(_xlfn.DAYS(EDATE(W$1,1),Log_2019[[#This Row],[Date]]),Log_2019[[#This Row],[Split_apply]])) - SUM($O614:V614)</f>
        <v>0</v>
      </c>
      <c r="X614" s="52">
        <f ca="1">Log_2019[[#This Row],[Amount]]/Log_2019[[#This Row],[Split_raw]]*MAX(0,MIN(_xlfn.DAYS(EDATE(X$1,1),Log_2019[[#This Row],[Date]]),Log_2019[[#This Row],[Split_apply]])) - SUM($O614:W614)</f>
        <v>0</v>
      </c>
      <c r="Y614" s="52">
        <f ca="1">Log_2019[[#This Row],[Amount]]/Log_2019[[#This Row],[Split_raw]]*MAX(0,MIN(_xlfn.DAYS(EDATE(Y$1,1),Log_2019[[#This Row],[Date]]),Log_2019[[#This Row],[Split_apply]])) - SUM($O614:X614)</f>
        <v>0</v>
      </c>
      <c r="Z614" s="52">
        <f ca="1">Log_2019[[#This Row],[Amount]]/Log_2019[[#This Row],[Split_raw]]*MAX(0,MIN(_xlfn.DAYS(EDATE(Z$1,1),Log_2019[[#This Row],[Date]]),Log_2019[[#This Row],[Split_apply]])) - SUM($O614:Y614)</f>
        <v>0</v>
      </c>
      <c r="AA614" s="52">
        <f ca="1">Log_2019[[#This Row],[Amount]]/Log_2019[[#This Row],[Split_raw]]*MAX(0,MIN(_xlfn.DAYS(EDATE(AA$1,1),Log_2019[[#This Row],[Date]]),Log_2019[[#This Row],[Split_apply]])) - SUM($O614:Z614)</f>
        <v>0</v>
      </c>
      <c r="AB614" s="54">
        <f ca="1">Log_2019[[#This Row],[Amount]]-SUM(O614:AA614)</f>
        <v>0</v>
      </c>
      <c r="AC614" s="7">
        <f>MAX(0,Log_2019[[#This Row],[Split_raw]] - (EDATE(AA$1,1)-Log_2019[[#This Row],[Date]]))</f>
        <v>0</v>
      </c>
    </row>
    <row r="615" spans="1:29" x14ac:dyDescent="0.25">
      <c r="A615" s="42"/>
      <c r="B615" s="34" t="s">
        <v>6</v>
      </c>
      <c r="C615" s="34"/>
      <c r="D615" s="35">
        <v>43547</v>
      </c>
      <c r="E615" s="34"/>
      <c r="F615" s="34" t="s">
        <v>184</v>
      </c>
      <c r="G615" s="34" t="s">
        <v>11</v>
      </c>
      <c r="H615" s="36">
        <v>-5.25</v>
      </c>
      <c r="I615" s="36">
        <f>IF(Log_2019[[#This Row],[My Category]]="NONTRACKED",0,Log_2019[[#This Row],[Raw Amount]])</f>
        <v>-5.25</v>
      </c>
      <c r="J615" s="37">
        <f>ABS(Log_2019[[#This Row],[Amount]])</f>
        <v>5.25</v>
      </c>
      <c r="K615" s="38">
        <v>1</v>
      </c>
      <c r="L615" s="38">
        <f ca="1">IF(Log_2019[[#This Row],[Date]]&lt;=TODAY(), MIN(Log_2019[[#This Row],[Split_raw]], TODAY()-Log_2019[[#This Row],[Date]]+1), 0)</f>
        <v>1</v>
      </c>
      <c r="M615" s="34" t="s">
        <v>12</v>
      </c>
      <c r="N615" s="34" t="s">
        <v>158</v>
      </c>
      <c r="O615" s="7">
        <v>0</v>
      </c>
      <c r="P615" s="52">
        <f ca="1">Log_2019[[#This Row],[Amount]]/Log_2019[[#This Row],[Split_raw]]*MAX(0,MIN(_xlfn.DAYS(EDATE(P$1,1),Log_2019[[#This Row],[Date]]),Log_2019[[#This Row],[Split_apply]])) - SUM($O615:O615)</f>
        <v>0</v>
      </c>
      <c r="Q615" s="52">
        <f ca="1">Log_2019[[#This Row],[Amount]]/Log_2019[[#This Row],[Split_raw]]*MAX(0,MIN(_xlfn.DAYS(EDATE(Q$1,1),Log_2019[[#This Row],[Date]]),Log_2019[[#This Row],[Split_apply]])) - SUM($O615:P615)</f>
        <v>0</v>
      </c>
      <c r="R615" s="52">
        <f ca="1">Log_2019[[#This Row],[Amount]]/Log_2019[[#This Row],[Split_raw]]*MAX(0,MIN(_xlfn.DAYS(EDATE(R$1,1),Log_2019[[#This Row],[Date]]),Log_2019[[#This Row],[Split_apply]])) - SUM($O615:Q615)</f>
        <v>-5.25</v>
      </c>
      <c r="S615" s="52">
        <f ca="1">Log_2019[[#This Row],[Amount]]/Log_2019[[#This Row],[Split_raw]]*MAX(0,MIN(_xlfn.DAYS(EDATE(S$1,1),Log_2019[[#This Row],[Date]]),Log_2019[[#This Row],[Split_apply]])) - SUM($O615:R615)</f>
        <v>0</v>
      </c>
      <c r="T615" s="52">
        <f ca="1">Log_2019[[#This Row],[Amount]]/Log_2019[[#This Row],[Split_raw]]*MAX(0,MIN(_xlfn.DAYS(EDATE(T$1,1),Log_2019[[#This Row],[Date]]),Log_2019[[#This Row],[Split_apply]])) - SUM($O615:S615)</f>
        <v>0</v>
      </c>
      <c r="U615" s="52">
        <f ca="1">Log_2019[[#This Row],[Amount]]/Log_2019[[#This Row],[Split_raw]]*MAX(0,MIN(_xlfn.DAYS(EDATE(U$1,1),Log_2019[[#This Row],[Date]]),Log_2019[[#This Row],[Split_apply]])) - SUM($O615:T615)</f>
        <v>0</v>
      </c>
      <c r="V615" s="52">
        <f ca="1">Log_2019[[#This Row],[Amount]]/Log_2019[[#This Row],[Split_raw]]*MAX(0,MIN(_xlfn.DAYS(EDATE(V$1,1),Log_2019[[#This Row],[Date]]),Log_2019[[#This Row],[Split_apply]])) - SUM($O615:U615)</f>
        <v>0</v>
      </c>
      <c r="W615" s="52">
        <f ca="1">Log_2019[[#This Row],[Amount]]/Log_2019[[#This Row],[Split_raw]]*MAX(0,MIN(_xlfn.DAYS(EDATE(W$1,1),Log_2019[[#This Row],[Date]]),Log_2019[[#This Row],[Split_apply]])) - SUM($O615:V615)</f>
        <v>0</v>
      </c>
      <c r="X615" s="52">
        <f ca="1">Log_2019[[#This Row],[Amount]]/Log_2019[[#This Row],[Split_raw]]*MAX(0,MIN(_xlfn.DAYS(EDATE(X$1,1),Log_2019[[#This Row],[Date]]),Log_2019[[#This Row],[Split_apply]])) - SUM($O615:W615)</f>
        <v>0</v>
      </c>
      <c r="Y615" s="52">
        <f ca="1">Log_2019[[#This Row],[Amount]]/Log_2019[[#This Row],[Split_raw]]*MAX(0,MIN(_xlfn.DAYS(EDATE(Y$1,1),Log_2019[[#This Row],[Date]]),Log_2019[[#This Row],[Split_apply]])) - SUM($O615:X615)</f>
        <v>0</v>
      </c>
      <c r="Z615" s="52">
        <f ca="1">Log_2019[[#This Row],[Amount]]/Log_2019[[#This Row],[Split_raw]]*MAX(0,MIN(_xlfn.DAYS(EDATE(Z$1,1),Log_2019[[#This Row],[Date]]),Log_2019[[#This Row],[Split_apply]])) - SUM($O615:Y615)</f>
        <v>0</v>
      </c>
      <c r="AA615" s="52">
        <f ca="1">Log_2019[[#This Row],[Amount]]/Log_2019[[#This Row],[Split_raw]]*MAX(0,MIN(_xlfn.DAYS(EDATE(AA$1,1),Log_2019[[#This Row],[Date]]),Log_2019[[#This Row],[Split_apply]])) - SUM($O615:Z615)</f>
        <v>0</v>
      </c>
      <c r="AB615" s="54">
        <f ca="1">Log_2019[[#This Row],[Amount]]-SUM(O615:AA615)</f>
        <v>0</v>
      </c>
      <c r="AC615" s="7">
        <f>MAX(0,Log_2019[[#This Row],[Split_raw]] - (EDATE(AA$1,1)-Log_2019[[#This Row],[Date]]))</f>
        <v>0</v>
      </c>
    </row>
    <row r="616" spans="1:29" x14ac:dyDescent="0.25">
      <c r="A616" s="42"/>
      <c r="B616" s="34" t="s">
        <v>6</v>
      </c>
      <c r="C616" s="34"/>
      <c r="D616" s="35">
        <v>43546</v>
      </c>
      <c r="E616" s="34" t="s">
        <v>1013</v>
      </c>
      <c r="F616" s="34" t="s">
        <v>561</v>
      </c>
      <c r="G616" s="34" t="s">
        <v>8</v>
      </c>
      <c r="H616" s="36">
        <v>-500</v>
      </c>
      <c r="I616" s="36">
        <f>IF(Log_2019[[#This Row],[My Category]]="NONTRACKED",0,Log_2019[[#This Row],[Raw Amount]])</f>
        <v>-500</v>
      </c>
      <c r="J616" s="37">
        <f>ABS(Log_2019[[#This Row],[Amount]])</f>
        <v>500</v>
      </c>
      <c r="K616" s="38">
        <v>1</v>
      </c>
      <c r="L616" s="38">
        <f ca="1">IF(Log_2019[[#This Row],[Date]]&lt;=TODAY(), MIN(Log_2019[[#This Row],[Split_raw]], TODAY()-Log_2019[[#This Row],[Date]]+1), 0)</f>
        <v>1</v>
      </c>
      <c r="M616" s="34" t="s">
        <v>34</v>
      </c>
      <c r="N616" s="34" t="s">
        <v>158</v>
      </c>
      <c r="O616" s="7">
        <v>0</v>
      </c>
      <c r="P616" s="52">
        <f ca="1">Log_2019[[#This Row],[Amount]]/Log_2019[[#This Row],[Split_raw]]*MAX(0,MIN(_xlfn.DAYS(EDATE(P$1,1),Log_2019[[#This Row],[Date]]),Log_2019[[#This Row],[Split_apply]])) - SUM($O616:O616)</f>
        <v>0</v>
      </c>
      <c r="Q616" s="52">
        <f ca="1">Log_2019[[#This Row],[Amount]]/Log_2019[[#This Row],[Split_raw]]*MAX(0,MIN(_xlfn.DAYS(EDATE(Q$1,1),Log_2019[[#This Row],[Date]]),Log_2019[[#This Row],[Split_apply]])) - SUM($O616:P616)</f>
        <v>0</v>
      </c>
      <c r="R616" s="52">
        <f ca="1">Log_2019[[#This Row],[Amount]]/Log_2019[[#This Row],[Split_raw]]*MAX(0,MIN(_xlfn.DAYS(EDATE(R$1,1),Log_2019[[#This Row],[Date]]),Log_2019[[#This Row],[Split_apply]])) - SUM($O616:Q616)</f>
        <v>-500</v>
      </c>
      <c r="S616" s="52">
        <f ca="1">Log_2019[[#This Row],[Amount]]/Log_2019[[#This Row],[Split_raw]]*MAX(0,MIN(_xlfn.DAYS(EDATE(S$1,1),Log_2019[[#This Row],[Date]]),Log_2019[[#This Row],[Split_apply]])) - SUM($O616:R616)</f>
        <v>0</v>
      </c>
      <c r="T616" s="52">
        <f ca="1">Log_2019[[#This Row],[Amount]]/Log_2019[[#This Row],[Split_raw]]*MAX(0,MIN(_xlfn.DAYS(EDATE(T$1,1),Log_2019[[#This Row],[Date]]),Log_2019[[#This Row],[Split_apply]])) - SUM($O616:S616)</f>
        <v>0</v>
      </c>
      <c r="U616" s="52">
        <f ca="1">Log_2019[[#This Row],[Amount]]/Log_2019[[#This Row],[Split_raw]]*MAX(0,MIN(_xlfn.DAYS(EDATE(U$1,1),Log_2019[[#This Row],[Date]]),Log_2019[[#This Row],[Split_apply]])) - SUM($O616:T616)</f>
        <v>0</v>
      </c>
      <c r="V616" s="52">
        <f ca="1">Log_2019[[#This Row],[Amount]]/Log_2019[[#This Row],[Split_raw]]*MAX(0,MIN(_xlfn.DAYS(EDATE(V$1,1),Log_2019[[#This Row],[Date]]),Log_2019[[#This Row],[Split_apply]])) - SUM($O616:U616)</f>
        <v>0</v>
      </c>
      <c r="W616" s="52">
        <f ca="1">Log_2019[[#This Row],[Amount]]/Log_2019[[#This Row],[Split_raw]]*MAX(0,MIN(_xlfn.DAYS(EDATE(W$1,1),Log_2019[[#This Row],[Date]]),Log_2019[[#This Row],[Split_apply]])) - SUM($O616:V616)</f>
        <v>0</v>
      </c>
      <c r="X616" s="52">
        <f ca="1">Log_2019[[#This Row],[Amount]]/Log_2019[[#This Row],[Split_raw]]*MAX(0,MIN(_xlfn.DAYS(EDATE(X$1,1),Log_2019[[#This Row],[Date]]),Log_2019[[#This Row],[Split_apply]])) - SUM($O616:W616)</f>
        <v>0</v>
      </c>
      <c r="Y616" s="52">
        <f ca="1">Log_2019[[#This Row],[Amount]]/Log_2019[[#This Row],[Split_raw]]*MAX(0,MIN(_xlfn.DAYS(EDATE(Y$1,1),Log_2019[[#This Row],[Date]]),Log_2019[[#This Row],[Split_apply]])) - SUM($O616:X616)</f>
        <v>0</v>
      </c>
      <c r="Z616" s="52">
        <f ca="1">Log_2019[[#This Row],[Amount]]/Log_2019[[#This Row],[Split_raw]]*MAX(0,MIN(_xlfn.DAYS(EDATE(Z$1,1),Log_2019[[#This Row],[Date]]),Log_2019[[#This Row],[Split_apply]])) - SUM($O616:Y616)</f>
        <v>0</v>
      </c>
      <c r="AA616" s="52">
        <f ca="1">Log_2019[[#This Row],[Amount]]/Log_2019[[#This Row],[Split_raw]]*MAX(0,MIN(_xlfn.DAYS(EDATE(AA$1,1),Log_2019[[#This Row],[Date]]),Log_2019[[#This Row],[Split_apply]])) - SUM($O616:Z616)</f>
        <v>0</v>
      </c>
      <c r="AB616" s="54">
        <f ca="1">Log_2019[[#This Row],[Amount]]-SUM(O616:AA616)</f>
        <v>0</v>
      </c>
      <c r="AC616" s="7">
        <f>MAX(0,Log_2019[[#This Row],[Split_raw]] - (EDATE(AA$1,1)-Log_2019[[#This Row],[Date]]))</f>
        <v>0</v>
      </c>
    </row>
    <row r="617" spans="1:29" x14ac:dyDescent="0.25">
      <c r="A617" s="42"/>
      <c r="B617" s="34" t="s">
        <v>6</v>
      </c>
      <c r="C617" s="34"/>
      <c r="D617" s="35">
        <v>43546</v>
      </c>
      <c r="E617" s="34"/>
      <c r="F617" s="34" t="s">
        <v>510</v>
      </c>
      <c r="G617" s="34" t="s">
        <v>25</v>
      </c>
      <c r="H617" s="36">
        <v>-6.96</v>
      </c>
      <c r="I617" s="36">
        <f>IF(Log_2019[[#This Row],[My Category]]="NONTRACKED",0,Log_2019[[#This Row],[Raw Amount]])</f>
        <v>-6.96</v>
      </c>
      <c r="J617" s="37">
        <f>ABS(Log_2019[[#This Row],[Amount]])</f>
        <v>6.96</v>
      </c>
      <c r="K617" s="38">
        <v>1</v>
      </c>
      <c r="L617" s="38">
        <f ca="1">IF(Log_2019[[#This Row],[Date]]&lt;=TODAY(), MIN(Log_2019[[#This Row],[Split_raw]], TODAY()-Log_2019[[#This Row],[Date]]+1), 0)</f>
        <v>1</v>
      </c>
      <c r="M617" s="34" t="s">
        <v>35</v>
      </c>
      <c r="N617" s="34" t="s">
        <v>158</v>
      </c>
      <c r="O617" s="7">
        <v>0</v>
      </c>
      <c r="P617" s="52">
        <f ca="1">Log_2019[[#This Row],[Amount]]/Log_2019[[#This Row],[Split_raw]]*MAX(0,MIN(_xlfn.DAYS(EDATE(P$1,1),Log_2019[[#This Row],[Date]]),Log_2019[[#This Row],[Split_apply]])) - SUM($O617:O617)</f>
        <v>0</v>
      </c>
      <c r="Q617" s="52">
        <f ca="1">Log_2019[[#This Row],[Amount]]/Log_2019[[#This Row],[Split_raw]]*MAX(0,MIN(_xlfn.DAYS(EDATE(Q$1,1),Log_2019[[#This Row],[Date]]),Log_2019[[#This Row],[Split_apply]])) - SUM($O617:P617)</f>
        <v>0</v>
      </c>
      <c r="R617" s="52">
        <f ca="1">Log_2019[[#This Row],[Amount]]/Log_2019[[#This Row],[Split_raw]]*MAX(0,MIN(_xlfn.DAYS(EDATE(R$1,1),Log_2019[[#This Row],[Date]]),Log_2019[[#This Row],[Split_apply]])) - SUM($O617:Q617)</f>
        <v>-6.96</v>
      </c>
      <c r="S617" s="52">
        <f ca="1">Log_2019[[#This Row],[Amount]]/Log_2019[[#This Row],[Split_raw]]*MAX(0,MIN(_xlfn.DAYS(EDATE(S$1,1),Log_2019[[#This Row],[Date]]),Log_2019[[#This Row],[Split_apply]])) - SUM($O617:R617)</f>
        <v>0</v>
      </c>
      <c r="T617" s="52">
        <f ca="1">Log_2019[[#This Row],[Amount]]/Log_2019[[#This Row],[Split_raw]]*MAX(0,MIN(_xlfn.DAYS(EDATE(T$1,1),Log_2019[[#This Row],[Date]]),Log_2019[[#This Row],[Split_apply]])) - SUM($O617:S617)</f>
        <v>0</v>
      </c>
      <c r="U617" s="52">
        <f ca="1">Log_2019[[#This Row],[Amount]]/Log_2019[[#This Row],[Split_raw]]*MAX(0,MIN(_xlfn.DAYS(EDATE(U$1,1),Log_2019[[#This Row],[Date]]),Log_2019[[#This Row],[Split_apply]])) - SUM($O617:T617)</f>
        <v>0</v>
      </c>
      <c r="V617" s="52">
        <f ca="1">Log_2019[[#This Row],[Amount]]/Log_2019[[#This Row],[Split_raw]]*MAX(0,MIN(_xlfn.DAYS(EDATE(V$1,1),Log_2019[[#This Row],[Date]]),Log_2019[[#This Row],[Split_apply]])) - SUM($O617:U617)</f>
        <v>0</v>
      </c>
      <c r="W617" s="52">
        <f ca="1">Log_2019[[#This Row],[Amount]]/Log_2019[[#This Row],[Split_raw]]*MAX(0,MIN(_xlfn.DAYS(EDATE(W$1,1),Log_2019[[#This Row],[Date]]),Log_2019[[#This Row],[Split_apply]])) - SUM($O617:V617)</f>
        <v>0</v>
      </c>
      <c r="X617" s="52">
        <f ca="1">Log_2019[[#This Row],[Amount]]/Log_2019[[#This Row],[Split_raw]]*MAX(0,MIN(_xlfn.DAYS(EDATE(X$1,1),Log_2019[[#This Row],[Date]]),Log_2019[[#This Row],[Split_apply]])) - SUM($O617:W617)</f>
        <v>0</v>
      </c>
      <c r="Y617" s="52">
        <f ca="1">Log_2019[[#This Row],[Amount]]/Log_2019[[#This Row],[Split_raw]]*MAX(0,MIN(_xlfn.DAYS(EDATE(Y$1,1),Log_2019[[#This Row],[Date]]),Log_2019[[#This Row],[Split_apply]])) - SUM($O617:X617)</f>
        <v>0</v>
      </c>
      <c r="Z617" s="52">
        <f ca="1">Log_2019[[#This Row],[Amount]]/Log_2019[[#This Row],[Split_raw]]*MAX(0,MIN(_xlfn.DAYS(EDATE(Z$1,1),Log_2019[[#This Row],[Date]]),Log_2019[[#This Row],[Split_apply]])) - SUM($O617:Y617)</f>
        <v>0</v>
      </c>
      <c r="AA617" s="52">
        <f ca="1">Log_2019[[#This Row],[Amount]]/Log_2019[[#This Row],[Split_raw]]*MAX(0,MIN(_xlfn.DAYS(EDATE(AA$1,1),Log_2019[[#This Row],[Date]]),Log_2019[[#This Row],[Split_apply]])) - SUM($O617:Z617)</f>
        <v>0</v>
      </c>
      <c r="AB617" s="54">
        <f ca="1">Log_2019[[#This Row],[Amount]]-SUM(O617:AA617)</f>
        <v>0</v>
      </c>
      <c r="AC617" s="7">
        <f>MAX(0,Log_2019[[#This Row],[Split_raw]] - (EDATE(AA$1,1)-Log_2019[[#This Row],[Date]]))</f>
        <v>0</v>
      </c>
    </row>
    <row r="618" spans="1:29" x14ac:dyDescent="0.25">
      <c r="A618" s="42"/>
      <c r="B618" t="s">
        <v>6</v>
      </c>
      <c r="D618" s="26">
        <v>43545</v>
      </c>
      <c r="E618" t="s">
        <v>542</v>
      </c>
      <c r="F618" t="s">
        <v>537</v>
      </c>
      <c r="G618" t="s">
        <v>11</v>
      </c>
      <c r="H618" s="3">
        <v>-89.64</v>
      </c>
      <c r="I618" s="36">
        <f>IF(Log_2019[[#This Row],[My Category]]="NONTRACKED",0,Log_2019[[#This Row],[Raw Amount]])</f>
        <v>-89.64</v>
      </c>
      <c r="J618" s="17">
        <f>ABS(Log_2019[[#This Row],[Amount]])</f>
        <v>89.64</v>
      </c>
      <c r="K618" s="5">
        <v>1</v>
      </c>
      <c r="L618" s="38">
        <f ca="1">IF(Log_2019[[#This Row],[Date]]&lt;=TODAY(), MIN(Log_2019[[#This Row],[Split_raw]], TODAY()-Log_2019[[#This Row],[Date]]+1), 0)</f>
        <v>1</v>
      </c>
      <c r="M618" t="s">
        <v>145</v>
      </c>
      <c r="N618" t="s">
        <v>158</v>
      </c>
      <c r="O618" s="7">
        <v>0</v>
      </c>
      <c r="P618" s="52">
        <f ca="1">Log_2019[[#This Row],[Amount]]/Log_2019[[#This Row],[Split_raw]]*MAX(0,MIN(_xlfn.DAYS(EDATE(P$1,1),Log_2019[[#This Row],[Date]]),Log_2019[[#This Row],[Split_apply]])) - SUM($O618:O618)</f>
        <v>0</v>
      </c>
      <c r="Q618" s="52">
        <f ca="1">Log_2019[[#This Row],[Amount]]/Log_2019[[#This Row],[Split_raw]]*MAX(0,MIN(_xlfn.DAYS(EDATE(Q$1,1),Log_2019[[#This Row],[Date]]),Log_2019[[#This Row],[Split_apply]])) - SUM($O618:P618)</f>
        <v>0</v>
      </c>
      <c r="R618" s="52">
        <f ca="1">Log_2019[[#This Row],[Amount]]/Log_2019[[#This Row],[Split_raw]]*MAX(0,MIN(_xlfn.DAYS(EDATE(R$1,1),Log_2019[[#This Row],[Date]]),Log_2019[[#This Row],[Split_apply]])) - SUM($O618:Q618)</f>
        <v>-89.64</v>
      </c>
      <c r="S618" s="52">
        <f ca="1">Log_2019[[#This Row],[Amount]]/Log_2019[[#This Row],[Split_raw]]*MAX(0,MIN(_xlfn.DAYS(EDATE(S$1,1),Log_2019[[#This Row],[Date]]),Log_2019[[#This Row],[Split_apply]])) - SUM($O618:R618)</f>
        <v>0</v>
      </c>
      <c r="T618" s="52">
        <f ca="1">Log_2019[[#This Row],[Amount]]/Log_2019[[#This Row],[Split_raw]]*MAX(0,MIN(_xlfn.DAYS(EDATE(T$1,1),Log_2019[[#This Row],[Date]]),Log_2019[[#This Row],[Split_apply]])) - SUM($O618:S618)</f>
        <v>0</v>
      </c>
      <c r="U618" s="52">
        <f ca="1">Log_2019[[#This Row],[Amount]]/Log_2019[[#This Row],[Split_raw]]*MAX(0,MIN(_xlfn.DAYS(EDATE(U$1,1),Log_2019[[#This Row],[Date]]),Log_2019[[#This Row],[Split_apply]])) - SUM($O618:T618)</f>
        <v>0</v>
      </c>
      <c r="V618" s="52">
        <f ca="1">Log_2019[[#This Row],[Amount]]/Log_2019[[#This Row],[Split_raw]]*MAX(0,MIN(_xlfn.DAYS(EDATE(V$1,1),Log_2019[[#This Row],[Date]]),Log_2019[[#This Row],[Split_apply]])) - SUM($O618:U618)</f>
        <v>0</v>
      </c>
      <c r="W618" s="52">
        <f ca="1">Log_2019[[#This Row],[Amount]]/Log_2019[[#This Row],[Split_raw]]*MAX(0,MIN(_xlfn.DAYS(EDATE(W$1,1),Log_2019[[#This Row],[Date]]),Log_2019[[#This Row],[Split_apply]])) - SUM($O618:V618)</f>
        <v>0</v>
      </c>
      <c r="X618" s="52">
        <f ca="1">Log_2019[[#This Row],[Amount]]/Log_2019[[#This Row],[Split_raw]]*MAX(0,MIN(_xlfn.DAYS(EDATE(X$1,1),Log_2019[[#This Row],[Date]]),Log_2019[[#This Row],[Split_apply]])) - SUM($O618:W618)</f>
        <v>0</v>
      </c>
      <c r="Y618" s="52">
        <f ca="1">Log_2019[[#This Row],[Amount]]/Log_2019[[#This Row],[Split_raw]]*MAX(0,MIN(_xlfn.DAYS(EDATE(Y$1,1),Log_2019[[#This Row],[Date]]),Log_2019[[#This Row],[Split_apply]])) - SUM($O618:X618)</f>
        <v>0</v>
      </c>
      <c r="Z618" s="52">
        <f ca="1">Log_2019[[#This Row],[Amount]]/Log_2019[[#This Row],[Split_raw]]*MAX(0,MIN(_xlfn.DAYS(EDATE(Z$1,1),Log_2019[[#This Row],[Date]]),Log_2019[[#This Row],[Split_apply]])) - SUM($O618:Y618)</f>
        <v>0</v>
      </c>
      <c r="AA618" s="52">
        <f ca="1">Log_2019[[#This Row],[Amount]]/Log_2019[[#This Row],[Split_raw]]*MAX(0,MIN(_xlfn.DAYS(EDATE(AA$1,1),Log_2019[[#This Row],[Date]]),Log_2019[[#This Row],[Split_apply]])) - SUM($O618:Z618)</f>
        <v>0</v>
      </c>
      <c r="AB618" s="54">
        <f ca="1">Log_2019[[#This Row],[Amount]]-SUM(O618:AA618)</f>
        <v>0</v>
      </c>
      <c r="AC618" s="7">
        <f>MAX(0,Log_2019[[#This Row],[Split_raw]] - (EDATE(AA$1,1)-Log_2019[[#This Row],[Date]]))</f>
        <v>0</v>
      </c>
    </row>
    <row r="619" spans="1:29" x14ac:dyDescent="0.25">
      <c r="A619" s="42"/>
      <c r="B619" t="s">
        <v>6</v>
      </c>
      <c r="D619" s="26">
        <v>43545</v>
      </c>
      <c r="F619" t="s">
        <v>288</v>
      </c>
      <c r="G619" t="s">
        <v>27</v>
      </c>
      <c r="H619" s="3">
        <v>-35</v>
      </c>
      <c r="I619" s="36">
        <f>IF(Log_2019[[#This Row],[My Category]]="NONTRACKED",0,Log_2019[[#This Row],[Raw Amount]])</f>
        <v>-35</v>
      </c>
      <c r="J619" s="17">
        <f>ABS(Log_2019[[#This Row],[Amount]])</f>
        <v>35</v>
      </c>
      <c r="K619" s="5">
        <v>1</v>
      </c>
      <c r="L619" s="38">
        <f ca="1">IF(Log_2019[[#This Row],[Date]]&lt;=TODAY(), MIN(Log_2019[[#This Row],[Split_raw]], TODAY()-Log_2019[[#This Row],[Date]]+1), 0)</f>
        <v>1</v>
      </c>
      <c r="M619" t="s">
        <v>52</v>
      </c>
      <c r="N619" t="s">
        <v>158</v>
      </c>
      <c r="O619" s="7">
        <v>0</v>
      </c>
      <c r="P619" s="52">
        <f ca="1">Log_2019[[#This Row],[Amount]]/Log_2019[[#This Row],[Split_raw]]*MAX(0,MIN(_xlfn.DAYS(EDATE(P$1,1),Log_2019[[#This Row],[Date]]),Log_2019[[#This Row],[Split_apply]])) - SUM($O619:O619)</f>
        <v>0</v>
      </c>
      <c r="Q619" s="52">
        <f ca="1">Log_2019[[#This Row],[Amount]]/Log_2019[[#This Row],[Split_raw]]*MAX(0,MIN(_xlfn.DAYS(EDATE(Q$1,1),Log_2019[[#This Row],[Date]]),Log_2019[[#This Row],[Split_apply]])) - SUM($O619:P619)</f>
        <v>0</v>
      </c>
      <c r="R619" s="52">
        <f ca="1">Log_2019[[#This Row],[Amount]]/Log_2019[[#This Row],[Split_raw]]*MAX(0,MIN(_xlfn.DAYS(EDATE(R$1,1),Log_2019[[#This Row],[Date]]),Log_2019[[#This Row],[Split_apply]])) - SUM($O619:Q619)</f>
        <v>-35</v>
      </c>
      <c r="S619" s="52">
        <f ca="1">Log_2019[[#This Row],[Amount]]/Log_2019[[#This Row],[Split_raw]]*MAX(0,MIN(_xlfn.DAYS(EDATE(S$1,1),Log_2019[[#This Row],[Date]]),Log_2019[[#This Row],[Split_apply]])) - SUM($O619:R619)</f>
        <v>0</v>
      </c>
      <c r="T619" s="52">
        <f ca="1">Log_2019[[#This Row],[Amount]]/Log_2019[[#This Row],[Split_raw]]*MAX(0,MIN(_xlfn.DAYS(EDATE(T$1,1),Log_2019[[#This Row],[Date]]),Log_2019[[#This Row],[Split_apply]])) - SUM($O619:S619)</f>
        <v>0</v>
      </c>
      <c r="U619" s="52">
        <f ca="1">Log_2019[[#This Row],[Amount]]/Log_2019[[#This Row],[Split_raw]]*MAX(0,MIN(_xlfn.DAYS(EDATE(U$1,1),Log_2019[[#This Row],[Date]]),Log_2019[[#This Row],[Split_apply]])) - SUM($O619:T619)</f>
        <v>0</v>
      </c>
      <c r="V619" s="52">
        <f ca="1">Log_2019[[#This Row],[Amount]]/Log_2019[[#This Row],[Split_raw]]*MAX(0,MIN(_xlfn.DAYS(EDATE(V$1,1),Log_2019[[#This Row],[Date]]),Log_2019[[#This Row],[Split_apply]])) - SUM($O619:U619)</f>
        <v>0</v>
      </c>
      <c r="W619" s="52">
        <f ca="1">Log_2019[[#This Row],[Amount]]/Log_2019[[#This Row],[Split_raw]]*MAX(0,MIN(_xlfn.DAYS(EDATE(W$1,1),Log_2019[[#This Row],[Date]]),Log_2019[[#This Row],[Split_apply]])) - SUM($O619:V619)</f>
        <v>0</v>
      </c>
      <c r="X619" s="52">
        <f ca="1">Log_2019[[#This Row],[Amount]]/Log_2019[[#This Row],[Split_raw]]*MAX(0,MIN(_xlfn.DAYS(EDATE(X$1,1),Log_2019[[#This Row],[Date]]),Log_2019[[#This Row],[Split_apply]])) - SUM($O619:W619)</f>
        <v>0</v>
      </c>
      <c r="Y619" s="52">
        <f ca="1">Log_2019[[#This Row],[Amount]]/Log_2019[[#This Row],[Split_raw]]*MAX(0,MIN(_xlfn.DAYS(EDATE(Y$1,1),Log_2019[[#This Row],[Date]]),Log_2019[[#This Row],[Split_apply]])) - SUM($O619:X619)</f>
        <v>0</v>
      </c>
      <c r="Z619" s="52">
        <f ca="1">Log_2019[[#This Row],[Amount]]/Log_2019[[#This Row],[Split_raw]]*MAX(0,MIN(_xlfn.DAYS(EDATE(Z$1,1),Log_2019[[#This Row],[Date]]),Log_2019[[#This Row],[Split_apply]])) - SUM($O619:Y619)</f>
        <v>0</v>
      </c>
      <c r="AA619" s="52">
        <f ca="1">Log_2019[[#This Row],[Amount]]/Log_2019[[#This Row],[Split_raw]]*MAX(0,MIN(_xlfn.DAYS(EDATE(AA$1,1),Log_2019[[#This Row],[Date]]),Log_2019[[#This Row],[Split_apply]])) - SUM($O619:Z619)</f>
        <v>0</v>
      </c>
      <c r="AB619" s="54">
        <f ca="1">Log_2019[[#This Row],[Amount]]-SUM(O619:AA619)</f>
        <v>0</v>
      </c>
      <c r="AC619" s="7">
        <f>MAX(0,Log_2019[[#This Row],[Split_raw]] - (EDATE(AA$1,1)-Log_2019[[#This Row],[Date]]))</f>
        <v>0</v>
      </c>
    </row>
    <row r="620" spans="1:29" x14ac:dyDescent="0.25">
      <c r="A620" s="42"/>
      <c r="B620" t="s">
        <v>6</v>
      </c>
      <c r="D620" s="26">
        <v>43545</v>
      </c>
      <c r="E620" t="s">
        <v>543</v>
      </c>
      <c r="F620" t="s">
        <v>538</v>
      </c>
      <c r="G620" t="s">
        <v>114</v>
      </c>
      <c r="H620" s="3">
        <v>-44.21</v>
      </c>
      <c r="I620" s="36">
        <f>IF(Log_2019[[#This Row],[My Category]]="NONTRACKED",0,Log_2019[[#This Row],[Raw Amount]])</f>
        <v>-44.21</v>
      </c>
      <c r="J620" s="17">
        <f>ABS(Log_2019[[#This Row],[Amount]])</f>
        <v>44.21</v>
      </c>
      <c r="K620" s="5">
        <v>1</v>
      </c>
      <c r="L620" s="38">
        <f ca="1">IF(Log_2019[[#This Row],[Date]]&lt;=TODAY(), MIN(Log_2019[[#This Row],[Split_raw]], TODAY()-Log_2019[[#This Row],[Date]]+1), 0)</f>
        <v>1</v>
      </c>
      <c r="M620" t="s">
        <v>145</v>
      </c>
      <c r="N620" t="s">
        <v>158</v>
      </c>
      <c r="O620" s="7">
        <v>0</v>
      </c>
      <c r="P620" s="52">
        <f ca="1">Log_2019[[#This Row],[Amount]]/Log_2019[[#This Row],[Split_raw]]*MAX(0,MIN(_xlfn.DAYS(EDATE(P$1,1),Log_2019[[#This Row],[Date]]),Log_2019[[#This Row],[Split_apply]])) - SUM($O620:O620)</f>
        <v>0</v>
      </c>
      <c r="Q620" s="52">
        <f ca="1">Log_2019[[#This Row],[Amount]]/Log_2019[[#This Row],[Split_raw]]*MAX(0,MIN(_xlfn.DAYS(EDATE(Q$1,1),Log_2019[[#This Row],[Date]]),Log_2019[[#This Row],[Split_apply]])) - SUM($O620:P620)</f>
        <v>0</v>
      </c>
      <c r="R620" s="52">
        <f ca="1">Log_2019[[#This Row],[Amount]]/Log_2019[[#This Row],[Split_raw]]*MAX(0,MIN(_xlfn.DAYS(EDATE(R$1,1),Log_2019[[#This Row],[Date]]),Log_2019[[#This Row],[Split_apply]])) - SUM($O620:Q620)</f>
        <v>-44.21</v>
      </c>
      <c r="S620" s="52">
        <f ca="1">Log_2019[[#This Row],[Amount]]/Log_2019[[#This Row],[Split_raw]]*MAX(0,MIN(_xlfn.DAYS(EDATE(S$1,1),Log_2019[[#This Row],[Date]]),Log_2019[[#This Row],[Split_apply]])) - SUM($O620:R620)</f>
        <v>0</v>
      </c>
      <c r="T620" s="52">
        <f ca="1">Log_2019[[#This Row],[Amount]]/Log_2019[[#This Row],[Split_raw]]*MAX(0,MIN(_xlfn.DAYS(EDATE(T$1,1),Log_2019[[#This Row],[Date]]),Log_2019[[#This Row],[Split_apply]])) - SUM($O620:S620)</f>
        <v>0</v>
      </c>
      <c r="U620" s="52">
        <f ca="1">Log_2019[[#This Row],[Amount]]/Log_2019[[#This Row],[Split_raw]]*MAX(0,MIN(_xlfn.DAYS(EDATE(U$1,1),Log_2019[[#This Row],[Date]]),Log_2019[[#This Row],[Split_apply]])) - SUM($O620:T620)</f>
        <v>0</v>
      </c>
      <c r="V620" s="52">
        <f ca="1">Log_2019[[#This Row],[Amount]]/Log_2019[[#This Row],[Split_raw]]*MAX(0,MIN(_xlfn.DAYS(EDATE(V$1,1),Log_2019[[#This Row],[Date]]),Log_2019[[#This Row],[Split_apply]])) - SUM($O620:U620)</f>
        <v>0</v>
      </c>
      <c r="W620" s="52">
        <f ca="1">Log_2019[[#This Row],[Amount]]/Log_2019[[#This Row],[Split_raw]]*MAX(0,MIN(_xlfn.DAYS(EDATE(W$1,1),Log_2019[[#This Row],[Date]]),Log_2019[[#This Row],[Split_apply]])) - SUM($O620:V620)</f>
        <v>0</v>
      </c>
      <c r="X620" s="52">
        <f ca="1">Log_2019[[#This Row],[Amount]]/Log_2019[[#This Row],[Split_raw]]*MAX(0,MIN(_xlfn.DAYS(EDATE(X$1,1),Log_2019[[#This Row],[Date]]),Log_2019[[#This Row],[Split_apply]])) - SUM($O620:W620)</f>
        <v>0</v>
      </c>
      <c r="Y620" s="52">
        <f ca="1">Log_2019[[#This Row],[Amount]]/Log_2019[[#This Row],[Split_raw]]*MAX(0,MIN(_xlfn.DAYS(EDATE(Y$1,1),Log_2019[[#This Row],[Date]]),Log_2019[[#This Row],[Split_apply]])) - SUM($O620:X620)</f>
        <v>0</v>
      </c>
      <c r="Z620" s="52">
        <f ca="1">Log_2019[[#This Row],[Amount]]/Log_2019[[#This Row],[Split_raw]]*MAX(0,MIN(_xlfn.DAYS(EDATE(Z$1,1),Log_2019[[#This Row],[Date]]),Log_2019[[#This Row],[Split_apply]])) - SUM($O620:Y620)</f>
        <v>0</v>
      </c>
      <c r="AA620" s="52">
        <f ca="1">Log_2019[[#This Row],[Amount]]/Log_2019[[#This Row],[Split_raw]]*MAX(0,MIN(_xlfn.DAYS(EDATE(AA$1,1),Log_2019[[#This Row],[Date]]),Log_2019[[#This Row],[Split_apply]])) - SUM($O620:Z620)</f>
        <v>0</v>
      </c>
      <c r="AB620" s="54">
        <f ca="1">Log_2019[[#This Row],[Amount]]-SUM(O620:AA620)</f>
        <v>0</v>
      </c>
      <c r="AC620" s="7">
        <f>MAX(0,Log_2019[[#This Row],[Split_raw]] - (EDATE(AA$1,1)-Log_2019[[#This Row],[Date]]))</f>
        <v>0</v>
      </c>
    </row>
    <row r="621" spans="1:29" x14ac:dyDescent="0.25">
      <c r="A621" s="42"/>
      <c r="B621" t="s">
        <v>6</v>
      </c>
      <c r="D621" s="26">
        <v>43545</v>
      </c>
      <c r="F621" t="s">
        <v>255</v>
      </c>
      <c r="G621" t="s">
        <v>25</v>
      </c>
      <c r="H621" s="3">
        <v>-7.66</v>
      </c>
      <c r="I621" s="36">
        <f>IF(Log_2019[[#This Row],[My Category]]="NONTRACKED",0,Log_2019[[#This Row],[Raw Amount]])</f>
        <v>-7.66</v>
      </c>
      <c r="J621" s="17">
        <f>ABS(Log_2019[[#This Row],[Amount]])</f>
        <v>7.66</v>
      </c>
      <c r="K621" s="5">
        <v>1</v>
      </c>
      <c r="L621" s="38">
        <f ca="1">IF(Log_2019[[#This Row],[Date]]&lt;=TODAY(), MIN(Log_2019[[#This Row],[Split_raw]], TODAY()-Log_2019[[#This Row],[Date]]+1), 0)</f>
        <v>1</v>
      </c>
      <c r="M621" t="s">
        <v>35</v>
      </c>
      <c r="N621" t="s">
        <v>158</v>
      </c>
      <c r="O621" s="7">
        <v>0</v>
      </c>
      <c r="P621" s="52">
        <f ca="1">Log_2019[[#This Row],[Amount]]/Log_2019[[#This Row],[Split_raw]]*MAX(0,MIN(_xlfn.DAYS(EDATE(P$1,1),Log_2019[[#This Row],[Date]]),Log_2019[[#This Row],[Split_apply]])) - SUM($O621:O621)</f>
        <v>0</v>
      </c>
      <c r="Q621" s="52">
        <f ca="1">Log_2019[[#This Row],[Amount]]/Log_2019[[#This Row],[Split_raw]]*MAX(0,MIN(_xlfn.DAYS(EDATE(Q$1,1),Log_2019[[#This Row],[Date]]),Log_2019[[#This Row],[Split_apply]])) - SUM($O621:P621)</f>
        <v>0</v>
      </c>
      <c r="R621" s="52">
        <f ca="1">Log_2019[[#This Row],[Amount]]/Log_2019[[#This Row],[Split_raw]]*MAX(0,MIN(_xlfn.DAYS(EDATE(R$1,1),Log_2019[[#This Row],[Date]]),Log_2019[[#This Row],[Split_apply]])) - SUM($O621:Q621)</f>
        <v>-7.66</v>
      </c>
      <c r="S621" s="52">
        <f ca="1">Log_2019[[#This Row],[Amount]]/Log_2019[[#This Row],[Split_raw]]*MAX(0,MIN(_xlfn.DAYS(EDATE(S$1,1),Log_2019[[#This Row],[Date]]),Log_2019[[#This Row],[Split_apply]])) - SUM($O621:R621)</f>
        <v>0</v>
      </c>
      <c r="T621" s="52">
        <f ca="1">Log_2019[[#This Row],[Amount]]/Log_2019[[#This Row],[Split_raw]]*MAX(0,MIN(_xlfn.DAYS(EDATE(T$1,1),Log_2019[[#This Row],[Date]]),Log_2019[[#This Row],[Split_apply]])) - SUM($O621:S621)</f>
        <v>0</v>
      </c>
      <c r="U621" s="52">
        <f ca="1">Log_2019[[#This Row],[Amount]]/Log_2019[[#This Row],[Split_raw]]*MAX(0,MIN(_xlfn.DAYS(EDATE(U$1,1),Log_2019[[#This Row],[Date]]),Log_2019[[#This Row],[Split_apply]])) - SUM($O621:T621)</f>
        <v>0</v>
      </c>
      <c r="V621" s="52">
        <f ca="1">Log_2019[[#This Row],[Amount]]/Log_2019[[#This Row],[Split_raw]]*MAX(0,MIN(_xlfn.DAYS(EDATE(V$1,1),Log_2019[[#This Row],[Date]]),Log_2019[[#This Row],[Split_apply]])) - SUM($O621:U621)</f>
        <v>0</v>
      </c>
      <c r="W621" s="52">
        <f ca="1">Log_2019[[#This Row],[Amount]]/Log_2019[[#This Row],[Split_raw]]*MAX(0,MIN(_xlfn.DAYS(EDATE(W$1,1),Log_2019[[#This Row],[Date]]),Log_2019[[#This Row],[Split_apply]])) - SUM($O621:V621)</f>
        <v>0</v>
      </c>
      <c r="X621" s="52">
        <f ca="1">Log_2019[[#This Row],[Amount]]/Log_2019[[#This Row],[Split_raw]]*MAX(0,MIN(_xlfn.DAYS(EDATE(X$1,1),Log_2019[[#This Row],[Date]]),Log_2019[[#This Row],[Split_apply]])) - SUM($O621:W621)</f>
        <v>0</v>
      </c>
      <c r="Y621" s="52">
        <f ca="1">Log_2019[[#This Row],[Amount]]/Log_2019[[#This Row],[Split_raw]]*MAX(0,MIN(_xlfn.DAYS(EDATE(Y$1,1),Log_2019[[#This Row],[Date]]),Log_2019[[#This Row],[Split_apply]])) - SUM($O621:X621)</f>
        <v>0</v>
      </c>
      <c r="Z621" s="52">
        <f ca="1">Log_2019[[#This Row],[Amount]]/Log_2019[[#This Row],[Split_raw]]*MAX(0,MIN(_xlfn.DAYS(EDATE(Z$1,1),Log_2019[[#This Row],[Date]]),Log_2019[[#This Row],[Split_apply]])) - SUM($O621:Y621)</f>
        <v>0</v>
      </c>
      <c r="AA621" s="52">
        <f ca="1">Log_2019[[#This Row],[Amount]]/Log_2019[[#This Row],[Split_raw]]*MAX(0,MIN(_xlfn.DAYS(EDATE(AA$1,1),Log_2019[[#This Row],[Date]]),Log_2019[[#This Row],[Split_apply]])) - SUM($O621:Z621)</f>
        <v>0</v>
      </c>
      <c r="AB621" s="54">
        <f ca="1">Log_2019[[#This Row],[Amount]]-SUM(O621:AA621)</f>
        <v>0</v>
      </c>
      <c r="AC621" s="7">
        <f>MAX(0,Log_2019[[#This Row],[Split_raw]] - (EDATE(AA$1,1)-Log_2019[[#This Row],[Date]]))</f>
        <v>0</v>
      </c>
    </row>
    <row r="622" spans="1:29" x14ac:dyDescent="0.25">
      <c r="A622" s="42"/>
      <c r="B622" t="s">
        <v>6</v>
      </c>
      <c r="D622" s="26">
        <v>43545</v>
      </c>
      <c r="F622" t="s">
        <v>536</v>
      </c>
      <c r="G622" t="s">
        <v>29</v>
      </c>
      <c r="H622" s="3">
        <v>-39.51</v>
      </c>
      <c r="I622" s="36">
        <f>IF(Log_2019[[#This Row],[My Category]]="NONTRACKED",0,Log_2019[[#This Row],[Raw Amount]])</f>
        <v>-39.51</v>
      </c>
      <c r="J622" s="17">
        <f>ABS(Log_2019[[#This Row],[Amount]])</f>
        <v>39.51</v>
      </c>
      <c r="K622" s="5">
        <v>30</v>
      </c>
      <c r="L622" s="38">
        <f ca="1">IF(Log_2019[[#This Row],[Date]]&lt;=TODAY(), MIN(Log_2019[[#This Row],[Split_raw]], TODAY()-Log_2019[[#This Row],[Date]]+1), 0)</f>
        <v>30</v>
      </c>
      <c r="M622" t="s">
        <v>29</v>
      </c>
      <c r="N622" t="s">
        <v>160</v>
      </c>
      <c r="O622" s="7">
        <v>0</v>
      </c>
      <c r="P622" s="52">
        <f ca="1">Log_2019[[#This Row],[Amount]]/Log_2019[[#This Row],[Split_raw]]*MAX(0,MIN(_xlfn.DAYS(EDATE(P$1,1),Log_2019[[#This Row],[Date]]),Log_2019[[#This Row],[Split_apply]])) - SUM($O622:O622)</f>
        <v>0</v>
      </c>
      <c r="Q622" s="52">
        <f ca="1">Log_2019[[#This Row],[Amount]]/Log_2019[[#This Row],[Split_raw]]*MAX(0,MIN(_xlfn.DAYS(EDATE(Q$1,1),Log_2019[[#This Row],[Date]]),Log_2019[[#This Row],[Split_apply]])) - SUM($O622:P622)</f>
        <v>0</v>
      </c>
      <c r="R622" s="52">
        <f ca="1">Log_2019[[#This Row],[Amount]]/Log_2019[[#This Row],[Split_raw]]*MAX(0,MIN(_xlfn.DAYS(EDATE(R$1,1),Log_2019[[#This Row],[Date]]),Log_2019[[#This Row],[Split_apply]])) - SUM($O622:Q622)</f>
        <v>-14.487</v>
      </c>
      <c r="S622" s="52">
        <f ca="1">Log_2019[[#This Row],[Amount]]/Log_2019[[#This Row],[Split_raw]]*MAX(0,MIN(_xlfn.DAYS(EDATE(S$1,1),Log_2019[[#This Row],[Date]]),Log_2019[[#This Row],[Split_apply]])) - SUM($O622:R622)</f>
        <v>-25.022999999999996</v>
      </c>
      <c r="T622" s="52">
        <f ca="1">Log_2019[[#This Row],[Amount]]/Log_2019[[#This Row],[Split_raw]]*MAX(0,MIN(_xlfn.DAYS(EDATE(T$1,1),Log_2019[[#This Row],[Date]]),Log_2019[[#This Row],[Split_apply]])) - SUM($O622:S622)</f>
        <v>0</v>
      </c>
      <c r="U622" s="52">
        <f ca="1">Log_2019[[#This Row],[Amount]]/Log_2019[[#This Row],[Split_raw]]*MAX(0,MIN(_xlfn.DAYS(EDATE(U$1,1),Log_2019[[#This Row],[Date]]),Log_2019[[#This Row],[Split_apply]])) - SUM($O622:T622)</f>
        <v>0</v>
      </c>
      <c r="V622" s="52">
        <f ca="1">Log_2019[[#This Row],[Amount]]/Log_2019[[#This Row],[Split_raw]]*MAX(0,MIN(_xlfn.DAYS(EDATE(V$1,1),Log_2019[[#This Row],[Date]]),Log_2019[[#This Row],[Split_apply]])) - SUM($O622:U622)</f>
        <v>0</v>
      </c>
      <c r="W622" s="52">
        <f ca="1">Log_2019[[#This Row],[Amount]]/Log_2019[[#This Row],[Split_raw]]*MAX(0,MIN(_xlfn.DAYS(EDATE(W$1,1),Log_2019[[#This Row],[Date]]),Log_2019[[#This Row],[Split_apply]])) - SUM($O622:V622)</f>
        <v>0</v>
      </c>
      <c r="X622" s="52">
        <f ca="1">Log_2019[[#This Row],[Amount]]/Log_2019[[#This Row],[Split_raw]]*MAX(0,MIN(_xlfn.DAYS(EDATE(X$1,1),Log_2019[[#This Row],[Date]]),Log_2019[[#This Row],[Split_apply]])) - SUM($O622:W622)</f>
        <v>0</v>
      </c>
      <c r="Y622" s="52">
        <f ca="1">Log_2019[[#This Row],[Amount]]/Log_2019[[#This Row],[Split_raw]]*MAX(0,MIN(_xlfn.DAYS(EDATE(Y$1,1),Log_2019[[#This Row],[Date]]),Log_2019[[#This Row],[Split_apply]])) - SUM($O622:X622)</f>
        <v>0</v>
      </c>
      <c r="Z622" s="52">
        <f ca="1">Log_2019[[#This Row],[Amount]]/Log_2019[[#This Row],[Split_raw]]*MAX(0,MIN(_xlfn.DAYS(EDATE(Z$1,1),Log_2019[[#This Row],[Date]]),Log_2019[[#This Row],[Split_apply]])) - SUM($O622:Y622)</f>
        <v>0</v>
      </c>
      <c r="AA622" s="52">
        <f ca="1">Log_2019[[#This Row],[Amount]]/Log_2019[[#This Row],[Split_raw]]*MAX(0,MIN(_xlfn.DAYS(EDATE(AA$1,1),Log_2019[[#This Row],[Date]]),Log_2019[[#This Row],[Split_apply]])) - SUM($O622:Z622)</f>
        <v>0</v>
      </c>
      <c r="AB622" s="54">
        <f ca="1">Log_2019[[#This Row],[Amount]]-SUM(O622:AA622)</f>
        <v>0</v>
      </c>
      <c r="AC622" s="7">
        <f>MAX(0,Log_2019[[#This Row],[Split_raw]] - (EDATE(AA$1,1)-Log_2019[[#This Row],[Date]]))</f>
        <v>0</v>
      </c>
    </row>
    <row r="623" spans="1:29" x14ac:dyDescent="0.25">
      <c r="A623" s="42"/>
      <c r="B623" t="s">
        <v>6</v>
      </c>
      <c r="D623" s="26">
        <v>43544</v>
      </c>
      <c r="F623" t="s">
        <v>184</v>
      </c>
      <c r="G623" t="s">
        <v>11</v>
      </c>
      <c r="H623" s="3">
        <v>-6.45</v>
      </c>
      <c r="I623" s="36">
        <f>IF(Log_2019[[#This Row],[My Category]]="NONTRACKED",0,Log_2019[[#This Row],[Raw Amount]])</f>
        <v>-6.45</v>
      </c>
      <c r="J623" s="17">
        <f>ABS(Log_2019[[#This Row],[Amount]])</f>
        <v>6.45</v>
      </c>
      <c r="K623" s="5">
        <v>1</v>
      </c>
      <c r="L623" s="38">
        <f ca="1">IF(Log_2019[[#This Row],[Date]]&lt;=TODAY(), MIN(Log_2019[[#This Row],[Split_raw]], TODAY()-Log_2019[[#This Row],[Date]]+1), 0)</f>
        <v>1</v>
      </c>
      <c r="M623" t="s">
        <v>12</v>
      </c>
      <c r="N623" t="s">
        <v>158</v>
      </c>
      <c r="O623" s="7">
        <v>0</v>
      </c>
      <c r="P623" s="52">
        <f ca="1">Log_2019[[#This Row],[Amount]]/Log_2019[[#This Row],[Split_raw]]*MAX(0,MIN(_xlfn.DAYS(EDATE(P$1,1),Log_2019[[#This Row],[Date]]),Log_2019[[#This Row],[Split_apply]])) - SUM($O623:O623)</f>
        <v>0</v>
      </c>
      <c r="Q623" s="52">
        <f ca="1">Log_2019[[#This Row],[Amount]]/Log_2019[[#This Row],[Split_raw]]*MAX(0,MIN(_xlfn.DAYS(EDATE(Q$1,1),Log_2019[[#This Row],[Date]]),Log_2019[[#This Row],[Split_apply]])) - SUM($O623:P623)</f>
        <v>0</v>
      </c>
      <c r="R623" s="52">
        <f ca="1">Log_2019[[#This Row],[Amount]]/Log_2019[[#This Row],[Split_raw]]*MAX(0,MIN(_xlfn.DAYS(EDATE(R$1,1),Log_2019[[#This Row],[Date]]),Log_2019[[#This Row],[Split_apply]])) - SUM($O623:Q623)</f>
        <v>-6.45</v>
      </c>
      <c r="S623" s="52">
        <f ca="1">Log_2019[[#This Row],[Amount]]/Log_2019[[#This Row],[Split_raw]]*MAX(0,MIN(_xlfn.DAYS(EDATE(S$1,1),Log_2019[[#This Row],[Date]]),Log_2019[[#This Row],[Split_apply]])) - SUM($O623:R623)</f>
        <v>0</v>
      </c>
      <c r="T623" s="52">
        <f ca="1">Log_2019[[#This Row],[Amount]]/Log_2019[[#This Row],[Split_raw]]*MAX(0,MIN(_xlfn.DAYS(EDATE(T$1,1),Log_2019[[#This Row],[Date]]),Log_2019[[#This Row],[Split_apply]])) - SUM($O623:S623)</f>
        <v>0</v>
      </c>
      <c r="U623" s="52">
        <f ca="1">Log_2019[[#This Row],[Amount]]/Log_2019[[#This Row],[Split_raw]]*MAX(0,MIN(_xlfn.DAYS(EDATE(U$1,1),Log_2019[[#This Row],[Date]]),Log_2019[[#This Row],[Split_apply]])) - SUM($O623:T623)</f>
        <v>0</v>
      </c>
      <c r="V623" s="52">
        <f ca="1">Log_2019[[#This Row],[Amount]]/Log_2019[[#This Row],[Split_raw]]*MAX(0,MIN(_xlfn.DAYS(EDATE(V$1,1),Log_2019[[#This Row],[Date]]),Log_2019[[#This Row],[Split_apply]])) - SUM($O623:U623)</f>
        <v>0</v>
      </c>
      <c r="W623" s="52">
        <f ca="1">Log_2019[[#This Row],[Amount]]/Log_2019[[#This Row],[Split_raw]]*MAX(0,MIN(_xlfn.DAYS(EDATE(W$1,1),Log_2019[[#This Row],[Date]]),Log_2019[[#This Row],[Split_apply]])) - SUM($O623:V623)</f>
        <v>0</v>
      </c>
      <c r="X623" s="52">
        <f ca="1">Log_2019[[#This Row],[Amount]]/Log_2019[[#This Row],[Split_raw]]*MAX(0,MIN(_xlfn.DAYS(EDATE(X$1,1),Log_2019[[#This Row],[Date]]),Log_2019[[#This Row],[Split_apply]])) - SUM($O623:W623)</f>
        <v>0</v>
      </c>
      <c r="Y623" s="52">
        <f ca="1">Log_2019[[#This Row],[Amount]]/Log_2019[[#This Row],[Split_raw]]*MAX(0,MIN(_xlfn.DAYS(EDATE(Y$1,1),Log_2019[[#This Row],[Date]]),Log_2019[[#This Row],[Split_apply]])) - SUM($O623:X623)</f>
        <v>0</v>
      </c>
      <c r="Z623" s="52">
        <f ca="1">Log_2019[[#This Row],[Amount]]/Log_2019[[#This Row],[Split_raw]]*MAX(0,MIN(_xlfn.DAYS(EDATE(Z$1,1),Log_2019[[#This Row],[Date]]),Log_2019[[#This Row],[Split_apply]])) - SUM($O623:Y623)</f>
        <v>0</v>
      </c>
      <c r="AA623" s="52">
        <f ca="1">Log_2019[[#This Row],[Amount]]/Log_2019[[#This Row],[Split_raw]]*MAX(0,MIN(_xlfn.DAYS(EDATE(AA$1,1),Log_2019[[#This Row],[Date]]),Log_2019[[#This Row],[Split_apply]])) - SUM($O623:Z623)</f>
        <v>0</v>
      </c>
      <c r="AB623" s="54">
        <f ca="1">Log_2019[[#This Row],[Amount]]-SUM(O623:AA623)</f>
        <v>0</v>
      </c>
      <c r="AC623" s="7">
        <f>MAX(0,Log_2019[[#This Row],[Split_raw]] - (EDATE(AA$1,1)-Log_2019[[#This Row],[Date]]))</f>
        <v>0</v>
      </c>
    </row>
    <row r="624" spans="1:29" x14ac:dyDescent="0.25">
      <c r="A624" s="42"/>
      <c r="B624" t="s">
        <v>6</v>
      </c>
      <c r="D624" s="26">
        <v>43544</v>
      </c>
      <c r="F624" t="s">
        <v>59</v>
      </c>
      <c r="G624" t="s">
        <v>25</v>
      </c>
      <c r="H624" s="3">
        <v>-7.94</v>
      </c>
      <c r="I624" s="36">
        <f>IF(Log_2019[[#This Row],[My Category]]="NONTRACKED",0,Log_2019[[#This Row],[Raw Amount]])</f>
        <v>-7.94</v>
      </c>
      <c r="J624" s="17">
        <f>ABS(Log_2019[[#This Row],[Amount]])</f>
        <v>7.94</v>
      </c>
      <c r="K624" s="5">
        <v>1</v>
      </c>
      <c r="L624" s="38">
        <f ca="1">IF(Log_2019[[#This Row],[Date]]&lt;=TODAY(), MIN(Log_2019[[#This Row],[Split_raw]], TODAY()-Log_2019[[#This Row],[Date]]+1), 0)</f>
        <v>1</v>
      </c>
      <c r="M624" t="s">
        <v>35</v>
      </c>
      <c r="N624" t="s">
        <v>158</v>
      </c>
      <c r="O624" s="7">
        <v>0</v>
      </c>
      <c r="P624" s="52">
        <f ca="1">Log_2019[[#This Row],[Amount]]/Log_2019[[#This Row],[Split_raw]]*MAX(0,MIN(_xlfn.DAYS(EDATE(P$1,1),Log_2019[[#This Row],[Date]]),Log_2019[[#This Row],[Split_apply]])) - SUM($O624:O624)</f>
        <v>0</v>
      </c>
      <c r="Q624" s="52">
        <f ca="1">Log_2019[[#This Row],[Amount]]/Log_2019[[#This Row],[Split_raw]]*MAX(0,MIN(_xlfn.DAYS(EDATE(Q$1,1),Log_2019[[#This Row],[Date]]),Log_2019[[#This Row],[Split_apply]])) - SUM($O624:P624)</f>
        <v>0</v>
      </c>
      <c r="R624" s="52">
        <f ca="1">Log_2019[[#This Row],[Amount]]/Log_2019[[#This Row],[Split_raw]]*MAX(0,MIN(_xlfn.DAYS(EDATE(R$1,1),Log_2019[[#This Row],[Date]]),Log_2019[[#This Row],[Split_apply]])) - SUM($O624:Q624)</f>
        <v>-7.94</v>
      </c>
      <c r="S624" s="52">
        <f ca="1">Log_2019[[#This Row],[Amount]]/Log_2019[[#This Row],[Split_raw]]*MAX(0,MIN(_xlfn.DAYS(EDATE(S$1,1),Log_2019[[#This Row],[Date]]),Log_2019[[#This Row],[Split_apply]])) - SUM($O624:R624)</f>
        <v>0</v>
      </c>
      <c r="T624" s="52">
        <f ca="1">Log_2019[[#This Row],[Amount]]/Log_2019[[#This Row],[Split_raw]]*MAX(0,MIN(_xlfn.DAYS(EDATE(T$1,1),Log_2019[[#This Row],[Date]]),Log_2019[[#This Row],[Split_apply]])) - SUM($O624:S624)</f>
        <v>0</v>
      </c>
      <c r="U624" s="52">
        <f ca="1">Log_2019[[#This Row],[Amount]]/Log_2019[[#This Row],[Split_raw]]*MAX(0,MIN(_xlfn.DAYS(EDATE(U$1,1),Log_2019[[#This Row],[Date]]),Log_2019[[#This Row],[Split_apply]])) - SUM($O624:T624)</f>
        <v>0</v>
      </c>
      <c r="V624" s="52">
        <f ca="1">Log_2019[[#This Row],[Amount]]/Log_2019[[#This Row],[Split_raw]]*MAX(0,MIN(_xlfn.DAYS(EDATE(V$1,1),Log_2019[[#This Row],[Date]]),Log_2019[[#This Row],[Split_apply]])) - SUM($O624:U624)</f>
        <v>0</v>
      </c>
      <c r="W624" s="52">
        <f ca="1">Log_2019[[#This Row],[Amount]]/Log_2019[[#This Row],[Split_raw]]*MAX(0,MIN(_xlfn.DAYS(EDATE(W$1,1),Log_2019[[#This Row],[Date]]),Log_2019[[#This Row],[Split_apply]])) - SUM($O624:V624)</f>
        <v>0</v>
      </c>
      <c r="X624" s="52">
        <f ca="1">Log_2019[[#This Row],[Amount]]/Log_2019[[#This Row],[Split_raw]]*MAX(0,MIN(_xlfn.DAYS(EDATE(X$1,1),Log_2019[[#This Row],[Date]]),Log_2019[[#This Row],[Split_apply]])) - SUM($O624:W624)</f>
        <v>0</v>
      </c>
      <c r="Y624" s="52">
        <f ca="1">Log_2019[[#This Row],[Amount]]/Log_2019[[#This Row],[Split_raw]]*MAX(0,MIN(_xlfn.DAYS(EDATE(Y$1,1),Log_2019[[#This Row],[Date]]),Log_2019[[#This Row],[Split_apply]])) - SUM($O624:X624)</f>
        <v>0</v>
      </c>
      <c r="Z624" s="52">
        <f ca="1">Log_2019[[#This Row],[Amount]]/Log_2019[[#This Row],[Split_raw]]*MAX(0,MIN(_xlfn.DAYS(EDATE(Z$1,1),Log_2019[[#This Row],[Date]]),Log_2019[[#This Row],[Split_apply]])) - SUM($O624:Y624)</f>
        <v>0</v>
      </c>
      <c r="AA624" s="52">
        <f ca="1">Log_2019[[#This Row],[Amount]]/Log_2019[[#This Row],[Split_raw]]*MAX(0,MIN(_xlfn.DAYS(EDATE(AA$1,1),Log_2019[[#This Row],[Date]]),Log_2019[[#This Row],[Split_apply]])) - SUM($O624:Z624)</f>
        <v>0</v>
      </c>
      <c r="AB624" s="54">
        <f ca="1">Log_2019[[#This Row],[Amount]]-SUM(O624:AA624)</f>
        <v>0</v>
      </c>
      <c r="AC624" s="7">
        <f>MAX(0,Log_2019[[#This Row],[Split_raw]] - (EDATE(AA$1,1)-Log_2019[[#This Row],[Date]]))</f>
        <v>0</v>
      </c>
    </row>
    <row r="625" spans="1:29" x14ac:dyDescent="0.25">
      <c r="A625" s="42"/>
      <c r="B625" t="s">
        <v>6</v>
      </c>
      <c r="D625" s="26">
        <v>43543</v>
      </c>
      <c r="F625" t="s">
        <v>539</v>
      </c>
      <c r="G625" t="s">
        <v>8</v>
      </c>
      <c r="H625" s="3">
        <v>-4.2699999999999996</v>
      </c>
      <c r="I625" s="36">
        <f>IF(Log_2019[[#This Row],[My Category]]="NONTRACKED",0,Log_2019[[#This Row],[Raw Amount]])</f>
        <v>-4.2699999999999996</v>
      </c>
      <c r="J625" s="17">
        <f>ABS(Log_2019[[#This Row],[Amount]])</f>
        <v>4.2699999999999996</v>
      </c>
      <c r="K625" s="5">
        <v>1</v>
      </c>
      <c r="L625" s="38">
        <f ca="1">IF(Log_2019[[#This Row],[Date]]&lt;=TODAY(), MIN(Log_2019[[#This Row],[Split_raw]], TODAY()-Log_2019[[#This Row],[Date]]+1), 0)</f>
        <v>1</v>
      </c>
      <c r="M625" t="s">
        <v>145</v>
      </c>
      <c r="N625" t="s">
        <v>158</v>
      </c>
      <c r="O625" s="7">
        <v>0</v>
      </c>
      <c r="P625" s="52">
        <f ca="1">Log_2019[[#This Row],[Amount]]/Log_2019[[#This Row],[Split_raw]]*MAX(0,MIN(_xlfn.DAYS(EDATE(P$1,1),Log_2019[[#This Row],[Date]]),Log_2019[[#This Row],[Split_apply]])) - SUM($O625:O625)</f>
        <v>0</v>
      </c>
      <c r="Q625" s="52">
        <f ca="1">Log_2019[[#This Row],[Amount]]/Log_2019[[#This Row],[Split_raw]]*MAX(0,MIN(_xlfn.DAYS(EDATE(Q$1,1),Log_2019[[#This Row],[Date]]),Log_2019[[#This Row],[Split_apply]])) - SUM($O625:P625)</f>
        <v>0</v>
      </c>
      <c r="R625" s="52">
        <f ca="1">Log_2019[[#This Row],[Amount]]/Log_2019[[#This Row],[Split_raw]]*MAX(0,MIN(_xlfn.DAYS(EDATE(R$1,1),Log_2019[[#This Row],[Date]]),Log_2019[[#This Row],[Split_apply]])) - SUM($O625:Q625)</f>
        <v>-4.2699999999999996</v>
      </c>
      <c r="S625" s="52">
        <f ca="1">Log_2019[[#This Row],[Amount]]/Log_2019[[#This Row],[Split_raw]]*MAX(0,MIN(_xlfn.DAYS(EDATE(S$1,1),Log_2019[[#This Row],[Date]]),Log_2019[[#This Row],[Split_apply]])) - SUM($O625:R625)</f>
        <v>0</v>
      </c>
      <c r="T625" s="52">
        <f ca="1">Log_2019[[#This Row],[Amount]]/Log_2019[[#This Row],[Split_raw]]*MAX(0,MIN(_xlfn.DAYS(EDATE(T$1,1),Log_2019[[#This Row],[Date]]),Log_2019[[#This Row],[Split_apply]])) - SUM($O625:S625)</f>
        <v>0</v>
      </c>
      <c r="U625" s="52">
        <f ca="1">Log_2019[[#This Row],[Amount]]/Log_2019[[#This Row],[Split_raw]]*MAX(0,MIN(_xlfn.DAYS(EDATE(U$1,1),Log_2019[[#This Row],[Date]]),Log_2019[[#This Row],[Split_apply]])) - SUM($O625:T625)</f>
        <v>0</v>
      </c>
      <c r="V625" s="52">
        <f ca="1">Log_2019[[#This Row],[Amount]]/Log_2019[[#This Row],[Split_raw]]*MAX(0,MIN(_xlfn.DAYS(EDATE(V$1,1),Log_2019[[#This Row],[Date]]),Log_2019[[#This Row],[Split_apply]])) - SUM($O625:U625)</f>
        <v>0</v>
      </c>
      <c r="W625" s="52">
        <f ca="1">Log_2019[[#This Row],[Amount]]/Log_2019[[#This Row],[Split_raw]]*MAX(0,MIN(_xlfn.DAYS(EDATE(W$1,1),Log_2019[[#This Row],[Date]]),Log_2019[[#This Row],[Split_apply]])) - SUM($O625:V625)</f>
        <v>0</v>
      </c>
      <c r="X625" s="52">
        <f ca="1">Log_2019[[#This Row],[Amount]]/Log_2019[[#This Row],[Split_raw]]*MAX(0,MIN(_xlfn.DAYS(EDATE(X$1,1),Log_2019[[#This Row],[Date]]),Log_2019[[#This Row],[Split_apply]])) - SUM($O625:W625)</f>
        <v>0</v>
      </c>
      <c r="Y625" s="52">
        <f ca="1">Log_2019[[#This Row],[Amount]]/Log_2019[[#This Row],[Split_raw]]*MAX(0,MIN(_xlfn.DAYS(EDATE(Y$1,1),Log_2019[[#This Row],[Date]]),Log_2019[[#This Row],[Split_apply]])) - SUM($O625:X625)</f>
        <v>0</v>
      </c>
      <c r="Z625" s="52">
        <f ca="1">Log_2019[[#This Row],[Amount]]/Log_2019[[#This Row],[Split_raw]]*MAX(0,MIN(_xlfn.DAYS(EDATE(Z$1,1),Log_2019[[#This Row],[Date]]),Log_2019[[#This Row],[Split_apply]])) - SUM($O625:Y625)</f>
        <v>0</v>
      </c>
      <c r="AA625" s="52">
        <f ca="1">Log_2019[[#This Row],[Amount]]/Log_2019[[#This Row],[Split_raw]]*MAX(0,MIN(_xlfn.DAYS(EDATE(AA$1,1),Log_2019[[#This Row],[Date]]),Log_2019[[#This Row],[Split_apply]])) - SUM($O625:Z625)</f>
        <v>0</v>
      </c>
      <c r="AB625" s="54">
        <f ca="1">Log_2019[[#This Row],[Amount]]-SUM(O625:AA625)</f>
        <v>0</v>
      </c>
      <c r="AC625" s="7">
        <f>MAX(0,Log_2019[[#This Row],[Split_raw]] - (EDATE(AA$1,1)-Log_2019[[#This Row],[Date]]))</f>
        <v>0</v>
      </c>
    </row>
    <row r="626" spans="1:29" x14ac:dyDescent="0.25">
      <c r="A626" s="42"/>
      <c r="B626" t="s">
        <v>6</v>
      </c>
      <c r="D626" s="26">
        <v>43543</v>
      </c>
      <c r="F626" t="s">
        <v>540</v>
      </c>
      <c r="G626" t="s">
        <v>25</v>
      </c>
      <c r="H626" s="3">
        <v>-11.66</v>
      </c>
      <c r="I626" s="36">
        <f>IF(Log_2019[[#This Row],[My Category]]="NONTRACKED",0,Log_2019[[#This Row],[Raw Amount]])</f>
        <v>-11.66</v>
      </c>
      <c r="J626" s="17">
        <f>ABS(Log_2019[[#This Row],[Amount]])</f>
        <v>11.66</v>
      </c>
      <c r="K626" s="5">
        <v>1</v>
      </c>
      <c r="L626" s="38">
        <f ca="1">IF(Log_2019[[#This Row],[Date]]&lt;=TODAY(), MIN(Log_2019[[#This Row],[Split_raw]], TODAY()-Log_2019[[#This Row],[Date]]+1), 0)</f>
        <v>1</v>
      </c>
      <c r="M626" t="s">
        <v>35</v>
      </c>
      <c r="N626" t="s">
        <v>158</v>
      </c>
      <c r="O626" s="7">
        <v>0</v>
      </c>
      <c r="P626" s="52">
        <f ca="1">Log_2019[[#This Row],[Amount]]/Log_2019[[#This Row],[Split_raw]]*MAX(0,MIN(_xlfn.DAYS(EDATE(P$1,1),Log_2019[[#This Row],[Date]]),Log_2019[[#This Row],[Split_apply]])) - SUM($O626:O626)</f>
        <v>0</v>
      </c>
      <c r="Q626" s="52">
        <f ca="1">Log_2019[[#This Row],[Amount]]/Log_2019[[#This Row],[Split_raw]]*MAX(0,MIN(_xlfn.DAYS(EDATE(Q$1,1),Log_2019[[#This Row],[Date]]),Log_2019[[#This Row],[Split_apply]])) - SUM($O626:P626)</f>
        <v>0</v>
      </c>
      <c r="R626" s="52">
        <f ca="1">Log_2019[[#This Row],[Amount]]/Log_2019[[#This Row],[Split_raw]]*MAX(0,MIN(_xlfn.DAYS(EDATE(R$1,1),Log_2019[[#This Row],[Date]]),Log_2019[[#This Row],[Split_apply]])) - SUM($O626:Q626)</f>
        <v>-11.66</v>
      </c>
      <c r="S626" s="52">
        <f ca="1">Log_2019[[#This Row],[Amount]]/Log_2019[[#This Row],[Split_raw]]*MAX(0,MIN(_xlfn.DAYS(EDATE(S$1,1),Log_2019[[#This Row],[Date]]),Log_2019[[#This Row],[Split_apply]])) - SUM($O626:R626)</f>
        <v>0</v>
      </c>
      <c r="T626" s="52">
        <f ca="1">Log_2019[[#This Row],[Amount]]/Log_2019[[#This Row],[Split_raw]]*MAX(0,MIN(_xlfn.DAYS(EDATE(T$1,1),Log_2019[[#This Row],[Date]]),Log_2019[[#This Row],[Split_apply]])) - SUM($O626:S626)</f>
        <v>0</v>
      </c>
      <c r="U626" s="52">
        <f ca="1">Log_2019[[#This Row],[Amount]]/Log_2019[[#This Row],[Split_raw]]*MAX(0,MIN(_xlfn.DAYS(EDATE(U$1,1),Log_2019[[#This Row],[Date]]),Log_2019[[#This Row],[Split_apply]])) - SUM($O626:T626)</f>
        <v>0</v>
      </c>
      <c r="V626" s="52">
        <f ca="1">Log_2019[[#This Row],[Amount]]/Log_2019[[#This Row],[Split_raw]]*MAX(0,MIN(_xlfn.DAYS(EDATE(V$1,1),Log_2019[[#This Row],[Date]]),Log_2019[[#This Row],[Split_apply]])) - SUM($O626:U626)</f>
        <v>0</v>
      </c>
      <c r="W626" s="52">
        <f ca="1">Log_2019[[#This Row],[Amount]]/Log_2019[[#This Row],[Split_raw]]*MAX(0,MIN(_xlfn.DAYS(EDATE(W$1,1),Log_2019[[#This Row],[Date]]),Log_2019[[#This Row],[Split_apply]])) - SUM($O626:V626)</f>
        <v>0</v>
      </c>
      <c r="X626" s="52">
        <f ca="1">Log_2019[[#This Row],[Amount]]/Log_2019[[#This Row],[Split_raw]]*MAX(0,MIN(_xlfn.DAYS(EDATE(X$1,1),Log_2019[[#This Row],[Date]]),Log_2019[[#This Row],[Split_apply]])) - SUM($O626:W626)</f>
        <v>0</v>
      </c>
      <c r="Y626" s="52">
        <f ca="1">Log_2019[[#This Row],[Amount]]/Log_2019[[#This Row],[Split_raw]]*MAX(0,MIN(_xlfn.DAYS(EDATE(Y$1,1),Log_2019[[#This Row],[Date]]),Log_2019[[#This Row],[Split_apply]])) - SUM($O626:X626)</f>
        <v>0</v>
      </c>
      <c r="Z626" s="52">
        <f ca="1">Log_2019[[#This Row],[Amount]]/Log_2019[[#This Row],[Split_raw]]*MAX(0,MIN(_xlfn.DAYS(EDATE(Z$1,1),Log_2019[[#This Row],[Date]]),Log_2019[[#This Row],[Split_apply]])) - SUM($O626:Y626)</f>
        <v>0</v>
      </c>
      <c r="AA626" s="52">
        <f ca="1">Log_2019[[#This Row],[Amount]]/Log_2019[[#This Row],[Split_raw]]*MAX(0,MIN(_xlfn.DAYS(EDATE(AA$1,1),Log_2019[[#This Row],[Date]]),Log_2019[[#This Row],[Split_apply]])) - SUM($O626:Z626)</f>
        <v>0</v>
      </c>
      <c r="AB626" s="54">
        <f ca="1">Log_2019[[#This Row],[Amount]]-SUM(O626:AA626)</f>
        <v>0</v>
      </c>
      <c r="AC626" s="7">
        <f>MAX(0,Log_2019[[#This Row],[Split_raw]] - (EDATE(AA$1,1)-Log_2019[[#This Row],[Date]]))</f>
        <v>0</v>
      </c>
    </row>
    <row r="627" spans="1:29" x14ac:dyDescent="0.25">
      <c r="A627" s="42"/>
      <c r="B627" t="s">
        <v>6</v>
      </c>
      <c r="D627" s="26">
        <v>43543</v>
      </c>
      <c r="F627" t="s">
        <v>255</v>
      </c>
      <c r="G627" t="s">
        <v>25</v>
      </c>
      <c r="H627" s="3">
        <v>-7.54</v>
      </c>
      <c r="I627" s="36">
        <f>IF(Log_2019[[#This Row],[My Category]]="NONTRACKED",0,Log_2019[[#This Row],[Raw Amount]])</f>
        <v>-7.54</v>
      </c>
      <c r="J627" s="17">
        <f>ABS(Log_2019[[#This Row],[Amount]])</f>
        <v>7.54</v>
      </c>
      <c r="K627" s="5">
        <v>1</v>
      </c>
      <c r="L627" s="38">
        <f ca="1">IF(Log_2019[[#This Row],[Date]]&lt;=TODAY(), MIN(Log_2019[[#This Row],[Split_raw]], TODAY()-Log_2019[[#This Row],[Date]]+1), 0)</f>
        <v>1</v>
      </c>
      <c r="M627" t="s">
        <v>35</v>
      </c>
      <c r="N627" t="s">
        <v>158</v>
      </c>
      <c r="O627" s="7">
        <v>0</v>
      </c>
      <c r="P627" s="52">
        <f ca="1">Log_2019[[#This Row],[Amount]]/Log_2019[[#This Row],[Split_raw]]*MAX(0,MIN(_xlfn.DAYS(EDATE(P$1,1),Log_2019[[#This Row],[Date]]),Log_2019[[#This Row],[Split_apply]])) - SUM($O627:O627)</f>
        <v>0</v>
      </c>
      <c r="Q627" s="52">
        <f ca="1">Log_2019[[#This Row],[Amount]]/Log_2019[[#This Row],[Split_raw]]*MAX(0,MIN(_xlfn.DAYS(EDATE(Q$1,1),Log_2019[[#This Row],[Date]]),Log_2019[[#This Row],[Split_apply]])) - SUM($O627:P627)</f>
        <v>0</v>
      </c>
      <c r="R627" s="52">
        <f ca="1">Log_2019[[#This Row],[Amount]]/Log_2019[[#This Row],[Split_raw]]*MAX(0,MIN(_xlfn.DAYS(EDATE(R$1,1),Log_2019[[#This Row],[Date]]),Log_2019[[#This Row],[Split_apply]])) - SUM($O627:Q627)</f>
        <v>-7.54</v>
      </c>
      <c r="S627" s="52">
        <f ca="1">Log_2019[[#This Row],[Amount]]/Log_2019[[#This Row],[Split_raw]]*MAX(0,MIN(_xlfn.DAYS(EDATE(S$1,1),Log_2019[[#This Row],[Date]]),Log_2019[[#This Row],[Split_apply]])) - SUM($O627:R627)</f>
        <v>0</v>
      </c>
      <c r="T627" s="52">
        <f ca="1">Log_2019[[#This Row],[Amount]]/Log_2019[[#This Row],[Split_raw]]*MAX(0,MIN(_xlfn.DAYS(EDATE(T$1,1),Log_2019[[#This Row],[Date]]),Log_2019[[#This Row],[Split_apply]])) - SUM($O627:S627)</f>
        <v>0</v>
      </c>
      <c r="U627" s="52">
        <f ca="1">Log_2019[[#This Row],[Amount]]/Log_2019[[#This Row],[Split_raw]]*MAX(0,MIN(_xlfn.DAYS(EDATE(U$1,1),Log_2019[[#This Row],[Date]]),Log_2019[[#This Row],[Split_apply]])) - SUM($O627:T627)</f>
        <v>0</v>
      </c>
      <c r="V627" s="52">
        <f ca="1">Log_2019[[#This Row],[Amount]]/Log_2019[[#This Row],[Split_raw]]*MAX(0,MIN(_xlfn.DAYS(EDATE(V$1,1),Log_2019[[#This Row],[Date]]),Log_2019[[#This Row],[Split_apply]])) - SUM($O627:U627)</f>
        <v>0</v>
      </c>
      <c r="W627" s="52">
        <f ca="1">Log_2019[[#This Row],[Amount]]/Log_2019[[#This Row],[Split_raw]]*MAX(0,MIN(_xlfn.DAYS(EDATE(W$1,1),Log_2019[[#This Row],[Date]]),Log_2019[[#This Row],[Split_apply]])) - SUM($O627:V627)</f>
        <v>0</v>
      </c>
      <c r="X627" s="52">
        <f ca="1">Log_2019[[#This Row],[Amount]]/Log_2019[[#This Row],[Split_raw]]*MAX(0,MIN(_xlfn.DAYS(EDATE(X$1,1),Log_2019[[#This Row],[Date]]),Log_2019[[#This Row],[Split_apply]])) - SUM($O627:W627)</f>
        <v>0</v>
      </c>
      <c r="Y627" s="52">
        <f ca="1">Log_2019[[#This Row],[Amount]]/Log_2019[[#This Row],[Split_raw]]*MAX(0,MIN(_xlfn.DAYS(EDATE(Y$1,1),Log_2019[[#This Row],[Date]]),Log_2019[[#This Row],[Split_apply]])) - SUM($O627:X627)</f>
        <v>0</v>
      </c>
      <c r="Z627" s="52">
        <f ca="1">Log_2019[[#This Row],[Amount]]/Log_2019[[#This Row],[Split_raw]]*MAX(0,MIN(_xlfn.DAYS(EDATE(Z$1,1),Log_2019[[#This Row],[Date]]),Log_2019[[#This Row],[Split_apply]])) - SUM($O627:Y627)</f>
        <v>0</v>
      </c>
      <c r="AA627" s="52">
        <f ca="1">Log_2019[[#This Row],[Amount]]/Log_2019[[#This Row],[Split_raw]]*MAX(0,MIN(_xlfn.DAYS(EDATE(AA$1,1),Log_2019[[#This Row],[Date]]),Log_2019[[#This Row],[Split_apply]])) - SUM($O627:Z627)</f>
        <v>0</v>
      </c>
      <c r="AB627" s="54">
        <f ca="1">Log_2019[[#This Row],[Amount]]-SUM(O627:AA627)</f>
        <v>0</v>
      </c>
      <c r="AC627" s="7">
        <f>MAX(0,Log_2019[[#This Row],[Split_raw]] - (EDATE(AA$1,1)-Log_2019[[#This Row],[Date]]))</f>
        <v>0</v>
      </c>
    </row>
    <row r="628" spans="1:29" x14ac:dyDescent="0.25">
      <c r="A628" s="42"/>
      <c r="B628" s="34" t="s">
        <v>490</v>
      </c>
      <c r="C628" s="34">
        <v>2.7003070059894502E+18</v>
      </c>
      <c r="D628" s="41">
        <v>43539</v>
      </c>
      <c r="E628" s="34"/>
      <c r="F628" s="34" t="s">
        <v>717</v>
      </c>
      <c r="G628" s="34"/>
      <c r="H628" s="45">
        <v>-0.01</v>
      </c>
      <c r="I628" s="36">
        <f>IF(Log_2019[[#This Row],[My Category]]="NONTRACKED",0,Log_2019[[#This Row],[Raw Amount]])</f>
        <v>-0.01</v>
      </c>
      <c r="J628" s="37">
        <f>ABS(Log_2019[[#This Row],[Amount]])</f>
        <v>0.01</v>
      </c>
      <c r="K628" s="38">
        <v>1</v>
      </c>
      <c r="L628" s="38">
        <f ca="1">IF(Log_2019[[#This Row],[Date]]&lt;=TODAY(), MIN(Log_2019[[#This Row],[Split_raw]], TODAY()-Log_2019[[#This Row],[Date]]+1), 0)</f>
        <v>1</v>
      </c>
      <c r="M628" s="34" t="s">
        <v>147</v>
      </c>
      <c r="N628" s="34" t="s">
        <v>490</v>
      </c>
      <c r="O628" s="7">
        <v>0</v>
      </c>
      <c r="P628" s="52">
        <f ca="1">Log_2019[[#This Row],[Amount]]/Log_2019[[#This Row],[Split_raw]]*MAX(0,MIN(_xlfn.DAYS(EDATE(P$1,1),Log_2019[[#This Row],[Date]]),Log_2019[[#This Row],[Split_apply]])) - SUM($O628:O628)</f>
        <v>0</v>
      </c>
      <c r="Q628" s="52">
        <f ca="1">Log_2019[[#This Row],[Amount]]/Log_2019[[#This Row],[Split_raw]]*MAX(0,MIN(_xlfn.DAYS(EDATE(Q$1,1),Log_2019[[#This Row],[Date]]),Log_2019[[#This Row],[Split_apply]])) - SUM($O628:P628)</f>
        <v>0</v>
      </c>
      <c r="R628" s="52">
        <f ca="1">Log_2019[[#This Row],[Amount]]/Log_2019[[#This Row],[Split_raw]]*MAX(0,MIN(_xlfn.DAYS(EDATE(R$1,1),Log_2019[[#This Row],[Date]]),Log_2019[[#This Row],[Split_apply]])) - SUM($O628:Q628)</f>
        <v>-0.01</v>
      </c>
      <c r="S628" s="52">
        <f ca="1">Log_2019[[#This Row],[Amount]]/Log_2019[[#This Row],[Split_raw]]*MAX(0,MIN(_xlfn.DAYS(EDATE(S$1,1),Log_2019[[#This Row],[Date]]),Log_2019[[#This Row],[Split_apply]])) - SUM($O628:R628)</f>
        <v>0</v>
      </c>
      <c r="T628" s="52">
        <f ca="1">Log_2019[[#This Row],[Amount]]/Log_2019[[#This Row],[Split_raw]]*MAX(0,MIN(_xlfn.DAYS(EDATE(T$1,1),Log_2019[[#This Row],[Date]]),Log_2019[[#This Row],[Split_apply]])) - SUM($O628:S628)</f>
        <v>0</v>
      </c>
      <c r="U628" s="52">
        <f ca="1">Log_2019[[#This Row],[Amount]]/Log_2019[[#This Row],[Split_raw]]*MAX(0,MIN(_xlfn.DAYS(EDATE(U$1,1),Log_2019[[#This Row],[Date]]),Log_2019[[#This Row],[Split_apply]])) - SUM($O628:T628)</f>
        <v>0</v>
      </c>
      <c r="V628" s="52">
        <f ca="1">Log_2019[[#This Row],[Amount]]/Log_2019[[#This Row],[Split_raw]]*MAX(0,MIN(_xlfn.DAYS(EDATE(V$1,1),Log_2019[[#This Row],[Date]]),Log_2019[[#This Row],[Split_apply]])) - SUM($O628:U628)</f>
        <v>0</v>
      </c>
      <c r="W628" s="52">
        <f ca="1">Log_2019[[#This Row],[Amount]]/Log_2019[[#This Row],[Split_raw]]*MAX(0,MIN(_xlfn.DAYS(EDATE(W$1,1),Log_2019[[#This Row],[Date]]),Log_2019[[#This Row],[Split_apply]])) - SUM($O628:V628)</f>
        <v>0</v>
      </c>
      <c r="X628" s="52">
        <f ca="1">Log_2019[[#This Row],[Amount]]/Log_2019[[#This Row],[Split_raw]]*MAX(0,MIN(_xlfn.DAYS(EDATE(X$1,1),Log_2019[[#This Row],[Date]]),Log_2019[[#This Row],[Split_apply]])) - SUM($O628:W628)</f>
        <v>0</v>
      </c>
      <c r="Y628" s="52">
        <f ca="1">Log_2019[[#This Row],[Amount]]/Log_2019[[#This Row],[Split_raw]]*MAX(0,MIN(_xlfn.DAYS(EDATE(Y$1,1),Log_2019[[#This Row],[Date]]),Log_2019[[#This Row],[Split_apply]])) - SUM($O628:X628)</f>
        <v>0</v>
      </c>
      <c r="Z628" s="52">
        <f ca="1">Log_2019[[#This Row],[Amount]]/Log_2019[[#This Row],[Split_raw]]*MAX(0,MIN(_xlfn.DAYS(EDATE(Z$1,1),Log_2019[[#This Row],[Date]]),Log_2019[[#This Row],[Split_apply]])) - SUM($O628:Y628)</f>
        <v>0</v>
      </c>
      <c r="AA628" s="52">
        <f ca="1">Log_2019[[#This Row],[Amount]]/Log_2019[[#This Row],[Split_raw]]*MAX(0,MIN(_xlfn.DAYS(EDATE(AA$1,1),Log_2019[[#This Row],[Date]]),Log_2019[[#This Row],[Split_apply]])) - SUM($O628:Z628)</f>
        <v>0</v>
      </c>
      <c r="AB628" s="54">
        <f ca="1">Log_2019[[#This Row],[Amount]]-SUM(O628:AA628)</f>
        <v>0</v>
      </c>
      <c r="AC628" s="7">
        <f>MAX(0,Log_2019[[#This Row],[Split_raw]] - (EDATE(AA$1,1)-Log_2019[[#This Row],[Date]]))</f>
        <v>0</v>
      </c>
    </row>
    <row r="629" spans="1:29" x14ac:dyDescent="0.25">
      <c r="A629" s="42"/>
      <c r="B629" s="34" t="s">
        <v>490</v>
      </c>
      <c r="C629" s="34">
        <v>2.7003075450581801E+18</v>
      </c>
      <c r="D629" s="41">
        <v>43539</v>
      </c>
      <c r="E629" s="34"/>
      <c r="F629" s="34" t="s">
        <v>718</v>
      </c>
      <c r="G629" s="34"/>
      <c r="H629" s="45">
        <v>-8.33</v>
      </c>
      <c r="I629" s="36">
        <f>IF(Log_2019[[#This Row],[My Category]]="NONTRACKED",0,Log_2019[[#This Row],[Raw Amount]])</f>
        <v>-8.33</v>
      </c>
      <c r="J629" s="37">
        <f>ABS(Log_2019[[#This Row],[Amount]])</f>
        <v>8.33</v>
      </c>
      <c r="K629" s="38">
        <v>1</v>
      </c>
      <c r="L629" s="38">
        <f ca="1">IF(Log_2019[[#This Row],[Date]]&lt;=TODAY(), MIN(Log_2019[[#This Row],[Split_raw]], TODAY()-Log_2019[[#This Row],[Date]]+1), 0)</f>
        <v>1</v>
      </c>
      <c r="M629" s="34" t="s">
        <v>35</v>
      </c>
      <c r="N629" s="34" t="s">
        <v>490</v>
      </c>
      <c r="O629" s="7">
        <v>0</v>
      </c>
      <c r="P629" s="52">
        <f ca="1">Log_2019[[#This Row],[Amount]]/Log_2019[[#This Row],[Split_raw]]*MAX(0,MIN(_xlfn.DAYS(EDATE(P$1,1),Log_2019[[#This Row],[Date]]),Log_2019[[#This Row],[Split_apply]])) - SUM($O629:O629)</f>
        <v>0</v>
      </c>
      <c r="Q629" s="52">
        <f ca="1">Log_2019[[#This Row],[Amount]]/Log_2019[[#This Row],[Split_raw]]*MAX(0,MIN(_xlfn.DAYS(EDATE(Q$1,1),Log_2019[[#This Row],[Date]]),Log_2019[[#This Row],[Split_apply]])) - SUM($O629:P629)</f>
        <v>0</v>
      </c>
      <c r="R629" s="52">
        <f ca="1">Log_2019[[#This Row],[Amount]]/Log_2019[[#This Row],[Split_raw]]*MAX(0,MIN(_xlfn.DAYS(EDATE(R$1,1),Log_2019[[#This Row],[Date]]),Log_2019[[#This Row],[Split_apply]])) - SUM($O629:Q629)</f>
        <v>-8.33</v>
      </c>
      <c r="S629" s="52">
        <f ca="1">Log_2019[[#This Row],[Amount]]/Log_2019[[#This Row],[Split_raw]]*MAX(0,MIN(_xlfn.DAYS(EDATE(S$1,1),Log_2019[[#This Row],[Date]]),Log_2019[[#This Row],[Split_apply]])) - SUM($O629:R629)</f>
        <v>0</v>
      </c>
      <c r="T629" s="52">
        <f ca="1">Log_2019[[#This Row],[Amount]]/Log_2019[[#This Row],[Split_raw]]*MAX(0,MIN(_xlfn.DAYS(EDATE(T$1,1),Log_2019[[#This Row],[Date]]),Log_2019[[#This Row],[Split_apply]])) - SUM($O629:S629)</f>
        <v>0</v>
      </c>
      <c r="U629" s="52">
        <f ca="1">Log_2019[[#This Row],[Amount]]/Log_2019[[#This Row],[Split_raw]]*MAX(0,MIN(_xlfn.DAYS(EDATE(U$1,1),Log_2019[[#This Row],[Date]]),Log_2019[[#This Row],[Split_apply]])) - SUM($O629:T629)</f>
        <v>0</v>
      </c>
      <c r="V629" s="52">
        <f ca="1">Log_2019[[#This Row],[Amount]]/Log_2019[[#This Row],[Split_raw]]*MAX(0,MIN(_xlfn.DAYS(EDATE(V$1,1),Log_2019[[#This Row],[Date]]),Log_2019[[#This Row],[Split_apply]])) - SUM($O629:U629)</f>
        <v>0</v>
      </c>
      <c r="W629" s="52">
        <f ca="1">Log_2019[[#This Row],[Amount]]/Log_2019[[#This Row],[Split_raw]]*MAX(0,MIN(_xlfn.DAYS(EDATE(W$1,1),Log_2019[[#This Row],[Date]]),Log_2019[[#This Row],[Split_apply]])) - SUM($O629:V629)</f>
        <v>0</v>
      </c>
      <c r="X629" s="52">
        <f ca="1">Log_2019[[#This Row],[Amount]]/Log_2019[[#This Row],[Split_raw]]*MAX(0,MIN(_xlfn.DAYS(EDATE(X$1,1),Log_2019[[#This Row],[Date]]),Log_2019[[#This Row],[Split_apply]])) - SUM($O629:W629)</f>
        <v>0</v>
      </c>
      <c r="Y629" s="52">
        <f ca="1">Log_2019[[#This Row],[Amount]]/Log_2019[[#This Row],[Split_raw]]*MAX(0,MIN(_xlfn.DAYS(EDATE(Y$1,1),Log_2019[[#This Row],[Date]]),Log_2019[[#This Row],[Split_apply]])) - SUM($O629:X629)</f>
        <v>0</v>
      </c>
      <c r="Z629" s="52">
        <f ca="1">Log_2019[[#This Row],[Amount]]/Log_2019[[#This Row],[Split_raw]]*MAX(0,MIN(_xlfn.DAYS(EDATE(Z$1,1),Log_2019[[#This Row],[Date]]),Log_2019[[#This Row],[Split_apply]])) - SUM($O629:Y629)</f>
        <v>0</v>
      </c>
      <c r="AA629" s="52">
        <f ca="1">Log_2019[[#This Row],[Amount]]/Log_2019[[#This Row],[Split_raw]]*MAX(0,MIN(_xlfn.DAYS(EDATE(AA$1,1),Log_2019[[#This Row],[Date]]),Log_2019[[#This Row],[Split_apply]])) - SUM($O629:Z629)</f>
        <v>0</v>
      </c>
      <c r="AB629" s="54">
        <f ca="1">Log_2019[[#This Row],[Amount]]-SUM(O629:AA629)</f>
        <v>0</v>
      </c>
      <c r="AC629" s="7">
        <f>MAX(0,Log_2019[[#This Row],[Split_raw]] - (EDATE(AA$1,1)-Log_2019[[#This Row],[Date]]))</f>
        <v>0</v>
      </c>
    </row>
    <row r="630" spans="1:29" x14ac:dyDescent="0.25">
      <c r="A630" s="42"/>
      <c r="B630" t="s">
        <v>6</v>
      </c>
      <c r="D630" s="26">
        <v>43538</v>
      </c>
      <c r="F630" t="s">
        <v>242</v>
      </c>
      <c r="G630" t="s">
        <v>87</v>
      </c>
      <c r="H630" s="3">
        <f>--10.69</f>
        <v>10.69</v>
      </c>
      <c r="I630" s="36">
        <f>IF(Log_2019[[#This Row],[My Category]]="NONTRACKED",0,Log_2019[[#This Row],[Raw Amount]])</f>
        <v>10.69</v>
      </c>
      <c r="J630" s="17">
        <f>ABS(Log_2019[[#This Row],[Amount]])</f>
        <v>10.69</v>
      </c>
      <c r="K630" s="5">
        <v>1</v>
      </c>
      <c r="L630" s="38">
        <f ca="1">IF(Log_2019[[#This Row],[Date]]&lt;=TODAY(), MIN(Log_2019[[#This Row],[Split_raw]], TODAY()-Log_2019[[#This Row],[Date]]+1), 0)</f>
        <v>1</v>
      </c>
      <c r="M630" t="s">
        <v>144</v>
      </c>
      <c r="N630" t="s">
        <v>160</v>
      </c>
      <c r="O630" s="7">
        <v>0</v>
      </c>
      <c r="P630" s="52">
        <f ca="1">Log_2019[[#This Row],[Amount]]/Log_2019[[#This Row],[Split_raw]]*MAX(0,MIN(_xlfn.DAYS(EDATE(P$1,1),Log_2019[[#This Row],[Date]]),Log_2019[[#This Row],[Split_apply]])) - SUM($O630:O630)</f>
        <v>0</v>
      </c>
      <c r="Q630" s="52">
        <f ca="1">Log_2019[[#This Row],[Amount]]/Log_2019[[#This Row],[Split_raw]]*MAX(0,MIN(_xlfn.DAYS(EDATE(Q$1,1),Log_2019[[#This Row],[Date]]),Log_2019[[#This Row],[Split_apply]])) - SUM($O630:P630)</f>
        <v>0</v>
      </c>
      <c r="R630" s="52">
        <f ca="1">Log_2019[[#This Row],[Amount]]/Log_2019[[#This Row],[Split_raw]]*MAX(0,MIN(_xlfn.DAYS(EDATE(R$1,1),Log_2019[[#This Row],[Date]]),Log_2019[[#This Row],[Split_apply]])) - SUM($O630:Q630)</f>
        <v>10.69</v>
      </c>
      <c r="S630" s="52">
        <f ca="1">Log_2019[[#This Row],[Amount]]/Log_2019[[#This Row],[Split_raw]]*MAX(0,MIN(_xlfn.DAYS(EDATE(S$1,1),Log_2019[[#This Row],[Date]]),Log_2019[[#This Row],[Split_apply]])) - SUM($O630:R630)</f>
        <v>0</v>
      </c>
      <c r="T630" s="52">
        <f ca="1">Log_2019[[#This Row],[Amount]]/Log_2019[[#This Row],[Split_raw]]*MAX(0,MIN(_xlfn.DAYS(EDATE(T$1,1),Log_2019[[#This Row],[Date]]),Log_2019[[#This Row],[Split_apply]])) - SUM($O630:S630)</f>
        <v>0</v>
      </c>
      <c r="U630" s="52">
        <f ca="1">Log_2019[[#This Row],[Amount]]/Log_2019[[#This Row],[Split_raw]]*MAX(0,MIN(_xlfn.DAYS(EDATE(U$1,1),Log_2019[[#This Row],[Date]]),Log_2019[[#This Row],[Split_apply]])) - SUM($O630:T630)</f>
        <v>0</v>
      </c>
      <c r="V630" s="52">
        <f ca="1">Log_2019[[#This Row],[Amount]]/Log_2019[[#This Row],[Split_raw]]*MAX(0,MIN(_xlfn.DAYS(EDATE(V$1,1),Log_2019[[#This Row],[Date]]),Log_2019[[#This Row],[Split_apply]])) - SUM($O630:U630)</f>
        <v>0</v>
      </c>
      <c r="W630" s="52">
        <f ca="1">Log_2019[[#This Row],[Amount]]/Log_2019[[#This Row],[Split_raw]]*MAX(0,MIN(_xlfn.DAYS(EDATE(W$1,1),Log_2019[[#This Row],[Date]]),Log_2019[[#This Row],[Split_apply]])) - SUM($O630:V630)</f>
        <v>0</v>
      </c>
      <c r="X630" s="52">
        <f ca="1">Log_2019[[#This Row],[Amount]]/Log_2019[[#This Row],[Split_raw]]*MAX(0,MIN(_xlfn.DAYS(EDATE(X$1,1),Log_2019[[#This Row],[Date]]),Log_2019[[#This Row],[Split_apply]])) - SUM($O630:W630)</f>
        <v>0</v>
      </c>
      <c r="Y630" s="52">
        <f ca="1">Log_2019[[#This Row],[Amount]]/Log_2019[[#This Row],[Split_raw]]*MAX(0,MIN(_xlfn.DAYS(EDATE(Y$1,1),Log_2019[[#This Row],[Date]]),Log_2019[[#This Row],[Split_apply]])) - SUM($O630:X630)</f>
        <v>0</v>
      </c>
      <c r="Z630" s="52">
        <f ca="1">Log_2019[[#This Row],[Amount]]/Log_2019[[#This Row],[Split_raw]]*MAX(0,MIN(_xlfn.DAYS(EDATE(Z$1,1),Log_2019[[#This Row],[Date]]),Log_2019[[#This Row],[Split_apply]])) - SUM($O630:Y630)</f>
        <v>0</v>
      </c>
      <c r="AA630" s="52">
        <f ca="1">Log_2019[[#This Row],[Amount]]/Log_2019[[#This Row],[Split_raw]]*MAX(0,MIN(_xlfn.DAYS(EDATE(AA$1,1),Log_2019[[#This Row],[Date]]),Log_2019[[#This Row],[Split_apply]])) - SUM($O630:Z630)</f>
        <v>0</v>
      </c>
      <c r="AB630" s="54">
        <f ca="1">Log_2019[[#This Row],[Amount]]-SUM(O630:AA630)</f>
        <v>0</v>
      </c>
      <c r="AC630" s="7">
        <f>MAX(0,Log_2019[[#This Row],[Split_raw]] - (EDATE(AA$1,1)-Log_2019[[#This Row],[Date]]))</f>
        <v>0</v>
      </c>
    </row>
    <row r="631" spans="1:29" x14ac:dyDescent="0.25">
      <c r="A631" s="42"/>
      <c r="B631" t="s">
        <v>6</v>
      </c>
      <c r="D631" s="26">
        <v>43538</v>
      </c>
      <c r="F631" t="s">
        <v>345</v>
      </c>
      <c r="G631" t="s">
        <v>12</v>
      </c>
      <c r="H631" s="3">
        <v>-26.55</v>
      </c>
      <c r="I631" s="36">
        <f>IF(Log_2019[[#This Row],[My Category]]="NONTRACKED",0,Log_2019[[#This Row],[Raw Amount]])</f>
        <v>-26.55</v>
      </c>
      <c r="J631" s="17">
        <f>ABS(Log_2019[[#This Row],[Amount]])</f>
        <v>26.55</v>
      </c>
      <c r="K631" s="5">
        <v>1</v>
      </c>
      <c r="L631" s="38">
        <f ca="1">IF(Log_2019[[#This Row],[Date]]&lt;=TODAY(), MIN(Log_2019[[#This Row],[Split_raw]], TODAY()-Log_2019[[#This Row],[Date]]+1), 0)</f>
        <v>1</v>
      </c>
      <c r="M631" t="s">
        <v>12</v>
      </c>
      <c r="N631" t="s">
        <v>158</v>
      </c>
      <c r="O631" s="7">
        <v>0</v>
      </c>
      <c r="P631" s="52">
        <f ca="1">Log_2019[[#This Row],[Amount]]/Log_2019[[#This Row],[Split_raw]]*MAX(0,MIN(_xlfn.DAYS(EDATE(P$1,1),Log_2019[[#This Row],[Date]]),Log_2019[[#This Row],[Split_apply]])) - SUM($O631:O631)</f>
        <v>0</v>
      </c>
      <c r="Q631" s="52">
        <f ca="1">Log_2019[[#This Row],[Amount]]/Log_2019[[#This Row],[Split_raw]]*MAX(0,MIN(_xlfn.DAYS(EDATE(Q$1,1),Log_2019[[#This Row],[Date]]),Log_2019[[#This Row],[Split_apply]])) - SUM($O631:P631)</f>
        <v>0</v>
      </c>
      <c r="R631" s="52">
        <f ca="1">Log_2019[[#This Row],[Amount]]/Log_2019[[#This Row],[Split_raw]]*MAX(0,MIN(_xlfn.DAYS(EDATE(R$1,1),Log_2019[[#This Row],[Date]]),Log_2019[[#This Row],[Split_apply]])) - SUM($O631:Q631)</f>
        <v>-26.55</v>
      </c>
      <c r="S631" s="52">
        <f ca="1">Log_2019[[#This Row],[Amount]]/Log_2019[[#This Row],[Split_raw]]*MAX(0,MIN(_xlfn.DAYS(EDATE(S$1,1),Log_2019[[#This Row],[Date]]),Log_2019[[#This Row],[Split_apply]])) - SUM($O631:R631)</f>
        <v>0</v>
      </c>
      <c r="T631" s="52">
        <f ca="1">Log_2019[[#This Row],[Amount]]/Log_2019[[#This Row],[Split_raw]]*MAX(0,MIN(_xlfn.DAYS(EDATE(T$1,1),Log_2019[[#This Row],[Date]]),Log_2019[[#This Row],[Split_apply]])) - SUM($O631:S631)</f>
        <v>0</v>
      </c>
      <c r="U631" s="52">
        <f ca="1">Log_2019[[#This Row],[Amount]]/Log_2019[[#This Row],[Split_raw]]*MAX(0,MIN(_xlfn.DAYS(EDATE(U$1,1),Log_2019[[#This Row],[Date]]),Log_2019[[#This Row],[Split_apply]])) - SUM($O631:T631)</f>
        <v>0</v>
      </c>
      <c r="V631" s="52">
        <f ca="1">Log_2019[[#This Row],[Amount]]/Log_2019[[#This Row],[Split_raw]]*MAX(0,MIN(_xlfn.DAYS(EDATE(V$1,1),Log_2019[[#This Row],[Date]]),Log_2019[[#This Row],[Split_apply]])) - SUM($O631:U631)</f>
        <v>0</v>
      </c>
      <c r="W631" s="52">
        <f ca="1">Log_2019[[#This Row],[Amount]]/Log_2019[[#This Row],[Split_raw]]*MAX(0,MIN(_xlfn.DAYS(EDATE(W$1,1),Log_2019[[#This Row],[Date]]),Log_2019[[#This Row],[Split_apply]])) - SUM($O631:V631)</f>
        <v>0</v>
      </c>
      <c r="X631" s="52">
        <f ca="1">Log_2019[[#This Row],[Amount]]/Log_2019[[#This Row],[Split_raw]]*MAX(0,MIN(_xlfn.DAYS(EDATE(X$1,1),Log_2019[[#This Row],[Date]]),Log_2019[[#This Row],[Split_apply]])) - SUM($O631:W631)</f>
        <v>0</v>
      </c>
      <c r="Y631" s="52">
        <f ca="1">Log_2019[[#This Row],[Amount]]/Log_2019[[#This Row],[Split_raw]]*MAX(0,MIN(_xlfn.DAYS(EDATE(Y$1,1),Log_2019[[#This Row],[Date]]),Log_2019[[#This Row],[Split_apply]])) - SUM($O631:X631)</f>
        <v>0</v>
      </c>
      <c r="Z631" s="52">
        <f ca="1">Log_2019[[#This Row],[Amount]]/Log_2019[[#This Row],[Split_raw]]*MAX(0,MIN(_xlfn.DAYS(EDATE(Z$1,1),Log_2019[[#This Row],[Date]]),Log_2019[[#This Row],[Split_apply]])) - SUM($O631:Y631)</f>
        <v>0</v>
      </c>
      <c r="AA631" s="52">
        <f ca="1">Log_2019[[#This Row],[Amount]]/Log_2019[[#This Row],[Split_raw]]*MAX(0,MIN(_xlfn.DAYS(EDATE(AA$1,1),Log_2019[[#This Row],[Date]]),Log_2019[[#This Row],[Split_apply]])) - SUM($O631:Z631)</f>
        <v>0</v>
      </c>
      <c r="AB631" s="54">
        <f ca="1">Log_2019[[#This Row],[Amount]]-SUM(O631:AA631)</f>
        <v>0</v>
      </c>
      <c r="AC631" s="7">
        <f>MAX(0,Log_2019[[#This Row],[Split_raw]] - (EDATE(AA$1,1)-Log_2019[[#This Row],[Date]]))</f>
        <v>0</v>
      </c>
    </row>
    <row r="632" spans="1:29" x14ac:dyDescent="0.25">
      <c r="A632" s="42"/>
      <c r="B632" t="s">
        <v>6</v>
      </c>
      <c r="D632" s="26">
        <v>43538</v>
      </c>
      <c r="F632" t="s">
        <v>338</v>
      </c>
      <c r="G632" t="s">
        <v>87</v>
      </c>
      <c r="H632" s="3">
        <f>--1891.66</f>
        <v>1891.66</v>
      </c>
      <c r="I632" s="36">
        <f>IF(Log_2019[[#This Row],[My Category]]="NONTRACKED",0,Log_2019[[#This Row],[Raw Amount]])</f>
        <v>1891.66</v>
      </c>
      <c r="J632" s="17">
        <f>ABS(Log_2019[[#This Row],[Amount]])</f>
        <v>1891.66</v>
      </c>
      <c r="K632" s="5">
        <v>14</v>
      </c>
      <c r="L632" s="38">
        <f ca="1">IF(Log_2019[[#This Row],[Date]]&lt;=TODAY(), MIN(Log_2019[[#This Row],[Split_raw]], TODAY()-Log_2019[[#This Row],[Date]]+1), 0)</f>
        <v>14</v>
      </c>
      <c r="M632" t="s">
        <v>91</v>
      </c>
      <c r="N632" t="s">
        <v>160</v>
      </c>
      <c r="O632" s="7">
        <v>0</v>
      </c>
      <c r="P632" s="52">
        <f ca="1">Log_2019[[#This Row],[Amount]]/Log_2019[[#This Row],[Split_raw]]*MAX(0,MIN(_xlfn.DAYS(EDATE(P$1,1),Log_2019[[#This Row],[Date]]),Log_2019[[#This Row],[Split_apply]])) - SUM($O632:O632)</f>
        <v>0</v>
      </c>
      <c r="Q632" s="52">
        <f ca="1">Log_2019[[#This Row],[Amount]]/Log_2019[[#This Row],[Split_raw]]*MAX(0,MIN(_xlfn.DAYS(EDATE(Q$1,1),Log_2019[[#This Row],[Date]]),Log_2019[[#This Row],[Split_apply]])) - SUM($O632:P632)</f>
        <v>0</v>
      </c>
      <c r="R632" s="52">
        <f ca="1">Log_2019[[#This Row],[Amount]]/Log_2019[[#This Row],[Split_raw]]*MAX(0,MIN(_xlfn.DAYS(EDATE(R$1,1),Log_2019[[#This Row],[Date]]),Log_2019[[#This Row],[Split_apply]])) - SUM($O632:Q632)</f>
        <v>1891.6600000000003</v>
      </c>
      <c r="S632" s="52">
        <f ca="1">Log_2019[[#This Row],[Amount]]/Log_2019[[#This Row],[Split_raw]]*MAX(0,MIN(_xlfn.DAYS(EDATE(S$1,1),Log_2019[[#This Row],[Date]]),Log_2019[[#This Row],[Split_apply]])) - SUM($O632:R632)</f>
        <v>0</v>
      </c>
      <c r="T632" s="52">
        <f ca="1">Log_2019[[#This Row],[Amount]]/Log_2019[[#This Row],[Split_raw]]*MAX(0,MIN(_xlfn.DAYS(EDATE(T$1,1),Log_2019[[#This Row],[Date]]),Log_2019[[#This Row],[Split_apply]])) - SUM($O632:S632)</f>
        <v>0</v>
      </c>
      <c r="U632" s="52">
        <f ca="1">Log_2019[[#This Row],[Amount]]/Log_2019[[#This Row],[Split_raw]]*MAX(0,MIN(_xlfn.DAYS(EDATE(U$1,1),Log_2019[[#This Row],[Date]]),Log_2019[[#This Row],[Split_apply]])) - SUM($O632:T632)</f>
        <v>0</v>
      </c>
      <c r="V632" s="52">
        <f ca="1">Log_2019[[#This Row],[Amount]]/Log_2019[[#This Row],[Split_raw]]*MAX(0,MIN(_xlfn.DAYS(EDATE(V$1,1),Log_2019[[#This Row],[Date]]),Log_2019[[#This Row],[Split_apply]])) - SUM($O632:U632)</f>
        <v>0</v>
      </c>
      <c r="W632" s="52">
        <f ca="1">Log_2019[[#This Row],[Amount]]/Log_2019[[#This Row],[Split_raw]]*MAX(0,MIN(_xlfn.DAYS(EDATE(W$1,1),Log_2019[[#This Row],[Date]]),Log_2019[[#This Row],[Split_apply]])) - SUM($O632:V632)</f>
        <v>0</v>
      </c>
      <c r="X632" s="52">
        <f ca="1">Log_2019[[#This Row],[Amount]]/Log_2019[[#This Row],[Split_raw]]*MAX(0,MIN(_xlfn.DAYS(EDATE(X$1,1),Log_2019[[#This Row],[Date]]),Log_2019[[#This Row],[Split_apply]])) - SUM($O632:W632)</f>
        <v>0</v>
      </c>
      <c r="Y632" s="52">
        <f ca="1">Log_2019[[#This Row],[Amount]]/Log_2019[[#This Row],[Split_raw]]*MAX(0,MIN(_xlfn.DAYS(EDATE(Y$1,1),Log_2019[[#This Row],[Date]]),Log_2019[[#This Row],[Split_apply]])) - SUM($O632:X632)</f>
        <v>0</v>
      </c>
      <c r="Z632" s="52">
        <f ca="1">Log_2019[[#This Row],[Amount]]/Log_2019[[#This Row],[Split_raw]]*MAX(0,MIN(_xlfn.DAYS(EDATE(Z$1,1),Log_2019[[#This Row],[Date]]),Log_2019[[#This Row],[Split_apply]])) - SUM($O632:Y632)</f>
        <v>0</v>
      </c>
      <c r="AA632" s="52">
        <f ca="1">Log_2019[[#This Row],[Amount]]/Log_2019[[#This Row],[Split_raw]]*MAX(0,MIN(_xlfn.DAYS(EDATE(AA$1,1),Log_2019[[#This Row],[Date]]),Log_2019[[#This Row],[Split_apply]])) - SUM($O632:Z632)</f>
        <v>0</v>
      </c>
      <c r="AB632" s="54">
        <f ca="1">Log_2019[[#This Row],[Amount]]-SUM(O632:AA632)</f>
        <v>0</v>
      </c>
      <c r="AC632" s="7">
        <f>MAX(0,Log_2019[[#This Row],[Split_raw]] - (EDATE(AA$1,1)-Log_2019[[#This Row],[Date]]))</f>
        <v>0</v>
      </c>
    </row>
    <row r="633" spans="1:29" x14ac:dyDescent="0.25">
      <c r="A633" s="42"/>
      <c r="B633" t="s">
        <v>6</v>
      </c>
      <c r="D633" s="26">
        <v>43537</v>
      </c>
      <c r="F633" t="s">
        <v>184</v>
      </c>
      <c r="G633" t="s">
        <v>11</v>
      </c>
      <c r="H633" s="3">
        <v>-9.6</v>
      </c>
      <c r="I633" s="36">
        <f>IF(Log_2019[[#This Row],[My Category]]="NONTRACKED",0,Log_2019[[#This Row],[Raw Amount]])</f>
        <v>-9.6</v>
      </c>
      <c r="J633" s="17">
        <f>ABS(Log_2019[[#This Row],[Amount]])</f>
        <v>9.6</v>
      </c>
      <c r="K633" s="5">
        <v>1</v>
      </c>
      <c r="L633" s="38">
        <f ca="1">IF(Log_2019[[#This Row],[Date]]&lt;=TODAY(), MIN(Log_2019[[#This Row],[Split_raw]], TODAY()-Log_2019[[#This Row],[Date]]+1), 0)</f>
        <v>1</v>
      </c>
      <c r="M633" t="s">
        <v>12</v>
      </c>
      <c r="N633" t="s">
        <v>158</v>
      </c>
      <c r="O633" s="7">
        <v>0</v>
      </c>
      <c r="P633" s="52">
        <f ca="1">Log_2019[[#This Row],[Amount]]/Log_2019[[#This Row],[Split_raw]]*MAX(0,MIN(_xlfn.DAYS(EDATE(P$1,1),Log_2019[[#This Row],[Date]]),Log_2019[[#This Row],[Split_apply]])) - SUM($O633:O633)</f>
        <v>0</v>
      </c>
      <c r="Q633" s="52">
        <f ca="1">Log_2019[[#This Row],[Amount]]/Log_2019[[#This Row],[Split_raw]]*MAX(0,MIN(_xlfn.DAYS(EDATE(Q$1,1),Log_2019[[#This Row],[Date]]),Log_2019[[#This Row],[Split_apply]])) - SUM($O633:P633)</f>
        <v>0</v>
      </c>
      <c r="R633" s="52">
        <f ca="1">Log_2019[[#This Row],[Amount]]/Log_2019[[#This Row],[Split_raw]]*MAX(0,MIN(_xlfn.DAYS(EDATE(R$1,1),Log_2019[[#This Row],[Date]]),Log_2019[[#This Row],[Split_apply]])) - SUM($O633:Q633)</f>
        <v>-9.6</v>
      </c>
      <c r="S633" s="52">
        <f ca="1">Log_2019[[#This Row],[Amount]]/Log_2019[[#This Row],[Split_raw]]*MAX(0,MIN(_xlfn.DAYS(EDATE(S$1,1),Log_2019[[#This Row],[Date]]),Log_2019[[#This Row],[Split_apply]])) - SUM($O633:R633)</f>
        <v>0</v>
      </c>
      <c r="T633" s="52">
        <f ca="1">Log_2019[[#This Row],[Amount]]/Log_2019[[#This Row],[Split_raw]]*MAX(0,MIN(_xlfn.DAYS(EDATE(T$1,1),Log_2019[[#This Row],[Date]]),Log_2019[[#This Row],[Split_apply]])) - SUM($O633:S633)</f>
        <v>0</v>
      </c>
      <c r="U633" s="52">
        <f ca="1">Log_2019[[#This Row],[Amount]]/Log_2019[[#This Row],[Split_raw]]*MAX(0,MIN(_xlfn.DAYS(EDATE(U$1,1),Log_2019[[#This Row],[Date]]),Log_2019[[#This Row],[Split_apply]])) - SUM($O633:T633)</f>
        <v>0</v>
      </c>
      <c r="V633" s="52">
        <f ca="1">Log_2019[[#This Row],[Amount]]/Log_2019[[#This Row],[Split_raw]]*MAX(0,MIN(_xlfn.DAYS(EDATE(V$1,1),Log_2019[[#This Row],[Date]]),Log_2019[[#This Row],[Split_apply]])) - SUM($O633:U633)</f>
        <v>0</v>
      </c>
      <c r="W633" s="52">
        <f ca="1">Log_2019[[#This Row],[Amount]]/Log_2019[[#This Row],[Split_raw]]*MAX(0,MIN(_xlfn.DAYS(EDATE(W$1,1),Log_2019[[#This Row],[Date]]),Log_2019[[#This Row],[Split_apply]])) - SUM($O633:V633)</f>
        <v>0</v>
      </c>
      <c r="X633" s="52">
        <f ca="1">Log_2019[[#This Row],[Amount]]/Log_2019[[#This Row],[Split_raw]]*MAX(0,MIN(_xlfn.DAYS(EDATE(X$1,1),Log_2019[[#This Row],[Date]]),Log_2019[[#This Row],[Split_apply]])) - SUM($O633:W633)</f>
        <v>0</v>
      </c>
      <c r="Y633" s="52">
        <f ca="1">Log_2019[[#This Row],[Amount]]/Log_2019[[#This Row],[Split_raw]]*MAX(0,MIN(_xlfn.DAYS(EDATE(Y$1,1),Log_2019[[#This Row],[Date]]),Log_2019[[#This Row],[Split_apply]])) - SUM($O633:X633)</f>
        <v>0</v>
      </c>
      <c r="Z633" s="52">
        <f ca="1">Log_2019[[#This Row],[Amount]]/Log_2019[[#This Row],[Split_raw]]*MAX(0,MIN(_xlfn.DAYS(EDATE(Z$1,1),Log_2019[[#This Row],[Date]]),Log_2019[[#This Row],[Split_apply]])) - SUM($O633:Y633)</f>
        <v>0</v>
      </c>
      <c r="AA633" s="52">
        <f ca="1">Log_2019[[#This Row],[Amount]]/Log_2019[[#This Row],[Split_raw]]*MAX(0,MIN(_xlfn.DAYS(EDATE(AA$1,1),Log_2019[[#This Row],[Date]]),Log_2019[[#This Row],[Split_apply]])) - SUM($O633:Z633)</f>
        <v>0</v>
      </c>
      <c r="AB633" s="54">
        <f ca="1">Log_2019[[#This Row],[Amount]]-SUM(O633:AA633)</f>
        <v>0</v>
      </c>
      <c r="AC633" s="7">
        <f>MAX(0,Log_2019[[#This Row],[Split_raw]] - (EDATE(AA$1,1)-Log_2019[[#This Row],[Date]]))</f>
        <v>0</v>
      </c>
    </row>
    <row r="634" spans="1:29" x14ac:dyDescent="0.25">
      <c r="A634" s="42"/>
      <c r="B634" t="s">
        <v>6</v>
      </c>
      <c r="D634" s="26">
        <v>43537</v>
      </c>
      <c r="F634" t="s">
        <v>306</v>
      </c>
      <c r="G634" t="s">
        <v>25</v>
      </c>
      <c r="H634" s="3">
        <v>-10.25</v>
      </c>
      <c r="I634" s="36">
        <f>IF(Log_2019[[#This Row],[My Category]]="NONTRACKED",0,Log_2019[[#This Row],[Raw Amount]])</f>
        <v>-10.25</v>
      </c>
      <c r="J634" s="17">
        <f>ABS(Log_2019[[#This Row],[Amount]])</f>
        <v>10.25</v>
      </c>
      <c r="K634" s="5">
        <v>1</v>
      </c>
      <c r="L634" s="38">
        <f ca="1">IF(Log_2019[[#This Row],[Date]]&lt;=TODAY(), MIN(Log_2019[[#This Row],[Split_raw]], TODAY()-Log_2019[[#This Row],[Date]]+1), 0)</f>
        <v>1</v>
      </c>
      <c r="M634" t="s">
        <v>35</v>
      </c>
      <c r="N634" t="s">
        <v>158</v>
      </c>
      <c r="O634" s="7">
        <v>0</v>
      </c>
      <c r="P634" s="52">
        <f ca="1">Log_2019[[#This Row],[Amount]]/Log_2019[[#This Row],[Split_raw]]*MAX(0,MIN(_xlfn.DAYS(EDATE(P$1,1),Log_2019[[#This Row],[Date]]),Log_2019[[#This Row],[Split_apply]])) - SUM($O634:O634)</f>
        <v>0</v>
      </c>
      <c r="Q634" s="52">
        <f ca="1">Log_2019[[#This Row],[Amount]]/Log_2019[[#This Row],[Split_raw]]*MAX(0,MIN(_xlfn.DAYS(EDATE(Q$1,1),Log_2019[[#This Row],[Date]]),Log_2019[[#This Row],[Split_apply]])) - SUM($O634:P634)</f>
        <v>0</v>
      </c>
      <c r="R634" s="52">
        <f ca="1">Log_2019[[#This Row],[Amount]]/Log_2019[[#This Row],[Split_raw]]*MAX(0,MIN(_xlfn.DAYS(EDATE(R$1,1),Log_2019[[#This Row],[Date]]),Log_2019[[#This Row],[Split_apply]])) - SUM($O634:Q634)</f>
        <v>-10.25</v>
      </c>
      <c r="S634" s="52">
        <f ca="1">Log_2019[[#This Row],[Amount]]/Log_2019[[#This Row],[Split_raw]]*MAX(0,MIN(_xlfn.DAYS(EDATE(S$1,1),Log_2019[[#This Row],[Date]]),Log_2019[[#This Row],[Split_apply]])) - SUM($O634:R634)</f>
        <v>0</v>
      </c>
      <c r="T634" s="52">
        <f ca="1">Log_2019[[#This Row],[Amount]]/Log_2019[[#This Row],[Split_raw]]*MAX(0,MIN(_xlfn.DAYS(EDATE(T$1,1),Log_2019[[#This Row],[Date]]),Log_2019[[#This Row],[Split_apply]])) - SUM($O634:S634)</f>
        <v>0</v>
      </c>
      <c r="U634" s="52">
        <f ca="1">Log_2019[[#This Row],[Amount]]/Log_2019[[#This Row],[Split_raw]]*MAX(0,MIN(_xlfn.DAYS(EDATE(U$1,1),Log_2019[[#This Row],[Date]]),Log_2019[[#This Row],[Split_apply]])) - SUM($O634:T634)</f>
        <v>0</v>
      </c>
      <c r="V634" s="52">
        <f ca="1">Log_2019[[#This Row],[Amount]]/Log_2019[[#This Row],[Split_raw]]*MAX(0,MIN(_xlfn.DAYS(EDATE(V$1,1),Log_2019[[#This Row],[Date]]),Log_2019[[#This Row],[Split_apply]])) - SUM($O634:U634)</f>
        <v>0</v>
      </c>
      <c r="W634" s="52">
        <f ca="1">Log_2019[[#This Row],[Amount]]/Log_2019[[#This Row],[Split_raw]]*MAX(0,MIN(_xlfn.DAYS(EDATE(W$1,1),Log_2019[[#This Row],[Date]]),Log_2019[[#This Row],[Split_apply]])) - SUM($O634:V634)</f>
        <v>0</v>
      </c>
      <c r="X634" s="52">
        <f ca="1">Log_2019[[#This Row],[Amount]]/Log_2019[[#This Row],[Split_raw]]*MAX(0,MIN(_xlfn.DAYS(EDATE(X$1,1),Log_2019[[#This Row],[Date]]),Log_2019[[#This Row],[Split_apply]])) - SUM($O634:W634)</f>
        <v>0</v>
      </c>
      <c r="Y634" s="52">
        <f ca="1">Log_2019[[#This Row],[Amount]]/Log_2019[[#This Row],[Split_raw]]*MAX(0,MIN(_xlfn.DAYS(EDATE(Y$1,1),Log_2019[[#This Row],[Date]]),Log_2019[[#This Row],[Split_apply]])) - SUM($O634:X634)</f>
        <v>0</v>
      </c>
      <c r="Z634" s="52">
        <f ca="1">Log_2019[[#This Row],[Amount]]/Log_2019[[#This Row],[Split_raw]]*MAX(0,MIN(_xlfn.DAYS(EDATE(Z$1,1),Log_2019[[#This Row],[Date]]),Log_2019[[#This Row],[Split_apply]])) - SUM($O634:Y634)</f>
        <v>0</v>
      </c>
      <c r="AA634" s="52">
        <f ca="1">Log_2019[[#This Row],[Amount]]/Log_2019[[#This Row],[Split_raw]]*MAX(0,MIN(_xlfn.DAYS(EDATE(AA$1,1),Log_2019[[#This Row],[Date]]),Log_2019[[#This Row],[Split_apply]])) - SUM($O634:Z634)</f>
        <v>0</v>
      </c>
      <c r="AB634" s="54">
        <f ca="1">Log_2019[[#This Row],[Amount]]-SUM(O634:AA634)</f>
        <v>0</v>
      </c>
      <c r="AC634" s="7">
        <f>MAX(0,Log_2019[[#This Row],[Split_raw]] - (EDATE(AA$1,1)-Log_2019[[#This Row],[Date]]))</f>
        <v>0</v>
      </c>
    </row>
    <row r="635" spans="1:29" x14ac:dyDescent="0.25">
      <c r="A635" s="42"/>
      <c r="B635" t="s">
        <v>6</v>
      </c>
      <c r="D635" s="26">
        <v>43536</v>
      </c>
      <c r="E635" t="s">
        <v>544</v>
      </c>
      <c r="F635" t="s">
        <v>514</v>
      </c>
      <c r="G635" t="s">
        <v>9</v>
      </c>
      <c r="H635" s="3">
        <v>-72.510000000000005</v>
      </c>
      <c r="I635" s="36">
        <f>IF(Log_2019[[#This Row],[My Category]]="NONTRACKED",0,Log_2019[[#This Row],[Raw Amount]])</f>
        <v>-72.510000000000005</v>
      </c>
      <c r="J635" s="17">
        <f>ABS(Log_2019[[#This Row],[Amount]])</f>
        <v>72.510000000000005</v>
      </c>
      <c r="K635" s="5">
        <v>1</v>
      </c>
      <c r="L635" s="38">
        <f ca="1">IF(Log_2019[[#This Row],[Date]]&lt;=TODAY(), MIN(Log_2019[[#This Row],[Split_raw]], TODAY()-Log_2019[[#This Row],[Date]]+1), 0)</f>
        <v>1</v>
      </c>
      <c r="M635" t="s">
        <v>145</v>
      </c>
      <c r="N635" t="s">
        <v>158</v>
      </c>
      <c r="O635" s="7">
        <v>0</v>
      </c>
      <c r="P635" s="52">
        <f ca="1">Log_2019[[#This Row],[Amount]]/Log_2019[[#This Row],[Split_raw]]*MAX(0,MIN(_xlfn.DAYS(EDATE(P$1,1),Log_2019[[#This Row],[Date]]),Log_2019[[#This Row],[Split_apply]])) - SUM($O635:O635)</f>
        <v>0</v>
      </c>
      <c r="Q635" s="52">
        <f ca="1">Log_2019[[#This Row],[Amount]]/Log_2019[[#This Row],[Split_raw]]*MAX(0,MIN(_xlfn.DAYS(EDATE(Q$1,1),Log_2019[[#This Row],[Date]]),Log_2019[[#This Row],[Split_apply]])) - SUM($O635:P635)</f>
        <v>0</v>
      </c>
      <c r="R635" s="52">
        <f ca="1">Log_2019[[#This Row],[Amount]]/Log_2019[[#This Row],[Split_raw]]*MAX(0,MIN(_xlfn.DAYS(EDATE(R$1,1),Log_2019[[#This Row],[Date]]),Log_2019[[#This Row],[Split_apply]])) - SUM($O635:Q635)</f>
        <v>-72.510000000000005</v>
      </c>
      <c r="S635" s="52">
        <f ca="1">Log_2019[[#This Row],[Amount]]/Log_2019[[#This Row],[Split_raw]]*MAX(0,MIN(_xlfn.DAYS(EDATE(S$1,1),Log_2019[[#This Row],[Date]]),Log_2019[[#This Row],[Split_apply]])) - SUM($O635:R635)</f>
        <v>0</v>
      </c>
      <c r="T635" s="52">
        <f ca="1">Log_2019[[#This Row],[Amount]]/Log_2019[[#This Row],[Split_raw]]*MAX(0,MIN(_xlfn.DAYS(EDATE(T$1,1),Log_2019[[#This Row],[Date]]),Log_2019[[#This Row],[Split_apply]])) - SUM($O635:S635)</f>
        <v>0</v>
      </c>
      <c r="U635" s="52">
        <f ca="1">Log_2019[[#This Row],[Amount]]/Log_2019[[#This Row],[Split_raw]]*MAX(0,MIN(_xlfn.DAYS(EDATE(U$1,1),Log_2019[[#This Row],[Date]]),Log_2019[[#This Row],[Split_apply]])) - SUM($O635:T635)</f>
        <v>0</v>
      </c>
      <c r="V635" s="52">
        <f ca="1">Log_2019[[#This Row],[Amount]]/Log_2019[[#This Row],[Split_raw]]*MAX(0,MIN(_xlfn.DAYS(EDATE(V$1,1),Log_2019[[#This Row],[Date]]),Log_2019[[#This Row],[Split_apply]])) - SUM($O635:U635)</f>
        <v>0</v>
      </c>
      <c r="W635" s="52">
        <f ca="1">Log_2019[[#This Row],[Amount]]/Log_2019[[#This Row],[Split_raw]]*MAX(0,MIN(_xlfn.DAYS(EDATE(W$1,1),Log_2019[[#This Row],[Date]]),Log_2019[[#This Row],[Split_apply]])) - SUM($O635:V635)</f>
        <v>0</v>
      </c>
      <c r="X635" s="52">
        <f ca="1">Log_2019[[#This Row],[Amount]]/Log_2019[[#This Row],[Split_raw]]*MAX(0,MIN(_xlfn.DAYS(EDATE(X$1,1),Log_2019[[#This Row],[Date]]),Log_2019[[#This Row],[Split_apply]])) - SUM($O635:W635)</f>
        <v>0</v>
      </c>
      <c r="Y635" s="52">
        <f ca="1">Log_2019[[#This Row],[Amount]]/Log_2019[[#This Row],[Split_raw]]*MAX(0,MIN(_xlfn.DAYS(EDATE(Y$1,1),Log_2019[[#This Row],[Date]]),Log_2019[[#This Row],[Split_apply]])) - SUM($O635:X635)</f>
        <v>0</v>
      </c>
      <c r="Z635" s="52">
        <f ca="1">Log_2019[[#This Row],[Amount]]/Log_2019[[#This Row],[Split_raw]]*MAX(0,MIN(_xlfn.DAYS(EDATE(Z$1,1),Log_2019[[#This Row],[Date]]),Log_2019[[#This Row],[Split_apply]])) - SUM($O635:Y635)</f>
        <v>0</v>
      </c>
      <c r="AA635" s="52">
        <f ca="1">Log_2019[[#This Row],[Amount]]/Log_2019[[#This Row],[Split_raw]]*MAX(0,MIN(_xlfn.DAYS(EDATE(AA$1,1),Log_2019[[#This Row],[Date]]),Log_2019[[#This Row],[Split_apply]])) - SUM($O635:Z635)</f>
        <v>0</v>
      </c>
      <c r="AB635" s="54">
        <f ca="1">Log_2019[[#This Row],[Amount]]-SUM(O635:AA635)</f>
        <v>0</v>
      </c>
      <c r="AC635" s="7">
        <f>MAX(0,Log_2019[[#This Row],[Split_raw]] - (EDATE(AA$1,1)-Log_2019[[#This Row],[Date]]))</f>
        <v>0</v>
      </c>
    </row>
    <row r="636" spans="1:29" x14ac:dyDescent="0.25">
      <c r="A636" s="42"/>
      <c r="B636" t="s">
        <v>6</v>
      </c>
      <c r="D636" s="26">
        <v>43536</v>
      </c>
      <c r="F636" t="s">
        <v>255</v>
      </c>
      <c r="G636" t="s">
        <v>25</v>
      </c>
      <c r="H636" s="3">
        <v>-8.26</v>
      </c>
      <c r="I636" s="36">
        <f>IF(Log_2019[[#This Row],[My Category]]="NONTRACKED",0,Log_2019[[#This Row],[Raw Amount]])</f>
        <v>-8.26</v>
      </c>
      <c r="J636" s="17">
        <f>ABS(Log_2019[[#This Row],[Amount]])</f>
        <v>8.26</v>
      </c>
      <c r="K636" s="5">
        <v>1</v>
      </c>
      <c r="L636" s="38">
        <f ca="1">IF(Log_2019[[#This Row],[Date]]&lt;=TODAY(), MIN(Log_2019[[#This Row],[Split_raw]], TODAY()-Log_2019[[#This Row],[Date]]+1), 0)</f>
        <v>1</v>
      </c>
      <c r="M636" t="s">
        <v>35</v>
      </c>
      <c r="N636" t="s">
        <v>158</v>
      </c>
      <c r="O636" s="7">
        <v>0</v>
      </c>
      <c r="P636" s="52">
        <f ca="1">Log_2019[[#This Row],[Amount]]/Log_2019[[#This Row],[Split_raw]]*MAX(0,MIN(_xlfn.DAYS(EDATE(P$1,1),Log_2019[[#This Row],[Date]]),Log_2019[[#This Row],[Split_apply]])) - SUM($O636:O636)</f>
        <v>0</v>
      </c>
      <c r="Q636" s="52">
        <f ca="1">Log_2019[[#This Row],[Amount]]/Log_2019[[#This Row],[Split_raw]]*MAX(0,MIN(_xlfn.DAYS(EDATE(Q$1,1),Log_2019[[#This Row],[Date]]),Log_2019[[#This Row],[Split_apply]])) - SUM($O636:P636)</f>
        <v>0</v>
      </c>
      <c r="R636" s="52">
        <f ca="1">Log_2019[[#This Row],[Amount]]/Log_2019[[#This Row],[Split_raw]]*MAX(0,MIN(_xlfn.DAYS(EDATE(R$1,1),Log_2019[[#This Row],[Date]]),Log_2019[[#This Row],[Split_apply]])) - SUM($O636:Q636)</f>
        <v>-8.26</v>
      </c>
      <c r="S636" s="52">
        <f ca="1">Log_2019[[#This Row],[Amount]]/Log_2019[[#This Row],[Split_raw]]*MAX(0,MIN(_xlfn.DAYS(EDATE(S$1,1),Log_2019[[#This Row],[Date]]),Log_2019[[#This Row],[Split_apply]])) - SUM($O636:R636)</f>
        <v>0</v>
      </c>
      <c r="T636" s="52">
        <f ca="1">Log_2019[[#This Row],[Amount]]/Log_2019[[#This Row],[Split_raw]]*MAX(0,MIN(_xlfn.DAYS(EDATE(T$1,1),Log_2019[[#This Row],[Date]]),Log_2019[[#This Row],[Split_apply]])) - SUM($O636:S636)</f>
        <v>0</v>
      </c>
      <c r="U636" s="52">
        <f ca="1">Log_2019[[#This Row],[Amount]]/Log_2019[[#This Row],[Split_raw]]*MAX(0,MIN(_xlfn.DAYS(EDATE(U$1,1),Log_2019[[#This Row],[Date]]),Log_2019[[#This Row],[Split_apply]])) - SUM($O636:T636)</f>
        <v>0</v>
      </c>
      <c r="V636" s="52">
        <f ca="1">Log_2019[[#This Row],[Amount]]/Log_2019[[#This Row],[Split_raw]]*MAX(0,MIN(_xlfn.DAYS(EDATE(V$1,1),Log_2019[[#This Row],[Date]]),Log_2019[[#This Row],[Split_apply]])) - SUM($O636:U636)</f>
        <v>0</v>
      </c>
      <c r="W636" s="52">
        <f ca="1">Log_2019[[#This Row],[Amount]]/Log_2019[[#This Row],[Split_raw]]*MAX(0,MIN(_xlfn.DAYS(EDATE(W$1,1),Log_2019[[#This Row],[Date]]),Log_2019[[#This Row],[Split_apply]])) - SUM($O636:V636)</f>
        <v>0</v>
      </c>
      <c r="X636" s="52">
        <f ca="1">Log_2019[[#This Row],[Amount]]/Log_2019[[#This Row],[Split_raw]]*MAX(0,MIN(_xlfn.DAYS(EDATE(X$1,1),Log_2019[[#This Row],[Date]]),Log_2019[[#This Row],[Split_apply]])) - SUM($O636:W636)</f>
        <v>0</v>
      </c>
      <c r="Y636" s="52">
        <f ca="1">Log_2019[[#This Row],[Amount]]/Log_2019[[#This Row],[Split_raw]]*MAX(0,MIN(_xlfn.DAYS(EDATE(Y$1,1),Log_2019[[#This Row],[Date]]),Log_2019[[#This Row],[Split_apply]])) - SUM($O636:X636)</f>
        <v>0</v>
      </c>
      <c r="Z636" s="52">
        <f ca="1">Log_2019[[#This Row],[Amount]]/Log_2019[[#This Row],[Split_raw]]*MAX(0,MIN(_xlfn.DAYS(EDATE(Z$1,1),Log_2019[[#This Row],[Date]]),Log_2019[[#This Row],[Split_apply]])) - SUM($O636:Y636)</f>
        <v>0</v>
      </c>
      <c r="AA636" s="52">
        <f ca="1">Log_2019[[#This Row],[Amount]]/Log_2019[[#This Row],[Split_raw]]*MAX(0,MIN(_xlfn.DAYS(EDATE(AA$1,1),Log_2019[[#This Row],[Date]]),Log_2019[[#This Row],[Split_apply]])) - SUM($O636:Z636)</f>
        <v>0</v>
      </c>
      <c r="AB636" s="54">
        <f ca="1">Log_2019[[#This Row],[Amount]]-SUM(O636:AA636)</f>
        <v>0</v>
      </c>
      <c r="AC636" s="7">
        <f>MAX(0,Log_2019[[#This Row],[Split_raw]] - (EDATE(AA$1,1)-Log_2019[[#This Row],[Date]]))</f>
        <v>0</v>
      </c>
    </row>
    <row r="637" spans="1:29" x14ac:dyDescent="0.25">
      <c r="A637" s="42"/>
      <c r="B637" s="34" t="s">
        <v>6</v>
      </c>
      <c r="D637" s="26">
        <v>43536</v>
      </c>
      <c r="F637" t="s">
        <v>83</v>
      </c>
      <c r="G637" t="s">
        <v>15</v>
      </c>
      <c r="H637" s="3">
        <v>-200.69</v>
      </c>
      <c r="I637" s="36">
        <f>IF(Log_2019[[#This Row],[My Category]]="NONTRACKED",0,Log_2019[[#This Row],[Raw Amount]])</f>
        <v>-200.69</v>
      </c>
      <c r="J637" s="17">
        <f>ABS(Log_2019[[#This Row],[Amount]])</f>
        <v>200.69</v>
      </c>
      <c r="K637" s="5">
        <v>30</v>
      </c>
      <c r="L637" s="38">
        <f ca="1">IF(Log_2019[[#This Row],[Date]]&lt;=TODAY(), MIN(Log_2019[[#This Row],[Split_raw]], TODAY()-Log_2019[[#This Row],[Date]]+1), 0)</f>
        <v>30</v>
      </c>
      <c r="M637" t="s">
        <v>241</v>
      </c>
      <c r="N637" t="s">
        <v>160</v>
      </c>
      <c r="O637" s="7">
        <v>0</v>
      </c>
      <c r="P637" s="52">
        <f ca="1">Log_2019[[#This Row],[Amount]]/Log_2019[[#This Row],[Split_raw]]*MAX(0,MIN(_xlfn.DAYS(EDATE(P$1,1),Log_2019[[#This Row],[Date]]),Log_2019[[#This Row],[Split_apply]])) - SUM($O637:O637)</f>
        <v>0</v>
      </c>
      <c r="Q637" s="52">
        <f ca="1">Log_2019[[#This Row],[Amount]]/Log_2019[[#This Row],[Split_raw]]*MAX(0,MIN(_xlfn.DAYS(EDATE(Q$1,1),Log_2019[[#This Row],[Date]]),Log_2019[[#This Row],[Split_apply]])) - SUM($O637:P637)</f>
        <v>0</v>
      </c>
      <c r="R637" s="52">
        <f ca="1">Log_2019[[#This Row],[Amount]]/Log_2019[[#This Row],[Split_raw]]*MAX(0,MIN(_xlfn.DAYS(EDATE(R$1,1),Log_2019[[#This Row],[Date]]),Log_2019[[#This Row],[Split_apply]])) - SUM($O637:Q637)</f>
        <v>-133.79333333333332</v>
      </c>
      <c r="S637" s="52">
        <f ca="1">Log_2019[[#This Row],[Amount]]/Log_2019[[#This Row],[Split_raw]]*MAX(0,MIN(_xlfn.DAYS(EDATE(S$1,1),Log_2019[[#This Row],[Date]]),Log_2019[[#This Row],[Split_apply]])) - SUM($O637:R637)</f>
        <v>-66.896666666666675</v>
      </c>
      <c r="T637" s="52">
        <f ca="1">Log_2019[[#This Row],[Amount]]/Log_2019[[#This Row],[Split_raw]]*MAX(0,MIN(_xlfn.DAYS(EDATE(T$1,1),Log_2019[[#This Row],[Date]]),Log_2019[[#This Row],[Split_apply]])) - SUM($O637:S637)</f>
        <v>0</v>
      </c>
      <c r="U637" s="52">
        <f ca="1">Log_2019[[#This Row],[Amount]]/Log_2019[[#This Row],[Split_raw]]*MAX(0,MIN(_xlfn.DAYS(EDATE(U$1,1),Log_2019[[#This Row],[Date]]),Log_2019[[#This Row],[Split_apply]])) - SUM($O637:T637)</f>
        <v>0</v>
      </c>
      <c r="V637" s="52">
        <f ca="1">Log_2019[[#This Row],[Amount]]/Log_2019[[#This Row],[Split_raw]]*MAX(0,MIN(_xlfn.DAYS(EDATE(V$1,1),Log_2019[[#This Row],[Date]]),Log_2019[[#This Row],[Split_apply]])) - SUM($O637:U637)</f>
        <v>0</v>
      </c>
      <c r="W637" s="52">
        <f ca="1">Log_2019[[#This Row],[Amount]]/Log_2019[[#This Row],[Split_raw]]*MAX(0,MIN(_xlfn.DAYS(EDATE(W$1,1),Log_2019[[#This Row],[Date]]),Log_2019[[#This Row],[Split_apply]])) - SUM($O637:V637)</f>
        <v>0</v>
      </c>
      <c r="X637" s="52">
        <f ca="1">Log_2019[[#This Row],[Amount]]/Log_2019[[#This Row],[Split_raw]]*MAX(0,MIN(_xlfn.DAYS(EDATE(X$1,1),Log_2019[[#This Row],[Date]]),Log_2019[[#This Row],[Split_apply]])) - SUM($O637:W637)</f>
        <v>0</v>
      </c>
      <c r="Y637" s="52">
        <f ca="1">Log_2019[[#This Row],[Amount]]/Log_2019[[#This Row],[Split_raw]]*MAX(0,MIN(_xlfn.DAYS(EDATE(Y$1,1),Log_2019[[#This Row],[Date]]),Log_2019[[#This Row],[Split_apply]])) - SUM($O637:X637)</f>
        <v>0</v>
      </c>
      <c r="Z637" s="52">
        <f ca="1">Log_2019[[#This Row],[Amount]]/Log_2019[[#This Row],[Split_raw]]*MAX(0,MIN(_xlfn.DAYS(EDATE(Z$1,1),Log_2019[[#This Row],[Date]]),Log_2019[[#This Row],[Split_apply]])) - SUM($O637:Y637)</f>
        <v>0</v>
      </c>
      <c r="AA637" s="52">
        <f ca="1">Log_2019[[#This Row],[Amount]]/Log_2019[[#This Row],[Split_raw]]*MAX(0,MIN(_xlfn.DAYS(EDATE(AA$1,1),Log_2019[[#This Row],[Date]]),Log_2019[[#This Row],[Split_apply]])) - SUM($O637:Z637)</f>
        <v>0</v>
      </c>
      <c r="AB637" s="54">
        <f ca="1">Log_2019[[#This Row],[Amount]]-SUM(O637:AA637)</f>
        <v>0</v>
      </c>
      <c r="AC637" s="7">
        <f>MAX(0,Log_2019[[#This Row],[Split_raw]] - (EDATE(AA$1,1)-Log_2019[[#This Row],[Date]]))</f>
        <v>0</v>
      </c>
    </row>
    <row r="638" spans="1:29" x14ac:dyDescent="0.25">
      <c r="A638" s="42"/>
      <c r="B638" t="s">
        <v>6</v>
      </c>
      <c r="D638" s="26">
        <v>43535</v>
      </c>
      <c r="E638" t="s">
        <v>250</v>
      </c>
      <c r="F638" t="s">
        <v>243</v>
      </c>
      <c r="G638" t="s">
        <v>143</v>
      </c>
      <c r="H638" s="3">
        <v>-10.81</v>
      </c>
      <c r="I638" s="36">
        <f>IF(Log_2019[[#This Row],[My Category]]="NONTRACKED",0,Log_2019[[#This Row],[Raw Amount]])</f>
        <v>-10.81</v>
      </c>
      <c r="J638" s="17">
        <f>ABS(Log_2019[[#This Row],[Amount]])</f>
        <v>10.81</v>
      </c>
      <c r="K638" s="5">
        <v>30</v>
      </c>
      <c r="L638" s="38">
        <f ca="1">IF(Log_2019[[#This Row],[Date]]&lt;=TODAY(), MIN(Log_2019[[#This Row],[Split_raw]], TODAY()-Log_2019[[#This Row],[Date]]+1), 0)</f>
        <v>30</v>
      </c>
      <c r="M638" t="s">
        <v>53</v>
      </c>
      <c r="N638" t="s">
        <v>160</v>
      </c>
      <c r="O638" s="7">
        <v>0</v>
      </c>
      <c r="P638" s="52">
        <f ca="1">Log_2019[[#This Row],[Amount]]/Log_2019[[#This Row],[Split_raw]]*MAX(0,MIN(_xlfn.DAYS(EDATE(P$1,1),Log_2019[[#This Row],[Date]]),Log_2019[[#This Row],[Split_apply]])) - SUM($O638:O638)</f>
        <v>0</v>
      </c>
      <c r="Q638" s="52">
        <f ca="1">Log_2019[[#This Row],[Amount]]/Log_2019[[#This Row],[Split_raw]]*MAX(0,MIN(_xlfn.DAYS(EDATE(Q$1,1),Log_2019[[#This Row],[Date]]),Log_2019[[#This Row],[Split_apply]])) - SUM($O638:P638)</f>
        <v>0</v>
      </c>
      <c r="R638" s="52">
        <f ca="1">Log_2019[[#This Row],[Amount]]/Log_2019[[#This Row],[Split_raw]]*MAX(0,MIN(_xlfn.DAYS(EDATE(R$1,1),Log_2019[[#This Row],[Date]]),Log_2019[[#This Row],[Split_apply]])) - SUM($O638:Q638)</f>
        <v>-7.5670000000000002</v>
      </c>
      <c r="S638" s="52">
        <f ca="1">Log_2019[[#This Row],[Amount]]/Log_2019[[#This Row],[Split_raw]]*MAX(0,MIN(_xlfn.DAYS(EDATE(S$1,1),Log_2019[[#This Row],[Date]]),Log_2019[[#This Row],[Split_apply]])) - SUM($O638:R638)</f>
        <v>-3.2430000000000003</v>
      </c>
      <c r="T638" s="52">
        <f ca="1">Log_2019[[#This Row],[Amount]]/Log_2019[[#This Row],[Split_raw]]*MAX(0,MIN(_xlfn.DAYS(EDATE(T$1,1),Log_2019[[#This Row],[Date]]),Log_2019[[#This Row],[Split_apply]])) - SUM($O638:S638)</f>
        <v>0</v>
      </c>
      <c r="U638" s="52">
        <f ca="1">Log_2019[[#This Row],[Amount]]/Log_2019[[#This Row],[Split_raw]]*MAX(0,MIN(_xlfn.DAYS(EDATE(U$1,1),Log_2019[[#This Row],[Date]]),Log_2019[[#This Row],[Split_apply]])) - SUM($O638:T638)</f>
        <v>0</v>
      </c>
      <c r="V638" s="52">
        <f ca="1">Log_2019[[#This Row],[Amount]]/Log_2019[[#This Row],[Split_raw]]*MAX(0,MIN(_xlfn.DAYS(EDATE(V$1,1),Log_2019[[#This Row],[Date]]),Log_2019[[#This Row],[Split_apply]])) - SUM($O638:U638)</f>
        <v>0</v>
      </c>
      <c r="W638" s="52">
        <f ca="1">Log_2019[[#This Row],[Amount]]/Log_2019[[#This Row],[Split_raw]]*MAX(0,MIN(_xlfn.DAYS(EDATE(W$1,1),Log_2019[[#This Row],[Date]]),Log_2019[[#This Row],[Split_apply]])) - SUM($O638:V638)</f>
        <v>0</v>
      </c>
      <c r="X638" s="52">
        <f ca="1">Log_2019[[#This Row],[Amount]]/Log_2019[[#This Row],[Split_raw]]*MAX(0,MIN(_xlfn.DAYS(EDATE(X$1,1),Log_2019[[#This Row],[Date]]),Log_2019[[#This Row],[Split_apply]])) - SUM($O638:W638)</f>
        <v>0</v>
      </c>
      <c r="Y638" s="52">
        <f ca="1">Log_2019[[#This Row],[Amount]]/Log_2019[[#This Row],[Split_raw]]*MAX(0,MIN(_xlfn.DAYS(EDATE(Y$1,1),Log_2019[[#This Row],[Date]]),Log_2019[[#This Row],[Split_apply]])) - SUM($O638:X638)</f>
        <v>0</v>
      </c>
      <c r="Z638" s="52">
        <f ca="1">Log_2019[[#This Row],[Amount]]/Log_2019[[#This Row],[Split_raw]]*MAX(0,MIN(_xlfn.DAYS(EDATE(Z$1,1),Log_2019[[#This Row],[Date]]),Log_2019[[#This Row],[Split_apply]])) - SUM($O638:Y638)</f>
        <v>0</v>
      </c>
      <c r="AA638" s="52">
        <f ca="1">Log_2019[[#This Row],[Amount]]/Log_2019[[#This Row],[Split_raw]]*MAX(0,MIN(_xlfn.DAYS(EDATE(AA$1,1),Log_2019[[#This Row],[Date]]),Log_2019[[#This Row],[Split_apply]])) - SUM($O638:Z638)</f>
        <v>0</v>
      </c>
      <c r="AB638" s="54">
        <f ca="1">Log_2019[[#This Row],[Amount]]-SUM(O638:AA638)</f>
        <v>0</v>
      </c>
      <c r="AC638" s="7">
        <f>MAX(0,Log_2019[[#This Row],[Split_raw]] - (EDATE(AA$1,1)-Log_2019[[#This Row],[Date]]))</f>
        <v>0</v>
      </c>
    </row>
    <row r="639" spans="1:29" x14ac:dyDescent="0.25">
      <c r="A639" s="42"/>
      <c r="B639" t="s">
        <v>6</v>
      </c>
      <c r="D639" s="26">
        <v>43535</v>
      </c>
      <c r="F639" t="s">
        <v>345</v>
      </c>
      <c r="G639" t="s">
        <v>12</v>
      </c>
      <c r="H639" s="3">
        <v>-76.3</v>
      </c>
      <c r="I639" s="36">
        <f>IF(Log_2019[[#This Row],[My Category]]="NONTRACKED",0,Log_2019[[#This Row],[Raw Amount]])</f>
        <v>-76.3</v>
      </c>
      <c r="J639" s="17">
        <f>ABS(Log_2019[[#This Row],[Amount]])</f>
        <v>76.3</v>
      </c>
      <c r="K639" s="5">
        <v>1</v>
      </c>
      <c r="L639" s="38">
        <f ca="1">IF(Log_2019[[#This Row],[Date]]&lt;=TODAY(), MIN(Log_2019[[#This Row],[Split_raw]], TODAY()-Log_2019[[#This Row],[Date]]+1), 0)</f>
        <v>1</v>
      </c>
      <c r="M639" t="s">
        <v>12</v>
      </c>
      <c r="N639" t="s">
        <v>158</v>
      </c>
      <c r="O639" s="7">
        <v>0</v>
      </c>
      <c r="P639" s="52">
        <f ca="1">Log_2019[[#This Row],[Amount]]/Log_2019[[#This Row],[Split_raw]]*MAX(0,MIN(_xlfn.DAYS(EDATE(P$1,1),Log_2019[[#This Row],[Date]]),Log_2019[[#This Row],[Split_apply]])) - SUM($O639:O639)</f>
        <v>0</v>
      </c>
      <c r="Q639" s="52">
        <f ca="1">Log_2019[[#This Row],[Amount]]/Log_2019[[#This Row],[Split_raw]]*MAX(0,MIN(_xlfn.DAYS(EDATE(Q$1,1),Log_2019[[#This Row],[Date]]),Log_2019[[#This Row],[Split_apply]])) - SUM($O639:P639)</f>
        <v>0</v>
      </c>
      <c r="R639" s="52">
        <f ca="1">Log_2019[[#This Row],[Amount]]/Log_2019[[#This Row],[Split_raw]]*MAX(0,MIN(_xlfn.DAYS(EDATE(R$1,1),Log_2019[[#This Row],[Date]]),Log_2019[[#This Row],[Split_apply]])) - SUM($O639:Q639)</f>
        <v>-76.3</v>
      </c>
      <c r="S639" s="52">
        <f ca="1">Log_2019[[#This Row],[Amount]]/Log_2019[[#This Row],[Split_raw]]*MAX(0,MIN(_xlfn.DAYS(EDATE(S$1,1),Log_2019[[#This Row],[Date]]),Log_2019[[#This Row],[Split_apply]])) - SUM($O639:R639)</f>
        <v>0</v>
      </c>
      <c r="T639" s="52">
        <f ca="1">Log_2019[[#This Row],[Amount]]/Log_2019[[#This Row],[Split_raw]]*MAX(0,MIN(_xlfn.DAYS(EDATE(T$1,1),Log_2019[[#This Row],[Date]]),Log_2019[[#This Row],[Split_apply]])) - SUM($O639:S639)</f>
        <v>0</v>
      </c>
      <c r="U639" s="52">
        <f ca="1">Log_2019[[#This Row],[Amount]]/Log_2019[[#This Row],[Split_raw]]*MAX(0,MIN(_xlfn.DAYS(EDATE(U$1,1),Log_2019[[#This Row],[Date]]),Log_2019[[#This Row],[Split_apply]])) - SUM($O639:T639)</f>
        <v>0</v>
      </c>
      <c r="V639" s="52">
        <f ca="1">Log_2019[[#This Row],[Amount]]/Log_2019[[#This Row],[Split_raw]]*MAX(0,MIN(_xlfn.DAYS(EDATE(V$1,1),Log_2019[[#This Row],[Date]]),Log_2019[[#This Row],[Split_apply]])) - SUM($O639:U639)</f>
        <v>0</v>
      </c>
      <c r="W639" s="52">
        <f ca="1">Log_2019[[#This Row],[Amount]]/Log_2019[[#This Row],[Split_raw]]*MAX(0,MIN(_xlfn.DAYS(EDATE(W$1,1),Log_2019[[#This Row],[Date]]),Log_2019[[#This Row],[Split_apply]])) - SUM($O639:V639)</f>
        <v>0</v>
      </c>
      <c r="X639" s="52">
        <f ca="1">Log_2019[[#This Row],[Amount]]/Log_2019[[#This Row],[Split_raw]]*MAX(0,MIN(_xlfn.DAYS(EDATE(X$1,1),Log_2019[[#This Row],[Date]]),Log_2019[[#This Row],[Split_apply]])) - SUM($O639:W639)</f>
        <v>0</v>
      </c>
      <c r="Y639" s="52">
        <f ca="1">Log_2019[[#This Row],[Amount]]/Log_2019[[#This Row],[Split_raw]]*MAX(0,MIN(_xlfn.DAYS(EDATE(Y$1,1),Log_2019[[#This Row],[Date]]),Log_2019[[#This Row],[Split_apply]])) - SUM($O639:X639)</f>
        <v>0</v>
      </c>
      <c r="Z639" s="52">
        <f ca="1">Log_2019[[#This Row],[Amount]]/Log_2019[[#This Row],[Split_raw]]*MAX(0,MIN(_xlfn.DAYS(EDATE(Z$1,1),Log_2019[[#This Row],[Date]]),Log_2019[[#This Row],[Split_apply]])) - SUM($O639:Y639)</f>
        <v>0</v>
      </c>
      <c r="AA639" s="52">
        <f ca="1">Log_2019[[#This Row],[Amount]]/Log_2019[[#This Row],[Split_raw]]*MAX(0,MIN(_xlfn.DAYS(EDATE(AA$1,1),Log_2019[[#This Row],[Date]]),Log_2019[[#This Row],[Split_apply]])) - SUM($O639:Z639)</f>
        <v>0</v>
      </c>
      <c r="AB639" s="54">
        <f ca="1">Log_2019[[#This Row],[Amount]]-SUM(O639:AA639)</f>
        <v>0</v>
      </c>
      <c r="AC639" s="7">
        <f>MAX(0,Log_2019[[#This Row],[Split_raw]] - (EDATE(AA$1,1)-Log_2019[[#This Row],[Date]]))</f>
        <v>0</v>
      </c>
    </row>
    <row r="640" spans="1:29" x14ac:dyDescent="0.25">
      <c r="A640" s="42"/>
      <c r="B640" t="s">
        <v>6</v>
      </c>
      <c r="D640" s="26">
        <v>43535</v>
      </c>
      <c r="F640" t="s">
        <v>59</v>
      </c>
      <c r="G640" t="s">
        <v>25</v>
      </c>
      <c r="H640" s="3">
        <v>-7.94</v>
      </c>
      <c r="I640" s="36">
        <f>IF(Log_2019[[#This Row],[My Category]]="NONTRACKED",0,Log_2019[[#This Row],[Raw Amount]])</f>
        <v>-7.94</v>
      </c>
      <c r="J640" s="17">
        <f>ABS(Log_2019[[#This Row],[Amount]])</f>
        <v>7.94</v>
      </c>
      <c r="K640" s="5">
        <v>1</v>
      </c>
      <c r="L640" s="38">
        <f ca="1">IF(Log_2019[[#This Row],[Date]]&lt;=TODAY(), MIN(Log_2019[[#This Row],[Split_raw]], TODAY()-Log_2019[[#This Row],[Date]]+1), 0)</f>
        <v>1</v>
      </c>
      <c r="M640" t="s">
        <v>35</v>
      </c>
      <c r="N640" t="s">
        <v>158</v>
      </c>
      <c r="O640" s="7">
        <v>0</v>
      </c>
      <c r="P640" s="52">
        <f ca="1">Log_2019[[#This Row],[Amount]]/Log_2019[[#This Row],[Split_raw]]*MAX(0,MIN(_xlfn.DAYS(EDATE(P$1,1),Log_2019[[#This Row],[Date]]),Log_2019[[#This Row],[Split_apply]])) - SUM($O640:O640)</f>
        <v>0</v>
      </c>
      <c r="Q640" s="52">
        <f ca="1">Log_2019[[#This Row],[Amount]]/Log_2019[[#This Row],[Split_raw]]*MAX(0,MIN(_xlfn.DAYS(EDATE(Q$1,1),Log_2019[[#This Row],[Date]]),Log_2019[[#This Row],[Split_apply]])) - SUM($O640:P640)</f>
        <v>0</v>
      </c>
      <c r="R640" s="52">
        <f ca="1">Log_2019[[#This Row],[Amount]]/Log_2019[[#This Row],[Split_raw]]*MAX(0,MIN(_xlfn.DAYS(EDATE(R$1,1),Log_2019[[#This Row],[Date]]),Log_2019[[#This Row],[Split_apply]])) - SUM($O640:Q640)</f>
        <v>-7.94</v>
      </c>
      <c r="S640" s="52">
        <f ca="1">Log_2019[[#This Row],[Amount]]/Log_2019[[#This Row],[Split_raw]]*MAX(0,MIN(_xlfn.DAYS(EDATE(S$1,1),Log_2019[[#This Row],[Date]]),Log_2019[[#This Row],[Split_apply]])) - SUM($O640:R640)</f>
        <v>0</v>
      </c>
      <c r="T640" s="52">
        <f ca="1">Log_2019[[#This Row],[Amount]]/Log_2019[[#This Row],[Split_raw]]*MAX(0,MIN(_xlfn.DAYS(EDATE(T$1,1),Log_2019[[#This Row],[Date]]),Log_2019[[#This Row],[Split_apply]])) - SUM($O640:S640)</f>
        <v>0</v>
      </c>
      <c r="U640" s="52">
        <f ca="1">Log_2019[[#This Row],[Amount]]/Log_2019[[#This Row],[Split_raw]]*MAX(0,MIN(_xlfn.DAYS(EDATE(U$1,1),Log_2019[[#This Row],[Date]]),Log_2019[[#This Row],[Split_apply]])) - SUM($O640:T640)</f>
        <v>0</v>
      </c>
      <c r="V640" s="52">
        <f ca="1">Log_2019[[#This Row],[Amount]]/Log_2019[[#This Row],[Split_raw]]*MAX(0,MIN(_xlfn.DAYS(EDATE(V$1,1),Log_2019[[#This Row],[Date]]),Log_2019[[#This Row],[Split_apply]])) - SUM($O640:U640)</f>
        <v>0</v>
      </c>
      <c r="W640" s="52">
        <f ca="1">Log_2019[[#This Row],[Amount]]/Log_2019[[#This Row],[Split_raw]]*MAX(0,MIN(_xlfn.DAYS(EDATE(W$1,1),Log_2019[[#This Row],[Date]]),Log_2019[[#This Row],[Split_apply]])) - SUM($O640:V640)</f>
        <v>0</v>
      </c>
      <c r="X640" s="52">
        <f ca="1">Log_2019[[#This Row],[Amount]]/Log_2019[[#This Row],[Split_raw]]*MAX(0,MIN(_xlfn.DAYS(EDATE(X$1,1),Log_2019[[#This Row],[Date]]),Log_2019[[#This Row],[Split_apply]])) - SUM($O640:W640)</f>
        <v>0</v>
      </c>
      <c r="Y640" s="52">
        <f ca="1">Log_2019[[#This Row],[Amount]]/Log_2019[[#This Row],[Split_raw]]*MAX(0,MIN(_xlfn.DAYS(EDATE(Y$1,1),Log_2019[[#This Row],[Date]]),Log_2019[[#This Row],[Split_apply]])) - SUM($O640:X640)</f>
        <v>0</v>
      </c>
      <c r="Z640" s="52">
        <f ca="1">Log_2019[[#This Row],[Amount]]/Log_2019[[#This Row],[Split_raw]]*MAX(0,MIN(_xlfn.DAYS(EDATE(Z$1,1),Log_2019[[#This Row],[Date]]),Log_2019[[#This Row],[Split_apply]])) - SUM($O640:Y640)</f>
        <v>0</v>
      </c>
      <c r="AA640" s="52">
        <f ca="1">Log_2019[[#This Row],[Amount]]/Log_2019[[#This Row],[Split_raw]]*MAX(0,MIN(_xlfn.DAYS(EDATE(AA$1,1),Log_2019[[#This Row],[Date]]),Log_2019[[#This Row],[Split_apply]])) - SUM($O640:Z640)</f>
        <v>0</v>
      </c>
      <c r="AB640" s="54">
        <f ca="1">Log_2019[[#This Row],[Amount]]-SUM(O640:AA640)</f>
        <v>0</v>
      </c>
      <c r="AC640" s="7">
        <f>MAX(0,Log_2019[[#This Row],[Split_raw]] - (EDATE(AA$1,1)-Log_2019[[#This Row],[Date]]))</f>
        <v>0</v>
      </c>
    </row>
    <row r="641" spans="1:29" x14ac:dyDescent="0.25">
      <c r="A641" s="42"/>
      <c r="B641" t="s">
        <v>6</v>
      </c>
      <c r="D641" s="26">
        <v>43535</v>
      </c>
      <c r="F641" t="s">
        <v>255</v>
      </c>
      <c r="G641" t="s">
        <v>25</v>
      </c>
      <c r="H641" s="3">
        <v>-8.39</v>
      </c>
      <c r="I641" s="36">
        <f>IF(Log_2019[[#This Row],[My Category]]="NONTRACKED",0,Log_2019[[#This Row],[Raw Amount]])</f>
        <v>-8.39</v>
      </c>
      <c r="J641" s="17">
        <f>ABS(Log_2019[[#This Row],[Amount]])</f>
        <v>8.39</v>
      </c>
      <c r="K641" s="5">
        <v>1</v>
      </c>
      <c r="L641" s="38">
        <f ca="1">IF(Log_2019[[#This Row],[Date]]&lt;=TODAY(), MIN(Log_2019[[#This Row],[Split_raw]], TODAY()-Log_2019[[#This Row],[Date]]+1), 0)</f>
        <v>1</v>
      </c>
      <c r="M641" t="s">
        <v>35</v>
      </c>
      <c r="N641" t="s">
        <v>158</v>
      </c>
      <c r="O641" s="7">
        <v>0</v>
      </c>
      <c r="P641" s="52">
        <f ca="1">Log_2019[[#This Row],[Amount]]/Log_2019[[#This Row],[Split_raw]]*MAX(0,MIN(_xlfn.DAYS(EDATE(P$1,1),Log_2019[[#This Row],[Date]]),Log_2019[[#This Row],[Split_apply]])) - SUM($O641:O641)</f>
        <v>0</v>
      </c>
      <c r="Q641" s="52">
        <f ca="1">Log_2019[[#This Row],[Amount]]/Log_2019[[#This Row],[Split_raw]]*MAX(0,MIN(_xlfn.DAYS(EDATE(Q$1,1),Log_2019[[#This Row],[Date]]),Log_2019[[#This Row],[Split_apply]])) - SUM($O641:P641)</f>
        <v>0</v>
      </c>
      <c r="R641" s="52">
        <f ca="1">Log_2019[[#This Row],[Amount]]/Log_2019[[#This Row],[Split_raw]]*MAX(0,MIN(_xlfn.DAYS(EDATE(R$1,1),Log_2019[[#This Row],[Date]]),Log_2019[[#This Row],[Split_apply]])) - SUM($O641:Q641)</f>
        <v>-8.39</v>
      </c>
      <c r="S641" s="52">
        <f ca="1">Log_2019[[#This Row],[Amount]]/Log_2019[[#This Row],[Split_raw]]*MAX(0,MIN(_xlfn.DAYS(EDATE(S$1,1),Log_2019[[#This Row],[Date]]),Log_2019[[#This Row],[Split_apply]])) - SUM($O641:R641)</f>
        <v>0</v>
      </c>
      <c r="T641" s="52">
        <f ca="1">Log_2019[[#This Row],[Amount]]/Log_2019[[#This Row],[Split_raw]]*MAX(0,MIN(_xlfn.DAYS(EDATE(T$1,1),Log_2019[[#This Row],[Date]]),Log_2019[[#This Row],[Split_apply]])) - SUM($O641:S641)</f>
        <v>0</v>
      </c>
      <c r="U641" s="52">
        <f ca="1">Log_2019[[#This Row],[Amount]]/Log_2019[[#This Row],[Split_raw]]*MAX(0,MIN(_xlfn.DAYS(EDATE(U$1,1),Log_2019[[#This Row],[Date]]),Log_2019[[#This Row],[Split_apply]])) - SUM($O641:T641)</f>
        <v>0</v>
      </c>
      <c r="V641" s="52">
        <f ca="1">Log_2019[[#This Row],[Amount]]/Log_2019[[#This Row],[Split_raw]]*MAX(0,MIN(_xlfn.DAYS(EDATE(V$1,1),Log_2019[[#This Row],[Date]]),Log_2019[[#This Row],[Split_apply]])) - SUM($O641:U641)</f>
        <v>0</v>
      </c>
      <c r="W641" s="52">
        <f ca="1">Log_2019[[#This Row],[Amount]]/Log_2019[[#This Row],[Split_raw]]*MAX(0,MIN(_xlfn.DAYS(EDATE(W$1,1),Log_2019[[#This Row],[Date]]),Log_2019[[#This Row],[Split_apply]])) - SUM($O641:V641)</f>
        <v>0</v>
      </c>
      <c r="X641" s="52">
        <f ca="1">Log_2019[[#This Row],[Amount]]/Log_2019[[#This Row],[Split_raw]]*MAX(0,MIN(_xlfn.DAYS(EDATE(X$1,1),Log_2019[[#This Row],[Date]]),Log_2019[[#This Row],[Split_apply]])) - SUM($O641:W641)</f>
        <v>0</v>
      </c>
      <c r="Y641" s="52">
        <f ca="1">Log_2019[[#This Row],[Amount]]/Log_2019[[#This Row],[Split_raw]]*MAX(0,MIN(_xlfn.DAYS(EDATE(Y$1,1),Log_2019[[#This Row],[Date]]),Log_2019[[#This Row],[Split_apply]])) - SUM($O641:X641)</f>
        <v>0</v>
      </c>
      <c r="Z641" s="52">
        <f ca="1">Log_2019[[#This Row],[Amount]]/Log_2019[[#This Row],[Split_raw]]*MAX(0,MIN(_xlfn.DAYS(EDATE(Z$1,1),Log_2019[[#This Row],[Date]]),Log_2019[[#This Row],[Split_apply]])) - SUM($O641:Y641)</f>
        <v>0</v>
      </c>
      <c r="AA641" s="52">
        <f ca="1">Log_2019[[#This Row],[Amount]]/Log_2019[[#This Row],[Split_raw]]*MAX(0,MIN(_xlfn.DAYS(EDATE(AA$1,1),Log_2019[[#This Row],[Date]]),Log_2019[[#This Row],[Split_apply]])) - SUM($O641:Z641)</f>
        <v>0</v>
      </c>
      <c r="AB641" s="54">
        <f ca="1">Log_2019[[#This Row],[Amount]]-SUM(O641:AA641)</f>
        <v>0</v>
      </c>
      <c r="AC641" s="7">
        <f>MAX(0,Log_2019[[#This Row],[Split_raw]] - (EDATE(AA$1,1)-Log_2019[[#This Row],[Date]]))</f>
        <v>0</v>
      </c>
    </row>
    <row r="642" spans="1:29" x14ac:dyDescent="0.25">
      <c r="A642" s="42"/>
      <c r="B642" t="s">
        <v>6</v>
      </c>
      <c r="D642" s="26">
        <v>43535</v>
      </c>
      <c r="F642" t="s">
        <v>138</v>
      </c>
      <c r="G642" t="s">
        <v>104</v>
      </c>
      <c r="H642" s="3">
        <v>-243.22</v>
      </c>
      <c r="I642" s="36">
        <f>IF(Log_2019[[#This Row],[My Category]]="NONTRACKED",0,Log_2019[[#This Row],[Raw Amount]])</f>
        <v>-243.22</v>
      </c>
      <c r="J642" s="17">
        <f>ABS(Log_2019[[#This Row],[Amount]])</f>
        <v>243.22</v>
      </c>
      <c r="K642" s="5">
        <v>1</v>
      </c>
      <c r="L642" s="38">
        <f ca="1">IF(Log_2019[[#This Row],[Date]]&lt;=TODAY(), MIN(Log_2019[[#This Row],[Split_raw]], TODAY()-Log_2019[[#This Row],[Date]]+1), 0)</f>
        <v>1</v>
      </c>
      <c r="M642" t="s">
        <v>159</v>
      </c>
      <c r="N642" t="s">
        <v>160</v>
      </c>
      <c r="O642" s="7">
        <v>0</v>
      </c>
      <c r="P642" s="52">
        <f ca="1">Log_2019[[#This Row],[Amount]]/Log_2019[[#This Row],[Split_raw]]*MAX(0,MIN(_xlfn.DAYS(EDATE(P$1,1),Log_2019[[#This Row],[Date]]),Log_2019[[#This Row],[Split_apply]])) - SUM($O642:O642)</f>
        <v>0</v>
      </c>
      <c r="Q642" s="52">
        <f ca="1">Log_2019[[#This Row],[Amount]]/Log_2019[[#This Row],[Split_raw]]*MAX(0,MIN(_xlfn.DAYS(EDATE(Q$1,1),Log_2019[[#This Row],[Date]]),Log_2019[[#This Row],[Split_apply]])) - SUM($O642:P642)</f>
        <v>0</v>
      </c>
      <c r="R642" s="52">
        <f ca="1">Log_2019[[#This Row],[Amount]]/Log_2019[[#This Row],[Split_raw]]*MAX(0,MIN(_xlfn.DAYS(EDATE(R$1,1),Log_2019[[#This Row],[Date]]),Log_2019[[#This Row],[Split_apply]])) - SUM($O642:Q642)</f>
        <v>-243.22</v>
      </c>
      <c r="S642" s="52">
        <f ca="1">Log_2019[[#This Row],[Amount]]/Log_2019[[#This Row],[Split_raw]]*MAX(0,MIN(_xlfn.DAYS(EDATE(S$1,1),Log_2019[[#This Row],[Date]]),Log_2019[[#This Row],[Split_apply]])) - SUM($O642:R642)</f>
        <v>0</v>
      </c>
      <c r="T642" s="52">
        <f ca="1">Log_2019[[#This Row],[Amount]]/Log_2019[[#This Row],[Split_raw]]*MAX(0,MIN(_xlfn.DAYS(EDATE(T$1,1),Log_2019[[#This Row],[Date]]),Log_2019[[#This Row],[Split_apply]])) - SUM($O642:S642)</f>
        <v>0</v>
      </c>
      <c r="U642" s="52">
        <f ca="1">Log_2019[[#This Row],[Amount]]/Log_2019[[#This Row],[Split_raw]]*MAX(0,MIN(_xlfn.DAYS(EDATE(U$1,1),Log_2019[[#This Row],[Date]]),Log_2019[[#This Row],[Split_apply]])) - SUM($O642:T642)</f>
        <v>0</v>
      </c>
      <c r="V642" s="52">
        <f ca="1">Log_2019[[#This Row],[Amount]]/Log_2019[[#This Row],[Split_raw]]*MAX(0,MIN(_xlfn.DAYS(EDATE(V$1,1),Log_2019[[#This Row],[Date]]),Log_2019[[#This Row],[Split_apply]])) - SUM($O642:U642)</f>
        <v>0</v>
      </c>
      <c r="W642" s="52">
        <f ca="1">Log_2019[[#This Row],[Amount]]/Log_2019[[#This Row],[Split_raw]]*MAX(0,MIN(_xlfn.DAYS(EDATE(W$1,1),Log_2019[[#This Row],[Date]]),Log_2019[[#This Row],[Split_apply]])) - SUM($O642:V642)</f>
        <v>0</v>
      </c>
      <c r="X642" s="52">
        <f ca="1">Log_2019[[#This Row],[Amount]]/Log_2019[[#This Row],[Split_raw]]*MAX(0,MIN(_xlfn.DAYS(EDATE(X$1,1),Log_2019[[#This Row],[Date]]),Log_2019[[#This Row],[Split_apply]])) - SUM($O642:W642)</f>
        <v>0</v>
      </c>
      <c r="Y642" s="52">
        <f ca="1">Log_2019[[#This Row],[Amount]]/Log_2019[[#This Row],[Split_raw]]*MAX(0,MIN(_xlfn.DAYS(EDATE(Y$1,1),Log_2019[[#This Row],[Date]]),Log_2019[[#This Row],[Split_apply]])) - SUM($O642:X642)</f>
        <v>0</v>
      </c>
      <c r="Z642" s="52">
        <f ca="1">Log_2019[[#This Row],[Amount]]/Log_2019[[#This Row],[Split_raw]]*MAX(0,MIN(_xlfn.DAYS(EDATE(Z$1,1),Log_2019[[#This Row],[Date]]),Log_2019[[#This Row],[Split_apply]])) - SUM($O642:Y642)</f>
        <v>0</v>
      </c>
      <c r="AA642" s="52">
        <f ca="1">Log_2019[[#This Row],[Amount]]/Log_2019[[#This Row],[Split_raw]]*MAX(0,MIN(_xlfn.DAYS(EDATE(AA$1,1),Log_2019[[#This Row],[Date]]),Log_2019[[#This Row],[Split_apply]])) - SUM($O642:Z642)</f>
        <v>0</v>
      </c>
      <c r="AB642" s="54">
        <f ca="1">Log_2019[[#This Row],[Amount]]-SUM(O642:AA642)</f>
        <v>0</v>
      </c>
      <c r="AC642" s="7">
        <f>MAX(0,Log_2019[[#This Row],[Split_raw]] - (EDATE(AA$1,1)-Log_2019[[#This Row],[Date]]))</f>
        <v>0</v>
      </c>
    </row>
    <row r="643" spans="1:29" x14ac:dyDescent="0.25">
      <c r="A643" s="42"/>
      <c r="B643" t="s">
        <v>6</v>
      </c>
      <c r="D643" s="26">
        <v>43533</v>
      </c>
      <c r="E643" t="s">
        <v>545</v>
      </c>
      <c r="F643" t="s">
        <v>541</v>
      </c>
      <c r="G643" t="s">
        <v>11</v>
      </c>
      <c r="H643" s="3">
        <v>-128.82</v>
      </c>
      <c r="I643" s="36">
        <f>IF(Log_2019[[#This Row],[My Category]]="NONTRACKED",0,Log_2019[[#This Row],[Raw Amount]])</f>
        <v>-128.82</v>
      </c>
      <c r="J643" s="17">
        <f>ABS(Log_2019[[#This Row],[Amount]])</f>
        <v>128.82</v>
      </c>
      <c r="K643" s="5">
        <v>365</v>
      </c>
      <c r="L643" s="38">
        <f ca="1">IF(Log_2019[[#This Row],[Date]]&lt;=TODAY(), MIN(Log_2019[[#This Row],[Split_raw]], TODAY()-Log_2019[[#This Row],[Date]]+1), 0)</f>
        <v>365</v>
      </c>
      <c r="M643" t="s">
        <v>147</v>
      </c>
      <c r="N643" t="s">
        <v>158</v>
      </c>
      <c r="O643" s="7">
        <v>0</v>
      </c>
      <c r="P643" s="52">
        <f ca="1">Log_2019[[#This Row],[Amount]]/Log_2019[[#This Row],[Split_raw]]*MAX(0,MIN(_xlfn.DAYS(EDATE(P$1,1),Log_2019[[#This Row],[Date]]),Log_2019[[#This Row],[Split_apply]])) - SUM($O643:O643)</f>
        <v>0</v>
      </c>
      <c r="Q643" s="52">
        <f ca="1">Log_2019[[#This Row],[Amount]]/Log_2019[[#This Row],[Split_raw]]*MAX(0,MIN(_xlfn.DAYS(EDATE(Q$1,1),Log_2019[[#This Row],[Date]]),Log_2019[[#This Row],[Split_apply]])) - SUM($O643:P643)</f>
        <v>0</v>
      </c>
      <c r="R643" s="52">
        <f ca="1">Log_2019[[#This Row],[Amount]]/Log_2019[[#This Row],[Split_raw]]*MAX(0,MIN(_xlfn.DAYS(EDATE(R$1,1),Log_2019[[#This Row],[Date]]),Log_2019[[#This Row],[Split_apply]])) - SUM($O643:Q643)</f>
        <v>-8.1174246575342472</v>
      </c>
      <c r="S643" s="52">
        <f ca="1">Log_2019[[#This Row],[Amount]]/Log_2019[[#This Row],[Split_raw]]*MAX(0,MIN(_xlfn.DAYS(EDATE(S$1,1),Log_2019[[#This Row],[Date]]),Log_2019[[#This Row],[Split_apply]])) - SUM($O643:R643)</f>
        <v>-10.58794520547945</v>
      </c>
      <c r="T643" s="52">
        <f ca="1">Log_2019[[#This Row],[Amount]]/Log_2019[[#This Row],[Split_raw]]*MAX(0,MIN(_xlfn.DAYS(EDATE(T$1,1),Log_2019[[#This Row],[Date]]),Log_2019[[#This Row],[Split_apply]])) - SUM($O643:S643)</f>
        <v>-10.94087671232877</v>
      </c>
      <c r="U643" s="52">
        <f ca="1">Log_2019[[#This Row],[Amount]]/Log_2019[[#This Row],[Split_raw]]*MAX(0,MIN(_xlfn.DAYS(EDATE(U$1,1),Log_2019[[#This Row],[Date]]),Log_2019[[#This Row],[Split_apply]])) - SUM($O643:T643)</f>
        <v>-10.58794520547945</v>
      </c>
      <c r="V643" s="52">
        <f ca="1">Log_2019[[#This Row],[Amount]]/Log_2019[[#This Row],[Split_raw]]*MAX(0,MIN(_xlfn.DAYS(EDATE(V$1,1),Log_2019[[#This Row],[Date]]),Log_2019[[#This Row],[Split_apply]])) - SUM($O643:U643)</f>
        <v>-10.940876712328766</v>
      </c>
      <c r="W643" s="52">
        <f ca="1">Log_2019[[#This Row],[Amount]]/Log_2019[[#This Row],[Split_raw]]*MAX(0,MIN(_xlfn.DAYS(EDATE(W$1,1),Log_2019[[#This Row],[Date]]),Log_2019[[#This Row],[Split_apply]])) - SUM($O643:V643)</f>
        <v>-10.940876712328766</v>
      </c>
      <c r="X643" s="52">
        <f ca="1">Log_2019[[#This Row],[Amount]]/Log_2019[[#This Row],[Split_raw]]*MAX(0,MIN(_xlfn.DAYS(EDATE(X$1,1),Log_2019[[#This Row],[Date]]),Log_2019[[#This Row],[Split_apply]])) - SUM($O643:W643)</f>
        <v>-10.587945205479457</v>
      </c>
      <c r="Y643" s="52">
        <f ca="1">Log_2019[[#This Row],[Amount]]/Log_2019[[#This Row],[Split_raw]]*MAX(0,MIN(_xlfn.DAYS(EDATE(Y$1,1),Log_2019[[#This Row],[Date]]),Log_2019[[#This Row],[Split_apply]])) - SUM($O643:X643)</f>
        <v>-10.940876712328759</v>
      </c>
      <c r="Z643" s="52">
        <f ca="1">Log_2019[[#This Row],[Amount]]/Log_2019[[#This Row],[Split_raw]]*MAX(0,MIN(_xlfn.DAYS(EDATE(Z$1,1),Log_2019[[#This Row],[Date]]),Log_2019[[#This Row],[Split_apply]])) - SUM($O643:Y643)</f>
        <v>-10.587945205479457</v>
      </c>
      <c r="AA643" s="52">
        <f ca="1">Log_2019[[#This Row],[Amount]]/Log_2019[[#This Row],[Split_raw]]*MAX(0,MIN(_xlfn.DAYS(EDATE(AA$1,1),Log_2019[[#This Row],[Date]]),Log_2019[[#This Row],[Split_apply]])) - SUM($O643:Z643)</f>
        <v>-10.940876712328773</v>
      </c>
      <c r="AB643" s="54">
        <f ca="1">Log_2019[[#This Row],[Amount]]-SUM(O643:AA643)</f>
        <v>-23.646410958904099</v>
      </c>
      <c r="AC643" s="7">
        <f>MAX(0,Log_2019[[#This Row],[Split_raw]] - (EDATE(AA$1,1)-Log_2019[[#This Row],[Date]]))</f>
        <v>67</v>
      </c>
    </row>
    <row r="644" spans="1:29" x14ac:dyDescent="0.25">
      <c r="A644" s="42"/>
      <c r="B644" t="s">
        <v>6</v>
      </c>
      <c r="D644" s="26">
        <v>43532</v>
      </c>
      <c r="F644" t="s">
        <v>105</v>
      </c>
      <c r="G644" t="s">
        <v>104</v>
      </c>
      <c r="H644" s="3">
        <f>--243.22</f>
        <v>243.22</v>
      </c>
      <c r="I644" s="36">
        <f>IF(Log_2019[[#This Row],[My Category]]="NONTRACKED",0,Log_2019[[#This Row],[Raw Amount]])</f>
        <v>243.22</v>
      </c>
      <c r="J644" s="17">
        <f>ABS(Log_2019[[#This Row],[Amount]])</f>
        <v>243.22</v>
      </c>
      <c r="K644" s="5">
        <v>1</v>
      </c>
      <c r="L644" s="38">
        <f ca="1">IF(Log_2019[[#This Row],[Date]]&lt;=TODAY(), MIN(Log_2019[[#This Row],[Split_raw]], TODAY()-Log_2019[[#This Row],[Date]]+1), 0)</f>
        <v>1</v>
      </c>
      <c r="M644" t="s">
        <v>159</v>
      </c>
      <c r="N644" t="s">
        <v>158</v>
      </c>
      <c r="O644" s="7">
        <v>0</v>
      </c>
      <c r="P644" s="52">
        <f ca="1">Log_2019[[#This Row],[Amount]]/Log_2019[[#This Row],[Split_raw]]*MAX(0,MIN(_xlfn.DAYS(EDATE(P$1,1),Log_2019[[#This Row],[Date]]),Log_2019[[#This Row],[Split_apply]])) - SUM($O644:O644)</f>
        <v>0</v>
      </c>
      <c r="Q644" s="52">
        <f ca="1">Log_2019[[#This Row],[Amount]]/Log_2019[[#This Row],[Split_raw]]*MAX(0,MIN(_xlfn.DAYS(EDATE(Q$1,1),Log_2019[[#This Row],[Date]]),Log_2019[[#This Row],[Split_apply]])) - SUM($O644:P644)</f>
        <v>0</v>
      </c>
      <c r="R644" s="52">
        <f ca="1">Log_2019[[#This Row],[Amount]]/Log_2019[[#This Row],[Split_raw]]*MAX(0,MIN(_xlfn.DAYS(EDATE(R$1,1),Log_2019[[#This Row],[Date]]),Log_2019[[#This Row],[Split_apply]])) - SUM($O644:Q644)</f>
        <v>243.22</v>
      </c>
      <c r="S644" s="52">
        <f ca="1">Log_2019[[#This Row],[Amount]]/Log_2019[[#This Row],[Split_raw]]*MAX(0,MIN(_xlfn.DAYS(EDATE(S$1,1),Log_2019[[#This Row],[Date]]),Log_2019[[#This Row],[Split_apply]])) - SUM($O644:R644)</f>
        <v>0</v>
      </c>
      <c r="T644" s="52">
        <f ca="1">Log_2019[[#This Row],[Amount]]/Log_2019[[#This Row],[Split_raw]]*MAX(0,MIN(_xlfn.DAYS(EDATE(T$1,1),Log_2019[[#This Row],[Date]]),Log_2019[[#This Row],[Split_apply]])) - SUM($O644:S644)</f>
        <v>0</v>
      </c>
      <c r="U644" s="52">
        <f ca="1">Log_2019[[#This Row],[Amount]]/Log_2019[[#This Row],[Split_raw]]*MAX(0,MIN(_xlfn.DAYS(EDATE(U$1,1),Log_2019[[#This Row],[Date]]),Log_2019[[#This Row],[Split_apply]])) - SUM($O644:T644)</f>
        <v>0</v>
      </c>
      <c r="V644" s="52">
        <f ca="1">Log_2019[[#This Row],[Amount]]/Log_2019[[#This Row],[Split_raw]]*MAX(0,MIN(_xlfn.DAYS(EDATE(V$1,1),Log_2019[[#This Row],[Date]]),Log_2019[[#This Row],[Split_apply]])) - SUM($O644:U644)</f>
        <v>0</v>
      </c>
      <c r="W644" s="52">
        <f ca="1">Log_2019[[#This Row],[Amount]]/Log_2019[[#This Row],[Split_raw]]*MAX(0,MIN(_xlfn.DAYS(EDATE(W$1,1),Log_2019[[#This Row],[Date]]),Log_2019[[#This Row],[Split_apply]])) - SUM($O644:V644)</f>
        <v>0</v>
      </c>
      <c r="X644" s="52">
        <f ca="1">Log_2019[[#This Row],[Amount]]/Log_2019[[#This Row],[Split_raw]]*MAX(0,MIN(_xlfn.DAYS(EDATE(X$1,1),Log_2019[[#This Row],[Date]]),Log_2019[[#This Row],[Split_apply]])) - SUM($O644:W644)</f>
        <v>0</v>
      </c>
      <c r="Y644" s="52">
        <f ca="1">Log_2019[[#This Row],[Amount]]/Log_2019[[#This Row],[Split_raw]]*MAX(0,MIN(_xlfn.DAYS(EDATE(Y$1,1),Log_2019[[#This Row],[Date]]),Log_2019[[#This Row],[Split_apply]])) - SUM($O644:X644)</f>
        <v>0</v>
      </c>
      <c r="Z644" s="52">
        <f ca="1">Log_2019[[#This Row],[Amount]]/Log_2019[[#This Row],[Split_raw]]*MAX(0,MIN(_xlfn.DAYS(EDATE(Z$1,1),Log_2019[[#This Row],[Date]]),Log_2019[[#This Row],[Split_apply]])) - SUM($O644:Y644)</f>
        <v>0</v>
      </c>
      <c r="AA644" s="52">
        <f ca="1">Log_2019[[#This Row],[Amount]]/Log_2019[[#This Row],[Split_raw]]*MAX(0,MIN(_xlfn.DAYS(EDATE(AA$1,1),Log_2019[[#This Row],[Date]]),Log_2019[[#This Row],[Split_apply]])) - SUM($O644:Z644)</f>
        <v>0</v>
      </c>
      <c r="AB644" s="54">
        <f ca="1">Log_2019[[#This Row],[Amount]]-SUM(O644:AA644)</f>
        <v>0</v>
      </c>
      <c r="AC644" s="7">
        <f>MAX(0,Log_2019[[#This Row],[Split_raw]] - (EDATE(AA$1,1)-Log_2019[[#This Row],[Date]]))</f>
        <v>0</v>
      </c>
    </row>
    <row r="645" spans="1:29" x14ac:dyDescent="0.25">
      <c r="A645" s="42"/>
      <c r="B645" t="s">
        <v>96</v>
      </c>
      <c r="D645" s="26">
        <v>43532</v>
      </c>
      <c r="F645" t="s">
        <v>547</v>
      </c>
      <c r="H645" s="3">
        <v>10</v>
      </c>
      <c r="I645" s="36">
        <f>IF(Log_2019[[#This Row],[My Category]]="NONTRACKED",0,Log_2019[[#This Row],[Raw Amount]])</f>
        <v>10</v>
      </c>
      <c r="J645" s="17">
        <f>ABS(Log_2019[[#This Row],[Amount]])</f>
        <v>10</v>
      </c>
      <c r="K645" s="5">
        <v>1</v>
      </c>
      <c r="L645" s="38">
        <f ca="1">IF(Log_2019[[#This Row],[Date]]&lt;=TODAY(), MIN(Log_2019[[#This Row],[Split_raw]], TODAY()-Log_2019[[#This Row],[Date]]+1), 0)</f>
        <v>1</v>
      </c>
      <c r="M645" t="s">
        <v>35</v>
      </c>
      <c r="N645" t="s">
        <v>156</v>
      </c>
      <c r="O645" s="7">
        <v>0</v>
      </c>
      <c r="P645" s="52">
        <f ca="1">Log_2019[[#This Row],[Amount]]/Log_2019[[#This Row],[Split_raw]]*MAX(0,MIN(_xlfn.DAYS(EDATE(P$1,1),Log_2019[[#This Row],[Date]]),Log_2019[[#This Row],[Split_apply]])) - SUM($O645:O645)</f>
        <v>0</v>
      </c>
      <c r="Q645" s="52">
        <f ca="1">Log_2019[[#This Row],[Amount]]/Log_2019[[#This Row],[Split_raw]]*MAX(0,MIN(_xlfn.DAYS(EDATE(Q$1,1),Log_2019[[#This Row],[Date]]),Log_2019[[#This Row],[Split_apply]])) - SUM($O645:P645)</f>
        <v>0</v>
      </c>
      <c r="R645" s="52">
        <f ca="1">Log_2019[[#This Row],[Amount]]/Log_2019[[#This Row],[Split_raw]]*MAX(0,MIN(_xlfn.DAYS(EDATE(R$1,1),Log_2019[[#This Row],[Date]]),Log_2019[[#This Row],[Split_apply]])) - SUM($O645:Q645)</f>
        <v>10</v>
      </c>
      <c r="S645" s="52">
        <f ca="1">Log_2019[[#This Row],[Amount]]/Log_2019[[#This Row],[Split_raw]]*MAX(0,MIN(_xlfn.DAYS(EDATE(S$1,1),Log_2019[[#This Row],[Date]]),Log_2019[[#This Row],[Split_apply]])) - SUM($O645:R645)</f>
        <v>0</v>
      </c>
      <c r="T645" s="52">
        <f ca="1">Log_2019[[#This Row],[Amount]]/Log_2019[[#This Row],[Split_raw]]*MAX(0,MIN(_xlfn.DAYS(EDATE(T$1,1),Log_2019[[#This Row],[Date]]),Log_2019[[#This Row],[Split_apply]])) - SUM($O645:S645)</f>
        <v>0</v>
      </c>
      <c r="U645" s="52">
        <f ca="1">Log_2019[[#This Row],[Amount]]/Log_2019[[#This Row],[Split_raw]]*MAX(0,MIN(_xlfn.DAYS(EDATE(U$1,1),Log_2019[[#This Row],[Date]]),Log_2019[[#This Row],[Split_apply]])) - SUM($O645:T645)</f>
        <v>0</v>
      </c>
      <c r="V645" s="52">
        <f ca="1">Log_2019[[#This Row],[Amount]]/Log_2019[[#This Row],[Split_raw]]*MAX(0,MIN(_xlfn.DAYS(EDATE(V$1,1),Log_2019[[#This Row],[Date]]),Log_2019[[#This Row],[Split_apply]])) - SUM($O645:U645)</f>
        <v>0</v>
      </c>
      <c r="W645" s="52">
        <f ca="1">Log_2019[[#This Row],[Amount]]/Log_2019[[#This Row],[Split_raw]]*MAX(0,MIN(_xlfn.DAYS(EDATE(W$1,1),Log_2019[[#This Row],[Date]]),Log_2019[[#This Row],[Split_apply]])) - SUM($O645:V645)</f>
        <v>0</v>
      </c>
      <c r="X645" s="52">
        <f ca="1">Log_2019[[#This Row],[Amount]]/Log_2019[[#This Row],[Split_raw]]*MAX(0,MIN(_xlfn.DAYS(EDATE(X$1,1),Log_2019[[#This Row],[Date]]),Log_2019[[#This Row],[Split_apply]])) - SUM($O645:W645)</f>
        <v>0</v>
      </c>
      <c r="Y645" s="52">
        <f ca="1">Log_2019[[#This Row],[Amount]]/Log_2019[[#This Row],[Split_raw]]*MAX(0,MIN(_xlfn.DAYS(EDATE(Y$1,1),Log_2019[[#This Row],[Date]]),Log_2019[[#This Row],[Split_apply]])) - SUM($O645:X645)</f>
        <v>0</v>
      </c>
      <c r="Z645" s="52">
        <f ca="1">Log_2019[[#This Row],[Amount]]/Log_2019[[#This Row],[Split_raw]]*MAX(0,MIN(_xlfn.DAYS(EDATE(Z$1,1),Log_2019[[#This Row],[Date]]),Log_2019[[#This Row],[Split_apply]])) - SUM($O645:Y645)</f>
        <v>0</v>
      </c>
      <c r="AA645" s="52">
        <f ca="1">Log_2019[[#This Row],[Amount]]/Log_2019[[#This Row],[Split_raw]]*MAX(0,MIN(_xlfn.DAYS(EDATE(AA$1,1),Log_2019[[#This Row],[Date]]),Log_2019[[#This Row],[Split_apply]])) - SUM($O645:Z645)</f>
        <v>0</v>
      </c>
      <c r="AB645" s="54">
        <f ca="1">Log_2019[[#This Row],[Amount]]-SUM(O645:AA645)</f>
        <v>0</v>
      </c>
      <c r="AC645" s="7">
        <f>MAX(0,Log_2019[[#This Row],[Split_raw]] - (EDATE(AA$1,1)-Log_2019[[#This Row],[Date]]))</f>
        <v>0</v>
      </c>
    </row>
    <row r="646" spans="1:29" x14ac:dyDescent="0.25">
      <c r="A646" s="42"/>
      <c r="B646" t="s">
        <v>6</v>
      </c>
      <c r="D646" s="26">
        <v>43532</v>
      </c>
      <c r="E646" t="s">
        <v>546</v>
      </c>
      <c r="F646" t="s">
        <v>255</v>
      </c>
      <c r="G646" t="s">
        <v>25</v>
      </c>
      <c r="H646" s="3">
        <v>-22.98</v>
      </c>
      <c r="I646" s="36">
        <f>IF(Log_2019[[#This Row],[My Category]]="NONTRACKED",0,Log_2019[[#This Row],[Raw Amount]])</f>
        <v>-22.98</v>
      </c>
      <c r="J646" s="17">
        <f>ABS(Log_2019[[#This Row],[Amount]])</f>
        <v>22.98</v>
      </c>
      <c r="K646" s="5">
        <v>1</v>
      </c>
      <c r="L646" s="38">
        <f ca="1">IF(Log_2019[[#This Row],[Date]]&lt;=TODAY(), MIN(Log_2019[[#This Row],[Split_raw]], TODAY()-Log_2019[[#This Row],[Date]]+1), 0)</f>
        <v>1</v>
      </c>
      <c r="M646" t="s">
        <v>35</v>
      </c>
      <c r="N646" t="s">
        <v>158</v>
      </c>
      <c r="O646" s="7">
        <v>0</v>
      </c>
      <c r="P646" s="52">
        <f ca="1">Log_2019[[#This Row],[Amount]]/Log_2019[[#This Row],[Split_raw]]*MAX(0,MIN(_xlfn.DAYS(EDATE(P$1,1),Log_2019[[#This Row],[Date]]),Log_2019[[#This Row],[Split_apply]])) - SUM($O646:O646)</f>
        <v>0</v>
      </c>
      <c r="Q646" s="52">
        <f ca="1">Log_2019[[#This Row],[Amount]]/Log_2019[[#This Row],[Split_raw]]*MAX(0,MIN(_xlfn.DAYS(EDATE(Q$1,1),Log_2019[[#This Row],[Date]]),Log_2019[[#This Row],[Split_apply]])) - SUM($O646:P646)</f>
        <v>0</v>
      </c>
      <c r="R646" s="52">
        <f ca="1">Log_2019[[#This Row],[Amount]]/Log_2019[[#This Row],[Split_raw]]*MAX(0,MIN(_xlfn.DAYS(EDATE(R$1,1),Log_2019[[#This Row],[Date]]),Log_2019[[#This Row],[Split_apply]])) - SUM($O646:Q646)</f>
        <v>-22.98</v>
      </c>
      <c r="S646" s="52">
        <f ca="1">Log_2019[[#This Row],[Amount]]/Log_2019[[#This Row],[Split_raw]]*MAX(0,MIN(_xlfn.DAYS(EDATE(S$1,1),Log_2019[[#This Row],[Date]]),Log_2019[[#This Row],[Split_apply]])) - SUM($O646:R646)</f>
        <v>0</v>
      </c>
      <c r="T646" s="52">
        <f ca="1">Log_2019[[#This Row],[Amount]]/Log_2019[[#This Row],[Split_raw]]*MAX(0,MIN(_xlfn.DAYS(EDATE(T$1,1),Log_2019[[#This Row],[Date]]),Log_2019[[#This Row],[Split_apply]])) - SUM($O646:S646)</f>
        <v>0</v>
      </c>
      <c r="U646" s="52">
        <f ca="1">Log_2019[[#This Row],[Amount]]/Log_2019[[#This Row],[Split_raw]]*MAX(0,MIN(_xlfn.DAYS(EDATE(U$1,1),Log_2019[[#This Row],[Date]]),Log_2019[[#This Row],[Split_apply]])) - SUM($O646:T646)</f>
        <v>0</v>
      </c>
      <c r="V646" s="52">
        <f ca="1">Log_2019[[#This Row],[Amount]]/Log_2019[[#This Row],[Split_raw]]*MAX(0,MIN(_xlfn.DAYS(EDATE(V$1,1),Log_2019[[#This Row],[Date]]),Log_2019[[#This Row],[Split_apply]])) - SUM($O646:U646)</f>
        <v>0</v>
      </c>
      <c r="W646" s="52">
        <f ca="1">Log_2019[[#This Row],[Amount]]/Log_2019[[#This Row],[Split_raw]]*MAX(0,MIN(_xlfn.DAYS(EDATE(W$1,1),Log_2019[[#This Row],[Date]]),Log_2019[[#This Row],[Split_apply]])) - SUM($O646:V646)</f>
        <v>0</v>
      </c>
      <c r="X646" s="52">
        <f ca="1">Log_2019[[#This Row],[Amount]]/Log_2019[[#This Row],[Split_raw]]*MAX(0,MIN(_xlfn.DAYS(EDATE(X$1,1),Log_2019[[#This Row],[Date]]),Log_2019[[#This Row],[Split_apply]])) - SUM($O646:W646)</f>
        <v>0</v>
      </c>
      <c r="Y646" s="52">
        <f ca="1">Log_2019[[#This Row],[Amount]]/Log_2019[[#This Row],[Split_raw]]*MAX(0,MIN(_xlfn.DAYS(EDATE(Y$1,1),Log_2019[[#This Row],[Date]]),Log_2019[[#This Row],[Split_apply]])) - SUM($O646:X646)</f>
        <v>0</v>
      </c>
      <c r="Z646" s="52">
        <f ca="1">Log_2019[[#This Row],[Amount]]/Log_2019[[#This Row],[Split_raw]]*MAX(0,MIN(_xlfn.DAYS(EDATE(Z$1,1),Log_2019[[#This Row],[Date]]),Log_2019[[#This Row],[Split_apply]])) - SUM($O646:Y646)</f>
        <v>0</v>
      </c>
      <c r="AA646" s="52">
        <f ca="1">Log_2019[[#This Row],[Amount]]/Log_2019[[#This Row],[Split_raw]]*MAX(0,MIN(_xlfn.DAYS(EDATE(AA$1,1),Log_2019[[#This Row],[Date]]),Log_2019[[#This Row],[Split_apply]])) - SUM($O646:Z646)</f>
        <v>0</v>
      </c>
      <c r="AB646" s="54">
        <f ca="1">Log_2019[[#This Row],[Amount]]-SUM(O646:AA646)</f>
        <v>0</v>
      </c>
      <c r="AC646" s="7">
        <f>MAX(0,Log_2019[[#This Row],[Split_raw]] - (EDATE(AA$1,1)-Log_2019[[#This Row],[Date]]))</f>
        <v>0</v>
      </c>
    </row>
    <row r="647" spans="1:29" x14ac:dyDescent="0.25">
      <c r="A647" s="42"/>
      <c r="B647" t="s">
        <v>6</v>
      </c>
      <c r="D647" s="26">
        <v>43532</v>
      </c>
      <c r="F647" t="s">
        <v>255</v>
      </c>
      <c r="G647" t="s">
        <v>25</v>
      </c>
      <c r="H647" s="3">
        <v>-22</v>
      </c>
      <c r="I647" s="36">
        <f>IF(Log_2019[[#This Row],[My Category]]="NONTRACKED",0,Log_2019[[#This Row],[Raw Amount]])</f>
        <v>-22</v>
      </c>
      <c r="J647" s="17">
        <f>ABS(Log_2019[[#This Row],[Amount]])</f>
        <v>22</v>
      </c>
      <c r="K647" s="5">
        <v>1</v>
      </c>
      <c r="L647" s="38">
        <f ca="1">IF(Log_2019[[#This Row],[Date]]&lt;=TODAY(), MIN(Log_2019[[#This Row],[Split_raw]], TODAY()-Log_2019[[#This Row],[Date]]+1), 0)</f>
        <v>1</v>
      </c>
      <c r="M647" t="s">
        <v>52</v>
      </c>
      <c r="N647" t="s">
        <v>158</v>
      </c>
      <c r="O647" s="7">
        <v>0</v>
      </c>
      <c r="P647" s="52">
        <f ca="1">Log_2019[[#This Row],[Amount]]/Log_2019[[#This Row],[Split_raw]]*MAX(0,MIN(_xlfn.DAYS(EDATE(P$1,1),Log_2019[[#This Row],[Date]]),Log_2019[[#This Row],[Split_apply]])) - SUM($O647:O647)</f>
        <v>0</v>
      </c>
      <c r="Q647" s="52">
        <f ca="1">Log_2019[[#This Row],[Amount]]/Log_2019[[#This Row],[Split_raw]]*MAX(0,MIN(_xlfn.DAYS(EDATE(Q$1,1),Log_2019[[#This Row],[Date]]),Log_2019[[#This Row],[Split_apply]])) - SUM($O647:P647)</f>
        <v>0</v>
      </c>
      <c r="R647" s="52">
        <f ca="1">Log_2019[[#This Row],[Amount]]/Log_2019[[#This Row],[Split_raw]]*MAX(0,MIN(_xlfn.DAYS(EDATE(R$1,1),Log_2019[[#This Row],[Date]]),Log_2019[[#This Row],[Split_apply]])) - SUM($O647:Q647)</f>
        <v>-22</v>
      </c>
      <c r="S647" s="52">
        <f ca="1">Log_2019[[#This Row],[Amount]]/Log_2019[[#This Row],[Split_raw]]*MAX(0,MIN(_xlfn.DAYS(EDATE(S$1,1),Log_2019[[#This Row],[Date]]),Log_2019[[#This Row],[Split_apply]])) - SUM($O647:R647)</f>
        <v>0</v>
      </c>
      <c r="T647" s="52">
        <f ca="1">Log_2019[[#This Row],[Amount]]/Log_2019[[#This Row],[Split_raw]]*MAX(0,MIN(_xlfn.DAYS(EDATE(T$1,1),Log_2019[[#This Row],[Date]]),Log_2019[[#This Row],[Split_apply]])) - SUM($O647:S647)</f>
        <v>0</v>
      </c>
      <c r="U647" s="52">
        <f ca="1">Log_2019[[#This Row],[Amount]]/Log_2019[[#This Row],[Split_raw]]*MAX(0,MIN(_xlfn.DAYS(EDATE(U$1,1),Log_2019[[#This Row],[Date]]),Log_2019[[#This Row],[Split_apply]])) - SUM($O647:T647)</f>
        <v>0</v>
      </c>
      <c r="V647" s="52">
        <f ca="1">Log_2019[[#This Row],[Amount]]/Log_2019[[#This Row],[Split_raw]]*MAX(0,MIN(_xlfn.DAYS(EDATE(V$1,1),Log_2019[[#This Row],[Date]]),Log_2019[[#This Row],[Split_apply]])) - SUM($O647:U647)</f>
        <v>0</v>
      </c>
      <c r="W647" s="52">
        <f ca="1">Log_2019[[#This Row],[Amount]]/Log_2019[[#This Row],[Split_raw]]*MAX(0,MIN(_xlfn.DAYS(EDATE(W$1,1),Log_2019[[#This Row],[Date]]),Log_2019[[#This Row],[Split_apply]])) - SUM($O647:V647)</f>
        <v>0</v>
      </c>
      <c r="X647" s="52">
        <f ca="1">Log_2019[[#This Row],[Amount]]/Log_2019[[#This Row],[Split_raw]]*MAX(0,MIN(_xlfn.DAYS(EDATE(X$1,1),Log_2019[[#This Row],[Date]]),Log_2019[[#This Row],[Split_apply]])) - SUM($O647:W647)</f>
        <v>0</v>
      </c>
      <c r="Y647" s="52">
        <f ca="1">Log_2019[[#This Row],[Amount]]/Log_2019[[#This Row],[Split_raw]]*MAX(0,MIN(_xlfn.DAYS(EDATE(Y$1,1),Log_2019[[#This Row],[Date]]),Log_2019[[#This Row],[Split_apply]])) - SUM($O647:X647)</f>
        <v>0</v>
      </c>
      <c r="Z647" s="52">
        <f ca="1">Log_2019[[#This Row],[Amount]]/Log_2019[[#This Row],[Split_raw]]*MAX(0,MIN(_xlfn.DAYS(EDATE(Z$1,1),Log_2019[[#This Row],[Date]]),Log_2019[[#This Row],[Split_apply]])) - SUM($O647:Y647)</f>
        <v>0</v>
      </c>
      <c r="AA647" s="52">
        <f ca="1">Log_2019[[#This Row],[Amount]]/Log_2019[[#This Row],[Split_raw]]*MAX(0,MIN(_xlfn.DAYS(EDATE(AA$1,1),Log_2019[[#This Row],[Date]]),Log_2019[[#This Row],[Split_apply]])) - SUM($O647:Z647)</f>
        <v>0</v>
      </c>
      <c r="AB647" s="54">
        <f ca="1">Log_2019[[#This Row],[Amount]]-SUM(O647:AA647)</f>
        <v>0</v>
      </c>
      <c r="AC647" s="7">
        <f>MAX(0,Log_2019[[#This Row],[Split_raw]] - (EDATE(AA$1,1)-Log_2019[[#This Row],[Date]]))</f>
        <v>0</v>
      </c>
    </row>
    <row r="648" spans="1:29" x14ac:dyDescent="0.25">
      <c r="A648" s="42"/>
      <c r="B648" t="s">
        <v>6</v>
      </c>
      <c r="D648" s="26">
        <v>43531</v>
      </c>
      <c r="F648" t="s">
        <v>188</v>
      </c>
      <c r="G648" t="s">
        <v>189</v>
      </c>
      <c r="H648" s="3">
        <v>-85.08</v>
      </c>
      <c r="I648" s="36">
        <f>IF(Log_2019[[#This Row],[My Category]]="NONTRACKED",0,Log_2019[[#This Row],[Raw Amount]])</f>
        <v>-85.08</v>
      </c>
      <c r="J648" s="17">
        <f>ABS(Log_2019[[#This Row],[Amount]])</f>
        <v>85.08</v>
      </c>
      <c r="K648" s="5">
        <v>30</v>
      </c>
      <c r="L648" s="38">
        <f ca="1">IF(Log_2019[[#This Row],[Date]]&lt;=TODAY(), MIN(Log_2019[[#This Row],[Split_raw]], TODAY()-Log_2019[[#This Row],[Date]]+1), 0)</f>
        <v>30</v>
      </c>
      <c r="M648" t="s">
        <v>30</v>
      </c>
      <c r="N648" t="s">
        <v>158</v>
      </c>
      <c r="O648" s="7">
        <v>0</v>
      </c>
      <c r="P648" s="52">
        <f ca="1">Log_2019[[#This Row],[Amount]]/Log_2019[[#This Row],[Split_raw]]*MAX(0,MIN(_xlfn.DAYS(EDATE(P$1,1),Log_2019[[#This Row],[Date]]),Log_2019[[#This Row],[Split_apply]])) - SUM($O648:O648)</f>
        <v>0</v>
      </c>
      <c r="Q648" s="52">
        <f ca="1">Log_2019[[#This Row],[Amount]]/Log_2019[[#This Row],[Split_raw]]*MAX(0,MIN(_xlfn.DAYS(EDATE(Q$1,1),Log_2019[[#This Row],[Date]]),Log_2019[[#This Row],[Split_apply]])) - SUM($O648:P648)</f>
        <v>0</v>
      </c>
      <c r="R648" s="52">
        <f ca="1">Log_2019[[#This Row],[Amount]]/Log_2019[[#This Row],[Split_raw]]*MAX(0,MIN(_xlfn.DAYS(EDATE(R$1,1),Log_2019[[#This Row],[Date]]),Log_2019[[#This Row],[Split_apply]])) - SUM($O648:Q648)</f>
        <v>-70.899999999999991</v>
      </c>
      <c r="S648" s="52">
        <f ca="1">Log_2019[[#This Row],[Amount]]/Log_2019[[#This Row],[Split_raw]]*MAX(0,MIN(_xlfn.DAYS(EDATE(S$1,1),Log_2019[[#This Row],[Date]]),Log_2019[[#This Row],[Split_apply]])) - SUM($O648:R648)</f>
        <v>-14.180000000000007</v>
      </c>
      <c r="T648" s="52">
        <f ca="1">Log_2019[[#This Row],[Amount]]/Log_2019[[#This Row],[Split_raw]]*MAX(0,MIN(_xlfn.DAYS(EDATE(T$1,1),Log_2019[[#This Row],[Date]]),Log_2019[[#This Row],[Split_apply]])) - SUM($O648:S648)</f>
        <v>0</v>
      </c>
      <c r="U648" s="52">
        <f ca="1">Log_2019[[#This Row],[Amount]]/Log_2019[[#This Row],[Split_raw]]*MAX(0,MIN(_xlfn.DAYS(EDATE(U$1,1),Log_2019[[#This Row],[Date]]),Log_2019[[#This Row],[Split_apply]])) - SUM($O648:T648)</f>
        <v>0</v>
      </c>
      <c r="V648" s="52">
        <f ca="1">Log_2019[[#This Row],[Amount]]/Log_2019[[#This Row],[Split_raw]]*MAX(0,MIN(_xlfn.DAYS(EDATE(V$1,1),Log_2019[[#This Row],[Date]]),Log_2019[[#This Row],[Split_apply]])) - SUM($O648:U648)</f>
        <v>0</v>
      </c>
      <c r="W648" s="52">
        <f ca="1">Log_2019[[#This Row],[Amount]]/Log_2019[[#This Row],[Split_raw]]*MAX(0,MIN(_xlfn.DAYS(EDATE(W$1,1),Log_2019[[#This Row],[Date]]),Log_2019[[#This Row],[Split_apply]])) - SUM($O648:V648)</f>
        <v>0</v>
      </c>
      <c r="X648" s="52">
        <f ca="1">Log_2019[[#This Row],[Amount]]/Log_2019[[#This Row],[Split_raw]]*MAX(0,MIN(_xlfn.DAYS(EDATE(X$1,1),Log_2019[[#This Row],[Date]]),Log_2019[[#This Row],[Split_apply]])) - SUM($O648:W648)</f>
        <v>0</v>
      </c>
      <c r="Y648" s="52">
        <f ca="1">Log_2019[[#This Row],[Amount]]/Log_2019[[#This Row],[Split_raw]]*MAX(0,MIN(_xlfn.DAYS(EDATE(Y$1,1),Log_2019[[#This Row],[Date]]),Log_2019[[#This Row],[Split_apply]])) - SUM($O648:X648)</f>
        <v>0</v>
      </c>
      <c r="Z648" s="52">
        <f ca="1">Log_2019[[#This Row],[Amount]]/Log_2019[[#This Row],[Split_raw]]*MAX(0,MIN(_xlfn.DAYS(EDATE(Z$1,1),Log_2019[[#This Row],[Date]]),Log_2019[[#This Row],[Split_apply]])) - SUM($O648:Y648)</f>
        <v>0</v>
      </c>
      <c r="AA648" s="52">
        <f ca="1">Log_2019[[#This Row],[Amount]]/Log_2019[[#This Row],[Split_raw]]*MAX(0,MIN(_xlfn.DAYS(EDATE(AA$1,1),Log_2019[[#This Row],[Date]]),Log_2019[[#This Row],[Split_apply]])) - SUM($O648:Z648)</f>
        <v>0</v>
      </c>
      <c r="AB648" s="54">
        <f ca="1">Log_2019[[#This Row],[Amount]]-SUM(O648:AA648)</f>
        <v>0</v>
      </c>
      <c r="AC648" s="7">
        <f>MAX(0,Log_2019[[#This Row],[Split_raw]] - (EDATE(AA$1,1)-Log_2019[[#This Row],[Date]]))</f>
        <v>0</v>
      </c>
    </row>
    <row r="649" spans="1:29" x14ac:dyDescent="0.25">
      <c r="A649" s="42"/>
      <c r="B649" t="s">
        <v>6</v>
      </c>
      <c r="D649" s="26">
        <v>43530</v>
      </c>
      <c r="F649" t="s">
        <v>308</v>
      </c>
      <c r="G649" t="s">
        <v>25</v>
      </c>
      <c r="H649" s="3">
        <v>-12.4</v>
      </c>
      <c r="I649" s="36">
        <f>IF(Log_2019[[#This Row],[My Category]]="NONTRACKED",0,Log_2019[[#This Row],[Raw Amount]])</f>
        <v>-12.4</v>
      </c>
      <c r="J649" s="17">
        <f>ABS(Log_2019[[#This Row],[Amount]])</f>
        <v>12.4</v>
      </c>
      <c r="K649" s="5">
        <v>1</v>
      </c>
      <c r="L649" s="38">
        <f ca="1">IF(Log_2019[[#This Row],[Date]]&lt;=TODAY(), MIN(Log_2019[[#This Row],[Split_raw]], TODAY()-Log_2019[[#This Row],[Date]]+1), 0)</f>
        <v>1</v>
      </c>
      <c r="M649" t="s">
        <v>35</v>
      </c>
      <c r="N649" t="s">
        <v>158</v>
      </c>
      <c r="O649" s="7">
        <v>0</v>
      </c>
      <c r="P649" s="52">
        <f ca="1">Log_2019[[#This Row],[Amount]]/Log_2019[[#This Row],[Split_raw]]*MAX(0,MIN(_xlfn.DAYS(EDATE(P$1,1),Log_2019[[#This Row],[Date]]),Log_2019[[#This Row],[Split_apply]])) - SUM($O649:O649)</f>
        <v>0</v>
      </c>
      <c r="Q649" s="52">
        <f ca="1">Log_2019[[#This Row],[Amount]]/Log_2019[[#This Row],[Split_raw]]*MAX(0,MIN(_xlfn.DAYS(EDATE(Q$1,1),Log_2019[[#This Row],[Date]]),Log_2019[[#This Row],[Split_apply]])) - SUM($O649:P649)</f>
        <v>0</v>
      </c>
      <c r="R649" s="52">
        <f ca="1">Log_2019[[#This Row],[Amount]]/Log_2019[[#This Row],[Split_raw]]*MAX(0,MIN(_xlfn.DAYS(EDATE(R$1,1),Log_2019[[#This Row],[Date]]),Log_2019[[#This Row],[Split_apply]])) - SUM($O649:Q649)</f>
        <v>-12.4</v>
      </c>
      <c r="S649" s="52">
        <f ca="1">Log_2019[[#This Row],[Amount]]/Log_2019[[#This Row],[Split_raw]]*MAX(0,MIN(_xlfn.DAYS(EDATE(S$1,1),Log_2019[[#This Row],[Date]]),Log_2019[[#This Row],[Split_apply]])) - SUM($O649:R649)</f>
        <v>0</v>
      </c>
      <c r="T649" s="52">
        <f ca="1">Log_2019[[#This Row],[Amount]]/Log_2019[[#This Row],[Split_raw]]*MAX(0,MIN(_xlfn.DAYS(EDATE(T$1,1),Log_2019[[#This Row],[Date]]),Log_2019[[#This Row],[Split_apply]])) - SUM($O649:S649)</f>
        <v>0</v>
      </c>
      <c r="U649" s="52">
        <f ca="1">Log_2019[[#This Row],[Amount]]/Log_2019[[#This Row],[Split_raw]]*MAX(0,MIN(_xlfn.DAYS(EDATE(U$1,1),Log_2019[[#This Row],[Date]]),Log_2019[[#This Row],[Split_apply]])) - SUM($O649:T649)</f>
        <v>0</v>
      </c>
      <c r="V649" s="52">
        <f ca="1">Log_2019[[#This Row],[Amount]]/Log_2019[[#This Row],[Split_raw]]*MAX(0,MIN(_xlfn.DAYS(EDATE(V$1,1),Log_2019[[#This Row],[Date]]),Log_2019[[#This Row],[Split_apply]])) - SUM($O649:U649)</f>
        <v>0</v>
      </c>
      <c r="W649" s="52">
        <f ca="1">Log_2019[[#This Row],[Amount]]/Log_2019[[#This Row],[Split_raw]]*MAX(0,MIN(_xlfn.DAYS(EDATE(W$1,1),Log_2019[[#This Row],[Date]]),Log_2019[[#This Row],[Split_apply]])) - SUM($O649:V649)</f>
        <v>0</v>
      </c>
      <c r="X649" s="52">
        <f ca="1">Log_2019[[#This Row],[Amount]]/Log_2019[[#This Row],[Split_raw]]*MAX(0,MIN(_xlfn.DAYS(EDATE(X$1,1),Log_2019[[#This Row],[Date]]),Log_2019[[#This Row],[Split_apply]])) - SUM($O649:W649)</f>
        <v>0</v>
      </c>
      <c r="Y649" s="52">
        <f ca="1">Log_2019[[#This Row],[Amount]]/Log_2019[[#This Row],[Split_raw]]*MAX(0,MIN(_xlfn.DAYS(EDATE(Y$1,1),Log_2019[[#This Row],[Date]]),Log_2019[[#This Row],[Split_apply]])) - SUM($O649:X649)</f>
        <v>0</v>
      </c>
      <c r="Z649" s="52">
        <f ca="1">Log_2019[[#This Row],[Amount]]/Log_2019[[#This Row],[Split_raw]]*MAX(0,MIN(_xlfn.DAYS(EDATE(Z$1,1),Log_2019[[#This Row],[Date]]),Log_2019[[#This Row],[Split_apply]])) - SUM($O649:Y649)</f>
        <v>0</v>
      </c>
      <c r="AA649" s="52">
        <f ca="1">Log_2019[[#This Row],[Amount]]/Log_2019[[#This Row],[Split_raw]]*MAX(0,MIN(_xlfn.DAYS(EDATE(AA$1,1),Log_2019[[#This Row],[Date]]),Log_2019[[#This Row],[Split_apply]])) - SUM($O649:Z649)</f>
        <v>0</v>
      </c>
      <c r="AB649" s="54">
        <f ca="1">Log_2019[[#This Row],[Amount]]-SUM(O649:AA649)</f>
        <v>0</v>
      </c>
      <c r="AC649" s="7">
        <f>MAX(0,Log_2019[[#This Row],[Split_raw]] - (EDATE(AA$1,1)-Log_2019[[#This Row],[Date]]))</f>
        <v>0</v>
      </c>
    </row>
    <row r="650" spans="1:29" x14ac:dyDescent="0.25">
      <c r="A650" s="42"/>
      <c r="B650" t="s">
        <v>6</v>
      </c>
      <c r="D650" s="26">
        <v>43529</v>
      </c>
      <c r="F650" t="s">
        <v>59</v>
      </c>
      <c r="G650" t="s">
        <v>25</v>
      </c>
      <c r="H650" s="3">
        <v>-7.94</v>
      </c>
      <c r="I650" s="36">
        <f>IF(Log_2019[[#This Row],[My Category]]="NONTRACKED",0,Log_2019[[#This Row],[Raw Amount]])</f>
        <v>-7.94</v>
      </c>
      <c r="J650" s="17">
        <f>ABS(Log_2019[[#This Row],[Amount]])</f>
        <v>7.94</v>
      </c>
      <c r="K650" s="5">
        <v>1</v>
      </c>
      <c r="L650" s="38">
        <f ca="1">IF(Log_2019[[#This Row],[Date]]&lt;=TODAY(), MIN(Log_2019[[#This Row],[Split_raw]], TODAY()-Log_2019[[#This Row],[Date]]+1), 0)</f>
        <v>1</v>
      </c>
      <c r="M650" t="s">
        <v>35</v>
      </c>
      <c r="N650" t="s">
        <v>158</v>
      </c>
      <c r="O650" s="7">
        <v>0</v>
      </c>
      <c r="P650" s="52">
        <f ca="1">Log_2019[[#This Row],[Amount]]/Log_2019[[#This Row],[Split_raw]]*MAX(0,MIN(_xlfn.DAYS(EDATE(P$1,1),Log_2019[[#This Row],[Date]]),Log_2019[[#This Row],[Split_apply]])) - SUM($O650:O650)</f>
        <v>0</v>
      </c>
      <c r="Q650" s="52">
        <f ca="1">Log_2019[[#This Row],[Amount]]/Log_2019[[#This Row],[Split_raw]]*MAX(0,MIN(_xlfn.DAYS(EDATE(Q$1,1),Log_2019[[#This Row],[Date]]),Log_2019[[#This Row],[Split_apply]])) - SUM($O650:P650)</f>
        <v>0</v>
      </c>
      <c r="R650" s="52">
        <f ca="1">Log_2019[[#This Row],[Amount]]/Log_2019[[#This Row],[Split_raw]]*MAX(0,MIN(_xlfn.DAYS(EDATE(R$1,1),Log_2019[[#This Row],[Date]]),Log_2019[[#This Row],[Split_apply]])) - SUM($O650:Q650)</f>
        <v>-7.94</v>
      </c>
      <c r="S650" s="52">
        <f ca="1">Log_2019[[#This Row],[Amount]]/Log_2019[[#This Row],[Split_raw]]*MAX(0,MIN(_xlfn.DAYS(EDATE(S$1,1),Log_2019[[#This Row],[Date]]),Log_2019[[#This Row],[Split_apply]])) - SUM($O650:R650)</f>
        <v>0</v>
      </c>
      <c r="T650" s="52">
        <f ca="1">Log_2019[[#This Row],[Amount]]/Log_2019[[#This Row],[Split_raw]]*MAX(0,MIN(_xlfn.DAYS(EDATE(T$1,1),Log_2019[[#This Row],[Date]]),Log_2019[[#This Row],[Split_apply]])) - SUM($O650:S650)</f>
        <v>0</v>
      </c>
      <c r="U650" s="52">
        <f ca="1">Log_2019[[#This Row],[Amount]]/Log_2019[[#This Row],[Split_raw]]*MAX(0,MIN(_xlfn.DAYS(EDATE(U$1,1),Log_2019[[#This Row],[Date]]),Log_2019[[#This Row],[Split_apply]])) - SUM($O650:T650)</f>
        <v>0</v>
      </c>
      <c r="V650" s="52">
        <f ca="1">Log_2019[[#This Row],[Amount]]/Log_2019[[#This Row],[Split_raw]]*MAX(0,MIN(_xlfn.DAYS(EDATE(V$1,1),Log_2019[[#This Row],[Date]]),Log_2019[[#This Row],[Split_apply]])) - SUM($O650:U650)</f>
        <v>0</v>
      </c>
      <c r="W650" s="52">
        <f ca="1">Log_2019[[#This Row],[Amount]]/Log_2019[[#This Row],[Split_raw]]*MAX(0,MIN(_xlfn.DAYS(EDATE(W$1,1),Log_2019[[#This Row],[Date]]),Log_2019[[#This Row],[Split_apply]])) - SUM($O650:V650)</f>
        <v>0</v>
      </c>
      <c r="X650" s="52">
        <f ca="1">Log_2019[[#This Row],[Amount]]/Log_2019[[#This Row],[Split_raw]]*MAX(0,MIN(_xlfn.DAYS(EDATE(X$1,1),Log_2019[[#This Row],[Date]]),Log_2019[[#This Row],[Split_apply]])) - SUM($O650:W650)</f>
        <v>0</v>
      </c>
      <c r="Y650" s="52">
        <f ca="1">Log_2019[[#This Row],[Amount]]/Log_2019[[#This Row],[Split_raw]]*MAX(0,MIN(_xlfn.DAYS(EDATE(Y$1,1),Log_2019[[#This Row],[Date]]),Log_2019[[#This Row],[Split_apply]])) - SUM($O650:X650)</f>
        <v>0</v>
      </c>
      <c r="Z650" s="52">
        <f ca="1">Log_2019[[#This Row],[Amount]]/Log_2019[[#This Row],[Split_raw]]*MAX(0,MIN(_xlfn.DAYS(EDATE(Z$1,1),Log_2019[[#This Row],[Date]]),Log_2019[[#This Row],[Split_apply]])) - SUM($O650:Y650)</f>
        <v>0</v>
      </c>
      <c r="AA650" s="52">
        <f ca="1">Log_2019[[#This Row],[Amount]]/Log_2019[[#This Row],[Split_raw]]*MAX(0,MIN(_xlfn.DAYS(EDATE(AA$1,1),Log_2019[[#This Row],[Date]]),Log_2019[[#This Row],[Split_apply]])) - SUM($O650:Z650)</f>
        <v>0</v>
      </c>
      <c r="AB650" s="54">
        <f ca="1">Log_2019[[#This Row],[Amount]]-SUM(O650:AA650)</f>
        <v>0</v>
      </c>
      <c r="AC650" s="7">
        <f>MAX(0,Log_2019[[#This Row],[Split_raw]] - (EDATE(AA$1,1)-Log_2019[[#This Row],[Date]]))</f>
        <v>0</v>
      </c>
    </row>
    <row r="651" spans="1:29" x14ac:dyDescent="0.25">
      <c r="A651" s="42"/>
      <c r="B651" s="34" t="s">
        <v>6</v>
      </c>
      <c r="D651" s="26">
        <v>43528</v>
      </c>
      <c r="F651" t="s">
        <v>532</v>
      </c>
      <c r="G651" t="s">
        <v>20</v>
      </c>
      <c r="H651" s="3">
        <v>-1613.3</v>
      </c>
      <c r="I651" s="36">
        <f>IF(Log_2019[[#This Row],[My Category]]="NONTRACKED",0,Log_2019[[#This Row],[Raw Amount]])</f>
        <v>-1613.3</v>
      </c>
      <c r="J651" s="17">
        <f>ABS(Log_2019[[#This Row],[Amount]])</f>
        <v>1613.3</v>
      </c>
      <c r="K651" s="5">
        <v>30</v>
      </c>
      <c r="L651" s="38">
        <f ca="1">IF(Log_2019[[#This Row],[Date]]&lt;=TODAY(), MIN(Log_2019[[#This Row],[Split_raw]], TODAY()-Log_2019[[#This Row],[Date]]+1), 0)</f>
        <v>30</v>
      </c>
      <c r="M651" s="81" t="s">
        <v>28</v>
      </c>
      <c r="N651" t="s">
        <v>160</v>
      </c>
      <c r="O651" s="7">
        <v>0</v>
      </c>
      <c r="P651" s="52">
        <f ca="1">Log_2019[[#This Row],[Amount]]/Log_2019[[#This Row],[Split_raw]]*MAX(0,MIN(_xlfn.DAYS(EDATE(P$1,1),Log_2019[[#This Row],[Date]]),Log_2019[[#This Row],[Split_apply]])) - SUM($O651:O651)</f>
        <v>0</v>
      </c>
      <c r="Q651" s="52">
        <f ca="1">Log_2019[[#This Row],[Amount]]/Log_2019[[#This Row],[Split_raw]]*MAX(0,MIN(_xlfn.DAYS(EDATE(Q$1,1),Log_2019[[#This Row],[Date]]),Log_2019[[#This Row],[Split_apply]])) - SUM($O651:P651)</f>
        <v>0</v>
      </c>
      <c r="R651" s="52">
        <f ca="1">Log_2019[[#This Row],[Amount]]/Log_2019[[#This Row],[Split_raw]]*MAX(0,MIN(_xlfn.DAYS(EDATE(R$1,1),Log_2019[[#This Row],[Date]]),Log_2019[[#This Row],[Split_apply]])) - SUM($O651:Q651)</f>
        <v>-1505.7466666666667</v>
      </c>
      <c r="S651" s="52">
        <f ca="1">Log_2019[[#This Row],[Amount]]/Log_2019[[#This Row],[Split_raw]]*MAX(0,MIN(_xlfn.DAYS(EDATE(S$1,1),Log_2019[[#This Row],[Date]]),Log_2019[[#This Row],[Split_apply]])) - SUM($O651:R651)</f>
        <v>-107.55333333333328</v>
      </c>
      <c r="T651" s="52">
        <f ca="1">Log_2019[[#This Row],[Amount]]/Log_2019[[#This Row],[Split_raw]]*MAX(0,MIN(_xlfn.DAYS(EDATE(T$1,1),Log_2019[[#This Row],[Date]]),Log_2019[[#This Row],[Split_apply]])) - SUM($O651:S651)</f>
        <v>0</v>
      </c>
      <c r="U651" s="52">
        <f ca="1">Log_2019[[#This Row],[Amount]]/Log_2019[[#This Row],[Split_raw]]*MAX(0,MIN(_xlfn.DAYS(EDATE(U$1,1),Log_2019[[#This Row],[Date]]),Log_2019[[#This Row],[Split_apply]])) - SUM($O651:T651)</f>
        <v>0</v>
      </c>
      <c r="V651" s="52">
        <f ca="1">Log_2019[[#This Row],[Amount]]/Log_2019[[#This Row],[Split_raw]]*MAX(0,MIN(_xlfn.DAYS(EDATE(V$1,1),Log_2019[[#This Row],[Date]]),Log_2019[[#This Row],[Split_apply]])) - SUM($O651:U651)</f>
        <v>0</v>
      </c>
      <c r="W651" s="52">
        <f ca="1">Log_2019[[#This Row],[Amount]]/Log_2019[[#This Row],[Split_raw]]*MAX(0,MIN(_xlfn.DAYS(EDATE(W$1,1),Log_2019[[#This Row],[Date]]),Log_2019[[#This Row],[Split_apply]])) - SUM($O651:V651)</f>
        <v>0</v>
      </c>
      <c r="X651" s="52">
        <f ca="1">Log_2019[[#This Row],[Amount]]/Log_2019[[#This Row],[Split_raw]]*MAX(0,MIN(_xlfn.DAYS(EDATE(X$1,1),Log_2019[[#This Row],[Date]]),Log_2019[[#This Row],[Split_apply]])) - SUM($O651:W651)</f>
        <v>0</v>
      </c>
      <c r="Y651" s="52">
        <f ca="1">Log_2019[[#This Row],[Amount]]/Log_2019[[#This Row],[Split_raw]]*MAX(0,MIN(_xlfn.DAYS(EDATE(Y$1,1),Log_2019[[#This Row],[Date]]),Log_2019[[#This Row],[Split_apply]])) - SUM($O651:X651)</f>
        <v>0</v>
      </c>
      <c r="Z651" s="52">
        <f ca="1">Log_2019[[#This Row],[Amount]]/Log_2019[[#This Row],[Split_raw]]*MAX(0,MIN(_xlfn.DAYS(EDATE(Z$1,1),Log_2019[[#This Row],[Date]]),Log_2019[[#This Row],[Split_apply]])) - SUM($O651:Y651)</f>
        <v>0</v>
      </c>
      <c r="AA651" s="52">
        <f ca="1">Log_2019[[#This Row],[Amount]]/Log_2019[[#This Row],[Split_raw]]*MAX(0,MIN(_xlfn.DAYS(EDATE(AA$1,1),Log_2019[[#This Row],[Date]]),Log_2019[[#This Row],[Split_apply]])) - SUM($O651:Z651)</f>
        <v>0</v>
      </c>
      <c r="AB651" s="54">
        <f ca="1">Log_2019[[#This Row],[Amount]]-SUM(O651:AA651)</f>
        <v>0</v>
      </c>
      <c r="AC651" s="7">
        <f>MAX(0,Log_2019[[#This Row],[Split_raw]] - (EDATE(AA$1,1)-Log_2019[[#This Row],[Date]]))</f>
        <v>0</v>
      </c>
    </row>
    <row r="652" spans="1:29" x14ac:dyDescent="0.25">
      <c r="A652" s="42"/>
      <c r="B652" t="s">
        <v>6</v>
      </c>
      <c r="D652" s="26">
        <v>43528</v>
      </c>
      <c r="F652" t="s">
        <v>456</v>
      </c>
      <c r="G652" t="s">
        <v>27</v>
      </c>
      <c r="H652" s="3">
        <v>-16.760000000000002</v>
      </c>
      <c r="I652" s="36">
        <f>IF(Log_2019[[#This Row],[My Category]]="NONTRACKED",0,Log_2019[[#This Row],[Raw Amount]])</f>
        <v>-16.760000000000002</v>
      </c>
      <c r="J652" s="17">
        <f>ABS(Log_2019[[#This Row],[Amount]])</f>
        <v>16.760000000000002</v>
      </c>
      <c r="K652" s="5">
        <v>1</v>
      </c>
      <c r="L652" s="38">
        <f ca="1">IF(Log_2019[[#This Row],[Date]]&lt;=TODAY(), MIN(Log_2019[[#This Row],[Split_raw]], TODAY()-Log_2019[[#This Row],[Date]]+1), 0)</f>
        <v>1</v>
      </c>
      <c r="M652" t="s">
        <v>146</v>
      </c>
      <c r="N652" t="s">
        <v>160</v>
      </c>
      <c r="O652" s="7">
        <v>0</v>
      </c>
      <c r="P652" s="52">
        <f ca="1">Log_2019[[#This Row],[Amount]]/Log_2019[[#This Row],[Split_raw]]*MAX(0,MIN(_xlfn.DAYS(EDATE(P$1,1),Log_2019[[#This Row],[Date]]),Log_2019[[#This Row],[Split_apply]])) - SUM($O652:O652)</f>
        <v>0</v>
      </c>
      <c r="Q652" s="52">
        <f ca="1">Log_2019[[#This Row],[Amount]]/Log_2019[[#This Row],[Split_raw]]*MAX(0,MIN(_xlfn.DAYS(EDATE(Q$1,1),Log_2019[[#This Row],[Date]]),Log_2019[[#This Row],[Split_apply]])) - SUM($O652:P652)</f>
        <v>0</v>
      </c>
      <c r="R652" s="52">
        <f ca="1">Log_2019[[#This Row],[Amount]]/Log_2019[[#This Row],[Split_raw]]*MAX(0,MIN(_xlfn.DAYS(EDATE(R$1,1),Log_2019[[#This Row],[Date]]),Log_2019[[#This Row],[Split_apply]])) - SUM($O652:Q652)</f>
        <v>-16.760000000000002</v>
      </c>
      <c r="S652" s="52">
        <f ca="1">Log_2019[[#This Row],[Amount]]/Log_2019[[#This Row],[Split_raw]]*MAX(0,MIN(_xlfn.DAYS(EDATE(S$1,1),Log_2019[[#This Row],[Date]]),Log_2019[[#This Row],[Split_apply]])) - SUM($O652:R652)</f>
        <v>0</v>
      </c>
      <c r="T652" s="52">
        <f ca="1">Log_2019[[#This Row],[Amount]]/Log_2019[[#This Row],[Split_raw]]*MAX(0,MIN(_xlfn.DAYS(EDATE(T$1,1),Log_2019[[#This Row],[Date]]),Log_2019[[#This Row],[Split_apply]])) - SUM($O652:S652)</f>
        <v>0</v>
      </c>
      <c r="U652" s="52">
        <f ca="1">Log_2019[[#This Row],[Amount]]/Log_2019[[#This Row],[Split_raw]]*MAX(0,MIN(_xlfn.DAYS(EDATE(U$1,1),Log_2019[[#This Row],[Date]]),Log_2019[[#This Row],[Split_apply]])) - SUM($O652:T652)</f>
        <v>0</v>
      </c>
      <c r="V652" s="52">
        <f ca="1">Log_2019[[#This Row],[Amount]]/Log_2019[[#This Row],[Split_raw]]*MAX(0,MIN(_xlfn.DAYS(EDATE(V$1,1),Log_2019[[#This Row],[Date]]),Log_2019[[#This Row],[Split_apply]])) - SUM($O652:U652)</f>
        <v>0</v>
      </c>
      <c r="W652" s="52">
        <f ca="1">Log_2019[[#This Row],[Amount]]/Log_2019[[#This Row],[Split_raw]]*MAX(0,MIN(_xlfn.DAYS(EDATE(W$1,1),Log_2019[[#This Row],[Date]]),Log_2019[[#This Row],[Split_apply]])) - SUM($O652:V652)</f>
        <v>0</v>
      </c>
      <c r="X652" s="52">
        <f ca="1">Log_2019[[#This Row],[Amount]]/Log_2019[[#This Row],[Split_raw]]*MAX(0,MIN(_xlfn.DAYS(EDATE(X$1,1),Log_2019[[#This Row],[Date]]),Log_2019[[#This Row],[Split_apply]])) - SUM($O652:W652)</f>
        <v>0</v>
      </c>
      <c r="Y652" s="52">
        <f ca="1">Log_2019[[#This Row],[Amount]]/Log_2019[[#This Row],[Split_raw]]*MAX(0,MIN(_xlfn.DAYS(EDATE(Y$1,1),Log_2019[[#This Row],[Date]]),Log_2019[[#This Row],[Split_apply]])) - SUM($O652:X652)</f>
        <v>0</v>
      </c>
      <c r="Z652" s="52">
        <f ca="1">Log_2019[[#This Row],[Amount]]/Log_2019[[#This Row],[Split_raw]]*MAX(0,MIN(_xlfn.DAYS(EDATE(Z$1,1),Log_2019[[#This Row],[Date]]),Log_2019[[#This Row],[Split_apply]])) - SUM($O652:Y652)</f>
        <v>0</v>
      </c>
      <c r="AA652" s="52">
        <f ca="1">Log_2019[[#This Row],[Amount]]/Log_2019[[#This Row],[Split_raw]]*MAX(0,MIN(_xlfn.DAYS(EDATE(AA$1,1),Log_2019[[#This Row],[Date]]),Log_2019[[#This Row],[Split_apply]])) - SUM($O652:Z652)</f>
        <v>0</v>
      </c>
      <c r="AB652" s="54">
        <f ca="1">Log_2019[[#This Row],[Amount]]-SUM(O652:AA652)</f>
        <v>0</v>
      </c>
      <c r="AC652" s="7">
        <f>MAX(0,Log_2019[[#This Row],[Split_raw]] - (EDATE(AA$1,1)-Log_2019[[#This Row],[Date]]))</f>
        <v>0</v>
      </c>
    </row>
    <row r="653" spans="1:29" x14ac:dyDescent="0.25">
      <c r="A653" s="42"/>
      <c r="B653" t="s">
        <v>6</v>
      </c>
      <c r="D653" s="26">
        <v>43528</v>
      </c>
      <c r="F653" t="s">
        <v>255</v>
      </c>
      <c r="G653" t="s">
        <v>25</v>
      </c>
      <c r="H653" s="3">
        <v>-7.18</v>
      </c>
      <c r="I653" s="36">
        <f>IF(Log_2019[[#This Row],[My Category]]="NONTRACKED",0,Log_2019[[#This Row],[Raw Amount]])</f>
        <v>-7.18</v>
      </c>
      <c r="J653" s="17">
        <f>ABS(Log_2019[[#This Row],[Amount]])</f>
        <v>7.18</v>
      </c>
      <c r="K653" s="5">
        <v>1</v>
      </c>
      <c r="L653" s="38">
        <f ca="1">IF(Log_2019[[#This Row],[Date]]&lt;=TODAY(), MIN(Log_2019[[#This Row],[Split_raw]], TODAY()-Log_2019[[#This Row],[Date]]+1), 0)</f>
        <v>1</v>
      </c>
      <c r="M653" t="s">
        <v>35</v>
      </c>
      <c r="N653" t="s">
        <v>158</v>
      </c>
      <c r="O653" s="7">
        <v>0</v>
      </c>
      <c r="P653" s="52">
        <f ca="1">Log_2019[[#This Row],[Amount]]/Log_2019[[#This Row],[Split_raw]]*MAX(0,MIN(_xlfn.DAYS(EDATE(P$1,1),Log_2019[[#This Row],[Date]]),Log_2019[[#This Row],[Split_apply]])) - SUM($O653:O653)</f>
        <v>0</v>
      </c>
      <c r="Q653" s="52">
        <f ca="1">Log_2019[[#This Row],[Amount]]/Log_2019[[#This Row],[Split_raw]]*MAX(0,MIN(_xlfn.DAYS(EDATE(Q$1,1),Log_2019[[#This Row],[Date]]),Log_2019[[#This Row],[Split_apply]])) - SUM($O653:P653)</f>
        <v>0</v>
      </c>
      <c r="R653" s="52">
        <f ca="1">Log_2019[[#This Row],[Amount]]/Log_2019[[#This Row],[Split_raw]]*MAX(0,MIN(_xlfn.DAYS(EDATE(R$1,1),Log_2019[[#This Row],[Date]]),Log_2019[[#This Row],[Split_apply]])) - SUM($O653:Q653)</f>
        <v>-7.18</v>
      </c>
      <c r="S653" s="52">
        <f ca="1">Log_2019[[#This Row],[Amount]]/Log_2019[[#This Row],[Split_raw]]*MAX(0,MIN(_xlfn.DAYS(EDATE(S$1,1),Log_2019[[#This Row],[Date]]),Log_2019[[#This Row],[Split_apply]])) - SUM($O653:R653)</f>
        <v>0</v>
      </c>
      <c r="T653" s="52">
        <f ca="1">Log_2019[[#This Row],[Amount]]/Log_2019[[#This Row],[Split_raw]]*MAX(0,MIN(_xlfn.DAYS(EDATE(T$1,1),Log_2019[[#This Row],[Date]]),Log_2019[[#This Row],[Split_apply]])) - SUM($O653:S653)</f>
        <v>0</v>
      </c>
      <c r="U653" s="52">
        <f ca="1">Log_2019[[#This Row],[Amount]]/Log_2019[[#This Row],[Split_raw]]*MAX(0,MIN(_xlfn.DAYS(EDATE(U$1,1),Log_2019[[#This Row],[Date]]),Log_2019[[#This Row],[Split_apply]])) - SUM($O653:T653)</f>
        <v>0</v>
      </c>
      <c r="V653" s="52">
        <f ca="1">Log_2019[[#This Row],[Amount]]/Log_2019[[#This Row],[Split_raw]]*MAX(0,MIN(_xlfn.DAYS(EDATE(V$1,1),Log_2019[[#This Row],[Date]]),Log_2019[[#This Row],[Split_apply]])) - SUM($O653:U653)</f>
        <v>0</v>
      </c>
      <c r="W653" s="52">
        <f ca="1">Log_2019[[#This Row],[Amount]]/Log_2019[[#This Row],[Split_raw]]*MAX(0,MIN(_xlfn.DAYS(EDATE(W$1,1),Log_2019[[#This Row],[Date]]),Log_2019[[#This Row],[Split_apply]])) - SUM($O653:V653)</f>
        <v>0</v>
      </c>
      <c r="X653" s="52">
        <f ca="1">Log_2019[[#This Row],[Amount]]/Log_2019[[#This Row],[Split_raw]]*MAX(0,MIN(_xlfn.DAYS(EDATE(X$1,1),Log_2019[[#This Row],[Date]]),Log_2019[[#This Row],[Split_apply]])) - SUM($O653:W653)</f>
        <v>0</v>
      </c>
      <c r="Y653" s="52">
        <f ca="1">Log_2019[[#This Row],[Amount]]/Log_2019[[#This Row],[Split_raw]]*MAX(0,MIN(_xlfn.DAYS(EDATE(Y$1,1),Log_2019[[#This Row],[Date]]),Log_2019[[#This Row],[Split_apply]])) - SUM($O653:X653)</f>
        <v>0</v>
      </c>
      <c r="Z653" s="52">
        <f ca="1">Log_2019[[#This Row],[Amount]]/Log_2019[[#This Row],[Split_raw]]*MAX(0,MIN(_xlfn.DAYS(EDATE(Z$1,1),Log_2019[[#This Row],[Date]]),Log_2019[[#This Row],[Split_apply]])) - SUM($O653:Y653)</f>
        <v>0</v>
      </c>
      <c r="AA653" s="52">
        <f ca="1">Log_2019[[#This Row],[Amount]]/Log_2019[[#This Row],[Split_raw]]*MAX(0,MIN(_xlfn.DAYS(EDATE(AA$1,1),Log_2019[[#This Row],[Date]]),Log_2019[[#This Row],[Split_apply]])) - SUM($O653:Z653)</f>
        <v>0</v>
      </c>
      <c r="AB653" s="54">
        <f ca="1">Log_2019[[#This Row],[Amount]]-SUM(O653:AA653)</f>
        <v>0</v>
      </c>
      <c r="AC653" s="7">
        <f>MAX(0,Log_2019[[#This Row],[Split_raw]] - (EDATE(AA$1,1)-Log_2019[[#This Row],[Date]]))</f>
        <v>0</v>
      </c>
    </row>
    <row r="654" spans="1:29" x14ac:dyDescent="0.25">
      <c r="A654" s="42"/>
      <c r="B654" t="s">
        <v>6</v>
      </c>
      <c r="D654" s="26">
        <v>43528</v>
      </c>
      <c r="F654" t="s">
        <v>456</v>
      </c>
      <c r="G654" t="s">
        <v>27</v>
      </c>
      <c r="H654" s="3">
        <v>-11.67</v>
      </c>
      <c r="I654" s="36">
        <f>IF(Log_2019[[#This Row],[My Category]]="NONTRACKED",0,Log_2019[[#This Row],[Raw Amount]])</f>
        <v>-11.67</v>
      </c>
      <c r="J654" s="17">
        <f>ABS(Log_2019[[#This Row],[Amount]])</f>
        <v>11.67</v>
      </c>
      <c r="K654" s="5">
        <v>1</v>
      </c>
      <c r="L654" s="38">
        <f ca="1">IF(Log_2019[[#This Row],[Date]]&lt;=TODAY(), MIN(Log_2019[[#This Row],[Split_raw]], TODAY()-Log_2019[[#This Row],[Date]]+1), 0)</f>
        <v>1</v>
      </c>
      <c r="M654" t="s">
        <v>146</v>
      </c>
      <c r="N654" t="s">
        <v>160</v>
      </c>
      <c r="O654" s="7">
        <v>0</v>
      </c>
      <c r="P654" s="52">
        <f ca="1">Log_2019[[#This Row],[Amount]]/Log_2019[[#This Row],[Split_raw]]*MAX(0,MIN(_xlfn.DAYS(EDATE(P$1,1),Log_2019[[#This Row],[Date]]),Log_2019[[#This Row],[Split_apply]])) - SUM($O654:O654)</f>
        <v>0</v>
      </c>
      <c r="Q654" s="52">
        <f ca="1">Log_2019[[#This Row],[Amount]]/Log_2019[[#This Row],[Split_raw]]*MAX(0,MIN(_xlfn.DAYS(EDATE(Q$1,1),Log_2019[[#This Row],[Date]]),Log_2019[[#This Row],[Split_apply]])) - SUM($O654:P654)</f>
        <v>0</v>
      </c>
      <c r="R654" s="52">
        <f ca="1">Log_2019[[#This Row],[Amount]]/Log_2019[[#This Row],[Split_raw]]*MAX(0,MIN(_xlfn.DAYS(EDATE(R$1,1),Log_2019[[#This Row],[Date]]),Log_2019[[#This Row],[Split_apply]])) - SUM($O654:Q654)</f>
        <v>-11.67</v>
      </c>
      <c r="S654" s="52">
        <f ca="1">Log_2019[[#This Row],[Amount]]/Log_2019[[#This Row],[Split_raw]]*MAX(0,MIN(_xlfn.DAYS(EDATE(S$1,1),Log_2019[[#This Row],[Date]]),Log_2019[[#This Row],[Split_apply]])) - SUM($O654:R654)</f>
        <v>0</v>
      </c>
      <c r="T654" s="52">
        <f ca="1">Log_2019[[#This Row],[Amount]]/Log_2019[[#This Row],[Split_raw]]*MAX(0,MIN(_xlfn.DAYS(EDATE(T$1,1),Log_2019[[#This Row],[Date]]),Log_2019[[#This Row],[Split_apply]])) - SUM($O654:S654)</f>
        <v>0</v>
      </c>
      <c r="U654" s="52">
        <f ca="1">Log_2019[[#This Row],[Amount]]/Log_2019[[#This Row],[Split_raw]]*MAX(0,MIN(_xlfn.DAYS(EDATE(U$1,1),Log_2019[[#This Row],[Date]]),Log_2019[[#This Row],[Split_apply]])) - SUM($O654:T654)</f>
        <v>0</v>
      </c>
      <c r="V654" s="52">
        <f ca="1">Log_2019[[#This Row],[Amount]]/Log_2019[[#This Row],[Split_raw]]*MAX(0,MIN(_xlfn.DAYS(EDATE(V$1,1),Log_2019[[#This Row],[Date]]),Log_2019[[#This Row],[Split_apply]])) - SUM($O654:U654)</f>
        <v>0</v>
      </c>
      <c r="W654" s="52">
        <f ca="1">Log_2019[[#This Row],[Amount]]/Log_2019[[#This Row],[Split_raw]]*MAX(0,MIN(_xlfn.DAYS(EDATE(W$1,1),Log_2019[[#This Row],[Date]]),Log_2019[[#This Row],[Split_apply]])) - SUM($O654:V654)</f>
        <v>0</v>
      </c>
      <c r="X654" s="52">
        <f ca="1">Log_2019[[#This Row],[Amount]]/Log_2019[[#This Row],[Split_raw]]*MAX(0,MIN(_xlfn.DAYS(EDATE(X$1,1),Log_2019[[#This Row],[Date]]),Log_2019[[#This Row],[Split_apply]])) - SUM($O654:W654)</f>
        <v>0</v>
      </c>
      <c r="Y654" s="52">
        <f ca="1">Log_2019[[#This Row],[Amount]]/Log_2019[[#This Row],[Split_raw]]*MAX(0,MIN(_xlfn.DAYS(EDATE(Y$1,1),Log_2019[[#This Row],[Date]]),Log_2019[[#This Row],[Split_apply]])) - SUM($O654:X654)</f>
        <v>0</v>
      </c>
      <c r="Z654" s="52">
        <f ca="1">Log_2019[[#This Row],[Amount]]/Log_2019[[#This Row],[Split_raw]]*MAX(0,MIN(_xlfn.DAYS(EDATE(Z$1,1),Log_2019[[#This Row],[Date]]),Log_2019[[#This Row],[Split_apply]])) - SUM($O654:Y654)</f>
        <v>0</v>
      </c>
      <c r="AA654" s="52">
        <f ca="1">Log_2019[[#This Row],[Amount]]/Log_2019[[#This Row],[Split_raw]]*MAX(0,MIN(_xlfn.DAYS(EDATE(AA$1,1),Log_2019[[#This Row],[Date]]),Log_2019[[#This Row],[Split_apply]])) - SUM($O654:Z654)</f>
        <v>0</v>
      </c>
      <c r="AB654" s="54">
        <f ca="1">Log_2019[[#This Row],[Amount]]-SUM(O654:AA654)</f>
        <v>0</v>
      </c>
      <c r="AC654" s="7">
        <f>MAX(0,Log_2019[[#This Row],[Split_raw]] - (EDATE(AA$1,1)-Log_2019[[#This Row],[Date]]))</f>
        <v>0</v>
      </c>
    </row>
    <row r="655" spans="1:29" x14ac:dyDescent="0.25">
      <c r="A655" s="42"/>
      <c r="B655" t="s">
        <v>6</v>
      </c>
      <c r="D655" s="26">
        <v>43525</v>
      </c>
      <c r="E655" t="s">
        <v>960</v>
      </c>
      <c r="F655" t="s">
        <v>533</v>
      </c>
      <c r="G655" t="s">
        <v>176</v>
      </c>
      <c r="H655" s="3">
        <v>-320</v>
      </c>
      <c r="I655" s="36">
        <f>IF(Log_2019[[#This Row],[My Category]]="NONTRACKED",0,Log_2019[[#This Row],[Raw Amount]])</f>
        <v>-320</v>
      </c>
      <c r="J655" s="17">
        <f>ABS(Log_2019[[#This Row],[Amount]])</f>
        <v>320</v>
      </c>
      <c r="K655" s="5">
        <v>31</v>
      </c>
      <c r="L655" s="38">
        <f ca="1">IF(Log_2019[[#This Row],[Date]]&lt;=TODAY(), MIN(Log_2019[[#This Row],[Split_raw]], TODAY()-Log_2019[[#This Row],[Date]]+1), 0)</f>
        <v>31</v>
      </c>
      <c r="M655" t="s">
        <v>93</v>
      </c>
      <c r="N655" t="s">
        <v>160</v>
      </c>
      <c r="O655" s="7">
        <v>0</v>
      </c>
      <c r="P655" s="52">
        <f ca="1">Log_2019[[#This Row],[Amount]]/Log_2019[[#This Row],[Split_raw]]*MAX(0,MIN(_xlfn.DAYS(EDATE(P$1,1),Log_2019[[#This Row],[Date]]),Log_2019[[#This Row],[Split_apply]])) - SUM($O655:O655)</f>
        <v>0</v>
      </c>
      <c r="Q655" s="52">
        <f ca="1">Log_2019[[#This Row],[Amount]]/Log_2019[[#This Row],[Split_raw]]*MAX(0,MIN(_xlfn.DAYS(EDATE(Q$1,1),Log_2019[[#This Row],[Date]]),Log_2019[[#This Row],[Split_apply]])) - SUM($O655:P655)</f>
        <v>0</v>
      </c>
      <c r="R655" s="52">
        <f ca="1">Log_2019[[#This Row],[Amount]]/Log_2019[[#This Row],[Split_raw]]*MAX(0,MIN(_xlfn.DAYS(EDATE(R$1,1),Log_2019[[#This Row],[Date]]),Log_2019[[#This Row],[Split_apply]])) - SUM($O655:Q655)</f>
        <v>-320</v>
      </c>
      <c r="S655" s="52">
        <f ca="1">Log_2019[[#This Row],[Amount]]/Log_2019[[#This Row],[Split_raw]]*MAX(0,MIN(_xlfn.DAYS(EDATE(S$1,1),Log_2019[[#This Row],[Date]]),Log_2019[[#This Row],[Split_apply]])) - SUM($O655:R655)</f>
        <v>0</v>
      </c>
      <c r="T655" s="52">
        <f ca="1">Log_2019[[#This Row],[Amount]]/Log_2019[[#This Row],[Split_raw]]*MAX(0,MIN(_xlfn.DAYS(EDATE(T$1,1),Log_2019[[#This Row],[Date]]),Log_2019[[#This Row],[Split_apply]])) - SUM($O655:S655)</f>
        <v>0</v>
      </c>
      <c r="U655" s="52">
        <f ca="1">Log_2019[[#This Row],[Amount]]/Log_2019[[#This Row],[Split_raw]]*MAX(0,MIN(_xlfn.DAYS(EDATE(U$1,1),Log_2019[[#This Row],[Date]]),Log_2019[[#This Row],[Split_apply]])) - SUM($O655:T655)</f>
        <v>0</v>
      </c>
      <c r="V655" s="52">
        <f ca="1">Log_2019[[#This Row],[Amount]]/Log_2019[[#This Row],[Split_raw]]*MAX(0,MIN(_xlfn.DAYS(EDATE(V$1,1),Log_2019[[#This Row],[Date]]),Log_2019[[#This Row],[Split_apply]])) - SUM($O655:U655)</f>
        <v>0</v>
      </c>
      <c r="W655" s="52">
        <f ca="1">Log_2019[[#This Row],[Amount]]/Log_2019[[#This Row],[Split_raw]]*MAX(0,MIN(_xlfn.DAYS(EDATE(W$1,1),Log_2019[[#This Row],[Date]]),Log_2019[[#This Row],[Split_apply]])) - SUM($O655:V655)</f>
        <v>0</v>
      </c>
      <c r="X655" s="52">
        <f ca="1">Log_2019[[#This Row],[Amount]]/Log_2019[[#This Row],[Split_raw]]*MAX(0,MIN(_xlfn.DAYS(EDATE(X$1,1),Log_2019[[#This Row],[Date]]),Log_2019[[#This Row],[Split_apply]])) - SUM($O655:W655)</f>
        <v>0</v>
      </c>
      <c r="Y655" s="52">
        <f ca="1">Log_2019[[#This Row],[Amount]]/Log_2019[[#This Row],[Split_raw]]*MAX(0,MIN(_xlfn.DAYS(EDATE(Y$1,1),Log_2019[[#This Row],[Date]]),Log_2019[[#This Row],[Split_apply]])) - SUM($O655:X655)</f>
        <v>0</v>
      </c>
      <c r="Z655" s="52">
        <f ca="1">Log_2019[[#This Row],[Amount]]/Log_2019[[#This Row],[Split_raw]]*MAX(0,MIN(_xlfn.DAYS(EDATE(Z$1,1),Log_2019[[#This Row],[Date]]),Log_2019[[#This Row],[Split_apply]])) - SUM($O655:Y655)</f>
        <v>0</v>
      </c>
      <c r="AA655" s="52">
        <f ca="1">Log_2019[[#This Row],[Amount]]/Log_2019[[#This Row],[Split_raw]]*MAX(0,MIN(_xlfn.DAYS(EDATE(AA$1,1),Log_2019[[#This Row],[Date]]),Log_2019[[#This Row],[Split_apply]])) - SUM($O655:Z655)</f>
        <v>0</v>
      </c>
      <c r="AB655" s="54">
        <f ca="1">Log_2019[[#This Row],[Amount]]-SUM(O655:AA655)</f>
        <v>0</v>
      </c>
      <c r="AC655" s="7">
        <f>MAX(0,Log_2019[[#This Row],[Split_raw]] - (EDATE(AA$1,1)-Log_2019[[#This Row],[Date]]))</f>
        <v>0</v>
      </c>
    </row>
    <row r="656" spans="1:29" x14ac:dyDescent="0.25">
      <c r="A656" s="42"/>
      <c r="B656" t="s">
        <v>6</v>
      </c>
      <c r="D656" s="26">
        <v>43525</v>
      </c>
      <c r="F656" t="s">
        <v>534</v>
      </c>
      <c r="G656" t="s">
        <v>13</v>
      </c>
      <c r="H656" s="3">
        <v>-25</v>
      </c>
      <c r="I656" s="36">
        <f>IF(Log_2019[[#This Row],[My Category]]="NONTRACKED",0,Log_2019[[#This Row],[Raw Amount]])</f>
        <v>-25</v>
      </c>
      <c r="J656" s="17">
        <f>ABS(Log_2019[[#This Row],[Amount]])</f>
        <v>25</v>
      </c>
      <c r="K656" s="5">
        <v>1</v>
      </c>
      <c r="L656" s="38">
        <f ca="1">IF(Log_2019[[#This Row],[Date]]&lt;=TODAY(), MIN(Log_2019[[#This Row],[Split_raw]], TODAY()-Log_2019[[#This Row],[Date]]+1), 0)</f>
        <v>1</v>
      </c>
      <c r="M656" t="s">
        <v>146</v>
      </c>
      <c r="N656" t="s">
        <v>158</v>
      </c>
      <c r="O656" s="7">
        <v>0</v>
      </c>
      <c r="P656" s="52">
        <f ca="1">Log_2019[[#This Row],[Amount]]/Log_2019[[#This Row],[Split_raw]]*MAX(0,MIN(_xlfn.DAYS(EDATE(P$1,1),Log_2019[[#This Row],[Date]]),Log_2019[[#This Row],[Split_apply]])) - SUM($O656:O656)</f>
        <v>0</v>
      </c>
      <c r="Q656" s="52">
        <f ca="1">Log_2019[[#This Row],[Amount]]/Log_2019[[#This Row],[Split_raw]]*MAX(0,MIN(_xlfn.DAYS(EDATE(Q$1,1),Log_2019[[#This Row],[Date]]),Log_2019[[#This Row],[Split_apply]])) - SUM($O656:P656)</f>
        <v>0</v>
      </c>
      <c r="R656" s="52">
        <f ca="1">Log_2019[[#This Row],[Amount]]/Log_2019[[#This Row],[Split_raw]]*MAX(0,MIN(_xlfn.DAYS(EDATE(R$1,1),Log_2019[[#This Row],[Date]]),Log_2019[[#This Row],[Split_apply]])) - SUM($O656:Q656)</f>
        <v>-25</v>
      </c>
      <c r="S656" s="52">
        <f ca="1">Log_2019[[#This Row],[Amount]]/Log_2019[[#This Row],[Split_raw]]*MAX(0,MIN(_xlfn.DAYS(EDATE(S$1,1),Log_2019[[#This Row],[Date]]),Log_2019[[#This Row],[Split_apply]])) - SUM($O656:R656)</f>
        <v>0</v>
      </c>
      <c r="T656" s="52">
        <f ca="1">Log_2019[[#This Row],[Amount]]/Log_2019[[#This Row],[Split_raw]]*MAX(0,MIN(_xlfn.DAYS(EDATE(T$1,1),Log_2019[[#This Row],[Date]]),Log_2019[[#This Row],[Split_apply]])) - SUM($O656:S656)</f>
        <v>0</v>
      </c>
      <c r="U656" s="52">
        <f ca="1">Log_2019[[#This Row],[Amount]]/Log_2019[[#This Row],[Split_raw]]*MAX(0,MIN(_xlfn.DAYS(EDATE(U$1,1),Log_2019[[#This Row],[Date]]),Log_2019[[#This Row],[Split_apply]])) - SUM($O656:T656)</f>
        <v>0</v>
      </c>
      <c r="V656" s="52">
        <f ca="1">Log_2019[[#This Row],[Amount]]/Log_2019[[#This Row],[Split_raw]]*MAX(0,MIN(_xlfn.DAYS(EDATE(V$1,1),Log_2019[[#This Row],[Date]]),Log_2019[[#This Row],[Split_apply]])) - SUM($O656:U656)</f>
        <v>0</v>
      </c>
      <c r="W656" s="52">
        <f ca="1">Log_2019[[#This Row],[Amount]]/Log_2019[[#This Row],[Split_raw]]*MAX(0,MIN(_xlfn.DAYS(EDATE(W$1,1),Log_2019[[#This Row],[Date]]),Log_2019[[#This Row],[Split_apply]])) - SUM($O656:V656)</f>
        <v>0</v>
      </c>
      <c r="X656" s="52">
        <f ca="1">Log_2019[[#This Row],[Amount]]/Log_2019[[#This Row],[Split_raw]]*MAX(0,MIN(_xlfn.DAYS(EDATE(X$1,1),Log_2019[[#This Row],[Date]]),Log_2019[[#This Row],[Split_apply]])) - SUM($O656:W656)</f>
        <v>0</v>
      </c>
      <c r="Y656" s="52">
        <f ca="1">Log_2019[[#This Row],[Amount]]/Log_2019[[#This Row],[Split_raw]]*MAX(0,MIN(_xlfn.DAYS(EDATE(Y$1,1),Log_2019[[#This Row],[Date]]),Log_2019[[#This Row],[Split_apply]])) - SUM($O656:X656)</f>
        <v>0</v>
      </c>
      <c r="Z656" s="52">
        <f ca="1">Log_2019[[#This Row],[Amount]]/Log_2019[[#This Row],[Split_raw]]*MAX(0,MIN(_xlfn.DAYS(EDATE(Z$1,1),Log_2019[[#This Row],[Date]]),Log_2019[[#This Row],[Split_apply]])) - SUM($O656:Y656)</f>
        <v>0</v>
      </c>
      <c r="AA656" s="52">
        <f ca="1">Log_2019[[#This Row],[Amount]]/Log_2019[[#This Row],[Split_raw]]*MAX(0,MIN(_xlfn.DAYS(EDATE(AA$1,1),Log_2019[[#This Row],[Date]]),Log_2019[[#This Row],[Split_apply]])) - SUM($O656:Z656)</f>
        <v>0</v>
      </c>
      <c r="AB656" s="54">
        <f ca="1">Log_2019[[#This Row],[Amount]]-SUM(O656:AA656)</f>
        <v>0</v>
      </c>
      <c r="AC656" s="7">
        <f>MAX(0,Log_2019[[#This Row],[Split_raw]] - (EDATE(AA$1,1)-Log_2019[[#This Row],[Date]]))</f>
        <v>0</v>
      </c>
    </row>
    <row r="657" spans="1:29" x14ac:dyDescent="0.25">
      <c r="A657" s="42"/>
      <c r="B657" t="s">
        <v>6</v>
      </c>
      <c r="D657" s="26">
        <v>43525</v>
      </c>
      <c r="F657" t="s">
        <v>535</v>
      </c>
      <c r="G657" t="s">
        <v>13</v>
      </c>
      <c r="H657" s="3">
        <v>-36.979999999999997</v>
      </c>
      <c r="I657" s="36">
        <f>IF(Log_2019[[#This Row],[My Category]]="NONTRACKED",0,Log_2019[[#This Row],[Raw Amount]])</f>
        <v>-36.979999999999997</v>
      </c>
      <c r="J657" s="17">
        <f>ABS(Log_2019[[#This Row],[Amount]])</f>
        <v>36.979999999999997</v>
      </c>
      <c r="K657" s="5">
        <v>1</v>
      </c>
      <c r="L657" s="38">
        <f ca="1">IF(Log_2019[[#This Row],[Date]]&lt;=TODAY(), MIN(Log_2019[[#This Row],[Split_raw]], TODAY()-Log_2019[[#This Row],[Date]]+1), 0)</f>
        <v>1</v>
      </c>
      <c r="M657" t="s">
        <v>146</v>
      </c>
      <c r="N657" t="s">
        <v>158</v>
      </c>
      <c r="O657" s="7">
        <v>0</v>
      </c>
      <c r="P657" s="52">
        <f ca="1">Log_2019[[#This Row],[Amount]]/Log_2019[[#This Row],[Split_raw]]*MAX(0,MIN(_xlfn.DAYS(EDATE(P$1,1),Log_2019[[#This Row],[Date]]),Log_2019[[#This Row],[Split_apply]])) - SUM($O657:O657)</f>
        <v>0</v>
      </c>
      <c r="Q657" s="52">
        <f ca="1">Log_2019[[#This Row],[Amount]]/Log_2019[[#This Row],[Split_raw]]*MAX(0,MIN(_xlfn.DAYS(EDATE(Q$1,1),Log_2019[[#This Row],[Date]]),Log_2019[[#This Row],[Split_apply]])) - SUM($O657:P657)</f>
        <v>0</v>
      </c>
      <c r="R657" s="52">
        <f ca="1">Log_2019[[#This Row],[Amount]]/Log_2019[[#This Row],[Split_raw]]*MAX(0,MIN(_xlfn.DAYS(EDATE(R$1,1),Log_2019[[#This Row],[Date]]),Log_2019[[#This Row],[Split_apply]])) - SUM($O657:Q657)</f>
        <v>-36.979999999999997</v>
      </c>
      <c r="S657" s="52">
        <f ca="1">Log_2019[[#This Row],[Amount]]/Log_2019[[#This Row],[Split_raw]]*MAX(0,MIN(_xlfn.DAYS(EDATE(S$1,1),Log_2019[[#This Row],[Date]]),Log_2019[[#This Row],[Split_apply]])) - SUM($O657:R657)</f>
        <v>0</v>
      </c>
      <c r="T657" s="52">
        <f ca="1">Log_2019[[#This Row],[Amount]]/Log_2019[[#This Row],[Split_raw]]*MAX(0,MIN(_xlfn.DAYS(EDATE(T$1,1),Log_2019[[#This Row],[Date]]),Log_2019[[#This Row],[Split_apply]])) - SUM($O657:S657)</f>
        <v>0</v>
      </c>
      <c r="U657" s="52">
        <f ca="1">Log_2019[[#This Row],[Amount]]/Log_2019[[#This Row],[Split_raw]]*MAX(0,MIN(_xlfn.DAYS(EDATE(U$1,1),Log_2019[[#This Row],[Date]]),Log_2019[[#This Row],[Split_apply]])) - SUM($O657:T657)</f>
        <v>0</v>
      </c>
      <c r="V657" s="52">
        <f ca="1">Log_2019[[#This Row],[Amount]]/Log_2019[[#This Row],[Split_raw]]*MAX(0,MIN(_xlfn.DAYS(EDATE(V$1,1),Log_2019[[#This Row],[Date]]),Log_2019[[#This Row],[Split_apply]])) - SUM($O657:U657)</f>
        <v>0</v>
      </c>
      <c r="W657" s="52">
        <f ca="1">Log_2019[[#This Row],[Amount]]/Log_2019[[#This Row],[Split_raw]]*MAX(0,MIN(_xlfn.DAYS(EDATE(W$1,1),Log_2019[[#This Row],[Date]]),Log_2019[[#This Row],[Split_apply]])) - SUM($O657:V657)</f>
        <v>0</v>
      </c>
      <c r="X657" s="52">
        <f ca="1">Log_2019[[#This Row],[Amount]]/Log_2019[[#This Row],[Split_raw]]*MAX(0,MIN(_xlfn.DAYS(EDATE(X$1,1),Log_2019[[#This Row],[Date]]),Log_2019[[#This Row],[Split_apply]])) - SUM($O657:W657)</f>
        <v>0</v>
      </c>
      <c r="Y657" s="52">
        <f ca="1">Log_2019[[#This Row],[Amount]]/Log_2019[[#This Row],[Split_raw]]*MAX(0,MIN(_xlfn.DAYS(EDATE(Y$1,1),Log_2019[[#This Row],[Date]]),Log_2019[[#This Row],[Split_apply]])) - SUM($O657:X657)</f>
        <v>0</v>
      </c>
      <c r="Z657" s="52">
        <f ca="1">Log_2019[[#This Row],[Amount]]/Log_2019[[#This Row],[Split_raw]]*MAX(0,MIN(_xlfn.DAYS(EDATE(Z$1,1),Log_2019[[#This Row],[Date]]),Log_2019[[#This Row],[Split_apply]])) - SUM($O657:Y657)</f>
        <v>0</v>
      </c>
      <c r="AA657" s="52">
        <f ca="1">Log_2019[[#This Row],[Amount]]/Log_2019[[#This Row],[Split_raw]]*MAX(0,MIN(_xlfn.DAYS(EDATE(AA$1,1),Log_2019[[#This Row],[Date]]),Log_2019[[#This Row],[Split_apply]])) - SUM($O657:Z657)</f>
        <v>0</v>
      </c>
      <c r="AB657" s="54">
        <f ca="1">Log_2019[[#This Row],[Amount]]-SUM(O657:AA657)</f>
        <v>0</v>
      </c>
      <c r="AC657" s="7">
        <f>MAX(0,Log_2019[[#This Row],[Split_raw]] - (EDATE(AA$1,1)-Log_2019[[#This Row],[Date]]))</f>
        <v>0</v>
      </c>
    </row>
    <row r="658" spans="1:29" x14ac:dyDescent="0.25">
      <c r="A658" s="42"/>
      <c r="B658" t="s">
        <v>6</v>
      </c>
      <c r="D658" s="26">
        <v>43525</v>
      </c>
      <c r="F658" t="s">
        <v>184</v>
      </c>
      <c r="G658" t="s">
        <v>11</v>
      </c>
      <c r="H658" s="3">
        <v>-3.81</v>
      </c>
      <c r="I658" s="36">
        <f>IF(Log_2019[[#This Row],[My Category]]="NONTRACKED",0,Log_2019[[#This Row],[Raw Amount]])</f>
        <v>-3.81</v>
      </c>
      <c r="J658" s="17">
        <f>ABS(Log_2019[[#This Row],[Amount]])</f>
        <v>3.81</v>
      </c>
      <c r="K658" s="5">
        <v>1</v>
      </c>
      <c r="L658" s="38">
        <f ca="1">IF(Log_2019[[#This Row],[Date]]&lt;=TODAY(), MIN(Log_2019[[#This Row],[Split_raw]], TODAY()-Log_2019[[#This Row],[Date]]+1), 0)</f>
        <v>1</v>
      </c>
      <c r="M658" t="s">
        <v>12</v>
      </c>
      <c r="N658" t="s">
        <v>158</v>
      </c>
      <c r="O658" s="7">
        <v>0</v>
      </c>
      <c r="P658" s="52">
        <f ca="1">Log_2019[[#This Row],[Amount]]/Log_2019[[#This Row],[Split_raw]]*MAX(0,MIN(_xlfn.DAYS(EDATE(P$1,1),Log_2019[[#This Row],[Date]]),Log_2019[[#This Row],[Split_apply]])) - SUM($O658:O658)</f>
        <v>0</v>
      </c>
      <c r="Q658" s="52">
        <f ca="1">Log_2019[[#This Row],[Amount]]/Log_2019[[#This Row],[Split_raw]]*MAX(0,MIN(_xlfn.DAYS(EDATE(Q$1,1),Log_2019[[#This Row],[Date]]),Log_2019[[#This Row],[Split_apply]])) - SUM($O658:P658)</f>
        <v>0</v>
      </c>
      <c r="R658" s="52">
        <f ca="1">Log_2019[[#This Row],[Amount]]/Log_2019[[#This Row],[Split_raw]]*MAX(0,MIN(_xlfn.DAYS(EDATE(R$1,1),Log_2019[[#This Row],[Date]]),Log_2019[[#This Row],[Split_apply]])) - SUM($O658:Q658)</f>
        <v>-3.81</v>
      </c>
      <c r="S658" s="52">
        <f ca="1">Log_2019[[#This Row],[Amount]]/Log_2019[[#This Row],[Split_raw]]*MAX(0,MIN(_xlfn.DAYS(EDATE(S$1,1),Log_2019[[#This Row],[Date]]),Log_2019[[#This Row],[Split_apply]])) - SUM($O658:R658)</f>
        <v>0</v>
      </c>
      <c r="T658" s="52">
        <f ca="1">Log_2019[[#This Row],[Amount]]/Log_2019[[#This Row],[Split_raw]]*MAX(0,MIN(_xlfn.DAYS(EDATE(T$1,1),Log_2019[[#This Row],[Date]]),Log_2019[[#This Row],[Split_apply]])) - SUM($O658:S658)</f>
        <v>0</v>
      </c>
      <c r="U658" s="52">
        <f ca="1">Log_2019[[#This Row],[Amount]]/Log_2019[[#This Row],[Split_raw]]*MAX(0,MIN(_xlfn.DAYS(EDATE(U$1,1),Log_2019[[#This Row],[Date]]),Log_2019[[#This Row],[Split_apply]])) - SUM($O658:T658)</f>
        <v>0</v>
      </c>
      <c r="V658" s="52">
        <f ca="1">Log_2019[[#This Row],[Amount]]/Log_2019[[#This Row],[Split_raw]]*MAX(0,MIN(_xlfn.DAYS(EDATE(V$1,1),Log_2019[[#This Row],[Date]]),Log_2019[[#This Row],[Split_apply]])) - SUM($O658:U658)</f>
        <v>0</v>
      </c>
      <c r="W658" s="52">
        <f ca="1">Log_2019[[#This Row],[Amount]]/Log_2019[[#This Row],[Split_raw]]*MAX(0,MIN(_xlfn.DAYS(EDATE(W$1,1),Log_2019[[#This Row],[Date]]),Log_2019[[#This Row],[Split_apply]])) - SUM($O658:V658)</f>
        <v>0</v>
      </c>
      <c r="X658" s="52">
        <f ca="1">Log_2019[[#This Row],[Amount]]/Log_2019[[#This Row],[Split_raw]]*MAX(0,MIN(_xlfn.DAYS(EDATE(X$1,1),Log_2019[[#This Row],[Date]]),Log_2019[[#This Row],[Split_apply]])) - SUM($O658:W658)</f>
        <v>0</v>
      </c>
      <c r="Y658" s="52">
        <f ca="1">Log_2019[[#This Row],[Amount]]/Log_2019[[#This Row],[Split_raw]]*MAX(0,MIN(_xlfn.DAYS(EDATE(Y$1,1),Log_2019[[#This Row],[Date]]),Log_2019[[#This Row],[Split_apply]])) - SUM($O658:X658)</f>
        <v>0</v>
      </c>
      <c r="Z658" s="52">
        <f ca="1">Log_2019[[#This Row],[Amount]]/Log_2019[[#This Row],[Split_raw]]*MAX(0,MIN(_xlfn.DAYS(EDATE(Z$1,1),Log_2019[[#This Row],[Date]]),Log_2019[[#This Row],[Split_apply]])) - SUM($O658:Y658)</f>
        <v>0</v>
      </c>
      <c r="AA658" s="52">
        <f ca="1">Log_2019[[#This Row],[Amount]]/Log_2019[[#This Row],[Split_raw]]*MAX(0,MIN(_xlfn.DAYS(EDATE(AA$1,1),Log_2019[[#This Row],[Date]]),Log_2019[[#This Row],[Split_apply]])) - SUM($O658:Z658)</f>
        <v>0</v>
      </c>
      <c r="AB658" s="54">
        <f ca="1">Log_2019[[#This Row],[Amount]]-SUM(O658:AA658)</f>
        <v>0</v>
      </c>
      <c r="AC658" s="7">
        <f>MAX(0,Log_2019[[#This Row],[Split_raw]] - (EDATE(AA$1,1)-Log_2019[[#This Row],[Date]]))</f>
        <v>0</v>
      </c>
    </row>
    <row r="659" spans="1:29" x14ac:dyDescent="0.25">
      <c r="A659" s="42"/>
      <c r="B659" t="s">
        <v>6</v>
      </c>
      <c r="D659" s="26">
        <v>43524</v>
      </c>
      <c r="E659" t="s">
        <v>251</v>
      </c>
      <c r="F659" t="s">
        <v>246</v>
      </c>
      <c r="G659" t="s">
        <v>143</v>
      </c>
      <c r="H659" s="3">
        <v>-8.65</v>
      </c>
      <c r="I659" s="36">
        <f>IF(Log_2019[[#This Row],[My Category]]="NONTRACKED",0,Log_2019[[#This Row],[Raw Amount]])</f>
        <v>-8.65</v>
      </c>
      <c r="J659" s="17">
        <f>ABS(Log_2019[[#This Row],[Amount]])</f>
        <v>8.65</v>
      </c>
      <c r="K659" s="5">
        <v>30</v>
      </c>
      <c r="L659" s="38">
        <f ca="1">IF(Log_2019[[#This Row],[Date]]&lt;=TODAY(), MIN(Log_2019[[#This Row],[Split_raw]], TODAY()-Log_2019[[#This Row],[Date]]+1), 0)</f>
        <v>30</v>
      </c>
      <c r="M659" t="s">
        <v>53</v>
      </c>
      <c r="N659" t="s">
        <v>160</v>
      </c>
      <c r="O659" s="7">
        <v>0</v>
      </c>
      <c r="P659" s="52">
        <f ca="1">Log_2019[[#This Row],[Amount]]/Log_2019[[#This Row],[Split_raw]]*MAX(0,MIN(_xlfn.DAYS(EDATE(P$1,1),Log_2019[[#This Row],[Date]]),Log_2019[[#This Row],[Split_apply]])) - SUM($O659:O659)</f>
        <v>0</v>
      </c>
      <c r="Q659" s="52">
        <f ca="1">Log_2019[[#This Row],[Amount]]/Log_2019[[#This Row],[Split_raw]]*MAX(0,MIN(_xlfn.DAYS(EDATE(Q$1,1),Log_2019[[#This Row],[Date]]),Log_2019[[#This Row],[Split_apply]])) - SUM($O659:P659)</f>
        <v>-0.28833333333333333</v>
      </c>
      <c r="R659" s="52">
        <f ca="1">Log_2019[[#This Row],[Amount]]/Log_2019[[#This Row],[Split_raw]]*MAX(0,MIN(_xlfn.DAYS(EDATE(R$1,1),Log_2019[[#This Row],[Date]]),Log_2019[[#This Row],[Split_apply]])) - SUM($O659:Q659)</f>
        <v>-8.3616666666666664</v>
      </c>
      <c r="S659" s="52">
        <f ca="1">Log_2019[[#This Row],[Amount]]/Log_2019[[#This Row],[Split_raw]]*MAX(0,MIN(_xlfn.DAYS(EDATE(S$1,1),Log_2019[[#This Row],[Date]]),Log_2019[[#This Row],[Split_apply]])) - SUM($O659:R659)</f>
        <v>0</v>
      </c>
      <c r="T659" s="52">
        <f ca="1">Log_2019[[#This Row],[Amount]]/Log_2019[[#This Row],[Split_raw]]*MAX(0,MIN(_xlfn.DAYS(EDATE(T$1,1),Log_2019[[#This Row],[Date]]),Log_2019[[#This Row],[Split_apply]])) - SUM($O659:S659)</f>
        <v>0</v>
      </c>
      <c r="U659" s="52">
        <f ca="1">Log_2019[[#This Row],[Amount]]/Log_2019[[#This Row],[Split_raw]]*MAX(0,MIN(_xlfn.DAYS(EDATE(U$1,1),Log_2019[[#This Row],[Date]]),Log_2019[[#This Row],[Split_apply]])) - SUM($O659:T659)</f>
        <v>0</v>
      </c>
      <c r="V659" s="52">
        <f ca="1">Log_2019[[#This Row],[Amount]]/Log_2019[[#This Row],[Split_raw]]*MAX(0,MIN(_xlfn.DAYS(EDATE(V$1,1),Log_2019[[#This Row],[Date]]),Log_2019[[#This Row],[Split_apply]])) - SUM($O659:U659)</f>
        <v>0</v>
      </c>
      <c r="W659" s="52">
        <f ca="1">Log_2019[[#This Row],[Amount]]/Log_2019[[#This Row],[Split_raw]]*MAX(0,MIN(_xlfn.DAYS(EDATE(W$1,1),Log_2019[[#This Row],[Date]]),Log_2019[[#This Row],[Split_apply]])) - SUM($O659:V659)</f>
        <v>0</v>
      </c>
      <c r="X659" s="52">
        <f ca="1">Log_2019[[#This Row],[Amount]]/Log_2019[[#This Row],[Split_raw]]*MAX(0,MIN(_xlfn.DAYS(EDATE(X$1,1),Log_2019[[#This Row],[Date]]),Log_2019[[#This Row],[Split_apply]])) - SUM($O659:W659)</f>
        <v>0</v>
      </c>
      <c r="Y659" s="52">
        <f ca="1">Log_2019[[#This Row],[Amount]]/Log_2019[[#This Row],[Split_raw]]*MAX(0,MIN(_xlfn.DAYS(EDATE(Y$1,1),Log_2019[[#This Row],[Date]]),Log_2019[[#This Row],[Split_apply]])) - SUM($O659:X659)</f>
        <v>0</v>
      </c>
      <c r="Z659" s="52">
        <f ca="1">Log_2019[[#This Row],[Amount]]/Log_2019[[#This Row],[Split_raw]]*MAX(0,MIN(_xlfn.DAYS(EDATE(Z$1,1),Log_2019[[#This Row],[Date]]),Log_2019[[#This Row],[Split_apply]])) - SUM($O659:Y659)</f>
        <v>0</v>
      </c>
      <c r="AA659" s="52">
        <f ca="1">Log_2019[[#This Row],[Amount]]/Log_2019[[#This Row],[Split_raw]]*MAX(0,MIN(_xlfn.DAYS(EDATE(AA$1,1),Log_2019[[#This Row],[Date]]),Log_2019[[#This Row],[Split_apply]])) - SUM($O659:Z659)</f>
        <v>0</v>
      </c>
      <c r="AB659" s="54">
        <f ca="1">Log_2019[[#This Row],[Amount]]-SUM(O659:AA659)</f>
        <v>0</v>
      </c>
      <c r="AC659" s="7">
        <f>MAX(0,Log_2019[[#This Row],[Split_raw]] - (EDATE(AA$1,1)-Log_2019[[#This Row],[Date]]))</f>
        <v>0</v>
      </c>
    </row>
    <row r="660" spans="1:29" x14ac:dyDescent="0.25">
      <c r="A660" s="42"/>
      <c r="B660" t="s">
        <v>6</v>
      </c>
      <c r="D660" s="26">
        <v>43524</v>
      </c>
      <c r="F660" t="s">
        <v>138</v>
      </c>
      <c r="G660" t="s">
        <v>104</v>
      </c>
      <c r="H660" s="3">
        <v>-210.52</v>
      </c>
      <c r="I660" s="36">
        <f>IF(Log_2019[[#This Row],[My Category]]="NONTRACKED",0,Log_2019[[#This Row],[Raw Amount]])</f>
        <v>-210.52</v>
      </c>
      <c r="J660" s="17">
        <f>ABS(Log_2019[[#This Row],[Amount]])</f>
        <v>210.52</v>
      </c>
      <c r="K660" s="5">
        <v>1</v>
      </c>
      <c r="L660" s="38">
        <f ca="1">IF(Log_2019[[#This Row],[Date]]&lt;=TODAY(), MIN(Log_2019[[#This Row],[Split_raw]], TODAY()-Log_2019[[#This Row],[Date]]+1), 0)</f>
        <v>1</v>
      </c>
      <c r="M660" t="s">
        <v>159</v>
      </c>
      <c r="N660" t="s">
        <v>160</v>
      </c>
      <c r="O660" s="7">
        <v>0</v>
      </c>
      <c r="P660" s="52">
        <f ca="1">Log_2019[[#This Row],[Amount]]/Log_2019[[#This Row],[Split_raw]]*MAX(0,MIN(_xlfn.DAYS(EDATE(P$1,1),Log_2019[[#This Row],[Date]]),Log_2019[[#This Row],[Split_apply]])) - SUM($O660:O660)</f>
        <v>0</v>
      </c>
      <c r="Q660" s="52">
        <f ca="1">Log_2019[[#This Row],[Amount]]/Log_2019[[#This Row],[Split_raw]]*MAX(0,MIN(_xlfn.DAYS(EDATE(Q$1,1),Log_2019[[#This Row],[Date]]),Log_2019[[#This Row],[Split_apply]])) - SUM($O660:P660)</f>
        <v>-210.52</v>
      </c>
      <c r="R660" s="52">
        <f ca="1">Log_2019[[#This Row],[Amount]]/Log_2019[[#This Row],[Split_raw]]*MAX(0,MIN(_xlfn.DAYS(EDATE(R$1,1),Log_2019[[#This Row],[Date]]),Log_2019[[#This Row],[Split_apply]])) - SUM($O660:Q660)</f>
        <v>0</v>
      </c>
      <c r="S660" s="52">
        <f ca="1">Log_2019[[#This Row],[Amount]]/Log_2019[[#This Row],[Split_raw]]*MAX(0,MIN(_xlfn.DAYS(EDATE(S$1,1),Log_2019[[#This Row],[Date]]),Log_2019[[#This Row],[Split_apply]])) - SUM($O660:R660)</f>
        <v>0</v>
      </c>
      <c r="T660" s="52">
        <f ca="1">Log_2019[[#This Row],[Amount]]/Log_2019[[#This Row],[Split_raw]]*MAX(0,MIN(_xlfn.DAYS(EDATE(T$1,1),Log_2019[[#This Row],[Date]]),Log_2019[[#This Row],[Split_apply]])) - SUM($O660:S660)</f>
        <v>0</v>
      </c>
      <c r="U660" s="52">
        <f ca="1">Log_2019[[#This Row],[Amount]]/Log_2019[[#This Row],[Split_raw]]*MAX(0,MIN(_xlfn.DAYS(EDATE(U$1,1),Log_2019[[#This Row],[Date]]),Log_2019[[#This Row],[Split_apply]])) - SUM($O660:T660)</f>
        <v>0</v>
      </c>
      <c r="V660" s="52">
        <f ca="1">Log_2019[[#This Row],[Amount]]/Log_2019[[#This Row],[Split_raw]]*MAX(0,MIN(_xlfn.DAYS(EDATE(V$1,1),Log_2019[[#This Row],[Date]]),Log_2019[[#This Row],[Split_apply]])) - SUM($O660:U660)</f>
        <v>0</v>
      </c>
      <c r="W660" s="52">
        <f ca="1">Log_2019[[#This Row],[Amount]]/Log_2019[[#This Row],[Split_raw]]*MAX(0,MIN(_xlfn.DAYS(EDATE(W$1,1),Log_2019[[#This Row],[Date]]),Log_2019[[#This Row],[Split_apply]])) - SUM($O660:V660)</f>
        <v>0</v>
      </c>
      <c r="X660" s="52">
        <f ca="1">Log_2019[[#This Row],[Amount]]/Log_2019[[#This Row],[Split_raw]]*MAX(0,MIN(_xlfn.DAYS(EDATE(X$1,1),Log_2019[[#This Row],[Date]]),Log_2019[[#This Row],[Split_apply]])) - SUM($O660:W660)</f>
        <v>0</v>
      </c>
      <c r="Y660" s="52">
        <f ca="1">Log_2019[[#This Row],[Amount]]/Log_2019[[#This Row],[Split_raw]]*MAX(0,MIN(_xlfn.DAYS(EDATE(Y$1,1),Log_2019[[#This Row],[Date]]),Log_2019[[#This Row],[Split_apply]])) - SUM($O660:X660)</f>
        <v>0</v>
      </c>
      <c r="Z660" s="52">
        <f ca="1">Log_2019[[#This Row],[Amount]]/Log_2019[[#This Row],[Split_raw]]*MAX(0,MIN(_xlfn.DAYS(EDATE(Z$1,1),Log_2019[[#This Row],[Date]]),Log_2019[[#This Row],[Split_apply]])) - SUM($O660:Y660)</f>
        <v>0</v>
      </c>
      <c r="AA660" s="52">
        <f ca="1">Log_2019[[#This Row],[Amount]]/Log_2019[[#This Row],[Split_raw]]*MAX(0,MIN(_xlfn.DAYS(EDATE(AA$1,1),Log_2019[[#This Row],[Date]]),Log_2019[[#This Row],[Split_apply]])) - SUM($O660:Z660)</f>
        <v>0</v>
      </c>
      <c r="AB660" s="54">
        <f ca="1">Log_2019[[#This Row],[Amount]]-SUM(O660:AA660)</f>
        <v>0</v>
      </c>
      <c r="AC660" s="7">
        <f>MAX(0,Log_2019[[#This Row],[Split_raw]] - (EDATE(AA$1,1)-Log_2019[[#This Row],[Date]]))</f>
        <v>0</v>
      </c>
    </row>
    <row r="661" spans="1:29" x14ac:dyDescent="0.25">
      <c r="A661" s="42"/>
      <c r="B661" t="s">
        <v>6</v>
      </c>
      <c r="D661" s="26">
        <v>43524</v>
      </c>
      <c r="F661" t="s">
        <v>105</v>
      </c>
      <c r="G661" t="s">
        <v>104</v>
      </c>
      <c r="H661" s="3">
        <f>--210.52</f>
        <v>210.52</v>
      </c>
      <c r="I661" s="36">
        <f>IF(Log_2019[[#This Row],[My Category]]="NONTRACKED",0,Log_2019[[#This Row],[Raw Amount]])</f>
        <v>210.52</v>
      </c>
      <c r="J661" s="17">
        <f>ABS(Log_2019[[#This Row],[Amount]])</f>
        <v>210.52</v>
      </c>
      <c r="K661" s="5">
        <v>1</v>
      </c>
      <c r="L661" s="38">
        <f ca="1">IF(Log_2019[[#This Row],[Date]]&lt;=TODAY(), MIN(Log_2019[[#This Row],[Split_raw]], TODAY()-Log_2019[[#This Row],[Date]]+1), 0)</f>
        <v>1</v>
      </c>
      <c r="M661" t="s">
        <v>159</v>
      </c>
      <c r="N661" t="s">
        <v>158</v>
      </c>
      <c r="O661" s="7">
        <v>0</v>
      </c>
      <c r="P661" s="52">
        <f ca="1">Log_2019[[#This Row],[Amount]]/Log_2019[[#This Row],[Split_raw]]*MAX(0,MIN(_xlfn.DAYS(EDATE(P$1,1),Log_2019[[#This Row],[Date]]),Log_2019[[#This Row],[Split_apply]])) - SUM($O661:O661)</f>
        <v>0</v>
      </c>
      <c r="Q661" s="52">
        <f ca="1">Log_2019[[#This Row],[Amount]]/Log_2019[[#This Row],[Split_raw]]*MAX(0,MIN(_xlfn.DAYS(EDATE(Q$1,1),Log_2019[[#This Row],[Date]]),Log_2019[[#This Row],[Split_apply]])) - SUM($O661:P661)</f>
        <v>210.52</v>
      </c>
      <c r="R661" s="52">
        <f ca="1">Log_2019[[#This Row],[Amount]]/Log_2019[[#This Row],[Split_raw]]*MAX(0,MIN(_xlfn.DAYS(EDATE(R$1,1),Log_2019[[#This Row],[Date]]),Log_2019[[#This Row],[Split_apply]])) - SUM($O661:Q661)</f>
        <v>0</v>
      </c>
      <c r="S661" s="52">
        <f ca="1">Log_2019[[#This Row],[Amount]]/Log_2019[[#This Row],[Split_raw]]*MAX(0,MIN(_xlfn.DAYS(EDATE(S$1,1),Log_2019[[#This Row],[Date]]),Log_2019[[#This Row],[Split_apply]])) - SUM($O661:R661)</f>
        <v>0</v>
      </c>
      <c r="T661" s="52">
        <f ca="1">Log_2019[[#This Row],[Amount]]/Log_2019[[#This Row],[Split_raw]]*MAX(0,MIN(_xlfn.DAYS(EDATE(T$1,1),Log_2019[[#This Row],[Date]]),Log_2019[[#This Row],[Split_apply]])) - SUM($O661:S661)</f>
        <v>0</v>
      </c>
      <c r="U661" s="52">
        <f ca="1">Log_2019[[#This Row],[Amount]]/Log_2019[[#This Row],[Split_raw]]*MAX(0,MIN(_xlfn.DAYS(EDATE(U$1,1),Log_2019[[#This Row],[Date]]),Log_2019[[#This Row],[Split_apply]])) - SUM($O661:T661)</f>
        <v>0</v>
      </c>
      <c r="V661" s="52">
        <f ca="1">Log_2019[[#This Row],[Amount]]/Log_2019[[#This Row],[Split_raw]]*MAX(0,MIN(_xlfn.DAYS(EDATE(V$1,1),Log_2019[[#This Row],[Date]]),Log_2019[[#This Row],[Split_apply]])) - SUM($O661:U661)</f>
        <v>0</v>
      </c>
      <c r="W661" s="52">
        <f ca="1">Log_2019[[#This Row],[Amount]]/Log_2019[[#This Row],[Split_raw]]*MAX(0,MIN(_xlfn.DAYS(EDATE(W$1,1),Log_2019[[#This Row],[Date]]),Log_2019[[#This Row],[Split_apply]])) - SUM($O661:V661)</f>
        <v>0</v>
      </c>
      <c r="X661" s="52">
        <f ca="1">Log_2019[[#This Row],[Amount]]/Log_2019[[#This Row],[Split_raw]]*MAX(0,MIN(_xlfn.DAYS(EDATE(X$1,1),Log_2019[[#This Row],[Date]]),Log_2019[[#This Row],[Split_apply]])) - SUM($O661:W661)</f>
        <v>0</v>
      </c>
      <c r="Y661" s="52">
        <f ca="1">Log_2019[[#This Row],[Amount]]/Log_2019[[#This Row],[Split_raw]]*MAX(0,MIN(_xlfn.DAYS(EDATE(Y$1,1),Log_2019[[#This Row],[Date]]),Log_2019[[#This Row],[Split_apply]])) - SUM($O661:X661)</f>
        <v>0</v>
      </c>
      <c r="Z661" s="52">
        <f ca="1">Log_2019[[#This Row],[Amount]]/Log_2019[[#This Row],[Split_raw]]*MAX(0,MIN(_xlfn.DAYS(EDATE(Z$1,1),Log_2019[[#This Row],[Date]]),Log_2019[[#This Row],[Split_apply]])) - SUM($O661:Y661)</f>
        <v>0</v>
      </c>
      <c r="AA661" s="52">
        <f ca="1">Log_2019[[#This Row],[Amount]]/Log_2019[[#This Row],[Split_raw]]*MAX(0,MIN(_xlfn.DAYS(EDATE(AA$1,1),Log_2019[[#This Row],[Date]]),Log_2019[[#This Row],[Split_apply]])) - SUM($O661:Z661)</f>
        <v>0</v>
      </c>
      <c r="AB661" s="54">
        <f ca="1">Log_2019[[#This Row],[Amount]]-SUM(O661:AA661)</f>
        <v>0</v>
      </c>
      <c r="AC661" s="7">
        <f>MAX(0,Log_2019[[#This Row],[Split_raw]] - (EDATE(AA$1,1)-Log_2019[[#This Row],[Date]]))</f>
        <v>0</v>
      </c>
    </row>
    <row r="662" spans="1:29" x14ac:dyDescent="0.25">
      <c r="A662" s="42"/>
      <c r="B662" t="s">
        <v>6</v>
      </c>
      <c r="D662" s="26">
        <v>43524</v>
      </c>
      <c r="F662" t="s">
        <v>311</v>
      </c>
      <c r="G662" t="s">
        <v>87</v>
      </c>
      <c r="H662" s="3">
        <f>--1891.68</f>
        <v>1891.68</v>
      </c>
      <c r="I662" s="36">
        <f>IF(Log_2019[[#This Row],[My Category]]="NONTRACKED",0,Log_2019[[#This Row],[Raw Amount]])</f>
        <v>1891.68</v>
      </c>
      <c r="J662" s="17">
        <f>ABS(Log_2019[[#This Row],[Amount]])</f>
        <v>1891.68</v>
      </c>
      <c r="K662" s="5">
        <v>14</v>
      </c>
      <c r="L662" s="38">
        <f ca="1">IF(Log_2019[[#This Row],[Date]]&lt;=TODAY(), MIN(Log_2019[[#This Row],[Split_raw]], TODAY()-Log_2019[[#This Row],[Date]]+1), 0)</f>
        <v>14</v>
      </c>
      <c r="M662" t="s">
        <v>91</v>
      </c>
      <c r="N662" t="s">
        <v>160</v>
      </c>
      <c r="O662" s="7">
        <v>0</v>
      </c>
      <c r="P662" s="52">
        <f ca="1">Log_2019[[#This Row],[Amount]]/Log_2019[[#This Row],[Split_raw]]*MAX(0,MIN(_xlfn.DAYS(EDATE(P$1,1),Log_2019[[#This Row],[Date]]),Log_2019[[#This Row],[Split_apply]])) - SUM($O662:O662)</f>
        <v>0</v>
      </c>
      <c r="Q662" s="52">
        <f ca="1">Log_2019[[#This Row],[Amount]]/Log_2019[[#This Row],[Split_raw]]*MAX(0,MIN(_xlfn.DAYS(EDATE(Q$1,1),Log_2019[[#This Row],[Date]]),Log_2019[[#This Row],[Split_apply]])) - SUM($O662:P662)</f>
        <v>135.12</v>
      </c>
      <c r="R662" s="52">
        <f ca="1">Log_2019[[#This Row],[Amount]]/Log_2019[[#This Row],[Split_raw]]*MAX(0,MIN(_xlfn.DAYS(EDATE(R$1,1),Log_2019[[#This Row],[Date]]),Log_2019[[#This Row],[Split_apply]])) - SUM($O662:Q662)</f>
        <v>1756.56</v>
      </c>
      <c r="S662" s="52">
        <f ca="1">Log_2019[[#This Row],[Amount]]/Log_2019[[#This Row],[Split_raw]]*MAX(0,MIN(_xlfn.DAYS(EDATE(S$1,1),Log_2019[[#This Row],[Date]]),Log_2019[[#This Row],[Split_apply]])) - SUM($O662:R662)</f>
        <v>0</v>
      </c>
      <c r="T662" s="52">
        <f ca="1">Log_2019[[#This Row],[Amount]]/Log_2019[[#This Row],[Split_raw]]*MAX(0,MIN(_xlfn.DAYS(EDATE(T$1,1),Log_2019[[#This Row],[Date]]),Log_2019[[#This Row],[Split_apply]])) - SUM($O662:S662)</f>
        <v>0</v>
      </c>
      <c r="U662" s="52">
        <f ca="1">Log_2019[[#This Row],[Amount]]/Log_2019[[#This Row],[Split_raw]]*MAX(0,MIN(_xlfn.DAYS(EDATE(U$1,1),Log_2019[[#This Row],[Date]]),Log_2019[[#This Row],[Split_apply]])) - SUM($O662:T662)</f>
        <v>0</v>
      </c>
      <c r="V662" s="52">
        <f ca="1">Log_2019[[#This Row],[Amount]]/Log_2019[[#This Row],[Split_raw]]*MAX(0,MIN(_xlfn.DAYS(EDATE(V$1,1),Log_2019[[#This Row],[Date]]),Log_2019[[#This Row],[Split_apply]])) - SUM($O662:U662)</f>
        <v>0</v>
      </c>
      <c r="W662" s="52">
        <f ca="1">Log_2019[[#This Row],[Amount]]/Log_2019[[#This Row],[Split_raw]]*MAX(0,MIN(_xlfn.DAYS(EDATE(W$1,1),Log_2019[[#This Row],[Date]]),Log_2019[[#This Row],[Split_apply]])) - SUM($O662:V662)</f>
        <v>0</v>
      </c>
      <c r="X662" s="52">
        <f ca="1">Log_2019[[#This Row],[Amount]]/Log_2019[[#This Row],[Split_raw]]*MAX(0,MIN(_xlfn.DAYS(EDATE(X$1,1),Log_2019[[#This Row],[Date]]),Log_2019[[#This Row],[Split_apply]])) - SUM($O662:W662)</f>
        <v>0</v>
      </c>
      <c r="Y662" s="52">
        <f ca="1">Log_2019[[#This Row],[Amount]]/Log_2019[[#This Row],[Split_raw]]*MAX(0,MIN(_xlfn.DAYS(EDATE(Y$1,1),Log_2019[[#This Row],[Date]]),Log_2019[[#This Row],[Split_apply]])) - SUM($O662:X662)</f>
        <v>0</v>
      </c>
      <c r="Z662" s="52">
        <f ca="1">Log_2019[[#This Row],[Amount]]/Log_2019[[#This Row],[Split_raw]]*MAX(0,MIN(_xlfn.DAYS(EDATE(Z$1,1),Log_2019[[#This Row],[Date]]),Log_2019[[#This Row],[Split_apply]])) - SUM($O662:Y662)</f>
        <v>0</v>
      </c>
      <c r="AA662" s="52">
        <f ca="1">Log_2019[[#This Row],[Amount]]/Log_2019[[#This Row],[Split_raw]]*MAX(0,MIN(_xlfn.DAYS(EDATE(AA$1,1),Log_2019[[#This Row],[Date]]),Log_2019[[#This Row],[Split_apply]])) - SUM($O662:Z662)</f>
        <v>0</v>
      </c>
      <c r="AB662" s="54">
        <f ca="1">Log_2019[[#This Row],[Amount]]-SUM(O662:AA662)</f>
        <v>0</v>
      </c>
      <c r="AC662" s="7">
        <f>MAX(0,Log_2019[[#This Row],[Split_raw]] - (EDATE(AA$1,1)-Log_2019[[#This Row],[Date]]))</f>
        <v>0</v>
      </c>
    </row>
    <row r="663" spans="1:29" x14ac:dyDescent="0.25">
      <c r="A663" s="42"/>
      <c r="B663" t="s">
        <v>6</v>
      </c>
      <c r="D663" s="26">
        <v>43523</v>
      </c>
      <c r="F663" t="s">
        <v>16</v>
      </c>
      <c r="G663" t="s">
        <v>17</v>
      </c>
      <c r="H663" s="3">
        <f>--0.13</f>
        <v>0.13</v>
      </c>
      <c r="I663" s="36">
        <f>IF(Log_2019[[#This Row],[My Category]]="NONTRACKED",0,Log_2019[[#This Row],[Raw Amount]])</f>
        <v>0.13</v>
      </c>
      <c r="J663" s="17">
        <f>ABS(Log_2019[[#This Row],[Amount]])</f>
        <v>0.13</v>
      </c>
      <c r="K663" s="5">
        <v>1</v>
      </c>
      <c r="L663" s="38">
        <f ca="1">IF(Log_2019[[#This Row],[Date]]&lt;=TODAY(), MIN(Log_2019[[#This Row],[Split_raw]], TODAY()-Log_2019[[#This Row],[Date]]+1), 0)</f>
        <v>1</v>
      </c>
      <c r="M663" t="s">
        <v>144</v>
      </c>
      <c r="N663" t="s">
        <v>160</v>
      </c>
      <c r="O663" s="7">
        <v>0</v>
      </c>
      <c r="P663" s="52">
        <f ca="1">Log_2019[[#This Row],[Amount]]/Log_2019[[#This Row],[Split_raw]]*MAX(0,MIN(_xlfn.DAYS(EDATE(P$1,1),Log_2019[[#This Row],[Date]]),Log_2019[[#This Row],[Split_apply]])) - SUM($O663:O663)</f>
        <v>0</v>
      </c>
      <c r="Q663" s="52">
        <f ca="1">Log_2019[[#This Row],[Amount]]/Log_2019[[#This Row],[Split_raw]]*MAX(0,MIN(_xlfn.DAYS(EDATE(Q$1,1),Log_2019[[#This Row],[Date]]),Log_2019[[#This Row],[Split_apply]])) - SUM($O663:P663)</f>
        <v>0.13</v>
      </c>
      <c r="R663" s="52">
        <f ca="1">Log_2019[[#This Row],[Amount]]/Log_2019[[#This Row],[Split_raw]]*MAX(0,MIN(_xlfn.DAYS(EDATE(R$1,1),Log_2019[[#This Row],[Date]]),Log_2019[[#This Row],[Split_apply]])) - SUM($O663:Q663)</f>
        <v>0</v>
      </c>
      <c r="S663" s="52">
        <f ca="1">Log_2019[[#This Row],[Amount]]/Log_2019[[#This Row],[Split_raw]]*MAX(0,MIN(_xlfn.DAYS(EDATE(S$1,1),Log_2019[[#This Row],[Date]]),Log_2019[[#This Row],[Split_apply]])) - SUM($O663:R663)</f>
        <v>0</v>
      </c>
      <c r="T663" s="52">
        <f ca="1">Log_2019[[#This Row],[Amount]]/Log_2019[[#This Row],[Split_raw]]*MAX(0,MIN(_xlfn.DAYS(EDATE(T$1,1),Log_2019[[#This Row],[Date]]),Log_2019[[#This Row],[Split_apply]])) - SUM($O663:S663)</f>
        <v>0</v>
      </c>
      <c r="U663" s="52">
        <f ca="1">Log_2019[[#This Row],[Amount]]/Log_2019[[#This Row],[Split_raw]]*MAX(0,MIN(_xlfn.DAYS(EDATE(U$1,1),Log_2019[[#This Row],[Date]]),Log_2019[[#This Row],[Split_apply]])) - SUM($O663:T663)</f>
        <v>0</v>
      </c>
      <c r="V663" s="52">
        <f ca="1">Log_2019[[#This Row],[Amount]]/Log_2019[[#This Row],[Split_raw]]*MAX(0,MIN(_xlfn.DAYS(EDATE(V$1,1),Log_2019[[#This Row],[Date]]),Log_2019[[#This Row],[Split_apply]])) - SUM($O663:U663)</f>
        <v>0</v>
      </c>
      <c r="W663" s="52">
        <f ca="1">Log_2019[[#This Row],[Amount]]/Log_2019[[#This Row],[Split_raw]]*MAX(0,MIN(_xlfn.DAYS(EDATE(W$1,1),Log_2019[[#This Row],[Date]]),Log_2019[[#This Row],[Split_apply]])) - SUM($O663:V663)</f>
        <v>0</v>
      </c>
      <c r="X663" s="52">
        <f ca="1">Log_2019[[#This Row],[Amount]]/Log_2019[[#This Row],[Split_raw]]*MAX(0,MIN(_xlfn.DAYS(EDATE(X$1,1),Log_2019[[#This Row],[Date]]),Log_2019[[#This Row],[Split_apply]])) - SUM($O663:W663)</f>
        <v>0</v>
      </c>
      <c r="Y663" s="52">
        <f ca="1">Log_2019[[#This Row],[Amount]]/Log_2019[[#This Row],[Split_raw]]*MAX(0,MIN(_xlfn.DAYS(EDATE(Y$1,1),Log_2019[[#This Row],[Date]]),Log_2019[[#This Row],[Split_apply]])) - SUM($O663:X663)</f>
        <v>0</v>
      </c>
      <c r="Z663" s="52">
        <f ca="1">Log_2019[[#This Row],[Amount]]/Log_2019[[#This Row],[Split_raw]]*MAX(0,MIN(_xlfn.DAYS(EDATE(Z$1,1),Log_2019[[#This Row],[Date]]),Log_2019[[#This Row],[Split_apply]])) - SUM($O663:Y663)</f>
        <v>0</v>
      </c>
      <c r="AA663" s="52">
        <f ca="1">Log_2019[[#This Row],[Amount]]/Log_2019[[#This Row],[Split_raw]]*MAX(0,MIN(_xlfn.DAYS(EDATE(AA$1,1),Log_2019[[#This Row],[Date]]),Log_2019[[#This Row],[Split_apply]])) - SUM($O663:Z663)</f>
        <v>0</v>
      </c>
      <c r="AB663" s="54">
        <f ca="1">Log_2019[[#This Row],[Amount]]-SUM(O663:AA663)</f>
        <v>0</v>
      </c>
      <c r="AC663" s="7">
        <f>MAX(0,Log_2019[[#This Row],[Split_raw]] - (EDATE(AA$1,1)-Log_2019[[#This Row],[Date]]))</f>
        <v>0</v>
      </c>
    </row>
    <row r="664" spans="1:29" x14ac:dyDescent="0.25">
      <c r="A664" s="42"/>
      <c r="B664" t="s">
        <v>6</v>
      </c>
      <c r="D664" s="26">
        <v>43523</v>
      </c>
      <c r="F664" t="s">
        <v>23</v>
      </c>
      <c r="G664" t="s">
        <v>24</v>
      </c>
      <c r="H664" s="3">
        <f>--2</f>
        <v>2</v>
      </c>
      <c r="I664" s="36">
        <f>IF(Log_2019[[#This Row],[My Category]]="NONTRACKED",0,Log_2019[[#This Row],[Raw Amount]])</f>
        <v>2</v>
      </c>
      <c r="J664" s="17">
        <f>ABS(Log_2019[[#This Row],[Amount]])</f>
        <v>2</v>
      </c>
      <c r="K664" s="5">
        <v>1</v>
      </c>
      <c r="L664" s="38">
        <f ca="1">IF(Log_2019[[#This Row],[Date]]&lt;=TODAY(), MIN(Log_2019[[#This Row],[Split_raw]], TODAY()-Log_2019[[#This Row],[Date]]+1), 0)</f>
        <v>1</v>
      </c>
      <c r="M664" t="s">
        <v>196</v>
      </c>
      <c r="N664" t="s">
        <v>160</v>
      </c>
      <c r="O664" s="7">
        <v>0</v>
      </c>
      <c r="P664" s="52">
        <f ca="1">Log_2019[[#This Row],[Amount]]/Log_2019[[#This Row],[Split_raw]]*MAX(0,MIN(_xlfn.DAYS(EDATE(P$1,1),Log_2019[[#This Row],[Date]]),Log_2019[[#This Row],[Split_apply]])) - SUM($O664:O664)</f>
        <v>0</v>
      </c>
      <c r="Q664" s="52">
        <f ca="1">Log_2019[[#This Row],[Amount]]/Log_2019[[#This Row],[Split_raw]]*MAX(0,MIN(_xlfn.DAYS(EDATE(Q$1,1),Log_2019[[#This Row],[Date]]),Log_2019[[#This Row],[Split_apply]])) - SUM($O664:P664)</f>
        <v>2</v>
      </c>
      <c r="R664" s="52">
        <f ca="1">Log_2019[[#This Row],[Amount]]/Log_2019[[#This Row],[Split_raw]]*MAX(0,MIN(_xlfn.DAYS(EDATE(R$1,1),Log_2019[[#This Row],[Date]]),Log_2019[[#This Row],[Split_apply]])) - SUM($O664:Q664)</f>
        <v>0</v>
      </c>
      <c r="S664" s="52">
        <f ca="1">Log_2019[[#This Row],[Amount]]/Log_2019[[#This Row],[Split_raw]]*MAX(0,MIN(_xlfn.DAYS(EDATE(S$1,1),Log_2019[[#This Row],[Date]]),Log_2019[[#This Row],[Split_apply]])) - SUM($O664:R664)</f>
        <v>0</v>
      </c>
      <c r="T664" s="52">
        <f ca="1">Log_2019[[#This Row],[Amount]]/Log_2019[[#This Row],[Split_raw]]*MAX(0,MIN(_xlfn.DAYS(EDATE(T$1,1),Log_2019[[#This Row],[Date]]),Log_2019[[#This Row],[Split_apply]])) - SUM($O664:S664)</f>
        <v>0</v>
      </c>
      <c r="U664" s="52">
        <f ca="1">Log_2019[[#This Row],[Amount]]/Log_2019[[#This Row],[Split_raw]]*MAX(0,MIN(_xlfn.DAYS(EDATE(U$1,1),Log_2019[[#This Row],[Date]]),Log_2019[[#This Row],[Split_apply]])) - SUM($O664:T664)</f>
        <v>0</v>
      </c>
      <c r="V664" s="52">
        <f ca="1">Log_2019[[#This Row],[Amount]]/Log_2019[[#This Row],[Split_raw]]*MAX(0,MIN(_xlfn.DAYS(EDATE(V$1,1),Log_2019[[#This Row],[Date]]),Log_2019[[#This Row],[Split_apply]])) - SUM($O664:U664)</f>
        <v>0</v>
      </c>
      <c r="W664" s="52">
        <f ca="1">Log_2019[[#This Row],[Amount]]/Log_2019[[#This Row],[Split_raw]]*MAX(0,MIN(_xlfn.DAYS(EDATE(W$1,1),Log_2019[[#This Row],[Date]]),Log_2019[[#This Row],[Split_apply]])) - SUM($O664:V664)</f>
        <v>0</v>
      </c>
      <c r="X664" s="52">
        <f ca="1">Log_2019[[#This Row],[Amount]]/Log_2019[[#This Row],[Split_raw]]*MAX(0,MIN(_xlfn.DAYS(EDATE(X$1,1),Log_2019[[#This Row],[Date]]),Log_2019[[#This Row],[Split_apply]])) - SUM($O664:W664)</f>
        <v>0</v>
      </c>
      <c r="Y664" s="52">
        <f ca="1">Log_2019[[#This Row],[Amount]]/Log_2019[[#This Row],[Split_raw]]*MAX(0,MIN(_xlfn.DAYS(EDATE(Y$1,1),Log_2019[[#This Row],[Date]]),Log_2019[[#This Row],[Split_apply]])) - SUM($O664:X664)</f>
        <v>0</v>
      </c>
      <c r="Z664" s="52">
        <f ca="1">Log_2019[[#This Row],[Amount]]/Log_2019[[#This Row],[Split_raw]]*MAX(0,MIN(_xlfn.DAYS(EDATE(Z$1,1),Log_2019[[#This Row],[Date]]),Log_2019[[#This Row],[Split_apply]])) - SUM($O664:Y664)</f>
        <v>0</v>
      </c>
      <c r="AA664" s="52">
        <f ca="1">Log_2019[[#This Row],[Amount]]/Log_2019[[#This Row],[Split_raw]]*MAX(0,MIN(_xlfn.DAYS(EDATE(AA$1,1),Log_2019[[#This Row],[Date]]),Log_2019[[#This Row],[Split_apply]])) - SUM($O664:Z664)</f>
        <v>0</v>
      </c>
      <c r="AB664" s="54">
        <f ca="1">Log_2019[[#This Row],[Amount]]-SUM(O664:AA664)</f>
        <v>0</v>
      </c>
      <c r="AC664" s="7">
        <f>MAX(0,Log_2019[[#This Row],[Split_raw]] - (EDATE(AA$1,1)-Log_2019[[#This Row],[Date]]))</f>
        <v>0</v>
      </c>
    </row>
    <row r="665" spans="1:29" x14ac:dyDescent="0.25">
      <c r="A665" s="42"/>
      <c r="B665" t="s">
        <v>6</v>
      </c>
      <c r="D665" s="26">
        <v>43523</v>
      </c>
      <c r="F665" t="s">
        <v>255</v>
      </c>
      <c r="G665" t="s">
        <v>25</v>
      </c>
      <c r="H665" s="3">
        <v>-9.9499999999999993</v>
      </c>
      <c r="I665" s="36">
        <f>IF(Log_2019[[#This Row],[My Category]]="NONTRACKED",0,Log_2019[[#This Row],[Raw Amount]])</f>
        <v>-9.9499999999999993</v>
      </c>
      <c r="J665" s="17">
        <f>ABS(Log_2019[[#This Row],[Amount]])</f>
        <v>9.9499999999999993</v>
      </c>
      <c r="K665" s="5">
        <v>1</v>
      </c>
      <c r="L665" s="38">
        <f ca="1">IF(Log_2019[[#This Row],[Date]]&lt;=TODAY(), MIN(Log_2019[[#This Row],[Split_raw]], TODAY()-Log_2019[[#This Row],[Date]]+1), 0)</f>
        <v>1</v>
      </c>
      <c r="M665" t="s">
        <v>35</v>
      </c>
      <c r="N665" t="s">
        <v>158</v>
      </c>
      <c r="O665" s="7">
        <v>0</v>
      </c>
      <c r="P665" s="52">
        <f ca="1">Log_2019[[#This Row],[Amount]]/Log_2019[[#This Row],[Split_raw]]*MAX(0,MIN(_xlfn.DAYS(EDATE(P$1,1),Log_2019[[#This Row],[Date]]),Log_2019[[#This Row],[Split_apply]])) - SUM($O665:O665)</f>
        <v>0</v>
      </c>
      <c r="Q665" s="52">
        <f ca="1">Log_2019[[#This Row],[Amount]]/Log_2019[[#This Row],[Split_raw]]*MAX(0,MIN(_xlfn.DAYS(EDATE(Q$1,1),Log_2019[[#This Row],[Date]]),Log_2019[[#This Row],[Split_apply]])) - SUM($O665:P665)</f>
        <v>-9.9499999999999993</v>
      </c>
      <c r="R665" s="52">
        <f ca="1">Log_2019[[#This Row],[Amount]]/Log_2019[[#This Row],[Split_raw]]*MAX(0,MIN(_xlfn.DAYS(EDATE(R$1,1),Log_2019[[#This Row],[Date]]),Log_2019[[#This Row],[Split_apply]])) - SUM($O665:Q665)</f>
        <v>0</v>
      </c>
      <c r="S665" s="52">
        <f ca="1">Log_2019[[#This Row],[Amount]]/Log_2019[[#This Row],[Split_raw]]*MAX(0,MIN(_xlfn.DAYS(EDATE(S$1,1),Log_2019[[#This Row],[Date]]),Log_2019[[#This Row],[Split_apply]])) - SUM($O665:R665)</f>
        <v>0</v>
      </c>
      <c r="T665" s="52">
        <f ca="1">Log_2019[[#This Row],[Amount]]/Log_2019[[#This Row],[Split_raw]]*MAX(0,MIN(_xlfn.DAYS(EDATE(T$1,1),Log_2019[[#This Row],[Date]]),Log_2019[[#This Row],[Split_apply]])) - SUM($O665:S665)</f>
        <v>0</v>
      </c>
      <c r="U665" s="52">
        <f ca="1">Log_2019[[#This Row],[Amount]]/Log_2019[[#This Row],[Split_raw]]*MAX(0,MIN(_xlfn.DAYS(EDATE(U$1,1),Log_2019[[#This Row],[Date]]),Log_2019[[#This Row],[Split_apply]])) - SUM($O665:T665)</f>
        <v>0</v>
      </c>
      <c r="V665" s="52">
        <f ca="1">Log_2019[[#This Row],[Amount]]/Log_2019[[#This Row],[Split_raw]]*MAX(0,MIN(_xlfn.DAYS(EDATE(V$1,1),Log_2019[[#This Row],[Date]]),Log_2019[[#This Row],[Split_apply]])) - SUM($O665:U665)</f>
        <v>0</v>
      </c>
      <c r="W665" s="52">
        <f ca="1">Log_2019[[#This Row],[Amount]]/Log_2019[[#This Row],[Split_raw]]*MAX(0,MIN(_xlfn.DAYS(EDATE(W$1,1),Log_2019[[#This Row],[Date]]),Log_2019[[#This Row],[Split_apply]])) - SUM($O665:V665)</f>
        <v>0</v>
      </c>
      <c r="X665" s="52">
        <f ca="1">Log_2019[[#This Row],[Amount]]/Log_2019[[#This Row],[Split_raw]]*MAX(0,MIN(_xlfn.DAYS(EDATE(X$1,1),Log_2019[[#This Row],[Date]]),Log_2019[[#This Row],[Split_apply]])) - SUM($O665:W665)</f>
        <v>0</v>
      </c>
      <c r="Y665" s="52">
        <f ca="1">Log_2019[[#This Row],[Amount]]/Log_2019[[#This Row],[Split_raw]]*MAX(0,MIN(_xlfn.DAYS(EDATE(Y$1,1),Log_2019[[#This Row],[Date]]),Log_2019[[#This Row],[Split_apply]])) - SUM($O665:X665)</f>
        <v>0</v>
      </c>
      <c r="Z665" s="52">
        <f ca="1">Log_2019[[#This Row],[Amount]]/Log_2019[[#This Row],[Split_raw]]*MAX(0,MIN(_xlfn.DAYS(EDATE(Z$1,1),Log_2019[[#This Row],[Date]]),Log_2019[[#This Row],[Split_apply]])) - SUM($O665:Y665)</f>
        <v>0</v>
      </c>
      <c r="AA665" s="52">
        <f ca="1">Log_2019[[#This Row],[Amount]]/Log_2019[[#This Row],[Split_raw]]*MAX(0,MIN(_xlfn.DAYS(EDATE(AA$1,1),Log_2019[[#This Row],[Date]]),Log_2019[[#This Row],[Split_apply]])) - SUM($O665:Z665)</f>
        <v>0</v>
      </c>
      <c r="AB665" s="54">
        <f ca="1">Log_2019[[#This Row],[Amount]]-SUM(O665:AA665)</f>
        <v>0</v>
      </c>
      <c r="AC665" s="7">
        <f>MAX(0,Log_2019[[#This Row],[Split_raw]] - (EDATE(AA$1,1)-Log_2019[[#This Row],[Date]]))</f>
        <v>0</v>
      </c>
    </row>
    <row r="666" spans="1:29" x14ac:dyDescent="0.25">
      <c r="A666" s="42"/>
      <c r="B666" t="s">
        <v>6</v>
      </c>
      <c r="D666" s="26">
        <v>43523</v>
      </c>
      <c r="E666" t="s">
        <v>1019</v>
      </c>
      <c r="F666" t="s">
        <v>527</v>
      </c>
      <c r="G666" t="s">
        <v>20</v>
      </c>
      <c r="H666" s="3">
        <v>-50</v>
      </c>
      <c r="I666" s="36">
        <f>IF(Log_2019[[#This Row],[My Category]]="NONTRACKED",0,Log_2019[[#This Row],[Raw Amount]])</f>
        <v>-50</v>
      </c>
      <c r="J666" s="17">
        <f>ABS(Log_2019[[#This Row],[Amount]])</f>
        <v>50</v>
      </c>
      <c r="K666" s="5">
        <v>1</v>
      </c>
      <c r="L666" s="38">
        <f ca="1">IF(Log_2019[[#This Row],[Date]]&lt;=TODAY(), MIN(Log_2019[[#This Row],[Split_raw]], TODAY()-Log_2019[[#This Row],[Date]]+1), 0)</f>
        <v>1</v>
      </c>
      <c r="M666" s="81" t="s">
        <v>145</v>
      </c>
      <c r="N666" t="s">
        <v>160</v>
      </c>
      <c r="O666" s="7">
        <v>0</v>
      </c>
      <c r="P666" s="52">
        <f ca="1">Log_2019[[#This Row],[Amount]]/Log_2019[[#This Row],[Split_raw]]*MAX(0,MIN(_xlfn.DAYS(EDATE(P$1,1),Log_2019[[#This Row],[Date]]),Log_2019[[#This Row],[Split_apply]])) - SUM($O666:O666)</f>
        <v>0</v>
      </c>
      <c r="Q666" s="52">
        <f ca="1">Log_2019[[#This Row],[Amount]]/Log_2019[[#This Row],[Split_raw]]*MAX(0,MIN(_xlfn.DAYS(EDATE(Q$1,1),Log_2019[[#This Row],[Date]]),Log_2019[[#This Row],[Split_apply]])) - SUM($O666:P666)</f>
        <v>-50</v>
      </c>
      <c r="R666" s="52">
        <f ca="1">Log_2019[[#This Row],[Amount]]/Log_2019[[#This Row],[Split_raw]]*MAX(0,MIN(_xlfn.DAYS(EDATE(R$1,1),Log_2019[[#This Row],[Date]]),Log_2019[[#This Row],[Split_apply]])) - SUM($O666:Q666)</f>
        <v>0</v>
      </c>
      <c r="S666" s="52">
        <f ca="1">Log_2019[[#This Row],[Amount]]/Log_2019[[#This Row],[Split_raw]]*MAX(0,MIN(_xlfn.DAYS(EDATE(S$1,1),Log_2019[[#This Row],[Date]]),Log_2019[[#This Row],[Split_apply]])) - SUM($O666:R666)</f>
        <v>0</v>
      </c>
      <c r="T666" s="52">
        <f ca="1">Log_2019[[#This Row],[Amount]]/Log_2019[[#This Row],[Split_raw]]*MAX(0,MIN(_xlfn.DAYS(EDATE(T$1,1),Log_2019[[#This Row],[Date]]),Log_2019[[#This Row],[Split_apply]])) - SUM($O666:S666)</f>
        <v>0</v>
      </c>
      <c r="U666" s="52">
        <f ca="1">Log_2019[[#This Row],[Amount]]/Log_2019[[#This Row],[Split_raw]]*MAX(0,MIN(_xlfn.DAYS(EDATE(U$1,1),Log_2019[[#This Row],[Date]]),Log_2019[[#This Row],[Split_apply]])) - SUM($O666:T666)</f>
        <v>0</v>
      </c>
      <c r="V666" s="52">
        <f ca="1">Log_2019[[#This Row],[Amount]]/Log_2019[[#This Row],[Split_raw]]*MAX(0,MIN(_xlfn.DAYS(EDATE(V$1,1),Log_2019[[#This Row],[Date]]),Log_2019[[#This Row],[Split_apply]])) - SUM($O666:U666)</f>
        <v>0</v>
      </c>
      <c r="W666" s="52">
        <f ca="1">Log_2019[[#This Row],[Amount]]/Log_2019[[#This Row],[Split_raw]]*MAX(0,MIN(_xlfn.DAYS(EDATE(W$1,1),Log_2019[[#This Row],[Date]]),Log_2019[[#This Row],[Split_apply]])) - SUM($O666:V666)</f>
        <v>0</v>
      </c>
      <c r="X666" s="52">
        <f ca="1">Log_2019[[#This Row],[Amount]]/Log_2019[[#This Row],[Split_raw]]*MAX(0,MIN(_xlfn.DAYS(EDATE(X$1,1),Log_2019[[#This Row],[Date]]),Log_2019[[#This Row],[Split_apply]])) - SUM($O666:W666)</f>
        <v>0</v>
      </c>
      <c r="Y666" s="52">
        <f ca="1">Log_2019[[#This Row],[Amount]]/Log_2019[[#This Row],[Split_raw]]*MAX(0,MIN(_xlfn.DAYS(EDATE(Y$1,1),Log_2019[[#This Row],[Date]]),Log_2019[[#This Row],[Split_apply]])) - SUM($O666:X666)</f>
        <v>0</v>
      </c>
      <c r="Z666" s="52">
        <f ca="1">Log_2019[[#This Row],[Amount]]/Log_2019[[#This Row],[Split_raw]]*MAX(0,MIN(_xlfn.DAYS(EDATE(Z$1,1),Log_2019[[#This Row],[Date]]),Log_2019[[#This Row],[Split_apply]])) - SUM($O666:Y666)</f>
        <v>0</v>
      </c>
      <c r="AA666" s="52">
        <f ca="1">Log_2019[[#This Row],[Amount]]/Log_2019[[#This Row],[Split_raw]]*MAX(0,MIN(_xlfn.DAYS(EDATE(AA$1,1),Log_2019[[#This Row],[Date]]),Log_2019[[#This Row],[Split_apply]])) - SUM($O666:Z666)</f>
        <v>0</v>
      </c>
      <c r="AB666" s="54">
        <f ca="1">Log_2019[[#This Row],[Amount]]-SUM(O666:AA666)</f>
        <v>0</v>
      </c>
      <c r="AC666" s="7">
        <f>MAX(0,Log_2019[[#This Row],[Split_raw]] - (EDATE(AA$1,1)-Log_2019[[#This Row],[Date]]))</f>
        <v>0</v>
      </c>
    </row>
    <row r="667" spans="1:29" x14ac:dyDescent="0.25">
      <c r="A667" s="42"/>
      <c r="B667" t="s">
        <v>6</v>
      </c>
      <c r="D667" s="26">
        <v>43522</v>
      </c>
      <c r="E667" t="s">
        <v>526</v>
      </c>
      <c r="F667" t="s">
        <v>456</v>
      </c>
      <c r="G667" t="s">
        <v>27</v>
      </c>
      <c r="H667" s="3">
        <v>-4.63</v>
      </c>
      <c r="I667" s="36">
        <f>IF(Log_2019[[#This Row],[My Category]]="NONTRACKED",0,Log_2019[[#This Row],[Raw Amount]])</f>
        <v>-4.63</v>
      </c>
      <c r="J667" s="17">
        <f>ABS(Log_2019[[#This Row],[Amount]])</f>
        <v>4.63</v>
      </c>
      <c r="K667" s="5">
        <v>1</v>
      </c>
      <c r="L667" s="38">
        <f ca="1">IF(Log_2019[[#This Row],[Date]]&lt;=TODAY(), MIN(Log_2019[[#This Row],[Split_raw]], TODAY()-Log_2019[[#This Row],[Date]]+1), 0)</f>
        <v>1</v>
      </c>
      <c r="M667" t="s">
        <v>145</v>
      </c>
      <c r="N667" t="s">
        <v>160</v>
      </c>
      <c r="O667" s="7">
        <v>0</v>
      </c>
      <c r="P667" s="52">
        <f ca="1">Log_2019[[#This Row],[Amount]]/Log_2019[[#This Row],[Split_raw]]*MAX(0,MIN(_xlfn.DAYS(EDATE(P$1,1),Log_2019[[#This Row],[Date]]),Log_2019[[#This Row],[Split_apply]])) - SUM($O667:O667)</f>
        <v>0</v>
      </c>
      <c r="Q667" s="52">
        <f ca="1">Log_2019[[#This Row],[Amount]]/Log_2019[[#This Row],[Split_raw]]*MAX(0,MIN(_xlfn.DAYS(EDATE(Q$1,1),Log_2019[[#This Row],[Date]]),Log_2019[[#This Row],[Split_apply]])) - SUM($O667:P667)</f>
        <v>-4.63</v>
      </c>
      <c r="R667" s="52">
        <f ca="1">Log_2019[[#This Row],[Amount]]/Log_2019[[#This Row],[Split_raw]]*MAX(0,MIN(_xlfn.DAYS(EDATE(R$1,1),Log_2019[[#This Row],[Date]]),Log_2019[[#This Row],[Split_apply]])) - SUM($O667:Q667)</f>
        <v>0</v>
      </c>
      <c r="S667" s="52">
        <f ca="1">Log_2019[[#This Row],[Amount]]/Log_2019[[#This Row],[Split_raw]]*MAX(0,MIN(_xlfn.DAYS(EDATE(S$1,1),Log_2019[[#This Row],[Date]]),Log_2019[[#This Row],[Split_apply]])) - SUM($O667:R667)</f>
        <v>0</v>
      </c>
      <c r="T667" s="52">
        <f ca="1">Log_2019[[#This Row],[Amount]]/Log_2019[[#This Row],[Split_raw]]*MAX(0,MIN(_xlfn.DAYS(EDATE(T$1,1),Log_2019[[#This Row],[Date]]),Log_2019[[#This Row],[Split_apply]])) - SUM($O667:S667)</f>
        <v>0</v>
      </c>
      <c r="U667" s="52">
        <f ca="1">Log_2019[[#This Row],[Amount]]/Log_2019[[#This Row],[Split_raw]]*MAX(0,MIN(_xlfn.DAYS(EDATE(U$1,1),Log_2019[[#This Row],[Date]]),Log_2019[[#This Row],[Split_apply]])) - SUM($O667:T667)</f>
        <v>0</v>
      </c>
      <c r="V667" s="52">
        <f ca="1">Log_2019[[#This Row],[Amount]]/Log_2019[[#This Row],[Split_raw]]*MAX(0,MIN(_xlfn.DAYS(EDATE(V$1,1),Log_2019[[#This Row],[Date]]),Log_2019[[#This Row],[Split_apply]])) - SUM($O667:U667)</f>
        <v>0</v>
      </c>
      <c r="W667" s="52">
        <f ca="1">Log_2019[[#This Row],[Amount]]/Log_2019[[#This Row],[Split_raw]]*MAX(0,MIN(_xlfn.DAYS(EDATE(W$1,1),Log_2019[[#This Row],[Date]]),Log_2019[[#This Row],[Split_apply]])) - SUM($O667:V667)</f>
        <v>0</v>
      </c>
      <c r="X667" s="52">
        <f ca="1">Log_2019[[#This Row],[Amount]]/Log_2019[[#This Row],[Split_raw]]*MAX(0,MIN(_xlfn.DAYS(EDATE(X$1,1),Log_2019[[#This Row],[Date]]),Log_2019[[#This Row],[Split_apply]])) - SUM($O667:W667)</f>
        <v>0</v>
      </c>
      <c r="Y667" s="52">
        <f ca="1">Log_2019[[#This Row],[Amount]]/Log_2019[[#This Row],[Split_raw]]*MAX(0,MIN(_xlfn.DAYS(EDATE(Y$1,1),Log_2019[[#This Row],[Date]]),Log_2019[[#This Row],[Split_apply]])) - SUM($O667:X667)</f>
        <v>0</v>
      </c>
      <c r="Z667" s="52">
        <f ca="1">Log_2019[[#This Row],[Amount]]/Log_2019[[#This Row],[Split_raw]]*MAX(0,MIN(_xlfn.DAYS(EDATE(Z$1,1),Log_2019[[#This Row],[Date]]),Log_2019[[#This Row],[Split_apply]])) - SUM($O667:Y667)</f>
        <v>0</v>
      </c>
      <c r="AA667" s="52">
        <f ca="1">Log_2019[[#This Row],[Amount]]/Log_2019[[#This Row],[Split_raw]]*MAX(0,MIN(_xlfn.DAYS(EDATE(AA$1,1),Log_2019[[#This Row],[Date]]),Log_2019[[#This Row],[Split_apply]])) - SUM($O667:Z667)</f>
        <v>0</v>
      </c>
      <c r="AB667" s="54">
        <f ca="1">Log_2019[[#This Row],[Amount]]-SUM(O667:AA667)</f>
        <v>0</v>
      </c>
      <c r="AC667" s="7">
        <f>MAX(0,Log_2019[[#This Row],[Split_raw]] - (EDATE(AA$1,1)-Log_2019[[#This Row],[Date]]))</f>
        <v>0</v>
      </c>
    </row>
    <row r="668" spans="1:29" x14ac:dyDescent="0.25">
      <c r="A668" s="42"/>
      <c r="B668" t="s">
        <v>6</v>
      </c>
      <c r="D668" s="26">
        <v>43522</v>
      </c>
      <c r="F668" t="s">
        <v>345</v>
      </c>
      <c r="G668" t="s">
        <v>12</v>
      </c>
      <c r="H668" s="3">
        <v>-26.99</v>
      </c>
      <c r="I668" s="36">
        <f>IF(Log_2019[[#This Row],[My Category]]="NONTRACKED",0,Log_2019[[#This Row],[Raw Amount]])</f>
        <v>-26.99</v>
      </c>
      <c r="J668" s="17">
        <f>ABS(Log_2019[[#This Row],[Amount]])</f>
        <v>26.99</v>
      </c>
      <c r="K668" s="5">
        <v>1</v>
      </c>
      <c r="L668" s="38">
        <f ca="1">IF(Log_2019[[#This Row],[Date]]&lt;=TODAY(), MIN(Log_2019[[#This Row],[Split_raw]], TODAY()-Log_2019[[#This Row],[Date]]+1), 0)</f>
        <v>1</v>
      </c>
      <c r="M668" t="s">
        <v>12</v>
      </c>
      <c r="N668" t="s">
        <v>158</v>
      </c>
      <c r="O668" s="7">
        <v>0</v>
      </c>
      <c r="P668" s="52">
        <f ca="1">Log_2019[[#This Row],[Amount]]/Log_2019[[#This Row],[Split_raw]]*MAX(0,MIN(_xlfn.DAYS(EDATE(P$1,1),Log_2019[[#This Row],[Date]]),Log_2019[[#This Row],[Split_apply]])) - SUM($O668:O668)</f>
        <v>0</v>
      </c>
      <c r="Q668" s="52">
        <f ca="1">Log_2019[[#This Row],[Amount]]/Log_2019[[#This Row],[Split_raw]]*MAX(0,MIN(_xlfn.DAYS(EDATE(Q$1,1),Log_2019[[#This Row],[Date]]),Log_2019[[#This Row],[Split_apply]])) - SUM($O668:P668)</f>
        <v>-26.99</v>
      </c>
      <c r="R668" s="52">
        <f ca="1">Log_2019[[#This Row],[Amount]]/Log_2019[[#This Row],[Split_raw]]*MAX(0,MIN(_xlfn.DAYS(EDATE(R$1,1),Log_2019[[#This Row],[Date]]),Log_2019[[#This Row],[Split_apply]])) - SUM($O668:Q668)</f>
        <v>0</v>
      </c>
      <c r="S668" s="52">
        <f ca="1">Log_2019[[#This Row],[Amount]]/Log_2019[[#This Row],[Split_raw]]*MAX(0,MIN(_xlfn.DAYS(EDATE(S$1,1),Log_2019[[#This Row],[Date]]),Log_2019[[#This Row],[Split_apply]])) - SUM($O668:R668)</f>
        <v>0</v>
      </c>
      <c r="T668" s="52">
        <f ca="1">Log_2019[[#This Row],[Amount]]/Log_2019[[#This Row],[Split_raw]]*MAX(0,MIN(_xlfn.DAYS(EDATE(T$1,1),Log_2019[[#This Row],[Date]]),Log_2019[[#This Row],[Split_apply]])) - SUM($O668:S668)</f>
        <v>0</v>
      </c>
      <c r="U668" s="52">
        <f ca="1">Log_2019[[#This Row],[Amount]]/Log_2019[[#This Row],[Split_raw]]*MAX(0,MIN(_xlfn.DAYS(EDATE(U$1,1),Log_2019[[#This Row],[Date]]),Log_2019[[#This Row],[Split_apply]])) - SUM($O668:T668)</f>
        <v>0</v>
      </c>
      <c r="V668" s="52">
        <f ca="1">Log_2019[[#This Row],[Amount]]/Log_2019[[#This Row],[Split_raw]]*MAX(0,MIN(_xlfn.DAYS(EDATE(V$1,1),Log_2019[[#This Row],[Date]]),Log_2019[[#This Row],[Split_apply]])) - SUM($O668:U668)</f>
        <v>0</v>
      </c>
      <c r="W668" s="52">
        <f ca="1">Log_2019[[#This Row],[Amount]]/Log_2019[[#This Row],[Split_raw]]*MAX(0,MIN(_xlfn.DAYS(EDATE(W$1,1),Log_2019[[#This Row],[Date]]),Log_2019[[#This Row],[Split_apply]])) - SUM($O668:V668)</f>
        <v>0</v>
      </c>
      <c r="X668" s="52">
        <f ca="1">Log_2019[[#This Row],[Amount]]/Log_2019[[#This Row],[Split_raw]]*MAX(0,MIN(_xlfn.DAYS(EDATE(X$1,1),Log_2019[[#This Row],[Date]]),Log_2019[[#This Row],[Split_apply]])) - SUM($O668:W668)</f>
        <v>0</v>
      </c>
      <c r="Y668" s="52">
        <f ca="1">Log_2019[[#This Row],[Amount]]/Log_2019[[#This Row],[Split_raw]]*MAX(0,MIN(_xlfn.DAYS(EDATE(Y$1,1),Log_2019[[#This Row],[Date]]),Log_2019[[#This Row],[Split_apply]])) - SUM($O668:X668)</f>
        <v>0</v>
      </c>
      <c r="Z668" s="52">
        <f ca="1">Log_2019[[#This Row],[Amount]]/Log_2019[[#This Row],[Split_raw]]*MAX(0,MIN(_xlfn.DAYS(EDATE(Z$1,1),Log_2019[[#This Row],[Date]]),Log_2019[[#This Row],[Split_apply]])) - SUM($O668:Y668)</f>
        <v>0</v>
      </c>
      <c r="AA668" s="52">
        <f ca="1">Log_2019[[#This Row],[Amount]]/Log_2019[[#This Row],[Split_raw]]*MAX(0,MIN(_xlfn.DAYS(EDATE(AA$1,1),Log_2019[[#This Row],[Date]]),Log_2019[[#This Row],[Split_apply]])) - SUM($O668:Z668)</f>
        <v>0</v>
      </c>
      <c r="AB668" s="54">
        <f ca="1">Log_2019[[#This Row],[Amount]]-SUM(O668:AA668)</f>
        <v>0</v>
      </c>
      <c r="AC668" s="7">
        <f>MAX(0,Log_2019[[#This Row],[Split_raw]] - (EDATE(AA$1,1)-Log_2019[[#This Row],[Date]]))</f>
        <v>0</v>
      </c>
    </row>
    <row r="669" spans="1:29" x14ac:dyDescent="0.25">
      <c r="A669" s="42"/>
      <c r="B669" t="s">
        <v>6</v>
      </c>
      <c r="D669" s="26">
        <v>43522</v>
      </c>
      <c r="F669" t="s">
        <v>327</v>
      </c>
      <c r="G669" t="s">
        <v>25</v>
      </c>
      <c r="H669" s="3">
        <v>-13.65</v>
      </c>
      <c r="I669" s="36">
        <f>IF(Log_2019[[#This Row],[My Category]]="NONTRACKED",0,Log_2019[[#This Row],[Raw Amount]])</f>
        <v>-13.65</v>
      </c>
      <c r="J669" s="17">
        <f>ABS(Log_2019[[#This Row],[Amount]])</f>
        <v>13.65</v>
      </c>
      <c r="K669" s="5">
        <v>1</v>
      </c>
      <c r="L669" s="38">
        <f ca="1">IF(Log_2019[[#This Row],[Date]]&lt;=TODAY(), MIN(Log_2019[[#This Row],[Split_raw]], TODAY()-Log_2019[[#This Row],[Date]]+1), 0)</f>
        <v>1</v>
      </c>
      <c r="M669" t="s">
        <v>35</v>
      </c>
      <c r="N669" t="s">
        <v>158</v>
      </c>
      <c r="O669" s="7">
        <v>0</v>
      </c>
      <c r="P669" s="52">
        <f ca="1">Log_2019[[#This Row],[Amount]]/Log_2019[[#This Row],[Split_raw]]*MAX(0,MIN(_xlfn.DAYS(EDATE(P$1,1),Log_2019[[#This Row],[Date]]),Log_2019[[#This Row],[Split_apply]])) - SUM($O669:O669)</f>
        <v>0</v>
      </c>
      <c r="Q669" s="52">
        <f ca="1">Log_2019[[#This Row],[Amount]]/Log_2019[[#This Row],[Split_raw]]*MAX(0,MIN(_xlfn.DAYS(EDATE(Q$1,1),Log_2019[[#This Row],[Date]]),Log_2019[[#This Row],[Split_apply]])) - SUM($O669:P669)</f>
        <v>-13.65</v>
      </c>
      <c r="R669" s="52">
        <f ca="1">Log_2019[[#This Row],[Amount]]/Log_2019[[#This Row],[Split_raw]]*MAX(0,MIN(_xlfn.DAYS(EDATE(R$1,1),Log_2019[[#This Row],[Date]]),Log_2019[[#This Row],[Split_apply]])) - SUM($O669:Q669)</f>
        <v>0</v>
      </c>
      <c r="S669" s="52">
        <f ca="1">Log_2019[[#This Row],[Amount]]/Log_2019[[#This Row],[Split_raw]]*MAX(0,MIN(_xlfn.DAYS(EDATE(S$1,1),Log_2019[[#This Row],[Date]]),Log_2019[[#This Row],[Split_apply]])) - SUM($O669:R669)</f>
        <v>0</v>
      </c>
      <c r="T669" s="52">
        <f ca="1">Log_2019[[#This Row],[Amount]]/Log_2019[[#This Row],[Split_raw]]*MAX(0,MIN(_xlfn.DAYS(EDATE(T$1,1),Log_2019[[#This Row],[Date]]),Log_2019[[#This Row],[Split_apply]])) - SUM($O669:S669)</f>
        <v>0</v>
      </c>
      <c r="U669" s="52">
        <f ca="1">Log_2019[[#This Row],[Amount]]/Log_2019[[#This Row],[Split_raw]]*MAX(0,MIN(_xlfn.DAYS(EDATE(U$1,1),Log_2019[[#This Row],[Date]]),Log_2019[[#This Row],[Split_apply]])) - SUM($O669:T669)</f>
        <v>0</v>
      </c>
      <c r="V669" s="52">
        <f ca="1">Log_2019[[#This Row],[Amount]]/Log_2019[[#This Row],[Split_raw]]*MAX(0,MIN(_xlfn.DAYS(EDATE(V$1,1),Log_2019[[#This Row],[Date]]),Log_2019[[#This Row],[Split_apply]])) - SUM($O669:U669)</f>
        <v>0</v>
      </c>
      <c r="W669" s="52">
        <f ca="1">Log_2019[[#This Row],[Amount]]/Log_2019[[#This Row],[Split_raw]]*MAX(0,MIN(_xlfn.DAYS(EDATE(W$1,1),Log_2019[[#This Row],[Date]]),Log_2019[[#This Row],[Split_apply]])) - SUM($O669:V669)</f>
        <v>0</v>
      </c>
      <c r="X669" s="52">
        <f ca="1">Log_2019[[#This Row],[Amount]]/Log_2019[[#This Row],[Split_raw]]*MAX(0,MIN(_xlfn.DAYS(EDATE(X$1,1),Log_2019[[#This Row],[Date]]),Log_2019[[#This Row],[Split_apply]])) - SUM($O669:W669)</f>
        <v>0</v>
      </c>
      <c r="Y669" s="52">
        <f ca="1">Log_2019[[#This Row],[Amount]]/Log_2019[[#This Row],[Split_raw]]*MAX(0,MIN(_xlfn.DAYS(EDATE(Y$1,1),Log_2019[[#This Row],[Date]]),Log_2019[[#This Row],[Split_apply]])) - SUM($O669:X669)</f>
        <v>0</v>
      </c>
      <c r="Z669" s="52">
        <f ca="1">Log_2019[[#This Row],[Amount]]/Log_2019[[#This Row],[Split_raw]]*MAX(0,MIN(_xlfn.DAYS(EDATE(Z$1,1),Log_2019[[#This Row],[Date]]),Log_2019[[#This Row],[Split_apply]])) - SUM($O669:Y669)</f>
        <v>0</v>
      </c>
      <c r="AA669" s="52">
        <f ca="1">Log_2019[[#This Row],[Amount]]/Log_2019[[#This Row],[Split_raw]]*MAX(0,MIN(_xlfn.DAYS(EDATE(AA$1,1),Log_2019[[#This Row],[Date]]),Log_2019[[#This Row],[Split_apply]])) - SUM($O669:Z669)</f>
        <v>0</v>
      </c>
      <c r="AB669" s="54">
        <f ca="1">Log_2019[[#This Row],[Amount]]-SUM(O669:AA669)</f>
        <v>0</v>
      </c>
      <c r="AC669" s="7">
        <f>MAX(0,Log_2019[[#This Row],[Split_raw]] - (EDATE(AA$1,1)-Log_2019[[#This Row],[Date]]))</f>
        <v>0</v>
      </c>
    </row>
    <row r="670" spans="1:29" x14ac:dyDescent="0.25">
      <c r="A670" s="42"/>
      <c r="B670" t="s">
        <v>6</v>
      </c>
      <c r="D670" s="26">
        <v>43522</v>
      </c>
      <c r="E670" t="s">
        <v>526</v>
      </c>
      <c r="F670" t="s">
        <v>456</v>
      </c>
      <c r="G670" t="s">
        <v>27</v>
      </c>
      <c r="H670" s="3">
        <v>-4.4400000000000004</v>
      </c>
      <c r="I670" s="36">
        <f>IF(Log_2019[[#This Row],[My Category]]="NONTRACKED",0,Log_2019[[#This Row],[Raw Amount]])</f>
        <v>-4.4400000000000004</v>
      </c>
      <c r="J670" s="17">
        <f>ABS(Log_2019[[#This Row],[Amount]])</f>
        <v>4.4400000000000004</v>
      </c>
      <c r="K670" s="5">
        <v>1</v>
      </c>
      <c r="L670" s="38">
        <f ca="1">IF(Log_2019[[#This Row],[Date]]&lt;=TODAY(), MIN(Log_2019[[#This Row],[Split_raw]], TODAY()-Log_2019[[#This Row],[Date]]+1), 0)</f>
        <v>1</v>
      </c>
      <c r="M670" t="s">
        <v>145</v>
      </c>
      <c r="N670" t="s">
        <v>160</v>
      </c>
      <c r="O670" s="7">
        <v>0</v>
      </c>
      <c r="P670" s="52">
        <f ca="1">Log_2019[[#This Row],[Amount]]/Log_2019[[#This Row],[Split_raw]]*MAX(0,MIN(_xlfn.DAYS(EDATE(P$1,1),Log_2019[[#This Row],[Date]]),Log_2019[[#This Row],[Split_apply]])) - SUM($O670:O670)</f>
        <v>0</v>
      </c>
      <c r="Q670" s="52">
        <f ca="1">Log_2019[[#This Row],[Amount]]/Log_2019[[#This Row],[Split_raw]]*MAX(0,MIN(_xlfn.DAYS(EDATE(Q$1,1),Log_2019[[#This Row],[Date]]),Log_2019[[#This Row],[Split_apply]])) - SUM($O670:P670)</f>
        <v>-4.4400000000000004</v>
      </c>
      <c r="R670" s="52">
        <f ca="1">Log_2019[[#This Row],[Amount]]/Log_2019[[#This Row],[Split_raw]]*MAX(0,MIN(_xlfn.DAYS(EDATE(R$1,1),Log_2019[[#This Row],[Date]]),Log_2019[[#This Row],[Split_apply]])) - SUM($O670:Q670)</f>
        <v>0</v>
      </c>
      <c r="S670" s="52">
        <f ca="1">Log_2019[[#This Row],[Amount]]/Log_2019[[#This Row],[Split_raw]]*MAX(0,MIN(_xlfn.DAYS(EDATE(S$1,1),Log_2019[[#This Row],[Date]]),Log_2019[[#This Row],[Split_apply]])) - SUM($O670:R670)</f>
        <v>0</v>
      </c>
      <c r="T670" s="52">
        <f ca="1">Log_2019[[#This Row],[Amount]]/Log_2019[[#This Row],[Split_raw]]*MAX(0,MIN(_xlfn.DAYS(EDATE(T$1,1),Log_2019[[#This Row],[Date]]),Log_2019[[#This Row],[Split_apply]])) - SUM($O670:S670)</f>
        <v>0</v>
      </c>
      <c r="U670" s="52">
        <f ca="1">Log_2019[[#This Row],[Amount]]/Log_2019[[#This Row],[Split_raw]]*MAX(0,MIN(_xlfn.DAYS(EDATE(U$1,1),Log_2019[[#This Row],[Date]]),Log_2019[[#This Row],[Split_apply]])) - SUM($O670:T670)</f>
        <v>0</v>
      </c>
      <c r="V670" s="52">
        <f ca="1">Log_2019[[#This Row],[Amount]]/Log_2019[[#This Row],[Split_raw]]*MAX(0,MIN(_xlfn.DAYS(EDATE(V$1,1),Log_2019[[#This Row],[Date]]),Log_2019[[#This Row],[Split_apply]])) - SUM($O670:U670)</f>
        <v>0</v>
      </c>
      <c r="W670" s="52">
        <f ca="1">Log_2019[[#This Row],[Amount]]/Log_2019[[#This Row],[Split_raw]]*MAX(0,MIN(_xlfn.DAYS(EDATE(W$1,1),Log_2019[[#This Row],[Date]]),Log_2019[[#This Row],[Split_apply]])) - SUM($O670:V670)</f>
        <v>0</v>
      </c>
      <c r="X670" s="52">
        <f ca="1">Log_2019[[#This Row],[Amount]]/Log_2019[[#This Row],[Split_raw]]*MAX(0,MIN(_xlfn.DAYS(EDATE(X$1,1),Log_2019[[#This Row],[Date]]),Log_2019[[#This Row],[Split_apply]])) - SUM($O670:W670)</f>
        <v>0</v>
      </c>
      <c r="Y670" s="52">
        <f ca="1">Log_2019[[#This Row],[Amount]]/Log_2019[[#This Row],[Split_raw]]*MAX(0,MIN(_xlfn.DAYS(EDATE(Y$1,1),Log_2019[[#This Row],[Date]]),Log_2019[[#This Row],[Split_apply]])) - SUM($O670:X670)</f>
        <v>0</v>
      </c>
      <c r="Z670" s="52">
        <f ca="1">Log_2019[[#This Row],[Amount]]/Log_2019[[#This Row],[Split_raw]]*MAX(0,MIN(_xlfn.DAYS(EDATE(Z$1,1),Log_2019[[#This Row],[Date]]),Log_2019[[#This Row],[Split_apply]])) - SUM($O670:Y670)</f>
        <v>0</v>
      </c>
      <c r="AA670" s="52">
        <f ca="1">Log_2019[[#This Row],[Amount]]/Log_2019[[#This Row],[Split_raw]]*MAX(0,MIN(_xlfn.DAYS(EDATE(AA$1,1),Log_2019[[#This Row],[Date]]),Log_2019[[#This Row],[Split_apply]])) - SUM($O670:Z670)</f>
        <v>0</v>
      </c>
      <c r="AB670" s="54">
        <f ca="1">Log_2019[[#This Row],[Amount]]-SUM(O670:AA670)</f>
        <v>0</v>
      </c>
      <c r="AC670" s="7">
        <f>MAX(0,Log_2019[[#This Row],[Split_raw]] - (EDATE(AA$1,1)-Log_2019[[#This Row],[Date]]))</f>
        <v>0</v>
      </c>
    </row>
    <row r="671" spans="1:29" x14ac:dyDescent="0.25">
      <c r="A671" s="42"/>
      <c r="B671" t="s">
        <v>6</v>
      </c>
      <c r="D671" s="26">
        <v>43521</v>
      </c>
      <c r="F671" t="s">
        <v>255</v>
      </c>
      <c r="G671" t="s">
        <v>25</v>
      </c>
      <c r="H671" s="3">
        <v>-13.03</v>
      </c>
      <c r="I671" s="36">
        <f>IF(Log_2019[[#This Row],[My Category]]="NONTRACKED",0,Log_2019[[#This Row],[Raw Amount]])</f>
        <v>-13.03</v>
      </c>
      <c r="J671" s="17">
        <f>ABS(Log_2019[[#This Row],[Amount]])</f>
        <v>13.03</v>
      </c>
      <c r="K671" s="5">
        <v>1</v>
      </c>
      <c r="L671" s="38">
        <f ca="1">IF(Log_2019[[#This Row],[Date]]&lt;=TODAY(), MIN(Log_2019[[#This Row],[Split_raw]], TODAY()-Log_2019[[#This Row],[Date]]+1), 0)</f>
        <v>1</v>
      </c>
      <c r="M671" t="s">
        <v>35</v>
      </c>
      <c r="N671" t="s">
        <v>158</v>
      </c>
      <c r="O671" s="7">
        <v>0</v>
      </c>
      <c r="P671" s="52">
        <f ca="1">Log_2019[[#This Row],[Amount]]/Log_2019[[#This Row],[Split_raw]]*MAX(0,MIN(_xlfn.DAYS(EDATE(P$1,1),Log_2019[[#This Row],[Date]]),Log_2019[[#This Row],[Split_apply]])) - SUM($O671:O671)</f>
        <v>0</v>
      </c>
      <c r="Q671" s="52">
        <f ca="1">Log_2019[[#This Row],[Amount]]/Log_2019[[#This Row],[Split_raw]]*MAX(0,MIN(_xlfn.DAYS(EDATE(Q$1,1),Log_2019[[#This Row],[Date]]),Log_2019[[#This Row],[Split_apply]])) - SUM($O671:P671)</f>
        <v>-13.03</v>
      </c>
      <c r="R671" s="52">
        <f ca="1">Log_2019[[#This Row],[Amount]]/Log_2019[[#This Row],[Split_raw]]*MAX(0,MIN(_xlfn.DAYS(EDATE(R$1,1),Log_2019[[#This Row],[Date]]),Log_2019[[#This Row],[Split_apply]])) - SUM($O671:Q671)</f>
        <v>0</v>
      </c>
      <c r="S671" s="52">
        <f ca="1">Log_2019[[#This Row],[Amount]]/Log_2019[[#This Row],[Split_raw]]*MAX(0,MIN(_xlfn.DAYS(EDATE(S$1,1),Log_2019[[#This Row],[Date]]),Log_2019[[#This Row],[Split_apply]])) - SUM($O671:R671)</f>
        <v>0</v>
      </c>
      <c r="T671" s="52">
        <f ca="1">Log_2019[[#This Row],[Amount]]/Log_2019[[#This Row],[Split_raw]]*MAX(0,MIN(_xlfn.DAYS(EDATE(T$1,1),Log_2019[[#This Row],[Date]]),Log_2019[[#This Row],[Split_apply]])) - SUM($O671:S671)</f>
        <v>0</v>
      </c>
      <c r="U671" s="52">
        <f ca="1">Log_2019[[#This Row],[Amount]]/Log_2019[[#This Row],[Split_raw]]*MAX(0,MIN(_xlfn.DAYS(EDATE(U$1,1),Log_2019[[#This Row],[Date]]),Log_2019[[#This Row],[Split_apply]])) - SUM($O671:T671)</f>
        <v>0</v>
      </c>
      <c r="V671" s="52">
        <f ca="1">Log_2019[[#This Row],[Amount]]/Log_2019[[#This Row],[Split_raw]]*MAX(0,MIN(_xlfn.DAYS(EDATE(V$1,1),Log_2019[[#This Row],[Date]]),Log_2019[[#This Row],[Split_apply]])) - SUM($O671:U671)</f>
        <v>0</v>
      </c>
      <c r="W671" s="52">
        <f ca="1">Log_2019[[#This Row],[Amount]]/Log_2019[[#This Row],[Split_raw]]*MAX(0,MIN(_xlfn.DAYS(EDATE(W$1,1),Log_2019[[#This Row],[Date]]),Log_2019[[#This Row],[Split_apply]])) - SUM($O671:V671)</f>
        <v>0</v>
      </c>
      <c r="X671" s="52">
        <f ca="1">Log_2019[[#This Row],[Amount]]/Log_2019[[#This Row],[Split_raw]]*MAX(0,MIN(_xlfn.DAYS(EDATE(X$1,1),Log_2019[[#This Row],[Date]]),Log_2019[[#This Row],[Split_apply]])) - SUM($O671:W671)</f>
        <v>0</v>
      </c>
      <c r="Y671" s="52">
        <f ca="1">Log_2019[[#This Row],[Amount]]/Log_2019[[#This Row],[Split_raw]]*MAX(0,MIN(_xlfn.DAYS(EDATE(Y$1,1),Log_2019[[#This Row],[Date]]),Log_2019[[#This Row],[Split_apply]])) - SUM($O671:X671)</f>
        <v>0</v>
      </c>
      <c r="Z671" s="52">
        <f ca="1">Log_2019[[#This Row],[Amount]]/Log_2019[[#This Row],[Split_raw]]*MAX(0,MIN(_xlfn.DAYS(EDATE(Z$1,1),Log_2019[[#This Row],[Date]]),Log_2019[[#This Row],[Split_apply]])) - SUM($O671:Y671)</f>
        <v>0</v>
      </c>
      <c r="AA671" s="52">
        <f ca="1">Log_2019[[#This Row],[Amount]]/Log_2019[[#This Row],[Split_raw]]*MAX(0,MIN(_xlfn.DAYS(EDATE(AA$1,1),Log_2019[[#This Row],[Date]]),Log_2019[[#This Row],[Split_apply]])) - SUM($O671:Z671)</f>
        <v>0</v>
      </c>
      <c r="AB671" s="54">
        <f ca="1">Log_2019[[#This Row],[Amount]]-SUM(O671:AA671)</f>
        <v>0</v>
      </c>
      <c r="AC671" s="7">
        <f>MAX(0,Log_2019[[#This Row],[Split_raw]] - (EDATE(AA$1,1)-Log_2019[[#This Row],[Date]]))</f>
        <v>0</v>
      </c>
    </row>
    <row r="672" spans="1:29" x14ac:dyDescent="0.25">
      <c r="A672" s="42"/>
      <c r="B672" s="34" t="s">
        <v>490</v>
      </c>
      <c r="C672" s="34">
        <v>2.6867561797485798E+18</v>
      </c>
      <c r="D672" s="41">
        <v>43521</v>
      </c>
      <c r="E672" s="34"/>
      <c r="F672" s="34" t="s">
        <v>716</v>
      </c>
      <c r="G672" s="34"/>
      <c r="H672" s="45">
        <v>5</v>
      </c>
      <c r="I672" s="36">
        <f>IF(Log_2019[[#This Row],[My Category]]="NONTRACKED",0,Log_2019[[#This Row],[Raw Amount]])</f>
        <v>5</v>
      </c>
      <c r="J672" s="37">
        <f>ABS(Log_2019[[#This Row],[Amount]])</f>
        <v>5</v>
      </c>
      <c r="K672" s="38">
        <v>1</v>
      </c>
      <c r="L672" s="38">
        <f ca="1">IF(Log_2019[[#This Row],[Date]]&lt;=TODAY(), MIN(Log_2019[[#This Row],[Split_raw]], TODAY()-Log_2019[[#This Row],[Date]]+1), 0)</f>
        <v>1</v>
      </c>
      <c r="M672" s="34" t="s">
        <v>147</v>
      </c>
      <c r="N672" s="34" t="s">
        <v>490</v>
      </c>
      <c r="O672" s="7">
        <v>0</v>
      </c>
      <c r="P672" s="52">
        <f ca="1">Log_2019[[#This Row],[Amount]]/Log_2019[[#This Row],[Split_raw]]*MAX(0,MIN(_xlfn.DAYS(EDATE(P$1,1),Log_2019[[#This Row],[Date]]),Log_2019[[#This Row],[Split_apply]])) - SUM($O672:O672)</f>
        <v>0</v>
      </c>
      <c r="Q672" s="52">
        <f ca="1">Log_2019[[#This Row],[Amount]]/Log_2019[[#This Row],[Split_raw]]*MAX(0,MIN(_xlfn.DAYS(EDATE(Q$1,1),Log_2019[[#This Row],[Date]]),Log_2019[[#This Row],[Split_apply]])) - SUM($O672:P672)</f>
        <v>5</v>
      </c>
      <c r="R672" s="52">
        <f ca="1">Log_2019[[#This Row],[Amount]]/Log_2019[[#This Row],[Split_raw]]*MAX(0,MIN(_xlfn.DAYS(EDATE(R$1,1),Log_2019[[#This Row],[Date]]),Log_2019[[#This Row],[Split_apply]])) - SUM($O672:Q672)</f>
        <v>0</v>
      </c>
      <c r="S672" s="52">
        <f ca="1">Log_2019[[#This Row],[Amount]]/Log_2019[[#This Row],[Split_raw]]*MAX(0,MIN(_xlfn.DAYS(EDATE(S$1,1),Log_2019[[#This Row],[Date]]),Log_2019[[#This Row],[Split_apply]])) - SUM($O672:R672)</f>
        <v>0</v>
      </c>
      <c r="T672" s="52">
        <f ca="1">Log_2019[[#This Row],[Amount]]/Log_2019[[#This Row],[Split_raw]]*MAX(0,MIN(_xlfn.DAYS(EDATE(T$1,1),Log_2019[[#This Row],[Date]]),Log_2019[[#This Row],[Split_apply]])) - SUM($O672:S672)</f>
        <v>0</v>
      </c>
      <c r="U672" s="52">
        <f ca="1">Log_2019[[#This Row],[Amount]]/Log_2019[[#This Row],[Split_raw]]*MAX(0,MIN(_xlfn.DAYS(EDATE(U$1,1),Log_2019[[#This Row],[Date]]),Log_2019[[#This Row],[Split_apply]])) - SUM($O672:T672)</f>
        <v>0</v>
      </c>
      <c r="V672" s="52">
        <f ca="1">Log_2019[[#This Row],[Amount]]/Log_2019[[#This Row],[Split_raw]]*MAX(0,MIN(_xlfn.DAYS(EDATE(V$1,1),Log_2019[[#This Row],[Date]]),Log_2019[[#This Row],[Split_apply]])) - SUM($O672:U672)</f>
        <v>0</v>
      </c>
      <c r="W672" s="52">
        <f ca="1">Log_2019[[#This Row],[Amount]]/Log_2019[[#This Row],[Split_raw]]*MAX(0,MIN(_xlfn.DAYS(EDATE(W$1,1),Log_2019[[#This Row],[Date]]),Log_2019[[#This Row],[Split_apply]])) - SUM($O672:V672)</f>
        <v>0</v>
      </c>
      <c r="X672" s="52">
        <f ca="1">Log_2019[[#This Row],[Amount]]/Log_2019[[#This Row],[Split_raw]]*MAX(0,MIN(_xlfn.DAYS(EDATE(X$1,1),Log_2019[[#This Row],[Date]]),Log_2019[[#This Row],[Split_apply]])) - SUM($O672:W672)</f>
        <v>0</v>
      </c>
      <c r="Y672" s="52">
        <f ca="1">Log_2019[[#This Row],[Amount]]/Log_2019[[#This Row],[Split_raw]]*MAX(0,MIN(_xlfn.DAYS(EDATE(Y$1,1),Log_2019[[#This Row],[Date]]),Log_2019[[#This Row],[Split_apply]])) - SUM($O672:X672)</f>
        <v>0</v>
      </c>
      <c r="Z672" s="52">
        <f ca="1">Log_2019[[#This Row],[Amount]]/Log_2019[[#This Row],[Split_raw]]*MAX(0,MIN(_xlfn.DAYS(EDATE(Z$1,1),Log_2019[[#This Row],[Date]]),Log_2019[[#This Row],[Split_apply]])) - SUM($O672:Y672)</f>
        <v>0</v>
      </c>
      <c r="AA672" s="52">
        <f ca="1">Log_2019[[#This Row],[Amount]]/Log_2019[[#This Row],[Split_raw]]*MAX(0,MIN(_xlfn.DAYS(EDATE(AA$1,1),Log_2019[[#This Row],[Date]]),Log_2019[[#This Row],[Split_apply]])) - SUM($O672:Z672)</f>
        <v>0</v>
      </c>
      <c r="AB672" s="54">
        <f ca="1">Log_2019[[#This Row],[Amount]]-SUM(O672:AA672)</f>
        <v>0</v>
      </c>
      <c r="AC672" s="7">
        <f>MAX(0,Log_2019[[#This Row],[Split_raw]] - (EDATE(AA$1,1)-Log_2019[[#This Row],[Date]]))</f>
        <v>0</v>
      </c>
    </row>
    <row r="673" spans="1:29" x14ac:dyDescent="0.25">
      <c r="A673" s="42"/>
      <c r="B673" t="s">
        <v>6</v>
      </c>
      <c r="D673" s="26">
        <v>43520</v>
      </c>
      <c r="F673" t="s">
        <v>184</v>
      </c>
      <c r="G673" t="s">
        <v>11</v>
      </c>
      <c r="H673" s="3">
        <v>-17.29</v>
      </c>
      <c r="I673" s="36">
        <f>IF(Log_2019[[#This Row],[My Category]]="NONTRACKED",0,Log_2019[[#This Row],[Raw Amount]])</f>
        <v>-17.29</v>
      </c>
      <c r="J673" s="17">
        <f>ABS(Log_2019[[#This Row],[Amount]])</f>
        <v>17.29</v>
      </c>
      <c r="K673" s="5">
        <v>1</v>
      </c>
      <c r="L673" s="38">
        <f ca="1">IF(Log_2019[[#This Row],[Date]]&lt;=TODAY(), MIN(Log_2019[[#This Row],[Split_raw]], TODAY()-Log_2019[[#This Row],[Date]]+1), 0)</f>
        <v>1</v>
      </c>
      <c r="M673" t="s">
        <v>12</v>
      </c>
      <c r="N673" t="s">
        <v>158</v>
      </c>
      <c r="O673" s="7">
        <v>0</v>
      </c>
      <c r="P673" s="52">
        <f ca="1">Log_2019[[#This Row],[Amount]]/Log_2019[[#This Row],[Split_raw]]*MAX(0,MIN(_xlfn.DAYS(EDATE(P$1,1),Log_2019[[#This Row],[Date]]),Log_2019[[#This Row],[Split_apply]])) - SUM($O673:O673)</f>
        <v>0</v>
      </c>
      <c r="Q673" s="52">
        <f ca="1">Log_2019[[#This Row],[Amount]]/Log_2019[[#This Row],[Split_raw]]*MAX(0,MIN(_xlfn.DAYS(EDATE(Q$1,1),Log_2019[[#This Row],[Date]]),Log_2019[[#This Row],[Split_apply]])) - SUM($O673:P673)</f>
        <v>-17.29</v>
      </c>
      <c r="R673" s="52">
        <f ca="1">Log_2019[[#This Row],[Amount]]/Log_2019[[#This Row],[Split_raw]]*MAX(0,MIN(_xlfn.DAYS(EDATE(R$1,1),Log_2019[[#This Row],[Date]]),Log_2019[[#This Row],[Split_apply]])) - SUM($O673:Q673)</f>
        <v>0</v>
      </c>
      <c r="S673" s="52">
        <f ca="1">Log_2019[[#This Row],[Amount]]/Log_2019[[#This Row],[Split_raw]]*MAX(0,MIN(_xlfn.DAYS(EDATE(S$1,1),Log_2019[[#This Row],[Date]]),Log_2019[[#This Row],[Split_apply]])) - SUM($O673:R673)</f>
        <v>0</v>
      </c>
      <c r="T673" s="52">
        <f ca="1">Log_2019[[#This Row],[Amount]]/Log_2019[[#This Row],[Split_raw]]*MAX(0,MIN(_xlfn.DAYS(EDATE(T$1,1),Log_2019[[#This Row],[Date]]),Log_2019[[#This Row],[Split_apply]])) - SUM($O673:S673)</f>
        <v>0</v>
      </c>
      <c r="U673" s="52">
        <f ca="1">Log_2019[[#This Row],[Amount]]/Log_2019[[#This Row],[Split_raw]]*MAX(0,MIN(_xlfn.DAYS(EDATE(U$1,1),Log_2019[[#This Row],[Date]]),Log_2019[[#This Row],[Split_apply]])) - SUM($O673:T673)</f>
        <v>0</v>
      </c>
      <c r="V673" s="52">
        <f ca="1">Log_2019[[#This Row],[Amount]]/Log_2019[[#This Row],[Split_raw]]*MAX(0,MIN(_xlfn.DAYS(EDATE(V$1,1),Log_2019[[#This Row],[Date]]),Log_2019[[#This Row],[Split_apply]])) - SUM($O673:U673)</f>
        <v>0</v>
      </c>
      <c r="W673" s="52">
        <f ca="1">Log_2019[[#This Row],[Amount]]/Log_2019[[#This Row],[Split_raw]]*MAX(0,MIN(_xlfn.DAYS(EDATE(W$1,1),Log_2019[[#This Row],[Date]]),Log_2019[[#This Row],[Split_apply]])) - SUM($O673:V673)</f>
        <v>0</v>
      </c>
      <c r="X673" s="52">
        <f ca="1">Log_2019[[#This Row],[Amount]]/Log_2019[[#This Row],[Split_raw]]*MAX(0,MIN(_xlfn.DAYS(EDATE(X$1,1),Log_2019[[#This Row],[Date]]),Log_2019[[#This Row],[Split_apply]])) - SUM($O673:W673)</f>
        <v>0</v>
      </c>
      <c r="Y673" s="52">
        <f ca="1">Log_2019[[#This Row],[Amount]]/Log_2019[[#This Row],[Split_raw]]*MAX(0,MIN(_xlfn.DAYS(EDATE(Y$1,1),Log_2019[[#This Row],[Date]]),Log_2019[[#This Row],[Split_apply]])) - SUM($O673:X673)</f>
        <v>0</v>
      </c>
      <c r="Z673" s="52">
        <f ca="1">Log_2019[[#This Row],[Amount]]/Log_2019[[#This Row],[Split_raw]]*MAX(0,MIN(_xlfn.DAYS(EDATE(Z$1,1),Log_2019[[#This Row],[Date]]),Log_2019[[#This Row],[Split_apply]])) - SUM($O673:Y673)</f>
        <v>0</v>
      </c>
      <c r="AA673" s="52">
        <f ca="1">Log_2019[[#This Row],[Amount]]/Log_2019[[#This Row],[Split_raw]]*MAX(0,MIN(_xlfn.DAYS(EDATE(AA$1,1),Log_2019[[#This Row],[Date]]),Log_2019[[#This Row],[Split_apply]])) - SUM($O673:Z673)</f>
        <v>0</v>
      </c>
      <c r="AB673" s="54">
        <f ca="1">Log_2019[[#This Row],[Amount]]-SUM(O673:AA673)</f>
        <v>0</v>
      </c>
      <c r="AC673" s="7">
        <f>MAX(0,Log_2019[[#This Row],[Split_raw]] - (EDATE(AA$1,1)-Log_2019[[#This Row],[Date]]))</f>
        <v>0</v>
      </c>
    </row>
    <row r="674" spans="1:29" x14ac:dyDescent="0.25">
      <c r="A674" s="42"/>
      <c r="B674" t="s">
        <v>6</v>
      </c>
      <c r="D674" s="26">
        <v>43520</v>
      </c>
      <c r="F674" t="s">
        <v>529</v>
      </c>
      <c r="G674" t="s">
        <v>25</v>
      </c>
      <c r="H674" s="3">
        <v>-18.12</v>
      </c>
      <c r="I674" s="36">
        <f>IF(Log_2019[[#This Row],[My Category]]="NONTRACKED",0,Log_2019[[#This Row],[Raw Amount]])</f>
        <v>-18.12</v>
      </c>
      <c r="J674" s="17">
        <f>ABS(Log_2019[[#This Row],[Amount]])</f>
        <v>18.12</v>
      </c>
      <c r="K674" s="5">
        <v>1</v>
      </c>
      <c r="L674" s="38">
        <f ca="1">IF(Log_2019[[#This Row],[Date]]&lt;=TODAY(), MIN(Log_2019[[#This Row],[Split_raw]], TODAY()-Log_2019[[#This Row],[Date]]+1), 0)</f>
        <v>1</v>
      </c>
      <c r="M674" t="s">
        <v>40</v>
      </c>
      <c r="N674" t="s">
        <v>158</v>
      </c>
      <c r="O674" s="7">
        <v>0</v>
      </c>
      <c r="P674" s="52">
        <f ca="1">Log_2019[[#This Row],[Amount]]/Log_2019[[#This Row],[Split_raw]]*MAX(0,MIN(_xlfn.DAYS(EDATE(P$1,1),Log_2019[[#This Row],[Date]]),Log_2019[[#This Row],[Split_apply]])) - SUM($O674:O674)</f>
        <v>0</v>
      </c>
      <c r="Q674" s="52">
        <f ca="1">Log_2019[[#This Row],[Amount]]/Log_2019[[#This Row],[Split_raw]]*MAX(0,MIN(_xlfn.DAYS(EDATE(Q$1,1),Log_2019[[#This Row],[Date]]),Log_2019[[#This Row],[Split_apply]])) - SUM($O674:P674)</f>
        <v>-18.12</v>
      </c>
      <c r="R674" s="52">
        <f ca="1">Log_2019[[#This Row],[Amount]]/Log_2019[[#This Row],[Split_raw]]*MAX(0,MIN(_xlfn.DAYS(EDATE(R$1,1),Log_2019[[#This Row],[Date]]),Log_2019[[#This Row],[Split_apply]])) - SUM($O674:Q674)</f>
        <v>0</v>
      </c>
      <c r="S674" s="52">
        <f ca="1">Log_2019[[#This Row],[Amount]]/Log_2019[[#This Row],[Split_raw]]*MAX(0,MIN(_xlfn.DAYS(EDATE(S$1,1),Log_2019[[#This Row],[Date]]),Log_2019[[#This Row],[Split_apply]])) - SUM($O674:R674)</f>
        <v>0</v>
      </c>
      <c r="T674" s="52">
        <f ca="1">Log_2019[[#This Row],[Amount]]/Log_2019[[#This Row],[Split_raw]]*MAX(0,MIN(_xlfn.DAYS(EDATE(T$1,1),Log_2019[[#This Row],[Date]]),Log_2019[[#This Row],[Split_apply]])) - SUM($O674:S674)</f>
        <v>0</v>
      </c>
      <c r="U674" s="52">
        <f ca="1">Log_2019[[#This Row],[Amount]]/Log_2019[[#This Row],[Split_raw]]*MAX(0,MIN(_xlfn.DAYS(EDATE(U$1,1),Log_2019[[#This Row],[Date]]),Log_2019[[#This Row],[Split_apply]])) - SUM($O674:T674)</f>
        <v>0</v>
      </c>
      <c r="V674" s="52">
        <f ca="1">Log_2019[[#This Row],[Amount]]/Log_2019[[#This Row],[Split_raw]]*MAX(0,MIN(_xlfn.DAYS(EDATE(V$1,1),Log_2019[[#This Row],[Date]]),Log_2019[[#This Row],[Split_apply]])) - SUM($O674:U674)</f>
        <v>0</v>
      </c>
      <c r="W674" s="52">
        <f ca="1">Log_2019[[#This Row],[Amount]]/Log_2019[[#This Row],[Split_raw]]*MAX(0,MIN(_xlfn.DAYS(EDATE(W$1,1),Log_2019[[#This Row],[Date]]),Log_2019[[#This Row],[Split_apply]])) - SUM($O674:V674)</f>
        <v>0</v>
      </c>
      <c r="X674" s="52">
        <f ca="1">Log_2019[[#This Row],[Amount]]/Log_2019[[#This Row],[Split_raw]]*MAX(0,MIN(_xlfn.DAYS(EDATE(X$1,1),Log_2019[[#This Row],[Date]]),Log_2019[[#This Row],[Split_apply]])) - SUM($O674:W674)</f>
        <v>0</v>
      </c>
      <c r="Y674" s="52">
        <f ca="1">Log_2019[[#This Row],[Amount]]/Log_2019[[#This Row],[Split_raw]]*MAX(0,MIN(_xlfn.DAYS(EDATE(Y$1,1),Log_2019[[#This Row],[Date]]),Log_2019[[#This Row],[Split_apply]])) - SUM($O674:X674)</f>
        <v>0</v>
      </c>
      <c r="Z674" s="52">
        <f ca="1">Log_2019[[#This Row],[Amount]]/Log_2019[[#This Row],[Split_raw]]*MAX(0,MIN(_xlfn.DAYS(EDATE(Z$1,1),Log_2019[[#This Row],[Date]]),Log_2019[[#This Row],[Split_apply]])) - SUM($O674:Y674)</f>
        <v>0</v>
      </c>
      <c r="AA674" s="52">
        <f ca="1">Log_2019[[#This Row],[Amount]]/Log_2019[[#This Row],[Split_raw]]*MAX(0,MIN(_xlfn.DAYS(EDATE(AA$1,1),Log_2019[[#This Row],[Date]]),Log_2019[[#This Row],[Split_apply]])) - SUM($O674:Z674)</f>
        <v>0</v>
      </c>
      <c r="AB674" s="54">
        <f ca="1">Log_2019[[#This Row],[Amount]]-SUM(O674:AA674)</f>
        <v>0</v>
      </c>
      <c r="AC674" s="7">
        <f>MAX(0,Log_2019[[#This Row],[Split_raw]] - (EDATE(AA$1,1)-Log_2019[[#This Row],[Date]]))</f>
        <v>0</v>
      </c>
    </row>
    <row r="675" spans="1:29" x14ac:dyDescent="0.25">
      <c r="A675" s="42"/>
      <c r="B675" t="s">
        <v>6</v>
      </c>
      <c r="D675" s="26">
        <v>43518</v>
      </c>
      <c r="F675" t="s">
        <v>255</v>
      </c>
      <c r="G675" t="s">
        <v>25</v>
      </c>
      <c r="H675" s="3">
        <v>-24.94</v>
      </c>
      <c r="I675" s="36">
        <f>IF(Log_2019[[#This Row],[My Category]]="NONTRACKED",0,Log_2019[[#This Row],[Raw Amount]])</f>
        <v>-24.94</v>
      </c>
      <c r="J675" s="17">
        <f>ABS(Log_2019[[#This Row],[Amount]])</f>
        <v>24.94</v>
      </c>
      <c r="K675" s="5">
        <v>1</v>
      </c>
      <c r="L675" s="38">
        <f ca="1">IF(Log_2019[[#This Row],[Date]]&lt;=TODAY(), MIN(Log_2019[[#This Row],[Split_raw]], TODAY()-Log_2019[[#This Row],[Date]]+1), 0)</f>
        <v>1</v>
      </c>
      <c r="M675" t="s">
        <v>52</v>
      </c>
      <c r="N675" t="s">
        <v>158</v>
      </c>
      <c r="O675" s="7">
        <v>0</v>
      </c>
      <c r="P675" s="52">
        <f ca="1">Log_2019[[#This Row],[Amount]]/Log_2019[[#This Row],[Split_raw]]*MAX(0,MIN(_xlfn.DAYS(EDATE(P$1,1),Log_2019[[#This Row],[Date]]),Log_2019[[#This Row],[Split_apply]])) - SUM($O675:O675)</f>
        <v>0</v>
      </c>
      <c r="Q675" s="52">
        <f ca="1">Log_2019[[#This Row],[Amount]]/Log_2019[[#This Row],[Split_raw]]*MAX(0,MIN(_xlfn.DAYS(EDATE(Q$1,1),Log_2019[[#This Row],[Date]]),Log_2019[[#This Row],[Split_apply]])) - SUM($O675:P675)</f>
        <v>-24.94</v>
      </c>
      <c r="R675" s="52">
        <f ca="1">Log_2019[[#This Row],[Amount]]/Log_2019[[#This Row],[Split_raw]]*MAX(0,MIN(_xlfn.DAYS(EDATE(R$1,1),Log_2019[[#This Row],[Date]]),Log_2019[[#This Row],[Split_apply]])) - SUM($O675:Q675)</f>
        <v>0</v>
      </c>
      <c r="S675" s="52">
        <f ca="1">Log_2019[[#This Row],[Amount]]/Log_2019[[#This Row],[Split_raw]]*MAX(0,MIN(_xlfn.DAYS(EDATE(S$1,1),Log_2019[[#This Row],[Date]]),Log_2019[[#This Row],[Split_apply]])) - SUM($O675:R675)</f>
        <v>0</v>
      </c>
      <c r="T675" s="52">
        <f ca="1">Log_2019[[#This Row],[Amount]]/Log_2019[[#This Row],[Split_raw]]*MAX(0,MIN(_xlfn.DAYS(EDATE(T$1,1),Log_2019[[#This Row],[Date]]),Log_2019[[#This Row],[Split_apply]])) - SUM($O675:S675)</f>
        <v>0</v>
      </c>
      <c r="U675" s="52">
        <f ca="1">Log_2019[[#This Row],[Amount]]/Log_2019[[#This Row],[Split_raw]]*MAX(0,MIN(_xlfn.DAYS(EDATE(U$1,1),Log_2019[[#This Row],[Date]]),Log_2019[[#This Row],[Split_apply]])) - SUM($O675:T675)</f>
        <v>0</v>
      </c>
      <c r="V675" s="52">
        <f ca="1">Log_2019[[#This Row],[Amount]]/Log_2019[[#This Row],[Split_raw]]*MAX(0,MIN(_xlfn.DAYS(EDATE(V$1,1),Log_2019[[#This Row],[Date]]),Log_2019[[#This Row],[Split_apply]])) - SUM($O675:U675)</f>
        <v>0</v>
      </c>
      <c r="W675" s="52">
        <f ca="1">Log_2019[[#This Row],[Amount]]/Log_2019[[#This Row],[Split_raw]]*MAX(0,MIN(_xlfn.DAYS(EDATE(W$1,1),Log_2019[[#This Row],[Date]]),Log_2019[[#This Row],[Split_apply]])) - SUM($O675:V675)</f>
        <v>0</v>
      </c>
      <c r="X675" s="52">
        <f ca="1">Log_2019[[#This Row],[Amount]]/Log_2019[[#This Row],[Split_raw]]*MAX(0,MIN(_xlfn.DAYS(EDATE(X$1,1),Log_2019[[#This Row],[Date]]),Log_2019[[#This Row],[Split_apply]])) - SUM($O675:W675)</f>
        <v>0</v>
      </c>
      <c r="Y675" s="52">
        <f ca="1">Log_2019[[#This Row],[Amount]]/Log_2019[[#This Row],[Split_raw]]*MAX(0,MIN(_xlfn.DAYS(EDATE(Y$1,1),Log_2019[[#This Row],[Date]]),Log_2019[[#This Row],[Split_apply]])) - SUM($O675:X675)</f>
        <v>0</v>
      </c>
      <c r="Z675" s="52">
        <f ca="1">Log_2019[[#This Row],[Amount]]/Log_2019[[#This Row],[Split_raw]]*MAX(0,MIN(_xlfn.DAYS(EDATE(Z$1,1),Log_2019[[#This Row],[Date]]),Log_2019[[#This Row],[Split_apply]])) - SUM($O675:Y675)</f>
        <v>0</v>
      </c>
      <c r="AA675" s="52">
        <f ca="1">Log_2019[[#This Row],[Amount]]/Log_2019[[#This Row],[Split_raw]]*MAX(0,MIN(_xlfn.DAYS(EDATE(AA$1,1),Log_2019[[#This Row],[Date]]),Log_2019[[#This Row],[Split_apply]])) - SUM($O675:Z675)</f>
        <v>0</v>
      </c>
      <c r="AB675" s="54">
        <f ca="1">Log_2019[[#This Row],[Amount]]-SUM(O675:AA675)</f>
        <v>0</v>
      </c>
      <c r="AC675" s="7">
        <f>MAX(0,Log_2019[[#This Row],[Split_raw]] - (EDATE(AA$1,1)-Log_2019[[#This Row],[Date]]))</f>
        <v>0</v>
      </c>
    </row>
    <row r="676" spans="1:29" x14ac:dyDescent="0.25">
      <c r="A676" s="42"/>
      <c r="B676" t="s">
        <v>6</v>
      </c>
      <c r="D676" s="26">
        <v>43518</v>
      </c>
      <c r="F676" t="s">
        <v>327</v>
      </c>
      <c r="G676" t="s">
        <v>25</v>
      </c>
      <c r="H676" s="3">
        <v>-13.96</v>
      </c>
      <c r="I676" s="36">
        <f>IF(Log_2019[[#This Row],[My Category]]="NONTRACKED",0,Log_2019[[#This Row],[Raw Amount]])</f>
        <v>-13.96</v>
      </c>
      <c r="J676" s="17">
        <f>ABS(Log_2019[[#This Row],[Amount]])</f>
        <v>13.96</v>
      </c>
      <c r="K676" s="5">
        <v>1</v>
      </c>
      <c r="L676" s="38">
        <f ca="1">IF(Log_2019[[#This Row],[Date]]&lt;=TODAY(), MIN(Log_2019[[#This Row],[Split_raw]], TODAY()-Log_2019[[#This Row],[Date]]+1), 0)</f>
        <v>1</v>
      </c>
      <c r="M676" t="s">
        <v>35</v>
      </c>
      <c r="N676" t="s">
        <v>158</v>
      </c>
      <c r="O676" s="7">
        <v>0</v>
      </c>
      <c r="P676" s="52">
        <f ca="1">Log_2019[[#This Row],[Amount]]/Log_2019[[#This Row],[Split_raw]]*MAX(0,MIN(_xlfn.DAYS(EDATE(P$1,1),Log_2019[[#This Row],[Date]]),Log_2019[[#This Row],[Split_apply]])) - SUM($O676:O676)</f>
        <v>0</v>
      </c>
      <c r="Q676" s="52">
        <f ca="1">Log_2019[[#This Row],[Amount]]/Log_2019[[#This Row],[Split_raw]]*MAX(0,MIN(_xlfn.DAYS(EDATE(Q$1,1),Log_2019[[#This Row],[Date]]),Log_2019[[#This Row],[Split_apply]])) - SUM($O676:P676)</f>
        <v>-13.96</v>
      </c>
      <c r="R676" s="52">
        <f ca="1">Log_2019[[#This Row],[Amount]]/Log_2019[[#This Row],[Split_raw]]*MAX(0,MIN(_xlfn.DAYS(EDATE(R$1,1),Log_2019[[#This Row],[Date]]),Log_2019[[#This Row],[Split_apply]])) - SUM($O676:Q676)</f>
        <v>0</v>
      </c>
      <c r="S676" s="52">
        <f ca="1">Log_2019[[#This Row],[Amount]]/Log_2019[[#This Row],[Split_raw]]*MAX(0,MIN(_xlfn.DAYS(EDATE(S$1,1),Log_2019[[#This Row],[Date]]),Log_2019[[#This Row],[Split_apply]])) - SUM($O676:R676)</f>
        <v>0</v>
      </c>
      <c r="T676" s="52">
        <f ca="1">Log_2019[[#This Row],[Amount]]/Log_2019[[#This Row],[Split_raw]]*MAX(0,MIN(_xlfn.DAYS(EDATE(T$1,1),Log_2019[[#This Row],[Date]]),Log_2019[[#This Row],[Split_apply]])) - SUM($O676:S676)</f>
        <v>0</v>
      </c>
      <c r="U676" s="52">
        <f ca="1">Log_2019[[#This Row],[Amount]]/Log_2019[[#This Row],[Split_raw]]*MAX(0,MIN(_xlfn.DAYS(EDATE(U$1,1),Log_2019[[#This Row],[Date]]),Log_2019[[#This Row],[Split_apply]])) - SUM($O676:T676)</f>
        <v>0</v>
      </c>
      <c r="V676" s="52">
        <f ca="1">Log_2019[[#This Row],[Amount]]/Log_2019[[#This Row],[Split_raw]]*MAX(0,MIN(_xlfn.DAYS(EDATE(V$1,1),Log_2019[[#This Row],[Date]]),Log_2019[[#This Row],[Split_apply]])) - SUM($O676:U676)</f>
        <v>0</v>
      </c>
      <c r="W676" s="52">
        <f ca="1">Log_2019[[#This Row],[Amount]]/Log_2019[[#This Row],[Split_raw]]*MAX(0,MIN(_xlfn.DAYS(EDATE(W$1,1),Log_2019[[#This Row],[Date]]),Log_2019[[#This Row],[Split_apply]])) - SUM($O676:V676)</f>
        <v>0</v>
      </c>
      <c r="X676" s="52">
        <f ca="1">Log_2019[[#This Row],[Amount]]/Log_2019[[#This Row],[Split_raw]]*MAX(0,MIN(_xlfn.DAYS(EDATE(X$1,1),Log_2019[[#This Row],[Date]]),Log_2019[[#This Row],[Split_apply]])) - SUM($O676:W676)</f>
        <v>0</v>
      </c>
      <c r="Y676" s="52">
        <f ca="1">Log_2019[[#This Row],[Amount]]/Log_2019[[#This Row],[Split_raw]]*MAX(0,MIN(_xlfn.DAYS(EDATE(Y$1,1),Log_2019[[#This Row],[Date]]),Log_2019[[#This Row],[Split_apply]])) - SUM($O676:X676)</f>
        <v>0</v>
      </c>
      <c r="Z676" s="52">
        <f ca="1">Log_2019[[#This Row],[Amount]]/Log_2019[[#This Row],[Split_raw]]*MAX(0,MIN(_xlfn.DAYS(EDATE(Z$1,1),Log_2019[[#This Row],[Date]]),Log_2019[[#This Row],[Split_apply]])) - SUM($O676:Y676)</f>
        <v>0</v>
      </c>
      <c r="AA676" s="52">
        <f ca="1">Log_2019[[#This Row],[Amount]]/Log_2019[[#This Row],[Split_raw]]*MAX(0,MIN(_xlfn.DAYS(EDATE(AA$1,1),Log_2019[[#This Row],[Date]]),Log_2019[[#This Row],[Split_apply]])) - SUM($O676:Z676)</f>
        <v>0</v>
      </c>
      <c r="AB676" s="54">
        <f ca="1">Log_2019[[#This Row],[Amount]]-SUM(O676:AA676)</f>
        <v>0</v>
      </c>
      <c r="AC676" s="7">
        <f>MAX(0,Log_2019[[#This Row],[Split_raw]] - (EDATE(AA$1,1)-Log_2019[[#This Row],[Date]]))</f>
        <v>0</v>
      </c>
    </row>
    <row r="677" spans="1:29" x14ac:dyDescent="0.25">
      <c r="A677" s="42"/>
      <c r="B677" t="s">
        <v>6</v>
      </c>
      <c r="D677" s="26">
        <v>43518</v>
      </c>
      <c r="F677" t="s">
        <v>530</v>
      </c>
      <c r="G677" t="s">
        <v>25</v>
      </c>
      <c r="H677" s="3">
        <v>-44.15</v>
      </c>
      <c r="I677" s="36">
        <f>IF(Log_2019[[#This Row],[My Category]]="NONTRACKED",0,Log_2019[[#This Row],[Raw Amount]])</f>
        <v>-44.15</v>
      </c>
      <c r="J677" s="17">
        <f>ABS(Log_2019[[#This Row],[Amount]])</f>
        <v>44.15</v>
      </c>
      <c r="K677" s="5">
        <v>1</v>
      </c>
      <c r="L677" s="38">
        <f ca="1">IF(Log_2019[[#This Row],[Date]]&lt;=TODAY(), MIN(Log_2019[[#This Row],[Split_raw]], TODAY()-Log_2019[[#This Row],[Date]]+1), 0)</f>
        <v>1</v>
      </c>
      <c r="M677" t="s">
        <v>40</v>
      </c>
      <c r="N677" t="s">
        <v>158</v>
      </c>
      <c r="O677" s="7">
        <v>0</v>
      </c>
      <c r="P677" s="52">
        <f ca="1">Log_2019[[#This Row],[Amount]]/Log_2019[[#This Row],[Split_raw]]*MAX(0,MIN(_xlfn.DAYS(EDATE(P$1,1),Log_2019[[#This Row],[Date]]),Log_2019[[#This Row],[Split_apply]])) - SUM($O677:O677)</f>
        <v>0</v>
      </c>
      <c r="Q677" s="52">
        <f ca="1">Log_2019[[#This Row],[Amount]]/Log_2019[[#This Row],[Split_raw]]*MAX(0,MIN(_xlfn.DAYS(EDATE(Q$1,1),Log_2019[[#This Row],[Date]]),Log_2019[[#This Row],[Split_apply]])) - SUM($O677:P677)</f>
        <v>-44.15</v>
      </c>
      <c r="R677" s="52">
        <f ca="1">Log_2019[[#This Row],[Amount]]/Log_2019[[#This Row],[Split_raw]]*MAX(0,MIN(_xlfn.DAYS(EDATE(R$1,1),Log_2019[[#This Row],[Date]]),Log_2019[[#This Row],[Split_apply]])) - SUM($O677:Q677)</f>
        <v>0</v>
      </c>
      <c r="S677" s="52">
        <f ca="1">Log_2019[[#This Row],[Amount]]/Log_2019[[#This Row],[Split_raw]]*MAX(0,MIN(_xlfn.DAYS(EDATE(S$1,1),Log_2019[[#This Row],[Date]]),Log_2019[[#This Row],[Split_apply]])) - SUM($O677:R677)</f>
        <v>0</v>
      </c>
      <c r="T677" s="52">
        <f ca="1">Log_2019[[#This Row],[Amount]]/Log_2019[[#This Row],[Split_raw]]*MAX(0,MIN(_xlfn.DAYS(EDATE(T$1,1),Log_2019[[#This Row],[Date]]),Log_2019[[#This Row],[Split_apply]])) - SUM($O677:S677)</f>
        <v>0</v>
      </c>
      <c r="U677" s="52">
        <f ca="1">Log_2019[[#This Row],[Amount]]/Log_2019[[#This Row],[Split_raw]]*MAX(0,MIN(_xlfn.DAYS(EDATE(U$1,1),Log_2019[[#This Row],[Date]]),Log_2019[[#This Row],[Split_apply]])) - SUM($O677:T677)</f>
        <v>0</v>
      </c>
      <c r="V677" s="52">
        <f ca="1">Log_2019[[#This Row],[Amount]]/Log_2019[[#This Row],[Split_raw]]*MAX(0,MIN(_xlfn.DAYS(EDATE(V$1,1),Log_2019[[#This Row],[Date]]),Log_2019[[#This Row],[Split_apply]])) - SUM($O677:U677)</f>
        <v>0</v>
      </c>
      <c r="W677" s="52">
        <f ca="1">Log_2019[[#This Row],[Amount]]/Log_2019[[#This Row],[Split_raw]]*MAX(0,MIN(_xlfn.DAYS(EDATE(W$1,1),Log_2019[[#This Row],[Date]]),Log_2019[[#This Row],[Split_apply]])) - SUM($O677:V677)</f>
        <v>0</v>
      </c>
      <c r="X677" s="52">
        <f ca="1">Log_2019[[#This Row],[Amount]]/Log_2019[[#This Row],[Split_raw]]*MAX(0,MIN(_xlfn.DAYS(EDATE(X$1,1),Log_2019[[#This Row],[Date]]),Log_2019[[#This Row],[Split_apply]])) - SUM($O677:W677)</f>
        <v>0</v>
      </c>
      <c r="Y677" s="52">
        <f ca="1">Log_2019[[#This Row],[Amount]]/Log_2019[[#This Row],[Split_raw]]*MAX(0,MIN(_xlfn.DAYS(EDATE(Y$1,1),Log_2019[[#This Row],[Date]]),Log_2019[[#This Row],[Split_apply]])) - SUM($O677:X677)</f>
        <v>0</v>
      </c>
      <c r="Z677" s="52">
        <f ca="1">Log_2019[[#This Row],[Amount]]/Log_2019[[#This Row],[Split_raw]]*MAX(0,MIN(_xlfn.DAYS(EDATE(Z$1,1),Log_2019[[#This Row],[Date]]),Log_2019[[#This Row],[Split_apply]])) - SUM($O677:Y677)</f>
        <v>0</v>
      </c>
      <c r="AA677" s="52">
        <f ca="1">Log_2019[[#This Row],[Amount]]/Log_2019[[#This Row],[Split_raw]]*MAX(0,MIN(_xlfn.DAYS(EDATE(AA$1,1),Log_2019[[#This Row],[Date]]),Log_2019[[#This Row],[Split_apply]])) - SUM($O677:Z677)</f>
        <v>0</v>
      </c>
      <c r="AB677" s="54">
        <f ca="1">Log_2019[[#This Row],[Amount]]-SUM(O677:AA677)</f>
        <v>0</v>
      </c>
      <c r="AC677" s="7">
        <f>MAX(0,Log_2019[[#This Row],[Split_raw]] - (EDATE(AA$1,1)-Log_2019[[#This Row],[Date]]))</f>
        <v>0</v>
      </c>
    </row>
    <row r="678" spans="1:29" x14ac:dyDescent="0.25">
      <c r="A678" s="42"/>
      <c r="B678" t="s">
        <v>6</v>
      </c>
      <c r="D678" s="26">
        <v>43517</v>
      </c>
      <c r="F678" t="s">
        <v>270</v>
      </c>
      <c r="G678" t="s">
        <v>25</v>
      </c>
      <c r="H678" s="3">
        <v>-9.67</v>
      </c>
      <c r="I678" s="36">
        <f>IF(Log_2019[[#This Row],[My Category]]="NONTRACKED",0,Log_2019[[#This Row],[Raw Amount]])</f>
        <v>-9.67</v>
      </c>
      <c r="J678" s="17">
        <f>ABS(Log_2019[[#This Row],[Amount]])</f>
        <v>9.67</v>
      </c>
      <c r="K678" s="5">
        <v>1</v>
      </c>
      <c r="L678" s="38">
        <f ca="1">IF(Log_2019[[#This Row],[Date]]&lt;=TODAY(), MIN(Log_2019[[#This Row],[Split_raw]], TODAY()-Log_2019[[#This Row],[Date]]+1), 0)</f>
        <v>1</v>
      </c>
      <c r="M678" t="s">
        <v>35</v>
      </c>
      <c r="N678" t="s">
        <v>158</v>
      </c>
      <c r="O678" s="7">
        <v>0</v>
      </c>
      <c r="P678" s="52">
        <f ca="1">Log_2019[[#This Row],[Amount]]/Log_2019[[#This Row],[Split_raw]]*MAX(0,MIN(_xlfn.DAYS(EDATE(P$1,1),Log_2019[[#This Row],[Date]]),Log_2019[[#This Row],[Split_apply]])) - SUM($O678:O678)</f>
        <v>0</v>
      </c>
      <c r="Q678" s="52">
        <f ca="1">Log_2019[[#This Row],[Amount]]/Log_2019[[#This Row],[Split_raw]]*MAX(0,MIN(_xlfn.DAYS(EDATE(Q$1,1),Log_2019[[#This Row],[Date]]),Log_2019[[#This Row],[Split_apply]])) - SUM($O678:P678)</f>
        <v>-9.67</v>
      </c>
      <c r="R678" s="52">
        <f ca="1">Log_2019[[#This Row],[Amount]]/Log_2019[[#This Row],[Split_raw]]*MAX(0,MIN(_xlfn.DAYS(EDATE(R$1,1),Log_2019[[#This Row],[Date]]),Log_2019[[#This Row],[Split_apply]])) - SUM($O678:Q678)</f>
        <v>0</v>
      </c>
      <c r="S678" s="52">
        <f ca="1">Log_2019[[#This Row],[Amount]]/Log_2019[[#This Row],[Split_raw]]*MAX(0,MIN(_xlfn.DAYS(EDATE(S$1,1),Log_2019[[#This Row],[Date]]),Log_2019[[#This Row],[Split_apply]])) - SUM($O678:R678)</f>
        <v>0</v>
      </c>
      <c r="T678" s="52">
        <f ca="1">Log_2019[[#This Row],[Amount]]/Log_2019[[#This Row],[Split_raw]]*MAX(0,MIN(_xlfn.DAYS(EDATE(T$1,1),Log_2019[[#This Row],[Date]]),Log_2019[[#This Row],[Split_apply]])) - SUM($O678:S678)</f>
        <v>0</v>
      </c>
      <c r="U678" s="52">
        <f ca="1">Log_2019[[#This Row],[Amount]]/Log_2019[[#This Row],[Split_raw]]*MAX(0,MIN(_xlfn.DAYS(EDATE(U$1,1),Log_2019[[#This Row],[Date]]),Log_2019[[#This Row],[Split_apply]])) - SUM($O678:T678)</f>
        <v>0</v>
      </c>
      <c r="V678" s="52">
        <f ca="1">Log_2019[[#This Row],[Amount]]/Log_2019[[#This Row],[Split_raw]]*MAX(0,MIN(_xlfn.DAYS(EDATE(V$1,1),Log_2019[[#This Row],[Date]]),Log_2019[[#This Row],[Split_apply]])) - SUM($O678:U678)</f>
        <v>0</v>
      </c>
      <c r="W678" s="52">
        <f ca="1">Log_2019[[#This Row],[Amount]]/Log_2019[[#This Row],[Split_raw]]*MAX(0,MIN(_xlfn.DAYS(EDATE(W$1,1),Log_2019[[#This Row],[Date]]),Log_2019[[#This Row],[Split_apply]])) - SUM($O678:V678)</f>
        <v>0</v>
      </c>
      <c r="X678" s="52">
        <f ca="1">Log_2019[[#This Row],[Amount]]/Log_2019[[#This Row],[Split_raw]]*MAX(0,MIN(_xlfn.DAYS(EDATE(X$1,1),Log_2019[[#This Row],[Date]]),Log_2019[[#This Row],[Split_apply]])) - SUM($O678:W678)</f>
        <v>0</v>
      </c>
      <c r="Y678" s="52">
        <f ca="1">Log_2019[[#This Row],[Amount]]/Log_2019[[#This Row],[Split_raw]]*MAX(0,MIN(_xlfn.DAYS(EDATE(Y$1,1),Log_2019[[#This Row],[Date]]),Log_2019[[#This Row],[Split_apply]])) - SUM($O678:X678)</f>
        <v>0</v>
      </c>
      <c r="Z678" s="52">
        <f ca="1">Log_2019[[#This Row],[Amount]]/Log_2019[[#This Row],[Split_raw]]*MAX(0,MIN(_xlfn.DAYS(EDATE(Z$1,1),Log_2019[[#This Row],[Date]]),Log_2019[[#This Row],[Split_apply]])) - SUM($O678:Y678)</f>
        <v>0</v>
      </c>
      <c r="AA678" s="52">
        <f ca="1">Log_2019[[#This Row],[Amount]]/Log_2019[[#This Row],[Split_raw]]*MAX(0,MIN(_xlfn.DAYS(EDATE(AA$1,1),Log_2019[[#This Row],[Date]]),Log_2019[[#This Row],[Split_apply]])) - SUM($O678:Z678)</f>
        <v>0</v>
      </c>
      <c r="AB678" s="54">
        <f ca="1">Log_2019[[#This Row],[Amount]]-SUM(O678:AA678)</f>
        <v>0</v>
      </c>
      <c r="AC678" s="7">
        <f>MAX(0,Log_2019[[#This Row],[Split_raw]] - (EDATE(AA$1,1)-Log_2019[[#This Row],[Date]]))</f>
        <v>0</v>
      </c>
    </row>
    <row r="679" spans="1:29" x14ac:dyDescent="0.25">
      <c r="A679" s="42"/>
      <c r="B679" t="s">
        <v>6</v>
      </c>
      <c r="D679" s="26">
        <v>43517</v>
      </c>
      <c r="F679" t="s">
        <v>255</v>
      </c>
      <c r="G679" t="s">
        <v>25</v>
      </c>
      <c r="H679" s="3">
        <v>-6.67</v>
      </c>
      <c r="I679" s="36">
        <f>IF(Log_2019[[#This Row],[My Category]]="NONTRACKED",0,Log_2019[[#This Row],[Raw Amount]])</f>
        <v>-6.67</v>
      </c>
      <c r="J679" s="17">
        <f>ABS(Log_2019[[#This Row],[Amount]])</f>
        <v>6.67</v>
      </c>
      <c r="K679" s="5">
        <v>1</v>
      </c>
      <c r="L679" s="38">
        <f ca="1">IF(Log_2019[[#This Row],[Date]]&lt;=TODAY(), MIN(Log_2019[[#This Row],[Split_raw]], TODAY()-Log_2019[[#This Row],[Date]]+1), 0)</f>
        <v>1</v>
      </c>
      <c r="M679" t="s">
        <v>35</v>
      </c>
      <c r="N679" t="s">
        <v>158</v>
      </c>
      <c r="O679" s="7">
        <v>0</v>
      </c>
      <c r="P679" s="52">
        <f ca="1">Log_2019[[#This Row],[Amount]]/Log_2019[[#This Row],[Split_raw]]*MAX(0,MIN(_xlfn.DAYS(EDATE(P$1,1),Log_2019[[#This Row],[Date]]),Log_2019[[#This Row],[Split_apply]])) - SUM($O679:O679)</f>
        <v>0</v>
      </c>
      <c r="Q679" s="52">
        <f ca="1">Log_2019[[#This Row],[Amount]]/Log_2019[[#This Row],[Split_raw]]*MAX(0,MIN(_xlfn.DAYS(EDATE(Q$1,1),Log_2019[[#This Row],[Date]]),Log_2019[[#This Row],[Split_apply]])) - SUM($O679:P679)</f>
        <v>-6.67</v>
      </c>
      <c r="R679" s="52">
        <f ca="1">Log_2019[[#This Row],[Amount]]/Log_2019[[#This Row],[Split_raw]]*MAX(0,MIN(_xlfn.DAYS(EDATE(R$1,1),Log_2019[[#This Row],[Date]]),Log_2019[[#This Row],[Split_apply]])) - SUM($O679:Q679)</f>
        <v>0</v>
      </c>
      <c r="S679" s="52">
        <f ca="1">Log_2019[[#This Row],[Amount]]/Log_2019[[#This Row],[Split_raw]]*MAX(0,MIN(_xlfn.DAYS(EDATE(S$1,1),Log_2019[[#This Row],[Date]]),Log_2019[[#This Row],[Split_apply]])) - SUM($O679:R679)</f>
        <v>0</v>
      </c>
      <c r="T679" s="52">
        <f ca="1">Log_2019[[#This Row],[Amount]]/Log_2019[[#This Row],[Split_raw]]*MAX(0,MIN(_xlfn.DAYS(EDATE(T$1,1),Log_2019[[#This Row],[Date]]),Log_2019[[#This Row],[Split_apply]])) - SUM($O679:S679)</f>
        <v>0</v>
      </c>
      <c r="U679" s="52">
        <f ca="1">Log_2019[[#This Row],[Amount]]/Log_2019[[#This Row],[Split_raw]]*MAX(0,MIN(_xlfn.DAYS(EDATE(U$1,1),Log_2019[[#This Row],[Date]]),Log_2019[[#This Row],[Split_apply]])) - SUM($O679:T679)</f>
        <v>0</v>
      </c>
      <c r="V679" s="52">
        <f ca="1">Log_2019[[#This Row],[Amount]]/Log_2019[[#This Row],[Split_raw]]*MAX(0,MIN(_xlfn.DAYS(EDATE(V$1,1),Log_2019[[#This Row],[Date]]),Log_2019[[#This Row],[Split_apply]])) - SUM($O679:U679)</f>
        <v>0</v>
      </c>
      <c r="W679" s="52">
        <f ca="1">Log_2019[[#This Row],[Amount]]/Log_2019[[#This Row],[Split_raw]]*MAX(0,MIN(_xlfn.DAYS(EDATE(W$1,1),Log_2019[[#This Row],[Date]]),Log_2019[[#This Row],[Split_apply]])) - SUM($O679:V679)</f>
        <v>0</v>
      </c>
      <c r="X679" s="52">
        <f ca="1">Log_2019[[#This Row],[Amount]]/Log_2019[[#This Row],[Split_raw]]*MAX(0,MIN(_xlfn.DAYS(EDATE(X$1,1),Log_2019[[#This Row],[Date]]),Log_2019[[#This Row],[Split_apply]])) - SUM($O679:W679)</f>
        <v>0</v>
      </c>
      <c r="Y679" s="52">
        <f ca="1">Log_2019[[#This Row],[Amount]]/Log_2019[[#This Row],[Split_raw]]*MAX(0,MIN(_xlfn.DAYS(EDATE(Y$1,1),Log_2019[[#This Row],[Date]]),Log_2019[[#This Row],[Split_apply]])) - SUM($O679:X679)</f>
        <v>0</v>
      </c>
      <c r="Z679" s="52">
        <f ca="1">Log_2019[[#This Row],[Amount]]/Log_2019[[#This Row],[Split_raw]]*MAX(0,MIN(_xlfn.DAYS(EDATE(Z$1,1),Log_2019[[#This Row],[Date]]),Log_2019[[#This Row],[Split_apply]])) - SUM($O679:Y679)</f>
        <v>0</v>
      </c>
      <c r="AA679" s="52">
        <f ca="1">Log_2019[[#This Row],[Amount]]/Log_2019[[#This Row],[Split_raw]]*MAX(0,MIN(_xlfn.DAYS(EDATE(AA$1,1),Log_2019[[#This Row],[Date]]),Log_2019[[#This Row],[Split_apply]])) - SUM($O679:Z679)</f>
        <v>0</v>
      </c>
      <c r="AB679" s="54">
        <f ca="1">Log_2019[[#This Row],[Amount]]-SUM(O679:AA679)</f>
        <v>0</v>
      </c>
      <c r="AC679" s="7">
        <f>MAX(0,Log_2019[[#This Row],[Split_raw]] - (EDATE(AA$1,1)-Log_2019[[#This Row],[Date]]))</f>
        <v>0</v>
      </c>
    </row>
    <row r="680" spans="1:29" x14ac:dyDescent="0.25">
      <c r="A680" s="42"/>
      <c r="B680" t="s">
        <v>6</v>
      </c>
      <c r="D680" s="26">
        <v>43516</v>
      </c>
      <c r="F680" t="s">
        <v>59</v>
      </c>
      <c r="G680" t="s">
        <v>25</v>
      </c>
      <c r="H680" s="3">
        <v>-7.94</v>
      </c>
      <c r="I680" s="36">
        <f>IF(Log_2019[[#This Row],[My Category]]="NONTRACKED",0,Log_2019[[#This Row],[Raw Amount]])</f>
        <v>-7.94</v>
      </c>
      <c r="J680" s="17">
        <f>ABS(Log_2019[[#This Row],[Amount]])</f>
        <v>7.94</v>
      </c>
      <c r="K680" s="5">
        <v>1</v>
      </c>
      <c r="L680" s="38">
        <f ca="1">IF(Log_2019[[#This Row],[Date]]&lt;=TODAY(), MIN(Log_2019[[#This Row],[Split_raw]], TODAY()-Log_2019[[#This Row],[Date]]+1), 0)</f>
        <v>1</v>
      </c>
      <c r="M680" t="s">
        <v>35</v>
      </c>
      <c r="N680" t="s">
        <v>158</v>
      </c>
      <c r="O680" s="7">
        <v>0</v>
      </c>
      <c r="P680" s="52">
        <f ca="1">Log_2019[[#This Row],[Amount]]/Log_2019[[#This Row],[Split_raw]]*MAX(0,MIN(_xlfn.DAYS(EDATE(P$1,1),Log_2019[[#This Row],[Date]]),Log_2019[[#This Row],[Split_apply]])) - SUM($O680:O680)</f>
        <v>0</v>
      </c>
      <c r="Q680" s="52">
        <f ca="1">Log_2019[[#This Row],[Amount]]/Log_2019[[#This Row],[Split_raw]]*MAX(0,MIN(_xlfn.DAYS(EDATE(Q$1,1),Log_2019[[#This Row],[Date]]),Log_2019[[#This Row],[Split_apply]])) - SUM($O680:P680)</f>
        <v>-7.94</v>
      </c>
      <c r="R680" s="52">
        <f ca="1">Log_2019[[#This Row],[Amount]]/Log_2019[[#This Row],[Split_raw]]*MAX(0,MIN(_xlfn.DAYS(EDATE(R$1,1),Log_2019[[#This Row],[Date]]),Log_2019[[#This Row],[Split_apply]])) - SUM($O680:Q680)</f>
        <v>0</v>
      </c>
      <c r="S680" s="52">
        <f ca="1">Log_2019[[#This Row],[Amount]]/Log_2019[[#This Row],[Split_raw]]*MAX(0,MIN(_xlfn.DAYS(EDATE(S$1,1),Log_2019[[#This Row],[Date]]),Log_2019[[#This Row],[Split_apply]])) - SUM($O680:R680)</f>
        <v>0</v>
      </c>
      <c r="T680" s="52">
        <f ca="1">Log_2019[[#This Row],[Amount]]/Log_2019[[#This Row],[Split_raw]]*MAX(0,MIN(_xlfn.DAYS(EDATE(T$1,1),Log_2019[[#This Row],[Date]]),Log_2019[[#This Row],[Split_apply]])) - SUM($O680:S680)</f>
        <v>0</v>
      </c>
      <c r="U680" s="52">
        <f ca="1">Log_2019[[#This Row],[Amount]]/Log_2019[[#This Row],[Split_raw]]*MAX(0,MIN(_xlfn.DAYS(EDATE(U$1,1),Log_2019[[#This Row],[Date]]),Log_2019[[#This Row],[Split_apply]])) - SUM($O680:T680)</f>
        <v>0</v>
      </c>
      <c r="V680" s="52">
        <f ca="1">Log_2019[[#This Row],[Amount]]/Log_2019[[#This Row],[Split_raw]]*MAX(0,MIN(_xlfn.DAYS(EDATE(V$1,1),Log_2019[[#This Row],[Date]]),Log_2019[[#This Row],[Split_apply]])) - SUM($O680:U680)</f>
        <v>0</v>
      </c>
      <c r="W680" s="52">
        <f ca="1">Log_2019[[#This Row],[Amount]]/Log_2019[[#This Row],[Split_raw]]*MAX(0,MIN(_xlfn.DAYS(EDATE(W$1,1),Log_2019[[#This Row],[Date]]),Log_2019[[#This Row],[Split_apply]])) - SUM($O680:V680)</f>
        <v>0</v>
      </c>
      <c r="X680" s="52">
        <f ca="1">Log_2019[[#This Row],[Amount]]/Log_2019[[#This Row],[Split_raw]]*MAX(0,MIN(_xlfn.DAYS(EDATE(X$1,1),Log_2019[[#This Row],[Date]]),Log_2019[[#This Row],[Split_apply]])) - SUM($O680:W680)</f>
        <v>0</v>
      </c>
      <c r="Y680" s="52">
        <f ca="1">Log_2019[[#This Row],[Amount]]/Log_2019[[#This Row],[Split_raw]]*MAX(0,MIN(_xlfn.DAYS(EDATE(Y$1,1),Log_2019[[#This Row],[Date]]),Log_2019[[#This Row],[Split_apply]])) - SUM($O680:X680)</f>
        <v>0</v>
      </c>
      <c r="Z680" s="52">
        <f ca="1">Log_2019[[#This Row],[Amount]]/Log_2019[[#This Row],[Split_raw]]*MAX(0,MIN(_xlfn.DAYS(EDATE(Z$1,1),Log_2019[[#This Row],[Date]]),Log_2019[[#This Row],[Split_apply]])) - SUM($O680:Y680)</f>
        <v>0</v>
      </c>
      <c r="AA680" s="52">
        <f ca="1">Log_2019[[#This Row],[Amount]]/Log_2019[[#This Row],[Split_raw]]*MAX(0,MIN(_xlfn.DAYS(EDATE(AA$1,1),Log_2019[[#This Row],[Date]]),Log_2019[[#This Row],[Split_apply]])) - SUM($O680:Z680)</f>
        <v>0</v>
      </c>
      <c r="AB680" s="54">
        <f ca="1">Log_2019[[#This Row],[Amount]]-SUM(O680:AA680)</f>
        <v>0</v>
      </c>
      <c r="AC680" s="7">
        <f>MAX(0,Log_2019[[#This Row],[Split_raw]] - (EDATE(AA$1,1)-Log_2019[[#This Row],[Date]]))</f>
        <v>0</v>
      </c>
    </row>
    <row r="681" spans="1:29" x14ac:dyDescent="0.25">
      <c r="A681" s="42"/>
      <c r="B681" t="s">
        <v>6</v>
      </c>
      <c r="D681" s="26">
        <v>43516</v>
      </c>
      <c r="F681" t="s">
        <v>528</v>
      </c>
      <c r="G681" t="s">
        <v>29</v>
      </c>
      <c r="H681" s="3">
        <v>-26.45</v>
      </c>
      <c r="I681" s="36">
        <f>IF(Log_2019[[#This Row],[My Category]]="NONTRACKED",0,Log_2019[[#This Row],[Raw Amount]])</f>
        <v>-26.45</v>
      </c>
      <c r="J681" s="17">
        <f>ABS(Log_2019[[#This Row],[Amount]])</f>
        <v>26.45</v>
      </c>
      <c r="K681" s="5">
        <v>30</v>
      </c>
      <c r="L681" s="38">
        <f ca="1">IF(Log_2019[[#This Row],[Date]]&lt;=TODAY(), MIN(Log_2019[[#This Row],[Split_raw]], TODAY()-Log_2019[[#This Row],[Date]]+1), 0)</f>
        <v>30</v>
      </c>
      <c r="M681" t="s">
        <v>29</v>
      </c>
      <c r="N681" t="s">
        <v>160</v>
      </c>
      <c r="O681" s="7">
        <v>0</v>
      </c>
      <c r="P681" s="52">
        <f ca="1">Log_2019[[#This Row],[Amount]]/Log_2019[[#This Row],[Split_raw]]*MAX(0,MIN(_xlfn.DAYS(EDATE(P$1,1),Log_2019[[#This Row],[Date]]),Log_2019[[#This Row],[Split_apply]])) - SUM($O681:O681)</f>
        <v>0</v>
      </c>
      <c r="Q681" s="52">
        <f ca="1">Log_2019[[#This Row],[Amount]]/Log_2019[[#This Row],[Split_raw]]*MAX(0,MIN(_xlfn.DAYS(EDATE(Q$1,1),Log_2019[[#This Row],[Date]]),Log_2019[[#This Row],[Split_apply]])) - SUM($O681:P681)</f>
        <v>-7.9349999999999996</v>
      </c>
      <c r="R681" s="52">
        <f ca="1">Log_2019[[#This Row],[Amount]]/Log_2019[[#This Row],[Split_raw]]*MAX(0,MIN(_xlfn.DAYS(EDATE(R$1,1),Log_2019[[#This Row],[Date]]),Log_2019[[#This Row],[Split_apply]])) - SUM($O681:Q681)</f>
        <v>-18.515000000000001</v>
      </c>
      <c r="S681" s="52">
        <f ca="1">Log_2019[[#This Row],[Amount]]/Log_2019[[#This Row],[Split_raw]]*MAX(0,MIN(_xlfn.DAYS(EDATE(S$1,1),Log_2019[[#This Row],[Date]]),Log_2019[[#This Row],[Split_apply]])) - SUM($O681:R681)</f>
        <v>0</v>
      </c>
      <c r="T681" s="52">
        <f ca="1">Log_2019[[#This Row],[Amount]]/Log_2019[[#This Row],[Split_raw]]*MAX(0,MIN(_xlfn.DAYS(EDATE(T$1,1),Log_2019[[#This Row],[Date]]),Log_2019[[#This Row],[Split_apply]])) - SUM($O681:S681)</f>
        <v>0</v>
      </c>
      <c r="U681" s="52">
        <f ca="1">Log_2019[[#This Row],[Amount]]/Log_2019[[#This Row],[Split_raw]]*MAX(0,MIN(_xlfn.DAYS(EDATE(U$1,1),Log_2019[[#This Row],[Date]]),Log_2019[[#This Row],[Split_apply]])) - SUM($O681:T681)</f>
        <v>0</v>
      </c>
      <c r="V681" s="52">
        <f ca="1">Log_2019[[#This Row],[Amount]]/Log_2019[[#This Row],[Split_raw]]*MAX(0,MIN(_xlfn.DAYS(EDATE(V$1,1),Log_2019[[#This Row],[Date]]),Log_2019[[#This Row],[Split_apply]])) - SUM($O681:U681)</f>
        <v>0</v>
      </c>
      <c r="W681" s="52">
        <f ca="1">Log_2019[[#This Row],[Amount]]/Log_2019[[#This Row],[Split_raw]]*MAX(0,MIN(_xlfn.DAYS(EDATE(W$1,1),Log_2019[[#This Row],[Date]]),Log_2019[[#This Row],[Split_apply]])) - SUM($O681:V681)</f>
        <v>0</v>
      </c>
      <c r="X681" s="52">
        <f ca="1">Log_2019[[#This Row],[Amount]]/Log_2019[[#This Row],[Split_raw]]*MAX(0,MIN(_xlfn.DAYS(EDATE(X$1,1),Log_2019[[#This Row],[Date]]),Log_2019[[#This Row],[Split_apply]])) - SUM($O681:W681)</f>
        <v>0</v>
      </c>
      <c r="Y681" s="52">
        <f ca="1">Log_2019[[#This Row],[Amount]]/Log_2019[[#This Row],[Split_raw]]*MAX(0,MIN(_xlfn.DAYS(EDATE(Y$1,1),Log_2019[[#This Row],[Date]]),Log_2019[[#This Row],[Split_apply]])) - SUM($O681:X681)</f>
        <v>0</v>
      </c>
      <c r="Z681" s="52">
        <f ca="1">Log_2019[[#This Row],[Amount]]/Log_2019[[#This Row],[Split_raw]]*MAX(0,MIN(_xlfn.DAYS(EDATE(Z$1,1),Log_2019[[#This Row],[Date]]),Log_2019[[#This Row],[Split_apply]])) - SUM($O681:Y681)</f>
        <v>0</v>
      </c>
      <c r="AA681" s="52">
        <f ca="1">Log_2019[[#This Row],[Amount]]/Log_2019[[#This Row],[Split_raw]]*MAX(0,MIN(_xlfn.DAYS(EDATE(AA$1,1),Log_2019[[#This Row],[Date]]),Log_2019[[#This Row],[Split_apply]])) - SUM($O681:Z681)</f>
        <v>0</v>
      </c>
      <c r="AB681" s="54">
        <f ca="1">Log_2019[[#This Row],[Amount]]-SUM(O681:AA681)</f>
        <v>0</v>
      </c>
      <c r="AC681" s="7">
        <f>MAX(0,Log_2019[[#This Row],[Split_raw]] - (EDATE(AA$1,1)-Log_2019[[#This Row],[Date]]))</f>
        <v>0</v>
      </c>
    </row>
    <row r="682" spans="1:29" x14ac:dyDescent="0.25">
      <c r="A682" s="42"/>
      <c r="B682" t="s">
        <v>6</v>
      </c>
      <c r="D682" s="26">
        <v>43515</v>
      </c>
      <c r="F682" t="s">
        <v>59</v>
      </c>
      <c r="G682" t="s">
        <v>25</v>
      </c>
      <c r="H682" s="3">
        <v>-5.68</v>
      </c>
      <c r="I682" s="36">
        <f>IF(Log_2019[[#This Row],[My Category]]="NONTRACKED",0,Log_2019[[#This Row],[Raw Amount]])</f>
        <v>-5.68</v>
      </c>
      <c r="J682" s="17">
        <f>ABS(Log_2019[[#This Row],[Amount]])</f>
        <v>5.68</v>
      </c>
      <c r="K682" s="5">
        <v>1</v>
      </c>
      <c r="L682" s="38">
        <f ca="1">IF(Log_2019[[#This Row],[Date]]&lt;=TODAY(), MIN(Log_2019[[#This Row],[Split_raw]], TODAY()-Log_2019[[#This Row],[Date]]+1), 0)</f>
        <v>1</v>
      </c>
      <c r="M682" t="s">
        <v>35</v>
      </c>
      <c r="N682" t="s">
        <v>158</v>
      </c>
      <c r="O682" s="7">
        <v>0</v>
      </c>
      <c r="P682" s="52">
        <f ca="1">Log_2019[[#This Row],[Amount]]/Log_2019[[#This Row],[Split_raw]]*MAX(0,MIN(_xlfn.DAYS(EDATE(P$1,1),Log_2019[[#This Row],[Date]]),Log_2019[[#This Row],[Split_apply]])) - SUM($O682:O682)</f>
        <v>0</v>
      </c>
      <c r="Q682" s="52">
        <f ca="1">Log_2019[[#This Row],[Amount]]/Log_2019[[#This Row],[Split_raw]]*MAX(0,MIN(_xlfn.DAYS(EDATE(Q$1,1),Log_2019[[#This Row],[Date]]),Log_2019[[#This Row],[Split_apply]])) - SUM($O682:P682)</f>
        <v>-5.68</v>
      </c>
      <c r="R682" s="52">
        <f ca="1">Log_2019[[#This Row],[Amount]]/Log_2019[[#This Row],[Split_raw]]*MAX(0,MIN(_xlfn.DAYS(EDATE(R$1,1),Log_2019[[#This Row],[Date]]),Log_2019[[#This Row],[Split_apply]])) - SUM($O682:Q682)</f>
        <v>0</v>
      </c>
      <c r="S682" s="52">
        <f ca="1">Log_2019[[#This Row],[Amount]]/Log_2019[[#This Row],[Split_raw]]*MAX(0,MIN(_xlfn.DAYS(EDATE(S$1,1),Log_2019[[#This Row],[Date]]),Log_2019[[#This Row],[Split_apply]])) - SUM($O682:R682)</f>
        <v>0</v>
      </c>
      <c r="T682" s="52">
        <f ca="1">Log_2019[[#This Row],[Amount]]/Log_2019[[#This Row],[Split_raw]]*MAX(0,MIN(_xlfn.DAYS(EDATE(T$1,1),Log_2019[[#This Row],[Date]]),Log_2019[[#This Row],[Split_apply]])) - SUM($O682:S682)</f>
        <v>0</v>
      </c>
      <c r="U682" s="52">
        <f ca="1">Log_2019[[#This Row],[Amount]]/Log_2019[[#This Row],[Split_raw]]*MAX(0,MIN(_xlfn.DAYS(EDATE(U$1,1),Log_2019[[#This Row],[Date]]),Log_2019[[#This Row],[Split_apply]])) - SUM($O682:T682)</f>
        <v>0</v>
      </c>
      <c r="V682" s="52">
        <f ca="1">Log_2019[[#This Row],[Amount]]/Log_2019[[#This Row],[Split_raw]]*MAX(0,MIN(_xlfn.DAYS(EDATE(V$1,1),Log_2019[[#This Row],[Date]]),Log_2019[[#This Row],[Split_apply]])) - SUM($O682:U682)</f>
        <v>0</v>
      </c>
      <c r="W682" s="52">
        <f ca="1">Log_2019[[#This Row],[Amount]]/Log_2019[[#This Row],[Split_raw]]*MAX(0,MIN(_xlfn.DAYS(EDATE(W$1,1),Log_2019[[#This Row],[Date]]),Log_2019[[#This Row],[Split_apply]])) - SUM($O682:V682)</f>
        <v>0</v>
      </c>
      <c r="X682" s="52">
        <f ca="1">Log_2019[[#This Row],[Amount]]/Log_2019[[#This Row],[Split_raw]]*MAX(0,MIN(_xlfn.DAYS(EDATE(X$1,1),Log_2019[[#This Row],[Date]]),Log_2019[[#This Row],[Split_apply]])) - SUM($O682:W682)</f>
        <v>0</v>
      </c>
      <c r="Y682" s="52">
        <f ca="1">Log_2019[[#This Row],[Amount]]/Log_2019[[#This Row],[Split_raw]]*MAX(0,MIN(_xlfn.DAYS(EDATE(Y$1,1),Log_2019[[#This Row],[Date]]),Log_2019[[#This Row],[Split_apply]])) - SUM($O682:X682)</f>
        <v>0</v>
      </c>
      <c r="Z682" s="52">
        <f ca="1">Log_2019[[#This Row],[Amount]]/Log_2019[[#This Row],[Split_raw]]*MAX(0,MIN(_xlfn.DAYS(EDATE(Z$1,1),Log_2019[[#This Row],[Date]]),Log_2019[[#This Row],[Split_apply]])) - SUM($O682:Y682)</f>
        <v>0</v>
      </c>
      <c r="AA682" s="52">
        <f ca="1">Log_2019[[#This Row],[Amount]]/Log_2019[[#This Row],[Split_raw]]*MAX(0,MIN(_xlfn.DAYS(EDATE(AA$1,1),Log_2019[[#This Row],[Date]]),Log_2019[[#This Row],[Split_apply]])) - SUM($O682:Z682)</f>
        <v>0</v>
      </c>
      <c r="AB682" s="54">
        <f ca="1">Log_2019[[#This Row],[Amount]]-SUM(O682:AA682)</f>
        <v>0</v>
      </c>
      <c r="AC682" s="7">
        <f>MAX(0,Log_2019[[#This Row],[Split_raw]] - (EDATE(AA$1,1)-Log_2019[[#This Row],[Date]]))</f>
        <v>0</v>
      </c>
    </row>
    <row r="683" spans="1:29" x14ac:dyDescent="0.25">
      <c r="A683" s="42"/>
      <c r="B683" t="s">
        <v>6</v>
      </c>
      <c r="D683" s="26">
        <v>43515</v>
      </c>
      <c r="F683" t="s">
        <v>138</v>
      </c>
      <c r="G683" t="s">
        <v>104</v>
      </c>
      <c r="H683" s="3">
        <v>-788.64</v>
      </c>
      <c r="I683" s="36">
        <f>IF(Log_2019[[#This Row],[My Category]]="NONTRACKED",0,Log_2019[[#This Row],[Raw Amount]])</f>
        <v>-788.64</v>
      </c>
      <c r="J683" s="17">
        <f>ABS(Log_2019[[#This Row],[Amount]])</f>
        <v>788.64</v>
      </c>
      <c r="K683" s="5">
        <v>1</v>
      </c>
      <c r="L683" s="38">
        <f ca="1">IF(Log_2019[[#This Row],[Date]]&lt;=TODAY(), MIN(Log_2019[[#This Row],[Split_raw]], TODAY()-Log_2019[[#This Row],[Date]]+1), 0)</f>
        <v>1</v>
      </c>
      <c r="M683" t="s">
        <v>159</v>
      </c>
      <c r="N683" t="s">
        <v>160</v>
      </c>
      <c r="O683" s="7">
        <v>0</v>
      </c>
      <c r="P683" s="52">
        <f ca="1">Log_2019[[#This Row],[Amount]]/Log_2019[[#This Row],[Split_raw]]*MAX(0,MIN(_xlfn.DAYS(EDATE(P$1,1),Log_2019[[#This Row],[Date]]),Log_2019[[#This Row],[Split_apply]])) - SUM($O683:O683)</f>
        <v>0</v>
      </c>
      <c r="Q683" s="52">
        <f ca="1">Log_2019[[#This Row],[Amount]]/Log_2019[[#This Row],[Split_raw]]*MAX(0,MIN(_xlfn.DAYS(EDATE(Q$1,1),Log_2019[[#This Row],[Date]]),Log_2019[[#This Row],[Split_apply]])) - SUM($O683:P683)</f>
        <v>-788.64</v>
      </c>
      <c r="R683" s="52">
        <f ca="1">Log_2019[[#This Row],[Amount]]/Log_2019[[#This Row],[Split_raw]]*MAX(0,MIN(_xlfn.DAYS(EDATE(R$1,1),Log_2019[[#This Row],[Date]]),Log_2019[[#This Row],[Split_apply]])) - SUM($O683:Q683)</f>
        <v>0</v>
      </c>
      <c r="S683" s="52">
        <f ca="1">Log_2019[[#This Row],[Amount]]/Log_2019[[#This Row],[Split_raw]]*MAX(0,MIN(_xlfn.DAYS(EDATE(S$1,1),Log_2019[[#This Row],[Date]]),Log_2019[[#This Row],[Split_apply]])) - SUM($O683:R683)</f>
        <v>0</v>
      </c>
      <c r="T683" s="52">
        <f ca="1">Log_2019[[#This Row],[Amount]]/Log_2019[[#This Row],[Split_raw]]*MAX(0,MIN(_xlfn.DAYS(EDATE(T$1,1),Log_2019[[#This Row],[Date]]),Log_2019[[#This Row],[Split_apply]])) - SUM($O683:S683)</f>
        <v>0</v>
      </c>
      <c r="U683" s="52">
        <f ca="1">Log_2019[[#This Row],[Amount]]/Log_2019[[#This Row],[Split_raw]]*MAX(0,MIN(_xlfn.DAYS(EDATE(U$1,1),Log_2019[[#This Row],[Date]]),Log_2019[[#This Row],[Split_apply]])) - SUM($O683:T683)</f>
        <v>0</v>
      </c>
      <c r="V683" s="52">
        <f ca="1">Log_2019[[#This Row],[Amount]]/Log_2019[[#This Row],[Split_raw]]*MAX(0,MIN(_xlfn.DAYS(EDATE(V$1,1),Log_2019[[#This Row],[Date]]),Log_2019[[#This Row],[Split_apply]])) - SUM($O683:U683)</f>
        <v>0</v>
      </c>
      <c r="W683" s="52">
        <f ca="1">Log_2019[[#This Row],[Amount]]/Log_2019[[#This Row],[Split_raw]]*MAX(0,MIN(_xlfn.DAYS(EDATE(W$1,1),Log_2019[[#This Row],[Date]]),Log_2019[[#This Row],[Split_apply]])) - SUM($O683:V683)</f>
        <v>0</v>
      </c>
      <c r="X683" s="52">
        <f ca="1">Log_2019[[#This Row],[Amount]]/Log_2019[[#This Row],[Split_raw]]*MAX(0,MIN(_xlfn.DAYS(EDATE(X$1,1),Log_2019[[#This Row],[Date]]),Log_2019[[#This Row],[Split_apply]])) - SUM($O683:W683)</f>
        <v>0</v>
      </c>
      <c r="Y683" s="52">
        <f ca="1">Log_2019[[#This Row],[Amount]]/Log_2019[[#This Row],[Split_raw]]*MAX(0,MIN(_xlfn.DAYS(EDATE(Y$1,1),Log_2019[[#This Row],[Date]]),Log_2019[[#This Row],[Split_apply]])) - SUM($O683:X683)</f>
        <v>0</v>
      </c>
      <c r="Z683" s="52">
        <f ca="1">Log_2019[[#This Row],[Amount]]/Log_2019[[#This Row],[Split_raw]]*MAX(0,MIN(_xlfn.DAYS(EDATE(Z$1,1),Log_2019[[#This Row],[Date]]),Log_2019[[#This Row],[Split_apply]])) - SUM($O683:Y683)</f>
        <v>0</v>
      </c>
      <c r="AA683" s="52">
        <f ca="1">Log_2019[[#This Row],[Amount]]/Log_2019[[#This Row],[Split_raw]]*MAX(0,MIN(_xlfn.DAYS(EDATE(AA$1,1),Log_2019[[#This Row],[Date]]),Log_2019[[#This Row],[Split_apply]])) - SUM($O683:Z683)</f>
        <v>0</v>
      </c>
      <c r="AB683" s="54">
        <f ca="1">Log_2019[[#This Row],[Amount]]-SUM(O683:AA683)</f>
        <v>0</v>
      </c>
      <c r="AC683" s="7">
        <f>MAX(0,Log_2019[[#This Row],[Split_raw]] - (EDATE(AA$1,1)-Log_2019[[#This Row],[Date]]))</f>
        <v>0</v>
      </c>
    </row>
    <row r="684" spans="1:29" x14ac:dyDescent="0.25">
      <c r="A684" s="42"/>
      <c r="B684" t="s">
        <v>6</v>
      </c>
      <c r="D684" s="26">
        <v>43514</v>
      </c>
      <c r="F684" t="s">
        <v>255</v>
      </c>
      <c r="G684" t="s">
        <v>25</v>
      </c>
      <c r="H684" s="3">
        <v>-7.36</v>
      </c>
      <c r="I684" s="36">
        <f>IF(Log_2019[[#This Row],[My Category]]="NONTRACKED",0,Log_2019[[#This Row],[Raw Amount]])</f>
        <v>-7.36</v>
      </c>
      <c r="J684" s="17">
        <f>ABS(Log_2019[[#This Row],[Amount]])</f>
        <v>7.36</v>
      </c>
      <c r="K684" s="5">
        <v>1</v>
      </c>
      <c r="L684" s="38">
        <f ca="1">IF(Log_2019[[#This Row],[Date]]&lt;=TODAY(), MIN(Log_2019[[#This Row],[Split_raw]], TODAY()-Log_2019[[#This Row],[Date]]+1), 0)</f>
        <v>1</v>
      </c>
      <c r="M684" t="s">
        <v>35</v>
      </c>
      <c r="N684" t="s">
        <v>158</v>
      </c>
      <c r="O684" s="7">
        <v>0</v>
      </c>
      <c r="P684" s="52">
        <f ca="1">Log_2019[[#This Row],[Amount]]/Log_2019[[#This Row],[Split_raw]]*MAX(0,MIN(_xlfn.DAYS(EDATE(P$1,1),Log_2019[[#This Row],[Date]]),Log_2019[[#This Row],[Split_apply]])) - SUM($O684:O684)</f>
        <v>0</v>
      </c>
      <c r="Q684" s="52">
        <f ca="1">Log_2019[[#This Row],[Amount]]/Log_2019[[#This Row],[Split_raw]]*MAX(0,MIN(_xlfn.DAYS(EDATE(Q$1,1),Log_2019[[#This Row],[Date]]),Log_2019[[#This Row],[Split_apply]])) - SUM($O684:P684)</f>
        <v>-7.36</v>
      </c>
      <c r="R684" s="52">
        <f ca="1">Log_2019[[#This Row],[Amount]]/Log_2019[[#This Row],[Split_raw]]*MAX(0,MIN(_xlfn.DAYS(EDATE(R$1,1),Log_2019[[#This Row],[Date]]),Log_2019[[#This Row],[Split_apply]])) - SUM($O684:Q684)</f>
        <v>0</v>
      </c>
      <c r="S684" s="52">
        <f ca="1">Log_2019[[#This Row],[Amount]]/Log_2019[[#This Row],[Split_raw]]*MAX(0,MIN(_xlfn.DAYS(EDATE(S$1,1),Log_2019[[#This Row],[Date]]),Log_2019[[#This Row],[Split_apply]])) - SUM($O684:R684)</f>
        <v>0</v>
      </c>
      <c r="T684" s="52">
        <f ca="1">Log_2019[[#This Row],[Amount]]/Log_2019[[#This Row],[Split_raw]]*MAX(0,MIN(_xlfn.DAYS(EDATE(T$1,1),Log_2019[[#This Row],[Date]]),Log_2019[[#This Row],[Split_apply]])) - SUM($O684:S684)</f>
        <v>0</v>
      </c>
      <c r="U684" s="52">
        <f ca="1">Log_2019[[#This Row],[Amount]]/Log_2019[[#This Row],[Split_raw]]*MAX(0,MIN(_xlfn.DAYS(EDATE(U$1,1),Log_2019[[#This Row],[Date]]),Log_2019[[#This Row],[Split_apply]])) - SUM($O684:T684)</f>
        <v>0</v>
      </c>
      <c r="V684" s="52">
        <f ca="1">Log_2019[[#This Row],[Amount]]/Log_2019[[#This Row],[Split_raw]]*MAX(0,MIN(_xlfn.DAYS(EDATE(V$1,1),Log_2019[[#This Row],[Date]]),Log_2019[[#This Row],[Split_apply]])) - SUM($O684:U684)</f>
        <v>0</v>
      </c>
      <c r="W684" s="52">
        <f ca="1">Log_2019[[#This Row],[Amount]]/Log_2019[[#This Row],[Split_raw]]*MAX(0,MIN(_xlfn.DAYS(EDATE(W$1,1),Log_2019[[#This Row],[Date]]),Log_2019[[#This Row],[Split_apply]])) - SUM($O684:V684)</f>
        <v>0</v>
      </c>
      <c r="X684" s="52">
        <f ca="1">Log_2019[[#This Row],[Amount]]/Log_2019[[#This Row],[Split_raw]]*MAX(0,MIN(_xlfn.DAYS(EDATE(X$1,1),Log_2019[[#This Row],[Date]]),Log_2019[[#This Row],[Split_apply]])) - SUM($O684:W684)</f>
        <v>0</v>
      </c>
      <c r="Y684" s="52">
        <f ca="1">Log_2019[[#This Row],[Amount]]/Log_2019[[#This Row],[Split_raw]]*MAX(0,MIN(_xlfn.DAYS(EDATE(Y$1,1),Log_2019[[#This Row],[Date]]),Log_2019[[#This Row],[Split_apply]])) - SUM($O684:X684)</f>
        <v>0</v>
      </c>
      <c r="Z684" s="52">
        <f ca="1">Log_2019[[#This Row],[Amount]]/Log_2019[[#This Row],[Split_raw]]*MAX(0,MIN(_xlfn.DAYS(EDATE(Z$1,1),Log_2019[[#This Row],[Date]]),Log_2019[[#This Row],[Split_apply]])) - SUM($O684:Y684)</f>
        <v>0</v>
      </c>
      <c r="AA684" s="52">
        <f ca="1">Log_2019[[#This Row],[Amount]]/Log_2019[[#This Row],[Split_raw]]*MAX(0,MIN(_xlfn.DAYS(EDATE(AA$1,1),Log_2019[[#This Row],[Date]]),Log_2019[[#This Row],[Split_apply]])) - SUM($O684:Z684)</f>
        <v>0</v>
      </c>
      <c r="AB684" s="54">
        <f ca="1">Log_2019[[#This Row],[Amount]]-SUM(O684:AA684)</f>
        <v>0</v>
      </c>
      <c r="AC684" s="7">
        <f>MAX(0,Log_2019[[#This Row],[Split_raw]] - (EDATE(AA$1,1)-Log_2019[[#This Row],[Date]]))</f>
        <v>0</v>
      </c>
    </row>
    <row r="685" spans="1:29" x14ac:dyDescent="0.25">
      <c r="A685" s="42"/>
      <c r="B685" t="s">
        <v>6</v>
      </c>
      <c r="D685" s="26">
        <v>43513</v>
      </c>
      <c r="F685" t="s">
        <v>184</v>
      </c>
      <c r="G685" t="s">
        <v>11</v>
      </c>
      <c r="H685" s="3">
        <v>-8.5</v>
      </c>
      <c r="I685" s="36">
        <f>IF(Log_2019[[#This Row],[My Category]]="NONTRACKED",0,Log_2019[[#This Row],[Raw Amount]])</f>
        <v>-8.5</v>
      </c>
      <c r="J685" s="17">
        <f>ABS(Log_2019[[#This Row],[Amount]])</f>
        <v>8.5</v>
      </c>
      <c r="K685" s="5">
        <v>1</v>
      </c>
      <c r="L685" s="38">
        <f ca="1">IF(Log_2019[[#This Row],[Date]]&lt;=TODAY(), MIN(Log_2019[[#This Row],[Split_raw]], TODAY()-Log_2019[[#This Row],[Date]]+1), 0)</f>
        <v>1</v>
      </c>
      <c r="M685" t="s">
        <v>12</v>
      </c>
      <c r="N685" t="s">
        <v>158</v>
      </c>
      <c r="O685" s="7">
        <v>0</v>
      </c>
      <c r="P685" s="52">
        <f ca="1">Log_2019[[#This Row],[Amount]]/Log_2019[[#This Row],[Split_raw]]*MAX(0,MIN(_xlfn.DAYS(EDATE(P$1,1),Log_2019[[#This Row],[Date]]),Log_2019[[#This Row],[Split_apply]])) - SUM($O685:O685)</f>
        <v>0</v>
      </c>
      <c r="Q685" s="52">
        <f ca="1">Log_2019[[#This Row],[Amount]]/Log_2019[[#This Row],[Split_raw]]*MAX(0,MIN(_xlfn.DAYS(EDATE(Q$1,1),Log_2019[[#This Row],[Date]]),Log_2019[[#This Row],[Split_apply]])) - SUM($O685:P685)</f>
        <v>-8.5</v>
      </c>
      <c r="R685" s="52">
        <f ca="1">Log_2019[[#This Row],[Amount]]/Log_2019[[#This Row],[Split_raw]]*MAX(0,MIN(_xlfn.DAYS(EDATE(R$1,1),Log_2019[[#This Row],[Date]]),Log_2019[[#This Row],[Split_apply]])) - SUM($O685:Q685)</f>
        <v>0</v>
      </c>
      <c r="S685" s="52">
        <f ca="1">Log_2019[[#This Row],[Amount]]/Log_2019[[#This Row],[Split_raw]]*MAX(0,MIN(_xlfn.DAYS(EDATE(S$1,1),Log_2019[[#This Row],[Date]]),Log_2019[[#This Row],[Split_apply]])) - SUM($O685:R685)</f>
        <v>0</v>
      </c>
      <c r="T685" s="52">
        <f ca="1">Log_2019[[#This Row],[Amount]]/Log_2019[[#This Row],[Split_raw]]*MAX(0,MIN(_xlfn.DAYS(EDATE(T$1,1),Log_2019[[#This Row],[Date]]),Log_2019[[#This Row],[Split_apply]])) - SUM($O685:S685)</f>
        <v>0</v>
      </c>
      <c r="U685" s="52">
        <f ca="1">Log_2019[[#This Row],[Amount]]/Log_2019[[#This Row],[Split_raw]]*MAX(0,MIN(_xlfn.DAYS(EDATE(U$1,1),Log_2019[[#This Row],[Date]]),Log_2019[[#This Row],[Split_apply]])) - SUM($O685:T685)</f>
        <v>0</v>
      </c>
      <c r="V685" s="52">
        <f ca="1">Log_2019[[#This Row],[Amount]]/Log_2019[[#This Row],[Split_raw]]*MAX(0,MIN(_xlfn.DAYS(EDATE(V$1,1),Log_2019[[#This Row],[Date]]),Log_2019[[#This Row],[Split_apply]])) - SUM($O685:U685)</f>
        <v>0</v>
      </c>
      <c r="W685" s="52">
        <f ca="1">Log_2019[[#This Row],[Amount]]/Log_2019[[#This Row],[Split_raw]]*MAX(0,MIN(_xlfn.DAYS(EDATE(W$1,1),Log_2019[[#This Row],[Date]]),Log_2019[[#This Row],[Split_apply]])) - SUM($O685:V685)</f>
        <v>0</v>
      </c>
      <c r="X685" s="52">
        <f ca="1">Log_2019[[#This Row],[Amount]]/Log_2019[[#This Row],[Split_raw]]*MAX(0,MIN(_xlfn.DAYS(EDATE(X$1,1),Log_2019[[#This Row],[Date]]),Log_2019[[#This Row],[Split_apply]])) - SUM($O685:W685)</f>
        <v>0</v>
      </c>
      <c r="Y685" s="52">
        <f ca="1">Log_2019[[#This Row],[Amount]]/Log_2019[[#This Row],[Split_raw]]*MAX(0,MIN(_xlfn.DAYS(EDATE(Y$1,1),Log_2019[[#This Row],[Date]]),Log_2019[[#This Row],[Split_apply]])) - SUM($O685:X685)</f>
        <v>0</v>
      </c>
      <c r="Z685" s="52">
        <f ca="1">Log_2019[[#This Row],[Amount]]/Log_2019[[#This Row],[Split_raw]]*MAX(0,MIN(_xlfn.DAYS(EDATE(Z$1,1),Log_2019[[#This Row],[Date]]),Log_2019[[#This Row],[Split_apply]])) - SUM($O685:Y685)</f>
        <v>0</v>
      </c>
      <c r="AA685" s="52">
        <f ca="1">Log_2019[[#This Row],[Amount]]/Log_2019[[#This Row],[Split_raw]]*MAX(0,MIN(_xlfn.DAYS(EDATE(AA$1,1),Log_2019[[#This Row],[Date]]),Log_2019[[#This Row],[Split_apply]])) - SUM($O685:Z685)</f>
        <v>0</v>
      </c>
      <c r="AB685" s="54">
        <f ca="1">Log_2019[[#This Row],[Amount]]-SUM(O685:AA685)</f>
        <v>0</v>
      </c>
      <c r="AC685" s="7">
        <f>MAX(0,Log_2019[[#This Row],[Split_raw]] - (EDATE(AA$1,1)-Log_2019[[#This Row],[Date]]))</f>
        <v>0</v>
      </c>
    </row>
    <row r="686" spans="1:29" x14ac:dyDescent="0.25">
      <c r="A686" s="42"/>
      <c r="B686" t="s">
        <v>6</v>
      </c>
      <c r="D686" s="26">
        <v>43512</v>
      </c>
      <c r="F686" t="s">
        <v>105</v>
      </c>
      <c r="G686" t="s">
        <v>104</v>
      </c>
      <c r="H686" s="3">
        <f>--788.64</f>
        <v>788.64</v>
      </c>
      <c r="I686" s="36">
        <f>IF(Log_2019[[#This Row],[My Category]]="NONTRACKED",0,Log_2019[[#This Row],[Raw Amount]])</f>
        <v>788.64</v>
      </c>
      <c r="J686" s="17">
        <f>ABS(Log_2019[[#This Row],[Amount]])</f>
        <v>788.64</v>
      </c>
      <c r="K686" s="5">
        <v>1</v>
      </c>
      <c r="L686" s="38">
        <f ca="1">IF(Log_2019[[#This Row],[Date]]&lt;=TODAY(), MIN(Log_2019[[#This Row],[Split_raw]], TODAY()-Log_2019[[#This Row],[Date]]+1), 0)</f>
        <v>1</v>
      </c>
      <c r="M686" t="s">
        <v>159</v>
      </c>
      <c r="N686" t="s">
        <v>158</v>
      </c>
      <c r="O686" s="7">
        <v>0</v>
      </c>
      <c r="P686" s="52">
        <f ca="1">Log_2019[[#This Row],[Amount]]/Log_2019[[#This Row],[Split_raw]]*MAX(0,MIN(_xlfn.DAYS(EDATE(P$1,1),Log_2019[[#This Row],[Date]]),Log_2019[[#This Row],[Split_apply]])) - SUM($O686:O686)</f>
        <v>0</v>
      </c>
      <c r="Q686" s="52">
        <f ca="1">Log_2019[[#This Row],[Amount]]/Log_2019[[#This Row],[Split_raw]]*MAX(0,MIN(_xlfn.DAYS(EDATE(Q$1,1),Log_2019[[#This Row],[Date]]),Log_2019[[#This Row],[Split_apply]])) - SUM($O686:P686)</f>
        <v>788.64</v>
      </c>
      <c r="R686" s="52">
        <f ca="1">Log_2019[[#This Row],[Amount]]/Log_2019[[#This Row],[Split_raw]]*MAX(0,MIN(_xlfn.DAYS(EDATE(R$1,1),Log_2019[[#This Row],[Date]]),Log_2019[[#This Row],[Split_apply]])) - SUM($O686:Q686)</f>
        <v>0</v>
      </c>
      <c r="S686" s="52">
        <f ca="1">Log_2019[[#This Row],[Amount]]/Log_2019[[#This Row],[Split_raw]]*MAX(0,MIN(_xlfn.DAYS(EDATE(S$1,1),Log_2019[[#This Row],[Date]]),Log_2019[[#This Row],[Split_apply]])) - SUM($O686:R686)</f>
        <v>0</v>
      </c>
      <c r="T686" s="52">
        <f ca="1">Log_2019[[#This Row],[Amount]]/Log_2019[[#This Row],[Split_raw]]*MAX(0,MIN(_xlfn.DAYS(EDATE(T$1,1),Log_2019[[#This Row],[Date]]),Log_2019[[#This Row],[Split_apply]])) - SUM($O686:S686)</f>
        <v>0</v>
      </c>
      <c r="U686" s="52">
        <f ca="1">Log_2019[[#This Row],[Amount]]/Log_2019[[#This Row],[Split_raw]]*MAX(0,MIN(_xlfn.DAYS(EDATE(U$1,1),Log_2019[[#This Row],[Date]]),Log_2019[[#This Row],[Split_apply]])) - SUM($O686:T686)</f>
        <v>0</v>
      </c>
      <c r="V686" s="52">
        <f ca="1">Log_2019[[#This Row],[Amount]]/Log_2019[[#This Row],[Split_raw]]*MAX(0,MIN(_xlfn.DAYS(EDATE(V$1,1),Log_2019[[#This Row],[Date]]),Log_2019[[#This Row],[Split_apply]])) - SUM($O686:U686)</f>
        <v>0</v>
      </c>
      <c r="W686" s="52">
        <f ca="1">Log_2019[[#This Row],[Amount]]/Log_2019[[#This Row],[Split_raw]]*MAX(0,MIN(_xlfn.DAYS(EDATE(W$1,1),Log_2019[[#This Row],[Date]]),Log_2019[[#This Row],[Split_apply]])) - SUM($O686:V686)</f>
        <v>0</v>
      </c>
      <c r="X686" s="52">
        <f ca="1">Log_2019[[#This Row],[Amount]]/Log_2019[[#This Row],[Split_raw]]*MAX(0,MIN(_xlfn.DAYS(EDATE(X$1,1),Log_2019[[#This Row],[Date]]),Log_2019[[#This Row],[Split_apply]])) - SUM($O686:W686)</f>
        <v>0</v>
      </c>
      <c r="Y686" s="52">
        <f ca="1">Log_2019[[#This Row],[Amount]]/Log_2019[[#This Row],[Split_raw]]*MAX(0,MIN(_xlfn.DAYS(EDATE(Y$1,1),Log_2019[[#This Row],[Date]]),Log_2019[[#This Row],[Split_apply]])) - SUM($O686:X686)</f>
        <v>0</v>
      </c>
      <c r="Z686" s="52">
        <f ca="1">Log_2019[[#This Row],[Amount]]/Log_2019[[#This Row],[Split_raw]]*MAX(0,MIN(_xlfn.DAYS(EDATE(Z$1,1),Log_2019[[#This Row],[Date]]),Log_2019[[#This Row],[Split_apply]])) - SUM($O686:Y686)</f>
        <v>0</v>
      </c>
      <c r="AA686" s="52">
        <f ca="1">Log_2019[[#This Row],[Amount]]/Log_2019[[#This Row],[Split_raw]]*MAX(0,MIN(_xlfn.DAYS(EDATE(AA$1,1),Log_2019[[#This Row],[Date]]),Log_2019[[#This Row],[Split_apply]])) - SUM($O686:Z686)</f>
        <v>0</v>
      </c>
      <c r="AB686" s="54">
        <f ca="1">Log_2019[[#This Row],[Amount]]-SUM(O686:AA686)</f>
        <v>0</v>
      </c>
      <c r="AC686" s="7">
        <f>MAX(0,Log_2019[[#This Row],[Split_raw]] - (EDATE(AA$1,1)-Log_2019[[#This Row],[Date]]))</f>
        <v>0</v>
      </c>
    </row>
    <row r="687" spans="1:29" x14ac:dyDescent="0.25">
      <c r="A687" s="42"/>
      <c r="B687" t="s">
        <v>6</v>
      </c>
      <c r="D687" s="26">
        <v>43512</v>
      </c>
      <c r="F687" t="s">
        <v>511</v>
      </c>
      <c r="G687" t="s">
        <v>19</v>
      </c>
      <c r="H687" s="3">
        <v>-6.11</v>
      </c>
      <c r="I687" s="36">
        <f>IF(Log_2019[[#This Row],[My Category]]="NONTRACKED",0,Log_2019[[#This Row],[Raw Amount]])</f>
        <v>-6.11</v>
      </c>
      <c r="J687" s="17">
        <f>ABS(Log_2019[[#This Row],[Amount]])</f>
        <v>6.11</v>
      </c>
      <c r="K687" s="5">
        <v>1</v>
      </c>
      <c r="L687" s="38">
        <f ca="1">IF(Log_2019[[#This Row],[Date]]&lt;=TODAY(), MIN(Log_2019[[#This Row],[Split_raw]], TODAY()-Log_2019[[#This Row],[Date]]+1), 0)</f>
        <v>1</v>
      </c>
      <c r="M687" t="s">
        <v>39</v>
      </c>
      <c r="N687" t="s">
        <v>158</v>
      </c>
      <c r="O687" s="7">
        <v>0</v>
      </c>
      <c r="P687" s="52">
        <f ca="1">Log_2019[[#This Row],[Amount]]/Log_2019[[#This Row],[Split_raw]]*MAX(0,MIN(_xlfn.DAYS(EDATE(P$1,1),Log_2019[[#This Row],[Date]]),Log_2019[[#This Row],[Split_apply]])) - SUM($O687:O687)</f>
        <v>0</v>
      </c>
      <c r="Q687" s="52">
        <f ca="1">Log_2019[[#This Row],[Amount]]/Log_2019[[#This Row],[Split_raw]]*MAX(0,MIN(_xlfn.DAYS(EDATE(Q$1,1),Log_2019[[#This Row],[Date]]),Log_2019[[#This Row],[Split_apply]])) - SUM($O687:P687)</f>
        <v>-6.11</v>
      </c>
      <c r="R687" s="52">
        <f ca="1">Log_2019[[#This Row],[Amount]]/Log_2019[[#This Row],[Split_raw]]*MAX(0,MIN(_xlfn.DAYS(EDATE(R$1,1),Log_2019[[#This Row],[Date]]),Log_2019[[#This Row],[Split_apply]])) - SUM($O687:Q687)</f>
        <v>0</v>
      </c>
      <c r="S687" s="52">
        <f ca="1">Log_2019[[#This Row],[Amount]]/Log_2019[[#This Row],[Split_raw]]*MAX(0,MIN(_xlfn.DAYS(EDATE(S$1,1),Log_2019[[#This Row],[Date]]),Log_2019[[#This Row],[Split_apply]])) - SUM($O687:R687)</f>
        <v>0</v>
      </c>
      <c r="T687" s="52">
        <f ca="1">Log_2019[[#This Row],[Amount]]/Log_2019[[#This Row],[Split_raw]]*MAX(0,MIN(_xlfn.DAYS(EDATE(T$1,1),Log_2019[[#This Row],[Date]]),Log_2019[[#This Row],[Split_apply]])) - SUM($O687:S687)</f>
        <v>0</v>
      </c>
      <c r="U687" s="52">
        <f ca="1">Log_2019[[#This Row],[Amount]]/Log_2019[[#This Row],[Split_raw]]*MAX(0,MIN(_xlfn.DAYS(EDATE(U$1,1),Log_2019[[#This Row],[Date]]),Log_2019[[#This Row],[Split_apply]])) - SUM($O687:T687)</f>
        <v>0</v>
      </c>
      <c r="V687" s="52">
        <f ca="1">Log_2019[[#This Row],[Amount]]/Log_2019[[#This Row],[Split_raw]]*MAX(0,MIN(_xlfn.DAYS(EDATE(V$1,1),Log_2019[[#This Row],[Date]]),Log_2019[[#This Row],[Split_apply]])) - SUM($O687:U687)</f>
        <v>0</v>
      </c>
      <c r="W687" s="52">
        <f ca="1">Log_2019[[#This Row],[Amount]]/Log_2019[[#This Row],[Split_raw]]*MAX(0,MIN(_xlfn.DAYS(EDATE(W$1,1),Log_2019[[#This Row],[Date]]),Log_2019[[#This Row],[Split_apply]])) - SUM($O687:V687)</f>
        <v>0</v>
      </c>
      <c r="X687" s="52">
        <f ca="1">Log_2019[[#This Row],[Amount]]/Log_2019[[#This Row],[Split_raw]]*MAX(0,MIN(_xlfn.DAYS(EDATE(X$1,1),Log_2019[[#This Row],[Date]]),Log_2019[[#This Row],[Split_apply]])) - SUM($O687:W687)</f>
        <v>0</v>
      </c>
      <c r="Y687" s="52">
        <f ca="1">Log_2019[[#This Row],[Amount]]/Log_2019[[#This Row],[Split_raw]]*MAX(0,MIN(_xlfn.DAYS(EDATE(Y$1,1),Log_2019[[#This Row],[Date]]),Log_2019[[#This Row],[Split_apply]])) - SUM($O687:X687)</f>
        <v>0</v>
      </c>
      <c r="Z687" s="52">
        <f ca="1">Log_2019[[#This Row],[Amount]]/Log_2019[[#This Row],[Split_raw]]*MAX(0,MIN(_xlfn.DAYS(EDATE(Z$1,1),Log_2019[[#This Row],[Date]]),Log_2019[[#This Row],[Split_apply]])) - SUM($O687:Y687)</f>
        <v>0</v>
      </c>
      <c r="AA687" s="52">
        <f ca="1">Log_2019[[#This Row],[Amount]]/Log_2019[[#This Row],[Split_raw]]*MAX(0,MIN(_xlfn.DAYS(EDATE(AA$1,1),Log_2019[[#This Row],[Date]]),Log_2019[[#This Row],[Split_apply]])) - SUM($O687:Z687)</f>
        <v>0</v>
      </c>
      <c r="AB687" s="54">
        <f ca="1">Log_2019[[#This Row],[Amount]]-SUM(O687:AA687)</f>
        <v>0</v>
      </c>
      <c r="AC687" s="7">
        <f>MAX(0,Log_2019[[#This Row],[Split_raw]] - (EDATE(AA$1,1)-Log_2019[[#This Row],[Date]]))</f>
        <v>0</v>
      </c>
    </row>
    <row r="688" spans="1:29" x14ac:dyDescent="0.25">
      <c r="A688" s="42"/>
      <c r="B688" t="s">
        <v>6</v>
      </c>
      <c r="D688" s="26">
        <v>43512</v>
      </c>
      <c r="F688" t="s">
        <v>184</v>
      </c>
      <c r="G688" t="s">
        <v>11</v>
      </c>
      <c r="H688" s="3">
        <v>-4.45</v>
      </c>
      <c r="I688" s="36">
        <f>IF(Log_2019[[#This Row],[My Category]]="NONTRACKED",0,Log_2019[[#This Row],[Raw Amount]])</f>
        <v>-4.45</v>
      </c>
      <c r="J688" s="17">
        <f>ABS(Log_2019[[#This Row],[Amount]])</f>
        <v>4.45</v>
      </c>
      <c r="K688" s="5">
        <v>1</v>
      </c>
      <c r="L688" s="38">
        <f ca="1">IF(Log_2019[[#This Row],[Date]]&lt;=TODAY(), MIN(Log_2019[[#This Row],[Split_raw]], TODAY()-Log_2019[[#This Row],[Date]]+1), 0)</f>
        <v>1</v>
      </c>
      <c r="M688" t="s">
        <v>12</v>
      </c>
      <c r="N688" t="s">
        <v>158</v>
      </c>
      <c r="O688" s="7">
        <v>0</v>
      </c>
      <c r="P688" s="52">
        <f ca="1">Log_2019[[#This Row],[Amount]]/Log_2019[[#This Row],[Split_raw]]*MAX(0,MIN(_xlfn.DAYS(EDATE(P$1,1),Log_2019[[#This Row],[Date]]),Log_2019[[#This Row],[Split_apply]])) - SUM($O688:O688)</f>
        <v>0</v>
      </c>
      <c r="Q688" s="52">
        <f ca="1">Log_2019[[#This Row],[Amount]]/Log_2019[[#This Row],[Split_raw]]*MAX(0,MIN(_xlfn.DAYS(EDATE(Q$1,1),Log_2019[[#This Row],[Date]]),Log_2019[[#This Row],[Split_apply]])) - SUM($O688:P688)</f>
        <v>-4.45</v>
      </c>
      <c r="R688" s="52">
        <f ca="1">Log_2019[[#This Row],[Amount]]/Log_2019[[#This Row],[Split_raw]]*MAX(0,MIN(_xlfn.DAYS(EDATE(R$1,1),Log_2019[[#This Row],[Date]]),Log_2019[[#This Row],[Split_apply]])) - SUM($O688:Q688)</f>
        <v>0</v>
      </c>
      <c r="S688" s="52">
        <f ca="1">Log_2019[[#This Row],[Amount]]/Log_2019[[#This Row],[Split_raw]]*MAX(0,MIN(_xlfn.DAYS(EDATE(S$1,1),Log_2019[[#This Row],[Date]]),Log_2019[[#This Row],[Split_apply]])) - SUM($O688:R688)</f>
        <v>0</v>
      </c>
      <c r="T688" s="52">
        <f ca="1">Log_2019[[#This Row],[Amount]]/Log_2019[[#This Row],[Split_raw]]*MAX(0,MIN(_xlfn.DAYS(EDATE(T$1,1),Log_2019[[#This Row],[Date]]),Log_2019[[#This Row],[Split_apply]])) - SUM($O688:S688)</f>
        <v>0</v>
      </c>
      <c r="U688" s="52">
        <f ca="1">Log_2019[[#This Row],[Amount]]/Log_2019[[#This Row],[Split_raw]]*MAX(0,MIN(_xlfn.DAYS(EDATE(U$1,1),Log_2019[[#This Row],[Date]]),Log_2019[[#This Row],[Split_apply]])) - SUM($O688:T688)</f>
        <v>0</v>
      </c>
      <c r="V688" s="52">
        <f ca="1">Log_2019[[#This Row],[Amount]]/Log_2019[[#This Row],[Split_raw]]*MAX(0,MIN(_xlfn.DAYS(EDATE(V$1,1),Log_2019[[#This Row],[Date]]),Log_2019[[#This Row],[Split_apply]])) - SUM($O688:U688)</f>
        <v>0</v>
      </c>
      <c r="W688" s="52">
        <f ca="1">Log_2019[[#This Row],[Amount]]/Log_2019[[#This Row],[Split_raw]]*MAX(0,MIN(_xlfn.DAYS(EDATE(W$1,1),Log_2019[[#This Row],[Date]]),Log_2019[[#This Row],[Split_apply]])) - SUM($O688:V688)</f>
        <v>0</v>
      </c>
      <c r="X688" s="52">
        <f ca="1">Log_2019[[#This Row],[Amount]]/Log_2019[[#This Row],[Split_raw]]*MAX(0,MIN(_xlfn.DAYS(EDATE(X$1,1),Log_2019[[#This Row],[Date]]),Log_2019[[#This Row],[Split_apply]])) - SUM($O688:W688)</f>
        <v>0</v>
      </c>
      <c r="Y688" s="52">
        <f ca="1">Log_2019[[#This Row],[Amount]]/Log_2019[[#This Row],[Split_raw]]*MAX(0,MIN(_xlfn.DAYS(EDATE(Y$1,1),Log_2019[[#This Row],[Date]]),Log_2019[[#This Row],[Split_apply]])) - SUM($O688:X688)</f>
        <v>0</v>
      </c>
      <c r="Z688" s="52">
        <f ca="1">Log_2019[[#This Row],[Amount]]/Log_2019[[#This Row],[Split_raw]]*MAX(0,MIN(_xlfn.DAYS(EDATE(Z$1,1),Log_2019[[#This Row],[Date]]),Log_2019[[#This Row],[Split_apply]])) - SUM($O688:Y688)</f>
        <v>0</v>
      </c>
      <c r="AA688" s="52">
        <f ca="1">Log_2019[[#This Row],[Amount]]/Log_2019[[#This Row],[Split_raw]]*MAX(0,MIN(_xlfn.DAYS(EDATE(AA$1,1),Log_2019[[#This Row],[Date]]),Log_2019[[#This Row],[Split_apply]])) - SUM($O688:Z688)</f>
        <v>0</v>
      </c>
      <c r="AB688" s="54">
        <f ca="1">Log_2019[[#This Row],[Amount]]-SUM(O688:AA688)</f>
        <v>0</v>
      </c>
      <c r="AC688" s="7">
        <f>MAX(0,Log_2019[[#This Row],[Split_raw]] - (EDATE(AA$1,1)-Log_2019[[#This Row],[Date]]))</f>
        <v>0</v>
      </c>
    </row>
    <row r="689" spans="1:29" x14ac:dyDescent="0.25">
      <c r="A689" s="42"/>
      <c r="B689" t="s">
        <v>6</v>
      </c>
      <c r="D689" s="26">
        <v>43512</v>
      </c>
      <c r="F689" t="s">
        <v>531</v>
      </c>
      <c r="G689" t="s">
        <v>25</v>
      </c>
      <c r="H689" s="3">
        <v>-16.149999999999999</v>
      </c>
      <c r="I689" s="36">
        <f>IF(Log_2019[[#This Row],[My Category]]="NONTRACKED",0,Log_2019[[#This Row],[Raw Amount]])</f>
        <v>-16.149999999999999</v>
      </c>
      <c r="J689" s="17">
        <f>ABS(Log_2019[[#This Row],[Amount]])</f>
        <v>16.149999999999999</v>
      </c>
      <c r="K689" s="5">
        <v>1</v>
      </c>
      <c r="L689" s="38">
        <f ca="1">IF(Log_2019[[#This Row],[Date]]&lt;=TODAY(), MIN(Log_2019[[#This Row],[Split_raw]], TODAY()-Log_2019[[#This Row],[Date]]+1), 0)</f>
        <v>1</v>
      </c>
      <c r="M689" t="s">
        <v>35</v>
      </c>
      <c r="N689" t="s">
        <v>158</v>
      </c>
      <c r="O689" s="7">
        <v>0</v>
      </c>
      <c r="P689" s="52">
        <f ca="1">Log_2019[[#This Row],[Amount]]/Log_2019[[#This Row],[Split_raw]]*MAX(0,MIN(_xlfn.DAYS(EDATE(P$1,1),Log_2019[[#This Row],[Date]]),Log_2019[[#This Row],[Split_apply]])) - SUM($O689:O689)</f>
        <v>0</v>
      </c>
      <c r="Q689" s="52">
        <f ca="1">Log_2019[[#This Row],[Amount]]/Log_2019[[#This Row],[Split_raw]]*MAX(0,MIN(_xlfn.DAYS(EDATE(Q$1,1),Log_2019[[#This Row],[Date]]),Log_2019[[#This Row],[Split_apply]])) - SUM($O689:P689)</f>
        <v>-16.149999999999999</v>
      </c>
      <c r="R689" s="52">
        <f ca="1">Log_2019[[#This Row],[Amount]]/Log_2019[[#This Row],[Split_raw]]*MAX(0,MIN(_xlfn.DAYS(EDATE(R$1,1),Log_2019[[#This Row],[Date]]),Log_2019[[#This Row],[Split_apply]])) - SUM($O689:Q689)</f>
        <v>0</v>
      </c>
      <c r="S689" s="52">
        <f ca="1">Log_2019[[#This Row],[Amount]]/Log_2019[[#This Row],[Split_raw]]*MAX(0,MIN(_xlfn.DAYS(EDATE(S$1,1),Log_2019[[#This Row],[Date]]),Log_2019[[#This Row],[Split_apply]])) - SUM($O689:R689)</f>
        <v>0</v>
      </c>
      <c r="T689" s="52">
        <f ca="1">Log_2019[[#This Row],[Amount]]/Log_2019[[#This Row],[Split_raw]]*MAX(0,MIN(_xlfn.DAYS(EDATE(T$1,1),Log_2019[[#This Row],[Date]]),Log_2019[[#This Row],[Split_apply]])) - SUM($O689:S689)</f>
        <v>0</v>
      </c>
      <c r="U689" s="52">
        <f ca="1">Log_2019[[#This Row],[Amount]]/Log_2019[[#This Row],[Split_raw]]*MAX(0,MIN(_xlfn.DAYS(EDATE(U$1,1),Log_2019[[#This Row],[Date]]),Log_2019[[#This Row],[Split_apply]])) - SUM($O689:T689)</f>
        <v>0</v>
      </c>
      <c r="V689" s="52">
        <f ca="1">Log_2019[[#This Row],[Amount]]/Log_2019[[#This Row],[Split_raw]]*MAX(0,MIN(_xlfn.DAYS(EDATE(V$1,1),Log_2019[[#This Row],[Date]]),Log_2019[[#This Row],[Split_apply]])) - SUM($O689:U689)</f>
        <v>0</v>
      </c>
      <c r="W689" s="52">
        <f ca="1">Log_2019[[#This Row],[Amount]]/Log_2019[[#This Row],[Split_raw]]*MAX(0,MIN(_xlfn.DAYS(EDATE(W$1,1),Log_2019[[#This Row],[Date]]),Log_2019[[#This Row],[Split_apply]])) - SUM($O689:V689)</f>
        <v>0</v>
      </c>
      <c r="X689" s="52">
        <f ca="1">Log_2019[[#This Row],[Amount]]/Log_2019[[#This Row],[Split_raw]]*MAX(0,MIN(_xlfn.DAYS(EDATE(X$1,1),Log_2019[[#This Row],[Date]]),Log_2019[[#This Row],[Split_apply]])) - SUM($O689:W689)</f>
        <v>0</v>
      </c>
      <c r="Y689" s="52">
        <f ca="1">Log_2019[[#This Row],[Amount]]/Log_2019[[#This Row],[Split_raw]]*MAX(0,MIN(_xlfn.DAYS(EDATE(Y$1,1),Log_2019[[#This Row],[Date]]),Log_2019[[#This Row],[Split_apply]])) - SUM($O689:X689)</f>
        <v>0</v>
      </c>
      <c r="Z689" s="52">
        <f ca="1">Log_2019[[#This Row],[Amount]]/Log_2019[[#This Row],[Split_raw]]*MAX(0,MIN(_xlfn.DAYS(EDATE(Z$1,1),Log_2019[[#This Row],[Date]]),Log_2019[[#This Row],[Split_apply]])) - SUM($O689:Y689)</f>
        <v>0</v>
      </c>
      <c r="AA689" s="52">
        <f ca="1">Log_2019[[#This Row],[Amount]]/Log_2019[[#This Row],[Split_raw]]*MAX(0,MIN(_xlfn.DAYS(EDATE(AA$1,1),Log_2019[[#This Row],[Date]]),Log_2019[[#This Row],[Split_apply]])) - SUM($O689:Z689)</f>
        <v>0</v>
      </c>
      <c r="AB689" s="54">
        <f ca="1">Log_2019[[#This Row],[Amount]]-SUM(O689:AA689)</f>
        <v>0</v>
      </c>
      <c r="AC689" s="7">
        <f>MAX(0,Log_2019[[#This Row],[Split_raw]] - (EDATE(AA$1,1)-Log_2019[[#This Row],[Date]]))</f>
        <v>0</v>
      </c>
    </row>
    <row r="690" spans="1:29" x14ac:dyDescent="0.25">
      <c r="A690" s="42"/>
      <c r="B690" t="s">
        <v>6</v>
      </c>
      <c r="D690" s="26">
        <v>43512</v>
      </c>
      <c r="F690" t="s">
        <v>255</v>
      </c>
      <c r="G690" t="s">
        <v>25</v>
      </c>
      <c r="H690" s="3">
        <v>-6.5</v>
      </c>
      <c r="I690" s="36">
        <f>IF(Log_2019[[#This Row],[My Category]]="NONTRACKED",0,Log_2019[[#This Row],[Raw Amount]])</f>
        <v>-6.5</v>
      </c>
      <c r="J690" s="17">
        <f>ABS(Log_2019[[#This Row],[Amount]])</f>
        <v>6.5</v>
      </c>
      <c r="K690" s="5">
        <v>1</v>
      </c>
      <c r="L690" s="38">
        <f ca="1">IF(Log_2019[[#This Row],[Date]]&lt;=TODAY(), MIN(Log_2019[[#This Row],[Split_raw]], TODAY()-Log_2019[[#This Row],[Date]]+1), 0)</f>
        <v>1</v>
      </c>
      <c r="M690" t="s">
        <v>35</v>
      </c>
      <c r="N690" t="s">
        <v>158</v>
      </c>
      <c r="O690" s="7">
        <v>0</v>
      </c>
      <c r="P690" s="52">
        <f ca="1">Log_2019[[#This Row],[Amount]]/Log_2019[[#This Row],[Split_raw]]*MAX(0,MIN(_xlfn.DAYS(EDATE(P$1,1),Log_2019[[#This Row],[Date]]),Log_2019[[#This Row],[Split_apply]])) - SUM($O690:O690)</f>
        <v>0</v>
      </c>
      <c r="Q690" s="52">
        <f ca="1">Log_2019[[#This Row],[Amount]]/Log_2019[[#This Row],[Split_raw]]*MAX(0,MIN(_xlfn.DAYS(EDATE(Q$1,1),Log_2019[[#This Row],[Date]]),Log_2019[[#This Row],[Split_apply]])) - SUM($O690:P690)</f>
        <v>-6.5</v>
      </c>
      <c r="R690" s="52">
        <f ca="1">Log_2019[[#This Row],[Amount]]/Log_2019[[#This Row],[Split_raw]]*MAX(0,MIN(_xlfn.DAYS(EDATE(R$1,1),Log_2019[[#This Row],[Date]]),Log_2019[[#This Row],[Split_apply]])) - SUM($O690:Q690)</f>
        <v>0</v>
      </c>
      <c r="S690" s="52">
        <f ca="1">Log_2019[[#This Row],[Amount]]/Log_2019[[#This Row],[Split_raw]]*MAX(0,MIN(_xlfn.DAYS(EDATE(S$1,1),Log_2019[[#This Row],[Date]]),Log_2019[[#This Row],[Split_apply]])) - SUM($O690:R690)</f>
        <v>0</v>
      </c>
      <c r="T690" s="52">
        <f ca="1">Log_2019[[#This Row],[Amount]]/Log_2019[[#This Row],[Split_raw]]*MAX(0,MIN(_xlfn.DAYS(EDATE(T$1,1),Log_2019[[#This Row],[Date]]),Log_2019[[#This Row],[Split_apply]])) - SUM($O690:S690)</f>
        <v>0</v>
      </c>
      <c r="U690" s="52">
        <f ca="1">Log_2019[[#This Row],[Amount]]/Log_2019[[#This Row],[Split_raw]]*MAX(0,MIN(_xlfn.DAYS(EDATE(U$1,1),Log_2019[[#This Row],[Date]]),Log_2019[[#This Row],[Split_apply]])) - SUM($O690:T690)</f>
        <v>0</v>
      </c>
      <c r="V690" s="52">
        <f ca="1">Log_2019[[#This Row],[Amount]]/Log_2019[[#This Row],[Split_raw]]*MAX(0,MIN(_xlfn.DAYS(EDATE(V$1,1),Log_2019[[#This Row],[Date]]),Log_2019[[#This Row],[Split_apply]])) - SUM($O690:U690)</f>
        <v>0</v>
      </c>
      <c r="W690" s="52">
        <f ca="1">Log_2019[[#This Row],[Amount]]/Log_2019[[#This Row],[Split_raw]]*MAX(0,MIN(_xlfn.DAYS(EDATE(W$1,1),Log_2019[[#This Row],[Date]]),Log_2019[[#This Row],[Split_apply]])) - SUM($O690:V690)</f>
        <v>0</v>
      </c>
      <c r="X690" s="52">
        <f ca="1">Log_2019[[#This Row],[Amount]]/Log_2019[[#This Row],[Split_raw]]*MAX(0,MIN(_xlfn.DAYS(EDATE(X$1,1),Log_2019[[#This Row],[Date]]),Log_2019[[#This Row],[Split_apply]])) - SUM($O690:W690)</f>
        <v>0</v>
      </c>
      <c r="Y690" s="52">
        <f ca="1">Log_2019[[#This Row],[Amount]]/Log_2019[[#This Row],[Split_raw]]*MAX(0,MIN(_xlfn.DAYS(EDATE(Y$1,1),Log_2019[[#This Row],[Date]]),Log_2019[[#This Row],[Split_apply]])) - SUM($O690:X690)</f>
        <v>0</v>
      </c>
      <c r="Z690" s="52">
        <f ca="1">Log_2019[[#This Row],[Amount]]/Log_2019[[#This Row],[Split_raw]]*MAX(0,MIN(_xlfn.DAYS(EDATE(Z$1,1),Log_2019[[#This Row],[Date]]),Log_2019[[#This Row],[Split_apply]])) - SUM($O690:Y690)</f>
        <v>0</v>
      </c>
      <c r="AA690" s="52">
        <f ca="1">Log_2019[[#This Row],[Amount]]/Log_2019[[#This Row],[Split_raw]]*MAX(0,MIN(_xlfn.DAYS(EDATE(AA$1,1),Log_2019[[#This Row],[Date]]),Log_2019[[#This Row],[Split_apply]])) - SUM($O690:Z690)</f>
        <v>0</v>
      </c>
      <c r="AB690" s="54">
        <f ca="1">Log_2019[[#This Row],[Amount]]-SUM(O690:AA690)</f>
        <v>0</v>
      </c>
      <c r="AC690" s="7">
        <f>MAX(0,Log_2019[[#This Row],[Split_raw]] - (EDATE(AA$1,1)-Log_2019[[#This Row],[Date]]))</f>
        <v>0</v>
      </c>
    </row>
    <row r="691" spans="1:29" x14ac:dyDescent="0.25">
      <c r="A691" s="42"/>
      <c r="B691" t="s">
        <v>6</v>
      </c>
      <c r="D691" s="26">
        <v>43510</v>
      </c>
      <c r="F691" t="s">
        <v>242</v>
      </c>
      <c r="G691" t="s">
        <v>87</v>
      </c>
      <c r="H691" s="3">
        <f>--12.3</f>
        <v>12.3</v>
      </c>
      <c r="I691" s="36">
        <f>IF(Log_2019[[#This Row],[My Category]]="NONTRACKED",0,Log_2019[[#This Row],[Raw Amount]])</f>
        <v>12.3</v>
      </c>
      <c r="J691" s="17">
        <f>ABS(Log_2019[[#This Row],[Amount]])</f>
        <v>12.3</v>
      </c>
      <c r="K691" s="5">
        <v>1</v>
      </c>
      <c r="L691" s="38">
        <f ca="1">IF(Log_2019[[#This Row],[Date]]&lt;=TODAY(), MIN(Log_2019[[#This Row],[Split_raw]], TODAY()-Log_2019[[#This Row],[Date]]+1), 0)</f>
        <v>1</v>
      </c>
      <c r="M691" t="s">
        <v>144</v>
      </c>
      <c r="N691" t="s">
        <v>160</v>
      </c>
      <c r="O691" s="7">
        <v>0</v>
      </c>
      <c r="P691" s="52">
        <f ca="1">Log_2019[[#This Row],[Amount]]/Log_2019[[#This Row],[Split_raw]]*MAX(0,MIN(_xlfn.DAYS(EDATE(P$1,1),Log_2019[[#This Row],[Date]]),Log_2019[[#This Row],[Split_apply]])) - SUM($O691:O691)</f>
        <v>0</v>
      </c>
      <c r="Q691" s="52">
        <f ca="1">Log_2019[[#This Row],[Amount]]/Log_2019[[#This Row],[Split_raw]]*MAX(0,MIN(_xlfn.DAYS(EDATE(Q$1,1),Log_2019[[#This Row],[Date]]),Log_2019[[#This Row],[Split_apply]])) - SUM($O691:P691)</f>
        <v>12.3</v>
      </c>
      <c r="R691" s="52">
        <f ca="1">Log_2019[[#This Row],[Amount]]/Log_2019[[#This Row],[Split_raw]]*MAX(0,MIN(_xlfn.DAYS(EDATE(R$1,1),Log_2019[[#This Row],[Date]]),Log_2019[[#This Row],[Split_apply]])) - SUM($O691:Q691)</f>
        <v>0</v>
      </c>
      <c r="S691" s="52">
        <f ca="1">Log_2019[[#This Row],[Amount]]/Log_2019[[#This Row],[Split_raw]]*MAX(0,MIN(_xlfn.DAYS(EDATE(S$1,1),Log_2019[[#This Row],[Date]]),Log_2019[[#This Row],[Split_apply]])) - SUM($O691:R691)</f>
        <v>0</v>
      </c>
      <c r="T691" s="52">
        <f ca="1">Log_2019[[#This Row],[Amount]]/Log_2019[[#This Row],[Split_raw]]*MAX(0,MIN(_xlfn.DAYS(EDATE(T$1,1),Log_2019[[#This Row],[Date]]),Log_2019[[#This Row],[Split_apply]])) - SUM($O691:S691)</f>
        <v>0</v>
      </c>
      <c r="U691" s="52">
        <f ca="1">Log_2019[[#This Row],[Amount]]/Log_2019[[#This Row],[Split_raw]]*MAX(0,MIN(_xlfn.DAYS(EDATE(U$1,1),Log_2019[[#This Row],[Date]]),Log_2019[[#This Row],[Split_apply]])) - SUM($O691:T691)</f>
        <v>0</v>
      </c>
      <c r="V691" s="52">
        <f ca="1">Log_2019[[#This Row],[Amount]]/Log_2019[[#This Row],[Split_raw]]*MAX(0,MIN(_xlfn.DAYS(EDATE(V$1,1),Log_2019[[#This Row],[Date]]),Log_2019[[#This Row],[Split_apply]])) - SUM($O691:U691)</f>
        <v>0</v>
      </c>
      <c r="W691" s="52">
        <f ca="1">Log_2019[[#This Row],[Amount]]/Log_2019[[#This Row],[Split_raw]]*MAX(0,MIN(_xlfn.DAYS(EDATE(W$1,1),Log_2019[[#This Row],[Date]]),Log_2019[[#This Row],[Split_apply]])) - SUM($O691:V691)</f>
        <v>0</v>
      </c>
      <c r="X691" s="52">
        <f ca="1">Log_2019[[#This Row],[Amount]]/Log_2019[[#This Row],[Split_raw]]*MAX(0,MIN(_xlfn.DAYS(EDATE(X$1,1),Log_2019[[#This Row],[Date]]),Log_2019[[#This Row],[Split_apply]])) - SUM($O691:W691)</f>
        <v>0</v>
      </c>
      <c r="Y691" s="52">
        <f ca="1">Log_2019[[#This Row],[Amount]]/Log_2019[[#This Row],[Split_raw]]*MAX(0,MIN(_xlfn.DAYS(EDATE(Y$1,1),Log_2019[[#This Row],[Date]]),Log_2019[[#This Row],[Split_apply]])) - SUM($O691:X691)</f>
        <v>0</v>
      </c>
      <c r="Z691" s="52">
        <f ca="1">Log_2019[[#This Row],[Amount]]/Log_2019[[#This Row],[Split_raw]]*MAX(0,MIN(_xlfn.DAYS(EDATE(Z$1,1),Log_2019[[#This Row],[Date]]),Log_2019[[#This Row],[Split_apply]])) - SUM($O691:Y691)</f>
        <v>0</v>
      </c>
      <c r="AA691" s="52">
        <f ca="1">Log_2019[[#This Row],[Amount]]/Log_2019[[#This Row],[Split_raw]]*MAX(0,MIN(_xlfn.DAYS(EDATE(AA$1,1),Log_2019[[#This Row],[Date]]),Log_2019[[#This Row],[Split_apply]])) - SUM($O691:Z691)</f>
        <v>0</v>
      </c>
      <c r="AB691" s="54">
        <f ca="1">Log_2019[[#This Row],[Amount]]-SUM(O691:AA691)</f>
        <v>0</v>
      </c>
      <c r="AC691" s="7">
        <f>MAX(0,Log_2019[[#This Row],[Split_raw]] - (EDATE(AA$1,1)-Log_2019[[#This Row],[Date]]))</f>
        <v>0</v>
      </c>
    </row>
    <row r="692" spans="1:29" x14ac:dyDescent="0.25">
      <c r="A692" s="42"/>
      <c r="B692" t="s">
        <v>6</v>
      </c>
      <c r="D692" s="26">
        <v>43510</v>
      </c>
      <c r="F692" t="s">
        <v>338</v>
      </c>
      <c r="G692" t="s">
        <v>87</v>
      </c>
      <c r="H692" s="3">
        <f>--1891.68</f>
        <v>1891.68</v>
      </c>
      <c r="I692" s="36">
        <f>IF(Log_2019[[#This Row],[My Category]]="NONTRACKED",0,Log_2019[[#This Row],[Raw Amount]])</f>
        <v>1891.68</v>
      </c>
      <c r="J692" s="17">
        <f>ABS(Log_2019[[#This Row],[Amount]])</f>
        <v>1891.68</v>
      </c>
      <c r="K692" s="5">
        <v>14</v>
      </c>
      <c r="L692" s="38">
        <f ca="1">IF(Log_2019[[#This Row],[Date]]&lt;=TODAY(), MIN(Log_2019[[#This Row],[Split_raw]], TODAY()-Log_2019[[#This Row],[Date]]+1), 0)</f>
        <v>14</v>
      </c>
      <c r="M692" t="s">
        <v>91</v>
      </c>
      <c r="N692" t="s">
        <v>160</v>
      </c>
      <c r="O692" s="7">
        <v>0</v>
      </c>
      <c r="P692" s="52">
        <f ca="1">Log_2019[[#This Row],[Amount]]/Log_2019[[#This Row],[Split_raw]]*MAX(0,MIN(_xlfn.DAYS(EDATE(P$1,1),Log_2019[[#This Row],[Date]]),Log_2019[[#This Row],[Split_apply]])) - SUM($O692:O692)</f>
        <v>0</v>
      </c>
      <c r="Q692" s="52">
        <f ca="1">Log_2019[[#This Row],[Amount]]/Log_2019[[#This Row],[Split_raw]]*MAX(0,MIN(_xlfn.DAYS(EDATE(Q$1,1),Log_2019[[#This Row],[Date]]),Log_2019[[#This Row],[Split_apply]])) - SUM($O692:P692)</f>
        <v>1891.68</v>
      </c>
      <c r="R692" s="52">
        <f ca="1">Log_2019[[#This Row],[Amount]]/Log_2019[[#This Row],[Split_raw]]*MAX(0,MIN(_xlfn.DAYS(EDATE(R$1,1),Log_2019[[#This Row],[Date]]),Log_2019[[#This Row],[Split_apply]])) - SUM($O692:Q692)</f>
        <v>0</v>
      </c>
      <c r="S692" s="52">
        <f ca="1">Log_2019[[#This Row],[Amount]]/Log_2019[[#This Row],[Split_raw]]*MAX(0,MIN(_xlfn.DAYS(EDATE(S$1,1),Log_2019[[#This Row],[Date]]),Log_2019[[#This Row],[Split_apply]])) - SUM($O692:R692)</f>
        <v>0</v>
      </c>
      <c r="T692" s="52">
        <f ca="1">Log_2019[[#This Row],[Amount]]/Log_2019[[#This Row],[Split_raw]]*MAX(0,MIN(_xlfn.DAYS(EDATE(T$1,1),Log_2019[[#This Row],[Date]]),Log_2019[[#This Row],[Split_apply]])) - SUM($O692:S692)</f>
        <v>0</v>
      </c>
      <c r="U692" s="52">
        <f ca="1">Log_2019[[#This Row],[Amount]]/Log_2019[[#This Row],[Split_raw]]*MAX(0,MIN(_xlfn.DAYS(EDATE(U$1,1),Log_2019[[#This Row],[Date]]),Log_2019[[#This Row],[Split_apply]])) - SUM($O692:T692)</f>
        <v>0</v>
      </c>
      <c r="V692" s="52">
        <f ca="1">Log_2019[[#This Row],[Amount]]/Log_2019[[#This Row],[Split_raw]]*MAX(0,MIN(_xlfn.DAYS(EDATE(V$1,1),Log_2019[[#This Row],[Date]]),Log_2019[[#This Row],[Split_apply]])) - SUM($O692:U692)</f>
        <v>0</v>
      </c>
      <c r="W692" s="52">
        <f ca="1">Log_2019[[#This Row],[Amount]]/Log_2019[[#This Row],[Split_raw]]*MAX(0,MIN(_xlfn.DAYS(EDATE(W$1,1),Log_2019[[#This Row],[Date]]),Log_2019[[#This Row],[Split_apply]])) - SUM($O692:V692)</f>
        <v>0</v>
      </c>
      <c r="X692" s="52">
        <f ca="1">Log_2019[[#This Row],[Amount]]/Log_2019[[#This Row],[Split_raw]]*MAX(0,MIN(_xlfn.DAYS(EDATE(X$1,1),Log_2019[[#This Row],[Date]]),Log_2019[[#This Row],[Split_apply]])) - SUM($O692:W692)</f>
        <v>0</v>
      </c>
      <c r="Y692" s="52">
        <f ca="1">Log_2019[[#This Row],[Amount]]/Log_2019[[#This Row],[Split_raw]]*MAX(0,MIN(_xlfn.DAYS(EDATE(Y$1,1),Log_2019[[#This Row],[Date]]),Log_2019[[#This Row],[Split_apply]])) - SUM($O692:X692)</f>
        <v>0</v>
      </c>
      <c r="Z692" s="52">
        <f ca="1">Log_2019[[#This Row],[Amount]]/Log_2019[[#This Row],[Split_raw]]*MAX(0,MIN(_xlfn.DAYS(EDATE(Z$1,1),Log_2019[[#This Row],[Date]]),Log_2019[[#This Row],[Split_apply]])) - SUM($O692:Y692)</f>
        <v>0</v>
      </c>
      <c r="AA692" s="52">
        <f ca="1">Log_2019[[#This Row],[Amount]]/Log_2019[[#This Row],[Split_raw]]*MAX(0,MIN(_xlfn.DAYS(EDATE(AA$1,1),Log_2019[[#This Row],[Date]]),Log_2019[[#This Row],[Split_apply]])) - SUM($O692:Z692)</f>
        <v>0</v>
      </c>
      <c r="AB692" s="54">
        <f ca="1">Log_2019[[#This Row],[Amount]]-SUM(O692:AA692)</f>
        <v>0</v>
      </c>
      <c r="AC692" s="7">
        <f>MAX(0,Log_2019[[#This Row],[Split_raw]] - (EDATE(AA$1,1)-Log_2019[[#This Row],[Date]]))</f>
        <v>0</v>
      </c>
    </row>
    <row r="693" spans="1:29" x14ac:dyDescent="0.25">
      <c r="A693" s="42"/>
      <c r="B693" t="s">
        <v>6</v>
      </c>
      <c r="D693" s="26">
        <v>43509</v>
      </c>
      <c r="F693" t="s">
        <v>345</v>
      </c>
      <c r="G693" t="s">
        <v>12</v>
      </c>
      <c r="H693" s="3">
        <v>-57.86</v>
      </c>
      <c r="I693" s="36">
        <f>IF(Log_2019[[#This Row],[My Category]]="NONTRACKED",0,Log_2019[[#This Row],[Raw Amount]])</f>
        <v>-57.86</v>
      </c>
      <c r="J693" s="17">
        <f>ABS(Log_2019[[#This Row],[Amount]])</f>
        <v>57.86</v>
      </c>
      <c r="K693" s="5">
        <v>1</v>
      </c>
      <c r="L693" s="38">
        <f ca="1">IF(Log_2019[[#This Row],[Date]]&lt;=TODAY(), MIN(Log_2019[[#This Row],[Split_raw]], TODAY()-Log_2019[[#This Row],[Date]]+1), 0)</f>
        <v>1</v>
      </c>
      <c r="M693" t="s">
        <v>12</v>
      </c>
      <c r="N693" t="s">
        <v>158</v>
      </c>
      <c r="O693" s="7">
        <v>0</v>
      </c>
      <c r="P693" s="52">
        <f ca="1">Log_2019[[#This Row],[Amount]]/Log_2019[[#This Row],[Split_raw]]*MAX(0,MIN(_xlfn.DAYS(EDATE(P$1,1),Log_2019[[#This Row],[Date]]),Log_2019[[#This Row],[Split_apply]])) - SUM($O693:O693)</f>
        <v>0</v>
      </c>
      <c r="Q693" s="52">
        <f ca="1">Log_2019[[#This Row],[Amount]]/Log_2019[[#This Row],[Split_raw]]*MAX(0,MIN(_xlfn.DAYS(EDATE(Q$1,1),Log_2019[[#This Row],[Date]]),Log_2019[[#This Row],[Split_apply]])) - SUM($O693:P693)</f>
        <v>-57.86</v>
      </c>
      <c r="R693" s="52">
        <f ca="1">Log_2019[[#This Row],[Amount]]/Log_2019[[#This Row],[Split_raw]]*MAX(0,MIN(_xlfn.DAYS(EDATE(R$1,1),Log_2019[[#This Row],[Date]]),Log_2019[[#This Row],[Split_apply]])) - SUM($O693:Q693)</f>
        <v>0</v>
      </c>
      <c r="S693" s="52">
        <f ca="1">Log_2019[[#This Row],[Amount]]/Log_2019[[#This Row],[Split_raw]]*MAX(0,MIN(_xlfn.DAYS(EDATE(S$1,1),Log_2019[[#This Row],[Date]]),Log_2019[[#This Row],[Split_apply]])) - SUM($O693:R693)</f>
        <v>0</v>
      </c>
      <c r="T693" s="52">
        <f ca="1">Log_2019[[#This Row],[Amount]]/Log_2019[[#This Row],[Split_raw]]*MAX(0,MIN(_xlfn.DAYS(EDATE(T$1,1),Log_2019[[#This Row],[Date]]),Log_2019[[#This Row],[Split_apply]])) - SUM($O693:S693)</f>
        <v>0</v>
      </c>
      <c r="U693" s="52">
        <f ca="1">Log_2019[[#This Row],[Amount]]/Log_2019[[#This Row],[Split_raw]]*MAX(0,MIN(_xlfn.DAYS(EDATE(U$1,1),Log_2019[[#This Row],[Date]]),Log_2019[[#This Row],[Split_apply]])) - SUM($O693:T693)</f>
        <v>0</v>
      </c>
      <c r="V693" s="52">
        <f ca="1">Log_2019[[#This Row],[Amount]]/Log_2019[[#This Row],[Split_raw]]*MAX(0,MIN(_xlfn.DAYS(EDATE(V$1,1),Log_2019[[#This Row],[Date]]),Log_2019[[#This Row],[Split_apply]])) - SUM($O693:U693)</f>
        <v>0</v>
      </c>
      <c r="W693" s="52">
        <f ca="1">Log_2019[[#This Row],[Amount]]/Log_2019[[#This Row],[Split_raw]]*MAX(0,MIN(_xlfn.DAYS(EDATE(W$1,1),Log_2019[[#This Row],[Date]]),Log_2019[[#This Row],[Split_apply]])) - SUM($O693:V693)</f>
        <v>0</v>
      </c>
      <c r="X693" s="52">
        <f ca="1">Log_2019[[#This Row],[Amount]]/Log_2019[[#This Row],[Split_raw]]*MAX(0,MIN(_xlfn.DAYS(EDATE(X$1,1),Log_2019[[#This Row],[Date]]),Log_2019[[#This Row],[Split_apply]])) - SUM($O693:W693)</f>
        <v>0</v>
      </c>
      <c r="Y693" s="52">
        <f ca="1">Log_2019[[#This Row],[Amount]]/Log_2019[[#This Row],[Split_raw]]*MAX(0,MIN(_xlfn.DAYS(EDATE(Y$1,1),Log_2019[[#This Row],[Date]]),Log_2019[[#This Row],[Split_apply]])) - SUM($O693:X693)</f>
        <v>0</v>
      </c>
      <c r="Z693" s="52">
        <f ca="1">Log_2019[[#This Row],[Amount]]/Log_2019[[#This Row],[Split_raw]]*MAX(0,MIN(_xlfn.DAYS(EDATE(Z$1,1),Log_2019[[#This Row],[Date]]),Log_2019[[#This Row],[Split_apply]])) - SUM($O693:Y693)</f>
        <v>0</v>
      </c>
      <c r="AA693" s="52">
        <f ca="1">Log_2019[[#This Row],[Amount]]/Log_2019[[#This Row],[Split_raw]]*MAX(0,MIN(_xlfn.DAYS(EDATE(AA$1,1),Log_2019[[#This Row],[Date]]),Log_2019[[#This Row],[Split_apply]])) - SUM($O693:Z693)</f>
        <v>0</v>
      </c>
      <c r="AB693" s="54">
        <f ca="1">Log_2019[[#This Row],[Amount]]-SUM(O693:AA693)</f>
        <v>0</v>
      </c>
      <c r="AC693" s="7">
        <f>MAX(0,Log_2019[[#This Row],[Split_raw]] - (EDATE(AA$1,1)-Log_2019[[#This Row],[Date]]))</f>
        <v>0</v>
      </c>
    </row>
    <row r="694" spans="1:29" x14ac:dyDescent="0.25">
      <c r="A694" s="42"/>
      <c r="B694" t="s">
        <v>6</v>
      </c>
      <c r="D694" s="26">
        <v>43509</v>
      </c>
      <c r="F694" t="s">
        <v>255</v>
      </c>
      <c r="G694" t="s">
        <v>25</v>
      </c>
      <c r="H694" s="3">
        <v>-9.49</v>
      </c>
      <c r="I694" s="36">
        <f>IF(Log_2019[[#This Row],[My Category]]="NONTRACKED",0,Log_2019[[#This Row],[Raw Amount]])</f>
        <v>-9.49</v>
      </c>
      <c r="J694" s="17">
        <f>ABS(Log_2019[[#This Row],[Amount]])</f>
        <v>9.49</v>
      </c>
      <c r="K694" s="5">
        <v>1</v>
      </c>
      <c r="L694" s="38">
        <f ca="1">IF(Log_2019[[#This Row],[Date]]&lt;=TODAY(), MIN(Log_2019[[#This Row],[Split_raw]], TODAY()-Log_2019[[#This Row],[Date]]+1), 0)</f>
        <v>1</v>
      </c>
      <c r="M694" t="s">
        <v>35</v>
      </c>
      <c r="N694" t="s">
        <v>158</v>
      </c>
      <c r="O694" s="7">
        <v>0</v>
      </c>
      <c r="P694" s="52">
        <f ca="1">Log_2019[[#This Row],[Amount]]/Log_2019[[#This Row],[Split_raw]]*MAX(0,MIN(_xlfn.DAYS(EDATE(P$1,1),Log_2019[[#This Row],[Date]]),Log_2019[[#This Row],[Split_apply]])) - SUM($O694:O694)</f>
        <v>0</v>
      </c>
      <c r="Q694" s="52">
        <f ca="1">Log_2019[[#This Row],[Amount]]/Log_2019[[#This Row],[Split_raw]]*MAX(0,MIN(_xlfn.DAYS(EDATE(Q$1,1),Log_2019[[#This Row],[Date]]),Log_2019[[#This Row],[Split_apply]])) - SUM($O694:P694)</f>
        <v>-9.49</v>
      </c>
      <c r="R694" s="52">
        <f ca="1">Log_2019[[#This Row],[Amount]]/Log_2019[[#This Row],[Split_raw]]*MAX(0,MIN(_xlfn.DAYS(EDATE(R$1,1),Log_2019[[#This Row],[Date]]),Log_2019[[#This Row],[Split_apply]])) - SUM($O694:Q694)</f>
        <v>0</v>
      </c>
      <c r="S694" s="52">
        <f ca="1">Log_2019[[#This Row],[Amount]]/Log_2019[[#This Row],[Split_raw]]*MAX(0,MIN(_xlfn.DAYS(EDATE(S$1,1),Log_2019[[#This Row],[Date]]),Log_2019[[#This Row],[Split_apply]])) - SUM($O694:R694)</f>
        <v>0</v>
      </c>
      <c r="T694" s="52">
        <f ca="1">Log_2019[[#This Row],[Amount]]/Log_2019[[#This Row],[Split_raw]]*MAX(0,MIN(_xlfn.DAYS(EDATE(T$1,1),Log_2019[[#This Row],[Date]]),Log_2019[[#This Row],[Split_apply]])) - SUM($O694:S694)</f>
        <v>0</v>
      </c>
      <c r="U694" s="52">
        <f ca="1">Log_2019[[#This Row],[Amount]]/Log_2019[[#This Row],[Split_raw]]*MAX(0,MIN(_xlfn.DAYS(EDATE(U$1,1),Log_2019[[#This Row],[Date]]),Log_2019[[#This Row],[Split_apply]])) - SUM($O694:T694)</f>
        <v>0</v>
      </c>
      <c r="V694" s="52">
        <f ca="1">Log_2019[[#This Row],[Amount]]/Log_2019[[#This Row],[Split_raw]]*MAX(0,MIN(_xlfn.DAYS(EDATE(V$1,1),Log_2019[[#This Row],[Date]]),Log_2019[[#This Row],[Split_apply]])) - SUM($O694:U694)</f>
        <v>0</v>
      </c>
      <c r="W694" s="52">
        <f ca="1">Log_2019[[#This Row],[Amount]]/Log_2019[[#This Row],[Split_raw]]*MAX(0,MIN(_xlfn.DAYS(EDATE(W$1,1),Log_2019[[#This Row],[Date]]),Log_2019[[#This Row],[Split_apply]])) - SUM($O694:V694)</f>
        <v>0</v>
      </c>
      <c r="X694" s="52">
        <f ca="1">Log_2019[[#This Row],[Amount]]/Log_2019[[#This Row],[Split_raw]]*MAX(0,MIN(_xlfn.DAYS(EDATE(X$1,1),Log_2019[[#This Row],[Date]]),Log_2019[[#This Row],[Split_apply]])) - SUM($O694:W694)</f>
        <v>0</v>
      </c>
      <c r="Y694" s="52">
        <f ca="1">Log_2019[[#This Row],[Amount]]/Log_2019[[#This Row],[Split_raw]]*MAX(0,MIN(_xlfn.DAYS(EDATE(Y$1,1),Log_2019[[#This Row],[Date]]),Log_2019[[#This Row],[Split_apply]])) - SUM($O694:X694)</f>
        <v>0</v>
      </c>
      <c r="Z694" s="52">
        <f ca="1">Log_2019[[#This Row],[Amount]]/Log_2019[[#This Row],[Split_raw]]*MAX(0,MIN(_xlfn.DAYS(EDATE(Z$1,1),Log_2019[[#This Row],[Date]]),Log_2019[[#This Row],[Split_apply]])) - SUM($O694:Y694)</f>
        <v>0</v>
      </c>
      <c r="AA694" s="52">
        <f ca="1">Log_2019[[#This Row],[Amount]]/Log_2019[[#This Row],[Split_raw]]*MAX(0,MIN(_xlfn.DAYS(EDATE(AA$1,1),Log_2019[[#This Row],[Date]]),Log_2019[[#This Row],[Split_apply]])) - SUM($O694:Z694)</f>
        <v>0</v>
      </c>
      <c r="AB694" s="54">
        <f ca="1">Log_2019[[#This Row],[Amount]]-SUM(O694:AA694)</f>
        <v>0</v>
      </c>
      <c r="AC694" s="7">
        <f>MAX(0,Log_2019[[#This Row],[Split_raw]] - (EDATE(AA$1,1)-Log_2019[[#This Row],[Date]]))</f>
        <v>0</v>
      </c>
    </row>
    <row r="695" spans="1:29" x14ac:dyDescent="0.25">
      <c r="A695" s="42"/>
      <c r="B695" s="34" t="s">
        <v>6</v>
      </c>
      <c r="D695" s="26">
        <v>43508</v>
      </c>
      <c r="F695" t="s">
        <v>83</v>
      </c>
      <c r="G695" t="s">
        <v>15</v>
      </c>
      <c r="H695" s="3">
        <v>-202.08</v>
      </c>
      <c r="I695" s="36">
        <f>IF(Log_2019[[#This Row],[My Category]]="NONTRACKED",0,Log_2019[[#This Row],[Raw Amount]])</f>
        <v>-202.08</v>
      </c>
      <c r="J695" s="17">
        <f>ABS(Log_2019[[#This Row],[Amount]])</f>
        <v>202.08</v>
      </c>
      <c r="K695" s="5">
        <v>30</v>
      </c>
      <c r="L695" s="38">
        <f ca="1">IF(Log_2019[[#This Row],[Date]]&lt;=TODAY(), MIN(Log_2019[[#This Row],[Split_raw]], TODAY()-Log_2019[[#This Row],[Date]]+1), 0)</f>
        <v>30</v>
      </c>
      <c r="M695" t="s">
        <v>241</v>
      </c>
      <c r="N695" t="s">
        <v>160</v>
      </c>
      <c r="O695" s="7">
        <v>0</v>
      </c>
      <c r="P695" s="52">
        <f ca="1">Log_2019[[#This Row],[Amount]]/Log_2019[[#This Row],[Split_raw]]*MAX(0,MIN(_xlfn.DAYS(EDATE(P$1,1),Log_2019[[#This Row],[Date]]),Log_2019[[#This Row],[Split_apply]])) - SUM($O695:O695)</f>
        <v>0</v>
      </c>
      <c r="Q695" s="52">
        <f ca="1">Log_2019[[#This Row],[Amount]]/Log_2019[[#This Row],[Split_raw]]*MAX(0,MIN(_xlfn.DAYS(EDATE(Q$1,1),Log_2019[[#This Row],[Date]]),Log_2019[[#This Row],[Split_apply]])) - SUM($O695:P695)</f>
        <v>-114.51200000000001</v>
      </c>
      <c r="R695" s="52">
        <f ca="1">Log_2019[[#This Row],[Amount]]/Log_2019[[#This Row],[Split_raw]]*MAX(0,MIN(_xlfn.DAYS(EDATE(R$1,1),Log_2019[[#This Row],[Date]]),Log_2019[[#This Row],[Split_apply]])) - SUM($O695:Q695)</f>
        <v>-87.567999999999998</v>
      </c>
      <c r="S695" s="52">
        <f ca="1">Log_2019[[#This Row],[Amount]]/Log_2019[[#This Row],[Split_raw]]*MAX(0,MIN(_xlfn.DAYS(EDATE(S$1,1),Log_2019[[#This Row],[Date]]),Log_2019[[#This Row],[Split_apply]])) - SUM($O695:R695)</f>
        <v>0</v>
      </c>
      <c r="T695" s="52">
        <f ca="1">Log_2019[[#This Row],[Amount]]/Log_2019[[#This Row],[Split_raw]]*MAX(0,MIN(_xlfn.DAYS(EDATE(T$1,1),Log_2019[[#This Row],[Date]]),Log_2019[[#This Row],[Split_apply]])) - SUM($O695:S695)</f>
        <v>0</v>
      </c>
      <c r="U695" s="52">
        <f ca="1">Log_2019[[#This Row],[Amount]]/Log_2019[[#This Row],[Split_raw]]*MAX(0,MIN(_xlfn.DAYS(EDATE(U$1,1),Log_2019[[#This Row],[Date]]),Log_2019[[#This Row],[Split_apply]])) - SUM($O695:T695)</f>
        <v>0</v>
      </c>
      <c r="V695" s="52">
        <f ca="1">Log_2019[[#This Row],[Amount]]/Log_2019[[#This Row],[Split_raw]]*MAX(0,MIN(_xlfn.DAYS(EDATE(V$1,1),Log_2019[[#This Row],[Date]]),Log_2019[[#This Row],[Split_apply]])) - SUM($O695:U695)</f>
        <v>0</v>
      </c>
      <c r="W695" s="52">
        <f ca="1">Log_2019[[#This Row],[Amount]]/Log_2019[[#This Row],[Split_raw]]*MAX(0,MIN(_xlfn.DAYS(EDATE(W$1,1),Log_2019[[#This Row],[Date]]),Log_2019[[#This Row],[Split_apply]])) - SUM($O695:V695)</f>
        <v>0</v>
      </c>
      <c r="X695" s="52">
        <f ca="1">Log_2019[[#This Row],[Amount]]/Log_2019[[#This Row],[Split_raw]]*MAX(0,MIN(_xlfn.DAYS(EDATE(X$1,1),Log_2019[[#This Row],[Date]]),Log_2019[[#This Row],[Split_apply]])) - SUM($O695:W695)</f>
        <v>0</v>
      </c>
      <c r="Y695" s="52">
        <f ca="1">Log_2019[[#This Row],[Amount]]/Log_2019[[#This Row],[Split_raw]]*MAX(0,MIN(_xlfn.DAYS(EDATE(Y$1,1),Log_2019[[#This Row],[Date]]),Log_2019[[#This Row],[Split_apply]])) - SUM($O695:X695)</f>
        <v>0</v>
      </c>
      <c r="Z695" s="52">
        <f ca="1">Log_2019[[#This Row],[Amount]]/Log_2019[[#This Row],[Split_raw]]*MAX(0,MIN(_xlfn.DAYS(EDATE(Z$1,1),Log_2019[[#This Row],[Date]]),Log_2019[[#This Row],[Split_apply]])) - SUM($O695:Y695)</f>
        <v>0</v>
      </c>
      <c r="AA695" s="52">
        <f ca="1">Log_2019[[#This Row],[Amount]]/Log_2019[[#This Row],[Split_raw]]*MAX(0,MIN(_xlfn.DAYS(EDATE(AA$1,1),Log_2019[[#This Row],[Date]]),Log_2019[[#This Row],[Split_apply]])) - SUM($O695:Z695)</f>
        <v>0</v>
      </c>
      <c r="AB695" s="54">
        <f ca="1">Log_2019[[#This Row],[Amount]]-SUM(O695:AA695)</f>
        <v>0</v>
      </c>
      <c r="AC695" s="7">
        <f>MAX(0,Log_2019[[#This Row],[Split_raw]] - (EDATE(AA$1,1)-Log_2019[[#This Row],[Date]]))</f>
        <v>0</v>
      </c>
    </row>
    <row r="696" spans="1:29" x14ac:dyDescent="0.25">
      <c r="A696" s="42"/>
      <c r="B696" t="s">
        <v>6</v>
      </c>
      <c r="D696" s="26">
        <v>43507</v>
      </c>
      <c r="F696" t="s">
        <v>59</v>
      </c>
      <c r="G696" t="s">
        <v>25</v>
      </c>
      <c r="H696" s="3">
        <v>-7.94</v>
      </c>
      <c r="I696" s="36">
        <f>IF(Log_2019[[#This Row],[My Category]]="NONTRACKED",0,Log_2019[[#This Row],[Raw Amount]])</f>
        <v>-7.94</v>
      </c>
      <c r="J696" s="17">
        <f>ABS(Log_2019[[#This Row],[Amount]])</f>
        <v>7.94</v>
      </c>
      <c r="K696" s="5">
        <v>1</v>
      </c>
      <c r="L696" s="38">
        <f ca="1">IF(Log_2019[[#This Row],[Date]]&lt;=TODAY(), MIN(Log_2019[[#This Row],[Split_raw]], TODAY()-Log_2019[[#This Row],[Date]]+1), 0)</f>
        <v>1</v>
      </c>
      <c r="M696" t="s">
        <v>35</v>
      </c>
      <c r="N696" t="s">
        <v>158</v>
      </c>
      <c r="O696" s="7">
        <v>0</v>
      </c>
      <c r="P696" s="52">
        <f ca="1">Log_2019[[#This Row],[Amount]]/Log_2019[[#This Row],[Split_raw]]*MAX(0,MIN(_xlfn.DAYS(EDATE(P$1,1),Log_2019[[#This Row],[Date]]),Log_2019[[#This Row],[Split_apply]])) - SUM($O696:O696)</f>
        <v>0</v>
      </c>
      <c r="Q696" s="52">
        <f ca="1">Log_2019[[#This Row],[Amount]]/Log_2019[[#This Row],[Split_raw]]*MAX(0,MIN(_xlfn.DAYS(EDATE(Q$1,1),Log_2019[[#This Row],[Date]]),Log_2019[[#This Row],[Split_apply]])) - SUM($O696:P696)</f>
        <v>-7.94</v>
      </c>
      <c r="R696" s="52">
        <f ca="1">Log_2019[[#This Row],[Amount]]/Log_2019[[#This Row],[Split_raw]]*MAX(0,MIN(_xlfn.DAYS(EDATE(R$1,1),Log_2019[[#This Row],[Date]]),Log_2019[[#This Row],[Split_apply]])) - SUM($O696:Q696)</f>
        <v>0</v>
      </c>
      <c r="S696" s="52">
        <f ca="1">Log_2019[[#This Row],[Amount]]/Log_2019[[#This Row],[Split_raw]]*MAX(0,MIN(_xlfn.DAYS(EDATE(S$1,1),Log_2019[[#This Row],[Date]]),Log_2019[[#This Row],[Split_apply]])) - SUM($O696:R696)</f>
        <v>0</v>
      </c>
      <c r="T696" s="52">
        <f ca="1">Log_2019[[#This Row],[Amount]]/Log_2019[[#This Row],[Split_raw]]*MAX(0,MIN(_xlfn.DAYS(EDATE(T$1,1),Log_2019[[#This Row],[Date]]),Log_2019[[#This Row],[Split_apply]])) - SUM($O696:S696)</f>
        <v>0</v>
      </c>
      <c r="U696" s="52">
        <f ca="1">Log_2019[[#This Row],[Amount]]/Log_2019[[#This Row],[Split_raw]]*MAX(0,MIN(_xlfn.DAYS(EDATE(U$1,1),Log_2019[[#This Row],[Date]]),Log_2019[[#This Row],[Split_apply]])) - SUM($O696:T696)</f>
        <v>0</v>
      </c>
      <c r="V696" s="52">
        <f ca="1">Log_2019[[#This Row],[Amount]]/Log_2019[[#This Row],[Split_raw]]*MAX(0,MIN(_xlfn.DAYS(EDATE(V$1,1),Log_2019[[#This Row],[Date]]),Log_2019[[#This Row],[Split_apply]])) - SUM($O696:U696)</f>
        <v>0</v>
      </c>
      <c r="W696" s="52">
        <f ca="1">Log_2019[[#This Row],[Amount]]/Log_2019[[#This Row],[Split_raw]]*MAX(0,MIN(_xlfn.DAYS(EDATE(W$1,1),Log_2019[[#This Row],[Date]]),Log_2019[[#This Row],[Split_apply]])) - SUM($O696:V696)</f>
        <v>0</v>
      </c>
      <c r="X696" s="52">
        <f ca="1">Log_2019[[#This Row],[Amount]]/Log_2019[[#This Row],[Split_raw]]*MAX(0,MIN(_xlfn.DAYS(EDATE(X$1,1),Log_2019[[#This Row],[Date]]),Log_2019[[#This Row],[Split_apply]])) - SUM($O696:W696)</f>
        <v>0</v>
      </c>
      <c r="Y696" s="52">
        <f ca="1">Log_2019[[#This Row],[Amount]]/Log_2019[[#This Row],[Split_raw]]*MAX(0,MIN(_xlfn.DAYS(EDATE(Y$1,1),Log_2019[[#This Row],[Date]]),Log_2019[[#This Row],[Split_apply]])) - SUM($O696:X696)</f>
        <v>0</v>
      </c>
      <c r="Z696" s="52">
        <f ca="1">Log_2019[[#This Row],[Amount]]/Log_2019[[#This Row],[Split_raw]]*MAX(0,MIN(_xlfn.DAYS(EDATE(Z$1,1),Log_2019[[#This Row],[Date]]),Log_2019[[#This Row],[Split_apply]])) - SUM($O696:Y696)</f>
        <v>0</v>
      </c>
      <c r="AA696" s="52">
        <f ca="1">Log_2019[[#This Row],[Amount]]/Log_2019[[#This Row],[Split_raw]]*MAX(0,MIN(_xlfn.DAYS(EDATE(AA$1,1),Log_2019[[#This Row],[Date]]),Log_2019[[#This Row],[Split_apply]])) - SUM($O696:Z696)</f>
        <v>0</v>
      </c>
      <c r="AB696" s="54">
        <f ca="1">Log_2019[[#This Row],[Amount]]-SUM(O696:AA696)</f>
        <v>0</v>
      </c>
      <c r="AC696" s="7">
        <f>MAX(0,Log_2019[[#This Row],[Split_raw]] - (EDATE(AA$1,1)-Log_2019[[#This Row],[Date]]))</f>
        <v>0</v>
      </c>
    </row>
    <row r="697" spans="1:29" x14ac:dyDescent="0.25">
      <c r="A697" s="42"/>
      <c r="B697" t="s">
        <v>6</v>
      </c>
      <c r="D697" s="26">
        <v>43507</v>
      </c>
      <c r="E697" t="s">
        <v>250</v>
      </c>
      <c r="F697" t="s">
        <v>243</v>
      </c>
      <c r="G697" t="s">
        <v>143</v>
      </c>
      <c r="H697" s="3">
        <v>-10.81</v>
      </c>
      <c r="I697" s="36">
        <f>IF(Log_2019[[#This Row],[My Category]]="NONTRACKED",0,Log_2019[[#This Row],[Raw Amount]])</f>
        <v>-10.81</v>
      </c>
      <c r="J697" s="17">
        <f>ABS(Log_2019[[#This Row],[Amount]])</f>
        <v>10.81</v>
      </c>
      <c r="K697" s="5">
        <v>30</v>
      </c>
      <c r="L697" s="38">
        <f ca="1">IF(Log_2019[[#This Row],[Date]]&lt;=TODAY(), MIN(Log_2019[[#This Row],[Split_raw]], TODAY()-Log_2019[[#This Row],[Date]]+1), 0)</f>
        <v>30</v>
      </c>
      <c r="M697" t="s">
        <v>53</v>
      </c>
      <c r="N697" t="s">
        <v>160</v>
      </c>
      <c r="O697" s="7">
        <v>0</v>
      </c>
      <c r="P697" s="52">
        <f ca="1">Log_2019[[#This Row],[Amount]]/Log_2019[[#This Row],[Split_raw]]*MAX(0,MIN(_xlfn.DAYS(EDATE(P$1,1),Log_2019[[#This Row],[Date]]),Log_2019[[#This Row],[Split_apply]])) - SUM($O697:O697)</f>
        <v>0</v>
      </c>
      <c r="Q697" s="52">
        <f ca="1">Log_2019[[#This Row],[Amount]]/Log_2019[[#This Row],[Split_raw]]*MAX(0,MIN(_xlfn.DAYS(EDATE(Q$1,1),Log_2019[[#This Row],[Date]]),Log_2019[[#This Row],[Split_apply]])) - SUM($O697:P697)</f>
        <v>-6.4859999999999998</v>
      </c>
      <c r="R697" s="52">
        <f ca="1">Log_2019[[#This Row],[Amount]]/Log_2019[[#This Row],[Split_raw]]*MAX(0,MIN(_xlfn.DAYS(EDATE(R$1,1),Log_2019[[#This Row],[Date]]),Log_2019[[#This Row],[Split_apply]])) - SUM($O697:Q697)</f>
        <v>-4.3240000000000007</v>
      </c>
      <c r="S697" s="52">
        <f ca="1">Log_2019[[#This Row],[Amount]]/Log_2019[[#This Row],[Split_raw]]*MAX(0,MIN(_xlfn.DAYS(EDATE(S$1,1),Log_2019[[#This Row],[Date]]),Log_2019[[#This Row],[Split_apply]])) - SUM($O697:R697)</f>
        <v>0</v>
      </c>
      <c r="T697" s="52">
        <f ca="1">Log_2019[[#This Row],[Amount]]/Log_2019[[#This Row],[Split_raw]]*MAX(0,MIN(_xlfn.DAYS(EDATE(T$1,1),Log_2019[[#This Row],[Date]]),Log_2019[[#This Row],[Split_apply]])) - SUM($O697:S697)</f>
        <v>0</v>
      </c>
      <c r="U697" s="52">
        <f ca="1">Log_2019[[#This Row],[Amount]]/Log_2019[[#This Row],[Split_raw]]*MAX(0,MIN(_xlfn.DAYS(EDATE(U$1,1),Log_2019[[#This Row],[Date]]),Log_2019[[#This Row],[Split_apply]])) - SUM($O697:T697)</f>
        <v>0</v>
      </c>
      <c r="V697" s="52">
        <f ca="1">Log_2019[[#This Row],[Amount]]/Log_2019[[#This Row],[Split_raw]]*MAX(0,MIN(_xlfn.DAYS(EDATE(V$1,1),Log_2019[[#This Row],[Date]]),Log_2019[[#This Row],[Split_apply]])) - SUM($O697:U697)</f>
        <v>0</v>
      </c>
      <c r="W697" s="52">
        <f ca="1">Log_2019[[#This Row],[Amount]]/Log_2019[[#This Row],[Split_raw]]*MAX(0,MIN(_xlfn.DAYS(EDATE(W$1,1),Log_2019[[#This Row],[Date]]),Log_2019[[#This Row],[Split_apply]])) - SUM($O697:V697)</f>
        <v>0</v>
      </c>
      <c r="X697" s="52">
        <f ca="1">Log_2019[[#This Row],[Amount]]/Log_2019[[#This Row],[Split_raw]]*MAX(0,MIN(_xlfn.DAYS(EDATE(X$1,1),Log_2019[[#This Row],[Date]]),Log_2019[[#This Row],[Split_apply]])) - SUM($O697:W697)</f>
        <v>0</v>
      </c>
      <c r="Y697" s="52">
        <f ca="1">Log_2019[[#This Row],[Amount]]/Log_2019[[#This Row],[Split_raw]]*MAX(0,MIN(_xlfn.DAYS(EDATE(Y$1,1),Log_2019[[#This Row],[Date]]),Log_2019[[#This Row],[Split_apply]])) - SUM($O697:X697)</f>
        <v>0</v>
      </c>
      <c r="Z697" s="52">
        <f ca="1">Log_2019[[#This Row],[Amount]]/Log_2019[[#This Row],[Split_raw]]*MAX(0,MIN(_xlfn.DAYS(EDATE(Z$1,1),Log_2019[[#This Row],[Date]]),Log_2019[[#This Row],[Split_apply]])) - SUM($O697:Y697)</f>
        <v>0</v>
      </c>
      <c r="AA697" s="52">
        <f ca="1">Log_2019[[#This Row],[Amount]]/Log_2019[[#This Row],[Split_raw]]*MAX(0,MIN(_xlfn.DAYS(EDATE(AA$1,1),Log_2019[[#This Row],[Date]]),Log_2019[[#This Row],[Split_apply]])) - SUM($O697:Z697)</f>
        <v>0</v>
      </c>
      <c r="AB697" s="54">
        <f ca="1">Log_2019[[#This Row],[Amount]]-SUM(O697:AA697)</f>
        <v>0</v>
      </c>
      <c r="AC697" s="7">
        <f>MAX(0,Log_2019[[#This Row],[Split_raw]] - (EDATE(AA$1,1)-Log_2019[[#This Row],[Date]]))</f>
        <v>0</v>
      </c>
    </row>
    <row r="698" spans="1:29" x14ac:dyDescent="0.25">
      <c r="A698" s="42"/>
      <c r="B698" t="s">
        <v>6</v>
      </c>
      <c r="D698" s="26">
        <v>43506</v>
      </c>
      <c r="F698" t="s">
        <v>352</v>
      </c>
      <c r="G698" t="s">
        <v>25</v>
      </c>
      <c r="H698" s="3">
        <v>-30.87</v>
      </c>
      <c r="I698" s="36">
        <f>IF(Log_2019[[#This Row],[My Category]]="NONTRACKED",0,Log_2019[[#This Row],[Raw Amount]])</f>
        <v>-30.87</v>
      </c>
      <c r="J698" s="17">
        <f>ABS(Log_2019[[#This Row],[Amount]])</f>
        <v>30.87</v>
      </c>
      <c r="K698" s="5">
        <v>1</v>
      </c>
      <c r="L698" s="38">
        <f ca="1">IF(Log_2019[[#This Row],[Date]]&lt;=TODAY(), MIN(Log_2019[[#This Row],[Split_raw]], TODAY()-Log_2019[[#This Row],[Date]]+1), 0)</f>
        <v>1</v>
      </c>
      <c r="M698" t="s">
        <v>37</v>
      </c>
      <c r="N698" t="s">
        <v>158</v>
      </c>
      <c r="O698" s="7">
        <v>0</v>
      </c>
      <c r="P698" s="52">
        <f ca="1">Log_2019[[#This Row],[Amount]]/Log_2019[[#This Row],[Split_raw]]*MAX(0,MIN(_xlfn.DAYS(EDATE(P$1,1),Log_2019[[#This Row],[Date]]),Log_2019[[#This Row],[Split_apply]])) - SUM($O698:O698)</f>
        <v>0</v>
      </c>
      <c r="Q698" s="52">
        <f ca="1">Log_2019[[#This Row],[Amount]]/Log_2019[[#This Row],[Split_raw]]*MAX(0,MIN(_xlfn.DAYS(EDATE(Q$1,1),Log_2019[[#This Row],[Date]]),Log_2019[[#This Row],[Split_apply]])) - SUM($O698:P698)</f>
        <v>-30.87</v>
      </c>
      <c r="R698" s="52">
        <f ca="1">Log_2019[[#This Row],[Amount]]/Log_2019[[#This Row],[Split_raw]]*MAX(0,MIN(_xlfn.DAYS(EDATE(R$1,1),Log_2019[[#This Row],[Date]]),Log_2019[[#This Row],[Split_apply]])) - SUM($O698:Q698)</f>
        <v>0</v>
      </c>
      <c r="S698" s="52">
        <f ca="1">Log_2019[[#This Row],[Amount]]/Log_2019[[#This Row],[Split_raw]]*MAX(0,MIN(_xlfn.DAYS(EDATE(S$1,1),Log_2019[[#This Row],[Date]]),Log_2019[[#This Row],[Split_apply]])) - SUM($O698:R698)</f>
        <v>0</v>
      </c>
      <c r="T698" s="52">
        <f ca="1">Log_2019[[#This Row],[Amount]]/Log_2019[[#This Row],[Split_raw]]*MAX(0,MIN(_xlfn.DAYS(EDATE(T$1,1),Log_2019[[#This Row],[Date]]),Log_2019[[#This Row],[Split_apply]])) - SUM($O698:S698)</f>
        <v>0</v>
      </c>
      <c r="U698" s="52">
        <f ca="1">Log_2019[[#This Row],[Amount]]/Log_2019[[#This Row],[Split_raw]]*MAX(0,MIN(_xlfn.DAYS(EDATE(U$1,1),Log_2019[[#This Row],[Date]]),Log_2019[[#This Row],[Split_apply]])) - SUM($O698:T698)</f>
        <v>0</v>
      </c>
      <c r="V698" s="52">
        <f ca="1">Log_2019[[#This Row],[Amount]]/Log_2019[[#This Row],[Split_raw]]*MAX(0,MIN(_xlfn.DAYS(EDATE(V$1,1),Log_2019[[#This Row],[Date]]),Log_2019[[#This Row],[Split_apply]])) - SUM($O698:U698)</f>
        <v>0</v>
      </c>
      <c r="W698" s="52">
        <f ca="1">Log_2019[[#This Row],[Amount]]/Log_2019[[#This Row],[Split_raw]]*MAX(0,MIN(_xlfn.DAYS(EDATE(W$1,1),Log_2019[[#This Row],[Date]]),Log_2019[[#This Row],[Split_apply]])) - SUM($O698:V698)</f>
        <v>0</v>
      </c>
      <c r="X698" s="52">
        <f ca="1">Log_2019[[#This Row],[Amount]]/Log_2019[[#This Row],[Split_raw]]*MAX(0,MIN(_xlfn.DAYS(EDATE(X$1,1),Log_2019[[#This Row],[Date]]),Log_2019[[#This Row],[Split_apply]])) - SUM($O698:W698)</f>
        <v>0</v>
      </c>
      <c r="Y698" s="52">
        <f ca="1">Log_2019[[#This Row],[Amount]]/Log_2019[[#This Row],[Split_raw]]*MAX(0,MIN(_xlfn.DAYS(EDATE(Y$1,1),Log_2019[[#This Row],[Date]]),Log_2019[[#This Row],[Split_apply]])) - SUM($O698:X698)</f>
        <v>0</v>
      </c>
      <c r="Z698" s="52">
        <f ca="1">Log_2019[[#This Row],[Amount]]/Log_2019[[#This Row],[Split_raw]]*MAX(0,MIN(_xlfn.DAYS(EDATE(Z$1,1),Log_2019[[#This Row],[Date]]),Log_2019[[#This Row],[Split_apply]])) - SUM($O698:Y698)</f>
        <v>0</v>
      </c>
      <c r="AA698" s="52">
        <f ca="1">Log_2019[[#This Row],[Amount]]/Log_2019[[#This Row],[Split_raw]]*MAX(0,MIN(_xlfn.DAYS(EDATE(AA$1,1),Log_2019[[#This Row],[Date]]),Log_2019[[#This Row],[Split_apply]])) - SUM($O698:Z698)</f>
        <v>0</v>
      </c>
      <c r="AB698" s="54">
        <f ca="1">Log_2019[[#This Row],[Amount]]-SUM(O698:AA698)</f>
        <v>0</v>
      </c>
      <c r="AC698" s="7">
        <f>MAX(0,Log_2019[[#This Row],[Split_raw]] - (EDATE(AA$1,1)-Log_2019[[#This Row],[Date]]))</f>
        <v>0</v>
      </c>
    </row>
    <row r="699" spans="1:29" x14ac:dyDescent="0.25">
      <c r="A699" s="42"/>
      <c r="B699" s="34" t="s">
        <v>490</v>
      </c>
      <c r="C699" s="34">
        <v>2.6749947474618598E+18</v>
      </c>
      <c r="D699" s="41">
        <v>43504</v>
      </c>
      <c r="E699" s="34"/>
      <c r="F699" s="34" t="s">
        <v>715</v>
      </c>
      <c r="G699" s="34"/>
      <c r="H699" s="45">
        <v>-12</v>
      </c>
      <c r="I699" s="36">
        <f>IF(Log_2019[[#This Row],[My Category]]="NONTRACKED",0,Log_2019[[#This Row],[Raw Amount]])</f>
        <v>-12</v>
      </c>
      <c r="J699" s="37">
        <f>ABS(Log_2019[[#This Row],[Amount]])</f>
        <v>12</v>
      </c>
      <c r="K699" s="38">
        <v>1</v>
      </c>
      <c r="L699" s="38">
        <f ca="1">IF(Log_2019[[#This Row],[Date]]&lt;=TODAY(), MIN(Log_2019[[#This Row],[Split_raw]], TODAY()-Log_2019[[#This Row],[Date]]+1), 0)</f>
        <v>1</v>
      </c>
      <c r="M699" s="34" t="s">
        <v>35</v>
      </c>
      <c r="N699" s="34" t="s">
        <v>490</v>
      </c>
      <c r="O699" s="7">
        <v>0</v>
      </c>
      <c r="P699" s="52">
        <f ca="1">Log_2019[[#This Row],[Amount]]/Log_2019[[#This Row],[Split_raw]]*MAX(0,MIN(_xlfn.DAYS(EDATE(P$1,1),Log_2019[[#This Row],[Date]]),Log_2019[[#This Row],[Split_apply]])) - SUM($O699:O699)</f>
        <v>0</v>
      </c>
      <c r="Q699" s="52">
        <f ca="1">Log_2019[[#This Row],[Amount]]/Log_2019[[#This Row],[Split_raw]]*MAX(0,MIN(_xlfn.DAYS(EDATE(Q$1,1),Log_2019[[#This Row],[Date]]),Log_2019[[#This Row],[Split_apply]])) - SUM($O699:P699)</f>
        <v>-12</v>
      </c>
      <c r="R699" s="52">
        <f ca="1">Log_2019[[#This Row],[Amount]]/Log_2019[[#This Row],[Split_raw]]*MAX(0,MIN(_xlfn.DAYS(EDATE(R$1,1),Log_2019[[#This Row],[Date]]),Log_2019[[#This Row],[Split_apply]])) - SUM($O699:Q699)</f>
        <v>0</v>
      </c>
      <c r="S699" s="52">
        <f ca="1">Log_2019[[#This Row],[Amount]]/Log_2019[[#This Row],[Split_raw]]*MAX(0,MIN(_xlfn.DAYS(EDATE(S$1,1),Log_2019[[#This Row],[Date]]),Log_2019[[#This Row],[Split_apply]])) - SUM($O699:R699)</f>
        <v>0</v>
      </c>
      <c r="T699" s="52">
        <f ca="1">Log_2019[[#This Row],[Amount]]/Log_2019[[#This Row],[Split_raw]]*MAX(0,MIN(_xlfn.DAYS(EDATE(T$1,1),Log_2019[[#This Row],[Date]]),Log_2019[[#This Row],[Split_apply]])) - SUM($O699:S699)</f>
        <v>0</v>
      </c>
      <c r="U699" s="52">
        <f ca="1">Log_2019[[#This Row],[Amount]]/Log_2019[[#This Row],[Split_raw]]*MAX(0,MIN(_xlfn.DAYS(EDATE(U$1,1),Log_2019[[#This Row],[Date]]),Log_2019[[#This Row],[Split_apply]])) - SUM($O699:T699)</f>
        <v>0</v>
      </c>
      <c r="V699" s="52">
        <f ca="1">Log_2019[[#This Row],[Amount]]/Log_2019[[#This Row],[Split_raw]]*MAX(0,MIN(_xlfn.DAYS(EDATE(V$1,1),Log_2019[[#This Row],[Date]]),Log_2019[[#This Row],[Split_apply]])) - SUM($O699:U699)</f>
        <v>0</v>
      </c>
      <c r="W699" s="52">
        <f ca="1">Log_2019[[#This Row],[Amount]]/Log_2019[[#This Row],[Split_raw]]*MAX(0,MIN(_xlfn.DAYS(EDATE(W$1,1),Log_2019[[#This Row],[Date]]),Log_2019[[#This Row],[Split_apply]])) - SUM($O699:V699)</f>
        <v>0</v>
      </c>
      <c r="X699" s="52">
        <f ca="1">Log_2019[[#This Row],[Amount]]/Log_2019[[#This Row],[Split_raw]]*MAX(0,MIN(_xlfn.DAYS(EDATE(X$1,1),Log_2019[[#This Row],[Date]]),Log_2019[[#This Row],[Split_apply]])) - SUM($O699:W699)</f>
        <v>0</v>
      </c>
      <c r="Y699" s="52">
        <f ca="1">Log_2019[[#This Row],[Amount]]/Log_2019[[#This Row],[Split_raw]]*MAX(0,MIN(_xlfn.DAYS(EDATE(Y$1,1),Log_2019[[#This Row],[Date]]),Log_2019[[#This Row],[Split_apply]])) - SUM($O699:X699)</f>
        <v>0</v>
      </c>
      <c r="Z699" s="52">
        <f ca="1">Log_2019[[#This Row],[Amount]]/Log_2019[[#This Row],[Split_raw]]*MAX(0,MIN(_xlfn.DAYS(EDATE(Z$1,1),Log_2019[[#This Row],[Date]]),Log_2019[[#This Row],[Split_apply]])) - SUM($O699:Y699)</f>
        <v>0</v>
      </c>
      <c r="AA699" s="52">
        <f ca="1">Log_2019[[#This Row],[Amount]]/Log_2019[[#This Row],[Split_raw]]*MAX(0,MIN(_xlfn.DAYS(EDATE(AA$1,1),Log_2019[[#This Row],[Date]]),Log_2019[[#This Row],[Split_apply]])) - SUM($O699:Z699)</f>
        <v>0</v>
      </c>
      <c r="AB699" s="54">
        <f ca="1">Log_2019[[#This Row],[Amount]]-SUM(O699:AA699)</f>
        <v>0</v>
      </c>
      <c r="AC699" s="7">
        <f>MAX(0,Log_2019[[#This Row],[Split_raw]] - (EDATE(AA$1,1)-Log_2019[[#This Row],[Date]]))</f>
        <v>0</v>
      </c>
    </row>
    <row r="700" spans="1:29" x14ac:dyDescent="0.25">
      <c r="A700" s="42"/>
      <c r="B700" t="s">
        <v>6</v>
      </c>
      <c r="D700" s="26">
        <v>43503</v>
      </c>
      <c r="F700" t="s">
        <v>309</v>
      </c>
      <c r="G700" t="s">
        <v>13</v>
      </c>
      <c r="H700" s="3">
        <v>-21.35</v>
      </c>
      <c r="I700" s="36">
        <f>IF(Log_2019[[#This Row],[My Category]]="NONTRACKED",0,Log_2019[[#This Row],[Raw Amount]])</f>
        <v>-21.35</v>
      </c>
      <c r="J700" s="17">
        <f>ABS(Log_2019[[#This Row],[Amount]])</f>
        <v>21.35</v>
      </c>
      <c r="K700" s="5">
        <v>1</v>
      </c>
      <c r="L700" s="38">
        <f ca="1">IF(Log_2019[[#This Row],[Date]]&lt;=TODAY(), MIN(Log_2019[[#This Row],[Split_raw]], TODAY()-Log_2019[[#This Row],[Date]]+1), 0)</f>
        <v>1</v>
      </c>
      <c r="M700" t="s">
        <v>145</v>
      </c>
      <c r="N700" t="s">
        <v>158</v>
      </c>
      <c r="O700" s="7">
        <v>0</v>
      </c>
      <c r="P700" s="52">
        <f ca="1">Log_2019[[#This Row],[Amount]]/Log_2019[[#This Row],[Split_raw]]*MAX(0,MIN(_xlfn.DAYS(EDATE(P$1,1),Log_2019[[#This Row],[Date]]),Log_2019[[#This Row],[Split_apply]])) - SUM($O700:O700)</f>
        <v>0</v>
      </c>
      <c r="Q700" s="52">
        <f ca="1">Log_2019[[#This Row],[Amount]]/Log_2019[[#This Row],[Split_raw]]*MAX(0,MIN(_xlfn.DAYS(EDATE(Q$1,1),Log_2019[[#This Row],[Date]]),Log_2019[[#This Row],[Split_apply]])) - SUM($O700:P700)</f>
        <v>-21.35</v>
      </c>
      <c r="R700" s="52">
        <f ca="1">Log_2019[[#This Row],[Amount]]/Log_2019[[#This Row],[Split_raw]]*MAX(0,MIN(_xlfn.DAYS(EDATE(R$1,1),Log_2019[[#This Row],[Date]]),Log_2019[[#This Row],[Split_apply]])) - SUM($O700:Q700)</f>
        <v>0</v>
      </c>
      <c r="S700" s="52">
        <f ca="1">Log_2019[[#This Row],[Amount]]/Log_2019[[#This Row],[Split_raw]]*MAX(0,MIN(_xlfn.DAYS(EDATE(S$1,1),Log_2019[[#This Row],[Date]]),Log_2019[[#This Row],[Split_apply]])) - SUM($O700:R700)</f>
        <v>0</v>
      </c>
      <c r="T700" s="52">
        <f ca="1">Log_2019[[#This Row],[Amount]]/Log_2019[[#This Row],[Split_raw]]*MAX(0,MIN(_xlfn.DAYS(EDATE(T$1,1),Log_2019[[#This Row],[Date]]),Log_2019[[#This Row],[Split_apply]])) - SUM($O700:S700)</f>
        <v>0</v>
      </c>
      <c r="U700" s="52">
        <f ca="1">Log_2019[[#This Row],[Amount]]/Log_2019[[#This Row],[Split_raw]]*MAX(0,MIN(_xlfn.DAYS(EDATE(U$1,1),Log_2019[[#This Row],[Date]]),Log_2019[[#This Row],[Split_apply]])) - SUM($O700:T700)</f>
        <v>0</v>
      </c>
      <c r="V700" s="52">
        <f ca="1">Log_2019[[#This Row],[Amount]]/Log_2019[[#This Row],[Split_raw]]*MAX(0,MIN(_xlfn.DAYS(EDATE(V$1,1),Log_2019[[#This Row],[Date]]),Log_2019[[#This Row],[Split_apply]])) - SUM($O700:U700)</f>
        <v>0</v>
      </c>
      <c r="W700" s="52">
        <f ca="1">Log_2019[[#This Row],[Amount]]/Log_2019[[#This Row],[Split_raw]]*MAX(0,MIN(_xlfn.DAYS(EDATE(W$1,1),Log_2019[[#This Row],[Date]]),Log_2019[[#This Row],[Split_apply]])) - SUM($O700:V700)</f>
        <v>0</v>
      </c>
      <c r="X700" s="52">
        <f ca="1">Log_2019[[#This Row],[Amount]]/Log_2019[[#This Row],[Split_raw]]*MAX(0,MIN(_xlfn.DAYS(EDATE(X$1,1),Log_2019[[#This Row],[Date]]),Log_2019[[#This Row],[Split_apply]])) - SUM($O700:W700)</f>
        <v>0</v>
      </c>
      <c r="Y700" s="52">
        <f ca="1">Log_2019[[#This Row],[Amount]]/Log_2019[[#This Row],[Split_raw]]*MAX(0,MIN(_xlfn.DAYS(EDATE(Y$1,1),Log_2019[[#This Row],[Date]]),Log_2019[[#This Row],[Split_apply]])) - SUM($O700:X700)</f>
        <v>0</v>
      </c>
      <c r="Z700" s="52">
        <f ca="1">Log_2019[[#This Row],[Amount]]/Log_2019[[#This Row],[Split_raw]]*MAX(0,MIN(_xlfn.DAYS(EDATE(Z$1,1),Log_2019[[#This Row],[Date]]),Log_2019[[#This Row],[Split_apply]])) - SUM($O700:Y700)</f>
        <v>0</v>
      </c>
      <c r="AA700" s="52">
        <f ca="1">Log_2019[[#This Row],[Amount]]/Log_2019[[#This Row],[Split_raw]]*MAX(0,MIN(_xlfn.DAYS(EDATE(AA$1,1),Log_2019[[#This Row],[Date]]),Log_2019[[#This Row],[Split_apply]])) - SUM($O700:Z700)</f>
        <v>0</v>
      </c>
      <c r="AB700" s="54">
        <f ca="1">Log_2019[[#This Row],[Amount]]-SUM(O700:AA700)</f>
        <v>0</v>
      </c>
      <c r="AC700" s="7">
        <f>MAX(0,Log_2019[[#This Row],[Split_raw]] - (EDATE(AA$1,1)-Log_2019[[#This Row],[Date]]))</f>
        <v>0</v>
      </c>
    </row>
    <row r="701" spans="1:29" x14ac:dyDescent="0.25">
      <c r="A701" s="42"/>
      <c r="B701" t="s">
        <v>6</v>
      </c>
      <c r="D701" s="26">
        <v>43503</v>
      </c>
      <c r="F701" t="s">
        <v>270</v>
      </c>
      <c r="G701" t="s">
        <v>25</v>
      </c>
      <c r="H701" s="3">
        <v>-13.06</v>
      </c>
      <c r="I701" s="36">
        <f>IF(Log_2019[[#This Row],[My Category]]="NONTRACKED",0,Log_2019[[#This Row],[Raw Amount]])</f>
        <v>-13.06</v>
      </c>
      <c r="J701" s="17">
        <f>ABS(Log_2019[[#This Row],[Amount]])</f>
        <v>13.06</v>
      </c>
      <c r="K701" s="5">
        <v>1</v>
      </c>
      <c r="L701" s="38">
        <f ca="1">IF(Log_2019[[#This Row],[Date]]&lt;=TODAY(), MIN(Log_2019[[#This Row],[Split_raw]], TODAY()-Log_2019[[#This Row],[Date]]+1), 0)</f>
        <v>1</v>
      </c>
      <c r="M701" t="s">
        <v>35</v>
      </c>
      <c r="N701" t="s">
        <v>158</v>
      </c>
      <c r="O701" s="7">
        <v>0</v>
      </c>
      <c r="P701" s="52">
        <f ca="1">Log_2019[[#This Row],[Amount]]/Log_2019[[#This Row],[Split_raw]]*MAX(0,MIN(_xlfn.DAYS(EDATE(P$1,1),Log_2019[[#This Row],[Date]]),Log_2019[[#This Row],[Split_apply]])) - SUM($O701:O701)</f>
        <v>0</v>
      </c>
      <c r="Q701" s="52">
        <f ca="1">Log_2019[[#This Row],[Amount]]/Log_2019[[#This Row],[Split_raw]]*MAX(0,MIN(_xlfn.DAYS(EDATE(Q$1,1),Log_2019[[#This Row],[Date]]),Log_2019[[#This Row],[Split_apply]])) - SUM($O701:P701)</f>
        <v>-13.06</v>
      </c>
      <c r="R701" s="52">
        <f ca="1">Log_2019[[#This Row],[Amount]]/Log_2019[[#This Row],[Split_raw]]*MAX(0,MIN(_xlfn.DAYS(EDATE(R$1,1),Log_2019[[#This Row],[Date]]),Log_2019[[#This Row],[Split_apply]])) - SUM($O701:Q701)</f>
        <v>0</v>
      </c>
      <c r="S701" s="52">
        <f ca="1">Log_2019[[#This Row],[Amount]]/Log_2019[[#This Row],[Split_raw]]*MAX(0,MIN(_xlfn.DAYS(EDATE(S$1,1),Log_2019[[#This Row],[Date]]),Log_2019[[#This Row],[Split_apply]])) - SUM($O701:R701)</f>
        <v>0</v>
      </c>
      <c r="T701" s="52">
        <f ca="1">Log_2019[[#This Row],[Amount]]/Log_2019[[#This Row],[Split_raw]]*MAX(0,MIN(_xlfn.DAYS(EDATE(T$1,1),Log_2019[[#This Row],[Date]]),Log_2019[[#This Row],[Split_apply]])) - SUM($O701:S701)</f>
        <v>0</v>
      </c>
      <c r="U701" s="52">
        <f ca="1">Log_2019[[#This Row],[Amount]]/Log_2019[[#This Row],[Split_raw]]*MAX(0,MIN(_xlfn.DAYS(EDATE(U$1,1),Log_2019[[#This Row],[Date]]),Log_2019[[#This Row],[Split_apply]])) - SUM($O701:T701)</f>
        <v>0</v>
      </c>
      <c r="V701" s="52">
        <f ca="1">Log_2019[[#This Row],[Amount]]/Log_2019[[#This Row],[Split_raw]]*MAX(0,MIN(_xlfn.DAYS(EDATE(V$1,1),Log_2019[[#This Row],[Date]]),Log_2019[[#This Row],[Split_apply]])) - SUM($O701:U701)</f>
        <v>0</v>
      </c>
      <c r="W701" s="52">
        <f ca="1">Log_2019[[#This Row],[Amount]]/Log_2019[[#This Row],[Split_raw]]*MAX(0,MIN(_xlfn.DAYS(EDATE(W$1,1),Log_2019[[#This Row],[Date]]),Log_2019[[#This Row],[Split_apply]])) - SUM($O701:V701)</f>
        <v>0</v>
      </c>
      <c r="X701" s="52">
        <f ca="1">Log_2019[[#This Row],[Amount]]/Log_2019[[#This Row],[Split_raw]]*MAX(0,MIN(_xlfn.DAYS(EDATE(X$1,1),Log_2019[[#This Row],[Date]]),Log_2019[[#This Row],[Split_apply]])) - SUM($O701:W701)</f>
        <v>0</v>
      </c>
      <c r="Y701" s="52">
        <f ca="1">Log_2019[[#This Row],[Amount]]/Log_2019[[#This Row],[Split_raw]]*MAX(0,MIN(_xlfn.DAYS(EDATE(Y$1,1),Log_2019[[#This Row],[Date]]),Log_2019[[#This Row],[Split_apply]])) - SUM($O701:X701)</f>
        <v>0</v>
      </c>
      <c r="Z701" s="52">
        <f ca="1">Log_2019[[#This Row],[Amount]]/Log_2019[[#This Row],[Split_raw]]*MAX(0,MIN(_xlfn.DAYS(EDATE(Z$1,1),Log_2019[[#This Row],[Date]]),Log_2019[[#This Row],[Split_apply]])) - SUM($O701:Y701)</f>
        <v>0</v>
      </c>
      <c r="AA701" s="52">
        <f ca="1">Log_2019[[#This Row],[Amount]]/Log_2019[[#This Row],[Split_raw]]*MAX(0,MIN(_xlfn.DAYS(EDATE(AA$1,1),Log_2019[[#This Row],[Date]]),Log_2019[[#This Row],[Split_apply]])) - SUM($O701:Z701)</f>
        <v>0</v>
      </c>
      <c r="AB701" s="54">
        <f ca="1">Log_2019[[#This Row],[Amount]]-SUM(O701:AA701)</f>
        <v>0</v>
      </c>
      <c r="AC701" s="7">
        <f>MAX(0,Log_2019[[#This Row],[Split_raw]] - (EDATE(AA$1,1)-Log_2019[[#This Row],[Date]]))</f>
        <v>0</v>
      </c>
    </row>
    <row r="702" spans="1:29" x14ac:dyDescent="0.25">
      <c r="A702" s="42"/>
      <c r="B702" t="s">
        <v>6</v>
      </c>
      <c r="D702" s="26">
        <v>43503</v>
      </c>
      <c r="F702" t="s">
        <v>255</v>
      </c>
      <c r="G702" t="s">
        <v>25</v>
      </c>
      <c r="H702" s="3">
        <v>-23.39</v>
      </c>
      <c r="I702" s="36">
        <f>IF(Log_2019[[#This Row],[My Category]]="NONTRACKED",0,Log_2019[[#This Row],[Raw Amount]])</f>
        <v>-23.39</v>
      </c>
      <c r="J702" s="17">
        <f>ABS(Log_2019[[#This Row],[Amount]])</f>
        <v>23.39</v>
      </c>
      <c r="K702" s="5">
        <v>1</v>
      </c>
      <c r="L702" s="38">
        <f ca="1">IF(Log_2019[[#This Row],[Date]]&lt;=TODAY(), MIN(Log_2019[[#This Row],[Split_raw]], TODAY()-Log_2019[[#This Row],[Date]]+1), 0)</f>
        <v>1</v>
      </c>
      <c r="M702" t="s">
        <v>52</v>
      </c>
      <c r="N702" t="s">
        <v>158</v>
      </c>
      <c r="O702" s="7">
        <v>0</v>
      </c>
      <c r="P702" s="52">
        <f ca="1">Log_2019[[#This Row],[Amount]]/Log_2019[[#This Row],[Split_raw]]*MAX(0,MIN(_xlfn.DAYS(EDATE(P$1,1),Log_2019[[#This Row],[Date]]),Log_2019[[#This Row],[Split_apply]])) - SUM($O702:O702)</f>
        <v>0</v>
      </c>
      <c r="Q702" s="52">
        <f ca="1">Log_2019[[#This Row],[Amount]]/Log_2019[[#This Row],[Split_raw]]*MAX(0,MIN(_xlfn.DAYS(EDATE(Q$1,1),Log_2019[[#This Row],[Date]]),Log_2019[[#This Row],[Split_apply]])) - SUM($O702:P702)</f>
        <v>-23.39</v>
      </c>
      <c r="R702" s="52">
        <f ca="1">Log_2019[[#This Row],[Amount]]/Log_2019[[#This Row],[Split_raw]]*MAX(0,MIN(_xlfn.DAYS(EDATE(R$1,1),Log_2019[[#This Row],[Date]]),Log_2019[[#This Row],[Split_apply]])) - SUM($O702:Q702)</f>
        <v>0</v>
      </c>
      <c r="S702" s="52">
        <f ca="1">Log_2019[[#This Row],[Amount]]/Log_2019[[#This Row],[Split_raw]]*MAX(0,MIN(_xlfn.DAYS(EDATE(S$1,1),Log_2019[[#This Row],[Date]]),Log_2019[[#This Row],[Split_apply]])) - SUM($O702:R702)</f>
        <v>0</v>
      </c>
      <c r="T702" s="52">
        <f ca="1">Log_2019[[#This Row],[Amount]]/Log_2019[[#This Row],[Split_raw]]*MAX(0,MIN(_xlfn.DAYS(EDATE(T$1,1),Log_2019[[#This Row],[Date]]),Log_2019[[#This Row],[Split_apply]])) - SUM($O702:S702)</f>
        <v>0</v>
      </c>
      <c r="U702" s="52">
        <f ca="1">Log_2019[[#This Row],[Amount]]/Log_2019[[#This Row],[Split_raw]]*MAX(0,MIN(_xlfn.DAYS(EDATE(U$1,1),Log_2019[[#This Row],[Date]]),Log_2019[[#This Row],[Split_apply]])) - SUM($O702:T702)</f>
        <v>0</v>
      </c>
      <c r="V702" s="52">
        <f ca="1">Log_2019[[#This Row],[Amount]]/Log_2019[[#This Row],[Split_raw]]*MAX(0,MIN(_xlfn.DAYS(EDATE(V$1,1),Log_2019[[#This Row],[Date]]),Log_2019[[#This Row],[Split_apply]])) - SUM($O702:U702)</f>
        <v>0</v>
      </c>
      <c r="W702" s="52">
        <f ca="1">Log_2019[[#This Row],[Amount]]/Log_2019[[#This Row],[Split_raw]]*MAX(0,MIN(_xlfn.DAYS(EDATE(W$1,1),Log_2019[[#This Row],[Date]]),Log_2019[[#This Row],[Split_apply]])) - SUM($O702:V702)</f>
        <v>0</v>
      </c>
      <c r="X702" s="52">
        <f ca="1">Log_2019[[#This Row],[Amount]]/Log_2019[[#This Row],[Split_raw]]*MAX(0,MIN(_xlfn.DAYS(EDATE(X$1,1),Log_2019[[#This Row],[Date]]),Log_2019[[#This Row],[Split_apply]])) - SUM($O702:W702)</f>
        <v>0</v>
      </c>
      <c r="Y702" s="52">
        <f ca="1">Log_2019[[#This Row],[Amount]]/Log_2019[[#This Row],[Split_raw]]*MAX(0,MIN(_xlfn.DAYS(EDATE(Y$1,1),Log_2019[[#This Row],[Date]]),Log_2019[[#This Row],[Split_apply]])) - SUM($O702:X702)</f>
        <v>0</v>
      </c>
      <c r="Z702" s="52">
        <f ca="1">Log_2019[[#This Row],[Amount]]/Log_2019[[#This Row],[Split_raw]]*MAX(0,MIN(_xlfn.DAYS(EDATE(Z$1,1),Log_2019[[#This Row],[Date]]),Log_2019[[#This Row],[Split_apply]])) - SUM($O702:Y702)</f>
        <v>0</v>
      </c>
      <c r="AA702" s="52">
        <f ca="1">Log_2019[[#This Row],[Amount]]/Log_2019[[#This Row],[Split_raw]]*MAX(0,MIN(_xlfn.DAYS(EDATE(AA$1,1),Log_2019[[#This Row],[Date]]),Log_2019[[#This Row],[Split_apply]])) - SUM($O702:Z702)</f>
        <v>0</v>
      </c>
      <c r="AB702" s="54">
        <f ca="1">Log_2019[[#This Row],[Amount]]-SUM(O702:AA702)</f>
        <v>0</v>
      </c>
      <c r="AC702" s="7">
        <f>MAX(0,Log_2019[[#This Row],[Split_raw]] - (EDATE(AA$1,1)-Log_2019[[#This Row],[Date]]))</f>
        <v>0</v>
      </c>
    </row>
    <row r="703" spans="1:29" x14ac:dyDescent="0.25">
      <c r="A703" s="42"/>
      <c r="B703" t="s">
        <v>6</v>
      </c>
      <c r="D703" s="26">
        <v>43503</v>
      </c>
      <c r="F703" t="s">
        <v>188</v>
      </c>
      <c r="G703" t="s">
        <v>189</v>
      </c>
      <c r="H703" s="3">
        <v>-85.08</v>
      </c>
      <c r="I703" s="36">
        <f>IF(Log_2019[[#This Row],[My Category]]="NONTRACKED",0,Log_2019[[#This Row],[Raw Amount]])</f>
        <v>-85.08</v>
      </c>
      <c r="J703" s="17">
        <f>ABS(Log_2019[[#This Row],[Amount]])</f>
        <v>85.08</v>
      </c>
      <c r="K703" s="5">
        <v>30</v>
      </c>
      <c r="L703" s="38">
        <f ca="1">IF(Log_2019[[#This Row],[Date]]&lt;=TODAY(), MIN(Log_2019[[#This Row],[Split_raw]], TODAY()-Log_2019[[#This Row],[Date]]+1), 0)</f>
        <v>30</v>
      </c>
      <c r="M703" t="s">
        <v>30</v>
      </c>
      <c r="N703" t="s">
        <v>158</v>
      </c>
      <c r="O703" s="7">
        <v>0</v>
      </c>
      <c r="P703" s="52">
        <f ca="1">Log_2019[[#This Row],[Amount]]/Log_2019[[#This Row],[Split_raw]]*MAX(0,MIN(_xlfn.DAYS(EDATE(P$1,1),Log_2019[[#This Row],[Date]]),Log_2019[[#This Row],[Split_apply]])) - SUM($O703:O703)</f>
        <v>0</v>
      </c>
      <c r="Q703" s="52">
        <f ca="1">Log_2019[[#This Row],[Amount]]/Log_2019[[#This Row],[Split_raw]]*MAX(0,MIN(_xlfn.DAYS(EDATE(Q$1,1),Log_2019[[#This Row],[Date]]),Log_2019[[#This Row],[Split_apply]])) - SUM($O703:P703)</f>
        <v>-62.391999999999996</v>
      </c>
      <c r="R703" s="52">
        <f ca="1">Log_2019[[#This Row],[Amount]]/Log_2019[[#This Row],[Split_raw]]*MAX(0,MIN(_xlfn.DAYS(EDATE(R$1,1),Log_2019[[#This Row],[Date]]),Log_2019[[#This Row],[Split_apply]])) - SUM($O703:Q703)</f>
        <v>-22.688000000000002</v>
      </c>
      <c r="S703" s="52">
        <f ca="1">Log_2019[[#This Row],[Amount]]/Log_2019[[#This Row],[Split_raw]]*MAX(0,MIN(_xlfn.DAYS(EDATE(S$1,1),Log_2019[[#This Row],[Date]]),Log_2019[[#This Row],[Split_apply]])) - SUM($O703:R703)</f>
        <v>0</v>
      </c>
      <c r="T703" s="52">
        <f ca="1">Log_2019[[#This Row],[Amount]]/Log_2019[[#This Row],[Split_raw]]*MAX(0,MIN(_xlfn.DAYS(EDATE(T$1,1),Log_2019[[#This Row],[Date]]),Log_2019[[#This Row],[Split_apply]])) - SUM($O703:S703)</f>
        <v>0</v>
      </c>
      <c r="U703" s="52">
        <f ca="1">Log_2019[[#This Row],[Amount]]/Log_2019[[#This Row],[Split_raw]]*MAX(0,MIN(_xlfn.DAYS(EDATE(U$1,1),Log_2019[[#This Row],[Date]]),Log_2019[[#This Row],[Split_apply]])) - SUM($O703:T703)</f>
        <v>0</v>
      </c>
      <c r="V703" s="52">
        <f ca="1">Log_2019[[#This Row],[Amount]]/Log_2019[[#This Row],[Split_raw]]*MAX(0,MIN(_xlfn.DAYS(EDATE(V$1,1),Log_2019[[#This Row],[Date]]),Log_2019[[#This Row],[Split_apply]])) - SUM($O703:U703)</f>
        <v>0</v>
      </c>
      <c r="W703" s="52">
        <f ca="1">Log_2019[[#This Row],[Amount]]/Log_2019[[#This Row],[Split_raw]]*MAX(0,MIN(_xlfn.DAYS(EDATE(W$1,1),Log_2019[[#This Row],[Date]]),Log_2019[[#This Row],[Split_apply]])) - SUM($O703:V703)</f>
        <v>0</v>
      </c>
      <c r="X703" s="52">
        <f ca="1">Log_2019[[#This Row],[Amount]]/Log_2019[[#This Row],[Split_raw]]*MAX(0,MIN(_xlfn.DAYS(EDATE(X$1,1),Log_2019[[#This Row],[Date]]),Log_2019[[#This Row],[Split_apply]])) - SUM($O703:W703)</f>
        <v>0</v>
      </c>
      <c r="Y703" s="52">
        <f ca="1">Log_2019[[#This Row],[Amount]]/Log_2019[[#This Row],[Split_raw]]*MAX(0,MIN(_xlfn.DAYS(EDATE(Y$1,1),Log_2019[[#This Row],[Date]]),Log_2019[[#This Row],[Split_apply]])) - SUM($O703:X703)</f>
        <v>0</v>
      </c>
      <c r="Z703" s="52">
        <f ca="1">Log_2019[[#This Row],[Amount]]/Log_2019[[#This Row],[Split_raw]]*MAX(0,MIN(_xlfn.DAYS(EDATE(Z$1,1),Log_2019[[#This Row],[Date]]),Log_2019[[#This Row],[Split_apply]])) - SUM($O703:Y703)</f>
        <v>0</v>
      </c>
      <c r="AA703" s="52">
        <f ca="1">Log_2019[[#This Row],[Amount]]/Log_2019[[#This Row],[Split_raw]]*MAX(0,MIN(_xlfn.DAYS(EDATE(AA$1,1),Log_2019[[#This Row],[Date]]),Log_2019[[#This Row],[Split_apply]])) - SUM($O703:Z703)</f>
        <v>0</v>
      </c>
      <c r="AB703" s="54">
        <f ca="1">Log_2019[[#This Row],[Amount]]-SUM(O703:AA703)</f>
        <v>0</v>
      </c>
      <c r="AC703" s="7">
        <f>MAX(0,Log_2019[[#This Row],[Split_raw]] - (EDATE(AA$1,1)-Log_2019[[#This Row],[Date]]))</f>
        <v>0</v>
      </c>
    </row>
    <row r="704" spans="1:29" x14ac:dyDescent="0.25">
      <c r="A704" s="42"/>
      <c r="B704" t="s">
        <v>6</v>
      </c>
      <c r="D704" s="26">
        <v>43502</v>
      </c>
      <c r="F704" t="s">
        <v>308</v>
      </c>
      <c r="G704" t="s">
        <v>25</v>
      </c>
      <c r="H704" s="3">
        <v>-9.7100000000000009</v>
      </c>
      <c r="I704" s="36">
        <f>IF(Log_2019[[#This Row],[My Category]]="NONTRACKED",0,Log_2019[[#This Row],[Raw Amount]])</f>
        <v>-9.7100000000000009</v>
      </c>
      <c r="J704" s="17">
        <f>ABS(Log_2019[[#This Row],[Amount]])</f>
        <v>9.7100000000000009</v>
      </c>
      <c r="K704" s="5">
        <v>1</v>
      </c>
      <c r="L704" s="38">
        <f ca="1">IF(Log_2019[[#This Row],[Date]]&lt;=TODAY(), MIN(Log_2019[[#This Row],[Split_raw]], TODAY()-Log_2019[[#This Row],[Date]]+1), 0)</f>
        <v>1</v>
      </c>
      <c r="M704" t="s">
        <v>35</v>
      </c>
      <c r="N704" t="s">
        <v>158</v>
      </c>
      <c r="O704" s="7">
        <v>0</v>
      </c>
      <c r="P704" s="52">
        <f ca="1">Log_2019[[#This Row],[Amount]]/Log_2019[[#This Row],[Split_raw]]*MAX(0,MIN(_xlfn.DAYS(EDATE(P$1,1),Log_2019[[#This Row],[Date]]),Log_2019[[#This Row],[Split_apply]])) - SUM($O704:O704)</f>
        <v>0</v>
      </c>
      <c r="Q704" s="52">
        <f ca="1">Log_2019[[#This Row],[Amount]]/Log_2019[[#This Row],[Split_raw]]*MAX(0,MIN(_xlfn.DAYS(EDATE(Q$1,1),Log_2019[[#This Row],[Date]]),Log_2019[[#This Row],[Split_apply]])) - SUM($O704:P704)</f>
        <v>-9.7100000000000009</v>
      </c>
      <c r="R704" s="52">
        <f ca="1">Log_2019[[#This Row],[Amount]]/Log_2019[[#This Row],[Split_raw]]*MAX(0,MIN(_xlfn.DAYS(EDATE(R$1,1),Log_2019[[#This Row],[Date]]),Log_2019[[#This Row],[Split_apply]])) - SUM($O704:Q704)</f>
        <v>0</v>
      </c>
      <c r="S704" s="52">
        <f ca="1">Log_2019[[#This Row],[Amount]]/Log_2019[[#This Row],[Split_raw]]*MAX(0,MIN(_xlfn.DAYS(EDATE(S$1,1),Log_2019[[#This Row],[Date]]),Log_2019[[#This Row],[Split_apply]])) - SUM($O704:R704)</f>
        <v>0</v>
      </c>
      <c r="T704" s="52">
        <f ca="1">Log_2019[[#This Row],[Amount]]/Log_2019[[#This Row],[Split_raw]]*MAX(0,MIN(_xlfn.DAYS(EDATE(T$1,1),Log_2019[[#This Row],[Date]]),Log_2019[[#This Row],[Split_apply]])) - SUM($O704:S704)</f>
        <v>0</v>
      </c>
      <c r="U704" s="52">
        <f ca="1">Log_2019[[#This Row],[Amount]]/Log_2019[[#This Row],[Split_raw]]*MAX(0,MIN(_xlfn.DAYS(EDATE(U$1,1),Log_2019[[#This Row],[Date]]),Log_2019[[#This Row],[Split_apply]])) - SUM($O704:T704)</f>
        <v>0</v>
      </c>
      <c r="V704" s="52">
        <f ca="1">Log_2019[[#This Row],[Amount]]/Log_2019[[#This Row],[Split_raw]]*MAX(0,MIN(_xlfn.DAYS(EDATE(V$1,1),Log_2019[[#This Row],[Date]]),Log_2019[[#This Row],[Split_apply]])) - SUM($O704:U704)</f>
        <v>0</v>
      </c>
      <c r="W704" s="52">
        <f ca="1">Log_2019[[#This Row],[Amount]]/Log_2019[[#This Row],[Split_raw]]*MAX(0,MIN(_xlfn.DAYS(EDATE(W$1,1),Log_2019[[#This Row],[Date]]),Log_2019[[#This Row],[Split_apply]])) - SUM($O704:V704)</f>
        <v>0</v>
      </c>
      <c r="X704" s="52">
        <f ca="1">Log_2019[[#This Row],[Amount]]/Log_2019[[#This Row],[Split_raw]]*MAX(0,MIN(_xlfn.DAYS(EDATE(X$1,1),Log_2019[[#This Row],[Date]]),Log_2019[[#This Row],[Split_apply]])) - SUM($O704:W704)</f>
        <v>0</v>
      </c>
      <c r="Y704" s="52">
        <f ca="1">Log_2019[[#This Row],[Amount]]/Log_2019[[#This Row],[Split_raw]]*MAX(0,MIN(_xlfn.DAYS(EDATE(Y$1,1),Log_2019[[#This Row],[Date]]),Log_2019[[#This Row],[Split_apply]])) - SUM($O704:X704)</f>
        <v>0</v>
      </c>
      <c r="Z704" s="52">
        <f ca="1">Log_2019[[#This Row],[Amount]]/Log_2019[[#This Row],[Split_raw]]*MAX(0,MIN(_xlfn.DAYS(EDATE(Z$1,1),Log_2019[[#This Row],[Date]]),Log_2019[[#This Row],[Split_apply]])) - SUM($O704:Y704)</f>
        <v>0</v>
      </c>
      <c r="AA704" s="52">
        <f ca="1">Log_2019[[#This Row],[Amount]]/Log_2019[[#This Row],[Split_raw]]*MAX(0,MIN(_xlfn.DAYS(EDATE(AA$1,1),Log_2019[[#This Row],[Date]]),Log_2019[[#This Row],[Split_apply]])) - SUM($O704:Z704)</f>
        <v>0</v>
      </c>
      <c r="AB704" s="54">
        <f ca="1">Log_2019[[#This Row],[Amount]]-SUM(O704:AA704)</f>
        <v>0</v>
      </c>
      <c r="AC704" s="7">
        <f>MAX(0,Log_2019[[#This Row],[Split_raw]] - (EDATE(AA$1,1)-Log_2019[[#This Row],[Date]]))</f>
        <v>0</v>
      </c>
    </row>
    <row r="705" spans="1:29" x14ac:dyDescent="0.25">
      <c r="A705" s="42"/>
      <c r="B705" t="s">
        <v>6</v>
      </c>
      <c r="D705" s="26">
        <v>43502</v>
      </c>
      <c r="F705" t="s">
        <v>185</v>
      </c>
      <c r="G705" t="s">
        <v>25</v>
      </c>
      <c r="H705" s="3">
        <v>-30.2</v>
      </c>
      <c r="I705" s="36">
        <f>IF(Log_2019[[#This Row],[My Category]]="NONTRACKED",0,Log_2019[[#This Row],[Raw Amount]])</f>
        <v>-30.2</v>
      </c>
      <c r="J705" s="17">
        <f>ABS(Log_2019[[#This Row],[Amount]])</f>
        <v>30.2</v>
      </c>
      <c r="K705" s="5">
        <v>1</v>
      </c>
      <c r="L705" s="38">
        <f ca="1">IF(Log_2019[[#This Row],[Date]]&lt;=TODAY(), MIN(Log_2019[[#This Row],[Split_raw]], TODAY()-Log_2019[[#This Row],[Date]]+1), 0)</f>
        <v>1</v>
      </c>
      <c r="M705" t="s">
        <v>37</v>
      </c>
      <c r="N705" t="s">
        <v>158</v>
      </c>
      <c r="O705" s="7">
        <v>0</v>
      </c>
      <c r="P705" s="52">
        <f ca="1">Log_2019[[#This Row],[Amount]]/Log_2019[[#This Row],[Split_raw]]*MAX(0,MIN(_xlfn.DAYS(EDATE(P$1,1),Log_2019[[#This Row],[Date]]),Log_2019[[#This Row],[Split_apply]])) - SUM($O705:O705)</f>
        <v>0</v>
      </c>
      <c r="Q705" s="52">
        <f ca="1">Log_2019[[#This Row],[Amount]]/Log_2019[[#This Row],[Split_raw]]*MAX(0,MIN(_xlfn.DAYS(EDATE(Q$1,1),Log_2019[[#This Row],[Date]]),Log_2019[[#This Row],[Split_apply]])) - SUM($O705:P705)</f>
        <v>-30.2</v>
      </c>
      <c r="R705" s="52">
        <f ca="1">Log_2019[[#This Row],[Amount]]/Log_2019[[#This Row],[Split_raw]]*MAX(0,MIN(_xlfn.DAYS(EDATE(R$1,1),Log_2019[[#This Row],[Date]]),Log_2019[[#This Row],[Split_apply]])) - SUM($O705:Q705)</f>
        <v>0</v>
      </c>
      <c r="S705" s="52">
        <f ca="1">Log_2019[[#This Row],[Amount]]/Log_2019[[#This Row],[Split_raw]]*MAX(0,MIN(_xlfn.DAYS(EDATE(S$1,1),Log_2019[[#This Row],[Date]]),Log_2019[[#This Row],[Split_apply]])) - SUM($O705:R705)</f>
        <v>0</v>
      </c>
      <c r="T705" s="52">
        <f ca="1">Log_2019[[#This Row],[Amount]]/Log_2019[[#This Row],[Split_raw]]*MAX(0,MIN(_xlfn.DAYS(EDATE(T$1,1),Log_2019[[#This Row],[Date]]),Log_2019[[#This Row],[Split_apply]])) - SUM($O705:S705)</f>
        <v>0</v>
      </c>
      <c r="U705" s="52">
        <f ca="1">Log_2019[[#This Row],[Amount]]/Log_2019[[#This Row],[Split_raw]]*MAX(0,MIN(_xlfn.DAYS(EDATE(U$1,1),Log_2019[[#This Row],[Date]]),Log_2019[[#This Row],[Split_apply]])) - SUM($O705:T705)</f>
        <v>0</v>
      </c>
      <c r="V705" s="52">
        <f ca="1">Log_2019[[#This Row],[Amount]]/Log_2019[[#This Row],[Split_raw]]*MAX(0,MIN(_xlfn.DAYS(EDATE(V$1,1),Log_2019[[#This Row],[Date]]),Log_2019[[#This Row],[Split_apply]])) - SUM($O705:U705)</f>
        <v>0</v>
      </c>
      <c r="W705" s="52">
        <f ca="1">Log_2019[[#This Row],[Amount]]/Log_2019[[#This Row],[Split_raw]]*MAX(0,MIN(_xlfn.DAYS(EDATE(W$1,1),Log_2019[[#This Row],[Date]]),Log_2019[[#This Row],[Split_apply]])) - SUM($O705:V705)</f>
        <v>0</v>
      </c>
      <c r="X705" s="52">
        <f ca="1">Log_2019[[#This Row],[Amount]]/Log_2019[[#This Row],[Split_raw]]*MAX(0,MIN(_xlfn.DAYS(EDATE(X$1,1),Log_2019[[#This Row],[Date]]),Log_2019[[#This Row],[Split_apply]])) - SUM($O705:W705)</f>
        <v>0</v>
      </c>
      <c r="Y705" s="52">
        <f ca="1">Log_2019[[#This Row],[Amount]]/Log_2019[[#This Row],[Split_raw]]*MAX(0,MIN(_xlfn.DAYS(EDATE(Y$1,1),Log_2019[[#This Row],[Date]]),Log_2019[[#This Row],[Split_apply]])) - SUM($O705:X705)</f>
        <v>0</v>
      </c>
      <c r="Z705" s="52">
        <f ca="1">Log_2019[[#This Row],[Amount]]/Log_2019[[#This Row],[Split_raw]]*MAX(0,MIN(_xlfn.DAYS(EDATE(Z$1,1),Log_2019[[#This Row],[Date]]),Log_2019[[#This Row],[Split_apply]])) - SUM($O705:Y705)</f>
        <v>0</v>
      </c>
      <c r="AA705" s="52">
        <f ca="1">Log_2019[[#This Row],[Amount]]/Log_2019[[#This Row],[Split_raw]]*MAX(0,MIN(_xlfn.DAYS(EDATE(AA$1,1),Log_2019[[#This Row],[Date]]),Log_2019[[#This Row],[Split_apply]])) - SUM($O705:Z705)</f>
        <v>0</v>
      </c>
      <c r="AB705" s="54">
        <f ca="1">Log_2019[[#This Row],[Amount]]-SUM(O705:AA705)</f>
        <v>0</v>
      </c>
      <c r="AC705" s="7">
        <f>MAX(0,Log_2019[[#This Row],[Split_raw]] - (EDATE(AA$1,1)-Log_2019[[#This Row],[Date]]))</f>
        <v>0</v>
      </c>
    </row>
    <row r="706" spans="1:29" x14ac:dyDescent="0.25">
      <c r="A706" s="42"/>
      <c r="B706" t="s">
        <v>6</v>
      </c>
      <c r="D706" s="26">
        <v>43502</v>
      </c>
      <c r="F706" t="s">
        <v>509</v>
      </c>
      <c r="G706" t="s">
        <v>25</v>
      </c>
      <c r="H706" s="3">
        <v>-35.520000000000003</v>
      </c>
      <c r="I706" s="36">
        <f>IF(Log_2019[[#This Row],[My Category]]="NONTRACKED",0,Log_2019[[#This Row],[Raw Amount]])</f>
        <v>-35.520000000000003</v>
      </c>
      <c r="J706" s="17">
        <f>ABS(Log_2019[[#This Row],[Amount]])</f>
        <v>35.520000000000003</v>
      </c>
      <c r="K706" s="5">
        <v>1</v>
      </c>
      <c r="L706" s="38">
        <f ca="1">IF(Log_2019[[#This Row],[Date]]&lt;=TODAY(), MIN(Log_2019[[#This Row],[Split_raw]], TODAY()-Log_2019[[#This Row],[Date]]+1), 0)</f>
        <v>1</v>
      </c>
      <c r="M706" t="s">
        <v>37</v>
      </c>
      <c r="N706" t="s">
        <v>158</v>
      </c>
      <c r="O706" s="7">
        <v>0</v>
      </c>
      <c r="P706" s="52">
        <f ca="1">Log_2019[[#This Row],[Amount]]/Log_2019[[#This Row],[Split_raw]]*MAX(0,MIN(_xlfn.DAYS(EDATE(P$1,1),Log_2019[[#This Row],[Date]]),Log_2019[[#This Row],[Split_apply]])) - SUM($O706:O706)</f>
        <v>0</v>
      </c>
      <c r="Q706" s="52">
        <f ca="1">Log_2019[[#This Row],[Amount]]/Log_2019[[#This Row],[Split_raw]]*MAX(0,MIN(_xlfn.DAYS(EDATE(Q$1,1),Log_2019[[#This Row],[Date]]),Log_2019[[#This Row],[Split_apply]])) - SUM($O706:P706)</f>
        <v>-35.520000000000003</v>
      </c>
      <c r="R706" s="52">
        <f ca="1">Log_2019[[#This Row],[Amount]]/Log_2019[[#This Row],[Split_raw]]*MAX(0,MIN(_xlfn.DAYS(EDATE(R$1,1),Log_2019[[#This Row],[Date]]),Log_2019[[#This Row],[Split_apply]])) - SUM($O706:Q706)</f>
        <v>0</v>
      </c>
      <c r="S706" s="52">
        <f ca="1">Log_2019[[#This Row],[Amount]]/Log_2019[[#This Row],[Split_raw]]*MAX(0,MIN(_xlfn.DAYS(EDATE(S$1,1),Log_2019[[#This Row],[Date]]),Log_2019[[#This Row],[Split_apply]])) - SUM($O706:R706)</f>
        <v>0</v>
      </c>
      <c r="T706" s="52">
        <f ca="1">Log_2019[[#This Row],[Amount]]/Log_2019[[#This Row],[Split_raw]]*MAX(0,MIN(_xlfn.DAYS(EDATE(T$1,1),Log_2019[[#This Row],[Date]]),Log_2019[[#This Row],[Split_apply]])) - SUM($O706:S706)</f>
        <v>0</v>
      </c>
      <c r="U706" s="52">
        <f ca="1">Log_2019[[#This Row],[Amount]]/Log_2019[[#This Row],[Split_raw]]*MAX(0,MIN(_xlfn.DAYS(EDATE(U$1,1),Log_2019[[#This Row],[Date]]),Log_2019[[#This Row],[Split_apply]])) - SUM($O706:T706)</f>
        <v>0</v>
      </c>
      <c r="V706" s="52">
        <f ca="1">Log_2019[[#This Row],[Amount]]/Log_2019[[#This Row],[Split_raw]]*MAX(0,MIN(_xlfn.DAYS(EDATE(V$1,1),Log_2019[[#This Row],[Date]]),Log_2019[[#This Row],[Split_apply]])) - SUM($O706:U706)</f>
        <v>0</v>
      </c>
      <c r="W706" s="52">
        <f ca="1">Log_2019[[#This Row],[Amount]]/Log_2019[[#This Row],[Split_raw]]*MAX(0,MIN(_xlfn.DAYS(EDATE(W$1,1),Log_2019[[#This Row],[Date]]),Log_2019[[#This Row],[Split_apply]])) - SUM($O706:V706)</f>
        <v>0</v>
      </c>
      <c r="X706" s="52">
        <f ca="1">Log_2019[[#This Row],[Amount]]/Log_2019[[#This Row],[Split_raw]]*MAX(0,MIN(_xlfn.DAYS(EDATE(X$1,1),Log_2019[[#This Row],[Date]]),Log_2019[[#This Row],[Split_apply]])) - SUM($O706:W706)</f>
        <v>0</v>
      </c>
      <c r="Y706" s="52">
        <f ca="1">Log_2019[[#This Row],[Amount]]/Log_2019[[#This Row],[Split_raw]]*MAX(0,MIN(_xlfn.DAYS(EDATE(Y$1,1),Log_2019[[#This Row],[Date]]),Log_2019[[#This Row],[Split_apply]])) - SUM($O706:X706)</f>
        <v>0</v>
      </c>
      <c r="Z706" s="52">
        <f ca="1">Log_2019[[#This Row],[Amount]]/Log_2019[[#This Row],[Split_raw]]*MAX(0,MIN(_xlfn.DAYS(EDATE(Z$1,1),Log_2019[[#This Row],[Date]]),Log_2019[[#This Row],[Split_apply]])) - SUM($O706:Y706)</f>
        <v>0</v>
      </c>
      <c r="AA706" s="52">
        <f ca="1">Log_2019[[#This Row],[Amount]]/Log_2019[[#This Row],[Split_raw]]*MAX(0,MIN(_xlfn.DAYS(EDATE(AA$1,1),Log_2019[[#This Row],[Date]]),Log_2019[[#This Row],[Split_apply]])) - SUM($O706:Z706)</f>
        <v>0</v>
      </c>
      <c r="AB706" s="54">
        <f ca="1">Log_2019[[#This Row],[Amount]]-SUM(O706:AA706)</f>
        <v>0</v>
      </c>
      <c r="AC706" s="7">
        <f>MAX(0,Log_2019[[#This Row],[Split_raw]] - (EDATE(AA$1,1)-Log_2019[[#This Row],[Date]]))</f>
        <v>0</v>
      </c>
    </row>
    <row r="707" spans="1:29" x14ac:dyDescent="0.25">
      <c r="A707" s="42"/>
      <c r="B707" s="34" t="s">
        <v>6</v>
      </c>
      <c r="D707" s="26">
        <v>43500</v>
      </c>
      <c r="F707" t="s">
        <v>516</v>
      </c>
      <c r="G707" t="s">
        <v>20</v>
      </c>
      <c r="H707" s="3">
        <v>-1593.77</v>
      </c>
      <c r="I707" s="36">
        <f>IF(Log_2019[[#This Row],[My Category]]="NONTRACKED",0,Log_2019[[#This Row],[Raw Amount]])</f>
        <v>-1593.77</v>
      </c>
      <c r="J707" s="17">
        <f>ABS(Log_2019[[#This Row],[Amount]])</f>
        <v>1593.77</v>
      </c>
      <c r="K707" s="5">
        <v>30</v>
      </c>
      <c r="L707" s="38">
        <f ca="1">IF(Log_2019[[#This Row],[Date]]&lt;=TODAY(), MIN(Log_2019[[#This Row],[Split_raw]], TODAY()-Log_2019[[#This Row],[Date]]+1), 0)</f>
        <v>30</v>
      </c>
      <c r="M707" t="s">
        <v>28</v>
      </c>
      <c r="N707" t="s">
        <v>160</v>
      </c>
      <c r="O707" s="7">
        <v>0</v>
      </c>
      <c r="P707" s="52">
        <f ca="1">Log_2019[[#This Row],[Amount]]/Log_2019[[#This Row],[Split_raw]]*MAX(0,MIN(_xlfn.DAYS(EDATE(P$1,1),Log_2019[[#This Row],[Date]]),Log_2019[[#This Row],[Split_apply]])) - SUM($O707:O707)</f>
        <v>0</v>
      </c>
      <c r="Q707" s="52">
        <f ca="1">Log_2019[[#This Row],[Amount]]/Log_2019[[#This Row],[Split_raw]]*MAX(0,MIN(_xlfn.DAYS(EDATE(Q$1,1),Log_2019[[#This Row],[Date]]),Log_2019[[#This Row],[Split_apply]])) - SUM($O707:P707)</f>
        <v>-1328.1416666666667</v>
      </c>
      <c r="R707" s="52">
        <f ca="1">Log_2019[[#This Row],[Amount]]/Log_2019[[#This Row],[Split_raw]]*MAX(0,MIN(_xlfn.DAYS(EDATE(R$1,1),Log_2019[[#This Row],[Date]]),Log_2019[[#This Row],[Split_apply]])) - SUM($O707:Q707)</f>
        <v>-265.62833333333333</v>
      </c>
      <c r="S707" s="52">
        <f ca="1">Log_2019[[#This Row],[Amount]]/Log_2019[[#This Row],[Split_raw]]*MAX(0,MIN(_xlfn.DAYS(EDATE(S$1,1),Log_2019[[#This Row],[Date]]),Log_2019[[#This Row],[Split_apply]])) - SUM($O707:R707)</f>
        <v>0</v>
      </c>
      <c r="T707" s="52">
        <f ca="1">Log_2019[[#This Row],[Amount]]/Log_2019[[#This Row],[Split_raw]]*MAX(0,MIN(_xlfn.DAYS(EDATE(T$1,1),Log_2019[[#This Row],[Date]]),Log_2019[[#This Row],[Split_apply]])) - SUM($O707:S707)</f>
        <v>0</v>
      </c>
      <c r="U707" s="52">
        <f ca="1">Log_2019[[#This Row],[Amount]]/Log_2019[[#This Row],[Split_raw]]*MAX(0,MIN(_xlfn.DAYS(EDATE(U$1,1),Log_2019[[#This Row],[Date]]),Log_2019[[#This Row],[Split_apply]])) - SUM($O707:T707)</f>
        <v>0</v>
      </c>
      <c r="V707" s="52">
        <f ca="1">Log_2019[[#This Row],[Amount]]/Log_2019[[#This Row],[Split_raw]]*MAX(0,MIN(_xlfn.DAYS(EDATE(V$1,1),Log_2019[[#This Row],[Date]]),Log_2019[[#This Row],[Split_apply]])) - SUM($O707:U707)</f>
        <v>0</v>
      </c>
      <c r="W707" s="52">
        <f ca="1">Log_2019[[#This Row],[Amount]]/Log_2019[[#This Row],[Split_raw]]*MAX(0,MIN(_xlfn.DAYS(EDATE(W$1,1),Log_2019[[#This Row],[Date]]),Log_2019[[#This Row],[Split_apply]])) - SUM($O707:V707)</f>
        <v>0</v>
      </c>
      <c r="X707" s="52">
        <f ca="1">Log_2019[[#This Row],[Amount]]/Log_2019[[#This Row],[Split_raw]]*MAX(0,MIN(_xlfn.DAYS(EDATE(X$1,1),Log_2019[[#This Row],[Date]]),Log_2019[[#This Row],[Split_apply]])) - SUM($O707:W707)</f>
        <v>0</v>
      </c>
      <c r="Y707" s="52">
        <f ca="1">Log_2019[[#This Row],[Amount]]/Log_2019[[#This Row],[Split_raw]]*MAX(0,MIN(_xlfn.DAYS(EDATE(Y$1,1),Log_2019[[#This Row],[Date]]),Log_2019[[#This Row],[Split_apply]])) - SUM($O707:X707)</f>
        <v>0</v>
      </c>
      <c r="Z707" s="52">
        <f ca="1">Log_2019[[#This Row],[Amount]]/Log_2019[[#This Row],[Split_raw]]*MAX(0,MIN(_xlfn.DAYS(EDATE(Z$1,1),Log_2019[[#This Row],[Date]]),Log_2019[[#This Row],[Split_apply]])) - SUM($O707:Y707)</f>
        <v>0</v>
      </c>
      <c r="AA707" s="52">
        <f ca="1">Log_2019[[#This Row],[Amount]]/Log_2019[[#This Row],[Split_raw]]*MAX(0,MIN(_xlfn.DAYS(EDATE(AA$1,1),Log_2019[[#This Row],[Date]]),Log_2019[[#This Row],[Split_apply]])) - SUM($O707:Z707)</f>
        <v>0</v>
      </c>
      <c r="AB707" s="54">
        <f ca="1">Log_2019[[#This Row],[Amount]]-SUM(O707:AA707)</f>
        <v>0</v>
      </c>
      <c r="AC707" s="7">
        <f>MAX(0,Log_2019[[#This Row],[Split_raw]] - (EDATE(AA$1,1)-Log_2019[[#This Row],[Date]]))</f>
        <v>0</v>
      </c>
    </row>
    <row r="708" spans="1:29" x14ac:dyDescent="0.25">
      <c r="A708" s="42"/>
      <c r="B708" t="s">
        <v>6</v>
      </c>
      <c r="D708" s="26">
        <v>43500</v>
      </c>
      <c r="E708" t="s">
        <v>524</v>
      </c>
      <c r="F708" t="s">
        <v>332</v>
      </c>
      <c r="G708" t="s">
        <v>143</v>
      </c>
      <c r="H708" s="3">
        <v>-25</v>
      </c>
      <c r="I708" s="36">
        <f>IF(Log_2019[[#This Row],[My Category]]="NONTRACKED",0,Log_2019[[#This Row],[Raw Amount]])</f>
        <v>-25</v>
      </c>
      <c r="J708" s="17">
        <f>ABS(Log_2019[[#This Row],[Amount]])</f>
        <v>25</v>
      </c>
      <c r="K708" s="5">
        <v>1</v>
      </c>
      <c r="L708" s="38">
        <f ca="1">IF(Log_2019[[#This Row],[Date]]&lt;=TODAY(), MIN(Log_2019[[#This Row],[Split_raw]], TODAY()-Log_2019[[#This Row],[Date]]+1), 0)</f>
        <v>1</v>
      </c>
      <c r="M708" t="s">
        <v>147</v>
      </c>
      <c r="N708" t="s">
        <v>160</v>
      </c>
      <c r="O708" s="7">
        <v>0</v>
      </c>
      <c r="P708" s="52">
        <f ca="1">Log_2019[[#This Row],[Amount]]/Log_2019[[#This Row],[Split_raw]]*MAX(0,MIN(_xlfn.DAYS(EDATE(P$1,1),Log_2019[[#This Row],[Date]]),Log_2019[[#This Row],[Split_apply]])) - SUM($O708:O708)</f>
        <v>0</v>
      </c>
      <c r="Q708" s="52">
        <f ca="1">Log_2019[[#This Row],[Amount]]/Log_2019[[#This Row],[Split_raw]]*MAX(0,MIN(_xlfn.DAYS(EDATE(Q$1,1),Log_2019[[#This Row],[Date]]),Log_2019[[#This Row],[Split_apply]])) - SUM($O708:P708)</f>
        <v>-25</v>
      </c>
      <c r="R708" s="52">
        <f ca="1">Log_2019[[#This Row],[Amount]]/Log_2019[[#This Row],[Split_raw]]*MAX(0,MIN(_xlfn.DAYS(EDATE(R$1,1),Log_2019[[#This Row],[Date]]),Log_2019[[#This Row],[Split_apply]])) - SUM($O708:Q708)</f>
        <v>0</v>
      </c>
      <c r="S708" s="52">
        <f ca="1">Log_2019[[#This Row],[Amount]]/Log_2019[[#This Row],[Split_raw]]*MAX(0,MIN(_xlfn.DAYS(EDATE(S$1,1),Log_2019[[#This Row],[Date]]),Log_2019[[#This Row],[Split_apply]])) - SUM($O708:R708)</f>
        <v>0</v>
      </c>
      <c r="T708" s="52">
        <f ca="1">Log_2019[[#This Row],[Amount]]/Log_2019[[#This Row],[Split_raw]]*MAX(0,MIN(_xlfn.DAYS(EDATE(T$1,1),Log_2019[[#This Row],[Date]]),Log_2019[[#This Row],[Split_apply]])) - SUM($O708:S708)</f>
        <v>0</v>
      </c>
      <c r="U708" s="52">
        <f ca="1">Log_2019[[#This Row],[Amount]]/Log_2019[[#This Row],[Split_raw]]*MAX(0,MIN(_xlfn.DAYS(EDATE(U$1,1),Log_2019[[#This Row],[Date]]),Log_2019[[#This Row],[Split_apply]])) - SUM($O708:T708)</f>
        <v>0</v>
      </c>
      <c r="V708" s="52">
        <f ca="1">Log_2019[[#This Row],[Amount]]/Log_2019[[#This Row],[Split_raw]]*MAX(0,MIN(_xlfn.DAYS(EDATE(V$1,1),Log_2019[[#This Row],[Date]]),Log_2019[[#This Row],[Split_apply]])) - SUM($O708:U708)</f>
        <v>0</v>
      </c>
      <c r="W708" s="52">
        <f ca="1">Log_2019[[#This Row],[Amount]]/Log_2019[[#This Row],[Split_raw]]*MAX(0,MIN(_xlfn.DAYS(EDATE(W$1,1),Log_2019[[#This Row],[Date]]),Log_2019[[#This Row],[Split_apply]])) - SUM($O708:V708)</f>
        <v>0</v>
      </c>
      <c r="X708" s="52">
        <f ca="1">Log_2019[[#This Row],[Amount]]/Log_2019[[#This Row],[Split_raw]]*MAX(0,MIN(_xlfn.DAYS(EDATE(X$1,1),Log_2019[[#This Row],[Date]]),Log_2019[[#This Row],[Split_apply]])) - SUM($O708:W708)</f>
        <v>0</v>
      </c>
      <c r="Y708" s="52">
        <f ca="1">Log_2019[[#This Row],[Amount]]/Log_2019[[#This Row],[Split_raw]]*MAX(0,MIN(_xlfn.DAYS(EDATE(Y$1,1),Log_2019[[#This Row],[Date]]),Log_2019[[#This Row],[Split_apply]])) - SUM($O708:X708)</f>
        <v>0</v>
      </c>
      <c r="Z708" s="52">
        <f ca="1">Log_2019[[#This Row],[Amount]]/Log_2019[[#This Row],[Split_raw]]*MAX(0,MIN(_xlfn.DAYS(EDATE(Z$1,1),Log_2019[[#This Row],[Date]]),Log_2019[[#This Row],[Split_apply]])) - SUM($O708:Y708)</f>
        <v>0</v>
      </c>
      <c r="AA708" s="52">
        <f ca="1">Log_2019[[#This Row],[Amount]]/Log_2019[[#This Row],[Split_raw]]*MAX(0,MIN(_xlfn.DAYS(EDATE(AA$1,1),Log_2019[[#This Row],[Date]]),Log_2019[[#This Row],[Split_apply]])) - SUM($O708:Z708)</f>
        <v>0</v>
      </c>
      <c r="AB708" s="54">
        <f ca="1">Log_2019[[#This Row],[Amount]]-SUM(O708:AA708)</f>
        <v>0</v>
      </c>
      <c r="AC708" s="7">
        <f>MAX(0,Log_2019[[#This Row],[Split_raw]] - (EDATE(AA$1,1)-Log_2019[[#This Row],[Date]]))</f>
        <v>0</v>
      </c>
    </row>
    <row r="709" spans="1:29" x14ac:dyDescent="0.25">
      <c r="A709" s="42"/>
      <c r="B709" t="s">
        <v>6</v>
      </c>
      <c r="D709" s="26">
        <v>43500</v>
      </c>
      <c r="E709" t="s">
        <v>526</v>
      </c>
      <c r="F709" t="s">
        <v>456</v>
      </c>
      <c r="G709" t="s">
        <v>27</v>
      </c>
      <c r="H709" s="3">
        <v>-8.44</v>
      </c>
      <c r="I709" s="36">
        <f>IF(Log_2019[[#This Row],[My Category]]="NONTRACKED",0,Log_2019[[#This Row],[Raw Amount]])</f>
        <v>-8.44</v>
      </c>
      <c r="J709" s="17">
        <f>ABS(Log_2019[[#This Row],[Amount]])</f>
        <v>8.44</v>
      </c>
      <c r="K709" s="5">
        <v>1</v>
      </c>
      <c r="L709" s="38">
        <f ca="1">IF(Log_2019[[#This Row],[Date]]&lt;=TODAY(), MIN(Log_2019[[#This Row],[Split_raw]], TODAY()-Log_2019[[#This Row],[Date]]+1), 0)</f>
        <v>1</v>
      </c>
      <c r="M709" t="s">
        <v>145</v>
      </c>
      <c r="N709" t="s">
        <v>160</v>
      </c>
      <c r="O709" s="7">
        <v>0</v>
      </c>
      <c r="P709" s="52">
        <f ca="1">Log_2019[[#This Row],[Amount]]/Log_2019[[#This Row],[Split_raw]]*MAX(0,MIN(_xlfn.DAYS(EDATE(P$1,1),Log_2019[[#This Row],[Date]]),Log_2019[[#This Row],[Split_apply]])) - SUM($O709:O709)</f>
        <v>0</v>
      </c>
      <c r="Q709" s="52">
        <f ca="1">Log_2019[[#This Row],[Amount]]/Log_2019[[#This Row],[Split_raw]]*MAX(0,MIN(_xlfn.DAYS(EDATE(Q$1,1),Log_2019[[#This Row],[Date]]),Log_2019[[#This Row],[Split_apply]])) - SUM($O709:P709)</f>
        <v>-8.44</v>
      </c>
      <c r="R709" s="52">
        <f ca="1">Log_2019[[#This Row],[Amount]]/Log_2019[[#This Row],[Split_raw]]*MAX(0,MIN(_xlfn.DAYS(EDATE(R$1,1),Log_2019[[#This Row],[Date]]),Log_2019[[#This Row],[Split_apply]])) - SUM($O709:Q709)</f>
        <v>0</v>
      </c>
      <c r="S709" s="52">
        <f ca="1">Log_2019[[#This Row],[Amount]]/Log_2019[[#This Row],[Split_raw]]*MAX(0,MIN(_xlfn.DAYS(EDATE(S$1,1),Log_2019[[#This Row],[Date]]),Log_2019[[#This Row],[Split_apply]])) - SUM($O709:R709)</f>
        <v>0</v>
      </c>
      <c r="T709" s="52">
        <f ca="1">Log_2019[[#This Row],[Amount]]/Log_2019[[#This Row],[Split_raw]]*MAX(0,MIN(_xlfn.DAYS(EDATE(T$1,1),Log_2019[[#This Row],[Date]]),Log_2019[[#This Row],[Split_apply]])) - SUM($O709:S709)</f>
        <v>0</v>
      </c>
      <c r="U709" s="52">
        <f ca="1">Log_2019[[#This Row],[Amount]]/Log_2019[[#This Row],[Split_raw]]*MAX(0,MIN(_xlfn.DAYS(EDATE(U$1,1),Log_2019[[#This Row],[Date]]),Log_2019[[#This Row],[Split_apply]])) - SUM($O709:T709)</f>
        <v>0</v>
      </c>
      <c r="V709" s="52">
        <f ca="1">Log_2019[[#This Row],[Amount]]/Log_2019[[#This Row],[Split_raw]]*MAX(0,MIN(_xlfn.DAYS(EDATE(V$1,1),Log_2019[[#This Row],[Date]]),Log_2019[[#This Row],[Split_apply]])) - SUM($O709:U709)</f>
        <v>0</v>
      </c>
      <c r="W709" s="52">
        <f ca="1">Log_2019[[#This Row],[Amount]]/Log_2019[[#This Row],[Split_raw]]*MAX(0,MIN(_xlfn.DAYS(EDATE(W$1,1),Log_2019[[#This Row],[Date]]),Log_2019[[#This Row],[Split_apply]])) - SUM($O709:V709)</f>
        <v>0</v>
      </c>
      <c r="X709" s="52">
        <f ca="1">Log_2019[[#This Row],[Amount]]/Log_2019[[#This Row],[Split_raw]]*MAX(0,MIN(_xlfn.DAYS(EDATE(X$1,1),Log_2019[[#This Row],[Date]]),Log_2019[[#This Row],[Split_apply]])) - SUM($O709:W709)</f>
        <v>0</v>
      </c>
      <c r="Y709" s="52">
        <f ca="1">Log_2019[[#This Row],[Amount]]/Log_2019[[#This Row],[Split_raw]]*MAX(0,MIN(_xlfn.DAYS(EDATE(Y$1,1),Log_2019[[#This Row],[Date]]),Log_2019[[#This Row],[Split_apply]])) - SUM($O709:X709)</f>
        <v>0</v>
      </c>
      <c r="Z709" s="52">
        <f ca="1">Log_2019[[#This Row],[Amount]]/Log_2019[[#This Row],[Split_raw]]*MAX(0,MIN(_xlfn.DAYS(EDATE(Z$1,1),Log_2019[[#This Row],[Date]]),Log_2019[[#This Row],[Split_apply]])) - SUM($O709:Y709)</f>
        <v>0</v>
      </c>
      <c r="AA709" s="52">
        <f ca="1">Log_2019[[#This Row],[Amount]]/Log_2019[[#This Row],[Split_raw]]*MAX(0,MIN(_xlfn.DAYS(EDATE(AA$1,1),Log_2019[[#This Row],[Date]]),Log_2019[[#This Row],[Split_apply]])) - SUM($O709:Z709)</f>
        <v>0</v>
      </c>
      <c r="AB709" s="54">
        <f ca="1">Log_2019[[#This Row],[Amount]]-SUM(O709:AA709)</f>
        <v>0</v>
      </c>
      <c r="AC709" s="7">
        <f>MAX(0,Log_2019[[#This Row],[Split_raw]] - (EDATE(AA$1,1)-Log_2019[[#This Row],[Date]]))</f>
        <v>0</v>
      </c>
    </row>
    <row r="710" spans="1:29" x14ac:dyDescent="0.25">
      <c r="A710" s="42"/>
      <c r="B710" t="s">
        <v>6</v>
      </c>
      <c r="D710" s="26">
        <v>43500</v>
      </c>
      <c r="E710" t="s">
        <v>526</v>
      </c>
      <c r="F710" t="s">
        <v>456</v>
      </c>
      <c r="G710" t="s">
        <v>27</v>
      </c>
      <c r="H710" s="3">
        <v>-8.26</v>
      </c>
      <c r="I710" s="36">
        <f>IF(Log_2019[[#This Row],[My Category]]="NONTRACKED",0,Log_2019[[#This Row],[Raw Amount]])</f>
        <v>-8.26</v>
      </c>
      <c r="J710" s="17">
        <f>ABS(Log_2019[[#This Row],[Amount]])</f>
        <v>8.26</v>
      </c>
      <c r="K710" s="5">
        <v>1</v>
      </c>
      <c r="L710" s="38">
        <f ca="1">IF(Log_2019[[#This Row],[Date]]&lt;=TODAY(), MIN(Log_2019[[#This Row],[Split_raw]], TODAY()-Log_2019[[#This Row],[Date]]+1), 0)</f>
        <v>1</v>
      </c>
      <c r="M710" t="s">
        <v>145</v>
      </c>
      <c r="N710" t="s">
        <v>160</v>
      </c>
      <c r="O710" s="7">
        <v>0</v>
      </c>
      <c r="P710" s="52">
        <f ca="1">Log_2019[[#This Row],[Amount]]/Log_2019[[#This Row],[Split_raw]]*MAX(0,MIN(_xlfn.DAYS(EDATE(P$1,1),Log_2019[[#This Row],[Date]]),Log_2019[[#This Row],[Split_apply]])) - SUM($O710:O710)</f>
        <v>0</v>
      </c>
      <c r="Q710" s="52">
        <f ca="1">Log_2019[[#This Row],[Amount]]/Log_2019[[#This Row],[Split_raw]]*MAX(0,MIN(_xlfn.DAYS(EDATE(Q$1,1),Log_2019[[#This Row],[Date]]),Log_2019[[#This Row],[Split_apply]])) - SUM($O710:P710)</f>
        <v>-8.26</v>
      </c>
      <c r="R710" s="52">
        <f ca="1">Log_2019[[#This Row],[Amount]]/Log_2019[[#This Row],[Split_raw]]*MAX(0,MIN(_xlfn.DAYS(EDATE(R$1,1),Log_2019[[#This Row],[Date]]),Log_2019[[#This Row],[Split_apply]])) - SUM($O710:Q710)</f>
        <v>0</v>
      </c>
      <c r="S710" s="52">
        <f ca="1">Log_2019[[#This Row],[Amount]]/Log_2019[[#This Row],[Split_raw]]*MAX(0,MIN(_xlfn.DAYS(EDATE(S$1,1),Log_2019[[#This Row],[Date]]),Log_2019[[#This Row],[Split_apply]])) - SUM($O710:R710)</f>
        <v>0</v>
      </c>
      <c r="T710" s="52">
        <f ca="1">Log_2019[[#This Row],[Amount]]/Log_2019[[#This Row],[Split_raw]]*MAX(0,MIN(_xlfn.DAYS(EDATE(T$1,1),Log_2019[[#This Row],[Date]]),Log_2019[[#This Row],[Split_apply]])) - SUM($O710:S710)</f>
        <v>0</v>
      </c>
      <c r="U710" s="52">
        <f ca="1">Log_2019[[#This Row],[Amount]]/Log_2019[[#This Row],[Split_raw]]*MAX(0,MIN(_xlfn.DAYS(EDATE(U$1,1),Log_2019[[#This Row],[Date]]),Log_2019[[#This Row],[Split_apply]])) - SUM($O710:T710)</f>
        <v>0</v>
      </c>
      <c r="V710" s="52">
        <f ca="1">Log_2019[[#This Row],[Amount]]/Log_2019[[#This Row],[Split_raw]]*MAX(0,MIN(_xlfn.DAYS(EDATE(V$1,1),Log_2019[[#This Row],[Date]]),Log_2019[[#This Row],[Split_apply]])) - SUM($O710:U710)</f>
        <v>0</v>
      </c>
      <c r="W710" s="52">
        <f ca="1">Log_2019[[#This Row],[Amount]]/Log_2019[[#This Row],[Split_raw]]*MAX(0,MIN(_xlfn.DAYS(EDATE(W$1,1),Log_2019[[#This Row],[Date]]),Log_2019[[#This Row],[Split_apply]])) - SUM($O710:V710)</f>
        <v>0</v>
      </c>
      <c r="X710" s="52">
        <f ca="1">Log_2019[[#This Row],[Amount]]/Log_2019[[#This Row],[Split_raw]]*MAX(0,MIN(_xlfn.DAYS(EDATE(X$1,1),Log_2019[[#This Row],[Date]]),Log_2019[[#This Row],[Split_apply]])) - SUM($O710:W710)</f>
        <v>0</v>
      </c>
      <c r="Y710" s="52">
        <f ca="1">Log_2019[[#This Row],[Amount]]/Log_2019[[#This Row],[Split_raw]]*MAX(0,MIN(_xlfn.DAYS(EDATE(Y$1,1),Log_2019[[#This Row],[Date]]),Log_2019[[#This Row],[Split_apply]])) - SUM($O710:X710)</f>
        <v>0</v>
      </c>
      <c r="Z710" s="52">
        <f ca="1">Log_2019[[#This Row],[Amount]]/Log_2019[[#This Row],[Split_raw]]*MAX(0,MIN(_xlfn.DAYS(EDATE(Z$1,1),Log_2019[[#This Row],[Date]]),Log_2019[[#This Row],[Split_apply]])) - SUM($O710:Y710)</f>
        <v>0</v>
      </c>
      <c r="AA710" s="52">
        <f ca="1">Log_2019[[#This Row],[Amount]]/Log_2019[[#This Row],[Split_raw]]*MAX(0,MIN(_xlfn.DAYS(EDATE(AA$1,1),Log_2019[[#This Row],[Date]]),Log_2019[[#This Row],[Split_apply]])) - SUM($O710:Z710)</f>
        <v>0</v>
      </c>
      <c r="AB710" s="54">
        <f ca="1">Log_2019[[#This Row],[Amount]]-SUM(O710:AA710)</f>
        <v>0</v>
      </c>
      <c r="AC710" s="7">
        <f>MAX(0,Log_2019[[#This Row],[Split_raw]] - (EDATE(AA$1,1)-Log_2019[[#This Row],[Date]]))</f>
        <v>0</v>
      </c>
    </row>
    <row r="711" spans="1:29" x14ac:dyDescent="0.25">
      <c r="A711" s="42"/>
      <c r="B711" t="s">
        <v>6</v>
      </c>
      <c r="D711" s="26">
        <v>43500</v>
      </c>
      <c r="E711" t="s">
        <v>525</v>
      </c>
      <c r="F711" t="s">
        <v>456</v>
      </c>
      <c r="G711" t="s">
        <v>27</v>
      </c>
      <c r="H711" s="3">
        <v>-4.13</v>
      </c>
      <c r="I711" s="36">
        <f>IF(Log_2019[[#This Row],[My Category]]="NONTRACKED",0,Log_2019[[#This Row],[Raw Amount]])</f>
        <v>-4.13</v>
      </c>
      <c r="J711" s="17">
        <f>ABS(Log_2019[[#This Row],[Amount]])</f>
        <v>4.13</v>
      </c>
      <c r="K711" s="5">
        <v>1</v>
      </c>
      <c r="L711" s="38">
        <f ca="1">IF(Log_2019[[#This Row],[Date]]&lt;=TODAY(), MIN(Log_2019[[#This Row],[Split_raw]], TODAY()-Log_2019[[#This Row],[Date]]+1), 0)</f>
        <v>1</v>
      </c>
      <c r="M711" t="s">
        <v>40</v>
      </c>
      <c r="N711" t="s">
        <v>160</v>
      </c>
      <c r="O711" s="7">
        <v>0</v>
      </c>
      <c r="P711" s="52">
        <f ca="1">Log_2019[[#This Row],[Amount]]/Log_2019[[#This Row],[Split_raw]]*MAX(0,MIN(_xlfn.DAYS(EDATE(P$1,1),Log_2019[[#This Row],[Date]]),Log_2019[[#This Row],[Split_apply]])) - SUM($O711:O711)</f>
        <v>0</v>
      </c>
      <c r="Q711" s="52">
        <f ca="1">Log_2019[[#This Row],[Amount]]/Log_2019[[#This Row],[Split_raw]]*MAX(0,MIN(_xlfn.DAYS(EDATE(Q$1,1),Log_2019[[#This Row],[Date]]),Log_2019[[#This Row],[Split_apply]])) - SUM($O711:P711)</f>
        <v>-4.13</v>
      </c>
      <c r="R711" s="52">
        <f ca="1">Log_2019[[#This Row],[Amount]]/Log_2019[[#This Row],[Split_raw]]*MAX(0,MIN(_xlfn.DAYS(EDATE(R$1,1),Log_2019[[#This Row],[Date]]),Log_2019[[#This Row],[Split_apply]])) - SUM($O711:Q711)</f>
        <v>0</v>
      </c>
      <c r="S711" s="52">
        <f ca="1">Log_2019[[#This Row],[Amount]]/Log_2019[[#This Row],[Split_raw]]*MAX(0,MIN(_xlfn.DAYS(EDATE(S$1,1),Log_2019[[#This Row],[Date]]),Log_2019[[#This Row],[Split_apply]])) - SUM($O711:R711)</f>
        <v>0</v>
      </c>
      <c r="T711" s="52">
        <f ca="1">Log_2019[[#This Row],[Amount]]/Log_2019[[#This Row],[Split_raw]]*MAX(0,MIN(_xlfn.DAYS(EDATE(T$1,1),Log_2019[[#This Row],[Date]]),Log_2019[[#This Row],[Split_apply]])) - SUM($O711:S711)</f>
        <v>0</v>
      </c>
      <c r="U711" s="52">
        <f ca="1">Log_2019[[#This Row],[Amount]]/Log_2019[[#This Row],[Split_raw]]*MAX(0,MIN(_xlfn.DAYS(EDATE(U$1,1),Log_2019[[#This Row],[Date]]),Log_2019[[#This Row],[Split_apply]])) - SUM($O711:T711)</f>
        <v>0</v>
      </c>
      <c r="V711" s="52">
        <f ca="1">Log_2019[[#This Row],[Amount]]/Log_2019[[#This Row],[Split_raw]]*MAX(0,MIN(_xlfn.DAYS(EDATE(V$1,1),Log_2019[[#This Row],[Date]]),Log_2019[[#This Row],[Split_apply]])) - SUM($O711:U711)</f>
        <v>0</v>
      </c>
      <c r="W711" s="52">
        <f ca="1">Log_2019[[#This Row],[Amount]]/Log_2019[[#This Row],[Split_raw]]*MAX(0,MIN(_xlfn.DAYS(EDATE(W$1,1),Log_2019[[#This Row],[Date]]),Log_2019[[#This Row],[Split_apply]])) - SUM($O711:V711)</f>
        <v>0</v>
      </c>
      <c r="X711" s="52">
        <f ca="1">Log_2019[[#This Row],[Amount]]/Log_2019[[#This Row],[Split_raw]]*MAX(0,MIN(_xlfn.DAYS(EDATE(X$1,1),Log_2019[[#This Row],[Date]]),Log_2019[[#This Row],[Split_apply]])) - SUM($O711:W711)</f>
        <v>0</v>
      </c>
      <c r="Y711" s="52">
        <f ca="1">Log_2019[[#This Row],[Amount]]/Log_2019[[#This Row],[Split_raw]]*MAX(0,MIN(_xlfn.DAYS(EDATE(Y$1,1),Log_2019[[#This Row],[Date]]),Log_2019[[#This Row],[Split_apply]])) - SUM($O711:X711)</f>
        <v>0</v>
      </c>
      <c r="Z711" s="52">
        <f ca="1">Log_2019[[#This Row],[Amount]]/Log_2019[[#This Row],[Split_raw]]*MAX(0,MIN(_xlfn.DAYS(EDATE(Z$1,1),Log_2019[[#This Row],[Date]]),Log_2019[[#This Row],[Split_apply]])) - SUM($O711:Y711)</f>
        <v>0</v>
      </c>
      <c r="AA711" s="52">
        <f ca="1">Log_2019[[#This Row],[Amount]]/Log_2019[[#This Row],[Split_raw]]*MAX(0,MIN(_xlfn.DAYS(EDATE(AA$1,1),Log_2019[[#This Row],[Date]]),Log_2019[[#This Row],[Split_apply]])) - SUM($O711:Z711)</f>
        <v>0</v>
      </c>
      <c r="AB711" s="54">
        <f ca="1">Log_2019[[#This Row],[Amount]]-SUM(O711:AA711)</f>
        <v>0</v>
      </c>
      <c r="AC711" s="7">
        <f>MAX(0,Log_2019[[#This Row],[Split_raw]] - (EDATE(AA$1,1)-Log_2019[[#This Row],[Date]]))</f>
        <v>0</v>
      </c>
    </row>
    <row r="712" spans="1:29" x14ac:dyDescent="0.25">
      <c r="A712" s="42"/>
      <c r="B712" s="34" t="s">
        <v>490</v>
      </c>
      <c r="C712" s="34">
        <v>2.67159793392051E+18</v>
      </c>
      <c r="D712" s="41">
        <v>43500</v>
      </c>
      <c r="E712" s="34"/>
      <c r="F712" s="34" t="s">
        <v>714</v>
      </c>
      <c r="G712" s="34"/>
      <c r="H712" s="45">
        <v>-28</v>
      </c>
      <c r="I712" s="36">
        <f>IF(Log_2019[[#This Row],[My Category]]="NONTRACKED",0,Log_2019[[#This Row],[Raw Amount]])</f>
        <v>-28</v>
      </c>
      <c r="J712" s="37">
        <f>ABS(Log_2019[[#This Row],[Amount]])</f>
        <v>28</v>
      </c>
      <c r="K712" s="38">
        <v>1</v>
      </c>
      <c r="L712" s="38">
        <f ca="1">IF(Log_2019[[#This Row],[Date]]&lt;=TODAY(), MIN(Log_2019[[#This Row],[Split_raw]], TODAY()-Log_2019[[#This Row],[Date]]+1), 0)</f>
        <v>1</v>
      </c>
      <c r="M712" s="34" t="s">
        <v>40</v>
      </c>
      <c r="N712" s="34" t="s">
        <v>490</v>
      </c>
      <c r="O712" s="7">
        <v>0</v>
      </c>
      <c r="P712" s="52">
        <f ca="1">Log_2019[[#This Row],[Amount]]/Log_2019[[#This Row],[Split_raw]]*MAX(0,MIN(_xlfn.DAYS(EDATE(P$1,1),Log_2019[[#This Row],[Date]]),Log_2019[[#This Row],[Split_apply]])) - SUM($O712:O712)</f>
        <v>0</v>
      </c>
      <c r="Q712" s="52">
        <f ca="1">Log_2019[[#This Row],[Amount]]/Log_2019[[#This Row],[Split_raw]]*MAX(0,MIN(_xlfn.DAYS(EDATE(Q$1,1),Log_2019[[#This Row],[Date]]),Log_2019[[#This Row],[Split_apply]])) - SUM($O712:P712)</f>
        <v>-28</v>
      </c>
      <c r="R712" s="52">
        <f ca="1">Log_2019[[#This Row],[Amount]]/Log_2019[[#This Row],[Split_raw]]*MAX(0,MIN(_xlfn.DAYS(EDATE(R$1,1),Log_2019[[#This Row],[Date]]),Log_2019[[#This Row],[Split_apply]])) - SUM($O712:Q712)</f>
        <v>0</v>
      </c>
      <c r="S712" s="52">
        <f ca="1">Log_2019[[#This Row],[Amount]]/Log_2019[[#This Row],[Split_raw]]*MAX(0,MIN(_xlfn.DAYS(EDATE(S$1,1),Log_2019[[#This Row],[Date]]),Log_2019[[#This Row],[Split_apply]])) - SUM($O712:R712)</f>
        <v>0</v>
      </c>
      <c r="T712" s="52">
        <f ca="1">Log_2019[[#This Row],[Amount]]/Log_2019[[#This Row],[Split_raw]]*MAX(0,MIN(_xlfn.DAYS(EDATE(T$1,1),Log_2019[[#This Row],[Date]]),Log_2019[[#This Row],[Split_apply]])) - SUM($O712:S712)</f>
        <v>0</v>
      </c>
      <c r="U712" s="52">
        <f ca="1">Log_2019[[#This Row],[Amount]]/Log_2019[[#This Row],[Split_raw]]*MAX(0,MIN(_xlfn.DAYS(EDATE(U$1,1),Log_2019[[#This Row],[Date]]),Log_2019[[#This Row],[Split_apply]])) - SUM($O712:T712)</f>
        <v>0</v>
      </c>
      <c r="V712" s="52">
        <f ca="1">Log_2019[[#This Row],[Amount]]/Log_2019[[#This Row],[Split_raw]]*MAX(0,MIN(_xlfn.DAYS(EDATE(V$1,1),Log_2019[[#This Row],[Date]]),Log_2019[[#This Row],[Split_apply]])) - SUM($O712:U712)</f>
        <v>0</v>
      </c>
      <c r="W712" s="52">
        <f ca="1">Log_2019[[#This Row],[Amount]]/Log_2019[[#This Row],[Split_raw]]*MAX(0,MIN(_xlfn.DAYS(EDATE(W$1,1),Log_2019[[#This Row],[Date]]),Log_2019[[#This Row],[Split_apply]])) - SUM($O712:V712)</f>
        <v>0</v>
      </c>
      <c r="X712" s="52">
        <f ca="1">Log_2019[[#This Row],[Amount]]/Log_2019[[#This Row],[Split_raw]]*MAX(0,MIN(_xlfn.DAYS(EDATE(X$1,1),Log_2019[[#This Row],[Date]]),Log_2019[[#This Row],[Split_apply]])) - SUM($O712:W712)</f>
        <v>0</v>
      </c>
      <c r="Y712" s="52">
        <f ca="1">Log_2019[[#This Row],[Amount]]/Log_2019[[#This Row],[Split_raw]]*MAX(0,MIN(_xlfn.DAYS(EDATE(Y$1,1),Log_2019[[#This Row],[Date]]),Log_2019[[#This Row],[Split_apply]])) - SUM($O712:X712)</f>
        <v>0</v>
      </c>
      <c r="Z712" s="52">
        <f ca="1">Log_2019[[#This Row],[Amount]]/Log_2019[[#This Row],[Split_raw]]*MAX(0,MIN(_xlfn.DAYS(EDATE(Z$1,1),Log_2019[[#This Row],[Date]]),Log_2019[[#This Row],[Split_apply]])) - SUM($O712:Y712)</f>
        <v>0</v>
      </c>
      <c r="AA712" s="52">
        <f ca="1">Log_2019[[#This Row],[Amount]]/Log_2019[[#This Row],[Split_raw]]*MAX(0,MIN(_xlfn.DAYS(EDATE(AA$1,1),Log_2019[[#This Row],[Date]]),Log_2019[[#This Row],[Split_apply]])) - SUM($O712:Z712)</f>
        <v>0</v>
      </c>
      <c r="AB712" s="54">
        <f ca="1">Log_2019[[#This Row],[Amount]]-SUM(O712:AA712)</f>
        <v>0</v>
      </c>
      <c r="AC712" s="7">
        <f>MAX(0,Log_2019[[#This Row],[Split_raw]] - (EDATE(AA$1,1)-Log_2019[[#This Row],[Date]]))</f>
        <v>0</v>
      </c>
    </row>
    <row r="713" spans="1:29" x14ac:dyDescent="0.25">
      <c r="A713" s="42"/>
      <c r="B713" s="34" t="s">
        <v>490</v>
      </c>
      <c r="C713" s="34">
        <v>2.6714932266443699E+18</v>
      </c>
      <c r="D713" s="41">
        <v>43499</v>
      </c>
      <c r="E713" s="34"/>
      <c r="F713" s="34" t="s">
        <v>713</v>
      </c>
      <c r="G713" s="34"/>
      <c r="H713" s="45">
        <v>-15</v>
      </c>
      <c r="I713" s="36">
        <f>IF(Log_2019[[#This Row],[My Category]]="NONTRACKED",0,Log_2019[[#This Row],[Raw Amount]])</f>
        <v>-15</v>
      </c>
      <c r="J713" s="37">
        <f>ABS(Log_2019[[#This Row],[Amount]])</f>
        <v>15</v>
      </c>
      <c r="K713" s="38">
        <v>1</v>
      </c>
      <c r="L713" s="38">
        <f ca="1">IF(Log_2019[[#This Row],[Date]]&lt;=TODAY(), MIN(Log_2019[[#This Row],[Split_raw]], TODAY()-Log_2019[[#This Row],[Date]]+1), 0)</f>
        <v>1</v>
      </c>
      <c r="M713" s="34" t="s">
        <v>40</v>
      </c>
      <c r="N713" s="34" t="s">
        <v>490</v>
      </c>
      <c r="O713" s="7">
        <v>0</v>
      </c>
      <c r="P713" s="52">
        <f ca="1">Log_2019[[#This Row],[Amount]]/Log_2019[[#This Row],[Split_raw]]*MAX(0,MIN(_xlfn.DAYS(EDATE(P$1,1),Log_2019[[#This Row],[Date]]),Log_2019[[#This Row],[Split_apply]])) - SUM($O713:O713)</f>
        <v>0</v>
      </c>
      <c r="Q713" s="52">
        <f ca="1">Log_2019[[#This Row],[Amount]]/Log_2019[[#This Row],[Split_raw]]*MAX(0,MIN(_xlfn.DAYS(EDATE(Q$1,1),Log_2019[[#This Row],[Date]]),Log_2019[[#This Row],[Split_apply]])) - SUM($O713:P713)</f>
        <v>-15</v>
      </c>
      <c r="R713" s="52">
        <f ca="1">Log_2019[[#This Row],[Amount]]/Log_2019[[#This Row],[Split_raw]]*MAX(0,MIN(_xlfn.DAYS(EDATE(R$1,1),Log_2019[[#This Row],[Date]]),Log_2019[[#This Row],[Split_apply]])) - SUM($O713:Q713)</f>
        <v>0</v>
      </c>
      <c r="S713" s="52">
        <f ca="1">Log_2019[[#This Row],[Amount]]/Log_2019[[#This Row],[Split_raw]]*MAX(0,MIN(_xlfn.DAYS(EDATE(S$1,1),Log_2019[[#This Row],[Date]]),Log_2019[[#This Row],[Split_apply]])) - SUM($O713:R713)</f>
        <v>0</v>
      </c>
      <c r="T713" s="52">
        <f ca="1">Log_2019[[#This Row],[Amount]]/Log_2019[[#This Row],[Split_raw]]*MAX(0,MIN(_xlfn.DAYS(EDATE(T$1,1),Log_2019[[#This Row],[Date]]),Log_2019[[#This Row],[Split_apply]])) - SUM($O713:S713)</f>
        <v>0</v>
      </c>
      <c r="U713" s="52">
        <f ca="1">Log_2019[[#This Row],[Amount]]/Log_2019[[#This Row],[Split_raw]]*MAX(0,MIN(_xlfn.DAYS(EDATE(U$1,1),Log_2019[[#This Row],[Date]]),Log_2019[[#This Row],[Split_apply]])) - SUM($O713:T713)</f>
        <v>0</v>
      </c>
      <c r="V713" s="52">
        <f ca="1">Log_2019[[#This Row],[Amount]]/Log_2019[[#This Row],[Split_raw]]*MAX(0,MIN(_xlfn.DAYS(EDATE(V$1,1),Log_2019[[#This Row],[Date]]),Log_2019[[#This Row],[Split_apply]])) - SUM($O713:U713)</f>
        <v>0</v>
      </c>
      <c r="W713" s="52">
        <f ca="1">Log_2019[[#This Row],[Amount]]/Log_2019[[#This Row],[Split_raw]]*MAX(0,MIN(_xlfn.DAYS(EDATE(W$1,1),Log_2019[[#This Row],[Date]]),Log_2019[[#This Row],[Split_apply]])) - SUM($O713:V713)</f>
        <v>0</v>
      </c>
      <c r="X713" s="52">
        <f ca="1">Log_2019[[#This Row],[Amount]]/Log_2019[[#This Row],[Split_raw]]*MAX(0,MIN(_xlfn.DAYS(EDATE(X$1,1),Log_2019[[#This Row],[Date]]),Log_2019[[#This Row],[Split_apply]])) - SUM($O713:W713)</f>
        <v>0</v>
      </c>
      <c r="Y713" s="52">
        <f ca="1">Log_2019[[#This Row],[Amount]]/Log_2019[[#This Row],[Split_raw]]*MAX(0,MIN(_xlfn.DAYS(EDATE(Y$1,1),Log_2019[[#This Row],[Date]]),Log_2019[[#This Row],[Split_apply]])) - SUM($O713:X713)</f>
        <v>0</v>
      </c>
      <c r="Z713" s="52">
        <f ca="1">Log_2019[[#This Row],[Amount]]/Log_2019[[#This Row],[Split_raw]]*MAX(0,MIN(_xlfn.DAYS(EDATE(Z$1,1),Log_2019[[#This Row],[Date]]),Log_2019[[#This Row],[Split_apply]])) - SUM($O713:Y713)</f>
        <v>0</v>
      </c>
      <c r="AA713" s="52">
        <f ca="1">Log_2019[[#This Row],[Amount]]/Log_2019[[#This Row],[Split_raw]]*MAX(0,MIN(_xlfn.DAYS(EDATE(AA$1,1),Log_2019[[#This Row],[Date]]),Log_2019[[#This Row],[Split_apply]])) - SUM($O713:Z713)</f>
        <v>0</v>
      </c>
      <c r="AB713" s="54">
        <f ca="1">Log_2019[[#This Row],[Amount]]-SUM(O713:AA713)</f>
        <v>0</v>
      </c>
      <c r="AC713" s="7">
        <f>MAX(0,Log_2019[[#This Row],[Split_raw]] - (EDATE(AA$1,1)-Log_2019[[#This Row],[Date]]))</f>
        <v>0</v>
      </c>
    </row>
    <row r="714" spans="1:29" x14ac:dyDescent="0.25">
      <c r="A714" s="42"/>
      <c r="B714" t="s">
        <v>6</v>
      </c>
      <c r="D714" s="26">
        <v>43498</v>
      </c>
      <c r="F714" t="s">
        <v>328</v>
      </c>
      <c r="G714" t="s">
        <v>25</v>
      </c>
      <c r="H714" s="3">
        <v>-10.59</v>
      </c>
      <c r="I714" s="36">
        <f>IF(Log_2019[[#This Row],[My Category]]="NONTRACKED",0,Log_2019[[#This Row],[Raw Amount]])</f>
        <v>-10.59</v>
      </c>
      <c r="J714" s="17">
        <f>ABS(Log_2019[[#This Row],[Amount]])</f>
        <v>10.59</v>
      </c>
      <c r="K714" s="5">
        <v>1</v>
      </c>
      <c r="L714" s="38">
        <f ca="1">IF(Log_2019[[#This Row],[Date]]&lt;=TODAY(), MIN(Log_2019[[#This Row],[Split_raw]], TODAY()-Log_2019[[#This Row],[Date]]+1), 0)</f>
        <v>1</v>
      </c>
      <c r="M714" t="s">
        <v>35</v>
      </c>
      <c r="N714" t="s">
        <v>158</v>
      </c>
      <c r="O714" s="7">
        <v>0</v>
      </c>
      <c r="P714" s="52">
        <f ca="1">Log_2019[[#This Row],[Amount]]/Log_2019[[#This Row],[Split_raw]]*MAX(0,MIN(_xlfn.DAYS(EDATE(P$1,1),Log_2019[[#This Row],[Date]]),Log_2019[[#This Row],[Split_apply]])) - SUM($O714:O714)</f>
        <v>0</v>
      </c>
      <c r="Q714" s="52">
        <f ca="1">Log_2019[[#This Row],[Amount]]/Log_2019[[#This Row],[Split_raw]]*MAX(0,MIN(_xlfn.DAYS(EDATE(Q$1,1),Log_2019[[#This Row],[Date]]),Log_2019[[#This Row],[Split_apply]])) - SUM($O714:P714)</f>
        <v>-10.59</v>
      </c>
      <c r="R714" s="52">
        <f ca="1">Log_2019[[#This Row],[Amount]]/Log_2019[[#This Row],[Split_raw]]*MAX(0,MIN(_xlfn.DAYS(EDATE(R$1,1),Log_2019[[#This Row],[Date]]),Log_2019[[#This Row],[Split_apply]])) - SUM($O714:Q714)</f>
        <v>0</v>
      </c>
      <c r="S714" s="52">
        <f ca="1">Log_2019[[#This Row],[Amount]]/Log_2019[[#This Row],[Split_raw]]*MAX(0,MIN(_xlfn.DAYS(EDATE(S$1,1),Log_2019[[#This Row],[Date]]),Log_2019[[#This Row],[Split_apply]])) - SUM($O714:R714)</f>
        <v>0</v>
      </c>
      <c r="T714" s="52">
        <f ca="1">Log_2019[[#This Row],[Amount]]/Log_2019[[#This Row],[Split_raw]]*MAX(0,MIN(_xlfn.DAYS(EDATE(T$1,1),Log_2019[[#This Row],[Date]]),Log_2019[[#This Row],[Split_apply]])) - SUM($O714:S714)</f>
        <v>0</v>
      </c>
      <c r="U714" s="52">
        <f ca="1">Log_2019[[#This Row],[Amount]]/Log_2019[[#This Row],[Split_raw]]*MAX(0,MIN(_xlfn.DAYS(EDATE(U$1,1),Log_2019[[#This Row],[Date]]),Log_2019[[#This Row],[Split_apply]])) - SUM($O714:T714)</f>
        <v>0</v>
      </c>
      <c r="V714" s="52">
        <f ca="1">Log_2019[[#This Row],[Amount]]/Log_2019[[#This Row],[Split_raw]]*MAX(0,MIN(_xlfn.DAYS(EDATE(V$1,1),Log_2019[[#This Row],[Date]]),Log_2019[[#This Row],[Split_apply]])) - SUM($O714:U714)</f>
        <v>0</v>
      </c>
      <c r="W714" s="52">
        <f ca="1">Log_2019[[#This Row],[Amount]]/Log_2019[[#This Row],[Split_raw]]*MAX(0,MIN(_xlfn.DAYS(EDATE(W$1,1),Log_2019[[#This Row],[Date]]),Log_2019[[#This Row],[Split_apply]])) - SUM($O714:V714)</f>
        <v>0</v>
      </c>
      <c r="X714" s="52">
        <f ca="1">Log_2019[[#This Row],[Amount]]/Log_2019[[#This Row],[Split_raw]]*MAX(0,MIN(_xlfn.DAYS(EDATE(X$1,1),Log_2019[[#This Row],[Date]]),Log_2019[[#This Row],[Split_apply]])) - SUM($O714:W714)</f>
        <v>0</v>
      </c>
      <c r="Y714" s="52">
        <f ca="1">Log_2019[[#This Row],[Amount]]/Log_2019[[#This Row],[Split_raw]]*MAX(0,MIN(_xlfn.DAYS(EDATE(Y$1,1),Log_2019[[#This Row],[Date]]),Log_2019[[#This Row],[Split_apply]])) - SUM($O714:X714)</f>
        <v>0</v>
      </c>
      <c r="Z714" s="52">
        <f ca="1">Log_2019[[#This Row],[Amount]]/Log_2019[[#This Row],[Split_raw]]*MAX(0,MIN(_xlfn.DAYS(EDATE(Z$1,1),Log_2019[[#This Row],[Date]]),Log_2019[[#This Row],[Split_apply]])) - SUM($O714:Y714)</f>
        <v>0</v>
      </c>
      <c r="AA714" s="52">
        <f ca="1">Log_2019[[#This Row],[Amount]]/Log_2019[[#This Row],[Split_raw]]*MAX(0,MIN(_xlfn.DAYS(EDATE(AA$1,1),Log_2019[[#This Row],[Date]]),Log_2019[[#This Row],[Split_apply]])) - SUM($O714:Z714)</f>
        <v>0</v>
      </c>
      <c r="AB714" s="54">
        <f ca="1">Log_2019[[#This Row],[Amount]]-SUM(O714:AA714)</f>
        <v>0</v>
      </c>
      <c r="AC714" s="7">
        <f>MAX(0,Log_2019[[#This Row],[Split_raw]] - (EDATE(AA$1,1)-Log_2019[[#This Row],[Date]]))</f>
        <v>0</v>
      </c>
    </row>
    <row r="715" spans="1:29" x14ac:dyDescent="0.25">
      <c r="A715" s="42"/>
      <c r="B715" t="s">
        <v>6</v>
      </c>
      <c r="D715" s="26">
        <v>43497</v>
      </c>
      <c r="E715" t="s">
        <v>960</v>
      </c>
      <c r="F715" t="s">
        <v>517</v>
      </c>
      <c r="G715" t="s">
        <v>176</v>
      </c>
      <c r="H715" s="3">
        <v>-320</v>
      </c>
      <c r="I715" s="36">
        <f>IF(Log_2019[[#This Row],[My Category]]="NONTRACKED",0,Log_2019[[#This Row],[Raw Amount]])</f>
        <v>-320</v>
      </c>
      <c r="J715" s="17">
        <f>ABS(Log_2019[[#This Row],[Amount]])</f>
        <v>320</v>
      </c>
      <c r="K715" s="5">
        <v>28</v>
      </c>
      <c r="L715" s="38">
        <f ca="1">IF(Log_2019[[#This Row],[Date]]&lt;=TODAY(), MIN(Log_2019[[#This Row],[Split_raw]], TODAY()-Log_2019[[#This Row],[Date]]+1), 0)</f>
        <v>28</v>
      </c>
      <c r="M715" t="s">
        <v>93</v>
      </c>
      <c r="N715" t="s">
        <v>160</v>
      </c>
      <c r="O715" s="7">
        <v>0</v>
      </c>
      <c r="P715" s="52">
        <f ca="1">Log_2019[[#This Row],[Amount]]/Log_2019[[#This Row],[Split_raw]]*MAX(0,MIN(_xlfn.DAYS(EDATE(P$1,1),Log_2019[[#This Row],[Date]]),Log_2019[[#This Row],[Split_apply]])) - SUM($O715:O715)</f>
        <v>0</v>
      </c>
      <c r="Q715" s="52">
        <f ca="1">Log_2019[[#This Row],[Amount]]/Log_2019[[#This Row],[Split_raw]]*MAX(0,MIN(_xlfn.DAYS(EDATE(Q$1,1),Log_2019[[#This Row],[Date]]),Log_2019[[#This Row],[Split_apply]])) - SUM($O715:P715)</f>
        <v>-320</v>
      </c>
      <c r="R715" s="52">
        <f ca="1">Log_2019[[#This Row],[Amount]]/Log_2019[[#This Row],[Split_raw]]*MAX(0,MIN(_xlfn.DAYS(EDATE(R$1,1),Log_2019[[#This Row],[Date]]),Log_2019[[#This Row],[Split_apply]])) - SUM($O715:Q715)</f>
        <v>0</v>
      </c>
      <c r="S715" s="52">
        <f ca="1">Log_2019[[#This Row],[Amount]]/Log_2019[[#This Row],[Split_raw]]*MAX(0,MIN(_xlfn.DAYS(EDATE(S$1,1),Log_2019[[#This Row],[Date]]),Log_2019[[#This Row],[Split_apply]])) - SUM($O715:R715)</f>
        <v>0</v>
      </c>
      <c r="T715" s="52">
        <f ca="1">Log_2019[[#This Row],[Amount]]/Log_2019[[#This Row],[Split_raw]]*MAX(0,MIN(_xlfn.DAYS(EDATE(T$1,1),Log_2019[[#This Row],[Date]]),Log_2019[[#This Row],[Split_apply]])) - SUM($O715:S715)</f>
        <v>0</v>
      </c>
      <c r="U715" s="52">
        <f ca="1">Log_2019[[#This Row],[Amount]]/Log_2019[[#This Row],[Split_raw]]*MAX(0,MIN(_xlfn.DAYS(EDATE(U$1,1),Log_2019[[#This Row],[Date]]),Log_2019[[#This Row],[Split_apply]])) - SUM($O715:T715)</f>
        <v>0</v>
      </c>
      <c r="V715" s="52">
        <f ca="1">Log_2019[[#This Row],[Amount]]/Log_2019[[#This Row],[Split_raw]]*MAX(0,MIN(_xlfn.DAYS(EDATE(V$1,1),Log_2019[[#This Row],[Date]]),Log_2019[[#This Row],[Split_apply]])) - SUM($O715:U715)</f>
        <v>0</v>
      </c>
      <c r="W715" s="52">
        <f ca="1">Log_2019[[#This Row],[Amount]]/Log_2019[[#This Row],[Split_raw]]*MAX(0,MIN(_xlfn.DAYS(EDATE(W$1,1),Log_2019[[#This Row],[Date]]),Log_2019[[#This Row],[Split_apply]])) - SUM($O715:V715)</f>
        <v>0</v>
      </c>
      <c r="X715" s="52">
        <f ca="1">Log_2019[[#This Row],[Amount]]/Log_2019[[#This Row],[Split_raw]]*MAX(0,MIN(_xlfn.DAYS(EDATE(X$1,1),Log_2019[[#This Row],[Date]]),Log_2019[[#This Row],[Split_apply]])) - SUM($O715:W715)</f>
        <v>0</v>
      </c>
      <c r="Y715" s="52">
        <f ca="1">Log_2019[[#This Row],[Amount]]/Log_2019[[#This Row],[Split_raw]]*MAX(0,MIN(_xlfn.DAYS(EDATE(Y$1,1),Log_2019[[#This Row],[Date]]),Log_2019[[#This Row],[Split_apply]])) - SUM($O715:X715)</f>
        <v>0</v>
      </c>
      <c r="Z715" s="52">
        <f ca="1">Log_2019[[#This Row],[Amount]]/Log_2019[[#This Row],[Split_raw]]*MAX(0,MIN(_xlfn.DAYS(EDATE(Z$1,1),Log_2019[[#This Row],[Date]]),Log_2019[[#This Row],[Split_apply]])) - SUM($O715:Y715)</f>
        <v>0</v>
      </c>
      <c r="AA715" s="52">
        <f ca="1">Log_2019[[#This Row],[Amount]]/Log_2019[[#This Row],[Split_raw]]*MAX(0,MIN(_xlfn.DAYS(EDATE(AA$1,1),Log_2019[[#This Row],[Date]]),Log_2019[[#This Row],[Split_apply]])) - SUM($O715:Z715)</f>
        <v>0</v>
      </c>
      <c r="AB715" s="54">
        <f ca="1">Log_2019[[#This Row],[Amount]]-SUM(O715:AA715)</f>
        <v>0</v>
      </c>
      <c r="AC715" s="7">
        <f>MAX(0,Log_2019[[#This Row],[Split_raw]] - (EDATE(AA$1,1)-Log_2019[[#This Row],[Date]]))</f>
        <v>0</v>
      </c>
    </row>
    <row r="716" spans="1:29" x14ac:dyDescent="0.25">
      <c r="A716" s="42"/>
      <c r="B716" t="s">
        <v>6</v>
      </c>
      <c r="D716" s="26">
        <v>43497</v>
      </c>
      <c r="F716" t="s">
        <v>184</v>
      </c>
      <c r="G716" t="s">
        <v>11</v>
      </c>
      <c r="H716" s="3">
        <v>-10.85</v>
      </c>
      <c r="I716" s="36">
        <f>IF(Log_2019[[#This Row],[My Category]]="NONTRACKED",0,Log_2019[[#This Row],[Raw Amount]])</f>
        <v>-10.85</v>
      </c>
      <c r="J716" s="17">
        <f>ABS(Log_2019[[#This Row],[Amount]])</f>
        <v>10.85</v>
      </c>
      <c r="K716" s="5">
        <v>1</v>
      </c>
      <c r="L716" s="38">
        <f ca="1">IF(Log_2019[[#This Row],[Date]]&lt;=TODAY(), MIN(Log_2019[[#This Row],[Split_raw]], TODAY()-Log_2019[[#This Row],[Date]]+1), 0)</f>
        <v>1</v>
      </c>
      <c r="M716" t="s">
        <v>12</v>
      </c>
      <c r="N716" t="s">
        <v>158</v>
      </c>
      <c r="O716" s="7">
        <v>0</v>
      </c>
      <c r="P716" s="52">
        <f ca="1">Log_2019[[#This Row],[Amount]]/Log_2019[[#This Row],[Split_raw]]*MAX(0,MIN(_xlfn.DAYS(EDATE(P$1,1),Log_2019[[#This Row],[Date]]),Log_2019[[#This Row],[Split_apply]])) - SUM($O716:O716)</f>
        <v>0</v>
      </c>
      <c r="Q716" s="52">
        <f ca="1">Log_2019[[#This Row],[Amount]]/Log_2019[[#This Row],[Split_raw]]*MAX(0,MIN(_xlfn.DAYS(EDATE(Q$1,1),Log_2019[[#This Row],[Date]]),Log_2019[[#This Row],[Split_apply]])) - SUM($O716:P716)</f>
        <v>-10.85</v>
      </c>
      <c r="R716" s="52">
        <f ca="1">Log_2019[[#This Row],[Amount]]/Log_2019[[#This Row],[Split_raw]]*MAX(0,MIN(_xlfn.DAYS(EDATE(R$1,1),Log_2019[[#This Row],[Date]]),Log_2019[[#This Row],[Split_apply]])) - SUM($O716:Q716)</f>
        <v>0</v>
      </c>
      <c r="S716" s="52">
        <f ca="1">Log_2019[[#This Row],[Amount]]/Log_2019[[#This Row],[Split_raw]]*MAX(0,MIN(_xlfn.DAYS(EDATE(S$1,1),Log_2019[[#This Row],[Date]]),Log_2019[[#This Row],[Split_apply]])) - SUM($O716:R716)</f>
        <v>0</v>
      </c>
      <c r="T716" s="52">
        <f ca="1">Log_2019[[#This Row],[Amount]]/Log_2019[[#This Row],[Split_raw]]*MAX(0,MIN(_xlfn.DAYS(EDATE(T$1,1),Log_2019[[#This Row],[Date]]),Log_2019[[#This Row],[Split_apply]])) - SUM($O716:S716)</f>
        <v>0</v>
      </c>
      <c r="U716" s="52">
        <f ca="1">Log_2019[[#This Row],[Amount]]/Log_2019[[#This Row],[Split_raw]]*MAX(0,MIN(_xlfn.DAYS(EDATE(U$1,1),Log_2019[[#This Row],[Date]]),Log_2019[[#This Row],[Split_apply]])) - SUM($O716:T716)</f>
        <v>0</v>
      </c>
      <c r="V716" s="52">
        <f ca="1">Log_2019[[#This Row],[Amount]]/Log_2019[[#This Row],[Split_raw]]*MAX(0,MIN(_xlfn.DAYS(EDATE(V$1,1),Log_2019[[#This Row],[Date]]),Log_2019[[#This Row],[Split_apply]])) - SUM($O716:U716)</f>
        <v>0</v>
      </c>
      <c r="W716" s="52">
        <f ca="1">Log_2019[[#This Row],[Amount]]/Log_2019[[#This Row],[Split_raw]]*MAX(0,MIN(_xlfn.DAYS(EDATE(W$1,1),Log_2019[[#This Row],[Date]]),Log_2019[[#This Row],[Split_apply]])) - SUM($O716:V716)</f>
        <v>0</v>
      </c>
      <c r="X716" s="52">
        <f ca="1">Log_2019[[#This Row],[Amount]]/Log_2019[[#This Row],[Split_raw]]*MAX(0,MIN(_xlfn.DAYS(EDATE(X$1,1),Log_2019[[#This Row],[Date]]),Log_2019[[#This Row],[Split_apply]])) - SUM($O716:W716)</f>
        <v>0</v>
      </c>
      <c r="Y716" s="52">
        <f ca="1">Log_2019[[#This Row],[Amount]]/Log_2019[[#This Row],[Split_raw]]*MAX(0,MIN(_xlfn.DAYS(EDATE(Y$1,1),Log_2019[[#This Row],[Date]]),Log_2019[[#This Row],[Split_apply]])) - SUM($O716:X716)</f>
        <v>0</v>
      </c>
      <c r="Z716" s="52">
        <f ca="1">Log_2019[[#This Row],[Amount]]/Log_2019[[#This Row],[Split_raw]]*MAX(0,MIN(_xlfn.DAYS(EDATE(Z$1,1),Log_2019[[#This Row],[Date]]),Log_2019[[#This Row],[Split_apply]])) - SUM($O716:Y716)</f>
        <v>0</v>
      </c>
      <c r="AA716" s="52">
        <f ca="1">Log_2019[[#This Row],[Amount]]/Log_2019[[#This Row],[Split_raw]]*MAX(0,MIN(_xlfn.DAYS(EDATE(AA$1,1),Log_2019[[#This Row],[Date]]),Log_2019[[#This Row],[Split_apply]])) - SUM($O716:Z716)</f>
        <v>0</v>
      </c>
      <c r="AB716" s="54">
        <f ca="1">Log_2019[[#This Row],[Amount]]-SUM(O716:AA716)</f>
        <v>0</v>
      </c>
      <c r="AC716" s="7">
        <f>MAX(0,Log_2019[[#This Row],[Split_raw]] - (EDATE(AA$1,1)-Log_2019[[#This Row],[Date]]))</f>
        <v>0</v>
      </c>
    </row>
    <row r="717" spans="1:29" x14ac:dyDescent="0.25">
      <c r="A717" s="42"/>
      <c r="B717" t="s">
        <v>6</v>
      </c>
      <c r="D717" s="26">
        <v>43497</v>
      </c>
      <c r="E717" t="s">
        <v>526</v>
      </c>
      <c r="F717" t="s">
        <v>456</v>
      </c>
      <c r="G717" t="s">
        <v>27</v>
      </c>
      <c r="H717" s="3">
        <v>-8.59</v>
      </c>
      <c r="I717" s="36">
        <f>IF(Log_2019[[#This Row],[My Category]]="NONTRACKED",0,Log_2019[[#This Row],[Raw Amount]])</f>
        <v>-8.59</v>
      </c>
      <c r="J717" s="17">
        <f>ABS(Log_2019[[#This Row],[Amount]])</f>
        <v>8.59</v>
      </c>
      <c r="K717" s="5">
        <v>1</v>
      </c>
      <c r="L717" s="38">
        <f ca="1">IF(Log_2019[[#This Row],[Date]]&lt;=TODAY(), MIN(Log_2019[[#This Row],[Split_raw]], TODAY()-Log_2019[[#This Row],[Date]]+1), 0)</f>
        <v>1</v>
      </c>
      <c r="M717" t="s">
        <v>145</v>
      </c>
      <c r="N717" t="s">
        <v>160</v>
      </c>
      <c r="O717" s="7">
        <v>0</v>
      </c>
      <c r="P717" s="52">
        <f ca="1">Log_2019[[#This Row],[Amount]]/Log_2019[[#This Row],[Split_raw]]*MAX(0,MIN(_xlfn.DAYS(EDATE(P$1,1),Log_2019[[#This Row],[Date]]),Log_2019[[#This Row],[Split_apply]])) - SUM($O717:O717)</f>
        <v>0</v>
      </c>
      <c r="Q717" s="52">
        <f ca="1">Log_2019[[#This Row],[Amount]]/Log_2019[[#This Row],[Split_raw]]*MAX(0,MIN(_xlfn.DAYS(EDATE(Q$1,1),Log_2019[[#This Row],[Date]]),Log_2019[[#This Row],[Split_apply]])) - SUM($O717:P717)</f>
        <v>-8.59</v>
      </c>
      <c r="R717" s="52">
        <f ca="1">Log_2019[[#This Row],[Amount]]/Log_2019[[#This Row],[Split_raw]]*MAX(0,MIN(_xlfn.DAYS(EDATE(R$1,1),Log_2019[[#This Row],[Date]]),Log_2019[[#This Row],[Split_apply]])) - SUM($O717:Q717)</f>
        <v>0</v>
      </c>
      <c r="S717" s="52">
        <f ca="1">Log_2019[[#This Row],[Amount]]/Log_2019[[#This Row],[Split_raw]]*MAX(0,MIN(_xlfn.DAYS(EDATE(S$1,1),Log_2019[[#This Row],[Date]]),Log_2019[[#This Row],[Split_apply]])) - SUM($O717:R717)</f>
        <v>0</v>
      </c>
      <c r="T717" s="52">
        <f ca="1">Log_2019[[#This Row],[Amount]]/Log_2019[[#This Row],[Split_raw]]*MAX(0,MIN(_xlfn.DAYS(EDATE(T$1,1),Log_2019[[#This Row],[Date]]),Log_2019[[#This Row],[Split_apply]])) - SUM($O717:S717)</f>
        <v>0</v>
      </c>
      <c r="U717" s="52">
        <f ca="1">Log_2019[[#This Row],[Amount]]/Log_2019[[#This Row],[Split_raw]]*MAX(0,MIN(_xlfn.DAYS(EDATE(U$1,1),Log_2019[[#This Row],[Date]]),Log_2019[[#This Row],[Split_apply]])) - SUM($O717:T717)</f>
        <v>0</v>
      </c>
      <c r="V717" s="52">
        <f ca="1">Log_2019[[#This Row],[Amount]]/Log_2019[[#This Row],[Split_raw]]*MAX(0,MIN(_xlfn.DAYS(EDATE(V$1,1),Log_2019[[#This Row],[Date]]),Log_2019[[#This Row],[Split_apply]])) - SUM($O717:U717)</f>
        <v>0</v>
      </c>
      <c r="W717" s="52">
        <f ca="1">Log_2019[[#This Row],[Amount]]/Log_2019[[#This Row],[Split_raw]]*MAX(0,MIN(_xlfn.DAYS(EDATE(W$1,1),Log_2019[[#This Row],[Date]]),Log_2019[[#This Row],[Split_apply]])) - SUM($O717:V717)</f>
        <v>0</v>
      </c>
      <c r="X717" s="52">
        <f ca="1">Log_2019[[#This Row],[Amount]]/Log_2019[[#This Row],[Split_raw]]*MAX(0,MIN(_xlfn.DAYS(EDATE(X$1,1),Log_2019[[#This Row],[Date]]),Log_2019[[#This Row],[Split_apply]])) - SUM($O717:W717)</f>
        <v>0</v>
      </c>
      <c r="Y717" s="52">
        <f ca="1">Log_2019[[#This Row],[Amount]]/Log_2019[[#This Row],[Split_raw]]*MAX(0,MIN(_xlfn.DAYS(EDATE(Y$1,1),Log_2019[[#This Row],[Date]]),Log_2019[[#This Row],[Split_apply]])) - SUM($O717:X717)</f>
        <v>0</v>
      </c>
      <c r="Z717" s="52">
        <f ca="1">Log_2019[[#This Row],[Amount]]/Log_2019[[#This Row],[Split_raw]]*MAX(0,MIN(_xlfn.DAYS(EDATE(Z$1,1),Log_2019[[#This Row],[Date]]),Log_2019[[#This Row],[Split_apply]])) - SUM($O717:Y717)</f>
        <v>0</v>
      </c>
      <c r="AA717" s="52">
        <f ca="1">Log_2019[[#This Row],[Amount]]/Log_2019[[#This Row],[Split_raw]]*MAX(0,MIN(_xlfn.DAYS(EDATE(AA$1,1),Log_2019[[#This Row],[Date]]),Log_2019[[#This Row],[Split_apply]])) - SUM($O717:Z717)</f>
        <v>0</v>
      </c>
      <c r="AB717" s="54">
        <f ca="1">Log_2019[[#This Row],[Amount]]-SUM(O717:AA717)</f>
        <v>0</v>
      </c>
      <c r="AC717" s="7">
        <f>MAX(0,Log_2019[[#This Row],[Split_raw]] - (EDATE(AA$1,1)-Log_2019[[#This Row],[Date]]))</f>
        <v>0</v>
      </c>
    </row>
    <row r="718" spans="1:29" x14ac:dyDescent="0.25">
      <c r="A718" s="42"/>
      <c r="B718" t="s">
        <v>6</v>
      </c>
      <c r="D718" s="26">
        <v>43496</v>
      </c>
      <c r="F718" t="s">
        <v>518</v>
      </c>
      <c r="G718" t="s">
        <v>300</v>
      </c>
      <c r="H718" s="3">
        <v>-102</v>
      </c>
      <c r="I718" s="36">
        <f>IF(Log_2019[[#This Row],[My Category]]="NONTRACKED",0,Log_2019[[#This Row],[Raw Amount]])</f>
        <v>-102</v>
      </c>
      <c r="J718" s="17">
        <f>ABS(Log_2019[[#This Row],[Amount]])</f>
        <v>102</v>
      </c>
      <c r="K718" s="5">
        <v>1</v>
      </c>
      <c r="L718" s="38">
        <f ca="1">IF(Log_2019[[#This Row],[Date]]&lt;=TODAY(), MIN(Log_2019[[#This Row],[Split_raw]], TODAY()-Log_2019[[#This Row],[Date]]+1), 0)</f>
        <v>1</v>
      </c>
      <c r="M718" t="s">
        <v>196</v>
      </c>
      <c r="N718" t="s">
        <v>160</v>
      </c>
      <c r="O718" s="7">
        <v>0</v>
      </c>
      <c r="P718" s="52">
        <f ca="1">Log_2019[[#This Row],[Amount]]/Log_2019[[#This Row],[Split_raw]]*MAX(0,MIN(_xlfn.DAYS(EDATE(P$1,1),Log_2019[[#This Row],[Date]]),Log_2019[[#This Row],[Split_apply]])) - SUM($O718:O718)</f>
        <v>-102</v>
      </c>
      <c r="Q718" s="52">
        <f ca="1">Log_2019[[#This Row],[Amount]]/Log_2019[[#This Row],[Split_raw]]*MAX(0,MIN(_xlfn.DAYS(EDATE(Q$1,1),Log_2019[[#This Row],[Date]]),Log_2019[[#This Row],[Split_apply]])) - SUM($O718:P718)</f>
        <v>0</v>
      </c>
      <c r="R718" s="52">
        <f ca="1">Log_2019[[#This Row],[Amount]]/Log_2019[[#This Row],[Split_raw]]*MAX(0,MIN(_xlfn.DAYS(EDATE(R$1,1),Log_2019[[#This Row],[Date]]),Log_2019[[#This Row],[Split_apply]])) - SUM($O718:Q718)</f>
        <v>0</v>
      </c>
      <c r="S718" s="52">
        <f ca="1">Log_2019[[#This Row],[Amount]]/Log_2019[[#This Row],[Split_raw]]*MAX(0,MIN(_xlfn.DAYS(EDATE(S$1,1),Log_2019[[#This Row],[Date]]),Log_2019[[#This Row],[Split_apply]])) - SUM($O718:R718)</f>
        <v>0</v>
      </c>
      <c r="T718" s="52">
        <f ca="1">Log_2019[[#This Row],[Amount]]/Log_2019[[#This Row],[Split_raw]]*MAX(0,MIN(_xlfn.DAYS(EDATE(T$1,1),Log_2019[[#This Row],[Date]]),Log_2019[[#This Row],[Split_apply]])) - SUM($O718:S718)</f>
        <v>0</v>
      </c>
      <c r="U718" s="52">
        <f ca="1">Log_2019[[#This Row],[Amount]]/Log_2019[[#This Row],[Split_raw]]*MAX(0,MIN(_xlfn.DAYS(EDATE(U$1,1),Log_2019[[#This Row],[Date]]),Log_2019[[#This Row],[Split_apply]])) - SUM($O718:T718)</f>
        <v>0</v>
      </c>
      <c r="V718" s="52">
        <f ca="1">Log_2019[[#This Row],[Amount]]/Log_2019[[#This Row],[Split_raw]]*MAX(0,MIN(_xlfn.DAYS(EDATE(V$1,1),Log_2019[[#This Row],[Date]]),Log_2019[[#This Row],[Split_apply]])) - SUM($O718:U718)</f>
        <v>0</v>
      </c>
      <c r="W718" s="52">
        <f ca="1">Log_2019[[#This Row],[Amount]]/Log_2019[[#This Row],[Split_raw]]*MAX(0,MIN(_xlfn.DAYS(EDATE(W$1,1),Log_2019[[#This Row],[Date]]),Log_2019[[#This Row],[Split_apply]])) - SUM($O718:V718)</f>
        <v>0</v>
      </c>
      <c r="X718" s="52">
        <f ca="1">Log_2019[[#This Row],[Amount]]/Log_2019[[#This Row],[Split_raw]]*MAX(0,MIN(_xlfn.DAYS(EDATE(X$1,1),Log_2019[[#This Row],[Date]]),Log_2019[[#This Row],[Split_apply]])) - SUM($O718:W718)</f>
        <v>0</v>
      </c>
      <c r="Y718" s="52">
        <f ca="1">Log_2019[[#This Row],[Amount]]/Log_2019[[#This Row],[Split_raw]]*MAX(0,MIN(_xlfn.DAYS(EDATE(Y$1,1),Log_2019[[#This Row],[Date]]),Log_2019[[#This Row],[Split_apply]])) - SUM($O718:X718)</f>
        <v>0</v>
      </c>
      <c r="Z718" s="52">
        <f ca="1">Log_2019[[#This Row],[Amount]]/Log_2019[[#This Row],[Split_raw]]*MAX(0,MIN(_xlfn.DAYS(EDATE(Z$1,1),Log_2019[[#This Row],[Date]]),Log_2019[[#This Row],[Split_apply]])) - SUM($O718:Y718)</f>
        <v>0</v>
      </c>
      <c r="AA718" s="52">
        <f ca="1">Log_2019[[#This Row],[Amount]]/Log_2019[[#This Row],[Split_raw]]*MAX(0,MIN(_xlfn.DAYS(EDATE(AA$1,1),Log_2019[[#This Row],[Date]]),Log_2019[[#This Row],[Split_apply]])) - SUM($O718:Z718)</f>
        <v>0</v>
      </c>
      <c r="AB718" s="54">
        <f ca="1">Log_2019[[#This Row],[Amount]]-SUM(O718:AA718)</f>
        <v>0</v>
      </c>
      <c r="AC718" s="7">
        <f>MAX(0,Log_2019[[#This Row],[Split_raw]] - (EDATE(AA$1,1)-Log_2019[[#This Row],[Date]]))</f>
        <v>0</v>
      </c>
    </row>
    <row r="719" spans="1:29" x14ac:dyDescent="0.25">
      <c r="A719" s="42"/>
      <c r="B719" t="s">
        <v>6</v>
      </c>
      <c r="D719" s="26">
        <v>43496</v>
      </c>
      <c r="F719" t="s">
        <v>338</v>
      </c>
      <c r="G719" t="s">
        <v>87</v>
      </c>
      <c r="H719" s="3">
        <f>--1891.68</f>
        <v>1891.68</v>
      </c>
      <c r="I719" s="36">
        <f>IF(Log_2019[[#This Row],[My Category]]="NONTRACKED",0,Log_2019[[#This Row],[Raw Amount]])</f>
        <v>1891.68</v>
      </c>
      <c r="J719" s="17">
        <f>ABS(Log_2019[[#This Row],[Amount]])</f>
        <v>1891.68</v>
      </c>
      <c r="K719" s="5">
        <v>14</v>
      </c>
      <c r="L719" s="38">
        <f ca="1">IF(Log_2019[[#This Row],[Date]]&lt;=TODAY(), MIN(Log_2019[[#This Row],[Split_raw]], TODAY()-Log_2019[[#This Row],[Date]]+1), 0)</f>
        <v>14</v>
      </c>
      <c r="M719" t="s">
        <v>91</v>
      </c>
      <c r="N719" t="s">
        <v>160</v>
      </c>
      <c r="O719" s="7">
        <v>0</v>
      </c>
      <c r="P719" s="52">
        <f ca="1">Log_2019[[#This Row],[Amount]]/Log_2019[[#This Row],[Split_raw]]*MAX(0,MIN(_xlfn.DAYS(EDATE(P$1,1),Log_2019[[#This Row],[Date]]),Log_2019[[#This Row],[Split_apply]])) - SUM($O719:O719)</f>
        <v>135.12</v>
      </c>
      <c r="Q719" s="52">
        <f ca="1">Log_2019[[#This Row],[Amount]]/Log_2019[[#This Row],[Split_raw]]*MAX(0,MIN(_xlfn.DAYS(EDATE(Q$1,1),Log_2019[[#This Row],[Date]]),Log_2019[[#This Row],[Split_apply]])) - SUM($O719:P719)</f>
        <v>1756.56</v>
      </c>
      <c r="R719" s="52">
        <f ca="1">Log_2019[[#This Row],[Amount]]/Log_2019[[#This Row],[Split_raw]]*MAX(0,MIN(_xlfn.DAYS(EDATE(R$1,1),Log_2019[[#This Row],[Date]]),Log_2019[[#This Row],[Split_apply]])) - SUM($O719:Q719)</f>
        <v>0</v>
      </c>
      <c r="S719" s="52">
        <f ca="1">Log_2019[[#This Row],[Amount]]/Log_2019[[#This Row],[Split_raw]]*MAX(0,MIN(_xlfn.DAYS(EDATE(S$1,1),Log_2019[[#This Row],[Date]]),Log_2019[[#This Row],[Split_apply]])) - SUM($O719:R719)</f>
        <v>0</v>
      </c>
      <c r="T719" s="52">
        <f ca="1">Log_2019[[#This Row],[Amount]]/Log_2019[[#This Row],[Split_raw]]*MAX(0,MIN(_xlfn.DAYS(EDATE(T$1,1),Log_2019[[#This Row],[Date]]),Log_2019[[#This Row],[Split_apply]])) - SUM($O719:S719)</f>
        <v>0</v>
      </c>
      <c r="U719" s="52">
        <f ca="1">Log_2019[[#This Row],[Amount]]/Log_2019[[#This Row],[Split_raw]]*MAX(0,MIN(_xlfn.DAYS(EDATE(U$1,1),Log_2019[[#This Row],[Date]]),Log_2019[[#This Row],[Split_apply]])) - SUM($O719:T719)</f>
        <v>0</v>
      </c>
      <c r="V719" s="52">
        <f ca="1">Log_2019[[#This Row],[Amount]]/Log_2019[[#This Row],[Split_raw]]*MAX(0,MIN(_xlfn.DAYS(EDATE(V$1,1),Log_2019[[#This Row],[Date]]),Log_2019[[#This Row],[Split_apply]])) - SUM($O719:U719)</f>
        <v>0</v>
      </c>
      <c r="W719" s="52">
        <f ca="1">Log_2019[[#This Row],[Amount]]/Log_2019[[#This Row],[Split_raw]]*MAX(0,MIN(_xlfn.DAYS(EDATE(W$1,1),Log_2019[[#This Row],[Date]]),Log_2019[[#This Row],[Split_apply]])) - SUM($O719:V719)</f>
        <v>0</v>
      </c>
      <c r="X719" s="52">
        <f ca="1">Log_2019[[#This Row],[Amount]]/Log_2019[[#This Row],[Split_raw]]*MAX(0,MIN(_xlfn.DAYS(EDATE(X$1,1),Log_2019[[#This Row],[Date]]),Log_2019[[#This Row],[Split_apply]])) - SUM($O719:W719)</f>
        <v>0</v>
      </c>
      <c r="Y719" s="52">
        <f ca="1">Log_2019[[#This Row],[Amount]]/Log_2019[[#This Row],[Split_raw]]*MAX(0,MIN(_xlfn.DAYS(EDATE(Y$1,1),Log_2019[[#This Row],[Date]]),Log_2019[[#This Row],[Split_apply]])) - SUM($O719:X719)</f>
        <v>0</v>
      </c>
      <c r="Z719" s="52">
        <f ca="1">Log_2019[[#This Row],[Amount]]/Log_2019[[#This Row],[Split_raw]]*MAX(0,MIN(_xlfn.DAYS(EDATE(Z$1,1),Log_2019[[#This Row],[Date]]),Log_2019[[#This Row],[Split_apply]])) - SUM($O719:Y719)</f>
        <v>0</v>
      </c>
      <c r="AA719" s="52">
        <f ca="1">Log_2019[[#This Row],[Amount]]/Log_2019[[#This Row],[Split_raw]]*MAX(0,MIN(_xlfn.DAYS(EDATE(AA$1,1),Log_2019[[#This Row],[Date]]),Log_2019[[#This Row],[Split_apply]])) - SUM($O719:Z719)</f>
        <v>0</v>
      </c>
      <c r="AB719" s="54">
        <f ca="1">Log_2019[[#This Row],[Amount]]-SUM(O719:AA719)</f>
        <v>0</v>
      </c>
      <c r="AC719" s="7">
        <f>MAX(0,Log_2019[[#This Row],[Split_raw]] - (EDATE(AA$1,1)-Log_2019[[#This Row],[Date]]))</f>
        <v>0</v>
      </c>
    </row>
    <row r="720" spans="1:29" x14ac:dyDescent="0.25">
      <c r="A720" s="42"/>
      <c r="B720" t="s">
        <v>6</v>
      </c>
      <c r="D720" s="26">
        <v>43496</v>
      </c>
      <c r="E720" t="s">
        <v>521</v>
      </c>
      <c r="F720" t="s">
        <v>174</v>
      </c>
      <c r="G720" t="s">
        <v>87</v>
      </c>
      <c r="H720" s="3">
        <f>--63.75</f>
        <v>63.75</v>
      </c>
      <c r="I720" s="36">
        <f>IF(Log_2019[[#This Row],[My Category]]="NONTRACKED",0,Log_2019[[#This Row],[Raw Amount]])</f>
        <v>63.75</v>
      </c>
      <c r="J720" s="17">
        <f>ABS(Log_2019[[#This Row],[Amount]])</f>
        <v>63.75</v>
      </c>
      <c r="K720" s="5">
        <v>1</v>
      </c>
      <c r="L720" s="38">
        <f ca="1">IF(Log_2019[[#This Row],[Date]]&lt;=TODAY(), MIN(Log_2019[[#This Row],[Split_raw]], TODAY()-Log_2019[[#This Row],[Date]]+1), 0)</f>
        <v>1</v>
      </c>
      <c r="M720" t="s">
        <v>144</v>
      </c>
      <c r="N720" t="s">
        <v>160</v>
      </c>
      <c r="O720" s="7">
        <v>0</v>
      </c>
      <c r="P720" s="52">
        <f ca="1">Log_2019[[#This Row],[Amount]]/Log_2019[[#This Row],[Split_raw]]*MAX(0,MIN(_xlfn.DAYS(EDATE(P$1,1),Log_2019[[#This Row],[Date]]),Log_2019[[#This Row],[Split_apply]])) - SUM($O720:O720)</f>
        <v>63.75</v>
      </c>
      <c r="Q720" s="52">
        <f ca="1">Log_2019[[#This Row],[Amount]]/Log_2019[[#This Row],[Split_raw]]*MAX(0,MIN(_xlfn.DAYS(EDATE(Q$1,1),Log_2019[[#This Row],[Date]]),Log_2019[[#This Row],[Split_apply]])) - SUM($O720:P720)</f>
        <v>0</v>
      </c>
      <c r="R720" s="52">
        <f ca="1">Log_2019[[#This Row],[Amount]]/Log_2019[[#This Row],[Split_raw]]*MAX(0,MIN(_xlfn.DAYS(EDATE(R$1,1),Log_2019[[#This Row],[Date]]),Log_2019[[#This Row],[Split_apply]])) - SUM($O720:Q720)</f>
        <v>0</v>
      </c>
      <c r="S720" s="52">
        <f ca="1">Log_2019[[#This Row],[Amount]]/Log_2019[[#This Row],[Split_raw]]*MAX(0,MIN(_xlfn.DAYS(EDATE(S$1,1),Log_2019[[#This Row],[Date]]),Log_2019[[#This Row],[Split_apply]])) - SUM($O720:R720)</f>
        <v>0</v>
      </c>
      <c r="T720" s="52">
        <f ca="1">Log_2019[[#This Row],[Amount]]/Log_2019[[#This Row],[Split_raw]]*MAX(0,MIN(_xlfn.DAYS(EDATE(T$1,1),Log_2019[[#This Row],[Date]]),Log_2019[[#This Row],[Split_apply]])) - SUM($O720:S720)</f>
        <v>0</v>
      </c>
      <c r="U720" s="52">
        <f ca="1">Log_2019[[#This Row],[Amount]]/Log_2019[[#This Row],[Split_raw]]*MAX(0,MIN(_xlfn.DAYS(EDATE(U$1,1),Log_2019[[#This Row],[Date]]),Log_2019[[#This Row],[Split_apply]])) - SUM($O720:T720)</f>
        <v>0</v>
      </c>
      <c r="V720" s="52">
        <f ca="1">Log_2019[[#This Row],[Amount]]/Log_2019[[#This Row],[Split_raw]]*MAX(0,MIN(_xlfn.DAYS(EDATE(V$1,1),Log_2019[[#This Row],[Date]]),Log_2019[[#This Row],[Split_apply]])) - SUM($O720:U720)</f>
        <v>0</v>
      </c>
      <c r="W720" s="52">
        <f ca="1">Log_2019[[#This Row],[Amount]]/Log_2019[[#This Row],[Split_raw]]*MAX(0,MIN(_xlfn.DAYS(EDATE(W$1,1),Log_2019[[#This Row],[Date]]),Log_2019[[#This Row],[Split_apply]])) - SUM($O720:V720)</f>
        <v>0</v>
      </c>
      <c r="X720" s="52">
        <f ca="1">Log_2019[[#This Row],[Amount]]/Log_2019[[#This Row],[Split_raw]]*MAX(0,MIN(_xlfn.DAYS(EDATE(X$1,1),Log_2019[[#This Row],[Date]]),Log_2019[[#This Row],[Split_apply]])) - SUM($O720:W720)</f>
        <v>0</v>
      </c>
      <c r="Y720" s="52">
        <f ca="1">Log_2019[[#This Row],[Amount]]/Log_2019[[#This Row],[Split_raw]]*MAX(0,MIN(_xlfn.DAYS(EDATE(Y$1,1),Log_2019[[#This Row],[Date]]),Log_2019[[#This Row],[Split_apply]])) - SUM($O720:X720)</f>
        <v>0</v>
      </c>
      <c r="Z720" s="52">
        <f ca="1">Log_2019[[#This Row],[Amount]]/Log_2019[[#This Row],[Split_raw]]*MAX(0,MIN(_xlfn.DAYS(EDATE(Z$1,1),Log_2019[[#This Row],[Date]]),Log_2019[[#This Row],[Split_apply]])) - SUM($O720:Y720)</f>
        <v>0</v>
      </c>
      <c r="AA720" s="52">
        <f ca="1">Log_2019[[#This Row],[Amount]]/Log_2019[[#This Row],[Split_raw]]*MAX(0,MIN(_xlfn.DAYS(EDATE(AA$1,1),Log_2019[[#This Row],[Date]]),Log_2019[[#This Row],[Split_apply]])) - SUM($O720:Z720)</f>
        <v>0</v>
      </c>
      <c r="AB720" s="54">
        <f ca="1">Log_2019[[#This Row],[Amount]]-SUM(O720:AA720)</f>
        <v>0</v>
      </c>
      <c r="AC720" s="7">
        <f>MAX(0,Log_2019[[#This Row],[Split_raw]] - (EDATE(AA$1,1)-Log_2019[[#This Row],[Date]]))</f>
        <v>0</v>
      </c>
    </row>
    <row r="721" spans="1:29" x14ac:dyDescent="0.25">
      <c r="A721" s="42"/>
      <c r="B721" t="s">
        <v>6</v>
      </c>
      <c r="D721" s="26">
        <v>43495</v>
      </c>
      <c r="F721" t="s">
        <v>345</v>
      </c>
      <c r="G721" t="s">
        <v>12</v>
      </c>
      <c r="H721" s="3">
        <v>-113.04</v>
      </c>
      <c r="I721" s="36">
        <f>IF(Log_2019[[#This Row],[My Category]]="NONTRACKED",0,Log_2019[[#This Row],[Raw Amount]])</f>
        <v>-113.04</v>
      </c>
      <c r="J721" s="17">
        <f>ABS(Log_2019[[#This Row],[Amount]])</f>
        <v>113.04</v>
      </c>
      <c r="K721" s="5">
        <v>1</v>
      </c>
      <c r="L721" s="38">
        <f ca="1">IF(Log_2019[[#This Row],[Date]]&lt;=TODAY(), MIN(Log_2019[[#This Row],[Split_raw]], TODAY()-Log_2019[[#This Row],[Date]]+1), 0)</f>
        <v>1</v>
      </c>
      <c r="M721" t="s">
        <v>12</v>
      </c>
      <c r="N721" t="s">
        <v>158</v>
      </c>
      <c r="O721" s="7">
        <v>0</v>
      </c>
      <c r="P721" s="52">
        <f ca="1">Log_2019[[#This Row],[Amount]]/Log_2019[[#This Row],[Split_raw]]*MAX(0,MIN(_xlfn.DAYS(EDATE(P$1,1),Log_2019[[#This Row],[Date]]),Log_2019[[#This Row],[Split_apply]])) - SUM($O721:O721)</f>
        <v>-113.04</v>
      </c>
      <c r="Q721" s="52">
        <f ca="1">Log_2019[[#This Row],[Amount]]/Log_2019[[#This Row],[Split_raw]]*MAX(0,MIN(_xlfn.DAYS(EDATE(Q$1,1),Log_2019[[#This Row],[Date]]),Log_2019[[#This Row],[Split_apply]])) - SUM($O721:P721)</f>
        <v>0</v>
      </c>
      <c r="R721" s="52">
        <f ca="1">Log_2019[[#This Row],[Amount]]/Log_2019[[#This Row],[Split_raw]]*MAX(0,MIN(_xlfn.DAYS(EDATE(R$1,1),Log_2019[[#This Row],[Date]]),Log_2019[[#This Row],[Split_apply]])) - SUM($O721:Q721)</f>
        <v>0</v>
      </c>
      <c r="S721" s="52">
        <f ca="1">Log_2019[[#This Row],[Amount]]/Log_2019[[#This Row],[Split_raw]]*MAX(0,MIN(_xlfn.DAYS(EDATE(S$1,1),Log_2019[[#This Row],[Date]]),Log_2019[[#This Row],[Split_apply]])) - SUM($O721:R721)</f>
        <v>0</v>
      </c>
      <c r="T721" s="52">
        <f ca="1">Log_2019[[#This Row],[Amount]]/Log_2019[[#This Row],[Split_raw]]*MAX(0,MIN(_xlfn.DAYS(EDATE(T$1,1),Log_2019[[#This Row],[Date]]),Log_2019[[#This Row],[Split_apply]])) - SUM($O721:S721)</f>
        <v>0</v>
      </c>
      <c r="U721" s="52">
        <f ca="1">Log_2019[[#This Row],[Amount]]/Log_2019[[#This Row],[Split_raw]]*MAX(0,MIN(_xlfn.DAYS(EDATE(U$1,1),Log_2019[[#This Row],[Date]]),Log_2019[[#This Row],[Split_apply]])) - SUM($O721:T721)</f>
        <v>0</v>
      </c>
      <c r="V721" s="52">
        <f ca="1">Log_2019[[#This Row],[Amount]]/Log_2019[[#This Row],[Split_raw]]*MAX(0,MIN(_xlfn.DAYS(EDATE(V$1,1),Log_2019[[#This Row],[Date]]),Log_2019[[#This Row],[Split_apply]])) - SUM($O721:U721)</f>
        <v>0</v>
      </c>
      <c r="W721" s="52">
        <f ca="1">Log_2019[[#This Row],[Amount]]/Log_2019[[#This Row],[Split_raw]]*MAX(0,MIN(_xlfn.DAYS(EDATE(W$1,1),Log_2019[[#This Row],[Date]]),Log_2019[[#This Row],[Split_apply]])) - SUM($O721:V721)</f>
        <v>0</v>
      </c>
      <c r="X721" s="52">
        <f ca="1">Log_2019[[#This Row],[Amount]]/Log_2019[[#This Row],[Split_raw]]*MAX(0,MIN(_xlfn.DAYS(EDATE(X$1,1),Log_2019[[#This Row],[Date]]),Log_2019[[#This Row],[Split_apply]])) - SUM($O721:W721)</f>
        <v>0</v>
      </c>
      <c r="Y721" s="52">
        <f ca="1">Log_2019[[#This Row],[Amount]]/Log_2019[[#This Row],[Split_raw]]*MAX(0,MIN(_xlfn.DAYS(EDATE(Y$1,1),Log_2019[[#This Row],[Date]]),Log_2019[[#This Row],[Split_apply]])) - SUM($O721:X721)</f>
        <v>0</v>
      </c>
      <c r="Z721" s="52">
        <f ca="1">Log_2019[[#This Row],[Amount]]/Log_2019[[#This Row],[Split_raw]]*MAX(0,MIN(_xlfn.DAYS(EDATE(Z$1,1),Log_2019[[#This Row],[Date]]),Log_2019[[#This Row],[Split_apply]])) - SUM($O721:Y721)</f>
        <v>0</v>
      </c>
      <c r="AA721" s="52">
        <f ca="1">Log_2019[[#This Row],[Amount]]/Log_2019[[#This Row],[Split_raw]]*MAX(0,MIN(_xlfn.DAYS(EDATE(AA$1,1),Log_2019[[#This Row],[Date]]),Log_2019[[#This Row],[Split_apply]])) - SUM($O721:Z721)</f>
        <v>0</v>
      </c>
      <c r="AB721" s="54">
        <f ca="1">Log_2019[[#This Row],[Amount]]-SUM(O721:AA721)</f>
        <v>0</v>
      </c>
      <c r="AC721" s="7">
        <f>MAX(0,Log_2019[[#This Row],[Split_raw]] - (EDATE(AA$1,1)-Log_2019[[#This Row],[Date]]))</f>
        <v>0</v>
      </c>
    </row>
    <row r="722" spans="1:29" x14ac:dyDescent="0.25">
      <c r="A722" s="42"/>
      <c r="B722" t="s">
        <v>6</v>
      </c>
      <c r="D722" s="26">
        <v>43495</v>
      </c>
      <c r="F722" t="s">
        <v>255</v>
      </c>
      <c r="G722" t="s">
        <v>25</v>
      </c>
      <c r="H722" s="3">
        <v>-4.4400000000000004</v>
      </c>
      <c r="I722" s="36">
        <f>IF(Log_2019[[#This Row],[My Category]]="NONTRACKED",0,Log_2019[[#This Row],[Raw Amount]])</f>
        <v>-4.4400000000000004</v>
      </c>
      <c r="J722" s="17">
        <f>ABS(Log_2019[[#This Row],[Amount]])</f>
        <v>4.4400000000000004</v>
      </c>
      <c r="K722" s="5">
        <v>1</v>
      </c>
      <c r="L722" s="38">
        <f ca="1">IF(Log_2019[[#This Row],[Date]]&lt;=TODAY(), MIN(Log_2019[[#This Row],[Split_raw]], TODAY()-Log_2019[[#This Row],[Date]]+1), 0)</f>
        <v>1</v>
      </c>
      <c r="M722" t="s">
        <v>35</v>
      </c>
      <c r="N722" t="s">
        <v>158</v>
      </c>
      <c r="O722" s="7">
        <v>0</v>
      </c>
      <c r="P722" s="52">
        <f ca="1">Log_2019[[#This Row],[Amount]]/Log_2019[[#This Row],[Split_raw]]*MAX(0,MIN(_xlfn.DAYS(EDATE(P$1,1),Log_2019[[#This Row],[Date]]),Log_2019[[#This Row],[Split_apply]])) - SUM($O722:O722)</f>
        <v>-4.4400000000000004</v>
      </c>
      <c r="Q722" s="52">
        <f ca="1">Log_2019[[#This Row],[Amount]]/Log_2019[[#This Row],[Split_raw]]*MAX(0,MIN(_xlfn.DAYS(EDATE(Q$1,1),Log_2019[[#This Row],[Date]]),Log_2019[[#This Row],[Split_apply]])) - SUM($O722:P722)</f>
        <v>0</v>
      </c>
      <c r="R722" s="52">
        <f ca="1">Log_2019[[#This Row],[Amount]]/Log_2019[[#This Row],[Split_raw]]*MAX(0,MIN(_xlfn.DAYS(EDATE(R$1,1),Log_2019[[#This Row],[Date]]),Log_2019[[#This Row],[Split_apply]])) - SUM($O722:Q722)</f>
        <v>0</v>
      </c>
      <c r="S722" s="52">
        <f ca="1">Log_2019[[#This Row],[Amount]]/Log_2019[[#This Row],[Split_raw]]*MAX(0,MIN(_xlfn.DAYS(EDATE(S$1,1),Log_2019[[#This Row],[Date]]),Log_2019[[#This Row],[Split_apply]])) - SUM($O722:R722)</f>
        <v>0</v>
      </c>
      <c r="T722" s="52">
        <f ca="1">Log_2019[[#This Row],[Amount]]/Log_2019[[#This Row],[Split_raw]]*MAX(0,MIN(_xlfn.DAYS(EDATE(T$1,1),Log_2019[[#This Row],[Date]]),Log_2019[[#This Row],[Split_apply]])) - SUM($O722:S722)</f>
        <v>0</v>
      </c>
      <c r="U722" s="52">
        <f ca="1">Log_2019[[#This Row],[Amount]]/Log_2019[[#This Row],[Split_raw]]*MAX(0,MIN(_xlfn.DAYS(EDATE(U$1,1),Log_2019[[#This Row],[Date]]),Log_2019[[#This Row],[Split_apply]])) - SUM($O722:T722)</f>
        <v>0</v>
      </c>
      <c r="V722" s="52">
        <f ca="1">Log_2019[[#This Row],[Amount]]/Log_2019[[#This Row],[Split_raw]]*MAX(0,MIN(_xlfn.DAYS(EDATE(V$1,1),Log_2019[[#This Row],[Date]]),Log_2019[[#This Row],[Split_apply]])) - SUM($O722:U722)</f>
        <v>0</v>
      </c>
      <c r="W722" s="52">
        <f ca="1">Log_2019[[#This Row],[Amount]]/Log_2019[[#This Row],[Split_raw]]*MAX(0,MIN(_xlfn.DAYS(EDATE(W$1,1),Log_2019[[#This Row],[Date]]),Log_2019[[#This Row],[Split_apply]])) - SUM($O722:V722)</f>
        <v>0</v>
      </c>
      <c r="X722" s="52">
        <f ca="1">Log_2019[[#This Row],[Amount]]/Log_2019[[#This Row],[Split_raw]]*MAX(0,MIN(_xlfn.DAYS(EDATE(X$1,1),Log_2019[[#This Row],[Date]]),Log_2019[[#This Row],[Split_apply]])) - SUM($O722:W722)</f>
        <v>0</v>
      </c>
      <c r="Y722" s="52">
        <f ca="1">Log_2019[[#This Row],[Amount]]/Log_2019[[#This Row],[Split_raw]]*MAX(0,MIN(_xlfn.DAYS(EDATE(Y$1,1),Log_2019[[#This Row],[Date]]),Log_2019[[#This Row],[Split_apply]])) - SUM($O722:X722)</f>
        <v>0</v>
      </c>
      <c r="Z722" s="52">
        <f ca="1">Log_2019[[#This Row],[Amount]]/Log_2019[[#This Row],[Split_raw]]*MAX(0,MIN(_xlfn.DAYS(EDATE(Z$1,1),Log_2019[[#This Row],[Date]]),Log_2019[[#This Row],[Split_apply]])) - SUM($O722:Y722)</f>
        <v>0</v>
      </c>
      <c r="AA722" s="52">
        <f ca="1">Log_2019[[#This Row],[Amount]]/Log_2019[[#This Row],[Split_raw]]*MAX(0,MIN(_xlfn.DAYS(EDATE(AA$1,1),Log_2019[[#This Row],[Date]]),Log_2019[[#This Row],[Split_apply]])) - SUM($O722:Z722)</f>
        <v>0</v>
      </c>
      <c r="AB722" s="54">
        <f ca="1">Log_2019[[#This Row],[Amount]]-SUM(O722:AA722)</f>
        <v>0</v>
      </c>
      <c r="AC722" s="7">
        <f>MAX(0,Log_2019[[#This Row],[Split_raw]] - (EDATE(AA$1,1)-Log_2019[[#This Row],[Date]]))</f>
        <v>0</v>
      </c>
    </row>
    <row r="723" spans="1:29" x14ac:dyDescent="0.25">
      <c r="A723" s="42"/>
      <c r="B723" t="s">
        <v>6</v>
      </c>
      <c r="D723" s="26">
        <v>43495</v>
      </c>
      <c r="F723" t="s">
        <v>510</v>
      </c>
      <c r="G723" t="s">
        <v>25</v>
      </c>
      <c r="H723" s="3">
        <v>-7.11</v>
      </c>
      <c r="I723" s="36">
        <f>IF(Log_2019[[#This Row],[My Category]]="NONTRACKED",0,Log_2019[[#This Row],[Raw Amount]])</f>
        <v>-7.11</v>
      </c>
      <c r="J723" s="17">
        <f>ABS(Log_2019[[#This Row],[Amount]])</f>
        <v>7.11</v>
      </c>
      <c r="K723" s="5">
        <v>1</v>
      </c>
      <c r="L723" s="38">
        <f ca="1">IF(Log_2019[[#This Row],[Date]]&lt;=TODAY(), MIN(Log_2019[[#This Row],[Split_raw]], TODAY()-Log_2019[[#This Row],[Date]]+1), 0)</f>
        <v>1</v>
      </c>
      <c r="M723" t="s">
        <v>35</v>
      </c>
      <c r="N723" t="s">
        <v>158</v>
      </c>
      <c r="O723" s="7">
        <v>0</v>
      </c>
      <c r="P723" s="52">
        <f ca="1">Log_2019[[#This Row],[Amount]]/Log_2019[[#This Row],[Split_raw]]*MAX(0,MIN(_xlfn.DAYS(EDATE(P$1,1),Log_2019[[#This Row],[Date]]),Log_2019[[#This Row],[Split_apply]])) - SUM($O723:O723)</f>
        <v>-7.11</v>
      </c>
      <c r="Q723" s="52">
        <f ca="1">Log_2019[[#This Row],[Amount]]/Log_2019[[#This Row],[Split_raw]]*MAX(0,MIN(_xlfn.DAYS(EDATE(Q$1,1),Log_2019[[#This Row],[Date]]),Log_2019[[#This Row],[Split_apply]])) - SUM($O723:P723)</f>
        <v>0</v>
      </c>
      <c r="R723" s="52">
        <f ca="1">Log_2019[[#This Row],[Amount]]/Log_2019[[#This Row],[Split_raw]]*MAX(0,MIN(_xlfn.DAYS(EDATE(R$1,1),Log_2019[[#This Row],[Date]]),Log_2019[[#This Row],[Split_apply]])) - SUM($O723:Q723)</f>
        <v>0</v>
      </c>
      <c r="S723" s="52">
        <f ca="1">Log_2019[[#This Row],[Amount]]/Log_2019[[#This Row],[Split_raw]]*MAX(0,MIN(_xlfn.DAYS(EDATE(S$1,1),Log_2019[[#This Row],[Date]]),Log_2019[[#This Row],[Split_apply]])) - SUM($O723:R723)</f>
        <v>0</v>
      </c>
      <c r="T723" s="52">
        <f ca="1">Log_2019[[#This Row],[Amount]]/Log_2019[[#This Row],[Split_raw]]*MAX(0,MIN(_xlfn.DAYS(EDATE(T$1,1),Log_2019[[#This Row],[Date]]),Log_2019[[#This Row],[Split_apply]])) - SUM($O723:S723)</f>
        <v>0</v>
      </c>
      <c r="U723" s="52">
        <f ca="1">Log_2019[[#This Row],[Amount]]/Log_2019[[#This Row],[Split_raw]]*MAX(0,MIN(_xlfn.DAYS(EDATE(U$1,1),Log_2019[[#This Row],[Date]]),Log_2019[[#This Row],[Split_apply]])) - SUM($O723:T723)</f>
        <v>0</v>
      </c>
      <c r="V723" s="52">
        <f ca="1">Log_2019[[#This Row],[Amount]]/Log_2019[[#This Row],[Split_raw]]*MAX(0,MIN(_xlfn.DAYS(EDATE(V$1,1),Log_2019[[#This Row],[Date]]),Log_2019[[#This Row],[Split_apply]])) - SUM($O723:U723)</f>
        <v>0</v>
      </c>
      <c r="W723" s="52">
        <f ca="1">Log_2019[[#This Row],[Amount]]/Log_2019[[#This Row],[Split_raw]]*MAX(0,MIN(_xlfn.DAYS(EDATE(W$1,1),Log_2019[[#This Row],[Date]]),Log_2019[[#This Row],[Split_apply]])) - SUM($O723:V723)</f>
        <v>0</v>
      </c>
      <c r="X723" s="52">
        <f ca="1">Log_2019[[#This Row],[Amount]]/Log_2019[[#This Row],[Split_raw]]*MAX(0,MIN(_xlfn.DAYS(EDATE(X$1,1),Log_2019[[#This Row],[Date]]),Log_2019[[#This Row],[Split_apply]])) - SUM($O723:W723)</f>
        <v>0</v>
      </c>
      <c r="Y723" s="52">
        <f ca="1">Log_2019[[#This Row],[Amount]]/Log_2019[[#This Row],[Split_raw]]*MAX(0,MIN(_xlfn.DAYS(EDATE(Y$1,1),Log_2019[[#This Row],[Date]]),Log_2019[[#This Row],[Split_apply]])) - SUM($O723:X723)</f>
        <v>0</v>
      </c>
      <c r="Z723" s="52">
        <f ca="1">Log_2019[[#This Row],[Amount]]/Log_2019[[#This Row],[Split_raw]]*MAX(0,MIN(_xlfn.DAYS(EDATE(Z$1,1),Log_2019[[#This Row],[Date]]),Log_2019[[#This Row],[Split_apply]])) - SUM($O723:Y723)</f>
        <v>0</v>
      </c>
      <c r="AA723" s="52">
        <f ca="1">Log_2019[[#This Row],[Amount]]/Log_2019[[#This Row],[Split_raw]]*MAX(0,MIN(_xlfn.DAYS(EDATE(AA$1,1),Log_2019[[#This Row],[Date]]),Log_2019[[#This Row],[Split_apply]])) - SUM($O723:Z723)</f>
        <v>0</v>
      </c>
      <c r="AB723" s="54">
        <f ca="1">Log_2019[[#This Row],[Amount]]-SUM(O723:AA723)</f>
        <v>0</v>
      </c>
      <c r="AC723" s="7">
        <f>MAX(0,Log_2019[[#This Row],[Split_raw]] - (EDATE(AA$1,1)-Log_2019[[#This Row],[Date]]))</f>
        <v>0</v>
      </c>
    </row>
    <row r="724" spans="1:29" x14ac:dyDescent="0.25">
      <c r="A724" s="42"/>
      <c r="B724" t="s">
        <v>6</v>
      </c>
      <c r="D724" s="26">
        <v>43495</v>
      </c>
      <c r="F724" t="s">
        <v>16</v>
      </c>
      <c r="G724" t="s">
        <v>17</v>
      </c>
      <c r="H724" s="3">
        <f>--0.14</f>
        <v>0.14000000000000001</v>
      </c>
      <c r="I724" s="36">
        <f>IF(Log_2019[[#This Row],[My Category]]="NONTRACKED",0,Log_2019[[#This Row],[Raw Amount]])</f>
        <v>0.14000000000000001</v>
      </c>
      <c r="J724" s="17">
        <f>ABS(Log_2019[[#This Row],[Amount]])</f>
        <v>0.14000000000000001</v>
      </c>
      <c r="K724" s="5">
        <v>1</v>
      </c>
      <c r="L724" s="38">
        <f ca="1">IF(Log_2019[[#This Row],[Date]]&lt;=TODAY(), MIN(Log_2019[[#This Row],[Split_raw]], TODAY()-Log_2019[[#This Row],[Date]]+1), 0)</f>
        <v>1</v>
      </c>
      <c r="M724" t="s">
        <v>144</v>
      </c>
      <c r="N724" t="s">
        <v>160</v>
      </c>
      <c r="O724" s="7">
        <v>0</v>
      </c>
      <c r="P724" s="52">
        <f ca="1">Log_2019[[#This Row],[Amount]]/Log_2019[[#This Row],[Split_raw]]*MAX(0,MIN(_xlfn.DAYS(EDATE(P$1,1),Log_2019[[#This Row],[Date]]),Log_2019[[#This Row],[Split_apply]])) - SUM($O724:O724)</f>
        <v>0.14000000000000001</v>
      </c>
      <c r="Q724" s="52">
        <f ca="1">Log_2019[[#This Row],[Amount]]/Log_2019[[#This Row],[Split_raw]]*MAX(0,MIN(_xlfn.DAYS(EDATE(Q$1,1),Log_2019[[#This Row],[Date]]),Log_2019[[#This Row],[Split_apply]])) - SUM($O724:P724)</f>
        <v>0</v>
      </c>
      <c r="R724" s="52">
        <f ca="1">Log_2019[[#This Row],[Amount]]/Log_2019[[#This Row],[Split_raw]]*MAX(0,MIN(_xlfn.DAYS(EDATE(R$1,1),Log_2019[[#This Row],[Date]]),Log_2019[[#This Row],[Split_apply]])) - SUM($O724:Q724)</f>
        <v>0</v>
      </c>
      <c r="S724" s="52">
        <f ca="1">Log_2019[[#This Row],[Amount]]/Log_2019[[#This Row],[Split_raw]]*MAX(0,MIN(_xlfn.DAYS(EDATE(S$1,1),Log_2019[[#This Row],[Date]]),Log_2019[[#This Row],[Split_apply]])) - SUM($O724:R724)</f>
        <v>0</v>
      </c>
      <c r="T724" s="52">
        <f ca="1">Log_2019[[#This Row],[Amount]]/Log_2019[[#This Row],[Split_raw]]*MAX(0,MIN(_xlfn.DAYS(EDATE(T$1,1),Log_2019[[#This Row],[Date]]),Log_2019[[#This Row],[Split_apply]])) - SUM($O724:S724)</f>
        <v>0</v>
      </c>
      <c r="U724" s="52">
        <f ca="1">Log_2019[[#This Row],[Amount]]/Log_2019[[#This Row],[Split_raw]]*MAX(0,MIN(_xlfn.DAYS(EDATE(U$1,1),Log_2019[[#This Row],[Date]]),Log_2019[[#This Row],[Split_apply]])) - SUM($O724:T724)</f>
        <v>0</v>
      </c>
      <c r="V724" s="52">
        <f ca="1">Log_2019[[#This Row],[Amount]]/Log_2019[[#This Row],[Split_raw]]*MAX(0,MIN(_xlfn.DAYS(EDATE(V$1,1),Log_2019[[#This Row],[Date]]),Log_2019[[#This Row],[Split_apply]])) - SUM($O724:U724)</f>
        <v>0</v>
      </c>
      <c r="W724" s="52">
        <f ca="1">Log_2019[[#This Row],[Amount]]/Log_2019[[#This Row],[Split_raw]]*MAX(0,MIN(_xlfn.DAYS(EDATE(W$1,1),Log_2019[[#This Row],[Date]]),Log_2019[[#This Row],[Split_apply]])) - SUM($O724:V724)</f>
        <v>0</v>
      </c>
      <c r="X724" s="52">
        <f ca="1">Log_2019[[#This Row],[Amount]]/Log_2019[[#This Row],[Split_raw]]*MAX(0,MIN(_xlfn.DAYS(EDATE(X$1,1),Log_2019[[#This Row],[Date]]),Log_2019[[#This Row],[Split_apply]])) - SUM($O724:W724)</f>
        <v>0</v>
      </c>
      <c r="Y724" s="52">
        <f ca="1">Log_2019[[#This Row],[Amount]]/Log_2019[[#This Row],[Split_raw]]*MAX(0,MIN(_xlfn.DAYS(EDATE(Y$1,1),Log_2019[[#This Row],[Date]]),Log_2019[[#This Row],[Split_apply]])) - SUM($O724:X724)</f>
        <v>0</v>
      </c>
      <c r="Z724" s="52">
        <f ca="1">Log_2019[[#This Row],[Amount]]/Log_2019[[#This Row],[Split_raw]]*MAX(0,MIN(_xlfn.DAYS(EDATE(Z$1,1),Log_2019[[#This Row],[Date]]),Log_2019[[#This Row],[Split_apply]])) - SUM($O724:Y724)</f>
        <v>0</v>
      </c>
      <c r="AA724" s="52">
        <f ca="1">Log_2019[[#This Row],[Amount]]/Log_2019[[#This Row],[Split_raw]]*MAX(0,MIN(_xlfn.DAYS(EDATE(AA$1,1),Log_2019[[#This Row],[Date]]),Log_2019[[#This Row],[Split_apply]])) - SUM($O724:Z724)</f>
        <v>0</v>
      </c>
      <c r="AB724" s="54">
        <f ca="1">Log_2019[[#This Row],[Amount]]-SUM(O724:AA724)</f>
        <v>0</v>
      </c>
      <c r="AC724" s="7">
        <f>MAX(0,Log_2019[[#This Row],[Split_raw]] - (EDATE(AA$1,1)-Log_2019[[#This Row],[Date]]))</f>
        <v>0</v>
      </c>
    </row>
    <row r="725" spans="1:29" x14ac:dyDescent="0.25">
      <c r="A725" s="42"/>
      <c r="B725" t="s">
        <v>6</v>
      </c>
      <c r="D725" s="26">
        <v>43494</v>
      </c>
      <c r="E725" t="s">
        <v>519</v>
      </c>
      <c r="F725" t="s">
        <v>511</v>
      </c>
      <c r="G725" t="s">
        <v>19</v>
      </c>
      <c r="H725" s="3">
        <v>-29.19</v>
      </c>
      <c r="I725" s="36">
        <f>IF(Log_2019[[#This Row],[My Category]]="NONTRACKED",0,Log_2019[[#This Row],[Raw Amount]])</f>
        <v>-29.19</v>
      </c>
      <c r="J725" s="17">
        <f>ABS(Log_2019[[#This Row],[Amount]])</f>
        <v>29.19</v>
      </c>
      <c r="K725" s="5">
        <v>1</v>
      </c>
      <c r="L725" s="38">
        <f ca="1">IF(Log_2019[[#This Row],[Date]]&lt;=TODAY(), MIN(Log_2019[[#This Row],[Split_raw]], TODAY()-Log_2019[[#This Row],[Date]]+1), 0)</f>
        <v>1</v>
      </c>
      <c r="M725" t="s">
        <v>39</v>
      </c>
      <c r="N725" t="s">
        <v>158</v>
      </c>
      <c r="O725" s="7">
        <v>0</v>
      </c>
      <c r="P725" s="52">
        <f ca="1">Log_2019[[#This Row],[Amount]]/Log_2019[[#This Row],[Split_raw]]*MAX(0,MIN(_xlfn.DAYS(EDATE(P$1,1),Log_2019[[#This Row],[Date]]),Log_2019[[#This Row],[Split_apply]])) - SUM($O725:O725)</f>
        <v>-29.19</v>
      </c>
      <c r="Q725" s="52">
        <f ca="1">Log_2019[[#This Row],[Amount]]/Log_2019[[#This Row],[Split_raw]]*MAX(0,MIN(_xlfn.DAYS(EDATE(Q$1,1),Log_2019[[#This Row],[Date]]),Log_2019[[#This Row],[Split_apply]])) - SUM($O725:P725)</f>
        <v>0</v>
      </c>
      <c r="R725" s="52">
        <f ca="1">Log_2019[[#This Row],[Amount]]/Log_2019[[#This Row],[Split_raw]]*MAX(0,MIN(_xlfn.DAYS(EDATE(R$1,1),Log_2019[[#This Row],[Date]]),Log_2019[[#This Row],[Split_apply]])) - SUM($O725:Q725)</f>
        <v>0</v>
      </c>
      <c r="S725" s="52">
        <f ca="1">Log_2019[[#This Row],[Amount]]/Log_2019[[#This Row],[Split_raw]]*MAX(0,MIN(_xlfn.DAYS(EDATE(S$1,1),Log_2019[[#This Row],[Date]]),Log_2019[[#This Row],[Split_apply]])) - SUM($O725:R725)</f>
        <v>0</v>
      </c>
      <c r="T725" s="52">
        <f ca="1">Log_2019[[#This Row],[Amount]]/Log_2019[[#This Row],[Split_raw]]*MAX(0,MIN(_xlfn.DAYS(EDATE(T$1,1),Log_2019[[#This Row],[Date]]),Log_2019[[#This Row],[Split_apply]])) - SUM($O725:S725)</f>
        <v>0</v>
      </c>
      <c r="U725" s="52">
        <f ca="1">Log_2019[[#This Row],[Amount]]/Log_2019[[#This Row],[Split_raw]]*MAX(0,MIN(_xlfn.DAYS(EDATE(U$1,1),Log_2019[[#This Row],[Date]]),Log_2019[[#This Row],[Split_apply]])) - SUM($O725:T725)</f>
        <v>0</v>
      </c>
      <c r="V725" s="52">
        <f ca="1">Log_2019[[#This Row],[Amount]]/Log_2019[[#This Row],[Split_raw]]*MAX(0,MIN(_xlfn.DAYS(EDATE(V$1,1),Log_2019[[#This Row],[Date]]),Log_2019[[#This Row],[Split_apply]])) - SUM($O725:U725)</f>
        <v>0</v>
      </c>
      <c r="W725" s="52">
        <f ca="1">Log_2019[[#This Row],[Amount]]/Log_2019[[#This Row],[Split_raw]]*MAX(0,MIN(_xlfn.DAYS(EDATE(W$1,1),Log_2019[[#This Row],[Date]]),Log_2019[[#This Row],[Split_apply]])) - SUM($O725:V725)</f>
        <v>0</v>
      </c>
      <c r="X725" s="52">
        <f ca="1">Log_2019[[#This Row],[Amount]]/Log_2019[[#This Row],[Split_raw]]*MAX(0,MIN(_xlfn.DAYS(EDATE(X$1,1),Log_2019[[#This Row],[Date]]),Log_2019[[#This Row],[Split_apply]])) - SUM($O725:W725)</f>
        <v>0</v>
      </c>
      <c r="Y725" s="52">
        <f ca="1">Log_2019[[#This Row],[Amount]]/Log_2019[[#This Row],[Split_raw]]*MAX(0,MIN(_xlfn.DAYS(EDATE(Y$1,1),Log_2019[[#This Row],[Date]]),Log_2019[[#This Row],[Split_apply]])) - SUM($O725:X725)</f>
        <v>0</v>
      </c>
      <c r="Z725" s="52">
        <f ca="1">Log_2019[[#This Row],[Amount]]/Log_2019[[#This Row],[Split_raw]]*MAX(0,MIN(_xlfn.DAYS(EDATE(Z$1,1),Log_2019[[#This Row],[Date]]),Log_2019[[#This Row],[Split_apply]])) - SUM($O725:Y725)</f>
        <v>0</v>
      </c>
      <c r="AA725" s="52">
        <f ca="1">Log_2019[[#This Row],[Amount]]/Log_2019[[#This Row],[Split_raw]]*MAX(0,MIN(_xlfn.DAYS(EDATE(AA$1,1),Log_2019[[#This Row],[Date]]),Log_2019[[#This Row],[Split_apply]])) - SUM($O725:Z725)</f>
        <v>0</v>
      </c>
      <c r="AB725" s="54">
        <f ca="1">Log_2019[[#This Row],[Amount]]-SUM(O725:AA725)</f>
        <v>0</v>
      </c>
      <c r="AC725" s="7">
        <f>MAX(0,Log_2019[[#This Row],[Split_raw]] - (EDATE(AA$1,1)-Log_2019[[#This Row],[Date]]))</f>
        <v>0</v>
      </c>
    </row>
    <row r="726" spans="1:29" x14ac:dyDescent="0.25">
      <c r="A726" s="42"/>
      <c r="B726" t="s">
        <v>6</v>
      </c>
      <c r="D726" s="26">
        <v>43494</v>
      </c>
      <c r="F726" t="s">
        <v>308</v>
      </c>
      <c r="G726" t="s">
        <v>25</v>
      </c>
      <c r="H726" s="3">
        <v>-10.24</v>
      </c>
      <c r="I726" s="36">
        <f>IF(Log_2019[[#This Row],[My Category]]="NONTRACKED",0,Log_2019[[#This Row],[Raw Amount]])</f>
        <v>-10.24</v>
      </c>
      <c r="J726" s="17">
        <f>ABS(Log_2019[[#This Row],[Amount]])</f>
        <v>10.24</v>
      </c>
      <c r="K726" s="5">
        <v>1</v>
      </c>
      <c r="L726" s="38">
        <f ca="1">IF(Log_2019[[#This Row],[Date]]&lt;=TODAY(), MIN(Log_2019[[#This Row],[Split_raw]], TODAY()-Log_2019[[#This Row],[Date]]+1), 0)</f>
        <v>1</v>
      </c>
      <c r="M726" t="s">
        <v>35</v>
      </c>
      <c r="N726" t="s">
        <v>158</v>
      </c>
      <c r="O726" s="7">
        <v>0</v>
      </c>
      <c r="P726" s="52">
        <f ca="1">Log_2019[[#This Row],[Amount]]/Log_2019[[#This Row],[Split_raw]]*MAX(0,MIN(_xlfn.DAYS(EDATE(P$1,1),Log_2019[[#This Row],[Date]]),Log_2019[[#This Row],[Split_apply]])) - SUM($O726:O726)</f>
        <v>-10.24</v>
      </c>
      <c r="Q726" s="52">
        <f ca="1">Log_2019[[#This Row],[Amount]]/Log_2019[[#This Row],[Split_raw]]*MAX(0,MIN(_xlfn.DAYS(EDATE(Q$1,1),Log_2019[[#This Row],[Date]]),Log_2019[[#This Row],[Split_apply]])) - SUM($O726:P726)</f>
        <v>0</v>
      </c>
      <c r="R726" s="52">
        <f ca="1">Log_2019[[#This Row],[Amount]]/Log_2019[[#This Row],[Split_raw]]*MAX(0,MIN(_xlfn.DAYS(EDATE(R$1,1),Log_2019[[#This Row],[Date]]),Log_2019[[#This Row],[Split_apply]])) - SUM($O726:Q726)</f>
        <v>0</v>
      </c>
      <c r="S726" s="52">
        <f ca="1">Log_2019[[#This Row],[Amount]]/Log_2019[[#This Row],[Split_raw]]*MAX(0,MIN(_xlfn.DAYS(EDATE(S$1,1),Log_2019[[#This Row],[Date]]),Log_2019[[#This Row],[Split_apply]])) - SUM($O726:R726)</f>
        <v>0</v>
      </c>
      <c r="T726" s="52">
        <f ca="1">Log_2019[[#This Row],[Amount]]/Log_2019[[#This Row],[Split_raw]]*MAX(0,MIN(_xlfn.DAYS(EDATE(T$1,1),Log_2019[[#This Row],[Date]]),Log_2019[[#This Row],[Split_apply]])) - SUM($O726:S726)</f>
        <v>0</v>
      </c>
      <c r="U726" s="52">
        <f ca="1">Log_2019[[#This Row],[Amount]]/Log_2019[[#This Row],[Split_raw]]*MAX(0,MIN(_xlfn.DAYS(EDATE(U$1,1),Log_2019[[#This Row],[Date]]),Log_2019[[#This Row],[Split_apply]])) - SUM($O726:T726)</f>
        <v>0</v>
      </c>
      <c r="V726" s="52">
        <f ca="1">Log_2019[[#This Row],[Amount]]/Log_2019[[#This Row],[Split_raw]]*MAX(0,MIN(_xlfn.DAYS(EDATE(V$1,1),Log_2019[[#This Row],[Date]]),Log_2019[[#This Row],[Split_apply]])) - SUM($O726:U726)</f>
        <v>0</v>
      </c>
      <c r="W726" s="52">
        <f ca="1">Log_2019[[#This Row],[Amount]]/Log_2019[[#This Row],[Split_raw]]*MAX(0,MIN(_xlfn.DAYS(EDATE(W$1,1),Log_2019[[#This Row],[Date]]),Log_2019[[#This Row],[Split_apply]])) - SUM($O726:V726)</f>
        <v>0</v>
      </c>
      <c r="X726" s="52">
        <f ca="1">Log_2019[[#This Row],[Amount]]/Log_2019[[#This Row],[Split_raw]]*MAX(0,MIN(_xlfn.DAYS(EDATE(X$1,1),Log_2019[[#This Row],[Date]]),Log_2019[[#This Row],[Split_apply]])) - SUM($O726:W726)</f>
        <v>0</v>
      </c>
      <c r="Y726" s="52">
        <f ca="1">Log_2019[[#This Row],[Amount]]/Log_2019[[#This Row],[Split_raw]]*MAX(0,MIN(_xlfn.DAYS(EDATE(Y$1,1),Log_2019[[#This Row],[Date]]),Log_2019[[#This Row],[Split_apply]])) - SUM($O726:X726)</f>
        <v>0</v>
      </c>
      <c r="Z726" s="52">
        <f ca="1">Log_2019[[#This Row],[Amount]]/Log_2019[[#This Row],[Split_raw]]*MAX(0,MIN(_xlfn.DAYS(EDATE(Z$1,1),Log_2019[[#This Row],[Date]]),Log_2019[[#This Row],[Split_apply]])) - SUM($O726:Y726)</f>
        <v>0</v>
      </c>
      <c r="AA726" s="52">
        <f ca="1">Log_2019[[#This Row],[Amount]]/Log_2019[[#This Row],[Split_raw]]*MAX(0,MIN(_xlfn.DAYS(EDATE(AA$1,1),Log_2019[[#This Row],[Date]]),Log_2019[[#This Row],[Split_apply]])) - SUM($O726:Z726)</f>
        <v>0</v>
      </c>
      <c r="AB726" s="54">
        <f ca="1">Log_2019[[#This Row],[Amount]]-SUM(O726:AA726)</f>
        <v>0</v>
      </c>
      <c r="AC726" s="7">
        <f>MAX(0,Log_2019[[#This Row],[Split_raw]] - (EDATE(AA$1,1)-Log_2019[[#This Row],[Date]]))</f>
        <v>0</v>
      </c>
    </row>
    <row r="727" spans="1:29" x14ac:dyDescent="0.25">
      <c r="A727" s="42"/>
      <c r="B727" t="s">
        <v>6</v>
      </c>
      <c r="D727" s="26">
        <v>43493</v>
      </c>
      <c r="F727" t="s">
        <v>306</v>
      </c>
      <c r="G727" t="s">
        <v>25</v>
      </c>
      <c r="H727" s="3">
        <v>-10.25</v>
      </c>
      <c r="I727" s="36">
        <f>IF(Log_2019[[#This Row],[My Category]]="NONTRACKED",0,Log_2019[[#This Row],[Raw Amount]])</f>
        <v>-10.25</v>
      </c>
      <c r="J727" s="17">
        <f>ABS(Log_2019[[#This Row],[Amount]])</f>
        <v>10.25</v>
      </c>
      <c r="K727" s="5">
        <v>1</v>
      </c>
      <c r="L727" s="38">
        <f ca="1">IF(Log_2019[[#This Row],[Date]]&lt;=TODAY(), MIN(Log_2019[[#This Row],[Split_raw]], TODAY()-Log_2019[[#This Row],[Date]]+1), 0)</f>
        <v>1</v>
      </c>
      <c r="M727" t="s">
        <v>35</v>
      </c>
      <c r="N727" t="s">
        <v>158</v>
      </c>
      <c r="O727" s="7">
        <v>0</v>
      </c>
      <c r="P727" s="52">
        <f ca="1">Log_2019[[#This Row],[Amount]]/Log_2019[[#This Row],[Split_raw]]*MAX(0,MIN(_xlfn.DAYS(EDATE(P$1,1),Log_2019[[#This Row],[Date]]),Log_2019[[#This Row],[Split_apply]])) - SUM($O727:O727)</f>
        <v>-10.25</v>
      </c>
      <c r="Q727" s="52">
        <f ca="1">Log_2019[[#This Row],[Amount]]/Log_2019[[#This Row],[Split_raw]]*MAX(0,MIN(_xlfn.DAYS(EDATE(Q$1,1),Log_2019[[#This Row],[Date]]),Log_2019[[#This Row],[Split_apply]])) - SUM($O727:P727)</f>
        <v>0</v>
      </c>
      <c r="R727" s="52">
        <f ca="1">Log_2019[[#This Row],[Amount]]/Log_2019[[#This Row],[Split_raw]]*MAX(0,MIN(_xlfn.DAYS(EDATE(R$1,1),Log_2019[[#This Row],[Date]]),Log_2019[[#This Row],[Split_apply]])) - SUM($O727:Q727)</f>
        <v>0</v>
      </c>
      <c r="S727" s="52">
        <f ca="1">Log_2019[[#This Row],[Amount]]/Log_2019[[#This Row],[Split_raw]]*MAX(0,MIN(_xlfn.DAYS(EDATE(S$1,1),Log_2019[[#This Row],[Date]]),Log_2019[[#This Row],[Split_apply]])) - SUM($O727:R727)</f>
        <v>0</v>
      </c>
      <c r="T727" s="52">
        <f ca="1">Log_2019[[#This Row],[Amount]]/Log_2019[[#This Row],[Split_raw]]*MAX(0,MIN(_xlfn.DAYS(EDATE(T$1,1),Log_2019[[#This Row],[Date]]),Log_2019[[#This Row],[Split_apply]])) - SUM($O727:S727)</f>
        <v>0</v>
      </c>
      <c r="U727" s="52">
        <f ca="1">Log_2019[[#This Row],[Amount]]/Log_2019[[#This Row],[Split_raw]]*MAX(0,MIN(_xlfn.DAYS(EDATE(U$1,1),Log_2019[[#This Row],[Date]]),Log_2019[[#This Row],[Split_apply]])) - SUM($O727:T727)</f>
        <v>0</v>
      </c>
      <c r="V727" s="52">
        <f ca="1">Log_2019[[#This Row],[Amount]]/Log_2019[[#This Row],[Split_raw]]*MAX(0,MIN(_xlfn.DAYS(EDATE(V$1,1),Log_2019[[#This Row],[Date]]),Log_2019[[#This Row],[Split_apply]])) - SUM($O727:U727)</f>
        <v>0</v>
      </c>
      <c r="W727" s="52">
        <f ca="1">Log_2019[[#This Row],[Amount]]/Log_2019[[#This Row],[Split_raw]]*MAX(0,MIN(_xlfn.DAYS(EDATE(W$1,1),Log_2019[[#This Row],[Date]]),Log_2019[[#This Row],[Split_apply]])) - SUM($O727:V727)</f>
        <v>0</v>
      </c>
      <c r="X727" s="52">
        <f ca="1">Log_2019[[#This Row],[Amount]]/Log_2019[[#This Row],[Split_raw]]*MAX(0,MIN(_xlfn.DAYS(EDATE(X$1,1),Log_2019[[#This Row],[Date]]),Log_2019[[#This Row],[Split_apply]])) - SUM($O727:W727)</f>
        <v>0</v>
      </c>
      <c r="Y727" s="52">
        <f ca="1">Log_2019[[#This Row],[Amount]]/Log_2019[[#This Row],[Split_raw]]*MAX(0,MIN(_xlfn.DAYS(EDATE(Y$1,1),Log_2019[[#This Row],[Date]]),Log_2019[[#This Row],[Split_apply]])) - SUM($O727:X727)</f>
        <v>0</v>
      </c>
      <c r="Z727" s="52">
        <f ca="1">Log_2019[[#This Row],[Amount]]/Log_2019[[#This Row],[Split_raw]]*MAX(0,MIN(_xlfn.DAYS(EDATE(Z$1,1),Log_2019[[#This Row],[Date]]),Log_2019[[#This Row],[Split_apply]])) - SUM($O727:Y727)</f>
        <v>0</v>
      </c>
      <c r="AA727" s="52">
        <f ca="1">Log_2019[[#This Row],[Amount]]/Log_2019[[#This Row],[Split_raw]]*MAX(0,MIN(_xlfn.DAYS(EDATE(AA$1,1),Log_2019[[#This Row],[Date]]),Log_2019[[#This Row],[Split_apply]])) - SUM($O727:Z727)</f>
        <v>0</v>
      </c>
      <c r="AB727" s="54">
        <f ca="1">Log_2019[[#This Row],[Amount]]-SUM(O727:AA727)</f>
        <v>0</v>
      </c>
      <c r="AC727" s="7">
        <f>MAX(0,Log_2019[[#This Row],[Split_raw]] - (EDATE(AA$1,1)-Log_2019[[#This Row],[Date]]))</f>
        <v>0</v>
      </c>
    </row>
    <row r="728" spans="1:29" x14ac:dyDescent="0.25">
      <c r="A728" s="42"/>
      <c r="B728" t="s">
        <v>6</v>
      </c>
      <c r="D728" s="26">
        <v>43493</v>
      </c>
      <c r="F728" t="s">
        <v>255</v>
      </c>
      <c r="G728" t="s">
        <v>25</v>
      </c>
      <c r="H728" s="3">
        <v>-5.15</v>
      </c>
      <c r="I728" s="36">
        <f>IF(Log_2019[[#This Row],[My Category]]="NONTRACKED",0,Log_2019[[#This Row],[Raw Amount]])</f>
        <v>-5.15</v>
      </c>
      <c r="J728" s="17">
        <f>ABS(Log_2019[[#This Row],[Amount]])</f>
        <v>5.15</v>
      </c>
      <c r="K728" s="5">
        <v>1</v>
      </c>
      <c r="L728" s="38">
        <f ca="1">IF(Log_2019[[#This Row],[Date]]&lt;=TODAY(), MIN(Log_2019[[#This Row],[Split_raw]], TODAY()-Log_2019[[#This Row],[Date]]+1), 0)</f>
        <v>1</v>
      </c>
      <c r="M728" t="s">
        <v>35</v>
      </c>
      <c r="N728" t="s">
        <v>158</v>
      </c>
      <c r="O728" s="7">
        <v>0</v>
      </c>
      <c r="P728" s="52">
        <f ca="1">Log_2019[[#This Row],[Amount]]/Log_2019[[#This Row],[Split_raw]]*MAX(0,MIN(_xlfn.DAYS(EDATE(P$1,1),Log_2019[[#This Row],[Date]]),Log_2019[[#This Row],[Split_apply]])) - SUM($O728:O728)</f>
        <v>-5.15</v>
      </c>
      <c r="Q728" s="52">
        <f ca="1">Log_2019[[#This Row],[Amount]]/Log_2019[[#This Row],[Split_raw]]*MAX(0,MIN(_xlfn.DAYS(EDATE(Q$1,1),Log_2019[[#This Row],[Date]]),Log_2019[[#This Row],[Split_apply]])) - SUM($O728:P728)</f>
        <v>0</v>
      </c>
      <c r="R728" s="52">
        <f ca="1">Log_2019[[#This Row],[Amount]]/Log_2019[[#This Row],[Split_raw]]*MAX(0,MIN(_xlfn.DAYS(EDATE(R$1,1),Log_2019[[#This Row],[Date]]),Log_2019[[#This Row],[Split_apply]])) - SUM($O728:Q728)</f>
        <v>0</v>
      </c>
      <c r="S728" s="52">
        <f ca="1">Log_2019[[#This Row],[Amount]]/Log_2019[[#This Row],[Split_raw]]*MAX(0,MIN(_xlfn.DAYS(EDATE(S$1,1),Log_2019[[#This Row],[Date]]),Log_2019[[#This Row],[Split_apply]])) - SUM($O728:R728)</f>
        <v>0</v>
      </c>
      <c r="T728" s="52">
        <f ca="1">Log_2019[[#This Row],[Amount]]/Log_2019[[#This Row],[Split_raw]]*MAX(0,MIN(_xlfn.DAYS(EDATE(T$1,1),Log_2019[[#This Row],[Date]]),Log_2019[[#This Row],[Split_apply]])) - SUM($O728:S728)</f>
        <v>0</v>
      </c>
      <c r="U728" s="52">
        <f ca="1">Log_2019[[#This Row],[Amount]]/Log_2019[[#This Row],[Split_raw]]*MAX(0,MIN(_xlfn.DAYS(EDATE(U$1,1),Log_2019[[#This Row],[Date]]),Log_2019[[#This Row],[Split_apply]])) - SUM($O728:T728)</f>
        <v>0</v>
      </c>
      <c r="V728" s="52">
        <f ca="1">Log_2019[[#This Row],[Amount]]/Log_2019[[#This Row],[Split_raw]]*MAX(0,MIN(_xlfn.DAYS(EDATE(V$1,1),Log_2019[[#This Row],[Date]]),Log_2019[[#This Row],[Split_apply]])) - SUM($O728:U728)</f>
        <v>0</v>
      </c>
      <c r="W728" s="52">
        <f ca="1">Log_2019[[#This Row],[Amount]]/Log_2019[[#This Row],[Split_raw]]*MAX(0,MIN(_xlfn.DAYS(EDATE(W$1,1),Log_2019[[#This Row],[Date]]),Log_2019[[#This Row],[Split_apply]])) - SUM($O728:V728)</f>
        <v>0</v>
      </c>
      <c r="X728" s="52">
        <f ca="1">Log_2019[[#This Row],[Amount]]/Log_2019[[#This Row],[Split_raw]]*MAX(0,MIN(_xlfn.DAYS(EDATE(X$1,1),Log_2019[[#This Row],[Date]]),Log_2019[[#This Row],[Split_apply]])) - SUM($O728:W728)</f>
        <v>0</v>
      </c>
      <c r="Y728" s="52">
        <f ca="1">Log_2019[[#This Row],[Amount]]/Log_2019[[#This Row],[Split_raw]]*MAX(0,MIN(_xlfn.DAYS(EDATE(Y$1,1),Log_2019[[#This Row],[Date]]),Log_2019[[#This Row],[Split_apply]])) - SUM($O728:X728)</f>
        <v>0</v>
      </c>
      <c r="Z728" s="52">
        <f ca="1">Log_2019[[#This Row],[Amount]]/Log_2019[[#This Row],[Split_raw]]*MAX(0,MIN(_xlfn.DAYS(EDATE(Z$1,1),Log_2019[[#This Row],[Date]]),Log_2019[[#This Row],[Split_apply]])) - SUM($O728:Y728)</f>
        <v>0</v>
      </c>
      <c r="AA728" s="52">
        <f ca="1">Log_2019[[#This Row],[Amount]]/Log_2019[[#This Row],[Split_raw]]*MAX(0,MIN(_xlfn.DAYS(EDATE(AA$1,1),Log_2019[[#This Row],[Date]]),Log_2019[[#This Row],[Split_apply]])) - SUM($O728:Z728)</f>
        <v>0</v>
      </c>
      <c r="AB728" s="54">
        <f ca="1">Log_2019[[#This Row],[Amount]]-SUM(O728:AA728)</f>
        <v>0</v>
      </c>
      <c r="AC728" s="7">
        <f>MAX(0,Log_2019[[#This Row],[Split_raw]] - (EDATE(AA$1,1)-Log_2019[[#This Row],[Date]]))</f>
        <v>0</v>
      </c>
    </row>
    <row r="729" spans="1:29" x14ac:dyDescent="0.25">
      <c r="A729" s="42"/>
      <c r="B729" t="s">
        <v>6</v>
      </c>
      <c r="D729" s="26">
        <v>43493</v>
      </c>
      <c r="E729" t="s">
        <v>523</v>
      </c>
      <c r="F729" t="s">
        <v>246</v>
      </c>
      <c r="G729" t="s">
        <v>143</v>
      </c>
      <c r="H729" s="3">
        <v>-8.65</v>
      </c>
      <c r="I729" s="36">
        <f>IF(Log_2019[[#This Row],[My Category]]="NONTRACKED",0,Log_2019[[#This Row],[Raw Amount]])</f>
        <v>-8.65</v>
      </c>
      <c r="J729" s="17">
        <f>ABS(Log_2019[[#This Row],[Amount]])</f>
        <v>8.65</v>
      </c>
      <c r="K729" s="5">
        <v>1</v>
      </c>
      <c r="L729" s="38">
        <f ca="1">IF(Log_2019[[#This Row],[Date]]&lt;=TODAY(), MIN(Log_2019[[#This Row],[Split_raw]], TODAY()-Log_2019[[#This Row],[Date]]+1), 0)</f>
        <v>1</v>
      </c>
      <c r="M729" t="s">
        <v>39</v>
      </c>
      <c r="N729" t="s">
        <v>160</v>
      </c>
      <c r="O729" s="7">
        <v>0</v>
      </c>
      <c r="P729" s="52">
        <f ca="1">Log_2019[[#This Row],[Amount]]/Log_2019[[#This Row],[Split_raw]]*MAX(0,MIN(_xlfn.DAYS(EDATE(P$1,1),Log_2019[[#This Row],[Date]]),Log_2019[[#This Row],[Split_apply]])) - SUM($O729:O729)</f>
        <v>-8.65</v>
      </c>
      <c r="Q729" s="52">
        <f ca="1">Log_2019[[#This Row],[Amount]]/Log_2019[[#This Row],[Split_raw]]*MAX(0,MIN(_xlfn.DAYS(EDATE(Q$1,1),Log_2019[[#This Row],[Date]]),Log_2019[[#This Row],[Split_apply]])) - SUM($O729:P729)</f>
        <v>0</v>
      </c>
      <c r="R729" s="52">
        <f ca="1">Log_2019[[#This Row],[Amount]]/Log_2019[[#This Row],[Split_raw]]*MAX(0,MIN(_xlfn.DAYS(EDATE(R$1,1),Log_2019[[#This Row],[Date]]),Log_2019[[#This Row],[Split_apply]])) - SUM($O729:Q729)</f>
        <v>0</v>
      </c>
      <c r="S729" s="52">
        <f ca="1">Log_2019[[#This Row],[Amount]]/Log_2019[[#This Row],[Split_raw]]*MAX(0,MIN(_xlfn.DAYS(EDATE(S$1,1),Log_2019[[#This Row],[Date]]),Log_2019[[#This Row],[Split_apply]])) - SUM($O729:R729)</f>
        <v>0</v>
      </c>
      <c r="T729" s="52">
        <f ca="1">Log_2019[[#This Row],[Amount]]/Log_2019[[#This Row],[Split_raw]]*MAX(0,MIN(_xlfn.DAYS(EDATE(T$1,1),Log_2019[[#This Row],[Date]]),Log_2019[[#This Row],[Split_apply]])) - SUM($O729:S729)</f>
        <v>0</v>
      </c>
      <c r="U729" s="52">
        <f ca="1">Log_2019[[#This Row],[Amount]]/Log_2019[[#This Row],[Split_raw]]*MAX(0,MIN(_xlfn.DAYS(EDATE(U$1,1),Log_2019[[#This Row],[Date]]),Log_2019[[#This Row],[Split_apply]])) - SUM($O729:T729)</f>
        <v>0</v>
      </c>
      <c r="V729" s="52">
        <f ca="1">Log_2019[[#This Row],[Amount]]/Log_2019[[#This Row],[Split_raw]]*MAX(0,MIN(_xlfn.DAYS(EDATE(V$1,1),Log_2019[[#This Row],[Date]]),Log_2019[[#This Row],[Split_apply]])) - SUM($O729:U729)</f>
        <v>0</v>
      </c>
      <c r="W729" s="52">
        <f ca="1">Log_2019[[#This Row],[Amount]]/Log_2019[[#This Row],[Split_raw]]*MAX(0,MIN(_xlfn.DAYS(EDATE(W$1,1),Log_2019[[#This Row],[Date]]),Log_2019[[#This Row],[Split_apply]])) - SUM($O729:V729)</f>
        <v>0</v>
      </c>
      <c r="X729" s="52">
        <f ca="1">Log_2019[[#This Row],[Amount]]/Log_2019[[#This Row],[Split_raw]]*MAX(0,MIN(_xlfn.DAYS(EDATE(X$1,1),Log_2019[[#This Row],[Date]]),Log_2019[[#This Row],[Split_apply]])) - SUM($O729:W729)</f>
        <v>0</v>
      </c>
      <c r="Y729" s="52">
        <f ca="1">Log_2019[[#This Row],[Amount]]/Log_2019[[#This Row],[Split_raw]]*MAX(0,MIN(_xlfn.DAYS(EDATE(Y$1,1),Log_2019[[#This Row],[Date]]),Log_2019[[#This Row],[Split_apply]])) - SUM($O729:X729)</f>
        <v>0</v>
      </c>
      <c r="Z729" s="52">
        <f ca="1">Log_2019[[#This Row],[Amount]]/Log_2019[[#This Row],[Split_raw]]*MAX(0,MIN(_xlfn.DAYS(EDATE(Z$1,1),Log_2019[[#This Row],[Date]]),Log_2019[[#This Row],[Split_apply]])) - SUM($O729:Y729)</f>
        <v>0</v>
      </c>
      <c r="AA729" s="52">
        <f ca="1">Log_2019[[#This Row],[Amount]]/Log_2019[[#This Row],[Split_raw]]*MAX(0,MIN(_xlfn.DAYS(EDATE(AA$1,1),Log_2019[[#This Row],[Date]]),Log_2019[[#This Row],[Split_apply]])) - SUM($O729:Z729)</f>
        <v>0</v>
      </c>
      <c r="AB729" s="54">
        <f ca="1">Log_2019[[#This Row],[Amount]]-SUM(O729:AA729)</f>
        <v>0</v>
      </c>
      <c r="AC729" s="7">
        <f>MAX(0,Log_2019[[#This Row],[Split_raw]] - (EDATE(AA$1,1)-Log_2019[[#This Row],[Date]]))</f>
        <v>0</v>
      </c>
    </row>
    <row r="730" spans="1:29" x14ac:dyDescent="0.25">
      <c r="A730" s="42"/>
      <c r="B730" t="s">
        <v>6</v>
      </c>
      <c r="D730" s="26">
        <v>43490</v>
      </c>
      <c r="F730" t="s">
        <v>255</v>
      </c>
      <c r="G730" t="s">
        <v>25</v>
      </c>
      <c r="H730" s="3">
        <v>-21.31</v>
      </c>
      <c r="I730" s="36">
        <f>IF(Log_2019[[#This Row],[My Category]]="NONTRACKED",0,Log_2019[[#This Row],[Raw Amount]])</f>
        <v>-21.31</v>
      </c>
      <c r="J730" s="17">
        <f>ABS(Log_2019[[#This Row],[Amount]])</f>
        <v>21.31</v>
      </c>
      <c r="K730" s="5">
        <v>1</v>
      </c>
      <c r="L730" s="38">
        <f ca="1">IF(Log_2019[[#This Row],[Date]]&lt;=TODAY(), MIN(Log_2019[[#This Row],[Split_raw]], TODAY()-Log_2019[[#This Row],[Date]]+1), 0)</f>
        <v>1</v>
      </c>
      <c r="M730" t="s">
        <v>52</v>
      </c>
      <c r="N730" t="s">
        <v>158</v>
      </c>
      <c r="O730" s="7">
        <v>0</v>
      </c>
      <c r="P730" s="52">
        <f ca="1">Log_2019[[#This Row],[Amount]]/Log_2019[[#This Row],[Split_raw]]*MAX(0,MIN(_xlfn.DAYS(EDATE(P$1,1),Log_2019[[#This Row],[Date]]),Log_2019[[#This Row],[Split_apply]])) - SUM($O730:O730)</f>
        <v>-21.31</v>
      </c>
      <c r="Q730" s="52">
        <f ca="1">Log_2019[[#This Row],[Amount]]/Log_2019[[#This Row],[Split_raw]]*MAX(0,MIN(_xlfn.DAYS(EDATE(Q$1,1),Log_2019[[#This Row],[Date]]),Log_2019[[#This Row],[Split_apply]])) - SUM($O730:P730)</f>
        <v>0</v>
      </c>
      <c r="R730" s="52">
        <f ca="1">Log_2019[[#This Row],[Amount]]/Log_2019[[#This Row],[Split_raw]]*MAX(0,MIN(_xlfn.DAYS(EDATE(R$1,1),Log_2019[[#This Row],[Date]]),Log_2019[[#This Row],[Split_apply]])) - SUM($O730:Q730)</f>
        <v>0</v>
      </c>
      <c r="S730" s="52">
        <f ca="1">Log_2019[[#This Row],[Amount]]/Log_2019[[#This Row],[Split_raw]]*MAX(0,MIN(_xlfn.DAYS(EDATE(S$1,1),Log_2019[[#This Row],[Date]]),Log_2019[[#This Row],[Split_apply]])) - SUM($O730:R730)</f>
        <v>0</v>
      </c>
      <c r="T730" s="52">
        <f ca="1">Log_2019[[#This Row],[Amount]]/Log_2019[[#This Row],[Split_raw]]*MAX(0,MIN(_xlfn.DAYS(EDATE(T$1,1),Log_2019[[#This Row],[Date]]),Log_2019[[#This Row],[Split_apply]])) - SUM($O730:S730)</f>
        <v>0</v>
      </c>
      <c r="U730" s="52">
        <f ca="1">Log_2019[[#This Row],[Amount]]/Log_2019[[#This Row],[Split_raw]]*MAX(0,MIN(_xlfn.DAYS(EDATE(U$1,1),Log_2019[[#This Row],[Date]]),Log_2019[[#This Row],[Split_apply]])) - SUM($O730:T730)</f>
        <v>0</v>
      </c>
      <c r="V730" s="52">
        <f ca="1">Log_2019[[#This Row],[Amount]]/Log_2019[[#This Row],[Split_raw]]*MAX(0,MIN(_xlfn.DAYS(EDATE(V$1,1),Log_2019[[#This Row],[Date]]),Log_2019[[#This Row],[Split_apply]])) - SUM($O730:U730)</f>
        <v>0</v>
      </c>
      <c r="W730" s="52">
        <f ca="1">Log_2019[[#This Row],[Amount]]/Log_2019[[#This Row],[Split_raw]]*MAX(0,MIN(_xlfn.DAYS(EDATE(W$1,1),Log_2019[[#This Row],[Date]]),Log_2019[[#This Row],[Split_apply]])) - SUM($O730:V730)</f>
        <v>0</v>
      </c>
      <c r="X730" s="52">
        <f ca="1">Log_2019[[#This Row],[Amount]]/Log_2019[[#This Row],[Split_raw]]*MAX(0,MIN(_xlfn.DAYS(EDATE(X$1,1),Log_2019[[#This Row],[Date]]),Log_2019[[#This Row],[Split_apply]])) - SUM($O730:W730)</f>
        <v>0</v>
      </c>
      <c r="Y730" s="52">
        <f ca="1">Log_2019[[#This Row],[Amount]]/Log_2019[[#This Row],[Split_raw]]*MAX(0,MIN(_xlfn.DAYS(EDATE(Y$1,1),Log_2019[[#This Row],[Date]]),Log_2019[[#This Row],[Split_apply]])) - SUM($O730:X730)</f>
        <v>0</v>
      </c>
      <c r="Z730" s="52">
        <f ca="1">Log_2019[[#This Row],[Amount]]/Log_2019[[#This Row],[Split_raw]]*MAX(0,MIN(_xlfn.DAYS(EDATE(Z$1,1),Log_2019[[#This Row],[Date]]),Log_2019[[#This Row],[Split_apply]])) - SUM($O730:Y730)</f>
        <v>0</v>
      </c>
      <c r="AA730" s="52">
        <f ca="1">Log_2019[[#This Row],[Amount]]/Log_2019[[#This Row],[Split_raw]]*MAX(0,MIN(_xlfn.DAYS(EDATE(AA$1,1),Log_2019[[#This Row],[Date]]),Log_2019[[#This Row],[Split_apply]])) - SUM($O730:Z730)</f>
        <v>0</v>
      </c>
      <c r="AB730" s="54">
        <f ca="1">Log_2019[[#This Row],[Amount]]-SUM(O730:AA730)</f>
        <v>0</v>
      </c>
      <c r="AC730" s="7">
        <f>MAX(0,Log_2019[[#This Row],[Split_raw]] - (EDATE(AA$1,1)-Log_2019[[#This Row],[Date]]))</f>
        <v>0</v>
      </c>
    </row>
    <row r="731" spans="1:29" x14ac:dyDescent="0.25">
      <c r="A731" s="42"/>
      <c r="B731" t="s">
        <v>6</v>
      </c>
      <c r="D731" s="26">
        <v>43490</v>
      </c>
      <c r="F731" t="s">
        <v>327</v>
      </c>
      <c r="G731" t="s">
        <v>25</v>
      </c>
      <c r="H731" s="3">
        <v>-10.67</v>
      </c>
      <c r="I731" s="36">
        <f>IF(Log_2019[[#This Row],[My Category]]="NONTRACKED",0,Log_2019[[#This Row],[Raw Amount]])</f>
        <v>-10.67</v>
      </c>
      <c r="J731" s="17">
        <f>ABS(Log_2019[[#This Row],[Amount]])</f>
        <v>10.67</v>
      </c>
      <c r="K731" s="5">
        <v>1</v>
      </c>
      <c r="L731" s="38">
        <f ca="1">IF(Log_2019[[#This Row],[Date]]&lt;=TODAY(), MIN(Log_2019[[#This Row],[Split_raw]], TODAY()-Log_2019[[#This Row],[Date]]+1), 0)</f>
        <v>1</v>
      </c>
      <c r="M731" t="s">
        <v>35</v>
      </c>
      <c r="N731" t="s">
        <v>158</v>
      </c>
      <c r="O731" s="7">
        <v>0</v>
      </c>
      <c r="P731" s="52">
        <f ca="1">Log_2019[[#This Row],[Amount]]/Log_2019[[#This Row],[Split_raw]]*MAX(0,MIN(_xlfn.DAYS(EDATE(P$1,1),Log_2019[[#This Row],[Date]]),Log_2019[[#This Row],[Split_apply]])) - SUM($O731:O731)</f>
        <v>-10.67</v>
      </c>
      <c r="Q731" s="52">
        <f ca="1">Log_2019[[#This Row],[Amount]]/Log_2019[[#This Row],[Split_raw]]*MAX(0,MIN(_xlfn.DAYS(EDATE(Q$1,1),Log_2019[[#This Row],[Date]]),Log_2019[[#This Row],[Split_apply]])) - SUM($O731:P731)</f>
        <v>0</v>
      </c>
      <c r="R731" s="52">
        <f ca="1">Log_2019[[#This Row],[Amount]]/Log_2019[[#This Row],[Split_raw]]*MAX(0,MIN(_xlfn.DAYS(EDATE(R$1,1),Log_2019[[#This Row],[Date]]),Log_2019[[#This Row],[Split_apply]])) - SUM($O731:Q731)</f>
        <v>0</v>
      </c>
      <c r="S731" s="52">
        <f ca="1">Log_2019[[#This Row],[Amount]]/Log_2019[[#This Row],[Split_raw]]*MAX(0,MIN(_xlfn.DAYS(EDATE(S$1,1),Log_2019[[#This Row],[Date]]),Log_2019[[#This Row],[Split_apply]])) - SUM($O731:R731)</f>
        <v>0</v>
      </c>
      <c r="T731" s="52">
        <f ca="1">Log_2019[[#This Row],[Amount]]/Log_2019[[#This Row],[Split_raw]]*MAX(0,MIN(_xlfn.DAYS(EDATE(T$1,1),Log_2019[[#This Row],[Date]]),Log_2019[[#This Row],[Split_apply]])) - SUM($O731:S731)</f>
        <v>0</v>
      </c>
      <c r="U731" s="52">
        <f ca="1">Log_2019[[#This Row],[Amount]]/Log_2019[[#This Row],[Split_raw]]*MAX(0,MIN(_xlfn.DAYS(EDATE(U$1,1),Log_2019[[#This Row],[Date]]),Log_2019[[#This Row],[Split_apply]])) - SUM($O731:T731)</f>
        <v>0</v>
      </c>
      <c r="V731" s="52">
        <f ca="1">Log_2019[[#This Row],[Amount]]/Log_2019[[#This Row],[Split_raw]]*MAX(0,MIN(_xlfn.DAYS(EDATE(V$1,1),Log_2019[[#This Row],[Date]]),Log_2019[[#This Row],[Split_apply]])) - SUM($O731:U731)</f>
        <v>0</v>
      </c>
      <c r="W731" s="52">
        <f ca="1">Log_2019[[#This Row],[Amount]]/Log_2019[[#This Row],[Split_raw]]*MAX(0,MIN(_xlfn.DAYS(EDATE(W$1,1),Log_2019[[#This Row],[Date]]),Log_2019[[#This Row],[Split_apply]])) - SUM($O731:V731)</f>
        <v>0</v>
      </c>
      <c r="X731" s="52">
        <f ca="1">Log_2019[[#This Row],[Amount]]/Log_2019[[#This Row],[Split_raw]]*MAX(0,MIN(_xlfn.DAYS(EDATE(X$1,1),Log_2019[[#This Row],[Date]]),Log_2019[[#This Row],[Split_apply]])) - SUM($O731:W731)</f>
        <v>0</v>
      </c>
      <c r="Y731" s="52">
        <f ca="1">Log_2019[[#This Row],[Amount]]/Log_2019[[#This Row],[Split_raw]]*MAX(0,MIN(_xlfn.DAYS(EDATE(Y$1,1),Log_2019[[#This Row],[Date]]),Log_2019[[#This Row],[Split_apply]])) - SUM($O731:X731)</f>
        <v>0</v>
      </c>
      <c r="Z731" s="52">
        <f ca="1">Log_2019[[#This Row],[Amount]]/Log_2019[[#This Row],[Split_raw]]*MAX(0,MIN(_xlfn.DAYS(EDATE(Z$1,1),Log_2019[[#This Row],[Date]]),Log_2019[[#This Row],[Split_apply]])) - SUM($O731:Y731)</f>
        <v>0</v>
      </c>
      <c r="AA731" s="52">
        <f ca="1">Log_2019[[#This Row],[Amount]]/Log_2019[[#This Row],[Split_raw]]*MAX(0,MIN(_xlfn.DAYS(EDATE(AA$1,1),Log_2019[[#This Row],[Date]]),Log_2019[[#This Row],[Split_apply]])) - SUM($O731:Z731)</f>
        <v>0</v>
      </c>
      <c r="AB731" s="54">
        <f ca="1">Log_2019[[#This Row],[Amount]]-SUM(O731:AA731)</f>
        <v>0</v>
      </c>
      <c r="AC731" s="7">
        <f>MAX(0,Log_2019[[#This Row],[Split_raw]] - (EDATE(AA$1,1)-Log_2019[[#This Row],[Date]]))</f>
        <v>0</v>
      </c>
    </row>
    <row r="732" spans="1:29" x14ac:dyDescent="0.25">
      <c r="A732" s="42"/>
      <c r="B732" t="s">
        <v>6</v>
      </c>
      <c r="D732" s="26">
        <v>43489</v>
      </c>
      <c r="F732" t="s">
        <v>270</v>
      </c>
      <c r="G732" t="s">
        <v>25</v>
      </c>
      <c r="H732" s="3">
        <v>-10.210000000000001</v>
      </c>
      <c r="I732" s="36">
        <f>IF(Log_2019[[#This Row],[My Category]]="NONTRACKED",0,Log_2019[[#This Row],[Raw Amount]])</f>
        <v>-10.210000000000001</v>
      </c>
      <c r="J732" s="17">
        <f>ABS(Log_2019[[#This Row],[Amount]])</f>
        <v>10.210000000000001</v>
      </c>
      <c r="K732" s="5">
        <v>1</v>
      </c>
      <c r="L732" s="38">
        <f ca="1">IF(Log_2019[[#This Row],[Date]]&lt;=TODAY(), MIN(Log_2019[[#This Row],[Split_raw]], TODAY()-Log_2019[[#This Row],[Date]]+1), 0)</f>
        <v>1</v>
      </c>
      <c r="M732" t="s">
        <v>35</v>
      </c>
      <c r="N732" t="s">
        <v>158</v>
      </c>
      <c r="O732" s="7">
        <v>0</v>
      </c>
      <c r="P732" s="52">
        <f ca="1">Log_2019[[#This Row],[Amount]]/Log_2019[[#This Row],[Split_raw]]*MAX(0,MIN(_xlfn.DAYS(EDATE(P$1,1),Log_2019[[#This Row],[Date]]),Log_2019[[#This Row],[Split_apply]])) - SUM($O732:O732)</f>
        <v>-10.210000000000001</v>
      </c>
      <c r="Q732" s="52">
        <f ca="1">Log_2019[[#This Row],[Amount]]/Log_2019[[#This Row],[Split_raw]]*MAX(0,MIN(_xlfn.DAYS(EDATE(Q$1,1),Log_2019[[#This Row],[Date]]),Log_2019[[#This Row],[Split_apply]])) - SUM($O732:P732)</f>
        <v>0</v>
      </c>
      <c r="R732" s="52">
        <f ca="1">Log_2019[[#This Row],[Amount]]/Log_2019[[#This Row],[Split_raw]]*MAX(0,MIN(_xlfn.DAYS(EDATE(R$1,1),Log_2019[[#This Row],[Date]]),Log_2019[[#This Row],[Split_apply]])) - SUM($O732:Q732)</f>
        <v>0</v>
      </c>
      <c r="S732" s="52">
        <f ca="1">Log_2019[[#This Row],[Amount]]/Log_2019[[#This Row],[Split_raw]]*MAX(0,MIN(_xlfn.DAYS(EDATE(S$1,1),Log_2019[[#This Row],[Date]]),Log_2019[[#This Row],[Split_apply]])) - SUM($O732:R732)</f>
        <v>0</v>
      </c>
      <c r="T732" s="52">
        <f ca="1">Log_2019[[#This Row],[Amount]]/Log_2019[[#This Row],[Split_raw]]*MAX(0,MIN(_xlfn.DAYS(EDATE(T$1,1),Log_2019[[#This Row],[Date]]),Log_2019[[#This Row],[Split_apply]])) - SUM($O732:S732)</f>
        <v>0</v>
      </c>
      <c r="U732" s="52">
        <f ca="1">Log_2019[[#This Row],[Amount]]/Log_2019[[#This Row],[Split_raw]]*MAX(0,MIN(_xlfn.DAYS(EDATE(U$1,1),Log_2019[[#This Row],[Date]]),Log_2019[[#This Row],[Split_apply]])) - SUM($O732:T732)</f>
        <v>0</v>
      </c>
      <c r="V732" s="52">
        <f ca="1">Log_2019[[#This Row],[Amount]]/Log_2019[[#This Row],[Split_raw]]*MAX(0,MIN(_xlfn.DAYS(EDATE(V$1,1),Log_2019[[#This Row],[Date]]),Log_2019[[#This Row],[Split_apply]])) - SUM($O732:U732)</f>
        <v>0</v>
      </c>
      <c r="W732" s="52">
        <f ca="1">Log_2019[[#This Row],[Amount]]/Log_2019[[#This Row],[Split_raw]]*MAX(0,MIN(_xlfn.DAYS(EDATE(W$1,1),Log_2019[[#This Row],[Date]]),Log_2019[[#This Row],[Split_apply]])) - SUM($O732:V732)</f>
        <v>0</v>
      </c>
      <c r="X732" s="52">
        <f ca="1">Log_2019[[#This Row],[Amount]]/Log_2019[[#This Row],[Split_raw]]*MAX(0,MIN(_xlfn.DAYS(EDATE(X$1,1),Log_2019[[#This Row],[Date]]),Log_2019[[#This Row],[Split_apply]])) - SUM($O732:W732)</f>
        <v>0</v>
      </c>
      <c r="Y732" s="52">
        <f ca="1">Log_2019[[#This Row],[Amount]]/Log_2019[[#This Row],[Split_raw]]*MAX(0,MIN(_xlfn.DAYS(EDATE(Y$1,1),Log_2019[[#This Row],[Date]]),Log_2019[[#This Row],[Split_apply]])) - SUM($O732:X732)</f>
        <v>0</v>
      </c>
      <c r="Z732" s="52">
        <f ca="1">Log_2019[[#This Row],[Amount]]/Log_2019[[#This Row],[Split_raw]]*MAX(0,MIN(_xlfn.DAYS(EDATE(Z$1,1),Log_2019[[#This Row],[Date]]),Log_2019[[#This Row],[Split_apply]])) - SUM($O732:Y732)</f>
        <v>0</v>
      </c>
      <c r="AA732" s="52">
        <f ca="1">Log_2019[[#This Row],[Amount]]/Log_2019[[#This Row],[Split_raw]]*MAX(0,MIN(_xlfn.DAYS(EDATE(AA$1,1),Log_2019[[#This Row],[Date]]),Log_2019[[#This Row],[Split_apply]])) - SUM($O732:Z732)</f>
        <v>0</v>
      </c>
      <c r="AB732" s="54">
        <f ca="1">Log_2019[[#This Row],[Amount]]-SUM(O732:AA732)</f>
        <v>0</v>
      </c>
      <c r="AC732" s="7">
        <f>MAX(0,Log_2019[[#This Row],[Split_raw]] - (EDATE(AA$1,1)-Log_2019[[#This Row],[Date]]))</f>
        <v>0</v>
      </c>
    </row>
    <row r="733" spans="1:29" x14ac:dyDescent="0.25">
      <c r="A733" s="42"/>
      <c r="B733" t="s">
        <v>6</v>
      </c>
      <c r="D733" s="26">
        <v>43488</v>
      </c>
      <c r="F733" t="s">
        <v>184</v>
      </c>
      <c r="G733" t="s">
        <v>11</v>
      </c>
      <c r="H733" s="3">
        <v>-11.95</v>
      </c>
      <c r="I733" s="36">
        <f>IF(Log_2019[[#This Row],[My Category]]="NONTRACKED",0,Log_2019[[#This Row],[Raw Amount]])</f>
        <v>-11.95</v>
      </c>
      <c r="J733" s="17">
        <f>ABS(Log_2019[[#This Row],[Amount]])</f>
        <v>11.95</v>
      </c>
      <c r="K733" s="5">
        <v>1</v>
      </c>
      <c r="L733" s="38">
        <f ca="1">IF(Log_2019[[#This Row],[Date]]&lt;=TODAY(), MIN(Log_2019[[#This Row],[Split_raw]], TODAY()-Log_2019[[#This Row],[Date]]+1), 0)</f>
        <v>1</v>
      </c>
      <c r="M733" t="s">
        <v>12</v>
      </c>
      <c r="N733" t="s">
        <v>158</v>
      </c>
      <c r="O733" s="7">
        <v>0</v>
      </c>
      <c r="P733" s="52">
        <f ca="1">Log_2019[[#This Row],[Amount]]/Log_2019[[#This Row],[Split_raw]]*MAX(0,MIN(_xlfn.DAYS(EDATE(P$1,1),Log_2019[[#This Row],[Date]]),Log_2019[[#This Row],[Split_apply]])) - SUM($O733:O733)</f>
        <v>-11.95</v>
      </c>
      <c r="Q733" s="52">
        <f ca="1">Log_2019[[#This Row],[Amount]]/Log_2019[[#This Row],[Split_raw]]*MAX(0,MIN(_xlfn.DAYS(EDATE(Q$1,1),Log_2019[[#This Row],[Date]]),Log_2019[[#This Row],[Split_apply]])) - SUM($O733:P733)</f>
        <v>0</v>
      </c>
      <c r="R733" s="52">
        <f ca="1">Log_2019[[#This Row],[Amount]]/Log_2019[[#This Row],[Split_raw]]*MAX(0,MIN(_xlfn.DAYS(EDATE(R$1,1),Log_2019[[#This Row],[Date]]),Log_2019[[#This Row],[Split_apply]])) - SUM($O733:Q733)</f>
        <v>0</v>
      </c>
      <c r="S733" s="52">
        <f ca="1">Log_2019[[#This Row],[Amount]]/Log_2019[[#This Row],[Split_raw]]*MAX(0,MIN(_xlfn.DAYS(EDATE(S$1,1),Log_2019[[#This Row],[Date]]),Log_2019[[#This Row],[Split_apply]])) - SUM($O733:R733)</f>
        <v>0</v>
      </c>
      <c r="T733" s="52">
        <f ca="1">Log_2019[[#This Row],[Amount]]/Log_2019[[#This Row],[Split_raw]]*MAX(0,MIN(_xlfn.DAYS(EDATE(T$1,1),Log_2019[[#This Row],[Date]]),Log_2019[[#This Row],[Split_apply]])) - SUM($O733:S733)</f>
        <v>0</v>
      </c>
      <c r="U733" s="52">
        <f ca="1">Log_2019[[#This Row],[Amount]]/Log_2019[[#This Row],[Split_raw]]*MAX(0,MIN(_xlfn.DAYS(EDATE(U$1,1),Log_2019[[#This Row],[Date]]),Log_2019[[#This Row],[Split_apply]])) - SUM($O733:T733)</f>
        <v>0</v>
      </c>
      <c r="V733" s="52">
        <f ca="1">Log_2019[[#This Row],[Amount]]/Log_2019[[#This Row],[Split_raw]]*MAX(0,MIN(_xlfn.DAYS(EDATE(V$1,1),Log_2019[[#This Row],[Date]]),Log_2019[[#This Row],[Split_apply]])) - SUM($O733:U733)</f>
        <v>0</v>
      </c>
      <c r="W733" s="52">
        <f ca="1">Log_2019[[#This Row],[Amount]]/Log_2019[[#This Row],[Split_raw]]*MAX(0,MIN(_xlfn.DAYS(EDATE(W$1,1),Log_2019[[#This Row],[Date]]),Log_2019[[#This Row],[Split_apply]])) - SUM($O733:V733)</f>
        <v>0</v>
      </c>
      <c r="X733" s="52">
        <f ca="1">Log_2019[[#This Row],[Amount]]/Log_2019[[#This Row],[Split_raw]]*MAX(0,MIN(_xlfn.DAYS(EDATE(X$1,1),Log_2019[[#This Row],[Date]]),Log_2019[[#This Row],[Split_apply]])) - SUM($O733:W733)</f>
        <v>0</v>
      </c>
      <c r="Y733" s="52">
        <f ca="1">Log_2019[[#This Row],[Amount]]/Log_2019[[#This Row],[Split_raw]]*MAX(0,MIN(_xlfn.DAYS(EDATE(Y$1,1),Log_2019[[#This Row],[Date]]),Log_2019[[#This Row],[Split_apply]])) - SUM($O733:X733)</f>
        <v>0</v>
      </c>
      <c r="Z733" s="52">
        <f ca="1">Log_2019[[#This Row],[Amount]]/Log_2019[[#This Row],[Split_raw]]*MAX(0,MIN(_xlfn.DAYS(EDATE(Z$1,1),Log_2019[[#This Row],[Date]]),Log_2019[[#This Row],[Split_apply]])) - SUM($O733:Y733)</f>
        <v>0</v>
      </c>
      <c r="AA733" s="52">
        <f ca="1">Log_2019[[#This Row],[Amount]]/Log_2019[[#This Row],[Split_raw]]*MAX(0,MIN(_xlfn.DAYS(EDATE(AA$1,1),Log_2019[[#This Row],[Date]]),Log_2019[[#This Row],[Split_apply]])) - SUM($O733:Z733)</f>
        <v>0</v>
      </c>
      <c r="AB733" s="54">
        <f ca="1">Log_2019[[#This Row],[Amount]]-SUM(O733:AA733)</f>
        <v>0</v>
      </c>
      <c r="AC733" s="7">
        <f>MAX(0,Log_2019[[#This Row],[Split_raw]] - (EDATE(AA$1,1)-Log_2019[[#This Row],[Date]]))</f>
        <v>0</v>
      </c>
    </row>
    <row r="734" spans="1:29" x14ac:dyDescent="0.25">
      <c r="A734" s="42"/>
      <c r="B734" t="s">
        <v>6</v>
      </c>
      <c r="D734" s="26">
        <v>43488</v>
      </c>
      <c r="F734" t="s">
        <v>512</v>
      </c>
      <c r="G734" t="s">
        <v>13</v>
      </c>
      <c r="H734" s="3">
        <v>-8.6999999999999993</v>
      </c>
      <c r="I734" s="36">
        <f>IF(Log_2019[[#This Row],[My Category]]="NONTRACKED",0,Log_2019[[#This Row],[Raw Amount]])</f>
        <v>-8.6999999999999993</v>
      </c>
      <c r="J734" s="17">
        <f>ABS(Log_2019[[#This Row],[Amount]])</f>
        <v>8.6999999999999993</v>
      </c>
      <c r="K734" s="5">
        <v>1</v>
      </c>
      <c r="L734" s="38">
        <f ca="1">IF(Log_2019[[#This Row],[Date]]&lt;=TODAY(), MIN(Log_2019[[#This Row],[Split_raw]], TODAY()-Log_2019[[#This Row],[Date]]+1), 0)</f>
        <v>1</v>
      </c>
      <c r="M734" t="s">
        <v>145</v>
      </c>
      <c r="N734" t="s">
        <v>158</v>
      </c>
      <c r="O734" s="7">
        <v>0</v>
      </c>
      <c r="P734" s="52">
        <f ca="1">Log_2019[[#This Row],[Amount]]/Log_2019[[#This Row],[Split_raw]]*MAX(0,MIN(_xlfn.DAYS(EDATE(P$1,1),Log_2019[[#This Row],[Date]]),Log_2019[[#This Row],[Split_apply]])) - SUM($O734:O734)</f>
        <v>-8.6999999999999993</v>
      </c>
      <c r="Q734" s="52">
        <f ca="1">Log_2019[[#This Row],[Amount]]/Log_2019[[#This Row],[Split_raw]]*MAX(0,MIN(_xlfn.DAYS(EDATE(Q$1,1),Log_2019[[#This Row],[Date]]),Log_2019[[#This Row],[Split_apply]])) - SUM($O734:P734)</f>
        <v>0</v>
      </c>
      <c r="R734" s="52">
        <f ca="1">Log_2019[[#This Row],[Amount]]/Log_2019[[#This Row],[Split_raw]]*MAX(0,MIN(_xlfn.DAYS(EDATE(R$1,1),Log_2019[[#This Row],[Date]]),Log_2019[[#This Row],[Split_apply]])) - SUM($O734:Q734)</f>
        <v>0</v>
      </c>
      <c r="S734" s="52">
        <f ca="1">Log_2019[[#This Row],[Amount]]/Log_2019[[#This Row],[Split_raw]]*MAX(0,MIN(_xlfn.DAYS(EDATE(S$1,1),Log_2019[[#This Row],[Date]]),Log_2019[[#This Row],[Split_apply]])) - SUM($O734:R734)</f>
        <v>0</v>
      </c>
      <c r="T734" s="52">
        <f ca="1">Log_2019[[#This Row],[Amount]]/Log_2019[[#This Row],[Split_raw]]*MAX(0,MIN(_xlfn.DAYS(EDATE(T$1,1),Log_2019[[#This Row],[Date]]),Log_2019[[#This Row],[Split_apply]])) - SUM($O734:S734)</f>
        <v>0</v>
      </c>
      <c r="U734" s="52">
        <f ca="1">Log_2019[[#This Row],[Amount]]/Log_2019[[#This Row],[Split_raw]]*MAX(0,MIN(_xlfn.DAYS(EDATE(U$1,1),Log_2019[[#This Row],[Date]]),Log_2019[[#This Row],[Split_apply]])) - SUM($O734:T734)</f>
        <v>0</v>
      </c>
      <c r="V734" s="52">
        <f ca="1">Log_2019[[#This Row],[Amount]]/Log_2019[[#This Row],[Split_raw]]*MAX(0,MIN(_xlfn.DAYS(EDATE(V$1,1),Log_2019[[#This Row],[Date]]),Log_2019[[#This Row],[Split_apply]])) - SUM($O734:U734)</f>
        <v>0</v>
      </c>
      <c r="W734" s="52">
        <f ca="1">Log_2019[[#This Row],[Amount]]/Log_2019[[#This Row],[Split_raw]]*MAX(0,MIN(_xlfn.DAYS(EDATE(W$1,1),Log_2019[[#This Row],[Date]]),Log_2019[[#This Row],[Split_apply]])) - SUM($O734:V734)</f>
        <v>0</v>
      </c>
      <c r="X734" s="52">
        <f ca="1">Log_2019[[#This Row],[Amount]]/Log_2019[[#This Row],[Split_raw]]*MAX(0,MIN(_xlfn.DAYS(EDATE(X$1,1),Log_2019[[#This Row],[Date]]),Log_2019[[#This Row],[Split_apply]])) - SUM($O734:W734)</f>
        <v>0</v>
      </c>
      <c r="Y734" s="52">
        <f ca="1">Log_2019[[#This Row],[Amount]]/Log_2019[[#This Row],[Split_raw]]*MAX(0,MIN(_xlfn.DAYS(EDATE(Y$1,1),Log_2019[[#This Row],[Date]]),Log_2019[[#This Row],[Split_apply]])) - SUM($O734:X734)</f>
        <v>0</v>
      </c>
      <c r="Z734" s="52">
        <f ca="1">Log_2019[[#This Row],[Amount]]/Log_2019[[#This Row],[Split_raw]]*MAX(0,MIN(_xlfn.DAYS(EDATE(Z$1,1),Log_2019[[#This Row],[Date]]),Log_2019[[#This Row],[Split_apply]])) - SUM($O734:Y734)</f>
        <v>0</v>
      </c>
      <c r="AA734" s="52">
        <f ca="1">Log_2019[[#This Row],[Amount]]/Log_2019[[#This Row],[Split_raw]]*MAX(0,MIN(_xlfn.DAYS(EDATE(AA$1,1),Log_2019[[#This Row],[Date]]),Log_2019[[#This Row],[Split_apply]])) - SUM($O734:Z734)</f>
        <v>0</v>
      </c>
      <c r="AB734" s="54">
        <f ca="1">Log_2019[[#This Row],[Amount]]-SUM(O734:AA734)</f>
        <v>0</v>
      </c>
      <c r="AC734" s="7">
        <f>MAX(0,Log_2019[[#This Row],[Split_raw]] - (EDATE(AA$1,1)-Log_2019[[#This Row],[Date]]))</f>
        <v>0</v>
      </c>
    </row>
    <row r="735" spans="1:29" x14ac:dyDescent="0.25">
      <c r="A735" s="42"/>
      <c r="B735" t="s">
        <v>6</v>
      </c>
      <c r="D735" s="26">
        <v>43488</v>
      </c>
      <c r="F735" t="s">
        <v>255</v>
      </c>
      <c r="G735" t="s">
        <v>25</v>
      </c>
      <c r="H735" s="3">
        <v>-11.04</v>
      </c>
      <c r="I735" s="36">
        <f>IF(Log_2019[[#This Row],[My Category]]="NONTRACKED",0,Log_2019[[#This Row],[Raw Amount]])</f>
        <v>-11.04</v>
      </c>
      <c r="J735" s="17">
        <f>ABS(Log_2019[[#This Row],[Amount]])</f>
        <v>11.04</v>
      </c>
      <c r="K735" s="5">
        <v>1</v>
      </c>
      <c r="L735" s="38">
        <f ca="1">IF(Log_2019[[#This Row],[Date]]&lt;=TODAY(), MIN(Log_2019[[#This Row],[Split_raw]], TODAY()-Log_2019[[#This Row],[Date]]+1), 0)</f>
        <v>1</v>
      </c>
      <c r="M735" t="s">
        <v>35</v>
      </c>
      <c r="N735" t="s">
        <v>158</v>
      </c>
      <c r="O735" s="7">
        <v>0</v>
      </c>
      <c r="P735" s="52">
        <f ca="1">Log_2019[[#This Row],[Amount]]/Log_2019[[#This Row],[Split_raw]]*MAX(0,MIN(_xlfn.DAYS(EDATE(P$1,1),Log_2019[[#This Row],[Date]]),Log_2019[[#This Row],[Split_apply]])) - SUM($O735:O735)</f>
        <v>-11.04</v>
      </c>
      <c r="Q735" s="52">
        <f ca="1">Log_2019[[#This Row],[Amount]]/Log_2019[[#This Row],[Split_raw]]*MAX(0,MIN(_xlfn.DAYS(EDATE(Q$1,1),Log_2019[[#This Row],[Date]]),Log_2019[[#This Row],[Split_apply]])) - SUM($O735:P735)</f>
        <v>0</v>
      </c>
      <c r="R735" s="52">
        <f ca="1">Log_2019[[#This Row],[Amount]]/Log_2019[[#This Row],[Split_raw]]*MAX(0,MIN(_xlfn.DAYS(EDATE(R$1,1),Log_2019[[#This Row],[Date]]),Log_2019[[#This Row],[Split_apply]])) - SUM($O735:Q735)</f>
        <v>0</v>
      </c>
      <c r="S735" s="52">
        <f ca="1">Log_2019[[#This Row],[Amount]]/Log_2019[[#This Row],[Split_raw]]*MAX(0,MIN(_xlfn.DAYS(EDATE(S$1,1),Log_2019[[#This Row],[Date]]),Log_2019[[#This Row],[Split_apply]])) - SUM($O735:R735)</f>
        <v>0</v>
      </c>
      <c r="T735" s="52">
        <f ca="1">Log_2019[[#This Row],[Amount]]/Log_2019[[#This Row],[Split_raw]]*MAX(0,MIN(_xlfn.DAYS(EDATE(T$1,1),Log_2019[[#This Row],[Date]]),Log_2019[[#This Row],[Split_apply]])) - SUM($O735:S735)</f>
        <v>0</v>
      </c>
      <c r="U735" s="52">
        <f ca="1">Log_2019[[#This Row],[Amount]]/Log_2019[[#This Row],[Split_raw]]*MAX(0,MIN(_xlfn.DAYS(EDATE(U$1,1),Log_2019[[#This Row],[Date]]),Log_2019[[#This Row],[Split_apply]])) - SUM($O735:T735)</f>
        <v>0</v>
      </c>
      <c r="V735" s="52">
        <f ca="1">Log_2019[[#This Row],[Amount]]/Log_2019[[#This Row],[Split_raw]]*MAX(0,MIN(_xlfn.DAYS(EDATE(V$1,1),Log_2019[[#This Row],[Date]]),Log_2019[[#This Row],[Split_apply]])) - SUM($O735:U735)</f>
        <v>0</v>
      </c>
      <c r="W735" s="52">
        <f ca="1">Log_2019[[#This Row],[Amount]]/Log_2019[[#This Row],[Split_raw]]*MAX(0,MIN(_xlfn.DAYS(EDATE(W$1,1),Log_2019[[#This Row],[Date]]),Log_2019[[#This Row],[Split_apply]])) - SUM($O735:V735)</f>
        <v>0</v>
      </c>
      <c r="X735" s="52">
        <f ca="1">Log_2019[[#This Row],[Amount]]/Log_2019[[#This Row],[Split_raw]]*MAX(0,MIN(_xlfn.DAYS(EDATE(X$1,1),Log_2019[[#This Row],[Date]]),Log_2019[[#This Row],[Split_apply]])) - SUM($O735:W735)</f>
        <v>0</v>
      </c>
      <c r="Y735" s="52">
        <f ca="1">Log_2019[[#This Row],[Amount]]/Log_2019[[#This Row],[Split_raw]]*MAX(0,MIN(_xlfn.DAYS(EDATE(Y$1,1),Log_2019[[#This Row],[Date]]),Log_2019[[#This Row],[Split_apply]])) - SUM($O735:X735)</f>
        <v>0</v>
      </c>
      <c r="Z735" s="52">
        <f ca="1">Log_2019[[#This Row],[Amount]]/Log_2019[[#This Row],[Split_raw]]*MAX(0,MIN(_xlfn.DAYS(EDATE(Z$1,1),Log_2019[[#This Row],[Date]]),Log_2019[[#This Row],[Split_apply]])) - SUM($O735:Y735)</f>
        <v>0</v>
      </c>
      <c r="AA735" s="52">
        <f ca="1">Log_2019[[#This Row],[Amount]]/Log_2019[[#This Row],[Split_raw]]*MAX(0,MIN(_xlfn.DAYS(EDATE(AA$1,1),Log_2019[[#This Row],[Date]]),Log_2019[[#This Row],[Split_apply]])) - SUM($O735:Z735)</f>
        <v>0</v>
      </c>
      <c r="AB735" s="54">
        <f ca="1">Log_2019[[#This Row],[Amount]]-SUM(O735:AA735)</f>
        <v>0</v>
      </c>
      <c r="AC735" s="7">
        <f>MAX(0,Log_2019[[#This Row],[Split_raw]] - (EDATE(AA$1,1)-Log_2019[[#This Row],[Date]]))</f>
        <v>0</v>
      </c>
    </row>
    <row r="736" spans="1:29" x14ac:dyDescent="0.25">
      <c r="A736" s="42"/>
      <c r="B736" t="s">
        <v>6</v>
      </c>
      <c r="D736" s="26">
        <v>43487</v>
      </c>
      <c r="E736" t="s">
        <v>522</v>
      </c>
      <c r="F736" t="s">
        <v>513</v>
      </c>
      <c r="G736" t="s">
        <v>11</v>
      </c>
      <c r="H736" s="3">
        <v>-47.69</v>
      </c>
      <c r="I736" s="36">
        <f>IF(Log_2019[[#This Row],[My Category]]="NONTRACKED",0,Log_2019[[#This Row],[Raw Amount]])</f>
        <v>-47.69</v>
      </c>
      <c r="J736" s="17">
        <f>ABS(Log_2019[[#This Row],[Amount]])</f>
        <v>47.69</v>
      </c>
      <c r="K736" s="5">
        <v>1</v>
      </c>
      <c r="L736" s="38">
        <f ca="1">IF(Log_2019[[#This Row],[Date]]&lt;=TODAY(), MIN(Log_2019[[#This Row],[Split_raw]], TODAY()-Log_2019[[#This Row],[Date]]+1), 0)</f>
        <v>1</v>
      </c>
      <c r="M736" t="s">
        <v>145</v>
      </c>
      <c r="N736" t="s">
        <v>158</v>
      </c>
      <c r="O736" s="7">
        <v>0</v>
      </c>
      <c r="P736" s="52">
        <f ca="1">Log_2019[[#This Row],[Amount]]/Log_2019[[#This Row],[Split_raw]]*MAX(0,MIN(_xlfn.DAYS(EDATE(P$1,1),Log_2019[[#This Row],[Date]]),Log_2019[[#This Row],[Split_apply]])) - SUM($O736:O736)</f>
        <v>-47.69</v>
      </c>
      <c r="Q736" s="52">
        <f ca="1">Log_2019[[#This Row],[Amount]]/Log_2019[[#This Row],[Split_raw]]*MAX(0,MIN(_xlfn.DAYS(EDATE(Q$1,1),Log_2019[[#This Row],[Date]]),Log_2019[[#This Row],[Split_apply]])) - SUM($O736:P736)</f>
        <v>0</v>
      </c>
      <c r="R736" s="52">
        <f ca="1">Log_2019[[#This Row],[Amount]]/Log_2019[[#This Row],[Split_raw]]*MAX(0,MIN(_xlfn.DAYS(EDATE(R$1,1),Log_2019[[#This Row],[Date]]),Log_2019[[#This Row],[Split_apply]])) - SUM($O736:Q736)</f>
        <v>0</v>
      </c>
      <c r="S736" s="52">
        <f ca="1">Log_2019[[#This Row],[Amount]]/Log_2019[[#This Row],[Split_raw]]*MAX(0,MIN(_xlfn.DAYS(EDATE(S$1,1),Log_2019[[#This Row],[Date]]),Log_2019[[#This Row],[Split_apply]])) - SUM($O736:R736)</f>
        <v>0</v>
      </c>
      <c r="T736" s="52">
        <f ca="1">Log_2019[[#This Row],[Amount]]/Log_2019[[#This Row],[Split_raw]]*MAX(0,MIN(_xlfn.DAYS(EDATE(T$1,1),Log_2019[[#This Row],[Date]]),Log_2019[[#This Row],[Split_apply]])) - SUM($O736:S736)</f>
        <v>0</v>
      </c>
      <c r="U736" s="52">
        <f ca="1">Log_2019[[#This Row],[Amount]]/Log_2019[[#This Row],[Split_raw]]*MAX(0,MIN(_xlfn.DAYS(EDATE(U$1,1),Log_2019[[#This Row],[Date]]),Log_2019[[#This Row],[Split_apply]])) - SUM($O736:T736)</f>
        <v>0</v>
      </c>
      <c r="V736" s="52">
        <f ca="1">Log_2019[[#This Row],[Amount]]/Log_2019[[#This Row],[Split_raw]]*MAX(0,MIN(_xlfn.DAYS(EDATE(V$1,1),Log_2019[[#This Row],[Date]]),Log_2019[[#This Row],[Split_apply]])) - SUM($O736:U736)</f>
        <v>0</v>
      </c>
      <c r="W736" s="52">
        <f ca="1">Log_2019[[#This Row],[Amount]]/Log_2019[[#This Row],[Split_raw]]*MAX(0,MIN(_xlfn.DAYS(EDATE(W$1,1),Log_2019[[#This Row],[Date]]),Log_2019[[#This Row],[Split_apply]])) - SUM($O736:V736)</f>
        <v>0</v>
      </c>
      <c r="X736" s="52">
        <f ca="1">Log_2019[[#This Row],[Amount]]/Log_2019[[#This Row],[Split_raw]]*MAX(0,MIN(_xlfn.DAYS(EDATE(X$1,1),Log_2019[[#This Row],[Date]]),Log_2019[[#This Row],[Split_apply]])) - SUM($O736:W736)</f>
        <v>0</v>
      </c>
      <c r="Y736" s="52">
        <f ca="1">Log_2019[[#This Row],[Amount]]/Log_2019[[#This Row],[Split_raw]]*MAX(0,MIN(_xlfn.DAYS(EDATE(Y$1,1),Log_2019[[#This Row],[Date]]),Log_2019[[#This Row],[Split_apply]])) - SUM($O736:X736)</f>
        <v>0</v>
      </c>
      <c r="Z736" s="52">
        <f ca="1">Log_2019[[#This Row],[Amount]]/Log_2019[[#This Row],[Split_raw]]*MAX(0,MIN(_xlfn.DAYS(EDATE(Z$1,1),Log_2019[[#This Row],[Date]]),Log_2019[[#This Row],[Split_apply]])) - SUM($O736:Y736)</f>
        <v>0</v>
      </c>
      <c r="AA736" s="52">
        <f ca="1">Log_2019[[#This Row],[Amount]]/Log_2019[[#This Row],[Split_raw]]*MAX(0,MIN(_xlfn.DAYS(EDATE(AA$1,1),Log_2019[[#This Row],[Date]]),Log_2019[[#This Row],[Split_apply]])) - SUM($O736:Z736)</f>
        <v>0</v>
      </c>
      <c r="AB736" s="54">
        <f ca="1">Log_2019[[#This Row],[Amount]]-SUM(O736:AA736)</f>
        <v>0</v>
      </c>
      <c r="AC736" s="7">
        <f>MAX(0,Log_2019[[#This Row],[Split_raw]] - (EDATE(AA$1,1)-Log_2019[[#This Row],[Date]]))</f>
        <v>0</v>
      </c>
    </row>
    <row r="737" spans="1:29" x14ac:dyDescent="0.25">
      <c r="A737" s="42"/>
      <c r="B737" t="s">
        <v>6</v>
      </c>
      <c r="D737" s="26">
        <v>43487</v>
      </c>
      <c r="E737" t="s">
        <v>520</v>
      </c>
      <c r="F737" t="s">
        <v>514</v>
      </c>
      <c r="G737" t="s">
        <v>9</v>
      </c>
      <c r="H737" s="3">
        <v>-43.19</v>
      </c>
      <c r="I737" s="36">
        <f>IF(Log_2019[[#This Row],[My Category]]="NONTRACKED",0,Log_2019[[#This Row],[Raw Amount]])</f>
        <v>-43.19</v>
      </c>
      <c r="J737" s="17">
        <f>ABS(Log_2019[[#This Row],[Amount]])</f>
        <v>43.19</v>
      </c>
      <c r="K737" s="5">
        <v>1</v>
      </c>
      <c r="L737" s="38">
        <f ca="1">IF(Log_2019[[#This Row],[Date]]&lt;=TODAY(), MIN(Log_2019[[#This Row],[Split_raw]], TODAY()-Log_2019[[#This Row],[Date]]+1), 0)</f>
        <v>1</v>
      </c>
      <c r="M737" t="s">
        <v>145</v>
      </c>
      <c r="N737" t="s">
        <v>158</v>
      </c>
      <c r="O737" s="7">
        <v>0</v>
      </c>
      <c r="P737" s="52">
        <f ca="1">Log_2019[[#This Row],[Amount]]/Log_2019[[#This Row],[Split_raw]]*MAX(0,MIN(_xlfn.DAYS(EDATE(P$1,1),Log_2019[[#This Row],[Date]]),Log_2019[[#This Row],[Split_apply]])) - SUM($O737:O737)</f>
        <v>-43.19</v>
      </c>
      <c r="Q737" s="52">
        <f ca="1">Log_2019[[#This Row],[Amount]]/Log_2019[[#This Row],[Split_raw]]*MAX(0,MIN(_xlfn.DAYS(EDATE(Q$1,1),Log_2019[[#This Row],[Date]]),Log_2019[[#This Row],[Split_apply]])) - SUM($O737:P737)</f>
        <v>0</v>
      </c>
      <c r="R737" s="52">
        <f ca="1">Log_2019[[#This Row],[Amount]]/Log_2019[[#This Row],[Split_raw]]*MAX(0,MIN(_xlfn.DAYS(EDATE(R$1,1),Log_2019[[#This Row],[Date]]),Log_2019[[#This Row],[Split_apply]])) - SUM($O737:Q737)</f>
        <v>0</v>
      </c>
      <c r="S737" s="52">
        <f ca="1">Log_2019[[#This Row],[Amount]]/Log_2019[[#This Row],[Split_raw]]*MAX(0,MIN(_xlfn.DAYS(EDATE(S$1,1),Log_2019[[#This Row],[Date]]),Log_2019[[#This Row],[Split_apply]])) - SUM($O737:R737)</f>
        <v>0</v>
      </c>
      <c r="T737" s="52">
        <f ca="1">Log_2019[[#This Row],[Amount]]/Log_2019[[#This Row],[Split_raw]]*MAX(0,MIN(_xlfn.DAYS(EDATE(T$1,1),Log_2019[[#This Row],[Date]]),Log_2019[[#This Row],[Split_apply]])) - SUM($O737:S737)</f>
        <v>0</v>
      </c>
      <c r="U737" s="52">
        <f ca="1">Log_2019[[#This Row],[Amount]]/Log_2019[[#This Row],[Split_raw]]*MAX(0,MIN(_xlfn.DAYS(EDATE(U$1,1),Log_2019[[#This Row],[Date]]),Log_2019[[#This Row],[Split_apply]])) - SUM($O737:T737)</f>
        <v>0</v>
      </c>
      <c r="V737" s="52">
        <f ca="1">Log_2019[[#This Row],[Amount]]/Log_2019[[#This Row],[Split_raw]]*MAX(0,MIN(_xlfn.DAYS(EDATE(V$1,1),Log_2019[[#This Row],[Date]]),Log_2019[[#This Row],[Split_apply]])) - SUM($O737:U737)</f>
        <v>0</v>
      </c>
      <c r="W737" s="52">
        <f ca="1">Log_2019[[#This Row],[Amount]]/Log_2019[[#This Row],[Split_raw]]*MAX(0,MIN(_xlfn.DAYS(EDATE(W$1,1),Log_2019[[#This Row],[Date]]),Log_2019[[#This Row],[Split_apply]])) - SUM($O737:V737)</f>
        <v>0</v>
      </c>
      <c r="X737" s="52">
        <f ca="1">Log_2019[[#This Row],[Amount]]/Log_2019[[#This Row],[Split_raw]]*MAX(0,MIN(_xlfn.DAYS(EDATE(X$1,1),Log_2019[[#This Row],[Date]]),Log_2019[[#This Row],[Split_apply]])) - SUM($O737:W737)</f>
        <v>0</v>
      </c>
      <c r="Y737" s="52">
        <f ca="1">Log_2019[[#This Row],[Amount]]/Log_2019[[#This Row],[Split_raw]]*MAX(0,MIN(_xlfn.DAYS(EDATE(Y$1,1),Log_2019[[#This Row],[Date]]),Log_2019[[#This Row],[Split_apply]])) - SUM($O737:X737)</f>
        <v>0</v>
      </c>
      <c r="Z737" s="52">
        <f ca="1">Log_2019[[#This Row],[Amount]]/Log_2019[[#This Row],[Split_raw]]*MAX(0,MIN(_xlfn.DAYS(EDATE(Z$1,1),Log_2019[[#This Row],[Date]]),Log_2019[[#This Row],[Split_apply]])) - SUM($O737:Y737)</f>
        <v>0</v>
      </c>
      <c r="AA737" s="52">
        <f ca="1">Log_2019[[#This Row],[Amount]]/Log_2019[[#This Row],[Split_raw]]*MAX(0,MIN(_xlfn.DAYS(EDATE(AA$1,1),Log_2019[[#This Row],[Date]]),Log_2019[[#This Row],[Split_apply]])) - SUM($O737:Z737)</f>
        <v>0</v>
      </c>
      <c r="AB737" s="54">
        <f ca="1">Log_2019[[#This Row],[Amount]]-SUM(O737:AA737)</f>
        <v>0</v>
      </c>
      <c r="AC737" s="7">
        <f>MAX(0,Log_2019[[#This Row],[Split_raw]] - (EDATE(AA$1,1)-Log_2019[[#This Row],[Date]]))</f>
        <v>0</v>
      </c>
    </row>
    <row r="738" spans="1:29" x14ac:dyDescent="0.25">
      <c r="A738" s="42"/>
      <c r="B738" t="s">
        <v>6</v>
      </c>
      <c r="D738" s="26">
        <v>43487</v>
      </c>
      <c r="F738" t="s">
        <v>138</v>
      </c>
      <c r="G738" t="s">
        <v>104</v>
      </c>
      <c r="H738" s="3">
        <v>-250.19</v>
      </c>
      <c r="I738" s="36">
        <f>IF(Log_2019[[#This Row],[My Category]]="NONTRACKED",0,Log_2019[[#This Row],[Raw Amount]])</f>
        <v>-250.19</v>
      </c>
      <c r="J738" s="17">
        <f>ABS(Log_2019[[#This Row],[Amount]])</f>
        <v>250.19</v>
      </c>
      <c r="K738" s="5">
        <v>1</v>
      </c>
      <c r="L738" s="38">
        <f ca="1">IF(Log_2019[[#This Row],[Date]]&lt;=TODAY(), MIN(Log_2019[[#This Row],[Split_raw]], TODAY()-Log_2019[[#This Row],[Date]]+1), 0)</f>
        <v>1</v>
      </c>
      <c r="M738" t="s">
        <v>159</v>
      </c>
      <c r="N738" t="s">
        <v>160</v>
      </c>
      <c r="O738" s="7">
        <v>0</v>
      </c>
      <c r="P738" s="52">
        <f ca="1">Log_2019[[#This Row],[Amount]]/Log_2019[[#This Row],[Split_raw]]*MAX(0,MIN(_xlfn.DAYS(EDATE(P$1,1),Log_2019[[#This Row],[Date]]),Log_2019[[#This Row],[Split_apply]])) - SUM($O738:O738)</f>
        <v>-250.19</v>
      </c>
      <c r="Q738" s="52">
        <f ca="1">Log_2019[[#This Row],[Amount]]/Log_2019[[#This Row],[Split_raw]]*MAX(0,MIN(_xlfn.DAYS(EDATE(Q$1,1),Log_2019[[#This Row],[Date]]),Log_2019[[#This Row],[Split_apply]])) - SUM($O738:P738)</f>
        <v>0</v>
      </c>
      <c r="R738" s="52">
        <f ca="1">Log_2019[[#This Row],[Amount]]/Log_2019[[#This Row],[Split_raw]]*MAX(0,MIN(_xlfn.DAYS(EDATE(R$1,1),Log_2019[[#This Row],[Date]]),Log_2019[[#This Row],[Split_apply]])) - SUM($O738:Q738)</f>
        <v>0</v>
      </c>
      <c r="S738" s="52">
        <f ca="1">Log_2019[[#This Row],[Amount]]/Log_2019[[#This Row],[Split_raw]]*MAX(0,MIN(_xlfn.DAYS(EDATE(S$1,1),Log_2019[[#This Row],[Date]]),Log_2019[[#This Row],[Split_apply]])) - SUM($O738:R738)</f>
        <v>0</v>
      </c>
      <c r="T738" s="52">
        <f ca="1">Log_2019[[#This Row],[Amount]]/Log_2019[[#This Row],[Split_raw]]*MAX(0,MIN(_xlfn.DAYS(EDATE(T$1,1),Log_2019[[#This Row],[Date]]),Log_2019[[#This Row],[Split_apply]])) - SUM($O738:S738)</f>
        <v>0</v>
      </c>
      <c r="U738" s="52">
        <f ca="1">Log_2019[[#This Row],[Amount]]/Log_2019[[#This Row],[Split_raw]]*MAX(0,MIN(_xlfn.DAYS(EDATE(U$1,1),Log_2019[[#This Row],[Date]]),Log_2019[[#This Row],[Split_apply]])) - SUM($O738:T738)</f>
        <v>0</v>
      </c>
      <c r="V738" s="52">
        <f ca="1">Log_2019[[#This Row],[Amount]]/Log_2019[[#This Row],[Split_raw]]*MAX(0,MIN(_xlfn.DAYS(EDATE(V$1,1),Log_2019[[#This Row],[Date]]),Log_2019[[#This Row],[Split_apply]])) - SUM($O738:U738)</f>
        <v>0</v>
      </c>
      <c r="W738" s="52">
        <f ca="1">Log_2019[[#This Row],[Amount]]/Log_2019[[#This Row],[Split_raw]]*MAX(0,MIN(_xlfn.DAYS(EDATE(W$1,1),Log_2019[[#This Row],[Date]]),Log_2019[[#This Row],[Split_apply]])) - SUM($O738:V738)</f>
        <v>0</v>
      </c>
      <c r="X738" s="52">
        <f ca="1">Log_2019[[#This Row],[Amount]]/Log_2019[[#This Row],[Split_raw]]*MAX(0,MIN(_xlfn.DAYS(EDATE(X$1,1),Log_2019[[#This Row],[Date]]),Log_2019[[#This Row],[Split_apply]])) - SUM($O738:W738)</f>
        <v>0</v>
      </c>
      <c r="Y738" s="52">
        <f ca="1">Log_2019[[#This Row],[Amount]]/Log_2019[[#This Row],[Split_raw]]*MAX(0,MIN(_xlfn.DAYS(EDATE(Y$1,1),Log_2019[[#This Row],[Date]]),Log_2019[[#This Row],[Split_apply]])) - SUM($O738:X738)</f>
        <v>0</v>
      </c>
      <c r="Z738" s="52">
        <f ca="1">Log_2019[[#This Row],[Amount]]/Log_2019[[#This Row],[Split_raw]]*MAX(0,MIN(_xlfn.DAYS(EDATE(Z$1,1),Log_2019[[#This Row],[Date]]),Log_2019[[#This Row],[Split_apply]])) - SUM($O738:Y738)</f>
        <v>0</v>
      </c>
      <c r="AA738" s="52">
        <f ca="1">Log_2019[[#This Row],[Amount]]/Log_2019[[#This Row],[Split_raw]]*MAX(0,MIN(_xlfn.DAYS(EDATE(AA$1,1),Log_2019[[#This Row],[Date]]),Log_2019[[#This Row],[Split_apply]])) - SUM($O738:Z738)</f>
        <v>0</v>
      </c>
      <c r="AB738" s="54">
        <f ca="1">Log_2019[[#This Row],[Amount]]-SUM(O738:AA738)</f>
        <v>0</v>
      </c>
      <c r="AC738" s="7">
        <f>MAX(0,Log_2019[[#This Row],[Split_raw]] - (EDATE(AA$1,1)-Log_2019[[#This Row],[Date]]))</f>
        <v>0</v>
      </c>
    </row>
    <row r="739" spans="1:29" x14ac:dyDescent="0.25">
      <c r="A739" s="42"/>
      <c r="B739" t="s">
        <v>6</v>
      </c>
      <c r="D739" s="39">
        <v>43486</v>
      </c>
      <c r="F739" t="s">
        <v>515</v>
      </c>
      <c r="G739" t="s">
        <v>19</v>
      </c>
      <c r="H739" s="3">
        <v>-15.53</v>
      </c>
      <c r="I739" s="36">
        <f>IF(Log_2019[[#This Row],[My Category]]="NONTRACKED",0,Log_2019[[#This Row],[Raw Amount]])</f>
        <v>-15.53</v>
      </c>
      <c r="J739" s="17">
        <f>ABS(Log_2019[[#This Row],[Amount]])</f>
        <v>15.53</v>
      </c>
      <c r="K739" s="5">
        <v>1</v>
      </c>
      <c r="L739" s="38">
        <f ca="1">IF(Log_2019[[#This Row],[Date]]&lt;=TODAY(), MIN(Log_2019[[#This Row],[Split_raw]], TODAY()-Log_2019[[#This Row],[Date]]+1), 0)</f>
        <v>1</v>
      </c>
      <c r="M739" t="s">
        <v>35</v>
      </c>
      <c r="N739" t="s">
        <v>158</v>
      </c>
      <c r="O739" s="7">
        <v>0</v>
      </c>
      <c r="P739" s="52">
        <f ca="1">Log_2019[[#This Row],[Amount]]/Log_2019[[#This Row],[Split_raw]]*MAX(0,MIN(_xlfn.DAYS(EDATE(P$1,1),Log_2019[[#This Row],[Date]]),Log_2019[[#This Row],[Split_apply]])) - SUM($O739:O739)</f>
        <v>-15.53</v>
      </c>
      <c r="Q739" s="52">
        <f ca="1">Log_2019[[#This Row],[Amount]]/Log_2019[[#This Row],[Split_raw]]*MAX(0,MIN(_xlfn.DAYS(EDATE(Q$1,1),Log_2019[[#This Row],[Date]]),Log_2019[[#This Row],[Split_apply]])) - SUM($O739:P739)</f>
        <v>0</v>
      </c>
      <c r="R739" s="52">
        <f ca="1">Log_2019[[#This Row],[Amount]]/Log_2019[[#This Row],[Split_raw]]*MAX(0,MIN(_xlfn.DAYS(EDATE(R$1,1),Log_2019[[#This Row],[Date]]),Log_2019[[#This Row],[Split_apply]])) - SUM($O739:Q739)</f>
        <v>0</v>
      </c>
      <c r="S739" s="52">
        <f ca="1">Log_2019[[#This Row],[Amount]]/Log_2019[[#This Row],[Split_raw]]*MAX(0,MIN(_xlfn.DAYS(EDATE(S$1,1),Log_2019[[#This Row],[Date]]),Log_2019[[#This Row],[Split_apply]])) - SUM($O739:R739)</f>
        <v>0</v>
      </c>
      <c r="T739" s="52">
        <f ca="1">Log_2019[[#This Row],[Amount]]/Log_2019[[#This Row],[Split_raw]]*MAX(0,MIN(_xlfn.DAYS(EDATE(T$1,1),Log_2019[[#This Row],[Date]]),Log_2019[[#This Row],[Split_apply]])) - SUM($O739:S739)</f>
        <v>0</v>
      </c>
      <c r="U739" s="52">
        <f ca="1">Log_2019[[#This Row],[Amount]]/Log_2019[[#This Row],[Split_raw]]*MAX(0,MIN(_xlfn.DAYS(EDATE(U$1,1),Log_2019[[#This Row],[Date]]),Log_2019[[#This Row],[Split_apply]])) - SUM($O739:T739)</f>
        <v>0</v>
      </c>
      <c r="V739" s="52">
        <f ca="1">Log_2019[[#This Row],[Amount]]/Log_2019[[#This Row],[Split_raw]]*MAX(0,MIN(_xlfn.DAYS(EDATE(V$1,1),Log_2019[[#This Row],[Date]]),Log_2019[[#This Row],[Split_apply]])) - SUM($O739:U739)</f>
        <v>0</v>
      </c>
      <c r="W739" s="52">
        <f ca="1">Log_2019[[#This Row],[Amount]]/Log_2019[[#This Row],[Split_raw]]*MAX(0,MIN(_xlfn.DAYS(EDATE(W$1,1),Log_2019[[#This Row],[Date]]),Log_2019[[#This Row],[Split_apply]])) - SUM($O739:V739)</f>
        <v>0</v>
      </c>
      <c r="X739" s="52">
        <f ca="1">Log_2019[[#This Row],[Amount]]/Log_2019[[#This Row],[Split_raw]]*MAX(0,MIN(_xlfn.DAYS(EDATE(X$1,1),Log_2019[[#This Row],[Date]]),Log_2019[[#This Row],[Split_apply]])) - SUM($O739:W739)</f>
        <v>0</v>
      </c>
      <c r="Y739" s="52">
        <f ca="1">Log_2019[[#This Row],[Amount]]/Log_2019[[#This Row],[Split_raw]]*MAX(0,MIN(_xlfn.DAYS(EDATE(Y$1,1),Log_2019[[#This Row],[Date]]),Log_2019[[#This Row],[Split_apply]])) - SUM($O739:X739)</f>
        <v>0</v>
      </c>
      <c r="Z739" s="52">
        <f ca="1">Log_2019[[#This Row],[Amount]]/Log_2019[[#This Row],[Split_raw]]*MAX(0,MIN(_xlfn.DAYS(EDATE(Z$1,1),Log_2019[[#This Row],[Date]]),Log_2019[[#This Row],[Split_apply]])) - SUM($O739:Y739)</f>
        <v>0</v>
      </c>
      <c r="AA739" s="52">
        <f ca="1">Log_2019[[#This Row],[Amount]]/Log_2019[[#This Row],[Split_raw]]*MAX(0,MIN(_xlfn.DAYS(EDATE(AA$1,1),Log_2019[[#This Row],[Date]]),Log_2019[[#This Row],[Split_apply]])) - SUM($O739:Z739)</f>
        <v>0</v>
      </c>
      <c r="AB739" s="54">
        <f ca="1">Log_2019[[#This Row],[Amount]]-SUM(O739:AA739)</f>
        <v>0</v>
      </c>
      <c r="AC739" s="7">
        <f>MAX(0,Log_2019[[#This Row],[Split_raw]] - (EDATE(AA$1,1)-Log_2019[[#This Row],[Date]]))</f>
        <v>0</v>
      </c>
    </row>
    <row r="740" spans="1:29" x14ac:dyDescent="0.25">
      <c r="A740" s="42"/>
      <c r="B740" t="s">
        <v>6</v>
      </c>
      <c r="D740" s="39">
        <v>43486</v>
      </c>
      <c r="F740" t="s">
        <v>59</v>
      </c>
      <c r="G740" t="s">
        <v>25</v>
      </c>
      <c r="H740" s="3">
        <v>-7.94</v>
      </c>
      <c r="I740" s="36">
        <f>IF(Log_2019[[#This Row],[My Category]]="NONTRACKED",0,Log_2019[[#This Row],[Raw Amount]])</f>
        <v>-7.94</v>
      </c>
      <c r="J740" s="17">
        <f>ABS(Log_2019[[#This Row],[Amount]])</f>
        <v>7.94</v>
      </c>
      <c r="K740" s="5">
        <v>1</v>
      </c>
      <c r="L740" s="38">
        <f ca="1">IF(Log_2019[[#This Row],[Date]]&lt;=TODAY(), MIN(Log_2019[[#This Row],[Split_raw]], TODAY()-Log_2019[[#This Row],[Date]]+1), 0)</f>
        <v>1</v>
      </c>
      <c r="M740" t="s">
        <v>35</v>
      </c>
      <c r="N740" t="s">
        <v>158</v>
      </c>
      <c r="O740" s="7">
        <v>0</v>
      </c>
      <c r="P740" s="52">
        <f ca="1">Log_2019[[#This Row],[Amount]]/Log_2019[[#This Row],[Split_raw]]*MAX(0,MIN(_xlfn.DAYS(EDATE(P$1,1),Log_2019[[#This Row],[Date]]),Log_2019[[#This Row],[Split_apply]])) - SUM($O740:O740)</f>
        <v>-7.94</v>
      </c>
      <c r="Q740" s="52">
        <f ca="1">Log_2019[[#This Row],[Amount]]/Log_2019[[#This Row],[Split_raw]]*MAX(0,MIN(_xlfn.DAYS(EDATE(Q$1,1),Log_2019[[#This Row],[Date]]),Log_2019[[#This Row],[Split_apply]])) - SUM($O740:P740)</f>
        <v>0</v>
      </c>
      <c r="R740" s="52">
        <f ca="1">Log_2019[[#This Row],[Amount]]/Log_2019[[#This Row],[Split_raw]]*MAX(0,MIN(_xlfn.DAYS(EDATE(R$1,1),Log_2019[[#This Row],[Date]]),Log_2019[[#This Row],[Split_apply]])) - SUM($O740:Q740)</f>
        <v>0</v>
      </c>
      <c r="S740" s="52">
        <f ca="1">Log_2019[[#This Row],[Amount]]/Log_2019[[#This Row],[Split_raw]]*MAX(0,MIN(_xlfn.DAYS(EDATE(S$1,1),Log_2019[[#This Row],[Date]]),Log_2019[[#This Row],[Split_apply]])) - SUM($O740:R740)</f>
        <v>0</v>
      </c>
      <c r="T740" s="52">
        <f ca="1">Log_2019[[#This Row],[Amount]]/Log_2019[[#This Row],[Split_raw]]*MAX(0,MIN(_xlfn.DAYS(EDATE(T$1,1),Log_2019[[#This Row],[Date]]),Log_2019[[#This Row],[Split_apply]])) - SUM($O740:S740)</f>
        <v>0</v>
      </c>
      <c r="U740" s="52">
        <f ca="1">Log_2019[[#This Row],[Amount]]/Log_2019[[#This Row],[Split_raw]]*MAX(0,MIN(_xlfn.DAYS(EDATE(U$1,1),Log_2019[[#This Row],[Date]]),Log_2019[[#This Row],[Split_apply]])) - SUM($O740:T740)</f>
        <v>0</v>
      </c>
      <c r="V740" s="52">
        <f ca="1">Log_2019[[#This Row],[Amount]]/Log_2019[[#This Row],[Split_raw]]*MAX(0,MIN(_xlfn.DAYS(EDATE(V$1,1),Log_2019[[#This Row],[Date]]),Log_2019[[#This Row],[Split_apply]])) - SUM($O740:U740)</f>
        <v>0</v>
      </c>
      <c r="W740" s="52">
        <f ca="1">Log_2019[[#This Row],[Amount]]/Log_2019[[#This Row],[Split_raw]]*MAX(0,MIN(_xlfn.DAYS(EDATE(W$1,1),Log_2019[[#This Row],[Date]]),Log_2019[[#This Row],[Split_apply]])) - SUM($O740:V740)</f>
        <v>0</v>
      </c>
      <c r="X740" s="52">
        <f ca="1">Log_2019[[#This Row],[Amount]]/Log_2019[[#This Row],[Split_raw]]*MAX(0,MIN(_xlfn.DAYS(EDATE(X$1,1),Log_2019[[#This Row],[Date]]),Log_2019[[#This Row],[Split_apply]])) - SUM($O740:W740)</f>
        <v>0</v>
      </c>
      <c r="Y740" s="52">
        <f ca="1">Log_2019[[#This Row],[Amount]]/Log_2019[[#This Row],[Split_raw]]*MAX(0,MIN(_xlfn.DAYS(EDATE(Y$1,1),Log_2019[[#This Row],[Date]]),Log_2019[[#This Row],[Split_apply]])) - SUM($O740:X740)</f>
        <v>0</v>
      </c>
      <c r="Z740" s="52">
        <f ca="1">Log_2019[[#This Row],[Amount]]/Log_2019[[#This Row],[Split_raw]]*MAX(0,MIN(_xlfn.DAYS(EDATE(Z$1,1),Log_2019[[#This Row],[Date]]),Log_2019[[#This Row],[Split_apply]])) - SUM($O740:Y740)</f>
        <v>0</v>
      </c>
      <c r="AA740" s="52">
        <f ca="1">Log_2019[[#This Row],[Amount]]/Log_2019[[#This Row],[Split_raw]]*MAX(0,MIN(_xlfn.DAYS(EDATE(AA$1,1),Log_2019[[#This Row],[Date]]),Log_2019[[#This Row],[Split_apply]])) - SUM($O740:Z740)</f>
        <v>0</v>
      </c>
      <c r="AB740" s="54">
        <f ca="1">Log_2019[[#This Row],[Amount]]-SUM(O740:AA740)</f>
        <v>0</v>
      </c>
      <c r="AC740" s="7">
        <f>MAX(0,Log_2019[[#This Row],[Split_raw]] - (EDATE(AA$1,1)-Log_2019[[#This Row],[Date]]))</f>
        <v>0</v>
      </c>
    </row>
    <row r="741" spans="1:29" x14ac:dyDescent="0.25">
      <c r="A741" s="42"/>
      <c r="B741" t="s">
        <v>490</v>
      </c>
      <c r="C741" s="30">
        <v>2.6613345616060698E+18</v>
      </c>
      <c r="D741" s="39">
        <v>43485</v>
      </c>
      <c r="F741" t="s">
        <v>501</v>
      </c>
      <c r="H741" s="3">
        <v>-6.75</v>
      </c>
      <c r="I741" s="36">
        <f>IF(Log_2019[[#This Row],[My Category]]="NONTRACKED",0,Log_2019[[#This Row],[Raw Amount]])</f>
        <v>-6.75</v>
      </c>
      <c r="J741" s="17">
        <f>ABS(Log_2019[[#This Row],[Amount]])</f>
        <v>6.75</v>
      </c>
      <c r="K741" s="5">
        <v>1</v>
      </c>
      <c r="L741" s="38">
        <f ca="1">IF(Log_2019[[#This Row],[Date]]&lt;=TODAY(), MIN(Log_2019[[#This Row],[Split_raw]], TODAY()-Log_2019[[#This Row],[Date]]+1), 0)</f>
        <v>1</v>
      </c>
      <c r="M741" t="s">
        <v>37</v>
      </c>
      <c r="N741" t="s">
        <v>489</v>
      </c>
      <c r="O741" s="7">
        <v>0</v>
      </c>
      <c r="P741" s="52">
        <f ca="1">Log_2019[[#This Row],[Amount]]/Log_2019[[#This Row],[Split_raw]]*MAX(0,MIN(_xlfn.DAYS(EDATE(P$1,1),Log_2019[[#This Row],[Date]]),Log_2019[[#This Row],[Split_apply]])) - SUM($O741:O741)</f>
        <v>-6.75</v>
      </c>
      <c r="Q741" s="52">
        <f ca="1">Log_2019[[#This Row],[Amount]]/Log_2019[[#This Row],[Split_raw]]*MAX(0,MIN(_xlfn.DAYS(EDATE(Q$1,1),Log_2019[[#This Row],[Date]]),Log_2019[[#This Row],[Split_apply]])) - SUM($O741:P741)</f>
        <v>0</v>
      </c>
      <c r="R741" s="52">
        <f ca="1">Log_2019[[#This Row],[Amount]]/Log_2019[[#This Row],[Split_raw]]*MAX(0,MIN(_xlfn.DAYS(EDATE(R$1,1),Log_2019[[#This Row],[Date]]),Log_2019[[#This Row],[Split_apply]])) - SUM($O741:Q741)</f>
        <v>0</v>
      </c>
      <c r="S741" s="52">
        <f ca="1">Log_2019[[#This Row],[Amount]]/Log_2019[[#This Row],[Split_raw]]*MAX(0,MIN(_xlfn.DAYS(EDATE(S$1,1),Log_2019[[#This Row],[Date]]),Log_2019[[#This Row],[Split_apply]])) - SUM($O741:R741)</f>
        <v>0</v>
      </c>
      <c r="T741" s="52">
        <f ca="1">Log_2019[[#This Row],[Amount]]/Log_2019[[#This Row],[Split_raw]]*MAX(0,MIN(_xlfn.DAYS(EDATE(T$1,1),Log_2019[[#This Row],[Date]]),Log_2019[[#This Row],[Split_apply]])) - SUM($O741:S741)</f>
        <v>0</v>
      </c>
      <c r="U741" s="52">
        <f ca="1">Log_2019[[#This Row],[Amount]]/Log_2019[[#This Row],[Split_raw]]*MAX(0,MIN(_xlfn.DAYS(EDATE(U$1,1),Log_2019[[#This Row],[Date]]),Log_2019[[#This Row],[Split_apply]])) - SUM($O741:T741)</f>
        <v>0</v>
      </c>
      <c r="V741" s="52">
        <f ca="1">Log_2019[[#This Row],[Amount]]/Log_2019[[#This Row],[Split_raw]]*MAX(0,MIN(_xlfn.DAYS(EDATE(V$1,1),Log_2019[[#This Row],[Date]]),Log_2019[[#This Row],[Split_apply]])) - SUM($O741:U741)</f>
        <v>0</v>
      </c>
      <c r="W741" s="52">
        <f ca="1">Log_2019[[#This Row],[Amount]]/Log_2019[[#This Row],[Split_raw]]*MAX(0,MIN(_xlfn.DAYS(EDATE(W$1,1),Log_2019[[#This Row],[Date]]),Log_2019[[#This Row],[Split_apply]])) - SUM($O741:V741)</f>
        <v>0</v>
      </c>
      <c r="X741" s="52">
        <f ca="1">Log_2019[[#This Row],[Amount]]/Log_2019[[#This Row],[Split_raw]]*MAX(0,MIN(_xlfn.DAYS(EDATE(X$1,1),Log_2019[[#This Row],[Date]]),Log_2019[[#This Row],[Split_apply]])) - SUM($O741:W741)</f>
        <v>0</v>
      </c>
      <c r="Y741" s="52">
        <f ca="1">Log_2019[[#This Row],[Amount]]/Log_2019[[#This Row],[Split_raw]]*MAX(0,MIN(_xlfn.DAYS(EDATE(Y$1,1),Log_2019[[#This Row],[Date]]),Log_2019[[#This Row],[Split_apply]])) - SUM($O741:X741)</f>
        <v>0</v>
      </c>
      <c r="Z741" s="52">
        <f ca="1">Log_2019[[#This Row],[Amount]]/Log_2019[[#This Row],[Split_raw]]*MAX(0,MIN(_xlfn.DAYS(EDATE(Z$1,1),Log_2019[[#This Row],[Date]]),Log_2019[[#This Row],[Split_apply]])) - SUM($O741:Y741)</f>
        <v>0</v>
      </c>
      <c r="AA741" s="52">
        <f ca="1">Log_2019[[#This Row],[Amount]]/Log_2019[[#This Row],[Split_raw]]*MAX(0,MIN(_xlfn.DAYS(EDATE(AA$1,1),Log_2019[[#This Row],[Date]]),Log_2019[[#This Row],[Split_apply]])) - SUM($O741:Z741)</f>
        <v>0</v>
      </c>
      <c r="AB741" s="54">
        <f ca="1">Log_2019[[#This Row],[Amount]]-SUM(O741:AA741)</f>
        <v>0</v>
      </c>
      <c r="AC741" s="7">
        <f>MAX(0,Log_2019[[#This Row],[Split_raw]] - (EDATE(AA$1,1)-Log_2019[[#This Row],[Date]]))</f>
        <v>0</v>
      </c>
    </row>
    <row r="742" spans="1:29" x14ac:dyDescent="0.25">
      <c r="A742" s="42"/>
      <c r="B742" t="s">
        <v>6</v>
      </c>
      <c r="D742" s="39">
        <v>43485</v>
      </c>
      <c r="F742" t="s">
        <v>105</v>
      </c>
      <c r="G742" t="s">
        <v>104</v>
      </c>
      <c r="H742" s="3">
        <f>--250.19</f>
        <v>250.19</v>
      </c>
      <c r="I742" s="36">
        <f>IF(Log_2019[[#This Row],[My Category]]="NONTRACKED",0,Log_2019[[#This Row],[Raw Amount]])</f>
        <v>250.19</v>
      </c>
      <c r="J742" s="17">
        <f>ABS(Log_2019[[#This Row],[Amount]])</f>
        <v>250.19</v>
      </c>
      <c r="K742" s="5">
        <v>1</v>
      </c>
      <c r="L742" s="38">
        <f ca="1">IF(Log_2019[[#This Row],[Date]]&lt;=TODAY(), MIN(Log_2019[[#This Row],[Split_raw]], TODAY()-Log_2019[[#This Row],[Date]]+1), 0)</f>
        <v>1</v>
      </c>
      <c r="M742" t="s">
        <v>159</v>
      </c>
      <c r="N742" t="s">
        <v>158</v>
      </c>
      <c r="O742" s="7">
        <v>0</v>
      </c>
      <c r="P742" s="52">
        <f ca="1">Log_2019[[#This Row],[Amount]]/Log_2019[[#This Row],[Split_raw]]*MAX(0,MIN(_xlfn.DAYS(EDATE(P$1,1),Log_2019[[#This Row],[Date]]),Log_2019[[#This Row],[Split_apply]])) - SUM($O742:O742)</f>
        <v>250.19</v>
      </c>
      <c r="Q742" s="52">
        <f ca="1">Log_2019[[#This Row],[Amount]]/Log_2019[[#This Row],[Split_raw]]*MAX(0,MIN(_xlfn.DAYS(EDATE(Q$1,1),Log_2019[[#This Row],[Date]]),Log_2019[[#This Row],[Split_apply]])) - SUM($O742:P742)</f>
        <v>0</v>
      </c>
      <c r="R742" s="52">
        <f ca="1">Log_2019[[#This Row],[Amount]]/Log_2019[[#This Row],[Split_raw]]*MAX(0,MIN(_xlfn.DAYS(EDATE(R$1,1),Log_2019[[#This Row],[Date]]),Log_2019[[#This Row],[Split_apply]])) - SUM($O742:Q742)</f>
        <v>0</v>
      </c>
      <c r="S742" s="52">
        <f ca="1">Log_2019[[#This Row],[Amount]]/Log_2019[[#This Row],[Split_raw]]*MAX(0,MIN(_xlfn.DAYS(EDATE(S$1,1),Log_2019[[#This Row],[Date]]),Log_2019[[#This Row],[Split_apply]])) - SUM($O742:R742)</f>
        <v>0</v>
      </c>
      <c r="T742" s="52">
        <f ca="1">Log_2019[[#This Row],[Amount]]/Log_2019[[#This Row],[Split_raw]]*MAX(0,MIN(_xlfn.DAYS(EDATE(T$1,1),Log_2019[[#This Row],[Date]]),Log_2019[[#This Row],[Split_apply]])) - SUM($O742:S742)</f>
        <v>0</v>
      </c>
      <c r="U742" s="52">
        <f ca="1">Log_2019[[#This Row],[Amount]]/Log_2019[[#This Row],[Split_raw]]*MAX(0,MIN(_xlfn.DAYS(EDATE(U$1,1),Log_2019[[#This Row],[Date]]),Log_2019[[#This Row],[Split_apply]])) - SUM($O742:T742)</f>
        <v>0</v>
      </c>
      <c r="V742" s="52">
        <f ca="1">Log_2019[[#This Row],[Amount]]/Log_2019[[#This Row],[Split_raw]]*MAX(0,MIN(_xlfn.DAYS(EDATE(V$1,1),Log_2019[[#This Row],[Date]]),Log_2019[[#This Row],[Split_apply]])) - SUM($O742:U742)</f>
        <v>0</v>
      </c>
      <c r="W742" s="52">
        <f ca="1">Log_2019[[#This Row],[Amount]]/Log_2019[[#This Row],[Split_raw]]*MAX(0,MIN(_xlfn.DAYS(EDATE(W$1,1),Log_2019[[#This Row],[Date]]),Log_2019[[#This Row],[Split_apply]])) - SUM($O742:V742)</f>
        <v>0</v>
      </c>
      <c r="X742" s="52">
        <f ca="1">Log_2019[[#This Row],[Amount]]/Log_2019[[#This Row],[Split_raw]]*MAX(0,MIN(_xlfn.DAYS(EDATE(X$1,1),Log_2019[[#This Row],[Date]]),Log_2019[[#This Row],[Split_apply]])) - SUM($O742:W742)</f>
        <v>0</v>
      </c>
      <c r="Y742" s="52">
        <f ca="1">Log_2019[[#This Row],[Amount]]/Log_2019[[#This Row],[Split_raw]]*MAX(0,MIN(_xlfn.DAYS(EDATE(Y$1,1),Log_2019[[#This Row],[Date]]),Log_2019[[#This Row],[Split_apply]])) - SUM($O742:X742)</f>
        <v>0</v>
      </c>
      <c r="Z742" s="52">
        <f ca="1">Log_2019[[#This Row],[Amount]]/Log_2019[[#This Row],[Split_raw]]*MAX(0,MIN(_xlfn.DAYS(EDATE(Z$1,1),Log_2019[[#This Row],[Date]]),Log_2019[[#This Row],[Split_apply]])) - SUM($O742:Y742)</f>
        <v>0</v>
      </c>
      <c r="AA742" s="52">
        <f ca="1">Log_2019[[#This Row],[Amount]]/Log_2019[[#This Row],[Split_raw]]*MAX(0,MIN(_xlfn.DAYS(EDATE(AA$1,1),Log_2019[[#This Row],[Date]]),Log_2019[[#This Row],[Split_apply]])) - SUM($O742:Z742)</f>
        <v>0</v>
      </c>
      <c r="AB742" s="54">
        <f ca="1">Log_2019[[#This Row],[Amount]]-SUM(O742:AA742)</f>
        <v>0</v>
      </c>
      <c r="AC742" s="7">
        <f>MAX(0,Log_2019[[#This Row],[Split_raw]] - (EDATE(AA$1,1)-Log_2019[[#This Row],[Date]]))</f>
        <v>0</v>
      </c>
    </row>
    <row r="743" spans="1:29" x14ac:dyDescent="0.25">
      <c r="A743" s="42"/>
      <c r="B743" t="s">
        <v>6</v>
      </c>
      <c r="D743" s="39">
        <v>43484</v>
      </c>
      <c r="F743" t="s">
        <v>327</v>
      </c>
      <c r="G743" t="s">
        <v>25</v>
      </c>
      <c r="H743" s="3">
        <v>-60</v>
      </c>
      <c r="I743" s="36">
        <f>IF(Log_2019[[#This Row],[My Category]]="NONTRACKED",0,Log_2019[[#This Row],[Raw Amount]])</f>
        <v>-60</v>
      </c>
      <c r="J743" s="17">
        <f>ABS(Log_2019[[#This Row],[Amount]])</f>
        <v>60</v>
      </c>
      <c r="K743" s="5">
        <v>1</v>
      </c>
      <c r="L743" s="38">
        <f ca="1">IF(Log_2019[[#This Row],[Date]]&lt;=TODAY(), MIN(Log_2019[[#This Row],[Split_raw]], TODAY()-Log_2019[[#This Row],[Date]]+1), 0)</f>
        <v>1</v>
      </c>
      <c r="M743" t="s">
        <v>35</v>
      </c>
      <c r="N743" t="s">
        <v>158</v>
      </c>
      <c r="O743" s="7">
        <v>0</v>
      </c>
      <c r="P743" s="52">
        <f ca="1">Log_2019[[#This Row],[Amount]]/Log_2019[[#This Row],[Split_raw]]*MAX(0,MIN(_xlfn.DAYS(EDATE(P$1,1),Log_2019[[#This Row],[Date]]),Log_2019[[#This Row],[Split_apply]])) - SUM($O743:O743)</f>
        <v>-60</v>
      </c>
      <c r="Q743" s="52">
        <f ca="1">Log_2019[[#This Row],[Amount]]/Log_2019[[#This Row],[Split_raw]]*MAX(0,MIN(_xlfn.DAYS(EDATE(Q$1,1),Log_2019[[#This Row],[Date]]),Log_2019[[#This Row],[Split_apply]])) - SUM($O743:P743)</f>
        <v>0</v>
      </c>
      <c r="R743" s="52">
        <f ca="1">Log_2019[[#This Row],[Amount]]/Log_2019[[#This Row],[Split_raw]]*MAX(0,MIN(_xlfn.DAYS(EDATE(R$1,1),Log_2019[[#This Row],[Date]]),Log_2019[[#This Row],[Split_apply]])) - SUM($O743:Q743)</f>
        <v>0</v>
      </c>
      <c r="S743" s="52">
        <f ca="1">Log_2019[[#This Row],[Amount]]/Log_2019[[#This Row],[Split_raw]]*MAX(0,MIN(_xlfn.DAYS(EDATE(S$1,1),Log_2019[[#This Row],[Date]]),Log_2019[[#This Row],[Split_apply]])) - SUM($O743:R743)</f>
        <v>0</v>
      </c>
      <c r="T743" s="52">
        <f ca="1">Log_2019[[#This Row],[Amount]]/Log_2019[[#This Row],[Split_raw]]*MAX(0,MIN(_xlfn.DAYS(EDATE(T$1,1),Log_2019[[#This Row],[Date]]),Log_2019[[#This Row],[Split_apply]])) - SUM($O743:S743)</f>
        <v>0</v>
      </c>
      <c r="U743" s="52">
        <f ca="1">Log_2019[[#This Row],[Amount]]/Log_2019[[#This Row],[Split_raw]]*MAX(0,MIN(_xlfn.DAYS(EDATE(U$1,1),Log_2019[[#This Row],[Date]]),Log_2019[[#This Row],[Split_apply]])) - SUM($O743:T743)</f>
        <v>0</v>
      </c>
      <c r="V743" s="52">
        <f ca="1">Log_2019[[#This Row],[Amount]]/Log_2019[[#This Row],[Split_raw]]*MAX(0,MIN(_xlfn.DAYS(EDATE(V$1,1),Log_2019[[#This Row],[Date]]),Log_2019[[#This Row],[Split_apply]])) - SUM($O743:U743)</f>
        <v>0</v>
      </c>
      <c r="W743" s="52">
        <f ca="1">Log_2019[[#This Row],[Amount]]/Log_2019[[#This Row],[Split_raw]]*MAX(0,MIN(_xlfn.DAYS(EDATE(W$1,1),Log_2019[[#This Row],[Date]]),Log_2019[[#This Row],[Split_apply]])) - SUM($O743:V743)</f>
        <v>0</v>
      </c>
      <c r="X743" s="52">
        <f ca="1">Log_2019[[#This Row],[Amount]]/Log_2019[[#This Row],[Split_raw]]*MAX(0,MIN(_xlfn.DAYS(EDATE(X$1,1),Log_2019[[#This Row],[Date]]),Log_2019[[#This Row],[Split_apply]])) - SUM($O743:W743)</f>
        <v>0</v>
      </c>
      <c r="Y743" s="52">
        <f ca="1">Log_2019[[#This Row],[Amount]]/Log_2019[[#This Row],[Split_raw]]*MAX(0,MIN(_xlfn.DAYS(EDATE(Y$1,1),Log_2019[[#This Row],[Date]]),Log_2019[[#This Row],[Split_apply]])) - SUM($O743:X743)</f>
        <v>0</v>
      </c>
      <c r="Z743" s="52">
        <f ca="1">Log_2019[[#This Row],[Amount]]/Log_2019[[#This Row],[Split_raw]]*MAX(0,MIN(_xlfn.DAYS(EDATE(Z$1,1),Log_2019[[#This Row],[Date]]),Log_2019[[#This Row],[Split_apply]])) - SUM($O743:Y743)</f>
        <v>0</v>
      </c>
      <c r="AA743" s="52">
        <f ca="1">Log_2019[[#This Row],[Amount]]/Log_2019[[#This Row],[Split_raw]]*MAX(0,MIN(_xlfn.DAYS(EDATE(AA$1,1),Log_2019[[#This Row],[Date]]),Log_2019[[#This Row],[Split_apply]])) - SUM($O743:Z743)</f>
        <v>0</v>
      </c>
      <c r="AB743" s="54">
        <f ca="1">Log_2019[[#This Row],[Amount]]-SUM(O743:AA743)</f>
        <v>0</v>
      </c>
      <c r="AC743" s="7">
        <f>MAX(0,Log_2019[[#This Row],[Split_raw]] - (EDATE(AA$1,1)-Log_2019[[#This Row],[Date]]))</f>
        <v>0</v>
      </c>
    </row>
    <row r="744" spans="1:29" x14ac:dyDescent="0.25">
      <c r="A744" s="42"/>
      <c r="B744" t="s">
        <v>6</v>
      </c>
      <c r="D744" s="39">
        <v>43484</v>
      </c>
      <c r="F744" t="s">
        <v>184</v>
      </c>
      <c r="G744" t="s">
        <v>11</v>
      </c>
      <c r="H744" s="3">
        <v>-6.65</v>
      </c>
      <c r="I744" s="36">
        <f>IF(Log_2019[[#This Row],[My Category]]="NONTRACKED",0,Log_2019[[#This Row],[Raw Amount]])</f>
        <v>-6.65</v>
      </c>
      <c r="J744" s="17">
        <f>ABS(Log_2019[[#This Row],[Amount]])</f>
        <v>6.65</v>
      </c>
      <c r="K744" s="5">
        <v>1</v>
      </c>
      <c r="L744" s="38">
        <f ca="1">IF(Log_2019[[#This Row],[Date]]&lt;=TODAY(), MIN(Log_2019[[#This Row],[Split_raw]], TODAY()-Log_2019[[#This Row],[Date]]+1), 0)</f>
        <v>1</v>
      </c>
      <c r="M744" t="s">
        <v>12</v>
      </c>
      <c r="N744" t="s">
        <v>158</v>
      </c>
      <c r="O744" s="7">
        <v>0</v>
      </c>
      <c r="P744" s="52">
        <f ca="1">Log_2019[[#This Row],[Amount]]/Log_2019[[#This Row],[Split_raw]]*MAX(0,MIN(_xlfn.DAYS(EDATE(P$1,1),Log_2019[[#This Row],[Date]]),Log_2019[[#This Row],[Split_apply]])) - SUM($O744:O744)</f>
        <v>-6.65</v>
      </c>
      <c r="Q744" s="52">
        <f ca="1">Log_2019[[#This Row],[Amount]]/Log_2019[[#This Row],[Split_raw]]*MAX(0,MIN(_xlfn.DAYS(EDATE(Q$1,1),Log_2019[[#This Row],[Date]]),Log_2019[[#This Row],[Split_apply]])) - SUM($O744:P744)</f>
        <v>0</v>
      </c>
      <c r="R744" s="52">
        <f ca="1">Log_2019[[#This Row],[Amount]]/Log_2019[[#This Row],[Split_raw]]*MAX(0,MIN(_xlfn.DAYS(EDATE(R$1,1),Log_2019[[#This Row],[Date]]),Log_2019[[#This Row],[Split_apply]])) - SUM($O744:Q744)</f>
        <v>0</v>
      </c>
      <c r="S744" s="52">
        <f ca="1">Log_2019[[#This Row],[Amount]]/Log_2019[[#This Row],[Split_raw]]*MAX(0,MIN(_xlfn.DAYS(EDATE(S$1,1),Log_2019[[#This Row],[Date]]),Log_2019[[#This Row],[Split_apply]])) - SUM($O744:R744)</f>
        <v>0</v>
      </c>
      <c r="T744" s="52">
        <f ca="1">Log_2019[[#This Row],[Amount]]/Log_2019[[#This Row],[Split_raw]]*MAX(0,MIN(_xlfn.DAYS(EDATE(T$1,1),Log_2019[[#This Row],[Date]]),Log_2019[[#This Row],[Split_apply]])) - SUM($O744:S744)</f>
        <v>0</v>
      </c>
      <c r="U744" s="52">
        <f ca="1">Log_2019[[#This Row],[Amount]]/Log_2019[[#This Row],[Split_raw]]*MAX(0,MIN(_xlfn.DAYS(EDATE(U$1,1),Log_2019[[#This Row],[Date]]),Log_2019[[#This Row],[Split_apply]])) - SUM($O744:T744)</f>
        <v>0</v>
      </c>
      <c r="V744" s="52">
        <f ca="1">Log_2019[[#This Row],[Amount]]/Log_2019[[#This Row],[Split_raw]]*MAX(0,MIN(_xlfn.DAYS(EDATE(V$1,1),Log_2019[[#This Row],[Date]]),Log_2019[[#This Row],[Split_apply]])) - SUM($O744:U744)</f>
        <v>0</v>
      </c>
      <c r="W744" s="52">
        <f ca="1">Log_2019[[#This Row],[Amount]]/Log_2019[[#This Row],[Split_raw]]*MAX(0,MIN(_xlfn.DAYS(EDATE(W$1,1),Log_2019[[#This Row],[Date]]),Log_2019[[#This Row],[Split_apply]])) - SUM($O744:V744)</f>
        <v>0</v>
      </c>
      <c r="X744" s="52">
        <f ca="1">Log_2019[[#This Row],[Amount]]/Log_2019[[#This Row],[Split_raw]]*MAX(0,MIN(_xlfn.DAYS(EDATE(X$1,1),Log_2019[[#This Row],[Date]]),Log_2019[[#This Row],[Split_apply]])) - SUM($O744:W744)</f>
        <v>0</v>
      </c>
      <c r="Y744" s="52">
        <f ca="1">Log_2019[[#This Row],[Amount]]/Log_2019[[#This Row],[Split_raw]]*MAX(0,MIN(_xlfn.DAYS(EDATE(Y$1,1),Log_2019[[#This Row],[Date]]),Log_2019[[#This Row],[Split_apply]])) - SUM($O744:X744)</f>
        <v>0</v>
      </c>
      <c r="Z744" s="52">
        <f ca="1">Log_2019[[#This Row],[Amount]]/Log_2019[[#This Row],[Split_raw]]*MAX(0,MIN(_xlfn.DAYS(EDATE(Z$1,1),Log_2019[[#This Row],[Date]]),Log_2019[[#This Row],[Split_apply]])) - SUM($O744:Y744)</f>
        <v>0</v>
      </c>
      <c r="AA744" s="52">
        <f ca="1">Log_2019[[#This Row],[Amount]]/Log_2019[[#This Row],[Split_raw]]*MAX(0,MIN(_xlfn.DAYS(EDATE(AA$1,1),Log_2019[[#This Row],[Date]]),Log_2019[[#This Row],[Split_apply]])) - SUM($O744:Z744)</f>
        <v>0</v>
      </c>
      <c r="AB744" s="54">
        <f ca="1">Log_2019[[#This Row],[Amount]]-SUM(O744:AA744)</f>
        <v>0</v>
      </c>
      <c r="AC744" s="7">
        <f>MAX(0,Log_2019[[#This Row],[Split_raw]] - (EDATE(AA$1,1)-Log_2019[[#This Row],[Date]]))</f>
        <v>0</v>
      </c>
    </row>
    <row r="745" spans="1:29" x14ac:dyDescent="0.25">
      <c r="A745" s="42"/>
      <c r="B745" t="s">
        <v>6</v>
      </c>
      <c r="D745" s="39">
        <v>43484</v>
      </c>
      <c r="F745" t="s">
        <v>301</v>
      </c>
      <c r="G745" t="s">
        <v>25</v>
      </c>
      <c r="H745" s="3">
        <v>-8.43</v>
      </c>
      <c r="I745" s="36">
        <f>IF(Log_2019[[#This Row],[My Category]]="NONTRACKED",0,Log_2019[[#This Row],[Raw Amount]])</f>
        <v>-8.43</v>
      </c>
      <c r="J745" s="17">
        <f>ABS(Log_2019[[#This Row],[Amount]])</f>
        <v>8.43</v>
      </c>
      <c r="K745" s="5">
        <v>1</v>
      </c>
      <c r="L745" s="38">
        <f ca="1">IF(Log_2019[[#This Row],[Date]]&lt;=TODAY(), MIN(Log_2019[[#This Row],[Split_raw]], TODAY()-Log_2019[[#This Row],[Date]]+1), 0)</f>
        <v>1</v>
      </c>
      <c r="M745" t="s">
        <v>35</v>
      </c>
      <c r="N745" t="s">
        <v>158</v>
      </c>
      <c r="O745" s="7">
        <v>0</v>
      </c>
      <c r="P745" s="52">
        <f ca="1">Log_2019[[#This Row],[Amount]]/Log_2019[[#This Row],[Split_raw]]*MAX(0,MIN(_xlfn.DAYS(EDATE(P$1,1),Log_2019[[#This Row],[Date]]),Log_2019[[#This Row],[Split_apply]])) - SUM($O745:O745)</f>
        <v>-8.43</v>
      </c>
      <c r="Q745" s="52">
        <f ca="1">Log_2019[[#This Row],[Amount]]/Log_2019[[#This Row],[Split_raw]]*MAX(0,MIN(_xlfn.DAYS(EDATE(Q$1,1),Log_2019[[#This Row],[Date]]),Log_2019[[#This Row],[Split_apply]])) - SUM($O745:P745)</f>
        <v>0</v>
      </c>
      <c r="R745" s="52">
        <f ca="1">Log_2019[[#This Row],[Amount]]/Log_2019[[#This Row],[Split_raw]]*MAX(0,MIN(_xlfn.DAYS(EDATE(R$1,1),Log_2019[[#This Row],[Date]]),Log_2019[[#This Row],[Split_apply]])) - SUM($O745:Q745)</f>
        <v>0</v>
      </c>
      <c r="S745" s="52">
        <f ca="1">Log_2019[[#This Row],[Amount]]/Log_2019[[#This Row],[Split_raw]]*MAX(0,MIN(_xlfn.DAYS(EDATE(S$1,1),Log_2019[[#This Row],[Date]]),Log_2019[[#This Row],[Split_apply]])) - SUM($O745:R745)</f>
        <v>0</v>
      </c>
      <c r="T745" s="52">
        <f ca="1">Log_2019[[#This Row],[Amount]]/Log_2019[[#This Row],[Split_raw]]*MAX(0,MIN(_xlfn.DAYS(EDATE(T$1,1),Log_2019[[#This Row],[Date]]),Log_2019[[#This Row],[Split_apply]])) - SUM($O745:S745)</f>
        <v>0</v>
      </c>
      <c r="U745" s="52">
        <f ca="1">Log_2019[[#This Row],[Amount]]/Log_2019[[#This Row],[Split_raw]]*MAX(0,MIN(_xlfn.DAYS(EDATE(U$1,1),Log_2019[[#This Row],[Date]]),Log_2019[[#This Row],[Split_apply]])) - SUM($O745:T745)</f>
        <v>0</v>
      </c>
      <c r="V745" s="52">
        <f ca="1">Log_2019[[#This Row],[Amount]]/Log_2019[[#This Row],[Split_raw]]*MAX(0,MIN(_xlfn.DAYS(EDATE(V$1,1),Log_2019[[#This Row],[Date]]),Log_2019[[#This Row],[Split_apply]])) - SUM($O745:U745)</f>
        <v>0</v>
      </c>
      <c r="W745" s="52">
        <f ca="1">Log_2019[[#This Row],[Amount]]/Log_2019[[#This Row],[Split_raw]]*MAX(0,MIN(_xlfn.DAYS(EDATE(W$1,1),Log_2019[[#This Row],[Date]]),Log_2019[[#This Row],[Split_apply]])) - SUM($O745:V745)</f>
        <v>0</v>
      </c>
      <c r="X745" s="52">
        <f ca="1">Log_2019[[#This Row],[Amount]]/Log_2019[[#This Row],[Split_raw]]*MAX(0,MIN(_xlfn.DAYS(EDATE(X$1,1),Log_2019[[#This Row],[Date]]),Log_2019[[#This Row],[Split_apply]])) - SUM($O745:W745)</f>
        <v>0</v>
      </c>
      <c r="Y745" s="52">
        <f ca="1">Log_2019[[#This Row],[Amount]]/Log_2019[[#This Row],[Split_raw]]*MAX(0,MIN(_xlfn.DAYS(EDATE(Y$1,1),Log_2019[[#This Row],[Date]]),Log_2019[[#This Row],[Split_apply]])) - SUM($O745:X745)</f>
        <v>0</v>
      </c>
      <c r="Z745" s="52">
        <f ca="1">Log_2019[[#This Row],[Amount]]/Log_2019[[#This Row],[Split_raw]]*MAX(0,MIN(_xlfn.DAYS(EDATE(Z$1,1),Log_2019[[#This Row],[Date]]),Log_2019[[#This Row],[Split_apply]])) - SUM($O745:Y745)</f>
        <v>0</v>
      </c>
      <c r="AA745" s="52">
        <f ca="1">Log_2019[[#This Row],[Amount]]/Log_2019[[#This Row],[Split_raw]]*MAX(0,MIN(_xlfn.DAYS(EDATE(AA$1,1),Log_2019[[#This Row],[Date]]),Log_2019[[#This Row],[Split_apply]])) - SUM($O745:Z745)</f>
        <v>0</v>
      </c>
      <c r="AB745" s="54">
        <f ca="1">Log_2019[[#This Row],[Amount]]-SUM(O745:AA745)</f>
        <v>0</v>
      </c>
      <c r="AC745" s="7">
        <f>MAX(0,Log_2019[[#This Row],[Split_raw]] - (EDATE(AA$1,1)-Log_2019[[#This Row],[Date]]))</f>
        <v>0</v>
      </c>
    </row>
    <row r="746" spans="1:29" x14ac:dyDescent="0.25">
      <c r="A746" s="42"/>
      <c r="B746" t="s">
        <v>96</v>
      </c>
      <c r="D746" s="39">
        <v>43483</v>
      </c>
      <c r="F746" t="s">
        <v>495</v>
      </c>
      <c r="H746" s="3">
        <v>11</v>
      </c>
      <c r="I746" s="36">
        <f>IF(Log_2019[[#This Row],[My Category]]="NONTRACKED",0,Log_2019[[#This Row],[Raw Amount]])</f>
        <v>11</v>
      </c>
      <c r="J746" s="17">
        <f>ABS(Log_2019[[#This Row],[Amount]])</f>
        <v>11</v>
      </c>
      <c r="K746" s="5">
        <v>1</v>
      </c>
      <c r="L746" s="38">
        <f ca="1">IF(Log_2019[[#This Row],[Date]]&lt;=TODAY(), MIN(Log_2019[[#This Row],[Split_raw]], TODAY()-Log_2019[[#This Row],[Date]]+1), 0)</f>
        <v>1</v>
      </c>
      <c r="M746" t="s">
        <v>35</v>
      </c>
      <c r="N746" t="s">
        <v>156</v>
      </c>
      <c r="O746" s="7">
        <v>0</v>
      </c>
      <c r="P746" s="52">
        <f ca="1">Log_2019[[#This Row],[Amount]]/Log_2019[[#This Row],[Split_raw]]*MAX(0,MIN(_xlfn.DAYS(EDATE(P$1,1),Log_2019[[#This Row],[Date]]),Log_2019[[#This Row],[Split_apply]])) - SUM($O746:O746)</f>
        <v>11</v>
      </c>
      <c r="Q746" s="52">
        <f ca="1">Log_2019[[#This Row],[Amount]]/Log_2019[[#This Row],[Split_raw]]*MAX(0,MIN(_xlfn.DAYS(EDATE(Q$1,1),Log_2019[[#This Row],[Date]]),Log_2019[[#This Row],[Split_apply]])) - SUM($O746:P746)</f>
        <v>0</v>
      </c>
      <c r="R746" s="52">
        <f ca="1">Log_2019[[#This Row],[Amount]]/Log_2019[[#This Row],[Split_raw]]*MAX(0,MIN(_xlfn.DAYS(EDATE(R$1,1),Log_2019[[#This Row],[Date]]),Log_2019[[#This Row],[Split_apply]])) - SUM($O746:Q746)</f>
        <v>0</v>
      </c>
      <c r="S746" s="52">
        <f ca="1">Log_2019[[#This Row],[Amount]]/Log_2019[[#This Row],[Split_raw]]*MAX(0,MIN(_xlfn.DAYS(EDATE(S$1,1),Log_2019[[#This Row],[Date]]),Log_2019[[#This Row],[Split_apply]])) - SUM($O746:R746)</f>
        <v>0</v>
      </c>
      <c r="T746" s="52">
        <f ca="1">Log_2019[[#This Row],[Amount]]/Log_2019[[#This Row],[Split_raw]]*MAX(0,MIN(_xlfn.DAYS(EDATE(T$1,1),Log_2019[[#This Row],[Date]]),Log_2019[[#This Row],[Split_apply]])) - SUM($O746:S746)</f>
        <v>0</v>
      </c>
      <c r="U746" s="52">
        <f ca="1">Log_2019[[#This Row],[Amount]]/Log_2019[[#This Row],[Split_raw]]*MAX(0,MIN(_xlfn.DAYS(EDATE(U$1,1),Log_2019[[#This Row],[Date]]),Log_2019[[#This Row],[Split_apply]])) - SUM($O746:T746)</f>
        <v>0</v>
      </c>
      <c r="V746" s="52">
        <f ca="1">Log_2019[[#This Row],[Amount]]/Log_2019[[#This Row],[Split_raw]]*MAX(0,MIN(_xlfn.DAYS(EDATE(V$1,1),Log_2019[[#This Row],[Date]]),Log_2019[[#This Row],[Split_apply]])) - SUM($O746:U746)</f>
        <v>0</v>
      </c>
      <c r="W746" s="52">
        <f ca="1">Log_2019[[#This Row],[Amount]]/Log_2019[[#This Row],[Split_raw]]*MAX(0,MIN(_xlfn.DAYS(EDATE(W$1,1),Log_2019[[#This Row],[Date]]),Log_2019[[#This Row],[Split_apply]])) - SUM($O746:V746)</f>
        <v>0</v>
      </c>
      <c r="X746" s="52">
        <f ca="1">Log_2019[[#This Row],[Amount]]/Log_2019[[#This Row],[Split_raw]]*MAX(0,MIN(_xlfn.DAYS(EDATE(X$1,1),Log_2019[[#This Row],[Date]]),Log_2019[[#This Row],[Split_apply]])) - SUM($O746:W746)</f>
        <v>0</v>
      </c>
      <c r="Y746" s="52">
        <f ca="1">Log_2019[[#This Row],[Amount]]/Log_2019[[#This Row],[Split_raw]]*MAX(0,MIN(_xlfn.DAYS(EDATE(Y$1,1),Log_2019[[#This Row],[Date]]),Log_2019[[#This Row],[Split_apply]])) - SUM($O746:X746)</f>
        <v>0</v>
      </c>
      <c r="Z746" s="52">
        <f ca="1">Log_2019[[#This Row],[Amount]]/Log_2019[[#This Row],[Split_raw]]*MAX(0,MIN(_xlfn.DAYS(EDATE(Z$1,1),Log_2019[[#This Row],[Date]]),Log_2019[[#This Row],[Split_apply]])) - SUM($O746:Y746)</f>
        <v>0</v>
      </c>
      <c r="AA746" s="52">
        <f ca="1">Log_2019[[#This Row],[Amount]]/Log_2019[[#This Row],[Split_raw]]*MAX(0,MIN(_xlfn.DAYS(EDATE(AA$1,1),Log_2019[[#This Row],[Date]]),Log_2019[[#This Row],[Split_apply]])) - SUM($O746:Z746)</f>
        <v>0</v>
      </c>
      <c r="AB746" s="54">
        <f ca="1">Log_2019[[#This Row],[Amount]]-SUM(O746:AA746)</f>
        <v>0</v>
      </c>
      <c r="AC746" s="7">
        <f>MAX(0,Log_2019[[#This Row],[Split_raw]] - (EDATE(AA$1,1)-Log_2019[[#This Row],[Date]]))</f>
        <v>0</v>
      </c>
    </row>
    <row r="747" spans="1:29" x14ac:dyDescent="0.25">
      <c r="A747" s="42"/>
      <c r="B747" t="s">
        <v>490</v>
      </c>
      <c r="C747" s="30">
        <v>2.6597453836677202E+18</v>
      </c>
      <c r="D747" s="39">
        <v>43483</v>
      </c>
      <c r="F747" t="s">
        <v>491</v>
      </c>
      <c r="H747" s="3">
        <v>9</v>
      </c>
      <c r="I747" s="36">
        <f>IF(Log_2019[[#This Row],[My Category]]="NONTRACKED",0,Log_2019[[#This Row],[Raw Amount]])</f>
        <v>9</v>
      </c>
      <c r="J747" s="17">
        <f>ABS(Log_2019[[#This Row],[Amount]])</f>
        <v>9</v>
      </c>
      <c r="K747" s="5">
        <v>1</v>
      </c>
      <c r="L747" s="38">
        <f ca="1">IF(Log_2019[[#This Row],[Date]]&lt;=TODAY(), MIN(Log_2019[[#This Row],[Split_raw]], TODAY()-Log_2019[[#This Row],[Date]]+1), 0)</f>
        <v>1</v>
      </c>
      <c r="M747" t="s">
        <v>35</v>
      </c>
      <c r="N747" t="s">
        <v>489</v>
      </c>
      <c r="O747" s="7">
        <v>0</v>
      </c>
      <c r="P747" s="52">
        <f ca="1">Log_2019[[#This Row],[Amount]]/Log_2019[[#This Row],[Split_raw]]*MAX(0,MIN(_xlfn.DAYS(EDATE(P$1,1),Log_2019[[#This Row],[Date]]),Log_2019[[#This Row],[Split_apply]])) - SUM($O747:O747)</f>
        <v>9</v>
      </c>
      <c r="Q747" s="52">
        <f ca="1">Log_2019[[#This Row],[Amount]]/Log_2019[[#This Row],[Split_raw]]*MAX(0,MIN(_xlfn.DAYS(EDATE(Q$1,1),Log_2019[[#This Row],[Date]]),Log_2019[[#This Row],[Split_apply]])) - SUM($O747:P747)</f>
        <v>0</v>
      </c>
      <c r="R747" s="52">
        <f ca="1">Log_2019[[#This Row],[Amount]]/Log_2019[[#This Row],[Split_raw]]*MAX(0,MIN(_xlfn.DAYS(EDATE(R$1,1),Log_2019[[#This Row],[Date]]),Log_2019[[#This Row],[Split_apply]])) - SUM($O747:Q747)</f>
        <v>0</v>
      </c>
      <c r="S747" s="52">
        <f ca="1">Log_2019[[#This Row],[Amount]]/Log_2019[[#This Row],[Split_raw]]*MAX(0,MIN(_xlfn.DAYS(EDATE(S$1,1),Log_2019[[#This Row],[Date]]),Log_2019[[#This Row],[Split_apply]])) - SUM($O747:R747)</f>
        <v>0</v>
      </c>
      <c r="T747" s="52">
        <f ca="1">Log_2019[[#This Row],[Amount]]/Log_2019[[#This Row],[Split_raw]]*MAX(0,MIN(_xlfn.DAYS(EDATE(T$1,1),Log_2019[[#This Row],[Date]]),Log_2019[[#This Row],[Split_apply]])) - SUM($O747:S747)</f>
        <v>0</v>
      </c>
      <c r="U747" s="52">
        <f ca="1">Log_2019[[#This Row],[Amount]]/Log_2019[[#This Row],[Split_raw]]*MAX(0,MIN(_xlfn.DAYS(EDATE(U$1,1),Log_2019[[#This Row],[Date]]),Log_2019[[#This Row],[Split_apply]])) - SUM($O747:T747)</f>
        <v>0</v>
      </c>
      <c r="V747" s="52">
        <f ca="1">Log_2019[[#This Row],[Amount]]/Log_2019[[#This Row],[Split_raw]]*MAX(0,MIN(_xlfn.DAYS(EDATE(V$1,1),Log_2019[[#This Row],[Date]]),Log_2019[[#This Row],[Split_apply]])) - SUM($O747:U747)</f>
        <v>0</v>
      </c>
      <c r="W747" s="52">
        <f ca="1">Log_2019[[#This Row],[Amount]]/Log_2019[[#This Row],[Split_raw]]*MAX(0,MIN(_xlfn.DAYS(EDATE(W$1,1),Log_2019[[#This Row],[Date]]),Log_2019[[#This Row],[Split_apply]])) - SUM($O747:V747)</f>
        <v>0</v>
      </c>
      <c r="X747" s="52">
        <f ca="1">Log_2019[[#This Row],[Amount]]/Log_2019[[#This Row],[Split_raw]]*MAX(0,MIN(_xlfn.DAYS(EDATE(X$1,1),Log_2019[[#This Row],[Date]]),Log_2019[[#This Row],[Split_apply]])) - SUM($O747:W747)</f>
        <v>0</v>
      </c>
      <c r="Y747" s="52">
        <f ca="1">Log_2019[[#This Row],[Amount]]/Log_2019[[#This Row],[Split_raw]]*MAX(0,MIN(_xlfn.DAYS(EDATE(Y$1,1),Log_2019[[#This Row],[Date]]),Log_2019[[#This Row],[Split_apply]])) - SUM($O747:X747)</f>
        <v>0</v>
      </c>
      <c r="Z747" s="52">
        <f ca="1">Log_2019[[#This Row],[Amount]]/Log_2019[[#This Row],[Split_raw]]*MAX(0,MIN(_xlfn.DAYS(EDATE(Z$1,1),Log_2019[[#This Row],[Date]]),Log_2019[[#This Row],[Split_apply]])) - SUM($O747:Y747)</f>
        <v>0</v>
      </c>
      <c r="AA747" s="52">
        <f ca="1">Log_2019[[#This Row],[Amount]]/Log_2019[[#This Row],[Split_raw]]*MAX(0,MIN(_xlfn.DAYS(EDATE(AA$1,1),Log_2019[[#This Row],[Date]]),Log_2019[[#This Row],[Split_apply]])) - SUM($O747:Z747)</f>
        <v>0</v>
      </c>
      <c r="AB747" s="54">
        <f ca="1">Log_2019[[#This Row],[Amount]]-SUM(O747:AA747)</f>
        <v>0</v>
      </c>
      <c r="AC747" s="7">
        <f>MAX(0,Log_2019[[#This Row],[Split_raw]] - (EDATE(AA$1,1)-Log_2019[[#This Row],[Date]]))</f>
        <v>0</v>
      </c>
    </row>
    <row r="748" spans="1:29" x14ac:dyDescent="0.25">
      <c r="A748" s="42"/>
      <c r="B748" t="s">
        <v>490</v>
      </c>
      <c r="C748" s="30">
        <v>2.6597454579236803E+18</v>
      </c>
      <c r="D748" s="39">
        <v>43483</v>
      </c>
      <c r="F748" t="s">
        <v>492</v>
      </c>
      <c r="H748" s="3">
        <v>9</v>
      </c>
      <c r="I748" s="36">
        <f>IF(Log_2019[[#This Row],[My Category]]="NONTRACKED",0,Log_2019[[#This Row],[Raw Amount]])</f>
        <v>9</v>
      </c>
      <c r="J748" s="17">
        <f>ABS(Log_2019[[#This Row],[Amount]])</f>
        <v>9</v>
      </c>
      <c r="K748" s="5">
        <v>1</v>
      </c>
      <c r="L748" s="38">
        <f ca="1">IF(Log_2019[[#This Row],[Date]]&lt;=TODAY(), MIN(Log_2019[[#This Row],[Split_raw]], TODAY()-Log_2019[[#This Row],[Date]]+1), 0)</f>
        <v>1</v>
      </c>
      <c r="M748" t="s">
        <v>35</v>
      </c>
      <c r="N748" t="s">
        <v>489</v>
      </c>
      <c r="O748" s="7">
        <v>0</v>
      </c>
      <c r="P748" s="52">
        <f ca="1">Log_2019[[#This Row],[Amount]]/Log_2019[[#This Row],[Split_raw]]*MAX(0,MIN(_xlfn.DAYS(EDATE(P$1,1),Log_2019[[#This Row],[Date]]),Log_2019[[#This Row],[Split_apply]])) - SUM($O748:O748)</f>
        <v>9</v>
      </c>
      <c r="Q748" s="52">
        <f ca="1">Log_2019[[#This Row],[Amount]]/Log_2019[[#This Row],[Split_raw]]*MAX(0,MIN(_xlfn.DAYS(EDATE(Q$1,1),Log_2019[[#This Row],[Date]]),Log_2019[[#This Row],[Split_apply]])) - SUM($O748:P748)</f>
        <v>0</v>
      </c>
      <c r="R748" s="52">
        <f ca="1">Log_2019[[#This Row],[Amount]]/Log_2019[[#This Row],[Split_raw]]*MAX(0,MIN(_xlfn.DAYS(EDATE(R$1,1),Log_2019[[#This Row],[Date]]),Log_2019[[#This Row],[Split_apply]])) - SUM($O748:Q748)</f>
        <v>0</v>
      </c>
      <c r="S748" s="52">
        <f ca="1">Log_2019[[#This Row],[Amount]]/Log_2019[[#This Row],[Split_raw]]*MAX(0,MIN(_xlfn.DAYS(EDATE(S$1,1),Log_2019[[#This Row],[Date]]),Log_2019[[#This Row],[Split_apply]])) - SUM($O748:R748)</f>
        <v>0</v>
      </c>
      <c r="T748" s="52">
        <f ca="1">Log_2019[[#This Row],[Amount]]/Log_2019[[#This Row],[Split_raw]]*MAX(0,MIN(_xlfn.DAYS(EDATE(T$1,1),Log_2019[[#This Row],[Date]]),Log_2019[[#This Row],[Split_apply]])) - SUM($O748:S748)</f>
        <v>0</v>
      </c>
      <c r="U748" s="52">
        <f ca="1">Log_2019[[#This Row],[Amount]]/Log_2019[[#This Row],[Split_raw]]*MAX(0,MIN(_xlfn.DAYS(EDATE(U$1,1),Log_2019[[#This Row],[Date]]),Log_2019[[#This Row],[Split_apply]])) - SUM($O748:T748)</f>
        <v>0</v>
      </c>
      <c r="V748" s="52">
        <f ca="1">Log_2019[[#This Row],[Amount]]/Log_2019[[#This Row],[Split_raw]]*MAX(0,MIN(_xlfn.DAYS(EDATE(V$1,1),Log_2019[[#This Row],[Date]]),Log_2019[[#This Row],[Split_apply]])) - SUM($O748:U748)</f>
        <v>0</v>
      </c>
      <c r="W748" s="52">
        <f ca="1">Log_2019[[#This Row],[Amount]]/Log_2019[[#This Row],[Split_raw]]*MAX(0,MIN(_xlfn.DAYS(EDATE(W$1,1),Log_2019[[#This Row],[Date]]),Log_2019[[#This Row],[Split_apply]])) - SUM($O748:V748)</f>
        <v>0</v>
      </c>
      <c r="X748" s="52">
        <f ca="1">Log_2019[[#This Row],[Amount]]/Log_2019[[#This Row],[Split_raw]]*MAX(0,MIN(_xlfn.DAYS(EDATE(X$1,1),Log_2019[[#This Row],[Date]]),Log_2019[[#This Row],[Split_apply]])) - SUM($O748:W748)</f>
        <v>0</v>
      </c>
      <c r="Y748" s="52">
        <f ca="1">Log_2019[[#This Row],[Amount]]/Log_2019[[#This Row],[Split_raw]]*MAX(0,MIN(_xlfn.DAYS(EDATE(Y$1,1),Log_2019[[#This Row],[Date]]),Log_2019[[#This Row],[Split_apply]])) - SUM($O748:X748)</f>
        <v>0</v>
      </c>
      <c r="Z748" s="52">
        <f ca="1">Log_2019[[#This Row],[Amount]]/Log_2019[[#This Row],[Split_raw]]*MAX(0,MIN(_xlfn.DAYS(EDATE(Z$1,1),Log_2019[[#This Row],[Date]]),Log_2019[[#This Row],[Split_apply]])) - SUM($O748:Y748)</f>
        <v>0</v>
      </c>
      <c r="AA748" s="52">
        <f ca="1">Log_2019[[#This Row],[Amount]]/Log_2019[[#This Row],[Split_raw]]*MAX(0,MIN(_xlfn.DAYS(EDATE(AA$1,1),Log_2019[[#This Row],[Date]]),Log_2019[[#This Row],[Split_apply]])) - SUM($O748:Z748)</f>
        <v>0</v>
      </c>
      <c r="AB748" s="54">
        <f ca="1">Log_2019[[#This Row],[Amount]]-SUM(O748:AA748)</f>
        <v>0</v>
      </c>
      <c r="AC748" s="7">
        <f>MAX(0,Log_2019[[#This Row],[Split_raw]] - (EDATE(AA$1,1)-Log_2019[[#This Row],[Date]]))</f>
        <v>0</v>
      </c>
    </row>
    <row r="749" spans="1:29" x14ac:dyDescent="0.25">
      <c r="A749" s="42"/>
      <c r="B749" t="s">
        <v>490</v>
      </c>
      <c r="C749" s="30">
        <v>2.6597457187003402E+18</v>
      </c>
      <c r="D749" s="39">
        <v>43483</v>
      </c>
      <c r="F749" t="s">
        <v>493</v>
      </c>
      <c r="H749" s="3">
        <v>11</v>
      </c>
      <c r="I749" s="36">
        <f>IF(Log_2019[[#This Row],[My Category]]="NONTRACKED",0,Log_2019[[#This Row],[Raw Amount]])</f>
        <v>11</v>
      </c>
      <c r="J749" s="17">
        <f>ABS(Log_2019[[#This Row],[Amount]])</f>
        <v>11</v>
      </c>
      <c r="K749" s="5">
        <v>1</v>
      </c>
      <c r="L749" s="38">
        <f ca="1">IF(Log_2019[[#This Row],[Date]]&lt;=TODAY(), MIN(Log_2019[[#This Row],[Split_raw]], TODAY()-Log_2019[[#This Row],[Date]]+1), 0)</f>
        <v>1</v>
      </c>
      <c r="M749" t="s">
        <v>35</v>
      </c>
      <c r="N749" t="s">
        <v>489</v>
      </c>
      <c r="O749" s="7">
        <v>0</v>
      </c>
      <c r="P749" s="52">
        <f ca="1">Log_2019[[#This Row],[Amount]]/Log_2019[[#This Row],[Split_raw]]*MAX(0,MIN(_xlfn.DAYS(EDATE(P$1,1),Log_2019[[#This Row],[Date]]),Log_2019[[#This Row],[Split_apply]])) - SUM($O749:O749)</f>
        <v>11</v>
      </c>
      <c r="Q749" s="52">
        <f ca="1">Log_2019[[#This Row],[Amount]]/Log_2019[[#This Row],[Split_raw]]*MAX(0,MIN(_xlfn.DAYS(EDATE(Q$1,1),Log_2019[[#This Row],[Date]]),Log_2019[[#This Row],[Split_apply]])) - SUM($O749:P749)</f>
        <v>0</v>
      </c>
      <c r="R749" s="52">
        <f ca="1">Log_2019[[#This Row],[Amount]]/Log_2019[[#This Row],[Split_raw]]*MAX(0,MIN(_xlfn.DAYS(EDATE(R$1,1),Log_2019[[#This Row],[Date]]),Log_2019[[#This Row],[Split_apply]])) - SUM($O749:Q749)</f>
        <v>0</v>
      </c>
      <c r="S749" s="52">
        <f ca="1">Log_2019[[#This Row],[Amount]]/Log_2019[[#This Row],[Split_raw]]*MAX(0,MIN(_xlfn.DAYS(EDATE(S$1,1),Log_2019[[#This Row],[Date]]),Log_2019[[#This Row],[Split_apply]])) - SUM($O749:R749)</f>
        <v>0</v>
      </c>
      <c r="T749" s="52">
        <f ca="1">Log_2019[[#This Row],[Amount]]/Log_2019[[#This Row],[Split_raw]]*MAX(0,MIN(_xlfn.DAYS(EDATE(T$1,1),Log_2019[[#This Row],[Date]]),Log_2019[[#This Row],[Split_apply]])) - SUM($O749:S749)</f>
        <v>0</v>
      </c>
      <c r="U749" s="52">
        <f ca="1">Log_2019[[#This Row],[Amount]]/Log_2019[[#This Row],[Split_raw]]*MAX(0,MIN(_xlfn.DAYS(EDATE(U$1,1),Log_2019[[#This Row],[Date]]),Log_2019[[#This Row],[Split_apply]])) - SUM($O749:T749)</f>
        <v>0</v>
      </c>
      <c r="V749" s="52">
        <f ca="1">Log_2019[[#This Row],[Amount]]/Log_2019[[#This Row],[Split_raw]]*MAX(0,MIN(_xlfn.DAYS(EDATE(V$1,1),Log_2019[[#This Row],[Date]]),Log_2019[[#This Row],[Split_apply]])) - SUM($O749:U749)</f>
        <v>0</v>
      </c>
      <c r="W749" s="52">
        <f ca="1">Log_2019[[#This Row],[Amount]]/Log_2019[[#This Row],[Split_raw]]*MAX(0,MIN(_xlfn.DAYS(EDATE(W$1,1),Log_2019[[#This Row],[Date]]),Log_2019[[#This Row],[Split_apply]])) - SUM($O749:V749)</f>
        <v>0</v>
      </c>
      <c r="X749" s="52">
        <f ca="1">Log_2019[[#This Row],[Amount]]/Log_2019[[#This Row],[Split_raw]]*MAX(0,MIN(_xlfn.DAYS(EDATE(X$1,1),Log_2019[[#This Row],[Date]]),Log_2019[[#This Row],[Split_apply]])) - SUM($O749:W749)</f>
        <v>0</v>
      </c>
      <c r="Y749" s="52">
        <f ca="1">Log_2019[[#This Row],[Amount]]/Log_2019[[#This Row],[Split_raw]]*MAX(0,MIN(_xlfn.DAYS(EDATE(Y$1,1),Log_2019[[#This Row],[Date]]),Log_2019[[#This Row],[Split_apply]])) - SUM($O749:X749)</f>
        <v>0</v>
      </c>
      <c r="Z749" s="52">
        <f ca="1">Log_2019[[#This Row],[Amount]]/Log_2019[[#This Row],[Split_raw]]*MAX(0,MIN(_xlfn.DAYS(EDATE(Z$1,1),Log_2019[[#This Row],[Date]]),Log_2019[[#This Row],[Split_apply]])) - SUM($O749:Y749)</f>
        <v>0</v>
      </c>
      <c r="AA749" s="52">
        <f ca="1">Log_2019[[#This Row],[Amount]]/Log_2019[[#This Row],[Split_raw]]*MAX(0,MIN(_xlfn.DAYS(EDATE(AA$1,1),Log_2019[[#This Row],[Date]]),Log_2019[[#This Row],[Split_apply]])) - SUM($O749:Z749)</f>
        <v>0</v>
      </c>
      <c r="AB749" s="54">
        <f ca="1">Log_2019[[#This Row],[Amount]]-SUM(O749:AA749)</f>
        <v>0</v>
      </c>
      <c r="AC749" s="7">
        <f>MAX(0,Log_2019[[#This Row],[Split_raw]] - (EDATE(AA$1,1)-Log_2019[[#This Row],[Date]]))</f>
        <v>0</v>
      </c>
    </row>
    <row r="750" spans="1:29" x14ac:dyDescent="0.25">
      <c r="A750" s="42"/>
      <c r="B750" t="s">
        <v>490</v>
      </c>
      <c r="C750" s="30">
        <v>2.65974592755151E+18</v>
      </c>
      <c r="D750" s="39">
        <v>43483</v>
      </c>
      <c r="F750" t="s">
        <v>494</v>
      </c>
      <c r="H750" s="3">
        <v>11</v>
      </c>
      <c r="I750" s="36">
        <f>IF(Log_2019[[#This Row],[My Category]]="NONTRACKED",0,Log_2019[[#This Row],[Raw Amount]])</f>
        <v>11</v>
      </c>
      <c r="J750" s="17">
        <f>ABS(Log_2019[[#This Row],[Amount]])</f>
        <v>11</v>
      </c>
      <c r="K750" s="5">
        <v>1</v>
      </c>
      <c r="L750" s="38">
        <f ca="1">IF(Log_2019[[#This Row],[Date]]&lt;=TODAY(), MIN(Log_2019[[#This Row],[Split_raw]], TODAY()-Log_2019[[#This Row],[Date]]+1), 0)</f>
        <v>1</v>
      </c>
      <c r="M750" t="s">
        <v>35</v>
      </c>
      <c r="N750" t="s">
        <v>489</v>
      </c>
      <c r="O750" s="7">
        <v>0</v>
      </c>
      <c r="P750" s="52">
        <f ca="1">Log_2019[[#This Row],[Amount]]/Log_2019[[#This Row],[Split_raw]]*MAX(0,MIN(_xlfn.DAYS(EDATE(P$1,1),Log_2019[[#This Row],[Date]]),Log_2019[[#This Row],[Split_apply]])) - SUM($O750:O750)</f>
        <v>11</v>
      </c>
      <c r="Q750" s="52">
        <f ca="1">Log_2019[[#This Row],[Amount]]/Log_2019[[#This Row],[Split_raw]]*MAX(0,MIN(_xlfn.DAYS(EDATE(Q$1,1),Log_2019[[#This Row],[Date]]),Log_2019[[#This Row],[Split_apply]])) - SUM($O750:P750)</f>
        <v>0</v>
      </c>
      <c r="R750" s="52">
        <f ca="1">Log_2019[[#This Row],[Amount]]/Log_2019[[#This Row],[Split_raw]]*MAX(0,MIN(_xlfn.DAYS(EDATE(R$1,1),Log_2019[[#This Row],[Date]]),Log_2019[[#This Row],[Split_apply]])) - SUM($O750:Q750)</f>
        <v>0</v>
      </c>
      <c r="S750" s="52">
        <f ca="1">Log_2019[[#This Row],[Amount]]/Log_2019[[#This Row],[Split_raw]]*MAX(0,MIN(_xlfn.DAYS(EDATE(S$1,1),Log_2019[[#This Row],[Date]]),Log_2019[[#This Row],[Split_apply]])) - SUM($O750:R750)</f>
        <v>0</v>
      </c>
      <c r="T750" s="52">
        <f ca="1">Log_2019[[#This Row],[Amount]]/Log_2019[[#This Row],[Split_raw]]*MAX(0,MIN(_xlfn.DAYS(EDATE(T$1,1),Log_2019[[#This Row],[Date]]),Log_2019[[#This Row],[Split_apply]])) - SUM($O750:S750)</f>
        <v>0</v>
      </c>
      <c r="U750" s="52">
        <f ca="1">Log_2019[[#This Row],[Amount]]/Log_2019[[#This Row],[Split_raw]]*MAX(0,MIN(_xlfn.DAYS(EDATE(U$1,1),Log_2019[[#This Row],[Date]]),Log_2019[[#This Row],[Split_apply]])) - SUM($O750:T750)</f>
        <v>0</v>
      </c>
      <c r="V750" s="52">
        <f ca="1">Log_2019[[#This Row],[Amount]]/Log_2019[[#This Row],[Split_raw]]*MAX(0,MIN(_xlfn.DAYS(EDATE(V$1,1),Log_2019[[#This Row],[Date]]),Log_2019[[#This Row],[Split_apply]])) - SUM($O750:U750)</f>
        <v>0</v>
      </c>
      <c r="W750" s="52">
        <f ca="1">Log_2019[[#This Row],[Amount]]/Log_2019[[#This Row],[Split_raw]]*MAX(0,MIN(_xlfn.DAYS(EDATE(W$1,1),Log_2019[[#This Row],[Date]]),Log_2019[[#This Row],[Split_apply]])) - SUM($O750:V750)</f>
        <v>0</v>
      </c>
      <c r="X750" s="52">
        <f ca="1">Log_2019[[#This Row],[Amount]]/Log_2019[[#This Row],[Split_raw]]*MAX(0,MIN(_xlfn.DAYS(EDATE(X$1,1),Log_2019[[#This Row],[Date]]),Log_2019[[#This Row],[Split_apply]])) - SUM($O750:W750)</f>
        <v>0</v>
      </c>
      <c r="Y750" s="52">
        <f ca="1">Log_2019[[#This Row],[Amount]]/Log_2019[[#This Row],[Split_raw]]*MAX(0,MIN(_xlfn.DAYS(EDATE(Y$1,1),Log_2019[[#This Row],[Date]]),Log_2019[[#This Row],[Split_apply]])) - SUM($O750:X750)</f>
        <v>0</v>
      </c>
      <c r="Z750" s="52">
        <f ca="1">Log_2019[[#This Row],[Amount]]/Log_2019[[#This Row],[Split_raw]]*MAX(0,MIN(_xlfn.DAYS(EDATE(Z$1,1),Log_2019[[#This Row],[Date]]),Log_2019[[#This Row],[Split_apply]])) - SUM($O750:Y750)</f>
        <v>0</v>
      </c>
      <c r="AA750" s="52">
        <f ca="1">Log_2019[[#This Row],[Amount]]/Log_2019[[#This Row],[Split_raw]]*MAX(0,MIN(_xlfn.DAYS(EDATE(AA$1,1),Log_2019[[#This Row],[Date]]),Log_2019[[#This Row],[Split_apply]])) - SUM($O750:Z750)</f>
        <v>0</v>
      </c>
      <c r="AB750" s="54">
        <f ca="1">Log_2019[[#This Row],[Amount]]-SUM(O750:AA750)</f>
        <v>0</v>
      </c>
      <c r="AC750" s="7">
        <f>MAX(0,Log_2019[[#This Row],[Split_raw]] - (EDATE(AA$1,1)-Log_2019[[#This Row],[Date]]))</f>
        <v>0</v>
      </c>
    </row>
    <row r="751" spans="1:29" x14ac:dyDescent="0.25">
      <c r="A751" s="42"/>
      <c r="B751" t="s">
        <v>6</v>
      </c>
      <c r="D751" s="39">
        <v>43483</v>
      </c>
      <c r="F751" t="s">
        <v>475</v>
      </c>
      <c r="G751" t="s">
        <v>29</v>
      </c>
      <c r="H751" s="3">
        <v>-35.6</v>
      </c>
      <c r="I751" s="36">
        <f>IF(Log_2019[[#This Row],[My Category]]="NONTRACKED",0,Log_2019[[#This Row],[Raw Amount]])</f>
        <v>-35.6</v>
      </c>
      <c r="J751" s="17">
        <f>ABS(Log_2019[[#This Row],[Amount]])</f>
        <v>35.6</v>
      </c>
      <c r="K751" s="5">
        <v>30</v>
      </c>
      <c r="L751" s="38">
        <f ca="1">IF(Log_2019[[#This Row],[Date]]&lt;=TODAY(), MIN(Log_2019[[#This Row],[Split_raw]], TODAY()-Log_2019[[#This Row],[Date]]+1), 0)</f>
        <v>30</v>
      </c>
      <c r="M751" t="s">
        <v>29</v>
      </c>
      <c r="N751" t="s">
        <v>160</v>
      </c>
      <c r="O751" s="7">
        <v>0</v>
      </c>
      <c r="P751" s="52">
        <f ca="1">Log_2019[[#This Row],[Amount]]/Log_2019[[#This Row],[Split_raw]]*MAX(0,MIN(_xlfn.DAYS(EDATE(P$1,1),Log_2019[[#This Row],[Date]]),Log_2019[[#This Row],[Split_apply]])) - SUM($O751:O751)</f>
        <v>-16.613333333333333</v>
      </c>
      <c r="Q751" s="52">
        <f ca="1">Log_2019[[#This Row],[Amount]]/Log_2019[[#This Row],[Split_raw]]*MAX(0,MIN(_xlfn.DAYS(EDATE(Q$1,1),Log_2019[[#This Row],[Date]]),Log_2019[[#This Row],[Split_apply]])) - SUM($O751:P751)</f>
        <v>-18.986666666666668</v>
      </c>
      <c r="R751" s="52">
        <f ca="1">Log_2019[[#This Row],[Amount]]/Log_2019[[#This Row],[Split_raw]]*MAX(0,MIN(_xlfn.DAYS(EDATE(R$1,1),Log_2019[[#This Row],[Date]]),Log_2019[[#This Row],[Split_apply]])) - SUM($O751:Q751)</f>
        <v>0</v>
      </c>
      <c r="S751" s="52">
        <f ca="1">Log_2019[[#This Row],[Amount]]/Log_2019[[#This Row],[Split_raw]]*MAX(0,MIN(_xlfn.DAYS(EDATE(S$1,1),Log_2019[[#This Row],[Date]]),Log_2019[[#This Row],[Split_apply]])) - SUM($O751:R751)</f>
        <v>0</v>
      </c>
      <c r="T751" s="52">
        <f ca="1">Log_2019[[#This Row],[Amount]]/Log_2019[[#This Row],[Split_raw]]*MAX(0,MIN(_xlfn.DAYS(EDATE(T$1,1),Log_2019[[#This Row],[Date]]),Log_2019[[#This Row],[Split_apply]])) - SUM($O751:S751)</f>
        <v>0</v>
      </c>
      <c r="U751" s="52">
        <f ca="1">Log_2019[[#This Row],[Amount]]/Log_2019[[#This Row],[Split_raw]]*MAX(0,MIN(_xlfn.DAYS(EDATE(U$1,1),Log_2019[[#This Row],[Date]]),Log_2019[[#This Row],[Split_apply]])) - SUM($O751:T751)</f>
        <v>0</v>
      </c>
      <c r="V751" s="52">
        <f ca="1">Log_2019[[#This Row],[Amount]]/Log_2019[[#This Row],[Split_raw]]*MAX(0,MIN(_xlfn.DAYS(EDATE(V$1,1),Log_2019[[#This Row],[Date]]),Log_2019[[#This Row],[Split_apply]])) - SUM($O751:U751)</f>
        <v>0</v>
      </c>
      <c r="W751" s="52">
        <f ca="1">Log_2019[[#This Row],[Amount]]/Log_2019[[#This Row],[Split_raw]]*MAX(0,MIN(_xlfn.DAYS(EDATE(W$1,1),Log_2019[[#This Row],[Date]]),Log_2019[[#This Row],[Split_apply]])) - SUM($O751:V751)</f>
        <v>0</v>
      </c>
      <c r="X751" s="52">
        <f ca="1">Log_2019[[#This Row],[Amount]]/Log_2019[[#This Row],[Split_raw]]*MAX(0,MIN(_xlfn.DAYS(EDATE(X$1,1),Log_2019[[#This Row],[Date]]),Log_2019[[#This Row],[Split_apply]])) - SUM($O751:W751)</f>
        <v>0</v>
      </c>
      <c r="Y751" s="52">
        <f ca="1">Log_2019[[#This Row],[Amount]]/Log_2019[[#This Row],[Split_raw]]*MAX(0,MIN(_xlfn.DAYS(EDATE(Y$1,1),Log_2019[[#This Row],[Date]]),Log_2019[[#This Row],[Split_apply]])) - SUM($O751:X751)</f>
        <v>0</v>
      </c>
      <c r="Z751" s="52">
        <f ca="1">Log_2019[[#This Row],[Amount]]/Log_2019[[#This Row],[Split_raw]]*MAX(0,MIN(_xlfn.DAYS(EDATE(Z$1,1),Log_2019[[#This Row],[Date]]),Log_2019[[#This Row],[Split_apply]])) - SUM($O751:Y751)</f>
        <v>0</v>
      </c>
      <c r="AA751" s="52">
        <f ca="1">Log_2019[[#This Row],[Amount]]/Log_2019[[#This Row],[Split_raw]]*MAX(0,MIN(_xlfn.DAYS(EDATE(AA$1,1),Log_2019[[#This Row],[Date]]),Log_2019[[#This Row],[Split_apply]])) - SUM($O751:Z751)</f>
        <v>0</v>
      </c>
      <c r="AB751" s="54">
        <f ca="1">Log_2019[[#This Row],[Amount]]-SUM(O751:AA751)</f>
        <v>0</v>
      </c>
      <c r="AC751" s="7">
        <f>MAX(0,Log_2019[[#This Row],[Split_raw]] - (EDATE(AA$1,1)-Log_2019[[#This Row],[Date]]))</f>
        <v>0</v>
      </c>
    </row>
    <row r="752" spans="1:29" x14ac:dyDescent="0.25">
      <c r="A752" s="42"/>
      <c r="B752" t="s">
        <v>6</v>
      </c>
      <c r="D752" s="39">
        <v>43482</v>
      </c>
      <c r="F752" t="s">
        <v>255</v>
      </c>
      <c r="G752" t="s">
        <v>25</v>
      </c>
      <c r="H752" s="3">
        <v>-3.84</v>
      </c>
      <c r="I752" s="36">
        <f>IF(Log_2019[[#This Row],[My Category]]="NONTRACKED",0,Log_2019[[#This Row],[Raw Amount]])</f>
        <v>-3.84</v>
      </c>
      <c r="J752" s="17">
        <f>ABS(Log_2019[[#This Row],[Amount]])</f>
        <v>3.84</v>
      </c>
      <c r="K752" s="5">
        <v>1</v>
      </c>
      <c r="L752" s="38">
        <f ca="1">IF(Log_2019[[#This Row],[Date]]&lt;=TODAY(), MIN(Log_2019[[#This Row],[Split_raw]], TODAY()-Log_2019[[#This Row],[Date]]+1), 0)</f>
        <v>1</v>
      </c>
      <c r="M752" t="s">
        <v>35</v>
      </c>
      <c r="N752" t="s">
        <v>158</v>
      </c>
      <c r="O752" s="7">
        <v>0</v>
      </c>
      <c r="P752" s="52">
        <f ca="1">Log_2019[[#This Row],[Amount]]/Log_2019[[#This Row],[Split_raw]]*MAX(0,MIN(_xlfn.DAYS(EDATE(P$1,1),Log_2019[[#This Row],[Date]]),Log_2019[[#This Row],[Split_apply]])) - SUM($O752:O752)</f>
        <v>-3.84</v>
      </c>
      <c r="Q752" s="52">
        <f ca="1">Log_2019[[#This Row],[Amount]]/Log_2019[[#This Row],[Split_raw]]*MAX(0,MIN(_xlfn.DAYS(EDATE(Q$1,1),Log_2019[[#This Row],[Date]]),Log_2019[[#This Row],[Split_apply]])) - SUM($O752:P752)</f>
        <v>0</v>
      </c>
      <c r="R752" s="52">
        <f ca="1">Log_2019[[#This Row],[Amount]]/Log_2019[[#This Row],[Split_raw]]*MAX(0,MIN(_xlfn.DAYS(EDATE(R$1,1),Log_2019[[#This Row],[Date]]),Log_2019[[#This Row],[Split_apply]])) - SUM($O752:Q752)</f>
        <v>0</v>
      </c>
      <c r="S752" s="52">
        <f ca="1">Log_2019[[#This Row],[Amount]]/Log_2019[[#This Row],[Split_raw]]*MAX(0,MIN(_xlfn.DAYS(EDATE(S$1,1),Log_2019[[#This Row],[Date]]),Log_2019[[#This Row],[Split_apply]])) - SUM($O752:R752)</f>
        <v>0</v>
      </c>
      <c r="T752" s="52">
        <f ca="1">Log_2019[[#This Row],[Amount]]/Log_2019[[#This Row],[Split_raw]]*MAX(0,MIN(_xlfn.DAYS(EDATE(T$1,1),Log_2019[[#This Row],[Date]]),Log_2019[[#This Row],[Split_apply]])) - SUM($O752:S752)</f>
        <v>0</v>
      </c>
      <c r="U752" s="52">
        <f ca="1">Log_2019[[#This Row],[Amount]]/Log_2019[[#This Row],[Split_raw]]*MAX(0,MIN(_xlfn.DAYS(EDATE(U$1,1),Log_2019[[#This Row],[Date]]),Log_2019[[#This Row],[Split_apply]])) - SUM($O752:T752)</f>
        <v>0</v>
      </c>
      <c r="V752" s="52">
        <f ca="1">Log_2019[[#This Row],[Amount]]/Log_2019[[#This Row],[Split_raw]]*MAX(0,MIN(_xlfn.DAYS(EDATE(V$1,1),Log_2019[[#This Row],[Date]]),Log_2019[[#This Row],[Split_apply]])) - SUM($O752:U752)</f>
        <v>0</v>
      </c>
      <c r="W752" s="52">
        <f ca="1">Log_2019[[#This Row],[Amount]]/Log_2019[[#This Row],[Split_raw]]*MAX(0,MIN(_xlfn.DAYS(EDATE(W$1,1),Log_2019[[#This Row],[Date]]),Log_2019[[#This Row],[Split_apply]])) - SUM($O752:V752)</f>
        <v>0</v>
      </c>
      <c r="X752" s="52">
        <f ca="1">Log_2019[[#This Row],[Amount]]/Log_2019[[#This Row],[Split_raw]]*MAX(0,MIN(_xlfn.DAYS(EDATE(X$1,1),Log_2019[[#This Row],[Date]]),Log_2019[[#This Row],[Split_apply]])) - SUM($O752:W752)</f>
        <v>0</v>
      </c>
      <c r="Y752" s="52">
        <f ca="1">Log_2019[[#This Row],[Amount]]/Log_2019[[#This Row],[Split_raw]]*MAX(0,MIN(_xlfn.DAYS(EDATE(Y$1,1),Log_2019[[#This Row],[Date]]),Log_2019[[#This Row],[Split_apply]])) - SUM($O752:X752)</f>
        <v>0</v>
      </c>
      <c r="Z752" s="52">
        <f ca="1">Log_2019[[#This Row],[Amount]]/Log_2019[[#This Row],[Split_raw]]*MAX(0,MIN(_xlfn.DAYS(EDATE(Z$1,1),Log_2019[[#This Row],[Date]]),Log_2019[[#This Row],[Split_apply]])) - SUM($O752:Y752)</f>
        <v>0</v>
      </c>
      <c r="AA752" s="52">
        <f ca="1">Log_2019[[#This Row],[Amount]]/Log_2019[[#This Row],[Split_raw]]*MAX(0,MIN(_xlfn.DAYS(EDATE(AA$1,1),Log_2019[[#This Row],[Date]]),Log_2019[[#This Row],[Split_apply]])) - SUM($O752:Z752)</f>
        <v>0</v>
      </c>
      <c r="AB752" s="54">
        <f ca="1">Log_2019[[#This Row],[Amount]]-SUM(O752:AA752)</f>
        <v>0</v>
      </c>
      <c r="AC752" s="7">
        <f>MAX(0,Log_2019[[#This Row],[Split_raw]] - (EDATE(AA$1,1)-Log_2019[[#This Row],[Date]]))</f>
        <v>0</v>
      </c>
    </row>
    <row r="753" spans="1:29" x14ac:dyDescent="0.25">
      <c r="A753" s="42"/>
      <c r="B753" t="s">
        <v>6</v>
      </c>
      <c r="D753" s="39">
        <v>43482</v>
      </c>
      <c r="F753" t="s">
        <v>476</v>
      </c>
      <c r="G753" t="s">
        <v>87</v>
      </c>
      <c r="H753" s="3">
        <f>--1891.67</f>
        <v>1891.67</v>
      </c>
      <c r="I753" s="36">
        <f>IF(Log_2019[[#This Row],[My Category]]="NONTRACKED",0,Log_2019[[#This Row],[Raw Amount]])</f>
        <v>1891.67</v>
      </c>
      <c r="J753" s="17">
        <f>ABS(Log_2019[[#This Row],[Amount]])</f>
        <v>1891.67</v>
      </c>
      <c r="K753" s="5">
        <v>14</v>
      </c>
      <c r="L753" s="38">
        <f ca="1">IF(Log_2019[[#This Row],[Date]]&lt;=TODAY(), MIN(Log_2019[[#This Row],[Split_raw]], TODAY()-Log_2019[[#This Row],[Date]]+1), 0)</f>
        <v>14</v>
      </c>
      <c r="M753" t="s">
        <v>91</v>
      </c>
      <c r="N753" t="s">
        <v>160</v>
      </c>
      <c r="O753" s="7">
        <v>0</v>
      </c>
      <c r="P753" s="52">
        <f ca="1">Log_2019[[#This Row],[Amount]]/Log_2019[[#This Row],[Split_raw]]*MAX(0,MIN(_xlfn.DAYS(EDATE(P$1,1),Log_2019[[#This Row],[Date]]),Log_2019[[#This Row],[Split_apply]])) - SUM($O753:O753)</f>
        <v>1891.67</v>
      </c>
      <c r="Q753" s="52">
        <f ca="1">Log_2019[[#This Row],[Amount]]/Log_2019[[#This Row],[Split_raw]]*MAX(0,MIN(_xlfn.DAYS(EDATE(Q$1,1),Log_2019[[#This Row],[Date]]),Log_2019[[#This Row],[Split_apply]])) - SUM($O753:P753)</f>
        <v>0</v>
      </c>
      <c r="R753" s="52">
        <f ca="1">Log_2019[[#This Row],[Amount]]/Log_2019[[#This Row],[Split_raw]]*MAX(0,MIN(_xlfn.DAYS(EDATE(R$1,1),Log_2019[[#This Row],[Date]]),Log_2019[[#This Row],[Split_apply]])) - SUM($O753:Q753)</f>
        <v>0</v>
      </c>
      <c r="S753" s="52">
        <f ca="1">Log_2019[[#This Row],[Amount]]/Log_2019[[#This Row],[Split_raw]]*MAX(0,MIN(_xlfn.DAYS(EDATE(S$1,1),Log_2019[[#This Row],[Date]]),Log_2019[[#This Row],[Split_apply]])) - SUM($O753:R753)</f>
        <v>0</v>
      </c>
      <c r="T753" s="52">
        <f ca="1">Log_2019[[#This Row],[Amount]]/Log_2019[[#This Row],[Split_raw]]*MAX(0,MIN(_xlfn.DAYS(EDATE(T$1,1),Log_2019[[#This Row],[Date]]),Log_2019[[#This Row],[Split_apply]])) - SUM($O753:S753)</f>
        <v>0</v>
      </c>
      <c r="U753" s="52">
        <f ca="1">Log_2019[[#This Row],[Amount]]/Log_2019[[#This Row],[Split_raw]]*MAX(0,MIN(_xlfn.DAYS(EDATE(U$1,1),Log_2019[[#This Row],[Date]]),Log_2019[[#This Row],[Split_apply]])) - SUM($O753:T753)</f>
        <v>0</v>
      </c>
      <c r="V753" s="52">
        <f ca="1">Log_2019[[#This Row],[Amount]]/Log_2019[[#This Row],[Split_raw]]*MAX(0,MIN(_xlfn.DAYS(EDATE(V$1,1),Log_2019[[#This Row],[Date]]),Log_2019[[#This Row],[Split_apply]])) - SUM($O753:U753)</f>
        <v>0</v>
      </c>
      <c r="W753" s="52">
        <f ca="1">Log_2019[[#This Row],[Amount]]/Log_2019[[#This Row],[Split_raw]]*MAX(0,MIN(_xlfn.DAYS(EDATE(W$1,1),Log_2019[[#This Row],[Date]]),Log_2019[[#This Row],[Split_apply]])) - SUM($O753:V753)</f>
        <v>0</v>
      </c>
      <c r="X753" s="52">
        <f ca="1">Log_2019[[#This Row],[Amount]]/Log_2019[[#This Row],[Split_raw]]*MAX(0,MIN(_xlfn.DAYS(EDATE(X$1,1),Log_2019[[#This Row],[Date]]),Log_2019[[#This Row],[Split_apply]])) - SUM($O753:W753)</f>
        <v>0</v>
      </c>
      <c r="Y753" s="52">
        <f ca="1">Log_2019[[#This Row],[Amount]]/Log_2019[[#This Row],[Split_raw]]*MAX(0,MIN(_xlfn.DAYS(EDATE(Y$1,1),Log_2019[[#This Row],[Date]]),Log_2019[[#This Row],[Split_apply]])) - SUM($O753:X753)</f>
        <v>0</v>
      </c>
      <c r="Z753" s="52">
        <f ca="1">Log_2019[[#This Row],[Amount]]/Log_2019[[#This Row],[Split_raw]]*MAX(0,MIN(_xlfn.DAYS(EDATE(Z$1,1),Log_2019[[#This Row],[Date]]),Log_2019[[#This Row],[Split_apply]])) - SUM($O753:Y753)</f>
        <v>0</v>
      </c>
      <c r="AA753" s="52">
        <f ca="1">Log_2019[[#This Row],[Amount]]/Log_2019[[#This Row],[Split_raw]]*MAX(0,MIN(_xlfn.DAYS(EDATE(AA$1,1),Log_2019[[#This Row],[Date]]),Log_2019[[#This Row],[Split_apply]])) - SUM($O753:Z753)</f>
        <v>0</v>
      </c>
      <c r="AB753" s="54">
        <f ca="1">Log_2019[[#This Row],[Amount]]-SUM(O753:AA753)</f>
        <v>0</v>
      </c>
      <c r="AC753" s="7">
        <f>MAX(0,Log_2019[[#This Row],[Split_raw]] - (EDATE(AA$1,1)-Log_2019[[#This Row],[Date]]))</f>
        <v>0</v>
      </c>
    </row>
    <row r="754" spans="1:29" x14ac:dyDescent="0.25">
      <c r="A754" s="42"/>
      <c r="B754" t="s">
        <v>6</v>
      </c>
      <c r="D754" s="39">
        <v>43480</v>
      </c>
      <c r="F754" t="s">
        <v>345</v>
      </c>
      <c r="G754" t="s">
        <v>12</v>
      </c>
      <c r="H754" s="3">
        <v>-37.21</v>
      </c>
      <c r="I754" s="36">
        <f>IF(Log_2019[[#This Row],[My Category]]="NONTRACKED",0,Log_2019[[#This Row],[Raw Amount]])</f>
        <v>-37.21</v>
      </c>
      <c r="J754" s="17">
        <f>ABS(Log_2019[[#This Row],[Amount]])</f>
        <v>37.21</v>
      </c>
      <c r="K754" s="5">
        <v>1</v>
      </c>
      <c r="L754" s="38">
        <f ca="1">IF(Log_2019[[#This Row],[Date]]&lt;=TODAY(), MIN(Log_2019[[#This Row],[Split_raw]], TODAY()-Log_2019[[#This Row],[Date]]+1), 0)</f>
        <v>1</v>
      </c>
      <c r="M754" t="s">
        <v>12</v>
      </c>
      <c r="N754" t="s">
        <v>158</v>
      </c>
      <c r="O754" s="7">
        <v>0</v>
      </c>
      <c r="P754" s="52">
        <f ca="1">Log_2019[[#This Row],[Amount]]/Log_2019[[#This Row],[Split_raw]]*MAX(0,MIN(_xlfn.DAYS(EDATE(P$1,1),Log_2019[[#This Row],[Date]]),Log_2019[[#This Row],[Split_apply]])) - SUM($O754:O754)</f>
        <v>-37.21</v>
      </c>
      <c r="Q754" s="52">
        <f ca="1">Log_2019[[#This Row],[Amount]]/Log_2019[[#This Row],[Split_raw]]*MAX(0,MIN(_xlfn.DAYS(EDATE(Q$1,1),Log_2019[[#This Row],[Date]]),Log_2019[[#This Row],[Split_apply]])) - SUM($O754:P754)</f>
        <v>0</v>
      </c>
      <c r="R754" s="52">
        <f ca="1">Log_2019[[#This Row],[Amount]]/Log_2019[[#This Row],[Split_raw]]*MAX(0,MIN(_xlfn.DAYS(EDATE(R$1,1),Log_2019[[#This Row],[Date]]),Log_2019[[#This Row],[Split_apply]])) - SUM($O754:Q754)</f>
        <v>0</v>
      </c>
      <c r="S754" s="52">
        <f ca="1">Log_2019[[#This Row],[Amount]]/Log_2019[[#This Row],[Split_raw]]*MAX(0,MIN(_xlfn.DAYS(EDATE(S$1,1),Log_2019[[#This Row],[Date]]),Log_2019[[#This Row],[Split_apply]])) - SUM($O754:R754)</f>
        <v>0</v>
      </c>
      <c r="T754" s="52">
        <f ca="1">Log_2019[[#This Row],[Amount]]/Log_2019[[#This Row],[Split_raw]]*MAX(0,MIN(_xlfn.DAYS(EDATE(T$1,1),Log_2019[[#This Row],[Date]]),Log_2019[[#This Row],[Split_apply]])) - SUM($O754:S754)</f>
        <v>0</v>
      </c>
      <c r="U754" s="52">
        <f ca="1">Log_2019[[#This Row],[Amount]]/Log_2019[[#This Row],[Split_raw]]*MAX(0,MIN(_xlfn.DAYS(EDATE(U$1,1),Log_2019[[#This Row],[Date]]),Log_2019[[#This Row],[Split_apply]])) - SUM($O754:T754)</f>
        <v>0</v>
      </c>
      <c r="V754" s="52">
        <f ca="1">Log_2019[[#This Row],[Amount]]/Log_2019[[#This Row],[Split_raw]]*MAX(0,MIN(_xlfn.DAYS(EDATE(V$1,1),Log_2019[[#This Row],[Date]]),Log_2019[[#This Row],[Split_apply]])) - SUM($O754:U754)</f>
        <v>0</v>
      </c>
      <c r="W754" s="52">
        <f ca="1">Log_2019[[#This Row],[Amount]]/Log_2019[[#This Row],[Split_raw]]*MAX(0,MIN(_xlfn.DAYS(EDATE(W$1,1),Log_2019[[#This Row],[Date]]),Log_2019[[#This Row],[Split_apply]])) - SUM($O754:V754)</f>
        <v>0</v>
      </c>
      <c r="X754" s="52">
        <f ca="1">Log_2019[[#This Row],[Amount]]/Log_2019[[#This Row],[Split_raw]]*MAX(0,MIN(_xlfn.DAYS(EDATE(X$1,1),Log_2019[[#This Row],[Date]]),Log_2019[[#This Row],[Split_apply]])) - SUM($O754:W754)</f>
        <v>0</v>
      </c>
      <c r="Y754" s="52">
        <f ca="1">Log_2019[[#This Row],[Amount]]/Log_2019[[#This Row],[Split_raw]]*MAX(0,MIN(_xlfn.DAYS(EDATE(Y$1,1),Log_2019[[#This Row],[Date]]),Log_2019[[#This Row],[Split_apply]])) - SUM($O754:X754)</f>
        <v>0</v>
      </c>
      <c r="Z754" s="52">
        <f ca="1">Log_2019[[#This Row],[Amount]]/Log_2019[[#This Row],[Split_raw]]*MAX(0,MIN(_xlfn.DAYS(EDATE(Z$1,1),Log_2019[[#This Row],[Date]]),Log_2019[[#This Row],[Split_apply]])) - SUM($O754:Y754)</f>
        <v>0</v>
      </c>
      <c r="AA754" s="52">
        <f ca="1">Log_2019[[#This Row],[Amount]]/Log_2019[[#This Row],[Split_raw]]*MAX(0,MIN(_xlfn.DAYS(EDATE(AA$1,1),Log_2019[[#This Row],[Date]]),Log_2019[[#This Row],[Split_apply]])) - SUM($O754:Z754)</f>
        <v>0</v>
      </c>
      <c r="AB754" s="54">
        <f ca="1">Log_2019[[#This Row],[Amount]]-SUM(O754:AA754)</f>
        <v>0</v>
      </c>
      <c r="AC754" s="7">
        <f>MAX(0,Log_2019[[#This Row],[Split_raw]] - (EDATE(AA$1,1)-Log_2019[[#This Row],[Date]]))</f>
        <v>0</v>
      </c>
    </row>
    <row r="755" spans="1:29" x14ac:dyDescent="0.25">
      <c r="A755" s="42"/>
      <c r="B755" t="s">
        <v>6</v>
      </c>
      <c r="D755" s="39">
        <v>43480</v>
      </c>
      <c r="F755" t="s">
        <v>308</v>
      </c>
      <c r="G755" t="s">
        <v>25</v>
      </c>
      <c r="H755" s="3">
        <v>-9.7100000000000009</v>
      </c>
      <c r="I755" s="36">
        <f>IF(Log_2019[[#This Row],[My Category]]="NONTRACKED",0,Log_2019[[#This Row],[Raw Amount]])</f>
        <v>-9.7100000000000009</v>
      </c>
      <c r="J755" s="17">
        <f>ABS(Log_2019[[#This Row],[Amount]])</f>
        <v>9.7100000000000009</v>
      </c>
      <c r="K755" s="5">
        <v>1</v>
      </c>
      <c r="L755" s="38">
        <f ca="1">IF(Log_2019[[#This Row],[Date]]&lt;=TODAY(), MIN(Log_2019[[#This Row],[Split_raw]], TODAY()-Log_2019[[#This Row],[Date]]+1), 0)</f>
        <v>1</v>
      </c>
      <c r="M755" t="s">
        <v>35</v>
      </c>
      <c r="N755" t="s">
        <v>158</v>
      </c>
      <c r="O755" s="7">
        <v>0</v>
      </c>
      <c r="P755" s="52">
        <f ca="1">Log_2019[[#This Row],[Amount]]/Log_2019[[#This Row],[Split_raw]]*MAX(0,MIN(_xlfn.DAYS(EDATE(P$1,1),Log_2019[[#This Row],[Date]]),Log_2019[[#This Row],[Split_apply]])) - SUM($O755:O755)</f>
        <v>-9.7100000000000009</v>
      </c>
      <c r="Q755" s="52">
        <f ca="1">Log_2019[[#This Row],[Amount]]/Log_2019[[#This Row],[Split_raw]]*MAX(0,MIN(_xlfn.DAYS(EDATE(Q$1,1),Log_2019[[#This Row],[Date]]),Log_2019[[#This Row],[Split_apply]])) - SUM($O755:P755)</f>
        <v>0</v>
      </c>
      <c r="R755" s="52">
        <f ca="1">Log_2019[[#This Row],[Amount]]/Log_2019[[#This Row],[Split_raw]]*MAX(0,MIN(_xlfn.DAYS(EDATE(R$1,1),Log_2019[[#This Row],[Date]]),Log_2019[[#This Row],[Split_apply]])) - SUM($O755:Q755)</f>
        <v>0</v>
      </c>
      <c r="S755" s="52">
        <f ca="1">Log_2019[[#This Row],[Amount]]/Log_2019[[#This Row],[Split_raw]]*MAX(0,MIN(_xlfn.DAYS(EDATE(S$1,1),Log_2019[[#This Row],[Date]]),Log_2019[[#This Row],[Split_apply]])) - SUM($O755:R755)</f>
        <v>0</v>
      </c>
      <c r="T755" s="52">
        <f ca="1">Log_2019[[#This Row],[Amount]]/Log_2019[[#This Row],[Split_raw]]*MAX(0,MIN(_xlfn.DAYS(EDATE(T$1,1),Log_2019[[#This Row],[Date]]),Log_2019[[#This Row],[Split_apply]])) - SUM($O755:S755)</f>
        <v>0</v>
      </c>
      <c r="U755" s="52">
        <f ca="1">Log_2019[[#This Row],[Amount]]/Log_2019[[#This Row],[Split_raw]]*MAX(0,MIN(_xlfn.DAYS(EDATE(U$1,1),Log_2019[[#This Row],[Date]]),Log_2019[[#This Row],[Split_apply]])) - SUM($O755:T755)</f>
        <v>0</v>
      </c>
      <c r="V755" s="52">
        <f ca="1">Log_2019[[#This Row],[Amount]]/Log_2019[[#This Row],[Split_raw]]*MAX(0,MIN(_xlfn.DAYS(EDATE(V$1,1),Log_2019[[#This Row],[Date]]),Log_2019[[#This Row],[Split_apply]])) - SUM($O755:U755)</f>
        <v>0</v>
      </c>
      <c r="W755" s="52">
        <f ca="1">Log_2019[[#This Row],[Amount]]/Log_2019[[#This Row],[Split_raw]]*MAX(0,MIN(_xlfn.DAYS(EDATE(W$1,1),Log_2019[[#This Row],[Date]]),Log_2019[[#This Row],[Split_apply]])) - SUM($O755:V755)</f>
        <v>0</v>
      </c>
      <c r="X755" s="52">
        <f ca="1">Log_2019[[#This Row],[Amount]]/Log_2019[[#This Row],[Split_raw]]*MAX(0,MIN(_xlfn.DAYS(EDATE(X$1,1),Log_2019[[#This Row],[Date]]),Log_2019[[#This Row],[Split_apply]])) - SUM($O755:W755)</f>
        <v>0</v>
      </c>
      <c r="Y755" s="52">
        <f ca="1">Log_2019[[#This Row],[Amount]]/Log_2019[[#This Row],[Split_raw]]*MAX(0,MIN(_xlfn.DAYS(EDATE(Y$1,1),Log_2019[[#This Row],[Date]]),Log_2019[[#This Row],[Split_apply]])) - SUM($O755:X755)</f>
        <v>0</v>
      </c>
      <c r="Z755" s="52">
        <f ca="1">Log_2019[[#This Row],[Amount]]/Log_2019[[#This Row],[Split_raw]]*MAX(0,MIN(_xlfn.DAYS(EDATE(Z$1,1),Log_2019[[#This Row],[Date]]),Log_2019[[#This Row],[Split_apply]])) - SUM($O755:Y755)</f>
        <v>0</v>
      </c>
      <c r="AA755" s="52">
        <f ca="1">Log_2019[[#This Row],[Amount]]/Log_2019[[#This Row],[Split_raw]]*MAX(0,MIN(_xlfn.DAYS(EDATE(AA$1,1),Log_2019[[#This Row],[Date]]),Log_2019[[#This Row],[Split_apply]])) - SUM($O755:Z755)</f>
        <v>0</v>
      </c>
      <c r="AB755" s="54">
        <f ca="1">Log_2019[[#This Row],[Amount]]-SUM(O755:AA755)</f>
        <v>0</v>
      </c>
      <c r="AC755" s="7">
        <f>MAX(0,Log_2019[[#This Row],[Split_raw]] - (EDATE(AA$1,1)-Log_2019[[#This Row],[Date]]))</f>
        <v>0</v>
      </c>
    </row>
    <row r="756" spans="1:29" x14ac:dyDescent="0.25">
      <c r="A756" s="42"/>
      <c r="B756" t="s">
        <v>6</v>
      </c>
      <c r="D756" s="39">
        <v>43479</v>
      </c>
      <c r="F756" t="s">
        <v>456</v>
      </c>
      <c r="G756" t="s">
        <v>27</v>
      </c>
      <c r="H756" s="3">
        <v>-9.86</v>
      </c>
      <c r="I756" s="36">
        <f>IF(Log_2019[[#This Row],[My Category]]="NONTRACKED",0,Log_2019[[#This Row],[Raw Amount]])</f>
        <v>-9.86</v>
      </c>
      <c r="J756" s="17">
        <f>ABS(Log_2019[[#This Row],[Amount]])</f>
        <v>9.86</v>
      </c>
      <c r="K756" s="5">
        <v>1</v>
      </c>
      <c r="L756" s="38">
        <f ca="1">IF(Log_2019[[#This Row],[Date]]&lt;=TODAY(), MIN(Log_2019[[#This Row],[Split_raw]], TODAY()-Log_2019[[#This Row],[Date]]+1), 0)</f>
        <v>1</v>
      </c>
      <c r="M756" t="s">
        <v>40</v>
      </c>
      <c r="N756" t="s">
        <v>160</v>
      </c>
      <c r="O756" s="7">
        <v>0</v>
      </c>
      <c r="P756" s="52">
        <f ca="1">Log_2019[[#This Row],[Amount]]/Log_2019[[#This Row],[Split_raw]]*MAX(0,MIN(_xlfn.DAYS(EDATE(P$1,1),Log_2019[[#This Row],[Date]]),Log_2019[[#This Row],[Split_apply]])) - SUM($O756:O756)</f>
        <v>-9.86</v>
      </c>
      <c r="Q756" s="52">
        <f ca="1">Log_2019[[#This Row],[Amount]]/Log_2019[[#This Row],[Split_raw]]*MAX(0,MIN(_xlfn.DAYS(EDATE(Q$1,1),Log_2019[[#This Row],[Date]]),Log_2019[[#This Row],[Split_apply]])) - SUM($O756:P756)</f>
        <v>0</v>
      </c>
      <c r="R756" s="52">
        <f ca="1">Log_2019[[#This Row],[Amount]]/Log_2019[[#This Row],[Split_raw]]*MAX(0,MIN(_xlfn.DAYS(EDATE(R$1,1),Log_2019[[#This Row],[Date]]),Log_2019[[#This Row],[Split_apply]])) - SUM($O756:Q756)</f>
        <v>0</v>
      </c>
      <c r="S756" s="52">
        <f ca="1">Log_2019[[#This Row],[Amount]]/Log_2019[[#This Row],[Split_raw]]*MAX(0,MIN(_xlfn.DAYS(EDATE(S$1,1),Log_2019[[#This Row],[Date]]),Log_2019[[#This Row],[Split_apply]])) - SUM($O756:R756)</f>
        <v>0</v>
      </c>
      <c r="T756" s="52">
        <f ca="1">Log_2019[[#This Row],[Amount]]/Log_2019[[#This Row],[Split_raw]]*MAX(0,MIN(_xlfn.DAYS(EDATE(T$1,1),Log_2019[[#This Row],[Date]]),Log_2019[[#This Row],[Split_apply]])) - SUM($O756:S756)</f>
        <v>0</v>
      </c>
      <c r="U756" s="52">
        <f ca="1">Log_2019[[#This Row],[Amount]]/Log_2019[[#This Row],[Split_raw]]*MAX(0,MIN(_xlfn.DAYS(EDATE(U$1,1),Log_2019[[#This Row],[Date]]),Log_2019[[#This Row],[Split_apply]])) - SUM($O756:T756)</f>
        <v>0</v>
      </c>
      <c r="V756" s="52">
        <f ca="1">Log_2019[[#This Row],[Amount]]/Log_2019[[#This Row],[Split_raw]]*MAX(0,MIN(_xlfn.DAYS(EDATE(V$1,1),Log_2019[[#This Row],[Date]]),Log_2019[[#This Row],[Split_apply]])) - SUM($O756:U756)</f>
        <v>0</v>
      </c>
      <c r="W756" s="52">
        <f ca="1">Log_2019[[#This Row],[Amount]]/Log_2019[[#This Row],[Split_raw]]*MAX(0,MIN(_xlfn.DAYS(EDATE(W$1,1),Log_2019[[#This Row],[Date]]),Log_2019[[#This Row],[Split_apply]])) - SUM($O756:V756)</f>
        <v>0</v>
      </c>
      <c r="X756" s="52">
        <f ca="1">Log_2019[[#This Row],[Amount]]/Log_2019[[#This Row],[Split_raw]]*MAX(0,MIN(_xlfn.DAYS(EDATE(X$1,1),Log_2019[[#This Row],[Date]]),Log_2019[[#This Row],[Split_apply]])) - SUM($O756:W756)</f>
        <v>0</v>
      </c>
      <c r="Y756" s="52">
        <f ca="1">Log_2019[[#This Row],[Amount]]/Log_2019[[#This Row],[Split_raw]]*MAX(0,MIN(_xlfn.DAYS(EDATE(Y$1,1),Log_2019[[#This Row],[Date]]),Log_2019[[#This Row],[Split_apply]])) - SUM($O756:X756)</f>
        <v>0</v>
      </c>
      <c r="Z756" s="52">
        <f ca="1">Log_2019[[#This Row],[Amount]]/Log_2019[[#This Row],[Split_raw]]*MAX(0,MIN(_xlfn.DAYS(EDATE(Z$1,1),Log_2019[[#This Row],[Date]]),Log_2019[[#This Row],[Split_apply]])) - SUM($O756:Y756)</f>
        <v>0</v>
      </c>
      <c r="AA756" s="52">
        <f ca="1">Log_2019[[#This Row],[Amount]]/Log_2019[[#This Row],[Split_raw]]*MAX(0,MIN(_xlfn.DAYS(EDATE(AA$1,1),Log_2019[[#This Row],[Date]]),Log_2019[[#This Row],[Split_apply]])) - SUM($O756:Z756)</f>
        <v>0</v>
      </c>
      <c r="AB756" s="54">
        <f ca="1">Log_2019[[#This Row],[Amount]]-SUM(O756:AA756)</f>
        <v>0</v>
      </c>
      <c r="AC756" s="7">
        <f>MAX(0,Log_2019[[#This Row],[Split_raw]] - (EDATE(AA$1,1)-Log_2019[[#This Row],[Date]]))</f>
        <v>0</v>
      </c>
    </row>
    <row r="757" spans="1:29" x14ac:dyDescent="0.25">
      <c r="A757" s="42"/>
      <c r="B757" t="s">
        <v>6</v>
      </c>
      <c r="D757" s="29">
        <v>43479</v>
      </c>
      <c r="F757" t="s">
        <v>255</v>
      </c>
      <c r="G757" t="s">
        <v>25</v>
      </c>
      <c r="H757" s="3">
        <v>-6.37</v>
      </c>
      <c r="I757" s="36">
        <f>IF(Log_2019[[#This Row],[My Category]]="NONTRACKED",0,Log_2019[[#This Row],[Raw Amount]])</f>
        <v>-6.37</v>
      </c>
      <c r="J757" s="17">
        <f>ABS(Log_2019[[#This Row],[Amount]])</f>
        <v>6.37</v>
      </c>
      <c r="K757" s="5">
        <v>1</v>
      </c>
      <c r="L757" s="38">
        <f ca="1">IF(Log_2019[[#This Row],[Date]]&lt;=TODAY(), MIN(Log_2019[[#This Row],[Split_raw]], TODAY()-Log_2019[[#This Row],[Date]]+1), 0)</f>
        <v>1</v>
      </c>
      <c r="M757" t="s">
        <v>35</v>
      </c>
      <c r="N757" t="s">
        <v>158</v>
      </c>
      <c r="O757" s="7">
        <v>0</v>
      </c>
      <c r="P757" s="52">
        <f ca="1">Log_2019[[#This Row],[Amount]]/Log_2019[[#This Row],[Split_raw]]*MAX(0,MIN(_xlfn.DAYS(EDATE(P$1,1),Log_2019[[#This Row],[Date]]),Log_2019[[#This Row],[Split_apply]])) - SUM($O757:O757)</f>
        <v>-6.37</v>
      </c>
      <c r="Q757" s="52">
        <f ca="1">Log_2019[[#This Row],[Amount]]/Log_2019[[#This Row],[Split_raw]]*MAX(0,MIN(_xlfn.DAYS(EDATE(Q$1,1),Log_2019[[#This Row],[Date]]),Log_2019[[#This Row],[Split_apply]])) - SUM($O757:P757)</f>
        <v>0</v>
      </c>
      <c r="R757" s="52">
        <f ca="1">Log_2019[[#This Row],[Amount]]/Log_2019[[#This Row],[Split_raw]]*MAX(0,MIN(_xlfn.DAYS(EDATE(R$1,1),Log_2019[[#This Row],[Date]]),Log_2019[[#This Row],[Split_apply]])) - SUM($O757:Q757)</f>
        <v>0</v>
      </c>
      <c r="S757" s="52">
        <f ca="1">Log_2019[[#This Row],[Amount]]/Log_2019[[#This Row],[Split_raw]]*MAX(0,MIN(_xlfn.DAYS(EDATE(S$1,1),Log_2019[[#This Row],[Date]]),Log_2019[[#This Row],[Split_apply]])) - SUM($O757:R757)</f>
        <v>0</v>
      </c>
      <c r="T757" s="52">
        <f ca="1">Log_2019[[#This Row],[Amount]]/Log_2019[[#This Row],[Split_raw]]*MAX(0,MIN(_xlfn.DAYS(EDATE(T$1,1),Log_2019[[#This Row],[Date]]),Log_2019[[#This Row],[Split_apply]])) - SUM($O757:S757)</f>
        <v>0</v>
      </c>
      <c r="U757" s="52">
        <f ca="1">Log_2019[[#This Row],[Amount]]/Log_2019[[#This Row],[Split_raw]]*MAX(0,MIN(_xlfn.DAYS(EDATE(U$1,1),Log_2019[[#This Row],[Date]]),Log_2019[[#This Row],[Split_apply]])) - SUM($O757:T757)</f>
        <v>0</v>
      </c>
      <c r="V757" s="52">
        <f ca="1">Log_2019[[#This Row],[Amount]]/Log_2019[[#This Row],[Split_raw]]*MAX(0,MIN(_xlfn.DAYS(EDATE(V$1,1),Log_2019[[#This Row],[Date]]),Log_2019[[#This Row],[Split_apply]])) - SUM($O757:U757)</f>
        <v>0</v>
      </c>
      <c r="W757" s="52">
        <f ca="1">Log_2019[[#This Row],[Amount]]/Log_2019[[#This Row],[Split_raw]]*MAX(0,MIN(_xlfn.DAYS(EDATE(W$1,1),Log_2019[[#This Row],[Date]]),Log_2019[[#This Row],[Split_apply]])) - SUM($O757:V757)</f>
        <v>0</v>
      </c>
      <c r="X757" s="52">
        <f ca="1">Log_2019[[#This Row],[Amount]]/Log_2019[[#This Row],[Split_raw]]*MAX(0,MIN(_xlfn.DAYS(EDATE(X$1,1),Log_2019[[#This Row],[Date]]),Log_2019[[#This Row],[Split_apply]])) - SUM($O757:W757)</f>
        <v>0</v>
      </c>
      <c r="Y757" s="52">
        <f ca="1">Log_2019[[#This Row],[Amount]]/Log_2019[[#This Row],[Split_raw]]*MAX(0,MIN(_xlfn.DAYS(EDATE(Y$1,1),Log_2019[[#This Row],[Date]]),Log_2019[[#This Row],[Split_apply]])) - SUM($O757:X757)</f>
        <v>0</v>
      </c>
      <c r="Z757" s="52">
        <f ca="1">Log_2019[[#This Row],[Amount]]/Log_2019[[#This Row],[Split_raw]]*MAX(0,MIN(_xlfn.DAYS(EDATE(Z$1,1),Log_2019[[#This Row],[Date]]),Log_2019[[#This Row],[Split_apply]])) - SUM($O757:Y757)</f>
        <v>0</v>
      </c>
      <c r="AA757" s="52">
        <f ca="1">Log_2019[[#This Row],[Amount]]/Log_2019[[#This Row],[Split_raw]]*MAX(0,MIN(_xlfn.DAYS(EDATE(AA$1,1),Log_2019[[#This Row],[Date]]),Log_2019[[#This Row],[Split_apply]])) - SUM($O757:Z757)</f>
        <v>0</v>
      </c>
      <c r="AB757" s="54">
        <f ca="1">Log_2019[[#This Row],[Amount]]-SUM(O757:AA757)</f>
        <v>0</v>
      </c>
      <c r="AC757" s="7">
        <f>MAX(0,Log_2019[[#This Row],[Split_raw]] - (EDATE(AA$1,1)-Log_2019[[#This Row],[Date]]))</f>
        <v>0</v>
      </c>
    </row>
    <row r="758" spans="1:29" x14ac:dyDescent="0.25">
      <c r="A758" s="42"/>
      <c r="B758" t="s">
        <v>6</v>
      </c>
      <c r="D758" s="29">
        <v>43479</v>
      </c>
      <c r="F758" t="s">
        <v>255</v>
      </c>
      <c r="G758" t="s">
        <v>25</v>
      </c>
      <c r="H758" s="3">
        <v>-25.37</v>
      </c>
      <c r="I758" s="36">
        <f>IF(Log_2019[[#This Row],[My Category]]="NONTRACKED",0,Log_2019[[#This Row],[Raw Amount]])</f>
        <v>-25.37</v>
      </c>
      <c r="J758" s="17">
        <f>ABS(Log_2019[[#This Row],[Amount]])</f>
        <v>25.37</v>
      </c>
      <c r="K758" s="5">
        <v>1</v>
      </c>
      <c r="L758" s="38">
        <f ca="1">IF(Log_2019[[#This Row],[Date]]&lt;=TODAY(), MIN(Log_2019[[#This Row],[Split_raw]], TODAY()-Log_2019[[#This Row],[Date]]+1), 0)</f>
        <v>1</v>
      </c>
      <c r="M758" t="s">
        <v>52</v>
      </c>
      <c r="N758" t="s">
        <v>158</v>
      </c>
      <c r="O758" s="7">
        <v>0</v>
      </c>
      <c r="P758" s="52">
        <f ca="1">Log_2019[[#This Row],[Amount]]/Log_2019[[#This Row],[Split_raw]]*MAX(0,MIN(_xlfn.DAYS(EDATE(P$1,1),Log_2019[[#This Row],[Date]]),Log_2019[[#This Row],[Split_apply]])) - SUM($O758:O758)</f>
        <v>-25.37</v>
      </c>
      <c r="Q758" s="52">
        <f ca="1">Log_2019[[#This Row],[Amount]]/Log_2019[[#This Row],[Split_raw]]*MAX(0,MIN(_xlfn.DAYS(EDATE(Q$1,1),Log_2019[[#This Row],[Date]]),Log_2019[[#This Row],[Split_apply]])) - SUM($O758:P758)</f>
        <v>0</v>
      </c>
      <c r="R758" s="52">
        <f ca="1">Log_2019[[#This Row],[Amount]]/Log_2019[[#This Row],[Split_raw]]*MAX(0,MIN(_xlfn.DAYS(EDATE(R$1,1),Log_2019[[#This Row],[Date]]),Log_2019[[#This Row],[Split_apply]])) - SUM($O758:Q758)</f>
        <v>0</v>
      </c>
      <c r="S758" s="52">
        <f ca="1">Log_2019[[#This Row],[Amount]]/Log_2019[[#This Row],[Split_raw]]*MAX(0,MIN(_xlfn.DAYS(EDATE(S$1,1),Log_2019[[#This Row],[Date]]),Log_2019[[#This Row],[Split_apply]])) - SUM($O758:R758)</f>
        <v>0</v>
      </c>
      <c r="T758" s="52">
        <f ca="1">Log_2019[[#This Row],[Amount]]/Log_2019[[#This Row],[Split_raw]]*MAX(0,MIN(_xlfn.DAYS(EDATE(T$1,1),Log_2019[[#This Row],[Date]]),Log_2019[[#This Row],[Split_apply]])) - SUM($O758:S758)</f>
        <v>0</v>
      </c>
      <c r="U758" s="52">
        <f ca="1">Log_2019[[#This Row],[Amount]]/Log_2019[[#This Row],[Split_raw]]*MAX(0,MIN(_xlfn.DAYS(EDATE(U$1,1),Log_2019[[#This Row],[Date]]),Log_2019[[#This Row],[Split_apply]])) - SUM($O758:T758)</f>
        <v>0</v>
      </c>
      <c r="V758" s="52">
        <f ca="1">Log_2019[[#This Row],[Amount]]/Log_2019[[#This Row],[Split_raw]]*MAX(0,MIN(_xlfn.DAYS(EDATE(V$1,1),Log_2019[[#This Row],[Date]]),Log_2019[[#This Row],[Split_apply]])) - SUM($O758:U758)</f>
        <v>0</v>
      </c>
      <c r="W758" s="52">
        <f ca="1">Log_2019[[#This Row],[Amount]]/Log_2019[[#This Row],[Split_raw]]*MAX(0,MIN(_xlfn.DAYS(EDATE(W$1,1),Log_2019[[#This Row],[Date]]),Log_2019[[#This Row],[Split_apply]])) - SUM($O758:V758)</f>
        <v>0</v>
      </c>
      <c r="X758" s="52">
        <f ca="1">Log_2019[[#This Row],[Amount]]/Log_2019[[#This Row],[Split_raw]]*MAX(0,MIN(_xlfn.DAYS(EDATE(X$1,1),Log_2019[[#This Row],[Date]]),Log_2019[[#This Row],[Split_apply]])) - SUM($O758:W758)</f>
        <v>0</v>
      </c>
      <c r="Y758" s="52">
        <f ca="1">Log_2019[[#This Row],[Amount]]/Log_2019[[#This Row],[Split_raw]]*MAX(0,MIN(_xlfn.DAYS(EDATE(Y$1,1),Log_2019[[#This Row],[Date]]),Log_2019[[#This Row],[Split_apply]])) - SUM($O758:X758)</f>
        <v>0</v>
      </c>
      <c r="Z758" s="52">
        <f ca="1">Log_2019[[#This Row],[Amount]]/Log_2019[[#This Row],[Split_raw]]*MAX(0,MIN(_xlfn.DAYS(EDATE(Z$1,1),Log_2019[[#This Row],[Date]]),Log_2019[[#This Row],[Split_apply]])) - SUM($O758:Y758)</f>
        <v>0</v>
      </c>
      <c r="AA758" s="52">
        <f ca="1">Log_2019[[#This Row],[Amount]]/Log_2019[[#This Row],[Split_raw]]*MAX(0,MIN(_xlfn.DAYS(EDATE(AA$1,1),Log_2019[[#This Row],[Date]]),Log_2019[[#This Row],[Split_apply]])) - SUM($O758:Z758)</f>
        <v>0</v>
      </c>
      <c r="AB758" s="54">
        <f ca="1">Log_2019[[#This Row],[Amount]]-SUM(O758:AA758)</f>
        <v>0</v>
      </c>
      <c r="AC758" s="7">
        <f>MAX(0,Log_2019[[#This Row],[Split_raw]] - (EDATE(AA$1,1)-Log_2019[[#This Row],[Date]]))</f>
        <v>0</v>
      </c>
    </row>
    <row r="759" spans="1:29" x14ac:dyDescent="0.25">
      <c r="A759" s="42"/>
      <c r="B759" t="s">
        <v>6</v>
      </c>
      <c r="D759" s="29">
        <v>43479</v>
      </c>
      <c r="F759" t="s">
        <v>242</v>
      </c>
      <c r="G759" t="s">
        <v>87</v>
      </c>
      <c r="H759" s="3">
        <f>--12.4</f>
        <v>12.4</v>
      </c>
      <c r="I759" s="36">
        <f>IF(Log_2019[[#This Row],[My Category]]="NONTRACKED",0,Log_2019[[#This Row],[Raw Amount]])</f>
        <v>12.4</v>
      </c>
      <c r="J759" s="17">
        <f>ABS(Log_2019[[#This Row],[Amount]])</f>
        <v>12.4</v>
      </c>
      <c r="K759" s="5">
        <v>1</v>
      </c>
      <c r="L759" s="38">
        <f ca="1">IF(Log_2019[[#This Row],[Date]]&lt;=TODAY(), MIN(Log_2019[[#This Row],[Split_raw]], TODAY()-Log_2019[[#This Row],[Date]]+1), 0)</f>
        <v>1</v>
      </c>
      <c r="M759" t="s">
        <v>144</v>
      </c>
      <c r="N759" t="s">
        <v>160</v>
      </c>
      <c r="O759" s="7">
        <v>0</v>
      </c>
      <c r="P759" s="52">
        <f ca="1">Log_2019[[#This Row],[Amount]]/Log_2019[[#This Row],[Split_raw]]*MAX(0,MIN(_xlfn.DAYS(EDATE(P$1,1),Log_2019[[#This Row],[Date]]),Log_2019[[#This Row],[Split_apply]])) - SUM($O759:O759)</f>
        <v>12.4</v>
      </c>
      <c r="Q759" s="52">
        <f ca="1">Log_2019[[#This Row],[Amount]]/Log_2019[[#This Row],[Split_raw]]*MAX(0,MIN(_xlfn.DAYS(EDATE(Q$1,1),Log_2019[[#This Row],[Date]]),Log_2019[[#This Row],[Split_apply]])) - SUM($O759:P759)</f>
        <v>0</v>
      </c>
      <c r="R759" s="52">
        <f ca="1">Log_2019[[#This Row],[Amount]]/Log_2019[[#This Row],[Split_raw]]*MAX(0,MIN(_xlfn.DAYS(EDATE(R$1,1),Log_2019[[#This Row],[Date]]),Log_2019[[#This Row],[Split_apply]])) - SUM($O759:Q759)</f>
        <v>0</v>
      </c>
      <c r="S759" s="52">
        <f ca="1">Log_2019[[#This Row],[Amount]]/Log_2019[[#This Row],[Split_raw]]*MAX(0,MIN(_xlfn.DAYS(EDATE(S$1,1),Log_2019[[#This Row],[Date]]),Log_2019[[#This Row],[Split_apply]])) - SUM($O759:R759)</f>
        <v>0</v>
      </c>
      <c r="T759" s="52">
        <f ca="1">Log_2019[[#This Row],[Amount]]/Log_2019[[#This Row],[Split_raw]]*MAX(0,MIN(_xlfn.DAYS(EDATE(T$1,1),Log_2019[[#This Row],[Date]]),Log_2019[[#This Row],[Split_apply]])) - SUM($O759:S759)</f>
        <v>0</v>
      </c>
      <c r="U759" s="52">
        <f ca="1">Log_2019[[#This Row],[Amount]]/Log_2019[[#This Row],[Split_raw]]*MAX(0,MIN(_xlfn.DAYS(EDATE(U$1,1),Log_2019[[#This Row],[Date]]),Log_2019[[#This Row],[Split_apply]])) - SUM($O759:T759)</f>
        <v>0</v>
      </c>
      <c r="V759" s="52">
        <f ca="1">Log_2019[[#This Row],[Amount]]/Log_2019[[#This Row],[Split_raw]]*MAX(0,MIN(_xlfn.DAYS(EDATE(V$1,1),Log_2019[[#This Row],[Date]]),Log_2019[[#This Row],[Split_apply]])) - SUM($O759:U759)</f>
        <v>0</v>
      </c>
      <c r="W759" s="52">
        <f ca="1">Log_2019[[#This Row],[Amount]]/Log_2019[[#This Row],[Split_raw]]*MAX(0,MIN(_xlfn.DAYS(EDATE(W$1,1),Log_2019[[#This Row],[Date]]),Log_2019[[#This Row],[Split_apply]])) - SUM($O759:V759)</f>
        <v>0</v>
      </c>
      <c r="X759" s="52">
        <f ca="1">Log_2019[[#This Row],[Amount]]/Log_2019[[#This Row],[Split_raw]]*MAX(0,MIN(_xlfn.DAYS(EDATE(X$1,1),Log_2019[[#This Row],[Date]]),Log_2019[[#This Row],[Split_apply]])) - SUM($O759:W759)</f>
        <v>0</v>
      </c>
      <c r="Y759" s="52">
        <f ca="1">Log_2019[[#This Row],[Amount]]/Log_2019[[#This Row],[Split_raw]]*MAX(0,MIN(_xlfn.DAYS(EDATE(Y$1,1),Log_2019[[#This Row],[Date]]),Log_2019[[#This Row],[Split_apply]])) - SUM($O759:X759)</f>
        <v>0</v>
      </c>
      <c r="Z759" s="52">
        <f ca="1">Log_2019[[#This Row],[Amount]]/Log_2019[[#This Row],[Split_raw]]*MAX(0,MIN(_xlfn.DAYS(EDATE(Z$1,1),Log_2019[[#This Row],[Date]]),Log_2019[[#This Row],[Split_apply]])) - SUM($O759:Y759)</f>
        <v>0</v>
      </c>
      <c r="AA759" s="52">
        <f ca="1">Log_2019[[#This Row],[Amount]]/Log_2019[[#This Row],[Split_raw]]*MAX(0,MIN(_xlfn.DAYS(EDATE(AA$1,1),Log_2019[[#This Row],[Date]]),Log_2019[[#This Row],[Split_apply]])) - SUM($O759:Z759)</f>
        <v>0</v>
      </c>
      <c r="AB759" s="54">
        <f ca="1">Log_2019[[#This Row],[Amount]]-SUM(O759:AA759)</f>
        <v>0</v>
      </c>
      <c r="AC759" s="7">
        <f>MAX(0,Log_2019[[#This Row],[Split_raw]] - (EDATE(AA$1,1)-Log_2019[[#This Row],[Date]]))</f>
        <v>0</v>
      </c>
    </row>
    <row r="760" spans="1:29" x14ac:dyDescent="0.25">
      <c r="A760" s="42"/>
      <c r="B760" t="s">
        <v>6</v>
      </c>
      <c r="D760" s="29">
        <v>43476</v>
      </c>
      <c r="F760" t="s">
        <v>255</v>
      </c>
      <c r="G760" t="s">
        <v>25</v>
      </c>
      <c r="H760" s="3">
        <v>-4.91</v>
      </c>
      <c r="I760" s="36">
        <f>IF(Log_2019[[#This Row],[My Category]]="NONTRACKED",0,Log_2019[[#This Row],[Raw Amount]])</f>
        <v>-4.91</v>
      </c>
      <c r="J760" s="17">
        <f>ABS(Log_2019[[#This Row],[Amount]])</f>
        <v>4.91</v>
      </c>
      <c r="K760" s="5">
        <v>1</v>
      </c>
      <c r="L760" s="38">
        <f ca="1">IF(Log_2019[[#This Row],[Date]]&lt;=TODAY(), MIN(Log_2019[[#This Row],[Split_raw]], TODAY()-Log_2019[[#This Row],[Date]]+1), 0)</f>
        <v>1</v>
      </c>
      <c r="M760" t="s">
        <v>35</v>
      </c>
      <c r="N760" t="s">
        <v>158</v>
      </c>
      <c r="O760" s="7">
        <v>0</v>
      </c>
      <c r="P760" s="52">
        <f ca="1">Log_2019[[#This Row],[Amount]]/Log_2019[[#This Row],[Split_raw]]*MAX(0,MIN(_xlfn.DAYS(EDATE(P$1,1),Log_2019[[#This Row],[Date]]),Log_2019[[#This Row],[Split_apply]])) - SUM($O760:O760)</f>
        <v>-4.91</v>
      </c>
      <c r="Q760" s="52">
        <f ca="1">Log_2019[[#This Row],[Amount]]/Log_2019[[#This Row],[Split_raw]]*MAX(0,MIN(_xlfn.DAYS(EDATE(Q$1,1),Log_2019[[#This Row],[Date]]),Log_2019[[#This Row],[Split_apply]])) - SUM($O760:P760)</f>
        <v>0</v>
      </c>
      <c r="R760" s="52">
        <f ca="1">Log_2019[[#This Row],[Amount]]/Log_2019[[#This Row],[Split_raw]]*MAX(0,MIN(_xlfn.DAYS(EDATE(R$1,1),Log_2019[[#This Row],[Date]]),Log_2019[[#This Row],[Split_apply]])) - SUM($O760:Q760)</f>
        <v>0</v>
      </c>
      <c r="S760" s="52">
        <f ca="1">Log_2019[[#This Row],[Amount]]/Log_2019[[#This Row],[Split_raw]]*MAX(0,MIN(_xlfn.DAYS(EDATE(S$1,1),Log_2019[[#This Row],[Date]]),Log_2019[[#This Row],[Split_apply]])) - SUM($O760:R760)</f>
        <v>0</v>
      </c>
      <c r="T760" s="52">
        <f ca="1">Log_2019[[#This Row],[Amount]]/Log_2019[[#This Row],[Split_raw]]*MAX(0,MIN(_xlfn.DAYS(EDATE(T$1,1),Log_2019[[#This Row],[Date]]),Log_2019[[#This Row],[Split_apply]])) - SUM($O760:S760)</f>
        <v>0</v>
      </c>
      <c r="U760" s="52">
        <f ca="1">Log_2019[[#This Row],[Amount]]/Log_2019[[#This Row],[Split_raw]]*MAX(0,MIN(_xlfn.DAYS(EDATE(U$1,1),Log_2019[[#This Row],[Date]]),Log_2019[[#This Row],[Split_apply]])) - SUM($O760:T760)</f>
        <v>0</v>
      </c>
      <c r="V760" s="52">
        <f ca="1">Log_2019[[#This Row],[Amount]]/Log_2019[[#This Row],[Split_raw]]*MAX(0,MIN(_xlfn.DAYS(EDATE(V$1,1),Log_2019[[#This Row],[Date]]),Log_2019[[#This Row],[Split_apply]])) - SUM($O760:U760)</f>
        <v>0</v>
      </c>
      <c r="W760" s="52">
        <f ca="1">Log_2019[[#This Row],[Amount]]/Log_2019[[#This Row],[Split_raw]]*MAX(0,MIN(_xlfn.DAYS(EDATE(W$1,1),Log_2019[[#This Row],[Date]]),Log_2019[[#This Row],[Split_apply]])) - SUM($O760:V760)</f>
        <v>0</v>
      </c>
      <c r="X760" s="52">
        <f ca="1">Log_2019[[#This Row],[Amount]]/Log_2019[[#This Row],[Split_raw]]*MAX(0,MIN(_xlfn.DAYS(EDATE(X$1,1),Log_2019[[#This Row],[Date]]),Log_2019[[#This Row],[Split_apply]])) - SUM($O760:W760)</f>
        <v>0</v>
      </c>
      <c r="Y760" s="52">
        <f ca="1">Log_2019[[#This Row],[Amount]]/Log_2019[[#This Row],[Split_raw]]*MAX(0,MIN(_xlfn.DAYS(EDATE(Y$1,1),Log_2019[[#This Row],[Date]]),Log_2019[[#This Row],[Split_apply]])) - SUM($O760:X760)</f>
        <v>0</v>
      </c>
      <c r="Z760" s="52">
        <f ca="1">Log_2019[[#This Row],[Amount]]/Log_2019[[#This Row],[Split_raw]]*MAX(0,MIN(_xlfn.DAYS(EDATE(Z$1,1),Log_2019[[#This Row],[Date]]),Log_2019[[#This Row],[Split_apply]])) - SUM($O760:Y760)</f>
        <v>0</v>
      </c>
      <c r="AA760" s="52">
        <f ca="1">Log_2019[[#This Row],[Amount]]/Log_2019[[#This Row],[Split_raw]]*MAX(0,MIN(_xlfn.DAYS(EDATE(AA$1,1),Log_2019[[#This Row],[Date]]),Log_2019[[#This Row],[Split_apply]])) - SUM($O760:Z760)</f>
        <v>0</v>
      </c>
      <c r="AB760" s="54">
        <f ca="1">Log_2019[[#This Row],[Amount]]-SUM(O760:AA760)</f>
        <v>0</v>
      </c>
      <c r="AC760" s="7">
        <f>MAX(0,Log_2019[[#This Row],[Split_raw]] - (EDATE(AA$1,1)-Log_2019[[#This Row],[Date]]))</f>
        <v>0</v>
      </c>
    </row>
    <row r="761" spans="1:29" x14ac:dyDescent="0.25">
      <c r="A761" s="42"/>
      <c r="B761" s="34" t="s">
        <v>6</v>
      </c>
      <c r="D761" s="29">
        <v>43476</v>
      </c>
      <c r="F761" t="s">
        <v>83</v>
      </c>
      <c r="G761" t="s">
        <v>15</v>
      </c>
      <c r="H761" s="3">
        <v>-202.02</v>
      </c>
      <c r="I761" s="36">
        <f>IF(Log_2019[[#This Row],[My Category]]="NONTRACKED",0,Log_2019[[#This Row],[Raw Amount]])</f>
        <v>-202.02</v>
      </c>
      <c r="J761" s="17">
        <f>ABS(Log_2019[[#This Row],[Amount]])</f>
        <v>202.02</v>
      </c>
      <c r="K761" s="5">
        <v>30</v>
      </c>
      <c r="L761" s="38">
        <f ca="1">IF(Log_2019[[#This Row],[Date]]&lt;=TODAY(), MIN(Log_2019[[#This Row],[Split_raw]], TODAY()-Log_2019[[#This Row],[Date]]+1), 0)</f>
        <v>30</v>
      </c>
      <c r="M761" t="s">
        <v>241</v>
      </c>
      <c r="N761" t="s">
        <v>160</v>
      </c>
      <c r="O761" s="7">
        <v>0</v>
      </c>
      <c r="P761" s="52">
        <f ca="1">Log_2019[[#This Row],[Amount]]/Log_2019[[#This Row],[Split_raw]]*MAX(0,MIN(_xlfn.DAYS(EDATE(P$1,1),Log_2019[[#This Row],[Date]]),Log_2019[[#This Row],[Split_apply]])) - SUM($O761:O761)</f>
        <v>-141.41399999999999</v>
      </c>
      <c r="Q761" s="52">
        <f ca="1">Log_2019[[#This Row],[Amount]]/Log_2019[[#This Row],[Split_raw]]*MAX(0,MIN(_xlfn.DAYS(EDATE(Q$1,1),Log_2019[[#This Row],[Date]]),Log_2019[[#This Row],[Split_apply]])) - SUM($O761:P761)</f>
        <v>-60.606000000000023</v>
      </c>
      <c r="R761" s="52">
        <f ca="1">Log_2019[[#This Row],[Amount]]/Log_2019[[#This Row],[Split_raw]]*MAX(0,MIN(_xlfn.DAYS(EDATE(R$1,1),Log_2019[[#This Row],[Date]]),Log_2019[[#This Row],[Split_apply]])) - SUM($O761:Q761)</f>
        <v>0</v>
      </c>
      <c r="S761" s="52">
        <f ca="1">Log_2019[[#This Row],[Amount]]/Log_2019[[#This Row],[Split_raw]]*MAX(0,MIN(_xlfn.DAYS(EDATE(S$1,1),Log_2019[[#This Row],[Date]]),Log_2019[[#This Row],[Split_apply]])) - SUM($O761:R761)</f>
        <v>0</v>
      </c>
      <c r="T761" s="52">
        <f ca="1">Log_2019[[#This Row],[Amount]]/Log_2019[[#This Row],[Split_raw]]*MAX(0,MIN(_xlfn.DAYS(EDATE(T$1,1),Log_2019[[#This Row],[Date]]),Log_2019[[#This Row],[Split_apply]])) - SUM($O761:S761)</f>
        <v>0</v>
      </c>
      <c r="U761" s="52">
        <f ca="1">Log_2019[[#This Row],[Amount]]/Log_2019[[#This Row],[Split_raw]]*MAX(0,MIN(_xlfn.DAYS(EDATE(U$1,1),Log_2019[[#This Row],[Date]]),Log_2019[[#This Row],[Split_apply]])) - SUM($O761:T761)</f>
        <v>0</v>
      </c>
      <c r="V761" s="52">
        <f ca="1">Log_2019[[#This Row],[Amount]]/Log_2019[[#This Row],[Split_raw]]*MAX(0,MIN(_xlfn.DAYS(EDATE(V$1,1),Log_2019[[#This Row],[Date]]),Log_2019[[#This Row],[Split_apply]])) - SUM($O761:U761)</f>
        <v>0</v>
      </c>
      <c r="W761" s="52">
        <f ca="1">Log_2019[[#This Row],[Amount]]/Log_2019[[#This Row],[Split_raw]]*MAX(0,MIN(_xlfn.DAYS(EDATE(W$1,1),Log_2019[[#This Row],[Date]]),Log_2019[[#This Row],[Split_apply]])) - SUM($O761:V761)</f>
        <v>0</v>
      </c>
      <c r="X761" s="52">
        <f ca="1">Log_2019[[#This Row],[Amount]]/Log_2019[[#This Row],[Split_raw]]*MAX(0,MIN(_xlfn.DAYS(EDATE(X$1,1),Log_2019[[#This Row],[Date]]),Log_2019[[#This Row],[Split_apply]])) - SUM($O761:W761)</f>
        <v>0</v>
      </c>
      <c r="Y761" s="52">
        <f ca="1">Log_2019[[#This Row],[Amount]]/Log_2019[[#This Row],[Split_raw]]*MAX(0,MIN(_xlfn.DAYS(EDATE(Y$1,1),Log_2019[[#This Row],[Date]]),Log_2019[[#This Row],[Split_apply]])) - SUM($O761:X761)</f>
        <v>0</v>
      </c>
      <c r="Z761" s="52">
        <f ca="1">Log_2019[[#This Row],[Amount]]/Log_2019[[#This Row],[Split_raw]]*MAX(0,MIN(_xlfn.DAYS(EDATE(Z$1,1),Log_2019[[#This Row],[Date]]),Log_2019[[#This Row],[Split_apply]])) - SUM($O761:Y761)</f>
        <v>0</v>
      </c>
      <c r="AA761" s="52">
        <f ca="1">Log_2019[[#This Row],[Amount]]/Log_2019[[#This Row],[Split_raw]]*MAX(0,MIN(_xlfn.DAYS(EDATE(AA$1,1),Log_2019[[#This Row],[Date]]),Log_2019[[#This Row],[Split_apply]])) - SUM($O761:Z761)</f>
        <v>0</v>
      </c>
      <c r="AB761" s="54">
        <f ca="1">Log_2019[[#This Row],[Amount]]-SUM(O761:AA761)</f>
        <v>0</v>
      </c>
      <c r="AC761" s="7">
        <f>MAX(0,Log_2019[[#This Row],[Split_raw]] - (EDATE(AA$1,1)-Log_2019[[#This Row],[Date]]))</f>
        <v>0</v>
      </c>
    </row>
    <row r="762" spans="1:29" x14ac:dyDescent="0.25">
      <c r="A762" s="42"/>
      <c r="B762" t="s">
        <v>6</v>
      </c>
      <c r="D762" s="29">
        <v>43475</v>
      </c>
      <c r="F762" t="s">
        <v>479</v>
      </c>
      <c r="G762" t="s">
        <v>12</v>
      </c>
      <c r="H762" s="3">
        <v>-9.1</v>
      </c>
      <c r="I762" s="36">
        <f>IF(Log_2019[[#This Row],[My Category]]="NONTRACKED",0,Log_2019[[#This Row],[Raw Amount]])</f>
        <v>-9.1</v>
      </c>
      <c r="J762" s="17">
        <f>ABS(Log_2019[[#This Row],[Amount]])</f>
        <v>9.1</v>
      </c>
      <c r="K762" s="5">
        <v>1</v>
      </c>
      <c r="L762" s="38">
        <f ca="1">IF(Log_2019[[#This Row],[Date]]&lt;=TODAY(), MIN(Log_2019[[#This Row],[Split_raw]], TODAY()-Log_2019[[#This Row],[Date]]+1), 0)</f>
        <v>1</v>
      </c>
      <c r="M762" t="s">
        <v>35</v>
      </c>
      <c r="N762" t="s">
        <v>158</v>
      </c>
      <c r="O762" s="7">
        <v>0</v>
      </c>
      <c r="P762" s="52">
        <f ca="1">Log_2019[[#This Row],[Amount]]/Log_2019[[#This Row],[Split_raw]]*MAX(0,MIN(_xlfn.DAYS(EDATE(P$1,1),Log_2019[[#This Row],[Date]]),Log_2019[[#This Row],[Split_apply]])) - SUM($O762:O762)</f>
        <v>-9.1</v>
      </c>
      <c r="Q762" s="52">
        <f ca="1">Log_2019[[#This Row],[Amount]]/Log_2019[[#This Row],[Split_raw]]*MAX(0,MIN(_xlfn.DAYS(EDATE(Q$1,1),Log_2019[[#This Row],[Date]]),Log_2019[[#This Row],[Split_apply]])) - SUM($O762:P762)</f>
        <v>0</v>
      </c>
      <c r="R762" s="52">
        <f ca="1">Log_2019[[#This Row],[Amount]]/Log_2019[[#This Row],[Split_raw]]*MAX(0,MIN(_xlfn.DAYS(EDATE(R$1,1),Log_2019[[#This Row],[Date]]),Log_2019[[#This Row],[Split_apply]])) - SUM($O762:Q762)</f>
        <v>0</v>
      </c>
      <c r="S762" s="52">
        <f ca="1">Log_2019[[#This Row],[Amount]]/Log_2019[[#This Row],[Split_raw]]*MAX(0,MIN(_xlfn.DAYS(EDATE(S$1,1),Log_2019[[#This Row],[Date]]),Log_2019[[#This Row],[Split_apply]])) - SUM($O762:R762)</f>
        <v>0</v>
      </c>
      <c r="T762" s="52">
        <f ca="1">Log_2019[[#This Row],[Amount]]/Log_2019[[#This Row],[Split_raw]]*MAX(0,MIN(_xlfn.DAYS(EDATE(T$1,1),Log_2019[[#This Row],[Date]]),Log_2019[[#This Row],[Split_apply]])) - SUM($O762:S762)</f>
        <v>0</v>
      </c>
      <c r="U762" s="52">
        <f ca="1">Log_2019[[#This Row],[Amount]]/Log_2019[[#This Row],[Split_raw]]*MAX(0,MIN(_xlfn.DAYS(EDATE(U$1,1),Log_2019[[#This Row],[Date]]),Log_2019[[#This Row],[Split_apply]])) - SUM($O762:T762)</f>
        <v>0</v>
      </c>
      <c r="V762" s="52">
        <f ca="1">Log_2019[[#This Row],[Amount]]/Log_2019[[#This Row],[Split_raw]]*MAX(0,MIN(_xlfn.DAYS(EDATE(V$1,1),Log_2019[[#This Row],[Date]]),Log_2019[[#This Row],[Split_apply]])) - SUM($O762:U762)</f>
        <v>0</v>
      </c>
      <c r="W762" s="52">
        <f ca="1">Log_2019[[#This Row],[Amount]]/Log_2019[[#This Row],[Split_raw]]*MAX(0,MIN(_xlfn.DAYS(EDATE(W$1,1),Log_2019[[#This Row],[Date]]),Log_2019[[#This Row],[Split_apply]])) - SUM($O762:V762)</f>
        <v>0</v>
      </c>
      <c r="X762" s="52">
        <f ca="1">Log_2019[[#This Row],[Amount]]/Log_2019[[#This Row],[Split_raw]]*MAX(0,MIN(_xlfn.DAYS(EDATE(X$1,1),Log_2019[[#This Row],[Date]]),Log_2019[[#This Row],[Split_apply]])) - SUM($O762:W762)</f>
        <v>0</v>
      </c>
      <c r="Y762" s="52">
        <f ca="1">Log_2019[[#This Row],[Amount]]/Log_2019[[#This Row],[Split_raw]]*MAX(0,MIN(_xlfn.DAYS(EDATE(Y$1,1),Log_2019[[#This Row],[Date]]),Log_2019[[#This Row],[Split_apply]])) - SUM($O762:X762)</f>
        <v>0</v>
      </c>
      <c r="Z762" s="52">
        <f ca="1">Log_2019[[#This Row],[Amount]]/Log_2019[[#This Row],[Split_raw]]*MAX(0,MIN(_xlfn.DAYS(EDATE(Z$1,1),Log_2019[[#This Row],[Date]]),Log_2019[[#This Row],[Split_apply]])) - SUM($O762:Y762)</f>
        <v>0</v>
      </c>
      <c r="AA762" s="52">
        <f ca="1">Log_2019[[#This Row],[Amount]]/Log_2019[[#This Row],[Split_raw]]*MAX(0,MIN(_xlfn.DAYS(EDATE(AA$1,1),Log_2019[[#This Row],[Date]]),Log_2019[[#This Row],[Split_apply]])) - SUM($O762:Z762)</f>
        <v>0</v>
      </c>
      <c r="AB762" s="54">
        <f ca="1">Log_2019[[#This Row],[Amount]]-SUM(O762:AA762)</f>
        <v>0</v>
      </c>
      <c r="AC762" s="7">
        <f>MAX(0,Log_2019[[#This Row],[Split_raw]] - (EDATE(AA$1,1)-Log_2019[[#This Row],[Date]]))</f>
        <v>0</v>
      </c>
    </row>
    <row r="763" spans="1:29" x14ac:dyDescent="0.25">
      <c r="A763" s="42"/>
      <c r="B763" t="s">
        <v>6</v>
      </c>
      <c r="D763" s="29">
        <v>43475</v>
      </c>
      <c r="E763" t="s">
        <v>250</v>
      </c>
      <c r="F763" t="s">
        <v>243</v>
      </c>
      <c r="G763" t="s">
        <v>143</v>
      </c>
      <c r="H763" s="3">
        <v>-10.81</v>
      </c>
      <c r="I763" s="36">
        <f>IF(Log_2019[[#This Row],[My Category]]="NONTRACKED",0,Log_2019[[#This Row],[Raw Amount]])</f>
        <v>-10.81</v>
      </c>
      <c r="J763" s="17">
        <f>ABS(Log_2019[[#This Row],[Amount]])</f>
        <v>10.81</v>
      </c>
      <c r="K763" s="5">
        <v>30</v>
      </c>
      <c r="L763" s="38">
        <f ca="1">IF(Log_2019[[#This Row],[Date]]&lt;=TODAY(), MIN(Log_2019[[#This Row],[Split_raw]], TODAY()-Log_2019[[#This Row],[Date]]+1), 0)</f>
        <v>30</v>
      </c>
      <c r="M763" t="s">
        <v>53</v>
      </c>
      <c r="N763" t="s">
        <v>160</v>
      </c>
      <c r="O763" s="7">
        <v>0</v>
      </c>
      <c r="P763" s="52">
        <f ca="1">Log_2019[[#This Row],[Amount]]/Log_2019[[#This Row],[Split_raw]]*MAX(0,MIN(_xlfn.DAYS(EDATE(P$1,1),Log_2019[[#This Row],[Date]]),Log_2019[[#This Row],[Split_apply]])) - SUM($O763:O763)</f>
        <v>-7.9273333333333333</v>
      </c>
      <c r="Q763" s="52">
        <f ca="1">Log_2019[[#This Row],[Amount]]/Log_2019[[#This Row],[Split_raw]]*MAX(0,MIN(_xlfn.DAYS(EDATE(Q$1,1),Log_2019[[#This Row],[Date]]),Log_2019[[#This Row],[Split_apply]])) - SUM($O763:P763)</f>
        <v>-2.8826666666666672</v>
      </c>
      <c r="R763" s="52">
        <f ca="1">Log_2019[[#This Row],[Amount]]/Log_2019[[#This Row],[Split_raw]]*MAX(0,MIN(_xlfn.DAYS(EDATE(R$1,1),Log_2019[[#This Row],[Date]]),Log_2019[[#This Row],[Split_apply]])) - SUM($O763:Q763)</f>
        <v>0</v>
      </c>
      <c r="S763" s="52">
        <f ca="1">Log_2019[[#This Row],[Amount]]/Log_2019[[#This Row],[Split_raw]]*MAX(0,MIN(_xlfn.DAYS(EDATE(S$1,1),Log_2019[[#This Row],[Date]]),Log_2019[[#This Row],[Split_apply]])) - SUM($O763:R763)</f>
        <v>0</v>
      </c>
      <c r="T763" s="52">
        <f ca="1">Log_2019[[#This Row],[Amount]]/Log_2019[[#This Row],[Split_raw]]*MAX(0,MIN(_xlfn.DAYS(EDATE(T$1,1),Log_2019[[#This Row],[Date]]),Log_2019[[#This Row],[Split_apply]])) - SUM($O763:S763)</f>
        <v>0</v>
      </c>
      <c r="U763" s="52">
        <f ca="1">Log_2019[[#This Row],[Amount]]/Log_2019[[#This Row],[Split_raw]]*MAX(0,MIN(_xlfn.DAYS(EDATE(U$1,1),Log_2019[[#This Row],[Date]]),Log_2019[[#This Row],[Split_apply]])) - SUM($O763:T763)</f>
        <v>0</v>
      </c>
      <c r="V763" s="52">
        <f ca="1">Log_2019[[#This Row],[Amount]]/Log_2019[[#This Row],[Split_raw]]*MAX(0,MIN(_xlfn.DAYS(EDATE(V$1,1),Log_2019[[#This Row],[Date]]),Log_2019[[#This Row],[Split_apply]])) - SUM($O763:U763)</f>
        <v>0</v>
      </c>
      <c r="W763" s="52">
        <f ca="1">Log_2019[[#This Row],[Amount]]/Log_2019[[#This Row],[Split_raw]]*MAX(0,MIN(_xlfn.DAYS(EDATE(W$1,1),Log_2019[[#This Row],[Date]]),Log_2019[[#This Row],[Split_apply]])) - SUM($O763:V763)</f>
        <v>0</v>
      </c>
      <c r="X763" s="52">
        <f ca="1">Log_2019[[#This Row],[Amount]]/Log_2019[[#This Row],[Split_raw]]*MAX(0,MIN(_xlfn.DAYS(EDATE(X$1,1),Log_2019[[#This Row],[Date]]),Log_2019[[#This Row],[Split_apply]])) - SUM($O763:W763)</f>
        <v>0</v>
      </c>
      <c r="Y763" s="52">
        <f ca="1">Log_2019[[#This Row],[Amount]]/Log_2019[[#This Row],[Split_raw]]*MAX(0,MIN(_xlfn.DAYS(EDATE(Y$1,1),Log_2019[[#This Row],[Date]]),Log_2019[[#This Row],[Split_apply]])) - SUM($O763:X763)</f>
        <v>0</v>
      </c>
      <c r="Z763" s="52">
        <f ca="1">Log_2019[[#This Row],[Amount]]/Log_2019[[#This Row],[Split_raw]]*MAX(0,MIN(_xlfn.DAYS(EDATE(Z$1,1),Log_2019[[#This Row],[Date]]),Log_2019[[#This Row],[Split_apply]])) - SUM($O763:Y763)</f>
        <v>0</v>
      </c>
      <c r="AA763" s="52">
        <f ca="1">Log_2019[[#This Row],[Amount]]/Log_2019[[#This Row],[Split_raw]]*MAX(0,MIN(_xlfn.DAYS(EDATE(AA$1,1),Log_2019[[#This Row],[Date]]),Log_2019[[#This Row],[Split_apply]])) - SUM($O763:Z763)</f>
        <v>0</v>
      </c>
      <c r="AB763" s="54">
        <f ca="1">Log_2019[[#This Row],[Amount]]-SUM(O763:AA763)</f>
        <v>0</v>
      </c>
      <c r="AC763" s="7">
        <f>MAX(0,Log_2019[[#This Row],[Split_raw]] - (EDATE(AA$1,1)-Log_2019[[#This Row],[Date]]))</f>
        <v>0</v>
      </c>
    </row>
    <row r="764" spans="1:29" x14ac:dyDescent="0.25">
      <c r="A764" s="42"/>
      <c r="B764" t="s">
        <v>6</v>
      </c>
      <c r="D764" s="29">
        <v>43472</v>
      </c>
      <c r="F764" t="s">
        <v>345</v>
      </c>
      <c r="G764" t="s">
        <v>12</v>
      </c>
      <c r="H764" s="3">
        <v>-63.59</v>
      </c>
      <c r="I764" s="36">
        <f>IF(Log_2019[[#This Row],[My Category]]="NONTRACKED",0,Log_2019[[#This Row],[Raw Amount]])</f>
        <v>-63.59</v>
      </c>
      <c r="J764" s="17">
        <f>ABS(Log_2019[[#This Row],[Amount]])</f>
        <v>63.59</v>
      </c>
      <c r="K764" s="5">
        <v>1</v>
      </c>
      <c r="L764" s="38">
        <f ca="1">IF(Log_2019[[#This Row],[Date]]&lt;=TODAY(), MIN(Log_2019[[#This Row],[Split_raw]], TODAY()-Log_2019[[#This Row],[Date]]+1), 0)</f>
        <v>1</v>
      </c>
      <c r="M764" t="s">
        <v>12</v>
      </c>
      <c r="N764" t="s">
        <v>158</v>
      </c>
      <c r="O764" s="7">
        <v>0</v>
      </c>
      <c r="P764" s="52">
        <f ca="1">Log_2019[[#This Row],[Amount]]/Log_2019[[#This Row],[Split_raw]]*MAX(0,MIN(_xlfn.DAYS(EDATE(P$1,1),Log_2019[[#This Row],[Date]]),Log_2019[[#This Row],[Split_apply]])) - SUM($O764:O764)</f>
        <v>-63.59</v>
      </c>
      <c r="Q764" s="52">
        <f ca="1">Log_2019[[#This Row],[Amount]]/Log_2019[[#This Row],[Split_raw]]*MAX(0,MIN(_xlfn.DAYS(EDATE(Q$1,1),Log_2019[[#This Row],[Date]]),Log_2019[[#This Row],[Split_apply]])) - SUM($O764:P764)</f>
        <v>0</v>
      </c>
      <c r="R764" s="52">
        <f ca="1">Log_2019[[#This Row],[Amount]]/Log_2019[[#This Row],[Split_raw]]*MAX(0,MIN(_xlfn.DAYS(EDATE(R$1,1),Log_2019[[#This Row],[Date]]),Log_2019[[#This Row],[Split_apply]])) - SUM($O764:Q764)</f>
        <v>0</v>
      </c>
      <c r="S764" s="52">
        <f ca="1">Log_2019[[#This Row],[Amount]]/Log_2019[[#This Row],[Split_raw]]*MAX(0,MIN(_xlfn.DAYS(EDATE(S$1,1),Log_2019[[#This Row],[Date]]),Log_2019[[#This Row],[Split_apply]])) - SUM($O764:R764)</f>
        <v>0</v>
      </c>
      <c r="T764" s="52">
        <f ca="1">Log_2019[[#This Row],[Amount]]/Log_2019[[#This Row],[Split_raw]]*MAX(0,MIN(_xlfn.DAYS(EDATE(T$1,1),Log_2019[[#This Row],[Date]]),Log_2019[[#This Row],[Split_apply]])) - SUM($O764:S764)</f>
        <v>0</v>
      </c>
      <c r="U764" s="52">
        <f ca="1">Log_2019[[#This Row],[Amount]]/Log_2019[[#This Row],[Split_raw]]*MAX(0,MIN(_xlfn.DAYS(EDATE(U$1,1),Log_2019[[#This Row],[Date]]),Log_2019[[#This Row],[Split_apply]])) - SUM($O764:T764)</f>
        <v>0</v>
      </c>
      <c r="V764" s="52">
        <f ca="1">Log_2019[[#This Row],[Amount]]/Log_2019[[#This Row],[Split_raw]]*MAX(0,MIN(_xlfn.DAYS(EDATE(V$1,1),Log_2019[[#This Row],[Date]]),Log_2019[[#This Row],[Split_apply]])) - SUM($O764:U764)</f>
        <v>0</v>
      </c>
      <c r="W764" s="52">
        <f ca="1">Log_2019[[#This Row],[Amount]]/Log_2019[[#This Row],[Split_raw]]*MAX(0,MIN(_xlfn.DAYS(EDATE(W$1,1),Log_2019[[#This Row],[Date]]),Log_2019[[#This Row],[Split_apply]])) - SUM($O764:V764)</f>
        <v>0</v>
      </c>
      <c r="X764" s="52">
        <f ca="1">Log_2019[[#This Row],[Amount]]/Log_2019[[#This Row],[Split_raw]]*MAX(0,MIN(_xlfn.DAYS(EDATE(X$1,1),Log_2019[[#This Row],[Date]]),Log_2019[[#This Row],[Split_apply]])) - SUM($O764:W764)</f>
        <v>0</v>
      </c>
      <c r="Y764" s="52">
        <f ca="1">Log_2019[[#This Row],[Amount]]/Log_2019[[#This Row],[Split_raw]]*MAX(0,MIN(_xlfn.DAYS(EDATE(Y$1,1),Log_2019[[#This Row],[Date]]),Log_2019[[#This Row],[Split_apply]])) - SUM($O764:X764)</f>
        <v>0</v>
      </c>
      <c r="Z764" s="52">
        <f ca="1">Log_2019[[#This Row],[Amount]]/Log_2019[[#This Row],[Split_raw]]*MAX(0,MIN(_xlfn.DAYS(EDATE(Z$1,1),Log_2019[[#This Row],[Date]]),Log_2019[[#This Row],[Split_apply]])) - SUM($O764:Y764)</f>
        <v>0</v>
      </c>
      <c r="AA764" s="52">
        <f ca="1">Log_2019[[#This Row],[Amount]]/Log_2019[[#This Row],[Split_raw]]*MAX(0,MIN(_xlfn.DAYS(EDATE(AA$1,1),Log_2019[[#This Row],[Date]]),Log_2019[[#This Row],[Split_apply]])) - SUM($O764:Z764)</f>
        <v>0</v>
      </c>
      <c r="AB764" s="54">
        <f ca="1">Log_2019[[#This Row],[Amount]]-SUM(O764:AA764)</f>
        <v>0</v>
      </c>
      <c r="AC764" s="7">
        <f>MAX(0,Log_2019[[#This Row],[Split_raw]] - (EDATE(AA$1,1)-Log_2019[[#This Row],[Date]]))</f>
        <v>0</v>
      </c>
    </row>
    <row r="765" spans="1:29" x14ac:dyDescent="0.25">
      <c r="A765" s="42"/>
      <c r="B765" t="s">
        <v>6</v>
      </c>
      <c r="D765" s="29">
        <v>43472</v>
      </c>
      <c r="F765" t="s">
        <v>59</v>
      </c>
      <c r="G765" t="s">
        <v>25</v>
      </c>
      <c r="H765" s="3">
        <v>-7.94</v>
      </c>
      <c r="I765" s="36">
        <f>IF(Log_2019[[#This Row],[My Category]]="NONTRACKED",0,Log_2019[[#This Row],[Raw Amount]])</f>
        <v>-7.94</v>
      </c>
      <c r="J765" s="17">
        <f>ABS(Log_2019[[#This Row],[Amount]])</f>
        <v>7.94</v>
      </c>
      <c r="K765" s="5">
        <v>1</v>
      </c>
      <c r="L765" s="38">
        <f ca="1">IF(Log_2019[[#This Row],[Date]]&lt;=TODAY(), MIN(Log_2019[[#This Row],[Split_raw]], TODAY()-Log_2019[[#This Row],[Date]]+1), 0)</f>
        <v>1</v>
      </c>
      <c r="M765" t="s">
        <v>35</v>
      </c>
      <c r="N765" t="s">
        <v>158</v>
      </c>
      <c r="O765" s="7">
        <v>0</v>
      </c>
      <c r="P765" s="52">
        <f ca="1">Log_2019[[#This Row],[Amount]]/Log_2019[[#This Row],[Split_raw]]*MAX(0,MIN(_xlfn.DAYS(EDATE(P$1,1),Log_2019[[#This Row],[Date]]),Log_2019[[#This Row],[Split_apply]])) - SUM($O765:O765)</f>
        <v>-7.94</v>
      </c>
      <c r="Q765" s="52">
        <f ca="1">Log_2019[[#This Row],[Amount]]/Log_2019[[#This Row],[Split_raw]]*MAX(0,MIN(_xlfn.DAYS(EDATE(Q$1,1),Log_2019[[#This Row],[Date]]),Log_2019[[#This Row],[Split_apply]])) - SUM($O765:P765)</f>
        <v>0</v>
      </c>
      <c r="R765" s="52">
        <f ca="1">Log_2019[[#This Row],[Amount]]/Log_2019[[#This Row],[Split_raw]]*MAX(0,MIN(_xlfn.DAYS(EDATE(R$1,1),Log_2019[[#This Row],[Date]]),Log_2019[[#This Row],[Split_apply]])) - SUM($O765:Q765)</f>
        <v>0</v>
      </c>
      <c r="S765" s="52">
        <f ca="1">Log_2019[[#This Row],[Amount]]/Log_2019[[#This Row],[Split_raw]]*MAX(0,MIN(_xlfn.DAYS(EDATE(S$1,1),Log_2019[[#This Row],[Date]]),Log_2019[[#This Row],[Split_apply]])) - SUM($O765:R765)</f>
        <v>0</v>
      </c>
      <c r="T765" s="52">
        <f ca="1">Log_2019[[#This Row],[Amount]]/Log_2019[[#This Row],[Split_raw]]*MAX(0,MIN(_xlfn.DAYS(EDATE(T$1,1),Log_2019[[#This Row],[Date]]),Log_2019[[#This Row],[Split_apply]])) - SUM($O765:S765)</f>
        <v>0</v>
      </c>
      <c r="U765" s="52">
        <f ca="1">Log_2019[[#This Row],[Amount]]/Log_2019[[#This Row],[Split_raw]]*MAX(0,MIN(_xlfn.DAYS(EDATE(U$1,1),Log_2019[[#This Row],[Date]]),Log_2019[[#This Row],[Split_apply]])) - SUM($O765:T765)</f>
        <v>0</v>
      </c>
      <c r="V765" s="52">
        <f ca="1">Log_2019[[#This Row],[Amount]]/Log_2019[[#This Row],[Split_raw]]*MAX(0,MIN(_xlfn.DAYS(EDATE(V$1,1),Log_2019[[#This Row],[Date]]),Log_2019[[#This Row],[Split_apply]])) - SUM($O765:U765)</f>
        <v>0</v>
      </c>
      <c r="W765" s="52">
        <f ca="1">Log_2019[[#This Row],[Amount]]/Log_2019[[#This Row],[Split_raw]]*MAX(0,MIN(_xlfn.DAYS(EDATE(W$1,1),Log_2019[[#This Row],[Date]]),Log_2019[[#This Row],[Split_apply]])) - SUM($O765:V765)</f>
        <v>0</v>
      </c>
      <c r="X765" s="52">
        <f ca="1">Log_2019[[#This Row],[Amount]]/Log_2019[[#This Row],[Split_raw]]*MAX(0,MIN(_xlfn.DAYS(EDATE(X$1,1),Log_2019[[#This Row],[Date]]),Log_2019[[#This Row],[Split_apply]])) - SUM($O765:W765)</f>
        <v>0</v>
      </c>
      <c r="Y765" s="52">
        <f ca="1">Log_2019[[#This Row],[Amount]]/Log_2019[[#This Row],[Split_raw]]*MAX(0,MIN(_xlfn.DAYS(EDATE(Y$1,1),Log_2019[[#This Row],[Date]]),Log_2019[[#This Row],[Split_apply]])) - SUM($O765:X765)</f>
        <v>0</v>
      </c>
      <c r="Z765" s="52">
        <f ca="1">Log_2019[[#This Row],[Amount]]/Log_2019[[#This Row],[Split_raw]]*MAX(0,MIN(_xlfn.DAYS(EDATE(Z$1,1),Log_2019[[#This Row],[Date]]),Log_2019[[#This Row],[Split_apply]])) - SUM($O765:Y765)</f>
        <v>0</v>
      </c>
      <c r="AA765" s="52">
        <f ca="1">Log_2019[[#This Row],[Amount]]/Log_2019[[#This Row],[Split_raw]]*MAX(0,MIN(_xlfn.DAYS(EDATE(AA$1,1),Log_2019[[#This Row],[Date]]),Log_2019[[#This Row],[Split_apply]])) - SUM($O765:Z765)</f>
        <v>0</v>
      </c>
      <c r="AB765" s="54">
        <f ca="1">Log_2019[[#This Row],[Amount]]-SUM(O765:AA765)</f>
        <v>0</v>
      </c>
      <c r="AC765" s="7">
        <f>MAX(0,Log_2019[[#This Row],[Split_raw]] - (EDATE(AA$1,1)-Log_2019[[#This Row],[Date]]))</f>
        <v>0</v>
      </c>
    </row>
    <row r="766" spans="1:29" x14ac:dyDescent="0.25">
      <c r="A766" s="42"/>
      <c r="B766" t="s">
        <v>6</v>
      </c>
      <c r="D766" s="29">
        <v>43472</v>
      </c>
      <c r="F766" t="s">
        <v>188</v>
      </c>
      <c r="G766" t="s">
        <v>189</v>
      </c>
      <c r="H766" s="3">
        <v>-82.15</v>
      </c>
      <c r="I766" s="36">
        <f>IF(Log_2019[[#This Row],[My Category]]="NONTRACKED",0,Log_2019[[#This Row],[Raw Amount]])</f>
        <v>-82.15</v>
      </c>
      <c r="J766" s="17">
        <f>ABS(Log_2019[[#This Row],[Amount]])</f>
        <v>82.15</v>
      </c>
      <c r="K766" s="5">
        <v>30</v>
      </c>
      <c r="L766" s="38">
        <f ca="1">IF(Log_2019[[#This Row],[Date]]&lt;=TODAY(), MIN(Log_2019[[#This Row],[Split_raw]], TODAY()-Log_2019[[#This Row],[Date]]+1), 0)</f>
        <v>30</v>
      </c>
      <c r="M766" t="s">
        <v>30</v>
      </c>
      <c r="N766" t="s">
        <v>158</v>
      </c>
      <c r="O766" s="7">
        <v>0</v>
      </c>
      <c r="P766" s="52">
        <f ca="1">Log_2019[[#This Row],[Amount]]/Log_2019[[#This Row],[Split_raw]]*MAX(0,MIN(_xlfn.DAYS(EDATE(P$1,1),Log_2019[[#This Row],[Date]]),Log_2019[[#This Row],[Split_apply]])) - SUM($O766:O766)</f>
        <v>-68.458333333333343</v>
      </c>
      <c r="Q766" s="52">
        <f ca="1">Log_2019[[#This Row],[Amount]]/Log_2019[[#This Row],[Split_raw]]*MAX(0,MIN(_xlfn.DAYS(EDATE(Q$1,1),Log_2019[[#This Row],[Date]]),Log_2019[[#This Row],[Split_apply]])) - SUM($O766:P766)</f>
        <v>-13.691666666666663</v>
      </c>
      <c r="R766" s="52">
        <f ca="1">Log_2019[[#This Row],[Amount]]/Log_2019[[#This Row],[Split_raw]]*MAX(0,MIN(_xlfn.DAYS(EDATE(R$1,1),Log_2019[[#This Row],[Date]]),Log_2019[[#This Row],[Split_apply]])) - SUM($O766:Q766)</f>
        <v>0</v>
      </c>
      <c r="S766" s="52">
        <f ca="1">Log_2019[[#This Row],[Amount]]/Log_2019[[#This Row],[Split_raw]]*MAX(0,MIN(_xlfn.DAYS(EDATE(S$1,1),Log_2019[[#This Row],[Date]]),Log_2019[[#This Row],[Split_apply]])) - SUM($O766:R766)</f>
        <v>0</v>
      </c>
      <c r="T766" s="52">
        <f ca="1">Log_2019[[#This Row],[Amount]]/Log_2019[[#This Row],[Split_raw]]*MAX(0,MIN(_xlfn.DAYS(EDATE(T$1,1),Log_2019[[#This Row],[Date]]),Log_2019[[#This Row],[Split_apply]])) - SUM($O766:S766)</f>
        <v>0</v>
      </c>
      <c r="U766" s="52">
        <f ca="1">Log_2019[[#This Row],[Amount]]/Log_2019[[#This Row],[Split_raw]]*MAX(0,MIN(_xlfn.DAYS(EDATE(U$1,1),Log_2019[[#This Row],[Date]]),Log_2019[[#This Row],[Split_apply]])) - SUM($O766:T766)</f>
        <v>0</v>
      </c>
      <c r="V766" s="52">
        <f ca="1">Log_2019[[#This Row],[Amount]]/Log_2019[[#This Row],[Split_raw]]*MAX(0,MIN(_xlfn.DAYS(EDATE(V$1,1),Log_2019[[#This Row],[Date]]),Log_2019[[#This Row],[Split_apply]])) - SUM($O766:U766)</f>
        <v>0</v>
      </c>
      <c r="W766" s="52">
        <f ca="1">Log_2019[[#This Row],[Amount]]/Log_2019[[#This Row],[Split_raw]]*MAX(0,MIN(_xlfn.DAYS(EDATE(W$1,1),Log_2019[[#This Row],[Date]]),Log_2019[[#This Row],[Split_apply]])) - SUM($O766:V766)</f>
        <v>0</v>
      </c>
      <c r="X766" s="52">
        <f ca="1">Log_2019[[#This Row],[Amount]]/Log_2019[[#This Row],[Split_raw]]*MAX(0,MIN(_xlfn.DAYS(EDATE(X$1,1),Log_2019[[#This Row],[Date]]),Log_2019[[#This Row],[Split_apply]])) - SUM($O766:W766)</f>
        <v>0</v>
      </c>
      <c r="Y766" s="52">
        <f ca="1">Log_2019[[#This Row],[Amount]]/Log_2019[[#This Row],[Split_raw]]*MAX(0,MIN(_xlfn.DAYS(EDATE(Y$1,1),Log_2019[[#This Row],[Date]]),Log_2019[[#This Row],[Split_apply]])) - SUM($O766:X766)</f>
        <v>0</v>
      </c>
      <c r="Z766" s="52">
        <f ca="1">Log_2019[[#This Row],[Amount]]/Log_2019[[#This Row],[Split_raw]]*MAX(0,MIN(_xlfn.DAYS(EDATE(Z$1,1),Log_2019[[#This Row],[Date]]),Log_2019[[#This Row],[Split_apply]])) - SUM($O766:Y766)</f>
        <v>0</v>
      </c>
      <c r="AA766" s="52">
        <f ca="1">Log_2019[[#This Row],[Amount]]/Log_2019[[#This Row],[Split_raw]]*MAX(0,MIN(_xlfn.DAYS(EDATE(AA$1,1),Log_2019[[#This Row],[Date]]),Log_2019[[#This Row],[Split_apply]])) - SUM($O766:Z766)</f>
        <v>0</v>
      </c>
      <c r="AB766" s="54">
        <f ca="1">Log_2019[[#This Row],[Amount]]-SUM(O766:AA766)</f>
        <v>0</v>
      </c>
      <c r="AC766" s="7">
        <f>MAX(0,Log_2019[[#This Row],[Split_raw]] - (EDATE(AA$1,1)-Log_2019[[#This Row],[Date]]))</f>
        <v>0</v>
      </c>
    </row>
    <row r="767" spans="1:29" x14ac:dyDescent="0.25">
      <c r="A767" s="42"/>
      <c r="B767" t="s">
        <v>6</v>
      </c>
      <c r="D767" s="29">
        <v>43472</v>
      </c>
      <c r="F767" t="s">
        <v>138</v>
      </c>
      <c r="G767" t="s">
        <v>104</v>
      </c>
      <c r="H767" s="3">
        <v>-493.71</v>
      </c>
      <c r="I767" s="36">
        <f>IF(Log_2019[[#This Row],[My Category]]="NONTRACKED",0,Log_2019[[#This Row],[Raw Amount]])</f>
        <v>-493.71</v>
      </c>
      <c r="J767" s="17">
        <f>ABS(Log_2019[[#This Row],[Amount]])</f>
        <v>493.71</v>
      </c>
      <c r="K767" s="5">
        <v>1</v>
      </c>
      <c r="L767" s="38">
        <f ca="1">IF(Log_2019[[#This Row],[Date]]&lt;=TODAY(), MIN(Log_2019[[#This Row],[Split_raw]], TODAY()-Log_2019[[#This Row],[Date]]+1), 0)</f>
        <v>1</v>
      </c>
      <c r="M767" t="s">
        <v>159</v>
      </c>
      <c r="N767" t="s">
        <v>160</v>
      </c>
      <c r="O767" s="7">
        <v>0</v>
      </c>
      <c r="P767" s="52">
        <f ca="1">Log_2019[[#This Row],[Amount]]/Log_2019[[#This Row],[Split_raw]]*MAX(0,MIN(_xlfn.DAYS(EDATE(P$1,1),Log_2019[[#This Row],[Date]]),Log_2019[[#This Row],[Split_apply]])) - SUM($O767:O767)</f>
        <v>-493.71</v>
      </c>
      <c r="Q767" s="52">
        <f ca="1">Log_2019[[#This Row],[Amount]]/Log_2019[[#This Row],[Split_raw]]*MAX(0,MIN(_xlfn.DAYS(EDATE(Q$1,1),Log_2019[[#This Row],[Date]]),Log_2019[[#This Row],[Split_apply]])) - SUM($O767:P767)</f>
        <v>0</v>
      </c>
      <c r="R767" s="52">
        <f ca="1">Log_2019[[#This Row],[Amount]]/Log_2019[[#This Row],[Split_raw]]*MAX(0,MIN(_xlfn.DAYS(EDATE(R$1,1),Log_2019[[#This Row],[Date]]),Log_2019[[#This Row],[Split_apply]])) - SUM($O767:Q767)</f>
        <v>0</v>
      </c>
      <c r="S767" s="52">
        <f ca="1">Log_2019[[#This Row],[Amount]]/Log_2019[[#This Row],[Split_raw]]*MAX(0,MIN(_xlfn.DAYS(EDATE(S$1,1),Log_2019[[#This Row],[Date]]),Log_2019[[#This Row],[Split_apply]])) - SUM($O767:R767)</f>
        <v>0</v>
      </c>
      <c r="T767" s="52">
        <f ca="1">Log_2019[[#This Row],[Amount]]/Log_2019[[#This Row],[Split_raw]]*MAX(0,MIN(_xlfn.DAYS(EDATE(T$1,1),Log_2019[[#This Row],[Date]]),Log_2019[[#This Row],[Split_apply]])) - SUM($O767:S767)</f>
        <v>0</v>
      </c>
      <c r="U767" s="52">
        <f ca="1">Log_2019[[#This Row],[Amount]]/Log_2019[[#This Row],[Split_raw]]*MAX(0,MIN(_xlfn.DAYS(EDATE(U$1,1),Log_2019[[#This Row],[Date]]),Log_2019[[#This Row],[Split_apply]])) - SUM($O767:T767)</f>
        <v>0</v>
      </c>
      <c r="V767" s="52">
        <f ca="1">Log_2019[[#This Row],[Amount]]/Log_2019[[#This Row],[Split_raw]]*MAX(0,MIN(_xlfn.DAYS(EDATE(V$1,1),Log_2019[[#This Row],[Date]]),Log_2019[[#This Row],[Split_apply]])) - SUM($O767:U767)</f>
        <v>0</v>
      </c>
      <c r="W767" s="52">
        <f ca="1">Log_2019[[#This Row],[Amount]]/Log_2019[[#This Row],[Split_raw]]*MAX(0,MIN(_xlfn.DAYS(EDATE(W$1,1),Log_2019[[#This Row],[Date]]),Log_2019[[#This Row],[Split_apply]])) - SUM($O767:V767)</f>
        <v>0</v>
      </c>
      <c r="X767" s="52">
        <f ca="1">Log_2019[[#This Row],[Amount]]/Log_2019[[#This Row],[Split_raw]]*MAX(0,MIN(_xlfn.DAYS(EDATE(X$1,1),Log_2019[[#This Row],[Date]]),Log_2019[[#This Row],[Split_apply]])) - SUM($O767:W767)</f>
        <v>0</v>
      </c>
      <c r="Y767" s="52">
        <f ca="1">Log_2019[[#This Row],[Amount]]/Log_2019[[#This Row],[Split_raw]]*MAX(0,MIN(_xlfn.DAYS(EDATE(Y$1,1),Log_2019[[#This Row],[Date]]),Log_2019[[#This Row],[Split_apply]])) - SUM($O767:X767)</f>
        <v>0</v>
      </c>
      <c r="Z767" s="52">
        <f ca="1">Log_2019[[#This Row],[Amount]]/Log_2019[[#This Row],[Split_raw]]*MAX(0,MIN(_xlfn.DAYS(EDATE(Z$1,1),Log_2019[[#This Row],[Date]]),Log_2019[[#This Row],[Split_apply]])) - SUM($O767:Y767)</f>
        <v>0</v>
      </c>
      <c r="AA767" s="52">
        <f ca="1">Log_2019[[#This Row],[Amount]]/Log_2019[[#This Row],[Split_raw]]*MAX(0,MIN(_xlfn.DAYS(EDATE(AA$1,1),Log_2019[[#This Row],[Date]]),Log_2019[[#This Row],[Split_apply]])) - SUM($O767:Z767)</f>
        <v>0</v>
      </c>
      <c r="AB767" s="54">
        <f ca="1">Log_2019[[#This Row],[Amount]]-SUM(O767:AA767)</f>
        <v>0</v>
      </c>
      <c r="AC767" s="7">
        <f>MAX(0,Log_2019[[#This Row],[Split_raw]] - (EDATE(AA$1,1)-Log_2019[[#This Row],[Date]]))</f>
        <v>0</v>
      </c>
    </row>
    <row r="768" spans="1:29" x14ac:dyDescent="0.25">
      <c r="A768" s="42"/>
      <c r="B768" t="s">
        <v>6</v>
      </c>
      <c r="D768" s="29">
        <v>43471</v>
      </c>
      <c r="F768" t="s">
        <v>105</v>
      </c>
      <c r="G768" t="s">
        <v>104</v>
      </c>
      <c r="H768" s="3">
        <f>--493.71</f>
        <v>493.71</v>
      </c>
      <c r="I768" s="36">
        <f>IF(Log_2019[[#This Row],[My Category]]="NONTRACKED",0,Log_2019[[#This Row],[Raw Amount]])</f>
        <v>493.71</v>
      </c>
      <c r="J768" s="17">
        <f>ABS(Log_2019[[#This Row],[Amount]])</f>
        <v>493.71</v>
      </c>
      <c r="K768" s="5">
        <v>1</v>
      </c>
      <c r="L768" s="38">
        <f ca="1">IF(Log_2019[[#This Row],[Date]]&lt;=TODAY(), MIN(Log_2019[[#This Row],[Split_raw]], TODAY()-Log_2019[[#This Row],[Date]]+1), 0)</f>
        <v>1</v>
      </c>
      <c r="M768" t="s">
        <v>159</v>
      </c>
      <c r="N768" t="s">
        <v>158</v>
      </c>
      <c r="O768" s="7">
        <v>0</v>
      </c>
      <c r="P768" s="52">
        <f ca="1">Log_2019[[#This Row],[Amount]]/Log_2019[[#This Row],[Split_raw]]*MAX(0,MIN(_xlfn.DAYS(EDATE(P$1,1),Log_2019[[#This Row],[Date]]),Log_2019[[#This Row],[Split_apply]])) - SUM($O768:O768)</f>
        <v>493.71</v>
      </c>
      <c r="Q768" s="52">
        <f ca="1">Log_2019[[#This Row],[Amount]]/Log_2019[[#This Row],[Split_raw]]*MAX(0,MIN(_xlfn.DAYS(EDATE(Q$1,1),Log_2019[[#This Row],[Date]]),Log_2019[[#This Row],[Split_apply]])) - SUM($O768:P768)</f>
        <v>0</v>
      </c>
      <c r="R768" s="52">
        <f ca="1">Log_2019[[#This Row],[Amount]]/Log_2019[[#This Row],[Split_raw]]*MAX(0,MIN(_xlfn.DAYS(EDATE(R$1,1),Log_2019[[#This Row],[Date]]),Log_2019[[#This Row],[Split_apply]])) - SUM($O768:Q768)</f>
        <v>0</v>
      </c>
      <c r="S768" s="52">
        <f ca="1">Log_2019[[#This Row],[Amount]]/Log_2019[[#This Row],[Split_raw]]*MAX(0,MIN(_xlfn.DAYS(EDATE(S$1,1),Log_2019[[#This Row],[Date]]),Log_2019[[#This Row],[Split_apply]])) - SUM($O768:R768)</f>
        <v>0</v>
      </c>
      <c r="T768" s="52">
        <f ca="1">Log_2019[[#This Row],[Amount]]/Log_2019[[#This Row],[Split_raw]]*MAX(0,MIN(_xlfn.DAYS(EDATE(T$1,1),Log_2019[[#This Row],[Date]]),Log_2019[[#This Row],[Split_apply]])) - SUM($O768:S768)</f>
        <v>0</v>
      </c>
      <c r="U768" s="52">
        <f ca="1">Log_2019[[#This Row],[Amount]]/Log_2019[[#This Row],[Split_raw]]*MAX(0,MIN(_xlfn.DAYS(EDATE(U$1,1),Log_2019[[#This Row],[Date]]),Log_2019[[#This Row],[Split_apply]])) - SUM($O768:T768)</f>
        <v>0</v>
      </c>
      <c r="V768" s="52">
        <f ca="1">Log_2019[[#This Row],[Amount]]/Log_2019[[#This Row],[Split_raw]]*MAX(0,MIN(_xlfn.DAYS(EDATE(V$1,1),Log_2019[[#This Row],[Date]]),Log_2019[[#This Row],[Split_apply]])) - SUM($O768:U768)</f>
        <v>0</v>
      </c>
      <c r="W768" s="52">
        <f ca="1">Log_2019[[#This Row],[Amount]]/Log_2019[[#This Row],[Split_raw]]*MAX(0,MIN(_xlfn.DAYS(EDATE(W$1,1),Log_2019[[#This Row],[Date]]),Log_2019[[#This Row],[Split_apply]])) - SUM($O768:V768)</f>
        <v>0</v>
      </c>
      <c r="X768" s="52">
        <f ca="1">Log_2019[[#This Row],[Amount]]/Log_2019[[#This Row],[Split_raw]]*MAX(0,MIN(_xlfn.DAYS(EDATE(X$1,1),Log_2019[[#This Row],[Date]]),Log_2019[[#This Row],[Split_apply]])) - SUM($O768:W768)</f>
        <v>0</v>
      </c>
      <c r="Y768" s="52">
        <f ca="1">Log_2019[[#This Row],[Amount]]/Log_2019[[#This Row],[Split_raw]]*MAX(0,MIN(_xlfn.DAYS(EDATE(Y$1,1),Log_2019[[#This Row],[Date]]),Log_2019[[#This Row],[Split_apply]])) - SUM($O768:X768)</f>
        <v>0</v>
      </c>
      <c r="Z768" s="52">
        <f ca="1">Log_2019[[#This Row],[Amount]]/Log_2019[[#This Row],[Split_raw]]*MAX(0,MIN(_xlfn.DAYS(EDATE(Z$1,1),Log_2019[[#This Row],[Date]]),Log_2019[[#This Row],[Split_apply]])) - SUM($O768:Y768)</f>
        <v>0</v>
      </c>
      <c r="AA768" s="52">
        <f ca="1">Log_2019[[#This Row],[Amount]]/Log_2019[[#This Row],[Split_raw]]*MAX(0,MIN(_xlfn.DAYS(EDATE(AA$1,1),Log_2019[[#This Row],[Date]]),Log_2019[[#This Row],[Split_apply]])) - SUM($O768:Z768)</f>
        <v>0</v>
      </c>
      <c r="AB768" s="54">
        <f ca="1">Log_2019[[#This Row],[Amount]]-SUM(O768:AA768)</f>
        <v>0</v>
      </c>
      <c r="AC768" s="7">
        <f>MAX(0,Log_2019[[#This Row],[Split_raw]] - (EDATE(AA$1,1)-Log_2019[[#This Row],[Date]]))</f>
        <v>0</v>
      </c>
    </row>
    <row r="769" spans="1:29" x14ac:dyDescent="0.25">
      <c r="A769" s="42"/>
      <c r="B769" t="s">
        <v>490</v>
      </c>
      <c r="C769" s="30">
        <v>2.6503200301551401E+18</v>
      </c>
      <c r="D769" s="29">
        <v>43470</v>
      </c>
      <c r="F769" t="s">
        <v>496</v>
      </c>
      <c r="H769" s="3">
        <v>-25</v>
      </c>
      <c r="I769" s="36">
        <f>IF(Log_2019[[#This Row],[My Category]]="NONTRACKED",0,Log_2019[[#This Row],[Raw Amount]])</f>
        <v>-25</v>
      </c>
      <c r="J769" s="17">
        <f>ABS(Log_2019[[#This Row],[Amount]])</f>
        <v>25</v>
      </c>
      <c r="K769" s="5">
        <v>1</v>
      </c>
      <c r="L769" s="38">
        <f ca="1">IF(Log_2019[[#This Row],[Date]]&lt;=TODAY(), MIN(Log_2019[[#This Row],[Split_raw]], TODAY()-Log_2019[[#This Row],[Date]]+1), 0)</f>
        <v>1</v>
      </c>
      <c r="M769" t="s">
        <v>37</v>
      </c>
      <c r="N769" t="s">
        <v>489</v>
      </c>
      <c r="O769" s="7">
        <v>0</v>
      </c>
      <c r="P769" s="52">
        <f ca="1">Log_2019[[#This Row],[Amount]]/Log_2019[[#This Row],[Split_raw]]*MAX(0,MIN(_xlfn.DAYS(EDATE(P$1,1),Log_2019[[#This Row],[Date]]),Log_2019[[#This Row],[Split_apply]])) - SUM($O769:O769)</f>
        <v>-25</v>
      </c>
      <c r="Q769" s="52">
        <f ca="1">Log_2019[[#This Row],[Amount]]/Log_2019[[#This Row],[Split_raw]]*MAX(0,MIN(_xlfn.DAYS(EDATE(Q$1,1),Log_2019[[#This Row],[Date]]),Log_2019[[#This Row],[Split_apply]])) - SUM($O769:P769)</f>
        <v>0</v>
      </c>
      <c r="R769" s="52">
        <f ca="1">Log_2019[[#This Row],[Amount]]/Log_2019[[#This Row],[Split_raw]]*MAX(0,MIN(_xlfn.DAYS(EDATE(R$1,1),Log_2019[[#This Row],[Date]]),Log_2019[[#This Row],[Split_apply]])) - SUM($O769:Q769)</f>
        <v>0</v>
      </c>
      <c r="S769" s="52">
        <f ca="1">Log_2019[[#This Row],[Amount]]/Log_2019[[#This Row],[Split_raw]]*MAX(0,MIN(_xlfn.DAYS(EDATE(S$1,1),Log_2019[[#This Row],[Date]]),Log_2019[[#This Row],[Split_apply]])) - SUM($O769:R769)</f>
        <v>0</v>
      </c>
      <c r="T769" s="52">
        <f ca="1">Log_2019[[#This Row],[Amount]]/Log_2019[[#This Row],[Split_raw]]*MAX(0,MIN(_xlfn.DAYS(EDATE(T$1,1),Log_2019[[#This Row],[Date]]),Log_2019[[#This Row],[Split_apply]])) - SUM($O769:S769)</f>
        <v>0</v>
      </c>
      <c r="U769" s="52">
        <f ca="1">Log_2019[[#This Row],[Amount]]/Log_2019[[#This Row],[Split_raw]]*MAX(0,MIN(_xlfn.DAYS(EDATE(U$1,1),Log_2019[[#This Row],[Date]]),Log_2019[[#This Row],[Split_apply]])) - SUM($O769:T769)</f>
        <v>0</v>
      </c>
      <c r="V769" s="52">
        <f ca="1">Log_2019[[#This Row],[Amount]]/Log_2019[[#This Row],[Split_raw]]*MAX(0,MIN(_xlfn.DAYS(EDATE(V$1,1),Log_2019[[#This Row],[Date]]),Log_2019[[#This Row],[Split_apply]])) - SUM($O769:U769)</f>
        <v>0</v>
      </c>
      <c r="W769" s="52">
        <f ca="1">Log_2019[[#This Row],[Amount]]/Log_2019[[#This Row],[Split_raw]]*MAX(0,MIN(_xlfn.DAYS(EDATE(W$1,1),Log_2019[[#This Row],[Date]]),Log_2019[[#This Row],[Split_apply]])) - SUM($O769:V769)</f>
        <v>0</v>
      </c>
      <c r="X769" s="52">
        <f ca="1">Log_2019[[#This Row],[Amount]]/Log_2019[[#This Row],[Split_raw]]*MAX(0,MIN(_xlfn.DAYS(EDATE(X$1,1),Log_2019[[#This Row],[Date]]),Log_2019[[#This Row],[Split_apply]])) - SUM($O769:W769)</f>
        <v>0</v>
      </c>
      <c r="Y769" s="52">
        <f ca="1">Log_2019[[#This Row],[Amount]]/Log_2019[[#This Row],[Split_raw]]*MAX(0,MIN(_xlfn.DAYS(EDATE(Y$1,1),Log_2019[[#This Row],[Date]]),Log_2019[[#This Row],[Split_apply]])) - SUM($O769:X769)</f>
        <v>0</v>
      </c>
      <c r="Z769" s="52">
        <f ca="1">Log_2019[[#This Row],[Amount]]/Log_2019[[#This Row],[Split_raw]]*MAX(0,MIN(_xlfn.DAYS(EDATE(Z$1,1),Log_2019[[#This Row],[Date]]),Log_2019[[#This Row],[Split_apply]])) - SUM($O769:Y769)</f>
        <v>0</v>
      </c>
      <c r="AA769" s="52">
        <f ca="1">Log_2019[[#This Row],[Amount]]/Log_2019[[#This Row],[Split_raw]]*MAX(0,MIN(_xlfn.DAYS(EDATE(AA$1,1),Log_2019[[#This Row],[Date]]),Log_2019[[#This Row],[Split_apply]])) - SUM($O769:Z769)</f>
        <v>0</v>
      </c>
      <c r="AB769" s="54">
        <f ca="1">Log_2019[[#This Row],[Amount]]-SUM(O769:AA769)</f>
        <v>0</v>
      </c>
      <c r="AC769" s="7">
        <f>MAX(0,Log_2019[[#This Row],[Split_raw]] - (EDATE(AA$1,1)-Log_2019[[#This Row],[Date]]))</f>
        <v>0</v>
      </c>
    </row>
    <row r="770" spans="1:29" x14ac:dyDescent="0.25">
      <c r="A770" s="42"/>
      <c r="B770" t="s">
        <v>6</v>
      </c>
      <c r="D770" s="29">
        <v>43469</v>
      </c>
      <c r="F770" t="s">
        <v>480</v>
      </c>
      <c r="G770" t="s">
        <v>11</v>
      </c>
      <c r="H770" s="3">
        <v>-17.7</v>
      </c>
      <c r="I770" s="36">
        <f>IF(Log_2019[[#This Row],[My Category]]="NONTRACKED",0,Log_2019[[#This Row],[Raw Amount]])</f>
        <v>-17.7</v>
      </c>
      <c r="J770" s="17">
        <f>ABS(Log_2019[[#This Row],[Amount]])</f>
        <v>17.7</v>
      </c>
      <c r="K770" s="5">
        <v>1</v>
      </c>
      <c r="L770" s="38">
        <f ca="1">IF(Log_2019[[#This Row],[Date]]&lt;=TODAY(), MIN(Log_2019[[#This Row],[Split_raw]], TODAY()-Log_2019[[#This Row],[Date]]+1), 0)</f>
        <v>1</v>
      </c>
      <c r="M770" t="s">
        <v>366</v>
      </c>
      <c r="N770" t="s">
        <v>158</v>
      </c>
      <c r="O770" s="7">
        <v>0</v>
      </c>
      <c r="P770" s="52">
        <f ca="1">Log_2019[[#This Row],[Amount]]/Log_2019[[#This Row],[Split_raw]]*MAX(0,MIN(_xlfn.DAYS(EDATE(P$1,1),Log_2019[[#This Row],[Date]]),Log_2019[[#This Row],[Split_apply]])) - SUM($O770:O770)</f>
        <v>-17.7</v>
      </c>
      <c r="Q770" s="52">
        <f ca="1">Log_2019[[#This Row],[Amount]]/Log_2019[[#This Row],[Split_raw]]*MAX(0,MIN(_xlfn.DAYS(EDATE(Q$1,1),Log_2019[[#This Row],[Date]]),Log_2019[[#This Row],[Split_apply]])) - SUM($O770:P770)</f>
        <v>0</v>
      </c>
      <c r="R770" s="52">
        <f ca="1">Log_2019[[#This Row],[Amount]]/Log_2019[[#This Row],[Split_raw]]*MAX(0,MIN(_xlfn.DAYS(EDATE(R$1,1),Log_2019[[#This Row],[Date]]),Log_2019[[#This Row],[Split_apply]])) - SUM($O770:Q770)</f>
        <v>0</v>
      </c>
      <c r="S770" s="52">
        <f ca="1">Log_2019[[#This Row],[Amount]]/Log_2019[[#This Row],[Split_raw]]*MAX(0,MIN(_xlfn.DAYS(EDATE(S$1,1),Log_2019[[#This Row],[Date]]),Log_2019[[#This Row],[Split_apply]])) - SUM($O770:R770)</f>
        <v>0</v>
      </c>
      <c r="T770" s="52">
        <f ca="1">Log_2019[[#This Row],[Amount]]/Log_2019[[#This Row],[Split_raw]]*MAX(0,MIN(_xlfn.DAYS(EDATE(T$1,1),Log_2019[[#This Row],[Date]]),Log_2019[[#This Row],[Split_apply]])) - SUM($O770:S770)</f>
        <v>0</v>
      </c>
      <c r="U770" s="52">
        <f ca="1">Log_2019[[#This Row],[Amount]]/Log_2019[[#This Row],[Split_raw]]*MAX(0,MIN(_xlfn.DAYS(EDATE(U$1,1),Log_2019[[#This Row],[Date]]),Log_2019[[#This Row],[Split_apply]])) - SUM($O770:T770)</f>
        <v>0</v>
      </c>
      <c r="V770" s="52">
        <f ca="1">Log_2019[[#This Row],[Amount]]/Log_2019[[#This Row],[Split_raw]]*MAX(0,MIN(_xlfn.DAYS(EDATE(V$1,1),Log_2019[[#This Row],[Date]]),Log_2019[[#This Row],[Split_apply]])) - SUM($O770:U770)</f>
        <v>0</v>
      </c>
      <c r="W770" s="52">
        <f ca="1">Log_2019[[#This Row],[Amount]]/Log_2019[[#This Row],[Split_raw]]*MAX(0,MIN(_xlfn.DAYS(EDATE(W$1,1),Log_2019[[#This Row],[Date]]),Log_2019[[#This Row],[Split_apply]])) - SUM($O770:V770)</f>
        <v>0</v>
      </c>
      <c r="X770" s="52">
        <f ca="1">Log_2019[[#This Row],[Amount]]/Log_2019[[#This Row],[Split_raw]]*MAX(0,MIN(_xlfn.DAYS(EDATE(X$1,1),Log_2019[[#This Row],[Date]]),Log_2019[[#This Row],[Split_apply]])) - SUM($O770:W770)</f>
        <v>0</v>
      </c>
      <c r="Y770" s="52">
        <f ca="1">Log_2019[[#This Row],[Amount]]/Log_2019[[#This Row],[Split_raw]]*MAX(0,MIN(_xlfn.DAYS(EDATE(Y$1,1),Log_2019[[#This Row],[Date]]),Log_2019[[#This Row],[Split_apply]])) - SUM($O770:X770)</f>
        <v>0</v>
      </c>
      <c r="Z770" s="52">
        <f ca="1">Log_2019[[#This Row],[Amount]]/Log_2019[[#This Row],[Split_raw]]*MAX(0,MIN(_xlfn.DAYS(EDATE(Z$1,1),Log_2019[[#This Row],[Date]]),Log_2019[[#This Row],[Split_apply]])) - SUM($O770:Y770)</f>
        <v>0</v>
      </c>
      <c r="AA770" s="52">
        <f ca="1">Log_2019[[#This Row],[Amount]]/Log_2019[[#This Row],[Split_raw]]*MAX(0,MIN(_xlfn.DAYS(EDATE(AA$1,1),Log_2019[[#This Row],[Date]]),Log_2019[[#This Row],[Split_apply]])) - SUM($O770:Z770)</f>
        <v>0</v>
      </c>
      <c r="AB770" s="54">
        <f ca="1">Log_2019[[#This Row],[Amount]]-SUM(O770:AA770)</f>
        <v>0</v>
      </c>
      <c r="AC770" s="7">
        <f>MAX(0,Log_2019[[#This Row],[Split_raw]] - (EDATE(AA$1,1)-Log_2019[[#This Row],[Date]]))</f>
        <v>0</v>
      </c>
    </row>
    <row r="771" spans="1:29" x14ac:dyDescent="0.25">
      <c r="A771" s="42"/>
      <c r="B771" t="s">
        <v>490</v>
      </c>
      <c r="C771" s="30">
        <v>2.6495944887705201E+18</v>
      </c>
      <c r="D771" s="29">
        <v>43469</v>
      </c>
      <c r="F771" t="s">
        <v>497</v>
      </c>
      <c r="H771" s="3">
        <v>-12</v>
      </c>
      <c r="I771" s="36">
        <f>IF(Log_2019[[#This Row],[My Category]]="NONTRACKED",0,Log_2019[[#This Row],[Raw Amount]])</f>
        <v>-12</v>
      </c>
      <c r="J771" s="17">
        <f>ABS(Log_2019[[#This Row],[Amount]])</f>
        <v>12</v>
      </c>
      <c r="K771" s="5">
        <v>1</v>
      </c>
      <c r="L771" s="38">
        <f ca="1">IF(Log_2019[[#This Row],[Date]]&lt;=TODAY(), MIN(Log_2019[[#This Row],[Split_raw]], TODAY()-Log_2019[[#This Row],[Date]]+1), 0)</f>
        <v>1</v>
      </c>
      <c r="M771" t="s">
        <v>35</v>
      </c>
      <c r="N771" t="s">
        <v>489</v>
      </c>
      <c r="O771" s="7">
        <v>0</v>
      </c>
      <c r="P771" s="52">
        <f ca="1">Log_2019[[#This Row],[Amount]]/Log_2019[[#This Row],[Split_raw]]*MAX(0,MIN(_xlfn.DAYS(EDATE(P$1,1),Log_2019[[#This Row],[Date]]),Log_2019[[#This Row],[Split_apply]])) - SUM($O771:O771)</f>
        <v>-12</v>
      </c>
      <c r="Q771" s="52">
        <f ca="1">Log_2019[[#This Row],[Amount]]/Log_2019[[#This Row],[Split_raw]]*MAX(0,MIN(_xlfn.DAYS(EDATE(Q$1,1),Log_2019[[#This Row],[Date]]),Log_2019[[#This Row],[Split_apply]])) - SUM($O771:P771)</f>
        <v>0</v>
      </c>
      <c r="R771" s="52">
        <f ca="1">Log_2019[[#This Row],[Amount]]/Log_2019[[#This Row],[Split_raw]]*MAX(0,MIN(_xlfn.DAYS(EDATE(R$1,1),Log_2019[[#This Row],[Date]]),Log_2019[[#This Row],[Split_apply]])) - SUM($O771:Q771)</f>
        <v>0</v>
      </c>
      <c r="S771" s="52">
        <f ca="1">Log_2019[[#This Row],[Amount]]/Log_2019[[#This Row],[Split_raw]]*MAX(0,MIN(_xlfn.DAYS(EDATE(S$1,1),Log_2019[[#This Row],[Date]]),Log_2019[[#This Row],[Split_apply]])) - SUM($O771:R771)</f>
        <v>0</v>
      </c>
      <c r="T771" s="52">
        <f ca="1">Log_2019[[#This Row],[Amount]]/Log_2019[[#This Row],[Split_raw]]*MAX(0,MIN(_xlfn.DAYS(EDATE(T$1,1),Log_2019[[#This Row],[Date]]),Log_2019[[#This Row],[Split_apply]])) - SUM($O771:S771)</f>
        <v>0</v>
      </c>
      <c r="U771" s="52">
        <f ca="1">Log_2019[[#This Row],[Amount]]/Log_2019[[#This Row],[Split_raw]]*MAX(0,MIN(_xlfn.DAYS(EDATE(U$1,1),Log_2019[[#This Row],[Date]]),Log_2019[[#This Row],[Split_apply]])) - SUM($O771:T771)</f>
        <v>0</v>
      </c>
      <c r="V771" s="52">
        <f ca="1">Log_2019[[#This Row],[Amount]]/Log_2019[[#This Row],[Split_raw]]*MAX(0,MIN(_xlfn.DAYS(EDATE(V$1,1),Log_2019[[#This Row],[Date]]),Log_2019[[#This Row],[Split_apply]])) - SUM($O771:U771)</f>
        <v>0</v>
      </c>
      <c r="W771" s="52">
        <f ca="1">Log_2019[[#This Row],[Amount]]/Log_2019[[#This Row],[Split_raw]]*MAX(0,MIN(_xlfn.DAYS(EDATE(W$1,1),Log_2019[[#This Row],[Date]]),Log_2019[[#This Row],[Split_apply]])) - SUM($O771:V771)</f>
        <v>0</v>
      </c>
      <c r="X771" s="52">
        <f ca="1">Log_2019[[#This Row],[Amount]]/Log_2019[[#This Row],[Split_raw]]*MAX(0,MIN(_xlfn.DAYS(EDATE(X$1,1),Log_2019[[#This Row],[Date]]),Log_2019[[#This Row],[Split_apply]])) - SUM($O771:W771)</f>
        <v>0</v>
      </c>
      <c r="Y771" s="52">
        <f ca="1">Log_2019[[#This Row],[Amount]]/Log_2019[[#This Row],[Split_raw]]*MAX(0,MIN(_xlfn.DAYS(EDATE(Y$1,1),Log_2019[[#This Row],[Date]]),Log_2019[[#This Row],[Split_apply]])) - SUM($O771:X771)</f>
        <v>0</v>
      </c>
      <c r="Z771" s="52">
        <f ca="1">Log_2019[[#This Row],[Amount]]/Log_2019[[#This Row],[Split_raw]]*MAX(0,MIN(_xlfn.DAYS(EDATE(Z$1,1),Log_2019[[#This Row],[Date]]),Log_2019[[#This Row],[Split_apply]])) - SUM($O771:Y771)</f>
        <v>0</v>
      </c>
      <c r="AA771" s="52">
        <f ca="1">Log_2019[[#This Row],[Amount]]/Log_2019[[#This Row],[Split_raw]]*MAX(0,MIN(_xlfn.DAYS(EDATE(AA$1,1),Log_2019[[#This Row],[Date]]),Log_2019[[#This Row],[Split_apply]])) - SUM($O771:Z771)</f>
        <v>0</v>
      </c>
      <c r="AB771" s="54">
        <f ca="1">Log_2019[[#This Row],[Amount]]-SUM(O771:AA771)</f>
        <v>0</v>
      </c>
      <c r="AC771" s="7">
        <f>MAX(0,Log_2019[[#This Row],[Split_raw]] - (EDATE(AA$1,1)-Log_2019[[#This Row],[Date]]))</f>
        <v>0</v>
      </c>
    </row>
    <row r="772" spans="1:29" x14ac:dyDescent="0.25">
      <c r="A772" s="42"/>
      <c r="B772" t="s">
        <v>6</v>
      </c>
      <c r="D772" s="29">
        <v>43468</v>
      </c>
      <c r="F772" t="s">
        <v>308</v>
      </c>
      <c r="G772" t="s">
        <v>25</v>
      </c>
      <c r="H772" s="3">
        <v>-10.24</v>
      </c>
      <c r="I772" s="36">
        <f>IF(Log_2019[[#This Row],[My Category]]="NONTRACKED",0,Log_2019[[#This Row],[Raw Amount]])</f>
        <v>-10.24</v>
      </c>
      <c r="J772" s="17">
        <f>ABS(Log_2019[[#This Row],[Amount]])</f>
        <v>10.24</v>
      </c>
      <c r="K772" s="5">
        <v>1</v>
      </c>
      <c r="L772" s="38">
        <f ca="1">IF(Log_2019[[#This Row],[Date]]&lt;=TODAY(), MIN(Log_2019[[#This Row],[Split_raw]], TODAY()-Log_2019[[#This Row],[Date]]+1), 0)</f>
        <v>1</v>
      </c>
      <c r="M772" t="s">
        <v>35</v>
      </c>
      <c r="N772" t="s">
        <v>158</v>
      </c>
      <c r="O772" s="7">
        <v>0</v>
      </c>
      <c r="P772" s="52">
        <f ca="1">Log_2019[[#This Row],[Amount]]/Log_2019[[#This Row],[Split_raw]]*MAX(0,MIN(_xlfn.DAYS(EDATE(P$1,1),Log_2019[[#This Row],[Date]]),Log_2019[[#This Row],[Split_apply]])) - SUM($O772:O772)</f>
        <v>-10.24</v>
      </c>
      <c r="Q772" s="52">
        <f ca="1">Log_2019[[#This Row],[Amount]]/Log_2019[[#This Row],[Split_raw]]*MAX(0,MIN(_xlfn.DAYS(EDATE(Q$1,1),Log_2019[[#This Row],[Date]]),Log_2019[[#This Row],[Split_apply]])) - SUM($O772:P772)</f>
        <v>0</v>
      </c>
      <c r="R772" s="52">
        <f ca="1">Log_2019[[#This Row],[Amount]]/Log_2019[[#This Row],[Split_raw]]*MAX(0,MIN(_xlfn.DAYS(EDATE(R$1,1),Log_2019[[#This Row],[Date]]),Log_2019[[#This Row],[Split_apply]])) - SUM($O772:Q772)</f>
        <v>0</v>
      </c>
      <c r="S772" s="52">
        <f ca="1">Log_2019[[#This Row],[Amount]]/Log_2019[[#This Row],[Split_raw]]*MAX(0,MIN(_xlfn.DAYS(EDATE(S$1,1),Log_2019[[#This Row],[Date]]),Log_2019[[#This Row],[Split_apply]])) - SUM($O772:R772)</f>
        <v>0</v>
      </c>
      <c r="T772" s="52">
        <f ca="1">Log_2019[[#This Row],[Amount]]/Log_2019[[#This Row],[Split_raw]]*MAX(0,MIN(_xlfn.DAYS(EDATE(T$1,1),Log_2019[[#This Row],[Date]]),Log_2019[[#This Row],[Split_apply]])) - SUM($O772:S772)</f>
        <v>0</v>
      </c>
      <c r="U772" s="52">
        <f ca="1">Log_2019[[#This Row],[Amount]]/Log_2019[[#This Row],[Split_raw]]*MAX(0,MIN(_xlfn.DAYS(EDATE(U$1,1),Log_2019[[#This Row],[Date]]),Log_2019[[#This Row],[Split_apply]])) - SUM($O772:T772)</f>
        <v>0</v>
      </c>
      <c r="V772" s="52">
        <f ca="1">Log_2019[[#This Row],[Amount]]/Log_2019[[#This Row],[Split_raw]]*MAX(0,MIN(_xlfn.DAYS(EDATE(V$1,1),Log_2019[[#This Row],[Date]]),Log_2019[[#This Row],[Split_apply]])) - SUM($O772:U772)</f>
        <v>0</v>
      </c>
      <c r="W772" s="52">
        <f ca="1">Log_2019[[#This Row],[Amount]]/Log_2019[[#This Row],[Split_raw]]*MAX(0,MIN(_xlfn.DAYS(EDATE(W$1,1),Log_2019[[#This Row],[Date]]),Log_2019[[#This Row],[Split_apply]])) - SUM($O772:V772)</f>
        <v>0</v>
      </c>
      <c r="X772" s="52">
        <f ca="1">Log_2019[[#This Row],[Amount]]/Log_2019[[#This Row],[Split_raw]]*MAX(0,MIN(_xlfn.DAYS(EDATE(X$1,1),Log_2019[[#This Row],[Date]]),Log_2019[[#This Row],[Split_apply]])) - SUM($O772:W772)</f>
        <v>0</v>
      </c>
      <c r="Y772" s="52">
        <f ca="1">Log_2019[[#This Row],[Amount]]/Log_2019[[#This Row],[Split_raw]]*MAX(0,MIN(_xlfn.DAYS(EDATE(Y$1,1),Log_2019[[#This Row],[Date]]),Log_2019[[#This Row],[Split_apply]])) - SUM($O772:X772)</f>
        <v>0</v>
      </c>
      <c r="Z772" s="52">
        <f ca="1">Log_2019[[#This Row],[Amount]]/Log_2019[[#This Row],[Split_raw]]*MAX(0,MIN(_xlfn.DAYS(EDATE(Z$1,1),Log_2019[[#This Row],[Date]]),Log_2019[[#This Row],[Split_apply]])) - SUM($O772:Y772)</f>
        <v>0</v>
      </c>
      <c r="AA772" s="52">
        <f ca="1">Log_2019[[#This Row],[Amount]]/Log_2019[[#This Row],[Split_raw]]*MAX(0,MIN(_xlfn.DAYS(EDATE(AA$1,1),Log_2019[[#This Row],[Date]]),Log_2019[[#This Row],[Split_apply]])) - SUM($O772:Z772)</f>
        <v>0</v>
      </c>
      <c r="AB772" s="54">
        <f ca="1">Log_2019[[#This Row],[Amount]]-SUM(O772:AA772)</f>
        <v>0</v>
      </c>
      <c r="AC772" s="7">
        <f>MAX(0,Log_2019[[#This Row],[Split_raw]] - (EDATE(AA$1,1)-Log_2019[[#This Row],[Date]]))</f>
        <v>0</v>
      </c>
    </row>
    <row r="773" spans="1:29" x14ac:dyDescent="0.25">
      <c r="A773" s="42"/>
      <c r="B773" t="s">
        <v>6</v>
      </c>
      <c r="D773" s="29">
        <v>43468</v>
      </c>
      <c r="F773" t="s">
        <v>311</v>
      </c>
      <c r="G773" t="s">
        <v>87</v>
      </c>
      <c r="H773" s="3">
        <f>--1891.68</f>
        <v>1891.68</v>
      </c>
      <c r="I773" s="36">
        <f>IF(Log_2019[[#This Row],[My Category]]="NONTRACKED",0,Log_2019[[#This Row],[Raw Amount]])</f>
        <v>1891.68</v>
      </c>
      <c r="J773" s="17">
        <f>ABS(Log_2019[[#This Row],[Amount]])</f>
        <v>1891.68</v>
      </c>
      <c r="K773" s="5">
        <v>14</v>
      </c>
      <c r="L773" s="38">
        <f ca="1">IF(Log_2019[[#This Row],[Date]]&lt;=TODAY(), MIN(Log_2019[[#This Row],[Split_raw]], TODAY()-Log_2019[[#This Row],[Date]]+1), 0)</f>
        <v>14</v>
      </c>
      <c r="M773" t="s">
        <v>91</v>
      </c>
      <c r="N773" t="s">
        <v>160</v>
      </c>
      <c r="O773" s="7">
        <v>0</v>
      </c>
      <c r="P773" s="52">
        <f ca="1">Log_2019[[#This Row],[Amount]]/Log_2019[[#This Row],[Split_raw]]*MAX(0,MIN(_xlfn.DAYS(EDATE(P$1,1),Log_2019[[#This Row],[Date]]),Log_2019[[#This Row],[Split_apply]])) - SUM($O773:O773)</f>
        <v>1891.68</v>
      </c>
      <c r="Q773" s="52">
        <f ca="1">Log_2019[[#This Row],[Amount]]/Log_2019[[#This Row],[Split_raw]]*MAX(0,MIN(_xlfn.DAYS(EDATE(Q$1,1),Log_2019[[#This Row],[Date]]),Log_2019[[#This Row],[Split_apply]])) - SUM($O773:P773)</f>
        <v>0</v>
      </c>
      <c r="R773" s="52">
        <f ca="1">Log_2019[[#This Row],[Amount]]/Log_2019[[#This Row],[Split_raw]]*MAX(0,MIN(_xlfn.DAYS(EDATE(R$1,1),Log_2019[[#This Row],[Date]]),Log_2019[[#This Row],[Split_apply]])) - SUM($O773:Q773)</f>
        <v>0</v>
      </c>
      <c r="S773" s="52">
        <f ca="1">Log_2019[[#This Row],[Amount]]/Log_2019[[#This Row],[Split_raw]]*MAX(0,MIN(_xlfn.DAYS(EDATE(S$1,1),Log_2019[[#This Row],[Date]]),Log_2019[[#This Row],[Split_apply]])) - SUM($O773:R773)</f>
        <v>0</v>
      </c>
      <c r="T773" s="52">
        <f ca="1">Log_2019[[#This Row],[Amount]]/Log_2019[[#This Row],[Split_raw]]*MAX(0,MIN(_xlfn.DAYS(EDATE(T$1,1),Log_2019[[#This Row],[Date]]),Log_2019[[#This Row],[Split_apply]])) - SUM($O773:S773)</f>
        <v>0</v>
      </c>
      <c r="U773" s="52">
        <f ca="1">Log_2019[[#This Row],[Amount]]/Log_2019[[#This Row],[Split_raw]]*MAX(0,MIN(_xlfn.DAYS(EDATE(U$1,1),Log_2019[[#This Row],[Date]]),Log_2019[[#This Row],[Split_apply]])) - SUM($O773:T773)</f>
        <v>0</v>
      </c>
      <c r="V773" s="52">
        <f ca="1">Log_2019[[#This Row],[Amount]]/Log_2019[[#This Row],[Split_raw]]*MAX(0,MIN(_xlfn.DAYS(EDATE(V$1,1),Log_2019[[#This Row],[Date]]),Log_2019[[#This Row],[Split_apply]])) - SUM($O773:U773)</f>
        <v>0</v>
      </c>
      <c r="W773" s="52">
        <f ca="1">Log_2019[[#This Row],[Amount]]/Log_2019[[#This Row],[Split_raw]]*MAX(0,MIN(_xlfn.DAYS(EDATE(W$1,1),Log_2019[[#This Row],[Date]]),Log_2019[[#This Row],[Split_apply]])) - SUM($O773:V773)</f>
        <v>0</v>
      </c>
      <c r="X773" s="52">
        <f ca="1">Log_2019[[#This Row],[Amount]]/Log_2019[[#This Row],[Split_raw]]*MAX(0,MIN(_xlfn.DAYS(EDATE(X$1,1),Log_2019[[#This Row],[Date]]),Log_2019[[#This Row],[Split_apply]])) - SUM($O773:W773)</f>
        <v>0</v>
      </c>
      <c r="Y773" s="52">
        <f ca="1">Log_2019[[#This Row],[Amount]]/Log_2019[[#This Row],[Split_raw]]*MAX(0,MIN(_xlfn.DAYS(EDATE(Y$1,1),Log_2019[[#This Row],[Date]]),Log_2019[[#This Row],[Split_apply]])) - SUM($O773:X773)</f>
        <v>0</v>
      </c>
      <c r="Z773" s="52">
        <f ca="1">Log_2019[[#This Row],[Amount]]/Log_2019[[#This Row],[Split_raw]]*MAX(0,MIN(_xlfn.DAYS(EDATE(Z$1,1),Log_2019[[#This Row],[Date]]),Log_2019[[#This Row],[Split_apply]])) - SUM($O773:Y773)</f>
        <v>0</v>
      </c>
      <c r="AA773" s="52">
        <f ca="1">Log_2019[[#This Row],[Amount]]/Log_2019[[#This Row],[Split_raw]]*MAX(0,MIN(_xlfn.DAYS(EDATE(AA$1,1),Log_2019[[#This Row],[Date]]),Log_2019[[#This Row],[Split_apply]])) - SUM($O773:Z773)</f>
        <v>0</v>
      </c>
      <c r="AB773" s="54">
        <f ca="1">Log_2019[[#This Row],[Amount]]-SUM(O773:AA773)</f>
        <v>0</v>
      </c>
      <c r="AC773" s="7">
        <f>MAX(0,Log_2019[[#This Row],[Split_raw]] - (EDATE(AA$1,1)-Log_2019[[#This Row],[Date]]))</f>
        <v>0</v>
      </c>
    </row>
    <row r="774" spans="1:29" x14ac:dyDescent="0.25">
      <c r="A774" s="42"/>
      <c r="B774" t="s">
        <v>6</v>
      </c>
      <c r="D774" s="29">
        <v>43467</v>
      </c>
      <c r="F774" t="s">
        <v>481</v>
      </c>
      <c r="G774" t="s">
        <v>25</v>
      </c>
      <c r="H774" s="3">
        <v>-4.1399999999999997</v>
      </c>
      <c r="I774" s="36">
        <f>IF(Log_2019[[#This Row],[My Category]]="NONTRACKED",0,Log_2019[[#This Row],[Raw Amount]])</f>
        <v>-4.1399999999999997</v>
      </c>
      <c r="J774" s="17">
        <f>ABS(Log_2019[[#This Row],[Amount]])</f>
        <v>4.1399999999999997</v>
      </c>
      <c r="K774" s="5">
        <v>1</v>
      </c>
      <c r="L774" s="38">
        <f ca="1">IF(Log_2019[[#This Row],[Date]]&lt;=TODAY(), MIN(Log_2019[[#This Row],[Split_raw]], TODAY()-Log_2019[[#This Row],[Date]]+1), 0)</f>
        <v>1</v>
      </c>
      <c r="M774" t="s">
        <v>41</v>
      </c>
      <c r="N774" t="s">
        <v>158</v>
      </c>
      <c r="O774" s="7">
        <v>0</v>
      </c>
      <c r="P774" s="52">
        <f ca="1">Log_2019[[#This Row],[Amount]]/Log_2019[[#This Row],[Split_raw]]*MAX(0,MIN(_xlfn.DAYS(EDATE(P$1,1),Log_2019[[#This Row],[Date]]),Log_2019[[#This Row],[Split_apply]])) - SUM($O774:O774)</f>
        <v>-4.1399999999999997</v>
      </c>
      <c r="Q774" s="52">
        <f ca="1">Log_2019[[#This Row],[Amount]]/Log_2019[[#This Row],[Split_raw]]*MAX(0,MIN(_xlfn.DAYS(EDATE(Q$1,1),Log_2019[[#This Row],[Date]]),Log_2019[[#This Row],[Split_apply]])) - SUM($O774:P774)</f>
        <v>0</v>
      </c>
      <c r="R774" s="52">
        <f ca="1">Log_2019[[#This Row],[Amount]]/Log_2019[[#This Row],[Split_raw]]*MAX(0,MIN(_xlfn.DAYS(EDATE(R$1,1),Log_2019[[#This Row],[Date]]),Log_2019[[#This Row],[Split_apply]])) - SUM($O774:Q774)</f>
        <v>0</v>
      </c>
      <c r="S774" s="52">
        <f ca="1">Log_2019[[#This Row],[Amount]]/Log_2019[[#This Row],[Split_raw]]*MAX(0,MIN(_xlfn.DAYS(EDATE(S$1,1),Log_2019[[#This Row],[Date]]),Log_2019[[#This Row],[Split_apply]])) - SUM($O774:R774)</f>
        <v>0</v>
      </c>
      <c r="T774" s="52">
        <f ca="1">Log_2019[[#This Row],[Amount]]/Log_2019[[#This Row],[Split_raw]]*MAX(0,MIN(_xlfn.DAYS(EDATE(T$1,1),Log_2019[[#This Row],[Date]]),Log_2019[[#This Row],[Split_apply]])) - SUM($O774:S774)</f>
        <v>0</v>
      </c>
      <c r="U774" s="52">
        <f ca="1">Log_2019[[#This Row],[Amount]]/Log_2019[[#This Row],[Split_raw]]*MAX(0,MIN(_xlfn.DAYS(EDATE(U$1,1),Log_2019[[#This Row],[Date]]),Log_2019[[#This Row],[Split_apply]])) - SUM($O774:T774)</f>
        <v>0</v>
      </c>
      <c r="V774" s="52">
        <f ca="1">Log_2019[[#This Row],[Amount]]/Log_2019[[#This Row],[Split_raw]]*MAX(0,MIN(_xlfn.DAYS(EDATE(V$1,1),Log_2019[[#This Row],[Date]]),Log_2019[[#This Row],[Split_apply]])) - SUM($O774:U774)</f>
        <v>0</v>
      </c>
      <c r="W774" s="52">
        <f ca="1">Log_2019[[#This Row],[Amount]]/Log_2019[[#This Row],[Split_raw]]*MAX(0,MIN(_xlfn.DAYS(EDATE(W$1,1),Log_2019[[#This Row],[Date]]),Log_2019[[#This Row],[Split_apply]])) - SUM($O774:V774)</f>
        <v>0</v>
      </c>
      <c r="X774" s="52">
        <f ca="1">Log_2019[[#This Row],[Amount]]/Log_2019[[#This Row],[Split_raw]]*MAX(0,MIN(_xlfn.DAYS(EDATE(X$1,1),Log_2019[[#This Row],[Date]]),Log_2019[[#This Row],[Split_apply]])) - SUM($O774:W774)</f>
        <v>0</v>
      </c>
      <c r="Y774" s="52">
        <f ca="1">Log_2019[[#This Row],[Amount]]/Log_2019[[#This Row],[Split_raw]]*MAX(0,MIN(_xlfn.DAYS(EDATE(Y$1,1),Log_2019[[#This Row],[Date]]),Log_2019[[#This Row],[Split_apply]])) - SUM($O774:X774)</f>
        <v>0</v>
      </c>
      <c r="Z774" s="52">
        <f ca="1">Log_2019[[#This Row],[Amount]]/Log_2019[[#This Row],[Split_raw]]*MAX(0,MIN(_xlfn.DAYS(EDATE(Z$1,1),Log_2019[[#This Row],[Date]]),Log_2019[[#This Row],[Split_apply]])) - SUM($O774:Y774)</f>
        <v>0</v>
      </c>
      <c r="AA774" s="52">
        <f ca="1">Log_2019[[#This Row],[Amount]]/Log_2019[[#This Row],[Split_raw]]*MAX(0,MIN(_xlfn.DAYS(EDATE(AA$1,1),Log_2019[[#This Row],[Date]]),Log_2019[[#This Row],[Split_apply]])) - SUM($O774:Z774)</f>
        <v>0</v>
      </c>
      <c r="AB774" s="54">
        <f ca="1">Log_2019[[#This Row],[Amount]]-SUM(O774:AA774)</f>
        <v>0</v>
      </c>
      <c r="AC774" s="7">
        <f>MAX(0,Log_2019[[#This Row],[Split_raw]] - (EDATE(AA$1,1)-Log_2019[[#This Row],[Date]]))</f>
        <v>0</v>
      </c>
    </row>
    <row r="775" spans="1:29" x14ac:dyDescent="0.25">
      <c r="A775" s="42"/>
      <c r="B775" t="s">
        <v>6</v>
      </c>
      <c r="D775" s="31">
        <v>43467</v>
      </c>
      <c r="F775" t="s">
        <v>255</v>
      </c>
      <c r="G775" t="s">
        <v>25</v>
      </c>
      <c r="H775" s="3">
        <v>-22.63</v>
      </c>
      <c r="I775" s="36">
        <f>IF(Log_2019[[#This Row],[My Category]]="NONTRACKED",0,Log_2019[[#This Row],[Raw Amount]])</f>
        <v>-22.63</v>
      </c>
      <c r="J775" s="17">
        <f>ABS(Log_2019[[#This Row],[Amount]])</f>
        <v>22.63</v>
      </c>
      <c r="K775" s="5">
        <v>1</v>
      </c>
      <c r="L775" s="38">
        <f ca="1">IF(Log_2019[[#This Row],[Date]]&lt;=TODAY(), MIN(Log_2019[[#This Row],[Split_raw]], TODAY()-Log_2019[[#This Row],[Date]]+1), 0)</f>
        <v>1</v>
      </c>
      <c r="M775" t="s">
        <v>52</v>
      </c>
      <c r="N775" t="s">
        <v>158</v>
      </c>
      <c r="O775" s="7">
        <v>0</v>
      </c>
      <c r="P775" s="52">
        <f ca="1">Log_2019[[#This Row],[Amount]]/Log_2019[[#This Row],[Split_raw]]*MAX(0,MIN(_xlfn.DAYS(EDATE(P$1,1),Log_2019[[#This Row],[Date]]),Log_2019[[#This Row],[Split_apply]])) - SUM($O775:O775)</f>
        <v>-22.63</v>
      </c>
      <c r="Q775" s="52">
        <f ca="1">Log_2019[[#This Row],[Amount]]/Log_2019[[#This Row],[Split_raw]]*MAX(0,MIN(_xlfn.DAYS(EDATE(Q$1,1),Log_2019[[#This Row],[Date]]),Log_2019[[#This Row],[Split_apply]])) - SUM($O775:P775)</f>
        <v>0</v>
      </c>
      <c r="R775" s="52">
        <f ca="1">Log_2019[[#This Row],[Amount]]/Log_2019[[#This Row],[Split_raw]]*MAX(0,MIN(_xlfn.DAYS(EDATE(R$1,1),Log_2019[[#This Row],[Date]]),Log_2019[[#This Row],[Split_apply]])) - SUM($O775:Q775)</f>
        <v>0</v>
      </c>
      <c r="S775" s="52">
        <f ca="1">Log_2019[[#This Row],[Amount]]/Log_2019[[#This Row],[Split_raw]]*MAX(0,MIN(_xlfn.DAYS(EDATE(S$1,1),Log_2019[[#This Row],[Date]]),Log_2019[[#This Row],[Split_apply]])) - SUM($O775:R775)</f>
        <v>0</v>
      </c>
      <c r="T775" s="52">
        <f ca="1">Log_2019[[#This Row],[Amount]]/Log_2019[[#This Row],[Split_raw]]*MAX(0,MIN(_xlfn.DAYS(EDATE(T$1,1),Log_2019[[#This Row],[Date]]),Log_2019[[#This Row],[Split_apply]])) - SUM($O775:S775)</f>
        <v>0</v>
      </c>
      <c r="U775" s="52">
        <f ca="1">Log_2019[[#This Row],[Amount]]/Log_2019[[#This Row],[Split_raw]]*MAX(0,MIN(_xlfn.DAYS(EDATE(U$1,1),Log_2019[[#This Row],[Date]]),Log_2019[[#This Row],[Split_apply]])) - SUM($O775:T775)</f>
        <v>0</v>
      </c>
      <c r="V775" s="52">
        <f ca="1">Log_2019[[#This Row],[Amount]]/Log_2019[[#This Row],[Split_raw]]*MAX(0,MIN(_xlfn.DAYS(EDATE(V$1,1),Log_2019[[#This Row],[Date]]),Log_2019[[#This Row],[Split_apply]])) - SUM($O775:U775)</f>
        <v>0</v>
      </c>
      <c r="W775" s="52">
        <f ca="1">Log_2019[[#This Row],[Amount]]/Log_2019[[#This Row],[Split_raw]]*MAX(0,MIN(_xlfn.DAYS(EDATE(W$1,1),Log_2019[[#This Row],[Date]]),Log_2019[[#This Row],[Split_apply]])) - SUM($O775:V775)</f>
        <v>0</v>
      </c>
      <c r="X775" s="52">
        <f ca="1">Log_2019[[#This Row],[Amount]]/Log_2019[[#This Row],[Split_raw]]*MAX(0,MIN(_xlfn.DAYS(EDATE(X$1,1),Log_2019[[#This Row],[Date]]),Log_2019[[#This Row],[Split_apply]])) - SUM($O775:W775)</f>
        <v>0</v>
      </c>
      <c r="Y775" s="52">
        <f ca="1">Log_2019[[#This Row],[Amount]]/Log_2019[[#This Row],[Split_raw]]*MAX(0,MIN(_xlfn.DAYS(EDATE(Y$1,1),Log_2019[[#This Row],[Date]]),Log_2019[[#This Row],[Split_apply]])) - SUM($O775:X775)</f>
        <v>0</v>
      </c>
      <c r="Z775" s="52">
        <f ca="1">Log_2019[[#This Row],[Amount]]/Log_2019[[#This Row],[Split_raw]]*MAX(0,MIN(_xlfn.DAYS(EDATE(Z$1,1),Log_2019[[#This Row],[Date]]),Log_2019[[#This Row],[Split_apply]])) - SUM($O775:Y775)</f>
        <v>0</v>
      </c>
      <c r="AA775" s="52">
        <f ca="1">Log_2019[[#This Row],[Amount]]/Log_2019[[#This Row],[Split_raw]]*MAX(0,MIN(_xlfn.DAYS(EDATE(AA$1,1),Log_2019[[#This Row],[Date]]),Log_2019[[#This Row],[Split_apply]])) - SUM($O775:Z775)</f>
        <v>0</v>
      </c>
      <c r="AB775" s="54">
        <f ca="1">Log_2019[[#This Row],[Amount]]-SUM(O775:AA775)</f>
        <v>0</v>
      </c>
      <c r="AC775" s="7">
        <f>MAX(0,Log_2019[[#This Row],[Split_raw]] - (EDATE(AA$1,1)-Log_2019[[#This Row],[Date]]))</f>
        <v>0</v>
      </c>
    </row>
    <row r="776" spans="1:29" x14ac:dyDescent="0.25">
      <c r="A776" s="42"/>
      <c r="B776" t="s">
        <v>6</v>
      </c>
      <c r="D776" s="39">
        <v>43467</v>
      </c>
      <c r="F776" t="s">
        <v>255</v>
      </c>
      <c r="G776" t="s">
        <v>25</v>
      </c>
      <c r="H776" s="3">
        <v>-7.25</v>
      </c>
      <c r="I776" s="36">
        <f>IF(Log_2019[[#This Row],[My Category]]="NONTRACKED",0,Log_2019[[#This Row],[Raw Amount]])</f>
        <v>-7.25</v>
      </c>
      <c r="J776" s="17">
        <f>ABS(Log_2019[[#This Row],[Amount]])</f>
        <v>7.25</v>
      </c>
      <c r="K776" s="5">
        <v>1</v>
      </c>
      <c r="L776" s="38">
        <f ca="1">IF(Log_2019[[#This Row],[Date]]&lt;=TODAY(), MIN(Log_2019[[#This Row],[Split_raw]], TODAY()-Log_2019[[#This Row],[Date]]+1), 0)</f>
        <v>1</v>
      </c>
      <c r="M776" t="s">
        <v>35</v>
      </c>
      <c r="N776" t="s">
        <v>158</v>
      </c>
      <c r="O776" s="7">
        <v>0</v>
      </c>
      <c r="P776" s="52">
        <f ca="1">Log_2019[[#This Row],[Amount]]/Log_2019[[#This Row],[Split_raw]]*MAX(0,MIN(_xlfn.DAYS(EDATE(P$1,1),Log_2019[[#This Row],[Date]]),Log_2019[[#This Row],[Split_apply]])) - SUM($O776:O776)</f>
        <v>-7.25</v>
      </c>
      <c r="Q776" s="52">
        <f ca="1">Log_2019[[#This Row],[Amount]]/Log_2019[[#This Row],[Split_raw]]*MAX(0,MIN(_xlfn.DAYS(EDATE(Q$1,1),Log_2019[[#This Row],[Date]]),Log_2019[[#This Row],[Split_apply]])) - SUM($O776:P776)</f>
        <v>0</v>
      </c>
      <c r="R776" s="52">
        <f ca="1">Log_2019[[#This Row],[Amount]]/Log_2019[[#This Row],[Split_raw]]*MAX(0,MIN(_xlfn.DAYS(EDATE(R$1,1),Log_2019[[#This Row],[Date]]),Log_2019[[#This Row],[Split_apply]])) - SUM($O776:Q776)</f>
        <v>0</v>
      </c>
      <c r="S776" s="52">
        <f ca="1">Log_2019[[#This Row],[Amount]]/Log_2019[[#This Row],[Split_raw]]*MAX(0,MIN(_xlfn.DAYS(EDATE(S$1,1),Log_2019[[#This Row],[Date]]),Log_2019[[#This Row],[Split_apply]])) - SUM($O776:R776)</f>
        <v>0</v>
      </c>
      <c r="T776" s="52">
        <f ca="1">Log_2019[[#This Row],[Amount]]/Log_2019[[#This Row],[Split_raw]]*MAX(0,MIN(_xlfn.DAYS(EDATE(T$1,1),Log_2019[[#This Row],[Date]]),Log_2019[[#This Row],[Split_apply]])) - SUM($O776:S776)</f>
        <v>0</v>
      </c>
      <c r="U776" s="52">
        <f ca="1">Log_2019[[#This Row],[Amount]]/Log_2019[[#This Row],[Split_raw]]*MAX(0,MIN(_xlfn.DAYS(EDATE(U$1,1),Log_2019[[#This Row],[Date]]),Log_2019[[#This Row],[Split_apply]])) - SUM($O776:T776)</f>
        <v>0</v>
      </c>
      <c r="V776" s="52">
        <f ca="1">Log_2019[[#This Row],[Amount]]/Log_2019[[#This Row],[Split_raw]]*MAX(0,MIN(_xlfn.DAYS(EDATE(V$1,1),Log_2019[[#This Row],[Date]]),Log_2019[[#This Row],[Split_apply]])) - SUM($O776:U776)</f>
        <v>0</v>
      </c>
      <c r="W776" s="52">
        <f ca="1">Log_2019[[#This Row],[Amount]]/Log_2019[[#This Row],[Split_raw]]*MAX(0,MIN(_xlfn.DAYS(EDATE(W$1,1),Log_2019[[#This Row],[Date]]),Log_2019[[#This Row],[Split_apply]])) - SUM($O776:V776)</f>
        <v>0</v>
      </c>
      <c r="X776" s="52">
        <f ca="1">Log_2019[[#This Row],[Amount]]/Log_2019[[#This Row],[Split_raw]]*MAX(0,MIN(_xlfn.DAYS(EDATE(X$1,1),Log_2019[[#This Row],[Date]]),Log_2019[[#This Row],[Split_apply]])) - SUM($O776:W776)</f>
        <v>0</v>
      </c>
      <c r="Y776" s="52">
        <f ca="1">Log_2019[[#This Row],[Amount]]/Log_2019[[#This Row],[Split_raw]]*MAX(0,MIN(_xlfn.DAYS(EDATE(Y$1,1),Log_2019[[#This Row],[Date]]),Log_2019[[#This Row],[Split_apply]])) - SUM($O776:X776)</f>
        <v>0</v>
      </c>
      <c r="Z776" s="52">
        <f ca="1">Log_2019[[#This Row],[Amount]]/Log_2019[[#This Row],[Split_raw]]*MAX(0,MIN(_xlfn.DAYS(EDATE(Z$1,1),Log_2019[[#This Row],[Date]]),Log_2019[[#This Row],[Split_apply]])) - SUM($O776:Y776)</f>
        <v>0</v>
      </c>
      <c r="AA776" s="52">
        <f ca="1">Log_2019[[#This Row],[Amount]]/Log_2019[[#This Row],[Split_raw]]*MAX(0,MIN(_xlfn.DAYS(EDATE(AA$1,1),Log_2019[[#This Row],[Date]]),Log_2019[[#This Row],[Split_apply]])) - SUM($O776:Z776)</f>
        <v>0</v>
      </c>
      <c r="AB776" s="54">
        <f ca="1">Log_2019[[#This Row],[Amount]]-SUM(O776:AA776)</f>
        <v>0</v>
      </c>
      <c r="AC776" s="7">
        <f>MAX(0,Log_2019[[#This Row],[Split_raw]] - (EDATE(AA$1,1)-Log_2019[[#This Row],[Date]]))</f>
        <v>0</v>
      </c>
    </row>
    <row r="777" spans="1:29" x14ac:dyDescent="0.25">
      <c r="A777" s="42"/>
      <c r="B777" t="s">
        <v>490</v>
      </c>
      <c r="C777" s="30">
        <v>2.64776087614835E+18</v>
      </c>
      <c r="D777" s="39">
        <v>43467</v>
      </c>
      <c r="F777" t="s">
        <v>498</v>
      </c>
      <c r="H777" s="3">
        <v>14.5</v>
      </c>
      <c r="I777" s="36">
        <f>IF(Log_2019[[#This Row],[My Category]]="NONTRACKED",0,Log_2019[[#This Row],[Raw Amount]])</f>
        <v>14.5</v>
      </c>
      <c r="J777" s="17">
        <f>ABS(Log_2019[[#This Row],[Amount]])</f>
        <v>14.5</v>
      </c>
      <c r="K777" s="5">
        <v>1</v>
      </c>
      <c r="L777" s="38">
        <f ca="1">IF(Log_2019[[#This Row],[Date]]&lt;=TODAY(), MIN(Log_2019[[#This Row],[Split_raw]], TODAY()-Log_2019[[#This Row],[Date]]+1), 0)</f>
        <v>1</v>
      </c>
      <c r="M777" t="s">
        <v>40</v>
      </c>
      <c r="N777" t="s">
        <v>489</v>
      </c>
      <c r="O777" s="7">
        <v>0</v>
      </c>
      <c r="P777" s="52">
        <f ca="1">Log_2019[[#This Row],[Amount]]/Log_2019[[#This Row],[Split_raw]]*MAX(0,MIN(_xlfn.DAYS(EDATE(P$1,1),Log_2019[[#This Row],[Date]]),Log_2019[[#This Row],[Split_apply]])) - SUM($O777:O777)</f>
        <v>14.5</v>
      </c>
      <c r="Q777" s="52">
        <f ca="1">Log_2019[[#This Row],[Amount]]/Log_2019[[#This Row],[Split_raw]]*MAX(0,MIN(_xlfn.DAYS(EDATE(Q$1,1),Log_2019[[#This Row],[Date]]),Log_2019[[#This Row],[Split_apply]])) - SUM($O777:P777)</f>
        <v>0</v>
      </c>
      <c r="R777" s="52">
        <f ca="1">Log_2019[[#This Row],[Amount]]/Log_2019[[#This Row],[Split_raw]]*MAX(0,MIN(_xlfn.DAYS(EDATE(R$1,1),Log_2019[[#This Row],[Date]]),Log_2019[[#This Row],[Split_apply]])) - SUM($O777:Q777)</f>
        <v>0</v>
      </c>
      <c r="S777" s="52">
        <f ca="1">Log_2019[[#This Row],[Amount]]/Log_2019[[#This Row],[Split_raw]]*MAX(0,MIN(_xlfn.DAYS(EDATE(S$1,1),Log_2019[[#This Row],[Date]]),Log_2019[[#This Row],[Split_apply]])) - SUM($O777:R777)</f>
        <v>0</v>
      </c>
      <c r="T777" s="52">
        <f ca="1">Log_2019[[#This Row],[Amount]]/Log_2019[[#This Row],[Split_raw]]*MAX(0,MIN(_xlfn.DAYS(EDATE(T$1,1),Log_2019[[#This Row],[Date]]),Log_2019[[#This Row],[Split_apply]])) - SUM($O777:S777)</f>
        <v>0</v>
      </c>
      <c r="U777" s="52">
        <f ca="1">Log_2019[[#This Row],[Amount]]/Log_2019[[#This Row],[Split_raw]]*MAX(0,MIN(_xlfn.DAYS(EDATE(U$1,1),Log_2019[[#This Row],[Date]]),Log_2019[[#This Row],[Split_apply]])) - SUM($O777:T777)</f>
        <v>0</v>
      </c>
      <c r="V777" s="52">
        <f ca="1">Log_2019[[#This Row],[Amount]]/Log_2019[[#This Row],[Split_raw]]*MAX(0,MIN(_xlfn.DAYS(EDATE(V$1,1),Log_2019[[#This Row],[Date]]),Log_2019[[#This Row],[Split_apply]])) - SUM($O777:U777)</f>
        <v>0</v>
      </c>
      <c r="W777" s="52">
        <f ca="1">Log_2019[[#This Row],[Amount]]/Log_2019[[#This Row],[Split_raw]]*MAX(0,MIN(_xlfn.DAYS(EDATE(W$1,1),Log_2019[[#This Row],[Date]]),Log_2019[[#This Row],[Split_apply]])) - SUM($O777:V777)</f>
        <v>0</v>
      </c>
      <c r="X777" s="52">
        <f ca="1">Log_2019[[#This Row],[Amount]]/Log_2019[[#This Row],[Split_raw]]*MAX(0,MIN(_xlfn.DAYS(EDATE(X$1,1),Log_2019[[#This Row],[Date]]),Log_2019[[#This Row],[Split_apply]])) - SUM($O777:W777)</f>
        <v>0</v>
      </c>
      <c r="Y777" s="52">
        <f ca="1">Log_2019[[#This Row],[Amount]]/Log_2019[[#This Row],[Split_raw]]*MAX(0,MIN(_xlfn.DAYS(EDATE(Y$1,1),Log_2019[[#This Row],[Date]]),Log_2019[[#This Row],[Split_apply]])) - SUM($O777:X777)</f>
        <v>0</v>
      </c>
      <c r="Z777" s="52">
        <f ca="1">Log_2019[[#This Row],[Amount]]/Log_2019[[#This Row],[Split_raw]]*MAX(0,MIN(_xlfn.DAYS(EDATE(Z$1,1),Log_2019[[#This Row],[Date]]),Log_2019[[#This Row],[Split_apply]])) - SUM($O777:Y777)</f>
        <v>0</v>
      </c>
      <c r="AA777" s="52">
        <f ca="1">Log_2019[[#This Row],[Amount]]/Log_2019[[#This Row],[Split_raw]]*MAX(0,MIN(_xlfn.DAYS(EDATE(AA$1,1),Log_2019[[#This Row],[Date]]),Log_2019[[#This Row],[Split_apply]])) - SUM($O777:Z777)</f>
        <v>0</v>
      </c>
      <c r="AB777" s="54">
        <f ca="1">Log_2019[[#This Row],[Amount]]-SUM(O777:AA777)</f>
        <v>0</v>
      </c>
      <c r="AC777" s="7">
        <f>MAX(0,Log_2019[[#This Row],[Split_raw]] - (EDATE(AA$1,1)-Log_2019[[#This Row],[Date]]))</f>
        <v>0</v>
      </c>
    </row>
    <row r="778" spans="1:29" x14ac:dyDescent="0.25">
      <c r="A778" s="42"/>
      <c r="B778" s="34" t="s">
        <v>6</v>
      </c>
      <c r="D778" s="39">
        <v>43467</v>
      </c>
      <c r="F778" t="s">
        <v>478</v>
      </c>
      <c r="G778" t="s">
        <v>20</v>
      </c>
      <c r="H778" s="3">
        <v>-1622.2</v>
      </c>
      <c r="I778" s="36">
        <f>IF(Log_2019[[#This Row],[My Category]]="NONTRACKED",0,Log_2019[[#This Row],[Raw Amount]])</f>
        <v>-1622.2</v>
      </c>
      <c r="J778" s="17">
        <f>ABS(Log_2019[[#This Row],[Amount]])</f>
        <v>1622.2</v>
      </c>
      <c r="K778" s="5">
        <v>30</v>
      </c>
      <c r="L778" s="38">
        <f ca="1">IF(Log_2019[[#This Row],[Date]]&lt;=TODAY(), MIN(Log_2019[[#This Row],[Split_raw]], TODAY()-Log_2019[[#This Row],[Date]]+1), 0)</f>
        <v>30</v>
      </c>
      <c r="M778" t="s">
        <v>28</v>
      </c>
      <c r="N778" t="s">
        <v>160</v>
      </c>
      <c r="O778" s="7">
        <v>0</v>
      </c>
      <c r="P778" s="52">
        <f ca="1">Log_2019[[#This Row],[Amount]]/Log_2019[[#This Row],[Split_raw]]*MAX(0,MIN(_xlfn.DAYS(EDATE(P$1,1),Log_2019[[#This Row],[Date]]),Log_2019[[#This Row],[Split_apply]])) - SUM($O778:O778)</f>
        <v>-1622.2</v>
      </c>
      <c r="Q778" s="52">
        <f ca="1">Log_2019[[#This Row],[Amount]]/Log_2019[[#This Row],[Split_raw]]*MAX(0,MIN(_xlfn.DAYS(EDATE(Q$1,1),Log_2019[[#This Row],[Date]]),Log_2019[[#This Row],[Split_apply]])) - SUM($O778:P778)</f>
        <v>0</v>
      </c>
      <c r="R778" s="52">
        <f ca="1">Log_2019[[#This Row],[Amount]]/Log_2019[[#This Row],[Split_raw]]*MAX(0,MIN(_xlfn.DAYS(EDATE(R$1,1),Log_2019[[#This Row],[Date]]),Log_2019[[#This Row],[Split_apply]])) - SUM($O778:Q778)</f>
        <v>0</v>
      </c>
      <c r="S778" s="52">
        <f ca="1">Log_2019[[#This Row],[Amount]]/Log_2019[[#This Row],[Split_raw]]*MAX(0,MIN(_xlfn.DAYS(EDATE(S$1,1),Log_2019[[#This Row],[Date]]),Log_2019[[#This Row],[Split_apply]])) - SUM($O778:R778)</f>
        <v>0</v>
      </c>
      <c r="T778" s="52">
        <f ca="1">Log_2019[[#This Row],[Amount]]/Log_2019[[#This Row],[Split_raw]]*MAX(0,MIN(_xlfn.DAYS(EDATE(T$1,1),Log_2019[[#This Row],[Date]]),Log_2019[[#This Row],[Split_apply]])) - SUM($O778:S778)</f>
        <v>0</v>
      </c>
      <c r="U778" s="52">
        <f ca="1">Log_2019[[#This Row],[Amount]]/Log_2019[[#This Row],[Split_raw]]*MAX(0,MIN(_xlfn.DAYS(EDATE(U$1,1),Log_2019[[#This Row],[Date]]),Log_2019[[#This Row],[Split_apply]])) - SUM($O778:T778)</f>
        <v>0</v>
      </c>
      <c r="V778" s="52">
        <f ca="1">Log_2019[[#This Row],[Amount]]/Log_2019[[#This Row],[Split_raw]]*MAX(0,MIN(_xlfn.DAYS(EDATE(V$1,1),Log_2019[[#This Row],[Date]]),Log_2019[[#This Row],[Split_apply]])) - SUM($O778:U778)</f>
        <v>0</v>
      </c>
      <c r="W778" s="52">
        <f ca="1">Log_2019[[#This Row],[Amount]]/Log_2019[[#This Row],[Split_raw]]*MAX(0,MIN(_xlfn.DAYS(EDATE(W$1,1),Log_2019[[#This Row],[Date]]),Log_2019[[#This Row],[Split_apply]])) - SUM($O778:V778)</f>
        <v>0</v>
      </c>
      <c r="X778" s="52">
        <f ca="1">Log_2019[[#This Row],[Amount]]/Log_2019[[#This Row],[Split_raw]]*MAX(0,MIN(_xlfn.DAYS(EDATE(X$1,1),Log_2019[[#This Row],[Date]]),Log_2019[[#This Row],[Split_apply]])) - SUM($O778:W778)</f>
        <v>0</v>
      </c>
      <c r="Y778" s="52">
        <f ca="1">Log_2019[[#This Row],[Amount]]/Log_2019[[#This Row],[Split_raw]]*MAX(0,MIN(_xlfn.DAYS(EDATE(Y$1,1),Log_2019[[#This Row],[Date]]),Log_2019[[#This Row],[Split_apply]])) - SUM($O778:X778)</f>
        <v>0</v>
      </c>
      <c r="Z778" s="52">
        <f ca="1">Log_2019[[#This Row],[Amount]]/Log_2019[[#This Row],[Split_raw]]*MAX(0,MIN(_xlfn.DAYS(EDATE(Z$1,1),Log_2019[[#This Row],[Date]]),Log_2019[[#This Row],[Split_apply]])) - SUM($O778:Y778)</f>
        <v>0</v>
      </c>
      <c r="AA778" s="52">
        <f ca="1">Log_2019[[#This Row],[Amount]]/Log_2019[[#This Row],[Split_raw]]*MAX(0,MIN(_xlfn.DAYS(EDATE(AA$1,1),Log_2019[[#This Row],[Date]]),Log_2019[[#This Row],[Split_apply]])) - SUM($O778:Z778)</f>
        <v>0</v>
      </c>
      <c r="AB778" s="54">
        <f ca="1">Log_2019[[#This Row],[Amount]]-SUM(O778:AA778)</f>
        <v>0</v>
      </c>
      <c r="AC778" s="7">
        <f>MAX(0,Log_2019[[#This Row],[Split_raw]] - (EDATE(AA$1,1)-Log_2019[[#This Row],[Date]]))</f>
        <v>0</v>
      </c>
    </row>
    <row r="779" spans="1:29" x14ac:dyDescent="0.25">
      <c r="A779" s="42"/>
      <c r="B779" t="s">
        <v>6</v>
      </c>
      <c r="D779" s="39">
        <v>43466</v>
      </c>
      <c r="E779" t="s">
        <v>960</v>
      </c>
      <c r="F779" t="s">
        <v>477</v>
      </c>
      <c r="G779" t="s">
        <v>176</v>
      </c>
      <c r="H779" s="3">
        <v>-320</v>
      </c>
      <c r="I779" s="36">
        <f>IF(Log_2019[[#This Row],[My Category]]="NONTRACKED",0,Log_2019[[#This Row],[Raw Amount]])</f>
        <v>-320</v>
      </c>
      <c r="J779" s="17">
        <f>ABS(Log_2019[[#This Row],[Amount]])</f>
        <v>320</v>
      </c>
      <c r="K779" s="5">
        <v>31</v>
      </c>
      <c r="L779" s="38">
        <f ca="1">IF(Log_2019[[#This Row],[Date]]&lt;=TODAY(), MIN(Log_2019[[#This Row],[Split_raw]], TODAY()-Log_2019[[#This Row],[Date]]+1), 0)</f>
        <v>31</v>
      </c>
      <c r="M779" t="s">
        <v>93</v>
      </c>
      <c r="N779" t="s">
        <v>160</v>
      </c>
      <c r="O779" s="7">
        <v>0</v>
      </c>
      <c r="P779" s="52">
        <f ca="1">Log_2019[[#This Row],[Amount]]/Log_2019[[#This Row],[Split_raw]]*MAX(0,MIN(_xlfn.DAYS(EDATE(P$1,1),Log_2019[[#This Row],[Date]]),Log_2019[[#This Row],[Split_apply]])) - SUM($O779:O779)</f>
        <v>-320</v>
      </c>
      <c r="Q779" s="52">
        <f ca="1">Log_2019[[#This Row],[Amount]]/Log_2019[[#This Row],[Split_raw]]*MAX(0,MIN(_xlfn.DAYS(EDATE(Q$1,1),Log_2019[[#This Row],[Date]]),Log_2019[[#This Row],[Split_apply]])) - SUM($O779:P779)</f>
        <v>0</v>
      </c>
      <c r="R779" s="52">
        <f ca="1">Log_2019[[#This Row],[Amount]]/Log_2019[[#This Row],[Split_raw]]*MAX(0,MIN(_xlfn.DAYS(EDATE(R$1,1),Log_2019[[#This Row],[Date]]),Log_2019[[#This Row],[Split_apply]])) - SUM($O779:Q779)</f>
        <v>0</v>
      </c>
      <c r="S779" s="52">
        <f ca="1">Log_2019[[#This Row],[Amount]]/Log_2019[[#This Row],[Split_raw]]*MAX(0,MIN(_xlfn.DAYS(EDATE(S$1,1),Log_2019[[#This Row],[Date]]),Log_2019[[#This Row],[Split_apply]])) - SUM($O779:R779)</f>
        <v>0</v>
      </c>
      <c r="T779" s="52">
        <f ca="1">Log_2019[[#This Row],[Amount]]/Log_2019[[#This Row],[Split_raw]]*MAX(0,MIN(_xlfn.DAYS(EDATE(T$1,1),Log_2019[[#This Row],[Date]]),Log_2019[[#This Row],[Split_apply]])) - SUM($O779:S779)</f>
        <v>0</v>
      </c>
      <c r="U779" s="52">
        <f ca="1">Log_2019[[#This Row],[Amount]]/Log_2019[[#This Row],[Split_raw]]*MAX(0,MIN(_xlfn.DAYS(EDATE(U$1,1),Log_2019[[#This Row],[Date]]),Log_2019[[#This Row],[Split_apply]])) - SUM($O779:T779)</f>
        <v>0</v>
      </c>
      <c r="V779" s="52">
        <f ca="1">Log_2019[[#This Row],[Amount]]/Log_2019[[#This Row],[Split_raw]]*MAX(0,MIN(_xlfn.DAYS(EDATE(V$1,1),Log_2019[[#This Row],[Date]]),Log_2019[[#This Row],[Split_apply]])) - SUM($O779:U779)</f>
        <v>0</v>
      </c>
      <c r="W779" s="52">
        <f ca="1">Log_2019[[#This Row],[Amount]]/Log_2019[[#This Row],[Split_raw]]*MAX(0,MIN(_xlfn.DAYS(EDATE(W$1,1),Log_2019[[#This Row],[Date]]),Log_2019[[#This Row],[Split_apply]])) - SUM($O779:V779)</f>
        <v>0</v>
      </c>
      <c r="X779" s="52">
        <f ca="1">Log_2019[[#This Row],[Amount]]/Log_2019[[#This Row],[Split_raw]]*MAX(0,MIN(_xlfn.DAYS(EDATE(X$1,1),Log_2019[[#This Row],[Date]]),Log_2019[[#This Row],[Split_apply]])) - SUM($O779:W779)</f>
        <v>0</v>
      </c>
      <c r="Y779" s="52">
        <f ca="1">Log_2019[[#This Row],[Amount]]/Log_2019[[#This Row],[Split_raw]]*MAX(0,MIN(_xlfn.DAYS(EDATE(Y$1,1),Log_2019[[#This Row],[Date]]),Log_2019[[#This Row],[Split_apply]])) - SUM($O779:X779)</f>
        <v>0</v>
      </c>
      <c r="Z779" s="52">
        <f ca="1">Log_2019[[#This Row],[Amount]]/Log_2019[[#This Row],[Split_raw]]*MAX(0,MIN(_xlfn.DAYS(EDATE(Z$1,1),Log_2019[[#This Row],[Date]]),Log_2019[[#This Row],[Split_apply]])) - SUM($O779:Y779)</f>
        <v>0</v>
      </c>
      <c r="AA779" s="52">
        <f ca="1">Log_2019[[#This Row],[Amount]]/Log_2019[[#This Row],[Split_raw]]*MAX(0,MIN(_xlfn.DAYS(EDATE(AA$1,1),Log_2019[[#This Row],[Date]]),Log_2019[[#This Row],[Split_apply]])) - SUM($O779:Z779)</f>
        <v>0</v>
      </c>
      <c r="AB779" s="54">
        <f ca="1">Log_2019[[#This Row],[Amount]]-SUM(O779:AA779)</f>
        <v>0</v>
      </c>
      <c r="AC779" s="7">
        <f>MAX(0,Log_2019[[#This Row],[Split_raw]] - (EDATE(AA$1,1)-Log_2019[[#This Row],[Date]]))</f>
        <v>0</v>
      </c>
    </row>
    <row r="780" spans="1:29" x14ac:dyDescent="0.25">
      <c r="A780" s="42"/>
      <c r="B780" t="s">
        <v>6</v>
      </c>
      <c r="D780" s="39">
        <v>43466</v>
      </c>
      <c r="F780" t="s">
        <v>482</v>
      </c>
      <c r="G780" t="s">
        <v>25</v>
      </c>
      <c r="H780" s="3">
        <v>-53.98</v>
      </c>
      <c r="I780" s="36">
        <f>IF(Log_2019[[#This Row],[My Category]]="NONTRACKED",0,Log_2019[[#This Row],[Raw Amount]])</f>
        <v>-53.98</v>
      </c>
      <c r="J780" s="17">
        <f>ABS(Log_2019[[#This Row],[Amount]])</f>
        <v>53.98</v>
      </c>
      <c r="K780" s="5">
        <v>1</v>
      </c>
      <c r="L780" s="38">
        <f ca="1">IF(Log_2019[[#This Row],[Date]]&lt;=TODAY(), MIN(Log_2019[[#This Row],[Split_raw]], TODAY()-Log_2019[[#This Row],[Date]]+1), 0)</f>
        <v>1</v>
      </c>
      <c r="M780" t="s">
        <v>40</v>
      </c>
      <c r="N780" t="s">
        <v>158</v>
      </c>
      <c r="O780" s="7">
        <v>0</v>
      </c>
      <c r="P780" s="52">
        <f ca="1">Log_2019[[#This Row],[Amount]]/Log_2019[[#This Row],[Split_raw]]*MAX(0,MIN(_xlfn.DAYS(EDATE(P$1,1),Log_2019[[#This Row],[Date]]),Log_2019[[#This Row],[Split_apply]])) - SUM($O780:O780)</f>
        <v>-53.98</v>
      </c>
      <c r="Q780" s="52">
        <f ca="1">Log_2019[[#This Row],[Amount]]/Log_2019[[#This Row],[Split_raw]]*MAX(0,MIN(_xlfn.DAYS(EDATE(Q$1,1),Log_2019[[#This Row],[Date]]),Log_2019[[#This Row],[Split_apply]])) - SUM($O780:P780)</f>
        <v>0</v>
      </c>
      <c r="R780" s="52">
        <f ca="1">Log_2019[[#This Row],[Amount]]/Log_2019[[#This Row],[Split_raw]]*MAX(0,MIN(_xlfn.DAYS(EDATE(R$1,1),Log_2019[[#This Row],[Date]]),Log_2019[[#This Row],[Split_apply]])) - SUM($O780:Q780)</f>
        <v>0</v>
      </c>
      <c r="S780" s="52">
        <f ca="1">Log_2019[[#This Row],[Amount]]/Log_2019[[#This Row],[Split_raw]]*MAX(0,MIN(_xlfn.DAYS(EDATE(S$1,1),Log_2019[[#This Row],[Date]]),Log_2019[[#This Row],[Split_apply]])) - SUM($O780:R780)</f>
        <v>0</v>
      </c>
      <c r="T780" s="52">
        <f ca="1">Log_2019[[#This Row],[Amount]]/Log_2019[[#This Row],[Split_raw]]*MAX(0,MIN(_xlfn.DAYS(EDATE(T$1,1),Log_2019[[#This Row],[Date]]),Log_2019[[#This Row],[Split_apply]])) - SUM($O780:S780)</f>
        <v>0</v>
      </c>
      <c r="U780" s="52">
        <f ca="1">Log_2019[[#This Row],[Amount]]/Log_2019[[#This Row],[Split_raw]]*MAX(0,MIN(_xlfn.DAYS(EDATE(U$1,1),Log_2019[[#This Row],[Date]]),Log_2019[[#This Row],[Split_apply]])) - SUM($O780:T780)</f>
        <v>0</v>
      </c>
      <c r="V780" s="52">
        <f ca="1">Log_2019[[#This Row],[Amount]]/Log_2019[[#This Row],[Split_raw]]*MAX(0,MIN(_xlfn.DAYS(EDATE(V$1,1),Log_2019[[#This Row],[Date]]),Log_2019[[#This Row],[Split_apply]])) - SUM($O780:U780)</f>
        <v>0</v>
      </c>
      <c r="W780" s="52">
        <f ca="1">Log_2019[[#This Row],[Amount]]/Log_2019[[#This Row],[Split_raw]]*MAX(0,MIN(_xlfn.DAYS(EDATE(W$1,1),Log_2019[[#This Row],[Date]]),Log_2019[[#This Row],[Split_apply]])) - SUM($O780:V780)</f>
        <v>0</v>
      </c>
      <c r="X780" s="52">
        <f ca="1">Log_2019[[#This Row],[Amount]]/Log_2019[[#This Row],[Split_raw]]*MAX(0,MIN(_xlfn.DAYS(EDATE(X$1,1),Log_2019[[#This Row],[Date]]),Log_2019[[#This Row],[Split_apply]])) - SUM($O780:W780)</f>
        <v>0</v>
      </c>
      <c r="Y780" s="52">
        <f ca="1">Log_2019[[#This Row],[Amount]]/Log_2019[[#This Row],[Split_raw]]*MAX(0,MIN(_xlfn.DAYS(EDATE(Y$1,1),Log_2019[[#This Row],[Date]]),Log_2019[[#This Row],[Split_apply]])) - SUM($O780:X780)</f>
        <v>0</v>
      </c>
      <c r="Z780" s="52">
        <f ca="1">Log_2019[[#This Row],[Amount]]/Log_2019[[#This Row],[Split_raw]]*MAX(0,MIN(_xlfn.DAYS(EDATE(Z$1,1),Log_2019[[#This Row],[Date]]),Log_2019[[#This Row],[Split_apply]])) - SUM($O780:Y780)</f>
        <v>0</v>
      </c>
      <c r="AA780" s="52">
        <f ca="1">Log_2019[[#This Row],[Amount]]/Log_2019[[#This Row],[Split_raw]]*MAX(0,MIN(_xlfn.DAYS(EDATE(AA$1,1),Log_2019[[#This Row],[Date]]),Log_2019[[#This Row],[Split_apply]])) - SUM($O780:Z780)</f>
        <v>0</v>
      </c>
      <c r="AB780" s="54">
        <f ca="1">Log_2019[[#This Row],[Amount]]-SUM(O780:AA780)</f>
        <v>0</v>
      </c>
      <c r="AC780" s="7">
        <f>MAX(0,Log_2019[[#This Row],[Split_raw]] - (EDATE(AA$1,1)-Log_2019[[#This Row],[Date]]))</f>
        <v>0</v>
      </c>
    </row>
    <row r="781" spans="1:29" x14ac:dyDescent="0.25">
      <c r="A781" s="42"/>
      <c r="B781" t="s">
        <v>6</v>
      </c>
      <c r="D781" s="39">
        <v>43466</v>
      </c>
      <c r="F781" t="s">
        <v>184</v>
      </c>
      <c r="G781" t="s">
        <v>11</v>
      </c>
      <c r="H781" s="3">
        <v>-7.6</v>
      </c>
      <c r="I781" s="36">
        <f>IF(Log_2019[[#This Row],[My Category]]="NONTRACKED",0,Log_2019[[#This Row],[Raw Amount]])</f>
        <v>-7.6</v>
      </c>
      <c r="J781" s="17">
        <f>ABS(Log_2019[[#This Row],[Amount]])</f>
        <v>7.6</v>
      </c>
      <c r="K781" s="5">
        <v>1</v>
      </c>
      <c r="L781" s="38">
        <f ca="1">IF(Log_2019[[#This Row],[Date]]&lt;=TODAY(), MIN(Log_2019[[#This Row],[Split_raw]], TODAY()-Log_2019[[#This Row],[Date]]+1), 0)</f>
        <v>1</v>
      </c>
      <c r="M781" t="s">
        <v>12</v>
      </c>
      <c r="N781" t="s">
        <v>158</v>
      </c>
      <c r="O781" s="7">
        <v>0</v>
      </c>
      <c r="P781" s="52">
        <f ca="1">Log_2019[[#This Row],[Amount]]/Log_2019[[#This Row],[Split_raw]]*MAX(0,MIN(_xlfn.DAYS(EDATE(P$1,1),Log_2019[[#This Row],[Date]]),Log_2019[[#This Row],[Split_apply]])) - SUM($O781:O781)</f>
        <v>-7.6</v>
      </c>
      <c r="Q781" s="52">
        <f ca="1">Log_2019[[#This Row],[Amount]]/Log_2019[[#This Row],[Split_raw]]*MAX(0,MIN(_xlfn.DAYS(EDATE(Q$1,1),Log_2019[[#This Row],[Date]]),Log_2019[[#This Row],[Split_apply]])) - SUM($O781:P781)</f>
        <v>0</v>
      </c>
      <c r="R781" s="52">
        <f ca="1">Log_2019[[#This Row],[Amount]]/Log_2019[[#This Row],[Split_raw]]*MAX(0,MIN(_xlfn.DAYS(EDATE(R$1,1),Log_2019[[#This Row],[Date]]),Log_2019[[#This Row],[Split_apply]])) - SUM($O781:Q781)</f>
        <v>0</v>
      </c>
      <c r="S781" s="52">
        <f ca="1">Log_2019[[#This Row],[Amount]]/Log_2019[[#This Row],[Split_raw]]*MAX(0,MIN(_xlfn.DAYS(EDATE(S$1,1),Log_2019[[#This Row],[Date]]),Log_2019[[#This Row],[Split_apply]])) - SUM($O781:R781)</f>
        <v>0</v>
      </c>
      <c r="T781" s="52">
        <f ca="1">Log_2019[[#This Row],[Amount]]/Log_2019[[#This Row],[Split_raw]]*MAX(0,MIN(_xlfn.DAYS(EDATE(T$1,1),Log_2019[[#This Row],[Date]]),Log_2019[[#This Row],[Split_apply]])) - SUM($O781:S781)</f>
        <v>0</v>
      </c>
      <c r="U781" s="52">
        <f ca="1">Log_2019[[#This Row],[Amount]]/Log_2019[[#This Row],[Split_raw]]*MAX(0,MIN(_xlfn.DAYS(EDATE(U$1,1),Log_2019[[#This Row],[Date]]),Log_2019[[#This Row],[Split_apply]])) - SUM($O781:T781)</f>
        <v>0</v>
      </c>
      <c r="V781" s="52">
        <f ca="1">Log_2019[[#This Row],[Amount]]/Log_2019[[#This Row],[Split_raw]]*MAX(0,MIN(_xlfn.DAYS(EDATE(V$1,1),Log_2019[[#This Row],[Date]]),Log_2019[[#This Row],[Split_apply]])) - SUM($O781:U781)</f>
        <v>0</v>
      </c>
      <c r="W781" s="52">
        <f ca="1">Log_2019[[#This Row],[Amount]]/Log_2019[[#This Row],[Split_raw]]*MAX(0,MIN(_xlfn.DAYS(EDATE(W$1,1),Log_2019[[#This Row],[Date]]),Log_2019[[#This Row],[Split_apply]])) - SUM($O781:V781)</f>
        <v>0</v>
      </c>
      <c r="X781" s="52">
        <f ca="1">Log_2019[[#This Row],[Amount]]/Log_2019[[#This Row],[Split_raw]]*MAX(0,MIN(_xlfn.DAYS(EDATE(X$1,1),Log_2019[[#This Row],[Date]]),Log_2019[[#This Row],[Split_apply]])) - SUM($O781:W781)</f>
        <v>0</v>
      </c>
      <c r="Y781" s="52">
        <f ca="1">Log_2019[[#This Row],[Amount]]/Log_2019[[#This Row],[Split_raw]]*MAX(0,MIN(_xlfn.DAYS(EDATE(Y$1,1),Log_2019[[#This Row],[Date]]),Log_2019[[#This Row],[Split_apply]])) - SUM($O781:X781)</f>
        <v>0</v>
      </c>
      <c r="Z781" s="52">
        <f ca="1">Log_2019[[#This Row],[Amount]]/Log_2019[[#This Row],[Split_raw]]*MAX(0,MIN(_xlfn.DAYS(EDATE(Z$1,1),Log_2019[[#This Row],[Date]]),Log_2019[[#This Row],[Split_apply]])) - SUM($O781:Y781)</f>
        <v>0</v>
      </c>
      <c r="AA781" s="52">
        <f ca="1">Log_2019[[#This Row],[Amount]]/Log_2019[[#This Row],[Split_raw]]*MAX(0,MIN(_xlfn.DAYS(EDATE(AA$1,1),Log_2019[[#This Row],[Date]]),Log_2019[[#This Row],[Split_apply]])) - SUM($O781:Z781)</f>
        <v>0</v>
      </c>
      <c r="AB781" s="54">
        <f ca="1">Log_2019[[#This Row],[Amount]]-SUM(O781:AA781)</f>
        <v>0</v>
      </c>
      <c r="AC781" s="7">
        <f>MAX(0,Log_2019[[#This Row],[Split_raw]] - (EDATE(AA$1,1)-Log_2019[[#This Row],[Date]]))</f>
        <v>0</v>
      </c>
    </row>
    <row r="782" spans="1:29" x14ac:dyDescent="0.25">
      <c r="A782" s="42"/>
      <c r="B782" t="s">
        <v>490</v>
      </c>
      <c r="C782" s="30">
        <v>2.64689141339599E+18</v>
      </c>
      <c r="D782" s="39">
        <v>43466</v>
      </c>
      <c r="F782" t="s">
        <v>500</v>
      </c>
      <c r="H782" s="3">
        <v>35</v>
      </c>
      <c r="I782" s="36">
        <f>IF(Log_2019[[#This Row],[My Category]]="NONTRACKED",0,Log_2019[[#This Row],[Raw Amount]])</f>
        <v>35</v>
      </c>
      <c r="J782" s="17">
        <f>ABS(Log_2019[[#This Row],[Amount]])</f>
        <v>35</v>
      </c>
      <c r="K782" s="5">
        <v>1</v>
      </c>
      <c r="L782" s="38">
        <f ca="1">IF(Log_2019[[#This Row],[Date]]&lt;=TODAY(), MIN(Log_2019[[#This Row],[Split_raw]], TODAY()-Log_2019[[#This Row],[Date]]+1), 0)</f>
        <v>1</v>
      </c>
      <c r="M782" t="s">
        <v>12</v>
      </c>
      <c r="N782" t="s">
        <v>489</v>
      </c>
      <c r="O782" s="7">
        <v>0</v>
      </c>
      <c r="P782" s="52">
        <f ca="1">Log_2019[[#This Row],[Amount]]/Log_2019[[#This Row],[Split_raw]]*MAX(0,MIN(_xlfn.DAYS(EDATE(P$1,1),Log_2019[[#This Row],[Date]]),Log_2019[[#This Row],[Split_apply]])) - SUM($O782:O782)</f>
        <v>35</v>
      </c>
      <c r="Q782" s="52">
        <f ca="1">Log_2019[[#This Row],[Amount]]/Log_2019[[#This Row],[Split_raw]]*MAX(0,MIN(_xlfn.DAYS(EDATE(Q$1,1),Log_2019[[#This Row],[Date]]),Log_2019[[#This Row],[Split_apply]])) - SUM($O782:P782)</f>
        <v>0</v>
      </c>
      <c r="R782" s="52">
        <f ca="1">Log_2019[[#This Row],[Amount]]/Log_2019[[#This Row],[Split_raw]]*MAX(0,MIN(_xlfn.DAYS(EDATE(R$1,1),Log_2019[[#This Row],[Date]]),Log_2019[[#This Row],[Split_apply]])) - SUM($O782:Q782)</f>
        <v>0</v>
      </c>
      <c r="S782" s="52">
        <f ca="1">Log_2019[[#This Row],[Amount]]/Log_2019[[#This Row],[Split_raw]]*MAX(0,MIN(_xlfn.DAYS(EDATE(S$1,1),Log_2019[[#This Row],[Date]]),Log_2019[[#This Row],[Split_apply]])) - SUM($O782:R782)</f>
        <v>0</v>
      </c>
      <c r="T782" s="52">
        <f ca="1">Log_2019[[#This Row],[Amount]]/Log_2019[[#This Row],[Split_raw]]*MAX(0,MIN(_xlfn.DAYS(EDATE(T$1,1),Log_2019[[#This Row],[Date]]),Log_2019[[#This Row],[Split_apply]])) - SUM($O782:S782)</f>
        <v>0</v>
      </c>
      <c r="U782" s="52">
        <f ca="1">Log_2019[[#This Row],[Amount]]/Log_2019[[#This Row],[Split_raw]]*MAX(0,MIN(_xlfn.DAYS(EDATE(U$1,1),Log_2019[[#This Row],[Date]]),Log_2019[[#This Row],[Split_apply]])) - SUM($O782:T782)</f>
        <v>0</v>
      </c>
      <c r="V782" s="52">
        <f ca="1">Log_2019[[#This Row],[Amount]]/Log_2019[[#This Row],[Split_raw]]*MAX(0,MIN(_xlfn.DAYS(EDATE(V$1,1),Log_2019[[#This Row],[Date]]),Log_2019[[#This Row],[Split_apply]])) - SUM($O782:U782)</f>
        <v>0</v>
      </c>
      <c r="W782" s="52">
        <f ca="1">Log_2019[[#This Row],[Amount]]/Log_2019[[#This Row],[Split_raw]]*MAX(0,MIN(_xlfn.DAYS(EDATE(W$1,1),Log_2019[[#This Row],[Date]]),Log_2019[[#This Row],[Split_apply]])) - SUM($O782:V782)</f>
        <v>0</v>
      </c>
      <c r="X782" s="52">
        <f ca="1">Log_2019[[#This Row],[Amount]]/Log_2019[[#This Row],[Split_raw]]*MAX(0,MIN(_xlfn.DAYS(EDATE(X$1,1),Log_2019[[#This Row],[Date]]),Log_2019[[#This Row],[Split_apply]])) - SUM($O782:W782)</f>
        <v>0</v>
      </c>
      <c r="Y782" s="52">
        <f ca="1">Log_2019[[#This Row],[Amount]]/Log_2019[[#This Row],[Split_raw]]*MAX(0,MIN(_xlfn.DAYS(EDATE(Y$1,1),Log_2019[[#This Row],[Date]]),Log_2019[[#This Row],[Split_apply]])) - SUM($O782:X782)</f>
        <v>0</v>
      </c>
      <c r="Z782" s="52">
        <f ca="1">Log_2019[[#This Row],[Amount]]/Log_2019[[#This Row],[Split_raw]]*MAX(0,MIN(_xlfn.DAYS(EDATE(Z$1,1),Log_2019[[#This Row],[Date]]),Log_2019[[#This Row],[Split_apply]])) - SUM($O782:Y782)</f>
        <v>0</v>
      </c>
      <c r="AA782" s="52">
        <f ca="1">Log_2019[[#This Row],[Amount]]/Log_2019[[#This Row],[Split_raw]]*MAX(0,MIN(_xlfn.DAYS(EDATE(AA$1,1),Log_2019[[#This Row],[Date]]),Log_2019[[#This Row],[Split_apply]])) - SUM($O782:Z782)</f>
        <v>0</v>
      </c>
      <c r="AB782" s="54">
        <f ca="1">Log_2019[[#This Row],[Amount]]-SUM(O782:AA782)</f>
        <v>0</v>
      </c>
      <c r="AC782" s="7">
        <f>MAX(0,Log_2019[[#This Row],[Split_raw]] - (EDATE(AA$1,1)-Log_2019[[#This Row],[Date]]))</f>
        <v>0</v>
      </c>
    </row>
    <row r="783" spans="1:29" x14ac:dyDescent="0.25">
      <c r="A783" s="42"/>
      <c r="B783" t="s">
        <v>490</v>
      </c>
      <c r="C783" s="30">
        <v>2.6476000907844598E+18</v>
      </c>
      <c r="D783" s="39">
        <v>43466</v>
      </c>
      <c r="F783" t="s">
        <v>499</v>
      </c>
      <c r="H783" s="3">
        <v>22</v>
      </c>
      <c r="I783" s="36">
        <f>IF(Log_2019[[#This Row],[My Category]]="NONTRACKED",0,Log_2019[[#This Row],[Raw Amount]])</f>
        <v>22</v>
      </c>
      <c r="J783" s="17">
        <f>ABS(Log_2019[[#This Row],[Amount]])</f>
        <v>22</v>
      </c>
      <c r="K783" s="5">
        <v>1</v>
      </c>
      <c r="L783" s="38">
        <f ca="1">IF(Log_2019[[#This Row],[Date]]&lt;=TODAY(), MIN(Log_2019[[#This Row],[Split_raw]], TODAY()-Log_2019[[#This Row],[Date]]+1), 0)</f>
        <v>1</v>
      </c>
      <c r="M783" t="s">
        <v>40</v>
      </c>
      <c r="N783" t="s">
        <v>489</v>
      </c>
      <c r="O783" s="7">
        <v>0</v>
      </c>
      <c r="P783" s="52">
        <f ca="1">Log_2019[[#This Row],[Amount]]/Log_2019[[#This Row],[Split_raw]]*MAX(0,MIN(_xlfn.DAYS(EDATE(P$1,1),Log_2019[[#This Row],[Date]]),Log_2019[[#This Row],[Split_apply]])) - SUM($O783:O783)</f>
        <v>22</v>
      </c>
      <c r="Q783" s="52">
        <f ca="1">Log_2019[[#This Row],[Amount]]/Log_2019[[#This Row],[Split_raw]]*MAX(0,MIN(_xlfn.DAYS(EDATE(Q$1,1),Log_2019[[#This Row],[Date]]),Log_2019[[#This Row],[Split_apply]])) - SUM($O783:P783)</f>
        <v>0</v>
      </c>
      <c r="R783" s="52">
        <f ca="1">Log_2019[[#This Row],[Amount]]/Log_2019[[#This Row],[Split_raw]]*MAX(0,MIN(_xlfn.DAYS(EDATE(R$1,1),Log_2019[[#This Row],[Date]]),Log_2019[[#This Row],[Split_apply]])) - SUM($O783:Q783)</f>
        <v>0</v>
      </c>
      <c r="S783" s="52">
        <f ca="1">Log_2019[[#This Row],[Amount]]/Log_2019[[#This Row],[Split_raw]]*MAX(0,MIN(_xlfn.DAYS(EDATE(S$1,1),Log_2019[[#This Row],[Date]]),Log_2019[[#This Row],[Split_apply]])) - SUM($O783:R783)</f>
        <v>0</v>
      </c>
      <c r="T783" s="52">
        <f ca="1">Log_2019[[#This Row],[Amount]]/Log_2019[[#This Row],[Split_raw]]*MAX(0,MIN(_xlfn.DAYS(EDATE(T$1,1),Log_2019[[#This Row],[Date]]),Log_2019[[#This Row],[Split_apply]])) - SUM($O783:S783)</f>
        <v>0</v>
      </c>
      <c r="U783" s="52">
        <f ca="1">Log_2019[[#This Row],[Amount]]/Log_2019[[#This Row],[Split_raw]]*MAX(0,MIN(_xlfn.DAYS(EDATE(U$1,1),Log_2019[[#This Row],[Date]]),Log_2019[[#This Row],[Split_apply]])) - SUM($O783:T783)</f>
        <v>0</v>
      </c>
      <c r="V783" s="52">
        <f ca="1">Log_2019[[#This Row],[Amount]]/Log_2019[[#This Row],[Split_raw]]*MAX(0,MIN(_xlfn.DAYS(EDATE(V$1,1),Log_2019[[#This Row],[Date]]),Log_2019[[#This Row],[Split_apply]])) - SUM($O783:U783)</f>
        <v>0</v>
      </c>
      <c r="W783" s="52">
        <f ca="1">Log_2019[[#This Row],[Amount]]/Log_2019[[#This Row],[Split_raw]]*MAX(0,MIN(_xlfn.DAYS(EDATE(W$1,1),Log_2019[[#This Row],[Date]]),Log_2019[[#This Row],[Split_apply]])) - SUM($O783:V783)</f>
        <v>0</v>
      </c>
      <c r="X783" s="52">
        <f ca="1">Log_2019[[#This Row],[Amount]]/Log_2019[[#This Row],[Split_raw]]*MAX(0,MIN(_xlfn.DAYS(EDATE(X$1,1),Log_2019[[#This Row],[Date]]),Log_2019[[#This Row],[Split_apply]])) - SUM($O783:W783)</f>
        <v>0</v>
      </c>
      <c r="Y783" s="52">
        <f ca="1">Log_2019[[#This Row],[Amount]]/Log_2019[[#This Row],[Split_raw]]*MAX(0,MIN(_xlfn.DAYS(EDATE(Y$1,1),Log_2019[[#This Row],[Date]]),Log_2019[[#This Row],[Split_apply]])) - SUM($O783:X783)</f>
        <v>0</v>
      </c>
      <c r="Z783" s="52">
        <f ca="1">Log_2019[[#This Row],[Amount]]/Log_2019[[#This Row],[Split_raw]]*MAX(0,MIN(_xlfn.DAYS(EDATE(Z$1,1),Log_2019[[#This Row],[Date]]),Log_2019[[#This Row],[Split_apply]])) - SUM($O783:Y783)</f>
        <v>0</v>
      </c>
      <c r="AA783" s="52">
        <f ca="1">Log_2019[[#This Row],[Amount]]/Log_2019[[#This Row],[Split_raw]]*MAX(0,MIN(_xlfn.DAYS(EDATE(AA$1,1),Log_2019[[#This Row],[Date]]),Log_2019[[#This Row],[Split_apply]])) - SUM($O783:Z783)</f>
        <v>0</v>
      </c>
      <c r="AB783" s="54">
        <f ca="1">Log_2019[[#This Row],[Amount]]-SUM(O783:AA783)</f>
        <v>0</v>
      </c>
      <c r="AC783" s="7">
        <f>MAX(0,Log_2019[[#This Row],[Split_raw]] - (EDATE(AA$1,1)-Log_2019[[#This Row],[Date]]))</f>
        <v>0</v>
      </c>
    </row>
    <row r="784" spans="1:29" x14ac:dyDescent="0.25">
      <c r="A784" s="42"/>
      <c r="B784" s="34" t="s">
        <v>880</v>
      </c>
      <c r="C784" s="34"/>
      <c r="D784" s="35">
        <v>43466</v>
      </c>
      <c r="E784" s="34" t="s">
        <v>251</v>
      </c>
      <c r="F784" s="34" t="s">
        <v>246</v>
      </c>
      <c r="G784" s="34" t="s">
        <v>143</v>
      </c>
      <c r="H784">
        <v>-7.496666666666667</v>
      </c>
      <c r="I784" s="36">
        <f>IF(Log_2019[[#This Row],[My Category]]="NONTRACKED",0,Log_2019[[#This Row],[Raw Amount]])</f>
        <v>-7.496666666666667</v>
      </c>
      <c r="J784" s="37">
        <f>ABS(Log_2019[[#This Row],[Amount]])</f>
        <v>7.496666666666667</v>
      </c>
      <c r="K784" s="38">
        <v>26</v>
      </c>
      <c r="L784" s="38">
        <f ca="1">IF(Log_2019[[#This Row],[Date]]&lt;=TODAY(), MIN(Log_2019[[#This Row],[Split_raw]], TODAY()-Log_2019[[#This Row],[Date]]+1), 0)</f>
        <v>26</v>
      </c>
      <c r="M784" s="34" t="s">
        <v>53</v>
      </c>
      <c r="N784" s="34" t="s">
        <v>160</v>
      </c>
      <c r="O784" s="7">
        <v>0</v>
      </c>
      <c r="P784" s="52">
        <f ca="1">Log_2019[[#This Row],[Amount]]/Log_2019[[#This Row],[Split_raw]]*MAX(0,MIN(_xlfn.DAYS(EDATE(P$1,1),Log_2019[[#This Row],[Date]]),Log_2019[[#This Row],[Split_apply]])) - SUM($O784:O784)</f>
        <v>-7.4966666666666661</v>
      </c>
      <c r="Q784" s="52">
        <f ca="1">Log_2019[[#This Row],[Amount]]/Log_2019[[#This Row],[Split_raw]]*MAX(0,MIN(_xlfn.DAYS(EDATE(Q$1,1),Log_2019[[#This Row],[Date]]),Log_2019[[#This Row],[Split_apply]])) - SUM($O784:P784)</f>
        <v>0</v>
      </c>
      <c r="R784" s="52">
        <f ca="1">Log_2019[[#This Row],[Amount]]/Log_2019[[#This Row],[Split_raw]]*MAX(0,MIN(_xlfn.DAYS(EDATE(R$1,1),Log_2019[[#This Row],[Date]]),Log_2019[[#This Row],[Split_apply]])) - SUM($O784:Q784)</f>
        <v>0</v>
      </c>
      <c r="S784" s="52">
        <f ca="1">Log_2019[[#This Row],[Amount]]/Log_2019[[#This Row],[Split_raw]]*MAX(0,MIN(_xlfn.DAYS(EDATE(S$1,1),Log_2019[[#This Row],[Date]]),Log_2019[[#This Row],[Split_apply]])) - SUM($O784:R784)</f>
        <v>0</v>
      </c>
      <c r="T784" s="52">
        <f ca="1">Log_2019[[#This Row],[Amount]]/Log_2019[[#This Row],[Split_raw]]*MAX(0,MIN(_xlfn.DAYS(EDATE(T$1,1),Log_2019[[#This Row],[Date]]),Log_2019[[#This Row],[Split_apply]])) - SUM($O784:S784)</f>
        <v>0</v>
      </c>
      <c r="U784" s="52">
        <f ca="1">Log_2019[[#This Row],[Amount]]/Log_2019[[#This Row],[Split_raw]]*MAX(0,MIN(_xlfn.DAYS(EDATE(U$1,1),Log_2019[[#This Row],[Date]]),Log_2019[[#This Row],[Split_apply]])) - SUM($O784:T784)</f>
        <v>0</v>
      </c>
      <c r="V784" s="52">
        <f ca="1">Log_2019[[#This Row],[Amount]]/Log_2019[[#This Row],[Split_raw]]*MAX(0,MIN(_xlfn.DAYS(EDATE(V$1,1),Log_2019[[#This Row],[Date]]),Log_2019[[#This Row],[Split_apply]])) - SUM($O784:U784)</f>
        <v>0</v>
      </c>
      <c r="W784" s="52">
        <f ca="1">Log_2019[[#This Row],[Amount]]/Log_2019[[#This Row],[Split_raw]]*MAX(0,MIN(_xlfn.DAYS(EDATE(W$1,1),Log_2019[[#This Row],[Date]]),Log_2019[[#This Row],[Split_apply]])) - SUM($O784:V784)</f>
        <v>0</v>
      </c>
      <c r="X784" s="52">
        <f ca="1">Log_2019[[#This Row],[Amount]]/Log_2019[[#This Row],[Split_raw]]*MAX(0,MIN(_xlfn.DAYS(EDATE(X$1,1),Log_2019[[#This Row],[Date]]),Log_2019[[#This Row],[Split_apply]])) - SUM($O784:W784)</f>
        <v>0</v>
      </c>
      <c r="Y784" s="52">
        <f ca="1">Log_2019[[#This Row],[Amount]]/Log_2019[[#This Row],[Split_raw]]*MAX(0,MIN(_xlfn.DAYS(EDATE(Y$1,1),Log_2019[[#This Row],[Date]]),Log_2019[[#This Row],[Split_apply]])) - SUM($O784:X784)</f>
        <v>0</v>
      </c>
      <c r="Z784" s="52">
        <f ca="1">Log_2019[[#This Row],[Amount]]/Log_2019[[#This Row],[Split_raw]]*MAX(0,MIN(_xlfn.DAYS(EDATE(Z$1,1),Log_2019[[#This Row],[Date]]),Log_2019[[#This Row],[Split_apply]])) - SUM($O784:Y784)</f>
        <v>0</v>
      </c>
      <c r="AA784" s="52">
        <f ca="1">Log_2019[[#This Row],[Amount]]/Log_2019[[#This Row],[Split_raw]]*MAX(0,MIN(_xlfn.DAYS(EDATE(AA$1,1),Log_2019[[#This Row],[Date]]),Log_2019[[#This Row],[Split_apply]])) - SUM($O784:Z784)</f>
        <v>0</v>
      </c>
      <c r="AB784" s="54">
        <f ca="1">Log_2019[[#This Row],[Amount]]-SUM(O784:AA784)</f>
        <v>0</v>
      </c>
      <c r="AC784" s="7">
        <f>MAX(0,Log_2019[[#This Row],[Split_raw]] - (EDATE(AA$1,1)-Log_2019[[#This Row],[Date]]))</f>
        <v>0</v>
      </c>
    </row>
    <row r="785" spans="1:29" x14ac:dyDescent="0.25">
      <c r="A785" s="42"/>
      <c r="B785" s="34" t="s">
        <v>880</v>
      </c>
      <c r="C785" s="34"/>
      <c r="D785" s="35">
        <v>43466</v>
      </c>
      <c r="E785" s="34"/>
      <c r="F785" s="34" t="s">
        <v>177</v>
      </c>
      <c r="G785" s="34" t="s">
        <v>87</v>
      </c>
      <c r="H785">
        <v>269.50428571428597</v>
      </c>
      <c r="I785" s="36">
        <f>IF(Log_2019[[#This Row],[My Category]]="NONTRACKED",0,Log_2019[[#This Row],[Raw Amount]])</f>
        <v>269.50428571428597</v>
      </c>
      <c r="J785" s="37">
        <f>ABS(Log_2019[[#This Row],[Amount]])</f>
        <v>269.50428571428597</v>
      </c>
      <c r="K785" s="38">
        <v>2</v>
      </c>
      <c r="L785" s="38">
        <f ca="1">IF(Log_2019[[#This Row],[Date]]&lt;=TODAY(), MIN(Log_2019[[#This Row],[Split_raw]], TODAY()-Log_2019[[#This Row],[Date]]+1), 0)</f>
        <v>2</v>
      </c>
      <c r="M785" s="34" t="s">
        <v>91</v>
      </c>
      <c r="N785" s="34" t="s">
        <v>160</v>
      </c>
      <c r="O785" s="7">
        <v>0</v>
      </c>
      <c r="P785" s="52">
        <f ca="1">Log_2019[[#This Row],[Amount]]/Log_2019[[#This Row],[Split_raw]]*MAX(0,MIN(_xlfn.DAYS(EDATE(P$1,1),Log_2019[[#This Row],[Date]]),Log_2019[[#This Row],[Split_apply]])) - SUM($O785:O785)</f>
        <v>269.50428571428597</v>
      </c>
      <c r="Q785" s="52">
        <f ca="1">Log_2019[[#This Row],[Amount]]/Log_2019[[#This Row],[Split_raw]]*MAX(0,MIN(_xlfn.DAYS(EDATE(Q$1,1),Log_2019[[#This Row],[Date]]),Log_2019[[#This Row],[Split_apply]])) - SUM($O785:P785)</f>
        <v>0</v>
      </c>
      <c r="R785" s="52">
        <f ca="1">Log_2019[[#This Row],[Amount]]/Log_2019[[#This Row],[Split_raw]]*MAX(0,MIN(_xlfn.DAYS(EDATE(R$1,1),Log_2019[[#This Row],[Date]]),Log_2019[[#This Row],[Split_apply]])) - SUM($O785:Q785)</f>
        <v>0</v>
      </c>
      <c r="S785" s="52">
        <f ca="1">Log_2019[[#This Row],[Amount]]/Log_2019[[#This Row],[Split_raw]]*MAX(0,MIN(_xlfn.DAYS(EDATE(S$1,1),Log_2019[[#This Row],[Date]]),Log_2019[[#This Row],[Split_apply]])) - SUM($O785:R785)</f>
        <v>0</v>
      </c>
      <c r="T785" s="52">
        <f ca="1">Log_2019[[#This Row],[Amount]]/Log_2019[[#This Row],[Split_raw]]*MAX(0,MIN(_xlfn.DAYS(EDATE(T$1,1),Log_2019[[#This Row],[Date]]),Log_2019[[#This Row],[Split_apply]])) - SUM($O785:S785)</f>
        <v>0</v>
      </c>
      <c r="U785" s="52">
        <f ca="1">Log_2019[[#This Row],[Amount]]/Log_2019[[#This Row],[Split_raw]]*MAX(0,MIN(_xlfn.DAYS(EDATE(U$1,1),Log_2019[[#This Row],[Date]]),Log_2019[[#This Row],[Split_apply]])) - SUM($O785:T785)</f>
        <v>0</v>
      </c>
      <c r="V785" s="52">
        <f ca="1">Log_2019[[#This Row],[Amount]]/Log_2019[[#This Row],[Split_raw]]*MAX(0,MIN(_xlfn.DAYS(EDATE(V$1,1),Log_2019[[#This Row],[Date]]),Log_2019[[#This Row],[Split_apply]])) - SUM($O785:U785)</f>
        <v>0</v>
      </c>
      <c r="W785" s="52">
        <f ca="1">Log_2019[[#This Row],[Amount]]/Log_2019[[#This Row],[Split_raw]]*MAX(0,MIN(_xlfn.DAYS(EDATE(W$1,1),Log_2019[[#This Row],[Date]]),Log_2019[[#This Row],[Split_apply]])) - SUM($O785:V785)</f>
        <v>0</v>
      </c>
      <c r="X785" s="52">
        <f ca="1">Log_2019[[#This Row],[Amount]]/Log_2019[[#This Row],[Split_raw]]*MAX(0,MIN(_xlfn.DAYS(EDATE(X$1,1),Log_2019[[#This Row],[Date]]),Log_2019[[#This Row],[Split_apply]])) - SUM($O785:W785)</f>
        <v>0</v>
      </c>
      <c r="Y785" s="52">
        <f ca="1">Log_2019[[#This Row],[Amount]]/Log_2019[[#This Row],[Split_raw]]*MAX(0,MIN(_xlfn.DAYS(EDATE(Y$1,1),Log_2019[[#This Row],[Date]]),Log_2019[[#This Row],[Split_apply]])) - SUM($O785:X785)</f>
        <v>0</v>
      </c>
      <c r="Z785" s="52">
        <f ca="1">Log_2019[[#This Row],[Amount]]/Log_2019[[#This Row],[Split_raw]]*MAX(0,MIN(_xlfn.DAYS(EDATE(Z$1,1),Log_2019[[#This Row],[Date]]),Log_2019[[#This Row],[Split_apply]])) - SUM($O785:Y785)</f>
        <v>0</v>
      </c>
      <c r="AA785" s="52">
        <f ca="1">Log_2019[[#This Row],[Amount]]/Log_2019[[#This Row],[Split_raw]]*MAX(0,MIN(_xlfn.DAYS(EDATE(AA$1,1),Log_2019[[#This Row],[Date]]),Log_2019[[#This Row],[Split_apply]])) - SUM($O785:Z785)</f>
        <v>0</v>
      </c>
      <c r="AB785" s="54">
        <f ca="1">Log_2019[[#This Row],[Amount]]-SUM(O785:AA785)</f>
        <v>0</v>
      </c>
      <c r="AC785" s="7">
        <f>MAX(0,Log_2019[[#This Row],[Split_raw]] - (EDATE(AA$1,1)-Log_2019[[#This Row],[Date]]))</f>
        <v>0</v>
      </c>
    </row>
    <row r="786" spans="1:29" x14ac:dyDescent="0.25">
      <c r="A786" s="42"/>
      <c r="B786" s="34" t="s">
        <v>880</v>
      </c>
      <c r="C786" s="34"/>
      <c r="D786" s="35">
        <v>43466</v>
      </c>
      <c r="E786" s="34"/>
      <c r="F786" s="34" t="s">
        <v>458</v>
      </c>
      <c r="G786" s="34" t="s">
        <v>29</v>
      </c>
      <c r="H786">
        <v>-20.741333333333333</v>
      </c>
      <c r="I786" s="36">
        <f>IF(Log_2019[[#This Row],[My Category]]="NONTRACKED",0,Log_2019[[#This Row],[Raw Amount]])</f>
        <v>-20.741333333333333</v>
      </c>
      <c r="J786" s="37">
        <f>ABS(Log_2019[[#This Row],[Amount]])</f>
        <v>20.741333333333333</v>
      </c>
      <c r="K786" s="38">
        <v>16</v>
      </c>
      <c r="L786" s="38">
        <f ca="1">IF(Log_2019[[#This Row],[Date]]&lt;=TODAY(), MIN(Log_2019[[#This Row],[Split_raw]], TODAY()-Log_2019[[#This Row],[Date]]+1), 0)</f>
        <v>16</v>
      </c>
      <c r="M786" s="34" t="s">
        <v>29</v>
      </c>
      <c r="N786" s="34" t="s">
        <v>160</v>
      </c>
      <c r="O786" s="7">
        <v>0</v>
      </c>
      <c r="P786" s="52">
        <f ca="1">Log_2019[[#This Row],[Amount]]/Log_2019[[#This Row],[Split_raw]]*MAX(0,MIN(_xlfn.DAYS(EDATE(P$1,1),Log_2019[[#This Row],[Date]]),Log_2019[[#This Row],[Split_apply]])) - SUM($O786:O786)</f>
        <v>-20.741333333333333</v>
      </c>
      <c r="Q786" s="52">
        <f ca="1">Log_2019[[#This Row],[Amount]]/Log_2019[[#This Row],[Split_raw]]*MAX(0,MIN(_xlfn.DAYS(EDATE(Q$1,1),Log_2019[[#This Row],[Date]]),Log_2019[[#This Row],[Split_apply]])) - SUM($O786:P786)</f>
        <v>0</v>
      </c>
      <c r="R786" s="52">
        <f ca="1">Log_2019[[#This Row],[Amount]]/Log_2019[[#This Row],[Split_raw]]*MAX(0,MIN(_xlfn.DAYS(EDATE(R$1,1),Log_2019[[#This Row],[Date]]),Log_2019[[#This Row],[Split_apply]])) - SUM($O786:Q786)</f>
        <v>0</v>
      </c>
      <c r="S786" s="52">
        <f ca="1">Log_2019[[#This Row],[Amount]]/Log_2019[[#This Row],[Split_raw]]*MAX(0,MIN(_xlfn.DAYS(EDATE(S$1,1),Log_2019[[#This Row],[Date]]),Log_2019[[#This Row],[Split_apply]])) - SUM($O786:R786)</f>
        <v>0</v>
      </c>
      <c r="T786" s="52">
        <f ca="1">Log_2019[[#This Row],[Amount]]/Log_2019[[#This Row],[Split_raw]]*MAX(0,MIN(_xlfn.DAYS(EDATE(T$1,1),Log_2019[[#This Row],[Date]]),Log_2019[[#This Row],[Split_apply]])) - SUM($O786:S786)</f>
        <v>0</v>
      </c>
      <c r="U786" s="52">
        <f ca="1">Log_2019[[#This Row],[Amount]]/Log_2019[[#This Row],[Split_raw]]*MAX(0,MIN(_xlfn.DAYS(EDATE(U$1,1),Log_2019[[#This Row],[Date]]),Log_2019[[#This Row],[Split_apply]])) - SUM($O786:T786)</f>
        <v>0</v>
      </c>
      <c r="V786" s="52">
        <f ca="1">Log_2019[[#This Row],[Amount]]/Log_2019[[#This Row],[Split_raw]]*MAX(0,MIN(_xlfn.DAYS(EDATE(V$1,1),Log_2019[[#This Row],[Date]]),Log_2019[[#This Row],[Split_apply]])) - SUM($O786:U786)</f>
        <v>0</v>
      </c>
      <c r="W786" s="52">
        <f ca="1">Log_2019[[#This Row],[Amount]]/Log_2019[[#This Row],[Split_raw]]*MAX(0,MIN(_xlfn.DAYS(EDATE(W$1,1),Log_2019[[#This Row],[Date]]),Log_2019[[#This Row],[Split_apply]])) - SUM($O786:V786)</f>
        <v>0</v>
      </c>
      <c r="X786" s="52">
        <f ca="1">Log_2019[[#This Row],[Amount]]/Log_2019[[#This Row],[Split_raw]]*MAX(0,MIN(_xlfn.DAYS(EDATE(X$1,1),Log_2019[[#This Row],[Date]]),Log_2019[[#This Row],[Split_apply]])) - SUM($O786:W786)</f>
        <v>0</v>
      </c>
      <c r="Y786" s="52">
        <f ca="1">Log_2019[[#This Row],[Amount]]/Log_2019[[#This Row],[Split_raw]]*MAX(0,MIN(_xlfn.DAYS(EDATE(Y$1,1),Log_2019[[#This Row],[Date]]),Log_2019[[#This Row],[Split_apply]])) - SUM($O786:X786)</f>
        <v>0</v>
      </c>
      <c r="Z786" s="52">
        <f ca="1">Log_2019[[#This Row],[Amount]]/Log_2019[[#This Row],[Split_raw]]*MAX(0,MIN(_xlfn.DAYS(EDATE(Z$1,1),Log_2019[[#This Row],[Date]]),Log_2019[[#This Row],[Split_apply]])) - SUM($O786:Y786)</f>
        <v>0</v>
      </c>
      <c r="AA786" s="52">
        <f ca="1">Log_2019[[#This Row],[Amount]]/Log_2019[[#This Row],[Split_raw]]*MAX(0,MIN(_xlfn.DAYS(EDATE(AA$1,1),Log_2019[[#This Row],[Date]]),Log_2019[[#This Row],[Split_apply]])) - SUM($O786:Z786)</f>
        <v>0</v>
      </c>
      <c r="AB786" s="54">
        <f ca="1">Log_2019[[#This Row],[Amount]]-SUM(O786:AA786)</f>
        <v>0</v>
      </c>
      <c r="AC786" s="7">
        <f>MAX(0,Log_2019[[#This Row],[Split_raw]] - (EDATE(AA$1,1)-Log_2019[[#This Row],[Date]]))</f>
        <v>0</v>
      </c>
    </row>
    <row r="787" spans="1:29" x14ac:dyDescent="0.25">
      <c r="A787" s="42"/>
      <c r="B787" s="34" t="s">
        <v>880</v>
      </c>
      <c r="C787" s="34"/>
      <c r="D787" s="35">
        <v>43466</v>
      </c>
      <c r="E787" s="34"/>
      <c r="F787" s="34" t="s">
        <v>83</v>
      </c>
      <c r="G787" s="34" t="s">
        <v>15</v>
      </c>
      <c r="H787">
        <v>-60.606000000000023</v>
      </c>
      <c r="I787" s="36">
        <f>IF(Log_2019[[#This Row],[My Category]]="NONTRACKED",0,Log_2019[[#This Row],[Raw Amount]])</f>
        <v>-60.606000000000023</v>
      </c>
      <c r="J787" s="37">
        <f>ABS(Log_2019[[#This Row],[Amount]])</f>
        <v>60.606000000000023</v>
      </c>
      <c r="K787" s="38">
        <v>9</v>
      </c>
      <c r="L787" s="38">
        <f ca="1">IF(Log_2019[[#This Row],[Date]]&lt;=TODAY(), MIN(Log_2019[[#This Row],[Split_raw]], TODAY()-Log_2019[[#This Row],[Date]]+1), 0)</f>
        <v>9</v>
      </c>
      <c r="M787" s="34" t="s">
        <v>241</v>
      </c>
      <c r="N787" s="34" t="s">
        <v>160</v>
      </c>
      <c r="O787" s="7">
        <v>0</v>
      </c>
      <c r="P787" s="52">
        <f ca="1">Log_2019[[#This Row],[Amount]]/Log_2019[[#This Row],[Split_raw]]*MAX(0,MIN(_xlfn.DAYS(EDATE(P$1,1),Log_2019[[#This Row],[Date]]),Log_2019[[#This Row],[Split_apply]])) - SUM($O787:O787)</f>
        <v>-60.606000000000023</v>
      </c>
      <c r="Q787" s="52">
        <f ca="1">Log_2019[[#This Row],[Amount]]/Log_2019[[#This Row],[Split_raw]]*MAX(0,MIN(_xlfn.DAYS(EDATE(Q$1,1),Log_2019[[#This Row],[Date]]),Log_2019[[#This Row],[Split_apply]])) - SUM($O787:P787)</f>
        <v>0</v>
      </c>
      <c r="R787" s="52">
        <f ca="1">Log_2019[[#This Row],[Amount]]/Log_2019[[#This Row],[Split_raw]]*MAX(0,MIN(_xlfn.DAYS(EDATE(R$1,1),Log_2019[[#This Row],[Date]]),Log_2019[[#This Row],[Split_apply]])) - SUM($O787:Q787)</f>
        <v>0</v>
      </c>
      <c r="S787" s="52">
        <f ca="1">Log_2019[[#This Row],[Amount]]/Log_2019[[#This Row],[Split_raw]]*MAX(0,MIN(_xlfn.DAYS(EDATE(S$1,1),Log_2019[[#This Row],[Date]]),Log_2019[[#This Row],[Split_apply]])) - SUM($O787:R787)</f>
        <v>0</v>
      </c>
      <c r="T787" s="52">
        <f ca="1">Log_2019[[#This Row],[Amount]]/Log_2019[[#This Row],[Split_raw]]*MAX(0,MIN(_xlfn.DAYS(EDATE(T$1,1),Log_2019[[#This Row],[Date]]),Log_2019[[#This Row],[Split_apply]])) - SUM($O787:S787)</f>
        <v>0</v>
      </c>
      <c r="U787" s="52">
        <f ca="1">Log_2019[[#This Row],[Amount]]/Log_2019[[#This Row],[Split_raw]]*MAX(0,MIN(_xlfn.DAYS(EDATE(U$1,1),Log_2019[[#This Row],[Date]]),Log_2019[[#This Row],[Split_apply]])) - SUM($O787:T787)</f>
        <v>0</v>
      </c>
      <c r="V787" s="52">
        <f ca="1">Log_2019[[#This Row],[Amount]]/Log_2019[[#This Row],[Split_raw]]*MAX(0,MIN(_xlfn.DAYS(EDATE(V$1,1),Log_2019[[#This Row],[Date]]),Log_2019[[#This Row],[Split_apply]])) - SUM($O787:U787)</f>
        <v>0</v>
      </c>
      <c r="W787" s="52">
        <f ca="1">Log_2019[[#This Row],[Amount]]/Log_2019[[#This Row],[Split_raw]]*MAX(0,MIN(_xlfn.DAYS(EDATE(W$1,1),Log_2019[[#This Row],[Date]]),Log_2019[[#This Row],[Split_apply]])) - SUM($O787:V787)</f>
        <v>0</v>
      </c>
      <c r="X787" s="52">
        <f ca="1">Log_2019[[#This Row],[Amount]]/Log_2019[[#This Row],[Split_raw]]*MAX(0,MIN(_xlfn.DAYS(EDATE(X$1,1),Log_2019[[#This Row],[Date]]),Log_2019[[#This Row],[Split_apply]])) - SUM($O787:W787)</f>
        <v>0</v>
      </c>
      <c r="Y787" s="52">
        <f ca="1">Log_2019[[#This Row],[Amount]]/Log_2019[[#This Row],[Split_raw]]*MAX(0,MIN(_xlfn.DAYS(EDATE(Y$1,1),Log_2019[[#This Row],[Date]]),Log_2019[[#This Row],[Split_apply]])) - SUM($O787:X787)</f>
        <v>0</v>
      </c>
      <c r="Z787" s="52">
        <f ca="1">Log_2019[[#This Row],[Amount]]/Log_2019[[#This Row],[Split_raw]]*MAX(0,MIN(_xlfn.DAYS(EDATE(Z$1,1),Log_2019[[#This Row],[Date]]),Log_2019[[#This Row],[Split_apply]])) - SUM($O787:Y787)</f>
        <v>0</v>
      </c>
      <c r="AA787" s="52">
        <f ca="1">Log_2019[[#This Row],[Amount]]/Log_2019[[#This Row],[Split_raw]]*MAX(0,MIN(_xlfn.DAYS(EDATE(AA$1,1),Log_2019[[#This Row],[Date]]),Log_2019[[#This Row],[Split_apply]])) - SUM($O787:Z787)</f>
        <v>0</v>
      </c>
      <c r="AB787" s="54">
        <f ca="1">Log_2019[[#This Row],[Amount]]-SUM(O787:AA787)</f>
        <v>0</v>
      </c>
      <c r="AC787" s="7">
        <f>MAX(0,Log_2019[[#This Row],[Split_raw]] - (EDATE(AA$1,1)-Log_2019[[#This Row],[Date]]))</f>
        <v>0</v>
      </c>
    </row>
    <row r="788" spans="1:29" x14ac:dyDescent="0.25">
      <c r="A788" s="42"/>
      <c r="B788" s="34" t="s">
        <v>880</v>
      </c>
      <c r="C788" s="34"/>
      <c r="D788" s="35">
        <v>43466</v>
      </c>
      <c r="E788" s="34" t="s">
        <v>250</v>
      </c>
      <c r="F788" s="34" t="s">
        <v>243</v>
      </c>
      <c r="G788" s="34" t="s">
        <v>143</v>
      </c>
      <c r="H788">
        <v>-2.8826666666666672</v>
      </c>
      <c r="I788" s="36">
        <f>IF(Log_2019[[#This Row],[My Category]]="NONTRACKED",0,Log_2019[[#This Row],[Raw Amount]])</f>
        <v>-2.8826666666666672</v>
      </c>
      <c r="J788" s="37">
        <f>ABS(Log_2019[[#This Row],[Amount]])</f>
        <v>2.8826666666666672</v>
      </c>
      <c r="K788" s="38">
        <v>8</v>
      </c>
      <c r="L788" s="38">
        <f ca="1">IF(Log_2019[[#This Row],[Date]]&lt;=TODAY(), MIN(Log_2019[[#This Row],[Split_raw]], TODAY()-Log_2019[[#This Row],[Date]]+1), 0)</f>
        <v>8</v>
      </c>
      <c r="M788" s="34" t="s">
        <v>53</v>
      </c>
      <c r="N788" s="34" t="s">
        <v>160</v>
      </c>
      <c r="O788" s="7">
        <v>0</v>
      </c>
      <c r="P788" s="52">
        <f ca="1">Log_2019[[#This Row],[Amount]]/Log_2019[[#This Row],[Split_raw]]*MAX(0,MIN(_xlfn.DAYS(EDATE(P$1,1),Log_2019[[#This Row],[Date]]),Log_2019[[#This Row],[Split_apply]])) - SUM($O788:O788)</f>
        <v>-2.8826666666666672</v>
      </c>
      <c r="Q788" s="52">
        <f ca="1">Log_2019[[#This Row],[Amount]]/Log_2019[[#This Row],[Split_raw]]*MAX(0,MIN(_xlfn.DAYS(EDATE(Q$1,1),Log_2019[[#This Row],[Date]]),Log_2019[[#This Row],[Split_apply]])) - SUM($O788:P788)</f>
        <v>0</v>
      </c>
      <c r="R788" s="52">
        <f ca="1">Log_2019[[#This Row],[Amount]]/Log_2019[[#This Row],[Split_raw]]*MAX(0,MIN(_xlfn.DAYS(EDATE(R$1,1),Log_2019[[#This Row],[Date]]),Log_2019[[#This Row],[Split_apply]])) - SUM($O788:Q788)</f>
        <v>0</v>
      </c>
      <c r="S788" s="52">
        <f ca="1">Log_2019[[#This Row],[Amount]]/Log_2019[[#This Row],[Split_raw]]*MAX(0,MIN(_xlfn.DAYS(EDATE(S$1,1),Log_2019[[#This Row],[Date]]),Log_2019[[#This Row],[Split_apply]])) - SUM($O788:R788)</f>
        <v>0</v>
      </c>
      <c r="T788" s="52">
        <f ca="1">Log_2019[[#This Row],[Amount]]/Log_2019[[#This Row],[Split_raw]]*MAX(0,MIN(_xlfn.DAYS(EDATE(T$1,1),Log_2019[[#This Row],[Date]]),Log_2019[[#This Row],[Split_apply]])) - SUM($O788:S788)</f>
        <v>0</v>
      </c>
      <c r="U788" s="52">
        <f ca="1">Log_2019[[#This Row],[Amount]]/Log_2019[[#This Row],[Split_raw]]*MAX(0,MIN(_xlfn.DAYS(EDATE(U$1,1),Log_2019[[#This Row],[Date]]),Log_2019[[#This Row],[Split_apply]])) - SUM($O788:T788)</f>
        <v>0</v>
      </c>
      <c r="V788" s="52">
        <f ca="1">Log_2019[[#This Row],[Amount]]/Log_2019[[#This Row],[Split_raw]]*MAX(0,MIN(_xlfn.DAYS(EDATE(V$1,1),Log_2019[[#This Row],[Date]]),Log_2019[[#This Row],[Split_apply]])) - SUM($O788:U788)</f>
        <v>0</v>
      </c>
      <c r="W788" s="52">
        <f ca="1">Log_2019[[#This Row],[Amount]]/Log_2019[[#This Row],[Split_raw]]*MAX(0,MIN(_xlfn.DAYS(EDATE(W$1,1),Log_2019[[#This Row],[Date]]),Log_2019[[#This Row],[Split_apply]])) - SUM($O788:V788)</f>
        <v>0</v>
      </c>
      <c r="X788" s="52">
        <f ca="1">Log_2019[[#This Row],[Amount]]/Log_2019[[#This Row],[Split_raw]]*MAX(0,MIN(_xlfn.DAYS(EDATE(X$1,1),Log_2019[[#This Row],[Date]]),Log_2019[[#This Row],[Split_apply]])) - SUM($O788:W788)</f>
        <v>0</v>
      </c>
      <c r="Y788" s="52">
        <f ca="1">Log_2019[[#This Row],[Amount]]/Log_2019[[#This Row],[Split_raw]]*MAX(0,MIN(_xlfn.DAYS(EDATE(Y$1,1),Log_2019[[#This Row],[Date]]),Log_2019[[#This Row],[Split_apply]])) - SUM($O788:X788)</f>
        <v>0</v>
      </c>
      <c r="Z788" s="52">
        <f ca="1">Log_2019[[#This Row],[Amount]]/Log_2019[[#This Row],[Split_raw]]*MAX(0,MIN(_xlfn.DAYS(EDATE(Z$1,1),Log_2019[[#This Row],[Date]]),Log_2019[[#This Row],[Split_apply]])) - SUM($O788:Y788)</f>
        <v>0</v>
      </c>
      <c r="AA788" s="52">
        <f ca="1">Log_2019[[#This Row],[Amount]]/Log_2019[[#This Row],[Split_raw]]*MAX(0,MIN(_xlfn.DAYS(EDATE(AA$1,1),Log_2019[[#This Row],[Date]]),Log_2019[[#This Row],[Split_apply]])) - SUM($O788:Z788)</f>
        <v>0</v>
      </c>
      <c r="AB788" s="54">
        <f ca="1">Log_2019[[#This Row],[Amount]]-SUM(O788:AA788)</f>
        <v>0</v>
      </c>
      <c r="AC788" s="7">
        <f>MAX(0,Log_2019[[#This Row],[Split_raw]] - (EDATE(AA$1,1)-Log_2019[[#This Row],[Date]]))</f>
        <v>0</v>
      </c>
    </row>
    <row r="789" spans="1:29" x14ac:dyDescent="0.25">
      <c r="A789" s="42"/>
      <c r="B789" s="34" t="s">
        <v>880</v>
      </c>
      <c r="C789" s="34"/>
      <c r="D789" s="35">
        <v>43466</v>
      </c>
      <c r="E789" s="34"/>
      <c r="F789" s="34" t="s">
        <v>188</v>
      </c>
      <c r="G789" s="34" t="s">
        <v>189</v>
      </c>
      <c r="H789">
        <v>-13.691666666666663</v>
      </c>
      <c r="I789" s="36">
        <f>IF(Log_2019[[#This Row],[My Category]]="NONTRACKED",0,Log_2019[[#This Row],[Raw Amount]])</f>
        <v>-13.691666666666663</v>
      </c>
      <c r="J789" s="37">
        <f>ABS(Log_2019[[#This Row],[Amount]])</f>
        <v>13.691666666666663</v>
      </c>
      <c r="K789" s="38">
        <v>5</v>
      </c>
      <c r="L789" s="38">
        <f ca="1">IF(Log_2019[[#This Row],[Date]]&lt;=TODAY(), MIN(Log_2019[[#This Row],[Split_raw]], TODAY()-Log_2019[[#This Row],[Date]]+1), 0)</f>
        <v>5</v>
      </c>
      <c r="M789" s="34" t="s">
        <v>30</v>
      </c>
      <c r="N789" s="34" t="s">
        <v>158</v>
      </c>
      <c r="O789" s="7">
        <v>0</v>
      </c>
      <c r="P789" s="52">
        <f ca="1">Log_2019[[#This Row],[Amount]]/Log_2019[[#This Row],[Split_raw]]*MAX(0,MIN(_xlfn.DAYS(EDATE(P$1,1),Log_2019[[#This Row],[Date]]),Log_2019[[#This Row],[Split_apply]])) - SUM($O789:O789)</f>
        <v>-13.691666666666663</v>
      </c>
      <c r="Q789" s="52">
        <f ca="1">Log_2019[[#This Row],[Amount]]/Log_2019[[#This Row],[Split_raw]]*MAX(0,MIN(_xlfn.DAYS(EDATE(Q$1,1),Log_2019[[#This Row],[Date]]),Log_2019[[#This Row],[Split_apply]])) - SUM($O789:P789)</f>
        <v>0</v>
      </c>
      <c r="R789" s="52">
        <f ca="1">Log_2019[[#This Row],[Amount]]/Log_2019[[#This Row],[Split_raw]]*MAX(0,MIN(_xlfn.DAYS(EDATE(R$1,1),Log_2019[[#This Row],[Date]]),Log_2019[[#This Row],[Split_apply]])) - SUM($O789:Q789)</f>
        <v>0</v>
      </c>
      <c r="S789" s="52">
        <f ca="1">Log_2019[[#This Row],[Amount]]/Log_2019[[#This Row],[Split_raw]]*MAX(0,MIN(_xlfn.DAYS(EDATE(S$1,1),Log_2019[[#This Row],[Date]]),Log_2019[[#This Row],[Split_apply]])) - SUM($O789:R789)</f>
        <v>0</v>
      </c>
      <c r="T789" s="52">
        <f ca="1">Log_2019[[#This Row],[Amount]]/Log_2019[[#This Row],[Split_raw]]*MAX(0,MIN(_xlfn.DAYS(EDATE(T$1,1),Log_2019[[#This Row],[Date]]),Log_2019[[#This Row],[Split_apply]])) - SUM($O789:S789)</f>
        <v>0</v>
      </c>
      <c r="U789" s="52">
        <f ca="1">Log_2019[[#This Row],[Amount]]/Log_2019[[#This Row],[Split_raw]]*MAX(0,MIN(_xlfn.DAYS(EDATE(U$1,1),Log_2019[[#This Row],[Date]]),Log_2019[[#This Row],[Split_apply]])) - SUM($O789:T789)</f>
        <v>0</v>
      </c>
      <c r="V789" s="52">
        <f ca="1">Log_2019[[#This Row],[Amount]]/Log_2019[[#This Row],[Split_raw]]*MAX(0,MIN(_xlfn.DAYS(EDATE(V$1,1),Log_2019[[#This Row],[Date]]),Log_2019[[#This Row],[Split_apply]])) - SUM($O789:U789)</f>
        <v>0</v>
      </c>
      <c r="W789" s="52">
        <f ca="1">Log_2019[[#This Row],[Amount]]/Log_2019[[#This Row],[Split_raw]]*MAX(0,MIN(_xlfn.DAYS(EDATE(W$1,1),Log_2019[[#This Row],[Date]]),Log_2019[[#This Row],[Split_apply]])) - SUM($O789:V789)</f>
        <v>0</v>
      </c>
      <c r="X789" s="52">
        <f ca="1">Log_2019[[#This Row],[Amount]]/Log_2019[[#This Row],[Split_raw]]*MAX(0,MIN(_xlfn.DAYS(EDATE(X$1,1),Log_2019[[#This Row],[Date]]),Log_2019[[#This Row],[Split_apply]])) - SUM($O789:W789)</f>
        <v>0</v>
      </c>
      <c r="Y789" s="52">
        <f ca="1">Log_2019[[#This Row],[Amount]]/Log_2019[[#This Row],[Split_raw]]*MAX(0,MIN(_xlfn.DAYS(EDATE(Y$1,1),Log_2019[[#This Row],[Date]]),Log_2019[[#This Row],[Split_apply]])) - SUM($O789:X789)</f>
        <v>0</v>
      </c>
      <c r="Z789" s="52">
        <f ca="1">Log_2019[[#This Row],[Amount]]/Log_2019[[#This Row],[Split_raw]]*MAX(0,MIN(_xlfn.DAYS(EDATE(Z$1,1),Log_2019[[#This Row],[Date]]),Log_2019[[#This Row],[Split_apply]])) - SUM($O789:Y789)</f>
        <v>0</v>
      </c>
      <c r="AA789" s="52">
        <f ca="1">Log_2019[[#This Row],[Amount]]/Log_2019[[#This Row],[Split_raw]]*MAX(0,MIN(_xlfn.DAYS(EDATE(AA$1,1),Log_2019[[#This Row],[Date]]),Log_2019[[#This Row],[Split_apply]])) - SUM($O789:Z789)</f>
        <v>0</v>
      </c>
      <c r="AB789" s="54">
        <f ca="1">Log_2019[[#This Row],[Amount]]-SUM(O789:AA789)</f>
        <v>0</v>
      </c>
      <c r="AC789" s="7">
        <f>MAX(0,Log_2019[[#This Row],[Split_raw]] - (EDATE(AA$1,1)-Log_2019[[#This Row],[Date]]))</f>
        <v>0</v>
      </c>
    </row>
    <row r="790" spans="1:29" x14ac:dyDescent="0.25">
      <c r="A790" s="42"/>
      <c r="B790" s="34" t="s">
        <v>880</v>
      </c>
      <c r="C790" s="34"/>
      <c r="D790" s="35">
        <v>43466</v>
      </c>
      <c r="E790" s="34"/>
      <c r="F790" s="34" t="s">
        <v>187</v>
      </c>
      <c r="G790" s="34" t="s">
        <v>11</v>
      </c>
      <c r="H790">
        <v>-19.672301369863007</v>
      </c>
      <c r="I790" s="36">
        <f>IF(Log_2019[[#This Row],[My Category]]="NONTRACKED",0,Log_2019[[#This Row],[Raw Amount]])</f>
        <v>-19.672301369863007</v>
      </c>
      <c r="J790" s="37">
        <f>ABS(Log_2019[[#This Row],[Amount]])</f>
        <v>19.672301369863007</v>
      </c>
      <c r="K790" s="38">
        <v>67</v>
      </c>
      <c r="L790" s="38">
        <f ca="1">IF(Log_2019[[#This Row],[Date]]&lt;=TODAY(), MIN(Log_2019[[#This Row],[Split_raw]], TODAY()-Log_2019[[#This Row],[Date]]+1), 0)</f>
        <v>67</v>
      </c>
      <c r="M790" s="34" t="s">
        <v>147</v>
      </c>
      <c r="N790" s="34" t="s">
        <v>158</v>
      </c>
      <c r="O790" s="7">
        <v>0</v>
      </c>
      <c r="P790" s="52">
        <f ca="1">Log_2019[[#This Row],[Amount]]/Log_2019[[#This Row],[Split_raw]]*MAX(0,MIN(_xlfn.DAYS(EDATE(P$1,1),Log_2019[[#This Row],[Date]]),Log_2019[[#This Row],[Split_apply]])) - SUM($O790:O790)</f>
        <v>-9.1021095890410937</v>
      </c>
      <c r="Q790" s="52">
        <f ca="1">Log_2019[[#This Row],[Amount]]/Log_2019[[#This Row],[Split_raw]]*MAX(0,MIN(_xlfn.DAYS(EDATE(Q$1,1),Log_2019[[#This Row],[Date]]),Log_2019[[#This Row],[Split_apply]])) - SUM($O790:P790)</f>
        <v>-8.2212602739725984</v>
      </c>
      <c r="R790" s="52">
        <f ca="1">Log_2019[[#This Row],[Amount]]/Log_2019[[#This Row],[Split_raw]]*MAX(0,MIN(_xlfn.DAYS(EDATE(R$1,1),Log_2019[[#This Row],[Date]]),Log_2019[[#This Row],[Split_apply]])) - SUM($O790:Q790)</f>
        <v>-2.3489315068493148</v>
      </c>
      <c r="S790" s="52">
        <f ca="1">Log_2019[[#This Row],[Amount]]/Log_2019[[#This Row],[Split_raw]]*MAX(0,MIN(_xlfn.DAYS(EDATE(S$1,1),Log_2019[[#This Row],[Date]]),Log_2019[[#This Row],[Split_apply]])) - SUM($O790:R790)</f>
        <v>0</v>
      </c>
      <c r="T790" s="52">
        <f ca="1">Log_2019[[#This Row],[Amount]]/Log_2019[[#This Row],[Split_raw]]*MAX(0,MIN(_xlfn.DAYS(EDATE(T$1,1),Log_2019[[#This Row],[Date]]),Log_2019[[#This Row],[Split_apply]])) - SUM($O790:S790)</f>
        <v>0</v>
      </c>
      <c r="U790" s="52">
        <f ca="1">Log_2019[[#This Row],[Amount]]/Log_2019[[#This Row],[Split_raw]]*MAX(0,MIN(_xlfn.DAYS(EDATE(U$1,1),Log_2019[[#This Row],[Date]]),Log_2019[[#This Row],[Split_apply]])) - SUM($O790:T790)</f>
        <v>0</v>
      </c>
      <c r="V790" s="52">
        <f ca="1">Log_2019[[#This Row],[Amount]]/Log_2019[[#This Row],[Split_raw]]*MAX(0,MIN(_xlfn.DAYS(EDATE(V$1,1),Log_2019[[#This Row],[Date]]),Log_2019[[#This Row],[Split_apply]])) - SUM($O790:U790)</f>
        <v>0</v>
      </c>
      <c r="W790" s="52">
        <f ca="1">Log_2019[[#This Row],[Amount]]/Log_2019[[#This Row],[Split_raw]]*MAX(0,MIN(_xlfn.DAYS(EDATE(W$1,1),Log_2019[[#This Row],[Date]]),Log_2019[[#This Row],[Split_apply]])) - SUM($O790:V790)</f>
        <v>0</v>
      </c>
      <c r="X790" s="52">
        <f ca="1">Log_2019[[#This Row],[Amount]]/Log_2019[[#This Row],[Split_raw]]*MAX(0,MIN(_xlfn.DAYS(EDATE(X$1,1),Log_2019[[#This Row],[Date]]),Log_2019[[#This Row],[Split_apply]])) - SUM($O790:W790)</f>
        <v>0</v>
      </c>
      <c r="Y790" s="52">
        <f ca="1">Log_2019[[#This Row],[Amount]]/Log_2019[[#This Row],[Split_raw]]*MAX(0,MIN(_xlfn.DAYS(EDATE(Y$1,1),Log_2019[[#This Row],[Date]]),Log_2019[[#This Row],[Split_apply]])) - SUM($O790:X790)</f>
        <v>0</v>
      </c>
      <c r="Z790" s="52">
        <f ca="1">Log_2019[[#This Row],[Amount]]/Log_2019[[#This Row],[Split_raw]]*MAX(0,MIN(_xlfn.DAYS(EDATE(Z$1,1),Log_2019[[#This Row],[Date]]),Log_2019[[#This Row],[Split_apply]])) - SUM($O790:Y790)</f>
        <v>0</v>
      </c>
      <c r="AA790" s="52">
        <f ca="1">Log_2019[[#This Row],[Amount]]/Log_2019[[#This Row],[Split_raw]]*MAX(0,MIN(_xlfn.DAYS(EDATE(AA$1,1),Log_2019[[#This Row],[Date]]),Log_2019[[#This Row],[Split_apply]])) - SUM($O790:Z790)</f>
        <v>0</v>
      </c>
      <c r="AB790" s="54">
        <f ca="1">Log_2019[[#This Row],[Amount]]-SUM(O790:AA790)</f>
        <v>0</v>
      </c>
      <c r="AC790" s="7">
        <f>MAX(0,Log_2019[[#This Row],[Split_raw]] - (EDATE(AA$1,1)-Log_2019[[#This Row],[Date]]))</f>
        <v>0</v>
      </c>
    </row>
  </sheetData>
  <dataValidations count="2">
    <dataValidation type="list" errorStyle="warning" allowBlank="1" showInputMessage="1" showErrorMessage="1" sqref="M2:M790" xr:uid="{3E616EB4-42C3-4C6E-A7AF-0E26A2C35589}">
      <formula1>CategoriesList</formula1>
    </dataValidation>
    <dataValidation type="list" allowBlank="1" showInputMessage="1" showErrorMessage="1" sqref="N2:N790 P2:AA790" xr:uid="{5314AEDE-EFF8-45C4-9E73-0DA0AFF63A5C}">
      <formula1>CategoriesList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D6600-88FA-4AA1-BDDE-95BA880BF03C}">
  <sheetPr codeName="Sheet7"/>
  <dimension ref="A1:AC207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outlineLevelCol="1" x14ac:dyDescent="0.25"/>
  <cols>
    <col min="1" max="1" width="8.7109375" bestFit="1" customWidth="1"/>
    <col min="2" max="2" width="6" customWidth="1" outlineLevel="1"/>
    <col min="3" max="3" width="9.7109375" bestFit="1" customWidth="1"/>
    <col min="4" max="4" width="28.28515625" bestFit="1" customWidth="1"/>
    <col min="5" max="5" width="46.85546875" bestFit="1" customWidth="1"/>
    <col min="6" max="6" width="22.42578125" customWidth="1" outlineLevel="1"/>
    <col min="7" max="7" width="14.5703125" customWidth="1" outlineLevel="1"/>
    <col min="8" max="8" width="10.42578125" customWidth="1"/>
    <col min="9" max="9" width="10.7109375" customWidth="1" outlineLevel="1"/>
    <col min="10" max="10" width="11.5703125" customWidth="1" outlineLevel="1"/>
    <col min="11" max="11" width="13.140625" customWidth="1" outlineLevel="1"/>
    <col min="12" max="12" width="20.85546875" bestFit="1" customWidth="1"/>
    <col min="13" max="13" width="10.85546875" bestFit="1" customWidth="1"/>
    <col min="14" max="14" width="29.7109375" customWidth="1" outlineLevel="1"/>
    <col min="15" max="26" width="11" bestFit="1" customWidth="1"/>
    <col min="27" max="27" width="8.140625" bestFit="1" customWidth="1"/>
    <col min="28" max="28" width="11.28515625" bestFit="1" customWidth="1"/>
  </cols>
  <sheetData>
    <row r="1" spans="1:29" x14ac:dyDescent="0.25">
      <c r="A1" s="113" t="s">
        <v>1120</v>
      </c>
      <c r="B1" s="22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55</v>
      </c>
      <c r="H1" t="s">
        <v>632</v>
      </c>
      <c r="I1" s="24" t="s">
        <v>5</v>
      </c>
      <c r="J1" s="24" t="s">
        <v>92</v>
      </c>
      <c r="K1" s="64" t="s">
        <v>951</v>
      </c>
      <c r="L1" s="65" t="s">
        <v>950</v>
      </c>
      <c r="M1" s="23" t="s">
        <v>56</v>
      </c>
      <c r="N1" s="25" t="s">
        <v>164</v>
      </c>
      <c r="O1" s="55" t="s">
        <v>869</v>
      </c>
      <c r="P1" s="61" t="s">
        <v>935</v>
      </c>
      <c r="Q1" s="61" t="s">
        <v>936</v>
      </c>
      <c r="R1" s="53" t="s">
        <v>937</v>
      </c>
      <c r="S1" s="53" t="s">
        <v>938</v>
      </c>
      <c r="T1" s="53" t="s">
        <v>939</v>
      </c>
      <c r="U1" s="53" t="s">
        <v>940</v>
      </c>
      <c r="V1" s="53" t="s">
        <v>941</v>
      </c>
      <c r="W1" s="53" t="s">
        <v>942</v>
      </c>
      <c r="X1" s="53" t="s">
        <v>943</v>
      </c>
      <c r="Y1" s="53" t="s">
        <v>944</v>
      </c>
      <c r="Z1" s="53" t="s">
        <v>945</v>
      </c>
      <c r="AA1" s="53" t="s">
        <v>946</v>
      </c>
      <c r="AB1" s="55" t="s">
        <v>870</v>
      </c>
      <c r="AC1" s="56" t="s">
        <v>871</v>
      </c>
    </row>
    <row r="2" spans="1:29" x14ac:dyDescent="0.25">
      <c r="A2" s="37"/>
      <c r="B2" s="34" t="s">
        <v>191</v>
      </c>
      <c r="C2" s="34"/>
      <c r="D2" s="86">
        <v>44287</v>
      </c>
      <c r="E2" s="34" t="s">
        <v>1084</v>
      </c>
      <c r="F2" s="34" t="s">
        <v>527</v>
      </c>
      <c r="G2" s="34" t="s">
        <v>20</v>
      </c>
      <c r="H2" s="3">
        <v>-1100</v>
      </c>
      <c r="I2" s="36">
        <f>IF(Log_2020[[#This Row],[My Category]]="NONTRACKED",0,Log_2020[[#This Row],[Raw Amount]])</f>
        <v>-1100</v>
      </c>
      <c r="J2" s="37">
        <f>ABS(Log_2020[[#This Row],[Amount]])</f>
        <v>1100</v>
      </c>
      <c r="K2" s="38">
        <v>1</v>
      </c>
      <c r="L2" s="38">
        <f ca="1">IF(Log_2020[[#This Row],[Date]]&lt;=TODAY(), MIN(Log_2020[[#This Row],[Split_raw]], TODAY()-Log_2020[[#This Row],[Date]]+1), 0)</f>
        <v>0</v>
      </c>
      <c r="M2" s="34" t="s">
        <v>28</v>
      </c>
      <c r="N2" s="34" t="s">
        <v>160</v>
      </c>
      <c r="O2" s="7"/>
      <c r="P2" s="58">
        <f ca="1">Log_2020[[#This Row],[Amount]]/Log_2020[[#This Row],[Split_raw]]*MAX(0,MIN(_xlfn.DAYS(EDATE(P$1,1),Log_2020[[#This Row],[Date]]),Log_2020[[#This Row],[Split_apply]])) - SUM($O2:O2)</f>
        <v>0</v>
      </c>
      <c r="Q2" s="58">
        <f ca="1">Log_2020[[#This Row],[Amount]]/Log_2020[[#This Row],[Split_raw]]*MAX(0,MIN(_xlfn.DAYS(EDATE(Q$1,1),Log_2020[[#This Row],[Date]]),Log_2020[[#This Row],[Split_apply]])) - SUM($O2:P2)</f>
        <v>0</v>
      </c>
      <c r="R2" s="58">
        <f ca="1">Log_2020[[#This Row],[Amount]]/Log_2020[[#This Row],[Split_raw]]*MAX(0,MIN(_xlfn.DAYS(EDATE(R$1,1),Log_2020[[#This Row],[Date]]),Log_2020[[#This Row],[Split_apply]])) - SUM($O2:Q2)</f>
        <v>0</v>
      </c>
      <c r="S2" s="58">
        <f ca="1">Log_2020[[#This Row],[Amount]]/Log_2020[[#This Row],[Split_raw]]*MAX(0,MIN(_xlfn.DAYS(EDATE(S$1,1),Log_2020[[#This Row],[Date]]),Log_2020[[#This Row],[Split_apply]])) - SUM($O2:R2)</f>
        <v>0</v>
      </c>
      <c r="T2" s="58">
        <f ca="1">Log_2020[[#This Row],[Amount]]/Log_2020[[#This Row],[Split_raw]]*MAX(0,MIN(_xlfn.DAYS(EDATE(T$1,1),Log_2020[[#This Row],[Date]]),Log_2020[[#This Row],[Split_apply]])) - SUM($O2:S2)</f>
        <v>0</v>
      </c>
      <c r="U2" s="58">
        <f ca="1">Log_2020[[#This Row],[Amount]]/Log_2020[[#This Row],[Split_raw]]*MAX(0,MIN(_xlfn.DAYS(EDATE(U$1,1),Log_2020[[#This Row],[Date]]),Log_2020[[#This Row],[Split_apply]])) - SUM($O2:T2)</f>
        <v>0</v>
      </c>
      <c r="V2" s="58">
        <f ca="1">Log_2020[[#This Row],[Amount]]/Log_2020[[#This Row],[Split_raw]]*MAX(0,MIN(_xlfn.DAYS(EDATE(V$1,1),Log_2020[[#This Row],[Date]]),Log_2020[[#This Row],[Split_apply]])) - SUM($O2:U2)</f>
        <v>0</v>
      </c>
      <c r="W2" s="58">
        <f ca="1">Log_2020[[#This Row],[Amount]]/Log_2020[[#This Row],[Split_raw]]*MAX(0,MIN(_xlfn.DAYS(EDATE(W$1,1),Log_2020[[#This Row],[Date]]),Log_2020[[#This Row],[Split_apply]])) - SUM($O2:V2)</f>
        <v>0</v>
      </c>
      <c r="X2" s="58">
        <f ca="1">Log_2020[[#This Row],[Amount]]/Log_2020[[#This Row],[Split_raw]]*MAX(0,MIN(_xlfn.DAYS(EDATE(X$1,1),Log_2020[[#This Row],[Date]]),Log_2020[[#This Row],[Split_apply]])) - SUM($O2:W2)</f>
        <v>0</v>
      </c>
      <c r="Y2" s="58">
        <f ca="1">Log_2020[[#This Row],[Amount]]/Log_2020[[#This Row],[Split_raw]]*MAX(0,MIN(_xlfn.DAYS(EDATE(Y$1,1),Log_2020[[#This Row],[Date]]),Log_2020[[#This Row],[Split_apply]])) - SUM($O2:X2)</f>
        <v>0</v>
      </c>
      <c r="Z2" s="58">
        <f ca="1">Log_2020[[#This Row],[Amount]]/Log_2020[[#This Row],[Split_raw]]*MAX(0,MIN(_xlfn.DAYS(EDATE(Z$1,1),Log_2020[[#This Row],[Date]]),Log_2020[[#This Row],[Split_apply]])) - SUM($O2:Y2)</f>
        <v>0</v>
      </c>
      <c r="AA2" s="58">
        <f ca="1">Log_2020[[#This Row],[Amount]]/Log_2020[[#This Row],[Split_raw]]*MAX(0,MIN(_xlfn.DAYS(EDATE(AA$1,1),Log_2020[[#This Row],[Date]]),Log_2020[[#This Row],[Split_apply]])) - SUM($O2:Z2)</f>
        <v>0</v>
      </c>
      <c r="AB2" s="85">
        <f ca="1">Log_2020[[#This Row],[Amount]]*Log_2020[[#This Row],[Split_apply]]/Log_2020[[#This Row],[Split_raw]]-SUM(O2:AA2)</f>
        <v>0</v>
      </c>
      <c r="AC2" s="74">
        <f>MAX(0,Log_2020[[#This Row],[Split_raw]] - (EDATE(AA$1,1)-Log_2020[[#This Row],[Date]]))</f>
        <v>91</v>
      </c>
    </row>
    <row r="3" spans="1:29" x14ac:dyDescent="0.25">
      <c r="A3" s="37"/>
      <c r="B3" s="34" t="s">
        <v>191</v>
      </c>
      <c r="C3" s="34"/>
      <c r="D3" s="86">
        <v>44287</v>
      </c>
      <c r="E3" s="34" t="s">
        <v>1085</v>
      </c>
      <c r="F3" s="34" t="s">
        <v>527</v>
      </c>
      <c r="G3" s="34" t="s">
        <v>20</v>
      </c>
      <c r="H3" s="3">
        <v>-500</v>
      </c>
      <c r="I3" s="36">
        <f>IF(Log_2020[[#This Row],[My Category]]="NONTRACKED",0,Log_2020[[#This Row],[Raw Amount]])</f>
        <v>-500</v>
      </c>
      <c r="J3" s="37">
        <f>ABS(Log_2020[[#This Row],[Amount]])</f>
        <v>500</v>
      </c>
      <c r="K3" s="38">
        <v>30</v>
      </c>
      <c r="L3" s="38">
        <f ca="1">IF(Log_2020[[#This Row],[Date]]&lt;=TODAY(), MIN(Log_2020[[#This Row],[Split_raw]], TODAY()-Log_2020[[#This Row],[Date]]+1), 0)</f>
        <v>0</v>
      </c>
      <c r="M3" s="34" t="s">
        <v>28</v>
      </c>
      <c r="N3" s="34" t="s">
        <v>160</v>
      </c>
      <c r="O3" s="7"/>
      <c r="P3" s="58">
        <f ca="1">Log_2020[[#This Row],[Amount]]/Log_2020[[#This Row],[Split_raw]]*MAX(0,MIN(_xlfn.DAYS(EDATE(P$1,1),Log_2020[[#This Row],[Date]]),Log_2020[[#This Row],[Split_apply]])) - SUM($O3:O3)</f>
        <v>0</v>
      </c>
      <c r="Q3" s="58">
        <f ca="1">Log_2020[[#This Row],[Amount]]/Log_2020[[#This Row],[Split_raw]]*MAX(0,MIN(_xlfn.DAYS(EDATE(Q$1,1),Log_2020[[#This Row],[Date]]),Log_2020[[#This Row],[Split_apply]])) - SUM($O3:P3)</f>
        <v>0</v>
      </c>
      <c r="R3" s="58">
        <f ca="1">Log_2020[[#This Row],[Amount]]/Log_2020[[#This Row],[Split_raw]]*MAX(0,MIN(_xlfn.DAYS(EDATE(R$1,1),Log_2020[[#This Row],[Date]]),Log_2020[[#This Row],[Split_apply]])) - SUM($O3:Q3)</f>
        <v>0</v>
      </c>
      <c r="S3" s="58">
        <f ca="1">Log_2020[[#This Row],[Amount]]/Log_2020[[#This Row],[Split_raw]]*MAX(0,MIN(_xlfn.DAYS(EDATE(S$1,1),Log_2020[[#This Row],[Date]]),Log_2020[[#This Row],[Split_apply]])) - SUM($O3:R3)</f>
        <v>0</v>
      </c>
      <c r="T3" s="58">
        <f ca="1">Log_2020[[#This Row],[Amount]]/Log_2020[[#This Row],[Split_raw]]*MAX(0,MIN(_xlfn.DAYS(EDATE(T$1,1),Log_2020[[#This Row],[Date]]),Log_2020[[#This Row],[Split_apply]])) - SUM($O3:S3)</f>
        <v>0</v>
      </c>
      <c r="U3" s="58">
        <f ca="1">Log_2020[[#This Row],[Amount]]/Log_2020[[#This Row],[Split_raw]]*MAX(0,MIN(_xlfn.DAYS(EDATE(U$1,1),Log_2020[[#This Row],[Date]]),Log_2020[[#This Row],[Split_apply]])) - SUM($O3:T3)</f>
        <v>0</v>
      </c>
      <c r="V3" s="58">
        <f ca="1">Log_2020[[#This Row],[Amount]]/Log_2020[[#This Row],[Split_raw]]*MAX(0,MIN(_xlfn.DAYS(EDATE(V$1,1),Log_2020[[#This Row],[Date]]),Log_2020[[#This Row],[Split_apply]])) - SUM($O3:U3)</f>
        <v>0</v>
      </c>
      <c r="W3" s="58">
        <f ca="1">Log_2020[[#This Row],[Amount]]/Log_2020[[#This Row],[Split_raw]]*MAX(0,MIN(_xlfn.DAYS(EDATE(W$1,1),Log_2020[[#This Row],[Date]]),Log_2020[[#This Row],[Split_apply]])) - SUM($O3:V3)</f>
        <v>0</v>
      </c>
      <c r="X3" s="58">
        <f ca="1">Log_2020[[#This Row],[Amount]]/Log_2020[[#This Row],[Split_raw]]*MAX(0,MIN(_xlfn.DAYS(EDATE(X$1,1),Log_2020[[#This Row],[Date]]),Log_2020[[#This Row],[Split_apply]])) - SUM($O3:W3)</f>
        <v>0</v>
      </c>
      <c r="Y3" s="58">
        <f ca="1">Log_2020[[#This Row],[Amount]]/Log_2020[[#This Row],[Split_raw]]*MAX(0,MIN(_xlfn.DAYS(EDATE(Y$1,1),Log_2020[[#This Row],[Date]]),Log_2020[[#This Row],[Split_apply]])) - SUM($O3:X3)</f>
        <v>0</v>
      </c>
      <c r="Z3" s="58">
        <f ca="1">Log_2020[[#This Row],[Amount]]/Log_2020[[#This Row],[Split_raw]]*MAX(0,MIN(_xlfn.DAYS(EDATE(Z$1,1),Log_2020[[#This Row],[Date]]),Log_2020[[#This Row],[Split_apply]])) - SUM($O3:Y3)</f>
        <v>0</v>
      </c>
      <c r="AA3" s="58">
        <f ca="1">Log_2020[[#This Row],[Amount]]/Log_2020[[#This Row],[Split_raw]]*MAX(0,MIN(_xlfn.DAYS(EDATE(AA$1,1),Log_2020[[#This Row],[Date]]),Log_2020[[#This Row],[Split_apply]])) - SUM($O3:Z3)</f>
        <v>0</v>
      </c>
      <c r="AB3" s="85">
        <f ca="1">Log_2020[[#This Row],[Amount]]*Log_2020[[#This Row],[Split_apply]]/Log_2020[[#This Row],[Split_raw]]-SUM(O3:AA3)</f>
        <v>0</v>
      </c>
      <c r="AC3" s="74">
        <f>MAX(0,Log_2020[[#This Row],[Split_raw]] - (EDATE(AA$1,1)-Log_2020[[#This Row],[Date]]))</f>
        <v>120</v>
      </c>
    </row>
    <row r="4" spans="1:29" x14ac:dyDescent="0.25">
      <c r="A4" s="37"/>
      <c r="B4" s="34" t="s">
        <v>6</v>
      </c>
      <c r="C4" s="34"/>
      <c r="D4" s="35">
        <v>43975</v>
      </c>
      <c r="E4" s="34"/>
      <c r="F4" s="34" t="s">
        <v>1114</v>
      </c>
      <c r="G4" s="34" t="s">
        <v>25</v>
      </c>
      <c r="H4">
        <v>-46.61</v>
      </c>
      <c r="I4" s="36">
        <f>IF(Log_2020[[#This Row],[My Category]]="NONTRACKED",0,Log_2020[[#This Row],[Raw Amount]])</f>
        <v>-46.61</v>
      </c>
      <c r="J4" s="37">
        <f>ABS(Log_2020[[#This Row],[Amount]])</f>
        <v>46.61</v>
      </c>
      <c r="K4" s="38">
        <v>1</v>
      </c>
      <c r="L4" s="38">
        <f ca="1">IF(Log_2020[[#This Row],[Date]]&lt;=TODAY(), MIN(Log_2020[[#This Row],[Split_raw]], TODAY()-Log_2020[[#This Row],[Date]]+1), 0)</f>
        <v>1</v>
      </c>
      <c r="M4" s="34" t="s">
        <v>35</v>
      </c>
      <c r="N4" s="34" t="s">
        <v>158</v>
      </c>
      <c r="O4" s="7"/>
      <c r="P4" s="58">
        <f ca="1">Log_2020[[#This Row],[Amount]]/Log_2020[[#This Row],[Split_raw]]*MAX(0,MIN(_xlfn.DAYS(EDATE(P$1,1),Log_2020[[#This Row],[Date]]),Log_2020[[#This Row],[Split_apply]])) - SUM($O4:O4)</f>
        <v>0</v>
      </c>
      <c r="Q4" s="58">
        <f ca="1">Log_2020[[#This Row],[Amount]]/Log_2020[[#This Row],[Split_raw]]*MAX(0,MIN(_xlfn.DAYS(EDATE(Q$1,1),Log_2020[[#This Row],[Date]]),Log_2020[[#This Row],[Split_apply]])) - SUM($O4:P4)</f>
        <v>0</v>
      </c>
      <c r="R4" s="58">
        <f ca="1">Log_2020[[#This Row],[Amount]]/Log_2020[[#This Row],[Split_raw]]*MAX(0,MIN(_xlfn.DAYS(EDATE(R$1,1),Log_2020[[#This Row],[Date]]),Log_2020[[#This Row],[Split_apply]])) - SUM($O4:Q4)</f>
        <v>0</v>
      </c>
      <c r="S4" s="58">
        <f ca="1">Log_2020[[#This Row],[Amount]]/Log_2020[[#This Row],[Split_raw]]*MAX(0,MIN(_xlfn.DAYS(EDATE(S$1,1),Log_2020[[#This Row],[Date]]),Log_2020[[#This Row],[Split_apply]])) - SUM($O4:R4)</f>
        <v>0</v>
      </c>
      <c r="T4" s="58">
        <f ca="1">Log_2020[[#This Row],[Amount]]/Log_2020[[#This Row],[Split_raw]]*MAX(0,MIN(_xlfn.DAYS(EDATE(T$1,1),Log_2020[[#This Row],[Date]]),Log_2020[[#This Row],[Split_apply]])) - SUM($O4:S4)</f>
        <v>-46.61</v>
      </c>
      <c r="U4" s="58">
        <f ca="1">Log_2020[[#This Row],[Amount]]/Log_2020[[#This Row],[Split_raw]]*MAX(0,MIN(_xlfn.DAYS(EDATE(U$1,1),Log_2020[[#This Row],[Date]]),Log_2020[[#This Row],[Split_apply]])) - SUM($O4:T4)</f>
        <v>0</v>
      </c>
      <c r="V4" s="58">
        <f ca="1">Log_2020[[#This Row],[Amount]]/Log_2020[[#This Row],[Split_raw]]*MAX(0,MIN(_xlfn.DAYS(EDATE(V$1,1),Log_2020[[#This Row],[Date]]),Log_2020[[#This Row],[Split_apply]])) - SUM($O4:U4)</f>
        <v>0</v>
      </c>
      <c r="W4" s="58">
        <f ca="1">Log_2020[[#This Row],[Amount]]/Log_2020[[#This Row],[Split_raw]]*MAX(0,MIN(_xlfn.DAYS(EDATE(W$1,1),Log_2020[[#This Row],[Date]]),Log_2020[[#This Row],[Split_apply]])) - SUM($O4:V4)</f>
        <v>0</v>
      </c>
      <c r="X4" s="58">
        <f ca="1">Log_2020[[#This Row],[Amount]]/Log_2020[[#This Row],[Split_raw]]*MAX(0,MIN(_xlfn.DAYS(EDATE(X$1,1),Log_2020[[#This Row],[Date]]),Log_2020[[#This Row],[Split_apply]])) - SUM($O4:W4)</f>
        <v>0</v>
      </c>
      <c r="Y4" s="58">
        <f ca="1">Log_2020[[#This Row],[Amount]]/Log_2020[[#This Row],[Split_raw]]*MAX(0,MIN(_xlfn.DAYS(EDATE(Y$1,1),Log_2020[[#This Row],[Date]]),Log_2020[[#This Row],[Split_apply]])) - SUM($O4:X4)</f>
        <v>0</v>
      </c>
      <c r="Z4" s="58">
        <f ca="1">Log_2020[[#This Row],[Amount]]/Log_2020[[#This Row],[Split_raw]]*MAX(0,MIN(_xlfn.DAYS(EDATE(Z$1,1),Log_2020[[#This Row],[Date]]),Log_2020[[#This Row],[Split_apply]])) - SUM($O4:Y4)</f>
        <v>0</v>
      </c>
      <c r="AA4" s="58">
        <f ca="1">Log_2020[[#This Row],[Amount]]/Log_2020[[#This Row],[Split_raw]]*MAX(0,MIN(_xlfn.DAYS(EDATE(AA$1,1),Log_2020[[#This Row],[Date]]),Log_2020[[#This Row],[Split_apply]])) - SUM($O4:Z4)</f>
        <v>0</v>
      </c>
      <c r="AB4" s="85">
        <f ca="1">Log_2020[[#This Row],[Amount]]*Log_2020[[#This Row],[Split_apply]]/Log_2020[[#This Row],[Split_raw]]-SUM(O4:AA4)</f>
        <v>0</v>
      </c>
      <c r="AC4" s="74">
        <f>MAX(0,Log_2020[[#This Row],[Split_raw]] - (EDATE(AA$1,1)-Log_2020[[#This Row],[Date]]))</f>
        <v>0</v>
      </c>
    </row>
    <row r="5" spans="1:29" x14ac:dyDescent="0.25">
      <c r="A5" s="37"/>
      <c r="B5" s="34" t="s">
        <v>6</v>
      </c>
      <c r="C5" s="34"/>
      <c r="D5" s="35">
        <v>43973</v>
      </c>
      <c r="E5" s="34"/>
      <c r="F5" s="34" t="s">
        <v>581</v>
      </c>
      <c r="G5" s="34" t="s">
        <v>582</v>
      </c>
      <c r="H5">
        <v>-67.95</v>
      </c>
      <c r="I5" s="36">
        <f>IF(Log_2020[[#This Row],[My Category]]="NONTRACKED",0,Log_2020[[#This Row],[Raw Amount]])</f>
        <v>-67.95</v>
      </c>
      <c r="J5" s="37">
        <f>ABS(Log_2020[[#This Row],[Amount]])</f>
        <v>67.95</v>
      </c>
      <c r="K5" s="38">
        <v>30</v>
      </c>
      <c r="L5" s="38">
        <f ca="1">IF(Log_2020[[#This Row],[Date]]&lt;=TODAY(), MIN(Log_2020[[#This Row],[Split_raw]], TODAY()-Log_2020[[#This Row],[Date]]+1), 0)</f>
        <v>30</v>
      </c>
      <c r="M5" s="34" t="s">
        <v>30</v>
      </c>
      <c r="N5" s="34" t="s">
        <v>160</v>
      </c>
      <c r="O5" s="7"/>
      <c r="P5" s="58">
        <f ca="1">Log_2020[[#This Row],[Amount]]/Log_2020[[#This Row],[Split_raw]]*MAX(0,MIN(_xlfn.DAYS(EDATE(P$1,1),Log_2020[[#This Row],[Date]]),Log_2020[[#This Row],[Split_apply]])) - SUM($O5:O5)</f>
        <v>0</v>
      </c>
      <c r="Q5" s="58">
        <f ca="1">Log_2020[[#This Row],[Amount]]/Log_2020[[#This Row],[Split_raw]]*MAX(0,MIN(_xlfn.DAYS(EDATE(Q$1,1),Log_2020[[#This Row],[Date]]),Log_2020[[#This Row],[Split_apply]])) - SUM($O5:P5)</f>
        <v>0</v>
      </c>
      <c r="R5" s="58">
        <f ca="1">Log_2020[[#This Row],[Amount]]/Log_2020[[#This Row],[Split_raw]]*MAX(0,MIN(_xlfn.DAYS(EDATE(R$1,1),Log_2020[[#This Row],[Date]]),Log_2020[[#This Row],[Split_apply]])) - SUM($O5:Q5)</f>
        <v>0</v>
      </c>
      <c r="S5" s="58">
        <f ca="1">Log_2020[[#This Row],[Amount]]/Log_2020[[#This Row],[Split_raw]]*MAX(0,MIN(_xlfn.DAYS(EDATE(S$1,1),Log_2020[[#This Row],[Date]]),Log_2020[[#This Row],[Split_apply]])) - SUM($O5:R5)</f>
        <v>0</v>
      </c>
      <c r="T5" s="58">
        <f ca="1">Log_2020[[#This Row],[Amount]]/Log_2020[[#This Row],[Split_raw]]*MAX(0,MIN(_xlfn.DAYS(EDATE(T$1,1),Log_2020[[#This Row],[Date]]),Log_2020[[#This Row],[Split_apply]])) - SUM($O5:S5)</f>
        <v>-22.650000000000002</v>
      </c>
      <c r="U5" s="58">
        <f ca="1">Log_2020[[#This Row],[Amount]]/Log_2020[[#This Row],[Split_raw]]*MAX(0,MIN(_xlfn.DAYS(EDATE(U$1,1),Log_2020[[#This Row],[Date]]),Log_2020[[#This Row],[Split_apply]])) - SUM($O5:T5)</f>
        <v>-45.3</v>
      </c>
      <c r="V5" s="58">
        <f ca="1">Log_2020[[#This Row],[Amount]]/Log_2020[[#This Row],[Split_raw]]*MAX(0,MIN(_xlfn.DAYS(EDATE(V$1,1),Log_2020[[#This Row],[Date]]),Log_2020[[#This Row],[Split_apply]])) - SUM($O5:U5)</f>
        <v>0</v>
      </c>
      <c r="W5" s="58">
        <f ca="1">Log_2020[[#This Row],[Amount]]/Log_2020[[#This Row],[Split_raw]]*MAX(0,MIN(_xlfn.DAYS(EDATE(W$1,1),Log_2020[[#This Row],[Date]]),Log_2020[[#This Row],[Split_apply]])) - SUM($O5:V5)</f>
        <v>0</v>
      </c>
      <c r="X5" s="58">
        <f ca="1">Log_2020[[#This Row],[Amount]]/Log_2020[[#This Row],[Split_raw]]*MAX(0,MIN(_xlfn.DAYS(EDATE(X$1,1),Log_2020[[#This Row],[Date]]),Log_2020[[#This Row],[Split_apply]])) - SUM($O5:W5)</f>
        <v>0</v>
      </c>
      <c r="Y5" s="58">
        <f ca="1">Log_2020[[#This Row],[Amount]]/Log_2020[[#This Row],[Split_raw]]*MAX(0,MIN(_xlfn.DAYS(EDATE(Y$1,1),Log_2020[[#This Row],[Date]]),Log_2020[[#This Row],[Split_apply]])) - SUM($O5:X5)</f>
        <v>0</v>
      </c>
      <c r="Z5" s="58">
        <f ca="1">Log_2020[[#This Row],[Amount]]/Log_2020[[#This Row],[Split_raw]]*MAX(0,MIN(_xlfn.DAYS(EDATE(Z$1,1),Log_2020[[#This Row],[Date]]),Log_2020[[#This Row],[Split_apply]])) - SUM($O5:Y5)</f>
        <v>0</v>
      </c>
      <c r="AA5" s="58">
        <f ca="1">Log_2020[[#This Row],[Amount]]/Log_2020[[#This Row],[Split_raw]]*MAX(0,MIN(_xlfn.DAYS(EDATE(AA$1,1),Log_2020[[#This Row],[Date]]),Log_2020[[#This Row],[Split_apply]])) - SUM($O5:Z5)</f>
        <v>0</v>
      </c>
      <c r="AB5" s="85">
        <f ca="1">Log_2020[[#This Row],[Amount]]*Log_2020[[#This Row],[Split_apply]]/Log_2020[[#This Row],[Split_raw]]-SUM(O5:AA5)</f>
        <v>0</v>
      </c>
      <c r="AC5" s="74">
        <f>MAX(0,Log_2020[[#This Row],[Split_raw]] - (EDATE(AA$1,1)-Log_2020[[#This Row],[Date]]))</f>
        <v>0</v>
      </c>
    </row>
    <row r="6" spans="1:29" x14ac:dyDescent="0.25">
      <c r="A6" s="37"/>
      <c r="B6" s="34" t="s">
        <v>6</v>
      </c>
      <c r="C6" s="34"/>
      <c r="D6" s="35">
        <v>43972</v>
      </c>
      <c r="E6" s="34"/>
      <c r="F6" s="34" t="s">
        <v>847</v>
      </c>
      <c r="G6" s="34" t="s">
        <v>747</v>
      </c>
      <c r="H6">
        <f>--1902.8</f>
        <v>1902.8</v>
      </c>
      <c r="I6" s="36">
        <f>IF(Log_2020[[#This Row],[My Category]]="NONTRACKED",0,Log_2020[[#This Row],[Raw Amount]])</f>
        <v>1902.8</v>
      </c>
      <c r="J6" s="37">
        <f>ABS(Log_2020[[#This Row],[Amount]])</f>
        <v>1902.8</v>
      </c>
      <c r="K6" s="38">
        <v>14</v>
      </c>
      <c r="L6" s="38">
        <f ca="1">IF(Log_2020[[#This Row],[Date]]&lt;=TODAY(), MIN(Log_2020[[#This Row],[Split_raw]], TODAY()-Log_2020[[#This Row],[Date]]+1), 0)</f>
        <v>14</v>
      </c>
      <c r="M6" s="34" t="s">
        <v>91</v>
      </c>
      <c r="N6" s="34" t="s">
        <v>160</v>
      </c>
      <c r="O6" s="7"/>
      <c r="P6" s="58">
        <f ca="1">Log_2020[[#This Row],[Amount]]/Log_2020[[#This Row],[Split_raw]]*MAX(0,MIN(_xlfn.DAYS(EDATE(P$1,1),Log_2020[[#This Row],[Date]]),Log_2020[[#This Row],[Split_apply]])) - SUM($O6:O6)</f>
        <v>0</v>
      </c>
      <c r="Q6" s="58">
        <f ca="1">Log_2020[[#This Row],[Amount]]/Log_2020[[#This Row],[Split_raw]]*MAX(0,MIN(_xlfn.DAYS(EDATE(Q$1,1),Log_2020[[#This Row],[Date]]),Log_2020[[#This Row],[Split_apply]])) - SUM($O6:P6)</f>
        <v>0</v>
      </c>
      <c r="R6" s="58">
        <f ca="1">Log_2020[[#This Row],[Amount]]/Log_2020[[#This Row],[Split_raw]]*MAX(0,MIN(_xlfn.DAYS(EDATE(R$1,1),Log_2020[[#This Row],[Date]]),Log_2020[[#This Row],[Split_apply]])) - SUM($O6:Q6)</f>
        <v>0</v>
      </c>
      <c r="S6" s="58">
        <f ca="1">Log_2020[[#This Row],[Amount]]/Log_2020[[#This Row],[Split_raw]]*MAX(0,MIN(_xlfn.DAYS(EDATE(S$1,1),Log_2020[[#This Row],[Date]]),Log_2020[[#This Row],[Split_apply]])) - SUM($O6:R6)</f>
        <v>0</v>
      </c>
      <c r="T6" s="58">
        <f ca="1">Log_2020[[#This Row],[Amount]]/Log_2020[[#This Row],[Split_raw]]*MAX(0,MIN(_xlfn.DAYS(EDATE(T$1,1),Log_2020[[#This Row],[Date]]),Log_2020[[#This Row],[Split_apply]])) - SUM($O6:S6)</f>
        <v>1495.0571428571429</v>
      </c>
      <c r="U6" s="58">
        <f ca="1">Log_2020[[#This Row],[Amount]]/Log_2020[[#This Row],[Split_raw]]*MAX(0,MIN(_xlfn.DAYS(EDATE(U$1,1),Log_2020[[#This Row],[Date]]),Log_2020[[#This Row],[Split_apply]])) - SUM($O6:T6)</f>
        <v>407.74285714285702</v>
      </c>
      <c r="V6" s="58">
        <f ca="1">Log_2020[[#This Row],[Amount]]/Log_2020[[#This Row],[Split_raw]]*MAX(0,MIN(_xlfn.DAYS(EDATE(V$1,1),Log_2020[[#This Row],[Date]]),Log_2020[[#This Row],[Split_apply]])) - SUM($O6:U6)</f>
        <v>0</v>
      </c>
      <c r="W6" s="58">
        <f ca="1">Log_2020[[#This Row],[Amount]]/Log_2020[[#This Row],[Split_raw]]*MAX(0,MIN(_xlfn.DAYS(EDATE(W$1,1),Log_2020[[#This Row],[Date]]),Log_2020[[#This Row],[Split_apply]])) - SUM($O6:V6)</f>
        <v>0</v>
      </c>
      <c r="X6" s="58">
        <f ca="1">Log_2020[[#This Row],[Amount]]/Log_2020[[#This Row],[Split_raw]]*MAX(0,MIN(_xlfn.DAYS(EDATE(X$1,1),Log_2020[[#This Row],[Date]]),Log_2020[[#This Row],[Split_apply]])) - SUM($O6:W6)</f>
        <v>0</v>
      </c>
      <c r="Y6" s="58">
        <f ca="1">Log_2020[[#This Row],[Amount]]/Log_2020[[#This Row],[Split_raw]]*MAX(0,MIN(_xlfn.DAYS(EDATE(Y$1,1),Log_2020[[#This Row],[Date]]),Log_2020[[#This Row],[Split_apply]])) - SUM($O6:X6)</f>
        <v>0</v>
      </c>
      <c r="Z6" s="58">
        <f ca="1">Log_2020[[#This Row],[Amount]]/Log_2020[[#This Row],[Split_raw]]*MAX(0,MIN(_xlfn.DAYS(EDATE(Z$1,1),Log_2020[[#This Row],[Date]]),Log_2020[[#This Row],[Split_apply]])) - SUM($O6:Y6)</f>
        <v>0</v>
      </c>
      <c r="AA6" s="58">
        <f ca="1">Log_2020[[#This Row],[Amount]]/Log_2020[[#This Row],[Split_raw]]*MAX(0,MIN(_xlfn.DAYS(EDATE(AA$1,1),Log_2020[[#This Row],[Date]]),Log_2020[[#This Row],[Split_apply]])) - SUM($O6:Z6)</f>
        <v>0</v>
      </c>
      <c r="AB6" s="85">
        <f ca="1">Log_2020[[#This Row],[Amount]]*Log_2020[[#This Row],[Split_apply]]/Log_2020[[#This Row],[Split_raw]]-SUM(O6:AA6)</f>
        <v>0</v>
      </c>
      <c r="AC6" s="74">
        <f>MAX(0,Log_2020[[#This Row],[Split_raw]] - (EDATE(AA$1,1)-Log_2020[[#This Row],[Date]]))</f>
        <v>0</v>
      </c>
    </row>
    <row r="7" spans="1:29" x14ac:dyDescent="0.25">
      <c r="A7" s="37"/>
      <c r="B7" s="34" t="s">
        <v>6</v>
      </c>
      <c r="C7" s="34"/>
      <c r="D7" s="35">
        <v>43971</v>
      </c>
      <c r="E7" s="34"/>
      <c r="F7" s="34" t="s">
        <v>1102</v>
      </c>
      <c r="G7" s="34" t="s">
        <v>82</v>
      </c>
      <c r="H7">
        <v>-1000</v>
      </c>
      <c r="I7" s="36">
        <f>IF(Log_2020[[#This Row],[My Category]]="NONTRACKED",0,Log_2020[[#This Row],[Raw Amount]])</f>
        <v>0</v>
      </c>
      <c r="J7" s="37">
        <f>ABS(Log_2020[[#This Row],[Amount]])</f>
        <v>0</v>
      </c>
      <c r="K7" s="38">
        <v>1</v>
      </c>
      <c r="L7" s="38">
        <f ca="1">IF(Log_2020[[#This Row],[Date]]&lt;=TODAY(), MIN(Log_2020[[#This Row],[Split_raw]], TODAY()-Log_2020[[#This Row],[Date]]+1), 0)</f>
        <v>1</v>
      </c>
      <c r="M7" s="34" t="s">
        <v>755</v>
      </c>
      <c r="N7" s="34" t="s">
        <v>160</v>
      </c>
      <c r="O7" s="7"/>
      <c r="P7" s="58">
        <f ca="1">Log_2020[[#This Row],[Amount]]/Log_2020[[#This Row],[Split_raw]]*MAX(0,MIN(_xlfn.DAYS(EDATE(P$1,1),Log_2020[[#This Row],[Date]]),Log_2020[[#This Row],[Split_apply]])) - SUM($O7:O7)</f>
        <v>0</v>
      </c>
      <c r="Q7" s="58">
        <f ca="1">Log_2020[[#This Row],[Amount]]/Log_2020[[#This Row],[Split_raw]]*MAX(0,MIN(_xlfn.DAYS(EDATE(Q$1,1),Log_2020[[#This Row],[Date]]),Log_2020[[#This Row],[Split_apply]])) - SUM($O7:P7)</f>
        <v>0</v>
      </c>
      <c r="R7" s="58">
        <f ca="1">Log_2020[[#This Row],[Amount]]/Log_2020[[#This Row],[Split_raw]]*MAX(0,MIN(_xlfn.DAYS(EDATE(R$1,1),Log_2020[[#This Row],[Date]]),Log_2020[[#This Row],[Split_apply]])) - SUM($O7:Q7)</f>
        <v>0</v>
      </c>
      <c r="S7" s="58">
        <f ca="1">Log_2020[[#This Row],[Amount]]/Log_2020[[#This Row],[Split_raw]]*MAX(0,MIN(_xlfn.DAYS(EDATE(S$1,1),Log_2020[[#This Row],[Date]]),Log_2020[[#This Row],[Split_apply]])) - SUM($O7:R7)</f>
        <v>0</v>
      </c>
      <c r="T7" s="58">
        <f ca="1">Log_2020[[#This Row],[Amount]]/Log_2020[[#This Row],[Split_raw]]*MAX(0,MIN(_xlfn.DAYS(EDATE(T$1,1),Log_2020[[#This Row],[Date]]),Log_2020[[#This Row],[Split_apply]])) - SUM($O7:S7)</f>
        <v>0</v>
      </c>
      <c r="U7" s="58">
        <f ca="1">Log_2020[[#This Row],[Amount]]/Log_2020[[#This Row],[Split_raw]]*MAX(0,MIN(_xlfn.DAYS(EDATE(U$1,1),Log_2020[[#This Row],[Date]]),Log_2020[[#This Row],[Split_apply]])) - SUM($O7:T7)</f>
        <v>0</v>
      </c>
      <c r="V7" s="58">
        <f ca="1">Log_2020[[#This Row],[Amount]]/Log_2020[[#This Row],[Split_raw]]*MAX(0,MIN(_xlfn.DAYS(EDATE(V$1,1),Log_2020[[#This Row],[Date]]),Log_2020[[#This Row],[Split_apply]])) - SUM($O7:U7)</f>
        <v>0</v>
      </c>
      <c r="W7" s="58">
        <f ca="1">Log_2020[[#This Row],[Amount]]/Log_2020[[#This Row],[Split_raw]]*MAX(0,MIN(_xlfn.DAYS(EDATE(W$1,1),Log_2020[[#This Row],[Date]]),Log_2020[[#This Row],[Split_apply]])) - SUM($O7:V7)</f>
        <v>0</v>
      </c>
      <c r="X7" s="58">
        <f ca="1">Log_2020[[#This Row],[Amount]]/Log_2020[[#This Row],[Split_raw]]*MAX(0,MIN(_xlfn.DAYS(EDATE(X$1,1),Log_2020[[#This Row],[Date]]),Log_2020[[#This Row],[Split_apply]])) - SUM($O7:W7)</f>
        <v>0</v>
      </c>
      <c r="Y7" s="58">
        <f ca="1">Log_2020[[#This Row],[Amount]]/Log_2020[[#This Row],[Split_raw]]*MAX(0,MIN(_xlfn.DAYS(EDATE(Y$1,1),Log_2020[[#This Row],[Date]]),Log_2020[[#This Row],[Split_apply]])) - SUM($O7:X7)</f>
        <v>0</v>
      </c>
      <c r="Z7" s="58">
        <f ca="1">Log_2020[[#This Row],[Amount]]/Log_2020[[#This Row],[Split_raw]]*MAX(0,MIN(_xlfn.DAYS(EDATE(Z$1,1),Log_2020[[#This Row],[Date]]),Log_2020[[#This Row],[Split_apply]])) - SUM($O7:Y7)</f>
        <v>0</v>
      </c>
      <c r="AA7" s="58">
        <f ca="1">Log_2020[[#This Row],[Amount]]/Log_2020[[#This Row],[Split_raw]]*MAX(0,MIN(_xlfn.DAYS(EDATE(AA$1,1),Log_2020[[#This Row],[Date]]),Log_2020[[#This Row],[Split_apply]])) - SUM($O7:Z7)</f>
        <v>0</v>
      </c>
      <c r="AB7" s="85">
        <f ca="1">Log_2020[[#This Row],[Amount]]*Log_2020[[#This Row],[Split_apply]]/Log_2020[[#This Row],[Split_raw]]-SUM(O7:AA7)</f>
        <v>0</v>
      </c>
      <c r="AC7" s="74">
        <f>MAX(0,Log_2020[[#This Row],[Split_raw]] - (EDATE(AA$1,1)-Log_2020[[#This Row],[Date]]))</f>
        <v>0</v>
      </c>
    </row>
    <row r="8" spans="1:29" x14ac:dyDescent="0.25">
      <c r="A8" s="37"/>
      <c r="B8" s="34" t="s">
        <v>6</v>
      </c>
      <c r="C8" s="34"/>
      <c r="D8" s="35">
        <v>43971</v>
      </c>
      <c r="E8" s="34"/>
      <c r="F8" s="34" t="s">
        <v>1103</v>
      </c>
      <c r="G8" s="34" t="s">
        <v>82</v>
      </c>
      <c r="H8">
        <v>-0.44</v>
      </c>
      <c r="I8" s="36">
        <f>IF(Log_2020[[#This Row],[My Category]]="NONTRACKED",0,Log_2020[[#This Row],[Raw Amount]])</f>
        <v>0</v>
      </c>
      <c r="J8" s="37">
        <f>ABS(Log_2020[[#This Row],[Amount]])</f>
        <v>0</v>
      </c>
      <c r="K8" s="38">
        <v>1</v>
      </c>
      <c r="L8" s="38">
        <f ca="1">IF(Log_2020[[#This Row],[Date]]&lt;=TODAY(), MIN(Log_2020[[#This Row],[Split_raw]], TODAY()-Log_2020[[#This Row],[Date]]+1), 0)</f>
        <v>1</v>
      </c>
      <c r="M8" s="34" t="s">
        <v>755</v>
      </c>
      <c r="N8" s="34" t="s">
        <v>160</v>
      </c>
      <c r="O8" s="7"/>
      <c r="P8" s="58">
        <f ca="1">Log_2020[[#This Row],[Amount]]/Log_2020[[#This Row],[Split_raw]]*MAX(0,MIN(_xlfn.DAYS(EDATE(P$1,1),Log_2020[[#This Row],[Date]]),Log_2020[[#This Row],[Split_apply]])) - SUM($O8:O8)</f>
        <v>0</v>
      </c>
      <c r="Q8" s="58">
        <f ca="1">Log_2020[[#This Row],[Amount]]/Log_2020[[#This Row],[Split_raw]]*MAX(0,MIN(_xlfn.DAYS(EDATE(Q$1,1),Log_2020[[#This Row],[Date]]),Log_2020[[#This Row],[Split_apply]])) - SUM($O8:P8)</f>
        <v>0</v>
      </c>
      <c r="R8" s="58">
        <f ca="1">Log_2020[[#This Row],[Amount]]/Log_2020[[#This Row],[Split_raw]]*MAX(0,MIN(_xlfn.DAYS(EDATE(R$1,1),Log_2020[[#This Row],[Date]]),Log_2020[[#This Row],[Split_apply]])) - SUM($O8:Q8)</f>
        <v>0</v>
      </c>
      <c r="S8" s="58">
        <f ca="1">Log_2020[[#This Row],[Amount]]/Log_2020[[#This Row],[Split_raw]]*MAX(0,MIN(_xlfn.DAYS(EDATE(S$1,1),Log_2020[[#This Row],[Date]]),Log_2020[[#This Row],[Split_apply]])) - SUM($O8:R8)</f>
        <v>0</v>
      </c>
      <c r="T8" s="58">
        <f ca="1">Log_2020[[#This Row],[Amount]]/Log_2020[[#This Row],[Split_raw]]*MAX(0,MIN(_xlfn.DAYS(EDATE(T$1,1),Log_2020[[#This Row],[Date]]),Log_2020[[#This Row],[Split_apply]])) - SUM($O8:S8)</f>
        <v>0</v>
      </c>
      <c r="U8" s="58">
        <f ca="1">Log_2020[[#This Row],[Amount]]/Log_2020[[#This Row],[Split_raw]]*MAX(0,MIN(_xlfn.DAYS(EDATE(U$1,1),Log_2020[[#This Row],[Date]]),Log_2020[[#This Row],[Split_apply]])) - SUM($O8:T8)</f>
        <v>0</v>
      </c>
      <c r="V8" s="58">
        <f ca="1">Log_2020[[#This Row],[Amount]]/Log_2020[[#This Row],[Split_raw]]*MAX(0,MIN(_xlfn.DAYS(EDATE(V$1,1),Log_2020[[#This Row],[Date]]),Log_2020[[#This Row],[Split_apply]])) - SUM($O8:U8)</f>
        <v>0</v>
      </c>
      <c r="W8" s="58">
        <f ca="1">Log_2020[[#This Row],[Amount]]/Log_2020[[#This Row],[Split_raw]]*MAX(0,MIN(_xlfn.DAYS(EDATE(W$1,1),Log_2020[[#This Row],[Date]]),Log_2020[[#This Row],[Split_apply]])) - SUM($O8:V8)</f>
        <v>0</v>
      </c>
      <c r="X8" s="58">
        <f ca="1">Log_2020[[#This Row],[Amount]]/Log_2020[[#This Row],[Split_raw]]*MAX(0,MIN(_xlfn.DAYS(EDATE(X$1,1),Log_2020[[#This Row],[Date]]),Log_2020[[#This Row],[Split_apply]])) - SUM($O8:W8)</f>
        <v>0</v>
      </c>
      <c r="Y8" s="58">
        <f ca="1">Log_2020[[#This Row],[Amount]]/Log_2020[[#This Row],[Split_raw]]*MAX(0,MIN(_xlfn.DAYS(EDATE(Y$1,1),Log_2020[[#This Row],[Date]]),Log_2020[[#This Row],[Split_apply]])) - SUM($O8:X8)</f>
        <v>0</v>
      </c>
      <c r="Z8" s="58">
        <f ca="1">Log_2020[[#This Row],[Amount]]/Log_2020[[#This Row],[Split_raw]]*MAX(0,MIN(_xlfn.DAYS(EDATE(Z$1,1),Log_2020[[#This Row],[Date]]),Log_2020[[#This Row],[Split_apply]])) - SUM($O8:Y8)</f>
        <v>0</v>
      </c>
      <c r="AA8" s="58">
        <f ca="1">Log_2020[[#This Row],[Amount]]/Log_2020[[#This Row],[Split_raw]]*MAX(0,MIN(_xlfn.DAYS(EDATE(AA$1,1),Log_2020[[#This Row],[Date]]),Log_2020[[#This Row],[Split_apply]])) - SUM($O8:Z8)</f>
        <v>0</v>
      </c>
      <c r="AB8" s="85">
        <f ca="1">Log_2020[[#This Row],[Amount]]*Log_2020[[#This Row],[Split_apply]]/Log_2020[[#This Row],[Split_raw]]-SUM(O8:AA8)</f>
        <v>0</v>
      </c>
      <c r="AC8" s="74">
        <f>MAX(0,Log_2020[[#This Row],[Split_raw]] - (EDATE(AA$1,1)-Log_2020[[#This Row],[Date]]))</f>
        <v>0</v>
      </c>
    </row>
    <row r="9" spans="1:29" x14ac:dyDescent="0.25">
      <c r="A9" s="37"/>
      <c r="B9" s="34" t="s">
        <v>6</v>
      </c>
      <c r="C9" s="34"/>
      <c r="D9" s="35">
        <v>43971</v>
      </c>
      <c r="E9" s="34"/>
      <c r="F9" s="34" t="s">
        <v>1104</v>
      </c>
      <c r="G9" s="34" t="s">
        <v>82</v>
      </c>
      <c r="H9">
        <v>-0.26</v>
      </c>
      <c r="I9" s="36">
        <f>IF(Log_2020[[#This Row],[My Category]]="NONTRACKED",0,Log_2020[[#This Row],[Raw Amount]])</f>
        <v>0</v>
      </c>
      <c r="J9" s="37">
        <f>ABS(Log_2020[[#This Row],[Amount]])</f>
        <v>0</v>
      </c>
      <c r="K9" s="38">
        <v>1</v>
      </c>
      <c r="L9" s="38">
        <f ca="1">IF(Log_2020[[#This Row],[Date]]&lt;=TODAY(), MIN(Log_2020[[#This Row],[Split_raw]], TODAY()-Log_2020[[#This Row],[Date]]+1), 0)</f>
        <v>1</v>
      </c>
      <c r="M9" s="34" t="s">
        <v>755</v>
      </c>
      <c r="N9" s="34" t="s">
        <v>160</v>
      </c>
      <c r="O9" s="7"/>
      <c r="P9" s="58">
        <f ca="1">Log_2020[[#This Row],[Amount]]/Log_2020[[#This Row],[Split_raw]]*MAX(0,MIN(_xlfn.DAYS(EDATE(P$1,1),Log_2020[[#This Row],[Date]]),Log_2020[[#This Row],[Split_apply]])) - SUM($O9:O9)</f>
        <v>0</v>
      </c>
      <c r="Q9" s="58">
        <f ca="1">Log_2020[[#This Row],[Amount]]/Log_2020[[#This Row],[Split_raw]]*MAX(0,MIN(_xlfn.DAYS(EDATE(Q$1,1),Log_2020[[#This Row],[Date]]),Log_2020[[#This Row],[Split_apply]])) - SUM($O9:P9)</f>
        <v>0</v>
      </c>
      <c r="R9" s="58">
        <f ca="1">Log_2020[[#This Row],[Amount]]/Log_2020[[#This Row],[Split_raw]]*MAX(0,MIN(_xlfn.DAYS(EDATE(R$1,1),Log_2020[[#This Row],[Date]]),Log_2020[[#This Row],[Split_apply]])) - SUM($O9:Q9)</f>
        <v>0</v>
      </c>
      <c r="S9" s="58">
        <f ca="1">Log_2020[[#This Row],[Amount]]/Log_2020[[#This Row],[Split_raw]]*MAX(0,MIN(_xlfn.DAYS(EDATE(S$1,1),Log_2020[[#This Row],[Date]]),Log_2020[[#This Row],[Split_apply]])) - SUM($O9:R9)</f>
        <v>0</v>
      </c>
      <c r="T9" s="58">
        <f ca="1">Log_2020[[#This Row],[Amount]]/Log_2020[[#This Row],[Split_raw]]*MAX(0,MIN(_xlfn.DAYS(EDATE(T$1,1),Log_2020[[#This Row],[Date]]),Log_2020[[#This Row],[Split_apply]])) - SUM($O9:S9)</f>
        <v>0</v>
      </c>
      <c r="U9" s="58">
        <f ca="1">Log_2020[[#This Row],[Amount]]/Log_2020[[#This Row],[Split_raw]]*MAX(0,MIN(_xlfn.DAYS(EDATE(U$1,1),Log_2020[[#This Row],[Date]]),Log_2020[[#This Row],[Split_apply]])) - SUM($O9:T9)</f>
        <v>0</v>
      </c>
      <c r="V9" s="58">
        <f ca="1">Log_2020[[#This Row],[Amount]]/Log_2020[[#This Row],[Split_raw]]*MAX(0,MIN(_xlfn.DAYS(EDATE(V$1,1),Log_2020[[#This Row],[Date]]),Log_2020[[#This Row],[Split_apply]])) - SUM($O9:U9)</f>
        <v>0</v>
      </c>
      <c r="W9" s="58">
        <f ca="1">Log_2020[[#This Row],[Amount]]/Log_2020[[#This Row],[Split_raw]]*MAX(0,MIN(_xlfn.DAYS(EDATE(W$1,1),Log_2020[[#This Row],[Date]]),Log_2020[[#This Row],[Split_apply]])) - SUM($O9:V9)</f>
        <v>0</v>
      </c>
      <c r="X9" s="58">
        <f ca="1">Log_2020[[#This Row],[Amount]]/Log_2020[[#This Row],[Split_raw]]*MAX(0,MIN(_xlfn.DAYS(EDATE(X$1,1),Log_2020[[#This Row],[Date]]),Log_2020[[#This Row],[Split_apply]])) - SUM($O9:W9)</f>
        <v>0</v>
      </c>
      <c r="Y9" s="58">
        <f ca="1">Log_2020[[#This Row],[Amount]]/Log_2020[[#This Row],[Split_raw]]*MAX(0,MIN(_xlfn.DAYS(EDATE(Y$1,1),Log_2020[[#This Row],[Date]]),Log_2020[[#This Row],[Split_apply]])) - SUM($O9:X9)</f>
        <v>0</v>
      </c>
      <c r="Z9" s="58">
        <f ca="1">Log_2020[[#This Row],[Amount]]/Log_2020[[#This Row],[Split_raw]]*MAX(0,MIN(_xlfn.DAYS(EDATE(Z$1,1),Log_2020[[#This Row],[Date]]),Log_2020[[#This Row],[Split_apply]])) - SUM($O9:Y9)</f>
        <v>0</v>
      </c>
      <c r="AA9" s="58">
        <f ca="1">Log_2020[[#This Row],[Amount]]/Log_2020[[#This Row],[Split_raw]]*MAX(0,MIN(_xlfn.DAYS(EDATE(AA$1,1),Log_2020[[#This Row],[Date]]),Log_2020[[#This Row],[Split_apply]])) - SUM($O9:Z9)</f>
        <v>0</v>
      </c>
      <c r="AB9" s="85">
        <f ca="1">Log_2020[[#This Row],[Amount]]*Log_2020[[#This Row],[Split_apply]]/Log_2020[[#This Row],[Split_raw]]-SUM(O9:AA9)</f>
        <v>0</v>
      </c>
      <c r="AC9" s="74">
        <f>MAX(0,Log_2020[[#This Row],[Split_raw]] - (EDATE(AA$1,1)-Log_2020[[#This Row],[Date]]))</f>
        <v>0</v>
      </c>
    </row>
    <row r="10" spans="1:29" x14ac:dyDescent="0.25">
      <c r="A10" s="37"/>
      <c r="B10" s="34" t="s">
        <v>6</v>
      </c>
      <c r="C10" s="34"/>
      <c r="D10" s="35">
        <v>43971</v>
      </c>
      <c r="E10" s="34"/>
      <c r="F10" s="34" t="s">
        <v>1115</v>
      </c>
      <c r="G10" s="34" t="s">
        <v>11</v>
      </c>
      <c r="H10">
        <v>-15</v>
      </c>
      <c r="I10" s="36">
        <f>IF(Log_2020[[#This Row],[My Category]]="NONTRACKED",0,Log_2020[[#This Row],[Raw Amount]])</f>
        <v>-15</v>
      </c>
      <c r="J10" s="37">
        <f>ABS(Log_2020[[#This Row],[Amount]])</f>
        <v>15</v>
      </c>
      <c r="K10" s="38">
        <v>1</v>
      </c>
      <c r="L10" s="38">
        <f ca="1">IF(Log_2020[[#This Row],[Date]]&lt;=TODAY(), MIN(Log_2020[[#This Row],[Split_raw]], TODAY()-Log_2020[[#This Row],[Date]]+1), 0)</f>
        <v>1</v>
      </c>
      <c r="M10" s="34" t="s">
        <v>12</v>
      </c>
      <c r="N10" s="34" t="s">
        <v>158</v>
      </c>
      <c r="O10" s="7"/>
      <c r="P10" s="58">
        <f ca="1">Log_2020[[#This Row],[Amount]]/Log_2020[[#This Row],[Split_raw]]*MAX(0,MIN(_xlfn.DAYS(EDATE(P$1,1),Log_2020[[#This Row],[Date]]),Log_2020[[#This Row],[Split_apply]])) - SUM($O10:O10)</f>
        <v>0</v>
      </c>
      <c r="Q10" s="58">
        <f ca="1">Log_2020[[#This Row],[Amount]]/Log_2020[[#This Row],[Split_raw]]*MAX(0,MIN(_xlfn.DAYS(EDATE(Q$1,1),Log_2020[[#This Row],[Date]]),Log_2020[[#This Row],[Split_apply]])) - SUM($O10:P10)</f>
        <v>0</v>
      </c>
      <c r="R10" s="58">
        <f ca="1">Log_2020[[#This Row],[Amount]]/Log_2020[[#This Row],[Split_raw]]*MAX(0,MIN(_xlfn.DAYS(EDATE(R$1,1),Log_2020[[#This Row],[Date]]),Log_2020[[#This Row],[Split_apply]])) - SUM($O10:Q10)</f>
        <v>0</v>
      </c>
      <c r="S10" s="58">
        <f ca="1">Log_2020[[#This Row],[Amount]]/Log_2020[[#This Row],[Split_raw]]*MAX(0,MIN(_xlfn.DAYS(EDATE(S$1,1),Log_2020[[#This Row],[Date]]),Log_2020[[#This Row],[Split_apply]])) - SUM($O10:R10)</f>
        <v>0</v>
      </c>
      <c r="T10" s="58">
        <f ca="1">Log_2020[[#This Row],[Amount]]/Log_2020[[#This Row],[Split_raw]]*MAX(0,MIN(_xlfn.DAYS(EDATE(T$1,1),Log_2020[[#This Row],[Date]]),Log_2020[[#This Row],[Split_apply]])) - SUM($O10:S10)</f>
        <v>-15</v>
      </c>
      <c r="U10" s="58">
        <f ca="1">Log_2020[[#This Row],[Amount]]/Log_2020[[#This Row],[Split_raw]]*MAX(0,MIN(_xlfn.DAYS(EDATE(U$1,1),Log_2020[[#This Row],[Date]]),Log_2020[[#This Row],[Split_apply]])) - SUM($O10:T10)</f>
        <v>0</v>
      </c>
      <c r="V10" s="58">
        <f ca="1">Log_2020[[#This Row],[Amount]]/Log_2020[[#This Row],[Split_raw]]*MAX(0,MIN(_xlfn.DAYS(EDATE(V$1,1),Log_2020[[#This Row],[Date]]),Log_2020[[#This Row],[Split_apply]])) - SUM($O10:U10)</f>
        <v>0</v>
      </c>
      <c r="W10" s="58">
        <f ca="1">Log_2020[[#This Row],[Amount]]/Log_2020[[#This Row],[Split_raw]]*MAX(0,MIN(_xlfn.DAYS(EDATE(W$1,1),Log_2020[[#This Row],[Date]]),Log_2020[[#This Row],[Split_apply]])) - SUM($O10:V10)</f>
        <v>0</v>
      </c>
      <c r="X10" s="58">
        <f ca="1">Log_2020[[#This Row],[Amount]]/Log_2020[[#This Row],[Split_raw]]*MAX(0,MIN(_xlfn.DAYS(EDATE(X$1,1),Log_2020[[#This Row],[Date]]),Log_2020[[#This Row],[Split_apply]])) - SUM($O10:W10)</f>
        <v>0</v>
      </c>
      <c r="Y10" s="58">
        <f ca="1">Log_2020[[#This Row],[Amount]]/Log_2020[[#This Row],[Split_raw]]*MAX(0,MIN(_xlfn.DAYS(EDATE(Y$1,1),Log_2020[[#This Row],[Date]]),Log_2020[[#This Row],[Split_apply]])) - SUM($O10:X10)</f>
        <v>0</v>
      </c>
      <c r="Z10" s="58">
        <f ca="1">Log_2020[[#This Row],[Amount]]/Log_2020[[#This Row],[Split_raw]]*MAX(0,MIN(_xlfn.DAYS(EDATE(Z$1,1),Log_2020[[#This Row],[Date]]),Log_2020[[#This Row],[Split_apply]])) - SUM($O10:Y10)</f>
        <v>0</v>
      </c>
      <c r="AA10" s="58">
        <f ca="1">Log_2020[[#This Row],[Amount]]/Log_2020[[#This Row],[Split_raw]]*MAX(0,MIN(_xlfn.DAYS(EDATE(AA$1,1),Log_2020[[#This Row],[Date]]),Log_2020[[#This Row],[Split_apply]])) - SUM($O10:Z10)</f>
        <v>0</v>
      </c>
      <c r="AB10" s="85">
        <f ca="1">Log_2020[[#This Row],[Amount]]*Log_2020[[#This Row],[Split_apply]]/Log_2020[[#This Row],[Split_raw]]-SUM(O10:AA10)</f>
        <v>0</v>
      </c>
      <c r="AC10" s="74">
        <f>MAX(0,Log_2020[[#This Row],[Split_raw]] - (EDATE(AA$1,1)-Log_2020[[#This Row],[Date]]))</f>
        <v>0</v>
      </c>
    </row>
    <row r="11" spans="1:29" x14ac:dyDescent="0.25">
      <c r="A11" s="37"/>
      <c r="B11" s="34" t="s">
        <v>6</v>
      </c>
      <c r="C11" s="34"/>
      <c r="D11" s="35">
        <v>43970</v>
      </c>
      <c r="E11" s="34"/>
      <c r="F11" s="34" t="s">
        <v>1105</v>
      </c>
      <c r="G11" s="34" t="s">
        <v>82</v>
      </c>
      <c r="H11">
        <v>-0.25</v>
      </c>
      <c r="I11" s="36">
        <f>IF(Log_2020[[#This Row],[My Category]]="NONTRACKED",0,Log_2020[[#This Row],[Raw Amount]])</f>
        <v>0</v>
      </c>
      <c r="J11" s="37">
        <f>ABS(Log_2020[[#This Row],[Amount]])</f>
        <v>0</v>
      </c>
      <c r="K11" s="38">
        <v>1</v>
      </c>
      <c r="L11" s="38">
        <f ca="1">IF(Log_2020[[#This Row],[Date]]&lt;=TODAY(), MIN(Log_2020[[#This Row],[Split_raw]], TODAY()-Log_2020[[#This Row],[Date]]+1), 0)</f>
        <v>1</v>
      </c>
      <c r="M11" s="34" t="s">
        <v>755</v>
      </c>
      <c r="N11" s="34" t="s">
        <v>160</v>
      </c>
      <c r="O11" s="7"/>
      <c r="P11" s="58">
        <f ca="1">Log_2020[[#This Row],[Amount]]/Log_2020[[#This Row],[Split_raw]]*MAX(0,MIN(_xlfn.DAYS(EDATE(P$1,1),Log_2020[[#This Row],[Date]]),Log_2020[[#This Row],[Split_apply]])) - SUM($O11:O11)</f>
        <v>0</v>
      </c>
      <c r="Q11" s="58">
        <f ca="1">Log_2020[[#This Row],[Amount]]/Log_2020[[#This Row],[Split_raw]]*MAX(0,MIN(_xlfn.DAYS(EDATE(Q$1,1),Log_2020[[#This Row],[Date]]),Log_2020[[#This Row],[Split_apply]])) - SUM($O11:P11)</f>
        <v>0</v>
      </c>
      <c r="R11" s="58">
        <f ca="1">Log_2020[[#This Row],[Amount]]/Log_2020[[#This Row],[Split_raw]]*MAX(0,MIN(_xlfn.DAYS(EDATE(R$1,1),Log_2020[[#This Row],[Date]]),Log_2020[[#This Row],[Split_apply]])) - SUM($O11:Q11)</f>
        <v>0</v>
      </c>
      <c r="S11" s="58">
        <f ca="1">Log_2020[[#This Row],[Amount]]/Log_2020[[#This Row],[Split_raw]]*MAX(0,MIN(_xlfn.DAYS(EDATE(S$1,1),Log_2020[[#This Row],[Date]]),Log_2020[[#This Row],[Split_apply]])) - SUM($O11:R11)</f>
        <v>0</v>
      </c>
      <c r="T11" s="58">
        <f ca="1">Log_2020[[#This Row],[Amount]]/Log_2020[[#This Row],[Split_raw]]*MAX(0,MIN(_xlfn.DAYS(EDATE(T$1,1),Log_2020[[#This Row],[Date]]),Log_2020[[#This Row],[Split_apply]])) - SUM($O11:S11)</f>
        <v>0</v>
      </c>
      <c r="U11" s="58">
        <f ca="1">Log_2020[[#This Row],[Amount]]/Log_2020[[#This Row],[Split_raw]]*MAX(0,MIN(_xlfn.DAYS(EDATE(U$1,1),Log_2020[[#This Row],[Date]]),Log_2020[[#This Row],[Split_apply]])) - SUM($O11:T11)</f>
        <v>0</v>
      </c>
      <c r="V11" s="58">
        <f ca="1">Log_2020[[#This Row],[Amount]]/Log_2020[[#This Row],[Split_raw]]*MAX(0,MIN(_xlfn.DAYS(EDATE(V$1,1),Log_2020[[#This Row],[Date]]),Log_2020[[#This Row],[Split_apply]])) - SUM($O11:U11)</f>
        <v>0</v>
      </c>
      <c r="W11" s="58">
        <f ca="1">Log_2020[[#This Row],[Amount]]/Log_2020[[#This Row],[Split_raw]]*MAX(0,MIN(_xlfn.DAYS(EDATE(W$1,1),Log_2020[[#This Row],[Date]]),Log_2020[[#This Row],[Split_apply]])) - SUM($O11:V11)</f>
        <v>0</v>
      </c>
      <c r="X11" s="58">
        <f ca="1">Log_2020[[#This Row],[Amount]]/Log_2020[[#This Row],[Split_raw]]*MAX(0,MIN(_xlfn.DAYS(EDATE(X$1,1),Log_2020[[#This Row],[Date]]),Log_2020[[#This Row],[Split_apply]])) - SUM($O11:W11)</f>
        <v>0</v>
      </c>
      <c r="Y11" s="58">
        <f ca="1">Log_2020[[#This Row],[Amount]]/Log_2020[[#This Row],[Split_raw]]*MAX(0,MIN(_xlfn.DAYS(EDATE(Y$1,1),Log_2020[[#This Row],[Date]]),Log_2020[[#This Row],[Split_apply]])) - SUM($O11:X11)</f>
        <v>0</v>
      </c>
      <c r="Z11" s="58">
        <f ca="1">Log_2020[[#This Row],[Amount]]/Log_2020[[#This Row],[Split_raw]]*MAX(0,MIN(_xlfn.DAYS(EDATE(Z$1,1),Log_2020[[#This Row],[Date]]),Log_2020[[#This Row],[Split_apply]])) - SUM($O11:Y11)</f>
        <v>0</v>
      </c>
      <c r="AA11" s="58">
        <f ca="1">Log_2020[[#This Row],[Amount]]/Log_2020[[#This Row],[Split_raw]]*MAX(0,MIN(_xlfn.DAYS(EDATE(AA$1,1),Log_2020[[#This Row],[Date]]),Log_2020[[#This Row],[Split_apply]])) - SUM($O11:Z11)</f>
        <v>0</v>
      </c>
      <c r="AB11" s="85">
        <f ca="1">Log_2020[[#This Row],[Amount]]*Log_2020[[#This Row],[Split_apply]]/Log_2020[[#This Row],[Split_raw]]-SUM(O11:AA11)</f>
        <v>0</v>
      </c>
      <c r="AC11" s="74">
        <f>MAX(0,Log_2020[[#This Row],[Split_raw]] - (EDATE(AA$1,1)-Log_2020[[#This Row],[Date]]))</f>
        <v>0</v>
      </c>
    </row>
    <row r="12" spans="1:29" x14ac:dyDescent="0.25">
      <c r="A12" s="37"/>
      <c r="B12" s="34" t="s">
        <v>6</v>
      </c>
      <c r="C12" s="34"/>
      <c r="D12" s="35">
        <v>43970</v>
      </c>
      <c r="E12" s="34"/>
      <c r="F12" s="34" t="s">
        <v>1106</v>
      </c>
      <c r="G12" s="34" t="s">
        <v>82</v>
      </c>
      <c r="H12">
        <v>-0.13</v>
      </c>
      <c r="I12" s="36">
        <f>IF(Log_2020[[#This Row],[My Category]]="NONTRACKED",0,Log_2020[[#This Row],[Raw Amount]])</f>
        <v>0</v>
      </c>
      <c r="J12" s="37">
        <f>ABS(Log_2020[[#This Row],[Amount]])</f>
        <v>0</v>
      </c>
      <c r="K12" s="38">
        <v>1</v>
      </c>
      <c r="L12" s="38">
        <f ca="1">IF(Log_2020[[#This Row],[Date]]&lt;=TODAY(), MIN(Log_2020[[#This Row],[Split_raw]], TODAY()-Log_2020[[#This Row],[Date]]+1), 0)</f>
        <v>1</v>
      </c>
      <c r="M12" s="34" t="s">
        <v>755</v>
      </c>
      <c r="N12" s="34" t="s">
        <v>160</v>
      </c>
      <c r="O12" s="7"/>
      <c r="P12" s="58">
        <f ca="1">Log_2020[[#This Row],[Amount]]/Log_2020[[#This Row],[Split_raw]]*MAX(0,MIN(_xlfn.DAYS(EDATE(P$1,1),Log_2020[[#This Row],[Date]]),Log_2020[[#This Row],[Split_apply]])) - SUM($O12:O12)</f>
        <v>0</v>
      </c>
      <c r="Q12" s="58">
        <f ca="1">Log_2020[[#This Row],[Amount]]/Log_2020[[#This Row],[Split_raw]]*MAX(0,MIN(_xlfn.DAYS(EDATE(Q$1,1),Log_2020[[#This Row],[Date]]),Log_2020[[#This Row],[Split_apply]])) - SUM($O12:P12)</f>
        <v>0</v>
      </c>
      <c r="R12" s="58">
        <f ca="1">Log_2020[[#This Row],[Amount]]/Log_2020[[#This Row],[Split_raw]]*MAX(0,MIN(_xlfn.DAYS(EDATE(R$1,1),Log_2020[[#This Row],[Date]]),Log_2020[[#This Row],[Split_apply]])) - SUM($O12:Q12)</f>
        <v>0</v>
      </c>
      <c r="S12" s="58">
        <f ca="1">Log_2020[[#This Row],[Amount]]/Log_2020[[#This Row],[Split_raw]]*MAX(0,MIN(_xlfn.DAYS(EDATE(S$1,1),Log_2020[[#This Row],[Date]]),Log_2020[[#This Row],[Split_apply]])) - SUM($O12:R12)</f>
        <v>0</v>
      </c>
      <c r="T12" s="58">
        <f ca="1">Log_2020[[#This Row],[Amount]]/Log_2020[[#This Row],[Split_raw]]*MAX(0,MIN(_xlfn.DAYS(EDATE(T$1,1),Log_2020[[#This Row],[Date]]),Log_2020[[#This Row],[Split_apply]])) - SUM($O12:S12)</f>
        <v>0</v>
      </c>
      <c r="U12" s="58">
        <f ca="1">Log_2020[[#This Row],[Amount]]/Log_2020[[#This Row],[Split_raw]]*MAX(0,MIN(_xlfn.DAYS(EDATE(U$1,1),Log_2020[[#This Row],[Date]]),Log_2020[[#This Row],[Split_apply]])) - SUM($O12:T12)</f>
        <v>0</v>
      </c>
      <c r="V12" s="58">
        <f ca="1">Log_2020[[#This Row],[Amount]]/Log_2020[[#This Row],[Split_raw]]*MAX(0,MIN(_xlfn.DAYS(EDATE(V$1,1),Log_2020[[#This Row],[Date]]),Log_2020[[#This Row],[Split_apply]])) - SUM($O12:U12)</f>
        <v>0</v>
      </c>
      <c r="W12" s="58">
        <f ca="1">Log_2020[[#This Row],[Amount]]/Log_2020[[#This Row],[Split_raw]]*MAX(0,MIN(_xlfn.DAYS(EDATE(W$1,1),Log_2020[[#This Row],[Date]]),Log_2020[[#This Row],[Split_apply]])) - SUM($O12:V12)</f>
        <v>0</v>
      </c>
      <c r="X12" s="58">
        <f ca="1">Log_2020[[#This Row],[Amount]]/Log_2020[[#This Row],[Split_raw]]*MAX(0,MIN(_xlfn.DAYS(EDATE(X$1,1),Log_2020[[#This Row],[Date]]),Log_2020[[#This Row],[Split_apply]])) - SUM($O12:W12)</f>
        <v>0</v>
      </c>
      <c r="Y12" s="58">
        <f ca="1">Log_2020[[#This Row],[Amount]]/Log_2020[[#This Row],[Split_raw]]*MAX(0,MIN(_xlfn.DAYS(EDATE(Y$1,1),Log_2020[[#This Row],[Date]]),Log_2020[[#This Row],[Split_apply]])) - SUM($O12:X12)</f>
        <v>0</v>
      </c>
      <c r="Z12" s="58">
        <f ca="1">Log_2020[[#This Row],[Amount]]/Log_2020[[#This Row],[Split_raw]]*MAX(0,MIN(_xlfn.DAYS(EDATE(Z$1,1),Log_2020[[#This Row],[Date]]),Log_2020[[#This Row],[Split_apply]])) - SUM($O12:Y12)</f>
        <v>0</v>
      </c>
      <c r="AA12" s="58">
        <f ca="1">Log_2020[[#This Row],[Amount]]/Log_2020[[#This Row],[Split_raw]]*MAX(0,MIN(_xlfn.DAYS(EDATE(AA$1,1),Log_2020[[#This Row],[Date]]),Log_2020[[#This Row],[Split_apply]])) - SUM($O12:Z12)</f>
        <v>0</v>
      </c>
      <c r="AB12" s="85">
        <f ca="1">Log_2020[[#This Row],[Amount]]*Log_2020[[#This Row],[Split_apply]]/Log_2020[[#This Row],[Split_raw]]-SUM(O12:AA12)</f>
        <v>0</v>
      </c>
      <c r="AC12" s="74">
        <f>MAX(0,Log_2020[[#This Row],[Split_raw]] - (EDATE(AA$1,1)-Log_2020[[#This Row],[Date]]))</f>
        <v>0</v>
      </c>
    </row>
    <row r="13" spans="1:29" x14ac:dyDescent="0.25">
      <c r="A13" s="37"/>
      <c r="B13" s="34" t="s">
        <v>6</v>
      </c>
      <c r="C13" s="34"/>
      <c r="D13" s="35">
        <v>43970</v>
      </c>
      <c r="E13" s="34"/>
      <c r="F13" s="34" t="s">
        <v>1107</v>
      </c>
      <c r="G13" s="34" t="s">
        <v>19</v>
      </c>
      <c r="H13">
        <f>--0.44</f>
        <v>0.44</v>
      </c>
      <c r="I13" s="36">
        <f>IF(Log_2020[[#This Row],[My Category]]="NONTRACKED",0,Log_2020[[#This Row],[Raw Amount]])</f>
        <v>0</v>
      </c>
      <c r="J13" s="37">
        <f>ABS(Log_2020[[#This Row],[Amount]])</f>
        <v>0</v>
      </c>
      <c r="K13" s="38">
        <v>1</v>
      </c>
      <c r="L13" s="38">
        <f ca="1">IF(Log_2020[[#This Row],[Date]]&lt;=TODAY(), MIN(Log_2020[[#This Row],[Split_raw]], TODAY()-Log_2020[[#This Row],[Date]]+1), 0)</f>
        <v>1</v>
      </c>
      <c r="M13" s="34" t="s">
        <v>755</v>
      </c>
      <c r="N13" s="34" t="s">
        <v>160</v>
      </c>
      <c r="O13" s="7"/>
      <c r="P13" s="58">
        <f ca="1">Log_2020[[#This Row],[Amount]]/Log_2020[[#This Row],[Split_raw]]*MAX(0,MIN(_xlfn.DAYS(EDATE(P$1,1),Log_2020[[#This Row],[Date]]),Log_2020[[#This Row],[Split_apply]])) - SUM($O13:O13)</f>
        <v>0</v>
      </c>
      <c r="Q13" s="58">
        <f ca="1">Log_2020[[#This Row],[Amount]]/Log_2020[[#This Row],[Split_raw]]*MAX(0,MIN(_xlfn.DAYS(EDATE(Q$1,1),Log_2020[[#This Row],[Date]]),Log_2020[[#This Row],[Split_apply]])) - SUM($O13:P13)</f>
        <v>0</v>
      </c>
      <c r="R13" s="58">
        <f ca="1">Log_2020[[#This Row],[Amount]]/Log_2020[[#This Row],[Split_raw]]*MAX(0,MIN(_xlfn.DAYS(EDATE(R$1,1),Log_2020[[#This Row],[Date]]),Log_2020[[#This Row],[Split_apply]])) - SUM($O13:Q13)</f>
        <v>0</v>
      </c>
      <c r="S13" s="58">
        <f ca="1">Log_2020[[#This Row],[Amount]]/Log_2020[[#This Row],[Split_raw]]*MAX(0,MIN(_xlfn.DAYS(EDATE(S$1,1),Log_2020[[#This Row],[Date]]),Log_2020[[#This Row],[Split_apply]])) - SUM($O13:R13)</f>
        <v>0</v>
      </c>
      <c r="T13" s="58">
        <f ca="1">Log_2020[[#This Row],[Amount]]/Log_2020[[#This Row],[Split_raw]]*MAX(0,MIN(_xlfn.DAYS(EDATE(T$1,1),Log_2020[[#This Row],[Date]]),Log_2020[[#This Row],[Split_apply]])) - SUM($O13:S13)</f>
        <v>0</v>
      </c>
      <c r="U13" s="58">
        <f ca="1">Log_2020[[#This Row],[Amount]]/Log_2020[[#This Row],[Split_raw]]*MAX(0,MIN(_xlfn.DAYS(EDATE(U$1,1),Log_2020[[#This Row],[Date]]),Log_2020[[#This Row],[Split_apply]])) - SUM($O13:T13)</f>
        <v>0</v>
      </c>
      <c r="V13" s="58">
        <f ca="1">Log_2020[[#This Row],[Amount]]/Log_2020[[#This Row],[Split_raw]]*MAX(0,MIN(_xlfn.DAYS(EDATE(V$1,1),Log_2020[[#This Row],[Date]]),Log_2020[[#This Row],[Split_apply]])) - SUM($O13:U13)</f>
        <v>0</v>
      </c>
      <c r="W13" s="58">
        <f ca="1">Log_2020[[#This Row],[Amount]]/Log_2020[[#This Row],[Split_raw]]*MAX(0,MIN(_xlfn.DAYS(EDATE(W$1,1),Log_2020[[#This Row],[Date]]),Log_2020[[#This Row],[Split_apply]])) - SUM($O13:V13)</f>
        <v>0</v>
      </c>
      <c r="X13" s="58">
        <f ca="1">Log_2020[[#This Row],[Amount]]/Log_2020[[#This Row],[Split_raw]]*MAX(0,MIN(_xlfn.DAYS(EDATE(X$1,1),Log_2020[[#This Row],[Date]]),Log_2020[[#This Row],[Split_apply]])) - SUM($O13:W13)</f>
        <v>0</v>
      </c>
      <c r="Y13" s="58">
        <f ca="1">Log_2020[[#This Row],[Amount]]/Log_2020[[#This Row],[Split_raw]]*MAX(0,MIN(_xlfn.DAYS(EDATE(Y$1,1),Log_2020[[#This Row],[Date]]),Log_2020[[#This Row],[Split_apply]])) - SUM($O13:X13)</f>
        <v>0</v>
      </c>
      <c r="Z13" s="58">
        <f ca="1">Log_2020[[#This Row],[Amount]]/Log_2020[[#This Row],[Split_raw]]*MAX(0,MIN(_xlfn.DAYS(EDATE(Z$1,1),Log_2020[[#This Row],[Date]]),Log_2020[[#This Row],[Split_apply]])) - SUM($O13:Y13)</f>
        <v>0</v>
      </c>
      <c r="AA13" s="58">
        <f ca="1">Log_2020[[#This Row],[Amount]]/Log_2020[[#This Row],[Split_raw]]*MAX(0,MIN(_xlfn.DAYS(EDATE(AA$1,1),Log_2020[[#This Row],[Date]]),Log_2020[[#This Row],[Split_apply]])) - SUM($O13:Z13)</f>
        <v>0</v>
      </c>
      <c r="AB13" s="85">
        <f ca="1">Log_2020[[#This Row],[Amount]]*Log_2020[[#This Row],[Split_apply]]/Log_2020[[#This Row],[Split_raw]]-SUM(O13:AA13)</f>
        <v>0</v>
      </c>
      <c r="AC13" s="74">
        <f>MAX(0,Log_2020[[#This Row],[Split_raw]] - (EDATE(AA$1,1)-Log_2020[[#This Row],[Date]]))</f>
        <v>0</v>
      </c>
    </row>
    <row r="14" spans="1:29" x14ac:dyDescent="0.25">
      <c r="A14" s="37"/>
      <c r="B14" s="34" t="s">
        <v>6</v>
      </c>
      <c r="C14" s="34"/>
      <c r="D14" s="35">
        <v>43970</v>
      </c>
      <c r="E14" s="34"/>
      <c r="F14" s="34" t="s">
        <v>1108</v>
      </c>
      <c r="G14" s="34" t="s">
        <v>19</v>
      </c>
      <c r="H14">
        <f>--0.26</f>
        <v>0.26</v>
      </c>
      <c r="I14" s="36">
        <f>IF(Log_2020[[#This Row],[My Category]]="NONTRACKED",0,Log_2020[[#This Row],[Raw Amount]])</f>
        <v>0</v>
      </c>
      <c r="J14" s="37">
        <f>ABS(Log_2020[[#This Row],[Amount]])</f>
        <v>0</v>
      </c>
      <c r="K14" s="38">
        <v>1</v>
      </c>
      <c r="L14" s="38">
        <f ca="1">IF(Log_2020[[#This Row],[Date]]&lt;=TODAY(), MIN(Log_2020[[#This Row],[Split_raw]], TODAY()-Log_2020[[#This Row],[Date]]+1), 0)</f>
        <v>1</v>
      </c>
      <c r="M14" s="34" t="s">
        <v>755</v>
      </c>
      <c r="N14" s="34" t="s">
        <v>160</v>
      </c>
      <c r="O14" s="7"/>
      <c r="P14" s="58">
        <f ca="1">Log_2020[[#This Row],[Amount]]/Log_2020[[#This Row],[Split_raw]]*MAX(0,MIN(_xlfn.DAYS(EDATE(P$1,1),Log_2020[[#This Row],[Date]]),Log_2020[[#This Row],[Split_apply]])) - SUM($O14:O14)</f>
        <v>0</v>
      </c>
      <c r="Q14" s="58">
        <f ca="1">Log_2020[[#This Row],[Amount]]/Log_2020[[#This Row],[Split_raw]]*MAX(0,MIN(_xlfn.DAYS(EDATE(Q$1,1),Log_2020[[#This Row],[Date]]),Log_2020[[#This Row],[Split_apply]])) - SUM($O14:P14)</f>
        <v>0</v>
      </c>
      <c r="R14" s="58">
        <f ca="1">Log_2020[[#This Row],[Amount]]/Log_2020[[#This Row],[Split_raw]]*MAX(0,MIN(_xlfn.DAYS(EDATE(R$1,1),Log_2020[[#This Row],[Date]]),Log_2020[[#This Row],[Split_apply]])) - SUM($O14:Q14)</f>
        <v>0</v>
      </c>
      <c r="S14" s="58">
        <f ca="1">Log_2020[[#This Row],[Amount]]/Log_2020[[#This Row],[Split_raw]]*MAX(0,MIN(_xlfn.DAYS(EDATE(S$1,1),Log_2020[[#This Row],[Date]]),Log_2020[[#This Row],[Split_apply]])) - SUM($O14:R14)</f>
        <v>0</v>
      </c>
      <c r="T14" s="58">
        <f ca="1">Log_2020[[#This Row],[Amount]]/Log_2020[[#This Row],[Split_raw]]*MAX(0,MIN(_xlfn.DAYS(EDATE(T$1,1),Log_2020[[#This Row],[Date]]),Log_2020[[#This Row],[Split_apply]])) - SUM($O14:S14)</f>
        <v>0</v>
      </c>
      <c r="U14" s="58">
        <f ca="1">Log_2020[[#This Row],[Amount]]/Log_2020[[#This Row],[Split_raw]]*MAX(0,MIN(_xlfn.DAYS(EDATE(U$1,1),Log_2020[[#This Row],[Date]]),Log_2020[[#This Row],[Split_apply]])) - SUM($O14:T14)</f>
        <v>0</v>
      </c>
      <c r="V14" s="58">
        <f ca="1">Log_2020[[#This Row],[Amount]]/Log_2020[[#This Row],[Split_raw]]*MAX(0,MIN(_xlfn.DAYS(EDATE(V$1,1),Log_2020[[#This Row],[Date]]),Log_2020[[#This Row],[Split_apply]])) - SUM($O14:U14)</f>
        <v>0</v>
      </c>
      <c r="W14" s="58">
        <f ca="1">Log_2020[[#This Row],[Amount]]/Log_2020[[#This Row],[Split_raw]]*MAX(0,MIN(_xlfn.DAYS(EDATE(W$1,1),Log_2020[[#This Row],[Date]]),Log_2020[[#This Row],[Split_apply]])) - SUM($O14:V14)</f>
        <v>0</v>
      </c>
      <c r="X14" s="58">
        <f ca="1">Log_2020[[#This Row],[Amount]]/Log_2020[[#This Row],[Split_raw]]*MAX(0,MIN(_xlfn.DAYS(EDATE(X$1,1),Log_2020[[#This Row],[Date]]),Log_2020[[#This Row],[Split_apply]])) - SUM($O14:W14)</f>
        <v>0</v>
      </c>
      <c r="Y14" s="58">
        <f ca="1">Log_2020[[#This Row],[Amount]]/Log_2020[[#This Row],[Split_raw]]*MAX(0,MIN(_xlfn.DAYS(EDATE(Y$1,1),Log_2020[[#This Row],[Date]]),Log_2020[[#This Row],[Split_apply]])) - SUM($O14:X14)</f>
        <v>0</v>
      </c>
      <c r="Z14" s="58">
        <f ca="1">Log_2020[[#This Row],[Amount]]/Log_2020[[#This Row],[Split_raw]]*MAX(0,MIN(_xlfn.DAYS(EDATE(Z$1,1),Log_2020[[#This Row],[Date]]),Log_2020[[#This Row],[Split_apply]])) - SUM($O14:Y14)</f>
        <v>0</v>
      </c>
      <c r="AA14" s="58">
        <f ca="1">Log_2020[[#This Row],[Amount]]/Log_2020[[#This Row],[Split_raw]]*MAX(0,MIN(_xlfn.DAYS(EDATE(AA$1,1),Log_2020[[#This Row],[Date]]),Log_2020[[#This Row],[Split_apply]])) - SUM($O14:Z14)</f>
        <v>0</v>
      </c>
      <c r="AB14" s="85">
        <f ca="1">Log_2020[[#This Row],[Amount]]*Log_2020[[#This Row],[Split_apply]]/Log_2020[[#This Row],[Split_raw]]-SUM(O14:AA14)</f>
        <v>0</v>
      </c>
      <c r="AC14" s="74">
        <f>MAX(0,Log_2020[[#This Row],[Split_raw]] - (EDATE(AA$1,1)-Log_2020[[#This Row],[Date]]))</f>
        <v>0</v>
      </c>
    </row>
    <row r="15" spans="1:29" x14ac:dyDescent="0.25">
      <c r="A15" s="37"/>
      <c r="B15" s="34" t="s">
        <v>6</v>
      </c>
      <c r="C15" s="34"/>
      <c r="D15" s="35">
        <v>43970</v>
      </c>
      <c r="E15" s="34"/>
      <c r="F15" s="34" t="s">
        <v>1116</v>
      </c>
      <c r="G15" s="34" t="s">
        <v>11</v>
      </c>
      <c r="H15">
        <v>-87.84</v>
      </c>
      <c r="I15" s="36">
        <f>IF(Log_2020[[#This Row],[My Category]]="NONTRACKED",0,Log_2020[[#This Row],[Raw Amount]])</f>
        <v>-87.84</v>
      </c>
      <c r="J15" s="37">
        <f>ABS(Log_2020[[#This Row],[Amount]])</f>
        <v>87.84</v>
      </c>
      <c r="K15" s="38">
        <v>1</v>
      </c>
      <c r="L15" s="38">
        <f ca="1">IF(Log_2020[[#This Row],[Date]]&lt;=TODAY(), MIN(Log_2020[[#This Row],[Split_raw]], TODAY()-Log_2020[[#This Row],[Date]]+1), 0)</f>
        <v>1</v>
      </c>
      <c r="M15" s="34" t="s">
        <v>12</v>
      </c>
      <c r="N15" s="34" t="s">
        <v>158</v>
      </c>
      <c r="O15" s="7"/>
      <c r="P15" s="58">
        <f ca="1">Log_2020[[#This Row],[Amount]]/Log_2020[[#This Row],[Split_raw]]*MAX(0,MIN(_xlfn.DAYS(EDATE(P$1,1),Log_2020[[#This Row],[Date]]),Log_2020[[#This Row],[Split_apply]])) - SUM($O15:O15)</f>
        <v>0</v>
      </c>
      <c r="Q15" s="58">
        <f ca="1">Log_2020[[#This Row],[Amount]]/Log_2020[[#This Row],[Split_raw]]*MAX(0,MIN(_xlfn.DAYS(EDATE(Q$1,1),Log_2020[[#This Row],[Date]]),Log_2020[[#This Row],[Split_apply]])) - SUM($O15:P15)</f>
        <v>0</v>
      </c>
      <c r="R15" s="58">
        <f ca="1">Log_2020[[#This Row],[Amount]]/Log_2020[[#This Row],[Split_raw]]*MAX(0,MIN(_xlfn.DAYS(EDATE(R$1,1),Log_2020[[#This Row],[Date]]),Log_2020[[#This Row],[Split_apply]])) - SUM($O15:Q15)</f>
        <v>0</v>
      </c>
      <c r="S15" s="58">
        <f ca="1">Log_2020[[#This Row],[Amount]]/Log_2020[[#This Row],[Split_raw]]*MAX(0,MIN(_xlfn.DAYS(EDATE(S$1,1),Log_2020[[#This Row],[Date]]),Log_2020[[#This Row],[Split_apply]])) - SUM($O15:R15)</f>
        <v>0</v>
      </c>
      <c r="T15" s="58">
        <f ca="1">Log_2020[[#This Row],[Amount]]/Log_2020[[#This Row],[Split_raw]]*MAX(0,MIN(_xlfn.DAYS(EDATE(T$1,1),Log_2020[[#This Row],[Date]]),Log_2020[[#This Row],[Split_apply]])) - SUM($O15:S15)</f>
        <v>-87.84</v>
      </c>
      <c r="U15" s="58">
        <f ca="1">Log_2020[[#This Row],[Amount]]/Log_2020[[#This Row],[Split_raw]]*MAX(0,MIN(_xlfn.DAYS(EDATE(U$1,1),Log_2020[[#This Row],[Date]]),Log_2020[[#This Row],[Split_apply]])) - SUM($O15:T15)</f>
        <v>0</v>
      </c>
      <c r="V15" s="58">
        <f ca="1">Log_2020[[#This Row],[Amount]]/Log_2020[[#This Row],[Split_raw]]*MAX(0,MIN(_xlfn.DAYS(EDATE(V$1,1),Log_2020[[#This Row],[Date]]),Log_2020[[#This Row],[Split_apply]])) - SUM($O15:U15)</f>
        <v>0</v>
      </c>
      <c r="W15" s="58">
        <f ca="1">Log_2020[[#This Row],[Amount]]/Log_2020[[#This Row],[Split_raw]]*MAX(0,MIN(_xlfn.DAYS(EDATE(W$1,1),Log_2020[[#This Row],[Date]]),Log_2020[[#This Row],[Split_apply]])) - SUM($O15:V15)</f>
        <v>0</v>
      </c>
      <c r="X15" s="58">
        <f ca="1">Log_2020[[#This Row],[Amount]]/Log_2020[[#This Row],[Split_raw]]*MAX(0,MIN(_xlfn.DAYS(EDATE(X$1,1),Log_2020[[#This Row],[Date]]),Log_2020[[#This Row],[Split_apply]])) - SUM($O15:W15)</f>
        <v>0</v>
      </c>
      <c r="Y15" s="58">
        <f ca="1">Log_2020[[#This Row],[Amount]]/Log_2020[[#This Row],[Split_raw]]*MAX(0,MIN(_xlfn.DAYS(EDATE(Y$1,1),Log_2020[[#This Row],[Date]]),Log_2020[[#This Row],[Split_apply]])) - SUM($O15:X15)</f>
        <v>0</v>
      </c>
      <c r="Z15" s="58">
        <f ca="1">Log_2020[[#This Row],[Amount]]/Log_2020[[#This Row],[Split_raw]]*MAX(0,MIN(_xlfn.DAYS(EDATE(Z$1,1),Log_2020[[#This Row],[Date]]),Log_2020[[#This Row],[Split_apply]])) - SUM($O15:Y15)</f>
        <v>0</v>
      </c>
      <c r="AA15" s="58">
        <f ca="1">Log_2020[[#This Row],[Amount]]/Log_2020[[#This Row],[Split_raw]]*MAX(0,MIN(_xlfn.DAYS(EDATE(AA$1,1),Log_2020[[#This Row],[Date]]),Log_2020[[#This Row],[Split_apply]])) - SUM($O15:Z15)</f>
        <v>0</v>
      </c>
      <c r="AB15" s="85">
        <f ca="1">Log_2020[[#This Row],[Amount]]*Log_2020[[#This Row],[Split_apply]]/Log_2020[[#This Row],[Split_raw]]-SUM(O15:AA15)</f>
        <v>0</v>
      </c>
      <c r="AC15" s="74">
        <f>MAX(0,Log_2020[[#This Row],[Split_raw]] - (EDATE(AA$1,1)-Log_2020[[#This Row],[Date]]))</f>
        <v>0</v>
      </c>
    </row>
    <row r="16" spans="1:29" x14ac:dyDescent="0.25">
      <c r="A16" s="37"/>
      <c r="B16" s="34" t="s">
        <v>6</v>
      </c>
      <c r="C16" s="34"/>
      <c r="D16" s="35">
        <v>43970</v>
      </c>
      <c r="E16" s="34"/>
      <c r="F16" s="34" t="s">
        <v>1117</v>
      </c>
      <c r="G16" s="34" t="s">
        <v>11</v>
      </c>
      <c r="H16">
        <v>-3.19</v>
      </c>
      <c r="I16" s="36">
        <f>IF(Log_2020[[#This Row],[My Category]]="NONTRACKED",0,Log_2020[[#This Row],[Raw Amount]])</f>
        <v>-3.19</v>
      </c>
      <c r="J16" s="37">
        <f>ABS(Log_2020[[#This Row],[Amount]])</f>
        <v>3.19</v>
      </c>
      <c r="K16" s="38">
        <v>1</v>
      </c>
      <c r="L16" s="38">
        <f ca="1">IF(Log_2020[[#This Row],[Date]]&lt;=TODAY(), MIN(Log_2020[[#This Row],[Split_raw]], TODAY()-Log_2020[[#This Row],[Date]]+1), 0)</f>
        <v>1</v>
      </c>
      <c r="M16" s="34" t="s">
        <v>12</v>
      </c>
      <c r="N16" s="34" t="s">
        <v>158</v>
      </c>
      <c r="O16" s="7"/>
      <c r="P16" s="58">
        <f ca="1">Log_2020[[#This Row],[Amount]]/Log_2020[[#This Row],[Split_raw]]*MAX(0,MIN(_xlfn.DAYS(EDATE(P$1,1),Log_2020[[#This Row],[Date]]),Log_2020[[#This Row],[Split_apply]])) - SUM($O16:O16)</f>
        <v>0</v>
      </c>
      <c r="Q16" s="58">
        <f ca="1">Log_2020[[#This Row],[Amount]]/Log_2020[[#This Row],[Split_raw]]*MAX(0,MIN(_xlfn.DAYS(EDATE(Q$1,1),Log_2020[[#This Row],[Date]]),Log_2020[[#This Row],[Split_apply]])) - SUM($O16:P16)</f>
        <v>0</v>
      </c>
      <c r="R16" s="58">
        <f ca="1">Log_2020[[#This Row],[Amount]]/Log_2020[[#This Row],[Split_raw]]*MAX(0,MIN(_xlfn.DAYS(EDATE(R$1,1),Log_2020[[#This Row],[Date]]),Log_2020[[#This Row],[Split_apply]])) - SUM($O16:Q16)</f>
        <v>0</v>
      </c>
      <c r="S16" s="58">
        <f ca="1">Log_2020[[#This Row],[Amount]]/Log_2020[[#This Row],[Split_raw]]*MAX(0,MIN(_xlfn.DAYS(EDATE(S$1,1),Log_2020[[#This Row],[Date]]),Log_2020[[#This Row],[Split_apply]])) - SUM($O16:R16)</f>
        <v>0</v>
      </c>
      <c r="T16" s="58">
        <f ca="1">Log_2020[[#This Row],[Amount]]/Log_2020[[#This Row],[Split_raw]]*MAX(0,MIN(_xlfn.DAYS(EDATE(T$1,1),Log_2020[[#This Row],[Date]]),Log_2020[[#This Row],[Split_apply]])) - SUM($O16:S16)</f>
        <v>-3.19</v>
      </c>
      <c r="U16" s="58">
        <f ca="1">Log_2020[[#This Row],[Amount]]/Log_2020[[#This Row],[Split_raw]]*MAX(0,MIN(_xlfn.DAYS(EDATE(U$1,1),Log_2020[[#This Row],[Date]]),Log_2020[[#This Row],[Split_apply]])) - SUM($O16:T16)</f>
        <v>0</v>
      </c>
      <c r="V16" s="58">
        <f ca="1">Log_2020[[#This Row],[Amount]]/Log_2020[[#This Row],[Split_raw]]*MAX(0,MIN(_xlfn.DAYS(EDATE(V$1,1),Log_2020[[#This Row],[Date]]),Log_2020[[#This Row],[Split_apply]])) - SUM($O16:U16)</f>
        <v>0</v>
      </c>
      <c r="W16" s="58">
        <f ca="1">Log_2020[[#This Row],[Amount]]/Log_2020[[#This Row],[Split_raw]]*MAX(0,MIN(_xlfn.DAYS(EDATE(W$1,1),Log_2020[[#This Row],[Date]]),Log_2020[[#This Row],[Split_apply]])) - SUM($O16:V16)</f>
        <v>0</v>
      </c>
      <c r="X16" s="58">
        <f ca="1">Log_2020[[#This Row],[Amount]]/Log_2020[[#This Row],[Split_raw]]*MAX(0,MIN(_xlfn.DAYS(EDATE(X$1,1),Log_2020[[#This Row],[Date]]),Log_2020[[#This Row],[Split_apply]])) - SUM($O16:W16)</f>
        <v>0</v>
      </c>
      <c r="Y16" s="58">
        <f ca="1">Log_2020[[#This Row],[Amount]]/Log_2020[[#This Row],[Split_raw]]*MAX(0,MIN(_xlfn.DAYS(EDATE(Y$1,1),Log_2020[[#This Row],[Date]]),Log_2020[[#This Row],[Split_apply]])) - SUM($O16:X16)</f>
        <v>0</v>
      </c>
      <c r="Z16" s="58">
        <f ca="1">Log_2020[[#This Row],[Amount]]/Log_2020[[#This Row],[Split_raw]]*MAX(0,MIN(_xlfn.DAYS(EDATE(Z$1,1),Log_2020[[#This Row],[Date]]),Log_2020[[#This Row],[Split_apply]])) - SUM($O16:Y16)</f>
        <v>0</v>
      </c>
      <c r="AA16" s="58">
        <f ca="1">Log_2020[[#This Row],[Amount]]/Log_2020[[#This Row],[Split_raw]]*MAX(0,MIN(_xlfn.DAYS(EDATE(AA$1,1),Log_2020[[#This Row],[Date]]),Log_2020[[#This Row],[Split_apply]])) - SUM($O16:Z16)</f>
        <v>0</v>
      </c>
      <c r="AB16" s="85">
        <f ca="1">Log_2020[[#This Row],[Amount]]*Log_2020[[#This Row],[Split_apply]]/Log_2020[[#This Row],[Split_raw]]-SUM(O16:AA16)</f>
        <v>0</v>
      </c>
      <c r="AC16" s="74">
        <f>MAX(0,Log_2020[[#This Row],[Split_raw]] - (EDATE(AA$1,1)-Log_2020[[#This Row],[Date]]))</f>
        <v>0</v>
      </c>
    </row>
    <row r="17" spans="1:29" x14ac:dyDescent="0.25">
      <c r="A17" s="37"/>
      <c r="B17" s="34" t="s">
        <v>6</v>
      </c>
      <c r="C17" s="34"/>
      <c r="D17" s="35">
        <v>43969</v>
      </c>
      <c r="E17" s="34"/>
      <c r="F17" s="34" t="s">
        <v>1109</v>
      </c>
      <c r="G17" s="34" t="s">
        <v>29</v>
      </c>
      <c r="H17">
        <v>-39.47</v>
      </c>
      <c r="I17" s="36">
        <f>IF(Log_2020[[#This Row],[My Category]]="NONTRACKED",0,Log_2020[[#This Row],[Raw Amount]])</f>
        <v>-39.47</v>
      </c>
      <c r="J17" s="37">
        <f>ABS(Log_2020[[#This Row],[Amount]])</f>
        <v>39.47</v>
      </c>
      <c r="K17" s="38">
        <v>30</v>
      </c>
      <c r="L17" s="38">
        <f ca="1">IF(Log_2020[[#This Row],[Date]]&lt;=TODAY(), MIN(Log_2020[[#This Row],[Split_raw]], TODAY()-Log_2020[[#This Row],[Date]]+1), 0)</f>
        <v>30</v>
      </c>
      <c r="M17" s="34" t="s">
        <v>29</v>
      </c>
      <c r="N17" s="34" t="s">
        <v>160</v>
      </c>
      <c r="O17" s="7"/>
      <c r="P17" s="58">
        <f ca="1">Log_2020[[#This Row],[Amount]]/Log_2020[[#This Row],[Split_raw]]*MAX(0,MIN(_xlfn.DAYS(EDATE(P$1,1),Log_2020[[#This Row],[Date]]),Log_2020[[#This Row],[Split_apply]])) - SUM($O17:O17)</f>
        <v>0</v>
      </c>
      <c r="Q17" s="58">
        <f ca="1">Log_2020[[#This Row],[Amount]]/Log_2020[[#This Row],[Split_raw]]*MAX(0,MIN(_xlfn.DAYS(EDATE(Q$1,1),Log_2020[[#This Row],[Date]]),Log_2020[[#This Row],[Split_apply]])) - SUM($O17:P17)</f>
        <v>0</v>
      </c>
      <c r="R17" s="58">
        <f ca="1">Log_2020[[#This Row],[Amount]]/Log_2020[[#This Row],[Split_raw]]*MAX(0,MIN(_xlfn.DAYS(EDATE(R$1,1),Log_2020[[#This Row],[Date]]),Log_2020[[#This Row],[Split_apply]])) - SUM($O17:Q17)</f>
        <v>0</v>
      </c>
      <c r="S17" s="58">
        <f ca="1">Log_2020[[#This Row],[Amount]]/Log_2020[[#This Row],[Split_raw]]*MAX(0,MIN(_xlfn.DAYS(EDATE(S$1,1),Log_2020[[#This Row],[Date]]),Log_2020[[#This Row],[Split_apply]])) - SUM($O17:R17)</f>
        <v>0</v>
      </c>
      <c r="T17" s="58">
        <f ca="1">Log_2020[[#This Row],[Amount]]/Log_2020[[#This Row],[Split_raw]]*MAX(0,MIN(_xlfn.DAYS(EDATE(T$1,1),Log_2020[[#This Row],[Date]]),Log_2020[[#This Row],[Split_apply]])) - SUM($O17:S17)</f>
        <v>-18.419333333333331</v>
      </c>
      <c r="U17" s="58">
        <f ca="1">Log_2020[[#This Row],[Amount]]/Log_2020[[#This Row],[Split_raw]]*MAX(0,MIN(_xlfn.DAYS(EDATE(U$1,1),Log_2020[[#This Row],[Date]]),Log_2020[[#This Row],[Split_apply]])) - SUM($O17:T17)</f>
        <v>-21.050666666666668</v>
      </c>
      <c r="V17" s="58">
        <f ca="1">Log_2020[[#This Row],[Amount]]/Log_2020[[#This Row],[Split_raw]]*MAX(0,MIN(_xlfn.DAYS(EDATE(V$1,1),Log_2020[[#This Row],[Date]]),Log_2020[[#This Row],[Split_apply]])) - SUM($O17:U17)</f>
        <v>0</v>
      </c>
      <c r="W17" s="58">
        <f ca="1">Log_2020[[#This Row],[Amount]]/Log_2020[[#This Row],[Split_raw]]*MAX(0,MIN(_xlfn.DAYS(EDATE(W$1,1),Log_2020[[#This Row],[Date]]),Log_2020[[#This Row],[Split_apply]])) - SUM($O17:V17)</f>
        <v>0</v>
      </c>
      <c r="X17" s="58">
        <f ca="1">Log_2020[[#This Row],[Amount]]/Log_2020[[#This Row],[Split_raw]]*MAX(0,MIN(_xlfn.DAYS(EDATE(X$1,1),Log_2020[[#This Row],[Date]]),Log_2020[[#This Row],[Split_apply]])) - SUM($O17:W17)</f>
        <v>0</v>
      </c>
      <c r="Y17" s="58">
        <f ca="1">Log_2020[[#This Row],[Amount]]/Log_2020[[#This Row],[Split_raw]]*MAX(0,MIN(_xlfn.DAYS(EDATE(Y$1,1),Log_2020[[#This Row],[Date]]),Log_2020[[#This Row],[Split_apply]])) - SUM($O17:X17)</f>
        <v>0</v>
      </c>
      <c r="Z17" s="58">
        <f ca="1">Log_2020[[#This Row],[Amount]]/Log_2020[[#This Row],[Split_raw]]*MAX(0,MIN(_xlfn.DAYS(EDATE(Z$1,1),Log_2020[[#This Row],[Date]]),Log_2020[[#This Row],[Split_apply]])) - SUM($O17:Y17)</f>
        <v>0</v>
      </c>
      <c r="AA17" s="58">
        <f ca="1">Log_2020[[#This Row],[Amount]]/Log_2020[[#This Row],[Split_raw]]*MAX(0,MIN(_xlfn.DAYS(EDATE(AA$1,1),Log_2020[[#This Row],[Date]]),Log_2020[[#This Row],[Split_apply]])) - SUM($O17:Z17)</f>
        <v>0</v>
      </c>
      <c r="AB17" s="85">
        <f ca="1">Log_2020[[#This Row],[Amount]]*Log_2020[[#This Row],[Split_apply]]/Log_2020[[#This Row],[Split_raw]]-SUM(O17:AA17)</f>
        <v>0</v>
      </c>
      <c r="AC17" s="74">
        <f>MAX(0,Log_2020[[#This Row],[Split_raw]] - (EDATE(AA$1,1)-Log_2020[[#This Row],[Date]]))</f>
        <v>0</v>
      </c>
    </row>
    <row r="18" spans="1:29" x14ac:dyDescent="0.25">
      <c r="A18" s="37"/>
      <c r="B18" s="34" t="s">
        <v>6</v>
      </c>
      <c r="C18" s="34"/>
      <c r="D18" s="35">
        <v>43966</v>
      </c>
      <c r="E18" s="34"/>
      <c r="F18" s="34" t="s">
        <v>1110</v>
      </c>
      <c r="G18" s="34" t="s">
        <v>19</v>
      </c>
      <c r="H18">
        <f>--0.25</f>
        <v>0.25</v>
      </c>
      <c r="I18" s="36">
        <f>IF(Log_2020[[#This Row],[My Category]]="NONTRACKED",0,Log_2020[[#This Row],[Raw Amount]])</f>
        <v>0</v>
      </c>
      <c r="J18" s="37">
        <f>ABS(Log_2020[[#This Row],[Amount]])</f>
        <v>0</v>
      </c>
      <c r="K18" s="38">
        <v>1</v>
      </c>
      <c r="L18" s="38">
        <f ca="1">IF(Log_2020[[#This Row],[Date]]&lt;=TODAY(), MIN(Log_2020[[#This Row],[Split_raw]], TODAY()-Log_2020[[#This Row],[Date]]+1), 0)</f>
        <v>1</v>
      </c>
      <c r="M18" s="34" t="s">
        <v>755</v>
      </c>
      <c r="N18" s="34" t="s">
        <v>160</v>
      </c>
      <c r="O18" s="7"/>
      <c r="P18" s="58">
        <f ca="1">Log_2020[[#This Row],[Amount]]/Log_2020[[#This Row],[Split_raw]]*MAX(0,MIN(_xlfn.DAYS(EDATE(P$1,1),Log_2020[[#This Row],[Date]]),Log_2020[[#This Row],[Split_apply]])) - SUM($O18:O18)</f>
        <v>0</v>
      </c>
      <c r="Q18" s="58">
        <f ca="1">Log_2020[[#This Row],[Amount]]/Log_2020[[#This Row],[Split_raw]]*MAX(0,MIN(_xlfn.DAYS(EDATE(Q$1,1),Log_2020[[#This Row],[Date]]),Log_2020[[#This Row],[Split_apply]])) - SUM($O18:P18)</f>
        <v>0</v>
      </c>
      <c r="R18" s="58">
        <f ca="1">Log_2020[[#This Row],[Amount]]/Log_2020[[#This Row],[Split_raw]]*MAX(0,MIN(_xlfn.DAYS(EDATE(R$1,1),Log_2020[[#This Row],[Date]]),Log_2020[[#This Row],[Split_apply]])) - SUM($O18:Q18)</f>
        <v>0</v>
      </c>
      <c r="S18" s="58">
        <f ca="1">Log_2020[[#This Row],[Amount]]/Log_2020[[#This Row],[Split_raw]]*MAX(0,MIN(_xlfn.DAYS(EDATE(S$1,1),Log_2020[[#This Row],[Date]]),Log_2020[[#This Row],[Split_apply]])) - SUM($O18:R18)</f>
        <v>0</v>
      </c>
      <c r="T18" s="58">
        <f ca="1">Log_2020[[#This Row],[Amount]]/Log_2020[[#This Row],[Split_raw]]*MAX(0,MIN(_xlfn.DAYS(EDATE(T$1,1),Log_2020[[#This Row],[Date]]),Log_2020[[#This Row],[Split_apply]])) - SUM($O18:S18)</f>
        <v>0</v>
      </c>
      <c r="U18" s="58">
        <f ca="1">Log_2020[[#This Row],[Amount]]/Log_2020[[#This Row],[Split_raw]]*MAX(0,MIN(_xlfn.DAYS(EDATE(U$1,1),Log_2020[[#This Row],[Date]]),Log_2020[[#This Row],[Split_apply]])) - SUM($O18:T18)</f>
        <v>0</v>
      </c>
      <c r="V18" s="58">
        <f ca="1">Log_2020[[#This Row],[Amount]]/Log_2020[[#This Row],[Split_raw]]*MAX(0,MIN(_xlfn.DAYS(EDATE(V$1,1),Log_2020[[#This Row],[Date]]),Log_2020[[#This Row],[Split_apply]])) - SUM($O18:U18)</f>
        <v>0</v>
      </c>
      <c r="W18" s="58">
        <f ca="1">Log_2020[[#This Row],[Amount]]/Log_2020[[#This Row],[Split_raw]]*MAX(0,MIN(_xlfn.DAYS(EDATE(W$1,1),Log_2020[[#This Row],[Date]]),Log_2020[[#This Row],[Split_apply]])) - SUM($O18:V18)</f>
        <v>0</v>
      </c>
      <c r="X18" s="58">
        <f ca="1">Log_2020[[#This Row],[Amount]]/Log_2020[[#This Row],[Split_raw]]*MAX(0,MIN(_xlfn.DAYS(EDATE(X$1,1),Log_2020[[#This Row],[Date]]),Log_2020[[#This Row],[Split_apply]])) - SUM($O18:W18)</f>
        <v>0</v>
      </c>
      <c r="Y18" s="58">
        <f ca="1">Log_2020[[#This Row],[Amount]]/Log_2020[[#This Row],[Split_raw]]*MAX(0,MIN(_xlfn.DAYS(EDATE(Y$1,1),Log_2020[[#This Row],[Date]]),Log_2020[[#This Row],[Split_apply]])) - SUM($O18:X18)</f>
        <v>0</v>
      </c>
      <c r="Z18" s="58">
        <f ca="1">Log_2020[[#This Row],[Amount]]/Log_2020[[#This Row],[Split_raw]]*MAX(0,MIN(_xlfn.DAYS(EDATE(Z$1,1),Log_2020[[#This Row],[Date]]),Log_2020[[#This Row],[Split_apply]])) - SUM($O18:Y18)</f>
        <v>0</v>
      </c>
      <c r="AA18" s="58">
        <f ca="1">Log_2020[[#This Row],[Amount]]/Log_2020[[#This Row],[Split_raw]]*MAX(0,MIN(_xlfn.DAYS(EDATE(AA$1,1),Log_2020[[#This Row],[Date]]),Log_2020[[#This Row],[Split_apply]])) - SUM($O18:Z18)</f>
        <v>0</v>
      </c>
      <c r="AB18" s="85">
        <f ca="1">Log_2020[[#This Row],[Amount]]*Log_2020[[#This Row],[Split_apply]]/Log_2020[[#This Row],[Split_raw]]-SUM(O18:AA18)</f>
        <v>0</v>
      </c>
      <c r="AC18" s="74">
        <f>MAX(0,Log_2020[[#This Row],[Split_raw]] - (EDATE(AA$1,1)-Log_2020[[#This Row],[Date]]))</f>
        <v>0</v>
      </c>
    </row>
    <row r="19" spans="1:29" x14ac:dyDescent="0.25">
      <c r="A19" s="37"/>
      <c r="B19" s="34" t="s">
        <v>6</v>
      </c>
      <c r="C19" s="34"/>
      <c r="D19" s="35">
        <v>43966</v>
      </c>
      <c r="E19" s="34"/>
      <c r="F19" s="34" t="s">
        <v>1111</v>
      </c>
      <c r="G19" s="34" t="s">
        <v>19</v>
      </c>
      <c r="H19">
        <f>--0.13</f>
        <v>0.13</v>
      </c>
      <c r="I19" s="36">
        <f>IF(Log_2020[[#This Row],[My Category]]="NONTRACKED",0,Log_2020[[#This Row],[Raw Amount]])</f>
        <v>0</v>
      </c>
      <c r="J19" s="37">
        <f>ABS(Log_2020[[#This Row],[Amount]])</f>
        <v>0</v>
      </c>
      <c r="K19" s="38">
        <v>1</v>
      </c>
      <c r="L19" s="38">
        <f ca="1">IF(Log_2020[[#This Row],[Date]]&lt;=TODAY(), MIN(Log_2020[[#This Row],[Split_raw]], TODAY()-Log_2020[[#This Row],[Date]]+1), 0)</f>
        <v>1</v>
      </c>
      <c r="M19" s="34" t="s">
        <v>755</v>
      </c>
      <c r="N19" s="34" t="s">
        <v>160</v>
      </c>
      <c r="O19" s="7"/>
      <c r="P19" s="58">
        <f ca="1">Log_2020[[#This Row],[Amount]]/Log_2020[[#This Row],[Split_raw]]*MAX(0,MIN(_xlfn.DAYS(EDATE(P$1,1),Log_2020[[#This Row],[Date]]),Log_2020[[#This Row],[Split_apply]])) - SUM($O19:O19)</f>
        <v>0</v>
      </c>
      <c r="Q19" s="58">
        <f ca="1">Log_2020[[#This Row],[Amount]]/Log_2020[[#This Row],[Split_raw]]*MAX(0,MIN(_xlfn.DAYS(EDATE(Q$1,1),Log_2020[[#This Row],[Date]]),Log_2020[[#This Row],[Split_apply]])) - SUM($O19:P19)</f>
        <v>0</v>
      </c>
      <c r="R19" s="58">
        <f ca="1">Log_2020[[#This Row],[Amount]]/Log_2020[[#This Row],[Split_raw]]*MAX(0,MIN(_xlfn.DAYS(EDATE(R$1,1),Log_2020[[#This Row],[Date]]),Log_2020[[#This Row],[Split_apply]])) - SUM($O19:Q19)</f>
        <v>0</v>
      </c>
      <c r="S19" s="58">
        <f ca="1">Log_2020[[#This Row],[Amount]]/Log_2020[[#This Row],[Split_raw]]*MAX(0,MIN(_xlfn.DAYS(EDATE(S$1,1),Log_2020[[#This Row],[Date]]),Log_2020[[#This Row],[Split_apply]])) - SUM($O19:R19)</f>
        <v>0</v>
      </c>
      <c r="T19" s="58">
        <f ca="1">Log_2020[[#This Row],[Amount]]/Log_2020[[#This Row],[Split_raw]]*MAX(0,MIN(_xlfn.DAYS(EDATE(T$1,1),Log_2020[[#This Row],[Date]]),Log_2020[[#This Row],[Split_apply]])) - SUM($O19:S19)</f>
        <v>0</v>
      </c>
      <c r="U19" s="58">
        <f ca="1">Log_2020[[#This Row],[Amount]]/Log_2020[[#This Row],[Split_raw]]*MAX(0,MIN(_xlfn.DAYS(EDATE(U$1,1),Log_2020[[#This Row],[Date]]),Log_2020[[#This Row],[Split_apply]])) - SUM($O19:T19)</f>
        <v>0</v>
      </c>
      <c r="V19" s="58">
        <f ca="1">Log_2020[[#This Row],[Amount]]/Log_2020[[#This Row],[Split_raw]]*MAX(0,MIN(_xlfn.DAYS(EDATE(V$1,1),Log_2020[[#This Row],[Date]]),Log_2020[[#This Row],[Split_apply]])) - SUM($O19:U19)</f>
        <v>0</v>
      </c>
      <c r="W19" s="58">
        <f ca="1">Log_2020[[#This Row],[Amount]]/Log_2020[[#This Row],[Split_raw]]*MAX(0,MIN(_xlfn.DAYS(EDATE(W$1,1),Log_2020[[#This Row],[Date]]),Log_2020[[#This Row],[Split_apply]])) - SUM($O19:V19)</f>
        <v>0</v>
      </c>
      <c r="X19" s="58">
        <f ca="1">Log_2020[[#This Row],[Amount]]/Log_2020[[#This Row],[Split_raw]]*MAX(0,MIN(_xlfn.DAYS(EDATE(X$1,1),Log_2020[[#This Row],[Date]]),Log_2020[[#This Row],[Split_apply]])) - SUM($O19:W19)</f>
        <v>0</v>
      </c>
      <c r="Y19" s="58">
        <f ca="1">Log_2020[[#This Row],[Amount]]/Log_2020[[#This Row],[Split_raw]]*MAX(0,MIN(_xlfn.DAYS(EDATE(Y$1,1),Log_2020[[#This Row],[Date]]),Log_2020[[#This Row],[Split_apply]])) - SUM($O19:X19)</f>
        <v>0</v>
      </c>
      <c r="Z19" s="58">
        <f ca="1">Log_2020[[#This Row],[Amount]]/Log_2020[[#This Row],[Split_raw]]*MAX(0,MIN(_xlfn.DAYS(EDATE(Z$1,1),Log_2020[[#This Row],[Date]]),Log_2020[[#This Row],[Split_apply]])) - SUM($O19:Y19)</f>
        <v>0</v>
      </c>
      <c r="AA19" s="58">
        <f ca="1">Log_2020[[#This Row],[Amount]]/Log_2020[[#This Row],[Split_raw]]*MAX(0,MIN(_xlfn.DAYS(EDATE(AA$1,1),Log_2020[[#This Row],[Date]]),Log_2020[[#This Row],[Split_apply]])) - SUM($O19:Z19)</f>
        <v>0</v>
      </c>
      <c r="AB19" s="85">
        <f ca="1">Log_2020[[#This Row],[Amount]]*Log_2020[[#This Row],[Split_apply]]/Log_2020[[#This Row],[Split_raw]]-SUM(O19:AA19)</f>
        <v>0</v>
      </c>
      <c r="AC19" s="74">
        <f>MAX(0,Log_2020[[#This Row],[Split_raw]] - (EDATE(AA$1,1)-Log_2020[[#This Row],[Date]]))</f>
        <v>0</v>
      </c>
    </row>
    <row r="20" spans="1:29" x14ac:dyDescent="0.25">
      <c r="A20" s="37"/>
      <c r="B20" s="34" t="s">
        <v>6</v>
      </c>
      <c r="C20" s="34"/>
      <c r="D20" s="35">
        <v>43965</v>
      </c>
      <c r="E20" s="34"/>
      <c r="F20" s="34" t="s">
        <v>242</v>
      </c>
      <c r="G20" s="34" t="s">
        <v>749</v>
      </c>
      <c r="H20">
        <f>--8.47</f>
        <v>8.4700000000000006</v>
      </c>
      <c r="I20" s="36">
        <f>IF(Log_2020[[#This Row],[My Category]]="NONTRACKED",0,Log_2020[[#This Row],[Raw Amount]])</f>
        <v>8.4700000000000006</v>
      </c>
      <c r="J20" s="37">
        <f>ABS(Log_2020[[#This Row],[Amount]])</f>
        <v>8.4700000000000006</v>
      </c>
      <c r="K20" s="38">
        <v>1</v>
      </c>
      <c r="L20" s="38">
        <f ca="1">IF(Log_2020[[#This Row],[Date]]&lt;=TODAY(), MIN(Log_2020[[#This Row],[Split_raw]], TODAY()-Log_2020[[#This Row],[Date]]+1), 0)</f>
        <v>1</v>
      </c>
      <c r="M20" s="34" t="s">
        <v>144</v>
      </c>
      <c r="N20" s="34" t="s">
        <v>160</v>
      </c>
      <c r="O20" s="7"/>
      <c r="P20" s="58">
        <f ca="1">Log_2020[[#This Row],[Amount]]/Log_2020[[#This Row],[Split_raw]]*MAX(0,MIN(_xlfn.DAYS(EDATE(P$1,1),Log_2020[[#This Row],[Date]]),Log_2020[[#This Row],[Split_apply]])) - SUM($O20:O20)</f>
        <v>0</v>
      </c>
      <c r="Q20" s="58">
        <f ca="1">Log_2020[[#This Row],[Amount]]/Log_2020[[#This Row],[Split_raw]]*MAX(0,MIN(_xlfn.DAYS(EDATE(Q$1,1),Log_2020[[#This Row],[Date]]),Log_2020[[#This Row],[Split_apply]])) - SUM($O20:P20)</f>
        <v>0</v>
      </c>
      <c r="R20" s="58">
        <f ca="1">Log_2020[[#This Row],[Amount]]/Log_2020[[#This Row],[Split_raw]]*MAX(0,MIN(_xlfn.DAYS(EDATE(R$1,1),Log_2020[[#This Row],[Date]]),Log_2020[[#This Row],[Split_apply]])) - SUM($O20:Q20)</f>
        <v>0</v>
      </c>
      <c r="S20" s="58">
        <f ca="1">Log_2020[[#This Row],[Amount]]/Log_2020[[#This Row],[Split_raw]]*MAX(0,MIN(_xlfn.DAYS(EDATE(S$1,1),Log_2020[[#This Row],[Date]]),Log_2020[[#This Row],[Split_apply]])) - SUM($O20:R20)</f>
        <v>0</v>
      </c>
      <c r="T20" s="58">
        <f ca="1">Log_2020[[#This Row],[Amount]]/Log_2020[[#This Row],[Split_raw]]*MAX(0,MIN(_xlfn.DAYS(EDATE(T$1,1),Log_2020[[#This Row],[Date]]),Log_2020[[#This Row],[Split_apply]])) - SUM($O20:S20)</f>
        <v>8.4700000000000006</v>
      </c>
      <c r="U20" s="58">
        <f ca="1">Log_2020[[#This Row],[Amount]]/Log_2020[[#This Row],[Split_raw]]*MAX(0,MIN(_xlfn.DAYS(EDATE(U$1,1),Log_2020[[#This Row],[Date]]),Log_2020[[#This Row],[Split_apply]])) - SUM($O20:T20)</f>
        <v>0</v>
      </c>
      <c r="V20" s="58">
        <f ca="1">Log_2020[[#This Row],[Amount]]/Log_2020[[#This Row],[Split_raw]]*MAX(0,MIN(_xlfn.DAYS(EDATE(V$1,1),Log_2020[[#This Row],[Date]]),Log_2020[[#This Row],[Split_apply]])) - SUM($O20:U20)</f>
        <v>0</v>
      </c>
      <c r="W20" s="58">
        <f ca="1">Log_2020[[#This Row],[Amount]]/Log_2020[[#This Row],[Split_raw]]*MAX(0,MIN(_xlfn.DAYS(EDATE(W$1,1),Log_2020[[#This Row],[Date]]),Log_2020[[#This Row],[Split_apply]])) - SUM($O20:V20)</f>
        <v>0</v>
      </c>
      <c r="X20" s="58">
        <f ca="1">Log_2020[[#This Row],[Amount]]/Log_2020[[#This Row],[Split_raw]]*MAX(0,MIN(_xlfn.DAYS(EDATE(X$1,1),Log_2020[[#This Row],[Date]]),Log_2020[[#This Row],[Split_apply]])) - SUM($O20:W20)</f>
        <v>0</v>
      </c>
      <c r="Y20" s="58">
        <f ca="1">Log_2020[[#This Row],[Amount]]/Log_2020[[#This Row],[Split_raw]]*MAX(0,MIN(_xlfn.DAYS(EDATE(Y$1,1),Log_2020[[#This Row],[Date]]),Log_2020[[#This Row],[Split_apply]])) - SUM($O20:X20)</f>
        <v>0</v>
      </c>
      <c r="Z20" s="58">
        <f ca="1">Log_2020[[#This Row],[Amount]]/Log_2020[[#This Row],[Split_raw]]*MAX(0,MIN(_xlfn.DAYS(EDATE(Z$1,1),Log_2020[[#This Row],[Date]]),Log_2020[[#This Row],[Split_apply]])) - SUM($O20:Y20)</f>
        <v>0</v>
      </c>
      <c r="AA20" s="58">
        <f ca="1">Log_2020[[#This Row],[Amount]]/Log_2020[[#This Row],[Split_raw]]*MAX(0,MIN(_xlfn.DAYS(EDATE(AA$1,1),Log_2020[[#This Row],[Date]]),Log_2020[[#This Row],[Split_apply]])) - SUM($O20:Z20)</f>
        <v>0</v>
      </c>
      <c r="AB20" s="85">
        <f ca="1">Log_2020[[#This Row],[Amount]]*Log_2020[[#This Row],[Split_apply]]/Log_2020[[#This Row],[Split_raw]]-SUM(O20:AA20)</f>
        <v>0</v>
      </c>
      <c r="AC20" s="74">
        <f>MAX(0,Log_2020[[#This Row],[Split_raw]] - (EDATE(AA$1,1)-Log_2020[[#This Row],[Date]]))</f>
        <v>0</v>
      </c>
    </row>
    <row r="21" spans="1:29" x14ac:dyDescent="0.25">
      <c r="A21" s="37"/>
      <c r="B21" s="34" t="s">
        <v>6</v>
      </c>
      <c r="C21" s="34"/>
      <c r="D21" s="35">
        <v>43965</v>
      </c>
      <c r="E21" s="34"/>
      <c r="F21" s="34" t="s">
        <v>1118</v>
      </c>
      <c r="G21" s="34" t="s">
        <v>25</v>
      </c>
      <c r="H21">
        <v>-29.82</v>
      </c>
      <c r="I21" s="36">
        <f>IF(Log_2020[[#This Row],[My Category]]="NONTRACKED",0,Log_2020[[#This Row],[Raw Amount]])</f>
        <v>-29.82</v>
      </c>
      <c r="J21" s="37">
        <f>ABS(Log_2020[[#This Row],[Amount]])</f>
        <v>29.82</v>
      </c>
      <c r="K21" s="38">
        <v>1</v>
      </c>
      <c r="L21" s="38">
        <f ca="1">IF(Log_2020[[#This Row],[Date]]&lt;=TODAY(), MIN(Log_2020[[#This Row],[Split_raw]], TODAY()-Log_2020[[#This Row],[Date]]+1), 0)</f>
        <v>1</v>
      </c>
      <c r="M21" s="34" t="s">
        <v>35</v>
      </c>
      <c r="N21" s="34" t="s">
        <v>158</v>
      </c>
      <c r="O21" s="7"/>
      <c r="P21" s="58">
        <f ca="1">Log_2020[[#This Row],[Amount]]/Log_2020[[#This Row],[Split_raw]]*MAX(0,MIN(_xlfn.DAYS(EDATE(P$1,1),Log_2020[[#This Row],[Date]]),Log_2020[[#This Row],[Split_apply]])) - SUM($O21:O21)</f>
        <v>0</v>
      </c>
      <c r="Q21" s="58">
        <f ca="1">Log_2020[[#This Row],[Amount]]/Log_2020[[#This Row],[Split_raw]]*MAX(0,MIN(_xlfn.DAYS(EDATE(Q$1,1),Log_2020[[#This Row],[Date]]),Log_2020[[#This Row],[Split_apply]])) - SUM($O21:P21)</f>
        <v>0</v>
      </c>
      <c r="R21" s="58">
        <f ca="1">Log_2020[[#This Row],[Amount]]/Log_2020[[#This Row],[Split_raw]]*MAX(0,MIN(_xlfn.DAYS(EDATE(R$1,1),Log_2020[[#This Row],[Date]]),Log_2020[[#This Row],[Split_apply]])) - SUM($O21:Q21)</f>
        <v>0</v>
      </c>
      <c r="S21" s="58">
        <f ca="1">Log_2020[[#This Row],[Amount]]/Log_2020[[#This Row],[Split_raw]]*MAX(0,MIN(_xlfn.DAYS(EDATE(S$1,1),Log_2020[[#This Row],[Date]]),Log_2020[[#This Row],[Split_apply]])) - SUM($O21:R21)</f>
        <v>0</v>
      </c>
      <c r="T21" s="58">
        <f ca="1">Log_2020[[#This Row],[Amount]]/Log_2020[[#This Row],[Split_raw]]*MAX(0,MIN(_xlfn.DAYS(EDATE(T$1,1),Log_2020[[#This Row],[Date]]),Log_2020[[#This Row],[Split_apply]])) - SUM($O21:S21)</f>
        <v>-29.82</v>
      </c>
      <c r="U21" s="58">
        <f ca="1">Log_2020[[#This Row],[Amount]]/Log_2020[[#This Row],[Split_raw]]*MAX(0,MIN(_xlfn.DAYS(EDATE(U$1,1),Log_2020[[#This Row],[Date]]),Log_2020[[#This Row],[Split_apply]])) - SUM($O21:T21)</f>
        <v>0</v>
      </c>
      <c r="V21" s="58">
        <f ca="1">Log_2020[[#This Row],[Amount]]/Log_2020[[#This Row],[Split_raw]]*MAX(0,MIN(_xlfn.DAYS(EDATE(V$1,1),Log_2020[[#This Row],[Date]]),Log_2020[[#This Row],[Split_apply]])) - SUM($O21:U21)</f>
        <v>0</v>
      </c>
      <c r="W21" s="58">
        <f ca="1">Log_2020[[#This Row],[Amount]]/Log_2020[[#This Row],[Split_raw]]*MAX(0,MIN(_xlfn.DAYS(EDATE(W$1,1),Log_2020[[#This Row],[Date]]),Log_2020[[#This Row],[Split_apply]])) - SUM($O21:V21)</f>
        <v>0</v>
      </c>
      <c r="X21" s="58">
        <f ca="1">Log_2020[[#This Row],[Amount]]/Log_2020[[#This Row],[Split_raw]]*MAX(0,MIN(_xlfn.DAYS(EDATE(X$1,1),Log_2020[[#This Row],[Date]]),Log_2020[[#This Row],[Split_apply]])) - SUM($O21:W21)</f>
        <v>0</v>
      </c>
      <c r="Y21" s="58">
        <f ca="1">Log_2020[[#This Row],[Amount]]/Log_2020[[#This Row],[Split_raw]]*MAX(0,MIN(_xlfn.DAYS(EDATE(Y$1,1),Log_2020[[#This Row],[Date]]),Log_2020[[#This Row],[Split_apply]])) - SUM($O21:X21)</f>
        <v>0</v>
      </c>
      <c r="Z21" s="58">
        <f ca="1">Log_2020[[#This Row],[Amount]]/Log_2020[[#This Row],[Split_raw]]*MAX(0,MIN(_xlfn.DAYS(EDATE(Z$1,1),Log_2020[[#This Row],[Date]]),Log_2020[[#This Row],[Split_apply]])) - SUM($O21:Y21)</f>
        <v>0</v>
      </c>
      <c r="AA21" s="58">
        <f ca="1">Log_2020[[#This Row],[Amount]]/Log_2020[[#This Row],[Split_raw]]*MAX(0,MIN(_xlfn.DAYS(EDATE(AA$1,1),Log_2020[[#This Row],[Date]]),Log_2020[[#This Row],[Split_apply]])) - SUM($O21:Z21)</f>
        <v>0</v>
      </c>
      <c r="AB21" s="85">
        <f ca="1">Log_2020[[#This Row],[Amount]]*Log_2020[[#This Row],[Split_apply]]/Log_2020[[#This Row],[Split_raw]]-SUM(O21:AA21)</f>
        <v>0</v>
      </c>
      <c r="AC21" s="74">
        <f>MAX(0,Log_2020[[#This Row],[Split_raw]] - (EDATE(AA$1,1)-Log_2020[[#This Row],[Date]]))</f>
        <v>0</v>
      </c>
    </row>
    <row r="22" spans="1:29" x14ac:dyDescent="0.25">
      <c r="A22" s="37"/>
      <c r="B22" s="34" t="s">
        <v>6</v>
      </c>
      <c r="C22" s="34"/>
      <c r="D22" s="35">
        <v>43963</v>
      </c>
      <c r="E22" s="34"/>
      <c r="F22" s="34" t="s">
        <v>83</v>
      </c>
      <c r="G22" s="34" t="s">
        <v>15</v>
      </c>
      <c r="H22">
        <v>-173.62</v>
      </c>
      <c r="I22" s="36">
        <f>IF(Log_2020[[#This Row],[My Category]]="NONTRACKED",0,Log_2020[[#This Row],[Raw Amount]])</f>
        <v>-173.62</v>
      </c>
      <c r="J22" s="37">
        <f>ABS(Log_2020[[#This Row],[Amount]])</f>
        <v>173.62</v>
      </c>
      <c r="K22" s="38">
        <v>30</v>
      </c>
      <c r="L22" s="38">
        <f ca="1">IF(Log_2020[[#This Row],[Date]]&lt;=TODAY(), MIN(Log_2020[[#This Row],[Split_raw]], TODAY()-Log_2020[[#This Row],[Date]]+1), 0)</f>
        <v>30</v>
      </c>
      <c r="M22" s="34" t="s">
        <v>241</v>
      </c>
      <c r="N22" s="34" t="s">
        <v>160</v>
      </c>
      <c r="O22" s="7"/>
      <c r="P22" s="58">
        <f ca="1">Log_2020[[#This Row],[Amount]]/Log_2020[[#This Row],[Split_raw]]*MAX(0,MIN(_xlfn.DAYS(EDATE(P$1,1),Log_2020[[#This Row],[Date]]),Log_2020[[#This Row],[Split_apply]])) - SUM($O22:O22)</f>
        <v>0</v>
      </c>
      <c r="Q22" s="58">
        <f ca="1">Log_2020[[#This Row],[Amount]]/Log_2020[[#This Row],[Split_raw]]*MAX(0,MIN(_xlfn.DAYS(EDATE(Q$1,1),Log_2020[[#This Row],[Date]]),Log_2020[[#This Row],[Split_apply]])) - SUM($O22:P22)</f>
        <v>0</v>
      </c>
      <c r="R22" s="58">
        <f ca="1">Log_2020[[#This Row],[Amount]]/Log_2020[[#This Row],[Split_raw]]*MAX(0,MIN(_xlfn.DAYS(EDATE(R$1,1),Log_2020[[#This Row],[Date]]),Log_2020[[#This Row],[Split_apply]])) - SUM($O22:Q22)</f>
        <v>0</v>
      </c>
      <c r="S22" s="58">
        <f ca="1">Log_2020[[#This Row],[Amount]]/Log_2020[[#This Row],[Split_raw]]*MAX(0,MIN(_xlfn.DAYS(EDATE(S$1,1),Log_2020[[#This Row],[Date]]),Log_2020[[#This Row],[Split_apply]])) - SUM($O22:R22)</f>
        <v>0</v>
      </c>
      <c r="T22" s="58">
        <f ca="1">Log_2020[[#This Row],[Amount]]/Log_2020[[#This Row],[Split_raw]]*MAX(0,MIN(_xlfn.DAYS(EDATE(T$1,1),Log_2020[[#This Row],[Date]]),Log_2020[[#This Row],[Split_apply]])) - SUM($O22:S22)</f>
        <v>-115.74666666666667</v>
      </c>
      <c r="U22" s="58">
        <f ca="1">Log_2020[[#This Row],[Amount]]/Log_2020[[#This Row],[Split_raw]]*MAX(0,MIN(_xlfn.DAYS(EDATE(U$1,1),Log_2020[[#This Row],[Date]]),Log_2020[[#This Row],[Split_apply]])) - SUM($O22:T22)</f>
        <v>-57.873333333333335</v>
      </c>
      <c r="V22" s="58">
        <f ca="1">Log_2020[[#This Row],[Amount]]/Log_2020[[#This Row],[Split_raw]]*MAX(0,MIN(_xlfn.DAYS(EDATE(V$1,1),Log_2020[[#This Row],[Date]]),Log_2020[[#This Row],[Split_apply]])) - SUM($O22:U22)</f>
        <v>0</v>
      </c>
      <c r="W22" s="58">
        <f ca="1">Log_2020[[#This Row],[Amount]]/Log_2020[[#This Row],[Split_raw]]*MAX(0,MIN(_xlfn.DAYS(EDATE(W$1,1),Log_2020[[#This Row],[Date]]),Log_2020[[#This Row],[Split_apply]])) - SUM($O22:V22)</f>
        <v>0</v>
      </c>
      <c r="X22" s="58">
        <f ca="1">Log_2020[[#This Row],[Amount]]/Log_2020[[#This Row],[Split_raw]]*MAX(0,MIN(_xlfn.DAYS(EDATE(X$1,1),Log_2020[[#This Row],[Date]]),Log_2020[[#This Row],[Split_apply]])) - SUM($O22:W22)</f>
        <v>0</v>
      </c>
      <c r="Y22" s="58">
        <f ca="1">Log_2020[[#This Row],[Amount]]/Log_2020[[#This Row],[Split_raw]]*MAX(0,MIN(_xlfn.DAYS(EDATE(Y$1,1),Log_2020[[#This Row],[Date]]),Log_2020[[#This Row],[Split_apply]])) - SUM($O22:X22)</f>
        <v>0</v>
      </c>
      <c r="Z22" s="58">
        <f ca="1">Log_2020[[#This Row],[Amount]]/Log_2020[[#This Row],[Split_raw]]*MAX(0,MIN(_xlfn.DAYS(EDATE(Z$1,1),Log_2020[[#This Row],[Date]]),Log_2020[[#This Row],[Split_apply]])) - SUM($O22:Y22)</f>
        <v>0</v>
      </c>
      <c r="AA22" s="58">
        <f ca="1">Log_2020[[#This Row],[Amount]]/Log_2020[[#This Row],[Split_raw]]*MAX(0,MIN(_xlfn.DAYS(EDATE(AA$1,1),Log_2020[[#This Row],[Date]]),Log_2020[[#This Row],[Split_apply]])) - SUM($O22:Z22)</f>
        <v>0</v>
      </c>
      <c r="AB22" s="85">
        <f ca="1">Log_2020[[#This Row],[Amount]]*Log_2020[[#This Row],[Split_apply]]/Log_2020[[#This Row],[Split_raw]]-SUM(O22:AA22)</f>
        <v>0</v>
      </c>
      <c r="AC22" s="74">
        <f>MAX(0,Log_2020[[#This Row],[Split_raw]] - (EDATE(AA$1,1)-Log_2020[[#This Row],[Date]]))</f>
        <v>0</v>
      </c>
    </row>
    <row r="23" spans="1:29" x14ac:dyDescent="0.25">
      <c r="A23" s="37"/>
      <c r="B23" s="34" t="s">
        <v>6</v>
      </c>
      <c r="C23" s="34"/>
      <c r="D23" s="35">
        <v>43963</v>
      </c>
      <c r="E23" s="34"/>
      <c r="F23" s="34" t="s">
        <v>1112</v>
      </c>
      <c r="G23" s="34" t="s">
        <v>586</v>
      </c>
      <c r="H23">
        <f>--1185.45</f>
        <v>1185.45</v>
      </c>
      <c r="I23" s="36">
        <f>IF(Log_2020[[#This Row],[My Category]]="NONTRACKED",0,Log_2020[[#This Row],[Raw Amount]])</f>
        <v>0</v>
      </c>
      <c r="J23" s="37">
        <f>ABS(Log_2020[[#This Row],[Amount]])</f>
        <v>0</v>
      </c>
      <c r="K23" s="38">
        <v>1</v>
      </c>
      <c r="L23" s="38">
        <f ca="1">IF(Log_2020[[#This Row],[Date]]&lt;=TODAY(), MIN(Log_2020[[#This Row],[Split_raw]], TODAY()-Log_2020[[#This Row],[Date]]+1), 0)</f>
        <v>1</v>
      </c>
      <c r="M23" s="34" t="s">
        <v>755</v>
      </c>
      <c r="N23" s="34" t="s">
        <v>160</v>
      </c>
      <c r="O23" s="7"/>
      <c r="P23" s="58">
        <f ca="1">Log_2020[[#This Row],[Amount]]/Log_2020[[#This Row],[Split_raw]]*MAX(0,MIN(_xlfn.DAYS(EDATE(P$1,1),Log_2020[[#This Row],[Date]]),Log_2020[[#This Row],[Split_apply]])) - SUM($O23:O23)</f>
        <v>0</v>
      </c>
      <c r="Q23" s="58">
        <f ca="1">Log_2020[[#This Row],[Amount]]/Log_2020[[#This Row],[Split_raw]]*MAX(0,MIN(_xlfn.DAYS(EDATE(Q$1,1),Log_2020[[#This Row],[Date]]),Log_2020[[#This Row],[Split_apply]])) - SUM($O23:P23)</f>
        <v>0</v>
      </c>
      <c r="R23" s="58">
        <f ca="1">Log_2020[[#This Row],[Amount]]/Log_2020[[#This Row],[Split_raw]]*MAX(0,MIN(_xlfn.DAYS(EDATE(R$1,1),Log_2020[[#This Row],[Date]]),Log_2020[[#This Row],[Split_apply]])) - SUM($O23:Q23)</f>
        <v>0</v>
      </c>
      <c r="S23" s="58">
        <f ca="1">Log_2020[[#This Row],[Amount]]/Log_2020[[#This Row],[Split_raw]]*MAX(0,MIN(_xlfn.DAYS(EDATE(S$1,1),Log_2020[[#This Row],[Date]]),Log_2020[[#This Row],[Split_apply]])) - SUM($O23:R23)</f>
        <v>0</v>
      </c>
      <c r="T23" s="58">
        <f ca="1">Log_2020[[#This Row],[Amount]]/Log_2020[[#This Row],[Split_raw]]*MAX(0,MIN(_xlfn.DAYS(EDATE(T$1,1),Log_2020[[#This Row],[Date]]),Log_2020[[#This Row],[Split_apply]])) - SUM($O23:S23)</f>
        <v>0</v>
      </c>
      <c r="U23" s="58">
        <f ca="1">Log_2020[[#This Row],[Amount]]/Log_2020[[#This Row],[Split_raw]]*MAX(0,MIN(_xlfn.DAYS(EDATE(U$1,1),Log_2020[[#This Row],[Date]]),Log_2020[[#This Row],[Split_apply]])) - SUM($O23:T23)</f>
        <v>0</v>
      </c>
      <c r="V23" s="58">
        <f ca="1">Log_2020[[#This Row],[Amount]]/Log_2020[[#This Row],[Split_raw]]*MAX(0,MIN(_xlfn.DAYS(EDATE(V$1,1),Log_2020[[#This Row],[Date]]),Log_2020[[#This Row],[Split_apply]])) - SUM($O23:U23)</f>
        <v>0</v>
      </c>
      <c r="W23" s="58">
        <f ca="1">Log_2020[[#This Row],[Amount]]/Log_2020[[#This Row],[Split_raw]]*MAX(0,MIN(_xlfn.DAYS(EDATE(W$1,1),Log_2020[[#This Row],[Date]]),Log_2020[[#This Row],[Split_apply]])) - SUM($O23:V23)</f>
        <v>0</v>
      </c>
      <c r="X23" s="58">
        <f ca="1">Log_2020[[#This Row],[Amount]]/Log_2020[[#This Row],[Split_raw]]*MAX(0,MIN(_xlfn.DAYS(EDATE(X$1,1),Log_2020[[#This Row],[Date]]),Log_2020[[#This Row],[Split_apply]])) - SUM($O23:W23)</f>
        <v>0</v>
      </c>
      <c r="Y23" s="58">
        <f ca="1">Log_2020[[#This Row],[Amount]]/Log_2020[[#This Row],[Split_raw]]*MAX(0,MIN(_xlfn.DAYS(EDATE(Y$1,1),Log_2020[[#This Row],[Date]]),Log_2020[[#This Row],[Split_apply]])) - SUM($O23:X23)</f>
        <v>0</v>
      </c>
      <c r="Z23" s="58">
        <f ca="1">Log_2020[[#This Row],[Amount]]/Log_2020[[#This Row],[Split_raw]]*MAX(0,MIN(_xlfn.DAYS(EDATE(Z$1,1),Log_2020[[#This Row],[Date]]),Log_2020[[#This Row],[Split_apply]])) - SUM($O23:Y23)</f>
        <v>0</v>
      </c>
      <c r="AA23" s="58">
        <f ca="1">Log_2020[[#This Row],[Amount]]/Log_2020[[#This Row],[Split_raw]]*MAX(0,MIN(_xlfn.DAYS(EDATE(AA$1,1),Log_2020[[#This Row],[Date]]),Log_2020[[#This Row],[Split_apply]])) - SUM($O23:Z23)</f>
        <v>0</v>
      </c>
      <c r="AB23" s="85">
        <f ca="1">Log_2020[[#This Row],[Amount]]*Log_2020[[#This Row],[Split_apply]]/Log_2020[[#This Row],[Split_raw]]-SUM(O23:AA23)</f>
        <v>0</v>
      </c>
      <c r="AC23" s="74">
        <f>MAX(0,Log_2020[[#This Row],[Split_raw]] - (EDATE(AA$1,1)-Log_2020[[#This Row],[Date]]))</f>
        <v>0</v>
      </c>
    </row>
    <row r="24" spans="1:29" x14ac:dyDescent="0.25">
      <c r="A24" s="37"/>
      <c r="B24" s="34" t="s">
        <v>6</v>
      </c>
      <c r="C24" s="34"/>
      <c r="D24" s="35">
        <v>43962</v>
      </c>
      <c r="E24" s="34" t="s">
        <v>250</v>
      </c>
      <c r="F24" s="34" t="s">
        <v>243</v>
      </c>
      <c r="G24" s="34" t="s">
        <v>143</v>
      </c>
      <c r="H24">
        <v>-10.81</v>
      </c>
      <c r="I24" s="36">
        <f>IF(Log_2020[[#This Row],[My Category]]="NONTRACKED",0,Log_2020[[#This Row],[Raw Amount]])</f>
        <v>-10.81</v>
      </c>
      <c r="J24" s="37">
        <f>ABS(Log_2020[[#This Row],[Amount]])</f>
        <v>10.81</v>
      </c>
      <c r="K24" s="38">
        <v>30</v>
      </c>
      <c r="L24" s="38">
        <f ca="1">IF(Log_2020[[#This Row],[Date]]&lt;=TODAY(), MIN(Log_2020[[#This Row],[Split_raw]], TODAY()-Log_2020[[#This Row],[Date]]+1), 0)</f>
        <v>30</v>
      </c>
      <c r="M24" s="34" t="s">
        <v>53</v>
      </c>
      <c r="N24" s="34" t="s">
        <v>160</v>
      </c>
      <c r="O24" s="7"/>
      <c r="P24" s="58">
        <f ca="1">Log_2020[[#This Row],[Amount]]/Log_2020[[#This Row],[Split_raw]]*MAX(0,MIN(_xlfn.DAYS(EDATE(P$1,1),Log_2020[[#This Row],[Date]]),Log_2020[[#This Row],[Split_apply]])) - SUM($O24:O24)</f>
        <v>0</v>
      </c>
      <c r="Q24" s="58">
        <f ca="1">Log_2020[[#This Row],[Amount]]/Log_2020[[#This Row],[Split_raw]]*MAX(0,MIN(_xlfn.DAYS(EDATE(Q$1,1),Log_2020[[#This Row],[Date]]),Log_2020[[#This Row],[Split_apply]])) - SUM($O24:P24)</f>
        <v>0</v>
      </c>
      <c r="R24" s="58">
        <f ca="1">Log_2020[[#This Row],[Amount]]/Log_2020[[#This Row],[Split_raw]]*MAX(0,MIN(_xlfn.DAYS(EDATE(R$1,1),Log_2020[[#This Row],[Date]]),Log_2020[[#This Row],[Split_apply]])) - SUM($O24:Q24)</f>
        <v>0</v>
      </c>
      <c r="S24" s="58">
        <f ca="1">Log_2020[[#This Row],[Amount]]/Log_2020[[#This Row],[Split_raw]]*MAX(0,MIN(_xlfn.DAYS(EDATE(S$1,1),Log_2020[[#This Row],[Date]]),Log_2020[[#This Row],[Split_apply]])) - SUM($O24:R24)</f>
        <v>0</v>
      </c>
      <c r="T24" s="58">
        <f ca="1">Log_2020[[#This Row],[Amount]]/Log_2020[[#This Row],[Split_raw]]*MAX(0,MIN(_xlfn.DAYS(EDATE(T$1,1),Log_2020[[#This Row],[Date]]),Log_2020[[#This Row],[Split_apply]])) - SUM($O24:S24)</f>
        <v>-7.5670000000000002</v>
      </c>
      <c r="U24" s="58">
        <f ca="1">Log_2020[[#This Row],[Amount]]/Log_2020[[#This Row],[Split_raw]]*MAX(0,MIN(_xlfn.DAYS(EDATE(U$1,1),Log_2020[[#This Row],[Date]]),Log_2020[[#This Row],[Split_apply]])) - SUM($O24:T24)</f>
        <v>-3.2430000000000003</v>
      </c>
      <c r="V24" s="58">
        <f ca="1">Log_2020[[#This Row],[Amount]]/Log_2020[[#This Row],[Split_raw]]*MAX(0,MIN(_xlfn.DAYS(EDATE(V$1,1),Log_2020[[#This Row],[Date]]),Log_2020[[#This Row],[Split_apply]])) - SUM($O24:U24)</f>
        <v>0</v>
      </c>
      <c r="W24" s="58">
        <f ca="1">Log_2020[[#This Row],[Amount]]/Log_2020[[#This Row],[Split_raw]]*MAX(0,MIN(_xlfn.DAYS(EDATE(W$1,1),Log_2020[[#This Row],[Date]]),Log_2020[[#This Row],[Split_apply]])) - SUM($O24:V24)</f>
        <v>0</v>
      </c>
      <c r="X24" s="58">
        <f ca="1">Log_2020[[#This Row],[Amount]]/Log_2020[[#This Row],[Split_raw]]*MAX(0,MIN(_xlfn.DAYS(EDATE(X$1,1),Log_2020[[#This Row],[Date]]),Log_2020[[#This Row],[Split_apply]])) - SUM($O24:W24)</f>
        <v>0</v>
      </c>
      <c r="Y24" s="58">
        <f ca="1">Log_2020[[#This Row],[Amount]]/Log_2020[[#This Row],[Split_raw]]*MAX(0,MIN(_xlfn.DAYS(EDATE(Y$1,1),Log_2020[[#This Row],[Date]]),Log_2020[[#This Row],[Split_apply]])) - SUM($O24:X24)</f>
        <v>0</v>
      </c>
      <c r="Z24" s="58">
        <f ca="1">Log_2020[[#This Row],[Amount]]/Log_2020[[#This Row],[Split_raw]]*MAX(0,MIN(_xlfn.DAYS(EDATE(Z$1,1),Log_2020[[#This Row],[Date]]),Log_2020[[#This Row],[Split_apply]])) - SUM($O24:Y24)</f>
        <v>0</v>
      </c>
      <c r="AA24" s="58">
        <f ca="1">Log_2020[[#This Row],[Amount]]/Log_2020[[#This Row],[Split_raw]]*MAX(0,MIN(_xlfn.DAYS(EDATE(AA$1,1),Log_2020[[#This Row],[Date]]),Log_2020[[#This Row],[Split_apply]])) - SUM($O24:Z24)</f>
        <v>0</v>
      </c>
      <c r="AB24" s="85">
        <f ca="1">Log_2020[[#This Row],[Amount]]*Log_2020[[#This Row],[Split_apply]]/Log_2020[[#This Row],[Split_raw]]-SUM(O24:AA24)</f>
        <v>0</v>
      </c>
      <c r="AC24" s="74">
        <f>MAX(0,Log_2020[[#This Row],[Split_raw]] - (EDATE(AA$1,1)-Log_2020[[#This Row],[Date]]))</f>
        <v>0</v>
      </c>
    </row>
    <row r="25" spans="1:29" x14ac:dyDescent="0.25">
      <c r="A25" s="37"/>
      <c r="B25" s="34" t="s">
        <v>6</v>
      </c>
      <c r="C25" s="34"/>
      <c r="D25" s="35">
        <v>43960</v>
      </c>
      <c r="E25" s="34"/>
      <c r="F25" s="34" t="s">
        <v>1119</v>
      </c>
      <c r="G25" s="34" t="s">
        <v>25</v>
      </c>
      <c r="H25">
        <v>-42.75</v>
      </c>
      <c r="I25" s="36">
        <f>IF(Log_2020[[#This Row],[My Category]]="NONTRACKED",0,Log_2020[[#This Row],[Raw Amount]])</f>
        <v>-42.75</v>
      </c>
      <c r="J25" s="37">
        <f>ABS(Log_2020[[#This Row],[Amount]])</f>
        <v>42.75</v>
      </c>
      <c r="K25" s="38">
        <v>1</v>
      </c>
      <c r="L25" s="38">
        <f ca="1">IF(Log_2020[[#This Row],[Date]]&lt;=TODAY(), MIN(Log_2020[[#This Row],[Split_raw]], TODAY()-Log_2020[[#This Row],[Date]]+1), 0)</f>
        <v>1</v>
      </c>
      <c r="M25" s="34" t="s">
        <v>35</v>
      </c>
      <c r="N25" s="34" t="s">
        <v>158</v>
      </c>
      <c r="O25" s="7"/>
      <c r="P25" s="58">
        <f ca="1">Log_2020[[#This Row],[Amount]]/Log_2020[[#This Row],[Split_raw]]*MAX(0,MIN(_xlfn.DAYS(EDATE(P$1,1),Log_2020[[#This Row],[Date]]),Log_2020[[#This Row],[Split_apply]])) - SUM($O25:O25)</f>
        <v>0</v>
      </c>
      <c r="Q25" s="58">
        <f ca="1">Log_2020[[#This Row],[Amount]]/Log_2020[[#This Row],[Split_raw]]*MAX(0,MIN(_xlfn.DAYS(EDATE(Q$1,1),Log_2020[[#This Row],[Date]]),Log_2020[[#This Row],[Split_apply]])) - SUM($O25:P25)</f>
        <v>0</v>
      </c>
      <c r="R25" s="58">
        <f ca="1">Log_2020[[#This Row],[Amount]]/Log_2020[[#This Row],[Split_raw]]*MAX(0,MIN(_xlfn.DAYS(EDATE(R$1,1),Log_2020[[#This Row],[Date]]),Log_2020[[#This Row],[Split_apply]])) - SUM($O25:Q25)</f>
        <v>0</v>
      </c>
      <c r="S25" s="58">
        <f ca="1">Log_2020[[#This Row],[Amount]]/Log_2020[[#This Row],[Split_raw]]*MAX(0,MIN(_xlfn.DAYS(EDATE(S$1,1),Log_2020[[#This Row],[Date]]),Log_2020[[#This Row],[Split_apply]])) - SUM($O25:R25)</f>
        <v>0</v>
      </c>
      <c r="T25" s="58">
        <f ca="1">Log_2020[[#This Row],[Amount]]/Log_2020[[#This Row],[Split_raw]]*MAX(0,MIN(_xlfn.DAYS(EDATE(T$1,1),Log_2020[[#This Row],[Date]]),Log_2020[[#This Row],[Split_apply]])) - SUM($O25:S25)</f>
        <v>-42.75</v>
      </c>
      <c r="U25" s="58">
        <f ca="1">Log_2020[[#This Row],[Amount]]/Log_2020[[#This Row],[Split_raw]]*MAX(0,MIN(_xlfn.DAYS(EDATE(U$1,1),Log_2020[[#This Row],[Date]]),Log_2020[[#This Row],[Split_apply]])) - SUM($O25:T25)</f>
        <v>0</v>
      </c>
      <c r="V25" s="58">
        <f ca="1">Log_2020[[#This Row],[Amount]]/Log_2020[[#This Row],[Split_raw]]*MAX(0,MIN(_xlfn.DAYS(EDATE(V$1,1),Log_2020[[#This Row],[Date]]),Log_2020[[#This Row],[Split_apply]])) - SUM($O25:U25)</f>
        <v>0</v>
      </c>
      <c r="W25" s="58">
        <f ca="1">Log_2020[[#This Row],[Amount]]/Log_2020[[#This Row],[Split_raw]]*MAX(0,MIN(_xlfn.DAYS(EDATE(W$1,1),Log_2020[[#This Row],[Date]]),Log_2020[[#This Row],[Split_apply]])) - SUM($O25:V25)</f>
        <v>0</v>
      </c>
      <c r="X25" s="58">
        <f ca="1">Log_2020[[#This Row],[Amount]]/Log_2020[[#This Row],[Split_raw]]*MAX(0,MIN(_xlfn.DAYS(EDATE(X$1,1),Log_2020[[#This Row],[Date]]),Log_2020[[#This Row],[Split_apply]])) - SUM($O25:W25)</f>
        <v>0</v>
      </c>
      <c r="Y25" s="58">
        <f ca="1">Log_2020[[#This Row],[Amount]]/Log_2020[[#This Row],[Split_raw]]*MAX(0,MIN(_xlfn.DAYS(EDATE(Y$1,1),Log_2020[[#This Row],[Date]]),Log_2020[[#This Row],[Split_apply]])) - SUM($O25:X25)</f>
        <v>0</v>
      </c>
      <c r="Z25" s="58">
        <f ca="1">Log_2020[[#This Row],[Amount]]/Log_2020[[#This Row],[Split_raw]]*MAX(0,MIN(_xlfn.DAYS(EDATE(Z$1,1),Log_2020[[#This Row],[Date]]),Log_2020[[#This Row],[Split_apply]])) - SUM($O25:Y25)</f>
        <v>0</v>
      </c>
      <c r="AA25" s="58">
        <f ca="1">Log_2020[[#This Row],[Amount]]/Log_2020[[#This Row],[Split_raw]]*MAX(0,MIN(_xlfn.DAYS(EDATE(AA$1,1),Log_2020[[#This Row],[Date]]),Log_2020[[#This Row],[Split_apply]])) - SUM($O25:Z25)</f>
        <v>0</v>
      </c>
      <c r="AB25" s="85">
        <f ca="1">Log_2020[[#This Row],[Amount]]*Log_2020[[#This Row],[Split_apply]]/Log_2020[[#This Row],[Split_raw]]-SUM(O25:AA25)</f>
        <v>0</v>
      </c>
      <c r="AC25" s="74">
        <f>MAX(0,Log_2020[[#This Row],[Split_raw]] - (EDATE(AA$1,1)-Log_2020[[#This Row],[Date]]))</f>
        <v>0</v>
      </c>
    </row>
    <row r="26" spans="1:29" x14ac:dyDescent="0.25">
      <c r="A26" s="37"/>
      <c r="B26" s="34" t="s">
        <v>6</v>
      </c>
      <c r="C26" s="34"/>
      <c r="D26" s="35">
        <v>43959</v>
      </c>
      <c r="E26" s="34"/>
      <c r="F26" s="34" t="s">
        <v>1113</v>
      </c>
      <c r="G26" s="34" t="s">
        <v>29</v>
      </c>
      <c r="H26">
        <v>-46.04</v>
      </c>
      <c r="I26" s="36">
        <f>IF(Log_2020[[#This Row],[My Category]]="NONTRACKED",0,Log_2020[[#This Row],[Raw Amount]])</f>
        <v>-46.04</v>
      </c>
      <c r="J26" s="37">
        <f>ABS(Log_2020[[#This Row],[Amount]])</f>
        <v>46.04</v>
      </c>
      <c r="K26" s="38">
        <v>30</v>
      </c>
      <c r="L26" s="38">
        <f ca="1">IF(Log_2020[[#This Row],[Date]]&lt;=TODAY(), MIN(Log_2020[[#This Row],[Split_raw]], TODAY()-Log_2020[[#This Row],[Date]]+1), 0)</f>
        <v>30</v>
      </c>
      <c r="M26" s="34" t="s">
        <v>29</v>
      </c>
      <c r="N26" s="34" t="s">
        <v>160</v>
      </c>
      <c r="O26" s="7"/>
      <c r="P26" s="58">
        <f ca="1">Log_2020[[#This Row],[Amount]]/Log_2020[[#This Row],[Split_raw]]*MAX(0,MIN(_xlfn.DAYS(EDATE(P$1,1),Log_2020[[#This Row],[Date]]),Log_2020[[#This Row],[Split_apply]])) - SUM($O26:O26)</f>
        <v>0</v>
      </c>
      <c r="Q26" s="58">
        <f ca="1">Log_2020[[#This Row],[Amount]]/Log_2020[[#This Row],[Split_raw]]*MAX(0,MIN(_xlfn.DAYS(EDATE(Q$1,1),Log_2020[[#This Row],[Date]]),Log_2020[[#This Row],[Split_apply]])) - SUM($O26:P26)</f>
        <v>0</v>
      </c>
      <c r="R26" s="58">
        <f ca="1">Log_2020[[#This Row],[Amount]]/Log_2020[[#This Row],[Split_raw]]*MAX(0,MIN(_xlfn.DAYS(EDATE(R$1,1),Log_2020[[#This Row],[Date]]),Log_2020[[#This Row],[Split_apply]])) - SUM($O26:Q26)</f>
        <v>0</v>
      </c>
      <c r="S26" s="58">
        <f ca="1">Log_2020[[#This Row],[Amount]]/Log_2020[[#This Row],[Split_raw]]*MAX(0,MIN(_xlfn.DAYS(EDATE(S$1,1),Log_2020[[#This Row],[Date]]),Log_2020[[#This Row],[Split_apply]])) - SUM($O26:R26)</f>
        <v>0</v>
      </c>
      <c r="T26" s="58">
        <f ca="1">Log_2020[[#This Row],[Amount]]/Log_2020[[#This Row],[Split_raw]]*MAX(0,MIN(_xlfn.DAYS(EDATE(T$1,1),Log_2020[[#This Row],[Date]]),Log_2020[[#This Row],[Split_apply]])) - SUM($O26:S26)</f>
        <v>-36.832000000000001</v>
      </c>
      <c r="U26" s="58">
        <f ca="1">Log_2020[[#This Row],[Amount]]/Log_2020[[#This Row],[Split_raw]]*MAX(0,MIN(_xlfn.DAYS(EDATE(U$1,1),Log_2020[[#This Row],[Date]]),Log_2020[[#This Row],[Split_apply]])) - SUM($O26:T26)</f>
        <v>-9.2079999999999984</v>
      </c>
      <c r="V26" s="58">
        <f ca="1">Log_2020[[#This Row],[Amount]]/Log_2020[[#This Row],[Split_raw]]*MAX(0,MIN(_xlfn.DAYS(EDATE(V$1,1),Log_2020[[#This Row],[Date]]),Log_2020[[#This Row],[Split_apply]])) - SUM($O26:U26)</f>
        <v>0</v>
      </c>
      <c r="W26" s="58">
        <f ca="1">Log_2020[[#This Row],[Amount]]/Log_2020[[#This Row],[Split_raw]]*MAX(0,MIN(_xlfn.DAYS(EDATE(W$1,1),Log_2020[[#This Row],[Date]]),Log_2020[[#This Row],[Split_apply]])) - SUM($O26:V26)</f>
        <v>0</v>
      </c>
      <c r="X26" s="58">
        <f ca="1">Log_2020[[#This Row],[Amount]]/Log_2020[[#This Row],[Split_raw]]*MAX(0,MIN(_xlfn.DAYS(EDATE(X$1,1),Log_2020[[#This Row],[Date]]),Log_2020[[#This Row],[Split_apply]])) - SUM($O26:W26)</f>
        <v>0</v>
      </c>
      <c r="Y26" s="58">
        <f ca="1">Log_2020[[#This Row],[Amount]]/Log_2020[[#This Row],[Split_raw]]*MAX(0,MIN(_xlfn.DAYS(EDATE(Y$1,1),Log_2020[[#This Row],[Date]]),Log_2020[[#This Row],[Split_apply]])) - SUM($O26:X26)</f>
        <v>0</v>
      </c>
      <c r="Z26" s="58">
        <f ca="1">Log_2020[[#This Row],[Amount]]/Log_2020[[#This Row],[Split_raw]]*MAX(0,MIN(_xlfn.DAYS(EDATE(Z$1,1),Log_2020[[#This Row],[Date]]),Log_2020[[#This Row],[Split_apply]])) - SUM($O26:Y26)</f>
        <v>0</v>
      </c>
      <c r="AA26" s="58">
        <f ca="1">Log_2020[[#This Row],[Amount]]/Log_2020[[#This Row],[Split_raw]]*MAX(0,MIN(_xlfn.DAYS(EDATE(AA$1,1),Log_2020[[#This Row],[Date]]),Log_2020[[#This Row],[Split_apply]])) - SUM($O26:Z26)</f>
        <v>0</v>
      </c>
      <c r="AB26" s="85">
        <f ca="1">Log_2020[[#This Row],[Amount]]*Log_2020[[#This Row],[Split_apply]]/Log_2020[[#This Row],[Split_raw]]-SUM(O26:AA26)</f>
        <v>0</v>
      </c>
      <c r="AC26" s="74">
        <f>MAX(0,Log_2020[[#This Row],[Split_raw]] - (EDATE(AA$1,1)-Log_2020[[#This Row],[Date]]))</f>
        <v>0</v>
      </c>
    </row>
    <row r="27" spans="1:29" x14ac:dyDescent="0.25">
      <c r="A27" s="37"/>
      <c r="B27" s="34" t="s">
        <v>6</v>
      </c>
      <c r="C27" s="34"/>
      <c r="D27" s="35">
        <v>43958</v>
      </c>
      <c r="E27" s="34"/>
      <c r="F27" s="34" t="s">
        <v>580</v>
      </c>
      <c r="G27" s="34" t="s">
        <v>747</v>
      </c>
      <c r="H27">
        <f>--1902.8</f>
        <v>1902.8</v>
      </c>
      <c r="I27" s="36">
        <f>IF(Log_2020[[#This Row],[My Category]]="NONTRACKED",0,Log_2020[[#This Row],[Raw Amount]])</f>
        <v>1902.8</v>
      </c>
      <c r="J27" s="37">
        <f>ABS(Log_2020[[#This Row],[Amount]])</f>
        <v>1902.8</v>
      </c>
      <c r="K27" s="38">
        <v>14</v>
      </c>
      <c r="L27" s="38">
        <f ca="1">IF(Log_2020[[#This Row],[Date]]&lt;=TODAY(), MIN(Log_2020[[#This Row],[Split_raw]], TODAY()-Log_2020[[#This Row],[Date]]+1), 0)</f>
        <v>14</v>
      </c>
      <c r="M27" s="34" t="s">
        <v>91</v>
      </c>
      <c r="N27" s="34" t="s">
        <v>160</v>
      </c>
      <c r="O27" s="7"/>
      <c r="P27" s="58">
        <f ca="1">Log_2020[[#This Row],[Amount]]/Log_2020[[#This Row],[Split_raw]]*MAX(0,MIN(_xlfn.DAYS(EDATE(P$1,1),Log_2020[[#This Row],[Date]]),Log_2020[[#This Row],[Split_apply]])) - SUM($O27:O27)</f>
        <v>0</v>
      </c>
      <c r="Q27" s="58">
        <f ca="1">Log_2020[[#This Row],[Amount]]/Log_2020[[#This Row],[Split_raw]]*MAX(0,MIN(_xlfn.DAYS(EDATE(Q$1,1),Log_2020[[#This Row],[Date]]),Log_2020[[#This Row],[Split_apply]])) - SUM($O27:P27)</f>
        <v>0</v>
      </c>
      <c r="R27" s="58">
        <f ca="1">Log_2020[[#This Row],[Amount]]/Log_2020[[#This Row],[Split_raw]]*MAX(0,MIN(_xlfn.DAYS(EDATE(R$1,1),Log_2020[[#This Row],[Date]]),Log_2020[[#This Row],[Split_apply]])) - SUM($O27:Q27)</f>
        <v>0</v>
      </c>
      <c r="S27" s="58">
        <f ca="1">Log_2020[[#This Row],[Amount]]/Log_2020[[#This Row],[Split_raw]]*MAX(0,MIN(_xlfn.DAYS(EDATE(S$1,1),Log_2020[[#This Row],[Date]]),Log_2020[[#This Row],[Split_apply]])) - SUM($O27:R27)</f>
        <v>0</v>
      </c>
      <c r="T27" s="58">
        <f ca="1">Log_2020[[#This Row],[Amount]]/Log_2020[[#This Row],[Split_raw]]*MAX(0,MIN(_xlfn.DAYS(EDATE(T$1,1),Log_2020[[#This Row],[Date]]),Log_2020[[#This Row],[Split_apply]])) - SUM($O27:S27)</f>
        <v>1902.8</v>
      </c>
      <c r="U27" s="58">
        <f ca="1">Log_2020[[#This Row],[Amount]]/Log_2020[[#This Row],[Split_raw]]*MAX(0,MIN(_xlfn.DAYS(EDATE(U$1,1),Log_2020[[#This Row],[Date]]),Log_2020[[#This Row],[Split_apply]])) - SUM($O27:T27)</f>
        <v>0</v>
      </c>
      <c r="V27" s="58">
        <f ca="1">Log_2020[[#This Row],[Amount]]/Log_2020[[#This Row],[Split_raw]]*MAX(0,MIN(_xlfn.DAYS(EDATE(V$1,1),Log_2020[[#This Row],[Date]]),Log_2020[[#This Row],[Split_apply]])) - SUM($O27:U27)</f>
        <v>0</v>
      </c>
      <c r="W27" s="58">
        <f ca="1">Log_2020[[#This Row],[Amount]]/Log_2020[[#This Row],[Split_raw]]*MAX(0,MIN(_xlfn.DAYS(EDATE(W$1,1),Log_2020[[#This Row],[Date]]),Log_2020[[#This Row],[Split_apply]])) - SUM($O27:V27)</f>
        <v>0</v>
      </c>
      <c r="X27" s="58">
        <f ca="1">Log_2020[[#This Row],[Amount]]/Log_2020[[#This Row],[Split_raw]]*MAX(0,MIN(_xlfn.DAYS(EDATE(X$1,1),Log_2020[[#This Row],[Date]]),Log_2020[[#This Row],[Split_apply]])) - SUM($O27:W27)</f>
        <v>0</v>
      </c>
      <c r="Y27" s="58">
        <f ca="1">Log_2020[[#This Row],[Amount]]/Log_2020[[#This Row],[Split_raw]]*MAX(0,MIN(_xlfn.DAYS(EDATE(Y$1,1),Log_2020[[#This Row],[Date]]),Log_2020[[#This Row],[Split_apply]])) - SUM($O27:X27)</f>
        <v>0</v>
      </c>
      <c r="Z27" s="58">
        <f ca="1">Log_2020[[#This Row],[Amount]]/Log_2020[[#This Row],[Split_raw]]*MAX(0,MIN(_xlfn.DAYS(EDATE(Z$1,1),Log_2020[[#This Row],[Date]]),Log_2020[[#This Row],[Split_apply]])) - SUM($O27:Y27)</f>
        <v>0</v>
      </c>
      <c r="AA27" s="58">
        <f ca="1">Log_2020[[#This Row],[Amount]]/Log_2020[[#This Row],[Split_raw]]*MAX(0,MIN(_xlfn.DAYS(EDATE(AA$1,1),Log_2020[[#This Row],[Date]]),Log_2020[[#This Row],[Split_apply]])) - SUM($O27:Z27)</f>
        <v>0</v>
      </c>
      <c r="AB27" s="85">
        <f ca="1">Log_2020[[#This Row],[Amount]]*Log_2020[[#This Row],[Split_apply]]/Log_2020[[#This Row],[Split_raw]]-SUM(O27:AA27)</f>
        <v>0</v>
      </c>
      <c r="AC27" s="74">
        <f>MAX(0,Log_2020[[#This Row],[Split_raw]] - (EDATE(AA$1,1)-Log_2020[[#This Row],[Date]]))</f>
        <v>0</v>
      </c>
    </row>
    <row r="28" spans="1:29" x14ac:dyDescent="0.25">
      <c r="A28" s="37"/>
      <c r="B28" s="34" t="s">
        <v>6</v>
      </c>
      <c r="C28" s="34"/>
      <c r="D28" s="35">
        <v>43958</v>
      </c>
      <c r="E28" s="34"/>
      <c r="F28" s="34" t="s">
        <v>620</v>
      </c>
      <c r="G28" s="34" t="s">
        <v>582</v>
      </c>
      <c r="H28">
        <v>-30</v>
      </c>
      <c r="I28" s="36">
        <f>IF(Log_2020[[#This Row],[My Category]]="NONTRACKED",0,Log_2020[[#This Row],[Raw Amount]])</f>
        <v>-30</v>
      </c>
      <c r="J28" s="37">
        <f>ABS(Log_2020[[#This Row],[Amount]])</f>
        <v>30</v>
      </c>
      <c r="K28" s="38">
        <v>30</v>
      </c>
      <c r="L28" s="38">
        <f ca="1">IF(Log_2020[[#This Row],[Date]]&lt;=TODAY(), MIN(Log_2020[[#This Row],[Split_raw]], TODAY()-Log_2020[[#This Row],[Date]]+1), 0)</f>
        <v>30</v>
      </c>
      <c r="M28" s="34" t="s">
        <v>29</v>
      </c>
      <c r="N28" s="34" t="s">
        <v>158</v>
      </c>
      <c r="O28" s="7"/>
      <c r="P28" s="58">
        <f ca="1">Log_2020[[#This Row],[Amount]]/Log_2020[[#This Row],[Split_raw]]*MAX(0,MIN(_xlfn.DAYS(EDATE(P$1,1),Log_2020[[#This Row],[Date]]),Log_2020[[#This Row],[Split_apply]])) - SUM($O28:O28)</f>
        <v>0</v>
      </c>
      <c r="Q28" s="58">
        <f ca="1">Log_2020[[#This Row],[Amount]]/Log_2020[[#This Row],[Split_raw]]*MAX(0,MIN(_xlfn.DAYS(EDATE(Q$1,1),Log_2020[[#This Row],[Date]]),Log_2020[[#This Row],[Split_apply]])) - SUM($O28:P28)</f>
        <v>0</v>
      </c>
      <c r="R28" s="58">
        <f ca="1">Log_2020[[#This Row],[Amount]]/Log_2020[[#This Row],[Split_raw]]*MAX(0,MIN(_xlfn.DAYS(EDATE(R$1,1),Log_2020[[#This Row],[Date]]),Log_2020[[#This Row],[Split_apply]])) - SUM($O28:Q28)</f>
        <v>0</v>
      </c>
      <c r="S28" s="58">
        <f ca="1">Log_2020[[#This Row],[Amount]]/Log_2020[[#This Row],[Split_raw]]*MAX(0,MIN(_xlfn.DAYS(EDATE(S$1,1),Log_2020[[#This Row],[Date]]),Log_2020[[#This Row],[Split_apply]])) - SUM($O28:R28)</f>
        <v>0</v>
      </c>
      <c r="T28" s="58">
        <f ca="1">Log_2020[[#This Row],[Amount]]/Log_2020[[#This Row],[Split_raw]]*MAX(0,MIN(_xlfn.DAYS(EDATE(T$1,1),Log_2020[[#This Row],[Date]]),Log_2020[[#This Row],[Split_apply]])) - SUM($O28:S28)</f>
        <v>-25</v>
      </c>
      <c r="U28" s="58">
        <f ca="1">Log_2020[[#This Row],[Amount]]/Log_2020[[#This Row],[Split_raw]]*MAX(0,MIN(_xlfn.DAYS(EDATE(U$1,1),Log_2020[[#This Row],[Date]]),Log_2020[[#This Row],[Split_apply]])) - SUM($O28:T28)</f>
        <v>-5</v>
      </c>
      <c r="V28" s="58">
        <f ca="1">Log_2020[[#This Row],[Amount]]/Log_2020[[#This Row],[Split_raw]]*MAX(0,MIN(_xlfn.DAYS(EDATE(V$1,1),Log_2020[[#This Row],[Date]]),Log_2020[[#This Row],[Split_apply]])) - SUM($O28:U28)</f>
        <v>0</v>
      </c>
      <c r="W28" s="58">
        <f ca="1">Log_2020[[#This Row],[Amount]]/Log_2020[[#This Row],[Split_raw]]*MAX(0,MIN(_xlfn.DAYS(EDATE(W$1,1),Log_2020[[#This Row],[Date]]),Log_2020[[#This Row],[Split_apply]])) - SUM($O28:V28)</f>
        <v>0</v>
      </c>
      <c r="X28" s="58">
        <f ca="1">Log_2020[[#This Row],[Amount]]/Log_2020[[#This Row],[Split_raw]]*MAX(0,MIN(_xlfn.DAYS(EDATE(X$1,1),Log_2020[[#This Row],[Date]]),Log_2020[[#This Row],[Split_apply]])) - SUM($O28:W28)</f>
        <v>0</v>
      </c>
      <c r="Y28" s="58">
        <f ca="1">Log_2020[[#This Row],[Amount]]/Log_2020[[#This Row],[Split_raw]]*MAX(0,MIN(_xlfn.DAYS(EDATE(Y$1,1),Log_2020[[#This Row],[Date]]),Log_2020[[#This Row],[Split_apply]])) - SUM($O28:X28)</f>
        <v>0</v>
      </c>
      <c r="Z28" s="58">
        <f ca="1">Log_2020[[#This Row],[Amount]]/Log_2020[[#This Row],[Split_raw]]*MAX(0,MIN(_xlfn.DAYS(EDATE(Z$1,1),Log_2020[[#This Row],[Date]]),Log_2020[[#This Row],[Split_apply]])) - SUM($O28:Y28)</f>
        <v>0</v>
      </c>
      <c r="AA28" s="58">
        <f ca="1">Log_2020[[#This Row],[Amount]]/Log_2020[[#This Row],[Split_raw]]*MAX(0,MIN(_xlfn.DAYS(EDATE(AA$1,1),Log_2020[[#This Row],[Date]]),Log_2020[[#This Row],[Split_apply]])) - SUM($O28:Z28)</f>
        <v>0</v>
      </c>
      <c r="AB28" s="85">
        <f ca="1">Log_2020[[#This Row],[Amount]]*Log_2020[[#This Row],[Split_apply]]/Log_2020[[#This Row],[Split_raw]]-SUM(O28:AA28)</f>
        <v>0</v>
      </c>
      <c r="AC28" s="74">
        <f>MAX(0,Log_2020[[#This Row],[Split_raw]] - (EDATE(AA$1,1)-Log_2020[[#This Row],[Date]]))</f>
        <v>0</v>
      </c>
    </row>
    <row r="29" spans="1:29" x14ac:dyDescent="0.25">
      <c r="A29" s="37"/>
      <c r="B29" s="34" t="s">
        <v>6</v>
      </c>
      <c r="C29" s="34"/>
      <c r="D29" s="35">
        <v>43957</v>
      </c>
      <c r="E29" s="34"/>
      <c r="F29" s="34" t="s">
        <v>138</v>
      </c>
      <c r="G29" s="34" t="s">
        <v>104</v>
      </c>
      <c r="H29">
        <v>-491.03</v>
      </c>
      <c r="I29" s="36">
        <f>IF(Log_2020[[#This Row],[My Category]]="NONTRACKED",0,Log_2020[[#This Row],[Raw Amount]])</f>
        <v>-491.03</v>
      </c>
      <c r="J29" s="37">
        <f>ABS(Log_2020[[#This Row],[Amount]])</f>
        <v>491.03</v>
      </c>
      <c r="K29" s="38">
        <v>1</v>
      </c>
      <c r="L29" s="38">
        <f ca="1">IF(Log_2020[[#This Row],[Date]]&lt;=TODAY(), MIN(Log_2020[[#This Row],[Split_raw]], TODAY()-Log_2020[[#This Row],[Date]]+1), 0)</f>
        <v>1</v>
      </c>
      <c r="M29" s="34" t="s">
        <v>159</v>
      </c>
      <c r="N29" s="34" t="s">
        <v>160</v>
      </c>
      <c r="O29" s="7"/>
      <c r="P29" s="58">
        <f ca="1">Log_2020[[#This Row],[Amount]]/Log_2020[[#This Row],[Split_raw]]*MAX(0,MIN(_xlfn.DAYS(EDATE(P$1,1),Log_2020[[#This Row],[Date]]),Log_2020[[#This Row],[Split_apply]])) - SUM($O29:O29)</f>
        <v>0</v>
      </c>
      <c r="Q29" s="58">
        <f ca="1">Log_2020[[#This Row],[Amount]]/Log_2020[[#This Row],[Split_raw]]*MAX(0,MIN(_xlfn.DAYS(EDATE(Q$1,1),Log_2020[[#This Row],[Date]]),Log_2020[[#This Row],[Split_apply]])) - SUM($O29:P29)</f>
        <v>0</v>
      </c>
      <c r="R29" s="58">
        <f ca="1">Log_2020[[#This Row],[Amount]]/Log_2020[[#This Row],[Split_raw]]*MAX(0,MIN(_xlfn.DAYS(EDATE(R$1,1),Log_2020[[#This Row],[Date]]),Log_2020[[#This Row],[Split_apply]])) - SUM($O29:Q29)</f>
        <v>0</v>
      </c>
      <c r="S29" s="58">
        <f ca="1">Log_2020[[#This Row],[Amount]]/Log_2020[[#This Row],[Split_raw]]*MAX(0,MIN(_xlfn.DAYS(EDATE(S$1,1),Log_2020[[#This Row],[Date]]),Log_2020[[#This Row],[Split_apply]])) - SUM($O29:R29)</f>
        <v>0</v>
      </c>
      <c r="T29" s="58">
        <f ca="1">Log_2020[[#This Row],[Amount]]/Log_2020[[#This Row],[Split_raw]]*MAX(0,MIN(_xlfn.DAYS(EDATE(T$1,1),Log_2020[[#This Row],[Date]]),Log_2020[[#This Row],[Split_apply]])) - SUM($O29:S29)</f>
        <v>-491.03</v>
      </c>
      <c r="U29" s="58">
        <f ca="1">Log_2020[[#This Row],[Amount]]/Log_2020[[#This Row],[Split_raw]]*MAX(0,MIN(_xlfn.DAYS(EDATE(U$1,1),Log_2020[[#This Row],[Date]]),Log_2020[[#This Row],[Split_apply]])) - SUM($O29:T29)</f>
        <v>0</v>
      </c>
      <c r="V29" s="58">
        <f ca="1">Log_2020[[#This Row],[Amount]]/Log_2020[[#This Row],[Split_raw]]*MAX(0,MIN(_xlfn.DAYS(EDATE(V$1,1),Log_2020[[#This Row],[Date]]),Log_2020[[#This Row],[Split_apply]])) - SUM($O29:U29)</f>
        <v>0</v>
      </c>
      <c r="W29" s="58">
        <f ca="1">Log_2020[[#This Row],[Amount]]/Log_2020[[#This Row],[Split_raw]]*MAX(0,MIN(_xlfn.DAYS(EDATE(W$1,1),Log_2020[[#This Row],[Date]]),Log_2020[[#This Row],[Split_apply]])) - SUM($O29:V29)</f>
        <v>0</v>
      </c>
      <c r="X29" s="58">
        <f ca="1">Log_2020[[#This Row],[Amount]]/Log_2020[[#This Row],[Split_raw]]*MAX(0,MIN(_xlfn.DAYS(EDATE(X$1,1),Log_2020[[#This Row],[Date]]),Log_2020[[#This Row],[Split_apply]])) - SUM($O29:W29)</f>
        <v>0</v>
      </c>
      <c r="Y29" s="58">
        <f ca="1">Log_2020[[#This Row],[Amount]]/Log_2020[[#This Row],[Split_raw]]*MAX(0,MIN(_xlfn.DAYS(EDATE(Y$1,1),Log_2020[[#This Row],[Date]]),Log_2020[[#This Row],[Split_apply]])) - SUM($O29:X29)</f>
        <v>0</v>
      </c>
      <c r="Z29" s="58">
        <f ca="1">Log_2020[[#This Row],[Amount]]/Log_2020[[#This Row],[Split_raw]]*MAX(0,MIN(_xlfn.DAYS(EDATE(Z$1,1),Log_2020[[#This Row],[Date]]),Log_2020[[#This Row],[Split_apply]])) - SUM($O29:Y29)</f>
        <v>0</v>
      </c>
      <c r="AA29" s="58">
        <f ca="1">Log_2020[[#This Row],[Amount]]/Log_2020[[#This Row],[Split_raw]]*MAX(0,MIN(_xlfn.DAYS(EDATE(AA$1,1),Log_2020[[#This Row],[Date]]),Log_2020[[#This Row],[Split_apply]])) - SUM($O29:Z29)</f>
        <v>0</v>
      </c>
      <c r="AB29" s="85">
        <f ca="1">Log_2020[[#This Row],[Amount]]*Log_2020[[#This Row],[Split_apply]]/Log_2020[[#This Row],[Split_raw]]-SUM(O29:AA29)</f>
        <v>0</v>
      </c>
      <c r="AC29" s="74">
        <f>MAX(0,Log_2020[[#This Row],[Split_raw]] - (EDATE(AA$1,1)-Log_2020[[#This Row],[Date]]))</f>
        <v>0</v>
      </c>
    </row>
    <row r="30" spans="1:29" x14ac:dyDescent="0.25">
      <c r="A30" s="37"/>
      <c r="B30" s="34" t="s">
        <v>6</v>
      </c>
      <c r="C30" s="34"/>
      <c r="D30" s="35">
        <v>43956</v>
      </c>
      <c r="E30" s="34"/>
      <c r="F30" s="34" t="s">
        <v>105</v>
      </c>
      <c r="G30" s="34" t="s">
        <v>104</v>
      </c>
      <c r="H30">
        <f>--491.03</f>
        <v>491.03</v>
      </c>
      <c r="I30" s="36">
        <f>IF(Log_2020[[#This Row],[My Category]]="NONTRACKED",0,Log_2020[[#This Row],[Raw Amount]])</f>
        <v>491.03</v>
      </c>
      <c r="J30" s="37">
        <f>ABS(Log_2020[[#This Row],[Amount]])</f>
        <v>491.03</v>
      </c>
      <c r="K30" s="38">
        <v>1</v>
      </c>
      <c r="L30" s="38">
        <f ca="1">IF(Log_2020[[#This Row],[Date]]&lt;=TODAY(), MIN(Log_2020[[#This Row],[Split_raw]], TODAY()-Log_2020[[#This Row],[Date]]+1), 0)</f>
        <v>1</v>
      </c>
      <c r="M30" s="34" t="s">
        <v>159</v>
      </c>
      <c r="N30" s="34" t="s">
        <v>158</v>
      </c>
      <c r="O30" s="7"/>
      <c r="P30" s="58">
        <f ca="1">Log_2020[[#This Row],[Amount]]/Log_2020[[#This Row],[Split_raw]]*MAX(0,MIN(_xlfn.DAYS(EDATE(P$1,1),Log_2020[[#This Row],[Date]]),Log_2020[[#This Row],[Split_apply]])) - SUM($O30:O30)</f>
        <v>0</v>
      </c>
      <c r="Q30" s="58">
        <f ca="1">Log_2020[[#This Row],[Amount]]/Log_2020[[#This Row],[Split_raw]]*MAX(0,MIN(_xlfn.DAYS(EDATE(Q$1,1),Log_2020[[#This Row],[Date]]),Log_2020[[#This Row],[Split_apply]])) - SUM($O30:P30)</f>
        <v>0</v>
      </c>
      <c r="R30" s="58">
        <f ca="1">Log_2020[[#This Row],[Amount]]/Log_2020[[#This Row],[Split_raw]]*MAX(0,MIN(_xlfn.DAYS(EDATE(R$1,1),Log_2020[[#This Row],[Date]]),Log_2020[[#This Row],[Split_apply]])) - SUM($O30:Q30)</f>
        <v>0</v>
      </c>
      <c r="S30" s="58">
        <f ca="1">Log_2020[[#This Row],[Amount]]/Log_2020[[#This Row],[Split_raw]]*MAX(0,MIN(_xlfn.DAYS(EDATE(S$1,1),Log_2020[[#This Row],[Date]]),Log_2020[[#This Row],[Split_apply]])) - SUM($O30:R30)</f>
        <v>0</v>
      </c>
      <c r="T30" s="58">
        <f ca="1">Log_2020[[#This Row],[Amount]]/Log_2020[[#This Row],[Split_raw]]*MAX(0,MIN(_xlfn.DAYS(EDATE(T$1,1),Log_2020[[#This Row],[Date]]),Log_2020[[#This Row],[Split_apply]])) - SUM($O30:S30)</f>
        <v>491.03</v>
      </c>
      <c r="U30" s="58">
        <f ca="1">Log_2020[[#This Row],[Amount]]/Log_2020[[#This Row],[Split_raw]]*MAX(0,MIN(_xlfn.DAYS(EDATE(U$1,1),Log_2020[[#This Row],[Date]]),Log_2020[[#This Row],[Split_apply]])) - SUM($O30:T30)</f>
        <v>0</v>
      </c>
      <c r="V30" s="58">
        <f ca="1">Log_2020[[#This Row],[Amount]]/Log_2020[[#This Row],[Split_raw]]*MAX(0,MIN(_xlfn.DAYS(EDATE(V$1,1),Log_2020[[#This Row],[Date]]),Log_2020[[#This Row],[Split_apply]])) - SUM($O30:U30)</f>
        <v>0</v>
      </c>
      <c r="W30" s="58">
        <f ca="1">Log_2020[[#This Row],[Amount]]/Log_2020[[#This Row],[Split_raw]]*MAX(0,MIN(_xlfn.DAYS(EDATE(W$1,1),Log_2020[[#This Row],[Date]]),Log_2020[[#This Row],[Split_apply]])) - SUM($O30:V30)</f>
        <v>0</v>
      </c>
      <c r="X30" s="58">
        <f ca="1">Log_2020[[#This Row],[Amount]]/Log_2020[[#This Row],[Split_raw]]*MAX(0,MIN(_xlfn.DAYS(EDATE(X$1,1),Log_2020[[#This Row],[Date]]),Log_2020[[#This Row],[Split_apply]])) - SUM($O30:W30)</f>
        <v>0</v>
      </c>
      <c r="Y30" s="58">
        <f ca="1">Log_2020[[#This Row],[Amount]]/Log_2020[[#This Row],[Split_raw]]*MAX(0,MIN(_xlfn.DAYS(EDATE(Y$1,1),Log_2020[[#This Row],[Date]]),Log_2020[[#This Row],[Split_apply]])) - SUM($O30:X30)</f>
        <v>0</v>
      </c>
      <c r="Z30" s="58">
        <f ca="1">Log_2020[[#This Row],[Amount]]/Log_2020[[#This Row],[Split_raw]]*MAX(0,MIN(_xlfn.DAYS(EDATE(Z$1,1),Log_2020[[#This Row],[Date]]),Log_2020[[#This Row],[Split_apply]])) - SUM($O30:Y30)</f>
        <v>0</v>
      </c>
      <c r="AA30" s="58">
        <f ca="1">Log_2020[[#This Row],[Amount]]/Log_2020[[#This Row],[Split_raw]]*MAX(0,MIN(_xlfn.DAYS(EDATE(AA$1,1),Log_2020[[#This Row],[Date]]),Log_2020[[#This Row],[Split_apply]])) - SUM($O30:Z30)</f>
        <v>0</v>
      </c>
      <c r="AB30" s="85">
        <f ca="1">Log_2020[[#This Row],[Amount]]*Log_2020[[#This Row],[Split_apply]]/Log_2020[[#This Row],[Split_raw]]-SUM(O30:AA30)</f>
        <v>0</v>
      </c>
      <c r="AC30" s="74">
        <f>MAX(0,Log_2020[[#This Row],[Split_raw]] - (EDATE(AA$1,1)-Log_2020[[#This Row],[Date]]))</f>
        <v>0</v>
      </c>
    </row>
    <row r="31" spans="1:29" x14ac:dyDescent="0.25">
      <c r="A31" s="37"/>
      <c r="B31" s="34" t="s">
        <v>6</v>
      </c>
      <c r="C31" s="34"/>
      <c r="D31" s="35">
        <v>43955</v>
      </c>
      <c r="E31" s="34"/>
      <c r="F31" s="34" t="s">
        <v>1090</v>
      </c>
      <c r="G31" s="34" t="s">
        <v>82</v>
      </c>
      <c r="H31">
        <v>-320</v>
      </c>
      <c r="I31" s="36">
        <f>IF(Log_2020[[#This Row],[My Category]]="NONTRACKED",0,Log_2020[[#This Row],[Raw Amount]])</f>
        <v>-320</v>
      </c>
      <c r="J31" s="37">
        <f>ABS(Log_2020[[#This Row],[Amount]])</f>
        <v>320</v>
      </c>
      <c r="K31" s="38">
        <v>30</v>
      </c>
      <c r="L31" s="38">
        <f ca="1">IF(Log_2020[[#This Row],[Date]]&lt;=TODAY(), MIN(Log_2020[[#This Row],[Split_raw]], TODAY()-Log_2020[[#This Row],[Date]]+1), 0)</f>
        <v>30</v>
      </c>
      <c r="M31" s="34" t="s">
        <v>93</v>
      </c>
      <c r="N31" s="34" t="s">
        <v>160</v>
      </c>
      <c r="O31" s="7"/>
      <c r="P31" s="58">
        <f ca="1">Log_2020[[#This Row],[Amount]]/Log_2020[[#This Row],[Split_raw]]*MAX(0,MIN(_xlfn.DAYS(EDATE(P$1,1),Log_2020[[#This Row],[Date]]),Log_2020[[#This Row],[Split_apply]])) - SUM($O31:O31)</f>
        <v>0</v>
      </c>
      <c r="Q31" s="58">
        <f ca="1">Log_2020[[#This Row],[Amount]]/Log_2020[[#This Row],[Split_raw]]*MAX(0,MIN(_xlfn.DAYS(EDATE(Q$1,1),Log_2020[[#This Row],[Date]]),Log_2020[[#This Row],[Split_apply]])) - SUM($O31:P31)</f>
        <v>0</v>
      </c>
      <c r="R31" s="58">
        <f ca="1">Log_2020[[#This Row],[Amount]]/Log_2020[[#This Row],[Split_raw]]*MAX(0,MIN(_xlfn.DAYS(EDATE(R$1,1),Log_2020[[#This Row],[Date]]),Log_2020[[#This Row],[Split_apply]])) - SUM($O31:Q31)</f>
        <v>0</v>
      </c>
      <c r="S31" s="58">
        <f ca="1">Log_2020[[#This Row],[Amount]]/Log_2020[[#This Row],[Split_raw]]*MAX(0,MIN(_xlfn.DAYS(EDATE(S$1,1),Log_2020[[#This Row],[Date]]),Log_2020[[#This Row],[Split_apply]])) - SUM($O31:R31)</f>
        <v>0</v>
      </c>
      <c r="T31" s="58">
        <f ca="1">Log_2020[[#This Row],[Amount]]/Log_2020[[#This Row],[Split_raw]]*MAX(0,MIN(_xlfn.DAYS(EDATE(T$1,1),Log_2020[[#This Row],[Date]]),Log_2020[[#This Row],[Split_apply]])) - SUM($O31:S31)</f>
        <v>-298.66666666666663</v>
      </c>
      <c r="U31" s="58">
        <f ca="1">Log_2020[[#This Row],[Amount]]/Log_2020[[#This Row],[Split_raw]]*MAX(0,MIN(_xlfn.DAYS(EDATE(U$1,1),Log_2020[[#This Row],[Date]]),Log_2020[[#This Row],[Split_apply]])) - SUM($O31:T31)</f>
        <v>-21.333333333333371</v>
      </c>
      <c r="V31" s="58">
        <f ca="1">Log_2020[[#This Row],[Amount]]/Log_2020[[#This Row],[Split_raw]]*MAX(0,MIN(_xlfn.DAYS(EDATE(V$1,1),Log_2020[[#This Row],[Date]]),Log_2020[[#This Row],[Split_apply]])) - SUM($O31:U31)</f>
        <v>0</v>
      </c>
      <c r="W31" s="58">
        <f ca="1">Log_2020[[#This Row],[Amount]]/Log_2020[[#This Row],[Split_raw]]*MAX(0,MIN(_xlfn.DAYS(EDATE(W$1,1),Log_2020[[#This Row],[Date]]),Log_2020[[#This Row],[Split_apply]])) - SUM($O31:V31)</f>
        <v>0</v>
      </c>
      <c r="X31" s="58">
        <f ca="1">Log_2020[[#This Row],[Amount]]/Log_2020[[#This Row],[Split_raw]]*MAX(0,MIN(_xlfn.DAYS(EDATE(X$1,1),Log_2020[[#This Row],[Date]]),Log_2020[[#This Row],[Split_apply]])) - SUM($O31:W31)</f>
        <v>0</v>
      </c>
      <c r="Y31" s="58">
        <f ca="1">Log_2020[[#This Row],[Amount]]/Log_2020[[#This Row],[Split_raw]]*MAX(0,MIN(_xlfn.DAYS(EDATE(Y$1,1),Log_2020[[#This Row],[Date]]),Log_2020[[#This Row],[Split_apply]])) - SUM($O31:X31)</f>
        <v>0</v>
      </c>
      <c r="Z31" s="58">
        <f ca="1">Log_2020[[#This Row],[Amount]]/Log_2020[[#This Row],[Split_raw]]*MAX(0,MIN(_xlfn.DAYS(EDATE(Z$1,1),Log_2020[[#This Row],[Date]]),Log_2020[[#This Row],[Split_apply]])) - SUM($O31:Y31)</f>
        <v>0</v>
      </c>
      <c r="AA31" s="58">
        <f ca="1">Log_2020[[#This Row],[Amount]]/Log_2020[[#This Row],[Split_raw]]*MAX(0,MIN(_xlfn.DAYS(EDATE(AA$1,1),Log_2020[[#This Row],[Date]]),Log_2020[[#This Row],[Split_apply]])) - SUM($O31:Z31)</f>
        <v>0</v>
      </c>
      <c r="AB31" s="85">
        <f ca="1">Log_2020[[#This Row],[Amount]]*Log_2020[[#This Row],[Split_apply]]/Log_2020[[#This Row],[Split_raw]]-SUM(O31:AA31)</f>
        <v>0</v>
      </c>
      <c r="AC31" s="74">
        <f>MAX(0,Log_2020[[#This Row],[Split_raw]] - (EDATE(AA$1,1)-Log_2020[[#This Row],[Date]]))</f>
        <v>0</v>
      </c>
    </row>
    <row r="32" spans="1:29" x14ac:dyDescent="0.25">
      <c r="A32" s="37"/>
      <c r="B32" s="34" t="s">
        <v>191</v>
      </c>
      <c r="C32" s="34"/>
      <c r="D32" s="35">
        <v>43955</v>
      </c>
      <c r="E32" s="34"/>
      <c r="F32" s="34" t="s">
        <v>527</v>
      </c>
      <c r="G32" s="34" t="s">
        <v>384</v>
      </c>
      <c r="H32">
        <v>-40</v>
      </c>
      <c r="I32" s="36">
        <f>IF(Log_2020[[#This Row],[My Category]]="NONTRACKED",0,Log_2020[[#This Row],[Raw Amount]])</f>
        <v>-40</v>
      </c>
      <c r="J32" s="37">
        <f>ABS(Log_2020[[#This Row],[Amount]])</f>
        <v>40</v>
      </c>
      <c r="K32" s="38">
        <v>31</v>
      </c>
      <c r="L32" s="38">
        <f ca="1">IF(Log_2020[[#This Row],[Date]]&lt;=TODAY(), MIN(Log_2020[[#This Row],[Split_raw]], TODAY()-Log_2020[[#This Row],[Date]]+1), 0)</f>
        <v>31</v>
      </c>
      <c r="M32" s="34" t="s">
        <v>29</v>
      </c>
      <c r="N32" s="34" t="s">
        <v>160</v>
      </c>
      <c r="O32" s="7"/>
      <c r="P32" s="58">
        <f ca="1">Log_2020[[#This Row],[Amount]]/Log_2020[[#This Row],[Split_raw]]*MAX(0,MIN(_xlfn.DAYS(EDATE(P$1,1),Log_2020[[#This Row],[Date]]),Log_2020[[#This Row],[Split_apply]])) - SUM($O32:O32)</f>
        <v>0</v>
      </c>
      <c r="Q32" s="58">
        <f ca="1">Log_2020[[#This Row],[Amount]]/Log_2020[[#This Row],[Split_raw]]*MAX(0,MIN(_xlfn.DAYS(EDATE(Q$1,1),Log_2020[[#This Row],[Date]]),Log_2020[[#This Row],[Split_apply]])) - SUM($O32:P32)</f>
        <v>0</v>
      </c>
      <c r="R32" s="58">
        <f ca="1">Log_2020[[#This Row],[Amount]]/Log_2020[[#This Row],[Split_raw]]*MAX(0,MIN(_xlfn.DAYS(EDATE(R$1,1),Log_2020[[#This Row],[Date]]),Log_2020[[#This Row],[Split_apply]])) - SUM($O32:Q32)</f>
        <v>0</v>
      </c>
      <c r="S32" s="58">
        <f ca="1">Log_2020[[#This Row],[Amount]]/Log_2020[[#This Row],[Split_raw]]*MAX(0,MIN(_xlfn.DAYS(EDATE(S$1,1),Log_2020[[#This Row],[Date]]),Log_2020[[#This Row],[Split_apply]])) - SUM($O32:R32)</f>
        <v>0</v>
      </c>
      <c r="T32" s="58">
        <f ca="1">Log_2020[[#This Row],[Amount]]/Log_2020[[#This Row],[Split_raw]]*MAX(0,MIN(_xlfn.DAYS(EDATE(T$1,1),Log_2020[[#This Row],[Date]]),Log_2020[[#This Row],[Split_apply]])) - SUM($O32:S32)</f>
        <v>-36.129032258064512</v>
      </c>
      <c r="U32" s="58">
        <f ca="1">Log_2020[[#This Row],[Amount]]/Log_2020[[#This Row],[Split_raw]]*MAX(0,MIN(_xlfn.DAYS(EDATE(U$1,1),Log_2020[[#This Row],[Date]]),Log_2020[[#This Row],[Split_apply]])) - SUM($O32:T32)</f>
        <v>-3.8709677419354875</v>
      </c>
      <c r="V32" s="58">
        <f ca="1">Log_2020[[#This Row],[Amount]]/Log_2020[[#This Row],[Split_raw]]*MAX(0,MIN(_xlfn.DAYS(EDATE(V$1,1),Log_2020[[#This Row],[Date]]),Log_2020[[#This Row],[Split_apply]])) - SUM($O32:U32)</f>
        <v>0</v>
      </c>
      <c r="W32" s="58">
        <f ca="1">Log_2020[[#This Row],[Amount]]/Log_2020[[#This Row],[Split_raw]]*MAX(0,MIN(_xlfn.DAYS(EDATE(W$1,1),Log_2020[[#This Row],[Date]]),Log_2020[[#This Row],[Split_apply]])) - SUM($O32:V32)</f>
        <v>0</v>
      </c>
      <c r="X32" s="58">
        <f ca="1">Log_2020[[#This Row],[Amount]]/Log_2020[[#This Row],[Split_raw]]*MAX(0,MIN(_xlfn.DAYS(EDATE(X$1,1),Log_2020[[#This Row],[Date]]),Log_2020[[#This Row],[Split_apply]])) - SUM($O32:W32)</f>
        <v>0</v>
      </c>
      <c r="Y32" s="58">
        <f ca="1">Log_2020[[#This Row],[Amount]]/Log_2020[[#This Row],[Split_raw]]*MAX(0,MIN(_xlfn.DAYS(EDATE(Y$1,1),Log_2020[[#This Row],[Date]]),Log_2020[[#This Row],[Split_apply]])) - SUM($O32:X32)</f>
        <v>0</v>
      </c>
      <c r="Z32" s="58">
        <f ca="1">Log_2020[[#This Row],[Amount]]/Log_2020[[#This Row],[Split_raw]]*MAX(0,MIN(_xlfn.DAYS(EDATE(Z$1,1),Log_2020[[#This Row],[Date]]),Log_2020[[#This Row],[Split_apply]])) - SUM($O32:Y32)</f>
        <v>0</v>
      </c>
      <c r="AA32" s="58">
        <f ca="1">Log_2020[[#This Row],[Amount]]/Log_2020[[#This Row],[Split_raw]]*MAX(0,MIN(_xlfn.DAYS(EDATE(AA$1,1),Log_2020[[#This Row],[Date]]),Log_2020[[#This Row],[Split_apply]])) - SUM($O32:Z32)</f>
        <v>0</v>
      </c>
      <c r="AB32" s="85">
        <f ca="1">Log_2020[[#This Row],[Amount]]*Log_2020[[#This Row],[Split_apply]]/Log_2020[[#This Row],[Split_raw]]-SUM(O32:AA32)</f>
        <v>0</v>
      </c>
      <c r="AC32" s="74">
        <f>MAX(0,Log_2020[[#This Row],[Split_raw]] - (EDATE(AA$1,1)-Log_2020[[#This Row],[Date]]))</f>
        <v>0</v>
      </c>
    </row>
    <row r="33" spans="1:29" x14ac:dyDescent="0.25">
      <c r="A33" s="37"/>
      <c r="B33" s="34" t="s">
        <v>191</v>
      </c>
      <c r="C33" s="34"/>
      <c r="D33" s="35">
        <v>43955</v>
      </c>
      <c r="E33" t="s">
        <v>960</v>
      </c>
      <c r="F33" s="34" t="s">
        <v>527</v>
      </c>
      <c r="G33" s="34" t="s">
        <v>384</v>
      </c>
      <c r="H33">
        <v>-1650</v>
      </c>
      <c r="I33" s="36">
        <f>IF(Log_2020[[#This Row],[My Category]]="NONTRACKED",0,Log_2020[[#This Row],[Raw Amount]])</f>
        <v>-1650</v>
      </c>
      <c r="J33" s="37">
        <f>ABS(Log_2020[[#This Row],[Amount]])</f>
        <v>1650</v>
      </c>
      <c r="K33" s="38">
        <v>31</v>
      </c>
      <c r="L33" s="38">
        <f ca="1">IF(Log_2020[[#This Row],[Date]]&lt;=TODAY(), MIN(Log_2020[[#This Row],[Split_raw]], TODAY()-Log_2020[[#This Row],[Date]]+1), 0)</f>
        <v>31</v>
      </c>
      <c r="M33" s="34" t="s">
        <v>28</v>
      </c>
      <c r="N33" s="34" t="s">
        <v>160</v>
      </c>
      <c r="O33" s="7"/>
      <c r="P33" s="58">
        <f ca="1">Log_2020[[#This Row],[Amount]]/Log_2020[[#This Row],[Split_raw]]*MAX(0,MIN(_xlfn.DAYS(EDATE(P$1,1),Log_2020[[#This Row],[Date]]),Log_2020[[#This Row],[Split_apply]])) - SUM($O33:O33)</f>
        <v>0</v>
      </c>
      <c r="Q33" s="58">
        <f ca="1">Log_2020[[#This Row],[Amount]]/Log_2020[[#This Row],[Split_raw]]*MAX(0,MIN(_xlfn.DAYS(EDATE(Q$1,1),Log_2020[[#This Row],[Date]]),Log_2020[[#This Row],[Split_apply]])) - SUM($O33:P33)</f>
        <v>0</v>
      </c>
      <c r="R33" s="58">
        <f ca="1">Log_2020[[#This Row],[Amount]]/Log_2020[[#This Row],[Split_raw]]*MAX(0,MIN(_xlfn.DAYS(EDATE(R$1,1),Log_2020[[#This Row],[Date]]),Log_2020[[#This Row],[Split_apply]])) - SUM($O33:Q33)</f>
        <v>0</v>
      </c>
      <c r="S33" s="58">
        <f ca="1">Log_2020[[#This Row],[Amount]]/Log_2020[[#This Row],[Split_raw]]*MAX(0,MIN(_xlfn.DAYS(EDATE(S$1,1),Log_2020[[#This Row],[Date]]),Log_2020[[#This Row],[Split_apply]])) - SUM($O33:R33)</f>
        <v>0</v>
      </c>
      <c r="T33" s="58">
        <f ca="1">Log_2020[[#This Row],[Amount]]/Log_2020[[#This Row],[Split_raw]]*MAX(0,MIN(_xlfn.DAYS(EDATE(T$1,1),Log_2020[[#This Row],[Date]]),Log_2020[[#This Row],[Split_apply]])) - SUM($O33:S33)</f>
        <v>-1490.3225806451612</v>
      </c>
      <c r="U33" s="58">
        <f ca="1">Log_2020[[#This Row],[Amount]]/Log_2020[[#This Row],[Split_raw]]*MAX(0,MIN(_xlfn.DAYS(EDATE(U$1,1),Log_2020[[#This Row],[Date]]),Log_2020[[#This Row],[Split_apply]])) - SUM($O33:T33)</f>
        <v>-159.67741935483878</v>
      </c>
      <c r="V33" s="58">
        <f ca="1">Log_2020[[#This Row],[Amount]]/Log_2020[[#This Row],[Split_raw]]*MAX(0,MIN(_xlfn.DAYS(EDATE(V$1,1),Log_2020[[#This Row],[Date]]),Log_2020[[#This Row],[Split_apply]])) - SUM($O33:U33)</f>
        <v>0</v>
      </c>
      <c r="W33" s="58">
        <f ca="1">Log_2020[[#This Row],[Amount]]/Log_2020[[#This Row],[Split_raw]]*MAX(0,MIN(_xlfn.DAYS(EDATE(W$1,1),Log_2020[[#This Row],[Date]]),Log_2020[[#This Row],[Split_apply]])) - SUM($O33:V33)</f>
        <v>0</v>
      </c>
      <c r="X33" s="58">
        <f ca="1">Log_2020[[#This Row],[Amount]]/Log_2020[[#This Row],[Split_raw]]*MAX(0,MIN(_xlfn.DAYS(EDATE(X$1,1),Log_2020[[#This Row],[Date]]),Log_2020[[#This Row],[Split_apply]])) - SUM($O33:W33)</f>
        <v>0</v>
      </c>
      <c r="Y33" s="58">
        <f ca="1">Log_2020[[#This Row],[Amount]]/Log_2020[[#This Row],[Split_raw]]*MAX(0,MIN(_xlfn.DAYS(EDATE(Y$1,1),Log_2020[[#This Row],[Date]]),Log_2020[[#This Row],[Split_apply]])) - SUM($O33:X33)</f>
        <v>0</v>
      </c>
      <c r="Z33" s="58">
        <f ca="1">Log_2020[[#This Row],[Amount]]/Log_2020[[#This Row],[Split_raw]]*MAX(0,MIN(_xlfn.DAYS(EDATE(Z$1,1),Log_2020[[#This Row],[Date]]),Log_2020[[#This Row],[Split_apply]])) - SUM($O33:Y33)</f>
        <v>0</v>
      </c>
      <c r="AA33" s="58">
        <f ca="1">Log_2020[[#This Row],[Amount]]/Log_2020[[#This Row],[Split_raw]]*MAX(0,MIN(_xlfn.DAYS(EDATE(AA$1,1),Log_2020[[#This Row],[Date]]),Log_2020[[#This Row],[Split_apply]])) - SUM($O33:Z33)</f>
        <v>0</v>
      </c>
      <c r="AB33" s="85">
        <f ca="1">Log_2020[[#This Row],[Amount]]*Log_2020[[#This Row],[Split_apply]]/Log_2020[[#This Row],[Split_raw]]-SUM(O33:AA33)</f>
        <v>0</v>
      </c>
      <c r="AC33" s="74">
        <f>MAX(0,Log_2020[[#This Row],[Split_raw]] - (EDATE(AA$1,1)-Log_2020[[#This Row],[Date]]))</f>
        <v>0</v>
      </c>
    </row>
    <row r="34" spans="1:29" x14ac:dyDescent="0.25">
      <c r="A34" s="37"/>
      <c r="B34" s="34" t="s">
        <v>6</v>
      </c>
      <c r="C34" s="34"/>
      <c r="D34" s="35">
        <v>43950</v>
      </c>
      <c r="E34" s="34"/>
      <c r="F34" s="34" t="s">
        <v>16</v>
      </c>
      <c r="G34" s="34" t="s">
        <v>17</v>
      </c>
      <c r="H34">
        <f>--0.18</f>
        <v>0.18</v>
      </c>
      <c r="I34" s="36">
        <f>IF(Log_2020[[#This Row],[My Category]]="NONTRACKED",0,Log_2020[[#This Row],[Raw Amount]])</f>
        <v>0.18</v>
      </c>
      <c r="J34" s="37">
        <f>ABS(Log_2020[[#This Row],[Amount]])</f>
        <v>0.18</v>
      </c>
      <c r="K34" s="38">
        <v>1</v>
      </c>
      <c r="L34" s="38">
        <f ca="1">IF(Log_2020[[#This Row],[Date]]&lt;=TODAY(), MIN(Log_2020[[#This Row],[Split_raw]], TODAY()-Log_2020[[#This Row],[Date]]+1), 0)</f>
        <v>1</v>
      </c>
      <c r="M34" s="34" t="s">
        <v>144</v>
      </c>
      <c r="N34" s="34" t="s">
        <v>160</v>
      </c>
      <c r="O34" s="7"/>
      <c r="P34" s="58">
        <f ca="1">Log_2020[[#This Row],[Amount]]/Log_2020[[#This Row],[Split_raw]]*MAX(0,MIN(_xlfn.DAYS(EDATE(P$1,1),Log_2020[[#This Row],[Date]]),Log_2020[[#This Row],[Split_apply]])) - SUM($O34:O34)</f>
        <v>0</v>
      </c>
      <c r="Q34" s="58">
        <f ca="1">Log_2020[[#This Row],[Amount]]/Log_2020[[#This Row],[Split_raw]]*MAX(0,MIN(_xlfn.DAYS(EDATE(Q$1,1),Log_2020[[#This Row],[Date]]),Log_2020[[#This Row],[Split_apply]])) - SUM($O34:P34)</f>
        <v>0</v>
      </c>
      <c r="R34" s="58">
        <f ca="1">Log_2020[[#This Row],[Amount]]/Log_2020[[#This Row],[Split_raw]]*MAX(0,MIN(_xlfn.DAYS(EDATE(R$1,1),Log_2020[[#This Row],[Date]]),Log_2020[[#This Row],[Split_apply]])) - SUM($O34:Q34)</f>
        <v>0</v>
      </c>
      <c r="S34" s="58">
        <f ca="1">Log_2020[[#This Row],[Amount]]/Log_2020[[#This Row],[Split_raw]]*MAX(0,MIN(_xlfn.DAYS(EDATE(S$1,1),Log_2020[[#This Row],[Date]]),Log_2020[[#This Row],[Split_apply]])) - SUM($O34:R34)</f>
        <v>0.18</v>
      </c>
      <c r="T34" s="58">
        <f ca="1">Log_2020[[#This Row],[Amount]]/Log_2020[[#This Row],[Split_raw]]*MAX(0,MIN(_xlfn.DAYS(EDATE(T$1,1),Log_2020[[#This Row],[Date]]),Log_2020[[#This Row],[Split_apply]])) - SUM($O34:S34)</f>
        <v>0</v>
      </c>
      <c r="U34" s="58">
        <f ca="1">Log_2020[[#This Row],[Amount]]/Log_2020[[#This Row],[Split_raw]]*MAX(0,MIN(_xlfn.DAYS(EDATE(U$1,1),Log_2020[[#This Row],[Date]]),Log_2020[[#This Row],[Split_apply]])) - SUM($O34:T34)</f>
        <v>0</v>
      </c>
      <c r="V34" s="58">
        <f ca="1">Log_2020[[#This Row],[Amount]]/Log_2020[[#This Row],[Split_raw]]*MAX(0,MIN(_xlfn.DAYS(EDATE(V$1,1),Log_2020[[#This Row],[Date]]),Log_2020[[#This Row],[Split_apply]])) - SUM($O34:U34)</f>
        <v>0</v>
      </c>
      <c r="W34" s="58">
        <f ca="1">Log_2020[[#This Row],[Amount]]/Log_2020[[#This Row],[Split_raw]]*MAX(0,MIN(_xlfn.DAYS(EDATE(W$1,1),Log_2020[[#This Row],[Date]]),Log_2020[[#This Row],[Split_apply]])) - SUM($O34:V34)</f>
        <v>0</v>
      </c>
      <c r="X34" s="58">
        <f ca="1">Log_2020[[#This Row],[Amount]]/Log_2020[[#This Row],[Split_raw]]*MAX(0,MIN(_xlfn.DAYS(EDATE(X$1,1),Log_2020[[#This Row],[Date]]),Log_2020[[#This Row],[Split_apply]])) - SUM($O34:W34)</f>
        <v>0</v>
      </c>
      <c r="Y34" s="58">
        <f ca="1">Log_2020[[#This Row],[Amount]]/Log_2020[[#This Row],[Split_raw]]*MAX(0,MIN(_xlfn.DAYS(EDATE(Y$1,1),Log_2020[[#This Row],[Date]]),Log_2020[[#This Row],[Split_apply]])) - SUM($O34:X34)</f>
        <v>0</v>
      </c>
      <c r="Z34" s="58">
        <f ca="1">Log_2020[[#This Row],[Amount]]/Log_2020[[#This Row],[Split_raw]]*MAX(0,MIN(_xlfn.DAYS(EDATE(Z$1,1),Log_2020[[#This Row],[Date]]),Log_2020[[#This Row],[Split_apply]])) - SUM($O34:Y34)</f>
        <v>0</v>
      </c>
      <c r="AA34" s="58">
        <f ca="1">Log_2020[[#This Row],[Amount]]/Log_2020[[#This Row],[Split_raw]]*MAX(0,MIN(_xlfn.DAYS(EDATE(AA$1,1),Log_2020[[#This Row],[Date]]),Log_2020[[#This Row],[Split_apply]])) - SUM($O34:Z34)</f>
        <v>0</v>
      </c>
      <c r="AB34" s="85">
        <f ca="1">Log_2020[[#This Row],[Amount]]*Log_2020[[#This Row],[Split_apply]]/Log_2020[[#This Row],[Split_raw]]-SUM(O34:AA34)</f>
        <v>0</v>
      </c>
      <c r="AC34" s="74">
        <f>MAX(0,Log_2020[[#This Row],[Split_raw]] - (EDATE(AA$1,1)-Log_2020[[#This Row],[Date]]))</f>
        <v>0</v>
      </c>
    </row>
    <row r="35" spans="1:29" x14ac:dyDescent="0.25">
      <c r="A35" s="37"/>
      <c r="B35" s="34" t="s">
        <v>6</v>
      </c>
      <c r="C35" s="34"/>
      <c r="D35" s="35">
        <v>43948</v>
      </c>
      <c r="E35" s="34"/>
      <c r="F35" s="34" t="s">
        <v>346</v>
      </c>
      <c r="G35" s="34" t="s">
        <v>9</v>
      </c>
      <c r="H35">
        <v>-13.17</v>
      </c>
      <c r="I35" s="36">
        <f>IF(Log_2020[[#This Row],[My Category]]="NONTRACKED",0,Log_2020[[#This Row],[Raw Amount]])</f>
        <v>-13.17</v>
      </c>
      <c r="J35" s="37">
        <f>ABS(Log_2020[[#This Row],[Amount]])</f>
        <v>13.17</v>
      </c>
      <c r="K35" s="38">
        <v>1</v>
      </c>
      <c r="L35" s="38">
        <f ca="1">IF(Log_2020[[#This Row],[Date]]&lt;=TODAY(), MIN(Log_2020[[#This Row],[Split_raw]], TODAY()-Log_2020[[#This Row],[Date]]+1), 0)</f>
        <v>1</v>
      </c>
      <c r="M35" s="34" t="s">
        <v>39</v>
      </c>
      <c r="N35" s="34" t="s">
        <v>158</v>
      </c>
      <c r="O35" s="7"/>
      <c r="P35" s="58">
        <f ca="1">Log_2020[[#This Row],[Amount]]/Log_2020[[#This Row],[Split_raw]]*MAX(0,MIN(_xlfn.DAYS(EDATE(P$1,1),Log_2020[[#This Row],[Date]]),Log_2020[[#This Row],[Split_apply]])) - SUM($O35:O35)</f>
        <v>0</v>
      </c>
      <c r="Q35" s="58">
        <f ca="1">Log_2020[[#This Row],[Amount]]/Log_2020[[#This Row],[Split_raw]]*MAX(0,MIN(_xlfn.DAYS(EDATE(Q$1,1),Log_2020[[#This Row],[Date]]),Log_2020[[#This Row],[Split_apply]])) - SUM($O35:P35)</f>
        <v>0</v>
      </c>
      <c r="R35" s="58">
        <f ca="1">Log_2020[[#This Row],[Amount]]/Log_2020[[#This Row],[Split_raw]]*MAX(0,MIN(_xlfn.DAYS(EDATE(R$1,1),Log_2020[[#This Row],[Date]]),Log_2020[[#This Row],[Split_apply]])) - SUM($O35:Q35)</f>
        <v>0</v>
      </c>
      <c r="S35" s="58">
        <f ca="1">Log_2020[[#This Row],[Amount]]/Log_2020[[#This Row],[Split_raw]]*MAX(0,MIN(_xlfn.DAYS(EDATE(S$1,1),Log_2020[[#This Row],[Date]]),Log_2020[[#This Row],[Split_apply]])) - SUM($O35:R35)</f>
        <v>-13.17</v>
      </c>
      <c r="T35" s="58">
        <f ca="1">Log_2020[[#This Row],[Amount]]/Log_2020[[#This Row],[Split_raw]]*MAX(0,MIN(_xlfn.DAYS(EDATE(T$1,1),Log_2020[[#This Row],[Date]]),Log_2020[[#This Row],[Split_apply]])) - SUM($O35:S35)</f>
        <v>0</v>
      </c>
      <c r="U35" s="58">
        <f ca="1">Log_2020[[#This Row],[Amount]]/Log_2020[[#This Row],[Split_raw]]*MAX(0,MIN(_xlfn.DAYS(EDATE(U$1,1),Log_2020[[#This Row],[Date]]),Log_2020[[#This Row],[Split_apply]])) - SUM($O35:T35)</f>
        <v>0</v>
      </c>
      <c r="V35" s="58">
        <f ca="1">Log_2020[[#This Row],[Amount]]/Log_2020[[#This Row],[Split_raw]]*MAX(0,MIN(_xlfn.DAYS(EDATE(V$1,1),Log_2020[[#This Row],[Date]]),Log_2020[[#This Row],[Split_apply]])) - SUM($O35:U35)</f>
        <v>0</v>
      </c>
      <c r="W35" s="58">
        <f ca="1">Log_2020[[#This Row],[Amount]]/Log_2020[[#This Row],[Split_raw]]*MAX(0,MIN(_xlfn.DAYS(EDATE(W$1,1),Log_2020[[#This Row],[Date]]),Log_2020[[#This Row],[Split_apply]])) - SUM($O35:V35)</f>
        <v>0</v>
      </c>
      <c r="X35" s="58">
        <f ca="1">Log_2020[[#This Row],[Amount]]/Log_2020[[#This Row],[Split_raw]]*MAX(0,MIN(_xlfn.DAYS(EDATE(X$1,1),Log_2020[[#This Row],[Date]]),Log_2020[[#This Row],[Split_apply]])) - SUM($O35:W35)</f>
        <v>0</v>
      </c>
      <c r="Y35" s="58">
        <f ca="1">Log_2020[[#This Row],[Amount]]/Log_2020[[#This Row],[Split_raw]]*MAX(0,MIN(_xlfn.DAYS(EDATE(Y$1,1),Log_2020[[#This Row],[Date]]),Log_2020[[#This Row],[Split_apply]])) - SUM($O35:X35)</f>
        <v>0</v>
      </c>
      <c r="Z35" s="58">
        <f ca="1">Log_2020[[#This Row],[Amount]]/Log_2020[[#This Row],[Split_raw]]*MAX(0,MIN(_xlfn.DAYS(EDATE(Z$1,1),Log_2020[[#This Row],[Date]]),Log_2020[[#This Row],[Split_apply]])) - SUM($O35:Y35)</f>
        <v>0</v>
      </c>
      <c r="AA35" s="58">
        <f ca="1">Log_2020[[#This Row],[Amount]]/Log_2020[[#This Row],[Split_raw]]*MAX(0,MIN(_xlfn.DAYS(EDATE(AA$1,1),Log_2020[[#This Row],[Date]]),Log_2020[[#This Row],[Split_apply]])) - SUM($O35:Z35)</f>
        <v>0</v>
      </c>
      <c r="AB35" s="85">
        <f ca="1">Log_2020[[#This Row],[Amount]]*Log_2020[[#This Row],[Split_apply]]/Log_2020[[#This Row],[Split_raw]]-SUM(O35:AA35)</f>
        <v>0</v>
      </c>
      <c r="AC35" s="74">
        <f>MAX(0,Log_2020[[#This Row],[Split_raw]] - (EDATE(AA$1,1)-Log_2020[[#This Row],[Date]]))</f>
        <v>0</v>
      </c>
    </row>
    <row r="36" spans="1:29" x14ac:dyDescent="0.25">
      <c r="A36" s="37"/>
      <c r="B36" s="34" t="s">
        <v>6</v>
      </c>
      <c r="C36" s="34"/>
      <c r="D36" s="35">
        <v>43948</v>
      </c>
      <c r="E36" s="34"/>
      <c r="F36" s="34" t="s">
        <v>1093</v>
      </c>
      <c r="G36" s="34" t="s">
        <v>25</v>
      </c>
      <c r="H36">
        <v>-34</v>
      </c>
      <c r="I36" s="36">
        <f>IF(Log_2020[[#This Row],[My Category]]="NONTRACKED",0,Log_2020[[#This Row],[Raw Amount]])</f>
        <v>-34</v>
      </c>
      <c r="J36" s="37">
        <f>ABS(Log_2020[[#This Row],[Amount]])</f>
        <v>34</v>
      </c>
      <c r="K36" s="38">
        <v>1</v>
      </c>
      <c r="L36" s="38">
        <f ca="1">IF(Log_2020[[#This Row],[Date]]&lt;=TODAY(), MIN(Log_2020[[#This Row],[Split_raw]], TODAY()-Log_2020[[#This Row],[Date]]+1), 0)</f>
        <v>1</v>
      </c>
      <c r="M36" s="34" t="s">
        <v>35</v>
      </c>
      <c r="N36" s="34" t="s">
        <v>158</v>
      </c>
      <c r="O36" s="7"/>
      <c r="P36" s="58">
        <f ca="1">Log_2020[[#This Row],[Amount]]/Log_2020[[#This Row],[Split_raw]]*MAX(0,MIN(_xlfn.DAYS(EDATE(P$1,1),Log_2020[[#This Row],[Date]]),Log_2020[[#This Row],[Split_apply]])) - SUM($O36:O36)</f>
        <v>0</v>
      </c>
      <c r="Q36" s="58">
        <f ca="1">Log_2020[[#This Row],[Amount]]/Log_2020[[#This Row],[Split_raw]]*MAX(0,MIN(_xlfn.DAYS(EDATE(Q$1,1),Log_2020[[#This Row],[Date]]),Log_2020[[#This Row],[Split_apply]])) - SUM($O36:P36)</f>
        <v>0</v>
      </c>
      <c r="R36" s="58">
        <f ca="1">Log_2020[[#This Row],[Amount]]/Log_2020[[#This Row],[Split_raw]]*MAX(0,MIN(_xlfn.DAYS(EDATE(R$1,1),Log_2020[[#This Row],[Date]]),Log_2020[[#This Row],[Split_apply]])) - SUM($O36:Q36)</f>
        <v>0</v>
      </c>
      <c r="S36" s="58">
        <f ca="1">Log_2020[[#This Row],[Amount]]/Log_2020[[#This Row],[Split_raw]]*MAX(0,MIN(_xlfn.DAYS(EDATE(S$1,1),Log_2020[[#This Row],[Date]]),Log_2020[[#This Row],[Split_apply]])) - SUM($O36:R36)</f>
        <v>-34</v>
      </c>
      <c r="T36" s="58">
        <f ca="1">Log_2020[[#This Row],[Amount]]/Log_2020[[#This Row],[Split_raw]]*MAX(0,MIN(_xlfn.DAYS(EDATE(T$1,1),Log_2020[[#This Row],[Date]]),Log_2020[[#This Row],[Split_apply]])) - SUM($O36:S36)</f>
        <v>0</v>
      </c>
      <c r="U36" s="58">
        <f ca="1">Log_2020[[#This Row],[Amount]]/Log_2020[[#This Row],[Split_raw]]*MAX(0,MIN(_xlfn.DAYS(EDATE(U$1,1),Log_2020[[#This Row],[Date]]),Log_2020[[#This Row],[Split_apply]])) - SUM($O36:T36)</f>
        <v>0</v>
      </c>
      <c r="V36" s="58">
        <f ca="1">Log_2020[[#This Row],[Amount]]/Log_2020[[#This Row],[Split_raw]]*MAX(0,MIN(_xlfn.DAYS(EDATE(V$1,1),Log_2020[[#This Row],[Date]]),Log_2020[[#This Row],[Split_apply]])) - SUM($O36:U36)</f>
        <v>0</v>
      </c>
      <c r="W36" s="58">
        <f ca="1">Log_2020[[#This Row],[Amount]]/Log_2020[[#This Row],[Split_raw]]*MAX(0,MIN(_xlfn.DAYS(EDATE(W$1,1),Log_2020[[#This Row],[Date]]),Log_2020[[#This Row],[Split_apply]])) - SUM($O36:V36)</f>
        <v>0</v>
      </c>
      <c r="X36" s="58">
        <f ca="1">Log_2020[[#This Row],[Amount]]/Log_2020[[#This Row],[Split_raw]]*MAX(0,MIN(_xlfn.DAYS(EDATE(X$1,1),Log_2020[[#This Row],[Date]]),Log_2020[[#This Row],[Split_apply]])) - SUM($O36:W36)</f>
        <v>0</v>
      </c>
      <c r="Y36" s="58">
        <f ca="1">Log_2020[[#This Row],[Amount]]/Log_2020[[#This Row],[Split_raw]]*MAX(0,MIN(_xlfn.DAYS(EDATE(Y$1,1),Log_2020[[#This Row],[Date]]),Log_2020[[#This Row],[Split_apply]])) - SUM($O36:X36)</f>
        <v>0</v>
      </c>
      <c r="Z36" s="58">
        <f ca="1">Log_2020[[#This Row],[Amount]]/Log_2020[[#This Row],[Split_raw]]*MAX(0,MIN(_xlfn.DAYS(EDATE(Z$1,1),Log_2020[[#This Row],[Date]]),Log_2020[[#This Row],[Split_apply]])) - SUM($O36:Y36)</f>
        <v>0</v>
      </c>
      <c r="AA36" s="58">
        <f ca="1">Log_2020[[#This Row],[Amount]]/Log_2020[[#This Row],[Split_raw]]*MAX(0,MIN(_xlfn.DAYS(EDATE(AA$1,1),Log_2020[[#This Row],[Date]]),Log_2020[[#This Row],[Split_apply]])) - SUM($O36:Z36)</f>
        <v>0</v>
      </c>
      <c r="AB36" s="85">
        <f ca="1">Log_2020[[#This Row],[Amount]]*Log_2020[[#This Row],[Split_apply]]/Log_2020[[#This Row],[Split_raw]]-SUM(O36:AA36)</f>
        <v>0</v>
      </c>
      <c r="AC36" s="74">
        <f>MAX(0,Log_2020[[#This Row],[Split_raw]] - (EDATE(AA$1,1)-Log_2020[[#This Row],[Date]]))</f>
        <v>0</v>
      </c>
    </row>
    <row r="37" spans="1:29" x14ac:dyDescent="0.25">
      <c r="A37" s="37"/>
      <c r="B37" s="34" t="s">
        <v>6</v>
      </c>
      <c r="C37" s="34"/>
      <c r="D37" s="35">
        <v>43944</v>
      </c>
      <c r="E37" s="34"/>
      <c r="F37" s="34" t="s">
        <v>1094</v>
      </c>
      <c r="G37" s="34" t="s">
        <v>143</v>
      </c>
      <c r="H37">
        <f>--14</f>
        <v>14</v>
      </c>
      <c r="I37" s="36">
        <f>IF(Log_2020[[#This Row],[My Category]]="NONTRACKED",0,Log_2020[[#This Row],[Raw Amount]])</f>
        <v>14</v>
      </c>
      <c r="J37" s="37">
        <f>ABS(Log_2020[[#This Row],[Amount]])</f>
        <v>14</v>
      </c>
      <c r="K37" s="38">
        <v>1</v>
      </c>
      <c r="L37" s="38">
        <f ca="1">IF(Log_2020[[#This Row],[Date]]&lt;=TODAY(), MIN(Log_2020[[#This Row],[Split_raw]], TODAY()-Log_2020[[#This Row],[Date]]+1), 0)</f>
        <v>1</v>
      </c>
      <c r="M37" s="34" t="s">
        <v>12</v>
      </c>
      <c r="N37" s="34" t="s">
        <v>158</v>
      </c>
      <c r="O37" s="7"/>
      <c r="P37" s="58">
        <f ca="1">Log_2020[[#This Row],[Amount]]/Log_2020[[#This Row],[Split_raw]]*MAX(0,MIN(_xlfn.DAYS(EDATE(P$1,1),Log_2020[[#This Row],[Date]]),Log_2020[[#This Row],[Split_apply]])) - SUM($O37:O37)</f>
        <v>0</v>
      </c>
      <c r="Q37" s="58">
        <f ca="1">Log_2020[[#This Row],[Amount]]/Log_2020[[#This Row],[Split_raw]]*MAX(0,MIN(_xlfn.DAYS(EDATE(Q$1,1),Log_2020[[#This Row],[Date]]),Log_2020[[#This Row],[Split_apply]])) - SUM($O37:P37)</f>
        <v>0</v>
      </c>
      <c r="R37" s="58">
        <f ca="1">Log_2020[[#This Row],[Amount]]/Log_2020[[#This Row],[Split_raw]]*MAX(0,MIN(_xlfn.DAYS(EDATE(R$1,1),Log_2020[[#This Row],[Date]]),Log_2020[[#This Row],[Split_apply]])) - SUM($O37:Q37)</f>
        <v>0</v>
      </c>
      <c r="S37" s="58">
        <f ca="1">Log_2020[[#This Row],[Amount]]/Log_2020[[#This Row],[Split_raw]]*MAX(0,MIN(_xlfn.DAYS(EDATE(S$1,1),Log_2020[[#This Row],[Date]]),Log_2020[[#This Row],[Split_apply]])) - SUM($O37:R37)</f>
        <v>14</v>
      </c>
      <c r="T37" s="58">
        <f ca="1">Log_2020[[#This Row],[Amount]]/Log_2020[[#This Row],[Split_raw]]*MAX(0,MIN(_xlfn.DAYS(EDATE(T$1,1),Log_2020[[#This Row],[Date]]),Log_2020[[#This Row],[Split_apply]])) - SUM($O37:S37)</f>
        <v>0</v>
      </c>
      <c r="U37" s="58">
        <f ca="1">Log_2020[[#This Row],[Amount]]/Log_2020[[#This Row],[Split_raw]]*MAX(0,MIN(_xlfn.DAYS(EDATE(U$1,1),Log_2020[[#This Row],[Date]]),Log_2020[[#This Row],[Split_apply]])) - SUM($O37:T37)</f>
        <v>0</v>
      </c>
      <c r="V37" s="58">
        <f ca="1">Log_2020[[#This Row],[Amount]]/Log_2020[[#This Row],[Split_raw]]*MAX(0,MIN(_xlfn.DAYS(EDATE(V$1,1),Log_2020[[#This Row],[Date]]),Log_2020[[#This Row],[Split_apply]])) - SUM($O37:U37)</f>
        <v>0</v>
      </c>
      <c r="W37" s="58">
        <f ca="1">Log_2020[[#This Row],[Amount]]/Log_2020[[#This Row],[Split_raw]]*MAX(0,MIN(_xlfn.DAYS(EDATE(W$1,1),Log_2020[[#This Row],[Date]]),Log_2020[[#This Row],[Split_apply]])) - SUM($O37:V37)</f>
        <v>0</v>
      </c>
      <c r="X37" s="58">
        <f ca="1">Log_2020[[#This Row],[Amount]]/Log_2020[[#This Row],[Split_raw]]*MAX(0,MIN(_xlfn.DAYS(EDATE(X$1,1),Log_2020[[#This Row],[Date]]),Log_2020[[#This Row],[Split_apply]])) - SUM($O37:W37)</f>
        <v>0</v>
      </c>
      <c r="Y37" s="58">
        <f ca="1">Log_2020[[#This Row],[Amount]]/Log_2020[[#This Row],[Split_raw]]*MAX(0,MIN(_xlfn.DAYS(EDATE(Y$1,1),Log_2020[[#This Row],[Date]]),Log_2020[[#This Row],[Split_apply]])) - SUM($O37:X37)</f>
        <v>0</v>
      </c>
      <c r="Z37" s="58">
        <f ca="1">Log_2020[[#This Row],[Amount]]/Log_2020[[#This Row],[Split_raw]]*MAX(0,MIN(_xlfn.DAYS(EDATE(Z$1,1),Log_2020[[#This Row],[Date]]),Log_2020[[#This Row],[Split_apply]])) - SUM($O37:Y37)</f>
        <v>0</v>
      </c>
      <c r="AA37" s="58">
        <f ca="1">Log_2020[[#This Row],[Amount]]/Log_2020[[#This Row],[Split_raw]]*MAX(0,MIN(_xlfn.DAYS(EDATE(AA$1,1),Log_2020[[#This Row],[Date]]),Log_2020[[#This Row],[Split_apply]])) - SUM($O37:Z37)</f>
        <v>0</v>
      </c>
      <c r="AB37" s="85">
        <f ca="1">Log_2020[[#This Row],[Amount]]*Log_2020[[#This Row],[Split_apply]]/Log_2020[[#This Row],[Split_raw]]-SUM(O37:AA37)</f>
        <v>0</v>
      </c>
      <c r="AC37" s="74">
        <f>MAX(0,Log_2020[[#This Row],[Split_raw]] - (EDATE(AA$1,1)-Log_2020[[#This Row],[Date]]))</f>
        <v>0</v>
      </c>
    </row>
    <row r="38" spans="1:29" x14ac:dyDescent="0.25">
      <c r="A38" s="37"/>
      <c r="B38" s="34" t="s">
        <v>6</v>
      </c>
      <c r="C38" s="34"/>
      <c r="D38" s="35">
        <v>43944</v>
      </c>
      <c r="E38" s="34"/>
      <c r="F38" s="34" t="s">
        <v>626</v>
      </c>
      <c r="G38" s="34" t="s">
        <v>747</v>
      </c>
      <c r="H38">
        <f>--1902.8</f>
        <v>1902.8</v>
      </c>
      <c r="I38" s="36">
        <f>IF(Log_2020[[#This Row],[My Category]]="NONTRACKED",0,Log_2020[[#This Row],[Raw Amount]])</f>
        <v>1902.8</v>
      </c>
      <c r="J38" s="37">
        <f>ABS(Log_2020[[#This Row],[Amount]])</f>
        <v>1902.8</v>
      </c>
      <c r="K38" s="38">
        <v>14</v>
      </c>
      <c r="L38" s="38">
        <f ca="1">IF(Log_2020[[#This Row],[Date]]&lt;=TODAY(), MIN(Log_2020[[#This Row],[Split_raw]], TODAY()-Log_2020[[#This Row],[Date]]+1), 0)</f>
        <v>14</v>
      </c>
      <c r="M38" s="34" t="s">
        <v>91</v>
      </c>
      <c r="N38" s="34" t="s">
        <v>160</v>
      </c>
      <c r="O38" s="7"/>
      <c r="P38" s="58">
        <f ca="1">Log_2020[[#This Row],[Amount]]/Log_2020[[#This Row],[Split_raw]]*MAX(0,MIN(_xlfn.DAYS(EDATE(P$1,1),Log_2020[[#This Row],[Date]]),Log_2020[[#This Row],[Split_apply]])) - SUM($O38:O38)</f>
        <v>0</v>
      </c>
      <c r="Q38" s="58">
        <f ca="1">Log_2020[[#This Row],[Amount]]/Log_2020[[#This Row],[Split_raw]]*MAX(0,MIN(_xlfn.DAYS(EDATE(Q$1,1),Log_2020[[#This Row],[Date]]),Log_2020[[#This Row],[Split_apply]])) - SUM($O38:P38)</f>
        <v>0</v>
      </c>
      <c r="R38" s="58">
        <f ca="1">Log_2020[[#This Row],[Amount]]/Log_2020[[#This Row],[Split_raw]]*MAX(0,MIN(_xlfn.DAYS(EDATE(R$1,1),Log_2020[[#This Row],[Date]]),Log_2020[[#This Row],[Split_apply]])) - SUM($O38:Q38)</f>
        <v>0</v>
      </c>
      <c r="S38" s="58">
        <f ca="1">Log_2020[[#This Row],[Amount]]/Log_2020[[#This Row],[Split_raw]]*MAX(0,MIN(_xlfn.DAYS(EDATE(S$1,1),Log_2020[[#This Row],[Date]]),Log_2020[[#This Row],[Split_apply]])) - SUM($O38:R38)</f>
        <v>1087.3142857142857</v>
      </c>
      <c r="T38" s="58">
        <f ca="1">Log_2020[[#This Row],[Amount]]/Log_2020[[#This Row],[Split_raw]]*MAX(0,MIN(_xlfn.DAYS(EDATE(T$1,1),Log_2020[[#This Row],[Date]]),Log_2020[[#This Row],[Split_apply]])) - SUM($O38:S38)</f>
        <v>815.48571428571427</v>
      </c>
      <c r="U38" s="58">
        <f ca="1">Log_2020[[#This Row],[Amount]]/Log_2020[[#This Row],[Split_raw]]*MAX(0,MIN(_xlfn.DAYS(EDATE(U$1,1),Log_2020[[#This Row],[Date]]),Log_2020[[#This Row],[Split_apply]])) - SUM($O38:T38)</f>
        <v>0</v>
      </c>
      <c r="V38" s="58">
        <f ca="1">Log_2020[[#This Row],[Amount]]/Log_2020[[#This Row],[Split_raw]]*MAX(0,MIN(_xlfn.DAYS(EDATE(V$1,1),Log_2020[[#This Row],[Date]]),Log_2020[[#This Row],[Split_apply]])) - SUM($O38:U38)</f>
        <v>0</v>
      </c>
      <c r="W38" s="58">
        <f ca="1">Log_2020[[#This Row],[Amount]]/Log_2020[[#This Row],[Split_raw]]*MAX(0,MIN(_xlfn.DAYS(EDATE(W$1,1),Log_2020[[#This Row],[Date]]),Log_2020[[#This Row],[Split_apply]])) - SUM($O38:V38)</f>
        <v>0</v>
      </c>
      <c r="X38" s="58">
        <f ca="1">Log_2020[[#This Row],[Amount]]/Log_2020[[#This Row],[Split_raw]]*MAX(0,MIN(_xlfn.DAYS(EDATE(X$1,1),Log_2020[[#This Row],[Date]]),Log_2020[[#This Row],[Split_apply]])) - SUM($O38:W38)</f>
        <v>0</v>
      </c>
      <c r="Y38" s="58">
        <f ca="1">Log_2020[[#This Row],[Amount]]/Log_2020[[#This Row],[Split_raw]]*MAX(0,MIN(_xlfn.DAYS(EDATE(Y$1,1),Log_2020[[#This Row],[Date]]),Log_2020[[#This Row],[Split_apply]])) - SUM($O38:X38)</f>
        <v>0</v>
      </c>
      <c r="Z38" s="58">
        <f ca="1">Log_2020[[#This Row],[Amount]]/Log_2020[[#This Row],[Split_raw]]*MAX(0,MIN(_xlfn.DAYS(EDATE(Z$1,1),Log_2020[[#This Row],[Date]]),Log_2020[[#This Row],[Split_apply]])) - SUM($O38:Y38)</f>
        <v>0</v>
      </c>
      <c r="AA38" s="58">
        <f ca="1">Log_2020[[#This Row],[Amount]]/Log_2020[[#This Row],[Split_raw]]*MAX(0,MIN(_xlfn.DAYS(EDATE(AA$1,1),Log_2020[[#This Row],[Date]]),Log_2020[[#This Row],[Split_apply]])) - SUM($O38:Z38)</f>
        <v>0</v>
      </c>
      <c r="AB38" s="85">
        <f ca="1">Log_2020[[#This Row],[Amount]]*Log_2020[[#This Row],[Split_apply]]/Log_2020[[#This Row],[Split_raw]]-SUM(O38:AA38)</f>
        <v>0</v>
      </c>
      <c r="AC38" s="74">
        <f>MAX(0,Log_2020[[#This Row],[Split_raw]] - (EDATE(AA$1,1)-Log_2020[[#This Row],[Date]]))</f>
        <v>0</v>
      </c>
    </row>
    <row r="39" spans="1:29" x14ac:dyDescent="0.25">
      <c r="A39" s="37"/>
      <c r="B39" s="34" t="s">
        <v>6</v>
      </c>
      <c r="C39" s="34"/>
      <c r="D39" s="35">
        <v>43943</v>
      </c>
      <c r="E39" s="34"/>
      <c r="F39" s="34" t="s">
        <v>1081</v>
      </c>
      <c r="G39" s="34" t="s">
        <v>12</v>
      </c>
      <c r="H39">
        <v>-74.53</v>
      </c>
      <c r="I39" s="36">
        <f>IF(Log_2020[[#This Row],[My Category]]="NONTRACKED",0,Log_2020[[#This Row],[Raw Amount]])</f>
        <v>-74.53</v>
      </c>
      <c r="J39" s="37">
        <f>ABS(Log_2020[[#This Row],[Amount]])</f>
        <v>74.53</v>
      </c>
      <c r="K39" s="38">
        <v>1</v>
      </c>
      <c r="L39" s="38">
        <f ca="1">IF(Log_2020[[#This Row],[Date]]&lt;=TODAY(), MIN(Log_2020[[#This Row],[Split_raw]], TODAY()-Log_2020[[#This Row],[Date]]+1), 0)</f>
        <v>1</v>
      </c>
      <c r="M39" s="34" t="s">
        <v>12</v>
      </c>
      <c r="N39" s="34" t="s">
        <v>158</v>
      </c>
      <c r="O39" s="7"/>
      <c r="P39" s="58">
        <f ca="1">Log_2020[[#This Row],[Amount]]/Log_2020[[#This Row],[Split_raw]]*MAX(0,MIN(_xlfn.DAYS(EDATE(P$1,1),Log_2020[[#This Row],[Date]]),Log_2020[[#This Row],[Split_apply]])) - SUM($O39:O39)</f>
        <v>0</v>
      </c>
      <c r="Q39" s="58">
        <f ca="1">Log_2020[[#This Row],[Amount]]/Log_2020[[#This Row],[Split_raw]]*MAX(0,MIN(_xlfn.DAYS(EDATE(Q$1,1),Log_2020[[#This Row],[Date]]),Log_2020[[#This Row],[Split_apply]])) - SUM($O39:P39)</f>
        <v>0</v>
      </c>
      <c r="R39" s="58">
        <f ca="1">Log_2020[[#This Row],[Amount]]/Log_2020[[#This Row],[Split_raw]]*MAX(0,MIN(_xlfn.DAYS(EDATE(R$1,1),Log_2020[[#This Row],[Date]]),Log_2020[[#This Row],[Split_apply]])) - SUM($O39:Q39)</f>
        <v>0</v>
      </c>
      <c r="S39" s="58">
        <f ca="1">Log_2020[[#This Row],[Amount]]/Log_2020[[#This Row],[Split_raw]]*MAX(0,MIN(_xlfn.DAYS(EDATE(S$1,1),Log_2020[[#This Row],[Date]]),Log_2020[[#This Row],[Split_apply]])) - SUM($O39:R39)</f>
        <v>-74.53</v>
      </c>
      <c r="T39" s="58">
        <f ca="1">Log_2020[[#This Row],[Amount]]/Log_2020[[#This Row],[Split_raw]]*MAX(0,MIN(_xlfn.DAYS(EDATE(T$1,1),Log_2020[[#This Row],[Date]]),Log_2020[[#This Row],[Split_apply]])) - SUM($O39:S39)</f>
        <v>0</v>
      </c>
      <c r="U39" s="58">
        <f ca="1">Log_2020[[#This Row],[Amount]]/Log_2020[[#This Row],[Split_raw]]*MAX(0,MIN(_xlfn.DAYS(EDATE(U$1,1),Log_2020[[#This Row],[Date]]),Log_2020[[#This Row],[Split_apply]])) - SUM($O39:T39)</f>
        <v>0</v>
      </c>
      <c r="V39" s="58">
        <f ca="1">Log_2020[[#This Row],[Amount]]/Log_2020[[#This Row],[Split_raw]]*MAX(0,MIN(_xlfn.DAYS(EDATE(V$1,1),Log_2020[[#This Row],[Date]]),Log_2020[[#This Row],[Split_apply]])) - SUM($O39:U39)</f>
        <v>0</v>
      </c>
      <c r="W39" s="58">
        <f ca="1">Log_2020[[#This Row],[Amount]]/Log_2020[[#This Row],[Split_raw]]*MAX(0,MIN(_xlfn.DAYS(EDATE(W$1,1),Log_2020[[#This Row],[Date]]),Log_2020[[#This Row],[Split_apply]])) - SUM($O39:V39)</f>
        <v>0</v>
      </c>
      <c r="X39" s="58">
        <f ca="1">Log_2020[[#This Row],[Amount]]/Log_2020[[#This Row],[Split_raw]]*MAX(0,MIN(_xlfn.DAYS(EDATE(X$1,1),Log_2020[[#This Row],[Date]]),Log_2020[[#This Row],[Split_apply]])) - SUM($O39:W39)</f>
        <v>0</v>
      </c>
      <c r="Y39" s="58">
        <f ca="1">Log_2020[[#This Row],[Amount]]/Log_2020[[#This Row],[Split_raw]]*MAX(0,MIN(_xlfn.DAYS(EDATE(Y$1,1),Log_2020[[#This Row],[Date]]),Log_2020[[#This Row],[Split_apply]])) - SUM($O39:X39)</f>
        <v>0</v>
      </c>
      <c r="Z39" s="58">
        <f ca="1">Log_2020[[#This Row],[Amount]]/Log_2020[[#This Row],[Split_raw]]*MAX(0,MIN(_xlfn.DAYS(EDATE(Z$1,1),Log_2020[[#This Row],[Date]]),Log_2020[[#This Row],[Split_apply]])) - SUM($O39:Y39)</f>
        <v>0</v>
      </c>
      <c r="AA39" s="58">
        <f ca="1">Log_2020[[#This Row],[Amount]]/Log_2020[[#This Row],[Split_raw]]*MAX(0,MIN(_xlfn.DAYS(EDATE(AA$1,1),Log_2020[[#This Row],[Date]]),Log_2020[[#This Row],[Split_apply]])) - SUM($O39:Z39)</f>
        <v>0</v>
      </c>
      <c r="AB39" s="85">
        <f ca="1">Log_2020[[#This Row],[Amount]]*Log_2020[[#This Row],[Split_apply]]/Log_2020[[#This Row],[Split_raw]]-SUM(O39:AA39)</f>
        <v>0</v>
      </c>
      <c r="AC39" s="74">
        <f>MAX(0,Log_2020[[#This Row],[Split_raw]] - (EDATE(AA$1,1)-Log_2020[[#This Row],[Date]]))</f>
        <v>0</v>
      </c>
    </row>
    <row r="40" spans="1:29" x14ac:dyDescent="0.25">
      <c r="A40" s="37"/>
      <c r="B40" s="34" t="s">
        <v>6</v>
      </c>
      <c r="C40" s="34"/>
      <c r="D40" s="35">
        <v>43943</v>
      </c>
      <c r="E40" s="34"/>
      <c r="F40" s="34" t="s">
        <v>581</v>
      </c>
      <c r="G40" s="34" t="s">
        <v>582</v>
      </c>
      <c r="H40">
        <v>-67.95</v>
      </c>
      <c r="I40" s="36">
        <f>IF(Log_2020[[#This Row],[My Category]]="NONTRACKED",0,Log_2020[[#This Row],[Raw Amount]])</f>
        <v>-67.95</v>
      </c>
      <c r="J40" s="37">
        <f>ABS(Log_2020[[#This Row],[Amount]])</f>
        <v>67.95</v>
      </c>
      <c r="K40" s="38">
        <v>30</v>
      </c>
      <c r="L40" s="38">
        <f ca="1">IF(Log_2020[[#This Row],[Date]]&lt;=TODAY(), MIN(Log_2020[[#This Row],[Split_raw]], TODAY()-Log_2020[[#This Row],[Date]]+1), 0)</f>
        <v>30</v>
      </c>
      <c r="M40" s="34" t="s">
        <v>30</v>
      </c>
      <c r="N40" s="34" t="s">
        <v>160</v>
      </c>
      <c r="O40" s="7"/>
      <c r="P40" s="58">
        <f ca="1">Log_2020[[#This Row],[Amount]]/Log_2020[[#This Row],[Split_raw]]*MAX(0,MIN(_xlfn.DAYS(EDATE(P$1,1),Log_2020[[#This Row],[Date]]),Log_2020[[#This Row],[Split_apply]])) - SUM($O40:O40)</f>
        <v>0</v>
      </c>
      <c r="Q40" s="58">
        <f ca="1">Log_2020[[#This Row],[Amount]]/Log_2020[[#This Row],[Split_raw]]*MAX(0,MIN(_xlfn.DAYS(EDATE(Q$1,1),Log_2020[[#This Row],[Date]]),Log_2020[[#This Row],[Split_apply]])) - SUM($O40:P40)</f>
        <v>0</v>
      </c>
      <c r="R40" s="58">
        <f ca="1">Log_2020[[#This Row],[Amount]]/Log_2020[[#This Row],[Split_raw]]*MAX(0,MIN(_xlfn.DAYS(EDATE(R$1,1),Log_2020[[#This Row],[Date]]),Log_2020[[#This Row],[Split_apply]])) - SUM($O40:Q40)</f>
        <v>0</v>
      </c>
      <c r="S40" s="58">
        <f ca="1">Log_2020[[#This Row],[Amount]]/Log_2020[[#This Row],[Split_raw]]*MAX(0,MIN(_xlfn.DAYS(EDATE(S$1,1),Log_2020[[#This Row],[Date]]),Log_2020[[#This Row],[Split_apply]])) - SUM($O40:R40)</f>
        <v>-20.385000000000002</v>
      </c>
      <c r="T40" s="58">
        <f ca="1">Log_2020[[#This Row],[Amount]]/Log_2020[[#This Row],[Split_raw]]*MAX(0,MIN(_xlfn.DAYS(EDATE(T$1,1),Log_2020[[#This Row],[Date]]),Log_2020[[#This Row],[Split_apply]])) - SUM($O40:S40)</f>
        <v>-47.564999999999998</v>
      </c>
      <c r="U40" s="58">
        <f ca="1">Log_2020[[#This Row],[Amount]]/Log_2020[[#This Row],[Split_raw]]*MAX(0,MIN(_xlfn.DAYS(EDATE(U$1,1),Log_2020[[#This Row],[Date]]),Log_2020[[#This Row],[Split_apply]])) - SUM($O40:T40)</f>
        <v>0</v>
      </c>
      <c r="V40" s="58">
        <f ca="1">Log_2020[[#This Row],[Amount]]/Log_2020[[#This Row],[Split_raw]]*MAX(0,MIN(_xlfn.DAYS(EDATE(V$1,1),Log_2020[[#This Row],[Date]]),Log_2020[[#This Row],[Split_apply]])) - SUM($O40:U40)</f>
        <v>0</v>
      </c>
      <c r="W40" s="58">
        <f ca="1">Log_2020[[#This Row],[Amount]]/Log_2020[[#This Row],[Split_raw]]*MAX(0,MIN(_xlfn.DAYS(EDATE(W$1,1),Log_2020[[#This Row],[Date]]),Log_2020[[#This Row],[Split_apply]])) - SUM($O40:V40)</f>
        <v>0</v>
      </c>
      <c r="X40" s="58">
        <f ca="1">Log_2020[[#This Row],[Amount]]/Log_2020[[#This Row],[Split_raw]]*MAX(0,MIN(_xlfn.DAYS(EDATE(X$1,1),Log_2020[[#This Row],[Date]]),Log_2020[[#This Row],[Split_apply]])) - SUM($O40:W40)</f>
        <v>0</v>
      </c>
      <c r="Y40" s="58">
        <f ca="1">Log_2020[[#This Row],[Amount]]/Log_2020[[#This Row],[Split_raw]]*MAX(0,MIN(_xlfn.DAYS(EDATE(Y$1,1),Log_2020[[#This Row],[Date]]),Log_2020[[#This Row],[Split_apply]])) - SUM($O40:X40)</f>
        <v>0</v>
      </c>
      <c r="Z40" s="58">
        <f ca="1">Log_2020[[#This Row],[Amount]]/Log_2020[[#This Row],[Split_raw]]*MAX(0,MIN(_xlfn.DAYS(EDATE(Z$1,1),Log_2020[[#This Row],[Date]]),Log_2020[[#This Row],[Split_apply]])) - SUM($O40:Y40)</f>
        <v>0</v>
      </c>
      <c r="AA40" s="58">
        <f ca="1">Log_2020[[#This Row],[Amount]]/Log_2020[[#This Row],[Split_raw]]*MAX(0,MIN(_xlfn.DAYS(EDATE(AA$1,1),Log_2020[[#This Row],[Date]]),Log_2020[[#This Row],[Split_apply]])) - SUM($O40:Z40)</f>
        <v>0</v>
      </c>
      <c r="AB40" s="85">
        <f ca="1">Log_2020[[#This Row],[Amount]]*Log_2020[[#This Row],[Split_apply]]/Log_2020[[#This Row],[Split_raw]]-SUM(O40:AA40)</f>
        <v>0</v>
      </c>
      <c r="AC40" s="74">
        <f>MAX(0,Log_2020[[#This Row],[Split_raw]] - (EDATE(AA$1,1)-Log_2020[[#This Row],[Date]]))</f>
        <v>0</v>
      </c>
    </row>
    <row r="41" spans="1:29" x14ac:dyDescent="0.25">
      <c r="A41" s="37"/>
      <c r="B41" s="34" t="s">
        <v>6</v>
      </c>
      <c r="C41" s="34"/>
      <c r="D41" s="35">
        <v>43943</v>
      </c>
      <c r="E41" s="34"/>
      <c r="F41" s="34" t="s">
        <v>1095</v>
      </c>
      <c r="G41" s="34" t="s">
        <v>25</v>
      </c>
      <c r="H41">
        <v>-41</v>
      </c>
      <c r="I41" s="36">
        <f>IF(Log_2020[[#This Row],[My Category]]="NONTRACKED",0,Log_2020[[#This Row],[Raw Amount]])</f>
        <v>-41</v>
      </c>
      <c r="J41" s="37">
        <f>ABS(Log_2020[[#This Row],[Amount]])</f>
        <v>41</v>
      </c>
      <c r="K41" s="38">
        <v>1</v>
      </c>
      <c r="L41" s="38">
        <f ca="1">IF(Log_2020[[#This Row],[Date]]&lt;=TODAY(), MIN(Log_2020[[#This Row],[Split_raw]], TODAY()-Log_2020[[#This Row],[Date]]+1), 0)</f>
        <v>1</v>
      </c>
      <c r="M41" s="34" t="s">
        <v>35</v>
      </c>
      <c r="N41" s="34" t="s">
        <v>158</v>
      </c>
      <c r="O41" s="7"/>
      <c r="P41" s="58">
        <f ca="1">Log_2020[[#This Row],[Amount]]/Log_2020[[#This Row],[Split_raw]]*MAX(0,MIN(_xlfn.DAYS(EDATE(P$1,1),Log_2020[[#This Row],[Date]]),Log_2020[[#This Row],[Split_apply]])) - SUM($O41:O41)</f>
        <v>0</v>
      </c>
      <c r="Q41" s="58">
        <f ca="1">Log_2020[[#This Row],[Amount]]/Log_2020[[#This Row],[Split_raw]]*MAX(0,MIN(_xlfn.DAYS(EDATE(Q$1,1),Log_2020[[#This Row],[Date]]),Log_2020[[#This Row],[Split_apply]])) - SUM($O41:P41)</f>
        <v>0</v>
      </c>
      <c r="R41" s="58">
        <f ca="1">Log_2020[[#This Row],[Amount]]/Log_2020[[#This Row],[Split_raw]]*MAX(0,MIN(_xlfn.DAYS(EDATE(R$1,1),Log_2020[[#This Row],[Date]]),Log_2020[[#This Row],[Split_apply]])) - SUM($O41:Q41)</f>
        <v>0</v>
      </c>
      <c r="S41" s="58">
        <f ca="1">Log_2020[[#This Row],[Amount]]/Log_2020[[#This Row],[Split_raw]]*MAX(0,MIN(_xlfn.DAYS(EDATE(S$1,1),Log_2020[[#This Row],[Date]]),Log_2020[[#This Row],[Split_apply]])) - SUM($O41:R41)</f>
        <v>-41</v>
      </c>
      <c r="T41" s="58">
        <f ca="1">Log_2020[[#This Row],[Amount]]/Log_2020[[#This Row],[Split_raw]]*MAX(0,MIN(_xlfn.DAYS(EDATE(T$1,1),Log_2020[[#This Row],[Date]]),Log_2020[[#This Row],[Split_apply]])) - SUM($O41:S41)</f>
        <v>0</v>
      </c>
      <c r="U41" s="58">
        <f ca="1">Log_2020[[#This Row],[Amount]]/Log_2020[[#This Row],[Split_raw]]*MAX(0,MIN(_xlfn.DAYS(EDATE(U$1,1),Log_2020[[#This Row],[Date]]),Log_2020[[#This Row],[Split_apply]])) - SUM($O41:T41)</f>
        <v>0</v>
      </c>
      <c r="V41" s="58">
        <f ca="1">Log_2020[[#This Row],[Amount]]/Log_2020[[#This Row],[Split_raw]]*MAX(0,MIN(_xlfn.DAYS(EDATE(V$1,1),Log_2020[[#This Row],[Date]]),Log_2020[[#This Row],[Split_apply]])) - SUM($O41:U41)</f>
        <v>0</v>
      </c>
      <c r="W41" s="58">
        <f ca="1">Log_2020[[#This Row],[Amount]]/Log_2020[[#This Row],[Split_raw]]*MAX(0,MIN(_xlfn.DAYS(EDATE(W$1,1),Log_2020[[#This Row],[Date]]),Log_2020[[#This Row],[Split_apply]])) - SUM($O41:V41)</f>
        <v>0</v>
      </c>
      <c r="X41" s="58">
        <f ca="1">Log_2020[[#This Row],[Amount]]/Log_2020[[#This Row],[Split_raw]]*MAX(0,MIN(_xlfn.DAYS(EDATE(X$1,1),Log_2020[[#This Row],[Date]]),Log_2020[[#This Row],[Split_apply]])) - SUM($O41:W41)</f>
        <v>0</v>
      </c>
      <c r="Y41" s="58">
        <f ca="1">Log_2020[[#This Row],[Amount]]/Log_2020[[#This Row],[Split_raw]]*MAX(0,MIN(_xlfn.DAYS(EDATE(Y$1,1),Log_2020[[#This Row],[Date]]),Log_2020[[#This Row],[Split_apply]])) - SUM($O41:X41)</f>
        <v>0</v>
      </c>
      <c r="Z41" s="58">
        <f ca="1">Log_2020[[#This Row],[Amount]]/Log_2020[[#This Row],[Split_raw]]*MAX(0,MIN(_xlfn.DAYS(EDATE(Z$1,1),Log_2020[[#This Row],[Date]]),Log_2020[[#This Row],[Split_apply]])) - SUM($O41:Y41)</f>
        <v>0</v>
      </c>
      <c r="AA41" s="58">
        <f ca="1">Log_2020[[#This Row],[Amount]]/Log_2020[[#This Row],[Split_raw]]*MAX(0,MIN(_xlfn.DAYS(EDATE(AA$1,1),Log_2020[[#This Row],[Date]]),Log_2020[[#This Row],[Split_apply]])) - SUM($O41:Z41)</f>
        <v>0</v>
      </c>
      <c r="AB41" s="85">
        <f ca="1">Log_2020[[#This Row],[Amount]]*Log_2020[[#This Row],[Split_apply]]/Log_2020[[#This Row],[Split_raw]]-SUM(O41:AA41)</f>
        <v>0</v>
      </c>
      <c r="AC41" s="74">
        <f>MAX(0,Log_2020[[#This Row],[Split_raw]] - (EDATE(AA$1,1)-Log_2020[[#This Row],[Date]]))</f>
        <v>0</v>
      </c>
    </row>
    <row r="42" spans="1:29" x14ac:dyDescent="0.25">
      <c r="A42" s="37"/>
      <c r="B42" s="34" t="s">
        <v>6</v>
      </c>
      <c r="C42" s="34"/>
      <c r="D42" s="35">
        <v>43942</v>
      </c>
      <c r="E42" s="34"/>
      <c r="F42" s="34" t="s">
        <v>346</v>
      </c>
      <c r="G42" s="34" t="s">
        <v>9</v>
      </c>
      <c r="H42">
        <v>-16.23</v>
      </c>
      <c r="I42" s="36">
        <f>IF(Log_2020[[#This Row],[My Category]]="NONTRACKED",0,Log_2020[[#This Row],[Raw Amount]])</f>
        <v>-16.23</v>
      </c>
      <c r="J42" s="37">
        <f>ABS(Log_2020[[#This Row],[Amount]])</f>
        <v>16.23</v>
      </c>
      <c r="K42" s="38">
        <v>1</v>
      </c>
      <c r="L42" s="38">
        <f ca="1">IF(Log_2020[[#This Row],[Date]]&lt;=TODAY(), MIN(Log_2020[[#This Row],[Split_raw]], TODAY()-Log_2020[[#This Row],[Date]]+1), 0)</f>
        <v>1</v>
      </c>
      <c r="M42" s="34" t="s">
        <v>39</v>
      </c>
      <c r="N42" s="34" t="s">
        <v>158</v>
      </c>
      <c r="O42" s="7"/>
      <c r="P42" s="58">
        <f ca="1">Log_2020[[#This Row],[Amount]]/Log_2020[[#This Row],[Split_raw]]*MAX(0,MIN(_xlfn.DAYS(EDATE(P$1,1),Log_2020[[#This Row],[Date]]),Log_2020[[#This Row],[Split_apply]])) - SUM($O42:O42)</f>
        <v>0</v>
      </c>
      <c r="Q42" s="58">
        <f ca="1">Log_2020[[#This Row],[Amount]]/Log_2020[[#This Row],[Split_raw]]*MAX(0,MIN(_xlfn.DAYS(EDATE(Q$1,1),Log_2020[[#This Row],[Date]]),Log_2020[[#This Row],[Split_apply]])) - SUM($O42:P42)</f>
        <v>0</v>
      </c>
      <c r="R42" s="58">
        <f ca="1">Log_2020[[#This Row],[Amount]]/Log_2020[[#This Row],[Split_raw]]*MAX(0,MIN(_xlfn.DAYS(EDATE(R$1,1),Log_2020[[#This Row],[Date]]),Log_2020[[#This Row],[Split_apply]])) - SUM($O42:Q42)</f>
        <v>0</v>
      </c>
      <c r="S42" s="58">
        <f ca="1">Log_2020[[#This Row],[Amount]]/Log_2020[[#This Row],[Split_raw]]*MAX(0,MIN(_xlfn.DAYS(EDATE(S$1,1),Log_2020[[#This Row],[Date]]),Log_2020[[#This Row],[Split_apply]])) - SUM($O42:R42)</f>
        <v>-16.23</v>
      </c>
      <c r="T42" s="58">
        <f ca="1">Log_2020[[#This Row],[Amount]]/Log_2020[[#This Row],[Split_raw]]*MAX(0,MIN(_xlfn.DAYS(EDATE(T$1,1),Log_2020[[#This Row],[Date]]),Log_2020[[#This Row],[Split_apply]])) - SUM($O42:S42)</f>
        <v>0</v>
      </c>
      <c r="U42" s="58">
        <f ca="1">Log_2020[[#This Row],[Amount]]/Log_2020[[#This Row],[Split_raw]]*MAX(0,MIN(_xlfn.DAYS(EDATE(U$1,1),Log_2020[[#This Row],[Date]]),Log_2020[[#This Row],[Split_apply]])) - SUM($O42:T42)</f>
        <v>0</v>
      </c>
      <c r="V42" s="58">
        <f ca="1">Log_2020[[#This Row],[Amount]]/Log_2020[[#This Row],[Split_raw]]*MAX(0,MIN(_xlfn.DAYS(EDATE(V$1,1),Log_2020[[#This Row],[Date]]),Log_2020[[#This Row],[Split_apply]])) - SUM($O42:U42)</f>
        <v>0</v>
      </c>
      <c r="W42" s="58">
        <f ca="1">Log_2020[[#This Row],[Amount]]/Log_2020[[#This Row],[Split_raw]]*MAX(0,MIN(_xlfn.DAYS(EDATE(W$1,1),Log_2020[[#This Row],[Date]]),Log_2020[[#This Row],[Split_apply]])) - SUM($O42:V42)</f>
        <v>0</v>
      </c>
      <c r="X42" s="58">
        <f ca="1">Log_2020[[#This Row],[Amount]]/Log_2020[[#This Row],[Split_raw]]*MAX(0,MIN(_xlfn.DAYS(EDATE(X$1,1),Log_2020[[#This Row],[Date]]),Log_2020[[#This Row],[Split_apply]])) - SUM($O42:W42)</f>
        <v>0</v>
      </c>
      <c r="Y42" s="58">
        <f ca="1">Log_2020[[#This Row],[Amount]]/Log_2020[[#This Row],[Split_raw]]*MAX(0,MIN(_xlfn.DAYS(EDATE(Y$1,1),Log_2020[[#This Row],[Date]]),Log_2020[[#This Row],[Split_apply]])) - SUM($O42:X42)</f>
        <v>0</v>
      </c>
      <c r="Z42" s="58">
        <f ca="1">Log_2020[[#This Row],[Amount]]/Log_2020[[#This Row],[Split_raw]]*MAX(0,MIN(_xlfn.DAYS(EDATE(Z$1,1),Log_2020[[#This Row],[Date]]),Log_2020[[#This Row],[Split_apply]])) - SUM($O42:Y42)</f>
        <v>0</v>
      </c>
      <c r="AA42" s="58">
        <f ca="1">Log_2020[[#This Row],[Amount]]/Log_2020[[#This Row],[Split_raw]]*MAX(0,MIN(_xlfn.DAYS(EDATE(AA$1,1),Log_2020[[#This Row],[Date]]),Log_2020[[#This Row],[Split_apply]])) - SUM($O42:Z42)</f>
        <v>0</v>
      </c>
      <c r="AB42" s="85">
        <f ca="1">Log_2020[[#This Row],[Amount]]*Log_2020[[#This Row],[Split_apply]]/Log_2020[[#This Row],[Split_raw]]-SUM(O42:AA42)</f>
        <v>0</v>
      </c>
      <c r="AC42" s="74">
        <f>MAX(0,Log_2020[[#This Row],[Split_raw]] - (EDATE(AA$1,1)-Log_2020[[#This Row],[Date]]))</f>
        <v>0</v>
      </c>
    </row>
    <row r="43" spans="1:29" x14ac:dyDescent="0.25">
      <c r="A43" s="37"/>
      <c r="B43" s="34" t="s">
        <v>6</v>
      </c>
      <c r="C43" s="34"/>
      <c r="D43" s="35">
        <v>43942</v>
      </c>
      <c r="E43" s="34"/>
      <c r="F43" s="34" t="s">
        <v>1094</v>
      </c>
      <c r="G43" s="34" t="s">
        <v>19</v>
      </c>
      <c r="H43">
        <v>-76.099999999999994</v>
      </c>
      <c r="I43" s="36">
        <f>IF(Log_2020[[#This Row],[My Category]]="NONTRACKED",0,Log_2020[[#This Row],[Raw Amount]])</f>
        <v>-76.099999999999994</v>
      </c>
      <c r="J43" s="37">
        <f>ABS(Log_2020[[#This Row],[Amount]])</f>
        <v>76.099999999999994</v>
      </c>
      <c r="K43" s="38">
        <v>1</v>
      </c>
      <c r="L43" s="38">
        <f ca="1">IF(Log_2020[[#This Row],[Date]]&lt;=TODAY(), MIN(Log_2020[[#This Row],[Split_raw]], TODAY()-Log_2020[[#This Row],[Date]]+1), 0)</f>
        <v>1</v>
      </c>
      <c r="M43" s="34" t="s">
        <v>12</v>
      </c>
      <c r="N43" s="34" t="s">
        <v>158</v>
      </c>
      <c r="O43" s="7"/>
      <c r="P43" s="58">
        <f ca="1">Log_2020[[#This Row],[Amount]]/Log_2020[[#This Row],[Split_raw]]*MAX(0,MIN(_xlfn.DAYS(EDATE(P$1,1),Log_2020[[#This Row],[Date]]),Log_2020[[#This Row],[Split_apply]])) - SUM($O43:O43)</f>
        <v>0</v>
      </c>
      <c r="Q43" s="58">
        <f ca="1">Log_2020[[#This Row],[Amount]]/Log_2020[[#This Row],[Split_raw]]*MAX(0,MIN(_xlfn.DAYS(EDATE(Q$1,1),Log_2020[[#This Row],[Date]]),Log_2020[[#This Row],[Split_apply]])) - SUM($O43:P43)</f>
        <v>0</v>
      </c>
      <c r="R43" s="58">
        <f ca="1">Log_2020[[#This Row],[Amount]]/Log_2020[[#This Row],[Split_raw]]*MAX(0,MIN(_xlfn.DAYS(EDATE(R$1,1),Log_2020[[#This Row],[Date]]),Log_2020[[#This Row],[Split_apply]])) - SUM($O43:Q43)</f>
        <v>0</v>
      </c>
      <c r="S43" s="58">
        <f ca="1">Log_2020[[#This Row],[Amount]]/Log_2020[[#This Row],[Split_raw]]*MAX(0,MIN(_xlfn.DAYS(EDATE(S$1,1),Log_2020[[#This Row],[Date]]),Log_2020[[#This Row],[Split_apply]])) - SUM($O43:R43)</f>
        <v>-76.099999999999994</v>
      </c>
      <c r="T43" s="58">
        <f ca="1">Log_2020[[#This Row],[Amount]]/Log_2020[[#This Row],[Split_raw]]*MAX(0,MIN(_xlfn.DAYS(EDATE(T$1,1),Log_2020[[#This Row],[Date]]),Log_2020[[#This Row],[Split_apply]])) - SUM($O43:S43)</f>
        <v>0</v>
      </c>
      <c r="U43" s="58">
        <f ca="1">Log_2020[[#This Row],[Amount]]/Log_2020[[#This Row],[Split_raw]]*MAX(0,MIN(_xlfn.DAYS(EDATE(U$1,1),Log_2020[[#This Row],[Date]]),Log_2020[[#This Row],[Split_apply]])) - SUM($O43:T43)</f>
        <v>0</v>
      </c>
      <c r="V43" s="58">
        <f ca="1">Log_2020[[#This Row],[Amount]]/Log_2020[[#This Row],[Split_raw]]*MAX(0,MIN(_xlfn.DAYS(EDATE(V$1,1),Log_2020[[#This Row],[Date]]),Log_2020[[#This Row],[Split_apply]])) - SUM($O43:U43)</f>
        <v>0</v>
      </c>
      <c r="W43" s="58">
        <f ca="1">Log_2020[[#This Row],[Amount]]/Log_2020[[#This Row],[Split_raw]]*MAX(0,MIN(_xlfn.DAYS(EDATE(W$1,1),Log_2020[[#This Row],[Date]]),Log_2020[[#This Row],[Split_apply]])) - SUM($O43:V43)</f>
        <v>0</v>
      </c>
      <c r="X43" s="58">
        <f ca="1">Log_2020[[#This Row],[Amount]]/Log_2020[[#This Row],[Split_raw]]*MAX(0,MIN(_xlfn.DAYS(EDATE(X$1,1),Log_2020[[#This Row],[Date]]),Log_2020[[#This Row],[Split_apply]])) - SUM($O43:W43)</f>
        <v>0</v>
      </c>
      <c r="Y43" s="58">
        <f ca="1">Log_2020[[#This Row],[Amount]]/Log_2020[[#This Row],[Split_raw]]*MAX(0,MIN(_xlfn.DAYS(EDATE(Y$1,1),Log_2020[[#This Row],[Date]]),Log_2020[[#This Row],[Split_apply]])) - SUM($O43:X43)</f>
        <v>0</v>
      </c>
      <c r="Z43" s="58">
        <f ca="1">Log_2020[[#This Row],[Amount]]/Log_2020[[#This Row],[Split_raw]]*MAX(0,MIN(_xlfn.DAYS(EDATE(Z$1,1),Log_2020[[#This Row],[Date]]),Log_2020[[#This Row],[Split_apply]])) - SUM($O43:Y43)</f>
        <v>0</v>
      </c>
      <c r="AA43" s="58">
        <f ca="1">Log_2020[[#This Row],[Amount]]/Log_2020[[#This Row],[Split_raw]]*MAX(0,MIN(_xlfn.DAYS(EDATE(AA$1,1),Log_2020[[#This Row],[Date]]),Log_2020[[#This Row],[Split_apply]])) - SUM($O43:Z43)</f>
        <v>0</v>
      </c>
      <c r="AB43" s="85">
        <f ca="1">Log_2020[[#This Row],[Amount]]*Log_2020[[#This Row],[Split_apply]]/Log_2020[[#This Row],[Split_raw]]-SUM(O43:AA43)</f>
        <v>0</v>
      </c>
      <c r="AC43" s="74">
        <f>MAX(0,Log_2020[[#This Row],[Split_raw]] - (EDATE(AA$1,1)-Log_2020[[#This Row],[Date]]))</f>
        <v>0</v>
      </c>
    </row>
    <row r="44" spans="1:29" x14ac:dyDescent="0.25">
      <c r="A44" s="37"/>
      <c r="B44" s="34" t="s">
        <v>6</v>
      </c>
      <c r="C44" s="34"/>
      <c r="D44" s="35">
        <v>43940</v>
      </c>
      <c r="E44" s="34"/>
      <c r="F44" s="34" t="s">
        <v>1096</v>
      </c>
      <c r="G44" s="34" t="s">
        <v>25</v>
      </c>
      <c r="H44">
        <v>-45</v>
      </c>
      <c r="I44" s="36">
        <f>IF(Log_2020[[#This Row],[My Category]]="NONTRACKED",0,Log_2020[[#This Row],[Raw Amount]])</f>
        <v>-45</v>
      </c>
      <c r="J44" s="37">
        <f>ABS(Log_2020[[#This Row],[Amount]])</f>
        <v>45</v>
      </c>
      <c r="K44" s="38">
        <v>1</v>
      </c>
      <c r="L44" s="38">
        <f ca="1">IF(Log_2020[[#This Row],[Date]]&lt;=TODAY(), MIN(Log_2020[[#This Row],[Split_raw]], TODAY()-Log_2020[[#This Row],[Date]]+1), 0)</f>
        <v>1</v>
      </c>
      <c r="M44" s="34" t="s">
        <v>35</v>
      </c>
      <c r="N44" s="34" t="s">
        <v>158</v>
      </c>
      <c r="O44" s="7"/>
      <c r="P44" s="58">
        <f ca="1">Log_2020[[#This Row],[Amount]]/Log_2020[[#This Row],[Split_raw]]*MAX(0,MIN(_xlfn.DAYS(EDATE(P$1,1),Log_2020[[#This Row],[Date]]),Log_2020[[#This Row],[Split_apply]])) - SUM($O44:O44)</f>
        <v>0</v>
      </c>
      <c r="Q44" s="58">
        <f ca="1">Log_2020[[#This Row],[Amount]]/Log_2020[[#This Row],[Split_raw]]*MAX(0,MIN(_xlfn.DAYS(EDATE(Q$1,1),Log_2020[[#This Row],[Date]]),Log_2020[[#This Row],[Split_apply]])) - SUM($O44:P44)</f>
        <v>0</v>
      </c>
      <c r="R44" s="58">
        <f ca="1">Log_2020[[#This Row],[Amount]]/Log_2020[[#This Row],[Split_raw]]*MAX(0,MIN(_xlfn.DAYS(EDATE(R$1,1),Log_2020[[#This Row],[Date]]),Log_2020[[#This Row],[Split_apply]])) - SUM($O44:Q44)</f>
        <v>0</v>
      </c>
      <c r="S44" s="58">
        <f ca="1">Log_2020[[#This Row],[Amount]]/Log_2020[[#This Row],[Split_raw]]*MAX(0,MIN(_xlfn.DAYS(EDATE(S$1,1),Log_2020[[#This Row],[Date]]),Log_2020[[#This Row],[Split_apply]])) - SUM($O44:R44)</f>
        <v>-45</v>
      </c>
      <c r="T44" s="58">
        <f ca="1">Log_2020[[#This Row],[Amount]]/Log_2020[[#This Row],[Split_raw]]*MAX(0,MIN(_xlfn.DAYS(EDATE(T$1,1),Log_2020[[#This Row],[Date]]),Log_2020[[#This Row],[Split_apply]])) - SUM($O44:S44)</f>
        <v>0</v>
      </c>
      <c r="U44" s="58">
        <f ca="1">Log_2020[[#This Row],[Amount]]/Log_2020[[#This Row],[Split_raw]]*MAX(0,MIN(_xlfn.DAYS(EDATE(U$1,1),Log_2020[[#This Row],[Date]]),Log_2020[[#This Row],[Split_apply]])) - SUM($O44:T44)</f>
        <v>0</v>
      </c>
      <c r="V44" s="58">
        <f ca="1">Log_2020[[#This Row],[Amount]]/Log_2020[[#This Row],[Split_raw]]*MAX(0,MIN(_xlfn.DAYS(EDATE(V$1,1),Log_2020[[#This Row],[Date]]),Log_2020[[#This Row],[Split_apply]])) - SUM($O44:U44)</f>
        <v>0</v>
      </c>
      <c r="W44" s="58">
        <f ca="1">Log_2020[[#This Row],[Amount]]/Log_2020[[#This Row],[Split_raw]]*MAX(0,MIN(_xlfn.DAYS(EDATE(W$1,1),Log_2020[[#This Row],[Date]]),Log_2020[[#This Row],[Split_apply]])) - SUM($O44:V44)</f>
        <v>0</v>
      </c>
      <c r="X44" s="58">
        <f ca="1">Log_2020[[#This Row],[Amount]]/Log_2020[[#This Row],[Split_raw]]*MAX(0,MIN(_xlfn.DAYS(EDATE(X$1,1),Log_2020[[#This Row],[Date]]),Log_2020[[#This Row],[Split_apply]])) - SUM($O44:W44)</f>
        <v>0</v>
      </c>
      <c r="Y44" s="58">
        <f ca="1">Log_2020[[#This Row],[Amount]]/Log_2020[[#This Row],[Split_raw]]*MAX(0,MIN(_xlfn.DAYS(EDATE(Y$1,1),Log_2020[[#This Row],[Date]]),Log_2020[[#This Row],[Split_apply]])) - SUM($O44:X44)</f>
        <v>0</v>
      </c>
      <c r="Z44" s="58">
        <f ca="1">Log_2020[[#This Row],[Amount]]/Log_2020[[#This Row],[Split_raw]]*MAX(0,MIN(_xlfn.DAYS(EDATE(Z$1,1),Log_2020[[#This Row],[Date]]),Log_2020[[#This Row],[Split_apply]])) - SUM($O44:Y44)</f>
        <v>0</v>
      </c>
      <c r="AA44" s="58">
        <f ca="1">Log_2020[[#This Row],[Amount]]/Log_2020[[#This Row],[Split_raw]]*MAX(0,MIN(_xlfn.DAYS(EDATE(AA$1,1),Log_2020[[#This Row],[Date]]),Log_2020[[#This Row],[Split_apply]])) - SUM($O44:Z44)</f>
        <v>0</v>
      </c>
      <c r="AB44" s="85">
        <f ca="1">Log_2020[[#This Row],[Amount]]*Log_2020[[#This Row],[Split_apply]]/Log_2020[[#This Row],[Split_raw]]-SUM(O44:AA44)</f>
        <v>0</v>
      </c>
      <c r="AC44" s="74">
        <f>MAX(0,Log_2020[[#This Row],[Split_raw]] - (EDATE(AA$1,1)-Log_2020[[#This Row],[Date]]))</f>
        <v>0</v>
      </c>
    </row>
    <row r="45" spans="1:29" x14ac:dyDescent="0.25">
      <c r="A45" s="37"/>
      <c r="B45" s="34" t="s">
        <v>6</v>
      </c>
      <c r="C45" s="34"/>
      <c r="D45" s="35">
        <v>43938</v>
      </c>
      <c r="E45" s="34"/>
      <c r="F45" s="34" t="s">
        <v>1091</v>
      </c>
      <c r="G45" s="34" t="s">
        <v>29</v>
      </c>
      <c r="H45">
        <v>-38.14</v>
      </c>
      <c r="I45" s="36">
        <f>IF(Log_2020[[#This Row],[My Category]]="NONTRACKED",0,Log_2020[[#This Row],[Raw Amount]])</f>
        <v>-38.14</v>
      </c>
      <c r="J45" s="37">
        <f>ABS(Log_2020[[#This Row],[Amount]])</f>
        <v>38.14</v>
      </c>
      <c r="K45" s="38">
        <v>30</v>
      </c>
      <c r="L45" s="38">
        <f ca="1">IF(Log_2020[[#This Row],[Date]]&lt;=TODAY(), MIN(Log_2020[[#This Row],[Split_raw]], TODAY()-Log_2020[[#This Row],[Date]]+1), 0)</f>
        <v>30</v>
      </c>
      <c r="M45" s="34" t="s">
        <v>29</v>
      </c>
      <c r="N45" s="34" t="s">
        <v>160</v>
      </c>
      <c r="O45" s="7"/>
      <c r="P45" s="58">
        <f ca="1">Log_2020[[#This Row],[Amount]]/Log_2020[[#This Row],[Split_raw]]*MAX(0,MIN(_xlfn.DAYS(EDATE(P$1,1),Log_2020[[#This Row],[Date]]),Log_2020[[#This Row],[Split_apply]])) - SUM($O45:O45)</f>
        <v>0</v>
      </c>
      <c r="Q45" s="58">
        <f ca="1">Log_2020[[#This Row],[Amount]]/Log_2020[[#This Row],[Split_raw]]*MAX(0,MIN(_xlfn.DAYS(EDATE(Q$1,1),Log_2020[[#This Row],[Date]]),Log_2020[[#This Row],[Split_apply]])) - SUM($O45:P45)</f>
        <v>0</v>
      </c>
      <c r="R45" s="58">
        <f ca="1">Log_2020[[#This Row],[Amount]]/Log_2020[[#This Row],[Split_raw]]*MAX(0,MIN(_xlfn.DAYS(EDATE(R$1,1),Log_2020[[#This Row],[Date]]),Log_2020[[#This Row],[Split_apply]])) - SUM($O45:Q45)</f>
        <v>0</v>
      </c>
      <c r="S45" s="58">
        <f ca="1">Log_2020[[#This Row],[Amount]]/Log_2020[[#This Row],[Split_raw]]*MAX(0,MIN(_xlfn.DAYS(EDATE(S$1,1),Log_2020[[#This Row],[Date]]),Log_2020[[#This Row],[Split_apply]])) - SUM($O45:R45)</f>
        <v>-17.798666666666669</v>
      </c>
      <c r="T45" s="58">
        <f ca="1">Log_2020[[#This Row],[Amount]]/Log_2020[[#This Row],[Split_raw]]*MAX(0,MIN(_xlfn.DAYS(EDATE(T$1,1),Log_2020[[#This Row],[Date]]),Log_2020[[#This Row],[Split_apply]])) - SUM($O45:S45)</f>
        <v>-20.341333333333331</v>
      </c>
      <c r="U45" s="58">
        <f ca="1">Log_2020[[#This Row],[Amount]]/Log_2020[[#This Row],[Split_raw]]*MAX(0,MIN(_xlfn.DAYS(EDATE(U$1,1),Log_2020[[#This Row],[Date]]),Log_2020[[#This Row],[Split_apply]])) - SUM($O45:T45)</f>
        <v>0</v>
      </c>
      <c r="V45" s="58">
        <f ca="1">Log_2020[[#This Row],[Amount]]/Log_2020[[#This Row],[Split_raw]]*MAX(0,MIN(_xlfn.DAYS(EDATE(V$1,1),Log_2020[[#This Row],[Date]]),Log_2020[[#This Row],[Split_apply]])) - SUM($O45:U45)</f>
        <v>0</v>
      </c>
      <c r="W45" s="58">
        <f ca="1">Log_2020[[#This Row],[Amount]]/Log_2020[[#This Row],[Split_raw]]*MAX(0,MIN(_xlfn.DAYS(EDATE(W$1,1),Log_2020[[#This Row],[Date]]),Log_2020[[#This Row],[Split_apply]])) - SUM($O45:V45)</f>
        <v>0</v>
      </c>
      <c r="X45" s="58">
        <f ca="1">Log_2020[[#This Row],[Amount]]/Log_2020[[#This Row],[Split_raw]]*MAX(0,MIN(_xlfn.DAYS(EDATE(X$1,1),Log_2020[[#This Row],[Date]]),Log_2020[[#This Row],[Split_apply]])) - SUM($O45:W45)</f>
        <v>0</v>
      </c>
      <c r="Y45" s="58">
        <f ca="1">Log_2020[[#This Row],[Amount]]/Log_2020[[#This Row],[Split_raw]]*MAX(0,MIN(_xlfn.DAYS(EDATE(Y$1,1),Log_2020[[#This Row],[Date]]),Log_2020[[#This Row],[Split_apply]])) - SUM($O45:X45)</f>
        <v>0</v>
      </c>
      <c r="Z45" s="58">
        <f ca="1">Log_2020[[#This Row],[Amount]]/Log_2020[[#This Row],[Split_raw]]*MAX(0,MIN(_xlfn.DAYS(EDATE(Z$1,1),Log_2020[[#This Row],[Date]]),Log_2020[[#This Row],[Split_apply]])) - SUM($O45:Y45)</f>
        <v>0</v>
      </c>
      <c r="AA45" s="58">
        <f ca="1">Log_2020[[#This Row],[Amount]]/Log_2020[[#This Row],[Split_raw]]*MAX(0,MIN(_xlfn.DAYS(EDATE(AA$1,1),Log_2020[[#This Row],[Date]]),Log_2020[[#This Row],[Split_apply]])) - SUM($O45:Z45)</f>
        <v>0</v>
      </c>
      <c r="AB45" s="85">
        <f ca="1">Log_2020[[#This Row],[Amount]]*Log_2020[[#This Row],[Split_apply]]/Log_2020[[#This Row],[Split_raw]]-SUM(O45:AA45)</f>
        <v>0</v>
      </c>
      <c r="AC45" s="74">
        <f>MAX(0,Log_2020[[#This Row],[Split_raw]] - (EDATE(AA$1,1)-Log_2020[[#This Row],[Date]]))</f>
        <v>0</v>
      </c>
    </row>
    <row r="46" spans="1:29" x14ac:dyDescent="0.25">
      <c r="A46" s="37"/>
      <c r="B46" s="34" t="s">
        <v>6</v>
      </c>
      <c r="C46" s="34"/>
      <c r="D46" s="35">
        <v>43937</v>
      </c>
      <c r="E46" s="34"/>
      <c r="F46" s="34" t="s">
        <v>1092</v>
      </c>
      <c r="G46" s="34" t="s">
        <v>221</v>
      </c>
      <c r="H46">
        <v>-10000</v>
      </c>
      <c r="I46" s="36">
        <f>IF(Log_2020[[#This Row],[My Category]]="NONTRACKED",0,Log_2020[[#This Row],[Raw Amount]])</f>
        <v>0</v>
      </c>
      <c r="J46" s="37">
        <f>ABS(Log_2020[[#This Row],[Amount]])</f>
        <v>0</v>
      </c>
      <c r="K46" s="38">
        <v>1</v>
      </c>
      <c r="L46" s="38">
        <f ca="1">IF(Log_2020[[#This Row],[Date]]&lt;=TODAY(), MIN(Log_2020[[#This Row],[Split_raw]], TODAY()-Log_2020[[#This Row],[Date]]+1), 0)</f>
        <v>1</v>
      </c>
      <c r="M46" s="34" t="s">
        <v>755</v>
      </c>
      <c r="N46" s="34" t="s">
        <v>160</v>
      </c>
      <c r="O46" s="7"/>
      <c r="P46" s="58">
        <f ca="1">Log_2020[[#This Row],[Amount]]/Log_2020[[#This Row],[Split_raw]]*MAX(0,MIN(_xlfn.DAYS(EDATE(P$1,1),Log_2020[[#This Row],[Date]]),Log_2020[[#This Row],[Split_apply]])) - SUM($O46:O46)</f>
        <v>0</v>
      </c>
      <c r="Q46" s="58">
        <f ca="1">Log_2020[[#This Row],[Amount]]/Log_2020[[#This Row],[Split_raw]]*MAX(0,MIN(_xlfn.DAYS(EDATE(Q$1,1),Log_2020[[#This Row],[Date]]),Log_2020[[#This Row],[Split_apply]])) - SUM($O46:P46)</f>
        <v>0</v>
      </c>
      <c r="R46" s="58">
        <f ca="1">Log_2020[[#This Row],[Amount]]/Log_2020[[#This Row],[Split_raw]]*MAX(0,MIN(_xlfn.DAYS(EDATE(R$1,1),Log_2020[[#This Row],[Date]]),Log_2020[[#This Row],[Split_apply]])) - SUM($O46:Q46)</f>
        <v>0</v>
      </c>
      <c r="S46" s="58">
        <f ca="1">Log_2020[[#This Row],[Amount]]/Log_2020[[#This Row],[Split_raw]]*MAX(0,MIN(_xlfn.DAYS(EDATE(S$1,1),Log_2020[[#This Row],[Date]]),Log_2020[[#This Row],[Split_apply]])) - SUM($O46:R46)</f>
        <v>0</v>
      </c>
      <c r="T46" s="58">
        <f ca="1">Log_2020[[#This Row],[Amount]]/Log_2020[[#This Row],[Split_raw]]*MAX(0,MIN(_xlfn.DAYS(EDATE(T$1,1),Log_2020[[#This Row],[Date]]),Log_2020[[#This Row],[Split_apply]])) - SUM($O46:S46)</f>
        <v>0</v>
      </c>
      <c r="U46" s="58">
        <f ca="1">Log_2020[[#This Row],[Amount]]/Log_2020[[#This Row],[Split_raw]]*MAX(0,MIN(_xlfn.DAYS(EDATE(U$1,1),Log_2020[[#This Row],[Date]]),Log_2020[[#This Row],[Split_apply]])) - SUM($O46:T46)</f>
        <v>0</v>
      </c>
      <c r="V46" s="58">
        <f ca="1">Log_2020[[#This Row],[Amount]]/Log_2020[[#This Row],[Split_raw]]*MAX(0,MIN(_xlfn.DAYS(EDATE(V$1,1),Log_2020[[#This Row],[Date]]),Log_2020[[#This Row],[Split_apply]])) - SUM($O46:U46)</f>
        <v>0</v>
      </c>
      <c r="W46" s="58">
        <f ca="1">Log_2020[[#This Row],[Amount]]/Log_2020[[#This Row],[Split_raw]]*MAX(0,MIN(_xlfn.DAYS(EDATE(W$1,1),Log_2020[[#This Row],[Date]]),Log_2020[[#This Row],[Split_apply]])) - SUM($O46:V46)</f>
        <v>0</v>
      </c>
      <c r="X46" s="58">
        <f ca="1">Log_2020[[#This Row],[Amount]]/Log_2020[[#This Row],[Split_raw]]*MAX(0,MIN(_xlfn.DAYS(EDATE(X$1,1),Log_2020[[#This Row],[Date]]),Log_2020[[#This Row],[Split_apply]])) - SUM($O46:W46)</f>
        <v>0</v>
      </c>
      <c r="Y46" s="58">
        <f ca="1">Log_2020[[#This Row],[Amount]]/Log_2020[[#This Row],[Split_raw]]*MAX(0,MIN(_xlfn.DAYS(EDATE(Y$1,1),Log_2020[[#This Row],[Date]]),Log_2020[[#This Row],[Split_apply]])) - SUM($O46:X46)</f>
        <v>0</v>
      </c>
      <c r="Z46" s="58">
        <f ca="1">Log_2020[[#This Row],[Amount]]/Log_2020[[#This Row],[Split_raw]]*MAX(0,MIN(_xlfn.DAYS(EDATE(Z$1,1),Log_2020[[#This Row],[Date]]),Log_2020[[#This Row],[Split_apply]])) - SUM($O46:Y46)</f>
        <v>0</v>
      </c>
      <c r="AA46" s="58">
        <f ca="1">Log_2020[[#This Row],[Amount]]/Log_2020[[#This Row],[Split_raw]]*MAX(0,MIN(_xlfn.DAYS(EDATE(AA$1,1),Log_2020[[#This Row],[Date]]),Log_2020[[#This Row],[Split_apply]])) - SUM($O46:Z46)</f>
        <v>0</v>
      </c>
      <c r="AB46" s="85">
        <f ca="1">Log_2020[[#This Row],[Amount]]*Log_2020[[#This Row],[Split_apply]]/Log_2020[[#This Row],[Split_raw]]-SUM(O46:AA46)</f>
        <v>0</v>
      </c>
      <c r="AC46" s="74">
        <f>MAX(0,Log_2020[[#This Row],[Split_raw]] - (EDATE(AA$1,1)-Log_2020[[#This Row],[Date]]))</f>
        <v>0</v>
      </c>
    </row>
    <row r="47" spans="1:29" x14ac:dyDescent="0.25">
      <c r="A47" s="37"/>
      <c r="B47" s="34" t="s">
        <v>6</v>
      </c>
      <c r="C47" s="34"/>
      <c r="D47" s="35">
        <v>43937</v>
      </c>
      <c r="E47" s="34"/>
      <c r="F47" s="34" t="s">
        <v>1097</v>
      </c>
      <c r="G47" s="34" t="s">
        <v>25</v>
      </c>
      <c r="H47">
        <v>-30</v>
      </c>
      <c r="I47" s="36">
        <f>IF(Log_2020[[#This Row],[My Category]]="NONTRACKED",0,Log_2020[[#This Row],[Raw Amount]])</f>
        <v>-30</v>
      </c>
      <c r="J47" s="37">
        <f>ABS(Log_2020[[#This Row],[Amount]])</f>
        <v>30</v>
      </c>
      <c r="K47" s="38">
        <v>1</v>
      </c>
      <c r="L47" s="38">
        <f ca="1">IF(Log_2020[[#This Row],[Date]]&lt;=TODAY(), MIN(Log_2020[[#This Row],[Split_raw]], TODAY()-Log_2020[[#This Row],[Date]]+1), 0)</f>
        <v>1</v>
      </c>
      <c r="M47" s="34" t="s">
        <v>35</v>
      </c>
      <c r="N47" s="34" t="s">
        <v>158</v>
      </c>
      <c r="O47" s="7"/>
      <c r="P47" s="58">
        <f ca="1">Log_2020[[#This Row],[Amount]]/Log_2020[[#This Row],[Split_raw]]*MAX(0,MIN(_xlfn.DAYS(EDATE(P$1,1),Log_2020[[#This Row],[Date]]),Log_2020[[#This Row],[Split_apply]])) - SUM($O47:O47)</f>
        <v>0</v>
      </c>
      <c r="Q47" s="58">
        <f ca="1">Log_2020[[#This Row],[Amount]]/Log_2020[[#This Row],[Split_raw]]*MAX(0,MIN(_xlfn.DAYS(EDATE(Q$1,1),Log_2020[[#This Row],[Date]]),Log_2020[[#This Row],[Split_apply]])) - SUM($O47:P47)</f>
        <v>0</v>
      </c>
      <c r="R47" s="58">
        <f ca="1">Log_2020[[#This Row],[Amount]]/Log_2020[[#This Row],[Split_raw]]*MAX(0,MIN(_xlfn.DAYS(EDATE(R$1,1),Log_2020[[#This Row],[Date]]),Log_2020[[#This Row],[Split_apply]])) - SUM($O47:Q47)</f>
        <v>0</v>
      </c>
      <c r="S47" s="58">
        <f ca="1">Log_2020[[#This Row],[Amount]]/Log_2020[[#This Row],[Split_raw]]*MAX(0,MIN(_xlfn.DAYS(EDATE(S$1,1),Log_2020[[#This Row],[Date]]),Log_2020[[#This Row],[Split_apply]])) - SUM($O47:R47)</f>
        <v>-30</v>
      </c>
      <c r="T47" s="58">
        <f ca="1">Log_2020[[#This Row],[Amount]]/Log_2020[[#This Row],[Split_raw]]*MAX(0,MIN(_xlfn.DAYS(EDATE(T$1,1),Log_2020[[#This Row],[Date]]),Log_2020[[#This Row],[Split_apply]])) - SUM($O47:S47)</f>
        <v>0</v>
      </c>
      <c r="U47" s="58">
        <f ca="1">Log_2020[[#This Row],[Amount]]/Log_2020[[#This Row],[Split_raw]]*MAX(0,MIN(_xlfn.DAYS(EDATE(U$1,1),Log_2020[[#This Row],[Date]]),Log_2020[[#This Row],[Split_apply]])) - SUM($O47:T47)</f>
        <v>0</v>
      </c>
      <c r="V47" s="58">
        <f ca="1">Log_2020[[#This Row],[Amount]]/Log_2020[[#This Row],[Split_raw]]*MAX(0,MIN(_xlfn.DAYS(EDATE(V$1,1),Log_2020[[#This Row],[Date]]),Log_2020[[#This Row],[Split_apply]])) - SUM($O47:U47)</f>
        <v>0</v>
      </c>
      <c r="W47" s="58">
        <f ca="1">Log_2020[[#This Row],[Amount]]/Log_2020[[#This Row],[Split_raw]]*MAX(0,MIN(_xlfn.DAYS(EDATE(W$1,1),Log_2020[[#This Row],[Date]]),Log_2020[[#This Row],[Split_apply]])) - SUM($O47:V47)</f>
        <v>0</v>
      </c>
      <c r="X47" s="58">
        <f ca="1">Log_2020[[#This Row],[Amount]]/Log_2020[[#This Row],[Split_raw]]*MAX(0,MIN(_xlfn.DAYS(EDATE(X$1,1),Log_2020[[#This Row],[Date]]),Log_2020[[#This Row],[Split_apply]])) - SUM($O47:W47)</f>
        <v>0</v>
      </c>
      <c r="Y47" s="58">
        <f ca="1">Log_2020[[#This Row],[Amount]]/Log_2020[[#This Row],[Split_raw]]*MAX(0,MIN(_xlfn.DAYS(EDATE(Y$1,1),Log_2020[[#This Row],[Date]]),Log_2020[[#This Row],[Split_apply]])) - SUM($O47:X47)</f>
        <v>0</v>
      </c>
      <c r="Z47" s="58">
        <f ca="1">Log_2020[[#This Row],[Amount]]/Log_2020[[#This Row],[Split_raw]]*MAX(0,MIN(_xlfn.DAYS(EDATE(Z$1,1),Log_2020[[#This Row],[Date]]),Log_2020[[#This Row],[Split_apply]])) - SUM($O47:Y47)</f>
        <v>0</v>
      </c>
      <c r="AA47" s="58">
        <f ca="1">Log_2020[[#This Row],[Amount]]/Log_2020[[#This Row],[Split_raw]]*MAX(0,MIN(_xlfn.DAYS(EDATE(AA$1,1),Log_2020[[#This Row],[Date]]),Log_2020[[#This Row],[Split_apply]])) - SUM($O47:Z47)</f>
        <v>0</v>
      </c>
      <c r="AB47" s="85">
        <f ca="1">Log_2020[[#This Row],[Amount]]*Log_2020[[#This Row],[Split_apply]]/Log_2020[[#This Row],[Split_raw]]-SUM(O47:AA47)</f>
        <v>0</v>
      </c>
      <c r="AC47" s="74">
        <f>MAX(0,Log_2020[[#This Row],[Split_raw]] - (EDATE(AA$1,1)-Log_2020[[#This Row],[Date]]))</f>
        <v>0</v>
      </c>
    </row>
    <row r="48" spans="1:29" x14ac:dyDescent="0.25">
      <c r="A48" s="37"/>
      <c r="B48" s="34" t="s">
        <v>6</v>
      </c>
      <c r="C48" s="34"/>
      <c r="D48" s="35">
        <v>43935</v>
      </c>
      <c r="E48" s="34"/>
      <c r="F48" s="34" t="s">
        <v>1099</v>
      </c>
      <c r="G48" s="34" t="s">
        <v>12</v>
      </c>
      <c r="H48">
        <v>-139</v>
      </c>
      <c r="I48" s="36">
        <f>IF(Log_2020[[#This Row],[My Category]]="NONTRACKED",0,Log_2020[[#This Row],[Raw Amount]])</f>
        <v>-139</v>
      </c>
      <c r="J48" s="37">
        <f>ABS(Log_2020[[#This Row],[Amount]])</f>
        <v>139</v>
      </c>
      <c r="K48" s="38">
        <v>1</v>
      </c>
      <c r="L48" s="38">
        <f ca="1">IF(Log_2020[[#This Row],[Date]]&lt;=TODAY(), MIN(Log_2020[[#This Row],[Split_raw]], TODAY()-Log_2020[[#This Row],[Date]]+1), 0)</f>
        <v>1</v>
      </c>
      <c r="M48" s="34" t="s">
        <v>12</v>
      </c>
      <c r="N48" s="34" t="s">
        <v>158</v>
      </c>
      <c r="O48" s="7"/>
      <c r="P48" s="58">
        <f ca="1">Log_2020[[#This Row],[Amount]]/Log_2020[[#This Row],[Split_raw]]*MAX(0,MIN(_xlfn.DAYS(EDATE(P$1,1),Log_2020[[#This Row],[Date]]),Log_2020[[#This Row],[Split_apply]])) - SUM($O48:O48)</f>
        <v>0</v>
      </c>
      <c r="Q48" s="58">
        <f ca="1">Log_2020[[#This Row],[Amount]]/Log_2020[[#This Row],[Split_raw]]*MAX(0,MIN(_xlfn.DAYS(EDATE(Q$1,1),Log_2020[[#This Row],[Date]]),Log_2020[[#This Row],[Split_apply]])) - SUM($O48:P48)</f>
        <v>0</v>
      </c>
      <c r="R48" s="58">
        <f ca="1">Log_2020[[#This Row],[Amount]]/Log_2020[[#This Row],[Split_raw]]*MAX(0,MIN(_xlfn.DAYS(EDATE(R$1,1),Log_2020[[#This Row],[Date]]),Log_2020[[#This Row],[Split_apply]])) - SUM($O48:Q48)</f>
        <v>0</v>
      </c>
      <c r="S48" s="58">
        <f ca="1">Log_2020[[#This Row],[Amount]]/Log_2020[[#This Row],[Split_raw]]*MAX(0,MIN(_xlfn.DAYS(EDATE(S$1,1),Log_2020[[#This Row],[Date]]),Log_2020[[#This Row],[Split_apply]])) - SUM($O48:R48)</f>
        <v>-139</v>
      </c>
      <c r="T48" s="58">
        <f ca="1">Log_2020[[#This Row],[Amount]]/Log_2020[[#This Row],[Split_raw]]*MAX(0,MIN(_xlfn.DAYS(EDATE(T$1,1),Log_2020[[#This Row],[Date]]),Log_2020[[#This Row],[Split_apply]])) - SUM($O48:S48)</f>
        <v>0</v>
      </c>
      <c r="U48" s="58">
        <f ca="1">Log_2020[[#This Row],[Amount]]/Log_2020[[#This Row],[Split_raw]]*MAX(0,MIN(_xlfn.DAYS(EDATE(U$1,1),Log_2020[[#This Row],[Date]]),Log_2020[[#This Row],[Split_apply]])) - SUM($O48:T48)</f>
        <v>0</v>
      </c>
      <c r="V48" s="58">
        <f ca="1">Log_2020[[#This Row],[Amount]]/Log_2020[[#This Row],[Split_raw]]*MAX(0,MIN(_xlfn.DAYS(EDATE(V$1,1),Log_2020[[#This Row],[Date]]),Log_2020[[#This Row],[Split_apply]])) - SUM($O48:U48)</f>
        <v>0</v>
      </c>
      <c r="W48" s="58">
        <f ca="1">Log_2020[[#This Row],[Amount]]/Log_2020[[#This Row],[Split_raw]]*MAX(0,MIN(_xlfn.DAYS(EDATE(W$1,1),Log_2020[[#This Row],[Date]]),Log_2020[[#This Row],[Split_apply]])) - SUM($O48:V48)</f>
        <v>0</v>
      </c>
      <c r="X48" s="58">
        <f ca="1">Log_2020[[#This Row],[Amount]]/Log_2020[[#This Row],[Split_raw]]*MAX(0,MIN(_xlfn.DAYS(EDATE(X$1,1),Log_2020[[#This Row],[Date]]),Log_2020[[#This Row],[Split_apply]])) - SUM($O48:W48)</f>
        <v>0</v>
      </c>
      <c r="Y48" s="58">
        <f ca="1">Log_2020[[#This Row],[Amount]]/Log_2020[[#This Row],[Split_raw]]*MAX(0,MIN(_xlfn.DAYS(EDATE(Y$1,1),Log_2020[[#This Row],[Date]]),Log_2020[[#This Row],[Split_apply]])) - SUM($O48:X48)</f>
        <v>0</v>
      </c>
      <c r="Z48" s="58">
        <f ca="1">Log_2020[[#This Row],[Amount]]/Log_2020[[#This Row],[Split_raw]]*MAX(0,MIN(_xlfn.DAYS(EDATE(Z$1,1),Log_2020[[#This Row],[Date]]),Log_2020[[#This Row],[Split_apply]])) - SUM($O48:Y48)</f>
        <v>0</v>
      </c>
      <c r="AA48" s="58">
        <f ca="1">Log_2020[[#This Row],[Amount]]/Log_2020[[#This Row],[Split_raw]]*MAX(0,MIN(_xlfn.DAYS(EDATE(AA$1,1),Log_2020[[#This Row],[Date]]),Log_2020[[#This Row],[Split_apply]])) - SUM($O48:Z48)</f>
        <v>0</v>
      </c>
      <c r="AB48" s="85">
        <f ca="1">Log_2020[[#This Row],[Amount]]*Log_2020[[#This Row],[Split_apply]]/Log_2020[[#This Row],[Split_raw]]-SUM(O48:AA48)</f>
        <v>0</v>
      </c>
      <c r="AC48" s="74">
        <f>MAX(0,Log_2020[[#This Row],[Split_raw]] - (EDATE(AA$1,1)-Log_2020[[#This Row],[Date]]))</f>
        <v>0</v>
      </c>
    </row>
    <row r="49" spans="1:29" x14ac:dyDescent="0.25">
      <c r="A49" s="37"/>
      <c r="B49" s="34" t="s">
        <v>6</v>
      </c>
      <c r="C49" s="34"/>
      <c r="D49" s="35">
        <v>43935</v>
      </c>
      <c r="E49" s="34"/>
      <c r="F49" s="34" t="s">
        <v>105</v>
      </c>
      <c r="G49" s="34" t="s">
        <v>104</v>
      </c>
      <c r="H49">
        <f>--446.78</f>
        <v>446.78</v>
      </c>
      <c r="I49" s="36">
        <f>IF(Log_2020[[#This Row],[My Category]]="NONTRACKED",0,Log_2020[[#This Row],[Raw Amount]])</f>
        <v>446.78</v>
      </c>
      <c r="J49" s="37">
        <f>ABS(Log_2020[[#This Row],[Amount]])</f>
        <v>446.78</v>
      </c>
      <c r="K49" s="38">
        <v>1</v>
      </c>
      <c r="L49" s="38">
        <f ca="1">IF(Log_2020[[#This Row],[Date]]&lt;=TODAY(), MIN(Log_2020[[#This Row],[Split_raw]], TODAY()-Log_2020[[#This Row],[Date]]+1), 0)</f>
        <v>1</v>
      </c>
      <c r="M49" s="34" t="s">
        <v>159</v>
      </c>
      <c r="N49" s="34" t="s">
        <v>158</v>
      </c>
      <c r="O49" s="7"/>
      <c r="P49" s="58">
        <f ca="1">Log_2020[[#This Row],[Amount]]/Log_2020[[#This Row],[Split_raw]]*MAX(0,MIN(_xlfn.DAYS(EDATE(P$1,1),Log_2020[[#This Row],[Date]]),Log_2020[[#This Row],[Split_apply]])) - SUM($O49:O49)</f>
        <v>0</v>
      </c>
      <c r="Q49" s="58">
        <f ca="1">Log_2020[[#This Row],[Amount]]/Log_2020[[#This Row],[Split_raw]]*MAX(0,MIN(_xlfn.DAYS(EDATE(Q$1,1),Log_2020[[#This Row],[Date]]),Log_2020[[#This Row],[Split_apply]])) - SUM($O49:P49)</f>
        <v>0</v>
      </c>
      <c r="R49" s="58">
        <f ca="1">Log_2020[[#This Row],[Amount]]/Log_2020[[#This Row],[Split_raw]]*MAX(0,MIN(_xlfn.DAYS(EDATE(R$1,1),Log_2020[[#This Row],[Date]]),Log_2020[[#This Row],[Split_apply]])) - SUM($O49:Q49)</f>
        <v>0</v>
      </c>
      <c r="S49" s="58">
        <f ca="1">Log_2020[[#This Row],[Amount]]/Log_2020[[#This Row],[Split_raw]]*MAX(0,MIN(_xlfn.DAYS(EDATE(S$1,1),Log_2020[[#This Row],[Date]]),Log_2020[[#This Row],[Split_apply]])) - SUM($O49:R49)</f>
        <v>446.78</v>
      </c>
      <c r="T49" s="58">
        <f ca="1">Log_2020[[#This Row],[Amount]]/Log_2020[[#This Row],[Split_raw]]*MAX(0,MIN(_xlfn.DAYS(EDATE(T$1,1),Log_2020[[#This Row],[Date]]),Log_2020[[#This Row],[Split_apply]])) - SUM($O49:S49)</f>
        <v>0</v>
      </c>
      <c r="U49" s="58">
        <f ca="1">Log_2020[[#This Row],[Amount]]/Log_2020[[#This Row],[Split_raw]]*MAX(0,MIN(_xlfn.DAYS(EDATE(U$1,1),Log_2020[[#This Row],[Date]]),Log_2020[[#This Row],[Split_apply]])) - SUM($O49:T49)</f>
        <v>0</v>
      </c>
      <c r="V49" s="58">
        <f ca="1">Log_2020[[#This Row],[Amount]]/Log_2020[[#This Row],[Split_raw]]*MAX(0,MIN(_xlfn.DAYS(EDATE(V$1,1),Log_2020[[#This Row],[Date]]),Log_2020[[#This Row],[Split_apply]])) - SUM($O49:U49)</f>
        <v>0</v>
      </c>
      <c r="W49" s="58">
        <f ca="1">Log_2020[[#This Row],[Amount]]/Log_2020[[#This Row],[Split_raw]]*MAX(0,MIN(_xlfn.DAYS(EDATE(W$1,1),Log_2020[[#This Row],[Date]]),Log_2020[[#This Row],[Split_apply]])) - SUM($O49:V49)</f>
        <v>0</v>
      </c>
      <c r="X49" s="58">
        <f ca="1">Log_2020[[#This Row],[Amount]]/Log_2020[[#This Row],[Split_raw]]*MAX(0,MIN(_xlfn.DAYS(EDATE(X$1,1),Log_2020[[#This Row],[Date]]),Log_2020[[#This Row],[Split_apply]])) - SUM($O49:W49)</f>
        <v>0</v>
      </c>
      <c r="Y49" s="58">
        <f ca="1">Log_2020[[#This Row],[Amount]]/Log_2020[[#This Row],[Split_raw]]*MAX(0,MIN(_xlfn.DAYS(EDATE(Y$1,1),Log_2020[[#This Row],[Date]]),Log_2020[[#This Row],[Split_apply]])) - SUM($O49:X49)</f>
        <v>0</v>
      </c>
      <c r="Z49" s="58">
        <f ca="1">Log_2020[[#This Row],[Amount]]/Log_2020[[#This Row],[Split_raw]]*MAX(0,MIN(_xlfn.DAYS(EDATE(Z$1,1),Log_2020[[#This Row],[Date]]),Log_2020[[#This Row],[Split_apply]])) - SUM($O49:Y49)</f>
        <v>0</v>
      </c>
      <c r="AA49" s="58">
        <f ca="1">Log_2020[[#This Row],[Amount]]/Log_2020[[#This Row],[Split_raw]]*MAX(0,MIN(_xlfn.DAYS(EDATE(AA$1,1),Log_2020[[#This Row],[Date]]),Log_2020[[#This Row],[Split_apply]])) - SUM($O49:Z49)</f>
        <v>0</v>
      </c>
      <c r="AB49" s="85">
        <f ca="1">Log_2020[[#This Row],[Amount]]*Log_2020[[#This Row],[Split_apply]]/Log_2020[[#This Row],[Split_raw]]-SUM(O49:AA49)</f>
        <v>0</v>
      </c>
      <c r="AC49" s="74">
        <f>MAX(0,Log_2020[[#This Row],[Split_raw]] - (EDATE(AA$1,1)-Log_2020[[#This Row],[Date]]))</f>
        <v>0</v>
      </c>
    </row>
    <row r="50" spans="1:29" x14ac:dyDescent="0.25">
      <c r="A50" s="37"/>
      <c r="B50" s="34" t="s">
        <v>6</v>
      </c>
      <c r="C50" s="34"/>
      <c r="D50" s="35">
        <v>43935</v>
      </c>
      <c r="E50" s="34"/>
      <c r="F50" s="34" t="s">
        <v>138</v>
      </c>
      <c r="G50" s="34" t="s">
        <v>104</v>
      </c>
      <c r="H50">
        <v>-446.78</v>
      </c>
      <c r="I50" s="36">
        <f>IF(Log_2020[[#This Row],[My Category]]="NONTRACKED",0,Log_2020[[#This Row],[Raw Amount]])</f>
        <v>-446.78</v>
      </c>
      <c r="J50" s="37">
        <f>ABS(Log_2020[[#This Row],[Amount]])</f>
        <v>446.78</v>
      </c>
      <c r="K50" s="38">
        <v>1</v>
      </c>
      <c r="L50" s="38">
        <f ca="1">IF(Log_2020[[#This Row],[Date]]&lt;=TODAY(), MIN(Log_2020[[#This Row],[Split_raw]], TODAY()-Log_2020[[#This Row],[Date]]+1), 0)</f>
        <v>1</v>
      </c>
      <c r="M50" s="34" t="s">
        <v>159</v>
      </c>
      <c r="N50" s="34" t="s">
        <v>160</v>
      </c>
      <c r="O50" s="7"/>
      <c r="P50" s="58">
        <f ca="1">Log_2020[[#This Row],[Amount]]/Log_2020[[#This Row],[Split_raw]]*MAX(0,MIN(_xlfn.DAYS(EDATE(P$1,1),Log_2020[[#This Row],[Date]]),Log_2020[[#This Row],[Split_apply]])) - SUM($O50:O50)</f>
        <v>0</v>
      </c>
      <c r="Q50" s="58">
        <f ca="1">Log_2020[[#This Row],[Amount]]/Log_2020[[#This Row],[Split_raw]]*MAX(0,MIN(_xlfn.DAYS(EDATE(Q$1,1),Log_2020[[#This Row],[Date]]),Log_2020[[#This Row],[Split_apply]])) - SUM($O50:P50)</f>
        <v>0</v>
      </c>
      <c r="R50" s="58">
        <f ca="1">Log_2020[[#This Row],[Amount]]/Log_2020[[#This Row],[Split_raw]]*MAX(0,MIN(_xlfn.DAYS(EDATE(R$1,1),Log_2020[[#This Row],[Date]]),Log_2020[[#This Row],[Split_apply]])) - SUM($O50:Q50)</f>
        <v>0</v>
      </c>
      <c r="S50" s="58">
        <f ca="1">Log_2020[[#This Row],[Amount]]/Log_2020[[#This Row],[Split_raw]]*MAX(0,MIN(_xlfn.DAYS(EDATE(S$1,1),Log_2020[[#This Row],[Date]]),Log_2020[[#This Row],[Split_apply]])) - SUM($O50:R50)</f>
        <v>-446.78</v>
      </c>
      <c r="T50" s="58">
        <f ca="1">Log_2020[[#This Row],[Amount]]/Log_2020[[#This Row],[Split_raw]]*MAX(0,MIN(_xlfn.DAYS(EDATE(T$1,1),Log_2020[[#This Row],[Date]]),Log_2020[[#This Row],[Split_apply]])) - SUM($O50:S50)</f>
        <v>0</v>
      </c>
      <c r="U50" s="58">
        <f ca="1">Log_2020[[#This Row],[Amount]]/Log_2020[[#This Row],[Split_raw]]*MAX(0,MIN(_xlfn.DAYS(EDATE(U$1,1),Log_2020[[#This Row],[Date]]),Log_2020[[#This Row],[Split_apply]])) - SUM($O50:T50)</f>
        <v>0</v>
      </c>
      <c r="V50" s="58">
        <f ca="1">Log_2020[[#This Row],[Amount]]/Log_2020[[#This Row],[Split_raw]]*MAX(0,MIN(_xlfn.DAYS(EDATE(V$1,1),Log_2020[[#This Row],[Date]]),Log_2020[[#This Row],[Split_apply]])) - SUM($O50:U50)</f>
        <v>0</v>
      </c>
      <c r="W50" s="58">
        <f ca="1">Log_2020[[#This Row],[Amount]]/Log_2020[[#This Row],[Split_raw]]*MAX(0,MIN(_xlfn.DAYS(EDATE(W$1,1),Log_2020[[#This Row],[Date]]),Log_2020[[#This Row],[Split_apply]])) - SUM($O50:V50)</f>
        <v>0</v>
      </c>
      <c r="X50" s="58">
        <f ca="1">Log_2020[[#This Row],[Amount]]/Log_2020[[#This Row],[Split_raw]]*MAX(0,MIN(_xlfn.DAYS(EDATE(X$1,1),Log_2020[[#This Row],[Date]]),Log_2020[[#This Row],[Split_apply]])) - SUM($O50:W50)</f>
        <v>0</v>
      </c>
      <c r="Y50" s="58">
        <f ca="1">Log_2020[[#This Row],[Amount]]/Log_2020[[#This Row],[Split_raw]]*MAX(0,MIN(_xlfn.DAYS(EDATE(Y$1,1),Log_2020[[#This Row],[Date]]),Log_2020[[#This Row],[Split_apply]])) - SUM($O50:X50)</f>
        <v>0</v>
      </c>
      <c r="Z50" s="58">
        <f ca="1">Log_2020[[#This Row],[Amount]]/Log_2020[[#This Row],[Split_raw]]*MAX(0,MIN(_xlfn.DAYS(EDATE(Z$1,1),Log_2020[[#This Row],[Date]]),Log_2020[[#This Row],[Split_apply]])) - SUM($O50:Y50)</f>
        <v>0</v>
      </c>
      <c r="AA50" s="58">
        <f ca="1">Log_2020[[#This Row],[Amount]]/Log_2020[[#This Row],[Split_raw]]*MAX(0,MIN(_xlfn.DAYS(EDATE(AA$1,1),Log_2020[[#This Row],[Date]]),Log_2020[[#This Row],[Split_apply]])) - SUM($O50:Z50)</f>
        <v>0</v>
      </c>
      <c r="AB50" s="85">
        <f ca="1">Log_2020[[#This Row],[Amount]]*Log_2020[[#This Row],[Split_apply]]/Log_2020[[#This Row],[Split_raw]]-SUM(O50:AA50)</f>
        <v>0</v>
      </c>
      <c r="AC50" s="74">
        <f>MAX(0,Log_2020[[#This Row],[Split_raw]] - (EDATE(AA$1,1)-Log_2020[[#This Row],[Date]]))</f>
        <v>0</v>
      </c>
    </row>
    <row r="51" spans="1:29" x14ac:dyDescent="0.25">
      <c r="A51" s="37"/>
      <c r="B51" s="34" t="s">
        <v>6</v>
      </c>
      <c r="C51" s="34"/>
      <c r="D51" s="35">
        <v>43935</v>
      </c>
      <c r="E51" s="34"/>
      <c r="F51" s="34" t="s">
        <v>242</v>
      </c>
      <c r="G51" s="34" t="s">
        <v>749</v>
      </c>
      <c r="H51">
        <f>--8.41</f>
        <v>8.41</v>
      </c>
      <c r="I51" s="36">
        <f>IF(Log_2020[[#This Row],[My Category]]="NONTRACKED",0,Log_2020[[#This Row],[Raw Amount]])</f>
        <v>8.41</v>
      </c>
      <c r="J51" s="37">
        <f>ABS(Log_2020[[#This Row],[Amount]])</f>
        <v>8.41</v>
      </c>
      <c r="K51" s="38">
        <v>1</v>
      </c>
      <c r="L51" s="38">
        <f ca="1">IF(Log_2020[[#This Row],[Date]]&lt;=TODAY(), MIN(Log_2020[[#This Row],[Split_raw]], TODAY()-Log_2020[[#This Row],[Date]]+1), 0)</f>
        <v>1</v>
      </c>
      <c r="M51" s="34" t="s">
        <v>144</v>
      </c>
      <c r="N51" s="34" t="s">
        <v>160</v>
      </c>
      <c r="O51" s="7"/>
      <c r="P51" s="58">
        <f ca="1">Log_2020[[#This Row],[Amount]]/Log_2020[[#This Row],[Split_raw]]*MAX(0,MIN(_xlfn.DAYS(EDATE(P$1,1),Log_2020[[#This Row],[Date]]),Log_2020[[#This Row],[Split_apply]])) - SUM($O51:O51)</f>
        <v>0</v>
      </c>
      <c r="Q51" s="58">
        <f ca="1">Log_2020[[#This Row],[Amount]]/Log_2020[[#This Row],[Split_raw]]*MAX(0,MIN(_xlfn.DAYS(EDATE(Q$1,1),Log_2020[[#This Row],[Date]]),Log_2020[[#This Row],[Split_apply]])) - SUM($O51:P51)</f>
        <v>0</v>
      </c>
      <c r="R51" s="58">
        <f ca="1">Log_2020[[#This Row],[Amount]]/Log_2020[[#This Row],[Split_raw]]*MAX(0,MIN(_xlfn.DAYS(EDATE(R$1,1),Log_2020[[#This Row],[Date]]),Log_2020[[#This Row],[Split_apply]])) - SUM($O51:Q51)</f>
        <v>0</v>
      </c>
      <c r="S51" s="58">
        <f ca="1">Log_2020[[#This Row],[Amount]]/Log_2020[[#This Row],[Split_raw]]*MAX(0,MIN(_xlfn.DAYS(EDATE(S$1,1),Log_2020[[#This Row],[Date]]),Log_2020[[#This Row],[Split_apply]])) - SUM($O51:R51)</f>
        <v>8.41</v>
      </c>
      <c r="T51" s="58">
        <f ca="1">Log_2020[[#This Row],[Amount]]/Log_2020[[#This Row],[Split_raw]]*MAX(0,MIN(_xlfn.DAYS(EDATE(T$1,1),Log_2020[[#This Row],[Date]]),Log_2020[[#This Row],[Split_apply]])) - SUM($O51:S51)</f>
        <v>0</v>
      </c>
      <c r="U51" s="58">
        <f ca="1">Log_2020[[#This Row],[Amount]]/Log_2020[[#This Row],[Split_raw]]*MAX(0,MIN(_xlfn.DAYS(EDATE(U$1,1),Log_2020[[#This Row],[Date]]),Log_2020[[#This Row],[Split_apply]])) - SUM($O51:T51)</f>
        <v>0</v>
      </c>
      <c r="V51" s="58">
        <f ca="1">Log_2020[[#This Row],[Amount]]/Log_2020[[#This Row],[Split_raw]]*MAX(0,MIN(_xlfn.DAYS(EDATE(V$1,1),Log_2020[[#This Row],[Date]]),Log_2020[[#This Row],[Split_apply]])) - SUM($O51:U51)</f>
        <v>0</v>
      </c>
      <c r="W51" s="58">
        <f ca="1">Log_2020[[#This Row],[Amount]]/Log_2020[[#This Row],[Split_raw]]*MAX(0,MIN(_xlfn.DAYS(EDATE(W$1,1),Log_2020[[#This Row],[Date]]),Log_2020[[#This Row],[Split_apply]])) - SUM($O51:V51)</f>
        <v>0</v>
      </c>
      <c r="X51" s="58">
        <f ca="1">Log_2020[[#This Row],[Amount]]/Log_2020[[#This Row],[Split_raw]]*MAX(0,MIN(_xlfn.DAYS(EDATE(X$1,1),Log_2020[[#This Row],[Date]]),Log_2020[[#This Row],[Split_apply]])) - SUM($O51:W51)</f>
        <v>0</v>
      </c>
      <c r="Y51" s="58">
        <f ca="1">Log_2020[[#This Row],[Amount]]/Log_2020[[#This Row],[Split_raw]]*MAX(0,MIN(_xlfn.DAYS(EDATE(Y$1,1),Log_2020[[#This Row],[Date]]),Log_2020[[#This Row],[Split_apply]])) - SUM($O51:X51)</f>
        <v>0</v>
      </c>
      <c r="Z51" s="58">
        <f ca="1">Log_2020[[#This Row],[Amount]]/Log_2020[[#This Row],[Split_raw]]*MAX(0,MIN(_xlfn.DAYS(EDATE(Z$1,1),Log_2020[[#This Row],[Date]]),Log_2020[[#This Row],[Split_apply]])) - SUM($O51:Y51)</f>
        <v>0</v>
      </c>
      <c r="AA51" s="58">
        <f ca="1">Log_2020[[#This Row],[Amount]]/Log_2020[[#This Row],[Split_raw]]*MAX(0,MIN(_xlfn.DAYS(EDATE(AA$1,1),Log_2020[[#This Row],[Date]]),Log_2020[[#This Row],[Split_apply]])) - SUM($O51:Z51)</f>
        <v>0</v>
      </c>
      <c r="AB51" s="85">
        <f ca="1">Log_2020[[#This Row],[Amount]]*Log_2020[[#This Row],[Split_apply]]/Log_2020[[#This Row],[Split_raw]]-SUM(O51:AA51)</f>
        <v>0</v>
      </c>
      <c r="AC51" s="74">
        <f>MAX(0,Log_2020[[#This Row],[Split_raw]] - (EDATE(AA$1,1)-Log_2020[[#This Row],[Date]]))</f>
        <v>0</v>
      </c>
    </row>
    <row r="52" spans="1:29" x14ac:dyDescent="0.25">
      <c r="A52" s="37"/>
      <c r="B52" s="34" t="s">
        <v>6</v>
      </c>
      <c r="C52" s="34"/>
      <c r="D52" s="35">
        <v>43935</v>
      </c>
      <c r="E52" s="34"/>
      <c r="F52" s="34" t="s">
        <v>1098</v>
      </c>
      <c r="G52" s="34" t="s">
        <v>25</v>
      </c>
      <c r="H52">
        <v>-36</v>
      </c>
      <c r="I52" s="36">
        <f>IF(Log_2020[[#This Row],[My Category]]="NONTRACKED",0,Log_2020[[#This Row],[Raw Amount]])</f>
        <v>-36</v>
      </c>
      <c r="J52" s="37">
        <f>ABS(Log_2020[[#This Row],[Amount]])</f>
        <v>36</v>
      </c>
      <c r="K52" s="38">
        <v>1</v>
      </c>
      <c r="L52" s="38">
        <f ca="1">IF(Log_2020[[#This Row],[Date]]&lt;=TODAY(), MIN(Log_2020[[#This Row],[Split_raw]], TODAY()-Log_2020[[#This Row],[Date]]+1), 0)</f>
        <v>1</v>
      </c>
      <c r="M52" s="34" t="s">
        <v>35</v>
      </c>
      <c r="N52" s="34" t="s">
        <v>158</v>
      </c>
      <c r="O52" s="7"/>
      <c r="P52" s="58">
        <f ca="1">Log_2020[[#This Row],[Amount]]/Log_2020[[#This Row],[Split_raw]]*MAX(0,MIN(_xlfn.DAYS(EDATE(P$1,1),Log_2020[[#This Row],[Date]]),Log_2020[[#This Row],[Split_apply]])) - SUM($O52:O52)</f>
        <v>0</v>
      </c>
      <c r="Q52" s="58">
        <f ca="1">Log_2020[[#This Row],[Amount]]/Log_2020[[#This Row],[Split_raw]]*MAX(0,MIN(_xlfn.DAYS(EDATE(Q$1,1),Log_2020[[#This Row],[Date]]),Log_2020[[#This Row],[Split_apply]])) - SUM($O52:P52)</f>
        <v>0</v>
      </c>
      <c r="R52" s="58">
        <f ca="1">Log_2020[[#This Row],[Amount]]/Log_2020[[#This Row],[Split_raw]]*MAX(0,MIN(_xlfn.DAYS(EDATE(R$1,1),Log_2020[[#This Row],[Date]]),Log_2020[[#This Row],[Split_apply]])) - SUM($O52:Q52)</f>
        <v>0</v>
      </c>
      <c r="S52" s="58">
        <f ca="1">Log_2020[[#This Row],[Amount]]/Log_2020[[#This Row],[Split_raw]]*MAX(0,MIN(_xlfn.DAYS(EDATE(S$1,1),Log_2020[[#This Row],[Date]]),Log_2020[[#This Row],[Split_apply]])) - SUM($O52:R52)</f>
        <v>-36</v>
      </c>
      <c r="T52" s="58">
        <f ca="1">Log_2020[[#This Row],[Amount]]/Log_2020[[#This Row],[Split_raw]]*MAX(0,MIN(_xlfn.DAYS(EDATE(T$1,1),Log_2020[[#This Row],[Date]]),Log_2020[[#This Row],[Split_apply]])) - SUM($O52:S52)</f>
        <v>0</v>
      </c>
      <c r="U52" s="58">
        <f ca="1">Log_2020[[#This Row],[Amount]]/Log_2020[[#This Row],[Split_raw]]*MAX(0,MIN(_xlfn.DAYS(EDATE(U$1,1),Log_2020[[#This Row],[Date]]),Log_2020[[#This Row],[Split_apply]])) - SUM($O52:T52)</f>
        <v>0</v>
      </c>
      <c r="V52" s="58">
        <f ca="1">Log_2020[[#This Row],[Amount]]/Log_2020[[#This Row],[Split_raw]]*MAX(0,MIN(_xlfn.DAYS(EDATE(V$1,1),Log_2020[[#This Row],[Date]]),Log_2020[[#This Row],[Split_apply]])) - SUM($O52:U52)</f>
        <v>0</v>
      </c>
      <c r="W52" s="58">
        <f ca="1">Log_2020[[#This Row],[Amount]]/Log_2020[[#This Row],[Split_raw]]*MAX(0,MIN(_xlfn.DAYS(EDATE(W$1,1),Log_2020[[#This Row],[Date]]),Log_2020[[#This Row],[Split_apply]])) - SUM($O52:V52)</f>
        <v>0</v>
      </c>
      <c r="X52" s="58">
        <f ca="1">Log_2020[[#This Row],[Amount]]/Log_2020[[#This Row],[Split_raw]]*MAX(0,MIN(_xlfn.DAYS(EDATE(X$1,1),Log_2020[[#This Row],[Date]]),Log_2020[[#This Row],[Split_apply]])) - SUM($O52:W52)</f>
        <v>0</v>
      </c>
      <c r="Y52" s="58">
        <f ca="1">Log_2020[[#This Row],[Amount]]/Log_2020[[#This Row],[Split_raw]]*MAX(0,MIN(_xlfn.DAYS(EDATE(Y$1,1),Log_2020[[#This Row],[Date]]),Log_2020[[#This Row],[Split_apply]])) - SUM($O52:X52)</f>
        <v>0</v>
      </c>
      <c r="Z52" s="58">
        <f ca="1">Log_2020[[#This Row],[Amount]]/Log_2020[[#This Row],[Split_raw]]*MAX(0,MIN(_xlfn.DAYS(EDATE(Z$1,1),Log_2020[[#This Row],[Date]]),Log_2020[[#This Row],[Split_apply]])) - SUM($O52:Y52)</f>
        <v>0</v>
      </c>
      <c r="AA52" s="58">
        <f ca="1">Log_2020[[#This Row],[Amount]]/Log_2020[[#This Row],[Split_raw]]*MAX(0,MIN(_xlfn.DAYS(EDATE(AA$1,1),Log_2020[[#This Row],[Date]]),Log_2020[[#This Row],[Split_apply]])) - SUM($O52:Z52)</f>
        <v>0</v>
      </c>
      <c r="AB52" s="85">
        <f ca="1">Log_2020[[#This Row],[Amount]]*Log_2020[[#This Row],[Split_apply]]/Log_2020[[#This Row],[Split_raw]]-SUM(O52:AA52)</f>
        <v>0</v>
      </c>
      <c r="AC52" s="74">
        <f>MAX(0,Log_2020[[#This Row],[Split_raw]] - (EDATE(AA$1,1)-Log_2020[[#This Row],[Date]]))</f>
        <v>0</v>
      </c>
    </row>
    <row r="53" spans="1:29" x14ac:dyDescent="0.25">
      <c r="A53" s="37"/>
      <c r="B53" s="34" t="s">
        <v>6</v>
      </c>
      <c r="C53" s="34"/>
      <c r="D53" s="35">
        <v>43934</v>
      </c>
      <c r="E53" s="34"/>
      <c r="F53" s="34" t="s">
        <v>331</v>
      </c>
      <c r="G53" s="34" t="s">
        <v>104</v>
      </c>
      <c r="H53">
        <v>-571.01</v>
      </c>
      <c r="I53" s="36">
        <f>IF(Log_2020[[#This Row],[My Category]]="NONTRACKED",0,Log_2020[[#This Row],[Raw Amount]])</f>
        <v>-571.01</v>
      </c>
      <c r="J53" s="37">
        <f>ABS(Log_2020[[#This Row],[Amount]])</f>
        <v>571.01</v>
      </c>
      <c r="K53" s="38">
        <v>1</v>
      </c>
      <c r="L53" s="38">
        <f ca="1">IF(Log_2020[[#This Row],[Date]]&lt;=TODAY(), MIN(Log_2020[[#This Row],[Split_raw]], TODAY()-Log_2020[[#This Row],[Date]]+1), 0)</f>
        <v>1</v>
      </c>
      <c r="M53" s="34" t="s">
        <v>159</v>
      </c>
      <c r="N53" s="34" t="s">
        <v>160</v>
      </c>
      <c r="O53" s="7"/>
      <c r="P53" s="58">
        <f ca="1">Log_2020[[#This Row],[Amount]]/Log_2020[[#This Row],[Split_raw]]*MAX(0,MIN(_xlfn.DAYS(EDATE(P$1,1),Log_2020[[#This Row],[Date]]),Log_2020[[#This Row],[Split_apply]])) - SUM($O53:O53)</f>
        <v>0</v>
      </c>
      <c r="Q53" s="58">
        <f ca="1">Log_2020[[#This Row],[Amount]]/Log_2020[[#This Row],[Split_raw]]*MAX(0,MIN(_xlfn.DAYS(EDATE(Q$1,1),Log_2020[[#This Row],[Date]]),Log_2020[[#This Row],[Split_apply]])) - SUM($O53:P53)</f>
        <v>0</v>
      </c>
      <c r="R53" s="58">
        <f ca="1">Log_2020[[#This Row],[Amount]]/Log_2020[[#This Row],[Split_raw]]*MAX(0,MIN(_xlfn.DAYS(EDATE(R$1,1),Log_2020[[#This Row],[Date]]),Log_2020[[#This Row],[Split_apply]])) - SUM($O53:Q53)</f>
        <v>0</v>
      </c>
      <c r="S53" s="58">
        <f ca="1">Log_2020[[#This Row],[Amount]]/Log_2020[[#This Row],[Split_raw]]*MAX(0,MIN(_xlfn.DAYS(EDATE(S$1,1),Log_2020[[#This Row],[Date]]),Log_2020[[#This Row],[Split_apply]])) - SUM($O53:R53)</f>
        <v>-571.01</v>
      </c>
      <c r="T53" s="58">
        <f ca="1">Log_2020[[#This Row],[Amount]]/Log_2020[[#This Row],[Split_raw]]*MAX(0,MIN(_xlfn.DAYS(EDATE(T$1,1),Log_2020[[#This Row],[Date]]),Log_2020[[#This Row],[Split_apply]])) - SUM($O53:S53)</f>
        <v>0</v>
      </c>
      <c r="U53" s="58">
        <f ca="1">Log_2020[[#This Row],[Amount]]/Log_2020[[#This Row],[Split_raw]]*MAX(0,MIN(_xlfn.DAYS(EDATE(U$1,1),Log_2020[[#This Row],[Date]]),Log_2020[[#This Row],[Split_apply]])) - SUM($O53:T53)</f>
        <v>0</v>
      </c>
      <c r="V53" s="58">
        <f ca="1">Log_2020[[#This Row],[Amount]]/Log_2020[[#This Row],[Split_raw]]*MAX(0,MIN(_xlfn.DAYS(EDATE(V$1,1),Log_2020[[#This Row],[Date]]),Log_2020[[#This Row],[Split_apply]])) - SUM($O53:U53)</f>
        <v>0</v>
      </c>
      <c r="W53" s="58">
        <f ca="1">Log_2020[[#This Row],[Amount]]/Log_2020[[#This Row],[Split_raw]]*MAX(0,MIN(_xlfn.DAYS(EDATE(W$1,1),Log_2020[[#This Row],[Date]]),Log_2020[[#This Row],[Split_apply]])) - SUM($O53:V53)</f>
        <v>0</v>
      </c>
      <c r="X53" s="58">
        <f ca="1">Log_2020[[#This Row],[Amount]]/Log_2020[[#This Row],[Split_raw]]*MAX(0,MIN(_xlfn.DAYS(EDATE(X$1,1),Log_2020[[#This Row],[Date]]),Log_2020[[#This Row],[Split_apply]])) - SUM($O53:W53)</f>
        <v>0</v>
      </c>
      <c r="Y53" s="58">
        <f ca="1">Log_2020[[#This Row],[Amount]]/Log_2020[[#This Row],[Split_raw]]*MAX(0,MIN(_xlfn.DAYS(EDATE(Y$1,1),Log_2020[[#This Row],[Date]]),Log_2020[[#This Row],[Split_apply]])) - SUM($O53:X53)</f>
        <v>0</v>
      </c>
      <c r="Z53" s="58">
        <f ca="1">Log_2020[[#This Row],[Amount]]/Log_2020[[#This Row],[Split_raw]]*MAX(0,MIN(_xlfn.DAYS(EDATE(Z$1,1),Log_2020[[#This Row],[Date]]),Log_2020[[#This Row],[Split_apply]])) - SUM($O53:Y53)</f>
        <v>0</v>
      </c>
      <c r="AA53" s="58">
        <f ca="1">Log_2020[[#This Row],[Amount]]/Log_2020[[#This Row],[Split_raw]]*MAX(0,MIN(_xlfn.DAYS(EDATE(AA$1,1),Log_2020[[#This Row],[Date]]),Log_2020[[#This Row],[Split_apply]])) - SUM($O53:Z53)</f>
        <v>0</v>
      </c>
      <c r="AB53" s="85">
        <f ca="1">Log_2020[[#This Row],[Amount]]*Log_2020[[#This Row],[Split_apply]]/Log_2020[[#This Row],[Split_raw]]-SUM(O53:AA53)</f>
        <v>0</v>
      </c>
      <c r="AC53" s="74">
        <f>MAX(0,Log_2020[[#This Row],[Split_raw]] - (EDATE(AA$1,1)-Log_2020[[#This Row],[Date]]))</f>
        <v>0</v>
      </c>
    </row>
    <row r="54" spans="1:29" x14ac:dyDescent="0.25">
      <c r="A54" s="37"/>
      <c r="B54" s="34" t="s">
        <v>6</v>
      </c>
      <c r="C54" s="34"/>
      <c r="D54" s="35">
        <v>43934</v>
      </c>
      <c r="E54" s="34"/>
      <c r="F54" s="34" t="s">
        <v>83</v>
      </c>
      <c r="G54" s="34" t="s">
        <v>15</v>
      </c>
      <c r="H54">
        <v>-252.21</v>
      </c>
      <c r="I54" s="36">
        <f>IF(Log_2020[[#This Row],[My Category]]="NONTRACKED",0,Log_2020[[#This Row],[Raw Amount]])</f>
        <v>-252.21</v>
      </c>
      <c r="J54" s="37">
        <f>ABS(Log_2020[[#This Row],[Amount]])</f>
        <v>252.21</v>
      </c>
      <c r="K54" s="38">
        <v>30</v>
      </c>
      <c r="L54" s="38">
        <f ca="1">IF(Log_2020[[#This Row],[Date]]&lt;=TODAY(), MIN(Log_2020[[#This Row],[Split_raw]], TODAY()-Log_2020[[#This Row],[Date]]+1), 0)</f>
        <v>30</v>
      </c>
      <c r="M54" s="34" t="s">
        <v>241</v>
      </c>
      <c r="N54" s="34" t="s">
        <v>160</v>
      </c>
      <c r="O54" s="7"/>
      <c r="P54" s="58">
        <f ca="1">Log_2020[[#This Row],[Amount]]/Log_2020[[#This Row],[Split_raw]]*MAX(0,MIN(_xlfn.DAYS(EDATE(P$1,1),Log_2020[[#This Row],[Date]]),Log_2020[[#This Row],[Split_apply]])) - SUM($O54:O54)</f>
        <v>0</v>
      </c>
      <c r="Q54" s="58">
        <f ca="1">Log_2020[[#This Row],[Amount]]/Log_2020[[#This Row],[Split_raw]]*MAX(0,MIN(_xlfn.DAYS(EDATE(Q$1,1),Log_2020[[#This Row],[Date]]),Log_2020[[#This Row],[Split_apply]])) - SUM($O54:P54)</f>
        <v>0</v>
      </c>
      <c r="R54" s="58">
        <f ca="1">Log_2020[[#This Row],[Amount]]/Log_2020[[#This Row],[Split_raw]]*MAX(0,MIN(_xlfn.DAYS(EDATE(R$1,1),Log_2020[[#This Row],[Date]]),Log_2020[[#This Row],[Split_apply]])) - SUM($O54:Q54)</f>
        <v>0</v>
      </c>
      <c r="S54" s="58">
        <f ca="1">Log_2020[[#This Row],[Amount]]/Log_2020[[#This Row],[Split_raw]]*MAX(0,MIN(_xlfn.DAYS(EDATE(S$1,1),Log_2020[[#This Row],[Date]]),Log_2020[[#This Row],[Split_apply]])) - SUM($O54:R54)</f>
        <v>-151.32599999999999</v>
      </c>
      <c r="T54" s="58">
        <f ca="1">Log_2020[[#This Row],[Amount]]/Log_2020[[#This Row],[Split_raw]]*MAX(0,MIN(_xlfn.DAYS(EDATE(T$1,1),Log_2020[[#This Row],[Date]]),Log_2020[[#This Row],[Split_apply]])) - SUM($O54:S54)</f>
        <v>-100.88400000000001</v>
      </c>
      <c r="U54" s="58">
        <f ca="1">Log_2020[[#This Row],[Amount]]/Log_2020[[#This Row],[Split_raw]]*MAX(0,MIN(_xlfn.DAYS(EDATE(U$1,1),Log_2020[[#This Row],[Date]]),Log_2020[[#This Row],[Split_apply]])) - SUM($O54:T54)</f>
        <v>0</v>
      </c>
      <c r="V54" s="58">
        <f ca="1">Log_2020[[#This Row],[Amount]]/Log_2020[[#This Row],[Split_raw]]*MAX(0,MIN(_xlfn.DAYS(EDATE(V$1,1),Log_2020[[#This Row],[Date]]),Log_2020[[#This Row],[Split_apply]])) - SUM($O54:U54)</f>
        <v>0</v>
      </c>
      <c r="W54" s="58">
        <f ca="1">Log_2020[[#This Row],[Amount]]/Log_2020[[#This Row],[Split_raw]]*MAX(0,MIN(_xlfn.DAYS(EDATE(W$1,1),Log_2020[[#This Row],[Date]]),Log_2020[[#This Row],[Split_apply]])) - SUM($O54:V54)</f>
        <v>0</v>
      </c>
      <c r="X54" s="58">
        <f ca="1">Log_2020[[#This Row],[Amount]]/Log_2020[[#This Row],[Split_raw]]*MAX(0,MIN(_xlfn.DAYS(EDATE(X$1,1),Log_2020[[#This Row],[Date]]),Log_2020[[#This Row],[Split_apply]])) - SUM($O54:W54)</f>
        <v>0</v>
      </c>
      <c r="Y54" s="58">
        <f ca="1">Log_2020[[#This Row],[Amount]]/Log_2020[[#This Row],[Split_raw]]*MAX(0,MIN(_xlfn.DAYS(EDATE(Y$1,1),Log_2020[[#This Row],[Date]]),Log_2020[[#This Row],[Split_apply]])) - SUM($O54:X54)</f>
        <v>0</v>
      </c>
      <c r="Z54" s="58">
        <f ca="1">Log_2020[[#This Row],[Amount]]/Log_2020[[#This Row],[Split_raw]]*MAX(0,MIN(_xlfn.DAYS(EDATE(Z$1,1),Log_2020[[#This Row],[Date]]),Log_2020[[#This Row],[Split_apply]])) - SUM($O54:Y54)</f>
        <v>0</v>
      </c>
      <c r="AA54" s="58">
        <f ca="1">Log_2020[[#This Row],[Amount]]/Log_2020[[#This Row],[Split_raw]]*MAX(0,MIN(_xlfn.DAYS(EDATE(AA$1,1),Log_2020[[#This Row],[Date]]),Log_2020[[#This Row],[Split_apply]])) - SUM($O54:Z54)</f>
        <v>0</v>
      </c>
      <c r="AB54" s="85">
        <f ca="1">Log_2020[[#This Row],[Amount]]*Log_2020[[#This Row],[Split_apply]]/Log_2020[[#This Row],[Split_raw]]-SUM(O54:AA54)</f>
        <v>0</v>
      </c>
      <c r="AC54" s="74">
        <f>MAX(0,Log_2020[[#This Row],[Split_raw]] - (EDATE(AA$1,1)-Log_2020[[#This Row],[Date]]))</f>
        <v>0</v>
      </c>
    </row>
    <row r="55" spans="1:29" x14ac:dyDescent="0.25">
      <c r="A55" s="37"/>
      <c r="B55" s="34" t="s">
        <v>6</v>
      </c>
      <c r="C55" s="34"/>
      <c r="D55" s="35">
        <v>43933</v>
      </c>
      <c r="E55" s="34"/>
      <c r="F55" s="34" t="s">
        <v>316</v>
      </c>
      <c r="G55" s="34" t="s">
        <v>104</v>
      </c>
      <c r="H55">
        <f>--571.01</f>
        <v>571.01</v>
      </c>
      <c r="I55" s="36">
        <f>IF(Log_2020[[#This Row],[My Category]]="NONTRACKED",0,Log_2020[[#This Row],[Raw Amount]])</f>
        <v>571.01</v>
      </c>
      <c r="J55" s="37">
        <f>ABS(Log_2020[[#This Row],[Amount]])</f>
        <v>571.01</v>
      </c>
      <c r="K55" s="38">
        <v>1</v>
      </c>
      <c r="L55" s="38">
        <f ca="1">IF(Log_2020[[#This Row],[Date]]&lt;=TODAY(), MIN(Log_2020[[#This Row],[Split_raw]], TODAY()-Log_2020[[#This Row],[Date]]+1), 0)</f>
        <v>1</v>
      </c>
      <c r="M55" s="34" t="s">
        <v>159</v>
      </c>
      <c r="N55" s="34" t="s">
        <v>158</v>
      </c>
      <c r="O55" s="7"/>
      <c r="P55" s="58">
        <f ca="1">Log_2020[[#This Row],[Amount]]/Log_2020[[#This Row],[Split_raw]]*MAX(0,MIN(_xlfn.DAYS(EDATE(P$1,1),Log_2020[[#This Row],[Date]]),Log_2020[[#This Row],[Split_apply]])) - SUM($O55:O55)</f>
        <v>0</v>
      </c>
      <c r="Q55" s="58">
        <f ca="1">Log_2020[[#This Row],[Amount]]/Log_2020[[#This Row],[Split_raw]]*MAX(0,MIN(_xlfn.DAYS(EDATE(Q$1,1),Log_2020[[#This Row],[Date]]),Log_2020[[#This Row],[Split_apply]])) - SUM($O55:P55)</f>
        <v>0</v>
      </c>
      <c r="R55" s="58">
        <f ca="1">Log_2020[[#This Row],[Amount]]/Log_2020[[#This Row],[Split_raw]]*MAX(0,MIN(_xlfn.DAYS(EDATE(R$1,1),Log_2020[[#This Row],[Date]]),Log_2020[[#This Row],[Split_apply]])) - SUM($O55:Q55)</f>
        <v>0</v>
      </c>
      <c r="S55" s="58">
        <f ca="1">Log_2020[[#This Row],[Amount]]/Log_2020[[#This Row],[Split_raw]]*MAX(0,MIN(_xlfn.DAYS(EDATE(S$1,1),Log_2020[[#This Row],[Date]]),Log_2020[[#This Row],[Split_apply]])) - SUM($O55:R55)</f>
        <v>571.01</v>
      </c>
      <c r="T55" s="58">
        <f ca="1">Log_2020[[#This Row],[Amount]]/Log_2020[[#This Row],[Split_raw]]*MAX(0,MIN(_xlfn.DAYS(EDATE(T$1,1),Log_2020[[#This Row],[Date]]),Log_2020[[#This Row],[Split_apply]])) - SUM($O55:S55)</f>
        <v>0</v>
      </c>
      <c r="U55" s="58">
        <f ca="1">Log_2020[[#This Row],[Amount]]/Log_2020[[#This Row],[Split_raw]]*MAX(0,MIN(_xlfn.DAYS(EDATE(U$1,1),Log_2020[[#This Row],[Date]]),Log_2020[[#This Row],[Split_apply]])) - SUM($O55:T55)</f>
        <v>0</v>
      </c>
      <c r="V55" s="58">
        <f ca="1">Log_2020[[#This Row],[Amount]]/Log_2020[[#This Row],[Split_raw]]*MAX(0,MIN(_xlfn.DAYS(EDATE(V$1,1),Log_2020[[#This Row],[Date]]),Log_2020[[#This Row],[Split_apply]])) - SUM($O55:U55)</f>
        <v>0</v>
      </c>
      <c r="W55" s="58">
        <f ca="1">Log_2020[[#This Row],[Amount]]/Log_2020[[#This Row],[Split_raw]]*MAX(0,MIN(_xlfn.DAYS(EDATE(W$1,1),Log_2020[[#This Row],[Date]]),Log_2020[[#This Row],[Split_apply]])) - SUM($O55:V55)</f>
        <v>0</v>
      </c>
      <c r="X55" s="58">
        <f ca="1">Log_2020[[#This Row],[Amount]]/Log_2020[[#This Row],[Split_raw]]*MAX(0,MIN(_xlfn.DAYS(EDATE(X$1,1),Log_2020[[#This Row],[Date]]),Log_2020[[#This Row],[Split_apply]])) - SUM($O55:W55)</f>
        <v>0</v>
      </c>
      <c r="Y55" s="58">
        <f ca="1">Log_2020[[#This Row],[Amount]]/Log_2020[[#This Row],[Split_raw]]*MAX(0,MIN(_xlfn.DAYS(EDATE(Y$1,1),Log_2020[[#This Row],[Date]]),Log_2020[[#This Row],[Split_apply]])) - SUM($O55:X55)</f>
        <v>0</v>
      </c>
      <c r="Z55" s="58">
        <f ca="1">Log_2020[[#This Row],[Amount]]/Log_2020[[#This Row],[Split_raw]]*MAX(0,MIN(_xlfn.DAYS(EDATE(Z$1,1),Log_2020[[#This Row],[Date]]),Log_2020[[#This Row],[Split_apply]])) - SUM($O55:Y55)</f>
        <v>0</v>
      </c>
      <c r="AA55" s="58">
        <f ca="1">Log_2020[[#This Row],[Amount]]/Log_2020[[#This Row],[Split_raw]]*MAX(0,MIN(_xlfn.DAYS(EDATE(AA$1,1),Log_2020[[#This Row],[Date]]),Log_2020[[#This Row],[Split_apply]])) - SUM($O55:Z55)</f>
        <v>0</v>
      </c>
      <c r="AB55" s="85">
        <f ca="1">Log_2020[[#This Row],[Amount]]*Log_2020[[#This Row],[Split_apply]]/Log_2020[[#This Row],[Split_raw]]-SUM(O55:AA55)</f>
        <v>0</v>
      </c>
      <c r="AC55" s="74">
        <f>MAX(0,Log_2020[[#This Row],[Split_raw]] - (EDATE(AA$1,1)-Log_2020[[#This Row],[Date]]))</f>
        <v>0</v>
      </c>
    </row>
    <row r="56" spans="1:29" x14ac:dyDescent="0.25">
      <c r="A56" s="37"/>
      <c r="B56" s="34" t="s">
        <v>6</v>
      </c>
      <c r="C56" s="34"/>
      <c r="D56" s="35">
        <v>43931</v>
      </c>
      <c r="E56" s="34" t="s">
        <v>1082</v>
      </c>
      <c r="F56" s="34" t="s">
        <v>1074</v>
      </c>
      <c r="G56" s="34" t="s">
        <v>51</v>
      </c>
      <c r="H56">
        <v>-25</v>
      </c>
      <c r="I56" s="36">
        <f>IF(Log_2020[[#This Row],[My Category]]="NONTRACKED",0,Log_2020[[#This Row],[Raw Amount]])</f>
        <v>-25</v>
      </c>
      <c r="J56" s="37">
        <f>ABS(Log_2020[[#This Row],[Amount]])</f>
        <v>25</v>
      </c>
      <c r="K56" s="38">
        <v>1</v>
      </c>
      <c r="L56" s="38">
        <f ca="1">IF(Log_2020[[#This Row],[Date]]&lt;=TODAY(), MIN(Log_2020[[#This Row],[Split_raw]], TODAY()-Log_2020[[#This Row],[Date]]+1), 0)</f>
        <v>1</v>
      </c>
      <c r="M56" s="34" t="s">
        <v>147</v>
      </c>
      <c r="N56" s="34" t="s">
        <v>160</v>
      </c>
      <c r="O56" s="7"/>
      <c r="P56" s="58">
        <f ca="1">Log_2020[[#This Row],[Amount]]/Log_2020[[#This Row],[Split_raw]]*MAX(0,MIN(_xlfn.DAYS(EDATE(P$1,1),Log_2020[[#This Row],[Date]]),Log_2020[[#This Row],[Split_apply]])) - SUM($O56:O56)</f>
        <v>0</v>
      </c>
      <c r="Q56" s="58">
        <f ca="1">Log_2020[[#This Row],[Amount]]/Log_2020[[#This Row],[Split_raw]]*MAX(0,MIN(_xlfn.DAYS(EDATE(Q$1,1),Log_2020[[#This Row],[Date]]),Log_2020[[#This Row],[Split_apply]])) - SUM($O56:P56)</f>
        <v>0</v>
      </c>
      <c r="R56" s="58">
        <f ca="1">Log_2020[[#This Row],[Amount]]/Log_2020[[#This Row],[Split_raw]]*MAX(0,MIN(_xlfn.DAYS(EDATE(R$1,1),Log_2020[[#This Row],[Date]]),Log_2020[[#This Row],[Split_apply]])) - SUM($O56:Q56)</f>
        <v>0</v>
      </c>
      <c r="S56" s="58">
        <f ca="1">Log_2020[[#This Row],[Amount]]/Log_2020[[#This Row],[Split_raw]]*MAX(0,MIN(_xlfn.DAYS(EDATE(S$1,1),Log_2020[[#This Row],[Date]]),Log_2020[[#This Row],[Split_apply]])) - SUM($O56:R56)</f>
        <v>-25</v>
      </c>
      <c r="T56" s="58">
        <f ca="1">Log_2020[[#This Row],[Amount]]/Log_2020[[#This Row],[Split_raw]]*MAX(0,MIN(_xlfn.DAYS(EDATE(T$1,1),Log_2020[[#This Row],[Date]]),Log_2020[[#This Row],[Split_apply]])) - SUM($O56:S56)</f>
        <v>0</v>
      </c>
      <c r="U56" s="58">
        <f ca="1">Log_2020[[#This Row],[Amount]]/Log_2020[[#This Row],[Split_raw]]*MAX(0,MIN(_xlfn.DAYS(EDATE(U$1,1),Log_2020[[#This Row],[Date]]),Log_2020[[#This Row],[Split_apply]])) - SUM($O56:T56)</f>
        <v>0</v>
      </c>
      <c r="V56" s="58">
        <f ca="1">Log_2020[[#This Row],[Amount]]/Log_2020[[#This Row],[Split_raw]]*MAX(0,MIN(_xlfn.DAYS(EDATE(V$1,1),Log_2020[[#This Row],[Date]]),Log_2020[[#This Row],[Split_apply]])) - SUM($O56:U56)</f>
        <v>0</v>
      </c>
      <c r="W56" s="58">
        <f ca="1">Log_2020[[#This Row],[Amount]]/Log_2020[[#This Row],[Split_raw]]*MAX(0,MIN(_xlfn.DAYS(EDATE(W$1,1),Log_2020[[#This Row],[Date]]),Log_2020[[#This Row],[Split_apply]])) - SUM($O56:V56)</f>
        <v>0</v>
      </c>
      <c r="X56" s="58">
        <f ca="1">Log_2020[[#This Row],[Amount]]/Log_2020[[#This Row],[Split_raw]]*MAX(0,MIN(_xlfn.DAYS(EDATE(X$1,1),Log_2020[[#This Row],[Date]]),Log_2020[[#This Row],[Split_apply]])) - SUM($O56:W56)</f>
        <v>0</v>
      </c>
      <c r="Y56" s="58">
        <f ca="1">Log_2020[[#This Row],[Amount]]/Log_2020[[#This Row],[Split_raw]]*MAX(0,MIN(_xlfn.DAYS(EDATE(Y$1,1),Log_2020[[#This Row],[Date]]),Log_2020[[#This Row],[Split_apply]])) - SUM($O56:X56)</f>
        <v>0</v>
      </c>
      <c r="Z56" s="58">
        <f ca="1">Log_2020[[#This Row],[Amount]]/Log_2020[[#This Row],[Split_raw]]*MAX(0,MIN(_xlfn.DAYS(EDATE(Z$1,1),Log_2020[[#This Row],[Date]]),Log_2020[[#This Row],[Split_apply]])) - SUM($O56:Y56)</f>
        <v>0</v>
      </c>
      <c r="AA56" s="58">
        <f ca="1">Log_2020[[#This Row],[Amount]]/Log_2020[[#This Row],[Split_raw]]*MAX(0,MIN(_xlfn.DAYS(EDATE(AA$1,1),Log_2020[[#This Row],[Date]]),Log_2020[[#This Row],[Split_apply]])) - SUM($O56:Z56)</f>
        <v>0</v>
      </c>
      <c r="AB56" s="85">
        <f ca="1">Log_2020[[#This Row],[Amount]]*Log_2020[[#This Row],[Split_apply]]/Log_2020[[#This Row],[Split_raw]]-SUM(O56:AA56)</f>
        <v>0</v>
      </c>
      <c r="AC56" s="74">
        <f>MAX(0,Log_2020[[#This Row],[Split_raw]] - (EDATE(AA$1,1)-Log_2020[[#This Row],[Date]]))</f>
        <v>0</v>
      </c>
    </row>
    <row r="57" spans="1:29" x14ac:dyDescent="0.25">
      <c r="A57" s="37"/>
      <c r="B57" s="34" t="s">
        <v>6</v>
      </c>
      <c r="C57" s="34"/>
      <c r="D57" s="35">
        <v>43931</v>
      </c>
      <c r="E57" s="34" t="s">
        <v>250</v>
      </c>
      <c r="F57" s="34" t="s">
        <v>243</v>
      </c>
      <c r="G57" s="34" t="s">
        <v>143</v>
      </c>
      <c r="H57">
        <v>-10.81</v>
      </c>
      <c r="I57" s="36">
        <f>IF(Log_2020[[#This Row],[My Category]]="NONTRACKED",0,Log_2020[[#This Row],[Raw Amount]])</f>
        <v>-10.81</v>
      </c>
      <c r="J57" s="37">
        <f>ABS(Log_2020[[#This Row],[Amount]])</f>
        <v>10.81</v>
      </c>
      <c r="K57" s="38">
        <v>30</v>
      </c>
      <c r="L57" s="38">
        <f ca="1">IF(Log_2020[[#This Row],[Date]]&lt;=TODAY(), MIN(Log_2020[[#This Row],[Split_raw]], TODAY()-Log_2020[[#This Row],[Date]]+1), 0)</f>
        <v>30</v>
      </c>
      <c r="M57" s="34" t="s">
        <v>53</v>
      </c>
      <c r="N57" s="34" t="s">
        <v>160</v>
      </c>
      <c r="O57" s="7"/>
      <c r="P57" s="58">
        <f ca="1">Log_2020[[#This Row],[Amount]]/Log_2020[[#This Row],[Split_raw]]*MAX(0,MIN(_xlfn.DAYS(EDATE(P$1,1),Log_2020[[#This Row],[Date]]),Log_2020[[#This Row],[Split_apply]])) - SUM($O57:O57)</f>
        <v>0</v>
      </c>
      <c r="Q57" s="58">
        <f ca="1">Log_2020[[#This Row],[Amount]]/Log_2020[[#This Row],[Split_raw]]*MAX(0,MIN(_xlfn.DAYS(EDATE(Q$1,1),Log_2020[[#This Row],[Date]]),Log_2020[[#This Row],[Split_apply]])) - SUM($O57:P57)</f>
        <v>0</v>
      </c>
      <c r="R57" s="58">
        <f ca="1">Log_2020[[#This Row],[Amount]]/Log_2020[[#This Row],[Split_raw]]*MAX(0,MIN(_xlfn.DAYS(EDATE(R$1,1),Log_2020[[#This Row],[Date]]),Log_2020[[#This Row],[Split_apply]])) - SUM($O57:Q57)</f>
        <v>0</v>
      </c>
      <c r="S57" s="58">
        <f ca="1">Log_2020[[#This Row],[Amount]]/Log_2020[[#This Row],[Split_raw]]*MAX(0,MIN(_xlfn.DAYS(EDATE(S$1,1),Log_2020[[#This Row],[Date]]),Log_2020[[#This Row],[Split_apply]])) - SUM($O57:R57)</f>
        <v>-7.5670000000000002</v>
      </c>
      <c r="T57" s="58">
        <f ca="1">Log_2020[[#This Row],[Amount]]/Log_2020[[#This Row],[Split_raw]]*MAX(0,MIN(_xlfn.DAYS(EDATE(T$1,1),Log_2020[[#This Row],[Date]]),Log_2020[[#This Row],[Split_apply]])) - SUM($O57:S57)</f>
        <v>-3.2430000000000003</v>
      </c>
      <c r="U57" s="58">
        <f ca="1">Log_2020[[#This Row],[Amount]]/Log_2020[[#This Row],[Split_raw]]*MAX(0,MIN(_xlfn.DAYS(EDATE(U$1,1),Log_2020[[#This Row],[Date]]),Log_2020[[#This Row],[Split_apply]])) - SUM($O57:T57)</f>
        <v>0</v>
      </c>
      <c r="V57" s="58">
        <f ca="1">Log_2020[[#This Row],[Amount]]/Log_2020[[#This Row],[Split_raw]]*MAX(0,MIN(_xlfn.DAYS(EDATE(V$1,1),Log_2020[[#This Row],[Date]]),Log_2020[[#This Row],[Split_apply]])) - SUM($O57:U57)</f>
        <v>0</v>
      </c>
      <c r="W57" s="58">
        <f ca="1">Log_2020[[#This Row],[Amount]]/Log_2020[[#This Row],[Split_raw]]*MAX(0,MIN(_xlfn.DAYS(EDATE(W$1,1),Log_2020[[#This Row],[Date]]),Log_2020[[#This Row],[Split_apply]])) - SUM($O57:V57)</f>
        <v>0</v>
      </c>
      <c r="X57" s="58">
        <f ca="1">Log_2020[[#This Row],[Amount]]/Log_2020[[#This Row],[Split_raw]]*MAX(0,MIN(_xlfn.DAYS(EDATE(X$1,1),Log_2020[[#This Row],[Date]]),Log_2020[[#This Row],[Split_apply]])) - SUM($O57:W57)</f>
        <v>0</v>
      </c>
      <c r="Y57" s="58">
        <f ca="1">Log_2020[[#This Row],[Amount]]/Log_2020[[#This Row],[Split_raw]]*MAX(0,MIN(_xlfn.DAYS(EDATE(Y$1,1),Log_2020[[#This Row],[Date]]),Log_2020[[#This Row],[Split_apply]])) - SUM($O57:X57)</f>
        <v>0</v>
      </c>
      <c r="Z57" s="58">
        <f ca="1">Log_2020[[#This Row],[Amount]]/Log_2020[[#This Row],[Split_raw]]*MAX(0,MIN(_xlfn.DAYS(EDATE(Z$1,1),Log_2020[[#This Row],[Date]]),Log_2020[[#This Row],[Split_apply]])) - SUM($O57:Y57)</f>
        <v>0</v>
      </c>
      <c r="AA57" s="58">
        <f ca="1">Log_2020[[#This Row],[Amount]]/Log_2020[[#This Row],[Split_raw]]*MAX(0,MIN(_xlfn.DAYS(EDATE(AA$1,1),Log_2020[[#This Row],[Date]]),Log_2020[[#This Row],[Split_apply]])) - SUM($O57:Z57)</f>
        <v>0</v>
      </c>
      <c r="AB57" s="85">
        <f ca="1">Log_2020[[#This Row],[Amount]]*Log_2020[[#This Row],[Split_apply]]/Log_2020[[#This Row],[Split_raw]]-SUM(O57:AA57)</f>
        <v>0</v>
      </c>
      <c r="AC57" s="74">
        <f>MAX(0,Log_2020[[#This Row],[Split_raw]] - (EDATE(AA$1,1)-Log_2020[[#This Row],[Date]]))</f>
        <v>0</v>
      </c>
    </row>
    <row r="58" spans="1:29" x14ac:dyDescent="0.25">
      <c r="A58" s="37"/>
      <c r="B58" s="34" t="s">
        <v>6</v>
      </c>
      <c r="C58" s="34"/>
      <c r="D58" s="35">
        <v>43931</v>
      </c>
      <c r="E58" s="34"/>
      <c r="F58" s="34" t="s">
        <v>1100</v>
      </c>
      <c r="G58" s="34" t="s">
        <v>25</v>
      </c>
      <c r="H58">
        <v>-44</v>
      </c>
      <c r="I58" s="36">
        <f>IF(Log_2020[[#This Row],[My Category]]="NONTRACKED",0,Log_2020[[#This Row],[Raw Amount]])</f>
        <v>-44</v>
      </c>
      <c r="J58" s="37">
        <f>ABS(Log_2020[[#This Row],[Amount]])</f>
        <v>44</v>
      </c>
      <c r="K58" s="38">
        <v>1</v>
      </c>
      <c r="L58" s="38">
        <f ca="1">IF(Log_2020[[#This Row],[Date]]&lt;=TODAY(), MIN(Log_2020[[#This Row],[Split_raw]], TODAY()-Log_2020[[#This Row],[Date]]+1), 0)</f>
        <v>1</v>
      </c>
      <c r="M58" s="34" t="s">
        <v>35</v>
      </c>
      <c r="N58" s="34" t="s">
        <v>158</v>
      </c>
      <c r="O58" s="7"/>
      <c r="P58" s="58">
        <f ca="1">Log_2020[[#This Row],[Amount]]/Log_2020[[#This Row],[Split_raw]]*MAX(0,MIN(_xlfn.DAYS(EDATE(P$1,1),Log_2020[[#This Row],[Date]]),Log_2020[[#This Row],[Split_apply]])) - SUM($O58:O58)</f>
        <v>0</v>
      </c>
      <c r="Q58" s="58">
        <f ca="1">Log_2020[[#This Row],[Amount]]/Log_2020[[#This Row],[Split_raw]]*MAX(0,MIN(_xlfn.DAYS(EDATE(Q$1,1),Log_2020[[#This Row],[Date]]),Log_2020[[#This Row],[Split_apply]])) - SUM($O58:P58)</f>
        <v>0</v>
      </c>
      <c r="R58" s="58">
        <f ca="1">Log_2020[[#This Row],[Amount]]/Log_2020[[#This Row],[Split_raw]]*MAX(0,MIN(_xlfn.DAYS(EDATE(R$1,1),Log_2020[[#This Row],[Date]]),Log_2020[[#This Row],[Split_apply]])) - SUM($O58:Q58)</f>
        <v>0</v>
      </c>
      <c r="S58" s="58">
        <f ca="1">Log_2020[[#This Row],[Amount]]/Log_2020[[#This Row],[Split_raw]]*MAX(0,MIN(_xlfn.DAYS(EDATE(S$1,1),Log_2020[[#This Row],[Date]]),Log_2020[[#This Row],[Split_apply]])) - SUM($O58:R58)</f>
        <v>-44</v>
      </c>
      <c r="T58" s="58">
        <f ca="1">Log_2020[[#This Row],[Amount]]/Log_2020[[#This Row],[Split_raw]]*MAX(0,MIN(_xlfn.DAYS(EDATE(T$1,1),Log_2020[[#This Row],[Date]]),Log_2020[[#This Row],[Split_apply]])) - SUM($O58:S58)</f>
        <v>0</v>
      </c>
      <c r="U58" s="58">
        <f ca="1">Log_2020[[#This Row],[Amount]]/Log_2020[[#This Row],[Split_raw]]*MAX(0,MIN(_xlfn.DAYS(EDATE(U$1,1),Log_2020[[#This Row],[Date]]),Log_2020[[#This Row],[Split_apply]])) - SUM($O58:T58)</f>
        <v>0</v>
      </c>
      <c r="V58" s="58">
        <f ca="1">Log_2020[[#This Row],[Amount]]/Log_2020[[#This Row],[Split_raw]]*MAX(0,MIN(_xlfn.DAYS(EDATE(V$1,1),Log_2020[[#This Row],[Date]]),Log_2020[[#This Row],[Split_apply]])) - SUM($O58:U58)</f>
        <v>0</v>
      </c>
      <c r="W58" s="58">
        <f ca="1">Log_2020[[#This Row],[Amount]]/Log_2020[[#This Row],[Split_raw]]*MAX(0,MIN(_xlfn.DAYS(EDATE(W$1,1),Log_2020[[#This Row],[Date]]),Log_2020[[#This Row],[Split_apply]])) - SUM($O58:V58)</f>
        <v>0</v>
      </c>
      <c r="X58" s="58">
        <f ca="1">Log_2020[[#This Row],[Amount]]/Log_2020[[#This Row],[Split_raw]]*MAX(0,MIN(_xlfn.DAYS(EDATE(X$1,1),Log_2020[[#This Row],[Date]]),Log_2020[[#This Row],[Split_apply]])) - SUM($O58:W58)</f>
        <v>0</v>
      </c>
      <c r="Y58" s="58">
        <f ca="1">Log_2020[[#This Row],[Amount]]/Log_2020[[#This Row],[Split_raw]]*MAX(0,MIN(_xlfn.DAYS(EDATE(Y$1,1),Log_2020[[#This Row],[Date]]),Log_2020[[#This Row],[Split_apply]])) - SUM($O58:X58)</f>
        <v>0</v>
      </c>
      <c r="Z58" s="58">
        <f ca="1">Log_2020[[#This Row],[Amount]]/Log_2020[[#This Row],[Split_raw]]*MAX(0,MIN(_xlfn.DAYS(EDATE(Z$1,1),Log_2020[[#This Row],[Date]]),Log_2020[[#This Row],[Split_apply]])) - SUM($O58:Y58)</f>
        <v>0</v>
      </c>
      <c r="AA58" s="58">
        <f ca="1">Log_2020[[#This Row],[Amount]]/Log_2020[[#This Row],[Split_raw]]*MAX(0,MIN(_xlfn.DAYS(EDATE(AA$1,1),Log_2020[[#This Row],[Date]]),Log_2020[[#This Row],[Split_apply]])) - SUM($O58:Z58)</f>
        <v>0</v>
      </c>
      <c r="AB58" s="85">
        <f ca="1">Log_2020[[#This Row],[Amount]]*Log_2020[[#This Row],[Split_apply]]/Log_2020[[#This Row],[Split_raw]]-SUM(O58:AA58)</f>
        <v>0</v>
      </c>
      <c r="AC58" s="74">
        <f>MAX(0,Log_2020[[#This Row],[Split_raw]] - (EDATE(AA$1,1)-Log_2020[[#This Row],[Date]]))</f>
        <v>0</v>
      </c>
    </row>
    <row r="59" spans="1:29" x14ac:dyDescent="0.25">
      <c r="A59" s="37"/>
      <c r="B59" s="34" t="s">
        <v>6</v>
      </c>
      <c r="C59" s="34"/>
      <c r="D59" s="35">
        <v>43930</v>
      </c>
      <c r="E59" s="34"/>
      <c r="F59" s="34" t="s">
        <v>642</v>
      </c>
      <c r="G59" s="34" t="s">
        <v>747</v>
      </c>
      <c r="H59">
        <f>--1902.8</f>
        <v>1902.8</v>
      </c>
      <c r="I59" s="36">
        <f>IF(Log_2020[[#This Row],[My Category]]="NONTRACKED",0,Log_2020[[#This Row],[Raw Amount]])</f>
        <v>1902.8</v>
      </c>
      <c r="J59" s="37">
        <f>ABS(Log_2020[[#This Row],[Amount]])</f>
        <v>1902.8</v>
      </c>
      <c r="K59" s="38">
        <v>14</v>
      </c>
      <c r="L59" s="38">
        <f ca="1">IF(Log_2020[[#This Row],[Date]]&lt;=TODAY(), MIN(Log_2020[[#This Row],[Split_raw]], TODAY()-Log_2020[[#This Row],[Date]]+1), 0)</f>
        <v>14</v>
      </c>
      <c r="M59" s="34" t="s">
        <v>91</v>
      </c>
      <c r="N59" s="34" t="s">
        <v>160</v>
      </c>
      <c r="O59" s="7"/>
      <c r="P59" s="58">
        <f ca="1">Log_2020[[#This Row],[Amount]]/Log_2020[[#This Row],[Split_raw]]*MAX(0,MIN(_xlfn.DAYS(EDATE(P$1,1),Log_2020[[#This Row],[Date]]),Log_2020[[#This Row],[Split_apply]])) - SUM($O59:O59)</f>
        <v>0</v>
      </c>
      <c r="Q59" s="58">
        <f ca="1">Log_2020[[#This Row],[Amount]]/Log_2020[[#This Row],[Split_raw]]*MAX(0,MIN(_xlfn.DAYS(EDATE(Q$1,1),Log_2020[[#This Row],[Date]]),Log_2020[[#This Row],[Split_apply]])) - SUM($O59:P59)</f>
        <v>0</v>
      </c>
      <c r="R59" s="58">
        <f ca="1">Log_2020[[#This Row],[Amount]]/Log_2020[[#This Row],[Split_raw]]*MAX(0,MIN(_xlfn.DAYS(EDATE(R$1,1),Log_2020[[#This Row],[Date]]),Log_2020[[#This Row],[Split_apply]])) - SUM($O59:Q59)</f>
        <v>0</v>
      </c>
      <c r="S59" s="58">
        <f ca="1">Log_2020[[#This Row],[Amount]]/Log_2020[[#This Row],[Split_raw]]*MAX(0,MIN(_xlfn.DAYS(EDATE(S$1,1),Log_2020[[#This Row],[Date]]),Log_2020[[#This Row],[Split_apply]])) - SUM($O59:R59)</f>
        <v>1902.8</v>
      </c>
      <c r="T59" s="58">
        <f ca="1">Log_2020[[#This Row],[Amount]]/Log_2020[[#This Row],[Split_raw]]*MAX(0,MIN(_xlfn.DAYS(EDATE(T$1,1),Log_2020[[#This Row],[Date]]),Log_2020[[#This Row],[Split_apply]])) - SUM($O59:S59)</f>
        <v>0</v>
      </c>
      <c r="U59" s="58">
        <f ca="1">Log_2020[[#This Row],[Amount]]/Log_2020[[#This Row],[Split_raw]]*MAX(0,MIN(_xlfn.DAYS(EDATE(U$1,1),Log_2020[[#This Row],[Date]]),Log_2020[[#This Row],[Split_apply]])) - SUM($O59:T59)</f>
        <v>0</v>
      </c>
      <c r="V59" s="58">
        <f ca="1">Log_2020[[#This Row],[Amount]]/Log_2020[[#This Row],[Split_raw]]*MAX(0,MIN(_xlfn.DAYS(EDATE(V$1,1),Log_2020[[#This Row],[Date]]),Log_2020[[#This Row],[Split_apply]])) - SUM($O59:U59)</f>
        <v>0</v>
      </c>
      <c r="W59" s="58">
        <f ca="1">Log_2020[[#This Row],[Amount]]/Log_2020[[#This Row],[Split_raw]]*MAX(0,MIN(_xlfn.DAYS(EDATE(W$1,1),Log_2020[[#This Row],[Date]]),Log_2020[[#This Row],[Split_apply]])) - SUM($O59:V59)</f>
        <v>0</v>
      </c>
      <c r="X59" s="58">
        <f ca="1">Log_2020[[#This Row],[Amount]]/Log_2020[[#This Row],[Split_raw]]*MAX(0,MIN(_xlfn.DAYS(EDATE(X$1,1),Log_2020[[#This Row],[Date]]),Log_2020[[#This Row],[Split_apply]])) - SUM($O59:W59)</f>
        <v>0</v>
      </c>
      <c r="Y59" s="58">
        <f ca="1">Log_2020[[#This Row],[Amount]]/Log_2020[[#This Row],[Split_raw]]*MAX(0,MIN(_xlfn.DAYS(EDATE(Y$1,1),Log_2020[[#This Row],[Date]]),Log_2020[[#This Row],[Split_apply]])) - SUM($O59:X59)</f>
        <v>0</v>
      </c>
      <c r="Z59" s="58">
        <f ca="1">Log_2020[[#This Row],[Amount]]/Log_2020[[#This Row],[Split_raw]]*MAX(0,MIN(_xlfn.DAYS(EDATE(Z$1,1),Log_2020[[#This Row],[Date]]),Log_2020[[#This Row],[Split_apply]])) - SUM($O59:Y59)</f>
        <v>0</v>
      </c>
      <c r="AA59" s="58">
        <f ca="1">Log_2020[[#This Row],[Amount]]/Log_2020[[#This Row],[Split_raw]]*MAX(0,MIN(_xlfn.DAYS(EDATE(AA$1,1),Log_2020[[#This Row],[Date]]),Log_2020[[#This Row],[Split_apply]])) - SUM($O59:Z59)</f>
        <v>0</v>
      </c>
      <c r="AB59" s="85">
        <f ca="1">Log_2020[[#This Row],[Amount]]*Log_2020[[#This Row],[Split_apply]]/Log_2020[[#This Row],[Split_raw]]-SUM(O59:AA59)</f>
        <v>0</v>
      </c>
      <c r="AC59" s="74">
        <f>MAX(0,Log_2020[[#This Row],[Split_raw]] - (EDATE(AA$1,1)-Log_2020[[#This Row],[Date]]))</f>
        <v>0</v>
      </c>
    </row>
    <row r="60" spans="1:29" x14ac:dyDescent="0.25">
      <c r="A60" s="37"/>
      <c r="B60" s="34" t="s">
        <v>6</v>
      </c>
      <c r="C60" s="34"/>
      <c r="D60" s="35">
        <v>43930</v>
      </c>
      <c r="E60" s="34"/>
      <c r="F60" s="34" t="s">
        <v>1101</v>
      </c>
      <c r="G60" s="34" t="s">
        <v>25</v>
      </c>
      <c r="H60">
        <v>-27</v>
      </c>
      <c r="I60" s="36">
        <f>IF(Log_2020[[#This Row],[My Category]]="NONTRACKED",0,Log_2020[[#This Row],[Raw Amount]])</f>
        <v>-27</v>
      </c>
      <c r="J60" s="37">
        <f>ABS(Log_2020[[#This Row],[Amount]])</f>
        <v>27</v>
      </c>
      <c r="K60" s="38">
        <v>1</v>
      </c>
      <c r="L60" s="38">
        <f ca="1">IF(Log_2020[[#This Row],[Date]]&lt;=TODAY(), MIN(Log_2020[[#This Row],[Split_raw]], TODAY()-Log_2020[[#This Row],[Date]]+1), 0)</f>
        <v>1</v>
      </c>
      <c r="M60" s="34" t="s">
        <v>35</v>
      </c>
      <c r="N60" s="34" t="s">
        <v>158</v>
      </c>
      <c r="O60" s="7"/>
      <c r="P60" s="58">
        <f ca="1">Log_2020[[#This Row],[Amount]]/Log_2020[[#This Row],[Split_raw]]*MAX(0,MIN(_xlfn.DAYS(EDATE(P$1,1),Log_2020[[#This Row],[Date]]),Log_2020[[#This Row],[Split_apply]])) - SUM($O60:O60)</f>
        <v>0</v>
      </c>
      <c r="Q60" s="58">
        <f ca="1">Log_2020[[#This Row],[Amount]]/Log_2020[[#This Row],[Split_raw]]*MAX(0,MIN(_xlfn.DAYS(EDATE(Q$1,1),Log_2020[[#This Row],[Date]]),Log_2020[[#This Row],[Split_apply]])) - SUM($O60:P60)</f>
        <v>0</v>
      </c>
      <c r="R60" s="58">
        <f ca="1">Log_2020[[#This Row],[Amount]]/Log_2020[[#This Row],[Split_raw]]*MAX(0,MIN(_xlfn.DAYS(EDATE(R$1,1),Log_2020[[#This Row],[Date]]),Log_2020[[#This Row],[Split_apply]])) - SUM($O60:Q60)</f>
        <v>0</v>
      </c>
      <c r="S60" s="58">
        <f ca="1">Log_2020[[#This Row],[Amount]]/Log_2020[[#This Row],[Split_raw]]*MAX(0,MIN(_xlfn.DAYS(EDATE(S$1,1),Log_2020[[#This Row],[Date]]),Log_2020[[#This Row],[Split_apply]])) - SUM($O60:R60)</f>
        <v>-27</v>
      </c>
      <c r="T60" s="58">
        <f ca="1">Log_2020[[#This Row],[Amount]]/Log_2020[[#This Row],[Split_raw]]*MAX(0,MIN(_xlfn.DAYS(EDATE(T$1,1),Log_2020[[#This Row],[Date]]),Log_2020[[#This Row],[Split_apply]])) - SUM($O60:S60)</f>
        <v>0</v>
      </c>
      <c r="U60" s="58">
        <f ca="1">Log_2020[[#This Row],[Amount]]/Log_2020[[#This Row],[Split_raw]]*MAX(0,MIN(_xlfn.DAYS(EDATE(U$1,1),Log_2020[[#This Row],[Date]]),Log_2020[[#This Row],[Split_apply]])) - SUM($O60:T60)</f>
        <v>0</v>
      </c>
      <c r="V60" s="58">
        <f ca="1">Log_2020[[#This Row],[Amount]]/Log_2020[[#This Row],[Split_raw]]*MAX(0,MIN(_xlfn.DAYS(EDATE(V$1,1),Log_2020[[#This Row],[Date]]),Log_2020[[#This Row],[Split_apply]])) - SUM($O60:U60)</f>
        <v>0</v>
      </c>
      <c r="W60" s="58">
        <f ca="1">Log_2020[[#This Row],[Amount]]/Log_2020[[#This Row],[Split_raw]]*MAX(0,MIN(_xlfn.DAYS(EDATE(W$1,1),Log_2020[[#This Row],[Date]]),Log_2020[[#This Row],[Split_apply]])) - SUM($O60:V60)</f>
        <v>0</v>
      </c>
      <c r="X60" s="58">
        <f ca="1">Log_2020[[#This Row],[Amount]]/Log_2020[[#This Row],[Split_raw]]*MAX(0,MIN(_xlfn.DAYS(EDATE(X$1,1),Log_2020[[#This Row],[Date]]),Log_2020[[#This Row],[Split_apply]])) - SUM($O60:W60)</f>
        <v>0</v>
      </c>
      <c r="Y60" s="58">
        <f ca="1">Log_2020[[#This Row],[Amount]]/Log_2020[[#This Row],[Split_raw]]*MAX(0,MIN(_xlfn.DAYS(EDATE(Y$1,1),Log_2020[[#This Row],[Date]]),Log_2020[[#This Row],[Split_apply]])) - SUM($O60:X60)</f>
        <v>0</v>
      </c>
      <c r="Z60" s="58">
        <f ca="1">Log_2020[[#This Row],[Amount]]/Log_2020[[#This Row],[Split_raw]]*MAX(0,MIN(_xlfn.DAYS(EDATE(Z$1,1),Log_2020[[#This Row],[Date]]),Log_2020[[#This Row],[Split_apply]])) - SUM($O60:Y60)</f>
        <v>0</v>
      </c>
      <c r="AA60" s="58">
        <f ca="1">Log_2020[[#This Row],[Amount]]/Log_2020[[#This Row],[Split_raw]]*MAX(0,MIN(_xlfn.DAYS(EDATE(AA$1,1),Log_2020[[#This Row],[Date]]),Log_2020[[#This Row],[Split_apply]])) - SUM($O60:Z60)</f>
        <v>0</v>
      </c>
      <c r="AB60" s="85">
        <f ca="1">Log_2020[[#This Row],[Amount]]*Log_2020[[#This Row],[Split_apply]]/Log_2020[[#This Row],[Split_raw]]-SUM(O60:AA60)</f>
        <v>0</v>
      </c>
      <c r="AC60" s="74">
        <f>MAX(0,Log_2020[[#This Row],[Split_raw]] - (EDATE(AA$1,1)-Log_2020[[#This Row],[Date]]))</f>
        <v>0</v>
      </c>
    </row>
    <row r="61" spans="1:29" x14ac:dyDescent="0.25">
      <c r="A61" s="37"/>
      <c r="B61" s="34" t="s">
        <v>6</v>
      </c>
      <c r="C61" s="34"/>
      <c r="D61" s="35">
        <v>43929</v>
      </c>
      <c r="E61" s="34"/>
      <c r="F61" s="34" t="s">
        <v>1075</v>
      </c>
      <c r="G61" s="34" t="s">
        <v>29</v>
      </c>
      <c r="H61">
        <v>-72.91</v>
      </c>
      <c r="I61" s="36">
        <f>IF(Log_2020[[#This Row],[My Category]]="NONTRACKED",0,Log_2020[[#This Row],[Raw Amount]])</f>
        <v>-72.91</v>
      </c>
      <c r="J61" s="37">
        <f>ABS(Log_2020[[#This Row],[Amount]])</f>
        <v>72.91</v>
      </c>
      <c r="K61" s="38">
        <v>30</v>
      </c>
      <c r="L61" s="38">
        <f ca="1">IF(Log_2020[[#This Row],[Date]]&lt;=TODAY(), MIN(Log_2020[[#This Row],[Split_raw]], TODAY()-Log_2020[[#This Row],[Date]]+1), 0)</f>
        <v>30</v>
      </c>
      <c r="M61" s="34" t="s">
        <v>29</v>
      </c>
      <c r="N61" s="34" t="s">
        <v>160</v>
      </c>
      <c r="O61" s="7"/>
      <c r="P61" s="58">
        <f ca="1">Log_2020[[#This Row],[Amount]]/Log_2020[[#This Row],[Split_raw]]*MAX(0,MIN(_xlfn.DAYS(EDATE(P$1,1),Log_2020[[#This Row],[Date]]),Log_2020[[#This Row],[Split_apply]])) - SUM($O61:O61)</f>
        <v>0</v>
      </c>
      <c r="Q61" s="58">
        <f ca="1">Log_2020[[#This Row],[Amount]]/Log_2020[[#This Row],[Split_raw]]*MAX(0,MIN(_xlfn.DAYS(EDATE(Q$1,1),Log_2020[[#This Row],[Date]]),Log_2020[[#This Row],[Split_apply]])) - SUM($O61:P61)</f>
        <v>0</v>
      </c>
      <c r="R61" s="58">
        <f ca="1">Log_2020[[#This Row],[Amount]]/Log_2020[[#This Row],[Split_raw]]*MAX(0,MIN(_xlfn.DAYS(EDATE(R$1,1),Log_2020[[#This Row],[Date]]),Log_2020[[#This Row],[Split_apply]])) - SUM($O61:Q61)</f>
        <v>0</v>
      </c>
      <c r="S61" s="58">
        <f ca="1">Log_2020[[#This Row],[Amount]]/Log_2020[[#This Row],[Split_raw]]*MAX(0,MIN(_xlfn.DAYS(EDATE(S$1,1),Log_2020[[#This Row],[Date]]),Log_2020[[#This Row],[Split_apply]])) - SUM($O61:R61)</f>
        <v>-55.897666666666659</v>
      </c>
      <c r="T61" s="58">
        <f ca="1">Log_2020[[#This Row],[Amount]]/Log_2020[[#This Row],[Split_raw]]*MAX(0,MIN(_xlfn.DAYS(EDATE(T$1,1),Log_2020[[#This Row],[Date]]),Log_2020[[#This Row],[Split_apply]])) - SUM($O61:S61)</f>
        <v>-17.012333333333338</v>
      </c>
      <c r="U61" s="58">
        <f ca="1">Log_2020[[#This Row],[Amount]]/Log_2020[[#This Row],[Split_raw]]*MAX(0,MIN(_xlfn.DAYS(EDATE(U$1,1),Log_2020[[#This Row],[Date]]),Log_2020[[#This Row],[Split_apply]])) - SUM($O61:T61)</f>
        <v>0</v>
      </c>
      <c r="V61" s="58">
        <f ca="1">Log_2020[[#This Row],[Amount]]/Log_2020[[#This Row],[Split_raw]]*MAX(0,MIN(_xlfn.DAYS(EDATE(V$1,1),Log_2020[[#This Row],[Date]]),Log_2020[[#This Row],[Split_apply]])) - SUM($O61:U61)</f>
        <v>0</v>
      </c>
      <c r="W61" s="58">
        <f ca="1">Log_2020[[#This Row],[Amount]]/Log_2020[[#This Row],[Split_raw]]*MAX(0,MIN(_xlfn.DAYS(EDATE(W$1,1),Log_2020[[#This Row],[Date]]),Log_2020[[#This Row],[Split_apply]])) - SUM($O61:V61)</f>
        <v>0</v>
      </c>
      <c r="X61" s="58">
        <f ca="1">Log_2020[[#This Row],[Amount]]/Log_2020[[#This Row],[Split_raw]]*MAX(0,MIN(_xlfn.DAYS(EDATE(X$1,1),Log_2020[[#This Row],[Date]]),Log_2020[[#This Row],[Split_apply]])) - SUM($O61:W61)</f>
        <v>0</v>
      </c>
      <c r="Y61" s="58">
        <f ca="1">Log_2020[[#This Row],[Amount]]/Log_2020[[#This Row],[Split_raw]]*MAX(0,MIN(_xlfn.DAYS(EDATE(Y$1,1),Log_2020[[#This Row],[Date]]),Log_2020[[#This Row],[Split_apply]])) - SUM($O61:X61)</f>
        <v>0</v>
      </c>
      <c r="Z61" s="58">
        <f ca="1">Log_2020[[#This Row],[Amount]]/Log_2020[[#This Row],[Split_raw]]*MAX(0,MIN(_xlfn.DAYS(EDATE(Z$1,1),Log_2020[[#This Row],[Date]]),Log_2020[[#This Row],[Split_apply]])) - SUM($O61:Y61)</f>
        <v>0</v>
      </c>
      <c r="AA61" s="58">
        <f ca="1">Log_2020[[#This Row],[Amount]]/Log_2020[[#This Row],[Split_raw]]*MAX(0,MIN(_xlfn.DAYS(EDATE(AA$1,1),Log_2020[[#This Row],[Date]]),Log_2020[[#This Row],[Split_apply]])) - SUM($O61:Z61)</f>
        <v>0</v>
      </c>
      <c r="AB61" s="85">
        <f ca="1">Log_2020[[#This Row],[Amount]]*Log_2020[[#This Row],[Split_apply]]/Log_2020[[#This Row],[Split_raw]]-SUM(O61:AA61)</f>
        <v>0</v>
      </c>
      <c r="AC61" s="74">
        <f>MAX(0,Log_2020[[#This Row],[Split_raw]] - (EDATE(AA$1,1)-Log_2020[[#This Row],[Date]]))</f>
        <v>0</v>
      </c>
    </row>
    <row r="62" spans="1:29" x14ac:dyDescent="0.25">
      <c r="A62" s="37"/>
      <c r="B62" s="34" t="s">
        <v>6</v>
      </c>
      <c r="C62" s="34"/>
      <c r="D62" s="35">
        <v>43927</v>
      </c>
      <c r="E62" s="34"/>
      <c r="F62" s="34" t="s">
        <v>620</v>
      </c>
      <c r="G62" s="34" t="s">
        <v>582</v>
      </c>
      <c r="H62">
        <v>-30.02</v>
      </c>
      <c r="I62" s="36">
        <f>IF(Log_2020[[#This Row],[My Category]]="NONTRACKED",0,Log_2020[[#This Row],[Raw Amount]])</f>
        <v>-30.02</v>
      </c>
      <c r="J62" s="37">
        <f>ABS(Log_2020[[#This Row],[Amount]])</f>
        <v>30.02</v>
      </c>
      <c r="K62" s="38">
        <v>30</v>
      </c>
      <c r="L62" s="38">
        <f ca="1">IF(Log_2020[[#This Row],[Date]]&lt;=TODAY(), MIN(Log_2020[[#This Row],[Split_raw]], TODAY()-Log_2020[[#This Row],[Date]]+1), 0)</f>
        <v>30</v>
      </c>
      <c r="M62" s="34" t="s">
        <v>29</v>
      </c>
      <c r="N62" s="34" t="s">
        <v>158</v>
      </c>
      <c r="O62" s="7"/>
      <c r="P62" s="58">
        <f ca="1">Log_2020[[#This Row],[Amount]]/Log_2020[[#This Row],[Split_raw]]*MAX(0,MIN(_xlfn.DAYS(EDATE(P$1,1),Log_2020[[#This Row],[Date]]),Log_2020[[#This Row],[Split_apply]])) - SUM($O62:O62)</f>
        <v>0</v>
      </c>
      <c r="Q62" s="58">
        <f ca="1">Log_2020[[#This Row],[Amount]]/Log_2020[[#This Row],[Split_raw]]*MAX(0,MIN(_xlfn.DAYS(EDATE(Q$1,1),Log_2020[[#This Row],[Date]]),Log_2020[[#This Row],[Split_apply]])) - SUM($O62:P62)</f>
        <v>0</v>
      </c>
      <c r="R62" s="58">
        <f ca="1">Log_2020[[#This Row],[Amount]]/Log_2020[[#This Row],[Split_raw]]*MAX(0,MIN(_xlfn.DAYS(EDATE(R$1,1),Log_2020[[#This Row],[Date]]),Log_2020[[#This Row],[Split_apply]])) - SUM($O62:Q62)</f>
        <v>0</v>
      </c>
      <c r="S62" s="58">
        <f ca="1">Log_2020[[#This Row],[Amount]]/Log_2020[[#This Row],[Split_raw]]*MAX(0,MIN(_xlfn.DAYS(EDATE(S$1,1),Log_2020[[#This Row],[Date]]),Log_2020[[#This Row],[Split_apply]])) - SUM($O62:R62)</f>
        <v>-25.016666666666666</v>
      </c>
      <c r="T62" s="58">
        <f ca="1">Log_2020[[#This Row],[Amount]]/Log_2020[[#This Row],[Split_raw]]*MAX(0,MIN(_xlfn.DAYS(EDATE(T$1,1),Log_2020[[#This Row],[Date]]),Log_2020[[#This Row],[Split_apply]])) - SUM($O62:S62)</f>
        <v>-5.0033333333333303</v>
      </c>
      <c r="U62" s="58">
        <f ca="1">Log_2020[[#This Row],[Amount]]/Log_2020[[#This Row],[Split_raw]]*MAX(0,MIN(_xlfn.DAYS(EDATE(U$1,1),Log_2020[[#This Row],[Date]]),Log_2020[[#This Row],[Split_apply]])) - SUM($O62:T62)</f>
        <v>0</v>
      </c>
      <c r="V62" s="58">
        <f ca="1">Log_2020[[#This Row],[Amount]]/Log_2020[[#This Row],[Split_raw]]*MAX(0,MIN(_xlfn.DAYS(EDATE(V$1,1),Log_2020[[#This Row],[Date]]),Log_2020[[#This Row],[Split_apply]])) - SUM($O62:U62)</f>
        <v>0</v>
      </c>
      <c r="W62" s="58">
        <f ca="1">Log_2020[[#This Row],[Amount]]/Log_2020[[#This Row],[Split_raw]]*MAX(0,MIN(_xlfn.DAYS(EDATE(W$1,1),Log_2020[[#This Row],[Date]]),Log_2020[[#This Row],[Split_apply]])) - SUM($O62:V62)</f>
        <v>0</v>
      </c>
      <c r="X62" s="58">
        <f ca="1">Log_2020[[#This Row],[Amount]]/Log_2020[[#This Row],[Split_raw]]*MAX(0,MIN(_xlfn.DAYS(EDATE(X$1,1),Log_2020[[#This Row],[Date]]),Log_2020[[#This Row],[Split_apply]])) - SUM($O62:W62)</f>
        <v>0</v>
      </c>
      <c r="Y62" s="58">
        <f ca="1">Log_2020[[#This Row],[Amount]]/Log_2020[[#This Row],[Split_raw]]*MAX(0,MIN(_xlfn.DAYS(EDATE(Y$1,1),Log_2020[[#This Row],[Date]]),Log_2020[[#This Row],[Split_apply]])) - SUM($O62:X62)</f>
        <v>0</v>
      </c>
      <c r="Z62" s="58">
        <f ca="1">Log_2020[[#This Row],[Amount]]/Log_2020[[#This Row],[Split_raw]]*MAX(0,MIN(_xlfn.DAYS(EDATE(Z$1,1),Log_2020[[#This Row],[Date]]),Log_2020[[#This Row],[Split_apply]])) - SUM($O62:Y62)</f>
        <v>0</v>
      </c>
      <c r="AA62" s="58">
        <f ca="1">Log_2020[[#This Row],[Amount]]/Log_2020[[#This Row],[Split_raw]]*MAX(0,MIN(_xlfn.DAYS(EDATE(AA$1,1),Log_2020[[#This Row],[Date]]),Log_2020[[#This Row],[Split_apply]])) - SUM($O62:Z62)</f>
        <v>0</v>
      </c>
      <c r="AB62" s="85">
        <f ca="1">Log_2020[[#This Row],[Amount]]*Log_2020[[#This Row],[Split_apply]]/Log_2020[[#This Row],[Split_raw]]-SUM(O62:AA62)</f>
        <v>0</v>
      </c>
      <c r="AC62" s="74">
        <f>MAX(0,Log_2020[[#This Row],[Split_raw]] - (EDATE(AA$1,1)-Log_2020[[#This Row],[Date]]))</f>
        <v>0</v>
      </c>
    </row>
    <row r="63" spans="1:29" x14ac:dyDescent="0.25">
      <c r="A63" s="37"/>
      <c r="B63" s="34" t="s">
        <v>6</v>
      </c>
      <c r="C63" s="34"/>
      <c r="D63" s="35">
        <v>43927</v>
      </c>
      <c r="E63" s="34"/>
      <c r="F63" s="34" t="s">
        <v>1077</v>
      </c>
      <c r="G63" s="34" t="s">
        <v>25</v>
      </c>
      <c r="H63">
        <v>-46</v>
      </c>
      <c r="I63" s="36">
        <f>IF(Log_2020[[#This Row],[My Category]]="NONTRACKED",0,Log_2020[[#This Row],[Raw Amount]])</f>
        <v>-46</v>
      </c>
      <c r="J63" s="37">
        <f>ABS(Log_2020[[#This Row],[Amount]])</f>
        <v>46</v>
      </c>
      <c r="K63" s="38">
        <v>1</v>
      </c>
      <c r="L63" s="38">
        <f ca="1">IF(Log_2020[[#This Row],[Date]]&lt;=TODAY(), MIN(Log_2020[[#This Row],[Split_raw]], TODAY()-Log_2020[[#This Row],[Date]]+1), 0)</f>
        <v>1</v>
      </c>
      <c r="M63" s="34" t="s">
        <v>35</v>
      </c>
      <c r="N63" s="34" t="s">
        <v>158</v>
      </c>
      <c r="O63" s="7"/>
      <c r="P63" s="58">
        <f ca="1">Log_2020[[#This Row],[Amount]]/Log_2020[[#This Row],[Split_raw]]*MAX(0,MIN(_xlfn.DAYS(EDATE(P$1,1),Log_2020[[#This Row],[Date]]),Log_2020[[#This Row],[Split_apply]])) - SUM($O63:O63)</f>
        <v>0</v>
      </c>
      <c r="Q63" s="58">
        <f ca="1">Log_2020[[#This Row],[Amount]]/Log_2020[[#This Row],[Split_raw]]*MAX(0,MIN(_xlfn.DAYS(EDATE(Q$1,1),Log_2020[[#This Row],[Date]]),Log_2020[[#This Row],[Split_apply]])) - SUM($O63:P63)</f>
        <v>0</v>
      </c>
      <c r="R63" s="58">
        <f ca="1">Log_2020[[#This Row],[Amount]]/Log_2020[[#This Row],[Split_raw]]*MAX(0,MIN(_xlfn.DAYS(EDATE(R$1,1),Log_2020[[#This Row],[Date]]),Log_2020[[#This Row],[Split_apply]])) - SUM($O63:Q63)</f>
        <v>0</v>
      </c>
      <c r="S63" s="58">
        <f ca="1">Log_2020[[#This Row],[Amount]]/Log_2020[[#This Row],[Split_raw]]*MAX(0,MIN(_xlfn.DAYS(EDATE(S$1,1),Log_2020[[#This Row],[Date]]),Log_2020[[#This Row],[Split_apply]])) - SUM($O63:R63)</f>
        <v>-46</v>
      </c>
      <c r="T63" s="58">
        <f ca="1">Log_2020[[#This Row],[Amount]]/Log_2020[[#This Row],[Split_raw]]*MAX(0,MIN(_xlfn.DAYS(EDATE(T$1,1),Log_2020[[#This Row],[Date]]),Log_2020[[#This Row],[Split_apply]])) - SUM($O63:S63)</f>
        <v>0</v>
      </c>
      <c r="U63" s="58">
        <f ca="1">Log_2020[[#This Row],[Amount]]/Log_2020[[#This Row],[Split_raw]]*MAX(0,MIN(_xlfn.DAYS(EDATE(U$1,1),Log_2020[[#This Row],[Date]]),Log_2020[[#This Row],[Split_apply]])) - SUM($O63:T63)</f>
        <v>0</v>
      </c>
      <c r="V63" s="58">
        <f ca="1">Log_2020[[#This Row],[Amount]]/Log_2020[[#This Row],[Split_raw]]*MAX(0,MIN(_xlfn.DAYS(EDATE(V$1,1),Log_2020[[#This Row],[Date]]),Log_2020[[#This Row],[Split_apply]])) - SUM($O63:U63)</f>
        <v>0</v>
      </c>
      <c r="W63" s="58">
        <f ca="1">Log_2020[[#This Row],[Amount]]/Log_2020[[#This Row],[Split_raw]]*MAX(0,MIN(_xlfn.DAYS(EDATE(W$1,1),Log_2020[[#This Row],[Date]]),Log_2020[[#This Row],[Split_apply]])) - SUM($O63:V63)</f>
        <v>0</v>
      </c>
      <c r="X63" s="58">
        <f ca="1">Log_2020[[#This Row],[Amount]]/Log_2020[[#This Row],[Split_raw]]*MAX(0,MIN(_xlfn.DAYS(EDATE(X$1,1),Log_2020[[#This Row],[Date]]),Log_2020[[#This Row],[Split_apply]])) - SUM($O63:W63)</f>
        <v>0</v>
      </c>
      <c r="Y63" s="58">
        <f ca="1">Log_2020[[#This Row],[Amount]]/Log_2020[[#This Row],[Split_raw]]*MAX(0,MIN(_xlfn.DAYS(EDATE(Y$1,1),Log_2020[[#This Row],[Date]]),Log_2020[[#This Row],[Split_apply]])) - SUM($O63:X63)</f>
        <v>0</v>
      </c>
      <c r="Z63" s="58">
        <f ca="1">Log_2020[[#This Row],[Amount]]/Log_2020[[#This Row],[Split_raw]]*MAX(0,MIN(_xlfn.DAYS(EDATE(Z$1,1),Log_2020[[#This Row],[Date]]),Log_2020[[#This Row],[Split_apply]])) - SUM($O63:Y63)</f>
        <v>0</v>
      </c>
      <c r="AA63" s="58">
        <f ca="1">Log_2020[[#This Row],[Amount]]/Log_2020[[#This Row],[Split_raw]]*MAX(0,MIN(_xlfn.DAYS(EDATE(AA$1,1),Log_2020[[#This Row],[Date]]),Log_2020[[#This Row],[Split_apply]])) - SUM($O63:Z63)</f>
        <v>0</v>
      </c>
      <c r="AB63" s="85">
        <f ca="1">Log_2020[[#This Row],[Amount]]*Log_2020[[#This Row],[Split_apply]]/Log_2020[[#This Row],[Split_raw]]-SUM(O63:AA63)</f>
        <v>0</v>
      </c>
      <c r="AC63" s="74">
        <f>MAX(0,Log_2020[[#This Row],[Split_raw]] - (EDATE(AA$1,1)-Log_2020[[#This Row],[Date]]))</f>
        <v>0</v>
      </c>
    </row>
    <row r="64" spans="1:29" x14ac:dyDescent="0.25">
      <c r="A64" s="37"/>
      <c r="B64" s="34" t="s">
        <v>6</v>
      </c>
      <c r="C64" s="34"/>
      <c r="D64" s="35">
        <v>43925</v>
      </c>
      <c r="E64" s="34"/>
      <c r="F64" s="34" t="s">
        <v>346</v>
      </c>
      <c r="G64" s="34" t="s">
        <v>9</v>
      </c>
      <c r="H64">
        <v>-21.64</v>
      </c>
      <c r="I64" s="36">
        <f>IF(Log_2020[[#This Row],[My Category]]="NONTRACKED",0,Log_2020[[#This Row],[Raw Amount]])</f>
        <v>-21.64</v>
      </c>
      <c r="J64" s="37">
        <f>ABS(Log_2020[[#This Row],[Amount]])</f>
        <v>21.64</v>
      </c>
      <c r="K64" s="38">
        <v>1</v>
      </c>
      <c r="L64" s="38">
        <f ca="1">IF(Log_2020[[#This Row],[Date]]&lt;=TODAY(), MIN(Log_2020[[#This Row],[Split_raw]], TODAY()-Log_2020[[#This Row],[Date]]+1), 0)</f>
        <v>1</v>
      </c>
      <c r="M64" s="34" t="s">
        <v>39</v>
      </c>
      <c r="N64" s="34" t="s">
        <v>158</v>
      </c>
      <c r="O64" s="7"/>
      <c r="P64" s="58">
        <f ca="1">Log_2020[[#This Row],[Amount]]/Log_2020[[#This Row],[Split_raw]]*MAX(0,MIN(_xlfn.DAYS(EDATE(P$1,1),Log_2020[[#This Row],[Date]]),Log_2020[[#This Row],[Split_apply]])) - SUM($O64:O64)</f>
        <v>0</v>
      </c>
      <c r="Q64" s="58">
        <f ca="1">Log_2020[[#This Row],[Amount]]/Log_2020[[#This Row],[Split_raw]]*MAX(0,MIN(_xlfn.DAYS(EDATE(Q$1,1),Log_2020[[#This Row],[Date]]),Log_2020[[#This Row],[Split_apply]])) - SUM($O64:P64)</f>
        <v>0</v>
      </c>
      <c r="R64" s="58">
        <f ca="1">Log_2020[[#This Row],[Amount]]/Log_2020[[#This Row],[Split_raw]]*MAX(0,MIN(_xlfn.DAYS(EDATE(R$1,1),Log_2020[[#This Row],[Date]]),Log_2020[[#This Row],[Split_apply]])) - SUM($O64:Q64)</f>
        <v>0</v>
      </c>
      <c r="S64" s="58">
        <f ca="1">Log_2020[[#This Row],[Amount]]/Log_2020[[#This Row],[Split_raw]]*MAX(0,MIN(_xlfn.DAYS(EDATE(S$1,1),Log_2020[[#This Row],[Date]]),Log_2020[[#This Row],[Split_apply]])) - SUM($O64:R64)</f>
        <v>-21.64</v>
      </c>
      <c r="T64" s="58">
        <f ca="1">Log_2020[[#This Row],[Amount]]/Log_2020[[#This Row],[Split_raw]]*MAX(0,MIN(_xlfn.DAYS(EDATE(T$1,1),Log_2020[[#This Row],[Date]]),Log_2020[[#This Row],[Split_apply]])) - SUM($O64:S64)</f>
        <v>0</v>
      </c>
      <c r="U64" s="58">
        <f ca="1">Log_2020[[#This Row],[Amount]]/Log_2020[[#This Row],[Split_raw]]*MAX(0,MIN(_xlfn.DAYS(EDATE(U$1,1),Log_2020[[#This Row],[Date]]),Log_2020[[#This Row],[Split_apply]])) - SUM($O64:T64)</f>
        <v>0</v>
      </c>
      <c r="V64" s="58">
        <f ca="1">Log_2020[[#This Row],[Amount]]/Log_2020[[#This Row],[Split_raw]]*MAX(0,MIN(_xlfn.DAYS(EDATE(V$1,1),Log_2020[[#This Row],[Date]]),Log_2020[[#This Row],[Split_apply]])) - SUM($O64:U64)</f>
        <v>0</v>
      </c>
      <c r="W64" s="58">
        <f ca="1">Log_2020[[#This Row],[Amount]]/Log_2020[[#This Row],[Split_raw]]*MAX(0,MIN(_xlfn.DAYS(EDATE(W$1,1),Log_2020[[#This Row],[Date]]),Log_2020[[#This Row],[Split_apply]])) - SUM($O64:V64)</f>
        <v>0</v>
      </c>
      <c r="X64" s="58">
        <f ca="1">Log_2020[[#This Row],[Amount]]/Log_2020[[#This Row],[Split_raw]]*MAX(0,MIN(_xlfn.DAYS(EDATE(X$1,1),Log_2020[[#This Row],[Date]]),Log_2020[[#This Row],[Split_apply]])) - SUM($O64:W64)</f>
        <v>0</v>
      </c>
      <c r="Y64" s="58">
        <f ca="1">Log_2020[[#This Row],[Amount]]/Log_2020[[#This Row],[Split_raw]]*MAX(0,MIN(_xlfn.DAYS(EDATE(Y$1,1),Log_2020[[#This Row],[Date]]),Log_2020[[#This Row],[Split_apply]])) - SUM($O64:X64)</f>
        <v>0</v>
      </c>
      <c r="Z64" s="58">
        <f ca="1">Log_2020[[#This Row],[Amount]]/Log_2020[[#This Row],[Split_raw]]*MAX(0,MIN(_xlfn.DAYS(EDATE(Z$1,1),Log_2020[[#This Row],[Date]]),Log_2020[[#This Row],[Split_apply]])) - SUM($O64:Y64)</f>
        <v>0</v>
      </c>
      <c r="AA64" s="58">
        <f ca="1">Log_2020[[#This Row],[Amount]]/Log_2020[[#This Row],[Split_raw]]*MAX(0,MIN(_xlfn.DAYS(EDATE(AA$1,1),Log_2020[[#This Row],[Date]]),Log_2020[[#This Row],[Split_apply]])) - SUM($O64:Z64)</f>
        <v>0</v>
      </c>
      <c r="AB64" s="85">
        <f ca="1">Log_2020[[#This Row],[Amount]]*Log_2020[[#This Row],[Split_apply]]/Log_2020[[#This Row],[Split_raw]]-SUM(O64:AA64)</f>
        <v>0</v>
      </c>
      <c r="AC64" s="74">
        <f>MAX(0,Log_2020[[#This Row],[Split_raw]] - (EDATE(AA$1,1)-Log_2020[[#This Row],[Date]]))</f>
        <v>0</v>
      </c>
    </row>
    <row r="65" spans="1:29" x14ac:dyDescent="0.25">
      <c r="A65" s="37"/>
      <c r="B65" s="34" t="s">
        <v>6</v>
      </c>
      <c r="C65" s="34"/>
      <c r="D65" s="35">
        <v>43923</v>
      </c>
      <c r="E65" s="34"/>
      <c r="F65" s="34" t="s">
        <v>1078</v>
      </c>
      <c r="G65" s="34" t="s">
        <v>25</v>
      </c>
      <c r="H65">
        <v>-36</v>
      </c>
      <c r="I65" s="36">
        <f>IF(Log_2020[[#This Row],[My Category]]="NONTRACKED",0,Log_2020[[#This Row],[Raw Amount]])</f>
        <v>-36</v>
      </c>
      <c r="J65" s="37">
        <f>ABS(Log_2020[[#This Row],[Amount]])</f>
        <v>36</v>
      </c>
      <c r="K65" s="38">
        <v>1</v>
      </c>
      <c r="L65" s="38">
        <f ca="1">IF(Log_2020[[#This Row],[Date]]&lt;=TODAY(), MIN(Log_2020[[#This Row],[Split_raw]], TODAY()-Log_2020[[#This Row],[Date]]+1), 0)</f>
        <v>1</v>
      </c>
      <c r="M65" s="34" t="s">
        <v>35</v>
      </c>
      <c r="N65" s="34" t="s">
        <v>158</v>
      </c>
      <c r="O65" s="7"/>
      <c r="P65" s="58">
        <f ca="1">Log_2020[[#This Row],[Amount]]/Log_2020[[#This Row],[Split_raw]]*MAX(0,MIN(_xlfn.DAYS(EDATE(P$1,1),Log_2020[[#This Row],[Date]]),Log_2020[[#This Row],[Split_apply]])) - SUM($O65:O65)</f>
        <v>0</v>
      </c>
      <c r="Q65" s="58">
        <f ca="1">Log_2020[[#This Row],[Amount]]/Log_2020[[#This Row],[Split_raw]]*MAX(0,MIN(_xlfn.DAYS(EDATE(Q$1,1),Log_2020[[#This Row],[Date]]),Log_2020[[#This Row],[Split_apply]])) - SUM($O65:P65)</f>
        <v>0</v>
      </c>
      <c r="R65" s="58">
        <f ca="1">Log_2020[[#This Row],[Amount]]/Log_2020[[#This Row],[Split_raw]]*MAX(0,MIN(_xlfn.DAYS(EDATE(R$1,1),Log_2020[[#This Row],[Date]]),Log_2020[[#This Row],[Split_apply]])) - SUM($O65:Q65)</f>
        <v>0</v>
      </c>
      <c r="S65" s="58">
        <f ca="1">Log_2020[[#This Row],[Amount]]/Log_2020[[#This Row],[Split_raw]]*MAX(0,MIN(_xlfn.DAYS(EDATE(S$1,1),Log_2020[[#This Row],[Date]]),Log_2020[[#This Row],[Split_apply]])) - SUM($O65:R65)</f>
        <v>-36</v>
      </c>
      <c r="T65" s="58">
        <f ca="1">Log_2020[[#This Row],[Amount]]/Log_2020[[#This Row],[Split_raw]]*MAX(0,MIN(_xlfn.DAYS(EDATE(T$1,1),Log_2020[[#This Row],[Date]]),Log_2020[[#This Row],[Split_apply]])) - SUM($O65:S65)</f>
        <v>0</v>
      </c>
      <c r="U65" s="58">
        <f ca="1">Log_2020[[#This Row],[Amount]]/Log_2020[[#This Row],[Split_raw]]*MAX(0,MIN(_xlfn.DAYS(EDATE(U$1,1),Log_2020[[#This Row],[Date]]),Log_2020[[#This Row],[Split_apply]])) - SUM($O65:T65)</f>
        <v>0</v>
      </c>
      <c r="V65" s="58">
        <f ca="1">Log_2020[[#This Row],[Amount]]/Log_2020[[#This Row],[Split_raw]]*MAX(0,MIN(_xlfn.DAYS(EDATE(V$1,1),Log_2020[[#This Row],[Date]]),Log_2020[[#This Row],[Split_apply]])) - SUM($O65:U65)</f>
        <v>0</v>
      </c>
      <c r="W65" s="58">
        <f ca="1">Log_2020[[#This Row],[Amount]]/Log_2020[[#This Row],[Split_raw]]*MAX(0,MIN(_xlfn.DAYS(EDATE(W$1,1),Log_2020[[#This Row],[Date]]),Log_2020[[#This Row],[Split_apply]])) - SUM($O65:V65)</f>
        <v>0</v>
      </c>
      <c r="X65" s="58">
        <f ca="1">Log_2020[[#This Row],[Amount]]/Log_2020[[#This Row],[Split_raw]]*MAX(0,MIN(_xlfn.DAYS(EDATE(X$1,1),Log_2020[[#This Row],[Date]]),Log_2020[[#This Row],[Split_apply]])) - SUM($O65:W65)</f>
        <v>0</v>
      </c>
      <c r="Y65" s="58">
        <f ca="1">Log_2020[[#This Row],[Amount]]/Log_2020[[#This Row],[Split_raw]]*MAX(0,MIN(_xlfn.DAYS(EDATE(Y$1,1),Log_2020[[#This Row],[Date]]),Log_2020[[#This Row],[Split_apply]])) - SUM($O65:X65)</f>
        <v>0</v>
      </c>
      <c r="Z65" s="58">
        <f ca="1">Log_2020[[#This Row],[Amount]]/Log_2020[[#This Row],[Split_raw]]*MAX(0,MIN(_xlfn.DAYS(EDATE(Z$1,1),Log_2020[[#This Row],[Date]]),Log_2020[[#This Row],[Split_apply]])) - SUM($O65:Y65)</f>
        <v>0</v>
      </c>
      <c r="AA65" s="58">
        <f ca="1">Log_2020[[#This Row],[Amount]]/Log_2020[[#This Row],[Split_raw]]*MAX(0,MIN(_xlfn.DAYS(EDATE(AA$1,1),Log_2020[[#This Row],[Date]]),Log_2020[[#This Row],[Split_apply]])) - SUM($O65:Z65)</f>
        <v>0</v>
      </c>
      <c r="AB65" s="85">
        <f ca="1">Log_2020[[#This Row],[Amount]]*Log_2020[[#This Row],[Split_apply]]/Log_2020[[#This Row],[Split_raw]]-SUM(O65:AA65)</f>
        <v>0</v>
      </c>
      <c r="AC65" s="74">
        <f>MAX(0,Log_2020[[#This Row],[Split_raw]] - (EDATE(AA$1,1)-Log_2020[[#This Row],[Date]]))</f>
        <v>0</v>
      </c>
    </row>
    <row r="66" spans="1:29" x14ac:dyDescent="0.25">
      <c r="A66" s="37"/>
      <c r="B66" s="34" t="s">
        <v>191</v>
      </c>
      <c r="C66" s="34"/>
      <c r="D66" s="35">
        <v>43922</v>
      </c>
      <c r="E66" s="34"/>
      <c r="F66" s="34" t="s">
        <v>527</v>
      </c>
      <c r="G66" s="34" t="s">
        <v>384</v>
      </c>
      <c r="H66">
        <v>-40</v>
      </c>
      <c r="I66" s="36">
        <f>IF(Log_2020[[#This Row],[My Category]]="NONTRACKED",0,Log_2020[[#This Row],[Raw Amount]])</f>
        <v>-40</v>
      </c>
      <c r="J66" s="37">
        <f>ABS(Log_2020[[#This Row],[Amount]])</f>
        <v>40</v>
      </c>
      <c r="K66" s="38">
        <v>30</v>
      </c>
      <c r="L66" s="38">
        <f ca="1">IF(Log_2020[[#This Row],[Date]]&lt;=TODAY(), MIN(Log_2020[[#This Row],[Split_raw]], TODAY()-Log_2020[[#This Row],[Date]]+1), 0)</f>
        <v>30</v>
      </c>
      <c r="M66" s="34" t="s">
        <v>29</v>
      </c>
      <c r="N66" s="34" t="s">
        <v>160</v>
      </c>
      <c r="O66" s="7"/>
      <c r="P66" s="58">
        <f ca="1">Log_2020[[#This Row],[Amount]]/Log_2020[[#This Row],[Split_raw]]*MAX(0,MIN(_xlfn.DAYS(EDATE(P$1,1),Log_2020[[#This Row],[Date]]),Log_2020[[#This Row],[Split_apply]])) - SUM($O66:O66)</f>
        <v>0</v>
      </c>
      <c r="Q66" s="58">
        <f ca="1">Log_2020[[#This Row],[Amount]]/Log_2020[[#This Row],[Split_raw]]*MAX(0,MIN(_xlfn.DAYS(EDATE(Q$1,1),Log_2020[[#This Row],[Date]]),Log_2020[[#This Row],[Split_apply]])) - SUM($O66:P66)</f>
        <v>0</v>
      </c>
      <c r="R66" s="58">
        <f ca="1">Log_2020[[#This Row],[Amount]]/Log_2020[[#This Row],[Split_raw]]*MAX(0,MIN(_xlfn.DAYS(EDATE(R$1,1),Log_2020[[#This Row],[Date]]),Log_2020[[#This Row],[Split_apply]])) - SUM($O66:Q66)</f>
        <v>0</v>
      </c>
      <c r="S66" s="58">
        <f ca="1">Log_2020[[#This Row],[Amount]]/Log_2020[[#This Row],[Split_raw]]*MAX(0,MIN(_xlfn.DAYS(EDATE(S$1,1),Log_2020[[#This Row],[Date]]),Log_2020[[#This Row],[Split_apply]])) - SUM($O66:R66)</f>
        <v>-40</v>
      </c>
      <c r="T66" s="58">
        <f ca="1">Log_2020[[#This Row],[Amount]]/Log_2020[[#This Row],[Split_raw]]*MAX(0,MIN(_xlfn.DAYS(EDATE(T$1,1),Log_2020[[#This Row],[Date]]),Log_2020[[#This Row],[Split_apply]])) - SUM($O66:S66)</f>
        <v>0</v>
      </c>
      <c r="U66" s="58">
        <f ca="1">Log_2020[[#This Row],[Amount]]/Log_2020[[#This Row],[Split_raw]]*MAX(0,MIN(_xlfn.DAYS(EDATE(U$1,1),Log_2020[[#This Row],[Date]]),Log_2020[[#This Row],[Split_apply]])) - SUM($O66:T66)</f>
        <v>0</v>
      </c>
      <c r="V66" s="58">
        <f ca="1">Log_2020[[#This Row],[Amount]]/Log_2020[[#This Row],[Split_raw]]*MAX(0,MIN(_xlfn.DAYS(EDATE(V$1,1),Log_2020[[#This Row],[Date]]),Log_2020[[#This Row],[Split_apply]])) - SUM($O66:U66)</f>
        <v>0</v>
      </c>
      <c r="W66" s="58">
        <f ca="1">Log_2020[[#This Row],[Amount]]/Log_2020[[#This Row],[Split_raw]]*MAX(0,MIN(_xlfn.DAYS(EDATE(W$1,1),Log_2020[[#This Row],[Date]]),Log_2020[[#This Row],[Split_apply]])) - SUM($O66:V66)</f>
        <v>0</v>
      </c>
      <c r="X66" s="58">
        <f ca="1">Log_2020[[#This Row],[Amount]]/Log_2020[[#This Row],[Split_raw]]*MAX(0,MIN(_xlfn.DAYS(EDATE(X$1,1),Log_2020[[#This Row],[Date]]),Log_2020[[#This Row],[Split_apply]])) - SUM($O66:W66)</f>
        <v>0</v>
      </c>
      <c r="Y66" s="58">
        <f ca="1">Log_2020[[#This Row],[Amount]]/Log_2020[[#This Row],[Split_raw]]*MAX(0,MIN(_xlfn.DAYS(EDATE(Y$1,1),Log_2020[[#This Row],[Date]]),Log_2020[[#This Row],[Split_apply]])) - SUM($O66:X66)</f>
        <v>0</v>
      </c>
      <c r="Z66" s="58">
        <f ca="1">Log_2020[[#This Row],[Amount]]/Log_2020[[#This Row],[Split_raw]]*MAX(0,MIN(_xlfn.DAYS(EDATE(Z$1,1),Log_2020[[#This Row],[Date]]),Log_2020[[#This Row],[Split_apply]])) - SUM($O66:Y66)</f>
        <v>0</v>
      </c>
      <c r="AA66" s="58">
        <f ca="1">Log_2020[[#This Row],[Amount]]/Log_2020[[#This Row],[Split_raw]]*MAX(0,MIN(_xlfn.DAYS(EDATE(AA$1,1),Log_2020[[#This Row],[Date]]),Log_2020[[#This Row],[Split_apply]])) - SUM($O66:Z66)</f>
        <v>0</v>
      </c>
      <c r="AB66" s="85">
        <f ca="1">Log_2020[[#This Row],[Amount]]*Log_2020[[#This Row],[Split_apply]]/Log_2020[[#This Row],[Split_raw]]-SUM(O66:AA66)</f>
        <v>0</v>
      </c>
      <c r="AC66" s="74">
        <f>MAX(0,Log_2020[[#This Row],[Split_raw]] - (EDATE(AA$1,1)-Log_2020[[#This Row],[Date]]))</f>
        <v>0</v>
      </c>
    </row>
    <row r="67" spans="1:29" x14ac:dyDescent="0.25">
      <c r="A67" s="37"/>
      <c r="B67" s="34" t="s">
        <v>6</v>
      </c>
      <c r="C67" s="34"/>
      <c r="D67" s="35">
        <v>43922</v>
      </c>
      <c r="E67" t="s">
        <v>960</v>
      </c>
      <c r="F67" s="34" t="s">
        <v>1076</v>
      </c>
      <c r="G67" s="34" t="s">
        <v>82</v>
      </c>
      <c r="H67">
        <v>-320</v>
      </c>
      <c r="I67" s="36">
        <f>IF(Log_2020[[#This Row],[My Category]]="NONTRACKED",0,Log_2020[[#This Row],[Raw Amount]])</f>
        <v>-320</v>
      </c>
      <c r="J67" s="37">
        <f>ABS(Log_2020[[#This Row],[Amount]])</f>
        <v>320</v>
      </c>
      <c r="K67" s="38">
        <v>30</v>
      </c>
      <c r="L67" s="38">
        <f ca="1">IF(Log_2020[[#This Row],[Date]]&lt;=TODAY(), MIN(Log_2020[[#This Row],[Split_raw]], TODAY()-Log_2020[[#This Row],[Date]]+1), 0)</f>
        <v>30</v>
      </c>
      <c r="M67" s="34" t="s">
        <v>93</v>
      </c>
      <c r="N67" s="34" t="s">
        <v>160</v>
      </c>
      <c r="O67" s="7"/>
      <c r="P67" s="58">
        <f ca="1">Log_2020[[#This Row],[Amount]]/Log_2020[[#This Row],[Split_raw]]*MAX(0,MIN(_xlfn.DAYS(EDATE(P$1,1),Log_2020[[#This Row],[Date]]),Log_2020[[#This Row],[Split_apply]])) - SUM($O67:O67)</f>
        <v>0</v>
      </c>
      <c r="Q67" s="58">
        <f ca="1">Log_2020[[#This Row],[Amount]]/Log_2020[[#This Row],[Split_raw]]*MAX(0,MIN(_xlfn.DAYS(EDATE(Q$1,1),Log_2020[[#This Row],[Date]]),Log_2020[[#This Row],[Split_apply]])) - SUM($O67:P67)</f>
        <v>0</v>
      </c>
      <c r="R67" s="58">
        <f ca="1">Log_2020[[#This Row],[Amount]]/Log_2020[[#This Row],[Split_raw]]*MAX(0,MIN(_xlfn.DAYS(EDATE(R$1,1),Log_2020[[#This Row],[Date]]),Log_2020[[#This Row],[Split_apply]])) - SUM($O67:Q67)</f>
        <v>0</v>
      </c>
      <c r="S67" s="58">
        <f ca="1">Log_2020[[#This Row],[Amount]]/Log_2020[[#This Row],[Split_raw]]*MAX(0,MIN(_xlfn.DAYS(EDATE(S$1,1),Log_2020[[#This Row],[Date]]),Log_2020[[#This Row],[Split_apply]])) - SUM($O67:R67)</f>
        <v>-320</v>
      </c>
      <c r="T67" s="58">
        <f ca="1">Log_2020[[#This Row],[Amount]]/Log_2020[[#This Row],[Split_raw]]*MAX(0,MIN(_xlfn.DAYS(EDATE(T$1,1),Log_2020[[#This Row],[Date]]),Log_2020[[#This Row],[Split_apply]])) - SUM($O67:S67)</f>
        <v>0</v>
      </c>
      <c r="U67" s="58">
        <f ca="1">Log_2020[[#This Row],[Amount]]/Log_2020[[#This Row],[Split_raw]]*MAX(0,MIN(_xlfn.DAYS(EDATE(U$1,1),Log_2020[[#This Row],[Date]]),Log_2020[[#This Row],[Split_apply]])) - SUM($O67:T67)</f>
        <v>0</v>
      </c>
      <c r="V67" s="58">
        <f ca="1">Log_2020[[#This Row],[Amount]]/Log_2020[[#This Row],[Split_raw]]*MAX(0,MIN(_xlfn.DAYS(EDATE(V$1,1),Log_2020[[#This Row],[Date]]),Log_2020[[#This Row],[Split_apply]])) - SUM($O67:U67)</f>
        <v>0</v>
      </c>
      <c r="W67" s="58">
        <f ca="1">Log_2020[[#This Row],[Amount]]/Log_2020[[#This Row],[Split_raw]]*MAX(0,MIN(_xlfn.DAYS(EDATE(W$1,1),Log_2020[[#This Row],[Date]]),Log_2020[[#This Row],[Split_apply]])) - SUM($O67:V67)</f>
        <v>0</v>
      </c>
      <c r="X67" s="58">
        <f ca="1">Log_2020[[#This Row],[Amount]]/Log_2020[[#This Row],[Split_raw]]*MAX(0,MIN(_xlfn.DAYS(EDATE(X$1,1),Log_2020[[#This Row],[Date]]),Log_2020[[#This Row],[Split_apply]])) - SUM($O67:W67)</f>
        <v>0</v>
      </c>
      <c r="Y67" s="58">
        <f ca="1">Log_2020[[#This Row],[Amount]]/Log_2020[[#This Row],[Split_raw]]*MAX(0,MIN(_xlfn.DAYS(EDATE(Y$1,1),Log_2020[[#This Row],[Date]]),Log_2020[[#This Row],[Split_apply]])) - SUM($O67:X67)</f>
        <v>0</v>
      </c>
      <c r="Z67" s="58">
        <f ca="1">Log_2020[[#This Row],[Amount]]/Log_2020[[#This Row],[Split_raw]]*MAX(0,MIN(_xlfn.DAYS(EDATE(Z$1,1),Log_2020[[#This Row],[Date]]),Log_2020[[#This Row],[Split_apply]])) - SUM($O67:Y67)</f>
        <v>0</v>
      </c>
      <c r="AA67" s="58">
        <f ca="1">Log_2020[[#This Row],[Amount]]/Log_2020[[#This Row],[Split_raw]]*MAX(0,MIN(_xlfn.DAYS(EDATE(AA$1,1),Log_2020[[#This Row],[Date]]),Log_2020[[#This Row],[Split_apply]])) - SUM($O67:Z67)</f>
        <v>0</v>
      </c>
      <c r="AB67" s="85">
        <f ca="1">Log_2020[[#This Row],[Amount]]*Log_2020[[#This Row],[Split_apply]]/Log_2020[[#This Row],[Split_raw]]-SUM(O67:AA67)</f>
        <v>0</v>
      </c>
      <c r="AC67" s="74">
        <f>MAX(0,Log_2020[[#This Row],[Split_raw]] - (EDATE(AA$1,1)-Log_2020[[#This Row],[Date]]))</f>
        <v>0</v>
      </c>
    </row>
    <row r="68" spans="1:29" x14ac:dyDescent="0.25">
      <c r="A68" s="37"/>
      <c r="B68" s="34" t="s">
        <v>191</v>
      </c>
      <c r="C68" s="34"/>
      <c r="D68" s="35">
        <v>43922</v>
      </c>
      <c r="E68" t="s">
        <v>960</v>
      </c>
      <c r="F68" s="34" t="s">
        <v>527</v>
      </c>
      <c r="G68" s="34" t="s">
        <v>384</v>
      </c>
      <c r="H68">
        <v>-1650</v>
      </c>
      <c r="I68" s="36">
        <f>IF(Log_2020[[#This Row],[My Category]]="NONTRACKED",0,Log_2020[[#This Row],[Raw Amount]])</f>
        <v>-1650</v>
      </c>
      <c r="J68" s="37">
        <f>ABS(Log_2020[[#This Row],[Amount]])</f>
        <v>1650</v>
      </c>
      <c r="K68" s="38">
        <v>30</v>
      </c>
      <c r="L68" s="38">
        <f ca="1">IF(Log_2020[[#This Row],[Date]]&lt;=TODAY(), MIN(Log_2020[[#This Row],[Split_raw]], TODAY()-Log_2020[[#This Row],[Date]]+1), 0)</f>
        <v>30</v>
      </c>
      <c r="M68" s="34" t="s">
        <v>28</v>
      </c>
      <c r="N68" s="34" t="s">
        <v>160</v>
      </c>
      <c r="O68" s="7"/>
      <c r="P68" s="58">
        <f ca="1">Log_2020[[#This Row],[Amount]]/Log_2020[[#This Row],[Split_raw]]*MAX(0,MIN(_xlfn.DAYS(EDATE(P$1,1),Log_2020[[#This Row],[Date]]),Log_2020[[#This Row],[Split_apply]])) - SUM($O68:O68)</f>
        <v>0</v>
      </c>
      <c r="Q68" s="58">
        <f ca="1">Log_2020[[#This Row],[Amount]]/Log_2020[[#This Row],[Split_raw]]*MAX(0,MIN(_xlfn.DAYS(EDATE(Q$1,1),Log_2020[[#This Row],[Date]]),Log_2020[[#This Row],[Split_apply]])) - SUM($O68:P68)</f>
        <v>0</v>
      </c>
      <c r="R68" s="58">
        <f ca="1">Log_2020[[#This Row],[Amount]]/Log_2020[[#This Row],[Split_raw]]*MAX(0,MIN(_xlfn.DAYS(EDATE(R$1,1),Log_2020[[#This Row],[Date]]),Log_2020[[#This Row],[Split_apply]])) - SUM($O68:Q68)</f>
        <v>0</v>
      </c>
      <c r="S68" s="58">
        <f ca="1">Log_2020[[#This Row],[Amount]]/Log_2020[[#This Row],[Split_raw]]*MAX(0,MIN(_xlfn.DAYS(EDATE(S$1,1),Log_2020[[#This Row],[Date]]),Log_2020[[#This Row],[Split_apply]])) - SUM($O68:R68)</f>
        <v>-1650</v>
      </c>
      <c r="T68" s="58">
        <f ca="1">Log_2020[[#This Row],[Amount]]/Log_2020[[#This Row],[Split_raw]]*MAX(0,MIN(_xlfn.DAYS(EDATE(T$1,1),Log_2020[[#This Row],[Date]]),Log_2020[[#This Row],[Split_apply]])) - SUM($O68:S68)</f>
        <v>0</v>
      </c>
      <c r="U68" s="58">
        <f ca="1">Log_2020[[#This Row],[Amount]]/Log_2020[[#This Row],[Split_raw]]*MAX(0,MIN(_xlfn.DAYS(EDATE(U$1,1),Log_2020[[#This Row],[Date]]),Log_2020[[#This Row],[Split_apply]])) - SUM($O68:T68)</f>
        <v>0</v>
      </c>
      <c r="V68" s="58">
        <f ca="1">Log_2020[[#This Row],[Amount]]/Log_2020[[#This Row],[Split_raw]]*MAX(0,MIN(_xlfn.DAYS(EDATE(V$1,1),Log_2020[[#This Row],[Date]]),Log_2020[[#This Row],[Split_apply]])) - SUM($O68:U68)</f>
        <v>0</v>
      </c>
      <c r="W68" s="58">
        <f ca="1">Log_2020[[#This Row],[Amount]]/Log_2020[[#This Row],[Split_raw]]*MAX(0,MIN(_xlfn.DAYS(EDATE(W$1,1),Log_2020[[#This Row],[Date]]),Log_2020[[#This Row],[Split_apply]])) - SUM($O68:V68)</f>
        <v>0</v>
      </c>
      <c r="X68" s="58">
        <f ca="1">Log_2020[[#This Row],[Amount]]/Log_2020[[#This Row],[Split_raw]]*MAX(0,MIN(_xlfn.DAYS(EDATE(X$1,1),Log_2020[[#This Row],[Date]]),Log_2020[[#This Row],[Split_apply]])) - SUM($O68:W68)</f>
        <v>0</v>
      </c>
      <c r="Y68" s="58">
        <f ca="1">Log_2020[[#This Row],[Amount]]/Log_2020[[#This Row],[Split_raw]]*MAX(0,MIN(_xlfn.DAYS(EDATE(Y$1,1),Log_2020[[#This Row],[Date]]),Log_2020[[#This Row],[Split_apply]])) - SUM($O68:X68)</f>
        <v>0</v>
      </c>
      <c r="Z68" s="58">
        <f ca="1">Log_2020[[#This Row],[Amount]]/Log_2020[[#This Row],[Split_raw]]*MAX(0,MIN(_xlfn.DAYS(EDATE(Z$1,1),Log_2020[[#This Row],[Date]]),Log_2020[[#This Row],[Split_apply]])) - SUM($O68:Y68)</f>
        <v>0</v>
      </c>
      <c r="AA68" s="58">
        <f ca="1">Log_2020[[#This Row],[Amount]]/Log_2020[[#This Row],[Split_raw]]*MAX(0,MIN(_xlfn.DAYS(EDATE(AA$1,1),Log_2020[[#This Row],[Date]]),Log_2020[[#This Row],[Split_apply]])) - SUM($O68:Z68)</f>
        <v>0</v>
      </c>
      <c r="AB68" s="85">
        <f ca="1">Log_2020[[#This Row],[Amount]]*Log_2020[[#This Row],[Split_apply]]/Log_2020[[#This Row],[Split_raw]]-SUM(O68:AA68)</f>
        <v>0</v>
      </c>
      <c r="AC68" s="74">
        <f>MAX(0,Log_2020[[#This Row],[Split_raw]] - (EDATE(AA$1,1)-Log_2020[[#This Row],[Date]]))</f>
        <v>0</v>
      </c>
    </row>
    <row r="69" spans="1:29" x14ac:dyDescent="0.25">
      <c r="A69" s="37"/>
      <c r="B69" s="34" t="s">
        <v>6</v>
      </c>
      <c r="C69" s="34"/>
      <c r="D69" s="35">
        <v>43921</v>
      </c>
      <c r="E69" s="34"/>
      <c r="F69" s="34" t="s">
        <v>1079</v>
      </c>
      <c r="G69" s="34" t="s">
        <v>25</v>
      </c>
      <c r="H69">
        <v>-32</v>
      </c>
      <c r="I69" s="36">
        <f>IF(Log_2020[[#This Row],[My Category]]="NONTRACKED",0,Log_2020[[#This Row],[Raw Amount]])</f>
        <v>-32</v>
      </c>
      <c r="J69" s="37">
        <f>ABS(Log_2020[[#This Row],[Amount]])</f>
        <v>32</v>
      </c>
      <c r="K69" s="38">
        <v>1</v>
      </c>
      <c r="L69" s="38">
        <f ca="1">IF(Log_2020[[#This Row],[Date]]&lt;=TODAY(), MIN(Log_2020[[#This Row],[Split_raw]], TODAY()-Log_2020[[#This Row],[Date]]+1), 0)</f>
        <v>1</v>
      </c>
      <c r="M69" s="34" t="s">
        <v>35</v>
      </c>
      <c r="N69" s="34" t="s">
        <v>158</v>
      </c>
      <c r="O69" s="7"/>
      <c r="P69" s="58">
        <f ca="1">Log_2020[[#This Row],[Amount]]/Log_2020[[#This Row],[Split_raw]]*MAX(0,MIN(_xlfn.DAYS(EDATE(P$1,1),Log_2020[[#This Row],[Date]]),Log_2020[[#This Row],[Split_apply]])) - SUM($O69:O69)</f>
        <v>0</v>
      </c>
      <c r="Q69" s="58">
        <f ca="1">Log_2020[[#This Row],[Amount]]/Log_2020[[#This Row],[Split_raw]]*MAX(0,MIN(_xlfn.DAYS(EDATE(Q$1,1),Log_2020[[#This Row],[Date]]),Log_2020[[#This Row],[Split_apply]])) - SUM($O69:P69)</f>
        <v>0</v>
      </c>
      <c r="R69" s="58">
        <f ca="1">Log_2020[[#This Row],[Amount]]/Log_2020[[#This Row],[Split_raw]]*MAX(0,MIN(_xlfn.DAYS(EDATE(R$1,1),Log_2020[[#This Row],[Date]]),Log_2020[[#This Row],[Split_apply]])) - SUM($O69:Q69)</f>
        <v>-32</v>
      </c>
      <c r="S69" s="58">
        <f ca="1">Log_2020[[#This Row],[Amount]]/Log_2020[[#This Row],[Split_raw]]*MAX(0,MIN(_xlfn.DAYS(EDATE(S$1,1),Log_2020[[#This Row],[Date]]),Log_2020[[#This Row],[Split_apply]])) - SUM($O69:R69)</f>
        <v>0</v>
      </c>
      <c r="T69" s="58">
        <f ca="1">Log_2020[[#This Row],[Amount]]/Log_2020[[#This Row],[Split_raw]]*MAX(0,MIN(_xlfn.DAYS(EDATE(T$1,1),Log_2020[[#This Row],[Date]]),Log_2020[[#This Row],[Split_apply]])) - SUM($O69:S69)</f>
        <v>0</v>
      </c>
      <c r="U69" s="58">
        <f ca="1">Log_2020[[#This Row],[Amount]]/Log_2020[[#This Row],[Split_raw]]*MAX(0,MIN(_xlfn.DAYS(EDATE(U$1,1),Log_2020[[#This Row],[Date]]),Log_2020[[#This Row],[Split_apply]])) - SUM($O69:T69)</f>
        <v>0</v>
      </c>
      <c r="V69" s="58">
        <f ca="1">Log_2020[[#This Row],[Amount]]/Log_2020[[#This Row],[Split_raw]]*MAX(0,MIN(_xlfn.DAYS(EDATE(V$1,1),Log_2020[[#This Row],[Date]]),Log_2020[[#This Row],[Split_apply]])) - SUM($O69:U69)</f>
        <v>0</v>
      </c>
      <c r="W69" s="58">
        <f ca="1">Log_2020[[#This Row],[Amount]]/Log_2020[[#This Row],[Split_raw]]*MAX(0,MIN(_xlfn.DAYS(EDATE(W$1,1),Log_2020[[#This Row],[Date]]),Log_2020[[#This Row],[Split_apply]])) - SUM($O69:V69)</f>
        <v>0</v>
      </c>
      <c r="X69" s="58">
        <f ca="1">Log_2020[[#This Row],[Amount]]/Log_2020[[#This Row],[Split_raw]]*MAX(0,MIN(_xlfn.DAYS(EDATE(X$1,1),Log_2020[[#This Row],[Date]]),Log_2020[[#This Row],[Split_apply]])) - SUM($O69:W69)</f>
        <v>0</v>
      </c>
      <c r="Y69" s="58">
        <f ca="1">Log_2020[[#This Row],[Amount]]/Log_2020[[#This Row],[Split_raw]]*MAX(0,MIN(_xlfn.DAYS(EDATE(Y$1,1),Log_2020[[#This Row],[Date]]),Log_2020[[#This Row],[Split_apply]])) - SUM($O69:X69)</f>
        <v>0</v>
      </c>
      <c r="Z69" s="58">
        <f ca="1">Log_2020[[#This Row],[Amount]]/Log_2020[[#This Row],[Split_raw]]*MAX(0,MIN(_xlfn.DAYS(EDATE(Z$1,1),Log_2020[[#This Row],[Date]]),Log_2020[[#This Row],[Split_apply]])) - SUM($O69:Y69)</f>
        <v>0</v>
      </c>
      <c r="AA69" s="58">
        <f ca="1">Log_2020[[#This Row],[Amount]]/Log_2020[[#This Row],[Split_raw]]*MAX(0,MIN(_xlfn.DAYS(EDATE(AA$1,1),Log_2020[[#This Row],[Date]]),Log_2020[[#This Row],[Split_apply]])) - SUM($O69:Z69)</f>
        <v>0</v>
      </c>
      <c r="AB69" s="85">
        <f ca="1">Log_2020[[#This Row],[Amount]]*Log_2020[[#This Row],[Split_apply]]/Log_2020[[#This Row],[Split_raw]]-SUM(O69:AA69)</f>
        <v>0</v>
      </c>
      <c r="AC69" s="74">
        <f>MAX(0,Log_2020[[#This Row],[Split_raw]] - (EDATE(AA$1,1)-Log_2020[[#This Row],[Date]]))</f>
        <v>0</v>
      </c>
    </row>
    <row r="70" spans="1:29" x14ac:dyDescent="0.25">
      <c r="A70" s="37"/>
      <c r="B70" s="34" t="s">
        <v>6</v>
      </c>
      <c r="C70" s="34"/>
      <c r="D70" s="35">
        <v>43920</v>
      </c>
      <c r="E70" s="34"/>
      <c r="F70" s="34" t="s">
        <v>16</v>
      </c>
      <c r="G70" s="34" t="s">
        <v>17</v>
      </c>
      <c r="H70">
        <f>--0.22</f>
        <v>0.22</v>
      </c>
      <c r="I70" s="36">
        <f>IF(Log_2020[[#This Row],[My Category]]="NONTRACKED",0,Log_2020[[#This Row],[Raw Amount]])</f>
        <v>0.22</v>
      </c>
      <c r="J70" s="37">
        <f>ABS(Log_2020[[#This Row],[Amount]])</f>
        <v>0.22</v>
      </c>
      <c r="K70" s="38">
        <v>1</v>
      </c>
      <c r="L70" s="38">
        <f ca="1">IF(Log_2020[[#This Row],[Date]]&lt;=TODAY(), MIN(Log_2020[[#This Row],[Split_raw]], TODAY()-Log_2020[[#This Row],[Date]]+1), 0)</f>
        <v>1</v>
      </c>
      <c r="M70" s="34" t="s">
        <v>144</v>
      </c>
      <c r="N70" s="34" t="s">
        <v>160</v>
      </c>
      <c r="O70" s="7"/>
      <c r="P70" s="58">
        <f ca="1">Log_2020[[#This Row],[Amount]]/Log_2020[[#This Row],[Split_raw]]*MAX(0,MIN(_xlfn.DAYS(EDATE(P$1,1),Log_2020[[#This Row],[Date]]),Log_2020[[#This Row],[Split_apply]])) - SUM($O70:O70)</f>
        <v>0</v>
      </c>
      <c r="Q70" s="58">
        <f ca="1">Log_2020[[#This Row],[Amount]]/Log_2020[[#This Row],[Split_raw]]*MAX(0,MIN(_xlfn.DAYS(EDATE(Q$1,1),Log_2020[[#This Row],[Date]]),Log_2020[[#This Row],[Split_apply]])) - SUM($O70:P70)</f>
        <v>0</v>
      </c>
      <c r="R70" s="58">
        <f ca="1">Log_2020[[#This Row],[Amount]]/Log_2020[[#This Row],[Split_raw]]*MAX(0,MIN(_xlfn.DAYS(EDATE(R$1,1),Log_2020[[#This Row],[Date]]),Log_2020[[#This Row],[Split_apply]])) - SUM($O70:Q70)</f>
        <v>0.22</v>
      </c>
      <c r="S70" s="58">
        <f ca="1">Log_2020[[#This Row],[Amount]]/Log_2020[[#This Row],[Split_raw]]*MAX(0,MIN(_xlfn.DAYS(EDATE(S$1,1),Log_2020[[#This Row],[Date]]),Log_2020[[#This Row],[Split_apply]])) - SUM($O70:R70)</f>
        <v>0</v>
      </c>
      <c r="T70" s="58">
        <f ca="1">Log_2020[[#This Row],[Amount]]/Log_2020[[#This Row],[Split_raw]]*MAX(0,MIN(_xlfn.DAYS(EDATE(T$1,1),Log_2020[[#This Row],[Date]]),Log_2020[[#This Row],[Split_apply]])) - SUM($O70:S70)</f>
        <v>0</v>
      </c>
      <c r="U70" s="58">
        <f ca="1">Log_2020[[#This Row],[Amount]]/Log_2020[[#This Row],[Split_raw]]*MAX(0,MIN(_xlfn.DAYS(EDATE(U$1,1),Log_2020[[#This Row],[Date]]),Log_2020[[#This Row],[Split_apply]])) - SUM($O70:T70)</f>
        <v>0</v>
      </c>
      <c r="V70" s="58">
        <f ca="1">Log_2020[[#This Row],[Amount]]/Log_2020[[#This Row],[Split_raw]]*MAX(0,MIN(_xlfn.DAYS(EDATE(V$1,1),Log_2020[[#This Row],[Date]]),Log_2020[[#This Row],[Split_apply]])) - SUM($O70:U70)</f>
        <v>0</v>
      </c>
      <c r="W70" s="58">
        <f ca="1">Log_2020[[#This Row],[Amount]]/Log_2020[[#This Row],[Split_raw]]*MAX(0,MIN(_xlfn.DAYS(EDATE(W$1,1),Log_2020[[#This Row],[Date]]),Log_2020[[#This Row],[Split_apply]])) - SUM($O70:V70)</f>
        <v>0</v>
      </c>
      <c r="X70" s="58">
        <f ca="1">Log_2020[[#This Row],[Amount]]/Log_2020[[#This Row],[Split_raw]]*MAX(0,MIN(_xlfn.DAYS(EDATE(X$1,1),Log_2020[[#This Row],[Date]]),Log_2020[[#This Row],[Split_apply]])) - SUM($O70:W70)</f>
        <v>0</v>
      </c>
      <c r="Y70" s="58">
        <f ca="1">Log_2020[[#This Row],[Amount]]/Log_2020[[#This Row],[Split_raw]]*MAX(0,MIN(_xlfn.DAYS(EDATE(Y$1,1),Log_2020[[#This Row],[Date]]),Log_2020[[#This Row],[Split_apply]])) - SUM($O70:X70)</f>
        <v>0</v>
      </c>
      <c r="Z70" s="58">
        <f ca="1">Log_2020[[#This Row],[Amount]]/Log_2020[[#This Row],[Split_raw]]*MAX(0,MIN(_xlfn.DAYS(EDATE(Z$1,1),Log_2020[[#This Row],[Date]]),Log_2020[[#This Row],[Split_apply]])) - SUM($O70:Y70)</f>
        <v>0</v>
      </c>
      <c r="AA70" s="58">
        <f ca="1">Log_2020[[#This Row],[Amount]]/Log_2020[[#This Row],[Split_raw]]*MAX(0,MIN(_xlfn.DAYS(EDATE(AA$1,1),Log_2020[[#This Row],[Date]]),Log_2020[[#This Row],[Split_apply]])) - SUM($O70:Z70)</f>
        <v>0</v>
      </c>
      <c r="AB70" s="85">
        <f ca="1">Log_2020[[#This Row],[Amount]]*Log_2020[[#This Row],[Split_apply]]/Log_2020[[#This Row],[Split_raw]]-SUM(O70:AA70)</f>
        <v>0</v>
      </c>
      <c r="AC70" s="74">
        <f>MAX(0,Log_2020[[#This Row],[Split_raw]] - (EDATE(AA$1,1)-Log_2020[[#This Row],[Date]]))</f>
        <v>0</v>
      </c>
    </row>
    <row r="71" spans="1:29" x14ac:dyDescent="0.25">
      <c r="A71" s="37"/>
      <c r="B71" s="34" t="s">
        <v>6</v>
      </c>
      <c r="C71" s="34"/>
      <c r="D71" s="35">
        <v>43917</v>
      </c>
      <c r="E71" s="34" t="s">
        <v>1083</v>
      </c>
      <c r="F71" s="34" t="s">
        <v>1080</v>
      </c>
      <c r="G71" s="34" t="s">
        <v>11</v>
      </c>
      <c r="H71">
        <v>-43.14</v>
      </c>
      <c r="I71" s="36">
        <f>IF(Log_2020[[#This Row],[My Category]]="NONTRACKED",0,Log_2020[[#This Row],[Raw Amount]])</f>
        <v>-43.14</v>
      </c>
      <c r="J71" s="37">
        <f>ABS(Log_2020[[#This Row],[Amount]])</f>
        <v>43.14</v>
      </c>
      <c r="K71" s="38">
        <v>1</v>
      </c>
      <c r="L71" s="38">
        <f ca="1">IF(Log_2020[[#This Row],[Date]]&lt;=TODAY(), MIN(Log_2020[[#This Row],[Split_raw]], TODAY()-Log_2020[[#This Row],[Date]]+1), 0)</f>
        <v>1</v>
      </c>
      <c r="M71" s="34" t="s">
        <v>145</v>
      </c>
      <c r="N71" s="34" t="s">
        <v>158</v>
      </c>
      <c r="O71" s="7"/>
      <c r="P71" s="58">
        <f ca="1">Log_2020[[#This Row],[Amount]]/Log_2020[[#This Row],[Split_raw]]*MAX(0,MIN(_xlfn.DAYS(EDATE(P$1,1),Log_2020[[#This Row],[Date]]),Log_2020[[#This Row],[Split_apply]])) - SUM($O71:O71)</f>
        <v>0</v>
      </c>
      <c r="Q71" s="58">
        <f ca="1">Log_2020[[#This Row],[Amount]]/Log_2020[[#This Row],[Split_raw]]*MAX(0,MIN(_xlfn.DAYS(EDATE(Q$1,1),Log_2020[[#This Row],[Date]]),Log_2020[[#This Row],[Split_apply]])) - SUM($O71:P71)</f>
        <v>0</v>
      </c>
      <c r="R71" s="58">
        <f ca="1">Log_2020[[#This Row],[Amount]]/Log_2020[[#This Row],[Split_raw]]*MAX(0,MIN(_xlfn.DAYS(EDATE(R$1,1),Log_2020[[#This Row],[Date]]),Log_2020[[#This Row],[Split_apply]])) - SUM($O71:Q71)</f>
        <v>-43.14</v>
      </c>
      <c r="S71" s="58">
        <f ca="1">Log_2020[[#This Row],[Amount]]/Log_2020[[#This Row],[Split_raw]]*MAX(0,MIN(_xlfn.DAYS(EDATE(S$1,1),Log_2020[[#This Row],[Date]]),Log_2020[[#This Row],[Split_apply]])) - SUM($O71:R71)</f>
        <v>0</v>
      </c>
      <c r="T71" s="58">
        <f ca="1">Log_2020[[#This Row],[Amount]]/Log_2020[[#This Row],[Split_raw]]*MAX(0,MIN(_xlfn.DAYS(EDATE(T$1,1),Log_2020[[#This Row],[Date]]),Log_2020[[#This Row],[Split_apply]])) - SUM($O71:S71)</f>
        <v>0</v>
      </c>
      <c r="U71" s="58">
        <f ca="1">Log_2020[[#This Row],[Amount]]/Log_2020[[#This Row],[Split_raw]]*MAX(0,MIN(_xlfn.DAYS(EDATE(U$1,1),Log_2020[[#This Row],[Date]]),Log_2020[[#This Row],[Split_apply]])) - SUM($O71:T71)</f>
        <v>0</v>
      </c>
      <c r="V71" s="58">
        <f ca="1">Log_2020[[#This Row],[Amount]]/Log_2020[[#This Row],[Split_raw]]*MAX(0,MIN(_xlfn.DAYS(EDATE(V$1,1),Log_2020[[#This Row],[Date]]),Log_2020[[#This Row],[Split_apply]])) - SUM($O71:U71)</f>
        <v>0</v>
      </c>
      <c r="W71" s="58">
        <f ca="1">Log_2020[[#This Row],[Amount]]/Log_2020[[#This Row],[Split_raw]]*MAX(0,MIN(_xlfn.DAYS(EDATE(W$1,1),Log_2020[[#This Row],[Date]]),Log_2020[[#This Row],[Split_apply]])) - SUM($O71:V71)</f>
        <v>0</v>
      </c>
      <c r="X71" s="58">
        <f ca="1">Log_2020[[#This Row],[Amount]]/Log_2020[[#This Row],[Split_raw]]*MAX(0,MIN(_xlfn.DAYS(EDATE(X$1,1),Log_2020[[#This Row],[Date]]),Log_2020[[#This Row],[Split_apply]])) - SUM($O71:W71)</f>
        <v>0</v>
      </c>
      <c r="Y71" s="58">
        <f ca="1">Log_2020[[#This Row],[Amount]]/Log_2020[[#This Row],[Split_raw]]*MAX(0,MIN(_xlfn.DAYS(EDATE(Y$1,1),Log_2020[[#This Row],[Date]]),Log_2020[[#This Row],[Split_apply]])) - SUM($O71:X71)</f>
        <v>0</v>
      </c>
      <c r="Z71" s="58">
        <f ca="1">Log_2020[[#This Row],[Amount]]/Log_2020[[#This Row],[Split_raw]]*MAX(0,MIN(_xlfn.DAYS(EDATE(Z$1,1),Log_2020[[#This Row],[Date]]),Log_2020[[#This Row],[Split_apply]])) - SUM($O71:Y71)</f>
        <v>0</v>
      </c>
      <c r="AA71" s="58">
        <f ca="1">Log_2020[[#This Row],[Amount]]/Log_2020[[#This Row],[Split_raw]]*MAX(0,MIN(_xlfn.DAYS(EDATE(AA$1,1),Log_2020[[#This Row],[Date]]),Log_2020[[#This Row],[Split_apply]])) - SUM($O71:Z71)</f>
        <v>0</v>
      </c>
      <c r="AB71" s="85">
        <f ca="1">Log_2020[[#This Row],[Amount]]*Log_2020[[#This Row],[Split_apply]]/Log_2020[[#This Row],[Split_raw]]-SUM(O71:AA71)</f>
        <v>0</v>
      </c>
      <c r="AC71" s="74">
        <f>MAX(0,Log_2020[[#This Row],[Split_raw]] - (EDATE(AA$1,1)-Log_2020[[#This Row],[Date]]))</f>
        <v>0</v>
      </c>
    </row>
    <row r="72" spans="1:29" x14ac:dyDescent="0.25">
      <c r="A72" s="37"/>
      <c r="B72" s="34" t="s">
        <v>6</v>
      </c>
      <c r="C72" s="34"/>
      <c r="D72" s="35">
        <v>43916</v>
      </c>
      <c r="E72" s="34"/>
      <c r="F72" s="34" t="s">
        <v>607</v>
      </c>
      <c r="G72" s="34" t="s">
        <v>747</v>
      </c>
      <c r="H72">
        <f>--1902.8</f>
        <v>1902.8</v>
      </c>
      <c r="I72" s="36">
        <f>IF(Log_2020[[#This Row],[My Category]]="NONTRACKED",0,Log_2020[[#This Row],[Raw Amount]])</f>
        <v>1902.8</v>
      </c>
      <c r="J72" s="37">
        <f>ABS(Log_2020[[#This Row],[Amount]])</f>
        <v>1902.8</v>
      </c>
      <c r="K72" s="38">
        <v>14</v>
      </c>
      <c r="L72" s="38">
        <f ca="1">IF(Log_2020[[#This Row],[Date]]&lt;=TODAY(), MIN(Log_2020[[#This Row],[Split_raw]], TODAY()-Log_2020[[#This Row],[Date]]+1), 0)</f>
        <v>14</v>
      </c>
      <c r="M72" s="34" t="s">
        <v>91</v>
      </c>
      <c r="N72" s="34" t="s">
        <v>160</v>
      </c>
      <c r="O72" s="7"/>
      <c r="P72" s="58">
        <f ca="1">Log_2020[[#This Row],[Amount]]/Log_2020[[#This Row],[Split_raw]]*MAX(0,MIN(_xlfn.DAYS(EDATE(P$1,1),Log_2020[[#This Row],[Date]]),Log_2020[[#This Row],[Split_apply]])) - SUM($O72:O72)</f>
        <v>0</v>
      </c>
      <c r="Q72" s="58">
        <f ca="1">Log_2020[[#This Row],[Amount]]/Log_2020[[#This Row],[Split_raw]]*MAX(0,MIN(_xlfn.DAYS(EDATE(Q$1,1),Log_2020[[#This Row],[Date]]),Log_2020[[#This Row],[Split_apply]])) - SUM($O72:P72)</f>
        <v>0</v>
      </c>
      <c r="R72" s="58">
        <f ca="1">Log_2020[[#This Row],[Amount]]/Log_2020[[#This Row],[Split_raw]]*MAX(0,MIN(_xlfn.DAYS(EDATE(R$1,1),Log_2020[[#This Row],[Date]]),Log_2020[[#This Row],[Split_apply]])) - SUM($O72:Q72)</f>
        <v>815.48571428571427</v>
      </c>
      <c r="S72" s="58">
        <f ca="1">Log_2020[[#This Row],[Amount]]/Log_2020[[#This Row],[Split_raw]]*MAX(0,MIN(_xlfn.DAYS(EDATE(S$1,1),Log_2020[[#This Row],[Date]]),Log_2020[[#This Row],[Split_apply]])) - SUM($O72:R72)</f>
        <v>1087.3142857142857</v>
      </c>
      <c r="T72" s="58">
        <f ca="1">Log_2020[[#This Row],[Amount]]/Log_2020[[#This Row],[Split_raw]]*MAX(0,MIN(_xlfn.DAYS(EDATE(T$1,1),Log_2020[[#This Row],[Date]]),Log_2020[[#This Row],[Split_apply]])) - SUM($O72:S72)</f>
        <v>0</v>
      </c>
      <c r="U72" s="58">
        <f ca="1">Log_2020[[#This Row],[Amount]]/Log_2020[[#This Row],[Split_raw]]*MAX(0,MIN(_xlfn.DAYS(EDATE(U$1,1),Log_2020[[#This Row],[Date]]),Log_2020[[#This Row],[Split_apply]])) - SUM($O72:T72)</f>
        <v>0</v>
      </c>
      <c r="V72" s="58">
        <f ca="1">Log_2020[[#This Row],[Amount]]/Log_2020[[#This Row],[Split_raw]]*MAX(0,MIN(_xlfn.DAYS(EDATE(V$1,1),Log_2020[[#This Row],[Date]]),Log_2020[[#This Row],[Split_apply]])) - SUM($O72:U72)</f>
        <v>0</v>
      </c>
      <c r="W72" s="58">
        <f ca="1">Log_2020[[#This Row],[Amount]]/Log_2020[[#This Row],[Split_raw]]*MAX(0,MIN(_xlfn.DAYS(EDATE(W$1,1),Log_2020[[#This Row],[Date]]),Log_2020[[#This Row],[Split_apply]])) - SUM($O72:V72)</f>
        <v>0</v>
      </c>
      <c r="X72" s="58">
        <f ca="1">Log_2020[[#This Row],[Amount]]/Log_2020[[#This Row],[Split_raw]]*MAX(0,MIN(_xlfn.DAYS(EDATE(X$1,1),Log_2020[[#This Row],[Date]]),Log_2020[[#This Row],[Split_apply]])) - SUM($O72:W72)</f>
        <v>0</v>
      </c>
      <c r="Y72" s="58">
        <f ca="1">Log_2020[[#This Row],[Amount]]/Log_2020[[#This Row],[Split_raw]]*MAX(0,MIN(_xlfn.DAYS(EDATE(Y$1,1),Log_2020[[#This Row],[Date]]),Log_2020[[#This Row],[Split_apply]])) - SUM($O72:X72)</f>
        <v>0</v>
      </c>
      <c r="Z72" s="58">
        <f ca="1">Log_2020[[#This Row],[Amount]]/Log_2020[[#This Row],[Split_raw]]*MAX(0,MIN(_xlfn.DAYS(EDATE(Z$1,1),Log_2020[[#This Row],[Date]]),Log_2020[[#This Row],[Split_apply]])) - SUM($O72:Y72)</f>
        <v>0</v>
      </c>
      <c r="AA72" s="58">
        <f ca="1">Log_2020[[#This Row],[Amount]]/Log_2020[[#This Row],[Split_raw]]*MAX(0,MIN(_xlfn.DAYS(EDATE(AA$1,1),Log_2020[[#This Row],[Date]]),Log_2020[[#This Row],[Split_apply]])) - SUM($O72:Z72)</f>
        <v>0</v>
      </c>
      <c r="AB72" s="85">
        <f ca="1">Log_2020[[#This Row],[Amount]]*Log_2020[[#This Row],[Split_apply]]/Log_2020[[#This Row],[Split_raw]]-SUM(O72:AA72)</f>
        <v>0</v>
      </c>
      <c r="AC72" s="74">
        <f>MAX(0,Log_2020[[#This Row],[Split_raw]] - (EDATE(AA$1,1)-Log_2020[[#This Row],[Date]]))</f>
        <v>0</v>
      </c>
    </row>
    <row r="73" spans="1:29" x14ac:dyDescent="0.25">
      <c r="A73" s="37"/>
      <c r="B73" s="34" t="s">
        <v>6</v>
      </c>
      <c r="C73" s="34"/>
      <c r="D73" s="35">
        <v>43914</v>
      </c>
      <c r="E73" s="34"/>
      <c r="F73" s="34" t="s">
        <v>581</v>
      </c>
      <c r="G73" s="34" t="s">
        <v>582</v>
      </c>
      <c r="H73">
        <v>-52.95</v>
      </c>
      <c r="I73" s="36">
        <f>IF(Log_2020[[#This Row],[My Category]]="NONTRACKED",0,Log_2020[[#This Row],[Raw Amount]])</f>
        <v>-52.95</v>
      </c>
      <c r="J73" s="37">
        <f>ABS(Log_2020[[#This Row],[Amount]])</f>
        <v>52.95</v>
      </c>
      <c r="K73" s="38">
        <v>30</v>
      </c>
      <c r="L73" s="38">
        <f ca="1">IF(Log_2020[[#This Row],[Date]]&lt;=TODAY(), MIN(Log_2020[[#This Row],[Split_raw]], TODAY()-Log_2020[[#This Row],[Date]]+1), 0)</f>
        <v>30</v>
      </c>
      <c r="M73" s="34" t="s">
        <v>30</v>
      </c>
      <c r="N73" s="34" t="s">
        <v>160</v>
      </c>
      <c r="O73" s="7"/>
      <c r="P73" s="58">
        <f ca="1">Log_2020[[#This Row],[Amount]]/Log_2020[[#This Row],[Split_raw]]*MAX(0,MIN(_xlfn.DAYS(EDATE(P$1,1),Log_2020[[#This Row],[Date]]),Log_2020[[#This Row],[Split_apply]])) - SUM($O73:O73)</f>
        <v>0</v>
      </c>
      <c r="Q73" s="58">
        <f ca="1">Log_2020[[#This Row],[Amount]]/Log_2020[[#This Row],[Split_raw]]*MAX(0,MIN(_xlfn.DAYS(EDATE(Q$1,1),Log_2020[[#This Row],[Date]]),Log_2020[[#This Row],[Split_apply]])) - SUM($O73:P73)</f>
        <v>0</v>
      </c>
      <c r="R73" s="58">
        <f ca="1">Log_2020[[#This Row],[Amount]]/Log_2020[[#This Row],[Split_raw]]*MAX(0,MIN(_xlfn.DAYS(EDATE(R$1,1),Log_2020[[#This Row],[Date]]),Log_2020[[#This Row],[Split_apply]])) - SUM($O73:Q73)</f>
        <v>-14.120000000000001</v>
      </c>
      <c r="S73" s="58">
        <f ca="1">Log_2020[[#This Row],[Amount]]/Log_2020[[#This Row],[Split_raw]]*MAX(0,MIN(_xlfn.DAYS(EDATE(S$1,1),Log_2020[[#This Row],[Date]]),Log_2020[[#This Row],[Split_apply]])) - SUM($O73:R73)</f>
        <v>-38.83</v>
      </c>
      <c r="T73" s="58">
        <f ca="1">Log_2020[[#This Row],[Amount]]/Log_2020[[#This Row],[Split_raw]]*MAX(0,MIN(_xlfn.DAYS(EDATE(T$1,1),Log_2020[[#This Row],[Date]]),Log_2020[[#This Row],[Split_apply]])) - SUM($O73:S73)</f>
        <v>0</v>
      </c>
      <c r="U73" s="58">
        <f ca="1">Log_2020[[#This Row],[Amount]]/Log_2020[[#This Row],[Split_raw]]*MAX(0,MIN(_xlfn.DAYS(EDATE(U$1,1),Log_2020[[#This Row],[Date]]),Log_2020[[#This Row],[Split_apply]])) - SUM($O73:T73)</f>
        <v>0</v>
      </c>
      <c r="V73" s="58">
        <f ca="1">Log_2020[[#This Row],[Amount]]/Log_2020[[#This Row],[Split_raw]]*MAX(0,MIN(_xlfn.DAYS(EDATE(V$1,1),Log_2020[[#This Row],[Date]]),Log_2020[[#This Row],[Split_apply]])) - SUM($O73:U73)</f>
        <v>0</v>
      </c>
      <c r="W73" s="58">
        <f ca="1">Log_2020[[#This Row],[Amount]]/Log_2020[[#This Row],[Split_raw]]*MAX(0,MIN(_xlfn.DAYS(EDATE(W$1,1),Log_2020[[#This Row],[Date]]),Log_2020[[#This Row],[Split_apply]])) - SUM($O73:V73)</f>
        <v>0</v>
      </c>
      <c r="X73" s="58">
        <f ca="1">Log_2020[[#This Row],[Amount]]/Log_2020[[#This Row],[Split_raw]]*MAX(0,MIN(_xlfn.DAYS(EDATE(X$1,1),Log_2020[[#This Row],[Date]]),Log_2020[[#This Row],[Split_apply]])) - SUM($O73:W73)</f>
        <v>0</v>
      </c>
      <c r="Y73" s="58">
        <f ca="1">Log_2020[[#This Row],[Amount]]/Log_2020[[#This Row],[Split_raw]]*MAX(0,MIN(_xlfn.DAYS(EDATE(Y$1,1),Log_2020[[#This Row],[Date]]),Log_2020[[#This Row],[Split_apply]])) - SUM($O73:X73)</f>
        <v>0</v>
      </c>
      <c r="Z73" s="58">
        <f ca="1">Log_2020[[#This Row],[Amount]]/Log_2020[[#This Row],[Split_raw]]*MAX(0,MIN(_xlfn.DAYS(EDATE(Z$1,1),Log_2020[[#This Row],[Date]]),Log_2020[[#This Row],[Split_apply]])) - SUM($O73:Y73)</f>
        <v>0</v>
      </c>
      <c r="AA73" s="58">
        <f ca="1">Log_2020[[#This Row],[Amount]]/Log_2020[[#This Row],[Split_raw]]*MAX(0,MIN(_xlfn.DAYS(EDATE(AA$1,1),Log_2020[[#This Row],[Date]]),Log_2020[[#This Row],[Split_apply]])) - SUM($O73:Z73)</f>
        <v>0</v>
      </c>
      <c r="AB73" s="85">
        <f ca="1">Log_2020[[#This Row],[Amount]]*Log_2020[[#This Row],[Split_apply]]/Log_2020[[#This Row],[Split_raw]]-SUM(O73:AA73)</f>
        <v>0</v>
      </c>
      <c r="AC73" s="74">
        <f>MAX(0,Log_2020[[#This Row],[Split_raw]] - (EDATE(AA$1,1)-Log_2020[[#This Row],[Date]]))</f>
        <v>0</v>
      </c>
    </row>
    <row r="74" spans="1:29" x14ac:dyDescent="0.25">
      <c r="A74" s="37"/>
      <c r="B74" s="34" t="s">
        <v>6</v>
      </c>
      <c r="C74" s="34"/>
      <c r="D74" s="35">
        <v>43914</v>
      </c>
      <c r="E74" s="34"/>
      <c r="F74" s="34" t="s">
        <v>1081</v>
      </c>
      <c r="G74" s="34" t="s">
        <v>12</v>
      </c>
      <c r="H74">
        <v>-61.9</v>
      </c>
      <c r="I74" s="36">
        <f>IF(Log_2020[[#This Row],[My Category]]="NONTRACKED",0,Log_2020[[#This Row],[Raw Amount]])</f>
        <v>-61.9</v>
      </c>
      <c r="J74" s="37">
        <f>ABS(Log_2020[[#This Row],[Amount]])</f>
        <v>61.9</v>
      </c>
      <c r="K74" s="38">
        <v>1</v>
      </c>
      <c r="L74" s="38">
        <f ca="1">IF(Log_2020[[#This Row],[Date]]&lt;=TODAY(), MIN(Log_2020[[#This Row],[Split_raw]], TODAY()-Log_2020[[#This Row],[Date]]+1), 0)</f>
        <v>1</v>
      </c>
      <c r="M74" s="34" t="s">
        <v>12</v>
      </c>
      <c r="N74" s="34" t="s">
        <v>158</v>
      </c>
      <c r="O74" s="7"/>
      <c r="P74" s="58">
        <f ca="1">Log_2020[[#This Row],[Amount]]/Log_2020[[#This Row],[Split_raw]]*MAX(0,MIN(_xlfn.DAYS(EDATE(P$1,1),Log_2020[[#This Row],[Date]]),Log_2020[[#This Row],[Split_apply]])) - SUM($O74:O74)</f>
        <v>0</v>
      </c>
      <c r="Q74" s="58">
        <f ca="1">Log_2020[[#This Row],[Amount]]/Log_2020[[#This Row],[Split_raw]]*MAX(0,MIN(_xlfn.DAYS(EDATE(Q$1,1),Log_2020[[#This Row],[Date]]),Log_2020[[#This Row],[Split_apply]])) - SUM($O74:P74)</f>
        <v>0</v>
      </c>
      <c r="R74" s="58">
        <f ca="1">Log_2020[[#This Row],[Amount]]/Log_2020[[#This Row],[Split_raw]]*MAX(0,MIN(_xlfn.DAYS(EDATE(R$1,1),Log_2020[[#This Row],[Date]]),Log_2020[[#This Row],[Split_apply]])) - SUM($O74:Q74)</f>
        <v>-61.9</v>
      </c>
      <c r="S74" s="58">
        <f ca="1">Log_2020[[#This Row],[Amount]]/Log_2020[[#This Row],[Split_raw]]*MAX(0,MIN(_xlfn.DAYS(EDATE(S$1,1),Log_2020[[#This Row],[Date]]),Log_2020[[#This Row],[Split_apply]])) - SUM($O74:R74)</f>
        <v>0</v>
      </c>
      <c r="T74" s="58">
        <f ca="1">Log_2020[[#This Row],[Amount]]/Log_2020[[#This Row],[Split_raw]]*MAX(0,MIN(_xlfn.DAYS(EDATE(T$1,1),Log_2020[[#This Row],[Date]]),Log_2020[[#This Row],[Split_apply]])) - SUM($O74:S74)</f>
        <v>0</v>
      </c>
      <c r="U74" s="58">
        <f ca="1">Log_2020[[#This Row],[Amount]]/Log_2020[[#This Row],[Split_raw]]*MAX(0,MIN(_xlfn.DAYS(EDATE(U$1,1),Log_2020[[#This Row],[Date]]),Log_2020[[#This Row],[Split_apply]])) - SUM($O74:T74)</f>
        <v>0</v>
      </c>
      <c r="V74" s="58">
        <f ca="1">Log_2020[[#This Row],[Amount]]/Log_2020[[#This Row],[Split_raw]]*MAX(0,MIN(_xlfn.DAYS(EDATE(V$1,1),Log_2020[[#This Row],[Date]]),Log_2020[[#This Row],[Split_apply]])) - SUM($O74:U74)</f>
        <v>0</v>
      </c>
      <c r="W74" s="58">
        <f ca="1">Log_2020[[#This Row],[Amount]]/Log_2020[[#This Row],[Split_raw]]*MAX(0,MIN(_xlfn.DAYS(EDATE(W$1,1),Log_2020[[#This Row],[Date]]),Log_2020[[#This Row],[Split_apply]])) - SUM($O74:V74)</f>
        <v>0</v>
      </c>
      <c r="X74" s="58">
        <f ca="1">Log_2020[[#This Row],[Amount]]/Log_2020[[#This Row],[Split_raw]]*MAX(0,MIN(_xlfn.DAYS(EDATE(X$1,1),Log_2020[[#This Row],[Date]]),Log_2020[[#This Row],[Split_apply]])) - SUM($O74:W74)</f>
        <v>0</v>
      </c>
      <c r="Y74" s="58">
        <f ca="1">Log_2020[[#This Row],[Amount]]/Log_2020[[#This Row],[Split_raw]]*MAX(0,MIN(_xlfn.DAYS(EDATE(Y$1,1),Log_2020[[#This Row],[Date]]),Log_2020[[#This Row],[Split_apply]])) - SUM($O74:X74)</f>
        <v>0</v>
      </c>
      <c r="Z74" s="58">
        <f ca="1">Log_2020[[#This Row],[Amount]]/Log_2020[[#This Row],[Split_raw]]*MAX(0,MIN(_xlfn.DAYS(EDATE(Z$1,1),Log_2020[[#This Row],[Date]]),Log_2020[[#This Row],[Split_apply]])) - SUM($O74:Y74)</f>
        <v>0</v>
      </c>
      <c r="AA74" s="58">
        <f ca="1">Log_2020[[#This Row],[Amount]]/Log_2020[[#This Row],[Split_raw]]*MAX(0,MIN(_xlfn.DAYS(EDATE(AA$1,1),Log_2020[[#This Row],[Date]]),Log_2020[[#This Row],[Split_apply]])) - SUM($O74:Z74)</f>
        <v>0</v>
      </c>
      <c r="AB74" s="85">
        <f ca="1">Log_2020[[#This Row],[Amount]]*Log_2020[[#This Row],[Split_apply]]/Log_2020[[#This Row],[Split_raw]]-SUM(O74:AA74)</f>
        <v>0</v>
      </c>
      <c r="AC74" s="74">
        <f>MAX(0,Log_2020[[#This Row],[Split_raw]] - (EDATE(AA$1,1)-Log_2020[[#This Row],[Date]]))</f>
        <v>0</v>
      </c>
    </row>
    <row r="75" spans="1:29" x14ac:dyDescent="0.25">
      <c r="A75" s="37"/>
      <c r="B75" s="34" t="s">
        <v>6</v>
      </c>
      <c r="C75" s="34"/>
      <c r="D75" s="35">
        <v>43913</v>
      </c>
      <c r="E75" s="34"/>
      <c r="F75" s="34" t="s">
        <v>346</v>
      </c>
      <c r="G75" s="34" t="s">
        <v>9</v>
      </c>
      <c r="H75">
        <v>-21.64</v>
      </c>
      <c r="I75" s="36">
        <f>IF(Log_2020[[#This Row],[My Category]]="NONTRACKED",0,Log_2020[[#This Row],[Raw Amount]])</f>
        <v>-21.64</v>
      </c>
      <c r="J75" s="37">
        <f>ABS(Log_2020[[#This Row],[Amount]])</f>
        <v>21.64</v>
      </c>
      <c r="K75" s="38">
        <v>1</v>
      </c>
      <c r="L75" s="38">
        <f ca="1">IF(Log_2020[[#This Row],[Date]]&lt;=TODAY(), MIN(Log_2020[[#This Row],[Split_raw]], TODAY()-Log_2020[[#This Row],[Date]]+1), 0)</f>
        <v>1</v>
      </c>
      <c r="M75" s="34" t="s">
        <v>39</v>
      </c>
      <c r="N75" s="34" t="s">
        <v>158</v>
      </c>
      <c r="O75" s="7"/>
      <c r="P75" s="58">
        <f ca="1">Log_2020[[#This Row],[Amount]]/Log_2020[[#This Row],[Split_raw]]*MAX(0,MIN(_xlfn.DAYS(EDATE(P$1,1),Log_2020[[#This Row],[Date]]),Log_2020[[#This Row],[Split_apply]])) - SUM($O75:O75)</f>
        <v>0</v>
      </c>
      <c r="Q75" s="58">
        <f ca="1">Log_2020[[#This Row],[Amount]]/Log_2020[[#This Row],[Split_raw]]*MAX(0,MIN(_xlfn.DAYS(EDATE(Q$1,1),Log_2020[[#This Row],[Date]]),Log_2020[[#This Row],[Split_apply]])) - SUM($O75:P75)</f>
        <v>0</v>
      </c>
      <c r="R75" s="58">
        <f ca="1">Log_2020[[#This Row],[Amount]]/Log_2020[[#This Row],[Split_raw]]*MAX(0,MIN(_xlfn.DAYS(EDATE(R$1,1),Log_2020[[#This Row],[Date]]),Log_2020[[#This Row],[Split_apply]])) - SUM($O75:Q75)</f>
        <v>-21.64</v>
      </c>
      <c r="S75" s="58">
        <f ca="1">Log_2020[[#This Row],[Amount]]/Log_2020[[#This Row],[Split_raw]]*MAX(0,MIN(_xlfn.DAYS(EDATE(S$1,1),Log_2020[[#This Row],[Date]]),Log_2020[[#This Row],[Split_apply]])) - SUM($O75:R75)</f>
        <v>0</v>
      </c>
      <c r="T75" s="58">
        <f ca="1">Log_2020[[#This Row],[Amount]]/Log_2020[[#This Row],[Split_raw]]*MAX(0,MIN(_xlfn.DAYS(EDATE(T$1,1),Log_2020[[#This Row],[Date]]),Log_2020[[#This Row],[Split_apply]])) - SUM($O75:S75)</f>
        <v>0</v>
      </c>
      <c r="U75" s="58">
        <f ca="1">Log_2020[[#This Row],[Amount]]/Log_2020[[#This Row],[Split_raw]]*MAX(0,MIN(_xlfn.DAYS(EDATE(U$1,1),Log_2020[[#This Row],[Date]]),Log_2020[[#This Row],[Split_apply]])) - SUM($O75:T75)</f>
        <v>0</v>
      </c>
      <c r="V75" s="58">
        <f ca="1">Log_2020[[#This Row],[Amount]]/Log_2020[[#This Row],[Split_raw]]*MAX(0,MIN(_xlfn.DAYS(EDATE(V$1,1),Log_2020[[#This Row],[Date]]),Log_2020[[#This Row],[Split_apply]])) - SUM($O75:U75)</f>
        <v>0</v>
      </c>
      <c r="W75" s="58">
        <f ca="1">Log_2020[[#This Row],[Amount]]/Log_2020[[#This Row],[Split_raw]]*MAX(0,MIN(_xlfn.DAYS(EDATE(W$1,1),Log_2020[[#This Row],[Date]]),Log_2020[[#This Row],[Split_apply]])) - SUM($O75:V75)</f>
        <v>0</v>
      </c>
      <c r="X75" s="58">
        <f ca="1">Log_2020[[#This Row],[Amount]]/Log_2020[[#This Row],[Split_raw]]*MAX(0,MIN(_xlfn.DAYS(EDATE(X$1,1),Log_2020[[#This Row],[Date]]),Log_2020[[#This Row],[Split_apply]])) - SUM($O75:W75)</f>
        <v>0</v>
      </c>
      <c r="Y75" s="58">
        <f ca="1">Log_2020[[#This Row],[Amount]]/Log_2020[[#This Row],[Split_raw]]*MAX(0,MIN(_xlfn.DAYS(EDATE(Y$1,1),Log_2020[[#This Row],[Date]]),Log_2020[[#This Row],[Split_apply]])) - SUM($O75:X75)</f>
        <v>0</v>
      </c>
      <c r="Z75" s="58">
        <f ca="1">Log_2020[[#This Row],[Amount]]/Log_2020[[#This Row],[Split_raw]]*MAX(0,MIN(_xlfn.DAYS(EDATE(Z$1,1),Log_2020[[#This Row],[Date]]),Log_2020[[#This Row],[Split_apply]])) - SUM($O75:Y75)</f>
        <v>0</v>
      </c>
      <c r="AA75" s="58">
        <f ca="1">Log_2020[[#This Row],[Amount]]/Log_2020[[#This Row],[Split_raw]]*MAX(0,MIN(_xlfn.DAYS(EDATE(AA$1,1),Log_2020[[#This Row],[Date]]),Log_2020[[#This Row],[Split_apply]])) - SUM($O75:Z75)</f>
        <v>0</v>
      </c>
      <c r="AB75" s="85">
        <f ca="1">Log_2020[[#This Row],[Amount]]*Log_2020[[#This Row],[Split_apply]]/Log_2020[[#This Row],[Split_raw]]-SUM(O75:AA75)</f>
        <v>0</v>
      </c>
      <c r="AC75" s="74">
        <f>MAX(0,Log_2020[[#This Row],[Split_raw]] - (EDATE(AA$1,1)-Log_2020[[#This Row],[Date]]))</f>
        <v>0</v>
      </c>
    </row>
    <row r="76" spans="1:29" x14ac:dyDescent="0.25">
      <c r="A76" s="37"/>
      <c r="B76" s="34" t="s">
        <v>6</v>
      </c>
      <c r="C76" s="34"/>
      <c r="D76" s="35">
        <v>43910</v>
      </c>
      <c r="E76" s="34"/>
      <c r="F76" s="34" t="s">
        <v>1062</v>
      </c>
      <c r="G76" s="34" t="s">
        <v>25</v>
      </c>
      <c r="H76">
        <v>-33.32</v>
      </c>
      <c r="I76" s="36">
        <f>IF(Log_2020[[#This Row],[My Category]]="NONTRACKED",0,Log_2020[[#This Row],[Raw Amount]])</f>
        <v>-33.32</v>
      </c>
      <c r="J76" s="37">
        <f>ABS(Log_2020[[#This Row],[Amount]])</f>
        <v>33.32</v>
      </c>
      <c r="K76" s="38">
        <v>1</v>
      </c>
      <c r="L76" s="38">
        <f ca="1">IF(Log_2020[[#This Row],[Date]]&lt;=TODAY(), MIN(Log_2020[[#This Row],[Split_raw]], TODAY()-Log_2020[[#This Row],[Date]]+1), 0)</f>
        <v>1</v>
      </c>
      <c r="M76" s="34" t="s">
        <v>37</v>
      </c>
      <c r="N76" s="34" t="s">
        <v>158</v>
      </c>
      <c r="O76" s="7"/>
      <c r="P76" s="58">
        <f ca="1">Log_2020[[#This Row],[Amount]]/Log_2020[[#This Row],[Split_raw]]*MAX(0,MIN(_xlfn.DAYS(EDATE(P$1,1),Log_2020[[#This Row],[Date]]),Log_2020[[#This Row],[Split_apply]])) - SUM($O76:O76)</f>
        <v>0</v>
      </c>
      <c r="Q76" s="58">
        <f ca="1">Log_2020[[#This Row],[Amount]]/Log_2020[[#This Row],[Split_raw]]*MAX(0,MIN(_xlfn.DAYS(EDATE(Q$1,1),Log_2020[[#This Row],[Date]]),Log_2020[[#This Row],[Split_apply]])) - SUM($O76:P76)</f>
        <v>0</v>
      </c>
      <c r="R76" s="58">
        <f ca="1">Log_2020[[#This Row],[Amount]]/Log_2020[[#This Row],[Split_raw]]*MAX(0,MIN(_xlfn.DAYS(EDATE(R$1,1),Log_2020[[#This Row],[Date]]),Log_2020[[#This Row],[Split_apply]])) - SUM($O76:Q76)</f>
        <v>-33.32</v>
      </c>
      <c r="S76" s="58">
        <f ca="1">Log_2020[[#This Row],[Amount]]/Log_2020[[#This Row],[Split_raw]]*MAX(0,MIN(_xlfn.DAYS(EDATE(S$1,1),Log_2020[[#This Row],[Date]]),Log_2020[[#This Row],[Split_apply]])) - SUM($O76:R76)</f>
        <v>0</v>
      </c>
      <c r="T76" s="58">
        <f ca="1">Log_2020[[#This Row],[Amount]]/Log_2020[[#This Row],[Split_raw]]*MAX(0,MIN(_xlfn.DAYS(EDATE(T$1,1),Log_2020[[#This Row],[Date]]),Log_2020[[#This Row],[Split_apply]])) - SUM($O76:S76)</f>
        <v>0</v>
      </c>
      <c r="U76" s="58">
        <f ca="1">Log_2020[[#This Row],[Amount]]/Log_2020[[#This Row],[Split_raw]]*MAX(0,MIN(_xlfn.DAYS(EDATE(U$1,1),Log_2020[[#This Row],[Date]]),Log_2020[[#This Row],[Split_apply]])) - SUM($O76:T76)</f>
        <v>0</v>
      </c>
      <c r="V76" s="58">
        <f ca="1">Log_2020[[#This Row],[Amount]]/Log_2020[[#This Row],[Split_raw]]*MAX(0,MIN(_xlfn.DAYS(EDATE(V$1,1),Log_2020[[#This Row],[Date]]),Log_2020[[#This Row],[Split_apply]])) - SUM($O76:U76)</f>
        <v>0</v>
      </c>
      <c r="W76" s="58">
        <f ca="1">Log_2020[[#This Row],[Amount]]/Log_2020[[#This Row],[Split_raw]]*MAX(0,MIN(_xlfn.DAYS(EDATE(W$1,1),Log_2020[[#This Row],[Date]]),Log_2020[[#This Row],[Split_apply]])) - SUM($O76:V76)</f>
        <v>0</v>
      </c>
      <c r="X76" s="58">
        <f ca="1">Log_2020[[#This Row],[Amount]]/Log_2020[[#This Row],[Split_raw]]*MAX(0,MIN(_xlfn.DAYS(EDATE(X$1,1),Log_2020[[#This Row],[Date]]),Log_2020[[#This Row],[Split_apply]])) - SUM($O76:W76)</f>
        <v>0</v>
      </c>
      <c r="Y76" s="58">
        <f ca="1">Log_2020[[#This Row],[Amount]]/Log_2020[[#This Row],[Split_raw]]*MAX(0,MIN(_xlfn.DAYS(EDATE(Y$1,1),Log_2020[[#This Row],[Date]]),Log_2020[[#This Row],[Split_apply]])) - SUM($O76:X76)</f>
        <v>0</v>
      </c>
      <c r="Z76" s="58">
        <f ca="1">Log_2020[[#This Row],[Amount]]/Log_2020[[#This Row],[Split_raw]]*MAX(0,MIN(_xlfn.DAYS(EDATE(Z$1,1),Log_2020[[#This Row],[Date]]),Log_2020[[#This Row],[Split_apply]])) - SUM($O76:Y76)</f>
        <v>0</v>
      </c>
      <c r="AA76" s="58">
        <f ca="1">Log_2020[[#This Row],[Amount]]/Log_2020[[#This Row],[Split_raw]]*MAX(0,MIN(_xlfn.DAYS(EDATE(AA$1,1),Log_2020[[#This Row],[Date]]),Log_2020[[#This Row],[Split_apply]])) - SUM($O76:Z76)</f>
        <v>0</v>
      </c>
      <c r="AB76" s="85">
        <f ca="1">Log_2020[[#This Row],[Amount]]*Log_2020[[#This Row],[Split_apply]]/Log_2020[[#This Row],[Split_raw]]-SUM(O76:AA76)</f>
        <v>0</v>
      </c>
      <c r="AC76" s="74">
        <f>MAX(0,Log_2020[[#This Row],[Split_raw]] - (EDATE(AA$1,1)-Log_2020[[#This Row],[Date]]))</f>
        <v>0</v>
      </c>
    </row>
    <row r="77" spans="1:29" x14ac:dyDescent="0.25">
      <c r="A77" s="37"/>
      <c r="B77" s="34" t="s">
        <v>6</v>
      </c>
      <c r="C77" s="34"/>
      <c r="D77" s="35">
        <v>43909</v>
      </c>
      <c r="E77" s="34"/>
      <c r="F77" s="34" t="s">
        <v>1057</v>
      </c>
      <c r="G77" s="34" t="s">
        <v>29</v>
      </c>
      <c r="H77">
        <v>-38.18</v>
      </c>
      <c r="I77" s="36">
        <f>IF(Log_2020[[#This Row],[My Category]]="NONTRACKED",0,Log_2020[[#This Row],[Raw Amount]])</f>
        <v>-38.18</v>
      </c>
      <c r="J77" s="37">
        <f>ABS(Log_2020[[#This Row],[Amount]])</f>
        <v>38.18</v>
      </c>
      <c r="K77" s="38">
        <v>30</v>
      </c>
      <c r="L77" s="38">
        <f ca="1">IF(Log_2020[[#This Row],[Date]]&lt;=TODAY(), MIN(Log_2020[[#This Row],[Split_raw]], TODAY()-Log_2020[[#This Row],[Date]]+1), 0)</f>
        <v>30</v>
      </c>
      <c r="M77" s="34" t="s">
        <v>29</v>
      </c>
      <c r="N77" s="34" t="s">
        <v>160</v>
      </c>
      <c r="O77" s="7"/>
      <c r="P77" s="58">
        <f ca="1">Log_2020[[#This Row],[Amount]]/Log_2020[[#This Row],[Split_raw]]*MAX(0,MIN(_xlfn.DAYS(EDATE(P$1,1),Log_2020[[#This Row],[Date]]),Log_2020[[#This Row],[Split_apply]])) - SUM($O77:O77)</f>
        <v>0</v>
      </c>
      <c r="Q77" s="58">
        <f ca="1">Log_2020[[#This Row],[Amount]]/Log_2020[[#This Row],[Split_raw]]*MAX(0,MIN(_xlfn.DAYS(EDATE(Q$1,1),Log_2020[[#This Row],[Date]]),Log_2020[[#This Row],[Split_apply]])) - SUM($O77:P77)</f>
        <v>0</v>
      </c>
      <c r="R77" s="58">
        <f ca="1">Log_2020[[#This Row],[Amount]]/Log_2020[[#This Row],[Split_raw]]*MAX(0,MIN(_xlfn.DAYS(EDATE(R$1,1),Log_2020[[#This Row],[Date]]),Log_2020[[#This Row],[Split_apply]])) - SUM($O77:Q77)</f>
        <v>-16.544666666666664</v>
      </c>
      <c r="S77" s="58">
        <f ca="1">Log_2020[[#This Row],[Amount]]/Log_2020[[#This Row],[Split_raw]]*MAX(0,MIN(_xlfn.DAYS(EDATE(S$1,1),Log_2020[[#This Row],[Date]]),Log_2020[[#This Row],[Split_apply]])) - SUM($O77:R77)</f>
        <v>-21.635333333333335</v>
      </c>
      <c r="T77" s="58">
        <f ca="1">Log_2020[[#This Row],[Amount]]/Log_2020[[#This Row],[Split_raw]]*MAX(0,MIN(_xlfn.DAYS(EDATE(T$1,1),Log_2020[[#This Row],[Date]]),Log_2020[[#This Row],[Split_apply]])) - SUM($O77:S77)</f>
        <v>0</v>
      </c>
      <c r="U77" s="58">
        <f ca="1">Log_2020[[#This Row],[Amount]]/Log_2020[[#This Row],[Split_raw]]*MAX(0,MIN(_xlfn.DAYS(EDATE(U$1,1),Log_2020[[#This Row],[Date]]),Log_2020[[#This Row],[Split_apply]])) - SUM($O77:T77)</f>
        <v>0</v>
      </c>
      <c r="V77" s="58">
        <f ca="1">Log_2020[[#This Row],[Amount]]/Log_2020[[#This Row],[Split_raw]]*MAX(0,MIN(_xlfn.DAYS(EDATE(V$1,1),Log_2020[[#This Row],[Date]]),Log_2020[[#This Row],[Split_apply]])) - SUM($O77:U77)</f>
        <v>0</v>
      </c>
      <c r="W77" s="58">
        <f ca="1">Log_2020[[#This Row],[Amount]]/Log_2020[[#This Row],[Split_raw]]*MAX(0,MIN(_xlfn.DAYS(EDATE(W$1,1),Log_2020[[#This Row],[Date]]),Log_2020[[#This Row],[Split_apply]])) - SUM($O77:V77)</f>
        <v>0</v>
      </c>
      <c r="X77" s="58">
        <f ca="1">Log_2020[[#This Row],[Amount]]/Log_2020[[#This Row],[Split_raw]]*MAX(0,MIN(_xlfn.DAYS(EDATE(X$1,1),Log_2020[[#This Row],[Date]]),Log_2020[[#This Row],[Split_apply]])) - SUM($O77:W77)</f>
        <v>0</v>
      </c>
      <c r="Y77" s="58">
        <f ca="1">Log_2020[[#This Row],[Amount]]/Log_2020[[#This Row],[Split_raw]]*MAX(0,MIN(_xlfn.DAYS(EDATE(Y$1,1),Log_2020[[#This Row],[Date]]),Log_2020[[#This Row],[Split_apply]])) - SUM($O77:X77)</f>
        <v>0</v>
      </c>
      <c r="Z77" s="58">
        <f ca="1">Log_2020[[#This Row],[Amount]]/Log_2020[[#This Row],[Split_raw]]*MAX(0,MIN(_xlfn.DAYS(EDATE(Z$1,1),Log_2020[[#This Row],[Date]]),Log_2020[[#This Row],[Split_apply]])) - SUM($O77:Y77)</f>
        <v>0</v>
      </c>
      <c r="AA77" s="58">
        <f ca="1">Log_2020[[#This Row],[Amount]]/Log_2020[[#This Row],[Split_raw]]*MAX(0,MIN(_xlfn.DAYS(EDATE(AA$1,1),Log_2020[[#This Row],[Date]]),Log_2020[[#This Row],[Split_apply]])) - SUM($O77:Z77)</f>
        <v>0</v>
      </c>
      <c r="AB77" s="85">
        <f ca="1">Log_2020[[#This Row],[Amount]]*Log_2020[[#This Row],[Split_apply]]/Log_2020[[#This Row],[Split_raw]]-SUM(O77:AA77)</f>
        <v>0</v>
      </c>
      <c r="AC77" s="74">
        <f>MAX(0,Log_2020[[#This Row],[Split_raw]] - (EDATE(AA$1,1)-Log_2020[[#This Row],[Date]]))</f>
        <v>0</v>
      </c>
    </row>
    <row r="78" spans="1:29" x14ac:dyDescent="0.25">
      <c r="A78" s="37"/>
      <c r="B78" s="34" t="s">
        <v>6</v>
      </c>
      <c r="C78" s="34"/>
      <c r="D78" s="35">
        <v>43909</v>
      </c>
      <c r="E78" s="34"/>
      <c r="F78" s="34" t="s">
        <v>1063</v>
      </c>
      <c r="G78" s="34" t="s">
        <v>19</v>
      </c>
      <c r="H78">
        <v>-25</v>
      </c>
      <c r="I78" s="36">
        <f>IF(Log_2020[[#This Row],[My Category]]="NONTRACKED",0,Log_2020[[#This Row],[Raw Amount]])</f>
        <v>-25</v>
      </c>
      <c r="J78" s="37">
        <f>ABS(Log_2020[[#This Row],[Amount]])</f>
        <v>25</v>
      </c>
      <c r="K78" s="38">
        <v>1</v>
      </c>
      <c r="L78" s="38">
        <f ca="1">IF(Log_2020[[#This Row],[Date]]&lt;=TODAY(), MIN(Log_2020[[#This Row],[Split_raw]], TODAY()-Log_2020[[#This Row],[Date]]+1), 0)</f>
        <v>1</v>
      </c>
      <c r="M78" s="34" t="s">
        <v>39</v>
      </c>
      <c r="N78" s="34" t="s">
        <v>158</v>
      </c>
      <c r="O78" s="7"/>
      <c r="P78" s="58">
        <f ca="1">Log_2020[[#This Row],[Amount]]/Log_2020[[#This Row],[Split_raw]]*MAX(0,MIN(_xlfn.DAYS(EDATE(P$1,1),Log_2020[[#This Row],[Date]]),Log_2020[[#This Row],[Split_apply]])) - SUM($O78:O78)</f>
        <v>0</v>
      </c>
      <c r="Q78" s="58">
        <f ca="1">Log_2020[[#This Row],[Amount]]/Log_2020[[#This Row],[Split_raw]]*MAX(0,MIN(_xlfn.DAYS(EDATE(Q$1,1),Log_2020[[#This Row],[Date]]),Log_2020[[#This Row],[Split_apply]])) - SUM($O78:P78)</f>
        <v>0</v>
      </c>
      <c r="R78" s="58">
        <f ca="1">Log_2020[[#This Row],[Amount]]/Log_2020[[#This Row],[Split_raw]]*MAX(0,MIN(_xlfn.DAYS(EDATE(R$1,1),Log_2020[[#This Row],[Date]]),Log_2020[[#This Row],[Split_apply]])) - SUM($O78:Q78)</f>
        <v>-25</v>
      </c>
      <c r="S78" s="58">
        <f ca="1">Log_2020[[#This Row],[Amount]]/Log_2020[[#This Row],[Split_raw]]*MAX(0,MIN(_xlfn.DAYS(EDATE(S$1,1),Log_2020[[#This Row],[Date]]),Log_2020[[#This Row],[Split_apply]])) - SUM($O78:R78)</f>
        <v>0</v>
      </c>
      <c r="T78" s="58">
        <f ca="1">Log_2020[[#This Row],[Amount]]/Log_2020[[#This Row],[Split_raw]]*MAX(0,MIN(_xlfn.DAYS(EDATE(T$1,1),Log_2020[[#This Row],[Date]]),Log_2020[[#This Row],[Split_apply]])) - SUM($O78:S78)</f>
        <v>0</v>
      </c>
      <c r="U78" s="58">
        <f ca="1">Log_2020[[#This Row],[Amount]]/Log_2020[[#This Row],[Split_raw]]*MAX(0,MIN(_xlfn.DAYS(EDATE(U$1,1),Log_2020[[#This Row],[Date]]),Log_2020[[#This Row],[Split_apply]])) - SUM($O78:T78)</f>
        <v>0</v>
      </c>
      <c r="V78" s="58">
        <f ca="1">Log_2020[[#This Row],[Amount]]/Log_2020[[#This Row],[Split_raw]]*MAX(0,MIN(_xlfn.DAYS(EDATE(V$1,1),Log_2020[[#This Row],[Date]]),Log_2020[[#This Row],[Split_apply]])) - SUM($O78:U78)</f>
        <v>0</v>
      </c>
      <c r="W78" s="58">
        <f ca="1">Log_2020[[#This Row],[Amount]]/Log_2020[[#This Row],[Split_raw]]*MAX(0,MIN(_xlfn.DAYS(EDATE(W$1,1),Log_2020[[#This Row],[Date]]),Log_2020[[#This Row],[Split_apply]])) - SUM($O78:V78)</f>
        <v>0</v>
      </c>
      <c r="X78" s="58">
        <f ca="1">Log_2020[[#This Row],[Amount]]/Log_2020[[#This Row],[Split_raw]]*MAX(0,MIN(_xlfn.DAYS(EDATE(X$1,1),Log_2020[[#This Row],[Date]]),Log_2020[[#This Row],[Split_apply]])) - SUM($O78:W78)</f>
        <v>0</v>
      </c>
      <c r="Y78" s="58">
        <f ca="1">Log_2020[[#This Row],[Amount]]/Log_2020[[#This Row],[Split_raw]]*MAX(0,MIN(_xlfn.DAYS(EDATE(Y$1,1),Log_2020[[#This Row],[Date]]),Log_2020[[#This Row],[Split_apply]])) - SUM($O78:X78)</f>
        <v>0</v>
      </c>
      <c r="Z78" s="58">
        <f ca="1">Log_2020[[#This Row],[Amount]]/Log_2020[[#This Row],[Split_raw]]*MAX(0,MIN(_xlfn.DAYS(EDATE(Z$1,1),Log_2020[[#This Row],[Date]]),Log_2020[[#This Row],[Split_apply]])) - SUM($O78:Y78)</f>
        <v>0</v>
      </c>
      <c r="AA78" s="58">
        <f ca="1">Log_2020[[#This Row],[Amount]]/Log_2020[[#This Row],[Split_raw]]*MAX(0,MIN(_xlfn.DAYS(EDATE(AA$1,1),Log_2020[[#This Row],[Date]]),Log_2020[[#This Row],[Split_apply]])) - SUM($O78:Z78)</f>
        <v>0</v>
      </c>
      <c r="AB78" s="85">
        <f ca="1">Log_2020[[#This Row],[Amount]]*Log_2020[[#This Row],[Split_apply]]/Log_2020[[#This Row],[Split_raw]]-SUM(O78:AA78)</f>
        <v>0</v>
      </c>
      <c r="AC78" s="74">
        <f>MAX(0,Log_2020[[#This Row],[Split_raw]] - (EDATE(AA$1,1)-Log_2020[[#This Row],[Date]]))</f>
        <v>0</v>
      </c>
    </row>
    <row r="79" spans="1:29" x14ac:dyDescent="0.25">
      <c r="A79" s="37"/>
      <c r="B79" s="34" t="s">
        <v>6</v>
      </c>
      <c r="C79" s="34"/>
      <c r="D79" s="35">
        <v>43909</v>
      </c>
      <c r="E79" s="34"/>
      <c r="F79" s="34" t="s">
        <v>255</v>
      </c>
      <c r="G79" s="34" t="s">
        <v>12</v>
      </c>
      <c r="H79">
        <v>-25.12</v>
      </c>
      <c r="I79" s="36">
        <f>IF(Log_2020[[#This Row],[My Category]]="NONTRACKED",0,Log_2020[[#This Row],[Raw Amount]])</f>
        <v>-25.12</v>
      </c>
      <c r="J79" s="37">
        <f>ABS(Log_2020[[#This Row],[Amount]])</f>
        <v>25.12</v>
      </c>
      <c r="K79" s="38">
        <v>1</v>
      </c>
      <c r="L79" s="38">
        <f ca="1">IF(Log_2020[[#This Row],[Date]]&lt;=TODAY(), MIN(Log_2020[[#This Row],[Split_raw]], TODAY()-Log_2020[[#This Row],[Date]]+1), 0)</f>
        <v>1</v>
      </c>
      <c r="M79" s="34" t="s">
        <v>52</v>
      </c>
      <c r="N79" s="34" t="s">
        <v>158</v>
      </c>
      <c r="O79" s="7"/>
      <c r="P79" s="58">
        <f ca="1">Log_2020[[#This Row],[Amount]]/Log_2020[[#This Row],[Split_raw]]*MAX(0,MIN(_xlfn.DAYS(EDATE(P$1,1),Log_2020[[#This Row],[Date]]),Log_2020[[#This Row],[Split_apply]])) - SUM($O79:O79)</f>
        <v>0</v>
      </c>
      <c r="Q79" s="58">
        <f ca="1">Log_2020[[#This Row],[Amount]]/Log_2020[[#This Row],[Split_raw]]*MAX(0,MIN(_xlfn.DAYS(EDATE(Q$1,1),Log_2020[[#This Row],[Date]]),Log_2020[[#This Row],[Split_apply]])) - SUM($O79:P79)</f>
        <v>0</v>
      </c>
      <c r="R79" s="58">
        <f ca="1">Log_2020[[#This Row],[Amount]]/Log_2020[[#This Row],[Split_raw]]*MAX(0,MIN(_xlfn.DAYS(EDATE(R$1,1),Log_2020[[#This Row],[Date]]),Log_2020[[#This Row],[Split_apply]])) - SUM($O79:Q79)</f>
        <v>-25.12</v>
      </c>
      <c r="S79" s="58">
        <f ca="1">Log_2020[[#This Row],[Amount]]/Log_2020[[#This Row],[Split_raw]]*MAX(0,MIN(_xlfn.DAYS(EDATE(S$1,1),Log_2020[[#This Row],[Date]]),Log_2020[[#This Row],[Split_apply]])) - SUM($O79:R79)</f>
        <v>0</v>
      </c>
      <c r="T79" s="58">
        <f ca="1">Log_2020[[#This Row],[Amount]]/Log_2020[[#This Row],[Split_raw]]*MAX(0,MIN(_xlfn.DAYS(EDATE(T$1,1),Log_2020[[#This Row],[Date]]),Log_2020[[#This Row],[Split_apply]])) - SUM($O79:S79)</f>
        <v>0</v>
      </c>
      <c r="U79" s="58">
        <f ca="1">Log_2020[[#This Row],[Amount]]/Log_2020[[#This Row],[Split_raw]]*MAX(0,MIN(_xlfn.DAYS(EDATE(U$1,1),Log_2020[[#This Row],[Date]]),Log_2020[[#This Row],[Split_apply]])) - SUM($O79:T79)</f>
        <v>0</v>
      </c>
      <c r="V79" s="58">
        <f ca="1">Log_2020[[#This Row],[Amount]]/Log_2020[[#This Row],[Split_raw]]*MAX(0,MIN(_xlfn.DAYS(EDATE(V$1,1),Log_2020[[#This Row],[Date]]),Log_2020[[#This Row],[Split_apply]])) - SUM($O79:U79)</f>
        <v>0</v>
      </c>
      <c r="W79" s="58">
        <f ca="1">Log_2020[[#This Row],[Amount]]/Log_2020[[#This Row],[Split_raw]]*MAX(0,MIN(_xlfn.DAYS(EDATE(W$1,1),Log_2020[[#This Row],[Date]]),Log_2020[[#This Row],[Split_apply]])) - SUM($O79:V79)</f>
        <v>0</v>
      </c>
      <c r="X79" s="58">
        <f ca="1">Log_2020[[#This Row],[Amount]]/Log_2020[[#This Row],[Split_raw]]*MAX(0,MIN(_xlfn.DAYS(EDATE(X$1,1),Log_2020[[#This Row],[Date]]),Log_2020[[#This Row],[Split_apply]])) - SUM($O79:W79)</f>
        <v>0</v>
      </c>
      <c r="Y79" s="58">
        <f ca="1">Log_2020[[#This Row],[Amount]]/Log_2020[[#This Row],[Split_raw]]*MAX(0,MIN(_xlfn.DAYS(EDATE(Y$1,1),Log_2020[[#This Row],[Date]]),Log_2020[[#This Row],[Split_apply]])) - SUM($O79:X79)</f>
        <v>0</v>
      </c>
      <c r="Z79" s="58">
        <f ca="1">Log_2020[[#This Row],[Amount]]/Log_2020[[#This Row],[Split_raw]]*MAX(0,MIN(_xlfn.DAYS(EDATE(Z$1,1),Log_2020[[#This Row],[Date]]),Log_2020[[#This Row],[Split_apply]])) - SUM($O79:Y79)</f>
        <v>0</v>
      </c>
      <c r="AA79" s="58">
        <f ca="1">Log_2020[[#This Row],[Amount]]/Log_2020[[#This Row],[Split_raw]]*MAX(0,MIN(_xlfn.DAYS(EDATE(AA$1,1),Log_2020[[#This Row],[Date]]),Log_2020[[#This Row],[Split_apply]])) - SUM($O79:Z79)</f>
        <v>0</v>
      </c>
      <c r="AB79" s="85">
        <f ca="1">Log_2020[[#This Row],[Amount]]*Log_2020[[#This Row],[Split_apply]]/Log_2020[[#This Row],[Split_raw]]-SUM(O79:AA79)</f>
        <v>0</v>
      </c>
      <c r="AC79" s="74">
        <f>MAX(0,Log_2020[[#This Row],[Split_raw]] - (EDATE(AA$1,1)-Log_2020[[#This Row],[Date]]))</f>
        <v>0</v>
      </c>
    </row>
    <row r="80" spans="1:29" x14ac:dyDescent="0.25">
      <c r="A80" s="37"/>
      <c r="B80" s="34" t="s">
        <v>6</v>
      </c>
      <c r="C80" s="34"/>
      <c r="D80" s="35">
        <v>43906</v>
      </c>
      <c r="E80" s="34"/>
      <c r="F80" s="34" t="s">
        <v>242</v>
      </c>
      <c r="G80" s="34" t="s">
        <v>749</v>
      </c>
      <c r="H80">
        <f>--19.95</f>
        <v>19.95</v>
      </c>
      <c r="I80" s="36">
        <f>IF(Log_2020[[#This Row],[My Category]]="NONTRACKED",0,Log_2020[[#This Row],[Raw Amount]])</f>
        <v>19.95</v>
      </c>
      <c r="J80" s="37">
        <f>ABS(Log_2020[[#This Row],[Amount]])</f>
        <v>19.95</v>
      </c>
      <c r="K80" s="38">
        <v>1</v>
      </c>
      <c r="L80" s="38">
        <f ca="1">IF(Log_2020[[#This Row],[Date]]&lt;=TODAY(), MIN(Log_2020[[#This Row],[Split_raw]], TODAY()-Log_2020[[#This Row],[Date]]+1), 0)</f>
        <v>1</v>
      </c>
      <c r="M80" s="34" t="s">
        <v>144</v>
      </c>
      <c r="N80" s="34" t="s">
        <v>160</v>
      </c>
      <c r="O80" s="7"/>
      <c r="P80" s="58">
        <f ca="1">Log_2020[[#This Row],[Amount]]/Log_2020[[#This Row],[Split_raw]]*MAX(0,MIN(_xlfn.DAYS(EDATE(P$1,1),Log_2020[[#This Row],[Date]]),Log_2020[[#This Row],[Split_apply]])) - SUM($O80:O80)</f>
        <v>0</v>
      </c>
      <c r="Q80" s="58">
        <f ca="1">Log_2020[[#This Row],[Amount]]/Log_2020[[#This Row],[Split_raw]]*MAX(0,MIN(_xlfn.DAYS(EDATE(Q$1,1),Log_2020[[#This Row],[Date]]),Log_2020[[#This Row],[Split_apply]])) - SUM($O80:P80)</f>
        <v>0</v>
      </c>
      <c r="R80" s="58">
        <f ca="1">Log_2020[[#This Row],[Amount]]/Log_2020[[#This Row],[Split_raw]]*MAX(0,MIN(_xlfn.DAYS(EDATE(R$1,1),Log_2020[[#This Row],[Date]]),Log_2020[[#This Row],[Split_apply]])) - SUM($O80:Q80)</f>
        <v>19.95</v>
      </c>
      <c r="S80" s="58">
        <f ca="1">Log_2020[[#This Row],[Amount]]/Log_2020[[#This Row],[Split_raw]]*MAX(0,MIN(_xlfn.DAYS(EDATE(S$1,1),Log_2020[[#This Row],[Date]]),Log_2020[[#This Row],[Split_apply]])) - SUM($O80:R80)</f>
        <v>0</v>
      </c>
      <c r="T80" s="58">
        <f ca="1">Log_2020[[#This Row],[Amount]]/Log_2020[[#This Row],[Split_raw]]*MAX(0,MIN(_xlfn.DAYS(EDATE(T$1,1),Log_2020[[#This Row],[Date]]),Log_2020[[#This Row],[Split_apply]])) - SUM($O80:S80)</f>
        <v>0</v>
      </c>
      <c r="U80" s="58">
        <f ca="1">Log_2020[[#This Row],[Amount]]/Log_2020[[#This Row],[Split_raw]]*MAX(0,MIN(_xlfn.DAYS(EDATE(U$1,1),Log_2020[[#This Row],[Date]]),Log_2020[[#This Row],[Split_apply]])) - SUM($O80:T80)</f>
        <v>0</v>
      </c>
      <c r="V80" s="58">
        <f ca="1">Log_2020[[#This Row],[Amount]]/Log_2020[[#This Row],[Split_raw]]*MAX(0,MIN(_xlfn.DAYS(EDATE(V$1,1),Log_2020[[#This Row],[Date]]),Log_2020[[#This Row],[Split_apply]])) - SUM($O80:U80)</f>
        <v>0</v>
      </c>
      <c r="W80" s="58">
        <f ca="1">Log_2020[[#This Row],[Amount]]/Log_2020[[#This Row],[Split_raw]]*MAX(0,MIN(_xlfn.DAYS(EDATE(W$1,1),Log_2020[[#This Row],[Date]]),Log_2020[[#This Row],[Split_apply]])) - SUM($O80:V80)</f>
        <v>0</v>
      </c>
      <c r="X80" s="58">
        <f ca="1">Log_2020[[#This Row],[Amount]]/Log_2020[[#This Row],[Split_raw]]*MAX(0,MIN(_xlfn.DAYS(EDATE(X$1,1),Log_2020[[#This Row],[Date]]),Log_2020[[#This Row],[Split_apply]])) - SUM($O80:W80)</f>
        <v>0</v>
      </c>
      <c r="Y80" s="58">
        <f ca="1">Log_2020[[#This Row],[Amount]]/Log_2020[[#This Row],[Split_raw]]*MAX(0,MIN(_xlfn.DAYS(EDATE(Y$1,1),Log_2020[[#This Row],[Date]]),Log_2020[[#This Row],[Split_apply]])) - SUM($O80:X80)</f>
        <v>0</v>
      </c>
      <c r="Z80" s="58">
        <f ca="1">Log_2020[[#This Row],[Amount]]/Log_2020[[#This Row],[Split_raw]]*MAX(0,MIN(_xlfn.DAYS(EDATE(Z$1,1),Log_2020[[#This Row],[Date]]),Log_2020[[#This Row],[Split_apply]])) - SUM($O80:Y80)</f>
        <v>0</v>
      </c>
      <c r="AA80" s="58">
        <f ca="1">Log_2020[[#This Row],[Amount]]/Log_2020[[#This Row],[Split_raw]]*MAX(0,MIN(_xlfn.DAYS(EDATE(AA$1,1),Log_2020[[#This Row],[Date]]),Log_2020[[#This Row],[Split_apply]])) - SUM($O80:Z80)</f>
        <v>0</v>
      </c>
      <c r="AB80" s="85">
        <f ca="1">Log_2020[[#This Row],[Amount]]*Log_2020[[#This Row],[Split_apply]]/Log_2020[[#This Row],[Split_raw]]-SUM(O80:AA80)</f>
        <v>0</v>
      </c>
      <c r="AC80" s="74">
        <f>MAX(0,Log_2020[[#This Row],[Split_raw]] - (EDATE(AA$1,1)-Log_2020[[#This Row],[Date]]))</f>
        <v>0</v>
      </c>
    </row>
    <row r="81" spans="1:29" x14ac:dyDescent="0.25">
      <c r="A81" s="37"/>
      <c r="B81" s="34" t="s">
        <v>6</v>
      </c>
      <c r="C81" s="34"/>
      <c r="D81" s="35">
        <v>43905</v>
      </c>
      <c r="E81" s="34"/>
      <c r="F81" s="34" t="s">
        <v>1064</v>
      </c>
      <c r="G81" s="34" t="s">
        <v>25</v>
      </c>
      <c r="H81">
        <v>-23.25</v>
      </c>
      <c r="I81" s="36">
        <f>IF(Log_2020[[#This Row],[My Category]]="NONTRACKED",0,Log_2020[[#This Row],[Raw Amount]])</f>
        <v>-23.25</v>
      </c>
      <c r="J81" s="37">
        <f>ABS(Log_2020[[#This Row],[Amount]])</f>
        <v>23.25</v>
      </c>
      <c r="K81" s="38">
        <v>1</v>
      </c>
      <c r="L81" s="38">
        <f ca="1">IF(Log_2020[[#This Row],[Date]]&lt;=TODAY(), MIN(Log_2020[[#This Row],[Split_raw]], TODAY()-Log_2020[[#This Row],[Date]]+1), 0)</f>
        <v>1</v>
      </c>
      <c r="M81" s="34" t="s">
        <v>37</v>
      </c>
      <c r="N81" s="34" t="s">
        <v>158</v>
      </c>
      <c r="O81" s="7"/>
      <c r="P81" s="58">
        <f ca="1">Log_2020[[#This Row],[Amount]]/Log_2020[[#This Row],[Split_raw]]*MAX(0,MIN(_xlfn.DAYS(EDATE(P$1,1),Log_2020[[#This Row],[Date]]),Log_2020[[#This Row],[Split_apply]])) - SUM($O81:O81)</f>
        <v>0</v>
      </c>
      <c r="Q81" s="58">
        <f ca="1">Log_2020[[#This Row],[Amount]]/Log_2020[[#This Row],[Split_raw]]*MAX(0,MIN(_xlfn.DAYS(EDATE(Q$1,1),Log_2020[[#This Row],[Date]]),Log_2020[[#This Row],[Split_apply]])) - SUM($O81:P81)</f>
        <v>0</v>
      </c>
      <c r="R81" s="58">
        <f ca="1">Log_2020[[#This Row],[Amount]]/Log_2020[[#This Row],[Split_raw]]*MAX(0,MIN(_xlfn.DAYS(EDATE(R$1,1),Log_2020[[#This Row],[Date]]),Log_2020[[#This Row],[Split_apply]])) - SUM($O81:Q81)</f>
        <v>-23.25</v>
      </c>
      <c r="S81" s="58">
        <f ca="1">Log_2020[[#This Row],[Amount]]/Log_2020[[#This Row],[Split_raw]]*MAX(0,MIN(_xlfn.DAYS(EDATE(S$1,1),Log_2020[[#This Row],[Date]]),Log_2020[[#This Row],[Split_apply]])) - SUM($O81:R81)</f>
        <v>0</v>
      </c>
      <c r="T81" s="58">
        <f ca="1">Log_2020[[#This Row],[Amount]]/Log_2020[[#This Row],[Split_raw]]*MAX(0,MIN(_xlfn.DAYS(EDATE(T$1,1),Log_2020[[#This Row],[Date]]),Log_2020[[#This Row],[Split_apply]])) - SUM($O81:S81)</f>
        <v>0</v>
      </c>
      <c r="U81" s="58">
        <f ca="1">Log_2020[[#This Row],[Amount]]/Log_2020[[#This Row],[Split_raw]]*MAX(0,MIN(_xlfn.DAYS(EDATE(U$1,1),Log_2020[[#This Row],[Date]]),Log_2020[[#This Row],[Split_apply]])) - SUM($O81:T81)</f>
        <v>0</v>
      </c>
      <c r="V81" s="58">
        <f ca="1">Log_2020[[#This Row],[Amount]]/Log_2020[[#This Row],[Split_raw]]*MAX(0,MIN(_xlfn.DAYS(EDATE(V$1,1),Log_2020[[#This Row],[Date]]),Log_2020[[#This Row],[Split_apply]])) - SUM($O81:U81)</f>
        <v>0</v>
      </c>
      <c r="W81" s="58">
        <f ca="1">Log_2020[[#This Row],[Amount]]/Log_2020[[#This Row],[Split_raw]]*MAX(0,MIN(_xlfn.DAYS(EDATE(W$1,1),Log_2020[[#This Row],[Date]]),Log_2020[[#This Row],[Split_apply]])) - SUM($O81:V81)</f>
        <v>0</v>
      </c>
      <c r="X81" s="58">
        <f ca="1">Log_2020[[#This Row],[Amount]]/Log_2020[[#This Row],[Split_raw]]*MAX(0,MIN(_xlfn.DAYS(EDATE(X$1,1),Log_2020[[#This Row],[Date]]),Log_2020[[#This Row],[Split_apply]])) - SUM($O81:W81)</f>
        <v>0</v>
      </c>
      <c r="Y81" s="58">
        <f ca="1">Log_2020[[#This Row],[Amount]]/Log_2020[[#This Row],[Split_raw]]*MAX(0,MIN(_xlfn.DAYS(EDATE(Y$1,1),Log_2020[[#This Row],[Date]]),Log_2020[[#This Row],[Split_apply]])) - SUM($O81:X81)</f>
        <v>0</v>
      </c>
      <c r="Z81" s="58">
        <f ca="1">Log_2020[[#This Row],[Amount]]/Log_2020[[#This Row],[Split_raw]]*MAX(0,MIN(_xlfn.DAYS(EDATE(Z$1,1),Log_2020[[#This Row],[Date]]),Log_2020[[#This Row],[Split_apply]])) - SUM($O81:Y81)</f>
        <v>0</v>
      </c>
      <c r="AA81" s="58">
        <f ca="1">Log_2020[[#This Row],[Amount]]/Log_2020[[#This Row],[Split_raw]]*MAX(0,MIN(_xlfn.DAYS(EDATE(AA$1,1),Log_2020[[#This Row],[Date]]),Log_2020[[#This Row],[Split_apply]])) - SUM($O81:Z81)</f>
        <v>0</v>
      </c>
      <c r="AB81" s="85">
        <f ca="1">Log_2020[[#This Row],[Amount]]*Log_2020[[#This Row],[Split_apply]]/Log_2020[[#This Row],[Split_raw]]-SUM(O81:AA81)</f>
        <v>0</v>
      </c>
      <c r="AC81" s="74">
        <f>MAX(0,Log_2020[[#This Row],[Split_raw]] - (EDATE(AA$1,1)-Log_2020[[#This Row],[Date]]))</f>
        <v>0</v>
      </c>
    </row>
    <row r="82" spans="1:29" x14ac:dyDescent="0.25">
      <c r="A82" s="37"/>
      <c r="B82" s="34" t="s">
        <v>6</v>
      </c>
      <c r="C82" s="34"/>
      <c r="D82" s="35">
        <v>43904</v>
      </c>
      <c r="E82" s="34" t="s">
        <v>1072</v>
      </c>
      <c r="F82" s="34" t="s">
        <v>1065</v>
      </c>
      <c r="G82" s="34" t="s">
        <v>11</v>
      </c>
      <c r="H82">
        <v>-8.4700000000000006</v>
      </c>
      <c r="I82" s="36">
        <f>IF(Log_2020[[#This Row],[My Category]]="NONTRACKED",0,Log_2020[[#This Row],[Raw Amount]])</f>
        <v>-8.4700000000000006</v>
      </c>
      <c r="J82" s="37">
        <f>ABS(Log_2020[[#This Row],[Amount]])</f>
        <v>8.4700000000000006</v>
      </c>
      <c r="K82" s="38">
        <v>1</v>
      </c>
      <c r="L82" s="38">
        <f ca="1">IF(Log_2020[[#This Row],[Date]]&lt;=TODAY(), MIN(Log_2020[[#This Row],[Split_raw]], TODAY()-Log_2020[[#This Row],[Date]]+1), 0)</f>
        <v>1</v>
      </c>
      <c r="M82" s="34" t="s">
        <v>145</v>
      </c>
      <c r="N82" s="34" t="s">
        <v>158</v>
      </c>
      <c r="O82" s="7"/>
      <c r="P82" s="58">
        <f ca="1">Log_2020[[#This Row],[Amount]]/Log_2020[[#This Row],[Split_raw]]*MAX(0,MIN(_xlfn.DAYS(EDATE(P$1,1),Log_2020[[#This Row],[Date]]),Log_2020[[#This Row],[Split_apply]])) - SUM($O82:O82)</f>
        <v>0</v>
      </c>
      <c r="Q82" s="58">
        <f ca="1">Log_2020[[#This Row],[Amount]]/Log_2020[[#This Row],[Split_raw]]*MAX(0,MIN(_xlfn.DAYS(EDATE(Q$1,1),Log_2020[[#This Row],[Date]]),Log_2020[[#This Row],[Split_apply]])) - SUM($O82:P82)</f>
        <v>0</v>
      </c>
      <c r="R82" s="58">
        <f ca="1">Log_2020[[#This Row],[Amount]]/Log_2020[[#This Row],[Split_raw]]*MAX(0,MIN(_xlfn.DAYS(EDATE(R$1,1),Log_2020[[#This Row],[Date]]),Log_2020[[#This Row],[Split_apply]])) - SUM($O82:Q82)</f>
        <v>-8.4700000000000006</v>
      </c>
      <c r="S82" s="58">
        <f ca="1">Log_2020[[#This Row],[Amount]]/Log_2020[[#This Row],[Split_raw]]*MAX(0,MIN(_xlfn.DAYS(EDATE(S$1,1),Log_2020[[#This Row],[Date]]),Log_2020[[#This Row],[Split_apply]])) - SUM($O82:R82)</f>
        <v>0</v>
      </c>
      <c r="T82" s="58">
        <f ca="1">Log_2020[[#This Row],[Amount]]/Log_2020[[#This Row],[Split_raw]]*MAX(0,MIN(_xlfn.DAYS(EDATE(T$1,1),Log_2020[[#This Row],[Date]]),Log_2020[[#This Row],[Split_apply]])) - SUM($O82:S82)</f>
        <v>0</v>
      </c>
      <c r="U82" s="58">
        <f ca="1">Log_2020[[#This Row],[Amount]]/Log_2020[[#This Row],[Split_raw]]*MAX(0,MIN(_xlfn.DAYS(EDATE(U$1,1),Log_2020[[#This Row],[Date]]),Log_2020[[#This Row],[Split_apply]])) - SUM($O82:T82)</f>
        <v>0</v>
      </c>
      <c r="V82" s="58">
        <f ca="1">Log_2020[[#This Row],[Amount]]/Log_2020[[#This Row],[Split_raw]]*MAX(0,MIN(_xlfn.DAYS(EDATE(V$1,1),Log_2020[[#This Row],[Date]]),Log_2020[[#This Row],[Split_apply]])) - SUM($O82:U82)</f>
        <v>0</v>
      </c>
      <c r="W82" s="58">
        <f ca="1">Log_2020[[#This Row],[Amount]]/Log_2020[[#This Row],[Split_raw]]*MAX(0,MIN(_xlfn.DAYS(EDATE(W$1,1),Log_2020[[#This Row],[Date]]),Log_2020[[#This Row],[Split_apply]])) - SUM($O82:V82)</f>
        <v>0</v>
      </c>
      <c r="X82" s="58">
        <f ca="1">Log_2020[[#This Row],[Amount]]/Log_2020[[#This Row],[Split_raw]]*MAX(0,MIN(_xlfn.DAYS(EDATE(X$1,1),Log_2020[[#This Row],[Date]]),Log_2020[[#This Row],[Split_apply]])) - SUM($O82:W82)</f>
        <v>0</v>
      </c>
      <c r="Y82" s="58">
        <f ca="1">Log_2020[[#This Row],[Amount]]/Log_2020[[#This Row],[Split_raw]]*MAX(0,MIN(_xlfn.DAYS(EDATE(Y$1,1),Log_2020[[#This Row],[Date]]),Log_2020[[#This Row],[Split_apply]])) - SUM($O82:X82)</f>
        <v>0</v>
      </c>
      <c r="Z82" s="58">
        <f ca="1">Log_2020[[#This Row],[Amount]]/Log_2020[[#This Row],[Split_raw]]*MAX(0,MIN(_xlfn.DAYS(EDATE(Z$1,1),Log_2020[[#This Row],[Date]]),Log_2020[[#This Row],[Split_apply]])) - SUM($O82:Y82)</f>
        <v>0</v>
      </c>
      <c r="AA82" s="58">
        <f ca="1">Log_2020[[#This Row],[Amount]]/Log_2020[[#This Row],[Split_raw]]*MAX(0,MIN(_xlfn.DAYS(EDATE(AA$1,1),Log_2020[[#This Row],[Date]]),Log_2020[[#This Row],[Split_apply]])) - SUM($O82:Z82)</f>
        <v>0</v>
      </c>
      <c r="AB82" s="85">
        <f ca="1">Log_2020[[#This Row],[Amount]]*Log_2020[[#This Row],[Split_apply]]/Log_2020[[#This Row],[Split_raw]]-SUM(O82:AA82)</f>
        <v>0</v>
      </c>
      <c r="AC82" s="74">
        <f>MAX(0,Log_2020[[#This Row],[Split_raw]] - (EDATE(AA$1,1)-Log_2020[[#This Row],[Date]]))</f>
        <v>0</v>
      </c>
    </row>
    <row r="83" spans="1:29" x14ac:dyDescent="0.25">
      <c r="A83" s="37"/>
      <c r="B83" s="34" t="s">
        <v>6</v>
      </c>
      <c r="C83" s="34"/>
      <c r="D83" s="35">
        <v>43903</v>
      </c>
      <c r="E83" s="34"/>
      <c r="F83" s="34" t="s">
        <v>1066</v>
      </c>
      <c r="G83" s="34" t="s">
        <v>25</v>
      </c>
      <c r="H83">
        <v>-15.11</v>
      </c>
      <c r="I83" s="36">
        <f>IF(Log_2020[[#This Row],[My Category]]="NONTRACKED",0,Log_2020[[#This Row],[Raw Amount]])</f>
        <v>-15.11</v>
      </c>
      <c r="J83" s="37">
        <f>ABS(Log_2020[[#This Row],[Amount]])</f>
        <v>15.11</v>
      </c>
      <c r="K83" s="38">
        <v>1</v>
      </c>
      <c r="L83" s="38">
        <f ca="1">IF(Log_2020[[#This Row],[Date]]&lt;=TODAY(), MIN(Log_2020[[#This Row],[Split_raw]], TODAY()-Log_2020[[#This Row],[Date]]+1), 0)</f>
        <v>1</v>
      </c>
      <c r="M83" s="34" t="s">
        <v>12</v>
      </c>
      <c r="N83" s="34" t="s">
        <v>158</v>
      </c>
      <c r="O83" s="7"/>
      <c r="P83" s="58">
        <f ca="1">Log_2020[[#This Row],[Amount]]/Log_2020[[#This Row],[Split_raw]]*MAX(0,MIN(_xlfn.DAYS(EDATE(P$1,1),Log_2020[[#This Row],[Date]]),Log_2020[[#This Row],[Split_apply]])) - SUM($O83:O83)</f>
        <v>0</v>
      </c>
      <c r="Q83" s="58">
        <f ca="1">Log_2020[[#This Row],[Amount]]/Log_2020[[#This Row],[Split_raw]]*MAX(0,MIN(_xlfn.DAYS(EDATE(Q$1,1),Log_2020[[#This Row],[Date]]),Log_2020[[#This Row],[Split_apply]])) - SUM($O83:P83)</f>
        <v>0</v>
      </c>
      <c r="R83" s="58">
        <f ca="1">Log_2020[[#This Row],[Amount]]/Log_2020[[#This Row],[Split_raw]]*MAX(0,MIN(_xlfn.DAYS(EDATE(R$1,1),Log_2020[[#This Row],[Date]]),Log_2020[[#This Row],[Split_apply]])) - SUM($O83:Q83)</f>
        <v>-15.11</v>
      </c>
      <c r="S83" s="58">
        <f ca="1">Log_2020[[#This Row],[Amount]]/Log_2020[[#This Row],[Split_raw]]*MAX(0,MIN(_xlfn.DAYS(EDATE(S$1,1),Log_2020[[#This Row],[Date]]),Log_2020[[#This Row],[Split_apply]])) - SUM($O83:R83)</f>
        <v>0</v>
      </c>
      <c r="T83" s="58">
        <f ca="1">Log_2020[[#This Row],[Amount]]/Log_2020[[#This Row],[Split_raw]]*MAX(0,MIN(_xlfn.DAYS(EDATE(T$1,1),Log_2020[[#This Row],[Date]]),Log_2020[[#This Row],[Split_apply]])) - SUM($O83:S83)</f>
        <v>0</v>
      </c>
      <c r="U83" s="58">
        <f ca="1">Log_2020[[#This Row],[Amount]]/Log_2020[[#This Row],[Split_raw]]*MAX(0,MIN(_xlfn.DAYS(EDATE(U$1,1),Log_2020[[#This Row],[Date]]),Log_2020[[#This Row],[Split_apply]])) - SUM($O83:T83)</f>
        <v>0</v>
      </c>
      <c r="V83" s="58">
        <f ca="1">Log_2020[[#This Row],[Amount]]/Log_2020[[#This Row],[Split_raw]]*MAX(0,MIN(_xlfn.DAYS(EDATE(V$1,1),Log_2020[[#This Row],[Date]]),Log_2020[[#This Row],[Split_apply]])) - SUM($O83:U83)</f>
        <v>0</v>
      </c>
      <c r="W83" s="58">
        <f ca="1">Log_2020[[#This Row],[Amount]]/Log_2020[[#This Row],[Split_raw]]*MAX(0,MIN(_xlfn.DAYS(EDATE(W$1,1),Log_2020[[#This Row],[Date]]),Log_2020[[#This Row],[Split_apply]])) - SUM($O83:V83)</f>
        <v>0</v>
      </c>
      <c r="X83" s="58">
        <f ca="1">Log_2020[[#This Row],[Amount]]/Log_2020[[#This Row],[Split_raw]]*MAX(0,MIN(_xlfn.DAYS(EDATE(X$1,1),Log_2020[[#This Row],[Date]]),Log_2020[[#This Row],[Split_apply]])) - SUM($O83:W83)</f>
        <v>0</v>
      </c>
      <c r="Y83" s="58">
        <f ca="1">Log_2020[[#This Row],[Amount]]/Log_2020[[#This Row],[Split_raw]]*MAX(0,MIN(_xlfn.DAYS(EDATE(Y$1,1),Log_2020[[#This Row],[Date]]),Log_2020[[#This Row],[Split_apply]])) - SUM($O83:X83)</f>
        <v>0</v>
      </c>
      <c r="Z83" s="58">
        <f ca="1">Log_2020[[#This Row],[Amount]]/Log_2020[[#This Row],[Split_raw]]*MAX(0,MIN(_xlfn.DAYS(EDATE(Z$1,1),Log_2020[[#This Row],[Date]]),Log_2020[[#This Row],[Split_apply]])) - SUM($O83:Y83)</f>
        <v>0</v>
      </c>
      <c r="AA83" s="58">
        <f ca="1">Log_2020[[#This Row],[Amount]]/Log_2020[[#This Row],[Split_raw]]*MAX(0,MIN(_xlfn.DAYS(EDATE(AA$1,1),Log_2020[[#This Row],[Date]]),Log_2020[[#This Row],[Split_apply]])) - SUM($O83:Z83)</f>
        <v>0</v>
      </c>
      <c r="AB83" s="85">
        <f ca="1">Log_2020[[#This Row],[Amount]]*Log_2020[[#This Row],[Split_apply]]/Log_2020[[#This Row],[Split_raw]]-SUM(O83:AA83)</f>
        <v>0</v>
      </c>
      <c r="AC83" s="74">
        <f>MAX(0,Log_2020[[#This Row],[Split_raw]] - (EDATE(AA$1,1)-Log_2020[[#This Row],[Date]]))</f>
        <v>0</v>
      </c>
    </row>
    <row r="84" spans="1:29" x14ac:dyDescent="0.25">
      <c r="A84" s="37"/>
      <c r="B84" s="34" t="s">
        <v>6</v>
      </c>
      <c r="C84" s="34"/>
      <c r="D84" s="35">
        <v>43903</v>
      </c>
      <c r="E84" s="34"/>
      <c r="F84" s="34" t="s">
        <v>381</v>
      </c>
      <c r="G84" s="34" t="s">
        <v>12</v>
      </c>
      <c r="H84">
        <v>-56</v>
      </c>
      <c r="I84" s="36">
        <f>IF(Log_2020[[#This Row],[My Category]]="NONTRACKED",0,Log_2020[[#This Row],[Raw Amount]])</f>
        <v>-56</v>
      </c>
      <c r="J84" s="37">
        <f>ABS(Log_2020[[#This Row],[Amount]])</f>
        <v>56</v>
      </c>
      <c r="K84" s="38">
        <v>1</v>
      </c>
      <c r="L84" s="38">
        <f ca="1">IF(Log_2020[[#This Row],[Date]]&lt;=TODAY(), MIN(Log_2020[[#This Row],[Split_raw]], TODAY()-Log_2020[[#This Row],[Date]]+1), 0)</f>
        <v>1</v>
      </c>
      <c r="M84" s="34" t="s">
        <v>12</v>
      </c>
      <c r="N84" s="34" t="s">
        <v>158</v>
      </c>
      <c r="O84" s="7"/>
      <c r="P84" s="58">
        <f ca="1">Log_2020[[#This Row],[Amount]]/Log_2020[[#This Row],[Split_raw]]*MAX(0,MIN(_xlfn.DAYS(EDATE(P$1,1),Log_2020[[#This Row],[Date]]),Log_2020[[#This Row],[Split_apply]])) - SUM($O84:O84)</f>
        <v>0</v>
      </c>
      <c r="Q84" s="58">
        <f ca="1">Log_2020[[#This Row],[Amount]]/Log_2020[[#This Row],[Split_raw]]*MAX(0,MIN(_xlfn.DAYS(EDATE(Q$1,1),Log_2020[[#This Row],[Date]]),Log_2020[[#This Row],[Split_apply]])) - SUM($O84:P84)</f>
        <v>0</v>
      </c>
      <c r="R84" s="58">
        <f ca="1">Log_2020[[#This Row],[Amount]]/Log_2020[[#This Row],[Split_raw]]*MAX(0,MIN(_xlfn.DAYS(EDATE(R$1,1),Log_2020[[#This Row],[Date]]),Log_2020[[#This Row],[Split_apply]])) - SUM($O84:Q84)</f>
        <v>-56</v>
      </c>
      <c r="S84" s="58">
        <f ca="1">Log_2020[[#This Row],[Amount]]/Log_2020[[#This Row],[Split_raw]]*MAX(0,MIN(_xlfn.DAYS(EDATE(S$1,1),Log_2020[[#This Row],[Date]]),Log_2020[[#This Row],[Split_apply]])) - SUM($O84:R84)</f>
        <v>0</v>
      </c>
      <c r="T84" s="58">
        <f ca="1">Log_2020[[#This Row],[Amount]]/Log_2020[[#This Row],[Split_raw]]*MAX(0,MIN(_xlfn.DAYS(EDATE(T$1,1),Log_2020[[#This Row],[Date]]),Log_2020[[#This Row],[Split_apply]])) - SUM($O84:S84)</f>
        <v>0</v>
      </c>
      <c r="U84" s="58">
        <f ca="1">Log_2020[[#This Row],[Amount]]/Log_2020[[#This Row],[Split_raw]]*MAX(0,MIN(_xlfn.DAYS(EDATE(U$1,1),Log_2020[[#This Row],[Date]]),Log_2020[[#This Row],[Split_apply]])) - SUM($O84:T84)</f>
        <v>0</v>
      </c>
      <c r="V84" s="58">
        <f ca="1">Log_2020[[#This Row],[Amount]]/Log_2020[[#This Row],[Split_raw]]*MAX(0,MIN(_xlfn.DAYS(EDATE(V$1,1),Log_2020[[#This Row],[Date]]),Log_2020[[#This Row],[Split_apply]])) - SUM($O84:U84)</f>
        <v>0</v>
      </c>
      <c r="W84" s="58">
        <f ca="1">Log_2020[[#This Row],[Amount]]/Log_2020[[#This Row],[Split_raw]]*MAX(0,MIN(_xlfn.DAYS(EDATE(W$1,1),Log_2020[[#This Row],[Date]]),Log_2020[[#This Row],[Split_apply]])) - SUM($O84:V84)</f>
        <v>0</v>
      </c>
      <c r="X84" s="58">
        <f ca="1">Log_2020[[#This Row],[Amount]]/Log_2020[[#This Row],[Split_raw]]*MAX(0,MIN(_xlfn.DAYS(EDATE(X$1,1),Log_2020[[#This Row],[Date]]),Log_2020[[#This Row],[Split_apply]])) - SUM($O84:W84)</f>
        <v>0</v>
      </c>
      <c r="Y84" s="58">
        <f ca="1">Log_2020[[#This Row],[Amount]]/Log_2020[[#This Row],[Split_raw]]*MAX(0,MIN(_xlfn.DAYS(EDATE(Y$1,1),Log_2020[[#This Row],[Date]]),Log_2020[[#This Row],[Split_apply]])) - SUM($O84:X84)</f>
        <v>0</v>
      </c>
      <c r="Z84" s="58">
        <f ca="1">Log_2020[[#This Row],[Amount]]/Log_2020[[#This Row],[Split_raw]]*MAX(0,MIN(_xlfn.DAYS(EDATE(Z$1,1),Log_2020[[#This Row],[Date]]),Log_2020[[#This Row],[Split_apply]])) - SUM($O84:Y84)</f>
        <v>0</v>
      </c>
      <c r="AA84" s="58">
        <f ca="1">Log_2020[[#This Row],[Amount]]/Log_2020[[#This Row],[Split_raw]]*MAX(0,MIN(_xlfn.DAYS(EDATE(AA$1,1),Log_2020[[#This Row],[Date]]),Log_2020[[#This Row],[Split_apply]])) - SUM($O84:Z84)</f>
        <v>0</v>
      </c>
      <c r="AB84" s="85">
        <f ca="1">Log_2020[[#This Row],[Amount]]*Log_2020[[#This Row],[Split_apply]]/Log_2020[[#This Row],[Split_raw]]-SUM(O84:AA84)</f>
        <v>0</v>
      </c>
      <c r="AC84" s="74">
        <f>MAX(0,Log_2020[[#This Row],[Split_raw]] - (EDATE(AA$1,1)-Log_2020[[#This Row],[Date]]))</f>
        <v>0</v>
      </c>
    </row>
    <row r="85" spans="1:29" x14ac:dyDescent="0.25">
      <c r="A85" s="37"/>
      <c r="B85" s="34" t="s">
        <v>6</v>
      </c>
      <c r="C85" s="34"/>
      <c r="D85" s="35">
        <v>43902</v>
      </c>
      <c r="E85" s="34"/>
      <c r="F85" s="34" t="s">
        <v>569</v>
      </c>
      <c r="G85" s="34" t="s">
        <v>747</v>
      </c>
      <c r="H85">
        <f>--1902.81</f>
        <v>1902.81</v>
      </c>
      <c r="I85" s="36">
        <f>IF(Log_2020[[#This Row],[My Category]]="NONTRACKED",0,Log_2020[[#This Row],[Raw Amount]])</f>
        <v>1902.81</v>
      </c>
      <c r="J85" s="37">
        <f>ABS(Log_2020[[#This Row],[Amount]])</f>
        <v>1902.81</v>
      </c>
      <c r="K85" s="38">
        <v>14</v>
      </c>
      <c r="L85" s="38">
        <f ca="1">IF(Log_2020[[#This Row],[Date]]&lt;=TODAY(), MIN(Log_2020[[#This Row],[Split_raw]], TODAY()-Log_2020[[#This Row],[Date]]+1), 0)</f>
        <v>14</v>
      </c>
      <c r="M85" s="34" t="s">
        <v>91</v>
      </c>
      <c r="N85" s="34" t="s">
        <v>160</v>
      </c>
      <c r="O85" s="7"/>
      <c r="P85" s="58">
        <f ca="1">Log_2020[[#This Row],[Amount]]/Log_2020[[#This Row],[Split_raw]]*MAX(0,MIN(_xlfn.DAYS(EDATE(P$1,1),Log_2020[[#This Row],[Date]]),Log_2020[[#This Row],[Split_apply]])) - SUM($O85:O85)</f>
        <v>0</v>
      </c>
      <c r="Q85" s="58">
        <f ca="1">Log_2020[[#This Row],[Amount]]/Log_2020[[#This Row],[Split_raw]]*MAX(0,MIN(_xlfn.DAYS(EDATE(Q$1,1),Log_2020[[#This Row],[Date]]),Log_2020[[#This Row],[Split_apply]])) - SUM($O85:P85)</f>
        <v>0</v>
      </c>
      <c r="R85" s="58">
        <f ca="1">Log_2020[[#This Row],[Amount]]/Log_2020[[#This Row],[Split_raw]]*MAX(0,MIN(_xlfn.DAYS(EDATE(R$1,1),Log_2020[[#This Row],[Date]]),Log_2020[[#This Row],[Split_apply]])) - SUM($O85:Q85)</f>
        <v>1902.81</v>
      </c>
      <c r="S85" s="58">
        <f ca="1">Log_2020[[#This Row],[Amount]]/Log_2020[[#This Row],[Split_raw]]*MAX(0,MIN(_xlfn.DAYS(EDATE(S$1,1),Log_2020[[#This Row],[Date]]),Log_2020[[#This Row],[Split_apply]])) - SUM($O85:R85)</f>
        <v>0</v>
      </c>
      <c r="T85" s="58">
        <f ca="1">Log_2020[[#This Row],[Amount]]/Log_2020[[#This Row],[Split_raw]]*MAX(0,MIN(_xlfn.DAYS(EDATE(T$1,1),Log_2020[[#This Row],[Date]]),Log_2020[[#This Row],[Split_apply]])) - SUM($O85:S85)</f>
        <v>0</v>
      </c>
      <c r="U85" s="58">
        <f ca="1">Log_2020[[#This Row],[Amount]]/Log_2020[[#This Row],[Split_raw]]*MAX(0,MIN(_xlfn.DAYS(EDATE(U$1,1),Log_2020[[#This Row],[Date]]),Log_2020[[#This Row],[Split_apply]])) - SUM($O85:T85)</f>
        <v>0</v>
      </c>
      <c r="V85" s="58">
        <f ca="1">Log_2020[[#This Row],[Amount]]/Log_2020[[#This Row],[Split_raw]]*MAX(0,MIN(_xlfn.DAYS(EDATE(V$1,1),Log_2020[[#This Row],[Date]]),Log_2020[[#This Row],[Split_apply]])) - SUM($O85:U85)</f>
        <v>0</v>
      </c>
      <c r="W85" s="58">
        <f ca="1">Log_2020[[#This Row],[Amount]]/Log_2020[[#This Row],[Split_raw]]*MAX(0,MIN(_xlfn.DAYS(EDATE(W$1,1),Log_2020[[#This Row],[Date]]),Log_2020[[#This Row],[Split_apply]])) - SUM($O85:V85)</f>
        <v>0</v>
      </c>
      <c r="X85" s="58">
        <f ca="1">Log_2020[[#This Row],[Amount]]/Log_2020[[#This Row],[Split_raw]]*MAX(0,MIN(_xlfn.DAYS(EDATE(X$1,1),Log_2020[[#This Row],[Date]]),Log_2020[[#This Row],[Split_apply]])) - SUM($O85:W85)</f>
        <v>0</v>
      </c>
      <c r="Y85" s="58">
        <f ca="1">Log_2020[[#This Row],[Amount]]/Log_2020[[#This Row],[Split_raw]]*MAX(0,MIN(_xlfn.DAYS(EDATE(Y$1,1),Log_2020[[#This Row],[Date]]),Log_2020[[#This Row],[Split_apply]])) - SUM($O85:X85)</f>
        <v>0</v>
      </c>
      <c r="Z85" s="58">
        <f ca="1">Log_2020[[#This Row],[Amount]]/Log_2020[[#This Row],[Split_raw]]*MAX(0,MIN(_xlfn.DAYS(EDATE(Z$1,1),Log_2020[[#This Row],[Date]]),Log_2020[[#This Row],[Split_apply]])) - SUM($O85:Y85)</f>
        <v>0</v>
      </c>
      <c r="AA85" s="58">
        <f ca="1">Log_2020[[#This Row],[Amount]]/Log_2020[[#This Row],[Split_raw]]*MAX(0,MIN(_xlfn.DAYS(EDATE(AA$1,1),Log_2020[[#This Row],[Date]]),Log_2020[[#This Row],[Split_apply]])) - SUM($O85:Z85)</f>
        <v>0</v>
      </c>
      <c r="AB85" s="85">
        <f ca="1">Log_2020[[#This Row],[Amount]]*Log_2020[[#This Row],[Split_apply]]/Log_2020[[#This Row],[Split_raw]]-SUM(O85:AA85)</f>
        <v>0</v>
      </c>
      <c r="AC85" s="74">
        <f>MAX(0,Log_2020[[#This Row],[Split_raw]] - (EDATE(AA$1,1)-Log_2020[[#This Row],[Date]]))</f>
        <v>0</v>
      </c>
    </row>
    <row r="86" spans="1:29" x14ac:dyDescent="0.25">
      <c r="A86" s="37"/>
      <c r="B86" s="34" t="s">
        <v>6</v>
      </c>
      <c r="C86" s="34"/>
      <c r="D86" s="35">
        <v>43901</v>
      </c>
      <c r="E86" s="34"/>
      <c r="F86" s="34" t="s">
        <v>83</v>
      </c>
      <c r="G86" s="34" t="s">
        <v>15</v>
      </c>
      <c r="H86">
        <v>-211.49</v>
      </c>
      <c r="I86" s="36">
        <f>IF(Log_2020[[#This Row],[My Category]]="NONTRACKED",0,Log_2020[[#This Row],[Raw Amount]])</f>
        <v>-211.49</v>
      </c>
      <c r="J86" s="37">
        <f>ABS(Log_2020[[#This Row],[Amount]])</f>
        <v>211.49</v>
      </c>
      <c r="K86" s="38">
        <v>30</v>
      </c>
      <c r="L86" s="38">
        <f ca="1">IF(Log_2020[[#This Row],[Date]]&lt;=TODAY(), MIN(Log_2020[[#This Row],[Split_raw]], TODAY()-Log_2020[[#This Row],[Date]]+1), 0)</f>
        <v>30</v>
      </c>
      <c r="M86" s="34" t="s">
        <v>241</v>
      </c>
      <c r="N86" s="34" t="s">
        <v>160</v>
      </c>
      <c r="O86" s="7"/>
      <c r="P86" s="58">
        <f ca="1">Log_2020[[#This Row],[Amount]]/Log_2020[[#This Row],[Split_raw]]*MAX(0,MIN(_xlfn.DAYS(EDATE(P$1,1),Log_2020[[#This Row],[Date]]),Log_2020[[#This Row],[Split_apply]])) - SUM($O86:O86)</f>
        <v>0</v>
      </c>
      <c r="Q86" s="58">
        <f ca="1">Log_2020[[#This Row],[Amount]]/Log_2020[[#This Row],[Split_raw]]*MAX(0,MIN(_xlfn.DAYS(EDATE(Q$1,1),Log_2020[[#This Row],[Date]]),Log_2020[[#This Row],[Split_apply]])) - SUM($O86:P86)</f>
        <v>0</v>
      </c>
      <c r="R86" s="58">
        <f ca="1">Log_2020[[#This Row],[Amount]]/Log_2020[[#This Row],[Split_raw]]*MAX(0,MIN(_xlfn.DAYS(EDATE(R$1,1),Log_2020[[#This Row],[Date]]),Log_2020[[#This Row],[Split_apply]])) - SUM($O86:Q86)</f>
        <v>-148.04300000000001</v>
      </c>
      <c r="S86" s="58">
        <f ca="1">Log_2020[[#This Row],[Amount]]/Log_2020[[#This Row],[Split_raw]]*MAX(0,MIN(_xlfn.DAYS(EDATE(S$1,1),Log_2020[[#This Row],[Date]]),Log_2020[[#This Row],[Split_apply]])) - SUM($O86:R86)</f>
        <v>-63.447000000000003</v>
      </c>
      <c r="T86" s="58">
        <f ca="1">Log_2020[[#This Row],[Amount]]/Log_2020[[#This Row],[Split_raw]]*MAX(0,MIN(_xlfn.DAYS(EDATE(T$1,1),Log_2020[[#This Row],[Date]]),Log_2020[[#This Row],[Split_apply]])) - SUM($O86:S86)</f>
        <v>0</v>
      </c>
      <c r="U86" s="58">
        <f ca="1">Log_2020[[#This Row],[Amount]]/Log_2020[[#This Row],[Split_raw]]*MAX(0,MIN(_xlfn.DAYS(EDATE(U$1,1),Log_2020[[#This Row],[Date]]),Log_2020[[#This Row],[Split_apply]])) - SUM($O86:T86)</f>
        <v>0</v>
      </c>
      <c r="V86" s="58">
        <f ca="1">Log_2020[[#This Row],[Amount]]/Log_2020[[#This Row],[Split_raw]]*MAX(0,MIN(_xlfn.DAYS(EDATE(V$1,1),Log_2020[[#This Row],[Date]]),Log_2020[[#This Row],[Split_apply]])) - SUM($O86:U86)</f>
        <v>0</v>
      </c>
      <c r="W86" s="58">
        <f ca="1">Log_2020[[#This Row],[Amount]]/Log_2020[[#This Row],[Split_raw]]*MAX(0,MIN(_xlfn.DAYS(EDATE(W$1,1),Log_2020[[#This Row],[Date]]),Log_2020[[#This Row],[Split_apply]])) - SUM($O86:V86)</f>
        <v>0</v>
      </c>
      <c r="X86" s="58">
        <f ca="1">Log_2020[[#This Row],[Amount]]/Log_2020[[#This Row],[Split_raw]]*MAX(0,MIN(_xlfn.DAYS(EDATE(X$1,1),Log_2020[[#This Row],[Date]]),Log_2020[[#This Row],[Split_apply]])) - SUM($O86:W86)</f>
        <v>0</v>
      </c>
      <c r="Y86" s="58">
        <f ca="1">Log_2020[[#This Row],[Amount]]/Log_2020[[#This Row],[Split_raw]]*MAX(0,MIN(_xlfn.DAYS(EDATE(Y$1,1),Log_2020[[#This Row],[Date]]),Log_2020[[#This Row],[Split_apply]])) - SUM($O86:X86)</f>
        <v>0</v>
      </c>
      <c r="Z86" s="58">
        <f ca="1">Log_2020[[#This Row],[Amount]]/Log_2020[[#This Row],[Split_raw]]*MAX(0,MIN(_xlfn.DAYS(EDATE(Z$1,1),Log_2020[[#This Row],[Date]]),Log_2020[[#This Row],[Split_apply]])) - SUM($O86:Y86)</f>
        <v>0</v>
      </c>
      <c r="AA86" s="58">
        <f ca="1">Log_2020[[#This Row],[Amount]]/Log_2020[[#This Row],[Split_raw]]*MAX(0,MIN(_xlfn.DAYS(EDATE(AA$1,1),Log_2020[[#This Row],[Date]]),Log_2020[[#This Row],[Split_apply]])) - SUM($O86:Z86)</f>
        <v>0</v>
      </c>
      <c r="AB86" s="85">
        <f ca="1">Log_2020[[#This Row],[Amount]]*Log_2020[[#This Row],[Split_apply]]/Log_2020[[#This Row],[Split_raw]]-SUM(O86:AA86)</f>
        <v>0</v>
      </c>
      <c r="AC86" s="74">
        <f>MAX(0,Log_2020[[#This Row],[Split_raw]] - (EDATE(AA$1,1)-Log_2020[[#This Row],[Date]]))</f>
        <v>0</v>
      </c>
    </row>
    <row r="87" spans="1:29" x14ac:dyDescent="0.25">
      <c r="A87" s="37"/>
      <c r="B87" s="34" t="s">
        <v>6</v>
      </c>
      <c r="C87" s="34"/>
      <c r="D87" s="35">
        <v>43901</v>
      </c>
      <c r="E87" s="34"/>
      <c r="F87" s="34" t="s">
        <v>1058</v>
      </c>
      <c r="G87" s="34" t="s">
        <v>29</v>
      </c>
      <c r="H87">
        <v>-109.24</v>
      </c>
      <c r="I87" s="36">
        <f>IF(Log_2020[[#This Row],[My Category]]="NONTRACKED",0,Log_2020[[#This Row],[Raw Amount]])</f>
        <v>-109.24</v>
      </c>
      <c r="J87" s="37">
        <f>ABS(Log_2020[[#This Row],[Amount]])</f>
        <v>109.24</v>
      </c>
      <c r="K87" s="38">
        <v>30</v>
      </c>
      <c r="L87" s="38">
        <f ca="1">IF(Log_2020[[#This Row],[Date]]&lt;=TODAY(), MIN(Log_2020[[#This Row],[Split_raw]], TODAY()-Log_2020[[#This Row],[Date]]+1), 0)</f>
        <v>30</v>
      </c>
      <c r="M87" s="34" t="s">
        <v>29</v>
      </c>
      <c r="N87" s="34" t="s">
        <v>160</v>
      </c>
      <c r="O87" s="7"/>
      <c r="P87" s="58">
        <f ca="1">Log_2020[[#This Row],[Amount]]/Log_2020[[#This Row],[Split_raw]]*MAX(0,MIN(_xlfn.DAYS(EDATE(P$1,1),Log_2020[[#This Row],[Date]]),Log_2020[[#This Row],[Split_apply]])) - SUM($O87:O87)</f>
        <v>0</v>
      </c>
      <c r="Q87" s="58">
        <f ca="1">Log_2020[[#This Row],[Amount]]/Log_2020[[#This Row],[Split_raw]]*MAX(0,MIN(_xlfn.DAYS(EDATE(Q$1,1),Log_2020[[#This Row],[Date]]),Log_2020[[#This Row],[Split_apply]])) - SUM($O87:P87)</f>
        <v>0</v>
      </c>
      <c r="R87" s="58">
        <f ca="1">Log_2020[[#This Row],[Amount]]/Log_2020[[#This Row],[Split_raw]]*MAX(0,MIN(_xlfn.DAYS(EDATE(R$1,1),Log_2020[[#This Row],[Date]]),Log_2020[[#This Row],[Split_apply]])) - SUM($O87:Q87)</f>
        <v>-76.468000000000004</v>
      </c>
      <c r="S87" s="58">
        <f ca="1">Log_2020[[#This Row],[Amount]]/Log_2020[[#This Row],[Split_raw]]*MAX(0,MIN(_xlfn.DAYS(EDATE(S$1,1),Log_2020[[#This Row],[Date]]),Log_2020[[#This Row],[Split_apply]])) - SUM($O87:R87)</f>
        <v>-32.771999999999991</v>
      </c>
      <c r="T87" s="58">
        <f ca="1">Log_2020[[#This Row],[Amount]]/Log_2020[[#This Row],[Split_raw]]*MAX(0,MIN(_xlfn.DAYS(EDATE(T$1,1),Log_2020[[#This Row],[Date]]),Log_2020[[#This Row],[Split_apply]])) - SUM($O87:S87)</f>
        <v>0</v>
      </c>
      <c r="U87" s="58">
        <f ca="1">Log_2020[[#This Row],[Amount]]/Log_2020[[#This Row],[Split_raw]]*MAX(0,MIN(_xlfn.DAYS(EDATE(U$1,1),Log_2020[[#This Row],[Date]]),Log_2020[[#This Row],[Split_apply]])) - SUM($O87:T87)</f>
        <v>0</v>
      </c>
      <c r="V87" s="58">
        <f ca="1">Log_2020[[#This Row],[Amount]]/Log_2020[[#This Row],[Split_raw]]*MAX(0,MIN(_xlfn.DAYS(EDATE(V$1,1),Log_2020[[#This Row],[Date]]),Log_2020[[#This Row],[Split_apply]])) - SUM($O87:U87)</f>
        <v>0</v>
      </c>
      <c r="W87" s="58">
        <f ca="1">Log_2020[[#This Row],[Amount]]/Log_2020[[#This Row],[Split_raw]]*MAX(0,MIN(_xlfn.DAYS(EDATE(W$1,1),Log_2020[[#This Row],[Date]]),Log_2020[[#This Row],[Split_apply]])) - SUM($O87:V87)</f>
        <v>0</v>
      </c>
      <c r="X87" s="58">
        <f ca="1">Log_2020[[#This Row],[Amount]]/Log_2020[[#This Row],[Split_raw]]*MAX(0,MIN(_xlfn.DAYS(EDATE(X$1,1),Log_2020[[#This Row],[Date]]),Log_2020[[#This Row],[Split_apply]])) - SUM($O87:W87)</f>
        <v>0</v>
      </c>
      <c r="Y87" s="58">
        <f ca="1">Log_2020[[#This Row],[Amount]]/Log_2020[[#This Row],[Split_raw]]*MAX(0,MIN(_xlfn.DAYS(EDATE(Y$1,1),Log_2020[[#This Row],[Date]]),Log_2020[[#This Row],[Split_apply]])) - SUM($O87:X87)</f>
        <v>0</v>
      </c>
      <c r="Z87" s="58">
        <f ca="1">Log_2020[[#This Row],[Amount]]/Log_2020[[#This Row],[Split_raw]]*MAX(0,MIN(_xlfn.DAYS(EDATE(Z$1,1),Log_2020[[#This Row],[Date]]),Log_2020[[#This Row],[Split_apply]])) - SUM($O87:Y87)</f>
        <v>0</v>
      </c>
      <c r="AA87" s="58">
        <f ca="1">Log_2020[[#This Row],[Amount]]/Log_2020[[#This Row],[Split_raw]]*MAX(0,MIN(_xlfn.DAYS(EDATE(AA$1,1),Log_2020[[#This Row],[Date]]),Log_2020[[#This Row],[Split_apply]])) - SUM($O87:Z87)</f>
        <v>0</v>
      </c>
      <c r="AB87" s="85">
        <f ca="1">Log_2020[[#This Row],[Amount]]*Log_2020[[#This Row],[Split_apply]]/Log_2020[[#This Row],[Split_raw]]-SUM(O87:AA87)</f>
        <v>0</v>
      </c>
      <c r="AC87" s="74">
        <f>MAX(0,Log_2020[[#This Row],[Split_raw]] - (EDATE(AA$1,1)-Log_2020[[#This Row],[Date]]))</f>
        <v>0</v>
      </c>
    </row>
    <row r="88" spans="1:29" x14ac:dyDescent="0.25">
      <c r="A88" s="37"/>
      <c r="B88" s="34" t="s">
        <v>6</v>
      </c>
      <c r="C88" s="34"/>
      <c r="D88" s="35">
        <v>43901</v>
      </c>
      <c r="E88" s="34"/>
      <c r="F88" s="34" t="s">
        <v>306</v>
      </c>
      <c r="G88" s="34" t="s">
        <v>25</v>
      </c>
      <c r="H88">
        <v>-10.25</v>
      </c>
      <c r="I88" s="36">
        <f>IF(Log_2020[[#This Row],[My Category]]="NONTRACKED",0,Log_2020[[#This Row],[Raw Amount]])</f>
        <v>-10.25</v>
      </c>
      <c r="J88" s="37">
        <f>ABS(Log_2020[[#This Row],[Amount]])</f>
        <v>10.25</v>
      </c>
      <c r="K88" s="38">
        <v>1</v>
      </c>
      <c r="L88" s="38">
        <f ca="1">IF(Log_2020[[#This Row],[Date]]&lt;=TODAY(), MIN(Log_2020[[#This Row],[Split_raw]], TODAY()-Log_2020[[#This Row],[Date]]+1), 0)</f>
        <v>1</v>
      </c>
      <c r="M88" s="34" t="s">
        <v>35</v>
      </c>
      <c r="N88" s="34" t="s">
        <v>158</v>
      </c>
      <c r="O88" s="7"/>
      <c r="P88" s="58">
        <f ca="1">Log_2020[[#This Row],[Amount]]/Log_2020[[#This Row],[Split_raw]]*MAX(0,MIN(_xlfn.DAYS(EDATE(P$1,1),Log_2020[[#This Row],[Date]]),Log_2020[[#This Row],[Split_apply]])) - SUM($O88:O88)</f>
        <v>0</v>
      </c>
      <c r="Q88" s="58">
        <f ca="1">Log_2020[[#This Row],[Amount]]/Log_2020[[#This Row],[Split_raw]]*MAX(0,MIN(_xlfn.DAYS(EDATE(Q$1,1),Log_2020[[#This Row],[Date]]),Log_2020[[#This Row],[Split_apply]])) - SUM($O88:P88)</f>
        <v>0</v>
      </c>
      <c r="R88" s="58">
        <f ca="1">Log_2020[[#This Row],[Amount]]/Log_2020[[#This Row],[Split_raw]]*MAX(0,MIN(_xlfn.DAYS(EDATE(R$1,1),Log_2020[[#This Row],[Date]]),Log_2020[[#This Row],[Split_apply]])) - SUM($O88:Q88)</f>
        <v>-10.25</v>
      </c>
      <c r="S88" s="58">
        <f ca="1">Log_2020[[#This Row],[Amount]]/Log_2020[[#This Row],[Split_raw]]*MAX(0,MIN(_xlfn.DAYS(EDATE(S$1,1),Log_2020[[#This Row],[Date]]),Log_2020[[#This Row],[Split_apply]])) - SUM($O88:R88)</f>
        <v>0</v>
      </c>
      <c r="T88" s="58">
        <f ca="1">Log_2020[[#This Row],[Amount]]/Log_2020[[#This Row],[Split_raw]]*MAX(0,MIN(_xlfn.DAYS(EDATE(T$1,1),Log_2020[[#This Row],[Date]]),Log_2020[[#This Row],[Split_apply]])) - SUM($O88:S88)</f>
        <v>0</v>
      </c>
      <c r="U88" s="58">
        <f ca="1">Log_2020[[#This Row],[Amount]]/Log_2020[[#This Row],[Split_raw]]*MAX(0,MIN(_xlfn.DAYS(EDATE(U$1,1),Log_2020[[#This Row],[Date]]),Log_2020[[#This Row],[Split_apply]])) - SUM($O88:T88)</f>
        <v>0</v>
      </c>
      <c r="V88" s="58">
        <f ca="1">Log_2020[[#This Row],[Amount]]/Log_2020[[#This Row],[Split_raw]]*MAX(0,MIN(_xlfn.DAYS(EDATE(V$1,1),Log_2020[[#This Row],[Date]]),Log_2020[[#This Row],[Split_apply]])) - SUM($O88:U88)</f>
        <v>0</v>
      </c>
      <c r="W88" s="58">
        <f ca="1">Log_2020[[#This Row],[Amount]]/Log_2020[[#This Row],[Split_raw]]*MAX(0,MIN(_xlfn.DAYS(EDATE(W$1,1),Log_2020[[#This Row],[Date]]),Log_2020[[#This Row],[Split_apply]])) - SUM($O88:V88)</f>
        <v>0</v>
      </c>
      <c r="X88" s="58">
        <f ca="1">Log_2020[[#This Row],[Amount]]/Log_2020[[#This Row],[Split_raw]]*MAX(0,MIN(_xlfn.DAYS(EDATE(X$1,1),Log_2020[[#This Row],[Date]]),Log_2020[[#This Row],[Split_apply]])) - SUM($O88:W88)</f>
        <v>0</v>
      </c>
      <c r="Y88" s="58">
        <f ca="1">Log_2020[[#This Row],[Amount]]/Log_2020[[#This Row],[Split_raw]]*MAX(0,MIN(_xlfn.DAYS(EDATE(Y$1,1),Log_2020[[#This Row],[Date]]),Log_2020[[#This Row],[Split_apply]])) - SUM($O88:X88)</f>
        <v>0</v>
      </c>
      <c r="Z88" s="58">
        <f ca="1">Log_2020[[#This Row],[Amount]]/Log_2020[[#This Row],[Split_raw]]*MAX(0,MIN(_xlfn.DAYS(EDATE(Z$1,1),Log_2020[[#This Row],[Date]]),Log_2020[[#This Row],[Split_apply]])) - SUM($O88:Y88)</f>
        <v>0</v>
      </c>
      <c r="AA88" s="58">
        <f ca="1">Log_2020[[#This Row],[Amount]]/Log_2020[[#This Row],[Split_raw]]*MAX(0,MIN(_xlfn.DAYS(EDATE(AA$1,1),Log_2020[[#This Row],[Date]]),Log_2020[[#This Row],[Split_apply]])) - SUM($O88:Z88)</f>
        <v>0</v>
      </c>
      <c r="AB88" s="85">
        <f ca="1">Log_2020[[#This Row],[Amount]]*Log_2020[[#This Row],[Split_apply]]/Log_2020[[#This Row],[Split_raw]]-SUM(O88:AA88)</f>
        <v>0</v>
      </c>
      <c r="AC88" s="74">
        <f>MAX(0,Log_2020[[#This Row],[Split_raw]] - (EDATE(AA$1,1)-Log_2020[[#This Row],[Date]]))</f>
        <v>0</v>
      </c>
    </row>
    <row r="89" spans="1:29" x14ac:dyDescent="0.25">
      <c r="A89" s="37"/>
      <c r="B89" s="34" t="s">
        <v>6</v>
      </c>
      <c r="C89" s="34"/>
      <c r="D89" s="35">
        <v>43900</v>
      </c>
      <c r="E89" s="34" t="s">
        <v>250</v>
      </c>
      <c r="F89" s="34" t="s">
        <v>243</v>
      </c>
      <c r="G89" s="34" t="s">
        <v>143</v>
      </c>
      <c r="H89">
        <v>-10.81</v>
      </c>
      <c r="I89" s="36">
        <f>IF(Log_2020[[#This Row],[My Category]]="NONTRACKED",0,Log_2020[[#This Row],[Raw Amount]])</f>
        <v>-10.81</v>
      </c>
      <c r="J89" s="37">
        <f>ABS(Log_2020[[#This Row],[Amount]])</f>
        <v>10.81</v>
      </c>
      <c r="K89" s="38">
        <v>30</v>
      </c>
      <c r="L89" s="38">
        <f ca="1">IF(Log_2020[[#This Row],[Date]]&lt;=TODAY(), MIN(Log_2020[[#This Row],[Split_raw]], TODAY()-Log_2020[[#This Row],[Date]]+1), 0)</f>
        <v>30</v>
      </c>
      <c r="M89" s="34" t="s">
        <v>53</v>
      </c>
      <c r="N89" s="34" t="s">
        <v>160</v>
      </c>
      <c r="O89" s="7"/>
      <c r="P89" s="58">
        <f ca="1">Log_2020[[#This Row],[Amount]]/Log_2020[[#This Row],[Split_raw]]*MAX(0,MIN(_xlfn.DAYS(EDATE(P$1,1),Log_2020[[#This Row],[Date]]),Log_2020[[#This Row],[Split_apply]])) - SUM($O89:O89)</f>
        <v>0</v>
      </c>
      <c r="Q89" s="58">
        <f ca="1">Log_2020[[#This Row],[Amount]]/Log_2020[[#This Row],[Split_raw]]*MAX(0,MIN(_xlfn.DAYS(EDATE(Q$1,1),Log_2020[[#This Row],[Date]]),Log_2020[[#This Row],[Split_apply]])) - SUM($O89:P89)</f>
        <v>0</v>
      </c>
      <c r="R89" s="58">
        <f ca="1">Log_2020[[#This Row],[Amount]]/Log_2020[[#This Row],[Split_raw]]*MAX(0,MIN(_xlfn.DAYS(EDATE(R$1,1),Log_2020[[#This Row],[Date]]),Log_2020[[#This Row],[Split_apply]])) - SUM($O89:Q89)</f>
        <v>-7.9273333333333333</v>
      </c>
      <c r="S89" s="58">
        <f ca="1">Log_2020[[#This Row],[Amount]]/Log_2020[[#This Row],[Split_raw]]*MAX(0,MIN(_xlfn.DAYS(EDATE(S$1,1),Log_2020[[#This Row],[Date]]),Log_2020[[#This Row],[Split_apply]])) - SUM($O89:R89)</f>
        <v>-2.8826666666666672</v>
      </c>
      <c r="T89" s="58">
        <f ca="1">Log_2020[[#This Row],[Amount]]/Log_2020[[#This Row],[Split_raw]]*MAX(0,MIN(_xlfn.DAYS(EDATE(T$1,1),Log_2020[[#This Row],[Date]]),Log_2020[[#This Row],[Split_apply]])) - SUM($O89:S89)</f>
        <v>0</v>
      </c>
      <c r="U89" s="58">
        <f ca="1">Log_2020[[#This Row],[Amount]]/Log_2020[[#This Row],[Split_raw]]*MAX(0,MIN(_xlfn.DAYS(EDATE(U$1,1),Log_2020[[#This Row],[Date]]),Log_2020[[#This Row],[Split_apply]])) - SUM($O89:T89)</f>
        <v>0</v>
      </c>
      <c r="V89" s="58">
        <f ca="1">Log_2020[[#This Row],[Amount]]/Log_2020[[#This Row],[Split_raw]]*MAX(0,MIN(_xlfn.DAYS(EDATE(V$1,1),Log_2020[[#This Row],[Date]]),Log_2020[[#This Row],[Split_apply]])) - SUM($O89:U89)</f>
        <v>0</v>
      </c>
      <c r="W89" s="58">
        <f ca="1">Log_2020[[#This Row],[Amount]]/Log_2020[[#This Row],[Split_raw]]*MAX(0,MIN(_xlfn.DAYS(EDATE(W$1,1),Log_2020[[#This Row],[Date]]),Log_2020[[#This Row],[Split_apply]])) - SUM($O89:V89)</f>
        <v>0</v>
      </c>
      <c r="X89" s="58">
        <f ca="1">Log_2020[[#This Row],[Amount]]/Log_2020[[#This Row],[Split_raw]]*MAX(0,MIN(_xlfn.DAYS(EDATE(X$1,1),Log_2020[[#This Row],[Date]]),Log_2020[[#This Row],[Split_apply]])) - SUM($O89:W89)</f>
        <v>0</v>
      </c>
      <c r="Y89" s="58">
        <f ca="1">Log_2020[[#This Row],[Amount]]/Log_2020[[#This Row],[Split_raw]]*MAX(0,MIN(_xlfn.DAYS(EDATE(Y$1,1),Log_2020[[#This Row],[Date]]),Log_2020[[#This Row],[Split_apply]])) - SUM($O89:X89)</f>
        <v>0</v>
      </c>
      <c r="Z89" s="58">
        <f ca="1">Log_2020[[#This Row],[Amount]]/Log_2020[[#This Row],[Split_raw]]*MAX(0,MIN(_xlfn.DAYS(EDATE(Z$1,1),Log_2020[[#This Row],[Date]]),Log_2020[[#This Row],[Split_apply]])) - SUM($O89:Y89)</f>
        <v>0</v>
      </c>
      <c r="AA89" s="58">
        <f ca="1">Log_2020[[#This Row],[Amount]]/Log_2020[[#This Row],[Split_raw]]*MAX(0,MIN(_xlfn.DAYS(EDATE(AA$1,1),Log_2020[[#This Row],[Date]]),Log_2020[[#This Row],[Split_apply]])) - SUM($O89:Z89)</f>
        <v>0</v>
      </c>
      <c r="AB89" s="85">
        <f ca="1">Log_2020[[#This Row],[Amount]]*Log_2020[[#This Row],[Split_apply]]/Log_2020[[#This Row],[Split_raw]]-SUM(O89:AA89)</f>
        <v>0</v>
      </c>
      <c r="AC89" s="74">
        <f>MAX(0,Log_2020[[#This Row],[Split_raw]] - (EDATE(AA$1,1)-Log_2020[[#This Row],[Date]]))</f>
        <v>0</v>
      </c>
    </row>
    <row r="90" spans="1:29" x14ac:dyDescent="0.25">
      <c r="A90" s="37"/>
      <c r="B90" s="34" t="s">
        <v>6</v>
      </c>
      <c r="C90" s="34"/>
      <c r="D90" s="35">
        <v>43900</v>
      </c>
      <c r="E90" s="34"/>
      <c r="F90" s="34" t="s">
        <v>255</v>
      </c>
      <c r="G90" s="34" t="s">
        <v>12</v>
      </c>
      <c r="H90">
        <v>-6.69</v>
      </c>
      <c r="I90" s="36">
        <f>IF(Log_2020[[#This Row],[My Category]]="NONTRACKED",0,Log_2020[[#This Row],[Raw Amount]])</f>
        <v>-6.69</v>
      </c>
      <c r="J90" s="37">
        <f>ABS(Log_2020[[#This Row],[Amount]])</f>
        <v>6.69</v>
      </c>
      <c r="K90" s="38">
        <v>1</v>
      </c>
      <c r="L90" s="38">
        <f ca="1">IF(Log_2020[[#This Row],[Date]]&lt;=TODAY(), MIN(Log_2020[[#This Row],[Split_raw]], TODAY()-Log_2020[[#This Row],[Date]]+1), 0)</f>
        <v>1</v>
      </c>
      <c r="M90" s="34" t="s">
        <v>35</v>
      </c>
      <c r="N90" s="34" t="s">
        <v>158</v>
      </c>
      <c r="O90" s="7"/>
      <c r="P90" s="58">
        <f ca="1">Log_2020[[#This Row],[Amount]]/Log_2020[[#This Row],[Split_raw]]*MAX(0,MIN(_xlfn.DAYS(EDATE(P$1,1),Log_2020[[#This Row],[Date]]),Log_2020[[#This Row],[Split_apply]])) - SUM($O90:O90)</f>
        <v>0</v>
      </c>
      <c r="Q90" s="58">
        <f ca="1">Log_2020[[#This Row],[Amount]]/Log_2020[[#This Row],[Split_raw]]*MAX(0,MIN(_xlfn.DAYS(EDATE(Q$1,1),Log_2020[[#This Row],[Date]]),Log_2020[[#This Row],[Split_apply]])) - SUM($O90:P90)</f>
        <v>0</v>
      </c>
      <c r="R90" s="58">
        <f ca="1">Log_2020[[#This Row],[Amount]]/Log_2020[[#This Row],[Split_raw]]*MAX(0,MIN(_xlfn.DAYS(EDATE(R$1,1),Log_2020[[#This Row],[Date]]),Log_2020[[#This Row],[Split_apply]])) - SUM($O90:Q90)</f>
        <v>-6.69</v>
      </c>
      <c r="S90" s="58">
        <f ca="1">Log_2020[[#This Row],[Amount]]/Log_2020[[#This Row],[Split_raw]]*MAX(0,MIN(_xlfn.DAYS(EDATE(S$1,1),Log_2020[[#This Row],[Date]]),Log_2020[[#This Row],[Split_apply]])) - SUM($O90:R90)</f>
        <v>0</v>
      </c>
      <c r="T90" s="58">
        <f ca="1">Log_2020[[#This Row],[Amount]]/Log_2020[[#This Row],[Split_raw]]*MAX(0,MIN(_xlfn.DAYS(EDATE(T$1,1),Log_2020[[#This Row],[Date]]),Log_2020[[#This Row],[Split_apply]])) - SUM($O90:S90)</f>
        <v>0</v>
      </c>
      <c r="U90" s="58">
        <f ca="1">Log_2020[[#This Row],[Amount]]/Log_2020[[#This Row],[Split_raw]]*MAX(0,MIN(_xlfn.DAYS(EDATE(U$1,1),Log_2020[[#This Row],[Date]]),Log_2020[[#This Row],[Split_apply]])) - SUM($O90:T90)</f>
        <v>0</v>
      </c>
      <c r="V90" s="58">
        <f ca="1">Log_2020[[#This Row],[Amount]]/Log_2020[[#This Row],[Split_raw]]*MAX(0,MIN(_xlfn.DAYS(EDATE(V$1,1),Log_2020[[#This Row],[Date]]),Log_2020[[#This Row],[Split_apply]])) - SUM($O90:U90)</f>
        <v>0</v>
      </c>
      <c r="W90" s="58">
        <f ca="1">Log_2020[[#This Row],[Amount]]/Log_2020[[#This Row],[Split_raw]]*MAX(0,MIN(_xlfn.DAYS(EDATE(W$1,1),Log_2020[[#This Row],[Date]]),Log_2020[[#This Row],[Split_apply]])) - SUM($O90:V90)</f>
        <v>0</v>
      </c>
      <c r="X90" s="58">
        <f ca="1">Log_2020[[#This Row],[Amount]]/Log_2020[[#This Row],[Split_raw]]*MAX(0,MIN(_xlfn.DAYS(EDATE(X$1,1),Log_2020[[#This Row],[Date]]),Log_2020[[#This Row],[Split_apply]])) - SUM($O90:W90)</f>
        <v>0</v>
      </c>
      <c r="Y90" s="58">
        <f ca="1">Log_2020[[#This Row],[Amount]]/Log_2020[[#This Row],[Split_raw]]*MAX(0,MIN(_xlfn.DAYS(EDATE(Y$1,1),Log_2020[[#This Row],[Date]]),Log_2020[[#This Row],[Split_apply]])) - SUM($O90:X90)</f>
        <v>0</v>
      </c>
      <c r="Z90" s="58">
        <f ca="1">Log_2020[[#This Row],[Amount]]/Log_2020[[#This Row],[Split_raw]]*MAX(0,MIN(_xlfn.DAYS(EDATE(Z$1,1),Log_2020[[#This Row],[Date]]),Log_2020[[#This Row],[Split_apply]])) - SUM($O90:Y90)</f>
        <v>0</v>
      </c>
      <c r="AA90" s="58">
        <f ca="1">Log_2020[[#This Row],[Amount]]/Log_2020[[#This Row],[Split_raw]]*MAX(0,MIN(_xlfn.DAYS(EDATE(AA$1,1),Log_2020[[#This Row],[Date]]),Log_2020[[#This Row],[Split_apply]])) - SUM($O90:Z90)</f>
        <v>0</v>
      </c>
      <c r="AB90" s="85">
        <f ca="1">Log_2020[[#This Row],[Amount]]*Log_2020[[#This Row],[Split_apply]]/Log_2020[[#This Row],[Split_raw]]-SUM(O90:AA90)</f>
        <v>0</v>
      </c>
      <c r="AC90" s="74">
        <f>MAX(0,Log_2020[[#This Row],[Split_raw]] - (EDATE(AA$1,1)-Log_2020[[#This Row],[Date]]))</f>
        <v>0</v>
      </c>
    </row>
    <row r="91" spans="1:29" x14ac:dyDescent="0.25">
      <c r="A91" s="37"/>
      <c r="B91" s="34" t="s">
        <v>6</v>
      </c>
      <c r="C91" s="34"/>
      <c r="D91" s="35">
        <v>43899</v>
      </c>
      <c r="E91" s="34" t="s">
        <v>545</v>
      </c>
      <c r="F91" s="34" t="s">
        <v>1067</v>
      </c>
      <c r="G91" s="34" t="s">
        <v>11</v>
      </c>
      <c r="H91">
        <v>-128.82</v>
      </c>
      <c r="I91" s="36">
        <f>IF(Log_2020[[#This Row],[My Category]]="NONTRACKED",0,Log_2020[[#This Row],[Raw Amount]])</f>
        <v>-128.82</v>
      </c>
      <c r="J91" s="37">
        <f>ABS(Log_2020[[#This Row],[Amount]])</f>
        <v>128.82</v>
      </c>
      <c r="K91" s="38">
        <v>365</v>
      </c>
      <c r="L91" s="38">
        <f ca="1">IF(Log_2020[[#This Row],[Date]]&lt;=TODAY(), MIN(Log_2020[[#This Row],[Split_raw]], TODAY()-Log_2020[[#This Row],[Date]]+1), 0)</f>
        <v>140</v>
      </c>
      <c r="M91" s="34" t="s">
        <v>147</v>
      </c>
      <c r="N91" s="34" t="s">
        <v>158</v>
      </c>
      <c r="O91" s="7"/>
      <c r="P91" s="58">
        <f ca="1">Log_2020[[#This Row],[Amount]]/Log_2020[[#This Row],[Split_raw]]*MAX(0,MIN(_xlfn.DAYS(EDATE(P$1,1),Log_2020[[#This Row],[Date]]),Log_2020[[#This Row],[Split_apply]])) - SUM($O91:O91)</f>
        <v>0</v>
      </c>
      <c r="Q91" s="58">
        <f ca="1">Log_2020[[#This Row],[Amount]]/Log_2020[[#This Row],[Split_raw]]*MAX(0,MIN(_xlfn.DAYS(EDATE(Q$1,1),Log_2020[[#This Row],[Date]]),Log_2020[[#This Row],[Split_apply]])) - SUM($O91:P91)</f>
        <v>0</v>
      </c>
      <c r="R91" s="58">
        <f ca="1">Log_2020[[#This Row],[Amount]]/Log_2020[[#This Row],[Split_raw]]*MAX(0,MIN(_xlfn.DAYS(EDATE(R$1,1),Log_2020[[#This Row],[Date]]),Log_2020[[#This Row],[Split_apply]])) - SUM($O91:Q91)</f>
        <v>-8.1174246575342472</v>
      </c>
      <c r="S91" s="58">
        <f ca="1">Log_2020[[#This Row],[Amount]]/Log_2020[[#This Row],[Split_raw]]*MAX(0,MIN(_xlfn.DAYS(EDATE(S$1,1),Log_2020[[#This Row],[Date]]),Log_2020[[#This Row],[Split_apply]])) - SUM($O91:R91)</f>
        <v>-10.58794520547945</v>
      </c>
      <c r="T91" s="58">
        <f ca="1">Log_2020[[#This Row],[Amount]]/Log_2020[[#This Row],[Split_raw]]*MAX(0,MIN(_xlfn.DAYS(EDATE(T$1,1),Log_2020[[#This Row],[Date]]),Log_2020[[#This Row],[Split_apply]])) - SUM($O91:S91)</f>
        <v>-10.94087671232877</v>
      </c>
      <c r="U91" s="58">
        <f ca="1">Log_2020[[#This Row],[Amount]]/Log_2020[[#This Row],[Split_raw]]*MAX(0,MIN(_xlfn.DAYS(EDATE(U$1,1),Log_2020[[#This Row],[Date]]),Log_2020[[#This Row],[Split_apply]])) - SUM($O91:T91)</f>
        <v>-10.58794520547945</v>
      </c>
      <c r="V91" s="58">
        <f ca="1">Log_2020[[#This Row],[Amount]]/Log_2020[[#This Row],[Split_raw]]*MAX(0,MIN(_xlfn.DAYS(EDATE(V$1,1),Log_2020[[#This Row],[Date]]),Log_2020[[#This Row],[Split_apply]])) - SUM($O91:U91)</f>
        <v>-9.1762191780821922</v>
      </c>
      <c r="W91" s="58">
        <f ca="1">Log_2020[[#This Row],[Amount]]/Log_2020[[#This Row],[Split_raw]]*MAX(0,MIN(_xlfn.DAYS(EDATE(W$1,1),Log_2020[[#This Row],[Date]]),Log_2020[[#This Row],[Split_apply]])) - SUM($O91:V91)</f>
        <v>0</v>
      </c>
      <c r="X91" s="58">
        <f ca="1">Log_2020[[#This Row],[Amount]]/Log_2020[[#This Row],[Split_raw]]*MAX(0,MIN(_xlfn.DAYS(EDATE(X$1,1),Log_2020[[#This Row],[Date]]),Log_2020[[#This Row],[Split_apply]])) - SUM($O91:W91)</f>
        <v>0</v>
      </c>
      <c r="Y91" s="58">
        <f ca="1">Log_2020[[#This Row],[Amount]]/Log_2020[[#This Row],[Split_raw]]*MAX(0,MIN(_xlfn.DAYS(EDATE(Y$1,1),Log_2020[[#This Row],[Date]]),Log_2020[[#This Row],[Split_apply]])) - SUM($O91:X91)</f>
        <v>0</v>
      </c>
      <c r="Z91" s="58">
        <f ca="1">Log_2020[[#This Row],[Amount]]/Log_2020[[#This Row],[Split_raw]]*MAX(0,MIN(_xlfn.DAYS(EDATE(Z$1,1),Log_2020[[#This Row],[Date]]),Log_2020[[#This Row],[Split_apply]])) - SUM($O91:Y91)</f>
        <v>0</v>
      </c>
      <c r="AA91" s="58">
        <f ca="1">Log_2020[[#This Row],[Amount]]/Log_2020[[#This Row],[Split_raw]]*MAX(0,MIN(_xlfn.DAYS(EDATE(AA$1,1),Log_2020[[#This Row],[Date]]),Log_2020[[#This Row],[Split_apply]])) - SUM($O91:Z91)</f>
        <v>0</v>
      </c>
      <c r="AB91" s="85">
        <f ca="1">Log_2020[[#This Row],[Amount]]*Log_2020[[#This Row],[Split_apply]]/Log_2020[[#This Row],[Split_raw]]-SUM(O91:AA91)</f>
        <v>0</v>
      </c>
      <c r="AC91" s="74">
        <f>MAX(0,Log_2020[[#This Row],[Split_raw]] - (EDATE(AA$1,1)-Log_2020[[#This Row],[Date]]))</f>
        <v>67</v>
      </c>
    </row>
    <row r="92" spans="1:29" x14ac:dyDescent="0.25">
      <c r="A92" s="37"/>
      <c r="B92" s="34" t="s">
        <v>6</v>
      </c>
      <c r="C92" s="34"/>
      <c r="D92" s="35">
        <v>43898</v>
      </c>
      <c r="E92" s="34"/>
      <c r="F92" s="34" t="s">
        <v>1068</v>
      </c>
      <c r="G92" s="34" t="s">
        <v>9</v>
      </c>
      <c r="H92">
        <v>-28</v>
      </c>
      <c r="I92" s="36">
        <f>IF(Log_2020[[#This Row],[My Category]]="NONTRACKED",0,Log_2020[[#This Row],[Raw Amount]])</f>
        <v>-28</v>
      </c>
      <c r="J92" s="37">
        <f>ABS(Log_2020[[#This Row],[Amount]])</f>
        <v>28</v>
      </c>
      <c r="K92" s="38">
        <v>1</v>
      </c>
      <c r="L92" s="38">
        <f ca="1">IF(Log_2020[[#This Row],[Date]]&lt;=TODAY(), MIN(Log_2020[[#This Row],[Split_raw]], TODAY()-Log_2020[[#This Row],[Date]]+1), 0)</f>
        <v>1</v>
      </c>
      <c r="M92" s="34" t="s">
        <v>53</v>
      </c>
      <c r="N92" s="34" t="s">
        <v>158</v>
      </c>
      <c r="O92" s="7"/>
      <c r="P92" s="58">
        <f ca="1">Log_2020[[#This Row],[Amount]]/Log_2020[[#This Row],[Split_raw]]*MAX(0,MIN(_xlfn.DAYS(EDATE(P$1,1),Log_2020[[#This Row],[Date]]),Log_2020[[#This Row],[Split_apply]])) - SUM($O92:O92)</f>
        <v>0</v>
      </c>
      <c r="Q92" s="58">
        <f ca="1">Log_2020[[#This Row],[Amount]]/Log_2020[[#This Row],[Split_raw]]*MAX(0,MIN(_xlfn.DAYS(EDATE(Q$1,1),Log_2020[[#This Row],[Date]]),Log_2020[[#This Row],[Split_apply]])) - SUM($O92:P92)</f>
        <v>0</v>
      </c>
      <c r="R92" s="58">
        <f ca="1">Log_2020[[#This Row],[Amount]]/Log_2020[[#This Row],[Split_raw]]*MAX(0,MIN(_xlfn.DAYS(EDATE(R$1,1),Log_2020[[#This Row],[Date]]),Log_2020[[#This Row],[Split_apply]])) - SUM($O92:Q92)</f>
        <v>-28</v>
      </c>
      <c r="S92" s="58">
        <f ca="1">Log_2020[[#This Row],[Amount]]/Log_2020[[#This Row],[Split_raw]]*MAX(0,MIN(_xlfn.DAYS(EDATE(S$1,1),Log_2020[[#This Row],[Date]]),Log_2020[[#This Row],[Split_apply]])) - SUM($O92:R92)</f>
        <v>0</v>
      </c>
      <c r="T92" s="58">
        <f ca="1">Log_2020[[#This Row],[Amount]]/Log_2020[[#This Row],[Split_raw]]*MAX(0,MIN(_xlfn.DAYS(EDATE(T$1,1),Log_2020[[#This Row],[Date]]),Log_2020[[#This Row],[Split_apply]])) - SUM($O92:S92)</f>
        <v>0</v>
      </c>
      <c r="U92" s="58">
        <f ca="1">Log_2020[[#This Row],[Amount]]/Log_2020[[#This Row],[Split_raw]]*MAX(0,MIN(_xlfn.DAYS(EDATE(U$1,1),Log_2020[[#This Row],[Date]]),Log_2020[[#This Row],[Split_apply]])) - SUM($O92:T92)</f>
        <v>0</v>
      </c>
      <c r="V92" s="58">
        <f ca="1">Log_2020[[#This Row],[Amount]]/Log_2020[[#This Row],[Split_raw]]*MAX(0,MIN(_xlfn.DAYS(EDATE(V$1,1),Log_2020[[#This Row],[Date]]),Log_2020[[#This Row],[Split_apply]])) - SUM($O92:U92)</f>
        <v>0</v>
      </c>
      <c r="W92" s="58">
        <f ca="1">Log_2020[[#This Row],[Amount]]/Log_2020[[#This Row],[Split_raw]]*MAX(0,MIN(_xlfn.DAYS(EDATE(W$1,1),Log_2020[[#This Row],[Date]]),Log_2020[[#This Row],[Split_apply]])) - SUM($O92:V92)</f>
        <v>0</v>
      </c>
      <c r="X92" s="58">
        <f ca="1">Log_2020[[#This Row],[Amount]]/Log_2020[[#This Row],[Split_raw]]*MAX(0,MIN(_xlfn.DAYS(EDATE(X$1,1),Log_2020[[#This Row],[Date]]),Log_2020[[#This Row],[Split_apply]])) - SUM($O92:W92)</f>
        <v>0</v>
      </c>
      <c r="Y92" s="58">
        <f ca="1">Log_2020[[#This Row],[Amount]]/Log_2020[[#This Row],[Split_raw]]*MAX(0,MIN(_xlfn.DAYS(EDATE(Y$1,1),Log_2020[[#This Row],[Date]]),Log_2020[[#This Row],[Split_apply]])) - SUM($O92:X92)</f>
        <v>0</v>
      </c>
      <c r="Z92" s="58">
        <f ca="1">Log_2020[[#This Row],[Amount]]/Log_2020[[#This Row],[Split_raw]]*MAX(0,MIN(_xlfn.DAYS(EDATE(Z$1,1),Log_2020[[#This Row],[Date]]),Log_2020[[#This Row],[Split_apply]])) - SUM($O92:Y92)</f>
        <v>0</v>
      </c>
      <c r="AA92" s="58">
        <f ca="1">Log_2020[[#This Row],[Amount]]/Log_2020[[#This Row],[Split_raw]]*MAX(0,MIN(_xlfn.DAYS(EDATE(AA$1,1),Log_2020[[#This Row],[Date]]),Log_2020[[#This Row],[Split_apply]])) - SUM($O92:Z92)</f>
        <v>0</v>
      </c>
      <c r="AB92" s="85">
        <f ca="1">Log_2020[[#This Row],[Amount]]*Log_2020[[#This Row],[Split_apply]]/Log_2020[[#This Row],[Split_raw]]-SUM(O92:AA92)</f>
        <v>0</v>
      </c>
      <c r="AC92" s="74">
        <f>MAX(0,Log_2020[[#This Row],[Split_raw]] - (EDATE(AA$1,1)-Log_2020[[#This Row],[Date]]))</f>
        <v>0</v>
      </c>
    </row>
    <row r="93" spans="1:29" x14ac:dyDescent="0.25">
      <c r="A93" s="37"/>
      <c r="B93" s="34" t="s">
        <v>6</v>
      </c>
      <c r="C93" s="34"/>
      <c r="D93" s="35">
        <v>43898</v>
      </c>
      <c r="E93" s="34"/>
      <c r="F93" s="34" t="s">
        <v>620</v>
      </c>
      <c r="G93" s="34" t="s">
        <v>189</v>
      </c>
      <c r="H93">
        <v>-30.02</v>
      </c>
      <c r="I93" s="36">
        <f>IF(Log_2020[[#This Row],[My Category]]="NONTRACKED",0,Log_2020[[#This Row],[Raw Amount]])</f>
        <v>-30.02</v>
      </c>
      <c r="J93" s="37">
        <f>ABS(Log_2020[[#This Row],[Amount]])</f>
        <v>30.02</v>
      </c>
      <c r="K93" s="38">
        <v>1</v>
      </c>
      <c r="L93" s="38">
        <f ca="1">IF(Log_2020[[#This Row],[Date]]&lt;=TODAY(), MIN(Log_2020[[#This Row],[Split_raw]], TODAY()-Log_2020[[#This Row],[Date]]+1), 0)</f>
        <v>1</v>
      </c>
      <c r="M93" s="34" t="s">
        <v>29</v>
      </c>
      <c r="N93" s="34" t="s">
        <v>158</v>
      </c>
      <c r="O93" s="7"/>
      <c r="P93" s="58">
        <f ca="1">Log_2020[[#This Row],[Amount]]/Log_2020[[#This Row],[Split_raw]]*MAX(0,MIN(_xlfn.DAYS(EDATE(P$1,1),Log_2020[[#This Row],[Date]]),Log_2020[[#This Row],[Split_apply]])) - SUM($O93:O93)</f>
        <v>0</v>
      </c>
      <c r="Q93" s="58">
        <f ca="1">Log_2020[[#This Row],[Amount]]/Log_2020[[#This Row],[Split_raw]]*MAX(0,MIN(_xlfn.DAYS(EDATE(Q$1,1),Log_2020[[#This Row],[Date]]),Log_2020[[#This Row],[Split_apply]])) - SUM($O93:P93)</f>
        <v>0</v>
      </c>
      <c r="R93" s="58">
        <f ca="1">Log_2020[[#This Row],[Amount]]/Log_2020[[#This Row],[Split_raw]]*MAX(0,MIN(_xlfn.DAYS(EDATE(R$1,1),Log_2020[[#This Row],[Date]]),Log_2020[[#This Row],[Split_apply]])) - SUM($O93:Q93)</f>
        <v>-30.02</v>
      </c>
      <c r="S93" s="58">
        <f ca="1">Log_2020[[#This Row],[Amount]]/Log_2020[[#This Row],[Split_raw]]*MAX(0,MIN(_xlfn.DAYS(EDATE(S$1,1),Log_2020[[#This Row],[Date]]),Log_2020[[#This Row],[Split_apply]])) - SUM($O93:R93)</f>
        <v>0</v>
      </c>
      <c r="T93" s="58">
        <f ca="1">Log_2020[[#This Row],[Amount]]/Log_2020[[#This Row],[Split_raw]]*MAX(0,MIN(_xlfn.DAYS(EDATE(T$1,1),Log_2020[[#This Row],[Date]]),Log_2020[[#This Row],[Split_apply]])) - SUM($O93:S93)</f>
        <v>0</v>
      </c>
      <c r="U93" s="58">
        <f ca="1">Log_2020[[#This Row],[Amount]]/Log_2020[[#This Row],[Split_raw]]*MAX(0,MIN(_xlfn.DAYS(EDATE(U$1,1),Log_2020[[#This Row],[Date]]),Log_2020[[#This Row],[Split_apply]])) - SUM($O93:T93)</f>
        <v>0</v>
      </c>
      <c r="V93" s="58">
        <f ca="1">Log_2020[[#This Row],[Amount]]/Log_2020[[#This Row],[Split_raw]]*MAX(0,MIN(_xlfn.DAYS(EDATE(V$1,1),Log_2020[[#This Row],[Date]]),Log_2020[[#This Row],[Split_apply]])) - SUM($O93:U93)</f>
        <v>0</v>
      </c>
      <c r="W93" s="58">
        <f ca="1">Log_2020[[#This Row],[Amount]]/Log_2020[[#This Row],[Split_raw]]*MAX(0,MIN(_xlfn.DAYS(EDATE(W$1,1),Log_2020[[#This Row],[Date]]),Log_2020[[#This Row],[Split_apply]])) - SUM($O93:V93)</f>
        <v>0</v>
      </c>
      <c r="X93" s="58">
        <f ca="1">Log_2020[[#This Row],[Amount]]/Log_2020[[#This Row],[Split_raw]]*MAX(0,MIN(_xlfn.DAYS(EDATE(X$1,1),Log_2020[[#This Row],[Date]]),Log_2020[[#This Row],[Split_apply]])) - SUM($O93:W93)</f>
        <v>0</v>
      </c>
      <c r="Y93" s="58">
        <f ca="1">Log_2020[[#This Row],[Amount]]/Log_2020[[#This Row],[Split_raw]]*MAX(0,MIN(_xlfn.DAYS(EDATE(Y$1,1),Log_2020[[#This Row],[Date]]),Log_2020[[#This Row],[Split_apply]])) - SUM($O93:X93)</f>
        <v>0</v>
      </c>
      <c r="Z93" s="58">
        <f ca="1">Log_2020[[#This Row],[Amount]]/Log_2020[[#This Row],[Split_raw]]*MAX(0,MIN(_xlfn.DAYS(EDATE(Z$1,1),Log_2020[[#This Row],[Date]]),Log_2020[[#This Row],[Split_apply]])) - SUM($O93:Y93)</f>
        <v>0</v>
      </c>
      <c r="AA93" s="58">
        <f ca="1">Log_2020[[#This Row],[Amount]]/Log_2020[[#This Row],[Split_raw]]*MAX(0,MIN(_xlfn.DAYS(EDATE(AA$1,1),Log_2020[[#This Row],[Date]]),Log_2020[[#This Row],[Split_apply]])) - SUM($O93:Z93)</f>
        <v>0</v>
      </c>
      <c r="AB93" s="85">
        <f ca="1">Log_2020[[#This Row],[Amount]]*Log_2020[[#This Row],[Split_apply]]/Log_2020[[#This Row],[Split_raw]]-SUM(O93:AA93)</f>
        <v>0</v>
      </c>
      <c r="AC93" s="74">
        <f>MAX(0,Log_2020[[#This Row],[Split_raw]] - (EDATE(AA$1,1)-Log_2020[[#This Row],[Date]]))</f>
        <v>0</v>
      </c>
    </row>
    <row r="94" spans="1:29" x14ac:dyDescent="0.25">
      <c r="A94" s="37"/>
      <c r="B94" s="34" t="s">
        <v>6</v>
      </c>
      <c r="C94" s="34"/>
      <c r="D94" s="35">
        <v>43896</v>
      </c>
      <c r="E94" s="34"/>
      <c r="F94" s="34" t="s">
        <v>327</v>
      </c>
      <c r="G94" s="34" t="s">
        <v>25</v>
      </c>
      <c r="H94">
        <v>-11.67</v>
      </c>
      <c r="I94" s="36">
        <f>IF(Log_2020[[#This Row],[My Category]]="NONTRACKED",0,Log_2020[[#This Row],[Raw Amount]])</f>
        <v>-11.67</v>
      </c>
      <c r="J94" s="37">
        <f>ABS(Log_2020[[#This Row],[Amount]])</f>
        <v>11.67</v>
      </c>
      <c r="K94" s="38">
        <v>1</v>
      </c>
      <c r="L94" s="38">
        <f ca="1">IF(Log_2020[[#This Row],[Date]]&lt;=TODAY(), MIN(Log_2020[[#This Row],[Split_raw]], TODAY()-Log_2020[[#This Row],[Date]]+1), 0)</f>
        <v>1</v>
      </c>
      <c r="M94" s="34" t="s">
        <v>35</v>
      </c>
      <c r="N94" s="34" t="s">
        <v>158</v>
      </c>
      <c r="O94" s="7"/>
      <c r="P94" s="58">
        <f ca="1">Log_2020[[#This Row],[Amount]]/Log_2020[[#This Row],[Split_raw]]*MAX(0,MIN(_xlfn.DAYS(EDATE(P$1,1),Log_2020[[#This Row],[Date]]),Log_2020[[#This Row],[Split_apply]])) - SUM($O94:O94)</f>
        <v>0</v>
      </c>
      <c r="Q94" s="58">
        <f ca="1">Log_2020[[#This Row],[Amount]]/Log_2020[[#This Row],[Split_raw]]*MAX(0,MIN(_xlfn.DAYS(EDATE(Q$1,1),Log_2020[[#This Row],[Date]]),Log_2020[[#This Row],[Split_apply]])) - SUM($O94:P94)</f>
        <v>0</v>
      </c>
      <c r="R94" s="58">
        <f ca="1">Log_2020[[#This Row],[Amount]]/Log_2020[[#This Row],[Split_raw]]*MAX(0,MIN(_xlfn.DAYS(EDATE(R$1,1),Log_2020[[#This Row],[Date]]),Log_2020[[#This Row],[Split_apply]])) - SUM($O94:Q94)</f>
        <v>-11.67</v>
      </c>
      <c r="S94" s="58">
        <f ca="1">Log_2020[[#This Row],[Amount]]/Log_2020[[#This Row],[Split_raw]]*MAX(0,MIN(_xlfn.DAYS(EDATE(S$1,1),Log_2020[[#This Row],[Date]]),Log_2020[[#This Row],[Split_apply]])) - SUM($O94:R94)</f>
        <v>0</v>
      </c>
      <c r="T94" s="58">
        <f ca="1">Log_2020[[#This Row],[Amount]]/Log_2020[[#This Row],[Split_raw]]*MAX(0,MIN(_xlfn.DAYS(EDATE(T$1,1),Log_2020[[#This Row],[Date]]),Log_2020[[#This Row],[Split_apply]])) - SUM($O94:S94)</f>
        <v>0</v>
      </c>
      <c r="U94" s="58">
        <f ca="1">Log_2020[[#This Row],[Amount]]/Log_2020[[#This Row],[Split_raw]]*MAX(0,MIN(_xlfn.DAYS(EDATE(U$1,1),Log_2020[[#This Row],[Date]]),Log_2020[[#This Row],[Split_apply]])) - SUM($O94:T94)</f>
        <v>0</v>
      </c>
      <c r="V94" s="58">
        <f ca="1">Log_2020[[#This Row],[Amount]]/Log_2020[[#This Row],[Split_raw]]*MAX(0,MIN(_xlfn.DAYS(EDATE(V$1,1),Log_2020[[#This Row],[Date]]),Log_2020[[#This Row],[Split_apply]])) - SUM($O94:U94)</f>
        <v>0</v>
      </c>
      <c r="W94" s="58">
        <f ca="1">Log_2020[[#This Row],[Amount]]/Log_2020[[#This Row],[Split_raw]]*MAX(0,MIN(_xlfn.DAYS(EDATE(W$1,1),Log_2020[[#This Row],[Date]]),Log_2020[[#This Row],[Split_apply]])) - SUM($O94:V94)</f>
        <v>0</v>
      </c>
      <c r="X94" s="58">
        <f ca="1">Log_2020[[#This Row],[Amount]]/Log_2020[[#This Row],[Split_raw]]*MAX(0,MIN(_xlfn.DAYS(EDATE(X$1,1),Log_2020[[#This Row],[Date]]),Log_2020[[#This Row],[Split_apply]])) - SUM($O94:W94)</f>
        <v>0</v>
      </c>
      <c r="Y94" s="58">
        <f ca="1">Log_2020[[#This Row],[Amount]]/Log_2020[[#This Row],[Split_raw]]*MAX(0,MIN(_xlfn.DAYS(EDATE(Y$1,1),Log_2020[[#This Row],[Date]]),Log_2020[[#This Row],[Split_apply]])) - SUM($O94:X94)</f>
        <v>0</v>
      </c>
      <c r="Z94" s="58">
        <f ca="1">Log_2020[[#This Row],[Amount]]/Log_2020[[#This Row],[Split_raw]]*MAX(0,MIN(_xlfn.DAYS(EDATE(Z$1,1),Log_2020[[#This Row],[Date]]),Log_2020[[#This Row],[Split_apply]])) - SUM($O94:Y94)</f>
        <v>0</v>
      </c>
      <c r="AA94" s="58">
        <f ca="1">Log_2020[[#This Row],[Amount]]/Log_2020[[#This Row],[Split_raw]]*MAX(0,MIN(_xlfn.DAYS(EDATE(AA$1,1),Log_2020[[#This Row],[Date]]),Log_2020[[#This Row],[Split_apply]])) - SUM($O94:Z94)</f>
        <v>0</v>
      </c>
      <c r="AB94" s="85">
        <f ca="1">Log_2020[[#This Row],[Amount]]*Log_2020[[#This Row],[Split_apply]]/Log_2020[[#This Row],[Split_raw]]-SUM(O94:AA94)</f>
        <v>0</v>
      </c>
      <c r="AC94" s="74">
        <f>MAX(0,Log_2020[[#This Row],[Split_raw]] - (EDATE(AA$1,1)-Log_2020[[#This Row],[Date]]))</f>
        <v>0</v>
      </c>
    </row>
    <row r="95" spans="1:29" x14ac:dyDescent="0.25">
      <c r="A95" s="37"/>
      <c r="B95" s="34" t="s">
        <v>6</v>
      </c>
      <c r="C95" s="34"/>
      <c r="D95" s="35">
        <v>43894</v>
      </c>
      <c r="E95" s="34"/>
      <c r="F95" s="34" t="s">
        <v>255</v>
      </c>
      <c r="G95" s="34" t="s">
        <v>12</v>
      </c>
      <c r="H95">
        <v>-23.22</v>
      </c>
      <c r="I95" s="36">
        <f>IF(Log_2020[[#This Row],[My Category]]="NONTRACKED",0,Log_2020[[#This Row],[Raw Amount]])</f>
        <v>-23.22</v>
      </c>
      <c r="J95" s="37">
        <f>ABS(Log_2020[[#This Row],[Amount]])</f>
        <v>23.22</v>
      </c>
      <c r="K95" s="38">
        <v>1</v>
      </c>
      <c r="L95" s="38">
        <f ca="1">IF(Log_2020[[#This Row],[Date]]&lt;=TODAY(), MIN(Log_2020[[#This Row],[Split_raw]], TODAY()-Log_2020[[#This Row],[Date]]+1), 0)</f>
        <v>1</v>
      </c>
      <c r="M95" s="34" t="s">
        <v>52</v>
      </c>
      <c r="N95" s="34" t="s">
        <v>158</v>
      </c>
      <c r="O95" s="7"/>
      <c r="P95" s="58">
        <f ca="1">Log_2020[[#This Row],[Amount]]/Log_2020[[#This Row],[Split_raw]]*MAX(0,MIN(_xlfn.DAYS(EDATE(P$1,1),Log_2020[[#This Row],[Date]]),Log_2020[[#This Row],[Split_apply]])) - SUM($O95:O95)</f>
        <v>0</v>
      </c>
      <c r="Q95" s="58">
        <f ca="1">Log_2020[[#This Row],[Amount]]/Log_2020[[#This Row],[Split_raw]]*MAX(0,MIN(_xlfn.DAYS(EDATE(Q$1,1),Log_2020[[#This Row],[Date]]),Log_2020[[#This Row],[Split_apply]])) - SUM($O95:P95)</f>
        <v>0</v>
      </c>
      <c r="R95" s="58">
        <f ca="1">Log_2020[[#This Row],[Amount]]/Log_2020[[#This Row],[Split_raw]]*MAX(0,MIN(_xlfn.DAYS(EDATE(R$1,1),Log_2020[[#This Row],[Date]]),Log_2020[[#This Row],[Split_apply]])) - SUM($O95:Q95)</f>
        <v>-23.22</v>
      </c>
      <c r="S95" s="58">
        <f ca="1">Log_2020[[#This Row],[Amount]]/Log_2020[[#This Row],[Split_raw]]*MAX(0,MIN(_xlfn.DAYS(EDATE(S$1,1),Log_2020[[#This Row],[Date]]),Log_2020[[#This Row],[Split_apply]])) - SUM($O95:R95)</f>
        <v>0</v>
      </c>
      <c r="T95" s="58">
        <f ca="1">Log_2020[[#This Row],[Amount]]/Log_2020[[#This Row],[Split_raw]]*MAX(0,MIN(_xlfn.DAYS(EDATE(T$1,1),Log_2020[[#This Row],[Date]]),Log_2020[[#This Row],[Split_apply]])) - SUM($O95:S95)</f>
        <v>0</v>
      </c>
      <c r="U95" s="58">
        <f ca="1">Log_2020[[#This Row],[Amount]]/Log_2020[[#This Row],[Split_raw]]*MAX(0,MIN(_xlfn.DAYS(EDATE(U$1,1),Log_2020[[#This Row],[Date]]),Log_2020[[#This Row],[Split_apply]])) - SUM($O95:T95)</f>
        <v>0</v>
      </c>
      <c r="V95" s="58">
        <f ca="1">Log_2020[[#This Row],[Amount]]/Log_2020[[#This Row],[Split_raw]]*MAX(0,MIN(_xlfn.DAYS(EDATE(V$1,1),Log_2020[[#This Row],[Date]]),Log_2020[[#This Row],[Split_apply]])) - SUM($O95:U95)</f>
        <v>0</v>
      </c>
      <c r="W95" s="58">
        <f ca="1">Log_2020[[#This Row],[Amount]]/Log_2020[[#This Row],[Split_raw]]*MAX(0,MIN(_xlfn.DAYS(EDATE(W$1,1),Log_2020[[#This Row],[Date]]),Log_2020[[#This Row],[Split_apply]])) - SUM($O95:V95)</f>
        <v>0</v>
      </c>
      <c r="X95" s="58">
        <f ca="1">Log_2020[[#This Row],[Amount]]/Log_2020[[#This Row],[Split_raw]]*MAX(0,MIN(_xlfn.DAYS(EDATE(X$1,1),Log_2020[[#This Row],[Date]]),Log_2020[[#This Row],[Split_apply]])) - SUM($O95:W95)</f>
        <v>0</v>
      </c>
      <c r="Y95" s="58">
        <f ca="1">Log_2020[[#This Row],[Amount]]/Log_2020[[#This Row],[Split_raw]]*MAX(0,MIN(_xlfn.DAYS(EDATE(Y$1,1),Log_2020[[#This Row],[Date]]),Log_2020[[#This Row],[Split_apply]])) - SUM($O95:X95)</f>
        <v>0</v>
      </c>
      <c r="Z95" s="58">
        <f ca="1">Log_2020[[#This Row],[Amount]]/Log_2020[[#This Row],[Split_raw]]*MAX(0,MIN(_xlfn.DAYS(EDATE(Z$1,1),Log_2020[[#This Row],[Date]]),Log_2020[[#This Row],[Split_apply]])) - SUM($O95:Y95)</f>
        <v>0</v>
      </c>
      <c r="AA95" s="58">
        <f ca="1">Log_2020[[#This Row],[Amount]]/Log_2020[[#This Row],[Split_raw]]*MAX(0,MIN(_xlfn.DAYS(EDATE(AA$1,1),Log_2020[[#This Row],[Date]]),Log_2020[[#This Row],[Split_apply]])) - SUM($O95:Z95)</f>
        <v>0</v>
      </c>
      <c r="AB95" s="85">
        <f ca="1">Log_2020[[#This Row],[Amount]]*Log_2020[[#This Row],[Split_apply]]/Log_2020[[#This Row],[Split_raw]]-SUM(O95:AA95)</f>
        <v>0</v>
      </c>
      <c r="AC95" s="74">
        <f>MAX(0,Log_2020[[#This Row],[Split_raw]] - (EDATE(AA$1,1)-Log_2020[[#This Row],[Date]]))</f>
        <v>0</v>
      </c>
    </row>
    <row r="96" spans="1:29" x14ac:dyDescent="0.25">
      <c r="A96" s="37"/>
      <c r="B96" s="34" t="s">
        <v>6</v>
      </c>
      <c r="C96" s="34"/>
      <c r="D96" s="35">
        <v>43894</v>
      </c>
      <c r="E96" s="34"/>
      <c r="F96" s="34" t="s">
        <v>255</v>
      </c>
      <c r="G96" s="34" t="s">
        <v>12</v>
      </c>
      <c r="H96">
        <v>-6.69</v>
      </c>
      <c r="I96" s="36">
        <f>IF(Log_2020[[#This Row],[My Category]]="NONTRACKED",0,Log_2020[[#This Row],[Raw Amount]])</f>
        <v>-6.69</v>
      </c>
      <c r="J96" s="37">
        <f>ABS(Log_2020[[#This Row],[Amount]])</f>
        <v>6.69</v>
      </c>
      <c r="K96" s="38">
        <v>1</v>
      </c>
      <c r="L96" s="38">
        <f ca="1">IF(Log_2020[[#This Row],[Date]]&lt;=TODAY(), MIN(Log_2020[[#This Row],[Split_raw]], TODAY()-Log_2020[[#This Row],[Date]]+1), 0)</f>
        <v>1</v>
      </c>
      <c r="M96" s="34" t="s">
        <v>35</v>
      </c>
      <c r="N96" s="34" t="s">
        <v>158</v>
      </c>
      <c r="O96" s="7"/>
      <c r="P96" s="58">
        <f ca="1">Log_2020[[#This Row],[Amount]]/Log_2020[[#This Row],[Split_raw]]*MAX(0,MIN(_xlfn.DAYS(EDATE(P$1,1),Log_2020[[#This Row],[Date]]),Log_2020[[#This Row],[Split_apply]])) - SUM($O96:O96)</f>
        <v>0</v>
      </c>
      <c r="Q96" s="58">
        <f ca="1">Log_2020[[#This Row],[Amount]]/Log_2020[[#This Row],[Split_raw]]*MAX(0,MIN(_xlfn.DAYS(EDATE(Q$1,1),Log_2020[[#This Row],[Date]]),Log_2020[[#This Row],[Split_apply]])) - SUM($O96:P96)</f>
        <v>0</v>
      </c>
      <c r="R96" s="58">
        <f ca="1">Log_2020[[#This Row],[Amount]]/Log_2020[[#This Row],[Split_raw]]*MAX(0,MIN(_xlfn.DAYS(EDATE(R$1,1),Log_2020[[#This Row],[Date]]),Log_2020[[#This Row],[Split_apply]])) - SUM($O96:Q96)</f>
        <v>-6.69</v>
      </c>
      <c r="S96" s="58">
        <f ca="1">Log_2020[[#This Row],[Amount]]/Log_2020[[#This Row],[Split_raw]]*MAX(0,MIN(_xlfn.DAYS(EDATE(S$1,1),Log_2020[[#This Row],[Date]]),Log_2020[[#This Row],[Split_apply]])) - SUM($O96:R96)</f>
        <v>0</v>
      </c>
      <c r="T96" s="58">
        <f ca="1">Log_2020[[#This Row],[Amount]]/Log_2020[[#This Row],[Split_raw]]*MAX(0,MIN(_xlfn.DAYS(EDATE(T$1,1),Log_2020[[#This Row],[Date]]),Log_2020[[#This Row],[Split_apply]])) - SUM($O96:S96)</f>
        <v>0</v>
      </c>
      <c r="U96" s="58">
        <f ca="1">Log_2020[[#This Row],[Amount]]/Log_2020[[#This Row],[Split_raw]]*MAX(0,MIN(_xlfn.DAYS(EDATE(U$1,1),Log_2020[[#This Row],[Date]]),Log_2020[[#This Row],[Split_apply]])) - SUM($O96:T96)</f>
        <v>0</v>
      </c>
      <c r="V96" s="58">
        <f ca="1">Log_2020[[#This Row],[Amount]]/Log_2020[[#This Row],[Split_raw]]*MAX(0,MIN(_xlfn.DAYS(EDATE(V$1,1),Log_2020[[#This Row],[Date]]),Log_2020[[#This Row],[Split_apply]])) - SUM($O96:U96)</f>
        <v>0</v>
      </c>
      <c r="W96" s="58">
        <f ca="1">Log_2020[[#This Row],[Amount]]/Log_2020[[#This Row],[Split_raw]]*MAX(0,MIN(_xlfn.DAYS(EDATE(W$1,1),Log_2020[[#This Row],[Date]]),Log_2020[[#This Row],[Split_apply]])) - SUM($O96:V96)</f>
        <v>0</v>
      </c>
      <c r="X96" s="58">
        <f ca="1">Log_2020[[#This Row],[Amount]]/Log_2020[[#This Row],[Split_raw]]*MAX(0,MIN(_xlfn.DAYS(EDATE(X$1,1),Log_2020[[#This Row],[Date]]),Log_2020[[#This Row],[Split_apply]])) - SUM($O96:W96)</f>
        <v>0</v>
      </c>
      <c r="Y96" s="58">
        <f ca="1">Log_2020[[#This Row],[Amount]]/Log_2020[[#This Row],[Split_raw]]*MAX(0,MIN(_xlfn.DAYS(EDATE(Y$1,1),Log_2020[[#This Row],[Date]]),Log_2020[[#This Row],[Split_apply]])) - SUM($O96:X96)</f>
        <v>0</v>
      </c>
      <c r="Z96" s="58">
        <f ca="1">Log_2020[[#This Row],[Amount]]/Log_2020[[#This Row],[Split_raw]]*MAX(0,MIN(_xlfn.DAYS(EDATE(Z$1,1),Log_2020[[#This Row],[Date]]),Log_2020[[#This Row],[Split_apply]])) - SUM($O96:Y96)</f>
        <v>0</v>
      </c>
      <c r="AA96" s="58">
        <f ca="1">Log_2020[[#This Row],[Amount]]/Log_2020[[#This Row],[Split_raw]]*MAX(0,MIN(_xlfn.DAYS(EDATE(AA$1,1),Log_2020[[#This Row],[Date]]),Log_2020[[#This Row],[Split_apply]])) - SUM($O96:Z96)</f>
        <v>0</v>
      </c>
      <c r="AB96" s="85">
        <f ca="1">Log_2020[[#This Row],[Amount]]*Log_2020[[#This Row],[Split_apply]]/Log_2020[[#This Row],[Split_raw]]-SUM(O96:AA96)</f>
        <v>0</v>
      </c>
      <c r="AC96" s="74">
        <f>MAX(0,Log_2020[[#This Row],[Split_raw]] - (EDATE(AA$1,1)-Log_2020[[#This Row],[Date]]))</f>
        <v>0</v>
      </c>
    </row>
    <row r="97" spans="1:29" x14ac:dyDescent="0.25">
      <c r="A97" s="37"/>
      <c r="B97" s="34" t="s">
        <v>6</v>
      </c>
      <c r="C97" s="34"/>
      <c r="D97" s="35">
        <v>43892</v>
      </c>
      <c r="E97" s="34"/>
      <c r="F97" s="34" t="s">
        <v>673</v>
      </c>
      <c r="G97" s="34" t="s">
        <v>25</v>
      </c>
      <c r="H97">
        <v>-10.25</v>
      </c>
      <c r="I97" s="36">
        <f>IF(Log_2020[[#This Row],[My Category]]="NONTRACKED",0,Log_2020[[#This Row],[Raw Amount]])</f>
        <v>-10.25</v>
      </c>
      <c r="J97" s="37">
        <f>ABS(Log_2020[[#This Row],[Amount]])</f>
        <v>10.25</v>
      </c>
      <c r="K97" s="38">
        <v>1</v>
      </c>
      <c r="L97" s="38">
        <f ca="1">IF(Log_2020[[#This Row],[Date]]&lt;=TODAY(), MIN(Log_2020[[#This Row],[Split_raw]], TODAY()-Log_2020[[#This Row],[Date]]+1), 0)</f>
        <v>1</v>
      </c>
      <c r="M97" s="34" t="s">
        <v>35</v>
      </c>
      <c r="N97" s="34" t="s">
        <v>158</v>
      </c>
      <c r="O97" s="7"/>
      <c r="P97" s="58">
        <f ca="1">Log_2020[[#This Row],[Amount]]/Log_2020[[#This Row],[Split_raw]]*MAX(0,MIN(_xlfn.DAYS(EDATE(P$1,1),Log_2020[[#This Row],[Date]]),Log_2020[[#This Row],[Split_apply]])) - SUM($O97:O97)</f>
        <v>0</v>
      </c>
      <c r="Q97" s="58">
        <f ca="1">Log_2020[[#This Row],[Amount]]/Log_2020[[#This Row],[Split_raw]]*MAX(0,MIN(_xlfn.DAYS(EDATE(Q$1,1),Log_2020[[#This Row],[Date]]),Log_2020[[#This Row],[Split_apply]])) - SUM($O97:P97)</f>
        <v>0</v>
      </c>
      <c r="R97" s="58">
        <f ca="1">Log_2020[[#This Row],[Amount]]/Log_2020[[#This Row],[Split_raw]]*MAX(0,MIN(_xlfn.DAYS(EDATE(R$1,1),Log_2020[[#This Row],[Date]]),Log_2020[[#This Row],[Split_apply]])) - SUM($O97:Q97)</f>
        <v>-10.25</v>
      </c>
      <c r="S97" s="58">
        <f ca="1">Log_2020[[#This Row],[Amount]]/Log_2020[[#This Row],[Split_raw]]*MAX(0,MIN(_xlfn.DAYS(EDATE(S$1,1),Log_2020[[#This Row],[Date]]),Log_2020[[#This Row],[Split_apply]])) - SUM($O97:R97)</f>
        <v>0</v>
      </c>
      <c r="T97" s="58">
        <f ca="1">Log_2020[[#This Row],[Amount]]/Log_2020[[#This Row],[Split_raw]]*MAX(0,MIN(_xlfn.DAYS(EDATE(T$1,1),Log_2020[[#This Row],[Date]]),Log_2020[[#This Row],[Split_apply]])) - SUM($O97:S97)</f>
        <v>0</v>
      </c>
      <c r="U97" s="58">
        <f ca="1">Log_2020[[#This Row],[Amount]]/Log_2020[[#This Row],[Split_raw]]*MAX(0,MIN(_xlfn.DAYS(EDATE(U$1,1),Log_2020[[#This Row],[Date]]),Log_2020[[#This Row],[Split_apply]])) - SUM($O97:T97)</f>
        <v>0</v>
      </c>
      <c r="V97" s="58">
        <f ca="1">Log_2020[[#This Row],[Amount]]/Log_2020[[#This Row],[Split_raw]]*MAX(0,MIN(_xlfn.DAYS(EDATE(V$1,1),Log_2020[[#This Row],[Date]]),Log_2020[[#This Row],[Split_apply]])) - SUM($O97:U97)</f>
        <v>0</v>
      </c>
      <c r="W97" s="58">
        <f ca="1">Log_2020[[#This Row],[Amount]]/Log_2020[[#This Row],[Split_raw]]*MAX(0,MIN(_xlfn.DAYS(EDATE(W$1,1),Log_2020[[#This Row],[Date]]),Log_2020[[#This Row],[Split_apply]])) - SUM($O97:V97)</f>
        <v>0</v>
      </c>
      <c r="X97" s="58">
        <f ca="1">Log_2020[[#This Row],[Amount]]/Log_2020[[#This Row],[Split_raw]]*MAX(0,MIN(_xlfn.DAYS(EDATE(X$1,1),Log_2020[[#This Row],[Date]]),Log_2020[[#This Row],[Split_apply]])) - SUM($O97:W97)</f>
        <v>0</v>
      </c>
      <c r="Y97" s="58">
        <f ca="1">Log_2020[[#This Row],[Amount]]/Log_2020[[#This Row],[Split_raw]]*MAX(0,MIN(_xlfn.DAYS(EDATE(Y$1,1),Log_2020[[#This Row],[Date]]),Log_2020[[#This Row],[Split_apply]])) - SUM($O97:X97)</f>
        <v>0</v>
      </c>
      <c r="Z97" s="58">
        <f ca="1">Log_2020[[#This Row],[Amount]]/Log_2020[[#This Row],[Split_raw]]*MAX(0,MIN(_xlfn.DAYS(EDATE(Z$1,1),Log_2020[[#This Row],[Date]]),Log_2020[[#This Row],[Split_apply]])) - SUM($O97:Y97)</f>
        <v>0</v>
      </c>
      <c r="AA97" s="58">
        <f ca="1">Log_2020[[#This Row],[Amount]]/Log_2020[[#This Row],[Split_raw]]*MAX(0,MIN(_xlfn.DAYS(EDATE(AA$1,1),Log_2020[[#This Row],[Date]]),Log_2020[[#This Row],[Split_apply]])) - SUM($O97:Z97)</f>
        <v>0</v>
      </c>
      <c r="AB97" s="85">
        <f ca="1">Log_2020[[#This Row],[Amount]]*Log_2020[[#This Row],[Split_apply]]/Log_2020[[#This Row],[Split_raw]]-SUM(O97:AA97)</f>
        <v>0</v>
      </c>
      <c r="AC97" s="74">
        <f>MAX(0,Log_2020[[#This Row],[Split_raw]] - (EDATE(AA$1,1)-Log_2020[[#This Row],[Date]]))</f>
        <v>0</v>
      </c>
    </row>
    <row r="98" spans="1:29" x14ac:dyDescent="0.25">
      <c r="A98" s="37"/>
      <c r="B98" s="34" t="s">
        <v>191</v>
      </c>
      <c r="C98" s="34"/>
      <c r="D98" s="35">
        <v>43891</v>
      </c>
      <c r="E98" s="34"/>
      <c r="F98" s="34" t="s">
        <v>527</v>
      </c>
      <c r="G98" s="34" t="s">
        <v>384</v>
      </c>
      <c r="H98">
        <v>-40</v>
      </c>
      <c r="I98" s="36">
        <f>IF(Log_2020[[#This Row],[My Category]]="NONTRACKED",0,Log_2020[[#This Row],[Raw Amount]])</f>
        <v>-40</v>
      </c>
      <c r="J98" s="37">
        <f>ABS(Log_2020[[#This Row],[Amount]])</f>
        <v>40</v>
      </c>
      <c r="K98" s="38">
        <v>31</v>
      </c>
      <c r="L98" s="38">
        <f ca="1">IF(Log_2020[[#This Row],[Date]]&lt;=TODAY(), MIN(Log_2020[[#This Row],[Split_raw]], TODAY()-Log_2020[[#This Row],[Date]]+1), 0)</f>
        <v>31</v>
      </c>
      <c r="M98" s="34" t="s">
        <v>29</v>
      </c>
      <c r="N98" s="34" t="s">
        <v>160</v>
      </c>
      <c r="O98" s="7"/>
      <c r="P98" s="58">
        <f ca="1">Log_2020[[#This Row],[Amount]]/Log_2020[[#This Row],[Split_raw]]*MAX(0,MIN(_xlfn.DAYS(EDATE(P$1,1),Log_2020[[#This Row],[Date]]),Log_2020[[#This Row],[Split_apply]])) - SUM($O98:O98)</f>
        <v>0</v>
      </c>
      <c r="Q98" s="58">
        <f ca="1">Log_2020[[#This Row],[Amount]]/Log_2020[[#This Row],[Split_raw]]*MAX(0,MIN(_xlfn.DAYS(EDATE(Q$1,1),Log_2020[[#This Row],[Date]]),Log_2020[[#This Row],[Split_apply]])) - SUM($O98:P98)</f>
        <v>0</v>
      </c>
      <c r="R98" s="58">
        <f ca="1">Log_2020[[#This Row],[Amount]]/Log_2020[[#This Row],[Split_raw]]*MAX(0,MIN(_xlfn.DAYS(EDATE(R$1,1),Log_2020[[#This Row],[Date]]),Log_2020[[#This Row],[Split_apply]])) - SUM($O98:Q98)</f>
        <v>-40</v>
      </c>
      <c r="S98" s="58">
        <f ca="1">Log_2020[[#This Row],[Amount]]/Log_2020[[#This Row],[Split_raw]]*MAX(0,MIN(_xlfn.DAYS(EDATE(S$1,1),Log_2020[[#This Row],[Date]]),Log_2020[[#This Row],[Split_apply]])) - SUM($O98:R98)</f>
        <v>0</v>
      </c>
      <c r="T98" s="58">
        <f ca="1">Log_2020[[#This Row],[Amount]]/Log_2020[[#This Row],[Split_raw]]*MAX(0,MIN(_xlfn.DAYS(EDATE(T$1,1),Log_2020[[#This Row],[Date]]),Log_2020[[#This Row],[Split_apply]])) - SUM($O98:S98)</f>
        <v>0</v>
      </c>
      <c r="U98" s="58">
        <f ca="1">Log_2020[[#This Row],[Amount]]/Log_2020[[#This Row],[Split_raw]]*MAX(0,MIN(_xlfn.DAYS(EDATE(U$1,1),Log_2020[[#This Row],[Date]]),Log_2020[[#This Row],[Split_apply]])) - SUM($O98:T98)</f>
        <v>0</v>
      </c>
      <c r="V98" s="58">
        <f ca="1">Log_2020[[#This Row],[Amount]]/Log_2020[[#This Row],[Split_raw]]*MAX(0,MIN(_xlfn.DAYS(EDATE(V$1,1),Log_2020[[#This Row],[Date]]),Log_2020[[#This Row],[Split_apply]])) - SUM($O98:U98)</f>
        <v>0</v>
      </c>
      <c r="W98" s="58">
        <f ca="1">Log_2020[[#This Row],[Amount]]/Log_2020[[#This Row],[Split_raw]]*MAX(0,MIN(_xlfn.DAYS(EDATE(W$1,1),Log_2020[[#This Row],[Date]]),Log_2020[[#This Row],[Split_apply]])) - SUM($O98:V98)</f>
        <v>0</v>
      </c>
      <c r="X98" s="58">
        <f ca="1">Log_2020[[#This Row],[Amount]]/Log_2020[[#This Row],[Split_raw]]*MAX(0,MIN(_xlfn.DAYS(EDATE(X$1,1),Log_2020[[#This Row],[Date]]),Log_2020[[#This Row],[Split_apply]])) - SUM($O98:W98)</f>
        <v>0</v>
      </c>
      <c r="Y98" s="58">
        <f ca="1">Log_2020[[#This Row],[Amount]]/Log_2020[[#This Row],[Split_raw]]*MAX(0,MIN(_xlfn.DAYS(EDATE(Y$1,1),Log_2020[[#This Row],[Date]]),Log_2020[[#This Row],[Split_apply]])) - SUM($O98:X98)</f>
        <v>0</v>
      </c>
      <c r="Z98" s="58">
        <f ca="1">Log_2020[[#This Row],[Amount]]/Log_2020[[#This Row],[Split_raw]]*MAX(0,MIN(_xlfn.DAYS(EDATE(Z$1,1),Log_2020[[#This Row],[Date]]),Log_2020[[#This Row],[Split_apply]])) - SUM($O98:Y98)</f>
        <v>0</v>
      </c>
      <c r="AA98" s="58">
        <f ca="1">Log_2020[[#This Row],[Amount]]/Log_2020[[#This Row],[Split_raw]]*MAX(0,MIN(_xlfn.DAYS(EDATE(AA$1,1),Log_2020[[#This Row],[Date]]),Log_2020[[#This Row],[Split_apply]])) - SUM($O98:Z98)</f>
        <v>0</v>
      </c>
      <c r="AB98" s="85">
        <f ca="1">Log_2020[[#This Row],[Amount]]*Log_2020[[#This Row],[Split_apply]]/Log_2020[[#This Row],[Split_raw]]-SUM(O98:AA98)</f>
        <v>0</v>
      </c>
      <c r="AC98" s="74">
        <f>MAX(0,Log_2020[[#This Row],[Split_raw]] - (EDATE(AA$1,1)-Log_2020[[#This Row],[Date]]))</f>
        <v>0</v>
      </c>
    </row>
    <row r="99" spans="1:29" x14ac:dyDescent="0.25">
      <c r="A99" s="37"/>
      <c r="B99" s="34" t="s">
        <v>6</v>
      </c>
      <c r="C99" s="34"/>
      <c r="D99" s="35">
        <v>43891</v>
      </c>
      <c r="E99" t="s">
        <v>960</v>
      </c>
      <c r="F99" s="34" t="s">
        <v>1060</v>
      </c>
      <c r="G99" s="34" t="s">
        <v>82</v>
      </c>
      <c r="H99">
        <v>-320</v>
      </c>
      <c r="I99" s="36">
        <f>IF(Log_2020[[#This Row],[My Category]]="NONTRACKED",0,Log_2020[[#This Row],[Raw Amount]])</f>
        <v>-320</v>
      </c>
      <c r="J99" s="37">
        <f>ABS(Log_2020[[#This Row],[Amount]])</f>
        <v>320</v>
      </c>
      <c r="K99" s="38">
        <v>31</v>
      </c>
      <c r="L99" s="38">
        <f ca="1">IF(Log_2020[[#This Row],[Date]]&lt;=TODAY(), MIN(Log_2020[[#This Row],[Split_raw]], TODAY()-Log_2020[[#This Row],[Date]]+1), 0)</f>
        <v>31</v>
      </c>
      <c r="M99" s="34" t="s">
        <v>93</v>
      </c>
      <c r="N99" s="34" t="s">
        <v>160</v>
      </c>
      <c r="O99" s="7"/>
      <c r="P99" s="58">
        <f ca="1">Log_2020[[#This Row],[Amount]]/Log_2020[[#This Row],[Split_raw]]*MAX(0,MIN(_xlfn.DAYS(EDATE(P$1,1),Log_2020[[#This Row],[Date]]),Log_2020[[#This Row],[Split_apply]])) - SUM($O99:O99)</f>
        <v>0</v>
      </c>
      <c r="Q99" s="58">
        <f ca="1">Log_2020[[#This Row],[Amount]]/Log_2020[[#This Row],[Split_raw]]*MAX(0,MIN(_xlfn.DAYS(EDATE(Q$1,1),Log_2020[[#This Row],[Date]]),Log_2020[[#This Row],[Split_apply]])) - SUM($O99:P99)</f>
        <v>0</v>
      </c>
      <c r="R99" s="58">
        <f ca="1">Log_2020[[#This Row],[Amount]]/Log_2020[[#This Row],[Split_raw]]*MAX(0,MIN(_xlfn.DAYS(EDATE(R$1,1),Log_2020[[#This Row],[Date]]),Log_2020[[#This Row],[Split_apply]])) - SUM($O99:Q99)</f>
        <v>-320</v>
      </c>
      <c r="S99" s="58">
        <f ca="1">Log_2020[[#This Row],[Amount]]/Log_2020[[#This Row],[Split_raw]]*MAX(0,MIN(_xlfn.DAYS(EDATE(S$1,1),Log_2020[[#This Row],[Date]]),Log_2020[[#This Row],[Split_apply]])) - SUM($O99:R99)</f>
        <v>0</v>
      </c>
      <c r="T99" s="58">
        <f ca="1">Log_2020[[#This Row],[Amount]]/Log_2020[[#This Row],[Split_raw]]*MAX(0,MIN(_xlfn.DAYS(EDATE(T$1,1),Log_2020[[#This Row],[Date]]),Log_2020[[#This Row],[Split_apply]])) - SUM($O99:S99)</f>
        <v>0</v>
      </c>
      <c r="U99" s="58">
        <f ca="1">Log_2020[[#This Row],[Amount]]/Log_2020[[#This Row],[Split_raw]]*MAX(0,MIN(_xlfn.DAYS(EDATE(U$1,1),Log_2020[[#This Row],[Date]]),Log_2020[[#This Row],[Split_apply]])) - SUM($O99:T99)</f>
        <v>0</v>
      </c>
      <c r="V99" s="58">
        <f ca="1">Log_2020[[#This Row],[Amount]]/Log_2020[[#This Row],[Split_raw]]*MAX(0,MIN(_xlfn.DAYS(EDATE(V$1,1),Log_2020[[#This Row],[Date]]),Log_2020[[#This Row],[Split_apply]])) - SUM($O99:U99)</f>
        <v>0</v>
      </c>
      <c r="W99" s="58">
        <f ca="1">Log_2020[[#This Row],[Amount]]/Log_2020[[#This Row],[Split_raw]]*MAX(0,MIN(_xlfn.DAYS(EDATE(W$1,1),Log_2020[[#This Row],[Date]]),Log_2020[[#This Row],[Split_apply]])) - SUM($O99:V99)</f>
        <v>0</v>
      </c>
      <c r="X99" s="58">
        <f ca="1">Log_2020[[#This Row],[Amount]]/Log_2020[[#This Row],[Split_raw]]*MAX(0,MIN(_xlfn.DAYS(EDATE(X$1,1),Log_2020[[#This Row],[Date]]),Log_2020[[#This Row],[Split_apply]])) - SUM($O99:W99)</f>
        <v>0</v>
      </c>
      <c r="Y99" s="58">
        <f ca="1">Log_2020[[#This Row],[Amount]]/Log_2020[[#This Row],[Split_raw]]*MAX(0,MIN(_xlfn.DAYS(EDATE(Y$1,1),Log_2020[[#This Row],[Date]]),Log_2020[[#This Row],[Split_apply]])) - SUM($O99:X99)</f>
        <v>0</v>
      </c>
      <c r="Z99" s="58">
        <f ca="1">Log_2020[[#This Row],[Amount]]/Log_2020[[#This Row],[Split_raw]]*MAX(0,MIN(_xlfn.DAYS(EDATE(Z$1,1),Log_2020[[#This Row],[Date]]),Log_2020[[#This Row],[Split_apply]])) - SUM($O99:Y99)</f>
        <v>0</v>
      </c>
      <c r="AA99" s="58">
        <f ca="1">Log_2020[[#This Row],[Amount]]/Log_2020[[#This Row],[Split_raw]]*MAX(0,MIN(_xlfn.DAYS(EDATE(AA$1,1),Log_2020[[#This Row],[Date]]),Log_2020[[#This Row],[Split_apply]])) - SUM($O99:Z99)</f>
        <v>0</v>
      </c>
      <c r="AB99" s="85">
        <f ca="1">Log_2020[[#This Row],[Amount]]*Log_2020[[#This Row],[Split_apply]]/Log_2020[[#This Row],[Split_raw]]-SUM(O99:AA99)</f>
        <v>0</v>
      </c>
      <c r="AC99" s="74">
        <f>MAX(0,Log_2020[[#This Row],[Split_raw]] - (EDATE(AA$1,1)-Log_2020[[#This Row],[Date]]))</f>
        <v>0</v>
      </c>
    </row>
    <row r="100" spans="1:29" x14ac:dyDescent="0.25">
      <c r="A100" s="37"/>
      <c r="B100" s="34" t="s">
        <v>191</v>
      </c>
      <c r="C100" s="34"/>
      <c r="D100" s="35">
        <v>43891</v>
      </c>
      <c r="E100" t="s">
        <v>960</v>
      </c>
      <c r="F100" s="34" t="s">
        <v>527</v>
      </c>
      <c r="G100" s="34" t="s">
        <v>384</v>
      </c>
      <c r="H100">
        <v>-1600</v>
      </c>
      <c r="I100" s="36">
        <f>IF(Log_2020[[#This Row],[My Category]]="NONTRACKED",0,Log_2020[[#This Row],[Raw Amount]])</f>
        <v>-1600</v>
      </c>
      <c r="J100" s="37">
        <f>ABS(Log_2020[[#This Row],[Amount]])</f>
        <v>1600</v>
      </c>
      <c r="K100" s="38">
        <v>31</v>
      </c>
      <c r="L100" s="38">
        <f ca="1">IF(Log_2020[[#This Row],[Date]]&lt;=TODAY(), MIN(Log_2020[[#This Row],[Split_raw]], TODAY()-Log_2020[[#This Row],[Date]]+1), 0)</f>
        <v>31</v>
      </c>
      <c r="M100" s="34" t="s">
        <v>28</v>
      </c>
      <c r="N100" s="34" t="s">
        <v>160</v>
      </c>
      <c r="O100" s="7"/>
      <c r="P100" s="58">
        <f ca="1">Log_2020[[#This Row],[Amount]]/Log_2020[[#This Row],[Split_raw]]*MAX(0,MIN(_xlfn.DAYS(EDATE(P$1,1),Log_2020[[#This Row],[Date]]),Log_2020[[#This Row],[Split_apply]])) - SUM($O100:O100)</f>
        <v>0</v>
      </c>
      <c r="Q100" s="58">
        <f ca="1">Log_2020[[#This Row],[Amount]]/Log_2020[[#This Row],[Split_raw]]*MAX(0,MIN(_xlfn.DAYS(EDATE(Q$1,1),Log_2020[[#This Row],[Date]]),Log_2020[[#This Row],[Split_apply]])) - SUM($O100:P100)</f>
        <v>0</v>
      </c>
      <c r="R100" s="58">
        <f ca="1">Log_2020[[#This Row],[Amount]]/Log_2020[[#This Row],[Split_raw]]*MAX(0,MIN(_xlfn.DAYS(EDATE(R$1,1),Log_2020[[#This Row],[Date]]),Log_2020[[#This Row],[Split_apply]])) - SUM($O100:Q100)</f>
        <v>-1600</v>
      </c>
      <c r="S100" s="58">
        <f ca="1">Log_2020[[#This Row],[Amount]]/Log_2020[[#This Row],[Split_raw]]*MAX(0,MIN(_xlfn.DAYS(EDATE(S$1,1),Log_2020[[#This Row],[Date]]),Log_2020[[#This Row],[Split_apply]])) - SUM($O100:R100)</f>
        <v>0</v>
      </c>
      <c r="T100" s="58">
        <f ca="1">Log_2020[[#This Row],[Amount]]/Log_2020[[#This Row],[Split_raw]]*MAX(0,MIN(_xlfn.DAYS(EDATE(T$1,1),Log_2020[[#This Row],[Date]]),Log_2020[[#This Row],[Split_apply]])) - SUM($O100:S100)</f>
        <v>0</v>
      </c>
      <c r="U100" s="58">
        <f ca="1">Log_2020[[#This Row],[Amount]]/Log_2020[[#This Row],[Split_raw]]*MAX(0,MIN(_xlfn.DAYS(EDATE(U$1,1),Log_2020[[#This Row],[Date]]),Log_2020[[#This Row],[Split_apply]])) - SUM($O100:T100)</f>
        <v>0</v>
      </c>
      <c r="V100" s="58">
        <f ca="1">Log_2020[[#This Row],[Amount]]/Log_2020[[#This Row],[Split_raw]]*MAX(0,MIN(_xlfn.DAYS(EDATE(V$1,1),Log_2020[[#This Row],[Date]]),Log_2020[[#This Row],[Split_apply]])) - SUM($O100:U100)</f>
        <v>0</v>
      </c>
      <c r="W100" s="58">
        <f ca="1">Log_2020[[#This Row],[Amount]]/Log_2020[[#This Row],[Split_raw]]*MAX(0,MIN(_xlfn.DAYS(EDATE(W$1,1),Log_2020[[#This Row],[Date]]),Log_2020[[#This Row],[Split_apply]])) - SUM($O100:V100)</f>
        <v>0</v>
      </c>
      <c r="X100" s="58">
        <f ca="1">Log_2020[[#This Row],[Amount]]/Log_2020[[#This Row],[Split_raw]]*MAX(0,MIN(_xlfn.DAYS(EDATE(X$1,1),Log_2020[[#This Row],[Date]]),Log_2020[[#This Row],[Split_apply]])) - SUM($O100:W100)</f>
        <v>0</v>
      </c>
      <c r="Y100" s="58">
        <f ca="1">Log_2020[[#This Row],[Amount]]/Log_2020[[#This Row],[Split_raw]]*MAX(0,MIN(_xlfn.DAYS(EDATE(Y$1,1),Log_2020[[#This Row],[Date]]),Log_2020[[#This Row],[Split_apply]])) - SUM($O100:X100)</f>
        <v>0</v>
      </c>
      <c r="Z100" s="58">
        <f ca="1">Log_2020[[#This Row],[Amount]]/Log_2020[[#This Row],[Split_raw]]*MAX(0,MIN(_xlfn.DAYS(EDATE(Z$1,1),Log_2020[[#This Row],[Date]]),Log_2020[[#This Row],[Split_apply]])) - SUM($O100:Y100)</f>
        <v>0</v>
      </c>
      <c r="AA100" s="58">
        <f ca="1">Log_2020[[#This Row],[Amount]]/Log_2020[[#This Row],[Split_raw]]*MAX(0,MIN(_xlfn.DAYS(EDATE(AA$1,1),Log_2020[[#This Row],[Date]]),Log_2020[[#This Row],[Split_apply]])) - SUM($O100:Z100)</f>
        <v>0</v>
      </c>
      <c r="AB100" s="85">
        <f ca="1">Log_2020[[#This Row],[Amount]]*Log_2020[[#This Row],[Split_apply]]/Log_2020[[#This Row],[Split_raw]]-SUM(O100:AA100)</f>
        <v>0</v>
      </c>
      <c r="AC100" s="74">
        <f>MAX(0,Log_2020[[#This Row],[Split_raw]] - (EDATE(AA$1,1)-Log_2020[[#This Row],[Date]]))</f>
        <v>0</v>
      </c>
    </row>
    <row r="101" spans="1:29" x14ac:dyDescent="0.25">
      <c r="A101" s="37"/>
      <c r="B101" s="34" t="s">
        <v>6</v>
      </c>
      <c r="C101" s="34"/>
      <c r="D101" s="35">
        <v>43891</v>
      </c>
      <c r="E101" s="34" t="s">
        <v>1073</v>
      </c>
      <c r="F101" s="34" t="s">
        <v>1069</v>
      </c>
      <c r="G101" s="34" t="s">
        <v>9</v>
      </c>
      <c r="H101">
        <v>-3.24</v>
      </c>
      <c r="I101" s="36">
        <f>IF(Log_2020[[#This Row],[My Category]]="NONTRACKED",0,Log_2020[[#This Row],[Raw Amount]])</f>
        <v>-3.24</v>
      </c>
      <c r="J101" s="37">
        <f>ABS(Log_2020[[#This Row],[Amount]])</f>
        <v>3.24</v>
      </c>
      <c r="K101" s="38">
        <v>1</v>
      </c>
      <c r="L101" s="38">
        <f ca="1">IF(Log_2020[[#This Row],[Date]]&lt;=TODAY(), MIN(Log_2020[[#This Row],[Split_raw]], TODAY()-Log_2020[[#This Row],[Date]]+1), 0)</f>
        <v>1</v>
      </c>
      <c r="M101" s="34" t="s">
        <v>37</v>
      </c>
      <c r="N101" s="34" t="s">
        <v>158</v>
      </c>
      <c r="O101" s="7"/>
      <c r="P101" s="58">
        <f ca="1">Log_2020[[#This Row],[Amount]]/Log_2020[[#This Row],[Split_raw]]*MAX(0,MIN(_xlfn.DAYS(EDATE(P$1,1),Log_2020[[#This Row],[Date]]),Log_2020[[#This Row],[Split_apply]])) - SUM($O101:O101)</f>
        <v>0</v>
      </c>
      <c r="Q101" s="58">
        <f ca="1">Log_2020[[#This Row],[Amount]]/Log_2020[[#This Row],[Split_raw]]*MAX(0,MIN(_xlfn.DAYS(EDATE(Q$1,1),Log_2020[[#This Row],[Date]]),Log_2020[[#This Row],[Split_apply]])) - SUM($O101:P101)</f>
        <v>0</v>
      </c>
      <c r="R101" s="58">
        <f ca="1">Log_2020[[#This Row],[Amount]]/Log_2020[[#This Row],[Split_raw]]*MAX(0,MIN(_xlfn.DAYS(EDATE(R$1,1),Log_2020[[#This Row],[Date]]),Log_2020[[#This Row],[Split_apply]])) - SUM($O101:Q101)</f>
        <v>-3.24</v>
      </c>
      <c r="S101" s="58">
        <f ca="1">Log_2020[[#This Row],[Amount]]/Log_2020[[#This Row],[Split_raw]]*MAX(0,MIN(_xlfn.DAYS(EDATE(S$1,1),Log_2020[[#This Row],[Date]]),Log_2020[[#This Row],[Split_apply]])) - SUM($O101:R101)</f>
        <v>0</v>
      </c>
      <c r="T101" s="58">
        <f ca="1">Log_2020[[#This Row],[Amount]]/Log_2020[[#This Row],[Split_raw]]*MAX(0,MIN(_xlfn.DAYS(EDATE(T$1,1),Log_2020[[#This Row],[Date]]),Log_2020[[#This Row],[Split_apply]])) - SUM($O101:S101)</f>
        <v>0</v>
      </c>
      <c r="U101" s="58">
        <f ca="1">Log_2020[[#This Row],[Amount]]/Log_2020[[#This Row],[Split_raw]]*MAX(0,MIN(_xlfn.DAYS(EDATE(U$1,1),Log_2020[[#This Row],[Date]]),Log_2020[[#This Row],[Split_apply]])) - SUM($O101:T101)</f>
        <v>0</v>
      </c>
      <c r="V101" s="58">
        <f ca="1">Log_2020[[#This Row],[Amount]]/Log_2020[[#This Row],[Split_raw]]*MAX(0,MIN(_xlfn.DAYS(EDATE(V$1,1),Log_2020[[#This Row],[Date]]),Log_2020[[#This Row],[Split_apply]])) - SUM($O101:U101)</f>
        <v>0</v>
      </c>
      <c r="W101" s="58">
        <f ca="1">Log_2020[[#This Row],[Amount]]/Log_2020[[#This Row],[Split_raw]]*MAX(0,MIN(_xlfn.DAYS(EDATE(W$1,1),Log_2020[[#This Row],[Date]]),Log_2020[[#This Row],[Split_apply]])) - SUM($O101:V101)</f>
        <v>0</v>
      </c>
      <c r="X101" s="58">
        <f ca="1">Log_2020[[#This Row],[Amount]]/Log_2020[[#This Row],[Split_raw]]*MAX(0,MIN(_xlfn.DAYS(EDATE(X$1,1),Log_2020[[#This Row],[Date]]),Log_2020[[#This Row],[Split_apply]])) - SUM($O101:W101)</f>
        <v>0</v>
      </c>
      <c r="Y101" s="58">
        <f ca="1">Log_2020[[#This Row],[Amount]]/Log_2020[[#This Row],[Split_raw]]*MAX(0,MIN(_xlfn.DAYS(EDATE(Y$1,1),Log_2020[[#This Row],[Date]]),Log_2020[[#This Row],[Split_apply]])) - SUM($O101:X101)</f>
        <v>0</v>
      </c>
      <c r="Z101" s="58">
        <f ca="1">Log_2020[[#This Row],[Amount]]/Log_2020[[#This Row],[Split_raw]]*MAX(0,MIN(_xlfn.DAYS(EDATE(Z$1,1),Log_2020[[#This Row],[Date]]),Log_2020[[#This Row],[Split_apply]])) - SUM($O101:Y101)</f>
        <v>0</v>
      </c>
      <c r="AA101" s="58">
        <f ca="1">Log_2020[[#This Row],[Amount]]/Log_2020[[#This Row],[Split_raw]]*MAX(0,MIN(_xlfn.DAYS(EDATE(AA$1,1),Log_2020[[#This Row],[Date]]),Log_2020[[#This Row],[Split_apply]])) - SUM($O101:Z101)</f>
        <v>0</v>
      </c>
      <c r="AB101" s="85">
        <f ca="1">Log_2020[[#This Row],[Amount]]*Log_2020[[#This Row],[Split_apply]]/Log_2020[[#This Row],[Split_raw]]-SUM(O101:AA101)</f>
        <v>0</v>
      </c>
      <c r="AC101" s="74">
        <f>MAX(0,Log_2020[[#This Row],[Split_raw]] - (EDATE(AA$1,1)-Log_2020[[#This Row],[Date]]))</f>
        <v>0</v>
      </c>
    </row>
    <row r="102" spans="1:29" x14ac:dyDescent="0.25">
      <c r="A102" s="37"/>
      <c r="B102" s="34" t="s">
        <v>6</v>
      </c>
      <c r="C102" s="34"/>
      <c r="D102" s="35">
        <v>43891</v>
      </c>
      <c r="E102" s="34"/>
      <c r="F102" s="34" t="s">
        <v>1070</v>
      </c>
      <c r="G102" s="34" t="s">
        <v>27</v>
      </c>
      <c r="H102">
        <v>-9.4700000000000006</v>
      </c>
      <c r="I102" s="36">
        <f>IF(Log_2020[[#This Row],[My Category]]="NONTRACKED",0,Log_2020[[#This Row],[Raw Amount]])</f>
        <v>-9.4700000000000006</v>
      </c>
      <c r="J102" s="37">
        <f>ABS(Log_2020[[#This Row],[Amount]])</f>
        <v>9.4700000000000006</v>
      </c>
      <c r="K102" s="38">
        <v>1</v>
      </c>
      <c r="L102" s="38">
        <f ca="1">IF(Log_2020[[#This Row],[Date]]&lt;=TODAY(), MIN(Log_2020[[#This Row],[Split_raw]], TODAY()-Log_2020[[#This Row],[Date]]+1), 0)</f>
        <v>1</v>
      </c>
      <c r="M102" s="34" t="s">
        <v>37</v>
      </c>
      <c r="N102" s="34" t="s">
        <v>158</v>
      </c>
      <c r="O102" s="7"/>
      <c r="P102" s="58">
        <f ca="1">Log_2020[[#This Row],[Amount]]/Log_2020[[#This Row],[Split_raw]]*MAX(0,MIN(_xlfn.DAYS(EDATE(P$1,1),Log_2020[[#This Row],[Date]]),Log_2020[[#This Row],[Split_apply]])) - SUM($O102:O102)</f>
        <v>0</v>
      </c>
      <c r="Q102" s="58">
        <f ca="1">Log_2020[[#This Row],[Amount]]/Log_2020[[#This Row],[Split_raw]]*MAX(0,MIN(_xlfn.DAYS(EDATE(Q$1,1),Log_2020[[#This Row],[Date]]),Log_2020[[#This Row],[Split_apply]])) - SUM($O102:P102)</f>
        <v>0</v>
      </c>
      <c r="R102" s="58">
        <f ca="1">Log_2020[[#This Row],[Amount]]/Log_2020[[#This Row],[Split_raw]]*MAX(0,MIN(_xlfn.DAYS(EDATE(R$1,1),Log_2020[[#This Row],[Date]]),Log_2020[[#This Row],[Split_apply]])) - SUM($O102:Q102)</f>
        <v>-9.4700000000000006</v>
      </c>
      <c r="S102" s="58">
        <f ca="1">Log_2020[[#This Row],[Amount]]/Log_2020[[#This Row],[Split_raw]]*MAX(0,MIN(_xlfn.DAYS(EDATE(S$1,1),Log_2020[[#This Row],[Date]]),Log_2020[[#This Row],[Split_apply]])) - SUM($O102:R102)</f>
        <v>0</v>
      </c>
      <c r="T102" s="58">
        <f ca="1">Log_2020[[#This Row],[Amount]]/Log_2020[[#This Row],[Split_raw]]*MAX(0,MIN(_xlfn.DAYS(EDATE(T$1,1),Log_2020[[#This Row],[Date]]),Log_2020[[#This Row],[Split_apply]])) - SUM($O102:S102)</f>
        <v>0</v>
      </c>
      <c r="U102" s="58">
        <f ca="1">Log_2020[[#This Row],[Amount]]/Log_2020[[#This Row],[Split_raw]]*MAX(0,MIN(_xlfn.DAYS(EDATE(U$1,1),Log_2020[[#This Row],[Date]]),Log_2020[[#This Row],[Split_apply]])) - SUM($O102:T102)</f>
        <v>0</v>
      </c>
      <c r="V102" s="58">
        <f ca="1">Log_2020[[#This Row],[Amount]]/Log_2020[[#This Row],[Split_raw]]*MAX(0,MIN(_xlfn.DAYS(EDATE(V$1,1),Log_2020[[#This Row],[Date]]),Log_2020[[#This Row],[Split_apply]])) - SUM($O102:U102)</f>
        <v>0</v>
      </c>
      <c r="W102" s="58">
        <f ca="1">Log_2020[[#This Row],[Amount]]/Log_2020[[#This Row],[Split_raw]]*MAX(0,MIN(_xlfn.DAYS(EDATE(W$1,1),Log_2020[[#This Row],[Date]]),Log_2020[[#This Row],[Split_apply]])) - SUM($O102:V102)</f>
        <v>0</v>
      </c>
      <c r="X102" s="58">
        <f ca="1">Log_2020[[#This Row],[Amount]]/Log_2020[[#This Row],[Split_raw]]*MAX(0,MIN(_xlfn.DAYS(EDATE(X$1,1),Log_2020[[#This Row],[Date]]),Log_2020[[#This Row],[Split_apply]])) - SUM($O102:W102)</f>
        <v>0</v>
      </c>
      <c r="Y102" s="58">
        <f ca="1">Log_2020[[#This Row],[Amount]]/Log_2020[[#This Row],[Split_raw]]*MAX(0,MIN(_xlfn.DAYS(EDATE(Y$1,1),Log_2020[[#This Row],[Date]]),Log_2020[[#This Row],[Split_apply]])) - SUM($O102:X102)</f>
        <v>0</v>
      </c>
      <c r="Z102" s="58">
        <f ca="1">Log_2020[[#This Row],[Amount]]/Log_2020[[#This Row],[Split_raw]]*MAX(0,MIN(_xlfn.DAYS(EDATE(Z$1,1),Log_2020[[#This Row],[Date]]),Log_2020[[#This Row],[Split_apply]])) - SUM($O102:Y102)</f>
        <v>0</v>
      </c>
      <c r="AA102" s="58">
        <f ca="1">Log_2020[[#This Row],[Amount]]/Log_2020[[#This Row],[Split_raw]]*MAX(0,MIN(_xlfn.DAYS(EDATE(AA$1,1),Log_2020[[#This Row],[Date]]),Log_2020[[#This Row],[Split_apply]])) - SUM($O102:Z102)</f>
        <v>0</v>
      </c>
      <c r="AB102" s="85">
        <f ca="1">Log_2020[[#This Row],[Amount]]*Log_2020[[#This Row],[Split_apply]]/Log_2020[[#This Row],[Split_raw]]-SUM(O102:AA102)</f>
        <v>0</v>
      </c>
      <c r="AC102" s="74">
        <f>MAX(0,Log_2020[[#This Row],[Split_raw]] - (EDATE(AA$1,1)-Log_2020[[#This Row],[Date]]))</f>
        <v>0</v>
      </c>
    </row>
    <row r="103" spans="1:29" x14ac:dyDescent="0.25">
      <c r="A103" s="37"/>
      <c r="B103" s="34" t="s">
        <v>6</v>
      </c>
      <c r="C103" s="34"/>
      <c r="D103" s="35">
        <v>43890</v>
      </c>
      <c r="E103" s="34"/>
      <c r="F103" s="34" t="s">
        <v>1071</v>
      </c>
      <c r="G103" s="34" t="s">
        <v>25</v>
      </c>
      <c r="H103">
        <v>-12.81</v>
      </c>
      <c r="I103" s="36">
        <f>IF(Log_2020[[#This Row],[My Category]]="NONTRACKED",0,Log_2020[[#This Row],[Raw Amount]])</f>
        <v>-12.81</v>
      </c>
      <c r="J103" s="37">
        <f>ABS(Log_2020[[#This Row],[Amount]])</f>
        <v>12.81</v>
      </c>
      <c r="K103" s="38">
        <v>1</v>
      </c>
      <c r="L103" s="38">
        <f ca="1">IF(Log_2020[[#This Row],[Date]]&lt;=TODAY(), MIN(Log_2020[[#This Row],[Split_raw]], TODAY()-Log_2020[[#This Row],[Date]]+1), 0)</f>
        <v>1</v>
      </c>
      <c r="M103" s="34" t="s">
        <v>37</v>
      </c>
      <c r="N103" s="34" t="s">
        <v>158</v>
      </c>
      <c r="O103" s="7"/>
      <c r="P103" s="58">
        <f ca="1">Log_2020[[#This Row],[Amount]]/Log_2020[[#This Row],[Split_raw]]*MAX(0,MIN(_xlfn.DAYS(EDATE(P$1,1),Log_2020[[#This Row],[Date]]),Log_2020[[#This Row],[Split_apply]])) - SUM($O103:O103)</f>
        <v>0</v>
      </c>
      <c r="Q103" s="58">
        <f ca="1">Log_2020[[#This Row],[Amount]]/Log_2020[[#This Row],[Split_raw]]*MAX(0,MIN(_xlfn.DAYS(EDATE(Q$1,1),Log_2020[[#This Row],[Date]]),Log_2020[[#This Row],[Split_apply]])) - SUM($O103:P103)</f>
        <v>-12.81</v>
      </c>
      <c r="R103" s="58">
        <f ca="1">Log_2020[[#This Row],[Amount]]/Log_2020[[#This Row],[Split_raw]]*MAX(0,MIN(_xlfn.DAYS(EDATE(R$1,1),Log_2020[[#This Row],[Date]]),Log_2020[[#This Row],[Split_apply]])) - SUM($O103:Q103)</f>
        <v>0</v>
      </c>
      <c r="S103" s="58">
        <f ca="1">Log_2020[[#This Row],[Amount]]/Log_2020[[#This Row],[Split_raw]]*MAX(0,MIN(_xlfn.DAYS(EDATE(S$1,1),Log_2020[[#This Row],[Date]]),Log_2020[[#This Row],[Split_apply]])) - SUM($O103:R103)</f>
        <v>0</v>
      </c>
      <c r="T103" s="58">
        <f ca="1">Log_2020[[#This Row],[Amount]]/Log_2020[[#This Row],[Split_raw]]*MAX(0,MIN(_xlfn.DAYS(EDATE(T$1,1),Log_2020[[#This Row],[Date]]),Log_2020[[#This Row],[Split_apply]])) - SUM($O103:S103)</f>
        <v>0</v>
      </c>
      <c r="U103" s="58">
        <f ca="1">Log_2020[[#This Row],[Amount]]/Log_2020[[#This Row],[Split_raw]]*MAX(0,MIN(_xlfn.DAYS(EDATE(U$1,1),Log_2020[[#This Row],[Date]]),Log_2020[[#This Row],[Split_apply]])) - SUM($O103:T103)</f>
        <v>0</v>
      </c>
      <c r="V103" s="58">
        <f ca="1">Log_2020[[#This Row],[Amount]]/Log_2020[[#This Row],[Split_raw]]*MAX(0,MIN(_xlfn.DAYS(EDATE(V$1,1),Log_2020[[#This Row],[Date]]),Log_2020[[#This Row],[Split_apply]])) - SUM($O103:U103)</f>
        <v>0</v>
      </c>
      <c r="W103" s="58">
        <f ca="1">Log_2020[[#This Row],[Amount]]/Log_2020[[#This Row],[Split_raw]]*MAX(0,MIN(_xlfn.DAYS(EDATE(W$1,1),Log_2020[[#This Row],[Date]]),Log_2020[[#This Row],[Split_apply]])) - SUM($O103:V103)</f>
        <v>0</v>
      </c>
      <c r="X103" s="58">
        <f ca="1">Log_2020[[#This Row],[Amount]]/Log_2020[[#This Row],[Split_raw]]*MAX(0,MIN(_xlfn.DAYS(EDATE(X$1,1),Log_2020[[#This Row],[Date]]),Log_2020[[#This Row],[Split_apply]])) - SUM($O103:W103)</f>
        <v>0</v>
      </c>
      <c r="Y103" s="58">
        <f ca="1">Log_2020[[#This Row],[Amount]]/Log_2020[[#This Row],[Split_raw]]*MAX(0,MIN(_xlfn.DAYS(EDATE(Y$1,1),Log_2020[[#This Row],[Date]]),Log_2020[[#This Row],[Split_apply]])) - SUM($O103:X103)</f>
        <v>0</v>
      </c>
      <c r="Z103" s="58">
        <f ca="1">Log_2020[[#This Row],[Amount]]/Log_2020[[#This Row],[Split_raw]]*MAX(0,MIN(_xlfn.DAYS(EDATE(Z$1,1),Log_2020[[#This Row],[Date]]),Log_2020[[#This Row],[Split_apply]])) - SUM($O103:Y103)</f>
        <v>0</v>
      </c>
      <c r="AA103" s="58">
        <f ca="1">Log_2020[[#This Row],[Amount]]/Log_2020[[#This Row],[Split_raw]]*MAX(0,MIN(_xlfn.DAYS(EDATE(AA$1,1),Log_2020[[#This Row],[Date]]),Log_2020[[#This Row],[Split_apply]])) - SUM($O103:Z103)</f>
        <v>0</v>
      </c>
      <c r="AB103" s="85">
        <f ca="1">Log_2020[[#This Row],[Amount]]*Log_2020[[#This Row],[Split_apply]]/Log_2020[[#This Row],[Split_raw]]-SUM(O103:AA103)</f>
        <v>0</v>
      </c>
      <c r="AC103" s="74">
        <f>MAX(0,Log_2020[[#This Row],[Split_raw]] - (EDATE(AA$1,1)-Log_2020[[#This Row],[Date]]))</f>
        <v>0</v>
      </c>
    </row>
    <row r="104" spans="1:29" x14ac:dyDescent="0.25">
      <c r="A104" s="37"/>
      <c r="B104" s="34" t="s">
        <v>6</v>
      </c>
      <c r="C104" s="34"/>
      <c r="D104" s="35">
        <v>43890</v>
      </c>
      <c r="E104" s="34"/>
      <c r="F104" s="34" t="s">
        <v>690</v>
      </c>
      <c r="G104" s="34" t="s">
        <v>27</v>
      </c>
      <c r="H104">
        <v>-14.73</v>
      </c>
      <c r="I104" s="36">
        <f>IF(Log_2020[[#This Row],[My Category]]="NONTRACKED",0,Log_2020[[#This Row],[Raw Amount]])</f>
        <v>-14.73</v>
      </c>
      <c r="J104" s="37">
        <f>ABS(Log_2020[[#This Row],[Amount]])</f>
        <v>14.73</v>
      </c>
      <c r="K104" s="38">
        <v>1</v>
      </c>
      <c r="L104" s="38">
        <f ca="1">IF(Log_2020[[#This Row],[Date]]&lt;=TODAY(), MIN(Log_2020[[#This Row],[Split_raw]], TODAY()-Log_2020[[#This Row],[Date]]+1), 0)</f>
        <v>1</v>
      </c>
      <c r="M104" s="34" t="s">
        <v>37</v>
      </c>
      <c r="N104" s="34" t="s">
        <v>158</v>
      </c>
      <c r="O104" s="7"/>
      <c r="P104" s="58">
        <f ca="1">Log_2020[[#This Row],[Amount]]/Log_2020[[#This Row],[Split_raw]]*MAX(0,MIN(_xlfn.DAYS(EDATE(P$1,1),Log_2020[[#This Row],[Date]]),Log_2020[[#This Row],[Split_apply]])) - SUM($O104:O104)</f>
        <v>0</v>
      </c>
      <c r="Q104" s="58">
        <f ca="1">Log_2020[[#This Row],[Amount]]/Log_2020[[#This Row],[Split_raw]]*MAX(0,MIN(_xlfn.DAYS(EDATE(Q$1,1),Log_2020[[#This Row],[Date]]),Log_2020[[#This Row],[Split_apply]])) - SUM($O104:P104)</f>
        <v>-14.73</v>
      </c>
      <c r="R104" s="58">
        <f ca="1">Log_2020[[#This Row],[Amount]]/Log_2020[[#This Row],[Split_raw]]*MAX(0,MIN(_xlfn.DAYS(EDATE(R$1,1),Log_2020[[#This Row],[Date]]),Log_2020[[#This Row],[Split_apply]])) - SUM($O104:Q104)</f>
        <v>0</v>
      </c>
      <c r="S104" s="58">
        <f ca="1">Log_2020[[#This Row],[Amount]]/Log_2020[[#This Row],[Split_raw]]*MAX(0,MIN(_xlfn.DAYS(EDATE(S$1,1),Log_2020[[#This Row],[Date]]),Log_2020[[#This Row],[Split_apply]])) - SUM($O104:R104)</f>
        <v>0</v>
      </c>
      <c r="T104" s="58">
        <f ca="1">Log_2020[[#This Row],[Amount]]/Log_2020[[#This Row],[Split_raw]]*MAX(0,MIN(_xlfn.DAYS(EDATE(T$1,1),Log_2020[[#This Row],[Date]]),Log_2020[[#This Row],[Split_apply]])) - SUM($O104:S104)</f>
        <v>0</v>
      </c>
      <c r="U104" s="58">
        <f ca="1">Log_2020[[#This Row],[Amount]]/Log_2020[[#This Row],[Split_raw]]*MAX(0,MIN(_xlfn.DAYS(EDATE(U$1,1),Log_2020[[#This Row],[Date]]),Log_2020[[#This Row],[Split_apply]])) - SUM($O104:T104)</f>
        <v>0</v>
      </c>
      <c r="V104" s="58">
        <f ca="1">Log_2020[[#This Row],[Amount]]/Log_2020[[#This Row],[Split_raw]]*MAX(0,MIN(_xlfn.DAYS(EDATE(V$1,1),Log_2020[[#This Row],[Date]]),Log_2020[[#This Row],[Split_apply]])) - SUM($O104:U104)</f>
        <v>0</v>
      </c>
      <c r="W104" s="58">
        <f ca="1">Log_2020[[#This Row],[Amount]]/Log_2020[[#This Row],[Split_raw]]*MAX(0,MIN(_xlfn.DAYS(EDATE(W$1,1),Log_2020[[#This Row],[Date]]),Log_2020[[#This Row],[Split_apply]])) - SUM($O104:V104)</f>
        <v>0</v>
      </c>
      <c r="X104" s="58">
        <f ca="1">Log_2020[[#This Row],[Amount]]/Log_2020[[#This Row],[Split_raw]]*MAX(0,MIN(_xlfn.DAYS(EDATE(X$1,1),Log_2020[[#This Row],[Date]]),Log_2020[[#This Row],[Split_apply]])) - SUM($O104:W104)</f>
        <v>0</v>
      </c>
      <c r="Y104" s="58">
        <f ca="1">Log_2020[[#This Row],[Amount]]/Log_2020[[#This Row],[Split_raw]]*MAX(0,MIN(_xlfn.DAYS(EDATE(Y$1,1),Log_2020[[#This Row],[Date]]),Log_2020[[#This Row],[Split_apply]])) - SUM($O104:X104)</f>
        <v>0</v>
      </c>
      <c r="Z104" s="58">
        <f ca="1">Log_2020[[#This Row],[Amount]]/Log_2020[[#This Row],[Split_raw]]*MAX(0,MIN(_xlfn.DAYS(EDATE(Z$1,1),Log_2020[[#This Row],[Date]]),Log_2020[[#This Row],[Split_apply]])) - SUM($O104:Y104)</f>
        <v>0</v>
      </c>
      <c r="AA104" s="58">
        <f ca="1">Log_2020[[#This Row],[Amount]]/Log_2020[[#This Row],[Split_raw]]*MAX(0,MIN(_xlfn.DAYS(EDATE(AA$1,1),Log_2020[[#This Row],[Date]]),Log_2020[[#This Row],[Split_apply]])) - SUM($O104:Z104)</f>
        <v>0</v>
      </c>
      <c r="AB104" s="85">
        <f ca="1">Log_2020[[#This Row],[Amount]]*Log_2020[[#This Row],[Split_apply]]/Log_2020[[#This Row],[Split_raw]]-SUM(O104:AA104)</f>
        <v>0</v>
      </c>
      <c r="AC104" s="74">
        <f>MAX(0,Log_2020[[#This Row],[Split_raw]] - (EDATE(AA$1,1)-Log_2020[[#This Row],[Date]]))</f>
        <v>0</v>
      </c>
    </row>
    <row r="105" spans="1:29" x14ac:dyDescent="0.25">
      <c r="A105" s="37"/>
      <c r="B105" s="34" t="s">
        <v>6</v>
      </c>
      <c r="C105" s="34"/>
      <c r="D105" s="35">
        <v>43889</v>
      </c>
      <c r="E105" s="34"/>
      <c r="F105" s="34" t="s">
        <v>676</v>
      </c>
      <c r="G105" s="34" t="s">
        <v>25</v>
      </c>
      <c r="H105">
        <v>-7.55</v>
      </c>
      <c r="I105" s="36">
        <f>IF(Log_2020[[#This Row],[My Category]]="NONTRACKED",0,Log_2020[[#This Row],[Raw Amount]])</f>
        <v>-7.55</v>
      </c>
      <c r="J105" s="37">
        <f>ABS(Log_2020[[#This Row],[Amount]])</f>
        <v>7.55</v>
      </c>
      <c r="K105" s="38">
        <v>1</v>
      </c>
      <c r="L105" s="38">
        <f ca="1">IF(Log_2020[[#This Row],[Date]]&lt;=TODAY(), MIN(Log_2020[[#This Row],[Split_raw]], TODAY()-Log_2020[[#This Row],[Date]]+1), 0)</f>
        <v>1</v>
      </c>
      <c r="M105" s="34" t="s">
        <v>35</v>
      </c>
      <c r="N105" s="34" t="s">
        <v>158</v>
      </c>
      <c r="O105" s="7"/>
      <c r="P105" s="58">
        <f ca="1">Log_2020[[#This Row],[Amount]]/Log_2020[[#This Row],[Split_raw]]*MAX(0,MIN(_xlfn.DAYS(EDATE(P$1,1),Log_2020[[#This Row],[Date]]),Log_2020[[#This Row],[Split_apply]])) - SUM($O105:O105)</f>
        <v>0</v>
      </c>
      <c r="Q105" s="58">
        <f ca="1">Log_2020[[#This Row],[Amount]]/Log_2020[[#This Row],[Split_raw]]*MAX(0,MIN(_xlfn.DAYS(EDATE(Q$1,1),Log_2020[[#This Row],[Date]]),Log_2020[[#This Row],[Split_apply]])) - SUM($O105:P105)</f>
        <v>-7.55</v>
      </c>
      <c r="R105" s="58">
        <f ca="1">Log_2020[[#This Row],[Amount]]/Log_2020[[#This Row],[Split_raw]]*MAX(0,MIN(_xlfn.DAYS(EDATE(R$1,1),Log_2020[[#This Row],[Date]]),Log_2020[[#This Row],[Split_apply]])) - SUM($O105:Q105)</f>
        <v>0</v>
      </c>
      <c r="S105" s="58">
        <f ca="1">Log_2020[[#This Row],[Amount]]/Log_2020[[#This Row],[Split_raw]]*MAX(0,MIN(_xlfn.DAYS(EDATE(S$1,1),Log_2020[[#This Row],[Date]]),Log_2020[[#This Row],[Split_apply]])) - SUM($O105:R105)</f>
        <v>0</v>
      </c>
      <c r="T105" s="58">
        <f ca="1">Log_2020[[#This Row],[Amount]]/Log_2020[[#This Row],[Split_raw]]*MAX(0,MIN(_xlfn.DAYS(EDATE(T$1,1),Log_2020[[#This Row],[Date]]),Log_2020[[#This Row],[Split_apply]])) - SUM($O105:S105)</f>
        <v>0</v>
      </c>
      <c r="U105" s="58">
        <f ca="1">Log_2020[[#This Row],[Amount]]/Log_2020[[#This Row],[Split_raw]]*MAX(0,MIN(_xlfn.DAYS(EDATE(U$1,1),Log_2020[[#This Row],[Date]]),Log_2020[[#This Row],[Split_apply]])) - SUM($O105:T105)</f>
        <v>0</v>
      </c>
      <c r="V105" s="58">
        <f ca="1">Log_2020[[#This Row],[Amount]]/Log_2020[[#This Row],[Split_raw]]*MAX(0,MIN(_xlfn.DAYS(EDATE(V$1,1),Log_2020[[#This Row],[Date]]),Log_2020[[#This Row],[Split_apply]])) - SUM($O105:U105)</f>
        <v>0</v>
      </c>
      <c r="W105" s="58">
        <f ca="1">Log_2020[[#This Row],[Amount]]/Log_2020[[#This Row],[Split_raw]]*MAX(0,MIN(_xlfn.DAYS(EDATE(W$1,1),Log_2020[[#This Row],[Date]]),Log_2020[[#This Row],[Split_apply]])) - SUM($O105:V105)</f>
        <v>0</v>
      </c>
      <c r="X105" s="58">
        <f ca="1">Log_2020[[#This Row],[Amount]]/Log_2020[[#This Row],[Split_raw]]*MAX(0,MIN(_xlfn.DAYS(EDATE(X$1,1),Log_2020[[#This Row],[Date]]),Log_2020[[#This Row],[Split_apply]])) - SUM($O105:W105)</f>
        <v>0</v>
      </c>
      <c r="Y105" s="58">
        <f ca="1">Log_2020[[#This Row],[Amount]]/Log_2020[[#This Row],[Split_raw]]*MAX(0,MIN(_xlfn.DAYS(EDATE(Y$1,1),Log_2020[[#This Row],[Date]]),Log_2020[[#This Row],[Split_apply]])) - SUM($O105:X105)</f>
        <v>0</v>
      </c>
      <c r="Z105" s="58">
        <f ca="1">Log_2020[[#This Row],[Amount]]/Log_2020[[#This Row],[Split_raw]]*MAX(0,MIN(_xlfn.DAYS(EDATE(Z$1,1),Log_2020[[#This Row],[Date]]),Log_2020[[#This Row],[Split_apply]])) - SUM($O105:Y105)</f>
        <v>0</v>
      </c>
      <c r="AA105" s="58">
        <f ca="1">Log_2020[[#This Row],[Amount]]/Log_2020[[#This Row],[Split_raw]]*MAX(0,MIN(_xlfn.DAYS(EDATE(AA$1,1),Log_2020[[#This Row],[Date]]),Log_2020[[#This Row],[Split_apply]])) - SUM($O105:Z105)</f>
        <v>0</v>
      </c>
      <c r="AB105" s="85">
        <f ca="1">Log_2020[[#This Row],[Amount]]*Log_2020[[#This Row],[Split_apply]]/Log_2020[[#This Row],[Split_raw]]-SUM(O105:AA105)</f>
        <v>0</v>
      </c>
      <c r="AC105" s="74">
        <f>MAX(0,Log_2020[[#This Row],[Split_raw]] - (EDATE(AA$1,1)-Log_2020[[#This Row],[Date]]))</f>
        <v>0</v>
      </c>
    </row>
    <row r="106" spans="1:29" x14ac:dyDescent="0.25">
      <c r="A106" s="37"/>
      <c r="B106" s="34" t="s">
        <v>6</v>
      </c>
      <c r="C106" s="34"/>
      <c r="D106" s="35">
        <v>43888</v>
      </c>
      <c r="E106" s="34"/>
      <c r="F106" s="34" t="s">
        <v>16</v>
      </c>
      <c r="G106" s="34" t="s">
        <v>17</v>
      </c>
      <c r="H106">
        <f>--0.18</f>
        <v>0.18</v>
      </c>
      <c r="I106" s="36">
        <f>IF(Log_2020[[#This Row],[My Category]]="NONTRACKED",0,Log_2020[[#This Row],[Raw Amount]])</f>
        <v>0.18</v>
      </c>
      <c r="J106" s="37">
        <f>ABS(Log_2020[[#This Row],[Amount]])</f>
        <v>0.18</v>
      </c>
      <c r="K106" s="38">
        <v>1</v>
      </c>
      <c r="L106" s="38">
        <f ca="1">IF(Log_2020[[#This Row],[Date]]&lt;=TODAY(), MIN(Log_2020[[#This Row],[Split_raw]], TODAY()-Log_2020[[#This Row],[Date]]+1), 0)</f>
        <v>1</v>
      </c>
      <c r="M106" s="34" t="s">
        <v>144</v>
      </c>
      <c r="N106" s="34" t="s">
        <v>160</v>
      </c>
      <c r="O106" s="7"/>
      <c r="P106" s="58">
        <f ca="1">Log_2020[[#This Row],[Amount]]/Log_2020[[#This Row],[Split_raw]]*MAX(0,MIN(_xlfn.DAYS(EDATE(P$1,1),Log_2020[[#This Row],[Date]]),Log_2020[[#This Row],[Split_apply]])) - SUM($O106:O106)</f>
        <v>0</v>
      </c>
      <c r="Q106" s="58">
        <f ca="1">Log_2020[[#This Row],[Amount]]/Log_2020[[#This Row],[Split_raw]]*MAX(0,MIN(_xlfn.DAYS(EDATE(Q$1,1),Log_2020[[#This Row],[Date]]),Log_2020[[#This Row],[Split_apply]])) - SUM($O106:P106)</f>
        <v>0.18</v>
      </c>
      <c r="R106" s="58">
        <f ca="1">Log_2020[[#This Row],[Amount]]/Log_2020[[#This Row],[Split_raw]]*MAX(0,MIN(_xlfn.DAYS(EDATE(R$1,1),Log_2020[[#This Row],[Date]]),Log_2020[[#This Row],[Split_apply]])) - SUM($O106:Q106)</f>
        <v>0</v>
      </c>
      <c r="S106" s="58">
        <f ca="1">Log_2020[[#This Row],[Amount]]/Log_2020[[#This Row],[Split_raw]]*MAX(0,MIN(_xlfn.DAYS(EDATE(S$1,1),Log_2020[[#This Row],[Date]]),Log_2020[[#This Row],[Split_apply]])) - SUM($O106:R106)</f>
        <v>0</v>
      </c>
      <c r="T106" s="58">
        <f ca="1">Log_2020[[#This Row],[Amount]]/Log_2020[[#This Row],[Split_raw]]*MAX(0,MIN(_xlfn.DAYS(EDATE(T$1,1),Log_2020[[#This Row],[Date]]),Log_2020[[#This Row],[Split_apply]])) - SUM($O106:S106)</f>
        <v>0</v>
      </c>
      <c r="U106" s="58">
        <f ca="1">Log_2020[[#This Row],[Amount]]/Log_2020[[#This Row],[Split_raw]]*MAX(0,MIN(_xlfn.DAYS(EDATE(U$1,1),Log_2020[[#This Row],[Date]]),Log_2020[[#This Row],[Split_apply]])) - SUM($O106:T106)</f>
        <v>0</v>
      </c>
      <c r="V106" s="58">
        <f ca="1">Log_2020[[#This Row],[Amount]]/Log_2020[[#This Row],[Split_raw]]*MAX(0,MIN(_xlfn.DAYS(EDATE(V$1,1),Log_2020[[#This Row],[Date]]),Log_2020[[#This Row],[Split_apply]])) - SUM($O106:U106)</f>
        <v>0</v>
      </c>
      <c r="W106" s="58">
        <f ca="1">Log_2020[[#This Row],[Amount]]/Log_2020[[#This Row],[Split_raw]]*MAX(0,MIN(_xlfn.DAYS(EDATE(W$1,1),Log_2020[[#This Row],[Date]]),Log_2020[[#This Row],[Split_apply]])) - SUM($O106:V106)</f>
        <v>0</v>
      </c>
      <c r="X106" s="58">
        <f ca="1">Log_2020[[#This Row],[Amount]]/Log_2020[[#This Row],[Split_raw]]*MAX(0,MIN(_xlfn.DAYS(EDATE(X$1,1),Log_2020[[#This Row],[Date]]),Log_2020[[#This Row],[Split_apply]])) - SUM($O106:W106)</f>
        <v>0</v>
      </c>
      <c r="Y106" s="58">
        <f ca="1">Log_2020[[#This Row],[Amount]]/Log_2020[[#This Row],[Split_raw]]*MAX(0,MIN(_xlfn.DAYS(EDATE(Y$1,1),Log_2020[[#This Row],[Date]]),Log_2020[[#This Row],[Split_apply]])) - SUM($O106:X106)</f>
        <v>0</v>
      </c>
      <c r="Z106" s="58">
        <f ca="1">Log_2020[[#This Row],[Amount]]/Log_2020[[#This Row],[Split_raw]]*MAX(0,MIN(_xlfn.DAYS(EDATE(Z$1,1),Log_2020[[#This Row],[Date]]),Log_2020[[#This Row],[Split_apply]])) - SUM($O106:Y106)</f>
        <v>0</v>
      </c>
      <c r="AA106" s="58">
        <f ca="1">Log_2020[[#This Row],[Amount]]/Log_2020[[#This Row],[Split_raw]]*MAX(0,MIN(_xlfn.DAYS(EDATE(AA$1,1),Log_2020[[#This Row],[Date]]),Log_2020[[#This Row],[Split_apply]])) - SUM($O106:Z106)</f>
        <v>0</v>
      </c>
      <c r="AB106" s="85">
        <f ca="1">Log_2020[[#This Row],[Amount]]*Log_2020[[#This Row],[Split_apply]]/Log_2020[[#This Row],[Split_raw]]-SUM(O106:AA106)</f>
        <v>0</v>
      </c>
      <c r="AC106" s="74">
        <f>MAX(0,Log_2020[[#This Row],[Split_raw]] - (EDATE(AA$1,1)-Log_2020[[#This Row],[Date]]))</f>
        <v>0</v>
      </c>
    </row>
    <row r="107" spans="1:29" x14ac:dyDescent="0.25">
      <c r="A107" s="37"/>
      <c r="B107" s="34" t="s">
        <v>6</v>
      </c>
      <c r="C107" s="34"/>
      <c r="D107" s="35">
        <v>43888</v>
      </c>
      <c r="E107" s="34"/>
      <c r="F107" s="34" t="s">
        <v>138</v>
      </c>
      <c r="G107" s="34" t="s">
        <v>104</v>
      </c>
      <c r="H107">
        <v>-1144.8599999999999</v>
      </c>
      <c r="I107" s="36">
        <f>IF(Log_2020[[#This Row],[My Category]]="NONTRACKED",0,Log_2020[[#This Row],[Raw Amount]])</f>
        <v>-1144.8599999999999</v>
      </c>
      <c r="J107" s="37">
        <f>ABS(Log_2020[[#This Row],[Amount]])</f>
        <v>1144.8599999999999</v>
      </c>
      <c r="K107" s="38">
        <v>1</v>
      </c>
      <c r="L107" s="38">
        <f ca="1">IF(Log_2020[[#This Row],[Date]]&lt;=TODAY(), MIN(Log_2020[[#This Row],[Split_raw]], TODAY()-Log_2020[[#This Row],[Date]]+1), 0)</f>
        <v>1</v>
      </c>
      <c r="M107" s="34" t="s">
        <v>159</v>
      </c>
      <c r="N107" s="34" t="s">
        <v>160</v>
      </c>
      <c r="O107" s="7"/>
      <c r="P107" s="58">
        <f ca="1">Log_2020[[#This Row],[Amount]]/Log_2020[[#This Row],[Split_raw]]*MAX(0,MIN(_xlfn.DAYS(EDATE(P$1,1),Log_2020[[#This Row],[Date]]),Log_2020[[#This Row],[Split_apply]])) - SUM($O107:O107)</f>
        <v>0</v>
      </c>
      <c r="Q107" s="58">
        <f ca="1">Log_2020[[#This Row],[Amount]]/Log_2020[[#This Row],[Split_raw]]*MAX(0,MIN(_xlfn.DAYS(EDATE(Q$1,1),Log_2020[[#This Row],[Date]]),Log_2020[[#This Row],[Split_apply]])) - SUM($O107:P107)</f>
        <v>-1144.8599999999999</v>
      </c>
      <c r="R107" s="58">
        <f ca="1">Log_2020[[#This Row],[Amount]]/Log_2020[[#This Row],[Split_raw]]*MAX(0,MIN(_xlfn.DAYS(EDATE(R$1,1),Log_2020[[#This Row],[Date]]),Log_2020[[#This Row],[Split_apply]])) - SUM($O107:Q107)</f>
        <v>0</v>
      </c>
      <c r="S107" s="58">
        <f ca="1">Log_2020[[#This Row],[Amount]]/Log_2020[[#This Row],[Split_raw]]*MAX(0,MIN(_xlfn.DAYS(EDATE(S$1,1),Log_2020[[#This Row],[Date]]),Log_2020[[#This Row],[Split_apply]])) - SUM($O107:R107)</f>
        <v>0</v>
      </c>
      <c r="T107" s="58">
        <f ca="1">Log_2020[[#This Row],[Amount]]/Log_2020[[#This Row],[Split_raw]]*MAX(0,MIN(_xlfn.DAYS(EDATE(T$1,1),Log_2020[[#This Row],[Date]]),Log_2020[[#This Row],[Split_apply]])) - SUM($O107:S107)</f>
        <v>0</v>
      </c>
      <c r="U107" s="58">
        <f ca="1">Log_2020[[#This Row],[Amount]]/Log_2020[[#This Row],[Split_raw]]*MAX(0,MIN(_xlfn.DAYS(EDATE(U$1,1),Log_2020[[#This Row],[Date]]),Log_2020[[#This Row],[Split_apply]])) - SUM($O107:T107)</f>
        <v>0</v>
      </c>
      <c r="V107" s="58">
        <f ca="1">Log_2020[[#This Row],[Amount]]/Log_2020[[#This Row],[Split_raw]]*MAX(0,MIN(_xlfn.DAYS(EDATE(V$1,1),Log_2020[[#This Row],[Date]]),Log_2020[[#This Row],[Split_apply]])) - SUM($O107:U107)</f>
        <v>0</v>
      </c>
      <c r="W107" s="58">
        <f ca="1">Log_2020[[#This Row],[Amount]]/Log_2020[[#This Row],[Split_raw]]*MAX(0,MIN(_xlfn.DAYS(EDATE(W$1,1),Log_2020[[#This Row],[Date]]),Log_2020[[#This Row],[Split_apply]])) - SUM($O107:V107)</f>
        <v>0</v>
      </c>
      <c r="X107" s="58">
        <f ca="1">Log_2020[[#This Row],[Amount]]/Log_2020[[#This Row],[Split_raw]]*MAX(0,MIN(_xlfn.DAYS(EDATE(X$1,1),Log_2020[[#This Row],[Date]]),Log_2020[[#This Row],[Split_apply]])) - SUM($O107:W107)</f>
        <v>0</v>
      </c>
      <c r="Y107" s="58">
        <f ca="1">Log_2020[[#This Row],[Amount]]/Log_2020[[#This Row],[Split_raw]]*MAX(0,MIN(_xlfn.DAYS(EDATE(Y$1,1),Log_2020[[#This Row],[Date]]),Log_2020[[#This Row],[Split_apply]])) - SUM($O107:X107)</f>
        <v>0</v>
      </c>
      <c r="Z107" s="58">
        <f ca="1">Log_2020[[#This Row],[Amount]]/Log_2020[[#This Row],[Split_raw]]*MAX(0,MIN(_xlfn.DAYS(EDATE(Z$1,1),Log_2020[[#This Row],[Date]]),Log_2020[[#This Row],[Split_apply]])) - SUM($O107:Y107)</f>
        <v>0</v>
      </c>
      <c r="AA107" s="58">
        <f ca="1">Log_2020[[#This Row],[Amount]]/Log_2020[[#This Row],[Split_raw]]*MAX(0,MIN(_xlfn.DAYS(EDATE(AA$1,1),Log_2020[[#This Row],[Date]]),Log_2020[[#This Row],[Split_apply]])) - SUM($O107:Z107)</f>
        <v>0</v>
      </c>
      <c r="AB107" s="85">
        <f ca="1">Log_2020[[#This Row],[Amount]]*Log_2020[[#This Row],[Split_apply]]/Log_2020[[#This Row],[Split_raw]]-SUM(O107:AA107)</f>
        <v>0</v>
      </c>
      <c r="AC107" s="74">
        <f>MAX(0,Log_2020[[#This Row],[Split_raw]] - (EDATE(AA$1,1)-Log_2020[[#This Row],[Date]]))</f>
        <v>0</v>
      </c>
    </row>
    <row r="108" spans="1:29" x14ac:dyDescent="0.25">
      <c r="A108" s="37"/>
      <c r="B108" s="34" t="s">
        <v>6</v>
      </c>
      <c r="C108" s="34"/>
      <c r="D108" s="35">
        <v>43888</v>
      </c>
      <c r="E108" s="34"/>
      <c r="F108" s="34" t="s">
        <v>606</v>
      </c>
      <c r="G108" s="34" t="s">
        <v>747</v>
      </c>
      <c r="H108">
        <f>--1902.79</f>
        <v>1902.79</v>
      </c>
      <c r="I108" s="36">
        <f>IF(Log_2020[[#This Row],[My Category]]="NONTRACKED",0,Log_2020[[#This Row],[Raw Amount]])</f>
        <v>1902.79</v>
      </c>
      <c r="J108" s="37">
        <f>ABS(Log_2020[[#This Row],[Amount]])</f>
        <v>1902.79</v>
      </c>
      <c r="K108" s="38">
        <v>14</v>
      </c>
      <c r="L108" s="38">
        <f ca="1">IF(Log_2020[[#This Row],[Date]]&lt;=TODAY(), MIN(Log_2020[[#This Row],[Split_raw]], TODAY()-Log_2020[[#This Row],[Date]]+1), 0)</f>
        <v>14</v>
      </c>
      <c r="M108" s="34" t="s">
        <v>91</v>
      </c>
      <c r="N108" s="34" t="s">
        <v>160</v>
      </c>
      <c r="O108" s="7"/>
      <c r="P108" s="58">
        <f ca="1">Log_2020[[#This Row],[Amount]]/Log_2020[[#This Row],[Split_raw]]*MAX(0,MIN(_xlfn.DAYS(EDATE(P$1,1),Log_2020[[#This Row],[Date]]),Log_2020[[#This Row],[Split_apply]])) - SUM($O108:O108)</f>
        <v>0</v>
      </c>
      <c r="Q108" s="58">
        <f ca="1">Log_2020[[#This Row],[Amount]]/Log_2020[[#This Row],[Split_raw]]*MAX(0,MIN(_xlfn.DAYS(EDATE(Q$1,1),Log_2020[[#This Row],[Date]]),Log_2020[[#This Row],[Split_apply]])) - SUM($O108:P108)</f>
        <v>407.74071428571426</v>
      </c>
      <c r="R108" s="58">
        <f ca="1">Log_2020[[#This Row],[Amount]]/Log_2020[[#This Row],[Split_raw]]*MAX(0,MIN(_xlfn.DAYS(EDATE(R$1,1),Log_2020[[#This Row],[Date]]),Log_2020[[#This Row],[Split_apply]])) - SUM($O108:Q108)</f>
        <v>1495.0492857142858</v>
      </c>
      <c r="S108" s="58">
        <f ca="1">Log_2020[[#This Row],[Amount]]/Log_2020[[#This Row],[Split_raw]]*MAX(0,MIN(_xlfn.DAYS(EDATE(S$1,1),Log_2020[[#This Row],[Date]]),Log_2020[[#This Row],[Split_apply]])) - SUM($O108:R108)</f>
        <v>0</v>
      </c>
      <c r="T108" s="58">
        <f ca="1">Log_2020[[#This Row],[Amount]]/Log_2020[[#This Row],[Split_raw]]*MAX(0,MIN(_xlfn.DAYS(EDATE(T$1,1),Log_2020[[#This Row],[Date]]),Log_2020[[#This Row],[Split_apply]])) - SUM($O108:S108)</f>
        <v>0</v>
      </c>
      <c r="U108" s="58">
        <f ca="1">Log_2020[[#This Row],[Amount]]/Log_2020[[#This Row],[Split_raw]]*MAX(0,MIN(_xlfn.DAYS(EDATE(U$1,1),Log_2020[[#This Row],[Date]]),Log_2020[[#This Row],[Split_apply]])) - SUM($O108:T108)</f>
        <v>0</v>
      </c>
      <c r="V108" s="58">
        <f ca="1">Log_2020[[#This Row],[Amount]]/Log_2020[[#This Row],[Split_raw]]*MAX(0,MIN(_xlfn.DAYS(EDATE(V$1,1),Log_2020[[#This Row],[Date]]),Log_2020[[#This Row],[Split_apply]])) - SUM($O108:U108)</f>
        <v>0</v>
      </c>
      <c r="W108" s="58">
        <f ca="1">Log_2020[[#This Row],[Amount]]/Log_2020[[#This Row],[Split_raw]]*MAX(0,MIN(_xlfn.DAYS(EDATE(W$1,1),Log_2020[[#This Row],[Date]]),Log_2020[[#This Row],[Split_apply]])) - SUM($O108:V108)</f>
        <v>0</v>
      </c>
      <c r="X108" s="58">
        <f ca="1">Log_2020[[#This Row],[Amount]]/Log_2020[[#This Row],[Split_raw]]*MAX(0,MIN(_xlfn.DAYS(EDATE(X$1,1),Log_2020[[#This Row],[Date]]),Log_2020[[#This Row],[Split_apply]])) - SUM($O108:W108)</f>
        <v>0</v>
      </c>
      <c r="Y108" s="58">
        <f ca="1">Log_2020[[#This Row],[Amount]]/Log_2020[[#This Row],[Split_raw]]*MAX(0,MIN(_xlfn.DAYS(EDATE(Y$1,1),Log_2020[[#This Row],[Date]]),Log_2020[[#This Row],[Split_apply]])) - SUM($O108:X108)</f>
        <v>0</v>
      </c>
      <c r="Z108" s="58">
        <f ca="1">Log_2020[[#This Row],[Amount]]/Log_2020[[#This Row],[Split_raw]]*MAX(0,MIN(_xlfn.DAYS(EDATE(Z$1,1),Log_2020[[#This Row],[Date]]),Log_2020[[#This Row],[Split_apply]])) - SUM($O108:Y108)</f>
        <v>0</v>
      </c>
      <c r="AA108" s="58">
        <f ca="1">Log_2020[[#This Row],[Amount]]/Log_2020[[#This Row],[Split_raw]]*MAX(0,MIN(_xlfn.DAYS(EDATE(AA$1,1),Log_2020[[#This Row],[Date]]),Log_2020[[#This Row],[Split_apply]])) - SUM($O108:Z108)</f>
        <v>0</v>
      </c>
      <c r="AB108" s="85">
        <f ca="1">Log_2020[[#This Row],[Amount]]*Log_2020[[#This Row],[Split_apply]]/Log_2020[[#This Row],[Split_raw]]-SUM(O108:AA108)</f>
        <v>0</v>
      </c>
      <c r="AC108" s="74">
        <f>MAX(0,Log_2020[[#This Row],[Split_raw]] - (EDATE(AA$1,1)-Log_2020[[#This Row],[Date]]))</f>
        <v>0</v>
      </c>
    </row>
    <row r="109" spans="1:29" x14ac:dyDescent="0.25">
      <c r="A109" s="37"/>
      <c r="B109" s="34" t="s">
        <v>6</v>
      </c>
      <c r="C109" s="34"/>
      <c r="D109" s="35">
        <v>43888</v>
      </c>
      <c r="E109" s="34"/>
      <c r="F109" s="34" t="s">
        <v>1047</v>
      </c>
      <c r="G109" s="34" t="s">
        <v>9</v>
      </c>
      <c r="H109">
        <v>-16.489999999999998</v>
      </c>
      <c r="I109" s="36">
        <f>IF(Log_2020[[#This Row],[My Category]]="NONTRACKED",0,Log_2020[[#This Row],[Raw Amount]])</f>
        <v>-16.489999999999998</v>
      </c>
      <c r="J109" s="37">
        <f>ABS(Log_2020[[#This Row],[Amount]])</f>
        <v>16.489999999999998</v>
      </c>
      <c r="K109" s="38">
        <v>1</v>
      </c>
      <c r="L109" s="38">
        <f ca="1">IF(Log_2020[[#This Row],[Date]]&lt;=TODAY(), MIN(Log_2020[[#This Row],[Split_raw]], TODAY()-Log_2020[[#This Row],[Date]]+1), 0)</f>
        <v>1</v>
      </c>
      <c r="M109" s="34" t="s">
        <v>37</v>
      </c>
      <c r="N109" s="34" t="s">
        <v>158</v>
      </c>
      <c r="O109" s="7"/>
      <c r="P109" s="58">
        <f ca="1">Log_2020[[#This Row],[Amount]]/Log_2020[[#This Row],[Split_raw]]*MAX(0,MIN(_xlfn.DAYS(EDATE(P$1,1),Log_2020[[#This Row],[Date]]),Log_2020[[#This Row],[Split_apply]])) - SUM($O109:O109)</f>
        <v>0</v>
      </c>
      <c r="Q109" s="58">
        <f ca="1">Log_2020[[#This Row],[Amount]]/Log_2020[[#This Row],[Split_raw]]*MAX(0,MIN(_xlfn.DAYS(EDATE(Q$1,1),Log_2020[[#This Row],[Date]]),Log_2020[[#This Row],[Split_apply]])) - SUM($O109:P109)</f>
        <v>-16.489999999999998</v>
      </c>
      <c r="R109" s="58">
        <f ca="1">Log_2020[[#This Row],[Amount]]/Log_2020[[#This Row],[Split_raw]]*MAX(0,MIN(_xlfn.DAYS(EDATE(R$1,1),Log_2020[[#This Row],[Date]]),Log_2020[[#This Row],[Split_apply]])) - SUM($O109:Q109)</f>
        <v>0</v>
      </c>
      <c r="S109" s="58">
        <f ca="1">Log_2020[[#This Row],[Amount]]/Log_2020[[#This Row],[Split_raw]]*MAX(0,MIN(_xlfn.DAYS(EDATE(S$1,1),Log_2020[[#This Row],[Date]]),Log_2020[[#This Row],[Split_apply]])) - SUM($O109:R109)</f>
        <v>0</v>
      </c>
      <c r="T109" s="58">
        <f ca="1">Log_2020[[#This Row],[Amount]]/Log_2020[[#This Row],[Split_raw]]*MAX(0,MIN(_xlfn.DAYS(EDATE(T$1,1),Log_2020[[#This Row],[Date]]),Log_2020[[#This Row],[Split_apply]])) - SUM($O109:S109)</f>
        <v>0</v>
      </c>
      <c r="U109" s="58">
        <f ca="1">Log_2020[[#This Row],[Amount]]/Log_2020[[#This Row],[Split_raw]]*MAX(0,MIN(_xlfn.DAYS(EDATE(U$1,1),Log_2020[[#This Row],[Date]]),Log_2020[[#This Row],[Split_apply]])) - SUM($O109:T109)</f>
        <v>0</v>
      </c>
      <c r="V109" s="58">
        <f ca="1">Log_2020[[#This Row],[Amount]]/Log_2020[[#This Row],[Split_raw]]*MAX(0,MIN(_xlfn.DAYS(EDATE(V$1,1),Log_2020[[#This Row],[Date]]),Log_2020[[#This Row],[Split_apply]])) - SUM($O109:U109)</f>
        <v>0</v>
      </c>
      <c r="W109" s="58">
        <f ca="1">Log_2020[[#This Row],[Amount]]/Log_2020[[#This Row],[Split_raw]]*MAX(0,MIN(_xlfn.DAYS(EDATE(W$1,1),Log_2020[[#This Row],[Date]]),Log_2020[[#This Row],[Split_apply]])) - SUM($O109:V109)</f>
        <v>0</v>
      </c>
      <c r="X109" s="58">
        <f ca="1">Log_2020[[#This Row],[Amount]]/Log_2020[[#This Row],[Split_raw]]*MAX(0,MIN(_xlfn.DAYS(EDATE(X$1,1),Log_2020[[#This Row],[Date]]),Log_2020[[#This Row],[Split_apply]])) - SUM($O109:W109)</f>
        <v>0</v>
      </c>
      <c r="Y109" s="58">
        <f ca="1">Log_2020[[#This Row],[Amount]]/Log_2020[[#This Row],[Split_raw]]*MAX(0,MIN(_xlfn.DAYS(EDATE(Y$1,1),Log_2020[[#This Row],[Date]]),Log_2020[[#This Row],[Split_apply]])) - SUM($O109:X109)</f>
        <v>0</v>
      </c>
      <c r="Z109" s="58">
        <f ca="1">Log_2020[[#This Row],[Amount]]/Log_2020[[#This Row],[Split_raw]]*MAX(0,MIN(_xlfn.DAYS(EDATE(Z$1,1),Log_2020[[#This Row],[Date]]),Log_2020[[#This Row],[Split_apply]])) - SUM($O109:Y109)</f>
        <v>0</v>
      </c>
      <c r="AA109" s="58">
        <f ca="1">Log_2020[[#This Row],[Amount]]/Log_2020[[#This Row],[Split_raw]]*MAX(0,MIN(_xlfn.DAYS(EDATE(AA$1,1),Log_2020[[#This Row],[Date]]),Log_2020[[#This Row],[Split_apply]])) - SUM($O109:Z109)</f>
        <v>0</v>
      </c>
      <c r="AB109" s="85">
        <f ca="1">Log_2020[[#This Row],[Amount]]*Log_2020[[#This Row],[Split_apply]]/Log_2020[[#This Row],[Split_raw]]-SUM(O109:AA109)</f>
        <v>0</v>
      </c>
      <c r="AC109" s="74">
        <f>MAX(0,Log_2020[[#This Row],[Split_raw]] - (EDATE(AA$1,1)-Log_2020[[#This Row],[Date]]))</f>
        <v>0</v>
      </c>
    </row>
    <row r="110" spans="1:29" x14ac:dyDescent="0.25">
      <c r="A110" s="37"/>
      <c r="B110" s="34" t="s">
        <v>6</v>
      </c>
      <c r="C110" s="34"/>
      <c r="D110" s="35">
        <v>43888</v>
      </c>
      <c r="E110" s="34"/>
      <c r="F110" s="34" t="s">
        <v>105</v>
      </c>
      <c r="G110" s="34" t="s">
        <v>104</v>
      </c>
      <c r="H110">
        <f>--1144.86</f>
        <v>1144.8599999999999</v>
      </c>
      <c r="I110" s="36">
        <f>IF(Log_2020[[#This Row],[My Category]]="NONTRACKED",0,Log_2020[[#This Row],[Raw Amount]])</f>
        <v>1144.8599999999999</v>
      </c>
      <c r="J110" s="37">
        <f>ABS(Log_2020[[#This Row],[Amount]])</f>
        <v>1144.8599999999999</v>
      </c>
      <c r="K110" s="38">
        <v>1</v>
      </c>
      <c r="L110" s="38">
        <f ca="1">IF(Log_2020[[#This Row],[Date]]&lt;=TODAY(), MIN(Log_2020[[#This Row],[Split_raw]], TODAY()-Log_2020[[#This Row],[Date]]+1), 0)</f>
        <v>1</v>
      </c>
      <c r="M110" s="34" t="s">
        <v>159</v>
      </c>
      <c r="N110" s="34" t="s">
        <v>158</v>
      </c>
      <c r="O110" s="7"/>
      <c r="P110" s="58">
        <f ca="1">Log_2020[[#This Row],[Amount]]/Log_2020[[#This Row],[Split_raw]]*MAX(0,MIN(_xlfn.DAYS(EDATE(P$1,1),Log_2020[[#This Row],[Date]]),Log_2020[[#This Row],[Split_apply]])) - SUM($O110:O110)</f>
        <v>0</v>
      </c>
      <c r="Q110" s="58">
        <f ca="1">Log_2020[[#This Row],[Amount]]/Log_2020[[#This Row],[Split_raw]]*MAX(0,MIN(_xlfn.DAYS(EDATE(Q$1,1),Log_2020[[#This Row],[Date]]),Log_2020[[#This Row],[Split_apply]])) - SUM($O110:P110)</f>
        <v>1144.8599999999999</v>
      </c>
      <c r="R110" s="58">
        <f ca="1">Log_2020[[#This Row],[Amount]]/Log_2020[[#This Row],[Split_raw]]*MAX(0,MIN(_xlfn.DAYS(EDATE(R$1,1),Log_2020[[#This Row],[Date]]),Log_2020[[#This Row],[Split_apply]])) - SUM($O110:Q110)</f>
        <v>0</v>
      </c>
      <c r="S110" s="58">
        <f ca="1">Log_2020[[#This Row],[Amount]]/Log_2020[[#This Row],[Split_raw]]*MAX(0,MIN(_xlfn.DAYS(EDATE(S$1,1),Log_2020[[#This Row],[Date]]),Log_2020[[#This Row],[Split_apply]])) - SUM($O110:R110)</f>
        <v>0</v>
      </c>
      <c r="T110" s="58">
        <f ca="1">Log_2020[[#This Row],[Amount]]/Log_2020[[#This Row],[Split_raw]]*MAX(0,MIN(_xlfn.DAYS(EDATE(T$1,1),Log_2020[[#This Row],[Date]]),Log_2020[[#This Row],[Split_apply]])) - SUM($O110:S110)</f>
        <v>0</v>
      </c>
      <c r="U110" s="58">
        <f ca="1">Log_2020[[#This Row],[Amount]]/Log_2020[[#This Row],[Split_raw]]*MAX(0,MIN(_xlfn.DAYS(EDATE(U$1,1),Log_2020[[#This Row],[Date]]),Log_2020[[#This Row],[Split_apply]])) - SUM($O110:T110)</f>
        <v>0</v>
      </c>
      <c r="V110" s="58">
        <f ca="1">Log_2020[[#This Row],[Amount]]/Log_2020[[#This Row],[Split_raw]]*MAX(0,MIN(_xlfn.DAYS(EDATE(V$1,1),Log_2020[[#This Row],[Date]]),Log_2020[[#This Row],[Split_apply]])) - SUM($O110:U110)</f>
        <v>0</v>
      </c>
      <c r="W110" s="58">
        <f ca="1">Log_2020[[#This Row],[Amount]]/Log_2020[[#This Row],[Split_raw]]*MAX(0,MIN(_xlfn.DAYS(EDATE(W$1,1),Log_2020[[#This Row],[Date]]),Log_2020[[#This Row],[Split_apply]])) - SUM($O110:V110)</f>
        <v>0</v>
      </c>
      <c r="X110" s="58">
        <f ca="1">Log_2020[[#This Row],[Amount]]/Log_2020[[#This Row],[Split_raw]]*MAX(0,MIN(_xlfn.DAYS(EDATE(X$1,1),Log_2020[[#This Row],[Date]]),Log_2020[[#This Row],[Split_apply]])) - SUM($O110:W110)</f>
        <v>0</v>
      </c>
      <c r="Y110" s="58">
        <f ca="1">Log_2020[[#This Row],[Amount]]/Log_2020[[#This Row],[Split_raw]]*MAX(0,MIN(_xlfn.DAYS(EDATE(Y$1,1),Log_2020[[#This Row],[Date]]),Log_2020[[#This Row],[Split_apply]])) - SUM($O110:X110)</f>
        <v>0</v>
      </c>
      <c r="Z110" s="58">
        <f ca="1">Log_2020[[#This Row],[Amount]]/Log_2020[[#This Row],[Split_raw]]*MAX(0,MIN(_xlfn.DAYS(EDATE(Z$1,1),Log_2020[[#This Row],[Date]]),Log_2020[[#This Row],[Split_apply]])) - SUM($O110:Y110)</f>
        <v>0</v>
      </c>
      <c r="AA110" s="58">
        <f ca="1">Log_2020[[#This Row],[Amount]]/Log_2020[[#This Row],[Split_raw]]*MAX(0,MIN(_xlfn.DAYS(EDATE(AA$1,1),Log_2020[[#This Row],[Date]]),Log_2020[[#This Row],[Split_apply]])) - SUM($O110:Z110)</f>
        <v>0</v>
      </c>
      <c r="AB110" s="85">
        <f ca="1">Log_2020[[#This Row],[Amount]]*Log_2020[[#This Row],[Split_apply]]/Log_2020[[#This Row],[Split_raw]]-SUM(O110:AA110)</f>
        <v>0</v>
      </c>
      <c r="AC110" s="74">
        <f>MAX(0,Log_2020[[#This Row],[Split_raw]] - (EDATE(AA$1,1)-Log_2020[[#This Row],[Date]]))</f>
        <v>0</v>
      </c>
    </row>
    <row r="111" spans="1:29" x14ac:dyDescent="0.25">
      <c r="A111" s="37"/>
      <c r="B111" s="34" t="s">
        <v>6</v>
      </c>
      <c r="C111" s="34"/>
      <c r="D111" s="35">
        <v>43887</v>
      </c>
      <c r="E111" s="34"/>
      <c r="F111" s="34" t="s">
        <v>255</v>
      </c>
      <c r="G111" s="34" t="s">
        <v>12</v>
      </c>
      <c r="H111">
        <v>-8.9499999999999993</v>
      </c>
      <c r="I111" s="36">
        <f>IF(Log_2020[[#This Row],[My Category]]="NONTRACKED",0,Log_2020[[#This Row],[Raw Amount]])</f>
        <v>-8.9499999999999993</v>
      </c>
      <c r="J111" s="37">
        <f>ABS(Log_2020[[#This Row],[Amount]])</f>
        <v>8.9499999999999993</v>
      </c>
      <c r="K111" s="38">
        <v>1</v>
      </c>
      <c r="L111" s="38">
        <f ca="1">IF(Log_2020[[#This Row],[Date]]&lt;=TODAY(), MIN(Log_2020[[#This Row],[Split_raw]], TODAY()-Log_2020[[#This Row],[Date]]+1), 0)</f>
        <v>1</v>
      </c>
      <c r="M111" s="34" t="s">
        <v>35</v>
      </c>
      <c r="N111" s="34" t="s">
        <v>158</v>
      </c>
      <c r="O111" s="7"/>
      <c r="P111" s="58">
        <f ca="1">Log_2020[[#This Row],[Amount]]/Log_2020[[#This Row],[Split_raw]]*MAX(0,MIN(_xlfn.DAYS(EDATE(P$1,1),Log_2020[[#This Row],[Date]]),Log_2020[[#This Row],[Split_apply]])) - SUM($O111:O111)</f>
        <v>0</v>
      </c>
      <c r="Q111" s="58">
        <f ca="1">Log_2020[[#This Row],[Amount]]/Log_2020[[#This Row],[Split_raw]]*MAX(0,MIN(_xlfn.DAYS(EDATE(Q$1,1),Log_2020[[#This Row],[Date]]),Log_2020[[#This Row],[Split_apply]])) - SUM($O111:P111)</f>
        <v>-8.9499999999999993</v>
      </c>
      <c r="R111" s="58">
        <f ca="1">Log_2020[[#This Row],[Amount]]/Log_2020[[#This Row],[Split_raw]]*MAX(0,MIN(_xlfn.DAYS(EDATE(R$1,1),Log_2020[[#This Row],[Date]]),Log_2020[[#This Row],[Split_apply]])) - SUM($O111:Q111)</f>
        <v>0</v>
      </c>
      <c r="S111" s="58">
        <f ca="1">Log_2020[[#This Row],[Amount]]/Log_2020[[#This Row],[Split_raw]]*MAX(0,MIN(_xlfn.DAYS(EDATE(S$1,1),Log_2020[[#This Row],[Date]]),Log_2020[[#This Row],[Split_apply]])) - SUM($O111:R111)</f>
        <v>0</v>
      </c>
      <c r="T111" s="58">
        <f ca="1">Log_2020[[#This Row],[Amount]]/Log_2020[[#This Row],[Split_raw]]*MAX(0,MIN(_xlfn.DAYS(EDATE(T$1,1),Log_2020[[#This Row],[Date]]),Log_2020[[#This Row],[Split_apply]])) - SUM($O111:S111)</f>
        <v>0</v>
      </c>
      <c r="U111" s="58">
        <f ca="1">Log_2020[[#This Row],[Amount]]/Log_2020[[#This Row],[Split_raw]]*MAX(0,MIN(_xlfn.DAYS(EDATE(U$1,1),Log_2020[[#This Row],[Date]]),Log_2020[[#This Row],[Split_apply]])) - SUM($O111:T111)</f>
        <v>0</v>
      </c>
      <c r="V111" s="58">
        <f ca="1">Log_2020[[#This Row],[Amount]]/Log_2020[[#This Row],[Split_raw]]*MAX(0,MIN(_xlfn.DAYS(EDATE(V$1,1),Log_2020[[#This Row],[Date]]),Log_2020[[#This Row],[Split_apply]])) - SUM($O111:U111)</f>
        <v>0</v>
      </c>
      <c r="W111" s="58">
        <f ca="1">Log_2020[[#This Row],[Amount]]/Log_2020[[#This Row],[Split_raw]]*MAX(0,MIN(_xlfn.DAYS(EDATE(W$1,1),Log_2020[[#This Row],[Date]]),Log_2020[[#This Row],[Split_apply]])) - SUM($O111:V111)</f>
        <v>0</v>
      </c>
      <c r="X111" s="58">
        <f ca="1">Log_2020[[#This Row],[Amount]]/Log_2020[[#This Row],[Split_raw]]*MAX(0,MIN(_xlfn.DAYS(EDATE(X$1,1),Log_2020[[#This Row],[Date]]),Log_2020[[#This Row],[Split_apply]])) - SUM($O111:W111)</f>
        <v>0</v>
      </c>
      <c r="Y111" s="58">
        <f ca="1">Log_2020[[#This Row],[Amount]]/Log_2020[[#This Row],[Split_raw]]*MAX(0,MIN(_xlfn.DAYS(EDATE(Y$1,1),Log_2020[[#This Row],[Date]]),Log_2020[[#This Row],[Split_apply]])) - SUM($O111:X111)</f>
        <v>0</v>
      </c>
      <c r="Z111" s="58">
        <f ca="1">Log_2020[[#This Row],[Amount]]/Log_2020[[#This Row],[Split_raw]]*MAX(0,MIN(_xlfn.DAYS(EDATE(Z$1,1),Log_2020[[#This Row],[Date]]),Log_2020[[#This Row],[Split_apply]])) - SUM($O111:Y111)</f>
        <v>0</v>
      </c>
      <c r="AA111" s="58">
        <f ca="1">Log_2020[[#This Row],[Amount]]/Log_2020[[#This Row],[Split_raw]]*MAX(0,MIN(_xlfn.DAYS(EDATE(AA$1,1),Log_2020[[#This Row],[Date]]),Log_2020[[#This Row],[Split_apply]])) - SUM($O111:Z111)</f>
        <v>0</v>
      </c>
      <c r="AB111" s="85">
        <f ca="1">Log_2020[[#This Row],[Amount]]*Log_2020[[#This Row],[Split_apply]]/Log_2020[[#This Row],[Split_raw]]-SUM(O111:AA111)</f>
        <v>0</v>
      </c>
      <c r="AC111" s="74">
        <f>MAX(0,Log_2020[[#This Row],[Split_raw]] - (EDATE(AA$1,1)-Log_2020[[#This Row],[Date]]))</f>
        <v>0</v>
      </c>
    </row>
    <row r="112" spans="1:29" x14ac:dyDescent="0.25">
      <c r="A112" s="37"/>
      <c r="B112" s="34" t="s">
        <v>6</v>
      </c>
      <c r="C112" s="34"/>
      <c r="D112" s="35">
        <v>43886</v>
      </c>
      <c r="E112" s="34"/>
      <c r="F112" s="34" t="s">
        <v>345</v>
      </c>
      <c r="G112" s="34" t="s">
        <v>12</v>
      </c>
      <c r="H112">
        <v>-139.33000000000001</v>
      </c>
      <c r="I112" s="36">
        <f>IF(Log_2020[[#This Row],[My Category]]="NONTRACKED",0,Log_2020[[#This Row],[Raw Amount]])</f>
        <v>-139.33000000000001</v>
      </c>
      <c r="J112" s="37">
        <f>ABS(Log_2020[[#This Row],[Amount]])</f>
        <v>139.33000000000001</v>
      </c>
      <c r="K112" s="38">
        <v>1</v>
      </c>
      <c r="L112" s="38">
        <f ca="1">IF(Log_2020[[#This Row],[Date]]&lt;=TODAY(), MIN(Log_2020[[#This Row],[Split_raw]], TODAY()-Log_2020[[#This Row],[Date]]+1), 0)</f>
        <v>1</v>
      </c>
      <c r="M112" s="34" t="s">
        <v>12</v>
      </c>
      <c r="N112" s="34" t="s">
        <v>158</v>
      </c>
      <c r="O112" s="7"/>
      <c r="P112" s="58">
        <f ca="1">Log_2020[[#This Row],[Amount]]/Log_2020[[#This Row],[Split_raw]]*MAX(0,MIN(_xlfn.DAYS(EDATE(P$1,1),Log_2020[[#This Row],[Date]]),Log_2020[[#This Row],[Split_apply]])) - SUM($O112:O112)</f>
        <v>0</v>
      </c>
      <c r="Q112" s="58">
        <f ca="1">Log_2020[[#This Row],[Amount]]/Log_2020[[#This Row],[Split_raw]]*MAX(0,MIN(_xlfn.DAYS(EDATE(Q$1,1),Log_2020[[#This Row],[Date]]),Log_2020[[#This Row],[Split_apply]])) - SUM($O112:P112)</f>
        <v>-139.33000000000001</v>
      </c>
      <c r="R112" s="58">
        <f ca="1">Log_2020[[#This Row],[Amount]]/Log_2020[[#This Row],[Split_raw]]*MAX(0,MIN(_xlfn.DAYS(EDATE(R$1,1),Log_2020[[#This Row],[Date]]),Log_2020[[#This Row],[Split_apply]])) - SUM($O112:Q112)</f>
        <v>0</v>
      </c>
      <c r="S112" s="58">
        <f ca="1">Log_2020[[#This Row],[Amount]]/Log_2020[[#This Row],[Split_raw]]*MAX(0,MIN(_xlfn.DAYS(EDATE(S$1,1),Log_2020[[#This Row],[Date]]),Log_2020[[#This Row],[Split_apply]])) - SUM($O112:R112)</f>
        <v>0</v>
      </c>
      <c r="T112" s="58">
        <f ca="1">Log_2020[[#This Row],[Amount]]/Log_2020[[#This Row],[Split_raw]]*MAX(0,MIN(_xlfn.DAYS(EDATE(T$1,1),Log_2020[[#This Row],[Date]]),Log_2020[[#This Row],[Split_apply]])) - SUM($O112:S112)</f>
        <v>0</v>
      </c>
      <c r="U112" s="58">
        <f ca="1">Log_2020[[#This Row],[Amount]]/Log_2020[[#This Row],[Split_raw]]*MAX(0,MIN(_xlfn.DAYS(EDATE(U$1,1),Log_2020[[#This Row],[Date]]),Log_2020[[#This Row],[Split_apply]])) - SUM($O112:T112)</f>
        <v>0</v>
      </c>
      <c r="V112" s="58">
        <f ca="1">Log_2020[[#This Row],[Amount]]/Log_2020[[#This Row],[Split_raw]]*MAX(0,MIN(_xlfn.DAYS(EDATE(V$1,1),Log_2020[[#This Row],[Date]]),Log_2020[[#This Row],[Split_apply]])) - SUM($O112:U112)</f>
        <v>0</v>
      </c>
      <c r="W112" s="58">
        <f ca="1">Log_2020[[#This Row],[Amount]]/Log_2020[[#This Row],[Split_raw]]*MAX(0,MIN(_xlfn.DAYS(EDATE(W$1,1),Log_2020[[#This Row],[Date]]),Log_2020[[#This Row],[Split_apply]])) - SUM($O112:V112)</f>
        <v>0</v>
      </c>
      <c r="X112" s="58">
        <f ca="1">Log_2020[[#This Row],[Amount]]/Log_2020[[#This Row],[Split_raw]]*MAX(0,MIN(_xlfn.DAYS(EDATE(X$1,1),Log_2020[[#This Row],[Date]]),Log_2020[[#This Row],[Split_apply]])) - SUM($O112:W112)</f>
        <v>0</v>
      </c>
      <c r="Y112" s="58">
        <f ca="1">Log_2020[[#This Row],[Amount]]/Log_2020[[#This Row],[Split_raw]]*MAX(0,MIN(_xlfn.DAYS(EDATE(Y$1,1),Log_2020[[#This Row],[Date]]),Log_2020[[#This Row],[Split_apply]])) - SUM($O112:X112)</f>
        <v>0</v>
      </c>
      <c r="Z112" s="58">
        <f ca="1">Log_2020[[#This Row],[Amount]]/Log_2020[[#This Row],[Split_raw]]*MAX(0,MIN(_xlfn.DAYS(EDATE(Z$1,1),Log_2020[[#This Row],[Date]]),Log_2020[[#This Row],[Split_apply]])) - SUM($O112:Y112)</f>
        <v>0</v>
      </c>
      <c r="AA112" s="58">
        <f ca="1">Log_2020[[#This Row],[Amount]]/Log_2020[[#This Row],[Split_raw]]*MAX(0,MIN(_xlfn.DAYS(EDATE(AA$1,1),Log_2020[[#This Row],[Date]]),Log_2020[[#This Row],[Split_apply]])) - SUM($O112:Z112)</f>
        <v>0</v>
      </c>
      <c r="AB112" s="85">
        <f ca="1">Log_2020[[#This Row],[Amount]]*Log_2020[[#This Row],[Split_apply]]/Log_2020[[#This Row],[Split_raw]]-SUM(O112:AA112)</f>
        <v>0</v>
      </c>
      <c r="AC112" s="74">
        <f>MAX(0,Log_2020[[#This Row],[Split_raw]] - (EDATE(AA$1,1)-Log_2020[[#This Row],[Date]]))</f>
        <v>0</v>
      </c>
    </row>
    <row r="113" spans="1:29" x14ac:dyDescent="0.25">
      <c r="A113" s="37"/>
      <c r="B113" s="34" t="s">
        <v>6</v>
      </c>
      <c r="C113" s="34"/>
      <c r="D113" s="35">
        <v>43886</v>
      </c>
      <c r="E113" s="34"/>
      <c r="F113" s="34" t="s">
        <v>270</v>
      </c>
      <c r="G113" s="34" t="s">
        <v>25</v>
      </c>
      <c r="H113">
        <v>-9.99</v>
      </c>
      <c r="I113" s="36">
        <f>IF(Log_2020[[#This Row],[My Category]]="NONTRACKED",0,Log_2020[[#This Row],[Raw Amount]])</f>
        <v>-9.99</v>
      </c>
      <c r="J113" s="37">
        <f>ABS(Log_2020[[#This Row],[Amount]])</f>
        <v>9.99</v>
      </c>
      <c r="K113" s="38">
        <v>1</v>
      </c>
      <c r="L113" s="38">
        <f ca="1">IF(Log_2020[[#This Row],[Date]]&lt;=TODAY(), MIN(Log_2020[[#This Row],[Split_raw]], TODAY()-Log_2020[[#This Row],[Date]]+1), 0)</f>
        <v>1</v>
      </c>
      <c r="M113" s="34" t="s">
        <v>35</v>
      </c>
      <c r="N113" s="34" t="s">
        <v>158</v>
      </c>
      <c r="O113" s="7"/>
      <c r="P113" s="58">
        <f ca="1">Log_2020[[#This Row],[Amount]]/Log_2020[[#This Row],[Split_raw]]*MAX(0,MIN(_xlfn.DAYS(EDATE(P$1,1),Log_2020[[#This Row],[Date]]),Log_2020[[#This Row],[Split_apply]])) - SUM($O113:O113)</f>
        <v>0</v>
      </c>
      <c r="Q113" s="58">
        <f ca="1">Log_2020[[#This Row],[Amount]]/Log_2020[[#This Row],[Split_raw]]*MAX(0,MIN(_xlfn.DAYS(EDATE(Q$1,1),Log_2020[[#This Row],[Date]]),Log_2020[[#This Row],[Split_apply]])) - SUM($O113:P113)</f>
        <v>-9.99</v>
      </c>
      <c r="R113" s="58">
        <f ca="1">Log_2020[[#This Row],[Amount]]/Log_2020[[#This Row],[Split_raw]]*MAX(0,MIN(_xlfn.DAYS(EDATE(R$1,1),Log_2020[[#This Row],[Date]]),Log_2020[[#This Row],[Split_apply]])) - SUM($O113:Q113)</f>
        <v>0</v>
      </c>
      <c r="S113" s="58">
        <f ca="1">Log_2020[[#This Row],[Amount]]/Log_2020[[#This Row],[Split_raw]]*MAX(0,MIN(_xlfn.DAYS(EDATE(S$1,1),Log_2020[[#This Row],[Date]]),Log_2020[[#This Row],[Split_apply]])) - SUM($O113:R113)</f>
        <v>0</v>
      </c>
      <c r="T113" s="58">
        <f ca="1">Log_2020[[#This Row],[Amount]]/Log_2020[[#This Row],[Split_raw]]*MAX(0,MIN(_xlfn.DAYS(EDATE(T$1,1),Log_2020[[#This Row],[Date]]),Log_2020[[#This Row],[Split_apply]])) - SUM($O113:S113)</f>
        <v>0</v>
      </c>
      <c r="U113" s="58">
        <f ca="1">Log_2020[[#This Row],[Amount]]/Log_2020[[#This Row],[Split_raw]]*MAX(0,MIN(_xlfn.DAYS(EDATE(U$1,1),Log_2020[[#This Row],[Date]]),Log_2020[[#This Row],[Split_apply]])) - SUM($O113:T113)</f>
        <v>0</v>
      </c>
      <c r="V113" s="58">
        <f ca="1">Log_2020[[#This Row],[Amount]]/Log_2020[[#This Row],[Split_raw]]*MAX(0,MIN(_xlfn.DAYS(EDATE(V$1,1),Log_2020[[#This Row],[Date]]),Log_2020[[#This Row],[Split_apply]])) - SUM($O113:U113)</f>
        <v>0</v>
      </c>
      <c r="W113" s="58">
        <f ca="1">Log_2020[[#This Row],[Amount]]/Log_2020[[#This Row],[Split_raw]]*MAX(0,MIN(_xlfn.DAYS(EDATE(W$1,1),Log_2020[[#This Row],[Date]]),Log_2020[[#This Row],[Split_apply]])) - SUM($O113:V113)</f>
        <v>0</v>
      </c>
      <c r="X113" s="58">
        <f ca="1">Log_2020[[#This Row],[Amount]]/Log_2020[[#This Row],[Split_raw]]*MAX(0,MIN(_xlfn.DAYS(EDATE(X$1,1),Log_2020[[#This Row],[Date]]),Log_2020[[#This Row],[Split_apply]])) - SUM($O113:W113)</f>
        <v>0</v>
      </c>
      <c r="Y113" s="58">
        <f ca="1">Log_2020[[#This Row],[Amount]]/Log_2020[[#This Row],[Split_raw]]*MAX(0,MIN(_xlfn.DAYS(EDATE(Y$1,1),Log_2020[[#This Row],[Date]]),Log_2020[[#This Row],[Split_apply]])) - SUM($O113:X113)</f>
        <v>0</v>
      </c>
      <c r="Z113" s="58">
        <f ca="1">Log_2020[[#This Row],[Amount]]/Log_2020[[#This Row],[Split_raw]]*MAX(0,MIN(_xlfn.DAYS(EDATE(Z$1,1),Log_2020[[#This Row],[Date]]),Log_2020[[#This Row],[Split_apply]])) - SUM($O113:Y113)</f>
        <v>0</v>
      </c>
      <c r="AA113" s="58">
        <f ca="1">Log_2020[[#This Row],[Amount]]/Log_2020[[#This Row],[Split_raw]]*MAX(0,MIN(_xlfn.DAYS(EDATE(AA$1,1),Log_2020[[#This Row],[Date]]),Log_2020[[#This Row],[Split_apply]])) - SUM($O113:Z113)</f>
        <v>0</v>
      </c>
      <c r="AB113" s="85">
        <f ca="1">Log_2020[[#This Row],[Amount]]*Log_2020[[#This Row],[Split_apply]]/Log_2020[[#This Row],[Split_raw]]-SUM(O113:AA113)</f>
        <v>0</v>
      </c>
      <c r="AC113" s="74">
        <f>MAX(0,Log_2020[[#This Row],[Split_raw]] - (EDATE(AA$1,1)-Log_2020[[#This Row],[Date]]))</f>
        <v>0</v>
      </c>
    </row>
    <row r="114" spans="1:29" x14ac:dyDescent="0.25">
      <c r="A114" s="37"/>
      <c r="B114" s="34" t="s">
        <v>6</v>
      </c>
      <c r="C114" s="34"/>
      <c r="D114" s="35">
        <v>43886</v>
      </c>
      <c r="E114" s="34"/>
      <c r="F114" s="34" t="s">
        <v>255</v>
      </c>
      <c r="G114" s="34" t="s">
        <v>12</v>
      </c>
      <c r="H114">
        <v>-2.06</v>
      </c>
      <c r="I114" s="36">
        <f>IF(Log_2020[[#This Row],[My Category]]="NONTRACKED",0,Log_2020[[#This Row],[Raw Amount]])</f>
        <v>-2.06</v>
      </c>
      <c r="J114" s="37">
        <f>ABS(Log_2020[[#This Row],[Amount]])</f>
        <v>2.06</v>
      </c>
      <c r="K114" s="38">
        <v>1</v>
      </c>
      <c r="L114" s="38">
        <f ca="1">IF(Log_2020[[#This Row],[Date]]&lt;=TODAY(), MIN(Log_2020[[#This Row],[Split_raw]], TODAY()-Log_2020[[#This Row],[Date]]+1), 0)</f>
        <v>1</v>
      </c>
      <c r="M114" s="34" t="s">
        <v>35</v>
      </c>
      <c r="N114" s="34" t="s">
        <v>158</v>
      </c>
      <c r="O114" s="7"/>
      <c r="P114" s="58">
        <f ca="1">Log_2020[[#This Row],[Amount]]/Log_2020[[#This Row],[Split_raw]]*MAX(0,MIN(_xlfn.DAYS(EDATE(P$1,1),Log_2020[[#This Row],[Date]]),Log_2020[[#This Row],[Split_apply]])) - SUM($O114:O114)</f>
        <v>0</v>
      </c>
      <c r="Q114" s="58">
        <f ca="1">Log_2020[[#This Row],[Amount]]/Log_2020[[#This Row],[Split_raw]]*MAX(0,MIN(_xlfn.DAYS(EDATE(Q$1,1),Log_2020[[#This Row],[Date]]),Log_2020[[#This Row],[Split_apply]])) - SUM($O114:P114)</f>
        <v>-2.06</v>
      </c>
      <c r="R114" s="58">
        <f ca="1">Log_2020[[#This Row],[Amount]]/Log_2020[[#This Row],[Split_raw]]*MAX(0,MIN(_xlfn.DAYS(EDATE(R$1,1),Log_2020[[#This Row],[Date]]),Log_2020[[#This Row],[Split_apply]])) - SUM($O114:Q114)</f>
        <v>0</v>
      </c>
      <c r="S114" s="58">
        <f ca="1">Log_2020[[#This Row],[Amount]]/Log_2020[[#This Row],[Split_raw]]*MAX(0,MIN(_xlfn.DAYS(EDATE(S$1,1),Log_2020[[#This Row],[Date]]),Log_2020[[#This Row],[Split_apply]])) - SUM($O114:R114)</f>
        <v>0</v>
      </c>
      <c r="T114" s="58">
        <f ca="1">Log_2020[[#This Row],[Amount]]/Log_2020[[#This Row],[Split_raw]]*MAX(0,MIN(_xlfn.DAYS(EDATE(T$1,1),Log_2020[[#This Row],[Date]]),Log_2020[[#This Row],[Split_apply]])) - SUM($O114:S114)</f>
        <v>0</v>
      </c>
      <c r="U114" s="58">
        <f ca="1">Log_2020[[#This Row],[Amount]]/Log_2020[[#This Row],[Split_raw]]*MAX(0,MIN(_xlfn.DAYS(EDATE(U$1,1),Log_2020[[#This Row],[Date]]),Log_2020[[#This Row],[Split_apply]])) - SUM($O114:T114)</f>
        <v>0</v>
      </c>
      <c r="V114" s="58">
        <f ca="1">Log_2020[[#This Row],[Amount]]/Log_2020[[#This Row],[Split_raw]]*MAX(0,MIN(_xlfn.DAYS(EDATE(V$1,1),Log_2020[[#This Row],[Date]]),Log_2020[[#This Row],[Split_apply]])) - SUM($O114:U114)</f>
        <v>0</v>
      </c>
      <c r="W114" s="58">
        <f ca="1">Log_2020[[#This Row],[Amount]]/Log_2020[[#This Row],[Split_raw]]*MAX(0,MIN(_xlfn.DAYS(EDATE(W$1,1),Log_2020[[#This Row],[Date]]),Log_2020[[#This Row],[Split_apply]])) - SUM($O114:V114)</f>
        <v>0</v>
      </c>
      <c r="X114" s="58">
        <f ca="1">Log_2020[[#This Row],[Amount]]/Log_2020[[#This Row],[Split_raw]]*MAX(0,MIN(_xlfn.DAYS(EDATE(X$1,1),Log_2020[[#This Row],[Date]]),Log_2020[[#This Row],[Split_apply]])) - SUM($O114:W114)</f>
        <v>0</v>
      </c>
      <c r="Y114" s="58">
        <f ca="1">Log_2020[[#This Row],[Amount]]/Log_2020[[#This Row],[Split_raw]]*MAX(0,MIN(_xlfn.DAYS(EDATE(Y$1,1),Log_2020[[#This Row],[Date]]),Log_2020[[#This Row],[Split_apply]])) - SUM($O114:X114)</f>
        <v>0</v>
      </c>
      <c r="Z114" s="58">
        <f ca="1">Log_2020[[#This Row],[Amount]]/Log_2020[[#This Row],[Split_raw]]*MAX(0,MIN(_xlfn.DAYS(EDATE(Z$1,1),Log_2020[[#This Row],[Date]]),Log_2020[[#This Row],[Split_apply]])) - SUM($O114:Y114)</f>
        <v>0</v>
      </c>
      <c r="AA114" s="58">
        <f ca="1">Log_2020[[#This Row],[Amount]]/Log_2020[[#This Row],[Split_raw]]*MAX(0,MIN(_xlfn.DAYS(EDATE(AA$1,1),Log_2020[[#This Row],[Date]]),Log_2020[[#This Row],[Split_apply]])) - SUM($O114:Z114)</f>
        <v>0</v>
      </c>
      <c r="AB114" s="85">
        <f ca="1">Log_2020[[#This Row],[Amount]]*Log_2020[[#This Row],[Split_apply]]/Log_2020[[#This Row],[Split_raw]]-SUM(O114:AA114)</f>
        <v>0</v>
      </c>
      <c r="AC114" s="74">
        <f>MAX(0,Log_2020[[#This Row],[Split_raw]] - (EDATE(AA$1,1)-Log_2020[[#This Row],[Date]]))</f>
        <v>0</v>
      </c>
    </row>
    <row r="115" spans="1:29" x14ac:dyDescent="0.25">
      <c r="A115" s="37"/>
      <c r="B115" s="34" t="s">
        <v>6</v>
      </c>
      <c r="C115" s="34"/>
      <c r="D115" s="35">
        <v>43884</v>
      </c>
      <c r="E115" t="s">
        <v>960</v>
      </c>
      <c r="F115" s="34" t="s">
        <v>581</v>
      </c>
      <c r="G115" s="34" t="s">
        <v>582</v>
      </c>
      <c r="H115">
        <v>-52.95</v>
      </c>
      <c r="I115" s="36">
        <f>IF(Log_2020[[#This Row],[My Category]]="NONTRACKED",0,Log_2020[[#This Row],[Raw Amount]])</f>
        <v>-52.95</v>
      </c>
      <c r="J115" s="37">
        <f>ABS(Log_2020[[#This Row],[Amount]])</f>
        <v>52.95</v>
      </c>
      <c r="K115" s="38">
        <v>29</v>
      </c>
      <c r="L115" s="38">
        <f ca="1">IF(Log_2020[[#This Row],[Date]]&lt;=TODAY(), MIN(Log_2020[[#This Row],[Split_raw]], TODAY()-Log_2020[[#This Row],[Date]]+1), 0)</f>
        <v>29</v>
      </c>
      <c r="M115" s="34" t="s">
        <v>30</v>
      </c>
      <c r="N115" s="34" t="s">
        <v>160</v>
      </c>
      <c r="O115" s="7"/>
      <c r="P115" s="58">
        <f ca="1">Log_2020[[#This Row],[Amount]]/Log_2020[[#This Row],[Split_raw]]*MAX(0,MIN(_xlfn.DAYS(EDATE(P$1,1),Log_2020[[#This Row],[Date]]),Log_2020[[#This Row],[Split_apply]])) - SUM($O115:O115)</f>
        <v>0</v>
      </c>
      <c r="Q115" s="58">
        <f ca="1">Log_2020[[#This Row],[Amount]]/Log_2020[[#This Row],[Split_raw]]*MAX(0,MIN(_xlfn.DAYS(EDATE(Q$1,1),Log_2020[[#This Row],[Date]]),Log_2020[[#This Row],[Split_apply]])) - SUM($O115:P115)</f>
        <v>-12.781034482758622</v>
      </c>
      <c r="R115" s="58">
        <f ca="1">Log_2020[[#This Row],[Amount]]/Log_2020[[#This Row],[Split_raw]]*MAX(0,MIN(_xlfn.DAYS(EDATE(R$1,1),Log_2020[[#This Row],[Date]]),Log_2020[[#This Row],[Split_apply]])) - SUM($O115:Q115)</f>
        <v>-40.168965517241382</v>
      </c>
      <c r="S115" s="58">
        <f ca="1">Log_2020[[#This Row],[Amount]]/Log_2020[[#This Row],[Split_raw]]*MAX(0,MIN(_xlfn.DAYS(EDATE(S$1,1),Log_2020[[#This Row],[Date]]),Log_2020[[#This Row],[Split_apply]])) - SUM($O115:R115)</f>
        <v>0</v>
      </c>
      <c r="T115" s="58">
        <f ca="1">Log_2020[[#This Row],[Amount]]/Log_2020[[#This Row],[Split_raw]]*MAX(0,MIN(_xlfn.DAYS(EDATE(T$1,1),Log_2020[[#This Row],[Date]]),Log_2020[[#This Row],[Split_apply]])) - SUM($O115:S115)</f>
        <v>0</v>
      </c>
      <c r="U115" s="58">
        <f ca="1">Log_2020[[#This Row],[Amount]]/Log_2020[[#This Row],[Split_raw]]*MAX(0,MIN(_xlfn.DAYS(EDATE(U$1,1),Log_2020[[#This Row],[Date]]),Log_2020[[#This Row],[Split_apply]])) - SUM($O115:T115)</f>
        <v>0</v>
      </c>
      <c r="V115" s="58">
        <f ca="1">Log_2020[[#This Row],[Amount]]/Log_2020[[#This Row],[Split_raw]]*MAX(0,MIN(_xlfn.DAYS(EDATE(V$1,1),Log_2020[[#This Row],[Date]]),Log_2020[[#This Row],[Split_apply]])) - SUM($O115:U115)</f>
        <v>0</v>
      </c>
      <c r="W115" s="58">
        <f ca="1">Log_2020[[#This Row],[Amount]]/Log_2020[[#This Row],[Split_raw]]*MAX(0,MIN(_xlfn.DAYS(EDATE(W$1,1),Log_2020[[#This Row],[Date]]),Log_2020[[#This Row],[Split_apply]])) - SUM($O115:V115)</f>
        <v>0</v>
      </c>
      <c r="X115" s="58">
        <f ca="1">Log_2020[[#This Row],[Amount]]/Log_2020[[#This Row],[Split_raw]]*MAX(0,MIN(_xlfn.DAYS(EDATE(X$1,1),Log_2020[[#This Row],[Date]]),Log_2020[[#This Row],[Split_apply]])) - SUM($O115:W115)</f>
        <v>0</v>
      </c>
      <c r="Y115" s="58">
        <f ca="1">Log_2020[[#This Row],[Amount]]/Log_2020[[#This Row],[Split_raw]]*MAX(0,MIN(_xlfn.DAYS(EDATE(Y$1,1),Log_2020[[#This Row],[Date]]),Log_2020[[#This Row],[Split_apply]])) - SUM($O115:X115)</f>
        <v>0</v>
      </c>
      <c r="Z115" s="58">
        <f ca="1">Log_2020[[#This Row],[Amount]]/Log_2020[[#This Row],[Split_raw]]*MAX(0,MIN(_xlfn.DAYS(EDATE(Z$1,1),Log_2020[[#This Row],[Date]]),Log_2020[[#This Row],[Split_apply]])) - SUM($O115:Y115)</f>
        <v>0</v>
      </c>
      <c r="AA115" s="58">
        <f ca="1">Log_2020[[#This Row],[Amount]]/Log_2020[[#This Row],[Split_raw]]*MAX(0,MIN(_xlfn.DAYS(EDATE(AA$1,1),Log_2020[[#This Row],[Date]]),Log_2020[[#This Row],[Split_apply]])) - SUM($O115:Z115)</f>
        <v>0</v>
      </c>
      <c r="AB115" s="85">
        <f ca="1">Log_2020[[#This Row],[Amount]]*Log_2020[[#This Row],[Split_apply]]/Log_2020[[#This Row],[Split_raw]]-SUM(O115:AA115)</f>
        <v>0</v>
      </c>
      <c r="AC115" s="74">
        <f>MAX(0,Log_2020[[#This Row],[Split_raw]] - (EDATE(AA$1,1)-Log_2020[[#This Row],[Date]]))</f>
        <v>0</v>
      </c>
    </row>
    <row r="116" spans="1:29" x14ac:dyDescent="0.25">
      <c r="A116" s="37"/>
      <c r="B116" s="34" t="s">
        <v>191</v>
      </c>
      <c r="C116" s="34"/>
      <c r="D116" s="35">
        <v>43882</v>
      </c>
      <c r="E116" s="34" t="s">
        <v>1086</v>
      </c>
      <c r="F116" s="34" t="s">
        <v>1059</v>
      </c>
      <c r="G116" s="34" t="s">
        <v>80</v>
      </c>
      <c r="H116">
        <f>--713.77</f>
        <v>713.77</v>
      </c>
      <c r="I116" s="36">
        <f>IF(Log_2020[[#This Row],[My Category]]="NONTRACKED",0,Log_2020[[#This Row],[Raw Amount]])</f>
        <v>713.77</v>
      </c>
      <c r="J116" s="37">
        <f>ABS(Log_2020[[#This Row],[Amount]])</f>
        <v>713.77</v>
      </c>
      <c r="K116" s="38">
        <v>1</v>
      </c>
      <c r="L116" s="38">
        <f ca="1">IF(Log_2020[[#This Row],[Date]]&lt;=TODAY(), MIN(Log_2020[[#This Row],[Split_raw]], TODAY()-Log_2020[[#This Row],[Date]]+1), 0)</f>
        <v>1</v>
      </c>
      <c r="M116" s="34" t="s">
        <v>38</v>
      </c>
      <c r="N116" s="34" t="s">
        <v>160</v>
      </c>
      <c r="O116" s="7"/>
      <c r="P116" s="58">
        <f ca="1">Log_2020[[#This Row],[Amount]]/Log_2020[[#This Row],[Split_raw]]*MAX(0,MIN(_xlfn.DAYS(EDATE(P$1,1),Log_2020[[#This Row],[Date]]),Log_2020[[#This Row],[Split_apply]])) - SUM($O116:O116)</f>
        <v>0</v>
      </c>
      <c r="Q116" s="58">
        <f ca="1">Log_2020[[#This Row],[Amount]]/Log_2020[[#This Row],[Split_raw]]*MAX(0,MIN(_xlfn.DAYS(EDATE(Q$1,1),Log_2020[[#This Row],[Date]]),Log_2020[[#This Row],[Split_apply]])) - SUM($O116:P116)</f>
        <v>713.77</v>
      </c>
      <c r="R116" s="58">
        <f ca="1">Log_2020[[#This Row],[Amount]]/Log_2020[[#This Row],[Split_raw]]*MAX(0,MIN(_xlfn.DAYS(EDATE(R$1,1),Log_2020[[#This Row],[Date]]),Log_2020[[#This Row],[Split_apply]])) - SUM($O116:Q116)</f>
        <v>0</v>
      </c>
      <c r="S116" s="58">
        <f ca="1">Log_2020[[#This Row],[Amount]]/Log_2020[[#This Row],[Split_raw]]*MAX(0,MIN(_xlfn.DAYS(EDATE(S$1,1),Log_2020[[#This Row],[Date]]),Log_2020[[#This Row],[Split_apply]])) - SUM($O116:R116)</f>
        <v>0</v>
      </c>
      <c r="T116" s="58">
        <f ca="1">Log_2020[[#This Row],[Amount]]/Log_2020[[#This Row],[Split_raw]]*MAX(0,MIN(_xlfn.DAYS(EDATE(T$1,1),Log_2020[[#This Row],[Date]]),Log_2020[[#This Row],[Split_apply]])) - SUM($O116:S116)</f>
        <v>0</v>
      </c>
      <c r="U116" s="58">
        <f ca="1">Log_2020[[#This Row],[Amount]]/Log_2020[[#This Row],[Split_raw]]*MAX(0,MIN(_xlfn.DAYS(EDATE(U$1,1),Log_2020[[#This Row],[Date]]),Log_2020[[#This Row],[Split_apply]])) - SUM($O116:T116)</f>
        <v>0</v>
      </c>
      <c r="V116" s="58">
        <f ca="1">Log_2020[[#This Row],[Amount]]/Log_2020[[#This Row],[Split_raw]]*MAX(0,MIN(_xlfn.DAYS(EDATE(V$1,1),Log_2020[[#This Row],[Date]]),Log_2020[[#This Row],[Split_apply]])) - SUM($O116:U116)</f>
        <v>0</v>
      </c>
      <c r="W116" s="58">
        <f ca="1">Log_2020[[#This Row],[Amount]]/Log_2020[[#This Row],[Split_raw]]*MAX(0,MIN(_xlfn.DAYS(EDATE(W$1,1),Log_2020[[#This Row],[Date]]),Log_2020[[#This Row],[Split_apply]])) - SUM($O116:V116)</f>
        <v>0</v>
      </c>
      <c r="X116" s="58">
        <f ca="1">Log_2020[[#This Row],[Amount]]/Log_2020[[#This Row],[Split_raw]]*MAX(0,MIN(_xlfn.DAYS(EDATE(X$1,1),Log_2020[[#This Row],[Date]]),Log_2020[[#This Row],[Split_apply]])) - SUM($O116:W116)</f>
        <v>0</v>
      </c>
      <c r="Y116" s="58">
        <f ca="1">Log_2020[[#This Row],[Amount]]/Log_2020[[#This Row],[Split_raw]]*MAX(0,MIN(_xlfn.DAYS(EDATE(Y$1,1),Log_2020[[#This Row],[Date]]),Log_2020[[#This Row],[Split_apply]])) - SUM($O116:X116)</f>
        <v>0</v>
      </c>
      <c r="Z116" s="58">
        <f ca="1">Log_2020[[#This Row],[Amount]]/Log_2020[[#This Row],[Split_raw]]*MAX(0,MIN(_xlfn.DAYS(EDATE(Z$1,1),Log_2020[[#This Row],[Date]]),Log_2020[[#This Row],[Split_apply]])) - SUM($O116:Y116)</f>
        <v>0</v>
      </c>
      <c r="AA116" s="58">
        <f ca="1">Log_2020[[#This Row],[Amount]]/Log_2020[[#This Row],[Split_raw]]*MAX(0,MIN(_xlfn.DAYS(EDATE(AA$1,1),Log_2020[[#This Row],[Date]]),Log_2020[[#This Row],[Split_apply]])) - SUM($O116:Z116)</f>
        <v>0</v>
      </c>
      <c r="AB116" s="85">
        <f ca="1">Log_2020[[#This Row],[Amount]]*Log_2020[[#This Row],[Split_apply]]/Log_2020[[#This Row],[Split_raw]]-SUM(O116:AA116)</f>
        <v>0</v>
      </c>
      <c r="AC116" s="74">
        <f>MAX(0,Log_2020[[#This Row],[Split_raw]] - (EDATE(AA$1,1)-Log_2020[[#This Row],[Date]]))</f>
        <v>0</v>
      </c>
    </row>
    <row r="117" spans="1:29" x14ac:dyDescent="0.25">
      <c r="A117" s="37"/>
      <c r="B117" s="34" t="s">
        <v>6</v>
      </c>
      <c r="C117" s="34"/>
      <c r="D117" s="35">
        <v>43882</v>
      </c>
      <c r="E117" s="34" t="s">
        <v>1061</v>
      </c>
      <c r="F117" s="34" t="s">
        <v>1048</v>
      </c>
      <c r="G117" s="34" t="s">
        <v>27</v>
      </c>
      <c r="H117">
        <v>-440.7</v>
      </c>
      <c r="I117" s="36">
        <f>IF(Log_2020[[#This Row],[My Category]]="NONTRACKED",0,Log_2020[[#This Row],[Raw Amount]])</f>
        <v>-440.7</v>
      </c>
      <c r="J117" s="37">
        <f>ABS(Log_2020[[#This Row],[Amount]])</f>
        <v>440.7</v>
      </c>
      <c r="K117" s="38">
        <v>1</v>
      </c>
      <c r="L117" s="38">
        <f ca="1">IF(Log_2020[[#This Row],[Date]]&lt;=TODAY(), MIN(Log_2020[[#This Row],[Split_raw]], TODAY()-Log_2020[[#This Row],[Date]]+1), 0)</f>
        <v>1</v>
      </c>
      <c r="M117" s="34" t="s">
        <v>38</v>
      </c>
      <c r="N117" s="34" t="s">
        <v>158</v>
      </c>
      <c r="O117" s="7"/>
      <c r="P117" s="58">
        <f ca="1">Log_2020[[#This Row],[Amount]]/Log_2020[[#This Row],[Split_raw]]*MAX(0,MIN(_xlfn.DAYS(EDATE(P$1,1),Log_2020[[#This Row],[Date]]),Log_2020[[#This Row],[Split_apply]])) - SUM($O117:O117)</f>
        <v>0</v>
      </c>
      <c r="Q117" s="58">
        <f ca="1">Log_2020[[#This Row],[Amount]]/Log_2020[[#This Row],[Split_raw]]*MAX(0,MIN(_xlfn.DAYS(EDATE(Q$1,1),Log_2020[[#This Row],[Date]]),Log_2020[[#This Row],[Split_apply]])) - SUM($O117:P117)</f>
        <v>-440.7</v>
      </c>
      <c r="R117" s="58">
        <f ca="1">Log_2020[[#This Row],[Amount]]/Log_2020[[#This Row],[Split_raw]]*MAX(0,MIN(_xlfn.DAYS(EDATE(R$1,1),Log_2020[[#This Row],[Date]]),Log_2020[[#This Row],[Split_apply]])) - SUM($O117:Q117)</f>
        <v>0</v>
      </c>
      <c r="S117" s="58">
        <f ca="1">Log_2020[[#This Row],[Amount]]/Log_2020[[#This Row],[Split_raw]]*MAX(0,MIN(_xlfn.DAYS(EDATE(S$1,1),Log_2020[[#This Row],[Date]]),Log_2020[[#This Row],[Split_apply]])) - SUM($O117:R117)</f>
        <v>0</v>
      </c>
      <c r="T117" s="58">
        <f ca="1">Log_2020[[#This Row],[Amount]]/Log_2020[[#This Row],[Split_raw]]*MAX(0,MIN(_xlfn.DAYS(EDATE(T$1,1),Log_2020[[#This Row],[Date]]),Log_2020[[#This Row],[Split_apply]])) - SUM($O117:S117)</f>
        <v>0</v>
      </c>
      <c r="U117" s="58">
        <f ca="1">Log_2020[[#This Row],[Amount]]/Log_2020[[#This Row],[Split_raw]]*MAX(0,MIN(_xlfn.DAYS(EDATE(U$1,1),Log_2020[[#This Row],[Date]]),Log_2020[[#This Row],[Split_apply]])) - SUM($O117:T117)</f>
        <v>0</v>
      </c>
      <c r="V117" s="58">
        <f ca="1">Log_2020[[#This Row],[Amount]]/Log_2020[[#This Row],[Split_raw]]*MAX(0,MIN(_xlfn.DAYS(EDATE(V$1,1),Log_2020[[#This Row],[Date]]),Log_2020[[#This Row],[Split_apply]])) - SUM($O117:U117)</f>
        <v>0</v>
      </c>
      <c r="W117" s="58">
        <f ca="1">Log_2020[[#This Row],[Amount]]/Log_2020[[#This Row],[Split_raw]]*MAX(0,MIN(_xlfn.DAYS(EDATE(W$1,1),Log_2020[[#This Row],[Date]]),Log_2020[[#This Row],[Split_apply]])) - SUM($O117:V117)</f>
        <v>0</v>
      </c>
      <c r="X117" s="58">
        <f ca="1">Log_2020[[#This Row],[Amount]]/Log_2020[[#This Row],[Split_raw]]*MAX(0,MIN(_xlfn.DAYS(EDATE(X$1,1),Log_2020[[#This Row],[Date]]),Log_2020[[#This Row],[Split_apply]])) - SUM($O117:W117)</f>
        <v>0</v>
      </c>
      <c r="Y117" s="58">
        <f ca="1">Log_2020[[#This Row],[Amount]]/Log_2020[[#This Row],[Split_raw]]*MAX(0,MIN(_xlfn.DAYS(EDATE(Y$1,1),Log_2020[[#This Row],[Date]]),Log_2020[[#This Row],[Split_apply]])) - SUM($O117:X117)</f>
        <v>0</v>
      </c>
      <c r="Z117" s="58">
        <f ca="1">Log_2020[[#This Row],[Amount]]/Log_2020[[#This Row],[Split_raw]]*MAX(0,MIN(_xlfn.DAYS(EDATE(Z$1,1),Log_2020[[#This Row],[Date]]),Log_2020[[#This Row],[Split_apply]])) - SUM($O117:Y117)</f>
        <v>0</v>
      </c>
      <c r="AA117" s="58">
        <f ca="1">Log_2020[[#This Row],[Amount]]/Log_2020[[#This Row],[Split_raw]]*MAX(0,MIN(_xlfn.DAYS(EDATE(AA$1,1),Log_2020[[#This Row],[Date]]),Log_2020[[#This Row],[Split_apply]])) - SUM($O117:Z117)</f>
        <v>0</v>
      </c>
      <c r="AB117" s="85">
        <f ca="1">Log_2020[[#This Row],[Amount]]*Log_2020[[#This Row],[Split_apply]]/Log_2020[[#This Row],[Split_raw]]-SUM(O117:AA117)</f>
        <v>0</v>
      </c>
      <c r="AC117" s="74">
        <f>MAX(0,Log_2020[[#This Row],[Split_raw]] - (EDATE(AA$1,1)-Log_2020[[#This Row],[Date]]))</f>
        <v>0</v>
      </c>
    </row>
    <row r="118" spans="1:29" x14ac:dyDescent="0.25">
      <c r="A118" s="37"/>
      <c r="B118" s="34" t="s">
        <v>6</v>
      </c>
      <c r="C118" s="34"/>
      <c r="D118" s="35">
        <v>43881</v>
      </c>
      <c r="E118" s="34" t="s">
        <v>1061</v>
      </c>
      <c r="F118" s="34" t="s">
        <v>1045</v>
      </c>
      <c r="G118" s="34" t="s">
        <v>10</v>
      </c>
      <c r="H118">
        <v>-3.06</v>
      </c>
      <c r="I118" s="36">
        <f>IF(Log_2020[[#This Row],[My Category]]="NONTRACKED",0,Log_2020[[#This Row],[Raw Amount]])</f>
        <v>-3.06</v>
      </c>
      <c r="J118" s="37">
        <f>ABS(Log_2020[[#This Row],[Amount]])</f>
        <v>3.06</v>
      </c>
      <c r="K118" s="38">
        <v>1</v>
      </c>
      <c r="L118" s="38">
        <f ca="1">IF(Log_2020[[#This Row],[Date]]&lt;=TODAY(), MIN(Log_2020[[#This Row],[Split_raw]], TODAY()-Log_2020[[#This Row],[Date]]+1), 0)</f>
        <v>1</v>
      </c>
      <c r="M118" s="34" t="s">
        <v>38</v>
      </c>
      <c r="N118" s="34" t="s">
        <v>160</v>
      </c>
      <c r="O118" s="7"/>
      <c r="P118" s="58">
        <f ca="1">Log_2020[[#This Row],[Amount]]/Log_2020[[#This Row],[Split_raw]]*MAX(0,MIN(_xlfn.DAYS(EDATE(P$1,1),Log_2020[[#This Row],[Date]]),Log_2020[[#This Row],[Split_apply]])) - SUM($O118:O118)</f>
        <v>0</v>
      </c>
      <c r="Q118" s="58">
        <f ca="1">Log_2020[[#This Row],[Amount]]/Log_2020[[#This Row],[Split_raw]]*MAX(0,MIN(_xlfn.DAYS(EDATE(Q$1,1),Log_2020[[#This Row],[Date]]),Log_2020[[#This Row],[Split_apply]])) - SUM($O118:P118)</f>
        <v>-3.06</v>
      </c>
      <c r="R118" s="58">
        <f ca="1">Log_2020[[#This Row],[Amount]]/Log_2020[[#This Row],[Split_raw]]*MAX(0,MIN(_xlfn.DAYS(EDATE(R$1,1),Log_2020[[#This Row],[Date]]),Log_2020[[#This Row],[Split_apply]])) - SUM($O118:Q118)</f>
        <v>0</v>
      </c>
      <c r="S118" s="58">
        <f ca="1">Log_2020[[#This Row],[Amount]]/Log_2020[[#This Row],[Split_raw]]*MAX(0,MIN(_xlfn.DAYS(EDATE(S$1,1),Log_2020[[#This Row],[Date]]),Log_2020[[#This Row],[Split_apply]])) - SUM($O118:R118)</f>
        <v>0</v>
      </c>
      <c r="T118" s="58">
        <f ca="1">Log_2020[[#This Row],[Amount]]/Log_2020[[#This Row],[Split_raw]]*MAX(0,MIN(_xlfn.DAYS(EDATE(T$1,1),Log_2020[[#This Row],[Date]]),Log_2020[[#This Row],[Split_apply]])) - SUM($O118:S118)</f>
        <v>0</v>
      </c>
      <c r="U118" s="58">
        <f ca="1">Log_2020[[#This Row],[Amount]]/Log_2020[[#This Row],[Split_raw]]*MAX(0,MIN(_xlfn.DAYS(EDATE(U$1,1),Log_2020[[#This Row],[Date]]),Log_2020[[#This Row],[Split_apply]])) - SUM($O118:T118)</f>
        <v>0</v>
      </c>
      <c r="V118" s="58">
        <f ca="1">Log_2020[[#This Row],[Amount]]/Log_2020[[#This Row],[Split_raw]]*MAX(0,MIN(_xlfn.DAYS(EDATE(V$1,1),Log_2020[[#This Row],[Date]]),Log_2020[[#This Row],[Split_apply]])) - SUM($O118:U118)</f>
        <v>0</v>
      </c>
      <c r="W118" s="58">
        <f ca="1">Log_2020[[#This Row],[Amount]]/Log_2020[[#This Row],[Split_raw]]*MAX(0,MIN(_xlfn.DAYS(EDATE(W$1,1),Log_2020[[#This Row],[Date]]),Log_2020[[#This Row],[Split_apply]])) - SUM($O118:V118)</f>
        <v>0</v>
      </c>
      <c r="X118" s="58">
        <f ca="1">Log_2020[[#This Row],[Amount]]/Log_2020[[#This Row],[Split_raw]]*MAX(0,MIN(_xlfn.DAYS(EDATE(X$1,1),Log_2020[[#This Row],[Date]]),Log_2020[[#This Row],[Split_apply]])) - SUM($O118:W118)</f>
        <v>0</v>
      </c>
      <c r="Y118" s="58">
        <f ca="1">Log_2020[[#This Row],[Amount]]/Log_2020[[#This Row],[Split_raw]]*MAX(0,MIN(_xlfn.DAYS(EDATE(Y$1,1),Log_2020[[#This Row],[Date]]),Log_2020[[#This Row],[Split_apply]])) - SUM($O118:X118)</f>
        <v>0</v>
      </c>
      <c r="Z118" s="58">
        <f ca="1">Log_2020[[#This Row],[Amount]]/Log_2020[[#This Row],[Split_raw]]*MAX(0,MIN(_xlfn.DAYS(EDATE(Z$1,1),Log_2020[[#This Row],[Date]]),Log_2020[[#This Row],[Split_apply]])) - SUM($O118:Y118)</f>
        <v>0</v>
      </c>
      <c r="AA118" s="58">
        <f ca="1">Log_2020[[#This Row],[Amount]]/Log_2020[[#This Row],[Split_raw]]*MAX(0,MIN(_xlfn.DAYS(EDATE(AA$1,1),Log_2020[[#This Row],[Date]]),Log_2020[[#This Row],[Split_apply]])) - SUM($O118:Z118)</f>
        <v>0</v>
      </c>
      <c r="AB118" s="85">
        <f ca="1">Log_2020[[#This Row],[Amount]]*Log_2020[[#This Row],[Split_apply]]/Log_2020[[#This Row],[Split_raw]]-SUM(O118:AA118)</f>
        <v>0</v>
      </c>
      <c r="AC118" s="74">
        <f>MAX(0,Log_2020[[#This Row],[Split_raw]] - (EDATE(AA$1,1)-Log_2020[[#This Row],[Date]]))</f>
        <v>0</v>
      </c>
    </row>
    <row r="119" spans="1:29" x14ac:dyDescent="0.25">
      <c r="A119" s="37"/>
      <c r="B119" s="34" t="s">
        <v>6</v>
      </c>
      <c r="C119" s="34"/>
      <c r="D119" s="35">
        <v>43881</v>
      </c>
      <c r="E119" s="34" t="s">
        <v>1061</v>
      </c>
      <c r="F119" s="34" t="s">
        <v>1049</v>
      </c>
      <c r="G119" s="34" t="s">
        <v>25</v>
      </c>
      <c r="H119">
        <v>-9.26</v>
      </c>
      <c r="I119" s="36">
        <f>IF(Log_2020[[#This Row],[My Category]]="NONTRACKED",0,Log_2020[[#This Row],[Raw Amount]])</f>
        <v>-9.26</v>
      </c>
      <c r="J119" s="37">
        <f>ABS(Log_2020[[#This Row],[Amount]])</f>
        <v>9.26</v>
      </c>
      <c r="K119" s="38">
        <v>1</v>
      </c>
      <c r="L119" s="38">
        <f ca="1">IF(Log_2020[[#This Row],[Date]]&lt;=TODAY(), MIN(Log_2020[[#This Row],[Split_raw]], TODAY()-Log_2020[[#This Row],[Date]]+1), 0)</f>
        <v>1</v>
      </c>
      <c r="M119" s="34" t="s">
        <v>38</v>
      </c>
      <c r="N119" s="34" t="s">
        <v>158</v>
      </c>
      <c r="O119" s="7"/>
      <c r="P119" s="58">
        <f ca="1">Log_2020[[#This Row],[Amount]]/Log_2020[[#This Row],[Split_raw]]*MAX(0,MIN(_xlfn.DAYS(EDATE(P$1,1),Log_2020[[#This Row],[Date]]),Log_2020[[#This Row],[Split_apply]])) - SUM($O119:O119)</f>
        <v>0</v>
      </c>
      <c r="Q119" s="58">
        <f ca="1">Log_2020[[#This Row],[Amount]]/Log_2020[[#This Row],[Split_raw]]*MAX(0,MIN(_xlfn.DAYS(EDATE(Q$1,1),Log_2020[[#This Row],[Date]]),Log_2020[[#This Row],[Split_apply]])) - SUM($O119:P119)</f>
        <v>-9.26</v>
      </c>
      <c r="R119" s="58">
        <f ca="1">Log_2020[[#This Row],[Amount]]/Log_2020[[#This Row],[Split_raw]]*MAX(0,MIN(_xlfn.DAYS(EDATE(R$1,1),Log_2020[[#This Row],[Date]]),Log_2020[[#This Row],[Split_apply]])) - SUM($O119:Q119)</f>
        <v>0</v>
      </c>
      <c r="S119" s="58">
        <f ca="1">Log_2020[[#This Row],[Amount]]/Log_2020[[#This Row],[Split_raw]]*MAX(0,MIN(_xlfn.DAYS(EDATE(S$1,1),Log_2020[[#This Row],[Date]]),Log_2020[[#This Row],[Split_apply]])) - SUM($O119:R119)</f>
        <v>0</v>
      </c>
      <c r="T119" s="58">
        <f ca="1">Log_2020[[#This Row],[Amount]]/Log_2020[[#This Row],[Split_raw]]*MAX(0,MIN(_xlfn.DAYS(EDATE(T$1,1),Log_2020[[#This Row],[Date]]),Log_2020[[#This Row],[Split_apply]])) - SUM($O119:S119)</f>
        <v>0</v>
      </c>
      <c r="U119" s="58">
        <f ca="1">Log_2020[[#This Row],[Amount]]/Log_2020[[#This Row],[Split_raw]]*MAX(0,MIN(_xlfn.DAYS(EDATE(U$1,1),Log_2020[[#This Row],[Date]]),Log_2020[[#This Row],[Split_apply]])) - SUM($O119:T119)</f>
        <v>0</v>
      </c>
      <c r="V119" s="58">
        <f ca="1">Log_2020[[#This Row],[Amount]]/Log_2020[[#This Row],[Split_raw]]*MAX(0,MIN(_xlfn.DAYS(EDATE(V$1,1),Log_2020[[#This Row],[Date]]),Log_2020[[#This Row],[Split_apply]])) - SUM($O119:U119)</f>
        <v>0</v>
      </c>
      <c r="W119" s="58">
        <f ca="1">Log_2020[[#This Row],[Amount]]/Log_2020[[#This Row],[Split_raw]]*MAX(0,MIN(_xlfn.DAYS(EDATE(W$1,1),Log_2020[[#This Row],[Date]]),Log_2020[[#This Row],[Split_apply]])) - SUM($O119:V119)</f>
        <v>0</v>
      </c>
      <c r="X119" s="58">
        <f ca="1">Log_2020[[#This Row],[Amount]]/Log_2020[[#This Row],[Split_raw]]*MAX(0,MIN(_xlfn.DAYS(EDATE(X$1,1),Log_2020[[#This Row],[Date]]),Log_2020[[#This Row],[Split_apply]])) - SUM($O119:W119)</f>
        <v>0</v>
      </c>
      <c r="Y119" s="58">
        <f ca="1">Log_2020[[#This Row],[Amount]]/Log_2020[[#This Row],[Split_raw]]*MAX(0,MIN(_xlfn.DAYS(EDATE(Y$1,1),Log_2020[[#This Row],[Date]]),Log_2020[[#This Row],[Split_apply]])) - SUM($O119:X119)</f>
        <v>0</v>
      </c>
      <c r="Z119" s="58">
        <f ca="1">Log_2020[[#This Row],[Amount]]/Log_2020[[#This Row],[Split_raw]]*MAX(0,MIN(_xlfn.DAYS(EDATE(Z$1,1),Log_2020[[#This Row],[Date]]),Log_2020[[#This Row],[Split_apply]])) - SUM($O119:Y119)</f>
        <v>0</v>
      </c>
      <c r="AA119" s="58">
        <f ca="1">Log_2020[[#This Row],[Amount]]/Log_2020[[#This Row],[Split_raw]]*MAX(0,MIN(_xlfn.DAYS(EDATE(AA$1,1),Log_2020[[#This Row],[Date]]),Log_2020[[#This Row],[Split_apply]])) - SUM($O119:Z119)</f>
        <v>0</v>
      </c>
      <c r="AB119" s="85">
        <f ca="1">Log_2020[[#This Row],[Amount]]*Log_2020[[#This Row],[Split_apply]]/Log_2020[[#This Row],[Split_raw]]-SUM(O119:AA119)</f>
        <v>0</v>
      </c>
      <c r="AC119" s="74">
        <f>MAX(0,Log_2020[[#This Row],[Split_raw]] - (EDATE(AA$1,1)-Log_2020[[#This Row],[Date]]))</f>
        <v>0</v>
      </c>
    </row>
    <row r="120" spans="1:29" x14ac:dyDescent="0.25">
      <c r="A120" s="37"/>
      <c r="B120" s="34" t="s">
        <v>6</v>
      </c>
      <c r="C120" s="34"/>
      <c r="D120" s="35">
        <v>43881</v>
      </c>
      <c r="E120" s="34" t="s">
        <v>1061</v>
      </c>
      <c r="F120" s="34" t="s">
        <v>435</v>
      </c>
      <c r="G120" s="34" t="s">
        <v>12</v>
      </c>
      <c r="H120">
        <v>-6.75</v>
      </c>
      <c r="I120" s="36">
        <f>IF(Log_2020[[#This Row],[My Category]]="NONTRACKED",0,Log_2020[[#This Row],[Raw Amount]])</f>
        <v>-6.75</v>
      </c>
      <c r="J120" s="37">
        <f>ABS(Log_2020[[#This Row],[Amount]])</f>
        <v>6.75</v>
      </c>
      <c r="K120" s="38">
        <v>1</v>
      </c>
      <c r="L120" s="38">
        <f ca="1">IF(Log_2020[[#This Row],[Date]]&lt;=TODAY(), MIN(Log_2020[[#This Row],[Split_raw]], TODAY()-Log_2020[[#This Row],[Date]]+1), 0)</f>
        <v>1</v>
      </c>
      <c r="M120" s="34" t="s">
        <v>38</v>
      </c>
      <c r="N120" s="34" t="s">
        <v>158</v>
      </c>
      <c r="O120" s="7"/>
      <c r="P120" s="58">
        <f ca="1">Log_2020[[#This Row],[Amount]]/Log_2020[[#This Row],[Split_raw]]*MAX(0,MIN(_xlfn.DAYS(EDATE(P$1,1),Log_2020[[#This Row],[Date]]),Log_2020[[#This Row],[Split_apply]])) - SUM($O120:O120)</f>
        <v>0</v>
      </c>
      <c r="Q120" s="58">
        <f ca="1">Log_2020[[#This Row],[Amount]]/Log_2020[[#This Row],[Split_raw]]*MAX(0,MIN(_xlfn.DAYS(EDATE(Q$1,1),Log_2020[[#This Row],[Date]]),Log_2020[[#This Row],[Split_apply]])) - SUM($O120:P120)</f>
        <v>-6.75</v>
      </c>
      <c r="R120" s="58">
        <f ca="1">Log_2020[[#This Row],[Amount]]/Log_2020[[#This Row],[Split_raw]]*MAX(0,MIN(_xlfn.DAYS(EDATE(R$1,1),Log_2020[[#This Row],[Date]]),Log_2020[[#This Row],[Split_apply]])) - SUM($O120:Q120)</f>
        <v>0</v>
      </c>
      <c r="S120" s="58">
        <f ca="1">Log_2020[[#This Row],[Amount]]/Log_2020[[#This Row],[Split_raw]]*MAX(0,MIN(_xlfn.DAYS(EDATE(S$1,1),Log_2020[[#This Row],[Date]]),Log_2020[[#This Row],[Split_apply]])) - SUM($O120:R120)</f>
        <v>0</v>
      </c>
      <c r="T120" s="58">
        <f ca="1">Log_2020[[#This Row],[Amount]]/Log_2020[[#This Row],[Split_raw]]*MAX(0,MIN(_xlfn.DAYS(EDATE(T$1,1),Log_2020[[#This Row],[Date]]),Log_2020[[#This Row],[Split_apply]])) - SUM($O120:S120)</f>
        <v>0</v>
      </c>
      <c r="U120" s="58">
        <f ca="1">Log_2020[[#This Row],[Amount]]/Log_2020[[#This Row],[Split_raw]]*MAX(0,MIN(_xlfn.DAYS(EDATE(U$1,1),Log_2020[[#This Row],[Date]]),Log_2020[[#This Row],[Split_apply]])) - SUM($O120:T120)</f>
        <v>0</v>
      </c>
      <c r="V120" s="58">
        <f ca="1">Log_2020[[#This Row],[Amount]]/Log_2020[[#This Row],[Split_raw]]*MAX(0,MIN(_xlfn.DAYS(EDATE(V$1,1),Log_2020[[#This Row],[Date]]),Log_2020[[#This Row],[Split_apply]])) - SUM($O120:U120)</f>
        <v>0</v>
      </c>
      <c r="W120" s="58">
        <f ca="1">Log_2020[[#This Row],[Amount]]/Log_2020[[#This Row],[Split_raw]]*MAX(0,MIN(_xlfn.DAYS(EDATE(W$1,1),Log_2020[[#This Row],[Date]]),Log_2020[[#This Row],[Split_apply]])) - SUM($O120:V120)</f>
        <v>0</v>
      </c>
      <c r="X120" s="58">
        <f ca="1">Log_2020[[#This Row],[Amount]]/Log_2020[[#This Row],[Split_raw]]*MAX(0,MIN(_xlfn.DAYS(EDATE(X$1,1),Log_2020[[#This Row],[Date]]),Log_2020[[#This Row],[Split_apply]])) - SUM($O120:W120)</f>
        <v>0</v>
      </c>
      <c r="Y120" s="58">
        <f ca="1">Log_2020[[#This Row],[Amount]]/Log_2020[[#This Row],[Split_raw]]*MAX(0,MIN(_xlfn.DAYS(EDATE(Y$1,1),Log_2020[[#This Row],[Date]]),Log_2020[[#This Row],[Split_apply]])) - SUM($O120:X120)</f>
        <v>0</v>
      </c>
      <c r="Z120" s="58">
        <f ca="1">Log_2020[[#This Row],[Amount]]/Log_2020[[#This Row],[Split_raw]]*MAX(0,MIN(_xlfn.DAYS(EDATE(Z$1,1),Log_2020[[#This Row],[Date]]),Log_2020[[#This Row],[Split_apply]])) - SUM($O120:Y120)</f>
        <v>0</v>
      </c>
      <c r="AA120" s="58">
        <f ca="1">Log_2020[[#This Row],[Amount]]/Log_2020[[#This Row],[Split_raw]]*MAX(0,MIN(_xlfn.DAYS(EDATE(AA$1,1),Log_2020[[#This Row],[Date]]),Log_2020[[#This Row],[Split_apply]])) - SUM($O120:Z120)</f>
        <v>0</v>
      </c>
      <c r="AB120" s="85">
        <f ca="1">Log_2020[[#This Row],[Amount]]*Log_2020[[#This Row],[Split_apply]]/Log_2020[[#This Row],[Split_raw]]-SUM(O120:AA120)</f>
        <v>0</v>
      </c>
      <c r="AC120" s="74">
        <f>MAX(0,Log_2020[[#This Row],[Split_raw]] - (EDATE(AA$1,1)-Log_2020[[#This Row],[Date]]))</f>
        <v>0</v>
      </c>
    </row>
    <row r="121" spans="1:29" x14ac:dyDescent="0.25">
      <c r="A121" s="37"/>
      <c r="B121" s="34" t="s">
        <v>6</v>
      </c>
      <c r="C121" s="34"/>
      <c r="D121" s="35">
        <v>43881</v>
      </c>
      <c r="E121" s="34" t="s">
        <v>1061</v>
      </c>
      <c r="F121" s="34" t="s">
        <v>1050</v>
      </c>
      <c r="G121" s="34" t="s">
        <v>27</v>
      </c>
      <c r="H121">
        <v>-143.84</v>
      </c>
      <c r="I121" s="36">
        <f>IF(Log_2020[[#This Row],[My Category]]="NONTRACKED",0,Log_2020[[#This Row],[Raw Amount]])</f>
        <v>-143.84</v>
      </c>
      <c r="J121" s="37">
        <f>ABS(Log_2020[[#This Row],[Amount]])</f>
        <v>143.84</v>
      </c>
      <c r="K121" s="38">
        <v>1</v>
      </c>
      <c r="L121" s="38">
        <f ca="1">IF(Log_2020[[#This Row],[Date]]&lt;=TODAY(), MIN(Log_2020[[#This Row],[Split_raw]], TODAY()-Log_2020[[#This Row],[Date]]+1), 0)</f>
        <v>1</v>
      </c>
      <c r="M121" s="34" t="s">
        <v>38</v>
      </c>
      <c r="N121" s="34" t="s">
        <v>158</v>
      </c>
      <c r="O121" s="7"/>
      <c r="P121" s="58">
        <f ca="1">Log_2020[[#This Row],[Amount]]/Log_2020[[#This Row],[Split_raw]]*MAX(0,MIN(_xlfn.DAYS(EDATE(P$1,1),Log_2020[[#This Row],[Date]]),Log_2020[[#This Row],[Split_apply]])) - SUM($O121:O121)</f>
        <v>0</v>
      </c>
      <c r="Q121" s="58">
        <f ca="1">Log_2020[[#This Row],[Amount]]/Log_2020[[#This Row],[Split_raw]]*MAX(0,MIN(_xlfn.DAYS(EDATE(Q$1,1),Log_2020[[#This Row],[Date]]),Log_2020[[#This Row],[Split_apply]])) - SUM($O121:P121)</f>
        <v>-143.84</v>
      </c>
      <c r="R121" s="58">
        <f ca="1">Log_2020[[#This Row],[Amount]]/Log_2020[[#This Row],[Split_raw]]*MAX(0,MIN(_xlfn.DAYS(EDATE(R$1,1),Log_2020[[#This Row],[Date]]),Log_2020[[#This Row],[Split_apply]])) - SUM($O121:Q121)</f>
        <v>0</v>
      </c>
      <c r="S121" s="58">
        <f ca="1">Log_2020[[#This Row],[Amount]]/Log_2020[[#This Row],[Split_raw]]*MAX(0,MIN(_xlfn.DAYS(EDATE(S$1,1),Log_2020[[#This Row],[Date]]),Log_2020[[#This Row],[Split_apply]])) - SUM($O121:R121)</f>
        <v>0</v>
      </c>
      <c r="T121" s="58">
        <f ca="1">Log_2020[[#This Row],[Amount]]/Log_2020[[#This Row],[Split_raw]]*MAX(0,MIN(_xlfn.DAYS(EDATE(T$1,1),Log_2020[[#This Row],[Date]]),Log_2020[[#This Row],[Split_apply]])) - SUM($O121:S121)</f>
        <v>0</v>
      </c>
      <c r="U121" s="58">
        <f ca="1">Log_2020[[#This Row],[Amount]]/Log_2020[[#This Row],[Split_raw]]*MAX(0,MIN(_xlfn.DAYS(EDATE(U$1,1),Log_2020[[#This Row],[Date]]),Log_2020[[#This Row],[Split_apply]])) - SUM($O121:T121)</f>
        <v>0</v>
      </c>
      <c r="V121" s="58">
        <f ca="1">Log_2020[[#This Row],[Amount]]/Log_2020[[#This Row],[Split_raw]]*MAX(0,MIN(_xlfn.DAYS(EDATE(V$1,1),Log_2020[[#This Row],[Date]]),Log_2020[[#This Row],[Split_apply]])) - SUM($O121:U121)</f>
        <v>0</v>
      </c>
      <c r="W121" s="58">
        <f ca="1">Log_2020[[#This Row],[Amount]]/Log_2020[[#This Row],[Split_raw]]*MAX(0,MIN(_xlfn.DAYS(EDATE(W$1,1),Log_2020[[#This Row],[Date]]),Log_2020[[#This Row],[Split_apply]])) - SUM($O121:V121)</f>
        <v>0</v>
      </c>
      <c r="X121" s="58">
        <f ca="1">Log_2020[[#This Row],[Amount]]/Log_2020[[#This Row],[Split_raw]]*MAX(0,MIN(_xlfn.DAYS(EDATE(X$1,1),Log_2020[[#This Row],[Date]]),Log_2020[[#This Row],[Split_apply]])) - SUM($O121:W121)</f>
        <v>0</v>
      </c>
      <c r="Y121" s="58">
        <f ca="1">Log_2020[[#This Row],[Amount]]/Log_2020[[#This Row],[Split_raw]]*MAX(0,MIN(_xlfn.DAYS(EDATE(Y$1,1),Log_2020[[#This Row],[Date]]),Log_2020[[#This Row],[Split_apply]])) - SUM($O121:X121)</f>
        <v>0</v>
      </c>
      <c r="Z121" s="58">
        <f ca="1">Log_2020[[#This Row],[Amount]]/Log_2020[[#This Row],[Split_raw]]*MAX(0,MIN(_xlfn.DAYS(EDATE(Z$1,1),Log_2020[[#This Row],[Date]]),Log_2020[[#This Row],[Split_apply]])) - SUM($O121:Y121)</f>
        <v>0</v>
      </c>
      <c r="AA121" s="58">
        <f ca="1">Log_2020[[#This Row],[Amount]]/Log_2020[[#This Row],[Split_raw]]*MAX(0,MIN(_xlfn.DAYS(EDATE(AA$1,1),Log_2020[[#This Row],[Date]]),Log_2020[[#This Row],[Split_apply]])) - SUM($O121:Z121)</f>
        <v>0</v>
      </c>
      <c r="AB121" s="85">
        <f ca="1">Log_2020[[#This Row],[Amount]]*Log_2020[[#This Row],[Split_apply]]/Log_2020[[#This Row],[Split_raw]]-SUM(O121:AA121)</f>
        <v>0</v>
      </c>
      <c r="AC121" s="74">
        <f>MAX(0,Log_2020[[#This Row],[Split_raw]] - (EDATE(AA$1,1)-Log_2020[[#This Row],[Date]]))</f>
        <v>0</v>
      </c>
    </row>
    <row r="122" spans="1:29" x14ac:dyDescent="0.25">
      <c r="A122" s="37"/>
      <c r="B122" s="34" t="s">
        <v>6</v>
      </c>
      <c r="C122" s="34"/>
      <c r="D122" s="35">
        <v>43880</v>
      </c>
      <c r="E122" s="34" t="s">
        <v>1061</v>
      </c>
      <c r="F122" s="34" t="s">
        <v>1048</v>
      </c>
      <c r="G122" s="34" t="s">
        <v>27</v>
      </c>
      <c r="H122">
        <v>-31.16</v>
      </c>
      <c r="I122" s="36">
        <f>IF(Log_2020[[#This Row],[My Category]]="NONTRACKED",0,Log_2020[[#This Row],[Raw Amount]])</f>
        <v>-31.16</v>
      </c>
      <c r="J122" s="37">
        <f>ABS(Log_2020[[#This Row],[Amount]])</f>
        <v>31.16</v>
      </c>
      <c r="K122" s="38">
        <v>1</v>
      </c>
      <c r="L122" s="38">
        <f ca="1">IF(Log_2020[[#This Row],[Date]]&lt;=TODAY(), MIN(Log_2020[[#This Row],[Split_raw]], TODAY()-Log_2020[[#This Row],[Date]]+1), 0)</f>
        <v>1</v>
      </c>
      <c r="M122" s="34" t="s">
        <v>38</v>
      </c>
      <c r="N122" s="34" t="s">
        <v>158</v>
      </c>
      <c r="O122" s="7"/>
      <c r="P122" s="58">
        <f ca="1">Log_2020[[#This Row],[Amount]]/Log_2020[[#This Row],[Split_raw]]*MAX(0,MIN(_xlfn.DAYS(EDATE(P$1,1),Log_2020[[#This Row],[Date]]),Log_2020[[#This Row],[Split_apply]])) - SUM($O122:O122)</f>
        <v>0</v>
      </c>
      <c r="Q122" s="58">
        <f ca="1">Log_2020[[#This Row],[Amount]]/Log_2020[[#This Row],[Split_raw]]*MAX(0,MIN(_xlfn.DAYS(EDATE(Q$1,1),Log_2020[[#This Row],[Date]]),Log_2020[[#This Row],[Split_apply]])) - SUM($O122:P122)</f>
        <v>-31.16</v>
      </c>
      <c r="R122" s="58">
        <f ca="1">Log_2020[[#This Row],[Amount]]/Log_2020[[#This Row],[Split_raw]]*MAX(0,MIN(_xlfn.DAYS(EDATE(R$1,1),Log_2020[[#This Row],[Date]]),Log_2020[[#This Row],[Split_apply]])) - SUM($O122:Q122)</f>
        <v>0</v>
      </c>
      <c r="S122" s="58">
        <f ca="1">Log_2020[[#This Row],[Amount]]/Log_2020[[#This Row],[Split_raw]]*MAX(0,MIN(_xlfn.DAYS(EDATE(S$1,1),Log_2020[[#This Row],[Date]]),Log_2020[[#This Row],[Split_apply]])) - SUM($O122:R122)</f>
        <v>0</v>
      </c>
      <c r="T122" s="58">
        <f ca="1">Log_2020[[#This Row],[Amount]]/Log_2020[[#This Row],[Split_raw]]*MAX(0,MIN(_xlfn.DAYS(EDATE(T$1,1),Log_2020[[#This Row],[Date]]),Log_2020[[#This Row],[Split_apply]])) - SUM($O122:S122)</f>
        <v>0</v>
      </c>
      <c r="U122" s="58">
        <f ca="1">Log_2020[[#This Row],[Amount]]/Log_2020[[#This Row],[Split_raw]]*MAX(0,MIN(_xlfn.DAYS(EDATE(U$1,1),Log_2020[[#This Row],[Date]]),Log_2020[[#This Row],[Split_apply]])) - SUM($O122:T122)</f>
        <v>0</v>
      </c>
      <c r="V122" s="58">
        <f ca="1">Log_2020[[#This Row],[Amount]]/Log_2020[[#This Row],[Split_raw]]*MAX(0,MIN(_xlfn.DAYS(EDATE(V$1,1),Log_2020[[#This Row],[Date]]),Log_2020[[#This Row],[Split_apply]])) - SUM($O122:U122)</f>
        <v>0</v>
      </c>
      <c r="W122" s="58">
        <f ca="1">Log_2020[[#This Row],[Amount]]/Log_2020[[#This Row],[Split_raw]]*MAX(0,MIN(_xlfn.DAYS(EDATE(W$1,1),Log_2020[[#This Row],[Date]]),Log_2020[[#This Row],[Split_apply]])) - SUM($O122:V122)</f>
        <v>0</v>
      </c>
      <c r="X122" s="58">
        <f ca="1">Log_2020[[#This Row],[Amount]]/Log_2020[[#This Row],[Split_raw]]*MAX(0,MIN(_xlfn.DAYS(EDATE(X$1,1),Log_2020[[#This Row],[Date]]),Log_2020[[#This Row],[Split_apply]])) - SUM($O122:W122)</f>
        <v>0</v>
      </c>
      <c r="Y122" s="58">
        <f ca="1">Log_2020[[#This Row],[Amount]]/Log_2020[[#This Row],[Split_raw]]*MAX(0,MIN(_xlfn.DAYS(EDATE(Y$1,1),Log_2020[[#This Row],[Date]]),Log_2020[[#This Row],[Split_apply]])) - SUM($O122:X122)</f>
        <v>0</v>
      </c>
      <c r="Z122" s="58">
        <f ca="1">Log_2020[[#This Row],[Amount]]/Log_2020[[#This Row],[Split_raw]]*MAX(0,MIN(_xlfn.DAYS(EDATE(Z$1,1),Log_2020[[#This Row],[Date]]),Log_2020[[#This Row],[Split_apply]])) - SUM($O122:Y122)</f>
        <v>0</v>
      </c>
      <c r="AA122" s="58">
        <f ca="1">Log_2020[[#This Row],[Amount]]/Log_2020[[#This Row],[Split_raw]]*MAX(0,MIN(_xlfn.DAYS(EDATE(AA$1,1),Log_2020[[#This Row],[Date]]),Log_2020[[#This Row],[Split_apply]])) - SUM($O122:Z122)</f>
        <v>0</v>
      </c>
      <c r="AB122" s="85">
        <f ca="1">Log_2020[[#This Row],[Amount]]*Log_2020[[#This Row],[Split_apply]]/Log_2020[[#This Row],[Split_raw]]-SUM(O122:AA122)</f>
        <v>0</v>
      </c>
      <c r="AC122" s="74">
        <f>MAX(0,Log_2020[[#This Row],[Split_raw]] - (EDATE(AA$1,1)-Log_2020[[#This Row],[Date]]))</f>
        <v>0</v>
      </c>
    </row>
    <row r="123" spans="1:29" x14ac:dyDescent="0.25">
      <c r="A123" s="37"/>
      <c r="B123" s="34" t="s">
        <v>6</v>
      </c>
      <c r="C123" s="34"/>
      <c r="D123" s="35">
        <v>43880</v>
      </c>
      <c r="E123" s="34"/>
      <c r="F123" s="34" t="s">
        <v>1051</v>
      </c>
      <c r="G123" s="34" t="s">
        <v>384</v>
      </c>
      <c r="H123">
        <v>-25</v>
      </c>
      <c r="I123" s="36">
        <f>IF(Log_2020[[#This Row],[My Category]]="NONTRACKED",0,Log_2020[[#This Row],[Raw Amount]])</f>
        <v>-25</v>
      </c>
      <c r="J123" s="37">
        <f>ABS(Log_2020[[#This Row],[Amount]])</f>
        <v>25</v>
      </c>
      <c r="K123" s="38">
        <v>1</v>
      </c>
      <c r="L123" s="38">
        <f ca="1">IF(Log_2020[[#This Row],[Date]]&lt;=TODAY(), MIN(Log_2020[[#This Row],[Split_raw]], TODAY()-Log_2020[[#This Row],[Date]]+1), 0)</f>
        <v>1</v>
      </c>
      <c r="M123" s="34" t="s">
        <v>42</v>
      </c>
      <c r="N123" s="34" t="s">
        <v>158</v>
      </c>
      <c r="O123" s="7"/>
      <c r="P123" s="58">
        <f ca="1">Log_2020[[#This Row],[Amount]]/Log_2020[[#This Row],[Split_raw]]*MAX(0,MIN(_xlfn.DAYS(EDATE(P$1,1),Log_2020[[#This Row],[Date]]),Log_2020[[#This Row],[Split_apply]])) - SUM($O123:O123)</f>
        <v>0</v>
      </c>
      <c r="Q123" s="58">
        <f ca="1">Log_2020[[#This Row],[Amount]]/Log_2020[[#This Row],[Split_raw]]*MAX(0,MIN(_xlfn.DAYS(EDATE(Q$1,1),Log_2020[[#This Row],[Date]]),Log_2020[[#This Row],[Split_apply]])) - SUM($O123:P123)</f>
        <v>-25</v>
      </c>
      <c r="R123" s="58">
        <f ca="1">Log_2020[[#This Row],[Amount]]/Log_2020[[#This Row],[Split_raw]]*MAX(0,MIN(_xlfn.DAYS(EDATE(R$1,1),Log_2020[[#This Row],[Date]]),Log_2020[[#This Row],[Split_apply]])) - SUM($O123:Q123)</f>
        <v>0</v>
      </c>
      <c r="S123" s="58">
        <f ca="1">Log_2020[[#This Row],[Amount]]/Log_2020[[#This Row],[Split_raw]]*MAX(0,MIN(_xlfn.DAYS(EDATE(S$1,1),Log_2020[[#This Row],[Date]]),Log_2020[[#This Row],[Split_apply]])) - SUM($O123:R123)</f>
        <v>0</v>
      </c>
      <c r="T123" s="58">
        <f ca="1">Log_2020[[#This Row],[Amount]]/Log_2020[[#This Row],[Split_raw]]*MAX(0,MIN(_xlfn.DAYS(EDATE(T$1,1),Log_2020[[#This Row],[Date]]),Log_2020[[#This Row],[Split_apply]])) - SUM($O123:S123)</f>
        <v>0</v>
      </c>
      <c r="U123" s="58">
        <f ca="1">Log_2020[[#This Row],[Amount]]/Log_2020[[#This Row],[Split_raw]]*MAX(0,MIN(_xlfn.DAYS(EDATE(U$1,1),Log_2020[[#This Row],[Date]]),Log_2020[[#This Row],[Split_apply]])) - SUM($O123:T123)</f>
        <v>0</v>
      </c>
      <c r="V123" s="58">
        <f ca="1">Log_2020[[#This Row],[Amount]]/Log_2020[[#This Row],[Split_raw]]*MAX(0,MIN(_xlfn.DAYS(EDATE(V$1,1),Log_2020[[#This Row],[Date]]),Log_2020[[#This Row],[Split_apply]])) - SUM($O123:U123)</f>
        <v>0</v>
      </c>
      <c r="W123" s="58">
        <f ca="1">Log_2020[[#This Row],[Amount]]/Log_2020[[#This Row],[Split_raw]]*MAX(0,MIN(_xlfn.DAYS(EDATE(W$1,1),Log_2020[[#This Row],[Date]]),Log_2020[[#This Row],[Split_apply]])) - SUM($O123:V123)</f>
        <v>0</v>
      </c>
      <c r="X123" s="58">
        <f ca="1">Log_2020[[#This Row],[Amount]]/Log_2020[[#This Row],[Split_raw]]*MAX(0,MIN(_xlfn.DAYS(EDATE(X$1,1),Log_2020[[#This Row],[Date]]),Log_2020[[#This Row],[Split_apply]])) - SUM($O123:W123)</f>
        <v>0</v>
      </c>
      <c r="Y123" s="58">
        <f ca="1">Log_2020[[#This Row],[Amount]]/Log_2020[[#This Row],[Split_raw]]*MAX(0,MIN(_xlfn.DAYS(EDATE(Y$1,1),Log_2020[[#This Row],[Date]]),Log_2020[[#This Row],[Split_apply]])) - SUM($O123:X123)</f>
        <v>0</v>
      </c>
      <c r="Z123" s="58">
        <f ca="1">Log_2020[[#This Row],[Amount]]/Log_2020[[#This Row],[Split_raw]]*MAX(0,MIN(_xlfn.DAYS(EDATE(Z$1,1),Log_2020[[#This Row],[Date]]),Log_2020[[#This Row],[Split_apply]])) - SUM($O123:Y123)</f>
        <v>0</v>
      </c>
      <c r="AA123" s="58">
        <f ca="1">Log_2020[[#This Row],[Amount]]/Log_2020[[#This Row],[Split_raw]]*MAX(0,MIN(_xlfn.DAYS(EDATE(AA$1,1),Log_2020[[#This Row],[Date]]),Log_2020[[#This Row],[Split_apply]])) - SUM($O123:Z123)</f>
        <v>0</v>
      </c>
      <c r="AB123" s="85">
        <f ca="1">Log_2020[[#This Row],[Amount]]*Log_2020[[#This Row],[Split_apply]]/Log_2020[[#This Row],[Split_raw]]-SUM(O123:AA123)</f>
        <v>0</v>
      </c>
      <c r="AC123" s="74">
        <f>MAX(0,Log_2020[[#This Row],[Split_raw]] - (EDATE(AA$1,1)-Log_2020[[#This Row],[Date]]))</f>
        <v>0</v>
      </c>
    </row>
    <row r="124" spans="1:29" x14ac:dyDescent="0.25">
      <c r="A124" s="37"/>
      <c r="B124" s="34" t="s">
        <v>6</v>
      </c>
      <c r="C124" s="34"/>
      <c r="D124" s="35">
        <v>43880</v>
      </c>
      <c r="E124" s="34"/>
      <c r="F124" s="34" t="s">
        <v>1051</v>
      </c>
      <c r="G124" s="34" t="s">
        <v>384</v>
      </c>
      <c r="H124">
        <v>-20</v>
      </c>
      <c r="I124" s="36">
        <f>IF(Log_2020[[#This Row],[My Category]]="NONTRACKED",0,Log_2020[[#This Row],[Raw Amount]])</f>
        <v>-20</v>
      </c>
      <c r="J124" s="37">
        <f>ABS(Log_2020[[#This Row],[Amount]])</f>
        <v>20</v>
      </c>
      <c r="K124" s="38">
        <v>1</v>
      </c>
      <c r="L124" s="38">
        <f ca="1">IF(Log_2020[[#This Row],[Date]]&lt;=TODAY(), MIN(Log_2020[[#This Row],[Split_raw]], TODAY()-Log_2020[[#This Row],[Date]]+1), 0)</f>
        <v>1</v>
      </c>
      <c r="M124" s="34" t="s">
        <v>42</v>
      </c>
      <c r="N124" s="34" t="s">
        <v>158</v>
      </c>
      <c r="O124" s="7"/>
      <c r="P124" s="58">
        <f ca="1">Log_2020[[#This Row],[Amount]]/Log_2020[[#This Row],[Split_raw]]*MAX(0,MIN(_xlfn.DAYS(EDATE(P$1,1),Log_2020[[#This Row],[Date]]),Log_2020[[#This Row],[Split_apply]])) - SUM($O124:O124)</f>
        <v>0</v>
      </c>
      <c r="Q124" s="58">
        <f ca="1">Log_2020[[#This Row],[Amount]]/Log_2020[[#This Row],[Split_raw]]*MAX(0,MIN(_xlfn.DAYS(EDATE(Q$1,1),Log_2020[[#This Row],[Date]]),Log_2020[[#This Row],[Split_apply]])) - SUM($O124:P124)</f>
        <v>-20</v>
      </c>
      <c r="R124" s="58">
        <f ca="1">Log_2020[[#This Row],[Amount]]/Log_2020[[#This Row],[Split_raw]]*MAX(0,MIN(_xlfn.DAYS(EDATE(R$1,1),Log_2020[[#This Row],[Date]]),Log_2020[[#This Row],[Split_apply]])) - SUM($O124:Q124)</f>
        <v>0</v>
      </c>
      <c r="S124" s="58">
        <f ca="1">Log_2020[[#This Row],[Amount]]/Log_2020[[#This Row],[Split_raw]]*MAX(0,MIN(_xlfn.DAYS(EDATE(S$1,1),Log_2020[[#This Row],[Date]]),Log_2020[[#This Row],[Split_apply]])) - SUM($O124:R124)</f>
        <v>0</v>
      </c>
      <c r="T124" s="58">
        <f ca="1">Log_2020[[#This Row],[Amount]]/Log_2020[[#This Row],[Split_raw]]*MAX(0,MIN(_xlfn.DAYS(EDATE(T$1,1),Log_2020[[#This Row],[Date]]),Log_2020[[#This Row],[Split_apply]])) - SUM($O124:S124)</f>
        <v>0</v>
      </c>
      <c r="U124" s="58">
        <f ca="1">Log_2020[[#This Row],[Amount]]/Log_2020[[#This Row],[Split_raw]]*MAX(0,MIN(_xlfn.DAYS(EDATE(U$1,1),Log_2020[[#This Row],[Date]]),Log_2020[[#This Row],[Split_apply]])) - SUM($O124:T124)</f>
        <v>0</v>
      </c>
      <c r="V124" s="58">
        <f ca="1">Log_2020[[#This Row],[Amount]]/Log_2020[[#This Row],[Split_raw]]*MAX(0,MIN(_xlfn.DAYS(EDATE(V$1,1),Log_2020[[#This Row],[Date]]),Log_2020[[#This Row],[Split_apply]])) - SUM($O124:U124)</f>
        <v>0</v>
      </c>
      <c r="W124" s="58">
        <f ca="1">Log_2020[[#This Row],[Amount]]/Log_2020[[#This Row],[Split_raw]]*MAX(0,MIN(_xlfn.DAYS(EDATE(W$1,1),Log_2020[[#This Row],[Date]]),Log_2020[[#This Row],[Split_apply]])) - SUM($O124:V124)</f>
        <v>0</v>
      </c>
      <c r="X124" s="58">
        <f ca="1">Log_2020[[#This Row],[Amount]]/Log_2020[[#This Row],[Split_raw]]*MAX(0,MIN(_xlfn.DAYS(EDATE(X$1,1),Log_2020[[#This Row],[Date]]),Log_2020[[#This Row],[Split_apply]])) - SUM($O124:W124)</f>
        <v>0</v>
      </c>
      <c r="Y124" s="58">
        <f ca="1">Log_2020[[#This Row],[Amount]]/Log_2020[[#This Row],[Split_raw]]*MAX(0,MIN(_xlfn.DAYS(EDATE(Y$1,1),Log_2020[[#This Row],[Date]]),Log_2020[[#This Row],[Split_apply]])) - SUM($O124:X124)</f>
        <v>0</v>
      </c>
      <c r="Z124" s="58">
        <f ca="1">Log_2020[[#This Row],[Amount]]/Log_2020[[#This Row],[Split_raw]]*MAX(0,MIN(_xlfn.DAYS(EDATE(Z$1,1),Log_2020[[#This Row],[Date]]),Log_2020[[#This Row],[Split_apply]])) - SUM($O124:Y124)</f>
        <v>0</v>
      </c>
      <c r="AA124" s="58">
        <f ca="1">Log_2020[[#This Row],[Amount]]/Log_2020[[#This Row],[Split_raw]]*MAX(0,MIN(_xlfn.DAYS(EDATE(AA$1,1),Log_2020[[#This Row],[Date]]),Log_2020[[#This Row],[Split_apply]])) - SUM($O124:Z124)</f>
        <v>0</v>
      </c>
      <c r="AB124" s="85">
        <f ca="1">Log_2020[[#This Row],[Amount]]*Log_2020[[#This Row],[Split_apply]]/Log_2020[[#This Row],[Split_raw]]-SUM(O124:AA124)</f>
        <v>0</v>
      </c>
      <c r="AC124" s="74">
        <f>MAX(0,Log_2020[[#This Row],[Split_raw]] - (EDATE(AA$1,1)-Log_2020[[#This Row],[Date]]))</f>
        <v>0</v>
      </c>
    </row>
    <row r="125" spans="1:29" x14ac:dyDescent="0.25">
      <c r="A125" s="37"/>
      <c r="B125" s="34" t="s">
        <v>6</v>
      </c>
      <c r="C125" s="34"/>
      <c r="D125" s="35">
        <v>43879</v>
      </c>
      <c r="E125" s="34"/>
      <c r="F125" s="34" t="s">
        <v>1052</v>
      </c>
      <c r="G125" s="34" t="s">
        <v>25</v>
      </c>
      <c r="H125">
        <v>-22.5</v>
      </c>
      <c r="I125" s="36">
        <f>IF(Log_2020[[#This Row],[My Category]]="NONTRACKED",0,Log_2020[[#This Row],[Raw Amount]])</f>
        <v>-22.5</v>
      </c>
      <c r="J125" s="37">
        <f>ABS(Log_2020[[#This Row],[Amount]])</f>
        <v>22.5</v>
      </c>
      <c r="K125" s="38">
        <v>1</v>
      </c>
      <c r="L125" s="38">
        <f ca="1">IF(Log_2020[[#This Row],[Date]]&lt;=TODAY(), MIN(Log_2020[[#This Row],[Split_raw]], TODAY()-Log_2020[[#This Row],[Date]]+1), 0)</f>
        <v>1</v>
      </c>
      <c r="M125" s="34" t="s">
        <v>35</v>
      </c>
      <c r="N125" s="34" t="s">
        <v>158</v>
      </c>
      <c r="O125" s="7"/>
      <c r="P125" s="58">
        <f ca="1">Log_2020[[#This Row],[Amount]]/Log_2020[[#This Row],[Split_raw]]*MAX(0,MIN(_xlfn.DAYS(EDATE(P$1,1),Log_2020[[#This Row],[Date]]),Log_2020[[#This Row],[Split_apply]])) - SUM($O125:O125)</f>
        <v>0</v>
      </c>
      <c r="Q125" s="58">
        <f ca="1">Log_2020[[#This Row],[Amount]]/Log_2020[[#This Row],[Split_raw]]*MAX(0,MIN(_xlfn.DAYS(EDATE(Q$1,1),Log_2020[[#This Row],[Date]]),Log_2020[[#This Row],[Split_apply]])) - SUM($O125:P125)</f>
        <v>-22.5</v>
      </c>
      <c r="R125" s="58">
        <f ca="1">Log_2020[[#This Row],[Amount]]/Log_2020[[#This Row],[Split_raw]]*MAX(0,MIN(_xlfn.DAYS(EDATE(R$1,1),Log_2020[[#This Row],[Date]]),Log_2020[[#This Row],[Split_apply]])) - SUM($O125:Q125)</f>
        <v>0</v>
      </c>
      <c r="S125" s="58">
        <f ca="1">Log_2020[[#This Row],[Amount]]/Log_2020[[#This Row],[Split_raw]]*MAX(0,MIN(_xlfn.DAYS(EDATE(S$1,1),Log_2020[[#This Row],[Date]]),Log_2020[[#This Row],[Split_apply]])) - SUM($O125:R125)</f>
        <v>0</v>
      </c>
      <c r="T125" s="58">
        <f ca="1">Log_2020[[#This Row],[Amount]]/Log_2020[[#This Row],[Split_raw]]*MAX(0,MIN(_xlfn.DAYS(EDATE(T$1,1),Log_2020[[#This Row],[Date]]),Log_2020[[#This Row],[Split_apply]])) - SUM($O125:S125)</f>
        <v>0</v>
      </c>
      <c r="U125" s="58">
        <f ca="1">Log_2020[[#This Row],[Amount]]/Log_2020[[#This Row],[Split_raw]]*MAX(0,MIN(_xlfn.DAYS(EDATE(U$1,1),Log_2020[[#This Row],[Date]]),Log_2020[[#This Row],[Split_apply]])) - SUM($O125:T125)</f>
        <v>0</v>
      </c>
      <c r="V125" s="58">
        <f ca="1">Log_2020[[#This Row],[Amount]]/Log_2020[[#This Row],[Split_raw]]*MAX(0,MIN(_xlfn.DAYS(EDATE(V$1,1),Log_2020[[#This Row],[Date]]),Log_2020[[#This Row],[Split_apply]])) - SUM($O125:U125)</f>
        <v>0</v>
      </c>
      <c r="W125" s="58">
        <f ca="1">Log_2020[[#This Row],[Amount]]/Log_2020[[#This Row],[Split_raw]]*MAX(0,MIN(_xlfn.DAYS(EDATE(W$1,1),Log_2020[[#This Row],[Date]]),Log_2020[[#This Row],[Split_apply]])) - SUM($O125:V125)</f>
        <v>0</v>
      </c>
      <c r="X125" s="58">
        <f ca="1">Log_2020[[#This Row],[Amount]]/Log_2020[[#This Row],[Split_raw]]*MAX(0,MIN(_xlfn.DAYS(EDATE(X$1,1),Log_2020[[#This Row],[Date]]),Log_2020[[#This Row],[Split_apply]])) - SUM($O125:W125)</f>
        <v>0</v>
      </c>
      <c r="Y125" s="58">
        <f ca="1">Log_2020[[#This Row],[Amount]]/Log_2020[[#This Row],[Split_raw]]*MAX(0,MIN(_xlfn.DAYS(EDATE(Y$1,1),Log_2020[[#This Row],[Date]]),Log_2020[[#This Row],[Split_apply]])) - SUM($O125:X125)</f>
        <v>0</v>
      </c>
      <c r="Z125" s="58">
        <f ca="1">Log_2020[[#This Row],[Amount]]/Log_2020[[#This Row],[Split_raw]]*MAX(0,MIN(_xlfn.DAYS(EDATE(Z$1,1),Log_2020[[#This Row],[Date]]),Log_2020[[#This Row],[Split_apply]])) - SUM($O125:Y125)</f>
        <v>0</v>
      </c>
      <c r="AA125" s="58">
        <f ca="1">Log_2020[[#This Row],[Amount]]/Log_2020[[#This Row],[Split_raw]]*MAX(0,MIN(_xlfn.DAYS(EDATE(AA$1,1),Log_2020[[#This Row],[Date]]),Log_2020[[#This Row],[Split_apply]])) - SUM($O125:Z125)</f>
        <v>0</v>
      </c>
      <c r="AB125" s="85">
        <f ca="1">Log_2020[[#This Row],[Amount]]*Log_2020[[#This Row],[Split_apply]]/Log_2020[[#This Row],[Split_raw]]-SUM(O125:AA125)</f>
        <v>0</v>
      </c>
      <c r="AC125" s="74">
        <f>MAX(0,Log_2020[[#This Row],[Split_raw]] - (EDATE(AA$1,1)-Log_2020[[#This Row],[Date]]))</f>
        <v>0</v>
      </c>
    </row>
    <row r="126" spans="1:29" x14ac:dyDescent="0.25">
      <c r="A126" s="37"/>
      <c r="B126" s="34" t="s">
        <v>6</v>
      </c>
      <c r="C126" s="34"/>
      <c r="D126" s="35">
        <v>43878</v>
      </c>
      <c r="E126" s="34" t="s">
        <v>1061</v>
      </c>
      <c r="F126" s="34" t="s">
        <v>1053</v>
      </c>
      <c r="G126" s="34" t="s">
        <v>19</v>
      </c>
      <c r="H126">
        <v>-10.27</v>
      </c>
      <c r="I126" s="36">
        <f>IF(Log_2020[[#This Row],[My Category]]="NONTRACKED",0,Log_2020[[#This Row],[Raw Amount]])</f>
        <v>-10.27</v>
      </c>
      <c r="J126" s="37">
        <f>ABS(Log_2020[[#This Row],[Amount]])</f>
        <v>10.27</v>
      </c>
      <c r="K126" s="38">
        <v>1</v>
      </c>
      <c r="L126" s="38">
        <f ca="1">IF(Log_2020[[#This Row],[Date]]&lt;=TODAY(), MIN(Log_2020[[#This Row],[Split_raw]], TODAY()-Log_2020[[#This Row],[Date]]+1), 0)</f>
        <v>1</v>
      </c>
      <c r="M126" s="34" t="s">
        <v>38</v>
      </c>
      <c r="N126" s="34" t="s">
        <v>158</v>
      </c>
      <c r="O126" s="7"/>
      <c r="P126" s="58">
        <f ca="1">Log_2020[[#This Row],[Amount]]/Log_2020[[#This Row],[Split_raw]]*MAX(0,MIN(_xlfn.DAYS(EDATE(P$1,1),Log_2020[[#This Row],[Date]]),Log_2020[[#This Row],[Split_apply]])) - SUM($O126:O126)</f>
        <v>0</v>
      </c>
      <c r="Q126" s="58">
        <f ca="1">Log_2020[[#This Row],[Amount]]/Log_2020[[#This Row],[Split_raw]]*MAX(0,MIN(_xlfn.DAYS(EDATE(Q$1,1),Log_2020[[#This Row],[Date]]),Log_2020[[#This Row],[Split_apply]])) - SUM($O126:P126)</f>
        <v>-10.27</v>
      </c>
      <c r="R126" s="58">
        <f ca="1">Log_2020[[#This Row],[Amount]]/Log_2020[[#This Row],[Split_raw]]*MAX(0,MIN(_xlfn.DAYS(EDATE(R$1,1),Log_2020[[#This Row],[Date]]),Log_2020[[#This Row],[Split_apply]])) - SUM($O126:Q126)</f>
        <v>0</v>
      </c>
      <c r="S126" s="58">
        <f ca="1">Log_2020[[#This Row],[Amount]]/Log_2020[[#This Row],[Split_raw]]*MAX(0,MIN(_xlfn.DAYS(EDATE(S$1,1),Log_2020[[#This Row],[Date]]),Log_2020[[#This Row],[Split_apply]])) - SUM($O126:R126)</f>
        <v>0</v>
      </c>
      <c r="T126" s="58">
        <f ca="1">Log_2020[[#This Row],[Amount]]/Log_2020[[#This Row],[Split_raw]]*MAX(0,MIN(_xlfn.DAYS(EDATE(T$1,1),Log_2020[[#This Row],[Date]]),Log_2020[[#This Row],[Split_apply]])) - SUM($O126:S126)</f>
        <v>0</v>
      </c>
      <c r="U126" s="58">
        <f ca="1">Log_2020[[#This Row],[Amount]]/Log_2020[[#This Row],[Split_raw]]*MAX(0,MIN(_xlfn.DAYS(EDATE(U$1,1),Log_2020[[#This Row],[Date]]),Log_2020[[#This Row],[Split_apply]])) - SUM($O126:T126)</f>
        <v>0</v>
      </c>
      <c r="V126" s="58">
        <f ca="1">Log_2020[[#This Row],[Amount]]/Log_2020[[#This Row],[Split_raw]]*MAX(0,MIN(_xlfn.DAYS(EDATE(V$1,1),Log_2020[[#This Row],[Date]]),Log_2020[[#This Row],[Split_apply]])) - SUM($O126:U126)</f>
        <v>0</v>
      </c>
      <c r="W126" s="58">
        <f ca="1">Log_2020[[#This Row],[Amount]]/Log_2020[[#This Row],[Split_raw]]*MAX(0,MIN(_xlfn.DAYS(EDATE(W$1,1),Log_2020[[#This Row],[Date]]),Log_2020[[#This Row],[Split_apply]])) - SUM($O126:V126)</f>
        <v>0</v>
      </c>
      <c r="X126" s="58">
        <f ca="1">Log_2020[[#This Row],[Amount]]/Log_2020[[#This Row],[Split_raw]]*MAX(0,MIN(_xlfn.DAYS(EDATE(X$1,1),Log_2020[[#This Row],[Date]]),Log_2020[[#This Row],[Split_apply]])) - SUM($O126:W126)</f>
        <v>0</v>
      </c>
      <c r="Y126" s="58">
        <f ca="1">Log_2020[[#This Row],[Amount]]/Log_2020[[#This Row],[Split_raw]]*MAX(0,MIN(_xlfn.DAYS(EDATE(Y$1,1),Log_2020[[#This Row],[Date]]),Log_2020[[#This Row],[Split_apply]])) - SUM($O126:X126)</f>
        <v>0</v>
      </c>
      <c r="Z126" s="58">
        <f ca="1">Log_2020[[#This Row],[Amount]]/Log_2020[[#This Row],[Split_raw]]*MAX(0,MIN(_xlfn.DAYS(EDATE(Z$1,1),Log_2020[[#This Row],[Date]]),Log_2020[[#This Row],[Split_apply]])) - SUM($O126:Y126)</f>
        <v>0</v>
      </c>
      <c r="AA126" s="58">
        <f ca="1">Log_2020[[#This Row],[Amount]]/Log_2020[[#This Row],[Split_raw]]*MAX(0,MIN(_xlfn.DAYS(EDATE(AA$1,1),Log_2020[[#This Row],[Date]]),Log_2020[[#This Row],[Split_apply]])) - SUM($O126:Z126)</f>
        <v>0</v>
      </c>
      <c r="AB126" s="85">
        <f ca="1">Log_2020[[#This Row],[Amount]]*Log_2020[[#This Row],[Split_apply]]/Log_2020[[#This Row],[Split_raw]]-SUM(O126:AA126)</f>
        <v>0</v>
      </c>
      <c r="AC126" s="74">
        <f>MAX(0,Log_2020[[#This Row],[Split_raw]] - (EDATE(AA$1,1)-Log_2020[[#This Row],[Date]]))</f>
        <v>0</v>
      </c>
    </row>
    <row r="127" spans="1:29" x14ac:dyDescent="0.25">
      <c r="A127" s="37"/>
      <c r="B127" s="34" t="s">
        <v>6</v>
      </c>
      <c r="C127" s="34"/>
      <c r="D127" s="35">
        <v>43878</v>
      </c>
      <c r="E127" s="34" t="s">
        <v>1061</v>
      </c>
      <c r="F127" s="34" t="s">
        <v>1048</v>
      </c>
      <c r="G127" s="34" t="s">
        <v>27</v>
      </c>
      <c r="H127">
        <v>-20.350000000000001</v>
      </c>
      <c r="I127" s="36">
        <f>IF(Log_2020[[#This Row],[My Category]]="NONTRACKED",0,Log_2020[[#This Row],[Raw Amount]])</f>
        <v>-20.350000000000001</v>
      </c>
      <c r="J127" s="37">
        <f>ABS(Log_2020[[#This Row],[Amount]])</f>
        <v>20.350000000000001</v>
      </c>
      <c r="K127" s="38">
        <v>1</v>
      </c>
      <c r="L127" s="38">
        <f ca="1">IF(Log_2020[[#This Row],[Date]]&lt;=TODAY(), MIN(Log_2020[[#This Row],[Split_raw]], TODAY()-Log_2020[[#This Row],[Date]]+1), 0)</f>
        <v>1</v>
      </c>
      <c r="M127" s="34" t="s">
        <v>38</v>
      </c>
      <c r="N127" s="34" t="s">
        <v>158</v>
      </c>
      <c r="O127" s="7"/>
      <c r="P127" s="58">
        <f ca="1">Log_2020[[#This Row],[Amount]]/Log_2020[[#This Row],[Split_raw]]*MAX(0,MIN(_xlfn.DAYS(EDATE(P$1,1),Log_2020[[#This Row],[Date]]),Log_2020[[#This Row],[Split_apply]])) - SUM($O127:O127)</f>
        <v>0</v>
      </c>
      <c r="Q127" s="58">
        <f ca="1">Log_2020[[#This Row],[Amount]]/Log_2020[[#This Row],[Split_raw]]*MAX(0,MIN(_xlfn.DAYS(EDATE(Q$1,1),Log_2020[[#This Row],[Date]]),Log_2020[[#This Row],[Split_apply]])) - SUM($O127:P127)</f>
        <v>-20.350000000000001</v>
      </c>
      <c r="R127" s="58">
        <f ca="1">Log_2020[[#This Row],[Amount]]/Log_2020[[#This Row],[Split_raw]]*MAX(0,MIN(_xlfn.DAYS(EDATE(R$1,1),Log_2020[[#This Row],[Date]]),Log_2020[[#This Row],[Split_apply]])) - SUM($O127:Q127)</f>
        <v>0</v>
      </c>
      <c r="S127" s="58">
        <f ca="1">Log_2020[[#This Row],[Amount]]/Log_2020[[#This Row],[Split_raw]]*MAX(0,MIN(_xlfn.DAYS(EDATE(S$1,1),Log_2020[[#This Row],[Date]]),Log_2020[[#This Row],[Split_apply]])) - SUM($O127:R127)</f>
        <v>0</v>
      </c>
      <c r="T127" s="58">
        <f ca="1">Log_2020[[#This Row],[Amount]]/Log_2020[[#This Row],[Split_raw]]*MAX(0,MIN(_xlfn.DAYS(EDATE(T$1,1),Log_2020[[#This Row],[Date]]),Log_2020[[#This Row],[Split_apply]])) - SUM($O127:S127)</f>
        <v>0</v>
      </c>
      <c r="U127" s="58">
        <f ca="1">Log_2020[[#This Row],[Amount]]/Log_2020[[#This Row],[Split_raw]]*MAX(0,MIN(_xlfn.DAYS(EDATE(U$1,1),Log_2020[[#This Row],[Date]]),Log_2020[[#This Row],[Split_apply]])) - SUM($O127:T127)</f>
        <v>0</v>
      </c>
      <c r="V127" s="58">
        <f ca="1">Log_2020[[#This Row],[Amount]]/Log_2020[[#This Row],[Split_raw]]*MAX(0,MIN(_xlfn.DAYS(EDATE(V$1,1),Log_2020[[#This Row],[Date]]),Log_2020[[#This Row],[Split_apply]])) - SUM($O127:U127)</f>
        <v>0</v>
      </c>
      <c r="W127" s="58">
        <f ca="1">Log_2020[[#This Row],[Amount]]/Log_2020[[#This Row],[Split_raw]]*MAX(0,MIN(_xlfn.DAYS(EDATE(W$1,1),Log_2020[[#This Row],[Date]]),Log_2020[[#This Row],[Split_apply]])) - SUM($O127:V127)</f>
        <v>0</v>
      </c>
      <c r="X127" s="58">
        <f ca="1">Log_2020[[#This Row],[Amount]]/Log_2020[[#This Row],[Split_raw]]*MAX(0,MIN(_xlfn.DAYS(EDATE(X$1,1),Log_2020[[#This Row],[Date]]),Log_2020[[#This Row],[Split_apply]])) - SUM($O127:W127)</f>
        <v>0</v>
      </c>
      <c r="Y127" s="58">
        <f ca="1">Log_2020[[#This Row],[Amount]]/Log_2020[[#This Row],[Split_raw]]*MAX(0,MIN(_xlfn.DAYS(EDATE(Y$1,1),Log_2020[[#This Row],[Date]]),Log_2020[[#This Row],[Split_apply]])) - SUM($O127:X127)</f>
        <v>0</v>
      </c>
      <c r="Z127" s="58">
        <f ca="1">Log_2020[[#This Row],[Amount]]/Log_2020[[#This Row],[Split_raw]]*MAX(0,MIN(_xlfn.DAYS(EDATE(Z$1,1),Log_2020[[#This Row],[Date]]),Log_2020[[#This Row],[Split_apply]])) - SUM($O127:Y127)</f>
        <v>0</v>
      </c>
      <c r="AA127" s="58">
        <f ca="1">Log_2020[[#This Row],[Amount]]/Log_2020[[#This Row],[Split_raw]]*MAX(0,MIN(_xlfn.DAYS(EDATE(AA$1,1),Log_2020[[#This Row],[Date]]),Log_2020[[#This Row],[Split_apply]])) - SUM($O127:Z127)</f>
        <v>0</v>
      </c>
      <c r="AB127" s="85">
        <f ca="1">Log_2020[[#This Row],[Amount]]*Log_2020[[#This Row],[Split_apply]]/Log_2020[[#This Row],[Split_raw]]-SUM(O127:AA127)</f>
        <v>0</v>
      </c>
      <c r="AC127" s="74">
        <f>MAX(0,Log_2020[[#This Row],[Split_raw]] - (EDATE(AA$1,1)-Log_2020[[#This Row],[Date]]))</f>
        <v>0</v>
      </c>
    </row>
    <row r="128" spans="1:29" x14ac:dyDescent="0.25">
      <c r="A128" s="37"/>
      <c r="B128" s="34" t="s">
        <v>6</v>
      </c>
      <c r="C128" s="34"/>
      <c r="D128" s="35">
        <v>43878</v>
      </c>
      <c r="E128" s="34" t="s">
        <v>1061</v>
      </c>
      <c r="F128" s="34" t="s">
        <v>1054</v>
      </c>
      <c r="G128" s="34" t="s">
        <v>25</v>
      </c>
      <c r="H128">
        <v>-6.21</v>
      </c>
      <c r="I128" s="36">
        <f>IF(Log_2020[[#This Row],[My Category]]="NONTRACKED",0,Log_2020[[#This Row],[Raw Amount]])</f>
        <v>-6.21</v>
      </c>
      <c r="J128" s="37">
        <f>ABS(Log_2020[[#This Row],[Amount]])</f>
        <v>6.21</v>
      </c>
      <c r="K128" s="38">
        <v>1</v>
      </c>
      <c r="L128" s="38">
        <f ca="1">IF(Log_2020[[#This Row],[Date]]&lt;=TODAY(), MIN(Log_2020[[#This Row],[Split_raw]], TODAY()-Log_2020[[#This Row],[Date]]+1), 0)</f>
        <v>1</v>
      </c>
      <c r="M128" s="34" t="s">
        <v>38</v>
      </c>
      <c r="N128" s="34" t="s">
        <v>158</v>
      </c>
      <c r="O128" s="7"/>
      <c r="P128" s="58">
        <f ca="1">Log_2020[[#This Row],[Amount]]/Log_2020[[#This Row],[Split_raw]]*MAX(0,MIN(_xlfn.DAYS(EDATE(P$1,1),Log_2020[[#This Row],[Date]]),Log_2020[[#This Row],[Split_apply]])) - SUM($O128:O128)</f>
        <v>0</v>
      </c>
      <c r="Q128" s="58">
        <f ca="1">Log_2020[[#This Row],[Amount]]/Log_2020[[#This Row],[Split_raw]]*MAX(0,MIN(_xlfn.DAYS(EDATE(Q$1,1),Log_2020[[#This Row],[Date]]),Log_2020[[#This Row],[Split_apply]])) - SUM($O128:P128)</f>
        <v>-6.21</v>
      </c>
      <c r="R128" s="58">
        <f ca="1">Log_2020[[#This Row],[Amount]]/Log_2020[[#This Row],[Split_raw]]*MAX(0,MIN(_xlfn.DAYS(EDATE(R$1,1),Log_2020[[#This Row],[Date]]),Log_2020[[#This Row],[Split_apply]])) - SUM($O128:Q128)</f>
        <v>0</v>
      </c>
      <c r="S128" s="58">
        <f ca="1">Log_2020[[#This Row],[Amount]]/Log_2020[[#This Row],[Split_raw]]*MAX(0,MIN(_xlfn.DAYS(EDATE(S$1,1),Log_2020[[#This Row],[Date]]),Log_2020[[#This Row],[Split_apply]])) - SUM($O128:R128)</f>
        <v>0</v>
      </c>
      <c r="T128" s="58">
        <f ca="1">Log_2020[[#This Row],[Amount]]/Log_2020[[#This Row],[Split_raw]]*MAX(0,MIN(_xlfn.DAYS(EDATE(T$1,1),Log_2020[[#This Row],[Date]]),Log_2020[[#This Row],[Split_apply]])) - SUM($O128:S128)</f>
        <v>0</v>
      </c>
      <c r="U128" s="58">
        <f ca="1">Log_2020[[#This Row],[Amount]]/Log_2020[[#This Row],[Split_raw]]*MAX(0,MIN(_xlfn.DAYS(EDATE(U$1,1),Log_2020[[#This Row],[Date]]),Log_2020[[#This Row],[Split_apply]])) - SUM($O128:T128)</f>
        <v>0</v>
      </c>
      <c r="V128" s="58">
        <f ca="1">Log_2020[[#This Row],[Amount]]/Log_2020[[#This Row],[Split_raw]]*MAX(0,MIN(_xlfn.DAYS(EDATE(V$1,1),Log_2020[[#This Row],[Date]]),Log_2020[[#This Row],[Split_apply]])) - SUM($O128:U128)</f>
        <v>0</v>
      </c>
      <c r="W128" s="58">
        <f ca="1">Log_2020[[#This Row],[Amount]]/Log_2020[[#This Row],[Split_raw]]*MAX(0,MIN(_xlfn.DAYS(EDATE(W$1,1),Log_2020[[#This Row],[Date]]),Log_2020[[#This Row],[Split_apply]])) - SUM($O128:V128)</f>
        <v>0</v>
      </c>
      <c r="X128" s="58">
        <f ca="1">Log_2020[[#This Row],[Amount]]/Log_2020[[#This Row],[Split_raw]]*MAX(0,MIN(_xlfn.DAYS(EDATE(X$1,1),Log_2020[[#This Row],[Date]]),Log_2020[[#This Row],[Split_apply]])) - SUM($O128:W128)</f>
        <v>0</v>
      </c>
      <c r="Y128" s="58">
        <f ca="1">Log_2020[[#This Row],[Amount]]/Log_2020[[#This Row],[Split_raw]]*MAX(0,MIN(_xlfn.DAYS(EDATE(Y$1,1),Log_2020[[#This Row],[Date]]),Log_2020[[#This Row],[Split_apply]])) - SUM($O128:X128)</f>
        <v>0</v>
      </c>
      <c r="Z128" s="58">
        <f ca="1">Log_2020[[#This Row],[Amount]]/Log_2020[[#This Row],[Split_raw]]*MAX(0,MIN(_xlfn.DAYS(EDATE(Z$1,1),Log_2020[[#This Row],[Date]]),Log_2020[[#This Row],[Split_apply]])) - SUM($O128:Y128)</f>
        <v>0</v>
      </c>
      <c r="AA128" s="58">
        <f ca="1">Log_2020[[#This Row],[Amount]]/Log_2020[[#This Row],[Split_raw]]*MAX(0,MIN(_xlfn.DAYS(EDATE(AA$1,1),Log_2020[[#This Row],[Date]]),Log_2020[[#This Row],[Split_apply]])) - SUM($O128:Z128)</f>
        <v>0</v>
      </c>
      <c r="AB128" s="85">
        <f ca="1">Log_2020[[#This Row],[Amount]]*Log_2020[[#This Row],[Split_apply]]/Log_2020[[#This Row],[Split_raw]]-SUM(O128:AA128)</f>
        <v>0</v>
      </c>
      <c r="AC128" s="74">
        <f>MAX(0,Log_2020[[#This Row],[Split_raw]] - (EDATE(AA$1,1)-Log_2020[[#This Row],[Date]]))</f>
        <v>0</v>
      </c>
    </row>
    <row r="129" spans="1:29" x14ac:dyDescent="0.25">
      <c r="A129" s="37"/>
      <c r="B129" s="34" t="s">
        <v>6</v>
      </c>
      <c r="C129" s="34"/>
      <c r="D129" s="35">
        <v>43878</v>
      </c>
      <c r="E129" s="34"/>
      <c r="F129" s="34" t="s">
        <v>1055</v>
      </c>
      <c r="G129" s="34" t="s">
        <v>9</v>
      </c>
      <c r="H129">
        <v>-21.73</v>
      </c>
      <c r="I129" s="36">
        <f>IF(Log_2020[[#This Row],[My Category]]="NONTRACKED",0,Log_2020[[#This Row],[Raw Amount]])</f>
        <v>-21.73</v>
      </c>
      <c r="J129" s="37">
        <f>ABS(Log_2020[[#This Row],[Amount]])</f>
        <v>21.73</v>
      </c>
      <c r="K129" s="38">
        <v>1</v>
      </c>
      <c r="L129" s="38">
        <f ca="1">IF(Log_2020[[#This Row],[Date]]&lt;=TODAY(), MIN(Log_2020[[#This Row],[Split_raw]], TODAY()-Log_2020[[#This Row],[Date]]+1), 0)</f>
        <v>1</v>
      </c>
      <c r="M129" s="34" t="s">
        <v>41</v>
      </c>
      <c r="N129" s="34" t="s">
        <v>158</v>
      </c>
      <c r="O129" s="7"/>
      <c r="P129" s="58">
        <f ca="1">Log_2020[[#This Row],[Amount]]/Log_2020[[#This Row],[Split_raw]]*MAX(0,MIN(_xlfn.DAYS(EDATE(P$1,1),Log_2020[[#This Row],[Date]]),Log_2020[[#This Row],[Split_apply]])) - SUM($O129:O129)</f>
        <v>0</v>
      </c>
      <c r="Q129" s="58">
        <f ca="1">Log_2020[[#This Row],[Amount]]/Log_2020[[#This Row],[Split_raw]]*MAX(0,MIN(_xlfn.DAYS(EDATE(Q$1,1),Log_2020[[#This Row],[Date]]),Log_2020[[#This Row],[Split_apply]])) - SUM($O129:P129)</f>
        <v>-21.73</v>
      </c>
      <c r="R129" s="58">
        <f ca="1">Log_2020[[#This Row],[Amount]]/Log_2020[[#This Row],[Split_raw]]*MAX(0,MIN(_xlfn.DAYS(EDATE(R$1,1),Log_2020[[#This Row],[Date]]),Log_2020[[#This Row],[Split_apply]])) - SUM($O129:Q129)</f>
        <v>0</v>
      </c>
      <c r="S129" s="58">
        <f ca="1">Log_2020[[#This Row],[Amount]]/Log_2020[[#This Row],[Split_raw]]*MAX(0,MIN(_xlfn.DAYS(EDATE(S$1,1),Log_2020[[#This Row],[Date]]),Log_2020[[#This Row],[Split_apply]])) - SUM($O129:R129)</f>
        <v>0</v>
      </c>
      <c r="T129" s="58">
        <f ca="1">Log_2020[[#This Row],[Amount]]/Log_2020[[#This Row],[Split_raw]]*MAX(0,MIN(_xlfn.DAYS(EDATE(T$1,1),Log_2020[[#This Row],[Date]]),Log_2020[[#This Row],[Split_apply]])) - SUM($O129:S129)</f>
        <v>0</v>
      </c>
      <c r="U129" s="58">
        <f ca="1">Log_2020[[#This Row],[Amount]]/Log_2020[[#This Row],[Split_raw]]*MAX(0,MIN(_xlfn.DAYS(EDATE(U$1,1),Log_2020[[#This Row],[Date]]),Log_2020[[#This Row],[Split_apply]])) - SUM($O129:T129)</f>
        <v>0</v>
      </c>
      <c r="V129" s="58">
        <f ca="1">Log_2020[[#This Row],[Amount]]/Log_2020[[#This Row],[Split_raw]]*MAX(0,MIN(_xlfn.DAYS(EDATE(V$1,1),Log_2020[[#This Row],[Date]]),Log_2020[[#This Row],[Split_apply]])) - SUM($O129:U129)</f>
        <v>0</v>
      </c>
      <c r="W129" s="58">
        <f ca="1">Log_2020[[#This Row],[Amount]]/Log_2020[[#This Row],[Split_raw]]*MAX(0,MIN(_xlfn.DAYS(EDATE(W$1,1),Log_2020[[#This Row],[Date]]),Log_2020[[#This Row],[Split_apply]])) - SUM($O129:V129)</f>
        <v>0</v>
      </c>
      <c r="X129" s="58">
        <f ca="1">Log_2020[[#This Row],[Amount]]/Log_2020[[#This Row],[Split_raw]]*MAX(0,MIN(_xlfn.DAYS(EDATE(X$1,1),Log_2020[[#This Row],[Date]]),Log_2020[[#This Row],[Split_apply]])) - SUM($O129:W129)</f>
        <v>0</v>
      </c>
      <c r="Y129" s="58">
        <f ca="1">Log_2020[[#This Row],[Amount]]/Log_2020[[#This Row],[Split_raw]]*MAX(0,MIN(_xlfn.DAYS(EDATE(Y$1,1),Log_2020[[#This Row],[Date]]),Log_2020[[#This Row],[Split_apply]])) - SUM($O129:X129)</f>
        <v>0</v>
      </c>
      <c r="Z129" s="58">
        <f ca="1">Log_2020[[#This Row],[Amount]]/Log_2020[[#This Row],[Split_raw]]*MAX(0,MIN(_xlfn.DAYS(EDATE(Z$1,1),Log_2020[[#This Row],[Date]]),Log_2020[[#This Row],[Split_apply]])) - SUM($O129:Y129)</f>
        <v>0</v>
      </c>
      <c r="AA129" s="58">
        <f ca="1">Log_2020[[#This Row],[Amount]]/Log_2020[[#This Row],[Split_raw]]*MAX(0,MIN(_xlfn.DAYS(EDATE(AA$1,1),Log_2020[[#This Row],[Date]]),Log_2020[[#This Row],[Split_apply]])) - SUM($O129:Z129)</f>
        <v>0</v>
      </c>
      <c r="AB129" s="85">
        <f ca="1">Log_2020[[#This Row],[Amount]]*Log_2020[[#This Row],[Split_apply]]/Log_2020[[#This Row],[Split_raw]]-SUM(O129:AA129)</f>
        <v>0</v>
      </c>
      <c r="AC129" s="74">
        <f>MAX(0,Log_2020[[#This Row],[Split_raw]] - (EDATE(AA$1,1)-Log_2020[[#This Row],[Date]]))</f>
        <v>0</v>
      </c>
    </row>
    <row r="130" spans="1:29" x14ac:dyDescent="0.25">
      <c r="A130" s="37"/>
      <c r="B130" s="34" t="s">
        <v>6</v>
      </c>
      <c r="C130" s="34"/>
      <c r="D130" s="35">
        <v>43878</v>
      </c>
      <c r="E130" s="34" t="s">
        <v>1061</v>
      </c>
      <c r="F130" s="34" t="s">
        <v>1056</v>
      </c>
      <c r="G130" s="34" t="s">
        <v>27</v>
      </c>
      <c r="H130">
        <v>-29.04</v>
      </c>
      <c r="I130" s="36">
        <f>IF(Log_2020[[#This Row],[My Category]]="NONTRACKED",0,Log_2020[[#This Row],[Raw Amount]])</f>
        <v>-29.04</v>
      </c>
      <c r="J130" s="37">
        <f>ABS(Log_2020[[#This Row],[Amount]])</f>
        <v>29.04</v>
      </c>
      <c r="K130" s="38">
        <v>1</v>
      </c>
      <c r="L130" s="38">
        <f ca="1">IF(Log_2020[[#This Row],[Date]]&lt;=TODAY(), MIN(Log_2020[[#This Row],[Split_raw]], TODAY()-Log_2020[[#This Row],[Date]]+1), 0)</f>
        <v>1</v>
      </c>
      <c r="M130" s="34" t="s">
        <v>38</v>
      </c>
      <c r="N130" s="34" t="s">
        <v>158</v>
      </c>
      <c r="O130" s="7"/>
      <c r="P130" s="58">
        <f ca="1">Log_2020[[#This Row],[Amount]]/Log_2020[[#This Row],[Split_raw]]*MAX(0,MIN(_xlfn.DAYS(EDATE(P$1,1),Log_2020[[#This Row],[Date]]),Log_2020[[#This Row],[Split_apply]])) - SUM($O130:O130)</f>
        <v>0</v>
      </c>
      <c r="Q130" s="58">
        <f ca="1">Log_2020[[#This Row],[Amount]]/Log_2020[[#This Row],[Split_raw]]*MAX(0,MIN(_xlfn.DAYS(EDATE(Q$1,1),Log_2020[[#This Row],[Date]]),Log_2020[[#This Row],[Split_apply]])) - SUM($O130:P130)</f>
        <v>-29.04</v>
      </c>
      <c r="R130" s="58">
        <f ca="1">Log_2020[[#This Row],[Amount]]/Log_2020[[#This Row],[Split_raw]]*MAX(0,MIN(_xlfn.DAYS(EDATE(R$1,1),Log_2020[[#This Row],[Date]]),Log_2020[[#This Row],[Split_apply]])) - SUM($O130:Q130)</f>
        <v>0</v>
      </c>
      <c r="S130" s="58">
        <f ca="1">Log_2020[[#This Row],[Amount]]/Log_2020[[#This Row],[Split_raw]]*MAX(0,MIN(_xlfn.DAYS(EDATE(S$1,1),Log_2020[[#This Row],[Date]]),Log_2020[[#This Row],[Split_apply]])) - SUM($O130:R130)</f>
        <v>0</v>
      </c>
      <c r="T130" s="58">
        <f ca="1">Log_2020[[#This Row],[Amount]]/Log_2020[[#This Row],[Split_raw]]*MAX(0,MIN(_xlfn.DAYS(EDATE(T$1,1),Log_2020[[#This Row],[Date]]),Log_2020[[#This Row],[Split_apply]])) - SUM($O130:S130)</f>
        <v>0</v>
      </c>
      <c r="U130" s="58">
        <f ca="1">Log_2020[[#This Row],[Amount]]/Log_2020[[#This Row],[Split_raw]]*MAX(0,MIN(_xlfn.DAYS(EDATE(U$1,1),Log_2020[[#This Row],[Date]]),Log_2020[[#This Row],[Split_apply]])) - SUM($O130:T130)</f>
        <v>0</v>
      </c>
      <c r="V130" s="58">
        <f ca="1">Log_2020[[#This Row],[Amount]]/Log_2020[[#This Row],[Split_raw]]*MAX(0,MIN(_xlfn.DAYS(EDATE(V$1,1),Log_2020[[#This Row],[Date]]),Log_2020[[#This Row],[Split_apply]])) - SUM($O130:U130)</f>
        <v>0</v>
      </c>
      <c r="W130" s="58">
        <f ca="1">Log_2020[[#This Row],[Amount]]/Log_2020[[#This Row],[Split_raw]]*MAX(0,MIN(_xlfn.DAYS(EDATE(W$1,1),Log_2020[[#This Row],[Date]]),Log_2020[[#This Row],[Split_apply]])) - SUM($O130:V130)</f>
        <v>0</v>
      </c>
      <c r="X130" s="58">
        <f ca="1">Log_2020[[#This Row],[Amount]]/Log_2020[[#This Row],[Split_raw]]*MAX(0,MIN(_xlfn.DAYS(EDATE(X$1,1),Log_2020[[#This Row],[Date]]),Log_2020[[#This Row],[Split_apply]])) - SUM($O130:W130)</f>
        <v>0</v>
      </c>
      <c r="Y130" s="58">
        <f ca="1">Log_2020[[#This Row],[Amount]]/Log_2020[[#This Row],[Split_raw]]*MAX(0,MIN(_xlfn.DAYS(EDATE(Y$1,1),Log_2020[[#This Row],[Date]]),Log_2020[[#This Row],[Split_apply]])) - SUM($O130:X130)</f>
        <v>0</v>
      </c>
      <c r="Z130" s="58">
        <f ca="1">Log_2020[[#This Row],[Amount]]/Log_2020[[#This Row],[Split_raw]]*MAX(0,MIN(_xlfn.DAYS(EDATE(Z$1,1),Log_2020[[#This Row],[Date]]),Log_2020[[#This Row],[Split_apply]])) - SUM($O130:Y130)</f>
        <v>0</v>
      </c>
      <c r="AA130" s="58">
        <f ca="1">Log_2020[[#This Row],[Amount]]/Log_2020[[#This Row],[Split_raw]]*MAX(0,MIN(_xlfn.DAYS(EDATE(AA$1,1),Log_2020[[#This Row],[Date]]),Log_2020[[#This Row],[Split_apply]])) - SUM($O130:Z130)</f>
        <v>0</v>
      </c>
      <c r="AB130" s="85">
        <f ca="1">Log_2020[[#This Row],[Amount]]*Log_2020[[#This Row],[Split_apply]]/Log_2020[[#This Row],[Split_raw]]-SUM(O130:AA130)</f>
        <v>0</v>
      </c>
      <c r="AC130" s="74">
        <f>MAX(0,Log_2020[[#This Row],[Split_raw]] - (EDATE(AA$1,1)-Log_2020[[#This Row],[Date]]))</f>
        <v>0</v>
      </c>
    </row>
    <row r="131" spans="1:29" x14ac:dyDescent="0.25">
      <c r="A131" s="37"/>
      <c r="B131" s="34" t="s">
        <v>6</v>
      </c>
      <c r="C131" s="34"/>
      <c r="D131" s="35">
        <v>43875</v>
      </c>
      <c r="E131" s="34"/>
      <c r="F131" s="34" t="s">
        <v>242</v>
      </c>
      <c r="G131" s="34" t="s">
        <v>749</v>
      </c>
      <c r="H131">
        <f>--8.79</f>
        <v>8.7899999999999991</v>
      </c>
      <c r="I131" s="36">
        <f>IF(Log_2020[[#This Row],[My Category]]="NONTRACKED",0,Log_2020[[#This Row],[Raw Amount]])</f>
        <v>8.7899999999999991</v>
      </c>
      <c r="J131" s="37">
        <f>ABS(Log_2020[[#This Row],[Amount]])</f>
        <v>8.7899999999999991</v>
      </c>
      <c r="K131" s="38">
        <v>1</v>
      </c>
      <c r="L131" s="38">
        <f ca="1">IF(Log_2020[[#This Row],[Date]]&lt;=TODAY(), MIN(Log_2020[[#This Row],[Split_raw]], TODAY()-Log_2020[[#This Row],[Date]]+1), 0)</f>
        <v>1</v>
      </c>
      <c r="M131" s="34" t="s">
        <v>144</v>
      </c>
      <c r="N131" s="34" t="s">
        <v>160</v>
      </c>
      <c r="O131" s="7"/>
      <c r="P131" s="37">
        <f ca="1">Log_2020[[#This Row],[Amount]]/Log_2020[[#This Row],[Split_raw]]*MAX(0,MIN(_xlfn.DAYS(EDATE(P$1,1),Log_2020[[#This Row],[Date]]),Log_2020[[#This Row],[Split_apply]])) - SUM($O131:O131)</f>
        <v>0</v>
      </c>
      <c r="Q131" s="37">
        <f ca="1">Log_2020[[#This Row],[Amount]]/Log_2020[[#This Row],[Split_raw]]*MAX(0,MIN(_xlfn.DAYS(EDATE(Q$1,1),Log_2020[[#This Row],[Date]]),Log_2020[[#This Row],[Split_apply]])) - SUM($O131:P131)</f>
        <v>8.7899999999999991</v>
      </c>
      <c r="R131" s="37">
        <f ca="1">Log_2020[[#This Row],[Amount]]/Log_2020[[#This Row],[Split_raw]]*MAX(0,MIN(_xlfn.DAYS(EDATE(R$1,1),Log_2020[[#This Row],[Date]]),Log_2020[[#This Row],[Split_apply]])) - SUM($O131:Q131)</f>
        <v>0</v>
      </c>
      <c r="S131" s="37">
        <f ca="1">Log_2020[[#This Row],[Amount]]/Log_2020[[#This Row],[Split_raw]]*MAX(0,MIN(_xlfn.DAYS(EDATE(S$1,1),Log_2020[[#This Row],[Date]]),Log_2020[[#This Row],[Split_apply]])) - SUM($O131:R131)</f>
        <v>0</v>
      </c>
      <c r="T131" s="37">
        <f ca="1">Log_2020[[#This Row],[Amount]]/Log_2020[[#This Row],[Split_raw]]*MAX(0,MIN(_xlfn.DAYS(EDATE(T$1,1),Log_2020[[#This Row],[Date]]),Log_2020[[#This Row],[Split_apply]])) - SUM($O131:S131)</f>
        <v>0</v>
      </c>
      <c r="U131" s="37">
        <f ca="1">Log_2020[[#This Row],[Amount]]/Log_2020[[#This Row],[Split_raw]]*MAX(0,MIN(_xlfn.DAYS(EDATE(U$1,1),Log_2020[[#This Row],[Date]]),Log_2020[[#This Row],[Split_apply]])) - SUM($O131:T131)</f>
        <v>0</v>
      </c>
      <c r="V131" s="37">
        <f ca="1">Log_2020[[#This Row],[Amount]]/Log_2020[[#This Row],[Split_raw]]*MAX(0,MIN(_xlfn.DAYS(EDATE(V$1,1),Log_2020[[#This Row],[Date]]),Log_2020[[#This Row],[Split_apply]])) - SUM($O131:U131)</f>
        <v>0</v>
      </c>
      <c r="W131" s="37">
        <f ca="1">Log_2020[[#This Row],[Amount]]/Log_2020[[#This Row],[Split_raw]]*MAX(0,MIN(_xlfn.DAYS(EDATE(W$1,1),Log_2020[[#This Row],[Date]]),Log_2020[[#This Row],[Split_apply]])) - SUM($O131:V131)</f>
        <v>0</v>
      </c>
      <c r="X131" s="37">
        <f ca="1">Log_2020[[#This Row],[Amount]]/Log_2020[[#This Row],[Split_raw]]*MAX(0,MIN(_xlfn.DAYS(EDATE(X$1,1),Log_2020[[#This Row],[Date]]),Log_2020[[#This Row],[Split_apply]])) - SUM($O131:W131)</f>
        <v>0</v>
      </c>
      <c r="Y131" s="37">
        <f ca="1">Log_2020[[#This Row],[Amount]]/Log_2020[[#This Row],[Split_raw]]*MAX(0,MIN(_xlfn.DAYS(EDATE(Y$1,1),Log_2020[[#This Row],[Date]]),Log_2020[[#This Row],[Split_apply]])) - SUM($O131:X131)</f>
        <v>0</v>
      </c>
      <c r="Z131" s="37">
        <f ca="1">Log_2020[[#This Row],[Amount]]/Log_2020[[#This Row],[Split_raw]]*MAX(0,MIN(_xlfn.DAYS(EDATE(Z$1,1),Log_2020[[#This Row],[Date]]),Log_2020[[#This Row],[Split_apply]])) - SUM($O131:Y131)</f>
        <v>0</v>
      </c>
      <c r="AA131" s="37">
        <f ca="1">Log_2020[[#This Row],[Amount]]/Log_2020[[#This Row],[Split_raw]]*MAX(0,MIN(_xlfn.DAYS(EDATE(AA$1,1),Log_2020[[#This Row],[Date]]),Log_2020[[#This Row],[Split_apply]])) - SUM($O131:Z131)</f>
        <v>0</v>
      </c>
      <c r="AB131" s="59">
        <f ca="1">Log_2020[[#This Row],[Amount]]*Log_2020[[#This Row],[Split_apply]]/Log_2020[[#This Row],[Split_raw]]-SUM(O131:AA131)</f>
        <v>0</v>
      </c>
      <c r="AC131" s="7">
        <f>MAX(0,Log_2020[[#This Row],[Split_raw]] - (EDATE(AA$1,1)-Log_2020[[#This Row],[Date]]))</f>
        <v>0</v>
      </c>
    </row>
    <row r="132" spans="1:29" x14ac:dyDescent="0.25">
      <c r="A132" s="37"/>
      <c r="B132" s="34" t="s">
        <v>6</v>
      </c>
      <c r="C132" s="34"/>
      <c r="D132" s="35">
        <v>43875</v>
      </c>
      <c r="E132" s="34"/>
      <c r="F132" s="34" t="s">
        <v>255</v>
      </c>
      <c r="G132" s="34" t="s">
        <v>12</v>
      </c>
      <c r="H132">
        <v>-22.26</v>
      </c>
      <c r="I132" s="36">
        <f>IF(Log_2020[[#This Row],[My Category]]="NONTRACKED",0,Log_2020[[#This Row],[Raw Amount]])</f>
        <v>-22.26</v>
      </c>
      <c r="J132" s="37">
        <f>ABS(Log_2020[[#This Row],[Amount]])</f>
        <v>22.26</v>
      </c>
      <c r="K132" s="38">
        <v>1</v>
      </c>
      <c r="L132" s="38">
        <f ca="1">IF(Log_2020[[#This Row],[Date]]&lt;=TODAY(), MIN(Log_2020[[#This Row],[Split_raw]], TODAY()-Log_2020[[#This Row],[Date]]+1), 0)</f>
        <v>1</v>
      </c>
      <c r="M132" s="34" t="s">
        <v>52</v>
      </c>
      <c r="N132" s="34" t="s">
        <v>158</v>
      </c>
      <c r="O132" s="7"/>
      <c r="P132" s="58">
        <f ca="1">Log_2020[[#This Row],[Amount]]/Log_2020[[#This Row],[Split_raw]]*MAX(0,MIN(_xlfn.DAYS(EDATE(P$1,1),Log_2020[[#This Row],[Date]]),Log_2020[[#This Row],[Split_apply]])) - SUM($O132:O132)</f>
        <v>0</v>
      </c>
      <c r="Q132" s="58">
        <f ca="1">Log_2020[[#This Row],[Amount]]/Log_2020[[#This Row],[Split_raw]]*MAX(0,MIN(_xlfn.DAYS(EDATE(Q$1,1),Log_2020[[#This Row],[Date]]),Log_2020[[#This Row],[Split_apply]])) - SUM($O132:P132)</f>
        <v>-22.26</v>
      </c>
      <c r="R132" s="58">
        <f ca="1">Log_2020[[#This Row],[Amount]]/Log_2020[[#This Row],[Split_raw]]*MAX(0,MIN(_xlfn.DAYS(EDATE(R$1,1),Log_2020[[#This Row],[Date]]),Log_2020[[#This Row],[Split_apply]])) - SUM($O132:Q132)</f>
        <v>0</v>
      </c>
      <c r="S132" s="58">
        <f ca="1">Log_2020[[#This Row],[Amount]]/Log_2020[[#This Row],[Split_raw]]*MAX(0,MIN(_xlfn.DAYS(EDATE(S$1,1),Log_2020[[#This Row],[Date]]),Log_2020[[#This Row],[Split_apply]])) - SUM($O132:R132)</f>
        <v>0</v>
      </c>
      <c r="T132" s="58">
        <f ca="1">Log_2020[[#This Row],[Amount]]/Log_2020[[#This Row],[Split_raw]]*MAX(0,MIN(_xlfn.DAYS(EDATE(T$1,1),Log_2020[[#This Row],[Date]]),Log_2020[[#This Row],[Split_apply]])) - SUM($O132:S132)</f>
        <v>0</v>
      </c>
      <c r="U132" s="58">
        <f ca="1">Log_2020[[#This Row],[Amount]]/Log_2020[[#This Row],[Split_raw]]*MAX(0,MIN(_xlfn.DAYS(EDATE(U$1,1),Log_2020[[#This Row],[Date]]),Log_2020[[#This Row],[Split_apply]])) - SUM($O132:T132)</f>
        <v>0</v>
      </c>
      <c r="V132" s="58">
        <f ca="1">Log_2020[[#This Row],[Amount]]/Log_2020[[#This Row],[Split_raw]]*MAX(0,MIN(_xlfn.DAYS(EDATE(V$1,1),Log_2020[[#This Row],[Date]]),Log_2020[[#This Row],[Split_apply]])) - SUM($O132:U132)</f>
        <v>0</v>
      </c>
      <c r="W132" s="58">
        <f ca="1">Log_2020[[#This Row],[Amount]]/Log_2020[[#This Row],[Split_raw]]*MAX(0,MIN(_xlfn.DAYS(EDATE(W$1,1),Log_2020[[#This Row],[Date]]),Log_2020[[#This Row],[Split_apply]])) - SUM($O132:V132)</f>
        <v>0</v>
      </c>
      <c r="X132" s="58">
        <f ca="1">Log_2020[[#This Row],[Amount]]/Log_2020[[#This Row],[Split_raw]]*MAX(0,MIN(_xlfn.DAYS(EDATE(X$1,1),Log_2020[[#This Row],[Date]]),Log_2020[[#This Row],[Split_apply]])) - SUM($O132:W132)</f>
        <v>0</v>
      </c>
      <c r="Y132" s="58">
        <f ca="1">Log_2020[[#This Row],[Amount]]/Log_2020[[#This Row],[Split_raw]]*MAX(0,MIN(_xlfn.DAYS(EDATE(Y$1,1),Log_2020[[#This Row],[Date]]),Log_2020[[#This Row],[Split_apply]])) - SUM($O132:X132)</f>
        <v>0</v>
      </c>
      <c r="Z132" s="58">
        <f ca="1">Log_2020[[#This Row],[Amount]]/Log_2020[[#This Row],[Split_raw]]*MAX(0,MIN(_xlfn.DAYS(EDATE(Z$1,1),Log_2020[[#This Row],[Date]]),Log_2020[[#This Row],[Split_apply]])) - SUM($O132:Y132)</f>
        <v>0</v>
      </c>
      <c r="AA132" s="58">
        <f ca="1">Log_2020[[#This Row],[Amount]]/Log_2020[[#This Row],[Split_raw]]*MAX(0,MIN(_xlfn.DAYS(EDATE(AA$1,1),Log_2020[[#This Row],[Date]]),Log_2020[[#This Row],[Split_apply]])) - SUM($O132:Z132)</f>
        <v>0</v>
      </c>
      <c r="AB132" s="85">
        <f ca="1">Log_2020[[#This Row],[Amount]]*Log_2020[[#This Row],[Split_apply]]/Log_2020[[#This Row],[Split_raw]]-SUM(O132:AA132)</f>
        <v>0</v>
      </c>
      <c r="AC132" s="74">
        <f>MAX(0,Log_2020[[#This Row],[Split_raw]] - (EDATE(AA$1,1)-Log_2020[[#This Row],[Date]]))</f>
        <v>0</v>
      </c>
    </row>
    <row r="133" spans="1:29" x14ac:dyDescent="0.25">
      <c r="A133" s="37"/>
      <c r="B133" s="34" t="s">
        <v>6</v>
      </c>
      <c r="C133" s="34"/>
      <c r="D133" s="35">
        <v>43875</v>
      </c>
      <c r="E133" s="34"/>
      <c r="F133" s="34" t="s">
        <v>255</v>
      </c>
      <c r="G133" s="34" t="s">
        <v>12</v>
      </c>
      <c r="H133">
        <v>-10.48</v>
      </c>
      <c r="I133" s="36">
        <f>IF(Log_2020[[#This Row],[My Category]]="NONTRACKED",0,Log_2020[[#This Row],[Raw Amount]])</f>
        <v>-10.48</v>
      </c>
      <c r="J133" s="37">
        <f>ABS(Log_2020[[#This Row],[Amount]])</f>
        <v>10.48</v>
      </c>
      <c r="K133" s="38">
        <v>1</v>
      </c>
      <c r="L133" s="38">
        <f ca="1">IF(Log_2020[[#This Row],[Date]]&lt;=TODAY(), MIN(Log_2020[[#This Row],[Split_raw]], TODAY()-Log_2020[[#This Row],[Date]]+1), 0)</f>
        <v>1</v>
      </c>
      <c r="M133" s="34" t="s">
        <v>35</v>
      </c>
      <c r="N133" s="34" t="s">
        <v>158</v>
      </c>
      <c r="O133" s="7"/>
      <c r="P133" s="58">
        <f ca="1">Log_2020[[#This Row],[Amount]]/Log_2020[[#This Row],[Split_raw]]*MAX(0,MIN(_xlfn.DAYS(EDATE(P$1,1),Log_2020[[#This Row],[Date]]),Log_2020[[#This Row],[Split_apply]])) - SUM($O133:O133)</f>
        <v>0</v>
      </c>
      <c r="Q133" s="58">
        <f ca="1">Log_2020[[#This Row],[Amount]]/Log_2020[[#This Row],[Split_raw]]*MAX(0,MIN(_xlfn.DAYS(EDATE(Q$1,1),Log_2020[[#This Row],[Date]]),Log_2020[[#This Row],[Split_apply]])) - SUM($O133:P133)</f>
        <v>-10.48</v>
      </c>
      <c r="R133" s="58">
        <f ca="1">Log_2020[[#This Row],[Amount]]/Log_2020[[#This Row],[Split_raw]]*MAX(0,MIN(_xlfn.DAYS(EDATE(R$1,1),Log_2020[[#This Row],[Date]]),Log_2020[[#This Row],[Split_apply]])) - SUM($O133:Q133)</f>
        <v>0</v>
      </c>
      <c r="S133" s="58">
        <f ca="1">Log_2020[[#This Row],[Amount]]/Log_2020[[#This Row],[Split_raw]]*MAX(0,MIN(_xlfn.DAYS(EDATE(S$1,1),Log_2020[[#This Row],[Date]]),Log_2020[[#This Row],[Split_apply]])) - SUM($O133:R133)</f>
        <v>0</v>
      </c>
      <c r="T133" s="58">
        <f ca="1">Log_2020[[#This Row],[Amount]]/Log_2020[[#This Row],[Split_raw]]*MAX(0,MIN(_xlfn.DAYS(EDATE(T$1,1),Log_2020[[#This Row],[Date]]),Log_2020[[#This Row],[Split_apply]])) - SUM($O133:S133)</f>
        <v>0</v>
      </c>
      <c r="U133" s="58">
        <f ca="1">Log_2020[[#This Row],[Amount]]/Log_2020[[#This Row],[Split_raw]]*MAX(0,MIN(_xlfn.DAYS(EDATE(U$1,1),Log_2020[[#This Row],[Date]]),Log_2020[[#This Row],[Split_apply]])) - SUM($O133:T133)</f>
        <v>0</v>
      </c>
      <c r="V133" s="58">
        <f ca="1">Log_2020[[#This Row],[Amount]]/Log_2020[[#This Row],[Split_raw]]*MAX(0,MIN(_xlfn.DAYS(EDATE(V$1,1),Log_2020[[#This Row],[Date]]),Log_2020[[#This Row],[Split_apply]])) - SUM($O133:U133)</f>
        <v>0</v>
      </c>
      <c r="W133" s="58">
        <f ca="1">Log_2020[[#This Row],[Amount]]/Log_2020[[#This Row],[Split_raw]]*MAX(0,MIN(_xlfn.DAYS(EDATE(W$1,1),Log_2020[[#This Row],[Date]]),Log_2020[[#This Row],[Split_apply]])) - SUM($O133:V133)</f>
        <v>0</v>
      </c>
      <c r="X133" s="58">
        <f ca="1">Log_2020[[#This Row],[Amount]]/Log_2020[[#This Row],[Split_raw]]*MAX(0,MIN(_xlfn.DAYS(EDATE(X$1,1),Log_2020[[#This Row],[Date]]),Log_2020[[#This Row],[Split_apply]])) - SUM($O133:W133)</f>
        <v>0</v>
      </c>
      <c r="Y133" s="58">
        <f ca="1">Log_2020[[#This Row],[Amount]]/Log_2020[[#This Row],[Split_raw]]*MAX(0,MIN(_xlfn.DAYS(EDATE(Y$1,1),Log_2020[[#This Row],[Date]]),Log_2020[[#This Row],[Split_apply]])) - SUM($O133:X133)</f>
        <v>0</v>
      </c>
      <c r="Z133" s="58">
        <f ca="1">Log_2020[[#This Row],[Amount]]/Log_2020[[#This Row],[Split_raw]]*MAX(0,MIN(_xlfn.DAYS(EDATE(Z$1,1),Log_2020[[#This Row],[Date]]),Log_2020[[#This Row],[Split_apply]])) - SUM($O133:Y133)</f>
        <v>0</v>
      </c>
      <c r="AA133" s="58">
        <f ca="1">Log_2020[[#This Row],[Amount]]/Log_2020[[#This Row],[Split_raw]]*MAX(0,MIN(_xlfn.DAYS(EDATE(AA$1,1),Log_2020[[#This Row],[Date]]),Log_2020[[#This Row],[Split_apply]])) - SUM($O133:Z133)</f>
        <v>0</v>
      </c>
      <c r="AB133" s="85">
        <f ca="1">Log_2020[[#This Row],[Amount]]*Log_2020[[#This Row],[Split_apply]]/Log_2020[[#This Row],[Split_raw]]-SUM(O133:AA133)</f>
        <v>0</v>
      </c>
      <c r="AC133" s="74">
        <f>MAX(0,Log_2020[[#This Row],[Split_raw]] - (EDATE(AA$1,1)-Log_2020[[#This Row],[Date]]))</f>
        <v>0</v>
      </c>
    </row>
    <row r="134" spans="1:29" x14ac:dyDescent="0.25">
      <c r="A134" s="37"/>
      <c r="B134" s="34" t="s">
        <v>6</v>
      </c>
      <c r="C134" s="34"/>
      <c r="D134" s="35">
        <v>43874</v>
      </c>
      <c r="E134" s="34"/>
      <c r="F134" s="34" t="s">
        <v>894</v>
      </c>
      <c r="G134" s="34" t="s">
        <v>586</v>
      </c>
      <c r="H134">
        <v>-499</v>
      </c>
      <c r="I134" s="36">
        <f>IF(Log_2020[[#This Row],[My Category]]="NONTRACKED",0,Log_2020[[#This Row],[Raw Amount]])</f>
        <v>-499</v>
      </c>
      <c r="J134" s="37">
        <f>ABS(Log_2020[[#This Row],[Amount]])</f>
        <v>499</v>
      </c>
      <c r="K134" s="38">
        <v>1</v>
      </c>
      <c r="L134" s="38">
        <f ca="1">IF(Log_2020[[#This Row],[Date]]&lt;=TODAY(), MIN(Log_2020[[#This Row],[Split_raw]], TODAY()-Log_2020[[#This Row],[Date]]+1), 0)</f>
        <v>1</v>
      </c>
      <c r="M134" s="34" t="s">
        <v>34</v>
      </c>
      <c r="N134" s="34" t="s">
        <v>160</v>
      </c>
      <c r="O134" s="7"/>
      <c r="P134" s="37">
        <f ca="1">Log_2020[[#This Row],[Amount]]/Log_2020[[#This Row],[Split_raw]]*MAX(0,MIN(_xlfn.DAYS(EDATE(P$1,1),Log_2020[[#This Row],[Date]]),Log_2020[[#This Row],[Split_apply]])) - SUM($O134:O134)</f>
        <v>0</v>
      </c>
      <c r="Q134" s="37">
        <f ca="1">Log_2020[[#This Row],[Amount]]/Log_2020[[#This Row],[Split_raw]]*MAX(0,MIN(_xlfn.DAYS(EDATE(Q$1,1),Log_2020[[#This Row],[Date]]),Log_2020[[#This Row],[Split_apply]])) - SUM($O134:P134)</f>
        <v>-499</v>
      </c>
      <c r="R134" s="37">
        <f ca="1">Log_2020[[#This Row],[Amount]]/Log_2020[[#This Row],[Split_raw]]*MAX(0,MIN(_xlfn.DAYS(EDATE(R$1,1),Log_2020[[#This Row],[Date]]),Log_2020[[#This Row],[Split_apply]])) - SUM($O134:Q134)</f>
        <v>0</v>
      </c>
      <c r="S134" s="37">
        <f ca="1">Log_2020[[#This Row],[Amount]]/Log_2020[[#This Row],[Split_raw]]*MAX(0,MIN(_xlfn.DAYS(EDATE(S$1,1),Log_2020[[#This Row],[Date]]),Log_2020[[#This Row],[Split_apply]])) - SUM($O134:R134)</f>
        <v>0</v>
      </c>
      <c r="T134" s="37">
        <f ca="1">Log_2020[[#This Row],[Amount]]/Log_2020[[#This Row],[Split_raw]]*MAX(0,MIN(_xlfn.DAYS(EDATE(T$1,1),Log_2020[[#This Row],[Date]]),Log_2020[[#This Row],[Split_apply]])) - SUM($O134:S134)</f>
        <v>0</v>
      </c>
      <c r="U134" s="37">
        <f ca="1">Log_2020[[#This Row],[Amount]]/Log_2020[[#This Row],[Split_raw]]*MAX(0,MIN(_xlfn.DAYS(EDATE(U$1,1),Log_2020[[#This Row],[Date]]),Log_2020[[#This Row],[Split_apply]])) - SUM($O134:T134)</f>
        <v>0</v>
      </c>
      <c r="V134" s="37">
        <f ca="1">Log_2020[[#This Row],[Amount]]/Log_2020[[#This Row],[Split_raw]]*MAX(0,MIN(_xlfn.DAYS(EDATE(V$1,1),Log_2020[[#This Row],[Date]]),Log_2020[[#This Row],[Split_apply]])) - SUM($O134:U134)</f>
        <v>0</v>
      </c>
      <c r="W134" s="37">
        <f ca="1">Log_2020[[#This Row],[Amount]]/Log_2020[[#This Row],[Split_raw]]*MAX(0,MIN(_xlfn.DAYS(EDATE(W$1,1),Log_2020[[#This Row],[Date]]),Log_2020[[#This Row],[Split_apply]])) - SUM($O134:V134)</f>
        <v>0</v>
      </c>
      <c r="X134" s="37">
        <f ca="1">Log_2020[[#This Row],[Amount]]/Log_2020[[#This Row],[Split_raw]]*MAX(0,MIN(_xlfn.DAYS(EDATE(X$1,1),Log_2020[[#This Row],[Date]]),Log_2020[[#This Row],[Split_apply]])) - SUM($O134:W134)</f>
        <v>0</v>
      </c>
      <c r="Y134" s="37">
        <f ca="1">Log_2020[[#This Row],[Amount]]/Log_2020[[#This Row],[Split_raw]]*MAX(0,MIN(_xlfn.DAYS(EDATE(Y$1,1),Log_2020[[#This Row],[Date]]),Log_2020[[#This Row],[Split_apply]])) - SUM($O134:X134)</f>
        <v>0</v>
      </c>
      <c r="Z134" s="37">
        <f ca="1">Log_2020[[#This Row],[Amount]]/Log_2020[[#This Row],[Split_raw]]*MAX(0,MIN(_xlfn.DAYS(EDATE(Z$1,1),Log_2020[[#This Row],[Date]]),Log_2020[[#This Row],[Split_apply]])) - SUM($O134:Y134)</f>
        <v>0</v>
      </c>
      <c r="AA134" s="37">
        <f ca="1">Log_2020[[#This Row],[Amount]]/Log_2020[[#This Row],[Split_raw]]*MAX(0,MIN(_xlfn.DAYS(EDATE(AA$1,1),Log_2020[[#This Row],[Date]]),Log_2020[[#This Row],[Split_apply]])) - SUM($O134:Z134)</f>
        <v>0</v>
      </c>
      <c r="AB134" s="59">
        <f ca="1">Log_2020[[#This Row],[Amount]]*Log_2020[[#This Row],[Split_apply]]/Log_2020[[#This Row],[Split_raw]]-SUM(O134:AA134)</f>
        <v>0</v>
      </c>
      <c r="AC134" s="7">
        <f>MAX(0,Log_2020[[#This Row],[Split_raw]] - (EDATE(AA$1,1)-Log_2020[[#This Row],[Date]]))</f>
        <v>0</v>
      </c>
    </row>
    <row r="135" spans="1:29" x14ac:dyDescent="0.25">
      <c r="A135" s="37"/>
      <c r="B135" s="34" t="s">
        <v>6</v>
      </c>
      <c r="C135" s="34"/>
      <c r="D135" s="35">
        <v>43874</v>
      </c>
      <c r="E135" s="34"/>
      <c r="F135" s="34" t="s">
        <v>895</v>
      </c>
      <c r="G135" s="34" t="s">
        <v>747</v>
      </c>
      <c r="H135">
        <f>--1902.81</f>
        <v>1902.81</v>
      </c>
      <c r="I135" s="36">
        <f>IF(Log_2020[[#This Row],[My Category]]="NONTRACKED",0,Log_2020[[#This Row],[Raw Amount]])</f>
        <v>1902.81</v>
      </c>
      <c r="J135" s="37">
        <f>ABS(Log_2020[[#This Row],[Amount]])</f>
        <v>1902.81</v>
      </c>
      <c r="K135" s="38">
        <v>14</v>
      </c>
      <c r="L135" s="38">
        <f ca="1">IF(Log_2020[[#This Row],[Date]]&lt;=TODAY(), MIN(Log_2020[[#This Row],[Split_raw]], TODAY()-Log_2020[[#This Row],[Date]]+1), 0)</f>
        <v>14</v>
      </c>
      <c r="M135" s="34" t="s">
        <v>91</v>
      </c>
      <c r="N135" s="34" t="s">
        <v>160</v>
      </c>
      <c r="O135" s="7"/>
      <c r="P135" s="37">
        <f ca="1">Log_2020[[#This Row],[Amount]]/Log_2020[[#This Row],[Split_raw]]*MAX(0,MIN(_xlfn.DAYS(EDATE(P$1,1),Log_2020[[#This Row],[Date]]),Log_2020[[#This Row],[Split_apply]])) - SUM($O135:O135)</f>
        <v>0</v>
      </c>
      <c r="Q135" s="37">
        <f ca="1">Log_2020[[#This Row],[Amount]]/Log_2020[[#This Row],[Split_raw]]*MAX(0,MIN(_xlfn.DAYS(EDATE(Q$1,1),Log_2020[[#This Row],[Date]]),Log_2020[[#This Row],[Split_apply]])) - SUM($O135:P135)</f>
        <v>1902.81</v>
      </c>
      <c r="R135" s="37">
        <f ca="1">Log_2020[[#This Row],[Amount]]/Log_2020[[#This Row],[Split_raw]]*MAX(0,MIN(_xlfn.DAYS(EDATE(R$1,1),Log_2020[[#This Row],[Date]]),Log_2020[[#This Row],[Split_apply]])) - SUM($O135:Q135)</f>
        <v>0</v>
      </c>
      <c r="S135" s="37">
        <f ca="1">Log_2020[[#This Row],[Amount]]/Log_2020[[#This Row],[Split_raw]]*MAX(0,MIN(_xlfn.DAYS(EDATE(S$1,1),Log_2020[[#This Row],[Date]]),Log_2020[[#This Row],[Split_apply]])) - SUM($O135:R135)</f>
        <v>0</v>
      </c>
      <c r="T135" s="37">
        <f ca="1">Log_2020[[#This Row],[Amount]]/Log_2020[[#This Row],[Split_raw]]*MAX(0,MIN(_xlfn.DAYS(EDATE(T$1,1),Log_2020[[#This Row],[Date]]),Log_2020[[#This Row],[Split_apply]])) - SUM($O135:S135)</f>
        <v>0</v>
      </c>
      <c r="U135" s="37">
        <f ca="1">Log_2020[[#This Row],[Amount]]/Log_2020[[#This Row],[Split_raw]]*MAX(0,MIN(_xlfn.DAYS(EDATE(U$1,1),Log_2020[[#This Row],[Date]]),Log_2020[[#This Row],[Split_apply]])) - SUM($O135:T135)</f>
        <v>0</v>
      </c>
      <c r="V135" s="37">
        <f ca="1">Log_2020[[#This Row],[Amount]]/Log_2020[[#This Row],[Split_raw]]*MAX(0,MIN(_xlfn.DAYS(EDATE(V$1,1),Log_2020[[#This Row],[Date]]),Log_2020[[#This Row],[Split_apply]])) - SUM($O135:U135)</f>
        <v>0</v>
      </c>
      <c r="W135" s="37">
        <f ca="1">Log_2020[[#This Row],[Amount]]/Log_2020[[#This Row],[Split_raw]]*MAX(0,MIN(_xlfn.DAYS(EDATE(W$1,1),Log_2020[[#This Row],[Date]]),Log_2020[[#This Row],[Split_apply]])) - SUM($O135:V135)</f>
        <v>0</v>
      </c>
      <c r="X135" s="37">
        <f ca="1">Log_2020[[#This Row],[Amount]]/Log_2020[[#This Row],[Split_raw]]*MAX(0,MIN(_xlfn.DAYS(EDATE(X$1,1),Log_2020[[#This Row],[Date]]),Log_2020[[#This Row],[Split_apply]])) - SUM($O135:W135)</f>
        <v>0</v>
      </c>
      <c r="Y135" s="37">
        <f ca="1">Log_2020[[#This Row],[Amount]]/Log_2020[[#This Row],[Split_raw]]*MAX(0,MIN(_xlfn.DAYS(EDATE(Y$1,1),Log_2020[[#This Row],[Date]]),Log_2020[[#This Row],[Split_apply]])) - SUM($O135:X135)</f>
        <v>0</v>
      </c>
      <c r="Z135" s="37">
        <f ca="1">Log_2020[[#This Row],[Amount]]/Log_2020[[#This Row],[Split_raw]]*MAX(0,MIN(_xlfn.DAYS(EDATE(Z$1,1),Log_2020[[#This Row],[Date]]),Log_2020[[#This Row],[Split_apply]])) - SUM($O135:Y135)</f>
        <v>0</v>
      </c>
      <c r="AA135" s="37">
        <f ca="1">Log_2020[[#This Row],[Amount]]/Log_2020[[#This Row],[Split_raw]]*MAX(0,MIN(_xlfn.DAYS(EDATE(AA$1,1),Log_2020[[#This Row],[Date]]),Log_2020[[#This Row],[Split_apply]])) - SUM($O135:Z135)</f>
        <v>0</v>
      </c>
      <c r="AB135" s="59">
        <f ca="1">Log_2020[[#This Row],[Amount]]*Log_2020[[#This Row],[Split_apply]]/Log_2020[[#This Row],[Split_raw]]-SUM(O135:AA135)</f>
        <v>0</v>
      </c>
      <c r="AC135" s="7">
        <f>MAX(0,Log_2020[[#This Row],[Split_raw]] - (EDATE(AA$1,1)-Log_2020[[#This Row],[Date]]))</f>
        <v>0</v>
      </c>
    </row>
    <row r="136" spans="1:29" x14ac:dyDescent="0.25">
      <c r="A136" s="37"/>
      <c r="B136" s="34" t="s">
        <v>6</v>
      </c>
      <c r="C136" s="34"/>
      <c r="D136" s="35">
        <v>43874</v>
      </c>
      <c r="E136" s="34" t="s">
        <v>902</v>
      </c>
      <c r="F136" s="34" t="s">
        <v>626</v>
      </c>
      <c r="G136" s="34" t="s">
        <v>747</v>
      </c>
      <c r="H136">
        <f>--1525.84</f>
        <v>1525.84</v>
      </c>
      <c r="I136" s="36">
        <f>IF(Log_2020[[#This Row],[My Category]]="NONTRACKED",0,Log_2020[[#This Row],[Raw Amount]])</f>
        <v>1525.84</v>
      </c>
      <c r="J136" s="37">
        <f>ABS(Log_2020[[#This Row],[Amount]])</f>
        <v>1525.84</v>
      </c>
      <c r="K136" s="38">
        <v>1</v>
      </c>
      <c r="L136" s="38">
        <f ca="1">IF(Log_2020[[#This Row],[Date]]&lt;=TODAY(), MIN(Log_2020[[#This Row],[Split_raw]], TODAY()-Log_2020[[#This Row],[Date]]+1), 0)</f>
        <v>1</v>
      </c>
      <c r="M136" s="34" t="s">
        <v>144</v>
      </c>
      <c r="N136" s="34" t="s">
        <v>160</v>
      </c>
      <c r="O136" s="7"/>
      <c r="P136" s="37">
        <f ca="1">Log_2020[[#This Row],[Amount]]/Log_2020[[#This Row],[Split_raw]]*MAX(0,MIN(_xlfn.DAYS(EDATE(P$1,1),Log_2020[[#This Row],[Date]]),Log_2020[[#This Row],[Split_apply]])) - SUM($O136:O136)</f>
        <v>0</v>
      </c>
      <c r="Q136" s="37">
        <f ca="1">Log_2020[[#This Row],[Amount]]/Log_2020[[#This Row],[Split_raw]]*MAX(0,MIN(_xlfn.DAYS(EDATE(Q$1,1),Log_2020[[#This Row],[Date]]),Log_2020[[#This Row],[Split_apply]])) - SUM($O136:P136)</f>
        <v>1525.84</v>
      </c>
      <c r="R136" s="37">
        <f ca="1">Log_2020[[#This Row],[Amount]]/Log_2020[[#This Row],[Split_raw]]*MAX(0,MIN(_xlfn.DAYS(EDATE(R$1,1),Log_2020[[#This Row],[Date]]),Log_2020[[#This Row],[Split_apply]])) - SUM($O136:Q136)</f>
        <v>0</v>
      </c>
      <c r="S136" s="37">
        <f ca="1">Log_2020[[#This Row],[Amount]]/Log_2020[[#This Row],[Split_raw]]*MAX(0,MIN(_xlfn.DAYS(EDATE(S$1,1),Log_2020[[#This Row],[Date]]),Log_2020[[#This Row],[Split_apply]])) - SUM($O136:R136)</f>
        <v>0</v>
      </c>
      <c r="T136" s="37">
        <f ca="1">Log_2020[[#This Row],[Amount]]/Log_2020[[#This Row],[Split_raw]]*MAX(0,MIN(_xlfn.DAYS(EDATE(T$1,1),Log_2020[[#This Row],[Date]]),Log_2020[[#This Row],[Split_apply]])) - SUM($O136:S136)</f>
        <v>0</v>
      </c>
      <c r="U136" s="37">
        <f ca="1">Log_2020[[#This Row],[Amount]]/Log_2020[[#This Row],[Split_raw]]*MAX(0,MIN(_xlfn.DAYS(EDATE(U$1,1),Log_2020[[#This Row],[Date]]),Log_2020[[#This Row],[Split_apply]])) - SUM($O136:T136)</f>
        <v>0</v>
      </c>
      <c r="V136" s="37">
        <f ca="1">Log_2020[[#This Row],[Amount]]/Log_2020[[#This Row],[Split_raw]]*MAX(0,MIN(_xlfn.DAYS(EDATE(V$1,1),Log_2020[[#This Row],[Date]]),Log_2020[[#This Row],[Split_apply]])) - SUM($O136:U136)</f>
        <v>0</v>
      </c>
      <c r="W136" s="37">
        <f ca="1">Log_2020[[#This Row],[Amount]]/Log_2020[[#This Row],[Split_raw]]*MAX(0,MIN(_xlfn.DAYS(EDATE(W$1,1),Log_2020[[#This Row],[Date]]),Log_2020[[#This Row],[Split_apply]])) - SUM($O136:V136)</f>
        <v>0</v>
      </c>
      <c r="X136" s="37">
        <f ca="1">Log_2020[[#This Row],[Amount]]/Log_2020[[#This Row],[Split_raw]]*MAX(0,MIN(_xlfn.DAYS(EDATE(X$1,1),Log_2020[[#This Row],[Date]]),Log_2020[[#This Row],[Split_apply]])) - SUM($O136:W136)</f>
        <v>0</v>
      </c>
      <c r="Y136" s="37">
        <f ca="1">Log_2020[[#This Row],[Amount]]/Log_2020[[#This Row],[Split_raw]]*MAX(0,MIN(_xlfn.DAYS(EDATE(Y$1,1),Log_2020[[#This Row],[Date]]),Log_2020[[#This Row],[Split_apply]])) - SUM($O136:X136)</f>
        <v>0</v>
      </c>
      <c r="Z136" s="37">
        <f ca="1">Log_2020[[#This Row],[Amount]]/Log_2020[[#This Row],[Split_raw]]*MAX(0,MIN(_xlfn.DAYS(EDATE(Z$1,1),Log_2020[[#This Row],[Date]]),Log_2020[[#This Row],[Split_apply]])) - SUM($O136:Y136)</f>
        <v>0</v>
      </c>
      <c r="AA136" s="37">
        <f ca="1">Log_2020[[#This Row],[Amount]]/Log_2020[[#This Row],[Split_raw]]*MAX(0,MIN(_xlfn.DAYS(EDATE(AA$1,1),Log_2020[[#This Row],[Date]]),Log_2020[[#This Row],[Split_apply]])) - SUM($O136:Z136)</f>
        <v>0</v>
      </c>
      <c r="AB136" s="59">
        <f ca="1">Log_2020[[#This Row],[Amount]]*Log_2020[[#This Row],[Split_apply]]/Log_2020[[#This Row],[Split_raw]]-SUM(O136:AA136)</f>
        <v>0</v>
      </c>
      <c r="AC136" s="7">
        <f>MAX(0,Log_2020[[#This Row],[Split_raw]] - (EDATE(AA$1,1)-Log_2020[[#This Row],[Date]]))</f>
        <v>0</v>
      </c>
    </row>
    <row r="137" spans="1:29" x14ac:dyDescent="0.25">
      <c r="A137" s="37"/>
      <c r="B137" s="34" t="s">
        <v>6</v>
      </c>
      <c r="C137" s="34"/>
      <c r="D137" s="35">
        <v>43874</v>
      </c>
      <c r="E137" s="34"/>
      <c r="F137" s="34" t="s">
        <v>673</v>
      </c>
      <c r="G137" s="34" t="s">
        <v>25</v>
      </c>
      <c r="H137">
        <v>-10.25</v>
      </c>
      <c r="I137" s="36">
        <f>IF(Log_2020[[#This Row],[My Category]]="NONTRACKED",0,Log_2020[[#This Row],[Raw Amount]])</f>
        <v>-10.25</v>
      </c>
      <c r="J137" s="37">
        <f>ABS(Log_2020[[#This Row],[Amount]])</f>
        <v>10.25</v>
      </c>
      <c r="K137" s="38">
        <v>1</v>
      </c>
      <c r="L137" s="38">
        <f ca="1">IF(Log_2020[[#This Row],[Date]]&lt;=TODAY(), MIN(Log_2020[[#This Row],[Split_raw]], TODAY()-Log_2020[[#This Row],[Date]]+1), 0)</f>
        <v>1</v>
      </c>
      <c r="M137" s="34" t="s">
        <v>35</v>
      </c>
      <c r="N137" s="34" t="s">
        <v>158</v>
      </c>
      <c r="O137" s="7"/>
      <c r="P137" s="58">
        <f ca="1">Log_2020[[#This Row],[Amount]]/Log_2020[[#This Row],[Split_raw]]*MAX(0,MIN(_xlfn.DAYS(EDATE(P$1,1),Log_2020[[#This Row],[Date]]),Log_2020[[#This Row],[Split_apply]])) - SUM($O137:O137)</f>
        <v>0</v>
      </c>
      <c r="Q137" s="58">
        <f ca="1">Log_2020[[#This Row],[Amount]]/Log_2020[[#This Row],[Split_raw]]*MAX(0,MIN(_xlfn.DAYS(EDATE(Q$1,1),Log_2020[[#This Row],[Date]]),Log_2020[[#This Row],[Split_apply]])) - SUM($O137:P137)</f>
        <v>-10.25</v>
      </c>
      <c r="R137" s="58">
        <f ca="1">Log_2020[[#This Row],[Amount]]/Log_2020[[#This Row],[Split_raw]]*MAX(0,MIN(_xlfn.DAYS(EDATE(R$1,1),Log_2020[[#This Row],[Date]]),Log_2020[[#This Row],[Split_apply]])) - SUM($O137:Q137)</f>
        <v>0</v>
      </c>
      <c r="S137" s="58">
        <f ca="1">Log_2020[[#This Row],[Amount]]/Log_2020[[#This Row],[Split_raw]]*MAX(0,MIN(_xlfn.DAYS(EDATE(S$1,1),Log_2020[[#This Row],[Date]]),Log_2020[[#This Row],[Split_apply]])) - SUM($O137:R137)</f>
        <v>0</v>
      </c>
      <c r="T137" s="58">
        <f ca="1">Log_2020[[#This Row],[Amount]]/Log_2020[[#This Row],[Split_raw]]*MAX(0,MIN(_xlfn.DAYS(EDATE(T$1,1),Log_2020[[#This Row],[Date]]),Log_2020[[#This Row],[Split_apply]])) - SUM($O137:S137)</f>
        <v>0</v>
      </c>
      <c r="U137" s="58">
        <f ca="1">Log_2020[[#This Row],[Amount]]/Log_2020[[#This Row],[Split_raw]]*MAX(0,MIN(_xlfn.DAYS(EDATE(U$1,1),Log_2020[[#This Row],[Date]]),Log_2020[[#This Row],[Split_apply]])) - SUM($O137:T137)</f>
        <v>0</v>
      </c>
      <c r="V137" s="58">
        <f ca="1">Log_2020[[#This Row],[Amount]]/Log_2020[[#This Row],[Split_raw]]*MAX(0,MIN(_xlfn.DAYS(EDATE(V$1,1),Log_2020[[#This Row],[Date]]),Log_2020[[#This Row],[Split_apply]])) - SUM($O137:U137)</f>
        <v>0</v>
      </c>
      <c r="W137" s="58">
        <f ca="1">Log_2020[[#This Row],[Amount]]/Log_2020[[#This Row],[Split_raw]]*MAX(0,MIN(_xlfn.DAYS(EDATE(W$1,1),Log_2020[[#This Row],[Date]]),Log_2020[[#This Row],[Split_apply]])) - SUM($O137:V137)</f>
        <v>0</v>
      </c>
      <c r="X137" s="58">
        <f ca="1">Log_2020[[#This Row],[Amount]]/Log_2020[[#This Row],[Split_raw]]*MAX(0,MIN(_xlfn.DAYS(EDATE(X$1,1),Log_2020[[#This Row],[Date]]),Log_2020[[#This Row],[Split_apply]])) - SUM($O137:W137)</f>
        <v>0</v>
      </c>
      <c r="Y137" s="58">
        <f ca="1">Log_2020[[#This Row],[Amount]]/Log_2020[[#This Row],[Split_raw]]*MAX(0,MIN(_xlfn.DAYS(EDATE(Y$1,1),Log_2020[[#This Row],[Date]]),Log_2020[[#This Row],[Split_apply]])) - SUM($O137:X137)</f>
        <v>0</v>
      </c>
      <c r="Z137" s="58">
        <f ca="1">Log_2020[[#This Row],[Amount]]/Log_2020[[#This Row],[Split_raw]]*MAX(0,MIN(_xlfn.DAYS(EDATE(Z$1,1),Log_2020[[#This Row],[Date]]),Log_2020[[#This Row],[Split_apply]])) - SUM($O137:Y137)</f>
        <v>0</v>
      </c>
      <c r="AA137" s="58">
        <f ca="1">Log_2020[[#This Row],[Amount]]/Log_2020[[#This Row],[Split_raw]]*MAX(0,MIN(_xlfn.DAYS(EDATE(AA$1,1),Log_2020[[#This Row],[Date]]),Log_2020[[#This Row],[Split_apply]])) - SUM($O137:Z137)</f>
        <v>0</v>
      </c>
      <c r="AB137" s="85">
        <f ca="1">Log_2020[[#This Row],[Amount]]*Log_2020[[#This Row],[Split_apply]]/Log_2020[[#This Row],[Split_raw]]-SUM(O137:AA137)</f>
        <v>0</v>
      </c>
      <c r="AC137" s="74">
        <f>MAX(0,Log_2020[[#This Row],[Split_raw]] - (EDATE(AA$1,1)-Log_2020[[#This Row],[Date]]))</f>
        <v>0</v>
      </c>
    </row>
    <row r="138" spans="1:29" x14ac:dyDescent="0.25">
      <c r="A138" s="37"/>
      <c r="B138" s="34" t="s">
        <v>6</v>
      </c>
      <c r="C138" s="34"/>
      <c r="D138" s="35">
        <v>43873</v>
      </c>
      <c r="E138" s="34" t="s">
        <v>574</v>
      </c>
      <c r="F138" s="34" t="s">
        <v>899</v>
      </c>
      <c r="G138" s="34" t="s">
        <v>12</v>
      </c>
      <c r="H138">
        <v>-30</v>
      </c>
      <c r="I138" s="36">
        <f>IF(Log_2020[[#This Row],[My Category]]="NONTRACKED",0,Log_2020[[#This Row],[Raw Amount]])</f>
        <v>-30</v>
      </c>
      <c r="J138" s="37">
        <f>ABS(Log_2020[[#This Row],[Amount]])</f>
        <v>30</v>
      </c>
      <c r="K138" s="38">
        <v>1</v>
      </c>
      <c r="L138" s="38">
        <f ca="1">IF(Log_2020[[#This Row],[Date]]&lt;=TODAY(), MIN(Log_2020[[#This Row],[Split_raw]], TODAY()-Log_2020[[#This Row],[Date]]+1), 0)</f>
        <v>1</v>
      </c>
      <c r="M138" s="34" t="s">
        <v>37</v>
      </c>
      <c r="N138" s="34" t="s">
        <v>158</v>
      </c>
      <c r="O138" s="7"/>
      <c r="P138" s="37">
        <f ca="1">Log_2020[[#This Row],[Amount]]/Log_2020[[#This Row],[Split_raw]]*MAX(0,MIN(_xlfn.DAYS(EDATE(P$1,1),Log_2020[[#This Row],[Date]]),Log_2020[[#This Row],[Split_apply]])) - SUM($O138:O138)</f>
        <v>0</v>
      </c>
      <c r="Q138" s="37">
        <f ca="1">Log_2020[[#This Row],[Amount]]/Log_2020[[#This Row],[Split_raw]]*MAX(0,MIN(_xlfn.DAYS(EDATE(Q$1,1),Log_2020[[#This Row],[Date]]),Log_2020[[#This Row],[Split_apply]])) - SUM($O138:P138)</f>
        <v>-30</v>
      </c>
      <c r="R138" s="37">
        <f ca="1">Log_2020[[#This Row],[Amount]]/Log_2020[[#This Row],[Split_raw]]*MAX(0,MIN(_xlfn.DAYS(EDATE(R$1,1),Log_2020[[#This Row],[Date]]),Log_2020[[#This Row],[Split_apply]])) - SUM($O138:Q138)</f>
        <v>0</v>
      </c>
      <c r="S138" s="37">
        <f ca="1">Log_2020[[#This Row],[Amount]]/Log_2020[[#This Row],[Split_raw]]*MAX(0,MIN(_xlfn.DAYS(EDATE(S$1,1),Log_2020[[#This Row],[Date]]),Log_2020[[#This Row],[Split_apply]])) - SUM($O138:R138)</f>
        <v>0</v>
      </c>
      <c r="T138" s="37">
        <f ca="1">Log_2020[[#This Row],[Amount]]/Log_2020[[#This Row],[Split_raw]]*MAX(0,MIN(_xlfn.DAYS(EDATE(T$1,1),Log_2020[[#This Row],[Date]]),Log_2020[[#This Row],[Split_apply]])) - SUM($O138:S138)</f>
        <v>0</v>
      </c>
      <c r="U138" s="37">
        <f ca="1">Log_2020[[#This Row],[Amount]]/Log_2020[[#This Row],[Split_raw]]*MAX(0,MIN(_xlfn.DAYS(EDATE(U$1,1),Log_2020[[#This Row],[Date]]),Log_2020[[#This Row],[Split_apply]])) - SUM($O138:T138)</f>
        <v>0</v>
      </c>
      <c r="V138" s="37">
        <f ca="1">Log_2020[[#This Row],[Amount]]/Log_2020[[#This Row],[Split_raw]]*MAX(0,MIN(_xlfn.DAYS(EDATE(V$1,1),Log_2020[[#This Row],[Date]]),Log_2020[[#This Row],[Split_apply]])) - SUM($O138:U138)</f>
        <v>0</v>
      </c>
      <c r="W138" s="37">
        <f ca="1">Log_2020[[#This Row],[Amount]]/Log_2020[[#This Row],[Split_raw]]*MAX(0,MIN(_xlfn.DAYS(EDATE(W$1,1),Log_2020[[#This Row],[Date]]),Log_2020[[#This Row],[Split_apply]])) - SUM($O138:V138)</f>
        <v>0</v>
      </c>
      <c r="X138" s="37">
        <f ca="1">Log_2020[[#This Row],[Amount]]/Log_2020[[#This Row],[Split_raw]]*MAX(0,MIN(_xlfn.DAYS(EDATE(X$1,1),Log_2020[[#This Row],[Date]]),Log_2020[[#This Row],[Split_apply]])) - SUM($O138:W138)</f>
        <v>0</v>
      </c>
      <c r="Y138" s="37">
        <f ca="1">Log_2020[[#This Row],[Amount]]/Log_2020[[#This Row],[Split_raw]]*MAX(0,MIN(_xlfn.DAYS(EDATE(Y$1,1),Log_2020[[#This Row],[Date]]),Log_2020[[#This Row],[Split_apply]])) - SUM($O138:X138)</f>
        <v>0</v>
      </c>
      <c r="Z138" s="37">
        <f ca="1">Log_2020[[#This Row],[Amount]]/Log_2020[[#This Row],[Split_raw]]*MAX(0,MIN(_xlfn.DAYS(EDATE(Z$1,1),Log_2020[[#This Row],[Date]]),Log_2020[[#This Row],[Split_apply]])) - SUM($O138:Y138)</f>
        <v>0</v>
      </c>
      <c r="AA138" s="37">
        <f ca="1">Log_2020[[#This Row],[Amount]]/Log_2020[[#This Row],[Split_raw]]*MAX(0,MIN(_xlfn.DAYS(EDATE(AA$1,1),Log_2020[[#This Row],[Date]]),Log_2020[[#This Row],[Split_apply]])) - SUM($O138:Z138)</f>
        <v>0</v>
      </c>
      <c r="AB138" s="59">
        <f ca="1">Log_2020[[#This Row],[Amount]]*Log_2020[[#This Row],[Split_apply]]/Log_2020[[#This Row],[Split_raw]]-SUM(O138:AA138)</f>
        <v>0</v>
      </c>
      <c r="AC138" s="7">
        <f>MAX(0,Log_2020[[#This Row],[Split_raw]] - (EDATE(AA$1,1)-Log_2020[[#This Row],[Date]]))</f>
        <v>0</v>
      </c>
    </row>
    <row r="139" spans="1:29" x14ac:dyDescent="0.25">
      <c r="A139" s="37"/>
      <c r="B139" s="34" t="s">
        <v>6</v>
      </c>
      <c r="C139" s="34"/>
      <c r="D139" s="35">
        <v>43872</v>
      </c>
      <c r="E139" s="34"/>
      <c r="F139" s="34" t="s">
        <v>83</v>
      </c>
      <c r="G139" s="34" t="s">
        <v>15</v>
      </c>
      <c r="H139">
        <v>-209.93</v>
      </c>
      <c r="I139" s="36">
        <f>IF(Log_2020[[#This Row],[My Category]]="NONTRACKED",0,Log_2020[[#This Row],[Raw Amount]])</f>
        <v>-209.93</v>
      </c>
      <c r="J139" s="37">
        <f>ABS(Log_2020[[#This Row],[Amount]])</f>
        <v>209.93</v>
      </c>
      <c r="K139" s="38">
        <v>30</v>
      </c>
      <c r="L139" s="38">
        <f ca="1">IF(Log_2020[[#This Row],[Date]]&lt;=TODAY(), MIN(Log_2020[[#This Row],[Split_raw]], TODAY()-Log_2020[[#This Row],[Date]]+1), 0)</f>
        <v>30</v>
      </c>
      <c r="M139" s="34" t="s">
        <v>241</v>
      </c>
      <c r="N139" s="34" t="s">
        <v>160</v>
      </c>
      <c r="O139" s="7"/>
      <c r="P139" s="37">
        <f ca="1">Log_2020[[#This Row],[Amount]]/Log_2020[[#This Row],[Split_raw]]*MAX(0,MIN(_xlfn.DAYS(EDATE(P$1,1),Log_2020[[#This Row],[Date]]),Log_2020[[#This Row],[Split_apply]])) - SUM($O139:O139)</f>
        <v>0</v>
      </c>
      <c r="Q139" s="37">
        <f ca="1">Log_2020[[#This Row],[Amount]]/Log_2020[[#This Row],[Split_raw]]*MAX(0,MIN(_xlfn.DAYS(EDATE(Q$1,1),Log_2020[[#This Row],[Date]]),Log_2020[[#This Row],[Split_apply]])) - SUM($O139:P139)</f>
        <v>-132.95566666666667</v>
      </c>
      <c r="R139" s="37">
        <f ca="1">Log_2020[[#This Row],[Amount]]/Log_2020[[#This Row],[Split_raw]]*MAX(0,MIN(_xlfn.DAYS(EDATE(R$1,1),Log_2020[[#This Row],[Date]]),Log_2020[[#This Row],[Split_apply]])) - SUM($O139:Q139)</f>
        <v>-76.974333333333334</v>
      </c>
      <c r="S139" s="37">
        <f ca="1">Log_2020[[#This Row],[Amount]]/Log_2020[[#This Row],[Split_raw]]*MAX(0,MIN(_xlfn.DAYS(EDATE(S$1,1),Log_2020[[#This Row],[Date]]),Log_2020[[#This Row],[Split_apply]])) - SUM($O139:R139)</f>
        <v>0</v>
      </c>
      <c r="T139" s="37">
        <f ca="1">Log_2020[[#This Row],[Amount]]/Log_2020[[#This Row],[Split_raw]]*MAX(0,MIN(_xlfn.DAYS(EDATE(T$1,1),Log_2020[[#This Row],[Date]]),Log_2020[[#This Row],[Split_apply]])) - SUM($O139:S139)</f>
        <v>0</v>
      </c>
      <c r="U139" s="37">
        <f ca="1">Log_2020[[#This Row],[Amount]]/Log_2020[[#This Row],[Split_raw]]*MAX(0,MIN(_xlfn.DAYS(EDATE(U$1,1),Log_2020[[#This Row],[Date]]),Log_2020[[#This Row],[Split_apply]])) - SUM($O139:T139)</f>
        <v>0</v>
      </c>
      <c r="V139" s="37">
        <f ca="1">Log_2020[[#This Row],[Amount]]/Log_2020[[#This Row],[Split_raw]]*MAX(0,MIN(_xlfn.DAYS(EDATE(V$1,1),Log_2020[[#This Row],[Date]]),Log_2020[[#This Row],[Split_apply]])) - SUM($O139:U139)</f>
        <v>0</v>
      </c>
      <c r="W139" s="37">
        <f ca="1">Log_2020[[#This Row],[Amount]]/Log_2020[[#This Row],[Split_raw]]*MAX(0,MIN(_xlfn.DAYS(EDATE(W$1,1),Log_2020[[#This Row],[Date]]),Log_2020[[#This Row],[Split_apply]])) - SUM($O139:V139)</f>
        <v>0</v>
      </c>
      <c r="X139" s="37">
        <f ca="1">Log_2020[[#This Row],[Amount]]/Log_2020[[#This Row],[Split_raw]]*MAX(0,MIN(_xlfn.DAYS(EDATE(X$1,1),Log_2020[[#This Row],[Date]]),Log_2020[[#This Row],[Split_apply]])) - SUM($O139:W139)</f>
        <v>0</v>
      </c>
      <c r="Y139" s="37">
        <f ca="1">Log_2020[[#This Row],[Amount]]/Log_2020[[#This Row],[Split_raw]]*MAX(0,MIN(_xlfn.DAYS(EDATE(Y$1,1),Log_2020[[#This Row],[Date]]),Log_2020[[#This Row],[Split_apply]])) - SUM($O139:X139)</f>
        <v>0</v>
      </c>
      <c r="Z139" s="37">
        <f ca="1">Log_2020[[#This Row],[Amount]]/Log_2020[[#This Row],[Split_raw]]*MAX(0,MIN(_xlfn.DAYS(EDATE(Z$1,1),Log_2020[[#This Row],[Date]]),Log_2020[[#This Row],[Split_apply]])) - SUM($O139:Y139)</f>
        <v>0</v>
      </c>
      <c r="AA139" s="37">
        <f ca="1">Log_2020[[#This Row],[Amount]]/Log_2020[[#This Row],[Split_raw]]*MAX(0,MIN(_xlfn.DAYS(EDATE(AA$1,1),Log_2020[[#This Row],[Date]]),Log_2020[[#This Row],[Split_apply]])) - SUM($O139:Z139)</f>
        <v>0</v>
      </c>
      <c r="AB139" s="59">
        <f ca="1">Log_2020[[#This Row],[Amount]]*Log_2020[[#This Row],[Split_apply]]/Log_2020[[#This Row],[Split_raw]]-SUM(O139:AA139)</f>
        <v>0</v>
      </c>
      <c r="AC139" s="7">
        <f>MAX(0,Log_2020[[#This Row],[Split_raw]] - (EDATE(AA$1,1)-Log_2020[[#This Row],[Date]]))</f>
        <v>0</v>
      </c>
    </row>
    <row r="140" spans="1:29" x14ac:dyDescent="0.25">
      <c r="A140" s="37"/>
      <c r="B140" s="34" t="s">
        <v>6</v>
      </c>
      <c r="C140" s="34"/>
      <c r="D140" s="35">
        <v>43871</v>
      </c>
      <c r="E140" s="34"/>
      <c r="F140" s="34" t="s">
        <v>896</v>
      </c>
      <c r="G140" s="34" t="s">
        <v>29</v>
      </c>
      <c r="H140">
        <v>-81.91</v>
      </c>
      <c r="I140" s="36">
        <f>IF(Log_2020[[#This Row],[My Category]]="NONTRACKED",0,Log_2020[[#This Row],[Raw Amount]])</f>
        <v>-81.91</v>
      </c>
      <c r="J140" s="37">
        <f>ABS(Log_2020[[#This Row],[Amount]])</f>
        <v>81.91</v>
      </c>
      <c r="K140" s="38">
        <v>30</v>
      </c>
      <c r="L140" s="38">
        <f ca="1">IF(Log_2020[[#This Row],[Date]]&lt;=TODAY(), MIN(Log_2020[[#This Row],[Split_raw]], TODAY()-Log_2020[[#This Row],[Date]]+1), 0)</f>
        <v>30</v>
      </c>
      <c r="M140" s="34" t="s">
        <v>29</v>
      </c>
      <c r="N140" s="34" t="s">
        <v>160</v>
      </c>
      <c r="O140" s="7"/>
      <c r="P140" s="37">
        <f ca="1">Log_2020[[#This Row],[Amount]]/Log_2020[[#This Row],[Split_raw]]*MAX(0,MIN(_xlfn.DAYS(EDATE(P$1,1),Log_2020[[#This Row],[Date]]),Log_2020[[#This Row],[Split_apply]])) - SUM($O140:O140)</f>
        <v>0</v>
      </c>
      <c r="Q140" s="37">
        <f ca="1">Log_2020[[#This Row],[Amount]]/Log_2020[[#This Row],[Split_raw]]*MAX(0,MIN(_xlfn.DAYS(EDATE(Q$1,1),Log_2020[[#This Row],[Date]]),Log_2020[[#This Row],[Split_apply]])) - SUM($O140:P140)</f>
        <v>-54.606666666666669</v>
      </c>
      <c r="R140" s="37">
        <f ca="1">Log_2020[[#This Row],[Amount]]/Log_2020[[#This Row],[Split_raw]]*MAX(0,MIN(_xlfn.DAYS(EDATE(R$1,1),Log_2020[[#This Row],[Date]]),Log_2020[[#This Row],[Split_apply]])) - SUM($O140:Q140)</f>
        <v>-27.303333333333327</v>
      </c>
      <c r="S140" s="37">
        <f ca="1">Log_2020[[#This Row],[Amount]]/Log_2020[[#This Row],[Split_raw]]*MAX(0,MIN(_xlfn.DAYS(EDATE(S$1,1),Log_2020[[#This Row],[Date]]),Log_2020[[#This Row],[Split_apply]])) - SUM($O140:R140)</f>
        <v>0</v>
      </c>
      <c r="T140" s="37">
        <f ca="1">Log_2020[[#This Row],[Amount]]/Log_2020[[#This Row],[Split_raw]]*MAX(0,MIN(_xlfn.DAYS(EDATE(T$1,1),Log_2020[[#This Row],[Date]]),Log_2020[[#This Row],[Split_apply]])) - SUM($O140:S140)</f>
        <v>0</v>
      </c>
      <c r="U140" s="37">
        <f ca="1">Log_2020[[#This Row],[Amount]]/Log_2020[[#This Row],[Split_raw]]*MAX(0,MIN(_xlfn.DAYS(EDATE(U$1,1),Log_2020[[#This Row],[Date]]),Log_2020[[#This Row],[Split_apply]])) - SUM($O140:T140)</f>
        <v>0</v>
      </c>
      <c r="V140" s="37">
        <f ca="1">Log_2020[[#This Row],[Amount]]/Log_2020[[#This Row],[Split_raw]]*MAX(0,MIN(_xlfn.DAYS(EDATE(V$1,1),Log_2020[[#This Row],[Date]]),Log_2020[[#This Row],[Split_apply]])) - SUM($O140:U140)</f>
        <v>0</v>
      </c>
      <c r="W140" s="37">
        <f ca="1">Log_2020[[#This Row],[Amount]]/Log_2020[[#This Row],[Split_raw]]*MAX(0,MIN(_xlfn.DAYS(EDATE(W$1,1),Log_2020[[#This Row],[Date]]),Log_2020[[#This Row],[Split_apply]])) - SUM($O140:V140)</f>
        <v>0</v>
      </c>
      <c r="X140" s="37">
        <f ca="1">Log_2020[[#This Row],[Amount]]/Log_2020[[#This Row],[Split_raw]]*MAX(0,MIN(_xlfn.DAYS(EDATE(X$1,1),Log_2020[[#This Row],[Date]]),Log_2020[[#This Row],[Split_apply]])) - SUM($O140:W140)</f>
        <v>0</v>
      </c>
      <c r="Y140" s="37">
        <f ca="1">Log_2020[[#This Row],[Amount]]/Log_2020[[#This Row],[Split_raw]]*MAX(0,MIN(_xlfn.DAYS(EDATE(Y$1,1),Log_2020[[#This Row],[Date]]),Log_2020[[#This Row],[Split_apply]])) - SUM($O140:X140)</f>
        <v>0</v>
      </c>
      <c r="Z140" s="37">
        <f ca="1">Log_2020[[#This Row],[Amount]]/Log_2020[[#This Row],[Split_raw]]*MAX(0,MIN(_xlfn.DAYS(EDATE(Z$1,1),Log_2020[[#This Row],[Date]]),Log_2020[[#This Row],[Split_apply]])) - SUM($O140:Y140)</f>
        <v>0</v>
      </c>
      <c r="AA140" s="37">
        <f ca="1">Log_2020[[#This Row],[Amount]]/Log_2020[[#This Row],[Split_raw]]*MAX(0,MIN(_xlfn.DAYS(EDATE(AA$1,1),Log_2020[[#This Row],[Date]]),Log_2020[[#This Row],[Split_apply]])) - SUM($O140:Z140)</f>
        <v>0</v>
      </c>
      <c r="AB140" s="59">
        <f ca="1">Log_2020[[#This Row],[Amount]]*Log_2020[[#This Row],[Split_apply]]/Log_2020[[#This Row],[Split_raw]]-SUM(O140:AA140)</f>
        <v>0</v>
      </c>
      <c r="AC140" s="7">
        <f>MAX(0,Log_2020[[#This Row],[Split_raw]] - (EDATE(AA$1,1)-Log_2020[[#This Row],[Date]]))</f>
        <v>0</v>
      </c>
    </row>
    <row r="141" spans="1:29" x14ac:dyDescent="0.25">
      <c r="A141" s="37"/>
      <c r="B141" s="34" t="s">
        <v>6</v>
      </c>
      <c r="C141" s="34"/>
      <c r="D141" s="35">
        <v>43871</v>
      </c>
      <c r="E141" s="34" t="s">
        <v>250</v>
      </c>
      <c r="F141" s="34" t="s">
        <v>243</v>
      </c>
      <c r="G141" s="34" t="s">
        <v>143</v>
      </c>
      <c r="H141">
        <v>-10.81</v>
      </c>
      <c r="I141" s="36">
        <f>IF(Log_2020[[#This Row],[My Category]]="NONTRACKED",0,Log_2020[[#This Row],[Raw Amount]])</f>
        <v>-10.81</v>
      </c>
      <c r="J141" s="37">
        <f>ABS(Log_2020[[#This Row],[Amount]])</f>
        <v>10.81</v>
      </c>
      <c r="K141" s="38">
        <v>30</v>
      </c>
      <c r="L141" s="38">
        <f ca="1">IF(Log_2020[[#This Row],[Date]]&lt;=TODAY(), MIN(Log_2020[[#This Row],[Split_raw]], TODAY()-Log_2020[[#This Row],[Date]]+1), 0)</f>
        <v>30</v>
      </c>
      <c r="M141" s="34" t="s">
        <v>53</v>
      </c>
      <c r="N141" s="34" t="s">
        <v>160</v>
      </c>
      <c r="O141" s="7"/>
      <c r="P141" s="37">
        <f ca="1">Log_2020[[#This Row],[Amount]]/Log_2020[[#This Row],[Split_raw]]*MAX(0,MIN(_xlfn.DAYS(EDATE(P$1,1),Log_2020[[#This Row],[Date]]),Log_2020[[#This Row],[Split_apply]])) - SUM($O141:O141)</f>
        <v>0</v>
      </c>
      <c r="Q141" s="37">
        <f ca="1">Log_2020[[#This Row],[Amount]]/Log_2020[[#This Row],[Split_raw]]*MAX(0,MIN(_xlfn.DAYS(EDATE(Q$1,1),Log_2020[[#This Row],[Date]]),Log_2020[[#This Row],[Split_apply]])) - SUM($O141:P141)</f>
        <v>-7.206666666666667</v>
      </c>
      <c r="R141" s="37">
        <f ca="1">Log_2020[[#This Row],[Amount]]/Log_2020[[#This Row],[Split_raw]]*MAX(0,MIN(_xlfn.DAYS(EDATE(R$1,1),Log_2020[[#This Row],[Date]]),Log_2020[[#This Row],[Split_apply]])) - SUM($O141:Q141)</f>
        <v>-3.6033333333333335</v>
      </c>
      <c r="S141" s="37">
        <f ca="1">Log_2020[[#This Row],[Amount]]/Log_2020[[#This Row],[Split_raw]]*MAX(0,MIN(_xlfn.DAYS(EDATE(S$1,1),Log_2020[[#This Row],[Date]]),Log_2020[[#This Row],[Split_apply]])) - SUM($O141:R141)</f>
        <v>0</v>
      </c>
      <c r="T141" s="37">
        <f ca="1">Log_2020[[#This Row],[Amount]]/Log_2020[[#This Row],[Split_raw]]*MAX(0,MIN(_xlfn.DAYS(EDATE(T$1,1),Log_2020[[#This Row],[Date]]),Log_2020[[#This Row],[Split_apply]])) - SUM($O141:S141)</f>
        <v>0</v>
      </c>
      <c r="U141" s="37">
        <f ca="1">Log_2020[[#This Row],[Amount]]/Log_2020[[#This Row],[Split_raw]]*MAX(0,MIN(_xlfn.DAYS(EDATE(U$1,1),Log_2020[[#This Row],[Date]]),Log_2020[[#This Row],[Split_apply]])) - SUM($O141:T141)</f>
        <v>0</v>
      </c>
      <c r="V141" s="37">
        <f ca="1">Log_2020[[#This Row],[Amount]]/Log_2020[[#This Row],[Split_raw]]*MAX(0,MIN(_xlfn.DAYS(EDATE(V$1,1),Log_2020[[#This Row],[Date]]),Log_2020[[#This Row],[Split_apply]])) - SUM($O141:U141)</f>
        <v>0</v>
      </c>
      <c r="W141" s="37">
        <f ca="1">Log_2020[[#This Row],[Amount]]/Log_2020[[#This Row],[Split_raw]]*MAX(0,MIN(_xlfn.DAYS(EDATE(W$1,1),Log_2020[[#This Row],[Date]]),Log_2020[[#This Row],[Split_apply]])) - SUM($O141:V141)</f>
        <v>0</v>
      </c>
      <c r="X141" s="37">
        <f ca="1">Log_2020[[#This Row],[Amount]]/Log_2020[[#This Row],[Split_raw]]*MAX(0,MIN(_xlfn.DAYS(EDATE(X$1,1),Log_2020[[#This Row],[Date]]),Log_2020[[#This Row],[Split_apply]])) - SUM($O141:W141)</f>
        <v>0</v>
      </c>
      <c r="Y141" s="37">
        <f ca="1">Log_2020[[#This Row],[Amount]]/Log_2020[[#This Row],[Split_raw]]*MAX(0,MIN(_xlfn.DAYS(EDATE(Y$1,1),Log_2020[[#This Row],[Date]]),Log_2020[[#This Row],[Split_apply]])) - SUM($O141:X141)</f>
        <v>0</v>
      </c>
      <c r="Z141" s="37">
        <f ca="1">Log_2020[[#This Row],[Amount]]/Log_2020[[#This Row],[Split_raw]]*MAX(0,MIN(_xlfn.DAYS(EDATE(Z$1,1),Log_2020[[#This Row],[Date]]),Log_2020[[#This Row],[Split_apply]])) - SUM($O141:Y141)</f>
        <v>0</v>
      </c>
      <c r="AA141" s="37">
        <f ca="1">Log_2020[[#This Row],[Amount]]/Log_2020[[#This Row],[Split_raw]]*MAX(0,MIN(_xlfn.DAYS(EDATE(AA$1,1),Log_2020[[#This Row],[Date]]),Log_2020[[#This Row],[Split_apply]])) - SUM($O141:Z141)</f>
        <v>0</v>
      </c>
      <c r="AB141" s="59">
        <f ca="1">Log_2020[[#This Row],[Amount]]*Log_2020[[#This Row],[Split_apply]]/Log_2020[[#This Row],[Split_raw]]-SUM(O141:AA141)</f>
        <v>0</v>
      </c>
      <c r="AC141" s="7">
        <f>MAX(0,Log_2020[[#This Row],[Split_raw]] - (EDATE(AA$1,1)-Log_2020[[#This Row],[Date]]))</f>
        <v>0</v>
      </c>
    </row>
    <row r="142" spans="1:29" x14ac:dyDescent="0.25">
      <c r="A142" s="37"/>
      <c r="B142" s="34" t="s">
        <v>6</v>
      </c>
      <c r="C142" s="34"/>
      <c r="D142" s="35">
        <v>43868</v>
      </c>
      <c r="E142" s="34"/>
      <c r="F142" s="34" t="s">
        <v>255</v>
      </c>
      <c r="G142" s="34" t="s">
        <v>12</v>
      </c>
      <c r="H142">
        <v>-7.32</v>
      </c>
      <c r="I142" s="36">
        <f>IF(Log_2020[[#This Row],[My Category]]="NONTRACKED",0,Log_2020[[#This Row],[Raw Amount]])</f>
        <v>-7.32</v>
      </c>
      <c r="J142" s="37">
        <f>ABS(Log_2020[[#This Row],[Amount]])</f>
        <v>7.32</v>
      </c>
      <c r="K142" s="38">
        <v>1</v>
      </c>
      <c r="L142" s="38">
        <f ca="1">IF(Log_2020[[#This Row],[Date]]&lt;=TODAY(), MIN(Log_2020[[#This Row],[Split_raw]], TODAY()-Log_2020[[#This Row],[Date]]+1), 0)</f>
        <v>1</v>
      </c>
      <c r="M142" s="34" t="s">
        <v>35</v>
      </c>
      <c r="N142" s="34" t="s">
        <v>158</v>
      </c>
      <c r="O142" s="7"/>
      <c r="P142" s="37">
        <f ca="1">Log_2020[[#This Row],[Amount]]/Log_2020[[#This Row],[Split_raw]]*MAX(0,MIN(_xlfn.DAYS(EDATE(P$1,1),Log_2020[[#This Row],[Date]]),Log_2020[[#This Row],[Split_apply]])) - SUM($O142:O142)</f>
        <v>0</v>
      </c>
      <c r="Q142" s="37">
        <f ca="1">Log_2020[[#This Row],[Amount]]/Log_2020[[#This Row],[Split_raw]]*MAX(0,MIN(_xlfn.DAYS(EDATE(Q$1,1),Log_2020[[#This Row],[Date]]),Log_2020[[#This Row],[Split_apply]])) - SUM($O142:P142)</f>
        <v>-7.32</v>
      </c>
      <c r="R142" s="37">
        <f ca="1">Log_2020[[#This Row],[Amount]]/Log_2020[[#This Row],[Split_raw]]*MAX(0,MIN(_xlfn.DAYS(EDATE(R$1,1),Log_2020[[#This Row],[Date]]),Log_2020[[#This Row],[Split_apply]])) - SUM($O142:Q142)</f>
        <v>0</v>
      </c>
      <c r="S142" s="37">
        <f ca="1">Log_2020[[#This Row],[Amount]]/Log_2020[[#This Row],[Split_raw]]*MAX(0,MIN(_xlfn.DAYS(EDATE(S$1,1),Log_2020[[#This Row],[Date]]),Log_2020[[#This Row],[Split_apply]])) - SUM($O142:R142)</f>
        <v>0</v>
      </c>
      <c r="T142" s="37">
        <f ca="1">Log_2020[[#This Row],[Amount]]/Log_2020[[#This Row],[Split_raw]]*MAX(0,MIN(_xlfn.DAYS(EDATE(T$1,1),Log_2020[[#This Row],[Date]]),Log_2020[[#This Row],[Split_apply]])) - SUM($O142:S142)</f>
        <v>0</v>
      </c>
      <c r="U142" s="37">
        <f ca="1">Log_2020[[#This Row],[Amount]]/Log_2020[[#This Row],[Split_raw]]*MAX(0,MIN(_xlfn.DAYS(EDATE(U$1,1),Log_2020[[#This Row],[Date]]),Log_2020[[#This Row],[Split_apply]])) - SUM($O142:T142)</f>
        <v>0</v>
      </c>
      <c r="V142" s="37">
        <f ca="1">Log_2020[[#This Row],[Amount]]/Log_2020[[#This Row],[Split_raw]]*MAX(0,MIN(_xlfn.DAYS(EDATE(V$1,1),Log_2020[[#This Row],[Date]]),Log_2020[[#This Row],[Split_apply]])) - SUM($O142:U142)</f>
        <v>0</v>
      </c>
      <c r="W142" s="37">
        <f ca="1">Log_2020[[#This Row],[Amount]]/Log_2020[[#This Row],[Split_raw]]*MAX(0,MIN(_xlfn.DAYS(EDATE(W$1,1),Log_2020[[#This Row],[Date]]),Log_2020[[#This Row],[Split_apply]])) - SUM($O142:V142)</f>
        <v>0</v>
      </c>
      <c r="X142" s="37">
        <f ca="1">Log_2020[[#This Row],[Amount]]/Log_2020[[#This Row],[Split_raw]]*MAX(0,MIN(_xlfn.DAYS(EDATE(X$1,1),Log_2020[[#This Row],[Date]]),Log_2020[[#This Row],[Split_apply]])) - SUM($O142:W142)</f>
        <v>0</v>
      </c>
      <c r="Y142" s="37">
        <f ca="1">Log_2020[[#This Row],[Amount]]/Log_2020[[#This Row],[Split_raw]]*MAX(0,MIN(_xlfn.DAYS(EDATE(Y$1,1),Log_2020[[#This Row],[Date]]),Log_2020[[#This Row],[Split_apply]])) - SUM($O142:X142)</f>
        <v>0</v>
      </c>
      <c r="Z142" s="37">
        <f ca="1">Log_2020[[#This Row],[Amount]]/Log_2020[[#This Row],[Split_raw]]*MAX(0,MIN(_xlfn.DAYS(EDATE(Z$1,1),Log_2020[[#This Row],[Date]]),Log_2020[[#This Row],[Split_apply]])) - SUM($O142:Y142)</f>
        <v>0</v>
      </c>
      <c r="AA142" s="37">
        <f ca="1">Log_2020[[#This Row],[Amount]]/Log_2020[[#This Row],[Split_raw]]*MAX(0,MIN(_xlfn.DAYS(EDATE(AA$1,1),Log_2020[[#This Row],[Date]]),Log_2020[[#This Row],[Split_apply]])) - SUM($O142:Z142)</f>
        <v>0</v>
      </c>
      <c r="AB142" s="59">
        <f ca="1">Log_2020[[#This Row],[Amount]]*Log_2020[[#This Row],[Split_apply]]/Log_2020[[#This Row],[Split_raw]]-SUM(O142:AA142)</f>
        <v>0</v>
      </c>
      <c r="AC142" s="7">
        <f>MAX(0,Log_2020[[#This Row],[Split_raw]] - (EDATE(AA$1,1)-Log_2020[[#This Row],[Date]]))</f>
        <v>0</v>
      </c>
    </row>
    <row r="143" spans="1:29" x14ac:dyDescent="0.25">
      <c r="A143" s="37"/>
      <c r="B143" s="34" t="s">
        <v>6</v>
      </c>
      <c r="C143" s="34"/>
      <c r="D143" s="35">
        <v>43867</v>
      </c>
      <c r="E143" s="34"/>
      <c r="F143" s="34" t="s">
        <v>59</v>
      </c>
      <c r="G143" s="34" t="s">
        <v>25</v>
      </c>
      <c r="H143">
        <v>-8.94</v>
      </c>
      <c r="I143" s="36">
        <f>IF(Log_2020[[#This Row],[My Category]]="NONTRACKED",0,Log_2020[[#This Row],[Raw Amount]])</f>
        <v>-8.94</v>
      </c>
      <c r="J143" s="37">
        <f>ABS(Log_2020[[#This Row],[Amount]])</f>
        <v>8.94</v>
      </c>
      <c r="K143" s="38">
        <v>1</v>
      </c>
      <c r="L143" s="38">
        <f ca="1">IF(Log_2020[[#This Row],[Date]]&lt;=TODAY(), MIN(Log_2020[[#This Row],[Split_raw]], TODAY()-Log_2020[[#This Row],[Date]]+1), 0)</f>
        <v>1</v>
      </c>
      <c r="M143" s="34" t="s">
        <v>35</v>
      </c>
      <c r="N143" s="34" t="s">
        <v>158</v>
      </c>
      <c r="O143" s="7"/>
      <c r="P143" s="37">
        <f ca="1">Log_2020[[#This Row],[Amount]]/Log_2020[[#This Row],[Split_raw]]*MAX(0,MIN(_xlfn.DAYS(EDATE(P$1,1),Log_2020[[#This Row],[Date]]),Log_2020[[#This Row],[Split_apply]])) - SUM($O143:O143)</f>
        <v>0</v>
      </c>
      <c r="Q143" s="37">
        <f ca="1">Log_2020[[#This Row],[Amount]]/Log_2020[[#This Row],[Split_raw]]*MAX(0,MIN(_xlfn.DAYS(EDATE(Q$1,1),Log_2020[[#This Row],[Date]]),Log_2020[[#This Row],[Split_apply]])) - SUM($O143:P143)</f>
        <v>-8.94</v>
      </c>
      <c r="R143" s="37">
        <f ca="1">Log_2020[[#This Row],[Amount]]/Log_2020[[#This Row],[Split_raw]]*MAX(0,MIN(_xlfn.DAYS(EDATE(R$1,1),Log_2020[[#This Row],[Date]]),Log_2020[[#This Row],[Split_apply]])) - SUM($O143:Q143)</f>
        <v>0</v>
      </c>
      <c r="S143" s="37">
        <f ca="1">Log_2020[[#This Row],[Amount]]/Log_2020[[#This Row],[Split_raw]]*MAX(0,MIN(_xlfn.DAYS(EDATE(S$1,1),Log_2020[[#This Row],[Date]]),Log_2020[[#This Row],[Split_apply]])) - SUM($O143:R143)</f>
        <v>0</v>
      </c>
      <c r="T143" s="37">
        <f ca="1">Log_2020[[#This Row],[Amount]]/Log_2020[[#This Row],[Split_raw]]*MAX(0,MIN(_xlfn.DAYS(EDATE(T$1,1),Log_2020[[#This Row],[Date]]),Log_2020[[#This Row],[Split_apply]])) - SUM($O143:S143)</f>
        <v>0</v>
      </c>
      <c r="U143" s="37">
        <f ca="1">Log_2020[[#This Row],[Amount]]/Log_2020[[#This Row],[Split_raw]]*MAX(0,MIN(_xlfn.DAYS(EDATE(U$1,1),Log_2020[[#This Row],[Date]]),Log_2020[[#This Row],[Split_apply]])) - SUM($O143:T143)</f>
        <v>0</v>
      </c>
      <c r="V143" s="37">
        <f ca="1">Log_2020[[#This Row],[Amount]]/Log_2020[[#This Row],[Split_raw]]*MAX(0,MIN(_xlfn.DAYS(EDATE(V$1,1),Log_2020[[#This Row],[Date]]),Log_2020[[#This Row],[Split_apply]])) - SUM($O143:U143)</f>
        <v>0</v>
      </c>
      <c r="W143" s="37">
        <f ca="1">Log_2020[[#This Row],[Amount]]/Log_2020[[#This Row],[Split_raw]]*MAX(0,MIN(_xlfn.DAYS(EDATE(W$1,1),Log_2020[[#This Row],[Date]]),Log_2020[[#This Row],[Split_apply]])) - SUM($O143:V143)</f>
        <v>0</v>
      </c>
      <c r="X143" s="37">
        <f ca="1">Log_2020[[#This Row],[Amount]]/Log_2020[[#This Row],[Split_raw]]*MAX(0,MIN(_xlfn.DAYS(EDATE(X$1,1),Log_2020[[#This Row],[Date]]),Log_2020[[#This Row],[Split_apply]])) - SUM($O143:W143)</f>
        <v>0</v>
      </c>
      <c r="Y143" s="37">
        <f ca="1">Log_2020[[#This Row],[Amount]]/Log_2020[[#This Row],[Split_raw]]*MAX(0,MIN(_xlfn.DAYS(EDATE(Y$1,1),Log_2020[[#This Row],[Date]]),Log_2020[[#This Row],[Split_apply]])) - SUM($O143:X143)</f>
        <v>0</v>
      </c>
      <c r="Z143" s="37">
        <f ca="1">Log_2020[[#This Row],[Amount]]/Log_2020[[#This Row],[Split_raw]]*MAX(0,MIN(_xlfn.DAYS(EDATE(Z$1,1),Log_2020[[#This Row],[Date]]),Log_2020[[#This Row],[Split_apply]])) - SUM($O143:Y143)</f>
        <v>0</v>
      </c>
      <c r="AA143" s="37">
        <f ca="1">Log_2020[[#This Row],[Amount]]/Log_2020[[#This Row],[Split_raw]]*MAX(0,MIN(_xlfn.DAYS(EDATE(AA$1,1),Log_2020[[#This Row],[Date]]),Log_2020[[#This Row],[Split_apply]])) - SUM($O143:Z143)</f>
        <v>0</v>
      </c>
      <c r="AB143" s="59">
        <f ca="1">Log_2020[[#This Row],[Amount]]*Log_2020[[#This Row],[Split_apply]]/Log_2020[[#This Row],[Split_raw]]-SUM(O143:AA143)</f>
        <v>0</v>
      </c>
      <c r="AC143" s="7">
        <f>MAX(0,Log_2020[[#This Row],[Split_raw]] - (EDATE(AA$1,1)-Log_2020[[#This Row],[Date]]))</f>
        <v>0</v>
      </c>
    </row>
    <row r="144" spans="1:29" x14ac:dyDescent="0.25">
      <c r="A144" s="37"/>
      <c r="B144" s="34" t="s">
        <v>6</v>
      </c>
      <c r="C144" s="34"/>
      <c r="D144" s="35">
        <v>43867</v>
      </c>
      <c r="E144" s="34"/>
      <c r="F144" s="34" t="s">
        <v>674</v>
      </c>
      <c r="G144" s="34" t="s">
        <v>25</v>
      </c>
      <c r="H144">
        <v>-3.08</v>
      </c>
      <c r="I144" s="36">
        <f>IF(Log_2020[[#This Row],[My Category]]="NONTRACKED",0,Log_2020[[#This Row],[Raw Amount]])</f>
        <v>-3.08</v>
      </c>
      <c r="J144" s="37">
        <f>ABS(Log_2020[[#This Row],[Amount]])</f>
        <v>3.08</v>
      </c>
      <c r="K144" s="38">
        <v>1</v>
      </c>
      <c r="L144" s="38">
        <f ca="1">IF(Log_2020[[#This Row],[Date]]&lt;=TODAY(), MIN(Log_2020[[#This Row],[Split_raw]], TODAY()-Log_2020[[#This Row],[Date]]+1), 0)</f>
        <v>1</v>
      </c>
      <c r="M144" s="34" t="s">
        <v>35</v>
      </c>
      <c r="N144" s="34" t="s">
        <v>158</v>
      </c>
      <c r="O144" s="7"/>
      <c r="P144" s="37">
        <f ca="1">Log_2020[[#This Row],[Amount]]/Log_2020[[#This Row],[Split_raw]]*MAX(0,MIN(_xlfn.DAYS(EDATE(P$1,1),Log_2020[[#This Row],[Date]]),Log_2020[[#This Row],[Split_apply]])) - SUM($O144:O144)</f>
        <v>0</v>
      </c>
      <c r="Q144" s="37">
        <f ca="1">Log_2020[[#This Row],[Amount]]/Log_2020[[#This Row],[Split_raw]]*MAX(0,MIN(_xlfn.DAYS(EDATE(Q$1,1),Log_2020[[#This Row],[Date]]),Log_2020[[#This Row],[Split_apply]])) - SUM($O144:P144)</f>
        <v>-3.08</v>
      </c>
      <c r="R144" s="37">
        <f ca="1">Log_2020[[#This Row],[Amount]]/Log_2020[[#This Row],[Split_raw]]*MAX(0,MIN(_xlfn.DAYS(EDATE(R$1,1),Log_2020[[#This Row],[Date]]),Log_2020[[#This Row],[Split_apply]])) - SUM($O144:Q144)</f>
        <v>0</v>
      </c>
      <c r="S144" s="37">
        <f ca="1">Log_2020[[#This Row],[Amount]]/Log_2020[[#This Row],[Split_raw]]*MAX(0,MIN(_xlfn.DAYS(EDATE(S$1,1),Log_2020[[#This Row],[Date]]),Log_2020[[#This Row],[Split_apply]])) - SUM($O144:R144)</f>
        <v>0</v>
      </c>
      <c r="T144" s="37">
        <f ca="1">Log_2020[[#This Row],[Amount]]/Log_2020[[#This Row],[Split_raw]]*MAX(0,MIN(_xlfn.DAYS(EDATE(T$1,1),Log_2020[[#This Row],[Date]]),Log_2020[[#This Row],[Split_apply]])) - SUM($O144:S144)</f>
        <v>0</v>
      </c>
      <c r="U144" s="37">
        <f ca="1">Log_2020[[#This Row],[Amount]]/Log_2020[[#This Row],[Split_raw]]*MAX(0,MIN(_xlfn.DAYS(EDATE(U$1,1),Log_2020[[#This Row],[Date]]),Log_2020[[#This Row],[Split_apply]])) - SUM($O144:T144)</f>
        <v>0</v>
      </c>
      <c r="V144" s="37">
        <f ca="1">Log_2020[[#This Row],[Amount]]/Log_2020[[#This Row],[Split_raw]]*MAX(0,MIN(_xlfn.DAYS(EDATE(V$1,1),Log_2020[[#This Row],[Date]]),Log_2020[[#This Row],[Split_apply]])) - SUM($O144:U144)</f>
        <v>0</v>
      </c>
      <c r="W144" s="37">
        <f ca="1">Log_2020[[#This Row],[Amount]]/Log_2020[[#This Row],[Split_raw]]*MAX(0,MIN(_xlfn.DAYS(EDATE(W$1,1),Log_2020[[#This Row],[Date]]),Log_2020[[#This Row],[Split_apply]])) - SUM($O144:V144)</f>
        <v>0</v>
      </c>
      <c r="X144" s="37">
        <f ca="1">Log_2020[[#This Row],[Amount]]/Log_2020[[#This Row],[Split_raw]]*MAX(0,MIN(_xlfn.DAYS(EDATE(X$1,1),Log_2020[[#This Row],[Date]]),Log_2020[[#This Row],[Split_apply]])) - SUM($O144:W144)</f>
        <v>0</v>
      </c>
      <c r="Y144" s="37">
        <f ca="1">Log_2020[[#This Row],[Amount]]/Log_2020[[#This Row],[Split_raw]]*MAX(0,MIN(_xlfn.DAYS(EDATE(Y$1,1),Log_2020[[#This Row],[Date]]),Log_2020[[#This Row],[Split_apply]])) - SUM($O144:X144)</f>
        <v>0</v>
      </c>
      <c r="Z144" s="37">
        <f ca="1">Log_2020[[#This Row],[Amount]]/Log_2020[[#This Row],[Split_raw]]*MAX(0,MIN(_xlfn.DAYS(EDATE(Z$1,1),Log_2020[[#This Row],[Date]]),Log_2020[[#This Row],[Split_apply]])) - SUM($O144:Y144)</f>
        <v>0</v>
      </c>
      <c r="AA144" s="37">
        <f ca="1">Log_2020[[#This Row],[Amount]]/Log_2020[[#This Row],[Split_raw]]*MAX(0,MIN(_xlfn.DAYS(EDATE(AA$1,1),Log_2020[[#This Row],[Date]]),Log_2020[[#This Row],[Split_apply]])) - SUM($O144:Z144)</f>
        <v>0</v>
      </c>
      <c r="AB144" s="59">
        <f ca="1">Log_2020[[#This Row],[Amount]]*Log_2020[[#This Row],[Split_apply]]/Log_2020[[#This Row],[Split_raw]]-SUM(O144:AA144)</f>
        <v>0</v>
      </c>
      <c r="AC144" s="7">
        <f>MAX(0,Log_2020[[#This Row],[Split_raw]] - (EDATE(AA$1,1)-Log_2020[[#This Row],[Date]]))</f>
        <v>0</v>
      </c>
    </row>
    <row r="145" spans="1:29" x14ac:dyDescent="0.25">
      <c r="A145" s="37"/>
      <c r="B145" s="34" t="s">
        <v>6</v>
      </c>
      <c r="C145" s="34"/>
      <c r="D145" s="35">
        <v>43867</v>
      </c>
      <c r="E145" s="34"/>
      <c r="F145" s="34" t="s">
        <v>345</v>
      </c>
      <c r="G145" s="34" t="s">
        <v>12</v>
      </c>
      <c r="H145">
        <v>-129.47</v>
      </c>
      <c r="I145" s="36">
        <f>IF(Log_2020[[#This Row],[My Category]]="NONTRACKED",0,Log_2020[[#This Row],[Raw Amount]])</f>
        <v>-129.47</v>
      </c>
      <c r="J145" s="37">
        <f>ABS(Log_2020[[#This Row],[Amount]])</f>
        <v>129.47</v>
      </c>
      <c r="K145" s="38">
        <v>1</v>
      </c>
      <c r="L145" s="38">
        <f ca="1">IF(Log_2020[[#This Row],[Date]]&lt;=TODAY(), MIN(Log_2020[[#This Row],[Split_raw]], TODAY()-Log_2020[[#This Row],[Date]]+1), 0)</f>
        <v>1</v>
      </c>
      <c r="M145" s="34" t="s">
        <v>12</v>
      </c>
      <c r="N145" s="34" t="s">
        <v>158</v>
      </c>
      <c r="O145" s="7"/>
      <c r="P145" s="37">
        <f ca="1">Log_2020[[#This Row],[Amount]]/Log_2020[[#This Row],[Split_raw]]*MAX(0,MIN(_xlfn.DAYS(EDATE(P$1,1),Log_2020[[#This Row],[Date]]),Log_2020[[#This Row],[Split_apply]])) - SUM($O145:O145)</f>
        <v>0</v>
      </c>
      <c r="Q145" s="37">
        <f ca="1">Log_2020[[#This Row],[Amount]]/Log_2020[[#This Row],[Split_raw]]*MAX(0,MIN(_xlfn.DAYS(EDATE(Q$1,1),Log_2020[[#This Row],[Date]]),Log_2020[[#This Row],[Split_apply]])) - SUM($O145:P145)</f>
        <v>-129.47</v>
      </c>
      <c r="R145" s="37">
        <f ca="1">Log_2020[[#This Row],[Amount]]/Log_2020[[#This Row],[Split_raw]]*MAX(0,MIN(_xlfn.DAYS(EDATE(R$1,1),Log_2020[[#This Row],[Date]]),Log_2020[[#This Row],[Split_apply]])) - SUM($O145:Q145)</f>
        <v>0</v>
      </c>
      <c r="S145" s="37">
        <f ca="1">Log_2020[[#This Row],[Amount]]/Log_2020[[#This Row],[Split_raw]]*MAX(0,MIN(_xlfn.DAYS(EDATE(S$1,1),Log_2020[[#This Row],[Date]]),Log_2020[[#This Row],[Split_apply]])) - SUM($O145:R145)</f>
        <v>0</v>
      </c>
      <c r="T145" s="37">
        <f ca="1">Log_2020[[#This Row],[Amount]]/Log_2020[[#This Row],[Split_raw]]*MAX(0,MIN(_xlfn.DAYS(EDATE(T$1,1),Log_2020[[#This Row],[Date]]),Log_2020[[#This Row],[Split_apply]])) - SUM($O145:S145)</f>
        <v>0</v>
      </c>
      <c r="U145" s="37">
        <f ca="1">Log_2020[[#This Row],[Amount]]/Log_2020[[#This Row],[Split_raw]]*MAX(0,MIN(_xlfn.DAYS(EDATE(U$1,1),Log_2020[[#This Row],[Date]]),Log_2020[[#This Row],[Split_apply]])) - SUM($O145:T145)</f>
        <v>0</v>
      </c>
      <c r="V145" s="37">
        <f ca="1">Log_2020[[#This Row],[Amount]]/Log_2020[[#This Row],[Split_raw]]*MAX(0,MIN(_xlfn.DAYS(EDATE(V$1,1),Log_2020[[#This Row],[Date]]),Log_2020[[#This Row],[Split_apply]])) - SUM($O145:U145)</f>
        <v>0</v>
      </c>
      <c r="W145" s="37">
        <f ca="1">Log_2020[[#This Row],[Amount]]/Log_2020[[#This Row],[Split_raw]]*MAX(0,MIN(_xlfn.DAYS(EDATE(W$1,1),Log_2020[[#This Row],[Date]]),Log_2020[[#This Row],[Split_apply]])) - SUM($O145:V145)</f>
        <v>0</v>
      </c>
      <c r="X145" s="37">
        <f ca="1">Log_2020[[#This Row],[Amount]]/Log_2020[[#This Row],[Split_raw]]*MAX(0,MIN(_xlfn.DAYS(EDATE(X$1,1),Log_2020[[#This Row],[Date]]),Log_2020[[#This Row],[Split_apply]])) - SUM($O145:W145)</f>
        <v>0</v>
      </c>
      <c r="Y145" s="37">
        <f ca="1">Log_2020[[#This Row],[Amount]]/Log_2020[[#This Row],[Split_raw]]*MAX(0,MIN(_xlfn.DAYS(EDATE(Y$1,1),Log_2020[[#This Row],[Date]]),Log_2020[[#This Row],[Split_apply]])) - SUM($O145:X145)</f>
        <v>0</v>
      </c>
      <c r="Z145" s="37">
        <f ca="1">Log_2020[[#This Row],[Amount]]/Log_2020[[#This Row],[Split_raw]]*MAX(0,MIN(_xlfn.DAYS(EDATE(Z$1,1),Log_2020[[#This Row],[Date]]),Log_2020[[#This Row],[Split_apply]])) - SUM($O145:Y145)</f>
        <v>0</v>
      </c>
      <c r="AA145" s="37">
        <f ca="1">Log_2020[[#This Row],[Amount]]/Log_2020[[#This Row],[Split_raw]]*MAX(0,MIN(_xlfn.DAYS(EDATE(AA$1,1),Log_2020[[#This Row],[Date]]),Log_2020[[#This Row],[Split_apply]])) - SUM($O145:Z145)</f>
        <v>0</v>
      </c>
      <c r="AB145" s="59">
        <f ca="1">Log_2020[[#This Row],[Amount]]*Log_2020[[#This Row],[Split_apply]]/Log_2020[[#This Row],[Split_raw]]-SUM(O145:AA145)</f>
        <v>0</v>
      </c>
      <c r="AC145" s="7">
        <f>MAX(0,Log_2020[[#This Row],[Split_raw]] - (EDATE(AA$1,1)-Log_2020[[#This Row],[Date]]))</f>
        <v>0</v>
      </c>
    </row>
    <row r="146" spans="1:29" x14ac:dyDescent="0.25">
      <c r="A146" s="37"/>
      <c r="B146" s="34" t="s">
        <v>6</v>
      </c>
      <c r="C146" s="34"/>
      <c r="D146" s="35">
        <v>43867</v>
      </c>
      <c r="E146" s="34"/>
      <c r="F146" s="34" t="s">
        <v>620</v>
      </c>
      <c r="G146" s="34" t="s">
        <v>189</v>
      </c>
      <c r="H146">
        <v>-30.02</v>
      </c>
      <c r="I146" s="36">
        <f>IF(Log_2020[[#This Row],[My Category]]="NONTRACKED",0,Log_2020[[#This Row],[Raw Amount]])</f>
        <v>-30.02</v>
      </c>
      <c r="J146" s="37">
        <f>ABS(Log_2020[[#This Row],[Amount]])</f>
        <v>30.02</v>
      </c>
      <c r="K146" s="38">
        <v>30</v>
      </c>
      <c r="L146" s="38">
        <f ca="1">IF(Log_2020[[#This Row],[Date]]&lt;=TODAY(), MIN(Log_2020[[#This Row],[Split_raw]], TODAY()-Log_2020[[#This Row],[Date]]+1), 0)</f>
        <v>30</v>
      </c>
      <c r="M146" s="34" t="s">
        <v>29</v>
      </c>
      <c r="N146" s="34" t="s">
        <v>158</v>
      </c>
      <c r="O146" s="7"/>
      <c r="P146" s="37">
        <f ca="1">Log_2020[[#This Row],[Amount]]/Log_2020[[#This Row],[Split_raw]]*MAX(0,MIN(_xlfn.DAYS(EDATE(P$1,1),Log_2020[[#This Row],[Date]]),Log_2020[[#This Row],[Split_apply]])) - SUM($O146:O146)</f>
        <v>0</v>
      </c>
      <c r="Q146" s="37">
        <f ca="1">Log_2020[[#This Row],[Amount]]/Log_2020[[#This Row],[Split_raw]]*MAX(0,MIN(_xlfn.DAYS(EDATE(Q$1,1),Log_2020[[#This Row],[Date]]),Log_2020[[#This Row],[Split_apply]])) - SUM($O146:P146)</f>
        <v>-24.015999999999998</v>
      </c>
      <c r="R146" s="37">
        <f ca="1">Log_2020[[#This Row],[Amount]]/Log_2020[[#This Row],[Split_raw]]*MAX(0,MIN(_xlfn.DAYS(EDATE(R$1,1),Log_2020[[#This Row],[Date]]),Log_2020[[#This Row],[Split_apply]])) - SUM($O146:Q146)</f>
        <v>-6.0039999999999978</v>
      </c>
      <c r="S146" s="37">
        <f ca="1">Log_2020[[#This Row],[Amount]]/Log_2020[[#This Row],[Split_raw]]*MAX(0,MIN(_xlfn.DAYS(EDATE(S$1,1),Log_2020[[#This Row],[Date]]),Log_2020[[#This Row],[Split_apply]])) - SUM($O146:R146)</f>
        <v>0</v>
      </c>
      <c r="T146" s="37">
        <f ca="1">Log_2020[[#This Row],[Amount]]/Log_2020[[#This Row],[Split_raw]]*MAX(0,MIN(_xlfn.DAYS(EDATE(T$1,1),Log_2020[[#This Row],[Date]]),Log_2020[[#This Row],[Split_apply]])) - SUM($O146:S146)</f>
        <v>0</v>
      </c>
      <c r="U146" s="37">
        <f ca="1">Log_2020[[#This Row],[Amount]]/Log_2020[[#This Row],[Split_raw]]*MAX(0,MIN(_xlfn.DAYS(EDATE(U$1,1),Log_2020[[#This Row],[Date]]),Log_2020[[#This Row],[Split_apply]])) - SUM($O146:T146)</f>
        <v>0</v>
      </c>
      <c r="V146" s="37">
        <f ca="1">Log_2020[[#This Row],[Amount]]/Log_2020[[#This Row],[Split_raw]]*MAX(0,MIN(_xlfn.DAYS(EDATE(V$1,1),Log_2020[[#This Row],[Date]]),Log_2020[[#This Row],[Split_apply]])) - SUM($O146:U146)</f>
        <v>0</v>
      </c>
      <c r="W146" s="37">
        <f ca="1">Log_2020[[#This Row],[Amount]]/Log_2020[[#This Row],[Split_raw]]*MAX(0,MIN(_xlfn.DAYS(EDATE(W$1,1),Log_2020[[#This Row],[Date]]),Log_2020[[#This Row],[Split_apply]])) - SUM($O146:V146)</f>
        <v>0</v>
      </c>
      <c r="X146" s="37">
        <f ca="1">Log_2020[[#This Row],[Amount]]/Log_2020[[#This Row],[Split_raw]]*MAX(0,MIN(_xlfn.DAYS(EDATE(X$1,1),Log_2020[[#This Row],[Date]]),Log_2020[[#This Row],[Split_apply]])) - SUM($O146:W146)</f>
        <v>0</v>
      </c>
      <c r="Y146" s="37">
        <f ca="1">Log_2020[[#This Row],[Amount]]/Log_2020[[#This Row],[Split_raw]]*MAX(0,MIN(_xlfn.DAYS(EDATE(Y$1,1),Log_2020[[#This Row],[Date]]),Log_2020[[#This Row],[Split_apply]])) - SUM($O146:X146)</f>
        <v>0</v>
      </c>
      <c r="Z146" s="37">
        <f ca="1">Log_2020[[#This Row],[Amount]]/Log_2020[[#This Row],[Split_raw]]*MAX(0,MIN(_xlfn.DAYS(EDATE(Z$1,1),Log_2020[[#This Row],[Date]]),Log_2020[[#This Row],[Split_apply]])) - SUM($O146:Y146)</f>
        <v>0</v>
      </c>
      <c r="AA146" s="37">
        <f ca="1">Log_2020[[#This Row],[Amount]]/Log_2020[[#This Row],[Split_raw]]*MAX(0,MIN(_xlfn.DAYS(EDATE(AA$1,1),Log_2020[[#This Row],[Date]]),Log_2020[[#This Row],[Split_apply]])) - SUM($O146:Z146)</f>
        <v>0</v>
      </c>
      <c r="AB146" s="59">
        <f ca="1">Log_2020[[#This Row],[Amount]]*Log_2020[[#This Row],[Split_apply]]/Log_2020[[#This Row],[Split_raw]]-SUM(O146:AA146)</f>
        <v>0</v>
      </c>
      <c r="AC146" s="7">
        <f>MAX(0,Log_2020[[#This Row],[Split_raw]] - (EDATE(AA$1,1)-Log_2020[[#This Row],[Date]]))</f>
        <v>0</v>
      </c>
    </row>
    <row r="147" spans="1:29" x14ac:dyDescent="0.25">
      <c r="A147" s="37"/>
      <c r="B147" s="34" t="s">
        <v>6</v>
      </c>
      <c r="C147" s="34"/>
      <c r="D147" s="35">
        <v>43866</v>
      </c>
      <c r="E147" s="34"/>
      <c r="F147" s="34" t="s">
        <v>270</v>
      </c>
      <c r="G147" s="34" t="s">
        <v>25</v>
      </c>
      <c r="H147">
        <v>-10.53</v>
      </c>
      <c r="I147" s="36">
        <f>IF(Log_2020[[#This Row],[My Category]]="NONTRACKED",0,Log_2020[[#This Row],[Raw Amount]])</f>
        <v>-10.53</v>
      </c>
      <c r="J147" s="37">
        <f>ABS(Log_2020[[#This Row],[Amount]])</f>
        <v>10.53</v>
      </c>
      <c r="K147" s="38">
        <v>1</v>
      </c>
      <c r="L147" s="38">
        <f ca="1">IF(Log_2020[[#This Row],[Date]]&lt;=TODAY(), MIN(Log_2020[[#This Row],[Split_raw]], TODAY()-Log_2020[[#This Row],[Date]]+1), 0)</f>
        <v>1</v>
      </c>
      <c r="M147" s="34" t="s">
        <v>35</v>
      </c>
      <c r="N147" s="34" t="s">
        <v>158</v>
      </c>
      <c r="O147" s="7"/>
      <c r="P147" s="37">
        <f ca="1">Log_2020[[#This Row],[Amount]]/Log_2020[[#This Row],[Split_raw]]*MAX(0,MIN(_xlfn.DAYS(EDATE(P$1,1),Log_2020[[#This Row],[Date]]),Log_2020[[#This Row],[Split_apply]])) - SUM($O147:O147)</f>
        <v>0</v>
      </c>
      <c r="Q147" s="37">
        <f ca="1">Log_2020[[#This Row],[Amount]]/Log_2020[[#This Row],[Split_raw]]*MAX(0,MIN(_xlfn.DAYS(EDATE(Q$1,1),Log_2020[[#This Row],[Date]]),Log_2020[[#This Row],[Split_apply]])) - SUM($O147:P147)</f>
        <v>-10.53</v>
      </c>
      <c r="R147" s="37">
        <f ca="1">Log_2020[[#This Row],[Amount]]/Log_2020[[#This Row],[Split_raw]]*MAX(0,MIN(_xlfn.DAYS(EDATE(R$1,1),Log_2020[[#This Row],[Date]]),Log_2020[[#This Row],[Split_apply]])) - SUM($O147:Q147)</f>
        <v>0</v>
      </c>
      <c r="S147" s="37">
        <f ca="1">Log_2020[[#This Row],[Amount]]/Log_2020[[#This Row],[Split_raw]]*MAX(0,MIN(_xlfn.DAYS(EDATE(S$1,1),Log_2020[[#This Row],[Date]]),Log_2020[[#This Row],[Split_apply]])) - SUM($O147:R147)</f>
        <v>0</v>
      </c>
      <c r="T147" s="37">
        <f ca="1">Log_2020[[#This Row],[Amount]]/Log_2020[[#This Row],[Split_raw]]*MAX(0,MIN(_xlfn.DAYS(EDATE(T$1,1),Log_2020[[#This Row],[Date]]),Log_2020[[#This Row],[Split_apply]])) - SUM($O147:S147)</f>
        <v>0</v>
      </c>
      <c r="U147" s="37">
        <f ca="1">Log_2020[[#This Row],[Amount]]/Log_2020[[#This Row],[Split_raw]]*MAX(0,MIN(_xlfn.DAYS(EDATE(U$1,1),Log_2020[[#This Row],[Date]]),Log_2020[[#This Row],[Split_apply]])) - SUM($O147:T147)</f>
        <v>0</v>
      </c>
      <c r="V147" s="37">
        <f ca="1">Log_2020[[#This Row],[Amount]]/Log_2020[[#This Row],[Split_raw]]*MAX(0,MIN(_xlfn.DAYS(EDATE(V$1,1),Log_2020[[#This Row],[Date]]),Log_2020[[#This Row],[Split_apply]])) - SUM($O147:U147)</f>
        <v>0</v>
      </c>
      <c r="W147" s="37">
        <f ca="1">Log_2020[[#This Row],[Amount]]/Log_2020[[#This Row],[Split_raw]]*MAX(0,MIN(_xlfn.DAYS(EDATE(W$1,1),Log_2020[[#This Row],[Date]]),Log_2020[[#This Row],[Split_apply]])) - SUM($O147:V147)</f>
        <v>0</v>
      </c>
      <c r="X147" s="37">
        <f ca="1">Log_2020[[#This Row],[Amount]]/Log_2020[[#This Row],[Split_raw]]*MAX(0,MIN(_xlfn.DAYS(EDATE(X$1,1),Log_2020[[#This Row],[Date]]),Log_2020[[#This Row],[Split_apply]])) - SUM($O147:W147)</f>
        <v>0</v>
      </c>
      <c r="Y147" s="37">
        <f ca="1">Log_2020[[#This Row],[Amount]]/Log_2020[[#This Row],[Split_raw]]*MAX(0,MIN(_xlfn.DAYS(EDATE(Y$1,1),Log_2020[[#This Row],[Date]]),Log_2020[[#This Row],[Split_apply]])) - SUM($O147:X147)</f>
        <v>0</v>
      </c>
      <c r="Z147" s="37">
        <f ca="1">Log_2020[[#This Row],[Amount]]/Log_2020[[#This Row],[Split_raw]]*MAX(0,MIN(_xlfn.DAYS(EDATE(Z$1,1),Log_2020[[#This Row],[Date]]),Log_2020[[#This Row],[Split_apply]])) - SUM($O147:Y147)</f>
        <v>0</v>
      </c>
      <c r="AA147" s="37">
        <f ca="1">Log_2020[[#This Row],[Amount]]/Log_2020[[#This Row],[Split_raw]]*MAX(0,MIN(_xlfn.DAYS(EDATE(AA$1,1),Log_2020[[#This Row],[Date]]),Log_2020[[#This Row],[Split_apply]])) - SUM($O147:Z147)</f>
        <v>0</v>
      </c>
      <c r="AB147" s="59">
        <f ca="1">Log_2020[[#This Row],[Amount]]*Log_2020[[#This Row],[Split_apply]]/Log_2020[[#This Row],[Split_raw]]-SUM(O147:AA147)</f>
        <v>0</v>
      </c>
      <c r="AC147" s="7">
        <f>MAX(0,Log_2020[[#This Row],[Split_raw]] - (EDATE(AA$1,1)-Log_2020[[#This Row],[Date]]))</f>
        <v>0</v>
      </c>
    </row>
    <row r="148" spans="1:29" x14ac:dyDescent="0.25">
      <c r="A148" s="37"/>
      <c r="B148" s="34" t="s">
        <v>6</v>
      </c>
      <c r="C148" s="34"/>
      <c r="D148" s="35">
        <v>43865</v>
      </c>
      <c r="E148" s="34"/>
      <c r="F148" s="34" t="s">
        <v>255</v>
      </c>
      <c r="G148" s="34" t="s">
        <v>12</v>
      </c>
      <c r="H148">
        <v>-9.06</v>
      </c>
      <c r="I148" s="36">
        <f>IF(Log_2020[[#This Row],[My Category]]="NONTRACKED",0,Log_2020[[#This Row],[Raw Amount]])</f>
        <v>-9.06</v>
      </c>
      <c r="J148" s="37">
        <f>ABS(Log_2020[[#This Row],[Amount]])</f>
        <v>9.06</v>
      </c>
      <c r="K148" s="38">
        <v>1</v>
      </c>
      <c r="L148" s="38">
        <f ca="1">IF(Log_2020[[#This Row],[Date]]&lt;=TODAY(), MIN(Log_2020[[#This Row],[Split_raw]], TODAY()-Log_2020[[#This Row],[Date]]+1), 0)</f>
        <v>1</v>
      </c>
      <c r="M148" s="34" t="s">
        <v>35</v>
      </c>
      <c r="N148" s="34" t="s">
        <v>158</v>
      </c>
      <c r="O148" s="7"/>
      <c r="P148" s="37">
        <f ca="1">Log_2020[[#This Row],[Amount]]/Log_2020[[#This Row],[Split_raw]]*MAX(0,MIN(_xlfn.DAYS(EDATE(P$1,1),Log_2020[[#This Row],[Date]]),Log_2020[[#This Row],[Split_apply]])) - SUM($O148:O148)</f>
        <v>0</v>
      </c>
      <c r="Q148" s="37">
        <f ca="1">Log_2020[[#This Row],[Amount]]/Log_2020[[#This Row],[Split_raw]]*MAX(0,MIN(_xlfn.DAYS(EDATE(Q$1,1),Log_2020[[#This Row],[Date]]),Log_2020[[#This Row],[Split_apply]])) - SUM($O148:P148)</f>
        <v>-9.06</v>
      </c>
      <c r="R148" s="37">
        <f ca="1">Log_2020[[#This Row],[Amount]]/Log_2020[[#This Row],[Split_raw]]*MAX(0,MIN(_xlfn.DAYS(EDATE(R$1,1),Log_2020[[#This Row],[Date]]),Log_2020[[#This Row],[Split_apply]])) - SUM($O148:Q148)</f>
        <v>0</v>
      </c>
      <c r="S148" s="37">
        <f ca="1">Log_2020[[#This Row],[Amount]]/Log_2020[[#This Row],[Split_raw]]*MAX(0,MIN(_xlfn.DAYS(EDATE(S$1,1),Log_2020[[#This Row],[Date]]),Log_2020[[#This Row],[Split_apply]])) - SUM($O148:R148)</f>
        <v>0</v>
      </c>
      <c r="T148" s="37">
        <f ca="1">Log_2020[[#This Row],[Amount]]/Log_2020[[#This Row],[Split_raw]]*MAX(0,MIN(_xlfn.DAYS(EDATE(T$1,1),Log_2020[[#This Row],[Date]]),Log_2020[[#This Row],[Split_apply]])) - SUM($O148:S148)</f>
        <v>0</v>
      </c>
      <c r="U148" s="37">
        <f ca="1">Log_2020[[#This Row],[Amount]]/Log_2020[[#This Row],[Split_raw]]*MAX(0,MIN(_xlfn.DAYS(EDATE(U$1,1),Log_2020[[#This Row],[Date]]),Log_2020[[#This Row],[Split_apply]])) - SUM($O148:T148)</f>
        <v>0</v>
      </c>
      <c r="V148" s="37">
        <f ca="1">Log_2020[[#This Row],[Amount]]/Log_2020[[#This Row],[Split_raw]]*MAX(0,MIN(_xlfn.DAYS(EDATE(V$1,1),Log_2020[[#This Row],[Date]]),Log_2020[[#This Row],[Split_apply]])) - SUM($O148:U148)</f>
        <v>0</v>
      </c>
      <c r="W148" s="37">
        <f ca="1">Log_2020[[#This Row],[Amount]]/Log_2020[[#This Row],[Split_raw]]*MAX(0,MIN(_xlfn.DAYS(EDATE(W$1,1),Log_2020[[#This Row],[Date]]),Log_2020[[#This Row],[Split_apply]])) - SUM($O148:V148)</f>
        <v>0</v>
      </c>
      <c r="X148" s="37">
        <f ca="1">Log_2020[[#This Row],[Amount]]/Log_2020[[#This Row],[Split_raw]]*MAX(0,MIN(_xlfn.DAYS(EDATE(X$1,1),Log_2020[[#This Row],[Date]]),Log_2020[[#This Row],[Split_apply]])) - SUM($O148:W148)</f>
        <v>0</v>
      </c>
      <c r="Y148" s="37">
        <f ca="1">Log_2020[[#This Row],[Amount]]/Log_2020[[#This Row],[Split_raw]]*MAX(0,MIN(_xlfn.DAYS(EDATE(Y$1,1),Log_2020[[#This Row],[Date]]),Log_2020[[#This Row],[Split_apply]])) - SUM($O148:X148)</f>
        <v>0</v>
      </c>
      <c r="Z148" s="37">
        <f ca="1">Log_2020[[#This Row],[Amount]]/Log_2020[[#This Row],[Split_raw]]*MAX(0,MIN(_xlfn.DAYS(EDATE(Z$1,1),Log_2020[[#This Row],[Date]]),Log_2020[[#This Row],[Split_apply]])) - SUM($O148:Y148)</f>
        <v>0</v>
      </c>
      <c r="AA148" s="37">
        <f ca="1">Log_2020[[#This Row],[Amount]]/Log_2020[[#This Row],[Split_raw]]*MAX(0,MIN(_xlfn.DAYS(EDATE(AA$1,1),Log_2020[[#This Row],[Date]]),Log_2020[[#This Row],[Split_apply]])) - SUM($O148:Z148)</f>
        <v>0</v>
      </c>
      <c r="AB148" s="59">
        <f ca="1">Log_2020[[#This Row],[Amount]]*Log_2020[[#This Row],[Split_apply]]/Log_2020[[#This Row],[Split_raw]]-SUM(O148:AA148)</f>
        <v>0</v>
      </c>
      <c r="AC148" s="7">
        <f>MAX(0,Log_2020[[#This Row],[Split_raw]] - (EDATE(AA$1,1)-Log_2020[[#This Row],[Date]]))</f>
        <v>0</v>
      </c>
    </row>
    <row r="149" spans="1:29" x14ac:dyDescent="0.25">
      <c r="A149" s="37"/>
      <c r="B149" s="34" t="s">
        <v>6</v>
      </c>
      <c r="C149" s="34"/>
      <c r="D149" s="35">
        <v>43865</v>
      </c>
      <c r="E149" s="34"/>
      <c r="F149" s="34" t="s">
        <v>138</v>
      </c>
      <c r="G149" s="34" t="s">
        <v>104</v>
      </c>
      <c r="H149">
        <v>-724.88</v>
      </c>
      <c r="I149" s="36">
        <f>IF(Log_2020[[#This Row],[My Category]]="NONTRACKED",0,Log_2020[[#This Row],[Raw Amount]])</f>
        <v>-724.88</v>
      </c>
      <c r="J149" s="37">
        <f>ABS(Log_2020[[#This Row],[Amount]])</f>
        <v>724.88</v>
      </c>
      <c r="K149" s="38">
        <v>1</v>
      </c>
      <c r="L149" s="38">
        <f ca="1">IF(Log_2020[[#This Row],[Date]]&lt;=TODAY(), MIN(Log_2020[[#This Row],[Split_raw]], TODAY()-Log_2020[[#This Row],[Date]]+1), 0)</f>
        <v>1</v>
      </c>
      <c r="M149" s="34" t="s">
        <v>159</v>
      </c>
      <c r="N149" s="34" t="s">
        <v>160</v>
      </c>
      <c r="O149" s="7"/>
      <c r="P149" s="37">
        <f ca="1">Log_2020[[#This Row],[Amount]]/Log_2020[[#This Row],[Split_raw]]*MAX(0,MIN(_xlfn.DAYS(EDATE(P$1,1),Log_2020[[#This Row],[Date]]),Log_2020[[#This Row],[Split_apply]])) - SUM($O149:O149)</f>
        <v>0</v>
      </c>
      <c r="Q149" s="37">
        <f ca="1">Log_2020[[#This Row],[Amount]]/Log_2020[[#This Row],[Split_raw]]*MAX(0,MIN(_xlfn.DAYS(EDATE(Q$1,1),Log_2020[[#This Row],[Date]]),Log_2020[[#This Row],[Split_apply]])) - SUM($O149:P149)</f>
        <v>-724.88</v>
      </c>
      <c r="R149" s="37">
        <f ca="1">Log_2020[[#This Row],[Amount]]/Log_2020[[#This Row],[Split_raw]]*MAX(0,MIN(_xlfn.DAYS(EDATE(R$1,1),Log_2020[[#This Row],[Date]]),Log_2020[[#This Row],[Split_apply]])) - SUM($O149:Q149)</f>
        <v>0</v>
      </c>
      <c r="S149" s="37">
        <f ca="1">Log_2020[[#This Row],[Amount]]/Log_2020[[#This Row],[Split_raw]]*MAX(0,MIN(_xlfn.DAYS(EDATE(S$1,1),Log_2020[[#This Row],[Date]]),Log_2020[[#This Row],[Split_apply]])) - SUM($O149:R149)</f>
        <v>0</v>
      </c>
      <c r="T149" s="37">
        <f ca="1">Log_2020[[#This Row],[Amount]]/Log_2020[[#This Row],[Split_raw]]*MAX(0,MIN(_xlfn.DAYS(EDATE(T$1,1),Log_2020[[#This Row],[Date]]),Log_2020[[#This Row],[Split_apply]])) - SUM($O149:S149)</f>
        <v>0</v>
      </c>
      <c r="U149" s="37">
        <f ca="1">Log_2020[[#This Row],[Amount]]/Log_2020[[#This Row],[Split_raw]]*MAX(0,MIN(_xlfn.DAYS(EDATE(U$1,1),Log_2020[[#This Row],[Date]]),Log_2020[[#This Row],[Split_apply]])) - SUM($O149:T149)</f>
        <v>0</v>
      </c>
      <c r="V149" s="37">
        <f ca="1">Log_2020[[#This Row],[Amount]]/Log_2020[[#This Row],[Split_raw]]*MAX(0,MIN(_xlfn.DAYS(EDATE(V$1,1),Log_2020[[#This Row],[Date]]),Log_2020[[#This Row],[Split_apply]])) - SUM($O149:U149)</f>
        <v>0</v>
      </c>
      <c r="W149" s="37">
        <f ca="1">Log_2020[[#This Row],[Amount]]/Log_2020[[#This Row],[Split_raw]]*MAX(0,MIN(_xlfn.DAYS(EDATE(W$1,1),Log_2020[[#This Row],[Date]]),Log_2020[[#This Row],[Split_apply]])) - SUM($O149:V149)</f>
        <v>0</v>
      </c>
      <c r="X149" s="37">
        <f ca="1">Log_2020[[#This Row],[Amount]]/Log_2020[[#This Row],[Split_raw]]*MAX(0,MIN(_xlfn.DAYS(EDATE(X$1,1),Log_2020[[#This Row],[Date]]),Log_2020[[#This Row],[Split_apply]])) - SUM($O149:W149)</f>
        <v>0</v>
      </c>
      <c r="Y149" s="37">
        <f ca="1">Log_2020[[#This Row],[Amount]]/Log_2020[[#This Row],[Split_raw]]*MAX(0,MIN(_xlfn.DAYS(EDATE(Y$1,1),Log_2020[[#This Row],[Date]]),Log_2020[[#This Row],[Split_apply]])) - SUM($O149:X149)</f>
        <v>0</v>
      </c>
      <c r="Z149" s="37">
        <f ca="1">Log_2020[[#This Row],[Amount]]/Log_2020[[#This Row],[Split_raw]]*MAX(0,MIN(_xlfn.DAYS(EDATE(Z$1,1),Log_2020[[#This Row],[Date]]),Log_2020[[#This Row],[Split_apply]])) - SUM($O149:Y149)</f>
        <v>0</v>
      </c>
      <c r="AA149" s="37">
        <f ca="1">Log_2020[[#This Row],[Amount]]/Log_2020[[#This Row],[Split_raw]]*MAX(0,MIN(_xlfn.DAYS(EDATE(AA$1,1),Log_2020[[#This Row],[Date]]),Log_2020[[#This Row],[Split_apply]])) - SUM($O149:Z149)</f>
        <v>0</v>
      </c>
      <c r="AB149" s="59">
        <f ca="1">Log_2020[[#This Row],[Amount]]*Log_2020[[#This Row],[Split_apply]]/Log_2020[[#This Row],[Split_raw]]-SUM(O149:AA149)</f>
        <v>0</v>
      </c>
      <c r="AC149" s="7">
        <f>MAX(0,Log_2020[[#This Row],[Split_raw]] - (EDATE(AA$1,1)-Log_2020[[#This Row],[Date]]))</f>
        <v>0</v>
      </c>
    </row>
    <row r="150" spans="1:29" x14ac:dyDescent="0.25">
      <c r="A150" s="37"/>
      <c r="B150" s="34" t="s">
        <v>6</v>
      </c>
      <c r="C150" s="34"/>
      <c r="D150" s="35">
        <v>43865</v>
      </c>
      <c r="E150" s="34"/>
      <c r="F150" s="34" t="s">
        <v>898</v>
      </c>
      <c r="G150" s="34" t="s">
        <v>19</v>
      </c>
      <c r="H150">
        <v>-100</v>
      </c>
      <c r="I150" s="36">
        <f>IF(Log_2020[[#This Row],[My Category]]="NONTRACKED",0,Log_2020[[#This Row],[Raw Amount]])</f>
        <v>-100</v>
      </c>
      <c r="J150" s="37">
        <f>ABS(Log_2020[[#This Row],[Amount]])</f>
        <v>100</v>
      </c>
      <c r="K150" s="38">
        <v>1</v>
      </c>
      <c r="L150" s="38">
        <f ca="1">IF(Log_2020[[#This Row],[Date]]&lt;=TODAY(), MIN(Log_2020[[#This Row],[Split_raw]], TODAY()-Log_2020[[#This Row],[Date]]+1), 0)</f>
        <v>1</v>
      </c>
      <c r="M150" s="34" t="s">
        <v>196</v>
      </c>
      <c r="N150" s="34" t="s">
        <v>160</v>
      </c>
      <c r="O150" s="7"/>
      <c r="P150" s="37">
        <f ca="1">Log_2020[[#This Row],[Amount]]/Log_2020[[#This Row],[Split_raw]]*MAX(0,MIN(_xlfn.DAYS(EDATE(P$1,1),Log_2020[[#This Row],[Date]]),Log_2020[[#This Row],[Split_apply]])) - SUM($O150:O150)</f>
        <v>0</v>
      </c>
      <c r="Q150" s="37">
        <f ca="1">Log_2020[[#This Row],[Amount]]/Log_2020[[#This Row],[Split_raw]]*MAX(0,MIN(_xlfn.DAYS(EDATE(Q$1,1),Log_2020[[#This Row],[Date]]),Log_2020[[#This Row],[Split_apply]])) - SUM($O150:P150)</f>
        <v>-100</v>
      </c>
      <c r="R150" s="37">
        <f ca="1">Log_2020[[#This Row],[Amount]]/Log_2020[[#This Row],[Split_raw]]*MAX(0,MIN(_xlfn.DAYS(EDATE(R$1,1),Log_2020[[#This Row],[Date]]),Log_2020[[#This Row],[Split_apply]])) - SUM($O150:Q150)</f>
        <v>0</v>
      </c>
      <c r="S150" s="37">
        <f ca="1">Log_2020[[#This Row],[Amount]]/Log_2020[[#This Row],[Split_raw]]*MAX(0,MIN(_xlfn.DAYS(EDATE(S$1,1),Log_2020[[#This Row],[Date]]),Log_2020[[#This Row],[Split_apply]])) - SUM($O150:R150)</f>
        <v>0</v>
      </c>
      <c r="T150" s="37">
        <f ca="1">Log_2020[[#This Row],[Amount]]/Log_2020[[#This Row],[Split_raw]]*MAX(0,MIN(_xlfn.DAYS(EDATE(T$1,1),Log_2020[[#This Row],[Date]]),Log_2020[[#This Row],[Split_apply]])) - SUM($O150:S150)</f>
        <v>0</v>
      </c>
      <c r="U150" s="37">
        <f ca="1">Log_2020[[#This Row],[Amount]]/Log_2020[[#This Row],[Split_raw]]*MAX(0,MIN(_xlfn.DAYS(EDATE(U$1,1),Log_2020[[#This Row],[Date]]),Log_2020[[#This Row],[Split_apply]])) - SUM($O150:T150)</f>
        <v>0</v>
      </c>
      <c r="V150" s="37">
        <f ca="1">Log_2020[[#This Row],[Amount]]/Log_2020[[#This Row],[Split_raw]]*MAX(0,MIN(_xlfn.DAYS(EDATE(V$1,1),Log_2020[[#This Row],[Date]]),Log_2020[[#This Row],[Split_apply]])) - SUM($O150:U150)</f>
        <v>0</v>
      </c>
      <c r="W150" s="37">
        <f ca="1">Log_2020[[#This Row],[Amount]]/Log_2020[[#This Row],[Split_raw]]*MAX(0,MIN(_xlfn.DAYS(EDATE(W$1,1),Log_2020[[#This Row],[Date]]),Log_2020[[#This Row],[Split_apply]])) - SUM($O150:V150)</f>
        <v>0</v>
      </c>
      <c r="X150" s="37">
        <f ca="1">Log_2020[[#This Row],[Amount]]/Log_2020[[#This Row],[Split_raw]]*MAX(0,MIN(_xlfn.DAYS(EDATE(X$1,1),Log_2020[[#This Row],[Date]]),Log_2020[[#This Row],[Split_apply]])) - SUM($O150:W150)</f>
        <v>0</v>
      </c>
      <c r="Y150" s="37">
        <f ca="1">Log_2020[[#This Row],[Amount]]/Log_2020[[#This Row],[Split_raw]]*MAX(0,MIN(_xlfn.DAYS(EDATE(Y$1,1),Log_2020[[#This Row],[Date]]),Log_2020[[#This Row],[Split_apply]])) - SUM($O150:X150)</f>
        <v>0</v>
      </c>
      <c r="Z150" s="37">
        <f ca="1">Log_2020[[#This Row],[Amount]]/Log_2020[[#This Row],[Split_raw]]*MAX(0,MIN(_xlfn.DAYS(EDATE(Z$1,1),Log_2020[[#This Row],[Date]]),Log_2020[[#This Row],[Split_apply]])) - SUM($O150:Y150)</f>
        <v>0</v>
      </c>
      <c r="AA150" s="37">
        <f ca="1">Log_2020[[#This Row],[Amount]]/Log_2020[[#This Row],[Split_raw]]*MAX(0,MIN(_xlfn.DAYS(EDATE(AA$1,1),Log_2020[[#This Row],[Date]]),Log_2020[[#This Row],[Split_apply]])) - SUM($O150:Z150)</f>
        <v>0</v>
      </c>
      <c r="AB150" s="59">
        <f ca="1">Log_2020[[#This Row],[Amount]]*Log_2020[[#This Row],[Split_apply]]/Log_2020[[#This Row],[Split_raw]]-SUM(O150:AA150)</f>
        <v>0</v>
      </c>
      <c r="AC150" s="7">
        <f>MAX(0,Log_2020[[#This Row],[Split_raw]] - (EDATE(AA$1,1)-Log_2020[[#This Row],[Date]]))</f>
        <v>0</v>
      </c>
    </row>
    <row r="151" spans="1:29" x14ac:dyDescent="0.25">
      <c r="A151" s="37"/>
      <c r="B151" s="34" t="s">
        <v>6</v>
      </c>
      <c r="C151" s="34"/>
      <c r="D151" s="35">
        <v>43865</v>
      </c>
      <c r="E151" s="34"/>
      <c r="F151" s="34" t="s">
        <v>867</v>
      </c>
      <c r="G151" s="34" t="s">
        <v>12</v>
      </c>
      <c r="H151">
        <v>-41.04</v>
      </c>
      <c r="I151" s="36">
        <f>IF(Log_2020[[#This Row],[My Category]]="NONTRACKED",0,Log_2020[[#This Row],[Raw Amount]])</f>
        <v>-41.04</v>
      </c>
      <c r="J151" s="37">
        <f>ABS(Log_2020[[#This Row],[Amount]])</f>
        <v>41.04</v>
      </c>
      <c r="K151" s="38">
        <v>1</v>
      </c>
      <c r="L151" s="38">
        <f ca="1">IF(Log_2020[[#This Row],[Date]]&lt;=TODAY(), MIN(Log_2020[[#This Row],[Split_raw]], TODAY()-Log_2020[[#This Row],[Date]]+1), 0)</f>
        <v>1</v>
      </c>
      <c r="M151" s="34" t="s">
        <v>38</v>
      </c>
      <c r="N151" s="34" t="s">
        <v>158</v>
      </c>
      <c r="O151" s="7"/>
      <c r="P151" s="37">
        <f ca="1">Log_2020[[#This Row],[Amount]]/Log_2020[[#This Row],[Split_raw]]*MAX(0,MIN(_xlfn.DAYS(EDATE(P$1,1),Log_2020[[#This Row],[Date]]),Log_2020[[#This Row],[Split_apply]])) - SUM($O151:O151)</f>
        <v>0</v>
      </c>
      <c r="Q151" s="37">
        <f ca="1">Log_2020[[#This Row],[Amount]]/Log_2020[[#This Row],[Split_raw]]*MAX(0,MIN(_xlfn.DAYS(EDATE(Q$1,1),Log_2020[[#This Row],[Date]]),Log_2020[[#This Row],[Split_apply]])) - SUM($O151:P151)</f>
        <v>-41.04</v>
      </c>
      <c r="R151" s="37">
        <f ca="1">Log_2020[[#This Row],[Amount]]/Log_2020[[#This Row],[Split_raw]]*MAX(0,MIN(_xlfn.DAYS(EDATE(R$1,1),Log_2020[[#This Row],[Date]]),Log_2020[[#This Row],[Split_apply]])) - SUM($O151:Q151)</f>
        <v>0</v>
      </c>
      <c r="S151" s="37">
        <f ca="1">Log_2020[[#This Row],[Amount]]/Log_2020[[#This Row],[Split_raw]]*MAX(0,MIN(_xlfn.DAYS(EDATE(S$1,1),Log_2020[[#This Row],[Date]]),Log_2020[[#This Row],[Split_apply]])) - SUM($O151:R151)</f>
        <v>0</v>
      </c>
      <c r="T151" s="37">
        <f ca="1">Log_2020[[#This Row],[Amount]]/Log_2020[[#This Row],[Split_raw]]*MAX(0,MIN(_xlfn.DAYS(EDATE(T$1,1),Log_2020[[#This Row],[Date]]),Log_2020[[#This Row],[Split_apply]])) - SUM($O151:S151)</f>
        <v>0</v>
      </c>
      <c r="U151" s="37">
        <f ca="1">Log_2020[[#This Row],[Amount]]/Log_2020[[#This Row],[Split_raw]]*MAX(0,MIN(_xlfn.DAYS(EDATE(U$1,1),Log_2020[[#This Row],[Date]]),Log_2020[[#This Row],[Split_apply]])) - SUM($O151:T151)</f>
        <v>0</v>
      </c>
      <c r="V151" s="37">
        <f ca="1">Log_2020[[#This Row],[Amount]]/Log_2020[[#This Row],[Split_raw]]*MAX(0,MIN(_xlfn.DAYS(EDATE(V$1,1),Log_2020[[#This Row],[Date]]),Log_2020[[#This Row],[Split_apply]])) - SUM($O151:U151)</f>
        <v>0</v>
      </c>
      <c r="W151" s="37">
        <f ca="1">Log_2020[[#This Row],[Amount]]/Log_2020[[#This Row],[Split_raw]]*MAX(0,MIN(_xlfn.DAYS(EDATE(W$1,1),Log_2020[[#This Row],[Date]]),Log_2020[[#This Row],[Split_apply]])) - SUM($O151:V151)</f>
        <v>0</v>
      </c>
      <c r="X151" s="37">
        <f ca="1">Log_2020[[#This Row],[Amount]]/Log_2020[[#This Row],[Split_raw]]*MAX(0,MIN(_xlfn.DAYS(EDATE(X$1,1),Log_2020[[#This Row],[Date]]),Log_2020[[#This Row],[Split_apply]])) - SUM($O151:W151)</f>
        <v>0</v>
      </c>
      <c r="Y151" s="37">
        <f ca="1">Log_2020[[#This Row],[Amount]]/Log_2020[[#This Row],[Split_raw]]*MAX(0,MIN(_xlfn.DAYS(EDATE(Y$1,1),Log_2020[[#This Row],[Date]]),Log_2020[[#This Row],[Split_apply]])) - SUM($O151:X151)</f>
        <v>0</v>
      </c>
      <c r="Z151" s="37">
        <f ca="1">Log_2020[[#This Row],[Amount]]/Log_2020[[#This Row],[Split_raw]]*MAX(0,MIN(_xlfn.DAYS(EDATE(Z$1,1),Log_2020[[#This Row],[Date]]),Log_2020[[#This Row],[Split_apply]])) - SUM($O151:Y151)</f>
        <v>0</v>
      </c>
      <c r="AA151" s="37">
        <f ca="1">Log_2020[[#This Row],[Amount]]/Log_2020[[#This Row],[Split_raw]]*MAX(0,MIN(_xlfn.DAYS(EDATE(AA$1,1),Log_2020[[#This Row],[Date]]),Log_2020[[#This Row],[Split_apply]])) - SUM($O151:Z151)</f>
        <v>0</v>
      </c>
      <c r="AB151" s="59">
        <f ca="1">Log_2020[[#This Row],[Amount]]*Log_2020[[#This Row],[Split_apply]]/Log_2020[[#This Row],[Split_raw]]-SUM(O151:AA151)</f>
        <v>0</v>
      </c>
      <c r="AC151" s="7">
        <f>MAX(0,Log_2020[[#This Row],[Split_raw]] - (EDATE(AA$1,1)-Log_2020[[#This Row],[Date]]))</f>
        <v>0</v>
      </c>
    </row>
    <row r="152" spans="1:29" x14ac:dyDescent="0.25">
      <c r="A152" s="37"/>
      <c r="B152" s="34" t="s">
        <v>6</v>
      </c>
      <c r="C152" s="34"/>
      <c r="D152" s="35">
        <v>43865</v>
      </c>
      <c r="E152" s="34"/>
      <c r="F152" s="34" t="s">
        <v>255</v>
      </c>
      <c r="G152" s="34" t="s">
        <v>12</v>
      </c>
      <c r="H152">
        <v>-20.059999999999999</v>
      </c>
      <c r="I152" s="36">
        <f>IF(Log_2020[[#This Row],[My Category]]="NONTRACKED",0,Log_2020[[#This Row],[Raw Amount]])</f>
        <v>-20.059999999999999</v>
      </c>
      <c r="J152" s="37">
        <f>ABS(Log_2020[[#This Row],[Amount]])</f>
        <v>20.059999999999999</v>
      </c>
      <c r="K152" s="38">
        <v>1</v>
      </c>
      <c r="L152" s="38">
        <f ca="1">IF(Log_2020[[#This Row],[Date]]&lt;=TODAY(), MIN(Log_2020[[#This Row],[Split_raw]], TODAY()-Log_2020[[#This Row],[Date]]+1), 0)</f>
        <v>1</v>
      </c>
      <c r="M152" s="34" t="s">
        <v>52</v>
      </c>
      <c r="N152" s="34" t="s">
        <v>158</v>
      </c>
      <c r="O152" s="7"/>
      <c r="P152" s="37">
        <f ca="1">Log_2020[[#This Row],[Amount]]/Log_2020[[#This Row],[Split_raw]]*MAX(0,MIN(_xlfn.DAYS(EDATE(P$1,1),Log_2020[[#This Row],[Date]]),Log_2020[[#This Row],[Split_apply]])) - SUM($O152:O152)</f>
        <v>0</v>
      </c>
      <c r="Q152" s="37">
        <f ca="1">Log_2020[[#This Row],[Amount]]/Log_2020[[#This Row],[Split_raw]]*MAX(0,MIN(_xlfn.DAYS(EDATE(Q$1,1),Log_2020[[#This Row],[Date]]),Log_2020[[#This Row],[Split_apply]])) - SUM($O152:P152)</f>
        <v>-20.059999999999999</v>
      </c>
      <c r="R152" s="37">
        <f ca="1">Log_2020[[#This Row],[Amount]]/Log_2020[[#This Row],[Split_raw]]*MAX(0,MIN(_xlfn.DAYS(EDATE(R$1,1),Log_2020[[#This Row],[Date]]),Log_2020[[#This Row],[Split_apply]])) - SUM($O152:Q152)</f>
        <v>0</v>
      </c>
      <c r="S152" s="37">
        <f ca="1">Log_2020[[#This Row],[Amount]]/Log_2020[[#This Row],[Split_raw]]*MAX(0,MIN(_xlfn.DAYS(EDATE(S$1,1),Log_2020[[#This Row],[Date]]),Log_2020[[#This Row],[Split_apply]])) - SUM($O152:R152)</f>
        <v>0</v>
      </c>
      <c r="T152" s="37">
        <f ca="1">Log_2020[[#This Row],[Amount]]/Log_2020[[#This Row],[Split_raw]]*MAX(0,MIN(_xlfn.DAYS(EDATE(T$1,1),Log_2020[[#This Row],[Date]]),Log_2020[[#This Row],[Split_apply]])) - SUM($O152:S152)</f>
        <v>0</v>
      </c>
      <c r="U152" s="37">
        <f ca="1">Log_2020[[#This Row],[Amount]]/Log_2020[[#This Row],[Split_raw]]*MAX(0,MIN(_xlfn.DAYS(EDATE(U$1,1),Log_2020[[#This Row],[Date]]),Log_2020[[#This Row],[Split_apply]])) - SUM($O152:T152)</f>
        <v>0</v>
      </c>
      <c r="V152" s="37">
        <f ca="1">Log_2020[[#This Row],[Amount]]/Log_2020[[#This Row],[Split_raw]]*MAX(0,MIN(_xlfn.DAYS(EDATE(V$1,1),Log_2020[[#This Row],[Date]]),Log_2020[[#This Row],[Split_apply]])) - SUM($O152:U152)</f>
        <v>0</v>
      </c>
      <c r="W152" s="37">
        <f ca="1">Log_2020[[#This Row],[Amount]]/Log_2020[[#This Row],[Split_raw]]*MAX(0,MIN(_xlfn.DAYS(EDATE(W$1,1),Log_2020[[#This Row],[Date]]),Log_2020[[#This Row],[Split_apply]])) - SUM($O152:V152)</f>
        <v>0</v>
      </c>
      <c r="X152" s="37">
        <f ca="1">Log_2020[[#This Row],[Amount]]/Log_2020[[#This Row],[Split_raw]]*MAX(0,MIN(_xlfn.DAYS(EDATE(X$1,1),Log_2020[[#This Row],[Date]]),Log_2020[[#This Row],[Split_apply]])) - SUM($O152:W152)</f>
        <v>0</v>
      </c>
      <c r="Y152" s="37">
        <f ca="1">Log_2020[[#This Row],[Amount]]/Log_2020[[#This Row],[Split_raw]]*MAX(0,MIN(_xlfn.DAYS(EDATE(Y$1,1),Log_2020[[#This Row],[Date]]),Log_2020[[#This Row],[Split_apply]])) - SUM($O152:X152)</f>
        <v>0</v>
      </c>
      <c r="Z152" s="37">
        <f ca="1">Log_2020[[#This Row],[Amount]]/Log_2020[[#This Row],[Split_raw]]*MAX(0,MIN(_xlfn.DAYS(EDATE(Z$1,1),Log_2020[[#This Row],[Date]]),Log_2020[[#This Row],[Split_apply]])) - SUM($O152:Y152)</f>
        <v>0</v>
      </c>
      <c r="AA152" s="37">
        <f ca="1">Log_2020[[#This Row],[Amount]]/Log_2020[[#This Row],[Split_raw]]*MAX(0,MIN(_xlfn.DAYS(EDATE(AA$1,1),Log_2020[[#This Row],[Date]]),Log_2020[[#This Row],[Split_apply]])) - SUM($O152:Z152)</f>
        <v>0</v>
      </c>
      <c r="AB152" s="59">
        <f ca="1">Log_2020[[#This Row],[Amount]]*Log_2020[[#This Row],[Split_apply]]/Log_2020[[#This Row],[Split_raw]]-SUM(O152:AA152)</f>
        <v>0</v>
      </c>
      <c r="AC152" s="7">
        <f>MAX(0,Log_2020[[#This Row],[Split_raw]] - (EDATE(AA$1,1)-Log_2020[[#This Row],[Date]]))</f>
        <v>0</v>
      </c>
    </row>
    <row r="153" spans="1:29" x14ac:dyDescent="0.25">
      <c r="A153" s="37"/>
      <c r="B153" s="34" t="s">
        <v>6</v>
      </c>
      <c r="C153" s="34"/>
      <c r="D153" s="35">
        <v>43864</v>
      </c>
      <c r="E153" s="34"/>
      <c r="F153" s="34" t="s">
        <v>255</v>
      </c>
      <c r="G153" s="34" t="s">
        <v>12</v>
      </c>
      <c r="H153">
        <v>-3.95</v>
      </c>
      <c r="I153" s="36">
        <f>IF(Log_2020[[#This Row],[My Category]]="NONTRACKED",0,Log_2020[[#This Row],[Raw Amount]])</f>
        <v>-3.95</v>
      </c>
      <c r="J153" s="37">
        <f>ABS(Log_2020[[#This Row],[Amount]])</f>
        <v>3.95</v>
      </c>
      <c r="K153" s="38">
        <v>1</v>
      </c>
      <c r="L153" s="38">
        <f ca="1">IF(Log_2020[[#This Row],[Date]]&lt;=TODAY(), MIN(Log_2020[[#This Row],[Split_raw]], TODAY()-Log_2020[[#This Row],[Date]]+1), 0)</f>
        <v>1</v>
      </c>
      <c r="M153" s="34" t="s">
        <v>35</v>
      </c>
      <c r="N153" s="34" t="s">
        <v>158</v>
      </c>
      <c r="O153" s="7"/>
      <c r="P153" s="37">
        <f ca="1">Log_2020[[#This Row],[Amount]]/Log_2020[[#This Row],[Split_raw]]*MAX(0,MIN(_xlfn.DAYS(EDATE(P$1,1),Log_2020[[#This Row],[Date]]),Log_2020[[#This Row],[Split_apply]])) - SUM($O153:O153)</f>
        <v>0</v>
      </c>
      <c r="Q153" s="37">
        <f ca="1">Log_2020[[#This Row],[Amount]]/Log_2020[[#This Row],[Split_raw]]*MAX(0,MIN(_xlfn.DAYS(EDATE(Q$1,1),Log_2020[[#This Row],[Date]]),Log_2020[[#This Row],[Split_apply]])) - SUM($O153:P153)</f>
        <v>-3.95</v>
      </c>
      <c r="R153" s="37">
        <f ca="1">Log_2020[[#This Row],[Amount]]/Log_2020[[#This Row],[Split_raw]]*MAX(0,MIN(_xlfn.DAYS(EDATE(R$1,1),Log_2020[[#This Row],[Date]]),Log_2020[[#This Row],[Split_apply]])) - SUM($O153:Q153)</f>
        <v>0</v>
      </c>
      <c r="S153" s="37">
        <f ca="1">Log_2020[[#This Row],[Amount]]/Log_2020[[#This Row],[Split_raw]]*MAX(0,MIN(_xlfn.DAYS(EDATE(S$1,1),Log_2020[[#This Row],[Date]]),Log_2020[[#This Row],[Split_apply]])) - SUM($O153:R153)</f>
        <v>0</v>
      </c>
      <c r="T153" s="37">
        <f ca="1">Log_2020[[#This Row],[Amount]]/Log_2020[[#This Row],[Split_raw]]*MAX(0,MIN(_xlfn.DAYS(EDATE(T$1,1),Log_2020[[#This Row],[Date]]),Log_2020[[#This Row],[Split_apply]])) - SUM($O153:S153)</f>
        <v>0</v>
      </c>
      <c r="U153" s="37">
        <f ca="1">Log_2020[[#This Row],[Amount]]/Log_2020[[#This Row],[Split_raw]]*MAX(0,MIN(_xlfn.DAYS(EDATE(U$1,1),Log_2020[[#This Row],[Date]]),Log_2020[[#This Row],[Split_apply]])) - SUM($O153:T153)</f>
        <v>0</v>
      </c>
      <c r="V153" s="37">
        <f ca="1">Log_2020[[#This Row],[Amount]]/Log_2020[[#This Row],[Split_raw]]*MAX(0,MIN(_xlfn.DAYS(EDATE(V$1,1),Log_2020[[#This Row],[Date]]),Log_2020[[#This Row],[Split_apply]])) - SUM($O153:U153)</f>
        <v>0</v>
      </c>
      <c r="W153" s="37">
        <f ca="1">Log_2020[[#This Row],[Amount]]/Log_2020[[#This Row],[Split_raw]]*MAX(0,MIN(_xlfn.DAYS(EDATE(W$1,1),Log_2020[[#This Row],[Date]]),Log_2020[[#This Row],[Split_apply]])) - SUM($O153:V153)</f>
        <v>0</v>
      </c>
      <c r="X153" s="37">
        <f ca="1">Log_2020[[#This Row],[Amount]]/Log_2020[[#This Row],[Split_raw]]*MAX(0,MIN(_xlfn.DAYS(EDATE(X$1,1),Log_2020[[#This Row],[Date]]),Log_2020[[#This Row],[Split_apply]])) - SUM($O153:W153)</f>
        <v>0</v>
      </c>
      <c r="Y153" s="37">
        <f ca="1">Log_2020[[#This Row],[Amount]]/Log_2020[[#This Row],[Split_raw]]*MAX(0,MIN(_xlfn.DAYS(EDATE(Y$1,1),Log_2020[[#This Row],[Date]]),Log_2020[[#This Row],[Split_apply]])) - SUM($O153:X153)</f>
        <v>0</v>
      </c>
      <c r="Z153" s="37">
        <f ca="1">Log_2020[[#This Row],[Amount]]/Log_2020[[#This Row],[Split_raw]]*MAX(0,MIN(_xlfn.DAYS(EDATE(Z$1,1),Log_2020[[#This Row],[Date]]),Log_2020[[#This Row],[Split_apply]])) - SUM($O153:Y153)</f>
        <v>0</v>
      </c>
      <c r="AA153" s="37">
        <f ca="1">Log_2020[[#This Row],[Amount]]/Log_2020[[#This Row],[Split_raw]]*MAX(0,MIN(_xlfn.DAYS(EDATE(AA$1,1),Log_2020[[#This Row],[Date]]),Log_2020[[#This Row],[Split_apply]])) - SUM($O153:Z153)</f>
        <v>0</v>
      </c>
      <c r="AB153" s="59">
        <f ca="1">Log_2020[[#This Row],[Amount]]*Log_2020[[#This Row],[Split_apply]]/Log_2020[[#This Row],[Split_raw]]-SUM(O153:AA153)</f>
        <v>0</v>
      </c>
      <c r="AC153" s="7">
        <f>MAX(0,Log_2020[[#This Row],[Split_raw]] - (EDATE(AA$1,1)-Log_2020[[#This Row],[Date]]))</f>
        <v>0</v>
      </c>
    </row>
    <row r="154" spans="1:29" x14ac:dyDescent="0.25">
      <c r="A154" s="37"/>
      <c r="B154" s="34" t="s">
        <v>6</v>
      </c>
      <c r="C154" s="34"/>
      <c r="D154" s="35">
        <v>43864</v>
      </c>
      <c r="E154" s="34"/>
      <c r="F154" s="34" t="s">
        <v>105</v>
      </c>
      <c r="G154" s="34" t="s">
        <v>104</v>
      </c>
      <c r="H154">
        <f>--724.88</f>
        <v>724.88</v>
      </c>
      <c r="I154" s="36">
        <f>IF(Log_2020[[#This Row],[My Category]]="NONTRACKED",0,Log_2020[[#This Row],[Raw Amount]])</f>
        <v>724.88</v>
      </c>
      <c r="J154" s="37">
        <f>ABS(Log_2020[[#This Row],[Amount]])</f>
        <v>724.88</v>
      </c>
      <c r="K154" s="38">
        <v>1</v>
      </c>
      <c r="L154" s="38">
        <f ca="1">IF(Log_2020[[#This Row],[Date]]&lt;=TODAY(), MIN(Log_2020[[#This Row],[Split_raw]], TODAY()-Log_2020[[#This Row],[Date]]+1), 0)</f>
        <v>1</v>
      </c>
      <c r="M154" s="34" t="s">
        <v>159</v>
      </c>
      <c r="N154" s="34" t="s">
        <v>158</v>
      </c>
      <c r="O154" s="7"/>
      <c r="P154" s="37">
        <f ca="1">Log_2020[[#This Row],[Amount]]/Log_2020[[#This Row],[Split_raw]]*MAX(0,MIN(_xlfn.DAYS(EDATE(P$1,1),Log_2020[[#This Row],[Date]]),Log_2020[[#This Row],[Split_apply]])) - SUM($O154:O154)</f>
        <v>0</v>
      </c>
      <c r="Q154" s="37">
        <f ca="1">Log_2020[[#This Row],[Amount]]/Log_2020[[#This Row],[Split_raw]]*MAX(0,MIN(_xlfn.DAYS(EDATE(Q$1,1),Log_2020[[#This Row],[Date]]),Log_2020[[#This Row],[Split_apply]])) - SUM($O154:P154)</f>
        <v>724.88</v>
      </c>
      <c r="R154" s="37">
        <f ca="1">Log_2020[[#This Row],[Amount]]/Log_2020[[#This Row],[Split_raw]]*MAX(0,MIN(_xlfn.DAYS(EDATE(R$1,1),Log_2020[[#This Row],[Date]]),Log_2020[[#This Row],[Split_apply]])) - SUM($O154:Q154)</f>
        <v>0</v>
      </c>
      <c r="S154" s="37">
        <f ca="1">Log_2020[[#This Row],[Amount]]/Log_2020[[#This Row],[Split_raw]]*MAX(0,MIN(_xlfn.DAYS(EDATE(S$1,1),Log_2020[[#This Row],[Date]]),Log_2020[[#This Row],[Split_apply]])) - SUM($O154:R154)</f>
        <v>0</v>
      </c>
      <c r="T154" s="37">
        <f ca="1">Log_2020[[#This Row],[Amount]]/Log_2020[[#This Row],[Split_raw]]*MAX(0,MIN(_xlfn.DAYS(EDATE(T$1,1),Log_2020[[#This Row],[Date]]),Log_2020[[#This Row],[Split_apply]])) - SUM($O154:S154)</f>
        <v>0</v>
      </c>
      <c r="U154" s="37">
        <f ca="1">Log_2020[[#This Row],[Amount]]/Log_2020[[#This Row],[Split_raw]]*MAX(0,MIN(_xlfn.DAYS(EDATE(U$1,1),Log_2020[[#This Row],[Date]]),Log_2020[[#This Row],[Split_apply]])) - SUM($O154:T154)</f>
        <v>0</v>
      </c>
      <c r="V154" s="37">
        <f ca="1">Log_2020[[#This Row],[Amount]]/Log_2020[[#This Row],[Split_raw]]*MAX(0,MIN(_xlfn.DAYS(EDATE(V$1,1),Log_2020[[#This Row],[Date]]),Log_2020[[#This Row],[Split_apply]])) - SUM($O154:U154)</f>
        <v>0</v>
      </c>
      <c r="W154" s="37">
        <f ca="1">Log_2020[[#This Row],[Amount]]/Log_2020[[#This Row],[Split_raw]]*MAX(0,MIN(_xlfn.DAYS(EDATE(W$1,1),Log_2020[[#This Row],[Date]]),Log_2020[[#This Row],[Split_apply]])) - SUM($O154:V154)</f>
        <v>0</v>
      </c>
      <c r="X154" s="37">
        <f ca="1">Log_2020[[#This Row],[Amount]]/Log_2020[[#This Row],[Split_raw]]*MAX(0,MIN(_xlfn.DAYS(EDATE(X$1,1),Log_2020[[#This Row],[Date]]),Log_2020[[#This Row],[Split_apply]])) - SUM($O154:W154)</f>
        <v>0</v>
      </c>
      <c r="Y154" s="37">
        <f ca="1">Log_2020[[#This Row],[Amount]]/Log_2020[[#This Row],[Split_raw]]*MAX(0,MIN(_xlfn.DAYS(EDATE(Y$1,1),Log_2020[[#This Row],[Date]]),Log_2020[[#This Row],[Split_apply]])) - SUM($O154:X154)</f>
        <v>0</v>
      </c>
      <c r="Z154" s="37">
        <f ca="1">Log_2020[[#This Row],[Amount]]/Log_2020[[#This Row],[Split_raw]]*MAX(0,MIN(_xlfn.DAYS(EDATE(Z$1,1),Log_2020[[#This Row],[Date]]),Log_2020[[#This Row],[Split_apply]])) - SUM($O154:Y154)</f>
        <v>0</v>
      </c>
      <c r="AA154" s="37">
        <f ca="1">Log_2020[[#This Row],[Amount]]/Log_2020[[#This Row],[Split_raw]]*MAX(0,MIN(_xlfn.DAYS(EDATE(AA$1,1),Log_2020[[#This Row],[Date]]),Log_2020[[#This Row],[Split_apply]])) - SUM($O154:Z154)</f>
        <v>0</v>
      </c>
      <c r="AB154" s="59">
        <f ca="1">Log_2020[[#This Row],[Amount]]*Log_2020[[#This Row],[Split_apply]]/Log_2020[[#This Row],[Split_raw]]-SUM(O154:AA154)</f>
        <v>0</v>
      </c>
      <c r="AC154" s="7">
        <f>MAX(0,Log_2020[[#This Row],[Split_raw]] - (EDATE(AA$1,1)-Log_2020[[#This Row],[Date]]))</f>
        <v>0</v>
      </c>
    </row>
    <row r="155" spans="1:29" x14ac:dyDescent="0.25">
      <c r="A155" s="37"/>
      <c r="B155" s="34" t="s">
        <v>6</v>
      </c>
      <c r="C155" s="34"/>
      <c r="D155" s="35">
        <v>43863</v>
      </c>
      <c r="E155" s="34"/>
      <c r="F155" s="34" t="s">
        <v>555</v>
      </c>
      <c r="G155" s="34" t="s">
        <v>25</v>
      </c>
      <c r="H155">
        <v>-9.5399999999999991</v>
      </c>
      <c r="I155" s="36">
        <f>IF(Log_2020[[#This Row],[My Category]]="NONTRACKED",0,Log_2020[[#This Row],[Raw Amount]])</f>
        <v>-9.5399999999999991</v>
      </c>
      <c r="J155" s="37">
        <f>ABS(Log_2020[[#This Row],[Amount]])</f>
        <v>9.5399999999999991</v>
      </c>
      <c r="K155" s="38">
        <v>1</v>
      </c>
      <c r="L155" s="38">
        <f ca="1">IF(Log_2020[[#This Row],[Date]]&lt;=TODAY(), MIN(Log_2020[[#This Row],[Split_raw]], TODAY()-Log_2020[[#This Row],[Date]]+1), 0)</f>
        <v>1</v>
      </c>
      <c r="M155" s="34" t="s">
        <v>35</v>
      </c>
      <c r="N155" s="34" t="s">
        <v>158</v>
      </c>
      <c r="O155" s="7"/>
      <c r="P155" s="37">
        <f ca="1">Log_2020[[#This Row],[Amount]]/Log_2020[[#This Row],[Split_raw]]*MAX(0,MIN(_xlfn.DAYS(EDATE(P$1,1),Log_2020[[#This Row],[Date]]),Log_2020[[#This Row],[Split_apply]])) - SUM($O155:O155)</f>
        <v>0</v>
      </c>
      <c r="Q155" s="37">
        <f ca="1">Log_2020[[#This Row],[Amount]]/Log_2020[[#This Row],[Split_raw]]*MAX(0,MIN(_xlfn.DAYS(EDATE(Q$1,1),Log_2020[[#This Row],[Date]]),Log_2020[[#This Row],[Split_apply]])) - SUM($O155:P155)</f>
        <v>-9.5399999999999991</v>
      </c>
      <c r="R155" s="37">
        <f ca="1">Log_2020[[#This Row],[Amount]]/Log_2020[[#This Row],[Split_raw]]*MAX(0,MIN(_xlfn.DAYS(EDATE(R$1,1),Log_2020[[#This Row],[Date]]),Log_2020[[#This Row],[Split_apply]])) - SUM($O155:Q155)</f>
        <v>0</v>
      </c>
      <c r="S155" s="37">
        <f ca="1">Log_2020[[#This Row],[Amount]]/Log_2020[[#This Row],[Split_raw]]*MAX(0,MIN(_xlfn.DAYS(EDATE(S$1,1),Log_2020[[#This Row],[Date]]),Log_2020[[#This Row],[Split_apply]])) - SUM($O155:R155)</f>
        <v>0</v>
      </c>
      <c r="T155" s="37">
        <f ca="1">Log_2020[[#This Row],[Amount]]/Log_2020[[#This Row],[Split_raw]]*MAX(0,MIN(_xlfn.DAYS(EDATE(T$1,1),Log_2020[[#This Row],[Date]]),Log_2020[[#This Row],[Split_apply]])) - SUM($O155:S155)</f>
        <v>0</v>
      </c>
      <c r="U155" s="37">
        <f ca="1">Log_2020[[#This Row],[Amount]]/Log_2020[[#This Row],[Split_raw]]*MAX(0,MIN(_xlfn.DAYS(EDATE(U$1,1),Log_2020[[#This Row],[Date]]),Log_2020[[#This Row],[Split_apply]])) - SUM($O155:T155)</f>
        <v>0</v>
      </c>
      <c r="V155" s="37">
        <f ca="1">Log_2020[[#This Row],[Amount]]/Log_2020[[#This Row],[Split_raw]]*MAX(0,MIN(_xlfn.DAYS(EDATE(V$1,1),Log_2020[[#This Row],[Date]]),Log_2020[[#This Row],[Split_apply]])) - SUM($O155:U155)</f>
        <v>0</v>
      </c>
      <c r="W155" s="37">
        <f ca="1">Log_2020[[#This Row],[Amount]]/Log_2020[[#This Row],[Split_raw]]*MAX(0,MIN(_xlfn.DAYS(EDATE(W$1,1),Log_2020[[#This Row],[Date]]),Log_2020[[#This Row],[Split_apply]])) - SUM($O155:V155)</f>
        <v>0</v>
      </c>
      <c r="X155" s="37">
        <f ca="1">Log_2020[[#This Row],[Amount]]/Log_2020[[#This Row],[Split_raw]]*MAX(0,MIN(_xlfn.DAYS(EDATE(X$1,1),Log_2020[[#This Row],[Date]]),Log_2020[[#This Row],[Split_apply]])) - SUM($O155:W155)</f>
        <v>0</v>
      </c>
      <c r="Y155" s="37">
        <f ca="1">Log_2020[[#This Row],[Amount]]/Log_2020[[#This Row],[Split_raw]]*MAX(0,MIN(_xlfn.DAYS(EDATE(Y$1,1),Log_2020[[#This Row],[Date]]),Log_2020[[#This Row],[Split_apply]])) - SUM($O155:X155)</f>
        <v>0</v>
      </c>
      <c r="Z155" s="37">
        <f ca="1">Log_2020[[#This Row],[Amount]]/Log_2020[[#This Row],[Split_raw]]*MAX(0,MIN(_xlfn.DAYS(EDATE(Z$1,1),Log_2020[[#This Row],[Date]]),Log_2020[[#This Row],[Split_apply]])) - SUM($O155:Y155)</f>
        <v>0</v>
      </c>
      <c r="AA155" s="37">
        <f ca="1">Log_2020[[#This Row],[Amount]]/Log_2020[[#This Row],[Split_raw]]*MAX(0,MIN(_xlfn.DAYS(EDATE(AA$1,1),Log_2020[[#This Row],[Date]]),Log_2020[[#This Row],[Split_apply]])) - SUM($O155:Z155)</f>
        <v>0</v>
      </c>
      <c r="AB155" s="59">
        <f ca="1">Log_2020[[#This Row],[Amount]]*Log_2020[[#This Row],[Split_apply]]/Log_2020[[#This Row],[Split_raw]]-SUM(O155:AA155)</f>
        <v>0</v>
      </c>
      <c r="AC155" s="7">
        <f>MAX(0,Log_2020[[#This Row],[Split_raw]] - (EDATE(AA$1,1)-Log_2020[[#This Row],[Date]]))</f>
        <v>0</v>
      </c>
    </row>
    <row r="156" spans="1:29" x14ac:dyDescent="0.25">
      <c r="A156" s="37"/>
      <c r="B156" s="34" t="s">
        <v>191</v>
      </c>
      <c r="C156" s="34"/>
      <c r="D156" s="35">
        <v>43862</v>
      </c>
      <c r="E156" s="34"/>
      <c r="F156" s="34" t="s">
        <v>527</v>
      </c>
      <c r="G156" s="34" t="s">
        <v>384</v>
      </c>
      <c r="H156">
        <v>-40</v>
      </c>
      <c r="I156" s="36">
        <f>IF(Log_2020[[#This Row],[My Category]]="NONTRACKED",0,Log_2020[[#This Row],[Raw Amount]])</f>
        <v>-40</v>
      </c>
      <c r="J156" s="37">
        <f>ABS(Log_2020[[#This Row],[Amount]])</f>
        <v>40</v>
      </c>
      <c r="K156" s="38">
        <v>29</v>
      </c>
      <c r="L156" s="38">
        <f ca="1">IF(Log_2020[[#This Row],[Date]]&lt;=TODAY(), MIN(Log_2020[[#This Row],[Split_raw]], TODAY()-Log_2020[[#This Row],[Date]]+1), 0)</f>
        <v>29</v>
      </c>
      <c r="M156" s="34" t="s">
        <v>29</v>
      </c>
      <c r="N156" s="34" t="s">
        <v>160</v>
      </c>
      <c r="O156" s="7"/>
      <c r="P156" s="37">
        <f ca="1">Log_2020[[#This Row],[Amount]]/Log_2020[[#This Row],[Split_raw]]*MAX(0,MIN(_xlfn.DAYS(EDATE(P$1,1),Log_2020[[#This Row],[Date]]),Log_2020[[#This Row],[Split_apply]])) - SUM($O156:O156)</f>
        <v>0</v>
      </c>
      <c r="Q156" s="37">
        <f ca="1">Log_2020[[#This Row],[Amount]]/Log_2020[[#This Row],[Split_raw]]*MAX(0,MIN(_xlfn.DAYS(EDATE(Q$1,1),Log_2020[[#This Row],[Date]]),Log_2020[[#This Row],[Split_apply]])) - SUM($O156:P156)</f>
        <v>-40</v>
      </c>
      <c r="R156" s="37">
        <f ca="1">Log_2020[[#This Row],[Amount]]/Log_2020[[#This Row],[Split_raw]]*MAX(0,MIN(_xlfn.DAYS(EDATE(R$1,1),Log_2020[[#This Row],[Date]]),Log_2020[[#This Row],[Split_apply]])) - SUM($O156:Q156)</f>
        <v>0</v>
      </c>
      <c r="S156" s="37">
        <f ca="1">Log_2020[[#This Row],[Amount]]/Log_2020[[#This Row],[Split_raw]]*MAX(0,MIN(_xlfn.DAYS(EDATE(S$1,1),Log_2020[[#This Row],[Date]]),Log_2020[[#This Row],[Split_apply]])) - SUM($O156:R156)</f>
        <v>0</v>
      </c>
      <c r="T156" s="37">
        <f ca="1">Log_2020[[#This Row],[Amount]]/Log_2020[[#This Row],[Split_raw]]*MAX(0,MIN(_xlfn.DAYS(EDATE(T$1,1),Log_2020[[#This Row],[Date]]),Log_2020[[#This Row],[Split_apply]])) - SUM($O156:S156)</f>
        <v>0</v>
      </c>
      <c r="U156" s="37">
        <f ca="1">Log_2020[[#This Row],[Amount]]/Log_2020[[#This Row],[Split_raw]]*MAX(0,MIN(_xlfn.DAYS(EDATE(U$1,1),Log_2020[[#This Row],[Date]]),Log_2020[[#This Row],[Split_apply]])) - SUM($O156:T156)</f>
        <v>0</v>
      </c>
      <c r="V156" s="37">
        <f ca="1">Log_2020[[#This Row],[Amount]]/Log_2020[[#This Row],[Split_raw]]*MAX(0,MIN(_xlfn.DAYS(EDATE(V$1,1),Log_2020[[#This Row],[Date]]),Log_2020[[#This Row],[Split_apply]])) - SUM($O156:U156)</f>
        <v>0</v>
      </c>
      <c r="W156" s="37">
        <f ca="1">Log_2020[[#This Row],[Amount]]/Log_2020[[#This Row],[Split_raw]]*MAX(0,MIN(_xlfn.DAYS(EDATE(W$1,1),Log_2020[[#This Row],[Date]]),Log_2020[[#This Row],[Split_apply]])) - SUM($O156:V156)</f>
        <v>0</v>
      </c>
      <c r="X156" s="37">
        <f ca="1">Log_2020[[#This Row],[Amount]]/Log_2020[[#This Row],[Split_raw]]*MAX(0,MIN(_xlfn.DAYS(EDATE(X$1,1),Log_2020[[#This Row],[Date]]),Log_2020[[#This Row],[Split_apply]])) - SUM($O156:W156)</f>
        <v>0</v>
      </c>
      <c r="Y156" s="37">
        <f ca="1">Log_2020[[#This Row],[Amount]]/Log_2020[[#This Row],[Split_raw]]*MAX(0,MIN(_xlfn.DAYS(EDATE(Y$1,1),Log_2020[[#This Row],[Date]]),Log_2020[[#This Row],[Split_apply]])) - SUM($O156:X156)</f>
        <v>0</v>
      </c>
      <c r="Z156" s="37">
        <f ca="1">Log_2020[[#This Row],[Amount]]/Log_2020[[#This Row],[Split_raw]]*MAX(0,MIN(_xlfn.DAYS(EDATE(Z$1,1),Log_2020[[#This Row],[Date]]),Log_2020[[#This Row],[Split_apply]])) - SUM($O156:Y156)</f>
        <v>0</v>
      </c>
      <c r="AA156" s="37">
        <f ca="1">Log_2020[[#This Row],[Amount]]/Log_2020[[#This Row],[Split_raw]]*MAX(0,MIN(_xlfn.DAYS(EDATE(AA$1,1),Log_2020[[#This Row],[Date]]),Log_2020[[#This Row],[Split_apply]])) - SUM($O156:Z156)</f>
        <v>0</v>
      </c>
      <c r="AB156" s="59">
        <f ca="1">Log_2020[[#This Row],[Amount]]*Log_2020[[#This Row],[Split_apply]]/Log_2020[[#This Row],[Split_raw]]-SUM(O156:AA156)</f>
        <v>0</v>
      </c>
      <c r="AC156" s="7">
        <f>MAX(0,Log_2020[[#This Row],[Split_raw]] - (EDATE(AA$1,1)-Log_2020[[#This Row],[Date]]))</f>
        <v>0</v>
      </c>
    </row>
    <row r="157" spans="1:29" x14ac:dyDescent="0.25">
      <c r="A157" s="37"/>
      <c r="B157" s="34" t="s">
        <v>191</v>
      </c>
      <c r="C157" s="34"/>
      <c r="D157" s="35">
        <v>43862</v>
      </c>
      <c r="E157" t="s">
        <v>960</v>
      </c>
      <c r="F157" s="34" t="s">
        <v>527</v>
      </c>
      <c r="G157" s="34" t="s">
        <v>384</v>
      </c>
      <c r="H157">
        <v>-1600</v>
      </c>
      <c r="I157" s="36">
        <f>IF(Log_2020[[#This Row],[My Category]]="NONTRACKED",0,Log_2020[[#This Row],[Raw Amount]])</f>
        <v>-1600</v>
      </c>
      <c r="J157" s="37">
        <f>ABS(Log_2020[[#This Row],[Amount]])</f>
        <v>1600</v>
      </c>
      <c r="K157" s="38">
        <v>29</v>
      </c>
      <c r="L157" s="38">
        <f ca="1">IF(Log_2020[[#This Row],[Date]]&lt;=TODAY(), MIN(Log_2020[[#This Row],[Split_raw]], TODAY()-Log_2020[[#This Row],[Date]]+1), 0)</f>
        <v>29</v>
      </c>
      <c r="M157" s="34" t="s">
        <v>28</v>
      </c>
      <c r="N157" s="34" t="s">
        <v>160</v>
      </c>
      <c r="O157" s="7"/>
      <c r="P157" s="37">
        <f ca="1">Log_2020[[#This Row],[Amount]]/Log_2020[[#This Row],[Split_raw]]*MAX(0,MIN(_xlfn.DAYS(EDATE(P$1,1),Log_2020[[#This Row],[Date]]),Log_2020[[#This Row],[Split_apply]])) - SUM($O157:O157)</f>
        <v>0</v>
      </c>
      <c r="Q157" s="37">
        <f ca="1">Log_2020[[#This Row],[Amount]]/Log_2020[[#This Row],[Split_raw]]*MAX(0,MIN(_xlfn.DAYS(EDATE(Q$1,1),Log_2020[[#This Row],[Date]]),Log_2020[[#This Row],[Split_apply]])) - SUM($O157:P157)</f>
        <v>-1600</v>
      </c>
      <c r="R157" s="37">
        <f ca="1">Log_2020[[#This Row],[Amount]]/Log_2020[[#This Row],[Split_raw]]*MAX(0,MIN(_xlfn.DAYS(EDATE(R$1,1),Log_2020[[#This Row],[Date]]),Log_2020[[#This Row],[Split_apply]])) - SUM($O157:Q157)</f>
        <v>0</v>
      </c>
      <c r="S157" s="37">
        <f ca="1">Log_2020[[#This Row],[Amount]]/Log_2020[[#This Row],[Split_raw]]*MAX(0,MIN(_xlfn.DAYS(EDATE(S$1,1),Log_2020[[#This Row],[Date]]),Log_2020[[#This Row],[Split_apply]])) - SUM($O157:R157)</f>
        <v>0</v>
      </c>
      <c r="T157" s="37">
        <f ca="1">Log_2020[[#This Row],[Amount]]/Log_2020[[#This Row],[Split_raw]]*MAX(0,MIN(_xlfn.DAYS(EDATE(T$1,1),Log_2020[[#This Row],[Date]]),Log_2020[[#This Row],[Split_apply]])) - SUM($O157:S157)</f>
        <v>0</v>
      </c>
      <c r="U157" s="37">
        <f ca="1">Log_2020[[#This Row],[Amount]]/Log_2020[[#This Row],[Split_raw]]*MAX(0,MIN(_xlfn.DAYS(EDATE(U$1,1),Log_2020[[#This Row],[Date]]),Log_2020[[#This Row],[Split_apply]])) - SUM($O157:T157)</f>
        <v>0</v>
      </c>
      <c r="V157" s="37">
        <f ca="1">Log_2020[[#This Row],[Amount]]/Log_2020[[#This Row],[Split_raw]]*MAX(0,MIN(_xlfn.DAYS(EDATE(V$1,1),Log_2020[[#This Row],[Date]]),Log_2020[[#This Row],[Split_apply]])) - SUM($O157:U157)</f>
        <v>0</v>
      </c>
      <c r="W157" s="37">
        <f ca="1">Log_2020[[#This Row],[Amount]]/Log_2020[[#This Row],[Split_raw]]*MAX(0,MIN(_xlfn.DAYS(EDATE(W$1,1),Log_2020[[#This Row],[Date]]),Log_2020[[#This Row],[Split_apply]])) - SUM($O157:V157)</f>
        <v>0</v>
      </c>
      <c r="X157" s="37">
        <f ca="1">Log_2020[[#This Row],[Amount]]/Log_2020[[#This Row],[Split_raw]]*MAX(0,MIN(_xlfn.DAYS(EDATE(X$1,1),Log_2020[[#This Row],[Date]]),Log_2020[[#This Row],[Split_apply]])) - SUM($O157:W157)</f>
        <v>0</v>
      </c>
      <c r="Y157" s="37">
        <f ca="1">Log_2020[[#This Row],[Amount]]/Log_2020[[#This Row],[Split_raw]]*MAX(0,MIN(_xlfn.DAYS(EDATE(Y$1,1),Log_2020[[#This Row],[Date]]),Log_2020[[#This Row],[Split_apply]])) - SUM($O157:X157)</f>
        <v>0</v>
      </c>
      <c r="Z157" s="37">
        <f ca="1">Log_2020[[#This Row],[Amount]]/Log_2020[[#This Row],[Split_raw]]*MAX(0,MIN(_xlfn.DAYS(EDATE(Z$1,1),Log_2020[[#This Row],[Date]]),Log_2020[[#This Row],[Split_apply]])) - SUM($O157:Y157)</f>
        <v>0</v>
      </c>
      <c r="AA157" s="37">
        <f ca="1">Log_2020[[#This Row],[Amount]]/Log_2020[[#This Row],[Split_raw]]*MAX(0,MIN(_xlfn.DAYS(EDATE(AA$1,1),Log_2020[[#This Row],[Date]]),Log_2020[[#This Row],[Split_apply]])) - SUM($O157:Z157)</f>
        <v>0</v>
      </c>
      <c r="AB157" s="59">
        <f ca="1">Log_2020[[#This Row],[Amount]]*Log_2020[[#This Row],[Split_apply]]/Log_2020[[#This Row],[Split_raw]]-SUM(O157:AA157)</f>
        <v>0</v>
      </c>
      <c r="AC157" s="7">
        <f>MAX(0,Log_2020[[#This Row],[Split_raw]] - (EDATE(AA$1,1)-Log_2020[[#This Row],[Date]]))</f>
        <v>0</v>
      </c>
    </row>
    <row r="158" spans="1:29" x14ac:dyDescent="0.25">
      <c r="A158" s="37"/>
      <c r="B158" s="34" t="s">
        <v>6</v>
      </c>
      <c r="C158" s="34"/>
      <c r="D158" s="35">
        <v>43862</v>
      </c>
      <c r="E158" t="s">
        <v>960</v>
      </c>
      <c r="F158" s="34" t="s">
        <v>897</v>
      </c>
      <c r="G158" s="34" t="s">
        <v>82</v>
      </c>
      <c r="H158">
        <v>-320</v>
      </c>
      <c r="I158" s="36">
        <f>IF(Log_2020[[#This Row],[My Category]]="NONTRACKED",0,Log_2020[[#This Row],[Raw Amount]])</f>
        <v>-320</v>
      </c>
      <c r="J158" s="37">
        <f>ABS(Log_2020[[#This Row],[Amount]])</f>
        <v>320</v>
      </c>
      <c r="K158" s="38">
        <v>29</v>
      </c>
      <c r="L158" s="38">
        <f ca="1">IF(Log_2020[[#This Row],[Date]]&lt;=TODAY(), MIN(Log_2020[[#This Row],[Split_raw]], TODAY()-Log_2020[[#This Row],[Date]]+1), 0)</f>
        <v>29</v>
      </c>
      <c r="M158" s="34" t="s">
        <v>93</v>
      </c>
      <c r="N158" s="34" t="s">
        <v>160</v>
      </c>
      <c r="O158" s="7"/>
      <c r="P158" s="37">
        <f ca="1">Log_2020[[#This Row],[Amount]]/Log_2020[[#This Row],[Split_raw]]*MAX(0,MIN(_xlfn.DAYS(EDATE(P$1,1),Log_2020[[#This Row],[Date]]),Log_2020[[#This Row],[Split_apply]])) - SUM($O158:O158)</f>
        <v>0</v>
      </c>
      <c r="Q158" s="37">
        <f ca="1">Log_2020[[#This Row],[Amount]]/Log_2020[[#This Row],[Split_raw]]*MAX(0,MIN(_xlfn.DAYS(EDATE(Q$1,1),Log_2020[[#This Row],[Date]]),Log_2020[[#This Row],[Split_apply]])) - SUM($O158:P158)</f>
        <v>-320</v>
      </c>
      <c r="R158" s="37">
        <f ca="1">Log_2020[[#This Row],[Amount]]/Log_2020[[#This Row],[Split_raw]]*MAX(0,MIN(_xlfn.DAYS(EDATE(R$1,1),Log_2020[[#This Row],[Date]]),Log_2020[[#This Row],[Split_apply]])) - SUM($O158:Q158)</f>
        <v>0</v>
      </c>
      <c r="S158" s="37">
        <f ca="1">Log_2020[[#This Row],[Amount]]/Log_2020[[#This Row],[Split_raw]]*MAX(0,MIN(_xlfn.DAYS(EDATE(S$1,1),Log_2020[[#This Row],[Date]]),Log_2020[[#This Row],[Split_apply]])) - SUM($O158:R158)</f>
        <v>0</v>
      </c>
      <c r="T158" s="37">
        <f ca="1">Log_2020[[#This Row],[Amount]]/Log_2020[[#This Row],[Split_raw]]*MAX(0,MIN(_xlfn.DAYS(EDATE(T$1,1),Log_2020[[#This Row],[Date]]),Log_2020[[#This Row],[Split_apply]])) - SUM($O158:S158)</f>
        <v>0</v>
      </c>
      <c r="U158" s="37">
        <f ca="1">Log_2020[[#This Row],[Amount]]/Log_2020[[#This Row],[Split_raw]]*MAX(0,MIN(_xlfn.DAYS(EDATE(U$1,1),Log_2020[[#This Row],[Date]]),Log_2020[[#This Row],[Split_apply]])) - SUM($O158:T158)</f>
        <v>0</v>
      </c>
      <c r="V158" s="37">
        <f ca="1">Log_2020[[#This Row],[Amount]]/Log_2020[[#This Row],[Split_raw]]*MAX(0,MIN(_xlfn.DAYS(EDATE(V$1,1),Log_2020[[#This Row],[Date]]),Log_2020[[#This Row],[Split_apply]])) - SUM($O158:U158)</f>
        <v>0</v>
      </c>
      <c r="W158" s="37">
        <f ca="1">Log_2020[[#This Row],[Amount]]/Log_2020[[#This Row],[Split_raw]]*MAX(0,MIN(_xlfn.DAYS(EDATE(W$1,1),Log_2020[[#This Row],[Date]]),Log_2020[[#This Row],[Split_apply]])) - SUM($O158:V158)</f>
        <v>0</v>
      </c>
      <c r="X158" s="37">
        <f ca="1">Log_2020[[#This Row],[Amount]]/Log_2020[[#This Row],[Split_raw]]*MAX(0,MIN(_xlfn.DAYS(EDATE(X$1,1),Log_2020[[#This Row],[Date]]),Log_2020[[#This Row],[Split_apply]])) - SUM($O158:W158)</f>
        <v>0</v>
      </c>
      <c r="Y158" s="37">
        <f ca="1">Log_2020[[#This Row],[Amount]]/Log_2020[[#This Row],[Split_raw]]*MAX(0,MIN(_xlfn.DAYS(EDATE(Y$1,1),Log_2020[[#This Row],[Date]]),Log_2020[[#This Row],[Split_apply]])) - SUM($O158:X158)</f>
        <v>0</v>
      </c>
      <c r="Z158" s="37">
        <f ca="1">Log_2020[[#This Row],[Amount]]/Log_2020[[#This Row],[Split_raw]]*MAX(0,MIN(_xlfn.DAYS(EDATE(Z$1,1),Log_2020[[#This Row],[Date]]),Log_2020[[#This Row],[Split_apply]])) - SUM($O158:Y158)</f>
        <v>0</v>
      </c>
      <c r="AA158" s="37">
        <f ca="1">Log_2020[[#This Row],[Amount]]/Log_2020[[#This Row],[Split_raw]]*MAX(0,MIN(_xlfn.DAYS(EDATE(AA$1,1),Log_2020[[#This Row],[Date]]),Log_2020[[#This Row],[Split_apply]])) - SUM($O158:Z158)</f>
        <v>0</v>
      </c>
      <c r="AB158" s="59">
        <f ca="1">Log_2020[[#This Row],[Amount]]*Log_2020[[#This Row],[Split_apply]]/Log_2020[[#This Row],[Split_raw]]-SUM(O158:AA158)</f>
        <v>0</v>
      </c>
      <c r="AC158" s="7">
        <f>MAX(0,Log_2020[[#This Row],[Split_raw]] - (EDATE(AA$1,1)-Log_2020[[#This Row],[Date]]))</f>
        <v>0</v>
      </c>
    </row>
    <row r="159" spans="1:29" x14ac:dyDescent="0.25">
      <c r="A159" s="37"/>
      <c r="B159" s="34" t="s">
        <v>6</v>
      </c>
      <c r="C159" s="34"/>
      <c r="D159" s="35">
        <v>43862</v>
      </c>
      <c r="E159" t="s">
        <v>960</v>
      </c>
      <c r="F159" s="34" t="s">
        <v>1046</v>
      </c>
      <c r="G159" s="34" t="s">
        <v>29</v>
      </c>
      <c r="H159">
        <v>-43.61</v>
      </c>
      <c r="I159" s="36">
        <f>IF(Log_2020[[#This Row],[My Category]]="NONTRACKED",0,Log_2020[[#This Row],[Raw Amount]])</f>
        <v>-43.61</v>
      </c>
      <c r="J159" s="37">
        <f>ABS(Log_2020[[#This Row],[Amount]])</f>
        <v>43.61</v>
      </c>
      <c r="K159" s="38">
        <v>29</v>
      </c>
      <c r="L159" s="38">
        <f ca="1">IF(Log_2020[[#This Row],[Date]]&lt;=TODAY(), MIN(Log_2020[[#This Row],[Split_raw]], TODAY()-Log_2020[[#This Row],[Date]]+1), 0)</f>
        <v>29</v>
      </c>
      <c r="M159" s="34" t="s">
        <v>29</v>
      </c>
      <c r="N159" s="34" t="s">
        <v>160</v>
      </c>
      <c r="O159" s="7"/>
      <c r="P159" s="58">
        <f ca="1">Log_2020[[#This Row],[Amount]]/Log_2020[[#This Row],[Split_raw]]*MAX(0,MIN(_xlfn.DAYS(EDATE(P$1,1),Log_2020[[#This Row],[Date]]),Log_2020[[#This Row],[Split_apply]])) - SUM($O159:O159)</f>
        <v>0</v>
      </c>
      <c r="Q159" s="58">
        <f ca="1">Log_2020[[#This Row],[Amount]]/Log_2020[[#This Row],[Split_raw]]*MAX(0,MIN(_xlfn.DAYS(EDATE(Q$1,1),Log_2020[[#This Row],[Date]]),Log_2020[[#This Row],[Split_apply]])) - SUM($O159:P159)</f>
        <v>-43.61</v>
      </c>
      <c r="R159" s="58">
        <f ca="1">Log_2020[[#This Row],[Amount]]/Log_2020[[#This Row],[Split_raw]]*MAX(0,MIN(_xlfn.DAYS(EDATE(R$1,1),Log_2020[[#This Row],[Date]]),Log_2020[[#This Row],[Split_apply]])) - SUM($O159:Q159)</f>
        <v>0</v>
      </c>
      <c r="S159" s="58">
        <f ca="1">Log_2020[[#This Row],[Amount]]/Log_2020[[#This Row],[Split_raw]]*MAX(0,MIN(_xlfn.DAYS(EDATE(S$1,1),Log_2020[[#This Row],[Date]]),Log_2020[[#This Row],[Split_apply]])) - SUM($O159:R159)</f>
        <v>0</v>
      </c>
      <c r="T159" s="58">
        <f ca="1">Log_2020[[#This Row],[Amount]]/Log_2020[[#This Row],[Split_raw]]*MAX(0,MIN(_xlfn.DAYS(EDATE(T$1,1),Log_2020[[#This Row],[Date]]),Log_2020[[#This Row],[Split_apply]])) - SUM($O159:S159)</f>
        <v>0</v>
      </c>
      <c r="U159" s="58">
        <f ca="1">Log_2020[[#This Row],[Amount]]/Log_2020[[#This Row],[Split_raw]]*MAX(0,MIN(_xlfn.DAYS(EDATE(U$1,1),Log_2020[[#This Row],[Date]]),Log_2020[[#This Row],[Split_apply]])) - SUM($O159:T159)</f>
        <v>0</v>
      </c>
      <c r="V159" s="58">
        <f ca="1">Log_2020[[#This Row],[Amount]]/Log_2020[[#This Row],[Split_raw]]*MAX(0,MIN(_xlfn.DAYS(EDATE(V$1,1),Log_2020[[#This Row],[Date]]),Log_2020[[#This Row],[Split_apply]])) - SUM($O159:U159)</f>
        <v>0</v>
      </c>
      <c r="W159" s="58">
        <f ca="1">Log_2020[[#This Row],[Amount]]/Log_2020[[#This Row],[Split_raw]]*MAX(0,MIN(_xlfn.DAYS(EDATE(W$1,1),Log_2020[[#This Row],[Date]]),Log_2020[[#This Row],[Split_apply]])) - SUM($O159:V159)</f>
        <v>0</v>
      </c>
      <c r="X159" s="58">
        <f ca="1">Log_2020[[#This Row],[Amount]]/Log_2020[[#This Row],[Split_raw]]*MAX(0,MIN(_xlfn.DAYS(EDATE(X$1,1),Log_2020[[#This Row],[Date]]),Log_2020[[#This Row],[Split_apply]])) - SUM($O159:W159)</f>
        <v>0</v>
      </c>
      <c r="Y159" s="58">
        <f ca="1">Log_2020[[#This Row],[Amount]]/Log_2020[[#This Row],[Split_raw]]*MAX(0,MIN(_xlfn.DAYS(EDATE(Y$1,1),Log_2020[[#This Row],[Date]]),Log_2020[[#This Row],[Split_apply]])) - SUM($O159:X159)</f>
        <v>0</v>
      </c>
      <c r="Z159" s="58">
        <f ca="1">Log_2020[[#This Row],[Amount]]/Log_2020[[#This Row],[Split_raw]]*MAX(0,MIN(_xlfn.DAYS(EDATE(Z$1,1),Log_2020[[#This Row],[Date]]),Log_2020[[#This Row],[Split_apply]])) - SUM($O159:Y159)</f>
        <v>0</v>
      </c>
      <c r="AA159" s="58">
        <f ca="1">Log_2020[[#This Row],[Amount]]/Log_2020[[#This Row],[Split_raw]]*MAX(0,MIN(_xlfn.DAYS(EDATE(AA$1,1),Log_2020[[#This Row],[Date]]),Log_2020[[#This Row],[Split_apply]])) - SUM($O159:Z159)</f>
        <v>0</v>
      </c>
      <c r="AB159" s="85">
        <f ca="1">Log_2020[[#This Row],[Amount]]*Log_2020[[#This Row],[Split_apply]]/Log_2020[[#This Row],[Split_raw]]-SUM(O159:AA159)</f>
        <v>0</v>
      </c>
      <c r="AC159" s="74">
        <f>MAX(0,Log_2020[[#This Row],[Split_raw]] - (EDATE(AA$1,1)-Log_2020[[#This Row],[Date]]))</f>
        <v>0</v>
      </c>
    </row>
    <row r="160" spans="1:29" x14ac:dyDescent="0.25">
      <c r="A160" s="58"/>
      <c r="B160" t="s">
        <v>6</v>
      </c>
      <c r="D160" s="26">
        <v>43861</v>
      </c>
      <c r="F160" t="s">
        <v>255</v>
      </c>
      <c r="G160" t="s">
        <v>12</v>
      </c>
      <c r="H160">
        <v>-8.08</v>
      </c>
      <c r="I160" s="42">
        <f>IF(Log_2020[[#This Row],[My Category]]="NONTRACKED",0,Log_2020[[#This Row],[Raw Amount]])</f>
        <v>-8.08</v>
      </c>
      <c r="J160" s="43">
        <f>ABS(Log_2020[[#This Row],[Amount]])</f>
        <v>8.08</v>
      </c>
      <c r="K160" s="38">
        <v>1</v>
      </c>
      <c r="L160" s="38">
        <f ca="1">IF(Log_2020[[#This Row],[Date]]&lt;=TODAY(), MIN(Log_2020[[#This Row],[Split_raw]], TODAY()-Log_2020[[#This Row],[Date]]+1), 0)</f>
        <v>1</v>
      </c>
      <c r="M160" s="40" t="s">
        <v>35</v>
      </c>
      <c r="N160" s="34" t="s">
        <v>158</v>
      </c>
      <c r="O160" s="7"/>
      <c r="P160" s="37">
        <f ca="1">Log_2020[[#This Row],[Amount]]/Log_2020[[#This Row],[Split_raw]]*MAX(0,MIN(_xlfn.DAYS(EDATE(P$1,1),Log_2020[[#This Row],[Date]]),Log_2020[[#This Row],[Split_apply]])) - SUM($O160:O160)</f>
        <v>-8.08</v>
      </c>
      <c r="Q160" s="37">
        <f ca="1">Log_2020[[#This Row],[Amount]]/Log_2020[[#This Row],[Split_raw]]*MAX(0,MIN(_xlfn.DAYS(EDATE(Q$1,1),Log_2020[[#This Row],[Date]]),Log_2020[[#This Row],[Split_apply]])) - SUM($O160:P160)</f>
        <v>0</v>
      </c>
      <c r="R160" s="37">
        <f ca="1">Log_2020[[#This Row],[Amount]]/Log_2020[[#This Row],[Split_raw]]*MAX(0,MIN(_xlfn.DAYS(EDATE(R$1,1),Log_2020[[#This Row],[Date]]),Log_2020[[#This Row],[Split_apply]])) - SUM($O160:Q160)</f>
        <v>0</v>
      </c>
      <c r="S160" s="37">
        <f ca="1">Log_2020[[#This Row],[Amount]]/Log_2020[[#This Row],[Split_raw]]*MAX(0,MIN(_xlfn.DAYS(EDATE(S$1,1),Log_2020[[#This Row],[Date]]),Log_2020[[#This Row],[Split_apply]])) - SUM($O160:R160)</f>
        <v>0</v>
      </c>
      <c r="T160" s="37">
        <f ca="1">Log_2020[[#This Row],[Amount]]/Log_2020[[#This Row],[Split_raw]]*MAX(0,MIN(_xlfn.DAYS(EDATE(T$1,1),Log_2020[[#This Row],[Date]]),Log_2020[[#This Row],[Split_apply]])) - SUM($O160:S160)</f>
        <v>0</v>
      </c>
      <c r="U160" s="37">
        <f ca="1">Log_2020[[#This Row],[Amount]]/Log_2020[[#This Row],[Split_raw]]*MAX(0,MIN(_xlfn.DAYS(EDATE(U$1,1),Log_2020[[#This Row],[Date]]),Log_2020[[#This Row],[Split_apply]])) - SUM($O160:T160)</f>
        <v>0</v>
      </c>
      <c r="V160" s="37">
        <f ca="1">Log_2020[[#This Row],[Amount]]/Log_2020[[#This Row],[Split_raw]]*MAX(0,MIN(_xlfn.DAYS(EDATE(V$1,1),Log_2020[[#This Row],[Date]]),Log_2020[[#This Row],[Split_apply]])) - SUM($O160:U160)</f>
        <v>0</v>
      </c>
      <c r="W160" s="37">
        <f ca="1">Log_2020[[#This Row],[Amount]]/Log_2020[[#This Row],[Split_raw]]*MAX(0,MIN(_xlfn.DAYS(EDATE(W$1,1),Log_2020[[#This Row],[Date]]),Log_2020[[#This Row],[Split_apply]])) - SUM($O160:V160)</f>
        <v>0</v>
      </c>
      <c r="X160" s="37">
        <f ca="1">Log_2020[[#This Row],[Amount]]/Log_2020[[#This Row],[Split_raw]]*MAX(0,MIN(_xlfn.DAYS(EDATE(X$1,1),Log_2020[[#This Row],[Date]]),Log_2020[[#This Row],[Split_apply]])) - SUM($O160:W160)</f>
        <v>0</v>
      </c>
      <c r="Y160" s="37">
        <f ca="1">Log_2020[[#This Row],[Amount]]/Log_2020[[#This Row],[Split_raw]]*MAX(0,MIN(_xlfn.DAYS(EDATE(Y$1,1),Log_2020[[#This Row],[Date]]),Log_2020[[#This Row],[Split_apply]])) - SUM($O160:X160)</f>
        <v>0</v>
      </c>
      <c r="Z160" s="37">
        <f ca="1">Log_2020[[#This Row],[Amount]]/Log_2020[[#This Row],[Split_raw]]*MAX(0,MIN(_xlfn.DAYS(EDATE(Z$1,1),Log_2020[[#This Row],[Date]]),Log_2020[[#This Row],[Split_apply]])) - SUM($O160:Y160)</f>
        <v>0</v>
      </c>
      <c r="AA160" s="37">
        <f ca="1">Log_2020[[#This Row],[Amount]]/Log_2020[[#This Row],[Split_raw]]*MAX(0,MIN(_xlfn.DAYS(EDATE(AA$1,1),Log_2020[[#This Row],[Date]]),Log_2020[[#This Row],[Split_apply]])) - SUM($O160:Z160)</f>
        <v>0</v>
      </c>
      <c r="AB160" s="59">
        <f ca="1">Log_2020[[#This Row],[Amount]]*Log_2020[[#This Row],[Split_apply]]/Log_2020[[#This Row],[Split_raw]]-SUM(O160:AA160)</f>
        <v>0</v>
      </c>
      <c r="AC160" s="7">
        <f>MAX(0,Log_2020[[#This Row],[Split_raw]] - (EDATE(AA$1,1)-Log_2020[[#This Row],[Date]]))</f>
        <v>0</v>
      </c>
    </row>
    <row r="161" spans="1:29" x14ac:dyDescent="0.25">
      <c r="A161" s="58"/>
      <c r="B161" t="s">
        <v>6</v>
      </c>
      <c r="D161" s="26">
        <v>43860</v>
      </c>
      <c r="F161" t="s">
        <v>16</v>
      </c>
      <c r="G161" t="s">
        <v>17</v>
      </c>
      <c r="H161">
        <f>--0.19</f>
        <v>0.19</v>
      </c>
      <c r="I161" s="42">
        <f>IF(Log_2020[[#This Row],[My Category]]="NONTRACKED",0,Log_2020[[#This Row],[Raw Amount]])</f>
        <v>0.19</v>
      </c>
      <c r="J161" s="43">
        <f>ABS(Log_2020[[#This Row],[Amount]])</f>
        <v>0.19</v>
      </c>
      <c r="K161" s="38">
        <v>1</v>
      </c>
      <c r="L161" s="38">
        <f ca="1">IF(Log_2020[[#This Row],[Date]]&lt;=TODAY(), MIN(Log_2020[[#This Row],[Split_raw]], TODAY()-Log_2020[[#This Row],[Date]]+1), 0)</f>
        <v>1</v>
      </c>
      <c r="M161" s="40" t="s">
        <v>144</v>
      </c>
      <c r="N161" s="34" t="s">
        <v>160</v>
      </c>
      <c r="O161" s="7"/>
      <c r="P161" s="37">
        <f ca="1">Log_2020[[#This Row],[Amount]]/Log_2020[[#This Row],[Split_raw]]*MAX(0,MIN(_xlfn.DAYS(EDATE(P$1,1),Log_2020[[#This Row],[Date]]),Log_2020[[#This Row],[Split_apply]])) - SUM($O161:O161)</f>
        <v>0.19</v>
      </c>
      <c r="Q161" s="37">
        <f ca="1">Log_2020[[#This Row],[Amount]]/Log_2020[[#This Row],[Split_raw]]*MAX(0,MIN(_xlfn.DAYS(EDATE(Q$1,1),Log_2020[[#This Row],[Date]]),Log_2020[[#This Row],[Split_apply]])) - SUM($O161:P161)</f>
        <v>0</v>
      </c>
      <c r="R161" s="37">
        <f ca="1">Log_2020[[#This Row],[Amount]]/Log_2020[[#This Row],[Split_raw]]*MAX(0,MIN(_xlfn.DAYS(EDATE(R$1,1),Log_2020[[#This Row],[Date]]),Log_2020[[#This Row],[Split_apply]])) - SUM($O161:Q161)</f>
        <v>0</v>
      </c>
      <c r="S161" s="37">
        <f ca="1">Log_2020[[#This Row],[Amount]]/Log_2020[[#This Row],[Split_raw]]*MAX(0,MIN(_xlfn.DAYS(EDATE(S$1,1),Log_2020[[#This Row],[Date]]),Log_2020[[#This Row],[Split_apply]])) - SUM($O161:R161)</f>
        <v>0</v>
      </c>
      <c r="T161" s="37">
        <f ca="1">Log_2020[[#This Row],[Amount]]/Log_2020[[#This Row],[Split_raw]]*MAX(0,MIN(_xlfn.DAYS(EDATE(T$1,1),Log_2020[[#This Row],[Date]]),Log_2020[[#This Row],[Split_apply]])) - SUM($O161:S161)</f>
        <v>0</v>
      </c>
      <c r="U161" s="37">
        <f ca="1">Log_2020[[#This Row],[Amount]]/Log_2020[[#This Row],[Split_raw]]*MAX(0,MIN(_xlfn.DAYS(EDATE(U$1,1),Log_2020[[#This Row],[Date]]),Log_2020[[#This Row],[Split_apply]])) - SUM($O161:T161)</f>
        <v>0</v>
      </c>
      <c r="V161" s="37">
        <f ca="1">Log_2020[[#This Row],[Amount]]/Log_2020[[#This Row],[Split_raw]]*MAX(0,MIN(_xlfn.DAYS(EDATE(V$1,1),Log_2020[[#This Row],[Date]]),Log_2020[[#This Row],[Split_apply]])) - SUM($O161:U161)</f>
        <v>0</v>
      </c>
      <c r="W161" s="37">
        <f ca="1">Log_2020[[#This Row],[Amount]]/Log_2020[[#This Row],[Split_raw]]*MAX(0,MIN(_xlfn.DAYS(EDATE(W$1,1),Log_2020[[#This Row],[Date]]),Log_2020[[#This Row],[Split_apply]])) - SUM($O161:V161)</f>
        <v>0</v>
      </c>
      <c r="X161" s="37">
        <f ca="1">Log_2020[[#This Row],[Amount]]/Log_2020[[#This Row],[Split_raw]]*MAX(0,MIN(_xlfn.DAYS(EDATE(X$1,1),Log_2020[[#This Row],[Date]]),Log_2020[[#This Row],[Split_apply]])) - SUM($O161:W161)</f>
        <v>0</v>
      </c>
      <c r="Y161" s="37">
        <f ca="1">Log_2020[[#This Row],[Amount]]/Log_2020[[#This Row],[Split_raw]]*MAX(0,MIN(_xlfn.DAYS(EDATE(Y$1,1),Log_2020[[#This Row],[Date]]),Log_2020[[#This Row],[Split_apply]])) - SUM($O161:X161)</f>
        <v>0</v>
      </c>
      <c r="Z161" s="37">
        <f ca="1">Log_2020[[#This Row],[Amount]]/Log_2020[[#This Row],[Split_raw]]*MAX(0,MIN(_xlfn.DAYS(EDATE(Z$1,1),Log_2020[[#This Row],[Date]]),Log_2020[[#This Row],[Split_apply]])) - SUM($O161:Y161)</f>
        <v>0</v>
      </c>
      <c r="AA161" s="37">
        <f ca="1">Log_2020[[#This Row],[Amount]]/Log_2020[[#This Row],[Split_raw]]*MAX(0,MIN(_xlfn.DAYS(EDATE(AA$1,1),Log_2020[[#This Row],[Date]]),Log_2020[[#This Row],[Split_apply]])) - SUM($O161:Z161)</f>
        <v>0</v>
      </c>
      <c r="AB161" s="59">
        <f ca="1">Log_2020[[#This Row],[Amount]]*Log_2020[[#This Row],[Split_apply]]/Log_2020[[#This Row],[Split_raw]]-SUM(O161:AA161)</f>
        <v>0</v>
      </c>
      <c r="AC161" s="7">
        <f>MAX(0,Log_2020[[#This Row],[Split_raw]] - (EDATE(AA$1,1)-Log_2020[[#This Row],[Date]]))</f>
        <v>0</v>
      </c>
    </row>
    <row r="162" spans="1:29" x14ac:dyDescent="0.25">
      <c r="A162" s="58"/>
      <c r="B162" t="s">
        <v>6</v>
      </c>
      <c r="D162" s="26">
        <v>43860</v>
      </c>
      <c r="F162" t="s">
        <v>580</v>
      </c>
      <c r="G162" t="s">
        <v>747</v>
      </c>
      <c r="H162">
        <f>--1902.79</f>
        <v>1902.79</v>
      </c>
      <c r="I162" s="42">
        <f>IF(Log_2020[[#This Row],[My Category]]="NONTRACKED",0,Log_2020[[#This Row],[Raw Amount]])</f>
        <v>1902.79</v>
      </c>
      <c r="J162" s="43">
        <f>ABS(Log_2020[[#This Row],[Amount]])</f>
        <v>1902.79</v>
      </c>
      <c r="K162" s="38">
        <v>14</v>
      </c>
      <c r="L162" s="38">
        <f ca="1">IF(Log_2020[[#This Row],[Date]]&lt;=TODAY(), MIN(Log_2020[[#This Row],[Split_raw]], TODAY()-Log_2020[[#This Row],[Date]]+1), 0)</f>
        <v>14</v>
      </c>
      <c r="M162" s="40" t="s">
        <v>91</v>
      </c>
      <c r="N162" s="34" t="s">
        <v>160</v>
      </c>
      <c r="O162" s="7"/>
      <c r="P162" s="37">
        <f ca="1">Log_2020[[#This Row],[Amount]]/Log_2020[[#This Row],[Split_raw]]*MAX(0,MIN(_xlfn.DAYS(EDATE(P$1,1),Log_2020[[#This Row],[Date]]),Log_2020[[#This Row],[Split_apply]])) - SUM($O162:O162)</f>
        <v>271.82714285714286</v>
      </c>
      <c r="Q162" s="37">
        <f ca="1">Log_2020[[#This Row],[Amount]]/Log_2020[[#This Row],[Split_raw]]*MAX(0,MIN(_xlfn.DAYS(EDATE(Q$1,1),Log_2020[[#This Row],[Date]]),Log_2020[[#This Row],[Split_apply]])) - SUM($O162:P162)</f>
        <v>1630.962857142857</v>
      </c>
      <c r="R162" s="37">
        <f ca="1">Log_2020[[#This Row],[Amount]]/Log_2020[[#This Row],[Split_raw]]*MAX(0,MIN(_xlfn.DAYS(EDATE(R$1,1),Log_2020[[#This Row],[Date]]),Log_2020[[#This Row],[Split_apply]])) - SUM($O162:Q162)</f>
        <v>0</v>
      </c>
      <c r="S162" s="37">
        <f ca="1">Log_2020[[#This Row],[Amount]]/Log_2020[[#This Row],[Split_raw]]*MAX(0,MIN(_xlfn.DAYS(EDATE(S$1,1),Log_2020[[#This Row],[Date]]),Log_2020[[#This Row],[Split_apply]])) - SUM($O162:R162)</f>
        <v>0</v>
      </c>
      <c r="T162" s="37">
        <f ca="1">Log_2020[[#This Row],[Amount]]/Log_2020[[#This Row],[Split_raw]]*MAX(0,MIN(_xlfn.DAYS(EDATE(T$1,1),Log_2020[[#This Row],[Date]]),Log_2020[[#This Row],[Split_apply]])) - SUM($O162:S162)</f>
        <v>0</v>
      </c>
      <c r="U162" s="37">
        <f ca="1">Log_2020[[#This Row],[Amount]]/Log_2020[[#This Row],[Split_raw]]*MAX(0,MIN(_xlfn.DAYS(EDATE(U$1,1),Log_2020[[#This Row],[Date]]),Log_2020[[#This Row],[Split_apply]])) - SUM($O162:T162)</f>
        <v>0</v>
      </c>
      <c r="V162" s="37">
        <f ca="1">Log_2020[[#This Row],[Amount]]/Log_2020[[#This Row],[Split_raw]]*MAX(0,MIN(_xlfn.DAYS(EDATE(V$1,1),Log_2020[[#This Row],[Date]]),Log_2020[[#This Row],[Split_apply]])) - SUM($O162:U162)</f>
        <v>0</v>
      </c>
      <c r="W162" s="37">
        <f ca="1">Log_2020[[#This Row],[Amount]]/Log_2020[[#This Row],[Split_raw]]*MAX(0,MIN(_xlfn.DAYS(EDATE(W$1,1),Log_2020[[#This Row],[Date]]),Log_2020[[#This Row],[Split_apply]])) - SUM($O162:V162)</f>
        <v>0</v>
      </c>
      <c r="X162" s="37">
        <f ca="1">Log_2020[[#This Row],[Amount]]/Log_2020[[#This Row],[Split_raw]]*MAX(0,MIN(_xlfn.DAYS(EDATE(X$1,1),Log_2020[[#This Row],[Date]]),Log_2020[[#This Row],[Split_apply]])) - SUM($O162:W162)</f>
        <v>0</v>
      </c>
      <c r="Y162" s="37">
        <f ca="1">Log_2020[[#This Row],[Amount]]/Log_2020[[#This Row],[Split_raw]]*MAX(0,MIN(_xlfn.DAYS(EDATE(Y$1,1),Log_2020[[#This Row],[Date]]),Log_2020[[#This Row],[Split_apply]])) - SUM($O162:X162)</f>
        <v>0</v>
      </c>
      <c r="Z162" s="37">
        <f ca="1">Log_2020[[#This Row],[Amount]]/Log_2020[[#This Row],[Split_raw]]*MAX(0,MIN(_xlfn.DAYS(EDATE(Z$1,1),Log_2020[[#This Row],[Date]]),Log_2020[[#This Row],[Split_apply]])) - SUM($O162:Y162)</f>
        <v>0</v>
      </c>
      <c r="AA162" s="37">
        <f ca="1">Log_2020[[#This Row],[Amount]]/Log_2020[[#This Row],[Split_raw]]*MAX(0,MIN(_xlfn.DAYS(EDATE(AA$1,1),Log_2020[[#This Row],[Date]]),Log_2020[[#This Row],[Split_apply]])) - SUM($O162:Z162)</f>
        <v>0</v>
      </c>
      <c r="AB162" s="59">
        <f ca="1">Log_2020[[#This Row],[Amount]]*Log_2020[[#This Row],[Split_apply]]/Log_2020[[#This Row],[Split_raw]]-SUM(O162:AA162)</f>
        <v>0</v>
      </c>
      <c r="AC162" s="7">
        <f>MAX(0,Log_2020[[#This Row],[Split_raw]] - (EDATE(AA$1,1)-Log_2020[[#This Row],[Date]]))</f>
        <v>0</v>
      </c>
    </row>
    <row r="163" spans="1:29" x14ac:dyDescent="0.25">
      <c r="A163" s="58"/>
      <c r="B163" t="s">
        <v>6</v>
      </c>
      <c r="D163" s="26">
        <v>43858</v>
      </c>
      <c r="F163" t="s">
        <v>270</v>
      </c>
      <c r="G163" t="s">
        <v>25</v>
      </c>
      <c r="H163">
        <v>-9.99</v>
      </c>
      <c r="I163" s="42">
        <f>IF(Log_2020[[#This Row],[My Category]]="NONTRACKED",0,Log_2020[[#This Row],[Raw Amount]])</f>
        <v>-9.99</v>
      </c>
      <c r="J163" s="43">
        <f>ABS(Log_2020[[#This Row],[Amount]])</f>
        <v>9.99</v>
      </c>
      <c r="K163" s="38">
        <v>1</v>
      </c>
      <c r="L163" s="38">
        <f ca="1">IF(Log_2020[[#This Row],[Date]]&lt;=TODAY(), MIN(Log_2020[[#This Row],[Split_raw]], TODAY()-Log_2020[[#This Row],[Date]]+1), 0)</f>
        <v>1</v>
      </c>
      <c r="M163" s="40" t="s">
        <v>35</v>
      </c>
      <c r="N163" s="34" t="s">
        <v>158</v>
      </c>
      <c r="O163" s="7"/>
      <c r="P163" s="37">
        <f ca="1">Log_2020[[#This Row],[Amount]]/Log_2020[[#This Row],[Split_raw]]*MAX(0,MIN(_xlfn.DAYS(EDATE(P$1,1),Log_2020[[#This Row],[Date]]),Log_2020[[#This Row],[Split_apply]])) - SUM($O163:O163)</f>
        <v>-9.99</v>
      </c>
      <c r="Q163" s="37">
        <f ca="1">Log_2020[[#This Row],[Amount]]/Log_2020[[#This Row],[Split_raw]]*MAX(0,MIN(_xlfn.DAYS(EDATE(Q$1,1),Log_2020[[#This Row],[Date]]),Log_2020[[#This Row],[Split_apply]])) - SUM($O163:P163)</f>
        <v>0</v>
      </c>
      <c r="R163" s="37">
        <f ca="1">Log_2020[[#This Row],[Amount]]/Log_2020[[#This Row],[Split_raw]]*MAX(0,MIN(_xlfn.DAYS(EDATE(R$1,1),Log_2020[[#This Row],[Date]]),Log_2020[[#This Row],[Split_apply]])) - SUM($O163:Q163)</f>
        <v>0</v>
      </c>
      <c r="S163" s="37">
        <f ca="1">Log_2020[[#This Row],[Amount]]/Log_2020[[#This Row],[Split_raw]]*MAX(0,MIN(_xlfn.DAYS(EDATE(S$1,1),Log_2020[[#This Row],[Date]]),Log_2020[[#This Row],[Split_apply]])) - SUM($O163:R163)</f>
        <v>0</v>
      </c>
      <c r="T163" s="37">
        <f ca="1">Log_2020[[#This Row],[Amount]]/Log_2020[[#This Row],[Split_raw]]*MAX(0,MIN(_xlfn.DAYS(EDATE(T$1,1),Log_2020[[#This Row],[Date]]),Log_2020[[#This Row],[Split_apply]])) - SUM($O163:S163)</f>
        <v>0</v>
      </c>
      <c r="U163" s="37">
        <f ca="1">Log_2020[[#This Row],[Amount]]/Log_2020[[#This Row],[Split_raw]]*MAX(0,MIN(_xlfn.DAYS(EDATE(U$1,1),Log_2020[[#This Row],[Date]]),Log_2020[[#This Row],[Split_apply]])) - SUM($O163:T163)</f>
        <v>0</v>
      </c>
      <c r="V163" s="37">
        <f ca="1">Log_2020[[#This Row],[Amount]]/Log_2020[[#This Row],[Split_raw]]*MAX(0,MIN(_xlfn.DAYS(EDATE(V$1,1),Log_2020[[#This Row],[Date]]),Log_2020[[#This Row],[Split_apply]])) - SUM($O163:U163)</f>
        <v>0</v>
      </c>
      <c r="W163" s="37">
        <f ca="1">Log_2020[[#This Row],[Amount]]/Log_2020[[#This Row],[Split_raw]]*MAX(0,MIN(_xlfn.DAYS(EDATE(W$1,1),Log_2020[[#This Row],[Date]]),Log_2020[[#This Row],[Split_apply]])) - SUM($O163:V163)</f>
        <v>0</v>
      </c>
      <c r="X163" s="37">
        <f ca="1">Log_2020[[#This Row],[Amount]]/Log_2020[[#This Row],[Split_raw]]*MAX(0,MIN(_xlfn.DAYS(EDATE(X$1,1),Log_2020[[#This Row],[Date]]),Log_2020[[#This Row],[Split_apply]])) - SUM($O163:W163)</f>
        <v>0</v>
      </c>
      <c r="Y163" s="37">
        <f ca="1">Log_2020[[#This Row],[Amount]]/Log_2020[[#This Row],[Split_raw]]*MAX(0,MIN(_xlfn.DAYS(EDATE(Y$1,1),Log_2020[[#This Row],[Date]]),Log_2020[[#This Row],[Split_apply]])) - SUM($O163:X163)</f>
        <v>0</v>
      </c>
      <c r="Z163" s="37">
        <f ca="1">Log_2020[[#This Row],[Amount]]/Log_2020[[#This Row],[Split_raw]]*MAX(0,MIN(_xlfn.DAYS(EDATE(Z$1,1),Log_2020[[#This Row],[Date]]),Log_2020[[#This Row],[Split_apply]])) - SUM($O163:Y163)</f>
        <v>0</v>
      </c>
      <c r="AA163" s="37">
        <f ca="1">Log_2020[[#This Row],[Amount]]/Log_2020[[#This Row],[Split_raw]]*MAX(0,MIN(_xlfn.DAYS(EDATE(AA$1,1),Log_2020[[#This Row],[Date]]),Log_2020[[#This Row],[Split_apply]])) - SUM($O163:Z163)</f>
        <v>0</v>
      </c>
      <c r="AB163" s="59">
        <f ca="1">Log_2020[[#This Row],[Amount]]*Log_2020[[#This Row],[Split_apply]]/Log_2020[[#This Row],[Split_raw]]-SUM(O163:AA163)</f>
        <v>0</v>
      </c>
      <c r="AC163" s="7">
        <f>MAX(0,Log_2020[[#This Row],[Split_raw]] - (EDATE(AA$1,1)-Log_2020[[#This Row],[Date]]))</f>
        <v>0</v>
      </c>
    </row>
    <row r="164" spans="1:29" x14ac:dyDescent="0.25">
      <c r="A164" s="58"/>
      <c r="B164" t="s">
        <v>6</v>
      </c>
      <c r="D164" s="26">
        <v>43857</v>
      </c>
      <c r="F164" t="s">
        <v>867</v>
      </c>
      <c r="G164" t="s">
        <v>12</v>
      </c>
      <c r="H164">
        <v>-0.32</v>
      </c>
      <c r="I164" s="42">
        <f>IF(Log_2020[[#This Row],[My Category]]="NONTRACKED",0,Log_2020[[#This Row],[Raw Amount]])</f>
        <v>-0.32</v>
      </c>
      <c r="J164" s="43">
        <f>ABS(Log_2020[[#This Row],[Amount]])</f>
        <v>0.32</v>
      </c>
      <c r="K164" s="38">
        <v>1</v>
      </c>
      <c r="L164" s="38">
        <f ca="1">IF(Log_2020[[#This Row],[Date]]&lt;=TODAY(), MIN(Log_2020[[#This Row],[Split_raw]], TODAY()-Log_2020[[#This Row],[Date]]+1), 0)</f>
        <v>1</v>
      </c>
      <c r="M164" s="40" t="s">
        <v>38</v>
      </c>
      <c r="N164" s="34" t="s">
        <v>158</v>
      </c>
      <c r="O164" s="7"/>
      <c r="P164" s="37">
        <f ca="1">Log_2020[[#This Row],[Amount]]/Log_2020[[#This Row],[Split_raw]]*MAX(0,MIN(_xlfn.DAYS(EDATE(P$1,1),Log_2020[[#This Row],[Date]]),Log_2020[[#This Row],[Split_apply]])) - SUM($O164:O164)</f>
        <v>-0.32</v>
      </c>
      <c r="Q164" s="37">
        <f ca="1">Log_2020[[#This Row],[Amount]]/Log_2020[[#This Row],[Split_raw]]*MAX(0,MIN(_xlfn.DAYS(EDATE(Q$1,1),Log_2020[[#This Row],[Date]]),Log_2020[[#This Row],[Split_apply]])) - SUM($O164:P164)</f>
        <v>0</v>
      </c>
      <c r="R164" s="37">
        <f ca="1">Log_2020[[#This Row],[Amount]]/Log_2020[[#This Row],[Split_raw]]*MAX(0,MIN(_xlfn.DAYS(EDATE(R$1,1),Log_2020[[#This Row],[Date]]),Log_2020[[#This Row],[Split_apply]])) - SUM($O164:Q164)</f>
        <v>0</v>
      </c>
      <c r="S164" s="37">
        <f ca="1">Log_2020[[#This Row],[Amount]]/Log_2020[[#This Row],[Split_raw]]*MAX(0,MIN(_xlfn.DAYS(EDATE(S$1,1),Log_2020[[#This Row],[Date]]),Log_2020[[#This Row],[Split_apply]])) - SUM($O164:R164)</f>
        <v>0</v>
      </c>
      <c r="T164" s="37">
        <f ca="1">Log_2020[[#This Row],[Amount]]/Log_2020[[#This Row],[Split_raw]]*MAX(0,MIN(_xlfn.DAYS(EDATE(T$1,1),Log_2020[[#This Row],[Date]]),Log_2020[[#This Row],[Split_apply]])) - SUM($O164:S164)</f>
        <v>0</v>
      </c>
      <c r="U164" s="37">
        <f ca="1">Log_2020[[#This Row],[Amount]]/Log_2020[[#This Row],[Split_raw]]*MAX(0,MIN(_xlfn.DAYS(EDATE(U$1,1),Log_2020[[#This Row],[Date]]),Log_2020[[#This Row],[Split_apply]])) - SUM($O164:T164)</f>
        <v>0</v>
      </c>
      <c r="V164" s="37">
        <f ca="1">Log_2020[[#This Row],[Amount]]/Log_2020[[#This Row],[Split_raw]]*MAX(0,MIN(_xlfn.DAYS(EDATE(V$1,1),Log_2020[[#This Row],[Date]]),Log_2020[[#This Row],[Split_apply]])) - SUM($O164:U164)</f>
        <v>0</v>
      </c>
      <c r="W164" s="37">
        <f ca="1">Log_2020[[#This Row],[Amount]]/Log_2020[[#This Row],[Split_raw]]*MAX(0,MIN(_xlfn.DAYS(EDATE(W$1,1),Log_2020[[#This Row],[Date]]),Log_2020[[#This Row],[Split_apply]])) - SUM($O164:V164)</f>
        <v>0</v>
      </c>
      <c r="X164" s="37">
        <f ca="1">Log_2020[[#This Row],[Amount]]/Log_2020[[#This Row],[Split_raw]]*MAX(0,MIN(_xlfn.DAYS(EDATE(X$1,1),Log_2020[[#This Row],[Date]]),Log_2020[[#This Row],[Split_apply]])) - SUM($O164:W164)</f>
        <v>0</v>
      </c>
      <c r="Y164" s="37">
        <f ca="1">Log_2020[[#This Row],[Amount]]/Log_2020[[#This Row],[Split_raw]]*MAX(0,MIN(_xlfn.DAYS(EDATE(Y$1,1),Log_2020[[#This Row],[Date]]),Log_2020[[#This Row],[Split_apply]])) - SUM($O164:X164)</f>
        <v>0</v>
      </c>
      <c r="Z164" s="37">
        <f ca="1">Log_2020[[#This Row],[Amount]]/Log_2020[[#This Row],[Split_raw]]*MAX(0,MIN(_xlfn.DAYS(EDATE(Z$1,1),Log_2020[[#This Row],[Date]]),Log_2020[[#This Row],[Split_apply]])) - SUM($O164:Y164)</f>
        <v>0</v>
      </c>
      <c r="AA164" s="37">
        <f ca="1">Log_2020[[#This Row],[Amount]]/Log_2020[[#This Row],[Split_raw]]*MAX(0,MIN(_xlfn.DAYS(EDATE(AA$1,1),Log_2020[[#This Row],[Date]]),Log_2020[[#This Row],[Split_apply]])) - SUM($O164:Z164)</f>
        <v>0</v>
      </c>
      <c r="AB164" s="59">
        <f ca="1">Log_2020[[#This Row],[Amount]]*Log_2020[[#This Row],[Split_apply]]/Log_2020[[#This Row],[Split_raw]]-SUM(O164:AA164)</f>
        <v>0</v>
      </c>
      <c r="AC164" s="7">
        <f>MAX(0,Log_2020[[#This Row],[Split_raw]] - (EDATE(AA$1,1)-Log_2020[[#This Row],[Date]]))</f>
        <v>0</v>
      </c>
    </row>
    <row r="165" spans="1:29" x14ac:dyDescent="0.25">
      <c r="A165" s="58"/>
      <c r="B165" t="s">
        <v>6</v>
      </c>
      <c r="D165" s="26">
        <v>43855</v>
      </c>
      <c r="F165" t="s">
        <v>868</v>
      </c>
      <c r="G165" t="s">
        <v>384</v>
      </c>
      <c r="H165">
        <v>-33.4</v>
      </c>
      <c r="I165" s="42">
        <f>IF(Log_2020[[#This Row],[My Category]]="NONTRACKED",0,Log_2020[[#This Row],[Raw Amount]])</f>
        <v>-33.4</v>
      </c>
      <c r="J165" s="43">
        <f>ABS(Log_2020[[#This Row],[Amount]])</f>
        <v>33.4</v>
      </c>
      <c r="K165" s="38">
        <v>1</v>
      </c>
      <c r="L165" s="38">
        <f ca="1">IF(Log_2020[[#This Row],[Date]]&lt;=TODAY(), MIN(Log_2020[[#This Row],[Split_raw]], TODAY()-Log_2020[[#This Row],[Date]]+1), 0)</f>
        <v>1</v>
      </c>
      <c r="M165" s="40" t="s">
        <v>40</v>
      </c>
      <c r="N165" s="34" t="s">
        <v>158</v>
      </c>
      <c r="O165" s="7"/>
      <c r="P165" s="37">
        <f ca="1">Log_2020[[#This Row],[Amount]]/Log_2020[[#This Row],[Split_raw]]*MAX(0,MIN(_xlfn.DAYS(EDATE(P$1,1),Log_2020[[#This Row],[Date]]),Log_2020[[#This Row],[Split_apply]])) - SUM($O165:O165)</f>
        <v>-33.4</v>
      </c>
      <c r="Q165" s="37">
        <f ca="1">Log_2020[[#This Row],[Amount]]/Log_2020[[#This Row],[Split_raw]]*MAX(0,MIN(_xlfn.DAYS(EDATE(Q$1,1),Log_2020[[#This Row],[Date]]),Log_2020[[#This Row],[Split_apply]])) - SUM($O165:P165)</f>
        <v>0</v>
      </c>
      <c r="R165" s="37">
        <f ca="1">Log_2020[[#This Row],[Amount]]/Log_2020[[#This Row],[Split_raw]]*MAX(0,MIN(_xlfn.DAYS(EDATE(R$1,1),Log_2020[[#This Row],[Date]]),Log_2020[[#This Row],[Split_apply]])) - SUM($O165:Q165)</f>
        <v>0</v>
      </c>
      <c r="S165" s="37">
        <f ca="1">Log_2020[[#This Row],[Amount]]/Log_2020[[#This Row],[Split_raw]]*MAX(0,MIN(_xlfn.DAYS(EDATE(S$1,1),Log_2020[[#This Row],[Date]]),Log_2020[[#This Row],[Split_apply]])) - SUM($O165:R165)</f>
        <v>0</v>
      </c>
      <c r="T165" s="37">
        <f ca="1">Log_2020[[#This Row],[Amount]]/Log_2020[[#This Row],[Split_raw]]*MAX(0,MIN(_xlfn.DAYS(EDATE(T$1,1),Log_2020[[#This Row],[Date]]),Log_2020[[#This Row],[Split_apply]])) - SUM($O165:S165)</f>
        <v>0</v>
      </c>
      <c r="U165" s="37">
        <f ca="1">Log_2020[[#This Row],[Amount]]/Log_2020[[#This Row],[Split_raw]]*MAX(0,MIN(_xlfn.DAYS(EDATE(U$1,1),Log_2020[[#This Row],[Date]]),Log_2020[[#This Row],[Split_apply]])) - SUM($O165:T165)</f>
        <v>0</v>
      </c>
      <c r="V165" s="37">
        <f ca="1">Log_2020[[#This Row],[Amount]]/Log_2020[[#This Row],[Split_raw]]*MAX(0,MIN(_xlfn.DAYS(EDATE(V$1,1),Log_2020[[#This Row],[Date]]),Log_2020[[#This Row],[Split_apply]])) - SUM($O165:U165)</f>
        <v>0</v>
      </c>
      <c r="W165" s="37">
        <f ca="1">Log_2020[[#This Row],[Amount]]/Log_2020[[#This Row],[Split_raw]]*MAX(0,MIN(_xlfn.DAYS(EDATE(W$1,1),Log_2020[[#This Row],[Date]]),Log_2020[[#This Row],[Split_apply]])) - SUM($O165:V165)</f>
        <v>0</v>
      </c>
      <c r="X165" s="37">
        <f ca="1">Log_2020[[#This Row],[Amount]]/Log_2020[[#This Row],[Split_raw]]*MAX(0,MIN(_xlfn.DAYS(EDATE(X$1,1),Log_2020[[#This Row],[Date]]),Log_2020[[#This Row],[Split_apply]])) - SUM($O165:W165)</f>
        <v>0</v>
      </c>
      <c r="Y165" s="37">
        <f ca="1">Log_2020[[#This Row],[Amount]]/Log_2020[[#This Row],[Split_raw]]*MAX(0,MIN(_xlfn.DAYS(EDATE(Y$1,1),Log_2020[[#This Row],[Date]]),Log_2020[[#This Row],[Split_apply]])) - SUM($O165:X165)</f>
        <v>0</v>
      </c>
      <c r="Z165" s="37">
        <f ca="1">Log_2020[[#This Row],[Amount]]/Log_2020[[#This Row],[Split_raw]]*MAX(0,MIN(_xlfn.DAYS(EDATE(Z$1,1),Log_2020[[#This Row],[Date]]),Log_2020[[#This Row],[Split_apply]])) - SUM($O165:Y165)</f>
        <v>0</v>
      </c>
      <c r="AA165" s="37">
        <f ca="1">Log_2020[[#This Row],[Amount]]/Log_2020[[#This Row],[Split_raw]]*MAX(0,MIN(_xlfn.DAYS(EDATE(AA$1,1),Log_2020[[#This Row],[Date]]),Log_2020[[#This Row],[Split_apply]])) - SUM($O165:Z165)</f>
        <v>0</v>
      </c>
      <c r="AB165" s="59">
        <f ca="1">Log_2020[[#This Row],[Amount]]*Log_2020[[#This Row],[Split_apply]]/Log_2020[[#This Row],[Split_raw]]-SUM(O165:AA165)</f>
        <v>0</v>
      </c>
      <c r="AC165" s="7">
        <f>MAX(0,Log_2020[[#This Row],[Split_raw]] - (EDATE(AA$1,1)-Log_2020[[#This Row],[Date]]))</f>
        <v>0</v>
      </c>
    </row>
    <row r="166" spans="1:29" x14ac:dyDescent="0.25">
      <c r="A166" s="58"/>
      <c r="B166" t="s">
        <v>6</v>
      </c>
      <c r="D166" s="26">
        <v>43854</v>
      </c>
      <c r="F166" t="s">
        <v>255</v>
      </c>
      <c r="G166" t="s">
        <v>12</v>
      </c>
      <c r="H166">
        <v>-26.47</v>
      </c>
      <c r="I166" s="42">
        <f>IF(Log_2020[[#This Row],[My Category]]="NONTRACKED",0,Log_2020[[#This Row],[Raw Amount]])</f>
        <v>-26.47</v>
      </c>
      <c r="J166" s="43">
        <f>ABS(Log_2020[[#This Row],[Amount]])</f>
        <v>26.47</v>
      </c>
      <c r="K166" s="38">
        <v>1</v>
      </c>
      <c r="L166" s="38">
        <f ca="1">IF(Log_2020[[#This Row],[Date]]&lt;=TODAY(), MIN(Log_2020[[#This Row],[Split_raw]], TODAY()-Log_2020[[#This Row],[Date]]+1), 0)</f>
        <v>1</v>
      </c>
      <c r="M166" s="40" t="s">
        <v>52</v>
      </c>
      <c r="N166" s="34" t="s">
        <v>158</v>
      </c>
      <c r="O166" s="7"/>
      <c r="P166" s="37">
        <f ca="1">Log_2020[[#This Row],[Amount]]/Log_2020[[#This Row],[Split_raw]]*MAX(0,MIN(_xlfn.DAYS(EDATE(P$1,1),Log_2020[[#This Row],[Date]]),Log_2020[[#This Row],[Split_apply]])) - SUM($O166:O166)</f>
        <v>-26.47</v>
      </c>
      <c r="Q166" s="37">
        <f ca="1">Log_2020[[#This Row],[Amount]]/Log_2020[[#This Row],[Split_raw]]*MAX(0,MIN(_xlfn.DAYS(EDATE(Q$1,1),Log_2020[[#This Row],[Date]]),Log_2020[[#This Row],[Split_apply]])) - SUM($O166:P166)</f>
        <v>0</v>
      </c>
      <c r="R166" s="37">
        <f ca="1">Log_2020[[#This Row],[Amount]]/Log_2020[[#This Row],[Split_raw]]*MAX(0,MIN(_xlfn.DAYS(EDATE(R$1,1),Log_2020[[#This Row],[Date]]),Log_2020[[#This Row],[Split_apply]])) - SUM($O166:Q166)</f>
        <v>0</v>
      </c>
      <c r="S166" s="37">
        <f ca="1">Log_2020[[#This Row],[Amount]]/Log_2020[[#This Row],[Split_raw]]*MAX(0,MIN(_xlfn.DAYS(EDATE(S$1,1),Log_2020[[#This Row],[Date]]),Log_2020[[#This Row],[Split_apply]])) - SUM($O166:R166)</f>
        <v>0</v>
      </c>
      <c r="T166" s="37">
        <f ca="1">Log_2020[[#This Row],[Amount]]/Log_2020[[#This Row],[Split_raw]]*MAX(0,MIN(_xlfn.DAYS(EDATE(T$1,1),Log_2020[[#This Row],[Date]]),Log_2020[[#This Row],[Split_apply]])) - SUM($O166:S166)</f>
        <v>0</v>
      </c>
      <c r="U166" s="37">
        <f ca="1">Log_2020[[#This Row],[Amount]]/Log_2020[[#This Row],[Split_raw]]*MAX(0,MIN(_xlfn.DAYS(EDATE(U$1,1),Log_2020[[#This Row],[Date]]),Log_2020[[#This Row],[Split_apply]])) - SUM($O166:T166)</f>
        <v>0</v>
      </c>
      <c r="V166" s="37">
        <f ca="1">Log_2020[[#This Row],[Amount]]/Log_2020[[#This Row],[Split_raw]]*MAX(0,MIN(_xlfn.DAYS(EDATE(V$1,1),Log_2020[[#This Row],[Date]]),Log_2020[[#This Row],[Split_apply]])) - SUM($O166:U166)</f>
        <v>0</v>
      </c>
      <c r="W166" s="37">
        <f ca="1">Log_2020[[#This Row],[Amount]]/Log_2020[[#This Row],[Split_raw]]*MAX(0,MIN(_xlfn.DAYS(EDATE(W$1,1),Log_2020[[#This Row],[Date]]),Log_2020[[#This Row],[Split_apply]])) - SUM($O166:V166)</f>
        <v>0</v>
      </c>
      <c r="X166" s="37">
        <f ca="1">Log_2020[[#This Row],[Amount]]/Log_2020[[#This Row],[Split_raw]]*MAX(0,MIN(_xlfn.DAYS(EDATE(X$1,1),Log_2020[[#This Row],[Date]]),Log_2020[[#This Row],[Split_apply]])) - SUM($O166:W166)</f>
        <v>0</v>
      </c>
      <c r="Y166" s="37">
        <f ca="1">Log_2020[[#This Row],[Amount]]/Log_2020[[#This Row],[Split_raw]]*MAX(0,MIN(_xlfn.DAYS(EDATE(Y$1,1),Log_2020[[#This Row],[Date]]),Log_2020[[#This Row],[Split_apply]])) - SUM($O166:X166)</f>
        <v>0</v>
      </c>
      <c r="Z166" s="37">
        <f ca="1">Log_2020[[#This Row],[Amount]]/Log_2020[[#This Row],[Split_raw]]*MAX(0,MIN(_xlfn.DAYS(EDATE(Z$1,1),Log_2020[[#This Row],[Date]]),Log_2020[[#This Row],[Split_apply]])) - SUM($O166:Y166)</f>
        <v>0</v>
      </c>
      <c r="AA166" s="37">
        <f ca="1">Log_2020[[#This Row],[Amount]]/Log_2020[[#This Row],[Split_raw]]*MAX(0,MIN(_xlfn.DAYS(EDATE(AA$1,1),Log_2020[[#This Row],[Date]]),Log_2020[[#This Row],[Split_apply]])) - SUM($O166:Z166)</f>
        <v>0</v>
      </c>
      <c r="AB166" s="59">
        <f ca="1">Log_2020[[#This Row],[Amount]]*Log_2020[[#This Row],[Split_apply]]/Log_2020[[#This Row],[Split_raw]]-SUM(O166:AA166)</f>
        <v>0</v>
      </c>
      <c r="AC166" s="7">
        <f>MAX(0,Log_2020[[#This Row],[Split_raw]] - (EDATE(AA$1,1)-Log_2020[[#This Row],[Date]]))</f>
        <v>0</v>
      </c>
    </row>
    <row r="167" spans="1:29" x14ac:dyDescent="0.25">
      <c r="A167" s="58"/>
      <c r="B167" t="s">
        <v>6</v>
      </c>
      <c r="D167" s="26">
        <v>43852</v>
      </c>
      <c r="F167" t="s">
        <v>59</v>
      </c>
      <c r="G167" t="s">
        <v>25</v>
      </c>
      <c r="H167">
        <v>-4.53</v>
      </c>
      <c r="I167" s="42">
        <f>IF(Log_2020[[#This Row],[My Category]]="NONTRACKED",0,Log_2020[[#This Row],[Raw Amount]])</f>
        <v>-4.53</v>
      </c>
      <c r="J167" s="43">
        <f>ABS(Log_2020[[#This Row],[Amount]])</f>
        <v>4.53</v>
      </c>
      <c r="K167" s="38">
        <v>1</v>
      </c>
      <c r="L167" s="38">
        <f ca="1">IF(Log_2020[[#This Row],[Date]]&lt;=TODAY(), MIN(Log_2020[[#This Row],[Split_raw]], TODAY()-Log_2020[[#This Row],[Date]]+1), 0)</f>
        <v>1</v>
      </c>
      <c r="M167" s="40" t="s">
        <v>35</v>
      </c>
      <c r="N167" s="34" t="s">
        <v>158</v>
      </c>
      <c r="O167" s="7"/>
      <c r="P167" s="37">
        <f ca="1">Log_2020[[#This Row],[Amount]]/Log_2020[[#This Row],[Split_raw]]*MAX(0,MIN(_xlfn.DAYS(EDATE(P$1,1),Log_2020[[#This Row],[Date]]),Log_2020[[#This Row],[Split_apply]])) - SUM($O167:O167)</f>
        <v>-4.53</v>
      </c>
      <c r="Q167" s="37">
        <f ca="1">Log_2020[[#This Row],[Amount]]/Log_2020[[#This Row],[Split_raw]]*MAX(0,MIN(_xlfn.DAYS(EDATE(Q$1,1),Log_2020[[#This Row],[Date]]),Log_2020[[#This Row],[Split_apply]])) - SUM($O167:P167)</f>
        <v>0</v>
      </c>
      <c r="R167" s="37">
        <f ca="1">Log_2020[[#This Row],[Amount]]/Log_2020[[#This Row],[Split_raw]]*MAX(0,MIN(_xlfn.DAYS(EDATE(R$1,1),Log_2020[[#This Row],[Date]]),Log_2020[[#This Row],[Split_apply]])) - SUM($O167:Q167)</f>
        <v>0</v>
      </c>
      <c r="S167" s="37">
        <f ca="1">Log_2020[[#This Row],[Amount]]/Log_2020[[#This Row],[Split_raw]]*MAX(0,MIN(_xlfn.DAYS(EDATE(S$1,1),Log_2020[[#This Row],[Date]]),Log_2020[[#This Row],[Split_apply]])) - SUM($O167:R167)</f>
        <v>0</v>
      </c>
      <c r="T167" s="37">
        <f ca="1">Log_2020[[#This Row],[Amount]]/Log_2020[[#This Row],[Split_raw]]*MAX(0,MIN(_xlfn.DAYS(EDATE(T$1,1),Log_2020[[#This Row],[Date]]),Log_2020[[#This Row],[Split_apply]])) - SUM($O167:S167)</f>
        <v>0</v>
      </c>
      <c r="U167" s="37">
        <f ca="1">Log_2020[[#This Row],[Amount]]/Log_2020[[#This Row],[Split_raw]]*MAX(0,MIN(_xlfn.DAYS(EDATE(U$1,1),Log_2020[[#This Row],[Date]]),Log_2020[[#This Row],[Split_apply]])) - SUM($O167:T167)</f>
        <v>0</v>
      </c>
      <c r="V167" s="37">
        <f ca="1">Log_2020[[#This Row],[Amount]]/Log_2020[[#This Row],[Split_raw]]*MAX(0,MIN(_xlfn.DAYS(EDATE(V$1,1),Log_2020[[#This Row],[Date]]),Log_2020[[#This Row],[Split_apply]])) - SUM($O167:U167)</f>
        <v>0</v>
      </c>
      <c r="W167" s="37">
        <f ca="1">Log_2020[[#This Row],[Amount]]/Log_2020[[#This Row],[Split_raw]]*MAX(0,MIN(_xlfn.DAYS(EDATE(W$1,1),Log_2020[[#This Row],[Date]]),Log_2020[[#This Row],[Split_apply]])) - SUM($O167:V167)</f>
        <v>0</v>
      </c>
      <c r="X167" s="37">
        <f ca="1">Log_2020[[#This Row],[Amount]]/Log_2020[[#This Row],[Split_raw]]*MAX(0,MIN(_xlfn.DAYS(EDATE(X$1,1),Log_2020[[#This Row],[Date]]),Log_2020[[#This Row],[Split_apply]])) - SUM($O167:W167)</f>
        <v>0</v>
      </c>
      <c r="Y167" s="37">
        <f ca="1">Log_2020[[#This Row],[Amount]]/Log_2020[[#This Row],[Split_raw]]*MAX(0,MIN(_xlfn.DAYS(EDATE(Y$1,1),Log_2020[[#This Row],[Date]]),Log_2020[[#This Row],[Split_apply]])) - SUM($O167:X167)</f>
        <v>0</v>
      </c>
      <c r="Z167" s="37">
        <f ca="1">Log_2020[[#This Row],[Amount]]/Log_2020[[#This Row],[Split_raw]]*MAX(0,MIN(_xlfn.DAYS(EDATE(Z$1,1),Log_2020[[#This Row],[Date]]),Log_2020[[#This Row],[Split_apply]])) - SUM($O167:Y167)</f>
        <v>0</v>
      </c>
      <c r="AA167" s="37">
        <f ca="1">Log_2020[[#This Row],[Amount]]/Log_2020[[#This Row],[Split_raw]]*MAX(0,MIN(_xlfn.DAYS(EDATE(AA$1,1),Log_2020[[#This Row],[Date]]),Log_2020[[#This Row],[Split_apply]])) - SUM($O167:Z167)</f>
        <v>0</v>
      </c>
      <c r="AB167" s="59">
        <f ca="1">Log_2020[[#This Row],[Amount]]*Log_2020[[#This Row],[Split_apply]]/Log_2020[[#This Row],[Split_raw]]-SUM(O167:AA167)</f>
        <v>0</v>
      </c>
      <c r="AC167" s="7">
        <f>MAX(0,Log_2020[[#This Row],[Split_raw]] - (EDATE(AA$1,1)-Log_2020[[#This Row],[Date]]))</f>
        <v>0</v>
      </c>
    </row>
    <row r="168" spans="1:29" x14ac:dyDescent="0.25">
      <c r="A168" s="58"/>
      <c r="B168" t="s">
        <v>6</v>
      </c>
      <c r="D168" s="26">
        <v>43852</v>
      </c>
      <c r="F168" t="s">
        <v>581</v>
      </c>
      <c r="G168" t="s">
        <v>582</v>
      </c>
      <c r="H168">
        <v>-52.95</v>
      </c>
      <c r="I168" s="42">
        <f>IF(Log_2020[[#This Row],[My Category]]="NONTRACKED",0,Log_2020[[#This Row],[Raw Amount]])</f>
        <v>-52.95</v>
      </c>
      <c r="J168" s="43">
        <f>ABS(Log_2020[[#This Row],[Amount]])</f>
        <v>52.95</v>
      </c>
      <c r="K168" s="38">
        <v>30</v>
      </c>
      <c r="L168" s="38">
        <f ca="1">IF(Log_2020[[#This Row],[Date]]&lt;=TODAY(), MIN(Log_2020[[#This Row],[Split_raw]], TODAY()-Log_2020[[#This Row],[Date]]+1), 0)</f>
        <v>30</v>
      </c>
      <c r="M168" s="40" t="s">
        <v>30</v>
      </c>
      <c r="N168" s="34" t="s">
        <v>160</v>
      </c>
      <c r="O168" s="7"/>
      <c r="P168" s="37">
        <f ca="1">Log_2020[[#This Row],[Amount]]/Log_2020[[#This Row],[Split_raw]]*MAX(0,MIN(_xlfn.DAYS(EDATE(P$1,1),Log_2020[[#This Row],[Date]]),Log_2020[[#This Row],[Split_apply]])) - SUM($O168:O168)</f>
        <v>-17.650000000000002</v>
      </c>
      <c r="Q168" s="37">
        <f ca="1">Log_2020[[#This Row],[Amount]]/Log_2020[[#This Row],[Split_raw]]*MAX(0,MIN(_xlfn.DAYS(EDATE(Q$1,1),Log_2020[[#This Row],[Date]]),Log_2020[[#This Row],[Split_apply]])) - SUM($O168:P168)</f>
        <v>-35.299999999999997</v>
      </c>
      <c r="R168" s="37">
        <f ca="1">Log_2020[[#This Row],[Amount]]/Log_2020[[#This Row],[Split_raw]]*MAX(0,MIN(_xlfn.DAYS(EDATE(R$1,1),Log_2020[[#This Row],[Date]]),Log_2020[[#This Row],[Split_apply]])) - SUM($O168:Q168)</f>
        <v>0</v>
      </c>
      <c r="S168" s="37">
        <f ca="1">Log_2020[[#This Row],[Amount]]/Log_2020[[#This Row],[Split_raw]]*MAX(0,MIN(_xlfn.DAYS(EDATE(S$1,1),Log_2020[[#This Row],[Date]]),Log_2020[[#This Row],[Split_apply]])) - SUM($O168:R168)</f>
        <v>0</v>
      </c>
      <c r="T168" s="37">
        <f ca="1">Log_2020[[#This Row],[Amount]]/Log_2020[[#This Row],[Split_raw]]*MAX(0,MIN(_xlfn.DAYS(EDATE(T$1,1),Log_2020[[#This Row],[Date]]),Log_2020[[#This Row],[Split_apply]])) - SUM($O168:S168)</f>
        <v>0</v>
      </c>
      <c r="U168" s="37">
        <f ca="1">Log_2020[[#This Row],[Amount]]/Log_2020[[#This Row],[Split_raw]]*MAX(0,MIN(_xlfn.DAYS(EDATE(U$1,1),Log_2020[[#This Row],[Date]]),Log_2020[[#This Row],[Split_apply]])) - SUM($O168:T168)</f>
        <v>0</v>
      </c>
      <c r="V168" s="37">
        <f ca="1">Log_2020[[#This Row],[Amount]]/Log_2020[[#This Row],[Split_raw]]*MAX(0,MIN(_xlfn.DAYS(EDATE(V$1,1),Log_2020[[#This Row],[Date]]),Log_2020[[#This Row],[Split_apply]])) - SUM($O168:U168)</f>
        <v>0</v>
      </c>
      <c r="W168" s="37">
        <f ca="1">Log_2020[[#This Row],[Amount]]/Log_2020[[#This Row],[Split_raw]]*MAX(0,MIN(_xlfn.DAYS(EDATE(W$1,1),Log_2020[[#This Row],[Date]]),Log_2020[[#This Row],[Split_apply]])) - SUM($O168:V168)</f>
        <v>0</v>
      </c>
      <c r="X168" s="37">
        <f ca="1">Log_2020[[#This Row],[Amount]]/Log_2020[[#This Row],[Split_raw]]*MAX(0,MIN(_xlfn.DAYS(EDATE(X$1,1),Log_2020[[#This Row],[Date]]),Log_2020[[#This Row],[Split_apply]])) - SUM($O168:W168)</f>
        <v>0</v>
      </c>
      <c r="Y168" s="37">
        <f ca="1">Log_2020[[#This Row],[Amount]]/Log_2020[[#This Row],[Split_raw]]*MAX(0,MIN(_xlfn.DAYS(EDATE(Y$1,1),Log_2020[[#This Row],[Date]]),Log_2020[[#This Row],[Split_apply]])) - SUM($O168:X168)</f>
        <v>0</v>
      </c>
      <c r="Z168" s="37">
        <f ca="1">Log_2020[[#This Row],[Amount]]/Log_2020[[#This Row],[Split_raw]]*MAX(0,MIN(_xlfn.DAYS(EDATE(Z$1,1),Log_2020[[#This Row],[Date]]),Log_2020[[#This Row],[Split_apply]])) - SUM($O168:Y168)</f>
        <v>0</v>
      </c>
      <c r="AA168" s="37">
        <f ca="1">Log_2020[[#This Row],[Amount]]/Log_2020[[#This Row],[Split_raw]]*MAX(0,MIN(_xlfn.DAYS(EDATE(AA$1,1),Log_2020[[#This Row],[Date]]),Log_2020[[#This Row],[Split_apply]])) - SUM($O168:Z168)</f>
        <v>0</v>
      </c>
      <c r="AB168" s="59">
        <f ca="1">Log_2020[[#This Row],[Amount]]*Log_2020[[#This Row],[Split_apply]]/Log_2020[[#This Row],[Split_raw]]-SUM(O168:AA168)</f>
        <v>0</v>
      </c>
      <c r="AC168" s="7">
        <f>MAX(0,Log_2020[[#This Row],[Split_raw]] - (EDATE(AA$1,1)-Log_2020[[#This Row],[Date]]))</f>
        <v>0</v>
      </c>
    </row>
    <row r="169" spans="1:29" x14ac:dyDescent="0.25">
      <c r="A169" s="37"/>
      <c r="B169" s="34" t="s">
        <v>6</v>
      </c>
      <c r="C169" s="34"/>
      <c r="D169" s="35">
        <v>43851</v>
      </c>
      <c r="E169" s="34"/>
      <c r="F169" s="34" t="s">
        <v>255</v>
      </c>
      <c r="G169" s="34" t="s">
        <v>12</v>
      </c>
      <c r="H169">
        <v>-8.08</v>
      </c>
      <c r="I169" s="36">
        <f>IF(Log_2020[[#This Row],[My Category]]="NONTRACKED",0,Log_2020[[#This Row],[Raw Amount]])</f>
        <v>-8.08</v>
      </c>
      <c r="J169" s="37">
        <f>ABS(Log_2020[[#This Row],[Amount]])</f>
        <v>8.08</v>
      </c>
      <c r="K169" s="38">
        <v>1</v>
      </c>
      <c r="L169" s="38">
        <f ca="1">IF(Log_2020[[#This Row],[Date]]&lt;=TODAY(), MIN(Log_2020[[#This Row],[Split_raw]], TODAY()-Log_2020[[#This Row],[Date]]+1), 0)</f>
        <v>1</v>
      </c>
      <c r="M169" s="34" t="s">
        <v>35</v>
      </c>
      <c r="N169" s="34" t="s">
        <v>158</v>
      </c>
      <c r="O169" s="7"/>
      <c r="P169" s="37">
        <f ca="1">Log_2020[[#This Row],[Amount]]/Log_2020[[#This Row],[Split_raw]]*MAX(0,MIN(_xlfn.DAYS(EDATE(P$1,1),Log_2020[[#This Row],[Date]]),Log_2020[[#This Row],[Split_apply]])) - SUM($O169:O169)</f>
        <v>-8.08</v>
      </c>
      <c r="Q169" s="37">
        <f ca="1">Log_2020[[#This Row],[Amount]]/Log_2020[[#This Row],[Split_raw]]*MAX(0,MIN(_xlfn.DAYS(EDATE(Q$1,1),Log_2020[[#This Row],[Date]]),Log_2020[[#This Row],[Split_apply]])) - SUM($O169:P169)</f>
        <v>0</v>
      </c>
      <c r="R169" s="37">
        <f ca="1">Log_2020[[#This Row],[Amount]]/Log_2020[[#This Row],[Split_raw]]*MAX(0,MIN(_xlfn.DAYS(EDATE(R$1,1),Log_2020[[#This Row],[Date]]),Log_2020[[#This Row],[Split_apply]])) - SUM($O169:Q169)</f>
        <v>0</v>
      </c>
      <c r="S169" s="37">
        <f ca="1">Log_2020[[#This Row],[Amount]]/Log_2020[[#This Row],[Split_raw]]*MAX(0,MIN(_xlfn.DAYS(EDATE(S$1,1),Log_2020[[#This Row],[Date]]),Log_2020[[#This Row],[Split_apply]])) - SUM($O169:R169)</f>
        <v>0</v>
      </c>
      <c r="T169" s="37">
        <f ca="1">Log_2020[[#This Row],[Amount]]/Log_2020[[#This Row],[Split_raw]]*MAX(0,MIN(_xlfn.DAYS(EDATE(T$1,1),Log_2020[[#This Row],[Date]]),Log_2020[[#This Row],[Split_apply]])) - SUM($O169:S169)</f>
        <v>0</v>
      </c>
      <c r="U169" s="37">
        <f ca="1">Log_2020[[#This Row],[Amount]]/Log_2020[[#This Row],[Split_raw]]*MAX(0,MIN(_xlfn.DAYS(EDATE(U$1,1),Log_2020[[#This Row],[Date]]),Log_2020[[#This Row],[Split_apply]])) - SUM($O169:T169)</f>
        <v>0</v>
      </c>
      <c r="V169" s="37">
        <f ca="1">Log_2020[[#This Row],[Amount]]/Log_2020[[#This Row],[Split_raw]]*MAX(0,MIN(_xlfn.DAYS(EDATE(V$1,1),Log_2020[[#This Row],[Date]]),Log_2020[[#This Row],[Split_apply]])) - SUM($O169:U169)</f>
        <v>0</v>
      </c>
      <c r="W169" s="37">
        <f ca="1">Log_2020[[#This Row],[Amount]]/Log_2020[[#This Row],[Split_raw]]*MAX(0,MIN(_xlfn.DAYS(EDATE(W$1,1),Log_2020[[#This Row],[Date]]),Log_2020[[#This Row],[Split_apply]])) - SUM($O169:V169)</f>
        <v>0</v>
      </c>
      <c r="X169" s="37">
        <f ca="1">Log_2020[[#This Row],[Amount]]/Log_2020[[#This Row],[Split_raw]]*MAX(0,MIN(_xlfn.DAYS(EDATE(X$1,1),Log_2020[[#This Row],[Date]]),Log_2020[[#This Row],[Split_apply]])) - SUM($O169:W169)</f>
        <v>0</v>
      </c>
      <c r="Y169" s="37">
        <f ca="1">Log_2020[[#This Row],[Amount]]/Log_2020[[#This Row],[Split_raw]]*MAX(0,MIN(_xlfn.DAYS(EDATE(Y$1,1),Log_2020[[#This Row],[Date]]),Log_2020[[#This Row],[Split_apply]])) - SUM($O169:X169)</f>
        <v>0</v>
      </c>
      <c r="Z169" s="37">
        <f ca="1">Log_2020[[#This Row],[Amount]]/Log_2020[[#This Row],[Split_raw]]*MAX(0,MIN(_xlfn.DAYS(EDATE(Z$1,1),Log_2020[[#This Row],[Date]]),Log_2020[[#This Row],[Split_apply]])) - SUM($O169:Y169)</f>
        <v>0</v>
      </c>
      <c r="AA169" s="37">
        <f ca="1">Log_2020[[#This Row],[Amount]]/Log_2020[[#This Row],[Split_raw]]*MAX(0,MIN(_xlfn.DAYS(EDATE(AA$1,1),Log_2020[[#This Row],[Date]]),Log_2020[[#This Row],[Split_apply]])) - SUM($O169:Z169)</f>
        <v>0</v>
      </c>
      <c r="AB169" s="59">
        <f ca="1">Log_2020[[#This Row],[Amount]]*Log_2020[[#This Row],[Split_apply]]/Log_2020[[#This Row],[Split_raw]]-SUM(O169:AA169)</f>
        <v>0</v>
      </c>
      <c r="AC169" s="7">
        <f>MAX(0,Log_2020[[#This Row],[Split_raw]] - (EDATE(AA$1,1)-Log_2020[[#This Row],[Date]]))</f>
        <v>0</v>
      </c>
    </row>
    <row r="170" spans="1:29" x14ac:dyDescent="0.25">
      <c r="A170" s="37"/>
      <c r="B170" s="34" t="s">
        <v>191</v>
      </c>
      <c r="C170" s="34"/>
      <c r="D170" s="35">
        <v>43851</v>
      </c>
      <c r="E170" s="34" t="s">
        <v>900</v>
      </c>
      <c r="F170" s="34" t="s">
        <v>529</v>
      </c>
      <c r="G170" s="34" t="s">
        <v>25</v>
      </c>
      <c r="H170">
        <v>-15</v>
      </c>
      <c r="I170" s="36">
        <f>IF(Log_2020[[#This Row],[My Category]]="NONTRACKED",0,Log_2020[[#This Row],[Raw Amount]])</f>
        <v>-15</v>
      </c>
      <c r="J170" s="37">
        <f>ABS(Log_2020[[#This Row],[Amount]])</f>
        <v>15</v>
      </c>
      <c r="K170" s="38">
        <v>1</v>
      </c>
      <c r="L170" s="38">
        <f ca="1">IF(Log_2020[[#This Row],[Date]]&lt;=TODAY(), MIN(Log_2020[[#This Row],[Split_raw]], TODAY()-Log_2020[[#This Row],[Date]]+1), 0)</f>
        <v>1</v>
      </c>
      <c r="M170" s="34" t="s">
        <v>35</v>
      </c>
      <c r="N170" s="34" t="s">
        <v>158</v>
      </c>
      <c r="O170" s="7"/>
      <c r="P170" s="37">
        <f ca="1">Log_2020[[#This Row],[Amount]]/Log_2020[[#This Row],[Split_raw]]*MAX(0,MIN(_xlfn.DAYS(EDATE(P$1,1),Log_2020[[#This Row],[Date]]),Log_2020[[#This Row],[Split_apply]])) - SUM($O170:O170)</f>
        <v>-15</v>
      </c>
      <c r="Q170" s="37">
        <f ca="1">Log_2020[[#This Row],[Amount]]/Log_2020[[#This Row],[Split_raw]]*MAX(0,MIN(_xlfn.DAYS(EDATE(Q$1,1),Log_2020[[#This Row],[Date]]),Log_2020[[#This Row],[Split_apply]])) - SUM($O170:P170)</f>
        <v>0</v>
      </c>
      <c r="R170" s="37">
        <f ca="1">Log_2020[[#This Row],[Amount]]/Log_2020[[#This Row],[Split_raw]]*MAX(0,MIN(_xlfn.DAYS(EDATE(R$1,1),Log_2020[[#This Row],[Date]]),Log_2020[[#This Row],[Split_apply]])) - SUM($O170:Q170)</f>
        <v>0</v>
      </c>
      <c r="S170" s="37">
        <f ca="1">Log_2020[[#This Row],[Amount]]/Log_2020[[#This Row],[Split_raw]]*MAX(0,MIN(_xlfn.DAYS(EDATE(S$1,1),Log_2020[[#This Row],[Date]]),Log_2020[[#This Row],[Split_apply]])) - SUM($O170:R170)</f>
        <v>0</v>
      </c>
      <c r="T170" s="37">
        <f ca="1">Log_2020[[#This Row],[Amount]]/Log_2020[[#This Row],[Split_raw]]*MAX(0,MIN(_xlfn.DAYS(EDATE(T$1,1),Log_2020[[#This Row],[Date]]),Log_2020[[#This Row],[Split_apply]])) - SUM($O170:S170)</f>
        <v>0</v>
      </c>
      <c r="U170" s="37">
        <f ca="1">Log_2020[[#This Row],[Amount]]/Log_2020[[#This Row],[Split_raw]]*MAX(0,MIN(_xlfn.DAYS(EDATE(U$1,1),Log_2020[[#This Row],[Date]]),Log_2020[[#This Row],[Split_apply]])) - SUM($O170:T170)</f>
        <v>0</v>
      </c>
      <c r="V170" s="37">
        <f ca="1">Log_2020[[#This Row],[Amount]]/Log_2020[[#This Row],[Split_raw]]*MAX(0,MIN(_xlfn.DAYS(EDATE(V$1,1),Log_2020[[#This Row],[Date]]),Log_2020[[#This Row],[Split_apply]])) - SUM($O170:U170)</f>
        <v>0</v>
      </c>
      <c r="W170" s="37">
        <f ca="1">Log_2020[[#This Row],[Amount]]/Log_2020[[#This Row],[Split_raw]]*MAX(0,MIN(_xlfn.DAYS(EDATE(W$1,1),Log_2020[[#This Row],[Date]]),Log_2020[[#This Row],[Split_apply]])) - SUM($O170:V170)</f>
        <v>0</v>
      </c>
      <c r="X170" s="37">
        <f ca="1">Log_2020[[#This Row],[Amount]]/Log_2020[[#This Row],[Split_raw]]*MAX(0,MIN(_xlfn.DAYS(EDATE(X$1,1),Log_2020[[#This Row],[Date]]),Log_2020[[#This Row],[Split_apply]])) - SUM($O170:W170)</f>
        <v>0</v>
      </c>
      <c r="Y170" s="37">
        <f ca="1">Log_2020[[#This Row],[Amount]]/Log_2020[[#This Row],[Split_raw]]*MAX(0,MIN(_xlfn.DAYS(EDATE(Y$1,1),Log_2020[[#This Row],[Date]]),Log_2020[[#This Row],[Split_apply]])) - SUM($O170:X170)</f>
        <v>0</v>
      </c>
      <c r="Z170" s="37">
        <f ca="1">Log_2020[[#This Row],[Amount]]/Log_2020[[#This Row],[Split_raw]]*MAX(0,MIN(_xlfn.DAYS(EDATE(Z$1,1),Log_2020[[#This Row],[Date]]),Log_2020[[#This Row],[Split_apply]])) - SUM($O170:Y170)</f>
        <v>0</v>
      </c>
      <c r="AA170" s="37">
        <f ca="1">Log_2020[[#This Row],[Amount]]/Log_2020[[#This Row],[Split_raw]]*MAX(0,MIN(_xlfn.DAYS(EDATE(AA$1,1),Log_2020[[#This Row],[Date]]),Log_2020[[#This Row],[Split_apply]])) - SUM($O170:Z170)</f>
        <v>0</v>
      </c>
      <c r="AB170" s="59">
        <f ca="1">Log_2020[[#This Row],[Amount]]*Log_2020[[#This Row],[Split_apply]]/Log_2020[[#This Row],[Split_raw]]-SUM(O170:AA170)</f>
        <v>0</v>
      </c>
      <c r="AC170" s="7">
        <f>MAX(0,Log_2020[[#This Row],[Split_raw]] - (EDATE(AA$1,1)-Log_2020[[#This Row],[Date]]))</f>
        <v>0</v>
      </c>
    </row>
    <row r="171" spans="1:29" x14ac:dyDescent="0.25">
      <c r="A171" s="37"/>
      <c r="B171" s="34" t="s">
        <v>191</v>
      </c>
      <c r="C171" s="34"/>
      <c r="D171" s="35">
        <v>43851</v>
      </c>
      <c r="E171" s="34" t="s">
        <v>900</v>
      </c>
      <c r="F171" s="34" t="s">
        <v>529</v>
      </c>
      <c r="G171" s="34" t="s">
        <v>25</v>
      </c>
      <c r="H171">
        <v>-15</v>
      </c>
      <c r="I171" s="36">
        <f>IF(Log_2020[[#This Row],[My Category]]="NONTRACKED",0,Log_2020[[#This Row],[Raw Amount]])</f>
        <v>-15</v>
      </c>
      <c r="J171" s="37">
        <f>ABS(Log_2020[[#This Row],[Amount]])</f>
        <v>15</v>
      </c>
      <c r="K171" s="38">
        <v>1</v>
      </c>
      <c r="L171" s="38">
        <f ca="1">IF(Log_2020[[#This Row],[Date]]&lt;=TODAY(), MIN(Log_2020[[#This Row],[Split_raw]], TODAY()-Log_2020[[#This Row],[Date]]+1), 0)</f>
        <v>1</v>
      </c>
      <c r="M171" s="34" t="s">
        <v>40</v>
      </c>
      <c r="N171" s="34" t="s">
        <v>158</v>
      </c>
      <c r="O171" s="7"/>
      <c r="P171" s="37">
        <f ca="1">Log_2020[[#This Row],[Amount]]/Log_2020[[#This Row],[Split_raw]]*MAX(0,MIN(_xlfn.DAYS(EDATE(P$1,1),Log_2020[[#This Row],[Date]]),Log_2020[[#This Row],[Split_apply]])) - SUM($O171:O171)</f>
        <v>-15</v>
      </c>
      <c r="Q171" s="37">
        <f ca="1">Log_2020[[#This Row],[Amount]]/Log_2020[[#This Row],[Split_raw]]*MAX(0,MIN(_xlfn.DAYS(EDATE(Q$1,1),Log_2020[[#This Row],[Date]]),Log_2020[[#This Row],[Split_apply]])) - SUM($O171:P171)</f>
        <v>0</v>
      </c>
      <c r="R171" s="37">
        <f ca="1">Log_2020[[#This Row],[Amount]]/Log_2020[[#This Row],[Split_raw]]*MAX(0,MIN(_xlfn.DAYS(EDATE(R$1,1),Log_2020[[#This Row],[Date]]),Log_2020[[#This Row],[Split_apply]])) - SUM($O171:Q171)</f>
        <v>0</v>
      </c>
      <c r="S171" s="37">
        <f ca="1">Log_2020[[#This Row],[Amount]]/Log_2020[[#This Row],[Split_raw]]*MAX(0,MIN(_xlfn.DAYS(EDATE(S$1,1),Log_2020[[#This Row],[Date]]),Log_2020[[#This Row],[Split_apply]])) - SUM($O171:R171)</f>
        <v>0</v>
      </c>
      <c r="T171" s="37">
        <f ca="1">Log_2020[[#This Row],[Amount]]/Log_2020[[#This Row],[Split_raw]]*MAX(0,MIN(_xlfn.DAYS(EDATE(T$1,1),Log_2020[[#This Row],[Date]]),Log_2020[[#This Row],[Split_apply]])) - SUM($O171:S171)</f>
        <v>0</v>
      </c>
      <c r="U171" s="37">
        <f ca="1">Log_2020[[#This Row],[Amount]]/Log_2020[[#This Row],[Split_raw]]*MAX(0,MIN(_xlfn.DAYS(EDATE(U$1,1),Log_2020[[#This Row],[Date]]),Log_2020[[#This Row],[Split_apply]])) - SUM($O171:T171)</f>
        <v>0</v>
      </c>
      <c r="V171" s="37">
        <f ca="1">Log_2020[[#This Row],[Amount]]/Log_2020[[#This Row],[Split_raw]]*MAX(0,MIN(_xlfn.DAYS(EDATE(V$1,1),Log_2020[[#This Row],[Date]]),Log_2020[[#This Row],[Split_apply]])) - SUM($O171:U171)</f>
        <v>0</v>
      </c>
      <c r="W171" s="37">
        <f ca="1">Log_2020[[#This Row],[Amount]]/Log_2020[[#This Row],[Split_raw]]*MAX(0,MIN(_xlfn.DAYS(EDATE(W$1,1),Log_2020[[#This Row],[Date]]),Log_2020[[#This Row],[Split_apply]])) - SUM($O171:V171)</f>
        <v>0</v>
      </c>
      <c r="X171" s="37">
        <f ca="1">Log_2020[[#This Row],[Amount]]/Log_2020[[#This Row],[Split_raw]]*MAX(0,MIN(_xlfn.DAYS(EDATE(X$1,1),Log_2020[[#This Row],[Date]]),Log_2020[[#This Row],[Split_apply]])) - SUM($O171:W171)</f>
        <v>0</v>
      </c>
      <c r="Y171" s="37">
        <f ca="1">Log_2020[[#This Row],[Amount]]/Log_2020[[#This Row],[Split_raw]]*MAX(0,MIN(_xlfn.DAYS(EDATE(Y$1,1),Log_2020[[#This Row],[Date]]),Log_2020[[#This Row],[Split_apply]])) - SUM($O171:X171)</f>
        <v>0</v>
      </c>
      <c r="Z171" s="37">
        <f ca="1">Log_2020[[#This Row],[Amount]]/Log_2020[[#This Row],[Split_raw]]*MAX(0,MIN(_xlfn.DAYS(EDATE(Z$1,1),Log_2020[[#This Row],[Date]]),Log_2020[[#This Row],[Split_apply]])) - SUM($O171:Y171)</f>
        <v>0</v>
      </c>
      <c r="AA171" s="37">
        <f ca="1">Log_2020[[#This Row],[Amount]]/Log_2020[[#This Row],[Split_raw]]*MAX(0,MIN(_xlfn.DAYS(EDATE(AA$1,1),Log_2020[[#This Row],[Date]]),Log_2020[[#This Row],[Split_apply]])) - SUM($O171:Z171)</f>
        <v>0</v>
      </c>
      <c r="AB171" s="59">
        <f ca="1">Log_2020[[#This Row],[Amount]]*Log_2020[[#This Row],[Split_apply]]/Log_2020[[#This Row],[Split_raw]]-SUM(O171:AA171)</f>
        <v>0</v>
      </c>
      <c r="AC171" s="7">
        <f>MAX(0,Log_2020[[#This Row],[Split_raw]] - (EDATE(AA$1,1)-Log_2020[[#This Row],[Date]]))</f>
        <v>0</v>
      </c>
    </row>
    <row r="172" spans="1:29" x14ac:dyDescent="0.25">
      <c r="A172" s="37"/>
      <c r="B172" s="34" t="s">
        <v>6</v>
      </c>
      <c r="C172" s="34"/>
      <c r="D172" s="35">
        <v>43850</v>
      </c>
      <c r="E172" s="34"/>
      <c r="F172" s="34" t="s">
        <v>345</v>
      </c>
      <c r="G172" s="34" t="s">
        <v>12</v>
      </c>
      <c r="H172">
        <v>-107.07</v>
      </c>
      <c r="I172" s="36">
        <f>IF(Log_2020[[#This Row],[My Category]]="NONTRACKED",0,Log_2020[[#This Row],[Raw Amount]])</f>
        <v>-107.07</v>
      </c>
      <c r="J172" s="37">
        <f>ABS(Log_2020[[#This Row],[Amount]])</f>
        <v>107.07</v>
      </c>
      <c r="K172" s="38">
        <v>1</v>
      </c>
      <c r="L172" s="38">
        <f ca="1">IF(Log_2020[[#This Row],[Date]]&lt;=TODAY(), MIN(Log_2020[[#This Row],[Split_raw]], TODAY()-Log_2020[[#This Row],[Date]]+1), 0)</f>
        <v>1</v>
      </c>
      <c r="M172" s="34" t="s">
        <v>12</v>
      </c>
      <c r="N172" s="34" t="s">
        <v>158</v>
      </c>
      <c r="O172" s="7"/>
      <c r="P172" s="37">
        <f ca="1">Log_2020[[#This Row],[Amount]]/Log_2020[[#This Row],[Split_raw]]*MAX(0,MIN(_xlfn.DAYS(EDATE(P$1,1),Log_2020[[#This Row],[Date]]),Log_2020[[#This Row],[Split_apply]])) - SUM($O172:O172)</f>
        <v>-107.07</v>
      </c>
      <c r="Q172" s="37">
        <f ca="1">Log_2020[[#This Row],[Amount]]/Log_2020[[#This Row],[Split_raw]]*MAX(0,MIN(_xlfn.DAYS(EDATE(Q$1,1),Log_2020[[#This Row],[Date]]),Log_2020[[#This Row],[Split_apply]])) - SUM($O172:P172)</f>
        <v>0</v>
      </c>
      <c r="R172" s="37">
        <f ca="1">Log_2020[[#This Row],[Amount]]/Log_2020[[#This Row],[Split_raw]]*MAX(0,MIN(_xlfn.DAYS(EDATE(R$1,1),Log_2020[[#This Row],[Date]]),Log_2020[[#This Row],[Split_apply]])) - SUM($O172:Q172)</f>
        <v>0</v>
      </c>
      <c r="S172" s="37">
        <f ca="1">Log_2020[[#This Row],[Amount]]/Log_2020[[#This Row],[Split_raw]]*MAX(0,MIN(_xlfn.DAYS(EDATE(S$1,1),Log_2020[[#This Row],[Date]]),Log_2020[[#This Row],[Split_apply]])) - SUM($O172:R172)</f>
        <v>0</v>
      </c>
      <c r="T172" s="37">
        <f ca="1">Log_2020[[#This Row],[Amount]]/Log_2020[[#This Row],[Split_raw]]*MAX(0,MIN(_xlfn.DAYS(EDATE(T$1,1),Log_2020[[#This Row],[Date]]),Log_2020[[#This Row],[Split_apply]])) - SUM($O172:S172)</f>
        <v>0</v>
      </c>
      <c r="U172" s="37">
        <f ca="1">Log_2020[[#This Row],[Amount]]/Log_2020[[#This Row],[Split_raw]]*MAX(0,MIN(_xlfn.DAYS(EDATE(U$1,1),Log_2020[[#This Row],[Date]]),Log_2020[[#This Row],[Split_apply]])) - SUM($O172:T172)</f>
        <v>0</v>
      </c>
      <c r="V172" s="37">
        <f ca="1">Log_2020[[#This Row],[Amount]]/Log_2020[[#This Row],[Split_raw]]*MAX(0,MIN(_xlfn.DAYS(EDATE(V$1,1),Log_2020[[#This Row],[Date]]),Log_2020[[#This Row],[Split_apply]])) - SUM($O172:U172)</f>
        <v>0</v>
      </c>
      <c r="W172" s="37">
        <f ca="1">Log_2020[[#This Row],[Amount]]/Log_2020[[#This Row],[Split_raw]]*MAX(0,MIN(_xlfn.DAYS(EDATE(W$1,1),Log_2020[[#This Row],[Date]]),Log_2020[[#This Row],[Split_apply]])) - SUM($O172:V172)</f>
        <v>0</v>
      </c>
      <c r="X172" s="37">
        <f ca="1">Log_2020[[#This Row],[Amount]]/Log_2020[[#This Row],[Split_raw]]*MAX(0,MIN(_xlfn.DAYS(EDATE(X$1,1),Log_2020[[#This Row],[Date]]),Log_2020[[#This Row],[Split_apply]])) - SUM($O172:W172)</f>
        <v>0</v>
      </c>
      <c r="Y172" s="37">
        <f ca="1">Log_2020[[#This Row],[Amount]]/Log_2020[[#This Row],[Split_raw]]*MAX(0,MIN(_xlfn.DAYS(EDATE(Y$1,1),Log_2020[[#This Row],[Date]]),Log_2020[[#This Row],[Split_apply]])) - SUM($O172:X172)</f>
        <v>0</v>
      </c>
      <c r="Z172" s="37">
        <f ca="1">Log_2020[[#This Row],[Amount]]/Log_2020[[#This Row],[Split_raw]]*MAX(0,MIN(_xlfn.DAYS(EDATE(Z$1,1),Log_2020[[#This Row],[Date]]),Log_2020[[#This Row],[Split_apply]])) - SUM($O172:Y172)</f>
        <v>0</v>
      </c>
      <c r="AA172" s="37">
        <f ca="1">Log_2020[[#This Row],[Amount]]/Log_2020[[#This Row],[Split_raw]]*MAX(0,MIN(_xlfn.DAYS(EDATE(AA$1,1),Log_2020[[#This Row],[Date]]),Log_2020[[#This Row],[Split_apply]])) - SUM($O172:Z172)</f>
        <v>0</v>
      </c>
      <c r="AB172" s="59">
        <f ca="1">Log_2020[[#This Row],[Amount]]*Log_2020[[#This Row],[Split_apply]]/Log_2020[[#This Row],[Split_raw]]-SUM(O172:AA172)</f>
        <v>0</v>
      </c>
      <c r="AC172" s="7">
        <f>MAX(0,Log_2020[[#This Row],[Split_raw]] - (EDATE(AA$1,1)-Log_2020[[#This Row],[Date]]))</f>
        <v>0</v>
      </c>
    </row>
    <row r="173" spans="1:29" x14ac:dyDescent="0.25">
      <c r="A173" s="37"/>
      <c r="B173" s="34" t="s">
        <v>6</v>
      </c>
      <c r="C173" s="34"/>
      <c r="D173" s="35">
        <v>43850</v>
      </c>
      <c r="E173" s="34" t="s">
        <v>901</v>
      </c>
      <c r="F173" s="34" t="s">
        <v>865</v>
      </c>
      <c r="G173" s="34" t="s">
        <v>27</v>
      </c>
      <c r="H173">
        <v>-12.72</v>
      </c>
      <c r="I173" s="36">
        <f>IF(Log_2020[[#This Row],[My Category]]="NONTRACKED",0,Log_2020[[#This Row],[Raw Amount]])</f>
        <v>-12.72</v>
      </c>
      <c r="J173" s="37">
        <f>ABS(Log_2020[[#This Row],[Amount]])</f>
        <v>12.72</v>
      </c>
      <c r="K173" s="38">
        <v>1</v>
      </c>
      <c r="L173" s="38">
        <f ca="1">IF(Log_2020[[#This Row],[Date]]&lt;=TODAY(), MIN(Log_2020[[#This Row],[Split_raw]], TODAY()-Log_2020[[#This Row],[Date]]+1), 0)</f>
        <v>1</v>
      </c>
      <c r="M173" s="34" t="s">
        <v>40</v>
      </c>
      <c r="N173" s="34" t="s">
        <v>158</v>
      </c>
      <c r="O173" s="7"/>
      <c r="P173" s="37">
        <f ca="1">Log_2020[[#This Row],[Amount]]/Log_2020[[#This Row],[Split_raw]]*MAX(0,MIN(_xlfn.DAYS(EDATE(P$1,1),Log_2020[[#This Row],[Date]]),Log_2020[[#This Row],[Split_apply]])) - SUM($O173:O173)</f>
        <v>-12.72</v>
      </c>
      <c r="Q173" s="37">
        <f ca="1">Log_2020[[#This Row],[Amount]]/Log_2020[[#This Row],[Split_raw]]*MAX(0,MIN(_xlfn.DAYS(EDATE(Q$1,1),Log_2020[[#This Row],[Date]]),Log_2020[[#This Row],[Split_apply]])) - SUM($O173:P173)</f>
        <v>0</v>
      </c>
      <c r="R173" s="37">
        <f ca="1">Log_2020[[#This Row],[Amount]]/Log_2020[[#This Row],[Split_raw]]*MAX(0,MIN(_xlfn.DAYS(EDATE(R$1,1),Log_2020[[#This Row],[Date]]),Log_2020[[#This Row],[Split_apply]])) - SUM($O173:Q173)</f>
        <v>0</v>
      </c>
      <c r="S173" s="37">
        <f ca="1">Log_2020[[#This Row],[Amount]]/Log_2020[[#This Row],[Split_raw]]*MAX(0,MIN(_xlfn.DAYS(EDATE(S$1,1),Log_2020[[#This Row],[Date]]),Log_2020[[#This Row],[Split_apply]])) - SUM($O173:R173)</f>
        <v>0</v>
      </c>
      <c r="T173" s="37">
        <f ca="1">Log_2020[[#This Row],[Amount]]/Log_2020[[#This Row],[Split_raw]]*MAX(0,MIN(_xlfn.DAYS(EDATE(T$1,1),Log_2020[[#This Row],[Date]]),Log_2020[[#This Row],[Split_apply]])) - SUM($O173:S173)</f>
        <v>0</v>
      </c>
      <c r="U173" s="37">
        <f ca="1">Log_2020[[#This Row],[Amount]]/Log_2020[[#This Row],[Split_raw]]*MAX(0,MIN(_xlfn.DAYS(EDATE(U$1,1),Log_2020[[#This Row],[Date]]),Log_2020[[#This Row],[Split_apply]])) - SUM($O173:T173)</f>
        <v>0</v>
      </c>
      <c r="V173" s="37">
        <f ca="1">Log_2020[[#This Row],[Amount]]/Log_2020[[#This Row],[Split_raw]]*MAX(0,MIN(_xlfn.DAYS(EDATE(V$1,1),Log_2020[[#This Row],[Date]]),Log_2020[[#This Row],[Split_apply]])) - SUM($O173:U173)</f>
        <v>0</v>
      </c>
      <c r="W173" s="37">
        <f ca="1">Log_2020[[#This Row],[Amount]]/Log_2020[[#This Row],[Split_raw]]*MAX(0,MIN(_xlfn.DAYS(EDATE(W$1,1),Log_2020[[#This Row],[Date]]),Log_2020[[#This Row],[Split_apply]])) - SUM($O173:V173)</f>
        <v>0</v>
      </c>
      <c r="X173" s="37">
        <f ca="1">Log_2020[[#This Row],[Amount]]/Log_2020[[#This Row],[Split_raw]]*MAX(0,MIN(_xlfn.DAYS(EDATE(X$1,1),Log_2020[[#This Row],[Date]]),Log_2020[[#This Row],[Split_apply]])) - SUM($O173:W173)</f>
        <v>0</v>
      </c>
      <c r="Y173" s="37">
        <f ca="1">Log_2020[[#This Row],[Amount]]/Log_2020[[#This Row],[Split_raw]]*MAX(0,MIN(_xlfn.DAYS(EDATE(Y$1,1),Log_2020[[#This Row],[Date]]),Log_2020[[#This Row],[Split_apply]])) - SUM($O173:X173)</f>
        <v>0</v>
      </c>
      <c r="Z173" s="37">
        <f ca="1">Log_2020[[#This Row],[Amount]]/Log_2020[[#This Row],[Split_raw]]*MAX(0,MIN(_xlfn.DAYS(EDATE(Z$1,1),Log_2020[[#This Row],[Date]]),Log_2020[[#This Row],[Split_apply]])) - SUM($O173:Y173)</f>
        <v>0</v>
      </c>
      <c r="AA173" s="37">
        <f ca="1">Log_2020[[#This Row],[Amount]]/Log_2020[[#This Row],[Split_raw]]*MAX(0,MIN(_xlfn.DAYS(EDATE(AA$1,1),Log_2020[[#This Row],[Date]]),Log_2020[[#This Row],[Split_apply]])) - SUM($O173:Z173)</f>
        <v>0</v>
      </c>
      <c r="AB173" s="59">
        <f ca="1">Log_2020[[#This Row],[Amount]]*Log_2020[[#This Row],[Split_apply]]/Log_2020[[#This Row],[Split_raw]]-SUM(O173:AA173)</f>
        <v>0</v>
      </c>
      <c r="AC173" s="7">
        <f>MAX(0,Log_2020[[#This Row],[Split_raw]] - (EDATE(AA$1,1)-Log_2020[[#This Row],[Date]]))</f>
        <v>0</v>
      </c>
    </row>
    <row r="174" spans="1:29" x14ac:dyDescent="0.25">
      <c r="A174" s="37"/>
      <c r="B174" s="34" t="s">
        <v>6</v>
      </c>
      <c r="C174" s="34"/>
      <c r="D174" s="35">
        <v>43849</v>
      </c>
      <c r="E174" s="34" t="s">
        <v>901</v>
      </c>
      <c r="F174" s="34" t="s">
        <v>651</v>
      </c>
      <c r="G174" s="34" t="s">
        <v>27</v>
      </c>
      <c r="H174">
        <v>-21.38</v>
      </c>
      <c r="I174" s="36">
        <f>IF(Log_2020[[#This Row],[My Category]]="NONTRACKED",0,Log_2020[[#This Row],[Raw Amount]])</f>
        <v>-21.38</v>
      </c>
      <c r="J174" s="37">
        <f>ABS(Log_2020[[#This Row],[Amount]])</f>
        <v>21.38</v>
      </c>
      <c r="K174" s="38">
        <v>1</v>
      </c>
      <c r="L174" s="38">
        <f ca="1">IF(Log_2020[[#This Row],[Date]]&lt;=TODAY(), MIN(Log_2020[[#This Row],[Split_raw]], TODAY()-Log_2020[[#This Row],[Date]]+1), 0)</f>
        <v>1</v>
      </c>
      <c r="M174" s="34" t="s">
        <v>40</v>
      </c>
      <c r="N174" s="34" t="s">
        <v>158</v>
      </c>
      <c r="O174" s="7"/>
      <c r="P174" s="37">
        <f ca="1">Log_2020[[#This Row],[Amount]]/Log_2020[[#This Row],[Split_raw]]*MAX(0,MIN(_xlfn.DAYS(EDATE(P$1,1),Log_2020[[#This Row],[Date]]),Log_2020[[#This Row],[Split_apply]])) - SUM($O174:O174)</f>
        <v>-21.38</v>
      </c>
      <c r="Q174" s="37">
        <f ca="1">Log_2020[[#This Row],[Amount]]/Log_2020[[#This Row],[Split_raw]]*MAX(0,MIN(_xlfn.DAYS(EDATE(Q$1,1),Log_2020[[#This Row],[Date]]),Log_2020[[#This Row],[Split_apply]])) - SUM($O174:P174)</f>
        <v>0</v>
      </c>
      <c r="R174" s="37">
        <f ca="1">Log_2020[[#This Row],[Amount]]/Log_2020[[#This Row],[Split_raw]]*MAX(0,MIN(_xlfn.DAYS(EDATE(R$1,1),Log_2020[[#This Row],[Date]]),Log_2020[[#This Row],[Split_apply]])) - SUM($O174:Q174)</f>
        <v>0</v>
      </c>
      <c r="S174" s="37">
        <f ca="1">Log_2020[[#This Row],[Amount]]/Log_2020[[#This Row],[Split_raw]]*MAX(0,MIN(_xlfn.DAYS(EDATE(S$1,1),Log_2020[[#This Row],[Date]]),Log_2020[[#This Row],[Split_apply]])) - SUM($O174:R174)</f>
        <v>0</v>
      </c>
      <c r="T174" s="37">
        <f ca="1">Log_2020[[#This Row],[Amount]]/Log_2020[[#This Row],[Split_raw]]*MAX(0,MIN(_xlfn.DAYS(EDATE(T$1,1),Log_2020[[#This Row],[Date]]),Log_2020[[#This Row],[Split_apply]])) - SUM($O174:S174)</f>
        <v>0</v>
      </c>
      <c r="U174" s="37">
        <f ca="1">Log_2020[[#This Row],[Amount]]/Log_2020[[#This Row],[Split_raw]]*MAX(0,MIN(_xlfn.DAYS(EDATE(U$1,1),Log_2020[[#This Row],[Date]]),Log_2020[[#This Row],[Split_apply]])) - SUM($O174:T174)</f>
        <v>0</v>
      </c>
      <c r="V174" s="37">
        <f ca="1">Log_2020[[#This Row],[Amount]]/Log_2020[[#This Row],[Split_raw]]*MAX(0,MIN(_xlfn.DAYS(EDATE(V$1,1),Log_2020[[#This Row],[Date]]),Log_2020[[#This Row],[Split_apply]])) - SUM($O174:U174)</f>
        <v>0</v>
      </c>
      <c r="W174" s="37">
        <f ca="1">Log_2020[[#This Row],[Amount]]/Log_2020[[#This Row],[Split_raw]]*MAX(0,MIN(_xlfn.DAYS(EDATE(W$1,1),Log_2020[[#This Row],[Date]]),Log_2020[[#This Row],[Split_apply]])) - SUM($O174:V174)</f>
        <v>0</v>
      </c>
      <c r="X174" s="37">
        <f ca="1">Log_2020[[#This Row],[Amount]]/Log_2020[[#This Row],[Split_raw]]*MAX(0,MIN(_xlfn.DAYS(EDATE(X$1,1),Log_2020[[#This Row],[Date]]),Log_2020[[#This Row],[Split_apply]])) - SUM($O174:W174)</f>
        <v>0</v>
      </c>
      <c r="Y174" s="37">
        <f ca="1">Log_2020[[#This Row],[Amount]]/Log_2020[[#This Row],[Split_raw]]*MAX(0,MIN(_xlfn.DAYS(EDATE(Y$1,1),Log_2020[[#This Row],[Date]]),Log_2020[[#This Row],[Split_apply]])) - SUM($O174:X174)</f>
        <v>0</v>
      </c>
      <c r="Z174" s="37">
        <f ca="1">Log_2020[[#This Row],[Amount]]/Log_2020[[#This Row],[Split_raw]]*MAX(0,MIN(_xlfn.DAYS(EDATE(Z$1,1),Log_2020[[#This Row],[Date]]),Log_2020[[#This Row],[Split_apply]])) - SUM($O174:Y174)</f>
        <v>0</v>
      </c>
      <c r="AA174" s="37">
        <f ca="1">Log_2020[[#This Row],[Amount]]/Log_2020[[#This Row],[Split_raw]]*MAX(0,MIN(_xlfn.DAYS(EDATE(AA$1,1),Log_2020[[#This Row],[Date]]),Log_2020[[#This Row],[Split_apply]])) - SUM($O174:Z174)</f>
        <v>0</v>
      </c>
      <c r="AB174" s="59">
        <f ca="1">Log_2020[[#This Row],[Amount]]*Log_2020[[#This Row],[Split_apply]]/Log_2020[[#This Row],[Split_raw]]-SUM(O174:AA174)</f>
        <v>0</v>
      </c>
      <c r="AC174" s="7">
        <f>MAX(0,Log_2020[[#This Row],[Split_raw]] - (EDATE(AA$1,1)-Log_2020[[#This Row],[Date]]))</f>
        <v>0</v>
      </c>
    </row>
    <row r="175" spans="1:29" x14ac:dyDescent="0.25">
      <c r="A175" s="37"/>
      <c r="B175" s="34" t="s">
        <v>6</v>
      </c>
      <c r="C175" s="34"/>
      <c r="D175" s="35">
        <v>43848</v>
      </c>
      <c r="E175" s="34"/>
      <c r="F175" s="34" t="s">
        <v>673</v>
      </c>
      <c r="G175" s="34" t="s">
        <v>25</v>
      </c>
      <c r="H175">
        <v>-12.4</v>
      </c>
      <c r="I175" s="36">
        <f>IF(Log_2020[[#This Row],[My Category]]="NONTRACKED",0,Log_2020[[#This Row],[Raw Amount]])</f>
        <v>-12.4</v>
      </c>
      <c r="J175" s="37">
        <f>ABS(Log_2020[[#This Row],[Amount]])</f>
        <v>12.4</v>
      </c>
      <c r="K175" s="38">
        <v>1</v>
      </c>
      <c r="L175" s="38">
        <f ca="1">IF(Log_2020[[#This Row],[Date]]&lt;=TODAY(), MIN(Log_2020[[#This Row],[Split_raw]], TODAY()-Log_2020[[#This Row],[Date]]+1), 0)</f>
        <v>1</v>
      </c>
      <c r="M175" s="34" t="s">
        <v>35</v>
      </c>
      <c r="N175" s="34" t="s">
        <v>158</v>
      </c>
      <c r="O175" s="7"/>
      <c r="P175" s="37">
        <f ca="1">Log_2020[[#This Row],[Amount]]/Log_2020[[#This Row],[Split_raw]]*MAX(0,MIN(_xlfn.DAYS(EDATE(P$1,1),Log_2020[[#This Row],[Date]]),Log_2020[[#This Row],[Split_apply]])) - SUM($O175:O175)</f>
        <v>-12.4</v>
      </c>
      <c r="Q175" s="37">
        <f ca="1">Log_2020[[#This Row],[Amount]]/Log_2020[[#This Row],[Split_raw]]*MAX(0,MIN(_xlfn.DAYS(EDATE(Q$1,1),Log_2020[[#This Row],[Date]]),Log_2020[[#This Row],[Split_apply]])) - SUM($O175:P175)</f>
        <v>0</v>
      </c>
      <c r="R175" s="37">
        <f ca="1">Log_2020[[#This Row],[Amount]]/Log_2020[[#This Row],[Split_raw]]*MAX(0,MIN(_xlfn.DAYS(EDATE(R$1,1),Log_2020[[#This Row],[Date]]),Log_2020[[#This Row],[Split_apply]])) - SUM($O175:Q175)</f>
        <v>0</v>
      </c>
      <c r="S175" s="37">
        <f ca="1">Log_2020[[#This Row],[Amount]]/Log_2020[[#This Row],[Split_raw]]*MAX(0,MIN(_xlfn.DAYS(EDATE(S$1,1),Log_2020[[#This Row],[Date]]),Log_2020[[#This Row],[Split_apply]])) - SUM($O175:R175)</f>
        <v>0</v>
      </c>
      <c r="T175" s="37">
        <f ca="1">Log_2020[[#This Row],[Amount]]/Log_2020[[#This Row],[Split_raw]]*MAX(0,MIN(_xlfn.DAYS(EDATE(T$1,1),Log_2020[[#This Row],[Date]]),Log_2020[[#This Row],[Split_apply]])) - SUM($O175:S175)</f>
        <v>0</v>
      </c>
      <c r="U175" s="37">
        <f ca="1">Log_2020[[#This Row],[Amount]]/Log_2020[[#This Row],[Split_raw]]*MAX(0,MIN(_xlfn.DAYS(EDATE(U$1,1),Log_2020[[#This Row],[Date]]),Log_2020[[#This Row],[Split_apply]])) - SUM($O175:T175)</f>
        <v>0</v>
      </c>
      <c r="V175" s="37">
        <f ca="1">Log_2020[[#This Row],[Amount]]/Log_2020[[#This Row],[Split_raw]]*MAX(0,MIN(_xlfn.DAYS(EDATE(V$1,1),Log_2020[[#This Row],[Date]]),Log_2020[[#This Row],[Split_apply]])) - SUM($O175:U175)</f>
        <v>0</v>
      </c>
      <c r="W175" s="37">
        <f ca="1">Log_2020[[#This Row],[Amount]]/Log_2020[[#This Row],[Split_raw]]*MAX(0,MIN(_xlfn.DAYS(EDATE(W$1,1),Log_2020[[#This Row],[Date]]),Log_2020[[#This Row],[Split_apply]])) - SUM($O175:V175)</f>
        <v>0</v>
      </c>
      <c r="X175" s="37">
        <f ca="1">Log_2020[[#This Row],[Amount]]/Log_2020[[#This Row],[Split_raw]]*MAX(0,MIN(_xlfn.DAYS(EDATE(X$1,1),Log_2020[[#This Row],[Date]]),Log_2020[[#This Row],[Split_apply]])) - SUM($O175:W175)</f>
        <v>0</v>
      </c>
      <c r="Y175" s="37">
        <f ca="1">Log_2020[[#This Row],[Amount]]/Log_2020[[#This Row],[Split_raw]]*MAX(0,MIN(_xlfn.DAYS(EDATE(Y$1,1),Log_2020[[#This Row],[Date]]),Log_2020[[#This Row],[Split_apply]])) - SUM($O175:X175)</f>
        <v>0</v>
      </c>
      <c r="Z175" s="37">
        <f ca="1">Log_2020[[#This Row],[Amount]]/Log_2020[[#This Row],[Split_raw]]*MAX(0,MIN(_xlfn.DAYS(EDATE(Z$1,1),Log_2020[[#This Row],[Date]]),Log_2020[[#This Row],[Split_apply]])) - SUM($O175:Y175)</f>
        <v>0</v>
      </c>
      <c r="AA175" s="37">
        <f ca="1">Log_2020[[#This Row],[Amount]]/Log_2020[[#This Row],[Split_raw]]*MAX(0,MIN(_xlfn.DAYS(EDATE(AA$1,1),Log_2020[[#This Row],[Date]]),Log_2020[[#This Row],[Split_apply]])) - SUM($O175:Z175)</f>
        <v>0</v>
      </c>
      <c r="AB175" s="59">
        <f ca="1">Log_2020[[#This Row],[Amount]]*Log_2020[[#This Row],[Split_apply]]/Log_2020[[#This Row],[Split_raw]]-SUM(O175:AA175)</f>
        <v>0</v>
      </c>
      <c r="AC175" s="7">
        <f>MAX(0,Log_2020[[#This Row],[Split_raw]] - (EDATE(AA$1,1)-Log_2020[[#This Row],[Date]]))</f>
        <v>0</v>
      </c>
    </row>
    <row r="176" spans="1:29" x14ac:dyDescent="0.25">
      <c r="A176" s="37"/>
      <c r="B176" s="34" t="s">
        <v>6</v>
      </c>
      <c r="C176" s="34"/>
      <c r="D176" s="35">
        <v>43848</v>
      </c>
      <c r="E176" s="34" t="s">
        <v>903</v>
      </c>
      <c r="F176" s="34" t="s">
        <v>866</v>
      </c>
      <c r="G176" s="34" t="s">
        <v>19</v>
      </c>
      <c r="H176">
        <v>-30</v>
      </c>
      <c r="I176" s="36">
        <f>IF(Log_2020[[#This Row],[My Category]]="NONTRACKED",0,Log_2020[[#This Row],[Raw Amount]])</f>
        <v>-30</v>
      </c>
      <c r="J176" s="37">
        <f>ABS(Log_2020[[#This Row],[Amount]])</f>
        <v>30</v>
      </c>
      <c r="K176" s="38">
        <v>1</v>
      </c>
      <c r="L176" s="38">
        <f ca="1">IF(Log_2020[[#This Row],[Date]]&lt;=TODAY(), MIN(Log_2020[[#This Row],[Split_raw]], TODAY()-Log_2020[[#This Row],[Date]]+1), 0)</f>
        <v>1</v>
      </c>
      <c r="M176" s="34" t="s">
        <v>38</v>
      </c>
      <c r="N176" s="34" t="s">
        <v>158</v>
      </c>
      <c r="O176" s="7"/>
      <c r="P176" s="37">
        <f ca="1">Log_2020[[#This Row],[Amount]]/Log_2020[[#This Row],[Split_raw]]*MAX(0,MIN(_xlfn.DAYS(EDATE(P$1,1),Log_2020[[#This Row],[Date]]),Log_2020[[#This Row],[Split_apply]])) - SUM($O176:O176)</f>
        <v>-30</v>
      </c>
      <c r="Q176" s="37">
        <f ca="1">Log_2020[[#This Row],[Amount]]/Log_2020[[#This Row],[Split_raw]]*MAX(0,MIN(_xlfn.DAYS(EDATE(Q$1,1),Log_2020[[#This Row],[Date]]),Log_2020[[#This Row],[Split_apply]])) - SUM($O176:P176)</f>
        <v>0</v>
      </c>
      <c r="R176" s="37">
        <f ca="1">Log_2020[[#This Row],[Amount]]/Log_2020[[#This Row],[Split_raw]]*MAX(0,MIN(_xlfn.DAYS(EDATE(R$1,1),Log_2020[[#This Row],[Date]]),Log_2020[[#This Row],[Split_apply]])) - SUM($O176:Q176)</f>
        <v>0</v>
      </c>
      <c r="S176" s="37">
        <f ca="1">Log_2020[[#This Row],[Amount]]/Log_2020[[#This Row],[Split_raw]]*MAX(0,MIN(_xlfn.DAYS(EDATE(S$1,1),Log_2020[[#This Row],[Date]]),Log_2020[[#This Row],[Split_apply]])) - SUM($O176:R176)</f>
        <v>0</v>
      </c>
      <c r="T176" s="37">
        <f ca="1">Log_2020[[#This Row],[Amount]]/Log_2020[[#This Row],[Split_raw]]*MAX(0,MIN(_xlfn.DAYS(EDATE(T$1,1),Log_2020[[#This Row],[Date]]),Log_2020[[#This Row],[Split_apply]])) - SUM($O176:S176)</f>
        <v>0</v>
      </c>
      <c r="U176" s="37">
        <f ca="1">Log_2020[[#This Row],[Amount]]/Log_2020[[#This Row],[Split_raw]]*MAX(0,MIN(_xlfn.DAYS(EDATE(U$1,1),Log_2020[[#This Row],[Date]]),Log_2020[[#This Row],[Split_apply]])) - SUM($O176:T176)</f>
        <v>0</v>
      </c>
      <c r="V176" s="37">
        <f ca="1">Log_2020[[#This Row],[Amount]]/Log_2020[[#This Row],[Split_raw]]*MAX(0,MIN(_xlfn.DAYS(EDATE(V$1,1),Log_2020[[#This Row],[Date]]),Log_2020[[#This Row],[Split_apply]])) - SUM($O176:U176)</f>
        <v>0</v>
      </c>
      <c r="W176" s="37">
        <f ca="1">Log_2020[[#This Row],[Amount]]/Log_2020[[#This Row],[Split_raw]]*MAX(0,MIN(_xlfn.DAYS(EDATE(W$1,1),Log_2020[[#This Row],[Date]]),Log_2020[[#This Row],[Split_apply]])) - SUM($O176:V176)</f>
        <v>0</v>
      </c>
      <c r="X176" s="37">
        <f ca="1">Log_2020[[#This Row],[Amount]]/Log_2020[[#This Row],[Split_raw]]*MAX(0,MIN(_xlfn.DAYS(EDATE(X$1,1),Log_2020[[#This Row],[Date]]),Log_2020[[#This Row],[Split_apply]])) - SUM($O176:W176)</f>
        <v>0</v>
      </c>
      <c r="Y176" s="37">
        <f ca="1">Log_2020[[#This Row],[Amount]]/Log_2020[[#This Row],[Split_raw]]*MAX(0,MIN(_xlfn.DAYS(EDATE(Y$1,1),Log_2020[[#This Row],[Date]]),Log_2020[[#This Row],[Split_apply]])) - SUM($O176:X176)</f>
        <v>0</v>
      </c>
      <c r="Z176" s="37">
        <f ca="1">Log_2020[[#This Row],[Amount]]/Log_2020[[#This Row],[Split_raw]]*MAX(0,MIN(_xlfn.DAYS(EDATE(Z$1,1),Log_2020[[#This Row],[Date]]),Log_2020[[#This Row],[Split_apply]])) - SUM($O176:Y176)</f>
        <v>0</v>
      </c>
      <c r="AA176" s="37">
        <f ca="1">Log_2020[[#This Row],[Amount]]/Log_2020[[#This Row],[Split_raw]]*MAX(0,MIN(_xlfn.DAYS(EDATE(AA$1,1),Log_2020[[#This Row],[Date]]),Log_2020[[#This Row],[Split_apply]])) - SUM($O176:Z176)</f>
        <v>0</v>
      </c>
      <c r="AB176" s="59">
        <f ca="1">Log_2020[[#This Row],[Amount]]*Log_2020[[#This Row],[Split_apply]]/Log_2020[[#This Row],[Split_raw]]-SUM(O176:AA176)</f>
        <v>0</v>
      </c>
      <c r="AC176" s="7">
        <f>MAX(0,Log_2020[[#This Row],[Split_raw]] - (EDATE(AA$1,1)-Log_2020[[#This Row],[Date]]))</f>
        <v>0</v>
      </c>
    </row>
    <row r="177" spans="1:29" x14ac:dyDescent="0.25">
      <c r="A177" s="37"/>
      <c r="B177" s="34" t="s">
        <v>6</v>
      </c>
      <c r="C177" s="34"/>
      <c r="D177" s="35">
        <v>43847</v>
      </c>
      <c r="E177" s="34"/>
      <c r="F177" s="34" t="s">
        <v>863</v>
      </c>
      <c r="G177" s="34" t="s">
        <v>29</v>
      </c>
      <c r="H177">
        <v>-41.89</v>
      </c>
      <c r="I177" s="36">
        <f>IF(Log_2020[[#This Row],[My Category]]="NONTRACKED",0,Log_2020[[#This Row],[Raw Amount]])</f>
        <v>-41.89</v>
      </c>
      <c r="J177" s="37">
        <f>ABS(Log_2020[[#This Row],[Amount]])</f>
        <v>41.89</v>
      </c>
      <c r="K177" s="38">
        <v>30</v>
      </c>
      <c r="L177" s="38">
        <f ca="1">IF(Log_2020[[#This Row],[Date]]&lt;=TODAY(), MIN(Log_2020[[#This Row],[Split_raw]], TODAY()-Log_2020[[#This Row],[Date]]+1), 0)</f>
        <v>30</v>
      </c>
      <c r="M177" s="34" t="s">
        <v>29</v>
      </c>
      <c r="N177" s="34" t="s">
        <v>160</v>
      </c>
      <c r="O177" s="7"/>
      <c r="P177" s="37">
        <f ca="1">Log_2020[[#This Row],[Amount]]/Log_2020[[#This Row],[Split_raw]]*MAX(0,MIN(_xlfn.DAYS(EDATE(P$1,1),Log_2020[[#This Row],[Date]]),Log_2020[[#This Row],[Split_apply]])) - SUM($O177:O177)</f>
        <v>-20.945</v>
      </c>
      <c r="Q177" s="37">
        <f ca="1">Log_2020[[#This Row],[Amount]]/Log_2020[[#This Row],[Split_raw]]*MAX(0,MIN(_xlfn.DAYS(EDATE(Q$1,1),Log_2020[[#This Row],[Date]]),Log_2020[[#This Row],[Split_apply]])) - SUM($O177:P177)</f>
        <v>-20.945</v>
      </c>
      <c r="R177" s="37">
        <f ca="1">Log_2020[[#This Row],[Amount]]/Log_2020[[#This Row],[Split_raw]]*MAX(0,MIN(_xlfn.DAYS(EDATE(R$1,1),Log_2020[[#This Row],[Date]]),Log_2020[[#This Row],[Split_apply]])) - SUM($O177:Q177)</f>
        <v>0</v>
      </c>
      <c r="S177" s="37">
        <f ca="1">Log_2020[[#This Row],[Amount]]/Log_2020[[#This Row],[Split_raw]]*MAX(0,MIN(_xlfn.DAYS(EDATE(S$1,1),Log_2020[[#This Row],[Date]]),Log_2020[[#This Row],[Split_apply]])) - SUM($O177:R177)</f>
        <v>0</v>
      </c>
      <c r="T177" s="37">
        <f ca="1">Log_2020[[#This Row],[Amount]]/Log_2020[[#This Row],[Split_raw]]*MAX(0,MIN(_xlfn.DAYS(EDATE(T$1,1),Log_2020[[#This Row],[Date]]),Log_2020[[#This Row],[Split_apply]])) - SUM($O177:S177)</f>
        <v>0</v>
      </c>
      <c r="U177" s="37">
        <f ca="1">Log_2020[[#This Row],[Amount]]/Log_2020[[#This Row],[Split_raw]]*MAX(0,MIN(_xlfn.DAYS(EDATE(U$1,1),Log_2020[[#This Row],[Date]]),Log_2020[[#This Row],[Split_apply]])) - SUM($O177:T177)</f>
        <v>0</v>
      </c>
      <c r="V177" s="37">
        <f ca="1">Log_2020[[#This Row],[Amount]]/Log_2020[[#This Row],[Split_raw]]*MAX(0,MIN(_xlfn.DAYS(EDATE(V$1,1),Log_2020[[#This Row],[Date]]),Log_2020[[#This Row],[Split_apply]])) - SUM($O177:U177)</f>
        <v>0</v>
      </c>
      <c r="W177" s="37">
        <f ca="1">Log_2020[[#This Row],[Amount]]/Log_2020[[#This Row],[Split_raw]]*MAX(0,MIN(_xlfn.DAYS(EDATE(W$1,1),Log_2020[[#This Row],[Date]]),Log_2020[[#This Row],[Split_apply]])) - SUM($O177:V177)</f>
        <v>0</v>
      </c>
      <c r="X177" s="37">
        <f ca="1">Log_2020[[#This Row],[Amount]]/Log_2020[[#This Row],[Split_raw]]*MAX(0,MIN(_xlfn.DAYS(EDATE(X$1,1),Log_2020[[#This Row],[Date]]),Log_2020[[#This Row],[Split_apply]])) - SUM($O177:W177)</f>
        <v>0</v>
      </c>
      <c r="Y177" s="37">
        <f ca="1">Log_2020[[#This Row],[Amount]]/Log_2020[[#This Row],[Split_raw]]*MAX(0,MIN(_xlfn.DAYS(EDATE(Y$1,1),Log_2020[[#This Row],[Date]]),Log_2020[[#This Row],[Split_apply]])) - SUM($O177:X177)</f>
        <v>0</v>
      </c>
      <c r="Z177" s="37">
        <f ca="1">Log_2020[[#This Row],[Amount]]/Log_2020[[#This Row],[Split_raw]]*MAX(0,MIN(_xlfn.DAYS(EDATE(Z$1,1),Log_2020[[#This Row],[Date]]),Log_2020[[#This Row],[Split_apply]])) - SUM($O177:Y177)</f>
        <v>0</v>
      </c>
      <c r="AA177" s="37">
        <f ca="1">Log_2020[[#This Row],[Amount]]/Log_2020[[#This Row],[Split_raw]]*MAX(0,MIN(_xlfn.DAYS(EDATE(AA$1,1),Log_2020[[#This Row],[Date]]),Log_2020[[#This Row],[Split_apply]])) - SUM($O177:Z177)</f>
        <v>0</v>
      </c>
      <c r="AB177" s="59">
        <f ca="1">Log_2020[[#This Row],[Amount]]*Log_2020[[#This Row],[Split_apply]]/Log_2020[[#This Row],[Split_raw]]-SUM(O177:AA177)</f>
        <v>0</v>
      </c>
      <c r="AC177" s="7">
        <f>MAX(0,Log_2020[[#This Row],[Split_raw]] - (EDATE(AA$1,1)-Log_2020[[#This Row],[Date]]))</f>
        <v>0</v>
      </c>
    </row>
    <row r="178" spans="1:29" x14ac:dyDescent="0.25">
      <c r="A178" s="37"/>
      <c r="B178" s="34" t="s">
        <v>6</v>
      </c>
      <c r="C178" s="34"/>
      <c r="D178" s="35">
        <v>43846</v>
      </c>
      <c r="E178" s="34"/>
      <c r="F178" s="34" t="s">
        <v>59</v>
      </c>
      <c r="G178" s="34" t="s">
        <v>25</v>
      </c>
      <c r="H178">
        <v>-7.94</v>
      </c>
      <c r="I178" s="36">
        <f>IF(Log_2020[[#This Row],[My Category]]="NONTRACKED",0,Log_2020[[#This Row],[Raw Amount]])</f>
        <v>-7.94</v>
      </c>
      <c r="J178" s="37">
        <f>ABS(Log_2020[[#This Row],[Amount]])</f>
        <v>7.94</v>
      </c>
      <c r="K178" s="38">
        <v>1</v>
      </c>
      <c r="L178" s="38">
        <f ca="1">IF(Log_2020[[#This Row],[Date]]&lt;=TODAY(), MIN(Log_2020[[#This Row],[Split_raw]], TODAY()-Log_2020[[#This Row],[Date]]+1), 0)</f>
        <v>1</v>
      </c>
      <c r="M178" s="34" t="s">
        <v>35</v>
      </c>
      <c r="N178" s="34" t="s">
        <v>158</v>
      </c>
      <c r="O178" s="7"/>
      <c r="P178" s="37">
        <f ca="1">Log_2020[[#This Row],[Amount]]/Log_2020[[#This Row],[Split_raw]]*MAX(0,MIN(_xlfn.DAYS(EDATE(P$1,1),Log_2020[[#This Row],[Date]]),Log_2020[[#This Row],[Split_apply]])) - SUM($O178:O178)</f>
        <v>-7.94</v>
      </c>
      <c r="Q178" s="37">
        <f ca="1">Log_2020[[#This Row],[Amount]]/Log_2020[[#This Row],[Split_raw]]*MAX(0,MIN(_xlfn.DAYS(EDATE(Q$1,1),Log_2020[[#This Row],[Date]]),Log_2020[[#This Row],[Split_apply]])) - SUM($O178:P178)</f>
        <v>0</v>
      </c>
      <c r="R178" s="37">
        <f ca="1">Log_2020[[#This Row],[Amount]]/Log_2020[[#This Row],[Split_raw]]*MAX(0,MIN(_xlfn.DAYS(EDATE(R$1,1),Log_2020[[#This Row],[Date]]),Log_2020[[#This Row],[Split_apply]])) - SUM($O178:Q178)</f>
        <v>0</v>
      </c>
      <c r="S178" s="37">
        <f ca="1">Log_2020[[#This Row],[Amount]]/Log_2020[[#This Row],[Split_raw]]*MAX(0,MIN(_xlfn.DAYS(EDATE(S$1,1),Log_2020[[#This Row],[Date]]),Log_2020[[#This Row],[Split_apply]])) - SUM($O178:R178)</f>
        <v>0</v>
      </c>
      <c r="T178" s="37">
        <f ca="1">Log_2020[[#This Row],[Amount]]/Log_2020[[#This Row],[Split_raw]]*MAX(0,MIN(_xlfn.DAYS(EDATE(T$1,1),Log_2020[[#This Row],[Date]]),Log_2020[[#This Row],[Split_apply]])) - SUM($O178:S178)</f>
        <v>0</v>
      </c>
      <c r="U178" s="37">
        <f ca="1">Log_2020[[#This Row],[Amount]]/Log_2020[[#This Row],[Split_raw]]*MAX(0,MIN(_xlfn.DAYS(EDATE(U$1,1),Log_2020[[#This Row],[Date]]),Log_2020[[#This Row],[Split_apply]])) - SUM($O178:T178)</f>
        <v>0</v>
      </c>
      <c r="V178" s="37">
        <f ca="1">Log_2020[[#This Row],[Amount]]/Log_2020[[#This Row],[Split_raw]]*MAX(0,MIN(_xlfn.DAYS(EDATE(V$1,1),Log_2020[[#This Row],[Date]]),Log_2020[[#This Row],[Split_apply]])) - SUM($O178:U178)</f>
        <v>0</v>
      </c>
      <c r="W178" s="37">
        <f ca="1">Log_2020[[#This Row],[Amount]]/Log_2020[[#This Row],[Split_raw]]*MAX(0,MIN(_xlfn.DAYS(EDATE(W$1,1),Log_2020[[#This Row],[Date]]),Log_2020[[#This Row],[Split_apply]])) - SUM($O178:V178)</f>
        <v>0</v>
      </c>
      <c r="X178" s="37">
        <f ca="1">Log_2020[[#This Row],[Amount]]/Log_2020[[#This Row],[Split_raw]]*MAX(0,MIN(_xlfn.DAYS(EDATE(X$1,1),Log_2020[[#This Row],[Date]]),Log_2020[[#This Row],[Split_apply]])) - SUM($O178:W178)</f>
        <v>0</v>
      </c>
      <c r="Y178" s="37">
        <f ca="1">Log_2020[[#This Row],[Amount]]/Log_2020[[#This Row],[Split_raw]]*MAX(0,MIN(_xlfn.DAYS(EDATE(Y$1,1),Log_2020[[#This Row],[Date]]),Log_2020[[#This Row],[Split_apply]])) - SUM($O178:X178)</f>
        <v>0</v>
      </c>
      <c r="Z178" s="37">
        <f ca="1">Log_2020[[#This Row],[Amount]]/Log_2020[[#This Row],[Split_raw]]*MAX(0,MIN(_xlfn.DAYS(EDATE(Z$1,1),Log_2020[[#This Row],[Date]]),Log_2020[[#This Row],[Split_apply]])) - SUM($O178:Y178)</f>
        <v>0</v>
      </c>
      <c r="AA178" s="37">
        <f ca="1">Log_2020[[#This Row],[Amount]]/Log_2020[[#This Row],[Split_raw]]*MAX(0,MIN(_xlfn.DAYS(EDATE(AA$1,1),Log_2020[[#This Row],[Date]]),Log_2020[[#This Row],[Split_apply]])) - SUM($O178:Z178)</f>
        <v>0</v>
      </c>
      <c r="AB178" s="59">
        <f ca="1">Log_2020[[#This Row],[Amount]]*Log_2020[[#This Row],[Split_apply]]/Log_2020[[#This Row],[Split_raw]]-SUM(O178:AA178)</f>
        <v>0</v>
      </c>
      <c r="AC178" s="7">
        <f>MAX(0,Log_2020[[#This Row],[Split_raw]] - (EDATE(AA$1,1)-Log_2020[[#This Row],[Date]]))</f>
        <v>0</v>
      </c>
    </row>
    <row r="179" spans="1:29" x14ac:dyDescent="0.25">
      <c r="A179" s="37"/>
      <c r="B179" s="34" t="s">
        <v>6</v>
      </c>
      <c r="C179" s="34"/>
      <c r="D179" s="35">
        <v>43846</v>
      </c>
      <c r="E179" s="34"/>
      <c r="F179" s="34" t="s">
        <v>606</v>
      </c>
      <c r="G179" s="34" t="s">
        <v>80</v>
      </c>
      <c r="H179">
        <f>--1902.8</f>
        <v>1902.8</v>
      </c>
      <c r="I179" s="36">
        <f>IF(Log_2020[[#This Row],[My Category]]="NONTRACKED",0,Log_2020[[#This Row],[Raw Amount]])</f>
        <v>1902.8</v>
      </c>
      <c r="J179" s="37">
        <f>ABS(Log_2020[[#This Row],[Amount]])</f>
        <v>1902.8</v>
      </c>
      <c r="K179" s="38">
        <v>14</v>
      </c>
      <c r="L179" s="38">
        <f ca="1">IF(Log_2020[[#This Row],[Date]]&lt;=TODAY(), MIN(Log_2020[[#This Row],[Split_raw]], TODAY()-Log_2020[[#This Row],[Date]]+1), 0)</f>
        <v>14</v>
      </c>
      <c r="M179" s="34" t="s">
        <v>91</v>
      </c>
      <c r="N179" s="34" t="s">
        <v>160</v>
      </c>
      <c r="O179" s="7"/>
      <c r="P179" s="37">
        <f ca="1">Log_2020[[#This Row],[Amount]]/Log_2020[[#This Row],[Split_raw]]*MAX(0,MIN(_xlfn.DAYS(EDATE(P$1,1),Log_2020[[#This Row],[Date]]),Log_2020[[#This Row],[Split_apply]])) - SUM($O179:O179)</f>
        <v>1902.8</v>
      </c>
      <c r="Q179" s="37">
        <f ca="1">Log_2020[[#This Row],[Amount]]/Log_2020[[#This Row],[Split_raw]]*MAX(0,MIN(_xlfn.DAYS(EDATE(Q$1,1),Log_2020[[#This Row],[Date]]),Log_2020[[#This Row],[Split_apply]])) - SUM($O179:P179)</f>
        <v>0</v>
      </c>
      <c r="R179" s="37">
        <f ca="1">Log_2020[[#This Row],[Amount]]/Log_2020[[#This Row],[Split_raw]]*MAX(0,MIN(_xlfn.DAYS(EDATE(R$1,1),Log_2020[[#This Row],[Date]]),Log_2020[[#This Row],[Split_apply]])) - SUM($O179:Q179)</f>
        <v>0</v>
      </c>
      <c r="S179" s="37">
        <f ca="1">Log_2020[[#This Row],[Amount]]/Log_2020[[#This Row],[Split_raw]]*MAX(0,MIN(_xlfn.DAYS(EDATE(S$1,1),Log_2020[[#This Row],[Date]]),Log_2020[[#This Row],[Split_apply]])) - SUM($O179:R179)</f>
        <v>0</v>
      </c>
      <c r="T179" s="37">
        <f ca="1">Log_2020[[#This Row],[Amount]]/Log_2020[[#This Row],[Split_raw]]*MAX(0,MIN(_xlfn.DAYS(EDATE(T$1,1),Log_2020[[#This Row],[Date]]),Log_2020[[#This Row],[Split_apply]])) - SUM($O179:S179)</f>
        <v>0</v>
      </c>
      <c r="U179" s="37">
        <f ca="1">Log_2020[[#This Row],[Amount]]/Log_2020[[#This Row],[Split_raw]]*MAX(0,MIN(_xlfn.DAYS(EDATE(U$1,1),Log_2020[[#This Row],[Date]]),Log_2020[[#This Row],[Split_apply]])) - SUM($O179:T179)</f>
        <v>0</v>
      </c>
      <c r="V179" s="37">
        <f ca="1">Log_2020[[#This Row],[Amount]]/Log_2020[[#This Row],[Split_raw]]*MAX(0,MIN(_xlfn.DAYS(EDATE(V$1,1),Log_2020[[#This Row],[Date]]),Log_2020[[#This Row],[Split_apply]])) - SUM($O179:U179)</f>
        <v>0</v>
      </c>
      <c r="W179" s="37">
        <f ca="1">Log_2020[[#This Row],[Amount]]/Log_2020[[#This Row],[Split_raw]]*MAX(0,MIN(_xlfn.DAYS(EDATE(W$1,1),Log_2020[[#This Row],[Date]]),Log_2020[[#This Row],[Split_apply]])) - SUM($O179:V179)</f>
        <v>0</v>
      </c>
      <c r="X179" s="37">
        <f ca="1">Log_2020[[#This Row],[Amount]]/Log_2020[[#This Row],[Split_raw]]*MAX(0,MIN(_xlfn.DAYS(EDATE(X$1,1),Log_2020[[#This Row],[Date]]),Log_2020[[#This Row],[Split_apply]])) - SUM($O179:W179)</f>
        <v>0</v>
      </c>
      <c r="Y179" s="37">
        <f ca="1">Log_2020[[#This Row],[Amount]]/Log_2020[[#This Row],[Split_raw]]*MAX(0,MIN(_xlfn.DAYS(EDATE(Y$1,1),Log_2020[[#This Row],[Date]]),Log_2020[[#This Row],[Split_apply]])) - SUM($O179:X179)</f>
        <v>0</v>
      </c>
      <c r="Z179" s="37">
        <f ca="1">Log_2020[[#This Row],[Amount]]/Log_2020[[#This Row],[Split_raw]]*MAX(0,MIN(_xlfn.DAYS(EDATE(Z$1,1),Log_2020[[#This Row],[Date]]),Log_2020[[#This Row],[Split_apply]])) - SUM($O179:Y179)</f>
        <v>0</v>
      </c>
      <c r="AA179" s="37">
        <f ca="1">Log_2020[[#This Row],[Amount]]/Log_2020[[#This Row],[Split_raw]]*MAX(0,MIN(_xlfn.DAYS(EDATE(AA$1,1),Log_2020[[#This Row],[Date]]),Log_2020[[#This Row],[Split_apply]])) - SUM($O179:Z179)</f>
        <v>0</v>
      </c>
      <c r="AB179" s="59">
        <f ca="1">Log_2020[[#This Row],[Amount]]*Log_2020[[#This Row],[Split_apply]]/Log_2020[[#This Row],[Split_raw]]-SUM(O179:AA179)</f>
        <v>0</v>
      </c>
      <c r="AC179" s="7">
        <f>MAX(0,Log_2020[[#This Row],[Split_raw]] - (EDATE(AA$1,1)-Log_2020[[#This Row],[Date]]))</f>
        <v>0</v>
      </c>
    </row>
    <row r="180" spans="1:29" x14ac:dyDescent="0.25">
      <c r="A180" s="37"/>
      <c r="B180" s="34" t="s">
        <v>6</v>
      </c>
      <c r="C180" s="34"/>
      <c r="D180" s="35">
        <v>43844</v>
      </c>
      <c r="E180" s="34"/>
      <c r="F180" s="34" t="s">
        <v>242</v>
      </c>
      <c r="G180" s="34" t="s">
        <v>749</v>
      </c>
      <c r="H180">
        <f>--12.14</f>
        <v>12.14</v>
      </c>
      <c r="I180" s="36">
        <f>IF(Log_2020[[#This Row],[My Category]]="NONTRACKED",0,Log_2020[[#This Row],[Raw Amount]])</f>
        <v>12.14</v>
      </c>
      <c r="J180" s="37">
        <f>ABS(Log_2020[[#This Row],[Amount]])</f>
        <v>12.14</v>
      </c>
      <c r="K180" s="38">
        <v>1</v>
      </c>
      <c r="L180" s="38">
        <f ca="1">IF(Log_2020[[#This Row],[Date]]&lt;=TODAY(), MIN(Log_2020[[#This Row],[Split_raw]], TODAY()-Log_2020[[#This Row],[Date]]+1), 0)</f>
        <v>1</v>
      </c>
      <c r="M180" s="34" t="s">
        <v>144</v>
      </c>
      <c r="N180" s="34" t="s">
        <v>160</v>
      </c>
      <c r="O180" s="7"/>
      <c r="P180" s="37">
        <f ca="1">Log_2020[[#This Row],[Amount]]/Log_2020[[#This Row],[Split_raw]]*MAX(0,MIN(_xlfn.DAYS(EDATE(P$1,1),Log_2020[[#This Row],[Date]]),Log_2020[[#This Row],[Split_apply]])) - SUM($O180:O180)</f>
        <v>12.14</v>
      </c>
      <c r="Q180" s="37">
        <f ca="1">Log_2020[[#This Row],[Amount]]/Log_2020[[#This Row],[Split_raw]]*MAX(0,MIN(_xlfn.DAYS(EDATE(Q$1,1),Log_2020[[#This Row],[Date]]),Log_2020[[#This Row],[Split_apply]])) - SUM($O180:P180)</f>
        <v>0</v>
      </c>
      <c r="R180" s="37">
        <f ca="1">Log_2020[[#This Row],[Amount]]/Log_2020[[#This Row],[Split_raw]]*MAX(0,MIN(_xlfn.DAYS(EDATE(R$1,1),Log_2020[[#This Row],[Date]]),Log_2020[[#This Row],[Split_apply]])) - SUM($O180:Q180)</f>
        <v>0</v>
      </c>
      <c r="S180" s="37">
        <f ca="1">Log_2020[[#This Row],[Amount]]/Log_2020[[#This Row],[Split_raw]]*MAX(0,MIN(_xlfn.DAYS(EDATE(S$1,1),Log_2020[[#This Row],[Date]]),Log_2020[[#This Row],[Split_apply]])) - SUM($O180:R180)</f>
        <v>0</v>
      </c>
      <c r="T180" s="37">
        <f ca="1">Log_2020[[#This Row],[Amount]]/Log_2020[[#This Row],[Split_raw]]*MAX(0,MIN(_xlfn.DAYS(EDATE(T$1,1),Log_2020[[#This Row],[Date]]),Log_2020[[#This Row],[Split_apply]])) - SUM($O180:S180)</f>
        <v>0</v>
      </c>
      <c r="U180" s="37">
        <f ca="1">Log_2020[[#This Row],[Amount]]/Log_2020[[#This Row],[Split_raw]]*MAX(0,MIN(_xlfn.DAYS(EDATE(U$1,1),Log_2020[[#This Row],[Date]]),Log_2020[[#This Row],[Split_apply]])) - SUM($O180:T180)</f>
        <v>0</v>
      </c>
      <c r="V180" s="37">
        <f ca="1">Log_2020[[#This Row],[Amount]]/Log_2020[[#This Row],[Split_raw]]*MAX(0,MIN(_xlfn.DAYS(EDATE(V$1,1),Log_2020[[#This Row],[Date]]),Log_2020[[#This Row],[Split_apply]])) - SUM($O180:U180)</f>
        <v>0</v>
      </c>
      <c r="W180" s="37">
        <f ca="1">Log_2020[[#This Row],[Amount]]/Log_2020[[#This Row],[Split_raw]]*MAX(0,MIN(_xlfn.DAYS(EDATE(W$1,1),Log_2020[[#This Row],[Date]]),Log_2020[[#This Row],[Split_apply]])) - SUM($O180:V180)</f>
        <v>0</v>
      </c>
      <c r="X180" s="37">
        <f ca="1">Log_2020[[#This Row],[Amount]]/Log_2020[[#This Row],[Split_raw]]*MAX(0,MIN(_xlfn.DAYS(EDATE(X$1,1),Log_2020[[#This Row],[Date]]),Log_2020[[#This Row],[Split_apply]])) - SUM($O180:W180)</f>
        <v>0</v>
      </c>
      <c r="Y180" s="37">
        <f ca="1">Log_2020[[#This Row],[Amount]]/Log_2020[[#This Row],[Split_raw]]*MAX(0,MIN(_xlfn.DAYS(EDATE(Y$1,1),Log_2020[[#This Row],[Date]]),Log_2020[[#This Row],[Split_apply]])) - SUM($O180:X180)</f>
        <v>0</v>
      </c>
      <c r="Z180" s="37">
        <f ca="1">Log_2020[[#This Row],[Amount]]/Log_2020[[#This Row],[Split_raw]]*MAX(0,MIN(_xlfn.DAYS(EDATE(Z$1,1),Log_2020[[#This Row],[Date]]),Log_2020[[#This Row],[Split_apply]])) - SUM($O180:Y180)</f>
        <v>0</v>
      </c>
      <c r="AA180" s="37">
        <f ca="1">Log_2020[[#This Row],[Amount]]/Log_2020[[#This Row],[Split_raw]]*MAX(0,MIN(_xlfn.DAYS(EDATE(AA$1,1),Log_2020[[#This Row],[Date]]),Log_2020[[#This Row],[Split_apply]])) - SUM($O180:Z180)</f>
        <v>0</v>
      </c>
      <c r="AB180" s="59">
        <f ca="1">Log_2020[[#This Row],[Amount]]*Log_2020[[#This Row],[Split_apply]]/Log_2020[[#This Row],[Split_raw]]-SUM(O180:AA180)</f>
        <v>0</v>
      </c>
      <c r="AC180" s="7">
        <f>MAX(0,Log_2020[[#This Row],[Split_raw]] - (EDATE(AA$1,1)-Log_2020[[#This Row],[Date]]))</f>
        <v>0</v>
      </c>
    </row>
    <row r="181" spans="1:29" x14ac:dyDescent="0.25">
      <c r="A181" s="37"/>
      <c r="B181" s="34" t="s">
        <v>6</v>
      </c>
      <c r="C181" s="34"/>
      <c r="D181" s="35">
        <v>43843</v>
      </c>
      <c r="E181" s="34"/>
      <c r="F181" s="34" t="s">
        <v>83</v>
      </c>
      <c r="G181" s="34" t="s">
        <v>15</v>
      </c>
      <c r="H181">
        <v>-209.86</v>
      </c>
      <c r="I181" s="36">
        <f>IF(Log_2020[[#This Row],[My Category]]="NONTRACKED",0,Log_2020[[#This Row],[Raw Amount]])</f>
        <v>-209.86</v>
      </c>
      <c r="J181" s="37">
        <f>ABS(Log_2020[[#This Row],[Amount]])</f>
        <v>209.86</v>
      </c>
      <c r="K181" s="38">
        <v>30</v>
      </c>
      <c r="L181" s="38">
        <f ca="1">IF(Log_2020[[#This Row],[Date]]&lt;=TODAY(), MIN(Log_2020[[#This Row],[Split_raw]], TODAY()-Log_2020[[#This Row],[Date]]+1), 0)</f>
        <v>30</v>
      </c>
      <c r="M181" s="34" t="s">
        <v>241</v>
      </c>
      <c r="N181" s="34" t="s">
        <v>160</v>
      </c>
      <c r="O181" s="7"/>
      <c r="P181" s="37">
        <f ca="1">Log_2020[[#This Row],[Amount]]/Log_2020[[#This Row],[Split_raw]]*MAX(0,MIN(_xlfn.DAYS(EDATE(P$1,1),Log_2020[[#This Row],[Date]]),Log_2020[[#This Row],[Split_apply]])) - SUM($O181:O181)</f>
        <v>-132.91133333333335</v>
      </c>
      <c r="Q181" s="37">
        <f ca="1">Log_2020[[#This Row],[Amount]]/Log_2020[[#This Row],[Split_raw]]*MAX(0,MIN(_xlfn.DAYS(EDATE(Q$1,1),Log_2020[[#This Row],[Date]]),Log_2020[[#This Row],[Split_apply]])) - SUM($O181:P181)</f>
        <v>-76.948666666666668</v>
      </c>
      <c r="R181" s="37">
        <f ca="1">Log_2020[[#This Row],[Amount]]/Log_2020[[#This Row],[Split_raw]]*MAX(0,MIN(_xlfn.DAYS(EDATE(R$1,1),Log_2020[[#This Row],[Date]]),Log_2020[[#This Row],[Split_apply]])) - SUM($O181:Q181)</f>
        <v>0</v>
      </c>
      <c r="S181" s="37">
        <f ca="1">Log_2020[[#This Row],[Amount]]/Log_2020[[#This Row],[Split_raw]]*MAX(0,MIN(_xlfn.DAYS(EDATE(S$1,1),Log_2020[[#This Row],[Date]]),Log_2020[[#This Row],[Split_apply]])) - SUM($O181:R181)</f>
        <v>0</v>
      </c>
      <c r="T181" s="37">
        <f ca="1">Log_2020[[#This Row],[Amount]]/Log_2020[[#This Row],[Split_raw]]*MAX(0,MIN(_xlfn.DAYS(EDATE(T$1,1),Log_2020[[#This Row],[Date]]),Log_2020[[#This Row],[Split_apply]])) - SUM($O181:S181)</f>
        <v>0</v>
      </c>
      <c r="U181" s="37">
        <f ca="1">Log_2020[[#This Row],[Amount]]/Log_2020[[#This Row],[Split_raw]]*MAX(0,MIN(_xlfn.DAYS(EDATE(U$1,1),Log_2020[[#This Row],[Date]]),Log_2020[[#This Row],[Split_apply]])) - SUM($O181:T181)</f>
        <v>0</v>
      </c>
      <c r="V181" s="37">
        <f ca="1">Log_2020[[#This Row],[Amount]]/Log_2020[[#This Row],[Split_raw]]*MAX(0,MIN(_xlfn.DAYS(EDATE(V$1,1),Log_2020[[#This Row],[Date]]),Log_2020[[#This Row],[Split_apply]])) - SUM($O181:U181)</f>
        <v>0</v>
      </c>
      <c r="W181" s="37">
        <f ca="1">Log_2020[[#This Row],[Amount]]/Log_2020[[#This Row],[Split_raw]]*MAX(0,MIN(_xlfn.DAYS(EDATE(W$1,1),Log_2020[[#This Row],[Date]]),Log_2020[[#This Row],[Split_apply]])) - SUM($O181:V181)</f>
        <v>0</v>
      </c>
      <c r="X181" s="37">
        <f ca="1">Log_2020[[#This Row],[Amount]]/Log_2020[[#This Row],[Split_raw]]*MAX(0,MIN(_xlfn.DAYS(EDATE(X$1,1),Log_2020[[#This Row],[Date]]),Log_2020[[#This Row],[Split_apply]])) - SUM($O181:W181)</f>
        <v>0</v>
      </c>
      <c r="Y181" s="37">
        <f ca="1">Log_2020[[#This Row],[Amount]]/Log_2020[[#This Row],[Split_raw]]*MAX(0,MIN(_xlfn.DAYS(EDATE(Y$1,1),Log_2020[[#This Row],[Date]]),Log_2020[[#This Row],[Split_apply]])) - SUM($O181:X181)</f>
        <v>0</v>
      </c>
      <c r="Z181" s="37">
        <f ca="1">Log_2020[[#This Row],[Amount]]/Log_2020[[#This Row],[Split_raw]]*MAX(0,MIN(_xlfn.DAYS(EDATE(Z$1,1),Log_2020[[#This Row],[Date]]),Log_2020[[#This Row],[Split_apply]])) - SUM($O181:Y181)</f>
        <v>0</v>
      </c>
      <c r="AA181" s="37">
        <f ca="1">Log_2020[[#This Row],[Amount]]/Log_2020[[#This Row],[Split_raw]]*MAX(0,MIN(_xlfn.DAYS(EDATE(AA$1,1),Log_2020[[#This Row],[Date]]),Log_2020[[#This Row],[Split_apply]])) - SUM($O181:Z181)</f>
        <v>0</v>
      </c>
      <c r="AB181" s="59">
        <f ca="1">Log_2020[[#This Row],[Amount]]*Log_2020[[#This Row],[Split_apply]]/Log_2020[[#This Row],[Split_raw]]-SUM(O181:AA181)</f>
        <v>0</v>
      </c>
      <c r="AC181" s="7">
        <f>MAX(0,Log_2020[[#This Row],[Split_raw]] - (EDATE(AA$1,1)-Log_2020[[#This Row],[Date]]))</f>
        <v>0</v>
      </c>
    </row>
    <row r="182" spans="1:29" x14ac:dyDescent="0.25">
      <c r="A182" s="37"/>
      <c r="B182" s="34" t="s">
        <v>6</v>
      </c>
      <c r="C182" s="34"/>
      <c r="D182" s="35">
        <v>43840</v>
      </c>
      <c r="E182" s="34"/>
      <c r="F182" s="34" t="s">
        <v>327</v>
      </c>
      <c r="G182" s="34" t="s">
        <v>25</v>
      </c>
      <c r="H182">
        <v>-10.67</v>
      </c>
      <c r="I182" s="36">
        <f>IF(Log_2020[[#This Row],[My Category]]="NONTRACKED",0,Log_2020[[#This Row],[Raw Amount]])</f>
        <v>-10.67</v>
      </c>
      <c r="J182" s="37">
        <f>ABS(Log_2020[[#This Row],[Amount]])</f>
        <v>10.67</v>
      </c>
      <c r="K182" s="38">
        <v>1</v>
      </c>
      <c r="L182" s="38">
        <f ca="1">IF(Log_2020[[#This Row],[Date]]&lt;=TODAY(), MIN(Log_2020[[#This Row],[Split_raw]], TODAY()-Log_2020[[#This Row],[Date]]+1), 0)</f>
        <v>1</v>
      </c>
      <c r="M182" s="34" t="s">
        <v>35</v>
      </c>
      <c r="N182" s="34" t="s">
        <v>158</v>
      </c>
      <c r="O182" s="7"/>
      <c r="P182" s="37">
        <f ca="1">Log_2020[[#This Row],[Amount]]/Log_2020[[#This Row],[Split_raw]]*MAX(0,MIN(_xlfn.DAYS(EDATE(P$1,1),Log_2020[[#This Row],[Date]]),Log_2020[[#This Row],[Split_apply]])) - SUM($O182:O182)</f>
        <v>-10.67</v>
      </c>
      <c r="Q182" s="37">
        <f ca="1">Log_2020[[#This Row],[Amount]]/Log_2020[[#This Row],[Split_raw]]*MAX(0,MIN(_xlfn.DAYS(EDATE(Q$1,1),Log_2020[[#This Row],[Date]]),Log_2020[[#This Row],[Split_apply]])) - SUM($O182:P182)</f>
        <v>0</v>
      </c>
      <c r="R182" s="37">
        <f ca="1">Log_2020[[#This Row],[Amount]]/Log_2020[[#This Row],[Split_raw]]*MAX(0,MIN(_xlfn.DAYS(EDATE(R$1,1),Log_2020[[#This Row],[Date]]),Log_2020[[#This Row],[Split_apply]])) - SUM($O182:Q182)</f>
        <v>0</v>
      </c>
      <c r="S182" s="37">
        <f ca="1">Log_2020[[#This Row],[Amount]]/Log_2020[[#This Row],[Split_raw]]*MAX(0,MIN(_xlfn.DAYS(EDATE(S$1,1),Log_2020[[#This Row],[Date]]),Log_2020[[#This Row],[Split_apply]])) - SUM($O182:R182)</f>
        <v>0</v>
      </c>
      <c r="T182" s="37">
        <f ca="1">Log_2020[[#This Row],[Amount]]/Log_2020[[#This Row],[Split_raw]]*MAX(0,MIN(_xlfn.DAYS(EDATE(T$1,1),Log_2020[[#This Row],[Date]]),Log_2020[[#This Row],[Split_apply]])) - SUM($O182:S182)</f>
        <v>0</v>
      </c>
      <c r="U182" s="37">
        <f ca="1">Log_2020[[#This Row],[Amount]]/Log_2020[[#This Row],[Split_raw]]*MAX(0,MIN(_xlfn.DAYS(EDATE(U$1,1),Log_2020[[#This Row],[Date]]),Log_2020[[#This Row],[Split_apply]])) - SUM($O182:T182)</f>
        <v>0</v>
      </c>
      <c r="V182" s="37">
        <f ca="1">Log_2020[[#This Row],[Amount]]/Log_2020[[#This Row],[Split_raw]]*MAX(0,MIN(_xlfn.DAYS(EDATE(V$1,1),Log_2020[[#This Row],[Date]]),Log_2020[[#This Row],[Split_apply]])) - SUM($O182:U182)</f>
        <v>0</v>
      </c>
      <c r="W182" s="37">
        <f ca="1">Log_2020[[#This Row],[Amount]]/Log_2020[[#This Row],[Split_raw]]*MAX(0,MIN(_xlfn.DAYS(EDATE(W$1,1),Log_2020[[#This Row],[Date]]),Log_2020[[#This Row],[Split_apply]])) - SUM($O182:V182)</f>
        <v>0</v>
      </c>
      <c r="X182" s="37">
        <f ca="1">Log_2020[[#This Row],[Amount]]/Log_2020[[#This Row],[Split_raw]]*MAX(0,MIN(_xlfn.DAYS(EDATE(X$1,1),Log_2020[[#This Row],[Date]]),Log_2020[[#This Row],[Split_apply]])) - SUM($O182:W182)</f>
        <v>0</v>
      </c>
      <c r="Y182" s="37">
        <f ca="1">Log_2020[[#This Row],[Amount]]/Log_2020[[#This Row],[Split_raw]]*MAX(0,MIN(_xlfn.DAYS(EDATE(Y$1,1),Log_2020[[#This Row],[Date]]),Log_2020[[#This Row],[Split_apply]])) - SUM($O182:X182)</f>
        <v>0</v>
      </c>
      <c r="Z182" s="37">
        <f ca="1">Log_2020[[#This Row],[Amount]]/Log_2020[[#This Row],[Split_raw]]*MAX(0,MIN(_xlfn.DAYS(EDATE(Z$1,1),Log_2020[[#This Row],[Date]]),Log_2020[[#This Row],[Split_apply]])) - SUM($O182:Y182)</f>
        <v>0</v>
      </c>
      <c r="AA182" s="37">
        <f ca="1">Log_2020[[#This Row],[Amount]]/Log_2020[[#This Row],[Split_raw]]*MAX(0,MIN(_xlfn.DAYS(EDATE(AA$1,1),Log_2020[[#This Row],[Date]]),Log_2020[[#This Row],[Split_apply]])) - SUM($O182:Z182)</f>
        <v>0</v>
      </c>
      <c r="AB182" s="59">
        <f ca="1">Log_2020[[#This Row],[Amount]]*Log_2020[[#This Row],[Split_apply]]/Log_2020[[#This Row],[Split_raw]]-SUM(O182:AA182)</f>
        <v>0</v>
      </c>
      <c r="AC182" s="7">
        <f>MAX(0,Log_2020[[#This Row],[Split_raw]] - (EDATE(AA$1,1)-Log_2020[[#This Row],[Date]]))</f>
        <v>0</v>
      </c>
    </row>
    <row r="183" spans="1:29" x14ac:dyDescent="0.25">
      <c r="A183" s="37"/>
      <c r="B183" s="34" t="s">
        <v>6</v>
      </c>
      <c r="C183" s="34"/>
      <c r="D183" s="35">
        <v>43840</v>
      </c>
      <c r="E183" s="34"/>
      <c r="F183" s="34" t="s">
        <v>255</v>
      </c>
      <c r="G183" s="34" t="s">
        <v>12</v>
      </c>
      <c r="H183">
        <v>-26.6</v>
      </c>
      <c r="I183" s="36">
        <f>IF(Log_2020[[#This Row],[My Category]]="NONTRACKED",0,Log_2020[[#This Row],[Raw Amount]])</f>
        <v>-26.6</v>
      </c>
      <c r="J183" s="37">
        <f>ABS(Log_2020[[#This Row],[Amount]])</f>
        <v>26.6</v>
      </c>
      <c r="K183" s="38">
        <v>1</v>
      </c>
      <c r="L183" s="38">
        <f ca="1">IF(Log_2020[[#This Row],[Date]]&lt;=TODAY(), MIN(Log_2020[[#This Row],[Split_raw]], TODAY()-Log_2020[[#This Row],[Date]]+1), 0)</f>
        <v>1</v>
      </c>
      <c r="M183" s="34" t="s">
        <v>52</v>
      </c>
      <c r="N183" s="34" t="s">
        <v>158</v>
      </c>
      <c r="O183" s="7"/>
      <c r="P183" s="37">
        <f ca="1">Log_2020[[#This Row],[Amount]]/Log_2020[[#This Row],[Split_raw]]*MAX(0,MIN(_xlfn.DAYS(EDATE(P$1,1),Log_2020[[#This Row],[Date]]),Log_2020[[#This Row],[Split_apply]])) - SUM($O183:O183)</f>
        <v>-26.6</v>
      </c>
      <c r="Q183" s="37">
        <f ca="1">Log_2020[[#This Row],[Amount]]/Log_2020[[#This Row],[Split_raw]]*MAX(0,MIN(_xlfn.DAYS(EDATE(Q$1,1),Log_2020[[#This Row],[Date]]),Log_2020[[#This Row],[Split_apply]])) - SUM($O183:P183)</f>
        <v>0</v>
      </c>
      <c r="R183" s="37">
        <f ca="1">Log_2020[[#This Row],[Amount]]/Log_2020[[#This Row],[Split_raw]]*MAX(0,MIN(_xlfn.DAYS(EDATE(R$1,1),Log_2020[[#This Row],[Date]]),Log_2020[[#This Row],[Split_apply]])) - SUM($O183:Q183)</f>
        <v>0</v>
      </c>
      <c r="S183" s="37">
        <f ca="1">Log_2020[[#This Row],[Amount]]/Log_2020[[#This Row],[Split_raw]]*MAX(0,MIN(_xlfn.DAYS(EDATE(S$1,1),Log_2020[[#This Row],[Date]]),Log_2020[[#This Row],[Split_apply]])) - SUM($O183:R183)</f>
        <v>0</v>
      </c>
      <c r="T183" s="37">
        <f ca="1">Log_2020[[#This Row],[Amount]]/Log_2020[[#This Row],[Split_raw]]*MAX(0,MIN(_xlfn.DAYS(EDATE(T$1,1),Log_2020[[#This Row],[Date]]),Log_2020[[#This Row],[Split_apply]])) - SUM($O183:S183)</f>
        <v>0</v>
      </c>
      <c r="U183" s="37">
        <f ca="1">Log_2020[[#This Row],[Amount]]/Log_2020[[#This Row],[Split_raw]]*MAX(0,MIN(_xlfn.DAYS(EDATE(U$1,1),Log_2020[[#This Row],[Date]]),Log_2020[[#This Row],[Split_apply]])) - SUM($O183:T183)</f>
        <v>0</v>
      </c>
      <c r="V183" s="37">
        <f ca="1">Log_2020[[#This Row],[Amount]]/Log_2020[[#This Row],[Split_raw]]*MAX(0,MIN(_xlfn.DAYS(EDATE(V$1,1),Log_2020[[#This Row],[Date]]),Log_2020[[#This Row],[Split_apply]])) - SUM($O183:U183)</f>
        <v>0</v>
      </c>
      <c r="W183" s="37">
        <f ca="1">Log_2020[[#This Row],[Amount]]/Log_2020[[#This Row],[Split_raw]]*MAX(0,MIN(_xlfn.DAYS(EDATE(W$1,1),Log_2020[[#This Row],[Date]]),Log_2020[[#This Row],[Split_apply]])) - SUM($O183:V183)</f>
        <v>0</v>
      </c>
      <c r="X183" s="37">
        <f ca="1">Log_2020[[#This Row],[Amount]]/Log_2020[[#This Row],[Split_raw]]*MAX(0,MIN(_xlfn.DAYS(EDATE(X$1,1),Log_2020[[#This Row],[Date]]),Log_2020[[#This Row],[Split_apply]])) - SUM($O183:W183)</f>
        <v>0</v>
      </c>
      <c r="Y183" s="37">
        <f ca="1">Log_2020[[#This Row],[Amount]]/Log_2020[[#This Row],[Split_raw]]*MAX(0,MIN(_xlfn.DAYS(EDATE(Y$1,1),Log_2020[[#This Row],[Date]]),Log_2020[[#This Row],[Split_apply]])) - SUM($O183:X183)</f>
        <v>0</v>
      </c>
      <c r="Z183" s="37">
        <f ca="1">Log_2020[[#This Row],[Amount]]/Log_2020[[#This Row],[Split_raw]]*MAX(0,MIN(_xlfn.DAYS(EDATE(Z$1,1),Log_2020[[#This Row],[Date]]),Log_2020[[#This Row],[Split_apply]])) - SUM($O183:Y183)</f>
        <v>0</v>
      </c>
      <c r="AA183" s="37">
        <f ca="1">Log_2020[[#This Row],[Amount]]/Log_2020[[#This Row],[Split_raw]]*MAX(0,MIN(_xlfn.DAYS(EDATE(AA$1,1),Log_2020[[#This Row],[Date]]),Log_2020[[#This Row],[Split_apply]])) - SUM($O183:Z183)</f>
        <v>0</v>
      </c>
      <c r="AB183" s="59">
        <f ca="1">Log_2020[[#This Row],[Amount]]*Log_2020[[#This Row],[Split_apply]]/Log_2020[[#This Row],[Split_raw]]-SUM(O183:AA183)</f>
        <v>0</v>
      </c>
      <c r="AC183" s="7">
        <f>MAX(0,Log_2020[[#This Row],[Split_raw]] - (EDATE(AA$1,1)-Log_2020[[#This Row],[Date]]))</f>
        <v>0</v>
      </c>
    </row>
    <row r="184" spans="1:29" x14ac:dyDescent="0.25">
      <c r="A184" s="37"/>
      <c r="B184" s="34" t="s">
        <v>6</v>
      </c>
      <c r="C184" s="34"/>
      <c r="D184" s="35">
        <v>43840</v>
      </c>
      <c r="E184" s="34" t="s">
        <v>250</v>
      </c>
      <c r="F184" s="34" t="s">
        <v>243</v>
      </c>
      <c r="G184" s="34" t="s">
        <v>143</v>
      </c>
      <c r="H184">
        <v>-10.81</v>
      </c>
      <c r="I184" s="36">
        <f>IF(Log_2020[[#This Row],[My Category]]="NONTRACKED",0,Log_2020[[#This Row],[Raw Amount]])</f>
        <v>-10.81</v>
      </c>
      <c r="J184" s="37">
        <f>ABS(Log_2020[[#This Row],[Amount]])</f>
        <v>10.81</v>
      </c>
      <c r="K184" s="38">
        <v>30</v>
      </c>
      <c r="L184" s="38">
        <f ca="1">IF(Log_2020[[#This Row],[Date]]&lt;=TODAY(), MIN(Log_2020[[#This Row],[Split_raw]], TODAY()-Log_2020[[#This Row],[Date]]+1), 0)</f>
        <v>30</v>
      </c>
      <c r="M184" s="34" t="s">
        <v>53</v>
      </c>
      <c r="N184" s="34" t="s">
        <v>160</v>
      </c>
      <c r="O184" s="7"/>
      <c r="P184" s="37">
        <f ca="1">Log_2020[[#This Row],[Amount]]/Log_2020[[#This Row],[Split_raw]]*MAX(0,MIN(_xlfn.DAYS(EDATE(P$1,1),Log_2020[[#This Row],[Date]]),Log_2020[[#This Row],[Split_apply]])) - SUM($O184:O184)</f>
        <v>-7.9273333333333333</v>
      </c>
      <c r="Q184" s="37">
        <f ca="1">Log_2020[[#This Row],[Amount]]/Log_2020[[#This Row],[Split_raw]]*MAX(0,MIN(_xlfn.DAYS(EDATE(Q$1,1),Log_2020[[#This Row],[Date]]),Log_2020[[#This Row],[Split_apply]])) - SUM($O184:P184)</f>
        <v>-2.8826666666666672</v>
      </c>
      <c r="R184" s="37">
        <f ca="1">Log_2020[[#This Row],[Amount]]/Log_2020[[#This Row],[Split_raw]]*MAX(0,MIN(_xlfn.DAYS(EDATE(R$1,1),Log_2020[[#This Row],[Date]]),Log_2020[[#This Row],[Split_apply]])) - SUM($O184:Q184)</f>
        <v>0</v>
      </c>
      <c r="S184" s="37">
        <f ca="1">Log_2020[[#This Row],[Amount]]/Log_2020[[#This Row],[Split_raw]]*MAX(0,MIN(_xlfn.DAYS(EDATE(S$1,1),Log_2020[[#This Row],[Date]]),Log_2020[[#This Row],[Split_apply]])) - SUM($O184:R184)</f>
        <v>0</v>
      </c>
      <c r="T184" s="37">
        <f ca="1">Log_2020[[#This Row],[Amount]]/Log_2020[[#This Row],[Split_raw]]*MAX(0,MIN(_xlfn.DAYS(EDATE(T$1,1),Log_2020[[#This Row],[Date]]),Log_2020[[#This Row],[Split_apply]])) - SUM($O184:S184)</f>
        <v>0</v>
      </c>
      <c r="U184" s="37">
        <f ca="1">Log_2020[[#This Row],[Amount]]/Log_2020[[#This Row],[Split_raw]]*MAX(0,MIN(_xlfn.DAYS(EDATE(U$1,1),Log_2020[[#This Row],[Date]]),Log_2020[[#This Row],[Split_apply]])) - SUM($O184:T184)</f>
        <v>0</v>
      </c>
      <c r="V184" s="37">
        <f ca="1">Log_2020[[#This Row],[Amount]]/Log_2020[[#This Row],[Split_raw]]*MAX(0,MIN(_xlfn.DAYS(EDATE(V$1,1),Log_2020[[#This Row],[Date]]),Log_2020[[#This Row],[Split_apply]])) - SUM($O184:U184)</f>
        <v>0</v>
      </c>
      <c r="W184" s="37">
        <f ca="1">Log_2020[[#This Row],[Amount]]/Log_2020[[#This Row],[Split_raw]]*MAX(0,MIN(_xlfn.DAYS(EDATE(W$1,1),Log_2020[[#This Row],[Date]]),Log_2020[[#This Row],[Split_apply]])) - SUM($O184:V184)</f>
        <v>0</v>
      </c>
      <c r="X184" s="37">
        <f ca="1">Log_2020[[#This Row],[Amount]]/Log_2020[[#This Row],[Split_raw]]*MAX(0,MIN(_xlfn.DAYS(EDATE(X$1,1),Log_2020[[#This Row],[Date]]),Log_2020[[#This Row],[Split_apply]])) - SUM($O184:W184)</f>
        <v>0</v>
      </c>
      <c r="Y184" s="37">
        <f ca="1">Log_2020[[#This Row],[Amount]]/Log_2020[[#This Row],[Split_raw]]*MAX(0,MIN(_xlfn.DAYS(EDATE(Y$1,1),Log_2020[[#This Row],[Date]]),Log_2020[[#This Row],[Split_apply]])) - SUM($O184:X184)</f>
        <v>0</v>
      </c>
      <c r="Z184" s="37">
        <f ca="1">Log_2020[[#This Row],[Amount]]/Log_2020[[#This Row],[Split_raw]]*MAX(0,MIN(_xlfn.DAYS(EDATE(Z$1,1),Log_2020[[#This Row],[Date]]),Log_2020[[#This Row],[Split_apply]])) - SUM($O184:Y184)</f>
        <v>0</v>
      </c>
      <c r="AA184" s="37">
        <f ca="1">Log_2020[[#This Row],[Amount]]/Log_2020[[#This Row],[Split_raw]]*MAX(0,MIN(_xlfn.DAYS(EDATE(AA$1,1),Log_2020[[#This Row],[Date]]),Log_2020[[#This Row],[Split_apply]])) - SUM($O184:Z184)</f>
        <v>0</v>
      </c>
      <c r="AB184" s="59">
        <f ca="1">Log_2020[[#This Row],[Amount]]*Log_2020[[#This Row],[Split_apply]]/Log_2020[[#This Row],[Split_raw]]-SUM(O184:AA184)</f>
        <v>0</v>
      </c>
      <c r="AC184" s="7">
        <f>MAX(0,Log_2020[[#This Row],[Split_raw]] - (EDATE(AA$1,1)-Log_2020[[#This Row],[Date]]))</f>
        <v>0</v>
      </c>
    </row>
    <row r="185" spans="1:29" x14ac:dyDescent="0.25">
      <c r="A185" s="37"/>
      <c r="B185" s="34" t="s">
        <v>6</v>
      </c>
      <c r="C185" s="34"/>
      <c r="D185" s="35">
        <v>43839</v>
      </c>
      <c r="E185" s="34"/>
      <c r="F185" s="34" t="s">
        <v>345</v>
      </c>
      <c r="G185" s="34" t="s">
        <v>12</v>
      </c>
      <c r="H185">
        <v>-145.35</v>
      </c>
      <c r="I185" s="36">
        <f>IF(Log_2020[[#This Row],[My Category]]="NONTRACKED",0,Log_2020[[#This Row],[Raw Amount]])</f>
        <v>-145.35</v>
      </c>
      <c r="J185" s="37">
        <f>ABS(Log_2020[[#This Row],[Amount]])</f>
        <v>145.35</v>
      </c>
      <c r="K185" s="38">
        <v>1</v>
      </c>
      <c r="L185" s="38">
        <f ca="1">IF(Log_2020[[#This Row],[Date]]&lt;=TODAY(), MIN(Log_2020[[#This Row],[Split_raw]], TODAY()-Log_2020[[#This Row],[Date]]+1), 0)</f>
        <v>1</v>
      </c>
      <c r="M185" s="34" t="s">
        <v>12</v>
      </c>
      <c r="N185" s="34" t="s">
        <v>158</v>
      </c>
      <c r="O185" s="7"/>
      <c r="P185" s="37">
        <f ca="1">Log_2020[[#This Row],[Amount]]/Log_2020[[#This Row],[Split_raw]]*MAX(0,MIN(_xlfn.DAYS(EDATE(P$1,1),Log_2020[[#This Row],[Date]]),Log_2020[[#This Row],[Split_apply]])) - SUM($O185:O185)</f>
        <v>-145.35</v>
      </c>
      <c r="Q185" s="37">
        <f ca="1">Log_2020[[#This Row],[Amount]]/Log_2020[[#This Row],[Split_raw]]*MAX(0,MIN(_xlfn.DAYS(EDATE(Q$1,1),Log_2020[[#This Row],[Date]]),Log_2020[[#This Row],[Split_apply]])) - SUM($O185:P185)</f>
        <v>0</v>
      </c>
      <c r="R185" s="37">
        <f ca="1">Log_2020[[#This Row],[Amount]]/Log_2020[[#This Row],[Split_raw]]*MAX(0,MIN(_xlfn.DAYS(EDATE(R$1,1),Log_2020[[#This Row],[Date]]),Log_2020[[#This Row],[Split_apply]])) - SUM($O185:Q185)</f>
        <v>0</v>
      </c>
      <c r="S185" s="37">
        <f ca="1">Log_2020[[#This Row],[Amount]]/Log_2020[[#This Row],[Split_raw]]*MAX(0,MIN(_xlfn.DAYS(EDATE(S$1,1),Log_2020[[#This Row],[Date]]),Log_2020[[#This Row],[Split_apply]])) - SUM($O185:R185)</f>
        <v>0</v>
      </c>
      <c r="T185" s="37">
        <f ca="1">Log_2020[[#This Row],[Amount]]/Log_2020[[#This Row],[Split_raw]]*MAX(0,MIN(_xlfn.DAYS(EDATE(T$1,1),Log_2020[[#This Row],[Date]]),Log_2020[[#This Row],[Split_apply]])) - SUM($O185:S185)</f>
        <v>0</v>
      </c>
      <c r="U185" s="37">
        <f ca="1">Log_2020[[#This Row],[Amount]]/Log_2020[[#This Row],[Split_raw]]*MAX(0,MIN(_xlfn.DAYS(EDATE(U$1,1),Log_2020[[#This Row],[Date]]),Log_2020[[#This Row],[Split_apply]])) - SUM($O185:T185)</f>
        <v>0</v>
      </c>
      <c r="V185" s="37">
        <f ca="1">Log_2020[[#This Row],[Amount]]/Log_2020[[#This Row],[Split_raw]]*MAX(0,MIN(_xlfn.DAYS(EDATE(V$1,1),Log_2020[[#This Row],[Date]]),Log_2020[[#This Row],[Split_apply]])) - SUM($O185:U185)</f>
        <v>0</v>
      </c>
      <c r="W185" s="37">
        <f ca="1">Log_2020[[#This Row],[Amount]]/Log_2020[[#This Row],[Split_raw]]*MAX(0,MIN(_xlfn.DAYS(EDATE(W$1,1),Log_2020[[#This Row],[Date]]),Log_2020[[#This Row],[Split_apply]])) - SUM($O185:V185)</f>
        <v>0</v>
      </c>
      <c r="X185" s="37">
        <f ca="1">Log_2020[[#This Row],[Amount]]/Log_2020[[#This Row],[Split_raw]]*MAX(0,MIN(_xlfn.DAYS(EDATE(X$1,1),Log_2020[[#This Row],[Date]]),Log_2020[[#This Row],[Split_apply]])) - SUM($O185:W185)</f>
        <v>0</v>
      </c>
      <c r="Y185" s="37">
        <f ca="1">Log_2020[[#This Row],[Amount]]/Log_2020[[#This Row],[Split_raw]]*MAX(0,MIN(_xlfn.DAYS(EDATE(Y$1,1),Log_2020[[#This Row],[Date]]),Log_2020[[#This Row],[Split_apply]])) - SUM($O185:X185)</f>
        <v>0</v>
      </c>
      <c r="Z185" s="37">
        <f ca="1">Log_2020[[#This Row],[Amount]]/Log_2020[[#This Row],[Split_raw]]*MAX(0,MIN(_xlfn.DAYS(EDATE(Z$1,1),Log_2020[[#This Row],[Date]]),Log_2020[[#This Row],[Split_apply]])) - SUM($O185:Y185)</f>
        <v>0</v>
      </c>
      <c r="AA185" s="37">
        <f ca="1">Log_2020[[#This Row],[Amount]]/Log_2020[[#This Row],[Split_raw]]*MAX(0,MIN(_xlfn.DAYS(EDATE(AA$1,1),Log_2020[[#This Row],[Date]]),Log_2020[[#This Row],[Split_apply]])) - SUM($O185:Z185)</f>
        <v>0</v>
      </c>
      <c r="AB185" s="59">
        <f ca="1">Log_2020[[#This Row],[Amount]]*Log_2020[[#This Row],[Split_apply]]/Log_2020[[#This Row],[Split_raw]]-SUM(O185:AA185)</f>
        <v>0</v>
      </c>
      <c r="AC185" s="7">
        <f>MAX(0,Log_2020[[#This Row],[Split_raw]] - (EDATE(AA$1,1)-Log_2020[[#This Row],[Date]]))</f>
        <v>0</v>
      </c>
    </row>
    <row r="186" spans="1:29" x14ac:dyDescent="0.25">
      <c r="A186" s="37"/>
      <c r="B186" s="34" t="s">
        <v>6</v>
      </c>
      <c r="C186" s="34"/>
      <c r="D186" s="35">
        <v>43839</v>
      </c>
      <c r="E186" s="34"/>
      <c r="F186" s="34" t="s">
        <v>864</v>
      </c>
      <c r="G186" s="34" t="s">
        <v>29</v>
      </c>
      <c r="H186">
        <v>-85.68</v>
      </c>
      <c r="I186" s="36">
        <f>IF(Log_2020[[#This Row],[My Category]]="NONTRACKED",0,Log_2020[[#This Row],[Raw Amount]])</f>
        <v>-85.68</v>
      </c>
      <c r="J186" s="37">
        <f>ABS(Log_2020[[#This Row],[Amount]])</f>
        <v>85.68</v>
      </c>
      <c r="K186" s="38">
        <v>30</v>
      </c>
      <c r="L186" s="38">
        <f ca="1">IF(Log_2020[[#This Row],[Date]]&lt;=TODAY(), MIN(Log_2020[[#This Row],[Split_raw]], TODAY()-Log_2020[[#This Row],[Date]]+1), 0)</f>
        <v>30</v>
      </c>
      <c r="M186" s="34" t="s">
        <v>29</v>
      </c>
      <c r="N186" s="34" t="s">
        <v>160</v>
      </c>
      <c r="O186" s="7"/>
      <c r="P186" s="37">
        <f ca="1">Log_2020[[#This Row],[Amount]]/Log_2020[[#This Row],[Split_raw]]*MAX(0,MIN(_xlfn.DAYS(EDATE(P$1,1),Log_2020[[#This Row],[Date]]),Log_2020[[#This Row],[Split_apply]])) - SUM($O186:O186)</f>
        <v>-65.688000000000002</v>
      </c>
      <c r="Q186" s="37">
        <f ca="1">Log_2020[[#This Row],[Amount]]/Log_2020[[#This Row],[Split_raw]]*MAX(0,MIN(_xlfn.DAYS(EDATE(Q$1,1),Log_2020[[#This Row],[Date]]),Log_2020[[#This Row],[Split_apply]])) - SUM($O186:P186)</f>
        <v>-19.992000000000004</v>
      </c>
      <c r="R186" s="37">
        <f ca="1">Log_2020[[#This Row],[Amount]]/Log_2020[[#This Row],[Split_raw]]*MAX(0,MIN(_xlfn.DAYS(EDATE(R$1,1),Log_2020[[#This Row],[Date]]),Log_2020[[#This Row],[Split_apply]])) - SUM($O186:Q186)</f>
        <v>0</v>
      </c>
      <c r="S186" s="37">
        <f ca="1">Log_2020[[#This Row],[Amount]]/Log_2020[[#This Row],[Split_raw]]*MAX(0,MIN(_xlfn.DAYS(EDATE(S$1,1),Log_2020[[#This Row],[Date]]),Log_2020[[#This Row],[Split_apply]])) - SUM($O186:R186)</f>
        <v>0</v>
      </c>
      <c r="T186" s="37">
        <f ca="1">Log_2020[[#This Row],[Amount]]/Log_2020[[#This Row],[Split_raw]]*MAX(0,MIN(_xlfn.DAYS(EDATE(T$1,1),Log_2020[[#This Row],[Date]]),Log_2020[[#This Row],[Split_apply]])) - SUM($O186:S186)</f>
        <v>0</v>
      </c>
      <c r="U186" s="37">
        <f ca="1">Log_2020[[#This Row],[Amount]]/Log_2020[[#This Row],[Split_raw]]*MAX(0,MIN(_xlfn.DAYS(EDATE(U$1,1),Log_2020[[#This Row],[Date]]),Log_2020[[#This Row],[Split_apply]])) - SUM($O186:T186)</f>
        <v>0</v>
      </c>
      <c r="V186" s="37">
        <f ca="1">Log_2020[[#This Row],[Amount]]/Log_2020[[#This Row],[Split_raw]]*MAX(0,MIN(_xlfn.DAYS(EDATE(V$1,1),Log_2020[[#This Row],[Date]]),Log_2020[[#This Row],[Split_apply]])) - SUM($O186:U186)</f>
        <v>0</v>
      </c>
      <c r="W186" s="37">
        <f ca="1">Log_2020[[#This Row],[Amount]]/Log_2020[[#This Row],[Split_raw]]*MAX(0,MIN(_xlfn.DAYS(EDATE(W$1,1),Log_2020[[#This Row],[Date]]),Log_2020[[#This Row],[Split_apply]])) - SUM($O186:V186)</f>
        <v>0</v>
      </c>
      <c r="X186" s="37">
        <f ca="1">Log_2020[[#This Row],[Amount]]/Log_2020[[#This Row],[Split_raw]]*MAX(0,MIN(_xlfn.DAYS(EDATE(X$1,1),Log_2020[[#This Row],[Date]]),Log_2020[[#This Row],[Split_apply]])) - SUM($O186:W186)</f>
        <v>0</v>
      </c>
      <c r="Y186" s="37">
        <f ca="1">Log_2020[[#This Row],[Amount]]/Log_2020[[#This Row],[Split_raw]]*MAX(0,MIN(_xlfn.DAYS(EDATE(Y$1,1),Log_2020[[#This Row],[Date]]),Log_2020[[#This Row],[Split_apply]])) - SUM($O186:X186)</f>
        <v>0</v>
      </c>
      <c r="Z186" s="37">
        <f ca="1">Log_2020[[#This Row],[Amount]]/Log_2020[[#This Row],[Split_raw]]*MAX(0,MIN(_xlfn.DAYS(EDATE(Z$1,1),Log_2020[[#This Row],[Date]]),Log_2020[[#This Row],[Split_apply]])) - SUM($O186:Y186)</f>
        <v>0</v>
      </c>
      <c r="AA186" s="37">
        <f ca="1">Log_2020[[#This Row],[Amount]]/Log_2020[[#This Row],[Split_raw]]*MAX(0,MIN(_xlfn.DAYS(EDATE(AA$1,1),Log_2020[[#This Row],[Date]]),Log_2020[[#This Row],[Split_apply]])) - SUM($O186:Z186)</f>
        <v>0</v>
      </c>
      <c r="AB186" s="59">
        <f ca="1">Log_2020[[#This Row],[Amount]]*Log_2020[[#This Row],[Split_apply]]/Log_2020[[#This Row],[Split_raw]]-SUM(O186:AA186)</f>
        <v>0</v>
      </c>
      <c r="AC186" s="7">
        <f>MAX(0,Log_2020[[#This Row],[Split_raw]] - (EDATE(AA$1,1)-Log_2020[[#This Row],[Date]]))</f>
        <v>0</v>
      </c>
    </row>
    <row r="187" spans="1:29" x14ac:dyDescent="0.25">
      <c r="A187" s="37"/>
      <c r="B187" s="34" t="s">
        <v>6</v>
      </c>
      <c r="C187" s="34"/>
      <c r="D187" s="35">
        <v>43838</v>
      </c>
      <c r="E187" s="34"/>
      <c r="F187" s="34" t="s">
        <v>674</v>
      </c>
      <c r="G187" s="34" t="s">
        <v>25</v>
      </c>
      <c r="H187">
        <v>-2.2599999999999998</v>
      </c>
      <c r="I187" s="36">
        <f>IF(Log_2020[[#This Row],[My Category]]="NONTRACKED",0,Log_2020[[#This Row],[Raw Amount]])</f>
        <v>-2.2599999999999998</v>
      </c>
      <c r="J187" s="37">
        <f>ABS(Log_2020[[#This Row],[Amount]])</f>
        <v>2.2599999999999998</v>
      </c>
      <c r="K187" s="38">
        <v>1</v>
      </c>
      <c r="L187" s="38">
        <f ca="1">IF(Log_2020[[#This Row],[Date]]&lt;=TODAY(), MIN(Log_2020[[#This Row],[Split_raw]], TODAY()-Log_2020[[#This Row],[Date]]+1), 0)</f>
        <v>1</v>
      </c>
      <c r="M187" s="34" t="s">
        <v>35</v>
      </c>
      <c r="N187" s="34" t="s">
        <v>158</v>
      </c>
      <c r="O187" s="7"/>
      <c r="P187" s="37">
        <f ca="1">Log_2020[[#This Row],[Amount]]/Log_2020[[#This Row],[Split_raw]]*MAX(0,MIN(_xlfn.DAYS(EDATE(P$1,1),Log_2020[[#This Row],[Date]]),Log_2020[[#This Row],[Split_apply]])) - SUM($O187:O187)</f>
        <v>-2.2599999999999998</v>
      </c>
      <c r="Q187" s="37">
        <f ca="1">Log_2020[[#This Row],[Amount]]/Log_2020[[#This Row],[Split_raw]]*MAX(0,MIN(_xlfn.DAYS(EDATE(Q$1,1),Log_2020[[#This Row],[Date]]),Log_2020[[#This Row],[Split_apply]])) - SUM($O187:P187)</f>
        <v>0</v>
      </c>
      <c r="R187" s="37">
        <f ca="1">Log_2020[[#This Row],[Amount]]/Log_2020[[#This Row],[Split_raw]]*MAX(0,MIN(_xlfn.DAYS(EDATE(R$1,1),Log_2020[[#This Row],[Date]]),Log_2020[[#This Row],[Split_apply]])) - SUM($O187:Q187)</f>
        <v>0</v>
      </c>
      <c r="S187" s="37">
        <f ca="1">Log_2020[[#This Row],[Amount]]/Log_2020[[#This Row],[Split_raw]]*MAX(0,MIN(_xlfn.DAYS(EDATE(S$1,1),Log_2020[[#This Row],[Date]]),Log_2020[[#This Row],[Split_apply]])) - SUM($O187:R187)</f>
        <v>0</v>
      </c>
      <c r="T187" s="37">
        <f ca="1">Log_2020[[#This Row],[Amount]]/Log_2020[[#This Row],[Split_raw]]*MAX(0,MIN(_xlfn.DAYS(EDATE(T$1,1),Log_2020[[#This Row],[Date]]),Log_2020[[#This Row],[Split_apply]])) - SUM($O187:S187)</f>
        <v>0</v>
      </c>
      <c r="U187" s="37">
        <f ca="1">Log_2020[[#This Row],[Amount]]/Log_2020[[#This Row],[Split_raw]]*MAX(0,MIN(_xlfn.DAYS(EDATE(U$1,1),Log_2020[[#This Row],[Date]]),Log_2020[[#This Row],[Split_apply]])) - SUM($O187:T187)</f>
        <v>0</v>
      </c>
      <c r="V187" s="37">
        <f ca="1">Log_2020[[#This Row],[Amount]]/Log_2020[[#This Row],[Split_raw]]*MAX(0,MIN(_xlfn.DAYS(EDATE(V$1,1),Log_2020[[#This Row],[Date]]),Log_2020[[#This Row],[Split_apply]])) - SUM($O187:U187)</f>
        <v>0</v>
      </c>
      <c r="W187" s="37">
        <f ca="1">Log_2020[[#This Row],[Amount]]/Log_2020[[#This Row],[Split_raw]]*MAX(0,MIN(_xlfn.DAYS(EDATE(W$1,1),Log_2020[[#This Row],[Date]]),Log_2020[[#This Row],[Split_apply]])) - SUM($O187:V187)</f>
        <v>0</v>
      </c>
      <c r="X187" s="37">
        <f ca="1">Log_2020[[#This Row],[Amount]]/Log_2020[[#This Row],[Split_raw]]*MAX(0,MIN(_xlfn.DAYS(EDATE(X$1,1),Log_2020[[#This Row],[Date]]),Log_2020[[#This Row],[Split_apply]])) - SUM($O187:W187)</f>
        <v>0</v>
      </c>
      <c r="Y187" s="37">
        <f ca="1">Log_2020[[#This Row],[Amount]]/Log_2020[[#This Row],[Split_raw]]*MAX(0,MIN(_xlfn.DAYS(EDATE(Y$1,1),Log_2020[[#This Row],[Date]]),Log_2020[[#This Row],[Split_apply]])) - SUM($O187:X187)</f>
        <v>0</v>
      </c>
      <c r="Z187" s="37">
        <f ca="1">Log_2020[[#This Row],[Amount]]/Log_2020[[#This Row],[Split_raw]]*MAX(0,MIN(_xlfn.DAYS(EDATE(Z$1,1),Log_2020[[#This Row],[Date]]),Log_2020[[#This Row],[Split_apply]])) - SUM($O187:Y187)</f>
        <v>0</v>
      </c>
      <c r="AA187" s="37">
        <f ca="1">Log_2020[[#This Row],[Amount]]/Log_2020[[#This Row],[Split_raw]]*MAX(0,MIN(_xlfn.DAYS(EDATE(AA$1,1),Log_2020[[#This Row],[Date]]),Log_2020[[#This Row],[Split_apply]])) - SUM($O187:Z187)</f>
        <v>0</v>
      </c>
      <c r="AB187" s="59">
        <f ca="1">Log_2020[[#This Row],[Amount]]*Log_2020[[#This Row],[Split_apply]]/Log_2020[[#This Row],[Split_raw]]-SUM(O187:AA187)</f>
        <v>0</v>
      </c>
      <c r="AC187" s="7">
        <f>MAX(0,Log_2020[[#This Row],[Split_raw]] - (EDATE(AA$1,1)-Log_2020[[#This Row],[Date]]))</f>
        <v>0</v>
      </c>
    </row>
    <row r="188" spans="1:29" x14ac:dyDescent="0.25">
      <c r="A188" s="37"/>
      <c r="B188" s="34" t="s">
        <v>6</v>
      </c>
      <c r="C188" s="34"/>
      <c r="D188" s="35">
        <v>43838</v>
      </c>
      <c r="E188" s="34"/>
      <c r="F188" s="34" t="s">
        <v>59</v>
      </c>
      <c r="G188" s="34" t="s">
        <v>25</v>
      </c>
      <c r="H188">
        <v>-8.94</v>
      </c>
      <c r="I188" s="36">
        <f>IF(Log_2020[[#This Row],[My Category]]="NONTRACKED",0,Log_2020[[#This Row],[Raw Amount]])</f>
        <v>-8.94</v>
      </c>
      <c r="J188" s="37">
        <f>ABS(Log_2020[[#This Row],[Amount]])</f>
        <v>8.94</v>
      </c>
      <c r="K188" s="38">
        <v>1</v>
      </c>
      <c r="L188" s="38">
        <f ca="1">IF(Log_2020[[#This Row],[Date]]&lt;=TODAY(), MIN(Log_2020[[#This Row],[Split_raw]], TODAY()-Log_2020[[#This Row],[Date]]+1), 0)</f>
        <v>1</v>
      </c>
      <c r="M188" s="34" t="s">
        <v>35</v>
      </c>
      <c r="N188" s="34" t="s">
        <v>158</v>
      </c>
      <c r="O188" s="7"/>
      <c r="P188" s="37">
        <f ca="1">Log_2020[[#This Row],[Amount]]/Log_2020[[#This Row],[Split_raw]]*MAX(0,MIN(_xlfn.DAYS(EDATE(P$1,1),Log_2020[[#This Row],[Date]]),Log_2020[[#This Row],[Split_apply]])) - SUM($O188:O188)</f>
        <v>-8.94</v>
      </c>
      <c r="Q188" s="37">
        <f ca="1">Log_2020[[#This Row],[Amount]]/Log_2020[[#This Row],[Split_raw]]*MAX(0,MIN(_xlfn.DAYS(EDATE(Q$1,1),Log_2020[[#This Row],[Date]]),Log_2020[[#This Row],[Split_apply]])) - SUM($O188:P188)</f>
        <v>0</v>
      </c>
      <c r="R188" s="37">
        <f ca="1">Log_2020[[#This Row],[Amount]]/Log_2020[[#This Row],[Split_raw]]*MAX(0,MIN(_xlfn.DAYS(EDATE(R$1,1),Log_2020[[#This Row],[Date]]),Log_2020[[#This Row],[Split_apply]])) - SUM($O188:Q188)</f>
        <v>0</v>
      </c>
      <c r="S188" s="37">
        <f ca="1">Log_2020[[#This Row],[Amount]]/Log_2020[[#This Row],[Split_raw]]*MAX(0,MIN(_xlfn.DAYS(EDATE(S$1,1),Log_2020[[#This Row],[Date]]),Log_2020[[#This Row],[Split_apply]])) - SUM($O188:R188)</f>
        <v>0</v>
      </c>
      <c r="T188" s="37">
        <f ca="1">Log_2020[[#This Row],[Amount]]/Log_2020[[#This Row],[Split_raw]]*MAX(0,MIN(_xlfn.DAYS(EDATE(T$1,1),Log_2020[[#This Row],[Date]]),Log_2020[[#This Row],[Split_apply]])) - SUM($O188:S188)</f>
        <v>0</v>
      </c>
      <c r="U188" s="37">
        <f ca="1">Log_2020[[#This Row],[Amount]]/Log_2020[[#This Row],[Split_raw]]*MAX(0,MIN(_xlfn.DAYS(EDATE(U$1,1),Log_2020[[#This Row],[Date]]),Log_2020[[#This Row],[Split_apply]])) - SUM($O188:T188)</f>
        <v>0</v>
      </c>
      <c r="V188" s="37">
        <f ca="1">Log_2020[[#This Row],[Amount]]/Log_2020[[#This Row],[Split_raw]]*MAX(0,MIN(_xlfn.DAYS(EDATE(V$1,1),Log_2020[[#This Row],[Date]]),Log_2020[[#This Row],[Split_apply]])) - SUM($O188:U188)</f>
        <v>0</v>
      </c>
      <c r="W188" s="37">
        <f ca="1">Log_2020[[#This Row],[Amount]]/Log_2020[[#This Row],[Split_raw]]*MAX(0,MIN(_xlfn.DAYS(EDATE(W$1,1),Log_2020[[#This Row],[Date]]),Log_2020[[#This Row],[Split_apply]])) - SUM($O188:V188)</f>
        <v>0</v>
      </c>
      <c r="X188" s="37">
        <f ca="1">Log_2020[[#This Row],[Amount]]/Log_2020[[#This Row],[Split_raw]]*MAX(0,MIN(_xlfn.DAYS(EDATE(X$1,1),Log_2020[[#This Row],[Date]]),Log_2020[[#This Row],[Split_apply]])) - SUM($O188:W188)</f>
        <v>0</v>
      </c>
      <c r="Y188" s="37">
        <f ca="1">Log_2020[[#This Row],[Amount]]/Log_2020[[#This Row],[Split_raw]]*MAX(0,MIN(_xlfn.DAYS(EDATE(Y$1,1),Log_2020[[#This Row],[Date]]),Log_2020[[#This Row],[Split_apply]])) - SUM($O188:X188)</f>
        <v>0</v>
      </c>
      <c r="Z188" s="37">
        <f ca="1">Log_2020[[#This Row],[Amount]]/Log_2020[[#This Row],[Split_raw]]*MAX(0,MIN(_xlfn.DAYS(EDATE(Z$1,1),Log_2020[[#This Row],[Date]]),Log_2020[[#This Row],[Split_apply]])) - SUM($O188:Y188)</f>
        <v>0</v>
      </c>
      <c r="AA188" s="37">
        <f ca="1">Log_2020[[#This Row],[Amount]]/Log_2020[[#This Row],[Split_raw]]*MAX(0,MIN(_xlfn.DAYS(EDATE(AA$1,1),Log_2020[[#This Row],[Date]]),Log_2020[[#This Row],[Split_apply]])) - SUM($O188:Z188)</f>
        <v>0</v>
      </c>
      <c r="AB188" s="59">
        <f ca="1">Log_2020[[#This Row],[Amount]]*Log_2020[[#This Row],[Split_apply]]/Log_2020[[#This Row],[Split_raw]]-SUM(O188:AA188)</f>
        <v>0</v>
      </c>
      <c r="AC188" s="7">
        <f>MAX(0,Log_2020[[#This Row],[Split_raw]] - (EDATE(AA$1,1)-Log_2020[[#This Row],[Date]]))</f>
        <v>0</v>
      </c>
    </row>
    <row r="189" spans="1:29" x14ac:dyDescent="0.25">
      <c r="A189" s="37"/>
      <c r="B189" s="34" t="s">
        <v>6</v>
      </c>
      <c r="C189" s="34"/>
      <c r="D189" s="35">
        <v>43837</v>
      </c>
      <c r="E189" s="34"/>
      <c r="F189" s="34" t="s">
        <v>255</v>
      </c>
      <c r="G189" s="34" t="s">
        <v>12</v>
      </c>
      <c r="H189">
        <v>-11.89</v>
      </c>
      <c r="I189" s="36">
        <f>IF(Log_2020[[#This Row],[My Category]]="NONTRACKED",0,Log_2020[[#This Row],[Raw Amount]])</f>
        <v>-11.89</v>
      </c>
      <c r="J189" s="37">
        <f>ABS(Log_2020[[#This Row],[Amount]])</f>
        <v>11.89</v>
      </c>
      <c r="K189" s="38">
        <v>1</v>
      </c>
      <c r="L189" s="38">
        <f ca="1">IF(Log_2020[[#This Row],[Date]]&lt;=TODAY(), MIN(Log_2020[[#This Row],[Split_raw]], TODAY()-Log_2020[[#This Row],[Date]]+1), 0)</f>
        <v>1</v>
      </c>
      <c r="M189" s="34" t="s">
        <v>35</v>
      </c>
      <c r="N189" s="34" t="s">
        <v>158</v>
      </c>
      <c r="O189" s="7"/>
      <c r="P189" s="37">
        <f ca="1">Log_2020[[#This Row],[Amount]]/Log_2020[[#This Row],[Split_raw]]*MAX(0,MIN(_xlfn.DAYS(EDATE(P$1,1),Log_2020[[#This Row],[Date]]),Log_2020[[#This Row],[Split_apply]])) - SUM($O189:O189)</f>
        <v>-11.89</v>
      </c>
      <c r="Q189" s="37">
        <f ca="1">Log_2020[[#This Row],[Amount]]/Log_2020[[#This Row],[Split_raw]]*MAX(0,MIN(_xlfn.DAYS(EDATE(Q$1,1),Log_2020[[#This Row],[Date]]),Log_2020[[#This Row],[Split_apply]])) - SUM($O189:P189)</f>
        <v>0</v>
      </c>
      <c r="R189" s="37">
        <f ca="1">Log_2020[[#This Row],[Amount]]/Log_2020[[#This Row],[Split_raw]]*MAX(0,MIN(_xlfn.DAYS(EDATE(R$1,1),Log_2020[[#This Row],[Date]]),Log_2020[[#This Row],[Split_apply]])) - SUM($O189:Q189)</f>
        <v>0</v>
      </c>
      <c r="S189" s="37">
        <f ca="1">Log_2020[[#This Row],[Amount]]/Log_2020[[#This Row],[Split_raw]]*MAX(0,MIN(_xlfn.DAYS(EDATE(S$1,1),Log_2020[[#This Row],[Date]]),Log_2020[[#This Row],[Split_apply]])) - SUM($O189:R189)</f>
        <v>0</v>
      </c>
      <c r="T189" s="37">
        <f ca="1">Log_2020[[#This Row],[Amount]]/Log_2020[[#This Row],[Split_raw]]*MAX(0,MIN(_xlfn.DAYS(EDATE(T$1,1),Log_2020[[#This Row],[Date]]),Log_2020[[#This Row],[Split_apply]])) - SUM($O189:S189)</f>
        <v>0</v>
      </c>
      <c r="U189" s="37">
        <f ca="1">Log_2020[[#This Row],[Amount]]/Log_2020[[#This Row],[Split_raw]]*MAX(0,MIN(_xlfn.DAYS(EDATE(U$1,1),Log_2020[[#This Row],[Date]]),Log_2020[[#This Row],[Split_apply]])) - SUM($O189:T189)</f>
        <v>0</v>
      </c>
      <c r="V189" s="37">
        <f ca="1">Log_2020[[#This Row],[Amount]]/Log_2020[[#This Row],[Split_raw]]*MAX(0,MIN(_xlfn.DAYS(EDATE(V$1,1),Log_2020[[#This Row],[Date]]),Log_2020[[#This Row],[Split_apply]])) - SUM($O189:U189)</f>
        <v>0</v>
      </c>
      <c r="W189" s="37">
        <f ca="1">Log_2020[[#This Row],[Amount]]/Log_2020[[#This Row],[Split_raw]]*MAX(0,MIN(_xlfn.DAYS(EDATE(W$1,1),Log_2020[[#This Row],[Date]]),Log_2020[[#This Row],[Split_apply]])) - SUM($O189:V189)</f>
        <v>0</v>
      </c>
      <c r="X189" s="37">
        <f ca="1">Log_2020[[#This Row],[Amount]]/Log_2020[[#This Row],[Split_raw]]*MAX(0,MIN(_xlfn.DAYS(EDATE(X$1,1),Log_2020[[#This Row],[Date]]),Log_2020[[#This Row],[Split_apply]])) - SUM($O189:W189)</f>
        <v>0</v>
      </c>
      <c r="Y189" s="37">
        <f ca="1">Log_2020[[#This Row],[Amount]]/Log_2020[[#This Row],[Split_raw]]*MAX(0,MIN(_xlfn.DAYS(EDATE(Y$1,1),Log_2020[[#This Row],[Date]]),Log_2020[[#This Row],[Split_apply]])) - SUM($O189:X189)</f>
        <v>0</v>
      </c>
      <c r="Z189" s="37">
        <f ca="1">Log_2020[[#This Row],[Amount]]/Log_2020[[#This Row],[Split_raw]]*MAX(0,MIN(_xlfn.DAYS(EDATE(Z$1,1),Log_2020[[#This Row],[Date]]),Log_2020[[#This Row],[Split_apply]])) - SUM($O189:Y189)</f>
        <v>0</v>
      </c>
      <c r="AA189" s="37">
        <f ca="1">Log_2020[[#This Row],[Amount]]/Log_2020[[#This Row],[Split_raw]]*MAX(0,MIN(_xlfn.DAYS(EDATE(AA$1,1),Log_2020[[#This Row],[Date]]),Log_2020[[#This Row],[Split_apply]])) - SUM($O189:Z189)</f>
        <v>0</v>
      </c>
      <c r="AB189" s="59">
        <f ca="1">Log_2020[[#This Row],[Amount]]*Log_2020[[#This Row],[Split_apply]]/Log_2020[[#This Row],[Split_raw]]-SUM(O189:AA189)</f>
        <v>0</v>
      </c>
      <c r="AC189" s="7">
        <f>MAX(0,Log_2020[[#This Row],[Split_raw]] - (EDATE(AA$1,1)-Log_2020[[#This Row],[Date]]))</f>
        <v>0</v>
      </c>
    </row>
    <row r="190" spans="1:29" x14ac:dyDescent="0.25">
      <c r="A190" s="37"/>
      <c r="B190" s="34" t="s">
        <v>6</v>
      </c>
      <c r="C190" s="34"/>
      <c r="D190" s="35">
        <v>43836</v>
      </c>
      <c r="E190" s="34"/>
      <c r="F190" s="34" t="s">
        <v>255</v>
      </c>
      <c r="G190" s="34" t="s">
        <v>12</v>
      </c>
      <c r="H190">
        <v>-2.96</v>
      </c>
      <c r="I190" s="36">
        <f>IF(Log_2020[[#This Row],[My Category]]="NONTRACKED",0,Log_2020[[#This Row],[Raw Amount]])</f>
        <v>-2.96</v>
      </c>
      <c r="J190" s="37">
        <f>ABS(Log_2020[[#This Row],[Amount]])</f>
        <v>2.96</v>
      </c>
      <c r="K190" s="38">
        <v>1</v>
      </c>
      <c r="L190" s="38">
        <f ca="1">IF(Log_2020[[#This Row],[Date]]&lt;=TODAY(), MIN(Log_2020[[#This Row],[Split_raw]], TODAY()-Log_2020[[#This Row],[Date]]+1), 0)</f>
        <v>1</v>
      </c>
      <c r="M190" s="34" t="s">
        <v>35</v>
      </c>
      <c r="N190" s="34" t="s">
        <v>158</v>
      </c>
      <c r="O190" s="7"/>
      <c r="P190" s="37">
        <f ca="1">Log_2020[[#This Row],[Amount]]/Log_2020[[#This Row],[Split_raw]]*MAX(0,MIN(_xlfn.DAYS(EDATE(P$1,1),Log_2020[[#This Row],[Date]]),Log_2020[[#This Row],[Split_apply]])) - SUM($O190:O190)</f>
        <v>-2.96</v>
      </c>
      <c r="Q190" s="37">
        <f ca="1">Log_2020[[#This Row],[Amount]]/Log_2020[[#This Row],[Split_raw]]*MAX(0,MIN(_xlfn.DAYS(EDATE(Q$1,1),Log_2020[[#This Row],[Date]]),Log_2020[[#This Row],[Split_apply]])) - SUM($O190:P190)</f>
        <v>0</v>
      </c>
      <c r="R190" s="37">
        <f ca="1">Log_2020[[#This Row],[Amount]]/Log_2020[[#This Row],[Split_raw]]*MAX(0,MIN(_xlfn.DAYS(EDATE(R$1,1),Log_2020[[#This Row],[Date]]),Log_2020[[#This Row],[Split_apply]])) - SUM($O190:Q190)</f>
        <v>0</v>
      </c>
      <c r="S190" s="37">
        <f ca="1">Log_2020[[#This Row],[Amount]]/Log_2020[[#This Row],[Split_raw]]*MAX(0,MIN(_xlfn.DAYS(EDATE(S$1,1),Log_2020[[#This Row],[Date]]),Log_2020[[#This Row],[Split_apply]])) - SUM($O190:R190)</f>
        <v>0</v>
      </c>
      <c r="T190" s="37">
        <f ca="1">Log_2020[[#This Row],[Amount]]/Log_2020[[#This Row],[Split_raw]]*MAX(0,MIN(_xlfn.DAYS(EDATE(T$1,1),Log_2020[[#This Row],[Date]]),Log_2020[[#This Row],[Split_apply]])) - SUM($O190:S190)</f>
        <v>0</v>
      </c>
      <c r="U190" s="37">
        <f ca="1">Log_2020[[#This Row],[Amount]]/Log_2020[[#This Row],[Split_raw]]*MAX(0,MIN(_xlfn.DAYS(EDATE(U$1,1),Log_2020[[#This Row],[Date]]),Log_2020[[#This Row],[Split_apply]])) - SUM($O190:T190)</f>
        <v>0</v>
      </c>
      <c r="V190" s="37">
        <f ca="1">Log_2020[[#This Row],[Amount]]/Log_2020[[#This Row],[Split_raw]]*MAX(0,MIN(_xlfn.DAYS(EDATE(V$1,1),Log_2020[[#This Row],[Date]]),Log_2020[[#This Row],[Split_apply]])) - SUM($O190:U190)</f>
        <v>0</v>
      </c>
      <c r="W190" s="37">
        <f ca="1">Log_2020[[#This Row],[Amount]]/Log_2020[[#This Row],[Split_raw]]*MAX(0,MIN(_xlfn.DAYS(EDATE(W$1,1),Log_2020[[#This Row],[Date]]),Log_2020[[#This Row],[Split_apply]])) - SUM($O190:V190)</f>
        <v>0</v>
      </c>
      <c r="X190" s="37">
        <f ca="1">Log_2020[[#This Row],[Amount]]/Log_2020[[#This Row],[Split_raw]]*MAX(0,MIN(_xlfn.DAYS(EDATE(X$1,1),Log_2020[[#This Row],[Date]]),Log_2020[[#This Row],[Split_apply]])) - SUM($O190:W190)</f>
        <v>0</v>
      </c>
      <c r="Y190" s="37">
        <f ca="1">Log_2020[[#This Row],[Amount]]/Log_2020[[#This Row],[Split_raw]]*MAX(0,MIN(_xlfn.DAYS(EDATE(Y$1,1),Log_2020[[#This Row],[Date]]),Log_2020[[#This Row],[Split_apply]])) - SUM($O190:X190)</f>
        <v>0</v>
      </c>
      <c r="Z190" s="37">
        <f ca="1">Log_2020[[#This Row],[Amount]]/Log_2020[[#This Row],[Split_raw]]*MAX(0,MIN(_xlfn.DAYS(EDATE(Z$1,1),Log_2020[[#This Row],[Date]]),Log_2020[[#This Row],[Split_apply]])) - SUM($O190:Y190)</f>
        <v>0</v>
      </c>
      <c r="AA190" s="37">
        <f ca="1">Log_2020[[#This Row],[Amount]]/Log_2020[[#This Row],[Split_raw]]*MAX(0,MIN(_xlfn.DAYS(EDATE(AA$1,1),Log_2020[[#This Row],[Date]]),Log_2020[[#This Row],[Split_apply]])) - SUM($O190:Z190)</f>
        <v>0</v>
      </c>
      <c r="AB190" s="59">
        <f ca="1">Log_2020[[#This Row],[Amount]]*Log_2020[[#This Row],[Split_apply]]/Log_2020[[#This Row],[Split_raw]]-SUM(O190:AA190)</f>
        <v>0</v>
      </c>
      <c r="AC190" s="7">
        <f>MAX(0,Log_2020[[#This Row],[Split_raw]] - (EDATE(AA$1,1)-Log_2020[[#This Row],[Date]]))</f>
        <v>0</v>
      </c>
    </row>
    <row r="191" spans="1:29" x14ac:dyDescent="0.25">
      <c r="A191" s="37"/>
      <c r="B191" s="34" t="s">
        <v>6</v>
      </c>
      <c r="C191" s="34"/>
      <c r="D191" s="35">
        <v>43836</v>
      </c>
      <c r="E191" s="34"/>
      <c r="F191" s="34" t="s">
        <v>620</v>
      </c>
      <c r="G191" s="34" t="s">
        <v>189</v>
      </c>
      <c r="H191">
        <v>-30.07</v>
      </c>
      <c r="I191" s="36">
        <f>IF(Log_2020[[#This Row],[My Category]]="NONTRACKED",0,Log_2020[[#This Row],[Raw Amount]])</f>
        <v>-30.07</v>
      </c>
      <c r="J191" s="37">
        <f>ABS(Log_2020[[#This Row],[Amount]])</f>
        <v>30.07</v>
      </c>
      <c r="K191" s="38">
        <v>30</v>
      </c>
      <c r="L191" s="38">
        <f ca="1">IF(Log_2020[[#This Row],[Date]]&lt;=TODAY(), MIN(Log_2020[[#This Row],[Split_raw]], TODAY()-Log_2020[[#This Row],[Date]]+1), 0)</f>
        <v>30</v>
      </c>
      <c r="M191" s="34" t="s">
        <v>29</v>
      </c>
      <c r="N191" s="34" t="s">
        <v>158</v>
      </c>
      <c r="O191" s="7"/>
      <c r="P191" s="37">
        <f ca="1">Log_2020[[#This Row],[Amount]]/Log_2020[[#This Row],[Split_raw]]*MAX(0,MIN(_xlfn.DAYS(EDATE(P$1,1),Log_2020[[#This Row],[Date]]),Log_2020[[#This Row],[Split_apply]])) - SUM($O191:O191)</f>
        <v>-26.060666666666666</v>
      </c>
      <c r="Q191" s="37">
        <f ca="1">Log_2020[[#This Row],[Amount]]/Log_2020[[#This Row],[Split_raw]]*MAX(0,MIN(_xlfn.DAYS(EDATE(Q$1,1),Log_2020[[#This Row],[Date]]),Log_2020[[#This Row],[Split_apply]])) - SUM($O191:P191)</f>
        <v>-4.0093333333333341</v>
      </c>
      <c r="R191" s="37">
        <f ca="1">Log_2020[[#This Row],[Amount]]/Log_2020[[#This Row],[Split_raw]]*MAX(0,MIN(_xlfn.DAYS(EDATE(R$1,1),Log_2020[[#This Row],[Date]]),Log_2020[[#This Row],[Split_apply]])) - SUM($O191:Q191)</f>
        <v>0</v>
      </c>
      <c r="S191" s="37">
        <f ca="1">Log_2020[[#This Row],[Amount]]/Log_2020[[#This Row],[Split_raw]]*MAX(0,MIN(_xlfn.DAYS(EDATE(S$1,1),Log_2020[[#This Row],[Date]]),Log_2020[[#This Row],[Split_apply]])) - SUM($O191:R191)</f>
        <v>0</v>
      </c>
      <c r="T191" s="37">
        <f ca="1">Log_2020[[#This Row],[Amount]]/Log_2020[[#This Row],[Split_raw]]*MAX(0,MIN(_xlfn.DAYS(EDATE(T$1,1),Log_2020[[#This Row],[Date]]),Log_2020[[#This Row],[Split_apply]])) - SUM($O191:S191)</f>
        <v>0</v>
      </c>
      <c r="U191" s="37">
        <f ca="1">Log_2020[[#This Row],[Amount]]/Log_2020[[#This Row],[Split_raw]]*MAX(0,MIN(_xlfn.DAYS(EDATE(U$1,1),Log_2020[[#This Row],[Date]]),Log_2020[[#This Row],[Split_apply]])) - SUM($O191:T191)</f>
        <v>0</v>
      </c>
      <c r="V191" s="37">
        <f ca="1">Log_2020[[#This Row],[Amount]]/Log_2020[[#This Row],[Split_raw]]*MAX(0,MIN(_xlfn.DAYS(EDATE(V$1,1),Log_2020[[#This Row],[Date]]),Log_2020[[#This Row],[Split_apply]])) - SUM($O191:U191)</f>
        <v>0</v>
      </c>
      <c r="W191" s="37">
        <f ca="1">Log_2020[[#This Row],[Amount]]/Log_2020[[#This Row],[Split_raw]]*MAX(0,MIN(_xlfn.DAYS(EDATE(W$1,1),Log_2020[[#This Row],[Date]]),Log_2020[[#This Row],[Split_apply]])) - SUM($O191:V191)</f>
        <v>0</v>
      </c>
      <c r="X191" s="37">
        <f ca="1">Log_2020[[#This Row],[Amount]]/Log_2020[[#This Row],[Split_raw]]*MAX(0,MIN(_xlfn.DAYS(EDATE(X$1,1),Log_2020[[#This Row],[Date]]),Log_2020[[#This Row],[Split_apply]])) - SUM($O191:W191)</f>
        <v>0</v>
      </c>
      <c r="Y191" s="37">
        <f ca="1">Log_2020[[#This Row],[Amount]]/Log_2020[[#This Row],[Split_raw]]*MAX(0,MIN(_xlfn.DAYS(EDATE(Y$1,1),Log_2020[[#This Row],[Date]]),Log_2020[[#This Row],[Split_apply]])) - SUM($O191:X191)</f>
        <v>0</v>
      </c>
      <c r="Z191" s="37">
        <f ca="1">Log_2020[[#This Row],[Amount]]/Log_2020[[#This Row],[Split_raw]]*MAX(0,MIN(_xlfn.DAYS(EDATE(Z$1,1),Log_2020[[#This Row],[Date]]),Log_2020[[#This Row],[Split_apply]])) - SUM($O191:Y191)</f>
        <v>0</v>
      </c>
      <c r="AA191" s="37">
        <f ca="1">Log_2020[[#This Row],[Amount]]/Log_2020[[#This Row],[Split_raw]]*MAX(0,MIN(_xlfn.DAYS(EDATE(AA$1,1),Log_2020[[#This Row],[Date]]),Log_2020[[#This Row],[Split_apply]])) - SUM($O191:Z191)</f>
        <v>0</v>
      </c>
      <c r="AB191" s="59">
        <f ca="1">Log_2020[[#This Row],[Amount]]*Log_2020[[#This Row],[Split_apply]]/Log_2020[[#This Row],[Split_raw]]-SUM(O191:AA191)</f>
        <v>0</v>
      </c>
      <c r="AC191" s="7">
        <f>MAX(0,Log_2020[[#This Row],[Split_raw]] - (EDATE(AA$1,1)-Log_2020[[#This Row],[Date]]))</f>
        <v>0</v>
      </c>
    </row>
    <row r="192" spans="1:29" x14ac:dyDescent="0.25">
      <c r="A192" s="37"/>
      <c r="B192" s="34" t="s">
        <v>6</v>
      </c>
      <c r="C192" s="34"/>
      <c r="D192" s="35">
        <v>43836</v>
      </c>
      <c r="E192" s="34" t="s">
        <v>850</v>
      </c>
      <c r="F192" s="34" t="s">
        <v>861</v>
      </c>
      <c r="G192" s="34" t="s">
        <v>210</v>
      </c>
      <c r="H192">
        <v>-30.23</v>
      </c>
      <c r="I192" s="36">
        <f>IF(Log_2020[[#This Row],[My Category]]="NONTRACKED",0,Log_2020[[#This Row],[Raw Amount]])</f>
        <v>-30.23</v>
      </c>
      <c r="J192" s="37">
        <f>ABS(Log_2020[[#This Row],[Amount]])</f>
        <v>30.23</v>
      </c>
      <c r="K192" s="38">
        <v>1</v>
      </c>
      <c r="L192" s="38">
        <f ca="1">IF(Log_2020[[#This Row],[Date]]&lt;=TODAY(), MIN(Log_2020[[#This Row],[Split_raw]], TODAY()-Log_2020[[#This Row],[Date]]+1), 0)</f>
        <v>1</v>
      </c>
      <c r="M192" s="34" t="s">
        <v>145</v>
      </c>
      <c r="N192" s="34" t="s">
        <v>158</v>
      </c>
      <c r="O192" s="7"/>
      <c r="P192" s="37">
        <f ca="1">Log_2020[[#This Row],[Amount]]/Log_2020[[#This Row],[Split_raw]]*MAX(0,MIN(_xlfn.DAYS(EDATE(P$1,1),Log_2020[[#This Row],[Date]]),Log_2020[[#This Row],[Split_apply]])) - SUM($O192:O192)</f>
        <v>-30.23</v>
      </c>
      <c r="Q192" s="37">
        <f ca="1">Log_2020[[#This Row],[Amount]]/Log_2020[[#This Row],[Split_raw]]*MAX(0,MIN(_xlfn.DAYS(EDATE(Q$1,1),Log_2020[[#This Row],[Date]]),Log_2020[[#This Row],[Split_apply]])) - SUM($O192:P192)</f>
        <v>0</v>
      </c>
      <c r="R192" s="37">
        <f ca="1">Log_2020[[#This Row],[Amount]]/Log_2020[[#This Row],[Split_raw]]*MAX(0,MIN(_xlfn.DAYS(EDATE(R$1,1),Log_2020[[#This Row],[Date]]),Log_2020[[#This Row],[Split_apply]])) - SUM($O192:Q192)</f>
        <v>0</v>
      </c>
      <c r="S192" s="37">
        <f ca="1">Log_2020[[#This Row],[Amount]]/Log_2020[[#This Row],[Split_raw]]*MAX(0,MIN(_xlfn.DAYS(EDATE(S$1,1),Log_2020[[#This Row],[Date]]),Log_2020[[#This Row],[Split_apply]])) - SUM($O192:R192)</f>
        <v>0</v>
      </c>
      <c r="T192" s="37">
        <f ca="1">Log_2020[[#This Row],[Amount]]/Log_2020[[#This Row],[Split_raw]]*MAX(0,MIN(_xlfn.DAYS(EDATE(T$1,1),Log_2020[[#This Row],[Date]]),Log_2020[[#This Row],[Split_apply]])) - SUM($O192:S192)</f>
        <v>0</v>
      </c>
      <c r="U192" s="37">
        <f ca="1">Log_2020[[#This Row],[Amount]]/Log_2020[[#This Row],[Split_raw]]*MAX(0,MIN(_xlfn.DAYS(EDATE(U$1,1),Log_2020[[#This Row],[Date]]),Log_2020[[#This Row],[Split_apply]])) - SUM($O192:T192)</f>
        <v>0</v>
      </c>
      <c r="V192" s="37">
        <f ca="1">Log_2020[[#This Row],[Amount]]/Log_2020[[#This Row],[Split_raw]]*MAX(0,MIN(_xlfn.DAYS(EDATE(V$1,1),Log_2020[[#This Row],[Date]]),Log_2020[[#This Row],[Split_apply]])) - SUM($O192:U192)</f>
        <v>0</v>
      </c>
      <c r="W192" s="37">
        <f ca="1">Log_2020[[#This Row],[Amount]]/Log_2020[[#This Row],[Split_raw]]*MAX(0,MIN(_xlfn.DAYS(EDATE(W$1,1),Log_2020[[#This Row],[Date]]),Log_2020[[#This Row],[Split_apply]])) - SUM($O192:V192)</f>
        <v>0</v>
      </c>
      <c r="X192" s="37">
        <f ca="1">Log_2020[[#This Row],[Amount]]/Log_2020[[#This Row],[Split_raw]]*MAX(0,MIN(_xlfn.DAYS(EDATE(X$1,1),Log_2020[[#This Row],[Date]]),Log_2020[[#This Row],[Split_apply]])) - SUM($O192:W192)</f>
        <v>0</v>
      </c>
      <c r="Y192" s="37">
        <f ca="1">Log_2020[[#This Row],[Amount]]/Log_2020[[#This Row],[Split_raw]]*MAX(0,MIN(_xlfn.DAYS(EDATE(Y$1,1),Log_2020[[#This Row],[Date]]),Log_2020[[#This Row],[Split_apply]])) - SUM($O192:X192)</f>
        <v>0</v>
      </c>
      <c r="Z192" s="37">
        <f ca="1">Log_2020[[#This Row],[Amount]]/Log_2020[[#This Row],[Split_raw]]*MAX(0,MIN(_xlfn.DAYS(EDATE(Z$1,1),Log_2020[[#This Row],[Date]]),Log_2020[[#This Row],[Split_apply]])) - SUM($O192:Y192)</f>
        <v>0</v>
      </c>
      <c r="AA192" s="37">
        <f ca="1">Log_2020[[#This Row],[Amount]]/Log_2020[[#This Row],[Split_raw]]*MAX(0,MIN(_xlfn.DAYS(EDATE(AA$1,1),Log_2020[[#This Row],[Date]]),Log_2020[[#This Row],[Split_apply]])) - SUM($O192:Z192)</f>
        <v>0</v>
      </c>
      <c r="AB192" s="59">
        <f ca="1">Log_2020[[#This Row],[Amount]]*Log_2020[[#This Row],[Split_apply]]/Log_2020[[#This Row],[Split_raw]]-SUM(O192:AA192)</f>
        <v>0</v>
      </c>
      <c r="AC192" s="7">
        <f>MAX(0,Log_2020[[#This Row],[Split_raw]] - (EDATE(AA$1,1)-Log_2020[[#This Row],[Date]]))</f>
        <v>0</v>
      </c>
    </row>
    <row r="193" spans="1:29" x14ac:dyDescent="0.25">
      <c r="A193" s="37"/>
      <c r="B193" s="34" t="s">
        <v>6</v>
      </c>
      <c r="C193" s="34"/>
      <c r="D193" s="35">
        <v>43834</v>
      </c>
      <c r="E193" s="34" t="s">
        <v>872</v>
      </c>
      <c r="F193" s="34" t="s">
        <v>862</v>
      </c>
      <c r="G193" s="34" t="s">
        <v>22</v>
      </c>
      <c r="H193">
        <v>-21</v>
      </c>
      <c r="I193" s="36">
        <f>IF(Log_2020[[#This Row],[My Category]]="NONTRACKED",0,Log_2020[[#This Row],[Raw Amount]])</f>
        <v>-21</v>
      </c>
      <c r="J193" s="37">
        <f>ABS(Log_2020[[#This Row],[Amount]])</f>
        <v>21</v>
      </c>
      <c r="K193" s="38">
        <v>1</v>
      </c>
      <c r="L193" s="38">
        <f ca="1">IF(Log_2020[[#This Row],[Date]]&lt;=TODAY(), MIN(Log_2020[[#This Row],[Split_raw]], TODAY()-Log_2020[[#This Row],[Date]]+1), 0)</f>
        <v>1</v>
      </c>
      <c r="M193" s="34" t="s">
        <v>366</v>
      </c>
      <c r="N193" s="34" t="s">
        <v>158</v>
      </c>
      <c r="O193" s="7"/>
      <c r="P193" s="37">
        <f ca="1">Log_2020[[#This Row],[Amount]]/Log_2020[[#This Row],[Split_raw]]*MAX(0,MIN(_xlfn.DAYS(EDATE(P$1,1),Log_2020[[#This Row],[Date]]),Log_2020[[#This Row],[Split_apply]])) - SUM($O193:O193)</f>
        <v>-21</v>
      </c>
      <c r="Q193" s="37">
        <f ca="1">Log_2020[[#This Row],[Amount]]/Log_2020[[#This Row],[Split_raw]]*MAX(0,MIN(_xlfn.DAYS(EDATE(Q$1,1),Log_2020[[#This Row],[Date]]),Log_2020[[#This Row],[Split_apply]])) - SUM($O193:P193)</f>
        <v>0</v>
      </c>
      <c r="R193" s="37">
        <f ca="1">Log_2020[[#This Row],[Amount]]/Log_2020[[#This Row],[Split_raw]]*MAX(0,MIN(_xlfn.DAYS(EDATE(R$1,1),Log_2020[[#This Row],[Date]]),Log_2020[[#This Row],[Split_apply]])) - SUM($O193:Q193)</f>
        <v>0</v>
      </c>
      <c r="S193" s="37">
        <f ca="1">Log_2020[[#This Row],[Amount]]/Log_2020[[#This Row],[Split_raw]]*MAX(0,MIN(_xlfn.DAYS(EDATE(S$1,1),Log_2020[[#This Row],[Date]]),Log_2020[[#This Row],[Split_apply]])) - SUM($O193:R193)</f>
        <v>0</v>
      </c>
      <c r="T193" s="37">
        <f ca="1">Log_2020[[#This Row],[Amount]]/Log_2020[[#This Row],[Split_raw]]*MAX(0,MIN(_xlfn.DAYS(EDATE(T$1,1),Log_2020[[#This Row],[Date]]),Log_2020[[#This Row],[Split_apply]])) - SUM($O193:S193)</f>
        <v>0</v>
      </c>
      <c r="U193" s="37">
        <f ca="1">Log_2020[[#This Row],[Amount]]/Log_2020[[#This Row],[Split_raw]]*MAX(0,MIN(_xlfn.DAYS(EDATE(U$1,1),Log_2020[[#This Row],[Date]]),Log_2020[[#This Row],[Split_apply]])) - SUM($O193:T193)</f>
        <v>0</v>
      </c>
      <c r="V193" s="37">
        <f ca="1">Log_2020[[#This Row],[Amount]]/Log_2020[[#This Row],[Split_raw]]*MAX(0,MIN(_xlfn.DAYS(EDATE(V$1,1),Log_2020[[#This Row],[Date]]),Log_2020[[#This Row],[Split_apply]])) - SUM($O193:U193)</f>
        <v>0</v>
      </c>
      <c r="W193" s="37">
        <f ca="1">Log_2020[[#This Row],[Amount]]/Log_2020[[#This Row],[Split_raw]]*MAX(0,MIN(_xlfn.DAYS(EDATE(W$1,1),Log_2020[[#This Row],[Date]]),Log_2020[[#This Row],[Split_apply]])) - SUM($O193:V193)</f>
        <v>0</v>
      </c>
      <c r="X193" s="37">
        <f ca="1">Log_2020[[#This Row],[Amount]]/Log_2020[[#This Row],[Split_raw]]*MAX(0,MIN(_xlfn.DAYS(EDATE(X$1,1),Log_2020[[#This Row],[Date]]),Log_2020[[#This Row],[Split_apply]])) - SUM($O193:W193)</f>
        <v>0</v>
      </c>
      <c r="Y193" s="37">
        <f ca="1">Log_2020[[#This Row],[Amount]]/Log_2020[[#This Row],[Split_raw]]*MAX(0,MIN(_xlfn.DAYS(EDATE(Y$1,1),Log_2020[[#This Row],[Date]]),Log_2020[[#This Row],[Split_apply]])) - SUM($O193:X193)</f>
        <v>0</v>
      </c>
      <c r="Z193" s="37">
        <f ca="1">Log_2020[[#This Row],[Amount]]/Log_2020[[#This Row],[Split_raw]]*MAX(0,MIN(_xlfn.DAYS(EDATE(Z$1,1),Log_2020[[#This Row],[Date]]),Log_2020[[#This Row],[Split_apply]])) - SUM($O193:Y193)</f>
        <v>0</v>
      </c>
      <c r="AA193" s="37">
        <f ca="1">Log_2020[[#This Row],[Amount]]/Log_2020[[#This Row],[Split_raw]]*MAX(0,MIN(_xlfn.DAYS(EDATE(AA$1,1),Log_2020[[#This Row],[Date]]),Log_2020[[#This Row],[Split_apply]])) - SUM($O193:Z193)</f>
        <v>0</v>
      </c>
      <c r="AB193" s="59">
        <f ca="1">Log_2020[[#This Row],[Amount]]*Log_2020[[#This Row],[Split_apply]]/Log_2020[[#This Row],[Split_raw]]-SUM(O193:AA193)</f>
        <v>0</v>
      </c>
      <c r="AC193" s="7">
        <f>MAX(0,Log_2020[[#This Row],[Split_raw]] - (EDATE(AA$1,1)-Log_2020[[#This Row],[Date]]))</f>
        <v>0</v>
      </c>
    </row>
    <row r="194" spans="1:29" x14ac:dyDescent="0.25">
      <c r="A194" s="37"/>
      <c r="B194" s="34" t="s">
        <v>6</v>
      </c>
      <c r="C194" s="34"/>
      <c r="D194" s="35">
        <v>43832</v>
      </c>
      <c r="E194" s="34"/>
      <c r="F194" s="34" t="s">
        <v>673</v>
      </c>
      <c r="G194" s="34" t="s">
        <v>25</v>
      </c>
      <c r="H194">
        <v>-10.25</v>
      </c>
      <c r="I194" s="36">
        <f>IF(Log_2020[[#This Row],[My Category]]="NONTRACKED",0,Log_2020[[#This Row],[Raw Amount]])</f>
        <v>-10.25</v>
      </c>
      <c r="J194" s="37">
        <f>ABS(Log_2020[[#This Row],[Amount]])</f>
        <v>10.25</v>
      </c>
      <c r="K194" s="38">
        <v>1</v>
      </c>
      <c r="L194" s="38">
        <f ca="1">IF(Log_2020[[#This Row],[Date]]&lt;=TODAY(), MIN(Log_2020[[#This Row],[Split_raw]], TODAY()-Log_2020[[#This Row],[Date]]+1), 0)</f>
        <v>1</v>
      </c>
      <c r="M194" s="34" t="s">
        <v>35</v>
      </c>
      <c r="N194" s="34" t="s">
        <v>158</v>
      </c>
      <c r="O194" s="7"/>
      <c r="P194" s="37">
        <f ca="1">Log_2020[[#This Row],[Amount]]/Log_2020[[#This Row],[Split_raw]]*MAX(0,MIN(_xlfn.DAYS(EDATE(P$1,1),Log_2020[[#This Row],[Date]]),Log_2020[[#This Row],[Split_apply]])) - SUM($O194:O194)</f>
        <v>-10.25</v>
      </c>
      <c r="Q194" s="37">
        <f ca="1">Log_2020[[#This Row],[Amount]]/Log_2020[[#This Row],[Split_raw]]*MAX(0,MIN(_xlfn.DAYS(EDATE(Q$1,1),Log_2020[[#This Row],[Date]]),Log_2020[[#This Row],[Split_apply]])) - SUM($O194:P194)</f>
        <v>0</v>
      </c>
      <c r="R194" s="37">
        <f ca="1">Log_2020[[#This Row],[Amount]]/Log_2020[[#This Row],[Split_raw]]*MAX(0,MIN(_xlfn.DAYS(EDATE(R$1,1),Log_2020[[#This Row],[Date]]),Log_2020[[#This Row],[Split_apply]])) - SUM($O194:Q194)</f>
        <v>0</v>
      </c>
      <c r="S194" s="37">
        <f ca="1">Log_2020[[#This Row],[Amount]]/Log_2020[[#This Row],[Split_raw]]*MAX(0,MIN(_xlfn.DAYS(EDATE(S$1,1),Log_2020[[#This Row],[Date]]),Log_2020[[#This Row],[Split_apply]])) - SUM($O194:R194)</f>
        <v>0</v>
      </c>
      <c r="T194" s="37">
        <f ca="1">Log_2020[[#This Row],[Amount]]/Log_2020[[#This Row],[Split_raw]]*MAX(0,MIN(_xlfn.DAYS(EDATE(T$1,1),Log_2020[[#This Row],[Date]]),Log_2020[[#This Row],[Split_apply]])) - SUM($O194:S194)</f>
        <v>0</v>
      </c>
      <c r="U194" s="37">
        <f ca="1">Log_2020[[#This Row],[Amount]]/Log_2020[[#This Row],[Split_raw]]*MAX(0,MIN(_xlfn.DAYS(EDATE(U$1,1),Log_2020[[#This Row],[Date]]),Log_2020[[#This Row],[Split_apply]])) - SUM($O194:T194)</f>
        <v>0</v>
      </c>
      <c r="V194" s="37">
        <f ca="1">Log_2020[[#This Row],[Amount]]/Log_2020[[#This Row],[Split_raw]]*MAX(0,MIN(_xlfn.DAYS(EDATE(V$1,1),Log_2020[[#This Row],[Date]]),Log_2020[[#This Row],[Split_apply]])) - SUM($O194:U194)</f>
        <v>0</v>
      </c>
      <c r="W194" s="37">
        <f ca="1">Log_2020[[#This Row],[Amount]]/Log_2020[[#This Row],[Split_raw]]*MAX(0,MIN(_xlfn.DAYS(EDATE(W$1,1),Log_2020[[#This Row],[Date]]),Log_2020[[#This Row],[Split_apply]])) - SUM($O194:V194)</f>
        <v>0</v>
      </c>
      <c r="X194" s="37">
        <f ca="1">Log_2020[[#This Row],[Amount]]/Log_2020[[#This Row],[Split_raw]]*MAX(0,MIN(_xlfn.DAYS(EDATE(X$1,1),Log_2020[[#This Row],[Date]]),Log_2020[[#This Row],[Split_apply]])) - SUM($O194:W194)</f>
        <v>0</v>
      </c>
      <c r="Y194" s="37">
        <f ca="1">Log_2020[[#This Row],[Amount]]/Log_2020[[#This Row],[Split_raw]]*MAX(0,MIN(_xlfn.DAYS(EDATE(Y$1,1),Log_2020[[#This Row],[Date]]),Log_2020[[#This Row],[Split_apply]])) - SUM($O194:X194)</f>
        <v>0</v>
      </c>
      <c r="Z194" s="37">
        <f ca="1">Log_2020[[#This Row],[Amount]]/Log_2020[[#This Row],[Split_raw]]*MAX(0,MIN(_xlfn.DAYS(EDATE(Z$1,1),Log_2020[[#This Row],[Date]]),Log_2020[[#This Row],[Split_apply]])) - SUM($O194:Y194)</f>
        <v>0</v>
      </c>
      <c r="AA194" s="37">
        <f ca="1">Log_2020[[#This Row],[Amount]]/Log_2020[[#This Row],[Split_raw]]*MAX(0,MIN(_xlfn.DAYS(EDATE(AA$1,1),Log_2020[[#This Row],[Date]]),Log_2020[[#This Row],[Split_apply]])) - SUM($O194:Z194)</f>
        <v>0</v>
      </c>
      <c r="AB194" s="59">
        <f ca="1">Log_2020[[#This Row],[Amount]]*Log_2020[[#This Row],[Split_apply]]/Log_2020[[#This Row],[Split_raw]]-SUM(O194:AA194)</f>
        <v>0</v>
      </c>
      <c r="AC194" s="7">
        <f>MAX(0,Log_2020[[#This Row],[Split_raw]] - (EDATE(AA$1,1)-Log_2020[[#This Row],[Date]]))</f>
        <v>0</v>
      </c>
    </row>
    <row r="195" spans="1:29" x14ac:dyDescent="0.25">
      <c r="A195" s="37"/>
      <c r="B195" s="34" t="s">
        <v>6</v>
      </c>
      <c r="C195" s="34"/>
      <c r="D195" s="35">
        <v>43832</v>
      </c>
      <c r="E195" s="34"/>
      <c r="F195" s="34" t="s">
        <v>255</v>
      </c>
      <c r="G195" s="34" t="s">
        <v>12</v>
      </c>
      <c r="H195">
        <v>-3.36</v>
      </c>
      <c r="I195" s="36">
        <f>IF(Log_2020[[#This Row],[My Category]]="NONTRACKED",0,Log_2020[[#This Row],[Raw Amount]])</f>
        <v>-3.36</v>
      </c>
      <c r="J195" s="37">
        <f>ABS(Log_2020[[#This Row],[Amount]])</f>
        <v>3.36</v>
      </c>
      <c r="K195" s="38">
        <v>1</v>
      </c>
      <c r="L195" s="38">
        <f ca="1">IF(Log_2020[[#This Row],[Date]]&lt;=TODAY(), MIN(Log_2020[[#This Row],[Split_raw]], TODAY()-Log_2020[[#This Row],[Date]]+1), 0)</f>
        <v>1</v>
      </c>
      <c r="M195" s="34" t="s">
        <v>35</v>
      </c>
      <c r="N195" s="34" t="s">
        <v>158</v>
      </c>
      <c r="O195" s="7"/>
      <c r="P195" s="37">
        <f ca="1">Log_2020[[#This Row],[Amount]]/Log_2020[[#This Row],[Split_raw]]*MAX(0,MIN(_xlfn.DAYS(EDATE(P$1,1),Log_2020[[#This Row],[Date]]),Log_2020[[#This Row],[Split_apply]])) - SUM($O195:O195)</f>
        <v>-3.36</v>
      </c>
      <c r="Q195" s="37">
        <f ca="1">Log_2020[[#This Row],[Amount]]/Log_2020[[#This Row],[Split_raw]]*MAX(0,MIN(_xlfn.DAYS(EDATE(Q$1,1),Log_2020[[#This Row],[Date]]),Log_2020[[#This Row],[Split_apply]])) - SUM($O195:P195)</f>
        <v>0</v>
      </c>
      <c r="R195" s="37">
        <f ca="1">Log_2020[[#This Row],[Amount]]/Log_2020[[#This Row],[Split_raw]]*MAX(0,MIN(_xlfn.DAYS(EDATE(R$1,1),Log_2020[[#This Row],[Date]]),Log_2020[[#This Row],[Split_apply]])) - SUM($O195:Q195)</f>
        <v>0</v>
      </c>
      <c r="S195" s="37">
        <f ca="1">Log_2020[[#This Row],[Amount]]/Log_2020[[#This Row],[Split_raw]]*MAX(0,MIN(_xlfn.DAYS(EDATE(S$1,1),Log_2020[[#This Row],[Date]]),Log_2020[[#This Row],[Split_apply]])) - SUM($O195:R195)</f>
        <v>0</v>
      </c>
      <c r="T195" s="37">
        <f ca="1">Log_2020[[#This Row],[Amount]]/Log_2020[[#This Row],[Split_raw]]*MAX(0,MIN(_xlfn.DAYS(EDATE(T$1,1),Log_2020[[#This Row],[Date]]),Log_2020[[#This Row],[Split_apply]])) - SUM($O195:S195)</f>
        <v>0</v>
      </c>
      <c r="U195" s="37">
        <f ca="1">Log_2020[[#This Row],[Amount]]/Log_2020[[#This Row],[Split_raw]]*MAX(0,MIN(_xlfn.DAYS(EDATE(U$1,1),Log_2020[[#This Row],[Date]]),Log_2020[[#This Row],[Split_apply]])) - SUM($O195:T195)</f>
        <v>0</v>
      </c>
      <c r="V195" s="37">
        <f ca="1">Log_2020[[#This Row],[Amount]]/Log_2020[[#This Row],[Split_raw]]*MAX(0,MIN(_xlfn.DAYS(EDATE(V$1,1),Log_2020[[#This Row],[Date]]),Log_2020[[#This Row],[Split_apply]])) - SUM($O195:U195)</f>
        <v>0</v>
      </c>
      <c r="W195" s="37">
        <f ca="1">Log_2020[[#This Row],[Amount]]/Log_2020[[#This Row],[Split_raw]]*MAX(0,MIN(_xlfn.DAYS(EDATE(W$1,1),Log_2020[[#This Row],[Date]]),Log_2020[[#This Row],[Split_apply]])) - SUM($O195:V195)</f>
        <v>0</v>
      </c>
      <c r="X195" s="37">
        <f ca="1">Log_2020[[#This Row],[Amount]]/Log_2020[[#This Row],[Split_raw]]*MAX(0,MIN(_xlfn.DAYS(EDATE(X$1,1),Log_2020[[#This Row],[Date]]),Log_2020[[#This Row],[Split_apply]])) - SUM($O195:W195)</f>
        <v>0</v>
      </c>
      <c r="Y195" s="37">
        <f ca="1">Log_2020[[#This Row],[Amount]]/Log_2020[[#This Row],[Split_raw]]*MAX(0,MIN(_xlfn.DAYS(EDATE(Y$1,1),Log_2020[[#This Row],[Date]]),Log_2020[[#This Row],[Split_apply]])) - SUM($O195:X195)</f>
        <v>0</v>
      </c>
      <c r="Z195" s="37">
        <f ca="1">Log_2020[[#This Row],[Amount]]/Log_2020[[#This Row],[Split_raw]]*MAX(0,MIN(_xlfn.DAYS(EDATE(Z$1,1),Log_2020[[#This Row],[Date]]),Log_2020[[#This Row],[Split_apply]])) - SUM($O195:Y195)</f>
        <v>0</v>
      </c>
      <c r="AA195" s="37">
        <f ca="1">Log_2020[[#This Row],[Amount]]/Log_2020[[#This Row],[Split_raw]]*MAX(0,MIN(_xlfn.DAYS(EDATE(AA$1,1),Log_2020[[#This Row],[Date]]),Log_2020[[#This Row],[Split_apply]])) - SUM($O195:Z195)</f>
        <v>0</v>
      </c>
      <c r="AB195" s="59">
        <f ca="1">Log_2020[[#This Row],[Amount]]*Log_2020[[#This Row],[Split_apply]]/Log_2020[[#This Row],[Split_raw]]-SUM(O195:AA195)</f>
        <v>0</v>
      </c>
      <c r="AC195" s="7">
        <f>MAX(0,Log_2020[[#This Row],[Split_raw]] - (EDATE(AA$1,1)-Log_2020[[#This Row],[Date]]))</f>
        <v>0</v>
      </c>
    </row>
    <row r="196" spans="1:29" x14ac:dyDescent="0.25">
      <c r="A196" s="37"/>
      <c r="B196" s="34" t="s">
        <v>6</v>
      </c>
      <c r="C196" s="34"/>
      <c r="D196" s="35">
        <v>43832</v>
      </c>
      <c r="E196" s="34"/>
      <c r="F196" s="34" t="s">
        <v>566</v>
      </c>
      <c r="G196" s="34" t="s">
        <v>80</v>
      </c>
      <c r="H196">
        <f>--1898.47</f>
        <v>1898.47</v>
      </c>
      <c r="I196" s="36">
        <f>IF(Log_2020[[#This Row],[My Category]]="NONTRACKED",0,Log_2020[[#This Row],[Raw Amount]])</f>
        <v>1898.47</v>
      </c>
      <c r="J196" s="37">
        <f>ABS(Log_2020[[#This Row],[Amount]])</f>
        <v>1898.47</v>
      </c>
      <c r="K196" s="38">
        <v>14</v>
      </c>
      <c r="L196" s="38">
        <f ca="1">IF(Log_2020[[#This Row],[Date]]&lt;=TODAY(), MIN(Log_2020[[#This Row],[Split_raw]], TODAY()-Log_2020[[#This Row],[Date]]+1), 0)</f>
        <v>14</v>
      </c>
      <c r="M196" s="34" t="s">
        <v>91</v>
      </c>
      <c r="N196" s="34" t="s">
        <v>160</v>
      </c>
      <c r="O196" s="7"/>
      <c r="P196" s="37">
        <f ca="1">Log_2020[[#This Row],[Amount]]/Log_2020[[#This Row],[Split_raw]]*MAX(0,MIN(_xlfn.DAYS(EDATE(P$1,1),Log_2020[[#This Row],[Date]]),Log_2020[[#This Row],[Split_apply]])) - SUM($O196:O196)</f>
        <v>1898.4699999999998</v>
      </c>
      <c r="Q196" s="37">
        <f ca="1">Log_2020[[#This Row],[Amount]]/Log_2020[[#This Row],[Split_raw]]*MAX(0,MIN(_xlfn.DAYS(EDATE(Q$1,1),Log_2020[[#This Row],[Date]]),Log_2020[[#This Row],[Split_apply]])) - SUM($O196:P196)</f>
        <v>0</v>
      </c>
      <c r="R196" s="37">
        <f ca="1">Log_2020[[#This Row],[Amount]]/Log_2020[[#This Row],[Split_raw]]*MAX(0,MIN(_xlfn.DAYS(EDATE(R$1,1),Log_2020[[#This Row],[Date]]),Log_2020[[#This Row],[Split_apply]])) - SUM($O196:Q196)</f>
        <v>0</v>
      </c>
      <c r="S196" s="37">
        <f ca="1">Log_2020[[#This Row],[Amount]]/Log_2020[[#This Row],[Split_raw]]*MAX(0,MIN(_xlfn.DAYS(EDATE(S$1,1),Log_2020[[#This Row],[Date]]),Log_2020[[#This Row],[Split_apply]])) - SUM($O196:R196)</f>
        <v>0</v>
      </c>
      <c r="T196" s="37">
        <f ca="1">Log_2020[[#This Row],[Amount]]/Log_2020[[#This Row],[Split_raw]]*MAX(0,MIN(_xlfn.DAYS(EDATE(T$1,1),Log_2020[[#This Row],[Date]]),Log_2020[[#This Row],[Split_apply]])) - SUM($O196:S196)</f>
        <v>0</v>
      </c>
      <c r="U196" s="37">
        <f ca="1">Log_2020[[#This Row],[Amount]]/Log_2020[[#This Row],[Split_raw]]*MAX(0,MIN(_xlfn.DAYS(EDATE(U$1,1),Log_2020[[#This Row],[Date]]),Log_2020[[#This Row],[Split_apply]])) - SUM($O196:T196)</f>
        <v>0</v>
      </c>
      <c r="V196" s="37">
        <f ca="1">Log_2020[[#This Row],[Amount]]/Log_2020[[#This Row],[Split_raw]]*MAX(0,MIN(_xlfn.DAYS(EDATE(V$1,1),Log_2020[[#This Row],[Date]]),Log_2020[[#This Row],[Split_apply]])) - SUM($O196:U196)</f>
        <v>0</v>
      </c>
      <c r="W196" s="37">
        <f ca="1">Log_2020[[#This Row],[Amount]]/Log_2020[[#This Row],[Split_raw]]*MAX(0,MIN(_xlfn.DAYS(EDATE(W$1,1),Log_2020[[#This Row],[Date]]),Log_2020[[#This Row],[Split_apply]])) - SUM($O196:V196)</f>
        <v>0</v>
      </c>
      <c r="X196" s="37">
        <f ca="1">Log_2020[[#This Row],[Amount]]/Log_2020[[#This Row],[Split_raw]]*MAX(0,MIN(_xlfn.DAYS(EDATE(X$1,1),Log_2020[[#This Row],[Date]]),Log_2020[[#This Row],[Split_apply]])) - SUM($O196:W196)</f>
        <v>0</v>
      </c>
      <c r="Y196" s="37">
        <f ca="1">Log_2020[[#This Row],[Amount]]/Log_2020[[#This Row],[Split_raw]]*MAX(0,MIN(_xlfn.DAYS(EDATE(Y$1,1),Log_2020[[#This Row],[Date]]),Log_2020[[#This Row],[Split_apply]])) - SUM($O196:X196)</f>
        <v>0</v>
      </c>
      <c r="Z196" s="37">
        <f ca="1">Log_2020[[#This Row],[Amount]]/Log_2020[[#This Row],[Split_raw]]*MAX(0,MIN(_xlfn.DAYS(EDATE(Z$1,1),Log_2020[[#This Row],[Date]]),Log_2020[[#This Row],[Split_apply]])) - SUM($O196:Y196)</f>
        <v>0</v>
      </c>
      <c r="AA196" s="37">
        <f ca="1">Log_2020[[#This Row],[Amount]]/Log_2020[[#This Row],[Split_raw]]*MAX(0,MIN(_xlfn.DAYS(EDATE(AA$1,1),Log_2020[[#This Row],[Date]]),Log_2020[[#This Row],[Split_apply]])) - SUM($O196:Z196)</f>
        <v>0</v>
      </c>
      <c r="AB196" s="59">
        <f ca="1">Log_2020[[#This Row],[Amount]]*Log_2020[[#This Row],[Split_apply]]/Log_2020[[#This Row],[Split_raw]]-SUM(O196:AA196)</f>
        <v>0</v>
      </c>
      <c r="AC196" s="7">
        <f>MAX(0,Log_2020[[#This Row],[Split_raw]] - (EDATE(AA$1,1)-Log_2020[[#This Row],[Date]]))</f>
        <v>0</v>
      </c>
    </row>
    <row r="197" spans="1:29" x14ac:dyDescent="0.25">
      <c r="A197" s="37"/>
      <c r="B197" s="34" t="s">
        <v>6</v>
      </c>
      <c r="C197" s="34"/>
      <c r="D197" s="35">
        <v>43831</v>
      </c>
      <c r="E197" t="s">
        <v>960</v>
      </c>
      <c r="F197" s="34" t="s">
        <v>527</v>
      </c>
      <c r="G197" s="34" t="s">
        <v>20</v>
      </c>
      <c r="H197">
        <v>-1600</v>
      </c>
      <c r="I197" s="36">
        <f>IF(Log_2020[[#This Row],[My Category]]="NONTRACKED",0,Log_2020[[#This Row],[Raw Amount]])</f>
        <v>-1600</v>
      </c>
      <c r="J197" s="37">
        <f>ABS(Log_2020[[#This Row],[Amount]])</f>
        <v>1600</v>
      </c>
      <c r="K197" s="38">
        <v>31</v>
      </c>
      <c r="L197" s="38">
        <f ca="1">IF(Log_2020[[#This Row],[Date]]&lt;=TODAY(), MIN(Log_2020[[#This Row],[Split_raw]], TODAY()-Log_2020[[#This Row],[Date]]+1), 0)</f>
        <v>31</v>
      </c>
      <c r="M197" s="34" t="s">
        <v>28</v>
      </c>
      <c r="N197" s="34" t="s">
        <v>160</v>
      </c>
      <c r="O197" s="7"/>
      <c r="P197" s="37">
        <f ca="1">Log_2020[[#This Row],[Amount]]/Log_2020[[#This Row],[Split_raw]]*MAX(0,MIN(_xlfn.DAYS(EDATE(P$1,1),Log_2020[[#This Row],[Date]]),Log_2020[[#This Row],[Split_apply]])) - SUM($O197:O197)</f>
        <v>-1600</v>
      </c>
      <c r="Q197" s="37">
        <f ca="1">Log_2020[[#This Row],[Amount]]/Log_2020[[#This Row],[Split_raw]]*MAX(0,MIN(_xlfn.DAYS(EDATE(Q$1,1),Log_2020[[#This Row],[Date]]),Log_2020[[#This Row],[Split_apply]])) - SUM($O197:P197)</f>
        <v>0</v>
      </c>
      <c r="R197" s="37">
        <f ca="1">Log_2020[[#This Row],[Amount]]/Log_2020[[#This Row],[Split_raw]]*MAX(0,MIN(_xlfn.DAYS(EDATE(R$1,1),Log_2020[[#This Row],[Date]]),Log_2020[[#This Row],[Split_apply]])) - SUM($O197:Q197)</f>
        <v>0</v>
      </c>
      <c r="S197" s="37">
        <f ca="1">Log_2020[[#This Row],[Amount]]/Log_2020[[#This Row],[Split_raw]]*MAX(0,MIN(_xlfn.DAYS(EDATE(S$1,1),Log_2020[[#This Row],[Date]]),Log_2020[[#This Row],[Split_apply]])) - SUM($O197:R197)</f>
        <v>0</v>
      </c>
      <c r="T197" s="37">
        <f ca="1">Log_2020[[#This Row],[Amount]]/Log_2020[[#This Row],[Split_raw]]*MAX(0,MIN(_xlfn.DAYS(EDATE(T$1,1),Log_2020[[#This Row],[Date]]),Log_2020[[#This Row],[Split_apply]])) - SUM($O197:S197)</f>
        <v>0</v>
      </c>
      <c r="U197" s="37">
        <f ca="1">Log_2020[[#This Row],[Amount]]/Log_2020[[#This Row],[Split_raw]]*MAX(0,MIN(_xlfn.DAYS(EDATE(U$1,1),Log_2020[[#This Row],[Date]]),Log_2020[[#This Row],[Split_apply]])) - SUM($O197:T197)</f>
        <v>0</v>
      </c>
      <c r="V197" s="37">
        <f ca="1">Log_2020[[#This Row],[Amount]]/Log_2020[[#This Row],[Split_raw]]*MAX(0,MIN(_xlfn.DAYS(EDATE(V$1,1),Log_2020[[#This Row],[Date]]),Log_2020[[#This Row],[Split_apply]])) - SUM($O197:U197)</f>
        <v>0</v>
      </c>
      <c r="W197" s="37">
        <f ca="1">Log_2020[[#This Row],[Amount]]/Log_2020[[#This Row],[Split_raw]]*MAX(0,MIN(_xlfn.DAYS(EDATE(W$1,1),Log_2020[[#This Row],[Date]]),Log_2020[[#This Row],[Split_apply]])) - SUM($O197:V197)</f>
        <v>0</v>
      </c>
      <c r="X197" s="37">
        <f ca="1">Log_2020[[#This Row],[Amount]]/Log_2020[[#This Row],[Split_raw]]*MAX(0,MIN(_xlfn.DAYS(EDATE(X$1,1),Log_2020[[#This Row],[Date]]),Log_2020[[#This Row],[Split_apply]])) - SUM($O197:W197)</f>
        <v>0</v>
      </c>
      <c r="Y197" s="37">
        <f ca="1">Log_2020[[#This Row],[Amount]]/Log_2020[[#This Row],[Split_raw]]*MAX(0,MIN(_xlfn.DAYS(EDATE(Y$1,1),Log_2020[[#This Row],[Date]]),Log_2020[[#This Row],[Split_apply]])) - SUM($O197:X197)</f>
        <v>0</v>
      </c>
      <c r="Z197" s="37">
        <f ca="1">Log_2020[[#This Row],[Amount]]/Log_2020[[#This Row],[Split_raw]]*MAX(0,MIN(_xlfn.DAYS(EDATE(Z$1,1),Log_2020[[#This Row],[Date]]),Log_2020[[#This Row],[Split_apply]])) - SUM($O197:Y197)</f>
        <v>0</v>
      </c>
      <c r="AA197" s="37">
        <f ca="1">Log_2020[[#This Row],[Amount]]/Log_2020[[#This Row],[Split_raw]]*MAX(0,MIN(_xlfn.DAYS(EDATE(AA$1,1),Log_2020[[#This Row],[Date]]),Log_2020[[#This Row],[Split_apply]])) - SUM($O197:Z197)</f>
        <v>0</v>
      </c>
      <c r="AB197" s="59">
        <f ca="1">Log_2020[[#This Row],[Amount]]*Log_2020[[#This Row],[Split_apply]]/Log_2020[[#This Row],[Split_raw]]-SUM(O197:AA197)</f>
        <v>0</v>
      </c>
      <c r="AC197" s="7">
        <f>MAX(0,Log_2020[[#This Row],[Split_raw]] - (EDATE(AA$1,1)-Log_2020[[#This Row],[Date]]))</f>
        <v>0</v>
      </c>
    </row>
    <row r="198" spans="1:29" x14ac:dyDescent="0.25">
      <c r="A198" s="37"/>
      <c r="B198" s="34" t="s">
        <v>6</v>
      </c>
      <c r="C198" s="34"/>
      <c r="D198" s="35">
        <v>43831</v>
      </c>
      <c r="E198" t="s">
        <v>960</v>
      </c>
      <c r="F198" s="34" t="s">
        <v>843</v>
      </c>
      <c r="G198" s="34" t="s">
        <v>82</v>
      </c>
      <c r="H198">
        <v>-320</v>
      </c>
      <c r="I198" s="36">
        <f>IF(Log_2020[[#This Row],[My Category]]="NONTRACKED",0,Log_2020[[#This Row],[Raw Amount]])</f>
        <v>-320</v>
      </c>
      <c r="J198" s="37">
        <f>ABS(Log_2020[[#This Row],[Amount]])</f>
        <v>320</v>
      </c>
      <c r="K198" s="38">
        <v>31</v>
      </c>
      <c r="L198" s="38">
        <f ca="1">IF(Log_2020[[#This Row],[Date]]&lt;=TODAY(), MIN(Log_2020[[#This Row],[Split_raw]], TODAY()-Log_2020[[#This Row],[Date]]+1), 0)</f>
        <v>31</v>
      </c>
      <c r="M198" s="34" t="s">
        <v>93</v>
      </c>
      <c r="N198" s="34" t="s">
        <v>160</v>
      </c>
      <c r="O198" s="7"/>
      <c r="P198" s="37">
        <f ca="1">Log_2020[[#This Row],[Amount]]/Log_2020[[#This Row],[Split_raw]]*MAX(0,MIN(_xlfn.DAYS(EDATE(P$1,1),Log_2020[[#This Row],[Date]]),Log_2020[[#This Row],[Split_apply]])) - SUM($O198:O198)</f>
        <v>-320</v>
      </c>
      <c r="Q198" s="37">
        <f ca="1">Log_2020[[#This Row],[Amount]]/Log_2020[[#This Row],[Split_raw]]*MAX(0,MIN(_xlfn.DAYS(EDATE(Q$1,1),Log_2020[[#This Row],[Date]]),Log_2020[[#This Row],[Split_apply]])) - SUM($O198:P198)</f>
        <v>0</v>
      </c>
      <c r="R198" s="37">
        <f ca="1">Log_2020[[#This Row],[Amount]]/Log_2020[[#This Row],[Split_raw]]*MAX(0,MIN(_xlfn.DAYS(EDATE(R$1,1),Log_2020[[#This Row],[Date]]),Log_2020[[#This Row],[Split_apply]])) - SUM($O198:Q198)</f>
        <v>0</v>
      </c>
      <c r="S198" s="37">
        <f ca="1">Log_2020[[#This Row],[Amount]]/Log_2020[[#This Row],[Split_raw]]*MAX(0,MIN(_xlfn.DAYS(EDATE(S$1,1),Log_2020[[#This Row],[Date]]),Log_2020[[#This Row],[Split_apply]])) - SUM($O198:R198)</f>
        <v>0</v>
      </c>
      <c r="T198" s="37">
        <f ca="1">Log_2020[[#This Row],[Amount]]/Log_2020[[#This Row],[Split_raw]]*MAX(0,MIN(_xlfn.DAYS(EDATE(T$1,1),Log_2020[[#This Row],[Date]]),Log_2020[[#This Row],[Split_apply]])) - SUM($O198:S198)</f>
        <v>0</v>
      </c>
      <c r="U198" s="37">
        <f ca="1">Log_2020[[#This Row],[Amount]]/Log_2020[[#This Row],[Split_raw]]*MAX(0,MIN(_xlfn.DAYS(EDATE(U$1,1),Log_2020[[#This Row],[Date]]),Log_2020[[#This Row],[Split_apply]])) - SUM($O198:T198)</f>
        <v>0</v>
      </c>
      <c r="V198" s="37">
        <f ca="1">Log_2020[[#This Row],[Amount]]/Log_2020[[#This Row],[Split_raw]]*MAX(0,MIN(_xlfn.DAYS(EDATE(V$1,1),Log_2020[[#This Row],[Date]]),Log_2020[[#This Row],[Split_apply]])) - SUM($O198:U198)</f>
        <v>0</v>
      </c>
      <c r="W198" s="37">
        <f ca="1">Log_2020[[#This Row],[Amount]]/Log_2020[[#This Row],[Split_raw]]*MAX(0,MIN(_xlfn.DAYS(EDATE(W$1,1),Log_2020[[#This Row],[Date]]),Log_2020[[#This Row],[Split_apply]])) - SUM($O198:V198)</f>
        <v>0</v>
      </c>
      <c r="X198" s="37">
        <f ca="1">Log_2020[[#This Row],[Amount]]/Log_2020[[#This Row],[Split_raw]]*MAX(0,MIN(_xlfn.DAYS(EDATE(X$1,1),Log_2020[[#This Row],[Date]]),Log_2020[[#This Row],[Split_apply]])) - SUM($O198:W198)</f>
        <v>0</v>
      </c>
      <c r="Y198" s="37">
        <f ca="1">Log_2020[[#This Row],[Amount]]/Log_2020[[#This Row],[Split_raw]]*MAX(0,MIN(_xlfn.DAYS(EDATE(Y$1,1),Log_2020[[#This Row],[Date]]),Log_2020[[#This Row],[Split_apply]])) - SUM($O198:X198)</f>
        <v>0</v>
      </c>
      <c r="Z198" s="37">
        <f ca="1">Log_2020[[#This Row],[Amount]]/Log_2020[[#This Row],[Split_raw]]*MAX(0,MIN(_xlfn.DAYS(EDATE(Z$1,1),Log_2020[[#This Row],[Date]]),Log_2020[[#This Row],[Split_apply]])) - SUM($O198:Y198)</f>
        <v>0</v>
      </c>
      <c r="AA198" s="37">
        <f ca="1">Log_2020[[#This Row],[Amount]]/Log_2020[[#This Row],[Split_raw]]*MAX(0,MIN(_xlfn.DAYS(EDATE(AA$1,1),Log_2020[[#This Row],[Date]]),Log_2020[[#This Row],[Split_apply]])) - SUM($O198:Z198)</f>
        <v>0</v>
      </c>
      <c r="AB198" s="59">
        <f ca="1">Log_2020[[#This Row],[Amount]]*Log_2020[[#This Row],[Split_apply]]/Log_2020[[#This Row],[Split_raw]]-SUM(O198:AA198)</f>
        <v>0</v>
      </c>
      <c r="AC198" s="7">
        <f>MAX(0,Log_2020[[#This Row],[Split_raw]] - (EDATE(AA$1,1)-Log_2020[[#This Row],[Date]]))</f>
        <v>0</v>
      </c>
    </row>
    <row r="199" spans="1:29" x14ac:dyDescent="0.25">
      <c r="A199" s="37"/>
      <c r="B199" s="34" t="s">
        <v>880</v>
      </c>
      <c r="C199" s="34"/>
      <c r="D199" s="35">
        <v>43831</v>
      </c>
      <c r="E199" s="34"/>
      <c r="F199" s="34" t="s">
        <v>581</v>
      </c>
      <c r="G199" s="34" t="s">
        <v>582</v>
      </c>
      <c r="H199" s="58">
        <v>-37.064999999999998</v>
      </c>
      <c r="I199" s="36">
        <f>IF(Log_2020[[#This Row],[My Category]]="NONTRACKED",0,Log_2020[[#This Row],[Raw Amount]])</f>
        <v>-37.064999999999998</v>
      </c>
      <c r="J199" s="37">
        <f>ABS(Log_2020[[#This Row],[Amount]])</f>
        <v>37.064999999999998</v>
      </c>
      <c r="K199" s="38">
        <v>21</v>
      </c>
      <c r="L199" s="38">
        <f ca="1">IF(Log_2020[[#This Row],[Date]]&lt;=TODAY(), MIN(Log_2020[[#This Row],[Split_raw]], TODAY()-Log_2020[[#This Row],[Date]]+1), 0)</f>
        <v>21</v>
      </c>
      <c r="M199" s="34" t="s">
        <v>30</v>
      </c>
      <c r="N199" s="34" t="s">
        <v>160</v>
      </c>
      <c r="O199" s="7"/>
      <c r="P199" s="37">
        <f ca="1">Log_2020[[#This Row],[Amount]]/Log_2020[[#This Row],[Split_raw]]*MAX(0,MIN(_xlfn.DAYS(EDATE(P$1,1),Log_2020[[#This Row],[Date]]),Log_2020[[#This Row],[Split_apply]])) - SUM($O199:O199)</f>
        <v>-37.064999999999998</v>
      </c>
      <c r="Q199" s="37">
        <f ca="1">Log_2020[[#This Row],[Amount]]/Log_2020[[#This Row],[Split_raw]]*MAX(0,MIN(_xlfn.DAYS(EDATE(Q$1,1),Log_2020[[#This Row],[Date]]),Log_2020[[#This Row],[Split_apply]])) - SUM($O199:P199)</f>
        <v>0</v>
      </c>
      <c r="R199" s="37">
        <f ca="1">Log_2020[[#This Row],[Amount]]/Log_2020[[#This Row],[Split_raw]]*MAX(0,MIN(_xlfn.DAYS(EDATE(R$1,1),Log_2020[[#This Row],[Date]]),Log_2020[[#This Row],[Split_apply]])) - SUM($O199:Q199)</f>
        <v>0</v>
      </c>
      <c r="S199" s="37">
        <f ca="1">Log_2020[[#This Row],[Amount]]/Log_2020[[#This Row],[Split_raw]]*MAX(0,MIN(_xlfn.DAYS(EDATE(S$1,1),Log_2020[[#This Row],[Date]]),Log_2020[[#This Row],[Split_apply]])) - SUM($O199:R199)</f>
        <v>0</v>
      </c>
      <c r="T199" s="37">
        <f ca="1">Log_2020[[#This Row],[Amount]]/Log_2020[[#This Row],[Split_raw]]*MAX(0,MIN(_xlfn.DAYS(EDATE(T$1,1),Log_2020[[#This Row],[Date]]),Log_2020[[#This Row],[Split_apply]])) - SUM($O199:S199)</f>
        <v>0</v>
      </c>
      <c r="U199" s="37">
        <f ca="1">Log_2020[[#This Row],[Amount]]/Log_2020[[#This Row],[Split_raw]]*MAX(0,MIN(_xlfn.DAYS(EDATE(U$1,1),Log_2020[[#This Row],[Date]]),Log_2020[[#This Row],[Split_apply]])) - SUM($O199:T199)</f>
        <v>0</v>
      </c>
      <c r="V199" s="37">
        <f ca="1">Log_2020[[#This Row],[Amount]]/Log_2020[[#This Row],[Split_raw]]*MAX(0,MIN(_xlfn.DAYS(EDATE(V$1,1),Log_2020[[#This Row],[Date]]),Log_2020[[#This Row],[Split_apply]])) - SUM($O199:U199)</f>
        <v>0</v>
      </c>
      <c r="W199" s="37">
        <f ca="1">Log_2020[[#This Row],[Amount]]/Log_2020[[#This Row],[Split_raw]]*MAX(0,MIN(_xlfn.DAYS(EDATE(W$1,1),Log_2020[[#This Row],[Date]]),Log_2020[[#This Row],[Split_apply]])) - SUM($O199:V199)</f>
        <v>0</v>
      </c>
      <c r="X199" s="37">
        <f ca="1">Log_2020[[#This Row],[Amount]]/Log_2020[[#This Row],[Split_raw]]*MAX(0,MIN(_xlfn.DAYS(EDATE(X$1,1),Log_2020[[#This Row],[Date]]),Log_2020[[#This Row],[Split_apply]])) - SUM($O199:W199)</f>
        <v>0</v>
      </c>
      <c r="Y199" s="37">
        <f ca="1">Log_2020[[#This Row],[Amount]]/Log_2020[[#This Row],[Split_raw]]*MAX(0,MIN(_xlfn.DAYS(EDATE(Y$1,1),Log_2020[[#This Row],[Date]]),Log_2020[[#This Row],[Split_apply]])) - SUM($O199:X199)</f>
        <v>0</v>
      </c>
      <c r="Z199" s="37">
        <f ca="1">Log_2020[[#This Row],[Amount]]/Log_2020[[#This Row],[Split_raw]]*MAX(0,MIN(_xlfn.DAYS(EDATE(Z$1,1),Log_2020[[#This Row],[Date]]),Log_2020[[#This Row],[Split_apply]])) - SUM($O199:Y199)</f>
        <v>0</v>
      </c>
      <c r="AA199" s="37">
        <f ca="1">Log_2020[[#This Row],[Amount]]/Log_2020[[#This Row],[Split_raw]]*MAX(0,MIN(_xlfn.DAYS(EDATE(AA$1,1),Log_2020[[#This Row],[Date]]),Log_2020[[#This Row],[Split_apply]])) - SUM($O199:Z199)</f>
        <v>0</v>
      </c>
      <c r="AB199" s="59">
        <f ca="1">Log_2020[[#This Row],[Amount]]*Log_2020[[#This Row],[Split_apply]]/Log_2020[[#This Row],[Split_raw]]-SUM(O199:AA199)</f>
        <v>0</v>
      </c>
      <c r="AC199" s="7">
        <f>MAX(0,Log_2020[[#This Row],[Split_raw]] - (EDATE(AA$1,1)-Log_2020[[#This Row],[Date]]))</f>
        <v>0</v>
      </c>
    </row>
    <row r="200" spans="1:29" x14ac:dyDescent="0.25">
      <c r="A200" s="37"/>
      <c r="B200" s="34" t="s">
        <v>880</v>
      </c>
      <c r="C200" s="34"/>
      <c r="D200" s="35">
        <v>43831</v>
      </c>
      <c r="E200" s="34"/>
      <c r="F200" s="34" t="s">
        <v>580</v>
      </c>
      <c r="G200" s="34" t="s">
        <v>80</v>
      </c>
      <c r="H200" s="58">
        <v>135.60500000000025</v>
      </c>
      <c r="I200" s="36">
        <f>IF(Log_2020[[#This Row],[My Category]]="NONTRACKED",0,Log_2020[[#This Row],[Raw Amount]])</f>
        <v>135.60500000000025</v>
      </c>
      <c r="J200" s="37">
        <f>ABS(Log_2020[[#This Row],[Amount]])</f>
        <v>135.60500000000025</v>
      </c>
      <c r="K200" s="38">
        <v>1</v>
      </c>
      <c r="L200" s="38">
        <f ca="1">IF(Log_2020[[#This Row],[Date]]&lt;=TODAY(), MIN(Log_2020[[#This Row],[Split_raw]], TODAY()-Log_2020[[#This Row],[Date]]+1), 0)</f>
        <v>1</v>
      </c>
      <c r="M200" s="34" t="s">
        <v>91</v>
      </c>
      <c r="N200" s="34" t="s">
        <v>160</v>
      </c>
      <c r="O200" s="7"/>
      <c r="P200" s="37">
        <f ca="1">Log_2020[[#This Row],[Amount]]/Log_2020[[#This Row],[Split_raw]]*MAX(0,MIN(_xlfn.DAYS(EDATE(P$1,1),Log_2020[[#This Row],[Date]]),Log_2020[[#This Row],[Split_apply]])) - SUM($O200:O200)</f>
        <v>135.60500000000025</v>
      </c>
      <c r="Q200" s="37">
        <f ca="1">Log_2020[[#This Row],[Amount]]/Log_2020[[#This Row],[Split_raw]]*MAX(0,MIN(_xlfn.DAYS(EDATE(Q$1,1),Log_2020[[#This Row],[Date]]),Log_2020[[#This Row],[Split_apply]])) - SUM($O200:P200)</f>
        <v>0</v>
      </c>
      <c r="R200" s="37">
        <f ca="1">Log_2020[[#This Row],[Amount]]/Log_2020[[#This Row],[Split_raw]]*MAX(0,MIN(_xlfn.DAYS(EDATE(R$1,1),Log_2020[[#This Row],[Date]]),Log_2020[[#This Row],[Split_apply]])) - SUM($O200:Q200)</f>
        <v>0</v>
      </c>
      <c r="S200" s="37">
        <f ca="1">Log_2020[[#This Row],[Amount]]/Log_2020[[#This Row],[Split_raw]]*MAX(0,MIN(_xlfn.DAYS(EDATE(S$1,1),Log_2020[[#This Row],[Date]]),Log_2020[[#This Row],[Split_apply]])) - SUM($O200:R200)</f>
        <v>0</v>
      </c>
      <c r="T200" s="37">
        <f ca="1">Log_2020[[#This Row],[Amount]]/Log_2020[[#This Row],[Split_raw]]*MAX(0,MIN(_xlfn.DAYS(EDATE(T$1,1),Log_2020[[#This Row],[Date]]),Log_2020[[#This Row],[Split_apply]])) - SUM($O200:S200)</f>
        <v>0</v>
      </c>
      <c r="U200" s="37">
        <f ca="1">Log_2020[[#This Row],[Amount]]/Log_2020[[#This Row],[Split_raw]]*MAX(0,MIN(_xlfn.DAYS(EDATE(U$1,1),Log_2020[[#This Row],[Date]]),Log_2020[[#This Row],[Split_apply]])) - SUM($O200:T200)</f>
        <v>0</v>
      </c>
      <c r="V200" s="37">
        <f ca="1">Log_2020[[#This Row],[Amount]]/Log_2020[[#This Row],[Split_raw]]*MAX(0,MIN(_xlfn.DAYS(EDATE(V$1,1),Log_2020[[#This Row],[Date]]),Log_2020[[#This Row],[Split_apply]])) - SUM($O200:U200)</f>
        <v>0</v>
      </c>
      <c r="W200" s="37">
        <f ca="1">Log_2020[[#This Row],[Amount]]/Log_2020[[#This Row],[Split_raw]]*MAX(0,MIN(_xlfn.DAYS(EDATE(W$1,1),Log_2020[[#This Row],[Date]]),Log_2020[[#This Row],[Split_apply]])) - SUM($O200:V200)</f>
        <v>0</v>
      </c>
      <c r="X200" s="37">
        <f ca="1">Log_2020[[#This Row],[Amount]]/Log_2020[[#This Row],[Split_raw]]*MAX(0,MIN(_xlfn.DAYS(EDATE(X$1,1),Log_2020[[#This Row],[Date]]),Log_2020[[#This Row],[Split_apply]])) - SUM($O200:W200)</f>
        <v>0</v>
      </c>
      <c r="Y200" s="37">
        <f ca="1">Log_2020[[#This Row],[Amount]]/Log_2020[[#This Row],[Split_raw]]*MAX(0,MIN(_xlfn.DAYS(EDATE(Y$1,1),Log_2020[[#This Row],[Date]]),Log_2020[[#This Row],[Split_apply]])) - SUM($O200:X200)</f>
        <v>0</v>
      </c>
      <c r="Z200" s="37">
        <f ca="1">Log_2020[[#This Row],[Amount]]/Log_2020[[#This Row],[Split_raw]]*MAX(0,MIN(_xlfn.DAYS(EDATE(Z$1,1),Log_2020[[#This Row],[Date]]),Log_2020[[#This Row],[Split_apply]])) - SUM($O200:Y200)</f>
        <v>0</v>
      </c>
      <c r="AA200" s="37">
        <f ca="1">Log_2020[[#This Row],[Amount]]/Log_2020[[#This Row],[Split_raw]]*MAX(0,MIN(_xlfn.DAYS(EDATE(AA$1,1),Log_2020[[#This Row],[Date]]),Log_2020[[#This Row],[Split_apply]])) - SUM($O200:Z200)</f>
        <v>0</v>
      </c>
      <c r="AB200" s="59">
        <f ca="1">Log_2020[[#This Row],[Amount]]*Log_2020[[#This Row],[Split_apply]]/Log_2020[[#This Row],[Split_raw]]-SUM(O200:AA200)</f>
        <v>0</v>
      </c>
      <c r="AC200" s="7">
        <f>MAX(0,Log_2020[[#This Row],[Split_raw]] - (EDATE(AA$1,1)-Log_2020[[#This Row],[Date]]))</f>
        <v>0</v>
      </c>
    </row>
    <row r="201" spans="1:29" x14ac:dyDescent="0.25">
      <c r="A201" s="37"/>
      <c r="B201" s="34" t="s">
        <v>880</v>
      </c>
      <c r="C201" s="34"/>
      <c r="D201" s="35">
        <v>43831</v>
      </c>
      <c r="E201" s="34"/>
      <c r="F201" s="34" t="s">
        <v>845</v>
      </c>
      <c r="G201" s="34" t="s">
        <v>29</v>
      </c>
      <c r="H201" s="58">
        <v>-14.765666666666668</v>
      </c>
      <c r="I201" s="36">
        <f>IF(Log_2020[[#This Row],[My Category]]="NONTRACKED",0,Log_2020[[#This Row],[Raw Amount]])</f>
        <v>-14.765666666666668</v>
      </c>
      <c r="J201" s="37">
        <f>ABS(Log_2020[[#This Row],[Amount]])</f>
        <v>14.765666666666668</v>
      </c>
      <c r="K201" s="38">
        <v>11</v>
      </c>
      <c r="L201" s="38">
        <f ca="1">IF(Log_2020[[#This Row],[Date]]&lt;=TODAY(), MIN(Log_2020[[#This Row],[Split_raw]], TODAY()-Log_2020[[#This Row],[Date]]+1), 0)</f>
        <v>11</v>
      </c>
      <c r="M201" s="34" t="s">
        <v>29</v>
      </c>
      <c r="N201" s="34" t="s">
        <v>160</v>
      </c>
      <c r="O201" s="7"/>
      <c r="P201" s="37">
        <f ca="1">Log_2020[[#This Row],[Amount]]/Log_2020[[#This Row],[Split_raw]]*MAX(0,MIN(_xlfn.DAYS(EDATE(P$1,1),Log_2020[[#This Row],[Date]]),Log_2020[[#This Row],[Split_apply]])) - SUM($O201:O201)</f>
        <v>-14.765666666666668</v>
      </c>
      <c r="Q201" s="37">
        <f ca="1">Log_2020[[#This Row],[Amount]]/Log_2020[[#This Row],[Split_raw]]*MAX(0,MIN(_xlfn.DAYS(EDATE(Q$1,1),Log_2020[[#This Row],[Date]]),Log_2020[[#This Row],[Split_apply]])) - SUM($O201:P201)</f>
        <v>0</v>
      </c>
      <c r="R201" s="37">
        <f ca="1">Log_2020[[#This Row],[Amount]]/Log_2020[[#This Row],[Split_raw]]*MAX(0,MIN(_xlfn.DAYS(EDATE(R$1,1),Log_2020[[#This Row],[Date]]),Log_2020[[#This Row],[Split_apply]])) - SUM($O201:Q201)</f>
        <v>0</v>
      </c>
      <c r="S201" s="37">
        <f ca="1">Log_2020[[#This Row],[Amount]]/Log_2020[[#This Row],[Split_raw]]*MAX(0,MIN(_xlfn.DAYS(EDATE(S$1,1),Log_2020[[#This Row],[Date]]),Log_2020[[#This Row],[Split_apply]])) - SUM($O201:R201)</f>
        <v>0</v>
      </c>
      <c r="T201" s="37">
        <f ca="1">Log_2020[[#This Row],[Amount]]/Log_2020[[#This Row],[Split_raw]]*MAX(0,MIN(_xlfn.DAYS(EDATE(T$1,1),Log_2020[[#This Row],[Date]]),Log_2020[[#This Row],[Split_apply]])) - SUM($O201:S201)</f>
        <v>0</v>
      </c>
      <c r="U201" s="37">
        <f ca="1">Log_2020[[#This Row],[Amount]]/Log_2020[[#This Row],[Split_raw]]*MAX(0,MIN(_xlfn.DAYS(EDATE(U$1,1),Log_2020[[#This Row],[Date]]),Log_2020[[#This Row],[Split_apply]])) - SUM($O201:T201)</f>
        <v>0</v>
      </c>
      <c r="V201" s="37">
        <f ca="1">Log_2020[[#This Row],[Amount]]/Log_2020[[#This Row],[Split_raw]]*MAX(0,MIN(_xlfn.DAYS(EDATE(V$1,1),Log_2020[[#This Row],[Date]]),Log_2020[[#This Row],[Split_apply]])) - SUM($O201:U201)</f>
        <v>0</v>
      </c>
      <c r="W201" s="37">
        <f ca="1">Log_2020[[#This Row],[Amount]]/Log_2020[[#This Row],[Split_raw]]*MAX(0,MIN(_xlfn.DAYS(EDATE(W$1,1),Log_2020[[#This Row],[Date]]),Log_2020[[#This Row],[Split_apply]])) - SUM($O201:V201)</f>
        <v>0</v>
      </c>
      <c r="X201" s="37">
        <f ca="1">Log_2020[[#This Row],[Amount]]/Log_2020[[#This Row],[Split_raw]]*MAX(0,MIN(_xlfn.DAYS(EDATE(X$1,1),Log_2020[[#This Row],[Date]]),Log_2020[[#This Row],[Split_apply]])) - SUM($O201:W201)</f>
        <v>0</v>
      </c>
      <c r="Y201" s="37">
        <f ca="1">Log_2020[[#This Row],[Amount]]/Log_2020[[#This Row],[Split_raw]]*MAX(0,MIN(_xlfn.DAYS(EDATE(Y$1,1),Log_2020[[#This Row],[Date]]),Log_2020[[#This Row],[Split_apply]])) - SUM($O201:X201)</f>
        <v>0</v>
      </c>
      <c r="Z201" s="37">
        <f ca="1">Log_2020[[#This Row],[Amount]]/Log_2020[[#This Row],[Split_raw]]*MAX(0,MIN(_xlfn.DAYS(EDATE(Z$1,1),Log_2020[[#This Row],[Date]]),Log_2020[[#This Row],[Split_apply]])) - SUM($O201:Y201)</f>
        <v>0</v>
      </c>
      <c r="AA201" s="37">
        <f ca="1">Log_2020[[#This Row],[Amount]]/Log_2020[[#This Row],[Split_raw]]*MAX(0,MIN(_xlfn.DAYS(EDATE(AA$1,1),Log_2020[[#This Row],[Date]]),Log_2020[[#This Row],[Split_apply]])) - SUM($O201:Z201)</f>
        <v>0</v>
      </c>
      <c r="AB201" s="59">
        <f ca="1">Log_2020[[#This Row],[Amount]]*Log_2020[[#This Row],[Split_apply]]/Log_2020[[#This Row],[Split_raw]]-SUM(O201:AA201)</f>
        <v>0</v>
      </c>
      <c r="AC201" s="7">
        <f>MAX(0,Log_2020[[#This Row],[Split_raw]] - (EDATE(AA$1,1)-Log_2020[[#This Row],[Date]]))</f>
        <v>0</v>
      </c>
    </row>
    <row r="202" spans="1:29" x14ac:dyDescent="0.25">
      <c r="A202" s="37"/>
      <c r="B202" s="34" t="s">
        <v>880</v>
      </c>
      <c r="C202" s="34"/>
      <c r="D202" s="35">
        <v>43831</v>
      </c>
      <c r="E202" s="34"/>
      <c r="F202" s="34" t="s">
        <v>83</v>
      </c>
      <c r="G202" s="34" t="s">
        <v>15</v>
      </c>
      <c r="H202" s="58">
        <v>-60.170999999999992</v>
      </c>
      <c r="I202" s="36">
        <f>IF(Log_2020[[#This Row],[My Category]]="NONTRACKED",0,Log_2020[[#This Row],[Raw Amount]])</f>
        <v>-60.170999999999992</v>
      </c>
      <c r="J202" s="37">
        <f>ABS(Log_2020[[#This Row],[Amount]])</f>
        <v>60.170999999999992</v>
      </c>
      <c r="K202" s="38">
        <v>9</v>
      </c>
      <c r="L202" s="38">
        <f ca="1">IF(Log_2020[[#This Row],[Date]]&lt;=TODAY(), MIN(Log_2020[[#This Row],[Split_raw]], TODAY()-Log_2020[[#This Row],[Date]]+1), 0)</f>
        <v>9</v>
      </c>
      <c r="M202" s="34" t="s">
        <v>241</v>
      </c>
      <c r="N202" s="34" t="s">
        <v>160</v>
      </c>
      <c r="O202" s="7"/>
      <c r="P202" s="37">
        <f ca="1">Log_2020[[#This Row],[Amount]]/Log_2020[[#This Row],[Split_raw]]*MAX(0,MIN(_xlfn.DAYS(EDATE(P$1,1),Log_2020[[#This Row],[Date]]),Log_2020[[#This Row],[Split_apply]])) - SUM($O202:O202)</f>
        <v>-60.170999999999992</v>
      </c>
      <c r="Q202" s="37">
        <f ca="1">Log_2020[[#This Row],[Amount]]/Log_2020[[#This Row],[Split_raw]]*MAX(0,MIN(_xlfn.DAYS(EDATE(Q$1,1),Log_2020[[#This Row],[Date]]),Log_2020[[#This Row],[Split_apply]])) - SUM($O202:P202)</f>
        <v>0</v>
      </c>
      <c r="R202" s="37">
        <f ca="1">Log_2020[[#This Row],[Amount]]/Log_2020[[#This Row],[Split_raw]]*MAX(0,MIN(_xlfn.DAYS(EDATE(R$1,1),Log_2020[[#This Row],[Date]]),Log_2020[[#This Row],[Split_apply]])) - SUM($O202:Q202)</f>
        <v>0</v>
      </c>
      <c r="S202" s="37">
        <f ca="1">Log_2020[[#This Row],[Amount]]/Log_2020[[#This Row],[Split_raw]]*MAX(0,MIN(_xlfn.DAYS(EDATE(S$1,1),Log_2020[[#This Row],[Date]]),Log_2020[[#This Row],[Split_apply]])) - SUM($O202:R202)</f>
        <v>0</v>
      </c>
      <c r="T202" s="37">
        <f ca="1">Log_2020[[#This Row],[Amount]]/Log_2020[[#This Row],[Split_raw]]*MAX(0,MIN(_xlfn.DAYS(EDATE(T$1,1),Log_2020[[#This Row],[Date]]),Log_2020[[#This Row],[Split_apply]])) - SUM($O202:S202)</f>
        <v>0</v>
      </c>
      <c r="U202" s="37">
        <f ca="1">Log_2020[[#This Row],[Amount]]/Log_2020[[#This Row],[Split_raw]]*MAX(0,MIN(_xlfn.DAYS(EDATE(U$1,1),Log_2020[[#This Row],[Date]]),Log_2020[[#This Row],[Split_apply]])) - SUM($O202:T202)</f>
        <v>0</v>
      </c>
      <c r="V202" s="37">
        <f ca="1">Log_2020[[#This Row],[Amount]]/Log_2020[[#This Row],[Split_raw]]*MAX(0,MIN(_xlfn.DAYS(EDATE(V$1,1),Log_2020[[#This Row],[Date]]),Log_2020[[#This Row],[Split_apply]])) - SUM($O202:U202)</f>
        <v>0</v>
      </c>
      <c r="W202" s="37">
        <f ca="1">Log_2020[[#This Row],[Amount]]/Log_2020[[#This Row],[Split_raw]]*MAX(0,MIN(_xlfn.DAYS(EDATE(W$1,1),Log_2020[[#This Row],[Date]]),Log_2020[[#This Row],[Split_apply]])) - SUM($O202:V202)</f>
        <v>0</v>
      </c>
      <c r="X202" s="37">
        <f ca="1">Log_2020[[#This Row],[Amount]]/Log_2020[[#This Row],[Split_raw]]*MAX(0,MIN(_xlfn.DAYS(EDATE(X$1,1),Log_2020[[#This Row],[Date]]),Log_2020[[#This Row],[Split_apply]])) - SUM($O202:W202)</f>
        <v>0</v>
      </c>
      <c r="Y202" s="37">
        <f ca="1">Log_2020[[#This Row],[Amount]]/Log_2020[[#This Row],[Split_raw]]*MAX(0,MIN(_xlfn.DAYS(EDATE(Y$1,1),Log_2020[[#This Row],[Date]]),Log_2020[[#This Row],[Split_apply]])) - SUM($O202:X202)</f>
        <v>0</v>
      </c>
      <c r="Z202" s="37">
        <f ca="1">Log_2020[[#This Row],[Amount]]/Log_2020[[#This Row],[Split_raw]]*MAX(0,MIN(_xlfn.DAYS(EDATE(Z$1,1),Log_2020[[#This Row],[Date]]),Log_2020[[#This Row],[Split_apply]])) - SUM($O202:Y202)</f>
        <v>0</v>
      </c>
      <c r="AA202" s="37">
        <f ca="1">Log_2020[[#This Row],[Amount]]/Log_2020[[#This Row],[Split_raw]]*MAX(0,MIN(_xlfn.DAYS(EDATE(AA$1,1),Log_2020[[#This Row],[Date]]),Log_2020[[#This Row],[Split_apply]])) - SUM($O202:Z202)</f>
        <v>0</v>
      </c>
      <c r="AB202" s="59">
        <f ca="1">Log_2020[[#This Row],[Amount]]*Log_2020[[#This Row],[Split_apply]]/Log_2020[[#This Row],[Split_raw]]-SUM(O202:AA202)</f>
        <v>0</v>
      </c>
      <c r="AC202" s="7">
        <f>MAX(0,Log_2020[[#This Row],[Split_raw]] - (EDATE(AA$1,1)-Log_2020[[#This Row],[Date]]))</f>
        <v>0</v>
      </c>
    </row>
    <row r="203" spans="1:29" x14ac:dyDescent="0.25">
      <c r="A203" s="37"/>
      <c r="B203" s="34" t="s">
        <v>880</v>
      </c>
      <c r="C203" s="34"/>
      <c r="D203" s="35">
        <v>43831</v>
      </c>
      <c r="E203" s="34" t="s">
        <v>250</v>
      </c>
      <c r="F203" s="34" t="s">
        <v>243</v>
      </c>
      <c r="G203" s="34" t="s">
        <v>143</v>
      </c>
      <c r="H203" s="58">
        <v>-2.8826666666666672</v>
      </c>
      <c r="I203" s="36">
        <f>IF(Log_2020[[#This Row],[My Category]]="NONTRACKED",0,Log_2020[[#This Row],[Raw Amount]])</f>
        <v>-2.8826666666666672</v>
      </c>
      <c r="J203" s="37">
        <f>ABS(Log_2020[[#This Row],[Amount]])</f>
        <v>2.8826666666666672</v>
      </c>
      <c r="K203" s="38">
        <v>8</v>
      </c>
      <c r="L203" s="38">
        <f ca="1">IF(Log_2020[[#This Row],[Date]]&lt;=TODAY(), MIN(Log_2020[[#This Row],[Split_raw]], TODAY()-Log_2020[[#This Row],[Date]]+1), 0)</f>
        <v>8</v>
      </c>
      <c r="M203" s="34" t="s">
        <v>53</v>
      </c>
      <c r="N203" s="34" t="s">
        <v>160</v>
      </c>
      <c r="O203" s="7"/>
      <c r="P203" s="37">
        <f ca="1">Log_2020[[#This Row],[Amount]]/Log_2020[[#This Row],[Split_raw]]*MAX(0,MIN(_xlfn.DAYS(EDATE(P$1,1),Log_2020[[#This Row],[Date]]),Log_2020[[#This Row],[Split_apply]])) - SUM($O203:O203)</f>
        <v>-2.8826666666666672</v>
      </c>
      <c r="Q203" s="37">
        <f ca="1">Log_2020[[#This Row],[Amount]]/Log_2020[[#This Row],[Split_raw]]*MAX(0,MIN(_xlfn.DAYS(EDATE(Q$1,1),Log_2020[[#This Row],[Date]]),Log_2020[[#This Row],[Split_apply]])) - SUM($O203:P203)</f>
        <v>0</v>
      </c>
      <c r="R203" s="37">
        <f ca="1">Log_2020[[#This Row],[Amount]]/Log_2020[[#This Row],[Split_raw]]*MAX(0,MIN(_xlfn.DAYS(EDATE(R$1,1),Log_2020[[#This Row],[Date]]),Log_2020[[#This Row],[Split_apply]])) - SUM($O203:Q203)</f>
        <v>0</v>
      </c>
      <c r="S203" s="37">
        <f ca="1">Log_2020[[#This Row],[Amount]]/Log_2020[[#This Row],[Split_raw]]*MAX(0,MIN(_xlfn.DAYS(EDATE(S$1,1),Log_2020[[#This Row],[Date]]),Log_2020[[#This Row],[Split_apply]])) - SUM($O203:R203)</f>
        <v>0</v>
      </c>
      <c r="T203" s="37">
        <f ca="1">Log_2020[[#This Row],[Amount]]/Log_2020[[#This Row],[Split_raw]]*MAX(0,MIN(_xlfn.DAYS(EDATE(T$1,1),Log_2020[[#This Row],[Date]]),Log_2020[[#This Row],[Split_apply]])) - SUM($O203:S203)</f>
        <v>0</v>
      </c>
      <c r="U203" s="37">
        <f ca="1">Log_2020[[#This Row],[Amount]]/Log_2020[[#This Row],[Split_raw]]*MAX(0,MIN(_xlfn.DAYS(EDATE(U$1,1),Log_2020[[#This Row],[Date]]),Log_2020[[#This Row],[Split_apply]])) - SUM($O203:T203)</f>
        <v>0</v>
      </c>
      <c r="V203" s="37">
        <f ca="1">Log_2020[[#This Row],[Amount]]/Log_2020[[#This Row],[Split_raw]]*MAX(0,MIN(_xlfn.DAYS(EDATE(V$1,1),Log_2020[[#This Row],[Date]]),Log_2020[[#This Row],[Split_apply]])) - SUM($O203:U203)</f>
        <v>0</v>
      </c>
      <c r="W203" s="37">
        <f ca="1">Log_2020[[#This Row],[Amount]]/Log_2020[[#This Row],[Split_raw]]*MAX(0,MIN(_xlfn.DAYS(EDATE(W$1,1),Log_2020[[#This Row],[Date]]),Log_2020[[#This Row],[Split_apply]])) - SUM($O203:V203)</f>
        <v>0</v>
      </c>
      <c r="X203" s="37">
        <f ca="1">Log_2020[[#This Row],[Amount]]/Log_2020[[#This Row],[Split_raw]]*MAX(0,MIN(_xlfn.DAYS(EDATE(X$1,1),Log_2020[[#This Row],[Date]]),Log_2020[[#This Row],[Split_apply]])) - SUM($O203:W203)</f>
        <v>0</v>
      </c>
      <c r="Y203" s="37">
        <f ca="1">Log_2020[[#This Row],[Amount]]/Log_2020[[#This Row],[Split_raw]]*MAX(0,MIN(_xlfn.DAYS(EDATE(Y$1,1),Log_2020[[#This Row],[Date]]),Log_2020[[#This Row],[Split_apply]])) - SUM($O203:X203)</f>
        <v>0</v>
      </c>
      <c r="Z203" s="37">
        <f ca="1">Log_2020[[#This Row],[Amount]]/Log_2020[[#This Row],[Split_raw]]*MAX(0,MIN(_xlfn.DAYS(EDATE(Z$1,1),Log_2020[[#This Row],[Date]]),Log_2020[[#This Row],[Split_apply]])) - SUM($O203:Y203)</f>
        <v>0</v>
      </c>
      <c r="AA203" s="37">
        <f ca="1">Log_2020[[#This Row],[Amount]]/Log_2020[[#This Row],[Split_raw]]*MAX(0,MIN(_xlfn.DAYS(EDATE(AA$1,1),Log_2020[[#This Row],[Date]]),Log_2020[[#This Row],[Split_apply]])) - SUM($O203:Z203)</f>
        <v>0</v>
      </c>
      <c r="AB203" s="59">
        <f ca="1">Log_2020[[#This Row],[Amount]]*Log_2020[[#This Row],[Split_apply]]/Log_2020[[#This Row],[Split_raw]]-SUM(O203:AA203)</f>
        <v>0</v>
      </c>
      <c r="AC203" s="7">
        <f>MAX(0,Log_2020[[#This Row],[Split_raw]] - (EDATE(AA$1,1)-Log_2020[[#This Row],[Date]]))</f>
        <v>0</v>
      </c>
    </row>
    <row r="204" spans="1:29" x14ac:dyDescent="0.25">
      <c r="A204" s="37"/>
      <c r="B204" s="34" t="s">
        <v>880</v>
      </c>
      <c r="C204" s="34"/>
      <c r="D204" s="35">
        <v>43831</v>
      </c>
      <c r="E204" s="34"/>
      <c r="F204" s="34" t="s">
        <v>620</v>
      </c>
      <c r="G204" s="34" t="s">
        <v>189</v>
      </c>
      <c r="H204" s="58">
        <v>-5.0116666666666667</v>
      </c>
      <c r="I204" s="36">
        <f>IF(Log_2020[[#This Row],[My Category]]="NONTRACKED",0,Log_2020[[#This Row],[Raw Amount]])</f>
        <v>-5.0116666666666667</v>
      </c>
      <c r="J204" s="37">
        <f>ABS(Log_2020[[#This Row],[Amount]])</f>
        <v>5.0116666666666667</v>
      </c>
      <c r="K204" s="38">
        <v>5</v>
      </c>
      <c r="L204" s="38">
        <f ca="1">IF(Log_2020[[#This Row],[Date]]&lt;=TODAY(), MIN(Log_2020[[#This Row],[Split_raw]], TODAY()-Log_2020[[#This Row],[Date]]+1), 0)</f>
        <v>5</v>
      </c>
      <c r="M204" s="34" t="s">
        <v>29</v>
      </c>
      <c r="N204" s="34" t="s">
        <v>158</v>
      </c>
      <c r="O204" s="7"/>
      <c r="P204" s="37">
        <f ca="1">Log_2020[[#This Row],[Amount]]/Log_2020[[#This Row],[Split_raw]]*MAX(0,MIN(_xlfn.DAYS(EDATE(P$1,1),Log_2020[[#This Row],[Date]]),Log_2020[[#This Row],[Split_apply]])) - SUM($O204:O204)</f>
        <v>-5.0116666666666667</v>
      </c>
      <c r="Q204" s="37">
        <f ca="1">Log_2020[[#This Row],[Amount]]/Log_2020[[#This Row],[Split_raw]]*MAX(0,MIN(_xlfn.DAYS(EDATE(Q$1,1),Log_2020[[#This Row],[Date]]),Log_2020[[#This Row],[Split_apply]])) - SUM($O204:P204)</f>
        <v>0</v>
      </c>
      <c r="R204" s="37">
        <f ca="1">Log_2020[[#This Row],[Amount]]/Log_2020[[#This Row],[Split_raw]]*MAX(0,MIN(_xlfn.DAYS(EDATE(R$1,1),Log_2020[[#This Row],[Date]]),Log_2020[[#This Row],[Split_apply]])) - SUM($O204:Q204)</f>
        <v>0</v>
      </c>
      <c r="S204" s="37">
        <f ca="1">Log_2020[[#This Row],[Amount]]/Log_2020[[#This Row],[Split_raw]]*MAX(0,MIN(_xlfn.DAYS(EDATE(S$1,1),Log_2020[[#This Row],[Date]]),Log_2020[[#This Row],[Split_apply]])) - SUM($O204:R204)</f>
        <v>0</v>
      </c>
      <c r="T204" s="37">
        <f ca="1">Log_2020[[#This Row],[Amount]]/Log_2020[[#This Row],[Split_raw]]*MAX(0,MIN(_xlfn.DAYS(EDATE(T$1,1),Log_2020[[#This Row],[Date]]),Log_2020[[#This Row],[Split_apply]])) - SUM($O204:S204)</f>
        <v>0</v>
      </c>
      <c r="U204" s="37">
        <f ca="1">Log_2020[[#This Row],[Amount]]/Log_2020[[#This Row],[Split_raw]]*MAX(0,MIN(_xlfn.DAYS(EDATE(U$1,1),Log_2020[[#This Row],[Date]]),Log_2020[[#This Row],[Split_apply]])) - SUM($O204:T204)</f>
        <v>0</v>
      </c>
      <c r="V204" s="37">
        <f ca="1">Log_2020[[#This Row],[Amount]]/Log_2020[[#This Row],[Split_raw]]*MAX(0,MIN(_xlfn.DAYS(EDATE(V$1,1),Log_2020[[#This Row],[Date]]),Log_2020[[#This Row],[Split_apply]])) - SUM($O204:U204)</f>
        <v>0</v>
      </c>
      <c r="W204" s="37">
        <f ca="1">Log_2020[[#This Row],[Amount]]/Log_2020[[#This Row],[Split_raw]]*MAX(0,MIN(_xlfn.DAYS(EDATE(W$1,1),Log_2020[[#This Row],[Date]]),Log_2020[[#This Row],[Split_apply]])) - SUM($O204:V204)</f>
        <v>0</v>
      </c>
      <c r="X204" s="37">
        <f ca="1">Log_2020[[#This Row],[Amount]]/Log_2020[[#This Row],[Split_raw]]*MAX(0,MIN(_xlfn.DAYS(EDATE(X$1,1),Log_2020[[#This Row],[Date]]),Log_2020[[#This Row],[Split_apply]])) - SUM($O204:W204)</f>
        <v>0</v>
      </c>
      <c r="Y204" s="37">
        <f ca="1">Log_2020[[#This Row],[Amount]]/Log_2020[[#This Row],[Split_raw]]*MAX(0,MIN(_xlfn.DAYS(EDATE(Y$1,1),Log_2020[[#This Row],[Date]]),Log_2020[[#This Row],[Split_apply]])) - SUM($O204:X204)</f>
        <v>0</v>
      </c>
      <c r="Z204" s="37">
        <f ca="1">Log_2020[[#This Row],[Amount]]/Log_2020[[#This Row],[Split_raw]]*MAX(0,MIN(_xlfn.DAYS(EDATE(Z$1,1),Log_2020[[#This Row],[Date]]),Log_2020[[#This Row],[Split_apply]])) - SUM($O204:Y204)</f>
        <v>0</v>
      </c>
      <c r="AA204" s="37">
        <f ca="1">Log_2020[[#This Row],[Amount]]/Log_2020[[#This Row],[Split_raw]]*MAX(0,MIN(_xlfn.DAYS(EDATE(AA$1,1),Log_2020[[#This Row],[Date]]),Log_2020[[#This Row],[Split_apply]])) - SUM($O204:Z204)</f>
        <v>0</v>
      </c>
      <c r="AB204" s="59">
        <f ca="1">Log_2020[[#This Row],[Amount]]*Log_2020[[#This Row],[Split_apply]]/Log_2020[[#This Row],[Split_raw]]-SUM(O204:AA204)</f>
        <v>0</v>
      </c>
      <c r="AC204" s="7">
        <f>MAX(0,Log_2020[[#This Row],[Split_raw]] - (EDATE(AA$1,1)-Log_2020[[#This Row],[Date]]))</f>
        <v>0</v>
      </c>
    </row>
    <row r="205" spans="1:29" x14ac:dyDescent="0.25">
      <c r="A205" s="37"/>
      <c r="B205" s="34" t="s">
        <v>880</v>
      </c>
      <c r="C205" s="34"/>
      <c r="D205" s="35">
        <v>43831</v>
      </c>
      <c r="E205" s="34"/>
      <c r="F205" s="34" t="s">
        <v>846</v>
      </c>
      <c r="G205" s="34" t="s">
        <v>29</v>
      </c>
      <c r="H205" s="58">
        <v>-4.273333333333337</v>
      </c>
      <c r="I205" s="36">
        <f>IF(Log_2020[[#This Row],[My Category]]="NONTRACKED",0,Log_2020[[#This Row],[Raw Amount]])</f>
        <v>-4.273333333333337</v>
      </c>
      <c r="J205" s="37">
        <f>ABS(Log_2020[[#This Row],[Amount]])</f>
        <v>4.273333333333337</v>
      </c>
      <c r="K205" s="38">
        <v>4</v>
      </c>
      <c r="L205" s="38">
        <f ca="1">IF(Log_2020[[#This Row],[Date]]&lt;=TODAY(), MIN(Log_2020[[#This Row],[Split_raw]], TODAY()-Log_2020[[#This Row],[Date]]+1), 0)</f>
        <v>4</v>
      </c>
      <c r="M205" s="34" t="s">
        <v>29</v>
      </c>
      <c r="N205" s="34" t="s">
        <v>160</v>
      </c>
      <c r="O205" s="7"/>
      <c r="P205" s="37">
        <f ca="1">Log_2020[[#This Row],[Amount]]/Log_2020[[#This Row],[Split_raw]]*MAX(0,MIN(_xlfn.DAYS(EDATE(P$1,1),Log_2020[[#This Row],[Date]]),Log_2020[[#This Row],[Split_apply]])) - SUM($O205:O205)</f>
        <v>-4.273333333333337</v>
      </c>
      <c r="Q205" s="37">
        <f ca="1">Log_2020[[#This Row],[Amount]]/Log_2020[[#This Row],[Split_raw]]*MAX(0,MIN(_xlfn.DAYS(EDATE(Q$1,1),Log_2020[[#This Row],[Date]]),Log_2020[[#This Row],[Split_apply]])) - SUM($O205:P205)</f>
        <v>0</v>
      </c>
      <c r="R205" s="37">
        <f ca="1">Log_2020[[#This Row],[Amount]]/Log_2020[[#This Row],[Split_raw]]*MAX(0,MIN(_xlfn.DAYS(EDATE(R$1,1),Log_2020[[#This Row],[Date]]),Log_2020[[#This Row],[Split_apply]])) - SUM($O205:Q205)</f>
        <v>0</v>
      </c>
      <c r="S205" s="37">
        <f ca="1">Log_2020[[#This Row],[Amount]]/Log_2020[[#This Row],[Split_raw]]*MAX(0,MIN(_xlfn.DAYS(EDATE(S$1,1),Log_2020[[#This Row],[Date]]),Log_2020[[#This Row],[Split_apply]])) - SUM($O205:R205)</f>
        <v>0</v>
      </c>
      <c r="T205" s="37">
        <f ca="1">Log_2020[[#This Row],[Amount]]/Log_2020[[#This Row],[Split_raw]]*MAX(0,MIN(_xlfn.DAYS(EDATE(T$1,1),Log_2020[[#This Row],[Date]]),Log_2020[[#This Row],[Split_apply]])) - SUM($O205:S205)</f>
        <v>0</v>
      </c>
      <c r="U205" s="37">
        <f ca="1">Log_2020[[#This Row],[Amount]]/Log_2020[[#This Row],[Split_raw]]*MAX(0,MIN(_xlfn.DAYS(EDATE(U$1,1),Log_2020[[#This Row],[Date]]),Log_2020[[#This Row],[Split_apply]])) - SUM($O205:T205)</f>
        <v>0</v>
      </c>
      <c r="V205" s="37">
        <f ca="1">Log_2020[[#This Row],[Amount]]/Log_2020[[#This Row],[Split_raw]]*MAX(0,MIN(_xlfn.DAYS(EDATE(V$1,1),Log_2020[[#This Row],[Date]]),Log_2020[[#This Row],[Split_apply]])) - SUM($O205:U205)</f>
        <v>0</v>
      </c>
      <c r="W205" s="37">
        <f ca="1">Log_2020[[#This Row],[Amount]]/Log_2020[[#This Row],[Split_raw]]*MAX(0,MIN(_xlfn.DAYS(EDATE(W$1,1),Log_2020[[#This Row],[Date]]),Log_2020[[#This Row],[Split_apply]])) - SUM($O205:V205)</f>
        <v>0</v>
      </c>
      <c r="X205" s="37">
        <f ca="1">Log_2020[[#This Row],[Amount]]/Log_2020[[#This Row],[Split_raw]]*MAX(0,MIN(_xlfn.DAYS(EDATE(X$1,1),Log_2020[[#This Row],[Date]]),Log_2020[[#This Row],[Split_apply]])) - SUM($O205:W205)</f>
        <v>0</v>
      </c>
      <c r="Y205" s="37">
        <f ca="1">Log_2020[[#This Row],[Amount]]/Log_2020[[#This Row],[Split_raw]]*MAX(0,MIN(_xlfn.DAYS(EDATE(Y$1,1),Log_2020[[#This Row],[Date]]),Log_2020[[#This Row],[Split_apply]])) - SUM($O205:X205)</f>
        <v>0</v>
      </c>
      <c r="Z205" s="37">
        <f ca="1">Log_2020[[#This Row],[Amount]]/Log_2020[[#This Row],[Split_raw]]*MAX(0,MIN(_xlfn.DAYS(EDATE(Z$1,1),Log_2020[[#This Row],[Date]]),Log_2020[[#This Row],[Split_apply]])) - SUM($O205:Y205)</f>
        <v>0</v>
      </c>
      <c r="AA205" s="37">
        <f ca="1">Log_2020[[#This Row],[Amount]]/Log_2020[[#This Row],[Split_raw]]*MAX(0,MIN(_xlfn.DAYS(EDATE(AA$1,1),Log_2020[[#This Row],[Date]]),Log_2020[[#This Row],[Split_apply]])) - SUM($O205:Z205)</f>
        <v>0</v>
      </c>
      <c r="AB205" s="59">
        <f ca="1">Log_2020[[#This Row],[Amount]]*Log_2020[[#This Row],[Split_apply]]/Log_2020[[#This Row],[Split_raw]]-SUM(O205:AA205)</f>
        <v>0</v>
      </c>
      <c r="AC205" s="7">
        <f>MAX(0,Log_2020[[#This Row],[Split_raw]] - (EDATE(AA$1,1)-Log_2020[[#This Row],[Date]]))</f>
        <v>0</v>
      </c>
    </row>
    <row r="206" spans="1:29" x14ac:dyDescent="0.25">
      <c r="A206" s="37"/>
      <c r="B206" s="34" t="s">
        <v>880</v>
      </c>
      <c r="C206" s="34"/>
      <c r="D206" s="35">
        <v>43831</v>
      </c>
      <c r="E206" s="34"/>
      <c r="F206" s="34" t="s">
        <v>527</v>
      </c>
      <c r="G206" s="34" t="s">
        <v>20</v>
      </c>
      <c r="H206" s="58">
        <v>-53.333333333333258</v>
      </c>
      <c r="I206" s="36">
        <f>IF(Log_2020[[#This Row],[My Category]]="NONTRACKED",0,Log_2020[[#This Row],[Raw Amount]])</f>
        <v>-53.333333333333258</v>
      </c>
      <c r="J206" s="37">
        <f>ABS(Log_2020[[#This Row],[Amount]])</f>
        <v>53.333333333333258</v>
      </c>
      <c r="K206" s="38">
        <v>1</v>
      </c>
      <c r="L206" s="38">
        <f ca="1">IF(Log_2020[[#This Row],[Date]]&lt;=TODAY(), MIN(Log_2020[[#This Row],[Split_raw]], TODAY()-Log_2020[[#This Row],[Date]]+1), 0)</f>
        <v>1</v>
      </c>
      <c r="M206" s="34" t="s">
        <v>28</v>
      </c>
      <c r="N206" s="34" t="s">
        <v>160</v>
      </c>
      <c r="O206" s="7"/>
      <c r="P206" s="37">
        <f ca="1">Log_2020[[#This Row],[Amount]]/Log_2020[[#This Row],[Split_raw]]*MAX(0,MIN(_xlfn.DAYS(EDATE(P$1,1),Log_2020[[#This Row],[Date]]),Log_2020[[#This Row],[Split_apply]])) - SUM($O206:O206)</f>
        <v>-53.333333333333258</v>
      </c>
      <c r="Q206" s="37">
        <f ca="1">Log_2020[[#This Row],[Amount]]/Log_2020[[#This Row],[Split_raw]]*MAX(0,MIN(_xlfn.DAYS(EDATE(Q$1,1),Log_2020[[#This Row],[Date]]),Log_2020[[#This Row],[Split_apply]])) - SUM($O206:P206)</f>
        <v>0</v>
      </c>
      <c r="R206" s="37">
        <f ca="1">Log_2020[[#This Row],[Amount]]/Log_2020[[#This Row],[Split_raw]]*MAX(0,MIN(_xlfn.DAYS(EDATE(R$1,1),Log_2020[[#This Row],[Date]]),Log_2020[[#This Row],[Split_apply]])) - SUM($O206:Q206)</f>
        <v>0</v>
      </c>
      <c r="S206" s="37">
        <f ca="1">Log_2020[[#This Row],[Amount]]/Log_2020[[#This Row],[Split_raw]]*MAX(0,MIN(_xlfn.DAYS(EDATE(S$1,1),Log_2020[[#This Row],[Date]]),Log_2020[[#This Row],[Split_apply]])) - SUM($O206:R206)</f>
        <v>0</v>
      </c>
      <c r="T206" s="37">
        <f ca="1">Log_2020[[#This Row],[Amount]]/Log_2020[[#This Row],[Split_raw]]*MAX(0,MIN(_xlfn.DAYS(EDATE(T$1,1),Log_2020[[#This Row],[Date]]),Log_2020[[#This Row],[Split_apply]])) - SUM($O206:S206)</f>
        <v>0</v>
      </c>
      <c r="U206" s="37">
        <f ca="1">Log_2020[[#This Row],[Amount]]/Log_2020[[#This Row],[Split_raw]]*MAX(0,MIN(_xlfn.DAYS(EDATE(U$1,1),Log_2020[[#This Row],[Date]]),Log_2020[[#This Row],[Split_apply]])) - SUM($O206:T206)</f>
        <v>0</v>
      </c>
      <c r="V206" s="37">
        <f ca="1">Log_2020[[#This Row],[Amount]]/Log_2020[[#This Row],[Split_raw]]*MAX(0,MIN(_xlfn.DAYS(EDATE(V$1,1),Log_2020[[#This Row],[Date]]),Log_2020[[#This Row],[Split_apply]])) - SUM($O206:U206)</f>
        <v>0</v>
      </c>
      <c r="W206" s="37">
        <f ca="1">Log_2020[[#This Row],[Amount]]/Log_2020[[#This Row],[Split_raw]]*MAX(0,MIN(_xlfn.DAYS(EDATE(W$1,1),Log_2020[[#This Row],[Date]]),Log_2020[[#This Row],[Split_apply]])) - SUM($O206:V206)</f>
        <v>0</v>
      </c>
      <c r="X206" s="37">
        <f ca="1">Log_2020[[#This Row],[Amount]]/Log_2020[[#This Row],[Split_raw]]*MAX(0,MIN(_xlfn.DAYS(EDATE(X$1,1),Log_2020[[#This Row],[Date]]),Log_2020[[#This Row],[Split_apply]])) - SUM($O206:W206)</f>
        <v>0</v>
      </c>
      <c r="Y206" s="37">
        <f ca="1">Log_2020[[#This Row],[Amount]]/Log_2020[[#This Row],[Split_raw]]*MAX(0,MIN(_xlfn.DAYS(EDATE(Y$1,1),Log_2020[[#This Row],[Date]]),Log_2020[[#This Row],[Split_apply]])) - SUM($O206:X206)</f>
        <v>0</v>
      </c>
      <c r="Z206" s="37">
        <f ca="1">Log_2020[[#This Row],[Amount]]/Log_2020[[#This Row],[Split_raw]]*MAX(0,MIN(_xlfn.DAYS(EDATE(Z$1,1),Log_2020[[#This Row],[Date]]),Log_2020[[#This Row],[Split_apply]])) - SUM($O206:Y206)</f>
        <v>0</v>
      </c>
      <c r="AA206" s="37">
        <f ca="1">Log_2020[[#This Row],[Amount]]/Log_2020[[#This Row],[Split_raw]]*MAX(0,MIN(_xlfn.DAYS(EDATE(AA$1,1),Log_2020[[#This Row],[Date]]),Log_2020[[#This Row],[Split_apply]])) - SUM($O206:Z206)</f>
        <v>0</v>
      </c>
      <c r="AB206" s="59">
        <f ca="1">Log_2020[[#This Row],[Amount]]*Log_2020[[#This Row],[Split_apply]]/Log_2020[[#This Row],[Split_raw]]-SUM(O206:AA206)</f>
        <v>0</v>
      </c>
      <c r="AC206" s="7">
        <f>MAX(0,Log_2020[[#This Row],[Split_raw]] - (EDATE(AA$1,1)-Log_2020[[#This Row],[Date]]))</f>
        <v>0</v>
      </c>
    </row>
    <row r="207" spans="1:29" x14ac:dyDescent="0.25">
      <c r="A207" s="37"/>
      <c r="B207" s="34" t="s">
        <v>880</v>
      </c>
      <c r="C207" s="34"/>
      <c r="D207" s="35">
        <v>43831</v>
      </c>
      <c r="E207" s="34" t="s">
        <v>545</v>
      </c>
      <c r="F207" s="34" t="s">
        <v>541</v>
      </c>
      <c r="G207" s="34" t="s">
        <v>11</v>
      </c>
      <c r="H207" s="58">
        <v>-23.646410958904099</v>
      </c>
      <c r="I207" s="36">
        <f>IF(Log_2020[[#This Row],[My Category]]="NONTRACKED",0,Log_2020[[#This Row],[Raw Amount]])</f>
        <v>-23.646410958904099</v>
      </c>
      <c r="J207" s="37">
        <f>ABS(Log_2020[[#This Row],[Amount]])</f>
        <v>23.646410958904099</v>
      </c>
      <c r="K207" s="38">
        <v>67</v>
      </c>
      <c r="L207" s="38">
        <f ca="1">IF(Log_2020[[#This Row],[Date]]&lt;=TODAY(), MIN(Log_2020[[#This Row],[Split_raw]], TODAY()-Log_2020[[#This Row],[Date]]+1), 0)</f>
        <v>67</v>
      </c>
      <c r="M207" s="34" t="s">
        <v>147</v>
      </c>
      <c r="N207" s="34" t="s">
        <v>158</v>
      </c>
      <c r="O207" s="7"/>
      <c r="P207" s="37">
        <f ca="1">Log_2020[[#This Row],[Amount]]/Log_2020[[#This Row],[Split_raw]]*MAX(0,MIN(_xlfn.DAYS(EDATE(P$1,1),Log_2020[[#This Row],[Date]]),Log_2020[[#This Row],[Split_apply]])) - SUM($O207:O207)</f>
        <v>-10.940876712328762</v>
      </c>
      <c r="Q207" s="37">
        <f ca="1">Log_2020[[#This Row],[Amount]]/Log_2020[[#This Row],[Split_raw]]*MAX(0,MIN(_xlfn.DAYS(EDATE(Q$1,1),Log_2020[[#This Row],[Date]]),Log_2020[[#This Row],[Split_apply]])) - SUM($O207:P207)</f>
        <v>-10.23501369863013</v>
      </c>
      <c r="R207" s="37">
        <f ca="1">Log_2020[[#This Row],[Amount]]/Log_2020[[#This Row],[Split_raw]]*MAX(0,MIN(_xlfn.DAYS(EDATE(R$1,1),Log_2020[[#This Row],[Date]]),Log_2020[[#This Row],[Split_apply]])) - SUM($O207:Q207)</f>
        <v>-2.4705205479452061</v>
      </c>
      <c r="S207" s="37">
        <f ca="1">Log_2020[[#This Row],[Amount]]/Log_2020[[#This Row],[Split_raw]]*MAX(0,MIN(_xlfn.DAYS(EDATE(S$1,1),Log_2020[[#This Row],[Date]]),Log_2020[[#This Row],[Split_apply]])) - SUM($O207:R207)</f>
        <v>0</v>
      </c>
      <c r="T207" s="37">
        <f ca="1">Log_2020[[#This Row],[Amount]]/Log_2020[[#This Row],[Split_raw]]*MAX(0,MIN(_xlfn.DAYS(EDATE(T$1,1),Log_2020[[#This Row],[Date]]),Log_2020[[#This Row],[Split_apply]])) - SUM($O207:S207)</f>
        <v>0</v>
      </c>
      <c r="U207" s="37">
        <f ca="1">Log_2020[[#This Row],[Amount]]/Log_2020[[#This Row],[Split_raw]]*MAX(0,MIN(_xlfn.DAYS(EDATE(U$1,1),Log_2020[[#This Row],[Date]]),Log_2020[[#This Row],[Split_apply]])) - SUM($O207:T207)</f>
        <v>0</v>
      </c>
      <c r="V207" s="37">
        <f ca="1">Log_2020[[#This Row],[Amount]]/Log_2020[[#This Row],[Split_raw]]*MAX(0,MIN(_xlfn.DAYS(EDATE(V$1,1),Log_2020[[#This Row],[Date]]),Log_2020[[#This Row],[Split_apply]])) - SUM($O207:U207)</f>
        <v>0</v>
      </c>
      <c r="W207" s="37">
        <f ca="1">Log_2020[[#This Row],[Amount]]/Log_2020[[#This Row],[Split_raw]]*MAX(0,MIN(_xlfn.DAYS(EDATE(W$1,1),Log_2020[[#This Row],[Date]]),Log_2020[[#This Row],[Split_apply]])) - SUM($O207:V207)</f>
        <v>0</v>
      </c>
      <c r="X207" s="37">
        <f ca="1">Log_2020[[#This Row],[Amount]]/Log_2020[[#This Row],[Split_raw]]*MAX(0,MIN(_xlfn.DAYS(EDATE(X$1,1),Log_2020[[#This Row],[Date]]),Log_2020[[#This Row],[Split_apply]])) - SUM($O207:W207)</f>
        <v>0</v>
      </c>
      <c r="Y207" s="37">
        <f ca="1">Log_2020[[#This Row],[Amount]]/Log_2020[[#This Row],[Split_raw]]*MAX(0,MIN(_xlfn.DAYS(EDATE(Y$1,1),Log_2020[[#This Row],[Date]]),Log_2020[[#This Row],[Split_apply]])) - SUM($O207:X207)</f>
        <v>0</v>
      </c>
      <c r="Z207" s="37">
        <f ca="1">Log_2020[[#This Row],[Amount]]/Log_2020[[#This Row],[Split_raw]]*MAX(0,MIN(_xlfn.DAYS(EDATE(Z$1,1),Log_2020[[#This Row],[Date]]),Log_2020[[#This Row],[Split_apply]])) - SUM($O207:Y207)</f>
        <v>0</v>
      </c>
      <c r="AA207" s="37">
        <f ca="1">Log_2020[[#This Row],[Amount]]/Log_2020[[#This Row],[Split_raw]]*MAX(0,MIN(_xlfn.DAYS(EDATE(AA$1,1),Log_2020[[#This Row],[Date]]),Log_2020[[#This Row],[Split_apply]])) - SUM($O207:Z207)</f>
        <v>0</v>
      </c>
      <c r="AB207" s="59">
        <f ca="1">Log_2020[[#This Row],[Amount]]*Log_2020[[#This Row],[Split_apply]]/Log_2020[[#This Row],[Split_raw]]-SUM(O207:AA207)</f>
        <v>0</v>
      </c>
      <c r="AC207" s="7">
        <f>MAX(0,Log_2020[[#This Row],[Split_raw]] - (EDATE(AA$1,1)-Log_2020[[#This Row],[Date]]))</f>
        <v>0</v>
      </c>
    </row>
  </sheetData>
  <dataValidations count="2">
    <dataValidation type="list" allowBlank="1" showInputMessage="1" showErrorMessage="1" sqref="N2:N207" xr:uid="{6A769D35-8BBC-4C97-9A72-23119344C9FB}">
      <formula1>CategoriesList</formula1>
    </dataValidation>
    <dataValidation type="list" errorStyle="warning" allowBlank="1" showInputMessage="1" showErrorMessage="1" sqref="M2:M207" xr:uid="{2BE419A9-B05E-4450-B191-31DA2B6914D5}">
      <formula1>CategoriesList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C93-D4AF-402F-A4D9-BC3D1D16E91A}">
  <dimension ref="A3:AK40"/>
  <sheetViews>
    <sheetView topLeftCell="A7" workbookViewId="0">
      <selection activeCell="AD31" sqref="AD31"/>
    </sheetView>
  </sheetViews>
  <sheetFormatPr defaultRowHeight="15" outlineLevelCol="1" x14ac:dyDescent="0.25"/>
  <cols>
    <col min="1" max="1" width="7.7109375" bestFit="1" customWidth="1"/>
    <col min="2" max="2" width="7.28515625" bestFit="1" customWidth="1" outlineLevel="1"/>
    <col min="3" max="3" width="9" bestFit="1" customWidth="1"/>
    <col min="4" max="4" width="7.28515625" bestFit="1" customWidth="1"/>
    <col min="5" max="5" width="8.140625" bestFit="1" customWidth="1"/>
    <col min="6" max="7" width="7.28515625" bestFit="1" customWidth="1"/>
    <col min="8" max="8" width="8.85546875" bestFit="1" customWidth="1"/>
    <col min="9" max="10" width="7.28515625" bestFit="1" customWidth="1"/>
    <col min="11" max="11" width="11.42578125" bestFit="1" customWidth="1"/>
    <col min="12" max="15" width="7.28515625" bestFit="1" customWidth="1"/>
    <col min="16" max="16" width="9.85546875" bestFit="1" customWidth="1"/>
    <col min="17" max="18" width="8.85546875" bestFit="1" customWidth="1"/>
    <col min="19" max="20" width="7.28515625" bestFit="1" customWidth="1"/>
    <col min="21" max="21" width="8.85546875" bestFit="1" customWidth="1"/>
    <col min="22" max="25" width="7.28515625" bestFit="1" customWidth="1"/>
    <col min="26" max="26" width="8.85546875" bestFit="1" customWidth="1"/>
    <col min="27" max="30" width="7.28515625" bestFit="1" customWidth="1"/>
    <col min="31" max="31" width="8.85546875" bestFit="1" customWidth="1"/>
    <col min="32" max="32" width="9.140625" bestFit="1" customWidth="1"/>
    <col min="33" max="34" width="7.28515625" bestFit="1" customWidth="1"/>
    <col min="35" max="35" width="8.140625" bestFit="1" customWidth="1"/>
    <col min="36" max="36" width="7.28515625" bestFit="1" customWidth="1"/>
    <col min="37" max="37" width="9.85546875" bestFit="1" customWidth="1"/>
  </cols>
  <sheetData>
    <row r="3" spans="1:37" s="84" customFormat="1" ht="85.5" x14ac:dyDescent="0.25">
      <c r="A3" s="83" t="s">
        <v>2</v>
      </c>
      <c r="B3" s="83" t="s">
        <v>952</v>
      </c>
      <c r="C3" s="83" t="s">
        <v>953</v>
      </c>
      <c r="D3" s="83" t="s">
        <v>93</v>
      </c>
      <c r="E3" s="83" t="s">
        <v>241</v>
      </c>
      <c r="F3" s="83" t="s">
        <v>52</v>
      </c>
      <c r="G3" s="83" t="s">
        <v>169</v>
      </c>
      <c r="H3" s="83" t="s">
        <v>38</v>
      </c>
      <c r="I3" s="83" t="s">
        <v>366</v>
      </c>
      <c r="J3" s="83" t="s">
        <v>37</v>
      </c>
      <c r="K3" s="83" t="s">
        <v>53</v>
      </c>
      <c r="L3" s="83" t="s">
        <v>39</v>
      </c>
      <c r="M3" s="83" t="s">
        <v>40</v>
      </c>
      <c r="N3" s="83" t="s">
        <v>41</v>
      </c>
      <c r="O3" s="83" t="s">
        <v>42</v>
      </c>
      <c r="P3" s="83" t="s">
        <v>12</v>
      </c>
      <c r="Q3" s="83" t="s">
        <v>35</v>
      </c>
      <c r="R3" s="83" t="s">
        <v>28</v>
      </c>
      <c r="S3" s="83" t="s">
        <v>29</v>
      </c>
      <c r="T3" s="83" t="s">
        <v>30</v>
      </c>
      <c r="U3" s="83" t="s">
        <v>145</v>
      </c>
      <c r="V3" s="83" t="s">
        <v>36</v>
      </c>
      <c r="W3" s="83" t="s">
        <v>32</v>
      </c>
      <c r="X3" s="83" t="s">
        <v>307</v>
      </c>
      <c r="Y3" s="83" t="s">
        <v>33</v>
      </c>
      <c r="Z3" s="83" t="s">
        <v>34</v>
      </c>
      <c r="AA3" s="83" t="s">
        <v>146</v>
      </c>
      <c r="AB3" s="83" t="s">
        <v>31</v>
      </c>
      <c r="AC3" s="83" t="s">
        <v>196</v>
      </c>
      <c r="AD3" s="83" t="s">
        <v>147</v>
      </c>
      <c r="AE3" s="83" t="s">
        <v>91</v>
      </c>
      <c r="AF3" s="83" t="s">
        <v>144</v>
      </c>
      <c r="AG3" s="83" t="s">
        <v>159</v>
      </c>
      <c r="AH3" s="83" t="s">
        <v>161</v>
      </c>
      <c r="AI3" s="83" t="s">
        <v>101</v>
      </c>
      <c r="AJ3" s="83" t="s">
        <v>755</v>
      </c>
      <c r="AK3" s="83" t="s">
        <v>149</v>
      </c>
    </row>
    <row r="4" spans="1:37" x14ac:dyDescent="0.25">
      <c r="A4" s="72">
        <f>EDATE(DATEVALUE("1/1/2018"),ROW(Totals[[#This Row],[Date]])-ROW(Totals[[#Headers],[Date]])-1)</f>
        <v>43101</v>
      </c>
      <c r="B4" s="72" t="b">
        <f ca="1">IF(TODAY()&gt;EDATE(Totals[[#This Row],[Date]],1),TRUE,FALSE)</f>
        <v>1</v>
      </c>
      <c r="C4" s="73" t="str">
        <f>"Log_" &amp; YEAR(Totals[[#This Row],[Date]])</f>
        <v>Log_2018</v>
      </c>
      <c r="D4" s="68">
        <f ca="1">SUMIF(INDIRECT(Totals[[#This Row],[SourceTable]] &amp; "[My Category]"),D$3,INDIRECT(Totals[[#This Row],[SourceTable]] &amp; "[" &amp; TEXT(Totals[[#This Row],[Date]],"m/d/yy") &amp; "]"))</f>
        <v>-320</v>
      </c>
      <c r="E4" s="68">
        <f ca="1">SUMIF(INDIRECT(Totals[[#This Row],[SourceTable]] &amp; "[My Category]"),E$3,INDIRECT(Totals[[#This Row],[SourceTable]] &amp; "[" &amp; TEXT(Totals[[#This Row],[Date]],"m/d/yy") &amp; "]"))</f>
        <v>-113.22</v>
      </c>
      <c r="F4" s="68">
        <f ca="1">SUMIF(INDIRECT(Totals[[#This Row],[SourceTable]] &amp; "[My Category]"),F$3,INDIRECT(Totals[[#This Row],[SourceTable]] &amp; "[" &amp; TEXT(Totals[[#This Row],[Date]],"m/d/yy") &amp; "]"))</f>
        <v>-73.38</v>
      </c>
      <c r="G4" s="68">
        <f ca="1">SUMIF(INDIRECT(Totals[[#This Row],[SourceTable]] &amp; "[My Category]"),G$3,INDIRECT(Totals[[#This Row],[SourceTable]] &amp; "[" &amp; TEXT(Totals[[#This Row],[Date]],"m/d/yy") &amp; "]"))</f>
        <v>0</v>
      </c>
      <c r="H4" s="68">
        <f ca="1">SUMIF(INDIRECT(Totals[[#This Row],[SourceTable]] &amp; "[My Category]"),H$3,INDIRECT(Totals[[#This Row],[SourceTable]] &amp; "[" &amp; TEXT(Totals[[#This Row],[Date]],"m/d/yy") &amp; "]"))</f>
        <v>0</v>
      </c>
      <c r="I4" s="68">
        <f ca="1">SUMIF(INDIRECT(Totals[[#This Row],[SourceTable]] &amp; "[My Category]"),I$3,INDIRECT(Totals[[#This Row],[SourceTable]] &amp; "[" &amp; TEXT(Totals[[#This Row],[Date]],"m/d/yy") &amp; "]"))</f>
        <v>-152.89999999999998</v>
      </c>
      <c r="J4" s="68">
        <f ca="1">SUMIF(INDIRECT(Totals[[#This Row],[SourceTable]] &amp; "[My Category]"),J$3,INDIRECT(Totals[[#This Row],[SourceTable]] &amp; "[" &amp; TEXT(Totals[[#This Row],[Date]],"m/d/yy") &amp; "]"))</f>
        <v>0</v>
      </c>
      <c r="K4" s="68">
        <f ca="1">SUMIF(INDIRECT(Totals[[#This Row],[SourceTable]] &amp; "[My Category]"),K$3,INDIRECT(Totals[[#This Row],[SourceTable]] &amp; "[" &amp; TEXT(Totals[[#This Row],[Date]],"m/d/yy") &amp; "]"))</f>
        <v>-9.5129999999999999</v>
      </c>
      <c r="L4" s="68">
        <f ca="1">SUMIF(INDIRECT(Totals[[#This Row],[SourceTable]] &amp; "[My Category]"),L$3,INDIRECT(Totals[[#This Row],[SourceTable]] &amp; "[" &amp; TEXT(Totals[[#This Row],[Date]],"m/d/yy") &amp; "]"))</f>
        <v>-35</v>
      </c>
      <c r="M4" s="68">
        <f ca="1">SUMIF(INDIRECT(Totals[[#This Row],[SourceTable]] &amp; "[My Category]"),M$3,INDIRECT(Totals[[#This Row],[SourceTable]] &amp; "[" &amp; TEXT(Totals[[#This Row],[Date]],"m/d/yy") &amp; "]"))</f>
        <v>-114.06</v>
      </c>
      <c r="N4" s="68">
        <f ca="1">SUMIF(INDIRECT(Totals[[#This Row],[SourceTable]] &amp; "[My Category]"),N$3,INDIRECT(Totals[[#This Row],[SourceTable]] &amp; "[" &amp; TEXT(Totals[[#This Row],[Date]],"m/d/yy") &amp; "]"))</f>
        <v>0</v>
      </c>
      <c r="O4" s="68">
        <f ca="1">SUMIF(INDIRECT(Totals[[#This Row],[SourceTable]] &amp; "[My Category]"),O$3,INDIRECT(Totals[[#This Row],[SourceTable]] &amp; "[" &amp; TEXT(Totals[[#This Row],[Date]],"m/d/yy") &amp; "]"))</f>
        <v>17.75</v>
      </c>
      <c r="P4" s="68">
        <f ca="1">SUMIF(INDIRECT(Totals[[#This Row],[SourceTable]] &amp; "[My Category]"),P$3,INDIRECT(Totals[[#This Row],[SourceTable]] &amp; "[" &amp; TEXT(Totals[[#This Row],[Date]],"m/d/yy") &amp; "]"))</f>
        <v>-261.52999999999997</v>
      </c>
      <c r="Q4" s="68">
        <f ca="1">SUMIF(INDIRECT(Totals[[#This Row],[SourceTable]] &amp; "[My Category]"),Q$3,INDIRECT(Totals[[#This Row],[SourceTable]] &amp; "[" &amp; TEXT(Totals[[#This Row],[Date]],"m/d/yy") &amp; "]"))</f>
        <v>-146.83999999999997</v>
      </c>
      <c r="R4" s="68">
        <f ca="1">SUMIF(INDIRECT(Totals[[#This Row],[SourceTable]] &amp; "[My Category]"),R$3,INDIRECT(Totals[[#This Row],[SourceTable]] &amp; "[" &amp; TEXT(Totals[[#This Row],[Date]],"m/d/yy") &amp; "]"))</f>
        <v>0</v>
      </c>
      <c r="S4" s="68">
        <f ca="1">SUMIF(INDIRECT(Totals[[#This Row],[SourceTable]] &amp; "[My Category]"),S$3,INDIRECT(Totals[[#This Row],[SourceTable]] &amp; "[" &amp; TEXT(Totals[[#This Row],[Date]],"m/d/yy") &amp; "]"))</f>
        <v>-30.575342465753423</v>
      </c>
      <c r="T4" s="68">
        <f ca="1">SUMIF(INDIRECT(Totals[[#This Row],[SourceTable]] &amp; "[My Category]"),T$3,INDIRECT(Totals[[#This Row],[SourceTable]] &amp; "[" &amp; TEXT(Totals[[#This Row],[Date]],"m/d/yy") &amp; "]"))</f>
        <v>0</v>
      </c>
      <c r="U4" s="68">
        <f ca="1">SUMIF(INDIRECT(Totals[[#This Row],[SourceTable]] &amp; "[My Category]"),U$3,INDIRECT(Totals[[#This Row],[SourceTable]] &amp; "[" &amp; TEXT(Totals[[#This Row],[Date]],"m/d/yy") &amp; "]"))</f>
        <v>-176.27</v>
      </c>
      <c r="V4" s="68">
        <f ca="1">SUMIF(INDIRECT(Totals[[#This Row],[SourceTable]] &amp; "[My Category]"),V$3,INDIRECT(Totals[[#This Row],[SourceTable]] &amp; "[" &amp; TEXT(Totals[[#This Row],[Date]],"m/d/yy") &amp; "]"))</f>
        <v>0</v>
      </c>
      <c r="W4" s="68">
        <f ca="1">SUMIF(INDIRECT(Totals[[#This Row],[SourceTable]] &amp; "[My Category]"),W$3,INDIRECT(Totals[[#This Row],[SourceTable]] &amp; "[" &amp; TEXT(Totals[[#This Row],[Date]],"m/d/yy") &amp; "]"))</f>
        <v>0</v>
      </c>
      <c r="X4" s="68">
        <f ca="1">SUMIF(INDIRECT(Totals[[#This Row],[SourceTable]] &amp; "[My Category]"),X$3,INDIRECT(Totals[[#This Row],[SourceTable]] &amp; "[" &amp; TEXT(Totals[[#This Row],[Date]],"m/d/yy") &amp; "]"))</f>
        <v>0</v>
      </c>
      <c r="Y4" s="68">
        <f ca="1">SUMIF(INDIRECT(Totals[[#This Row],[SourceTable]] &amp; "[My Category]"),Y$3,INDIRECT(Totals[[#This Row],[SourceTable]] &amp; "[" &amp; TEXT(Totals[[#This Row],[Date]],"m/d/yy") &amp; "]"))</f>
        <v>0</v>
      </c>
      <c r="Z4" s="68">
        <f ca="1">SUMIF(INDIRECT(Totals[[#This Row],[SourceTable]] &amp; "[My Category]"),Z$3,INDIRECT(Totals[[#This Row],[SourceTable]] &amp; "[" &amp; TEXT(Totals[[#This Row],[Date]],"m/d/yy") &amp; "]"))</f>
        <v>0</v>
      </c>
      <c r="AA4" s="68">
        <f ca="1">SUMIF(INDIRECT(Totals[[#This Row],[SourceTable]] &amp; "[My Category]"),AA$3,INDIRECT(Totals[[#This Row],[SourceTable]] &amp; "[" &amp; TEXT(Totals[[#This Row],[Date]],"m/d/yy") &amp; "]"))</f>
        <v>0</v>
      </c>
      <c r="AB4" s="68">
        <f ca="1">SUMIF(INDIRECT(Totals[[#This Row],[SourceTable]] &amp; "[My Category]"),AB$3,INDIRECT(Totals[[#This Row],[SourceTable]] &amp; "[" &amp; TEXT(Totals[[#This Row],[Date]],"m/d/yy") &amp; "]"))</f>
        <v>-211.08</v>
      </c>
      <c r="AC4" s="68">
        <f ca="1">SUMIF(INDIRECT(Totals[[#This Row],[SourceTable]] &amp; "[My Category]"),AC$3,INDIRECT(Totals[[#This Row],[SourceTable]] &amp; "[" &amp; TEXT(Totals[[#This Row],[Date]],"m/d/yy") &amp; "]"))</f>
        <v>-100</v>
      </c>
      <c r="AD4" s="68">
        <f ca="1">SUMIF(INDIRECT(Totals[[#This Row],[SourceTable]] &amp; "[My Category]"),AD$3,INDIRECT(Totals[[#This Row],[SourceTable]] &amp; "[" &amp; TEXT(Totals[[#This Row],[Date]],"m/d/yy") &amp; "]"))</f>
        <v>-35.549999999999997</v>
      </c>
      <c r="AE4" s="68">
        <f ca="1">SUMIF(INDIRECT(Totals[[#This Row],[SourceTable]] &amp; "[My Category]"),AE$3,INDIRECT(Totals[[#This Row],[SourceTable]] &amp; "[" &amp; TEXT(Totals[[#This Row],[Date]],"m/d/yy") &amp; "]"))</f>
        <v>0</v>
      </c>
      <c r="AF4" s="68">
        <f ca="1">SUMIF(INDIRECT(Totals[[#This Row],[SourceTable]] &amp; "[My Category]"),AF$3,INDIRECT(Totals[[#This Row],[SourceTable]] &amp; "[" &amp; TEXT(Totals[[#This Row],[Date]],"m/d/yy") &amp; "]"))</f>
        <v>4683.03</v>
      </c>
      <c r="AG4" s="68">
        <f ca="1">SUMIF(INDIRECT(Totals[[#This Row],[SourceTable]] &amp; "[My Category]"),AG$3,INDIRECT(Totals[[#This Row],[SourceTable]] &amp; "[" &amp; TEXT(Totals[[#This Row],[Date]],"m/d/yy") &amp; "]"))</f>
        <v>0</v>
      </c>
      <c r="AH4" s="68">
        <f ca="1">SUMIF(INDIRECT(Totals[[#This Row],[SourceTable]] &amp; "[My Category]"),AH$3,INDIRECT(Totals[[#This Row],[SourceTable]] &amp; "[" &amp; TEXT(Totals[[#This Row],[Date]],"m/d/yy") &amp; "]"))</f>
        <v>0</v>
      </c>
      <c r="AI4" s="68">
        <f ca="1">SUMIF(INDIRECT(Totals[[#This Row],[SourceTable]] &amp; "[My Category]"),AI$3,INDIRECT(Totals[[#This Row],[SourceTable]] &amp; "[" &amp; TEXT(Totals[[#This Row],[Date]],"m/d/yy") &amp; "]"))</f>
        <v>-398.58356164383559</v>
      </c>
      <c r="AJ4" s="68">
        <f ca="1">SUMIF(INDIRECT(Totals[[#This Row],[SourceTable]] &amp; "[My Category]"),AJ$3,INDIRECT(Totals[[#This Row],[SourceTable]] &amp; "[" &amp; TEXT(Totals[[#This Row],[Date]],"m/d/yy") &amp; "]"))</f>
        <v>0</v>
      </c>
      <c r="AK4" s="69">
        <f ca="1">SUM(Totals[[#This Row],[Car - Note]:[NONTRACKED]])</f>
        <v>2522.2780958904109</v>
      </c>
    </row>
    <row r="5" spans="1:37" x14ac:dyDescent="0.25">
      <c r="A5" s="72">
        <f>EDATE(DATEVALUE("1/1/2018"),ROW(Totals[[#This Row],[Date]])-ROW(Totals[[#Headers],[Date]])-1)</f>
        <v>43132</v>
      </c>
      <c r="B5" s="72" t="b">
        <f ca="1">IF(TODAY()&gt;EDATE(Totals[[#This Row],[Date]],1),TRUE,FALSE)</f>
        <v>1</v>
      </c>
      <c r="C5" s="74" t="str">
        <f>"Log_" &amp; YEAR(Totals[[#This Row],[Date]])</f>
        <v>Log_2018</v>
      </c>
      <c r="D5" s="60">
        <f ca="1">SUMIF(INDIRECT(Totals[[#This Row],[SourceTable]] &amp; "[My Category]"),D$3,INDIRECT(Totals[[#This Row],[SourceTable]] &amp; "[" &amp; TEXT(Totals[[#This Row],[Date]],"m/d/yy") &amp; "]"))</f>
        <v>-320</v>
      </c>
      <c r="E5" s="60">
        <f ca="1">SUMIF(INDIRECT(Totals[[#This Row],[SourceTable]] &amp; "[My Category]"),E$3,INDIRECT(Totals[[#This Row],[SourceTable]] &amp; "[" &amp; TEXT(Totals[[#This Row],[Date]],"m/d/yy") &amp; "]"))</f>
        <v>-59.029666666666671</v>
      </c>
      <c r="F5" s="60">
        <f ca="1">SUMIF(INDIRECT(Totals[[#This Row],[SourceTable]] &amp; "[My Category]"),F$3,INDIRECT(Totals[[#This Row],[SourceTable]] &amp; "[" &amp; TEXT(Totals[[#This Row],[Date]],"m/d/yy") &amp; "]"))</f>
        <v>-83.9</v>
      </c>
      <c r="G5" s="60">
        <f ca="1">SUMIF(INDIRECT(Totals[[#This Row],[SourceTable]] &amp; "[My Category]"),G$3,INDIRECT(Totals[[#This Row],[SourceTable]] &amp; "[" &amp; TEXT(Totals[[#This Row],[Date]],"m/d/yy") &amp; "]"))</f>
        <v>0</v>
      </c>
      <c r="H5" s="60">
        <f ca="1">SUMIF(INDIRECT(Totals[[#This Row],[SourceTable]] &amp; "[My Category]"),H$3,INDIRECT(Totals[[#This Row],[SourceTable]] &amp; "[" &amp; TEXT(Totals[[#This Row],[Date]],"m/d/yy") &amp; "]"))</f>
        <v>0</v>
      </c>
      <c r="I5" s="60">
        <f ca="1">SUMIF(INDIRECT(Totals[[#This Row],[SourceTable]] &amp; "[My Category]"),I$3,INDIRECT(Totals[[#This Row],[SourceTable]] &amp; "[" &amp; TEXT(Totals[[#This Row],[Date]],"m/d/yy") &amp; "]"))</f>
        <v>-117.94</v>
      </c>
      <c r="J5" s="60">
        <f ca="1">SUMIF(INDIRECT(Totals[[#This Row],[SourceTable]] &amp; "[My Category]"),J$3,INDIRECT(Totals[[#This Row],[SourceTable]] &amp; "[" &amp; TEXT(Totals[[#This Row],[Date]],"m/d/yy") &amp; "]"))</f>
        <v>0</v>
      </c>
      <c r="K5" s="60">
        <f ca="1">SUMIF(INDIRECT(Totals[[#This Row],[SourceTable]] &amp; "[My Category]"),K$3,INDIRECT(Totals[[#This Row],[SourceTable]] &amp; "[" &amp; TEXT(Totals[[#This Row],[Date]],"m/d/yy") &amp; "]"))</f>
        <v>-16.361000000000001</v>
      </c>
      <c r="L5" s="60">
        <f ca="1">SUMIF(INDIRECT(Totals[[#This Row],[SourceTable]] &amp; "[My Category]"),L$3,INDIRECT(Totals[[#This Row],[SourceTable]] &amp; "[" &amp; TEXT(Totals[[#This Row],[Date]],"m/d/yy") &amp; "]"))</f>
        <v>0</v>
      </c>
      <c r="M5" s="60">
        <f ca="1">SUMIF(INDIRECT(Totals[[#This Row],[SourceTable]] &amp; "[My Category]"),M$3,INDIRECT(Totals[[#This Row],[SourceTable]] &amp; "[" &amp; TEXT(Totals[[#This Row],[Date]],"m/d/yy") &amp; "]"))</f>
        <v>-26</v>
      </c>
      <c r="N5" s="60">
        <f ca="1">SUMIF(INDIRECT(Totals[[#This Row],[SourceTable]] &amp; "[My Category]"),N$3,INDIRECT(Totals[[#This Row],[SourceTable]] &amp; "[" &amp; TEXT(Totals[[#This Row],[Date]],"m/d/yy") &amp; "]"))</f>
        <v>0</v>
      </c>
      <c r="O5" s="60">
        <f ca="1">SUMIF(INDIRECT(Totals[[#This Row],[SourceTable]] &amp; "[My Category]"),O$3,INDIRECT(Totals[[#This Row],[SourceTable]] &amp; "[" &amp; TEXT(Totals[[#This Row],[Date]],"m/d/yy") &amp; "]"))</f>
        <v>0</v>
      </c>
      <c r="P5" s="60">
        <f ca="1">SUMIF(INDIRECT(Totals[[#This Row],[SourceTable]] &amp; "[My Category]"),P$3,INDIRECT(Totals[[#This Row],[SourceTable]] &amp; "[" &amp; TEXT(Totals[[#This Row],[Date]],"m/d/yy") &amp; "]"))</f>
        <v>-250.68</v>
      </c>
      <c r="Q5" s="60">
        <f ca="1">SUMIF(INDIRECT(Totals[[#This Row],[SourceTable]] &amp; "[My Category]"),Q$3,INDIRECT(Totals[[#This Row],[SourceTable]] &amp; "[" &amp; TEXT(Totals[[#This Row],[Date]],"m/d/yy") &amp; "]"))</f>
        <v>-184.68</v>
      </c>
      <c r="R5" s="60">
        <f ca="1">SUMIF(INDIRECT(Totals[[#This Row],[SourceTable]] &amp; "[My Category]"),R$3,INDIRECT(Totals[[#This Row],[SourceTable]] &amp; "[" &amp; TEXT(Totals[[#This Row],[Date]],"m/d/yy") &amp; "]"))</f>
        <v>-660.22500000000002</v>
      </c>
      <c r="S5" s="60">
        <f ca="1">SUMIF(INDIRECT(Totals[[#This Row],[SourceTable]] &amp; "[My Category]"),S$3,INDIRECT(Totals[[#This Row],[SourceTable]] &amp; "[" &amp; TEXT(Totals[[#This Row],[Date]],"m/d/yy") &amp; "]"))</f>
        <v>-27.61643835616438</v>
      </c>
      <c r="T5" s="60">
        <f ca="1">SUMIF(INDIRECT(Totals[[#This Row],[SourceTable]] &amp; "[My Category]"),T$3,INDIRECT(Totals[[#This Row],[SourceTable]] &amp; "[" &amp; TEXT(Totals[[#This Row],[Date]],"m/d/yy") &amp; "]"))</f>
        <v>0</v>
      </c>
      <c r="U5" s="60">
        <f ca="1">SUMIF(INDIRECT(Totals[[#This Row],[SourceTable]] &amp; "[My Category]"),U$3,INDIRECT(Totals[[#This Row],[SourceTable]] &amp; "[" &amp; TEXT(Totals[[#This Row],[Date]],"m/d/yy") &amp; "]"))</f>
        <v>-194.42</v>
      </c>
      <c r="V5" s="60">
        <f ca="1">SUMIF(INDIRECT(Totals[[#This Row],[SourceTable]] &amp; "[My Category]"),V$3,INDIRECT(Totals[[#This Row],[SourceTable]] &amp; "[" &amp; TEXT(Totals[[#This Row],[Date]],"m/d/yy") &amp; "]"))</f>
        <v>0</v>
      </c>
      <c r="W5" s="60">
        <f ca="1">SUMIF(INDIRECT(Totals[[#This Row],[SourceTable]] &amp; "[My Category]"),W$3,INDIRECT(Totals[[#This Row],[SourceTable]] &amp; "[" &amp; TEXT(Totals[[#This Row],[Date]],"m/d/yy") &amp; "]"))</f>
        <v>0</v>
      </c>
      <c r="X5" s="60">
        <f ca="1">SUMIF(INDIRECT(Totals[[#This Row],[SourceTable]] &amp; "[My Category]"),X$3,INDIRECT(Totals[[#This Row],[SourceTable]] &amp; "[" &amp; TEXT(Totals[[#This Row],[Date]],"m/d/yy") &amp; "]"))</f>
        <v>0</v>
      </c>
      <c r="Y5" s="60">
        <f ca="1">SUMIF(INDIRECT(Totals[[#This Row],[SourceTable]] &amp; "[My Category]"),Y$3,INDIRECT(Totals[[#This Row],[SourceTable]] &amp; "[" &amp; TEXT(Totals[[#This Row],[Date]],"m/d/yy") &amp; "]"))</f>
        <v>0</v>
      </c>
      <c r="Z5" s="60">
        <f ca="1">SUMIF(INDIRECT(Totals[[#This Row],[SourceTable]] &amp; "[My Category]"),Z$3,INDIRECT(Totals[[#This Row],[SourceTable]] &amp; "[" &amp; TEXT(Totals[[#This Row],[Date]],"m/d/yy") &amp; "]"))</f>
        <v>0</v>
      </c>
      <c r="AA5" s="60">
        <f ca="1">SUMIF(INDIRECT(Totals[[#This Row],[SourceTable]] &amp; "[My Category]"),AA$3,INDIRECT(Totals[[#This Row],[SourceTable]] &amp; "[" &amp; TEXT(Totals[[#This Row],[Date]],"m/d/yy") &amp; "]"))</f>
        <v>0</v>
      </c>
      <c r="AB5" s="60">
        <f ca="1">SUMIF(INDIRECT(Totals[[#This Row],[SourceTable]] &amp; "[My Category]"),AB$3,INDIRECT(Totals[[#This Row],[SourceTable]] &amp; "[" &amp; TEXT(Totals[[#This Row],[Date]],"m/d/yy") &amp; "]"))</f>
        <v>0</v>
      </c>
      <c r="AC5" s="60">
        <f ca="1">SUMIF(INDIRECT(Totals[[#This Row],[SourceTable]] &amp; "[My Category]"),AC$3,INDIRECT(Totals[[#This Row],[SourceTable]] &amp; "[" &amp; TEXT(Totals[[#This Row],[Date]],"m/d/yy") &amp; "]"))</f>
        <v>-100</v>
      </c>
      <c r="AD5" s="60">
        <f ca="1">SUMIF(INDIRECT(Totals[[#This Row],[SourceTable]] &amp; "[My Category]"),AD$3,INDIRECT(Totals[[#This Row],[SourceTable]] &amp; "[" &amp; TEXT(Totals[[#This Row],[Date]],"m/d/yy") &amp; "]"))</f>
        <v>-20</v>
      </c>
      <c r="AE5" s="60">
        <f ca="1">SUMIF(INDIRECT(Totals[[#This Row],[SourceTable]] &amp; "[My Category]"),AE$3,INDIRECT(Totals[[#This Row],[SourceTable]] &amp; "[" &amp; TEXT(Totals[[#This Row],[Date]],"m/d/yy") &amp; "]"))</f>
        <v>2922.27</v>
      </c>
      <c r="AF5" s="60">
        <f ca="1">SUMIF(INDIRECT(Totals[[#This Row],[SourceTable]] &amp; "[My Category]"),AF$3,INDIRECT(Totals[[#This Row],[SourceTable]] &amp; "[" &amp; TEXT(Totals[[#This Row],[Date]],"m/d/yy") &amp; "]"))</f>
        <v>0.02</v>
      </c>
      <c r="AG5" s="60">
        <f ca="1">SUMIF(INDIRECT(Totals[[#This Row],[SourceTable]] &amp; "[My Category]"),AG$3,INDIRECT(Totals[[#This Row],[SourceTable]] &amp; "[" &amp; TEXT(Totals[[#This Row],[Date]],"m/d/yy") &amp; "]"))</f>
        <v>0</v>
      </c>
      <c r="AH5" s="60">
        <f ca="1">SUMIF(INDIRECT(Totals[[#This Row],[SourceTable]] &amp; "[My Category]"),AH$3,INDIRECT(Totals[[#This Row],[SourceTable]] &amp; "[" &amp; TEXT(Totals[[#This Row],[Date]],"m/d/yy") &amp; "]"))</f>
        <v>0</v>
      </c>
      <c r="AI5" s="60">
        <f ca="1">SUMIF(INDIRECT(Totals[[#This Row],[SourceTable]] &amp; "[My Category]"),AI$3,INDIRECT(Totals[[#This Row],[SourceTable]] &amp; "[" &amp; TEXT(Totals[[#This Row],[Date]],"m/d/yy") &amp; "]"))</f>
        <v>1639.9890410958903</v>
      </c>
      <c r="AJ5" s="60">
        <f ca="1">SUMIF(INDIRECT(Totals[[#This Row],[SourceTable]] &amp; "[My Category]"),AJ$3,INDIRECT(Totals[[#This Row],[SourceTable]] &amp; "[" &amp; TEXT(Totals[[#This Row],[Date]],"m/d/yy") &amp; "]"))</f>
        <v>0</v>
      </c>
      <c r="AK5" s="70">
        <f ca="1">SUM(Totals[[#This Row],[Car - Note]:[NONTRACKED]])</f>
        <v>2501.4269360730596</v>
      </c>
    </row>
    <row r="6" spans="1:37" x14ac:dyDescent="0.25">
      <c r="A6" s="72">
        <f>EDATE(DATEVALUE("1/1/2018"),ROW(Totals[[#This Row],[Date]])-ROW(Totals[[#Headers],[Date]])-1)</f>
        <v>43160</v>
      </c>
      <c r="B6" s="72" t="b">
        <f ca="1">IF(TODAY()&gt;EDATE(Totals[[#This Row],[Date]],1),TRUE,FALSE)</f>
        <v>1</v>
      </c>
      <c r="C6" s="74" t="str">
        <f>"Log_" &amp; YEAR(Totals[[#This Row],[Date]])</f>
        <v>Log_2018</v>
      </c>
      <c r="D6" s="60">
        <f ca="1">SUMIF(INDIRECT(Totals[[#This Row],[SourceTable]] &amp; "[My Category]"),D$3,INDIRECT(Totals[[#This Row],[SourceTable]] &amp; "[" &amp; TEXT(Totals[[#This Row],[Date]],"m/d/yy") &amp; "]"))</f>
        <v>-320</v>
      </c>
      <c r="E6" s="60">
        <f ca="1">SUMIF(INDIRECT(Totals[[#This Row],[SourceTable]] &amp; "[My Category]"),E$3,INDIRECT(Totals[[#This Row],[SourceTable]] &amp; "[" &amp; TEXT(Totals[[#This Row],[Date]],"m/d/yy") &amp; "]"))</f>
        <v>-141.30033333333336</v>
      </c>
      <c r="F6" s="60">
        <f ca="1">SUMIF(INDIRECT(Totals[[#This Row],[SourceTable]] &amp; "[My Category]"),F$3,INDIRECT(Totals[[#This Row],[SourceTable]] &amp; "[" &amp; TEXT(Totals[[#This Row],[Date]],"m/d/yy") &amp; "]"))</f>
        <v>-88.259999999999991</v>
      </c>
      <c r="G6" s="60">
        <f ca="1">SUMIF(INDIRECT(Totals[[#This Row],[SourceTable]] &amp; "[My Category]"),G$3,INDIRECT(Totals[[#This Row],[SourceTable]] &amp; "[" &amp; TEXT(Totals[[#This Row],[Date]],"m/d/yy") &amp; "]"))</f>
        <v>0</v>
      </c>
      <c r="H6" s="60">
        <f ca="1">SUMIF(INDIRECT(Totals[[#This Row],[SourceTable]] &amp; "[My Category]"),H$3,INDIRECT(Totals[[#This Row],[SourceTable]] &amp; "[" &amp; TEXT(Totals[[#This Row],[Date]],"m/d/yy") &amp; "]"))</f>
        <v>0</v>
      </c>
      <c r="I6" s="60">
        <f ca="1">SUMIF(INDIRECT(Totals[[#This Row],[SourceTable]] &amp; "[My Category]"),I$3,INDIRECT(Totals[[#This Row],[SourceTable]] &amp; "[" &amp; TEXT(Totals[[#This Row],[Date]],"m/d/yy") &amp; "]"))</f>
        <v>-18</v>
      </c>
      <c r="J6" s="60">
        <f ca="1">SUMIF(INDIRECT(Totals[[#This Row],[SourceTable]] &amp; "[My Category]"),J$3,INDIRECT(Totals[[#This Row],[SourceTable]] &amp; "[" &amp; TEXT(Totals[[#This Row],[Date]],"m/d/yy") &amp; "]"))</f>
        <v>0</v>
      </c>
      <c r="K6" s="60">
        <f ca="1">SUMIF(INDIRECT(Totals[[#This Row],[SourceTable]] &amp; "[My Category]"),K$3,INDIRECT(Totals[[#This Row],[SourceTable]] &amp; "[" &amp; TEXT(Totals[[#This Row],[Date]],"m/d/yy") &amp; "]"))</f>
        <v>-21.405999999999999</v>
      </c>
      <c r="L6" s="60">
        <f ca="1">SUMIF(INDIRECT(Totals[[#This Row],[SourceTable]] &amp; "[My Category]"),L$3,INDIRECT(Totals[[#This Row],[SourceTable]] &amp; "[" &amp; TEXT(Totals[[#This Row],[Date]],"m/d/yy") &amp; "]"))</f>
        <v>-11.99</v>
      </c>
      <c r="M6" s="60">
        <f ca="1">SUMIF(INDIRECT(Totals[[#This Row],[SourceTable]] &amp; "[My Category]"),M$3,INDIRECT(Totals[[#This Row],[SourceTable]] &amp; "[" &amp; TEXT(Totals[[#This Row],[Date]],"m/d/yy") &amp; "]"))</f>
        <v>-68.400000000000006</v>
      </c>
      <c r="N6" s="60">
        <f ca="1">SUMIF(INDIRECT(Totals[[#This Row],[SourceTable]] &amp; "[My Category]"),N$3,INDIRECT(Totals[[#This Row],[SourceTable]] &amp; "[" &amp; TEXT(Totals[[#This Row],[Date]],"m/d/yy") &amp; "]"))</f>
        <v>-21.14</v>
      </c>
      <c r="O6" s="60">
        <f ca="1">SUMIF(INDIRECT(Totals[[#This Row],[SourceTable]] &amp; "[My Category]"),O$3,INDIRECT(Totals[[#This Row],[SourceTable]] &amp; "[" &amp; TEXT(Totals[[#This Row],[Date]],"m/d/yy") &amp; "]"))</f>
        <v>0</v>
      </c>
      <c r="P6" s="60">
        <f ca="1">SUMIF(INDIRECT(Totals[[#This Row],[SourceTable]] &amp; "[My Category]"),P$3,INDIRECT(Totals[[#This Row],[SourceTable]] &amp; "[" &amp; TEXT(Totals[[#This Row],[Date]],"m/d/yy") &amp; "]"))</f>
        <v>-94.91</v>
      </c>
      <c r="Q6" s="60">
        <f ca="1">SUMIF(INDIRECT(Totals[[#This Row],[SourceTable]] &amp; "[My Category]"),Q$3,INDIRECT(Totals[[#This Row],[SourceTable]] &amp; "[" &amp; TEXT(Totals[[#This Row],[Date]],"m/d/yy") &amp; "]"))</f>
        <v>-194.79999999999995</v>
      </c>
      <c r="R6" s="60">
        <f ca="1">SUMIF(INDIRECT(Totals[[#This Row],[SourceTable]] &amp; "[My Category]"),R$3,INDIRECT(Totals[[#This Row],[SourceTable]] &amp; "[" &amp; TEXT(Totals[[#This Row],[Date]],"m/d/yy") &amp; "]"))</f>
        <v>-992.02499999999998</v>
      </c>
      <c r="S6" s="60">
        <f ca="1">SUMIF(INDIRECT(Totals[[#This Row],[SourceTable]] &amp; "[My Category]"),S$3,INDIRECT(Totals[[#This Row],[SourceTable]] &amp; "[" &amp; TEXT(Totals[[#This Row],[Date]],"m/d/yy") &amp; "]"))</f>
        <v>-30.575342465753423</v>
      </c>
      <c r="T6" s="60">
        <f ca="1">SUMIF(INDIRECT(Totals[[#This Row],[SourceTable]] &amp; "[My Category]"),T$3,INDIRECT(Totals[[#This Row],[SourceTable]] &amp; "[" &amp; TEXT(Totals[[#This Row],[Date]],"m/d/yy") &amp; "]"))</f>
        <v>-0.83333333333333337</v>
      </c>
      <c r="U6" s="60">
        <f ca="1">SUMIF(INDIRECT(Totals[[#This Row],[SourceTable]] &amp; "[My Category]"),U$3,INDIRECT(Totals[[#This Row],[SourceTable]] &amp; "[" &amp; TEXT(Totals[[#This Row],[Date]],"m/d/yy") &amp; "]"))</f>
        <v>-3803.75</v>
      </c>
      <c r="V6" s="60">
        <f ca="1">SUMIF(INDIRECT(Totals[[#This Row],[SourceTable]] &amp; "[My Category]"),V$3,INDIRECT(Totals[[#This Row],[SourceTable]] &amp; "[" &amp; TEXT(Totals[[#This Row],[Date]],"m/d/yy") &amp; "]"))</f>
        <v>-188.99</v>
      </c>
      <c r="W6" s="60">
        <f ca="1">SUMIF(INDIRECT(Totals[[#This Row],[SourceTable]] &amp; "[My Category]"),W$3,INDIRECT(Totals[[#This Row],[SourceTable]] &amp; "[" &amp; TEXT(Totals[[#This Row],[Date]],"m/d/yy") &amp; "]"))</f>
        <v>0</v>
      </c>
      <c r="X6" s="60">
        <f ca="1">SUMIF(INDIRECT(Totals[[#This Row],[SourceTable]] &amp; "[My Category]"),X$3,INDIRECT(Totals[[#This Row],[SourceTable]] &amp; "[" &amp; TEXT(Totals[[#This Row],[Date]],"m/d/yy") &amp; "]"))</f>
        <v>0</v>
      </c>
      <c r="Y6" s="60">
        <f ca="1">SUMIF(INDIRECT(Totals[[#This Row],[SourceTable]] &amp; "[My Category]"),Y$3,INDIRECT(Totals[[#This Row],[SourceTable]] &amp; "[" &amp; TEXT(Totals[[#This Row],[Date]],"m/d/yy") &amp; "]"))</f>
        <v>0</v>
      </c>
      <c r="Z6" s="60">
        <f ca="1">SUMIF(INDIRECT(Totals[[#This Row],[SourceTable]] &amp; "[My Category]"),Z$3,INDIRECT(Totals[[#This Row],[SourceTable]] &amp; "[" &amp; TEXT(Totals[[#This Row],[Date]],"m/d/yy") &amp; "]"))</f>
        <v>0</v>
      </c>
      <c r="AA6" s="60">
        <f ca="1">SUMIF(INDIRECT(Totals[[#This Row],[SourceTable]] &amp; "[My Category]"),AA$3,INDIRECT(Totals[[#This Row],[SourceTable]] &amp; "[" &amp; TEXT(Totals[[#This Row],[Date]],"m/d/yy") &amp; "]"))</f>
        <v>0</v>
      </c>
      <c r="AB6" s="60">
        <f ca="1">SUMIF(INDIRECT(Totals[[#This Row],[SourceTable]] &amp; "[My Category]"),AB$3,INDIRECT(Totals[[#This Row],[SourceTable]] &amp; "[" &amp; TEXT(Totals[[#This Row],[Date]],"m/d/yy") &amp; "]"))</f>
        <v>22.62</v>
      </c>
      <c r="AC6" s="60">
        <f ca="1">SUMIF(INDIRECT(Totals[[#This Row],[SourceTable]] &amp; "[My Category]"),AC$3,INDIRECT(Totals[[#This Row],[SourceTable]] &amp; "[" &amp; TEXT(Totals[[#This Row],[Date]],"m/d/yy") &amp; "]"))</f>
        <v>0</v>
      </c>
      <c r="AD6" s="60">
        <f ca="1">SUMIF(INDIRECT(Totals[[#This Row],[SourceTable]] &amp; "[My Category]"),AD$3,INDIRECT(Totals[[#This Row],[SourceTable]] &amp; "[" &amp; TEXT(Totals[[#This Row],[Date]],"m/d/yy") &amp; "]"))</f>
        <v>-7.7531780821917815</v>
      </c>
      <c r="AE6" s="60">
        <f ca="1">SUMIF(INDIRECT(Totals[[#This Row],[SourceTable]] &amp; "[My Category]"),AE$3,INDIRECT(Totals[[#This Row],[SourceTable]] &amp; "[" &amp; TEXT(Totals[[#This Row],[Date]],"m/d/yy") &amp; "]"))</f>
        <v>4236.8871428571429</v>
      </c>
      <c r="AF6" s="60">
        <f ca="1">SUMIF(INDIRECT(Totals[[#This Row],[SourceTable]] &amp; "[My Category]"),AF$3,INDIRECT(Totals[[#This Row],[SourceTable]] &amp; "[" &amp; TEXT(Totals[[#This Row],[Date]],"m/d/yy") &amp; "]"))</f>
        <v>4505.21</v>
      </c>
      <c r="AG6" s="60">
        <f ca="1">SUMIF(INDIRECT(Totals[[#This Row],[SourceTable]] &amp; "[My Category]"),AG$3,INDIRECT(Totals[[#This Row],[SourceTable]] &amp; "[" &amp; TEXT(Totals[[#This Row],[Date]],"m/d/yy") &amp; "]"))</f>
        <v>0</v>
      </c>
      <c r="AH6" s="60">
        <f ca="1">SUMIF(INDIRECT(Totals[[#This Row],[SourceTable]] &amp; "[My Category]"),AH$3,INDIRECT(Totals[[#This Row],[SourceTable]] &amp; "[" &amp; TEXT(Totals[[#This Row],[Date]],"m/d/yy") &amp; "]"))</f>
        <v>0</v>
      </c>
      <c r="AI6" s="60">
        <f ca="1">SUMIF(INDIRECT(Totals[[#This Row],[SourceTable]] &amp; "[My Category]"),AI$3,INDIRECT(Totals[[#This Row],[SourceTable]] &amp; "[" &amp; TEXT(Totals[[#This Row],[Date]],"m/d/yy") &amp; "]"))</f>
        <v>-398.58356164383554</v>
      </c>
      <c r="AJ6" s="60">
        <f ca="1">SUMIF(INDIRECT(Totals[[#This Row],[SourceTable]] &amp; "[My Category]"),AJ$3,INDIRECT(Totals[[#This Row],[SourceTable]] &amp; "[" &amp; TEXT(Totals[[#This Row],[Date]],"m/d/yy") &amp; "]"))</f>
        <v>0</v>
      </c>
      <c r="AK6" s="70">
        <f ca="1">SUM(Totals[[#This Row],[Car - Note]:[NONTRACKED]])</f>
        <v>2362.0003939986964</v>
      </c>
    </row>
    <row r="7" spans="1:37" x14ac:dyDescent="0.25">
      <c r="A7" s="72">
        <f>EDATE(DATEVALUE("1/1/2018"),ROW(Totals[[#This Row],[Date]])-ROW(Totals[[#Headers],[Date]])-1)</f>
        <v>43191</v>
      </c>
      <c r="B7" s="72" t="b">
        <f ca="1">IF(TODAY()&gt;EDATE(Totals[[#This Row],[Date]],1),TRUE,FALSE)</f>
        <v>1</v>
      </c>
      <c r="C7" s="74" t="str">
        <f>"Log_" &amp; YEAR(Totals[[#This Row],[Date]])</f>
        <v>Log_2018</v>
      </c>
      <c r="D7" s="60">
        <f ca="1">SUMIF(INDIRECT(Totals[[#This Row],[SourceTable]] &amp; "[My Category]"),D$3,INDIRECT(Totals[[#This Row],[SourceTable]] &amp; "[" &amp; TEXT(Totals[[#This Row],[Date]],"m/d/yy") &amp; "]"))</f>
        <v>-320</v>
      </c>
      <c r="E7" s="60">
        <f ca="1">SUMIF(INDIRECT(Totals[[#This Row],[SourceTable]] &amp; "[My Category]"),E$3,INDIRECT(Totals[[#This Row],[SourceTable]] &amp; "[" &amp; TEXT(Totals[[#This Row],[Date]],"m/d/yy") &amp; "]"))</f>
        <v>-81.85799999999999</v>
      </c>
      <c r="F7" s="60">
        <f ca="1">SUMIF(INDIRECT(Totals[[#This Row],[SourceTable]] &amp; "[My Category]"),F$3,INDIRECT(Totals[[#This Row],[SourceTable]] &amp; "[" &amp; TEXT(Totals[[#This Row],[Date]],"m/d/yy") &amp; "]"))</f>
        <v>-68.819999999999993</v>
      </c>
      <c r="G7" s="60">
        <f ca="1">SUMIF(INDIRECT(Totals[[#This Row],[SourceTable]] &amp; "[My Category]"),G$3,INDIRECT(Totals[[#This Row],[SourceTable]] &amp; "[" &amp; TEXT(Totals[[#This Row],[Date]],"m/d/yy") &amp; "]"))</f>
        <v>0</v>
      </c>
      <c r="H7" s="60">
        <f ca="1">SUMIF(INDIRECT(Totals[[#This Row],[SourceTable]] &amp; "[My Category]"),H$3,INDIRECT(Totals[[#This Row],[SourceTable]] &amp; "[" &amp; TEXT(Totals[[#This Row],[Date]],"m/d/yy") &amp; "]"))</f>
        <v>0</v>
      </c>
      <c r="I7" s="60">
        <f ca="1">SUMIF(INDIRECT(Totals[[#This Row],[SourceTable]] &amp; "[My Category]"),I$3,INDIRECT(Totals[[#This Row],[SourceTable]] &amp; "[" &amp; TEXT(Totals[[#This Row],[Date]],"m/d/yy") &amp; "]"))</f>
        <v>0</v>
      </c>
      <c r="J7" s="60">
        <f ca="1">SUMIF(INDIRECT(Totals[[#This Row],[SourceTable]] &amp; "[My Category]"),J$3,INDIRECT(Totals[[#This Row],[SourceTable]] &amp; "[" &amp; TEXT(Totals[[#This Row],[Date]],"m/d/yy") &amp; "]"))</f>
        <v>0</v>
      </c>
      <c r="K7" s="60">
        <f ca="1">SUMIF(INDIRECT(Totals[[#This Row],[SourceTable]] &amp; "[My Category]"),K$3,INDIRECT(Totals[[#This Row],[SourceTable]] &amp; "[" &amp; TEXT(Totals[[#This Row],[Date]],"m/d/yy") &amp; "]"))</f>
        <v>-169.10533333333333</v>
      </c>
      <c r="L7" s="60">
        <f ca="1">SUMIF(INDIRECT(Totals[[#This Row],[SourceTable]] &amp; "[My Category]"),L$3,INDIRECT(Totals[[#This Row],[SourceTable]] &amp; "[" &amp; TEXT(Totals[[#This Row],[Date]],"m/d/yy") &amp; "]"))</f>
        <v>-16.98</v>
      </c>
      <c r="M7" s="60">
        <f ca="1">SUMIF(INDIRECT(Totals[[#This Row],[SourceTable]] &amp; "[My Category]"),M$3,INDIRECT(Totals[[#This Row],[SourceTable]] &amp; "[" &amp; TEXT(Totals[[#This Row],[Date]],"m/d/yy") &amp; "]"))</f>
        <v>-61.54</v>
      </c>
      <c r="N7" s="60">
        <f ca="1">SUMIF(INDIRECT(Totals[[#This Row],[SourceTable]] &amp; "[My Category]"),N$3,INDIRECT(Totals[[#This Row],[SourceTable]] &amp; "[" &amp; TEXT(Totals[[#This Row],[Date]],"m/d/yy") &amp; "]"))</f>
        <v>0</v>
      </c>
      <c r="O7" s="60">
        <f ca="1">SUMIF(INDIRECT(Totals[[#This Row],[SourceTable]] &amp; "[My Category]"),O$3,INDIRECT(Totals[[#This Row],[SourceTable]] &amp; "[" &amp; TEXT(Totals[[#This Row],[Date]],"m/d/yy") &amp; "]"))</f>
        <v>0</v>
      </c>
      <c r="P7" s="60">
        <f ca="1">SUMIF(INDIRECT(Totals[[#This Row],[SourceTable]] &amp; "[My Category]"),P$3,INDIRECT(Totals[[#This Row],[SourceTable]] &amp; "[" &amp; TEXT(Totals[[#This Row],[Date]],"m/d/yy") &amp; "]"))</f>
        <v>-254.88</v>
      </c>
      <c r="Q7" s="60">
        <f ca="1">SUMIF(INDIRECT(Totals[[#This Row],[SourceTable]] &amp; "[My Category]"),Q$3,INDIRECT(Totals[[#This Row],[SourceTable]] &amp; "[" &amp; TEXT(Totals[[#This Row],[Date]],"m/d/yy") &amp; "]"))</f>
        <v>-197.79</v>
      </c>
      <c r="R7" s="60">
        <f ca="1">SUMIF(INDIRECT(Totals[[#This Row],[SourceTable]] &amp; "[My Category]"),R$3,INDIRECT(Totals[[#This Row],[SourceTable]] &amp; "[" &amp; TEXT(Totals[[#This Row],[Date]],"m/d/yy") &amp; "]"))</f>
        <v>-1430.76</v>
      </c>
      <c r="S7" s="60">
        <f ca="1">SUMIF(INDIRECT(Totals[[#This Row],[SourceTable]] &amp; "[My Category]"),S$3,INDIRECT(Totals[[#This Row],[SourceTable]] &amp; "[" &amp; TEXT(Totals[[#This Row],[Date]],"m/d/yy") &amp; "]"))</f>
        <v>-30.589041095890408</v>
      </c>
      <c r="T7" s="60">
        <f ca="1">SUMIF(INDIRECT(Totals[[#This Row],[SourceTable]] &amp; "[My Category]"),T$3,INDIRECT(Totals[[#This Row],[SourceTable]] &amp; "[" &amp; TEXT(Totals[[#This Row],[Date]],"m/d/yy") &amp; "]"))</f>
        <v>-65.782666666666671</v>
      </c>
      <c r="U7" s="60">
        <f ca="1">SUMIF(INDIRECT(Totals[[#This Row],[SourceTable]] &amp; "[My Category]"),U$3,INDIRECT(Totals[[#This Row],[SourceTable]] &amp; "[" &amp; TEXT(Totals[[#This Row],[Date]],"m/d/yy") &amp; "]"))</f>
        <v>-250.8</v>
      </c>
      <c r="V7" s="60">
        <f ca="1">SUMIF(INDIRECT(Totals[[#This Row],[SourceTable]] &amp; "[My Category]"),V$3,INDIRECT(Totals[[#This Row],[SourceTable]] &amp; "[" &amp; TEXT(Totals[[#This Row],[Date]],"m/d/yy") &amp; "]"))</f>
        <v>-40</v>
      </c>
      <c r="W7" s="60">
        <f ca="1">SUMIF(INDIRECT(Totals[[#This Row],[SourceTable]] &amp; "[My Category]"),W$3,INDIRECT(Totals[[#This Row],[SourceTable]] &amp; "[" &amp; TEXT(Totals[[#This Row],[Date]],"m/d/yy") &amp; "]"))</f>
        <v>0</v>
      </c>
      <c r="X7" s="60">
        <f ca="1">SUMIF(INDIRECT(Totals[[#This Row],[SourceTable]] &amp; "[My Category]"),X$3,INDIRECT(Totals[[#This Row],[SourceTable]] &amp; "[" &amp; TEXT(Totals[[#This Row],[Date]],"m/d/yy") &amp; "]"))</f>
        <v>0</v>
      </c>
      <c r="Y7" s="60">
        <f ca="1">SUMIF(INDIRECT(Totals[[#This Row],[SourceTable]] &amp; "[My Category]"),Y$3,INDIRECT(Totals[[#This Row],[SourceTable]] &amp; "[" &amp; TEXT(Totals[[#This Row],[Date]],"m/d/yy") &amp; "]"))</f>
        <v>0</v>
      </c>
      <c r="Z7" s="60">
        <f ca="1">SUMIF(INDIRECT(Totals[[#This Row],[SourceTable]] &amp; "[My Category]"),Z$3,INDIRECT(Totals[[#This Row],[SourceTable]] &amp; "[" &amp; TEXT(Totals[[#This Row],[Date]],"m/d/yy") &amp; "]"))</f>
        <v>0</v>
      </c>
      <c r="AA7" s="60">
        <f ca="1">SUMIF(INDIRECT(Totals[[#This Row],[SourceTable]] &amp; "[My Category]"),AA$3,INDIRECT(Totals[[#This Row],[SourceTable]] &amp; "[" &amp; TEXT(Totals[[#This Row],[Date]],"m/d/yy") &amp; "]"))</f>
        <v>-22.38</v>
      </c>
      <c r="AB7" s="60">
        <f ca="1">SUMIF(INDIRECT(Totals[[#This Row],[SourceTable]] &amp; "[My Category]"),AB$3,INDIRECT(Totals[[#This Row],[SourceTable]] &amp; "[" &amp; TEXT(Totals[[#This Row],[Date]],"m/d/yy") &amp; "]"))</f>
        <v>0</v>
      </c>
      <c r="AC7" s="60">
        <f ca="1">SUMIF(INDIRECT(Totals[[#This Row],[SourceTable]] &amp; "[My Category]"),AC$3,INDIRECT(Totals[[#This Row],[SourceTable]] &amp; "[" &amp; TEXT(Totals[[#This Row],[Date]],"m/d/yy") &amp; "]"))</f>
        <v>-100</v>
      </c>
      <c r="AD7" s="60">
        <f ca="1">SUMIF(INDIRECT(Totals[[#This Row],[SourceTable]] &amp; "[My Category]"),AD$3,INDIRECT(Totals[[#This Row],[SourceTable]] &amp; "[" &amp; TEXT(Totals[[#This Row],[Date]],"m/d/yy") &amp; "]"))</f>
        <v>-8.8084931506849315</v>
      </c>
      <c r="AE7" s="60">
        <f ca="1">SUMIF(INDIRECT(Totals[[#This Row],[SourceTable]] &amp; "[My Category]"),AE$3,INDIRECT(Totals[[#This Row],[SourceTable]] &amp; "[" &amp; TEXT(Totals[[#This Row],[Date]],"m/d/yy") &amp; "]"))</f>
        <v>4078.971428571429</v>
      </c>
      <c r="AF7" s="60">
        <f ca="1">SUMIF(INDIRECT(Totals[[#This Row],[SourceTable]] &amp; "[My Category]"),AF$3,INDIRECT(Totals[[#This Row],[SourceTable]] &amp; "[" &amp; TEXT(Totals[[#This Row],[Date]],"m/d/yy") &amp; "]"))</f>
        <v>2280.08</v>
      </c>
      <c r="AG7" s="60">
        <f ca="1">SUMIF(INDIRECT(Totals[[#This Row],[SourceTable]] &amp; "[My Category]"),AG$3,INDIRECT(Totals[[#This Row],[SourceTable]] &amp; "[" &amp; TEXT(Totals[[#This Row],[Date]],"m/d/yy") &amp; "]"))</f>
        <v>0</v>
      </c>
      <c r="AH7" s="60">
        <f ca="1">SUMIF(INDIRECT(Totals[[#This Row],[SourceTable]] &amp; "[My Category]"),AH$3,INDIRECT(Totals[[#This Row],[SourceTable]] &amp; "[" &amp; TEXT(Totals[[#This Row],[Date]],"m/d/yy") &amp; "]"))</f>
        <v>0</v>
      </c>
      <c r="AI7" s="60">
        <f ca="1">SUMIF(INDIRECT(Totals[[#This Row],[SourceTable]] &amp; "[My Category]"),AI$3,INDIRECT(Totals[[#This Row],[SourceTable]] &amp; "[" &amp; TEXT(Totals[[#This Row],[Date]],"m/d/yy") &amp; "]"))</f>
        <v>-385.7260273972604</v>
      </c>
      <c r="AJ7" s="60">
        <f ca="1">SUMIF(INDIRECT(Totals[[#This Row],[SourceTable]] &amp; "[My Category]"),AJ$3,INDIRECT(Totals[[#This Row],[SourceTable]] &amp; "[" &amp; TEXT(Totals[[#This Row],[Date]],"m/d/yy") &amp; "]"))</f>
        <v>0</v>
      </c>
      <c r="AK7" s="70">
        <f ca="1">SUM(Totals[[#This Row],[Car - Note]:[NONTRACKED]])</f>
        <v>2853.2318669275928</v>
      </c>
    </row>
    <row r="8" spans="1:37" x14ac:dyDescent="0.25">
      <c r="A8" s="72">
        <f>EDATE(DATEVALUE("1/1/2018"),ROW(Totals[[#This Row],[Date]])-ROW(Totals[[#Headers],[Date]])-1)</f>
        <v>43221</v>
      </c>
      <c r="B8" s="72" t="b">
        <f ca="1">IF(TODAY()&gt;EDATE(Totals[[#This Row],[Date]],1),TRUE,FALSE)</f>
        <v>1</v>
      </c>
      <c r="C8" s="74" t="str">
        <f>"Log_" &amp; YEAR(Totals[[#This Row],[Date]])</f>
        <v>Log_2018</v>
      </c>
      <c r="D8" s="60">
        <f ca="1">SUMIF(INDIRECT(Totals[[#This Row],[SourceTable]] &amp; "[My Category]"),D$3,INDIRECT(Totals[[#This Row],[SourceTable]] &amp; "[" &amp; TEXT(Totals[[#This Row],[Date]],"m/d/yy") &amp; "]"))</f>
        <v>-320</v>
      </c>
      <c r="E8" s="60">
        <f ca="1">SUMIF(INDIRECT(Totals[[#This Row],[SourceTable]] &amp; "[My Category]"),E$3,INDIRECT(Totals[[#This Row],[SourceTable]] &amp; "[" &amp; TEXT(Totals[[#This Row],[Date]],"m/d/yy") &amp; "]"))</f>
        <v>-183.72733333333332</v>
      </c>
      <c r="F8" s="60">
        <f ca="1">SUMIF(INDIRECT(Totals[[#This Row],[SourceTable]] &amp; "[My Category]"),F$3,INDIRECT(Totals[[#This Row],[SourceTable]] &amp; "[" &amp; TEXT(Totals[[#This Row],[Date]],"m/d/yy") &amp; "]"))</f>
        <v>-89.039999999999992</v>
      </c>
      <c r="G8" s="60">
        <f ca="1">SUMIF(INDIRECT(Totals[[#This Row],[SourceTable]] &amp; "[My Category]"),G$3,INDIRECT(Totals[[#This Row],[SourceTable]] &amp; "[" &amp; TEXT(Totals[[#This Row],[Date]],"m/d/yy") &amp; "]"))</f>
        <v>0</v>
      </c>
      <c r="H8" s="60">
        <f ca="1">SUMIF(INDIRECT(Totals[[#This Row],[SourceTable]] &amp; "[My Category]"),H$3,INDIRECT(Totals[[#This Row],[SourceTable]] &amp; "[" &amp; TEXT(Totals[[#This Row],[Date]],"m/d/yy") &amp; "]"))</f>
        <v>0</v>
      </c>
      <c r="I8" s="60">
        <f ca="1">SUMIF(INDIRECT(Totals[[#This Row],[SourceTable]] &amp; "[My Category]"),I$3,INDIRECT(Totals[[#This Row],[SourceTable]] &amp; "[" &amp; TEXT(Totals[[#This Row],[Date]],"m/d/yy") &amp; "]"))</f>
        <v>-17</v>
      </c>
      <c r="J8" s="60">
        <f ca="1">SUMIF(INDIRECT(Totals[[#This Row],[SourceTable]] &amp; "[My Category]"),J$3,INDIRECT(Totals[[#This Row],[SourceTable]] &amp; "[" &amp; TEXT(Totals[[#This Row],[Date]],"m/d/yy") &amp; "]"))</f>
        <v>-14.4</v>
      </c>
      <c r="K8" s="60">
        <f ca="1">SUMIF(INDIRECT(Totals[[#This Row],[SourceTable]] &amp; "[My Category]"),K$3,INDIRECT(Totals[[#This Row],[SourceTable]] &amp; "[" &amp; TEXT(Totals[[#This Row],[Date]],"m/d/yy") &amp; "]"))</f>
        <v>-20.396999999999998</v>
      </c>
      <c r="L8" s="60">
        <f ca="1">SUMIF(INDIRECT(Totals[[#This Row],[SourceTable]] &amp; "[My Category]"),L$3,INDIRECT(Totals[[#This Row],[SourceTable]] &amp; "[" &amp; TEXT(Totals[[#This Row],[Date]],"m/d/yy") &amp; "]"))</f>
        <v>-8</v>
      </c>
      <c r="M8" s="60">
        <f ca="1">SUMIF(INDIRECT(Totals[[#This Row],[SourceTable]] &amp; "[My Category]"),M$3,INDIRECT(Totals[[#This Row],[SourceTable]] &amp; "[" &amp; TEXT(Totals[[#This Row],[Date]],"m/d/yy") &amp; "]"))</f>
        <v>-110.48</v>
      </c>
      <c r="N8" s="60">
        <f ca="1">SUMIF(INDIRECT(Totals[[#This Row],[SourceTable]] &amp; "[My Category]"),N$3,INDIRECT(Totals[[#This Row],[SourceTable]] &amp; "[" &amp; TEXT(Totals[[#This Row],[Date]],"m/d/yy") &amp; "]"))</f>
        <v>0</v>
      </c>
      <c r="O8" s="60">
        <f ca="1">SUMIF(INDIRECT(Totals[[#This Row],[SourceTable]] &amp; "[My Category]"),O$3,INDIRECT(Totals[[#This Row],[SourceTable]] &amp; "[" &amp; TEXT(Totals[[#This Row],[Date]],"m/d/yy") &amp; "]"))</f>
        <v>-533.46999999999991</v>
      </c>
      <c r="P8" s="60">
        <f ca="1">SUMIF(INDIRECT(Totals[[#This Row],[SourceTable]] &amp; "[My Category]"),P$3,INDIRECT(Totals[[#This Row],[SourceTable]] &amp; "[" &amp; TEXT(Totals[[#This Row],[Date]],"m/d/yy") &amp; "]"))</f>
        <v>-223.31</v>
      </c>
      <c r="Q8" s="60">
        <f ca="1">SUMIF(INDIRECT(Totals[[#This Row],[SourceTable]] &amp; "[My Category]"),Q$3,INDIRECT(Totals[[#This Row],[SourceTable]] &amp; "[" &amp; TEXT(Totals[[#This Row],[Date]],"m/d/yy") &amp; "]"))</f>
        <v>-262.32</v>
      </c>
      <c r="R8" s="60">
        <f ca="1">SUMIF(INDIRECT(Totals[[#This Row],[SourceTable]] &amp; "[My Category]"),R$3,INDIRECT(Totals[[#This Row],[SourceTable]] &amp; "[" &amp; TEXT(Totals[[#This Row],[Date]],"m/d/yy") &amp; "]"))</f>
        <v>-1466.65</v>
      </c>
      <c r="S8" s="60">
        <f ca="1">SUMIF(INDIRECT(Totals[[#This Row],[SourceTable]] &amp; "[My Category]"),S$3,INDIRECT(Totals[[#This Row],[SourceTable]] &amp; "[" &amp; TEXT(Totals[[#This Row],[Date]],"m/d/yy") &amp; "]"))</f>
        <v>-55.83367579908677</v>
      </c>
      <c r="T8" s="60">
        <f ca="1">SUMIF(INDIRECT(Totals[[#This Row],[SourceTable]] &amp; "[My Category]"),T$3,INDIRECT(Totals[[#This Row],[SourceTable]] &amp; "[" &amp; TEXT(Totals[[#This Row],[Date]],"m/d/yy") &amp; "]"))</f>
        <v>-85.037333333333336</v>
      </c>
      <c r="U8" s="60">
        <f ca="1">SUMIF(INDIRECT(Totals[[#This Row],[SourceTable]] &amp; "[My Category]"),U$3,INDIRECT(Totals[[#This Row],[SourceTable]] &amp; "[" &amp; TEXT(Totals[[#This Row],[Date]],"m/d/yy") &amp; "]"))</f>
        <v>-34.4</v>
      </c>
      <c r="V8" s="60">
        <f ca="1">SUMIF(INDIRECT(Totals[[#This Row],[SourceTable]] &amp; "[My Category]"),V$3,INDIRECT(Totals[[#This Row],[SourceTable]] &amp; "[" &amp; TEXT(Totals[[#This Row],[Date]],"m/d/yy") &amp; "]"))</f>
        <v>-105</v>
      </c>
      <c r="W8" s="60">
        <f ca="1">SUMIF(INDIRECT(Totals[[#This Row],[SourceTable]] &amp; "[My Category]"),W$3,INDIRECT(Totals[[#This Row],[SourceTable]] &amp; "[" &amp; TEXT(Totals[[#This Row],[Date]],"m/d/yy") &amp; "]"))</f>
        <v>0</v>
      </c>
      <c r="X8" s="60">
        <f ca="1">SUMIF(INDIRECT(Totals[[#This Row],[SourceTable]] &amp; "[My Category]"),X$3,INDIRECT(Totals[[#This Row],[SourceTable]] &amp; "[" &amp; TEXT(Totals[[#This Row],[Date]],"m/d/yy") &amp; "]"))</f>
        <v>0</v>
      </c>
      <c r="Y8" s="60">
        <f ca="1">SUMIF(INDIRECT(Totals[[#This Row],[SourceTable]] &amp; "[My Category]"),Y$3,INDIRECT(Totals[[#This Row],[SourceTable]] &amp; "[" &amp; TEXT(Totals[[#This Row],[Date]],"m/d/yy") &amp; "]"))</f>
        <v>0</v>
      </c>
      <c r="Z8" s="60">
        <f ca="1">SUMIF(INDIRECT(Totals[[#This Row],[SourceTable]] &amp; "[My Category]"),Z$3,INDIRECT(Totals[[#This Row],[SourceTable]] &amp; "[" &amp; TEXT(Totals[[#This Row],[Date]],"m/d/yy") &amp; "]"))</f>
        <v>0</v>
      </c>
      <c r="AA8" s="60">
        <f ca="1">SUMIF(INDIRECT(Totals[[#This Row],[SourceTable]] &amp; "[My Category]"),AA$3,INDIRECT(Totals[[#This Row],[SourceTable]] &amp; "[" &amp; TEXT(Totals[[#This Row],[Date]],"m/d/yy") &amp; "]"))</f>
        <v>0</v>
      </c>
      <c r="AB8" s="60">
        <f ca="1">SUMIF(INDIRECT(Totals[[#This Row],[SourceTable]] &amp; "[My Category]"),AB$3,INDIRECT(Totals[[#This Row],[SourceTable]] &amp; "[" &amp; TEXT(Totals[[#This Row],[Date]],"m/d/yy") &amp; "]"))</f>
        <v>0</v>
      </c>
      <c r="AC8" s="60">
        <f ca="1">SUMIF(INDIRECT(Totals[[#This Row],[SourceTable]] &amp; "[My Category]"),AC$3,INDIRECT(Totals[[#This Row],[SourceTable]] &amp; "[" &amp; TEXT(Totals[[#This Row],[Date]],"m/d/yy") &amp; "]"))</f>
        <v>0</v>
      </c>
      <c r="AD8" s="60">
        <f ca="1">SUMIF(INDIRECT(Totals[[#This Row],[SourceTable]] &amp; "[My Category]"),AD$3,INDIRECT(Totals[[#This Row],[SourceTable]] &amp; "[" &amp; TEXT(Totals[[#This Row],[Date]],"m/d/yy") &amp; "]"))</f>
        <v>-9.102109589041099</v>
      </c>
      <c r="AE8" s="60">
        <f ca="1">SUMIF(INDIRECT(Totals[[#This Row],[SourceTable]] &amp; "[My Category]"),AE$3,INDIRECT(Totals[[#This Row],[SourceTable]] &amp; "[" &amp; TEXT(Totals[[#This Row],[Date]],"m/d/yy") &amp; "]"))</f>
        <v>3980.8785714285714</v>
      </c>
      <c r="AF8" s="60">
        <f ca="1">SUMIF(INDIRECT(Totals[[#This Row],[SourceTable]] &amp; "[My Category]"),AF$3,INDIRECT(Totals[[#This Row],[SourceTable]] &amp; "[" &amp; TEXT(Totals[[#This Row],[Date]],"m/d/yy") &amp; "]"))</f>
        <v>165.09</v>
      </c>
      <c r="AG8" s="60">
        <f ca="1">SUMIF(INDIRECT(Totals[[#This Row],[SourceTable]] &amp; "[My Category]"),AG$3,INDIRECT(Totals[[#This Row],[SourceTable]] &amp; "[" &amp; TEXT(Totals[[#This Row],[Date]],"m/d/yy") &amp; "]"))</f>
        <v>0</v>
      </c>
      <c r="AH8" s="60">
        <f ca="1">SUMIF(INDIRECT(Totals[[#This Row],[SourceTable]] &amp; "[My Category]"),AH$3,INDIRECT(Totals[[#This Row],[SourceTable]] &amp; "[" &amp; TEXT(Totals[[#This Row],[Date]],"m/d/yy") &amp; "]"))</f>
        <v>0</v>
      </c>
      <c r="AI8" s="60">
        <f ca="1">SUMIF(INDIRECT(Totals[[#This Row],[SourceTable]] &amp; "[My Category]"),AI$3,INDIRECT(Totals[[#This Row],[SourceTable]] &amp; "[" &amp; TEXT(Totals[[#This Row],[Date]],"m/d/yy") &amp; "]"))</f>
        <v>-798.48356164383551</v>
      </c>
      <c r="AJ8" s="60">
        <f ca="1">SUMIF(INDIRECT(Totals[[#This Row],[SourceTable]] &amp; "[My Category]"),AJ$3,INDIRECT(Totals[[#This Row],[SourceTable]] &amp; "[" &amp; TEXT(Totals[[#This Row],[Date]],"m/d/yy") &amp; "]"))</f>
        <v>0</v>
      </c>
      <c r="AK8" s="70">
        <f ca="1">SUM(Totals[[#This Row],[Car - Note]:[NONTRACKED]])</f>
        <v>-190.68244227005857</v>
      </c>
    </row>
    <row r="9" spans="1:37" x14ac:dyDescent="0.25">
      <c r="A9" s="72">
        <f>EDATE(DATEVALUE("1/1/2018"),ROW(Totals[[#This Row],[Date]])-ROW(Totals[[#Headers],[Date]])-1)</f>
        <v>43252</v>
      </c>
      <c r="B9" s="72" t="b">
        <f ca="1">IF(TODAY()&gt;EDATE(Totals[[#This Row],[Date]],1),TRUE,FALSE)</f>
        <v>1</v>
      </c>
      <c r="C9" s="74" t="str">
        <f>"Log_" &amp; YEAR(Totals[[#This Row],[Date]])</f>
        <v>Log_2018</v>
      </c>
      <c r="D9" s="60">
        <f ca="1">SUMIF(INDIRECT(Totals[[#This Row],[SourceTable]] &amp; "[My Category]"),D$3,INDIRECT(Totals[[#This Row],[SourceTable]] &amp; "[" &amp; TEXT(Totals[[#This Row],[Date]],"m/d/yy") &amp; "]"))</f>
        <v>-320</v>
      </c>
      <c r="E9" s="60">
        <f ca="1">SUMIF(INDIRECT(Totals[[#This Row],[SourceTable]] &amp; "[My Category]"),E$3,INDIRECT(Totals[[#This Row],[SourceTable]] &amp; "[" &amp; TEXT(Totals[[#This Row],[Date]],"m/d/yy") &amp; "]"))</f>
        <v>-215.30699999999999</v>
      </c>
      <c r="F9" s="60">
        <f ca="1">SUMIF(INDIRECT(Totals[[#This Row],[SourceTable]] &amp; "[My Category]"),F$3,INDIRECT(Totals[[#This Row],[SourceTable]] &amp; "[" &amp; TEXT(Totals[[#This Row],[Date]],"m/d/yy") &amp; "]"))</f>
        <v>-63.33</v>
      </c>
      <c r="G9" s="60">
        <f ca="1">SUMIF(INDIRECT(Totals[[#This Row],[SourceTable]] &amp; "[My Category]"),G$3,INDIRECT(Totals[[#This Row],[SourceTable]] &amp; "[" &amp; TEXT(Totals[[#This Row],[Date]],"m/d/yy") &amp; "]"))</f>
        <v>0</v>
      </c>
      <c r="H9" s="60">
        <f ca="1">SUMIF(INDIRECT(Totals[[#This Row],[SourceTable]] &amp; "[My Category]"),H$3,INDIRECT(Totals[[#This Row],[SourceTable]] &amp; "[" &amp; TEXT(Totals[[#This Row],[Date]],"m/d/yy") &amp; "]"))</f>
        <v>0</v>
      </c>
      <c r="I9" s="60">
        <f ca="1">SUMIF(INDIRECT(Totals[[#This Row],[SourceTable]] &amp; "[My Category]"),I$3,INDIRECT(Totals[[#This Row],[SourceTable]] &amp; "[" &amp; TEXT(Totals[[#This Row],[Date]],"m/d/yy") &amp; "]"))</f>
        <v>0</v>
      </c>
      <c r="J9" s="60">
        <f ca="1">SUMIF(INDIRECT(Totals[[#This Row],[SourceTable]] &amp; "[My Category]"),J$3,INDIRECT(Totals[[#This Row],[SourceTable]] &amp; "[" &amp; TEXT(Totals[[#This Row],[Date]],"m/d/yy") &amp; "]"))</f>
        <v>-35.64</v>
      </c>
      <c r="K9" s="60">
        <f ca="1">SUMIF(INDIRECT(Totals[[#This Row],[SourceTable]] &amp; "[My Category]"),K$3,INDIRECT(Totals[[#This Row],[SourceTable]] &amp; "[" &amp; TEXT(Totals[[#This Row],[Date]],"m/d/yy") &amp; "]"))</f>
        <v>-18.739333333333335</v>
      </c>
      <c r="L9" s="60">
        <f ca="1">SUMIF(INDIRECT(Totals[[#This Row],[SourceTable]] &amp; "[My Category]"),L$3,INDIRECT(Totals[[#This Row],[SourceTable]] &amp; "[" &amp; TEXT(Totals[[#This Row],[Date]],"m/d/yy") &amp; "]"))</f>
        <v>-20.02</v>
      </c>
      <c r="M9" s="60">
        <f ca="1">SUMIF(INDIRECT(Totals[[#This Row],[SourceTable]] &amp; "[My Category]"),M$3,INDIRECT(Totals[[#This Row],[SourceTable]] &amp; "[" &amp; TEXT(Totals[[#This Row],[Date]],"m/d/yy") &amp; "]"))</f>
        <v>-71.39</v>
      </c>
      <c r="N9" s="60">
        <f ca="1">SUMIF(INDIRECT(Totals[[#This Row],[SourceTable]] &amp; "[My Category]"),N$3,INDIRECT(Totals[[#This Row],[SourceTable]] &amp; "[" &amp; TEXT(Totals[[#This Row],[Date]],"m/d/yy") &amp; "]"))</f>
        <v>0</v>
      </c>
      <c r="O9" s="60">
        <f ca="1">SUMIF(INDIRECT(Totals[[#This Row],[SourceTable]] &amp; "[My Category]"),O$3,INDIRECT(Totals[[#This Row],[SourceTable]] &amp; "[" &amp; TEXT(Totals[[#This Row],[Date]],"m/d/yy") &amp; "]"))</f>
        <v>-99</v>
      </c>
      <c r="P9" s="60">
        <f ca="1">SUMIF(INDIRECT(Totals[[#This Row],[SourceTable]] &amp; "[My Category]"),P$3,INDIRECT(Totals[[#This Row],[SourceTable]] &amp; "[" &amp; TEXT(Totals[[#This Row],[Date]],"m/d/yy") &amp; "]"))</f>
        <v>-141.42000000000002</v>
      </c>
      <c r="Q9" s="60">
        <f ca="1">SUMIF(INDIRECT(Totals[[#This Row],[SourceTable]] &amp; "[My Category]"),Q$3,INDIRECT(Totals[[#This Row],[SourceTable]] &amp; "[" &amp; TEXT(Totals[[#This Row],[Date]],"m/d/yy") &amp; "]"))</f>
        <v>-224.37999999999997</v>
      </c>
      <c r="R9" s="60">
        <f ca="1">SUMIF(INDIRECT(Totals[[#This Row],[SourceTable]] &amp; "[My Category]"),R$3,INDIRECT(Totals[[#This Row],[SourceTable]] &amp; "[" &amp; TEXT(Totals[[#This Row],[Date]],"m/d/yy") &amp; "]"))</f>
        <v>-1430.77</v>
      </c>
      <c r="S9" s="60">
        <f ca="1">SUMIF(INDIRECT(Totals[[#This Row],[SourceTable]] &amp; "[My Category]"),S$3,INDIRECT(Totals[[#This Row],[SourceTable]] &amp; "[" &amp; TEXT(Totals[[#This Row],[Date]],"m/d/yy") &amp; "]"))</f>
        <v>-89.514041095890391</v>
      </c>
      <c r="T9" s="60">
        <f ca="1">SUMIF(INDIRECT(Totals[[#This Row],[SourceTable]] &amp; "[My Category]"),T$3,INDIRECT(Totals[[#This Row],[SourceTable]] &amp; "[" &amp; TEXT(Totals[[#This Row],[Date]],"m/d/yy") &amp; "]"))</f>
        <v>-79.614666666666665</v>
      </c>
      <c r="U9" s="60">
        <f ca="1">SUMIF(INDIRECT(Totals[[#This Row],[SourceTable]] &amp; "[My Category]"),U$3,INDIRECT(Totals[[#This Row],[SourceTable]] &amp; "[" &amp; TEXT(Totals[[#This Row],[Date]],"m/d/yy") &amp; "]"))</f>
        <v>0</v>
      </c>
      <c r="V9" s="60">
        <f ca="1">SUMIF(INDIRECT(Totals[[#This Row],[SourceTable]] &amp; "[My Category]"),V$3,INDIRECT(Totals[[#This Row],[SourceTable]] &amp; "[" &amp; TEXT(Totals[[#This Row],[Date]],"m/d/yy") &amp; "]"))</f>
        <v>0</v>
      </c>
      <c r="W9" s="60">
        <f ca="1">SUMIF(INDIRECT(Totals[[#This Row],[SourceTable]] &amp; "[My Category]"),W$3,INDIRECT(Totals[[#This Row],[SourceTable]] &amp; "[" &amp; TEXT(Totals[[#This Row],[Date]],"m/d/yy") &amp; "]"))</f>
        <v>0</v>
      </c>
      <c r="X9" s="60">
        <f ca="1">SUMIF(INDIRECT(Totals[[#This Row],[SourceTable]] &amp; "[My Category]"),X$3,INDIRECT(Totals[[#This Row],[SourceTable]] &amp; "[" &amp; TEXT(Totals[[#This Row],[Date]],"m/d/yy") &amp; "]"))</f>
        <v>0</v>
      </c>
      <c r="Y9" s="60">
        <f ca="1">SUMIF(INDIRECT(Totals[[#This Row],[SourceTable]] &amp; "[My Category]"),Y$3,INDIRECT(Totals[[#This Row],[SourceTable]] &amp; "[" &amp; TEXT(Totals[[#This Row],[Date]],"m/d/yy") &amp; "]"))</f>
        <v>0</v>
      </c>
      <c r="Z9" s="60">
        <f ca="1">SUMIF(INDIRECT(Totals[[#This Row],[SourceTable]] &amp; "[My Category]"),Z$3,INDIRECT(Totals[[#This Row],[SourceTable]] &amp; "[" &amp; TEXT(Totals[[#This Row],[Date]],"m/d/yy") &amp; "]"))</f>
        <v>0</v>
      </c>
      <c r="AA9" s="60">
        <f ca="1">SUMIF(INDIRECT(Totals[[#This Row],[SourceTable]] &amp; "[My Category]"),AA$3,INDIRECT(Totals[[#This Row],[SourceTable]] &amp; "[" &amp; TEXT(Totals[[#This Row],[Date]],"m/d/yy") &amp; "]"))</f>
        <v>-12.31</v>
      </c>
      <c r="AB9" s="60">
        <f ca="1">SUMIF(INDIRECT(Totals[[#This Row],[SourceTable]] &amp; "[My Category]"),AB$3,INDIRECT(Totals[[#This Row],[SourceTable]] &amp; "[" &amp; TEXT(Totals[[#This Row],[Date]],"m/d/yy") &amp; "]"))</f>
        <v>0</v>
      </c>
      <c r="AC9" s="60">
        <f ca="1">SUMIF(INDIRECT(Totals[[#This Row],[SourceTable]] &amp; "[My Category]"),AC$3,INDIRECT(Totals[[#This Row],[SourceTable]] &amp; "[" &amp; TEXT(Totals[[#This Row],[Date]],"m/d/yy") &amp; "]"))</f>
        <v>0</v>
      </c>
      <c r="AD9" s="60">
        <f ca="1">SUMIF(INDIRECT(Totals[[#This Row],[SourceTable]] &amp; "[My Category]"),AD$3,INDIRECT(Totals[[#This Row],[SourceTable]] &amp; "[" &amp; TEXT(Totals[[#This Row],[Date]],"m/d/yy") &amp; "]"))</f>
        <v>-33.808493150684932</v>
      </c>
      <c r="AE9" s="60">
        <f ca="1">SUMIF(INDIRECT(Totals[[#This Row],[SourceTable]] &amp; "[My Category]"),AE$3,INDIRECT(Totals[[#This Row],[SourceTable]] &amp; "[" &amp; TEXT(Totals[[#This Row],[Date]],"m/d/yy") &amp; "]"))</f>
        <v>3808.1476190476187</v>
      </c>
      <c r="AF9" s="60">
        <f ca="1">SUMIF(INDIRECT(Totals[[#This Row],[SourceTable]] &amp; "[My Category]"),AF$3,INDIRECT(Totals[[#This Row],[SourceTable]] &amp; "[" &amp; TEXT(Totals[[#This Row],[Date]],"m/d/yy") &amp; "]"))</f>
        <v>18.61</v>
      </c>
      <c r="AG9" s="60">
        <f ca="1">SUMIF(INDIRECT(Totals[[#This Row],[SourceTable]] &amp; "[My Category]"),AG$3,INDIRECT(Totals[[#This Row],[SourceTable]] &amp; "[" &amp; TEXT(Totals[[#This Row],[Date]],"m/d/yy") &amp; "]"))</f>
        <v>0</v>
      </c>
      <c r="AH9" s="60">
        <f ca="1">SUMIF(INDIRECT(Totals[[#This Row],[SourceTable]] &amp; "[My Category]"),AH$3,INDIRECT(Totals[[#This Row],[SourceTable]] &amp; "[" &amp; TEXT(Totals[[#This Row],[Date]],"m/d/yy") &amp; "]"))</f>
        <v>0</v>
      </c>
      <c r="AI9" s="60">
        <f ca="1">SUMIF(INDIRECT(Totals[[#This Row],[SourceTable]] &amp; "[My Category]"),AI$3,INDIRECT(Totals[[#This Row],[SourceTable]] &amp; "[" &amp; TEXT(Totals[[#This Row],[Date]],"m/d/yy") &amp; "]"))</f>
        <v>14.273972602739605</v>
      </c>
      <c r="AJ9" s="60">
        <f ca="1">SUMIF(INDIRECT(Totals[[#This Row],[SourceTable]] &amp; "[My Category]"),AJ$3,INDIRECT(Totals[[#This Row],[SourceTable]] &amp; "[" &amp; TEXT(Totals[[#This Row],[Date]],"m/d/yy") &amp; "]"))</f>
        <v>0</v>
      </c>
      <c r="AK9" s="70">
        <f ca="1">SUM(Totals[[#This Row],[Car - Note]:[NONTRACKED]])</f>
        <v>985.78805740378277</v>
      </c>
    </row>
    <row r="10" spans="1:37" x14ac:dyDescent="0.25">
      <c r="A10" s="72">
        <f>EDATE(DATEVALUE("1/1/2018"),ROW(Totals[[#This Row],[Date]])-ROW(Totals[[#Headers],[Date]])-1)</f>
        <v>43282</v>
      </c>
      <c r="B10" s="72" t="b">
        <f ca="1">IF(TODAY()&gt;EDATE(Totals[[#This Row],[Date]],1),TRUE,FALSE)</f>
        <v>1</v>
      </c>
      <c r="C10" s="74" t="str">
        <f>"Log_" &amp; YEAR(Totals[[#This Row],[Date]])</f>
        <v>Log_2018</v>
      </c>
      <c r="D10" s="60">
        <f ca="1">SUMIF(INDIRECT(Totals[[#This Row],[SourceTable]] &amp; "[My Category]"),D$3,INDIRECT(Totals[[#This Row],[SourceTable]] &amp; "[" &amp; TEXT(Totals[[#This Row],[Date]],"m/d/yy") &amp; "]"))</f>
        <v>-320</v>
      </c>
      <c r="E10" s="60">
        <f ca="1">SUMIF(INDIRECT(Totals[[#This Row],[SourceTable]] &amp; "[My Category]"),E$3,INDIRECT(Totals[[#This Row],[SourceTable]] &amp; "[" &amp; TEXT(Totals[[#This Row],[Date]],"m/d/yy") &amp; "]"))</f>
        <v>-255.17866666666666</v>
      </c>
      <c r="F10" s="60">
        <f ca="1">SUMIF(INDIRECT(Totals[[#This Row],[SourceTable]] &amp; "[My Category]"),F$3,INDIRECT(Totals[[#This Row],[SourceTable]] &amp; "[" &amp; TEXT(Totals[[#This Row],[Date]],"m/d/yy") &amp; "]"))</f>
        <v>-61.15</v>
      </c>
      <c r="G10" s="60">
        <f ca="1">SUMIF(INDIRECT(Totals[[#This Row],[SourceTable]] &amp; "[My Category]"),G$3,INDIRECT(Totals[[#This Row],[SourceTable]] &amp; "[" &amp; TEXT(Totals[[#This Row],[Date]],"m/d/yy") &amp; "]"))</f>
        <v>0</v>
      </c>
      <c r="H10" s="60">
        <f ca="1">SUMIF(INDIRECT(Totals[[#This Row],[SourceTable]] &amp; "[My Category]"),H$3,INDIRECT(Totals[[#This Row],[SourceTable]] &amp; "[" &amp; TEXT(Totals[[#This Row],[Date]],"m/d/yy") &amp; "]"))</f>
        <v>0</v>
      </c>
      <c r="I10" s="60">
        <f ca="1">SUMIF(INDIRECT(Totals[[#This Row],[SourceTable]] &amp; "[My Category]"),I$3,INDIRECT(Totals[[#This Row],[SourceTable]] &amp; "[" &amp; TEXT(Totals[[#This Row],[Date]],"m/d/yy") &amp; "]"))</f>
        <v>0</v>
      </c>
      <c r="J10" s="60">
        <f ca="1">SUMIF(INDIRECT(Totals[[#This Row],[SourceTable]] &amp; "[My Category]"),J$3,INDIRECT(Totals[[#This Row],[SourceTable]] &amp; "[" &amp; TEXT(Totals[[#This Row],[Date]],"m/d/yy") &amp; "]"))</f>
        <v>0</v>
      </c>
      <c r="K10" s="60">
        <f ca="1">SUMIF(INDIRECT(Totals[[#This Row],[SourceTable]] &amp; "[My Category]"),K$3,INDIRECT(Totals[[#This Row],[SourceTable]] &amp; "[" &amp; TEXT(Totals[[#This Row],[Date]],"m/d/yy") &amp; "]"))</f>
        <v>-19.892333333333333</v>
      </c>
      <c r="L10" s="60">
        <f ca="1">SUMIF(INDIRECT(Totals[[#This Row],[SourceTable]] &amp; "[My Category]"),L$3,INDIRECT(Totals[[#This Row],[SourceTable]] &amp; "[" &amp; TEXT(Totals[[#This Row],[Date]],"m/d/yy") &amp; "]"))</f>
        <v>0</v>
      </c>
      <c r="M10" s="60">
        <f ca="1">SUMIF(INDIRECT(Totals[[#This Row],[SourceTable]] &amp; "[My Category]"),M$3,INDIRECT(Totals[[#This Row],[SourceTable]] &amp; "[" &amp; TEXT(Totals[[#This Row],[Date]],"m/d/yy") &amp; "]"))</f>
        <v>-19.600000000000001</v>
      </c>
      <c r="N10" s="60">
        <f ca="1">SUMIF(INDIRECT(Totals[[#This Row],[SourceTable]] &amp; "[My Category]"),N$3,INDIRECT(Totals[[#This Row],[SourceTable]] &amp; "[" &amp; TEXT(Totals[[#This Row],[Date]],"m/d/yy") &amp; "]"))</f>
        <v>-28.37</v>
      </c>
      <c r="O10" s="60">
        <f ca="1">SUMIF(INDIRECT(Totals[[#This Row],[SourceTable]] &amp; "[My Category]"),O$3,INDIRECT(Totals[[#This Row],[SourceTable]] &amp; "[" &amp; TEXT(Totals[[#This Row],[Date]],"m/d/yy") &amp; "]"))</f>
        <v>0</v>
      </c>
      <c r="P10" s="60">
        <f ca="1">SUMIF(INDIRECT(Totals[[#This Row],[SourceTable]] &amp; "[My Category]"),P$3,INDIRECT(Totals[[#This Row],[SourceTable]] &amp; "[" &amp; TEXT(Totals[[#This Row],[Date]],"m/d/yy") &amp; "]"))</f>
        <v>-218.97000000000003</v>
      </c>
      <c r="Q10" s="60">
        <f ca="1">SUMIF(INDIRECT(Totals[[#This Row],[SourceTable]] &amp; "[My Category]"),Q$3,INDIRECT(Totals[[#This Row],[SourceTable]] &amp; "[" &amp; TEXT(Totals[[#This Row],[Date]],"m/d/yy") &amp; "]"))</f>
        <v>-176.74</v>
      </c>
      <c r="R10" s="60">
        <f ca="1">SUMIF(INDIRECT(Totals[[#This Row],[SourceTable]] &amp; "[My Category]"),R$3,INDIRECT(Totals[[#This Row],[SourceTable]] &amp; "[" &amp; TEXT(Totals[[#This Row],[Date]],"m/d/yy") &amp; "]"))</f>
        <v>-1574.58</v>
      </c>
      <c r="S10" s="60">
        <f ca="1">SUMIF(INDIRECT(Totals[[#This Row],[SourceTable]] &amp; "[My Category]"),S$3,INDIRECT(Totals[[#This Row],[SourceTable]] &amp; "[" &amp; TEXT(Totals[[#This Row],[Date]],"m/d/yy") &amp; "]"))</f>
        <v>-93.2700091324201</v>
      </c>
      <c r="T10" s="60">
        <f ca="1">SUMIF(INDIRECT(Totals[[#This Row],[SourceTable]] &amp; "[My Category]"),T$3,INDIRECT(Totals[[#This Row],[SourceTable]] &amp; "[" &amp; TEXT(Totals[[#This Row],[Date]],"m/d/yy") &amp; "]"))</f>
        <v>-85.105333333333334</v>
      </c>
      <c r="U10" s="60">
        <f ca="1">SUMIF(INDIRECT(Totals[[#This Row],[SourceTable]] &amp; "[My Category]"),U$3,INDIRECT(Totals[[#This Row],[SourceTable]] &amp; "[" &amp; TEXT(Totals[[#This Row],[Date]],"m/d/yy") &amp; "]"))</f>
        <v>-63.54</v>
      </c>
      <c r="V10" s="60">
        <f ca="1">SUMIF(INDIRECT(Totals[[#This Row],[SourceTable]] &amp; "[My Category]"),V$3,INDIRECT(Totals[[#This Row],[SourceTable]] &amp; "[" &amp; TEXT(Totals[[#This Row],[Date]],"m/d/yy") &amp; "]"))</f>
        <v>-40</v>
      </c>
      <c r="W10" s="60">
        <f ca="1">SUMIF(INDIRECT(Totals[[#This Row],[SourceTable]] &amp; "[My Category]"),W$3,INDIRECT(Totals[[#This Row],[SourceTable]] &amp; "[" &amp; TEXT(Totals[[#This Row],[Date]],"m/d/yy") &amp; "]"))</f>
        <v>0</v>
      </c>
      <c r="X10" s="60">
        <f ca="1">SUMIF(INDIRECT(Totals[[#This Row],[SourceTable]] &amp; "[My Category]"),X$3,INDIRECT(Totals[[#This Row],[SourceTable]] &amp; "[" &amp; TEXT(Totals[[#This Row],[Date]],"m/d/yy") &amp; "]"))</f>
        <v>0</v>
      </c>
      <c r="Y10" s="60">
        <f ca="1">SUMIF(INDIRECT(Totals[[#This Row],[SourceTable]] &amp; "[My Category]"),Y$3,INDIRECT(Totals[[#This Row],[SourceTable]] &amp; "[" &amp; TEXT(Totals[[#This Row],[Date]],"m/d/yy") &amp; "]"))</f>
        <v>0</v>
      </c>
      <c r="Z10" s="60">
        <f ca="1">SUMIF(INDIRECT(Totals[[#This Row],[SourceTable]] &amp; "[My Category]"),Z$3,INDIRECT(Totals[[#This Row],[SourceTable]] &amp; "[" &amp; TEXT(Totals[[#This Row],[Date]],"m/d/yy") &amp; "]"))</f>
        <v>0</v>
      </c>
      <c r="AA10" s="60">
        <f ca="1">SUMIF(INDIRECT(Totals[[#This Row],[SourceTable]] &amp; "[My Category]"),AA$3,INDIRECT(Totals[[#This Row],[SourceTable]] &amp; "[" &amp; TEXT(Totals[[#This Row],[Date]],"m/d/yy") &amp; "]"))</f>
        <v>-10.89</v>
      </c>
      <c r="AB10" s="60">
        <f ca="1">SUMIF(INDIRECT(Totals[[#This Row],[SourceTable]] &amp; "[My Category]"),AB$3,INDIRECT(Totals[[#This Row],[SourceTable]] &amp; "[" &amp; TEXT(Totals[[#This Row],[Date]],"m/d/yy") &amp; "]"))</f>
        <v>0</v>
      </c>
      <c r="AC10" s="60">
        <f ca="1">SUMIF(INDIRECT(Totals[[#This Row],[SourceTable]] &amp; "[My Category]"),AC$3,INDIRECT(Totals[[#This Row],[SourceTable]] &amp; "[" &amp; TEXT(Totals[[#This Row],[Date]],"m/d/yy") &amp; "]"))</f>
        <v>0</v>
      </c>
      <c r="AD10" s="60">
        <f ca="1">SUMIF(INDIRECT(Totals[[#This Row],[SourceTable]] &amp; "[My Category]"),AD$3,INDIRECT(Totals[[#This Row],[SourceTable]] &amp; "[" &amp; TEXT(Totals[[#This Row],[Date]],"m/d/yy") &amp; "]"))</f>
        <v>-40.792109589041104</v>
      </c>
      <c r="AE10" s="60">
        <f ca="1">SUMIF(INDIRECT(Totals[[#This Row],[SourceTable]] &amp; "[My Category]"),AE$3,INDIRECT(Totals[[#This Row],[SourceTable]] &amp; "[" &amp; TEXT(Totals[[#This Row],[Date]],"m/d/yy") &amp; "]"))</f>
        <v>3935.568349206349</v>
      </c>
      <c r="AF10" s="60">
        <f ca="1">SUMIF(INDIRECT(Totals[[#This Row],[SourceTable]] &amp; "[My Category]"),AF$3,INDIRECT(Totals[[#This Row],[SourceTable]] &amp; "[" &amp; TEXT(Totals[[#This Row],[Date]],"m/d/yy") &amp; "]"))</f>
        <v>11.120000000000001</v>
      </c>
      <c r="AG10" s="60">
        <f ca="1">SUMIF(INDIRECT(Totals[[#This Row],[SourceTable]] &amp; "[My Category]"),AG$3,INDIRECT(Totals[[#This Row],[SourceTable]] &amp; "[" &amp; TEXT(Totals[[#This Row],[Date]],"m/d/yy") &amp; "]"))</f>
        <v>0</v>
      </c>
      <c r="AH10" s="60">
        <f ca="1">SUMIF(INDIRECT(Totals[[#This Row],[SourceTable]] &amp; "[My Category]"),AH$3,INDIRECT(Totals[[#This Row],[SourceTable]] &amp; "[" &amp; TEXT(Totals[[#This Row],[Date]],"m/d/yy") &amp; "]"))</f>
        <v>0</v>
      </c>
      <c r="AI10" s="60">
        <f ca="1">SUMIF(INDIRECT(Totals[[#This Row],[SourceTable]] &amp; "[My Category]"),AI$3,INDIRECT(Totals[[#This Row],[SourceTable]] &amp; "[" &amp; TEXT(Totals[[#This Row],[Date]],"m/d/yy") &amp; "]"))</f>
        <v>-398.58356164383576</v>
      </c>
      <c r="AJ10" s="60">
        <f ca="1">SUMIF(INDIRECT(Totals[[#This Row],[SourceTable]] &amp; "[My Category]"),AJ$3,INDIRECT(Totals[[#This Row],[SourceTable]] &amp; "[" &amp; TEXT(Totals[[#This Row],[Date]],"m/d/yy") &amp; "]"))</f>
        <v>0</v>
      </c>
      <c r="AK10" s="70">
        <f ca="1">SUM(Totals[[#This Row],[Car - Note]:[NONTRACKED]])</f>
        <v>540.02633550771918</v>
      </c>
    </row>
    <row r="11" spans="1:37" x14ac:dyDescent="0.25">
      <c r="A11" s="72">
        <f>EDATE(DATEVALUE("1/1/2018"),ROW(Totals[[#This Row],[Date]])-ROW(Totals[[#Headers],[Date]])-1)</f>
        <v>43313</v>
      </c>
      <c r="B11" s="72" t="b">
        <f ca="1">IF(TODAY()&gt;EDATE(Totals[[#This Row],[Date]],1),TRUE,FALSE)</f>
        <v>1</v>
      </c>
      <c r="C11" s="74" t="str">
        <f>"Log_" &amp; YEAR(Totals[[#This Row],[Date]])</f>
        <v>Log_2018</v>
      </c>
      <c r="D11" s="60">
        <f ca="1">SUMIF(INDIRECT(Totals[[#This Row],[SourceTable]] &amp; "[My Category]"),D$3,INDIRECT(Totals[[#This Row],[SourceTable]] &amp; "[" &amp; TEXT(Totals[[#This Row],[Date]],"m/d/yy") &amp; "]"))</f>
        <v>-320</v>
      </c>
      <c r="E11" s="60">
        <f ca="1">SUMIF(INDIRECT(Totals[[#This Row],[SourceTable]] &amp; "[My Category]"),E$3,INDIRECT(Totals[[#This Row],[SourceTable]] &amp; "[" &amp; TEXT(Totals[[#This Row],[Date]],"m/d/yy") &amp; "]"))</f>
        <v>-223.28133333333332</v>
      </c>
      <c r="F11" s="60">
        <f ca="1">SUMIF(INDIRECT(Totals[[#This Row],[SourceTable]] &amp; "[My Category]"),F$3,INDIRECT(Totals[[#This Row],[SourceTable]] &amp; "[" &amp; TEXT(Totals[[#This Row],[Date]],"m/d/yy") &amp; "]"))</f>
        <v>-57.84</v>
      </c>
      <c r="G11" s="60">
        <f ca="1">SUMIF(INDIRECT(Totals[[#This Row],[SourceTable]] &amp; "[My Category]"),G$3,INDIRECT(Totals[[#This Row],[SourceTable]] &amp; "[" &amp; TEXT(Totals[[#This Row],[Date]],"m/d/yy") &amp; "]"))</f>
        <v>0</v>
      </c>
      <c r="H11" s="60">
        <f ca="1">SUMIF(INDIRECT(Totals[[#This Row],[SourceTable]] &amp; "[My Category]"),H$3,INDIRECT(Totals[[#This Row],[SourceTable]] &amp; "[" &amp; TEXT(Totals[[#This Row],[Date]],"m/d/yy") &amp; "]"))</f>
        <v>-16.249999999999922</v>
      </c>
      <c r="I11" s="60">
        <f ca="1">SUMIF(INDIRECT(Totals[[#This Row],[SourceTable]] &amp; "[My Category]"),I$3,INDIRECT(Totals[[#This Row],[SourceTable]] &amp; "[" &amp; TEXT(Totals[[#This Row],[Date]],"m/d/yy") &amp; "]"))</f>
        <v>0</v>
      </c>
      <c r="J11" s="60">
        <f ca="1">SUMIF(INDIRECT(Totals[[#This Row],[SourceTable]] &amp; "[My Category]"),J$3,INDIRECT(Totals[[#This Row],[SourceTable]] &amp; "[" &amp; TEXT(Totals[[#This Row],[Date]],"m/d/yy") &amp; "]"))</f>
        <v>0</v>
      </c>
      <c r="K11" s="60">
        <f ca="1">SUMIF(INDIRECT(Totals[[#This Row],[SourceTable]] &amp; "[My Category]"),K$3,INDIRECT(Totals[[#This Row],[SourceTable]] &amp; "[" &amp; TEXT(Totals[[#This Row],[Date]],"m/d/yy") &amp; "]"))</f>
        <v>-20.036666666666669</v>
      </c>
      <c r="L11" s="60">
        <f ca="1">SUMIF(INDIRECT(Totals[[#This Row],[SourceTable]] &amp; "[My Category]"),L$3,INDIRECT(Totals[[#This Row],[SourceTable]] &amp; "[" &amp; TEXT(Totals[[#This Row],[Date]],"m/d/yy") &amp; "]"))</f>
        <v>-41.980000000000004</v>
      </c>
      <c r="M11" s="60">
        <f ca="1">SUMIF(INDIRECT(Totals[[#This Row],[SourceTable]] &amp; "[My Category]"),M$3,INDIRECT(Totals[[#This Row],[SourceTable]] &amp; "[" &amp; TEXT(Totals[[#This Row],[Date]],"m/d/yy") &amp; "]"))</f>
        <v>-172.49</v>
      </c>
      <c r="N11" s="60">
        <f ca="1">SUMIF(INDIRECT(Totals[[#This Row],[SourceTable]] &amp; "[My Category]"),N$3,INDIRECT(Totals[[#This Row],[SourceTable]] &amp; "[" &amp; TEXT(Totals[[#This Row],[Date]],"m/d/yy") &amp; "]"))</f>
        <v>0</v>
      </c>
      <c r="O11" s="60">
        <f ca="1">SUMIF(INDIRECT(Totals[[#This Row],[SourceTable]] &amp; "[My Category]"),O$3,INDIRECT(Totals[[#This Row],[SourceTable]] &amp; "[" &amp; TEXT(Totals[[#This Row],[Date]],"m/d/yy") &amp; "]"))</f>
        <v>0</v>
      </c>
      <c r="P11" s="60">
        <f ca="1">SUMIF(INDIRECT(Totals[[#This Row],[SourceTable]] &amp; "[My Category]"),P$3,INDIRECT(Totals[[#This Row],[SourceTable]] &amp; "[" &amp; TEXT(Totals[[#This Row],[Date]],"m/d/yy") &amp; "]"))</f>
        <v>-241.85</v>
      </c>
      <c r="Q11" s="60">
        <f ca="1">SUMIF(INDIRECT(Totals[[#This Row],[SourceTable]] &amp; "[My Category]"),Q$3,INDIRECT(Totals[[#This Row],[SourceTable]] &amp; "[" &amp; TEXT(Totals[[#This Row],[Date]],"m/d/yy") &amp; "]"))</f>
        <v>-285.52</v>
      </c>
      <c r="R11" s="60">
        <f ca="1">SUMIF(INDIRECT(Totals[[#This Row],[SourceTable]] &amp; "[My Category]"),R$3,INDIRECT(Totals[[#This Row],[SourceTable]] &amp; "[" &amp; TEXT(Totals[[#This Row],[Date]],"m/d/yy") &amp; "]"))</f>
        <v>-1566.22</v>
      </c>
      <c r="S11" s="60">
        <f ca="1">SUMIF(INDIRECT(Totals[[#This Row],[SourceTable]] &amp; "[My Category]"),S$3,INDIRECT(Totals[[#This Row],[SourceTable]] &amp; "[" &amp; TEXT(Totals[[#This Row],[Date]],"m/d/yy") &amp; "]"))</f>
        <v>-82.541342465753416</v>
      </c>
      <c r="T11" s="60">
        <f ca="1">SUMIF(INDIRECT(Totals[[#This Row],[SourceTable]] &amp; "[My Category]"),T$3,INDIRECT(Totals[[#This Row],[SourceTable]] &amp; "[" &amp; TEXT(Totals[[#This Row],[Date]],"m/d/yy") &amp; "]"))</f>
        <v>-82.201666666666654</v>
      </c>
      <c r="U11" s="60">
        <f ca="1">SUMIF(INDIRECT(Totals[[#This Row],[SourceTable]] &amp; "[My Category]"),U$3,INDIRECT(Totals[[#This Row],[SourceTable]] &amp; "[" &amp; TEXT(Totals[[#This Row],[Date]],"m/d/yy") &amp; "]"))</f>
        <v>-134.97999999999999</v>
      </c>
      <c r="V11" s="60">
        <f ca="1">SUMIF(INDIRECT(Totals[[#This Row],[SourceTable]] &amp; "[My Category]"),V$3,INDIRECT(Totals[[#This Row],[SourceTable]] &amp; "[" &amp; TEXT(Totals[[#This Row],[Date]],"m/d/yy") &amp; "]"))</f>
        <v>0</v>
      </c>
      <c r="W11" s="60">
        <f ca="1">SUMIF(INDIRECT(Totals[[#This Row],[SourceTable]] &amp; "[My Category]"),W$3,INDIRECT(Totals[[#This Row],[SourceTable]] &amp; "[" &amp; TEXT(Totals[[#This Row],[Date]],"m/d/yy") &amp; "]"))</f>
        <v>0</v>
      </c>
      <c r="X11" s="60">
        <f ca="1">SUMIF(INDIRECT(Totals[[#This Row],[SourceTable]] &amp; "[My Category]"),X$3,INDIRECT(Totals[[#This Row],[SourceTable]] &amp; "[" &amp; TEXT(Totals[[#This Row],[Date]],"m/d/yy") &amp; "]"))</f>
        <v>0</v>
      </c>
      <c r="Y11" s="60">
        <f ca="1">SUMIF(INDIRECT(Totals[[#This Row],[SourceTable]] &amp; "[My Category]"),Y$3,INDIRECT(Totals[[#This Row],[SourceTable]] &amp; "[" &amp; TEXT(Totals[[#This Row],[Date]],"m/d/yy") &amp; "]"))</f>
        <v>0</v>
      </c>
      <c r="Z11" s="60">
        <f ca="1">SUMIF(INDIRECT(Totals[[#This Row],[SourceTable]] &amp; "[My Category]"),Z$3,INDIRECT(Totals[[#This Row],[SourceTable]] &amp; "[" &amp; TEXT(Totals[[#This Row],[Date]],"m/d/yy") &amp; "]"))</f>
        <v>0</v>
      </c>
      <c r="AA11" s="60">
        <f ca="1">SUMIF(INDIRECT(Totals[[#This Row],[SourceTable]] &amp; "[My Category]"),AA$3,INDIRECT(Totals[[#This Row],[SourceTable]] &amp; "[" &amp; TEXT(Totals[[#This Row],[Date]],"m/d/yy") &amp; "]"))</f>
        <v>-21.36</v>
      </c>
      <c r="AB11" s="60">
        <f ca="1">SUMIF(INDIRECT(Totals[[#This Row],[SourceTable]] &amp; "[My Category]"),AB$3,INDIRECT(Totals[[#This Row],[SourceTable]] &amp; "[" &amp; TEXT(Totals[[#This Row],[Date]],"m/d/yy") &amp; "]"))</f>
        <v>0</v>
      </c>
      <c r="AC11" s="60">
        <f ca="1">SUMIF(INDIRECT(Totals[[#This Row],[SourceTable]] &amp; "[My Category]"),AC$3,INDIRECT(Totals[[#This Row],[SourceTable]] &amp; "[" &amp; TEXT(Totals[[#This Row],[Date]],"m/d/yy") &amp; "]"))</f>
        <v>0</v>
      </c>
      <c r="AD11" s="60">
        <f ca="1">SUMIF(INDIRECT(Totals[[#This Row],[SourceTable]] &amp; "[My Category]"),AD$3,INDIRECT(Totals[[#This Row],[SourceTable]] &amp; "[" &amp; TEXT(Totals[[#This Row],[Date]],"m/d/yy") &amp; "]"))</f>
        <v>-56.832109589041096</v>
      </c>
      <c r="AE11" s="60">
        <f ca="1">SUMIF(INDIRECT(Totals[[#This Row],[SourceTable]] &amp; "[My Category]"),AE$3,INDIRECT(Totals[[#This Row],[SourceTable]] &amp; "[" &amp; TEXT(Totals[[#This Row],[Date]],"m/d/yy") &amp; "]"))</f>
        <v>3951.2468888888893</v>
      </c>
      <c r="AF11" s="60">
        <f ca="1">SUMIF(INDIRECT(Totals[[#This Row],[SourceTable]] &amp; "[My Category]"),AF$3,INDIRECT(Totals[[#This Row],[SourceTable]] &amp; "[" &amp; TEXT(Totals[[#This Row],[Date]],"m/d/yy") &amp; "]"))</f>
        <v>24.61</v>
      </c>
      <c r="AG11" s="60">
        <f ca="1">SUMIF(INDIRECT(Totals[[#This Row],[SourceTable]] &amp; "[My Category]"),AG$3,INDIRECT(Totals[[#This Row],[SourceTable]] &amp; "[" &amp; TEXT(Totals[[#This Row],[Date]],"m/d/yy") &amp; "]"))</f>
        <v>0</v>
      </c>
      <c r="AH11" s="60">
        <f ca="1">SUMIF(INDIRECT(Totals[[#This Row],[SourceTable]] &amp; "[My Category]"),AH$3,INDIRECT(Totals[[#This Row],[SourceTable]] &amp; "[" &amp; TEXT(Totals[[#This Row],[Date]],"m/d/yy") &amp; "]"))</f>
        <v>0</v>
      </c>
      <c r="AI11" s="60">
        <f ca="1">SUMIF(INDIRECT(Totals[[#This Row],[SourceTable]] &amp; "[My Category]"),AI$3,INDIRECT(Totals[[#This Row],[SourceTable]] &amp; "[" &amp; TEXT(Totals[[#This Row],[Date]],"m/d/yy") &amp; "]"))</f>
        <v>-398.58356164383531</v>
      </c>
      <c r="AJ11" s="60">
        <f ca="1">SUMIF(INDIRECT(Totals[[#This Row],[SourceTable]] &amp; "[My Category]"),AJ$3,INDIRECT(Totals[[#This Row],[SourceTable]] &amp; "[" &amp; TEXT(Totals[[#This Row],[Date]],"m/d/yy") &amp; "]"))</f>
        <v>0</v>
      </c>
      <c r="AK11" s="70">
        <f ca="1">SUM(Totals[[#This Row],[Car - Note]:[NONTRACKED]])</f>
        <v>253.89020852359261</v>
      </c>
    </row>
    <row r="12" spans="1:37" x14ac:dyDescent="0.25">
      <c r="A12" s="72">
        <f>EDATE(DATEVALUE("1/1/2018"),ROW(Totals[[#This Row],[Date]])-ROW(Totals[[#Headers],[Date]])-1)</f>
        <v>43344</v>
      </c>
      <c r="B12" s="72" t="b">
        <f ca="1">IF(TODAY()&gt;EDATE(Totals[[#This Row],[Date]],1),TRUE,FALSE)</f>
        <v>1</v>
      </c>
      <c r="C12" s="74" t="str">
        <f>"Log_" &amp; YEAR(Totals[[#This Row],[Date]])</f>
        <v>Log_2018</v>
      </c>
      <c r="D12" s="60">
        <f ca="1">SUMIF(INDIRECT(Totals[[#This Row],[SourceTable]] &amp; "[My Category]"),D$3,INDIRECT(Totals[[#This Row],[SourceTable]] &amp; "[" &amp; TEXT(Totals[[#This Row],[Date]],"m/d/yy") &amp; "]"))</f>
        <v>-320</v>
      </c>
      <c r="E12" s="60">
        <f ca="1">SUMIF(INDIRECT(Totals[[#This Row],[SourceTable]] &amp; "[My Category]"),E$3,INDIRECT(Totals[[#This Row],[SourceTable]] &amp; "[" &amp; TEXT(Totals[[#This Row],[Date]],"m/d/yy") &amp; "]"))</f>
        <v>-247.22433333333333</v>
      </c>
      <c r="F12" s="60">
        <f ca="1">SUMIF(INDIRECT(Totals[[#This Row],[SourceTable]] &amp; "[My Category]"),F$3,INDIRECT(Totals[[#This Row],[SourceTable]] &amp; "[" &amp; TEXT(Totals[[#This Row],[Date]],"m/d/yy") &amp; "]"))</f>
        <v>-56.61</v>
      </c>
      <c r="G12" s="60">
        <f ca="1">SUMIF(INDIRECT(Totals[[#This Row],[SourceTable]] &amp; "[My Category]"),G$3,INDIRECT(Totals[[#This Row],[SourceTable]] &amp; "[" &amp; TEXT(Totals[[#This Row],[Date]],"m/d/yy") &amp; "]"))</f>
        <v>0</v>
      </c>
      <c r="H12" s="60">
        <f ca="1">SUMIF(INDIRECT(Totals[[#This Row],[SourceTable]] &amp; "[My Category]"),H$3,INDIRECT(Totals[[#This Row],[SourceTable]] &amp; "[" &amp; TEXT(Totals[[#This Row],[Date]],"m/d/yy") &amp; "]"))</f>
        <v>0</v>
      </c>
      <c r="I12" s="60">
        <f ca="1">SUMIF(INDIRECT(Totals[[#This Row],[SourceTable]] &amp; "[My Category]"),I$3,INDIRECT(Totals[[#This Row],[SourceTable]] &amp; "[" &amp; TEXT(Totals[[#This Row],[Date]],"m/d/yy") &amp; "]"))</f>
        <v>0</v>
      </c>
      <c r="J12" s="60">
        <f ca="1">SUMIF(INDIRECT(Totals[[#This Row],[SourceTable]] &amp; "[My Category]"),J$3,INDIRECT(Totals[[#This Row],[SourceTable]] &amp; "[" &amp; TEXT(Totals[[#This Row],[Date]],"m/d/yy") &amp; "]"))</f>
        <v>-26.13</v>
      </c>
      <c r="K12" s="60">
        <f ca="1">SUMIF(INDIRECT(Totals[[#This Row],[SourceTable]] &amp; "[My Category]"),K$3,INDIRECT(Totals[[#This Row],[SourceTable]] &amp; "[" &amp; TEXT(Totals[[#This Row],[Date]],"m/d/yy") &amp; "]"))</f>
        <v>-26.596333333333334</v>
      </c>
      <c r="L12" s="60">
        <f ca="1">SUMIF(INDIRECT(Totals[[#This Row],[SourceTable]] &amp; "[My Category]"),L$3,INDIRECT(Totals[[#This Row],[SourceTable]] &amp; "[" &amp; TEXT(Totals[[#This Row],[Date]],"m/d/yy") &amp; "]"))</f>
        <v>-29.99</v>
      </c>
      <c r="M12" s="60">
        <f ca="1">SUMIF(INDIRECT(Totals[[#This Row],[SourceTable]] &amp; "[My Category]"),M$3,INDIRECT(Totals[[#This Row],[SourceTable]] &amp; "[" &amp; TEXT(Totals[[#This Row],[Date]],"m/d/yy") &amp; "]"))</f>
        <v>-75.91</v>
      </c>
      <c r="N12" s="60">
        <f ca="1">SUMIF(INDIRECT(Totals[[#This Row],[SourceTable]] &amp; "[My Category]"),N$3,INDIRECT(Totals[[#This Row],[SourceTable]] &amp; "[" &amp; TEXT(Totals[[#This Row],[Date]],"m/d/yy") &amp; "]"))</f>
        <v>-14.06</v>
      </c>
      <c r="O12" s="60">
        <f ca="1">SUMIF(INDIRECT(Totals[[#This Row],[SourceTable]] &amp; "[My Category]"),O$3,INDIRECT(Totals[[#This Row],[SourceTable]] &amp; "[" &amp; TEXT(Totals[[#This Row],[Date]],"m/d/yy") &amp; "]"))</f>
        <v>-441.4</v>
      </c>
      <c r="P12" s="60">
        <f ca="1">SUMIF(INDIRECT(Totals[[#This Row],[SourceTable]] &amp; "[My Category]"),P$3,INDIRECT(Totals[[#This Row],[SourceTable]] &amp; "[" &amp; TEXT(Totals[[#This Row],[Date]],"m/d/yy") &amp; "]"))</f>
        <v>-124.03000000000002</v>
      </c>
      <c r="Q12" s="60">
        <f ca="1">SUMIF(INDIRECT(Totals[[#This Row],[SourceTable]] &amp; "[My Category]"),Q$3,INDIRECT(Totals[[#This Row],[SourceTable]] &amp; "[" &amp; TEXT(Totals[[#This Row],[Date]],"m/d/yy") &amp; "]"))</f>
        <v>-252.44000000000003</v>
      </c>
      <c r="R12" s="60">
        <f ca="1">SUMIF(INDIRECT(Totals[[#This Row],[SourceTable]] &amp; "[My Category]"),R$3,INDIRECT(Totals[[#This Row],[SourceTable]] &amp; "[" &amp; TEXT(Totals[[#This Row],[Date]],"m/d/yy") &amp; "]"))</f>
        <v>-1609.51</v>
      </c>
      <c r="S12" s="60">
        <f ca="1">SUMIF(INDIRECT(Totals[[#This Row],[SourceTable]] &amp; "[My Category]"),S$3,INDIRECT(Totals[[#This Row],[SourceTable]] &amp; "[" &amp; TEXT(Totals[[#This Row],[Date]],"m/d/yy") &amp; "]"))</f>
        <v>-89.435707762557058</v>
      </c>
      <c r="T12" s="60">
        <f ca="1">SUMIF(INDIRECT(Totals[[#This Row],[SourceTable]] &amp; "[My Category]"),T$3,INDIRECT(Totals[[#This Row],[SourceTable]] &amp; "[" &amp; TEXT(Totals[[#This Row],[Date]],"m/d/yy") &amp; "]"))</f>
        <v>-79.430999999999997</v>
      </c>
      <c r="U12" s="60">
        <f ca="1">SUMIF(INDIRECT(Totals[[#This Row],[SourceTable]] &amp; "[My Category]"),U$3,INDIRECT(Totals[[#This Row],[SourceTable]] &amp; "[" &amp; TEXT(Totals[[#This Row],[Date]],"m/d/yy") &amp; "]"))</f>
        <v>-29.66</v>
      </c>
      <c r="V12" s="60">
        <f ca="1">SUMIF(INDIRECT(Totals[[#This Row],[SourceTable]] &amp; "[My Category]"),V$3,INDIRECT(Totals[[#This Row],[SourceTable]] &amp; "[" &amp; TEXT(Totals[[#This Row],[Date]],"m/d/yy") &amp; "]"))</f>
        <v>0</v>
      </c>
      <c r="W12" s="60">
        <f ca="1">SUMIF(INDIRECT(Totals[[#This Row],[SourceTable]] &amp; "[My Category]"),W$3,INDIRECT(Totals[[#This Row],[SourceTable]] &amp; "[" &amp; TEXT(Totals[[#This Row],[Date]],"m/d/yy") &amp; "]"))</f>
        <v>0</v>
      </c>
      <c r="X12" s="60">
        <f ca="1">SUMIF(INDIRECT(Totals[[#This Row],[SourceTable]] &amp; "[My Category]"),X$3,INDIRECT(Totals[[#This Row],[SourceTable]] &amp; "[" &amp; TEXT(Totals[[#This Row],[Date]],"m/d/yy") &amp; "]"))</f>
        <v>0</v>
      </c>
      <c r="Y12" s="60">
        <f ca="1">SUMIF(INDIRECT(Totals[[#This Row],[SourceTable]] &amp; "[My Category]"),Y$3,INDIRECT(Totals[[#This Row],[SourceTable]] &amp; "[" &amp; TEXT(Totals[[#This Row],[Date]],"m/d/yy") &amp; "]"))</f>
        <v>0</v>
      </c>
      <c r="Z12" s="60">
        <f ca="1">SUMIF(INDIRECT(Totals[[#This Row],[SourceTable]] &amp; "[My Category]"),Z$3,INDIRECT(Totals[[#This Row],[SourceTable]] &amp; "[" &amp; TEXT(Totals[[#This Row],[Date]],"m/d/yy") &amp; "]"))</f>
        <v>0</v>
      </c>
      <c r="AA12" s="60">
        <f ca="1">SUMIF(INDIRECT(Totals[[#This Row],[SourceTable]] &amp; "[My Category]"),AA$3,INDIRECT(Totals[[#This Row],[SourceTable]] &amp; "[" &amp; TEXT(Totals[[#This Row],[Date]],"m/d/yy") &amp; "]"))</f>
        <v>-41.04</v>
      </c>
      <c r="AB12" s="60">
        <f ca="1">SUMIF(INDIRECT(Totals[[#This Row],[SourceTable]] &amp; "[My Category]"),AB$3,INDIRECT(Totals[[#This Row],[SourceTable]] &amp; "[" &amp; TEXT(Totals[[#This Row],[Date]],"m/d/yy") &amp; "]"))</f>
        <v>0</v>
      </c>
      <c r="AC12" s="60">
        <f ca="1">SUMIF(INDIRECT(Totals[[#This Row],[SourceTable]] &amp; "[My Category]"),AC$3,INDIRECT(Totals[[#This Row],[SourceTable]] &amp; "[" &amp; TEXT(Totals[[#This Row],[Date]],"m/d/yy") &amp; "]"))</f>
        <v>0</v>
      </c>
      <c r="AD12" s="60">
        <f ca="1">SUMIF(INDIRECT(Totals[[#This Row],[SourceTable]] &amp; "[My Category]"),AD$3,INDIRECT(Totals[[#This Row],[SourceTable]] &amp; "[" &amp; TEXT(Totals[[#This Row],[Date]],"m/d/yy") &amp; "]"))</f>
        <v>-8.8084931506849315</v>
      </c>
      <c r="AE12" s="60">
        <f ca="1">SUMIF(INDIRECT(Totals[[#This Row],[SourceTable]] &amp; "[My Category]"),AE$3,INDIRECT(Totals[[#This Row],[SourceTable]] &amp; "[" &amp; TEXT(Totals[[#This Row],[Date]],"m/d/yy") &amp; "]"))</f>
        <v>4042.5085714285715</v>
      </c>
      <c r="AF12" s="60">
        <f ca="1">SUMIF(INDIRECT(Totals[[#This Row],[SourceTable]] &amp; "[My Category]"),AF$3,INDIRECT(Totals[[#This Row],[SourceTable]] &amp; "[" &amp; TEXT(Totals[[#This Row],[Date]],"m/d/yy") &amp; "]"))</f>
        <v>16.82</v>
      </c>
      <c r="AG12" s="60">
        <f ca="1">SUMIF(INDIRECT(Totals[[#This Row],[SourceTable]] &amp; "[My Category]"),AG$3,INDIRECT(Totals[[#This Row],[SourceTable]] &amp; "[" &amp; TEXT(Totals[[#This Row],[Date]],"m/d/yy") &amp; "]"))</f>
        <v>0</v>
      </c>
      <c r="AH12" s="60">
        <f ca="1">SUMIF(INDIRECT(Totals[[#This Row],[SourceTable]] &amp; "[My Category]"),AH$3,INDIRECT(Totals[[#This Row],[SourceTable]] &amp; "[" &amp; TEXT(Totals[[#This Row],[Date]],"m/d/yy") &amp; "]"))</f>
        <v>0</v>
      </c>
      <c r="AI12" s="60">
        <f ca="1">SUMIF(INDIRECT(Totals[[#This Row],[SourceTable]] &amp; "[My Category]"),AI$3,INDIRECT(Totals[[#This Row],[SourceTable]] &amp; "[" &amp; TEXT(Totals[[#This Row],[Date]],"m/d/yy") &amp; "]"))</f>
        <v>-385.72602739726062</v>
      </c>
      <c r="AJ12" s="60">
        <f ca="1">SUMIF(INDIRECT(Totals[[#This Row],[SourceTable]] &amp; "[My Category]"),AJ$3,INDIRECT(Totals[[#This Row],[SourceTable]] &amp; "[" &amp; TEXT(Totals[[#This Row],[Date]],"m/d/yy") &amp; "]"))</f>
        <v>0</v>
      </c>
      <c r="AK12" s="70">
        <f ca="1">SUM(Totals[[#This Row],[Car - Note]:[NONTRACKED]])</f>
        <v>201.32667645140225</v>
      </c>
    </row>
    <row r="13" spans="1:37" x14ac:dyDescent="0.25">
      <c r="A13" s="72">
        <f>EDATE(DATEVALUE("1/1/2018"),ROW(Totals[[#This Row],[Date]])-ROW(Totals[[#Headers],[Date]])-1)</f>
        <v>43374</v>
      </c>
      <c r="B13" s="72" t="b">
        <f ca="1">IF(TODAY()&gt;EDATE(Totals[[#This Row],[Date]],1),TRUE,FALSE)</f>
        <v>1</v>
      </c>
      <c r="C13" s="74" t="str">
        <f>"Log_" &amp; YEAR(Totals[[#This Row],[Date]])</f>
        <v>Log_2018</v>
      </c>
      <c r="D13" s="60">
        <f ca="1">SUMIF(INDIRECT(Totals[[#This Row],[SourceTable]] &amp; "[My Category]"),D$3,INDIRECT(Totals[[#This Row],[SourceTable]] &amp; "[" &amp; TEXT(Totals[[#This Row],[Date]],"m/d/yy") &amp; "]"))</f>
        <v>-320</v>
      </c>
      <c r="E13" s="60">
        <f ca="1">SUMIF(INDIRECT(Totals[[#This Row],[SourceTable]] &amp; "[My Category]"),E$3,INDIRECT(Totals[[#This Row],[SourceTable]] &amp; "[" &amp; TEXT(Totals[[#This Row],[Date]],"m/d/yy") &amp; "]"))</f>
        <v>-221.16733333333332</v>
      </c>
      <c r="F13" s="60">
        <f ca="1">SUMIF(INDIRECT(Totals[[#This Row],[SourceTable]] &amp; "[My Category]"),F$3,INDIRECT(Totals[[#This Row],[SourceTable]] &amp; "[" &amp; TEXT(Totals[[#This Row],[Date]],"m/d/yy") &amp; "]"))</f>
        <v>-60.63</v>
      </c>
      <c r="G13" s="60">
        <f ca="1">SUMIF(INDIRECT(Totals[[#This Row],[SourceTable]] &amp; "[My Category]"),G$3,INDIRECT(Totals[[#This Row],[SourceTable]] &amp; "[" &amp; TEXT(Totals[[#This Row],[Date]],"m/d/yy") &amp; "]"))</f>
        <v>0</v>
      </c>
      <c r="H13" s="60">
        <f ca="1">SUMIF(INDIRECT(Totals[[#This Row],[SourceTable]] &amp; "[My Category]"),H$3,INDIRECT(Totals[[#This Row],[SourceTable]] &amp; "[" &amp; TEXT(Totals[[#This Row],[Date]],"m/d/yy") &amp; "]"))</f>
        <v>0</v>
      </c>
      <c r="I13" s="60">
        <f ca="1">SUMIF(INDIRECT(Totals[[#This Row],[SourceTable]] &amp; "[My Category]"),I$3,INDIRECT(Totals[[#This Row],[SourceTable]] &amp; "[" &amp; TEXT(Totals[[#This Row],[Date]],"m/d/yy") &amp; "]"))</f>
        <v>-197.2</v>
      </c>
      <c r="J13" s="60">
        <f ca="1">SUMIF(INDIRECT(Totals[[#This Row],[SourceTable]] &amp; "[My Category]"),J$3,INDIRECT(Totals[[#This Row],[SourceTable]] &amp; "[" &amp; TEXT(Totals[[#This Row],[Date]],"m/d/yy") &amp; "]"))</f>
        <v>-88.14</v>
      </c>
      <c r="K13" s="60">
        <f ca="1">SUMIF(INDIRECT(Totals[[#This Row],[SourceTable]] &amp; "[My Category]"),K$3,INDIRECT(Totals[[#This Row],[SourceTable]] &amp; "[" &amp; TEXT(Totals[[#This Row],[Date]],"m/d/yy") &amp; "]"))</f>
        <v>-54.295333333333332</v>
      </c>
      <c r="L13" s="60">
        <f ca="1">SUMIF(INDIRECT(Totals[[#This Row],[SourceTable]] &amp; "[My Category]"),L$3,INDIRECT(Totals[[#This Row],[SourceTable]] &amp; "[" &amp; TEXT(Totals[[#This Row],[Date]],"m/d/yy") &amp; "]"))</f>
        <v>-42.97</v>
      </c>
      <c r="M13" s="60">
        <f ca="1">SUMIF(INDIRECT(Totals[[#This Row],[SourceTable]] &amp; "[My Category]"),M$3,INDIRECT(Totals[[#This Row],[SourceTable]] &amp; "[" &amp; TEXT(Totals[[#This Row],[Date]],"m/d/yy") &amp; "]"))</f>
        <v>-24.23</v>
      </c>
      <c r="N13" s="60">
        <f ca="1">SUMIF(INDIRECT(Totals[[#This Row],[SourceTable]] &amp; "[My Category]"),N$3,INDIRECT(Totals[[#This Row],[SourceTable]] &amp; "[" &amp; TEXT(Totals[[#This Row],[Date]],"m/d/yy") &amp; "]"))</f>
        <v>-44.760000000000005</v>
      </c>
      <c r="O13" s="60">
        <f ca="1">SUMIF(INDIRECT(Totals[[#This Row],[SourceTable]] &amp; "[My Category]"),O$3,INDIRECT(Totals[[#This Row],[SourceTable]] &amp; "[" &amp; TEXT(Totals[[#This Row],[Date]],"m/d/yy") &amp; "]"))</f>
        <v>-200.98999999999995</v>
      </c>
      <c r="P13" s="60">
        <f ca="1">SUMIF(INDIRECT(Totals[[#This Row],[SourceTable]] &amp; "[My Category]"),P$3,INDIRECT(Totals[[#This Row],[SourceTable]] &amp; "[" &amp; TEXT(Totals[[#This Row],[Date]],"m/d/yy") &amp; "]"))</f>
        <v>-343.4</v>
      </c>
      <c r="Q13" s="60">
        <f ca="1">SUMIF(INDIRECT(Totals[[#This Row],[SourceTable]] &amp; "[My Category]"),Q$3,INDIRECT(Totals[[#This Row],[SourceTable]] &amp; "[" &amp; TEXT(Totals[[#This Row],[Date]],"m/d/yy") &amp; "]"))</f>
        <v>-204.25</v>
      </c>
      <c r="R13" s="60">
        <f ca="1">SUMIF(INDIRECT(Totals[[#This Row],[SourceTable]] &amp; "[My Category]"),R$3,INDIRECT(Totals[[#This Row],[SourceTable]] &amp; "[" &amp; TEXT(Totals[[#This Row],[Date]],"m/d/yy") &amp; "]"))</f>
        <v>-1564.74</v>
      </c>
      <c r="S13" s="60">
        <f ca="1">SUMIF(INDIRECT(Totals[[#This Row],[SourceTable]] &amp; "[My Category]"),S$3,INDIRECT(Totals[[#This Row],[SourceTable]] &amp; "[" &amp; TEXT(Totals[[#This Row],[Date]],"m/d/yy") &amp; "]"))</f>
        <v>-96.08467579908681</v>
      </c>
      <c r="T13" s="60">
        <f ca="1">SUMIF(INDIRECT(Totals[[#This Row],[SourceTable]] &amp; "[My Category]"),T$3,INDIRECT(Totals[[#This Row],[SourceTable]] &amp; "[" &amp; TEXT(Totals[[#This Row],[Date]],"m/d/yy") &amp; "]"))</f>
        <v>-84.909000000000006</v>
      </c>
      <c r="U13" s="60">
        <f ca="1">SUMIF(INDIRECT(Totals[[#This Row],[SourceTable]] &amp; "[My Category]"),U$3,INDIRECT(Totals[[#This Row],[SourceTable]] &amp; "[" &amp; TEXT(Totals[[#This Row],[Date]],"m/d/yy") &amp; "]"))</f>
        <v>-75.569999999999993</v>
      </c>
      <c r="V13" s="60">
        <f ca="1">SUMIF(INDIRECT(Totals[[#This Row],[SourceTable]] &amp; "[My Category]"),V$3,INDIRECT(Totals[[#This Row],[SourceTable]] &amp; "[" &amp; TEXT(Totals[[#This Row],[Date]],"m/d/yy") &amp; "]"))</f>
        <v>0</v>
      </c>
      <c r="W13" s="60">
        <f ca="1">SUMIF(INDIRECT(Totals[[#This Row],[SourceTable]] &amp; "[My Category]"),W$3,INDIRECT(Totals[[#This Row],[SourceTable]] &amp; "[" &amp; TEXT(Totals[[#This Row],[Date]],"m/d/yy") &amp; "]"))</f>
        <v>0</v>
      </c>
      <c r="X13" s="60">
        <f ca="1">SUMIF(INDIRECT(Totals[[#This Row],[SourceTable]] &amp; "[My Category]"),X$3,INDIRECT(Totals[[#This Row],[SourceTable]] &amp; "[" &amp; TEXT(Totals[[#This Row],[Date]],"m/d/yy") &amp; "]"))</f>
        <v>0</v>
      </c>
      <c r="Y13" s="60">
        <f ca="1">SUMIF(INDIRECT(Totals[[#This Row],[SourceTable]] &amp; "[My Category]"),Y$3,INDIRECT(Totals[[#This Row],[SourceTable]] &amp; "[" &amp; TEXT(Totals[[#This Row],[Date]],"m/d/yy") &amp; "]"))</f>
        <v>0</v>
      </c>
      <c r="Z13" s="60">
        <f ca="1">SUMIF(INDIRECT(Totals[[#This Row],[SourceTable]] &amp; "[My Category]"),Z$3,INDIRECT(Totals[[#This Row],[SourceTable]] &amp; "[" &amp; TEXT(Totals[[#This Row],[Date]],"m/d/yy") &amp; "]"))</f>
        <v>0</v>
      </c>
      <c r="AA13" s="60">
        <f ca="1">SUMIF(INDIRECT(Totals[[#This Row],[SourceTable]] &amp; "[My Category]"),AA$3,INDIRECT(Totals[[#This Row],[SourceTable]] &amp; "[" &amp; TEXT(Totals[[#This Row],[Date]],"m/d/yy") &amp; "]"))</f>
        <v>0</v>
      </c>
      <c r="AB13" s="60">
        <f ca="1">SUMIF(INDIRECT(Totals[[#This Row],[SourceTable]] &amp; "[My Category]"),AB$3,INDIRECT(Totals[[#This Row],[SourceTable]] &amp; "[" &amp; TEXT(Totals[[#This Row],[Date]],"m/d/yy") &amp; "]"))</f>
        <v>0</v>
      </c>
      <c r="AC13" s="60">
        <f ca="1">SUMIF(INDIRECT(Totals[[#This Row],[SourceTable]] &amp; "[My Category]"),AC$3,INDIRECT(Totals[[#This Row],[SourceTable]] &amp; "[" &amp; TEXT(Totals[[#This Row],[Date]],"m/d/yy") &amp; "]"))</f>
        <v>-203</v>
      </c>
      <c r="AD13" s="60">
        <f ca="1">SUMIF(INDIRECT(Totals[[#This Row],[SourceTable]] &amp; "[My Category]"),AD$3,INDIRECT(Totals[[#This Row],[SourceTable]] &amp; "[" &amp; TEXT(Totals[[#This Row],[Date]],"m/d/yy") &amp; "]"))</f>
        <v>-19.662109589041101</v>
      </c>
      <c r="AE13" s="60">
        <f ca="1">SUMIF(INDIRECT(Totals[[#This Row],[SourceTable]] &amp; "[My Category]"),AE$3,INDIRECT(Totals[[#This Row],[SourceTable]] &amp; "[" &amp; TEXT(Totals[[#This Row],[Date]],"m/d/yy") &amp; "]"))</f>
        <v>4177.2914285714287</v>
      </c>
      <c r="AF13" s="60">
        <f ca="1">SUMIF(INDIRECT(Totals[[#This Row],[SourceTable]] &amp; "[My Category]"),AF$3,INDIRECT(Totals[[#This Row],[SourceTable]] &amp; "[" &amp; TEXT(Totals[[#This Row],[Date]],"m/d/yy") &amp; "]"))</f>
        <v>21.12</v>
      </c>
      <c r="AG13" s="60">
        <f ca="1">SUMIF(INDIRECT(Totals[[#This Row],[SourceTable]] &amp; "[My Category]"),AG$3,INDIRECT(Totals[[#This Row],[SourceTable]] &amp; "[" &amp; TEXT(Totals[[#This Row],[Date]],"m/d/yy") &amp; "]"))</f>
        <v>0</v>
      </c>
      <c r="AH13" s="60">
        <f ca="1">SUMIF(INDIRECT(Totals[[#This Row],[SourceTable]] &amp; "[My Category]"),AH$3,INDIRECT(Totals[[#This Row],[SourceTable]] &amp; "[" &amp; TEXT(Totals[[#This Row],[Date]],"m/d/yy") &amp; "]"))</f>
        <v>0</v>
      </c>
      <c r="AI13" s="60">
        <f ca="1">SUMIF(INDIRECT(Totals[[#This Row],[SourceTable]] &amp; "[My Category]"),AI$3,INDIRECT(Totals[[#This Row],[SourceTable]] &amp; "[" &amp; TEXT(Totals[[#This Row],[Date]],"m/d/yy") &amp; "]"))</f>
        <v>-398.58356164383531</v>
      </c>
      <c r="AJ13" s="60">
        <f ca="1">SUMIF(INDIRECT(Totals[[#This Row],[SourceTable]] &amp; "[My Category]"),AJ$3,INDIRECT(Totals[[#This Row],[SourceTable]] &amp; "[" &amp; TEXT(Totals[[#This Row],[Date]],"m/d/yy") &amp; "]"))</f>
        <v>0</v>
      </c>
      <c r="AK13" s="70">
        <f ca="1">SUM(Totals[[#This Row],[Car - Note]:[NONTRACKED]])</f>
        <v>-46.170585127201207</v>
      </c>
    </row>
    <row r="14" spans="1:37" x14ac:dyDescent="0.25">
      <c r="A14" s="72">
        <f>EDATE(DATEVALUE("1/1/2018"),ROW(Totals[[#This Row],[Date]])-ROW(Totals[[#Headers],[Date]])-1)</f>
        <v>43405</v>
      </c>
      <c r="B14" s="72" t="b">
        <f ca="1">IF(TODAY()&gt;EDATE(Totals[[#This Row],[Date]],1),TRUE,FALSE)</f>
        <v>1</v>
      </c>
      <c r="C14" s="74" t="str">
        <f>"Log_" &amp; YEAR(Totals[[#This Row],[Date]])</f>
        <v>Log_2018</v>
      </c>
      <c r="D14" s="60">
        <f ca="1">SUMIF(INDIRECT(Totals[[#This Row],[SourceTable]] &amp; "[My Category]"),D$3,INDIRECT(Totals[[#This Row],[SourceTable]] &amp; "[" &amp; TEXT(Totals[[#This Row],[Date]],"m/d/yy") &amp; "]"))</f>
        <v>-320</v>
      </c>
      <c r="E14" s="60">
        <f ca="1">SUMIF(INDIRECT(Totals[[#This Row],[SourceTable]] &amp; "[My Category]"),E$3,INDIRECT(Totals[[#This Row],[SourceTable]] &amp; "[" &amp; TEXT(Totals[[#This Row],[Date]],"m/d/yy") &amp; "]"))</f>
        <v>-175.084</v>
      </c>
      <c r="F14" s="60">
        <f ca="1">SUMIF(INDIRECT(Totals[[#This Row],[SourceTable]] &amp; "[My Category]"),F$3,INDIRECT(Totals[[#This Row],[SourceTable]] &amp; "[" &amp; TEXT(Totals[[#This Row],[Date]],"m/d/yy") &amp; "]"))</f>
        <v>-139.29</v>
      </c>
      <c r="G14" s="60">
        <f ca="1">SUMIF(INDIRECT(Totals[[#This Row],[SourceTable]] &amp; "[My Category]"),G$3,INDIRECT(Totals[[#This Row],[SourceTable]] &amp; "[" &amp; TEXT(Totals[[#This Row],[Date]],"m/d/yy") &amp; "]"))</f>
        <v>0</v>
      </c>
      <c r="H14" s="60">
        <f ca="1">SUMIF(INDIRECT(Totals[[#This Row],[SourceTable]] &amp; "[My Category]"),H$3,INDIRECT(Totals[[#This Row],[SourceTable]] &amp; "[" &amp; TEXT(Totals[[#This Row],[Date]],"m/d/yy") &amp; "]"))</f>
        <v>0</v>
      </c>
      <c r="I14" s="60">
        <f ca="1">SUMIF(INDIRECT(Totals[[#This Row],[SourceTable]] &amp; "[My Category]"),I$3,INDIRECT(Totals[[#This Row],[SourceTable]] &amp; "[" &amp; TEXT(Totals[[#This Row],[Date]],"m/d/yy") &amp; "]"))</f>
        <v>-54.92</v>
      </c>
      <c r="J14" s="60">
        <f ca="1">SUMIF(INDIRECT(Totals[[#This Row],[SourceTable]] &amp; "[My Category]"),J$3,INDIRECT(Totals[[#This Row],[SourceTable]] &amp; "[" &amp; TEXT(Totals[[#This Row],[Date]],"m/d/yy") &amp; "]"))</f>
        <v>-52.54</v>
      </c>
      <c r="K14" s="60">
        <f ca="1">SUMIF(INDIRECT(Totals[[#This Row],[SourceTable]] &amp; "[My Category]"),K$3,INDIRECT(Totals[[#This Row],[SourceTable]] &amp; "[" &amp; TEXT(Totals[[#This Row],[Date]],"m/d/yy") &amp; "]"))</f>
        <v>-28.82866666666667</v>
      </c>
      <c r="L14" s="60">
        <f ca="1">SUMIF(INDIRECT(Totals[[#This Row],[SourceTable]] &amp; "[My Category]"),L$3,INDIRECT(Totals[[#This Row],[SourceTable]] &amp; "[" &amp; TEXT(Totals[[#This Row],[Date]],"m/d/yy") &amp; "]"))</f>
        <v>-19.989999999999998</v>
      </c>
      <c r="M14" s="60">
        <f ca="1">SUMIF(INDIRECT(Totals[[#This Row],[SourceTable]] &amp; "[My Category]"),M$3,INDIRECT(Totals[[#This Row],[SourceTable]] &amp; "[" &amp; TEXT(Totals[[#This Row],[Date]],"m/d/yy") &amp; "]"))</f>
        <v>-55.83</v>
      </c>
      <c r="N14" s="60">
        <f ca="1">SUMIF(INDIRECT(Totals[[#This Row],[SourceTable]] &amp; "[My Category]"),N$3,INDIRECT(Totals[[#This Row],[SourceTable]] &amp; "[" &amp; TEXT(Totals[[#This Row],[Date]],"m/d/yy") &amp; "]"))</f>
        <v>-17.3</v>
      </c>
      <c r="O14" s="60">
        <f ca="1">SUMIF(INDIRECT(Totals[[#This Row],[SourceTable]] &amp; "[My Category]"),O$3,INDIRECT(Totals[[#This Row],[SourceTable]] &amp; "[" &amp; TEXT(Totals[[#This Row],[Date]],"m/d/yy") &amp; "]"))</f>
        <v>-473.46999999999997</v>
      </c>
      <c r="P14" s="60">
        <f ca="1">SUMIF(INDIRECT(Totals[[#This Row],[SourceTable]] &amp; "[My Category]"),P$3,INDIRECT(Totals[[#This Row],[SourceTable]] &amp; "[" &amp; TEXT(Totals[[#This Row],[Date]],"m/d/yy") &amp; "]"))</f>
        <v>-35.910000000000004</v>
      </c>
      <c r="Q14" s="60">
        <f ca="1">SUMIF(INDIRECT(Totals[[#This Row],[SourceTable]] &amp; "[My Category]"),Q$3,INDIRECT(Totals[[#This Row],[SourceTable]] &amp; "[" &amp; TEXT(Totals[[#This Row],[Date]],"m/d/yy") &amp; "]"))</f>
        <v>-226.64000000000004</v>
      </c>
      <c r="R14" s="60">
        <f ca="1">SUMIF(INDIRECT(Totals[[#This Row],[SourceTable]] &amp; "[My Category]"),R$3,INDIRECT(Totals[[#This Row],[SourceTable]] &amp; "[" &amp; TEXT(Totals[[#This Row],[Date]],"m/d/yy") &amp; "]"))</f>
        <v>-1566.77</v>
      </c>
      <c r="S14" s="60">
        <f ca="1">SUMIF(INDIRECT(Totals[[#This Row],[SourceTable]] &amp; "[My Category]"),S$3,INDIRECT(Totals[[#This Row],[SourceTable]] &amp; "[" &amp; TEXT(Totals[[#This Row],[Date]],"m/d/yy") &amp; "]"))</f>
        <v>-84.45370776255703</v>
      </c>
      <c r="T14" s="60">
        <f ca="1">SUMIF(INDIRECT(Totals[[#This Row],[SourceTable]] &amp; "[My Category]"),T$3,INDIRECT(Totals[[#This Row],[SourceTable]] &amp; "[" &amp; TEXT(Totals[[#This Row],[Date]],"m/d/yy") &amp; "]"))</f>
        <v>-79.41500000000002</v>
      </c>
      <c r="U14" s="60">
        <f ca="1">SUMIF(INDIRECT(Totals[[#This Row],[SourceTable]] &amp; "[My Category]"),U$3,INDIRECT(Totals[[#This Row],[SourceTable]] &amp; "[" &amp; TEXT(Totals[[#This Row],[Date]],"m/d/yy") &amp; "]"))</f>
        <v>0</v>
      </c>
      <c r="V14" s="60">
        <f ca="1">SUMIF(INDIRECT(Totals[[#This Row],[SourceTable]] &amp; "[My Category]"),V$3,INDIRECT(Totals[[#This Row],[SourceTable]] &amp; "[" &amp; TEXT(Totals[[#This Row],[Date]],"m/d/yy") &amp; "]"))</f>
        <v>0</v>
      </c>
      <c r="W14" s="60">
        <f ca="1">SUMIF(INDIRECT(Totals[[#This Row],[SourceTable]] &amp; "[My Category]"),W$3,INDIRECT(Totals[[#This Row],[SourceTable]] &amp; "[" &amp; TEXT(Totals[[#This Row],[Date]],"m/d/yy") &amp; "]"))</f>
        <v>0</v>
      </c>
      <c r="X14" s="60">
        <f ca="1">SUMIF(INDIRECT(Totals[[#This Row],[SourceTable]] &amp; "[My Category]"),X$3,INDIRECT(Totals[[#This Row],[SourceTable]] &amp; "[" &amp; TEXT(Totals[[#This Row],[Date]],"m/d/yy") &amp; "]"))</f>
        <v>0</v>
      </c>
      <c r="Y14" s="60">
        <f ca="1">SUMIF(INDIRECT(Totals[[#This Row],[SourceTable]] &amp; "[My Category]"),Y$3,INDIRECT(Totals[[#This Row],[SourceTable]] &amp; "[" &amp; TEXT(Totals[[#This Row],[Date]],"m/d/yy") &amp; "]"))</f>
        <v>0</v>
      </c>
      <c r="Z14" s="60">
        <f ca="1">SUMIF(INDIRECT(Totals[[#This Row],[SourceTable]] &amp; "[My Category]"),Z$3,INDIRECT(Totals[[#This Row],[SourceTable]] &amp; "[" &amp; TEXT(Totals[[#This Row],[Date]],"m/d/yy") &amp; "]"))</f>
        <v>0</v>
      </c>
      <c r="AA14" s="60">
        <f ca="1">SUMIF(INDIRECT(Totals[[#This Row],[SourceTable]] &amp; "[My Category]"),AA$3,INDIRECT(Totals[[#This Row],[SourceTable]] &amp; "[" &amp; TEXT(Totals[[#This Row],[Date]],"m/d/yy") &amp; "]"))</f>
        <v>0</v>
      </c>
      <c r="AB14" s="60">
        <f ca="1">SUMIF(INDIRECT(Totals[[#This Row],[SourceTable]] &amp; "[My Category]"),AB$3,INDIRECT(Totals[[#This Row],[SourceTable]] &amp; "[" &amp; TEXT(Totals[[#This Row],[Date]],"m/d/yy") &amp; "]"))</f>
        <v>0</v>
      </c>
      <c r="AC14" s="60">
        <f ca="1">SUMIF(INDIRECT(Totals[[#This Row],[SourceTable]] &amp; "[My Category]"),AC$3,INDIRECT(Totals[[#This Row],[SourceTable]] &amp; "[" &amp; TEXT(Totals[[#This Row],[Date]],"m/d/yy") &amp; "]"))</f>
        <v>-97</v>
      </c>
      <c r="AD14" s="60">
        <f ca="1">SUMIF(INDIRECT(Totals[[#This Row],[SourceTable]] &amp; "[My Category]"),AD$3,INDIRECT(Totals[[#This Row],[SourceTable]] &amp; "[" &amp; TEXT(Totals[[#This Row],[Date]],"m/d/yy") &amp; "]"))</f>
        <v>-38.798493150684941</v>
      </c>
      <c r="AE14" s="60">
        <f ca="1">SUMIF(INDIRECT(Totals[[#This Row],[SourceTable]] &amp; "[My Category]"),AE$3,INDIRECT(Totals[[#This Row],[SourceTable]] &amp; "[" &amp; TEXT(Totals[[#This Row],[Date]],"m/d/yy") &amp; "]"))</f>
        <v>4185.0514285714289</v>
      </c>
      <c r="AF14" s="60">
        <f ca="1">SUMIF(INDIRECT(Totals[[#This Row],[SourceTable]] &amp; "[My Category]"),AF$3,INDIRECT(Totals[[#This Row],[SourceTable]] &amp; "[" &amp; TEXT(Totals[[#This Row],[Date]],"m/d/yy") &amp; "]"))</f>
        <v>21.37</v>
      </c>
      <c r="AG14" s="60">
        <f ca="1">SUMIF(INDIRECT(Totals[[#This Row],[SourceTable]] &amp; "[My Category]"),AG$3,INDIRECT(Totals[[#This Row],[SourceTable]] &amp; "[" &amp; TEXT(Totals[[#This Row],[Date]],"m/d/yy") &amp; "]"))</f>
        <v>0</v>
      </c>
      <c r="AH14" s="60">
        <f ca="1">SUMIF(INDIRECT(Totals[[#This Row],[SourceTable]] &amp; "[My Category]"),AH$3,INDIRECT(Totals[[#This Row],[SourceTable]] &amp; "[" &amp; TEXT(Totals[[#This Row],[Date]],"m/d/yy") &amp; "]"))</f>
        <v>0</v>
      </c>
      <c r="AI14" s="60">
        <f ca="1">SUMIF(INDIRECT(Totals[[#This Row],[SourceTable]] &amp; "[My Category]"),AI$3,INDIRECT(Totals[[#This Row],[SourceTable]] &amp; "[" &amp; TEXT(Totals[[#This Row],[Date]],"m/d/yy") &amp; "]"))</f>
        <v>-385.72602739726062</v>
      </c>
      <c r="AJ14" s="60">
        <f ca="1">SUMIF(INDIRECT(Totals[[#This Row],[SourceTable]] &amp; "[My Category]"),AJ$3,INDIRECT(Totals[[#This Row],[SourceTable]] &amp; "[" &amp; TEXT(Totals[[#This Row],[Date]],"m/d/yy") &amp; "]"))</f>
        <v>0</v>
      </c>
      <c r="AK14" s="70">
        <f ca="1">SUM(Totals[[#This Row],[Car - Note]:[NONTRACKED]])</f>
        <v>354.45553359425969</v>
      </c>
    </row>
    <row r="15" spans="1:37" x14ac:dyDescent="0.25">
      <c r="A15" s="72">
        <f>EDATE(DATEVALUE("1/1/2018"),ROW(Totals[[#This Row],[Date]])-ROW(Totals[[#Headers],[Date]])-1)</f>
        <v>43435</v>
      </c>
      <c r="B15" s="72" t="b">
        <f ca="1">IF(TODAY()&gt;EDATE(Totals[[#This Row],[Date]],1),TRUE,FALSE)</f>
        <v>1</v>
      </c>
      <c r="C15" s="74" t="str">
        <f>"Log_" &amp; YEAR(Totals[[#This Row],[Date]])</f>
        <v>Log_2018</v>
      </c>
      <c r="D15" s="60">
        <f ca="1">SUMIF(INDIRECT(Totals[[#This Row],[SourceTable]] &amp; "[My Category]"),D$3,INDIRECT(Totals[[#This Row],[SourceTable]] &amp; "[" &amp; TEXT(Totals[[#This Row],[Date]],"m/d/yy") &amp; "]"))</f>
        <v>-320</v>
      </c>
      <c r="E15" s="60">
        <f ca="1">SUMIF(INDIRECT(Totals[[#This Row],[SourceTable]] &amp; "[My Category]"),E$3,INDIRECT(Totals[[#This Row],[SourceTable]] &amp; "[" &amp; TEXT(Totals[[#This Row],[Date]],"m/d/yy") &amp; "]"))</f>
        <v>-228.95600000000002</v>
      </c>
      <c r="F15" s="60">
        <f ca="1">SUMIF(INDIRECT(Totals[[#This Row],[SourceTable]] &amp; "[My Category]"),F$3,INDIRECT(Totals[[#This Row],[SourceTable]] &amp; "[" &amp; TEXT(Totals[[#This Row],[Date]],"m/d/yy") &amp; "]"))</f>
        <v>-47.31</v>
      </c>
      <c r="G15" s="60">
        <f ca="1">SUMIF(INDIRECT(Totals[[#This Row],[SourceTable]] &amp; "[My Category]"),G$3,INDIRECT(Totals[[#This Row],[SourceTable]] &amp; "[" &amp; TEXT(Totals[[#This Row],[Date]],"m/d/yy") &amp; "]"))</f>
        <v>0</v>
      </c>
      <c r="H15" s="60">
        <f ca="1">SUMIF(INDIRECT(Totals[[#This Row],[SourceTable]] &amp; "[My Category]"),H$3,INDIRECT(Totals[[#This Row],[SourceTable]] &amp; "[" &amp; TEXT(Totals[[#This Row],[Date]],"m/d/yy") &amp; "]"))</f>
        <v>0</v>
      </c>
      <c r="I15" s="60">
        <f ca="1">SUMIF(INDIRECT(Totals[[#This Row],[SourceTable]] &amp; "[My Category]"),I$3,INDIRECT(Totals[[#This Row],[SourceTable]] &amp; "[" &amp; TEXT(Totals[[#This Row],[Date]],"m/d/yy") &amp; "]"))</f>
        <v>0</v>
      </c>
      <c r="J15" s="60">
        <f ca="1">SUMIF(INDIRECT(Totals[[#This Row],[SourceTable]] &amp; "[My Category]"),J$3,INDIRECT(Totals[[#This Row],[SourceTable]] &amp; "[" &amp; TEXT(Totals[[#This Row],[Date]],"m/d/yy") &amp; "]"))</f>
        <v>-64.900000000000006</v>
      </c>
      <c r="K15" s="60">
        <f ca="1">SUMIF(INDIRECT(Totals[[#This Row],[SourceTable]] &amp; "[My Category]"),K$3,INDIRECT(Totals[[#This Row],[SourceTable]] &amp; "[" &amp; TEXT(Totals[[#This Row],[Date]],"m/d/yy") &amp; "]"))</f>
        <v>-36.689666666666668</v>
      </c>
      <c r="L15" s="60">
        <f ca="1">SUMIF(INDIRECT(Totals[[#This Row],[SourceTable]] &amp; "[My Category]"),L$3,INDIRECT(Totals[[#This Row],[SourceTable]] &amp; "[" &amp; TEXT(Totals[[#This Row],[Date]],"m/d/yy") &amp; "]"))</f>
        <v>-114.46</v>
      </c>
      <c r="M15" s="60">
        <f ca="1">SUMIF(INDIRECT(Totals[[#This Row],[SourceTable]] &amp; "[My Category]"),M$3,INDIRECT(Totals[[#This Row],[SourceTable]] &amp; "[" &amp; TEXT(Totals[[#This Row],[Date]],"m/d/yy") &amp; "]"))</f>
        <v>-159.98999999999998</v>
      </c>
      <c r="N15" s="60">
        <f ca="1">SUMIF(INDIRECT(Totals[[#This Row],[SourceTable]] &amp; "[My Category]"),N$3,INDIRECT(Totals[[#This Row],[SourceTable]] &amp; "[" &amp; TEXT(Totals[[#This Row],[Date]],"m/d/yy") &amp; "]"))</f>
        <v>-10.81</v>
      </c>
      <c r="O15" s="60">
        <f ca="1">SUMIF(INDIRECT(Totals[[#This Row],[SourceTable]] &amp; "[My Category]"),O$3,INDIRECT(Totals[[#This Row],[SourceTable]] &amp; "[" &amp; TEXT(Totals[[#This Row],[Date]],"m/d/yy") &amp; "]"))</f>
        <v>-23.13</v>
      </c>
      <c r="P15" s="60">
        <f ca="1">SUMIF(INDIRECT(Totals[[#This Row],[SourceTable]] &amp; "[My Category]"),P$3,INDIRECT(Totals[[#This Row],[SourceTable]] &amp; "[" &amp; TEXT(Totals[[#This Row],[Date]],"m/d/yy") &amp; "]"))</f>
        <v>-179.26</v>
      </c>
      <c r="Q15" s="60">
        <f ca="1">SUMIF(INDIRECT(Totals[[#This Row],[SourceTable]] &amp; "[My Category]"),Q$3,INDIRECT(Totals[[#This Row],[SourceTable]] &amp; "[" &amp; TEXT(Totals[[#This Row],[Date]],"m/d/yy") &amp; "]"))</f>
        <v>-142.15999999999997</v>
      </c>
      <c r="R15" s="60">
        <f ca="1">SUMIF(INDIRECT(Totals[[#This Row],[SourceTable]] &amp; "[My Category]"),R$3,INDIRECT(Totals[[#This Row],[SourceTable]] &amp; "[" &amp; TEXT(Totals[[#This Row],[Date]],"m/d/yy") &amp; "]"))</f>
        <v>-1585.18</v>
      </c>
      <c r="S15" s="60">
        <f ca="1">SUMIF(INDIRECT(Totals[[#This Row],[SourceTable]] &amp; "[My Category]"),S$3,INDIRECT(Totals[[#This Row],[SourceTable]] &amp; "[" &amp; TEXT(Totals[[#This Row],[Date]],"m/d/yy") &amp; "]"))</f>
        <v>-69.229342465753462</v>
      </c>
      <c r="T15" s="60">
        <f ca="1">SUMIF(INDIRECT(Totals[[#This Row],[SourceTable]] &amp; "[My Category]"),T$3,INDIRECT(Totals[[#This Row],[SourceTable]] &amp; "[" &amp; TEXT(Totals[[#This Row],[Date]],"m/d/yy") &amp; "]"))</f>
        <v>-84.888333333333335</v>
      </c>
      <c r="U15" s="60">
        <f ca="1">SUMIF(INDIRECT(Totals[[#This Row],[SourceTable]] &amp; "[My Category]"),U$3,INDIRECT(Totals[[#This Row],[SourceTable]] &amp; "[" &amp; TEXT(Totals[[#This Row],[Date]],"m/d/yy") &amp; "]"))</f>
        <v>0</v>
      </c>
      <c r="V15" s="60">
        <f ca="1">SUMIF(INDIRECT(Totals[[#This Row],[SourceTable]] &amp; "[My Category]"),V$3,INDIRECT(Totals[[#This Row],[SourceTable]] &amp; "[" &amp; TEXT(Totals[[#This Row],[Date]],"m/d/yy") &amp; "]"))</f>
        <v>0</v>
      </c>
      <c r="W15" s="60">
        <f ca="1">SUMIF(INDIRECT(Totals[[#This Row],[SourceTable]] &amp; "[My Category]"),W$3,INDIRECT(Totals[[#This Row],[SourceTable]] &amp; "[" &amp; TEXT(Totals[[#This Row],[Date]],"m/d/yy") &amp; "]"))</f>
        <v>0</v>
      </c>
      <c r="X15" s="60">
        <f ca="1">SUMIF(INDIRECT(Totals[[#This Row],[SourceTable]] &amp; "[My Category]"),X$3,INDIRECT(Totals[[#This Row],[SourceTable]] &amp; "[" &amp; TEXT(Totals[[#This Row],[Date]],"m/d/yy") &amp; "]"))</f>
        <v>0</v>
      </c>
      <c r="Y15" s="60">
        <f ca="1">SUMIF(INDIRECT(Totals[[#This Row],[SourceTable]] &amp; "[My Category]"),Y$3,INDIRECT(Totals[[#This Row],[SourceTable]] &amp; "[" &amp; TEXT(Totals[[#This Row],[Date]],"m/d/yy") &amp; "]"))</f>
        <v>0</v>
      </c>
      <c r="Z15" s="60">
        <f ca="1">SUMIF(INDIRECT(Totals[[#This Row],[SourceTable]] &amp; "[My Category]"),Z$3,INDIRECT(Totals[[#This Row],[SourceTable]] &amp; "[" &amp; TEXT(Totals[[#This Row],[Date]],"m/d/yy") &amp; "]"))</f>
        <v>0</v>
      </c>
      <c r="AA15" s="60">
        <f ca="1">SUMIF(INDIRECT(Totals[[#This Row],[SourceTable]] &amp; "[My Category]"),AA$3,INDIRECT(Totals[[#This Row],[SourceTable]] &amp; "[" &amp; TEXT(Totals[[#This Row],[Date]],"m/d/yy") &amp; "]"))</f>
        <v>-8.99</v>
      </c>
      <c r="AB15" s="60">
        <f ca="1">SUMIF(INDIRECT(Totals[[#This Row],[SourceTable]] &amp; "[My Category]"),AB$3,INDIRECT(Totals[[#This Row],[SourceTable]] &amp; "[" &amp; TEXT(Totals[[#This Row],[Date]],"m/d/yy") &amp; "]"))</f>
        <v>0</v>
      </c>
      <c r="AC15" s="60">
        <f ca="1">SUMIF(INDIRECT(Totals[[#This Row],[SourceTable]] &amp; "[My Category]"),AC$3,INDIRECT(Totals[[#This Row],[SourceTable]] &amp; "[" &amp; TEXT(Totals[[#This Row],[Date]],"m/d/yy") &amp; "]"))</f>
        <v>-140</v>
      </c>
      <c r="AD15" s="60">
        <f ca="1">SUMIF(INDIRECT(Totals[[#This Row],[SourceTable]] &amp; "[My Category]"),AD$3,INDIRECT(Totals[[#This Row],[SourceTable]] &amp; "[" &amp; TEXT(Totals[[#This Row],[Date]],"m/d/yy") &amp; "]"))</f>
        <v>-92.442109589041095</v>
      </c>
      <c r="AE15" s="60">
        <f ca="1">SUMIF(INDIRECT(Totals[[#This Row],[SourceTable]] &amp; "[My Category]"),AE$3,INDIRECT(Totals[[#This Row],[SourceTable]] &amp; "[" &amp; TEXT(Totals[[#This Row],[Date]],"m/d/yy") &amp; "]"))</f>
        <v>4042.5442857142853</v>
      </c>
      <c r="AF15" s="60">
        <f ca="1">SUMIF(INDIRECT(Totals[[#This Row],[SourceTable]] &amp; "[My Category]"),AF$3,INDIRECT(Totals[[#This Row],[SourceTable]] &amp; "[" &amp; TEXT(Totals[[#This Row],[Date]],"m/d/yy") &amp; "]"))</f>
        <v>18.329999999999998</v>
      </c>
      <c r="AG15" s="60">
        <f ca="1">SUMIF(INDIRECT(Totals[[#This Row],[SourceTable]] &amp; "[My Category]"),AG$3,INDIRECT(Totals[[#This Row],[SourceTable]] &amp; "[" &amp; TEXT(Totals[[#This Row],[Date]],"m/d/yy") &amp; "]"))</f>
        <v>0</v>
      </c>
      <c r="AH15" s="60">
        <f ca="1">SUMIF(INDIRECT(Totals[[#This Row],[SourceTable]] &amp; "[My Category]"),AH$3,INDIRECT(Totals[[#This Row],[SourceTable]] &amp; "[" &amp; TEXT(Totals[[#This Row],[Date]],"m/d/yy") &amp; "]"))</f>
        <v>0</v>
      </c>
      <c r="AI15" s="60">
        <f ca="1">SUMIF(INDIRECT(Totals[[#This Row],[SourceTable]] &amp; "[My Category]"),AI$3,INDIRECT(Totals[[#This Row],[SourceTable]] &amp; "[" &amp; TEXT(Totals[[#This Row],[Date]],"m/d/yy") &amp; "]"))</f>
        <v>-398.58356164383531</v>
      </c>
      <c r="AJ15" s="60">
        <f ca="1">SUMIF(INDIRECT(Totals[[#This Row],[SourceTable]] &amp; "[My Category]"),AJ$3,INDIRECT(Totals[[#This Row],[SourceTable]] &amp; "[" &amp; TEXT(Totals[[#This Row],[Date]],"m/d/yy") &amp; "]"))</f>
        <v>0</v>
      </c>
      <c r="AK15" s="70">
        <f ca="1">SUM(Totals[[#This Row],[Car - Note]:[NONTRACKED]])</f>
        <v>353.895272015655</v>
      </c>
    </row>
    <row r="16" spans="1:37" x14ac:dyDescent="0.25">
      <c r="A16" s="72">
        <f>EDATE(DATEVALUE("1/1/2018"),ROW(Totals[[#This Row],[Date]])-ROW(Totals[[#Headers],[Date]])-1)</f>
        <v>43466</v>
      </c>
      <c r="B16" s="72" t="b">
        <f ca="1">IF(TODAY()&gt;EDATE(Totals[[#This Row],[Date]],1),TRUE,FALSE)</f>
        <v>1</v>
      </c>
      <c r="C16" s="74" t="str">
        <f>"Log_" &amp; YEAR(Totals[[#This Row],[Date]])</f>
        <v>Log_2019</v>
      </c>
      <c r="D16" s="60">
        <f ca="1">SUMIF(INDIRECT(Totals[[#This Row],[SourceTable]] &amp; "[My Category]"),D$3,INDIRECT(Totals[[#This Row],[SourceTable]] &amp; "[" &amp; TEXT(Totals[[#This Row],[Date]],"m/d/yy") &amp; "]"))</f>
        <v>-320</v>
      </c>
      <c r="E16" s="60">
        <f ca="1">SUMIF(INDIRECT(Totals[[#This Row],[SourceTable]] &amp; "[My Category]"),E$3,INDIRECT(Totals[[#This Row],[SourceTable]] &amp; "[" &amp; TEXT(Totals[[#This Row],[Date]],"m/d/yy") &amp; "]"))</f>
        <v>-202.02</v>
      </c>
      <c r="F16" s="60">
        <f ca="1">SUMIF(INDIRECT(Totals[[#This Row],[SourceTable]] &amp; "[My Category]"),F$3,INDIRECT(Totals[[#This Row],[SourceTable]] &amp; "[" &amp; TEXT(Totals[[#This Row],[Date]],"m/d/yy") &amp; "]"))</f>
        <v>-69.31</v>
      </c>
      <c r="G16" s="60">
        <f ca="1">SUMIF(INDIRECT(Totals[[#This Row],[SourceTable]] &amp; "[My Category]"),G$3,INDIRECT(Totals[[#This Row],[SourceTable]] &amp; "[" &amp; TEXT(Totals[[#This Row],[Date]],"m/d/yy") &amp; "]"))</f>
        <v>0</v>
      </c>
      <c r="H16" s="60">
        <f ca="1">SUMIF(INDIRECT(Totals[[#This Row],[SourceTable]] &amp; "[My Category]"),H$3,INDIRECT(Totals[[#This Row],[SourceTable]] &amp; "[" &amp; TEXT(Totals[[#This Row],[Date]],"m/d/yy") &amp; "]"))</f>
        <v>0</v>
      </c>
      <c r="I16" s="60">
        <f ca="1">SUMIF(INDIRECT(Totals[[#This Row],[SourceTable]] &amp; "[My Category]"),I$3,INDIRECT(Totals[[#This Row],[SourceTable]] &amp; "[" &amp; TEXT(Totals[[#This Row],[Date]],"m/d/yy") &amp; "]"))</f>
        <v>-17.7</v>
      </c>
      <c r="J16" s="60">
        <f ca="1">SUMIF(INDIRECT(Totals[[#This Row],[SourceTable]] &amp; "[My Category]"),J$3,INDIRECT(Totals[[#This Row],[SourceTable]] &amp; "[" &amp; TEXT(Totals[[#This Row],[Date]],"m/d/yy") &amp; "]"))</f>
        <v>-31.75</v>
      </c>
      <c r="K16" s="60">
        <f ca="1">SUMIF(INDIRECT(Totals[[#This Row],[SourceTable]] &amp; "[My Category]"),K$3,INDIRECT(Totals[[#This Row],[SourceTable]] &amp; "[" &amp; TEXT(Totals[[#This Row],[Date]],"m/d/yy") &amp; "]"))</f>
        <v>-18.306666666666665</v>
      </c>
      <c r="L16" s="60">
        <f ca="1">SUMIF(INDIRECT(Totals[[#This Row],[SourceTable]] &amp; "[My Category]"),L$3,INDIRECT(Totals[[#This Row],[SourceTable]] &amp; "[" &amp; TEXT(Totals[[#This Row],[Date]],"m/d/yy") &amp; "]"))</f>
        <v>-37.840000000000003</v>
      </c>
      <c r="M16" s="60">
        <f ca="1">SUMIF(INDIRECT(Totals[[#This Row],[SourceTable]] &amp; "[My Category]"),M$3,INDIRECT(Totals[[#This Row],[SourceTable]] &amp; "[" &amp; TEXT(Totals[[#This Row],[Date]],"m/d/yy") &amp; "]"))</f>
        <v>-27.339999999999996</v>
      </c>
      <c r="N16" s="60">
        <f ca="1">SUMIF(INDIRECT(Totals[[#This Row],[SourceTable]] &amp; "[My Category]"),N$3,INDIRECT(Totals[[#This Row],[SourceTable]] &amp; "[" &amp; TEXT(Totals[[#This Row],[Date]],"m/d/yy") &amp; "]"))</f>
        <v>-4.1399999999999997</v>
      </c>
      <c r="O16" s="60">
        <f ca="1">SUMIF(INDIRECT(Totals[[#This Row],[SourceTable]] &amp; "[My Category]"),O$3,INDIRECT(Totals[[#This Row],[SourceTable]] &amp; "[" &amp; TEXT(Totals[[#This Row],[Date]],"m/d/yy") &amp; "]"))</f>
        <v>0</v>
      </c>
      <c r="P16" s="60">
        <f ca="1">SUMIF(INDIRECT(Totals[[#This Row],[SourceTable]] &amp; "[My Category]"),P$3,INDIRECT(Totals[[#This Row],[SourceTable]] &amp; "[" &amp; TEXT(Totals[[#This Row],[Date]],"m/d/yy") &amp; "]"))</f>
        <v>-205.04000000000002</v>
      </c>
      <c r="Q16" s="60">
        <f ca="1">SUMIF(INDIRECT(Totals[[#This Row],[SourceTable]] &amp; "[My Category]"),Q$3,INDIRECT(Totals[[#This Row],[SourceTable]] &amp; "[" &amp; TEXT(Totals[[#This Row],[Date]],"m/d/yy") &amp; "]"))</f>
        <v>-181.37</v>
      </c>
      <c r="R16" s="60">
        <f ca="1">SUMIF(INDIRECT(Totals[[#This Row],[SourceTable]] &amp; "[My Category]"),R$3,INDIRECT(Totals[[#This Row],[SourceTable]] &amp; "[" &amp; TEXT(Totals[[#This Row],[Date]],"m/d/yy") &amp; "]"))</f>
        <v>-1622.2</v>
      </c>
      <c r="S16" s="60">
        <f ca="1">SUMIF(INDIRECT(Totals[[#This Row],[SourceTable]] &amp; "[My Category]"),S$3,INDIRECT(Totals[[#This Row],[SourceTable]] &amp; "[" &amp; TEXT(Totals[[#This Row],[Date]],"m/d/yy") &amp; "]"))</f>
        <v>-37.354666666666667</v>
      </c>
      <c r="T16" s="60">
        <f ca="1">SUMIF(INDIRECT(Totals[[#This Row],[SourceTable]] &amp; "[My Category]"),T$3,INDIRECT(Totals[[#This Row],[SourceTable]] &amp; "[" &amp; TEXT(Totals[[#This Row],[Date]],"m/d/yy") &amp; "]"))</f>
        <v>-82.15</v>
      </c>
      <c r="U16" s="60">
        <f ca="1">SUMIF(INDIRECT(Totals[[#This Row],[SourceTable]] &amp; "[My Category]"),U$3,INDIRECT(Totals[[#This Row],[SourceTable]] &amp; "[" &amp; TEXT(Totals[[#This Row],[Date]],"m/d/yy") &amp; "]"))</f>
        <v>-99.58</v>
      </c>
      <c r="V16" s="60">
        <f ca="1">SUMIF(INDIRECT(Totals[[#This Row],[SourceTable]] &amp; "[My Category]"),V$3,INDIRECT(Totals[[#This Row],[SourceTable]] &amp; "[" &amp; TEXT(Totals[[#This Row],[Date]],"m/d/yy") &amp; "]"))</f>
        <v>0</v>
      </c>
      <c r="W16" s="60">
        <f ca="1">SUMIF(INDIRECT(Totals[[#This Row],[SourceTable]] &amp; "[My Category]"),W$3,INDIRECT(Totals[[#This Row],[SourceTable]] &amp; "[" &amp; TEXT(Totals[[#This Row],[Date]],"m/d/yy") &amp; "]"))</f>
        <v>0</v>
      </c>
      <c r="X16" s="60">
        <f ca="1">SUMIF(INDIRECT(Totals[[#This Row],[SourceTable]] &amp; "[My Category]"),X$3,INDIRECT(Totals[[#This Row],[SourceTable]] &amp; "[" &amp; TEXT(Totals[[#This Row],[Date]],"m/d/yy") &amp; "]"))</f>
        <v>0</v>
      </c>
      <c r="Y16" s="60">
        <f ca="1">SUMIF(INDIRECT(Totals[[#This Row],[SourceTable]] &amp; "[My Category]"),Y$3,INDIRECT(Totals[[#This Row],[SourceTable]] &amp; "[" &amp; TEXT(Totals[[#This Row],[Date]],"m/d/yy") &amp; "]"))</f>
        <v>0</v>
      </c>
      <c r="Z16" s="60">
        <f ca="1">SUMIF(INDIRECT(Totals[[#This Row],[SourceTable]] &amp; "[My Category]"),Z$3,INDIRECT(Totals[[#This Row],[SourceTable]] &amp; "[" &amp; TEXT(Totals[[#This Row],[Date]],"m/d/yy") &amp; "]"))</f>
        <v>0</v>
      </c>
      <c r="AA16" s="60">
        <f ca="1">SUMIF(INDIRECT(Totals[[#This Row],[SourceTable]] &amp; "[My Category]"),AA$3,INDIRECT(Totals[[#This Row],[SourceTable]] &amp; "[" &amp; TEXT(Totals[[#This Row],[Date]],"m/d/yy") &amp; "]"))</f>
        <v>0</v>
      </c>
      <c r="AB16" s="60">
        <f ca="1">SUMIF(INDIRECT(Totals[[#This Row],[SourceTable]] &amp; "[My Category]"),AB$3,INDIRECT(Totals[[#This Row],[SourceTable]] &amp; "[" &amp; TEXT(Totals[[#This Row],[Date]],"m/d/yy") &amp; "]"))</f>
        <v>0</v>
      </c>
      <c r="AC16" s="60">
        <f ca="1">SUMIF(INDIRECT(Totals[[#This Row],[SourceTable]] &amp; "[My Category]"),AC$3,INDIRECT(Totals[[#This Row],[SourceTable]] &amp; "[" &amp; TEXT(Totals[[#This Row],[Date]],"m/d/yy") &amp; "]"))</f>
        <v>-102</v>
      </c>
      <c r="AD16" s="60">
        <f ca="1">SUMIF(INDIRECT(Totals[[#This Row],[SourceTable]] &amp; "[My Category]"),AD$3,INDIRECT(Totals[[#This Row],[SourceTable]] &amp; "[" &amp; TEXT(Totals[[#This Row],[Date]],"m/d/yy") &amp; "]"))</f>
        <v>-9.1021095890410937</v>
      </c>
      <c r="AE16" s="60">
        <f ca="1">SUMIF(INDIRECT(Totals[[#This Row],[SourceTable]] &amp; "[My Category]"),AE$3,INDIRECT(Totals[[#This Row],[SourceTable]] &amp; "[" &amp; TEXT(Totals[[#This Row],[Date]],"m/d/yy") &amp; "]"))</f>
        <v>4187.9742857142865</v>
      </c>
      <c r="AF16" s="60">
        <f ca="1">SUMIF(INDIRECT(Totals[[#This Row],[SourceTable]] &amp; "[My Category]"),AF$3,INDIRECT(Totals[[#This Row],[SourceTable]] &amp; "[" &amp; TEXT(Totals[[#This Row],[Date]],"m/d/yy") &amp; "]"))</f>
        <v>76.290000000000006</v>
      </c>
      <c r="AG16" s="60">
        <f ca="1">SUMIF(INDIRECT(Totals[[#This Row],[SourceTable]] &amp; "[My Category]"),AG$3,INDIRECT(Totals[[#This Row],[SourceTable]] &amp; "[" &amp; TEXT(Totals[[#This Row],[Date]],"m/d/yy") &amp; "]"))</f>
        <v>0</v>
      </c>
      <c r="AH16" s="60">
        <f ca="1">SUMIF(INDIRECT(Totals[[#This Row],[SourceTable]] &amp; "[My Category]"),AH$3,INDIRECT(Totals[[#This Row],[SourceTable]] &amp; "[" &amp; TEXT(Totals[[#This Row],[Date]],"m/d/yy") &amp; "]"))</f>
        <v>0</v>
      </c>
      <c r="AI16" s="60">
        <f ca="1">SUMIF(INDIRECT(Totals[[#This Row],[SourceTable]] &amp; "[My Category]"),AI$3,INDIRECT(Totals[[#This Row],[SourceTable]] &amp; "[" &amp; TEXT(Totals[[#This Row],[Date]],"m/d/yy") &amp; "]"))</f>
        <v>0</v>
      </c>
      <c r="AJ16" s="60">
        <f ca="1">SUMIF(INDIRECT(Totals[[#This Row],[SourceTable]] &amp; "[My Category]"),AJ$3,INDIRECT(Totals[[#This Row],[SourceTable]] &amp; "[" &amp; TEXT(Totals[[#This Row],[Date]],"m/d/yy") &amp; "]"))</f>
        <v>0</v>
      </c>
      <c r="AK16" s="70">
        <f ca="1">SUM(Totals[[#This Row],[Car - Note]:[NONTRACKED]])</f>
        <v>1197.0608427919124</v>
      </c>
    </row>
    <row r="17" spans="1:37" x14ac:dyDescent="0.25">
      <c r="A17" s="72">
        <f>EDATE(DATEVALUE("1/1/2018"),ROW(Totals[[#This Row],[Date]])-ROW(Totals[[#Headers],[Date]])-1)</f>
        <v>43497</v>
      </c>
      <c r="B17" s="72" t="b">
        <f ca="1">IF(TODAY()&gt;EDATE(Totals[[#This Row],[Date]],1),TRUE,FALSE)</f>
        <v>1</v>
      </c>
      <c r="C17" s="74" t="str">
        <f>"Log_" &amp; YEAR(Totals[[#This Row],[Date]])</f>
        <v>Log_2019</v>
      </c>
      <c r="D17" s="60">
        <f ca="1">SUMIF(INDIRECT(Totals[[#This Row],[SourceTable]] &amp; "[My Category]"),D$3,INDIRECT(Totals[[#This Row],[SourceTable]] &amp; "[" &amp; TEXT(Totals[[#This Row],[Date]],"m/d/yy") &amp; "]"))</f>
        <v>-320</v>
      </c>
      <c r="E17" s="60">
        <f ca="1">SUMIF(INDIRECT(Totals[[#This Row],[SourceTable]] &amp; "[My Category]"),E$3,INDIRECT(Totals[[#This Row],[SourceTable]] &amp; "[" &amp; TEXT(Totals[[#This Row],[Date]],"m/d/yy") &amp; "]"))</f>
        <v>-175.11800000000005</v>
      </c>
      <c r="F17" s="60">
        <f ca="1">SUMIF(INDIRECT(Totals[[#This Row],[SourceTable]] &amp; "[My Category]"),F$3,INDIRECT(Totals[[#This Row],[SourceTable]] &amp; "[" &amp; TEXT(Totals[[#This Row],[Date]],"m/d/yy") &amp; "]"))</f>
        <v>-48.33</v>
      </c>
      <c r="G17" s="60">
        <f ca="1">SUMIF(INDIRECT(Totals[[#This Row],[SourceTable]] &amp; "[My Category]"),G$3,INDIRECT(Totals[[#This Row],[SourceTable]] &amp; "[" &amp; TEXT(Totals[[#This Row],[Date]],"m/d/yy") &amp; "]"))</f>
        <v>0</v>
      </c>
      <c r="H17" s="60">
        <f ca="1">SUMIF(INDIRECT(Totals[[#This Row],[SourceTable]] &amp; "[My Category]"),H$3,INDIRECT(Totals[[#This Row],[SourceTable]] &amp; "[" &amp; TEXT(Totals[[#This Row],[Date]],"m/d/yy") &amp; "]"))</f>
        <v>0</v>
      </c>
      <c r="I17" s="60">
        <f ca="1">SUMIF(INDIRECT(Totals[[#This Row],[SourceTable]] &amp; "[My Category]"),I$3,INDIRECT(Totals[[#This Row],[SourceTable]] &amp; "[" &amp; TEXT(Totals[[#This Row],[Date]],"m/d/yy") &amp; "]"))</f>
        <v>0</v>
      </c>
      <c r="J17" s="60">
        <f ca="1">SUMIF(INDIRECT(Totals[[#This Row],[SourceTable]] &amp; "[My Category]"),J$3,INDIRECT(Totals[[#This Row],[SourceTable]] &amp; "[" &amp; TEXT(Totals[[#This Row],[Date]],"m/d/yy") &amp; "]"))</f>
        <v>-96.59</v>
      </c>
      <c r="K17" s="60">
        <f ca="1">SUMIF(INDIRECT(Totals[[#This Row],[SourceTable]] &amp; "[My Category]"),K$3,INDIRECT(Totals[[#This Row],[SourceTable]] &amp; "[" &amp; TEXT(Totals[[#This Row],[Date]],"m/d/yy") &amp; "]"))</f>
        <v>-9.657</v>
      </c>
      <c r="L17" s="60">
        <f ca="1">SUMIF(INDIRECT(Totals[[#This Row],[SourceTable]] &amp; "[My Category]"),L$3,INDIRECT(Totals[[#This Row],[SourceTable]] &amp; "[" &amp; TEXT(Totals[[#This Row],[Date]],"m/d/yy") &amp; "]"))</f>
        <v>-6.11</v>
      </c>
      <c r="M17" s="60">
        <f ca="1">SUMIF(INDIRECT(Totals[[#This Row],[SourceTable]] &amp; "[My Category]"),M$3,INDIRECT(Totals[[#This Row],[SourceTable]] &amp; "[" &amp; TEXT(Totals[[#This Row],[Date]],"m/d/yy") &amp; "]"))</f>
        <v>-109.39999999999999</v>
      </c>
      <c r="N17" s="60">
        <f ca="1">SUMIF(INDIRECT(Totals[[#This Row],[SourceTable]] &amp; "[My Category]"),N$3,INDIRECT(Totals[[#This Row],[SourceTable]] &amp; "[" &amp; TEXT(Totals[[#This Row],[Date]],"m/d/yy") &amp; "]"))</f>
        <v>0</v>
      </c>
      <c r="O17" s="60">
        <f ca="1">SUMIF(INDIRECT(Totals[[#This Row],[SourceTable]] &amp; "[My Category]"),O$3,INDIRECT(Totals[[#This Row],[SourceTable]] &amp; "[" &amp; TEXT(Totals[[#This Row],[Date]],"m/d/yy") &amp; "]"))</f>
        <v>0</v>
      </c>
      <c r="P17" s="60">
        <f ca="1">SUMIF(INDIRECT(Totals[[#This Row],[SourceTable]] &amp; "[My Category]"),P$3,INDIRECT(Totals[[#This Row],[SourceTable]] &amp; "[" &amp; TEXT(Totals[[#This Row],[Date]],"m/d/yy") &amp; "]"))</f>
        <v>-125.94</v>
      </c>
      <c r="Q17" s="60">
        <f ca="1">SUMIF(INDIRECT(Totals[[#This Row],[SourceTable]] &amp; "[My Category]"),Q$3,INDIRECT(Totals[[#This Row],[SourceTable]] &amp; "[" &amp; TEXT(Totals[[#This Row],[Date]],"m/d/yy") &amp; "]"))</f>
        <v>-173.35000000000002</v>
      </c>
      <c r="R17" s="60">
        <f ca="1">SUMIF(INDIRECT(Totals[[#This Row],[SourceTable]] &amp; "[My Category]"),R$3,INDIRECT(Totals[[#This Row],[SourceTable]] &amp; "[" &amp; TEXT(Totals[[#This Row],[Date]],"m/d/yy") &amp; "]"))</f>
        <v>-1328.1416666666667</v>
      </c>
      <c r="S17" s="60">
        <f ca="1">SUMIF(INDIRECT(Totals[[#This Row],[SourceTable]] &amp; "[My Category]"),S$3,INDIRECT(Totals[[#This Row],[SourceTable]] &amp; "[" &amp; TEXT(Totals[[#This Row],[Date]],"m/d/yy") &amp; "]"))</f>
        <v>-26.921666666666667</v>
      </c>
      <c r="T17" s="60">
        <f ca="1">SUMIF(INDIRECT(Totals[[#This Row],[SourceTable]] &amp; "[My Category]"),T$3,INDIRECT(Totals[[#This Row],[SourceTable]] &amp; "[" &amp; TEXT(Totals[[#This Row],[Date]],"m/d/yy") &amp; "]"))</f>
        <v>-76.083666666666659</v>
      </c>
      <c r="U17" s="60">
        <f ca="1">SUMIF(INDIRECT(Totals[[#This Row],[SourceTable]] &amp; "[My Category]"),U$3,INDIRECT(Totals[[#This Row],[SourceTable]] &amp; "[" &amp; TEXT(Totals[[#This Row],[Date]],"m/d/yy") &amp; "]"))</f>
        <v>-105.71000000000001</v>
      </c>
      <c r="V17" s="60">
        <f ca="1">SUMIF(INDIRECT(Totals[[#This Row],[SourceTable]] &amp; "[My Category]"),V$3,INDIRECT(Totals[[#This Row],[SourceTable]] &amp; "[" &amp; TEXT(Totals[[#This Row],[Date]],"m/d/yy") &amp; "]"))</f>
        <v>0</v>
      </c>
      <c r="W17" s="60">
        <f ca="1">SUMIF(INDIRECT(Totals[[#This Row],[SourceTable]] &amp; "[My Category]"),W$3,INDIRECT(Totals[[#This Row],[SourceTable]] &amp; "[" &amp; TEXT(Totals[[#This Row],[Date]],"m/d/yy") &amp; "]"))</f>
        <v>0</v>
      </c>
      <c r="X17" s="60">
        <f ca="1">SUMIF(INDIRECT(Totals[[#This Row],[SourceTable]] &amp; "[My Category]"),X$3,INDIRECT(Totals[[#This Row],[SourceTable]] &amp; "[" &amp; TEXT(Totals[[#This Row],[Date]],"m/d/yy") &amp; "]"))</f>
        <v>0</v>
      </c>
      <c r="Y17" s="60">
        <f ca="1">SUMIF(INDIRECT(Totals[[#This Row],[SourceTable]] &amp; "[My Category]"),Y$3,INDIRECT(Totals[[#This Row],[SourceTable]] &amp; "[" &amp; TEXT(Totals[[#This Row],[Date]],"m/d/yy") &amp; "]"))</f>
        <v>0</v>
      </c>
      <c r="Z17" s="60">
        <f ca="1">SUMIF(INDIRECT(Totals[[#This Row],[SourceTable]] &amp; "[My Category]"),Z$3,INDIRECT(Totals[[#This Row],[SourceTable]] &amp; "[" &amp; TEXT(Totals[[#This Row],[Date]],"m/d/yy") &amp; "]"))</f>
        <v>0</v>
      </c>
      <c r="AA17" s="60">
        <f ca="1">SUMIF(INDIRECT(Totals[[#This Row],[SourceTable]] &amp; "[My Category]"),AA$3,INDIRECT(Totals[[#This Row],[SourceTable]] &amp; "[" &amp; TEXT(Totals[[#This Row],[Date]],"m/d/yy") &amp; "]"))</f>
        <v>0</v>
      </c>
      <c r="AB17" s="60">
        <f ca="1">SUMIF(INDIRECT(Totals[[#This Row],[SourceTable]] &amp; "[My Category]"),AB$3,INDIRECT(Totals[[#This Row],[SourceTable]] &amp; "[" &amp; TEXT(Totals[[#This Row],[Date]],"m/d/yy") &amp; "]"))</f>
        <v>0</v>
      </c>
      <c r="AC17" s="60">
        <f ca="1">SUMIF(INDIRECT(Totals[[#This Row],[SourceTable]] &amp; "[My Category]"),AC$3,INDIRECT(Totals[[#This Row],[SourceTable]] &amp; "[" &amp; TEXT(Totals[[#This Row],[Date]],"m/d/yy") &amp; "]"))</f>
        <v>2</v>
      </c>
      <c r="AD17" s="60">
        <f ca="1">SUMIF(INDIRECT(Totals[[#This Row],[SourceTable]] &amp; "[My Category]"),AD$3,INDIRECT(Totals[[#This Row],[SourceTable]] &amp; "[" &amp; TEXT(Totals[[#This Row],[Date]],"m/d/yy") &amp; "]"))</f>
        <v>-28.221260273972597</v>
      </c>
      <c r="AE17" s="60">
        <f ca="1">SUMIF(INDIRECT(Totals[[#This Row],[SourceTable]] &amp; "[My Category]"),AE$3,INDIRECT(Totals[[#This Row],[SourceTable]] &amp; "[" &amp; TEXT(Totals[[#This Row],[Date]],"m/d/yy") &amp; "]"))</f>
        <v>3783.36</v>
      </c>
      <c r="AF17" s="60">
        <f ca="1">SUMIF(INDIRECT(Totals[[#This Row],[SourceTable]] &amp; "[My Category]"),AF$3,INDIRECT(Totals[[#This Row],[SourceTable]] &amp; "[" &amp; TEXT(Totals[[#This Row],[Date]],"m/d/yy") &amp; "]"))</f>
        <v>12.430000000000001</v>
      </c>
      <c r="AG17" s="60">
        <f ca="1">SUMIF(INDIRECT(Totals[[#This Row],[SourceTable]] &amp; "[My Category]"),AG$3,INDIRECT(Totals[[#This Row],[SourceTable]] &amp; "[" &amp; TEXT(Totals[[#This Row],[Date]],"m/d/yy") &amp; "]"))</f>
        <v>0</v>
      </c>
      <c r="AH17" s="60">
        <f ca="1">SUMIF(INDIRECT(Totals[[#This Row],[SourceTable]] &amp; "[My Category]"),AH$3,INDIRECT(Totals[[#This Row],[SourceTable]] &amp; "[" &amp; TEXT(Totals[[#This Row],[Date]],"m/d/yy") &amp; "]"))</f>
        <v>0</v>
      </c>
      <c r="AI17" s="60">
        <f ca="1">SUMIF(INDIRECT(Totals[[#This Row],[SourceTable]] &amp; "[My Category]"),AI$3,INDIRECT(Totals[[#This Row],[SourceTable]] &amp; "[" &amp; TEXT(Totals[[#This Row],[Date]],"m/d/yy") &amp; "]"))</f>
        <v>0</v>
      </c>
      <c r="AJ17" s="60">
        <f ca="1">SUMIF(INDIRECT(Totals[[#This Row],[SourceTable]] &amp; "[My Category]"),AJ$3,INDIRECT(Totals[[#This Row],[SourceTable]] &amp; "[" &amp; TEXT(Totals[[#This Row],[Date]],"m/d/yy") &amp; "]"))</f>
        <v>0</v>
      </c>
      <c r="AK17" s="70">
        <f ca="1">SUM(Totals[[#This Row],[Car - Note]:[NONTRACKED]])</f>
        <v>1168.2167397260266</v>
      </c>
    </row>
    <row r="18" spans="1:37" x14ac:dyDescent="0.25">
      <c r="A18" s="72">
        <f>EDATE(DATEVALUE("1/1/2018"),ROW(Totals[[#This Row],[Date]])-ROW(Totals[[#Headers],[Date]])-1)</f>
        <v>43525</v>
      </c>
      <c r="B18" s="72" t="b">
        <f ca="1">IF(TODAY()&gt;EDATE(Totals[[#This Row],[Date]],1),TRUE,FALSE)</f>
        <v>1</v>
      </c>
      <c r="C18" s="74" t="str">
        <f>"Log_" &amp; YEAR(Totals[[#This Row],[Date]])</f>
        <v>Log_2019</v>
      </c>
      <c r="D18" s="60">
        <f ca="1">SUMIF(INDIRECT(Totals[[#This Row],[SourceTable]] &amp; "[My Category]"),D$3,INDIRECT(Totals[[#This Row],[SourceTable]] &amp; "[" &amp; TEXT(Totals[[#This Row],[Date]],"m/d/yy") &amp; "]"))</f>
        <v>-320</v>
      </c>
      <c r="E18" s="60">
        <f ca="1">SUMIF(INDIRECT(Totals[[#This Row],[SourceTable]] &amp; "[My Category]"),E$3,INDIRECT(Totals[[#This Row],[SourceTable]] &amp; "[" &amp; TEXT(Totals[[#This Row],[Date]],"m/d/yy") &amp; "]"))</f>
        <v>-221.36133333333333</v>
      </c>
      <c r="F18" s="60">
        <f ca="1">SUMIF(INDIRECT(Totals[[#This Row],[SourceTable]] &amp; "[My Category]"),F$3,INDIRECT(Totals[[#This Row],[SourceTable]] &amp; "[" &amp; TEXT(Totals[[#This Row],[Date]],"m/d/yy") &amp; "]"))</f>
        <v>-78.680000000000007</v>
      </c>
      <c r="G18" s="60">
        <f ca="1">SUMIF(INDIRECT(Totals[[#This Row],[SourceTable]] &amp; "[My Category]"),G$3,INDIRECT(Totals[[#This Row],[SourceTable]] &amp; "[" &amp; TEXT(Totals[[#This Row],[Date]],"m/d/yy") &amp; "]"))</f>
        <v>0</v>
      </c>
      <c r="H18" s="60">
        <f ca="1">SUMIF(INDIRECT(Totals[[#This Row],[SourceTable]] &amp; "[My Category]"),H$3,INDIRECT(Totals[[#This Row],[SourceTable]] &amp; "[" &amp; TEXT(Totals[[#This Row],[Date]],"m/d/yy") &amp; "]"))</f>
        <v>0</v>
      </c>
      <c r="I18" s="60">
        <f ca="1">SUMIF(INDIRECT(Totals[[#This Row],[SourceTable]] &amp; "[My Category]"),I$3,INDIRECT(Totals[[#This Row],[SourceTable]] &amp; "[" &amp; TEXT(Totals[[#This Row],[Date]],"m/d/yy") &amp; "]"))</f>
        <v>0</v>
      </c>
      <c r="J18" s="60">
        <f ca="1">SUMIF(INDIRECT(Totals[[#This Row],[SourceTable]] &amp; "[My Category]"),J$3,INDIRECT(Totals[[#This Row],[SourceTable]] &amp; "[" &amp; TEXT(Totals[[#This Row],[Date]],"m/d/yy") &amp; "]"))</f>
        <v>-33.46</v>
      </c>
      <c r="K18" s="60">
        <f ca="1">SUMIF(INDIRECT(Totals[[#This Row],[SourceTable]] &amp; "[My Category]"),K$3,INDIRECT(Totals[[#This Row],[SourceTable]] &amp; "[" &amp; TEXT(Totals[[#This Row],[Date]],"m/d/yy") &amp; "]"))</f>
        <v>-21.406000000000002</v>
      </c>
      <c r="L18" s="60">
        <f ca="1">SUMIF(INDIRECT(Totals[[#This Row],[SourceTable]] &amp; "[My Category]"),L$3,INDIRECT(Totals[[#This Row],[SourceTable]] &amp; "[" &amp; TEXT(Totals[[#This Row],[Date]],"m/d/yy") &amp; "]"))</f>
        <v>0</v>
      </c>
      <c r="M18" s="60">
        <f ca="1">SUMIF(INDIRECT(Totals[[#This Row],[SourceTable]] &amp; "[My Category]"),M$3,INDIRECT(Totals[[#This Row],[SourceTable]] &amp; "[" &amp; TEXT(Totals[[#This Row],[Date]],"m/d/yy") &amp; "]"))</f>
        <v>-12</v>
      </c>
      <c r="N18" s="60">
        <f ca="1">SUMIF(INDIRECT(Totals[[#This Row],[SourceTable]] &amp; "[My Category]"),N$3,INDIRECT(Totals[[#This Row],[SourceTable]] &amp; "[" &amp; TEXT(Totals[[#This Row],[Date]],"m/d/yy") &amp; "]"))</f>
        <v>0</v>
      </c>
      <c r="O18" s="60">
        <f ca="1">SUMIF(INDIRECT(Totals[[#This Row],[SourceTable]] &amp; "[My Category]"),O$3,INDIRECT(Totals[[#This Row],[SourceTable]] &amp; "[" &amp; TEXT(Totals[[#This Row],[Date]],"m/d/yy") &amp; "]"))</f>
        <v>0</v>
      </c>
      <c r="P18" s="60">
        <f ca="1">SUMIF(INDIRECT(Totals[[#This Row],[SourceTable]] &amp; "[My Category]"),P$3,INDIRECT(Totals[[#This Row],[SourceTable]] &amp; "[" &amp; TEXT(Totals[[#This Row],[Date]],"m/d/yy") &amp; "]"))</f>
        <v>-132.41</v>
      </c>
      <c r="Q18" s="60">
        <f ca="1">SUMIF(INDIRECT(Totals[[#This Row],[SourceTable]] &amp; "[My Category]"),Q$3,INDIRECT(Totals[[#This Row],[SourceTable]] &amp; "[" &amp; TEXT(Totals[[#This Row],[Date]],"m/d/yy") &amp; "]"))</f>
        <v>-171.4</v>
      </c>
      <c r="R18" s="60">
        <f ca="1">SUMIF(INDIRECT(Totals[[#This Row],[SourceTable]] &amp; "[My Category]"),R$3,INDIRECT(Totals[[#This Row],[SourceTable]] &amp; "[" &amp; TEXT(Totals[[#This Row],[Date]],"m/d/yy") &amp; "]"))</f>
        <v>-1771.375</v>
      </c>
      <c r="S18" s="60">
        <f ca="1">SUMIF(INDIRECT(Totals[[#This Row],[SourceTable]] &amp; "[My Category]"),S$3,INDIRECT(Totals[[#This Row],[SourceTable]] &amp; "[" &amp; TEXT(Totals[[#This Row],[Date]],"m/d/yy") &amp; "]"))</f>
        <v>-33.002000000000002</v>
      </c>
      <c r="T18" s="60">
        <f ca="1">SUMIF(INDIRECT(Totals[[#This Row],[SourceTable]] &amp; "[My Category]"),T$3,INDIRECT(Totals[[#This Row],[SourceTable]] &amp; "[" &amp; TEXT(Totals[[#This Row],[Date]],"m/d/yy") &amp; "]"))</f>
        <v>-93.587999999999994</v>
      </c>
      <c r="U18" s="60">
        <f ca="1">SUMIF(INDIRECT(Totals[[#This Row],[SourceTable]] &amp; "[My Category]"),U$3,INDIRECT(Totals[[#This Row],[SourceTable]] &amp; "[" &amp; TEXT(Totals[[#This Row],[Date]],"m/d/yy") &amp; "]"))</f>
        <v>-266.34000000000003</v>
      </c>
      <c r="V18" s="60">
        <f ca="1">SUMIF(INDIRECT(Totals[[#This Row],[SourceTable]] &amp; "[My Category]"),V$3,INDIRECT(Totals[[#This Row],[SourceTable]] &amp; "[" &amp; TEXT(Totals[[#This Row],[Date]],"m/d/yy") &amp; "]"))</f>
        <v>0</v>
      </c>
      <c r="W18" s="60">
        <f ca="1">SUMIF(INDIRECT(Totals[[#This Row],[SourceTable]] &amp; "[My Category]"),W$3,INDIRECT(Totals[[#This Row],[SourceTable]] &amp; "[" &amp; TEXT(Totals[[#This Row],[Date]],"m/d/yy") &amp; "]"))</f>
        <v>0</v>
      </c>
      <c r="X18" s="60">
        <f ca="1">SUMIF(INDIRECT(Totals[[#This Row],[SourceTable]] &amp; "[My Category]"),X$3,INDIRECT(Totals[[#This Row],[SourceTable]] &amp; "[" &amp; TEXT(Totals[[#This Row],[Date]],"m/d/yy") &amp; "]"))</f>
        <v>0</v>
      </c>
      <c r="Y18" s="60">
        <f ca="1">SUMIF(INDIRECT(Totals[[#This Row],[SourceTable]] &amp; "[My Category]"),Y$3,INDIRECT(Totals[[#This Row],[SourceTable]] &amp; "[" &amp; TEXT(Totals[[#This Row],[Date]],"m/d/yy") &amp; "]"))</f>
        <v>0</v>
      </c>
      <c r="Z18" s="60">
        <f ca="1">SUMIF(INDIRECT(Totals[[#This Row],[SourceTable]] &amp; "[My Category]"),Z$3,INDIRECT(Totals[[#This Row],[SourceTable]] &amp; "[" &amp; TEXT(Totals[[#This Row],[Date]],"m/d/yy") &amp; "]"))</f>
        <v>-603</v>
      </c>
      <c r="AA18" s="60">
        <f ca="1">SUMIF(INDIRECT(Totals[[#This Row],[SourceTable]] &amp; "[My Category]"),AA$3,INDIRECT(Totals[[#This Row],[SourceTable]] &amp; "[" &amp; TEXT(Totals[[#This Row],[Date]],"m/d/yy") &amp; "]"))</f>
        <v>-90.41</v>
      </c>
      <c r="AB18" s="60">
        <f ca="1">SUMIF(INDIRECT(Totals[[#This Row],[SourceTable]] &amp; "[My Category]"),AB$3,INDIRECT(Totals[[#This Row],[SourceTable]] &amp; "[" &amp; TEXT(Totals[[#This Row],[Date]],"m/d/yy") &amp; "]"))</f>
        <v>0</v>
      </c>
      <c r="AC18" s="60">
        <f ca="1">SUMIF(INDIRECT(Totals[[#This Row],[SourceTable]] &amp; "[My Category]"),AC$3,INDIRECT(Totals[[#This Row],[SourceTable]] &amp; "[" &amp; TEXT(Totals[[#This Row],[Date]],"m/d/yy") &amp; "]"))</f>
        <v>0</v>
      </c>
      <c r="AD18" s="60">
        <f ca="1">SUMIF(INDIRECT(Totals[[#This Row],[SourceTable]] &amp; "[My Category]"),AD$3,INDIRECT(Totals[[#This Row],[SourceTable]] &amp; "[" &amp; TEXT(Totals[[#This Row],[Date]],"m/d/yy") &amp; "]"))</f>
        <v>-10.476356164383562</v>
      </c>
      <c r="AE18" s="60">
        <f ca="1">SUMIF(INDIRECT(Totals[[#This Row],[SourceTable]] &amp; "[My Category]"),AE$3,INDIRECT(Totals[[#This Row],[SourceTable]] &amp; "[" &amp; TEXT(Totals[[#This Row],[Date]],"m/d/yy") &amp; "]"))</f>
        <v>4188.6971428571433</v>
      </c>
      <c r="AF18" s="60">
        <f ca="1">SUMIF(INDIRECT(Totals[[#This Row],[SourceTable]] &amp; "[My Category]"),AF$3,INDIRECT(Totals[[#This Row],[SourceTable]] &amp; "[" &amp; TEXT(Totals[[#This Row],[Date]],"m/d/yy") &amp; "]"))</f>
        <v>10.799999999999999</v>
      </c>
      <c r="AG18" s="60">
        <f ca="1">SUMIF(INDIRECT(Totals[[#This Row],[SourceTable]] &amp; "[My Category]"),AG$3,INDIRECT(Totals[[#This Row],[SourceTable]] &amp; "[" &amp; TEXT(Totals[[#This Row],[Date]],"m/d/yy") &amp; "]"))</f>
        <v>0</v>
      </c>
      <c r="AH18" s="60">
        <f ca="1">SUMIF(INDIRECT(Totals[[#This Row],[SourceTable]] &amp; "[My Category]"),AH$3,INDIRECT(Totals[[#This Row],[SourceTable]] &amp; "[" &amp; TEXT(Totals[[#This Row],[Date]],"m/d/yy") &amp; "]"))</f>
        <v>0</v>
      </c>
      <c r="AI18" s="60">
        <f ca="1">SUMIF(INDIRECT(Totals[[#This Row],[SourceTable]] &amp; "[My Category]"),AI$3,INDIRECT(Totals[[#This Row],[SourceTable]] &amp; "[" &amp; TEXT(Totals[[#This Row],[Date]],"m/d/yy") &amp; "]"))</f>
        <v>0</v>
      </c>
      <c r="AJ18" s="60">
        <f ca="1">SUMIF(INDIRECT(Totals[[#This Row],[SourceTable]] &amp; "[My Category]"),AJ$3,INDIRECT(Totals[[#This Row],[SourceTable]] &amp; "[" &amp; TEXT(Totals[[#This Row],[Date]],"m/d/yy") &amp; "]"))</f>
        <v>0</v>
      </c>
      <c r="AK18" s="70">
        <f ca="1">SUM(Totals[[#This Row],[Car - Note]:[NONTRACKED]])</f>
        <v>340.58845335942652</v>
      </c>
    </row>
    <row r="19" spans="1:37" x14ac:dyDescent="0.25">
      <c r="A19" s="72">
        <f>EDATE(DATEVALUE("1/1/2018"),ROW(Totals[[#This Row],[Date]])-ROW(Totals[[#Headers],[Date]])-1)</f>
        <v>43556</v>
      </c>
      <c r="B19" s="72" t="b">
        <f ca="1">IF(TODAY()&gt;EDATE(Totals[[#This Row],[Date]],1),TRUE,FALSE)</f>
        <v>1</v>
      </c>
      <c r="C19" s="74" t="str">
        <f>"Log_" &amp; YEAR(Totals[[#This Row],[Date]])</f>
        <v>Log_2019</v>
      </c>
      <c r="D19" s="60">
        <f ca="1">SUMIF(INDIRECT(Totals[[#This Row],[SourceTable]] &amp; "[My Category]"),D$3,INDIRECT(Totals[[#This Row],[SourceTable]] &amp; "[" &amp; TEXT(Totals[[#This Row],[Date]],"m/d/yy") &amp; "]"))</f>
        <v>-320</v>
      </c>
      <c r="E19" s="60">
        <f ca="1">SUMIF(INDIRECT(Totals[[#This Row],[SourceTable]] &amp; "[My Category]"),E$3,INDIRECT(Totals[[#This Row],[SourceTable]] &amp; "[" &amp; TEXT(Totals[[#This Row],[Date]],"m/d/yy") &amp; "]"))</f>
        <v>-215.33</v>
      </c>
      <c r="F19" s="60">
        <f ca="1">SUMIF(INDIRECT(Totals[[#This Row],[SourceTable]] &amp; "[My Category]"),F$3,INDIRECT(Totals[[#This Row],[SourceTable]] &amp; "[" &amp; TEXT(Totals[[#This Row],[Date]],"m/d/yy") &amp; "]"))</f>
        <v>-70.27</v>
      </c>
      <c r="G19" s="60">
        <f ca="1">SUMIF(INDIRECT(Totals[[#This Row],[SourceTable]] &amp; "[My Category]"),G$3,INDIRECT(Totals[[#This Row],[SourceTable]] &amp; "[" &amp; TEXT(Totals[[#This Row],[Date]],"m/d/yy") &amp; "]"))</f>
        <v>0</v>
      </c>
      <c r="H19" s="60">
        <f ca="1">SUMIF(INDIRECT(Totals[[#This Row],[SourceTable]] &amp; "[My Category]"),H$3,INDIRECT(Totals[[#This Row],[SourceTable]] &amp; "[" &amp; TEXT(Totals[[#This Row],[Date]],"m/d/yy") &amp; "]"))</f>
        <v>-12.370000000000005</v>
      </c>
      <c r="I19" s="60">
        <f ca="1">SUMIF(INDIRECT(Totals[[#This Row],[SourceTable]] &amp; "[My Category]"),I$3,INDIRECT(Totals[[#This Row],[SourceTable]] &amp; "[" &amp; TEXT(Totals[[#This Row],[Date]],"m/d/yy") &amp; "]"))</f>
        <v>-23</v>
      </c>
      <c r="J19" s="60">
        <f ca="1">SUMIF(INDIRECT(Totals[[#This Row],[SourceTable]] &amp; "[My Category]"),J$3,INDIRECT(Totals[[#This Row],[SourceTable]] &amp; "[" &amp; TEXT(Totals[[#This Row],[Date]],"m/d/yy") &amp; "]"))</f>
        <v>0</v>
      </c>
      <c r="K19" s="60">
        <f ca="1">SUMIF(INDIRECT(Totals[[#This Row],[SourceTable]] &amp; "[My Category]"),K$3,INDIRECT(Totals[[#This Row],[SourceTable]] &amp; "[" &amp; TEXT(Totals[[#This Row],[Date]],"m/d/yy") &amp; "]"))</f>
        <v>-61.165333333333336</v>
      </c>
      <c r="L19" s="60">
        <f ca="1">SUMIF(INDIRECT(Totals[[#This Row],[SourceTable]] &amp; "[My Category]"),L$3,INDIRECT(Totals[[#This Row],[SourceTable]] &amp; "[" &amp; TEXT(Totals[[#This Row],[Date]],"m/d/yy") &amp; "]"))</f>
        <v>0</v>
      </c>
      <c r="M19" s="60">
        <f ca="1">SUMIF(INDIRECT(Totals[[#This Row],[SourceTable]] &amp; "[My Category]"),M$3,INDIRECT(Totals[[#This Row],[SourceTable]] &amp; "[" &amp; TEXT(Totals[[#This Row],[Date]],"m/d/yy") &amp; "]"))</f>
        <v>-29.14</v>
      </c>
      <c r="N19" s="60">
        <f ca="1">SUMIF(INDIRECT(Totals[[#This Row],[SourceTable]] &amp; "[My Category]"),N$3,INDIRECT(Totals[[#This Row],[SourceTable]] &amp; "[" &amp; TEXT(Totals[[#This Row],[Date]],"m/d/yy") &amp; "]"))</f>
        <v>0</v>
      </c>
      <c r="O19" s="60">
        <f ca="1">SUMIF(INDIRECT(Totals[[#This Row],[SourceTable]] &amp; "[My Category]"),O$3,INDIRECT(Totals[[#This Row],[SourceTable]] &amp; "[" &amp; TEXT(Totals[[#This Row],[Date]],"m/d/yy") &amp; "]"))</f>
        <v>0</v>
      </c>
      <c r="P19" s="60">
        <f ca="1">SUMIF(INDIRECT(Totals[[#This Row],[SourceTable]] &amp; "[My Category]"),P$3,INDIRECT(Totals[[#This Row],[SourceTable]] &amp; "[" &amp; TEXT(Totals[[#This Row],[Date]],"m/d/yy") &amp; "]"))</f>
        <v>-119.86</v>
      </c>
      <c r="Q19" s="60">
        <f ca="1">SUMIF(INDIRECT(Totals[[#This Row],[SourceTable]] &amp; "[My Category]"),Q$3,INDIRECT(Totals[[#This Row],[SourceTable]] &amp; "[" &amp; TEXT(Totals[[#This Row],[Date]],"m/d/yy") &amp; "]"))</f>
        <v>-291.85999999999996</v>
      </c>
      <c r="R19" s="60">
        <f ca="1">SUMIF(INDIRECT(Totals[[#This Row],[SourceTable]] &amp; "[My Category]"),R$3,INDIRECT(Totals[[#This Row],[SourceTable]] &amp; "[" &amp; TEXT(Totals[[#This Row],[Date]],"m/d/yy") &amp; "]"))</f>
        <v>-1707.5533333333333</v>
      </c>
      <c r="S19" s="60">
        <f ca="1">SUMIF(INDIRECT(Totals[[#This Row],[SourceTable]] &amp; "[My Category]"),S$3,INDIRECT(Totals[[#This Row],[SourceTable]] &amp; "[" &amp; TEXT(Totals[[#This Row],[Date]],"m/d/yy") &amp; "]"))</f>
        <v>-62.656817518248175</v>
      </c>
      <c r="T19" s="60">
        <f ca="1">SUMIF(INDIRECT(Totals[[#This Row],[SourceTable]] &amp; "[My Category]"),T$3,INDIRECT(Totals[[#This Row],[SourceTable]] &amp; "[" &amp; TEXT(Totals[[#This Row],[Date]],"m/d/yy") &amp; "]"))</f>
        <v>-110.47300000000001</v>
      </c>
      <c r="U19" s="60">
        <f ca="1">SUMIF(INDIRECT(Totals[[#This Row],[SourceTable]] &amp; "[My Category]"),U$3,INDIRECT(Totals[[#This Row],[SourceTable]] &amp; "[" &amp; TEXT(Totals[[#This Row],[Date]],"m/d/yy") &amp; "]"))</f>
        <v>-446.59</v>
      </c>
      <c r="V19" s="60">
        <f ca="1">SUMIF(INDIRECT(Totals[[#This Row],[SourceTable]] &amp; "[My Category]"),V$3,INDIRECT(Totals[[#This Row],[SourceTable]] &amp; "[" &amp; TEXT(Totals[[#This Row],[Date]],"m/d/yy") &amp; "]"))</f>
        <v>0</v>
      </c>
      <c r="W19" s="60">
        <f ca="1">SUMIF(INDIRECT(Totals[[#This Row],[SourceTable]] &amp; "[My Category]"),W$3,INDIRECT(Totals[[#This Row],[SourceTable]] &amp; "[" &amp; TEXT(Totals[[#This Row],[Date]],"m/d/yy") &amp; "]"))</f>
        <v>0</v>
      </c>
      <c r="X19" s="60">
        <f ca="1">SUMIF(INDIRECT(Totals[[#This Row],[SourceTable]] &amp; "[My Category]"),X$3,INDIRECT(Totals[[#This Row],[SourceTable]] &amp; "[" &amp; TEXT(Totals[[#This Row],[Date]],"m/d/yy") &amp; "]"))</f>
        <v>0</v>
      </c>
      <c r="Y19" s="60">
        <f ca="1">SUMIF(INDIRECT(Totals[[#This Row],[SourceTable]] &amp; "[My Category]"),Y$3,INDIRECT(Totals[[#This Row],[SourceTable]] &amp; "[" &amp; TEXT(Totals[[#This Row],[Date]],"m/d/yy") &amp; "]"))</f>
        <v>0</v>
      </c>
      <c r="Z19" s="60">
        <f ca="1">SUMIF(INDIRECT(Totals[[#This Row],[SourceTable]] &amp; "[My Category]"),Z$3,INDIRECT(Totals[[#This Row],[SourceTable]] &amp; "[" &amp; TEXT(Totals[[#This Row],[Date]],"m/d/yy") &amp; "]"))</f>
        <v>-2315.69</v>
      </c>
      <c r="AA19" s="60">
        <f ca="1">SUMIF(INDIRECT(Totals[[#This Row],[SourceTable]] &amp; "[My Category]"),AA$3,INDIRECT(Totals[[#This Row],[SourceTable]] &amp; "[" &amp; TEXT(Totals[[#This Row],[Date]],"m/d/yy") &amp; "]"))</f>
        <v>-22</v>
      </c>
      <c r="AB19" s="60">
        <f ca="1">SUMIF(INDIRECT(Totals[[#This Row],[SourceTable]] &amp; "[My Category]"),AB$3,INDIRECT(Totals[[#This Row],[SourceTable]] &amp; "[" &amp; TEXT(Totals[[#This Row],[Date]],"m/d/yy") &amp; "]"))</f>
        <v>0</v>
      </c>
      <c r="AC19" s="60">
        <f ca="1">SUMIF(INDIRECT(Totals[[#This Row],[SourceTable]] &amp; "[My Category]"),AC$3,INDIRECT(Totals[[#This Row],[SourceTable]] &amp; "[" &amp; TEXT(Totals[[#This Row],[Date]],"m/d/yy") &amp; "]"))</f>
        <v>-164.1</v>
      </c>
      <c r="AD19" s="60">
        <f ca="1">SUMIF(INDIRECT(Totals[[#This Row],[SourceTable]] &amp; "[My Category]"),AD$3,INDIRECT(Totals[[#This Row],[SourceTable]] &amp; "[" &amp; TEXT(Totals[[#This Row],[Date]],"m/d/yy") &amp; "]"))</f>
        <v>-10.58794520547945</v>
      </c>
      <c r="AE19" s="60">
        <f ca="1">SUMIF(INDIRECT(Totals[[#This Row],[SourceTable]] &amp; "[My Category]"),AE$3,INDIRECT(Totals[[#This Row],[SourceTable]] &amp; "[" &amp; TEXT(Totals[[#This Row],[Date]],"m/d/yy") &amp; "]"))</f>
        <v>4053.5928571428572</v>
      </c>
      <c r="AF19" s="60">
        <f ca="1">SUMIF(INDIRECT(Totals[[#This Row],[SourceTable]] &amp; "[My Category]"),AF$3,INDIRECT(Totals[[#This Row],[SourceTable]] &amp; "[" &amp; TEXT(Totals[[#This Row],[Date]],"m/d/yy") &amp; "]"))</f>
        <v>27.69</v>
      </c>
      <c r="AG19" s="60">
        <f ca="1">SUMIF(INDIRECT(Totals[[#This Row],[SourceTable]] &amp; "[My Category]"),AG$3,INDIRECT(Totals[[#This Row],[SourceTable]] &amp; "[" &amp; TEXT(Totals[[#This Row],[Date]],"m/d/yy") &amp; "]"))</f>
        <v>0</v>
      </c>
      <c r="AH19" s="60">
        <f ca="1">SUMIF(INDIRECT(Totals[[#This Row],[SourceTable]] &amp; "[My Category]"),AH$3,INDIRECT(Totals[[#This Row],[SourceTable]] &amp; "[" &amp; TEXT(Totals[[#This Row],[Date]],"m/d/yy") &amp; "]"))</f>
        <v>0</v>
      </c>
      <c r="AI19" s="60">
        <f ca="1">SUMIF(INDIRECT(Totals[[#This Row],[SourceTable]] &amp; "[My Category]"),AI$3,INDIRECT(Totals[[#This Row],[SourceTable]] &amp; "[" &amp; TEXT(Totals[[#This Row],[Date]],"m/d/yy") &amp; "]"))</f>
        <v>0</v>
      </c>
      <c r="AJ19" s="60">
        <f ca="1">SUMIF(INDIRECT(Totals[[#This Row],[SourceTable]] &amp; "[My Category]"),AJ$3,INDIRECT(Totals[[#This Row],[SourceTable]] &amp; "[" &amp; TEXT(Totals[[#This Row],[Date]],"m/d/yy") &amp; "]"))</f>
        <v>0</v>
      </c>
      <c r="AK19" s="70">
        <f ca="1">SUM(Totals[[#This Row],[Car - Note]:[NONTRACKED]])</f>
        <v>-1901.3635722475383</v>
      </c>
    </row>
    <row r="20" spans="1:37" x14ac:dyDescent="0.25">
      <c r="A20" s="72">
        <f>EDATE(DATEVALUE("1/1/2018"),ROW(Totals[[#This Row],[Date]])-ROW(Totals[[#Headers],[Date]])-1)</f>
        <v>43586</v>
      </c>
      <c r="B20" s="72" t="b">
        <f ca="1">IF(TODAY()&gt;EDATE(Totals[[#This Row],[Date]],1),TRUE,FALSE)</f>
        <v>1</v>
      </c>
      <c r="C20" s="74" t="str">
        <f>"Log_" &amp; YEAR(Totals[[#This Row],[Date]])</f>
        <v>Log_2019</v>
      </c>
      <c r="D20" s="60">
        <f ca="1">SUMIF(INDIRECT(Totals[[#This Row],[SourceTable]] &amp; "[My Category]"),D$3,INDIRECT(Totals[[#This Row],[SourceTable]] &amp; "[" &amp; TEXT(Totals[[#This Row],[Date]],"m/d/yy") &amp; "]"))</f>
        <v>-320</v>
      </c>
      <c r="E20" s="60">
        <f ca="1">SUMIF(INDIRECT(Totals[[#This Row],[SourceTable]] &amp; "[My Category]"),E$3,INDIRECT(Totals[[#This Row],[SourceTable]] &amp; "[" &amp; TEXT(Totals[[#This Row],[Date]],"m/d/yy") &amp; "]"))</f>
        <v>-215.22833333333332</v>
      </c>
      <c r="F20" s="60">
        <f ca="1">SUMIF(INDIRECT(Totals[[#This Row],[SourceTable]] &amp; "[My Category]"),F$3,INDIRECT(Totals[[#This Row],[SourceTable]] &amp; "[" &amp; TEXT(Totals[[#This Row],[Date]],"m/d/yy") &amp; "]"))</f>
        <v>-43.94</v>
      </c>
      <c r="G20" s="60">
        <f ca="1">SUMIF(INDIRECT(Totals[[#This Row],[SourceTable]] &amp; "[My Category]"),G$3,INDIRECT(Totals[[#This Row],[SourceTable]] &amp; "[" &amp; TEXT(Totals[[#This Row],[Date]],"m/d/yy") &amp; "]"))</f>
        <v>0</v>
      </c>
      <c r="H20" s="60">
        <f ca="1">SUMIF(INDIRECT(Totals[[#This Row],[SourceTable]] &amp; "[My Category]"),H$3,INDIRECT(Totals[[#This Row],[SourceTable]] &amp; "[" &amp; TEXT(Totals[[#This Row],[Date]],"m/d/yy") &amp; "]"))</f>
        <v>11.850000000000023</v>
      </c>
      <c r="I20" s="60">
        <f ca="1">SUMIF(INDIRECT(Totals[[#This Row],[SourceTable]] &amp; "[My Category]"),I$3,INDIRECT(Totals[[#This Row],[SourceTable]] &amp; "[" &amp; TEXT(Totals[[#This Row],[Date]],"m/d/yy") &amp; "]"))</f>
        <v>-49.44</v>
      </c>
      <c r="J20" s="60">
        <f ca="1">SUMIF(INDIRECT(Totals[[#This Row],[SourceTable]] &amp; "[My Category]"),J$3,INDIRECT(Totals[[#This Row],[SourceTable]] &amp; "[" &amp; TEXT(Totals[[#This Row],[Date]],"m/d/yy") &amp; "]"))</f>
        <v>19</v>
      </c>
      <c r="K20" s="60">
        <f ca="1">SUMIF(INDIRECT(Totals[[#This Row],[SourceTable]] &amp; "[My Category]"),K$3,INDIRECT(Totals[[#This Row],[SourceTable]] &amp; "[" &amp; TEXT(Totals[[#This Row],[Date]],"m/d/yy") &amp; "]"))</f>
        <v>-29.448666666666668</v>
      </c>
      <c r="L20" s="60">
        <f ca="1">SUMIF(INDIRECT(Totals[[#This Row],[SourceTable]] &amp; "[My Category]"),L$3,INDIRECT(Totals[[#This Row],[SourceTable]] &amp; "[" &amp; TEXT(Totals[[#This Row],[Date]],"m/d/yy") &amp; "]"))</f>
        <v>-10.19</v>
      </c>
      <c r="M20" s="60">
        <f ca="1">SUMIF(INDIRECT(Totals[[#This Row],[SourceTable]] &amp; "[My Category]"),M$3,INDIRECT(Totals[[#This Row],[SourceTable]] &amp; "[" &amp; TEXT(Totals[[#This Row],[Date]],"m/d/yy") &amp; "]"))</f>
        <v>-72.06</v>
      </c>
      <c r="N20" s="60">
        <f ca="1">SUMIF(INDIRECT(Totals[[#This Row],[SourceTable]] &amp; "[My Category]"),N$3,INDIRECT(Totals[[#This Row],[SourceTable]] &amp; "[" &amp; TEXT(Totals[[#This Row],[Date]],"m/d/yy") &amp; "]"))</f>
        <v>0</v>
      </c>
      <c r="O20" s="60">
        <f ca="1">SUMIF(INDIRECT(Totals[[#This Row],[SourceTable]] &amp; "[My Category]"),O$3,INDIRECT(Totals[[#This Row],[SourceTable]] &amp; "[" &amp; TEXT(Totals[[#This Row],[Date]],"m/d/yy") &amp; "]"))</f>
        <v>-26.910000000000011</v>
      </c>
      <c r="P20" s="60">
        <f ca="1">SUMIF(INDIRECT(Totals[[#This Row],[SourceTable]] &amp; "[My Category]"),P$3,INDIRECT(Totals[[#This Row],[SourceTable]] &amp; "[" &amp; TEXT(Totals[[#This Row],[Date]],"m/d/yy") &amp; "]"))</f>
        <v>-483.21999999999997</v>
      </c>
      <c r="Q20" s="60">
        <f ca="1">SUMIF(INDIRECT(Totals[[#This Row],[SourceTable]] &amp; "[My Category]"),Q$3,INDIRECT(Totals[[#This Row],[SourceTable]] &amp; "[" &amp; TEXT(Totals[[#This Row],[Date]],"m/d/yy") &amp; "]"))</f>
        <v>-230.57</v>
      </c>
      <c r="R20" s="60">
        <f ca="1">SUMIF(INDIRECT(Totals[[#This Row],[SourceTable]] &amp; "[My Category]"),R$3,INDIRECT(Totals[[#This Row],[SourceTable]] &amp; "[" &amp; TEXT(Totals[[#This Row],[Date]],"m/d/yy") &amp; "]"))</f>
        <v>-1600</v>
      </c>
      <c r="S20" s="60">
        <f ca="1">SUMIF(INDIRECT(Totals[[#This Row],[SourceTable]] &amp; "[My Category]"),S$3,INDIRECT(Totals[[#This Row],[SourceTable]] &amp; "[" &amp; TEXT(Totals[[#This Row],[Date]],"m/d/yy") &amp; "]"))</f>
        <v>-116.82736940653761</v>
      </c>
      <c r="T20" s="60">
        <f ca="1">SUMIF(INDIRECT(Totals[[#This Row],[SourceTable]] &amp; "[My Category]"),T$3,INDIRECT(Totals[[#This Row],[SourceTable]] &amp; "[" &amp; TEXT(Totals[[#This Row],[Date]],"m/d/yy") &amp; "]"))</f>
        <v>-19.796999999999997</v>
      </c>
      <c r="U20" s="60">
        <f ca="1">SUMIF(INDIRECT(Totals[[#This Row],[SourceTable]] &amp; "[My Category]"),U$3,INDIRECT(Totals[[#This Row],[SourceTable]] &amp; "[" &amp; TEXT(Totals[[#This Row],[Date]],"m/d/yy") &amp; "]"))</f>
        <v>-18.010000000000002</v>
      </c>
      <c r="V20" s="60">
        <f ca="1">SUMIF(INDIRECT(Totals[[#This Row],[SourceTable]] &amp; "[My Category]"),V$3,INDIRECT(Totals[[#This Row],[SourceTable]] &amp; "[" &amp; TEXT(Totals[[#This Row],[Date]],"m/d/yy") &amp; "]"))</f>
        <v>0</v>
      </c>
      <c r="W20" s="60">
        <f ca="1">SUMIF(INDIRECT(Totals[[#This Row],[SourceTable]] &amp; "[My Category]"),W$3,INDIRECT(Totals[[#This Row],[SourceTable]] &amp; "[" &amp; TEXT(Totals[[#This Row],[Date]],"m/d/yy") &amp; "]"))</f>
        <v>0</v>
      </c>
      <c r="X20" s="60">
        <f ca="1">SUMIF(INDIRECT(Totals[[#This Row],[SourceTable]] &amp; "[My Category]"),X$3,INDIRECT(Totals[[#This Row],[SourceTable]] &amp; "[" &amp; TEXT(Totals[[#This Row],[Date]],"m/d/yy") &amp; "]"))</f>
        <v>0</v>
      </c>
      <c r="Y20" s="60">
        <f ca="1">SUMIF(INDIRECT(Totals[[#This Row],[SourceTable]] &amp; "[My Category]"),Y$3,INDIRECT(Totals[[#This Row],[SourceTable]] &amp; "[" &amp; TEXT(Totals[[#This Row],[Date]],"m/d/yy") &amp; "]"))</f>
        <v>0</v>
      </c>
      <c r="Z20" s="60">
        <f ca="1">SUMIF(INDIRECT(Totals[[#This Row],[SourceTable]] &amp; "[My Category]"),Z$3,INDIRECT(Totals[[#This Row],[SourceTable]] &amp; "[" &amp; TEXT(Totals[[#This Row],[Date]],"m/d/yy") &amp; "]"))</f>
        <v>0</v>
      </c>
      <c r="AA20" s="60">
        <f ca="1">SUMIF(INDIRECT(Totals[[#This Row],[SourceTable]] &amp; "[My Category]"),AA$3,INDIRECT(Totals[[#This Row],[SourceTable]] &amp; "[" &amp; TEXT(Totals[[#This Row],[Date]],"m/d/yy") &amp; "]"))</f>
        <v>0</v>
      </c>
      <c r="AB20" s="60">
        <f ca="1">SUMIF(INDIRECT(Totals[[#This Row],[SourceTable]] &amp; "[My Category]"),AB$3,INDIRECT(Totals[[#This Row],[SourceTable]] &amp; "[" &amp; TEXT(Totals[[#This Row],[Date]],"m/d/yy") &amp; "]"))</f>
        <v>0</v>
      </c>
      <c r="AC20" s="60">
        <f ca="1">SUMIF(INDIRECT(Totals[[#This Row],[SourceTable]] &amp; "[My Category]"),AC$3,INDIRECT(Totals[[#This Row],[SourceTable]] &amp; "[" &amp; TEXT(Totals[[#This Row],[Date]],"m/d/yy") &amp; "]"))</f>
        <v>0</v>
      </c>
      <c r="AD20" s="60">
        <f ca="1">SUMIF(INDIRECT(Totals[[#This Row],[SourceTable]] &amp; "[My Category]"),AD$3,INDIRECT(Totals[[#This Row],[SourceTable]] &amp; "[" &amp; TEXT(Totals[[#This Row],[Date]],"m/d/yy") &amp; "]"))</f>
        <v>-33.940876712328773</v>
      </c>
      <c r="AE20" s="60">
        <f ca="1">SUMIF(INDIRECT(Totals[[#This Row],[SourceTable]] &amp; "[My Category]"),AE$3,INDIRECT(Totals[[#This Row],[SourceTable]] &amp; "[" &amp; TEXT(Totals[[#This Row],[Date]],"m/d/yy") &amp; "]"))</f>
        <v>4188.71</v>
      </c>
      <c r="AF20" s="60">
        <f ca="1">SUMIF(INDIRECT(Totals[[#This Row],[SourceTable]] &amp; "[My Category]"),AF$3,INDIRECT(Totals[[#This Row],[SourceTable]] &amp; "[" &amp; TEXT(Totals[[#This Row],[Date]],"m/d/yy") &amp; "]"))</f>
        <v>1578.1899999999998</v>
      </c>
      <c r="AG20" s="60">
        <f ca="1">SUMIF(INDIRECT(Totals[[#This Row],[SourceTable]] &amp; "[My Category]"),AG$3,INDIRECT(Totals[[#This Row],[SourceTable]] &amp; "[" &amp; TEXT(Totals[[#This Row],[Date]],"m/d/yy") &amp; "]"))</f>
        <v>0</v>
      </c>
      <c r="AH20" s="60">
        <f ca="1">SUMIF(INDIRECT(Totals[[#This Row],[SourceTable]] &amp; "[My Category]"),AH$3,INDIRECT(Totals[[#This Row],[SourceTable]] &amp; "[" &amp; TEXT(Totals[[#This Row],[Date]],"m/d/yy") &amp; "]"))</f>
        <v>0</v>
      </c>
      <c r="AI20" s="60">
        <f ca="1">SUMIF(INDIRECT(Totals[[#This Row],[SourceTable]] &amp; "[My Category]"),AI$3,INDIRECT(Totals[[#This Row],[SourceTable]] &amp; "[" &amp; TEXT(Totals[[#This Row],[Date]],"m/d/yy") &amp; "]"))</f>
        <v>0</v>
      </c>
      <c r="AJ20" s="60">
        <f ca="1">SUMIF(INDIRECT(Totals[[#This Row],[SourceTable]] &amp; "[My Category]"),AJ$3,INDIRECT(Totals[[#This Row],[SourceTable]] &amp; "[" &amp; TEXT(Totals[[#This Row],[Date]],"m/d/yy") &amp; "]"))</f>
        <v>0</v>
      </c>
      <c r="AK20" s="70">
        <f ca="1">SUM(Totals[[#This Row],[Car - Note]:[NONTRACKED]])</f>
        <v>2528.1677538811336</v>
      </c>
    </row>
    <row r="21" spans="1:37" x14ac:dyDescent="0.25">
      <c r="A21" s="72">
        <f>EDATE(DATEVALUE("1/1/2018"),ROW(Totals[[#This Row],[Date]])-ROW(Totals[[#Headers],[Date]])-1)</f>
        <v>43617</v>
      </c>
      <c r="B21" s="72" t="b">
        <f ca="1">IF(TODAY()&gt;EDATE(Totals[[#This Row],[Date]],1),TRUE,FALSE)</f>
        <v>1</v>
      </c>
      <c r="C21" s="74" t="str">
        <f>"Log_" &amp; YEAR(Totals[[#This Row],[Date]])</f>
        <v>Log_2019</v>
      </c>
      <c r="D21" s="60">
        <f ca="1">SUMIF(INDIRECT(Totals[[#This Row],[SourceTable]] &amp; "[My Category]"),D$3,INDIRECT(Totals[[#This Row],[SourceTable]] &amp; "[" &amp; TEXT(Totals[[#This Row],[Date]],"m/d/yy") &amp; "]"))</f>
        <v>-320</v>
      </c>
      <c r="E21" s="60">
        <f ca="1">SUMIF(INDIRECT(Totals[[#This Row],[SourceTable]] &amp; "[My Category]"),E$3,INDIRECT(Totals[[#This Row],[SourceTable]] &amp; "[" &amp; TEXT(Totals[[#This Row],[Date]],"m/d/yy") &amp; "]"))</f>
        <v>-230.07166666666669</v>
      </c>
      <c r="F21" s="60">
        <f ca="1">SUMIF(INDIRECT(Totals[[#This Row],[SourceTable]] &amp; "[My Category]"),F$3,INDIRECT(Totals[[#This Row],[SourceTable]] &amp; "[" &amp; TEXT(Totals[[#This Row],[Date]],"m/d/yy") &amp; "]"))</f>
        <v>-84.03</v>
      </c>
      <c r="G21" s="60">
        <f ca="1">SUMIF(INDIRECT(Totals[[#This Row],[SourceTable]] &amp; "[My Category]"),G$3,INDIRECT(Totals[[#This Row],[SourceTable]] &amp; "[" &amp; TEXT(Totals[[#This Row],[Date]],"m/d/yy") &amp; "]"))</f>
        <v>0</v>
      </c>
      <c r="H21" s="60">
        <f ca="1">SUMIF(INDIRECT(Totals[[#This Row],[SourceTable]] &amp; "[My Category]"),H$3,INDIRECT(Totals[[#This Row],[SourceTable]] &amp; "[" &amp; TEXT(Totals[[#This Row],[Date]],"m/d/yy") &amp; "]"))</f>
        <v>0</v>
      </c>
      <c r="I21" s="60">
        <f ca="1">SUMIF(INDIRECT(Totals[[#This Row],[SourceTable]] &amp; "[My Category]"),I$3,INDIRECT(Totals[[#This Row],[SourceTable]] &amp; "[" &amp; TEXT(Totals[[#This Row],[Date]],"m/d/yy") &amp; "]"))</f>
        <v>0</v>
      </c>
      <c r="J21" s="60">
        <f ca="1">SUMIF(INDIRECT(Totals[[#This Row],[SourceTable]] &amp; "[My Category]"),J$3,INDIRECT(Totals[[#This Row],[SourceTable]] &amp; "[" &amp; TEXT(Totals[[#This Row],[Date]],"m/d/yy") &amp; "]"))</f>
        <v>6.4600000000000009</v>
      </c>
      <c r="K21" s="60">
        <f ca="1">SUMIF(INDIRECT(Totals[[#This Row],[SourceTable]] &amp; "[My Category]"),K$3,INDIRECT(Totals[[#This Row],[SourceTable]] &amp; "[" &amp; TEXT(Totals[[#This Row],[Date]],"m/d/yy") &amp; "]"))</f>
        <v>-26.332666666666668</v>
      </c>
      <c r="L21" s="60">
        <f ca="1">SUMIF(INDIRECT(Totals[[#This Row],[SourceTable]] &amp; "[My Category]"),L$3,INDIRECT(Totals[[#This Row],[SourceTable]] &amp; "[" &amp; TEXT(Totals[[#This Row],[Date]],"m/d/yy") &amp; "]"))</f>
        <v>-43.29</v>
      </c>
      <c r="M21" s="60">
        <f ca="1">SUMIF(INDIRECT(Totals[[#This Row],[SourceTable]] &amp; "[My Category]"),M$3,INDIRECT(Totals[[#This Row],[SourceTable]] &amp; "[" &amp; TEXT(Totals[[#This Row],[Date]],"m/d/yy") &amp; "]"))</f>
        <v>-106.22</v>
      </c>
      <c r="N21" s="60">
        <f ca="1">SUMIF(INDIRECT(Totals[[#This Row],[SourceTable]] &amp; "[My Category]"),N$3,INDIRECT(Totals[[#This Row],[SourceTable]] &amp; "[" &amp; TEXT(Totals[[#This Row],[Date]],"m/d/yy") &amp; "]"))</f>
        <v>0</v>
      </c>
      <c r="O21" s="60">
        <f ca="1">SUMIF(INDIRECT(Totals[[#This Row],[SourceTable]] &amp; "[My Category]"),O$3,INDIRECT(Totals[[#This Row],[SourceTable]] &amp; "[" &amp; TEXT(Totals[[#This Row],[Date]],"m/d/yy") &amp; "]"))</f>
        <v>0</v>
      </c>
      <c r="P21" s="60">
        <f ca="1">SUMIF(INDIRECT(Totals[[#This Row],[SourceTable]] &amp; "[My Category]"),P$3,INDIRECT(Totals[[#This Row],[SourceTable]] &amp; "[" &amp; TEXT(Totals[[#This Row],[Date]],"m/d/yy") &amp; "]"))</f>
        <v>-82.65</v>
      </c>
      <c r="Q21" s="60">
        <f ca="1">SUMIF(INDIRECT(Totals[[#This Row],[SourceTable]] &amp; "[My Category]"),Q$3,INDIRECT(Totals[[#This Row],[SourceTable]] &amp; "[" &amp; TEXT(Totals[[#This Row],[Date]],"m/d/yy") &amp; "]"))</f>
        <v>-195.9</v>
      </c>
      <c r="R21" s="60">
        <f ca="1">SUMIF(INDIRECT(Totals[[#This Row],[SourceTable]] &amp; "[My Category]"),R$3,INDIRECT(Totals[[#This Row],[SourceTable]] &amp; "[" &amp; TEXT(Totals[[#This Row],[Date]],"m/d/yy") &amp; "]"))</f>
        <v>-1386.6666666666667</v>
      </c>
      <c r="S21" s="60">
        <f ca="1">SUMIF(INDIRECT(Totals[[#This Row],[SourceTable]] &amp; "[My Category]"),S$3,INDIRECT(Totals[[#This Row],[SourceTable]] &amp; "[" &amp; TEXT(Totals[[#This Row],[Date]],"m/d/yy") &amp; "]"))</f>
        <v>-94.880426213900336</v>
      </c>
      <c r="T21" s="60">
        <f ca="1">SUMIF(INDIRECT(Totals[[#This Row],[SourceTable]] &amp; "[My Category]"),T$3,INDIRECT(Totals[[#This Row],[SourceTable]] &amp; "[" &amp; TEXT(Totals[[#This Row],[Date]],"m/d/yy") &amp; "]"))</f>
        <v>-47.655000000000001</v>
      </c>
      <c r="U21" s="60">
        <f ca="1">SUMIF(INDIRECT(Totals[[#This Row],[SourceTable]] &amp; "[My Category]"),U$3,INDIRECT(Totals[[#This Row],[SourceTable]] &amp; "[" &amp; TEXT(Totals[[#This Row],[Date]],"m/d/yy") &amp; "]"))</f>
        <v>-25.23</v>
      </c>
      <c r="V21" s="60">
        <f ca="1">SUMIF(INDIRECT(Totals[[#This Row],[SourceTable]] &amp; "[My Category]"),V$3,INDIRECT(Totals[[#This Row],[SourceTable]] &amp; "[" &amp; TEXT(Totals[[#This Row],[Date]],"m/d/yy") &amp; "]"))</f>
        <v>0</v>
      </c>
      <c r="W21" s="60">
        <f ca="1">SUMIF(INDIRECT(Totals[[#This Row],[SourceTable]] &amp; "[My Category]"),W$3,INDIRECT(Totals[[#This Row],[SourceTable]] &amp; "[" &amp; TEXT(Totals[[#This Row],[Date]],"m/d/yy") &amp; "]"))</f>
        <v>0</v>
      </c>
      <c r="X21" s="60">
        <f ca="1">SUMIF(INDIRECT(Totals[[#This Row],[SourceTable]] &amp; "[My Category]"),X$3,INDIRECT(Totals[[#This Row],[SourceTable]] &amp; "[" &amp; TEXT(Totals[[#This Row],[Date]],"m/d/yy") &amp; "]"))</f>
        <v>0</v>
      </c>
      <c r="Y21" s="60">
        <f ca="1">SUMIF(INDIRECT(Totals[[#This Row],[SourceTable]] &amp; "[My Category]"),Y$3,INDIRECT(Totals[[#This Row],[SourceTable]] &amp; "[" &amp; TEXT(Totals[[#This Row],[Date]],"m/d/yy") &amp; "]"))</f>
        <v>0</v>
      </c>
      <c r="Z21" s="60">
        <f ca="1">SUMIF(INDIRECT(Totals[[#This Row],[SourceTable]] &amp; "[My Category]"),Z$3,INDIRECT(Totals[[#This Row],[SourceTable]] &amp; "[" &amp; TEXT(Totals[[#This Row],[Date]],"m/d/yy") &amp; "]"))</f>
        <v>0</v>
      </c>
      <c r="AA21" s="60">
        <f ca="1">SUMIF(INDIRECT(Totals[[#This Row],[SourceTable]] &amp; "[My Category]"),AA$3,INDIRECT(Totals[[#This Row],[SourceTable]] &amp; "[" &amp; TEXT(Totals[[#This Row],[Date]],"m/d/yy") &amp; "]"))</f>
        <v>0</v>
      </c>
      <c r="AB21" s="60">
        <f ca="1">SUMIF(INDIRECT(Totals[[#This Row],[SourceTable]] &amp; "[My Category]"),AB$3,INDIRECT(Totals[[#This Row],[SourceTable]] &amp; "[" &amp; TEXT(Totals[[#This Row],[Date]],"m/d/yy") &amp; "]"))</f>
        <v>0</v>
      </c>
      <c r="AC21" s="60">
        <f ca="1">SUMIF(INDIRECT(Totals[[#This Row],[SourceTable]] &amp; "[My Category]"),AC$3,INDIRECT(Totals[[#This Row],[SourceTable]] &amp; "[" &amp; TEXT(Totals[[#This Row],[Date]],"m/d/yy") &amp; "]"))</f>
        <v>0</v>
      </c>
      <c r="AD21" s="60">
        <f ca="1">SUMIF(INDIRECT(Totals[[#This Row],[SourceTable]] &amp; "[My Category]"),AD$3,INDIRECT(Totals[[#This Row],[SourceTable]] &amp; "[" &amp; TEXT(Totals[[#This Row],[Date]],"m/d/yy") &amp; "]"))</f>
        <v>-10.58794520547945</v>
      </c>
      <c r="AE21" s="60">
        <f ca="1">SUMIF(INDIRECT(Totals[[#This Row],[SourceTable]] &amp; "[My Category]"),AE$3,INDIRECT(Totals[[#This Row],[SourceTable]] &amp; "[" &amp; TEXT(Totals[[#This Row],[Date]],"m/d/yy") &amp; "]"))</f>
        <v>4053.59</v>
      </c>
      <c r="AF21" s="60">
        <f ca="1">SUMIF(INDIRECT(Totals[[#This Row],[SourceTable]] &amp; "[My Category]"),AF$3,INDIRECT(Totals[[#This Row],[SourceTable]] &amp; "[" &amp; TEXT(Totals[[#This Row],[Date]],"m/d/yy") &amp; "]"))</f>
        <v>15.030000000000001</v>
      </c>
      <c r="AG21" s="60">
        <f ca="1">SUMIF(INDIRECT(Totals[[#This Row],[SourceTable]] &amp; "[My Category]"),AG$3,INDIRECT(Totals[[#This Row],[SourceTable]] &amp; "[" &amp; TEXT(Totals[[#This Row],[Date]],"m/d/yy") &amp; "]"))</f>
        <v>0</v>
      </c>
      <c r="AH21" s="60">
        <f ca="1">SUMIF(INDIRECT(Totals[[#This Row],[SourceTable]] &amp; "[My Category]"),AH$3,INDIRECT(Totals[[#This Row],[SourceTable]] &amp; "[" &amp; TEXT(Totals[[#This Row],[Date]],"m/d/yy") &amp; "]"))</f>
        <v>0</v>
      </c>
      <c r="AI21" s="60">
        <f ca="1">SUMIF(INDIRECT(Totals[[#This Row],[SourceTable]] &amp; "[My Category]"),AI$3,INDIRECT(Totals[[#This Row],[SourceTable]] &amp; "[" &amp; TEXT(Totals[[#This Row],[Date]],"m/d/yy") &amp; "]"))</f>
        <v>0</v>
      </c>
      <c r="AJ21" s="60">
        <f ca="1">SUMIF(INDIRECT(Totals[[#This Row],[SourceTable]] &amp; "[My Category]"),AJ$3,INDIRECT(Totals[[#This Row],[SourceTable]] &amp; "[" &amp; TEXT(Totals[[#This Row],[Date]],"m/d/yy") &amp; "]"))</f>
        <v>0</v>
      </c>
      <c r="AK21" s="70">
        <f ca="1">SUM(Totals[[#This Row],[Car - Note]:[NONTRACKED]])</f>
        <v>1421.5656285806201</v>
      </c>
    </row>
    <row r="22" spans="1:37" x14ac:dyDescent="0.25">
      <c r="A22" s="72">
        <f>EDATE(DATEVALUE("1/1/2018"),ROW(Totals[[#This Row],[Date]])-ROW(Totals[[#Headers],[Date]])-1)</f>
        <v>43647</v>
      </c>
      <c r="B22" s="72" t="b">
        <f ca="1">IF(TODAY()&gt;EDATE(Totals[[#This Row],[Date]],1),TRUE,FALSE)</f>
        <v>1</v>
      </c>
      <c r="C22" s="74" t="str">
        <f>"Log_" &amp; YEAR(Totals[[#This Row],[Date]])</f>
        <v>Log_2019</v>
      </c>
      <c r="D22" s="60">
        <f ca="1">SUMIF(INDIRECT(Totals[[#This Row],[SourceTable]] &amp; "[My Category]"),D$3,INDIRECT(Totals[[#This Row],[SourceTable]] &amp; "[" &amp; TEXT(Totals[[#This Row],[Date]],"m/d/yy") &amp; "]"))</f>
        <v>-320</v>
      </c>
      <c r="E22" s="60">
        <f ca="1">SUMIF(INDIRECT(Totals[[#This Row],[SourceTable]] &amp; "[My Category]"),E$3,INDIRECT(Totals[[#This Row],[SourceTable]] &amp; "[" &amp; TEXT(Totals[[#This Row],[Date]],"m/d/yy") &amp; "]"))</f>
        <v>-230.07166666666669</v>
      </c>
      <c r="F22" s="60">
        <f ca="1">SUMIF(INDIRECT(Totals[[#This Row],[SourceTable]] &amp; "[My Category]"),F$3,INDIRECT(Totals[[#This Row],[SourceTable]] &amp; "[" &amp; TEXT(Totals[[#This Row],[Date]],"m/d/yy") &amp; "]"))</f>
        <v>-56.51</v>
      </c>
      <c r="G22" s="60">
        <f ca="1">SUMIF(INDIRECT(Totals[[#This Row],[SourceTable]] &amp; "[My Category]"),G$3,INDIRECT(Totals[[#This Row],[SourceTable]] &amp; "[" &amp; TEXT(Totals[[#This Row],[Date]],"m/d/yy") &amp; "]"))</f>
        <v>0</v>
      </c>
      <c r="H22" s="60">
        <f ca="1">SUMIF(INDIRECT(Totals[[#This Row],[SourceTable]] &amp; "[My Category]"),H$3,INDIRECT(Totals[[#This Row],[SourceTable]] &amp; "[" &amp; TEXT(Totals[[#This Row],[Date]],"m/d/yy") &amp; "]"))</f>
        <v>0</v>
      </c>
      <c r="I22" s="60">
        <f ca="1">SUMIF(INDIRECT(Totals[[#This Row],[SourceTable]] &amp; "[My Category]"),I$3,INDIRECT(Totals[[#This Row],[SourceTable]] &amp; "[" &amp; TEXT(Totals[[#This Row],[Date]],"m/d/yy") &amp; "]"))</f>
        <v>-20</v>
      </c>
      <c r="J22" s="60">
        <f ca="1">SUMIF(INDIRECT(Totals[[#This Row],[SourceTable]] &amp; "[My Category]"),J$3,INDIRECT(Totals[[#This Row],[SourceTable]] &amp; "[" &amp; TEXT(Totals[[#This Row],[Date]],"m/d/yy") &amp; "]"))</f>
        <v>-52.260000000000005</v>
      </c>
      <c r="K22" s="60">
        <f ca="1">SUMIF(INDIRECT(Totals[[#This Row],[SourceTable]] &amp; "[My Category]"),K$3,INDIRECT(Totals[[#This Row],[SourceTable]] &amp; "[" &amp; TEXT(Totals[[#This Row],[Date]],"m/d/yy") &amp; "]"))</f>
        <v>-46.440333333333335</v>
      </c>
      <c r="L22" s="60">
        <f ca="1">SUMIF(INDIRECT(Totals[[#This Row],[SourceTable]] &amp; "[My Category]"),L$3,INDIRECT(Totals[[#This Row],[SourceTable]] &amp; "[" &amp; TEXT(Totals[[#This Row],[Date]],"m/d/yy") &amp; "]"))</f>
        <v>-2.2400000000000002</v>
      </c>
      <c r="M22" s="60">
        <f ca="1">SUMIF(INDIRECT(Totals[[#This Row],[SourceTable]] &amp; "[My Category]"),M$3,INDIRECT(Totals[[#This Row],[SourceTable]] &amp; "[" &amp; TEXT(Totals[[#This Row],[Date]],"m/d/yy") &amp; "]"))</f>
        <v>-94.070000000000007</v>
      </c>
      <c r="N22" s="60">
        <f ca="1">SUMIF(INDIRECT(Totals[[#This Row],[SourceTable]] &amp; "[My Category]"),N$3,INDIRECT(Totals[[#This Row],[SourceTable]] &amp; "[" &amp; TEXT(Totals[[#This Row],[Date]],"m/d/yy") &amp; "]"))</f>
        <v>0</v>
      </c>
      <c r="O22" s="60">
        <f ca="1">SUMIF(INDIRECT(Totals[[#This Row],[SourceTable]] &amp; "[My Category]"),O$3,INDIRECT(Totals[[#This Row],[SourceTable]] &amp; "[" &amp; TEXT(Totals[[#This Row],[Date]],"m/d/yy") &amp; "]"))</f>
        <v>-196.44</v>
      </c>
      <c r="P22" s="60">
        <f ca="1">SUMIF(INDIRECT(Totals[[#This Row],[SourceTable]] &amp; "[My Category]"),P$3,INDIRECT(Totals[[#This Row],[SourceTable]] &amp; "[" &amp; TEXT(Totals[[#This Row],[Date]],"m/d/yy") &amp; "]"))</f>
        <v>-181.87</v>
      </c>
      <c r="Q22" s="60">
        <f ca="1">SUMIF(INDIRECT(Totals[[#This Row],[SourceTable]] &amp; "[My Category]"),Q$3,INDIRECT(Totals[[#This Row],[SourceTable]] &amp; "[" &amp; TEXT(Totals[[#This Row],[Date]],"m/d/yy") &amp; "]"))</f>
        <v>-163.16000000000003</v>
      </c>
      <c r="R22" s="60">
        <f ca="1">SUMIF(INDIRECT(Totals[[#This Row],[SourceTable]] &amp; "[My Category]"),R$3,INDIRECT(Totals[[#This Row],[SourceTable]] &amp; "[" &amp; TEXT(Totals[[#This Row],[Date]],"m/d/yy") &amp; "]"))</f>
        <v>-1813.3333333333333</v>
      </c>
      <c r="S22" s="60">
        <f ca="1">SUMIF(INDIRECT(Totals[[#This Row],[SourceTable]] &amp; "[My Category]"),S$3,INDIRECT(Totals[[#This Row],[SourceTable]] &amp; "[" &amp; TEXT(Totals[[#This Row],[Date]],"m/d/yy") &amp; "]"))</f>
        <v>-200.3123114355231</v>
      </c>
      <c r="T22" s="60">
        <f ca="1">SUMIF(INDIRECT(Totals[[#This Row],[SourceTable]] &amp; "[My Category]"),T$3,INDIRECT(Totals[[#This Row],[SourceTable]] &amp; "[" &amp; TEXT(Totals[[#This Row],[Date]],"m/d/yy") &amp; "]"))</f>
        <v>-58.245000000000005</v>
      </c>
      <c r="U22" s="60">
        <f ca="1">SUMIF(INDIRECT(Totals[[#This Row],[SourceTable]] &amp; "[My Category]"),U$3,INDIRECT(Totals[[#This Row],[SourceTable]] &amp; "[" &amp; TEXT(Totals[[#This Row],[Date]],"m/d/yy") &amp; "]"))</f>
        <v>-137.71</v>
      </c>
      <c r="V22" s="60">
        <f ca="1">SUMIF(INDIRECT(Totals[[#This Row],[SourceTable]] &amp; "[My Category]"),V$3,INDIRECT(Totals[[#This Row],[SourceTable]] &amp; "[" &amp; TEXT(Totals[[#This Row],[Date]],"m/d/yy") &amp; "]"))</f>
        <v>0</v>
      </c>
      <c r="W22" s="60">
        <f ca="1">SUMIF(INDIRECT(Totals[[#This Row],[SourceTable]] &amp; "[My Category]"),W$3,INDIRECT(Totals[[#This Row],[SourceTable]] &amp; "[" &amp; TEXT(Totals[[#This Row],[Date]],"m/d/yy") &amp; "]"))</f>
        <v>0</v>
      </c>
      <c r="X22" s="60">
        <f ca="1">SUMIF(INDIRECT(Totals[[#This Row],[SourceTable]] &amp; "[My Category]"),X$3,INDIRECT(Totals[[#This Row],[SourceTable]] &amp; "[" &amp; TEXT(Totals[[#This Row],[Date]],"m/d/yy") &amp; "]"))</f>
        <v>0</v>
      </c>
      <c r="Y22" s="60">
        <f ca="1">SUMIF(INDIRECT(Totals[[#This Row],[SourceTable]] &amp; "[My Category]"),Y$3,INDIRECT(Totals[[#This Row],[SourceTable]] &amp; "[" &amp; TEXT(Totals[[#This Row],[Date]],"m/d/yy") &amp; "]"))</f>
        <v>0</v>
      </c>
      <c r="Z22" s="60">
        <f ca="1">SUMIF(INDIRECT(Totals[[#This Row],[SourceTable]] &amp; "[My Category]"),Z$3,INDIRECT(Totals[[#This Row],[SourceTable]] &amp; "[" &amp; TEXT(Totals[[#This Row],[Date]],"m/d/yy") &amp; "]"))</f>
        <v>0</v>
      </c>
      <c r="AA22" s="60">
        <f ca="1">SUMIF(INDIRECT(Totals[[#This Row],[SourceTable]] &amp; "[My Category]"),AA$3,INDIRECT(Totals[[#This Row],[SourceTable]] &amp; "[" &amp; TEXT(Totals[[#This Row],[Date]],"m/d/yy") &amp; "]"))</f>
        <v>-17.27</v>
      </c>
      <c r="AB22" s="60">
        <f ca="1">SUMIF(INDIRECT(Totals[[#This Row],[SourceTable]] &amp; "[My Category]"),AB$3,INDIRECT(Totals[[#This Row],[SourceTable]] &amp; "[" &amp; TEXT(Totals[[#This Row],[Date]],"m/d/yy") &amp; "]"))</f>
        <v>0</v>
      </c>
      <c r="AC22" s="60">
        <f ca="1">SUMIF(INDIRECT(Totals[[#This Row],[SourceTable]] &amp; "[My Category]"),AC$3,INDIRECT(Totals[[#This Row],[SourceTable]] &amp; "[" &amp; TEXT(Totals[[#This Row],[Date]],"m/d/yy") &amp; "]"))</f>
        <v>-60</v>
      </c>
      <c r="AD22" s="60">
        <f ca="1">SUMIF(INDIRECT(Totals[[#This Row],[SourceTable]] &amp; "[My Category]"),AD$3,INDIRECT(Totals[[#This Row],[SourceTable]] &amp; "[" &amp; TEXT(Totals[[#This Row],[Date]],"m/d/yy") &amp; "]"))</f>
        <v>-11.940876712328766</v>
      </c>
      <c r="AE22" s="60">
        <f ca="1">SUMIF(INDIRECT(Totals[[#This Row],[SourceTable]] &amp; "[My Category]"),AE$3,INDIRECT(Totals[[#This Row],[SourceTable]] &amp; "[" &amp; TEXT(Totals[[#This Row],[Date]],"m/d/yy") &amp; "]"))</f>
        <v>4244.3900000000003</v>
      </c>
      <c r="AF22" s="60">
        <f ca="1">SUMIF(INDIRECT(Totals[[#This Row],[SourceTable]] &amp; "[My Category]"),AF$3,INDIRECT(Totals[[#This Row],[SourceTable]] &amp; "[" &amp; TEXT(Totals[[#This Row],[Date]],"m/d/yy") &amp; "]"))</f>
        <v>0.15</v>
      </c>
      <c r="AG22" s="60">
        <f ca="1">SUMIF(INDIRECT(Totals[[#This Row],[SourceTable]] &amp; "[My Category]"),AG$3,INDIRECT(Totals[[#This Row],[SourceTable]] &amp; "[" &amp; TEXT(Totals[[#This Row],[Date]],"m/d/yy") &amp; "]"))</f>
        <v>0</v>
      </c>
      <c r="AH22" s="60">
        <f ca="1">SUMIF(INDIRECT(Totals[[#This Row],[SourceTable]] &amp; "[My Category]"),AH$3,INDIRECT(Totals[[#This Row],[SourceTable]] &amp; "[" &amp; TEXT(Totals[[#This Row],[Date]],"m/d/yy") &amp; "]"))</f>
        <v>0</v>
      </c>
      <c r="AI22" s="60">
        <f ca="1">SUMIF(INDIRECT(Totals[[#This Row],[SourceTable]] &amp; "[My Category]"),AI$3,INDIRECT(Totals[[#This Row],[SourceTable]] &amp; "[" &amp; TEXT(Totals[[#This Row],[Date]],"m/d/yy") &amp; "]"))</f>
        <v>0</v>
      </c>
      <c r="AJ22" s="60">
        <f ca="1">SUMIF(INDIRECT(Totals[[#This Row],[SourceTable]] &amp; "[My Category]"),AJ$3,INDIRECT(Totals[[#This Row],[SourceTable]] &amp; "[" &amp; TEXT(Totals[[#This Row],[Date]],"m/d/yy") &amp; "]"))</f>
        <v>0</v>
      </c>
      <c r="AK22" s="70">
        <f ca="1">SUM(Totals[[#This Row],[Car - Note]:[NONTRACKED]])</f>
        <v>582.66647851881532</v>
      </c>
    </row>
    <row r="23" spans="1:37" x14ac:dyDescent="0.25">
      <c r="A23" s="72">
        <f>EDATE(DATEVALUE("1/1/2018"),ROW(Totals[[#This Row],[Date]])-ROW(Totals[[#Headers],[Date]])-1)</f>
        <v>43678</v>
      </c>
      <c r="B23" s="72" t="b">
        <f ca="1">IF(TODAY()&gt;EDATE(Totals[[#This Row],[Date]],1),TRUE,FALSE)</f>
        <v>1</v>
      </c>
      <c r="C23" s="74" t="str">
        <f>"Log_" &amp; YEAR(Totals[[#This Row],[Date]])</f>
        <v>Log_2019</v>
      </c>
      <c r="D23" s="60">
        <f ca="1">SUMIF(INDIRECT(Totals[[#This Row],[SourceTable]] &amp; "[My Category]"),D$3,INDIRECT(Totals[[#This Row],[SourceTable]] &amp; "[" &amp; TEXT(Totals[[#This Row],[Date]],"m/d/yy") &amp; "]"))</f>
        <v>-320</v>
      </c>
      <c r="E23" s="60">
        <f ca="1">SUMIF(INDIRECT(Totals[[#This Row],[SourceTable]] &amp; "[My Category]"),E$3,INDIRECT(Totals[[#This Row],[SourceTable]] &amp; "[" &amp; TEXT(Totals[[#This Row],[Date]],"m/d/yy") &amp; "]"))</f>
        <v>-207.80666666666664</v>
      </c>
      <c r="F23" s="60">
        <f ca="1">SUMIF(INDIRECT(Totals[[#This Row],[SourceTable]] &amp; "[My Category]"),F$3,INDIRECT(Totals[[#This Row],[SourceTable]] &amp; "[" &amp; TEXT(Totals[[#This Row],[Date]],"m/d/yy") &amp; "]"))</f>
        <v>-52.18</v>
      </c>
      <c r="G23" s="60">
        <f ca="1">SUMIF(INDIRECT(Totals[[#This Row],[SourceTable]] &amp; "[My Category]"),G$3,INDIRECT(Totals[[#This Row],[SourceTable]] &amp; "[" &amp; TEXT(Totals[[#This Row],[Date]],"m/d/yy") &amp; "]"))</f>
        <v>0</v>
      </c>
      <c r="H23" s="60">
        <f ca="1">SUMIF(INDIRECT(Totals[[#This Row],[SourceTable]] &amp; "[My Category]"),H$3,INDIRECT(Totals[[#This Row],[SourceTable]] &amp; "[" &amp; TEXT(Totals[[#This Row],[Date]],"m/d/yy") &amp; "]"))</f>
        <v>0</v>
      </c>
      <c r="I23" s="60">
        <f ca="1">SUMIF(INDIRECT(Totals[[#This Row],[SourceTable]] &amp; "[My Category]"),I$3,INDIRECT(Totals[[#This Row],[SourceTable]] &amp; "[" &amp; TEXT(Totals[[#This Row],[Date]],"m/d/yy") &amp; "]"))</f>
        <v>-220.15</v>
      </c>
      <c r="J23" s="60">
        <f ca="1">SUMIF(INDIRECT(Totals[[#This Row],[SourceTable]] &amp; "[My Category]"),J$3,INDIRECT(Totals[[#This Row],[SourceTable]] &amp; "[" &amp; TEXT(Totals[[#This Row],[Date]],"m/d/yy") &amp; "]"))</f>
        <v>-23.67</v>
      </c>
      <c r="K23" s="60">
        <f ca="1">SUMIF(INDIRECT(Totals[[#This Row],[SourceTable]] &amp; "[My Category]"),K$3,INDIRECT(Totals[[#This Row],[SourceTable]] &amp; "[" &amp; TEXT(Totals[[#This Row],[Date]],"m/d/yy") &amp; "]"))</f>
        <v>-10.089333333333334</v>
      </c>
      <c r="L23" s="60">
        <f ca="1">SUMIF(INDIRECT(Totals[[#This Row],[SourceTable]] &amp; "[My Category]"),L$3,INDIRECT(Totals[[#This Row],[SourceTable]] &amp; "[" &amp; TEXT(Totals[[#This Row],[Date]],"m/d/yy") &amp; "]"))</f>
        <v>0</v>
      </c>
      <c r="M23" s="60">
        <f ca="1">SUMIF(INDIRECT(Totals[[#This Row],[SourceTable]] &amp; "[My Category]"),M$3,INDIRECT(Totals[[#This Row],[SourceTable]] &amp; "[" &amp; TEXT(Totals[[#This Row],[Date]],"m/d/yy") &amp; "]"))</f>
        <v>-42.55</v>
      </c>
      <c r="N23" s="60">
        <f ca="1">SUMIF(INDIRECT(Totals[[#This Row],[SourceTable]] &amp; "[My Category]"),N$3,INDIRECT(Totals[[#This Row],[SourceTable]] &amp; "[" &amp; TEXT(Totals[[#This Row],[Date]],"m/d/yy") &amp; "]"))</f>
        <v>-123.09</v>
      </c>
      <c r="O23" s="60">
        <f ca="1">SUMIF(INDIRECT(Totals[[#This Row],[SourceTable]] &amp; "[My Category]"),O$3,INDIRECT(Totals[[#This Row],[SourceTable]] &amp; "[" &amp; TEXT(Totals[[#This Row],[Date]],"m/d/yy") &amp; "]"))</f>
        <v>-281.60000000000002</v>
      </c>
      <c r="P23" s="60">
        <f ca="1">SUMIF(INDIRECT(Totals[[#This Row],[SourceTable]] &amp; "[My Category]"),P$3,INDIRECT(Totals[[#This Row],[SourceTable]] &amp; "[" &amp; TEXT(Totals[[#This Row],[Date]],"m/d/yy") &amp; "]"))</f>
        <v>-136.72999999999999</v>
      </c>
      <c r="Q23" s="60">
        <f ca="1">SUMIF(INDIRECT(Totals[[#This Row],[SourceTable]] &amp; "[My Category]"),Q$3,INDIRECT(Totals[[#This Row],[SourceTable]] &amp; "[" &amp; TEXT(Totals[[#This Row],[Date]],"m/d/yy") &amp; "]"))</f>
        <v>-350.22</v>
      </c>
      <c r="R23" s="60">
        <f ca="1">SUMIF(INDIRECT(Totals[[#This Row],[SourceTable]] &amp; "[My Category]"),R$3,INDIRECT(Totals[[#This Row],[SourceTable]] &amp; "[" &amp; TEXT(Totals[[#This Row],[Date]],"m/d/yy") &amp; "]"))</f>
        <v>-1600</v>
      </c>
      <c r="S23" s="60">
        <f ca="1">SUMIF(INDIRECT(Totals[[#This Row],[SourceTable]] &amp; "[My Category]"),S$3,INDIRECT(Totals[[#This Row],[SourceTable]] &amp; "[" &amp; TEXT(Totals[[#This Row],[Date]],"m/d/yy") &amp; "]"))</f>
        <v>-167.28397810218979</v>
      </c>
      <c r="T23" s="60">
        <f ca="1">SUMIF(INDIRECT(Totals[[#This Row],[SourceTable]] &amp; "[My Category]"),T$3,INDIRECT(Totals[[#This Row],[SourceTable]] &amp; "[" &amp; TEXT(Totals[[#This Row],[Date]],"m/d/yy") &amp; "]"))</f>
        <v>-52.95</v>
      </c>
      <c r="U23" s="60">
        <f ca="1">SUMIF(INDIRECT(Totals[[#This Row],[SourceTable]] &amp; "[My Category]"),U$3,INDIRECT(Totals[[#This Row],[SourceTable]] &amp; "[" &amp; TEXT(Totals[[#This Row],[Date]],"m/d/yy") &amp; "]"))</f>
        <v>-125.79</v>
      </c>
      <c r="V23" s="60">
        <f ca="1">SUMIF(INDIRECT(Totals[[#This Row],[SourceTable]] &amp; "[My Category]"),V$3,INDIRECT(Totals[[#This Row],[SourceTable]] &amp; "[" &amp; TEXT(Totals[[#This Row],[Date]],"m/d/yy") &amp; "]"))</f>
        <v>0</v>
      </c>
      <c r="W23" s="60">
        <f ca="1">SUMIF(INDIRECT(Totals[[#This Row],[SourceTable]] &amp; "[My Category]"),W$3,INDIRECT(Totals[[#This Row],[SourceTable]] &amp; "[" &amp; TEXT(Totals[[#This Row],[Date]],"m/d/yy") &amp; "]"))</f>
        <v>0</v>
      </c>
      <c r="X23" s="60">
        <f ca="1">SUMIF(INDIRECT(Totals[[#This Row],[SourceTable]] &amp; "[My Category]"),X$3,INDIRECT(Totals[[#This Row],[SourceTable]] &amp; "[" &amp; TEXT(Totals[[#This Row],[Date]],"m/d/yy") &amp; "]"))</f>
        <v>0</v>
      </c>
      <c r="Y23" s="60">
        <f ca="1">SUMIF(INDIRECT(Totals[[#This Row],[SourceTable]] &amp; "[My Category]"),Y$3,INDIRECT(Totals[[#This Row],[SourceTable]] &amp; "[" &amp; TEXT(Totals[[#This Row],[Date]],"m/d/yy") &amp; "]"))</f>
        <v>0</v>
      </c>
      <c r="Z23" s="60">
        <f ca="1">SUMIF(INDIRECT(Totals[[#This Row],[SourceTable]] &amp; "[My Category]"),Z$3,INDIRECT(Totals[[#This Row],[SourceTable]] &amp; "[" &amp; TEXT(Totals[[#This Row],[Date]],"m/d/yy") &amp; "]"))</f>
        <v>0</v>
      </c>
      <c r="AA23" s="60">
        <f ca="1">SUMIF(INDIRECT(Totals[[#This Row],[SourceTable]] &amp; "[My Category]"),AA$3,INDIRECT(Totals[[#This Row],[SourceTable]] &amp; "[" &amp; TEXT(Totals[[#This Row],[Date]],"m/d/yy") &amp; "]"))</f>
        <v>0</v>
      </c>
      <c r="AB23" s="60">
        <f ca="1">SUMIF(INDIRECT(Totals[[#This Row],[SourceTable]] &amp; "[My Category]"),AB$3,INDIRECT(Totals[[#This Row],[SourceTable]] &amp; "[" &amp; TEXT(Totals[[#This Row],[Date]],"m/d/yy") &amp; "]"))</f>
        <v>0</v>
      </c>
      <c r="AC23" s="60">
        <f ca="1">SUMIF(INDIRECT(Totals[[#This Row],[SourceTable]] &amp; "[My Category]"),AC$3,INDIRECT(Totals[[#This Row],[SourceTable]] &amp; "[" &amp; TEXT(Totals[[#This Row],[Date]],"m/d/yy") &amp; "]"))</f>
        <v>0</v>
      </c>
      <c r="AD23" s="60">
        <f ca="1">SUMIF(INDIRECT(Totals[[#This Row],[SourceTable]] &amp; "[My Category]"),AD$3,INDIRECT(Totals[[#This Row],[SourceTable]] &amp; "[" &amp; TEXT(Totals[[#This Row],[Date]],"m/d/yy") &amp; "]"))</f>
        <v>-10.940876712328766</v>
      </c>
      <c r="AE23" s="60">
        <f ca="1">SUMIF(INDIRECT(Totals[[#This Row],[SourceTable]] &amp; "[My Category]"),AE$3,INDIRECT(Totals[[#This Row],[SourceTable]] &amp; "[" &amp; TEXT(Totals[[#This Row],[Date]],"m/d/yy") &amp; "]"))</f>
        <v>4203.7471428571425</v>
      </c>
      <c r="AF23" s="60">
        <f ca="1">SUMIF(INDIRECT(Totals[[#This Row],[SourceTable]] &amp; "[My Category]"),AF$3,INDIRECT(Totals[[#This Row],[SourceTable]] &amp; "[" &amp; TEXT(Totals[[#This Row],[Date]],"m/d/yy") &amp; "]"))</f>
        <v>27.169999999999998</v>
      </c>
      <c r="AG23" s="60">
        <f ca="1">SUMIF(INDIRECT(Totals[[#This Row],[SourceTable]] &amp; "[My Category]"),AG$3,INDIRECT(Totals[[#This Row],[SourceTable]] &amp; "[" &amp; TEXT(Totals[[#This Row],[Date]],"m/d/yy") &amp; "]"))</f>
        <v>0</v>
      </c>
      <c r="AH23" s="60">
        <f ca="1">SUMIF(INDIRECT(Totals[[#This Row],[SourceTable]] &amp; "[My Category]"),AH$3,INDIRECT(Totals[[#This Row],[SourceTable]] &amp; "[" &amp; TEXT(Totals[[#This Row],[Date]],"m/d/yy") &amp; "]"))</f>
        <v>0</v>
      </c>
      <c r="AI23" s="60">
        <f ca="1">SUMIF(INDIRECT(Totals[[#This Row],[SourceTable]] &amp; "[My Category]"),AI$3,INDIRECT(Totals[[#This Row],[SourceTable]] &amp; "[" &amp; TEXT(Totals[[#This Row],[Date]],"m/d/yy") &amp; "]"))</f>
        <v>0</v>
      </c>
      <c r="AJ23" s="60">
        <f ca="1">SUMIF(INDIRECT(Totals[[#This Row],[SourceTable]] &amp; "[My Category]"),AJ$3,INDIRECT(Totals[[#This Row],[SourceTable]] &amp; "[" &amp; TEXT(Totals[[#This Row],[Date]],"m/d/yy") &amp; "]"))</f>
        <v>0</v>
      </c>
      <c r="AK23" s="70">
        <f ca="1">SUM(Totals[[#This Row],[Car - Note]:[NONTRACKED]])</f>
        <v>505.86628804262403</v>
      </c>
    </row>
    <row r="24" spans="1:37" x14ac:dyDescent="0.25">
      <c r="A24" s="72">
        <f>EDATE(DATEVALUE("1/1/2018"),ROW(Totals[[#This Row],[Date]])-ROW(Totals[[#Headers],[Date]])-1)</f>
        <v>43709</v>
      </c>
      <c r="B24" s="72" t="b">
        <f ca="1">IF(TODAY()&gt;EDATE(Totals[[#This Row],[Date]],1),TRUE,FALSE)</f>
        <v>1</v>
      </c>
      <c r="C24" s="74" t="str">
        <f>"Log_" &amp; YEAR(Totals[[#This Row],[Date]])</f>
        <v>Log_2019</v>
      </c>
      <c r="D24" s="60">
        <f ca="1">SUMIF(INDIRECT(Totals[[#This Row],[SourceTable]] &amp; "[My Category]"),D$3,INDIRECT(Totals[[#This Row],[SourceTable]] &amp; "[" &amp; TEXT(Totals[[#This Row],[Date]],"m/d/yy") &amp; "]"))</f>
        <v>-320</v>
      </c>
      <c r="E24" s="60">
        <f ca="1">SUMIF(INDIRECT(Totals[[#This Row],[SourceTable]] &amp; "[My Category]"),E$3,INDIRECT(Totals[[#This Row],[SourceTable]] &amp; "[" &amp; TEXT(Totals[[#This Row],[Date]],"m/d/yy") &amp; "]"))</f>
        <v>-230.07833333333335</v>
      </c>
      <c r="F24" s="60">
        <f ca="1">SUMIF(INDIRECT(Totals[[#This Row],[SourceTable]] &amp; "[My Category]"),F$3,INDIRECT(Totals[[#This Row],[SourceTable]] &amp; "[" &amp; TEXT(Totals[[#This Row],[Date]],"m/d/yy") &amp; "]"))</f>
        <v>-265.68</v>
      </c>
      <c r="G24" s="60">
        <f ca="1">SUMIF(INDIRECT(Totals[[#This Row],[SourceTable]] &amp; "[My Category]"),G$3,INDIRECT(Totals[[#This Row],[SourceTable]] &amp; "[" &amp; TEXT(Totals[[#This Row],[Date]],"m/d/yy") &amp; "]"))</f>
        <v>0</v>
      </c>
      <c r="H24" s="60">
        <f ca="1">SUMIF(INDIRECT(Totals[[#This Row],[SourceTable]] &amp; "[My Category]"),H$3,INDIRECT(Totals[[#This Row],[SourceTable]] &amp; "[" &amp; TEXT(Totals[[#This Row],[Date]],"m/d/yy") &amp; "]"))</f>
        <v>0</v>
      </c>
      <c r="I24" s="60">
        <f ca="1">SUMIF(INDIRECT(Totals[[#This Row],[SourceTable]] &amp; "[My Category]"),I$3,INDIRECT(Totals[[#This Row],[SourceTable]] &amp; "[" &amp; TEXT(Totals[[#This Row],[Date]],"m/d/yy") &amp; "]"))</f>
        <v>0</v>
      </c>
      <c r="J24" s="60">
        <f ca="1">SUMIF(INDIRECT(Totals[[#This Row],[SourceTable]] &amp; "[My Category]"),J$3,INDIRECT(Totals[[#This Row],[SourceTable]] &amp; "[" &amp; TEXT(Totals[[#This Row],[Date]],"m/d/yy") &amp; "]"))</f>
        <v>-76.11999999999999</v>
      </c>
      <c r="K24" s="60">
        <f ca="1">SUMIF(INDIRECT(Totals[[#This Row],[SourceTable]] &amp; "[My Category]"),K$3,INDIRECT(Totals[[#This Row],[SourceTable]] &amp; "[" &amp; TEXT(Totals[[#This Row],[Date]],"m/d/yy") &amp; "]"))</f>
        <v>-16.170333333333332</v>
      </c>
      <c r="L24" s="60">
        <f ca="1">SUMIF(INDIRECT(Totals[[#This Row],[SourceTable]] &amp; "[My Category]"),L$3,INDIRECT(Totals[[#This Row],[SourceTable]] &amp; "[" &amp; TEXT(Totals[[#This Row],[Date]],"m/d/yy") &amp; "]"))</f>
        <v>0</v>
      </c>
      <c r="M24" s="60">
        <f ca="1">SUMIF(INDIRECT(Totals[[#This Row],[SourceTable]] &amp; "[My Category]"),M$3,INDIRECT(Totals[[#This Row],[SourceTable]] &amp; "[" &amp; TEXT(Totals[[#This Row],[Date]],"m/d/yy") &amp; "]"))</f>
        <v>0</v>
      </c>
      <c r="N24" s="60">
        <f ca="1">SUMIF(INDIRECT(Totals[[#This Row],[SourceTable]] &amp; "[My Category]"),N$3,INDIRECT(Totals[[#This Row],[SourceTable]] &amp; "[" &amp; TEXT(Totals[[#This Row],[Date]],"m/d/yy") &amp; "]"))</f>
        <v>0</v>
      </c>
      <c r="O24" s="60">
        <f ca="1">SUMIF(INDIRECT(Totals[[#This Row],[SourceTable]] &amp; "[My Category]"),O$3,INDIRECT(Totals[[#This Row],[SourceTable]] &amp; "[" &amp; TEXT(Totals[[#This Row],[Date]],"m/d/yy") &amp; "]"))</f>
        <v>0</v>
      </c>
      <c r="P24" s="60">
        <f ca="1">SUMIF(INDIRECT(Totals[[#This Row],[SourceTable]] &amp; "[My Category]"),P$3,INDIRECT(Totals[[#This Row],[SourceTable]] &amp; "[" &amp; TEXT(Totals[[#This Row],[Date]],"m/d/yy") &amp; "]"))</f>
        <v>-187.35</v>
      </c>
      <c r="Q24" s="60">
        <f ca="1">SUMIF(INDIRECT(Totals[[#This Row],[SourceTable]] &amp; "[My Category]"),Q$3,INDIRECT(Totals[[#This Row],[SourceTable]] &amp; "[" &amp; TEXT(Totals[[#This Row],[Date]],"m/d/yy") &amp; "]"))</f>
        <v>-252.31000000000003</v>
      </c>
      <c r="R24" s="60">
        <f ca="1">SUMIF(INDIRECT(Totals[[#This Row],[SourceTable]] &amp; "[My Category]"),R$3,INDIRECT(Totals[[#This Row],[SourceTable]] &amp; "[" &amp; TEXT(Totals[[#This Row],[Date]],"m/d/yy") &amp; "]"))</f>
        <v>-1440</v>
      </c>
      <c r="S24" s="60">
        <f ca="1">SUMIF(INDIRECT(Totals[[#This Row],[SourceTable]] &amp; "[My Category]"),S$3,INDIRECT(Totals[[#This Row],[SourceTable]] &amp; "[" &amp; TEXT(Totals[[#This Row],[Date]],"m/d/yy") &amp; "]"))</f>
        <v>-144.45881751824817</v>
      </c>
      <c r="T24" s="60">
        <f ca="1">SUMIF(INDIRECT(Totals[[#This Row],[SourceTable]] &amp; "[My Category]"),T$3,INDIRECT(Totals[[#This Row],[SourceTable]] &amp; "[" &amp; TEXT(Totals[[#This Row],[Date]],"m/d/yy") &amp; "]"))</f>
        <v>-49.42</v>
      </c>
      <c r="U24" s="60">
        <f ca="1">SUMIF(INDIRECT(Totals[[#This Row],[SourceTable]] &amp; "[My Category]"),U$3,INDIRECT(Totals[[#This Row],[SourceTable]] &amp; "[" &amp; TEXT(Totals[[#This Row],[Date]],"m/d/yy") &amp; "]"))</f>
        <v>0</v>
      </c>
      <c r="V24" s="60">
        <f ca="1">SUMIF(INDIRECT(Totals[[#This Row],[SourceTable]] &amp; "[My Category]"),V$3,INDIRECT(Totals[[#This Row],[SourceTable]] &amp; "[" &amp; TEXT(Totals[[#This Row],[Date]],"m/d/yy") &amp; "]"))</f>
        <v>0</v>
      </c>
      <c r="W24" s="60">
        <f ca="1">SUMIF(INDIRECT(Totals[[#This Row],[SourceTable]] &amp; "[My Category]"),W$3,INDIRECT(Totals[[#This Row],[SourceTable]] &amp; "[" &amp; TEXT(Totals[[#This Row],[Date]],"m/d/yy") &amp; "]"))</f>
        <v>0</v>
      </c>
      <c r="X24" s="60">
        <f ca="1">SUMIF(INDIRECT(Totals[[#This Row],[SourceTable]] &amp; "[My Category]"),X$3,INDIRECT(Totals[[#This Row],[SourceTable]] &amp; "[" &amp; TEXT(Totals[[#This Row],[Date]],"m/d/yy") &amp; "]"))</f>
        <v>0</v>
      </c>
      <c r="Y24" s="60">
        <f ca="1">SUMIF(INDIRECT(Totals[[#This Row],[SourceTable]] &amp; "[My Category]"),Y$3,INDIRECT(Totals[[#This Row],[SourceTable]] &amp; "[" &amp; TEXT(Totals[[#This Row],[Date]],"m/d/yy") &amp; "]"))</f>
        <v>0</v>
      </c>
      <c r="Z24" s="60">
        <f ca="1">SUMIF(INDIRECT(Totals[[#This Row],[SourceTable]] &amp; "[My Category]"),Z$3,INDIRECT(Totals[[#This Row],[SourceTable]] &amp; "[" &amp; TEXT(Totals[[#This Row],[Date]],"m/d/yy") &amp; "]"))</f>
        <v>0</v>
      </c>
      <c r="AA24" s="60">
        <f ca="1">SUMIF(INDIRECT(Totals[[#This Row],[SourceTable]] &amp; "[My Category]"),AA$3,INDIRECT(Totals[[#This Row],[SourceTable]] &amp; "[" &amp; TEXT(Totals[[#This Row],[Date]],"m/d/yy") &amp; "]"))</f>
        <v>0</v>
      </c>
      <c r="AB24" s="60">
        <f ca="1">SUMIF(INDIRECT(Totals[[#This Row],[SourceTable]] &amp; "[My Category]"),AB$3,INDIRECT(Totals[[#This Row],[SourceTable]] &amp; "[" &amp; TEXT(Totals[[#This Row],[Date]],"m/d/yy") &amp; "]"))</f>
        <v>0</v>
      </c>
      <c r="AC24" s="60">
        <f ca="1">SUMIF(INDIRECT(Totals[[#This Row],[SourceTable]] &amp; "[My Category]"),AC$3,INDIRECT(Totals[[#This Row],[SourceTable]] &amp; "[" &amp; TEXT(Totals[[#This Row],[Date]],"m/d/yy") &amp; "]"))</f>
        <v>-160</v>
      </c>
      <c r="AD24" s="60">
        <f ca="1">SUMIF(INDIRECT(Totals[[#This Row],[SourceTable]] &amp; "[My Category]"),AD$3,INDIRECT(Totals[[#This Row],[SourceTable]] &amp; "[" &amp; TEXT(Totals[[#This Row],[Date]],"m/d/yy") &amp; "]"))</f>
        <v>-10.587945205479457</v>
      </c>
      <c r="AE24" s="60">
        <f ca="1">SUMIF(INDIRECT(Totals[[#This Row],[SourceTable]] &amp; "[My Category]"),AE$3,INDIRECT(Totals[[#This Row],[SourceTable]] &amp; "[" &amp; TEXT(Totals[[#This Row],[Date]],"m/d/yy") &amp; "]"))</f>
        <v>4068.1542857142858</v>
      </c>
      <c r="AF24" s="60">
        <f ca="1">SUMIF(INDIRECT(Totals[[#This Row],[SourceTable]] &amp; "[My Category]"),AF$3,INDIRECT(Totals[[#This Row],[SourceTable]] &amp; "[" &amp; TEXT(Totals[[#This Row],[Date]],"m/d/yy") &amp; "]"))</f>
        <v>20.56</v>
      </c>
      <c r="AG24" s="60">
        <f ca="1">SUMIF(INDIRECT(Totals[[#This Row],[SourceTable]] &amp; "[My Category]"),AG$3,INDIRECT(Totals[[#This Row],[SourceTable]] &amp; "[" &amp; TEXT(Totals[[#This Row],[Date]],"m/d/yy") &amp; "]"))</f>
        <v>0</v>
      </c>
      <c r="AH24" s="60">
        <f ca="1">SUMIF(INDIRECT(Totals[[#This Row],[SourceTable]] &amp; "[My Category]"),AH$3,INDIRECT(Totals[[#This Row],[SourceTable]] &amp; "[" &amp; TEXT(Totals[[#This Row],[Date]],"m/d/yy") &amp; "]"))</f>
        <v>0</v>
      </c>
      <c r="AI24" s="60">
        <f ca="1">SUMIF(INDIRECT(Totals[[#This Row],[SourceTable]] &amp; "[My Category]"),AI$3,INDIRECT(Totals[[#This Row],[SourceTable]] &amp; "[" &amp; TEXT(Totals[[#This Row],[Date]],"m/d/yy") &amp; "]"))</f>
        <v>0</v>
      </c>
      <c r="AJ24" s="60">
        <f ca="1">SUMIF(INDIRECT(Totals[[#This Row],[SourceTable]] &amp; "[My Category]"),AJ$3,INDIRECT(Totals[[#This Row],[SourceTable]] &amp; "[" &amp; TEXT(Totals[[#This Row],[Date]],"m/d/yy") &amp; "]"))</f>
        <v>0</v>
      </c>
      <c r="AK24" s="70">
        <f ca="1">SUM(Totals[[#This Row],[Car - Note]:[NONTRACKED]])</f>
        <v>936.53885632389165</v>
      </c>
    </row>
    <row r="25" spans="1:37" x14ac:dyDescent="0.25">
      <c r="A25" s="72">
        <f>EDATE(DATEVALUE("1/1/2018"),ROW(Totals[[#This Row],[Date]])-ROW(Totals[[#Headers],[Date]])-1)</f>
        <v>43739</v>
      </c>
      <c r="B25" s="72" t="b">
        <f ca="1">IF(TODAY()&gt;EDATE(Totals[[#This Row],[Date]],1),TRUE,FALSE)</f>
        <v>1</v>
      </c>
      <c r="C25" s="74" t="str">
        <f>"Log_" &amp; YEAR(Totals[[#This Row],[Date]])</f>
        <v>Log_2019</v>
      </c>
      <c r="D25" s="60">
        <f ca="1">SUMIF(INDIRECT(Totals[[#This Row],[SourceTable]] &amp; "[My Category]"),D$3,INDIRECT(Totals[[#This Row],[SourceTable]] &amp; "[" &amp; TEXT(Totals[[#This Row],[Date]],"m/d/yy") &amp; "]"))</f>
        <v>-320</v>
      </c>
      <c r="E25" s="60">
        <f ca="1">SUMIF(INDIRECT(Totals[[#This Row],[SourceTable]] &amp; "[My Category]"),E$3,INDIRECT(Totals[[#This Row],[SourceTable]] &amp; "[" &amp; TEXT(Totals[[#This Row],[Date]],"m/d/yy") &amp; "]"))</f>
        <v>-227.87699999999998</v>
      </c>
      <c r="F25" s="60">
        <f ca="1">SUMIF(INDIRECT(Totals[[#This Row],[SourceTable]] &amp; "[My Category]"),F$3,INDIRECT(Totals[[#This Row],[SourceTable]] &amp; "[" &amp; TEXT(Totals[[#This Row],[Date]],"m/d/yy") &amp; "]"))</f>
        <v>-79.410000000000011</v>
      </c>
      <c r="G25" s="60">
        <f ca="1">SUMIF(INDIRECT(Totals[[#This Row],[SourceTable]] &amp; "[My Category]"),G$3,INDIRECT(Totals[[#This Row],[SourceTable]] &amp; "[" &amp; TEXT(Totals[[#This Row],[Date]],"m/d/yy") &amp; "]"))</f>
        <v>0</v>
      </c>
      <c r="H25" s="60">
        <f ca="1">SUMIF(INDIRECT(Totals[[#This Row],[SourceTable]] &amp; "[My Category]"),H$3,INDIRECT(Totals[[#This Row],[SourceTable]] &amp; "[" &amp; TEXT(Totals[[#This Row],[Date]],"m/d/yy") &amp; "]"))</f>
        <v>0</v>
      </c>
      <c r="I25" s="60">
        <f ca="1">SUMIF(INDIRECT(Totals[[#This Row],[SourceTable]] &amp; "[My Category]"),I$3,INDIRECT(Totals[[#This Row],[SourceTable]] &amp; "[" &amp; TEXT(Totals[[#This Row],[Date]],"m/d/yy") &amp; "]"))</f>
        <v>-73.959999999999994</v>
      </c>
      <c r="J25" s="60">
        <f ca="1">SUMIF(INDIRECT(Totals[[#This Row],[SourceTable]] &amp; "[My Category]"),J$3,INDIRECT(Totals[[#This Row],[SourceTable]] &amp; "[" &amp; TEXT(Totals[[#This Row],[Date]],"m/d/yy") &amp; "]"))</f>
        <v>-180.45</v>
      </c>
      <c r="K25" s="60">
        <f ca="1">SUMIF(INDIRECT(Totals[[#This Row],[SourceTable]] &amp; "[My Category]"),K$3,INDIRECT(Totals[[#This Row],[SourceTable]] &amp; "[" &amp; TEXT(Totals[[#This Row],[Date]],"m/d/yy") &amp; "]"))</f>
        <v>-32.790333333333336</v>
      </c>
      <c r="L25" s="60">
        <f ca="1">SUMIF(INDIRECT(Totals[[#This Row],[SourceTable]] &amp; "[My Category]"),L$3,INDIRECT(Totals[[#This Row],[SourceTable]] &amp; "[" &amp; TEXT(Totals[[#This Row],[Date]],"m/d/yy") &amp; "]"))</f>
        <v>0</v>
      </c>
      <c r="M25" s="60">
        <f ca="1">SUMIF(INDIRECT(Totals[[#This Row],[SourceTable]] &amp; "[My Category]"),M$3,INDIRECT(Totals[[#This Row],[SourceTable]] &amp; "[" &amp; TEXT(Totals[[#This Row],[Date]],"m/d/yy") &amp; "]"))</f>
        <v>-13.59</v>
      </c>
      <c r="N25" s="60">
        <f ca="1">SUMIF(INDIRECT(Totals[[#This Row],[SourceTable]] &amp; "[My Category]"),N$3,INDIRECT(Totals[[#This Row],[SourceTable]] &amp; "[" &amp; TEXT(Totals[[#This Row],[Date]],"m/d/yy") &amp; "]"))</f>
        <v>0</v>
      </c>
      <c r="O25" s="60">
        <f ca="1">SUMIF(INDIRECT(Totals[[#This Row],[SourceTable]] &amp; "[My Category]"),O$3,INDIRECT(Totals[[#This Row],[SourceTable]] &amp; "[" &amp; TEXT(Totals[[#This Row],[Date]],"m/d/yy") &amp; "]"))</f>
        <v>-303.5</v>
      </c>
      <c r="P25" s="60">
        <f ca="1">SUMIF(INDIRECT(Totals[[#This Row],[SourceTable]] &amp; "[My Category]"),P$3,INDIRECT(Totals[[#This Row],[SourceTable]] &amp; "[" &amp; TEXT(Totals[[#This Row],[Date]],"m/d/yy") &amp; "]"))</f>
        <v>-354.95000000000005</v>
      </c>
      <c r="Q25" s="60">
        <f ca="1">SUMIF(INDIRECT(Totals[[#This Row],[SourceTable]] &amp; "[My Category]"),Q$3,INDIRECT(Totals[[#This Row],[SourceTable]] &amp; "[" &amp; TEXT(Totals[[#This Row],[Date]],"m/d/yy") &amp; "]"))</f>
        <v>-221.92999999999995</v>
      </c>
      <c r="R25" s="60">
        <f ca="1">SUMIF(INDIRECT(Totals[[#This Row],[SourceTable]] &amp; "[My Category]"),R$3,INDIRECT(Totals[[#This Row],[SourceTable]] &amp; "[" &amp; TEXT(Totals[[#This Row],[Date]],"m/d/yy") &amp; "]"))</f>
        <v>-1760</v>
      </c>
      <c r="S25" s="60">
        <f ca="1">SUMIF(INDIRECT(Totals[[#This Row],[SourceTable]] &amp; "[My Category]"),S$3,INDIRECT(Totals[[#This Row],[SourceTable]] &amp; "[" &amp; TEXT(Totals[[#This Row],[Date]],"m/d/yy") &amp; "]"))</f>
        <v>-142.02564476885644</v>
      </c>
      <c r="T25" s="60">
        <f ca="1">SUMIF(INDIRECT(Totals[[#This Row],[SourceTable]] &amp; "[My Category]"),T$3,INDIRECT(Totals[[#This Row],[SourceTable]] &amp; "[" &amp; TEXT(Totals[[#This Row],[Date]],"m/d/yy") &amp; "]"))</f>
        <v>-56.480000000000004</v>
      </c>
      <c r="U25" s="60">
        <f ca="1">SUMIF(INDIRECT(Totals[[#This Row],[SourceTable]] &amp; "[My Category]"),U$3,INDIRECT(Totals[[#This Row],[SourceTable]] &amp; "[" &amp; TEXT(Totals[[#This Row],[Date]],"m/d/yy") &amp; "]"))</f>
        <v>-234.7</v>
      </c>
      <c r="V25" s="60">
        <f ca="1">SUMIF(INDIRECT(Totals[[#This Row],[SourceTable]] &amp; "[My Category]"),V$3,INDIRECT(Totals[[#This Row],[SourceTable]] &amp; "[" &amp; TEXT(Totals[[#This Row],[Date]],"m/d/yy") &amp; "]"))</f>
        <v>-433.67</v>
      </c>
      <c r="W25" s="60">
        <f ca="1">SUMIF(INDIRECT(Totals[[#This Row],[SourceTable]] &amp; "[My Category]"),W$3,INDIRECT(Totals[[#This Row],[SourceTable]] &amp; "[" &amp; TEXT(Totals[[#This Row],[Date]],"m/d/yy") &amp; "]"))</f>
        <v>0</v>
      </c>
      <c r="X25" s="60">
        <f ca="1">SUMIF(INDIRECT(Totals[[#This Row],[SourceTable]] &amp; "[My Category]"),X$3,INDIRECT(Totals[[#This Row],[SourceTable]] &amp; "[" &amp; TEXT(Totals[[#This Row],[Date]],"m/d/yy") &amp; "]"))</f>
        <v>0</v>
      </c>
      <c r="Y25" s="60">
        <f ca="1">SUMIF(INDIRECT(Totals[[#This Row],[SourceTable]] &amp; "[My Category]"),Y$3,INDIRECT(Totals[[#This Row],[SourceTable]] &amp; "[" &amp; TEXT(Totals[[#This Row],[Date]],"m/d/yy") &amp; "]"))</f>
        <v>0</v>
      </c>
      <c r="Z25" s="60">
        <f ca="1">SUMIF(INDIRECT(Totals[[#This Row],[SourceTable]] &amp; "[My Category]"),Z$3,INDIRECT(Totals[[#This Row],[SourceTable]] &amp; "[" &amp; TEXT(Totals[[#This Row],[Date]],"m/d/yy") &amp; "]"))</f>
        <v>0</v>
      </c>
      <c r="AA25" s="60">
        <f ca="1">SUMIF(INDIRECT(Totals[[#This Row],[SourceTable]] &amp; "[My Category]"),AA$3,INDIRECT(Totals[[#This Row],[SourceTable]] &amp; "[" &amp; TEXT(Totals[[#This Row],[Date]],"m/d/yy") &amp; "]"))</f>
        <v>0</v>
      </c>
      <c r="AB25" s="60">
        <f ca="1">SUMIF(INDIRECT(Totals[[#This Row],[SourceTable]] &amp; "[My Category]"),AB$3,INDIRECT(Totals[[#This Row],[SourceTable]] &amp; "[" &amp; TEXT(Totals[[#This Row],[Date]],"m/d/yy") &amp; "]"))</f>
        <v>0</v>
      </c>
      <c r="AC25" s="60">
        <f ca="1">SUMIF(INDIRECT(Totals[[#This Row],[SourceTable]] &amp; "[My Category]"),AC$3,INDIRECT(Totals[[#This Row],[SourceTable]] &amp; "[" &amp; TEXT(Totals[[#This Row],[Date]],"m/d/yy") &amp; "]"))</f>
        <v>0</v>
      </c>
      <c r="AD25" s="60">
        <f ca="1">SUMIF(INDIRECT(Totals[[#This Row],[SourceTable]] &amp; "[My Category]"),AD$3,INDIRECT(Totals[[#This Row],[SourceTable]] &amp; "[" &amp; TEXT(Totals[[#This Row],[Date]],"m/d/yy") &amp; "]"))</f>
        <v>-10.940876712328759</v>
      </c>
      <c r="AE25" s="60">
        <f ca="1">SUMIF(INDIRECT(Totals[[#This Row],[SourceTable]] &amp; "[My Category]"),AE$3,INDIRECT(Totals[[#This Row],[SourceTable]] &amp; "[" &amp; TEXT(Totals[[#This Row],[Date]],"m/d/yy") &amp; "]"))</f>
        <v>4203.7542857142862</v>
      </c>
      <c r="AF25" s="60">
        <f ca="1">SUMIF(INDIRECT(Totals[[#This Row],[SourceTable]] &amp; "[My Category]"),AF$3,INDIRECT(Totals[[#This Row],[SourceTable]] &amp; "[" &amp; TEXT(Totals[[#This Row],[Date]],"m/d/yy") &amp; "]"))</f>
        <v>22.4</v>
      </c>
      <c r="AG25" s="60">
        <f ca="1">SUMIF(INDIRECT(Totals[[#This Row],[SourceTable]] &amp; "[My Category]"),AG$3,INDIRECT(Totals[[#This Row],[SourceTable]] &amp; "[" &amp; TEXT(Totals[[#This Row],[Date]],"m/d/yy") &amp; "]"))</f>
        <v>0</v>
      </c>
      <c r="AH25" s="60">
        <f ca="1">SUMIF(INDIRECT(Totals[[#This Row],[SourceTable]] &amp; "[My Category]"),AH$3,INDIRECT(Totals[[#This Row],[SourceTable]] &amp; "[" &amp; TEXT(Totals[[#This Row],[Date]],"m/d/yy") &amp; "]"))</f>
        <v>0</v>
      </c>
      <c r="AI25" s="60">
        <f ca="1">SUMIF(INDIRECT(Totals[[#This Row],[SourceTable]] &amp; "[My Category]"),AI$3,INDIRECT(Totals[[#This Row],[SourceTable]] &amp; "[" &amp; TEXT(Totals[[#This Row],[Date]],"m/d/yy") &amp; "]"))</f>
        <v>0</v>
      </c>
      <c r="AJ25" s="60">
        <f ca="1">SUMIF(INDIRECT(Totals[[#This Row],[SourceTable]] &amp; "[My Category]"),AJ$3,INDIRECT(Totals[[#This Row],[SourceTable]] &amp; "[" &amp; TEXT(Totals[[#This Row],[Date]],"m/d/yy") &amp; "]"))</f>
        <v>0</v>
      </c>
      <c r="AK25" s="70">
        <f ca="1">SUM(Totals[[#This Row],[Car - Note]:[NONTRACKED]])</f>
        <v>-220.11956910023181</v>
      </c>
    </row>
    <row r="26" spans="1:37" x14ac:dyDescent="0.25">
      <c r="A26" s="72">
        <f>EDATE(DATEVALUE("1/1/2018"),ROW(Totals[[#This Row],[Date]])-ROW(Totals[[#Headers],[Date]])-1)</f>
        <v>43770</v>
      </c>
      <c r="B26" s="72" t="b">
        <f ca="1">IF(TODAY()&gt;EDATE(Totals[[#This Row],[Date]],1),TRUE,FALSE)</f>
        <v>1</v>
      </c>
      <c r="C26" s="74" t="str">
        <f>"Log_" &amp; YEAR(Totals[[#This Row],[Date]])</f>
        <v>Log_2019</v>
      </c>
      <c r="D26" s="60">
        <f ca="1">SUMIF(INDIRECT(Totals[[#This Row],[SourceTable]] &amp; "[My Category]"),D$3,INDIRECT(Totals[[#This Row],[SourceTable]] &amp; "[" &amp; TEXT(Totals[[#This Row],[Date]],"m/d/yy") &amp; "]"))</f>
        <v>-320</v>
      </c>
      <c r="E26" s="60">
        <f ca="1">SUMIF(INDIRECT(Totals[[#This Row],[SourceTable]] &amp; "[My Category]"),E$3,INDIRECT(Totals[[#This Row],[SourceTable]] &amp; "[" &amp; TEXT(Totals[[#This Row],[Date]],"m/d/yy") &amp; "]"))</f>
        <v>-197.12700000000001</v>
      </c>
      <c r="F26" s="60">
        <f ca="1">SUMIF(INDIRECT(Totals[[#This Row],[SourceTable]] &amp; "[My Category]"),F$3,INDIRECT(Totals[[#This Row],[SourceTable]] &amp; "[" &amp; TEXT(Totals[[#This Row],[Date]],"m/d/yy") &amp; "]"))</f>
        <v>-26.9</v>
      </c>
      <c r="G26" s="60">
        <f ca="1">SUMIF(INDIRECT(Totals[[#This Row],[SourceTable]] &amp; "[My Category]"),G$3,INDIRECT(Totals[[#This Row],[SourceTable]] &amp; "[" &amp; TEXT(Totals[[#This Row],[Date]],"m/d/yy") &amp; "]"))</f>
        <v>0</v>
      </c>
      <c r="H26" s="60">
        <f ca="1">SUMIF(INDIRECT(Totals[[#This Row],[SourceTable]] &amp; "[My Category]"),H$3,INDIRECT(Totals[[#This Row],[SourceTable]] &amp; "[" &amp; TEXT(Totals[[#This Row],[Date]],"m/d/yy") &amp; "]"))</f>
        <v>0</v>
      </c>
      <c r="I26" s="60">
        <f ca="1">SUMIF(INDIRECT(Totals[[#This Row],[SourceTable]] &amp; "[My Category]"),I$3,INDIRECT(Totals[[#This Row],[SourceTable]] &amp; "[" &amp; TEXT(Totals[[#This Row],[Date]],"m/d/yy") &amp; "]"))</f>
        <v>29.75</v>
      </c>
      <c r="J26" s="60">
        <f ca="1">SUMIF(INDIRECT(Totals[[#This Row],[SourceTable]] &amp; "[My Category]"),J$3,INDIRECT(Totals[[#This Row],[SourceTable]] &amp; "[" &amp; TEXT(Totals[[#This Row],[Date]],"m/d/yy") &amp; "]"))</f>
        <v>0</v>
      </c>
      <c r="K26" s="60">
        <f ca="1">SUMIF(INDIRECT(Totals[[#This Row],[SourceTable]] &amp; "[My Category]"),K$3,INDIRECT(Totals[[#This Row],[SourceTable]] &amp; "[" &amp; TEXT(Totals[[#This Row],[Date]],"m/d/yy") &amp; "]"))</f>
        <v>-9.729000000000001</v>
      </c>
      <c r="L26" s="60">
        <f ca="1">SUMIF(INDIRECT(Totals[[#This Row],[SourceTable]] &amp; "[My Category]"),L$3,INDIRECT(Totals[[#This Row],[SourceTable]] &amp; "[" &amp; TEXT(Totals[[#This Row],[Date]],"m/d/yy") &amp; "]"))</f>
        <v>-68.759999999999991</v>
      </c>
      <c r="M26" s="60">
        <f ca="1">SUMIF(INDIRECT(Totals[[#This Row],[SourceTable]] &amp; "[My Category]"),M$3,INDIRECT(Totals[[#This Row],[SourceTable]] &amp; "[" &amp; TEXT(Totals[[#This Row],[Date]],"m/d/yy") &amp; "]"))</f>
        <v>-18.64</v>
      </c>
      <c r="N26" s="60">
        <f ca="1">SUMIF(INDIRECT(Totals[[#This Row],[SourceTable]] &amp; "[My Category]"),N$3,INDIRECT(Totals[[#This Row],[SourceTable]] &amp; "[" &amp; TEXT(Totals[[#This Row],[Date]],"m/d/yy") &amp; "]"))</f>
        <v>0</v>
      </c>
      <c r="O26" s="60">
        <f ca="1">SUMIF(INDIRECT(Totals[[#This Row],[SourceTable]] &amp; "[My Category]"),O$3,INDIRECT(Totals[[#This Row],[SourceTable]] &amp; "[" &amp; TEXT(Totals[[#This Row],[Date]],"m/d/yy") &amp; "]"))</f>
        <v>-171.81</v>
      </c>
      <c r="P26" s="60">
        <f ca="1">SUMIF(INDIRECT(Totals[[#This Row],[SourceTable]] &amp; "[My Category]"),P$3,INDIRECT(Totals[[#This Row],[SourceTable]] &amp; "[" &amp; TEXT(Totals[[#This Row],[Date]],"m/d/yy") &amp; "]"))</f>
        <v>-28.61</v>
      </c>
      <c r="Q26" s="60">
        <f ca="1">SUMIF(INDIRECT(Totals[[#This Row],[SourceTable]] &amp; "[My Category]"),Q$3,INDIRECT(Totals[[#This Row],[SourceTable]] &amp; "[" &amp; TEXT(Totals[[#This Row],[Date]],"m/d/yy") &amp; "]"))</f>
        <v>-205.6</v>
      </c>
      <c r="R26" s="60">
        <f ca="1">SUMIF(INDIRECT(Totals[[#This Row],[SourceTable]] &amp; "[My Category]"),R$3,INDIRECT(Totals[[#This Row],[SourceTable]] &amp; "[" &amp; TEXT(Totals[[#This Row],[Date]],"m/d/yy") &amp; "]"))</f>
        <v>-1440</v>
      </c>
      <c r="S26" s="60">
        <f ca="1">SUMIF(INDIRECT(Totals[[#This Row],[SourceTable]] &amp; "[My Category]"),S$3,INDIRECT(Totals[[#This Row],[SourceTable]] &amp; "[" &amp; TEXT(Totals[[#This Row],[Date]],"m/d/yy") &amp; "]"))</f>
        <v>-127.65881751824818</v>
      </c>
      <c r="T26" s="60">
        <f ca="1">SUMIF(INDIRECT(Totals[[#This Row],[SourceTable]] &amp; "[My Category]"),T$3,INDIRECT(Totals[[#This Row],[SourceTable]] &amp; "[" &amp; TEXT(Totals[[#This Row],[Date]],"m/d/yy") &amp; "]"))</f>
        <v>-51.185000000000002</v>
      </c>
      <c r="U26" s="60">
        <f ca="1">SUMIF(INDIRECT(Totals[[#This Row],[SourceTable]] &amp; "[My Category]"),U$3,INDIRECT(Totals[[#This Row],[SourceTable]] &amp; "[" &amp; TEXT(Totals[[#This Row],[Date]],"m/d/yy") &amp; "]"))</f>
        <v>0</v>
      </c>
      <c r="V26" s="60">
        <f ca="1">SUMIF(INDIRECT(Totals[[#This Row],[SourceTable]] &amp; "[My Category]"),V$3,INDIRECT(Totals[[#This Row],[SourceTable]] &amp; "[" &amp; TEXT(Totals[[#This Row],[Date]],"m/d/yy") &amp; "]"))</f>
        <v>0</v>
      </c>
      <c r="W26" s="60">
        <f ca="1">SUMIF(INDIRECT(Totals[[#This Row],[SourceTable]] &amp; "[My Category]"),W$3,INDIRECT(Totals[[#This Row],[SourceTable]] &amp; "[" &amp; TEXT(Totals[[#This Row],[Date]],"m/d/yy") &amp; "]"))</f>
        <v>0</v>
      </c>
      <c r="X26" s="60">
        <f ca="1">SUMIF(INDIRECT(Totals[[#This Row],[SourceTable]] &amp; "[My Category]"),X$3,INDIRECT(Totals[[#This Row],[SourceTable]] &amp; "[" &amp; TEXT(Totals[[#This Row],[Date]],"m/d/yy") &amp; "]"))</f>
        <v>0</v>
      </c>
      <c r="Y26" s="60">
        <f ca="1">SUMIF(INDIRECT(Totals[[#This Row],[SourceTable]] &amp; "[My Category]"),Y$3,INDIRECT(Totals[[#This Row],[SourceTable]] &amp; "[" &amp; TEXT(Totals[[#This Row],[Date]],"m/d/yy") &amp; "]"))</f>
        <v>0</v>
      </c>
      <c r="Z26" s="60">
        <f ca="1">SUMIF(INDIRECT(Totals[[#This Row],[SourceTable]] &amp; "[My Category]"),Z$3,INDIRECT(Totals[[#This Row],[SourceTable]] &amp; "[" &amp; TEXT(Totals[[#This Row],[Date]],"m/d/yy") &amp; "]"))</f>
        <v>0</v>
      </c>
      <c r="AA26" s="60">
        <f ca="1">SUMIF(INDIRECT(Totals[[#This Row],[SourceTable]] &amp; "[My Category]"),AA$3,INDIRECT(Totals[[#This Row],[SourceTable]] &amp; "[" &amp; TEXT(Totals[[#This Row],[Date]],"m/d/yy") &amp; "]"))</f>
        <v>0</v>
      </c>
      <c r="AB26" s="60">
        <f ca="1">SUMIF(INDIRECT(Totals[[#This Row],[SourceTable]] &amp; "[My Category]"),AB$3,INDIRECT(Totals[[#This Row],[SourceTable]] &amp; "[" &amp; TEXT(Totals[[#This Row],[Date]],"m/d/yy") &amp; "]"))</f>
        <v>0</v>
      </c>
      <c r="AC26" s="60">
        <f ca="1">SUMIF(INDIRECT(Totals[[#This Row],[SourceTable]] &amp; "[My Category]"),AC$3,INDIRECT(Totals[[#This Row],[SourceTable]] &amp; "[" &amp; TEXT(Totals[[#This Row],[Date]],"m/d/yy") &amp; "]"))</f>
        <v>0</v>
      </c>
      <c r="AD26" s="60">
        <f ca="1">SUMIF(INDIRECT(Totals[[#This Row],[SourceTable]] &amp; "[My Category]"),AD$3,INDIRECT(Totals[[#This Row],[SourceTable]] &amp; "[" &amp; TEXT(Totals[[#This Row],[Date]],"m/d/yy") &amp; "]"))</f>
        <v>-23.587945205479457</v>
      </c>
      <c r="AE26" s="60">
        <f ca="1">SUMIF(INDIRECT(Totals[[#This Row],[SourceTable]] &amp; "[My Category]"),AE$3,INDIRECT(Totals[[#This Row],[SourceTable]] &amp; "[" &amp; TEXT(Totals[[#This Row],[Date]],"m/d/yy") &amp; "]"))</f>
        <v>4081.3842857142859</v>
      </c>
      <c r="AF26" s="60">
        <f ca="1">SUMIF(INDIRECT(Totals[[#This Row],[SourceTable]] &amp; "[My Category]"),AF$3,INDIRECT(Totals[[#This Row],[SourceTable]] &amp; "[" &amp; TEXT(Totals[[#This Row],[Date]],"m/d/yy") &amp; "]"))</f>
        <v>16.760000000000002</v>
      </c>
      <c r="AG26" s="60">
        <f ca="1">SUMIF(INDIRECT(Totals[[#This Row],[SourceTable]] &amp; "[My Category]"),AG$3,INDIRECT(Totals[[#This Row],[SourceTable]] &amp; "[" &amp; TEXT(Totals[[#This Row],[Date]],"m/d/yy") &amp; "]"))</f>
        <v>0</v>
      </c>
      <c r="AH26" s="60">
        <f ca="1">SUMIF(INDIRECT(Totals[[#This Row],[SourceTable]] &amp; "[My Category]"),AH$3,INDIRECT(Totals[[#This Row],[SourceTable]] &amp; "[" &amp; TEXT(Totals[[#This Row],[Date]],"m/d/yy") &amp; "]"))</f>
        <v>0</v>
      </c>
      <c r="AI26" s="60">
        <f ca="1">SUMIF(INDIRECT(Totals[[#This Row],[SourceTable]] &amp; "[My Category]"),AI$3,INDIRECT(Totals[[#This Row],[SourceTable]] &amp; "[" &amp; TEXT(Totals[[#This Row],[Date]],"m/d/yy") &amp; "]"))</f>
        <v>0</v>
      </c>
      <c r="AJ26" s="60">
        <f ca="1">SUMIF(INDIRECT(Totals[[#This Row],[SourceTable]] &amp; "[My Category]"),AJ$3,INDIRECT(Totals[[#This Row],[SourceTable]] &amp; "[" &amp; TEXT(Totals[[#This Row],[Date]],"m/d/yy") &amp; "]"))</f>
        <v>0</v>
      </c>
      <c r="AK26" s="70">
        <f ca="1">SUM(Totals[[#This Row],[Car - Note]:[NONTRACKED]])</f>
        <v>1438.2865229905581</v>
      </c>
    </row>
    <row r="27" spans="1:37" x14ac:dyDescent="0.25">
      <c r="A27" s="72">
        <f>EDATE(DATEVALUE("1/1/2018"),ROW(Totals[[#This Row],[Date]])-ROW(Totals[[#Headers],[Date]])-1)</f>
        <v>43800</v>
      </c>
      <c r="B27" s="72" t="b">
        <f ca="1">IF(TODAY()&gt;EDATE(Totals[[#This Row],[Date]],1),TRUE,FALSE)</f>
        <v>1</v>
      </c>
      <c r="C27" s="74" t="str">
        <f>"Log_" &amp; YEAR(Totals[[#This Row],[Date]])</f>
        <v>Log_2019</v>
      </c>
      <c r="D27" s="60">
        <f ca="1">SUMIF(INDIRECT(Totals[[#This Row],[SourceTable]] &amp; "[My Category]"),D$3,INDIRECT(Totals[[#This Row],[SourceTable]] &amp; "[" &amp; TEXT(Totals[[#This Row],[Date]],"m/d/yy") &amp; "]"))</f>
        <v>-320</v>
      </c>
      <c r="E27" s="60">
        <f ca="1">SUMIF(INDIRECT(Totals[[#This Row],[SourceTable]] &amp; "[My Category]"),E$3,INDIRECT(Totals[[#This Row],[SourceTable]] &amp; "[" &amp; TEXT(Totals[[#This Row],[Date]],"m/d/yy") &amp; "]"))</f>
        <v>-227.91499999999999</v>
      </c>
      <c r="F27" s="60">
        <f ca="1">SUMIF(INDIRECT(Totals[[#This Row],[SourceTable]] &amp; "[My Category]"),F$3,INDIRECT(Totals[[#This Row],[SourceTable]] &amp; "[" &amp; TEXT(Totals[[#This Row],[Date]],"m/d/yy") &amp; "]"))</f>
        <v>-143.19999999999999</v>
      </c>
      <c r="G27" s="60">
        <f ca="1">SUMIF(INDIRECT(Totals[[#This Row],[SourceTable]] &amp; "[My Category]"),G$3,INDIRECT(Totals[[#This Row],[SourceTable]] &amp; "[" &amp; TEXT(Totals[[#This Row],[Date]],"m/d/yy") &amp; "]"))</f>
        <v>0</v>
      </c>
      <c r="H27" s="60">
        <f ca="1">SUMIF(INDIRECT(Totals[[#This Row],[SourceTable]] &amp; "[My Category]"),H$3,INDIRECT(Totals[[#This Row],[SourceTable]] &amp; "[" &amp; TEXT(Totals[[#This Row],[Date]],"m/d/yy") &amp; "]"))</f>
        <v>0</v>
      </c>
      <c r="I27" s="60">
        <f ca="1">SUMIF(INDIRECT(Totals[[#This Row],[SourceTable]] &amp; "[My Category]"),I$3,INDIRECT(Totals[[#This Row],[SourceTable]] &amp; "[" &amp; TEXT(Totals[[#This Row],[Date]],"m/d/yy") &amp; "]"))</f>
        <v>-81.19</v>
      </c>
      <c r="J27" s="60">
        <f ca="1">SUMIF(INDIRECT(Totals[[#This Row],[SourceTable]] &amp; "[My Category]"),J$3,INDIRECT(Totals[[#This Row],[SourceTable]] &amp; "[" &amp; TEXT(Totals[[#This Row],[Date]],"m/d/yy") &amp; "]"))</f>
        <v>0</v>
      </c>
      <c r="K27" s="60">
        <f ca="1">SUMIF(INDIRECT(Totals[[#This Row],[SourceTable]] &amp; "[My Category]"),K$3,INDIRECT(Totals[[#This Row],[SourceTable]] &amp; "[" &amp; TEXT(Totals[[#This Row],[Date]],"m/d/yy") &amp; "]"))</f>
        <v>-11.891</v>
      </c>
      <c r="L27" s="60">
        <f ca="1">SUMIF(INDIRECT(Totals[[#This Row],[SourceTable]] &amp; "[My Category]"),L$3,INDIRECT(Totals[[#This Row],[SourceTable]] &amp; "[" &amp; TEXT(Totals[[#This Row],[Date]],"m/d/yy") &amp; "]"))</f>
        <v>0</v>
      </c>
      <c r="M27" s="60">
        <f ca="1">SUMIF(INDIRECT(Totals[[#This Row],[SourceTable]] &amp; "[My Category]"),M$3,INDIRECT(Totals[[#This Row],[SourceTable]] &amp; "[" &amp; TEXT(Totals[[#This Row],[Date]],"m/d/yy") &amp; "]"))</f>
        <v>-36.35</v>
      </c>
      <c r="N27" s="60">
        <f ca="1">SUMIF(INDIRECT(Totals[[#This Row],[SourceTable]] &amp; "[My Category]"),N$3,INDIRECT(Totals[[#This Row],[SourceTable]] &amp; "[" &amp; TEXT(Totals[[#This Row],[Date]],"m/d/yy") &amp; "]"))</f>
        <v>-25.96</v>
      </c>
      <c r="O27" s="60">
        <f ca="1">SUMIF(INDIRECT(Totals[[#This Row],[SourceTable]] &amp; "[My Category]"),O$3,INDIRECT(Totals[[#This Row],[SourceTable]] &amp; "[" &amp; TEXT(Totals[[#This Row],[Date]],"m/d/yy") &amp; "]"))</f>
        <v>-128.4</v>
      </c>
      <c r="P27" s="60">
        <f ca="1">SUMIF(INDIRECT(Totals[[#This Row],[SourceTable]] &amp; "[My Category]"),P$3,INDIRECT(Totals[[#This Row],[SourceTable]] &amp; "[" &amp; TEXT(Totals[[#This Row],[Date]],"m/d/yy") &amp; "]"))</f>
        <v>-108.32</v>
      </c>
      <c r="Q27" s="60">
        <f ca="1">SUMIF(INDIRECT(Totals[[#This Row],[SourceTable]] &amp; "[My Category]"),Q$3,INDIRECT(Totals[[#This Row],[SourceTable]] &amp; "[" &amp; TEXT(Totals[[#This Row],[Date]],"m/d/yy") &amp; "]"))</f>
        <v>-154.13000000000002</v>
      </c>
      <c r="R27" s="60">
        <f ca="1">SUMIF(INDIRECT(Totals[[#This Row],[SourceTable]] &amp; "[My Category]"),R$3,INDIRECT(Totals[[#This Row],[SourceTable]] &amp; "[" &amp; TEXT(Totals[[#This Row],[Date]],"m/d/yy") &amp; "]"))</f>
        <v>-1706.6666666666667</v>
      </c>
      <c r="S27" s="60">
        <f ca="1">SUMIF(INDIRECT(Totals[[#This Row],[SourceTable]] &amp; "[My Category]"),S$3,INDIRECT(Totals[[#This Row],[SourceTable]] &amp; "[" &amp; TEXT(Totals[[#This Row],[Date]],"m/d/yy") &amp; "]"))</f>
        <v>-131.75815085158149</v>
      </c>
      <c r="T27" s="60">
        <f ca="1">SUMIF(INDIRECT(Totals[[#This Row],[SourceTable]] &amp; "[My Category]"),T$3,INDIRECT(Totals[[#This Row],[SourceTable]] &amp; "[" &amp; TEXT(Totals[[#This Row],[Date]],"m/d/yy") &amp; "]"))</f>
        <v>-52.95</v>
      </c>
      <c r="U27" s="60">
        <f ca="1">SUMIF(INDIRECT(Totals[[#This Row],[SourceTable]] &amp; "[My Category]"),U$3,INDIRECT(Totals[[#This Row],[SourceTable]] &amp; "[" &amp; TEXT(Totals[[#This Row],[Date]],"m/d/yy") &amp; "]"))</f>
        <v>-99.300000000000011</v>
      </c>
      <c r="V27" s="60">
        <f ca="1">SUMIF(INDIRECT(Totals[[#This Row],[SourceTable]] &amp; "[My Category]"),V$3,INDIRECT(Totals[[#This Row],[SourceTable]] &amp; "[" &amp; TEXT(Totals[[#This Row],[Date]],"m/d/yy") &amp; "]"))</f>
        <v>0</v>
      </c>
      <c r="W27" s="60">
        <f ca="1">SUMIF(INDIRECT(Totals[[#This Row],[SourceTable]] &amp; "[My Category]"),W$3,INDIRECT(Totals[[#This Row],[SourceTable]] &amp; "[" &amp; TEXT(Totals[[#This Row],[Date]],"m/d/yy") &amp; "]"))</f>
        <v>0</v>
      </c>
      <c r="X27" s="60">
        <f ca="1">SUMIF(INDIRECT(Totals[[#This Row],[SourceTable]] &amp; "[My Category]"),X$3,INDIRECT(Totals[[#This Row],[SourceTable]] &amp; "[" &amp; TEXT(Totals[[#This Row],[Date]],"m/d/yy") &amp; "]"))</f>
        <v>0</v>
      </c>
      <c r="Y27" s="60">
        <f ca="1">SUMIF(INDIRECT(Totals[[#This Row],[SourceTable]] &amp; "[My Category]"),Y$3,INDIRECT(Totals[[#This Row],[SourceTable]] &amp; "[" &amp; TEXT(Totals[[#This Row],[Date]],"m/d/yy") &amp; "]"))</f>
        <v>0</v>
      </c>
      <c r="Z27" s="60">
        <f ca="1">SUMIF(INDIRECT(Totals[[#This Row],[SourceTable]] &amp; "[My Category]"),Z$3,INDIRECT(Totals[[#This Row],[SourceTable]] &amp; "[" &amp; TEXT(Totals[[#This Row],[Date]],"m/d/yy") &amp; "]"))</f>
        <v>0</v>
      </c>
      <c r="AA27" s="60">
        <f ca="1">SUMIF(INDIRECT(Totals[[#This Row],[SourceTable]] &amp; "[My Category]"),AA$3,INDIRECT(Totals[[#This Row],[SourceTable]] &amp; "[" &amp; TEXT(Totals[[#This Row],[Date]],"m/d/yy") &amp; "]"))</f>
        <v>0</v>
      </c>
      <c r="AB27" s="60">
        <f ca="1">SUMIF(INDIRECT(Totals[[#This Row],[SourceTable]] &amp; "[My Category]"),AB$3,INDIRECT(Totals[[#This Row],[SourceTable]] &amp; "[" &amp; TEXT(Totals[[#This Row],[Date]],"m/d/yy") &amp; "]"))</f>
        <v>0</v>
      </c>
      <c r="AC27" s="60">
        <f ca="1">SUMIF(INDIRECT(Totals[[#This Row],[SourceTable]] &amp; "[My Category]"),AC$3,INDIRECT(Totals[[#This Row],[SourceTable]] &amp; "[" &amp; TEXT(Totals[[#This Row],[Date]],"m/d/yy") &amp; "]"))</f>
        <v>-82.75</v>
      </c>
      <c r="AD27" s="60">
        <f ca="1">SUMIF(INDIRECT(Totals[[#This Row],[SourceTable]] &amp; "[My Category]"),AD$3,INDIRECT(Totals[[#This Row],[SourceTable]] &amp; "[" &amp; TEXT(Totals[[#This Row],[Date]],"m/d/yy") &amp; "]"))</f>
        <v>-158.35087671232878</v>
      </c>
      <c r="AE27" s="60">
        <f ca="1">SUMIF(INDIRECT(Totals[[#This Row],[SourceTable]] &amp; "[My Category]"),AE$3,INDIRECT(Totals[[#This Row],[SourceTable]] &amp; "[" &amp; TEXT(Totals[[#This Row],[Date]],"m/d/yy") &amp; "]"))</f>
        <v>4203.7549999999992</v>
      </c>
      <c r="AF27" s="60">
        <f ca="1">SUMIF(INDIRECT(Totals[[#This Row],[SourceTable]] &amp; "[My Category]"),AF$3,INDIRECT(Totals[[#This Row],[SourceTable]] &amp; "[" &amp; TEXT(Totals[[#This Row],[Date]],"m/d/yy") &amp; "]"))</f>
        <v>146.61999999999998</v>
      </c>
      <c r="AG27" s="60">
        <f ca="1">SUMIF(INDIRECT(Totals[[#This Row],[SourceTable]] &amp; "[My Category]"),AG$3,INDIRECT(Totals[[#This Row],[SourceTable]] &amp; "[" &amp; TEXT(Totals[[#This Row],[Date]],"m/d/yy") &amp; "]"))</f>
        <v>0</v>
      </c>
      <c r="AH27" s="60">
        <f ca="1">SUMIF(INDIRECT(Totals[[#This Row],[SourceTable]] &amp; "[My Category]"),AH$3,INDIRECT(Totals[[#This Row],[SourceTable]] &amp; "[" &amp; TEXT(Totals[[#This Row],[Date]],"m/d/yy") &amp; "]"))</f>
        <v>0</v>
      </c>
      <c r="AI27" s="60">
        <f ca="1">SUMIF(INDIRECT(Totals[[#This Row],[SourceTable]] &amp; "[My Category]"),AI$3,INDIRECT(Totals[[#This Row],[SourceTable]] &amp; "[" &amp; TEXT(Totals[[#This Row],[Date]],"m/d/yy") &amp; "]"))</f>
        <v>0</v>
      </c>
      <c r="AJ27" s="60">
        <f ca="1">SUMIF(INDIRECT(Totals[[#This Row],[SourceTable]] &amp; "[My Category]"),AJ$3,INDIRECT(Totals[[#This Row],[SourceTable]] &amp; "[" &amp; TEXT(Totals[[#This Row],[Date]],"m/d/yy") &amp; "]"))</f>
        <v>0</v>
      </c>
      <c r="AK27" s="70">
        <f ca="1">SUM(Totals[[#This Row],[Car - Note]:[NONTRACKED]])</f>
        <v>881.24330576942214</v>
      </c>
    </row>
    <row r="28" spans="1:37" x14ac:dyDescent="0.25">
      <c r="A28" s="72">
        <f>EDATE(DATEVALUE("1/1/2018"),ROW(Totals[[#This Row],[Date]])-ROW(Totals[[#Headers],[Date]])-1)</f>
        <v>43831</v>
      </c>
      <c r="B28" s="72" t="b">
        <f ca="1">IF(TODAY()&gt;EDATE(Totals[[#This Row],[Date]],1),TRUE,FALSE)</f>
        <v>1</v>
      </c>
      <c r="C28" s="74" t="str">
        <f>"Log_" &amp; YEAR(Totals[[#This Row],[Date]])</f>
        <v>Log_2020</v>
      </c>
      <c r="D28" s="60">
        <f ca="1">SUMIF(INDIRECT(Totals[[#This Row],[SourceTable]] &amp; "[My Category]"),D$3,INDIRECT(Totals[[#This Row],[SourceTable]] &amp; "[" &amp; TEXT(Totals[[#This Row],[Date]],"m/d/yy") &amp; "]"))</f>
        <v>-320</v>
      </c>
      <c r="E28" s="60">
        <f ca="1">SUMIF(INDIRECT(Totals[[#This Row],[SourceTable]] &amp; "[My Category]"),E$3,INDIRECT(Totals[[#This Row],[SourceTable]] &amp; "[" &amp; TEXT(Totals[[#This Row],[Date]],"m/d/yy") &amp; "]"))</f>
        <v>-193.08233333333334</v>
      </c>
      <c r="F28" s="60">
        <f ca="1">SUMIF(INDIRECT(Totals[[#This Row],[SourceTable]] &amp; "[My Category]"),F$3,INDIRECT(Totals[[#This Row],[SourceTable]] &amp; "[" &amp; TEXT(Totals[[#This Row],[Date]],"m/d/yy") &amp; "]"))</f>
        <v>-53.07</v>
      </c>
      <c r="G28" s="60">
        <f ca="1">SUMIF(INDIRECT(Totals[[#This Row],[SourceTable]] &amp; "[My Category]"),G$3,INDIRECT(Totals[[#This Row],[SourceTable]] &amp; "[" &amp; TEXT(Totals[[#This Row],[Date]],"m/d/yy") &amp; "]"))</f>
        <v>0</v>
      </c>
      <c r="H28" s="60">
        <f ca="1">SUMIF(INDIRECT(Totals[[#This Row],[SourceTable]] &amp; "[My Category]"),H$3,INDIRECT(Totals[[#This Row],[SourceTable]] &amp; "[" &amp; TEXT(Totals[[#This Row],[Date]],"m/d/yy") &amp; "]"))</f>
        <v>-30.32</v>
      </c>
      <c r="I28" s="60">
        <f ca="1">SUMIF(INDIRECT(Totals[[#This Row],[SourceTable]] &amp; "[My Category]"),I$3,INDIRECT(Totals[[#This Row],[SourceTable]] &amp; "[" &amp; TEXT(Totals[[#This Row],[Date]],"m/d/yy") &amp; "]"))</f>
        <v>-21</v>
      </c>
      <c r="J28" s="60">
        <f ca="1">SUMIF(INDIRECT(Totals[[#This Row],[SourceTable]] &amp; "[My Category]"),J$3,INDIRECT(Totals[[#This Row],[SourceTable]] &amp; "[" &amp; TEXT(Totals[[#This Row],[Date]],"m/d/yy") &amp; "]"))</f>
        <v>0</v>
      </c>
      <c r="K28" s="60">
        <f ca="1">SUMIF(INDIRECT(Totals[[#This Row],[SourceTable]] &amp; "[My Category]"),K$3,INDIRECT(Totals[[#This Row],[SourceTable]] &amp; "[" &amp; TEXT(Totals[[#This Row],[Date]],"m/d/yy") &amp; "]"))</f>
        <v>-10.81</v>
      </c>
      <c r="L28" s="60">
        <f ca="1">SUMIF(INDIRECT(Totals[[#This Row],[SourceTable]] &amp; "[My Category]"),L$3,INDIRECT(Totals[[#This Row],[SourceTable]] &amp; "[" &amp; TEXT(Totals[[#This Row],[Date]],"m/d/yy") &amp; "]"))</f>
        <v>0</v>
      </c>
      <c r="M28" s="60">
        <f ca="1">SUMIF(INDIRECT(Totals[[#This Row],[SourceTable]] &amp; "[My Category]"),M$3,INDIRECT(Totals[[#This Row],[SourceTable]] &amp; "[" &amp; TEXT(Totals[[#This Row],[Date]],"m/d/yy") &amp; "]"))</f>
        <v>-82.5</v>
      </c>
      <c r="N28" s="60">
        <f ca="1">SUMIF(INDIRECT(Totals[[#This Row],[SourceTable]] &amp; "[My Category]"),N$3,INDIRECT(Totals[[#This Row],[SourceTable]] &amp; "[" &amp; TEXT(Totals[[#This Row],[Date]],"m/d/yy") &amp; "]"))</f>
        <v>0</v>
      </c>
      <c r="O28" s="60">
        <f ca="1">SUMIF(INDIRECT(Totals[[#This Row],[SourceTable]] &amp; "[My Category]"),O$3,INDIRECT(Totals[[#This Row],[SourceTable]] &amp; "[" &amp; TEXT(Totals[[#This Row],[Date]],"m/d/yy") &amp; "]"))</f>
        <v>0</v>
      </c>
      <c r="P28" s="60">
        <f ca="1">SUMIF(INDIRECT(Totals[[#This Row],[SourceTable]] &amp; "[My Category]"),P$3,INDIRECT(Totals[[#This Row],[SourceTable]] &amp; "[" &amp; TEXT(Totals[[#This Row],[Date]],"m/d/yy") &amp; "]"))</f>
        <v>-252.42</v>
      </c>
      <c r="Q28" s="60">
        <f ca="1">SUMIF(INDIRECT(Totals[[#This Row],[SourceTable]] &amp; "[My Category]"),Q$3,INDIRECT(Totals[[#This Row],[SourceTable]] &amp; "[" &amp; TEXT(Totals[[#This Row],[Date]],"m/d/yy") &amp; "]"))</f>
        <v>-116.35</v>
      </c>
      <c r="R28" s="60">
        <f ca="1">SUMIF(INDIRECT(Totals[[#This Row],[SourceTable]] &amp; "[My Category]"),R$3,INDIRECT(Totals[[#This Row],[SourceTable]] &amp; "[" &amp; TEXT(Totals[[#This Row],[Date]],"m/d/yy") &amp; "]"))</f>
        <v>-1653.3333333333333</v>
      </c>
      <c r="S28" s="60">
        <f ca="1">SUMIF(INDIRECT(Totals[[#This Row],[SourceTable]] &amp; "[My Category]"),S$3,INDIRECT(Totals[[#This Row],[SourceTable]] &amp; "[" &amp; TEXT(Totals[[#This Row],[Date]],"m/d/yy") &amp; "]"))</f>
        <v>-136.74433333333334</v>
      </c>
      <c r="T28" s="60">
        <f ca="1">SUMIF(INDIRECT(Totals[[#This Row],[SourceTable]] &amp; "[My Category]"),T$3,INDIRECT(Totals[[#This Row],[SourceTable]] &amp; "[" &amp; TEXT(Totals[[#This Row],[Date]],"m/d/yy") &amp; "]"))</f>
        <v>-54.715000000000003</v>
      </c>
      <c r="U28" s="60">
        <f ca="1">SUMIF(INDIRECT(Totals[[#This Row],[SourceTable]] &amp; "[My Category]"),U$3,INDIRECT(Totals[[#This Row],[SourceTable]] &amp; "[" &amp; TEXT(Totals[[#This Row],[Date]],"m/d/yy") &amp; "]"))</f>
        <v>-30.23</v>
      </c>
      <c r="V28" s="60">
        <f ca="1">SUMIF(INDIRECT(Totals[[#This Row],[SourceTable]] &amp; "[My Category]"),V$3,INDIRECT(Totals[[#This Row],[SourceTable]] &amp; "[" &amp; TEXT(Totals[[#This Row],[Date]],"m/d/yy") &amp; "]"))</f>
        <v>0</v>
      </c>
      <c r="W28" s="60">
        <f ca="1">SUMIF(INDIRECT(Totals[[#This Row],[SourceTable]] &amp; "[My Category]"),W$3,INDIRECT(Totals[[#This Row],[SourceTable]] &amp; "[" &amp; TEXT(Totals[[#This Row],[Date]],"m/d/yy") &amp; "]"))</f>
        <v>0</v>
      </c>
      <c r="X28" s="60">
        <f ca="1">SUMIF(INDIRECT(Totals[[#This Row],[SourceTable]] &amp; "[My Category]"),X$3,INDIRECT(Totals[[#This Row],[SourceTable]] &amp; "[" &amp; TEXT(Totals[[#This Row],[Date]],"m/d/yy") &amp; "]"))</f>
        <v>0</v>
      </c>
      <c r="Y28" s="60">
        <f ca="1">SUMIF(INDIRECT(Totals[[#This Row],[SourceTable]] &amp; "[My Category]"),Y$3,INDIRECT(Totals[[#This Row],[SourceTable]] &amp; "[" &amp; TEXT(Totals[[#This Row],[Date]],"m/d/yy") &amp; "]"))</f>
        <v>0</v>
      </c>
      <c r="Z28" s="60">
        <f ca="1">SUMIF(INDIRECT(Totals[[#This Row],[SourceTable]] &amp; "[My Category]"),Z$3,INDIRECT(Totals[[#This Row],[SourceTable]] &amp; "[" &amp; TEXT(Totals[[#This Row],[Date]],"m/d/yy") &amp; "]"))</f>
        <v>0</v>
      </c>
      <c r="AA28" s="60">
        <f ca="1">SUMIF(INDIRECT(Totals[[#This Row],[SourceTable]] &amp; "[My Category]"),AA$3,INDIRECT(Totals[[#This Row],[SourceTable]] &amp; "[" &amp; TEXT(Totals[[#This Row],[Date]],"m/d/yy") &amp; "]"))</f>
        <v>0</v>
      </c>
      <c r="AB28" s="60">
        <f ca="1">SUMIF(INDIRECT(Totals[[#This Row],[SourceTable]] &amp; "[My Category]"),AB$3,INDIRECT(Totals[[#This Row],[SourceTable]] &amp; "[" &amp; TEXT(Totals[[#This Row],[Date]],"m/d/yy") &amp; "]"))</f>
        <v>0</v>
      </c>
      <c r="AC28" s="60">
        <f ca="1">SUMIF(INDIRECT(Totals[[#This Row],[SourceTable]] &amp; "[My Category]"),AC$3,INDIRECT(Totals[[#This Row],[SourceTable]] &amp; "[" &amp; TEXT(Totals[[#This Row],[Date]],"m/d/yy") &amp; "]"))</f>
        <v>0</v>
      </c>
      <c r="AD28" s="60">
        <f ca="1">SUMIF(INDIRECT(Totals[[#This Row],[SourceTable]] &amp; "[My Category]"),AD$3,INDIRECT(Totals[[#This Row],[SourceTable]] &amp; "[" &amp; TEXT(Totals[[#This Row],[Date]],"m/d/yy") &amp; "]"))</f>
        <v>-10.940876712328762</v>
      </c>
      <c r="AE28" s="60">
        <f ca="1">SUMIF(INDIRECT(Totals[[#This Row],[SourceTable]] &amp; "[My Category]"),AE$3,INDIRECT(Totals[[#This Row],[SourceTable]] &amp; "[" &amp; TEXT(Totals[[#This Row],[Date]],"m/d/yy") &amp; "]"))</f>
        <v>4208.7021428571425</v>
      </c>
      <c r="AF28" s="60">
        <f ca="1">SUMIF(INDIRECT(Totals[[#This Row],[SourceTable]] &amp; "[My Category]"),AF$3,INDIRECT(Totals[[#This Row],[SourceTable]] &amp; "[" &amp; TEXT(Totals[[#This Row],[Date]],"m/d/yy") &amp; "]"))</f>
        <v>12.33</v>
      </c>
      <c r="AG28" s="60">
        <f ca="1">SUMIF(INDIRECT(Totals[[#This Row],[SourceTable]] &amp; "[My Category]"),AG$3,INDIRECT(Totals[[#This Row],[SourceTable]] &amp; "[" &amp; TEXT(Totals[[#This Row],[Date]],"m/d/yy") &amp; "]"))</f>
        <v>0</v>
      </c>
      <c r="AH28" s="60">
        <f ca="1">SUMIF(INDIRECT(Totals[[#This Row],[SourceTable]] &amp; "[My Category]"),AH$3,INDIRECT(Totals[[#This Row],[SourceTable]] &amp; "[" &amp; TEXT(Totals[[#This Row],[Date]],"m/d/yy") &amp; "]"))</f>
        <v>0</v>
      </c>
      <c r="AI28" s="60">
        <f ca="1">SUMIF(INDIRECT(Totals[[#This Row],[SourceTable]] &amp; "[My Category]"),AI$3,INDIRECT(Totals[[#This Row],[SourceTable]] &amp; "[" &amp; TEXT(Totals[[#This Row],[Date]],"m/d/yy") &amp; "]"))</f>
        <v>0</v>
      </c>
      <c r="AJ28" s="60">
        <f ca="1">SUMIF(INDIRECT(Totals[[#This Row],[SourceTable]] &amp; "[My Category]"),AJ$3,INDIRECT(Totals[[#This Row],[SourceTable]] &amp; "[" &amp; TEXT(Totals[[#This Row],[Date]],"m/d/yy") &amp; "]"))</f>
        <v>0</v>
      </c>
      <c r="AK28" s="70">
        <f ca="1">SUM(Totals[[#This Row],[Car - Note]:[NONTRACKED]])</f>
        <v>1255.5162661448135</v>
      </c>
    </row>
    <row r="29" spans="1:37" x14ac:dyDescent="0.25">
      <c r="A29" s="72">
        <f>EDATE(DATEVALUE("1/1/2018"),ROW(Totals[[#This Row],[Date]])-ROW(Totals[[#Headers],[Date]])-1)</f>
        <v>43862</v>
      </c>
      <c r="B29" s="72" t="b">
        <f ca="1">IF(TODAY()&gt;EDATE(Totals[[#This Row],[Date]],1),TRUE,FALSE)</f>
        <v>1</v>
      </c>
      <c r="C29" s="74" t="str">
        <f>"Log_" &amp; YEAR(Totals[[#This Row],[Date]])</f>
        <v>Log_2020</v>
      </c>
      <c r="D29" s="60">
        <f ca="1">SUMIF(INDIRECT(Totals[[#This Row],[SourceTable]] &amp; "[My Category]"),D$3,INDIRECT(Totals[[#This Row],[SourceTable]] &amp; "[" &amp; TEXT(Totals[[#This Row],[Date]],"m/d/yy") &amp; "]"))</f>
        <v>-320</v>
      </c>
      <c r="E29" s="60">
        <f ca="1">SUMIF(INDIRECT(Totals[[#This Row],[SourceTable]] &amp; "[My Category]"),E$3,INDIRECT(Totals[[#This Row],[SourceTable]] &amp; "[" &amp; TEXT(Totals[[#This Row],[Date]],"m/d/yy") &amp; "]"))</f>
        <v>-209.90433333333334</v>
      </c>
      <c r="F29" s="60">
        <f ca="1">SUMIF(INDIRECT(Totals[[#This Row],[SourceTable]] &amp; "[My Category]"),F$3,INDIRECT(Totals[[#This Row],[SourceTable]] &amp; "[" &amp; TEXT(Totals[[#This Row],[Date]],"m/d/yy") &amp; "]"))</f>
        <v>-42.32</v>
      </c>
      <c r="G29" s="60">
        <f ca="1">SUMIF(INDIRECT(Totals[[#This Row],[SourceTable]] &amp; "[My Category]"),G$3,INDIRECT(Totals[[#This Row],[SourceTable]] &amp; "[" &amp; TEXT(Totals[[#This Row],[Date]],"m/d/yy") &amp; "]"))</f>
        <v>0</v>
      </c>
      <c r="H29" s="60">
        <f ca="1">SUMIF(INDIRECT(Totals[[#This Row],[SourceTable]] &amp; "[My Category]"),H$3,INDIRECT(Totals[[#This Row],[SourceTable]] &amp; "[" &amp; TEXT(Totals[[#This Row],[Date]],"m/d/yy") &amp; "]"))</f>
        <v>-27.909999999999997</v>
      </c>
      <c r="I29" s="60">
        <f ca="1">SUMIF(INDIRECT(Totals[[#This Row],[SourceTable]] &amp; "[My Category]"),I$3,INDIRECT(Totals[[#This Row],[SourceTable]] &amp; "[" &amp; TEXT(Totals[[#This Row],[Date]],"m/d/yy") &amp; "]"))</f>
        <v>0</v>
      </c>
      <c r="J29" s="60">
        <f ca="1">SUMIF(INDIRECT(Totals[[#This Row],[SourceTable]] &amp; "[My Category]"),J$3,INDIRECT(Totals[[#This Row],[SourceTable]] &amp; "[" &amp; TEXT(Totals[[#This Row],[Date]],"m/d/yy") &amp; "]"))</f>
        <v>-74.03</v>
      </c>
      <c r="K29" s="60">
        <f ca="1">SUMIF(INDIRECT(Totals[[#This Row],[SourceTable]] &amp; "[My Category]"),K$3,INDIRECT(Totals[[#This Row],[SourceTable]] &amp; "[" &amp; TEXT(Totals[[#This Row],[Date]],"m/d/yy") &amp; "]"))</f>
        <v>-10.089333333333334</v>
      </c>
      <c r="L29" s="60">
        <f ca="1">SUMIF(INDIRECT(Totals[[#This Row],[SourceTable]] &amp; "[My Category]"),L$3,INDIRECT(Totals[[#This Row],[SourceTable]] &amp; "[" &amp; TEXT(Totals[[#This Row],[Date]],"m/d/yy") &amp; "]"))</f>
        <v>0</v>
      </c>
      <c r="M29" s="60">
        <f ca="1">SUMIF(INDIRECT(Totals[[#This Row],[SourceTable]] &amp; "[My Category]"),M$3,INDIRECT(Totals[[#This Row],[SourceTable]] &amp; "[" &amp; TEXT(Totals[[#This Row],[Date]],"m/d/yy") &amp; "]"))</f>
        <v>0</v>
      </c>
      <c r="N29" s="60">
        <f ca="1">SUMIF(INDIRECT(Totals[[#This Row],[SourceTable]] &amp; "[My Category]"),N$3,INDIRECT(Totals[[#This Row],[SourceTable]] &amp; "[" &amp; TEXT(Totals[[#This Row],[Date]],"m/d/yy") &amp; "]"))</f>
        <v>-21.73</v>
      </c>
      <c r="O29" s="60">
        <f ca="1">SUMIF(INDIRECT(Totals[[#This Row],[SourceTable]] &amp; "[My Category]"),O$3,INDIRECT(Totals[[#This Row],[SourceTable]] &amp; "[" &amp; TEXT(Totals[[#This Row],[Date]],"m/d/yy") &amp; "]"))</f>
        <v>-45</v>
      </c>
      <c r="P29" s="60">
        <f ca="1">SUMIF(INDIRECT(Totals[[#This Row],[SourceTable]] &amp; "[My Category]"),P$3,INDIRECT(Totals[[#This Row],[SourceTable]] &amp; "[" &amp; TEXT(Totals[[#This Row],[Date]],"m/d/yy") &amp; "]"))</f>
        <v>-268.8</v>
      </c>
      <c r="Q29" s="60">
        <f ca="1">SUMIF(INDIRECT(Totals[[#This Row],[SourceTable]] &amp; "[My Category]"),Q$3,INDIRECT(Totals[[#This Row],[SourceTable]] &amp; "[" &amp; TEXT(Totals[[#This Row],[Date]],"m/d/yy") &amp; "]"))</f>
        <v>-124.19999999999999</v>
      </c>
      <c r="R29" s="60">
        <f ca="1">SUMIF(INDIRECT(Totals[[#This Row],[SourceTable]] &amp; "[My Category]"),R$3,INDIRECT(Totals[[#This Row],[SourceTable]] &amp; "[" &amp; TEXT(Totals[[#This Row],[Date]],"m/d/yy") &amp; "]"))</f>
        <v>-1600</v>
      </c>
      <c r="S29" s="60">
        <f ca="1">SUMIF(INDIRECT(Totals[[#This Row],[SourceTable]] &amp; "[My Category]"),S$3,INDIRECT(Totals[[#This Row],[SourceTable]] &amp; "[" &amp; TEXT(Totals[[#This Row],[Date]],"m/d/yy") &amp; "]"))</f>
        <v>-207.179</v>
      </c>
      <c r="T29" s="60">
        <f ca="1">SUMIF(INDIRECT(Totals[[#This Row],[SourceTable]] &amp; "[My Category]"),T$3,INDIRECT(Totals[[#This Row],[SourceTable]] &amp; "[" &amp; TEXT(Totals[[#This Row],[Date]],"m/d/yy") &amp; "]"))</f>
        <v>-48.081034482758618</v>
      </c>
      <c r="U29" s="60">
        <f ca="1">SUMIF(INDIRECT(Totals[[#This Row],[SourceTable]] &amp; "[My Category]"),U$3,INDIRECT(Totals[[#This Row],[SourceTable]] &amp; "[" &amp; TEXT(Totals[[#This Row],[Date]],"m/d/yy") &amp; "]"))</f>
        <v>0</v>
      </c>
      <c r="V29" s="60">
        <f ca="1">SUMIF(INDIRECT(Totals[[#This Row],[SourceTable]] &amp; "[My Category]"),V$3,INDIRECT(Totals[[#This Row],[SourceTable]] &amp; "[" &amp; TEXT(Totals[[#This Row],[Date]],"m/d/yy") &amp; "]"))</f>
        <v>0</v>
      </c>
      <c r="W29" s="60">
        <f ca="1">SUMIF(INDIRECT(Totals[[#This Row],[SourceTable]] &amp; "[My Category]"),W$3,INDIRECT(Totals[[#This Row],[SourceTable]] &amp; "[" &amp; TEXT(Totals[[#This Row],[Date]],"m/d/yy") &amp; "]"))</f>
        <v>0</v>
      </c>
      <c r="X29" s="60">
        <f ca="1">SUMIF(INDIRECT(Totals[[#This Row],[SourceTable]] &amp; "[My Category]"),X$3,INDIRECT(Totals[[#This Row],[SourceTable]] &amp; "[" &amp; TEXT(Totals[[#This Row],[Date]],"m/d/yy") &amp; "]"))</f>
        <v>0</v>
      </c>
      <c r="Y29" s="60">
        <f ca="1">SUMIF(INDIRECT(Totals[[#This Row],[SourceTable]] &amp; "[My Category]"),Y$3,INDIRECT(Totals[[#This Row],[SourceTable]] &amp; "[" &amp; TEXT(Totals[[#This Row],[Date]],"m/d/yy") &amp; "]"))</f>
        <v>0</v>
      </c>
      <c r="Z29" s="60">
        <f ca="1">SUMIF(INDIRECT(Totals[[#This Row],[SourceTable]] &amp; "[My Category]"),Z$3,INDIRECT(Totals[[#This Row],[SourceTable]] &amp; "[" &amp; TEXT(Totals[[#This Row],[Date]],"m/d/yy") &amp; "]"))</f>
        <v>-499</v>
      </c>
      <c r="AA29" s="60">
        <f ca="1">SUMIF(INDIRECT(Totals[[#This Row],[SourceTable]] &amp; "[My Category]"),AA$3,INDIRECT(Totals[[#This Row],[SourceTable]] &amp; "[" &amp; TEXT(Totals[[#This Row],[Date]],"m/d/yy") &amp; "]"))</f>
        <v>0</v>
      </c>
      <c r="AB29" s="60">
        <f ca="1">SUMIF(INDIRECT(Totals[[#This Row],[SourceTable]] &amp; "[My Category]"),AB$3,INDIRECT(Totals[[#This Row],[SourceTable]] &amp; "[" &amp; TEXT(Totals[[#This Row],[Date]],"m/d/yy") &amp; "]"))</f>
        <v>0</v>
      </c>
      <c r="AC29" s="60">
        <f ca="1">SUMIF(INDIRECT(Totals[[#This Row],[SourceTable]] &amp; "[My Category]"),AC$3,INDIRECT(Totals[[#This Row],[SourceTable]] &amp; "[" &amp; TEXT(Totals[[#This Row],[Date]],"m/d/yy") &amp; "]"))</f>
        <v>-100</v>
      </c>
      <c r="AD29" s="60">
        <f ca="1">SUMIF(INDIRECT(Totals[[#This Row],[SourceTable]] &amp; "[My Category]"),AD$3,INDIRECT(Totals[[#This Row],[SourceTable]] &amp; "[" &amp; TEXT(Totals[[#This Row],[Date]],"m/d/yy") &amp; "]"))</f>
        <v>-10.23501369863013</v>
      </c>
      <c r="AE29" s="60">
        <f ca="1">SUMIF(INDIRECT(Totals[[#This Row],[SourceTable]] &amp; "[My Category]"),AE$3,INDIRECT(Totals[[#This Row],[SourceTable]] &amp; "[" &amp; TEXT(Totals[[#This Row],[Date]],"m/d/yy") &amp; "]"))</f>
        <v>3941.5135714285711</v>
      </c>
      <c r="AF29" s="60">
        <f ca="1">SUMIF(INDIRECT(Totals[[#This Row],[SourceTable]] &amp; "[My Category]"),AF$3,INDIRECT(Totals[[#This Row],[SourceTable]] &amp; "[" &amp; TEXT(Totals[[#This Row],[Date]],"m/d/yy") &amp; "]"))</f>
        <v>1534.81</v>
      </c>
      <c r="AG29" s="60">
        <f ca="1">SUMIF(INDIRECT(Totals[[#This Row],[SourceTable]] &amp; "[My Category]"),AG$3,INDIRECT(Totals[[#This Row],[SourceTable]] &amp; "[" &amp; TEXT(Totals[[#This Row],[Date]],"m/d/yy") &amp; "]"))</f>
        <v>0</v>
      </c>
      <c r="AH29" s="60">
        <f ca="1">SUMIF(INDIRECT(Totals[[#This Row],[SourceTable]] &amp; "[My Category]"),AH$3,INDIRECT(Totals[[#This Row],[SourceTable]] &amp; "[" &amp; TEXT(Totals[[#This Row],[Date]],"m/d/yy") &amp; "]"))</f>
        <v>0</v>
      </c>
      <c r="AI29" s="60">
        <f ca="1">SUMIF(INDIRECT(Totals[[#This Row],[SourceTable]] &amp; "[My Category]"),AI$3,INDIRECT(Totals[[#This Row],[SourceTable]] &amp; "[" &amp; TEXT(Totals[[#This Row],[Date]],"m/d/yy") &amp; "]"))</f>
        <v>0</v>
      </c>
      <c r="AJ29" s="60">
        <f ca="1">SUMIF(INDIRECT(Totals[[#This Row],[SourceTable]] &amp; "[My Category]"),AJ$3,INDIRECT(Totals[[#This Row],[SourceTable]] &amp; "[" &amp; TEXT(Totals[[#This Row],[Date]],"m/d/yy") &amp; "]"))</f>
        <v>0</v>
      </c>
      <c r="AK29" s="70">
        <f ca="1">SUM(Totals[[#This Row],[Car - Note]:[NONTRACKED]])</f>
        <v>1867.8448565805152</v>
      </c>
    </row>
    <row r="30" spans="1:37" x14ac:dyDescent="0.25">
      <c r="A30" s="72">
        <f>EDATE(DATEVALUE("1/1/2018"),ROW(Totals[[#This Row],[Date]])-ROW(Totals[[#Headers],[Date]])-1)</f>
        <v>43891</v>
      </c>
      <c r="B30" s="72" t="b">
        <f ca="1">IF(TODAY()&gt;EDATE(Totals[[#This Row],[Date]],1),TRUE,FALSE)</f>
        <v>1</v>
      </c>
      <c r="C30" s="74" t="str">
        <f>"Log_" &amp; YEAR(Totals[[#This Row],[Date]])</f>
        <v>Log_2020</v>
      </c>
      <c r="D30" s="60">
        <f ca="1">SUMIF(INDIRECT(Totals[[#This Row],[SourceTable]] &amp; "[My Category]"),D$3,INDIRECT(Totals[[#This Row],[SourceTable]] &amp; "[" &amp; TEXT(Totals[[#This Row],[Date]],"m/d/yy") &amp; "]"))</f>
        <v>-320</v>
      </c>
      <c r="E30" s="60">
        <f ca="1">SUMIF(INDIRECT(Totals[[#This Row],[SourceTable]] &amp; "[My Category]"),E$3,INDIRECT(Totals[[#This Row],[SourceTable]] &amp; "[" &amp; TEXT(Totals[[#This Row],[Date]],"m/d/yy") &amp; "]"))</f>
        <v>-225.01733333333334</v>
      </c>
      <c r="F30" s="60">
        <f ca="1">SUMIF(INDIRECT(Totals[[#This Row],[SourceTable]] &amp; "[My Category]"),F$3,INDIRECT(Totals[[#This Row],[SourceTable]] &amp; "[" &amp; TEXT(Totals[[#This Row],[Date]],"m/d/yy") &amp; "]"))</f>
        <v>-48.34</v>
      </c>
      <c r="G30" s="60">
        <f ca="1">SUMIF(INDIRECT(Totals[[#This Row],[SourceTable]] &amp; "[My Category]"),G$3,INDIRECT(Totals[[#This Row],[SourceTable]] &amp; "[" &amp; TEXT(Totals[[#This Row],[Date]],"m/d/yy") &amp; "]"))</f>
        <v>0</v>
      </c>
      <c r="H30" s="60">
        <f ca="1">SUMIF(INDIRECT(Totals[[#This Row],[SourceTable]] &amp; "[My Category]"),H$3,INDIRECT(Totals[[#This Row],[SourceTable]] &amp; "[" &amp; TEXT(Totals[[#This Row],[Date]],"m/d/yy") &amp; "]"))</f>
        <v>0</v>
      </c>
      <c r="I30" s="60">
        <f ca="1">SUMIF(INDIRECT(Totals[[#This Row],[SourceTable]] &amp; "[My Category]"),I$3,INDIRECT(Totals[[#This Row],[SourceTable]] &amp; "[" &amp; TEXT(Totals[[#This Row],[Date]],"m/d/yy") &amp; "]"))</f>
        <v>0</v>
      </c>
      <c r="J30" s="60">
        <f ca="1">SUMIF(INDIRECT(Totals[[#This Row],[SourceTable]] &amp; "[My Category]"),J$3,INDIRECT(Totals[[#This Row],[SourceTable]] &amp; "[" &amp; TEXT(Totals[[#This Row],[Date]],"m/d/yy") &amp; "]"))</f>
        <v>-69.28</v>
      </c>
      <c r="K30" s="60">
        <f ca="1">SUMIF(INDIRECT(Totals[[#This Row],[SourceTable]] &amp; "[My Category]"),K$3,INDIRECT(Totals[[#This Row],[SourceTable]] &amp; "[" &amp; TEXT(Totals[[#This Row],[Date]],"m/d/yy") &amp; "]"))</f>
        <v>-39.530666666666669</v>
      </c>
      <c r="L30" s="60">
        <f ca="1">SUMIF(INDIRECT(Totals[[#This Row],[SourceTable]] &amp; "[My Category]"),L$3,INDIRECT(Totals[[#This Row],[SourceTable]] &amp; "[" &amp; TEXT(Totals[[#This Row],[Date]],"m/d/yy") &amp; "]"))</f>
        <v>-46.64</v>
      </c>
      <c r="M30" s="60">
        <f ca="1">SUMIF(INDIRECT(Totals[[#This Row],[SourceTable]] &amp; "[My Category]"),M$3,INDIRECT(Totals[[#This Row],[SourceTable]] &amp; "[" &amp; TEXT(Totals[[#This Row],[Date]],"m/d/yy") &amp; "]"))</f>
        <v>0</v>
      </c>
      <c r="N30" s="60">
        <f ca="1">SUMIF(INDIRECT(Totals[[#This Row],[SourceTable]] &amp; "[My Category]"),N$3,INDIRECT(Totals[[#This Row],[SourceTable]] &amp; "[" &amp; TEXT(Totals[[#This Row],[Date]],"m/d/yy") &amp; "]"))</f>
        <v>0</v>
      </c>
      <c r="O30" s="60">
        <f ca="1">SUMIF(INDIRECT(Totals[[#This Row],[SourceTable]] &amp; "[My Category]"),O$3,INDIRECT(Totals[[#This Row],[SourceTable]] &amp; "[" &amp; TEXT(Totals[[#This Row],[Date]],"m/d/yy") &amp; "]"))</f>
        <v>0</v>
      </c>
      <c r="P30" s="60">
        <f ca="1">SUMIF(INDIRECT(Totals[[#This Row],[SourceTable]] &amp; "[My Category]"),P$3,INDIRECT(Totals[[#This Row],[SourceTable]] &amp; "[" &amp; TEXT(Totals[[#This Row],[Date]],"m/d/yy") &amp; "]"))</f>
        <v>-133.01</v>
      </c>
      <c r="Q30" s="60">
        <f ca="1">SUMIF(INDIRECT(Totals[[#This Row],[SourceTable]] &amp; "[My Category]"),Q$3,INDIRECT(Totals[[#This Row],[SourceTable]] &amp; "[" &amp; TEXT(Totals[[#This Row],[Date]],"m/d/yy") &amp; "]"))</f>
        <v>-77.55</v>
      </c>
      <c r="R30" s="60">
        <f ca="1">SUMIF(INDIRECT(Totals[[#This Row],[SourceTable]] &amp; "[My Category]"),R$3,INDIRECT(Totals[[#This Row],[SourceTable]] &amp; "[" &amp; TEXT(Totals[[#This Row],[Date]],"m/d/yy") &amp; "]"))</f>
        <v>-1600</v>
      </c>
      <c r="S30" s="60">
        <f ca="1">SUMIF(INDIRECT(Totals[[#This Row],[SourceTable]] &amp; "[My Category]"),S$3,INDIRECT(Totals[[#This Row],[SourceTable]] &amp; "[" &amp; TEXT(Totals[[#This Row],[Date]],"m/d/yy") &amp; "]"))</f>
        <v>-196.34</v>
      </c>
      <c r="T30" s="60">
        <f ca="1">SUMIF(INDIRECT(Totals[[#This Row],[SourceTable]] &amp; "[My Category]"),T$3,INDIRECT(Totals[[#This Row],[SourceTable]] &amp; "[" &amp; TEXT(Totals[[#This Row],[Date]],"m/d/yy") &amp; "]"))</f>
        <v>-54.28896551724138</v>
      </c>
      <c r="U30" s="60">
        <f ca="1">SUMIF(INDIRECT(Totals[[#This Row],[SourceTable]] &amp; "[My Category]"),U$3,INDIRECT(Totals[[#This Row],[SourceTable]] &amp; "[" &amp; TEXT(Totals[[#This Row],[Date]],"m/d/yy") &amp; "]"))</f>
        <v>-51.61</v>
      </c>
      <c r="V30" s="60">
        <f ca="1">SUMIF(INDIRECT(Totals[[#This Row],[SourceTable]] &amp; "[My Category]"),V$3,INDIRECT(Totals[[#This Row],[SourceTable]] &amp; "[" &amp; TEXT(Totals[[#This Row],[Date]],"m/d/yy") &amp; "]"))</f>
        <v>0</v>
      </c>
      <c r="W30" s="60">
        <f ca="1">SUMIF(INDIRECT(Totals[[#This Row],[SourceTable]] &amp; "[My Category]"),W$3,INDIRECT(Totals[[#This Row],[SourceTable]] &amp; "[" &amp; TEXT(Totals[[#This Row],[Date]],"m/d/yy") &amp; "]"))</f>
        <v>0</v>
      </c>
      <c r="X30" s="60">
        <f ca="1">SUMIF(INDIRECT(Totals[[#This Row],[SourceTable]] &amp; "[My Category]"),X$3,INDIRECT(Totals[[#This Row],[SourceTable]] &amp; "[" &amp; TEXT(Totals[[#This Row],[Date]],"m/d/yy") &amp; "]"))</f>
        <v>0</v>
      </c>
      <c r="Y30" s="60">
        <f ca="1">SUMIF(INDIRECT(Totals[[#This Row],[SourceTable]] &amp; "[My Category]"),Y$3,INDIRECT(Totals[[#This Row],[SourceTable]] &amp; "[" &amp; TEXT(Totals[[#This Row],[Date]],"m/d/yy") &amp; "]"))</f>
        <v>0</v>
      </c>
      <c r="Z30" s="60">
        <f ca="1">SUMIF(INDIRECT(Totals[[#This Row],[SourceTable]] &amp; "[My Category]"),Z$3,INDIRECT(Totals[[#This Row],[SourceTable]] &amp; "[" &amp; TEXT(Totals[[#This Row],[Date]],"m/d/yy") &amp; "]"))</f>
        <v>0</v>
      </c>
      <c r="AA30" s="60">
        <f ca="1">SUMIF(INDIRECT(Totals[[#This Row],[SourceTable]] &amp; "[My Category]"),AA$3,INDIRECT(Totals[[#This Row],[SourceTable]] &amp; "[" &amp; TEXT(Totals[[#This Row],[Date]],"m/d/yy") &amp; "]"))</f>
        <v>0</v>
      </c>
      <c r="AB30" s="60">
        <f ca="1">SUMIF(INDIRECT(Totals[[#This Row],[SourceTable]] &amp; "[My Category]"),AB$3,INDIRECT(Totals[[#This Row],[SourceTable]] &amp; "[" &amp; TEXT(Totals[[#This Row],[Date]],"m/d/yy") &amp; "]"))</f>
        <v>0</v>
      </c>
      <c r="AC30" s="60">
        <f ca="1">SUMIF(INDIRECT(Totals[[#This Row],[SourceTable]] &amp; "[My Category]"),AC$3,INDIRECT(Totals[[#This Row],[SourceTable]] &amp; "[" &amp; TEXT(Totals[[#This Row],[Date]],"m/d/yy") &amp; "]"))</f>
        <v>0</v>
      </c>
      <c r="AD30" s="60">
        <f ca="1">SUMIF(INDIRECT(Totals[[#This Row],[SourceTable]] &amp; "[My Category]"),AD$3,INDIRECT(Totals[[#This Row],[SourceTable]] &amp; "[" &amp; TEXT(Totals[[#This Row],[Date]],"m/d/yy") &amp; "]"))</f>
        <v>-10.587945205479453</v>
      </c>
      <c r="AE30" s="60">
        <f ca="1">SUMIF(INDIRECT(Totals[[#This Row],[SourceTable]] &amp; "[My Category]"),AE$3,INDIRECT(Totals[[#This Row],[SourceTable]] &amp; "[" &amp; TEXT(Totals[[#This Row],[Date]],"m/d/yy") &amp; "]"))</f>
        <v>4213.3449999999993</v>
      </c>
      <c r="AF30" s="60">
        <f ca="1">SUMIF(INDIRECT(Totals[[#This Row],[SourceTable]] &amp; "[My Category]"),AF$3,INDIRECT(Totals[[#This Row],[SourceTable]] &amp; "[" &amp; TEXT(Totals[[#This Row],[Date]],"m/d/yy") &amp; "]"))</f>
        <v>20.169999999999998</v>
      </c>
      <c r="AG30" s="60">
        <f ca="1">SUMIF(INDIRECT(Totals[[#This Row],[SourceTable]] &amp; "[My Category]"),AG$3,INDIRECT(Totals[[#This Row],[SourceTable]] &amp; "[" &amp; TEXT(Totals[[#This Row],[Date]],"m/d/yy") &amp; "]"))</f>
        <v>0</v>
      </c>
      <c r="AH30" s="60">
        <f ca="1">SUMIF(INDIRECT(Totals[[#This Row],[SourceTable]] &amp; "[My Category]"),AH$3,INDIRECT(Totals[[#This Row],[SourceTable]] &amp; "[" &amp; TEXT(Totals[[#This Row],[Date]],"m/d/yy") &amp; "]"))</f>
        <v>0</v>
      </c>
      <c r="AI30" s="60">
        <f ca="1">SUMIF(INDIRECT(Totals[[#This Row],[SourceTable]] &amp; "[My Category]"),AI$3,INDIRECT(Totals[[#This Row],[SourceTable]] &amp; "[" &amp; TEXT(Totals[[#This Row],[Date]],"m/d/yy") &amp; "]"))</f>
        <v>0</v>
      </c>
      <c r="AJ30" s="60">
        <f ca="1">SUMIF(INDIRECT(Totals[[#This Row],[SourceTable]] &amp; "[My Category]"),AJ$3,INDIRECT(Totals[[#This Row],[SourceTable]] &amp; "[" &amp; TEXT(Totals[[#This Row],[Date]],"m/d/yy") &amp; "]"))</f>
        <v>0</v>
      </c>
      <c r="AK30" s="70">
        <f ca="1">SUM(Totals[[#This Row],[Car - Note]:[NONTRACKED]])</f>
        <v>1361.3200892772784</v>
      </c>
    </row>
    <row r="31" spans="1:37" x14ac:dyDescent="0.25">
      <c r="A31" s="72">
        <f>EDATE(DATEVALUE("1/1/2018"),ROW(Totals[[#This Row],[Date]])-ROW(Totals[[#Headers],[Date]])-1)</f>
        <v>43922</v>
      </c>
      <c r="B31" s="72" t="b">
        <f ca="1">IF(TODAY()&gt;EDATE(Totals[[#This Row],[Date]],1),TRUE,FALSE)</f>
        <v>1</v>
      </c>
      <c r="C31" s="74" t="str">
        <f>"Log_" &amp; YEAR(Totals[[#This Row],[Date]])</f>
        <v>Log_2020</v>
      </c>
      <c r="D31" s="60">
        <f ca="1">SUMIF(INDIRECT(Totals[[#This Row],[SourceTable]] &amp; "[My Category]"),D$3,INDIRECT(Totals[[#This Row],[SourceTable]] &amp; "[" &amp; TEXT(Totals[[#This Row],[Date]],"m/d/yy") &amp; "]"))</f>
        <v>-320</v>
      </c>
      <c r="E31" s="60">
        <f ca="1">SUMIF(INDIRECT(Totals[[#This Row],[SourceTable]] &amp; "[My Category]"),E$3,INDIRECT(Totals[[#This Row],[SourceTable]] &amp; "[" &amp; TEXT(Totals[[#This Row],[Date]],"m/d/yy") &amp; "]"))</f>
        <v>-214.773</v>
      </c>
      <c r="F31" s="60">
        <f ca="1">SUMIF(INDIRECT(Totals[[#This Row],[SourceTable]] &amp; "[My Category]"),F$3,INDIRECT(Totals[[#This Row],[SourceTable]] &amp; "[" &amp; TEXT(Totals[[#This Row],[Date]],"m/d/yy") &amp; "]"))</f>
        <v>0</v>
      </c>
      <c r="G31" s="60">
        <f ca="1">SUMIF(INDIRECT(Totals[[#This Row],[SourceTable]] &amp; "[My Category]"),G$3,INDIRECT(Totals[[#This Row],[SourceTable]] &amp; "[" &amp; TEXT(Totals[[#This Row],[Date]],"m/d/yy") &amp; "]"))</f>
        <v>0</v>
      </c>
      <c r="H31" s="60">
        <f ca="1">SUMIF(INDIRECT(Totals[[#This Row],[SourceTable]] &amp; "[My Category]"),H$3,INDIRECT(Totals[[#This Row],[SourceTable]] &amp; "[" &amp; TEXT(Totals[[#This Row],[Date]],"m/d/yy") &amp; "]"))</f>
        <v>0</v>
      </c>
      <c r="I31" s="60">
        <f ca="1">SUMIF(INDIRECT(Totals[[#This Row],[SourceTable]] &amp; "[My Category]"),I$3,INDIRECT(Totals[[#This Row],[SourceTable]] &amp; "[" &amp; TEXT(Totals[[#This Row],[Date]],"m/d/yy") &amp; "]"))</f>
        <v>0</v>
      </c>
      <c r="J31" s="60">
        <f ca="1">SUMIF(INDIRECT(Totals[[#This Row],[SourceTable]] &amp; "[My Category]"),J$3,INDIRECT(Totals[[#This Row],[SourceTable]] &amp; "[" &amp; TEXT(Totals[[#This Row],[Date]],"m/d/yy") &amp; "]"))</f>
        <v>0</v>
      </c>
      <c r="K31" s="60">
        <f ca="1">SUMIF(INDIRECT(Totals[[#This Row],[SourceTable]] &amp; "[My Category]"),K$3,INDIRECT(Totals[[#This Row],[SourceTable]] &amp; "[" &amp; TEXT(Totals[[#This Row],[Date]],"m/d/yy") &amp; "]"))</f>
        <v>-10.449666666666667</v>
      </c>
      <c r="L31" s="60">
        <f ca="1">SUMIF(INDIRECT(Totals[[#This Row],[SourceTable]] &amp; "[My Category]"),L$3,INDIRECT(Totals[[#This Row],[SourceTable]] &amp; "[" &amp; TEXT(Totals[[#This Row],[Date]],"m/d/yy") &amp; "]"))</f>
        <v>-51.04</v>
      </c>
      <c r="M31" s="60">
        <f ca="1">SUMIF(INDIRECT(Totals[[#This Row],[SourceTable]] &amp; "[My Category]"),M$3,INDIRECT(Totals[[#This Row],[SourceTable]] &amp; "[" &amp; TEXT(Totals[[#This Row],[Date]],"m/d/yy") &amp; "]"))</f>
        <v>0</v>
      </c>
      <c r="N31" s="60">
        <f ca="1">SUMIF(INDIRECT(Totals[[#This Row],[SourceTable]] &amp; "[My Category]"),N$3,INDIRECT(Totals[[#This Row],[SourceTable]] &amp; "[" &amp; TEXT(Totals[[#This Row],[Date]],"m/d/yy") &amp; "]"))</f>
        <v>0</v>
      </c>
      <c r="O31" s="60">
        <f ca="1">SUMIF(INDIRECT(Totals[[#This Row],[SourceTable]] &amp; "[My Category]"),O$3,INDIRECT(Totals[[#This Row],[SourceTable]] &amp; "[" &amp; TEXT(Totals[[#This Row],[Date]],"m/d/yy") &amp; "]"))</f>
        <v>0</v>
      </c>
      <c r="P31" s="60">
        <f ca="1">SUMIF(INDIRECT(Totals[[#This Row],[SourceTable]] &amp; "[My Category]"),P$3,INDIRECT(Totals[[#This Row],[SourceTable]] &amp; "[" &amp; TEXT(Totals[[#This Row],[Date]],"m/d/yy") &amp; "]"))</f>
        <v>-275.63</v>
      </c>
      <c r="Q31" s="60">
        <f ca="1">SUMIF(INDIRECT(Totals[[#This Row],[SourceTable]] &amp; "[My Category]"),Q$3,INDIRECT(Totals[[#This Row],[SourceTable]] &amp; "[" &amp; TEXT(Totals[[#This Row],[Date]],"m/d/yy") &amp; "]"))</f>
        <v>-339</v>
      </c>
      <c r="R31" s="60">
        <f ca="1">SUMIF(INDIRECT(Totals[[#This Row],[SourceTable]] &amp; "[My Category]"),R$3,INDIRECT(Totals[[#This Row],[SourceTable]] &amp; "[" &amp; TEXT(Totals[[#This Row],[Date]],"m/d/yy") &amp; "]"))</f>
        <v>-1650</v>
      </c>
      <c r="S31" s="60">
        <f ca="1">SUMIF(INDIRECT(Totals[[#This Row],[SourceTable]] &amp; "[My Category]"),S$3,INDIRECT(Totals[[#This Row],[SourceTable]] &amp; "[" &amp; TEXT(Totals[[#This Row],[Date]],"m/d/yy") &amp; "]"))</f>
        <v>-193.12033333333332</v>
      </c>
      <c r="T31" s="60">
        <f ca="1">SUMIF(INDIRECT(Totals[[#This Row],[SourceTable]] &amp; "[My Category]"),T$3,INDIRECT(Totals[[#This Row],[SourceTable]] &amp; "[" &amp; TEXT(Totals[[#This Row],[Date]],"m/d/yy") &amp; "]"))</f>
        <v>-59.215000000000003</v>
      </c>
      <c r="U31" s="60">
        <f ca="1">SUMIF(INDIRECT(Totals[[#This Row],[SourceTable]] &amp; "[My Category]"),U$3,INDIRECT(Totals[[#This Row],[SourceTable]] &amp; "[" &amp; TEXT(Totals[[#This Row],[Date]],"m/d/yy") &amp; "]"))</f>
        <v>0</v>
      </c>
      <c r="V31" s="60">
        <f ca="1">SUMIF(INDIRECT(Totals[[#This Row],[SourceTable]] &amp; "[My Category]"),V$3,INDIRECT(Totals[[#This Row],[SourceTable]] &amp; "[" &amp; TEXT(Totals[[#This Row],[Date]],"m/d/yy") &amp; "]"))</f>
        <v>0</v>
      </c>
      <c r="W31" s="60">
        <f ca="1">SUMIF(INDIRECT(Totals[[#This Row],[SourceTable]] &amp; "[My Category]"),W$3,INDIRECT(Totals[[#This Row],[SourceTable]] &amp; "[" &amp; TEXT(Totals[[#This Row],[Date]],"m/d/yy") &amp; "]"))</f>
        <v>0</v>
      </c>
      <c r="X31" s="60">
        <f ca="1">SUMIF(INDIRECT(Totals[[#This Row],[SourceTable]] &amp; "[My Category]"),X$3,INDIRECT(Totals[[#This Row],[SourceTable]] &amp; "[" &amp; TEXT(Totals[[#This Row],[Date]],"m/d/yy") &amp; "]"))</f>
        <v>0</v>
      </c>
      <c r="Y31" s="60">
        <f ca="1">SUMIF(INDIRECT(Totals[[#This Row],[SourceTable]] &amp; "[My Category]"),Y$3,INDIRECT(Totals[[#This Row],[SourceTable]] &amp; "[" &amp; TEXT(Totals[[#This Row],[Date]],"m/d/yy") &amp; "]"))</f>
        <v>0</v>
      </c>
      <c r="Z31" s="60">
        <f ca="1">SUMIF(INDIRECT(Totals[[#This Row],[SourceTable]] &amp; "[My Category]"),Z$3,INDIRECT(Totals[[#This Row],[SourceTable]] &amp; "[" &amp; TEXT(Totals[[#This Row],[Date]],"m/d/yy") &amp; "]"))</f>
        <v>0</v>
      </c>
      <c r="AA31" s="60">
        <f ca="1">SUMIF(INDIRECT(Totals[[#This Row],[SourceTable]] &amp; "[My Category]"),AA$3,INDIRECT(Totals[[#This Row],[SourceTable]] &amp; "[" &amp; TEXT(Totals[[#This Row],[Date]],"m/d/yy") &amp; "]"))</f>
        <v>0</v>
      </c>
      <c r="AB31" s="60">
        <f ca="1">SUMIF(INDIRECT(Totals[[#This Row],[SourceTable]] &amp; "[My Category]"),AB$3,INDIRECT(Totals[[#This Row],[SourceTable]] &amp; "[" &amp; TEXT(Totals[[#This Row],[Date]],"m/d/yy") &amp; "]"))</f>
        <v>0</v>
      </c>
      <c r="AC31" s="60">
        <f ca="1">SUMIF(INDIRECT(Totals[[#This Row],[SourceTable]] &amp; "[My Category]"),AC$3,INDIRECT(Totals[[#This Row],[SourceTable]] &amp; "[" &amp; TEXT(Totals[[#This Row],[Date]],"m/d/yy") &amp; "]"))</f>
        <v>0</v>
      </c>
      <c r="AD31" s="60">
        <f ca="1">SUMIF(INDIRECT(Totals[[#This Row],[SourceTable]] &amp; "[My Category]"),AD$3,INDIRECT(Totals[[#This Row],[SourceTable]] &amp; "[" &amp; TEXT(Totals[[#This Row],[Date]],"m/d/yy") &amp; "]"))</f>
        <v>-35.58794520547945</v>
      </c>
      <c r="AE31" s="60">
        <f ca="1">SUMIF(INDIRECT(Totals[[#This Row],[SourceTable]] &amp; "[My Category]"),AE$3,INDIRECT(Totals[[#This Row],[SourceTable]] &amp; "[" &amp; TEXT(Totals[[#This Row],[Date]],"m/d/yy") &amp; "]"))</f>
        <v>4077.4285714285716</v>
      </c>
      <c r="AF31" s="60">
        <f ca="1">SUMIF(INDIRECT(Totals[[#This Row],[SourceTable]] &amp; "[My Category]"),AF$3,INDIRECT(Totals[[#This Row],[SourceTable]] &amp; "[" &amp; TEXT(Totals[[#This Row],[Date]],"m/d/yy") &amp; "]"))</f>
        <v>8.59</v>
      </c>
      <c r="AG31" s="60">
        <f ca="1">SUMIF(INDIRECT(Totals[[#This Row],[SourceTable]] &amp; "[My Category]"),AG$3,INDIRECT(Totals[[#This Row],[SourceTable]] &amp; "[" &amp; TEXT(Totals[[#This Row],[Date]],"m/d/yy") &amp; "]"))</f>
        <v>0</v>
      </c>
      <c r="AH31" s="60">
        <f ca="1">SUMIF(INDIRECT(Totals[[#This Row],[SourceTable]] &amp; "[My Category]"),AH$3,INDIRECT(Totals[[#This Row],[SourceTable]] &amp; "[" &amp; TEXT(Totals[[#This Row],[Date]],"m/d/yy") &amp; "]"))</f>
        <v>0</v>
      </c>
      <c r="AI31" s="60">
        <f ca="1">SUMIF(INDIRECT(Totals[[#This Row],[SourceTable]] &amp; "[My Category]"),AI$3,INDIRECT(Totals[[#This Row],[SourceTable]] &amp; "[" &amp; TEXT(Totals[[#This Row],[Date]],"m/d/yy") &amp; "]"))</f>
        <v>0</v>
      </c>
      <c r="AJ31" s="60">
        <f ca="1">SUMIF(INDIRECT(Totals[[#This Row],[SourceTable]] &amp; "[My Category]"),AJ$3,INDIRECT(Totals[[#This Row],[SourceTable]] &amp; "[" &amp; TEXT(Totals[[#This Row],[Date]],"m/d/yy") &amp; "]"))</f>
        <v>0</v>
      </c>
      <c r="AK31" s="70">
        <f ca="1">SUM(Totals[[#This Row],[Car - Note]:[NONTRACKED]])</f>
        <v>937.2026262230919</v>
      </c>
    </row>
    <row r="32" spans="1:37" x14ac:dyDescent="0.25">
      <c r="A32" s="72">
        <f>EDATE(DATEVALUE("1/1/2018"),ROW(Totals[[#This Row],[Date]])-ROW(Totals[[#Headers],[Date]])-1)</f>
        <v>43952</v>
      </c>
      <c r="B32" s="72" t="b">
        <f ca="1">IF(TODAY()&gt;EDATE(Totals[[#This Row],[Date]],1),TRUE,FALSE)</f>
        <v>1</v>
      </c>
      <c r="C32" s="74" t="str">
        <f>"Log_" &amp; YEAR(Totals[[#This Row],[Date]])</f>
        <v>Log_2020</v>
      </c>
      <c r="D32" s="60">
        <f ca="1">SUMIF(INDIRECT(Totals[[#This Row],[SourceTable]] &amp; "[My Category]"),D$3,INDIRECT(Totals[[#This Row],[SourceTable]] &amp; "[" &amp; TEXT(Totals[[#This Row],[Date]],"m/d/yy") &amp; "]"))</f>
        <v>-298.66666666666663</v>
      </c>
      <c r="E32" s="60">
        <f ca="1">SUMIF(INDIRECT(Totals[[#This Row],[SourceTable]] &amp; "[My Category]"),E$3,INDIRECT(Totals[[#This Row],[SourceTable]] &amp; "[" &amp; TEXT(Totals[[#This Row],[Date]],"m/d/yy") &amp; "]"))</f>
        <v>-216.63066666666668</v>
      </c>
      <c r="F32" s="60">
        <f ca="1">SUMIF(INDIRECT(Totals[[#This Row],[SourceTable]] &amp; "[My Category]"),F$3,INDIRECT(Totals[[#This Row],[SourceTable]] &amp; "[" &amp; TEXT(Totals[[#This Row],[Date]],"m/d/yy") &amp; "]"))</f>
        <v>0</v>
      </c>
      <c r="G32" s="60">
        <f ca="1">SUMIF(INDIRECT(Totals[[#This Row],[SourceTable]] &amp; "[My Category]"),G$3,INDIRECT(Totals[[#This Row],[SourceTable]] &amp; "[" &amp; TEXT(Totals[[#This Row],[Date]],"m/d/yy") &amp; "]"))</f>
        <v>0</v>
      </c>
      <c r="H32" s="60">
        <f ca="1">SUMIF(INDIRECT(Totals[[#This Row],[SourceTable]] &amp; "[My Category]"),H$3,INDIRECT(Totals[[#This Row],[SourceTable]] &amp; "[" &amp; TEXT(Totals[[#This Row],[Date]],"m/d/yy") &amp; "]"))</f>
        <v>0</v>
      </c>
      <c r="I32" s="60">
        <f ca="1">SUMIF(INDIRECT(Totals[[#This Row],[SourceTable]] &amp; "[My Category]"),I$3,INDIRECT(Totals[[#This Row],[SourceTable]] &amp; "[" &amp; TEXT(Totals[[#This Row],[Date]],"m/d/yy") &amp; "]"))</f>
        <v>0</v>
      </c>
      <c r="J32" s="60">
        <f ca="1">SUMIF(INDIRECT(Totals[[#This Row],[SourceTable]] &amp; "[My Category]"),J$3,INDIRECT(Totals[[#This Row],[SourceTable]] &amp; "[" &amp; TEXT(Totals[[#This Row],[Date]],"m/d/yy") &amp; "]"))</f>
        <v>0</v>
      </c>
      <c r="K32" s="60">
        <f ca="1">SUMIF(INDIRECT(Totals[[#This Row],[SourceTable]] &amp; "[My Category]"),K$3,INDIRECT(Totals[[#This Row],[SourceTable]] &amp; "[" &amp; TEXT(Totals[[#This Row],[Date]],"m/d/yy") &amp; "]"))</f>
        <v>-10.81</v>
      </c>
      <c r="L32" s="60">
        <f ca="1">SUMIF(INDIRECT(Totals[[#This Row],[SourceTable]] &amp; "[My Category]"),L$3,INDIRECT(Totals[[#This Row],[SourceTable]] &amp; "[" &amp; TEXT(Totals[[#This Row],[Date]],"m/d/yy") &amp; "]"))</f>
        <v>0</v>
      </c>
      <c r="M32" s="60">
        <f ca="1">SUMIF(INDIRECT(Totals[[#This Row],[SourceTable]] &amp; "[My Category]"),M$3,INDIRECT(Totals[[#This Row],[SourceTable]] &amp; "[" &amp; TEXT(Totals[[#This Row],[Date]],"m/d/yy") &amp; "]"))</f>
        <v>0</v>
      </c>
      <c r="N32" s="60">
        <f ca="1">SUMIF(INDIRECT(Totals[[#This Row],[SourceTable]] &amp; "[My Category]"),N$3,INDIRECT(Totals[[#This Row],[SourceTable]] &amp; "[" &amp; TEXT(Totals[[#This Row],[Date]],"m/d/yy") &amp; "]"))</f>
        <v>0</v>
      </c>
      <c r="O32" s="60">
        <f ca="1">SUMIF(INDIRECT(Totals[[#This Row],[SourceTable]] &amp; "[My Category]"),O$3,INDIRECT(Totals[[#This Row],[SourceTable]] &amp; "[" &amp; TEXT(Totals[[#This Row],[Date]],"m/d/yy") &amp; "]"))</f>
        <v>0</v>
      </c>
      <c r="P32" s="60">
        <f ca="1">SUMIF(INDIRECT(Totals[[#This Row],[SourceTable]] &amp; "[My Category]"),P$3,INDIRECT(Totals[[#This Row],[SourceTable]] &amp; "[" &amp; TEXT(Totals[[#This Row],[Date]],"m/d/yy") &amp; "]"))</f>
        <v>-106.03</v>
      </c>
      <c r="Q32" s="60">
        <f ca="1">SUMIF(INDIRECT(Totals[[#This Row],[SourceTable]] &amp; "[My Category]"),Q$3,INDIRECT(Totals[[#This Row],[SourceTable]] &amp; "[" &amp; TEXT(Totals[[#This Row],[Date]],"m/d/yy") &amp; "]"))</f>
        <v>-119.18</v>
      </c>
      <c r="R32" s="60">
        <f ca="1">SUMIF(INDIRECT(Totals[[#This Row],[SourceTable]] &amp; "[My Category]"),R$3,INDIRECT(Totals[[#This Row],[SourceTable]] &amp; "[" &amp; TEXT(Totals[[#This Row],[Date]],"m/d/yy") &amp; "]"))</f>
        <v>-1490.3225806451612</v>
      </c>
      <c r="S32" s="60">
        <f ca="1">SUMIF(INDIRECT(Totals[[#This Row],[SourceTable]] &amp; "[My Category]"),S$3,INDIRECT(Totals[[#This Row],[SourceTable]] &amp; "[" &amp; TEXT(Totals[[#This Row],[Date]],"m/d/yy") &amp; "]"))</f>
        <v>-158.73736559139786</v>
      </c>
      <c r="T32" s="60">
        <f ca="1">SUMIF(INDIRECT(Totals[[#This Row],[SourceTable]] &amp; "[My Category]"),T$3,INDIRECT(Totals[[#This Row],[SourceTable]] &amp; "[" &amp; TEXT(Totals[[#This Row],[Date]],"m/d/yy") &amp; "]"))</f>
        <v>-70.215000000000003</v>
      </c>
      <c r="U32" s="60">
        <f ca="1">SUMIF(INDIRECT(Totals[[#This Row],[SourceTable]] &amp; "[My Category]"),U$3,INDIRECT(Totals[[#This Row],[SourceTable]] &amp; "[" &amp; TEXT(Totals[[#This Row],[Date]],"m/d/yy") &amp; "]"))</f>
        <v>0</v>
      </c>
      <c r="V32" s="60">
        <f ca="1">SUMIF(INDIRECT(Totals[[#This Row],[SourceTable]] &amp; "[My Category]"),V$3,INDIRECT(Totals[[#This Row],[SourceTable]] &amp; "[" &amp; TEXT(Totals[[#This Row],[Date]],"m/d/yy") &amp; "]"))</f>
        <v>0</v>
      </c>
      <c r="W32" s="60">
        <f ca="1">SUMIF(INDIRECT(Totals[[#This Row],[SourceTable]] &amp; "[My Category]"),W$3,INDIRECT(Totals[[#This Row],[SourceTable]] &amp; "[" &amp; TEXT(Totals[[#This Row],[Date]],"m/d/yy") &amp; "]"))</f>
        <v>0</v>
      </c>
      <c r="X32" s="60">
        <f ca="1">SUMIF(INDIRECT(Totals[[#This Row],[SourceTable]] &amp; "[My Category]"),X$3,INDIRECT(Totals[[#This Row],[SourceTable]] &amp; "[" &amp; TEXT(Totals[[#This Row],[Date]],"m/d/yy") &amp; "]"))</f>
        <v>0</v>
      </c>
      <c r="Y32" s="60">
        <f ca="1">SUMIF(INDIRECT(Totals[[#This Row],[SourceTable]] &amp; "[My Category]"),Y$3,INDIRECT(Totals[[#This Row],[SourceTable]] &amp; "[" &amp; TEXT(Totals[[#This Row],[Date]],"m/d/yy") &amp; "]"))</f>
        <v>0</v>
      </c>
      <c r="Z32" s="60">
        <f ca="1">SUMIF(INDIRECT(Totals[[#This Row],[SourceTable]] &amp; "[My Category]"),Z$3,INDIRECT(Totals[[#This Row],[SourceTable]] &amp; "[" &amp; TEXT(Totals[[#This Row],[Date]],"m/d/yy") &amp; "]"))</f>
        <v>0</v>
      </c>
      <c r="AA32" s="60">
        <f ca="1">SUMIF(INDIRECT(Totals[[#This Row],[SourceTable]] &amp; "[My Category]"),AA$3,INDIRECT(Totals[[#This Row],[SourceTable]] &amp; "[" &amp; TEXT(Totals[[#This Row],[Date]],"m/d/yy") &amp; "]"))</f>
        <v>0</v>
      </c>
      <c r="AB32" s="60">
        <f ca="1">SUMIF(INDIRECT(Totals[[#This Row],[SourceTable]] &amp; "[My Category]"),AB$3,INDIRECT(Totals[[#This Row],[SourceTable]] &amp; "[" &amp; TEXT(Totals[[#This Row],[Date]],"m/d/yy") &amp; "]"))</f>
        <v>0</v>
      </c>
      <c r="AC32" s="60">
        <f ca="1">SUMIF(INDIRECT(Totals[[#This Row],[SourceTable]] &amp; "[My Category]"),AC$3,INDIRECT(Totals[[#This Row],[SourceTable]] &amp; "[" &amp; TEXT(Totals[[#This Row],[Date]],"m/d/yy") &amp; "]"))</f>
        <v>0</v>
      </c>
      <c r="AD32" s="60">
        <f ca="1">SUMIF(INDIRECT(Totals[[#This Row],[SourceTable]] &amp; "[My Category]"),AD$3,INDIRECT(Totals[[#This Row],[SourceTable]] &amp; "[" &amp; TEXT(Totals[[#This Row],[Date]],"m/d/yy") &amp; "]"))</f>
        <v>-10.94087671232877</v>
      </c>
      <c r="AE32" s="60">
        <f ca="1">SUMIF(INDIRECT(Totals[[#This Row],[SourceTable]] &amp; "[My Category]"),AE$3,INDIRECT(Totals[[#This Row],[SourceTable]] &amp; "[" &amp; TEXT(Totals[[#This Row],[Date]],"m/d/yy") &amp; "]"))</f>
        <v>4213.3428571428576</v>
      </c>
      <c r="AF32" s="60">
        <f ca="1">SUMIF(INDIRECT(Totals[[#This Row],[SourceTable]] &amp; "[My Category]"),AF$3,INDIRECT(Totals[[#This Row],[SourceTable]] &amp; "[" &amp; TEXT(Totals[[#This Row],[Date]],"m/d/yy") &amp; "]"))</f>
        <v>8.4700000000000006</v>
      </c>
      <c r="AG32" s="60">
        <f ca="1">SUMIF(INDIRECT(Totals[[#This Row],[SourceTable]] &amp; "[My Category]"),AG$3,INDIRECT(Totals[[#This Row],[SourceTable]] &amp; "[" &amp; TEXT(Totals[[#This Row],[Date]],"m/d/yy") &amp; "]"))</f>
        <v>0</v>
      </c>
      <c r="AH32" s="60">
        <f ca="1">SUMIF(INDIRECT(Totals[[#This Row],[SourceTable]] &amp; "[My Category]"),AH$3,INDIRECT(Totals[[#This Row],[SourceTable]] &amp; "[" &amp; TEXT(Totals[[#This Row],[Date]],"m/d/yy") &amp; "]"))</f>
        <v>0</v>
      </c>
      <c r="AI32" s="60">
        <f ca="1">SUMIF(INDIRECT(Totals[[#This Row],[SourceTable]] &amp; "[My Category]"),AI$3,INDIRECT(Totals[[#This Row],[SourceTable]] &amp; "[" &amp; TEXT(Totals[[#This Row],[Date]],"m/d/yy") &amp; "]"))</f>
        <v>0</v>
      </c>
      <c r="AJ32" s="60">
        <f ca="1">SUMIF(INDIRECT(Totals[[#This Row],[SourceTable]] &amp; "[My Category]"),AJ$3,INDIRECT(Totals[[#This Row],[SourceTable]] &amp; "[" &amp; TEXT(Totals[[#This Row],[Date]],"m/d/yy") &amp; "]"))</f>
        <v>0</v>
      </c>
      <c r="AK32" s="70">
        <f ca="1">SUM(Totals[[#This Row],[Car - Note]:[NONTRACKED]])</f>
        <v>1740.2797008606365</v>
      </c>
    </row>
    <row r="33" spans="1:37" x14ac:dyDescent="0.25">
      <c r="A33" s="72">
        <f>EDATE(DATEVALUE("1/1/2018"),ROW(Totals[[#This Row],[Date]])-ROW(Totals[[#Headers],[Date]])-1)</f>
        <v>43983</v>
      </c>
      <c r="B33" s="72" t="b">
        <f ca="1">IF(TODAY()&gt;EDATE(Totals[[#This Row],[Date]],1),TRUE,FALSE)</f>
        <v>1</v>
      </c>
      <c r="C33" s="74" t="str">
        <f>"Log_" &amp; YEAR(Totals[[#This Row],[Date]])</f>
        <v>Log_2020</v>
      </c>
      <c r="D33" s="60">
        <f ca="1">SUMIF(INDIRECT(Totals[[#This Row],[SourceTable]] &amp; "[My Category]"),D$3,INDIRECT(Totals[[#This Row],[SourceTable]] &amp; "[" &amp; TEXT(Totals[[#This Row],[Date]],"m/d/yy") &amp; "]"))</f>
        <v>-21.333333333333371</v>
      </c>
      <c r="E33" s="60">
        <f ca="1">SUMIF(INDIRECT(Totals[[#This Row],[SourceTable]] &amp; "[My Category]"),E$3,INDIRECT(Totals[[#This Row],[SourceTable]] &amp; "[" &amp; TEXT(Totals[[#This Row],[Date]],"m/d/yy") &amp; "]"))</f>
        <v>-57.873333333333335</v>
      </c>
      <c r="F33" s="60">
        <f ca="1">SUMIF(INDIRECT(Totals[[#This Row],[SourceTable]] &amp; "[My Category]"),F$3,INDIRECT(Totals[[#This Row],[SourceTable]] &amp; "[" &amp; TEXT(Totals[[#This Row],[Date]],"m/d/yy") &amp; "]"))</f>
        <v>0</v>
      </c>
      <c r="G33" s="60">
        <f ca="1">SUMIF(INDIRECT(Totals[[#This Row],[SourceTable]] &amp; "[My Category]"),G$3,INDIRECT(Totals[[#This Row],[SourceTable]] &amp; "[" &amp; TEXT(Totals[[#This Row],[Date]],"m/d/yy") &amp; "]"))</f>
        <v>0</v>
      </c>
      <c r="H33" s="60">
        <f ca="1">SUMIF(INDIRECT(Totals[[#This Row],[SourceTable]] &amp; "[My Category]"),H$3,INDIRECT(Totals[[#This Row],[SourceTable]] &amp; "[" &amp; TEXT(Totals[[#This Row],[Date]],"m/d/yy") &amp; "]"))</f>
        <v>0</v>
      </c>
      <c r="I33" s="60">
        <f ca="1">SUMIF(INDIRECT(Totals[[#This Row],[SourceTable]] &amp; "[My Category]"),I$3,INDIRECT(Totals[[#This Row],[SourceTable]] &amp; "[" &amp; TEXT(Totals[[#This Row],[Date]],"m/d/yy") &amp; "]"))</f>
        <v>0</v>
      </c>
      <c r="J33" s="60">
        <f ca="1">SUMIF(INDIRECT(Totals[[#This Row],[SourceTable]] &amp; "[My Category]"),J$3,INDIRECT(Totals[[#This Row],[SourceTable]] &amp; "[" &amp; TEXT(Totals[[#This Row],[Date]],"m/d/yy") &amp; "]"))</f>
        <v>0</v>
      </c>
      <c r="K33" s="60">
        <f ca="1">SUMIF(INDIRECT(Totals[[#This Row],[SourceTable]] &amp; "[My Category]"),K$3,INDIRECT(Totals[[#This Row],[SourceTable]] &amp; "[" &amp; TEXT(Totals[[#This Row],[Date]],"m/d/yy") &amp; "]"))</f>
        <v>-3.2430000000000003</v>
      </c>
      <c r="L33" s="60">
        <f ca="1">SUMIF(INDIRECT(Totals[[#This Row],[SourceTable]] &amp; "[My Category]"),L$3,INDIRECT(Totals[[#This Row],[SourceTable]] &amp; "[" &amp; TEXT(Totals[[#This Row],[Date]],"m/d/yy") &amp; "]"))</f>
        <v>0</v>
      </c>
      <c r="M33" s="60">
        <f ca="1">SUMIF(INDIRECT(Totals[[#This Row],[SourceTable]] &amp; "[My Category]"),M$3,INDIRECT(Totals[[#This Row],[SourceTable]] &amp; "[" &amp; TEXT(Totals[[#This Row],[Date]],"m/d/yy") &amp; "]"))</f>
        <v>0</v>
      </c>
      <c r="N33" s="60">
        <f ca="1">SUMIF(INDIRECT(Totals[[#This Row],[SourceTable]] &amp; "[My Category]"),N$3,INDIRECT(Totals[[#This Row],[SourceTable]] &amp; "[" &amp; TEXT(Totals[[#This Row],[Date]],"m/d/yy") &amp; "]"))</f>
        <v>0</v>
      </c>
      <c r="O33" s="60">
        <f ca="1">SUMIF(INDIRECT(Totals[[#This Row],[SourceTable]] &amp; "[My Category]"),O$3,INDIRECT(Totals[[#This Row],[SourceTable]] &amp; "[" &amp; TEXT(Totals[[#This Row],[Date]],"m/d/yy") &amp; "]"))</f>
        <v>0</v>
      </c>
      <c r="P33" s="60">
        <f ca="1">SUMIF(INDIRECT(Totals[[#This Row],[SourceTable]] &amp; "[My Category]"),P$3,INDIRECT(Totals[[#This Row],[SourceTable]] &amp; "[" &amp; TEXT(Totals[[#This Row],[Date]],"m/d/yy") &amp; "]"))</f>
        <v>0</v>
      </c>
      <c r="Q33" s="60">
        <f ca="1">SUMIF(INDIRECT(Totals[[#This Row],[SourceTable]] &amp; "[My Category]"),Q$3,INDIRECT(Totals[[#This Row],[SourceTable]] &amp; "[" &amp; TEXT(Totals[[#This Row],[Date]],"m/d/yy") &amp; "]"))</f>
        <v>0</v>
      </c>
      <c r="R33" s="60">
        <f ca="1">SUMIF(INDIRECT(Totals[[#This Row],[SourceTable]] &amp; "[My Category]"),R$3,INDIRECT(Totals[[#This Row],[SourceTable]] &amp; "[" &amp; TEXT(Totals[[#This Row],[Date]],"m/d/yy") &amp; "]"))</f>
        <v>-159.67741935483878</v>
      </c>
      <c r="S33" s="60">
        <f ca="1">SUMIF(INDIRECT(Totals[[#This Row],[SourceTable]] &amp; "[My Category]"),S$3,INDIRECT(Totals[[#This Row],[SourceTable]] &amp; "[" &amp; TEXT(Totals[[#This Row],[Date]],"m/d/yy") &amp; "]"))</f>
        <v>-39.129634408602158</v>
      </c>
      <c r="T33" s="60">
        <f ca="1">SUMIF(INDIRECT(Totals[[#This Row],[SourceTable]] &amp; "[My Category]"),T$3,INDIRECT(Totals[[#This Row],[SourceTable]] &amp; "[" &amp; TEXT(Totals[[#This Row],[Date]],"m/d/yy") &amp; "]"))</f>
        <v>-45.3</v>
      </c>
      <c r="U33" s="60">
        <f ca="1">SUMIF(INDIRECT(Totals[[#This Row],[SourceTable]] &amp; "[My Category]"),U$3,INDIRECT(Totals[[#This Row],[SourceTable]] &amp; "[" &amp; TEXT(Totals[[#This Row],[Date]],"m/d/yy") &amp; "]"))</f>
        <v>0</v>
      </c>
      <c r="V33" s="60">
        <f ca="1">SUMIF(INDIRECT(Totals[[#This Row],[SourceTable]] &amp; "[My Category]"),V$3,INDIRECT(Totals[[#This Row],[SourceTable]] &amp; "[" &amp; TEXT(Totals[[#This Row],[Date]],"m/d/yy") &amp; "]"))</f>
        <v>0</v>
      </c>
      <c r="W33" s="60">
        <f ca="1">SUMIF(INDIRECT(Totals[[#This Row],[SourceTable]] &amp; "[My Category]"),W$3,INDIRECT(Totals[[#This Row],[SourceTable]] &amp; "[" &amp; TEXT(Totals[[#This Row],[Date]],"m/d/yy") &amp; "]"))</f>
        <v>0</v>
      </c>
      <c r="X33" s="60">
        <f ca="1">SUMIF(INDIRECT(Totals[[#This Row],[SourceTable]] &amp; "[My Category]"),X$3,INDIRECT(Totals[[#This Row],[SourceTable]] &amp; "[" &amp; TEXT(Totals[[#This Row],[Date]],"m/d/yy") &amp; "]"))</f>
        <v>0</v>
      </c>
      <c r="Y33" s="60">
        <f ca="1">SUMIF(INDIRECT(Totals[[#This Row],[SourceTable]] &amp; "[My Category]"),Y$3,INDIRECT(Totals[[#This Row],[SourceTable]] &amp; "[" &amp; TEXT(Totals[[#This Row],[Date]],"m/d/yy") &amp; "]"))</f>
        <v>0</v>
      </c>
      <c r="Z33" s="60">
        <f ca="1">SUMIF(INDIRECT(Totals[[#This Row],[SourceTable]] &amp; "[My Category]"),Z$3,INDIRECT(Totals[[#This Row],[SourceTable]] &amp; "[" &amp; TEXT(Totals[[#This Row],[Date]],"m/d/yy") &amp; "]"))</f>
        <v>0</v>
      </c>
      <c r="AA33" s="60">
        <f ca="1">SUMIF(INDIRECT(Totals[[#This Row],[SourceTable]] &amp; "[My Category]"),AA$3,INDIRECT(Totals[[#This Row],[SourceTable]] &amp; "[" &amp; TEXT(Totals[[#This Row],[Date]],"m/d/yy") &amp; "]"))</f>
        <v>0</v>
      </c>
      <c r="AB33" s="60">
        <f ca="1">SUMIF(INDIRECT(Totals[[#This Row],[SourceTable]] &amp; "[My Category]"),AB$3,INDIRECT(Totals[[#This Row],[SourceTable]] &amp; "[" &amp; TEXT(Totals[[#This Row],[Date]],"m/d/yy") &amp; "]"))</f>
        <v>0</v>
      </c>
      <c r="AC33" s="60">
        <f ca="1">SUMIF(INDIRECT(Totals[[#This Row],[SourceTable]] &amp; "[My Category]"),AC$3,INDIRECT(Totals[[#This Row],[SourceTable]] &amp; "[" &amp; TEXT(Totals[[#This Row],[Date]],"m/d/yy") &amp; "]"))</f>
        <v>0</v>
      </c>
      <c r="AD33" s="60">
        <f ca="1">SUMIF(INDIRECT(Totals[[#This Row],[SourceTable]] &amp; "[My Category]"),AD$3,INDIRECT(Totals[[#This Row],[SourceTable]] &amp; "[" &amp; TEXT(Totals[[#This Row],[Date]],"m/d/yy") &amp; "]"))</f>
        <v>-10.58794520547945</v>
      </c>
      <c r="AE33" s="60">
        <f ca="1">SUMIF(INDIRECT(Totals[[#This Row],[SourceTable]] &amp; "[My Category]"),AE$3,INDIRECT(Totals[[#This Row],[SourceTable]] &amp; "[" &amp; TEXT(Totals[[#This Row],[Date]],"m/d/yy") &amp; "]"))</f>
        <v>407.74285714285702</v>
      </c>
      <c r="AF33" s="60">
        <f ca="1">SUMIF(INDIRECT(Totals[[#This Row],[SourceTable]] &amp; "[My Category]"),AF$3,INDIRECT(Totals[[#This Row],[SourceTable]] &amp; "[" &amp; TEXT(Totals[[#This Row],[Date]],"m/d/yy") &amp; "]"))</f>
        <v>0</v>
      </c>
      <c r="AG33" s="60">
        <f ca="1">SUMIF(INDIRECT(Totals[[#This Row],[SourceTable]] &amp; "[My Category]"),AG$3,INDIRECT(Totals[[#This Row],[SourceTable]] &amp; "[" &amp; TEXT(Totals[[#This Row],[Date]],"m/d/yy") &amp; "]"))</f>
        <v>0</v>
      </c>
      <c r="AH33" s="60">
        <f ca="1">SUMIF(INDIRECT(Totals[[#This Row],[SourceTable]] &amp; "[My Category]"),AH$3,INDIRECT(Totals[[#This Row],[SourceTable]] &amp; "[" &amp; TEXT(Totals[[#This Row],[Date]],"m/d/yy") &amp; "]"))</f>
        <v>0</v>
      </c>
      <c r="AI33" s="60">
        <f ca="1">SUMIF(INDIRECT(Totals[[#This Row],[SourceTable]] &amp; "[My Category]"),AI$3,INDIRECT(Totals[[#This Row],[SourceTable]] &amp; "[" &amp; TEXT(Totals[[#This Row],[Date]],"m/d/yy") &amp; "]"))</f>
        <v>0</v>
      </c>
      <c r="AJ33" s="60">
        <f ca="1">SUMIF(INDIRECT(Totals[[#This Row],[SourceTable]] &amp; "[My Category]"),AJ$3,INDIRECT(Totals[[#This Row],[SourceTable]] &amp; "[" &amp; TEXT(Totals[[#This Row],[Date]],"m/d/yy") &amp; "]"))</f>
        <v>0</v>
      </c>
      <c r="AK33" s="70">
        <f ca="1">SUM(Totals[[#This Row],[Car - Note]:[NONTRACKED]])</f>
        <v>70.598191507269917</v>
      </c>
    </row>
    <row r="34" spans="1:37" x14ac:dyDescent="0.25">
      <c r="A34" s="72">
        <f>EDATE(DATEVALUE("1/1/2018"),ROW(Totals[[#This Row],[Date]])-ROW(Totals[[#Headers],[Date]])-1)</f>
        <v>44013</v>
      </c>
      <c r="B34" s="72" t="b">
        <f ca="1">IF(TODAY()&gt;EDATE(Totals[[#This Row],[Date]],1),TRUE,FALSE)</f>
        <v>0</v>
      </c>
      <c r="C34" s="74" t="str">
        <f>"Log_" &amp; YEAR(Totals[[#This Row],[Date]])</f>
        <v>Log_2020</v>
      </c>
      <c r="D34" s="60">
        <f ca="1">SUMIF(INDIRECT(Totals[[#This Row],[SourceTable]] &amp; "[My Category]"),D$3,INDIRECT(Totals[[#This Row],[SourceTable]] &amp; "[" &amp; TEXT(Totals[[#This Row],[Date]],"m/d/yy") &amp; "]"))</f>
        <v>0</v>
      </c>
      <c r="E34" s="60">
        <f ca="1">SUMIF(INDIRECT(Totals[[#This Row],[SourceTable]] &amp; "[My Category]"),E$3,INDIRECT(Totals[[#This Row],[SourceTable]] &amp; "[" &amp; TEXT(Totals[[#This Row],[Date]],"m/d/yy") &amp; "]"))</f>
        <v>0</v>
      </c>
      <c r="F34" s="60">
        <f ca="1">SUMIF(INDIRECT(Totals[[#This Row],[SourceTable]] &amp; "[My Category]"),F$3,INDIRECT(Totals[[#This Row],[SourceTable]] &amp; "[" &amp; TEXT(Totals[[#This Row],[Date]],"m/d/yy") &amp; "]"))</f>
        <v>0</v>
      </c>
      <c r="G34" s="60">
        <f ca="1">SUMIF(INDIRECT(Totals[[#This Row],[SourceTable]] &amp; "[My Category]"),G$3,INDIRECT(Totals[[#This Row],[SourceTable]] &amp; "[" &amp; TEXT(Totals[[#This Row],[Date]],"m/d/yy") &amp; "]"))</f>
        <v>0</v>
      </c>
      <c r="H34" s="60">
        <f ca="1">SUMIF(INDIRECT(Totals[[#This Row],[SourceTable]] &amp; "[My Category]"),H$3,INDIRECT(Totals[[#This Row],[SourceTable]] &amp; "[" &amp; TEXT(Totals[[#This Row],[Date]],"m/d/yy") &amp; "]"))</f>
        <v>0</v>
      </c>
      <c r="I34" s="60">
        <f ca="1">SUMIF(INDIRECT(Totals[[#This Row],[SourceTable]] &amp; "[My Category]"),I$3,INDIRECT(Totals[[#This Row],[SourceTable]] &amp; "[" &amp; TEXT(Totals[[#This Row],[Date]],"m/d/yy") &amp; "]"))</f>
        <v>0</v>
      </c>
      <c r="J34" s="60">
        <f ca="1">SUMIF(INDIRECT(Totals[[#This Row],[SourceTable]] &amp; "[My Category]"),J$3,INDIRECT(Totals[[#This Row],[SourceTable]] &amp; "[" &amp; TEXT(Totals[[#This Row],[Date]],"m/d/yy") &amp; "]"))</f>
        <v>0</v>
      </c>
      <c r="K34" s="60">
        <f ca="1">SUMIF(INDIRECT(Totals[[#This Row],[SourceTable]] &amp; "[My Category]"),K$3,INDIRECT(Totals[[#This Row],[SourceTable]] &amp; "[" &amp; TEXT(Totals[[#This Row],[Date]],"m/d/yy") &amp; "]"))</f>
        <v>0</v>
      </c>
      <c r="L34" s="60">
        <f ca="1">SUMIF(INDIRECT(Totals[[#This Row],[SourceTable]] &amp; "[My Category]"),L$3,INDIRECT(Totals[[#This Row],[SourceTable]] &amp; "[" &amp; TEXT(Totals[[#This Row],[Date]],"m/d/yy") &amp; "]"))</f>
        <v>0</v>
      </c>
      <c r="M34" s="60">
        <f ca="1">SUMIF(INDIRECT(Totals[[#This Row],[SourceTable]] &amp; "[My Category]"),M$3,INDIRECT(Totals[[#This Row],[SourceTable]] &amp; "[" &amp; TEXT(Totals[[#This Row],[Date]],"m/d/yy") &amp; "]"))</f>
        <v>0</v>
      </c>
      <c r="N34" s="60">
        <f ca="1">SUMIF(INDIRECT(Totals[[#This Row],[SourceTable]] &amp; "[My Category]"),N$3,INDIRECT(Totals[[#This Row],[SourceTable]] &amp; "[" &amp; TEXT(Totals[[#This Row],[Date]],"m/d/yy") &amp; "]"))</f>
        <v>0</v>
      </c>
      <c r="O34" s="60">
        <f ca="1">SUMIF(INDIRECT(Totals[[#This Row],[SourceTable]] &amp; "[My Category]"),O$3,INDIRECT(Totals[[#This Row],[SourceTable]] &amp; "[" &amp; TEXT(Totals[[#This Row],[Date]],"m/d/yy") &amp; "]"))</f>
        <v>0</v>
      </c>
      <c r="P34" s="60">
        <f ca="1">SUMIF(INDIRECT(Totals[[#This Row],[SourceTable]] &amp; "[My Category]"),P$3,INDIRECT(Totals[[#This Row],[SourceTable]] &amp; "[" &amp; TEXT(Totals[[#This Row],[Date]],"m/d/yy") &amp; "]"))</f>
        <v>0</v>
      </c>
      <c r="Q34" s="60">
        <f ca="1">SUMIF(INDIRECT(Totals[[#This Row],[SourceTable]] &amp; "[My Category]"),Q$3,INDIRECT(Totals[[#This Row],[SourceTable]] &amp; "[" &amp; TEXT(Totals[[#This Row],[Date]],"m/d/yy") &amp; "]"))</f>
        <v>0</v>
      </c>
      <c r="R34" s="60">
        <f ca="1">SUMIF(INDIRECT(Totals[[#This Row],[SourceTable]] &amp; "[My Category]"),R$3,INDIRECT(Totals[[#This Row],[SourceTable]] &amp; "[" &amp; TEXT(Totals[[#This Row],[Date]],"m/d/yy") &amp; "]"))</f>
        <v>0</v>
      </c>
      <c r="S34" s="60">
        <f ca="1">SUMIF(INDIRECT(Totals[[#This Row],[SourceTable]] &amp; "[My Category]"),S$3,INDIRECT(Totals[[#This Row],[SourceTable]] &amp; "[" &amp; TEXT(Totals[[#This Row],[Date]],"m/d/yy") &amp; "]"))</f>
        <v>0</v>
      </c>
      <c r="T34" s="60">
        <f ca="1">SUMIF(INDIRECT(Totals[[#This Row],[SourceTable]] &amp; "[My Category]"),T$3,INDIRECT(Totals[[#This Row],[SourceTable]] &amp; "[" &amp; TEXT(Totals[[#This Row],[Date]],"m/d/yy") &amp; "]"))</f>
        <v>0</v>
      </c>
      <c r="U34" s="60">
        <f ca="1">SUMIF(INDIRECT(Totals[[#This Row],[SourceTable]] &amp; "[My Category]"),U$3,INDIRECT(Totals[[#This Row],[SourceTable]] &amp; "[" &amp; TEXT(Totals[[#This Row],[Date]],"m/d/yy") &amp; "]"))</f>
        <v>0</v>
      </c>
      <c r="V34" s="60">
        <f ca="1">SUMIF(INDIRECT(Totals[[#This Row],[SourceTable]] &amp; "[My Category]"),V$3,INDIRECT(Totals[[#This Row],[SourceTable]] &amp; "[" &amp; TEXT(Totals[[#This Row],[Date]],"m/d/yy") &amp; "]"))</f>
        <v>0</v>
      </c>
      <c r="W34" s="60">
        <f ca="1">SUMIF(INDIRECT(Totals[[#This Row],[SourceTable]] &amp; "[My Category]"),W$3,INDIRECT(Totals[[#This Row],[SourceTable]] &amp; "[" &amp; TEXT(Totals[[#This Row],[Date]],"m/d/yy") &amp; "]"))</f>
        <v>0</v>
      </c>
      <c r="X34" s="60">
        <f ca="1">SUMIF(INDIRECT(Totals[[#This Row],[SourceTable]] &amp; "[My Category]"),X$3,INDIRECT(Totals[[#This Row],[SourceTable]] &amp; "[" &amp; TEXT(Totals[[#This Row],[Date]],"m/d/yy") &amp; "]"))</f>
        <v>0</v>
      </c>
      <c r="Y34" s="60">
        <f ca="1">SUMIF(INDIRECT(Totals[[#This Row],[SourceTable]] &amp; "[My Category]"),Y$3,INDIRECT(Totals[[#This Row],[SourceTable]] &amp; "[" &amp; TEXT(Totals[[#This Row],[Date]],"m/d/yy") &amp; "]"))</f>
        <v>0</v>
      </c>
      <c r="Z34" s="60">
        <f ca="1">SUMIF(INDIRECT(Totals[[#This Row],[SourceTable]] &amp; "[My Category]"),Z$3,INDIRECT(Totals[[#This Row],[SourceTable]] &amp; "[" &amp; TEXT(Totals[[#This Row],[Date]],"m/d/yy") &amp; "]"))</f>
        <v>0</v>
      </c>
      <c r="AA34" s="60">
        <f ca="1">SUMIF(INDIRECT(Totals[[#This Row],[SourceTable]] &amp; "[My Category]"),AA$3,INDIRECT(Totals[[#This Row],[SourceTable]] &amp; "[" &amp; TEXT(Totals[[#This Row],[Date]],"m/d/yy") &amp; "]"))</f>
        <v>0</v>
      </c>
      <c r="AB34" s="60">
        <f ca="1">SUMIF(INDIRECT(Totals[[#This Row],[SourceTable]] &amp; "[My Category]"),AB$3,INDIRECT(Totals[[#This Row],[SourceTable]] &amp; "[" &amp; TEXT(Totals[[#This Row],[Date]],"m/d/yy") &amp; "]"))</f>
        <v>0</v>
      </c>
      <c r="AC34" s="60">
        <f ca="1">SUMIF(INDIRECT(Totals[[#This Row],[SourceTable]] &amp; "[My Category]"),AC$3,INDIRECT(Totals[[#This Row],[SourceTable]] &amp; "[" &amp; TEXT(Totals[[#This Row],[Date]],"m/d/yy") &amp; "]"))</f>
        <v>0</v>
      </c>
      <c r="AD34" s="60">
        <f ca="1">SUMIF(INDIRECT(Totals[[#This Row],[SourceTable]] &amp; "[My Category]"),AD$3,INDIRECT(Totals[[#This Row],[SourceTable]] &amp; "[" &amp; TEXT(Totals[[#This Row],[Date]],"m/d/yy") &amp; "]"))</f>
        <v>-9.1762191780821922</v>
      </c>
      <c r="AE34" s="60">
        <f ca="1">SUMIF(INDIRECT(Totals[[#This Row],[SourceTable]] &amp; "[My Category]"),AE$3,INDIRECT(Totals[[#This Row],[SourceTable]] &amp; "[" &amp; TEXT(Totals[[#This Row],[Date]],"m/d/yy") &amp; "]"))</f>
        <v>0</v>
      </c>
      <c r="AF34" s="60">
        <f ca="1">SUMIF(INDIRECT(Totals[[#This Row],[SourceTable]] &amp; "[My Category]"),AF$3,INDIRECT(Totals[[#This Row],[SourceTable]] &amp; "[" &amp; TEXT(Totals[[#This Row],[Date]],"m/d/yy") &amp; "]"))</f>
        <v>0</v>
      </c>
      <c r="AG34" s="60">
        <f ca="1">SUMIF(INDIRECT(Totals[[#This Row],[SourceTable]] &amp; "[My Category]"),AG$3,INDIRECT(Totals[[#This Row],[SourceTable]] &amp; "[" &amp; TEXT(Totals[[#This Row],[Date]],"m/d/yy") &amp; "]"))</f>
        <v>0</v>
      </c>
      <c r="AH34" s="60">
        <f ca="1">SUMIF(INDIRECT(Totals[[#This Row],[SourceTable]] &amp; "[My Category]"),AH$3,INDIRECT(Totals[[#This Row],[SourceTable]] &amp; "[" &amp; TEXT(Totals[[#This Row],[Date]],"m/d/yy") &amp; "]"))</f>
        <v>0</v>
      </c>
      <c r="AI34" s="60">
        <f ca="1">SUMIF(INDIRECT(Totals[[#This Row],[SourceTable]] &amp; "[My Category]"),AI$3,INDIRECT(Totals[[#This Row],[SourceTable]] &amp; "[" &amp; TEXT(Totals[[#This Row],[Date]],"m/d/yy") &amp; "]"))</f>
        <v>0</v>
      </c>
      <c r="AJ34" s="60">
        <f ca="1">SUMIF(INDIRECT(Totals[[#This Row],[SourceTable]] &amp; "[My Category]"),AJ$3,INDIRECT(Totals[[#This Row],[SourceTable]] &amp; "[" &amp; TEXT(Totals[[#This Row],[Date]],"m/d/yy") &amp; "]"))</f>
        <v>0</v>
      </c>
      <c r="AK34" s="70">
        <f ca="1">SUM(Totals[[#This Row],[Car - Note]:[NONTRACKED]])</f>
        <v>-9.1762191780821922</v>
      </c>
    </row>
    <row r="35" spans="1:37" x14ac:dyDescent="0.25">
      <c r="A35" s="72">
        <f>EDATE(DATEVALUE("1/1/2018"),ROW(Totals[[#This Row],[Date]])-ROW(Totals[[#Headers],[Date]])-1)</f>
        <v>44044</v>
      </c>
      <c r="B35" s="72" t="b">
        <f ca="1">IF(TODAY()&gt;EDATE(Totals[[#This Row],[Date]],1),TRUE,FALSE)</f>
        <v>0</v>
      </c>
      <c r="C35" s="74" t="str">
        <f>"Log_" &amp; YEAR(Totals[[#This Row],[Date]])</f>
        <v>Log_2020</v>
      </c>
      <c r="D35" s="60">
        <f ca="1">SUMIF(INDIRECT(Totals[[#This Row],[SourceTable]] &amp; "[My Category]"),D$3,INDIRECT(Totals[[#This Row],[SourceTable]] &amp; "[" &amp; TEXT(Totals[[#This Row],[Date]],"m/d/yy") &amp; "]"))</f>
        <v>0</v>
      </c>
      <c r="E35" s="60">
        <f ca="1">SUMIF(INDIRECT(Totals[[#This Row],[SourceTable]] &amp; "[My Category]"),E$3,INDIRECT(Totals[[#This Row],[SourceTable]] &amp; "[" &amp; TEXT(Totals[[#This Row],[Date]],"m/d/yy") &amp; "]"))</f>
        <v>0</v>
      </c>
      <c r="F35" s="60">
        <f ca="1">SUMIF(INDIRECT(Totals[[#This Row],[SourceTable]] &amp; "[My Category]"),F$3,INDIRECT(Totals[[#This Row],[SourceTable]] &amp; "[" &amp; TEXT(Totals[[#This Row],[Date]],"m/d/yy") &amp; "]"))</f>
        <v>0</v>
      </c>
      <c r="G35" s="60">
        <f ca="1">SUMIF(INDIRECT(Totals[[#This Row],[SourceTable]] &amp; "[My Category]"),G$3,INDIRECT(Totals[[#This Row],[SourceTable]] &amp; "[" &amp; TEXT(Totals[[#This Row],[Date]],"m/d/yy") &amp; "]"))</f>
        <v>0</v>
      </c>
      <c r="H35" s="60">
        <f ca="1">SUMIF(INDIRECT(Totals[[#This Row],[SourceTable]] &amp; "[My Category]"),H$3,INDIRECT(Totals[[#This Row],[SourceTable]] &amp; "[" &amp; TEXT(Totals[[#This Row],[Date]],"m/d/yy") &amp; "]"))</f>
        <v>0</v>
      </c>
      <c r="I35" s="60">
        <f ca="1">SUMIF(INDIRECT(Totals[[#This Row],[SourceTable]] &amp; "[My Category]"),I$3,INDIRECT(Totals[[#This Row],[SourceTable]] &amp; "[" &amp; TEXT(Totals[[#This Row],[Date]],"m/d/yy") &amp; "]"))</f>
        <v>0</v>
      </c>
      <c r="J35" s="60">
        <f ca="1">SUMIF(INDIRECT(Totals[[#This Row],[SourceTable]] &amp; "[My Category]"),J$3,INDIRECT(Totals[[#This Row],[SourceTable]] &amp; "[" &amp; TEXT(Totals[[#This Row],[Date]],"m/d/yy") &amp; "]"))</f>
        <v>0</v>
      </c>
      <c r="K35" s="60">
        <f ca="1">SUMIF(INDIRECT(Totals[[#This Row],[SourceTable]] &amp; "[My Category]"),K$3,INDIRECT(Totals[[#This Row],[SourceTable]] &amp; "[" &amp; TEXT(Totals[[#This Row],[Date]],"m/d/yy") &amp; "]"))</f>
        <v>0</v>
      </c>
      <c r="L35" s="60">
        <f ca="1">SUMIF(INDIRECT(Totals[[#This Row],[SourceTable]] &amp; "[My Category]"),L$3,INDIRECT(Totals[[#This Row],[SourceTable]] &amp; "[" &amp; TEXT(Totals[[#This Row],[Date]],"m/d/yy") &amp; "]"))</f>
        <v>0</v>
      </c>
      <c r="M35" s="60">
        <f ca="1">SUMIF(INDIRECT(Totals[[#This Row],[SourceTable]] &amp; "[My Category]"),M$3,INDIRECT(Totals[[#This Row],[SourceTable]] &amp; "[" &amp; TEXT(Totals[[#This Row],[Date]],"m/d/yy") &amp; "]"))</f>
        <v>0</v>
      </c>
      <c r="N35" s="60">
        <f ca="1">SUMIF(INDIRECT(Totals[[#This Row],[SourceTable]] &amp; "[My Category]"),N$3,INDIRECT(Totals[[#This Row],[SourceTable]] &amp; "[" &amp; TEXT(Totals[[#This Row],[Date]],"m/d/yy") &amp; "]"))</f>
        <v>0</v>
      </c>
      <c r="O35" s="60">
        <f ca="1">SUMIF(INDIRECT(Totals[[#This Row],[SourceTable]] &amp; "[My Category]"),O$3,INDIRECT(Totals[[#This Row],[SourceTable]] &amp; "[" &amp; TEXT(Totals[[#This Row],[Date]],"m/d/yy") &amp; "]"))</f>
        <v>0</v>
      </c>
      <c r="P35" s="60">
        <f ca="1">SUMIF(INDIRECT(Totals[[#This Row],[SourceTable]] &amp; "[My Category]"),P$3,INDIRECT(Totals[[#This Row],[SourceTable]] &amp; "[" &amp; TEXT(Totals[[#This Row],[Date]],"m/d/yy") &amp; "]"))</f>
        <v>0</v>
      </c>
      <c r="Q35" s="60">
        <f ca="1">SUMIF(INDIRECT(Totals[[#This Row],[SourceTable]] &amp; "[My Category]"),Q$3,INDIRECT(Totals[[#This Row],[SourceTable]] &amp; "[" &amp; TEXT(Totals[[#This Row],[Date]],"m/d/yy") &amp; "]"))</f>
        <v>0</v>
      </c>
      <c r="R35" s="60">
        <f ca="1">SUMIF(INDIRECT(Totals[[#This Row],[SourceTable]] &amp; "[My Category]"),R$3,INDIRECT(Totals[[#This Row],[SourceTable]] &amp; "[" &amp; TEXT(Totals[[#This Row],[Date]],"m/d/yy") &amp; "]"))</f>
        <v>0</v>
      </c>
      <c r="S35" s="60">
        <f ca="1">SUMIF(INDIRECT(Totals[[#This Row],[SourceTable]] &amp; "[My Category]"),S$3,INDIRECT(Totals[[#This Row],[SourceTable]] &amp; "[" &amp; TEXT(Totals[[#This Row],[Date]],"m/d/yy") &amp; "]"))</f>
        <v>0</v>
      </c>
      <c r="T35" s="60">
        <f ca="1">SUMIF(INDIRECT(Totals[[#This Row],[SourceTable]] &amp; "[My Category]"),T$3,INDIRECT(Totals[[#This Row],[SourceTable]] &amp; "[" &amp; TEXT(Totals[[#This Row],[Date]],"m/d/yy") &amp; "]"))</f>
        <v>0</v>
      </c>
      <c r="U35" s="60">
        <f ca="1">SUMIF(INDIRECT(Totals[[#This Row],[SourceTable]] &amp; "[My Category]"),U$3,INDIRECT(Totals[[#This Row],[SourceTable]] &amp; "[" &amp; TEXT(Totals[[#This Row],[Date]],"m/d/yy") &amp; "]"))</f>
        <v>0</v>
      </c>
      <c r="V35" s="60">
        <f ca="1">SUMIF(INDIRECT(Totals[[#This Row],[SourceTable]] &amp; "[My Category]"),V$3,INDIRECT(Totals[[#This Row],[SourceTable]] &amp; "[" &amp; TEXT(Totals[[#This Row],[Date]],"m/d/yy") &amp; "]"))</f>
        <v>0</v>
      </c>
      <c r="W35" s="60">
        <f ca="1">SUMIF(INDIRECT(Totals[[#This Row],[SourceTable]] &amp; "[My Category]"),W$3,INDIRECT(Totals[[#This Row],[SourceTable]] &amp; "[" &amp; TEXT(Totals[[#This Row],[Date]],"m/d/yy") &amp; "]"))</f>
        <v>0</v>
      </c>
      <c r="X35" s="60">
        <f ca="1">SUMIF(INDIRECT(Totals[[#This Row],[SourceTable]] &amp; "[My Category]"),X$3,INDIRECT(Totals[[#This Row],[SourceTable]] &amp; "[" &amp; TEXT(Totals[[#This Row],[Date]],"m/d/yy") &amp; "]"))</f>
        <v>0</v>
      </c>
      <c r="Y35" s="60">
        <f ca="1">SUMIF(INDIRECT(Totals[[#This Row],[SourceTable]] &amp; "[My Category]"),Y$3,INDIRECT(Totals[[#This Row],[SourceTable]] &amp; "[" &amp; TEXT(Totals[[#This Row],[Date]],"m/d/yy") &amp; "]"))</f>
        <v>0</v>
      </c>
      <c r="Z35" s="60">
        <f ca="1">SUMIF(INDIRECT(Totals[[#This Row],[SourceTable]] &amp; "[My Category]"),Z$3,INDIRECT(Totals[[#This Row],[SourceTable]] &amp; "[" &amp; TEXT(Totals[[#This Row],[Date]],"m/d/yy") &amp; "]"))</f>
        <v>0</v>
      </c>
      <c r="AA35" s="60">
        <f ca="1">SUMIF(INDIRECT(Totals[[#This Row],[SourceTable]] &amp; "[My Category]"),AA$3,INDIRECT(Totals[[#This Row],[SourceTable]] &amp; "[" &amp; TEXT(Totals[[#This Row],[Date]],"m/d/yy") &amp; "]"))</f>
        <v>0</v>
      </c>
      <c r="AB35" s="60">
        <f ca="1">SUMIF(INDIRECT(Totals[[#This Row],[SourceTable]] &amp; "[My Category]"),AB$3,INDIRECT(Totals[[#This Row],[SourceTable]] &amp; "[" &amp; TEXT(Totals[[#This Row],[Date]],"m/d/yy") &amp; "]"))</f>
        <v>0</v>
      </c>
      <c r="AC35" s="60">
        <f ca="1">SUMIF(INDIRECT(Totals[[#This Row],[SourceTable]] &amp; "[My Category]"),AC$3,INDIRECT(Totals[[#This Row],[SourceTable]] &amp; "[" &amp; TEXT(Totals[[#This Row],[Date]],"m/d/yy") &amp; "]"))</f>
        <v>0</v>
      </c>
      <c r="AD35" s="60">
        <f ca="1">SUMIF(INDIRECT(Totals[[#This Row],[SourceTable]] &amp; "[My Category]"),AD$3,INDIRECT(Totals[[#This Row],[SourceTable]] &amp; "[" &amp; TEXT(Totals[[#This Row],[Date]],"m/d/yy") &amp; "]"))</f>
        <v>0</v>
      </c>
      <c r="AE35" s="60">
        <f ca="1">SUMIF(INDIRECT(Totals[[#This Row],[SourceTable]] &amp; "[My Category]"),AE$3,INDIRECT(Totals[[#This Row],[SourceTable]] &amp; "[" &amp; TEXT(Totals[[#This Row],[Date]],"m/d/yy") &amp; "]"))</f>
        <v>0</v>
      </c>
      <c r="AF35" s="60">
        <f ca="1">SUMIF(INDIRECT(Totals[[#This Row],[SourceTable]] &amp; "[My Category]"),AF$3,INDIRECT(Totals[[#This Row],[SourceTable]] &amp; "[" &amp; TEXT(Totals[[#This Row],[Date]],"m/d/yy") &amp; "]"))</f>
        <v>0</v>
      </c>
      <c r="AG35" s="60">
        <f ca="1">SUMIF(INDIRECT(Totals[[#This Row],[SourceTable]] &amp; "[My Category]"),AG$3,INDIRECT(Totals[[#This Row],[SourceTable]] &amp; "[" &amp; TEXT(Totals[[#This Row],[Date]],"m/d/yy") &amp; "]"))</f>
        <v>0</v>
      </c>
      <c r="AH35" s="60">
        <f ca="1">SUMIF(INDIRECT(Totals[[#This Row],[SourceTable]] &amp; "[My Category]"),AH$3,INDIRECT(Totals[[#This Row],[SourceTable]] &amp; "[" &amp; TEXT(Totals[[#This Row],[Date]],"m/d/yy") &amp; "]"))</f>
        <v>0</v>
      </c>
      <c r="AI35" s="60">
        <f ca="1">SUMIF(INDIRECT(Totals[[#This Row],[SourceTable]] &amp; "[My Category]"),AI$3,INDIRECT(Totals[[#This Row],[SourceTable]] &amp; "[" &amp; TEXT(Totals[[#This Row],[Date]],"m/d/yy") &amp; "]"))</f>
        <v>0</v>
      </c>
      <c r="AJ35" s="60">
        <f ca="1">SUMIF(INDIRECT(Totals[[#This Row],[SourceTable]] &amp; "[My Category]"),AJ$3,INDIRECT(Totals[[#This Row],[SourceTable]] &amp; "[" &amp; TEXT(Totals[[#This Row],[Date]],"m/d/yy") &amp; "]"))</f>
        <v>0</v>
      </c>
      <c r="AK35" s="70">
        <f ca="1">SUM(Totals[[#This Row],[Car - Note]:[NONTRACKED]])</f>
        <v>0</v>
      </c>
    </row>
    <row r="36" spans="1:37" x14ac:dyDescent="0.25">
      <c r="A36" s="72">
        <f>EDATE(DATEVALUE("1/1/2018"),ROW(Totals[[#This Row],[Date]])-ROW(Totals[[#Headers],[Date]])-1)</f>
        <v>44075</v>
      </c>
      <c r="B36" s="72" t="b">
        <f ca="1">IF(TODAY()&gt;EDATE(Totals[[#This Row],[Date]],1),TRUE,FALSE)</f>
        <v>0</v>
      </c>
      <c r="C36" s="74" t="str">
        <f>"Log_" &amp; YEAR(Totals[[#This Row],[Date]])</f>
        <v>Log_2020</v>
      </c>
      <c r="D36" s="60">
        <f ca="1">SUMIF(INDIRECT(Totals[[#This Row],[SourceTable]] &amp; "[My Category]"),D$3,INDIRECT(Totals[[#This Row],[SourceTable]] &amp; "[" &amp; TEXT(Totals[[#This Row],[Date]],"m/d/yy") &amp; "]"))</f>
        <v>0</v>
      </c>
      <c r="E36" s="60">
        <f ca="1">SUMIF(INDIRECT(Totals[[#This Row],[SourceTable]] &amp; "[My Category]"),E$3,INDIRECT(Totals[[#This Row],[SourceTable]] &amp; "[" &amp; TEXT(Totals[[#This Row],[Date]],"m/d/yy") &amp; "]"))</f>
        <v>0</v>
      </c>
      <c r="F36" s="60">
        <f ca="1">SUMIF(INDIRECT(Totals[[#This Row],[SourceTable]] &amp; "[My Category]"),F$3,INDIRECT(Totals[[#This Row],[SourceTable]] &amp; "[" &amp; TEXT(Totals[[#This Row],[Date]],"m/d/yy") &amp; "]"))</f>
        <v>0</v>
      </c>
      <c r="G36" s="60">
        <f ca="1">SUMIF(INDIRECT(Totals[[#This Row],[SourceTable]] &amp; "[My Category]"),G$3,INDIRECT(Totals[[#This Row],[SourceTable]] &amp; "[" &amp; TEXT(Totals[[#This Row],[Date]],"m/d/yy") &amp; "]"))</f>
        <v>0</v>
      </c>
      <c r="H36" s="60">
        <f ca="1">SUMIF(INDIRECT(Totals[[#This Row],[SourceTable]] &amp; "[My Category]"),H$3,INDIRECT(Totals[[#This Row],[SourceTable]] &amp; "[" &amp; TEXT(Totals[[#This Row],[Date]],"m/d/yy") &amp; "]"))</f>
        <v>0</v>
      </c>
      <c r="I36" s="60">
        <f ca="1">SUMIF(INDIRECT(Totals[[#This Row],[SourceTable]] &amp; "[My Category]"),I$3,INDIRECT(Totals[[#This Row],[SourceTable]] &amp; "[" &amp; TEXT(Totals[[#This Row],[Date]],"m/d/yy") &amp; "]"))</f>
        <v>0</v>
      </c>
      <c r="J36" s="60">
        <f ca="1">SUMIF(INDIRECT(Totals[[#This Row],[SourceTable]] &amp; "[My Category]"),J$3,INDIRECT(Totals[[#This Row],[SourceTable]] &amp; "[" &amp; TEXT(Totals[[#This Row],[Date]],"m/d/yy") &amp; "]"))</f>
        <v>0</v>
      </c>
      <c r="K36" s="60">
        <f ca="1">SUMIF(INDIRECT(Totals[[#This Row],[SourceTable]] &amp; "[My Category]"),K$3,INDIRECT(Totals[[#This Row],[SourceTable]] &amp; "[" &amp; TEXT(Totals[[#This Row],[Date]],"m/d/yy") &amp; "]"))</f>
        <v>0</v>
      </c>
      <c r="L36" s="60">
        <f ca="1">SUMIF(INDIRECT(Totals[[#This Row],[SourceTable]] &amp; "[My Category]"),L$3,INDIRECT(Totals[[#This Row],[SourceTable]] &amp; "[" &amp; TEXT(Totals[[#This Row],[Date]],"m/d/yy") &amp; "]"))</f>
        <v>0</v>
      </c>
      <c r="M36" s="60">
        <f ca="1">SUMIF(INDIRECT(Totals[[#This Row],[SourceTable]] &amp; "[My Category]"),M$3,INDIRECT(Totals[[#This Row],[SourceTable]] &amp; "[" &amp; TEXT(Totals[[#This Row],[Date]],"m/d/yy") &amp; "]"))</f>
        <v>0</v>
      </c>
      <c r="N36" s="60">
        <f ca="1">SUMIF(INDIRECT(Totals[[#This Row],[SourceTable]] &amp; "[My Category]"),N$3,INDIRECT(Totals[[#This Row],[SourceTable]] &amp; "[" &amp; TEXT(Totals[[#This Row],[Date]],"m/d/yy") &amp; "]"))</f>
        <v>0</v>
      </c>
      <c r="O36" s="60">
        <f ca="1">SUMIF(INDIRECT(Totals[[#This Row],[SourceTable]] &amp; "[My Category]"),O$3,INDIRECT(Totals[[#This Row],[SourceTable]] &amp; "[" &amp; TEXT(Totals[[#This Row],[Date]],"m/d/yy") &amp; "]"))</f>
        <v>0</v>
      </c>
      <c r="P36" s="60">
        <f ca="1">SUMIF(INDIRECT(Totals[[#This Row],[SourceTable]] &amp; "[My Category]"),P$3,INDIRECT(Totals[[#This Row],[SourceTable]] &amp; "[" &amp; TEXT(Totals[[#This Row],[Date]],"m/d/yy") &amp; "]"))</f>
        <v>0</v>
      </c>
      <c r="Q36" s="60">
        <f ca="1">SUMIF(INDIRECT(Totals[[#This Row],[SourceTable]] &amp; "[My Category]"),Q$3,INDIRECT(Totals[[#This Row],[SourceTable]] &amp; "[" &amp; TEXT(Totals[[#This Row],[Date]],"m/d/yy") &amp; "]"))</f>
        <v>0</v>
      </c>
      <c r="R36" s="60">
        <f ca="1">SUMIF(INDIRECT(Totals[[#This Row],[SourceTable]] &amp; "[My Category]"),R$3,INDIRECT(Totals[[#This Row],[SourceTable]] &amp; "[" &amp; TEXT(Totals[[#This Row],[Date]],"m/d/yy") &amp; "]"))</f>
        <v>0</v>
      </c>
      <c r="S36" s="60">
        <f ca="1">SUMIF(INDIRECT(Totals[[#This Row],[SourceTable]] &amp; "[My Category]"),S$3,INDIRECT(Totals[[#This Row],[SourceTable]] &amp; "[" &amp; TEXT(Totals[[#This Row],[Date]],"m/d/yy") &amp; "]"))</f>
        <v>0</v>
      </c>
      <c r="T36" s="60">
        <f ca="1">SUMIF(INDIRECT(Totals[[#This Row],[SourceTable]] &amp; "[My Category]"),T$3,INDIRECT(Totals[[#This Row],[SourceTable]] &amp; "[" &amp; TEXT(Totals[[#This Row],[Date]],"m/d/yy") &amp; "]"))</f>
        <v>0</v>
      </c>
      <c r="U36" s="60">
        <f ca="1">SUMIF(INDIRECT(Totals[[#This Row],[SourceTable]] &amp; "[My Category]"),U$3,INDIRECT(Totals[[#This Row],[SourceTable]] &amp; "[" &amp; TEXT(Totals[[#This Row],[Date]],"m/d/yy") &amp; "]"))</f>
        <v>0</v>
      </c>
      <c r="V36" s="60">
        <f ca="1">SUMIF(INDIRECT(Totals[[#This Row],[SourceTable]] &amp; "[My Category]"),V$3,INDIRECT(Totals[[#This Row],[SourceTable]] &amp; "[" &amp; TEXT(Totals[[#This Row],[Date]],"m/d/yy") &amp; "]"))</f>
        <v>0</v>
      </c>
      <c r="W36" s="60">
        <f ca="1">SUMIF(INDIRECT(Totals[[#This Row],[SourceTable]] &amp; "[My Category]"),W$3,INDIRECT(Totals[[#This Row],[SourceTable]] &amp; "[" &amp; TEXT(Totals[[#This Row],[Date]],"m/d/yy") &amp; "]"))</f>
        <v>0</v>
      </c>
      <c r="X36" s="60">
        <f ca="1">SUMIF(INDIRECT(Totals[[#This Row],[SourceTable]] &amp; "[My Category]"),X$3,INDIRECT(Totals[[#This Row],[SourceTable]] &amp; "[" &amp; TEXT(Totals[[#This Row],[Date]],"m/d/yy") &amp; "]"))</f>
        <v>0</v>
      </c>
      <c r="Y36" s="60">
        <f ca="1">SUMIF(INDIRECT(Totals[[#This Row],[SourceTable]] &amp; "[My Category]"),Y$3,INDIRECT(Totals[[#This Row],[SourceTable]] &amp; "[" &amp; TEXT(Totals[[#This Row],[Date]],"m/d/yy") &amp; "]"))</f>
        <v>0</v>
      </c>
      <c r="Z36" s="60">
        <f ca="1">SUMIF(INDIRECT(Totals[[#This Row],[SourceTable]] &amp; "[My Category]"),Z$3,INDIRECT(Totals[[#This Row],[SourceTable]] &amp; "[" &amp; TEXT(Totals[[#This Row],[Date]],"m/d/yy") &amp; "]"))</f>
        <v>0</v>
      </c>
      <c r="AA36" s="60">
        <f ca="1">SUMIF(INDIRECT(Totals[[#This Row],[SourceTable]] &amp; "[My Category]"),AA$3,INDIRECT(Totals[[#This Row],[SourceTable]] &amp; "[" &amp; TEXT(Totals[[#This Row],[Date]],"m/d/yy") &amp; "]"))</f>
        <v>0</v>
      </c>
      <c r="AB36" s="60">
        <f ca="1">SUMIF(INDIRECT(Totals[[#This Row],[SourceTable]] &amp; "[My Category]"),AB$3,INDIRECT(Totals[[#This Row],[SourceTable]] &amp; "[" &amp; TEXT(Totals[[#This Row],[Date]],"m/d/yy") &amp; "]"))</f>
        <v>0</v>
      </c>
      <c r="AC36" s="60">
        <f ca="1">SUMIF(INDIRECT(Totals[[#This Row],[SourceTable]] &amp; "[My Category]"),AC$3,INDIRECT(Totals[[#This Row],[SourceTable]] &amp; "[" &amp; TEXT(Totals[[#This Row],[Date]],"m/d/yy") &amp; "]"))</f>
        <v>0</v>
      </c>
      <c r="AD36" s="60">
        <f ca="1">SUMIF(INDIRECT(Totals[[#This Row],[SourceTable]] &amp; "[My Category]"),AD$3,INDIRECT(Totals[[#This Row],[SourceTable]] &amp; "[" &amp; TEXT(Totals[[#This Row],[Date]],"m/d/yy") &amp; "]"))</f>
        <v>0</v>
      </c>
      <c r="AE36" s="60">
        <f ca="1">SUMIF(INDIRECT(Totals[[#This Row],[SourceTable]] &amp; "[My Category]"),AE$3,INDIRECT(Totals[[#This Row],[SourceTable]] &amp; "[" &amp; TEXT(Totals[[#This Row],[Date]],"m/d/yy") &amp; "]"))</f>
        <v>0</v>
      </c>
      <c r="AF36" s="60">
        <f ca="1">SUMIF(INDIRECT(Totals[[#This Row],[SourceTable]] &amp; "[My Category]"),AF$3,INDIRECT(Totals[[#This Row],[SourceTable]] &amp; "[" &amp; TEXT(Totals[[#This Row],[Date]],"m/d/yy") &amp; "]"))</f>
        <v>0</v>
      </c>
      <c r="AG36" s="60">
        <f ca="1">SUMIF(INDIRECT(Totals[[#This Row],[SourceTable]] &amp; "[My Category]"),AG$3,INDIRECT(Totals[[#This Row],[SourceTable]] &amp; "[" &amp; TEXT(Totals[[#This Row],[Date]],"m/d/yy") &amp; "]"))</f>
        <v>0</v>
      </c>
      <c r="AH36" s="60">
        <f ca="1">SUMIF(INDIRECT(Totals[[#This Row],[SourceTable]] &amp; "[My Category]"),AH$3,INDIRECT(Totals[[#This Row],[SourceTable]] &amp; "[" &amp; TEXT(Totals[[#This Row],[Date]],"m/d/yy") &amp; "]"))</f>
        <v>0</v>
      </c>
      <c r="AI36" s="60">
        <f ca="1">SUMIF(INDIRECT(Totals[[#This Row],[SourceTable]] &amp; "[My Category]"),AI$3,INDIRECT(Totals[[#This Row],[SourceTable]] &amp; "[" &amp; TEXT(Totals[[#This Row],[Date]],"m/d/yy") &amp; "]"))</f>
        <v>0</v>
      </c>
      <c r="AJ36" s="60">
        <f ca="1">SUMIF(INDIRECT(Totals[[#This Row],[SourceTable]] &amp; "[My Category]"),AJ$3,INDIRECT(Totals[[#This Row],[SourceTable]] &amp; "[" &amp; TEXT(Totals[[#This Row],[Date]],"m/d/yy") &amp; "]"))</f>
        <v>0</v>
      </c>
      <c r="AK36" s="70">
        <f ca="1">SUM(Totals[[#This Row],[Car - Note]:[NONTRACKED]])</f>
        <v>0</v>
      </c>
    </row>
    <row r="37" spans="1:37" x14ac:dyDescent="0.25">
      <c r="A37" s="72">
        <f>EDATE(DATEVALUE("1/1/2018"),ROW(Totals[[#This Row],[Date]])-ROW(Totals[[#Headers],[Date]])-1)</f>
        <v>44105</v>
      </c>
      <c r="B37" s="72" t="b">
        <f ca="1">IF(TODAY()&gt;EDATE(Totals[[#This Row],[Date]],1),TRUE,FALSE)</f>
        <v>0</v>
      </c>
      <c r="C37" s="74" t="str">
        <f>"Log_" &amp; YEAR(Totals[[#This Row],[Date]])</f>
        <v>Log_2020</v>
      </c>
      <c r="D37" s="60">
        <f ca="1">SUMIF(INDIRECT(Totals[[#This Row],[SourceTable]] &amp; "[My Category]"),D$3,INDIRECT(Totals[[#This Row],[SourceTable]] &amp; "[" &amp; TEXT(Totals[[#This Row],[Date]],"m/d/yy") &amp; "]"))</f>
        <v>0</v>
      </c>
      <c r="E37" s="60">
        <f ca="1">SUMIF(INDIRECT(Totals[[#This Row],[SourceTable]] &amp; "[My Category]"),E$3,INDIRECT(Totals[[#This Row],[SourceTable]] &amp; "[" &amp; TEXT(Totals[[#This Row],[Date]],"m/d/yy") &amp; "]"))</f>
        <v>0</v>
      </c>
      <c r="F37" s="60">
        <f ca="1">SUMIF(INDIRECT(Totals[[#This Row],[SourceTable]] &amp; "[My Category]"),F$3,INDIRECT(Totals[[#This Row],[SourceTable]] &amp; "[" &amp; TEXT(Totals[[#This Row],[Date]],"m/d/yy") &amp; "]"))</f>
        <v>0</v>
      </c>
      <c r="G37" s="60">
        <f ca="1">SUMIF(INDIRECT(Totals[[#This Row],[SourceTable]] &amp; "[My Category]"),G$3,INDIRECT(Totals[[#This Row],[SourceTable]] &amp; "[" &amp; TEXT(Totals[[#This Row],[Date]],"m/d/yy") &amp; "]"))</f>
        <v>0</v>
      </c>
      <c r="H37" s="60">
        <f ca="1">SUMIF(INDIRECT(Totals[[#This Row],[SourceTable]] &amp; "[My Category]"),H$3,INDIRECT(Totals[[#This Row],[SourceTable]] &amp; "[" &amp; TEXT(Totals[[#This Row],[Date]],"m/d/yy") &amp; "]"))</f>
        <v>0</v>
      </c>
      <c r="I37" s="60">
        <f ca="1">SUMIF(INDIRECT(Totals[[#This Row],[SourceTable]] &amp; "[My Category]"),I$3,INDIRECT(Totals[[#This Row],[SourceTable]] &amp; "[" &amp; TEXT(Totals[[#This Row],[Date]],"m/d/yy") &amp; "]"))</f>
        <v>0</v>
      </c>
      <c r="J37" s="60">
        <f ca="1">SUMIF(INDIRECT(Totals[[#This Row],[SourceTable]] &amp; "[My Category]"),J$3,INDIRECT(Totals[[#This Row],[SourceTable]] &amp; "[" &amp; TEXT(Totals[[#This Row],[Date]],"m/d/yy") &amp; "]"))</f>
        <v>0</v>
      </c>
      <c r="K37" s="60">
        <f ca="1">SUMIF(INDIRECT(Totals[[#This Row],[SourceTable]] &amp; "[My Category]"),K$3,INDIRECT(Totals[[#This Row],[SourceTable]] &amp; "[" &amp; TEXT(Totals[[#This Row],[Date]],"m/d/yy") &amp; "]"))</f>
        <v>0</v>
      </c>
      <c r="L37" s="60">
        <f ca="1">SUMIF(INDIRECT(Totals[[#This Row],[SourceTable]] &amp; "[My Category]"),L$3,INDIRECT(Totals[[#This Row],[SourceTable]] &amp; "[" &amp; TEXT(Totals[[#This Row],[Date]],"m/d/yy") &amp; "]"))</f>
        <v>0</v>
      </c>
      <c r="M37" s="60">
        <f ca="1">SUMIF(INDIRECT(Totals[[#This Row],[SourceTable]] &amp; "[My Category]"),M$3,INDIRECT(Totals[[#This Row],[SourceTable]] &amp; "[" &amp; TEXT(Totals[[#This Row],[Date]],"m/d/yy") &amp; "]"))</f>
        <v>0</v>
      </c>
      <c r="N37" s="60">
        <f ca="1">SUMIF(INDIRECT(Totals[[#This Row],[SourceTable]] &amp; "[My Category]"),N$3,INDIRECT(Totals[[#This Row],[SourceTable]] &amp; "[" &amp; TEXT(Totals[[#This Row],[Date]],"m/d/yy") &amp; "]"))</f>
        <v>0</v>
      </c>
      <c r="O37" s="60">
        <f ca="1">SUMIF(INDIRECT(Totals[[#This Row],[SourceTable]] &amp; "[My Category]"),O$3,INDIRECT(Totals[[#This Row],[SourceTable]] &amp; "[" &amp; TEXT(Totals[[#This Row],[Date]],"m/d/yy") &amp; "]"))</f>
        <v>0</v>
      </c>
      <c r="P37" s="60">
        <f ca="1">SUMIF(INDIRECT(Totals[[#This Row],[SourceTable]] &amp; "[My Category]"),P$3,INDIRECT(Totals[[#This Row],[SourceTable]] &amp; "[" &amp; TEXT(Totals[[#This Row],[Date]],"m/d/yy") &amp; "]"))</f>
        <v>0</v>
      </c>
      <c r="Q37" s="60">
        <f ca="1">SUMIF(INDIRECT(Totals[[#This Row],[SourceTable]] &amp; "[My Category]"),Q$3,INDIRECT(Totals[[#This Row],[SourceTable]] &amp; "[" &amp; TEXT(Totals[[#This Row],[Date]],"m/d/yy") &amp; "]"))</f>
        <v>0</v>
      </c>
      <c r="R37" s="60">
        <f ca="1">SUMIF(INDIRECT(Totals[[#This Row],[SourceTable]] &amp; "[My Category]"),R$3,INDIRECT(Totals[[#This Row],[SourceTable]] &amp; "[" &amp; TEXT(Totals[[#This Row],[Date]],"m/d/yy") &amp; "]"))</f>
        <v>0</v>
      </c>
      <c r="S37" s="60">
        <f ca="1">SUMIF(INDIRECT(Totals[[#This Row],[SourceTable]] &amp; "[My Category]"),S$3,INDIRECT(Totals[[#This Row],[SourceTable]] &amp; "[" &amp; TEXT(Totals[[#This Row],[Date]],"m/d/yy") &amp; "]"))</f>
        <v>0</v>
      </c>
      <c r="T37" s="60">
        <f ca="1">SUMIF(INDIRECT(Totals[[#This Row],[SourceTable]] &amp; "[My Category]"),T$3,INDIRECT(Totals[[#This Row],[SourceTable]] &amp; "[" &amp; TEXT(Totals[[#This Row],[Date]],"m/d/yy") &amp; "]"))</f>
        <v>0</v>
      </c>
      <c r="U37" s="60">
        <f ca="1">SUMIF(INDIRECT(Totals[[#This Row],[SourceTable]] &amp; "[My Category]"),U$3,INDIRECT(Totals[[#This Row],[SourceTable]] &amp; "[" &amp; TEXT(Totals[[#This Row],[Date]],"m/d/yy") &amp; "]"))</f>
        <v>0</v>
      </c>
      <c r="V37" s="60">
        <f ca="1">SUMIF(INDIRECT(Totals[[#This Row],[SourceTable]] &amp; "[My Category]"),V$3,INDIRECT(Totals[[#This Row],[SourceTable]] &amp; "[" &amp; TEXT(Totals[[#This Row],[Date]],"m/d/yy") &amp; "]"))</f>
        <v>0</v>
      </c>
      <c r="W37" s="60">
        <f ca="1">SUMIF(INDIRECT(Totals[[#This Row],[SourceTable]] &amp; "[My Category]"),W$3,INDIRECT(Totals[[#This Row],[SourceTable]] &amp; "[" &amp; TEXT(Totals[[#This Row],[Date]],"m/d/yy") &amp; "]"))</f>
        <v>0</v>
      </c>
      <c r="X37" s="60">
        <f ca="1">SUMIF(INDIRECT(Totals[[#This Row],[SourceTable]] &amp; "[My Category]"),X$3,INDIRECT(Totals[[#This Row],[SourceTable]] &amp; "[" &amp; TEXT(Totals[[#This Row],[Date]],"m/d/yy") &amp; "]"))</f>
        <v>0</v>
      </c>
      <c r="Y37" s="60">
        <f ca="1">SUMIF(INDIRECT(Totals[[#This Row],[SourceTable]] &amp; "[My Category]"),Y$3,INDIRECT(Totals[[#This Row],[SourceTable]] &amp; "[" &amp; TEXT(Totals[[#This Row],[Date]],"m/d/yy") &amp; "]"))</f>
        <v>0</v>
      </c>
      <c r="Z37" s="60">
        <f ca="1">SUMIF(INDIRECT(Totals[[#This Row],[SourceTable]] &amp; "[My Category]"),Z$3,INDIRECT(Totals[[#This Row],[SourceTable]] &amp; "[" &amp; TEXT(Totals[[#This Row],[Date]],"m/d/yy") &amp; "]"))</f>
        <v>0</v>
      </c>
      <c r="AA37" s="60">
        <f ca="1">SUMIF(INDIRECT(Totals[[#This Row],[SourceTable]] &amp; "[My Category]"),AA$3,INDIRECT(Totals[[#This Row],[SourceTable]] &amp; "[" &amp; TEXT(Totals[[#This Row],[Date]],"m/d/yy") &amp; "]"))</f>
        <v>0</v>
      </c>
      <c r="AB37" s="60">
        <f ca="1">SUMIF(INDIRECT(Totals[[#This Row],[SourceTable]] &amp; "[My Category]"),AB$3,INDIRECT(Totals[[#This Row],[SourceTable]] &amp; "[" &amp; TEXT(Totals[[#This Row],[Date]],"m/d/yy") &amp; "]"))</f>
        <v>0</v>
      </c>
      <c r="AC37" s="60">
        <f ca="1">SUMIF(INDIRECT(Totals[[#This Row],[SourceTable]] &amp; "[My Category]"),AC$3,INDIRECT(Totals[[#This Row],[SourceTable]] &amp; "[" &amp; TEXT(Totals[[#This Row],[Date]],"m/d/yy") &amp; "]"))</f>
        <v>0</v>
      </c>
      <c r="AD37" s="60">
        <f ca="1">SUMIF(INDIRECT(Totals[[#This Row],[SourceTable]] &amp; "[My Category]"),AD$3,INDIRECT(Totals[[#This Row],[SourceTable]] &amp; "[" &amp; TEXT(Totals[[#This Row],[Date]],"m/d/yy") &amp; "]"))</f>
        <v>0</v>
      </c>
      <c r="AE37" s="60">
        <f ca="1">SUMIF(INDIRECT(Totals[[#This Row],[SourceTable]] &amp; "[My Category]"),AE$3,INDIRECT(Totals[[#This Row],[SourceTable]] &amp; "[" &amp; TEXT(Totals[[#This Row],[Date]],"m/d/yy") &amp; "]"))</f>
        <v>0</v>
      </c>
      <c r="AF37" s="60">
        <f ca="1">SUMIF(INDIRECT(Totals[[#This Row],[SourceTable]] &amp; "[My Category]"),AF$3,INDIRECT(Totals[[#This Row],[SourceTable]] &amp; "[" &amp; TEXT(Totals[[#This Row],[Date]],"m/d/yy") &amp; "]"))</f>
        <v>0</v>
      </c>
      <c r="AG37" s="60">
        <f ca="1">SUMIF(INDIRECT(Totals[[#This Row],[SourceTable]] &amp; "[My Category]"),AG$3,INDIRECT(Totals[[#This Row],[SourceTable]] &amp; "[" &amp; TEXT(Totals[[#This Row],[Date]],"m/d/yy") &amp; "]"))</f>
        <v>0</v>
      </c>
      <c r="AH37" s="60">
        <f ca="1">SUMIF(INDIRECT(Totals[[#This Row],[SourceTable]] &amp; "[My Category]"),AH$3,INDIRECT(Totals[[#This Row],[SourceTable]] &amp; "[" &amp; TEXT(Totals[[#This Row],[Date]],"m/d/yy") &amp; "]"))</f>
        <v>0</v>
      </c>
      <c r="AI37" s="60">
        <f ca="1">SUMIF(INDIRECT(Totals[[#This Row],[SourceTable]] &amp; "[My Category]"),AI$3,INDIRECT(Totals[[#This Row],[SourceTable]] &amp; "[" &amp; TEXT(Totals[[#This Row],[Date]],"m/d/yy") &amp; "]"))</f>
        <v>0</v>
      </c>
      <c r="AJ37" s="60">
        <f ca="1">SUMIF(INDIRECT(Totals[[#This Row],[SourceTable]] &amp; "[My Category]"),AJ$3,INDIRECT(Totals[[#This Row],[SourceTable]] &amp; "[" &amp; TEXT(Totals[[#This Row],[Date]],"m/d/yy") &amp; "]"))</f>
        <v>0</v>
      </c>
      <c r="AK37" s="70">
        <f ca="1">SUM(Totals[[#This Row],[Car - Note]:[NONTRACKED]])</f>
        <v>0</v>
      </c>
    </row>
    <row r="38" spans="1:37" x14ac:dyDescent="0.25">
      <c r="A38" s="72">
        <f>EDATE(DATEVALUE("1/1/2018"),ROW(Totals[[#This Row],[Date]])-ROW(Totals[[#Headers],[Date]])-1)</f>
        <v>44136</v>
      </c>
      <c r="B38" s="72" t="b">
        <f ca="1">IF(TODAY()&gt;EDATE(Totals[[#This Row],[Date]],1),TRUE,FALSE)</f>
        <v>0</v>
      </c>
      <c r="C38" s="74" t="str">
        <f>"Log_" &amp; YEAR(Totals[[#This Row],[Date]])</f>
        <v>Log_2020</v>
      </c>
      <c r="D38" s="60">
        <f ca="1">SUMIF(INDIRECT(Totals[[#This Row],[SourceTable]] &amp; "[My Category]"),D$3,INDIRECT(Totals[[#This Row],[SourceTable]] &amp; "[" &amp; TEXT(Totals[[#This Row],[Date]],"m/d/yy") &amp; "]"))</f>
        <v>0</v>
      </c>
      <c r="E38" s="60">
        <f ca="1">SUMIF(INDIRECT(Totals[[#This Row],[SourceTable]] &amp; "[My Category]"),E$3,INDIRECT(Totals[[#This Row],[SourceTable]] &amp; "[" &amp; TEXT(Totals[[#This Row],[Date]],"m/d/yy") &amp; "]"))</f>
        <v>0</v>
      </c>
      <c r="F38" s="60">
        <f ca="1">SUMIF(INDIRECT(Totals[[#This Row],[SourceTable]] &amp; "[My Category]"),F$3,INDIRECT(Totals[[#This Row],[SourceTable]] &amp; "[" &amp; TEXT(Totals[[#This Row],[Date]],"m/d/yy") &amp; "]"))</f>
        <v>0</v>
      </c>
      <c r="G38" s="60">
        <f ca="1">SUMIF(INDIRECT(Totals[[#This Row],[SourceTable]] &amp; "[My Category]"),G$3,INDIRECT(Totals[[#This Row],[SourceTable]] &amp; "[" &amp; TEXT(Totals[[#This Row],[Date]],"m/d/yy") &amp; "]"))</f>
        <v>0</v>
      </c>
      <c r="H38" s="60">
        <f ca="1">SUMIF(INDIRECT(Totals[[#This Row],[SourceTable]] &amp; "[My Category]"),H$3,INDIRECT(Totals[[#This Row],[SourceTable]] &amp; "[" &amp; TEXT(Totals[[#This Row],[Date]],"m/d/yy") &amp; "]"))</f>
        <v>0</v>
      </c>
      <c r="I38" s="60">
        <f ca="1">SUMIF(INDIRECT(Totals[[#This Row],[SourceTable]] &amp; "[My Category]"),I$3,INDIRECT(Totals[[#This Row],[SourceTable]] &amp; "[" &amp; TEXT(Totals[[#This Row],[Date]],"m/d/yy") &amp; "]"))</f>
        <v>0</v>
      </c>
      <c r="J38" s="60">
        <f ca="1">SUMIF(INDIRECT(Totals[[#This Row],[SourceTable]] &amp; "[My Category]"),J$3,INDIRECT(Totals[[#This Row],[SourceTable]] &amp; "[" &amp; TEXT(Totals[[#This Row],[Date]],"m/d/yy") &amp; "]"))</f>
        <v>0</v>
      </c>
      <c r="K38" s="60">
        <f ca="1">SUMIF(INDIRECT(Totals[[#This Row],[SourceTable]] &amp; "[My Category]"),K$3,INDIRECT(Totals[[#This Row],[SourceTable]] &amp; "[" &amp; TEXT(Totals[[#This Row],[Date]],"m/d/yy") &amp; "]"))</f>
        <v>0</v>
      </c>
      <c r="L38" s="60">
        <f ca="1">SUMIF(INDIRECT(Totals[[#This Row],[SourceTable]] &amp; "[My Category]"),L$3,INDIRECT(Totals[[#This Row],[SourceTable]] &amp; "[" &amp; TEXT(Totals[[#This Row],[Date]],"m/d/yy") &amp; "]"))</f>
        <v>0</v>
      </c>
      <c r="M38" s="60">
        <f ca="1">SUMIF(INDIRECT(Totals[[#This Row],[SourceTable]] &amp; "[My Category]"),M$3,INDIRECT(Totals[[#This Row],[SourceTable]] &amp; "[" &amp; TEXT(Totals[[#This Row],[Date]],"m/d/yy") &amp; "]"))</f>
        <v>0</v>
      </c>
      <c r="N38" s="60">
        <f ca="1">SUMIF(INDIRECT(Totals[[#This Row],[SourceTable]] &amp; "[My Category]"),N$3,INDIRECT(Totals[[#This Row],[SourceTable]] &amp; "[" &amp; TEXT(Totals[[#This Row],[Date]],"m/d/yy") &amp; "]"))</f>
        <v>0</v>
      </c>
      <c r="O38" s="60">
        <f ca="1">SUMIF(INDIRECT(Totals[[#This Row],[SourceTable]] &amp; "[My Category]"),O$3,INDIRECT(Totals[[#This Row],[SourceTable]] &amp; "[" &amp; TEXT(Totals[[#This Row],[Date]],"m/d/yy") &amp; "]"))</f>
        <v>0</v>
      </c>
      <c r="P38" s="60">
        <f ca="1">SUMIF(INDIRECT(Totals[[#This Row],[SourceTable]] &amp; "[My Category]"),P$3,INDIRECT(Totals[[#This Row],[SourceTable]] &amp; "[" &amp; TEXT(Totals[[#This Row],[Date]],"m/d/yy") &amp; "]"))</f>
        <v>0</v>
      </c>
      <c r="Q38" s="60">
        <f ca="1">SUMIF(INDIRECT(Totals[[#This Row],[SourceTable]] &amp; "[My Category]"),Q$3,INDIRECT(Totals[[#This Row],[SourceTable]] &amp; "[" &amp; TEXT(Totals[[#This Row],[Date]],"m/d/yy") &amp; "]"))</f>
        <v>0</v>
      </c>
      <c r="R38" s="60">
        <f ca="1">SUMIF(INDIRECT(Totals[[#This Row],[SourceTable]] &amp; "[My Category]"),R$3,INDIRECT(Totals[[#This Row],[SourceTable]] &amp; "[" &amp; TEXT(Totals[[#This Row],[Date]],"m/d/yy") &amp; "]"))</f>
        <v>0</v>
      </c>
      <c r="S38" s="60">
        <f ca="1">SUMIF(INDIRECT(Totals[[#This Row],[SourceTable]] &amp; "[My Category]"),S$3,INDIRECT(Totals[[#This Row],[SourceTable]] &amp; "[" &amp; TEXT(Totals[[#This Row],[Date]],"m/d/yy") &amp; "]"))</f>
        <v>0</v>
      </c>
      <c r="T38" s="60">
        <f ca="1">SUMIF(INDIRECT(Totals[[#This Row],[SourceTable]] &amp; "[My Category]"),T$3,INDIRECT(Totals[[#This Row],[SourceTable]] &amp; "[" &amp; TEXT(Totals[[#This Row],[Date]],"m/d/yy") &amp; "]"))</f>
        <v>0</v>
      </c>
      <c r="U38" s="60">
        <f ca="1">SUMIF(INDIRECT(Totals[[#This Row],[SourceTable]] &amp; "[My Category]"),U$3,INDIRECT(Totals[[#This Row],[SourceTable]] &amp; "[" &amp; TEXT(Totals[[#This Row],[Date]],"m/d/yy") &amp; "]"))</f>
        <v>0</v>
      </c>
      <c r="V38" s="60">
        <f ca="1">SUMIF(INDIRECT(Totals[[#This Row],[SourceTable]] &amp; "[My Category]"),V$3,INDIRECT(Totals[[#This Row],[SourceTable]] &amp; "[" &amp; TEXT(Totals[[#This Row],[Date]],"m/d/yy") &amp; "]"))</f>
        <v>0</v>
      </c>
      <c r="W38" s="60">
        <f ca="1">SUMIF(INDIRECT(Totals[[#This Row],[SourceTable]] &amp; "[My Category]"),W$3,INDIRECT(Totals[[#This Row],[SourceTable]] &amp; "[" &amp; TEXT(Totals[[#This Row],[Date]],"m/d/yy") &amp; "]"))</f>
        <v>0</v>
      </c>
      <c r="X38" s="60">
        <f ca="1">SUMIF(INDIRECT(Totals[[#This Row],[SourceTable]] &amp; "[My Category]"),X$3,INDIRECT(Totals[[#This Row],[SourceTable]] &amp; "[" &amp; TEXT(Totals[[#This Row],[Date]],"m/d/yy") &amp; "]"))</f>
        <v>0</v>
      </c>
      <c r="Y38" s="60">
        <f ca="1">SUMIF(INDIRECT(Totals[[#This Row],[SourceTable]] &amp; "[My Category]"),Y$3,INDIRECT(Totals[[#This Row],[SourceTable]] &amp; "[" &amp; TEXT(Totals[[#This Row],[Date]],"m/d/yy") &amp; "]"))</f>
        <v>0</v>
      </c>
      <c r="Z38" s="60">
        <f ca="1">SUMIF(INDIRECT(Totals[[#This Row],[SourceTable]] &amp; "[My Category]"),Z$3,INDIRECT(Totals[[#This Row],[SourceTable]] &amp; "[" &amp; TEXT(Totals[[#This Row],[Date]],"m/d/yy") &amp; "]"))</f>
        <v>0</v>
      </c>
      <c r="AA38" s="60">
        <f ca="1">SUMIF(INDIRECT(Totals[[#This Row],[SourceTable]] &amp; "[My Category]"),AA$3,INDIRECT(Totals[[#This Row],[SourceTable]] &amp; "[" &amp; TEXT(Totals[[#This Row],[Date]],"m/d/yy") &amp; "]"))</f>
        <v>0</v>
      </c>
      <c r="AB38" s="60">
        <f ca="1">SUMIF(INDIRECT(Totals[[#This Row],[SourceTable]] &amp; "[My Category]"),AB$3,INDIRECT(Totals[[#This Row],[SourceTable]] &amp; "[" &amp; TEXT(Totals[[#This Row],[Date]],"m/d/yy") &amp; "]"))</f>
        <v>0</v>
      </c>
      <c r="AC38" s="60">
        <f ca="1">SUMIF(INDIRECT(Totals[[#This Row],[SourceTable]] &amp; "[My Category]"),AC$3,INDIRECT(Totals[[#This Row],[SourceTable]] &amp; "[" &amp; TEXT(Totals[[#This Row],[Date]],"m/d/yy") &amp; "]"))</f>
        <v>0</v>
      </c>
      <c r="AD38" s="60">
        <f ca="1">SUMIF(INDIRECT(Totals[[#This Row],[SourceTable]] &amp; "[My Category]"),AD$3,INDIRECT(Totals[[#This Row],[SourceTable]] &amp; "[" &amp; TEXT(Totals[[#This Row],[Date]],"m/d/yy") &amp; "]"))</f>
        <v>0</v>
      </c>
      <c r="AE38" s="60">
        <f ca="1">SUMIF(INDIRECT(Totals[[#This Row],[SourceTable]] &amp; "[My Category]"),AE$3,INDIRECT(Totals[[#This Row],[SourceTable]] &amp; "[" &amp; TEXT(Totals[[#This Row],[Date]],"m/d/yy") &amp; "]"))</f>
        <v>0</v>
      </c>
      <c r="AF38" s="60">
        <f ca="1">SUMIF(INDIRECT(Totals[[#This Row],[SourceTable]] &amp; "[My Category]"),AF$3,INDIRECT(Totals[[#This Row],[SourceTable]] &amp; "[" &amp; TEXT(Totals[[#This Row],[Date]],"m/d/yy") &amp; "]"))</f>
        <v>0</v>
      </c>
      <c r="AG38" s="60">
        <f ca="1">SUMIF(INDIRECT(Totals[[#This Row],[SourceTable]] &amp; "[My Category]"),AG$3,INDIRECT(Totals[[#This Row],[SourceTable]] &amp; "[" &amp; TEXT(Totals[[#This Row],[Date]],"m/d/yy") &amp; "]"))</f>
        <v>0</v>
      </c>
      <c r="AH38" s="60">
        <f ca="1">SUMIF(INDIRECT(Totals[[#This Row],[SourceTable]] &amp; "[My Category]"),AH$3,INDIRECT(Totals[[#This Row],[SourceTable]] &amp; "[" &amp; TEXT(Totals[[#This Row],[Date]],"m/d/yy") &amp; "]"))</f>
        <v>0</v>
      </c>
      <c r="AI38" s="60">
        <f ca="1">SUMIF(INDIRECT(Totals[[#This Row],[SourceTable]] &amp; "[My Category]"),AI$3,INDIRECT(Totals[[#This Row],[SourceTable]] &amp; "[" &amp; TEXT(Totals[[#This Row],[Date]],"m/d/yy") &amp; "]"))</f>
        <v>0</v>
      </c>
      <c r="AJ38" s="60">
        <f ca="1">SUMIF(INDIRECT(Totals[[#This Row],[SourceTable]] &amp; "[My Category]"),AJ$3,INDIRECT(Totals[[#This Row],[SourceTable]] &amp; "[" &amp; TEXT(Totals[[#This Row],[Date]],"m/d/yy") &amp; "]"))</f>
        <v>0</v>
      </c>
      <c r="AK38" s="70">
        <f ca="1">SUM(Totals[[#This Row],[Car - Note]:[NONTRACKED]])</f>
        <v>0</v>
      </c>
    </row>
    <row r="39" spans="1:37" x14ac:dyDescent="0.25">
      <c r="A39" s="72">
        <f>EDATE(DATEVALUE("1/1/2018"),ROW(Totals[[#This Row],[Date]])-ROW(Totals[[#Headers],[Date]])-1)</f>
        <v>44166</v>
      </c>
      <c r="B39" s="72" t="b">
        <f ca="1">IF(TODAY()&gt;EDATE(Totals[[#This Row],[Date]],1),TRUE,FALSE)</f>
        <v>0</v>
      </c>
      <c r="C39" s="74" t="str">
        <f>"Log_" &amp; YEAR(Totals[[#This Row],[Date]])</f>
        <v>Log_2020</v>
      </c>
      <c r="D39" s="60">
        <f ca="1">SUMIF(INDIRECT(Totals[[#This Row],[SourceTable]] &amp; "[My Category]"),D$3,INDIRECT(Totals[[#This Row],[SourceTable]] &amp; "[" &amp; TEXT(Totals[[#This Row],[Date]],"m/d/yy") &amp; "]"))</f>
        <v>0</v>
      </c>
      <c r="E39" s="60">
        <f ca="1">SUMIF(INDIRECT(Totals[[#This Row],[SourceTable]] &amp; "[My Category]"),E$3,INDIRECT(Totals[[#This Row],[SourceTable]] &amp; "[" &amp; TEXT(Totals[[#This Row],[Date]],"m/d/yy") &amp; "]"))</f>
        <v>0</v>
      </c>
      <c r="F39" s="60">
        <f ca="1">SUMIF(INDIRECT(Totals[[#This Row],[SourceTable]] &amp; "[My Category]"),F$3,INDIRECT(Totals[[#This Row],[SourceTable]] &amp; "[" &amp; TEXT(Totals[[#This Row],[Date]],"m/d/yy") &amp; "]"))</f>
        <v>0</v>
      </c>
      <c r="G39" s="60">
        <f ca="1">SUMIF(INDIRECT(Totals[[#This Row],[SourceTable]] &amp; "[My Category]"),G$3,INDIRECT(Totals[[#This Row],[SourceTable]] &amp; "[" &amp; TEXT(Totals[[#This Row],[Date]],"m/d/yy") &amp; "]"))</f>
        <v>0</v>
      </c>
      <c r="H39" s="60">
        <f ca="1">SUMIF(INDIRECT(Totals[[#This Row],[SourceTable]] &amp; "[My Category]"),H$3,INDIRECT(Totals[[#This Row],[SourceTable]] &amp; "[" &amp; TEXT(Totals[[#This Row],[Date]],"m/d/yy") &amp; "]"))</f>
        <v>0</v>
      </c>
      <c r="I39" s="60">
        <f ca="1">SUMIF(INDIRECT(Totals[[#This Row],[SourceTable]] &amp; "[My Category]"),I$3,INDIRECT(Totals[[#This Row],[SourceTable]] &amp; "[" &amp; TEXT(Totals[[#This Row],[Date]],"m/d/yy") &amp; "]"))</f>
        <v>0</v>
      </c>
      <c r="J39" s="60">
        <f ca="1">SUMIF(INDIRECT(Totals[[#This Row],[SourceTable]] &amp; "[My Category]"),J$3,INDIRECT(Totals[[#This Row],[SourceTable]] &amp; "[" &amp; TEXT(Totals[[#This Row],[Date]],"m/d/yy") &amp; "]"))</f>
        <v>0</v>
      </c>
      <c r="K39" s="60">
        <f ca="1">SUMIF(INDIRECT(Totals[[#This Row],[SourceTable]] &amp; "[My Category]"),K$3,INDIRECT(Totals[[#This Row],[SourceTable]] &amp; "[" &amp; TEXT(Totals[[#This Row],[Date]],"m/d/yy") &amp; "]"))</f>
        <v>0</v>
      </c>
      <c r="L39" s="60">
        <f ca="1">SUMIF(INDIRECT(Totals[[#This Row],[SourceTable]] &amp; "[My Category]"),L$3,INDIRECT(Totals[[#This Row],[SourceTable]] &amp; "[" &amp; TEXT(Totals[[#This Row],[Date]],"m/d/yy") &amp; "]"))</f>
        <v>0</v>
      </c>
      <c r="M39" s="60">
        <f ca="1">SUMIF(INDIRECT(Totals[[#This Row],[SourceTable]] &amp; "[My Category]"),M$3,INDIRECT(Totals[[#This Row],[SourceTable]] &amp; "[" &amp; TEXT(Totals[[#This Row],[Date]],"m/d/yy") &amp; "]"))</f>
        <v>0</v>
      </c>
      <c r="N39" s="60">
        <f ca="1">SUMIF(INDIRECT(Totals[[#This Row],[SourceTable]] &amp; "[My Category]"),N$3,INDIRECT(Totals[[#This Row],[SourceTable]] &amp; "[" &amp; TEXT(Totals[[#This Row],[Date]],"m/d/yy") &amp; "]"))</f>
        <v>0</v>
      </c>
      <c r="O39" s="60">
        <f ca="1">SUMIF(INDIRECT(Totals[[#This Row],[SourceTable]] &amp; "[My Category]"),O$3,INDIRECT(Totals[[#This Row],[SourceTable]] &amp; "[" &amp; TEXT(Totals[[#This Row],[Date]],"m/d/yy") &amp; "]"))</f>
        <v>0</v>
      </c>
      <c r="P39" s="60">
        <f ca="1">SUMIF(INDIRECT(Totals[[#This Row],[SourceTable]] &amp; "[My Category]"),P$3,INDIRECT(Totals[[#This Row],[SourceTable]] &amp; "[" &amp; TEXT(Totals[[#This Row],[Date]],"m/d/yy") &amp; "]"))</f>
        <v>0</v>
      </c>
      <c r="Q39" s="60">
        <f ca="1">SUMIF(INDIRECT(Totals[[#This Row],[SourceTable]] &amp; "[My Category]"),Q$3,INDIRECT(Totals[[#This Row],[SourceTable]] &amp; "[" &amp; TEXT(Totals[[#This Row],[Date]],"m/d/yy") &amp; "]"))</f>
        <v>0</v>
      </c>
      <c r="R39" s="60">
        <f ca="1">SUMIF(INDIRECT(Totals[[#This Row],[SourceTable]] &amp; "[My Category]"),R$3,INDIRECT(Totals[[#This Row],[SourceTable]] &amp; "[" &amp; TEXT(Totals[[#This Row],[Date]],"m/d/yy") &amp; "]"))</f>
        <v>0</v>
      </c>
      <c r="S39" s="60">
        <f ca="1">SUMIF(INDIRECT(Totals[[#This Row],[SourceTable]] &amp; "[My Category]"),S$3,INDIRECT(Totals[[#This Row],[SourceTable]] &amp; "[" &amp; TEXT(Totals[[#This Row],[Date]],"m/d/yy") &amp; "]"))</f>
        <v>0</v>
      </c>
      <c r="T39" s="60">
        <f ca="1">SUMIF(INDIRECT(Totals[[#This Row],[SourceTable]] &amp; "[My Category]"),T$3,INDIRECT(Totals[[#This Row],[SourceTable]] &amp; "[" &amp; TEXT(Totals[[#This Row],[Date]],"m/d/yy") &amp; "]"))</f>
        <v>0</v>
      </c>
      <c r="U39" s="60">
        <f ca="1">SUMIF(INDIRECT(Totals[[#This Row],[SourceTable]] &amp; "[My Category]"),U$3,INDIRECT(Totals[[#This Row],[SourceTable]] &amp; "[" &amp; TEXT(Totals[[#This Row],[Date]],"m/d/yy") &amp; "]"))</f>
        <v>0</v>
      </c>
      <c r="V39" s="60">
        <f ca="1">SUMIF(INDIRECT(Totals[[#This Row],[SourceTable]] &amp; "[My Category]"),V$3,INDIRECT(Totals[[#This Row],[SourceTable]] &amp; "[" &amp; TEXT(Totals[[#This Row],[Date]],"m/d/yy") &amp; "]"))</f>
        <v>0</v>
      </c>
      <c r="W39" s="60">
        <f ca="1">SUMIF(INDIRECT(Totals[[#This Row],[SourceTable]] &amp; "[My Category]"),W$3,INDIRECT(Totals[[#This Row],[SourceTable]] &amp; "[" &amp; TEXT(Totals[[#This Row],[Date]],"m/d/yy") &amp; "]"))</f>
        <v>0</v>
      </c>
      <c r="X39" s="60">
        <f ca="1">SUMIF(INDIRECT(Totals[[#This Row],[SourceTable]] &amp; "[My Category]"),X$3,INDIRECT(Totals[[#This Row],[SourceTable]] &amp; "[" &amp; TEXT(Totals[[#This Row],[Date]],"m/d/yy") &amp; "]"))</f>
        <v>0</v>
      </c>
      <c r="Y39" s="60">
        <f ca="1">SUMIF(INDIRECT(Totals[[#This Row],[SourceTable]] &amp; "[My Category]"),Y$3,INDIRECT(Totals[[#This Row],[SourceTable]] &amp; "[" &amp; TEXT(Totals[[#This Row],[Date]],"m/d/yy") &amp; "]"))</f>
        <v>0</v>
      </c>
      <c r="Z39" s="60">
        <f ca="1">SUMIF(INDIRECT(Totals[[#This Row],[SourceTable]] &amp; "[My Category]"),Z$3,INDIRECT(Totals[[#This Row],[SourceTable]] &amp; "[" &amp; TEXT(Totals[[#This Row],[Date]],"m/d/yy") &amp; "]"))</f>
        <v>0</v>
      </c>
      <c r="AA39" s="60">
        <f ca="1">SUMIF(INDIRECT(Totals[[#This Row],[SourceTable]] &amp; "[My Category]"),AA$3,INDIRECT(Totals[[#This Row],[SourceTable]] &amp; "[" &amp; TEXT(Totals[[#This Row],[Date]],"m/d/yy") &amp; "]"))</f>
        <v>0</v>
      </c>
      <c r="AB39" s="60">
        <f ca="1">SUMIF(INDIRECT(Totals[[#This Row],[SourceTable]] &amp; "[My Category]"),AB$3,INDIRECT(Totals[[#This Row],[SourceTable]] &amp; "[" &amp; TEXT(Totals[[#This Row],[Date]],"m/d/yy") &amp; "]"))</f>
        <v>0</v>
      </c>
      <c r="AC39" s="60">
        <f ca="1">SUMIF(INDIRECT(Totals[[#This Row],[SourceTable]] &amp; "[My Category]"),AC$3,INDIRECT(Totals[[#This Row],[SourceTable]] &amp; "[" &amp; TEXT(Totals[[#This Row],[Date]],"m/d/yy") &amp; "]"))</f>
        <v>0</v>
      </c>
      <c r="AD39" s="60">
        <f ca="1">SUMIF(INDIRECT(Totals[[#This Row],[SourceTable]] &amp; "[My Category]"),AD$3,INDIRECT(Totals[[#This Row],[SourceTable]] &amp; "[" &amp; TEXT(Totals[[#This Row],[Date]],"m/d/yy") &amp; "]"))</f>
        <v>0</v>
      </c>
      <c r="AE39" s="60">
        <f ca="1">SUMIF(INDIRECT(Totals[[#This Row],[SourceTable]] &amp; "[My Category]"),AE$3,INDIRECT(Totals[[#This Row],[SourceTable]] &amp; "[" &amp; TEXT(Totals[[#This Row],[Date]],"m/d/yy") &amp; "]"))</f>
        <v>0</v>
      </c>
      <c r="AF39" s="60">
        <f ca="1">SUMIF(INDIRECT(Totals[[#This Row],[SourceTable]] &amp; "[My Category]"),AF$3,INDIRECT(Totals[[#This Row],[SourceTable]] &amp; "[" &amp; TEXT(Totals[[#This Row],[Date]],"m/d/yy") &amp; "]"))</f>
        <v>0</v>
      </c>
      <c r="AG39" s="60">
        <f ca="1">SUMIF(INDIRECT(Totals[[#This Row],[SourceTable]] &amp; "[My Category]"),AG$3,INDIRECT(Totals[[#This Row],[SourceTable]] &amp; "[" &amp; TEXT(Totals[[#This Row],[Date]],"m/d/yy") &amp; "]"))</f>
        <v>0</v>
      </c>
      <c r="AH39" s="60">
        <f ca="1">SUMIF(INDIRECT(Totals[[#This Row],[SourceTable]] &amp; "[My Category]"),AH$3,INDIRECT(Totals[[#This Row],[SourceTable]] &amp; "[" &amp; TEXT(Totals[[#This Row],[Date]],"m/d/yy") &amp; "]"))</f>
        <v>0</v>
      </c>
      <c r="AI39" s="60">
        <f ca="1">SUMIF(INDIRECT(Totals[[#This Row],[SourceTable]] &amp; "[My Category]"),AI$3,INDIRECT(Totals[[#This Row],[SourceTable]] &amp; "[" &amp; TEXT(Totals[[#This Row],[Date]],"m/d/yy") &amp; "]"))</f>
        <v>0</v>
      </c>
      <c r="AJ39" s="60">
        <f ca="1">SUMIF(INDIRECT(Totals[[#This Row],[SourceTable]] &amp; "[My Category]"),AJ$3,INDIRECT(Totals[[#This Row],[SourceTable]] &amp; "[" &amp; TEXT(Totals[[#This Row],[Date]],"m/d/yy") &amp; "]"))</f>
        <v>0</v>
      </c>
      <c r="AK39" s="71">
        <f ca="1">SUM(Totals[[#This Row],[Car - Note]:[NONTRACKED]])</f>
        <v>0</v>
      </c>
    </row>
    <row r="40" spans="1:37" s="7" customFormat="1" x14ac:dyDescent="0.25">
      <c r="A40" s="75"/>
      <c r="B40" s="75"/>
      <c r="C40" s="76"/>
      <c r="D40" s="77">
        <f ca="1">AVERAGEIF(Totals[Use for average],"TRUE",INDIRECT("Totals[" &amp; D$3 &amp; "]"))</f>
        <v>-309.33333333333331</v>
      </c>
      <c r="E40" s="77">
        <f ca="1">AVERAGEIF(Totals[Use for average],"TRUE",INDIRECT("Totals[" &amp; E$3 &amp; "]"))</f>
        <v>-194.75400000000002</v>
      </c>
      <c r="F40" s="77">
        <f ca="1">AVERAGEIF(Totals[Use for average],"TRUE",INDIRECT("Totals[" &amp; F$3 &amp; "]"))</f>
        <v>-68.391000000000005</v>
      </c>
      <c r="G40" s="77">
        <f ca="1">AVERAGEIF(Totals[Use for average],"TRUE",INDIRECT("Totals[" &amp; G$3 &amp; "]"))</f>
        <v>0</v>
      </c>
      <c r="H40" s="77">
        <f ca="1">AVERAGEIF(Totals[Use for average],"TRUE",INDIRECT("Totals[" &amp; H$3 &amp; "]"))</f>
        <v>-2.4999999999999969</v>
      </c>
      <c r="I40" s="77">
        <f ca="1">AVERAGEIF(Totals[Use for average],"TRUE",INDIRECT("Totals[" &amp; I$3 &amp; "]"))</f>
        <v>-34.48833333333333</v>
      </c>
      <c r="J40" s="77">
        <f ca="1">AVERAGEIF(Totals[Use for average],"TRUE",INDIRECT("Totals[" &amp; J$3 &amp; "]"))</f>
        <v>-29.796666666666663</v>
      </c>
      <c r="K40" s="77">
        <f ca="1">AVERAGEIF(Totals[Use for average],"TRUE",INDIRECT("Totals[" &amp; K$3 &amp; "]"))</f>
        <v>-27.340666666666667</v>
      </c>
      <c r="L40" s="77">
        <f ca="1">AVERAGEIF(Totals[Use for average],"TRUE",INDIRECT("Totals[" &amp; L$3 &amp; "]"))</f>
        <v>-20.249666666666666</v>
      </c>
      <c r="M40" s="77">
        <f ca="1">AVERAGEIF(Totals[Use for average],"TRUE",INDIRECT("Totals[" &amp; M$3 &amp; "]"))</f>
        <v>-53.459333333333333</v>
      </c>
      <c r="N40" s="77">
        <f ca="1">AVERAGEIF(Totals[Use for average],"TRUE",INDIRECT("Totals[" &amp; N$3 &amp; "]"))</f>
        <v>-10.378666666666666</v>
      </c>
      <c r="O40" s="77">
        <f ca="1">AVERAGEIF(Totals[Use for average],"TRUE",INDIRECT("Totals[" &amp; O$3 &amp; "]"))</f>
        <v>-96.912333333333351</v>
      </c>
      <c r="P40" s="77">
        <f ca="1">AVERAGEIF(Totals[Use for average],"TRUE",INDIRECT("Totals[" &amp; P$3 &amp; "]"))</f>
        <v>-185.09966666666662</v>
      </c>
      <c r="Q40" s="77">
        <f ca="1">AVERAGEIF(Totals[Use for average],"TRUE",INDIRECT("Totals[" &amp; Q$3 &amp; "]"))</f>
        <v>-195.55466666666672</v>
      </c>
      <c r="R40" s="77">
        <f ca="1">AVERAGEIF(Totals[Use for average],"TRUE",INDIRECT("Totals[" &amp; R$3 &amp; "]"))</f>
        <v>-1425.8899999999999</v>
      </c>
      <c r="S40" s="77">
        <f ca="1">AVERAGEIF(Totals[Use for average],"TRUE",INDIRECT("Totals[" &amp; S$3 &amp; "]"))</f>
        <v>-99.870333333333349</v>
      </c>
      <c r="T40" s="77">
        <f ca="1">AVERAGEIF(Totals[Use for average],"TRUE",INDIRECT("Totals[" &amp; T$3 &amp; "]"))</f>
        <v>-60.333666666666666</v>
      </c>
      <c r="U40" s="77">
        <f ca="1">AVERAGEIF(Totals[Use for average],"TRUE",INDIRECT("Totals[" &amp; U$3 &amp; "]"))</f>
        <v>-213.47299999999993</v>
      </c>
      <c r="V40" s="77">
        <f ca="1">AVERAGEIF(Totals[Use for average],"TRUE",INDIRECT("Totals[" &amp; V$3 &amp; "]"))</f>
        <v>-26.922000000000004</v>
      </c>
      <c r="W40" s="77">
        <f ca="1">AVERAGEIF(Totals[Use for average],"TRUE",INDIRECT("Totals[" &amp; W$3 &amp; "]"))</f>
        <v>0</v>
      </c>
      <c r="X40" s="77">
        <f ca="1">AVERAGEIF(Totals[Use for average],"TRUE",INDIRECT("Totals[" &amp; X$3 &amp; "]"))</f>
        <v>0</v>
      </c>
      <c r="Y40" s="77">
        <f ca="1">AVERAGEIF(Totals[Use for average],"TRUE",INDIRECT("Totals[" &amp; Y$3 &amp; "]"))</f>
        <v>0</v>
      </c>
      <c r="Z40" s="77">
        <f ca="1">AVERAGEIF(Totals[Use for average],"TRUE",INDIRECT("Totals[" &amp; Z$3 &amp; "]"))</f>
        <v>-113.923</v>
      </c>
      <c r="AA40" s="77">
        <f ca="1">AVERAGEIF(Totals[Use for average],"TRUE",INDIRECT("Totals[" &amp; AA$3 &amp; "]"))</f>
        <v>-8.2216666666666676</v>
      </c>
      <c r="AB40" s="77">
        <f ca="1">AVERAGEIF(Totals[Use for average],"TRUE",INDIRECT("Totals[" &amp; AB$3 &amp; "]"))</f>
        <v>-6.282</v>
      </c>
      <c r="AC40" s="77">
        <f ca="1">AVERAGEIF(Totals[Use for average],"TRUE",INDIRECT("Totals[" &amp; AC$3 &amp; "]"))</f>
        <v>-46.894999999999996</v>
      </c>
      <c r="AD40" s="77">
        <f ca="1">AVERAGEIF(Totals[Use for average],"TRUE",INDIRECT("Totals[" &amp; AD$3 &amp; "]"))</f>
        <v>-26.35013972602739</v>
      </c>
      <c r="AE40" s="77">
        <f ca="1">AVERAGEIF(Totals[Use for average],"TRUE",INDIRECT("Totals[" &amp; AE$3 &amp; "]"))</f>
        <v>3796.1516666666671</v>
      </c>
      <c r="AF40" s="77">
        <f ca="1">AVERAGEIF(Totals[Use for average],"TRUE",INDIRECT("Totals[" &amp; AF$3 &amp; "]"))</f>
        <v>510.12900000000013</v>
      </c>
      <c r="AG40" s="77">
        <f ca="1">AVERAGEIF(Totals[Use for average],"TRUE",INDIRECT("Totals[" &amp; AG$3 &amp; "]"))</f>
        <v>0</v>
      </c>
      <c r="AH40" s="77">
        <f ca="1">AVERAGEIF(Totals[Use for average],"TRUE",INDIRECT("Totals[" &amp; AH$3 &amp; "]"))</f>
        <v>0</v>
      </c>
      <c r="AI40" s="77">
        <f ca="1">AVERAGEIF(Totals[Use for average],"TRUE",INDIRECT("Totals[" &amp; AI$3 &amp; "]"))</f>
        <v>-89.763333333333335</v>
      </c>
      <c r="AJ40" s="77">
        <f ca="1">AVERAGEIF(Totals[Use for average],"TRUE",INDIRECT("Totals[" &amp; AJ$3 &amp; "]"))</f>
        <v>0</v>
      </c>
      <c r="AK40" s="78"/>
    </row>
  </sheetData>
  <dataValidations count="1">
    <dataValidation type="list" errorStyle="warning" allowBlank="1" showInputMessage="1" showErrorMessage="1" sqref="D3:AJ3" xr:uid="{F0207A7C-F621-4FE1-8E74-B0AF6C8F7127}">
      <formula1>CategoriesList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FC13-D267-4725-8AD9-3AF27B488597}">
  <dimension ref="A1:AH22"/>
  <sheetViews>
    <sheetView topLeftCell="J1" workbookViewId="0">
      <selection activeCell="Q11" sqref="Q11"/>
    </sheetView>
  </sheetViews>
  <sheetFormatPr defaultColWidth="10.7109375" defaultRowHeight="15" x14ac:dyDescent="0.25"/>
  <cols>
    <col min="1" max="1" width="13.140625" bestFit="1" customWidth="1"/>
    <col min="2" max="2" width="16.5703125" bestFit="1" customWidth="1"/>
    <col min="3" max="3" width="26.5703125" bestFit="1" customWidth="1"/>
    <col min="4" max="4" width="17.42578125" bestFit="1" customWidth="1"/>
    <col min="5" max="5" width="23.28515625" bestFit="1" customWidth="1"/>
    <col min="6" max="6" width="24.28515625" bestFit="1" customWidth="1"/>
    <col min="7" max="7" width="27.5703125" bestFit="1" customWidth="1"/>
    <col min="8" max="8" width="12.5703125" bestFit="1" customWidth="1"/>
    <col min="9" max="9" width="27.7109375" bestFit="1" customWidth="1"/>
    <col min="10" max="10" width="13.85546875" bestFit="1" customWidth="1"/>
    <col min="11" max="11" width="16.42578125" bestFit="1" customWidth="1"/>
    <col min="12" max="12" width="12.85546875" bestFit="1" customWidth="1"/>
    <col min="13" max="13" width="14.140625" bestFit="1" customWidth="1"/>
    <col min="14" max="14" width="16.28515625" bestFit="1" customWidth="1"/>
    <col min="15" max="15" width="17.5703125" bestFit="1" customWidth="1"/>
    <col min="16" max="16" width="12.7109375" bestFit="1" customWidth="1"/>
    <col min="17" max="17" width="14.85546875" bestFit="1" customWidth="1"/>
    <col min="18" max="18" width="15" bestFit="1" customWidth="1"/>
    <col min="19" max="19" width="21.85546875" bestFit="1" customWidth="1"/>
    <col min="20" max="20" width="17.5703125" bestFit="1" customWidth="1"/>
    <col min="21" max="21" width="11.5703125" bestFit="1" customWidth="1"/>
    <col min="22" max="22" width="18" bestFit="1" customWidth="1"/>
    <col min="23" max="23" width="16.85546875" bestFit="1" customWidth="1"/>
    <col min="24" max="24" width="23.7109375" bestFit="1" customWidth="1"/>
    <col min="25" max="25" width="21.85546875" bestFit="1" customWidth="1"/>
    <col min="26" max="26" width="24.140625" bestFit="1" customWidth="1"/>
    <col min="27" max="27" width="11.7109375" bestFit="1" customWidth="1"/>
    <col min="28" max="28" width="19.7109375" bestFit="1" customWidth="1"/>
    <col min="29" max="29" width="12.85546875" bestFit="1" customWidth="1"/>
    <col min="30" max="30" width="21.140625" bestFit="1" customWidth="1"/>
    <col min="31" max="31" width="19.28515625" bestFit="1" customWidth="1"/>
    <col min="32" max="32" width="23.5703125" bestFit="1" customWidth="1"/>
    <col min="33" max="33" width="21" bestFit="1" customWidth="1"/>
    <col min="34" max="34" width="20.140625" bestFit="1" customWidth="1"/>
  </cols>
  <sheetData>
    <row r="1" spans="1:34" x14ac:dyDescent="0.25">
      <c r="A1" s="106" t="s">
        <v>962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</row>
    <row r="2" spans="1:34" x14ac:dyDescent="0.2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</row>
    <row r="3" spans="1:34" x14ac:dyDescent="0.25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</row>
    <row r="4" spans="1:34" x14ac:dyDescent="0.25">
      <c r="A4" s="105" t="s">
        <v>1011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</row>
    <row r="6" spans="1:34" x14ac:dyDescent="0.25">
      <c r="A6" s="1" t="s">
        <v>151</v>
      </c>
      <c r="B6" t="s">
        <v>963</v>
      </c>
      <c r="C6" t="s">
        <v>964</v>
      </c>
      <c r="D6" t="s">
        <v>965</v>
      </c>
      <c r="E6" t="s">
        <v>966</v>
      </c>
      <c r="F6" t="s">
        <v>982</v>
      </c>
      <c r="G6" t="s">
        <v>983</v>
      </c>
      <c r="H6" t="s">
        <v>984</v>
      </c>
      <c r="I6" t="s">
        <v>985</v>
      </c>
      <c r="J6" t="s">
        <v>986</v>
      </c>
      <c r="K6" t="s">
        <v>987</v>
      </c>
      <c r="L6" t="s">
        <v>988</v>
      </c>
      <c r="M6" t="s">
        <v>989</v>
      </c>
      <c r="N6" t="s">
        <v>990</v>
      </c>
      <c r="O6" t="s">
        <v>991</v>
      </c>
      <c r="P6" t="s">
        <v>992</v>
      </c>
      <c r="Q6" t="s">
        <v>993</v>
      </c>
      <c r="R6" t="s">
        <v>994</v>
      </c>
      <c r="S6" t="s">
        <v>995</v>
      </c>
      <c r="T6" t="s">
        <v>996</v>
      </c>
      <c r="U6" t="s">
        <v>997</v>
      </c>
      <c r="V6" t="s">
        <v>998</v>
      </c>
      <c r="W6" t="s">
        <v>999</v>
      </c>
      <c r="X6" t="s">
        <v>1000</v>
      </c>
      <c r="Y6" t="s">
        <v>1001</v>
      </c>
      <c r="Z6" t="s">
        <v>1002</v>
      </c>
      <c r="AA6" t="s">
        <v>1003</v>
      </c>
      <c r="AB6" t="s">
        <v>1004</v>
      </c>
      <c r="AC6" t="s">
        <v>1005</v>
      </c>
      <c r="AD6" t="s">
        <v>1006</v>
      </c>
      <c r="AE6" t="s">
        <v>1007</v>
      </c>
      <c r="AF6" t="s">
        <v>1008</v>
      </c>
      <c r="AG6" t="s">
        <v>1009</v>
      </c>
      <c r="AH6" t="s">
        <v>1010</v>
      </c>
    </row>
    <row r="7" spans="1:34" x14ac:dyDescent="0.25">
      <c r="A7" s="2" t="s">
        <v>967</v>
      </c>
      <c r="B7" s="67">
        <v>-3840</v>
      </c>
      <c r="C7" s="67">
        <v>-2145.3340000000003</v>
      </c>
      <c r="D7" s="67">
        <v>-889.56</v>
      </c>
      <c r="E7" s="67">
        <v>0</v>
      </c>
      <c r="F7" s="67">
        <v>-16.249999999999922</v>
      </c>
      <c r="G7" s="67">
        <v>-557.95999999999992</v>
      </c>
      <c r="H7" s="67">
        <v>-281.75</v>
      </c>
      <c r="I7" s="67">
        <v>-441.8606666666667</v>
      </c>
      <c r="J7" s="67">
        <v>-341.38</v>
      </c>
      <c r="K7" s="67">
        <v>-959.92000000000007</v>
      </c>
      <c r="L7" s="67">
        <v>-136.44</v>
      </c>
      <c r="M7" s="67">
        <v>-1753.71</v>
      </c>
      <c r="N7" s="67">
        <v>-2370.1499999999996</v>
      </c>
      <c r="O7" s="67">
        <v>-2498.5599999999995</v>
      </c>
      <c r="P7" s="67">
        <v>-15447.43</v>
      </c>
      <c r="Q7" s="67">
        <v>-779.71866666666665</v>
      </c>
      <c r="R7" s="67">
        <v>-727.21833333333325</v>
      </c>
      <c r="S7" s="67">
        <v>-4763.3899999999985</v>
      </c>
      <c r="T7" s="67">
        <v>-373.99</v>
      </c>
      <c r="U7" s="67">
        <v>0</v>
      </c>
      <c r="V7" s="67">
        <v>0</v>
      </c>
      <c r="W7" s="67">
        <v>0</v>
      </c>
      <c r="X7" s="67">
        <v>0</v>
      </c>
      <c r="Y7" s="67">
        <v>-116.96999999999998</v>
      </c>
      <c r="Z7" s="67">
        <v>-188.46</v>
      </c>
      <c r="AA7" s="67">
        <v>-740</v>
      </c>
      <c r="AB7" s="67">
        <v>-372.35769863013701</v>
      </c>
      <c r="AC7" s="67">
        <v>43361.365714285719</v>
      </c>
      <c r="AD7" s="67">
        <v>11765.410000000003</v>
      </c>
      <c r="AE7" s="67">
        <v>0</v>
      </c>
      <c r="AF7" s="67">
        <v>0</v>
      </c>
      <c r="AG7" s="67">
        <v>-2692.9</v>
      </c>
      <c r="AH7" s="67">
        <v>0</v>
      </c>
    </row>
    <row r="8" spans="1:34" x14ac:dyDescent="0.25">
      <c r="A8" s="2" t="s">
        <v>980</v>
      </c>
      <c r="B8" s="67">
        <v>-3840</v>
      </c>
      <c r="C8" s="67">
        <v>-2580.0050000000001</v>
      </c>
      <c r="D8" s="67">
        <v>-1018.4399999999998</v>
      </c>
      <c r="E8" s="67">
        <v>0</v>
      </c>
      <c r="F8" s="67">
        <v>-0.51999999999998181</v>
      </c>
      <c r="G8" s="67">
        <v>-455.69</v>
      </c>
      <c r="H8" s="67">
        <v>-468.84000000000003</v>
      </c>
      <c r="I8" s="67">
        <v>-293.42666666666668</v>
      </c>
      <c r="J8" s="67">
        <v>-168.43</v>
      </c>
      <c r="K8" s="67">
        <v>-561.36</v>
      </c>
      <c r="L8" s="67">
        <v>-153.19</v>
      </c>
      <c r="M8" s="67">
        <v>-1108.6600000000001</v>
      </c>
      <c r="N8" s="67">
        <v>-2146.9500000000003</v>
      </c>
      <c r="O8" s="67">
        <v>-2591.8000000000002</v>
      </c>
      <c r="P8" s="67">
        <v>-19175.936666666668</v>
      </c>
      <c r="Q8" s="67">
        <v>-1285.1406666666667</v>
      </c>
      <c r="R8" s="67">
        <v>-750.97666666666669</v>
      </c>
      <c r="S8" s="67">
        <v>-1558.96</v>
      </c>
      <c r="T8" s="67">
        <v>-433.67</v>
      </c>
      <c r="U8" s="67">
        <v>0</v>
      </c>
      <c r="V8" s="67">
        <v>0</v>
      </c>
      <c r="W8" s="67">
        <v>0</v>
      </c>
      <c r="X8" s="67">
        <v>-2918.69</v>
      </c>
      <c r="Y8" s="67">
        <v>-129.68</v>
      </c>
      <c r="Z8" s="67">
        <v>0</v>
      </c>
      <c r="AA8" s="67">
        <v>-566.85</v>
      </c>
      <c r="AB8" s="67">
        <v>-329.26589041095889</v>
      </c>
      <c r="AC8" s="67">
        <v>49461.109285714287</v>
      </c>
      <c r="AD8" s="67">
        <v>1954.09</v>
      </c>
      <c r="AE8" s="67">
        <v>0</v>
      </c>
      <c r="AF8" s="67">
        <v>0</v>
      </c>
      <c r="AG8" s="67">
        <v>0</v>
      </c>
      <c r="AH8" s="67">
        <v>0</v>
      </c>
    </row>
    <row r="9" spans="1:34" x14ac:dyDescent="0.25">
      <c r="A9" s="2" t="s">
        <v>981</v>
      </c>
      <c r="B9" s="67">
        <v>-1301.3333333333333</v>
      </c>
      <c r="C9" s="67">
        <v>-884.81200000000001</v>
      </c>
      <c r="D9" s="67">
        <v>-143.73000000000002</v>
      </c>
      <c r="E9" s="67">
        <v>0</v>
      </c>
      <c r="F9" s="67">
        <v>-58.23</v>
      </c>
      <c r="G9" s="67">
        <v>-21</v>
      </c>
      <c r="H9" s="67">
        <v>-143.31</v>
      </c>
      <c r="I9" s="67">
        <v>-72.681333333333342</v>
      </c>
      <c r="J9" s="67">
        <v>-97.68</v>
      </c>
      <c r="K9" s="67">
        <v>-82.5</v>
      </c>
      <c r="L9" s="67">
        <v>-21.73</v>
      </c>
      <c r="M9" s="67">
        <v>-45</v>
      </c>
      <c r="N9" s="67">
        <v>-929.86</v>
      </c>
      <c r="O9" s="67">
        <v>-657.09999999999991</v>
      </c>
      <c r="P9" s="67">
        <v>-6609.7849462365584</v>
      </c>
      <c r="Q9" s="67">
        <v>-759.47597849462363</v>
      </c>
      <c r="R9" s="67">
        <v>-227.62499999999997</v>
      </c>
      <c r="S9" s="67">
        <v>-81.84</v>
      </c>
      <c r="T9" s="67">
        <v>0</v>
      </c>
      <c r="U9" s="67">
        <v>0</v>
      </c>
      <c r="V9" s="67">
        <v>0</v>
      </c>
      <c r="W9" s="67">
        <v>0</v>
      </c>
      <c r="X9" s="67">
        <v>-499</v>
      </c>
      <c r="Y9" s="67">
        <v>0</v>
      </c>
      <c r="Z9" s="67">
        <v>0</v>
      </c>
      <c r="AA9" s="67">
        <v>-100</v>
      </c>
      <c r="AB9" s="67">
        <v>-69.11643835616438</v>
      </c>
      <c r="AC9" s="67">
        <v>17120.560714285712</v>
      </c>
      <c r="AD9" s="67">
        <v>1575.8999999999999</v>
      </c>
      <c r="AE9" s="67">
        <v>0</v>
      </c>
      <c r="AF9" s="67">
        <v>0</v>
      </c>
      <c r="AG9" s="67">
        <v>0</v>
      </c>
      <c r="AH9" s="67">
        <v>0</v>
      </c>
    </row>
    <row r="10" spans="1:34" x14ac:dyDescent="0.25">
      <c r="A10" s="80" t="s">
        <v>968</v>
      </c>
      <c r="B10" s="67">
        <v>-320</v>
      </c>
      <c r="C10" s="67">
        <v>-193.08233333333334</v>
      </c>
      <c r="D10" s="67">
        <v>-53.07</v>
      </c>
      <c r="E10" s="67">
        <v>0</v>
      </c>
      <c r="F10" s="67">
        <v>-30.32</v>
      </c>
      <c r="G10" s="67">
        <v>-21</v>
      </c>
      <c r="H10" s="67">
        <v>0</v>
      </c>
      <c r="I10" s="67">
        <v>-10.81</v>
      </c>
      <c r="J10" s="67">
        <v>0</v>
      </c>
      <c r="K10" s="67">
        <v>-82.5</v>
      </c>
      <c r="L10" s="67">
        <v>0</v>
      </c>
      <c r="M10" s="67">
        <v>0</v>
      </c>
      <c r="N10" s="67">
        <v>-252.42</v>
      </c>
      <c r="O10" s="67">
        <v>-116.35</v>
      </c>
      <c r="P10" s="67">
        <v>-1653.3333333333333</v>
      </c>
      <c r="Q10" s="67">
        <v>-136.74433333333334</v>
      </c>
      <c r="R10" s="67">
        <v>-54.715000000000003</v>
      </c>
      <c r="S10" s="67">
        <v>-30.23</v>
      </c>
      <c r="T10" s="67">
        <v>0</v>
      </c>
      <c r="U10" s="67">
        <v>0</v>
      </c>
      <c r="V10" s="67">
        <v>0</v>
      </c>
      <c r="W10" s="67">
        <v>0</v>
      </c>
      <c r="X10" s="67">
        <v>0</v>
      </c>
      <c r="Y10" s="67">
        <v>0</v>
      </c>
      <c r="Z10" s="67">
        <v>0</v>
      </c>
      <c r="AA10" s="67">
        <v>0</v>
      </c>
      <c r="AB10" s="67">
        <v>-10.940876712328762</v>
      </c>
      <c r="AC10" s="67">
        <v>4208.7021428571425</v>
      </c>
      <c r="AD10" s="67">
        <v>12.33</v>
      </c>
      <c r="AE10" s="67">
        <v>0</v>
      </c>
      <c r="AF10" s="67">
        <v>0</v>
      </c>
      <c r="AG10" s="67">
        <v>0</v>
      </c>
      <c r="AH10" s="67">
        <v>0</v>
      </c>
    </row>
    <row r="11" spans="1:34" x14ac:dyDescent="0.25">
      <c r="A11" s="80" t="s">
        <v>969</v>
      </c>
      <c r="B11" s="67">
        <v>-320</v>
      </c>
      <c r="C11" s="67">
        <v>-209.90433333333334</v>
      </c>
      <c r="D11" s="67">
        <v>-42.32</v>
      </c>
      <c r="E11" s="67">
        <v>0</v>
      </c>
      <c r="F11" s="67">
        <v>-27.909999999999997</v>
      </c>
      <c r="G11" s="67">
        <v>0</v>
      </c>
      <c r="H11" s="67">
        <v>-74.03</v>
      </c>
      <c r="I11" s="67">
        <v>-10.089333333333334</v>
      </c>
      <c r="J11" s="67">
        <v>0</v>
      </c>
      <c r="K11" s="67">
        <v>0</v>
      </c>
      <c r="L11" s="67">
        <v>-21.73</v>
      </c>
      <c r="M11" s="67">
        <v>-45</v>
      </c>
      <c r="N11" s="67">
        <v>-268.8</v>
      </c>
      <c r="O11" s="67">
        <v>-124.19999999999999</v>
      </c>
      <c r="P11" s="67">
        <v>-1600</v>
      </c>
      <c r="Q11" s="67">
        <v>-207.179</v>
      </c>
      <c r="R11" s="67">
        <v>-48.081034482758618</v>
      </c>
      <c r="S11" s="67">
        <v>0</v>
      </c>
      <c r="T11" s="67">
        <v>0</v>
      </c>
      <c r="U11" s="67">
        <v>0</v>
      </c>
      <c r="V11" s="67">
        <v>0</v>
      </c>
      <c r="W11" s="67">
        <v>0</v>
      </c>
      <c r="X11" s="67">
        <v>-499</v>
      </c>
      <c r="Y11" s="67">
        <v>0</v>
      </c>
      <c r="Z11" s="67">
        <v>0</v>
      </c>
      <c r="AA11" s="67">
        <v>-100</v>
      </c>
      <c r="AB11" s="67">
        <v>-10.23501369863013</v>
      </c>
      <c r="AC11" s="67">
        <v>3941.5135714285711</v>
      </c>
      <c r="AD11" s="67">
        <v>1534.81</v>
      </c>
      <c r="AE11" s="67">
        <v>0</v>
      </c>
      <c r="AF11" s="67">
        <v>0</v>
      </c>
      <c r="AG11" s="67">
        <v>0</v>
      </c>
      <c r="AH11" s="67">
        <v>0</v>
      </c>
    </row>
    <row r="12" spans="1:34" x14ac:dyDescent="0.25">
      <c r="A12" s="80" t="s">
        <v>970</v>
      </c>
      <c r="B12" s="67">
        <v>-320</v>
      </c>
      <c r="C12" s="67">
        <v>-225.01733333333334</v>
      </c>
      <c r="D12" s="67">
        <v>-48.34</v>
      </c>
      <c r="E12" s="67">
        <v>0</v>
      </c>
      <c r="F12" s="67">
        <v>0</v>
      </c>
      <c r="G12" s="67">
        <v>0</v>
      </c>
      <c r="H12" s="67">
        <v>-69.28</v>
      </c>
      <c r="I12" s="67">
        <v>-39.530666666666669</v>
      </c>
      <c r="J12" s="67">
        <v>-46.64</v>
      </c>
      <c r="K12" s="67">
        <v>0</v>
      </c>
      <c r="L12" s="67">
        <v>0</v>
      </c>
      <c r="M12" s="67">
        <v>0</v>
      </c>
      <c r="N12" s="67">
        <v>-133.01</v>
      </c>
      <c r="O12" s="67">
        <v>-77.55</v>
      </c>
      <c r="P12" s="67">
        <v>-1600</v>
      </c>
      <c r="Q12" s="67">
        <v>-196.34</v>
      </c>
      <c r="R12" s="67">
        <v>-54.28896551724138</v>
      </c>
      <c r="S12" s="67">
        <v>-51.61</v>
      </c>
      <c r="T12" s="67">
        <v>0</v>
      </c>
      <c r="U12" s="67">
        <v>0</v>
      </c>
      <c r="V12" s="67">
        <v>0</v>
      </c>
      <c r="W12" s="67">
        <v>0</v>
      </c>
      <c r="X12" s="67">
        <v>0</v>
      </c>
      <c r="Y12" s="67">
        <v>0</v>
      </c>
      <c r="Z12" s="67">
        <v>0</v>
      </c>
      <c r="AA12" s="67">
        <v>0</v>
      </c>
      <c r="AB12" s="67">
        <v>-10.587945205479453</v>
      </c>
      <c r="AC12" s="67">
        <v>4213.3449999999993</v>
      </c>
      <c r="AD12" s="67">
        <v>20.169999999999998</v>
      </c>
      <c r="AE12" s="67">
        <v>0</v>
      </c>
      <c r="AF12" s="67">
        <v>0</v>
      </c>
      <c r="AG12" s="67">
        <v>0</v>
      </c>
      <c r="AH12" s="67">
        <v>0</v>
      </c>
    </row>
    <row r="13" spans="1:34" x14ac:dyDescent="0.25">
      <c r="A13" s="80" t="s">
        <v>971</v>
      </c>
      <c r="B13" s="67">
        <v>-320</v>
      </c>
      <c r="C13" s="67">
        <v>-214.773</v>
      </c>
      <c r="D13" s="67">
        <v>0</v>
      </c>
      <c r="E13" s="67">
        <v>0</v>
      </c>
      <c r="F13" s="67">
        <v>0</v>
      </c>
      <c r="G13" s="67">
        <v>0</v>
      </c>
      <c r="H13" s="67">
        <v>0</v>
      </c>
      <c r="I13" s="67">
        <v>-10.449666666666667</v>
      </c>
      <c r="J13" s="67">
        <v>-51.04</v>
      </c>
      <c r="K13" s="67">
        <v>0</v>
      </c>
      <c r="L13" s="67">
        <v>0</v>
      </c>
      <c r="M13" s="67">
        <v>0</v>
      </c>
      <c r="N13" s="67">
        <v>-275.63</v>
      </c>
      <c r="O13" s="67">
        <v>-339</v>
      </c>
      <c r="P13" s="67">
        <v>-1650</v>
      </c>
      <c r="Q13" s="67">
        <v>-193.12033333333332</v>
      </c>
      <c r="R13" s="67">
        <v>-59.215000000000003</v>
      </c>
      <c r="S13" s="67">
        <v>0</v>
      </c>
      <c r="T13" s="67">
        <v>0</v>
      </c>
      <c r="U13" s="67">
        <v>0</v>
      </c>
      <c r="V13" s="67">
        <v>0</v>
      </c>
      <c r="W13" s="67">
        <v>0</v>
      </c>
      <c r="X13" s="67">
        <v>0</v>
      </c>
      <c r="Y13" s="67">
        <v>0</v>
      </c>
      <c r="Z13" s="67">
        <v>0</v>
      </c>
      <c r="AA13" s="67">
        <v>0</v>
      </c>
      <c r="AB13" s="67">
        <v>-35.58794520547945</v>
      </c>
      <c r="AC13" s="67">
        <v>4077.4285714285716</v>
      </c>
      <c r="AD13" s="67">
        <v>8.59</v>
      </c>
      <c r="AE13" s="67">
        <v>0</v>
      </c>
      <c r="AF13" s="67">
        <v>0</v>
      </c>
      <c r="AG13" s="67">
        <v>0</v>
      </c>
      <c r="AH13" s="67">
        <v>0</v>
      </c>
    </row>
    <row r="14" spans="1:34" x14ac:dyDescent="0.25">
      <c r="A14" s="80" t="s">
        <v>972</v>
      </c>
      <c r="B14" s="67">
        <v>-21.333333333333332</v>
      </c>
      <c r="C14" s="67">
        <v>-42.034999999999997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-1.8016666666666659</v>
      </c>
      <c r="J14" s="67">
        <v>0</v>
      </c>
      <c r="K14" s="67">
        <v>0</v>
      </c>
      <c r="L14" s="67">
        <v>0</v>
      </c>
      <c r="M14" s="67">
        <v>0</v>
      </c>
      <c r="N14" s="67">
        <v>0</v>
      </c>
      <c r="O14" s="67">
        <v>0</v>
      </c>
      <c r="P14" s="67">
        <v>-106.45161290322581</v>
      </c>
      <c r="Q14" s="67">
        <v>-26.092311827956983</v>
      </c>
      <c r="R14" s="67">
        <v>-11.324999999999999</v>
      </c>
      <c r="S14" s="67">
        <v>0</v>
      </c>
      <c r="T14" s="67">
        <v>0</v>
      </c>
      <c r="U14" s="67">
        <v>0</v>
      </c>
      <c r="V14" s="67">
        <v>0</v>
      </c>
      <c r="W14" s="67">
        <v>0</v>
      </c>
      <c r="X14" s="67">
        <v>0</v>
      </c>
      <c r="Y14" s="67">
        <v>0</v>
      </c>
      <c r="Z14" s="67">
        <v>0</v>
      </c>
      <c r="AA14" s="67">
        <v>0</v>
      </c>
      <c r="AB14" s="67">
        <v>-1.7646575342465773</v>
      </c>
      <c r="AC14" s="67">
        <v>679.57142857142844</v>
      </c>
      <c r="AD14" s="67">
        <v>0</v>
      </c>
      <c r="AE14" s="67">
        <v>0</v>
      </c>
      <c r="AF14" s="67">
        <v>0</v>
      </c>
      <c r="AG14" s="67">
        <v>0</v>
      </c>
      <c r="AH14" s="67">
        <v>0</v>
      </c>
    </row>
    <row r="15" spans="1:34" x14ac:dyDescent="0.25">
      <c r="A15" s="80" t="s">
        <v>973</v>
      </c>
      <c r="B15" s="67">
        <v>0</v>
      </c>
      <c r="C15" s="67">
        <v>0</v>
      </c>
      <c r="D15" s="67">
        <v>0</v>
      </c>
      <c r="E15" s="67">
        <v>0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R15" s="67">
        <v>0</v>
      </c>
      <c r="S15" s="67">
        <v>0</v>
      </c>
      <c r="T15" s="67">
        <v>0</v>
      </c>
      <c r="U15" s="67">
        <v>0</v>
      </c>
      <c r="V15" s="67">
        <v>0</v>
      </c>
      <c r="W15" s="67">
        <v>0</v>
      </c>
      <c r="X15" s="67">
        <v>0</v>
      </c>
      <c r="Y15" s="67">
        <v>0</v>
      </c>
      <c r="Z15" s="67">
        <v>0</v>
      </c>
      <c r="AA15" s="67">
        <v>0</v>
      </c>
      <c r="AB15" s="67">
        <v>0</v>
      </c>
      <c r="AC15" s="67">
        <v>0</v>
      </c>
      <c r="AD15" s="67">
        <v>0</v>
      </c>
      <c r="AE15" s="67">
        <v>0</v>
      </c>
      <c r="AF15" s="67">
        <v>0</v>
      </c>
      <c r="AG15" s="67">
        <v>0</v>
      </c>
      <c r="AH15" s="67">
        <v>0</v>
      </c>
    </row>
    <row r="16" spans="1:34" x14ac:dyDescent="0.25">
      <c r="A16" s="80" t="s">
        <v>974</v>
      </c>
      <c r="B16" s="67">
        <v>0</v>
      </c>
      <c r="C16" s="67">
        <v>0</v>
      </c>
      <c r="D16" s="67">
        <v>0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R16" s="67">
        <v>0</v>
      </c>
      <c r="S16" s="67">
        <v>0</v>
      </c>
      <c r="T16" s="67">
        <v>0</v>
      </c>
      <c r="U16" s="67">
        <v>0</v>
      </c>
      <c r="V16" s="67">
        <v>0</v>
      </c>
      <c r="W16" s="67">
        <v>0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</row>
    <row r="17" spans="1:34" x14ac:dyDescent="0.25">
      <c r="A17" s="80" t="s">
        <v>975</v>
      </c>
      <c r="B17" s="67">
        <v>0</v>
      </c>
      <c r="C17" s="67">
        <v>0</v>
      </c>
      <c r="D17" s="67">
        <v>0</v>
      </c>
      <c r="E17" s="67">
        <v>0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R17" s="67">
        <v>0</v>
      </c>
      <c r="S17" s="67">
        <v>0</v>
      </c>
      <c r="T17" s="67">
        <v>0</v>
      </c>
      <c r="U17" s="67">
        <v>0</v>
      </c>
      <c r="V17" s="67">
        <v>0</v>
      </c>
      <c r="W17" s="67">
        <v>0</v>
      </c>
      <c r="X17" s="67">
        <v>0</v>
      </c>
      <c r="Y17" s="67">
        <v>0</v>
      </c>
      <c r="Z17" s="67">
        <v>0</v>
      </c>
      <c r="AA17" s="67">
        <v>0</v>
      </c>
      <c r="AB17" s="67">
        <v>0</v>
      </c>
      <c r="AC17" s="67">
        <v>0</v>
      </c>
      <c r="AD17" s="67">
        <v>0</v>
      </c>
      <c r="AE17" s="67">
        <v>0</v>
      </c>
      <c r="AF17" s="67">
        <v>0</v>
      </c>
      <c r="AG17" s="67">
        <v>0</v>
      </c>
      <c r="AH17" s="67">
        <v>0</v>
      </c>
    </row>
    <row r="18" spans="1:34" x14ac:dyDescent="0.25">
      <c r="A18" s="80" t="s">
        <v>976</v>
      </c>
      <c r="B18" s="67">
        <v>0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0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67">
        <v>0</v>
      </c>
      <c r="V18" s="67">
        <v>0</v>
      </c>
      <c r="W18" s="67">
        <v>0</v>
      </c>
      <c r="X18" s="67">
        <v>0</v>
      </c>
      <c r="Y18" s="67">
        <v>0</v>
      </c>
      <c r="Z18" s="67">
        <v>0</v>
      </c>
      <c r="AA18" s="67">
        <v>0</v>
      </c>
      <c r="AB18" s="67">
        <v>0</v>
      </c>
      <c r="AC18" s="67">
        <v>0</v>
      </c>
      <c r="AD18" s="67">
        <v>0</v>
      </c>
      <c r="AE18" s="67">
        <v>0</v>
      </c>
      <c r="AF18" s="67">
        <v>0</v>
      </c>
      <c r="AG18" s="67">
        <v>0</v>
      </c>
      <c r="AH18" s="67">
        <v>0</v>
      </c>
    </row>
    <row r="19" spans="1:34" x14ac:dyDescent="0.25">
      <c r="A19" s="80" t="s">
        <v>977</v>
      </c>
      <c r="B19" s="67">
        <v>0</v>
      </c>
      <c r="C19" s="67">
        <v>0</v>
      </c>
      <c r="D19" s="67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67">
        <v>0</v>
      </c>
      <c r="U19" s="67">
        <v>0</v>
      </c>
      <c r="V19" s="67">
        <v>0</v>
      </c>
      <c r="W19" s="67">
        <v>0</v>
      </c>
      <c r="X19" s="67">
        <v>0</v>
      </c>
      <c r="Y19" s="67">
        <v>0</v>
      </c>
      <c r="Z19" s="67">
        <v>0</v>
      </c>
      <c r="AA19" s="67">
        <v>0</v>
      </c>
      <c r="AB19" s="67">
        <v>0</v>
      </c>
      <c r="AC19" s="67">
        <v>0</v>
      </c>
      <c r="AD19" s="67">
        <v>0</v>
      </c>
      <c r="AE19" s="67">
        <v>0</v>
      </c>
      <c r="AF19" s="67">
        <v>0</v>
      </c>
      <c r="AG19" s="67">
        <v>0</v>
      </c>
      <c r="AH19" s="67">
        <v>0</v>
      </c>
    </row>
    <row r="20" spans="1:34" x14ac:dyDescent="0.25">
      <c r="A20" s="80" t="s">
        <v>978</v>
      </c>
      <c r="B20" s="67">
        <v>0</v>
      </c>
      <c r="C20" s="67">
        <v>0</v>
      </c>
      <c r="D20" s="67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7">
        <v>0</v>
      </c>
      <c r="R20" s="67">
        <v>0</v>
      </c>
      <c r="S20" s="67">
        <v>0</v>
      </c>
      <c r="T20" s="67">
        <v>0</v>
      </c>
      <c r="U20" s="67">
        <v>0</v>
      </c>
      <c r="V20" s="67">
        <v>0</v>
      </c>
      <c r="W20" s="67">
        <v>0</v>
      </c>
      <c r="X20" s="67">
        <v>0</v>
      </c>
      <c r="Y20" s="67">
        <v>0</v>
      </c>
      <c r="Z20" s="67">
        <v>0</v>
      </c>
      <c r="AA20" s="67">
        <v>0</v>
      </c>
      <c r="AB20" s="67">
        <v>0</v>
      </c>
      <c r="AC20" s="67">
        <v>0</v>
      </c>
      <c r="AD20" s="67">
        <v>0</v>
      </c>
      <c r="AE20" s="67">
        <v>0</v>
      </c>
      <c r="AF20" s="67">
        <v>0</v>
      </c>
      <c r="AG20" s="67">
        <v>0</v>
      </c>
      <c r="AH20" s="67">
        <v>0</v>
      </c>
    </row>
    <row r="21" spans="1:34" x14ac:dyDescent="0.25">
      <c r="A21" s="80" t="s">
        <v>979</v>
      </c>
      <c r="B21" s="67">
        <v>0</v>
      </c>
      <c r="C21" s="67">
        <v>0</v>
      </c>
      <c r="D21" s="67">
        <v>0</v>
      </c>
      <c r="E21" s="67">
        <v>0</v>
      </c>
      <c r="F21" s="67">
        <v>0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>
        <v>0</v>
      </c>
      <c r="Q21" s="67">
        <v>0</v>
      </c>
      <c r="R21" s="67">
        <v>0</v>
      </c>
      <c r="S21" s="67">
        <v>0</v>
      </c>
      <c r="T21" s="67">
        <v>0</v>
      </c>
      <c r="U21" s="67">
        <v>0</v>
      </c>
      <c r="V21" s="67">
        <v>0</v>
      </c>
      <c r="W21" s="67">
        <v>0</v>
      </c>
      <c r="X21" s="67">
        <v>0</v>
      </c>
      <c r="Y21" s="67">
        <v>0</v>
      </c>
      <c r="Z21" s="67">
        <v>0</v>
      </c>
      <c r="AA21" s="67">
        <v>0</v>
      </c>
      <c r="AB21" s="67">
        <v>0</v>
      </c>
      <c r="AC21" s="67">
        <v>0</v>
      </c>
      <c r="AD21" s="67">
        <v>0</v>
      </c>
      <c r="AE21" s="67">
        <v>0</v>
      </c>
      <c r="AF21" s="67">
        <v>0</v>
      </c>
      <c r="AG21" s="67">
        <v>0</v>
      </c>
      <c r="AH21" s="67">
        <v>0</v>
      </c>
    </row>
    <row r="22" spans="1:34" x14ac:dyDescent="0.25">
      <c r="A22" s="2" t="s">
        <v>54</v>
      </c>
      <c r="B22" s="67">
        <v>-8981.3333333333339</v>
      </c>
      <c r="C22" s="67">
        <v>-5610.1509999999998</v>
      </c>
      <c r="D22" s="67">
        <v>-2051.7299999999996</v>
      </c>
      <c r="E22" s="67">
        <v>0</v>
      </c>
      <c r="F22" s="67">
        <v>-74.999999999999901</v>
      </c>
      <c r="G22" s="67">
        <v>-1034.6499999999999</v>
      </c>
      <c r="H22" s="67">
        <v>-893.9</v>
      </c>
      <c r="I22" s="67">
        <v>-807.96866666666665</v>
      </c>
      <c r="J22" s="67">
        <v>-607.49</v>
      </c>
      <c r="K22" s="67">
        <v>-1603.7800000000002</v>
      </c>
      <c r="L22" s="67">
        <v>-311.36</v>
      </c>
      <c r="M22" s="67">
        <v>-2907.37</v>
      </c>
      <c r="N22" s="67">
        <v>-5446.9600000000009</v>
      </c>
      <c r="O22" s="67">
        <v>-5747.46</v>
      </c>
      <c r="P22" s="67">
        <v>-41233.151612903232</v>
      </c>
      <c r="Q22" s="67">
        <v>-2824.3353118279574</v>
      </c>
      <c r="R22" s="67">
        <v>-1705.82</v>
      </c>
      <c r="S22" s="67">
        <v>-6404.1899999999978</v>
      </c>
      <c r="T22" s="67">
        <v>-807.66000000000008</v>
      </c>
      <c r="U22" s="67">
        <v>0</v>
      </c>
      <c r="V22" s="67">
        <v>0</v>
      </c>
      <c r="W22" s="67">
        <v>0</v>
      </c>
      <c r="X22" s="67">
        <v>-3417.69</v>
      </c>
      <c r="Y22" s="67">
        <v>-246.64999999999998</v>
      </c>
      <c r="Z22" s="67">
        <v>-188.46</v>
      </c>
      <c r="AA22" s="67">
        <v>-1406.85</v>
      </c>
      <c r="AB22" s="67">
        <v>-770.74002739726018</v>
      </c>
      <c r="AC22" s="67">
        <v>109943.03571428572</v>
      </c>
      <c r="AD22" s="67">
        <v>15295.400000000003</v>
      </c>
      <c r="AE22" s="67">
        <v>0</v>
      </c>
      <c r="AF22" s="67">
        <v>0</v>
      </c>
      <c r="AG22" s="67">
        <v>-2692.9</v>
      </c>
      <c r="AH22" s="67">
        <v>0</v>
      </c>
    </row>
  </sheetData>
  <mergeCells count="2">
    <mergeCell ref="A1:T3"/>
    <mergeCell ref="A4:T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7513B-7C1F-4BD7-89B2-63DB5AB4D9E3}">
  <sheetPr codeName="Sheet1"/>
  <dimension ref="A1:XQ44"/>
  <sheetViews>
    <sheetView zoomScale="85" zoomScaleNormal="85" workbookViewId="0">
      <pane xSplit="3" ySplit="2" topLeftCell="WP3" activePane="bottomRight" state="frozen"/>
      <selection pane="topRight" activeCell="C1" sqref="C1"/>
      <selection pane="bottomLeft" activeCell="A3" sqref="A3"/>
      <selection pane="bottomRight" activeCell="XJ13" sqref="XJ13"/>
    </sheetView>
  </sheetViews>
  <sheetFormatPr defaultRowHeight="15" outlineLevelCol="1" x14ac:dyDescent="0.25"/>
  <cols>
    <col min="1" max="1" width="8.5703125" hidden="1" customWidth="1" outlineLevel="1"/>
    <col min="2" max="2" width="23.7109375" hidden="1" customWidth="1" outlineLevel="1"/>
    <col min="3" max="3" width="21.85546875" bestFit="1" customWidth="1" collapsed="1"/>
    <col min="4" max="4" width="9.5703125" bestFit="1" customWidth="1"/>
    <col min="5" max="5" width="7.140625" bestFit="1" customWidth="1"/>
    <col min="6" max="6" width="10.5703125" bestFit="1" customWidth="1"/>
    <col min="7" max="7" width="10.5703125" customWidth="1"/>
    <col min="8" max="8" width="8.85546875" hidden="1" customWidth="1" outlineLevel="1"/>
    <col min="9" max="9" width="11.28515625" hidden="1" customWidth="1" outlineLevel="1"/>
    <col min="10" max="10" width="14.42578125" hidden="1" customWidth="1" outlineLevel="1"/>
    <col min="11" max="11" width="12.85546875" hidden="1" customWidth="1" outlineLevel="1"/>
    <col min="12" max="12" width="11.28515625" customWidth="1" collapsed="1"/>
    <col min="13" max="13" width="15.42578125" hidden="1" customWidth="1" outlineLevel="1"/>
    <col min="14" max="14" width="9" hidden="1" customWidth="1" outlineLevel="1"/>
    <col min="15" max="15" width="8.140625" hidden="1" customWidth="1" outlineLevel="1"/>
    <col min="16" max="16" width="13.140625" hidden="1" customWidth="1" outlineLevel="1"/>
    <col min="17" max="17" width="10.42578125" hidden="1" customWidth="1" outlineLevel="1"/>
    <col min="18" max="19" width="8.85546875" hidden="1" customWidth="1" outlineLevel="1"/>
    <col min="20" max="20" width="13.42578125" hidden="1" customWidth="1" outlineLevel="1"/>
    <col min="21" max="21" width="7.42578125" hidden="1" customWidth="1" outlineLevel="1"/>
    <col min="22" max="22" width="9.5703125" hidden="1" customWidth="1" outlineLevel="1"/>
    <col min="23" max="23" width="8" hidden="1" customWidth="1" outlineLevel="1"/>
    <col min="24" max="24" width="5.140625" hidden="1" customWidth="1" outlineLevel="1"/>
    <col min="25" max="25" width="7.5703125" hidden="1" customWidth="1" outlineLevel="1"/>
    <col min="26" max="26" width="8.85546875" bestFit="1" customWidth="1" collapsed="1"/>
    <col min="27" max="27" width="9.85546875" bestFit="1" customWidth="1"/>
    <col min="28" max="28" width="10.5703125" customWidth="1"/>
    <col min="29" max="29" width="13.42578125" bestFit="1" customWidth="1"/>
    <col min="30" max="30" width="12.28515625" bestFit="1" customWidth="1"/>
    <col min="31" max="31" width="14.42578125" hidden="1" customWidth="1" outlineLevel="1"/>
    <col min="32" max="32" width="12.85546875" hidden="1" customWidth="1" outlineLevel="1"/>
    <col min="33" max="33" width="11.28515625" hidden="1" customWidth="1" outlineLevel="1"/>
    <col min="34" max="34" width="15.42578125" hidden="1" customWidth="1" outlineLevel="1"/>
    <col min="35" max="35" width="9" hidden="1" customWidth="1" outlineLevel="1"/>
    <col min="36" max="36" width="8.85546875" hidden="1" customWidth="1" outlineLevel="1"/>
    <col min="37" max="37" width="13.140625" hidden="1" customWidth="1" outlineLevel="1"/>
    <col min="38" max="38" width="10.42578125" hidden="1" customWidth="1" outlineLevel="1"/>
    <col min="39" max="40" width="8.85546875" hidden="1" customWidth="1" outlineLevel="1"/>
    <col min="41" max="41" width="13.42578125" hidden="1" customWidth="1" outlineLevel="1"/>
    <col min="42" max="42" width="8.85546875" hidden="1" customWidth="1" outlineLevel="1"/>
    <col min="43" max="43" width="9.5703125" hidden="1" customWidth="1" outlineLevel="1"/>
    <col min="44" max="44" width="8" hidden="1" customWidth="1" outlineLevel="1"/>
    <col min="45" max="45" width="8.85546875" hidden="1" customWidth="1" outlineLevel="1"/>
    <col min="46" max="46" width="11.28515625" bestFit="1" customWidth="1" collapsed="1"/>
    <col min="47" max="47" width="8.85546875" bestFit="1" customWidth="1"/>
    <col min="48" max="48" width="10" bestFit="1" customWidth="1"/>
    <col min="50" max="50" width="14.5703125" bestFit="1" customWidth="1"/>
    <col min="51" max="51" width="12.28515625" bestFit="1" customWidth="1"/>
    <col min="52" max="52" width="14.42578125" hidden="1" customWidth="1" outlineLevel="1"/>
    <col min="53" max="53" width="12.85546875" hidden="1" customWidth="1" outlineLevel="1"/>
    <col min="54" max="54" width="11.28515625" hidden="1" customWidth="1" outlineLevel="1"/>
    <col min="55" max="55" width="15.42578125" hidden="1" customWidth="1" outlineLevel="1"/>
    <col min="56" max="56" width="9" hidden="1" customWidth="1" outlineLevel="1"/>
    <col min="57" max="57" width="8.85546875" hidden="1" customWidth="1" outlineLevel="1"/>
    <col min="58" max="58" width="13.140625" hidden="1" customWidth="1" outlineLevel="1"/>
    <col min="59" max="59" width="10.42578125" hidden="1" customWidth="1" outlineLevel="1"/>
    <col min="60" max="61" width="8.85546875" hidden="1" customWidth="1" outlineLevel="1"/>
    <col min="62" max="62" width="13.42578125" hidden="1" customWidth="1" outlineLevel="1"/>
    <col min="63" max="63" width="8.85546875" hidden="1" customWidth="1" outlineLevel="1"/>
    <col min="64" max="64" width="9.5703125" hidden="1" customWidth="1" outlineLevel="1"/>
    <col min="65" max="65" width="8" hidden="1" customWidth="1" outlineLevel="1"/>
    <col min="66" max="66" width="8.85546875" hidden="1" customWidth="1" outlineLevel="1"/>
    <col min="67" max="67" width="11.28515625" bestFit="1" customWidth="1" collapsed="1"/>
    <col min="68" max="68" width="8.85546875" bestFit="1" customWidth="1"/>
    <col min="69" max="69" width="10" bestFit="1" customWidth="1"/>
    <col min="71" max="71" width="12.140625" bestFit="1" customWidth="1"/>
    <col min="72" max="72" width="12.28515625" bestFit="1" customWidth="1"/>
    <col min="73" max="73" width="14.42578125" hidden="1" customWidth="1" outlineLevel="1"/>
    <col min="74" max="74" width="12.85546875" hidden="1" customWidth="1" outlineLevel="1"/>
    <col min="75" max="75" width="11.28515625" hidden="1" customWidth="1" outlineLevel="1"/>
    <col min="76" max="76" width="15.42578125" hidden="1" customWidth="1" outlineLevel="1"/>
    <col min="77" max="77" width="9" hidden="1" customWidth="1" outlineLevel="1"/>
    <col min="78" max="78" width="8.85546875" hidden="1" customWidth="1" outlineLevel="1"/>
    <col min="79" max="79" width="13.140625" hidden="1" customWidth="1" outlineLevel="1"/>
    <col min="80" max="80" width="10.42578125" hidden="1" customWidth="1" outlineLevel="1"/>
    <col min="81" max="82" width="8.85546875" hidden="1" customWidth="1" outlineLevel="1"/>
    <col min="83" max="83" width="13.42578125" hidden="1" customWidth="1" outlineLevel="1"/>
    <col min="84" max="84" width="8.85546875" hidden="1" customWidth="1" outlineLevel="1"/>
    <col min="85" max="85" width="9.5703125" hidden="1" customWidth="1" outlineLevel="1"/>
    <col min="86" max="86" width="8" hidden="1" customWidth="1" outlineLevel="1"/>
    <col min="87" max="87" width="8.85546875" hidden="1" customWidth="1" outlineLevel="1"/>
    <col min="88" max="88" width="11.28515625" bestFit="1" customWidth="1" collapsed="1"/>
    <col min="89" max="89" width="8.85546875" bestFit="1" customWidth="1"/>
    <col min="90" max="90" width="9.42578125" bestFit="1" customWidth="1"/>
    <col min="92" max="92" width="10.85546875" bestFit="1" customWidth="1"/>
    <col min="93" max="93" width="12.28515625" bestFit="1" customWidth="1"/>
    <col min="94" max="94" width="14.42578125" hidden="1" customWidth="1" outlineLevel="1"/>
    <col min="95" max="95" width="12.85546875" hidden="1" customWidth="1" outlineLevel="1"/>
    <col min="96" max="96" width="11.28515625" hidden="1" customWidth="1" outlineLevel="1"/>
    <col min="97" max="97" width="15.42578125" hidden="1" customWidth="1" outlineLevel="1"/>
    <col min="98" max="98" width="9" hidden="1" customWidth="1" outlineLevel="1"/>
    <col min="99" max="99" width="8.85546875" hidden="1" customWidth="1" outlineLevel="1"/>
    <col min="100" max="100" width="13.140625" hidden="1" customWidth="1" outlineLevel="1"/>
    <col min="101" max="101" width="10.42578125" hidden="1" customWidth="1" outlineLevel="1"/>
    <col min="102" max="103" width="8.85546875" hidden="1" customWidth="1" outlineLevel="1"/>
    <col min="104" max="104" width="13.42578125" hidden="1" customWidth="1" outlineLevel="1"/>
    <col min="105" max="105" width="9.85546875" hidden="1" customWidth="1" outlineLevel="1"/>
    <col min="106" max="106" width="9.5703125" hidden="1" customWidth="1" outlineLevel="1"/>
    <col min="107" max="107" width="8" hidden="1" customWidth="1" outlineLevel="1"/>
    <col min="108" max="108" width="9.85546875" hidden="1" customWidth="1" outlineLevel="1"/>
    <col min="109" max="109" width="11.28515625" bestFit="1" customWidth="1" collapsed="1"/>
    <col min="110" max="110" width="9.85546875" bestFit="1" customWidth="1"/>
    <col min="111" max="111" width="10" bestFit="1" customWidth="1"/>
    <col min="113" max="113" width="10.5703125" bestFit="1" customWidth="1"/>
    <col min="114" max="114" width="12.28515625" bestFit="1" customWidth="1"/>
    <col min="115" max="115" width="14.42578125" hidden="1" customWidth="1" outlineLevel="1"/>
    <col min="116" max="116" width="12.85546875" hidden="1" customWidth="1" outlineLevel="1"/>
    <col min="117" max="117" width="11.28515625" hidden="1" customWidth="1" outlineLevel="1"/>
    <col min="118" max="118" width="15.42578125" hidden="1" customWidth="1" outlineLevel="1"/>
    <col min="119" max="119" width="9" hidden="1" customWidth="1" outlineLevel="1"/>
    <col min="120" max="120" width="8.85546875" hidden="1" customWidth="1" outlineLevel="1"/>
    <col min="121" max="121" width="13.140625" hidden="1" customWidth="1" outlineLevel="1"/>
    <col min="122" max="122" width="10.42578125" hidden="1" customWidth="1" outlineLevel="1"/>
    <col min="123" max="124" width="8.85546875" hidden="1" customWidth="1" outlineLevel="1"/>
    <col min="125" max="125" width="13.42578125" hidden="1" customWidth="1" outlineLevel="1"/>
    <col min="126" max="126" width="9.85546875" hidden="1" customWidth="1" outlineLevel="1"/>
    <col min="127" max="127" width="9.5703125" hidden="1" customWidth="1" outlineLevel="1"/>
    <col min="128" max="128" width="8" hidden="1" customWidth="1" outlineLevel="1"/>
    <col min="129" max="129" width="9.85546875" hidden="1" customWidth="1" outlineLevel="1"/>
    <col min="130" max="130" width="11.28515625" bestFit="1" customWidth="1" collapsed="1"/>
    <col min="131" max="131" width="9.85546875" bestFit="1" customWidth="1"/>
    <col min="132" max="132" width="9.42578125" bestFit="1" customWidth="1"/>
    <col min="134" max="134" width="10.7109375" bestFit="1" customWidth="1"/>
    <col min="135" max="135" width="12.28515625" bestFit="1" customWidth="1"/>
    <col min="136" max="136" width="14.42578125" hidden="1" customWidth="1" outlineLevel="1"/>
    <col min="137" max="137" width="12.85546875" hidden="1" customWidth="1" outlineLevel="1"/>
    <col min="138" max="138" width="11.28515625" hidden="1" customWidth="1" outlineLevel="1"/>
    <col min="139" max="139" width="15.42578125" hidden="1" customWidth="1" outlineLevel="1"/>
    <col min="140" max="140" width="9" hidden="1" customWidth="1" outlineLevel="1"/>
    <col min="141" max="141" width="8.85546875" hidden="1" customWidth="1" outlineLevel="1"/>
    <col min="142" max="142" width="13.140625" hidden="1" customWidth="1" outlineLevel="1"/>
    <col min="143" max="143" width="10.42578125" hidden="1" customWidth="1" outlineLevel="1"/>
    <col min="144" max="145" width="8.85546875" hidden="1" customWidth="1" outlineLevel="1"/>
    <col min="146" max="146" width="13.42578125" hidden="1" customWidth="1" outlineLevel="1"/>
    <col min="147" max="147" width="9.85546875" hidden="1" customWidth="1" outlineLevel="1"/>
    <col min="148" max="148" width="9.5703125" hidden="1" customWidth="1" outlineLevel="1"/>
    <col min="149" max="149" width="8" hidden="1" customWidth="1" outlineLevel="1"/>
    <col min="150" max="150" width="9.85546875" hidden="1" customWidth="1" outlineLevel="1"/>
    <col min="151" max="151" width="11.28515625" bestFit="1" customWidth="1" collapsed="1"/>
    <col min="152" max="152" width="9.85546875" bestFit="1" customWidth="1"/>
    <col min="153" max="153" width="9.42578125" bestFit="1" customWidth="1"/>
    <col min="155" max="155" width="10" bestFit="1" customWidth="1"/>
    <col min="156" max="156" width="12.28515625" bestFit="1" customWidth="1"/>
    <col min="157" max="157" width="14.42578125" hidden="1" customWidth="1" outlineLevel="1"/>
    <col min="158" max="158" width="12.85546875" hidden="1" customWidth="1" outlineLevel="1"/>
    <col min="159" max="159" width="11.28515625" hidden="1" customWidth="1" outlineLevel="1"/>
    <col min="160" max="160" width="15.42578125" hidden="1" customWidth="1" outlineLevel="1"/>
    <col min="161" max="161" width="9" hidden="1" customWidth="1" outlineLevel="1"/>
    <col min="162" max="162" width="8.85546875" hidden="1" customWidth="1" outlineLevel="1"/>
    <col min="163" max="163" width="13.140625" hidden="1" customWidth="1" outlineLevel="1"/>
    <col min="164" max="164" width="10.42578125" hidden="1" customWidth="1" outlineLevel="1"/>
    <col min="165" max="166" width="8.85546875" hidden="1" customWidth="1" outlineLevel="1"/>
    <col min="167" max="167" width="13.42578125" hidden="1" customWidth="1" outlineLevel="1"/>
    <col min="168" max="168" width="9.85546875" hidden="1" customWidth="1" outlineLevel="1"/>
    <col min="169" max="169" width="9.5703125" hidden="1" customWidth="1" outlineLevel="1"/>
    <col min="170" max="170" width="8" hidden="1" customWidth="1" outlineLevel="1"/>
    <col min="171" max="171" width="9.85546875" hidden="1" customWidth="1" outlineLevel="1"/>
    <col min="172" max="172" width="11.28515625" bestFit="1" customWidth="1" collapsed="1"/>
    <col min="173" max="173" width="9.85546875" bestFit="1" customWidth="1"/>
    <col min="174" max="174" width="9.42578125" bestFit="1" customWidth="1"/>
    <col min="176" max="176" width="12.7109375" bestFit="1" customWidth="1"/>
    <col min="177" max="177" width="12.28515625" bestFit="1" customWidth="1"/>
    <col min="178" max="178" width="14.42578125" hidden="1" customWidth="1" outlineLevel="1"/>
    <col min="179" max="179" width="12.85546875" hidden="1" customWidth="1" outlineLevel="1"/>
    <col min="180" max="180" width="11.28515625" hidden="1" customWidth="1" outlineLevel="1"/>
    <col min="181" max="181" width="15.42578125" hidden="1" customWidth="1" outlineLevel="1"/>
    <col min="182" max="182" width="9" hidden="1" customWidth="1" outlineLevel="1"/>
    <col min="183" max="183" width="8.85546875" hidden="1" customWidth="1" outlineLevel="1"/>
    <col min="184" max="184" width="13.140625" hidden="1" customWidth="1" outlineLevel="1"/>
    <col min="185" max="185" width="10.42578125" hidden="1" customWidth="1" outlineLevel="1"/>
    <col min="186" max="187" width="8.85546875" hidden="1" customWidth="1" outlineLevel="1"/>
    <col min="188" max="188" width="13.42578125" hidden="1" customWidth="1" outlineLevel="1"/>
    <col min="189" max="189" width="9.85546875" hidden="1" customWidth="1" outlineLevel="1"/>
    <col min="190" max="190" width="9.5703125" hidden="1" customWidth="1" outlineLevel="1"/>
    <col min="191" max="191" width="8" hidden="1" customWidth="1" outlineLevel="1"/>
    <col min="192" max="192" width="9.85546875" hidden="1" customWidth="1" outlineLevel="1"/>
    <col min="193" max="193" width="11.28515625" bestFit="1" customWidth="1" collapsed="1"/>
    <col min="194" max="194" width="9.85546875" bestFit="1" customWidth="1"/>
    <col min="195" max="195" width="10" bestFit="1" customWidth="1"/>
    <col min="197" max="197" width="16.5703125" bestFit="1" customWidth="1"/>
    <col min="198" max="198" width="12.28515625" bestFit="1" customWidth="1"/>
    <col min="199" max="199" width="14.42578125" hidden="1" customWidth="1" outlineLevel="1"/>
    <col min="200" max="200" width="12.85546875" hidden="1" customWidth="1" outlineLevel="1"/>
    <col min="201" max="201" width="11.28515625" hidden="1" customWidth="1" outlineLevel="1"/>
    <col min="202" max="202" width="15.42578125" hidden="1" customWidth="1" outlineLevel="1"/>
    <col min="203" max="203" width="9" hidden="1" customWidth="1" outlineLevel="1"/>
    <col min="204" max="204" width="8.85546875" hidden="1" customWidth="1" outlineLevel="1"/>
    <col min="205" max="205" width="13.140625" hidden="1" customWidth="1" outlineLevel="1"/>
    <col min="206" max="206" width="10.42578125" hidden="1" customWidth="1" outlineLevel="1"/>
    <col min="207" max="208" width="8.85546875" hidden="1" customWidth="1" outlineLevel="1"/>
    <col min="209" max="209" width="13.42578125" hidden="1" customWidth="1" outlineLevel="1"/>
    <col min="210" max="210" width="9.85546875" hidden="1" customWidth="1" outlineLevel="1"/>
    <col min="211" max="211" width="9.5703125" hidden="1" customWidth="1" outlineLevel="1"/>
    <col min="212" max="212" width="8" hidden="1" customWidth="1" outlineLevel="1"/>
    <col min="213" max="213" width="9.85546875" hidden="1" customWidth="1" outlineLevel="1"/>
    <col min="214" max="214" width="11.28515625" bestFit="1" customWidth="1" collapsed="1"/>
    <col min="215" max="215" width="9.85546875" bestFit="1" customWidth="1"/>
    <col min="216" max="216" width="10" bestFit="1" customWidth="1"/>
    <col min="218" max="218" width="16.5703125" bestFit="1" customWidth="1"/>
    <col min="219" max="219" width="12.28515625" bestFit="1" customWidth="1"/>
    <col min="220" max="220" width="14.42578125" hidden="1" customWidth="1" outlineLevel="1"/>
    <col min="221" max="221" width="12.85546875" hidden="1" customWidth="1" outlineLevel="1"/>
    <col min="222" max="222" width="11.28515625" hidden="1" customWidth="1" outlineLevel="1"/>
    <col min="223" max="223" width="15.42578125" hidden="1" customWidth="1" outlineLevel="1"/>
    <col min="224" max="224" width="9" hidden="1" customWidth="1" outlineLevel="1"/>
    <col min="225" max="225" width="8.85546875" hidden="1" customWidth="1" outlineLevel="1"/>
    <col min="226" max="226" width="13.140625" hidden="1" customWidth="1" outlineLevel="1"/>
    <col min="227" max="227" width="10.42578125" hidden="1" customWidth="1" outlineLevel="1"/>
    <col min="228" max="229" width="8.85546875" hidden="1" customWidth="1" outlineLevel="1"/>
    <col min="230" max="230" width="13.42578125" hidden="1" customWidth="1" outlineLevel="1"/>
    <col min="231" max="231" width="9.85546875" hidden="1" customWidth="1" outlineLevel="1"/>
    <col min="232" max="232" width="9.5703125" hidden="1" customWidth="1" outlineLevel="1"/>
    <col min="233" max="233" width="8" hidden="1" customWidth="1" outlineLevel="1"/>
    <col min="234" max="234" width="9.85546875" hidden="1" customWidth="1" outlineLevel="1"/>
    <col min="235" max="235" width="11.28515625" bestFit="1" customWidth="1" collapsed="1"/>
    <col min="236" max="236" width="9.85546875" bestFit="1" customWidth="1"/>
    <col min="237" max="237" width="10" bestFit="1" customWidth="1"/>
    <col min="239" max="239" width="16.5703125" bestFit="1" customWidth="1"/>
    <col min="240" max="240" width="12.28515625" bestFit="1" customWidth="1"/>
    <col min="241" max="241" width="14.42578125" hidden="1" customWidth="1" outlineLevel="1"/>
    <col min="242" max="242" width="12.85546875" hidden="1" customWidth="1" outlineLevel="1"/>
    <col min="243" max="243" width="11.28515625" hidden="1" customWidth="1" outlineLevel="1"/>
    <col min="244" max="244" width="15.42578125" hidden="1" customWidth="1" outlineLevel="1"/>
    <col min="245" max="245" width="9" hidden="1" customWidth="1" outlineLevel="1"/>
    <col min="246" max="246" width="8.85546875" hidden="1" customWidth="1" outlineLevel="1"/>
    <col min="247" max="247" width="13.140625" hidden="1" customWidth="1" outlineLevel="1"/>
    <col min="248" max="248" width="10.42578125" hidden="1" customWidth="1" outlineLevel="1"/>
    <col min="249" max="250" width="8.85546875" hidden="1" customWidth="1" outlineLevel="1"/>
    <col min="251" max="251" width="13.42578125" hidden="1" customWidth="1" outlineLevel="1"/>
    <col min="252" max="252" width="9.85546875" hidden="1" customWidth="1" outlineLevel="1"/>
    <col min="253" max="253" width="9.5703125" hidden="1" customWidth="1" outlineLevel="1"/>
    <col min="254" max="254" width="8" hidden="1" customWidth="1" outlineLevel="1"/>
    <col min="255" max="255" width="9.85546875" hidden="1" customWidth="1" outlineLevel="1"/>
    <col min="256" max="256" width="11.28515625" bestFit="1" customWidth="1" collapsed="1"/>
    <col min="257" max="257" width="9.85546875" bestFit="1" customWidth="1"/>
    <col min="258" max="258" width="10" bestFit="1" customWidth="1"/>
    <col min="260" max="260" width="16.5703125" bestFit="1" customWidth="1"/>
    <col min="261" max="261" width="12.28515625" bestFit="1" customWidth="1"/>
    <col min="262" max="262" width="14.42578125" hidden="1" customWidth="1" outlineLevel="1"/>
    <col min="263" max="263" width="12.85546875" hidden="1" customWidth="1" outlineLevel="1"/>
    <col min="264" max="264" width="11.28515625" hidden="1" customWidth="1" outlineLevel="1"/>
    <col min="265" max="265" width="15.42578125" hidden="1" customWidth="1" outlineLevel="1"/>
    <col min="266" max="266" width="9" hidden="1" customWidth="1" outlineLevel="1"/>
    <col min="267" max="267" width="8.85546875" hidden="1" customWidth="1" outlineLevel="1"/>
    <col min="268" max="268" width="13.140625" hidden="1" customWidth="1" outlineLevel="1"/>
    <col min="269" max="269" width="10.42578125" hidden="1" customWidth="1" outlineLevel="1"/>
    <col min="270" max="271" width="8.85546875" hidden="1" customWidth="1" outlineLevel="1"/>
    <col min="272" max="272" width="13.42578125" hidden="1" customWidth="1" outlineLevel="1"/>
    <col min="273" max="273" width="9.85546875" hidden="1" customWidth="1" outlineLevel="1"/>
    <col min="274" max="274" width="9.5703125" hidden="1" customWidth="1" outlineLevel="1"/>
    <col min="275" max="275" width="8" hidden="1" customWidth="1" outlineLevel="1"/>
    <col min="276" max="276" width="9.85546875" hidden="1" customWidth="1" outlineLevel="1"/>
    <col min="277" max="277" width="11.28515625" bestFit="1" customWidth="1" collapsed="1"/>
    <col min="278" max="278" width="9.85546875" bestFit="1" customWidth="1"/>
    <col min="279" max="279" width="10" bestFit="1" customWidth="1"/>
    <col min="281" max="281" width="16.5703125" bestFit="1" customWidth="1"/>
    <col min="282" max="282" width="12.28515625" bestFit="1" customWidth="1"/>
    <col min="283" max="283" width="14.42578125" hidden="1" customWidth="1" outlineLevel="1"/>
    <col min="284" max="284" width="12.85546875" hidden="1" customWidth="1" outlineLevel="1"/>
    <col min="285" max="285" width="11.28515625" hidden="1" customWidth="1" outlineLevel="1"/>
    <col min="286" max="286" width="15.42578125" hidden="1" customWidth="1" outlineLevel="1"/>
    <col min="287" max="287" width="9" hidden="1" customWidth="1" outlineLevel="1"/>
    <col min="288" max="288" width="8.85546875" hidden="1" customWidth="1" outlineLevel="1"/>
    <col min="289" max="289" width="13.140625" hidden="1" customWidth="1" outlineLevel="1"/>
    <col min="290" max="290" width="10.42578125" hidden="1" customWidth="1" outlineLevel="1"/>
    <col min="291" max="292" width="8.85546875" hidden="1" customWidth="1" outlineLevel="1"/>
    <col min="293" max="293" width="13.42578125" hidden="1" customWidth="1" outlineLevel="1"/>
    <col min="294" max="294" width="9.85546875" hidden="1" customWidth="1" outlineLevel="1"/>
    <col min="295" max="295" width="9.5703125" hidden="1" customWidth="1" outlineLevel="1"/>
    <col min="296" max="296" width="8" hidden="1" customWidth="1" outlineLevel="1"/>
    <col min="297" max="297" width="9.85546875" hidden="1" customWidth="1" outlineLevel="1"/>
    <col min="298" max="298" width="11.28515625" bestFit="1" customWidth="1" collapsed="1"/>
    <col min="299" max="299" width="9.85546875" bestFit="1" customWidth="1"/>
    <col min="300" max="300" width="10" bestFit="1" customWidth="1"/>
    <col min="302" max="302" width="16.5703125" bestFit="1" customWidth="1"/>
    <col min="303" max="303" width="12.28515625" bestFit="1" customWidth="1"/>
    <col min="304" max="304" width="14.42578125" hidden="1" customWidth="1" outlineLevel="1"/>
    <col min="305" max="305" width="12.85546875" hidden="1" customWidth="1" outlineLevel="1"/>
    <col min="306" max="306" width="11.28515625" hidden="1" customWidth="1" outlineLevel="1"/>
    <col min="307" max="307" width="15.42578125" hidden="1" customWidth="1" outlineLevel="1"/>
    <col min="308" max="308" width="9" hidden="1" customWidth="1" outlineLevel="1"/>
    <col min="309" max="309" width="8.85546875" hidden="1" customWidth="1" outlineLevel="1"/>
    <col min="310" max="310" width="13.140625" hidden="1" customWidth="1" outlineLevel="1"/>
    <col min="311" max="311" width="10.42578125" hidden="1" customWidth="1" outlineLevel="1"/>
    <col min="312" max="313" width="8.85546875" hidden="1" customWidth="1" outlineLevel="1"/>
    <col min="314" max="314" width="13.42578125" hidden="1" customWidth="1" outlineLevel="1"/>
    <col min="315" max="315" width="9.85546875" hidden="1" customWidth="1" outlineLevel="1"/>
    <col min="316" max="316" width="9.5703125" hidden="1" customWidth="1" outlineLevel="1"/>
    <col min="317" max="317" width="8" hidden="1" customWidth="1" outlineLevel="1"/>
    <col min="318" max="318" width="9.85546875" hidden="1" customWidth="1" outlineLevel="1"/>
    <col min="319" max="319" width="11.28515625" bestFit="1" customWidth="1" collapsed="1"/>
    <col min="320" max="320" width="9.85546875" bestFit="1" customWidth="1"/>
    <col min="321" max="321" width="10" bestFit="1" customWidth="1"/>
    <col min="323" max="323" width="16.5703125" bestFit="1" customWidth="1"/>
    <col min="324" max="324" width="12.28515625" bestFit="1" customWidth="1"/>
    <col min="325" max="325" width="14.42578125" hidden="1" customWidth="1" outlineLevel="1"/>
    <col min="326" max="326" width="12.85546875" hidden="1" customWidth="1" outlineLevel="1"/>
    <col min="327" max="327" width="11.28515625" hidden="1" customWidth="1" outlineLevel="1"/>
    <col min="328" max="328" width="15.42578125" hidden="1" customWidth="1" outlineLevel="1"/>
    <col min="329" max="329" width="9" hidden="1" customWidth="1" outlineLevel="1"/>
    <col min="330" max="330" width="8.85546875" hidden="1" customWidth="1" outlineLevel="1"/>
    <col min="331" max="331" width="13.140625" hidden="1" customWidth="1" outlineLevel="1"/>
    <col min="332" max="332" width="10.42578125" hidden="1" customWidth="1" outlineLevel="1"/>
    <col min="333" max="334" width="8.85546875" hidden="1" customWidth="1" outlineLevel="1"/>
    <col min="335" max="335" width="13.42578125" hidden="1" customWidth="1" outlineLevel="1"/>
    <col min="336" max="336" width="9.85546875" hidden="1" customWidth="1" outlineLevel="1"/>
    <col min="337" max="337" width="9.5703125" hidden="1" customWidth="1" outlineLevel="1"/>
    <col min="338" max="338" width="8" hidden="1" customWidth="1" outlineLevel="1"/>
    <col min="339" max="339" width="9.85546875" hidden="1" customWidth="1" outlineLevel="1"/>
    <col min="340" max="340" width="11.28515625" bestFit="1" customWidth="1" collapsed="1"/>
    <col min="341" max="341" width="9.85546875" bestFit="1" customWidth="1"/>
    <col min="342" max="342" width="10" bestFit="1" customWidth="1"/>
    <col min="344" max="344" width="16.5703125" bestFit="1" customWidth="1"/>
    <col min="345" max="345" width="12.28515625" bestFit="1" customWidth="1"/>
    <col min="346" max="346" width="14.42578125" hidden="1" customWidth="1" outlineLevel="1"/>
    <col min="347" max="347" width="12.85546875" hidden="1" customWidth="1" outlineLevel="1"/>
    <col min="348" max="348" width="11.28515625" hidden="1" customWidth="1" outlineLevel="1"/>
    <col min="349" max="349" width="15.42578125" hidden="1" customWidth="1" outlineLevel="1"/>
    <col min="350" max="350" width="9" hidden="1" customWidth="1" outlineLevel="1"/>
    <col min="351" max="351" width="8.85546875" hidden="1" customWidth="1" outlineLevel="1"/>
    <col min="352" max="352" width="13.140625" hidden="1" customWidth="1" outlineLevel="1"/>
    <col min="353" max="353" width="10.42578125" hidden="1" customWidth="1" outlineLevel="1"/>
    <col min="354" max="355" width="8.85546875" hidden="1" customWidth="1" outlineLevel="1"/>
    <col min="356" max="356" width="13.42578125" hidden="1" customWidth="1" outlineLevel="1"/>
    <col min="357" max="357" width="9.85546875" hidden="1" customWidth="1" outlineLevel="1"/>
    <col min="358" max="358" width="9.5703125" hidden="1" customWidth="1" outlineLevel="1"/>
    <col min="359" max="359" width="8" hidden="1" customWidth="1" outlineLevel="1"/>
    <col min="360" max="360" width="9.85546875" hidden="1" customWidth="1" outlineLevel="1"/>
    <col min="361" max="361" width="11.28515625" bestFit="1" customWidth="1" collapsed="1"/>
    <col min="362" max="362" width="16.7109375" customWidth="1"/>
    <col min="363" max="363" width="10" bestFit="1" customWidth="1"/>
    <col min="365" max="365" width="16.5703125" bestFit="1" customWidth="1"/>
    <col min="366" max="366" width="12.28515625" bestFit="1" customWidth="1"/>
    <col min="367" max="367" width="14.42578125" hidden="1" customWidth="1" outlineLevel="1"/>
    <col min="368" max="368" width="12.85546875" hidden="1" customWidth="1" outlineLevel="1"/>
    <col min="369" max="369" width="11.28515625" hidden="1" customWidth="1" outlineLevel="1"/>
    <col min="370" max="370" width="15.42578125" hidden="1" customWidth="1" outlineLevel="1"/>
    <col min="371" max="371" width="9" hidden="1" customWidth="1" outlineLevel="1"/>
    <col min="372" max="372" width="8.85546875" hidden="1" customWidth="1" outlineLevel="1"/>
    <col min="373" max="373" width="13.140625" hidden="1" customWidth="1" outlineLevel="1"/>
    <col min="374" max="374" width="10.42578125" hidden="1" customWidth="1" outlineLevel="1"/>
    <col min="375" max="376" width="8.85546875" hidden="1" customWidth="1" outlineLevel="1"/>
    <col min="377" max="377" width="13.42578125" hidden="1" customWidth="1" outlineLevel="1"/>
    <col min="378" max="378" width="9.85546875" hidden="1" customWidth="1" outlineLevel="1"/>
    <col min="379" max="379" width="9.5703125" hidden="1" customWidth="1" outlineLevel="1"/>
    <col min="380" max="380" width="8" hidden="1" customWidth="1" outlineLevel="1"/>
    <col min="381" max="381" width="9.85546875" hidden="1" customWidth="1" outlineLevel="1"/>
    <col min="382" max="382" width="11.28515625" bestFit="1" customWidth="1" collapsed="1"/>
    <col min="383" max="383" width="9.85546875" bestFit="1" customWidth="1"/>
    <col min="384" max="384" width="10" bestFit="1" customWidth="1"/>
    <col min="386" max="386" width="16.5703125" bestFit="1" customWidth="1"/>
    <col min="387" max="387" width="12.28515625" bestFit="1" customWidth="1"/>
    <col min="388" max="388" width="14.42578125" hidden="1" customWidth="1" outlineLevel="1"/>
    <col min="389" max="389" width="12.85546875" hidden="1" customWidth="1" outlineLevel="1"/>
    <col min="390" max="390" width="11.28515625" hidden="1" customWidth="1" outlineLevel="1"/>
    <col min="391" max="391" width="15.42578125" hidden="1" customWidth="1" outlineLevel="1"/>
    <col min="392" max="392" width="9" hidden="1" customWidth="1" outlineLevel="1"/>
    <col min="393" max="393" width="8.85546875" hidden="1" customWidth="1" outlineLevel="1"/>
    <col min="394" max="394" width="13.140625" hidden="1" customWidth="1" outlineLevel="1"/>
    <col min="395" max="395" width="10.42578125" hidden="1" customWidth="1" outlineLevel="1"/>
    <col min="396" max="397" width="8.85546875" hidden="1" customWidth="1" outlineLevel="1"/>
    <col min="398" max="398" width="13.42578125" hidden="1" customWidth="1" outlineLevel="1"/>
    <col min="399" max="399" width="9.85546875" hidden="1" customWidth="1" outlineLevel="1"/>
    <col min="400" max="400" width="9.5703125" hidden="1" customWidth="1" outlineLevel="1"/>
    <col min="401" max="401" width="8" hidden="1" customWidth="1" outlineLevel="1"/>
    <col min="402" max="402" width="9.85546875" hidden="1" customWidth="1" outlineLevel="1"/>
    <col min="403" max="403" width="11.28515625" bestFit="1" customWidth="1" collapsed="1"/>
    <col min="404" max="404" width="9.85546875" bestFit="1" customWidth="1"/>
    <col min="405" max="405" width="10" bestFit="1" customWidth="1"/>
    <col min="407" max="407" width="16.5703125" bestFit="1" customWidth="1"/>
    <col min="408" max="408" width="12.28515625" bestFit="1" customWidth="1"/>
    <col min="409" max="409" width="14.42578125" hidden="1" customWidth="1" outlineLevel="1"/>
    <col min="410" max="410" width="12.85546875" hidden="1" customWidth="1" outlineLevel="1"/>
    <col min="411" max="411" width="11.28515625" hidden="1" customWidth="1" outlineLevel="1"/>
    <col min="412" max="412" width="15.42578125" hidden="1" customWidth="1" outlineLevel="1"/>
    <col min="413" max="413" width="9" hidden="1" customWidth="1" outlineLevel="1"/>
    <col min="414" max="414" width="8.85546875" hidden="1" customWidth="1" outlineLevel="1"/>
    <col min="415" max="415" width="13.140625" hidden="1" customWidth="1" outlineLevel="1"/>
    <col min="416" max="416" width="10.42578125" hidden="1" customWidth="1" outlineLevel="1"/>
    <col min="417" max="418" width="8.85546875" hidden="1" customWidth="1" outlineLevel="1"/>
    <col min="419" max="419" width="13.42578125" hidden="1" customWidth="1" outlineLevel="1"/>
    <col min="420" max="420" width="9.85546875" hidden="1" customWidth="1" outlineLevel="1"/>
    <col min="421" max="421" width="9.5703125" hidden="1" customWidth="1" outlineLevel="1"/>
    <col min="422" max="422" width="8" hidden="1" customWidth="1" outlineLevel="1"/>
    <col min="423" max="423" width="9.85546875" hidden="1" customWidth="1" outlineLevel="1"/>
    <col min="424" max="424" width="11.28515625" bestFit="1" customWidth="1" collapsed="1"/>
    <col min="425" max="425" width="9.85546875" bestFit="1" customWidth="1"/>
    <col min="426" max="426" width="10" bestFit="1" customWidth="1"/>
    <col min="428" max="428" width="16.5703125" bestFit="1" customWidth="1"/>
    <col min="429" max="429" width="12.28515625" bestFit="1" customWidth="1"/>
    <col min="430" max="430" width="14.42578125" hidden="1" customWidth="1" outlineLevel="1"/>
    <col min="431" max="431" width="12.85546875" hidden="1" customWidth="1" outlineLevel="1"/>
    <col min="432" max="432" width="11.28515625" hidden="1" customWidth="1" outlineLevel="1"/>
    <col min="433" max="433" width="15.42578125" hidden="1" customWidth="1" outlineLevel="1"/>
    <col min="434" max="434" width="9" hidden="1" customWidth="1" outlineLevel="1"/>
    <col min="435" max="435" width="8.85546875" hidden="1" customWidth="1" outlineLevel="1"/>
    <col min="436" max="436" width="13.140625" hidden="1" customWidth="1" outlineLevel="1"/>
    <col min="437" max="437" width="10.42578125" hidden="1" customWidth="1" outlineLevel="1"/>
    <col min="438" max="439" width="8.85546875" hidden="1" customWidth="1" outlineLevel="1"/>
    <col min="440" max="440" width="13.42578125" hidden="1" customWidth="1" outlineLevel="1"/>
    <col min="441" max="441" width="9.85546875" hidden="1" customWidth="1" outlineLevel="1"/>
    <col min="442" max="442" width="9.5703125" hidden="1" customWidth="1" outlineLevel="1"/>
    <col min="443" max="443" width="8" hidden="1" customWidth="1" outlineLevel="1"/>
    <col min="444" max="444" width="9.85546875" hidden="1" customWidth="1" outlineLevel="1"/>
    <col min="445" max="445" width="11.28515625" bestFit="1" customWidth="1" collapsed="1"/>
    <col min="446" max="446" width="9.85546875" bestFit="1" customWidth="1"/>
    <col min="447" max="447" width="10" bestFit="1" customWidth="1"/>
    <col min="449" max="449" width="16.5703125" bestFit="1" customWidth="1"/>
    <col min="450" max="450" width="12.28515625" bestFit="1" customWidth="1"/>
    <col min="451" max="451" width="14.42578125" hidden="1" customWidth="1" outlineLevel="1"/>
    <col min="452" max="452" width="12.85546875" hidden="1" customWidth="1" outlineLevel="1"/>
    <col min="453" max="453" width="11.28515625" hidden="1" customWidth="1" outlineLevel="1"/>
    <col min="454" max="454" width="15.42578125" hidden="1" customWidth="1" outlineLevel="1"/>
    <col min="455" max="455" width="9" hidden="1" customWidth="1" outlineLevel="1"/>
    <col min="456" max="456" width="8.85546875" hidden="1" customWidth="1" outlineLevel="1"/>
    <col min="457" max="457" width="13.140625" hidden="1" customWidth="1" outlineLevel="1"/>
    <col min="458" max="458" width="10.42578125" hidden="1" customWidth="1" outlineLevel="1"/>
    <col min="459" max="460" width="8.85546875" hidden="1" customWidth="1" outlineLevel="1"/>
    <col min="461" max="461" width="13.42578125" hidden="1" customWidth="1" outlineLevel="1"/>
    <col min="462" max="462" width="9.85546875" hidden="1" customWidth="1" outlineLevel="1"/>
    <col min="463" max="463" width="9.5703125" hidden="1" customWidth="1" outlineLevel="1"/>
    <col min="464" max="464" width="8" hidden="1" customWidth="1" outlineLevel="1"/>
    <col min="465" max="465" width="9.85546875" hidden="1" customWidth="1" outlineLevel="1"/>
    <col min="466" max="466" width="11.28515625" bestFit="1" customWidth="1" collapsed="1"/>
    <col min="467" max="467" width="9.85546875" bestFit="1" customWidth="1"/>
    <col min="468" max="468" width="10" bestFit="1" customWidth="1"/>
    <col min="470" max="470" width="16.5703125" bestFit="1" customWidth="1"/>
    <col min="471" max="471" width="12.28515625" bestFit="1" customWidth="1"/>
    <col min="472" max="472" width="14.42578125" hidden="1" customWidth="1" outlineLevel="1"/>
    <col min="473" max="473" width="12.85546875" hidden="1" customWidth="1" outlineLevel="1"/>
    <col min="474" max="474" width="11.28515625" hidden="1" customWidth="1" outlineLevel="1"/>
    <col min="475" max="475" width="15.42578125" hidden="1" customWidth="1" outlineLevel="1"/>
    <col min="476" max="476" width="9" hidden="1" customWidth="1" outlineLevel="1"/>
    <col min="477" max="477" width="8.85546875" hidden="1" customWidth="1" outlineLevel="1"/>
    <col min="478" max="478" width="13.140625" hidden="1" customWidth="1" outlineLevel="1"/>
    <col min="479" max="479" width="10.42578125" hidden="1" customWidth="1" outlineLevel="1"/>
    <col min="480" max="481" width="8.85546875" hidden="1" customWidth="1" outlineLevel="1"/>
    <col min="482" max="482" width="13.42578125" hidden="1" customWidth="1" outlineLevel="1"/>
    <col min="483" max="483" width="9.85546875" hidden="1" customWidth="1" outlineLevel="1"/>
    <col min="484" max="484" width="9.5703125" hidden="1" customWidth="1" outlineLevel="1"/>
    <col min="485" max="485" width="8" hidden="1" customWidth="1" outlineLevel="1"/>
    <col min="486" max="486" width="9.85546875" hidden="1" customWidth="1" outlineLevel="1"/>
    <col min="487" max="487" width="11.28515625" bestFit="1" customWidth="1" collapsed="1"/>
    <col min="488" max="488" width="9.85546875" bestFit="1" customWidth="1"/>
    <col min="489" max="489" width="10" bestFit="1" customWidth="1"/>
    <col min="491" max="491" width="16.5703125" bestFit="1" customWidth="1"/>
    <col min="492" max="492" width="12.28515625" bestFit="1" customWidth="1"/>
    <col min="493" max="493" width="14.42578125" hidden="1" customWidth="1" outlineLevel="1"/>
    <col min="494" max="494" width="12.85546875" hidden="1" customWidth="1" outlineLevel="1"/>
    <col min="495" max="495" width="11.28515625" hidden="1" customWidth="1" outlineLevel="1"/>
    <col min="496" max="496" width="15.42578125" hidden="1" customWidth="1" outlineLevel="1"/>
    <col min="497" max="497" width="9" hidden="1" customWidth="1" outlineLevel="1"/>
    <col min="498" max="498" width="8.85546875" hidden="1" customWidth="1" outlineLevel="1"/>
    <col min="499" max="499" width="13.140625" hidden="1" customWidth="1" outlineLevel="1"/>
    <col min="500" max="500" width="10.42578125" hidden="1" customWidth="1" outlineLevel="1"/>
    <col min="501" max="502" width="8.85546875" hidden="1" customWidth="1" outlineLevel="1"/>
    <col min="503" max="503" width="13.42578125" hidden="1" customWidth="1" outlineLevel="1"/>
    <col min="504" max="504" width="9.85546875" hidden="1" customWidth="1" outlineLevel="1"/>
    <col min="505" max="505" width="9.5703125" hidden="1" customWidth="1" outlineLevel="1"/>
    <col min="506" max="506" width="8" hidden="1" customWidth="1" outlineLevel="1"/>
    <col min="507" max="507" width="9.85546875" hidden="1" customWidth="1" outlineLevel="1"/>
    <col min="508" max="508" width="11.28515625" bestFit="1" customWidth="1" collapsed="1"/>
    <col min="509" max="509" width="9.85546875" bestFit="1" customWidth="1"/>
    <col min="510" max="510" width="10" bestFit="1" customWidth="1"/>
    <col min="512" max="512" width="16.5703125" bestFit="1" customWidth="1"/>
    <col min="513" max="513" width="12.28515625" bestFit="1" customWidth="1"/>
    <col min="514" max="514" width="14.42578125" hidden="1" customWidth="1" outlineLevel="1"/>
    <col min="515" max="515" width="12.85546875" hidden="1" customWidth="1" outlineLevel="1"/>
    <col min="516" max="516" width="11.28515625" hidden="1" customWidth="1" outlineLevel="1"/>
    <col min="517" max="517" width="15.42578125" hidden="1" customWidth="1" outlineLevel="1"/>
    <col min="518" max="518" width="9" hidden="1" customWidth="1" outlineLevel="1"/>
    <col min="519" max="519" width="8.85546875" hidden="1" customWidth="1" outlineLevel="1"/>
    <col min="520" max="520" width="13.140625" hidden="1" customWidth="1" outlineLevel="1"/>
    <col min="521" max="521" width="10.42578125" hidden="1" customWidth="1" outlineLevel="1"/>
    <col min="522" max="523" width="8.85546875" hidden="1" customWidth="1" outlineLevel="1"/>
    <col min="524" max="524" width="13.42578125" hidden="1" customWidth="1" outlineLevel="1"/>
    <col min="525" max="525" width="9.85546875" hidden="1" customWidth="1" outlineLevel="1"/>
    <col min="526" max="526" width="9.5703125" hidden="1" customWidth="1" outlineLevel="1"/>
    <col min="527" max="527" width="8" hidden="1" customWidth="1" outlineLevel="1"/>
    <col min="528" max="528" width="9.85546875" hidden="1" customWidth="1" outlineLevel="1"/>
    <col min="529" max="529" width="11.28515625" bestFit="1" customWidth="1" collapsed="1"/>
    <col min="530" max="530" width="9.85546875" bestFit="1" customWidth="1"/>
    <col min="531" max="531" width="10" bestFit="1" customWidth="1"/>
    <col min="533" max="533" width="16.5703125" bestFit="1" customWidth="1"/>
    <col min="534" max="534" width="12.28515625" bestFit="1" customWidth="1"/>
    <col min="535" max="535" width="14.42578125" hidden="1" customWidth="1" outlineLevel="1"/>
    <col min="536" max="536" width="12.85546875" hidden="1" customWidth="1" outlineLevel="1"/>
    <col min="537" max="537" width="11.28515625" hidden="1" customWidth="1" outlineLevel="1"/>
    <col min="538" max="538" width="15.42578125" hidden="1" customWidth="1" outlineLevel="1"/>
    <col min="539" max="539" width="9" hidden="1" customWidth="1" outlineLevel="1"/>
    <col min="540" max="540" width="8.85546875" hidden="1" customWidth="1" outlineLevel="1"/>
    <col min="541" max="541" width="13.140625" hidden="1" customWidth="1" outlineLevel="1"/>
    <col min="542" max="542" width="10.42578125" hidden="1" customWidth="1" outlineLevel="1"/>
    <col min="543" max="544" width="8.85546875" hidden="1" customWidth="1" outlineLevel="1"/>
    <col min="545" max="545" width="13.42578125" hidden="1" customWidth="1" outlineLevel="1"/>
    <col min="546" max="546" width="9.85546875" hidden="1" customWidth="1" outlineLevel="1"/>
    <col min="547" max="547" width="9.5703125" hidden="1" customWidth="1" outlineLevel="1"/>
    <col min="548" max="548" width="8" hidden="1" customWidth="1" outlineLevel="1"/>
    <col min="549" max="549" width="9.85546875" hidden="1" customWidth="1" outlineLevel="1"/>
    <col min="550" max="550" width="11.28515625" bestFit="1" customWidth="1" collapsed="1"/>
    <col min="551" max="551" width="9.85546875" bestFit="1" customWidth="1"/>
    <col min="552" max="552" width="10" bestFit="1" customWidth="1"/>
    <col min="554" max="554" width="16.5703125" bestFit="1" customWidth="1"/>
    <col min="555" max="555" width="12.28515625" bestFit="1" customWidth="1"/>
    <col min="556" max="556" width="14.42578125" hidden="1" customWidth="1" outlineLevel="1"/>
    <col min="557" max="557" width="12.85546875" hidden="1" customWidth="1" outlineLevel="1"/>
    <col min="558" max="558" width="11.28515625" hidden="1" customWidth="1" outlineLevel="1"/>
    <col min="559" max="559" width="15.42578125" hidden="1" customWidth="1" outlineLevel="1"/>
    <col min="560" max="560" width="9" hidden="1" customWidth="1" outlineLevel="1"/>
    <col min="561" max="561" width="8.85546875" hidden="1" customWidth="1" outlineLevel="1"/>
    <col min="562" max="562" width="13.140625" hidden="1" customWidth="1" outlineLevel="1"/>
    <col min="563" max="563" width="10.42578125" hidden="1" customWidth="1" outlineLevel="1"/>
    <col min="564" max="565" width="8.85546875" hidden="1" customWidth="1" outlineLevel="1"/>
    <col min="566" max="566" width="13.42578125" hidden="1" customWidth="1" outlineLevel="1"/>
    <col min="567" max="567" width="9.85546875" hidden="1" customWidth="1" outlineLevel="1"/>
    <col min="568" max="568" width="9.5703125" hidden="1" customWidth="1" outlineLevel="1"/>
    <col min="569" max="569" width="8" hidden="1" customWidth="1" outlineLevel="1"/>
    <col min="570" max="570" width="9.85546875" hidden="1" customWidth="1" outlineLevel="1"/>
    <col min="571" max="571" width="11.28515625" bestFit="1" customWidth="1" collapsed="1"/>
    <col min="572" max="572" width="9.85546875" bestFit="1" customWidth="1"/>
    <col min="573" max="573" width="10" bestFit="1" customWidth="1"/>
    <col min="575" max="575" width="16.5703125" bestFit="1" customWidth="1"/>
    <col min="576" max="576" width="12.28515625" bestFit="1" customWidth="1"/>
    <col min="577" max="577" width="14.42578125" hidden="1" customWidth="1" outlineLevel="1"/>
    <col min="578" max="578" width="12.85546875" hidden="1" customWidth="1" outlineLevel="1"/>
    <col min="579" max="579" width="11.28515625" hidden="1" customWidth="1" outlineLevel="1"/>
    <col min="580" max="580" width="15.42578125" hidden="1" customWidth="1" outlineLevel="1"/>
    <col min="581" max="581" width="9" hidden="1" customWidth="1" outlineLevel="1"/>
    <col min="582" max="582" width="8.85546875" hidden="1" customWidth="1" outlineLevel="1"/>
    <col min="583" max="583" width="13.140625" hidden="1" customWidth="1" outlineLevel="1"/>
    <col min="584" max="584" width="10.42578125" hidden="1" customWidth="1" outlineLevel="1"/>
    <col min="585" max="586" width="8.85546875" hidden="1" customWidth="1" outlineLevel="1"/>
    <col min="587" max="587" width="13.42578125" hidden="1" customWidth="1" outlineLevel="1"/>
    <col min="588" max="588" width="9.85546875" hidden="1" customWidth="1" outlineLevel="1"/>
    <col min="589" max="589" width="9.5703125" hidden="1" customWidth="1" outlineLevel="1"/>
    <col min="590" max="590" width="8" hidden="1" customWidth="1" outlineLevel="1"/>
    <col min="591" max="591" width="9.85546875" hidden="1" customWidth="1" outlineLevel="1"/>
    <col min="592" max="592" width="11.28515625" bestFit="1" customWidth="1" collapsed="1"/>
    <col min="593" max="593" width="9.85546875" bestFit="1" customWidth="1"/>
    <col min="594" max="594" width="10" bestFit="1" customWidth="1"/>
    <col min="596" max="596" width="16.5703125" bestFit="1" customWidth="1"/>
    <col min="597" max="597" width="12.28515625" bestFit="1" customWidth="1"/>
    <col min="598" max="598" width="14.42578125" hidden="1" customWidth="1" outlineLevel="1"/>
    <col min="599" max="599" width="12.85546875" hidden="1" customWidth="1" outlineLevel="1"/>
    <col min="600" max="600" width="11.28515625" hidden="1" customWidth="1" outlineLevel="1"/>
    <col min="601" max="601" width="15.42578125" hidden="1" customWidth="1" outlineLevel="1"/>
    <col min="602" max="602" width="9" hidden="1" customWidth="1" outlineLevel="1"/>
    <col min="603" max="603" width="8.85546875" hidden="1" customWidth="1" outlineLevel="1"/>
    <col min="604" max="604" width="13.140625" hidden="1" customWidth="1" outlineLevel="1"/>
    <col min="605" max="605" width="10.42578125" hidden="1" customWidth="1" outlineLevel="1"/>
    <col min="606" max="607" width="8.85546875" hidden="1" customWidth="1" outlineLevel="1"/>
    <col min="608" max="608" width="13.42578125" hidden="1" customWidth="1" outlineLevel="1"/>
    <col min="609" max="609" width="9.85546875" hidden="1" customWidth="1" outlineLevel="1"/>
    <col min="610" max="610" width="9.5703125" hidden="1" customWidth="1" outlineLevel="1"/>
    <col min="611" max="611" width="8" hidden="1" customWidth="1" outlineLevel="1"/>
    <col min="612" max="612" width="9.85546875" hidden="1" customWidth="1" outlineLevel="1"/>
    <col min="613" max="613" width="11.28515625" bestFit="1" customWidth="1" collapsed="1"/>
    <col min="614" max="614" width="9.85546875" bestFit="1" customWidth="1"/>
    <col min="615" max="615" width="10" bestFit="1" customWidth="1"/>
    <col min="617" max="617" width="16.5703125" bestFit="1" customWidth="1"/>
    <col min="618" max="618" width="12.28515625" bestFit="1" customWidth="1"/>
    <col min="619" max="619" width="14.42578125" hidden="1" customWidth="1" outlineLevel="1"/>
    <col min="620" max="620" width="12.85546875" hidden="1" customWidth="1" outlineLevel="1"/>
    <col min="621" max="621" width="11.28515625" hidden="1" customWidth="1" outlineLevel="1"/>
    <col min="622" max="622" width="15.42578125" hidden="1" customWidth="1" outlineLevel="1"/>
    <col min="623" max="623" width="9" hidden="1" customWidth="1" outlineLevel="1"/>
    <col min="624" max="624" width="8.85546875" hidden="1" customWidth="1" outlineLevel="1"/>
    <col min="625" max="625" width="13.140625" hidden="1" customWidth="1" outlineLevel="1"/>
    <col min="626" max="626" width="10.42578125" hidden="1" customWidth="1" outlineLevel="1"/>
    <col min="627" max="628" width="8.85546875" hidden="1" customWidth="1" outlineLevel="1"/>
    <col min="629" max="629" width="13.42578125" hidden="1" customWidth="1" outlineLevel="1"/>
    <col min="630" max="630" width="9.85546875" hidden="1" customWidth="1" outlineLevel="1"/>
    <col min="631" max="631" width="9.5703125" hidden="1" customWidth="1" outlineLevel="1"/>
    <col min="632" max="632" width="8" hidden="1" customWidth="1" outlineLevel="1"/>
    <col min="633" max="633" width="9.85546875" hidden="1" customWidth="1" outlineLevel="1"/>
    <col min="634" max="634" width="11.28515625" bestFit="1" customWidth="1" collapsed="1"/>
    <col min="635" max="635" width="9.85546875" bestFit="1" customWidth="1"/>
    <col min="636" max="636" width="10" bestFit="1" customWidth="1"/>
    <col min="640" max="640" width="9.85546875" bestFit="1" customWidth="1"/>
  </cols>
  <sheetData>
    <row r="1" spans="1:641" s="6" customFormat="1" x14ac:dyDescent="0.25">
      <c r="H1" s="111" t="s">
        <v>153</v>
      </c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82">
        <v>43070</v>
      </c>
      <c r="AC1" s="63">
        <f>EDATE(AA1,1)</f>
        <v>43101</v>
      </c>
      <c r="AI1" s="107" t="s">
        <v>1023</v>
      </c>
      <c r="AJ1" s="107"/>
      <c r="AK1" s="107"/>
      <c r="AL1" s="108" t="s">
        <v>1024</v>
      </c>
      <c r="AM1" s="108"/>
      <c r="AN1" s="108"/>
      <c r="AO1" s="108"/>
      <c r="AS1" s="109" t="s">
        <v>1020</v>
      </c>
      <c r="AT1" s="109"/>
      <c r="AU1" s="109"/>
      <c r="AV1" s="82">
        <f>AC1</f>
        <v>43101</v>
      </c>
      <c r="AX1" s="63">
        <f>EDATE(AV1,1)</f>
        <v>43132</v>
      </c>
      <c r="BD1" s="107" t="s">
        <v>1023</v>
      </c>
      <c r="BE1" s="107"/>
      <c r="BF1" s="107"/>
      <c r="BG1" s="108" t="s">
        <v>1024</v>
      </c>
      <c r="BH1" s="108"/>
      <c r="BI1" s="108"/>
      <c r="BJ1" s="108"/>
      <c r="BN1" s="109" t="s">
        <v>1020</v>
      </c>
      <c r="BO1" s="109"/>
      <c r="BP1" s="109"/>
      <c r="BQ1" s="82">
        <f>AX1</f>
        <v>43132</v>
      </c>
      <c r="BS1" s="63">
        <f>EDATE(BQ1,1)</f>
        <v>43160</v>
      </c>
      <c r="BY1" s="107" t="s">
        <v>1023</v>
      </c>
      <c r="BZ1" s="107"/>
      <c r="CA1" s="107"/>
      <c r="CB1" s="108" t="s">
        <v>1024</v>
      </c>
      <c r="CC1" s="108"/>
      <c r="CD1" s="108"/>
      <c r="CE1" s="108"/>
      <c r="CI1" s="109" t="s">
        <v>1020</v>
      </c>
      <c r="CJ1" s="109"/>
      <c r="CK1" s="109"/>
      <c r="CL1" s="82">
        <f>BS1</f>
        <v>43160</v>
      </c>
      <c r="CN1" s="63">
        <f>EDATE(CL1,1)</f>
        <v>43191</v>
      </c>
      <c r="CT1" s="107" t="s">
        <v>1023</v>
      </c>
      <c r="CU1" s="107"/>
      <c r="CV1" s="107"/>
      <c r="CW1" s="108" t="s">
        <v>1024</v>
      </c>
      <c r="CX1" s="108"/>
      <c r="CY1" s="108"/>
      <c r="CZ1" s="108"/>
      <c r="DD1" s="109" t="s">
        <v>1020</v>
      </c>
      <c r="DE1" s="109"/>
      <c r="DF1" s="109"/>
      <c r="DG1" s="82">
        <f>CN1</f>
        <v>43191</v>
      </c>
      <c r="DI1" s="63">
        <f>EDATE(DG1,1)</f>
        <v>43221</v>
      </c>
      <c r="DO1" s="107" t="s">
        <v>1023</v>
      </c>
      <c r="DP1" s="107"/>
      <c r="DQ1" s="107"/>
      <c r="DR1" s="108" t="s">
        <v>1024</v>
      </c>
      <c r="DS1" s="108"/>
      <c r="DT1" s="108"/>
      <c r="DU1" s="108"/>
      <c r="DY1" s="109" t="s">
        <v>1020</v>
      </c>
      <c r="DZ1" s="109"/>
      <c r="EA1" s="109"/>
      <c r="EB1" s="82">
        <f>DI1</f>
        <v>43221</v>
      </c>
      <c r="ED1" s="63">
        <f>EDATE(EB1,1)</f>
        <v>43252</v>
      </c>
      <c r="EJ1" s="107" t="s">
        <v>1023</v>
      </c>
      <c r="EK1" s="107"/>
      <c r="EL1" s="107"/>
      <c r="EM1" s="108" t="s">
        <v>1024</v>
      </c>
      <c r="EN1" s="108"/>
      <c r="EO1" s="108"/>
      <c r="EP1" s="108"/>
      <c r="ET1" s="109" t="s">
        <v>1020</v>
      </c>
      <c r="EU1" s="109"/>
      <c r="EV1" s="109"/>
      <c r="EW1" s="82">
        <f>ED1</f>
        <v>43252</v>
      </c>
      <c r="EY1" s="63">
        <f>EDATE(EW1,1)</f>
        <v>43282</v>
      </c>
      <c r="FE1" s="107" t="s">
        <v>1023</v>
      </c>
      <c r="FF1" s="107"/>
      <c r="FG1" s="107"/>
      <c r="FH1" s="108" t="s">
        <v>1024</v>
      </c>
      <c r="FI1" s="108"/>
      <c r="FJ1" s="108"/>
      <c r="FK1" s="108"/>
      <c r="FO1" s="109" t="s">
        <v>1020</v>
      </c>
      <c r="FP1" s="109"/>
      <c r="FQ1" s="109"/>
      <c r="FR1" s="82">
        <f>EY1</f>
        <v>43282</v>
      </c>
      <c r="FT1" s="63">
        <f>EDATE(FR1,1)</f>
        <v>43313</v>
      </c>
      <c r="FZ1" s="107" t="s">
        <v>1023</v>
      </c>
      <c r="GA1" s="107"/>
      <c r="GB1" s="107"/>
      <c r="GC1" s="108" t="s">
        <v>1024</v>
      </c>
      <c r="GD1" s="108"/>
      <c r="GE1" s="108"/>
      <c r="GF1" s="108"/>
      <c r="GJ1" s="109" t="s">
        <v>1020</v>
      </c>
      <c r="GK1" s="109"/>
      <c r="GL1" s="109"/>
      <c r="GM1" s="82">
        <f>FT1</f>
        <v>43313</v>
      </c>
      <c r="GO1" s="63">
        <f>EDATE(GM1,1)</f>
        <v>43344</v>
      </c>
      <c r="GU1" s="107" t="s">
        <v>1023</v>
      </c>
      <c r="GV1" s="107"/>
      <c r="GW1" s="107"/>
      <c r="GX1" s="108" t="s">
        <v>1024</v>
      </c>
      <c r="GY1" s="108"/>
      <c r="GZ1" s="108"/>
      <c r="HA1" s="108"/>
      <c r="HE1" s="109" t="s">
        <v>1020</v>
      </c>
      <c r="HF1" s="109"/>
      <c r="HG1" s="109"/>
      <c r="HH1" s="82">
        <f>GO1</f>
        <v>43344</v>
      </c>
      <c r="HJ1" s="63">
        <f>EDATE(HH1,1)</f>
        <v>43374</v>
      </c>
      <c r="HP1" s="107" t="s">
        <v>1023</v>
      </c>
      <c r="HQ1" s="107"/>
      <c r="HR1" s="107"/>
      <c r="HS1" s="108" t="s">
        <v>1024</v>
      </c>
      <c r="HT1" s="108"/>
      <c r="HU1" s="108"/>
      <c r="HV1" s="108"/>
      <c r="HZ1" s="109" t="s">
        <v>1020</v>
      </c>
      <c r="IA1" s="109"/>
      <c r="IB1" s="109"/>
      <c r="IC1" s="82">
        <f>HJ1</f>
        <v>43374</v>
      </c>
      <c r="IE1" s="63">
        <f>EDATE(IC1,1)</f>
        <v>43405</v>
      </c>
      <c r="IK1" s="107" t="s">
        <v>1023</v>
      </c>
      <c r="IL1" s="107"/>
      <c r="IM1" s="107"/>
      <c r="IN1" s="108" t="s">
        <v>1024</v>
      </c>
      <c r="IO1" s="108"/>
      <c r="IP1" s="108"/>
      <c r="IQ1" s="108"/>
      <c r="IU1" s="109" t="s">
        <v>1020</v>
      </c>
      <c r="IV1" s="109"/>
      <c r="IW1" s="109"/>
      <c r="IX1" s="82">
        <f>IE1</f>
        <v>43405</v>
      </c>
      <c r="IZ1" s="63">
        <f>EDATE(IX1,1)</f>
        <v>43435</v>
      </c>
      <c r="JF1" s="107" t="s">
        <v>1023</v>
      </c>
      <c r="JG1" s="107"/>
      <c r="JH1" s="107"/>
      <c r="JI1" s="108" t="s">
        <v>1024</v>
      </c>
      <c r="JJ1" s="108"/>
      <c r="JK1" s="108"/>
      <c r="JL1" s="108"/>
      <c r="JP1" s="109" t="s">
        <v>1020</v>
      </c>
      <c r="JQ1" s="109"/>
      <c r="JR1" s="109"/>
      <c r="JS1" s="82">
        <f>IZ1</f>
        <v>43435</v>
      </c>
      <c r="JU1" s="63">
        <f>EDATE(JS1,1)</f>
        <v>43466</v>
      </c>
      <c r="KA1" s="107" t="s">
        <v>1023</v>
      </c>
      <c r="KB1" s="107"/>
      <c r="KC1" s="107"/>
      <c r="KD1" s="108" t="s">
        <v>1024</v>
      </c>
      <c r="KE1" s="108"/>
      <c r="KF1" s="108"/>
      <c r="KG1" s="108"/>
      <c r="KK1" s="109" t="s">
        <v>1020</v>
      </c>
      <c r="KL1" s="109"/>
      <c r="KM1" s="109"/>
      <c r="KN1" s="82">
        <f>JU1</f>
        <v>43466</v>
      </c>
      <c r="KP1" s="63">
        <f>EDATE(KN1,1)</f>
        <v>43497</v>
      </c>
      <c r="KV1" s="107" t="s">
        <v>1023</v>
      </c>
      <c r="KW1" s="107"/>
      <c r="KX1" s="107"/>
      <c r="KY1" s="108" t="s">
        <v>1024</v>
      </c>
      <c r="KZ1" s="108"/>
      <c r="LA1" s="108"/>
      <c r="LB1" s="108"/>
      <c r="LF1" s="109" t="s">
        <v>1020</v>
      </c>
      <c r="LG1" s="109"/>
      <c r="LH1" s="109"/>
      <c r="LI1" s="82">
        <f>KP1</f>
        <v>43497</v>
      </c>
      <c r="LK1" s="63">
        <f>EDATE(LI1,1)</f>
        <v>43525</v>
      </c>
      <c r="LQ1" s="107" t="s">
        <v>1023</v>
      </c>
      <c r="LR1" s="107"/>
      <c r="LS1" s="107"/>
      <c r="LT1" s="108" t="s">
        <v>1024</v>
      </c>
      <c r="LU1" s="108"/>
      <c r="LV1" s="108"/>
      <c r="LW1" s="108"/>
      <c r="MA1" s="109" t="s">
        <v>1020</v>
      </c>
      <c r="MB1" s="109"/>
      <c r="MC1" s="109"/>
      <c r="MD1" s="82">
        <f>LK1</f>
        <v>43525</v>
      </c>
      <c r="MF1" s="63">
        <f>EDATE(MD1,1)</f>
        <v>43556</v>
      </c>
      <c r="ML1" s="107" t="s">
        <v>1023</v>
      </c>
      <c r="MM1" s="107"/>
      <c r="MN1" s="107"/>
      <c r="MO1" s="108" t="s">
        <v>1024</v>
      </c>
      <c r="MP1" s="108"/>
      <c r="MQ1" s="108"/>
      <c r="MR1" s="108"/>
      <c r="MV1" s="109" t="s">
        <v>1020</v>
      </c>
      <c r="MW1" s="109"/>
      <c r="MX1" s="109"/>
      <c r="MY1" s="82">
        <f>MF1</f>
        <v>43556</v>
      </c>
      <c r="NA1" s="63">
        <f>EDATE(MY1,1)</f>
        <v>43586</v>
      </c>
      <c r="NG1" s="107" t="s">
        <v>1023</v>
      </c>
      <c r="NH1" s="107"/>
      <c r="NI1" s="107"/>
      <c r="NJ1" s="108" t="s">
        <v>1024</v>
      </c>
      <c r="NK1" s="108"/>
      <c r="NL1" s="108"/>
      <c r="NM1" s="108"/>
      <c r="NQ1" s="109" t="s">
        <v>1020</v>
      </c>
      <c r="NR1" s="109"/>
      <c r="NS1" s="109"/>
      <c r="NT1" s="82">
        <f>NA1</f>
        <v>43586</v>
      </c>
      <c r="NV1" s="63">
        <f>EDATE(NT1,1)</f>
        <v>43617</v>
      </c>
      <c r="OB1" s="107" t="s">
        <v>1023</v>
      </c>
      <c r="OC1" s="107"/>
      <c r="OD1" s="107"/>
      <c r="OE1" s="108" t="s">
        <v>1024</v>
      </c>
      <c r="OF1" s="108"/>
      <c r="OG1" s="108"/>
      <c r="OH1" s="108"/>
      <c r="OL1" s="109" t="s">
        <v>1020</v>
      </c>
      <c r="OM1" s="109"/>
      <c r="ON1" s="109"/>
      <c r="OO1" s="82">
        <f>NV1</f>
        <v>43617</v>
      </c>
      <c r="OQ1" s="63">
        <f>EDATE(OO1,1)</f>
        <v>43647</v>
      </c>
      <c r="OW1" s="107" t="s">
        <v>1023</v>
      </c>
      <c r="OX1" s="107"/>
      <c r="OY1" s="107"/>
      <c r="OZ1" s="108" t="s">
        <v>1024</v>
      </c>
      <c r="PA1" s="108"/>
      <c r="PB1" s="108"/>
      <c r="PC1" s="108"/>
      <c r="PG1" s="109" t="s">
        <v>1020</v>
      </c>
      <c r="PH1" s="109"/>
      <c r="PI1" s="109"/>
      <c r="PJ1" s="82">
        <f>OQ1</f>
        <v>43647</v>
      </c>
      <c r="PL1" s="63">
        <f>EDATE(PJ1,1)</f>
        <v>43678</v>
      </c>
      <c r="PR1" s="107" t="s">
        <v>1023</v>
      </c>
      <c r="PS1" s="107"/>
      <c r="PT1" s="107"/>
      <c r="PU1" s="108" t="s">
        <v>1024</v>
      </c>
      <c r="PV1" s="108"/>
      <c r="PW1" s="108"/>
      <c r="PX1" s="108"/>
      <c r="QB1" s="109" t="s">
        <v>1020</v>
      </c>
      <c r="QC1" s="109"/>
      <c r="QD1" s="109"/>
      <c r="QE1" s="82">
        <f>PL1</f>
        <v>43678</v>
      </c>
      <c r="QG1" s="63">
        <f>EDATE(QE1,1)</f>
        <v>43709</v>
      </c>
      <c r="QM1" s="107" t="s">
        <v>1023</v>
      </c>
      <c r="QN1" s="107"/>
      <c r="QO1" s="107"/>
      <c r="QP1" s="108" t="s">
        <v>1024</v>
      </c>
      <c r="QQ1" s="108"/>
      <c r="QR1" s="108"/>
      <c r="QS1" s="108"/>
      <c r="QW1" s="109" t="s">
        <v>1020</v>
      </c>
      <c r="QX1" s="109"/>
      <c r="QY1" s="109"/>
      <c r="QZ1" s="82">
        <f>QG1</f>
        <v>43709</v>
      </c>
      <c r="RB1" s="63">
        <f>EDATE(QZ1,1)</f>
        <v>43739</v>
      </c>
      <c r="RH1" s="107" t="s">
        <v>1023</v>
      </c>
      <c r="RI1" s="107"/>
      <c r="RJ1" s="107"/>
      <c r="RK1" s="108" t="s">
        <v>1024</v>
      </c>
      <c r="RL1" s="108"/>
      <c r="RM1" s="108"/>
      <c r="RN1" s="108"/>
      <c r="RR1" s="109" t="s">
        <v>1020</v>
      </c>
      <c r="RS1" s="109"/>
      <c r="RT1" s="109"/>
      <c r="RU1" s="82">
        <f>RB1</f>
        <v>43739</v>
      </c>
      <c r="RW1" s="63">
        <f>EDATE(RU1,1)</f>
        <v>43770</v>
      </c>
      <c r="SC1" s="107" t="s">
        <v>1023</v>
      </c>
      <c r="SD1" s="107"/>
      <c r="SE1" s="107"/>
      <c r="SF1" s="108" t="s">
        <v>1024</v>
      </c>
      <c r="SG1" s="108"/>
      <c r="SH1" s="108"/>
      <c r="SI1" s="108"/>
      <c r="SM1" s="109" t="s">
        <v>1020</v>
      </c>
      <c r="SN1" s="109"/>
      <c r="SO1" s="109"/>
      <c r="SP1" s="82">
        <f>RW1</f>
        <v>43770</v>
      </c>
      <c r="SR1" s="63">
        <f>EDATE(SP1,1)</f>
        <v>43800</v>
      </c>
      <c r="SX1" s="107" t="s">
        <v>1023</v>
      </c>
      <c r="SY1" s="107"/>
      <c r="SZ1" s="107"/>
      <c r="TA1" s="108" t="s">
        <v>1024</v>
      </c>
      <c r="TB1" s="108"/>
      <c r="TC1" s="108"/>
      <c r="TD1" s="108"/>
      <c r="TH1" s="109" t="s">
        <v>1020</v>
      </c>
      <c r="TI1" s="109"/>
      <c r="TJ1" s="109"/>
      <c r="TK1" s="82">
        <f>SR1</f>
        <v>43800</v>
      </c>
      <c r="TM1" s="63">
        <f>EDATE(TK1,1)</f>
        <v>43831</v>
      </c>
      <c r="TS1" s="107" t="s">
        <v>1023</v>
      </c>
      <c r="TT1" s="107"/>
      <c r="TU1" s="107"/>
      <c r="TV1" s="108" t="s">
        <v>1024</v>
      </c>
      <c r="TW1" s="108"/>
      <c r="TX1" s="108"/>
      <c r="TY1" s="108"/>
      <c r="UC1" s="109" t="s">
        <v>1020</v>
      </c>
      <c r="UD1" s="109"/>
      <c r="UE1" s="109"/>
      <c r="UF1" s="82">
        <f>TM1</f>
        <v>43831</v>
      </c>
      <c r="UH1" s="63">
        <f>EDATE(UF1,1)</f>
        <v>43862</v>
      </c>
      <c r="UN1" s="107" t="s">
        <v>1023</v>
      </c>
      <c r="UO1" s="107"/>
      <c r="UP1" s="107"/>
      <c r="UQ1" s="108" t="s">
        <v>1024</v>
      </c>
      <c r="UR1" s="108"/>
      <c r="US1" s="108"/>
      <c r="UT1" s="108"/>
      <c r="UX1" s="109" t="s">
        <v>1020</v>
      </c>
      <c r="UY1" s="109"/>
      <c r="UZ1" s="109"/>
      <c r="VA1" s="82">
        <f>UH1</f>
        <v>43862</v>
      </c>
      <c r="VC1" s="63">
        <f>EDATE(VA1,1)</f>
        <v>43891</v>
      </c>
      <c r="VI1" s="107" t="s">
        <v>1023</v>
      </c>
      <c r="VJ1" s="107"/>
      <c r="VK1" s="107"/>
      <c r="VL1" s="108" t="s">
        <v>1024</v>
      </c>
      <c r="VM1" s="108"/>
      <c r="VN1" s="108"/>
      <c r="VO1" s="108"/>
      <c r="VS1" s="109" t="s">
        <v>1020</v>
      </c>
      <c r="VT1" s="109"/>
      <c r="VU1" s="109"/>
      <c r="VV1" s="82">
        <f>VC1</f>
        <v>43891</v>
      </c>
      <c r="VX1" s="63">
        <f>EDATE(VV1,1)</f>
        <v>43922</v>
      </c>
      <c r="WD1" s="107" t="s">
        <v>1023</v>
      </c>
      <c r="WE1" s="107"/>
      <c r="WF1" s="107"/>
      <c r="WG1" s="108" t="s">
        <v>1024</v>
      </c>
      <c r="WH1" s="108"/>
      <c r="WI1" s="108"/>
      <c r="WJ1" s="108"/>
      <c r="WN1" s="109" t="s">
        <v>1020</v>
      </c>
      <c r="WO1" s="109"/>
      <c r="WP1" s="109"/>
      <c r="WQ1" s="82">
        <f>VX1</f>
        <v>43922</v>
      </c>
      <c r="WS1" s="63">
        <f>EDATE(WQ1,1)</f>
        <v>43952</v>
      </c>
      <c r="WY1" s="107" t="s">
        <v>1023</v>
      </c>
      <c r="WZ1" s="107"/>
      <c r="XA1" s="107"/>
      <c r="XB1" s="108" t="s">
        <v>1024</v>
      </c>
      <c r="XC1" s="108"/>
      <c r="XD1" s="108"/>
      <c r="XE1" s="108"/>
      <c r="XI1" s="109" t="s">
        <v>1020</v>
      </c>
      <c r="XJ1" s="109"/>
      <c r="XK1" s="109"/>
      <c r="XL1" s="82">
        <f>WS1</f>
        <v>43952</v>
      </c>
    </row>
    <row r="2" spans="1:641" s="8" customFormat="1" x14ac:dyDescent="0.25">
      <c r="B2" s="8" t="s">
        <v>44</v>
      </c>
      <c r="C2" s="8" t="s">
        <v>43</v>
      </c>
      <c r="D2" s="8" t="s">
        <v>224</v>
      </c>
      <c r="E2" s="8" t="s">
        <v>1023</v>
      </c>
      <c r="F2" s="8" t="s">
        <v>176</v>
      </c>
      <c r="H2" s="9" t="s">
        <v>58</v>
      </c>
      <c r="I2" s="9"/>
      <c r="J2" s="9"/>
      <c r="K2" s="9" t="s">
        <v>197</v>
      </c>
      <c r="L2" s="9" t="s">
        <v>170</v>
      </c>
      <c r="M2" s="9"/>
      <c r="N2" s="88"/>
      <c r="O2" s="9"/>
      <c r="P2" s="9"/>
      <c r="Q2" s="9"/>
      <c r="R2" s="9"/>
      <c r="S2" s="9"/>
      <c r="T2" s="9"/>
      <c r="U2" s="9"/>
      <c r="V2" s="9"/>
      <c r="W2" s="9"/>
      <c r="X2" s="8" t="s">
        <v>58</v>
      </c>
      <c r="Y2" s="8" t="s">
        <v>94</v>
      </c>
      <c r="Z2" s="8" t="s">
        <v>95</v>
      </c>
      <c r="AA2" s="8" t="s">
        <v>171</v>
      </c>
      <c r="AC2" s="9" t="s">
        <v>58</v>
      </c>
      <c r="AD2" s="9" t="s">
        <v>98</v>
      </c>
      <c r="AE2" s="9" t="s">
        <v>100</v>
      </c>
      <c r="AF2" s="9" t="s">
        <v>197</v>
      </c>
      <c r="AG2" s="9" t="s">
        <v>170</v>
      </c>
      <c r="AH2" s="9" t="s">
        <v>97</v>
      </c>
      <c r="AI2" s="91" t="s">
        <v>1025</v>
      </c>
      <c r="AJ2" s="89" t="s">
        <v>1027</v>
      </c>
      <c r="AK2" s="89" t="s">
        <v>1028</v>
      </c>
      <c r="AL2" s="90" t="s">
        <v>1026</v>
      </c>
      <c r="AM2" s="90" t="s">
        <v>1027</v>
      </c>
      <c r="AN2" s="90" t="s">
        <v>199</v>
      </c>
      <c r="AO2" s="90" t="s">
        <v>1028</v>
      </c>
      <c r="AP2" s="9" t="s">
        <v>95</v>
      </c>
      <c r="AQ2" s="9" t="s">
        <v>172</v>
      </c>
      <c r="AR2" s="9" t="s">
        <v>171</v>
      </c>
      <c r="AS2" s="8" t="s">
        <v>58</v>
      </c>
      <c r="AT2" s="8" t="s">
        <v>94</v>
      </c>
      <c r="AU2" s="8" t="s">
        <v>95</v>
      </c>
      <c r="AV2" s="8" t="s">
        <v>171</v>
      </c>
      <c r="AX2" s="9" t="s">
        <v>58</v>
      </c>
      <c r="AY2" s="9" t="s">
        <v>98</v>
      </c>
      <c r="AZ2" s="9" t="s">
        <v>100</v>
      </c>
      <c r="BA2" s="9" t="s">
        <v>197</v>
      </c>
      <c r="BB2" s="9" t="s">
        <v>170</v>
      </c>
      <c r="BC2" s="9" t="s">
        <v>97</v>
      </c>
      <c r="BD2" s="91" t="s">
        <v>1025</v>
      </c>
      <c r="BE2" s="89" t="s">
        <v>1027</v>
      </c>
      <c r="BF2" s="89" t="s">
        <v>1028</v>
      </c>
      <c r="BG2" s="90" t="s">
        <v>1026</v>
      </c>
      <c r="BH2" s="90" t="s">
        <v>1027</v>
      </c>
      <c r="BI2" s="90" t="s">
        <v>199</v>
      </c>
      <c r="BJ2" s="90" t="s">
        <v>1028</v>
      </c>
      <c r="BK2" s="9" t="s">
        <v>95</v>
      </c>
      <c r="BL2" s="9" t="s">
        <v>172</v>
      </c>
      <c r="BM2" s="9" t="s">
        <v>171</v>
      </c>
      <c r="BN2" s="8" t="s">
        <v>58</v>
      </c>
      <c r="BO2" s="8" t="s">
        <v>94</v>
      </c>
      <c r="BP2" s="8" t="s">
        <v>95</v>
      </c>
      <c r="BQ2" s="8" t="s">
        <v>171</v>
      </c>
      <c r="BS2" s="9" t="s">
        <v>58</v>
      </c>
      <c r="BT2" s="9" t="s">
        <v>98</v>
      </c>
      <c r="BU2" s="9" t="s">
        <v>100</v>
      </c>
      <c r="BV2" s="9" t="s">
        <v>197</v>
      </c>
      <c r="BW2" s="9" t="s">
        <v>170</v>
      </c>
      <c r="BX2" s="9" t="s">
        <v>97</v>
      </c>
      <c r="BY2" s="91" t="s">
        <v>1025</v>
      </c>
      <c r="BZ2" s="89" t="s">
        <v>1027</v>
      </c>
      <c r="CA2" s="89" t="s">
        <v>1028</v>
      </c>
      <c r="CB2" s="90" t="s">
        <v>1026</v>
      </c>
      <c r="CC2" s="90" t="s">
        <v>1027</v>
      </c>
      <c r="CD2" s="90" t="s">
        <v>199</v>
      </c>
      <c r="CE2" s="90" t="s">
        <v>1028</v>
      </c>
      <c r="CF2" s="9" t="s">
        <v>95</v>
      </c>
      <c r="CG2" s="9" t="s">
        <v>172</v>
      </c>
      <c r="CH2" s="9" t="s">
        <v>171</v>
      </c>
      <c r="CI2" s="8" t="s">
        <v>58</v>
      </c>
      <c r="CJ2" s="8" t="s">
        <v>94</v>
      </c>
      <c r="CK2" s="8" t="s">
        <v>95</v>
      </c>
      <c r="CL2" s="8" t="s">
        <v>171</v>
      </c>
      <c r="CN2" s="9" t="s">
        <v>58</v>
      </c>
      <c r="CO2" s="9" t="s">
        <v>98</v>
      </c>
      <c r="CP2" s="9" t="s">
        <v>100</v>
      </c>
      <c r="CQ2" s="9" t="s">
        <v>197</v>
      </c>
      <c r="CR2" s="9" t="s">
        <v>170</v>
      </c>
      <c r="CS2" s="9" t="s">
        <v>97</v>
      </c>
      <c r="CT2" s="91" t="s">
        <v>1025</v>
      </c>
      <c r="CU2" s="89" t="s">
        <v>1027</v>
      </c>
      <c r="CV2" s="89" t="s">
        <v>1028</v>
      </c>
      <c r="CW2" s="90" t="s">
        <v>1026</v>
      </c>
      <c r="CX2" s="90" t="s">
        <v>1027</v>
      </c>
      <c r="CY2" s="90" t="s">
        <v>199</v>
      </c>
      <c r="CZ2" s="90" t="s">
        <v>1028</v>
      </c>
      <c r="DA2" s="9" t="s">
        <v>95</v>
      </c>
      <c r="DB2" s="9" t="s">
        <v>172</v>
      </c>
      <c r="DC2" s="9" t="s">
        <v>171</v>
      </c>
      <c r="DD2" s="8" t="s">
        <v>58</v>
      </c>
      <c r="DE2" s="8" t="s">
        <v>94</v>
      </c>
      <c r="DF2" s="8" t="s">
        <v>95</v>
      </c>
      <c r="DG2" s="8" t="s">
        <v>171</v>
      </c>
      <c r="DI2" s="9" t="s">
        <v>58</v>
      </c>
      <c r="DJ2" s="9" t="s">
        <v>98</v>
      </c>
      <c r="DK2" s="9" t="s">
        <v>100</v>
      </c>
      <c r="DL2" s="9" t="s">
        <v>197</v>
      </c>
      <c r="DM2" s="9" t="s">
        <v>170</v>
      </c>
      <c r="DN2" s="9" t="s">
        <v>97</v>
      </c>
      <c r="DO2" s="91" t="s">
        <v>1025</v>
      </c>
      <c r="DP2" s="89" t="s">
        <v>1027</v>
      </c>
      <c r="DQ2" s="89" t="s">
        <v>1028</v>
      </c>
      <c r="DR2" s="90" t="s">
        <v>1026</v>
      </c>
      <c r="DS2" s="90" t="s">
        <v>1027</v>
      </c>
      <c r="DT2" s="90" t="s">
        <v>199</v>
      </c>
      <c r="DU2" s="90" t="s">
        <v>1028</v>
      </c>
      <c r="DV2" s="9" t="s">
        <v>95</v>
      </c>
      <c r="DW2" s="9" t="s">
        <v>172</v>
      </c>
      <c r="DX2" s="9" t="s">
        <v>171</v>
      </c>
      <c r="DY2" s="8" t="s">
        <v>58</v>
      </c>
      <c r="DZ2" s="8" t="s">
        <v>94</v>
      </c>
      <c r="EA2" s="8" t="s">
        <v>95</v>
      </c>
      <c r="EB2" s="8" t="s">
        <v>171</v>
      </c>
      <c r="ED2" s="9" t="s">
        <v>58</v>
      </c>
      <c r="EE2" s="9" t="s">
        <v>98</v>
      </c>
      <c r="EF2" s="9" t="s">
        <v>100</v>
      </c>
      <c r="EG2" s="9" t="s">
        <v>197</v>
      </c>
      <c r="EH2" s="9" t="s">
        <v>170</v>
      </c>
      <c r="EI2" s="9" t="s">
        <v>97</v>
      </c>
      <c r="EJ2" s="91" t="s">
        <v>1025</v>
      </c>
      <c r="EK2" s="89" t="s">
        <v>1027</v>
      </c>
      <c r="EL2" s="89" t="s">
        <v>1028</v>
      </c>
      <c r="EM2" s="90" t="s">
        <v>1026</v>
      </c>
      <c r="EN2" s="90" t="s">
        <v>1027</v>
      </c>
      <c r="EO2" s="90" t="s">
        <v>199</v>
      </c>
      <c r="EP2" s="90" t="s">
        <v>1028</v>
      </c>
      <c r="EQ2" s="9" t="s">
        <v>95</v>
      </c>
      <c r="ER2" s="9" t="s">
        <v>172</v>
      </c>
      <c r="ES2" s="9" t="s">
        <v>171</v>
      </c>
      <c r="ET2" s="8" t="s">
        <v>58</v>
      </c>
      <c r="EU2" s="8" t="s">
        <v>94</v>
      </c>
      <c r="EV2" s="8" t="s">
        <v>95</v>
      </c>
      <c r="EW2" s="8" t="s">
        <v>171</v>
      </c>
      <c r="EY2" s="9" t="s">
        <v>58</v>
      </c>
      <c r="EZ2" s="9" t="s">
        <v>98</v>
      </c>
      <c r="FA2" s="9" t="s">
        <v>100</v>
      </c>
      <c r="FB2" s="9" t="s">
        <v>197</v>
      </c>
      <c r="FC2" s="9" t="s">
        <v>170</v>
      </c>
      <c r="FD2" s="9" t="s">
        <v>97</v>
      </c>
      <c r="FE2" s="91" t="s">
        <v>1025</v>
      </c>
      <c r="FF2" s="89" t="s">
        <v>1027</v>
      </c>
      <c r="FG2" s="89" t="s">
        <v>1028</v>
      </c>
      <c r="FH2" s="90" t="s">
        <v>1026</v>
      </c>
      <c r="FI2" s="90" t="s">
        <v>1027</v>
      </c>
      <c r="FJ2" s="90" t="s">
        <v>199</v>
      </c>
      <c r="FK2" s="90" t="s">
        <v>1028</v>
      </c>
      <c r="FL2" s="9" t="s">
        <v>95</v>
      </c>
      <c r="FM2" s="9" t="s">
        <v>172</v>
      </c>
      <c r="FN2" s="9" t="s">
        <v>171</v>
      </c>
      <c r="FO2" s="8" t="s">
        <v>58</v>
      </c>
      <c r="FP2" s="8" t="s">
        <v>94</v>
      </c>
      <c r="FQ2" s="8" t="s">
        <v>95</v>
      </c>
      <c r="FR2" s="8" t="s">
        <v>171</v>
      </c>
      <c r="FT2" s="9" t="s">
        <v>58</v>
      </c>
      <c r="FU2" s="9" t="s">
        <v>98</v>
      </c>
      <c r="FV2" s="9" t="s">
        <v>100</v>
      </c>
      <c r="FW2" s="9" t="s">
        <v>197</v>
      </c>
      <c r="FX2" s="9" t="s">
        <v>170</v>
      </c>
      <c r="FY2" s="9" t="s">
        <v>97</v>
      </c>
      <c r="FZ2" s="91" t="s">
        <v>1025</v>
      </c>
      <c r="GA2" s="89" t="s">
        <v>1027</v>
      </c>
      <c r="GB2" s="89" t="s">
        <v>1028</v>
      </c>
      <c r="GC2" s="90" t="s">
        <v>1026</v>
      </c>
      <c r="GD2" s="90" t="s">
        <v>1027</v>
      </c>
      <c r="GE2" s="90" t="s">
        <v>199</v>
      </c>
      <c r="GF2" s="90" t="s">
        <v>1028</v>
      </c>
      <c r="GG2" s="9" t="s">
        <v>95</v>
      </c>
      <c r="GH2" s="9" t="s">
        <v>172</v>
      </c>
      <c r="GI2" s="9" t="s">
        <v>171</v>
      </c>
      <c r="GJ2" s="8" t="s">
        <v>58</v>
      </c>
      <c r="GK2" s="8" t="s">
        <v>94</v>
      </c>
      <c r="GL2" s="8" t="s">
        <v>95</v>
      </c>
      <c r="GM2" s="8" t="s">
        <v>171</v>
      </c>
      <c r="GO2" s="9" t="s">
        <v>58</v>
      </c>
      <c r="GP2" s="9" t="s">
        <v>98</v>
      </c>
      <c r="GQ2" s="9" t="s">
        <v>100</v>
      </c>
      <c r="GR2" s="9" t="s">
        <v>197</v>
      </c>
      <c r="GS2" s="9" t="s">
        <v>170</v>
      </c>
      <c r="GT2" s="9" t="s">
        <v>97</v>
      </c>
      <c r="GU2" s="91" t="s">
        <v>1025</v>
      </c>
      <c r="GV2" s="89" t="s">
        <v>1027</v>
      </c>
      <c r="GW2" s="89" t="s">
        <v>1028</v>
      </c>
      <c r="GX2" s="90" t="s">
        <v>1026</v>
      </c>
      <c r="GY2" s="90" t="s">
        <v>1027</v>
      </c>
      <c r="GZ2" s="90" t="s">
        <v>199</v>
      </c>
      <c r="HA2" s="90" t="s">
        <v>1028</v>
      </c>
      <c r="HB2" s="9" t="s">
        <v>95</v>
      </c>
      <c r="HC2" s="9" t="s">
        <v>172</v>
      </c>
      <c r="HD2" s="9" t="s">
        <v>171</v>
      </c>
      <c r="HE2" s="8" t="s">
        <v>58</v>
      </c>
      <c r="HF2" s="8" t="s">
        <v>94</v>
      </c>
      <c r="HG2" s="8" t="s">
        <v>95</v>
      </c>
      <c r="HH2" s="8" t="s">
        <v>171</v>
      </c>
      <c r="HJ2" s="9" t="s">
        <v>58</v>
      </c>
      <c r="HK2" s="9" t="s">
        <v>98</v>
      </c>
      <c r="HL2" s="9" t="s">
        <v>100</v>
      </c>
      <c r="HM2" s="9" t="s">
        <v>197</v>
      </c>
      <c r="HN2" s="9" t="s">
        <v>170</v>
      </c>
      <c r="HO2" s="9" t="s">
        <v>97</v>
      </c>
      <c r="HP2" s="91" t="s">
        <v>1025</v>
      </c>
      <c r="HQ2" s="89" t="s">
        <v>1027</v>
      </c>
      <c r="HR2" s="89" t="s">
        <v>1028</v>
      </c>
      <c r="HS2" s="90" t="s">
        <v>1026</v>
      </c>
      <c r="HT2" s="90" t="s">
        <v>1027</v>
      </c>
      <c r="HU2" s="90" t="s">
        <v>199</v>
      </c>
      <c r="HV2" s="90" t="s">
        <v>1028</v>
      </c>
      <c r="HW2" s="9" t="s">
        <v>95</v>
      </c>
      <c r="HX2" s="9" t="s">
        <v>172</v>
      </c>
      <c r="HY2" s="9" t="s">
        <v>171</v>
      </c>
      <c r="HZ2" s="8" t="s">
        <v>58</v>
      </c>
      <c r="IA2" s="8" t="s">
        <v>94</v>
      </c>
      <c r="IB2" s="8" t="s">
        <v>95</v>
      </c>
      <c r="IC2" s="8" t="s">
        <v>171</v>
      </c>
      <c r="IE2" s="9" t="s">
        <v>58</v>
      </c>
      <c r="IF2" s="9" t="s">
        <v>98</v>
      </c>
      <c r="IG2" s="9" t="s">
        <v>100</v>
      </c>
      <c r="IH2" s="9" t="s">
        <v>197</v>
      </c>
      <c r="II2" s="9" t="s">
        <v>170</v>
      </c>
      <c r="IJ2" s="9" t="s">
        <v>97</v>
      </c>
      <c r="IK2" s="91" t="s">
        <v>1025</v>
      </c>
      <c r="IL2" s="89" t="s">
        <v>1027</v>
      </c>
      <c r="IM2" s="89" t="s">
        <v>1028</v>
      </c>
      <c r="IN2" s="90" t="s">
        <v>1026</v>
      </c>
      <c r="IO2" s="90" t="s">
        <v>1027</v>
      </c>
      <c r="IP2" s="90" t="s">
        <v>199</v>
      </c>
      <c r="IQ2" s="90" t="s">
        <v>1028</v>
      </c>
      <c r="IR2" s="9" t="s">
        <v>95</v>
      </c>
      <c r="IS2" s="9" t="s">
        <v>172</v>
      </c>
      <c r="IT2" s="9" t="s">
        <v>171</v>
      </c>
      <c r="IU2" s="8" t="s">
        <v>58</v>
      </c>
      <c r="IV2" s="8" t="s">
        <v>94</v>
      </c>
      <c r="IW2" s="8" t="s">
        <v>95</v>
      </c>
      <c r="IX2" s="8" t="s">
        <v>171</v>
      </c>
      <c r="IZ2" s="9" t="s">
        <v>58</v>
      </c>
      <c r="JA2" s="9" t="s">
        <v>98</v>
      </c>
      <c r="JB2" s="9" t="s">
        <v>100</v>
      </c>
      <c r="JC2" s="9" t="s">
        <v>197</v>
      </c>
      <c r="JD2" s="9" t="s">
        <v>170</v>
      </c>
      <c r="JE2" s="9" t="s">
        <v>97</v>
      </c>
      <c r="JF2" s="91" t="s">
        <v>1025</v>
      </c>
      <c r="JG2" s="89" t="s">
        <v>1027</v>
      </c>
      <c r="JH2" s="89" t="s">
        <v>1028</v>
      </c>
      <c r="JI2" s="90" t="s">
        <v>1026</v>
      </c>
      <c r="JJ2" s="90" t="s">
        <v>1027</v>
      </c>
      <c r="JK2" s="90" t="s">
        <v>199</v>
      </c>
      <c r="JL2" s="90" t="s">
        <v>1028</v>
      </c>
      <c r="JM2" s="9" t="s">
        <v>95</v>
      </c>
      <c r="JN2" s="9" t="s">
        <v>172</v>
      </c>
      <c r="JO2" s="9" t="s">
        <v>171</v>
      </c>
      <c r="JP2" s="8" t="s">
        <v>58</v>
      </c>
      <c r="JQ2" s="8" t="s">
        <v>94</v>
      </c>
      <c r="JR2" s="8" t="s">
        <v>95</v>
      </c>
      <c r="JS2" s="8" t="s">
        <v>171</v>
      </c>
      <c r="JU2" s="9" t="s">
        <v>58</v>
      </c>
      <c r="JV2" s="9" t="s">
        <v>98</v>
      </c>
      <c r="JW2" s="9" t="s">
        <v>100</v>
      </c>
      <c r="JX2" s="9" t="s">
        <v>197</v>
      </c>
      <c r="JY2" s="9" t="s">
        <v>170</v>
      </c>
      <c r="JZ2" s="9" t="s">
        <v>97</v>
      </c>
      <c r="KA2" s="91" t="s">
        <v>1025</v>
      </c>
      <c r="KB2" s="89" t="s">
        <v>1027</v>
      </c>
      <c r="KC2" s="89" t="s">
        <v>1028</v>
      </c>
      <c r="KD2" s="90" t="s">
        <v>1026</v>
      </c>
      <c r="KE2" s="90" t="s">
        <v>1027</v>
      </c>
      <c r="KF2" s="90" t="s">
        <v>199</v>
      </c>
      <c r="KG2" s="90" t="s">
        <v>1028</v>
      </c>
      <c r="KH2" s="9" t="s">
        <v>95</v>
      </c>
      <c r="KI2" s="9" t="s">
        <v>172</v>
      </c>
      <c r="KJ2" s="9" t="s">
        <v>171</v>
      </c>
      <c r="KK2" s="8" t="s">
        <v>58</v>
      </c>
      <c r="KL2" s="8" t="s">
        <v>94</v>
      </c>
      <c r="KM2" s="8" t="s">
        <v>95</v>
      </c>
      <c r="KN2" s="8" t="s">
        <v>171</v>
      </c>
      <c r="KP2" s="9" t="s">
        <v>58</v>
      </c>
      <c r="KQ2" s="9" t="s">
        <v>98</v>
      </c>
      <c r="KR2" s="9" t="s">
        <v>100</v>
      </c>
      <c r="KS2" s="9" t="s">
        <v>197</v>
      </c>
      <c r="KT2" s="9" t="s">
        <v>170</v>
      </c>
      <c r="KU2" s="9" t="s">
        <v>97</v>
      </c>
      <c r="KV2" s="91" t="s">
        <v>1025</v>
      </c>
      <c r="KW2" s="89" t="s">
        <v>1027</v>
      </c>
      <c r="KX2" s="89" t="s">
        <v>1028</v>
      </c>
      <c r="KY2" s="90" t="s">
        <v>1026</v>
      </c>
      <c r="KZ2" s="90" t="s">
        <v>1027</v>
      </c>
      <c r="LA2" s="90" t="s">
        <v>199</v>
      </c>
      <c r="LB2" s="90" t="s">
        <v>1028</v>
      </c>
      <c r="LC2" s="9" t="s">
        <v>95</v>
      </c>
      <c r="LD2" s="9" t="s">
        <v>172</v>
      </c>
      <c r="LE2" s="9" t="s">
        <v>171</v>
      </c>
      <c r="LF2" s="8" t="s">
        <v>58</v>
      </c>
      <c r="LG2" s="8" t="s">
        <v>94</v>
      </c>
      <c r="LH2" s="8" t="s">
        <v>95</v>
      </c>
      <c r="LI2" s="8" t="s">
        <v>171</v>
      </c>
      <c r="LK2" s="9" t="s">
        <v>58</v>
      </c>
      <c r="LL2" s="9" t="s">
        <v>98</v>
      </c>
      <c r="LM2" s="9" t="s">
        <v>100</v>
      </c>
      <c r="LN2" s="9" t="s">
        <v>197</v>
      </c>
      <c r="LO2" s="9" t="s">
        <v>170</v>
      </c>
      <c r="LP2" s="9" t="s">
        <v>97</v>
      </c>
      <c r="LQ2" s="91" t="s">
        <v>1025</v>
      </c>
      <c r="LR2" s="89" t="s">
        <v>1027</v>
      </c>
      <c r="LS2" s="89" t="s">
        <v>1028</v>
      </c>
      <c r="LT2" s="90" t="s">
        <v>1026</v>
      </c>
      <c r="LU2" s="90" t="s">
        <v>1027</v>
      </c>
      <c r="LV2" s="90" t="s">
        <v>199</v>
      </c>
      <c r="LW2" s="90" t="s">
        <v>1028</v>
      </c>
      <c r="LX2" s="9" t="s">
        <v>95</v>
      </c>
      <c r="LY2" s="9" t="s">
        <v>172</v>
      </c>
      <c r="LZ2" s="9" t="s">
        <v>171</v>
      </c>
      <c r="MA2" s="8" t="s">
        <v>58</v>
      </c>
      <c r="MB2" s="8" t="s">
        <v>94</v>
      </c>
      <c r="MC2" s="8" t="s">
        <v>95</v>
      </c>
      <c r="MD2" s="8" t="s">
        <v>171</v>
      </c>
      <c r="MF2" s="9" t="s">
        <v>58</v>
      </c>
      <c r="MG2" s="9" t="s">
        <v>98</v>
      </c>
      <c r="MH2" s="9" t="s">
        <v>100</v>
      </c>
      <c r="MI2" s="9" t="s">
        <v>197</v>
      </c>
      <c r="MJ2" s="9" t="s">
        <v>170</v>
      </c>
      <c r="MK2" s="9" t="s">
        <v>97</v>
      </c>
      <c r="ML2" s="91" t="s">
        <v>1025</v>
      </c>
      <c r="MM2" s="89" t="s">
        <v>1027</v>
      </c>
      <c r="MN2" s="89" t="s">
        <v>1028</v>
      </c>
      <c r="MO2" s="90" t="s">
        <v>1026</v>
      </c>
      <c r="MP2" s="90" t="s">
        <v>1027</v>
      </c>
      <c r="MQ2" s="90" t="s">
        <v>199</v>
      </c>
      <c r="MR2" s="90" t="s">
        <v>1028</v>
      </c>
      <c r="MS2" s="9" t="s">
        <v>95</v>
      </c>
      <c r="MT2" s="9" t="s">
        <v>172</v>
      </c>
      <c r="MU2" s="9" t="s">
        <v>171</v>
      </c>
      <c r="MV2" s="8" t="s">
        <v>58</v>
      </c>
      <c r="MW2" s="8" t="s">
        <v>94</v>
      </c>
      <c r="MX2" s="8" t="s">
        <v>95</v>
      </c>
      <c r="MY2" s="8" t="s">
        <v>171</v>
      </c>
      <c r="NA2" s="9" t="s">
        <v>58</v>
      </c>
      <c r="NB2" s="9" t="s">
        <v>98</v>
      </c>
      <c r="NC2" s="9" t="s">
        <v>100</v>
      </c>
      <c r="ND2" s="9" t="s">
        <v>197</v>
      </c>
      <c r="NE2" s="9" t="s">
        <v>170</v>
      </c>
      <c r="NF2" s="9" t="s">
        <v>97</v>
      </c>
      <c r="NG2" s="91" t="s">
        <v>1025</v>
      </c>
      <c r="NH2" s="89" t="s">
        <v>1027</v>
      </c>
      <c r="NI2" s="89" t="s">
        <v>1028</v>
      </c>
      <c r="NJ2" s="90" t="s">
        <v>1026</v>
      </c>
      <c r="NK2" s="90" t="s">
        <v>1027</v>
      </c>
      <c r="NL2" s="90" t="s">
        <v>199</v>
      </c>
      <c r="NM2" s="90" t="s">
        <v>1028</v>
      </c>
      <c r="NN2" s="9" t="s">
        <v>95</v>
      </c>
      <c r="NO2" s="9" t="s">
        <v>172</v>
      </c>
      <c r="NP2" s="9" t="s">
        <v>171</v>
      </c>
      <c r="NQ2" s="8" t="s">
        <v>58</v>
      </c>
      <c r="NR2" s="8" t="s">
        <v>94</v>
      </c>
      <c r="NS2" s="8" t="s">
        <v>95</v>
      </c>
      <c r="NT2" s="8" t="s">
        <v>171</v>
      </c>
      <c r="NV2" s="9" t="s">
        <v>58</v>
      </c>
      <c r="NW2" s="9" t="s">
        <v>98</v>
      </c>
      <c r="NX2" s="9" t="s">
        <v>100</v>
      </c>
      <c r="NY2" s="9" t="s">
        <v>197</v>
      </c>
      <c r="NZ2" s="9" t="s">
        <v>170</v>
      </c>
      <c r="OA2" s="9" t="s">
        <v>97</v>
      </c>
      <c r="OB2" s="91" t="s">
        <v>1025</v>
      </c>
      <c r="OC2" s="89" t="s">
        <v>1027</v>
      </c>
      <c r="OD2" s="89" t="s">
        <v>1028</v>
      </c>
      <c r="OE2" s="90" t="s">
        <v>1026</v>
      </c>
      <c r="OF2" s="90" t="s">
        <v>1027</v>
      </c>
      <c r="OG2" s="90" t="s">
        <v>199</v>
      </c>
      <c r="OH2" s="90" t="s">
        <v>1028</v>
      </c>
      <c r="OI2" s="9" t="s">
        <v>95</v>
      </c>
      <c r="OJ2" s="9" t="s">
        <v>172</v>
      </c>
      <c r="OK2" s="9" t="s">
        <v>171</v>
      </c>
      <c r="OL2" s="8" t="s">
        <v>58</v>
      </c>
      <c r="OM2" s="8" t="s">
        <v>94</v>
      </c>
      <c r="ON2" s="8" t="s">
        <v>95</v>
      </c>
      <c r="OO2" s="8" t="s">
        <v>171</v>
      </c>
      <c r="OQ2" s="9" t="s">
        <v>58</v>
      </c>
      <c r="OR2" s="9" t="s">
        <v>98</v>
      </c>
      <c r="OS2" s="9" t="s">
        <v>100</v>
      </c>
      <c r="OT2" s="9" t="s">
        <v>197</v>
      </c>
      <c r="OU2" s="9" t="s">
        <v>170</v>
      </c>
      <c r="OV2" s="9" t="s">
        <v>97</v>
      </c>
      <c r="OW2" s="91" t="s">
        <v>1025</v>
      </c>
      <c r="OX2" s="89" t="s">
        <v>1027</v>
      </c>
      <c r="OY2" s="89" t="s">
        <v>1028</v>
      </c>
      <c r="OZ2" s="90" t="s">
        <v>1026</v>
      </c>
      <c r="PA2" s="90" t="s">
        <v>1027</v>
      </c>
      <c r="PB2" s="90" t="s">
        <v>199</v>
      </c>
      <c r="PC2" s="90" t="s">
        <v>1028</v>
      </c>
      <c r="PD2" s="9" t="s">
        <v>95</v>
      </c>
      <c r="PE2" s="9" t="s">
        <v>172</v>
      </c>
      <c r="PF2" s="9" t="s">
        <v>171</v>
      </c>
      <c r="PG2" s="8" t="s">
        <v>58</v>
      </c>
      <c r="PH2" s="8" t="s">
        <v>94</v>
      </c>
      <c r="PI2" s="8" t="s">
        <v>95</v>
      </c>
      <c r="PJ2" s="8" t="s">
        <v>171</v>
      </c>
      <c r="PL2" s="9" t="s">
        <v>58</v>
      </c>
      <c r="PM2" s="9" t="s">
        <v>98</v>
      </c>
      <c r="PN2" s="9" t="s">
        <v>100</v>
      </c>
      <c r="PO2" s="9" t="s">
        <v>197</v>
      </c>
      <c r="PP2" s="9" t="s">
        <v>170</v>
      </c>
      <c r="PQ2" s="9" t="s">
        <v>97</v>
      </c>
      <c r="PR2" s="91" t="s">
        <v>1025</v>
      </c>
      <c r="PS2" s="89" t="s">
        <v>1027</v>
      </c>
      <c r="PT2" s="89" t="s">
        <v>1028</v>
      </c>
      <c r="PU2" s="90" t="s">
        <v>1026</v>
      </c>
      <c r="PV2" s="90" t="s">
        <v>1027</v>
      </c>
      <c r="PW2" s="90" t="s">
        <v>199</v>
      </c>
      <c r="PX2" s="90" t="s">
        <v>1028</v>
      </c>
      <c r="PY2" s="9" t="s">
        <v>95</v>
      </c>
      <c r="PZ2" s="9" t="s">
        <v>172</v>
      </c>
      <c r="QA2" s="9" t="s">
        <v>171</v>
      </c>
      <c r="QB2" s="8" t="s">
        <v>58</v>
      </c>
      <c r="QC2" s="8" t="s">
        <v>94</v>
      </c>
      <c r="QD2" s="8" t="s">
        <v>95</v>
      </c>
      <c r="QE2" s="8" t="s">
        <v>171</v>
      </c>
      <c r="QG2" s="9" t="s">
        <v>58</v>
      </c>
      <c r="QH2" s="9" t="s">
        <v>98</v>
      </c>
      <c r="QI2" s="9" t="s">
        <v>100</v>
      </c>
      <c r="QJ2" s="9" t="s">
        <v>197</v>
      </c>
      <c r="QK2" s="9" t="s">
        <v>170</v>
      </c>
      <c r="QL2" s="9" t="s">
        <v>97</v>
      </c>
      <c r="QM2" s="91" t="s">
        <v>1025</v>
      </c>
      <c r="QN2" s="89" t="s">
        <v>1027</v>
      </c>
      <c r="QO2" s="89" t="s">
        <v>1028</v>
      </c>
      <c r="QP2" s="90" t="s">
        <v>1026</v>
      </c>
      <c r="QQ2" s="90" t="s">
        <v>1027</v>
      </c>
      <c r="QR2" s="90" t="s">
        <v>199</v>
      </c>
      <c r="QS2" s="90" t="s">
        <v>1028</v>
      </c>
      <c r="QT2" s="9" t="s">
        <v>95</v>
      </c>
      <c r="QU2" s="9" t="s">
        <v>172</v>
      </c>
      <c r="QV2" s="9" t="s">
        <v>171</v>
      </c>
      <c r="QW2" s="8" t="s">
        <v>58</v>
      </c>
      <c r="QX2" s="8" t="s">
        <v>94</v>
      </c>
      <c r="QY2" s="8" t="s">
        <v>95</v>
      </c>
      <c r="QZ2" s="8" t="s">
        <v>171</v>
      </c>
      <c r="RB2" s="9" t="s">
        <v>58</v>
      </c>
      <c r="RC2" s="9" t="s">
        <v>98</v>
      </c>
      <c r="RD2" s="9" t="s">
        <v>100</v>
      </c>
      <c r="RE2" s="9" t="s">
        <v>197</v>
      </c>
      <c r="RF2" s="9" t="s">
        <v>170</v>
      </c>
      <c r="RG2" s="9" t="s">
        <v>97</v>
      </c>
      <c r="RH2" s="91" t="s">
        <v>1025</v>
      </c>
      <c r="RI2" s="89" t="s">
        <v>1027</v>
      </c>
      <c r="RJ2" s="89" t="s">
        <v>1028</v>
      </c>
      <c r="RK2" s="90" t="s">
        <v>1026</v>
      </c>
      <c r="RL2" s="90" t="s">
        <v>1027</v>
      </c>
      <c r="RM2" s="90" t="s">
        <v>199</v>
      </c>
      <c r="RN2" s="90" t="s">
        <v>1028</v>
      </c>
      <c r="RO2" s="9" t="s">
        <v>95</v>
      </c>
      <c r="RP2" s="9" t="s">
        <v>172</v>
      </c>
      <c r="RQ2" s="9" t="s">
        <v>171</v>
      </c>
      <c r="RR2" s="8" t="s">
        <v>58</v>
      </c>
      <c r="RS2" s="8" t="s">
        <v>94</v>
      </c>
      <c r="RT2" s="8" t="s">
        <v>95</v>
      </c>
      <c r="RU2" s="8" t="s">
        <v>171</v>
      </c>
      <c r="RW2" s="9" t="s">
        <v>58</v>
      </c>
      <c r="RX2" s="9" t="s">
        <v>98</v>
      </c>
      <c r="RY2" s="9" t="s">
        <v>100</v>
      </c>
      <c r="RZ2" s="9" t="s">
        <v>197</v>
      </c>
      <c r="SA2" s="9" t="s">
        <v>170</v>
      </c>
      <c r="SB2" s="9" t="s">
        <v>97</v>
      </c>
      <c r="SC2" s="91" t="s">
        <v>1025</v>
      </c>
      <c r="SD2" s="89" t="s">
        <v>1027</v>
      </c>
      <c r="SE2" s="89" t="s">
        <v>1028</v>
      </c>
      <c r="SF2" s="90" t="s">
        <v>1026</v>
      </c>
      <c r="SG2" s="90" t="s">
        <v>1027</v>
      </c>
      <c r="SH2" s="90" t="s">
        <v>199</v>
      </c>
      <c r="SI2" s="90" t="s">
        <v>1028</v>
      </c>
      <c r="SJ2" s="9" t="s">
        <v>95</v>
      </c>
      <c r="SK2" s="9" t="s">
        <v>172</v>
      </c>
      <c r="SL2" s="9" t="s">
        <v>171</v>
      </c>
      <c r="SM2" s="8" t="s">
        <v>58</v>
      </c>
      <c r="SN2" s="8" t="s">
        <v>94</v>
      </c>
      <c r="SO2" s="8" t="s">
        <v>95</v>
      </c>
      <c r="SP2" s="8" t="s">
        <v>171</v>
      </c>
      <c r="SR2" s="9" t="s">
        <v>58</v>
      </c>
      <c r="SS2" s="9" t="s">
        <v>98</v>
      </c>
      <c r="ST2" s="9" t="s">
        <v>100</v>
      </c>
      <c r="SU2" s="9" t="s">
        <v>197</v>
      </c>
      <c r="SV2" s="9" t="s">
        <v>170</v>
      </c>
      <c r="SW2" s="9" t="s">
        <v>97</v>
      </c>
      <c r="SX2" s="91" t="s">
        <v>1025</v>
      </c>
      <c r="SY2" s="89" t="s">
        <v>1027</v>
      </c>
      <c r="SZ2" s="89" t="s">
        <v>1028</v>
      </c>
      <c r="TA2" s="90" t="s">
        <v>1026</v>
      </c>
      <c r="TB2" s="90" t="s">
        <v>1027</v>
      </c>
      <c r="TC2" s="90" t="s">
        <v>199</v>
      </c>
      <c r="TD2" s="90" t="s">
        <v>1028</v>
      </c>
      <c r="TE2" s="9" t="s">
        <v>95</v>
      </c>
      <c r="TF2" s="9" t="s">
        <v>172</v>
      </c>
      <c r="TG2" s="9" t="s">
        <v>171</v>
      </c>
      <c r="TH2" s="8" t="s">
        <v>58</v>
      </c>
      <c r="TI2" s="8" t="s">
        <v>94</v>
      </c>
      <c r="TJ2" s="8" t="s">
        <v>95</v>
      </c>
      <c r="TK2" s="8" t="s">
        <v>171</v>
      </c>
      <c r="TM2" s="9" t="s">
        <v>58</v>
      </c>
      <c r="TN2" s="9" t="s">
        <v>98</v>
      </c>
      <c r="TO2" s="9" t="s">
        <v>100</v>
      </c>
      <c r="TP2" s="9" t="s">
        <v>197</v>
      </c>
      <c r="TQ2" s="9" t="s">
        <v>170</v>
      </c>
      <c r="TR2" s="9" t="s">
        <v>97</v>
      </c>
      <c r="TS2" s="91" t="s">
        <v>1025</v>
      </c>
      <c r="TT2" s="89" t="s">
        <v>1027</v>
      </c>
      <c r="TU2" s="89" t="s">
        <v>1028</v>
      </c>
      <c r="TV2" s="90" t="s">
        <v>1026</v>
      </c>
      <c r="TW2" s="90" t="s">
        <v>1027</v>
      </c>
      <c r="TX2" s="90" t="s">
        <v>199</v>
      </c>
      <c r="TY2" s="90" t="s">
        <v>1028</v>
      </c>
      <c r="TZ2" s="9" t="s">
        <v>95</v>
      </c>
      <c r="UA2" s="9" t="s">
        <v>172</v>
      </c>
      <c r="UB2" s="9" t="s">
        <v>171</v>
      </c>
      <c r="UC2" s="8" t="s">
        <v>58</v>
      </c>
      <c r="UD2" s="8" t="s">
        <v>94</v>
      </c>
      <c r="UE2" s="8" t="s">
        <v>95</v>
      </c>
      <c r="UF2" s="8" t="s">
        <v>171</v>
      </c>
      <c r="UH2" s="9" t="s">
        <v>58</v>
      </c>
      <c r="UI2" s="9" t="s">
        <v>98</v>
      </c>
      <c r="UJ2" s="9" t="s">
        <v>100</v>
      </c>
      <c r="UK2" s="9" t="s">
        <v>197</v>
      </c>
      <c r="UL2" s="9" t="s">
        <v>170</v>
      </c>
      <c r="UM2" s="9" t="s">
        <v>97</v>
      </c>
      <c r="UN2" s="91" t="s">
        <v>1025</v>
      </c>
      <c r="UO2" s="89" t="s">
        <v>1027</v>
      </c>
      <c r="UP2" s="89" t="s">
        <v>1028</v>
      </c>
      <c r="UQ2" s="90" t="s">
        <v>1026</v>
      </c>
      <c r="UR2" s="90" t="s">
        <v>1027</v>
      </c>
      <c r="US2" s="90" t="s">
        <v>199</v>
      </c>
      <c r="UT2" s="90" t="s">
        <v>1028</v>
      </c>
      <c r="UU2" s="9" t="s">
        <v>95</v>
      </c>
      <c r="UV2" s="9" t="s">
        <v>172</v>
      </c>
      <c r="UW2" s="9" t="s">
        <v>171</v>
      </c>
      <c r="UX2" s="8" t="s">
        <v>58</v>
      </c>
      <c r="UY2" s="8" t="s">
        <v>94</v>
      </c>
      <c r="UZ2" s="8" t="s">
        <v>95</v>
      </c>
      <c r="VA2" s="8" t="s">
        <v>171</v>
      </c>
      <c r="VC2" s="9" t="s">
        <v>58</v>
      </c>
      <c r="VD2" s="9" t="s">
        <v>98</v>
      </c>
      <c r="VE2" s="9" t="s">
        <v>100</v>
      </c>
      <c r="VF2" s="9" t="s">
        <v>197</v>
      </c>
      <c r="VG2" s="9" t="s">
        <v>170</v>
      </c>
      <c r="VH2" s="9" t="s">
        <v>97</v>
      </c>
      <c r="VI2" s="91" t="s">
        <v>1025</v>
      </c>
      <c r="VJ2" s="89" t="s">
        <v>1027</v>
      </c>
      <c r="VK2" s="89" t="s">
        <v>1028</v>
      </c>
      <c r="VL2" s="90" t="s">
        <v>1026</v>
      </c>
      <c r="VM2" s="90" t="s">
        <v>1027</v>
      </c>
      <c r="VN2" s="90" t="s">
        <v>199</v>
      </c>
      <c r="VO2" s="90" t="s">
        <v>1028</v>
      </c>
      <c r="VP2" s="9" t="s">
        <v>95</v>
      </c>
      <c r="VQ2" s="9" t="s">
        <v>172</v>
      </c>
      <c r="VR2" s="9" t="s">
        <v>171</v>
      </c>
      <c r="VS2" s="8" t="s">
        <v>58</v>
      </c>
      <c r="VT2" s="8" t="s">
        <v>94</v>
      </c>
      <c r="VU2" s="8" t="s">
        <v>95</v>
      </c>
      <c r="VV2" s="8" t="s">
        <v>171</v>
      </c>
      <c r="VX2" s="9" t="s">
        <v>58</v>
      </c>
      <c r="VY2" s="9" t="s">
        <v>98</v>
      </c>
      <c r="VZ2" s="9" t="s">
        <v>100</v>
      </c>
      <c r="WA2" s="9" t="s">
        <v>197</v>
      </c>
      <c r="WB2" s="9" t="s">
        <v>170</v>
      </c>
      <c r="WC2" s="9" t="s">
        <v>97</v>
      </c>
      <c r="WD2" s="91" t="s">
        <v>1025</v>
      </c>
      <c r="WE2" s="89" t="s">
        <v>1027</v>
      </c>
      <c r="WF2" s="89" t="s">
        <v>1028</v>
      </c>
      <c r="WG2" s="90" t="s">
        <v>1026</v>
      </c>
      <c r="WH2" s="90" t="s">
        <v>1027</v>
      </c>
      <c r="WI2" s="90" t="s">
        <v>199</v>
      </c>
      <c r="WJ2" s="90" t="s">
        <v>1028</v>
      </c>
      <c r="WK2" s="9" t="s">
        <v>95</v>
      </c>
      <c r="WL2" s="9" t="s">
        <v>172</v>
      </c>
      <c r="WM2" s="9" t="s">
        <v>171</v>
      </c>
      <c r="WN2" s="8" t="s">
        <v>58</v>
      </c>
      <c r="WO2" s="8" t="s">
        <v>94</v>
      </c>
      <c r="WP2" s="8" t="s">
        <v>95</v>
      </c>
      <c r="WQ2" s="8" t="s">
        <v>171</v>
      </c>
      <c r="WS2" s="9" t="s">
        <v>58</v>
      </c>
      <c r="WT2" s="9" t="s">
        <v>98</v>
      </c>
      <c r="WU2" s="9" t="s">
        <v>100</v>
      </c>
      <c r="WV2" s="9" t="s">
        <v>197</v>
      </c>
      <c r="WW2" s="9" t="s">
        <v>170</v>
      </c>
      <c r="WX2" s="9" t="s">
        <v>97</v>
      </c>
      <c r="WY2" s="91" t="s">
        <v>1025</v>
      </c>
      <c r="WZ2" s="89" t="s">
        <v>1027</v>
      </c>
      <c r="XA2" s="89" t="s">
        <v>1028</v>
      </c>
      <c r="XB2" s="90" t="s">
        <v>1026</v>
      </c>
      <c r="XC2" s="90" t="s">
        <v>1027</v>
      </c>
      <c r="XD2" s="90" t="s">
        <v>199</v>
      </c>
      <c r="XE2" s="90" t="s">
        <v>1028</v>
      </c>
      <c r="XF2" s="9" t="s">
        <v>95</v>
      </c>
      <c r="XG2" s="9" t="s">
        <v>172</v>
      </c>
      <c r="XH2" s="9" t="s">
        <v>171</v>
      </c>
      <c r="XI2" s="8" t="s">
        <v>58</v>
      </c>
      <c r="XJ2" s="8" t="s">
        <v>94</v>
      </c>
      <c r="XK2" s="8" t="s">
        <v>95</v>
      </c>
      <c r="XL2" s="8" t="s">
        <v>171</v>
      </c>
      <c r="XN2" s="8" t="s">
        <v>1089</v>
      </c>
      <c r="XO2" s="8" t="s">
        <v>1087</v>
      </c>
      <c r="XP2" s="8" t="s">
        <v>1088</v>
      </c>
    </row>
    <row r="3" spans="1:641" x14ac:dyDescent="0.25">
      <c r="A3" s="112" t="s">
        <v>98</v>
      </c>
      <c r="B3" t="s">
        <v>48</v>
      </c>
      <c r="C3" t="s">
        <v>93</v>
      </c>
      <c r="D3" s="79">
        <v>-320</v>
      </c>
      <c r="E3" t="b">
        <f>TRUE</f>
        <v>1</v>
      </c>
      <c r="H3" s="48">
        <v>320</v>
      </c>
      <c r="I3" s="48"/>
      <c r="J3" s="48"/>
      <c r="K3" s="48" t="s">
        <v>198</v>
      </c>
      <c r="L3" s="95">
        <v>320</v>
      </c>
      <c r="M3" s="48"/>
      <c r="N3" s="96"/>
      <c r="O3" s="48"/>
      <c r="P3" s="48"/>
      <c r="Q3" s="96"/>
      <c r="R3" s="48"/>
      <c r="S3" s="48"/>
      <c r="T3" s="48"/>
      <c r="U3" s="48"/>
      <c r="V3" s="48"/>
      <c r="W3" s="48"/>
      <c r="X3" s="48"/>
      <c r="Y3" s="48"/>
      <c r="Z3" s="48">
        <f>H3</f>
        <v>320</v>
      </c>
      <c r="AA3" s="98">
        <f t="shared" ref="AA3:AA29" si="0">IF(L3&gt;0,Z3/L3,"NA")</f>
        <v>1</v>
      </c>
      <c r="AC3" s="11">
        <f t="shared" ref="AC3:AC29" si="1">Z3</f>
        <v>320</v>
      </c>
      <c r="AD3" s="11">
        <f ca="1">INDEX(Totals[[#Data],[#Totals],[Car - Note]:[NONTRACKED]],MATCH(AC$1,Totals[Date],0),MATCH($C3,Totals[[#Headers],[Car - Note]:[NONTRACKED]],0))</f>
        <v>-320</v>
      </c>
      <c r="AE3" s="11">
        <f ca="1">IFERROR(AC3+AD3,AC3)</f>
        <v>0</v>
      </c>
      <c r="AF3" s="11" t="s">
        <v>198</v>
      </c>
      <c r="AG3" s="11">
        <v>320</v>
      </c>
      <c r="AH3" s="11" t="b">
        <f ca="1">IF(AE3&gt;=AG3,TRUE,FALSE)</f>
        <v>0</v>
      </c>
      <c r="AI3" s="92">
        <f t="shared" ref="AI3:AI29" si="2">IF($E3,1,0)</f>
        <v>1</v>
      </c>
      <c r="AJ3" s="11">
        <f t="shared" ref="AJ3:AJ29" ca="1" si="3">AI3*MAX(0,AG3-AE3)</f>
        <v>320</v>
      </c>
      <c r="AK3" s="11">
        <f ca="1">(AJ3/AJ$37)*MIN(AI$40,AJ$37)</f>
        <v>320</v>
      </c>
      <c r="AL3" s="92">
        <f t="shared" ref="AL3:AL29" si="4">IF($E3,0,1)</f>
        <v>0</v>
      </c>
      <c r="AM3" s="11">
        <f t="shared" ref="AM3:AM29" ca="1" si="5">AL3*MAX(0,AG3-AE3)</f>
        <v>0</v>
      </c>
      <c r="AN3" s="11">
        <f t="shared" ref="AN3:AN29" ca="1" si="6">MIN(AF3,AM3)</f>
        <v>0</v>
      </c>
      <c r="AO3" s="11">
        <f ca="1">(AN3/AN$37)*MIN(AK$40,AN$37)</f>
        <v>0</v>
      </c>
      <c r="AP3" s="11">
        <f t="shared" ref="AP3:AP29" ca="1" si="7">AE3+AK3+AO3</f>
        <v>320</v>
      </c>
      <c r="AQ3" s="11">
        <f t="shared" ref="AQ3:AQ29" ca="1" si="8">ROUND(MIN(0,AP3-AG3),2)</f>
        <v>0</v>
      </c>
      <c r="AR3" s="11">
        <f t="shared" ref="AR3:AR29" ca="1" si="9">IF(AG3&gt;0,AP3/AG3,"NA")</f>
        <v>1</v>
      </c>
      <c r="AS3" s="12">
        <f t="shared" ref="AS3:AS29" ca="1" si="10">AP3</f>
        <v>320</v>
      </c>
      <c r="AT3" s="12"/>
      <c r="AU3" s="12">
        <f ca="1">AS3+AT3</f>
        <v>320</v>
      </c>
      <c r="AV3" s="18">
        <f t="shared" ref="AV3:AV29" ca="1" si="11">IF(AG3&gt;0,AU3/AG3,"NA")</f>
        <v>1</v>
      </c>
      <c r="AX3" s="13">
        <f t="shared" ref="AX3:AX29" ca="1" si="12">AU3</f>
        <v>320</v>
      </c>
      <c r="AY3" s="13">
        <f ca="1">INDEX(Totals[[#Data],[#Totals],[Car - Note]:[NONTRACKED]],MATCH(AX$1,Totals[Date],0),MATCH($C3,Totals[[#Headers],[Car - Note]:[NONTRACKED]],0))</f>
        <v>-320</v>
      </c>
      <c r="AZ3" s="13">
        <f ca="1">IFERROR(AX3+AY3,AX3)</f>
        <v>0</v>
      </c>
      <c r="BA3" s="13" t="s">
        <v>198</v>
      </c>
      <c r="BB3" s="13">
        <v>320</v>
      </c>
      <c r="BC3" s="13" t="b">
        <f ca="1">IF(AZ3&gt;=BB3,TRUE,FALSE)</f>
        <v>0</v>
      </c>
      <c r="BD3" s="94">
        <f t="shared" ref="BD3:BD29" si="13">IF($E3,1,0)</f>
        <v>1</v>
      </c>
      <c r="BE3" s="13">
        <f t="shared" ref="BE3:BE29" ca="1" si="14">BD3*MAX(0,BB3-AZ3)</f>
        <v>320</v>
      </c>
      <c r="BF3" s="13">
        <f ca="1">(BE3/BE$37)*MIN(BD$40,BE$37)</f>
        <v>320</v>
      </c>
      <c r="BG3" s="94">
        <f t="shared" ref="BG3:BG29" si="15">IF($E3,0,1)</f>
        <v>0</v>
      </c>
      <c r="BH3" s="13">
        <f t="shared" ref="BH3:BH29" ca="1" si="16">BG3*MAX(0,BB3-AZ3)</f>
        <v>0</v>
      </c>
      <c r="BI3" s="13">
        <f t="shared" ref="BI3:BI29" ca="1" si="17">MIN(BA3,BH3)</f>
        <v>0</v>
      </c>
      <c r="BJ3" s="13">
        <f ca="1">(BI3/BI$37)*MIN(BF$40,BI$37)</f>
        <v>0</v>
      </c>
      <c r="BK3" s="13">
        <f t="shared" ref="BK3:BK29" ca="1" si="18">AZ3+BF3+BJ3</f>
        <v>320</v>
      </c>
      <c r="BL3" s="13">
        <f t="shared" ref="BL3:BL29" ca="1" si="19">ROUND(MIN(0,BK3-BB3),2)</f>
        <v>0</v>
      </c>
      <c r="BM3" s="13">
        <f t="shared" ref="BM3:BM29" ca="1" si="20">IF(BB3&gt;0,BK3/BB3,"NA")</f>
        <v>1</v>
      </c>
      <c r="BN3" s="12">
        <f t="shared" ref="BN3:BN29" ca="1" si="21">BK3</f>
        <v>320</v>
      </c>
      <c r="BO3" s="12"/>
      <c r="BP3" s="12">
        <f ca="1">BN3+BO3</f>
        <v>320</v>
      </c>
      <c r="BQ3" s="18">
        <f t="shared" ref="BQ3:BQ29" ca="1" si="22">IF(BB3&gt;0,BP3/BB3,"NA")</f>
        <v>1</v>
      </c>
      <c r="BS3" s="19">
        <f t="shared" ref="BS3:BS29" ca="1" si="23">BP3</f>
        <v>320</v>
      </c>
      <c r="BT3" s="19">
        <f ca="1">INDEX(Totals[[#Data],[#Totals],[Car - Note]:[NONTRACKED]],MATCH(BS$1,Totals[Date],0),MATCH($C3,Totals[[#Headers],[Car - Note]:[NONTRACKED]],0))</f>
        <v>-320</v>
      </c>
      <c r="BU3" s="19">
        <f ca="1">IFERROR(BS3+BT3,BS3)</f>
        <v>0</v>
      </c>
      <c r="BV3" s="19" t="s">
        <v>198</v>
      </c>
      <c r="BW3" s="19">
        <v>320</v>
      </c>
      <c r="BX3" s="19" t="b">
        <f ca="1">IF(BU3&gt;=BW3,TRUE,FALSE)</f>
        <v>0</v>
      </c>
      <c r="BY3" s="100">
        <f t="shared" ref="BY3:BY29" si="24">IF($E3,1,0)</f>
        <v>1</v>
      </c>
      <c r="BZ3" s="19">
        <f t="shared" ref="BZ3:BZ29" ca="1" si="25">BY3*MAX(0,BW3-BU3)</f>
        <v>320</v>
      </c>
      <c r="CA3" s="19">
        <f ca="1">(BZ3/BZ$37)*MIN(BY$40,BZ$37)</f>
        <v>320</v>
      </c>
      <c r="CB3" s="100">
        <f t="shared" ref="CB3:CB29" si="26">IF($E3,0,1)</f>
        <v>0</v>
      </c>
      <c r="CC3" s="19">
        <f t="shared" ref="CC3:CC29" ca="1" si="27">CB3*MAX(0,BW3-BU3)</f>
        <v>0</v>
      </c>
      <c r="CD3" s="19">
        <f t="shared" ref="CD3:CD29" ca="1" si="28">MIN(BV3,CC3)</f>
        <v>0</v>
      </c>
      <c r="CE3" s="19">
        <f ca="1">(CD3/CD$37)*MIN(CA$40,CD$37)</f>
        <v>0</v>
      </c>
      <c r="CF3" s="19">
        <f t="shared" ref="CF3:CF29" ca="1" si="29">BU3+CA3+CE3</f>
        <v>320</v>
      </c>
      <c r="CG3" s="19">
        <f t="shared" ref="CG3:CG29" ca="1" si="30">ROUND(MIN(0,CF3-BW3),2)</f>
        <v>0</v>
      </c>
      <c r="CH3" s="19">
        <f t="shared" ref="CH3:CH29" ca="1" si="31">IF(BW3&gt;0,CF3/BW3,"NA")</f>
        <v>1</v>
      </c>
      <c r="CI3" s="12">
        <f t="shared" ref="CI3:CI29" ca="1" si="32">CF3</f>
        <v>320</v>
      </c>
      <c r="CJ3" s="12"/>
      <c r="CK3" s="12">
        <f ca="1">CI3+CJ3</f>
        <v>320</v>
      </c>
      <c r="CL3" s="18">
        <f t="shared" ref="CL3:CL29" ca="1" si="33">IF(BW3&gt;0,CK3/BW3,"NA")</f>
        <v>1</v>
      </c>
      <c r="CN3" s="11">
        <f t="shared" ref="CN3:CN29" ca="1" si="34">CK3</f>
        <v>320</v>
      </c>
      <c r="CO3" s="11">
        <f ca="1">INDEX(Totals[[#Data],[#Totals],[Car - Note]:[NONTRACKED]],MATCH(CN$1,Totals[Date],0),MATCH($C3,Totals[[#Headers],[Car - Note]:[NONTRACKED]],0))</f>
        <v>-320</v>
      </c>
      <c r="CP3" s="11">
        <f ca="1">IFERROR(CN3+CO3,CN3)</f>
        <v>0</v>
      </c>
      <c r="CQ3" s="11" t="s">
        <v>198</v>
      </c>
      <c r="CR3" s="11">
        <v>640</v>
      </c>
      <c r="CS3" s="11" t="b">
        <f ca="1">IF(CP3&gt;=CR3,TRUE,FALSE)</f>
        <v>0</v>
      </c>
      <c r="CT3" s="92">
        <f t="shared" ref="CT3:CT29" si="35">IF($E3,1,0)</f>
        <v>1</v>
      </c>
      <c r="CU3" s="11">
        <f t="shared" ref="CU3:CU29" ca="1" si="36">CT3*MAX(0,CR3-CP3)</f>
        <v>640</v>
      </c>
      <c r="CV3" s="11">
        <f ca="1">(CU3/CU$37)*MIN(CT$40,CU$37)</f>
        <v>640</v>
      </c>
      <c r="CW3" s="92">
        <f t="shared" ref="CW3:CW29" si="37">IF($E3,0,1)</f>
        <v>0</v>
      </c>
      <c r="CX3" s="11">
        <f t="shared" ref="CX3:CX29" ca="1" si="38">CW3*MAX(0,CR3-CP3)</f>
        <v>0</v>
      </c>
      <c r="CY3" s="11">
        <f t="shared" ref="CY3:CY29" ca="1" si="39">MIN(CQ3,CX3)</f>
        <v>0</v>
      </c>
      <c r="CZ3" s="11">
        <f ca="1">(CY3/CY$37)*MIN(CV$40,CY$37)</f>
        <v>0</v>
      </c>
      <c r="DA3" s="11">
        <f t="shared" ref="DA3:DA29" ca="1" si="40">CP3+CV3+CZ3</f>
        <v>640</v>
      </c>
      <c r="DB3" s="11">
        <f t="shared" ref="DB3:DB29" ca="1" si="41">ROUND(MIN(0,DA3-CR3),2)</f>
        <v>0</v>
      </c>
      <c r="DC3" s="11">
        <f t="shared" ref="DC3:DC29" ca="1" si="42">IF(CR3&gt;0,DA3/CR3,"NA")</f>
        <v>1</v>
      </c>
      <c r="DD3" s="12">
        <f t="shared" ref="DD3:DD29" ca="1" si="43">DA3</f>
        <v>640</v>
      </c>
      <c r="DE3" s="79"/>
      <c r="DF3" s="12">
        <f ca="1">DD3+DE3</f>
        <v>640</v>
      </c>
      <c r="DG3" s="18">
        <f t="shared" ref="DG3:DG29" ca="1" si="44">IF(CR3&gt;0,DF3/CR3,"NA")</f>
        <v>1</v>
      </c>
      <c r="DI3" s="13">
        <f t="shared" ref="DI3:DI29" ca="1" si="45">DF3</f>
        <v>640</v>
      </c>
      <c r="DJ3" s="13">
        <f ca="1">INDEX(Totals[[#Data],[#Totals],[Car - Note]:[NONTRACKED]],MATCH(DI$1,Totals[Date],0),MATCH($C3,Totals[[#Headers],[Car - Note]:[NONTRACKED]],0))</f>
        <v>-320</v>
      </c>
      <c r="DK3" s="13">
        <f ca="1">IFERROR(DI3+DJ3,DI3)</f>
        <v>320</v>
      </c>
      <c r="DL3" s="13" t="s">
        <v>198</v>
      </c>
      <c r="DM3" s="13">
        <v>640</v>
      </c>
      <c r="DN3" s="13" t="b">
        <f ca="1">IF(DK3&gt;=DM3,TRUE,FALSE)</f>
        <v>0</v>
      </c>
      <c r="DO3" s="94">
        <f t="shared" ref="DO3:DO29" si="46">IF($E3,1,0)</f>
        <v>1</v>
      </c>
      <c r="DP3" s="13">
        <f t="shared" ref="DP3:DP29" ca="1" si="47">DO3*MAX(0,DM3-DK3)</f>
        <v>320</v>
      </c>
      <c r="DQ3" s="13">
        <f ca="1">(DP3/DP$37)*MIN(DO$40,DP$37)</f>
        <v>320</v>
      </c>
      <c r="DR3" s="94">
        <f t="shared" ref="DR3:DR29" si="48">IF($E3,0,1)</f>
        <v>0</v>
      </c>
      <c r="DS3" s="13">
        <f t="shared" ref="DS3:DS29" ca="1" si="49">DR3*MAX(0,DM3-DK3)</f>
        <v>0</v>
      </c>
      <c r="DT3" s="13">
        <f t="shared" ref="DT3:DT29" ca="1" si="50">MIN(DL3,DS3)</f>
        <v>0</v>
      </c>
      <c r="DU3" s="13">
        <f ca="1">(DT3/DT$37)*MIN(DQ$40,DT$37)</f>
        <v>0</v>
      </c>
      <c r="DV3" s="13">
        <f t="shared" ref="DV3:DV29" ca="1" si="51">DK3+DQ3+DU3</f>
        <v>640</v>
      </c>
      <c r="DW3" s="13">
        <f t="shared" ref="DW3:DW29" ca="1" si="52">ROUND(MIN(0,DV3-DM3),2)</f>
        <v>0</v>
      </c>
      <c r="DX3" s="13">
        <f t="shared" ref="DX3:DX29" ca="1" si="53">IF(DM3&gt;0,DV3/DM3,"NA")</f>
        <v>1</v>
      </c>
      <c r="DY3" s="12">
        <f t="shared" ref="DY3:DY29" ca="1" si="54">DV3</f>
        <v>640</v>
      </c>
      <c r="DZ3" s="79"/>
      <c r="EA3" s="12">
        <f ca="1">DY3+DZ3</f>
        <v>640</v>
      </c>
      <c r="EB3" s="18">
        <f t="shared" ref="EB3:EB29" ca="1" si="55">IF(DM3&gt;0,EA3/DM3,"NA")</f>
        <v>1</v>
      </c>
      <c r="ED3" s="19">
        <f t="shared" ref="ED3:ED29" ca="1" si="56">EA3</f>
        <v>640</v>
      </c>
      <c r="EE3" s="19">
        <f ca="1">INDEX(Totals[[#Data],[#Totals],[Car - Note]:[NONTRACKED]],MATCH(ED$1,Totals[Date],0),MATCH($C3,Totals[[#Headers],[Car - Note]:[NONTRACKED]],0))</f>
        <v>-320</v>
      </c>
      <c r="EF3" s="19">
        <f ca="1">IFERROR(ED3+EE3,ED3)</f>
        <v>320</v>
      </c>
      <c r="EG3" s="19" t="s">
        <v>198</v>
      </c>
      <c r="EH3" s="19">
        <v>640</v>
      </c>
      <c r="EI3" s="19" t="b">
        <f ca="1">IF(EF3&gt;=EH3,TRUE,FALSE)</f>
        <v>0</v>
      </c>
      <c r="EJ3" s="100">
        <f t="shared" ref="EJ3:EJ29" si="57">IF($E3,1,0)</f>
        <v>1</v>
      </c>
      <c r="EK3" s="19">
        <f t="shared" ref="EK3:EK29" ca="1" si="58">EJ3*MAX(0,EH3-EF3)</f>
        <v>320</v>
      </c>
      <c r="EL3" s="19">
        <f ca="1">(EK3/EK$37)*MIN(EJ$40,EK$37)</f>
        <v>320</v>
      </c>
      <c r="EM3" s="100">
        <f t="shared" ref="EM3:EM29" si="59">IF($E3,0,1)</f>
        <v>0</v>
      </c>
      <c r="EN3" s="19">
        <f t="shared" ref="EN3:EN29" ca="1" si="60">EM3*MAX(0,EH3-EF3)</f>
        <v>0</v>
      </c>
      <c r="EO3" s="19">
        <f t="shared" ref="EO3:EO29" ca="1" si="61">MIN(EG3,EN3)</f>
        <v>0</v>
      </c>
      <c r="EP3" s="19">
        <f ca="1">(EO3/EO$37)*MIN(EL$40,EO$37)</f>
        <v>0</v>
      </c>
      <c r="EQ3" s="19">
        <f t="shared" ref="EQ3:EQ29" ca="1" si="62">EF3+EL3+EP3</f>
        <v>640</v>
      </c>
      <c r="ER3" s="19">
        <f t="shared" ref="ER3:ER29" ca="1" si="63">ROUND(MIN(0,EQ3-EH3),2)</f>
        <v>0</v>
      </c>
      <c r="ES3" s="19">
        <f t="shared" ref="ES3:ES29" ca="1" si="64">IF(EH3&gt;0,EQ3/EH3,"NA")</f>
        <v>1</v>
      </c>
      <c r="ET3" s="12">
        <f t="shared" ref="ET3:ET29" ca="1" si="65">EQ3</f>
        <v>640</v>
      </c>
      <c r="EU3" s="79"/>
      <c r="EV3" s="12">
        <f ca="1">ET3+EU3</f>
        <v>640</v>
      </c>
      <c r="EW3" s="18">
        <f t="shared" ref="EW3:EW29" ca="1" si="66">IF(EH3&gt;0,EV3/EH3,"NA")</f>
        <v>1</v>
      </c>
      <c r="EY3" s="11">
        <f t="shared" ref="EY3:EY29" ca="1" si="67">EV3</f>
        <v>640</v>
      </c>
      <c r="EZ3" s="11">
        <f ca="1">INDEX(Totals[[#Data],[#Totals],[Car - Note]:[NONTRACKED]],MATCH(EY$1,Totals[Date],0),MATCH($C3,Totals[[#Headers],[Car - Note]:[NONTRACKED]],0))</f>
        <v>-320</v>
      </c>
      <c r="FA3" s="11">
        <f ca="1">IFERROR(EY3+EZ3,EY3)</f>
        <v>320</v>
      </c>
      <c r="FB3" s="11" t="s">
        <v>198</v>
      </c>
      <c r="FC3" s="11">
        <v>640</v>
      </c>
      <c r="FD3" s="11" t="b">
        <f ca="1">IF(FA3&gt;=FC3,TRUE,FALSE)</f>
        <v>0</v>
      </c>
      <c r="FE3" s="92">
        <f t="shared" ref="FE3:FE29" si="68">IF($E3,1,0)</f>
        <v>1</v>
      </c>
      <c r="FF3" s="11">
        <f t="shared" ref="FF3:FF29" ca="1" si="69">FE3*MAX(0,FC3-FA3)</f>
        <v>320</v>
      </c>
      <c r="FG3" s="11">
        <f ca="1">(FF3/FF$37)*MIN(FE$40,FF$37)</f>
        <v>320</v>
      </c>
      <c r="FH3" s="92">
        <f t="shared" ref="FH3:FH29" si="70">IF($E3,0,1)</f>
        <v>0</v>
      </c>
      <c r="FI3" s="11">
        <f t="shared" ref="FI3:FI29" ca="1" si="71">FH3*MAX(0,FC3-FA3)</f>
        <v>0</v>
      </c>
      <c r="FJ3" s="11">
        <f t="shared" ref="FJ3:FJ29" ca="1" si="72">MIN(FB3,FI3)</f>
        <v>0</v>
      </c>
      <c r="FK3" s="11">
        <f ca="1">(FJ3/FJ$37)*MIN(FG$40,FJ$37)</f>
        <v>0</v>
      </c>
      <c r="FL3" s="11">
        <f t="shared" ref="FL3:FL29" ca="1" si="73">FA3+FG3+FK3</f>
        <v>640</v>
      </c>
      <c r="FM3" s="11">
        <f t="shared" ref="FM3:FM29" ca="1" si="74">ROUND(MIN(0,FL3-FC3),2)</f>
        <v>0</v>
      </c>
      <c r="FN3" s="11">
        <f t="shared" ref="FN3:FN29" ca="1" si="75">IF(FC3&gt;0,FL3/FC3,"NA")</f>
        <v>1</v>
      </c>
      <c r="FO3" s="12">
        <f t="shared" ref="FO3:FO29" ca="1" si="76">FL3</f>
        <v>640</v>
      </c>
      <c r="FP3" s="79"/>
      <c r="FQ3" s="12">
        <f ca="1">FO3+FP3</f>
        <v>640</v>
      </c>
      <c r="FR3" s="18">
        <f t="shared" ref="FR3:FR29" ca="1" si="77">IF(FC3&gt;0,FQ3/FC3,"NA")</f>
        <v>1</v>
      </c>
      <c r="FT3" s="13">
        <f t="shared" ref="FT3:FT29" ca="1" si="78">FQ3</f>
        <v>640</v>
      </c>
      <c r="FU3" s="13">
        <f ca="1">INDEX(Totals[[#Data],[#Totals],[Car - Note]:[NONTRACKED]],MATCH(FT$1,Totals[Date],0),MATCH($C3,Totals[[#Headers],[Car - Note]:[NONTRACKED]],0))</f>
        <v>-320</v>
      </c>
      <c r="FV3" s="13">
        <f ca="1">IFERROR(FT3+FU3,FT3)</f>
        <v>320</v>
      </c>
      <c r="FW3" s="13" t="s">
        <v>198</v>
      </c>
      <c r="FX3" s="13">
        <v>640</v>
      </c>
      <c r="FY3" s="13" t="b">
        <f ca="1">IF(FV3&gt;=FX3,TRUE,FALSE)</f>
        <v>0</v>
      </c>
      <c r="FZ3" s="94">
        <f t="shared" ref="FZ3:FZ29" si="79">IF($E3,1,0)</f>
        <v>1</v>
      </c>
      <c r="GA3" s="13">
        <f t="shared" ref="GA3:GA29" ca="1" si="80">FZ3*MAX(0,FX3-FV3)</f>
        <v>320</v>
      </c>
      <c r="GB3" s="13">
        <f ca="1">(GA3/GA$37)*MIN(FZ$40,GA$37)</f>
        <v>320</v>
      </c>
      <c r="GC3" s="94">
        <f t="shared" ref="GC3:GC29" si="81">IF($E3,0,1)</f>
        <v>0</v>
      </c>
      <c r="GD3" s="13">
        <f t="shared" ref="GD3:GD29" ca="1" si="82">GC3*MAX(0,FX3-FV3)</f>
        <v>0</v>
      </c>
      <c r="GE3" s="13">
        <f t="shared" ref="GE3:GE29" ca="1" si="83">MIN(FW3,GD3)</f>
        <v>0</v>
      </c>
      <c r="GF3" s="13">
        <f ca="1">(GE3/GE$37)*MIN(GB$40,GE$37)</f>
        <v>0</v>
      </c>
      <c r="GG3" s="13">
        <f t="shared" ref="GG3:GG29" ca="1" si="84">FV3+GB3+GF3</f>
        <v>640</v>
      </c>
      <c r="GH3" s="13">
        <f t="shared" ref="GH3:GH29" ca="1" si="85">ROUND(MIN(0,GG3-FX3),2)</f>
        <v>0</v>
      </c>
      <c r="GI3" s="13">
        <f t="shared" ref="GI3:GI29" ca="1" si="86">IF(FX3&gt;0,GG3/FX3,"NA")</f>
        <v>1</v>
      </c>
      <c r="GJ3" s="12">
        <f t="shared" ref="GJ3:GJ29" ca="1" si="87">GG3</f>
        <v>640</v>
      </c>
      <c r="GK3" s="79"/>
      <c r="GL3" s="12">
        <f ca="1">GJ3+GK3</f>
        <v>640</v>
      </c>
      <c r="GM3" s="18">
        <f t="shared" ref="GM3:GM29" ca="1" si="88">IF(FX3&gt;0,GL3/FX3,"NA")</f>
        <v>1</v>
      </c>
      <c r="GO3" s="19">
        <f t="shared" ref="GO3:GO29" ca="1" si="89">GL3</f>
        <v>640</v>
      </c>
      <c r="GP3" s="19">
        <f ca="1">INDEX(Totals[[#Data],[#Totals],[Car - Note]:[NONTRACKED]],MATCH(GO$1,Totals[Date],0),MATCH($C3,Totals[[#Headers],[Car - Note]:[NONTRACKED]],0))</f>
        <v>-320</v>
      </c>
      <c r="GQ3" s="19">
        <f ca="1">IFERROR(GO3+GP3,GO3)</f>
        <v>320</v>
      </c>
      <c r="GR3" s="19" t="s">
        <v>198</v>
      </c>
      <c r="GS3" s="19">
        <v>640</v>
      </c>
      <c r="GT3" s="19" t="b">
        <f ca="1">IF(GQ3&gt;=GS3,TRUE,FALSE)</f>
        <v>0</v>
      </c>
      <c r="GU3" s="100">
        <f t="shared" ref="GU3:GU29" si="90">IF($E3,1,0)</f>
        <v>1</v>
      </c>
      <c r="GV3" s="19">
        <f t="shared" ref="GV3:GV29" ca="1" si="91">GU3*MAX(0,GS3-GQ3)</f>
        <v>320</v>
      </c>
      <c r="GW3" s="19">
        <f ca="1">(GV3/GV$37)*MIN(GU$40,GV$37)</f>
        <v>320</v>
      </c>
      <c r="GX3" s="100">
        <f t="shared" ref="GX3:GX29" si="92">IF($E3,0,1)</f>
        <v>0</v>
      </c>
      <c r="GY3" s="19">
        <f t="shared" ref="GY3:GY29" ca="1" si="93">GX3*MAX(0,GS3-GQ3)</f>
        <v>0</v>
      </c>
      <c r="GZ3" s="19">
        <f t="shared" ref="GZ3:GZ29" ca="1" si="94">MIN(GR3,GY3)</f>
        <v>0</v>
      </c>
      <c r="HA3" s="19">
        <f ca="1">(GZ3/GZ$37)*MIN(GW$40,GZ$37)</f>
        <v>0</v>
      </c>
      <c r="HB3" s="19">
        <f t="shared" ref="HB3:HB29" ca="1" si="95">GQ3+GW3+HA3</f>
        <v>640</v>
      </c>
      <c r="HC3" s="19">
        <f t="shared" ref="HC3:HC29" ca="1" si="96">ROUND(MIN(0,HB3-GS3),2)</f>
        <v>0</v>
      </c>
      <c r="HD3" s="19">
        <f t="shared" ref="HD3:HD29" ca="1" si="97">IF(GS3&gt;0,HB3/GS3,"NA")</f>
        <v>1</v>
      </c>
      <c r="HE3" s="12">
        <f t="shared" ref="HE3:HE29" ca="1" si="98">HB3</f>
        <v>640</v>
      </c>
      <c r="HF3" s="79"/>
      <c r="HG3" s="12">
        <f ca="1">HE3+HF3</f>
        <v>640</v>
      </c>
      <c r="HH3" s="18">
        <f t="shared" ref="HH3:HH29" ca="1" si="99">IF(GS3&gt;0,HG3/GS3,"NA")</f>
        <v>1</v>
      </c>
      <c r="HJ3" s="11">
        <f t="shared" ref="HJ3:HJ29" ca="1" si="100">HG3</f>
        <v>640</v>
      </c>
      <c r="HK3" s="11">
        <f ca="1">INDEX(Totals[[#Data],[#Totals],[Car - Note]:[NONTRACKED]],MATCH(HJ$1,Totals[Date],0),MATCH($C3,Totals[[#Headers],[Car - Note]:[NONTRACKED]],0))</f>
        <v>-320</v>
      </c>
      <c r="HL3" s="11">
        <f ca="1">IFERROR(HJ3+HK3,HJ3)</f>
        <v>320</v>
      </c>
      <c r="HM3" s="11" t="s">
        <v>198</v>
      </c>
      <c r="HN3" s="11">
        <v>640</v>
      </c>
      <c r="HO3" s="11" t="b">
        <f ca="1">IF(HL3&gt;=HN3,TRUE,FALSE)</f>
        <v>0</v>
      </c>
      <c r="HP3" s="92">
        <f t="shared" ref="HP3:HP29" si="101">IF($E3,1,0)</f>
        <v>1</v>
      </c>
      <c r="HQ3" s="11">
        <f t="shared" ref="HQ3:HQ29" ca="1" si="102">HP3*MAX(0,HN3-HL3)</f>
        <v>320</v>
      </c>
      <c r="HR3" s="11">
        <f ca="1">(HQ3/HQ$37)*MIN(HP$40,HQ$37)</f>
        <v>320</v>
      </c>
      <c r="HS3" s="92">
        <f t="shared" ref="HS3:HS29" si="103">IF($E3,0,1)</f>
        <v>0</v>
      </c>
      <c r="HT3" s="11">
        <f t="shared" ref="HT3:HT29" ca="1" si="104">HS3*MAX(0,HN3-HL3)</f>
        <v>0</v>
      </c>
      <c r="HU3" s="11">
        <f t="shared" ref="HU3:HU29" ca="1" si="105">MIN(HM3,HT3)</f>
        <v>0</v>
      </c>
      <c r="HV3" s="11">
        <f ca="1">(HU3/HU$37)*MIN(HR$40,HU$37)</f>
        <v>0</v>
      </c>
      <c r="HW3" s="11">
        <f t="shared" ref="HW3:HW29" ca="1" si="106">HL3+HR3+HV3</f>
        <v>640</v>
      </c>
      <c r="HX3" s="11">
        <f t="shared" ref="HX3:HX29" ca="1" si="107">ROUND(MIN(0,HW3-HN3),2)</f>
        <v>0</v>
      </c>
      <c r="HY3" s="11">
        <f t="shared" ref="HY3:HY29" ca="1" si="108">IF(HN3&gt;0,HW3/HN3,"NA")</f>
        <v>1</v>
      </c>
      <c r="HZ3" s="12">
        <f t="shared" ref="HZ3:HZ29" ca="1" si="109">HW3</f>
        <v>640</v>
      </c>
      <c r="IA3" s="79"/>
      <c r="IB3" s="12">
        <f ca="1">HZ3+IA3</f>
        <v>640</v>
      </c>
      <c r="IC3" s="18">
        <f t="shared" ref="IC3:IC29" ca="1" si="110">IF(HN3&gt;0,IB3/HN3,"NA")</f>
        <v>1</v>
      </c>
      <c r="IE3" s="13">
        <f t="shared" ref="IE3:IE29" ca="1" si="111">IB3</f>
        <v>640</v>
      </c>
      <c r="IF3" s="13">
        <f ca="1">INDEX(Totals[[#Data],[#Totals],[Car - Note]:[NONTRACKED]],MATCH(IE$1,Totals[Date],0),MATCH($C3,Totals[[#Headers],[Car - Note]:[NONTRACKED]],0))</f>
        <v>-320</v>
      </c>
      <c r="IG3" s="13">
        <f ca="1">IFERROR(IE3+IF3,IE3)</f>
        <v>320</v>
      </c>
      <c r="IH3" s="13" t="s">
        <v>198</v>
      </c>
      <c r="II3" s="13">
        <v>640</v>
      </c>
      <c r="IJ3" s="13" t="b">
        <f ca="1">IF(IG3&gt;=II3,TRUE,FALSE)</f>
        <v>0</v>
      </c>
      <c r="IK3" s="94">
        <f t="shared" ref="IK3:IK29" si="112">IF($E3,1,0)</f>
        <v>1</v>
      </c>
      <c r="IL3" s="13">
        <f t="shared" ref="IL3:IL29" ca="1" si="113">IK3*MAX(0,II3-IG3)</f>
        <v>320</v>
      </c>
      <c r="IM3" s="13">
        <f ca="1">(IL3/IL$37)*MIN(IK$40,IL$37)</f>
        <v>320</v>
      </c>
      <c r="IN3" s="94">
        <f t="shared" ref="IN3:IN29" si="114">IF($E3,0,1)</f>
        <v>0</v>
      </c>
      <c r="IO3" s="13">
        <f t="shared" ref="IO3:IO29" ca="1" si="115">IN3*MAX(0,II3-IG3)</f>
        <v>0</v>
      </c>
      <c r="IP3" s="13">
        <f t="shared" ref="IP3:IP29" ca="1" si="116">MIN(IH3,IO3)</f>
        <v>0</v>
      </c>
      <c r="IQ3" s="13">
        <f ca="1">(IP3/IP$37)*MIN(IM$40,IP$37)</f>
        <v>0</v>
      </c>
      <c r="IR3" s="13">
        <f t="shared" ref="IR3:IR29" ca="1" si="117">IG3+IM3+IQ3</f>
        <v>640</v>
      </c>
      <c r="IS3" s="13">
        <f t="shared" ref="IS3:IS29" ca="1" si="118">ROUND(MIN(0,IR3-II3),2)</f>
        <v>0</v>
      </c>
      <c r="IT3" s="13">
        <f t="shared" ref="IT3:IT29" ca="1" si="119">IF(II3&gt;0,IR3/II3,"NA")</f>
        <v>1</v>
      </c>
      <c r="IU3" s="12">
        <f t="shared" ref="IU3:IU29" ca="1" si="120">IR3</f>
        <v>640</v>
      </c>
      <c r="IV3" s="79"/>
      <c r="IW3" s="12">
        <f ca="1">IU3+IV3</f>
        <v>640</v>
      </c>
      <c r="IX3" s="18">
        <f t="shared" ref="IX3:IX29" ca="1" si="121">IF(II3&gt;0,IW3/II3,"NA")</f>
        <v>1</v>
      </c>
      <c r="IZ3" s="19">
        <f t="shared" ref="IZ3:IZ29" ca="1" si="122">IW3</f>
        <v>640</v>
      </c>
      <c r="JA3" s="19">
        <f ca="1">INDEX(Totals[[#Data],[#Totals],[Car - Note]:[NONTRACKED]],MATCH(IZ$1,Totals[Date],0),MATCH($C3,Totals[[#Headers],[Car - Note]:[NONTRACKED]],0))</f>
        <v>-320</v>
      </c>
      <c r="JB3" s="19">
        <f ca="1">IFERROR(IZ3+JA3,IZ3)</f>
        <v>320</v>
      </c>
      <c r="JC3" s="19" t="s">
        <v>198</v>
      </c>
      <c r="JD3" s="19">
        <v>640</v>
      </c>
      <c r="JE3" s="19" t="b">
        <f ca="1">IF(JB3&gt;=JD3,TRUE,FALSE)</f>
        <v>0</v>
      </c>
      <c r="JF3" s="100">
        <f t="shared" ref="JF3:JF29" si="123">IF($E3,1,0)</f>
        <v>1</v>
      </c>
      <c r="JG3" s="19">
        <f t="shared" ref="JG3:JG29" ca="1" si="124">JF3*MAX(0,JD3-JB3)</f>
        <v>320</v>
      </c>
      <c r="JH3" s="19">
        <f ca="1">(JG3/JG$37)*MIN(JF$40,JG$37)</f>
        <v>320</v>
      </c>
      <c r="JI3" s="100">
        <f t="shared" ref="JI3:JI29" si="125">IF($E3,0,1)</f>
        <v>0</v>
      </c>
      <c r="JJ3" s="19">
        <f t="shared" ref="JJ3:JJ29" ca="1" si="126">JI3*MAX(0,JD3-JB3)</f>
        <v>0</v>
      </c>
      <c r="JK3" s="19">
        <f t="shared" ref="JK3:JK29" ca="1" si="127">MIN(JC3,JJ3)</f>
        <v>0</v>
      </c>
      <c r="JL3" s="19">
        <f ca="1">(JK3/JK$37)*MIN(JH$40,JK$37)</f>
        <v>0</v>
      </c>
      <c r="JM3" s="19">
        <f t="shared" ref="JM3:JM29" ca="1" si="128">JB3+JH3+JL3</f>
        <v>640</v>
      </c>
      <c r="JN3" s="19">
        <f t="shared" ref="JN3:JN29" ca="1" si="129">ROUND(MIN(0,JM3-JD3),2)</f>
        <v>0</v>
      </c>
      <c r="JO3" s="19">
        <f t="shared" ref="JO3:JO29" ca="1" si="130">IF(JD3&gt;0,JM3/JD3,"NA")</f>
        <v>1</v>
      </c>
      <c r="JP3" s="12">
        <f t="shared" ref="JP3:JP29" ca="1" si="131">JM3</f>
        <v>640</v>
      </c>
      <c r="JQ3" s="79"/>
      <c r="JR3" s="12">
        <f ca="1">JP3+JQ3</f>
        <v>640</v>
      </c>
      <c r="JS3" s="18">
        <f t="shared" ref="JS3:JS29" ca="1" si="132">IF(JD3&gt;0,JR3/JD3,"NA")</f>
        <v>1</v>
      </c>
      <c r="JU3" s="11">
        <f t="shared" ref="JU3:JU29" ca="1" si="133">JR3</f>
        <v>640</v>
      </c>
      <c r="JV3" s="11">
        <f ca="1">INDEX(Totals[[#Data],[#Totals],[Car - Note]:[NONTRACKED]],MATCH(JU$1,Totals[Date],0),MATCH($C3,Totals[[#Headers],[Car - Note]:[NONTRACKED]],0))</f>
        <v>-320</v>
      </c>
      <c r="JW3" s="11">
        <f ca="1">IFERROR(JU3+JV3,JU3)</f>
        <v>320</v>
      </c>
      <c r="JX3" s="11" t="s">
        <v>198</v>
      </c>
      <c r="JY3" s="11">
        <v>640</v>
      </c>
      <c r="JZ3" s="11" t="b">
        <f ca="1">IF(JW3&gt;=JY3,TRUE,FALSE)</f>
        <v>0</v>
      </c>
      <c r="KA3" s="92">
        <f t="shared" ref="KA3:KA29" si="134">IF($E3,1,0)</f>
        <v>1</v>
      </c>
      <c r="KB3" s="11">
        <f t="shared" ref="KB3:KB29" ca="1" si="135">KA3*MAX(0,JY3-JW3)</f>
        <v>320</v>
      </c>
      <c r="KC3" s="11">
        <f ca="1">(KB3/KB$37)*MIN(KA$40,KB$37)</f>
        <v>320</v>
      </c>
      <c r="KD3" s="92">
        <f t="shared" ref="KD3:KD29" si="136">IF($E3,0,1)</f>
        <v>0</v>
      </c>
      <c r="KE3" s="11">
        <f t="shared" ref="KE3:KE29" ca="1" si="137">KD3*MAX(0,JY3-JW3)</f>
        <v>0</v>
      </c>
      <c r="KF3" s="11">
        <f t="shared" ref="KF3:KF29" ca="1" si="138">MIN(JX3,KE3)</f>
        <v>0</v>
      </c>
      <c r="KG3" s="11">
        <f ca="1">(KF3/KF$37)*MIN(KC$40,KF$37)</f>
        <v>0</v>
      </c>
      <c r="KH3" s="11">
        <f t="shared" ref="KH3:KH29" ca="1" si="139">JW3+KC3+KG3</f>
        <v>640</v>
      </c>
      <c r="KI3" s="11">
        <f t="shared" ref="KI3:KI29" ca="1" si="140">ROUND(MIN(0,KH3-JY3),2)</f>
        <v>0</v>
      </c>
      <c r="KJ3" s="11">
        <f t="shared" ref="KJ3:KJ29" ca="1" si="141">IF(JY3&gt;0,KH3/JY3,"NA")</f>
        <v>1</v>
      </c>
      <c r="KK3" s="12">
        <f t="shared" ref="KK3:KK29" ca="1" si="142">KH3</f>
        <v>640</v>
      </c>
      <c r="KL3" s="79"/>
      <c r="KM3" s="12">
        <f ca="1">KK3+KL3</f>
        <v>640</v>
      </c>
      <c r="KN3" s="18">
        <f t="shared" ref="KN3:KN29" ca="1" si="143">IF(JY3&gt;0,KM3/JY3,"NA")</f>
        <v>1</v>
      </c>
      <c r="KP3" s="13">
        <f t="shared" ref="KP3:KP29" ca="1" si="144">KM3</f>
        <v>640</v>
      </c>
      <c r="KQ3" s="13">
        <f ca="1">INDEX(Totals[[#Data],[#Totals],[Car - Note]:[NONTRACKED]],MATCH(KP$1,Totals[Date],0),MATCH($C3,Totals[[#Headers],[Car - Note]:[NONTRACKED]],0))</f>
        <v>-320</v>
      </c>
      <c r="KR3" s="13">
        <f ca="1">IFERROR(KP3+KQ3,KP3)</f>
        <v>320</v>
      </c>
      <c r="KS3" s="13" t="s">
        <v>198</v>
      </c>
      <c r="KT3" s="13">
        <v>640</v>
      </c>
      <c r="KU3" s="13" t="b">
        <f ca="1">IF(KR3&gt;=KT3,TRUE,FALSE)</f>
        <v>0</v>
      </c>
      <c r="KV3" s="94">
        <f t="shared" ref="KV3:KV29" si="145">IF($E3,1,0)</f>
        <v>1</v>
      </c>
      <c r="KW3" s="13">
        <f t="shared" ref="KW3:KW29" ca="1" si="146">KV3*MAX(0,KT3-KR3)</f>
        <v>320</v>
      </c>
      <c r="KX3" s="13">
        <f ca="1">(KW3/KW$37)*MIN(KV$40,KW$37)</f>
        <v>320</v>
      </c>
      <c r="KY3" s="94">
        <f t="shared" ref="KY3:KY29" si="147">IF($E3,0,1)</f>
        <v>0</v>
      </c>
      <c r="KZ3" s="13">
        <f t="shared" ref="KZ3:KZ29" ca="1" si="148">KY3*MAX(0,KT3-KR3)</f>
        <v>0</v>
      </c>
      <c r="LA3" s="13">
        <f t="shared" ref="LA3:LA29" ca="1" si="149">MIN(KS3,KZ3)</f>
        <v>0</v>
      </c>
      <c r="LB3" s="13">
        <f ca="1">(LA3/LA$37)*MIN(KX$40,LA$37)</f>
        <v>0</v>
      </c>
      <c r="LC3" s="13">
        <f t="shared" ref="LC3:LC29" ca="1" si="150">KR3+KX3+LB3</f>
        <v>640</v>
      </c>
      <c r="LD3" s="13">
        <f t="shared" ref="LD3:LD29" ca="1" si="151">ROUND(MIN(0,LC3-KT3),2)</f>
        <v>0</v>
      </c>
      <c r="LE3" s="13">
        <f t="shared" ref="LE3:LE29" ca="1" si="152">IF(KT3&gt;0,LC3/KT3,"NA")</f>
        <v>1</v>
      </c>
      <c r="LF3" s="12">
        <f t="shared" ref="LF3:LF29" ca="1" si="153">LC3</f>
        <v>640</v>
      </c>
      <c r="LG3" s="79"/>
      <c r="LH3" s="12">
        <f ca="1">LF3+LG3</f>
        <v>640</v>
      </c>
      <c r="LI3" s="18">
        <f t="shared" ref="LI3:LI29" ca="1" si="154">IF(KT3&gt;0,LH3/KT3,"NA")</f>
        <v>1</v>
      </c>
      <c r="LK3" s="19">
        <f t="shared" ref="LK3:LK29" ca="1" si="155">LH3</f>
        <v>640</v>
      </c>
      <c r="LL3" s="19">
        <f ca="1">INDEX(Totals[[#Data],[#Totals],[Car - Note]:[NONTRACKED]],MATCH(LK$1,Totals[Date],0),MATCH($C3,Totals[[#Headers],[Car - Note]:[NONTRACKED]],0))</f>
        <v>-320</v>
      </c>
      <c r="LM3" s="19">
        <f ca="1">IFERROR(LK3+LL3,LK3)</f>
        <v>320</v>
      </c>
      <c r="LN3" s="19" t="s">
        <v>198</v>
      </c>
      <c r="LO3" s="19">
        <v>640</v>
      </c>
      <c r="LP3" s="19" t="b">
        <f ca="1">IF(LM3&gt;=LO3,TRUE,FALSE)</f>
        <v>0</v>
      </c>
      <c r="LQ3" s="100">
        <f t="shared" ref="LQ3:LQ29" si="156">IF($E3,1,0)</f>
        <v>1</v>
      </c>
      <c r="LR3" s="19">
        <f t="shared" ref="LR3:LR29" ca="1" si="157">LQ3*MAX(0,LO3-LM3)</f>
        <v>320</v>
      </c>
      <c r="LS3" s="19">
        <f ca="1">(LR3/LR$37)*MIN(LQ$40,LR$37)</f>
        <v>320</v>
      </c>
      <c r="LT3" s="100">
        <f t="shared" ref="LT3:LT29" si="158">IF($E3,0,1)</f>
        <v>0</v>
      </c>
      <c r="LU3" s="19">
        <f t="shared" ref="LU3:LU29" ca="1" si="159">LT3*MAX(0,LO3-LM3)</f>
        <v>0</v>
      </c>
      <c r="LV3" s="19">
        <f t="shared" ref="LV3:LV29" ca="1" si="160">MIN(LN3,LU3)</f>
        <v>0</v>
      </c>
      <c r="LW3" s="19">
        <f ca="1">(LV3/LV$37)*MIN(LS$40,LV$37)</f>
        <v>0</v>
      </c>
      <c r="LX3" s="19">
        <f t="shared" ref="LX3:LX29" ca="1" si="161">LM3+LS3+LW3</f>
        <v>640</v>
      </c>
      <c r="LY3" s="19">
        <f t="shared" ref="LY3:LY29" ca="1" si="162">ROUND(MIN(0,LX3-LO3),2)</f>
        <v>0</v>
      </c>
      <c r="LZ3" s="19">
        <f t="shared" ref="LZ3:LZ29" ca="1" si="163">IF(LO3&gt;0,LX3/LO3,"NA")</f>
        <v>1</v>
      </c>
      <c r="MA3" s="12">
        <f t="shared" ref="MA3:MA29" ca="1" si="164">LX3</f>
        <v>640</v>
      </c>
      <c r="MB3" s="79"/>
      <c r="MC3" s="12">
        <f ca="1">MA3+MB3</f>
        <v>640</v>
      </c>
      <c r="MD3" s="18">
        <f t="shared" ref="MD3:MD29" ca="1" si="165">IF(LO3&gt;0,MC3/LO3,"NA")</f>
        <v>1</v>
      </c>
      <c r="MF3" s="11">
        <f t="shared" ref="MF3:MF29" ca="1" si="166">MC3</f>
        <v>640</v>
      </c>
      <c r="MG3" s="11">
        <f ca="1">INDEX(Totals[[#Data],[#Totals],[Car - Note]:[NONTRACKED]],MATCH(MF$1,Totals[Date],0),MATCH($C3,Totals[[#Headers],[Car - Note]:[NONTRACKED]],0))</f>
        <v>-320</v>
      </c>
      <c r="MH3" s="11">
        <f ca="1">IFERROR(MF3+MG3,MF3)</f>
        <v>320</v>
      </c>
      <c r="MI3" s="11" t="s">
        <v>198</v>
      </c>
      <c r="MJ3" s="11">
        <v>640</v>
      </c>
      <c r="MK3" s="11" t="b">
        <f ca="1">IF(MH3&gt;=MJ3,TRUE,FALSE)</f>
        <v>0</v>
      </c>
      <c r="ML3" s="92">
        <f t="shared" ref="ML3:ML29" si="167">IF($E3,1,0)</f>
        <v>1</v>
      </c>
      <c r="MM3" s="11">
        <f t="shared" ref="MM3:MM29" ca="1" si="168">ML3*MAX(0,MJ3-MH3)</f>
        <v>320</v>
      </c>
      <c r="MN3" s="11">
        <f ca="1">(MM3/MM$37)*MIN(ML$40,MM$37)</f>
        <v>320</v>
      </c>
      <c r="MO3" s="92">
        <f t="shared" ref="MO3:MO29" si="169">IF($E3,0,1)</f>
        <v>0</v>
      </c>
      <c r="MP3" s="11">
        <f t="shared" ref="MP3:MP29" ca="1" si="170">MO3*MAX(0,MJ3-MH3)</f>
        <v>0</v>
      </c>
      <c r="MQ3" s="11">
        <f t="shared" ref="MQ3:MQ29" ca="1" si="171">MIN(MI3,MP3)</f>
        <v>0</v>
      </c>
      <c r="MR3" s="11">
        <f ca="1">(MQ3/MQ$37)*MIN(MN$40,MQ$37)</f>
        <v>0</v>
      </c>
      <c r="MS3" s="11">
        <f t="shared" ref="MS3:MS29" ca="1" si="172">MH3+MN3+MR3</f>
        <v>640</v>
      </c>
      <c r="MT3" s="11">
        <f t="shared" ref="MT3:MT29" ca="1" si="173">ROUND(MIN(0,MS3-MJ3),2)</f>
        <v>0</v>
      </c>
      <c r="MU3" s="11">
        <f t="shared" ref="MU3:MU29" ca="1" si="174">IF(MJ3&gt;0,MS3/MJ3,"NA")</f>
        <v>1</v>
      </c>
      <c r="MV3" s="12">
        <f t="shared" ref="MV3:MV29" ca="1" si="175">MS3</f>
        <v>640</v>
      </c>
      <c r="MW3" s="79"/>
      <c r="MX3" s="12">
        <f ca="1">MV3+MW3</f>
        <v>640</v>
      </c>
      <c r="MY3" s="18">
        <f t="shared" ref="MY3:MY29" ca="1" si="176">IF(MJ3&gt;0,MX3/MJ3,"NA")</f>
        <v>1</v>
      </c>
      <c r="NA3" s="13">
        <f t="shared" ref="NA3:NA29" ca="1" si="177">MX3</f>
        <v>640</v>
      </c>
      <c r="NB3" s="13">
        <f ca="1">INDEX(Totals[[#Data],[#Totals],[Car - Note]:[NONTRACKED]],MATCH(NA$1,Totals[Date],0),MATCH($C3,Totals[[#Headers],[Car - Note]:[NONTRACKED]],0))</f>
        <v>-320</v>
      </c>
      <c r="NC3" s="13">
        <f ca="1">IFERROR(NA3+NB3,NA3)</f>
        <v>320</v>
      </c>
      <c r="ND3" s="13" t="s">
        <v>198</v>
      </c>
      <c r="NE3" s="13">
        <v>640</v>
      </c>
      <c r="NF3" s="13" t="b">
        <f ca="1">IF(NC3&gt;=NE3,TRUE,FALSE)</f>
        <v>0</v>
      </c>
      <c r="NG3" s="94">
        <f t="shared" ref="NG3:NG29" si="178">IF($E3,1,0)</f>
        <v>1</v>
      </c>
      <c r="NH3" s="13">
        <f t="shared" ref="NH3:NH29" ca="1" si="179">NG3*MAX(0,NE3-NC3)</f>
        <v>320</v>
      </c>
      <c r="NI3" s="13">
        <f ca="1">(NH3/NH$37)*MIN(NG$40,NH$37)</f>
        <v>320</v>
      </c>
      <c r="NJ3" s="94">
        <f t="shared" ref="NJ3:NJ29" si="180">IF($E3,0,1)</f>
        <v>0</v>
      </c>
      <c r="NK3" s="13">
        <f t="shared" ref="NK3:NK29" ca="1" si="181">NJ3*MAX(0,NE3-NC3)</f>
        <v>0</v>
      </c>
      <c r="NL3" s="13">
        <f t="shared" ref="NL3:NL29" ca="1" si="182">MIN(ND3,NK3)</f>
        <v>0</v>
      </c>
      <c r="NM3" s="13">
        <f ca="1">(NL3/NL$37)*MIN(NI$40,NL$37)</f>
        <v>0</v>
      </c>
      <c r="NN3" s="13">
        <f t="shared" ref="NN3:NN29" ca="1" si="183">NC3+NI3+NM3</f>
        <v>640</v>
      </c>
      <c r="NO3" s="13">
        <f t="shared" ref="NO3:NO29" ca="1" si="184">ROUND(MIN(0,NN3-NE3),2)</f>
        <v>0</v>
      </c>
      <c r="NP3" s="13">
        <f t="shared" ref="NP3:NP29" ca="1" si="185">IF(NE3&gt;0,NN3/NE3,"NA")</f>
        <v>1</v>
      </c>
      <c r="NQ3" s="12">
        <f t="shared" ref="NQ3:NQ29" ca="1" si="186">NN3</f>
        <v>640</v>
      </c>
      <c r="NR3" s="79"/>
      <c r="NS3" s="12">
        <f ca="1">NQ3+NR3</f>
        <v>640</v>
      </c>
      <c r="NT3" s="18">
        <f t="shared" ref="NT3:NT29" ca="1" si="187">IF(NE3&gt;0,NS3/NE3,"NA")</f>
        <v>1</v>
      </c>
      <c r="NV3" s="19">
        <f t="shared" ref="NV3:NV29" ca="1" si="188">NS3</f>
        <v>640</v>
      </c>
      <c r="NW3" s="19">
        <f ca="1">INDEX(Totals[[#Data],[#Totals],[Car - Note]:[NONTRACKED]],MATCH(NV$1,Totals[Date],0),MATCH($C3,Totals[[#Headers],[Car - Note]:[NONTRACKED]],0))</f>
        <v>-320</v>
      </c>
      <c r="NX3" s="19">
        <f ca="1">IFERROR(NV3+NW3,NV3)</f>
        <v>320</v>
      </c>
      <c r="NY3" s="19" t="s">
        <v>198</v>
      </c>
      <c r="NZ3" s="19">
        <v>640</v>
      </c>
      <c r="OA3" s="19" t="b">
        <f ca="1">IF(NX3&gt;=NZ3,TRUE,FALSE)</f>
        <v>0</v>
      </c>
      <c r="OB3" s="100">
        <f t="shared" ref="OB3:OB29" si="189">IF($E3,1,0)</f>
        <v>1</v>
      </c>
      <c r="OC3" s="19">
        <f t="shared" ref="OC3:OC29" ca="1" si="190">OB3*MAX(0,NZ3-NX3)</f>
        <v>320</v>
      </c>
      <c r="OD3" s="19">
        <f ca="1">(OC3/OC$37)*MIN(OB$40,OC$37)</f>
        <v>320</v>
      </c>
      <c r="OE3" s="100">
        <f t="shared" ref="OE3:OE29" si="191">IF($E3,0,1)</f>
        <v>0</v>
      </c>
      <c r="OF3" s="19">
        <f t="shared" ref="OF3:OF29" ca="1" si="192">OE3*MAX(0,NZ3-NX3)</f>
        <v>0</v>
      </c>
      <c r="OG3" s="19">
        <f t="shared" ref="OG3:OG29" ca="1" si="193">MIN(NY3,OF3)</f>
        <v>0</v>
      </c>
      <c r="OH3" s="19">
        <f ca="1">(OG3/OG$37)*MIN(OD$40,OG$37)</f>
        <v>0</v>
      </c>
      <c r="OI3" s="19">
        <f t="shared" ref="OI3:OI29" ca="1" si="194">NX3+OD3+OH3</f>
        <v>640</v>
      </c>
      <c r="OJ3" s="19">
        <f t="shared" ref="OJ3:OJ29" ca="1" si="195">ROUND(MIN(0,OI3-NZ3),2)</f>
        <v>0</v>
      </c>
      <c r="OK3" s="19">
        <f t="shared" ref="OK3:OK29" ca="1" si="196">IF(NZ3&gt;0,OI3/NZ3,"NA")</f>
        <v>1</v>
      </c>
      <c r="OL3" s="12">
        <f t="shared" ref="OL3:OL29" ca="1" si="197">OI3</f>
        <v>640</v>
      </c>
      <c r="OM3" s="79"/>
      <c r="ON3" s="12">
        <f ca="1">OL3+OM3</f>
        <v>640</v>
      </c>
      <c r="OO3" s="18">
        <f t="shared" ref="OO3:OO29" ca="1" si="198">IF(NZ3&gt;0,ON3/NZ3,"NA")</f>
        <v>1</v>
      </c>
      <c r="OQ3" s="11">
        <f t="shared" ref="OQ3:OQ29" ca="1" si="199">ON3</f>
        <v>640</v>
      </c>
      <c r="OR3" s="11">
        <f ca="1">INDEX(Totals[[#Data],[#Totals],[Car - Note]:[NONTRACKED]],MATCH(OQ$1,Totals[Date],0),MATCH($C3,Totals[[#Headers],[Car - Note]:[NONTRACKED]],0))</f>
        <v>-320</v>
      </c>
      <c r="OS3" s="11">
        <f ca="1">IFERROR(OQ3+OR3,OQ3)</f>
        <v>320</v>
      </c>
      <c r="OT3" s="11" t="s">
        <v>198</v>
      </c>
      <c r="OU3" s="11">
        <v>640</v>
      </c>
      <c r="OV3" s="11" t="b">
        <f ca="1">IF(OS3&gt;=OU3,TRUE,FALSE)</f>
        <v>0</v>
      </c>
      <c r="OW3" s="92">
        <f t="shared" ref="OW3:OW29" si="200">IF($E3,1,0)</f>
        <v>1</v>
      </c>
      <c r="OX3" s="11">
        <f t="shared" ref="OX3:OX29" ca="1" si="201">OW3*MAX(0,OU3-OS3)</f>
        <v>320</v>
      </c>
      <c r="OY3" s="11">
        <f ca="1">(OX3/OX$37)*MIN(OW$40,OX$37)</f>
        <v>320</v>
      </c>
      <c r="OZ3" s="92">
        <f t="shared" ref="OZ3:OZ29" si="202">IF($E3,0,1)</f>
        <v>0</v>
      </c>
      <c r="PA3" s="11">
        <f t="shared" ref="PA3:PA29" ca="1" si="203">OZ3*MAX(0,OU3-OS3)</f>
        <v>0</v>
      </c>
      <c r="PB3" s="11">
        <f t="shared" ref="PB3:PB29" ca="1" si="204">MIN(OT3,PA3)</f>
        <v>0</v>
      </c>
      <c r="PC3" s="11">
        <f ca="1">(PB3/PB$37)*MIN(OY$40,PB$37)</f>
        <v>0</v>
      </c>
      <c r="PD3" s="11">
        <f t="shared" ref="PD3:PD29" ca="1" si="205">OS3+OY3+PC3</f>
        <v>640</v>
      </c>
      <c r="PE3" s="11">
        <f t="shared" ref="PE3:PE29" ca="1" si="206">ROUND(MIN(0,PD3-OU3),2)</f>
        <v>0</v>
      </c>
      <c r="PF3" s="11">
        <f t="shared" ref="PF3:PF29" ca="1" si="207">IF(OU3&gt;0,PD3/OU3,"NA")</f>
        <v>1</v>
      </c>
      <c r="PG3" s="12">
        <f t="shared" ref="PG3:PG29" ca="1" si="208">PD3</f>
        <v>640</v>
      </c>
      <c r="PH3" s="79"/>
      <c r="PI3" s="12">
        <f ca="1">PG3+PH3</f>
        <v>640</v>
      </c>
      <c r="PJ3" s="18">
        <f t="shared" ref="PJ3:PJ29" ca="1" si="209">IF(OU3&gt;0,PI3/OU3,"NA")</f>
        <v>1</v>
      </c>
      <c r="PL3" s="13">
        <f t="shared" ref="PL3:PL29" ca="1" si="210">PI3</f>
        <v>640</v>
      </c>
      <c r="PM3" s="13">
        <f ca="1">INDEX(Totals[[#Data],[#Totals],[Car - Note]:[NONTRACKED]],MATCH(PL$1,Totals[Date],0),MATCH($C3,Totals[[#Headers],[Car - Note]:[NONTRACKED]],0))</f>
        <v>-320</v>
      </c>
      <c r="PN3" s="13">
        <f ca="1">IFERROR(PL3+PM3,PL3)</f>
        <v>320</v>
      </c>
      <c r="PO3" s="13" t="s">
        <v>198</v>
      </c>
      <c r="PP3" s="13">
        <v>640</v>
      </c>
      <c r="PQ3" s="13" t="b">
        <f ca="1">IF(PN3&gt;=PP3,TRUE,FALSE)</f>
        <v>0</v>
      </c>
      <c r="PR3" s="94">
        <f t="shared" ref="PR3:PR29" si="211">IF($E3,1,0)</f>
        <v>1</v>
      </c>
      <c r="PS3" s="13">
        <f t="shared" ref="PS3:PS29" ca="1" si="212">PR3*MAX(0,PP3-PN3)</f>
        <v>320</v>
      </c>
      <c r="PT3" s="13">
        <f ca="1">(PS3/PS$37)*MIN(PR$40,PS$37)</f>
        <v>320</v>
      </c>
      <c r="PU3" s="94">
        <f t="shared" ref="PU3:PU29" si="213">IF($E3,0,1)</f>
        <v>0</v>
      </c>
      <c r="PV3" s="13">
        <f t="shared" ref="PV3:PV29" ca="1" si="214">PU3*MAX(0,PP3-PN3)</f>
        <v>0</v>
      </c>
      <c r="PW3" s="13">
        <f t="shared" ref="PW3:PW29" ca="1" si="215">MIN(PO3,PV3)</f>
        <v>0</v>
      </c>
      <c r="PX3" s="13">
        <f ca="1">(PW3/PW$37)*MIN(PT$40,PW$37)</f>
        <v>0</v>
      </c>
      <c r="PY3" s="13">
        <f t="shared" ref="PY3:PY29" ca="1" si="216">PN3+PT3+PX3</f>
        <v>640</v>
      </c>
      <c r="PZ3" s="13">
        <f t="shared" ref="PZ3:PZ29" ca="1" si="217">ROUND(MIN(0,PY3-PP3),2)</f>
        <v>0</v>
      </c>
      <c r="QA3" s="13">
        <f t="shared" ref="QA3:QA29" ca="1" si="218">IF(PP3&gt;0,PY3/PP3,"NA")</f>
        <v>1</v>
      </c>
      <c r="QB3" s="12">
        <f t="shared" ref="QB3:QB29" ca="1" si="219">PY3</f>
        <v>640</v>
      </c>
      <c r="QC3" s="79"/>
      <c r="QD3" s="12">
        <f ca="1">QB3+QC3</f>
        <v>640</v>
      </c>
      <c r="QE3" s="18">
        <f t="shared" ref="QE3:QE29" ca="1" si="220">IF(PP3&gt;0,QD3/PP3,"NA")</f>
        <v>1</v>
      </c>
      <c r="QG3" s="19">
        <f t="shared" ref="QG3:QG29" ca="1" si="221">QD3</f>
        <v>640</v>
      </c>
      <c r="QH3" s="19">
        <f ca="1">INDEX(Totals[[#Data],[#Totals],[Car - Note]:[NONTRACKED]],MATCH(QG$1,Totals[Date],0),MATCH($C3,Totals[[#Headers],[Car - Note]:[NONTRACKED]],0))</f>
        <v>-320</v>
      </c>
      <c r="QI3" s="19">
        <f ca="1">IFERROR(QG3+QH3,QG3)</f>
        <v>320</v>
      </c>
      <c r="QJ3" s="19" t="s">
        <v>198</v>
      </c>
      <c r="QK3" s="19">
        <v>640</v>
      </c>
      <c r="QL3" s="19" t="b">
        <f ca="1">IF(QI3&gt;=QK3,TRUE,FALSE)</f>
        <v>0</v>
      </c>
      <c r="QM3" s="100">
        <f t="shared" ref="QM3:QM29" si="222">IF($E3,1,0)</f>
        <v>1</v>
      </c>
      <c r="QN3" s="19">
        <f t="shared" ref="QN3:QN29" ca="1" si="223">QM3*MAX(0,QK3-QI3)</f>
        <v>320</v>
      </c>
      <c r="QO3" s="19">
        <f ca="1">(QN3/QN$37)*MIN(QM$40,QN$37)</f>
        <v>320</v>
      </c>
      <c r="QP3" s="100">
        <f t="shared" ref="QP3:QP29" si="224">IF($E3,0,1)</f>
        <v>0</v>
      </c>
      <c r="QQ3" s="19">
        <f t="shared" ref="QQ3:QQ29" ca="1" si="225">QP3*MAX(0,QK3-QI3)</f>
        <v>0</v>
      </c>
      <c r="QR3" s="19">
        <f t="shared" ref="QR3:QR29" ca="1" si="226">MIN(QJ3,QQ3)</f>
        <v>0</v>
      </c>
      <c r="QS3" s="19">
        <f ca="1">(QR3/QR$37)*MIN(QO$40,QR$37)</f>
        <v>0</v>
      </c>
      <c r="QT3" s="19">
        <f t="shared" ref="QT3:QT29" ca="1" si="227">QI3+QO3+QS3</f>
        <v>640</v>
      </c>
      <c r="QU3" s="19">
        <f t="shared" ref="QU3:QU29" ca="1" si="228">ROUND(MIN(0,QT3-QK3),2)</f>
        <v>0</v>
      </c>
      <c r="QV3" s="19">
        <f t="shared" ref="QV3:QV29" ca="1" si="229">IF(QK3&gt;0,QT3/QK3,"NA")</f>
        <v>1</v>
      </c>
      <c r="QW3" s="12">
        <f t="shared" ref="QW3:QW29" ca="1" si="230">QT3</f>
        <v>640</v>
      </c>
      <c r="QX3" s="79"/>
      <c r="QY3" s="12">
        <f ca="1">QW3+QX3</f>
        <v>640</v>
      </c>
      <c r="QZ3" s="18">
        <f t="shared" ref="QZ3:QZ29" ca="1" si="231">IF(QK3&gt;0,QY3/QK3,"NA")</f>
        <v>1</v>
      </c>
      <c r="RB3" s="11">
        <f t="shared" ref="RB3:RB29" ca="1" si="232">QY3</f>
        <v>640</v>
      </c>
      <c r="RC3" s="11">
        <f ca="1">INDEX(Totals[[#Data],[#Totals],[Car - Note]:[NONTRACKED]],MATCH(RB$1,Totals[Date],0),MATCH($C3,Totals[[#Headers],[Car - Note]:[NONTRACKED]],0))</f>
        <v>-320</v>
      </c>
      <c r="RD3" s="11">
        <f ca="1">IFERROR(RB3+RC3,RB3)</f>
        <v>320</v>
      </c>
      <c r="RE3" s="11" t="s">
        <v>198</v>
      </c>
      <c r="RF3" s="11">
        <v>640</v>
      </c>
      <c r="RG3" s="11" t="b">
        <f ca="1">IF(RD3&gt;=RF3,TRUE,FALSE)</f>
        <v>0</v>
      </c>
      <c r="RH3" s="92">
        <f t="shared" ref="RH3:RH29" si="233">IF($E3,1,0)</f>
        <v>1</v>
      </c>
      <c r="RI3" s="11">
        <f t="shared" ref="RI3:RI29" ca="1" si="234">RH3*MAX(0,RF3-RD3)</f>
        <v>320</v>
      </c>
      <c r="RJ3" s="11">
        <f ca="1">(RI3/RI$37)*MIN(RH$40,RI$37)</f>
        <v>320</v>
      </c>
      <c r="RK3" s="92">
        <f t="shared" ref="RK3:RK29" si="235">IF($E3,0,1)</f>
        <v>0</v>
      </c>
      <c r="RL3" s="11">
        <f t="shared" ref="RL3:RL29" ca="1" si="236">RK3*MAX(0,RF3-RD3)</f>
        <v>0</v>
      </c>
      <c r="RM3" s="11">
        <f t="shared" ref="RM3:RM29" ca="1" si="237">MIN(RE3,RL3)</f>
        <v>0</v>
      </c>
      <c r="RN3" s="11">
        <f ca="1">(RM3/RM$37)*MIN(RJ$40,RM$37)</f>
        <v>0</v>
      </c>
      <c r="RO3" s="11">
        <f t="shared" ref="RO3:RO29" ca="1" si="238">RD3+RJ3+RN3</f>
        <v>640</v>
      </c>
      <c r="RP3" s="11">
        <f t="shared" ref="RP3:RP29" ca="1" si="239">ROUND(MIN(0,RO3-RF3),2)</f>
        <v>0</v>
      </c>
      <c r="RQ3" s="11">
        <f t="shared" ref="RQ3:RQ29" ca="1" si="240">IF(RF3&gt;0,RO3/RF3,"NA")</f>
        <v>1</v>
      </c>
      <c r="RR3" s="12">
        <f t="shared" ref="RR3:RR29" ca="1" si="241">RO3</f>
        <v>640</v>
      </c>
      <c r="RS3" s="79"/>
      <c r="RT3" s="12">
        <f ca="1">RR3+RS3</f>
        <v>640</v>
      </c>
      <c r="RU3" s="18">
        <f t="shared" ref="RU3:RU29" ca="1" si="242">IF(RF3&gt;0,RT3/RF3,"NA")</f>
        <v>1</v>
      </c>
      <c r="RW3" s="13">
        <f t="shared" ref="RW3:RW29" ca="1" si="243">RT3</f>
        <v>640</v>
      </c>
      <c r="RX3" s="13">
        <f ca="1">INDEX(Totals[[#Data],[#Totals],[Car - Note]:[NONTRACKED]],MATCH(RW$1,Totals[Date],0),MATCH($C3,Totals[[#Headers],[Car - Note]:[NONTRACKED]],0))</f>
        <v>-320</v>
      </c>
      <c r="RY3" s="13">
        <f ca="1">IFERROR(RW3+RX3,RW3)</f>
        <v>320</v>
      </c>
      <c r="RZ3" s="13" t="s">
        <v>198</v>
      </c>
      <c r="SA3" s="13">
        <v>640</v>
      </c>
      <c r="SB3" s="13" t="b">
        <f ca="1">IF(RY3&gt;=SA3,TRUE,FALSE)</f>
        <v>0</v>
      </c>
      <c r="SC3" s="94">
        <f t="shared" ref="SC3:SC29" si="244">IF($E3,1,0)</f>
        <v>1</v>
      </c>
      <c r="SD3" s="13">
        <f t="shared" ref="SD3:SD29" ca="1" si="245">SC3*MAX(0,SA3-RY3)</f>
        <v>320</v>
      </c>
      <c r="SE3" s="13">
        <f ca="1">(SD3/SD$37)*MIN(SC$40,SD$37)</f>
        <v>320</v>
      </c>
      <c r="SF3" s="94">
        <f t="shared" ref="SF3:SF29" si="246">IF($E3,0,1)</f>
        <v>0</v>
      </c>
      <c r="SG3" s="13">
        <f t="shared" ref="SG3:SG29" ca="1" si="247">SF3*MAX(0,SA3-RY3)</f>
        <v>0</v>
      </c>
      <c r="SH3" s="13">
        <f t="shared" ref="SH3:SH29" ca="1" si="248">MIN(RZ3,SG3)</f>
        <v>0</v>
      </c>
      <c r="SI3" s="13">
        <f ca="1">(SH3/SH$37)*MIN(SE$40,SH$37)</f>
        <v>0</v>
      </c>
      <c r="SJ3" s="13">
        <f t="shared" ref="SJ3:SJ29" ca="1" si="249">RY3+SE3+SI3</f>
        <v>640</v>
      </c>
      <c r="SK3" s="13">
        <f t="shared" ref="SK3:SK29" ca="1" si="250">ROUND(MIN(0,SJ3-SA3),2)</f>
        <v>0</v>
      </c>
      <c r="SL3" s="13">
        <f t="shared" ref="SL3:SL29" ca="1" si="251">IF(SA3&gt;0,SJ3/SA3,"NA")</f>
        <v>1</v>
      </c>
      <c r="SM3" s="12">
        <f t="shared" ref="SM3:SM29" ca="1" si="252">SJ3</f>
        <v>640</v>
      </c>
      <c r="SN3" s="79"/>
      <c r="SO3" s="12">
        <f ca="1">SM3+SN3</f>
        <v>640</v>
      </c>
      <c r="SP3" s="18">
        <f t="shared" ref="SP3:SP29" ca="1" si="253">IF(SA3&gt;0,SO3/SA3,"NA")</f>
        <v>1</v>
      </c>
      <c r="SR3" s="19">
        <f t="shared" ref="SR3:SR29" ca="1" si="254">SO3</f>
        <v>640</v>
      </c>
      <c r="SS3" s="19">
        <f ca="1">INDEX(Totals[[#Data],[#Totals],[Car - Note]:[NONTRACKED]],MATCH(SR$1,Totals[Date],0),MATCH($C3,Totals[[#Headers],[Car - Note]:[NONTRACKED]],0))</f>
        <v>-320</v>
      </c>
      <c r="ST3" s="19">
        <f ca="1">IFERROR(SR3+SS3,SR3)</f>
        <v>320</v>
      </c>
      <c r="SU3" s="19" t="s">
        <v>198</v>
      </c>
      <c r="SV3" s="19">
        <v>640</v>
      </c>
      <c r="SW3" s="19" t="b">
        <f ca="1">IF(ST3&gt;=SV3,TRUE,FALSE)</f>
        <v>0</v>
      </c>
      <c r="SX3" s="100">
        <f t="shared" ref="SX3:SX29" si="255">IF($E3,1,0)</f>
        <v>1</v>
      </c>
      <c r="SY3" s="19">
        <f t="shared" ref="SY3:SY29" ca="1" si="256">SX3*MAX(0,SV3-ST3)</f>
        <v>320</v>
      </c>
      <c r="SZ3" s="19">
        <f ca="1">(SY3/SY$37)*MIN(SX$40,SY$37)</f>
        <v>320</v>
      </c>
      <c r="TA3" s="100">
        <f t="shared" ref="TA3:TA29" si="257">IF($E3,0,1)</f>
        <v>0</v>
      </c>
      <c r="TB3" s="19">
        <f t="shared" ref="TB3:TB29" ca="1" si="258">TA3*MAX(0,SV3-ST3)</f>
        <v>0</v>
      </c>
      <c r="TC3" s="19">
        <f t="shared" ref="TC3:TC29" ca="1" si="259">MIN(SU3,TB3)</f>
        <v>0</v>
      </c>
      <c r="TD3" s="19">
        <f ca="1">(TC3/TC$37)*MIN(SZ$40,TC$37)</f>
        <v>0</v>
      </c>
      <c r="TE3" s="19">
        <f t="shared" ref="TE3:TE29" ca="1" si="260">ST3+SZ3+TD3</f>
        <v>640</v>
      </c>
      <c r="TF3" s="19">
        <f t="shared" ref="TF3:TF29" ca="1" si="261">ROUND(MIN(0,TE3-SV3),2)</f>
        <v>0</v>
      </c>
      <c r="TG3" s="19">
        <f t="shared" ref="TG3:TG29" ca="1" si="262">IF(SV3&gt;0,TE3/SV3,"NA")</f>
        <v>1</v>
      </c>
      <c r="TH3" s="12">
        <f t="shared" ref="TH3:TH29" ca="1" si="263">TE3</f>
        <v>640</v>
      </c>
      <c r="TI3" s="79"/>
      <c r="TJ3" s="12">
        <f ca="1">TH3+TI3</f>
        <v>640</v>
      </c>
      <c r="TK3" s="18">
        <f t="shared" ref="TK3:TK29" ca="1" si="264">IF(SV3&gt;0,TJ3/SV3,"NA")</f>
        <v>1</v>
      </c>
      <c r="TM3" s="11">
        <f t="shared" ref="TM3:TM29" ca="1" si="265">TJ3</f>
        <v>640</v>
      </c>
      <c r="TN3" s="11">
        <f ca="1">INDEX(Totals[[#Data],[#Totals],[Car - Note]:[NONTRACKED]],MATCH(TM$1,Totals[Date],0),MATCH($C3,Totals[[#Headers],[Car - Note]:[NONTRACKED]],0))</f>
        <v>-320</v>
      </c>
      <c r="TO3" s="11">
        <f ca="1">IFERROR(TM3+TN3,TM3)</f>
        <v>320</v>
      </c>
      <c r="TP3" s="11" t="s">
        <v>198</v>
      </c>
      <c r="TQ3" s="11">
        <v>640</v>
      </c>
      <c r="TR3" s="11" t="b">
        <f ca="1">IF(TO3&gt;=TQ3,TRUE,FALSE)</f>
        <v>0</v>
      </c>
      <c r="TS3" s="92">
        <f t="shared" ref="TS3:TS29" si="266">IF($E3,1,0)</f>
        <v>1</v>
      </c>
      <c r="TT3" s="11">
        <f t="shared" ref="TT3:TT29" ca="1" si="267">TS3*MAX(0,TQ3-TO3)</f>
        <v>320</v>
      </c>
      <c r="TU3" s="11">
        <f ca="1">(TT3/TT$37)*MIN(TS$40,TT$37)</f>
        <v>320</v>
      </c>
      <c r="TV3" s="92">
        <f t="shared" ref="TV3:TV29" si="268">IF($E3,0,1)</f>
        <v>0</v>
      </c>
      <c r="TW3" s="11">
        <f t="shared" ref="TW3:TW29" ca="1" si="269">TV3*MAX(0,TQ3-TO3)</f>
        <v>0</v>
      </c>
      <c r="TX3" s="11">
        <f t="shared" ref="TX3:TX29" ca="1" si="270">MIN(TP3,TW3)</f>
        <v>0</v>
      </c>
      <c r="TY3" s="11">
        <f ca="1">(TX3/TX$37)*MIN(TU$40,TX$37)</f>
        <v>0</v>
      </c>
      <c r="TZ3" s="11">
        <f t="shared" ref="TZ3:TZ29" ca="1" si="271">TO3+TU3+TY3</f>
        <v>640</v>
      </c>
      <c r="UA3" s="11">
        <f t="shared" ref="UA3:UA29" ca="1" si="272">ROUND(MIN(0,TZ3-TQ3),2)</f>
        <v>0</v>
      </c>
      <c r="UB3" s="11">
        <f t="shared" ref="UB3:UB29" ca="1" si="273">IF(TQ3&gt;0,TZ3/TQ3,"NA")</f>
        <v>1</v>
      </c>
      <c r="UC3" s="12">
        <f t="shared" ref="UC3:UC29" ca="1" si="274">TZ3</f>
        <v>640</v>
      </c>
      <c r="UD3" s="79"/>
      <c r="UE3" s="12">
        <f ca="1">UC3+UD3</f>
        <v>640</v>
      </c>
      <c r="UF3" s="18">
        <f t="shared" ref="UF3:UF29" ca="1" si="275">IF(TQ3&gt;0,UE3/TQ3,"NA")</f>
        <v>1</v>
      </c>
      <c r="UH3" s="13">
        <f t="shared" ref="UH3:UH29" ca="1" si="276">UE3</f>
        <v>640</v>
      </c>
      <c r="UI3" s="13">
        <f ca="1">INDEX(Totals[[#Data],[#Totals],[Car - Note]:[NONTRACKED]],MATCH(UH$1,Totals[Date],0),MATCH($C3,Totals[[#Headers],[Car - Note]:[NONTRACKED]],0))</f>
        <v>-320</v>
      </c>
      <c r="UJ3" s="13">
        <f ca="1">IFERROR(UH3+UI3,UH3)</f>
        <v>320</v>
      </c>
      <c r="UK3" s="13" t="s">
        <v>198</v>
      </c>
      <c r="UL3" s="13">
        <v>640</v>
      </c>
      <c r="UM3" s="13" t="b">
        <f ca="1">IF(UJ3&gt;=UL3,TRUE,FALSE)</f>
        <v>0</v>
      </c>
      <c r="UN3" s="94">
        <f t="shared" ref="UN3:UN29" si="277">IF($E3,1,0)</f>
        <v>1</v>
      </c>
      <c r="UO3" s="13">
        <f t="shared" ref="UO3:UO29" ca="1" si="278">UN3*MAX(0,UL3-UJ3)</f>
        <v>320</v>
      </c>
      <c r="UP3" s="13">
        <f ca="1">(UO3/UO$37)*MIN(UN$40,UO$37)</f>
        <v>320</v>
      </c>
      <c r="UQ3" s="94">
        <f t="shared" ref="UQ3:UQ29" si="279">IF($E3,0,1)</f>
        <v>0</v>
      </c>
      <c r="UR3" s="13">
        <f t="shared" ref="UR3:UR29" ca="1" si="280">UQ3*MAX(0,UL3-UJ3)</f>
        <v>0</v>
      </c>
      <c r="US3" s="13">
        <f t="shared" ref="US3:US29" ca="1" si="281">MIN(UK3,UR3)</f>
        <v>0</v>
      </c>
      <c r="UT3" s="13">
        <f ca="1">(US3/US$37)*MIN(UP$40,US$37)</f>
        <v>0</v>
      </c>
      <c r="UU3" s="13">
        <f t="shared" ref="UU3:UU29" ca="1" si="282">UJ3+UP3+UT3</f>
        <v>640</v>
      </c>
      <c r="UV3" s="13">
        <f t="shared" ref="UV3:UV29" ca="1" si="283">ROUND(MIN(0,UU3-UL3),2)</f>
        <v>0</v>
      </c>
      <c r="UW3" s="13">
        <f t="shared" ref="UW3:UW29" ca="1" si="284">IF(UL3&gt;0,UU3/UL3,"NA")</f>
        <v>1</v>
      </c>
      <c r="UX3" s="12">
        <f t="shared" ref="UX3:UX29" ca="1" si="285">UU3</f>
        <v>640</v>
      </c>
      <c r="UY3" s="79"/>
      <c r="UZ3" s="12">
        <f ca="1">UX3+UY3</f>
        <v>640</v>
      </c>
      <c r="VA3" s="18">
        <f t="shared" ref="VA3:VA29" ca="1" si="286">IF(UL3&gt;0,UZ3/UL3,"NA")</f>
        <v>1</v>
      </c>
      <c r="VC3" s="19">
        <f t="shared" ref="VC3:VC29" ca="1" si="287">UZ3</f>
        <v>640</v>
      </c>
      <c r="VD3" s="19">
        <f ca="1">INDEX(Totals[[#Data],[#Totals],[Car - Note]:[NONTRACKED]],MATCH(VC$1,Totals[Date],0),MATCH($C3,Totals[[#Headers],[Car - Note]:[NONTRACKED]],0))</f>
        <v>-320</v>
      </c>
      <c r="VE3" s="19">
        <f ca="1">IFERROR(VC3+VD3,VC3)</f>
        <v>320</v>
      </c>
      <c r="VF3" s="19" t="s">
        <v>198</v>
      </c>
      <c r="VG3" s="19">
        <v>640</v>
      </c>
      <c r="VH3" s="19" t="b">
        <f ca="1">IF(VE3&gt;=VG3,TRUE,FALSE)</f>
        <v>0</v>
      </c>
      <c r="VI3" s="100">
        <f t="shared" ref="VI3:VI29" si="288">IF($E3,1,0)</f>
        <v>1</v>
      </c>
      <c r="VJ3" s="19">
        <f t="shared" ref="VJ3:VJ29" ca="1" si="289">VI3*MAX(0,VG3-VE3)</f>
        <v>320</v>
      </c>
      <c r="VK3" s="19">
        <f ca="1">(VJ3/VJ$37)*MIN(VI$40,VJ$37)</f>
        <v>320</v>
      </c>
      <c r="VL3" s="100">
        <f t="shared" ref="VL3:VL29" si="290">IF($E3,0,1)</f>
        <v>0</v>
      </c>
      <c r="VM3" s="19">
        <f t="shared" ref="VM3:VM29" ca="1" si="291">VL3*MAX(0,VG3-VE3)</f>
        <v>0</v>
      </c>
      <c r="VN3" s="19">
        <f t="shared" ref="VN3:VN29" ca="1" si="292">MIN(VF3,VM3)</f>
        <v>0</v>
      </c>
      <c r="VO3" s="19">
        <f ca="1">(VN3/VN$37)*MIN(VK$40,VN$37)</f>
        <v>0</v>
      </c>
      <c r="VP3" s="19">
        <f t="shared" ref="VP3:VP29" ca="1" si="293">VE3+VK3+VO3</f>
        <v>640</v>
      </c>
      <c r="VQ3" s="19">
        <f t="shared" ref="VQ3:VQ29" ca="1" si="294">ROUND(MIN(0,VP3-VG3),2)</f>
        <v>0</v>
      </c>
      <c r="VR3" s="19">
        <f t="shared" ref="VR3:VR29" ca="1" si="295">IF(VG3&gt;0,VP3/VG3,"NA")</f>
        <v>1</v>
      </c>
      <c r="VS3" s="12">
        <f t="shared" ref="VS3:VS29" ca="1" si="296">VP3</f>
        <v>640</v>
      </c>
      <c r="VT3" s="79"/>
      <c r="VU3" s="12">
        <f ca="1">VS3+VT3</f>
        <v>640</v>
      </c>
      <c r="VV3" s="18">
        <f t="shared" ref="VV3:VV29" ca="1" si="297">IF(VG3&gt;0,VU3/VG3,"NA")</f>
        <v>1</v>
      </c>
      <c r="VX3" s="11">
        <f t="shared" ref="VX3:VX29" ca="1" si="298">VU3</f>
        <v>640</v>
      </c>
      <c r="VY3" s="11">
        <f ca="1">INDEX(Totals[[#Data],[#Totals],[Car - Note]:[NONTRACKED]],MATCH(VX$1,Totals[Date],0),MATCH($C3,Totals[[#Headers],[Car - Note]:[NONTRACKED]],0))</f>
        <v>-320</v>
      </c>
      <c r="VZ3" s="11">
        <f ca="1">IFERROR(VX3+VY3,VX3)</f>
        <v>320</v>
      </c>
      <c r="WA3" s="11" t="s">
        <v>198</v>
      </c>
      <c r="WB3" s="11">
        <v>640</v>
      </c>
      <c r="WC3" s="11" t="b">
        <f ca="1">IF(VZ3&gt;=WB3,TRUE,FALSE)</f>
        <v>0</v>
      </c>
      <c r="WD3" s="92">
        <f t="shared" ref="WD3:WD29" si="299">IF($E3,1,0)</f>
        <v>1</v>
      </c>
      <c r="WE3" s="11">
        <f t="shared" ref="WE3:WE29" ca="1" si="300">WD3*MAX(0,WB3-VZ3)</f>
        <v>320</v>
      </c>
      <c r="WF3" s="11">
        <f ca="1">(WE3/WE$37)*MIN(WD$40,WE$37)</f>
        <v>320</v>
      </c>
      <c r="WG3" s="92">
        <f t="shared" ref="WG3:WG29" si="301">IF($E3,0,1)</f>
        <v>0</v>
      </c>
      <c r="WH3" s="11">
        <f t="shared" ref="WH3:WH29" ca="1" si="302">WG3*MAX(0,WB3-VZ3)</f>
        <v>0</v>
      </c>
      <c r="WI3" s="11">
        <f t="shared" ref="WI3:WI29" ca="1" si="303">MIN(WA3,WH3)</f>
        <v>0</v>
      </c>
      <c r="WJ3" s="11">
        <f ca="1">(WI3/WI$37)*MIN(WF$40,WI$37)</f>
        <v>0</v>
      </c>
      <c r="WK3" s="11">
        <f t="shared" ref="WK3:WK29" ca="1" si="304">VZ3+WF3+WJ3</f>
        <v>640</v>
      </c>
      <c r="WL3" s="11">
        <f t="shared" ref="WL3:WL29" ca="1" si="305">ROUND(MIN(0,WK3-WB3),2)</f>
        <v>0</v>
      </c>
      <c r="WM3" s="11">
        <f t="shared" ref="WM3:WM29" ca="1" si="306">IF(WB3&gt;0,WK3/WB3,"NA")</f>
        <v>1</v>
      </c>
      <c r="WN3" s="12">
        <f t="shared" ref="WN3:WN29" ca="1" si="307">WK3</f>
        <v>640</v>
      </c>
      <c r="WO3" s="79"/>
      <c r="WP3" s="12">
        <f ca="1">WN3+WO3</f>
        <v>640</v>
      </c>
      <c r="WQ3" s="18">
        <f t="shared" ref="WQ3:WQ29" ca="1" si="308">IF(WB3&gt;0,WP3/WB3,"NA")</f>
        <v>1</v>
      </c>
      <c r="WS3" s="13">
        <f t="shared" ref="WS3:WS29" ca="1" si="309">WP3</f>
        <v>640</v>
      </c>
      <c r="WT3" s="13">
        <f ca="1">INDEX(Totals[[#Data],[#Totals],[Car - Note]:[NONTRACKED]],MATCH(WS$1,Totals[Date],0),MATCH($C3,Totals[[#Headers],[Car - Note]:[NONTRACKED]],0))</f>
        <v>-298.66666666666663</v>
      </c>
      <c r="WU3" s="13">
        <f ca="1">IFERROR(WS3+WT3,WS3)</f>
        <v>341.33333333333337</v>
      </c>
      <c r="WV3" s="13" t="s">
        <v>198</v>
      </c>
      <c r="WW3" s="13">
        <v>640</v>
      </c>
      <c r="WX3" s="13" t="b">
        <f ca="1">IF(WU3&gt;=WW3,TRUE,FALSE)</f>
        <v>0</v>
      </c>
      <c r="WY3" s="94">
        <f t="shared" ref="WY3:WY29" si="310">IF($E3,1,0)</f>
        <v>1</v>
      </c>
      <c r="WZ3" s="13">
        <f t="shared" ref="WZ3:WZ29" ca="1" si="311">WY3*MAX(0,WW3-WU3)</f>
        <v>298.66666666666663</v>
      </c>
      <c r="XA3" s="13">
        <f ca="1">(WZ3/WZ$37)*MIN(WY$40,WZ$37)</f>
        <v>298.66666666666663</v>
      </c>
      <c r="XB3" s="94">
        <f t="shared" ref="XB3:XB29" si="312">IF($E3,0,1)</f>
        <v>0</v>
      </c>
      <c r="XC3" s="13">
        <f t="shared" ref="XC3:XC29" ca="1" si="313">XB3*MAX(0,WW3-WU3)</f>
        <v>0</v>
      </c>
      <c r="XD3" s="13">
        <f t="shared" ref="XD3:XD29" ca="1" si="314">MIN(WV3,XC3)</f>
        <v>0</v>
      </c>
      <c r="XE3" s="13">
        <f ca="1">(XD3/XD$37)*MIN(XA$40,XD$37)</f>
        <v>0</v>
      </c>
      <c r="XF3" s="13">
        <f t="shared" ref="XF3:XF29" ca="1" si="315">WU3+XA3+XE3</f>
        <v>640</v>
      </c>
      <c r="XG3" s="13">
        <f t="shared" ref="XG3:XG29" ca="1" si="316">ROUND(MIN(0,XF3-WW3),2)</f>
        <v>0</v>
      </c>
      <c r="XH3" s="13">
        <f t="shared" ref="XH3:XH29" ca="1" si="317">IF(WW3&gt;0,XF3/WW3,"NA")</f>
        <v>1</v>
      </c>
      <c r="XI3" s="12">
        <f t="shared" ref="XI3:XI29" ca="1" si="318">XF3</f>
        <v>640</v>
      </c>
      <c r="XJ3" s="104">
        <f t="shared" ref="XJ3:XJ12" ca="1" si="319">WW3-XI3</f>
        <v>0</v>
      </c>
      <c r="XK3" s="12">
        <f ca="1">XI3+XJ3</f>
        <v>640</v>
      </c>
      <c r="XL3" s="18">
        <f t="shared" ref="XL3:XL29" ca="1" si="320">IF(WW3&gt;0,XK3/WW3,"NA")</f>
        <v>1</v>
      </c>
      <c r="XN3">
        <v>0.1</v>
      </c>
      <c r="XO3" s="103">
        <f ca="1">WP3*XN3</f>
        <v>64</v>
      </c>
      <c r="XP3" s="12">
        <f ca="1">WP3-XO3</f>
        <v>576</v>
      </c>
      <c r="XQ3" s="102">
        <f ca="1">IF(WB3&gt;0,XP3/WB3,"NA")</f>
        <v>0.9</v>
      </c>
    </row>
    <row r="4" spans="1:641" x14ac:dyDescent="0.25">
      <c r="A4" s="112"/>
      <c r="B4" t="s">
        <v>15</v>
      </c>
      <c r="C4" t="s">
        <v>241</v>
      </c>
      <c r="D4" s="79">
        <v>-200</v>
      </c>
      <c r="E4" t="b">
        <f>TRUE</f>
        <v>1</v>
      </c>
      <c r="H4" s="48">
        <v>120</v>
      </c>
      <c r="I4" s="48"/>
      <c r="J4" s="48"/>
      <c r="K4" s="48" t="s">
        <v>198</v>
      </c>
      <c r="L4" s="95">
        <v>120</v>
      </c>
      <c r="M4" s="48"/>
      <c r="N4" s="96"/>
      <c r="O4" s="48"/>
      <c r="P4" s="48"/>
      <c r="Q4" s="96"/>
      <c r="R4" s="48"/>
      <c r="S4" s="48"/>
      <c r="T4" s="48"/>
      <c r="U4" s="48"/>
      <c r="V4" s="48"/>
      <c r="W4" s="48"/>
      <c r="X4" s="48"/>
      <c r="Y4" s="48"/>
      <c r="Z4" s="48">
        <f t="shared" ref="Z4:Z29" si="321">H4</f>
        <v>120</v>
      </c>
      <c r="AA4" s="98">
        <f t="shared" si="0"/>
        <v>1</v>
      </c>
      <c r="AC4" s="11">
        <f t="shared" si="1"/>
        <v>120</v>
      </c>
      <c r="AD4" s="11">
        <f ca="1">INDEX(Totals[[#Data],[#Totals],[Car - Note]:[NONTRACKED]],MATCH(AC$1,Totals[Date],0),MATCH($C4,Totals[[#Headers],[Car - Note]:[NONTRACKED]],0))</f>
        <v>-113.22</v>
      </c>
      <c r="AE4" s="11">
        <f t="shared" ref="AE4:AE29" ca="1" si="322">IFERROR(AC4+AD4,AC4)</f>
        <v>6.7800000000000011</v>
      </c>
      <c r="AF4" s="11" t="s">
        <v>198</v>
      </c>
      <c r="AG4" s="11">
        <v>200</v>
      </c>
      <c r="AH4" s="11" t="b">
        <f t="shared" ref="AH4:AH29" ca="1" si="323">IF(AE4&gt;=AG4,TRUE,FALSE)</f>
        <v>0</v>
      </c>
      <c r="AI4" s="92">
        <f t="shared" si="2"/>
        <v>1</v>
      </c>
      <c r="AJ4" s="11">
        <f t="shared" ca="1" si="3"/>
        <v>193.22</v>
      </c>
      <c r="AK4" s="11">
        <f t="shared" ref="AK4:AK29" ca="1" si="324">(AJ4/AJ$37)*MIN(AI$40,AJ$37)</f>
        <v>193.22</v>
      </c>
      <c r="AL4" s="92">
        <f t="shared" si="4"/>
        <v>0</v>
      </c>
      <c r="AM4" s="11">
        <f t="shared" ca="1" si="5"/>
        <v>0</v>
      </c>
      <c r="AN4" s="11">
        <f t="shared" ca="1" si="6"/>
        <v>0</v>
      </c>
      <c r="AO4" s="11">
        <f t="shared" ref="AO4:AO29" ca="1" si="325">(AN4/AN$37)*MIN(AK$40,AN$37)</f>
        <v>0</v>
      </c>
      <c r="AP4" s="11">
        <f t="shared" ca="1" si="7"/>
        <v>200</v>
      </c>
      <c r="AQ4" s="11">
        <f t="shared" ca="1" si="8"/>
        <v>0</v>
      </c>
      <c r="AR4" s="11">
        <f t="shared" ca="1" si="9"/>
        <v>1</v>
      </c>
      <c r="AS4" s="12">
        <f t="shared" ca="1" si="10"/>
        <v>200</v>
      </c>
      <c r="AT4" s="12"/>
      <c r="AU4" s="12">
        <f t="shared" ref="AU4:AU29" ca="1" si="326">AS4+AT4</f>
        <v>200</v>
      </c>
      <c r="AV4" s="18">
        <f t="shared" ca="1" si="11"/>
        <v>1</v>
      </c>
      <c r="AX4" s="13">
        <f t="shared" ca="1" si="12"/>
        <v>200</v>
      </c>
      <c r="AY4" s="13">
        <f ca="1">INDEX(Totals[[#Data],[#Totals],[Car - Note]:[NONTRACKED]],MATCH(AX$1,Totals[Date],0),MATCH($C4,Totals[[#Headers],[Car - Note]:[NONTRACKED]],0))</f>
        <v>-59.029666666666671</v>
      </c>
      <c r="AZ4" s="13">
        <f t="shared" ref="AZ4:AZ29" ca="1" si="327">IFERROR(AX4+AY4,AX4)</f>
        <v>140.97033333333331</v>
      </c>
      <c r="BA4" s="13" t="s">
        <v>198</v>
      </c>
      <c r="BB4" s="13">
        <v>200</v>
      </c>
      <c r="BC4" s="13" t="b">
        <f t="shared" ref="BC4:BC29" ca="1" si="328">IF(AZ4&gt;=BB4,TRUE,FALSE)</f>
        <v>0</v>
      </c>
      <c r="BD4" s="94">
        <f t="shared" si="13"/>
        <v>1</v>
      </c>
      <c r="BE4" s="13">
        <f t="shared" ca="1" si="14"/>
        <v>59.029666666666685</v>
      </c>
      <c r="BF4" s="13">
        <f t="shared" ref="BF4:BF29" ca="1" si="329">(BE4/BE$37)*MIN(BD$40,BE$37)</f>
        <v>59.029666666666678</v>
      </c>
      <c r="BG4" s="94">
        <f t="shared" si="15"/>
        <v>0</v>
      </c>
      <c r="BH4" s="13">
        <f t="shared" ca="1" si="16"/>
        <v>0</v>
      </c>
      <c r="BI4" s="13">
        <f t="shared" ca="1" si="17"/>
        <v>0</v>
      </c>
      <c r="BJ4" s="13">
        <f t="shared" ref="BJ4:BJ29" ca="1" si="330">(BI4/BI$37)*MIN(BF$40,BI$37)</f>
        <v>0</v>
      </c>
      <c r="BK4" s="13">
        <f t="shared" ca="1" si="18"/>
        <v>200</v>
      </c>
      <c r="BL4" s="13">
        <f t="shared" ca="1" si="19"/>
        <v>0</v>
      </c>
      <c r="BM4" s="13">
        <f t="shared" ca="1" si="20"/>
        <v>1</v>
      </c>
      <c r="BN4" s="12">
        <f t="shared" ca="1" si="21"/>
        <v>200</v>
      </c>
      <c r="BO4" s="12"/>
      <c r="BP4" s="12">
        <f t="shared" ref="BP4:BP29" ca="1" si="331">BN4+BO4</f>
        <v>200</v>
      </c>
      <c r="BQ4" s="18">
        <f t="shared" ca="1" si="22"/>
        <v>1</v>
      </c>
      <c r="BS4" s="19">
        <f t="shared" ca="1" si="23"/>
        <v>200</v>
      </c>
      <c r="BT4" s="19">
        <f ca="1">INDEX(Totals[[#Data],[#Totals],[Car - Note]:[NONTRACKED]],MATCH(BS$1,Totals[Date],0),MATCH($C4,Totals[[#Headers],[Car - Note]:[NONTRACKED]],0))</f>
        <v>-141.30033333333336</v>
      </c>
      <c r="BU4" s="19">
        <f t="shared" ref="BU4:BU29" ca="1" si="332">IFERROR(BS4+BT4,BS4)</f>
        <v>58.699666666666644</v>
      </c>
      <c r="BV4" s="19" t="s">
        <v>198</v>
      </c>
      <c r="BW4" s="19">
        <v>200</v>
      </c>
      <c r="BX4" s="19" t="b">
        <f t="shared" ref="BX4:BX29" ca="1" si="333">IF(BU4&gt;=BW4,TRUE,FALSE)</f>
        <v>0</v>
      </c>
      <c r="BY4" s="100">
        <f t="shared" si="24"/>
        <v>1</v>
      </c>
      <c r="BZ4" s="19">
        <f t="shared" ca="1" si="25"/>
        <v>141.30033333333336</v>
      </c>
      <c r="CA4" s="19">
        <f t="shared" ref="CA4:CA29" ca="1" si="334">(BZ4/BZ$37)*MIN(BY$40,BZ$37)</f>
        <v>141.30033333333336</v>
      </c>
      <c r="CB4" s="100">
        <f t="shared" si="26"/>
        <v>0</v>
      </c>
      <c r="CC4" s="19">
        <f t="shared" ca="1" si="27"/>
        <v>0</v>
      </c>
      <c r="CD4" s="19">
        <f t="shared" ca="1" si="28"/>
        <v>0</v>
      </c>
      <c r="CE4" s="19">
        <f t="shared" ref="CE4:CE29" ca="1" si="335">(CD4/CD$37)*MIN(CA$40,CD$37)</f>
        <v>0</v>
      </c>
      <c r="CF4" s="19">
        <f t="shared" ca="1" si="29"/>
        <v>200</v>
      </c>
      <c r="CG4" s="19">
        <f t="shared" ca="1" si="30"/>
        <v>0</v>
      </c>
      <c r="CH4" s="19">
        <f t="shared" ca="1" si="31"/>
        <v>1</v>
      </c>
      <c r="CI4" s="12">
        <f t="shared" ca="1" si="32"/>
        <v>200</v>
      </c>
      <c r="CJ4" s="12"/>
      <c r="CK4" s="12">
        <f t="shared" ref="CK4:CK29" ca="1" si="336">CI4+CJ4</f>
        <v>200</v>
      </c>
      <c r="CL4" s="18">
        <f t="shared" ca="1" si="33"/>
        <v>1</v>
      </c>
      <c r="CN4" s="11">
        <f t="shared" ca="1" si="34"/>
        <v>200</v>
      </c>
      <c r="CO4" s="11">
        <f ca="1">INDEX(Totals[[#Data],[#Totals],[Car - Note]:[NONTRACKED]],MATCH(CN$1,Totals[Date],0),MATCH($C4,Totals[[#Headers],[Car - Note]:[NONTRACKED]],0))</f>
        <v>-81.85799999999999</v>
      </c>
      <c r="CP4" s="11">
        <f t="shared" ref="CP4:CP29" ca="1" si="337">IFERROR(CN4+CO4,CN4)</f>
        <v>118.14200000000001</v>
      </c>
      <c r="CQ4" s="11" t="s">
        <v>198</v>
      </c>
      <c r="CR4" s="11">
        <v>400</v>
      </c>
      <c r="CS4" s="11" t="b">
        <f t="shared" ref="CS4:CS29" ca="1" si="338">IF(CP4&gt;=CR4,TRUE,FALSE)</f>
        <v>0</v>
      </c>
      <c r="CT4" s="92">
        <f t="shared" si="35"/>
        <v>1</v>
      </c>
      <c r="CU4" s="11">
        <f t="shared" ca="1" si="36"/>
        <v>281.858</v>
      </c>
      <c r="CV4" s="11">
        <f t="shared" ref="CV4:CV29" ca="1" si="339">(CU4/CU$37)*MIN(CT$40,CU$37)</f>
        <v>281.858</v>
      </c>
      <c r="CW4" s="92">
        <f t="shared" si="37"/>
        <v>0</v>
      </c>
      <c r="CX4" s="11">
        <f t="shared" ca="1" si="38"/>
        <v>0</v>
      </c>
      <c r="CY4" s="11">
        <f t="shared" ca="1" si="39"/>
        <v>0</v>
      </c>
      <c r="CZ4" s="11">
        <f t="shared" ref="CZ4:CZ29" ca="1" si="340">(CY4/CY$37)*MIN(CV$40,CY$37)</f>
        <v>0</v>
      </c>
      <c r="DA4" s="11">
        <f t="shared" ca="1" si="40"/>
        <v>400</v>
      </c>
      <c r="DB4" s="11">
        <f t="shared" ca="1" si="41"/>
        <v>0</v>
      </c>
      <c r="DC4" s="11">
        <f t="shared" ca="1" si="42"/>
        <v>1</v>
      </c>
      <c r="DD4" s="12">
        <f t="shared" ca="1" si="43"/>
        <v>400</v>
      </c>
      <c r="DE4" s="79"/>
      <c r="DF4" s="12">
        <f t="shared" ref="DF4:DF29" ca="1" si="341">DD4+DE4</f>
        <v>400</v>
      </c>
      <c r="DG4" s="18">
        <f t="shared" ca="1" si="44"/>
        <v>1</v>
      </c>
      <c r="DI4" s="13">
        <f t="shared" ca="1" si="45"/>
        <v>400</v>
      </c>
      <c r="DJ4" s="13">
        <f ca="1">INDEX(Totals[[#Data],[#Totals],[Car - Note]:[NONTRACKED]],MATCH(DI$1,Totals[Date],0),MATCH($C4,Totals[[#Headers],[Car - Note]:[NONTRACKED]],0))</f>
        <v>-183.72733333333332</v>
      </c>
      <c r="DK4" s="13">
        <f t="shared" ref="DK4:DK29" ca="1" si="342">IFERROR(DI4+DJ4,DI4)</f>
        <v>216.27266666666668</v>
      </c>
      <c r="DL4" s="13" t="s">
        <v>198</v>
      </c>
      <c r="DM4" s="13">
        <v>400</v>
      </c>
      <c r="DN4" s="13" t="b">
        <f t="shared" ref="DN4:DN29" ca="1" si="343">IF(DK4&gt;=DM4,TRUE,FALSE)</f>
        <v>0</v>
      </c>
      <c r="DO4" s="94">
        <f t="shared" si="46"/>
        <v>1</v>
      </c>
      <c r="DP4" s="13">
        <f t="shared" ca="1" si="47"/>
        <v>183.72733333333332</v>
      </c>
      <c r="DQ4" s="13">
        <f t="shared" ref="DQ4:DQ29" ca="1" si="344">(DP4/DP$37)*MIN(DO$40,DP$37)</f>
        <v>183.72733333333335</v>
      </c>
      <c r="DR4" s="94">
        <f t="shared" si="48"/>
        <v>0</v>
      </c>
      <c r="DS4" s="13">
        <f t="shared" ca="1" si="49"/>
        <v>0</v>
      </c>
      <c r="DT4" s="13">
        <f t="shared" ca="1" si="50"/>
        <v>0</v>
      </c>
      <c r="DU4" s="13">
        <f t="shared" ref="DU4:DU29" ca="1" si="345">(DT4/DT$37)*MIN(DQ$40,DT$37)</f>
        <v>0</v>
      </c>
      <c r="DV4" s="13">
        <f t="shared" ca="1" si="51"/>
        <v>400</v>
      </c>
      <c r="DW4" s="13">
        <f t="shared" ca="1" si="52"/>
        <v>0</v>
      </c>
      <c r="DX4" s="13">
        <f t="shared" ca="1" si="53"/>
        <v>1</v>
      </c>
      <c r="DY4" s="12">
        <f t="shared" ca="1" si="54"/>
        <v>400</v>
      </c>
      <c r="DZ4" s="79"/>
      <c r="EA4" s="12">
        <f t="shared" ref="EA4:EA29" ca="1" si="346">DY4+DZ4</f>
        <v>400</v>
      </c>
      <c r="EB4" s="18">
        <f t="shared" ca="1" si="55"/>
        <v>1</v>
      </c>
      <c r="ED4" s="19">
        <f t="shared" ca="1" si="56"/>
        <v>400</v>
      </c>
      <c r="EE4" s="19">
        <f ca="1">INDEX(Totals[[#Data],[#Totals],[Car - Note]:[NONTRACKED]],MATCH(ED$1,Totals[Date],0),MATCH($C4,Totals[[#Headers],[Car - Note]:[NONTRACKED]],0))</f>
        <v>-215.30699999999999</v>
      </c>
      <c r="EF4" s="19">
        <f t="shared" ref="EF4:EF29" ca="1" si="347">IFERROR(ED4+EE4,ED4)</f>
        <v>184.69300000000001</v>
      </c>
      <c r="EG4" s="19" t="s">
        <v>198</v>
      </c>
      <c r="EH4" s="19">
        <v>400</v>
      </c>
      <c r="EI4" s="19" t="b">
        <f t="shared" ref="EI4:EI29" ca="1" si="348">IF(EF4&gt;=EH4,TRUE,FALSE)</f>
        <v>0</v>
      </c>
      <c r="EJ4" s="100">
        <f t="shared" si="57"/>
        <v>1</v>
      </c>
      <c r="EK4" s="19">
        <f t="shared" ca="1" si="58"/>
        <v>215.30699999999999</v>
      </c>
      <c r="EL4" s="19">
        <f t="shared" ref="EL4:EL29" ca="1" si="349">(EK4/EK$37)*MIN(EJ$40,EK$37)</f>
        <v>215.30699999999999</v>
      </c>
      <c r="EM4" s="100">
        <f t="shared" si="59"/>
        <v>0</v>
      </c>
      <c r="EN4" s="19">
        <f t="shared" ca="1" si="60"/>
        <v>0</v>
      </c>
      <c r="EO4" s="19">
        <f t="shared" ca="1" si="61"/>
        <v>0</v>
      </c>
      <c r="EP4" s="19">
        <f t="shared" ref="EP4:EP29" ca="1" si="350">(EO4/EO$37)*MIN(EL$40,EO$37)</f>
        <v>0</v>
      </c>
      <c r="EQ4" s="19">
        <f t="shared" ca="1" si="62"/>
        <v>400</v>
      </c>
      <c r="ER4" s="19">
        <f t="shared" ca="1" si="63"/>
        <v>0</v>
      </c>
      <c r="ES4" s="19">
        <f t="shared" ca="1" si="64"/>
        <v>1</v>
      </c>
      <c r="ET4" s="12">
        <f t="shared" ca="1" si="65"/>
        <v>400</v>
      </c>
      <c r="EU4" s="79"/>
      <c r="EV4" s="12">
        <f t="shared" ref="EV4:EV29" ca="1" si="351">ET4+EU4</f>
        <v>400</v>
      </c>
      <c r="EW4" s="18">
        <f t="shared" ca="1" si="66"/>
        <v>1</v>
      </c>
      <c r="EY4" s="11">
        <f t="shared" ca="1" si="67"/>
        <v>400</v>
      </c>
      <c r="EZ4" s="11">
        <f ca="1">INDEX(Totals[[#Data],[#Totals],[Car - Note]:[NONTRACKED]],MATCH(EY$1,Totals[Date],0),MATCH($C4,Totals[[#Headers],[Car - Note]:[NONTRACKED]],0))</f>
        <v>-255.17866666666666</v>
      </c>
      <c r="FA4" s="11">
        <f t="shared" ref="FA4:FA29" ca="1" si="352">IFERROR(EY4+EZ4,EY4)</f>
        <v>144.82133333333334</v>
      </c>
      <c r="FB4" s="11" t="s">
        <v>198</v>
      </c>
      <c r="FC4" s="11">
        <v>400</v>
      </c>
      <c r="FD4" s="11" t="b">
        <f t="shared" ref="FD4:FD29" ca="1" si="353">IF(FA4&gt;=FC4,TRUE,FALSE)</f>
        <v>0</v>
      </c>
      <c r="FE4" s="92">
        <f t="shared" si="68"/>
        <v>1</v>
      </c>
      <c r="FF4" s="11">
        <f t="shared" ca="1" si="69"/>
        <v>255.17866666666666</v>
      </c>
      <c r="FG4" s="11">
        <f t="shared" ref="FG4:FG29" ca="1" si="354">(FF4/FF$37)*MIN(FE$40,FF$37)</f>
        <v>255.17866666666666</v>
      </c>
      <c r="FH4" s="92">
        <f t="shared" si="70"/>
        <v>0</v>
      </c>
      <c r="FI4" s="11">
        <f t="shared" ca="1" si="71"/>
        <v>0</v>
      </c>
      <c r="FJ4" s="11">
        <f t="shared" ca="1" si="72"/>
        <v>0</v>
      </c>
      <c r="FK4" s="11">
        <f t="shared" ref="FK4:FK29" ca="1" si="355">(FJ4/FJ$37)*MIN(FG$40,FJ$37)</f>
        <v>0</v>
      </c>
      <c r="FL4" s="11">
        <f t="shared" ca="1" si="73"/>
        <v>400</v>
      </c>
      <c r="FM4" s="11">
        <f t="shared" ca="1" si="74"/>
        <v>0</v>
      </c>
      <c r="FN4" s="11">
        <f t="shared" ca="1" si="75"/>
        <v>1</v>
      </c>
      <c r="FO4" s="12">
        <f t="shared" ca="1" si="76"/>
        <v>400</v>
      </c>
      <c r="FP4" s="79"/>
      <c r="FQ4" s="12">
        <f t="shared" ref="FQ4:FQ29" ca="1" si="356">FO4+FP4</f>
        <v>400</v>
      </c>
      <c r="FR4" s="18">
        <f t="shared" ca="1" si="77"/>
        <v>1</v>
      </c>
      <c r="FT4" s="13">
        <f t="shared" ca="1" si="78"/>
        <v>400</v>
      </c>
      <c r="FU4" s="13">
        <f ca="1">INDEX(Totals[[#Data],[#Totals],[Car - Note]:[NONTRACKED]],MATCH(FT$1,Totals[Date],0),MATCH($C4,Totals[[#Headers],[Car - Note]:[NONTRACKED]],0))</f>
        <v>-223.28133333333332</v>
      </c>
      <c r="FV4" s="13">
        <f t="shared" ref="FV4:FV29" ca="1" si="357">IFERROR(FT4+FU4,FT4)</f>
        <v>176.71866666666668</v>
      </c>
      <c r="FW4" s="13" t="s">
        <v>198</v>
      </c>
      <c r="FX4" s="13">
        <v>400</v>
      </c>
      <c r="FY4" s="13" t="b">
        <f t="shared" ref="FY4:FY29" ca="1" si="358">IF(FV4&gt;=FX4,TRUE,FALSE)</f>
        <v>0</v>
      </c>
      <c r="FZ4" s="94">
        <f t="shared" si="79"/>
        <v>1</v>
      </c>
      <c r="GA4" s="13">
        <f t="shared" ca="1" si="80"/>
        <v>223.28133333333332</v>
      </c>
      <c r="GB4" s="13">
        <f t="shared" ref="GB4:GB29" ca="1" si="359">(GA4/GA$37)*MIN(FZ$40,GA$37)</f>
        <v>223.28133333333332</v>
      </c>
      <c r="GC4" s="94">
        <f t="shared" si="81"/>
        <v>0</v>
      </c>
      <c r="GD4" s="13">
        <f t="shared" ca="1" si="82"/>
        <v>0</v>
      </c>
      <c r="GE4" s="13">
        <f t="shared" ca="1" si="83"/>
        <v>0</v>
      </c>
      <c r="GF4" s="13">
        <f t="shared" ref="GF4:GF29" ca="1" si="360">(GE4/GE$37)*MIN(GB$40,GE$37)</f>
        <v>0</v>
      </c>
      <c r="GG4" s="13">
        <f t="shared" ca="1" si="84"/>
        <v>400</v>
      </c>
      <c r="GH4" s="13">
        <f t="shared" ca="1" si="85"/>
        <v>0</v>
      </c>
      <c r="GI4" s="13">
        <f t="shared" ca="1" si="86"/>
        <v>1</v>
      </c>
      <c r="GJ4" s="12">
        <f t="shared" ca="1" si="87"/>
        <v>400</v>
      </c>
      <c r="GK4" s="79"/>
      <c r="GL4" s="12">
        <f t="shared" ref="GL4:GL29" ca="1" si="361">GJ4+GK4</f>
        <v>400</v>
      </c>
      <c r="GM4" s="18">
        <f t="shared" ca="1" si="88"/>
        <v>1</v>
      </c>
      <c r="GO4" s="19">
        <f t="shared" ca="1" si="89"/>
        <v>400</v>
      </c>
      <c r="GP4" s="19">
        <f ca="1">INDEX(Totals[[#Data],[#Totals],[Car - Note]:[NONTRACKED]],MATCH(GO$1,Totals[Date],0),MATCH($C4,Totals[[#Headers],[Car - Note]:[NONTRACKED]],0))</f>
        <v>-247.22433333333333</v>
      </c>
      <c r="GQ4" s="19">
        <f t="shared" ref="GQ4:GQ29" ca="1" si="362">IFERROR(GO4+GP4,GO4)</f>
        <v>152.77566666666667</v>
      </c>
      <c r="GR4" s="19" t="s">
        <v>198</v>
      </c>
      <c r="GS4" s="19">
        <v>400</v>
      </c>
      <c r="GT4" s="19" t="b">
        <f t="shared" ref="GT4:GT29" ca="1" si="363">IF(GQ4&gt;=GS4,TRUE,FALSE)</f>
        <v>0</v>
      </c>
      <c r="GU4" s="100">
        <f t="shared" si="90"/>
        <v>1</v>
      </c>
      <c r="GV4" s="19">
        <f t="shared" ca="1" si="91"/>
        <v>247.22433333333333</v>
      </c>
      <c r="GW4" s="19">
        <f t="shared" ref="GW4:GW29" ca="1" si="364">(GV4/GV$37)*MIN(GU$40,GV$37)</f>
        <v>247.22433333333333</v>
      </c>
      <c r="GX4" s="100">
        <f t="shared" si="92"/>
        <v>0</v>
      </c>
      <c r="GY4" s="19">
        <f t="shared" ca="1" si="93"/>
        <v>0</v>
      </c>
      <c r="GZ4" s="19">
        <f t="shared" ca="1" si="94"/>
        <v>0</v>
      </c>
      <c r="HA4" s="19">
        <f t="shared" ref="HA4:HA29" ca="1" si="365">(GZ4/GZ$37)*MIN(GW$40,GZ$37)</f>
        <v>0</v>
      </c>
      <c r="HB4" s="19">
        <f t="shared" ca="1" si="95"/>
        <v>400</v>
      </c>
      <c r="HC4" s="19">
        <f t="shared" ca="1" si="96"/>
        <v>0</v>
      </c>
      <c r="HD4" s="19">
        <f t="shared" ca="1" si="97"/>
        <v>1</v>
      </c>
      <c r="HE4" s="12">
        <f t="shared" ca="1" si="98"/>
        <v>400</v>
      </c>
      <c r="HF4" s="79"/>
      <c r="HG4" s="12">
        <f t="shared" ref="HG4:HG29" ca="1" si="366">HE4+HF4</f>
        <v>400</v>
      </c>
      <c r="HH4" s="18">
        <f t="shared" ca="1" si="99"/>
        <v>1</v>
      </c>
      <c r="HJ4" s="11">
        <f t="shared" ca="1" si="100"/>
        <v>400</v>
      </c>
      <c r="HK4" s="11">
        <f ca="1">INDEX(Totals[[#Data],[#Totals],[Car - Note]:[NONTRACKED]],MATCH(HJ$1,Totals[Date],0),MATCH($C4,Totals[[#Headers],[Car - Note]:[NONTRACKED]],0))</f>
        <v>-221.16733333333332</v>
      </c>
      <c r="HL4" s="11">
        <f t="shared" ref="HL4:HL29" ca="1" si="367">IFERROR(HJ4+HK4,HJ4)</f>
        <v>178.83266666666668</v>
      </c>
      <c r="HM4" s="11" t="s">
        <v>198</v>
      </c>
      <c r="HN4" s="11">
        <v>400</v>
      </c>
      <c r="HO4" s="11" t="b">
        <f t="shared" ref="HO4:HO29" ca="1" si="368">IF(HL4&gt;=HN4,TRUE,FALSE)</f>
        <v>0</v>
      </c>
      <c r="HP4" s="92">
        <f t="shared" si="101"/>
        <v>1</v>
      </c>
      <c r="HQ4" s="11">
        <f t="shared" ca="1" si="102"/>
        <v>221.16733333333332</v>
      </c>
      <c r="HR4" s="11">
        <f t="shared" ref="HR4:HR29" ca="1" si="369">(HQ4/HQ$37)*MIN(HP$40,HQ$37)</f>
        <v>221.16733333333332</v>
      </c>
      <c r="HS4" s="92">
        <f t="shared" si="103"/>
        <v>0</v>
      </c>
      <c r="HT4" s="11">
        <f t="shared" ca="1" si="104"/>
        <v>0</v>
      </c>
      <c r="HU4" s="11">
        <f t="shared" ca="1" si="105"/>
        <v>0</v>
      </c>
      <c r="HV4" s="11">
        <f t="shared" ref="HV4:HV29" ca="1" si="370">(HU4/HU$37)*MIN(HR$40,HU$37)</f>
        <v>0</v>
      </c>
      <c r="HW4" s="11">
        <f t="shared" ca="1" si="106"/>
        <v>400</v>
      </c>
      <c r="HX4" s="11">
        <f t="shared" ca="1" si="107"/>
        <v>0</v>
      </c>
      <c r="HY4" s="11">
        <f t="shared" ca="1" si="108"/>
        <v>1</v>
      </c>
      <c r="HZ4" s="12">
        <f t="shared" ca="1" si="109"/>
        <v>400</v>
      </c>
      <c r="IA4" s="79"/>
      <c r="IB4" s="12">
        <f t="shared" ref="IB4:IB29" ca="1" si="371">HZ4+IA4</f>
        <v>400</v>
      </c>
      <c r="IC4" s="18">
        <f t="shared" ca="1" si="110"/>
        <v>1</v>
      </c>
      <c r="IE4" s="13">
        <f t="shared" ca="1" si="111"/>
        <v>400</v>
      </c>
      <c r="IF4" s="13">
        <f ca="1">INDEX(Totals[[#Data],[#Totals],[Car - Note]:[NONTRACKED]],MATCH(IE$1,Totals[Date],0),MATCH($C4,Totals[[#Headers],[Car - Note]:[NONTRACKED]],0))</f>
        <v>-175.084</v>
      </c>
      <c r="IG4" s="13">
        <f t="shared" ref="IG4:IG29" ca="1" si="372">IFERROR(IE4+IF4,IE4)</f>
        <v>224.916</v>
      </c>
      <c r="IH4" s="13" t="s">
        <v>198</v>
      </c>
      <c r="II4" s="13">
        <v>400</v>
      </c>
      <c r="IJ4" s="13" t="b">
        <f t="shared" ref="IJ4:IJ29" ca="1" si="373">IF(IG4&gt;=II4,TRUE,FALSE)</f>
        <v>0</v>
      </c>
      <c r="IK4" s="94">
        <f t="shared" si="112"/>
        <v>1</v>
      </c>
      <c r="IL4" s="13">
        <f t="shared" ca="1" si="113"/>
        <v>175.084</v>
      </c>
      <c r="IM4" s="13">
        <f t="shared" ref="IM4:IM29" ca="1" si="374">(IL4/IL$37)*MIN(IK$40,IL$37)</f>
        <v>175.084</v>
      </c>
      <c r="IN4" s="94">
        <f t="shared" si="114"/>
        <v>0</v>
      </c>
      <c r="IO4" s="13">
        <f t="shared" ca="1" si="115"/>
        <v>0</v>
      </c>
      <c r="IP4" s="13">
        <f t="shared" ca="1" si="116"/>
        <v>0</v>
      </c>
      <c r="IQ4" s="13">
        <f t="shared" ref="IQ4:IQ29" ca="1" si="375">(IP4/IP$37)*MIN(IM$40,IP$37)</f>
        <v>0</v>
      </c>
      <c r="IR4" s="13">
        <f t="shared" ca="1" si="117"/>
        <v>400</v>
      </c>
      <c r="IS4" s="13">
        <f t="shared" ca="1" si="118"/>
        <v>0</v>
      </c>
      <c r="IT4" s="13">
        <f t="shared" ca="1" si="119"/>
        <v>1</v>
      </c>
      <c r="IU4" s="12">
        <f t="shared" ca="1" si="120"/>
        <v>400</v>
      </c>
      <c r="IV4" s="79"/>
      <c r="IW4" s="12">
        <f t="shared" ref="IW4:IW29" ca="1" si="376">IU4+IV4</f>
        <v>400</v>
      </c>
      <c r="IX4" s="18">
        <f t="shared" ca="1" si="121"/>
        <v>1</v>
      </c>
      <c r="IZ4" s="19">
        <f t="shared" ca="1" si="122"/>
        <v>400</v>
      </c>
      <c r="JA4" s="19">
        <f ca="1">INDEX(Totals[[#Data],[#Totals],[Car - Note]:[NONTRACKED]],MATCH(IZ$1,Totals[Date],0),MATCH($C4,Totals[[#Headers],[Car - Note]:[NONTRACKED]],0))</f>
        <v>-228.95600000000002</v>
      </c>
      <c r="JB4" s="19">
        <f t="shared" ref="JB4:JB29" ca="1" si="377">IFERROR(IZ4+JA4,IZ4)</f>
        <v>171.04399999999998</v>
      </c>
      <c r="JC4" s="19" t="s">
        <v>198</v>
      </c>
      <c r="JD4" s="19">
        <v>400</v>
      </c>
      <c r="JE4" s="19" t="b">
        <f t="shared" ref="JE4:JE29" ca="1" si="378">IF(JB4&gt;=JD4,TRUE,FALSE)</f>
        <v>0</v>
      </c>
      <c r="JF4" s="100">
        <f t="shared" si="123"/>
        <v>1</v>
      </c>
      <c r="JG4" s="19">
        <f t="shared" ca="1" si="124"/>
        <v>228.95600000000002</v>
      </c>
      <c r="JH4" s="19">
        <f t="shared" ref="JH4:JH29" ca="1" si="379">(JG4/JG$37)*MIN(JF$40,JG$37)</f>
        <v>228.95600000000002</v>
      </c>
      <c r="JI4" s="100">
        <f t="shared" si="125"/>
        <v>0</v>
      </c>
      <c r="JJ4" s="19">
        <f t="shared" ca="1" si="126"/>
        <v>0</v>
      </c>
      <c r="JK4" s="19">
        <f t="shared" ca="1" si="127"/>
        <v>0</v>
      </c>
      <c r="JL4" s="19">
        <f t="shared" ref="JL4:JL29" ca="1" si="380">(JK4/JK$37)*MIN(JH$40,JK$37)</f>
        <v>0</v>
      </c>
      <c r="JM4" s="19">
        <f t="shared" ca="1" si="128"/>
        <v>400</v>
      </c>
      <c r="JN4" s="19">
        <f t="shared" ca="1" si="129"/>
        <v>0</v>
      </c>
      <c r="JO4" s="19">
        <f t="shared" ca="1" si="130"/>
        <v>1</v>
      </c>
      <c r="JP4" s="12">
        <f t="shared" ca="1" si="131"/>
        <v>400</v>
      </c>
      <c r="JQ4" s="79"/>
      <c r="JR4" s="12">
        <f t="shared" ref="JR4:JR29" ca="1" si="381">JP4+JQ4</f>
        <v>400</v>
      </c>
      <c r="JS4" s="18">
        <f t="shared" ca="1" si="132"/>
        <v>1</v>
      </c>
      <c r="JU4" s="11">
        <f t="shared" ca="1" si="133"/>
        <v>400</v>
      </c>
      <c r="JV4" s="11">
        <f ca="1">INDEX(Totals[[#Data],[#Totals],[Car - Note]:[NONTRACKED]],MATCH(JU$1,Totals[Date],0),MATCH($C4,Totals[[#Headers],[Car - Note]:[NONTRACKED]],0))</f>
        <v>-202.02</v>
      </c>
      <c r="JW4" s="11">
        <f t="shared" ref="JW4:JW29" ca="1" si="382">IFERROR(JU4+JV4,JU4)</f>
        <v>197.98</v>
      </c>
      <c r="JX4" s="11" t="s">
        <v>198</v>
      </c>
      <c r="JY4" s="11">
        <v>400</v>
      </c>
      <c r="JZ4" s="11" t="b">
        <f t="shared" ref="JZ4:JZ29" ca="1" si="383">IF(JW4&gt;=JY4,TRUE,FALSE)</f>
        <v>0</v>
      </c>
      <c r="KA4" s="92">
        <f t="shared" si="134"/>
        <v>1</v>
      </c>
      <c r="KB4" s="11">
        <f t="shared" ca="1" si="135"/>
        <v>202.02</v>
      </c>
      <c r="KC4" s="11">
        <f t="shared" ref="KC4:KC29" ca="1" si="384">(KB4/KB$37)*MIN(KA$40,KB$37)</f>
        <v>202.02</v>
      </c>
      <c r="KD4" s="92">
        <f t="shared" si="136"/>
        <v>0</v>
      </c>
      <c r="KE4" s="11">
        <f t="shared" ca="1" si="137"/>
        <v>0</v>
      </c>
      <c r="KF4" s="11">
        <f t="shared" ca="1" si="138"/>
        <v>0</v>
      </c>
      <c r="KG4" s="11">
        <f t="shared" ref="KG4:KG29" ca="1" si="385">(KF4/KF$37)*MIN(KC$40,KF$37)</f>
        <v>0</v>
      </c>
      <c r="KH4" s="11">
        <f t="shared" ca="1" si="139"/>
        <v>400</v>
      </c>
      <c r="KI4" s="11">
        <f t="shared" ca="1" si="140"/>
        <v>0</v>
      </c>
      <c r="KJ4" s="11">
        <f t="shared" ca="1" si="141"/>
        <v>1</v>
      </c>
      <c r="KK4" s="12">
        <f t="shared" ca="1" si="142"/>
        <v>400</v>
      </c>
      <c r="KL4" s="79"/>
      <c r="KM4" s="12">
        <f t="shared" ref="KM4:KM29" ca="1" si="386">KK4+KL4</f>
        <v>400</v>
      </c>
      <c r="KN4" s="18">
        <f t="shared" ca="1" si="143"/>
        <v>1</v>
      </c>
      <c r="KP4" s="13">
        <f t="shared" ca="1" si="144"/>
        <v>400</v>
      </c>
      <c r="KQ4" s="13">
        <f ca="1">INDEX(Totals[[#Data],[#Totals],[Car - Note]:[NONTRACKED]],MATCH(KP$1,Totals[Date],0),MATCH($C4,Totals[[#Headers],[Car - Note]:[NONTRACKED]],0))</f>
        <v>-175.11800000000005</v>
      </c>
      <c r="KR4" s="13">
        <f t="shared" ref="KR4:KR29" ca="1" si="387">IFERROR(KP4+KQ4,KP4)</f>
        <v>224.88199999999995</v>
      </c>
      <c r="KS4" s="13" t="s">
        <v>198</v>
      </c>
      <c r="KT4" s="13">
        <v>400</v>
      </c>
      <c r="KU4" s="13" t="b">
        <f t="shared" ref="KU4:KU29" ca="1" si="388">IF(KR4&gt;=KT4,TRUE,FALSE)</f>
        <v>0</v>
      </c>
      <c r="KV4" s="94">
        <f t="shared" si="145"/>
        <v>1</v>
      </c>
      <c r="KW4" s="13">
        <f t="shared" ca="1" si="146"/>
        <v>175.11800000000005</v>
      </c>
      <c r="KX4" s="13">
        <f t="shared" ref="KX4:KX29" ca="1" si="389">(KW4/KW$37)*MIN(KV$40,KW$37)</f>
        <v>175.11800000000005</v>
      </c>
      <c r="KY4" s="94">
        <f t="shared" si="147"/>
        <v>0</v>
      </c>
      <c r="KZ4" s="13">
        <f t="shared" ca="1" si="148"/>
        <v>0</v>
      </c>
      <c r="LA4" s="13">
        <f t="shared" ca="1" si="149"/>
        <v>0</v>
      </c>
      <c r="LB4" s="13">
        <f t="shared" ref="LB4:LB29" ca="1" si="390">(LA4/LA$37)*MIN(KX$40,LA$37)</f>
        <v>0</v>
      </c>
      <c r="LC4" s="13">
        <f t="shared" ca="1" si="150"/>
        <v>400</v>
      </c>
      <c r="LD4" s="13">
        <f t="shared" ca="1" si="151"/>
        <v>0</v>
      </c>
      <c r="LE4" s="13">
        <f t="shared" ca="1" si="152"/>
        <v>1</v>
      </c>
      <c r="LF4" s="12">
        <f t="shared" ca="1" si="153"/>
        <v>400</v>
      </c>
      <c r="LG4" s="79"/>
      <c r="LH4" s="12">
        <f t="shared" ref="LH4:LH29" ca="1" si="391">LF4+LG4</f>
        <v>400</v>
      </c>
      <c r="LI4" s="18">
        <f t="shared" ca="1" si="154"/>
        <v>1</v>
      </c>
      <c r="LK4" s="19">
        <f t="shared" ca="1" si="155"/>
        <v>400</v>
      </c>
      <c r="LL4" s="19">
        <f ca="1">INDEX(Totals[[#Data],[#Totals],[Car - Note]:[NONTRACKED]],MATCH(LK$1,Totals[Date],0),MATCH($C4,Totals[[#Headers],[Car - Note]:[NONTRACKED]],0))</f>
        <v>-221.36133333333333</v>
      </c>
      <c r="LM4" s="19">
        <f t="shared" ref="LM4:LM29" ca="1" si="392">IFERROR(LK4+LL4,LK4)</f>
        <v>178.63866666666667</v>
      </c>
      <c r="LN4" s="19" t="s">
        <v>198</v>
      </c>
      <c r="LO4" s="19">
        <v>400</v>
      </c>
      <c r="LP4" s="19" t="b">
        <f t="shared" ref="LP4:LP29" ca="1" si="393">IF(LM4&gt;=LO4,TRUE,FALSE)</f>
        <v>0</v>
      </c>
      <c r="LQ4" s="100">
        <f t="shared" si="156"/>
        <v>1</v>
      </c>
      <c r="LR4" s="19">
        <f t="shared" ca="1" si="157"/>
        <v>221.36133333333333</v>
      </c>
      <c r="LS4" s="19">
        <f t="shared" ref="LS4:LS29" ca="1" si="394">(LR4/LR$37)*MIN(LQ$40,LR$37)</f>
        <v>221.36133333333333</v>
      </c>
      <c r="LT4" s="100">
        <f t="shared" si="158"/>
        <v>0</v>
      </c>
      <c r="LU4" s="19">
        <f t="shared" ca="1" si="159"/>
        <v>0</v>
      </c>
      <c r="LV4" s="19">
        <f t="shared" ca="1" si="160"/>
        <v>0</v>
      </c>
      <c r="LW4" s="19">
        <f t="shared" ref="LW4:LW29" ca="1" si="395">(LV4/LV$37)*MIN(LS$40,LV$37)</f>
        <v>0</v>
      </c>
      <c r="LX4" s="19">
        <f t="shared" ca="1" si="161"/>
        <v>400</v>
      </c>
      <c r="LY4" s="19">
        <f t="shared" ca="1" si="162"/>
        <v>0</v>
      </c>
      <c r="LZ4" s="19">
        <f t="shared" ca="1" si="163"/>
        <v>1</v>
      </c>
      <c r="MA4" s="12">
        <f t="shared" ca="1" si="164"/>
        <v>400</v>
      </c>
      <c r="MB4" s="79"/>
      <c r="MC4" s="12">
        <f t="shared" ref="MC4:MC29" ca="1" si="396">MA4+MB4</f>
        <v>400</v>
      </c>
      <c r="MD4" s="18">
        <f t="shared" ca="1" si="165"/>
        <v>1</v>
      </c>
      <c r="MF4" s="11">
        <f t="shared" ca="1" si="166"/>
        <v>400</v>
      </c>
      <c r="MG4" s="11">
        <f ca="1">INDEX(Totals[[#Data],[#Totals],[Car - Note]:[NONTRACKED]],MATCH(MF$1,Totals[Date],0),MATCH($C4,Totals[[#Headers],[Car - Note]:[NONTRACKED]],0))</f>
        <v>-215.33</v>
      </c>
      <c r="MH4" s="11">
        <f t="shared" ref="MH4:MH29" ca="1" si="397">IFERROR(MF4+MG4,MF4)</f>
        <v>184.67</v>
      </c>
      <c r="MI4" s="11" t="s">
        <v>198</v>
      </c>
      <c r="MJ4" s="11">
        <v>400</v>
      </c>
      <c r="MK4" s="11" t="b">
        <f t="shared" ref="MK4:MK29" ca="1" si="398">IF(MH4&gt;=MJ4,TRUE,FALSE)</f>
        <v>0</v>
      </c>
      <c r="ML4" s="92">
        <f t="shared" si="167"/>
        <v>1</v>
      </c>
      <c r="MM4" s="11">
        <f t="shared" ca="1" si="168"/>
        <v>215.33</v>
      </c>
      <c r="MN4" s="11">
        <f t="shared" ref="MN4:MN29" ca="1" si="399">(MM4/MM$37)*MIN(ML$40,MM$37)</f>
        <v>215.33</v>
      </c>
      <c r="MO4" s="92">
        <f t="shared" si="169"/>
        <v>0</v>
      </c>
      <c r="MP4" s="11">
        <f t="shared" ca="1" si="170"/>
        <v>0</v>
      </c>
      <c r="MQ4" s="11">
        <f t="shared" ca="1" si="171"/>
        <v>0</v>
      </c>
      <c r="MR4" s="11">
        <f t="shared" ref="MR4:MR29" ca="1" si="400">(MQ4/MQ$37)*MIN(MN$40,MQ$37)</f>
        <v>0</v>
      </c>
      <c r="MS4" s="11">
        <f t="shared" ca="1" si="172"/>
        <v>400</v>
      </c>
      <c r="MT4" s="11">
        <f t="shared" ca="1" si="173"/>
        <v>0</v>
      </c>
      <c r="MU4" s="11">
        <f t="shared" ca="1" si="174"/>
        <v>1</v>
      </c>
      <c r="MV4" s="12">
        <f t="shared" ca="1" si="175"/>
        <v>400</v>
      </c>
      <c r="MW4" s="79"/>
      <c r="MX4" s="12">
        <f t="shared" ref="MX4:MX29" ca="1" si="401">MV4+MW4</f>
        <v>400</v>
      </c>
      <c r="MY4" s="18">
        <f t="shared" ca="1" si="176"/>
        <v>1</v>
      </c>
      <c r="NA4" s="13">
        <f t="shared" ca="1" si="177"/>
        <v>400</v>
      </c>
      <c r="NB4" s="13">
        <f ca="1">INDEX(Totals[[#Data],[#Totals],[Car - Note]:[NONTRACKED]],MATCH(NA$1,Totals[Date],0),MATCH($C4,Totals[[#Headers],[Car - Note]:[NONTRACKED]],0))</f>
        <v>-215.22833333333332</v>
      </c>
      <c r="NC4" s="13">
        <f t="shared" ref="NC4:NC29" ca="1" si="402">IFERROR(NA4+NB4,NA4)</f>
        <v>184.77166666666668</v>
      </c>
      <c r="ND4" s="13" t="s">
        <v>198</v>
      </c>
      <c r="NE4" s="13">
        <v>400</v>
      </c>
      <c r="NF4" s="13" t="b">
        <f t="shared" ref="NF4:NF29" ca="1" si="403">IF(NC4&gt;=NE4,TRUE,FALSE)</f>
        <v>0</v>
      </c>
      <c r="NG4" s="94">
        <f t="shared" si="178"/>
        <v>1</v>
      </c>
      <c r="NH4" s="13">
        <f t="shared" ca="1" si="179"/>
        <v>215.22833333333332</v>
      </c>
      <c r="NI4" s="13">
        <f t="shared" ref="NI4:NI29" ca="1" si="404">(NH4/NH$37)*MIN(NG$40,NH$37)</f>
        <v>215.22833333333332</v>
      </c>
      <c r="NJ4" s="94">
        <f t="shared" si="180"/>
        <v>0</v>
      </c>
      <c r="NK4" s="13">
        <f t="shared" ca="1" si="181"/>
        <v>0</v>
      </c>
      <c r="NL4" s="13">
        <f t="shared" ca="1" si="182"/>
        <v>0</v>
      </c>
      <c r="NM4" s="13">
        <f t="shared" ref="NM4:NM29" ca="1" si="405">(NL4/NL$37)*MIN(NI$40,NL$37)</f>
        <v>0</v>
      </c>
      <c r="NN4" s="13">
        <f t="shared" ca="1" si="183"/>
        <v>400</v>
      </c>
      <c r="NO4" s="13">
        <f t="shared" ca="1" si="184"/>
        <v>0</v>
      </c>
      <c r="NP4" s="13">
        <f t="shared" ca="1" si="185"/>
        <v>1</v>
      </c>
      <c r="NQ4" s="12">
        <f t="shared" ca="1" si="186"/>
        <v>400</v>
      </c>
      <c r="NR4" s="79"/>
      <c r="NS4" s="12">
        <f t="shared" ref="NS4:NS29" ca="1" si="406">NQ4+NR4</f>
        <v>400</v>
      </c>
      <c r="NT4" s="18">
        <f t="shared" ca="1" si="187"/>
        <v>1</v>
      </c>
      <c r="NV4" s="19">
        <f t="shared" ca="1" si="188"/>
        <v>400</v>
      </c>
      <c r="NW4" s="19">
        <f ca="1">INDEX(Totals[[#Data],[#Totals],[Car - Note]:[NONTRACKED]],MATCH(NV$1,Totals[Date],0),MATCH($C4,Totals[[#Headers],[Car - Note]:[NONTRACKED]],0))</f>
        <v>-230.07166666666669</v>
      </c>
      <c r="NX4" s="19">
        <f t="shared" ref="NX4:NX29" ca="1" si="407">IFERROR(NV4+NW4,NV4)</f>
        <v>169.92833333333331</v>
      </c>
      <c r="NY4" s="19" t="s">
        <v>198</v>
      </c>
      <c r="NZ4" s="19">
        <v>400</v>
      </c>
      <c r="OA4" s="19" t="b">
        <f t="shared" ref="OA4:OA29" ca="1" si="408">IF(NX4&gt;=NZ4,TRUE,FALSE)</f>
        <v>0</v>
      </c>
      <c r="OB4" s="100">
        <f t="shared" si="189"/>
        <v>1</v>
      </c>
      <c r="OC4" s="19">
        <f t="shared" ca="1" si="190"/>
        <v>230.07166666666669</v>
      </c>
      <c r="OD4" s="19">
        <f t="shared" ref="OD4:OD29" ca="1" si="409">(OC4/OC$37)*MIN(OB$40,OC$37)</f>
        <v>230.07166666666672</v>
      </c>
      <c r="OE4" s="100">
        <f t="shared" si="191"/>
        <v>0</v>
      </c>
      <c r="OF4" s="19">
        <f t="shared" ca="1" si="192"/>
        <v>0</v>
      </c>
      <c r="OG4" s="19">
        <f t="shared" ca="1" si="193"/>
        <v>0</v>
      </c>
      <c r="OH4" s="19">
        <f t="shared" ref="OH4:OH29" ca="1" si="410">(OG4/OG$37)*MIN(OD$40,OG$37)</f>
        <v>0</v>
      </c>
      <c r="OI4" s="19">
        <f t="shared" ca="1" si="194"/>
        <v>400</v>
      </c>
      <c r="OJ4" s="19">
        <f t="shared" ca="1" si="195"/>
        <v>0</v>
      </c>
      <c r="OK4" s="19">
        <f t="shared" ca="1" si="196"/>
        <v>1</v>
      </c>
      <c r="OL4" s="12">
        <f t="shared" ca="1" si="197"/>
        <v>400</v>
      </c>
      <c r="OM4" s="79"/>
      <c r="ON4" s="12">
        <f t="shared" ref="ON4:ON29" ca="1" si="411">OL4+OM4</f>
        <v>400</v>
      </c>
      <c r="OO4" s="18">
        <f t="shared" ca="1" si="198"/>
        <v>1</v>
      </c>
      <c r="OQ4" s="11">
        <f t="shared" ca="1" si="199"/>
        <v>400</v>
      </c>
      <c r="OR4" s="11">
        <f ca="1">INDEX(Totals[[#Data],[#Totals],[Car - Note]:[NONTRACKED]],MATCH(OQ$1,Totals[Date],0),MATCH($C4,Totals[[#Headers],[Car - Note]:[NONTRACKED]],0))</f>
        <v>-230.07166666666669</v>
      </c>
      <c r="OS4" s="11">
        <f t="shared" ref="OS4:OS29" ca="1" si="412">IFERROR(OQ4+OR4,OQ4)</f>
        <v>169.92833333333331</v>
      </c>
      <c r="OT4" s="11" t="s">
        <v>198</v>
      </c>
      <c r="OU4" s="11">
        <v>400</v>
      </c>
      <c r="OV4" s="11" t="b">
        <f t="shared" ref="OV4:OV29" ca="1" si="413">IF(OS4&gt;=OU4,TRUE,FALSE)</f>
        <v>0</v>
      </c>
      <c r="OW4" s="92">
        <f t="shared" si="200"/>
        <v>1</v>
      </c>
      <c r="OX4" s="11">
        <f t="shared" ca="1" si="201"/>
        <v>230.07166666666669</v>
      </c>
      <c r="OY4" s="11">
        <f t="shared" ref="OY4:OY29" ca="1" si="414">(OX4/OX$37)*MIN(OW$40,OX$37)</f>
        <v>230.07166666666669</v>
      </c>
      <c r="OZ4" s="92">
        <f t="shared" si="202"/>
        <v>0</v>
      </c>
      <c r="PA4" s="11">
        <f t="shared" ca="1" si="203"/>
        <v>0</v>
      </c>
      <c r="PB4" s="11">
        <f t="shared" ca="1" si="204"/>
        <v>0</v>
      </c>
      <c r="PC4" s="11">
        <f t="shared" ref="PC4:PC29" ca="1" si="415">(PB4/PB$37)*MIN(OY$40,PB$37)</f>
        <v>0</v>
      </c>
      <c r="PD4" s="11">
        <f t="shared" ca="1" si="205"/>
        <v>400</v>
      </c>
      <c r="PE4" s="11">
        <f t="shared" ca="1" si="206"/>
        <v>0</v>
      </c>
      <c r="PF4" s="11">
        <f t="shared" ca="1" si="207"/>
        <v>1</v>
      </c>
      <c r="PG4" s="12">
        <f t="shared" ca="1" si="208"/>
        <v>400</v>
      </c>
      <c r="PH4" s="79"/>
      <c r="PI4" s="12">
        <f t="shared" ref="PI4:PI29" ca="1" si="416">PG4+PH4</f>
        <v>400</v>
      </c>
      <c r="PJ4" s="18">
        <f t="shared" ca="1" si="209"/>
        <v>1</v>
      </c>
      <c r="PL4" s="13">
        <f t="shared" ca="1" si="210"/>
        <v>400</v>
      </c>
      <c r="PM4" s="13">
        <f ca="1">INDEX(Totals[[#Data],[#Totals],[Car - Note]:[NONTRACKED]],MATCH(PL$1,Totals[Date],0),MATCH($C4,Totals[[#Headers],[Car - Note]:[NONTRACKED]],0))</f>
        <v>-207.80666666666664</v>
      </c>
      <c r="PN4" s="13">
        <f t="shared" ref="PN4:PN29" ca="1" si="417">IFERROR(PL4+PM4,PL4)</f>
        <v>192.19333333333336</v>
      </c>
      <c r="PO4" s="13" t="s">
        <v>198</v>
      </c>
      <c r="PP4" s="13">
        <v>400</v>
      </c>
      <c r="PQ4" s="13" t="b">
        <f t="shared" ref="PQ4:PQ29" ca="1" si="418">IF(PN4&gt;=PP4,TRUE,FALSE)</f>
        <v>0</v>
      </c>
      <c r="PR4" s="94">
        <f t="shared" si="211"/>
        <v>1</v>
      </c>
      <c r="PS4" s="13">
        <f t="shared" ca="1" si="212"/>
        <v>207.80666666666664</v>
      </c>
      <c r="PT4" s="13">
        <f t="shared" ref="PT4:PT29" ca="1" si="419">(PS4/PS$37)*MIN(PR$40,PS$37)</f>
        <v>207.80666666666664</v>
      </c>
      <c r="PU4" s="94">
        <f t="shared" si="213"/>
        <v>0</v>
      </c>
      <c r="PV4" s="13">
        <f t="shared" ca="1" si="214"/>
        <v>0</v>
      </c>
      <c r="PW4" s="13">
        <f t="shared" ca="1" si="215"/>
        <v>0</v>
      </c>
      <c r="PX4" s="13">
        <f t="shared" ref="PX4:PX29" ca="1" si="420">(PW4/PW$37)*MIN(PT$40,PW$37)</f>
        <v>0</v>
      </c>
      <c r="PY4" s="13">
        <f t="shared" ca="1" si="216"/>
        <v>400</v>
      </c>
      <c r="PZ4" s="13">
        <f t="shared" ca="1" si="217"/>
        <v>0</v>
      </c>
      <c r="QA4" s="13">
        <f t="shared" ca="1" si="218"/>
        <v>1</v>
      </c>
      <c r="QB4" s="12">
        <f t="shared" ca="1" si="219"/>
        <v>400</v>
      </c>
      <c r="QC4" s="79"/>
      <c r="QD4" s="12">
        <f t="shared" ref="QD4:QD29" ca="1" si="421">QB4+QC4</f>
        <v>400</v>
      </c>
      <c r="QE4" s="18">
        <f t="shared" ca="1" si="220"/>
        <v>1</v>
      </c>
      <c r="QG4" s="19">
        <f t="shared" ca="1" si="221"/>
        <v>400</v>
      </c>
      <c r="QH4" s="19">
        <f ca="1">INDEX(Totals[[#Data],[#Totals],[Car - Note]:[NONTRACKED]],MATCH(QG$1,Totals[Date],0),MATCH($C4,Totals[[#Headers],[Car - Note]:[NONTRACKED]],0))</f>
        <v>-230.07833333333335</v>
      </c>
      <c r="QI4" s="19">
        <f t="shared" ref="QI4:QI29" ca="1" si="422">IFERROR(QG4+QH4,QG4)</f>
        <v>169.92166666666665</v>
      </c>
      <c r="QJ4" s="19" t="s">
        <v>198</v>
      </c>
      <c r="QK4" s="19">
        <v>400</v>
      </c>
      <c r="QL4" s="19" t="b">
        <f t="shared" ref="QL4:QL29" ca="1" si="423">IF(QI4&gt;=QK4,TRUE,FALSE)</f>
        <v>0</v>
      </c>
      <c r="QM4" s="100">
        <f t="shared" si="222"/>
        <v>1</v>
      </c>
      <c r="QN4" s="19">
        <f t="shared" ca="1" si="223"/>
        <v>230.07833333333335</v>
      </c>
      <c r="QO4" s="19">
        <f t="shared" ref="QO4:QO29" ca="1" si="424">(QN4/QN$37)*MIN(QM$40,QN$37)</f>
        <v>230.07833333333338</v>
      </c>
      <c r="QP4" s="100">
        <f t="shared" si="224"/>
        <v>0</v>
      </c>
      <c r="QQ4" s="19">
        <f t="shared" ca="1" si="225"/>
        <v>0</v>
      </c>
      <c r="QR4" s="19">
        <f t="shared" ca="1" si="226"/>
        <v>0</v>
      </c>
      <c r="QS4" s="19">
        <f t="shared" ref="QS4:QS29" ca="1" si="425">(QR4/QR$37)*MIN(QO$40,QR$37)</f>
        <v>0</v>
      </c>
      <c r="QT4" s="19">
        <f t="shared" ca="1" si="227"/>
        <v>400</v>
      </c>
      <c r="QU4" s="19">
        <f t="shared" ca="1" si="228"/>
        <v>0</v>
      </c>
      <c r="QV4" s="19">
        <f t="shared" ca="1" si="229"/>
        <v>1</v>
      </c>
      <c r="QW4" s="12">
        <f t="shared" ca="1" si="230"/>
        <v>400</v>
      </c>
      <c r="QX4" s="79"/>
      <c r="QY4" s="12">
        <f t="shared" ref="QY4:QY29" ca="1" si="426">QW4+QX4</f>
        <v>400</v>
      </c>
      <c r="QZ4" s="18">
        <f t="shared" ca="1" si="231"/>
        <v>1</v>
      </c>
      <c r="RB4" s="11">
        <f t="shared" ca="1" si="232"/>
        <v>400</v>
      </c>
      <c r="RC4" s="11">
        <f ca="1">INDEX(Totals[[#Data],[#Totals],[Car - Note]:[NONTRACKED]],MATCH(RB$1,Totals[Date],0),MATCH($C4,Totals[[#Headers],[Car - Note]:[NONTRACKED]],0))</f>
        <v>-227.87699999999998</v>
      </c>
      <c r="RD4" s="11">
        <f t="shared" ref="RD4:RD29" ca="1" si="427">IFERROR(RB4+RC4,RB4)</f>
        <v>172.12300000000002</v>
      </c>
      <c r="RE4" s="11" t="s">
        <v>198</v>
      </c>
      <c r="RF4" s="11">
        <v>400</v>
      </c>
      <c r="RG4" s="11" t="b">
        <f t="shared" ref="RG4:RG29" ca="1" si="428">IF(RD4&gt;=RF4,TRUE,FALSE)</f>
        <v>0</v>
      </c>
      <c r="RH4" s="92">
        <f t="shared" si="233"/>
        <v>1</v>
      </c>
      <c r="RI4" s="11">
        <f t="shared" ca="1" si="234"/>
        <v>227.87699999999998</v>
      </c>
      <c r="RJ4" s="11">
        <f t="shared" ref="RJ4:RJ29" ca="1" si="429">(RI4/RI$37)*MIN(RH$40,RI$37)</f>
        <v>227.87699999999998</v>
      </c>
      <c r="RK4" s="92">
        <f t="shared" si="235"/>
        <v>0</v>
      </c>
      <c r="RL4" s="11">
        <f t="shared" ca="1" si="236"/>
        <v>0</v>
      </c>
      <c r="RM4" s="11">
        <f t="shared" ca="1" si="237"/>
        <v>0</v>
      </c>
      <c r="RN4" s="11">
        <f t="shared" ref="RN4:RN29" ca="1" si="430">(RM4/RM$37)*MIN(RJ$40,RM$37)</f>
        <v>0</v>
      </c>
      <c r="RO4" s="11">
        <f t="shared" ca="1" si="238"/>
        <v>400</v>
      </c>
      <c r="RP4" s="11">
        <f t="shared" ca="1" si="239"/>
        <v>0</v>
      </c>
      <c r="RQ4" s="11">
        <f t="shared" ca="1" si="240"/>
        <v>1</v>
      </c>
      <c r="RR4" s="12">
        <f t="shared" ca="1" si="241"/>
        <v>400</v>
      </c>
      <c r="RS4" s="79"/>
      <c r="RT4" s="12">
        <f t="shared" ref="RT4:RT29" ca="1" si="431">RR4+RS4</f>
        <v>400</v>
      </c>
      <c r="RU4" s="18">
        <f t="shared" ca="1" si="242"/>
        <v>1</v>
      </c>
      <c r="RW4" s="13">
        <f t="shared" ca="1" si="243"/>
        <v>400</v>
      </c>
      <c r="RX4" s="13">
        <f ca="1">INDEX(Totals[[#Data],[#Totals],[Car - Note]:[NONTRACKED]],MATCH(RW$1,Totals[Date],0),MATCH($C4,Totals[[#Headers],[Car - Note]:[NONTRACKED]],0))</f>
        <v>-197.12700000000001</v>
      </c>
      <c r="RY4" s="13">
        <f t="shared" ref="RY4:RY29" ca="1" si="432">IFERROR(RW4+RX4,RW4)</f>
        <v>202.87299999999999</v>
      </c>
      <c r="RZ4" s="13" t="s">
        <v>198</v>
      </c>
      <c r="SA4" s="13">
        <v>400</v>
      </c>
      <c r="SB4" s="13" t="b">
        <f t="shared" ref="SB4:SB29" ca="1" si="433">IF(RY4&gt;=SA4,TRUE,FALSE)</f>
        <v>0</v>
      </c>
      <c r="SC4" s="94">
        <f t="shared" si="244"/>
        <v>1</v>
      </c>
      <c r="SD4" s="13">
        <f t="shared" ca="1" si="245"/>
        <v>197.12700000000001</v>
      </c>
      <c r="SE4" s="13">
        <f t="shared" ref="SE4:SE29" ca="1" si="434">(SD4/SD$37)*MIN(SC$40,SD$37)</f>
        <v>197.12699999999998</v>
      </c>
      <c r="SF4" s="94">
        <f t="shared" si="246"/>
        <v>0</v>
      </c>
      <c r="SG4" s="13">
        <f t="shared" ca="1" si="247"/>
        <v>0</v>
      </c>
      <c r="SH4" s="13">
        <f t="shared" ca="1" si="248"/>
        <v>0</v>
      </c>
      <c r="SI4" s="13">
        <f t="shared" ref="SI4:SI29" ca="1" si="435">(SH4/SH$37)*MIN(SE$40,SH$37)</f>
        <v>0</v>
      </c>
      <c r="SJ4" s="13">
        <f t="shared" ca="1" si="249"/>
        <v>400</v>
      </c>
      <c r="SK4" s="13">
        <f t="shared" ca="1" si="250"/>
        <v>0</v>
      </c>
      <c r="SL4" s="13">
        <f t="shared" ca="1" si="251"/>
        <v>1</v>
      </c>
      <c r="SM4" s="12">
        <f t="shared" ca="1" si="252"/>
        <v>400</v>
      </c>
      <c r="SN4" s="79"/>
      <c r="SO4" s="12">
        <f t="shared" ref="SO4:SO29" ca="1" si="436">SM4+SN4</f>
        <v>400</v>
      </c>
      <c r="SP4" s="18">
        <f t="shared" ca="1" si="253"/>
        <v>1</v>
      </c>
      <c r="SR4" s="19">
        <f t="shared" ca="1" si="254"/>
        <v>400</v>
      </c>
      <c r="SS4" s="19">
        <f ca="1">INDEX(Totals[[#Data],[#Totals],[Car - Note]:[NONTRACKED]],MATCH(SR$1,Totals[Date],0),MATCH($C4,Totals[[#Headers],[Car - Note]:[NONTRACKED]],0))</f>
        <v>-227.91499999999999</v>
      </c>
      <c r="ST4" s="19">
        <f t="shared" ref="ST4:ST29" ca="1" si="437">IFERROR(SR4+SS4,SR4)</f>
        <v>172.08500000000001</v>
      </c>
      <c r="SU4" s="19" t="s">
        <v>198</v>
      </c>
      <c r="SV4" s="19">
        <v>400</v>
      </c>
      <c r="SW4" s="19" t="b">
        <f t="shared" ref="SW4:SW29" ca="1" si="438">IF(ST4&gt;=SV4,TRUE,FALSE)</f>
        <v>0</v>
      </c>
      <c r="SX4" s="100">
        <f t="shared" si="255"/>
        <v>1</v>
      </c>
      <c r="SY4" s="19">
        <f t="shared" ca="1" si="256"/>
        <v>227.91499999999999</v>
      </c>
      <c r="SZ4" s="19">
        <f t="shared" ref="SZ4:SZ29" ca="1" si="439">(SY4/SY$37)*MIN(SX$40,SY$37)</f>
        <v>227.91499999999999</v>
      </c>
      <c r="TA4" s="100">
        <f t="shared" si="257"/>
        <v>0</v>
      </c>
      <c r="TB4" s="19">
        <f t="shared" ca="1" si="258"/>
        <v>0</v>
      </c>
      <c r="TC4" s="19">
        <f t="shared" ca="1" si="259"/>
        <v>0</v>
      </c>
      <c r="TD4" s="19">
        <f t="shared" ref="TD4:TD29" ca="1" si="440">(TC4/TC$37)*MIN(SZ$40,TC$37)</f>
        <v>0</v>
      </c>
      <c r="TE4" s="19">
        <f t="shared" ca="1" si="260"/>
        <v>400</v>
      </c>
      <c r="TF4" s="19">
        <f t="shared" ca="1" si="261"/>
        <v>0</v>
      </c>
      <c r="TG4" s="19">
        <f t="shared" ca="1" si="262"/>
        <v>1</v>
      </c>
      <c r="TH4" s="12">
        <f t="shared" ca="1" si="263"/>
        <v>400</v>
      </c>
      <c r="TI4" s="79"/>
      <c r="TJ4" s="12">
        <f t="shared" ref="TJ4:TJ29" ca="1" si="441">TH4+TI4</f>
        <v>400</v>
      </c>
      <c r="TK4" s="18">
        <f t="shared" ca="1" si="264"/>
        <v>1</v>
      </c>
      <c r="TM4" s="11">
        <f t="shared" ca="1" si="265"/>
        <v>400</v>
      </c>
      <c r="TN4" s="11">
        <f ca="1">INDEX(Totals[[#Data],[#Totals],[Car - Note]:[NONTRACKED]],MATCH(TM$1,Totals[Date],0),MATCH($C4,Totals[[#Headers],[Car - Note]:[NONTRACKED]],0))</f>
        <v>-193.08233333333334</v>
      </c>
      <c r="TO4" s="11">
        <f t="shared" ref="TO4:TO29" ca="1" si="442">IFERROR(TM4+TN4,TM4)</f>
        <v>206.91766666666666</v>
      </c>
      <c r="TP4" s="11" t="s">
        <v>198</v>
      </c>
      <c r="TQ4" s="11">
        <v>400</v>
      </c>
      <c r="TR4" s="11" t="b">
        <f t="shared" ref="TR4:TR29" ca="1" si="443">IF(TO4&gt;=TQ4,TRUE,FALSE)</f>
        <v>0</v>
      </c>
      <c r="TS4" s="92">
        <f t="shared" si="266"/>
        <v>1</v>
      </c>
      <c r="TT4" s="11">
        <f t="shared" ca="1" si="267"/>
        <v>193.08233333333334</v>
      </c>
      <c r="TU4" s="11">
        <f t="shared" ref="TU4:TU29" ca="1" si="444">(TT4/TT$37)*MIN(TS$40,TT$37)</f>
        <v>193.08233333333334</v>
      </c>
      <c r="TV4" s="92">
        <f t="shared" si="268"/>
        <v>0</v>
      </c>
      <c r="TW4" s="11">
        <f t="shared" ca="1" si="269"/>
        <v>0</v>
      </c>
      <c r="TX4" s="11">
        <f t="shared" ca="1" si="270"/>
        <v>0</v>
      </c>
      <c r="TY4" s="11">
        <f t="shared" ref="TY4:TY29" ca="1" si="445">(TX4/TX$37)*MIN(TU$40,TX$37)</f>
        <v>0</v>
      </c>
      <c r="TZ4" s="11">
        <f t="shared" ca="1" si="271"/>
        <v>400</v>
      </c>
      <c r="UA4" s="11">
        <f t="shared" ca="1" si="272"/>
        <v>0</v>
      </c>
      <c r="UB4" s="11">
        <f t="shared" ca="1" si="273"/>
        <v>1</v>
      </c>
      <c r="UC4" s="12">
        <f t="shared" ca="1" si="274"/>
        <v>400</v>
      </c>
      <c r="UD4" s="79"/>
      <c r="UE4" s="12">
        <f t="shared" ref="UE4:UE29" ca="1" si="446">UC4+UD4</f>
        <v>400</v>
      </c>
      <c r="UF4" s="18">
        <f t="shared" ca="1" si="275"/>
        <v>1</v>
      </c>
      <c r="UH4" s="13">
        <f t="shared" ca="1" si="276"/>
        <v>400</v>
      </c>
      <c r="UI4" s="13">
        <f ca="1">INDEX(Totals[[#Data],[#Totals],[Car - Note]:[NONTRACKED]],MATCH(UH$1,Totals[Date],0),MATCH($C4,Totals[[#Headers],[Car - Note]:[NONTRACKED]],0))</f>
        <v>-209.90433333333334</v>
      </c>
      <c r="UJ4" s="13">
        <f t="shared" ref="UJ4:UJ29" ca="1" si="447">IFERROR(UH4+UI4,UH4)</f>
        <v>190.09566666666666</v>
      </c>
      <c r="UK4" s="13" t="s">
        <v>198</v>
      </c>
      <c r="UL4" s="13">
        <v>400</v>
      </c>
      <c r="UM4" s="13" t="b">
        <f t="shared" ref="UM4:UM29" ca="1" si="448">IF(UJ4&gt;=UL4,TRUE,FALSE)</f>
        <v>0</v>
      </c>
      <c r="UN4" s="94">
        <f t="shared" si="277"/>
        <v>1</v>
      </c>
      <c r="UO4" s="13">
        <f t="shared" ca="1" si="278"/>
        <v>209.90433333333334</v>
      </c>
      <c r="UP4" s="13">
        <f t="shared" ref="UP4:UP29" ca="1" si="449">(UO4/UO$37)*MIN(UN$40,UO$37)</f>
        <v>209.90433333333331</v>
      </c>
      <c r="UQ4" s="94">
        <f t="shared" si="279"/>
        <v>0</v>
      </c>
      <c r="UR4" s="13">
        <f t="shared" ca="1" si="280"/>
        <v>0</v>
      </c>
      <c r="US4" s="13">
        <f t="shared" ca="1" si="281"/>
        <v>0</v>
      </c>
      <c r="UT4" s="13">
        <f t="shared" ref="UT4:UT29" ca="1" si="450">(US4/US$37)*MIN(UP$40,US$37)</f>
        <v>0</v>
      </c>
      <c r="UU4" s="13">
        <f t="shared" ca="1" si="282"/>
        <v>400</v>
      </c>
      <c r="UV4" s="13">
        <f t="shared" ca="1" si="283"/>
        <v>0</v>
      </c>
      <c r="UW4" s="13">
        <f t="shared" ca="1" si="284"/>
        <v>1</v>
      </c>
      <c r="UX4" s="12">
        <f t="shared" ca="1" si="285"/>
        <v>400</v>
      </c>
      <c r="UY4" s="79"/>
      <c r="UZ4" s="12">
        <f t="shared" ref="UZ4:UZ29" ca="1" si="451">UX4+UY4</f>
        <v>400</v>
      </c>
      <c r="VA4" s="18">
        <f t="shared" ca="1" si="286"/>
        <v>1</v>
      </c>
      <c r="VC4" s="19">
        <f t="shared" ca="1" si="287"/>
        <v>400</v>
      </c>
      <c r="VD4" s="19">
        <f ca="1">INDEX(Totals[[#Data],[#Totals],[Car - Note]:[NONTRACKED]],MATCH(VC$1,Totals[Date],0),MATCH($C4,Totals[[#Headers],[Car - Note]:[NONTRACKED]],0))</f>
        <v>-225.01733333333334</v>
      </c>
      <c r="VE4" s="19">
        <f t="shared" ref="VE4:VE29" ca="1" si="452">IFERROR(VC4+VD4,VC4)</f>
        <v>174.98266666666666</v>
      </c>
      <c r="VF4" s="19" t="s">
        <v>198</v>
      </c>
      <c r="VG4" s="19">
        <v>400</v>
      </c>
      <c r="VH4" s="19" t="b">
        <f t="shared" ref="VH4:VH29" ca="1" si="453">IF(VE4&gt;=VG4,TRUE,FALSE)</f>
        <v>0</v>
      </c>
      <c r="VI4" s="100">
        <f t="shared" si="288"/>
        <v>1</v>
      </c>
      <c r="VJ4" s="19">
        <f t="shared" ca="1" si="289"/>
        <v>225.01733333333334</v>
      </c>
      <c r="VK4" s="19">
        <f t="shared" ref="VK4:VK29" ca="1" si="454">(VJ4/VJ$37)*MIN(VI$40,VJ$37)</f>
        <v>225.01733333333331</v>
      </c>
      <c r="VL4" s="100">
        <f t="shared" si="290"/>
        <v>0</v>
      </c>
      <c r="VM4" s="19">
        <f t="shared" ca="1" si="291"/>
        <v>0</v>
      </c>
      <c r="VN4" s="19">
        <f t="shared" ca="1" si="292"/>
        <v>0</v>
      </c>
      <c r="VO4" s="19">
        <f t="shared" ref="VO4:VO29" ca="1" si="455">(VN4/VN$37)*MIN(VK$40,VN$37)</f>
        <v>0</v>
      </c>
      <c r="VP4" s="19">
        <f t="shared" ca="1" si="293"/>
        <v>400</v>
      </c>
      <c r="VQ4" s="19">
        <f t="shared" ca="1" si="294"/>
        <v>0</v>
      </c>
      <c r="VR4" s="19">
        <f t="shared" ca="1" si="295"/>
        <v>1</v>
      </c>
      <c r="VS4" s="12">
        <f t="shared" ca="1" si="296"/>
        <v>400</v>
      </c>
      <c r="VT4" s="79"/>
      <c r="VU4" s="12">
        <f t="shared" ref="VU4:VU29" ca="1" si="456">VS4+VT4</f>
        <v>400</v>
      </c>
      <c r="VV4" s="18">
        <f t="shared" ca="1" si="297"/>
        <v>1</v>
      </c>
      <c r="VX4" s="11">
        <f t="shared" ca="1" si="298"/>
        <v>400</v>
      </c>
      <c r="VY4" s="11">
        <f ca="1">INDEX(Totals[[#Data],[#Totals],[Car - Note]:[NONTRACKED]],MATCH(VX$1,Totals[Date],0),MATCH($C4,Totals[[#Headers],[Car - Note]:[NONTRACKED]],0))</f>
        <v>-214.773</v>
      </c>
      <c r="VZ4" s="11">
        <f t="shared" ref="VZ4:VZ29" ca="1" si="457">IFERROR(VX4+VY4,VX4)</f>
        <v>185.227</v>
      </c>
      <c r="WA4" s="11" t="s">
        <v>198</v>
      </c>
      <c r="WB4" s="11">
        <v>400</v>
      </c>
      <c r="WC4" s="11" t="b">
        <f t="shared" ref="WC4:WC29" ca="1" si="458">IF(VZ4&gt;=WB4,TRUE,FALSE)</f>
        <v>0</v>
      </c>
      <c r="WD4" s="92">
        <f t="shared" si="299"/>
        <v>1</v>
      </c>
      <c r="WE4" s="11">
        <f t="shared" ca="1" si="300"/>
        <v>214.773</v>
      </c>
      <c r="WF4" s="11">
        <f t="shared" ref="WF4:WF29" ca="1" si="459">(WE4/WE$37)*MIN(WD$40,WE$37)</f>
        <v>214.773</v>
      </c>
      <c r="WG4" s="92">
        <f t="shared" si="301"/>
        <v>0</v>
      </c>
      <c r="WH4" s="11">
        <f t="shared" ca="1" si="302"/>
        <v>0</v>
      </c>
      <c r="WI4" s="11">
        <f t="shared" ca="1" si="303"/>
        <v>0</v>
      </c>
      <c r="WJ4" s="11">
        <f t="shared" ref="WJ4:WJ29" ca="1" si="460">(WI4/WI$37)*MIN(WF$40,WI$37)</f>
        <v>0</v>
      </c>
      <c r="WK4" s="11">
        <f t="shared" ca="1" si="304"/>
        <v>400</v>
      </c>
      <c r="WL4" s="11">
        <f t="shared" ca="1" si="305"/>
        <v>0</v>
      </c>
      <c r="WM4" s="11">
        <f t="shared" ca="1" si="306"/>
        <v>1</v>
      </c>
      <c r="WN4" s="12">
        <f t="shared" ca="1" si="307"/>
        <v>400</v>
      </c>
      <c r="WO4" s="79"/>
      <c r="WP4" s="12">
        <f t="shared" ref="WP4:WP29" ca="1" si="461">WN4+WO4</f>
        <v>400</v>
      </c>
      <c r="WQ4" s="18">
        <f t="shared" ca="1" si="308"/>
        <v>1</v>
      </c>
      <c r="WS4" s="13">
        <f t="shared" ca="1" si="309"/>
        <v>400</v>
      </c>
      <c r="WT4" s="13">
        <f ca="1">INDEX(Totals[[#Data],[#Totals],[Car - Note]:[NONTRACKED]],MATCH(WS$1,Totals[Date],0),MATCH($C4,Totals[[#Headers],[Car - Note]:[NONTRACKED]],0))</f>
        <v>-216.63066666666668</v>
      </c>
      <c r="WU4" s="13">
        <f t="shared" ref="WU4:WU29" ca="1" si="462">IFERROR(WS4+WT4,WS4)</f>
        <v>183.36933333333332</v>
      </c>
      <c r="WV4" s="13" t="s">
        <v>198</v>
      </c>
      <c r="WW4" s="13">
        <v>400</v>
      </c>
      <c r="WX4" s="13" t="b">
        <f t="shared" ref="WX4:WX29" ca="1" si="463">IF(WU4&gt;=WW4,TRUE,FALSE)</f>
        <v>0</v>
      </c>
      <c r="WY4" s="94">
        <f t="shared" si="310"/>
        <v>1</v>
      </c>
      <c r="WZ4" s="13">
        <f t="shared" ca="1" si="311"/>
        <v>216.63066666666668</v>
      </c>
      <c r="XA4" s="13">
        <f t="shared" ref="XA4:XA29" ca="1" si="464">(WZ4/WZ$37)*MIN(WY$40,WZ$37)</f>
        <v>216.63066666666668</v>
      </c>
      <c r="XB4" s="94">
        <f t="shared" si="312"/>
        <v>0</v>
      </c>
      <c r="XC4" s="13">
        <f t="shared" ca="1" si="313"/>
        <v>0</v>
      </c>
      <c r="XD4" s="13">
        <f t="shared" ca="1" si="314"/>
        <v>0</v>
      </c>
      <c r="XE4" s="13">
        <f t="shared" ref="XE4:XE29" ca="1" si="465">(XD4/XD$37)*MIN(XA$40,XD$37)</f>
        <v>0</v>
      </c>
      <c r="XF4" s="13">
        <f t="shared" ca="1" si="315"/>
        <v>400</v>
      </c>
      <c r="XG4" s="13">
        <f t="shared" ca="1" si="316"/>
        <v>0</v>
      </c>
      <c r="XH4" s="13">
        <f t="shared" ca="1" si="317"/>
        <v>1</v>
      </c>
      <c r="XI4" s="12">
        <f t="shared" ca="1" si="318"/>
        <v>400</v>
      </c>
      <c r="XJ4" s="104">
        <f t="shared" ca="1" si="319"/>
        <v>0</v>
      </c>
      <c r="XK4" s="12">
        <f t="shared" ref="XK4:XK29" ca="1" si="466">XI4+XJ4</f>
        <v>400</v>
      </c>
      <c r="XL4" s="18">
        <f t="shared" ca="1" si="320"/>
        <v>1</v>
      </c>
      <c r="XN4">
        <v>0.1</v>
      </c>
      <c r="XO4" s="103">
        <f t="shared" ref="XO4:XO29" ca="1" si="467">WP4*XN4</f>
        <v>40</v>
      </c>
      <c r="XP4" s="12">
        <f t="shared" ref="XP4:XP29" ca="1" si="468">WP4-XO4</f>
        <v>360</v>
      </c>
      <c r="XQ4" s="102">
        <f t="shared" ref="XQ4:XQ29" ca="1" si="469">IF(WB4&gt;0,XP4/WB4,"NA")</f>
        <v>0.9</v>
      </c>
    </row>
    <row r="5" spans="1:641" x14ac:dyDescent="0.25">
      <c r="A5" s="112"/>
      <c r="B5" t="s">
        <v>48</v>
      </c>
      <c r="C5" t="s">
        <v>52</v>
      </c>
      <c r="D5" s="79">
        <v>-75</v>
      </c>
      <c r="H5" s="48">
        <v>75</v>
      </c>
      <c r="I5" s="48"/>
      <c r="J5" s="48"/>
      <c r="K5" s="48">
        <v>100</v>
      </c>
      <c r="L5" s="95">
        <v>75</v>
      </c>
      <c r="M5" s="48"/>
      <c r="N5" s="96"/>
      <c r="O5" s="48"/>
      <c r="P5" s="48"/>
      <c r="Q5" s="96"/>
      <c r="R5" s="48"/>
      <c r="S5" s="48"/>
      <c r="T5" s="48"/>
      <c r="U5" s="48"/>
      <c r="V5" s="48"/>
      <c r="W5" s="48"/>
      <c r="X5" s="48"/>
      <c r="Y5" s="48"/>
      <c r="Z5" s="48">
        <f t="shared" si="321"/>
        <v>75</v>
      </c>
      <c r="AA5" s="98">
        <f t="shared" si="0"/>
        <v>1</v>
      </c>
      <c r="AC5" s="11">
        <f t="shared" si="1"/>
        <v>75</v>
      </c>
      <c r="AD5" s="11">
        <f ca="1">INDEX(Totals[[#Data],[#Totals],[Car - Note]:[NONTRACKED]],MATCH(AC$1,Totals[Date],0),MATCH($C5,Totals[[#Headers],[Car - Note]:[NONTRACKED]],0))</f>
        <v>-73.38</v>
      </c>
      <c r="AE5" s="11">
        <f t="shared" ca="1" si="322"/>
        <v>1.6200000000000045</v>
      </c>
      <c r="AF5" s="11">
        <v>100</v>
      </c>
      <c r="AG5" s="11">
        <v>75</v>
      </c>
      <c r="AH5" s="11" t="b">
        <f t="shared" ca="1" si="323"/>
        <v>0</v>
      </c>
      <c r="AI5" s="92">
        <f t="shared" si="2"/>
        <v>0</v>
      </c>
      <c r="AJ5" s="11">
        <f t="shared" ca="1" si="3"/>
        <v>0</v>
      </c>
      <c r="AK5" s="11">
        <f t="shared" ca="1" si="324"/>
        <v>0</v>
      </c>
      <c r="AL5" s="92">
        <f t="shared" si="4"/>
        <v>1</v>
      </c>
      <c r="AM5" s="11">
        <f t="shared" ca="1" si="5"/>
        <v>73.38</v>
      </c>
      <c r="AN5" s="11">
        <f t="shared" ca="1" si="6"/>
        <v>73.38</v>
      </c>
      <c r="AO5" s="11">
        <f t="shared" ca="1" si="325"/>
        <v>59.068682122499169</v>
      </c>
      <c r="AP5" s="11">
        <f t="shared" ca="1" si="7"/>
        <v>60.688682122499173</v>
      </c>
      <c r="AQ5" s="11">
        <f t="shared" ca="1" si="8"/>
        <v>-14.31</v>
      </c>
      <c r="AR5" s="11">
        <f t="shared" ca="1" si="9"/>
        <v>0.80918242829998899</v>
      </c>
      <c r="AS5" s="12">
        <f t="shared" ca="1" si="10"/>
        <v>60.688682122499173</v>
      </c>
      <c r="AT5" s="12"/>
      <c r="AU5" s="12">
        <f t="shared" ca="1" si="326"/>
        <v>60.688682122499173</v>
      </c>
      <c r="AV5" s="18">
        <f t="shared" ca="1" si="11"/>
        <v>0.80918242829998899</v>
      </c>
      <c r="AX5" s="13">
        <f t="shared" ca="1" si="12"/>
        <v>60.688682122499173</v>
      </c>
      <c r="AY5" s="13">
        <f ca="1">INDEX(Totals[[#Data],[#Totals],[Car - Note]:[NONTRACKED]],MATCH(AX$1,Totals[Date],0),MATCH($C5,Totals[[#Headers],[Car - Note]:[NONTRACKED]],0))</f>
        <v>-83.9</v>
      </c>
      <c r="AZ5" s="13">
        <f t="shared" ca="1" si="327"/>
        <v>-23.211317877500832</v>
      </c>
      <c r="BA5" s="13">
        <v>100</v>
      </c>
      <c r="BB5" s="13">
        <v>75</v>
      </c>
      <c r="BC5" s="13" t="b">
        <f t="shared" ca="1" si="328"/>
        <v>0</v>
      </c>
      <c r="BD5" s="94">
        <f t="shared" si="13"/>
        <v>0</v>
      </c>
      <c r="BE5" s="13">
        <f t="shared" ca="1" si="14"/>
        <v>0</v>
      </c>
      <c r="BF5" s="13">
        <f t="shared" ca="1" si="329"/>
        <v>0</v>
      </c>
      <c r="BG5" s="94">
        <f t="shared" si="15"/>
        <v>1</v>
      </c>
      <c r="BH5" s="13">
        <f t="shared" ca="1" si="16"/>
        <v>98.211317877500832</v>
      </c>
      <c r="BI5" s="13">
        <f t="shared" ca="1" si="17"/>
        <v>98.211317877500832</v>
      </c>
      <c r="BJ5" s="13">
        <f t="shared" ca="1" si="330"/>
        <v>46.865734396347555</v>
      </c>
      <c r="BK5" s="13">
        <f t="shared" ca="1" si="18"/>
        <v>23.654416518846723</v>
      </c>
      <c r="BL5" s="13">
        <f t="shared" ca="1" si="19"/>
        <v>-51.35</v>
      </c>
      <c r="BM5" s="13">
        <f t="shared" ca="1" si="20"/>
        <v>0.31539222025128966</v>
      </c>
      <c r="BN5" s="12">
        <f t="shared" ca="1" si="21"/>
        <v>23.654416518846723</v>
      </c>
      <c r="BO5" s="12"/>
      <c r="BP5" s="12">
        <f t="shared" ca="1" si="331"/>
        <v>23.654416518846723</v>
      </c>
      <c r="BQ5" s="18">
        <f t="shared" ca="1" si="22"/>
        <v>0.31539222025128966</v>
      </c>
      <c r="BS5" s="19">
        <f t="shared" ca="1" si="23"/>
        <v>23.654416518846723</v>
      </c>
      <c r="BT5" s="19">
        <f ca="1">INDEX(Totals[[#Data],[#Totals],[Car - Note]:[NONTRACKED]],MATCH(BS$1,Totals[Date],0),MATCH($C5,Totals[[#Headers],[Car - Note]:[NONTRACKED]],0))</f>
        <v>-88.259999999999991</v>
      </c>
      <c r="BU5" s="19">
        <f t="shared" ca="1" si="332"/>
        <v>-64.605583481153275</v>
      </c>
      <c r="BV5" s="19">
        <v>250</v>
      </c>
      <c r="BW5" s="19">
        <v>100</v>
      </c>
      <c r="BX5" s="19" t="b">
        <f t="shared" ca="1" si="333"/>
        <v>0</v>
      </c>
      <c r="BY5" s="100">
        <f t="shared" si="24"/>
        <v>0</v>
      </c>
      <c r="BZ5" s="19">
        <f t="shared" ca="1" si="25"/>
        <v>0</v>
      </c>
      <c r="CA5" s="19">
        <f t="shared" ca="1" si="334"/>
        <v>0</v>
      </c>
      <c r="CB5" s="100">
        <f t="shared" si="26"/>
        <v>1</v>
      </c>
      <c r="CC5" s="19">
        <f t="shared" ca="1" si="27"/>
        <v>164.60558348115327</v>
      </c>
      <c r="CD5" s="19">
        <f t="shared" ca="1" si="28"/>
        <v>164.60558348115327</v>
      </c>
      <c r="CE5" s="19">
        <f t="shared" ca="1" si="335"/>
        <v>164.60558348115327</v>
      </c>
      <c r="CF5" s="19">
        <f t="shared" ca="1" si="29"/>
        <v>100</v>
      </c>
      <c r="CG5" s="19">
        <f t="shared" ca="1" si="30"/>
        <v>0</v>
      </c>
      <c r="CH5" s="19">
        <f t="shared" ca="1" si="31"/>
        <v>1</v>
      </c>
      <c r="CI5" s="12">
        <f t="shared" ca="1" si="32"/>
        <v>100</v>
      </c>
      <c r="CJ5" s="10">
        <f ca="1">BW5-CI5</f>
        <v>0</v>
      </c>
      <c r="CK5" s="12">
        <f t="shared" ca="1" si="336"/>
        <v>100</v>
      </c>
      <c r="CL5" s="18">
        <f t="shared" ca="1" si="33"/>
        <v>1</v>
      </c>
      <c r="CN5" s="11">
        <f t="shared" ca="1" si="34"/>
        <v>100</v>
      </c>
      <c r="CO5" s="11">
        <f ca="1">INDEX(Totals[[#Data],[#Totals],[Car - Note]:[NONTRACKED]],MATCH(CN$1,Totals[Date],0),MATCH($C5,Totals[[#Headers],[Car - Note]:[NONTRACKED]],0))</f>
        <v>-68.819999999999993</v>
      </c>
      <c r="CP5" s="11">
        <f t="shared" ca="1" si="337"/>
        <v>31.180000000000007</v>
      </c>
      <c r="CQ5" s="11">
        <v>250</v>
      </c>
      <c r="CR5" s="11">
        <v>200</v>
      </c>
      <c r="CS5" s="11" t="b">
        <f t="shared" ca="1" si="338"/>
        <v>0</v>
      </c>
      <c r="CT5" s="92">
        <f t="shared" si="35"/>
        <v>0</v>
      </c>
      <c r="CU5" s="11">
        <f t="shared" ca="1" si="36"/>
        <v>0</v>
      </c>
      <c r="CV5" s="11">
        <f t="shared" ca="1" si="339"/>
        <v>0</v>
      </c>
      <c r="CW5" s="92">
        <f t="shared" si="37"/>
        <v>1</v>
      </c>
      <c r="CX5" s="11">
        <f t="shared" ca="1" si="38"/>
        <v>168.82</v>
      </c>
      <c r="CY5" s="11">
        <f t="shared" ca="1" si="39"/>
        <v>168.82</v>
      </c>
      <c r="CZ5" s="11">
        <f t="shared" ca="1" si="340"/>
        <v>168.82</v>
      </c>
      <c r="DA5" s="11">
        <f t="shared" ca="1" si="40"/>
        <v>200</v>
      </c>
      <c r="DB5" s="11">
        <f t="shared" ca="1" si="41"/>
        <v>0</v>
      </c>
      <c r="DC5" s="11">
        <f t="shared" ca="1" si="42"/>
        <v>1</v>
      </c>
      <c r="DD5" s="12">
        <f t="shared" ca="1" si="43"/>
        <v>200</v>
      </c>
      <c r="DE5" s="79"/>
      <c r="DF5" s="12">
        <f t="shared" ca="1" si="341"/>
        <v>200</v>
      </c>
      <c r="DG5" s="18">
        <f t="shared" ca="1" si="44"/>
        <v>1</v>
      </c>
      <c r="DI5" s="13">
        <f t="shared" ca="1" si="45"/>
        <v>200</v>
      </c>
      <c r="DJ5" s="13">
        <f ca="1">INDEX(Totals[[#Data],[#Totals],[Car - Note]:[NONTRACKED]],MATCH(DI$1,Totals[Date],0),MATCH($C5,Totals[[#Headers],[Car - Note]:[NONTRACKED]],0))</f>
        <v>-89.039999999999992</v>
      </c>
      <c r="DK5" s="13">
        <f t="shared" ca="1" si="342"/>
        <v>110.96000000000001</v>
      </c>
      <c r="DL5" s="13">
        <v>250</v>
      </c>
      <c r="DM5" s="13">
        <v>200</v>
      </c>
      <c r="DN5" s="13" t="b">
        <f t="shared" ca="1" si="343"/>
        <v>0</v>
      </c>
      <c r="DO5" s="94">
        <f t="shared" si="46"/>
        <v>0</v>
      </c>
      <c r="DP5" s="13">
        <f t="shared" ca="1" si="47"/>
        <v>0</v>
      </c>
      <c r="DQ5" s="13">
        <f t="shared" ca="1" si="344"/>
        <v>0</v>
      </c>
      <c r="DR5" s="94">
        <f t="shared" si="48"/>
        <v>1</v>
      </c>
      <c r="DS5" s="13">
        <f t="shared" ca="1" si="49"/>
        <v>89.039999999999992</v>
      </c>
      <c r="DT5" s="13">
        <f t="shared" ca="1" si="50"/>
        <v>89.039999999999992</v>
      </c>
      <c r="DU5" s="13">
        <f t="shared" ca="1" si="345"/>
        <v>38.021235608892397</v>
      </c>
      <c r="DV5" s="13">
        <f t="shared" ca="1" si="51"/>
        <v>148.9812356088924</v>
      </c>
      <c r="DW5" s="13">
        <f t="shared" ca="1" si="52"/>
        <v>-51.02</v>
      </c>
      <c r="DX5" s="13">
        <f t="shared" ca="1" si="53"/>
        <v>0.74490617804446202</v>
      </c>
      <c r="DY5" s="12">
        <f t="shared" ca="1" si="54"/>
        <v>148.9812356088924</v>
      </c>
      <c r="DZ5" s="79"/>
      <c r="EA5" s="12">
        <f t="shared" ca="1" si="346"/>
        <v>148.9812356088924</v>
      </c>
      <c r="EB5" s="18">
        <f t="shared" ca="1" si="55"/>
        <v>0.74490617804446202</v>
      </c>
      <c r="ED5" s="19">
        <f t="shared" ca="1" si="56"/>
        <v>148.9812356088924</v>
      </c>
      <c r="EE5" s="19">
        <f ca="1">INDEX(Totals[[#Data],[#Totals],[Car - Note]:[NONTRACKED]],MATCH(ED$1,Totals[Date],0),MATCH($C5,Totals[[#Headers],[Car - Note]:[NONTRACKED]],0))</f>
        <v>-63.33</v>
      </c>
      <c r="EF5" s="19">
        <f t="shared" ca="1" si="347"/>
        <v>85.651235608892407</v>
      </c>
      <c r="EG5" s="19">
        <v>250</v>
      </c>
      <c r="EH5" s="19">
        <v>200</v>
      </c>
      <c r="EI5" s="19" t="b">
        <f t="shared" ca="1" si="348"/>
        <v>0</v>
      </c>
      <c r="EJ5" s="100">
        <f t="shared" si="57"/>
        <v>0</v>
      </c>
      <c r="EK5" s="19">
        <f t="shared" ca="1" si="58"/>
        <v>0</v>
      </c>
      <c r="EL5" s="19">
        <f t="shared" ca="1" si="349"/>
        <v>0</v>
      </c>
      <c r="EM5" s="100">
        <f t="shared" si="59"/>
        <v>1</v>
      </c>
      <c r="EN5" s="19">
        <f t="shared" ca="1" si="60"/>
        <v>114.34876439110759</v>
      </c>
      <c r="EO5" s="19">
        <f t="shared" ca="1" si="61"/>
        <v>114.34876439110759</v>
      </c>
      <c r="EP5" s="19">
        <f t="shared" ca="1" si="350"/>
        <v>83.349644705376519</v>
      </c>
      <c r="EQ5" s="19">
        <f t="shared" ca="1" si="62"/>
        <v>169.00088031426893</v>
      </c>
      <c r="ER5" s="19">
        <f t="shared" ca="1" si="63"/>
        <v>-31</v>
      </c>
      <c r="ES5" s="19">
        <f t="shared" ca="1" si="64"/>
        <v>0.8450044015713446</v>
      </c>
      <c r="ET5" s="12">
        <f t="shared" ca="1" si="65"/>
        <v>169.00088031426893</v>
      </c>
      <c r="EU5" s="79"/>
      <c r="EV5" s="12">
        <f t="shared" ca="1" si="351"/>
        <v>169.00088031426893</v>
      </c>
      <c r="EW5" s="18">
        <f t="shared" ca="1" si="66"/>
        <v>0.8450044015713446</v>
      </c>
      <c r="EY5" s="11">
        <f t="shared" ca="1" si="67"/>
        <v>169.00088031426893</v>
      </c>
      <c r="EZ5" s="11">
        <f ca="1">INDEX(Totals[[#Data],[#Totals],[Car - Note]:[NONTRACKED]],MATCH(EY$1,Totals[Date],0),MATCH($C5,Totals[[#Headers],[Car - Note]:[NONTRACKED]],0))</f>
        <v>-61.15</v>
      </c>
      <c r="FA5" s="11">
        <f t="shared" ca="1" si="352"/>
        <v>107.85088031426892</v>
      </c>
      <c r="FB5" s="11">
        <v>250</v>
      </c>
      <c r="FC5" s="11">
        <v>200</v>
      </c>
      <c r="FD5" s="11" t="b">
        <f t="shared" ca="1" si="353"/>
        <v>0</v>
      </c>
      <c r="FE5" s="92">
        <f t="shared" si="68"/>
        <v>0</v>
      </c>
      <c r="FF5" s="11">
        <f t="shared" ca="1" si="69"/>
        <v>0</v>
      </c>
      <c r="FG5" s="11">
        <f t="shared" ca="1" si="354"/>
        <v>0</v>
      </c>
      <c r="FH5" s="92">
        <f t="shared" si="70"/>
        <v>1</v>
      </c>
      <c r="FI5" s="11">
        <f t="shared" ca="1" si="71"/>
        <v>92.14911968573108</v>
      </c>
      <c r="FJ5" s="11">
        <f t="shared" ca="1" si="72"/>
        <v>92.14911968573108</v>
      </c>
      <c r="FK5" s="11">
        <f t="shared" ca="1" si="355"/>
        <v>39.91678207149485</v>
      </c>
      <c r="FL5" s="11">
        <f t="shared" ca="1" si="73"/>
        <v>147.76766238576377</v>
      </c>
      <c r="FM5" s="11">
        <f t="shared" ca="1" si="74"/>
        <v>-52.23</v>
      </c>
      <c r="FN5" s="11">
        <f t="shared" ca="1" si="75"/>
        <v>0.73883831192881888</v>
      </c>
      <c r="FO5" s="12">
        <f t="shared" ca="1" si="76"/>
        <v>147.76766238576377</v>
      </c>
      <c r="FP5" s="79"/>
      <c r="FQ5" s="12">
        <f t="shared" ca="1" si="356"/>
        <v>147.76766238576377</v>
      </c>
      <c r="FR5" s="18">
        <f t="shared" ca="1" si="77"/>
        <v>0.73883831192881888</v>
      </c>
      <c r="FT5" s="13">
        <f t="shared" ca="1" si="78"/>
        <v>147.76766238576377</v>
      </c>
      <c r="FU5" s="13">
        <f ca="1">INDEX(Totals[[#Data],[#Totals],[Car - Note]:[NONTRACKED]],MATCH(FT$1,Totals[Date],0),MATCH($C5,Totals[[#Headers],[Car - Note]:[NONTRACKED]],0))</f>
        <v>-57.84</v>
      </c>
      <c r="FV5" s="13">
        <f t="shared" ca="1" si="357"/>
        <v>89.927662385763767</v>
      </c>
      <c r="FW5" s="13">
        <v>250</v>
      </c>
      <c r="FX5" s="13">
        <v>200</v>
      </c>
      <c r="FY5" s="13" t="b">
        <f t="shared" ca="1" si="358"/>
        <v>0</v>
      </c>
      <c r="FZ5" s="94">
        <f t="shared" si="79"/>
        <v>0</v>
      </c>
      <c r="GA5" s="13">
        <f t="shared" ca="1" si="80"/>
        <v>0</v>
      </c>
      <c r="GB5" s="13">
        <f t="shared" ca="1" si="359"/>
        <v>0</v>
      </c>
      <c r="GC5" s="94">
        <f t="shared" si="81"/>
        <v>1</v>
      </c>
      <c r="GD5" s="13">
        <f t="shared" ca="1" si="82"/>
        <v>110.07233761423623</v>
      </c>
      <c r="GE5" s="13">
        <f t="shared" ca="1" si="83"/>
        <v>110.07233761423623</v>
      </c>
      <c r="GF5" s="13">
        <f t="shared" ca="1" si="360"/>
        <v>47.551396541418811</v>
      </c>
      <c r="GG5" s="13">
        <f t="shared" ca="1" si="84"/>
        <v>137.47905892718256</v>
      </c>
      <c r="GH5" s="13">
        <f t="shared" ca="1" si="85"/>
        <v>-62.52</v>
      </c>
      <c r="GI5" s="13">
        <f t="shared" ca="1" si="86"/>
        <v>0.68739529463591287</v>
      </c>
      <c r="GJ5" s="12">
        <f t="shared" ca="1" si="87"/>
        <v>137.47905892718256</v>
      </c>
      <c r="GK5" s="79"/>
      <c r="GL5" s="12">
        <f t="shared" ca="1" si="361"/>
        <v>137.47905892718256</v>
      </c>
      <c r="GM5" s="18">
        <f t="shared" ca="1" si="88"/>
        <v>0.68739529463591287</v>
      </c>
      <c r="GO5" s="19">
        <f t="shared" ca="1" si="89"/>
        <v>137.47905892718256</v>
      </c>
      <c r="GP5" s="19">
        <f ca="1">INDEX(Totals[[#Data],[#Totals],[Car - Note]:[NONTRACKED]],MATCH(GO$1,Totals[Date],0),MATCH($C5,Totals[[#Headers],[Car - Note]:[NONTRACKED]],0))</f>
        <v>-56.61</v>
      </c>
      <c r="GQ5" s="19">
        <f t="shared" ca="1" si="362"/>
        <v>80.869058927182564</v>
      </c>
      <c r="GR5" s="19">
        <v>250</v>
      </c>
      <c r="GS5" s="19">
        <v>200</v>
      </c>
      <c r="GT5" s="19" t="b">
        <f t="shared" ca="1" si="363"/>
        <v>0</v>
      </c>
      <c r="GU5" s="100">
        <f t="shared" si="90"/>
        <v>0</v>
      </c>
      <c r="GV5" s="19">
        <f t="shared" ca="1" si="91"/>
        <v>0</v>
      </c>
      <c r="GW5" s="19">
        <f t="shared" ca="1" si="364"/>
        <v>0</v>
      </c>
      <c r="GX5" s="100">
        <f t="shared" si="92"/>
        <v>1</v>
      </c>
      <c r="GY5" s="19">
        <f t="shared" ca="1" si="93"/>
        <v>119.13094107281744</v>
      </c>
      <c r="GZ5" s="19">
        <f t="shared" ca="1" si="94"/>
        <v>119.13094107281744</v>
      </c>
      <c r="HA5" s="19">
        <f t="shared" ca="1" si="365"/>
        <v>52.631542467822285</v>
      </c>
      <c r="HB5" s="19">
        <f t="shared" ca="1" si="95"/>
        <v>133.50060139500485</v>
      </c>
      <c r="HC5" s="19">
        <f t="shared" ca="1" si="96"/>
        <v>-66.5</v>
      </c>
      <c r="HD5" s="19">
        <f t="shared" ca="1" si="97"/>
        <v>0.66750300697502429</v>
      </c>
      <c r="HE5" s="12">
        <f t="shared" ca="1" si="98"/>
        <v>133.50060139500485</v>
      </c>
      <c r="HF5" s="79"/>
      <c r="HG5" s="12">
        <f t="shared" ca="1" si="366"/>
        <v>133.50060139500485</v>
      </c>
      <c r="HH5" s="18">
        <f t="shared" ca="1" si="99"/>
        <v>0.66750300697502429</v>
      </c>
      <c r="HJ5" s="11">
        <f t="shared" ca="1" si="100"/>
        <v>133.50060139500485</v>
      </c>
      <c r="HK5" s="11">
        <f ca="1">INDEX(Totals[[#Data],[#Totals],[Car - Note]:[NONTRACKED]],MATCH(HJ$1,Totals[Date],0),MATCH($C5,Totals[[#Headers],[Car - Note]:[NONTRACKED]],0))</f>
        <v>-60.63</v>
      </c>
      <c r="HL5" s="11">
        <f t="shared" ca="1" si="367"/>
        <v>72.870601395004854</v>
      </c>
      <c r="HM5" s="11">
        <v>250</v>
      </c>
      <c r="HN5" s="11">
        <v>200</v>
      </c>
      <c r="HO5" s="11" t="b">
        <f t="shared" ca="1" si="368"/>
        <v>0</v>
      </c>
      <c r="HP5" s="92">
        <f t="shared" si="101"/>
        <v>0</v>
      </c>
      <c r="HQ5" s="11">
        <f t="shared" ca="1" si="102"/>
        <v>0</v>
      </c>
      <c r="HR5" s="11">
        <f t="shared" ca="1" si="369"/>
        <v>0</v>
      </c>
      <c r="HS5" s="92">
        <f t="shared" si="103"/>
        <v>1</v>
      </c>
      <c r="HT5" s="11">
        <f t="shared" ca="1" si="104"/>
        <v>127.12939860499515</v>
      </c>
      <c r="HU5" s="11">
        <f t="shared" ca="1" si="105"/>
        <v>127.12939860499515</v>
      </c>
      <c r="HV5" s="11">
        <f t="shared" ca="1" si="370"/>
        <v>53.801571103800605</v>
      </c>
      <c r="HW5" s="11">
        <f t="shared" ca="1" si="106"/>
        <v>126.67217249880545</v>
      </c>
      <c r="HX5" s="11">
        <f t="shared" ca="1" si="107"/>
        <v>-73.33</v>
      </c>
      <c r="HY5" s="11">
        <f t="shared" ca="1" si="108"/>
        <v>0.63336086249402723</v>
      </c>
      <c r="HZ5" s="12">
        <f t="shared" ca="1" si="109"/>
        <v>126.67217249880545</v>
      </c>
      <c r="IA5" s="79"/>
      <c r="IB5" s="12">
        <f t="shared" ca="1" si="371"/>
        <v>126.67217249880545</v>
      </c>
      <c r="IC5" s="18">
        <f t="shared" ca="1" si="110"/>
        <v>0.63336086249402723</v>
      </c>
      <c r="IE5" s="13">
        <f t="shared" ca="1" si="111"/>
        <v>126.67217249880545</v>
      </c>
      <c r="IF5" s="13">
        <f ca="1">INDEX(Totals[[#Data],[#Totals],[Car - Note]:[NONTRACKED]],MATCH(IE$1,Totals[Date],0),MATCH($C5,Totals[[#Headers],[Car - Note]:[NONTRACKED]],0))</f>
        <v>-139.29</v>
      </c>
      <c r="IG5" s="13">
        <f t="shared" ca="1" si="372"/>
        <v>-12.61782750119454</v>
      </c>
      <c r="IH5" s="13">
        <v>250</v>
      </c>
      <c r="II5" s="13">
        <v>200</v>
      </c>
      <c r="IJ5" s="13" t="b">
        <f t="shared" ca="1" si="373"/>
        <v>0</v>
      </c>
      <c r="IK5" s="94">
        <f t="shared" si="112"/>
        <v>0</v>
      </c>
      <c r="IL5" s="13">
        <f t="shared" ca="1" si="113"/>
        <v>0</v>
      </c>
      <c r="IM5" s="13">
        <f t="shared" ca="1" si="374"/>
        <v>0</v>
      </c>
      <c r="IN5" s="94">
        <f t="shared" si="114"/>
        <v>1</v>
      </c>
      <c r="IO5" s="13">
        <f t="shared" ca="1" si="115"/>
        <v>212.61782750119454</v>
      </c>
      <c r="IP5" s="13">
        <f t="shared" ca="1" si="116"/>
        <v>212.61782750119454</v>
      </c>
      <c r="IQ5" s="13">
        <f t="shared" ca="1" si="375"/>
        <v>98.213976661324438</v>
      </c>
      <c r="IR5" s="13">
        <f t="shared" ca="1" si="117"/>
        <v>85.596149160129897</v>
      </c>
      <c r="IS5" s="13">
        <f t="shared" ca="1" si="118"/>
        <v>-114.4</v>
      </c>
      <c r="IT5" s="13">
        <f t="shared" ca="1" si="119"/>
        <v>0.42798074580064949</v>
      </c>
      <c r="IU5" s="12">
        <f t="shared" ca="1" si="120"/>
        <v>85.596149160129897</v>
      </c>
      <c r="IV5" s="79"/>
      <c r="IW5" s="12">
        <f t="shared" ca="1" si="376"/>
        <v>85.596149160129897</v>
      </c>
      <c r="IX5" s="18">
        <f t="shared" ca="1" si="121"/>
        <v>0.42798074580064949</v>
      </c>
      <c r="IZ5" s="19">
        <f t="shared" ca="1" si="122"/>
        <v>85.596149160129897</v>
      </c>
      <c r="JA5" s="19">
        <f ca="1">INDEX(Totals[[#Data],[#Totals],[Car - Note]:[NONTRACKED]],MATCH(IZ$1,Totals[Date],0),MATCH($C5,Totals[[#Headers],[Car - Note]:[NONTRACKED]],0))</f>
        <v>-47.31</v>
      </c>
      <c r="JB5" s="19">
        <f t="shared" ca="1" si="377"/>
        <v>38.286149160129895</v>
      </c>
      <c r="JC5" s="19">
        <v>250</v>
      </c>
      <c r="JD5" s="19">
        <v>200</v>
      </c>
      <c r="JE5" s="19" t="b">
        <f t="shared" ca="1" si="378"/>
        <v>0</v>
      </c>
      <c r="JF5" s="100">
        <f t="shared" si="123"/>
        <v>0</v>
      </c>
      <c r="JG5" s="19">
        <f t="shared" ca="1" si="124"/>
        <v>0</v>
      </c>
      <c r="JH5" s="19">
        <f t="shared" ca="1" si="379"/>
        <v>0</v>
      </c>
      <c r="JI5" s="100">
        <f t="shared" si="125"/>
        <v>1</v>
      </c>
      <c r="JJ5" s="19">
        <f t="shared" ca="1" si="126"/>
        <v>161.7138508398701</v>
      </c>
      <c r="JK5" s="19">
        <f t="shared" ca="1" si="127"/>
        <v>161.7138508398701</v>
      </c>
      <c r="JL5" s="19">
        <f t="shared" ca="1" si="380"/>
        <v>61.887044573023111</v>
      </c>
      <c r="JM5" s="19">
        <f t="shared" ca="1" si="128"/>
        <v>100.173193733153</v>
      </c>
      <c r="JN5" s="19">
        <f t="shared" ca="1" si="129"/>
        <v>-99.83</v>
      </c>
      <c r="JO5" s="19">
        <f t="shared" ca="1" si="130"/>
        <v>0.50086596866576505</v>
      </c>
      <c r="JP5" s="12">
        <f t="shared" ca="1" si="131"/>
        <v>100.173193733153</v>
      </c>
      <c r="JQ5" s="79"/>
      <c r="JR5" s="12">
        <f t="shared" ca="1" si="381"/>
        <v>100.173193733153</v>
      </c>
      <c r="JS5" s="18">
        <f t="shared" ca="1" si="132"/>
        <v>0.50086596866576505</v>
      </c>
      <c r="JU5" s="11">
        <f t="shared" ca="1" si="133"/>
        <v>100.173193733153</v>
      </c>
      <c r="JV5" s="11">
        <f ca="1">INDEX(Totals[[#Data],[#Totals],[Car - Note]:[NONTRACKED]],MATCH(JU$1,Totals[Date],0),MATCH($C5,Totals[[#Headers],[Car - Note]:[NONTRACKED]],0))</f>
        <v>-69.31</v>
      </c>
      <c r="JW5" s="11">
        <f t="shared" ca="1" si="382"/>
        <v>30.863193733152997</v>
      </c>
      <c r="JX5" s="11">
        <v>250</v>
      </c>
      <c r="JY5" s="11">
        <v>200</v>
      </c>
      <c r="JZ5" s="11" t="b">
        <f t="shared" ca="1" si="383"/>
        <v>0</v>
      </c>
      <c r="KA5" s="92">
        <f t="shared" si="134"/>
        <v>0</v>
      </c>
      <c r="KB5" s="11">
        <f t="shared" ca="1" si="135"/>
        <v>0</v>
      </c>
      <c r="KC5" s="11">
        <f t="shared" ca="1" si="384"/>
        <v>0</v>
      </c>
      <c r="KD5" s="92">
        <f t="shared" si="136"/>
        <v>1</v>
      </c>
      <c r="KE5" s="11">
        <f t="shared" ca="1" si="137"/>
        <v>169.136806266847</v>
      </c>
      <c r="KF5" s="11">
        <f t="shared" ca="1" si="138"/>
        <v>169.136806266847</v>
      </c>
      <c r="KG5" s="11">
        <f t="shared" ca="1" si="385"/>
        <v>116.98307389688894</v>
      </c>
      <c r="KH5" s="11">
        <f t="shared" ca="1" si="139"/>
        <v>147.84626763004195</v>
      </c>
      <c r="KI5" s="11">
        <f t="shared" ca="1" si="140"/>
        <v>-52.15</v>
      </c>
      <c r="KJ5" s="11">
        <f t="shared" ca="1" si="141"/>
        <v>0.7392313381502098</v>
      </c>
      <c r="KK5" s="12">
        <f t="shared" ca="1" si="142"/>
        <v>147.84626763004195</v>
      </c>
      <c r="KL5" s="79"/>
      <c r="KM5" s="12">
        <f t="shared" ca="1" si="386"/>
        <v>147.84626763004195</v>
      </c>
      <c r="KN5" s="18">
        <f t="shared" ca="1" si="143"/>
        <v>0.7392313381502098</v>
      </c>
      <c r="KP5" s="13">
        <f t="shared" ca="1" si="144"/>
        <v>147.84626763004195</v>
      </c>
      <c r="KQ5" s="13">
        <f ca="1">INDEX(Totals[[#Data],[#Totals],[Car - Note]:[NONTRACKED]],MATCH(KP$1,Totals[Date],0),MATCH($C5,Totals[[#Headers],[Car - Note]:[NONTRACKED]],0))</f>
        <v>-48.33</v>
      </c>
      <c r="KR5" s="13">
        <f t="shared" ca="1" si="387"/>
        <v>99.516267630041952</v>
      </c>
      <c r="KS5" s="13">
        <v>250</v>
      </c>
      <c r="KT5" s="13">
        <v>200</v>
      </c>
      <c r="KU5" s="13" t="b">
        <f t="shared" ca="1" si="388"/>
        <v>0</v>
      </c>
      <c r="KV5" s="94">
        <f t="shared" si="145"/>
        <v>0</v>
      </c>
      <c r="KW5" s="13">
        <f t="shared" ca="1" si="146"/>
        <v>0</v>
      </c>
      <c r="KX5" s="13">
        <f t="shared" ca="1" si="389"/>
        <v>0</v>
      </c>
      <c r="KY5" s="94">
        <f t="shared" si="147"/>
        <v>1</v>
      </c>
      <c r="KZ5" s="13">
        <f t="shared" ca="1" si="148"/>
        <v>100.48373236995805</v>
      </c>
      <c r="LA5" s="13">
        <f t="shared" ca="1" si="149"/>
        <v>100.48373236995805</v>
      </c>
      <c r="LB5" s="13">
        <f t="shared" ca="1" si="390"/>
        <v>76.670060062804154</v>
      </c>
      <c r="LC5" s="13">
        <f t="shared" ca="1" si="150"/>
        <v>176.18632769284611</v>
      </c>
      <c r="LD5" s="13">
        <f t="shared" ca="1" si="151"/>
        <v>-23.81</v>
      </c>
      <c r="LE5" s="13">
        <f t="shared" ca="1" si="152"/>
        <v>0.8809316384642305</v>
      </c>
      <c r="LF5" s="12">
        <f t="shared" ca="1" si="153"/>
        <v>176.18632769284611</v>
      </c>
      <c r="LG5" s="79"/>
      <c r="LH5" s="12">
        <f t="shared" ca="1" si="391"/>
        <v>176.18632769284611</v>
      </c>
      <c r="LI5" s="18">
        <f t="shared" ca="1" si="154"/>
        <v>0.8809316384642305</v>
      </c>
      <c r="LK5" s="19">
        <f t="shared" ca="1" si="155"/>
        <v>176.18632769284611</v>
      </c>
      <c r="LL5" s="19">
        <f ca="1">INDEX(Totals[[#Data],[#Totals],[Car - Note]:[NONTRACKED]],MATCH(LK$1,Totals[Date],0),MATCH($C5,Totals[[#Headers],[Car - Note]:[NONTRACKED]],0))</f>
        <v>-78.680000000000007</v>
      </c>
      <c r="LM5" s="19">
        <f t="shared" ca="1" si="392"/>
        <v>97.506327692846099</v>
      </c>
      <c r="LN5" s="19">
        <v>250</v>
      </c>
      <c r="LO5" s="19">
        <v>200</v>
      </c>
      <c r="LP5" s="19" t="b">
        <f t="shared" ca="1" si="393"/>
        <v>0</v>
      </c>
      <c r="LQ5" s="100">
        <f t="shared" si="156"/>
        <v>0</v>
      </c>
      <c r="LR5" s="19">
        <f t="shared" ca="1" si="157"/>
        <v>0</v>
      </c>
      <c r="LS5" s="19">
        <f t="shared" ca="1" si="394"/>
        <v>0</v>
      </c>
      <c r="LT5" s="100">
        <f t="shared" si="158"/>
        <v>1</v>
      </c>
      <c r="LU5" s="19">
        <f t="shared" ca="1" si="159"/>
        <v>102.4936723071539</v>
      </c>
      <c r="LV5" s="19">
        <f t="shared" ca="1" si="160"/>
        <v>102.4936723071539</v>
      </c>
      <c r="LW5" s="19">
        <f t="shared" ca="1" si="395"/>
        <v>65.058297663108405</v>
      </c>
      <c r="LX5" s="19">
        <f t="shared" ca="1" si="161"/>
        <v>162.56462535595449</v>
      </c>
      <c r="LY5" s="19">
        <f t="shared" ca="1" si="162"/>
        <v>-37.44</v>
      </c>
      <c r="LZ5" s="19">
        <f t="shared" ca="1" si="163"/>
        <v>0.81282312677977242</v>
      </c>
      <c r="MA5" s="12">
        <f t="shared" ca="1" si="164"/>
        <v>162.56462535595449</v>
      </c>
      <c r="MB5" s="79"/>
      <c r="MC5" s="12">
        <f t="shared" ca="1" si="396"/>
        <v>162.56462535595449</v>
      </c>
      <c r="MD5" s="18">
        <f t="shared" ca="1" si="165"/>
        <v>0.81282312677977242</v>
      </c>
      <c r="MF5" s="11">
        <f t="shared" ca="1" si="166"/>
        <v>162.56462535595449</v>
      </c>
      <c r="MG5" s="11">
        <f ca="1">INDEX(Totals[[#Data],[#Totals],[Car - Note]:[NONTRACKED]],MATCH(MF$1,Totals[Date],0),MATCH($C5,Totals[[#Headers],[Car - Note]:[NONTRACKED]],0))</f>
        <v>-70.27</v>
      </c>
      <c r="MH5" s="11">
        <f t="shared" ca="1" si="397"/>
        <v>92.294625355954494</v>
      </c>
      <c r="MI5" s="11">
        <v>250</v>
      </c>
      <c r="MJ5" s="11">
        <v>200</v>
      </c>
      <c r="MK5" s="11" t="b">
        <f t="shared" ca="1" si="398"/>
        <v>0</v>
      </c>
      <c r="ML5" s="92">
        <f t="shared" si="167"/>
        <v>0</v>
      </c>
      <c r="MM5" s="11">
        <f t="shared" ca="1" si="168"/>
        <v>0</v>
      </c>
      <c r="MN5" s="11">
        <f t="shared" ca="1" si="399"/>
        <v>0</v>
      </c>
      <c r="MO5" s="92">
        <f t="shared" si="169"/>
        <v>1</v>
      </c>
      <c r="MP5" s="11">
        <f t="shared" ca="1" si="170"/>
        <v>107.70537464404551</v>
      </c>
      <c r="MQ5" s="11">
        <f t="shared" ca="1" si="171"/>
        <v>107.70537464404551</v>
      </c>
      <c r="MR5" s="11">
        <f t="shared" ca="1" si="400"/>
        <v>53.935451807727453</v>
      </c>
      <c r="MS5" s="11">
        <f t="shared" ca="1" si="172"/>
        <v>146.23007716368195</v>
      </c>
      <c r="MT5" s="11">
        <f t="shared" ca="1" si="173"/>
        <v>-53.77</v>
      </c>
      <c r="MU5" s="11">
        <f t="shared" ca="1" si="174"/>
        <v>0.73115038581840974</v>
      </c>
      <c r="MV5" s="12">
        <f t="shared" ca="1" si="175"/>
        <v>146.23007716368195</v>
      </c>
      <c r="MW5" s="79">
        <v>-30</v>
      </c>
      <c r="MX5" s="12">
        <f t="shared" ca="1" si="401"/>
        <v>116.23007716368195</v>
      </c>
      <c r="MY5" s="18">
        <f t="shared" ca="1" si="176"/>
        <v>0.58115038581840972</v>
      </c>
      <c r="NA5" s="13">
        <f t="shared" ca="1" si="177"/>
        <v>116.23007716368195</v>
      </c>
      <c r="NB5" s="13">
        <f ca="1">INDEX(Totals[[#Data],[#Totals],[Car - Note]:[NONTRACKED]],MATCH(NA$1,Totals[Date],0),MATCH($C5,Totals[[#Headers],[Car - Note]:[NONTRACKED]],0))</f>
        <v>-43.94</v>
      </c>
      <c r="NC5" s="13">
        <f t="shared" ca="1" si="402"/>
        <v>72.290077163681957</v>
      </c>
      <c r="ND5" s="13">
        <v>250</v>
      </c>
      <c r="NE5" s="13">
        <v>200</v>
      </c>
      <c r="NF5" s="13" t="b">
        <f t="shared" ca="1" si="403"/>
        <v>0</v>
      </c>
      <c r="NG5" s="94">
        <f t="shared" si="178"/>
        <v>0</v>
      </c>
      <c r="NH5" s="13">
        <f t="shared" ca="1" si="179"/>
        <v>0</v>
      </c>
      <c r="NI5" s="13">
        <f t="shared" ca="1" si="404"/>
        <v>0</v>
      </c>
      <c r="NJ5" s="94">
        <f t="shared" si="180"/>
        <v>1</v>
      </c>
      <c r="NK5" s="13">
        <f t="shared" ca="1" si="181"/>
        <v>127.70992283631804</v>
      </c>
      <c r="NL5" s="13">
        <f t="shared" ca="1" si="182"/>
        <v>127.70992283631804</v>
      </c>
      <c r="NM5" s="13">
        <f t="shared" ca="1" si="405"/>
        <v>127.70992283631804</v>
      </c>
      <c r="NN5" s="13">
        <f t="shared" ca="1" si="183"/>
        <v>200</v>
      </c>
      <c r="NO5" s="13">
        <f t="shared" ca="1" si="184"/>
        <v>0</v>
      </c>
      <c r="NP5" s="13">
        <f t="shared" ca="1" si="185"/>
        <v>1</v>
      </c>
      <c r="NQ5" s="12">
        <f t="shared" ca="1" si="186"/>
        <v>200</v>
      </c>
      <c r="NR5" s="79"/>
      <c r="NS5" s="12">
        <f t="shared" ca="1" si="406"/>
        <v>200</v>
      </c>
      <c r="NT5" s="18">
        <f t="shared" ca="1" si="187"/>
        <v>1</v>
      </c>
      <c r="NV5" s="19">
        <f t="shared" ca="1" si="188"/>
        <v>200</v>
      </c>
      <c r="NW5" s="19">
        <f ca="1">INDEX(Totals[[#Data],[#Totals],[Car - Note]:[NONTRACKED]],MATCH(NV$1,Totals[Date],0),MATCH($C5,Totals[[#Headers],[Car - Note]:[NONTRACKED]],0))</f>
        <v>-84.03</v>
      </c>
      <c r="NX5" s="19">
        <f t="shared" ca="1" si="407"/>
        <v>115.97</v>
      </c>
      <c r="NY5" s="19">
        <v>250</v>
      </c>
      <c r="NZ5" s="19">
        <v>200</v>
      </c>
      <c r="OA5" s="19" t="b">
        <f t="shared" ca="1" si="408"/>
        <v>0</v>
      </c>
      <c r="OB5" s="100">
        <f t="shared" si="189"/>
        <v>0</v>
      </c>
      <c r="OC5" s="19">
        <f t="shared" ca="1" si="190"/>
        <v>0</v>
      </c>
      <c r="OD5" s="19">
        <f t="shared" ca="1" si="409"/>
        <v>0</v>
      </c>
      <c r="OE5" s="100">
        <f t="shared" si="191"/>
        <v>1</v>
      </c>
      <c r="OF5" s="19">
        <f t="shared" ca="1" si="192"/>
        <v>84.03</v>
      </c>
      <c r="OG5" s="19">
        <f t="shared" ca="1" si="193"/>
        <v>84.03</v>
      </c>
      <c r="OH5" s="19">
        <f t="shared" ca="1" si="410"/>
        <v>64.81310805071189</v>
      </c>
      <c r="OI5" s="19">
        <f t="shared" ca="1" si="194"/>
        <v>180.78310805071189</v>
      </c>
      <c r="OJ5" s="19">
        <f t="shared" ca="1" si="195"/>
        <v>-19.22</v>
      </c>
      <c r="OK5" s="19">
        <f t="shared" ca="1" si="196"/>
        <v>0.90391554025355947</v>
      </c>
      <c r="OL5" s="12">
        <f t="shared" ca="1" si="197"/>
        <v>180.78310805071189</v>
      </c>
      <c r="OM5" s="79"/>
      <c r="ON5" s="12">
        <f t="shared" ca="1" si="411"/>
        <v>180.78310805071189</v>
      </c>
      <c r="OO5" s="18">
        <f t="shared" ca="1" si="198"/>
        <v>0.90391554025355947</v>
      </c>
      <c r="OQ5" s="11">
        <f t="shared" ca="1" si="199"/>
        <v>180.78310805071189</v>
      </c>
      <c r="OR5" s="11">
        <f ca="1">INDEX(Totals[[#Data],[#Totals],[Car - Note]:[NONTRACKED]],MATCH(OQ$1,Totals[Date],0),MATCH($C5,Totals[[#Headers],[Car - Note]:[NONTRACKED]],0))</f>
        <v>-56.51</v>
      </c>
      <c r="OS5" s="11">
        <f t="shared" ca="1" si="412"/>
        <v>124.2731080507119</v>
      </c>
      <c r="OT5" s="11">
        <v>250</v>
      </c>
      <c r="OU5" s="11">
        <v>200</v>
      </c>
      <c r="OV5" s="11" t="b">
        <f t="shared" ca="1" si="413"/>
        <v>0</v>
      </c>
      <c r="OW5" s="92">
        <f t="shared" si="200"/>
        <v>0</v>
      </c>
      <c r="OX5" s="11">
        <f t="shared" ca="1" si="201"/>
        <v>0</v>
      </c>
      <c r="OY5" s="11">
        <f t="shared" ca="1" si="414"/>
        <v>0</v>
      </c>
      <c r="OZ5" s="92">
        <f t="shared" si="202"/>
        <v>1</v>
      </c>
      <c r="PA5" s="11">
        <f t="shared" ca="1" si="203"/>
        <v>75.726891949288103</v>
      </c>
      <c r="PB5" s="11">
        <f t="shared" ca="1" si="204"/>
        <v>75.726891949288103</v>
      </c>
      <c r="PC5" s="11">
        <f t="shared" ca="1" si="415"/>
        <v>44.978407682152337</v>
      </c>
      <c r="PD5" s="11">
        <f t="shared" ca="1" si="205"/>
        <v>169.25151573286422</v>
      </c>
      <c r="PE5" s="11">
        <f t="shared" ca="1" si="206"/>
        <v>-30.75</v>
      </c>
      <c r="PF5" s="11">
        <f t="shared" ca="1" si="207"/>
        <v>0.84625757866432105</v>
      </c>
      <c r="PG5" s="12">
        <f t="shared" ca="1" si="208"/>
        <v>169.25151573286422</v>
      </c>
      <c r="PH5" s="79"/>
      <c r="PI5" s="12">
        <f t="shared" ca="1" si="416"/>
        <v>169.25151573286422</v>
      </c>
      <c r="PJ5" s="18">
        <f t="shared" ca="1" si="209"/>
        <v>0.84625757866432105</v>
      </c>
      <c r="PL5" s="13">
        <f t="shared" ca="1" si="210"/>
        <v>169.25151573286422</v>
      </c>
      <c r="PM5" s="13">
        <f ca="1">INDEX(Totals[[#Data],[#Totals],[Car - Note]:[NONTRACKED]],MATCH(PL$1,Totals[Date],0),MATCH($C5,Totals[[#Headers],[Car - Note]:[NONTRACKED]],0))</f>
        <v>-52.18</v>
      </c>
      <c r="PN5" s="13">
        <f t="shared" ca="1" si="417"/>
        <v>117.07151573286421</v>
      </c>
      <c r="PO5" s="13">
        <v>250</v>
      </c>
      <c r="PP5" s="13">
        <v>200</v>
      </c>
      <c r="PQ5" s="13" t="b">
        <f t="shared" ca="1" si="418"/>
        <v>0</v>
      </c>
      <c r="PR5" s="94">
        <f t="shared" si="211"/>
        <v>0</v>
      </c>
      <c r="PS5" s="13">
        <f t="shared" ca="1" si="212"/>
        <v>0</v>
      </c>
      <c r="PT5" s="13">
        <f t="shared" ca="1" si="419"/>
        <v>0</v>
      </c>
      <c r="PU5" s="94">
        <f t="shared" si="213"/>
        <v>1</v>
      </c>
      <c r="PV5" s="13">
        <f t="shared" ca="1" si="214"/>
        <v>82.928484267135786</v>
      </c>
      <c r="PW5" s="13">
        <f t="shared" ca="1" si="215"/>
        <v>82.928484267135786</v>
      </c>
      <c r="PX5" s="13">
        <f t="shared" ca="1" si="420"/>
        <v>58.584618744644246</v>
      </c>
      <c r="PY5" s="13">
        <f t="shared" ca="1" si="216"/>
        <v>175.65613447750846</v>
      </c>
      <c r="PZ5" s="13">
        <f t="shared" ca="1" si="217"/>
        <v>-24.34</v>
      </c>
      <c r="QA5" s="13">
        <f t="shared" ca="1" si="218"/>
        <v>0.87828067238754226</v>
      </c>
      <c r="QB5" s="12">
        <f t="shared" ca="1" si="219"/>
        <v>175.65613447750846</v>
      </c>
      <c r="QC5" s="79"/>
      <c r="QD5" s="12">
        <f t="shared" ca="1" si="421"/>
        <v>175.65613447750846</v>
      </c>
      <c r="QE5" s="18">
        <f t="shared" ca="1" si="220"/>
        <v>0.87828067238754226</v>
      </c>
      <c r="QG5" s="19">
        <f t="shared" ca="1" si="221"/>
        <v>175.65613447750846</v>
      </c>
      <c r="QH5" s="19">
        <f ca="1">INDEX(Totals[[#Data],[#Totals],[Car - Note]:[NONTRACKED]],MATCH(QG$1,Totals[Date],0),MATCH($C5,Totals[[#Headers],[Car - Note]:[NONTRACKED]],0))</f>
        <v>-265.68</v>
      </c>
      <c r="QI5" s="19">
        <f t="shared" ca="1" si="422"/>
        <v>-90.023865522491548</v>
      </c>
      <c r="QJ5" s="19">
        <v>250</v>
      </c>
      <c r="QK5" s="19">
        <v>200</v>
      </c>
      <c r="QL5" s="19" t="b">
        <f t="shared" ca="1" si="423"/>
        <v>0</v>
      </c>
      <c r="QM5" s="100">
        <f t="shared" si="222"/>
        <v>0</v>
      </c>
      <c r="QN5" s="19">
        <f t="shared" ca="1" si="223"/>
        <v>0</v>
      </c>
      <c r="QO5" s="19">
        <f t="shared" ca="1" si="424"/>
        <v>0</v>
      </c>
      <c r="QP5" s="100">
        <f t="shared" si="224"/>
        <v>1</v>
      </c>
      <c r="QQ5" s="19">
        <f t="shared" ca="1" si="225"/>
        <v>290.02386552249152</v>
      </c>
      <c r="QR5" s="19">
        <f t="shared" ca="1" si="226"/>
        <v>250</v>
      </c>
      <c r="QS5" s="19">
        <f t="shared" ca="1" si="425"/>
        <v>174.67732202009964</v>
      </c>
      <c r="QT5" s="19">
        <f t="shared" ca="1" si="227"/>
        <v>84.65345649760809</v>
      </c>
      <c r="QU5" s="19">
        <f t="shared" ca="1" si="228"/>
        <v>-115.35</v>
      </c>
      <c r="QV5" s="19">
        <f t="shared" ca="1" si="229"/>
        <v>0.42326728248804046</v>
      </c>
      <c r="QW5" s="12">
        <f t="shared" ca="1" si="230"/>
        <v>84.65345649760809</v>
      </c>
      <c r="QX5" s="79"/>
      <c r="QY5" s="12">
        <f t="shared" ca="1" si="426"/>
        <v>84.65345649760809</v>
      </c>
      <c r="QZ5" s="18">
        <f t="shared" ca="1" si="231"/>
        <v>0.42326728248804046</v>
      </c>
      <c r="RB5" s="11">
        <f t="shared" ca="1" si="232"/>
        <v>84.65345649760809</v>
      </c>
      <c r="RC5" s="11">
        <f ca="1">INDEX(Totals[[#Data],[#Totals],[Car - Note]:[NONTRACKED]],MATCH(RB$1,Totals[Date],0),MATCH($C5,Totals[[#Headers],[Car - Note]:[NONTRACKED]],0))</f>
        <v>-79.410000000000011</v>
      </c>
      <c r="RD5" s="11">
        <f t="shared" ca="1" si="427"/>
        <v>5.2434564976080793</v>
      </c>
      <c r="RE5" s="11">
        <v>250</v>
      </c>
      <c r="RF5" s="11">
        <v>200</v>
      </c>
      <c r="RG5" s="11" t="b">
        <f t="shared" ca="1" si="428"/>
        <v>0</v>
      </c>
      <c r="RH5" s="92">
        <f t="shared" si="233"/>
        <v>0</v>
      </c>
      <c r="RI5" s="11">
        <f t="shared" ca="1" si="234"/>
        <v>0</v>
      </c>
      <c r="RJ5" s="11">
        <f t="shared" ca="1" si="429"/>
        <v>0</v>
      </c>
      <c r="RK5" s="92">
        <f t="shared" si="235"/>
        <v>1</v>
      </c>
      <c r="RL5" s="11">
        <f t="shared" ca="1" si="236"/>
        <v>194.75654350239193</v>
      </c>
      <c r="RM5" s="11">
        <f t="shared" ca="1" si="237"/>
        <v>194.75654350239193</v>
      </c>
      <c r="RN5" s="11">
        <f t="shared" ca="1" si="430"/>
        <v>114.48883712367228</v>
      </c>
      <c r="RO5" s="11">
        <f t="shared" ca="1" si="238"/>
        <v>119.73229362128036</v>
      </c>
      <c r="RP5" s="11">
        <f t="shared" ca="1" si="239"/>
        <v>-80.27</v>
      </c>
      <c r="RQ5" s="11">
        <f t="shared" ca="1" si="240"/>
        <v>0.59866146810640186</v>
      </c>
      <c r="RR5" s="12">
        <f t="shared" ca="1" si="241"/>
        <v>119.73229362128036</v>
      </c>
      <c r="RS5" s="79"/>
      <c r="RT5" s="12">
        <f t="shared" ca="1" si="431"/>
        <v>119.73229362128036</v>
      </c>
      <c r="RU5" s="18">
        <f t="shared" ca="1" si="242"/>
        <v>0.59866146810640186</v>
      </c>
      <c r="RW5" s="13">
        <f t="shared" ca="1" si="243"/>
        <v>119.73229362128036</v>
      </c>
      <c r="RX5" s="13">
        <f ca="1">INDEX(Totals[[#Data],[#Totals],[Car - Note]:[NONTRACKED]],MATCH(RW$1,Totals[Date],0),MATCH($C5,Totals[[#Headers],[Car - Note]:[NONTRACKED]],0))</f>
        <v>-26.9</v>
      </c>
      <c r="RY5" s="13">
        <f t="shared" ca="1" si="432"/>
        <v>92.832293621280371</v>
      </c>
      <c r="RZ5" s="13">
        <v>250</v>
      </c>
      <c r="SA5" s="13">
        <v>200</v>
      </c>
      <c r="SB5" s="13" t="b">
        <f t="shared" ca="1" si="433"/>
        <v>0</v>
      </c>
      <c r="SC5" s="94">
        <f t="shared" si="244"/>
        <v>0</v>
      </c>
      <c r="SD5" s="13">
        <f t="shared" ca="1" si="245"/>
        <v>0</v>
      </c>
      <c r="SE5" s="13">
        <f t="shared" ca="1" si="434"/>
        <v>0</v>
      </c>
      <c r="SF5" s="94">
        <f t="shared" si="246"/>
        <v>1</v>
      </c>
      <c r="SG5" s="13">
        <f t="shared" ca="1" si="247"/>
        <v>107.16770637871963</v>
      </c>
      <c r="SH5" s="13">
        <f t="shared" ca="1" si="248"/>
        <v>107.16770637871963</v>
      </c>
      <c r="SI5" s="13">
        <f t="shared" ca="1" si="435"/>
        <v>94.051502285848571</v>
      </c>
      <c r="SJ5" s="13">
        <f t="shared" ca="1" si="249"/>
        <v>186.88379590712896</v>
      </c>
      <c r="SK5" s="13">
        <f t="shared" ca="1" si="250"/>
        <v>-13.12</v>
      </c>
      <c r="SL5" s="13">
        <f t="shared" ca="1" si="251"/>
        <v>0.93441897953564479</v>
      </c>
      <c r="SM5" s="12">
        <f t="shared" ca="1" si="252"/>
        <v>186.88379590712896</v>
      </c>
      <c r="SN5" s="79"/>
      <c r="SO5" s="12">
        <f t="shared" ca="1" si="436"/>
        <v>186.88379590712896</v>
      </c>
      <c r="SP5" s="18">
        <f t="shared" ca="1" si="253"/>
        <v>0.93441897953564479</v>
      </c>
      <c r="SR5" s="19">
        <f t="shared" ca="1" si="254"/>
        <v>186.88379590712896</v>
      </c>
      <c r="SS5" s="19">
        <f ca="1">INDEX(Totals[[#Data],[#Totals],[Car - Note]:[NONTRACKED]],MATCH(SR$1,Totals[Date],0),MATCH($C5,Totals[[#Headers],[Car - Note]:[NONTRACKED]],0))</f>
        <v>-143.19999999999999</v>
      </c>
      <c r="ST5" s="19">
        <f t="shared" ca="1" si="437"/>
        <v>43.683795907128967</v>
      </c>
      <c r="SU5" s="19">
        <v>250</v>
      </c>
      <c r="SV5" s="19">
        <v>200</v>
      </c>
      <c r="SW5" s="19" t="b">
        <f t="shared" ca="1" si="438"/>
        <v>0</v>
      </c>
      <c r="SX5" s="100">
        <f t="shared" si="255"/>
        <v>0</v>
      </c>
      <c r="SY5" s="19">
        <f t="shared" ca="1" si="256"/>
        <v>0</v>
      </c>
      <c r="SZ5" s="19">
        <f t="shared" ca="1" si="439"/>
        <v>0</v>
      </c>
      <c r="TA5" s="100">
        <f t="shared" si="257"/>
        <v>1</v>
      </c>
      <c r="TB5" s="19">
        <f t="shared" ca="1" si="258"/>
        <v>156.31620409287103</v>
      </c>
      <c r="TC5" s="19">
        <f t="shared" ca="1" si="259"/>
        <v>156.31620409287103</v>
      </c>
      <c r="TD5" s="19">
        <f t="shared" ca="1" si="440"/>
        <v>113.58001936198043</v>
      </c>
      <c r="TE5" s="19">
        <f t="shared" ca="1" si="260"/>
        <v>157.26381526910939</v>
      </c>
      <c r="TF5" s="19">
        <f t="shared" ca="1" si="261"/>
        <v>-42.74</v>
      </c>
      <c r="TG5" s="19">
        <f t="shared" ca="1" si="262"/>
        <v>0.78631907634554699</v>
      </c>
      <c r="TH5" s="12">
        <f t="shared" ca="1" si="263"/>
        <v>157.26381526910939</v>
      </c>
      <c r="TI5" s="79"/>
      <c r="TJ5" s="12">
        <f t="shared" ca="1" si="441"/>
        <v>157.26381526910939</v>
      </c>
      <c r="TK5" s="18">
        <f t="shared" ca="1" si="264"/>
        <v>0.78631907634554699</v>
      </c>
      <c r="TM5" s="11">
        <f t="shared" ca="1" si="265"/>
        <v>157.26381526910939</v>
      </c>
      <c r="TN5" s="11">
        <f ca="1">INDEX(Totals[[#Data],[#Totals],[Car - Note]:[NONTRACKED]],MATCH(TM$1,Totals[Date],0),MATCH($C5,Totals[[#Headers],[Car - Note]:[NONTRACKED]],0))</f>
        <v>-53.07</v>
      </c>
      <c r="TO5" s="11">
        <f t="shared" ca="1" si="442"/>
        <v>104.19381526910939</v>
      </c>
      <c r="TP5" s="11">
        <v>250</v>
      </c>
      <c r="TQ5" s="11">
        <v>200</v>
      </c>
      <c r="TR5" s="11" t="b">
        <f t="shared" ca="1" si="443"/>
        <v>0</v>
      </c>
      <c r="TS5" s="92">
        <f t="shared" si="266"/>
        <v>0</v>
      </c>
      <c r="TT5" s="11">
        <f t="shared" ca="1" si="267"/>
        <v>0</v>
      </c>
      <c r="TU5" s="11">
        <f t="shared" ca="1" si="444"/>
        <v>0</v>
      </c>
      <c r="TV5" s="92">
        <f t="shared" si="268"/>
        <v>1</v>
      </c>
      <c r="TW5" s="11">
        <f t="shared" ca="1" si="269"/>
        <v>95.806184730890607</v>
      </c>
      <c r="TX5" s="11">
        <f t="shared" ca="1" si="270"/>
        <v>95.806184730890607</v>
      </c>
      <c r="TY5" s="11">
        <f t="shared" ca="1" si="445"/>
        <v>60.9813830731133</v>
      </c>
      <c r="TZ5" s="11">
        <f t="shared" ca="1" si="271"/>
        <v>165.1751983422227</v>
      </c>
      <c r="UA5" s="11">
        <f t="shared" ca="1" si="272"/>
        <v>-34.82</v>
      </c>
      <c r="UB5" s="11">
        <f t="shared" ca="1" si="273"/>
        <v>0.82587599171111348</v>
      </c>
      <c r="UC5" s="12">
        <f t="shared" ca="1" si="274"/>
        <v>165.1751983422227</v>
      </c>
      <c r="UD5" s="79"/>
      <c r="UE5" s="12">
        <f t="shared" ca="1" si="446"/>
        <v>165.1751983422227</v>
      </c>
      <c r="UF5" s="18">
        <f t="shared" ca="1" si="275"/>
        <v>0.82587599171111348</v>
      </c>
      <c r="UH5" s="13">
        <f t="shared" ca="1" si="276"/>
        <v>165.1751983422227</v>
      </c>
      <c r="UI5" s="13">
        <f ca="1">INDEX(Totals[[#Data],[#Totals],[Car - Note]:[NONTRACKED]],MATCH(UH$1,Totals[Date],0),MATCH($C5,Totals[[#Headers],[Car - Note]:[NONTRACKED]],0))</f>
        <v>-42.32</v>
      </c>
      <c r="UJ5" s="13">
        <f t="shared" ca="1" si="447"/>
        <v>122.85519834222271</v>
      </c>
      <c r="UK5" s="13">
        <v>250</v>
      </c>
      <c r="UL5" s="13">
        <v>200</v>
      </c>
      <c r="UM5" s="13" t="b">
        <f t="shared" ca="1" si="448"/>
        <v>0</v>
      </c>
      <c r="UN5" s="94">
        <f t="shared" si="277"/>
        <v>0</v>
      </c>
      <c r="UO5" s="13">
        <f t="shared" ca="1" si="278"/>
        <v>0</v>
      </c>
      <c r="UP5" s="13">
        <f t="shared" ca="1" si="449"/>
        <v>0</v>
      </c>
      <c r="UQ5" s="94">
        <f t="shared" si="279"/>
        <v>1</v>
      </c>
      <c r="UR5" s="13">
        <f t="shared" ca="1" si="280"/>
        <v>77.144801657777293</v>
      </c>
      <c r="US5" s="13">
        <f t="shared" ca="1" si="281"/>
        <v>77.144801657777293</v>
      </c>
      <c r="UT5" s="13">
        <f t="shared" ca="1" si="450"/>
        <v>77.144801657777293</v>
      </c>
      <c r="UU5" s="13">
        <f t="shared" ca="1" si="282"/>
        <v>200</v>
      </c>
      <c r="UV5" s="13">
        <f t="shared" ca="1" si="283"/>
        <v>0</v>
      </c>
      <c r="UW5" s="13">
        <f t="shared" ca="1" si="284"/>
        <v>1</v>
      </c>
      <c r="UX5" s="12">
        <f t="shared" ca="1" si="285"/>
        <v>200</v>
      </c>
      <c r="UY5" s="79"/>
      <c r="UZ5" s="12">
        <f t="shared" ca="1" si="451"/>
        <v>200</v>
      </c>
      <c r="VA5" s="18">
        <f t="shared" ca="1" si="286"/>
        <v>1</v>
      </c>
      <c r="VC5" s="19">
        <f t="shared" ca="1" si="287"/>
        <v>200</v>
      </c>
      <c r="VD5" s="19">
        <f ca="1">INDEX(Totals[[#Data],[#Totals],[Car - Note]:[NONTRACKED]],MATCH(VC$1,Totals[Date],0),MATCH($C5,Totals[[#Headers],[Car - Note]:[NONTRACKED]],0))</f>
        <v>-48.34</v>
      </c>
      <c r="VE5" s="19">
        <f t="shared" ca="1" si="452"/>
        <v>151.66</v>
      </c>
      <c r="VF5" s="19">
        <v>250</v>
      </c>
      <c r="VG5" s="19">
        <v>200</v>
      </c>
      <c r="VH5" s="19" t="b">
        <f t="shared" ca="1" si="453"/>
        <v>0</v>
      </c>
      <c r="VI5" s="100">
        <f t="shared" si="288"/>
        <v>0</v>
      </c>
      <c r="VJ5" s="19">
        <f t="shared" ca="1" si="289"/>
        <v>0</v>
      </c>
      <c r="VK5" s="19">
        <f t="shared" ca="1" si="454"/>
        <v>0</v>
      </c>
      <c r="VL5" s="100">
        <f t="shared" si="290"/>
        <v>1</v>
      </c>
      <c r="VM5" s="19">
        <f t="shared" ca="1" si="291"/>
        <v>48.34</v>
      </c>
      <c r="VN5" s="19">
        <f t="shared" ca="1" si="292"/>
        <v>48.34</v>
      </c>
      <c r="VO5" s="19">
        <f t="shared" ca="1" si="455"/>
        <v>32.046480039430818</v>
      </c>
      <c r="VP5" s="19">
        <f t="shared" ca="1" si="293"/>
        <v>183.7064800394308</v>
      </c>
      <c r="VQ5" s="19">
        <f t="shared" ca="1" si="294"/>
        <v>-16.29</v>
      </c>
      <c r="VR5" s="19">
        <f t="shared" ca="1" si="295"/>
        <v>0.91853240019715399</v>
      </c>
      <c r="VS5" s="12">
        <f t="shared" ca="1" si="296"/>
        <v>183.7064800394308</v>
      </c>
      <c r="VT5" s="79"/>
      <c r="VU5" s="12">
        <f t="shared" ca="1" si="456"/>
        <v>183.7064800394308</v>
      </c>
      <c r="VV5" s="18">
        <f t="shared" ca="1" si="297"/>
        <v>0.91853240019715399</v>
      </c>
      <c r="VX5" s="11">
        <f t="shared" ca="1" si="298"/>
        <v>183.7064800394308</v>
      </c>
      <c r="VY5" s="11">
        <f ca="1">INDEX(Totals[[#Data],[#Totals],[Car - Note]:[NONTRACKED]],MATCH(VX$1,Totals[Date],0),MATCH($C5,Totals[[#Headers],[Car - Note]:[NONTRACKED]],0))</f>
        <v>0</v>
      </c>
      <c r="VZ5" s="11">
        <f t="shared" ca="1" si="457"/>
        <v>183.7064800394308</v>
      </c>
      <c r="WA5" s="11">
        <v>250</v>
      </c>
      <c r="WB5" s="11">
        <v>200</v>
      </c>
      <c r="WC5" s="11" t="b">
        <f t="shared" ca="1" si="458"/>
        <v>0</v>
      </c>
      <c r="WD5" s="92">
        <f t="shared" si="299"/>
        <v>0</v>
      </c>
      <c r="WE5" s="11">
        <f t="shared" ca="1" si="300"/>
        <v>0</v>
      </c>
      <c r="WF5" s="11">
        <f t="shared" ca="1" si="459"/>
        <v>0</v>
      </c>
      <c r="WG5" s="92">
        <f t="shared" si="301"/>
        <v>1</v>
      </c>
      <c r="WH5" s="11">
        <f t="shared" ca="1" si="302"/>
        <v>16.293519960569199</v>
      </c>
      <c r="WI5" s="11">
        <f t="shared" ca="1" si="303"/>
        <v>16.293519960569199</v>
      </c>
      <c r="WJ5" s="11">
        <f t="shared" ca="1" si="460"/>
        <v>9.7303324963469944</v>
      </c>
      <c r="WK5" s="11">
        <f t="shared" ca="1" si="304"/>
        <v>193.43681253577779</v>
      </c>
      <c r="WL5" s="11">
        <f t="shared" ca="1" si="305"/>
        <v>-6.56</v>
      </c>
      <c r="WM5" s="11">
        <f t="shared" ca="1" si="306"/>
        <v>0.9671840626788889</v>
      </c>
      <c r="WN5" s="12">
        <f t="shared" ca="1" si="307"/>
        <v>193.43681253577779</v>
      </c>
      <c r="WO5" s="79"/>
      <c r="WP5" s="12">
        <f t="shared" ca="1" si="461"/>
        <v>193.43681253577779</v>
      </c>
      <c r="WQ5" s="18">
        <f t="shared" ca="1" si="308"/>
        <v>0.9671840626788889</v>
      </c>
      <c r="WS5" s="13">
        <f t="shared" ca="1" si="309"/>
        <v>193.43681253577779</v>
      </c>
      <c r="WT5" s="13">
        <f ca="1">INDEX(Totals[[#Data],[#Totals],[Car - Note]:[NONTRACKED]],MATCH(WS$1,Totals[Date],0),MATCH($C5,Totals[[#Headers],[Car - Note]:[NONTRACKED]],0))</f>
        <v>0</v>
      </c>
      <c r="WU5" s="13">
        <f t="shared" ca="1" si="462"/>
        <v>193.43681253577779</v>
      </c>
      <c r="WV5" s="13">
        <v>250</v>
      </c>
      <c r="WW5" s="13">
        <v>200</v>
      </c>
      <c r="WX5" s="13" t="b">
        <f t="shared" ca="1" si="463"/>
        <v>0</v>
      </c>
      <c r="WY5" s="94">
        <f t="shared" si="310"/>
        <v>0</v>
      </c>
      <c r="WZ5" s="13">
        <f t="shared" ca="1" si="311"/>
        <v>0</v>
      </c>
      <c r="XA5" s="13">
        <f t="shared" ca="1" si="464"/>
        <v>0</v>
      </c>
      <c r="XB5" s="94">
        <f t="shared" si="312"/>
        <v>1</v>
      </c>
      <c r="XC5" s="13">
        <f t="shared" ca="1" si="313"/>
        <v>6.5631874642222101</v>
      </c>
      <c r="XD5" s="13">
        <f t="shared" ca="1" si="314"/>
        <v>6.5631874642222101</v>
      </c>
      <c r="XE5" s="13">
        <f t="shared" ca="1" si="465"/>
        <v>6.2160996089979834</v>
      </c>
      <c r="XF5" s="13">
        <f t="shared" ca="1" si="315"/>
        <v>199.65291214477577</v>
      </c>
      <c r="XG5" s="13">
        <f t="shared" ca="1" si="316"/>
        <v>-0.35</v>
      </c>
      <c r="XH5" s="13">
        <f t="shared" ca="1" si="317"/>
        <v>0.99826456072387881</v>
      </c>
      <c r="XI5" s="12">
        <f t="shared" ca="1" si="318"/>
        <v>199.65291214477577</v>
      </c>
      <c r="XJ5" s="104">
        <f t="shared" ca="1" si="319"/>
        <v>0.34708785522423113</v>
      </c>
      <c r="XK5" s="12">
        <f t="shared" ca="1" si="466"/>
        <v>200</v>
      </c>
      <c r="XL5" s="18">
        <f t="shared" ca="1" si="320"/>
        <v>1</v>
      </c>
      <c r="XN5">
        <v>0.3</v>
      </c>
      <c r="XO5" s="103">
        <f t="shared" ca="1" si="467"/>
        <v>58.031043760733333</v>
      </c>
      <c r="XP5" s="12">
        <f t="shared" ca="1" si="468"/>
        <v>135.40576877504446</v>
      </c>
      <c r="XQ5" s="102">
        <f t="shared" ca="1" si="469"/>
        <v>0.67702884387522233</v>
      </c>
    </row>
    <row r="6" spans="1:641" x14ac:dyDescent="0.25">
      <c r="A6" s="112"/>
      <c r="B6" t="s">
        <v>48</v>
      </c>
      <c r="C6" t="s">
        <v>169</v>
      </c>
      <c r="D6" s="79">
        <v>0</v>
      </c>
      <c r="E6" t="b">
        <f>TRUE</f>
        <v>1</v>
      </c>
      <c r="H6" s="48">
        <v>0</v>
      </c>
      <c r="I6" s="48"/>
      <c r="J6" s="48"/>
      <c r="K6" s="48" t="s">
        <v>198</v>
      </c>
      <c r="L6" s="95">
        <v>0</v>
      </c>
      <c r="M6" s="48"/>
      <c r="N6" s="96"/>
      <c r="O6" s="48"/>
      <c r="P6" s="48"/>
      <c r="Q6" s="96"/>
      <c r="R6" s="48"/>
      <c r="S6" s="48"/>
      <c r="T6" s="48"/>
      <c r="U6" s="48"/>
      <c r="V6" s="48"/>
      <c r="W6" s="48"/>
      <c r="X6" s="48"/>
      <c r="Y6" s="48"/>
      <c r="Z6" s="48">
        <f t="shared" si="321"/>
        <v>0</v>
      </c>
      <c r="AA6" s="98" t="str">
        <f t="shared" si="0"/>
        <v>NA</v>
      </c>
      <c r="AC6" s="11">
        <f t="shared" si="1"/>
        <v>0</v>
      </c>
      <c r="AD6" s="11">
        <f ca="1">INDEX(Totals[[#Data],[#Totals],[Car - Note]:[NONTRACKED]],MATCH(AC$1,Totals[Date],0),MATCH($C6,Totals[[#Headers],[Car - Note]:[NONTRACKED]],0))</f>
        <v>0</v>
      </c>
      <c r="AE6" s="11">
        <f t="shared" ca="1" si="322"/>
        <v>0</v>
      </c>
      <c r="AF6" s="11" t="s">
        <v>198</v>
      </c>
      <c r="AG6" s="11">
        <v>0</v>
      </c>
      <c r="AH6" s="11" t="b">
        <f t="shared" ca="1" si="323"/>
        <v>1</v>
      </c>
      <c r="AI6" s="92">
        <f t="shared" si="2"/>
        <v>1</v>
      </c>
      <c r="AJ6" s="11">
        <f t="shared" ca="1" si="3"/>
        <v>0</v>
      </c>
      <c r="AK6" s="11">
        <f t="shared" ca="1" si="324"/>
        <v>0</v>
      </c>
      <c r="AL6" s="92">
        <f t="shared" si="4"/>
        <v>0</v>
      </c>
      <c r="AM6" s="11">
        <f t="shared" ca="1" si="5"/>
        <v>0</v>
      </c>
      <c r="AN6" s="11">
        <f t="shared" ca="1" si="6"/>
        <v>0</v>
      </c>
      <c r="AO6" s="11">
        <f t="shared" ca="1" si="325"/>
        <v>0</v>
      </c>
      <c r="AP6" s="11">
        <f t="shared" ca="1" si="7"/>
        <v>0</v>
      </c>
      <c r="AQ6" s="11">
        <f t="shared" ca="1" si="8"/>
        <v>0</v>
      </c>
      <c r="AR6" s="11" t="str">
        <f t="shared" si="9"/>
        <v>NA</v>
      </c>
      <c r="AS6" s="12">
        <f t="shared" ca="1" si="10"/>
        <v>0</v>
      </c>
      <c r="AT6" s="12"/>
      <c r="AU6" s="12">
        <f t="shared" ca="1" si="326"/>
        <v>0</v>
      </c>
      <c r="AV6" s="18" t="str">
        <f t="shared" si="11"/>
        <v>NA</v>
      </c>
      <c r="AX6" s="13">
        <f t="shared" ca="1" si="12"/>
        <v>0</v>
      </c>
      <c r="AY6" s="13">
        <f ca="1">INDEX(Totals[[#Data],[#Totals],[Car - Note]:[NONTRACKED]],MATCH(AX$1,Totals[Date],0),MATCH($C6,Totals[[#Headers],[Car - Note]:[NONTRACKED]],0))</f>
        <v>0</v>
      </c>
      <c r="AZ6" s="13">
        <f t="shared" ca="1" si="327"/>
        <v>0</v>
      </c>
      <c r="BA6" s="13" t="s">
        <v>198</v>
      </c>
      <c r="BB6" s="13">
        <v>0</v>
      </c>
      <c r="BC6" s="13" t="b">
        <f t="shared" ca="1" si="328"/>
        <v>1</v>
      </c>
      <c r="BD6" s="94">
        <f t="shared" si="13"/>
        <v>1</v>
      </c>
      <c r="BE6" s="13">
        <f t="shared" ca="1" si="14"/>
        <v>0</v>
      </c>
      <c r="BF6" s="13">
        <f t="shared" ca="1" si="329"/>
        <v>0</v>
      </c>
      <c r="BG6" s="94">
        <f t="shared" si="15"/>
        <v>0</v>
      </c>
      <c r="BH6" s="13">
        <f t="shared" ca="1" si="16"/>
        <v>0</v>
      </c>
      <c r="BI6" s="13">
        <f t="shared" ca="1" si="17"/>
        <v>0</v>
      </c>
      <c r="BJ6" s="13">
        <f t="shared" ca="1" si="330"/>
        <v>0</v>
      </c>
      <c r="BK6" s="13">
        <f t="shared" ca="1" si="18"/>
        <v>0</v>
      </c>
      <c r="BL6" s="13">
        <f t="shared" ca="1" si="19"/>
        <v>0</v>
      </c>
      <c r="BM6" s="13" t="str">
        <f t="shared" si="20"/>
        <v>NA</v>
      </c>
      <c r="BN6" s="12">
        <f t="shared" ca="1" si="21"/>
        <v>0</v>
      </c>
      <c r="BO6" s="12"/>
      <c r="BP6" s="12">
        <f t="shared" ca="1" si="331"/>
        <v>0</v>
      </c>
      <c r="BQ6" s="18" t="str">
        <f t="shared" si="22"/>
        <v>NA</v>
      </c>
      <c r="BS6" s="19">
        <f t="shared" ca="1" si="23"/>
        <v>0</v>
      </c>
      <c r="BT6" s="19">
        <f ca="1">INDEX(Totals[[#Data],[#Totals],[Car - Note]:[NONTRACKED]],MATCH(BS$1,Totals[Date],0),MATCH($C6,Totals[[#Headers],[Car - Note]:[NONTRACKED]],0))</f>
        <v>0</v>
      </c>
      <c r="BU6" s="19">
        <f t="shared" ca="1" si="332"/>
        <v>0</v>
      </c>
      <c r="BV6" s="19" t="s">
        <v>198</v>
      </c>
      <c r="BW6" s="19">
        <v>0</v>
      </c>
      <c r="BX6" s="19" t="b">
        <f t="shared" ca="1" si="333"/>
        <v>1</v>
      </c>
      <c r="BY6" s="100">
        <f t="shared" si="24"/>
        <v>1</v>
      </c>
      <c r="BZ6" s="19">
        <f t="shared" ca="1" si="25"/>
        <v>0</v>
      </c>
      <c r="CA6" s="19">
        <f t="shared" ca="1" si="334"/>
        <v>0</v>
      </c>
      <c r="CB6" s="100">
        <f t="shared" si="26"/>
        <v>0</v>
      </c>
      <c r="CC6" s="19">
        <f t="shared" ca="1" si="27"/>
        <v>0</v>
      </c>
      <c r="CD6" s="19">
        <f t="shared" ca="1" si="28"/>
        <v>0</v>
      </c>
      <c r="CE6" s="19">
        <f t="shared" ca="1" si="335"/>
        <v>0</v>
      </c>
      <c r="CF6" s="19">
        <f t="shared" ca="1" si="29"/>
        <v>0</v>
      </c>
      <c r="CG6" s="19">
        <f t="shared" ca="1" si="30"/>
        <v>0</v>
      </c>
      <c r="CH6" s="19" t="str">
        <f t="shared" si="31"/>
        <v>NA</v>
      </c>
      <c r="CI6" s="12">
        <f t="shared" ca="1" si="32"/>
        <v>0</v>
      </c>
      <c r="CJ6" s="12"/>
      <c r="CK6" s="12">
        <f t="shared" ca="1" si="336"/>
        <v>0</v>
      </c>
      <c r="CL6" s="18" t="str">
        <f t="shared" si="33"/>
        <v>NA</v>
      </c>
      <c r="CN6" s="11">
        <f t="shared" ca="1" si="34"/>
        <v>0</v>
      </c>
      <c r="CO6" s="11">
        <f ca="1">INDEX(Totals[[#Data],[#Totals],[Car - Note]:[NONTRACKED]],MATCH(CN$1,Totals[Date],0),MATCH($C6,Totals[[#Headers],[Car - Note]:[NONTRACKED]],0))</f>
        <v>0</v>
      </c>
      <c r="CP6" s="11">
        <f t="shared" ca="1" si="337"/>
        <v>0</v>
      </c>
      <c r="CQ6" s="11" t="s">
        <v>198</v>
      </c>
      <c r="CR6" s="11">
        <v>0</v>
      </c>
      <c r="CS6" s="11" t="b">
        <f t="shared" ca="1" si="338"/>
        <v>1</v>
      </c>
      <c r="CT6" s="92">
        <f t="shared" si="35"/>
        <v>1</v>
      </c>
      <c r="CU6" s="11">
        <f t="shared" ca="1" si="36"/>
        <v>0</v>
      </c>
      <c r="CV6" s="11">
        <f t="shared" ca="1" si="339"/>
        <v>0</v>
      </c>
      <c r="CW6" s="92">
        <f t="shared" si="37"/>
        <v>0</v>
      </c>
      <c r="CX6" s="11">
        <f t="shared" ca="1" si="38"/>
        <v>0</v>
      </c>
      <c r="CY6" s="11">
        <f t="shared" ca="1" si="39"/>
        <v>0</v>
      </c>
      <c r="CZ6" s="11">
        <f t="shared" ca="1" si="340"/>
        <v>0</v>
      </c>
      <c r="DA6" s="11">
        <f t="shared" ca="1" si="40"/>
        <v>0</v>
      </c>
      <c r="DB6" s="11">
        <f t="shared" ca="1" si="41"/>
        <v>0</v>
      </c>
      <c r="DC6" s="11" t="str">
        <f t="shared" si="42"/>
        <v>NA</v>
      </c>
      <c r="DD6" s="12">
        <f t="shared" ca="1" si="43"/>
        <v>0</v>
      </c>
      <c r="DE6" s="79"/>
      <c r="DF6" s="12">
        <f t="shared" ca="1" si="341"/>
        <v>0</v>
      </c>
      <c r="DG6" s="18" t="str">
        <f t="shared" si="44"/>
        <v>NA</v>
      </c>
      <c r="DI6" s="13">
        <f t="shared" ca="1" si="45"/>
        <v>0</v>
      </c>
      <c r="DJ6" s="13">
        <f ca="1">INDEX(Totals[[#Data],[#Totals],[Car - Note]:[NONTRACKED]],MATCH(DI$1,Totals[Date],0),MATCH($C6,Totals[[#Headers],[Car - Note]:[NONTRACKED]],0))</f>
        <v>0</v>
      </c>
      <c r="DK6" s="13">
        <f t="shared" ca="1" si="342"/>
        <v>0</v>
      </c>
      <c r="DL6" s="13" t="s">
        <v>198</v>
      </c>
      <c r="DM6" s="13">
        <v>0</v>
      </c>
      <c r="DN6" s="13" t="b">
        <f t="shared" ca="1" si="343"/>
        <v>1</v>
      </c>
      <c r="DO6" s="94">
        <f t="shared" si="46"/>
        <v>1</v>
      </c>
      <c r="DP6" s="13">
        <f t="shared" ca="1" si="47"/>
        <v>0</v>
      </c>
      <c r="DQ6" s="13">
        <f t="shared" ca="1" si="344"/>
        <v>0</v>
      </c>
      <c r="DR6" s="94">
        <f t="shared" si="48"/>
        <v>0</v>
      </c>
      <c r="DS6" s="13">
        <f t="shared" ca="1" si="49"/>
        <v>0</v>
      </c>
      <c r="DT6" s="13">
        <f t="shared" ca="1" si="50"/>
        <v>0</v>
      </c>
      <c r="DU6" s="13">
        <f t="shared" ca="1" si="345"/>
        <v>0</v>
      </c>
      <c r="DV6" s="13">
        <f t="shared" ca="1" si="51"/>
        <v>0</v>
      </c>
      <c r="DW6" s="13">
        <f t="shared" ca="1" si="52"/>
        <v>0</v>
      </c>
      <c r="DX6" s="13" t="str">
        <f t="shared" si="53"/>
        <v>NA</v>
      </c>
      <c r="DY6" s="12">
        <f t="shared" ca="1" si="54"/>
        <v>0</v>
      </c>
      <c r="DZ6" s="79"/>
      <c r="EA6" s="12">
        <f t="shared" ca="1" si="346"/>
        <v>0</v>
      </c>
      <c r="EB6" s="18" t="str">
        <f t="shared" si="55"/>
        <v>NA</v>
      </c>
      <c r="ED6" s="19">
        <f t="shared" ca="1" si="56"/>
        <v>0</v>
      </c>
      <c r="EE6" s="19">
        <f ca="1">INDEX(Totals[[#Data],[#Totals],[Car - Note]:[NONTRACKED]],MATCH(ED$1,Totals[Date],0),MATCH($C6,Totals[[#Headers],[Car - Note]:[NONTRACKED]],0))</f>
        <v>0</v>
      </c>
      <c r="EF6" s="19">
        <f t="shared" ca="1" si="347"/>
        <v>0</v>
      </c>
      <c r="EG6" s="19" t="s">
        <v>198</v>
      </c>
      <c r="EH6" s="19">
        <v>0</v>
      </c>
      <c r="EI6" s="19" t="b">
        <f t="shared" ca="1" si="348"/>
        <v>1</v>
      </c>
      <c r="EJ6" s="100">
        <f t="shared" si="57"/>
        <v>1</v>
      </c>
      <c r="EK6" s="19">
        <f t="shared" ca="1" si="58"/>
        <v>0</v>
      </c>
      <c r="EL6" s="19">
        <f t="shared" ca="1" si="349"/>
        <v>0</v>
      </c>
      <c r="EM6" s="100">
        <f t="shared" si="59"/>
        <v>0</v>
      </c>
      <c r="EN6" s="19">
        <f t="shared" ca="1" si="60"/>
        <v>0</v>
      </c>
      <c r="EO6" s="19">
        <f t="shared" ca="1" si="61"/>
        <v>0</v>
      </c>
      <c r="EP6" s="19">
        <f t="shared" ca="1" si="350"/>
        <v>0</v>
      </c>
      <c r="EQ6" s="19">
        <f t="shared" ca="1" si="62"/>
        <v>0</v>
      </c>
      <c r="ER6" s="19">
        <f t="shared" ca="1" si="63"/>
        <v>0</v>
      </c>
      <c r="ES6" s="19" t="str">
        <f t="shared" si="64"/>
        <v>NA</v>
      </c>
      <c r="ET6" s="12">
        <f t="shared" ca="1" si="65"/>
        <v>0</v>
      </c>
      <c r="EU6" s="79"/>
      <c r="EV6" s="12">
        <f t="shared" ca="1" si="351"/>
        <v>0</v>
      </c>
      <c r="EW6" s="18" t="str">
        <f t="shared" si="66"/>
        <v>NA</v>
      </c>
      <c r="EY6" s="11">
        <f t="shared" ca="1" si="67"/>
        <v>0</v>
      </c>
      <c r="EZ6" s="11">
        <f ca="1">INDEX(Totals[[#Data],[#Totals],[Car - Note]:[NONTRACKED]],MATCH(EY$1,Totals[Date],0),MATCH($C6,Totals[[#Headers],[Car - Note]:[NONTRACKED]],0))</f>
        <v>0</v>
      </c>
      <c r="FA6" s="11">
        <f t="shared" ca="1" si="352"/>
        <v>0</v>
      </c>
      <c r="FB6" s="11" t="s">
        <v>198</v>
      </c>
      <c r="FC6" s="11">
        <v>0</v>
      </c>
      <c r="FD6" s="11" t="b">
        <f t="shared" ca="1" si="353"/>
        <v>1</v>
      </c>
      <c r="FE6" s="92">
        <f t="shared" si="68"/>
        <v>1</v>
      </c>
      <c r="FF6" s="11">
        <f t="shared" ca="1" si="69"/>
        <v>0</v>
      </c>
      <c r="FG6" s="11">
        <f t="shared" ca="1" si="354"/>
        <v>0</v>
      </c>
      <c r="FH6" s="92">
        <f t="shared" si="70"/>
        <v>0</v>
      </c>
      <c r="FI6" s="11">
        <f t="shared" ca="1" si="71"/>
        <v>0</v>
      </c>
      <c r="FJ6" s="11">
        <f t="shared" ca="1" si="72"/>
        <v>0</v>
      </c>
      <c r="FK6" s="11">
        <f t="shared" ca="1" si="355"/>
        <v>0</v>
      </c>
      <c r="FL6" s="11">
        <f t="shared" ca="1" si="73"/>
        <v>0</v>
      </c>
      <c r="FM6" s="11">
        <f t="shared" ca="1" si="74"/>
        <v>0</v>
      </c>
      <c r="FN6" s="11" t="str">
        <f t="shared" si="75"/>
        <v>NA</v>
      </c>
      <c r="FO6" s="12">
        <f t="shared" ca="1" si="76"/>
        <v>0</v>
      </c>
      <c r="FP6" s="79"/>
      <c r="FQ6" s="12">
        <f t="shared" ca="1" si="356"/>
        <v>0</v>
      </c>
      <c r="FR6" s="18" t="str">
        <f t="shared" si="77"/>
        <v>NA</v>
      </c>
      <c r="FT6" s="13">
        <f t="shared" ca="1" si="78"/>
        <v>0</v>
      </c>
      <c r="FU6" s="13">
        <f ca="1">INDEX(Totals[[#Data],[#Totals],[Car - Note]:[NONTRACKED]],MATCH(FT$1,Totals[Date],0),MATCH($C6,Totals[[#Headers],[Car - Note]:[NONTRACKED]],0))</f>
        <v>0</v>
      </c>
      <c r="FV6" s="13">
        <f t="shared" ca="1" si="357"/>
        <v>0</v>
      </c>
      <c r="FW6" s="13" t="s">
        <v>198</v>
      </c>
      <c r="FX6" s="13">
        <v>0</v>
      </c>
      <c r="FY6" s="13" t="b">
        <f t="shared" ca="1" si="358"/>
        <v>1</v>
      </c>
      <c r="FZ6" s="94">
        <f t="shared" si="79"/>
        <v>1</v>
      </c>
      <c r="GA6" s="13">
        <f t="shared" ca="1" si="80"/>
        <v>0</v>
      </c>
      <c r="GB6" s="13">
        <f t="shared" ca="1" si="359"/>
        <v>0</v>
      </c>
      <c r="GC6" s="94">
        <f t="shared" si="81"/>
        <v>0</v>
      </c>
      <c r="GD6" s="13">
        <f t="shared" ca="1" si="82"/>
        <v>0</v>
      </c>
      <c r="GE6" s="13">
        <f t="shared" ca="1" si="83"/>
        <v>0</v>
      </c>
      <c r="GF6" s="13">
        <f t="shared" ca="1" si="360"/>
        <v>0</v>
      </c>
      <c r="GG6" s="13">
        <f t="shared" ca="1" si="84"/>
        <v>0</v>
      </c>
      <c r="GH6" s="13">
        <f t="shared" ca="1" si="85"/>
        <v>0</v>
      </c>
      <c r="GI6" s="13" t="str">
        <f t="shared" si="86"/>
        <v>NA</v>
      </c>
      <c r="GJ6" s="12">
        <f t="shared" ca="1" si="87"/>
        <v>0</v>
      </c>
      <c r="GK6" s="79"/>
      <c r="GL6" s="12">
        <f t="shared" ca="1" si="361"/>
        <v>0</v>
      </c>
      <c r="GM6" s="18" t="str">
        <f t="shared" si="88"/>
        <v>NA</v>
      </c>
      <c r="GO6" s="19">
        <f t="shared" ca="1" si="89"/>
        <v>0</v>
      </c>
      <c r="GP6" s="19">
        <f ca="1">INDEX(Totals[[#Data],[#Totals],[Car - Note]:[NONTRACKED]],MATCH(GO$1,Totals[Date],0),MATCH($C6,Totals[[#Headers],[Car - Note]:[NONTRACKED]],0))</f>
        <v>0</v>
      </c>
      <c r="GQ6" s="19">
        <f t="shared" ca="1" si="362"/>
        <v>0</v>
      </c>
      <c r="GR6" s="19" t="s">
        <v>198</v>
      </c>
      <c r="GS6" s="19">
        <v>0</v>
      </c>
      <c r="GT6" s="19" t="b">
        <f t="shared" ca="1" si="363"/>
        <v>1</v>
      </c>
      <c r="GU6" s="100">
        <f t="shared" si="90"/>
        <v>1</v>
      </c>
      <c r="GV6" s="19">
        <f t="shared" ca="1" si="91"/>
        <v>0</v>
      </c>
      <c r="GW6" s="19">
        <f t="shared" ca="1" si="364"/>
        <v>0</v>
      </c>
      <c r="GX6" s="100">
        <f t="shared" si="92"/>
        <v>0</v>
      </c>
      <c r="GY6" s="19">
        <f t="shared" ca="1" si="93"/>
        <v>0</v>
      </c>
      <c r="GZ6" s="19">
        <f t="shared" ca="1" si="94"/>
        <v>0</v>
      </c>
      <c r="HA6" s="19">
        <f t="shared" ca="1" si="365"/>
        <v>0</v>
      </c>
      <c r="HB6" s="19">
        <f t="shared" ca="1" si="95"/>
        <v>0</v>
      </c>
      <c r="HC6" s="19">
        <f t="shared" ca="1" si="96"/>
        <v>0</v>
      </c>
      <c r="HD6" s="19" t="str">
        <f t="shared" si="97"/>
        <v>NA</v>
      </c>
      <c r="HE6" s="12">
        <f t="shared" ca="1" si="98"/>
        <v>0</v>
      </c>
      <c r="HF6" s="79"/>
      <c r="HG6" s="12">
        <f t="shared" ca="1" si="366"/>
        <v>0</v>
      </c>
      <c r="HH6" s="18" t="str">
        <f t="shared" si="99"/>
        <v>NA</v>
      </c>
      <c r="HJ6" s="11">
        <f t="shared" ca="1" si="100"/>
        <v>0</v>
      </c>
      <c r="HK6" s="11">
        <f ca="1">INDEX(Totals[[#Data],[#Totals],[Car - Note]:[NONTRACKED]],MATCH(HJ$1,Totals[Date],0),MATCH($C6,Totals[[#Headers],[Car - Note]:[NONTRACKED]],0))</f>
        <v>0</v>
      </c>
      <c r="HL6" s="11">
        <f t="shared" ca="1" si="367"/>
        <v>0</v>
      </c>
      <c r="HM6" s="11" t="s">
        <v>198</v>
      </c>
      <c r="HN6" s="11">
        <v>0</v>
      </c>
      <c r="HO6" s="11" t="b">
        <f t="shared" ca="1" si="368"/>
        <v>1</v>
      </c>
      <c r="HP6" s="92">
        <f t="shared" si="101"/>
        <v>1</v>
      </c>
      <c r="HQ6" s="11">
        <f t="shared" ca="1" si="102"/>
        <v>0</v>
      </c>
      <c r="HR6" s="11">
        <f t="shared" ca="1" si="369"/>
        <v>0</v>
      </c>
      <c r="HS6" s="92">
        <f t="shared" si="103"/>
        <v>0</v>
      </c>
      <c r="HT6" s="11">
        <f t="shared" ca="1" si="104"/>
        <v>0</v>
      </c>
      <c r="HU6" s="11">
        <f t="shared" ca="1" si="105"/>
        <v>0</v>
      </c>
      <c r="HV6" s="11">
        <f t="shared" ca="1" si="370"/>
        <v>0</v>
      </c>
      <c r="HW6" s="11">
        <f t="shared" ca="1" si="106"/>
        <v>0</v>
      </c>
      <c r="HX6" s="11">
        <f t="shared" ca="1" si="107"/>
        <v>0</v>
      </c>
      <c r="HY6" s="11" t="str">
        <f t="shared" si="108"/>
        <v>NA</v>
      </c>
      <c r="HZ6" s="12">
        <f t="shared" ca="1" si="109"/>
        <v>0</v>
      </c>
      <c r="IA6" s="79"/>
      <c r="IB6" s="12">
        <f t="shared" ca="1" si="371"/>
        <v>0</v>
      </c>
      <c r="IC6" s="18" t="str">
        <f t="shared" si="110"/>
        <v>NA</v>
      </c>
      <c r="IE6" s="13">
        <f t="shared" ca="1" si="111"/>
        <v>0</v>
      </c>
      <c r="IF6" s="13">
        <f ca="1">INDEX(Totals[[#Data],[#Totals],[Car - Note]:[NONTRACKED]],MATCH(IE$1,Totals[Date],0),MATCH($C6,Totals[[#Headers],[Car - Note]:[NONTRACKED]],0))</f>
        <v>0</v>
      </c>
      <c r="IG6" s="13">
        <f t="shared" ca="1" si="372"/>
        <v>0</v>
      </c>
      <c r="IH6" s="13" t="s">
        <v>198</v>
      </c>
      <c r="II6" s="13">
        <v>0</v>
      </c>
      <c r="IJ6" s="13" t="b">
        <f t="shared" ca="1" si="373"/>
        <v>1</v>
      </c>
      <c r="IK6" s="94">
        <f t="shared" si="112"/>
        <v>1</v>
      </c>
      <c r="IL6" s="13">
        <f t="shared" ca="1" si="113"/>
        <v>0</v>
      </c>
      <c r="IM6" s="13">
        <f t="shared" ca="1" si="374"/>
        <v>0</v>
      </c>
      <c r="IN6" s="94">
        <f t="shared" si="114"/>
        <v>0</v>
      </c>
      <c r="IO6" s="13">
        <f t="shared" ca="1" si="115"/>
        <v>0</v>
      </c>
      <c r="IP6" s="13">
        <f t="shared" ca="1" si="116"/>
        <v>0</v>
      </c>
      <c r="IQ6" s="13">
        <f t="shared" ca="1" si="375"/>
        <v>0</v>
      </c>
      <c r="IR6" s="13">
        <f t="shared" ca="1" si="117"/>
        <v>0</v>
      </c>
      <c r="IS6" s="13">
        <f t="shared" ca="1" si="118"/>
        <v>0</v>
      </c>
      <c r="IT6" s="13" t="str">
        <f t="shared" si="119"/>
        <v>NA</v>
      </c>
      <c r="IU6" s="12">
        <f t="shared" ca="1" si="120"/>
        <v>0</v>
      </c>
      <c r="IV6" s="79"/>
      <c r="IW6" s="12">
        <f t="shared" ca="1" si="376"/>
        <v>0</v>
      </c>
      <c r="IX6" s="18" t="str">
        <f t="shared" si="121"/>
        <v>NA</v>
      </c>
      <c r="IZ6" s="19">
        <f t="shared" ca="1" si="122"/>
        <v>0</v>
      </c>
      <c r="JA6" s="19">
        <f ca="1">INDEX(Totals[[#Data],[#Totals],[Car - Note]:[NONTRACKED]],MATCH(IZ$1,Totals[Date],0),MATCH($C6,Totals[[#Headers],[Car - Note]:[NONTRACKED]],0))</f>
        <v>0</v>
      </c>
      <c r="JB6" s="19">
        <f t="shared" ca="1" si="377"/>
        <v>0</v>
      </c>
      <c r="JC6" s="19" t="s">
        <v>198</v>
      </c>
      <c r="JD6" s="19">
        <v>0</v>
      </c>
      <c r="JE6" s="19" t="b">
        <f t="shared" ca="1" si="378"/>
        <v>1</v>
      </c>
      <c r="JF6" s="100">
        <f t="shared" si="123"/>
        <v>1</v>
      </c>
      <c r="JG6" s="19">
        <f t="shared" ca="1" si="124"/>
        <v>0</v>
      </c>
      <c r="JH6" s="19">
        <f t="shared" ca="1" si="379"/>
        <v>0</v>
      </c>
      <c r="JI6" s="100">
        <f t="shared" si="125"/>
        <v>0</v>
      </c>
      <c r="JJ6" s="19">
        <f t="shared" ca="1" si="126"/>
        <v>0</v>
      </c>
      <c r="JK6" s="19">
        <f t="shared" ca="1" si="127"/>
        <v>0</v>
      </c>
      <c r="JL6" s="19">
        <f t="shared" ca="1" si="380"/>
        <v>0</v>
      </c>
      <c r="JM6" s="19">
        <f t="shared" ca="1" si="128"/>
        <v>0</v>
      </c>
      <c r="JN6" s="19">
        <f t="shared" ca="1" si="129"/>
        <v>0</v>
      </c>
      <c r="JO6" s="19" t="str">
        <f t="shared" si="130"/>
        <v>NA</v>
      </c>
      <c r="JP6" s="12">
        <f t="shared" ca="1" si="131"/>
        <v>0</v>
      </c>
      <c r="JQ6" s="79"/>
      <c r="JR6" s="12">
        <f t="shared" ca="1" si="381"/>
        <v>0</v>
      </c>
      <c r="JS6" s="18" t="str">
        <f t="shared" si="132"/>
        <v>NA</v>
      </c>
      <c r="JU6" s="11">
        <f t="shared" ca="1" si="133"/>
        <v>0</v>
      </c>
      <c r="JV6" s="11">
        <f ca="1">INDEX(Totals[[#Data],[#Totals],[Car - Note]:[NONTRACKED]],MATCH(JU$1,Totals[Date],0),MATCH($C6,Totals[[#Headers],[Car - Note]:[NONTRACKED]],0))</f>
        <v>0</v>
      </c>
      <c r="JW6" s="11">
        <f t="shared" ca="1" si="382"/>
        <v>0</v>
      </c>
      <c r="JX6" s="11" t="s">
        <v>198</v>
      </c>
      <c r="JY6" s="11">
        <v>0</v>
      </c>
      <c r="JZ6" s="11" t="b">
        <f t="shared" ca="1" si="383"/>
        <v>1</v>
      </c>
      <c r="KA6" s="92">
        <f t="shared" si="134"/>
        <v>1</v>
      </c>
      <c r="KB6" s="11">
        <f t="shared" ca="1" si="135"/>
        <v>0</v>
      </c>
      <c r="KC6" s="11">
        <f t="shared" ca="1" si="384"/>
        <v>0</v>
      </c>
      <c r="KD6" s="92">
        <f t="shared" si="136"/>
        <v>0</v>
      </c>
      <c r="KE6" s="11">
        <f t="shared" ca="1" si="137"/>
        <v>0</v>
      </c>
      <c r="KF6" s="11">
        <f t="shared" ca="1" si="138"/>
        <v>0</v>
      </c>
      <c r="KG6" s="11">
        <f t="shared" ca="1" si="385"/>
        <v>0</v>
      </c>
      <c r="KH6" s="11">
        <f t="shared" ca="1" si="139"/>
        <v>0</v>
      </c>
      <c r="KI6" s="11">
        <f t="shared" ca="1" si="140"/>
        <v>0</v>
      </c>
      <c r="KJ6" s="11" t="str">
        <f t="shared" si="141"/>
        <v>NA</v>
      </c>
      <c r="KK6" s="12">
        <f t="shared" ca="1" si="142"/>
        <v>0</v>
      </c>
      <c r="KL6" s="79"/>
      <c r="KM6" s="12">
        <f t="shared" ca="1" si="386"/>
        <v>0</v>
      </c>
      <c r="KN6" s="18" t="str">
        <f t="shared" si="143"/>
        <v>NA</v>
      </c>
      <c r="KP6" s="13">
        <f t="shared" ca="1" si="144"/>
        <v>0</v>
      </c>
      <c r="KQ6" s="13">
        <f ca="1">INDEX(Totals[[#Data],[#Totals],[Car - Note]:[NONTRACKED]],MATCH(KP$1,Totals[Date],0),MATCH($C6,Totals[[#Headers],[Car - Note]:[NONTRACKED]],0))</f>
        <v>0</v>
      </c>
      <c r="KR6" s="13">
        <f t="shared" ca="1" si="387"/>
        <v>0</v>
      </c>
      <c r="KS6" s="13" t="s">
        <v>198</v>
      </c>
      <c r="KT6" s="13">
        <v>0</v>
      </c>
      <c r="KU6" s="13" t="b">
        <f t="shared" ca="1" si="388"/>
        <v>1</v>
      </c>
      <c r="KV6" s="94">
        <f t="shared" si="145"/>
        <v>1</v>
      </c>
      <c r="KW6" s="13">
        <f t="shared" ca="1" si="146"/>
        <v>0</v>
      </c>
      <c r="KX6" s="13">
        <f t="shared" ca="1" si="389"/>
        <v>0</v>
      </c>
      <c r="KY6" s="94">
        <f t="shared" si="147"/>
        <v>0</v>
      </c>
      <c r="KZ6" s="13">
        <f t="shared" ca="1" si="148"/>
        <v>0</v>
      </c>
      <c r="LA6" s="13">
        <f t="shared" ca="1" si="149"/>
        <v>0</v>
      </c>
      <c r="LB6" s="13">
        <f t="shared" ca="1" si="390"/>
        <v>0</v>
      </c>
      <c r="LC6" s="13">
        <f t="shared" ca="1" si="150"/>
        <v>0</v>
      </c>
      <c r="LD6" s="13">
        <f t="shared" ca="1" si="151"/>
        <v>0</v>
      </c>
      <c r="LE6" s="13" t="str">
        <f t="shared" si="152"/>
        <v>NA</v>
      </c>
      <c r="LF6" s="12">
        <f t="shared" ca="1" si="153"/>
        <v>0</v>
      </c>
      <c r="LG6" s="79"/>
      <c r="LH6" s="12">
        <f t="shared" ca="1" si="391"/>
        <v>0</v>
      </c>
      <c r="LI6" s="18" t="str">
        <f t="shared" si="154"/>
        <v>NA</v>
      </c>
      <c r="LK6" s="19">
        <f t="shared" ca="1" si="155"/>
        <v>0</v>
      </c>
      <c r="LL6" s="19">
        <f ca="1">INDEX(Totals[[#Data],[#Totals],[Car - Note]:[NONTRACKED]],MATCH(LK$1,Totals[Date],0),MATCH($C6,Totals[[#Headers],[Car - Note]:[NONTRACKED]],0))</f>
        <v>0</v>
      </c>
      <c r="LM6" s="19">
        <f t="shared" ca="1" si="392"/>
        <v>0</v>
      </c>
      <c r="LN6" s="19" t="s">
        <v>198</v>
      </c>
      <c r="LO6" s="19">
        <v>0</v>
      </c>
      <c r="LP6" s="19" t="b">
        <f t="shared" ca="1" si="393"/>
        <v>1</v>
      </c>
      <c r="LQ6" s="100">
        <f t="shared" si="156"/>
        <v>1</v>
      </c>
      <c r="LR6" s="19">
        <f t="shared" ca="1" si="157"/>
        <v>0</v>
      </c>
      <c r="LS6" s="19">
        <f t="shared" ca="1" si="394"/>
        <v>0</v>
      </c>
      <c r="LT6" s="100">
        <f t="shared" si="158"/>
        <v>0</v>
      </c>
      <c r="LU6" s="19">
        <f t="shared" ca="1" si="159"/>
        <v>0</v>
      </c>
      <c r="LV6" s="19">
        <f t="shared" ca="1" si="160"/>
        <v>0</v>
      </c>
      <c r="LW6" s="19">
        <f t="shared" ca="1" si="395"/>
        <v>0</v>
      </c>
      <c r="LX6" s="19">
        <f t="shared" ca="1" si="161"/>
        <v>0</v>
      </c>
      <c r="LY6" s="19">
        <f t="shared" ca="1" si="162"/>
        <v>0</v>
      </c>
      <c r="LZ6" s="19" t="str">
        <f t="shared" si="163"/>
        <v>NA</v>
      </c>
      <c r="MA6" s="12">
        <f t="shared" ca="1" si="164"/>
        <v>0</v>
      </c>
      <c r="MB6" s="79"/>
      <c r="MC6" s="12">
        <f t="shared" ca="1" si="396"/>
        <v>0</v>
      </c>
      <c r="MD6" s="18" t="str">
        <f t="shared" si="165"/>
        <v>NA</v>
      </c>
      <c r="MF6" s="11">
        <f t="shared" ca="1" si="166"/>
        <v>0</v>
      </c>
      <c r="MG6" s="11">
        <f ca="1">INDEX(Totals[[#Data],[#Totals],[Car - Note]:[NONTRACKED]],MATCH(MF$1,Totals[Date],0),MATCH($C6,Totals[[#Headers],[Car - Note]:[NONTRACKED]],0))</f>
        <v>0</v>
      </c>
      <c r="MH6" s="11">
        <f t="shared" ca="1" si="397"/>
        <v>0</v>
      </c>
      <c r="MI6" s="11" t="s">
        <v>198</v>
      </c>
      <c r="MJ6" s="11">
        <v>0</v>
      </c>
      <c r="MK6" s="11" t="b">
        <f t="shared" ca="1" si="398"/>
        <v>1</v>
      </c>
      <c r="ML6" s="92">
        <f t="shared" si="167"/>
        <v>1</v>
      </c>
      <c r="MM6" s="11">
        <f t="shared" ca="1" si="168"/>
        <v>0</v>
      </c>
      <c r="MN6" s="11">
        <f t="shared" ca="1" si="399"/>
        <v>0</v>
      </c>
      <c r="MO6" s="92">
        <f t="shared" si="169"/>
        <v>0</v>
      </c>
      <c r="MP6" s="11">
        <f t="shared" ca="1" si="170"/>
        <v>0</v>
      </c>
      <c r="MQ6" s="11">
        <f t="shared" ca="1" si="171"/>
        <v>0</v>
      </c>
      <c r="MR6" s="11">
        <f t="shared" ca="1" si="400"/>
        <v>0</v>
      </c>
      <c r="MS6" s="11">
        <f t="shared" ca="1" si="172"/>
        <v>0</v>
      </c>
      <c r="MT6" s="11">
        <f t="shared" ca="1" si="173"/>
        <v>0</v>
      </c>
      <c r="MU6" s="11" t="str">
        <f t="shared" si="174"/>
        <v>NA</v>
      </c>
      <c r="MV6" s="12">
        <f t="shared" ca="1" si="175"/>
        <v>0</v>
      </c>
      <c r="MW6" s="79"/>
      <c r="MX6" s="12">
        <f t="shared" ca="1" si="401"/>
        <v>0</v>
      </c>
      <c r="MY6" s="18" t="str">
        <f t="shared" si="176"/>
        <v>NA</v>
      </c>
      <c r="NA6" s="13">
        <f t="shared" ca="1" si="177"/>
        <v>0</v>
      </c>
      <c r="NB6" s="13">
        <f ca="1">INDEX(Totals[[#Data],[#Totals],[Car - Note]:[NONTRACKED]],MATCH(NA$1,Totals[Date],0),MATCH($C6,Totals[[#Headers],[Car - Note]:[NONTRACKED]],0))</f>
        <v>0</v>
      </c>
      <c r="NC6" s="13">
        <f t="shared" ca="1" si="402"/>
        <v>0</v>
      </c>
      <c r="ND6" s="13" t="s">
        <v>198</v>
      </c>
      <c r="NE6" s="13">
        <v>0</v>
      </c>
      <c r="NF6" s="13" t="b">
        <f t="shared" ca="1" si="403"/>
        <v>1</v>
      </c>
      <c r="NG6" s="94">
        <f t="shared" si="178"/>
        <v>1</v>
      </c>
      <c r="NH6" s="13">
        <f t="shared" ca="1" si="179"/>
        <v>0</v>
      </c>
      <c r="NI6" s="13">
        <f t="shared" ca="1" si="404"/>
        <v>0</v>
      </c>
      <c r="NJ6" s="94">
        <f t="shared" si="180"/>
        <v>0</v>
      </c>
      <c r="NK6" s="13">
        <f t="shared" ca="1" si="181"/>
        <v>0</v>
      </c>
      <c r="NL6" s="13">
        <f t="shared" ca="1" si="182"/>
        <v>0</v>
      </c>
      <c r="NM6" s="13">
        <f t="shared" ca="1" si="405"/>
        <v>0</v>
      </c>
      <c r="NN6" s="13">
        <f t="shared" ca="1" si="183"/>
        <v>0</v>
      </c>
      <c r="NO6" s="13">
        <f t="shared" ca="1" si="184"/>
        <v>0</v>
      </c>
      <c r="NP6" s="13" t="str">
        <f t="shared" si="185"/>
        <v>NA</v>
      </c>
      <c r="NQ6" s="12">
        <f t="shared" ca="1" si="186"/>
        <v>0</v>
      </c>
      <c r="NR6" s="79"/>
      <c r="NS6" s="12">
        <f t="shared" ca="1" si="406"/>
        <v>0</v>
      </c>
      <c r="NT6" s="18" t="str">
        <f t="shared" si="187"/>
        <v>NA</v>
      </c>
      <c r="NV6" s="19">
        <f t="shared" ca="1" si="188"/>
        <v>0</v>
      </c>
      <c r="NW6" s="19">
        <f ca="1">INDEX(Totals[[#Data],[#Totals],[Car - Note]:[NONTRACKED]],MATCH(NV$1,Totals[Date],0),MATCH($C6,Totals[[#Headers],[Car - Note]:[NONTRACKED]],0))</f>
        <v>0</v>
      </c>
      <c r="NX6" s="19">
        <f t="shared" ca="1" si="407"/>
        <v>0</v>
      </c>
      <c r="NY6" s="19" t="s">
        <v>198</v>
      </c>
      <c r="NZ6" s="19">
        <v>0</v>
      </c>
      <c r="OA6" s="19" t="b">
        <f t="shared" ca="1" si="408"/>
        <v>1</v>
      </c>
      <c r="OB6" s="100">
        <f t="shared" si="189"/>
        <v>1</v>
      </c>
      <c r="OC6" s="19">
        <f t="shared" ca="1" si="190"/>
        <v>0</v>
      </c>
      <c r="OD6" s="19">
        <f t="shared" ca="1" si="409"/>
        <v>0</v>
      </c>
      <c r="OE6" s="100">
        <f t="shared" si="191"/>
        <v>0</v>
      </c>
      <c r="OF6" s="19">
        <f t="shared" ca="1" si="192"/>
        <v>0</v>
      </c>
      <c r="OG6" s="19">
        <f t="shared" ca="1" si="193"/>
        <v>0</v>
      </c>
      <c r="OH6" s="19">
        <f t="shared" ca="1" si="410"/>
        <v>0</v>
      </c>
      <c r="OI6" s="19">
        <f t="shared" ca="1" si="194"/>
        <v>0</v>
      </c>
      <c r="OJ6" s="19">
        <f t="shared" ca="1" si="195"/>
        <v>0</v>
      </c>
      <c r="OK6" s="19" t="str">
        <f t="shared" si="196"/>
        <v>NA</v>
      </c>
      <c r="OL6" s="12">
        <f t="shared" ca="1" si="197"/>
        <v>0</v>
      </c>
      <c r="OM6" s="79"/>
      <c r="ON6" s="12">
        <f t="shared" ca="1" si="411"/>
        <v>0</v>
      </c>
      <c r="OO6" s="18" t="str">
        <f t="shared" si="198"/>
        <v>NA</v>
      </c>
      <c r="OQ6" s="11">
        <f t="shared" ca="1" si="199"/>
        <v>0</v>
      </c>
      <c r="OR6" s="11">
        <f ca="1">INDEX(Totals[[#Data],[#Totals],[Car - Note]:[NONTRACKED]],MATCH(OQ$1,Totals[Date],0),MATCH($C6,Totals[[#Headers],[Car - Note]:[NONTRACKED]],0))</f>
        <v>0</v>
      </c>
      <c r="OS6" s="11">
        <f t="shared" ca="1" si="412"/>
        <v>0</v>
      </c>
      <c r="OT6" s="11" t="s">
        <v>198</v>
      </c>
      <c r="OU6" s="11">
        <v>0</v>
      </c>
      <c r="OV6" s="11" t="b">
        <f t="shared" ca="1" si="413"/>
        <v>1</v>
      </c>
      <c r="OW6" s="92">
        <f t="shared" si="200"/>
        <v>1</v>
      </c>
      <c r="OX6" s="11">
        <f t="shared" ca="1" si="201"/>
        <v>0</v>
      </c>
      <c r="OY6" s="11">
        <f t="shared" ca="1" si="414"/>
        <v>0</v>
      </c>
      <c r="OZ6" s="92">
        <f t="shared" si="202"/>
        <v>0</v>
      </c>
      <c r="PA6" s="11">
        <f t="shared" ca="1" si="203"/>
        <v>0</v>
      </c>
      <c r="PB6" s="11">
        <f t="shared" ca="1" si="204"/>
        <v>0</v>
      </c>
      <c r="PC6" s="11">
        <f t="shared" ca="1" si="415"/>
        <v>0</v>
      </c>
      <c r="PD6" s="11">
        <f t="shared" ca="1" si="205"/>
        <v>0</v>
      </c>
      <c r="PE6" s="11">
        <f t="shared" ca="1" si="206"/>
        <v>0</v>
      </c>
      <c r="PF6" s="11" t="str">
        <f t="shared" si="207"/>
        <v>NA</v>
      </c>
      <c r="PG6" s="12">
        <f t="shared" ca="1" si="208"/>
        <v>0</v>
      </c>
      <c r="PH6" s="79"/>
      <c r="PI6" s="12">
        <f t="shared" ca="1" si="416"/>
        <v>0</v>
      </c>
      <c r="PJ6" s="18" t="str">
        <f t="shared" si="209"/>
        <v>NA</v>
      </c>
      <c r="PL6" s="13">
        <f t="shared" ca="1" si="210"/>
        <v>0</v>
      </c>
      <c r="PM6" s="13">
        <f ca="1">INDEX(Totals[[#Data],[#Totals],[Car - Note]:[NONTRACKED]],MATCH(PL$1,Totals[Date],0),MATCH($C6,Totals[[#Headers],[Car - Note]:[NONTRACKED]],0))</f>
        <v>0</v>
      </c>
      <c r="PN6" s="13">
        <f t="shared" ca="1" si="417"/>
        <v>0</v>
      </c>
      <c r="PO6" s="13" t="s">
        <v>198</v>
      </c>
      <c r="PP6" s="13">
        <v>0</v>
      </c>
      <c r="PQ6" s="13" t="b">
        <f t="shared" ca="1" si="418"/>
        <v>1</v>
      </c>
      <c r="PR6" s="94">
        <f t="shared" si="211"/>
        <v>1</v>
      </c>
      <c r="PS6" s="13">
        <f t="shared" ca="1" si="212"/>
        <v>0</v>
      </c>
      <c r="PT6" s="13">
        <f t="shared" ca="1" si="419"/>
        <v>0</v>
      </c>
      <c r="PU6" s="94">
        <f t="shared" si="213"/>
        <v>0</v>
      </c>
      <c r="PV6" s="13">
        <f t="shared" ca="1" si="214"/>
        <v>0</v>
      </c>
      <c r="PW6" s="13">
        <f t="shared" ca="1" si="215"/>
        <v>0</v>
      </c>
      <c r="PX6" s="13">
        <f t="shared" ca="1" si="420"/>
        <v>0</v>
      </c>
      <c r="PY6" s="13">
        <f t="shared" ca="1" si="216"/>
        <v>0</v>
      </c>
      <c r="PZ6" s="13">
        <f t="shared" ca="1" si="217"/>
        <v>0</v>
      </c>
      <c r="QA6" s="13" t="str">
        <f t="shared" si="218"/>
        <v>NA</v>
      </c>
      <c r="QB6" s="12">
        <f t="shared" ca="1" si="219"/>
        <v>0</v>
      </c>
      <c r="QC6" s="79"/>
      <c r="QD6" s="12">
        <f t="shared" ca="1" si="421"/>
        <v>0</v>
      </c>
      <c r="QE6" s="18" t="str">
        <f t="shared" si="220"/>
        <v>NA</v>
      </c>
      <c r="QG6" s="19">
        <f t="shared" ca="1" si="221"/>
        <v>0</v>
      </c>
      <c r="QH6" s="19">
        <f ca="1">INDEX(Totals[[#Data],[#Totals],[Car - Note]:[NONTRACKED]],MATCH(QG$1,Totals[Date],0),MATCH($C6,Totals[[#Headers],[Car - Note]:[NONTRACKED]],0))</f>
        <v>0</v>
      </c>
      <c r="QI6" s="19">
        <f t="shared" ca="1" si="422"/>
        <v>0</v>
      </c>
      <c r="QJ6" s="19" t="s">
        <v>198</v>
      </c>
      <c r="QK6" s="19">
        <v>0</v>
      </c>
      <c r="QL6" s="19" t="b">
        <f t="shared" ca="1" si="423"/>
        <v>1</v>
      </c>
      <c r="QM6" s="100">
        <f t="shared" si="222"/>
        <v>1</v>
      </c>
      <c r="QN6" s="19">
        <f t="shared" ca="1" si="223"/>
        <v>0</v>
      </c>
      <c r="QO6" s="19">
        <f t="shared" ca="1" si="424"/>
        <v>0</v>
      </c>
      <c r="QP6" s="100">
        <f t="shared" si="224"/>
        <v>0</v>
      </c>
      <c r="QQ6" s="19">
        <f t="shared" ca="1" si="225"/>
        <v>0</v>
      </c>
      <c r="QR6" s="19">
        <f t="shared" ca="1" si="226"/>
        <v>0</v>
      </c>
      <c r="QS6" s="19">
        <f t="shared" ca="1" si="425"/>
        <v>0</v>
      </c>
      <c r="QT6" s="19">
        <f t="shared" ca="1" si="227"/>
        <v>0</v>
      </c>
      <c r="QU6" s="19">
        <f t="shared" ca="1" si="228"/>
        <v>0</v>
      </c>
      <c r="QV6" s="19" t="str">
        <f t="shared" si="229"/>
        <v>NA</v>
      </c>
      <c r="QW6" s="12">
        <f t="shared" ca="1" si="230"/>
        <v>0</v>
      </c>
      <c r="QX6" s="79"/>
      <c r="QY6" s="12">
        <f t="shared" ca="1" si="426"/>
        <v>0</v>
      </c>
      <c r="QZ6" s="18" t="str">
        <f t="shared" si="231"/>
        <v>NA</v>
      </c>
      <c r="RB6" s="11">
        <f t="shared" ca="1" si="232"/>
        <v>0</v>
      </c>
      <c r="RC6" s="11">
        <f ca="1">INDEX(Totals[[#Data],[#Totals],[Car - Note]:[NONTRACKED]],MATCH(RB$1,Totals[Date],0),MATCH($C6,Totals[[#Headers],[Car - Note]:[NONTRACKED]],0))</f>
        <v>0</v>
      </c>
      <c r="RD6" s="11">
        <f t="shared" ca="1" si="427"/>
        <v>0</v>
      </c>
      <c r="RE6" s="11" t="s">
        <v>198</v>
      </c>
      <c r="RF6" s="11">
        <v>0</v>
      </c>
      <c r="RG6" s="11" t="b">
        <f t="shared" ca="1" si="428"/>
        <v>1</v>
      </c>
      <c r="RH6" s="92">
        <f t="shared" si="233"/>
        <v>1</v>
      </c>
      <c r="RI6" s="11">
        <f t="shared" ca="1" si="234"/>
        <v>0</v>
      </c>
      <c r="RJ6" s="11">
        <f t="shared" ca="1" si="429"/>
        <v>0</v>
      </c>
      <c r="RK6" s="92">
        <f t="shared" si="235"/>
        <v>0</v>
      </c>
      <c r="RL6" s="11">
        <f t="shared" ca="1" si="236"/>
        <v>0</v>
      </c>
      <c r="RM6" s="11">
        <f t="shared" ca="1" si="237"/>
        <v>0</v>
      </c>
      <c r="RN6" s="11">
        <f t="shared" ca="1" si="430"/>
        <v>0</v>
      </c>
      <c r="RO6" s="11">
        <f t="shared" ca="1" si="238"/>
        <v>0</v>
      </c>
      <c r="RP6" s="11">
        <f t="shared" ca="1" si="239"/>
        <v>0</v>
      </c>
      <c r="RQ6" s="11" t="str">
        <f t="shared" si="240"/>
        <v>NA</v>
      </c>
      <c r="RR6" s="12">
        <f t="shared" ca="1" si="241"/>
        <v>0</v>
      </c>
      <c r="RS6" s="79"/>
      <c r="RT6" s="12">
        <f t="shared" ca="1" si="431"/>
        <v>0</v>
      </c>
      <c r="RU6" s="18" t="str">
        <f t="shared" si="242"/>
        <v>NA</v>
      </c>
      <c r="RW6" s="13">
        <f t="shared" ca="1" si="243"/>
        <v>0</v>
      </c>
      <c r="RX6" s="13">
        <f ca="1">INDEX(Totals[[#Data],[#Totals],[Car - Note]:[NONTRACKED]],MATCH(RW$1,Totals[Date],0),MATCH($C6,Totals[[#Headers],[Car - Note]:[NONTRACKED]],0))</f>
        <v>0</v>
      </c>
      <c r="RY6" s="13">
        <f t="shared" ca="1" si="432"/>
        <v>0</v>
      </c>
      <c r="RZ6" s="13" t="s">
        <v>198</v>
      </c>
      <c r="SA6" s="13">
        <v>0</v>
      </c>
      <c r="SB6" s="13" t="b">
        <f t="shared" ca="1" si="433"/>
        <v>1</v>
      </c>
      <c r="SC6" s="94">
        <f t="shared" si="244"/>
        <v>1</v>
      </c>
      <c r="SD6" s="13">
        <f t="shared" ca="1" si="245"/>
        <v>0</v>
      </c>
      <c r="SE6" s="13">
        <f t="shared" ca="1" si="434"/>
        <v>0</v>
      </c>
      <c r="SF6" s="94">
        <f t="shared" si="246"/>
        <v>0</v>
      </c>
      <c r="SG6" s="13">
        <f t="shared" ca="1" si="247"/>
        <v>0</v>
      </c>
      <c r="SH6" s="13">
        <f t="shared" ca="1" si="248"/>
        <v>0</v>
      </c>
      <c r="SI6" s="13">
        <f t="shared" ca="1" si="435"/>
        <v>0</v>
      </c>
      <c r="SJ6" s="13">
        <f t="shared" ca="1" si="249"/>
        <v>0</v>
      </c>
      <c r="SK6" s="13">
        <f t="shared" ca="1" si="250"/>
        <v>0</v>
      </c>
      <c r="SL6" s="13" t="str">
        <f t="shared" si="251"/>
        <v>NA</v>
      </c>
      <c r="SM6" s="12">
        <f t="shared" ca="1" si="252"/>
        <v>0</v>
      </c>
      <c r="SN6" s="79"/>
      <c r="SO6" s="12">
        <f t="shared" ca="1" si="436"/>
        <v>0</v>
      </c>
      <c r="SP6" s="18" t="str">
        <f t="shared" si="253"/>
        <v>NA</v>
      </c>
      <c r="SR6" s="19">
        <f t="shared" ca="1" si="254"/>
        <v>0</v>
      </c>
      <c r="SS6" s="19">
        <f ca="1">INDEX(Totals[[#Data],[#Totals],[Car - Note]:[NONTRACKED]],MATCH(SR$1,Totals[Date],0),MATCH($C6,Totals[[#Headers],[Car - Note]:[NONTRACKED]],0))</f>
        <v>0</v>
      </c>
      <c r="ST6" s="19">
        <f t="shared" ca="1" si="437"/>
        <v>0</v>
      </c>
      <c r="SU6" s="19" t="s">
        <v>198</v>
      </c>
      <c r="SV6" s="19">
        <v>0</v>
      </c>
      <c r="SW6" s="19" t="b">
        <f t="shared" ca="1" si="438"/>
        <v>1</v>
      </c>
      <c r="SX6" s="100">
        <f t="shared" si="255"/>
        <v>1</v>
      </c>
      <c r="SY6" s="19">
        <f t="shared" ca="1" si="256"/>
        <v>0</v>
      </c>
      <c r="SZ6" s="19">
        <f t="shared" ca="1" si="439"/>
        <v>0</v>
      </c>
      <c r="TA6" s="100">
        <f t="shared" si="257"/>
        <v>0</v>
      </c>
      <c r="TB6" s="19">
        <f t="shared" ca="1" si="258"/>
        <v>0</v>
      </c>
      <c r="TC6" s="19">
        <f t="shared" ca="1" si="259"/>
        <v>0</v>
      </c>
      <c r="TD6" s="19">
        <f t="shared" ca="1" si="440"/>
        <v>0</v>
      </c>
      <c r="TE6" s="19">
        <f t="shared" ca="1" si="260"/>
        <v>0</v>
      </c>
      <c r="TF6" s="19">
        <f t="shared" ca="1" si="261"/>
        <v>0</v>
      </c>
      <c r="TG6" s="19" t="str">
        <f t="shared" si="262"/>
        <v>NA</v>
      </c>
      <c r="TH6" s="12">
        <f t="shared" ca="1" si="263"/>
        <v>0</v>
      </c>
      <c r="TI6" s="79"/>
      <c r="TJ6" s="12">
        <f t="shared" ca="1" si="441"/>
        <v>0</v>
      </c>
      <c r="TK6" s="18" t="str">
        <f t="shared" si="264"/>
        <v>NA</v>
      </c>
      <c r="TM6" s="11">
        <f t="shared" ca="1" si="265"/>
        <v>0</v>
      </c>
      <c r="TN6" s="11">
        <f ca="1">INDEX(Totals[[#Data],[#Totals],[Car - Note]:[NONTRACKED]],MATCH(TM$1,Totals[Date],0),MATCH($C6,Totals[[#Headers],[Car - Note]:[NONTRACKED]],0))</f>
        <v>0</v>
      </c>
      <c r="TO6" s="11">
        <f t="shared" ca="1" si="442"/>
        <v>0</v>
      </c>
      <c r="TP6" s="11" t="s">
        <v>198</v>
      </c>
      <c r="TQ6" s="11">
        <v>0</v>
      </c>
      <c r="TR6" s="11" t="b">
        <f t="shared" ca="1" si="443"/>
        <v>1</v>
      </c>
      <c r="TS6" s="92">
        <f t="shared" si="266"/>
        <v>1</v>
      </c>
      <c r="TT6" s="11">
        <f t="shared" ca="1" si="267"/>
        <v>0</v>
      </c>
      <c r="TU6" s="11">
        <f t="shared" ca="1" si="444"/>
        <v>0</v>
      </c>
      <c r="TV6" s="92">
        <f t="shared" si="268"/>
        <v>0</v>
      </c>
      <c r="TW6" s="11">
        <f t="shared" ca="1" si="269"/>
        <v>0</v>
      </c>
      <c r="TX6" s="11">
        <f t="shared" ca="1" si="270"/>
        <v>0</v>
      </c>
      <c r="TY6" s="11">
        <f t="shared" ca="1" si="445"/>
        <v>0</v>
      </c>
      <c r="TZ6" s="11">
        <f t="shared" ca="1" si="271"/>
        <v>0</v>
      </c>
      <c r="UA6" s="11">
        <f t="shared" ca="1" si="272"/>
        <v>0</v>
      </c>
      <c r="UB6" s="11" t="str">
        <f t="shared" si="273"/>
        <v>NA</v>
      </c>
      <c r="UC6" s="12">
        <f t="shared" ca="1" si="274"/>
        <v>0</v>
      </c>
      <c r="UD6" s="79"/>
      <c r="UE6" s="12">
        <f t="shared" ca="1" si="446"/>
        <v>0</v>
      </c>
      <c r="UF6" s="18" t="str">
        <f t="shared" si="275"/>
        <v>NA</v>
      </c>
      <c r="UH6" s="13">
        <f t="shared" ca="1" si="276"/>
        <v>0</v>
      </c>
      <c r="UI6" s="13">
        <f ca="1">INDEX(Totals[[#Data],[#Totals],[Car - Note]:[NONTRACKED]],MATCH(UH$1,Totals[Date],0),MATCH($C6,Totals[[#Headers],[Car - Note]:[NONTRACKED]],0))</f>
        <v>0</v>
      </c>
      <c r="UJ6" s="13">
        <f t="shared" ca="1" si="447"/>
        <v>0</v>
      </c>
      <c r="UK6" s="13" t="s">
        <v>198</v>
      </c>
      <c r="UL6" s="13">
        <v>0</v>
      </c>
      <c r="UM6" s="13" t="b">
        <f t="shared" ca="1" si="448"/>
        <v>1</v>
      </c>
      <c r="UN6" s="94">
        <f t="shared" si="277"/>
        <v>1</v>
      </c>
      <c r="UO6" s="13">
        <f t="shared" ca="1" si="278"/>
        <v>0</v>
      </c>
      <c r="UP6" s="13">
        <f t="shared" ca="1" si="449"/>
        <v>0</v>
      </c>
      <c r="UQ6" s="94">
        <f t="shared" si="279"/>
        <v>0</v>
      </c>
      <c r="UR6" s="13">
        <f t="shared" ca="1" si="280"/>
        <v>0</v>
      </c>
      <c r="US6" s="13">
        <f t="shared" ca="1" si="281"/>
        <v>0</v>
      </c>
      <c r="UT6" s="13">
        <f t="shared" ca="1" si="450"/>
        <v>0</v>
      </c>
      <c r="UU6" s="13">
        <f t="shared" ca="1" si="282"/>
        <v>0</v>
      </c>
      <c r="UV6" s="13">
        <f t="shared" ca="1" si="283"/>
        <v>0</v>
      </c>
      <c r="UW6" s="13" t="str">
        <f t="shared" si="284"/>
        <v>NA</v>
      </c>
      <c r="UX6" s="12">
        <f t="shared" ca="1" si="285"/>
        <v>0</v>
      </c>
      <c r="UY6" s="79"/>
      <c r="UZ6" s="12">
        <f t="shared" ca="1" si="451"/>
        <v>0</v>
      </c>
      <c r="VA6" s="18" t="str">
        <f t="shared" si="286"/>
        <v>NA</v>
      </c>
      <c r="VC6" s="19">
        <f t="shared" ca="1" si="287"/>
        <v>0</v>
      </c>
      <c r="VD6" s="19">
        <f ca="1">INDEX(Totals[[#Data],[#Totals],[Car - Note]:[NONTRACKED]],MATCH(VC$1,Totals[Date],0),MATCH($C6,Totals[[#Headers],[Car - Note]:[NONTRACKED]],0))</f>
        <v>0</v>
      </c>
      <c r="VE6" s="19">
        <f t="shared" ca="1" si="452"/>
        <v>0</v>
      </c>
      <c r="VF6" s="19" t="s">
        <v>198</v>
      </c>
      <c r="VG6" s="19">
        <v>0</v>
      </c>
      <c r="VH6" s="19" t="b">
        <f t="shared" ca="1" si="453"/>
        <v>1</v>
      </c>
      <c r="VI6" s="100">
        <f t="shared" si="288"/>
        <v>1</v>
      </c>
      <c r="VJ6" s="19">
        <f t="shared" ca="1" si="289"/>
        <v>0</v>
      </c>
      <c r="VK6" s="19">
        <f t="shared" ca="1" si="454"/>
        <v>0</v>
      </c>
      <c r="VL6" s="100">
        <f t="shared" si="290"/>
        <v>0</v>
      </c>
      <c r="VM6" s="19">
        <f t="shared" ca="1" si="291"/>
        <v>0</v>
      </c>
      <c r="VN6" s="19">
        <f t="shared" ca="1" si="292"/>
        <v>0</v>
      </c>
      <c r="VO6" s="19">
        <f t="shared" ca="1" si="455"/>
        <v>0</v>
      </c>
      <c r="VP6" s="19">
        <f t="shared" ca="1" si="293"/>
        <v>0</v>
      </c>
      <c r="VQ6" s="19">
        <f t="shared" ca="1" si="294"/>
        <v>0</v>
      </c>
      <c r="VR6" s="19" t="str">
        <f t="shared" si="295"/>
        <v>NA</v>
      </c>
      <c r="VS6" s="12">
        <f t="shared" ca="1" si="296"/>
        <v>0</v>
      </c>
      <c r="VT6" s="79"/>
      <c r="VU6" s="12">
        <f t="shared" ca="1" si="456"/>
        <v>0</v>
      </c>
      <c r="VV6" s="18" t="str">
        <f t="shared" si="297"/>
        <v>NA</v>
      </c>
      <c r="VX6" s="11">
        <f t="shared" ca="1" si="298"/>
        <v>0</v>
      </c>
      <c r="VY6" s="11">
        <f ca="1">INDEX(Totals[[#Data],[#Totals],[Car - Note]:[NONTRACKED]],MATCH(VX$1,Totals[Date],0),MATCH($C6,Totals[[#Headers],[Car - Note]:[NONTRACKED]],0))</f>
        <v>0</v>
      </c>
      <c r="VZ6" s="11">
        <f t="shared" ca="1" si="457"/>
        <v>0</v>
      </c>
      <c r="WA6" s="11" t="s">
        <v>198</v>
      </c>
      <c r="WB6" s="11">
        <v>0</v>
      </c>
      <c r="WC6" s="11" t="b">
        <f t="shared" ca="1" si="458"/>
        <v>1</v>
      </c>
      <c r="WD6" s="92">
        <f t="shared" si="299"/>
        <v>1</v>
      </c>
      <c r="WE6" s="11">
        <f t="shared" ca="1" si="300"/>
        <v>0</v>
      </c>
      <c r="WF6" s="11">
        <f t="shared" ca="1" si="459"/>
        <v>0</v>
      </c>
      <c r="WG6" s="92">
        <f t="shared" si="301"/>
        <v>0</v>
      </c>
      <c r="WH6" s="11">
        <f t="shared" ca="1" si="302"/>
        <v>0</v>
      </c>
      <c r="WI6" s="11">
        <f t="shared" ca="1" si="303"/>
        <v>0</v>
      </c>
      <c r="WJ6" s="11">
        <f t="shared" ca="1" si="460"/>
        <v>0</v>
      </c>
      <c r="WK6" s="11">
        <f t="shared" ca="1" si="304"/>
        <v>0</v>
      </c>
      <c r="WL6" s="11">
        <f t="shared" ca="1" si="305"/>
        <v>0</v>
      </c>
      <c r="WM6" s="11" t="str">
        <f t="shared" si="306"/>
        <v>NA</v>
      </c>
      <c r="WN6" s="12">
        <f t="shared" ca="1" si="307"/>
        <v>0</v>
      </c>
      <c r="WO6" s="79"/>
      <c r="WP6" s="12">
        <f t="shared" ca="1" si="461"/>
        <v>0</v>
      </c>
      <c r="WQ6" s="18" t="str">
        <f t="shared" si="308"/>
        <v>NA</v>
      </c>
      <c r="WS6" s="13">
        <f t="shared" ca="1" si="309"/>
        <v>0</v>
      </c>
      <c r="WT6" s="13">
        <f ca="1">INDEX(Totals[[#Data],[#Totals],[Car - Note]:[NONTRACKED]],MATCH(WS$1,Totals[Date],0),MATCH($C6,Totals[[#Headers],[Car - Note]:[NONTRACKED]],0))</f>
        <v>0</v>
      </c>
      <c r="WU6" s="13">
        <f t="shared" ca="1" si="462"/>
        <v>0</v>
      </c>
      <c r="WV6" s="13" t="s">
        <v>198</v>
      </c>
      <c r="WW6" s="13">
        <v>0</v>
      </c>
      <c r="WX6" s="13" t="b">
        <f t="shared" ca="1" si="463"/>
        <v>1</v>
      </c>
      <c r="WY6" s="94">
        <f t="shared" si="310"/>
        <v>1</v>
      </c>
      <c r="WZ6" s="13">
        <f t="shared" ca="1" si="311"/>
        <v>0</v>
      </c>
      <c r="XA6" s="13">
        <f t="shared" ca="1" si="464"/>
        <v>0</v>
      </c>
      <c r="XB6" s="94">
        <f t="shared" si="312"/>
        <v>0</v>
      </c>
      <c r="XC6" s="13">
        <f t="shared" ca="1" si="313"/>
        <v>0</v>
      </c>
      <c r="XD6" s="13">
        <f t="shared" ca="1" si="314"/>
        <v>0</v>
      </c>
      <c r="XE6" s="13">
        <f t="shared" ca="1" si="465"/>
        <v>0</v>
      </c>
      <c r="XF6" s="13">
        <f t="shared" ca="1" si="315"/>
        <v>0</v>
      </c>
      <c r="XG6" s="13">
        <f t="shared" ca="1" si="316"/>
        <v>0</v>
      </c>
      <c r="XH6" s="13" t="str">
        <f t="shared" si="317"/>
        <v>NA</v>
      </c>
      <c r="XI6" s="12">
        <f t="shared" ca="1" si="318"/>
        <v>0</v>
      </c>
      <c r="XJ6" s="104">
        <f t="shared" ca="1" si="319"/>
        <v>0</v>
      </c>
      <c r="XK6" s="12">
        <f t="shared" ca="1" si="466"/>
        <v>0</v>
      </c>
      <c r="XL6" s="18" t="str">
        <f t="shared" si="320"/>
        <v>NA</v>
      </c>
      <c r="XN6">
        <v>0.1</v>
      </c>
      <c r="XO6" s="103">
        <f t="shared" ca="1" si="467"/>
        <v>0</v>
      </c>
      <c r="XP6" s="12">
        <f t="shared" ca="1" si="468"/>
        <v>0</v>
      </c>
      <c r="XQ6" s="102" t="str">
        <f t="shared" si="469"/>
        <v>NA</v>
      </c>
    </row>
    <row r="7" spans="1:641" x14ac:dyDescent="0.25">
      <c r="A7" s="112"/>
      <c r="B7" t="s">
        <v>51</v>
      </c>
      <c r="C7" t="s">
        <v>38</v>
      </c>
      <c r="D7" s="79">
        <v>-30</v>
      </c>
      <c r="H7" s="48">
        <v>0</v>
      </c>
      <c r="I7" s="48"/>
      <c r="J7" s="48"/>
      <c r="K7" s="48">
        <v>20</v>
      </c>
      <c r="L7" s="95">
        <v>0</v>
      </c>
      <c r="M7" s="48"/>
      <c r="N7" s="96"/>
      <c r="O7" s="48"/>
      <c r="P7" s="48"/>
      <c r="Q7" s="96"/>
      <c r="R7" s="48"/>
      <c r="S7" s="48"/>
      <c r="T7" s="48"/>
      <c r="U7" s="48"/>
      <c r="V7" s="48"/>
      <c r="W7" s="48"/>
      <c r="X7" s="48"/>
      <c r="Y7" s="48"/>
      <c r="Z7" s="48">
        <f t="shared" si="321"/>
        <v>0</v>
      </c>
      <c r="AA7" s="98" t="str">
        <f t="shared" si="0"/>
        <v>NA</v>
      </c>
      <c r="AC7" s="11">
        <f t="shared" si="1"/>
        <v>0</v>
      </c>
      <c r="AD7" s="11">
        <f ca="1">INDEX(Totals[[#Data],[#Totals],[Car - Note]:[NONTRACKED]],MATCH(AC$1,Totals[Date],0),MATCH($C7,Totals[[#Headers],[Car - Note]:[NONTRACKED]],0))</f>
        <v>0</v>
      </c>
      <c r="AE7" s="11">
        <f t="shared" ca="1" si="322"/>
        <v>0</v>
      </c>
      <c r="AF7" s="11">
        <v>20</v>
      </c>
      <c r="AG7" s="11">
        <v>0</v>
      </c>
      <c r="AH7" s="11" t="b">
        <f t="shared" ca="1" si="323"/>
        <v>1</v>
      </c>
      <c r="AI7" s="92">
        <f t="shared" si="2"/>
        <v>0</v>
      </c>
      <c r="AJ7" s="11">
        <f t="shared" ca="1" si="3"/>
        <v>0</v>
      </c>
      <c r="AK7" s="11">
        <f t="shared" ca="1" si="324"/>
        <v>0</v>
      </c>
      <c r="AL7" s="92">
        <f t="shared" si="4"/>
        <v>1</v>
      </c>
      <c r="AM7" s="11">
        <f t="shared" ca="1" si="5"/>
        <v>0</v>
      </c>
      <c r="AN7" s="11">
        <f t="shared" ca="1" si="6"/>
        <v>0</v>
      </c>
      <c r="AO7" s="11">
        <f t="shared" ca="1" si="325"/>
        <v>0</v>
      </c>
      <c r="AP7" s="11">
        <f t="shared" ca="1" si="7"/>
        <v>0</v>
      </c>
      <c r="AQ7" s="11">
        <f t="shared" ca="1" si="8"/>
        <v>0</v>
      </c>
      <c r="AR7" s="11" t="str">
        <f t="shared" si="9"/>
        <v>NA</v>
      </c>
      <c r="AS7" s="12">
        <f t="shared" ca="1" si="10"/>
        <v>0</v>
      </c>
      <c r="AT7" s="12"/>
      <c r="AU7" s="12">
        <f t="shared" ca="1" si="326"/>
        <v>0</v>
      </c>
      <c r="AV7" s="18" t="str">
        <f t="shared" si="11"/>
        <v>NA</v>
      </c>
      <c r="AX7" s="13">
        <f t="shared" ca="1" si="12"/>
        <v>0</v>
      </c>
      <c r="AY7" s="13">
        <f ca="1">INDEX(Totals[[#Data],[#Totals],[Car - Note]:[NONTRACKED]],MATCH(AX$1,Totals[Date],0),MATCH($C7,Totals[[#Headers],[Car - Note]:[NONTRACKED]],0))</f>
        <v>0</v>
      </c>
      <c r="AZ7" s="13">
        <f t="shared" ca="1" si="327"/>
        <v>0</v>
      </c>
      <c r="BA7" s="13">
        <v>20</v>
      </c>
      <c r="BB7" s="13">
        <v>0</v>
      </c>
      <c r="BC7" s="13" t="b">
        <f t="shared" ca="1" si="328"/>
        <v>1</v>
      </c>
      <c r="BD7" s="94">
        <f t="shared" si="13"/>
        <v>0</v>
      </c>
      <c r="BE7" s="13">
        <f t="shared" ca="1" si="14"/>
        <v>0</v>
      </c>
      <c r="BF7" s="13">
        <f t="shared" ca="1" si="329"/>
        <v>0</v>
      </c>
      <c r="BG7" s="94">
        <f t="shared" si="15"/>
        <v>1</v>
      </c>
      <c r="BH7" s="13">
        <f t="shared" ca="1" si="16"/>
        <v>0</v>
      </c>
      <c r="BI7" s="13">
        <f t="shared" ca="1" si="17"/>
        <v>0</v>
      </c>
      <c r="BJ7" s="13">
        <f t="shared" ca="1" si="330"/>
        <v>0</v>
      </c>
      <c r="BK7" s="13">
        <f t="shared" ca="1" si="18"/>
        <v>0</v>
      </c>
      <c r="BL7" s="13">
        <f t="shared" ca="1" si="19"/>
        <v>0</v>
      </c>
      <c r="BM7" s="13" t="str">
        <f t="shared" si="20"/>
        <v>NA</v>
      </c>
      <c r="BN7" s="12">
        <f t="shared" ca="1" si="21"/>
        <v>0</v>
      </c>
      <c r="BO7" s="12"/>
      <c r="BP7" s="12">
        <f t="shared" ca="1" si="331"/>
        <v>0</v>
      </c>
      <c r="BQ7" s="18" t="str">
        <f t="shared" si="22"/>
        <v>NA</v>
      </c>
      <c r="BS7" s="19">
        <f t="shared" ca="1" si="23"/>
        <v>0</v>
      </c>
      <c r="BT7" s="19">
        <f ca="1">INDEX(Totals[[#Data],[#Totals],[Car - Note]:[NONTRACKED]],MATCH(BS$1,Totals[Date],0),MATCH($C7,Totals[[#Headers],[Car - Note]:[NONTRACKED]],0))</f>
        <v>0</v>
      </c>
      <c r="BU7" s="19">
        <f t="shared" ca="1" si="332"/>
        <v>0</v>
      </c>
      <c r="BV7" s="19">
        <v>100</v>
      </c>
      <c r="BW7" s="19">
        <v>150</v>
      </c>
      <c r="BX7" s="19" t="b">
        <f t="shared" ca="1" si="333"/>
        <v>0</v>
      </c>
      <c r="BY7" s="100">
        <f t="shared" si="24"/>
        <v>0</v>
      </c>
      <c r="BZ7" s="19">
        <f t="shared" ca="1" si="25"/>
        <v>0</v>
      </c>
      <c r="CA7" s="19">
        <f t="shared" ca="1" si="334"/>
        <v>0</v>
      </c>
      <c r="CB7" s="100">
        <f t="shared" si="26"/>
        <v>1</v>
      </c>
      <c r="CC7" s="19">
        <f t="shared" ca="1" si="27"/>
        <v>150</v>
      </c>
      <c r="CD7" s="19">
        <f t="shared" ca="1" si="28"/>
        <v>100</v>
      </c>
      <c r="CE7" s="19">
        <f t="shared" ca="1" si="335"/>
        <v>99.999999999999986</v>
      </c>
      <c r="CF7" s="19">
        <f t="shared" ca="1" si="29"/>
        <v>99.999999999999986</v>
      </c>
      <c r="CG7" s="19">
        <f t="shared" ca="1" si="30"/>
        <v>-50</v>
      </c>
      <c r="CH7" s="19">
        <f t="shared" ca="1" si="31"/>
        <v>0.66666666666666652</v>
      </c>
      <c r="CI7" s="12">
        <f t="shared" ca="1" si="32"/>
        <v>99.999999999999986</v>
      </c>
      <c r="CJ7" s="10">
        <f t="shared" ref="CJ7:CJ12" ca="1" si="470">BW7-CI7</f>
        <v>50.000000000000014</v>
      </c>
      <c r="CK7" s="12">
        <f t="shared" ca="1" si="336"/>
        <v>150</v>
      </c>
      <c r="CL7" s="18">
        <f t="shared" ca="1" si="33"/>
        <v>1</v>
      </c>
      <c r="CN7" s="11">
        <f t="shared" ca="1" si="34"/>
        <v>150</v>
      </c>
      <c r="CO7" s="11">
        <f ca="1">INDEX(Totals[[#Data],[#Totals],[Car - Note]:[NONTRACKED]],MATCH(CN$1,Totals[Date],0),MATCH($C7,Totals[[#Headers],[Car - Note]:[NONTRACKED]],0))</f>
        <v>0</v>
      </c>
      <c r="CP7" s="11">
        <f t="shared" ca="1" si="337"/>
        <v>150</v>
      </c>
      <c r="CQ7" s="11">
        <v>100</v>
      </c>
      <c r="CR7" s="11">
        <v>300</v>
      </c>
      <c r="CS7" s="11" t="b">
        <f t="shared" ca="1" si="338"/>
        <v>0</v>
      </c>
      <c r="CT7" s="92">
        <f t="shared" si="35"/>
        <v>0</v>
      </c>
      <c r="CU7" s="11">
        <f t="shared" ca="1" si="36"/>
        <v>0</v>
      </c>
      <c r="CV7" s="11">
        <f t="shared" ca="1" si="339"/>
        <v>0</v>
      </c>
      <c r="CW7" s="92">
        <f t="shared" si="37"/>
        <v>1</v>
      </c>
      <c r="CX7" s="11">
        <f t="shared" ca="1" si="38"/>
        <v>150</v>
      </c>
      <c r="CY7" s="11">
        <f t="shared" ca="1" si="39"/>
        <v>100</v>
      </c>
      <c r="CZ7" s="11">
        <f t="shared" ca="1" si="340"/>
        <v>100</v>
      </c>
      <c r="DA7" s="11">
        <f t="shared" ca="1" si="40"/>
        <v>250</v>
      </c>
      <c r="DB7" s="11">
        <f t="shared" ca="1" si="41"/>
        <v>-50</v>
      </c>
      <c r="DC7" s="11">
        <f t="shared" ca="1" si="42"/>
        <v>0.83333333333333337</v>
      </c>
      <c r="DD7" s="12">
        <f t="shared" ca="1" si="43"/>
        <v>250</v>
      </c>
      <c r="DE7" s="79"/>
      <c r="DF7" s="12">
        <f t="shared" ca="1" si="341"/>
        <v>250</v>
      </c>
      <c r="DG7" s="18">
        <f t="shared" ca="1" si="44"/>
        <v>0.83333333333333337</v>
      </c>
      <c r="DI7" s="13">
        <f t="shared" ca="1" si="45"/>
        <v>250</v>
      </c>
      <c r="DJ7" s="13">
        <f ca="1">INDEX(Totals[[#Data],[#Totals],[Car - Note]:[NONTRACKED]],MATCH(DI$1,Totals[Date],0),MATCH($C7,Totals[[#Headers],[Car - Note]:[NONTRACKED]],0))</f>
        <v>0</v>
      </c>
      <c r="DK7" s="13">
        <f t="shared" ca="1" si="342"/>
        <v>250</v>
      </c>
      <c r="DL7" s="13">
        <v>100</v>
      </c>
      <c r="DM7" s="13">
        <v>300</v>
      </c>
      <c r="DN7" s="13" t="b">
        <f t="shared" ca="1" si="343"/>
        <v>0</v>
      </c>
      <c r="DO7" s="94">
        <f t="shared" si="46"/>
        <v>0</v>
      </c>
      <c r="DP7" s="13">
        <f t="shared" ca="1" si="47"/>
        <v>0</v>
      </c>
      <c r="DQ7" s="13">
        <f t="shared" ca="1" si="344"/>
        <v>0</v>
      </c>
      <c r="DR7" s="94">
        <f t="shared" si="48"/>
        <v>1</v>
      </c>
      <c r="DS7" s="13">
        <f t="shared" ca="1" si="49"/>
        <v>50</v>
      </c>
      <c r="DT7" s="13">
        <f t="shared" ca="1" si="50"/>
        <v>50</v>
      </c>
      <c r="DU7" s="13">
        <f t="shared" ca="1" si="345"/>
        <v>21.350648926826366</v>
      </c>
      <c r="DV7" s="13">
        <f t="shared" ca="1" si="51"/>
        <v>271.35064892682635</v>
      </c>
      <c r="DW7" s="13">
        <f t="shared" ca="1" si="52"/>
        <v>-28.65</v>
      </c>
      <c r="DX7" s="13">
        <f t="shared" ca="1" si="53"/>
        <v>0.90450216308942122</v>
      </c>
      <c r="DY7" s="12">
        <f t="shared" ca="1" si="54"/>
        <v>271.35064892682635</v>
      </c>
      <c r="DZ7" s="79"/>
      <c r="EA7" s="12">
        <f t="shared" ca="1" si="346"/>
        <v>271.35064892682635</v>
      </c>
      <c r="EB7" s="18">
        <f t="shared" ca="1" si="55"/>
        <v>0.90450216308942122</v>
      </c>
      <c r="ED7" s="19">
        <f t="shared" ca="1" si="56"/>
        <v>271.35064892682635</v>
      </c>
      <c r="EE7" s="19">
        <f ca="1">INDEX(Totals[[#Data],[#Totals],[Car - Note]:[NONTRACKED]],MATCH(ED$1,Totals[Date],0),MATCH($C7,Totals[[#Headers],[Car - Note]:[NONTRACKED]],0))</f>
        <v>0</v>
      </c>
      <c r="EF7" s="19">
        <f t="shared" ca="1" si="347"/>
        <v>271.35064892682635</v>
      </c>
      <c r="EG7" s="19">
        <v>100</v>
      </c>
      <c r="EH7" s="19">
        <v>300</v>
      </c>
      <c r="EI7" s="19" t="b">
        <f t="shared" ca="1" si="348"/>
        <v>0</v>
      </c>
      <c r="EJ7" s="100">
        <f t="shared" si="57"/>
        <v>0</v>
      </c>
      <c r="EK7" s="19">
        <f t="shared" ca="1" si="58"/>
        <v>0</v>
      </c>
      <c r="EL7" s="19">
        <f t="shared" ca="1" si="349"/>
        <v>0</v>
      </c>
      <c r="EM7" s="100">
        <f t="shared" si="59"/>
        <v>1</v>
      </c>
      <c r="EN7" s="19">
        <f t="shared" ca="1" si="60"/>
        <v>28.649351073173648</v>
      </c>
      <c r="EO7" s="19">
        <f t="shared" ca="1" si="61"/>
        <v>28.649351073173648</v>
      </c>
      <c r="EP7" s="19">
        <f t="shared" ca="1" si="350"/>
        <v>20.882720033783929</v>
      </c>
      <c r="EQ7" s="19">
        <f t="shared" ca="1" si="62"/>
        <v>292.23336896061028</v>
      </c>
      <c r="ER7" s="19">
        <f t="shared" ca="1" si="63"/>
        <v>-7.77</v>
      </c>
      <c r="ES7" s="19">
        <f t="shared" ca="1" si="64"/>
        <v>0.97411122986870091</v>
      </c>
      <c r="ET7" s="12">
        <f t="shared" ca="1" si="65"/>
        <v>292.23336896061028</v>
      </c>
      <c r="EU7" s="79"/>
      <c r="EV7" s="12">
        <f t="shared" ca="1" si="351"/>
        <v>292.23336896061028</v>
      </c>
      <c r="EW7" s="18">
        <f t="shared" ca="1" si="66"/>
        <v>0.97411122986870091</v>
      </c>
      <c r="EY7" s="11">
        <f t="shared" ca="1" si="67"/>
        <v>292.23336896061028</v>
      </c>
      <c r="EZ7" s="11">
        <f ca="1">INDEX(Totals[[#Data],[#Totals],[Car - Note]:[NONTRACKED]],MATCH(EY$1,Totals[Date],0),MATCH($C7,Totals[[#Headers],[Car - Note]:[NONTRACKED]],0))</f>
        <v>0</v>
      </c>
      <c r="FA7" s="11">
        <f t="shared" ca="1" si="352"/>
        <v>292.23336896061028</v>
      </c>
      <c r="FB7" s="11">
        <v>100</v>
      </c>
      <c r="FC7" s="11">
        <v>300</v>
      </c>
      <c r="FD7" s="11" t="b">
        <f t="shared" ca="1" si="353"/>
        <v>0</v>
      </c>
      <c r="FE7" s="92">
        <f t="shared" si="68"/>
        <v>0</v>
      </c>
      <c r="FF7" s="11">
        <f t="shared" ca="1" si="69"/>
        <v>0</v>
      </c>
      <c r="FG7" s="11">
        <f t="shared" ca="1" si="354"/>
        <v>0</v>
      </c>
      <c r="FH7" s="92">
        <f t="shared" si="70"/>
        <v>1</v>
      </c>
      <c r="FI7" s="11">
        <f t="shared" ca="1" si="71"/>
        <v>7.766631039389722</v>
      </c>
      <c r="FJ7" s="11">
        <f t="shared" ca="1" si="72"/>
        <v>7.766631039389722</v>
      </c>
      <c r="FK7" s="11">
        <f t="shared" ca="1" si="355"/>
        <v>3.3643177459136626</v>
      </c>
      <c r="FL7" s="11">
        <f t="shared" ca="1" si="73"/>
        <v>295.59768670652392</v>
      </c>
      <c r="FM7" s="11">
        <f t="shared" ca="1" si="74"/>
        <v>-4.4000000000000004</v>
      </c>
      <c r="FN7" s="11">
        <f t="shared" ca="1" si="75"/>
        <v>0.9853256223550797</v>
      </c>
      <c r="FO7" s="12">
        <f t="shared" ca="1" si="76"/>
        <v>295.59768670652392</v>
      </c>
      <c r="FP7" s="79"/>
      <c r="FQ7" s="12">
        <f t="shared" ca="1" si="356"/>
        <v>295.59768670652392</v>
      </c>
      <c r="FR7" s="18">
        <f t="shared" ca="1" si="77"/>
        <v>0.9853256223550797</v>
      </c>
      <c r="FT7" s="13">
        <f t="shared" ca="1" si="78"/>
        <v>295.59768670652392</v>
      </c>
      <c r="FU7" s="13">
        <f ca="1">INDEX(Totals[[#Data],[#Totals],[Car - Note]:[NONTRACKED]],MATCH(FT$1,Totals[Date],0),MATCH($C7,Totals[[#Headers],[Car - Note]:[NONTRACKED]],0))</f>
        <v>-16.249999999999922</v>
      </c>
      <c r="FV7" s="13">
        <f t="shared" ca="1" si="357"/>
        <v>279.34768670652397</v>
      </c>
      <c r="FW7" s="13">
        <v>100</v>
      </c>
      <c r="FX7" s="13">
        <v>300</v>
      </c>
      <c r="FY7" s="13" t="b">
        <f t="shared" ca="1" si="358"/>
        <v>0</v>
      </c>
      <c r="FZ7" s="94">
        <f t="shared" si="79"/>
        <v>0</v>
      </c>
      <c r="GA7" s="13">
        <f t="shared" ca="1" si="80"/>
        <v>0</v>
      </c>
      <c r="GB7" s="13">
        <f t="shared" ca="1" si="359"/>
        <v>0</v>
      </c>
      <c r="GC7" s="94">
        <f t="shared" si="81"/>
        <v>1</v>
      </c>
      <c r="GD7" s="13">
        <f t="shared" ca="1" si="82"/>
        <v>20.652313293476027</v>
      </c>
      <c r="GE7" s="13">
        <f t="shared" ca="1" si="83"/>
        <v>20.652313293476027</v>
      </c>
      <c r="GF7" s="13">
        <f t="shared" ca="1" si="360"/>
        <v>8.9218268658689812</v>
      </c>
      <c r="GG7" s="13">
        <f t="shared" ca="1" si="84"/>
        <v>288.26951357239295</v>
      </c>
      <c r="GH7" s="13">
        <f t="shared" ca="1" si="85"/>
        <v>-11.73</v>
      </c>
      <c r="GI7" s="13">
        <f t="shared" ca="1" si="86"/>
        <v>0.96089837857464322</v>
      </c>
      <c r="GJ7" s="12">
        <f t="shared" ca="1" si="87"/>
        <v>288.26951357239295</v>
      </c>
      <c r="GK7" s="79"/>
      <c r="GL7" s="12">
        <f t="shared" ca="1" si="361"/>
        <v>288.26951357239295</v>
      </c>
      <c r="GM7" s="18">
        <f t="shared" ca="1" si="88"/>
        <v>0.96089837857464322</v>
      </c>
      <c r="GO7" s="19">
        <f t="shared" ca="1" si="89"/>
        <v>288.26951357239295</v>
      </c>
      <c r="GP7" s="19">
        <f ca="1">INDEX(Totals[[#Data],[#Totals],[Car - Note]:[NONTRACKED]],MATCH(GO$1,Totals[Date],0),MATCH($C7,Totals[[#Headers],[Car - Note]:[NONTRACKED]],0))</f>
        <v>0</v>
      </c>
      <c r="GQ7" s="19">
        <f t="shared" ca="1" si="362"/>
        <v>288.26951357239295</v>
      </c>
      <c r="GR7" s="19">
        <v>100</v>
      </c>
      <c r="GS7" s="19">
        <v>300</v>
      </c>
      <c r="GT7" s="19" t="b">
        <f t="shared" ca="1" si="363"/>
        <v>0</v>
      </c>
      <c r="GU7" s="100">
        <f t="shared" si="90"/>
        <v>0</v>
      </c>
      <c r="GV7" s="19">
        <f t="shared" ca="1" si="91"/>
        <v>0</v>
      </c>
      <c r="GW7" s="19">
        <f t="shared" ca="1" si="364"/>
        <v>0</v>
      </c>
      <c r="GX7" s="100">
        <f t="shared" si="92"/>
        <v>1</v>
      </c>
      <c r="GY7" s="19">
        <f t="shared" ca="1" si="93"/>
        <v>11.730486427607048</v>
      </c>
      <c r="GZ7" s="19">
        <f t="shared" ca="1" si="94"/>
        <v>11.730486427607048</v>
      </c>
      <c r="HA7" s="19">
        <f t="shared" ca="1" si="365"/>
        <v>5.182478951504617</v>
      </c>
      <c r="HB7" s="19">
        <f t="shared" ca="1" si="95"/>
        <v>293.45199252389756</v>
      </c>
      <c r="HC7" s="19">
        <f t="shared" ca="1" si="96"/>
        <v>-6.55</v>
      </c>
      <c r="HD7" s="19">
        <f t="shared" ca="1" si="97"/>
        <v>0.97817330841299188</v>
      </c>
      <c r="HE7" s="12">
        <f t="shared" ca="1" si="98"/>
        <v>293.45199252389756</v>
      </c>
      <c r="HF7" s="79"/>
      <c r="HG7" s="12">
        <f t="shared" ca="1" si="366"/>
        <v>293.45199252389756</v>
      </c>
      <c r="HH7" s="18">
        <f t="shared" ca="1" si="99"/>
        <v>0.97817330841299188</v>
      </c>
      <c r="HJ7" s="11">
        <f t="shared" ca="1" si="100"/>
        <v>293.45199252389756</v>
      </c>
      <c r="HK7" s="11">
        <f ca="1">INDEX(Totals[[#Data],[#Totals],[Car - Note]:[NONTRACKED]],MATCH(HJ$1,Totals[Date],0),MATCH($C7,Totals[[#Headers],[Car - Note]:[NONTRACKED]],0))</f>
        <v>0</v>
      </c>
      <c r="HL7" s="11">
        <f t="shared" ca="1" si="367"/>
        <v>293.45199252389756</v>
      </c>
      <c r="HM7" s="11">
        <v>100</v>
      </c>
      <c r="HN7" s="11">
        <v>300</v>
      </c>
      <c r="HO7" s="11" t="b">
        <f t="shared" ca="1" si="368"/>
        <v>0</v>
      </c>
      <c r="HP7" s="92">
        <f t="shared" si="101"/>
        <v>0</v>
      </c>
      <c r="HQ7" s="11">
        <f t="shared" ca="1" si="102"/>
        <v>0</v>
      </c>
      <c r="HR7" s="11">
        <f t="shared" ca="1" si="369"/>
        <v>0</v>
      </c>
      <c r="HS7" s="92">
        <f t="shared" si="103"/>
        <v>1</v>
      </c>
      <c r="HT7" s="11">
        <f t="shared" ca="1" si="104"/>
        <v>6.5480074761024412</v>
      </c>
      <c r="HU7" s="11">
        <f t="shared" ca="1" si="105"/>
        <v>6.5480074761024412</v>
      </c>
      <c r="HV7" s="11">
        <f t="shared" ca="1" si="370"/>
        <v>2.771137861733747</v>
      </c>
      <c r="HW7" s="11">
        <f t="shared" ca="1" si="106"/>
        <v>296.22313038563129</v>
      </c>
      <c r="HX7" s="11">
        <f t="shared" ca="1" si="107"/>
        <v>-3.78</v>
      </c>
      <c r="HY7" s="11">
        <f t="shared" ca="1" si="108"/>
        <v>0.98741043461877098</v>
      </c>
      <c r="HZ7" s="12">
        <f t="shared" ca="1" si="109"/>
        <v>296.22313038563129</v>
      </c>
      <c r="IA7" s="79"/>
      <c r="IB7" s="12">
        <f t="shared" ca="1" si="371"/>
        <v>296.22313038563129</v>
      </c>
      <c r="IC7" s="18">
        <f t="shared" ca="1" si="110"/>
        <v>0.98741043461877098</v>
      </c>
      <c r="IE7" s="13">
        <f t="shared" ca="1" si="111"/>
        <v>296.22313038563129</v>
      </c>
      <c r="IF7" s="13">
        <f ca="1">INDEX(Totals[[#Data],[#Totals],[Car - Note]:[NONTRACKED]],MATCH(IE$1,Totals[Date],0),MATCH($C7,Totals[[#Headers],[Car - Note]:[NONTRACKED]],0))</f>
        <v>0</v>
      </c>
      <c r="IG7" s="13">
        <f t="shared" ca="1" si="372"/>
        <v>296.22313038563129</v>
      </c>
      <c r="IH7" s="13">
        <v>100</v>
      </c>
      <c r="II7" s="13">
        <v>300</v>
      </c>
      <c r="IJ7" s="13" t="b">
        <f t="shared" ca="1" si="373"/>
        <v>0</v>
      </c>
      <c r="IK7" s="94">
        <f t="shared" si="112"/>
        <v>0</v>
      </c>
      <c r="IL7" s="13">
        <f t="shared" ca="1" si="113"/>
        <v>0</v>
      </c>
      <c r="IM7" s="13">
        <f t="shared" ca="1" si="374"/>
        <v>0</v>
      </c>
      <c r="IN7" s="94">
        <f t="shared" si="114"/>
        <v>1</v>
      </c>
      <c r="IO7" s="13">
        <f t="shared" ca="1" si="115"/>
        <v>3.7768696143687066</v>
      </c>
      <c r="IP7" s="13">
        <f t="shared" ca="1" si="116"/>
        <v>3.7768696143687066</v>
      </c>
      <c r="IQ7" s="13">
        <f t="shared" ca="1" si="375"/>
        <v>1.7446391420606042</v>
      </c>
      <c r="IR7" s="13">
        <f t="shared" ca="1" si="117"/>
        <v>297.96776952769187</v>
      </c>
      <c r="IS7" s="13">
        <f t="shared" ca="1" si="118"/>
        <v>-2.0299999999999998</v>
      </c>
      <c r="IT7" s="13">
        <f t="shared" ca="1" si="119"/>
        <v>0.99322589842563958</v>
      </c>
      <c r="IU7" s="12">
        <f t="shared" ca="1" si="120"/>
        <v>297.96776952769187</v>
      </c>
      <c r="IV7" s="79"/>
      <c r="IW7" s="12">
        <f t="shared" ca="1" si="376"/>
        <v>297.96776952769187</v>
      </c>
      <c r="IX7" s="18">
        <f t="shared" ca="1" si="121"/>
        <v>0.99322589842563958</v>
      </c>
      <c r="IZ7" s="19">
        <f t="shared" ca="1" si="122"/>
        <v>297.96776952769187</v>
      </c>
      <c r="JA7" s="19">
        <f ca="1">INDEX(Totals[[#Data],[#Totals],[Car - Note]:[NONTRACKED]],MATCH(IZ$1,Totals[Date],0),MATCH($C7,Totals[[#Headers],[Car - Note]:[NONTRACKED]],0))</f>
        <v>0</v>
      </c>
      <c r="JB7" s="19">
        <f t="shared" ca="1" si="377"/>
        <v>297.96776952769187</v>
      </c>
      <c r="JC7" s="19">
        <v>100</v>
      </c>
      <c r="JD7" s="19">
        <v>300</v>
      </c>
      <c r="JE7" s="19" t="b">
        <f t="shared" ca="1" si="378"/>
        <v>0</v>
      </c>
      <c r="JF7" s="100">
        <f t="shared" si="123"/>
        <v>0</v>
      </c>
      <c r="JG7" s="19">
        <f t="shared" ca="1" si="124"/>
        <v>0</v>
      </c>
      <c r="JH7" s="19">
        <f t="shared" ca="1" si="379"/>
        <v>0</v>
      </c>
      <c r="JI7" s="100">
        <f t="shared" si="125"/>
        <v>1</v>
      </c>
      <c r="JJ7" s="19">
        <f t="shared" ca="1" si="126"/>
        <v>2.0322304723081288</v>
      </c>
      <c r="JK7" s="19">
        <f t="shared" ca="1" si="127"/>
        <v>2.0322304723081288</v>
      </c>
      <c r="JL7" s="19">
        <f t="shared" ca="1" si="380"/>
        <v>0.77772396841211722</v>
      </c>
      <c r="JM7" s="19">
        <f t="shared" ca="1" si="128"/>
        <v>298.74549349610396</v>
      </c>
      <c r="JN7" s="19">
        <f t="shared" ca="1" si="129"/>
        <v>-1.25</v>
      </c>
      <c r="JO7" s="19">
        <f t="shared" ca="1" si="130"/>
        <v>0.99581831165367984</v>
      </c>
      <c r="JP7" s="12">
        <f t="shared" ca="1" si="131"/>
        <v>298.74549349610396</v>
      </c>
      <c r="JQ7" s="79"/>
      <c r="JR7" s="12">
        <f t="shared" ca="1" si="381"/>
        <v>298.74549349610396</v>
      </c>
      <c r="JS7" s="18">
        <f t="shared" ca="1" si="132"/>
        <v>0.99581831165367984</v>
      </c>
      <c r="JU7" s="11">
        <f t="shared" ca="1" si="133"/>
        <v>298.74549349610396</v>
      </c>
      <c r="JV7" s="11">
        <f ca="1">INDEX(Totals[[#Data],[#Totals],[Car - Note]:[NONTRACKED]],MATCH(JU$1,Totals[Date],0),MATCH($C7,Totals[[#Headers],[Car - Note]:[NONTRACKED]],0))</f>
        <v>0</v>
      </c>
      <c r="JW7" s="11">
        <f t="shared" ca="1" si="382"/>
        <v>298.74549349610396</v>
      </c>
      <c r="JX7" s="11">
        <v>100</v>
      </c>
      <c r="JY7" s="11">
        <v>300</v>
      </c>
      <c r="JZ7" s="11" t="b">
        <f t="shared" ca="1" si="383"/>
        <v>0</v>
      </c>
      <c r="KA7" s="92">
        <f t="shared" si="134"/>
        <v>0</v>
      </c>
      <c r="KB7" s="11">
        <f t="shared" ca="1" si="135"/>
        <v>0</v>
      </c>
      <c r="KC7" s="11">
        <f t="shared" ca="1" si="384"/>
        <v>0</v>
      </c>
      <c r="KD7" s="92">
        <f t="shared" si="136"/>
        <v>1</v>
      </c>
      <c r="KE7" s="11">
        <f t="shared" ca="1" si="137"/>
        <v>1.2545065038960388</v>
      </c>
      <c r="KF7" s="11">
        <f t="shared" ca="1" si="138"/>
        <v>1.2545065038960388</v>
      </c>
      <c r="KG7" s="11">
        <f t="shared" ca="1" si="385"/>
        <v>0.86767647024067152</v>
      </c>
      <c r="KH7" s="11">
        <f t="shared" ca="1" si="139"/>
        <v>299.61316996634463</v>
      </c>
      <c r="KI7" s="11">
        <f t="shared" ca="1" si="140"/>
        <v>-0.39</v>
      </c>
      <c r="KJ7" s="11">
        <f t="shared" ca="1" si="141"/>
        <v>0.99871056655448209</v>
      </c>
      <c r="KK7" s="12">
        <f t="shared" ca="1" si="142"/>
        <v>299.61316996634463</v>
      </c>
      <c r="KL7" s="79"/>
      <c r="KM7" s="12">
        <f t="shared" ca="1" si="386"/>
        <v>299.61316996634463</v>
      </c>
      <c r="KN7" s="18">
        <f t="shared" ca="1" si="143"/>
        <v>0.99871056655448209</v>
      </c>
      <c r="KP7" s="13">
        <f t="shared" ca="1" si="144"/>
        <v>299.61316996634463</v>
      </c>
      <c r="KQ7" s="13">
        <f ca="1">INDEX(Totals[[#Data],[#Totals],[Car - Note]:[NONTRACKED]],MATCH(KP$1,Totals[Date],0),MATCH($C7,Totals[[#Headers],[Car - Note]:[NONTRACKED]],0))</f>
        <v>0</v>
      </c>
      <c r="KR7" s="13">
        <f t="shared" ca="1" si="387"/>
        <v>299.61316996634463</v>
      </c>
      <c r="KS7" s="13">
        <v>100</v>
      </c>
      <c r="KT7" s="13">
        <v>300</v>
      </c>
      <c r="KU7" s="13" t="b">
        <f t="shared" ca="1" si="388"/>
        <v>0</v>
      </c>
      <c r="KV7" s="94">
        <f t="shared" si="145"/>
        <v>0</v>
      </c>
      <c r="KW7" s="13">
        <f t="shared" ca="1" si="146"/>
        <v>0</v>
      </c>
      <c r="KX7" s="13">
        <f t="shared" ca="1" si="389"/>
        <v>0</v>
      </c>
      <c r="KY7" s="94">
        <f t="shared" si="147"/>
        <v>1</v>
      </c>
      <c r="KZ7" s="13">
        <f t="shared" ca="1" si="148"/>
        <v>0.38683003365537161</v>
      </c>
      <c r="LA7" s="13">
        <f t="shared" ca="1" si="149"/>
        <v>0.38683003365537161</v>
      </c>
      <c r="LB7" s="13">
        <f t="shared" ca="1" si="390"/>
        <v>0.29515505858459662</v>
      </c>
      <c r="LC7" s="13">
        <f t="shared" ca="1" si="150"/>
        <v>299.90832502492924</v>
      </c>
      <c r="LD7" s="13">
        <f t="shared" ca="1" si="151"/>
        <v>-0.09</v>
      </c>
      <c r="LE7" s="13">
        <f t="shared" ca="1" si="152"/>
        <v>0.99969441674976411</v>
      </c>
      <c r="LF7" s="12">
        <f t="shared" ca="1" si="153"/>
        <v>299.90832502492924</v>
      </c>
      <c r="LG7" s="79"/>
      <c r="LH7" s="12">
        <f t="shared" ca="1" si="391"/>
        <v>299.90832502492924</v>
      </c>
      <c r="LI7" s="18">
        <f t="shared" ca="1" si="154"/>
        <v>0.99969441674976411</v>
      </c>
      <c r="LK7" s="19">
        <f t="shared" ca="1" si="155"/>
        <v>299.90832502492924</v>
      </c>
      <c r="LL7" s="19">
        <f ca="1">INDEX(Totals[[#Data],[#Totals],[Car - Note]:[NONTRACKED]],MATCH(LK$1,Totals[Date],0),MATCH($C7,Totals[[#Headers],[Car - Note]:[NONTRACKED]],0))</f>
        <v>0</v>
      </c>
      <c r="LM7" s="19">
        <f t="shared" ca="1" si="392"/>
        <v>299.90832502492924</v>
      </c>
      <c r="LN7" s="19">
        <v>100</v>
      </c>
      <c r="LO7" s="19">
        <v>300</v>
      </c>
      <c r="LP7" s="19" t="b">
        <f t="shared" ca="1" si="393"/>
        <v>0</v>
      </c>
      <c r="LQ7" s="100">
        <f t="shared" si="156"/>
        <v>0</v>
      </c>
      <c r="LR7" s="19">
        <f t="shared" ca="1" si="157"/>
        <v>0</v>
      </c>
      <c r="LS7" s="19">
        <f t="shared" ca="1" si="394"/>
        <v>0</v>
      </c>
      <c r="LT7" s="100">
        <f t="shared" si="158"/>
        <v>1</v>
      </c>
      <c r="LU7" s="19">
        <f t="shared" ca="1" si="159"/>
        <v>9.1674975070759501E-2</v>
      </c>
      <c r="LV7" s="19">
        <f t="shared" ca="1" si="160"/>
        <v>9.1674975070759501E-2</v>
      </c>
      <c r="LW7" s="19">
        <f t="shared" ca="1" si="395"/>
        <v>5.8191083236220624E-2</v>
      </c>
      <c r="LX7" s="19">
        <f t="shared" ca="1" si="161"/>
        <v>299.96651610816548</v>
      </c>
      <c r="LY7" s="19">
        <f t="shared" ca="1" si="162"/>
        <v>-0.03</v>
      </c>
      <c r="LZ7" s="19">
        <f t="shared" ca="1" si="163"/>
        <v>0.99988838702721827</v>
      </c>
      <c r="MA7" s="12">
        <f t="shared" ca="1" si="164"/>
        <v>299.96651610816548</v>
      </c>
      <c r="MB7" s="79"/>
      <c r="MC7" s="12">
        <f t="shared" ca="1" si="396"/>
        <v>299.96651610816548</v>
      </c>
      <c r="MD7" s="18">
        <f t="shared" ca="1" si="165"/>
        <v>0.99988838702721827</v>
      </c>
      <c r="MF7" s="11">
        <f t="shared" ca="1" si="166"/>
        <v>299.96651610816548</v>
      </c>
      <c r="MG7" s="11">
        <f ca="1">INDEX(Totals[[#Data],[#Totals],[Car - Note]:[NONTRACKED]],MATCH(MF$1,Totals[Date],0),MATCH($C7,Totals[[#Headers],[Car - Note]:[NONTRACKED]],0))</f>
        <v>-12.370000000000005</v>
      </c>
      <c r="MH7" s="11">
        <f t="shared" ca="1" si="397"/>
        <v>287.59651610816547</v>
      </c>
      <c r="MI7" s="11">
        <v>100</v>
      </c>
      <c r="MJ7" s="11">
        <v>300</v>
      </c>
      <c r="MK7" s="11" t="b">
        <f t="shared" ca="1" si="398"/>
        <v>0</v>
      </c>
      <c r="ML7" s="92">
        <f t="shared" si="167"/>
        <v>0</v>
      </c>
      <c r="MM7" s="11">
        <f t="shared" ca="1" si="168"/>
        <v>0</v>
      </c>
      <c r="MN7" s="11">
        <f t="shared" ca="1" si="399"/>
        <v>0</v>
      </c>
      <c r="MO7" s="92">
        <f t="shared" si="169"/>
        <v>1</v>
      </c>
      <c r="MP7" s="11">
        <f t="shared" ca="1" si="170"/>
        <v>12.403483891834526</v>
      </c>
      <c r="MQ7" s="11">
        <f t="shared" ca="1" si="171"/>
        <v>12.403483891834526</v>
      </c>
      <c r="MR7" s="11">
        <f t="shared" ca="1" si="400"/>
        <v>6.2112732062526632</v>
      </c>
      <c r="MS7" s="11">
        <f t="shared" ca="1" si="172"/>
        <v>293.80778931441813</v>
      </c>
      <c r="MT7" s="11">
        <f t="shared" ca="1" si="173"/>
        <v>-6.19</v>
      </c>
      <c r="MU7" s="11">
        <f t="shared" ca="1" si="174"/>
        <v>0.97935929771472707</v>
      </c>
      <c r="MV7" s="12">
        <f t="shared" ca="1" si="175"/>
        <v>293.80778931441813</v>
      </c>
      <c r="MW7" s="79">
        <v>-100</v>
      </c>
      <c r="MX7" s="12">
        <f t="shared" ca="1" si="401"/>
        <v>193.80778931441813</v>
      </c>
      <c r="MY7" s="18">
        <f t="shared" ca="1" si="176"/>
        <v>0.64602596438139381</v>
      </c>
      <c r="NA7" s="13">
        <f t="shared" ca="1" si="177"/>
        <v>193.80778931441813</v>
      </c>
      <c r="NB7" s="13">
        <f ca="1">INDEX(Totals[[#Data],[#Totals],[Car - Note]:[NONTRACKED]],MATCH(NA$1,Totals[Date],0),MATCH($C7,Totals[[#Headers],[Car - Note]:[NONTRACKED]],0))</f>
        <v>11.850000000000023</v>
      </c>
      <c r="NC7" s="13">
        <f t="shared" ca="1" si="402"/>
        <v>205.65778931441815</v>
      </c>
      <c r="ND7" s="13">
        <v>100</v>
      </c>
      <c r="NE7" s="13">
        <v>300</v>
      </c>
      <c r="NF7" s="13" t="b">
        <f t="shared" ca="1" si="403"/>
        <v>0</v>
      </c>
      <c r="NG7" s="94">
        <f t="shared" si="178"/>
        <v>0</v>
      </c>
      <c r="NH7" s="13">
        <f t="shared" ca="1" si="179"/>
        <v>0</v>
      </c>
      <c r="NI7" s="13">
        <f t="shared" ca="1" si="404"/>
        <v>0</v>
      </c>
      <c r="NJ7" s="94">
        <f t="shared" si="180"/>
        <v>1</v>
      </c>
      <c r="NK7" s="13">
        <f t="shared" ca="1" si="181"/>
        <v>94.342210685581847</v>
      </c>
      <c r="NL7" s="13">
        <f t="shared" ca="1" si="182"/>
        <v>94.342210685581847</v>
      </c>
      <c r="NM7" s="13">
        <f t="shared" ca="1" si="405"/>
        <v>94.342210685581847</v>
      </c>
      <c r="NN7" s="13">
        <f t="shared" ca="1" si="183"/>
        <v>300</v>
      </c>
      <c r="NO7" s="13">
        <f t="shared" ca="1" si="184"/>
        <v>0</v>
      </c>
      <c r="NP7" s="13">
        <f t="shared" ca="1" si="185"/>
        <v>1</v>
      </c>
      <c r="NQ7" s="12">
        <f t="shared" ca="1" si="186"/>
        <v>300</v>
      </c>
      <c r="NR7" s="79"/>
      <c r="NS7" s="12">
        <f t="shared" ca="1" si="406"/>
        <v>300</v>
      </c>
      <c r="NT7" s="18">
        <f t="shared" ca="1" si="187"/>
        <v>1</v>
      </c>
      <c r="NV7" s="19">
        <f t="shared" ca="1" si="188"/>
        <v>300</v>
      </c>
      <c r="NW7" s="19">
        <f ca="1">INDEX(Totals[[#Data],[#Totals],[Car - Note]:[NONTRACKED]],MATCH(NV$1,Totals[Date],0),MATCH($C7,Totals[[#Headers],[Car - Note]:[NONTRACKED]],0))</f>
        <v>0</v>
      </c>
      <c r="NX7" s="19">
        <f t="shared" ca="1" si="407"/>
        <v>300</v>
      </c>
      <c r="NY7" s="19">
        <v>100</v>
      </c>
      <c r="NZ7" s="19">
        <v>300</v>
      </c>
      <c r="OA7" s="19" t="b">
        <f t="shared" ca="1" si="408"/>
        <v>1</v>
      </c>
      <c r="OB7" s="100">
        <f t="shared" si="189"/>
        <v>0</v>
      </c>
      <c r="OC7" s="19">
        <f t="shared" ca="1" si="190"/>
        <v>0</v>
      </c>
      <c r="OD7" s="19">
        <f t="shared" ca="1" si="409"/>
        <v>0</v>
      </c>
      <c r="OE7" s="100">
        <f t="shared" si="191"/>
        <v>1</v>
      </c>
      <c r="OF7" s="19">
        <f t="shared" ca="1" si="192"/>
        <v>0</v>
      </c>
      <c r="OG7" s="19">
        <f t="shared" ca="1" si="193"/>
        <v>0</v>
      </c>
      <c r="OH7" s="19">
        <f t="shared" ca="1" si="410"/>
        <v>0</v>
      </c>
      <c r="OI7" s="19">
        <f t="shared" ca="1" si="194"/>
        <v>300</v>
      </c>
      <c r="OJ7" s="19">
        <f t="shared" ca="1" si="195"/>
        <v>0</v>
      </c>
      <c r="OK7" s="19">
        <f t="shared" ca="1" si="196"/>
        <v>1</v>
      </c>
      <c r="OL7" s="12">
        <f t="shared" ca="1" si="197"/>
        <v>300</v>
      </c>
      <c r="OM7" s="79"/>
      <c r="ON7" s="12">
        <f t="shared" ca="1" si="411"/>
        <v>300</v>
      </c>
      <c r="OO7" s="18">
        <f t="shared" ca="1" si="198"/>
        <v>1</v>
      </c>
      <c r="OQ7" s="11">
        <f t="shared" ca="1" si="199"/>
        <v>300</v>
      </c>
      <c r="OR7" s="11">
        <f ca="1">INDEX(Totals[[#Data],[#Totals],[Car - Note]:[NONTRACKED]],MATCH(OQ$1,Totals[Date],0),MATCH($C7,Totals[[#Headers],[Car - Note]:[NONTRACKED]],0))</f>
        <v>0</v>
      </c>
      <c r="OS7" s="11">
        <f t="shared" ca="1" si="412"/>
        <v>300</v>
      </c>
      <c r="OT7" s="11">
        <v>100</v>
      </c>
      <c r="OU7" s="11">
        <v>300</v>
      </c>
      <c r="OV7" s="11" t="b">
        <f t="shared" ca="1" si="413"/>
        <v>1</v>
      </c>
      <c r="OW7" s="92">
        <f t="shared" si="200"/>
        <v>0</v>
      </c>
      <c r="OX7" s="11">
        <f t="shared" ca="1" si="201"/>
        <v>0</v>
      </c>
      <c r="OY7" s="11">
        <f t="shared" ca="1" si="414"/>
        <v>0</v>
      </c>
      <c r="OZ7" s="92">
        <f t="shared" si="202"/>
        <v>1</v>
      </c>
      <c r="PA7" s="11">
        <f t="shared" ca="1" si="203"/>
        <v>0</v>
      </c>
      <c r="PB7" s="11">
        <f t="shared" ca="1" si="204"/>
        <v>0</v>
      </c>
      <c r="PC7" s="11">
        <f t="shared" ca="1" si="415"/>
        <v>0</v>
      </c>
      <c r="PD7" s="11">
        <f t="shared" ca="1" si="205"/>
        <v>300</v>
      </c>
      <c r="PE7" s="11">
        <f t="shared" ca="1" si="206"/>
        <v>0</v>
      </c>
      <c r="PF7" s="11">
        <f t="shared" ca="1" si="207"/>
        <v>1</v>
      </c>
      <c r="PG7" s="12">
        <f t="shared" ca="1" si="208"/>
        <v>300</v>
      </c>
      <c r="PH7" s="79"/>
      <c r="PI7" s="12">
        <f t="shared" ca="1" si="416"/>
        <v>300</v>
      </c>
      <c r="PJ7" s="18">
        <f t="shared" ca="1" si="209"/>
        <v>1</v>
      </c>
      <c r="PL7" s="13">
        <f t="shared" ca="1" si="210"/>
        <v>300</v>
      </c>
      <c r="PM7" s="13">
        <f ca="1">INDEX(Totals[[#Data],[#Totals],[Car - Note]:[NONTRACKED]],MATCH(PL$1,Totals[Date],0),MATCH($C7,Totals[[#Headers],[Car - Note]:[NONTRACKED]],0))</f>
        <v>0</v>
      </c>
      <c r="PN7" s="13">
        <f t="shared" ca="1" si="417"/>
        <v>300</v>
      </c>
      <c r="PO7" s="13">
        <v>100</v>
      </c>
      <c r="PP7" s="13">
        <v>300</v>
      </c>
      <c r="PQ7" s="13" t="b">
        <f t="shared" ca="1" si="418"/>
        <v>1</v>
      </c>
      <c r="PR7" s="94">
        <f t="shared" si="211"/>
        <v>0</v>
      </c>
      <c r="PS7" s="13">
        <f t="shared" ca="1" si="212"/>
        <v>0</v>
      </c>
      <c r="PT7" s="13">
        <f t="shared" ca="1" si="419"/>
        <v>0</v>
      </c>
      <c r="PU7" s="94">
        <f t="shared" si="213"/>
        <v>1</v>
      </c>
      <c r="PV7" s="13">
        <f t="shared" ca="1" si="214"/>
        <v>0</v>
      </c>
      <c r="PW7" s="13">
        <f t="shared" ca="1" si="215"/>
        <v>0</v>
      </c>
      <c r="PX7" s="13">
        <f t="shared" ca="1" si="420"/>
        <v>0</v>
      </c>
      <c r="PY7" s="13">
        <f t="shared" ca="1" si="216"/>
        <v>300</v>
      </c>
      <c r="PZ7" s="13">
        <f t="shared" ca="1" si="217"/>
        <v>0</v>
      </c>
      <c r="QA7" s="13">
        <f t="shared" ca="1" si="218"/>
        <v>1</v>
      </c>
      <c r="QB7" s="12">
        <f t="shared" ca="1" si="219"/>
        <v>300</v>
      </c>
      <c r="QC7" s="79"/>
      <c r="QD7" s="12">
        <f t="shared" ca="1" si="421"/>
        <v>300</v>
      </c>
      <c r="QE7" s="18">
        <f t="shared" ca="1" si="220"/>
        <v>1</v>
      </c>
      <c r="QG7" s="19">
        <f t="shared" ca="1" si="221"/>
        <v>300</v>
      </c>
      <c r="QH7" s="19">
        <f ca="1">INDEX(Totals[[#Data],[#Totals],[Car - Note]:[NONTRACKED]],MATCH(QG$1,Totals[Date],0),MATCH($C7,Totals[[#Headers],[Car - Note]:[NONTRACKED]],0))</f>
        <v>0</v>
      </c>
      <c r="QI7" s="19">
        <f t="shared" ca="1" si="422"/>
        <v>300</v>
      </c>
      <c r="QJ7" s="19">
        <v>100</v>
      </c>
      <c r="QK7" s="19">
        <v>300</v>
      </c>
      <c r="QL7" s="19" t="b">
        <f t="shared" ca="1" si="423"/>
        <v>1</v>
      </c>
      <c r="QM7" s="100">
        <f t="shared" si="222"/>
        <v>0</v>
      </c>
      <c r="QN7" s="19">
        <f t="shared" ca="1" si="223"/>
        <v>0</v>
      </c>
      <c r="QO7" s="19">
        <f t="shared" ca="1" si="424"/>
        <v>0</v>
      </c>
      <c r="QP7" s="100">
        <f t="shared" si="224"/>
        <v>1</v>
      </c>
      <c r="QQ7" s="19">
        <f t="shared" ca="1" si="225"/>
        <v>0</v>
      </c>
      <c r="QR7" s="19">
        <f t="shared" ca="1" si="226"/>
        <v>0</v>
      </c>
      <c r="QS7" s="19">
        <f t="shared" ca="1" si="425"/>
        <v>0</v>
      </c>
      <c r="QT7" s="19">
        <f t="shared" ca="1" si="227"/>
        <v>300</v>
      </c>
      <c r="QU7" s="19">
        <f t="shared" ca="1" si="228"/>
        <v>0</v>
      </c>
      <c r="QV7" s="19">
        <f t="shared" ca="1" si="229"/>
        <v>1</v>
      </c>
      <c r="QW7" s="12">
        <f t="shared" ca="1" si="230"/>
        <v>300</v>
      </c>
      <c r="QX7" s="79"/>
      <c r="QY7" s="12">
        <f t="shared" ca="1" si="426"/>
        <v>300</v>
      </c>
      <c r="QZ7" s="18">
        <f t="shared" ca="1" si="231"/>
        <v>1</v>
      </c>
      <c r="RB7" s="11">
        <f t="shared" ca="1" si="232"/>
        <v>300</v>
      </c>
      <c r="RC7" s="11">
        <f ca="1">INDEX(Totals[[#Data],[#Totals],[Car - Note]:[NONTRACKED]],MATCH(RB$1,Totals[Date],0),MATCH($C7,Totals[[#Headers],[Car - Note]:[NONTRACKED]],0))</f>
        <v>0</v>
      </c>
      <c r="RD7" s="11">
        <f t="shared" ca="1" si="427"/>
        <v>300</v>
      </c>
      <c r="RE7" s="11">
        <v>100</v>
      </c>
      <c r="RF7" s="11">
        <v>300</v>
      </c>
      <c r="RG7" s="11" t="b">
        <f t="shared" ca="1" si="428"/>
        <v>1</v>
      </c>
      <c r="RH7" s="92">
        <f t="shared" si="233"/>
        <v>0</v>
      </c>
      <c r="RI7" s="11">
        <f t="shared" ca="1" si="234"/>
        <v>0</v>
      </c>
      <c r="RJ7" s="11">
        <f t="shared" ca="1" si="429"/>
        <v>0</v>
      </c>
      <c r="RK7" s="92">
        <f t="shared" si="235"/>
        <v>1</v>
      </c>
      <c r="RL7" s="11">
        <f t="shared" ca="1" si="236"/>
        <v>0</v>
      </c>
      <c r="RM7" s="11">
        <f t="shared" ca="1" si="237"/>
        <v>0</v>
      </c>
      <c r="RN7" s="11">
        <f t="shared" ca="1" si="430"/>
        <v>0</v>
      </c>
      <c r="RO7" s="11">
        <f t="shared" ca="1" si="238"/>
        <v>300</v>
      </c>
      <c r="RP7" s="11">
        <f t="shared" ca="1" si="239"/>
        <v>0</v>
      </c>
      <c r="RQ7" s="11">
        <f t="shared" ca="1" si="240"/>
        <v>1</v>
      </c>
      <c r="RR7" s="12">
        <f t="shared" ca="1" si="241"/>
        <v>300</v>
      </c>
      <c r="RS7" s="79"/>
      <c r="RT7" s="12">
        <f t="shared" ca="1" si="431"/>
        <v>300</v>
      </c>
      <c r="RU7" s="18">
        <f t="shared" ca="1" si="242"/>
        <v>1</v>
      </c>
      <c r="RW7" s="13">
        <f t="shared" ca="1" si="243"/>
        <v>300</v>
      </c>
      <c r="RX7" s="13">
        <f ca="1">INDEX(Totals[[#Data],[#Totals],[Car - Note]:[NONTRACKED]],MATCH(RW$1,Totals[Date],0),MATCH($C7,Totals[[#Headers],[Car - Note]:[NONTRACKED]],0))</f>
        <v>0</v>
      </c>
      <c r="RY7" s="13">
        <f t="shared" ca="1" si="432"/>
        <v>300</v>
      </c>
      <c r="RZ7" s="13">
        <v>100</v>
      </c>
      <c r="SA7" s="13">
        <v>300</v>
      </c>
      <c r="SB7" s="13" t="b">
        <f t="shared" ca="1" si="433"/>
        <v>1</v>
      </c>
      <c r="SC7" s="94">
        <f t="shared" si="244"/>
        <v>0</v>
      </c>
      <c r="SD7" s="13">
        <f t="shared" ca="1" si="245"/>
        <v>0</v>
      </c>
      <c r="SE7" s="13">
        <f t="shared" ca="1" si="434"/>
        <v>0</v>
      </c>
      <c r="SF7" s="94">
        <f t="shared" si="246"/>
        <v>1</v>
      </c>
      <c r="SG7" s="13">
        <f t="shared" ca="1" si="247"/>
        <v>0</v>
      </c>
      <c r="SH7" s="13">
        <f t="shared" ca="1" si="248"/>
        <v>0</v>
      </c>
      <c r="SI7" s="13">
        <f t="shared" ca="1" si="435"/>
        <v>0</v>
      </c>
      <c r="SJ7" s="13">
        <f t="shared" ca="1" si="249"/>
        <v>300</v>
      </c>
      <c r="SK7" s="13">
        <f t="shared" ca="1" si="250"/>
        <v>0</v>
      </c>
      <c r="SL7" s="13">
        <f t="shared" ca="1" si="251"/>
        <v>1</v>
      </c>
      <c r="SM7" s="12">
        <f t="shared" ca="1" si="252"/>
        <v>300</v>
      </c>
      <c r="SN7" s="79"/>
      <c r="SO7" s="12">
        <f t="shared" ca="1" si="436"/>
        <v>300</v>
      </c>
      <c r="SP7" s="18">
        <f t="shared" ca="1" si="253"/>
        <v>1</v>
      </c>
      <c r="SR7" s="19">
        <f t="shared" ca="1" si="254"/>
        <v>300</v>
      </c>
      <c r="SS7" s="19">
        <f ca="1">INDEX(Totals[[#Data],[#Totals],[Car - Note]:[NONTRACKED]],MATCH(SR$1,Totals[Date],0),MATCH($C7,Totals[[#Headers],[Car - Note]:[NONTRACKED]],0))</f>
        <v>0</v>
      </c>
      <c r="ST7" s="19">
        <f t="shared" ca="1" si="437"/>
        <v>300</v>
      </c>
      <c r="SU7" s="19">
        <v>100</v>
      </c>
      <c r="SV7" s="19">
        <v>300</v>
      </c>
      <c r="SW7" s="19" t="b">
        <f t="shared" ca="1" si="438"/>
        <v>1</v>
      </c>
      <c r="SX7" s="100">
        <f t="shared" si="255"/>
        <v>0</v>
      </c>
      <c r="SY7" s="19">
        <f t="shared" ca="1" si="256"/>
        <v>0</v>
      </c>
      <c r="SZ7" s="19">
        <f t="shared" ca="1" si="439"/>
        <v>0</v>
      </c>
      <c r="TA7" s="100">
        <f t="shared" si="257"/>
        <v>1</v>
      </c>
      <c r="TB7" s="19">
        <f t="shared" ca="1" si="258"/>
        <v>0</v>
      </c>
      <c r="TC7" s="19">
        <f t="shared" ca="1" si="259"/>
        <v>0</v>
      </c>
      <c r="TD7" s="19">
        <f t="shared" ca="1" si="440"/>
        <v>0</v>
      </c>
      <c r="TE7" s="19">
        <f t="shared" ca="1" si="260"/>
        <v>300</v>
      </c>
      <c r="TF7" s="19">
        <f t="shared" ca="1" si="261"/>
        <v>0</v>
      </c>
      <c r="TG7" s="19">
        <f t="shared" ca="1" si="262"/>
        <v>1</v>
      </c>
      <c r="TH7" s="12">
        <f t="shared" ca="1" si="263"/>
        <v>300</v>
      </c>
      <c r="TI7" s="79"/>
      <c r="TJ7" s="12">
        <f t="shared" ca="1" si="441"/>
        <v>300</v>
      </c>
      <c r="TK7" s="18">
        <f t="shared" ca="1" si="264"/>
        <v>1</v>
      </c>
      <c r="TM7" s="11">
        <f t="shared" ca="1" si="265"/>
        <v>300</v>
      </c>
      <c r="TN7" s="11">
        <f ca="1">INDEX(Totals[[#Data],[#Totals],[Car - Note]:[NONTRACKED]],MATCH(TM$1,Totals[Date],0),MATCH($C7,Totals[[#Headers],[Car - Note]:[NONTRACKED]],0))</f>
        <v>-30.32</v>
      </c>
      <c r="TO7" s="11">
        <f t="shared" ca="1" si="442"/>
        <v>269.68</v>
      </c>
      <c r="TP7" s="11">
        <v>100</v>
      </c>
      <c r="TQ7" s="11">
        <v>300</v>
      </c>
      <c r="TR7" s="11" t="b">
        <f t="shared" ca="1" si="443"/>
        <v>0</v>
      </c>
      <c r="TS7" s="92">
        <f t="shared" si="266"/>
        <v>0</v>
      </c>
      <c r="TT7" s="11">
        <f t="shared" ca="1" si="267"/>
        <v>0</v>
      </c>
      <c r="TU7" s="11">
        <f t="shared" ca="1" si="444"/>
        <v>0</v>
      </c>
      <c r="TV7" s="92">
        <f t="shared" si="268"/>
        <v>1</v>
      </c>
      <c r="TW7" s="11">
        <f t="shared" ca="1" si="269"/>
        <v>30.319999999999993</v>
      </c>
      <c r="TX7" s="11">
        <f t="shared" ca="1" si="270"/>
        <v>30.319999999999993</v>
      </c>
      <c r="TY7" s="11">
        <f t="shared" ca="1" si="445"/>
        <v>19.298916243980642</v>
      </c>
      <c r="TZ7" s="11">
        <f t="shared" ca="1" si="271"/>
        <v>288.97891624398062</v>
      </c>
      <c r="UA7" s="11">
        <f t="shared" ca="1" si="272"/>
        <v>-11.02</v>
      </c>
      <c r="UB7" s="11">
        <f t="shared" ca="1" si="273"/>
        <v>0.96326305414660207</v>
      </c>
      <c r="UC7" s="12">
        <f t="shared" ca="1" si="274"/>
        <v>288.97891624398062</v>
      </c>
      <c r="UD7" s="79">
        <v>-100</v>
      </c>
      <c r="UE7" s="12">
        <f t="shared" ca="1" si="446"/>
        <v>188.97891624398062</v>
      </c>
      <c r="UF7" s="18">
        <f t="shared" ca="1" si="275"/>
        <v>0.6299297208132687</v>
      </c>
      <c r="UH7" s="13">
        <f t="shared" ca="1" si="276"/>
        <v>188.97891624398062</v>
      </c>
      <c r="UI7" s="13">
        <f ca="1">INDEX(Totals[[#Data],[#Totals],[Car - Note]:[NONTRACKED]],MATCH(UH$1,Totals[Date],0),MATCH($C7,Totals[[#Headers],[Car - Note]:[NONTRACKED]],0))</f>
        <v>-27.909999999999997</v>
      </c>
      <c r="UJ7" s="13">
        <f t="shared" ca="1" si="447"/>
        <v>161.06891624398062</v>
      </c>
      <c r="UK7" s="13">
        <v>100</v>
      </c>
      <c r="UL7" s="13">
        <v>300</v>
      </c>
      <c r="UM7" s="13" t="b">
        <f t="shared" ca="1" si="448"/>
        <v>0</v>
      </c>
      <c r="UN7" s="94">
        <f t="shared" si="277"/>
        <v>0</v>
      </c>
      <c r="UO7" s="13">
        <f t="shared" ca="1" si="278"/>
        <v>0</v>
      </c>
      <c r="UP7" s="13">
        <f t="shared" ca="1" si="449"/>
        <v>0</v>
      </c>
      <c r="UQ7" s="94">
        <f t="shared" si="279"/>
        <v>1</v>
      </c>
      <c r="UR7" s="13">
        <f t="shared" ca="1" si="280"/>
        <v>138.93108375601938</v>
      </c>
      <c r="US7" s="13">
        <f t="shared" ca="1" si="281"/>
        <v>100</v>
      </c>
      <c r="UT7" s="13">
        <f t="shared" ca="1" si="450"/>
        <v>100</v>
      </c>
      <c r="UU7" s="13">
        <f t="shared" ca="1" si="282"/>
        <v>261.06891624398065</v>
      </c>
      <c r="UV7" s="13">
        <f t="shared" ca="1" si="283"/>
        <v>-38.93</v>
      </c>
      <c r="UW7" s="13">
        <f t="shared" ca="1" si="284"/>
        <v>0.87022972081326888</v>
      </c>
      <c r="UX7" s="12">
        <f t="shared" ca="1" si="285"/>
        <v>261.06891624398065</v>
      </c>
      <c r="UY7" s="79"/>
      <c r="UZ7" s="12">
        <f t="shared" ca="1" si="451"/>
        <v>261.06891624398065</v>
      </c>
      <c r="VA7" s="18">
        <f t="shared" ca="1" si="286"/>
        <v>0.87022972081326888</v>
      </c>
      <c r="VC7" s="19">
        <f t="shared" ca="1" si="287"/>
        <v>261.06891624398065</v>
      </c>
      <c r="VD7" s="19">
        <f ca="1">INDEX(Totals[[#Data],[#Totals],[Car - Note]:[NONTRACKED]],MATCH(VC$1,Totals[Date],0),MATCH($C7,Totals[[#Headers],[Car - Note]:[NONTRACKED]],0))</f>
        <v>0</v>
      </c>
      <c r="VE7" s="19">
        <f t="shared" ca="1" si="452"/>
        <v>261.06891624398065</v>
      </c>
      <c r="VF7" s="19">
        <v>100</v>
      </c>
      <c r="VG7" s="19">
        <v>300</v>
      </c>
      <c r="VH7" s="19" t="b">
        <f t="shared" ca="1" si="453"/>
        <v>0</v>
      </c>
      <c r="VI7" s="100">
        <f t="shared" si="288"/>
        <v>0</v>
      </c>
      <c r="VJ7" s="19">
        <f t="shared" ca="1" si="289"/>
        <v>0</v>
      </c>
      <c r="VK7" s="19">
        <f t="shared" ca="1" si="454"/>
        <v>0</v>
      </c>
      <c r="VL7" s="100">
        <f t="shared" si="290"/>
        <v>1</v>
      </c>
      <c r="VM7" s="19">
        <f t="shared" ca="1" si="291"/>
        <v>38.931083756019348</v>
      </c>
      <c r="VN7" s="19">
        <f t="shared" ca="1" si="292"/>
        <v>38.931083756019348</v>
      </c>
      <c r="VO7" s="19">
        <f t="shared" ca="1" si="455"/>
        <v>25.808940804730728</v>
      </c>
      <c r="VP7" s="19">
        <f t="shared" ca="1" si="293"/>
        <v>286.87785704871141</v>
      </c>
      <c r="VQ7" s="19">
        <f t="shared" ca="1" si="294"/>
        <v>-13.12</v>
      </c>
      <c r="VR7" s="19">
        <f t="shared" ca="1" si="295"/>
        <v>0.95625952349570464</v>
      </c>
      <c r="VS7" s="12">
        <f t="shared" ca="1" si="296"/>
        <v>286.87785704871141</v>
      </c>
      <c r="VT7" s="79"/>
      <c r="VU7" s="12">
        <f t="shared" ca="1" si="456"/>
        <v>286.87785704871141</v>
      </c>
      <c r="VV7" s="18">
        <f t="shared" ca="1" si="297"/>
        <v>0.95625952349570464</v>
      </c>
      <c r="VX7" s="11">
        <f t="shared" ca="1" si="298"/>
        <v>286.87785704871141</v>
      </c>
      <c r="VY7" s="11">
        <f ca="1">INDEX(Totals[[#Data],[#Totals],[Car - Note]:[NONTRACKED]],MATCH(VX$1,Totals[Date],0),MATCH($C7,Totals[[#Headers],[Car - Note]:[NONTRACKED]],0))</f>
        <v>0</v>
      </c>
      <c r="VZ7" s="11">
        <f t="shared" ca="1" si="457"/>
        <v>286.87785704871141</v>
      </c>
      <c r="WA7" s="11">
        <v>100</v>
      </c>
      <c r="WB7" s="11">
        <v>300</v>
      </c>
      <c r="WC7" s="11" t="b">
        <f t="shared" ca="1" si="458"/>
        <v>0</v>
      </c>
      <c r="WD7" s="92">
        <f t="shared" si="299"/>
        <v>0</v>
      </c>
      <c r="WE7" s="11">
        <f t="shared" ca="1" si="300"/>
        <v>0</v>
      </c>
      <c r="WF7" s="11">
        <f t="shared" ca="1" si="459"/>
        <v>0</v>
      </c>
      <c r="WG7" s="92">
        <f t="shared" si="301"/>
        <v>1</v>
      </c>
      <c r="WH7" s="11">
        <f t="shared" ca="1" si="302"/>
        <v>13.122142951288595</v>
      </c>
      <c r="WI7" s="11">
        <f t="shared" ca="1" si="303"/>
        <v>13.122142951288595</v>
      </c>
      <c r="WJ7" s="11">
        <f t="shared" ca="1" si="460"/>
        <v>7.8364168264211944</v>
      </c>
      <c r="WK7" s="11">
        <f t="shared" ca="1" si="304"/>
        <v>294.71427387513262</v>
      </c>
      <c r="WL7" s="11">
        <f t="shared" ca="1" si="305"/>
        <v>-5.29</v>
      </c>
      <c r="WM7" s="11">
        <f t="shared" ca="1" si="306"/>
        <v>0.98238091291710872</v>
      </c>
      <c r="WN7" s="12">
        <f t="shared" ca="1" si="307"/>
        <v>294.71427387513262</v>
      </c>
      <c r="WO7" s="79"/>
      <c r="WP7" s="12">
        <f t="shared" ca="1" si="461"/>
        <v>294.71427387513262</v>
      </c>
      <c r="WQ7" s="18">
        <f t="shared" ca="1" si="308"/>
        <v>0.98238091291710872</v>
      </c>
      <c r="WS7" s="13">
        <f t="shared" ca="1" si="309"/>
        <v>294.71427387513262</v>
      </c>
      <c r="WT7" s="13">
        <f ca="1">INDEX(Totals[[#Data],[#Totals],[Car - Note]:[NONTRACKED]],MATCH(WS$1,Totals[Date],0),MATCH($C7,Totals[[#Headers],[Car - Note]:[NONTRACKED]],0))</f>
        <v>0</v>
      </c>
      <c r="WU7" s="13">
        <f t="shared" ca="1" si="462"/>
        <v>294.71427387513262</v>
      </c>
      <c r="WV7" s="13">
        <v>100</v>
      </c>
      <c r="WW7" s="13">
        <v>300</v>
      </c>
      <c r="WX7" s="13" t="b">
        <f t="shared" ca="1" si="463"/>
        <v>0</v>
      </c>
      <c r="WY7" s="94">
        <f t="shared" si="310"/>
        <v>0</v>
      </c>
      <c r="WZ7" s="13">
        <f t="shared" ca="1" si="311"/>
        <v>0</v>
      </c>
      <c r="XA7" s="13">
        <f t="shared" ca="1" si="464"/>
        <v>0</v>
      </c>
      <c r="XB7" s="94">
        <f t="shared" si="312"/>
        <v>1</v>
      </c>
      <c r="XC7" s="13">
        <f t="shared" ca="1" si="313"/>
        <v>5.2857261248673808</v>
      </c>
      <c r="XD7" s="13">
        <f t="shared" ca="1" si="314"/>
        <v>5.2857261248673808</v>
      </c>
      <c r="XE7" s="13">
        <f t="shared" ca="1" si="465"/>
        <v>5.0061955836503484</v>
      </c>
      <c r="XF7" s="13">
        <f t="shared" ca="1" si="315"/>
        <v>299.72046945878299</v>
      </c>
      <c r="XG7" s="13">
        <f t="shared" ca="1" si="316"/>
        <v>-0.28000000000000003</v>
      </c>
      <c r="XH7" s="13">
        <f t="shared" ca="1" si="317"/>
        <v>0.9990682315292766</v>
      </c>
      <c r="XI7" s="12">
        <f t="shared" ca="1" si="318"/>
        <v>299.72046945878299</v>
      </c>
      <c r="XJ7" s="104">
        <f t="shared" ca="1" si="319"/>
        <v>0.27953054121701371</v>
      </c>
      <c r="XK7" s="12">
        <f t="shared" ca="1" si="466"/>
        <v>300</v>
      </c>
      <c r="XL7" s="18">
        <f t="shared" ca="1" si="320"/>
        <v>1</v>
      </c>
      <c r="XN7">
        <v>0.25</v>
      </c>
      <c r="XO7" s="103">
        <f t="shared" ca="1" si="467"/>
        <v>73.678568468783155</v>
      </c>
      <c r="XP7" s="12">
        <f t="shared" ca="1" si="468"/>
        <v>221.03570540634945</v>
      </c>
      <c r="XQ7" s="102">
        <f t="shared" ca="1" si="469"/>
        <v>0.73678568468783145</v>
      </c>
    </row>
    <row r="8" spans="1:641" x14ac:dyDescent="0.25">
      <c r="A8" s="112"/>
      <c r="B8" t="s">
        <v>9</v>
      </c>
      <c r="C8" t="s">
        <v>37</v>
      </c>
      <c r="D8" s="79">
        <v>-30</v>
      </c>
      <c r="H8" s="48">
        <v>0</v>
      </c>
      <c r="I8" s="48"/>
      <c r="J8" s="48"/>
      <c r="K8" s="48">
        <v>100</v>
      </c>
      <c r="L8" s="95">
        <v>0</v>
      </c>
      <c r="M8" s="48"/>
      <c r="N8" s="96"/>
      <c r="O8" s="48"/>
      <c r="P8" s="48"/>
      <c r="Q8" s="96"/>
      <c r="R8" s="48"/>
      <c r="S8" s="48"/>
      <c r="T8" s="48"/>
      <c r="U8" s="48"/>
      <c r="V8" s="48"/>
      <c r="W8" s="48"/>
      <c r="X8" s="48"/>
      <c r="Y8" s="48"/>
      <c r="Z8" s="48">
        <f t="shared" si="321"/>
        <v>0</v>
      </c>
      <c r="AA8" s="98" t="str">
        <f t="shared" si="0"/>
        <v>NA</v>
      </c>
      <c r="AC8" s="11">
        <f t="shared" si="1"/>
        <v>0</v>
      </c>
      <c r="AD8" s="11">
        <f ca="1">INDEX(Totals[[#Data],[#Totals],[Car - Note]:[NONTRACKED]],MATCH(AC$1,Totals[Date],0),MATCH($C8,Totals[[#Headers],[Car - Note]:[NONTRACKED]],0))</f>
        <v>0</v>
      </c>
      <c r="AE8" s="11">
        <f t="shared" ca="1" si="322"/>
        <v>0</v>
      </c>
      <c r="AF8" s="11">
        <v>100</v>
      </c>
      <c r="AG8" s="11">
        <v>0</v>
      </c>
      <c r="AH8" s="11" t="b">
        <f t="shared" ca="1" si="323"/>
        <v>1</v>
      </c>
      <c r="AI8" s="92">
        <f t="shared" si="2"/>
        <v>0</v>
      </c>
      <c r="AJ8" s="11">
        <f t="shared" ca="1" si="3"/>
        <v>0</v>
      </c>
      <c r="AK8" s="11">
        <f t="shared" ca="1" si="324"/>
        <v>0</v>
      </c>
      <c r="AL8" s="92">
        <f t="shared" si="4"/>
        <v>1</v>
      </c>
      <c r="AM8" s="11">
        <f t="shared" ca="1" si="5"/>
        <v>0</v>
      </c>
      <c r="AN8" s="11">
        <f t="shared" ca="1" si="6"/>
        <v>0</v>
      </c>
      <c r="AO8" s="11">
        <f t="shared" ca="1" si="325"/>
        <v>0</v>
      </c>
      <c r="AP8" s="11">
        <f t="shared" ca="1" si="7"/>
        <v>0</v>
      </c>
      <c r="AQ8" s="11">
        <f t="shared" ca="1" si="8"/>
        <v>0</v>
      </c>
      <c r="AR8" s="11" t="str">
        <f t="shared" si="9"/>
        <v>NA</v>
      </c>
      <c r="AS8" s="12">
        <f t="shared" ca="1" si="10"/>
        <v>0</v>
      </c>
      <c r="AT8" s="12"/>
      <c r="AU8" s="12">
        <f t="shared" ca="1" si="326"/>
        <v>0</v>
      </c>
      <c r="AV8" s="18" t="str">
        <f t="shared" si="11"/>
        <v>NA</v>
      </c>
      <c r="AX8" s="13">
        <f t="shared" ca="1" si="12"/>
        <v>0</v>
      </c>
      <c r="AY8" s="13">
        <f ca="1">INDEX(Totals[[#Data],[#Totals],[Car - Note]:[NONTRACKED]],MATCH(AX$1,Totals[Date],0),MATCH($C8,Totals[[#Headers],[Car - Note]:[NONTRACKED]],0))</f>
        <v>0</v>
      </c>
      <c r="AZ8" s="13">
        <f t="shared" ca="1" si="327"/>
        <v>0</v>
      </c>
      <c r="BA8" s="13">
        <v>100</v>
      </c>
      <c r="BB8" s="13">
        <v>0</v>
      </c>
      <c r="BC8" s="13" t="b">
        <f t="shared" ca="1" si="328"/>
        <v>1</v>
      </c>
      <c r="BD8" s="94">
        <f t="shared" si="13"/>
        <v>0</v>
      </c>
      <c r="BE8" s="13">
        <f t="shared" ca="1" si="14"/>
        <v>0</v>
      </c>
      <c r="BF8" s="13">
        <f t="shared" ca="1" si="329"/>
        <v>0</v>
      </c>
      <c r="BG8" s="94">
        <f t="shared" si="15"/>
        <v>1</v>
      </c>
      <c r="BH8" s="13">
        <f t="shared" ca="1" si="16"/>
        <v>0</v>
      </c>
      <c r="BI8" s="13">
        <f t="shared" ca="1" si="17"/>
        <v>0</v>
      </c>
      <c r="BJ8" s="13">
        <f t="shared" ca="1" si="330"/>
        <v>0</v>
      </c>
      <c r="BK8" s="13">
        <f t="shared" ca="1" si="18"/>
        <v>0</v>
      </c>
      <c r="BL8" s="13">
        <f t="shared" ca="1" si="19"/>
        <v>0</v>
      </c>
      <c r="BM8" s="13" t="str">
        <f t="shared" si="20"/>
        <v>NA</v>
      </c>
      <c r="BN8" s="12">
        <f t="shared" ca="1" si="21"/>
        <v>0</v>
      </c>
      <c r="BO8" s="12"/>
      <c r="BP8" s="12">
        <f t="shared" ca="1" si="331"/>
        <v>0</v>
      </c>
      <c r="BQ8" s="18" t="str">
        <f t="shared" si="22"/>
        <v>NA</v>
      </c>
      <c r="BS8" s="19">
        <f t="shared" ca="1" si="23"/>
        <v>0</v>
      </c>
      <c r="BT8" s="19">
        <f ca="1">INDEX(Totals[[#Data],[#Totals],[Car - Note]:[NONTRACKED]],MATCH(BS$1,Totals[Date],0),MATCH($C8,Totals[[#Headers],[Car - Note]:[NONTRACKED]],0))</f>
        <v>0</v>
      </c>
      <c r="BU8" s="19">
        <f t="shared" ca="1" si="332"/>
        <v>0</v>
      </c>
      <c r="BV8" s="19">
        <v>100</v>
      </c>
      <c r="BW8" s="19">
        <v>150</v>
      </c>
      <c r="BX8" s="19" t="b">
        <f t="shared" ca="1" si="333"/>
        <v>0</v>
      </c>
      <c r="BY8" s="100">
        <f t="shared" si="24"/>
        <v>0</v>
      </c>
      <c r="BZ8" s="19">
        <f t="shared" ca="1" si="25"/>
        <v>0</v>
      </c>
      <c r="CA8" s="19">
        <f t="shared" ca="1" si="334"/>
        <v>0</v>
      </c>
      <c r="CB8" s="100">
        <f t="shared" si="26"/>
        <v>1</v>
      </c>
      <c r="CC8" s="19">
        <f t="shared" ca="1" si="27"/>
        <v>150</v>
      </c>
      <c r="CD8" s="19">
        <f t="shared" ca="1" si="28"/>
        <v>100</v>
      </c>
      <c r="CE8" s="19">
        <f t="shared" ca="1" si="335"/>
        <v>99.999999999999986</v>
      </c>
      <c r="CF8" s="19">
        <f t="shared" ca="1" si="29"/>
        <v>99.999999999999986</v>
      </c>
      <c r="CG8" s="19">
        <f t="shared" ca="1" si="30"/>
        <v>-50</v>
      </c>
      <c r="CH8" s="19">
        <f t="shared" ca="1" si="31"/>
        <v>0.66666666666666652</v>
      </c>
      <c r="CI8" s="12">
        <f t="shared" ca="1" si="32"/>
        <v>99.999999999999986</v>
      </c>
      <c r="CJ8" s="10">
        <f t="shared" ca="1" si="470"/>
        <v>50.000000000000014</v>
      </c>
      <c r="CK8" s="12">
        <f t="shared" ca="1" si="336"/>
        <v>150</v>
      </c>
      <c r="CL8" s="18">
        <f t="shared" ca="1" si="33"/>
        <v>1</v>
      </c>
      <c r="CN8" s="11">
        <f t="shared" ca="1" si="34"/>
        <v>150</v>
      </c>
      <c r="CO8" s="11">
        <f ca="1">INDEX(Totals[[#Data],[#Totals],[Car - Note]:[NONTRACKED]],MATCH(CN$1,Totals[Date],0),MATCH($C8,Totals[[#Headers],[Car - Note]:[NONTRACKED]],0))</f>
        <v>0</v>
      </c>
      <c r="CP8" s="11">
        <f t="shared" ca="1" si="337"/>
        <v>150</v>
      </c>
      <c r="CQ8" s="11">
        <v>100</v>
      </c>
      <c r="CR8" s="11">
        <v>300</v>
      </c>
      <c r="CS8" s="11" t="b">
        <f t="shared" ca="1" si="338"/>
        <v>0</v>
      </c>
      <c r="CT8" s="92">
        <f t="shared" si="35"/>
        <v>0</v>
      </c>
      <c r="CU8" s="11">
        <f t="shared" ca="1" si="36"/>
        <v>0</v>
      </c>
      <c r="CV8" s="11">
        <f t="shared" ca="1" si="339"/>
        <v>0</v>
      </c>
      <c r="CW8" s="92">
        <f t="shared" si="37"/>
        <v>1</v>
      </c>
      <c r="CX8" s="11">
        <f t="shared" ca="1" si="38"/>
        <v>150</v>
      </c>
      <c r="CY8" s="11">
        <f t="shared" ca="1" si="39"/>
        <v>100</v>
      </c>
      <c r="CZ8" s="11">
        <f t="shared" ca="1" si="340"/>
        <v>100</v>
      </c>
      <c r="DA8" s="11">
        <f t="shared" ca="1" si="40"/>
        <v>250</v>
      </c>
      <c r="DB8" s="11">
        <f t="shared" ca="1" si="41"/>
        <v>-50</v>
      </c>
      <c r="DC8" s="11">
        <f t="shared" ca="1" si="42"/>
        <v>0.83333333333333337</v>
      </c>
      <c r="DD8" s="12">
        <f t="shared" ca="1" si="43"/>
        <v>250</v>
      </c>
      <c r="DE8" s="79"/>
      <c r="DF8" s="12">
        <f t="shared" ca="1" si="341"/>
        <v>250</v>
      </c>
      <c r="DG8" s="18">
        <f t="shared" ca="1" si="44"/>
        <v>0.83333333333333337</v>
      </c>
      <c r="DI8" s="13">
        <f t="shared" ca="1" si="45"/>
        <v>250</v>
      </c>
      <c r="DJ8" s="13">
        <f ca="1">INDEX(Totals[[#Data],[#Totals],[Car - Note]:[NONTRACKED]],MATCH(DI$1,Totals[Date],0),MATCH($C8,Totals[[#Headers],[Car - Note]:[NONTRACKED]],0))</f>
        <v>-14.4</v>
      </c>
      <c r="DK8" s="13">
        <f t="shared" ca="1" si="342"/>
        <v>235.6</v>
      </c>
      <c r="DL8" s="13">
        <v>100</v>
      </c>
      <c r="DM8" s="13">
        <v>300</v>
      </c>
      <c r="DN8" s="13" t="b">
        <f t="shared" ca="1" si="343"/>
        <v>0</v>
      </c>
      <c r="DO8" s="94">
        <f t="shared" si="46"/>
        <v>0</v>
      </c>
      <c r="DP8" s="13">
        <f t="shared" ca="1" si="47"/>
        <v>0</v>
      </c>
      <c r="DQ8" s="13">
        <f t="shared" ca="1" si="344"/>
        <v>0</v>
      </c>
      <c r="DR8" s="94">
        <f t="shared" si="48"/>
        <v>1</v>
      </c>
      <c r="DS8" s="13">
        <f t="shared" ca="1" si="49"/>
        <v>64.400000000000006</v>
      </c>
      <c r="DT8" s="13">
        <f t="shared" ca="1" si="50"/>
        <v>64.400000000000006</v>
      </c>
      <c r="DU8" s="13">
        <f t="shared" ca="1" si="345"/>
        <v>27.499635817752367</v>
      </c>
      <c r="DV8" s="13">
        <f t="shared" ca="1" si="51"/>
        <v>263.09963581775236</v>
      </c>
      <c r="DW8" s="13">
        <f t="shared" ca="1" si="52"/>
        <v>-36.9</v>
      </c>
      <c r="DX8" s="13">
        <f t="shared" ca="1" si="53"/>
        <v>0.87699878605917447</v>
      </c>
      <c r="DY8" s="12">
        <f t="shared" ca="1" si="54"/>
        <v>263.09963581775236</v>
      </c>
      <c r="DZ8" s="79"/>
      <c r="EA8" s="12">
        <f t="shared" ca="1" si="346"/>
        <v>263.09963581775236</v>
      </c>
      <c r="EB8" s="18">
        <f t="shared" ca="1" si="55"/>
        <v>0.87699878605917447</v>
      </c>
      <c r="ED8" s="19">
        <f t="shared" ca="1" si="56"/>
        <v>263.09963581775236</v>
      </c>
      <c r="EE8" s="19">
        <f ca="1">INDEX(Totals[[#Data],[#Totals],[Car - Note]:[NONTRACKED]],MATCH(ED$1,Totals[Date],0),MATCH($C8,Totals[[#Headers],[Car - Note]:[NONTRACKED]],0))</f>
        <v>-35.64</v>
      </c>
      <c r="EF8" s="19">
        <f t="shared" ca="1" si="347"/>
        <v>227.45963581775237</v>
      </c>
      <c r="EG8" s="19">
        <v>100</v>
      </c>
      <c r="EH8" s="19">
        <v>300</v>
      </c>
      <c r="EI8" s="19" t="b">
        <f t="shared" ca="1" si="348"/>
        <v>0</v>
      </c>
      <c r="EJ8" s="100">
        <f t="shared" si="57"/>
        <v>0</v>
      </c>
      <c r="EK8" s="19">
        <f t="shared" ca="1" si="58"/>
        <v>0</v>
      </c>
      <c r="EL8" s="19">
        <f t="shared" ca="1" si="349"/>
        <v>0</v>
      </c>
      <c r="EM8" s="100">
        <f t="shared" si="59"/>
        <v>1</v>
      </c>
      <c r="EN8" s="19">
        <f t="shared" ca="1" si="60"/>
        <v>72.540364182247629</v>
      </c>
      <c r="EO8" s="19">
        <f t="shared" ca="1" si="61"/>
        <v>72.540364182247629</v>
      </c>
      <c r="EP8" s="19">
        <f t="shared" ca="1" si="350"/>
        <v>52.875198202484015</v>
      </c>
      <c r="EQ8" s="19">
        <f t="shared" ca="1" si="62"/>
        <v>280.33483402023637</v>
      </c>
      <c r="ER8" s="19">
        <f t="shared" ca="1" si="63"/>
        <v>-19.670000000000002</v>
      </c>
      <c r="ES8" s="19">
        <f t="shared" ca="1" si="64"/>
        <v>0.93444944673412123</v>
      </c>
      <c r="ET8" s="12">
        <f t="shared" ca="1" si="65"/>
        <v>280.33483402023637</v>
      </c>
      <c r="EU8" s="79"/>
      <c r="EV8" s="12">
        <f t="shared" ca="1" si="351"/>
        <v>280.33483402023637</v>
      </c>
      <c r="EW8" s="18">
        <f t="shared" ca="1" si="66"/>
        <v>0.93444944673412123</v>
      </c>
      <c r="EY8" s="11">
        <f t="shared" ca="1" si="67"/>
        <v>280.33483402023637</v>
      </c>
      <c r="EZ8" s="11">
        <f ca="1">INDEX(Totals[[#Data],[#Totals],[Car - Note]:[NONTRACKED]],MATCH(EY$1,Totals[Date],0),MATCH($C8,Totals[[#Headers],[Car - Note]:[NONTRACKED]],0))</f>
        <v>0</v>
      </c>
      <c r="FA8" s="11">
        <f t="shared" ca="1" si="352"/>
        <v>280.33483402023637</v>
      </c>
      <c r="FB8" s="11">
        <v>100</v>
      </c>
      <c r="FC8" s="11">
        <v>300</v>
      </c>
      <c r="FD8" s="11" t="b">
        <f t="shared" ca="1" si="353"/>
        <v>0</v>
      </c>
      <c r="FE8" s="92">
        <f t="shared" si="68"/>
        <v>0</v>
      </c>
      <c r="FF8" s="11">
        <f t="shared" ca="1" si="69"/>
        <v>0</v>
      </c>
      <c r="FG8" s="11">
        <f t="shared" ca="1" si="354"/>
        <v>0</v>
      </c>
      <c r="FH8" s="92">
        <f t="shared" si="70"/>
        <v>1</v>
      </c>
      <c r="FI8" s="11">
        <f t="shared" ca="1" si="71"/>
        <v>19.665165979763628</v>
      </c>
      <c r="FJ8" s="11">
        <f t="shared" ca="1" si="72"/>
        <v>19.665165979763628</v>
      </c>
      <c r="FK8" s="11">
        <f t="shared" ca="1" si="355"/>
        <v>8.5184768719559312</v>
      </c>
      <c r="FL8" s="11">
        <f t="shared" ca="1" si="73"/>
        <v>288.85331089219233</v>
      </c>
      <c r="FM8" s="11">
        <f t="shared" ca="1" si="74"/>
        <v>-11.15</v>
      </c>
      <c r="FN8" s="11">
        <f t="shared" ca="1" si="75"/>
        <v>0.96284436964064113</v>
      </c>
      <c r="FO8" s="12">
        <f t="shared" ca="1" si="76"/>
        <v>288.85331089219233</v>
      </c>
      <c r="FP8" s="79"/>
      <c r="FQ8" s="12">
        <f t="shared" ca="1" si="356"/>
        <v>288.85331089219233</v>
      </c>
      <c r="FR8" s="18">
        <f t="shared" ca="1" si="77"/>
        <v>0.96284436964064113</v>
      </c>
      <c r="FT8" s="13">
        <f t="shared" ca="1" si="78"/>
        <v>288.85331089219233</v>
      </c>
      <c r="FU8" s="13">
        <f ca="1">INDEX(Totals[[#Data],[#Totals],[Car - Note]:[NONTRACKED]],MATCH(FT$1,Totals[Date],0),MATCH($C8,Totals[[#Headers],[Car - Note]:[NONTRACKED]],0))</f>
        <v>0</v>
      </c>
      <c r="FV8" s="13">
        <f t="shared" ca="1" si="357"/>
        <v>288.85331089219233</v>
      </c>
      <c r="FW8" s="13">
        <v>100</v>
      </c>
      <c r="FX8" s="13">
        <v>300</v>
      </c>
      <c r="FY8" s="13" t="b">
        <f t="shared" ca="1" si="358"/>
        <v>0</v>
      </c>
      <c r="FZ8" s="94">
        <f t="shared" si="79"/>
        <v>0</v>
      </c>
      <c r="GA8" s="13">
        <f t="shared" ca="1" si="80"/>
        <v>0</v>
      </c>
      <c r="GB8" s="13">
        <f t="shared" ca="1" si="359"/>
        <v>0</v>
      </c>
      <c r="GC8" s="94">
        <f t="shared" si="81"/>
        <v>1</v>
      </c>
      <c r="GD8" s="13">
        <f t="shared" ca="1" si="82"/>
        <v>11.146689107807674</v>
      </c>
      <c r="GE8" s="13">
        <f t="shared" ca="1" si="83"/>
        <v>11.146689107807674</v>
      </c>
      <c r="GF8" s="13">
        <f t="shared" ca="1" si="360"/>
        <v>4.815384549630239</v>
      </c>
      <c r="GG8" s="13">
        <f t="shared" ca="1" si="84"/>
        <v>293.66869544182259</v>
      </c>
      <c r="GH8" s="13">
        <f t="shared" ca="1" si="85"/>
        <v>-6.33</v>
      </c>
      <c r="GI8" s="13">
        <f t="shared" ca="1" si="86"/>
        <v>0.97889565147274193</v>
      </c>
      <c r="GJ8" s="12">
        <f t="shared" ca="1" si="87"/>
        <v>293.66869544182259</v>
      </c>
      <c r="GK8" s="79"/>
      <c r="GL8" s="12">
        <f t="shared" ca="1" si="361"/>
        <v>293.66869544182259</v>
      </c>
      <c r="GM8" s="18">
        <f t="shared" ca="1" si="88"/>
        <v>0.97889565147274193</v>
      </c>
      <c r="GO8" s="19">
        <f t="shared" ca="1" si="89"/>
        <v>293.66869544182259</v>
      </c>
      <c r="GP8" s="19">
        <f ca="1">INDEX(Totals[[#Data],[#Totals],[Car - Note]:[NONTRACKED]],MATCH(GO$1,Totals[Date],0),MATCH($C8,Totals[[#Headers],[Car - Note]:[NONTRACKED]],0))</f>
        <v>-26.13</v>
      </c>
      <c r="GQ8" s="19">
        <f t="shared" ca="1" si="362"/>
        <v>267.5386954418226</v>
      </c>
      <c r="GR8" s="19">
        <v>100</v>
      </c>
      <c r="GS8" s="19">
        <v>300</v>
      </c>
      <c r="GT8" s="19" t="b">
        <f t="shared" ca="1" si="363"/>
        <v>0</v>
      </c>
      <c r="GU8" s="100">
        <f t="shared" si="90"/>
        <v>0</v>
      </c>
      <c r="GV8" s="19">
        <f t="shared" ca="1" si="91"/>
        <v>0</v>
      </c>
      <c r="GW8" s="19">
        <f t="shared" ca="1" si="364"/>
        <v>0</v>
      </c>
      <c r="GX8" s="100">
        <f t="shared" si="92"/>
        <v>1</v>
      </c>
      <c r="GY8" s="19">
        <f t="shared" ca="1" si="93"/>
        <v>32.461304558177403</v>
      </c>
      <c r="GZ8" s="19">
        <f t="shared" ca="1" si="94"/>
        <v>32.461304558177403</v>
      </c>
      <c r="HA8" s="19">
        <f t="shared" ca="1" si="365"/>
        <v>14.341266123049703</v>
      </c>
      <c r="HB8" s="19">
        <f t="shared" ca="1" si="95"/>
        <v>281.8799615648723</v>
      </c>
      <c r="HC8" s="19">
        <f t="shared" ca="1" si="96"/>
        <v>-18.12</v>
      </c>
      <c r="HD8" s="19">
        <f t="shared" ca="1" si="97"/>
        <v>0.93959987188290772</v>
      </c>
      <c r="HE8" s="12">
        <f t="shared" ca="1" si="98"/>
        <v>281.8799615648723</v>
      </c>
      <c r="HF8" s="79"/>
      <c r="HG8" s="12">
        <f t="shared" ca="1" si="366"/>
        <v>281.8799615648723</v>
      </c>
      <c r="HH8" s="18">
        <f t="shared" ca="1" si="99"/>
        <v>0.93959987188290772</v>
      </c>
      <c r="HJ8" s="11">
        <f t="shared" ca="1" si="100"/>
        <v>281.8799615648723</v>
      </c>
      <c r="HK8" s="11">
        <f ca="1">INDEX(Totals[[#Data],[#Totals],[Car - Note]:[NONTRACKED]],MATCH(HJ$1,Totals[Date],0),MATCH($C8,Totals[[#Headers],[Car - Note]:[NONTRACKED]],0))</f>
        <v>-88.14</v>
      </c>
      <c r="HL8" s="11">
        <f t="shared" ca="1" si="367"/>
        <v>193.73996156487232</v>
      </c>
      <c r="HM8" s="11">
        <v>100</v>
      </c>
      <c r="HN8" s="11">
        <v>300</v>
      </c>
      <c r="HO8" s="11" t="b">
        <f t="shared" ca="1" si="368"/>
        <v>0</v>
      </c>
      <c r="HP8" s="92">
        <f t="shared" si="101"/>
        <v>0</v>
      </c>
      <c r="HQ8" s="11">
        <f t="shared" ca="1" si="102"/>
        <v>0</v>
      </c>
      <c r="HR8" s="11">
        <f t="shared" ca="1" si="369"/>
        <v>0</v>
      </c>
      <c r="HS8" s="92">
        <f t="shared" si="103"/>
        <v>1</v>
      </c>
      <c r="HT8" s="11">
        <f t="shared" ca="1" si="104"/>
        <v>106.26003843512768</v>
      </c>
      <c r="HU8" s="11">
        <f t="shared" ca="1" si="105"/>
        <v>100</v>
      </c>
      <c r="HV8" s="11">
        <f t="shared" ca="1" si="370"/>
        <v>42.320322202552006</v>
      </c>
      <c r="HW8" s="11">
        <f t="shared" ca="1" si="106"/>
        <v>236.06028376742432</v>
      </c>
      <c r="HX8" s="11">
        <f t="shared" ca="1" si="107"/>
        <v>-63.94</v>
      </c>
      <c r="HY8" s="11">
        <f t="shared" ca="1" si="108"/>
        <v>0.78686761255808113</v>
      </c>
      <c r="HZ8" s="12">
        <f t="shared" ca="1" si="109"/>
        <v>236.06028376742432</v>
      </c>
      <c r="IA8" s="79"/>
      <c r="IB8" s="12">
        <f t="shared" ca="1" si="371"/>
        <v>236.06028376742432</v>
      </c>
      <c r="IC8" s="18">
        <f t="shared" ca="1" si="110"/>
        <v>0.78686761255808113</v>
      </c>
      <c r="IE8" s="13">
        <f t="shared" ca="1" si="111"/>
        <v>236.06028376742432</v>
      </c>
      <c r="IF8" s="13">
        <f ca="1">INDEX(Totals[[#Data],[#Totals],[Car - Note]:[NONTRACKED]],MATCH(IE$1,Totals[Date],0),MATCH($C8,Totals[[#Headers],[Car - Note]:[NONTRACKED]],0))</f>
        <v>-52.54</v>
      </c>
      <c r="IG8" s="13">
        <f t="shared" ca="1" si="372"/>
        <v>183.52028376742433</v>
      </c>
      <c r="IH8" s="13">
        <v>100</v>
      </c>
      <c r="II8" s="13">
        <v>300</v>
      </c>
      <c r="IJ8" s="13" t="b">
        <f t="shared" ca="1" si="373"/>
        <v>0</v>
      </c>
      <c r="IK8" s="94">
        <f t="shared" si="112"/>
        <v>0</v>
      </c>
      <c r="IL8" s="13">
        <f t="shared" ca="1" si="113"/>
        <v>0</v>
      </c>
      <c r="IM8" s="13">
        <f t="shared" ca="1" si="374"/>
        <v>0</v>
      </c>
      <c r="IN8" s="94">
        <f t="shared" si="114"/>
        <v>1</v>
      </c>
      <c r="IO8" s="13">
        <f t="shared" ca="1" si="115"/>
        <v>116.47971623257567</v>
      </c>
      <c r="IP8" s="13">
        <f t="shared" ca="1" si="116"/>
        <v>100</v>
      </c>
      <c r="IQ8" s="13">
        <f t="shared" ca="1" si="375"/>
        <v>46.192728904998638</v>
      </c>
      <c r="IR8" s="13">
        <f t="shared" ca="1" si="117"/>
        <v>229.71301267242296</v>
      </c>
      <c r="IS8" s="13">
        <f t="shared" ca="1" si="118"/>
        <v>-70.290000000000006</v>
      </c>
      <c r="IT8" s="13">
        <f t="shared" ca="1" si="119"/>
        <v>0.76571004224140993</v>
      </c>
      <c r="IU8" s="12">
        <f t="shared" ca="1" si="120"/>
        <v>229.71301267242296</v>
      </c>
      <c r="IV8" s="79">
        <v>-75</v>
      </c>
      <c r="IW8" s="12">
        <f t="shared" ca="1" si="376"/>
        <v>154.71301267242296</v>
      </c>
      <c r="IX8" s="18">
        <f t="shared" ca="1" si="121"/>
        <v>0.51571004224140993</v>
      </c>
      <c r="IZ8" s="19">
        <f t="shared" ca="1" si="122"/>
        <v>154.71301267242296</v>
      </c>
      <c r="JA8" s="19">
        <f ca="1">INDEX(Totals[[#Data],[#Totals],[Car - Note]:[NONTRACKED]],MATCH(IZ$1,Totals[Date],0),MATCH($C8,Totals[[#Headers],[Car - Note]:[NONTRACKED]],0))</f>
        <v>-64.900000000000006</v>
      </c>
      <c r="JB8" s="19">
        <f t="shared" ca="1" si="377"/>
        <v>89.813012672422957</v>
      </c>
      <c r="JC8" s="19">
        <v>100</v>
      </c>
      <c r="JD8" s="19">
        <v>300</v>
      </c>
      <c r="JE8" s="19" t="b">
        <f t="shared" ca="1" si="378"/>
        <v>0</v>
      </c>
      <c r="JF8" s="100">
        <f t="shared" si="123"/>
        <v>0</v>
      </c>
      <c r="JG8" s="19">
        <f t="shared" ca="1" si="124"/>
        <v>0</v>
      </c>
      <c r="JH8" s="19">
        <f t="shared" ca="1" si="379"/>
        <v>0</v>
      </c>
      <c r="JI8" s="100">
        <f t="shared" si="125"/>
        <v>1</v>
      </c>
      <c r="JJ8" s="19">
        <f t="shared" ca="1" si="126"/>
        <v>210.18698732757704</v>
      </c>
      <c r="JK8" s="19">
        <f t="shared" ca="1" si="127"/>
        <v>100</v>
      </c>
      <c r="JL8" s="19">
        <f t="shared" ca="1" si="380"/>
        <v>38.269476765044686</v>
      </c>
      <c r="JM8" s="19">
        <f t="shared" ca="1" si="128"/>
        <v>128.08248943746764</v>
      </c>
      <c r="JN8" s="19">
        <f t="shared" ca="1" si="129"/>
        <v>-171.92</v>
      </c>
      <c r="JO8" s="19">
        <f t="shared" ca="1" si="130"/>
        <v>0.4269416314582255</v>
      </c>
      <c r="JP8" s="12">
        <f t="shared" ca="1" si="131"/>
        <v>128.08248943746764</v>
      </c>
      <c r="JQ8" s="79">
        <v>-25</v>
      </c>
      <c r="JR8" s="12">
        <f t="shared" ca="1" si="381"/>
        <v>103.08248943746764</v>
      </c>
      <c r="JS8" s="18">
        <f t="shared" ca="1" si="132"/>
        <v>0.34360829812489213</v>
      </c>
      <c r="JU8" s="11">
        <f t="shared" ca="1" si="133"/>
        <v>103.08248943746764</v>
      </c>
      <c r="JV8" s="11">
        <f ca="1">INDEX(Totals[[#Data],[#Totals],[Car - Note]:[NONTRACKED]],MATCH(JU$1,Totals[Date],0),MATCH($C8,Totals[[#Headers],[Car - Note]:[NONTRACKED]],0))</f>
        <v>-31.75</v>
      </c>
      <c r="JW8" s="11">
        <f t="shared" ca="1" si="382"/>
        <v>71.332489437467643</v>
      </c>
      <c r="JX8" s="11">
        <v>100</v>
      </c>
      <c r="JY8" s="11">
        <v>300</v>
      </c>
      <c r="JZ8" s="11" t="b">
        <f t="shared" ca="1" si="383"/>
        <v>0</v>
      </c>
      <c r="KA8" s="92">
        <f t="shared" si="134"/>
        <v>0</v>
      </c>
      <c r="KB8" s="11">
        <f t="shared" ca="1" si="135"/>
        <v>0</v>
      </c>
      <c r="KC8" s="11">
        <f t="shared" ca="1" si="384"/>
        <v>0</v>
      </c>
      <c r="KD8" s="92">
        <f t="shared" si="136"/>
        <v>1</v>
      </c>
      <c r="KE8" s="11">
        <f t="shared" ca="1" si="137"/>
        <v>228.66751056253236</v>
      </c>
      <c r="KF8" s="11">
        <f t="shared" ca="1" si="138"/>
        <v>100</v>
      </c>
      <c r="KG8" s="11">
        <f t="shared" ca="1" si="385"/>
        <v>69.164764594363234</v>
      </c>
      <c r="KH8" s="11">
        <f t="shared" ca="1" si="139"/>
        <v>140.49725403183089</v>
      </c>
      <c r="KI8" s="11">
        <f t="shared" ca="1" si="140"/>
        <v>-159.5</v>
      </c>
      <c r="KJ8" s="11">
        <f t="shared" ca="1" si="141"/>
        <v>0.46832418010610299</v>
      </c>
      <c r="KK8" s="12">
        <f t="shared" ca="1" si="142"/>
        <v>140.49725403183089</v>
      </c>
      <c r="KL8" s="79"/>
      <c r="KM8" s="12">
        <f t="shared" ca="1" si="386"/>
        <v>140.49725403183089</v>
      </c>
      <c r="KN8" s="18">
        <f t="shared" ca="1" si="143"/>
        <v>0.46832418010610299</v>
      </c>
      <c r="KP8" s="13">
        <f t="shared" ca="1" si="144"/>
        <v>140.49725403183089</v>
      </c>
      <c r="KQ8" s="13">
        <f ca="1">INDEX(Totals[[#Data],[#Totals],[Car - Note]:[NONTRACKED]],MATCH(KP$1,Totals[Date],0),MATCH($C8,Totals[[#Headers],[Car - Note]:[NONTRACKED]],0))</f>
        <v>-96.59</v>
      </c>
      <c r="KR8" s="13">
        <f t="shared" ca="1" si="387"/>
        <v>43.907254031830888</v>
      </c>
      <c r="KS8" s="13">
        <v>100</v>
      </c>
      <c r="KT8" s="13">
        <v>300</v>
      </c>
      <c r="KU8" s="13" t="b">
        <f t="shared" ca="1" si="388"/>
        <v>0</v>
      </c>
      <c r="KV8" s="94">
        <f t="shared" si="145"/>
        <v>0</v>
      </c>
      <c r="KW8" s="13">
        <f t="shared" ca="1" si="146"/>
        <v>0</v>
      </c>
      <c r="KX8" s="13">
        <f t="shared" ca="1" si="389"/>
        <v>0</v>
      </c>
      <c r="KY8" s="94">
        <f t="shared" si="147"/>
        <v>1</v>
      </c>
      <c r="KZ8" s="13">
        <f t="shared" ca="1" si="148"/>
        <v>256.09274596816908</v>
      </c>
      <c r="LA8" s="13">
        <f t="shared" ca="1" si="149"/>
        <v>100</v>
      </c>
      <c r="LB8" s="13">
        <f t="shared" ca="1" si="390"/>
        <v>76.300967584009115</v>
      </c>
      <c r="LC8" s="13">
        <f t="shared" ca="1" si="150"/>
        <v>120.20822161584</v>
      </c>
      <c r="LD8" s="13">
        <f t="shared" ca="1" si="151"/>
        <v>-179.79</v>
      </c>
      <c r="LE8" s="13">
        <f t="shared" ca="1" si="152"/>
        <v>0.4006940720528</v>
      </c>
      <c r="LF8" s="12">
        <f t="shared" ca="1" si="153"/>
        <v>120.20822161584</v>
      </c>
      <c r="LG8" s="79"/>
      <c r="LH8" s="12">
        <f t="shared" ca="1" si="391"/>
        <v>120.20822161584</v>
      </c>
      <c r="LI8" s="18">
        <f t="shared" ca="1" si="154"/>
        <v>0.4006940720528</v>
      </c>
      <c r="LK8" s="19">
        <f t="shared" ca="1" si="155"/>
        <v>120.20822161584</v>
      </c>
      <c r="LL8" s="19">
        <f ca="1">INDEX(Totals[[#Data],[#Totals],[Car - Note]:[NONTRACKED]],MATCH(LK$1,Totals[Date],0),MATCH($C8,Totals[[#Headers],[Car - Note]:[NONTRACKED]],0))</f>
        <v>-33.46</v>
      </c>
      <c r="LM8" s="19">
        <f t="shared" ca="1" si="392"/>
        <v>86.748221615840009</v>
      </c>
      <c r="LN8" s="19">
        <v>100</v>
      </c>
      <c r="LO8" s="19">
        <v>300</v>
      </c>
      <c r="LP8" s="19" t="b">
        <f t="shared" ca="1" si="393"/>
        <v>0</v>
      </c>
      <c r="LQ8" s="100">
        <f t="shared" si="156"/>
        <v>0</v>
      </c>
      <c r="LR8" s="19">
        <f t="shared" ca="1" si="157"/>
        <v>0</v>
      </c>
      <c r="LS8" s="19">
        <f t="shared" ca="1" si="394"/>
        <v>0</v>
      </c>
      <c r="LT8" s="100">
        <f t="shared" si="158"/>
        <v>1</v>
      </c>
      <c r="LU8" s="19">
        <f t="shared" ca="1" si="159"/>
        <v>213.25177838415999</v>
      </c>
      <c r="LV8" s="19">
        <f t="shared" ca="1" si="160"/>
        <v>100</v>
      </c>
      <c r="LW8" s="19">
        <f t="shared" ca="1" si="395"/>
        <v>63.475428481224817</v>
      </c>
      <c r="LX8" s="19">
        <f t="shared" ca="1" si="161"/>
        <v>150.22365009706482</v>
      </c>
      <c r="LY8" s="19">
        <f t="shared" ca="1" si="162"/>
        <v>-149.78</v>
      </c>
      <c r="LZ8" s="19">
        <f t="shared" ca="1" si="163"/>
        <v>0.50074550032354936</v>
      </c>
      <c r="MA8" s="12">
        <f t="shared" ca="1" si="164"/>
        <v>150.22365009706482</v>
      </c>
      <c r="MB8" s="79"/>
      <c r="MC8" s="12">
        <f t="shared" ca="1" si="396"/>
        <v>150.22365009706482</v>
      </c>
      <c r="MD8" s="18">
        <f t="shared" ca="1" si="165"/>
        <v>0.50074550032354936</v>
      </c>
      <c r="MF8" s="11">
        <f t="shared" ca="1" si="166"/>
        <v>150.22365009706482</v>
      </c>
      <c r="MG8" s="11">
        <f ca="1">INDEX(Totals[[#Data],[#Totals],[Car - Note]:[NONTRACKED]],MATCH(MF$1,Totals[Date],0),MATCH($C8,Totals[[#Headers],[Car - Note]:[NONTRACKED]],0))</f>
        <v>0</v>
      </c>
      <c r="MH8" s="11">
        <f t="shared" ca="1" si="397"/>
        <v>150.22365009706482</v>
      </c>
      <c r="MI8" s="11">
        <v>100</v>
      </c>
      <c r="MJ8" s="11">
        <v>300</v>
      </c>
      <c r="MK8" s="11" t="b">
        <f t="shared" ca="1" si="398"/>
        <v>0</v>
      </c>
      <c r="ML8" s="92">
        <f t="shared" si="167"/>
        <v>0</v>
      </c>
      <c r="MM8" s="11">
        <f t="shared" ca="1" si="168"/>
        <v>0</v>
      </c>
      <c r="MN8" s="11">
        <f t="shared" ca="1" si="399"/>
        <v>0</v>
      </c>
      <c r="MO8" s="92">
        <f t="shared" si="169"/>
        <v>1</v>
      </c>
      <c r="MP8" s="11">
        <f t="shared" ca="1" si="170"/>
        <v>149.77634990293518</v>
      </c>
      <c r="MQ8" s="11">
        <f t="shared" ca="1" si="171"/>
        <v>100</v>
      </c>
      <c r="MR8" s="11">
        <f t="shared" ca="1" si="400"/>
        <v>50.076843412854956</v>
      </c>
      <c r="MS8" s="11">
        <f t="shared" ca="1" si="172"/>
        <v>200.30049350991976</v>
      </c>
      <c r="MT8" s="11">
        <f t="shared" ca="1" si="173"/>
        <v>-99.7</v>
      </c>
      <c r="MU8" s="11">
        <f t="shared" ca="1" si="174"/>
        <v>0.66766831169973251</v>
      </c>
      <c r="MV8" s="12">
        <f t="shared" ca="1" si="175"/>
        <v>200.30049350991976</v>
      </c>
      <c r="MW8" s="79">
        <v>-60</v>
      </c>
      <c r="MX8" s="12">
        <f t="shared" ca="1" si="401"/>
        <v>140.30049350991976</v>
      </c>
      <c r="MY8" s="18">
        <f t="shared" ca="1" si="176"/>
        <v>0.46766831169973255</v>
      </c>
      <c r="NA8" s="13">
        <f t="shared" ca="1" si="177"/>
        <v>140.30049350991976</v>
      </c>
      <c r="NB8" s="13">
        <f ca="1">INDEX(Totals[[#Data],[#Totals],[Car - Note]:[NONTRACKED]],MATCH(NA$1,Totals[Date],0),MATCH($C8,Totals[[#Headers],[Car - Note]:[NONTRACKED]],0))</f>
        <v>19</v>
      </c>
      <c r="NC8" s="13">
        <f t="shared" ca="1" si="402"/>
        <v>159.30049350991976</v>
      </c>
      <c r="ND8" s="13">
        <v>100</v>
      </c>
      <c r="NE8" s="13">
        <v>300</v>
      </c>
      <c r="NF8" s="13" t="b">
        <f t="shared" ca="1" si="403"/>
        <v>0</v>
      </c>
      <c r="NG8" s="94">
        <f t="shared" si="178"/>
        <v>0</v>
      </c>
      <c r="NH8" s="13">
        <f t="shared" ca="1" si="179"/>
        <v>0</v>
      </c>
      <c r="NI8" s="13">
        <f t="shared" ca="1" si="404"/>
        <v>0</v>
      </c>
      <c r="NJ8" s="94">
        <f t="shared" si="180"/>
        <v>1</v>
      </c>
      <c r="NK8" s="13">
        <f t="shared" ca="1" si="181"/>
        <v>140.69950649008024</v>
      </c>
      <c r="NL8" s="13">
        <f t="shared" ca="1" si="182"/>
        <v>100</v>
      </c>
      <c r="NM8" s="13">
        <f t="shared" ca="1" si="405"/>
        <v>100</v>
      </c>
      <c r="NN8" s="13">
        <f t="shared" ca="1" si="183"/>
        <v>259.30049350991976</v>
      </c>
      <c r="NO8" s="13">
        <f t="shared" ca="1" si="184"/>
        <v>-40.700000000000003</v>
      </c>
      <c r="NP8" s="13">
        <f t="shared" ca="1" si="185"/>
        <v>0.86433497836639916</v>
      </c>
      <c r="NQ8" s="12">
        <f t="shared" ca="1" si="186"/>
        <v>259.30049350991976</v>
      </c>
      <c r="NR8" s="79"/>
      <c r="NS8" s="12">
        <f t="shared" ca="1" si="406"/>
        <v>259.30049350991976</v>
      </c>
      <c r="NT8" s="18">
        <f t="shared" ca="1" si="187"/>
        <v>0.86433497836639916</v>
      </c>
      <c r="NV8" s="19">
        <f t="shared" ca="1" si="188"/>
        <v>259.30049350991976</v>
      </c>
      <c r="NW8" s="19">
        <f ca="1">INDEX(Totals[[#Data],[#Totals],[Car - Note]:[NONTRACKED]],MATCH(NV$1,Totals[Date],0),MATCH($C8,Totals[[#Headers],[Car - Note]:[NONTRACKED]],0))</f>
        <v>6.4600000000000009</v>
      </c>
      <c r="NX8" s="19">
        <f t="shared" ca="1" si="407"/>
        <v>265.76049350991974</v>
      </c>
      <c r="NY8" s="19">
        <v>100</v>
      </c>
      <c r="NZ8" s="19">
        <v>300</v>
      </c>
      <c r="OA8" s="19" t="b">
        <f t="shared" ca="1" si="408"/>
        <v>0</v>
      </c>
      <c r="OB8" s="100">
        <f t="shared" si="189"/>
        <v>0</v>
      </c>
      <c r="OC8" s="19">
        <f t="shared" ca="1" si="190"/>
        <v>0</v>
      </c>
      <c r="OD8" s="19">
        <f t="shared" ca="1" si="409"/>
        <v>0</v>
      </c>
      <c r="OE8" s="100">
        <f t="shared" si="191"/>
        <v>1</v>
      </c>
      <c r="OF8" s="19">
        <f t="shared" ca="1" si="192"/>
        <v>34.239506490080259</v>
      </c>
      <c r="OG8" s="19">
        <f t="shared" ca="1" si="193"/>
        <v>34.239506490080259</v>
      </c>
      <c r="OH8" s="19">
        <f t="shared" ca="1" si="410"/>
        <v>26.409244719083933</v>
      </c>
      <c r="OI8" s="19">
        <f t="shared" ca="1" si="194"/>
        <v>292.16973822900366</v>
      </c>
      <c r="OJ8" s="19">
        <f t="shared" ca="1" si="195"/>
        <v>-7.83</v>
      </c>
      <c r="OK8" s="19">
        <f t="shared" ca="1" si="196"/>
        <v>0.97389912743001217</v>
      </c>
      <c r="OL8" s="12">
        <f t="shared" ca="1" si="197"/>
        <v>292.16973822900366</v>
      </c>
      <c r="OM8" s="79"/>
      <c r="ON8" s="12">
        <f t="shared" ca="1" si="411"/>
        <v>292.16973822900366</v>
      </c>
      <c r="OO8" s="18">
        <f t="shared" ca="1" si="198"/>
        <v>0.97389912743001217</v>
      </c>
      <c r="OQ8" s="11">
        <f t="shared" ca="1" si="199"/>
        <v>292.16973822900366</v>
      </c>
      <c r="OR8" s="11">
        <f ca="1">INDEX(Totals[[#Data],[#Totals],[Car - Note]:[NONTRACKED]],MATCH(OQ$1,Totals[Date],0),MATCH($C8,Totals[[#Headers],[Car - Note]:[NONTRACKED]],0))</f>
        <v>-52.260000000000005</v>
      </c>
      <c r="OS8" s="11">
        <f t="shared" ca="1" si="412"/>
        <v>239.90973822900366</v>
      </c>
      <c r="OT8" s="11">
        <v>100</v>
      </c>
      <c r="OU8" s="11">
        <v>300</v>
      </c>
      <c r="OV8" s="11" t="b">
        <f t="shared" ca="1" si="413"/>
        <v>0</v>
      </c>
      <c r="OW8" s="92">
        <f t="shared" si="200"/>
        <v>0</v>
      </c>
      <c r="OX8" s="11">
        <f t="shared" ca="1" si="201"/>
        <v>0</v>
      </c>
      <c r="OY8" s="11">
        <f t="shared" ca="1" si="414"/>
        <v>0</v>
      </c>
      <c r="OZ8" s="92">
        <f t="shared" si="202"/>
        <v>1</v>
      </c>
      <c r="PA8" s="11">
        <f t="shared" ca="1" si="203"/>
        <v>60.090261770996335</v>
      </c>
      <c r="PB8" s="11">
        <f t="shared" ca="1" si="204"/>
        <v>60.090261770996335</v>
      </c>
      <c r="PC8" s="11">
        <f t="shared" ca="1" si="415"/>
        <v>35.690944420022973</v>
      </c>
      <c r="PD8" s="11">
        <f t="shared" ca="1" si="205"/>
        <v>275.60068264902662</v>
      </c>
      <c r="PE8" s="11">
        <f t="shared" ca="1" si="206"/>
        <v>-24.4</v>
      </c>
      <c r="PF8" s="11">
        <f t="shared" ca="1" si="207"/>
        <v>0.9186689421634221</v>
      </c>
      <c r="PG8" s="12">
        <f t="shared" ca="1" si="208"/>
        <v>275.60068264902662</v>
      </c>
      <c r="PH8" s="79"/>
      <c r="PI8" s="12">
        <f t="shared" ca="1" si="416"/>
        <v>275.60068264902662</v>
      </c>
      <c r="PJ8" s="18">
        <f t="shared" ca="1" si="209"/>
        <v>0.9186689421634221</v>
      </c>
      <c r="PL8" s="13">
        <f t="shared" ca="1" si="210"/>
        <v>275.60068264902662</v>
      </c>
      <c r="PM8" s="13">
        <f ca="1">INDEX(Totals[[#Data],[#Totals],[Car - Note]:[NONTRACKED]],MATCH(PL$1,Totals[Date],0),MATCH($C8,Totals[[#Headers],[Car - Note]:[NONTRACKED]],0))</f>
        <v>-23.67</v>
      </c>
      <c r="PN8" s="13">
        <f t="shared" ca="1" si="417"/>
        <v>251.93068264902661</v>
      </c>
      <c r="PO8" s="13">
        <v>100</v>
      </c>
      <c r="PP8" s="13">
        <v>300</v>
      </c>
      <c r="PQ8" s="13" t="b">
        <f t="shared" ca="1" si="418"/>
        <v>0</v>
      </c>
      <c r="PR8" s="94">
        <f t="shared" si="211"/>
        <v>0</v>
      </c>
      <c r="PS8" s="13">
        <f t="shared" ca="1" si="212"/>
        <v>0</v>
      </c>
      <c r="PT8" s="13">
        <f t="shared" ca="1" si="419"/>
        <v>0</v>
      </c>
      <c r="PU8" s="94">
        <f t="shared" si="213"/>
        <v>1</v>
      </c>
      <c r="PV8" s="13">
        <f t="shared" ca="1" si="214"/>
        <v>48.069317350973392</v>
      </c>
      <c r="PW8" s="13">
        <f t="shared" ca="1" si="215"/>
        <v>48.069317350973392</v>
      </c>
      <c r="PX8" s="13">
        <f t="shared" ca="1" si="420"/>
        <v>33.958448115976317</v>
      </c>
      <c r="PY8" s="13">
        <f t="shared" ca="1" si="216"/>
        <v>285.8891307650029</v>
      </c>
      <c r="PZ8" s="13">
        <f t="shared" ca="1" si="217"/>
        <v>-14.11</v>
      </c>
      <c r="QA8" s="13">
        <f t="shared" ca="1" si="218"/>
        <v>0.95296376921667636</v>
      </c>
      <c r="QB8" s="12">
        <f t="shared" ca="1" si="219"/>
        <v>285.8891307650029</v>
      </c>
      <c r="QC8" s="79"/>
      <c r="QD8" s="12">
        <f t="shared" ca="1" si="421"/>
        <v>285.8891307650029</v>
      </c>
      <c r="QE8" s="18">
        <f t="shared" ca="1" si="220"/>
        <v>0.95296376921667636</v>
      </c>
      <c r="QG8" s="19">
        <f t="shared" ca="1" si="221"/>
        <v>285.8891307650029</v>
      </c>
      <c r="QH8" s="19">
        <f ca="1">INDEX(Totals[[#Data],[#Totals],[Car - Note]:[NONTRACKED]],MATCH(QG$1,Totals[Date],0),MATCH($C8,Totals[[#Headers],[Car - Note]:[NONTRACKED]],0))</f>
        <v>-76.11999999999999</v>
      </c>
      <c r="QI8" s="19">
        <f t="shared" ca="1" si="422"/>
        <v>209.7691307650029</v>
      </c>
      <c r="QJ8" s="19">
        <v>100</v>
      </c>
      <c r="QK8" s="19">
        <v>300</v>
      </c>
      <c r="QL8" s="19" t="b">
        <f t="shared" ca="1" si="423"/>
        <v>0</v>
      </c>
      <c r="QM8" s="100">
        <f t="shared" si="222"/>
        <v>0</v>
      </c>
      <c r="QN8" s="19">
        <f t="shared" ca="1" si="223"/>
        <v>0</v>
      </c>
      <c r="QO8" s="19">
        <f t="shared" ca="1" si="424"/>
        <v>0</v>
      </c>
      <c r="QP8" s="100">
        <f t="shared" si="224"/>
        <v>1</v>
      </c>
      <c r="QQ8" s="19">
        <f t="shared" ca="1" si="225"/>
        <v>90.230869234997101</v>
      </c>
      <c r="QR8" s="19">
        <f t="shared" ca="1" si="226"/>
        <v>90.230869234997101</v>
      </c>
      <c r="QS8" s="19">
        <f t="shared" ca="1" si="425"/>
        <v>63.045146406060368</v>
      </c>
      <c r="QT8" s="19">
        <f t="shared" ca="1" si="227"/>
        <v>272.81427717106328</v>
      </c>
      <c r="QU8" s="19">
        <f t="shared" ca="1" si="228"/>
        <v>-27.19</v>
      </c>
      <c r="QV8" s="19">
        <f t="shared" ca="1" si="229"/>
        <v>0.9093809239035443</v>
      </c>
      <c r="QW8" s="12">
        <f t="shared" ca="1" si="230"/>
        <v>272.81427717106328</v>
      </c>
      <c r="QX8" s="79"/>
      <c r="QY8" s="12">
        <f t="shared" ca="1" si="426"/>
        <v>272.81427717106328</v>
      </c>
      <c r="QZ8" s="18">
        <f t="shared" ca="1" si="231"/>
        <v>0.9093809239035443</v>
      </c>
      <c r="RB8" s="11">
        <f t="shared" ca="1" si="232"/>
        <v>272.81427717106328</v>
      </c>
      <c r="RC8" s="11">
        <f ca="1">INDEX(Totals[[#Data],[#Totals],[Car - Note]:[NONTRACKED]],MATCH(RB$1,Totals[Date],0),MATCH($C8,Totals[[#Headers],[Car - Note]:[NONTRACKED]],0))</f>
        <v>-180.45</v>
      </c>
      <c r="RD8" s="11">
        <f t="shared" ca="1" si="427"/>
        <v>92.364277171063293</v>
      </c>
      <c r="RE8" s="11">
        <v>100</v>
      </c>
      <c r="RF8" s="11">
        <v>300</v>
      </c>
      <c r="RG8" s="11" t="b">
        <f t="shared" ca="1" si="428"/>
        <v>0</v>
      </c>
      <c r="RH8" s="92">
        <f t="shared" si="233"/>
        <v>0</v>
      </c>
      <c r="RI8" s="11">
        <f t="shared" ca="1" si="234"/>
        <v>0</v>
      </c>
      <c r="RJ8" s="11">
        <f t="shared" ca="1" si="429"/>
        <v>0</v>
      </c>
      <c r="RK8" s="92">
        <f t="shared" si="235"/>
        <v>1</v>
      </c>
      <c r="RL8" s="11">
        <f t="shared" ca="1" si="236"/>
        <v>207.63572282893671</v>
      </c>
      <c r="RM8" s="11">
        <f t="shared" ca="1" si="237"/>
        <v>100</v>
      </c>
      <c r="RN8" s="11">
        <f t="shared" ca="1" si="430"/>
        <v>58.785617707507811</v>
      </c>
      <c r="RO8" s="11">
        <f t="shared" ca="1" si="238"/>
        <v>151.1498948785711</v>
      </c>
      <c r="RP8" s="11">
        <f t="shared" ca="1" si="239"/>
        <v>-148.85</v>
      </c>
      <c r="RQ8" s="11">
        <f t="shared" ca="1" si="240"/>
        <v>0.50383298292857037</v>
      </c>
      <c r="RR8" s="12">
        <f t="shared" ca="1" si="241"/>
        <v>151.1498948785711</v>
      </c>
      <c r="RS8" s="79"/>
      <c r="RT8" s="12">
        <f t="shared" ca="1" si="431"/>
        <v>151.1498948785711</v>
      </c>
      <c r="RU8" s="18">
        <f t="shared" ca="1" si="242"/>
        <v>0.50383298292857037</v>
      </c>
      <c r="RW8" s="13">
        <f t="shared" ca="1" si="243"/>
        <v>151.1498948785711</v>
      </c>
      <c r="RX8" s="13">
        <f ca="1">INDEX(Totals[[#Data],[#Totals],[Car - Note]:[NONTRACKED]],MATCH(RW$1,Totals[Date],0),MATCH($C8,Totals[[#Headers],[Car - Note]:[NONTRACKED]],0))</f>
        <v>0</v>
      </c>
      <c r="RY8" s="13">
        <f t="shared" ca="1" si="432"/>
        <v>151.1498948785711</v>
      </c>
      <c r="RZ8" s="13">
        <v>100</v>
      </c>
      <c r="SA8" s="13">
        <v>300</v>
      </c>
      <c r="SB8" s="13" t="b">
        <f t="shared" ca="1" si="433"/>
        <v>0</v>
      </c>
      <c r="SC8" s="94">
        <f t="shared" si="244"/>
        <v>0</v>
      </c>
      <c r="SD8" s="13">
        <f t="shared" ca="1" si="245"/>
        <v>0</v>
      </c>
      <c r="SE8" s="13">
        <f t="shared" ca="1" si="434"/>
        <v>0</v>
      </c>
      <c r="SF8" s="94">
        <f t="shared" si="246"/>
        <v>1</v>
      </c>
      <c r="SG8" s="13">
        <f t="shared" ca="1" si="247"/>
        <v>148.8501051214289</v>
      </c>
      <c r="SH8" s="13">
        <f t="shared" ca="1" si="248"/>
        <v>100</v>
      </c>
      <c r="SI8" s="13">
        <f t="shared" ca="1" si="435"/>
        <v>87.761048046955722</v>
      </c>
      <c r="SJ8" s="13">
        <f t="shared" ca="1" si="249"/>
        <v>238.91094292552683</v>
      </c>
      <c r="SK8" s="13">
        <f t="shared" ca="1" si="250"/>
        <v>-61.09</v>
      </c>
      <c r="SL8" s="13">
        <f t="shared" ca="1" si="251"/>
        <v>0.79636980975175609</v>
      </c>
      <c r="SM8" s="12">
        <f t="shared" ca="1" si="252"/>
        <v>238.91094292552683</v>
      </c>
      <c r="SN8" s="79"/>
      <c r="SO8" s="12">
        <f t="shared" ca="1" si="436"/>
        <v>238.91094292552683</v>
      </c>
      <c r="SP8" s="18">
        <f t="shared" ca="1" si="253"/>
        <v>0.79636980975175609</v>
      </c>
      <c r="SR8" s="19">
        <f t="shared" ca="1" si="254"/>
        <v>238.91094292552683</v>
      </c>
      <c r="SS8" s="19">
        <f ca="1">INDEX(Totals[[#Data],[#Totals],[Car - Note]:[NONTRACKED]],MATCH(SR$1,Totals[Date],0),MATCH($C8,Totals[[#Headers],[Car - Note]:[NONTRACKED]],0))</f>
        <v>0</v>
      </c>
      <c r="ST8" s="19">
        <f t="shared" ca="1" si="437"/>
        <v>238.91094292552683</v>
      </c>
      <c r="SU8" s="19">
        <v>100</v>
      </c>
      <c r="SV8" s="19">
        <v>300</v>
      </c>
      <c r="SW8" s="19" t="b">
        <f t="shared" ca="1" si="438"/>
        <v>0</v>
      </c>
      <c r="SX8" s="100">
        <f t="shared" si="255"/>
        <v>0</v>
      </c>
      <c r="SY8" s="19">
        <f t="shared" ca="1" si="256"/>
        <v>0</v>
      </c>
      <c r="SZ8" s="19">
        <f t="shared" ca="1" si="439"/>
        <v>0</v>
      </c>
      <c r="TA8" s="100">
        <f t="shared" si="257"/>
        <v>1</v>
      </c>
      <c r="TB8" s="19">
        <f t="shared" ca="1" si="258"/>
        <v>61.089057074473175</v>
      </c>
      <c r="TC8" s="19">
        <f t="shared" ca="1" si="259"/>
        <v>61.089057074473175</v>
      </c>
      <c r="TD8" s="19">
        <f t="shared" ca="1" si="440"/>
        <v>44.38756893815993</v>
      </c>
      <c r="TE8" s="19">
        <f t="shared" ca="1" si="260"/>
        <v>283.29851186368677</v>
      </c>
      <c r="TF8" s="19">
        <f t="shared" ca="1" si="261"/>
        <v>-16.7</v>
      </c>
      <c r="TG8" s="19">
        <f t="shared" ca="1" si="262"/>
        <v>0.94432837287895588</v>
      </c>
      <c r="TH8" s="12">
        <f t="shared" ca="1" si="263"/>
        <v>283.29851186368677</v>
      </c>
      <c r="TI8" s="79"/>
      <c r="TJ8" s="12">
        <f t="shared" ca="1" si="441"/>
        <v>283.29851186368677</v>
      </c>
      <c r="TK8" s="18">
        <f t="shared" ca="1" si="264"/>
        <v>0.94432837287895588</v>
      </c>
      <c r="TM8" s="11">
        <f t="shared" ca="1" si="265"/>
        <v>283.29851186368677</v>
      </c>
      <c r="TN8" s="11">
        <f ca="1">INDEX(Totals[[#Data],[#Totals],[Car - Note]:[NONTRACKED]],MATCH(TM$1,Totals[Date],0),MATCH($C8,Totals[[#Headers],[Car - Note]:[NONTRACKED]],0))</f>
        <v>0</v>
      </c>
      <c r="TO8" s="11">
        <f t="shared" ca="1" si="442"/>
        <v>283.29851186368677</v>
      </c>
      <c r="TP8" s="11">
        <v>100</v>
      </c>
      <c r="TQ8" s="11">
        <v>300</v>
      </c>
      <c r="TR8" s="11" t="b">
        <f t="shared" ca="1" si="443"/>
        <v>0</v>
      </c>
      <c r="TS8" s="92">
        <f t="shared" si="266"/>
        <v>0</v>
      </c>
      <c r="TT8" s="11">
        <f t="shared" ca="1" si="267"/>
        <v>0</v>
      </c>
      <c r="TU8" s="11">
        <f t="shared" ca="1" si="444"/>
        <v>0</v>
      </c>
      <c r="TV8" s="92">
        <f t="shared" si="268"/>
        <v>1</v>
      </c>
      <c r="TW8" s="11">
        <f t="shared" ca="1" si="269"/>
        <v>16.70148813631323</v>
      </c>
      <c r="TX8" s="11">
        <f t="shared" ca="1" si="270"/>
        <v>16.70148813631323</v>
      </c>
      <c r="TY8" s="11">
        <f t="shared" ca="1" si="445"/>
        <v>10.630627331548332</v>
      </c>
      <c r="TZ8" s="11">
        <f t="shared" ca="1" si="271"/>
        <v>293.92913919523511</v>
      </c>
      <c r="UA8" s="11">
        <f t="shared" ca="1" si="272"/>
        <v>-6.07</v>
      </c>
      <c r="UB8" s="11">
        <f t="shared" ca="1" si="273"/>
        <v>0.97976379731745034</v>
      </c>
      <c r="UC8" s="12">
        <f t="shared" ca="1" si="274"/>
        <v>293.92913919523511</v>
      </c>
      <c r="UD8" s="79">
        <v>-100</v>
      </c>
      <c r="UE8" s="12">
        <f t="shared" ca="1" si="446"/>
        <v>193.92913919523511</v>
      </c>
      <c r="UF8" s="18">
        <f t="shared" ca="1" si="275"/>
        <v>0.64643046398411708</v>
      </c>
      <c r="UH8" s="13">
        <f t="shared" ca="1" si="276"/>
        <v>193.92913919523511</v>
      </c>
      <c r="UI8" s="13">
        <f ca="1">INDEX(Totals[[#Data],[#Totals],[Car - Note]:[NONTRACKED]],MATCH(UH$1,Totals[Date],0),MATCH($C8,Totals[[#Headers],[Car - Note]:[NONTRACKED]],0))</f>
        <v>-74.03</v>
      </c>
      <c r="UJ8" s="13">
        <f t="shared" ca="1" si="447"/>
        <v>119.89913919523511</v>
      </c>
      <c r="UK8" s="13">
        <v>100</v>
      </c>
      <c r="UL8" s="13">
        <v>300</v>
      </c>
      <c r="UM8" s="13" t="b">
        <f t="shared" ca="1" si="448"/>
        <v>0</v>
      </c>
      <c r="UN8" s="94">
        <f t="shared" si="277"/>
        <v>0</v>
      </c>
      <c r="UO8" s="13">
        <f t="shared" ca="1" si="278"/>
        <v>0</v>
      </c>
      <c r="UP8" s="13">
        <f t="shared" ca="1" si="449"/>
        <v>0</v>
      </c>
      <c r="UQ8" s="94">
        <f t="shared" si="279"/>
        <v>1</v>
      </c>
      <c r="UR8" s="13">
        <f t="shared" ca="1" si="280"/>
        <v>180.10086080476489</v>
      </c>
      <c r="US8" s="13">
        <f t="shared" ca="1" si="281"/>
        <v>100</v>
      </c>
      <c r="UT8" s="13">
        <f t="shared" ca="1" si="450"/>
        <v>100</v>
      </c>
      <c r="UU8" s="13">
        <f t="shared" ca="1" si="282"/>
        <v>219.89913919523511</v>
      </c>
      <c r="UV8" s="13">
        <f t="shared" ca="1" si="283"/>
        <v>-80.099999999999994</v>
      </c>
      <c r="UW8" s="13">
        <f t="shared" ca="1" si="284"/>
        <v>0.73299713065078365</v>
      </c>
      <c r="UX8" s="12">
        <f t="shared" ca="1" si="285"/>
        <v>219.89913919523511</v>
      </c>
      <c r="UY8" s="79"/>
      <c r="UZ8" s="12">
        <f t="shared" ca="1" si="451"/>
        <v>219.89913919523511</v>
      </c>
      <c r="VA8" s="18">
        <f t="shared" ca="1" si="286"/>
        <v>0.73299713065078365</v>
      </c>
      <c r="VC8" s="19">
        <f t="shared" ca="1" si="287"/>
        <v>219.89913919523511</v>
      </c>
      <c r="VD8" s="19">
        <f ca="1">INDEX(Totals[[#Data],[#Totals],[Car - Note]:[NONTRACKED]],MATCH(VC$1,Totals[Date],0),MATCH($C8,Totals[[#Headers],[Car - Note]:[NONTRACKED]],0))</f>
        <v>-69.28</v>
      </c>
      <c r="VE8" s="19">
        <f t="shared" ca="1" si="452"/>
        <v>150.61913919523511</v>
      </c>
      <c r="VF8" s="19">
        <v>100</v>
      </c>
      <c r="VG8" s="19">
        <v>300</v>
      </c>
      <c r="VH8" s="19" t="b">
        <f t="shared" ca="1" si="453"/>
        <v>0</v>
      </c>
      <c r="VI8" s="100">
        <f t="shared" si="288"/>
        <v>0</v>
      </c>
      <c r="VJ8" s="19">
        <f t="shared" ca="1" si="289"/>
        <v>0</v>
      </c>
      <c r="VK8" s="19">
        <f t="shared" ca="1" si="454"/>
        <v>0</v>
      </c>
      <c r="VL8" s="100">
        <f t="shared" si="290"/>
        <v>1</v>
      </c>
      <c r="VM8" s="19">
        <f t="shared" ca="1" si="291"/>
        <v>149.38086080476489</v>
      </c>
      <c r="VN8" s="19">
        <f t="shared" ca="1" si="292"/>
        <v>100</v>
      </c>
      <c r="VO8" s="19">
        <f t="shared" ca="1" si="455"/>
        <v>66.29391816183454</v>
      </c>
      <c r="VP8" s="19">
        <f t="shared" ca="1" si="293"/>
        <v>216.91305735706965</v>
      </c>
      <c r="VQ8" s="19">
        <f t="shared" ca="1" si="294"/>
        <v>-83.09</v>
      </c>
      <c r="VR8" s="19">
        <f t="shared" ca="1" si="295"/>
        <v>0.72304352452356546</v>
      </c>
      <c r="VS8" s="12">
        <f t="shared" ca="1" si="296"/>
        <v>216.91305735706965</v>
      </c>
      <c r="VT8" s="79"/>
      <c r="VU8" s="12">
        <f t="shared" ca="1" si="456"/>
        <v>216.91305735706965</v>
      </c>
      <c r="VV8" s="18">
        <f t="shared" ca="1" si="297"/>
        <v>0.72304352452356546</v>
      </c>
      <c r="VX8" s="11">
        <f t="shared" ca="1" si="298"/>
        <v>216.91305735706965</v>
      </c>
      <c r="VY8" s="11">
        <f ca="1">INDEX(Totals[[#Data],[#Totals],[Car - Note]:[NONTRACKED]],MATCH(VX$1,Totals[Date],0),MATCH($C8,Totals[[#Headers],[Car - Note]:[NONTRACKED]],0))</f>
        <v>0</v>
      </c>
      <c r="VZ8" s="11">
        <f t="shared" ca="1" si="457"/>
        <v>216.91305735706965</v>
      </c>
      <c r="WA8" s="11">
        <v>100</v>
      </c>
      <c r="WB8" s="11">
        <v>300</v>
      </c>
      <c r="WC8" s="11" t="b">
        <f t="shared" ca="1" si="458"/>
        <v>0</v>
      </c>
      <c r="WD8" s="92">
        <f t="shared" si="299"/>
        <v>0</v>
      </c>
      <c r="WE8" s="11">
        <f t="shared" ca="1" si="300"/>
        <v>0</v>
      </c>
      <c r="WF8" s="11">
        <f t="shared" ca="1" si="459"/>
        <v>0</v>
      </c>
      <c r="WG8" s="92">
        <f t="shared" si="301"/>
        <v>1</v>
      </c>
      <c r="WH8" s="11">
        <f t="shared" ca="1" si="302"/>
        <v>83.086942642930353</v>
      </c>
      <c r="WI8" s="11">
        <f t="shared" ca="1" si="303"/>
        <v>83.086942642930353</v>
      </c>
      <c r="WJ8" s="11">
        <f t="shared" ca="1" si="460"/>
        <v>49.618718360251798</v>
      </c>
      <c r="WK8" s="11">
        <f t="shared" ca="1" si="304"/>
        <v>266.53177571732147</v>
      </c>
      <c r="WL8" s="11">
        <f t="shared" ca="1" si="305"/>
        <v>-33.47</v>
      </c>
      <c r="WM8" s="11">
        <f t="shared" ca="1" si="306"/>
        <v>0.88843925239107158</v>
      </c>
      <c r="WN8" s="12">
        <f t="shared" ca="1" si="307"/>
        <v>266.53177571732147</v>
      </c>
      <c r="WO8" s="79"/>
      <c r="WP8" s="12">
        <f t="shared" ca="1" si="461"/>
        <v>266.53177571732147</v>
      </c>
      <c r="WQ8" s="18">
        <f t="shared" ca="1" si="308"/>
        <v>0.88843925239107158</v>
      </c>
      <c r="WS8" s="13">
        <f t="shared" ca="1" si="309"/>
        <v>266.53177571732147</v>
      </c>
      <c r="WT8" s="13">
        <f ca="1">INDEX(Totals[[#Data],[#Totals],[Car - Note]:[NONTRACKED]],MATCH(WS$1,Totals[Date],0),MATCH($C8,Totals[[#Headers],[Car - Note]:[NONTRACKED]],0))</f>
        <v>0</v>
      </c>
      <c r="WU8" s="13">
        <f t="shared" ca="1" si="462"/>
        <v>266.53177571732147</v>
      </c>
      <c r="WV8" s="13">
        <v>100</v>
      </c>
      <c r="WW8" s="13">
        <v>300</v>
      </c>
      <c r="WX8" s="13" t="b">
        <f t="shared" ca="1" si="463"/>
        <v>0</v>
      </c>
      <c r="WY8" s="94">
        <f t="shared" si="310"/>
        <v>0</v>
      </c>
      <c r="WZ8" s="13">
        <f t="shared" ca="1" si="311"/>
        <v>0</v>
      </c>
      <c r="XA8" s="13">
        <f t="shared" ca="1" si="464"/>
        <v>0</v>
      </c>
      <c r="XB8" s="94">
        <f t="shared" si="312"/>
        <v>1</v>
      </c>
      <c r="XC8" s="13">
        <f t="shared" ca="1" si="313"/>
        <v>33.468224282678534</v>
      </c>
      <c r="XD8" s="13">
        <f t="shared" ca="1" si="314"/>
        <v>33.468224282678534</v>
      </c>
      <c r="XE8" s="13">
        <f t="shared" ca="1" si="465"/>
        <v>31.698289438098424</v>
      </c>
      <c r="XF8" s="13">
        <f t="shared" ca="1" si="315"/>
        <v>298.23006515541988</v>
      </c>
      <c r="XG8" s="13">
        <f t="shared" ca="1" si="316"/>
        <v>-1.77</v>
      </c>
      <c r="XH8" s="13">
        <f t="shared" ca="1" si="317"/>
        <v>0.99410021718473296</v>
      </c>
      <c r="XI8" s="12">
        <f t="shared" ca="1" si="318"/>
        <v>298.23006515541988</v>
      </c>
      <c r="XJ8" s="104">
        <f t="shared" ca="1" si="319"/>
        <v>1.7699348445801206</v>
      </c>
      <c r="XK8" s="12">
        <f t="shared" ca="1" si="466"/>
        <v>300</v>
      </c>
      <c r="XL8" s="18">
        <f t="shared" ca="1" si="320"/>
        <v>1</v>
      </c>
      <c r="XN8">
        <v>0.3</v>
      </c>
      <c r="XO8" s="103">
        <f t="shared" ca="1" si="467"/>
        <v>79.959532715196431</v>
      </c>
      <c r="XP8" s="12">
        <f t="shared" ca="1" si="468"/>
        <v>186.57224300212505</v>
      </c>
      <c r="XQ8" s="102">
        <f t="shared" ca="1" si="469"/>
        <v>0.62190747667375013</v>
      </c>
    </row>
    <row r="9" spans="1:641" x14ac:dyDescent="0.25">
      <c r="A9" s="112"/>
      <c r="B9" t="s">
        <v>9</v>
      </c>
      <c r="C9" t="s">
        <v>53</v>
      </c>
      <c r="D9" s="79">
        <v>-30</v>
      </c>
      <c r="H9" s="48">
        <v>10</v>
      </c>
      <c r="I9" s="48"/>
      <c r="J9" s="48"/>
      <c r="K9" s="48">
        <v>30</v>
      </c>
      <c r="L9" s="95">
        <v>50</v>
      </c>
      <c r="M9" s="48"/>
      <c r="N9" s="96"/>
      <c r="O9" s="48"/>
      <c r="P9" s="48"/>
      <c r="Q9" s="96"/>
      <c r="R9" s="48"/>
      <c r="S9" s="48"/>
      <c r="T9" s="48"/>
      <c r="U9" s="48"/>
      <c r="V9" s="48"/>
      <c r="W9" s="48"/>
      <c r="X9" s="48"/>
      <c r="Y9" s="48"/>
      <c r="Z9" s="48">
        <f t="shared" si="321"/>
        <v>10</v>
      </c>
      <c r="AA9" s="98">
        <f t="shared" si="0"/>
        <v>0.2</v>
      </c>
      <c r="AC9" s="11">
        <f t="shared" si="1"/>
        <v>10</v>
      </c>
      <c r="AD9" s="11">
        <f ca="1">INDEX(Totals[[#Data],[#Totals],[Car - Note]:[NONTRACKED]],MATCH(AC$1,Totals[Date],0),MATCH($C9,Totals[[#Headers],[Car - Note]:[NONTRACKED]],0))</f>
        <v>-9.5129999999999999</v>
      </c>
      <c r="AE9" s="11">
        <f t="shared" ca="1" si="322"/>
        <v>0.4870000000000001</v>
      </c>
      <c r="AF9" s="11">
        <v>30</v>
      </c>
      <c r="AG9" s="11">
        <v>50</v>
      </c>
      <c r="AH9" s="11" t="b">
        <f t="shared" ca="1" si="323"/>
        <v>0</v>
      </c>
      <c r="AI9" s="92">
        <f t="shared" si="2"/>
        <v>0</v>
      </c>
      <c r="AJ9" s="11">
        <f t="shared" ca="1" si="3"/>
        <v>0</v>
      </c>
      <c r="AK9" s="11">
        <f t="shared" ca="1" si="324"/>
        <v>0</v>
      </c>
      <c r="AL9" s="92">
        <f t="shared" si="4"/>
        <v>1</v>
      </c>
      <c r="AM9" s="11">
        <f t="shared" ca="1" si="5"/>
        <v>49.512999999999998</v>
      </c>
      <c r="AN9" s="11">
        <f t="shared" ca="1" si="6"/>
        <v>30</v>
      </c>
      <c r="AO9" s="11">
        <f t="shared" ca="1" si="325"/>
        <v>24.149093263491078</v>
      </c>
      <c r="AP9" s="11">
        <f t="shared" ca="1" si="7"/>
        <v>24.636093263491077</v>
      </c>
      <c r="AQ9" s="11">
        <f t="shared" ca="1" si="8"/>
        <v>-25.36</v>
      </c>
      <c r="AR9" s="11">
        <f t="shared" ca="1" si="9"/>
        <v>0.49272186526982154</v>
      </c>
      <c r="AS9" s="12">
        <f t="shared" ca="1" si="10"/>
        <v>24.636093263491077</v>
      </c>
      <c r="AT9" s="12"/>
      <c r="AU9" s="12">
        <f t="shared" ca="1" si="326"/>
        <v>24.636093263491077</v>
      </c>
      <c r="AV9" s="18">
        <f t="shared" ca="1" si="11"/>
        <v>0.49272186526982154</v>
      </c>
      <c r="AX9" s="13">
        <f t="shared" ca="1" si="12"/>
        <v>24.636093263491077</v>
      </c>
      <c r="AY9" s="13">
        <f ca="1">INDEX(Totals[[#Data],[#Totals],[Car - Note]:[NONTRACKED]],MATCH(AX$1,Totals[Date],0),MATCH($C9,Totals[[#Headers],[Car - Note]:[NONTRACKED]],0))</f>
        <v>-16.361000000000001</v>
      </c>
      <c r="AZ9" s="13">
        <f t="shared" ca="1" si="327"/>
        <v>8.2750932634910761</v>
      </c>
      <c r="BA9" s="13">
        <v>30</v>
      </c>
      <c r="BB9" s="13">
        <v>50</v>
      </c>
      <c r="BC9" s="13" t="b">
        <f t="shared" ca="1" si="328"/>
        <v>0</v>
      </c>
      <c r="BD9" s="94">
        <f t="shared" si="13"/>
        <v>0</v>
      </c>
      <c r="BE9" s="13">
        <f t="shared" ca="1" si="14"/>
        <v>0</v>
      </c>
      <c r="BF9" s="13">
        <f t="shared" ca="1" si="329"/>
        <v>0</v>
      </c>
      <c r="BG9" s="94">
        <f t="shared" si="15"/>
        <v>1</v>
      </c>
      <c r="BH9" s="13">
        <f t="shared" ca="1" si="16"/>
        <v>41.724906736508927</v>
      </c>
      <c r="BI9" s="13">
        <f t="shared" ca="1" si="17"/>
        <v>30</v>
      </c>
      <c r="BJ9" s="13">
        <f t="shared" ca="1" si="330"/>
        <v>14.315784191431971</v>
      </c>
      <c r="BK9" s="13">
        <f t="shared" ca="1" si="18"/>
        <v>22.590877454923046</v>
      </c>
      <c r="BL9" s="13">
        <f t="shared" ca="1" si="19"/>
        <v>-27.41</v>
      </c>
      <c r="BM9" s="13">
        <f t="shared" ca="1" si="20"/>
        <v>0.45181754909846089</v>
      </c>
      <c r="BN9" s="12">
        <f t="shared" ca="1" si="21"/>
        <v>22.590877454923046</v>
      </c>
      <c r="BO9" s="12"/>
      <c r="BP9" s="12">
        <f t="shared" ca="1" si="331"/>
        <v>22.590877454923046</v>
      </c>
      <c r="BQ9" s="18">
        <f t="shared" ca="1" si="22"/>
        <v>0.45181754909846089</v>
      </c>
      <c r="BS9" s="19">
        <f t="shared" ca="1" si="23"/>
        <v>22.590877454923046</v>
      </c>
      <c r="BT9" s="19">
        <f ca="1">INDEX(Totals[[#Data],[#Totals],[Car - Note]:[NONTRACKED]],MATCH(BS$1,Totals[Date],0),MATCH($C9,Totals[[#Headers],[Car - Note]:[NONTRACKED]],0))</f>
        <v>-21.405999999999999</v>
      </c>
      <c r="BU9" s="19">
        <f t="shared" ca="1" si="332"/>
        <v>1.184877454923047</v>
      </c>
      <c r="BV9" s="19">
        <v>75</v>
      </c>
      <c r="BW9" s="19">
        <v>150</v>
      </c>
      <c r="BX9" s="19" t="b">
        <f t="shared" ca="1" si="333"/>
        <v>0</v>
      </c>
      <c r="BY9" s="100">
        <f t="shared" si="24"/>
        <v>0</v>
      </c>
      <c r="BZ9" s="19">
        <f t="shared" ca="1" si="25"/>
        <v>0</v>
      </c>
      <c r="CA9" s="19">
        <f t="shared" ca="1" si="334"/>
        <v>0</v>
      </c>
      <c r="CB9" s="100">
        <f t="shared" si="26"/>
        <v>1</v>
      </c>
      <c r="CC9" s="19">
        <f t="shared" ca="1" si="27"/>
        <v>148.81512254507695</v>
      </c>
      <c r="CD9" s="19">
        <f t="shared" ca="1" si="28"/>
        <v>75</v>
      </c>
      <c r="CE9" s="19">
        <f t="shared" ca="1" si="335"/>
        <v>75</v>
      </c>
      <c r="CF9" s="19">
        <f t="shared" ca="1" si="29"/>
        <v>76.184877454923054</v>
      </c>
      <c r="CG9" s="19">
        <f t="shared" ca="1" si="30"/>
        <v>-73.819999999999993</v>
      </c>
      <c r="CH9" s="19">
        <f t="shared" ca="1" si="31"/>
        <v>0.50789918303282033</v>
      </c>
      <c r="CI9" s="12">
        <f t="shared" ca="1" si="32"/>
        <v>76.184877454923054</v>
      </c>
      <c r="CJ9" s="10">
        <f t="shared" ca="1" si="470"/>
        <v>73.815122545076946</v>
      </c>
      <c r="CK9" s="12">
        <f t="shared" ca="1" si="336"/>
        <v>150</v>
      </c>
      <c r="CL9" s="18">
        <f t="shared" ca="1" si="33"/>
        <v>1</v>
      </c>
      <c r="CN9" s="11">
        <f t="shared" ca="1" si="34"/>
        <v>150</v>
      </c>
      <c r="CO9" s="11">
        <f ca="1">INDEX(Totals[[#Data],[#Totals],[Car - Note]:[NONTRACKED]],MATCH(CN$1,Totals[Date],0),MATCH($C9,Totals[[#Headers],[Car - Note]:[NONTRACKED]],0))</f>
        <v>-169.10533333333333</v>
      </c>
      <c r="CP9" s="11">
        <f t="shared" ca="1" si="337"/>
        <v>-19.105333333333334</v>
      </c>
      <c r="CQ9" s="11">
        <v>75</v>
      </c>
      <c r="CR9" s="11">
        <v>200</v>
      </c>
      <c r="CS9" s="11" t="b">
        <f t="shared" ca="1" si="338"/>
        <v>0</v>
      </c>
      <c r="CT9" s="92">
        <f t="shared" si="35"/>
        <v>0</v>
      </c>
      <c r="CU9" s="11">
        <f t="shared" ca="1" si="36"/>
        <v>0</v>
      </c>
      <c r="CV9" s="11">
        <f t="shared" ca="1" si="339"/>
        <v>0</v>
      </c>
      <c r="CW9" s="92">
        <f t="shared" si="37"/>
        <v>1</v>
      </c>
      <c r="CX9" s="11">
        <f t="shared" ca="1" si="38"/>
        <v>219.10533333333333</v>
      </c>
      <c r="CY9" s="11">
        <f t="shared" ca="1" si="39"/>
        <v>75</v>
      </c>
      <c r="CZ9" s="11">
        <f t="shared" ca="1" si="340"/>
        <v>75</v>
      </c>
      <c r="DA9" s="11">
        <f t="shared" ca="1" si="40"/>
        <v>55.894666666666666</v>
      </c>
      <c r="DB9" s="11">
        <f t="shared" ca="1" si="41"/>
        <v>-144.11000000000001</v>
      </c>
      <c r="DC9" s="11">
        <f t="shared" ca="1" si="42"/>
        <v>0.27947333333333335</v>
      </c>
      <c r="DD9" s="12">
        <f t="shared" ca="1" si="43"/>
        <v>55.894666666666666</v>
      </c>
      <c r="DE9" s="79"/>
      <c r="DF9" s="12">
        <f t="shared" ca="1" si="341"/>
        <v>55.894666666666666</v>
      </c>
      <c r="DG9" s="18">
        <f t="shared" ca="1" si="44"/>
        <v>0.27947333333333335</v>
      </c>
      <c r="DI9" s="13">
        <f t="shared" ca="1" si="45"/>
        <v>55.894666666666666</v>
      </c>
      <c r="DJ9" s="13">
        <f ca="1">INDEX(Totals[[#Data],[#Totals],[Car - Note]:[NONTRACKED]],MATCH(DI$1,Totals[Date],0),MATCH($C9,Totals[[#Headers],[Car - Note]:[NONTRACKED]],0))</f>
        <v>-20.396999999999998</v>
      </c>
      <c r="DK9" s="13">
        <f t="shared" ca="1" si="342"/>
        <v>35.497666666666667</v>
      </c>
      <c r="DL9" s="13">
        <v>75</v>
      </c>
      <c r="DM9" s="13">
        <v>200</v>
      </c>
      <c r="DN9" s="13" t="b">
        <f t="shared" ca="1" si="343"/>
        <v>0</v>
      </c>
      <c r="DO9" s="94">
        <f t="shared" si="46"/>
        <v>0</v>
      </c>
      <c r="DP9" s="13">
        <f t="shared" ca="1" si="47"/>
        <v>0</v>
      </c>
      <c r="DQ9" s="13">
        <f t="shared" ca="1" si="344"/>
        <v>0</v>
      </c>
      <c r="DR9" s="94">
        <f t="shared" si="48"/>
        <v>1</v>
      </c>
      <c r="DS9" s="13">
        <f t="shared" ca="1" si="49"/>
        <v>164.50233333333333</v>
      </c>
      <c r="DT9" s="13">
        <f t="shared" ca="1" si="50"/>
        <v>75</v>
      </c>
      <c r="DU9" s="13">
        <f t="shared" ca="1" si="345"/>
        <v>32.025973390239557</v>
      </c>
      <c r="DV9" s="13">
        <f t="shared" ca="1" si="51"/>
        <v>67.523640056906231</v>
      </c>
      <c r="DW9" s="13">
        <f t="shared" ca="1" si="52"/>
        <v>-132.47999999999999</v>
      </c>
      <c r="DX9" s="13">
        <f t="shared" ca="1" si="53"/>
        <v>0.33761820028453116</v>
      </c>
      <c r="DY9" s="12">
        <f t="shared" ca="1" si="54"/>
        <v>67.523640056906231</v>
      </c>
      <c r="DZ9" s="79"/>
      <c r="EA9" s="12">
        <f t="shared" ca="1" si="346"/>
        <v>67.523640056906231</v>
      </c>
      <c r="EB9" s="18">
        <f t="shared" ca="1" si="55"/>
        <v>0.33761820028453116</v>
      </c>
      <c r="ED9" s="19">
        <f t="shared" ca="1" si="56"/>
        <v>67.523640056906231</v>
      </c>
      <c r="EE9" s="19">
        <f ca="1">INDEX(Totals[[#Data],[#Totals],[Car - Note]:[NONTRACKED]],MATCH(ED$1,Totals[Date],0),MATCH($C9,Totals[[#Headers],[Car - Note]:[NONTRACKED]],0))</f>
        <v>-18.739333333333335</v>
      </c>
      <c r="EF9" s="19">
        <f t="shared" ca="1" si="347"/>
        <v>48.784306723572897</v>
      </c>
      <c r="EG9" s="19">
        <v>75</v>
      </c>
      <c r="EH9" s="19">
        <v>200</v>
      </c>
      <c r="EI9" s="19" t="b">
        <f t="shared" ca="1" si="348"/>
        <v>0</v>
      </c>
      <c r="EJ9" s="100">
        <f t="shared" si="57"/>
        <v>0</v>
      </c>
      <c r="EK9" s="19">
        <f t="shared" ca="1" si="58"/>
        <v>0</v>
      </c>
      <c r="EL9" s="19">
        <f t="shared" ca="1" si="349"/>
        <v>0</v>
      </c>
      <c r="EM9" s="100">
        <f t="shared" si="59"/>
        <v>1</v>
      </c>
      <c r="EN9" s="19">
        <f t="shared" ca="1" si="60"/>
        <v>151.21569327642709</v>
      </c>
      <c r="EO9" s="19">
        <f t="shared" ca="1" si="61"/>
        <v>75</v>
      </c>
      <c r="EP9" s="19">
        <f t="shared" ca="1" si="350"/>
        <v>54.66804461062781</v>
      </c>
      <c r="EQ9" s="19">
        <f t="shared" ca="1" si="62"/>
        <v>103.4523513342007</v>
      </c>
      <c r="ER9" s="19">
        <f t="shared" ca="1" si="63"/>
        <v>-96.55</v>
      </c>
      <c r="ES9" s="19">
        <f t="shared" ca="1" si="64"/>
        <v>0.51726175667100349</v>
      </c>
      <c r="ET9" s="12">
        <f t="shared" ca="1" si="65"/>
        <v>103.4523513342007</v>
      </c>
      <c r="EU9" s="79"/>
      <c r="EV9" s="12">
        <f t="shared" ca="1" si="351"/>
        <v>103.4523513342007</v>
      </c>
      <c r="EW9" s="18">
        <f t="shared" ca="1" si="66"/>
        <v>0.51726175667100349</v>
      </c>
      <c r="EY9" s="11">
        <f t="shared" ca="1" si="67"/>
        <v>103.4523513342007</v>
      </c>
      <c r="EZ9" s="11">
        <f ca="1">INDEX(Totals[[#Data],[#Totals],[Car - Note]:[NONTRACKED]],MATCH(EY$1,Totals[Date],0),MATCH($C9,Totals[[#Headers],[Car - Note]:[NONTRACKED]],0))</f>
        <v>-19.892333333333333</v>
      </c>
      <c r="FA9" s="11">
        <f t="shared" ca="1" si="352"/>
        <v>83.560018000867359</v>
      </c>
      <c r="FB9" s="11">
        <v>75</v>
      </c>
      <c r="FC9" s="11">
        <v>200</v>
      </c>
      <c r="FD9" s="11" t="b">
        <f t="shared" ca="1" si="353"/>
        <v>0</v>
      </c>
      <c r="FE9" s="92">
        <f t="shared" si="68"/>
        <v>0</v>
      </c>
      <c r="FF9" s="11">
        <f t="shared" ca="1" si="69"/>
        <v>0</v>
      </c>
      <c r="FG9" s="11">
        <f t="shared" ca="1" si="354"/>
        <v>0</v>
      </c>
      <c r="FH9" s="92">
        <f t="shared" si="70"/>
        <v>1</v>
      </c>
      <c r="FI9" s="11">
        <f t="shared" ca="1" si="71"/>
        <v>116.43998199913264</v>
      </c>
      <c r="FJ9" s="11">
        <f t="shared" ca="1" si="72"/>
        <v>75</v>
      </c>
      <c r="FK9" s="11">
        <f t="shared" ca="1" si="355"/>
        <v>32.488195932550894</v>
      </c>
      <c r="FL9" s="11">
        <f t="shared" ca="1" si="73"/>
        <v>116.04821393341825</v>
      </c>
      <c r="FM9" s="11">
        <f t="shared" ca="1" si="74"/>
        <v>-83.95</v>
      </c>
      <c r="FN9" s="11">
        <f t="shared" ca="1" si="75"/>
        <v>0.58024106966709121</v>
      </c>
      <c r="FO9" s="12">
        <f t="shared" ca="1" si="76"/>
        <v>116.04821393341825</v>
      </c>
      <c r="FP9" s="79"/>
      <c r="FQ9" s="12">
        <f t="shared" ca="1" si="356"/>
        <v>116.04821393341825</v>
      </c>
      <c r="FR9" s="18">
        <f t="shared" ca="1" si="77"/>
        <v>0.58024106966709121</v>
      </c>
      <c r="FT9" s="13">
        <f t="shared" ca="1" si="78"/>
        <v>116.04821393341825</v>
      </c>
      <c r="FU9" s="13">
        <f ca="1">INDEX(Totals[[#Data],[#Totals],[Car - Note]:[NONTRACKED]],MATCH(FT$1,Totals[Date],0),MATCH($C9,Totals[[#Headers],[Car - Note]:[NONTRACKED]],0))</f>
        <v>-20.036666666666669</v>
      </c>
      <c r="FV9" s="13">
        <f t="shared" ca="1" si="357"/>
        <v>96.011547266751592</v>
      </c>
      <c r="FW9" s="13">
        <v>75</v>
      </c>
      <c r="FX9" s="13">
        <v>200</v>
      </c>
      <c r="FY9" s="13" t="b">
        <f t="shared" ca="1" si="358"/>
        <v>0</v>
      </c>
      <c r="FZ9" s="94">
        <f t="shared" si="79"/>
        <v>0</v>
      </c>
      <c r="GA9" s="13">
        <f t="shared" ca="1" si="80"/>
        <v>0</v>
      </c>
      <c r="GB9" s="13">
        <f t="shared" ca="1" si="359"/>
        <v>0</v>
      </c>
      <c r="GC9" s="94">
        <f t="shared" si="81"/>
        <v>1</v>
      </c>
      <c r="GD9" s="13">
        <f t="shared" ca="1" si="82"/>
        <v>103.98845273324841</v>
      </c>
      <c r="GE9" s="13">
        <f t="shared" ca="1" si="83"/>
        <v>75</v>
      </c>
      <c r="GF9" s="13">
        <f t="shared" ca="1" si="360"/>
        <v>32.400099951589972</v>
      </c>
      <c r="GG9" s="13">
        <f t="shared" ca="1" si="84"/>
        <v>128.41164721834156</v>
      </c>
      <c r="GH9" s="13">
        <f t="shared" ca="1" si="85"/>
        <v>-71.59</v>
      </c>
      <c r="GI9" s="13">
        <f t="shared" ca="1" si="86"/>
        <v>0.64205823609170776</v>
      </c>
      <c r="GJ9" s="12">
        <f t="shared" ca="1" si="87"/>
        <v>128.41164721834156</v>
      </c>
      <c r="GK9" s="79"/>
      <c r="GL9" s="12">
        <f t="shared" ca="1" si="361"/>
        <v>128.41164721834156</v>
      </c>
      <c r="GM9" s="18">
        <f t="shared" ca="1" si="88"/>
        <v>0.64205823609170776</v>
      </c>
      <c r="GO9" s="19">
        <f t="shared" ca="1" si="89"/>
        <v>128.41164721834156</v>
      </c>
      <c r="GP9" s="19">
        <f ca="1">INDEX(Totals[[#Data],[#Totals],[Car - Note]:[NONTRACKED]],MATCH(GO$1,Totals[Date],0),MATCH($C9,Totals[[#Headers],[Car - Note]:[NONTRACKED]],0))</f>
        <v>-26.596333333333334</v>
      </c>
      <c r="GQ9" s="19">
        <f t="shared" ca="1" si="362"/>
        <v>101.81531388500822</v>
      </c>
      <c r="GR9" s="19">
        <v>75</v>
      </c>
      <c r="GS9" s="19">
        <v>200</v>
      </c>
      <c r="GT9" s="19" t="b">
        <f t="shared" ca="1" si="363"/>
        <v>0</v>
      </c>
      <c r="GU9" s="100">
        <f t="shared" si="90"/>
        <v>0</v>
      </c>
      <c r="GV9" s="19">
        <f t="shared" ca="1" si="91"/>
        <v>0</v>
      </c>
      <c r="GW9" s="19">
        <f t="shared" ca="1" si="364"/>
        <v>0</v>
      </c>
      <c r="GX9" s="100">
        <f t="shared" si="92"/>
        <v>1</v>
      </c>
      <c r="GY9" s="19">
        <f t="shared" ca="1" si="93"/>
        <v>98.184686114991777</v>
      </c>
      <c r="GZ9" s="19">
        <f t="shared" ca="1" si="94"/>
        <v>75</v>
      </c>
      <c r="HA9" s="19">
        <f t="shared" ca="1" si="365"/>
        <v>33.134680625698145</v>
      </c>
      <c r="HB9" s="19">
        <f t="shared" ca="1" si="95"/>
        <v>134.94999451070638</v>
      </c>
      <c r="HC9" s="19">
        <f t="shared" ca="1" si="96"/>
        <v>-65.05</v>
      </c>
      <c r="HD9" s="19">
        <f t="shared" ca="1" si="97"/>
        <v>0.67474997255353186</v>
      </c>
      <c r="HE9" s="12">
        <f t="shared" ca="1" si="98"/>
        <v>134.94999451070638</v>
      </c>
      <c r="HF9" s="79"/>
      <c r="HG9" s="12">
        <f t="shared" ca="1" si="366"/>
        <v>134.94999451070638</v>
      </c>
      <c r="HH9" s="18">
        <f t="shared" ca="1" si="99"/>
        <v>0.67474997255353186</v>
      </c>
      <c r="HJ9" s="11">
        <f t="shared" ca="1" si="100"/>
        <v>134.94999451070638</v>
      </c>
      <c r="HK9" s="11">
        <f ca="1">INDEX(Totals[[#Data],[#Totals],[Car - Note]:[NONTRACKED]],MATCH(HJ$1,Totals[Date],0),MATCH($C9,Totals[[#Headers],[Car - Note]:[NONTRACKED]],0))</f>
        <v>-54.295333333333332</v>
      </c>
      <c r="HL9" s="11">
        <f t="shared" ca="1" si="367"/>
        <v>80.654661177373043</v>
      </c>
      <c r="HM9" s="11">
        <v>75</v>
      </c>
      <c r="HN9" s="11">
        <v>200</v>
      </c>
      <c r="HO9" s="11" t="b">
        <f t="shared" ca="1" si="368"/>
        <v>0</v>
      </c>
      <c r="HP9" s="92">
        <f t="shared" si="101"/>
        <v>0</v>
      </c>
      <c r="HQ9" s="11">
        <f t="shared" ca="1" si="102"/>
        <v>0</v>
      </c>
      <c r="HR9" s="11">
        <f t="shared" ca="1" si="369"/>
        <v>0</v>
      </c>
      <c r="HS9" s="92">
        <f t="shared" si="103"/>
        <v>1</v>
      </c>
      <c r="HT9" s="11">
        <f t="shared" ca="1" si="104"/>
        <v>119.34533882262696</v>
      </c>
      <c r="HU9" s="11">
        <f t="shared" ca="1" si="105"/>
        <v>75</v>
      </c>
      <c r="HV9" s="11">
        <f t="shared" ca="1" si="370"/>
        <v>31.740241651914008</v>
      </c>
      <c r="HW9" s="11">
        <f t="shared" ca="1" si="106"/>
        <v>112.39490282928705</v>
      </c>
      <c r="HX9" s="11">
        <f t="shared" ca="1" si="107"/>
        <v>-87.61</v>
      </c>
      <c r="HY9" s="11">
        <f t="shared" ca="1" si="108"/>
        <v>0.56197451414643529</v>
      </c>
      <c r="HZ9" s="12">
        <f t="shared" ca="1" si="109"/>
        <v>112.39490282928705</v>
      </c>
      <c r="IA9" s="79"/>
      <c r="IB9" s="12">
        <f t="shared" ca="1" si="371"/>
        <v>112.39490282928705</v>
      </c>
      <c r="IC9" s="18">
        <f t="shared" ca="1" si="110"/>
        <v>0.56197451414643529</v>
      </c>
      <c r="IE9" s="13">
        <f t="shared" ca="1" si="111"/>
        <v>112.39490282928705</v>
      </c>
      <c r="IF9" s="13">
        <f ca="1">INDEX(Totals[[#Data],[#Totals],[Car - Note]:[NONTRACKED]],MATCH(IE$1,Totals[Date],0),MATCH($C9,Totals[[#Headers],[Car - Note]:[NONTRACKED]],0))</f>
        <v>-28.82866666666667</v>
      </c>
      <c r="IG9" s="13">
        <f t="shared" ca="1" si="372"/>
        <v>83.566236162620385</v>
      </c>
      <c r="IH9" s="13">
        <v>75</v>
      </c>
      <c r="II9" s="13">
        <v>200</v>
      </c>
      <c r="IJ9" s="13" t="b">
        <f t="shared" ca="1" si="373"/>
        <v>0</v>
      </c>
      <c r="IK9" s="94">
        <f t="shared" si="112"/>
        <v>0</v>
      </c>
      <c r="IL9" s="13">
        <f t="shared" ca="1" si="113"/>
        <v>0</v>
      </c>
      <c r="IM9" s="13">
        <f t="shared" ca="1" si="374"/>
        <v>0</v>
      </c>
      <c r="IN9" s="94">
        <f t="shared" si="114"/>
        <v>1</v>
      </c>
      <c r="IO9" s="13">
        <f t="shared" ca="1" si="115"/>
        <v>116.43376383737962</v>
      </c>
      <c r="IP9" s="13">
        <f t="shared" ca="1" si="116"/>
        <v>75</v>
      </c>
      <c r="IQ9" s="13">
        <f t="shared" ca="1" si="375"/>
        <v>34.644546678748974</v>
      </c>
      <c r="IR9" s="13">
        <f t="shared" ca="1" si="117"/>
        <v>118.21078284136937</v>
      </c>
      <c r="IS9" s="13">
        <f t="shared" ca="1" si="118"/>
        <v>-81.790000000000006</v>
      </c>
      <c r="IT9" s="13">
        <f t="shared" ca="1" si="119"/>
        <v>0.59105391420684683</v>
      </c>
      <c r="IU9" s="12">
        <f t="shared" ca="1" si="120"/>
        <v>118.21078284136937</v>
      </c>
      <c r="IV9" s="79">
        <v>-50</v>
      </c>
      <c r="IW9" s="12">
        <f t="shared" ca="1" si="376"/>
        <v>68.210782841369365</v>
      </c>
      <c r="IX9" s="18">
        <f t="shared" ca="1" si="121"/>
        <v>0.34105391420684683</v>
      </c>
      <c r="IZ9" s="19">
        <f t="shared" ca="1" si="122"/>
        <v>68.210782841369365</v>
      </c>
      <c r="JA9" s="19">
        <f ca="1">INDEX(Totals[[#Data],[#Totals],[Car - Note]:[NONTRACKED]],MATCH(IZ$1,Totals[Date],0),MATCH($C9,Totals[[#Headers],[Car - Note]:[NONTRACKED]],0))</f>
        <v>-36.689666666666668</v>
      </c>
      <c r="JB9" s="19">
        <f t="shared" ca="1" si="377"/>
        <v>31.521116174702698</v>
      </c>
      <c r="JC9" s="19">
        <v>75</v>
      </c>
      <c r="JD9" s="19">
        <v>200</v>
      </c>
      <c r="JE9" s="19" t="b">
        <f t="shared" ca="1" si="378"/>
        <v>0</v>
      </c>
      <c r="JF9" s="100">
        <f t="shared" si="123"/>
        <v>0</v>
      </c>
      <c r="JG9" s="19">
        <f t="shared" ca="1" si="124"/>
        <v>0</v>
      </c>
      <c r="JH9" s="19">
        <f t="shared" ca="1" si="379"/>
        <v>0</v>
      </c>
      <c r="JI9" s="100">
        <f t="shared" si="125"/>
        <v>1</v>
      </c>
      <c r="JJ9" s="19">
        <f t="shared" ca="1" si="126"/>
        <v>168.47888382529732</v>
      </c>
      <c r="JK9" s="19">
        <f t="shared" ca="1" si="127"/>
        <v>75</v>
      </c>
      <c r="JL9" s="19">
        <f t="shared" ca="1" si="380"/>
        <v>28.702107573783515</v>
      </c>
      <c r="JM9" s="19">
        <f t="shared" ca="1" si="128"/>
        <v>60.223223748486213</v>
      </c>
      <c r="JN9" s="19">
        <f t="shared" ca="1" si="129"/>
        <v>-139.78</v>
      </c>
      <c r="JO9" s="19">
        <f t="shared" ca="1" si="130"/>
        <v>0.30111611874243105</v>
      </c>
      <c r="JP9" s="12">
        <f t="shared" ca="1" si="131"/>
        <v>60.223223748486213</v>
      </c>
      <c r="JQ9" s="79"/>
      <c r="JR9" s="12">
        <f t="shared" ca="1" si="381"/>
        <v>60.223223748486213</v>
      </c>
      <c r="JS9" s="18">
        <f t="shared" ca="1" si="132"/>
        <v>0.30111611874243105</v>
      </c>
      <c r="JU9" s="11">
        <f t="shared" ca="1" si="133"/>
        <v>60.223223748486213</v>
      </c>
      <c r="JV9" s="11">
        <f ca="1">INDEX(Totals[[#Data],[#Totals],[Car - Note]:[NONTRACKED]],MATCH(JU$1,Totals[Date],0),MATCH($C9,Totals[[#Headers],[Car - Note]:[NONTRACKED]],0))</f>
        <v>-18.306666666666665</v>
      </c>
      <c r="JW9" s="11">
        <f t="shared" ca="1" si="382"/>
        <v>41.916557081819548</v>
      </c>
      <c r="JX9" s="11">
        <v>75</v>
      </c>
      <c r="JY9" s="11">
        <v>200</v>
      </c>
      <c r="JZ9" s="11" t="b">
        <f t="shared" ca="1" si="383"/>
        <v>0</v>
      </c>
      <c r="KA9" s="92">
        <f t="shared" si="134"/>
        <v>0</v>
      </c>
      <c r="KB9" s="11">
        <f t="shared" ca="1" si="135"/>
        <v>0</v>
      </c>
      <c r="KC9" s="11">
        <f t="shared" ca="1" si="384"/>
        <v>0</v>
      </c>
      <c r="KD9" s="92">
        <f t="shared" si="136"/>
        <v>1</v>
      </c>
      <c r="KE9" s="11">
        <f t="shared" ca="1" si="137"/>
        <v>158.08344291818045</v>
      </c>
      <c r="KF9" s="11">
        <f t="shared" ca="1" si="138"/>
        <v>75</v>
      </c>
      <c r="KG9" s="11">
        <f t="shared" ca="1" si="385"/>
        <v>51.873573445772429</v>
      </c>
      <c r="KH9" s="11">
        <f t="shared" ca="1" si="139"/>
        <v>93.79013052759197</v>
      </c>
      <c r="KI9" s="11">
        <f t="shared" ca="1" si="140"/>
        <v>-106.21</v>
      </c>
      <c r="KJ9" s="11">
        <f t="shared" ca="1" si="141"/>
        <v>0.46895065263795987</v>
      </c>
      <c r="KK9" s="12">
        <f t="shared" ca="1" si="142"/>
        <v>93.79013052759197</v>
      </c>
      <c r="KL9" s="79"/>
      <c r="KM9" s="12">
        <f t="shared" ca="1" si="386"/>
        <v>93.79013052759197</v>
      </c>
      <c r="KN9" s="18">
        <f t="shared" ca="1" si="143"/>
        <v>0.46895065263795987</v>
      </c>
      <c r="KP9" s="13">
        <f t="shared" ca="1" si="144"/>
        <v>93.79013052759197</v>
      </c>
      <c r="KQ9" s="13">
        <f ca="1">INDEX(Totals[[#Data],[#Totals],[Car - Note]:[NONTRACKED]],MATCH(KP$1,Totals[Date],0),MATCH($C9,Totals[[#Headers],[Car - Note]:[NONTRACKED]],0))</f>
        <v>-9.657</v>
      </c>
      <c r="KR9" s="13">
        <f t="shared" ca="1" si="387"/>
        <v>84.133130527591973</v>
      </c>
      <c r="KS9" s="13">
        <v>75</v>
      </c>
      <c r="KT9" s="13">
        <v>200</v>
      </c>
      <c r="KU9" s="13" t="b">
        <f t="shared" ca="1" si="388"/>
        <v>0</v>
      </c>
      <c r="KV9" s="94">
        <f t="shared" si="145"/>
        <v>0</v>
      </c>
      <c r="KW9" s="13">
        <f t="shared" ca="1" si="146"/>
        <v>0</v>
      </c>
      <c r="KX9" s="13">
        <f t="shared" ca="1" si="389"/>
        <v>0</v>
      </c>
      <c r="KY9" s="94">
        <f t="shared" si="147"/>
        <v>1</v>
      </c>
      <c r="KZ9" s="13">
        <f t="shared" ca="1" si="148"/>
        <v>115.86686947240803</v>
      </c>
      <c r="LA9" s="13">
        <f t="shared" ca="1" si="149"/>
        <v>75</v>
      </c>
      <c r="LB9" s="13">
        <f t="shared" ca="1" si="390"/>
        <v>57.225725688006825</v>
      </c>
      <c r="LC9" s="13">
        <f t="shared" ca="1" si="150"/>
        <v>141.35885621559879</v>
      </c>
      <c r="LD9" s="13">
        <f t="shared" ca="1" si="151"/>
        <v>-58.64</v>
      </c>
      <c r="LE9" s="13">
        <f t="shared" ca="1" si="152"/>
        <v>0.70679428107799391</v>
      </c>
      <c r="LF9" s="12">
        <f t="shared" ca="1" si="153"/>
        <v>141.35885621559879</v>
      </c>
      <c r="LG9" s="79"/>
      <c r="LH9" s="12">
        <f t="shared" ca="1" si="391"/>
        <v>141.35885621559879</v>
      </c>
      <c r="LI9" s="18">
        <f t="shared" ca="1" si="154"/>
        <v>0.70679428107799391</v>
      </c>
      <c r="LK9" s="19">
        <f t="shared" ca="1" si="155"/>
        <v>141.35885621559879</v>
      </c>
      <c r="LL9" s="19">
        <f ca="1">INDEX(Totals[[#Data],[#Totals],[Car - Note]:[NONTRACKED]],MATCH(LK$1,Totals[Date],0),MATCH($C9,Totals[[#Headers],[Car - Note]:[NONTRACKED]],0))</f>
        <v>-21.406000000000002</v>
      </c>
      <c r="LM9" s="19">
        <f t="shared" ca="1" si="392"/>
        <v>119.95285621559879</v>
      </c>
      <c r="LN9" s="19">
        <v>75</v>
      </c>
      <c r="LO9" s="19">
        <v>200</v>
      </c>
      <c r="LP9" s="19" t="b">
        <f t="shared" ca="1" si="393"/>
        <v>0</v>
      </c>
      <c r="LQ9" s="100">
        <f t="shared" si="156"/>
        <v>0</v>
      </c>
      <c r="LR9" s="19">
        <f t="shared" ca="1" si="157"/>
        <v>0</v>
      </c>
      <c r="LS9" s="19">
        <f t="shared" ca="1" si="394"/>
        <v>0</v>
      </c>
      <c r="LT9" s="100">
        <f t="shared" si="158"/>
        <v>1</v>
      </c>
      <c r="LU9" s="19">
        <f t="shared" ca="1" si="159"/>
        <v>80.047143784401214</v>
      </c>
      <c r="LV9" s="19">
        <f t="shared" ca="1" si="160"/>
        <v>75</v>
      </c>
      <c r="LW9" s="19">
        <f t="shared" ca="1" si="395"/>
        <v>47.606571360918608</v>
      </c>
      <c r="LX9" s="19">
        <f t="shared" ca="1" si="161"/>
        <v>167.55942757651741</v>
      </c>
      <c r="LY9" s="19">
        <f t="shared" ca="1" si="162"/>
        <v>-32.44</v>
      </c>
      <c r="LZ9" s="19">
        <f t="shared" ca="1" si="163"/>
        <v>0.83779713788258703</v>
      </c>
      <c r="MA9" s="12">
        <f t="shared" ca="1" si="164"/>
        <v>167.55942757651741</v>
      </c>
      <c r="MB9" s="79"/>
      <c r="MC9" s="12">
        <f t="shared" ca="1" si="396"/>
        <v>167.55942757651741</v>
      </c>
      <c r="MD9" s="18">
        <f t="shared" ca="1" si="165"/>
        <v>0.83779713788258703</v>
      </c>
      <c r="MF9" s="11">
        <f t="shared" ca="1" si="166"/>
        <v>167.55942757651741</v>
      </c>
      <c r="MG9" s="11">
        <f ca="1">INDEX(Totals[[#Data],[#Totals],[Car - Note]:[NONTRACKED]],MATCH(MF$1,Totals[Date],0),MATCH($C9,Totals[[#Headers],[Car - Note]:[NONTRACKED]],0))</f>
        <v>-61.165333333333336</v>
      </c>
      <c r="MH9" s="11">
        <f t="shared" ca="1" si="397"/>
        <v>106.39409424318407</v>
      </c>
      <c r="MI9" s="11">
        <v>75</v>
      </c>
      <c r="MJ9" s="11">
        <v>200</v>
      </c>
      <c r="MK9" s="11" t="b">
        <f t="shared" ca="1" si="398"/>
        <v>0</v>
      </c>
      <c r="ML9" s="92">
        <f t="shared" si="167"/>
        <v>0</v>
      </c>
      <c r="MM9" s="11">
        <f t="shared" ca="1" si="168"/>
        <v>0</v>
      </c>
      <c r="MN9" s="11">
        <f t="shared" ca="1" si="399"/>
        <v>0</v>
      </c>
      <c r="MO9" s="92">
        <f t="shared" si="169"/>
        <v>1</v>
      </c>
      <c r="MP9" s="11">
        <f t="shared" ca="1" si="170"/>
        <v>93.605905756815929</v>
      </c>
      <c r="MQ9" s="11">
        <f t="shared" ca="1" si="171"/>
        <v>75</v>
      </c>
      <c r="MR9" s="11">
        <f t="shared" ca="1" si="400"/>
        <v>37.55763255964122</v>
      </c>
      <c r="MS9" s="11">
        <f t="shared" ca="1" si="172"/>
        <v>143.95172680282531</v>
      </c>
      <c r="MT9" s="11">
        <f t="shared" ca="1" si="173"/>
        <v>-56.05</v>
      </c>
      <c r="MU9" s="11">
        <f t="shared" ca="1" si="174"/>
        <v>0.71975863401412654</v>
      </c>
      <c r="MV9" s="12">
        <f t="shared" ca="1" si="175"/>
        <v>143.95172680282531</v>
      </c>
      <c r="MW9" s="79">
        <v>-50</v>
      </c>
      <c r="MX9" s="12">
        <f t="shared" ca="1" si="401"/>
        <v>93.951726802825306</v>
      </c>
      <c r="MY9" s="18">
        <f t="shared" ca="1" si="176"/>
        <v>0.46975863401412654</v>
      </c>
      <c r="NA9" s="13">
        <f t="shared" ca="1" si="177"/>
        <v>93.951726802825306</v>
      </c>
      <c r="NB9" s="13">
        <f ca="1">INDEX(Totals[[#Data],[#Totals],[Car - Note]:[NONTRACKED]],MATCH(NA$1,Totals[Date],0),MATCH($C9,Totals[[#Headers],[Car - Note]:[NONTRACKED]],0))</f>
        <v>-29.448666666666668</v>
      </c>
      <c r="NC9" s="13">
        <f t="shared" ca="1" si="402"/>
        <v>64.503060136158638</v>
      </c>
      <c r="ND9" s="13">
        <v>75</v>
      </c>
      <c r="NE9" s="13">
        <v>200</v>
      </c>
      <c r="NF9" s="13" t="b">
        <f t="shared" ca="1" si="403"/>
        <v>0</v>
      </c>
      <c r="NG9" s="94">
        <f t="shared" si="178"/>
        <v>0</v>
      </c>
      <c r="NH9" s="13">
        <f t="shared" ca="1" si="179"/>
        <v>0</v>
      </c>
      <c r="NI9" s="13">
        <f t="shared" ca="1" si="404"/>
        <v>0</v>
      </c>
      <c r="NJ9" s="94">
        <f t="shared" si="180"/>
        <v>1</v>
      </c>
      <c r="NK9" s="13">
        <f t="shared" ca="1" si="181"/>
        <v>135.49693986384136</v>
      </c>
      <c r="NL9" s="13">
        <f t="shared" ca="1" si="182"/>
        <v>75</v>
      </c>
      <c r="NM9" s="13">
        <f t="shared" ca="1" si="405"/>
        <v>75</v>
      </c>
      <c r="NN9" s="13">
        <f t="shared" ca="1" si="183"/>
        <v>139.50306013615864</v>
      </c>
      <c r="NO9" s="13">
        <f t="shared" ca="1" si="184"/>
        <v>-60.5</v>
      </c>
      <c r="NP9" s="13">
        <f t="shared" ca="1" si="185"/>
        <v>0.69751530068079315</v>
      </c>
      <c r="NQ9" s="12">
        <f t="shared" ca="1" si="186"/>
        <v>139.50306013615864</v>
      </c>
      <c r="NR9" s="79"/>
      <c r="NS9" s="12">
        <f t="shared" ca="1" si="406"/>
        <v>139.50306013615864</v>
      </c>
      <c r="NT9" s="18">
        <f t="shared" ca="1" si="187"/>
        <v>0.69751530068079315</v>
      </c>
      <c r="NV9" s="19">
        <f t="shared" ca="1" si="188"/>
        <v>139.50306013615864</v>
      </c>
      <c r="NW9" s="19">
        <f ca="1">INDEX(Totals[[#Data],[#Totals],[Car - Note]:[NONTRACKED]],MATCH(NV$1,Totals[Date],0),MATCH($C9,Totals[[#Headers],[Car - Note]:[NONTRACKED]],0))</f>
        <v>-26.332666666666668</v>
      </c>
      <c r="NX9" s="19">
        <f t="shared" ca="1" si="407"/>
        <v>113.17039346949197</v>
      </c>
      <c r="NY9" s="19">
        <v>75</v>
      </c>
      <c r="NZ9" s="19">
        <v>200</v>
      </c>
      <c r="OA9" s="19" t="b">
        <f t="shared" ca="1" si="408"/>
        <v>0</v>
      </c>
      <c r="OB9" s="100">
        <f t="shared" si="189"/>
        <v>0</v>
      </c>
      <c r="OC9" s="19">
        <f t="shared" ca="1" si="190"/>
        <v>0</v>
      </c>
      <c r="OD9" s="19">
        <f t="shared" ca="1" si="409"/>
        <v>0</v>
      </c>
      <c r="OE9" s="100">
        <f t="shared" si="191"/>
        <v>1</v>
      </c>
      <c r="OF9" s="19">
        <f t="shared" ca="1" si="192"/>
        <v>86.82960653050803</v>
      </c>
      <c r="OG9" s="19">
        <f t="shared" ca="1" si="193"/>
        <v>75</v>
      </c>
      <c r="OH9" s="19">
        <f t="shared" ca="1" si="410"/>
        <v>57.848186407275875</v>
      </c>
      <c r="OI9" s="19">
        <f t="shared" ca="1" si="194"/>
        <v>171.01857987676783</v>
      </c>
      <c r="OJ9" s="19">
        <f t="shared" ca="1" si="195"/>
        <v>-28.98</v>
      </c>
      <c r="OK9" s="19">
        <f t="shared" ca="1" si="196"/>
        <v>0.85509289938383914</v>
      </c>
      <c r="OL9" s="12">
        <f t="shared" ca="1" si="197"/>
        <v>171.01857987676783</v>
      </c>
      <c r="OM9" s="79"/>
      <c r="ON9" s="12">
        <f t="shared" ca="1" si="411"/>
        <v>171.01857987676783</v>
      </c>
      <c r="OO9" s="18">
        <f t="shared" ca="1" si="198"/>
        <v>0.85509289938383914</v>
      </c>
      <c r="OQ9" s="11">
        <f t="shared" ca="1" si="199"/>
        <v>171.01857987676783</v>
      </c>
      <c r="OR9" s="11">
        <f ca="1">INDEX(Totals[[#Data],[#Totals],[Car - Note]:[NONTRACKED]],MATCH(OQ$1,Totals[Date],0),MATCH($C9,Totals[[#Headers],[Car - Note]:[NONTRACKED]],0))</f>
        <v>-46.440333333333335</v>
      </c>
      <c r="OS9" s="11">
        <f t="shared" ca="1" si="412"/>
        <v>124.57824654343449</v>
      </c>
      <c r="OT9" s="11">
        <v>75</v>
      </c>
      <c r="OU9" s="11">
        <v>200</v>
      </c>
      <c r="OV9" s="11" t="b">
        <f t="shared" ca="1" si="413"/>
        <v>0</v>
      </c>
      <c r="OW9" s="92">
        <f t="shared" si="200"/>
        <v>0</v>
      </c>
      <c r="OX9" s="11">
        <f t="shared" ca="1" si="201"/>
        <v>0</v>
      </c>
      <c r="OY9" s="11">
        <f t="shared" ca="1" si="414"/>
        <v>0</v>
      </c>
      <c r="OZ9" s="92">
        <f t="shared" si="202"/>
        <v>1</v>
      </c>
      <c r="PA9" s="11">
        <f t="shared" ca="1" si="203"/>
        <v>75.421753456565511</v>
      </c>
      <c r="PB9" s="11">
        <f t="shared" ca="1" si="204"/>
        <v>75</v>
      </c>
      <c r="PC9" s="11">
        <f t="shared" ca="1" si="415"/>
        <v>44.546666175345891</v>
      </c>
      <c r="PD9" s="11">
        <f t="shared" ca="1" si="205"/>
        <v>169.12491271878037</v>
      </c>
      <c r="PE9" s="11">
        <f t="shared" ca="1" si="206"/>
        <v>-30.88</v>
      </c>
      <c r="PF9" s="11">
        <f t="shared" ca="1" si="207"/>
        <v>0.84562456359390181</v>
      </c>
      <c r="PG9" s="12">
        <f t="shared" ca="1" si="208"/>
        <v>169.12491271878037</v>
      </c>
      <c r="PH9" s="79"/>
      <c r="PI9" s="12">
        <f t="shared" ca="1" si="416"/>
        <v>169.12491271878037</v>
      </c>
      <c r="PJ9" s="18">
        <f t="shared" ca="1" si="209"/>
        <v>0.84562456359390181</v>
      </c>
      <c r="PL9" s="13">
        <f t="shared" ca="1" si="210"/>
        <v>169.12491271878037</v>
      </c>
      <c r="PM9" s="13">
        <f ca="1">INDEX(Totals[[#Data],[#Totals],[Car - Note]:[NONTRACKED]],MATCH(PL$1,Totals[Date],0),MATCH($C9,Totals[[#Headers],[Car - Note]:[NONTRACKED]],0))</f>
        <v>-10.089333333333334</v>
      </c>
      <c r="PN9" s="13">
        <f t="shared" ca="1" si="417"/>
        <v>159.03557938544702</v>
      </c>
      <c r="PO9" s="13">
        <v>75</v>
      </c>
      <c r="PP9" s="13">
        <v>200</v>
      </c>
      <c r="PQ9" s="13" t="b">
        <f t="shared" ca="1" si="418"/>
        <v>0</v>
      </c>
      <c r="PR9" s="94">
        <f t="shared" si="211"/>
        <v>0</v>
      </c>
      <c r="PS9" s="13">
        <f t="shared" ca="1" si="212"/>
        <v>0</v>
      </c>
      <c r="PT9" s="13">
        <f t="shared" ca="1" si="419"/>
        <v>0</v>
      </c>
      <c r="PU9" s="94">
        <f t="shared" si="213"/>
        <v>1</v>
      </c>
      <c r="PV9" s="13">
        <f t="shared" ca="1" si="214"/>
        <v>40.964420614552978</v>
      </c>
      <c r="PW9" s="13">
        <f t="shared" ca="1" si="215"/>
        <v>40.964420614552978</v>
      </c>
      <c r="PX9" s="13">
        <f t="shared" ca="1" si="420"/>
        <v>28.939211719680447</v>
      </c>
      <c r="PY9" s="13">
        <f t="shared" ca="1" si="216"/>
        <v>187.97479110512748</v>
      </c>
      <c r="PZ9" s="13">
        <f t="shared" ca="1" si="217"/>
        <v>-12.03</v>
      </c>
      <c r="QA9" s="13">
        <f t="shared" ca="1" si="218"/>
        <v>0.93987395552563735</v>
      </c>
      <c r="QB9" s="12">
        <f t="shared" ca="1" si="219"/>
        <v>187.97479110512748</v>
      </c>
      <c r="QC9" s="79"/>
      <c r="QD9" s="12">
        <f t="shared" ca="1" si="421"/>
        <v>187.97479110512748</v>
      </c>
      <c r="QE9" s="18">
        <f t="shared" ca="1" si="220"/>
        <v>0.93987395552563735</v>
      </c>
      <c r="QG9" s="19">
        <f t="shared" ca="1" si="221"/>
        <v>187.97479110512748</v>
      </c>
      <c r="QH9" s="19">
        <f ca="1">INDEX(Totals[[#Data],[#Totals],[Car - Note]:[NONTRACKED]],MATCH(QG$1,Totals[Date],0),MATCH($C9,Totals[[#Headers],[Car - Note]:[NONTRACKED]],0))</f>
        <v>-16.170333333333332</v>
      </c>
      <c r="QI9" s="19">
        <f t="shared" ca="1" si="422"/>
        <v>171.80445777179415</v>
      </c>
      <c r="QJ9" s="19">
        <v>75</v>
      </c>
      <c r="QK9" s="19">
        <v>200</v>
      </c>
      <c r="QL9" s="19" t="b">
        <f t="shared" ca="1" si="423"/>
        <v>0</v>
      </c>
      <c r="QM9" s="100">
        <f t="shared" si="222"/>
        <v>0</v>
      </c>
      <c r="QN9" s="19">
        <f t="shared" ca="1" si="223"/>
        <v>0</v>
      </c>
      <c r="QO9" s="19">
        <f t="shared" ca="1" si="424"/>
        <v>0</v>
      </c>
      <c r="QP9" s="100">
        <f t="shared" si="224"/>
        <v>1</v>
      </c>
      <c r="QQ9" s="19">
        <f t="shared" ca="1" si="225"/>
        <v>28.195542228205852</v>
      </c>
      <c r="QR9" s="19">
        <f t="shared" ca="1" si="226"/>
        <v>28.195542228205852</v>
      </c>
      <c r="QS9" s="19">
        <f t="shared" ca="1" si="425"/>
        <v>19.700487237310526</v>
      </c>
      <c r="QT9" s="19">
        <f t="shared" ca="1" si="227"/>
        <v>191.50494500910469</v>
      </c>
      <c r="QU9" s="19">
        <f t="shared" ca="1" si="228"/>
        <v>-8.5</v>
      </c>
      <c r="QV9" s="19">
        <f t="shared" ca="1" si="229"/>
        <v>0.95752472504552344</v>
      </c>
      <c r="QW9" s="12">
        <f t="shared" ca="1" si="230"/>
        <v>191.50494500910469</v>
      </c>
      <c r="QX9" s="79"/>
      <c r="QY9" s="12">
        <f t="shared" ca="1" si="426"/>
        <v>191.50494500910469</v>
      </c>
      <c r="QZ9" s="18">
        <f t="shared" ca="1" si="231"/>
        <v>0.95752472504552344</v>
      </c>
      <c r="RB9" s="11">
        <f t="shared" ca="1" si="232"/>
        <v>191.50494500910469</v>
      </c>
      <c r="RC9" s="11">
        <f ca="1">INDEX(Totals[[#Data],[#Totals],[Car - Note]:[NONTRACKED]],MATCH(RB$1,Totals[Date],0),MATCH($C9,Totals[[#Headers],[Car - Note]:[NONTRACKED]],0))</f>
        <v>-32.790333333333336</v>
      </c>
      <c r="RD9" s="11">
        <f t="shared" ca="1" si="427"/>
        <v>158.71461167577135</v>
      </c>
      <c r="RE9" s="11">
        <v>75</v>
      </c>
      <c r="RF9" s="11">
        <v>200</v>
      </c>
      <c r="RG9" s="11" t="b">
        <f t="shared" ca="1" si="428"/>
        <v>0</v>
      </c>
      <c r="RH9" s="92">
        <f t="shared" si="233"/>
        <v>0</v>
      </c>
      <c r="RI9" s="11">
        <f t="shared" ca="1" si="234"/>
        <v>0</v>
      </c>
      <c r="RJ9" s="11">
        <f t="shared" ca="1" si="429"/>
        <v>0</v>
      </c>
      <c r="RK9" s="92">
        <f t="shared" si="235"/>
        <v>1</v>
      </c>
      <c r="RL9" s="11">
        <f t="shared" ca="1" si="236"/>
        <v>41.285388324228649</v>
      </c>
      <c r="RM9" s="11">
        <f t="shared" ca="1" si="237"/>
        <v>41.285388324228649</v>
      </c>
      <c r="RN9" s="11">
        <f t="shared" ca="1" si="430"/>
        <v>24.269870549341121</v>
      </c>
      <c r="RO9" s="11">
        <f t="shared" ca="1" si="238"/>
        <v>182.98448222511246</v>
      </c>
      <c r="RP9" s="11">
        <f t="shared" ca="1" si="239"/>
        <v>-17.02</v>
      </c>
      <c r="RQ9" s="11">
        <f t="shared" ca="1" si="240"/>
        <v>0.91492241112556227</v>
      </c>
      <c r="RR9" s="12">
        <f t="shared" ca="1" si="241"/>
        <v>182.98448222511246</v>
      </c>
      <c r="RS9" s="79"/>
      <c r="RT9" s="12">
        <f t="shared" ca="1" si="431"/>
        <v>182.98448222511246</v>
      </c>
      <c r="RU9" s="18">
        <f t="shared" ca="1" si="242"/>
        <v>0.91492241112556227</v>
      </c>
      <c r="RW9" s="13">
        <f t="shared" ca="1" si="243"/>
        <v>182.98448222511246</v>
      </c>
      <c r="RX9" s="13">
        <f ca="1">INDEX(Totals[[#Data],[#Totals],[Car - Note]:[NONTRACKED]],MATCH(RW$1,Totals[Date],0),MATCH($C9,Totals[[#Headers],[Car - Note]:[NONTRACKED]],0))</f>
        <v>-9.729000000000001</v>
      </c>
      <c r="RY9" s="13">
        <f t="shared" ca="1" si="432"/>
        <v>173.25548222511244</v>
      </c>
      <c r="RZ9" s="13">
        <v>75</v>
      </c>
      <c r="SA9" s="13">
        <v>200</v>
      </c>
      <c r="SB9" s="13" t="b">
        <f t="shared" ca="1" si="433"/>
        <v>0</v>
      </c>
      <c r="SC9" s="94">
        <f t="shared" si="244"/>
        <v>0</v>
      </c>
      <c r="SD9" s="13">
        <f t="shared" ca="1" si="245"/>
        <v>0</v>
      </c>
      <c r="SE9" s="13">
        <f t="shared" ca="1" si="434"/>
        <v>0</v>
      </c>
      <c r="SF9" s="94">
        <f t="shared" si="246"/>
        <v>1</v>
      </c>
      <c r="SG9" s="13">
        <f t="shared" ca="1" si="247"/>
        <v>26.744517774887555</v>
      </c>
      <c r="SH9" s="13">
        <f t="shared" ca="1" si="248"/>
        <v>26.744517774887555</v>
      </c>
      <c r="SI9" s="13">
        <f t="shared" ca="1" si="435"/>
        <v>23.471269094345683</v>
      </c>
      <c r="SJ9" s="13">
        <f t="shared" ca="1" si="249"/>
        <v>196.72675131945812</v>
      </c>
      <c r="SK9" s="13">
        <f t="shared" ca="1" si="250"/>
        <v>-3.27</v>
      </c>
      <c r="SL9" s="13">
        <f t="shared" ca="1" si="251"/>
        <v>0.98363375659729058</v>
      </c>
      <c r="SM9" s="12">
        <f t="shared" ca="1" si="252"/>
        <v>196.72675131945812</v>
      </c>
      <c r="SN9" s="79">
        <v>-12</v>
      </c>
      <c r="SO9" s="12">
        <f t="shared" ca="1" si="436"/>
        <v>184.72675131945812</v>
      </c>
      <c r="SP9" s="18">
        <f t="shared" ca="1" si="253"/>
        <v>0.92363375659729063</v>
      </c>
      <c r="SR9" s="19">
        <f t="shared" ca="1" si="254"/>
        <v>184.72675131945812</v>
      </c>
      <c r="SS9" s="19">
        <f ca="1">INDEX(Totals[[#Data],[#Totals],[Car - Note]:[NONTRACKED]],MATCH(SR$1,Totals[Date],0),MATCH($C9,Totals[[#Headers],[Car - Note]:[NONTRACKED]],0))</f>
        <v>-11.891</v>
      </c>
      <c r="ST9" s="19">
        <f t="shared" ca="1" si="437"/>
        <v>172.83575131945813</v>
      </c>
      <c r="SU9" s="19">
        <v>75</v>
      </c>
      <c r="SV9" s="19">
        <v>200</v>
      </c>
      <c r="SW9" s="19" t="b">
        <f t="shared" ca="1" si="438"/>
        <v>0</v>
      </c>
      <c r="SX9" s="100">
        <f t="shared" si="255"/>
        <v>0</v>
      </c>
      <c r="SY9" s="19">
        <f t="shared" ca="1" si="256"/>
        <v>0</v>
      </c>
      <c r="SZ9" s="19">
        <f t="shared" ca="1" si="439"/>
        <v>0</v>
      </c>
      <c r="TA9" s="100">
        <f t="shared" si="257"/>
        <v>1</v>
      </c>
      <c r="TB9" s="19">
        <f t="shared" ca="1" si="258"/>
        <v>27.164248680541874</v>
      </c>
      <c r="TC9" s="19">
        <f t="shared" ca="1" si="259"/>
        <v>27.164248680541874</v>
      </c>
      <c r="TD9" s="19">
        <f t="shared" ca="1" si="440"/>
        <v>19.737658734705075</v>
      </c>
      <c r="TE9" s="19">
        <f t="shared" ca="1" si="260"/>
        <v>192.57341005416319</v>
      </c>
      <c r="TF9" s="19">
        <f t="shared" ca="1" si="261"/>
        <v>-7.43</v>
      </c>
      <c r="TG9" s="19">
        <f t="shared" ca="1" si="262"/>
        <v>0.96286705027081598</v>
      </c>
      <c r="TH9" s="12">
        <f t="shared" ca="1" si="263"/>
        <v>192.57341005416319</v>
      </c>
      <c r="TI9" s="79"/>
      <c r="TJ9" s="12">
        <f t="shared" ca="1" si="441"/>
        <v>192.57341005416319</v>
      </c>
      <c r="TK9" s="18">
        <f t="shared" ca="1" si="264"/>
        <v>0.96286705027081598</v>
      </c>
      <c r="TM9" s="11">
        <f t="shared" ca="1" si="265"/>
        <v>192.57341005416319</v>
      </c>
      <c r="TN9" s="11">
        <f ca="1">INDEX(Totals[[#Data],[#Totals],[Car - Note]:[NONTRACKED]],MATCH(TM$1,Totals[Date],0),MATCH($C9,Totals[[#Headers],[Car - Note]:[NONTRACKED]],0))</f>
        <v>-10.81</v>
      </c>
      <c r="TO9" s="11">
        <f t="shared" ca="1" si="442"/>
        <v>181.76341005416319</v>
      </c>
      <c r="TP9" s="11">
        <v>75</v>
      </c>
      <c r="TQ9" s="11">
        <v>200</v>
      </c>
      <c r="TR9" s="11" t="b">
        <f t="shared" ca="1" si="443"/>
        <v>0</v>
      </c>
      <c r="TS9" s="92">
        <f t="shared" si="266"/>
        <v>0</v>
      </c>
      <c r="TT9" s="11">
        <f t="shared" ca="1" si="267"/>
        <v>0</v>
      </c>
      <c r="TU9" s="11">
        <f t="shared" ca="1" si="444"/>
        <v>0</v>
      </c>
      <c r="TV9" s="92">
        <f t="shared" si="268"/>
        <v>1</v>
      </c>
      <c r="TW9" s="11">
        <f t="shared" ca="1" si="269"/>
        <v>18.236589945836812</v>
      </c>
      <c r="TX9" s="11">
        <f t="shared" ca="1" si="270"/>
        <v>18.236589945836812</v>
      </c>
      <c r="TY9" s="11">
        <f t="shared" ca="1" si="445"/>
        <v>11.607731594344466</v>
      </c>
      <c r="TZ9" s="11">
        <f t="shared" ca="1" si="271"/>
        <v>193.37114164850766</v>
      </c>
      <c r="UA9" s="11">
        <f t="shared" ca="1" si="272"/>
        <v>-6.63</v>
      </c>
      <c r="UB9" s="11">
        <f t="shared" ca="1" si="273"/>
        <v>0.9668557082425383</v>
      </c>
      <c r="UC9" s="12">
        <f t="shared" ca="1" si="274"/>
        <v>193.37114164850766</v>
      </c>
      <c r="UD9" s="79">
        <v>-100</v>
      </c>
      <c r="UE9" s="12">
        <f t="shared" ca="1" si="446"/>
        <v>93.37114164850766</v>
      </c>
      <c r="UF9" s="18">
        <f t="shared" ca="1" si="275"/>
        <v>0.4668557082425383</v>
      </c>
      <c r="UH9" s="13">
        <f t="shared" ca="1" si="276"/>
        <v>93.37114164850766</v>
      </c>
      <c r="UI9" s="13">
        <f ca="1">INDEX(Totals[[#Data],[#Totals],[Car - Note]:[NONTRACKED]],MATCH(UH$1,Totals[Date],0),MATCH($C9,Totals[[#Headers],[Car - Note]:[NONTRACKED]],0))</f>
        <v>-10.089333333333334</v>
      </c>
      <c r="UJ9" s="13">
        <f t="shared" ca="1" si="447"/>
        <v>83.281808315174331</v>
      </c>
      <c r="UK9" s="13">
        <v>75</v>
      </c>
      <c r="UL9" s="13">
        <v>200</v>
      </c>
      <c r="UM9" s="13" t="b">
        <f t="shared" ca="1" si="448"/>
        <v>0</v>
      </c>
      <c r="UN9" s="94">
        <f t="shared" si="277"/>
        <v>0</v>
      </c>
      <c r="UO9" s="13">
        <f t="shared" ca="1" si="278"/>
        <v>0</v>
      </c>
      <c r="UP9" s="13">
        <f t="shared" ca="1" si="449"/>
        <v>0</v>
      </c>
      <c r="UQ9" s="94">
        <f t="shared" si="279"/>
        <v>1</v>
      </c>
      <c r="UR9" s="13">
        <f t="shared" ca="1" si="280"/>
        <v>116.71819168482567</v>
      </c>
      <c r="US9" s="13">
        <f t="shared" ca="1" si="281"/>
        <v>75</v>
      </c>
      <c r="UT9" s="13">
        <f t="shared" ca="1" si="450"/>
        <v>75</v>
      </c>
      <c r="UU9" s="13">
        <f t="shared" ca="1" si="282"/>
        <v>158.28180831517432</v>
      </c>
      <c r="UV9" s="13">
        <f t="shared" ca="1" si="283"/>
        <v>-41.72</v>
      </c>
      <c r="UW9" s="13">
        <f t="shared" ca="1" si="284"/>
        <v>0.79140904157587155</v>
      </c>
      <c r="UX9" s="12">
        <f t="shared" ca="1" si="285"/>
        <v>158.28180831517432</v>
      </c>
      <c r="UY9" s="79"/>
      <c r="UZ9" s="12">
        <f t="shared" ca="1" si="451"/>
        <v>158.28180831517432</v>
      </c>
      <c r="VA9" s="18">
        <f t="shared" ca="1" si="286"/>
        <v>0.79140904157587155</v>
      </c>
      <c r="VC9" s="19">
        <f t="shared" ca="1" si="287"/>
        <v>158.28180831517432</v>
      </c>
      <c r="VD9" s="19">
        <f ca="1">INDEX(Totals[[#Data],[#Totals],[Car - Note]:[NONTRACKED]],MATCH(VC$1,Totals[Date],0),MATCH($C9,Totals[[#Headers],[Car - Note]:[NONTRACKED]],0))</f>
        <v>-39.530666666666669</v>
      </c>
      <c r="VE9" s="19">
        <f t="shared" ca="1" si="452"/>
        <v>118.75114164850766</v>
      </c>
      <c r="VF9" s="19">
        <v>75</v>
      </c>
      <c r="VG9" s="19">
        <v>200</v>
      </c>
      <c r="VH9" s="19" t="b">
        <f t="shared" ca="1" si="453"/>
        <v>0</v>
      </c>
      <c r="VI9" s="100">
        <f t="shared" si="288"/>
        <v>0</v>
      </c>
      <c r="VJ9" s="19">
        <f t="shared" ca="1" si="289"/>
        <v>0</v>
      </c>
      <c r="VK9" s="19">
        <f t="shared" ca="1" si="454"/>
        <v>0</v>
      </c>
      <c r="VL9" s="100">
        <f t="shared" si="290"/>
        <v>1</v>
      </c>
      <c r="VM9" s="19">
        <f t="shared" ca="1" si="291"/>
        <v>81.248858351492345</v>
      </c>
      <c r="VN9" s="19">
        <f t="shared" ca="1" si="292"/>
        <v>75</v>
      </c>
      <c r="VO9" s="19">
        <f t="shared" ca="1" si="455"/>
        <v>49.720438621375912</v>
      </c>
      <c r="VP9" s="19">
        <f t="shared" ca="1" si="293"/>
        <v>168.47158026988356</v>
      </c>
      <c r="VQ9" s="19">
        <f t="shared" ca="1" si="294"/>
        <v>-31.53</v>
      </c>
      <c r="VR9" s="19">
        <f t="shared" ca="1" si="295"/>
        <v>0.84235790134941779</v>
      </c>
      <c r="VS9" s="12">
        <f t="shared" ca="1" si="296"/>
        <v>168.47158026988356</v>
      </c>
      <c r="VT9" s="79"/>
      <c r="VU9" s="12">
        <f t="shared" ca="1" si="456"/>
        <v>168.47158026988356</v>
      </c>
      <c r="VV9" s="18">
        <f t="shared" ca="1" si="297"/>
        <v>0.84235790134941779</v>
      </c>
      <c r="VX9" s="11">
        <f t="shared" ca="1" si="298"/>
        <v>168.47158026988356</v>
      </c>
      <c r="VY9" s="11">
        <f ca="1">INDEX(Totals[[#Data],[#Totals],[Car - Note]:[NONTRACKED]],MATCH(VX$1,Totals[Date],0),MATCH($C9,Totals[[#Headers],[Car - Note]:[NONTRACKED]],0))</f>
        <v>-10.449666666666667</v>
      </c>
      <c r="VZ9" s="11">
        <f t="shared" ca="1" si="457"/>
        <v>158.02191360321689</v>
      </c>
      <c r="WA9" s="11">
        <v>75</v>
      </c>
      <c r="WB9" s="11">
        <v>200</v>
      </c>
      <c r="WC9" s="11" t="b">
        <f t="shared" ca="1" si="458"/>
        <v>0</v>
      </c>
      <c r="WD9" s="92">
        <f t="shared" si="299"/>
        <v>0</v>
      </c>
      <c r="WE9" s="11">
        <f t="shared" ca="1" si="300"/>
        <v>0</v>
      </c>
      <c r="WF9" s="11">
        <f t="shared" ca="1" si="459"/>
        <v>0</v>
      </c>
      <c r="WG9" s="92">
        <f t="shared" si="301"/>
        <v>1</v>
      </c>
      <c r="WH9" s="11">
        <f t="shared" ca="1" si="302"/>
        <v>41.978086396783112</v>
      </c>
      <c r="WI9" s="11">
        <f t="shared" ca="1" si="303"/>
        <v>41.978086396783112</v>
      </c>
      <c r="WJ9" s="11">
        <f t="shared" ca="1" si="460"/>
        <v>25.068907098623718</v>
      </c>
      <c r="WK9" s="11">
        <f t="shared" ca="1" si="304"/>
        <v>183.09082070184061</v>
      </c>
      <c r="WL9" s="11">
        <f t="shared" ca="1" si="305"/>
        <v>-16.91</v>
      </c>
      <c r="WM9" s="11">
        <f t="shared" ca="1" si="306"/>
        <v>0.91545410350920309</v>
      </c>
      <c r="WN9" s="12">
        <f t="shared" ca="1" si="307"/>
        <v>183.09082070184061</v>
      </c>
      <c r="WO9" s="79"/>
      <c r="WP9" s="12">
        <f t="shared" ca="1" si="461"/>
        <v>183.09082070184061</v>
      </c>
      <c r="WQ9" s="18">
        <f t="shared" ca="1" si="308"/>
        <v>0.91545410350920309</v>
      </c>
      <c r="WS9" s="13">
        <f t="shared" ca="1" si="309"/>
        <v>183.09082070184061</v>
      </c>
      <c r="WT9" s="13">
        <f ca="1">INDEX(Totals[[#Data],[#Totals],[Car - Note]:[NONTRACKED]],MATCH(WS$1,Totals[Date],0),MATCH($C9,Totals[[#Headers],[Car - Note]:[NONTRACKED]],0))</f>
        <v>-10.81</v>
      </c>
      <c r="WU9" s="13">
        <f t="shared" ca="1" si="462"/>
        <v>172.28082070184061</v>
      </c>
      <c r="WV9" s="13">
        <v>75</v>
      </c>
      <c r="WW9" s="13">
        <v>200</v>
      </c>
      <c r="WX9" s="13" t="b">
        <f t="shared" ca="1" si="463"/>
        <v>0</v>
      </c>
      <c r="WY9" s="94">
        <f t="shared" si="310"/>
        <v>0</v>
      </c>
      <c r="WZ9" s="13">
        <f t="shared" ca="1" si="311"/>
        <v>0</v>
      </c>
      <c r="XA9" s="13">
        <f t="shared" ca="1" si="464"/>
        <v>0</v>
      </c>
      <c r="XB9" s="94">
        <f t="shared" si="312"/>
        <v>1</v>
      </c>
      <c r="XC9" s="13">
        <f t="shared" ca="1" si="313"/>
        <v>27.719179298159389</v>
      </c>
      <c r="XD9" s="13">
        <f t="shared" ca="1" si="314"/>
        <v>27.719179298159389</v>
      </c>
      <c r="XE9" s="13">
        <f t="shared" ca="1" si="465"/>
        <v>26.253277166973795</v>
      </c>
      <c r="XF9" s="13">
        <f t="shared" ca="1" si="315"/>
        <v>198.5340978688144</v>
      </c>
      <c r="XG9" s="13">
        <f t="shared" ca="1" si="316"/>
        <v>-1.47</v>
      </c>
      <c r="XH9" s="13">
        <f t="shared" ca="1" si="317"/>
        <v>0.99267048934407198</v>
      </c>
      <c r="XI9" s="12">
        <f t="shared" ca="1" si="318"/>
        <v>198.5340978688144</v>
      </c>
      <c r="XJ9" s="104">
        <f t="shared" ca="1" si="319"/>
        <v>1.4659021311856009</v>
      </c>
      <c r="XK9" s="12">
        <f t="shared" ca="1" si="466"/>
        <v>200</v>
      </c>
      <c r="XL9" s="18">
        <f t="shared" ca="1" si="320"/>
        <v>1</v>
      </c>
      <c r="XN9">
        <v>0.25</v>
      </c>
      <c r="XO9" s="103">
        <f t="shared" ca="1" si="467"/>
        <v>45.772705175460153</v>
      </c>
      <c r="XP9" s="12">
        <f t="shared" ca="1" si="468"/>
        <v>137.31811552638047</v>
      </c>
      <c r="XQ9" s="102">
        <f t="shared" ca="1" si="469"/>
        <v>0.68659057763190234</v>
      </c>
    </row>
    <row r="10" spans="1:641" x14ac:dyDescent="0.25">
      <c r="A10" s="112"/>
      <c r="B10" t="s">
        <v>9</v>
      </c>
      <c r="C10" t="s">
        <v>39</v>
      </c>
      <c r="D10" s="79">
        <v>-20</v>
      </c>
      <c r="H10" s="48">
        <v>35</v>
      </c>
      <c r="I10" s="48"/>
      <c r="J10" s="48"/>
      <c r="K10" s="48">
        <v>20</v>
      </c>
      <c r="L10" s="95">
        <v>50</v>
      </c>
      <c r="M10" s="48"/>
      <c r="N10" s="96"/>
      <c r="O10" s="48"/>
      <c r="P10" s="48"/>
      <c r="Q10" s="96"/>
      <c r="R10" s="48"/>
      <c r="S10" s="48"/>
      <c r="T10" s="48"/>
      <c r="U10" s="48"/>
      <c r="V10" s="48"/>
      <c r="W10" s="48"/>
      <c r="X10" s="48"/>
      <c r="Y10" s="48"/>
      <c r="Z10" s="48">
        <f t="shared" si="321"/>
        <v>35</v>
      </c>
      <c r="AA10" s="98">
        <f t="shared" si="0"/>
        <v>0.7</v>
      </c>
      <c r="AC10" s="11">
        <f t="shared" si="1"/>
        <v>35</v>
      </c>
      <c r="AD10" s="11">
        <f ca="1">INDEX(Totals[[#Data],[#Totals],[Car - Note]:[NONTRACKED]],MATCH(AC$1,Totals[Date],0),MATCH($C10,Totals[[#Headers],[Car - Note]:[NONTRACKED]],0))</f>
        <v>-35</v>
      </c>
      <c r="AE10" s="11">
        <f t="shared" ca="1" si="322"/>
        <v>0</v>
      </c>
      <c r="AF10" s="11">
        <v>20</v>
      </c>
      <c r="AG10" s="11">
        <v>50</v>
      </c>
      <c r="AH10" s="11" t="b">
        <f t="shared" ca="1" si="323"/>
        <v>0</v>
      </c>
      <c r="AI10" s="92">
        <f t="shared" si="2"/>
        <v>0</v>
      </c>
      <c r="AJ10" s="11">
        <f t="shared" ca="1" si="3"/>
        <v>0</v>
      </c>
      <c r="AK10" s="11">
        <f t="shared" ca="1" si="324"/>
        <v>0</v>
      </c>
      <c r="AL10" s="92">
        <f t="shared" si="4"/>
        <v>1</v>
      </c>
      <c r="AM10" s="11">
        <f t="shared" ca="1" si="5"/>
        <v>50</v>
      </c>
      <c r="AN10" s="11">
        <f t="shared" ca="1" si="6"/>
        <v>20</v>
      </c>
      <c r="AO10" s="11">
        <f t="shared" ca="1" si="325"/>
        <v>16.09939550899405</v>
      </c>
      <c r="AP10" s="11">
        <f t="shared" ca="1" si="7"/>
        <v>16.09939550899405</v>
      </c>
      <c r="AQ10" s="11">
        <f t="shared" ca="1" si="8"/>
        <v>-33.9</v>
      </c>
      <c r="AR10" s="11">
        <f t="shared" ca="1" si="9"/>
        <v>0.32198791017988099</v>
      </c>
      <c r="AS10" s="12">
        <f t="shared" ca="1" si="10"/>
        <v>16.09939550899405</v>
      </c>
      <c r="AT10" s="12"/>
      <c r="AU10" s="12">
        <f t="shared" ca="1" si="326"/>
        <v>16.09939550899405</v>
      </c>
      <c r="AV10" s="18">
        <f t="shared" ca="1" si="11"/>
        <v>0.32198791017988099</v>
      </c>
      <c r="AX10" s="13">
        <f t="shared" ca="1" si="12"/>
        <v>16.09939550899405</v>
      </c>
      <c r="AY10" s="13">
        <f ca="1">INDEX(Totals[[#Data],[#Totals],[Car - Note]:[NONTRACKED]],MATCH(AX$1,Totals[Date],0),MATCH($C10,Totals[[#Headers],[Car - Note]:[NONTRACKED]],0))</f>
        <v>0</v>
      </c>
      <c r="AZ10" s="13">
        <f t="shared" ca="1" si="327"/>
        <v>16.09939550899405</v>
      </c>
      <c r="BA10" s="13">
        <v>20</v>
      </c>
      <c r="BB10" s="13">
        <v>50</v>
      </c>
      <c r="BC10" s="13" t="b">
        <f t="shared" ca="1" si="328"/>
        <v>0</v>
      </c>
      <c r="BD10" s="94">
        <f t="shared" si="13"/>
        <v>0</v>
      </c>
      <c r="BE10" s="13">
        <f t="shared" ca="1" si="14"/>
        <v>0</v>
      </c>
      <c r="BF10" s="13">
        <f t="shared" ca="1" si="329"/>
        <v>0</v>
      </c>
      <c r="BG10" s="94">
        <f t="shared" si="15"/>
        <v>1</v>
      </c>
      <c r="BH10" s="13">
        <f t="shared" ca="1" si="16"/>
        <v>33.90060449100595</v>
      </c>
      <c r="BI10" s="13">
        <f t="shared" ca="1" si="17"/>
        <v>20</v>
      </c>
      <c r="BJ10" s="13">
        <f t="shared" ca="1" si="330"/>
        <v>9.5438561276213143</v>
      </c>
      <c r="BK10" s="13">
        <f t="shared" ca="1" si="18"/>
        <v>25.643251636615364</v>
      </c>
      <c r="BL10" s="13">
        <f t="shared" ca="1" si="19"/>
        <v>-24.36</v>
      </c>
      <c r="BM10" s="13">
        <f t="shared" ca="1" si="20"/>
        <v>0.51286503273230732</v>
      </c>
      <c r="BN10" s="12">
        <f t="shared" ca="1" si="21"/>
        <v>25.643251636615364</v>
      </c>
      <c r="BO10" s="12"/>
      <c r="BP10" s="12">
        <f t="shared" ca="1" si="331"/>
        <v>25.643251636615364</v>
      </c>
      <c r="BQ10" s="18">
        <f t="shared" ca="1" si="22"/>
        <v>0.51286503273230732</v>
      </c>
      <c r="BS10" s="19">
        <f t="shared" ca="1" si="23"/>
        <v>25.643251636615364</v>
      </c>
      <c r="BT10" s="19">
        <f ca="1">INDEX(Totals[[#Data],[#Totals],[Car - Note]:[NONTRACKED]],MATCH(BS$1,Totals[Date],0),MATCH($C10,Totals[[#Headers],[Car - Note]:[NONTRACKED]],0))</f>
        <v>-11.99</v>
      </c>
      <c r="BU10" s="19">
        <f t="shared" ca="1" si="332"/>
        <v>13.653251636615364</v>
      </c>
      <c r="BV10" s="19">
        <v>75</v>
      </c>
      <c r="BW10" s="19">
        <v>150</v>
      </c>
      <c r="BX10" s="19" t="b">
        <f t="shared" ca="1" si="333"/>
        <v>0</v>
      </c>
      <c r="BY10" s="100">
        <f t="shared" si="24"/>
        <v>0</v>
      </c>
      <c r="BZ10" s="19">
        <f t="shared" ca="1" si="25"/>
        <v>0</v>
      </c>
      <c r="CA10" s="19">
        <f t="shared" ca="1" si="334"/>
        <v>0</v>
      </c>
      <c r="CB10" s="100">
        <f t="shared" si="26"/>
        <v>1</v>
      </c>
      <c r="CC10" s="19">
        <f t="shared" ca="1" si="27"/>
        <v>136.34674836338465</v>
      </c>
      <c r="CD10" s="19">
        <f t="shared" ca="1" si="28"/>
        <v>75</v>
      </c>
      <c r="CE10" s="19">
        <f t="shared" ca="1" si="335"/>
        <v>75</v>
      </c>
      <c r="CF10" s="19">
        <f t="shared" ca="1" si="29"/>
        <v>88.653251636615366</v>
      </c>
      <c r="CG10" s="19">
        <f t="shared" ca="1" si="30"/>
        <v>-61.35</v>
      </c>
      <c r="CH10" s="19">
        <f t="shared" ca="1" si="31"/>
        <v>0.59102167757743573</v>
      </c>
      <c r="CI10" s="12">
        <f t="shared" ca="1" si="32"/>
        <v>88.653251636615366</v>
      </c>
      <c r="CJ10" s="10">
        <f t="shared" ca="1" si="470"/>
        <v>61.346748363384634</v>
      </c>
      <c r="CK10" s="12">
        <f t="shared" ca="1" si="336"/>
        <v>150</v>
      </c>
      <c r="CL10" s="18">
        <f t="shared" ca="1" si="33"/>
        <v>1</v>
      </c>
      <c r="CN10" s="11">
        <f t="shared" ca="1" si="34"/>
        <v>150</v>
      </c>
      <c r="CO10" s="11">
        <f ca="1">INDEX(Totals[[#Data],[#Totals],[Car - Note]:[NONTRACKED]],MATCH(CN$1,Totals[Date],0),MATCH($C10,Totals[[#Headers],[Car - Note]:[NONTRACKED]],0))</f>
        <v>-16.98</v>
      </c>
      <c r="CP10" s="11">
        <f t="shared" ca="1" si="337"/>
        <v>133.02000000000001</v>
      </c>
      <c r="CQ10" s="11">
        <v>75</v>
      </c>
      <c r="CR10" s="11">
        <v>200</v>
      </c>
      <c r="CS10" s="11" t="b">
        <f t="shared" ca="1" si="338"/>
        <v>0</v>
      </c>
      <c r="CT10" s="92">
        <f t="shared" si="35"/>
        <v>0</v>
      </c>
      <c r="CU10" s="11">
        <f t="shared" ca="1" si="36"/>
        <v>0</v>
      </c>
      <c r="CV10" s="11">
        <f t="shared" ca="1" si="339"/>
        <v>0</v>
      </c>
      <c r="CW10" s="92">
        <f t="shared" si="37"/>
        <v>1</v>
      </c>
      <c r="CX10" s="11">
        <f t="shared" ca="1" si="38"/>
        <v>66.97999999999999</v>
      </c>
      <c r="CY10" s="11">
        <f t="shared" ca="1" si="39"/>
        <v>66.97999999999999</v>
      </c>
      <c r="CZ10" s="11">
        <f t="shared" ca="1" si="340"/>
        <v>66.97999999999999</v>
      </c>
      <c r="DA10" s="11">
        <f t="shared" ca="1" si="40"/>
        <v>200</v>
      </c>
      <c r="DB10" s="11">
        <f t="shared" ca="1" si="41"/>
        <v>0</v>
      </c>
      <c r="DC10" s="11">
        <f t="shared" ca="1" si="42"/>
        <v>1</v>
      </c>
      <c r="DD10" s="12">
        <f t="shared" ca="1" si="43"/>
        <v>200</v>
      </c>
      <c r="DE10" s="79"/>
      <c r="DF10" s="12">
        <f t="shared" ca="1" si="341"/>
        <v>200</v>
      </c>
      <c r="DG10" s="18">
        <f t="shared" ca="1" si="44"/>
        <v>1</v>
      </c>
      <c r="DI10" s="13">
        <f t="shared" ca="1" si="45"/>
        <v>200</v>
      </c>
      <c r="DJ10" s="13">
        <f ca="1">INDEX(Totals[[#Data],[#Totals],[Car - Note]:[NONTRACKED]],MATCH(DI$1,Totals[Date],0),MATCH($C10,Totals[[#Headers],[Car - Note]:[NONTRACKED]],0))</f>
        <v>-8</v>
      </c>
      <c r="DK10" s="13">
        <f t="shared" ca="1" si="342"/>
        <v>192</v>
      </c>
      <c r="DL10" s="13">
        <v>75</v>
      </c>
      <c r="DM10" s="13">
        <v>200</v>
      </c>
      <c r="DN10" s="13" t="b">
        <f t="shared" ca="1" si="343"/>
        <v>0</v>
      </c>
      <c r="DO10" s="94">
        <f t="shared" si="46"/>
        <v>0</v>
      </c>
      <c r="DP10" s="13">
        <f t="shared" ca="1" si="47"/>
        <v>0</v>
      </c>
      <c r="DQ10" s="13">
        <f t="shared" ca="1" si="344"/>
        <v>0</v>
      </c>
      <c r="DR10" s="94">
        <f t="shared" si="48"/>
        <v>1</v>
      </c>
      <c r="DS10" s="13">
        <f t="shared" ca="1" si="49"/>
        <v>8</v>
      </c>
      <c r="DT10" s="13">
        <f t="shared" ca="1" si="50"/>
        <v>8</v>
      </c>
      <c r="DU10" s="13">
        <f t="shared" ca="1" si="345"/>
        <v>3.4161038282922189</v>
      </c>
      <c r="DV10" s="13">
        <f t="shared" ca="1" si="51"/>
        <v>195.41610382829222</v>
      </c>
      <c r="DW10" s="13">
        <f t="shared" ca="1" si="52"/>
        <v>-4.58</v>
      </c>
      <c r="DX10" s="13">
        <f t="shared" ca="1" si="53"/>
        <v>0.9770805191414611</v>
      </c>
      <c r="DY10" s="12">
        <f t="shared" ca="1" si="54"/>
        <v>195.41610382829222</v>
      </c>
      <c r="DZ10" s="79"/>
      <c r="EA10" s="12">
        <f t="shared" ca="1" si="346"/>
        <v>195.41610382829222</v>
      </c>
      <c r="EB10" s="18">
        <f t="shared" ca="1" si="55"/>
        <v>0.9770805191414611</v>
      </c>
      <c r="ED10" s="19">
        <f t="shared" ca="1" si="56"/>
        <v>195.41610382829222</v>
      </c>
      <c r="EE10" s="19">
        <f ca="1">INDEX(Totals[[#Data],[#Totals],[Car - Note]:[NONTRACKED]],MATCH(ED$1,Totals[Date],0),MATCH($C10,Totals[[#Headers],[Car - Note]:[NONTRACKED]],0))</f>
        <v>-20.02</v>
      </c>
      <c r="EF10" s="19">
        <f t="shared" ca="1" si="347"/>
        <v>175.39610382829221</v>
      </c>
      <c r="EG10" s="19">
        <v>75</v>
      </c>
      <c r="EH10" s="19">
        <v>200</v>
      </c>
      <c r="EI10" s="19" t="b">
        <f t="shared" ca="1" si="348"/>
        <v>0</v>
      </c>
      <c r="EJ10" s="100">
        <f t="shared" si="57"/>
        <v>0</v>
      </c>
      <c r="EK10" s="19">
        <f t="shared" ca="1" si="58"/>
        <v>0</v>
      </c>
      <c r="EL10" s="19">
        <f t="shared" ca="1" si="349"/>
        <v>0</v>
      </c>
      <c r="EM10" s="100">
        <f t="shared" si="59"/>
        <v>1</v>
      </c>
      <c r="EN10" s="19">
        <f t="shared" ca="1" si="60"/>
        <v>24.603896171707788</v>
      </c>
      <c r="EO10" s="19">
        <f t="shared" ca="1" si="61"/>
        <v>24.603896171707788</v>
      </c>
      <c r="EP10" s="19">
        <f t="shared" ca="1" si="350"/>
        <v>17.93395858013568</v>
      </c>
      <c r="EQ10" s="19">
        <f t="shared" ca="1" si="62"/>
        <v>193.33006240842789</v>
      </c>
      <c r="ER10" s="19">
        <f t="shared" ca="1" si="63"/>
        <v>-6.67</v>
      </c>
      <c r="ES10" s="19">
        <f t="shared" ca="1" si="64"/>
        <v>0.96665031204213947</v>
      </c>
      <c r="ET10" s="12">
        <f t="shared" ca="1" si="65"/>
        <v>193.33006240842789</v>
      </c>
      <c r="EU10" s="79"/>
      <c r="EV10" s="12">
        <f t="shared" ca="1" si="351"/>
        <v>193.33006240842789</v>
      </c>
      <c r="EW10" s="18">
        <f t="shared" ca="1" si="66"/>
        <v>0.96665031204213947</v>
      </c>
      <c r="EY10" s="11">
        <f t="shared" ca="1" si="67"/>
        <v>193.33006240842789</v>
      </c>
      <c r="EZ10" s="11">
        <f ca="1">INDEX(Totals[[#Data],[#Totals],[Car - Note]:[NONTRACKED]],MATCH(EY$1,Totals[Date],0),MATCH($C10,Totals[[#Headers],[Car - Note]:[NONTRACKED]],0))</f>
        <v>0</v>
      </c>
      <c r="FA10" s="11">
        <f t="shared" ca="1" si="352"/>
        <v>193.33006240842789</v>
      </c>
      <c r="FB10" s="11">
        <v>75</v>
      </c>
      <c r="FC10" s="11">
        <v>200</v>
      </c>
      <c r="FD10" s="11" t="b">
        <f t="shared" ca="1" si="353"/>
        <v>0</v>
      </c>
      <c r="FE10" s="92">
        <f t="shared" si="68"/>
        <v>0</v>
      </c>
      <c r="FF10" s="11">
        <f t="shared" ca="1" si="69"/>
        <v>0</v>
      </c>
      <c r="FG10" s="11">
        <f t="shared" ca="1" si="354"/>
        <v>0</v>
      </c>
      <c r="FH10" s="92">
        <f t="shared" si="70"/>
        <v>1</v>
      </c>
      <c r="FI10" s="11">
        <f t="shared" ca="1" si="71"/>
        <v>6.6699375915721077</v>
      </c>
      <c r="FJ10" s="11">
        <f t="shared" ca="1" si="72"/>
        <v>6.6699375915721077</v>
      </c>
      <c r="FK10" s="11">
        <f t="shared" ca="1" si="355"/>
        <v>2.8892565244384167</v>
      </c>
      <c r="FL10" s="11">
        <f t="shared" ca="1" si="73"/>
        <v>196.21931893286632</v>
      </c>
      <c r="FM10" s="11">
        <f t="shared" ca="1" si="74"/>
        <v>-3.78</v>
      </c>
      <c r="FN10" s="11">
        <f t="shared" ca="1" si="75"/>
        <v>0.98109659466433152</v>
      </c>
      <c r="FO10" s="12">
        <f t="shared" ca="1" si="76"/>
        <v>196.21931893286632</v>
      </c>
      <c r="FP10" s="79"/>
      <c r="FQ10" s="12">
        <f t="shared" ca="1" si="356"/>
        <v>196.21931893286632</v>
      </c>
      <c r="FR10" s="18">
        <f t="shared" ca="1" si="77"/>
        <v>0.98109659466433152</v>
      </c>
      <c r="FT10" s="13">
        <f t="shared" ca="1" si="78"/>
        <v>196.21931893286632</v>
      </c>
      <c r="FU10" s="13">
        <f ca="1">INDEX(Totals[[#Data],[#Totals],[Car - Note]:[NONTRACKED]],MATCH(FT$1,Totals[Date],0),MATCH($C10,Totals[[#Headers],[Car - Note]:[NONTRACKED]],0))</f>
        <v>-41.980000000000004</v>
      </c>
      <c r="FV10" s="13">
        <f t="shared" ca="1" si="357"/>
        <v>154.2393189328663</v>
      </c>
      <c r="FW10" s="13">
        <v>75</v>
      </c>
      <c r="FX10" s="13">
        <v>200</v>
      </c>
      <c r="FY10" s="13" t="b">
        <f t="shared" ca="1" si="358"/>
        <v>0</v>
      </c>
      <c r="FZ10" s="94">
        <f t="shared" si="79"/>
        <v>0</v>
      </c>
      <c r="GA10" s="13">
        <f t="shared" ca="1" si="80"/>
        <v>0</v>
      </c>
      <c r="GB10" s="13">
        <f t="shared" ca="1" si="359"/>
        <v>0</v>
      </c>
      <c r="GC10" s="94">
        <f t="shared" si="81"/>
        <v>1</v>
      </c>
      <c r="GD10" s="13">
        <f t="shared" ca="1" si="82"/>
        <v>45.760681067133703</v>
      </c>
      <c r="GE10" s="13">
        <f t="shared" ca="1" si="83"/>
        <v>45.760681067133703</v>
      </c>
      <c r="GF10" s="13">
        <f t="shared" ca="1" si="360"/>
        <v>19.768675205706174</v>
      </c>
      <c r="GG10" s="13">
        <f t="shared" ca="1" si="84"/>
        <v>174.00799413857249</v>
      </c>
      <c r="GH10" s="13">
        <f t="shared" ca="1" si="85"/>
        <v>-25.99</v>
      </c>
      <c r="GI10" s="13">
        <f t="shared" ca="1" si="86"/>
        <v>0.87003997069286243</v>
      </c>
      <c r="GJ10" s="12">
        <f t="shared" ca="1" si="87"/>
        <v>174.00799413857249</v>
      </c>
      <c r="GK10" s="79"/>
      <c r="GL10" s="12">
        <f t="shared" ca="1" si="361"/>
        <v>174.00799413857249</v>
      </c>
      <c r="GM10" s="18">
        <f t="shared" ca="1" si="88"/>
        <v>0.87003997069286243</v>
      </c>
      <c r="GO10" s="19">
        <f t="shared" ca="1" si="89"/>
        <v>174.00799413857249</v>
      </c>
      <c r="GP10" s="19">
        <f ca="1">INDEX(Totals[[#Data],[#Totals],[Car - Note]:[NONTRACKED]],MATCH(GO$1,Totals[Date],0),MATCH($C10,Totals[[#Headers],[Car - Note]:[NONTRACKED]],0))</f>
        <v>-29.99</v>
      </c>
      <c r="GQ10" s="19">
        <f t="shared" ca="1" si="362"/>
        <v>144.01799413857248</v>
      </c>
      <c r="GR10" s="19">
        <v>75</v>
      </c>
      <c r="GS10" s="19">
        <v>200</v>
      </c>
      <c r="GT10" s="19" t="b">
        <f t="shared" ca="1" si="363"/>
        <v>0</v>
      </c>
      <c r="GU10" s="100">
        <f t="shared" si="90"/>
        <v>0</v>
      </c>
      <c r="GV10" s="19">
        <f t="shared" ca="1" si="91"/>
        <v>0</v>
      </c>
      <c r="GW10" s="19">
        <f t="shared" ca="1" si="364"/>
        <v>0</v>
      </c>
      <c r="GX10" s="100">
        <f t="shared" si="92"/>
        <v>1</v>
      </c>
      <c r="GY10" s="19">
        <f t="shared" ca="1" si="93"/>
        <v>55.982005861427524</v>
      </c>
      <c r="GZ10" s="19">
        <f t="shared" ca="1" si="94"/>
        <v>55.982005861427524</v>
      </c>
      <c r="HA10" s="19">
        <f t="shared" ca="1" si="365"/>
        <v>24.732611800058166</v>
      </c>
      <c r="HB10" s="19">
        <f t="shared" ca="1" si="95"/>
        <v>168.75060593863066</v>
      </c>
      <c r="HC10" s="19">
        <f t="shared" ca="1" si="96"/>
        <v>-31.25</v>
      </c>
      <c r="HD10" s="19">
        <f t="shared" ca="1" si="97"/>
        <v>0.84375302969315324</v>
      </c>
      <c r="HE10" s="12">
        <f t="shared" ca="1" si="98"/>
        <v>168.75060593863066</v>
      </c>
      <c r="HF10" s="79"/>
      <c r="HG10" s="12">
        <f t="shared" ca="1" si="366"/>
        <v>168.75060593863066</v>
      </c>
      <c r="HH10" s="18">
        <f t="shared" ca="1" si="99"/>
        <v>0.84375302969315324</v>
      </c>
      <c r="HJ10" s="11">
        <f t="shared" ca="1" si="100"/>
        <v>168.75060593863066</v>
      </c>
      <c r="HK10" s="11">
        <f ca="1">INDEX(Totals[[#Data],[#Totals],[Car - Note]:[NONTRACKED]],MATCH(HJ$1,Totals[Date],0),MATCH($C10,Totals[[#Headers],[Car - Note]:[NONTRACKED]],0))</f>
        <v>-42.97</v>
      </c>
      <c r="HL10" s="11">
        <f t="shared" ca="1" si="367"/>
        <v>125.78060593863066</v>
      </c>
      <c r="HM10" s="11">
        <v>75</v>
      </c>
      <c r="HN10" s="11">
        <v>200</v>
      </c>
      <c r="HO10" s="11" t="b">
        <f t="shared" ca="1" si="368"/>
        <v>0</v>
      </c>
      <c r="HP10" s="92">
        <f t="shared" si="101"/>
        <v>0</v>
      </c>
      <c r="HQ10" s="11">
        <f t="shared" ca="1" si="102"/>
        <v>0</v>
      </c>
      <c r="HR10" s="11">
        <f t="shared" ca="1" si="369"/>
        <v>0</v>
      </c>
      <c r="HS10" s="92">
        <f t="shared" si="103"/>
        <v>1</v>
      </c>
      <c r="HT10" s="11">
        <f t="shared" ca="1" si="104"/>
        <v>74.219394061369343</v>
      </c>
      <c r="HU10" s="11">
        <f t="shared" ca="1" si="105"/>
        <v>74.219394061369343</v>
      </c>
      <c r="HV10" s="11">
        <f t="shared" ca="1" si="370"/>
        <v>31.409886703553259</v>
      </c>
      <c r="HW10" s="11">
        <f t="shared" ca="1" si="106"/>
        <v>157.19049264218393</v>
      </c>
      <c r="HX10" s="11">
        <f t="shared" ca="1" si="107"/>
        <v>-42.81</v>
      </c>
      <c r="HY10" s="11">
        <f t="shared" ca="1" si="108"/>
        <v>0.78595246321091961</v>
      </c>
      <c r="HZ10" s="12">
        <f t="shared" ca="1" si="109"/>
        <v>157.19049264218393</v>
      </c>
      <c r="IA10" s="79"/>
      <c r="IB10" s="12">
        <f t="shared" ca="1" si="371"/>
        <v>157.19049264218393</v>
      </c>
      <c r="IC10" s="18">
        <f t="shared" ca="1" si="110"/>
        <v>0.78595246321091961</v>
      </c>
      <c r="IE10" s="13">
        <f t="shared" ca="1" si="111"/>
        <v>157.19049264218393</v>
      </c>
      <c r="IF10" s="13">
        <f ca="1">INDEX(Totals[[#Data],[#Totals],[Car - Note]:[NONTRACKED]],MATCH(IE$1,Totals[Date],0),MATCH($C10,Totals[[#Headers],[Car - Note]:[NONTRACKED]],0))</f>
        <v>-19.989999999999998</v>
      </c>
      <c r="IG10" s="13">
        <f t="shared" ca="1" si="372"/>
        <v>137.20049264218392</v>
      </c>
      <c r="IH10" s="13">
        <v>75</v>
      </c>
      <c r="II10" s="13">
        <v>200</v>
      </c>
      <c r="IJ10" s="13" t="b">
        <f t="shared" ca="1" si="373"/>
        <v>0</v>
      </c>
      <c r="IK10" s="94">
        <f t="shared" si="112"/>
        <v>0</v>
      </c>
      <c r="IL10" s="13">
        <f t="shared" ca="1" si="113"/>
        <v>0</v>
      </c>
      <c r="IM10" s="13">
        <f t="shared" ca="1" si="374"/>
        <v>0</v>
      </c>
      <c r="IN10" s="94">
        <f t="shared" si="114"/>
        <v>1</v>
      </c>
      <c r="IO10" s="13">
        <f t="shared" ca="1" si="115"/>
        <v>62.799507357816083</v>
      </c>
      <c r="IP10" s="13">
        <f t="shared" ca="1" si="116"/>
        <v>62.799507357816083</v>
      </c>
      <c r="IQ10" s="13">
        <f t="shared" ca="1" si="375"/>
        <v>29.008806187470654</v>
      </c>
      <c r="IR10" s="13">
        <f t="shared" ca="1" si="117"/>
        <v>166.20929882965459</v>
      </c>
      <c r="IS10" s="13">
        <f t="shared" ca="1" si="118"/>
        <v>-33.79</v>
      </c>
      <c r="IT10" s="13">
        <f t="shared" ca="1" si="119"/>
        <v>0.83104649414827292</v>
      </c>
      <c r="IU10" s="12">
        <f t="shared" ca="1" si="120"/>
        <v>166.20929882965459</v>
      </c>
      <c r="IV10" s="79">
        <v>-50</v>
      </c>
      <c r="IW10" s="12">
        <f t="shared" ca="1" si="376"/>
        <v>116.20929882965459</v>
      </c>
      <c r="IX10" s="18">
        <f t="shared" ca="1" si="121"/>
        <v>0.58104649414827292</v>
      </c>
      <c r="IZ10" s="19">
        <f t="shared" ca="1" si="122"/>
        <v>116.20929882965459</v>
      </c>
      <c r="JA10" s="19">
        <f ca="1">INDEX(Totals[[#Data],[#Totals],[Car - Note]:[NONTRACKED]],MATCH(IZ$1,Totals[Date],0),MATCH($C10,Totals[[#Headers],[Car - Note]:[NONTRACKED]],0))</f>
        <v>-114.46</v>
      </c>
      <c r="JB10" s="19">
        <f t="shared" ca="1" si="377"/>
        <v>1.7492988296545917</v>
      </c>
      <c r="JC10" s="19">
        <v>75</v>
      </c>
      <c r="JD10" s="19">
        <v>200</v>
      </c>
      <c r="JE10" s="19" t="b">
        <f t="shared" ca="1" si="378"/>
        <v>0</v>
      </c>
      <c r="JF10" s="100">
        <f t="shared" si="123"/>
        <v>0</v>
      </c>
      <c r="JG10" s="19">
        <f t="shared" ca="1" si="124"/>
        <v>0</v>
      </c>
      <c r="JH10" s="19">
        <f t="shared" ca="1" si="379"/>
        <v>0</v>
      </c>
      <c r="JI10" s="100">
        <f t="shared" si="125"/>
        <v>1</v>
      </c>
      <c r="JJ10" s="19">
        <f t="shared" ca="1" si="126"/>
        <v>198.25070117034539</v>
      </c>
      <c r="JK10" s="19">
        <f t="shared" ca="1" si="127"/>
        <v>75</v>
      </c>
      <c r="JL10" s="19">
        <f t="shared" ca="1" si="380"/>
        <v>28.702107573783515</v>
      </c>
      <c r="JM10" s="19">
        <f t="shared" ca="1" si="128"/>
        <v>30.451406403438106</v>
      </c>
      <c r="JN10" s="19">
        <f t="shared" ca="1" si="129"/>
        <v>-169.55</v>
      </c>
      <c r="JO10" s="19">
        <f t="shared" ca="1" si="130"/>
        <v>0.15225703201719054</v>
      </c>
      <c r="JP10" s="12">
        <f t="shared" ca="1" si="131"/>
        <v>30.451406403438106</v>
      </c>
      <c r="JQ10" s="79">
        <v>-25</v>
      </c>
      <c r="JR10" s="12">
        <f t="shared" ca="1" si="381"/>
        <v>5.4514064034381065</v>
      </c>
      <c r="JS10" s="18">
        <f t="shared" ca="1" si="132"/>
        <v>2.7257032017190531E-2</v>
      </c>
      <c r="JU10" s="11">
        <f t="shared" ca="1" si="133"/>
        <v>5.4514064034381065</v>
      </c>
      <c r="JV10" s="11">
        <f ca="1">INDEX(Totals[[#Data],[#Totals],[Car - Note]:[NONTRACKED]],MATCH(JU$1,Totals[Date],0),MATCH($C10,Totals[[#Headers],[Car - Note]:[NONTRACKED]],0))</f>
        <v>-37.840000000000003</v>
      </c>
      <c r="JW10" s="11">
        <f t="shared" ca="1" si="382"/>
        <v>-32.388593596561897</v>
      </c>
      <c r="JX10" s="11">
        <v>75</v>
      </c>
      <c r="JY10" s="11">
        <v>200</v>
      </c>
      <c r="JZ10" s="11" t="b">
        <f t="shared" ca="1" si="383"/>
        <v>0</v>
      </c>
      <c r="KA10" s="92">
        <f t="shared" si="134"/>
        <v>0</v>
      </c>
      <c r="KB10" s="11">
        <f t="shared" ca="1" si="135"/>
        <v>0</v>
      </c>
      <c r="KC10" s="11">
        <f t="shared" ca="1" si="384"/>
        <v>0</v>
      </c>
      <c r="KD10" s="92">
        <f t="shared" si="136"/>
        <v>1</v>
      </c>
      <c r="KE10" s="11">
        <f t="shared" ca="1" si="137"/>
        <v>232.38859359656189</v>
      </c>
      <c r="KF10" s="11">
        <f t="shared" ca="1" si="138"/>
        <v>75</v>
      </c>
      <c r="KG10" s="11">
        <f t="shared" ca="1" si="385"/>
        <v>51.873573445772429</v>
      </c>
      <c r="KH10" s="11">
        <f t="shared" ca="1" si="139"/>
        <v>19.484979849210532</v>
      </c>
      <c r="KI10" s="11">
        <f t="shared" ca="1" si="140"/>
        <v>-180.52</v>
      </c>
      <c r="KJ10" s="11">
        <f t="shared" ca="1" si="141"/>
        <v>9.742489924605266E-2</v>
      </c>
      <c r="KK10" s="12">
        <f t="shared" ca="1" si="142"/>
        <v>19.484979849210532</v>
      </c>
      <c r="KL10" s="79"/>
      <c r="KM10" s="12">
        <f t="shared" ca="1" si="386"/>
        <v>19.484979849210532</v>
      </c>
      <c r="KN10" s="18">
        <f t="shared" ca="1" si="143"/>
        <v>9.742489924605266E-2</v>
      </c>
      <c r="KP10" s="13">
        <f t="shared" ca="1" si="144"/>
        <v>19.484979849210532</v>
      </c>
      <c r="KQ10" s="13">
        <f ca="1">INDEX(Totals[[#Data],[#Totals],[Car - Note]:[NONTRACKED]],MATCH(KP$1,Totals[Date],0),MATCH($C10,Totals[[#Headers],[Car - Note]:[NONTRACKED]],0))</f>
        <v>-6.11</v>
      </c>
      <c r="KR10" s="13">
        <f t="shared" ca="1" si="387"/>
        <v>13.374979849210533</v>
      </c>
      <c r="KS10" s="13">
        <v>75</v>
      </c>
      <c r="KT10" s="13">
        <v>200</v>
      </c>
      <c r="KU10" s="13" t="b">
        <f t="shared" ca="1" si="388"/>
        <v>0</v>
      </c>
      <c r="KV10" s="94">
        <f t="shared" si="145"/>
        <v>0</v>
      </c>
      <c r="KW10" s="13">
        <f t="shared" ca="1" si="146"/>
        <v>0</v>
      </c>
      <c r="KX10" s="13">
        <f t="shared" ca="1" si="389"/>
        <v>0</v>
      </c>
      <c r="KY10" s="94">
        <f t="shared" si="147"/>
        <v>1</v>
      </c>
      <c r="KZ10" s="13">
        <f t="shared" ca="1" si="148"/>
        <v>186.62502015078945</v>
      </c>
      <c r="LA10" s="13">
        <f t="shared" ca="1" si="149"/>
        <v>75</v>
      </c>
      <c r="LB10" s="13">
        <f t="shared" ca="1" si="390"/>
        <v>57.225725688006825</v>
      </c>
      <c r="LC10" s="13">
        <f t="shared" ca="1" si="150"/>
        <v>70.600705537217351</v>
      </c>
      <c r="LD10" s="13">
        <f t="shared" ca="1" si="151"/>
        <v>-129.4</v>
      </c>
      <c r="LE10" s="13">
        <f t="shared" ca="1" si="152"/>
        <v>0.35300352768608678</v>
      </c>
      <c r="LF10" s="12">
        <f t="shared" ca="1" si="153"/>
        <v>70.600705537217351</v>
      </c>
      <c r="LG10" s="79"/>
      <c r="LH10" s="12">
        <f t="shared" ca="1" si="391"/>
        <v>70.600705537217351</v>
      </c>
      <c r="LI10" s="18">
        <f t="shared" ca="1" si="154"/>
        <v>0.35300352768608678</v>
      </c>
      <c r="LK10" s="19">
        <f t="shared" ca="1" si="155"/>
        <v>70.600705537217351</v>
      </c>
      <c r="LL10" s="19">
        <f ca="1">INDEX(Totals[[#Data],[#Totals],[Car - Note]:[NONTRACKED]],MATCH(LK$1,Totals[Date],0),MATCH($C10,Totals[[#Headers],[Car - Note]:[NONTRACKED]],0))</f>
        <v>0</v>
      </c>
      <c r="LM10" s="19">
        <f t="shared" ca="1" si="392"/>
        <v>70.600705537217351</v>
      </c>
      <c r="LN10" s="19">
        <v>75</v>
      </c>
      <c r="LO10" s="19">
        <v>200</v>
      </c>
      <c r="LP10" s="19" t="b">
        <f t="shared" ca="1" si="393"/>
        <v>0</v>
      </c>
      <c r="LQ10" s="100">
        <f t="shared" si="156"/>
        <v>0</v>
      </c>
      <c r="LR10" s="19">
        <f t="shared" ca="1" si="157"/>
        <v>0</v>
      </c>
      <c r="LS10" s="19">
        <f t="shared" ca="1" si="394"/>
        <v>0</v>
      </c>
      <c r="LT10" s="100">
        <f t="shared" si="158"/>
        <v>1</v>
      </c>
      <c r="LU10" s="19">
        <f t="shared" ca="1" si="159"/>
        <v>129.39929446278265</v>
      </c>
      <c r="LV10" s="19">
        <f t="shared" ca="1" si="160"/>
        <v>75</v>
      </c>
      <c r="LW10" s="19">
        <f t="shared" ca="1" si="395"/>
        <v>47.606571360918608</v>
      </c>
      <c r="LX10" s="19">
        <f t="shared" ca="1" si="161"/>
        <v>118.20727689813596</v>
      </c>
      <c r="LY10" s="19">
        <f t="shared" ca="1" si="162"/>
        <v>-81.790000000000006</v>
      </c>
      <c r="LZ10" s="19">
        <f t="shared" ca="1" si="163"/>
        <v>0.59103638449067974</v>
      </c>
      <c r="MA10" s="12">
        <f t="shared" ca="1" si="164"/>
        <v>118.20727689813596</v>
      </c>
      <c r="MB10" s="79"/>
      <c r="MC10" s="12">
        <f t="shared" ca="1" si="396"/>
        <v>118.20727689813596</v>
      </c>
      <c r="MD10" s="18">
        <f t="shared" ca="1" si="165"/>
        <v>0.59103638449067974</v>
      </c>
      <c r="MF10" s="11">
        <f t="shared" ca="1" si="166"/>
        <v>118.20727689813596</v>
      </c>
      <c r="MG10" s="11">
        <f ca="1">INDEX(Totals[[#Data],[#Totals],[Car - Note]:[NONTRACKED]],MATCH(MF$1,Totals[Date],0),MATCH($C10,Totals[[#Headers],[Car - Note]:[NONTRACKED]],0))</f>
        <v>0</v>
      </c>
      <c r="MH10" s="11">
        <f t="shared" ca="1" si="397"/>
        <v>118.20727689813596</v>
      </c>
      <c r="MI10" s="11">
        <v>75</v>
      </c>
      <c r="MJ10" s="11">
        <v>200</v>
      </c>
      <c r="MK10" s="11" t="b">
        <f t="shared" ca="1" si="398"/>
        <v>0</v>
      </c>
      <c r="ML10" s="92">
        <f t="shared" si="167"/>
        <v>0</v>
      </c>
      <c r="MM10" s="11">
        <f t="shared" ca="1" si="168"/>
        <v>0</v>
      </c>
      <c r="MN10" s="11">
        <f t="shared" ca="1" si="399"/>
        <v>0</v>
      </c>
      <c r="MO10" s="92">
        <f t="shared" si="169"/>
        <v>1</v>
      </c>
      <c r="MP10" s="11">
        <f t="shared" ca="1" si="170"/>
        <v>81.792723101864041</v>
      </c>
      <c r="MQ10" s="11">
        <f t="shared" ca="1" si="171"/>
        <v>75</v>
      </c>
      <c r="MR10" s="11">
        <f t="shared" ca="1" si="400"/>
        <v>37.55763255964122</v>
      </c>
      <c r="MS10" s="11">
        <f t="shared" ca="1" si="172"/>
        <v>155.76490945777718</v>
      </c>
      <c r="MT10" s="11">
        <f t="shared" ca="1" si="173"/>
        <v>-44.24</v>
      </c>
      <c r="MU10" s="11">
        <f t="shared" ca="1" si="174"/>
        <v>0.77882454728888595</v>
      </c>
      <c r="MV10" s="12">
        <f t="shared" ca="1" si="175"/>
        <v>155.76490945777718</v>
      </c>
      <c r="MW10" s="79">
        <v>-60</v>
      </c>
      <c r="MX10" s="12">
        <f t="shared" ca="1" si="401"/>
        <v>95.764909457777179</v>
      </c>
      <c r="MY10" s="18">
        <f t="shared" ca="1" si="176"/>
        <v>0.4788245472888859</v>
      </c>
      <c r="NA10" s="13">
        <f t="shared" ca="1" si="177"/>
        <v>95.764909457777179</v>
      </c>
      <c r="NB10" s="13">
        <f ca="1">INDEX(Totals[[#Data],[#Totals],[Car - Note]:[NONTRACKED]],MATCH(NA$1,Totals[Date],0),MATCH($C10,Totals[[#Headers],[Car - Note]:[NONTRACKED]],0))</f>
        <v>-10.19</v>
      </c>
      <c r="NC10" s="13">
        <f t="shared" ca="1" si="402"/>
        <v>85.574909457777181</v>
      </c>
      <c r="ND10" s="13">
        <v>75</v>
      </c>
      <c r="NE10" s="13">
        <v>200</v>
      </c>
      <c r="NF10" s="13" t="b">
        <f t="shared" ca="1" si="403"/>
        <v>0</v>
      </c>
      <c r="NG10" s="94">
        <f t="shared" si="178"/>
        <v>0</v>
      </c>
      <c r="NH10" s="13">
        <f t="shared" ca="1" si="179"/>
        <v>0</v>
      </c>
      <c r="NI10" s="13">
        <f t="shared" ca="1" si="404"/>
        <v>0</v>
      </c>
      <c r="NJ10" s="94">
        <f t="shared" si="180"/>
        <v>1</v>
      </c>
      <c r="NK10" s="13">
        <f t="shared" ca="1" si="181"/>
        <v>114.42509054222282</v>
      </c>
      <c r="NL10" s="13">
        <f t="shared" ca="1" si="182"/>
        <v>75</v>
      </c>
      <c r="NM10" s="13">
        <f t="shared" ca="1" si="405"/>
        <v>75</v>
      </c>
      <c r="NN10" s="13">
        <f t="shared" ca="1" si="183"/>
        <v>160.57490945777718</v>
      </c>
      <c r="NO10" s="13">
        <f t="shared" ca="1" si="184"/>
        <v>-39.43</v>
      </c>
      <c r="NP10" s="13">
        <f t="shared" ca="1" si="185"/>
        <v>0.80287454728888585</v>
      </c>
      <c r="NQ10" s="12">
        <f t="shared" ca="1" si="186"/>
        <v>160.57490945777718</v>
      </c>
      <c r="NR10" s="79"/>
      <c r="NS10" s="12">
        <f t="shared" ca="1" si="406"/>
        <v>160.57490945777718</v>
      </c>
      <c r="NT10" s="18">
        <f t="shared" ca="1" si="187"/>
        <v>0.80287454728888585</v>
      </c>
      <c r="NV10" s="19">
        <f t="shared" ca="1" si="188"/>
        <v>160.57490945777718</v>
      </c>
      <c r="NW10" s="19">
        <f ca="1">INDEX(Totals[[#Data],[#Totals],[Car - Note]:[NONTRACKED]],MATCH(NV$1,Totals[Date],0),MATCH($C10,Totals[[#Headers],[Car - Note]:[NONTRACKED]],0))</f>
        <v>-43.29</v>
      </c>
      <c r="NX10" s="19">
        <f t="shared" ca="1" si="407"/>
        <v>117.28490945777719</v>
      </c>
      <c r="NY10" s="19">
        <v>75</v>
      </c>
      <c r="NZ10" s="19">
        <v>200</v>
      </c>
      <c r="OA10" s="19" t="b">
        <f t="shared" ca="1" si="408"/>
        <v>0</v>
      </c>
      <c r="OB10" s="100">
        <f t="shared" si="189"/>
        <v>0</v>
      </c>
      <c r="OC10" s="19">
        <f t="shared" ca="1" si="190"/>
        <v>0</v>
      </c>
      <c r="OD10" s="19">
        <f t="shared" ca="1" si="409"/>
        <v>0</v>
      </c>
      <c r="OE10" s="100">
        <f t="shared" si="191"/>
        <v>1</v>
      </c>
      <c r="OF10" s="19">
        <f t="shared" ca="1" si="192"/>
        <v>82.715090542222811</v>
      </c>
      <c r="OG10" s="19">
        <f t="shared" ca="1" si="193"/>
        <v>75</v>
      </c>
      <c r="OH10" s="19">
        <f t="shared" ca="1" si="410"/>
        <v>57.848186407275875</v>
      </c>
      <c r="OI10" s="19">
        <f t="shared" ca="1" si="194"/>
        <v>175.13309586505306</v>
      </c>
      <c r="OJ10" s="19">
        <f t="shared" ca="1" si="195"/>
        <v>-24.87</v>
      </c>
      <c r="OK10" s="19">
        <f t="shared" ca="1" si="196"/>
        <v>0.87566547932526528</v>
      </c>
      <c r="OL10" s="12">
        <f t="shared" ca="1" si="197"/>
        <v>175.13309586505306</v>
      </c>
      <c r="OM10" s="79"/>
      <c r="ON10" s="12">
        <f t="shared" ca="1" si="411"/>
        <v>175.13309586505306</v>
      </c>
      <c r="OO10" s="18">
        <f t="shared" ca="1" si="198"/>
        <v>0.87566547932526528</v>
      </c>
      <c r="OQ10" s="11">
        <f t="shared" ca="1" si="199"/>
        <v>175.13309586505306</v>
      </c>
      <c r="OR10" s="11">
        <f ca="1">INDEX(Totals[[#Data],[#Totals],[Car - Note]:[NONTRACKED]],MATCH(OQ$1,Totals[Date],0),MATCH($C10,Totals[[#Headers],[Car - Note]:[NONTRACKED]],0))</f>
        <v>-2.2400000000000002</v>
      </c>
      <c r="OS10" s="11">
        <f t="shared" ca="1" si="412"/>
        <v>172.89309586505306</v>
      </c>
      <c r="OT10" s="11">
        <v>75</v>
      </c>
      <c r="OU10" s="11">
        <v>200</v>
      </c>
      <c r="OV10" s="11" t="b">
        <f t="shared" ca="1" si="413"/>
        <v>0</v>
      </c>
      <c r="OW10" s="92">
        <f t="shared" si="200"/>
        <v>0</v>
      </c>
      <c r="OX10" s="11">
        <f t="shared" ca="1" si="201"/>
        <v>0</v>
      </c>
      <c r="OY10" s="11">
        <f t="shared" ca="1" si="414"/>
        <v>0</v>
      </c>
      <c r="OZ10" s="92">
        <f t="shared" si="202"/>
        <v>1</v>
      </c>
      <c r="PA10" s="11">
        <f t="shared" ca="1" si="203"/>
        <v>27.106904134946944</v>
      </c>
      <c r="PB10" s="11">
        <f t="shared" ca="1" si="204"/>
        <v>27.106904134946944</v>
      </c>
      <c r="PC10" s="11">
        <f t="shared" ca="1" si="415"/>
        <v>16.100296127287795</v>
      </c>
      <c r="PD10" s="11">
        <f t="shared" ca="1" si="205"/>
        <v>188.99339199234086</v>
      </c>
      <c r="PE10" s="11">
        <f t="shared" ca="1" si="206"/>
        <v>-11.01</v>
      </c>
      <c r="PF10" s="11">
        <f t="shared" ca="1" si="207"/>
        <v>0.94496695996170432</v>
      </c>
      <c r="PG10" s="12">
        <f t="shared" ca="1" si="208"/>
        <v>188.99339199234086</v>
      </c>
      <c r="PH10" s="79"/>
      <c r="PI10" s="12">
        <f t="shared" ca="1" si="416"/>
        <v>188.99339199234086</v>
      </c>
      <c r="PJ10" s="18">
        <f t="shared" ca="1" si="209"/>
        <v>0.94496695996170432</v>
      </c>
      <c r="PL10" s="13">
        <f t="shared" ca="1" si="210"/>
        <v>188.99339199234086</v>
      </c>
      <c r="PM10" s="13">
        <f ca="1">INDEX(Totals[[#Data],[#Totals],[Car - Note]:[NONTRACKED]],MATCH(PL$1,Totals[Date],0),MATCH($C10,Totals[[#Headers],[Car - Note]:[NONTRACKED]],0))</f>
        <v>0</v>
      </c>
      <c r="PN10" s="13">
        <f t="shared" ca="1" si="417"/>
        <v>188.99339199234086</v>
      </c>
      <c r="PO10" s="13">
        <v>75</v>
      </c>
      <c r="PP10" s="13">
        <v>200</v>
      </c>
      <c r="PQ10" s="13" t="b">
        <f t="shared" ca="1" si="418"/>
        <v>0</v>
      </c>
      <c r="PR10" s="94">
        <f t="shared" si="211"/>
        <v>0</v>
      </c>
      <c r="PS10" s="13">
        <f t="shared" ca="1" si="212"/>
        <v>0</v>
      </c>
      <c r="PT10" s="13">
        <f t="shared" ca="1" si="419"/>
        <v>0</v>
      </c>
      <c r="PU10" s="94">
        <f t="shared" si="213"/>
        <v>1</v>
      </c>
      <c r="PV10" s="13">
        <f t="shared" ca="1" si="214"/>
        <v>11.006608007659139</v>
      </c>
      <c r="PW10" s="13">
        <f t="shared" ca="1" si="215"/>
        <v>11.006608007659139</v>
      </c>
      <c r="PX10" s="13">
        <f t="shared" ca="1" si="420"/>
        <v>7.7755904922043504</v>
      </c>
      <c r="PY10" s="13">
        <f t="shared" ca="1" si="216"/>
        <v>196.76898248454521</v>
      </c>
      <c r="PZ10" s="13">
        <f t="shared" ca="1" si="217"/>
        <v>-3.23</v>
      </c>
      <c r="QA10" s="13">
        <f t="shared" ca="1" si="218"/>
        <v>0.98384491242272598</v>
      </c>
      <c r="QB10" s="12">
        <f t="shared" ca="1" si="219"/>
        <v>196.76898248454521</v>
      </c>
      <c r="QC10" s="79"/>
      <c r="QD10" s="12">
        <f t="shared" ca="1" si="421"/>
        <v>196.76898248454521</v>
      </c>
      <c r="QE10" s="18">
        <f t="shared" ca="1" si="220"/>
        <v>0.98384491242272598</v>
      </c>
      <c r="QG10" s="19">
        <f t="shared" ca="1" si="221"/>
        <v>196.76898248454521</v>
      </c>
      <c r="QH10" s="19">
        <f ca="1">INDEX(Totals[[#Data],[#Totals],[Car - Note]:[NONTRACKED]],MATCH(QG$1,Totals[Date],0),MATCH($C10,Totals[[#Headers],[Car - Note]:[NONTRACKED]],0))</f>
        <v>0</v>
      </c>
      <c r="QI10" s="19">
        <f t="shared" ca="1" si="422"/>
        <v>196.76898248454521</v>
      </c>
      <c r="QJ10" s="19">
        <v>75</v>
      </c>
      <c r="QK10" s="19">
        <v>200</v>
      </c>
      <c r="QL10" s="19" t="b">
        <f t="shared" ca="1" si="423"/>
        <v>0</v>
      </c>
      <c r="QM10" s="100">
        <f t="shared" si="222"/>
        <v>0</v>
      </c>
      <c r="QN10" s="19">
        <f t="shared" ca="1" si="223"/>
        <v>0</v>
      </c>
      <c r="QO10" s="19">
        <f t="shared" ca="1" si="424"/>
        <v>0</v>
      </c>
      <c r="QP10" s="100">
        <f t="shared" si="224"/>
        <v>1</v>
      </c>
      <c r="QQ10" s="19">
        <f t="shared" ca="1" si="225"/>
        <v>3.2310175154547949</v>
      </c>
      <c r="QR10" s="19">
        <f t="shared" ca="1" si="226"/>
        <v>3.2310175154547949</v>
      </c>
      <c r="QS10" s="19">
        <f t="shared" ca="1" si="425"/>
        <v>2.257541947998718</v>
      </c>
      <c r="QT10" s="19">
        <f t="shared" ca="1" si="227"/>
        <v>199.02652443254394</v>
      </c>
      <c r="QU10" s="19">
        <f t="shared" ca="1" si="228"/>
        <v>-0.97</v>
      </c>
      <c r="QV10" s="19">
        <f t="shared" ca="1" si="229"/>
        <v>0.99513262216271969</v>
      </c>
      <c r="QW10" s="12">
        <f t="shared" ca="1" si="230"/>
        <v>199.02652443254394</v>
      </c>
      <c r="QX10" s="79"/>
      <c r="QY10" s="12">
        <f t="shared" ca="1" si="426"/>
        <v>199.02652443254394</v>
      </c>
      <c r="QZ10" s="18">
        <f t="shared" ca="1" si="231"/>
        <v>0.99513262216271969</v>
      </c>
      <c r="RB10" s="11">
        <f t="shared" ca="1" si="232"/>
        <v>199.02652443254394</v>
      </c>
      <c r="RC10" s="11">
        <f ca="1">INDEX(Totals[[#Data],[#Totals],[Car - Note]:[NONTRACKED]],MATCH(RB$1,Totals[Date],0),MATCH($C10,Totals[[#Headers],[Car - Note]:[NONTRACKED]],0))</f>
        <v>0</v>
      </c>
      <c r="RD10" s="11">
        <f t="shared" ca="1" si="427"/>
        <v>199.02652443254394</v>
      </c>
      <c r="RE10" s="11">
        <v>75</v>
      </c>
      <c r="RF10" s="11">
        <v>200</v>
      </c>
      <c r="RG10" s="11" t="b">
        <f t="shared" ca="1" si="428"/>
        <v>0</v>
      </c>
      <c r="RH10" s="92">
        <f t="shared" si="233"/>
        <v>0</v>
      </c>
      <c r="RI10" s="11">
        <f t="shared" ca="1" si="234"/>
        <v>0</v>
      </c>
      <c r="RJ10" s="11">
        <f t="shared" ca="1" si="429"/>
        <v>0</v>
      </c>
      <c r="RK10" s="92">
        <f t="shared" si="235"/>
        <v>1</v>
      </c>
      <c r="RL10" s="11">
        <f t="shared" ca="1" si="236"/>
        <v>0.97347556745606312</v>
      </c>
      <c r="RM10" s="11">
        <f t="shared" ca="1" si="237"/>
        <v>0.97347556745606312</v>
      </c>
      <c r="RN10" s="11">
        <f t="shared" ca="1" si="430"/>
        <v>0.57226362556071364</v>
      </c>
      <c r="RO10" s="11">
        <f t="shared" ca="1" si="238"/>
        <v>199.59878805810465</v>
      </c>
      <c r="RP10" s="11">
        <f t="shared" ca="1" si="239"/>
        <v>-0.4</v>
      </c>
      <c r="RQ10" s="11">
        <f t="shared" ca="1" si="240"/>
        <v>0.99799394029052324</v>
      </c>
      <c r="RR10" s="12">
        <f t="shared" ca="1" si="241"/>
        <v>199.59878805810465</v>
      </c>
      <c r="RS10" s="79"/>
      <c r="RT10" s="12">
        <f t="shared" ca="1" si="431"/>
        <v>199.59878805810465</v>
      </c>
      <c r="RU10" s="18">
        <f t="shared" ca="1" si="242"/>
        <v>0.99799394029052324</v>
      </c>
      <c r="RW10" s="13">
        <f t="shared" ca="1" si="243"/>
        <v>199.59878805810465</v>
      </c>
      <c r="RX10" s="13">
        <f ca="1">INDEX(Totals[[#Data],[#Totals],[Car - Note]:[NONTRACKED]],MATCH(RW$1,Totals[Date],0),MATCH($C10,Totals[[#Headers],[Car - Note]:[NONTRACKED]],0))</f>
        <v>-68.759999999999991</v>
      </c>
      <c r="RY10" s="13">
        <f t="shared" ca="1" si="432"/>
        <v>130.83878805810465</v>
      </c>
      <c r="RZ10" s="13">
        <v>75</v>
      </c>
      <c r="SA10" s="13">
        <v>200</v>
      </c>
      <c r="SB10" s="13" t="b">
        <f t="shared" ca="1" si="433"/>
        <v>0</v>
      </c>
      <c r="SC10" s="94">
        <f t="shared" si="244"/>
        <v>0</v>
      </c>
      <c r="SD10" s="13">
        <f t="shared" ca="1" si="245"/>
        <v>0</v>
      </c>
      <c r="SE10" s="13">
        <f t="shared" ca="1" si="434"/>
        <v>0</v>
      </c>
      <c r="SF10" s="94">
        <f t="shared" si="246"/>
        <v>1</v>
      </c>
      <c r="SG10" s="13">
        <f t="shared" ca="1" si="247"/>
        <v>69.161211941895345</v>
      </c>
      <c r="SH10" s="13">
        <f t="shared" ca="1" si="248"/>
        <v>69.161211941895345</v>
      </c>
      <c r="SI10" s="13">
        <f t="shared" ca="1" si="435"/>
        <v>60.696604442183656</v>
      </c>
      <c r="SJ10" s="13">
        <f t="shared" ca="1" si="249"/>
        <v>191.53539250028831</v>
      </c>
      <c r="SK10" s="13">
        <f t="shared" ca="1" si="250"/>
        <v>-8.4600000000000009</v>
      </c>
      <c r="SL10" s="13">
        <f t="shared" ca="1" si="251"/>
        <v>0.95767696250144152</v>
      </c>
      <c r="SM10" s="12">
        <f t="shared" ca="1" si="252"/>
        <v>191.53539250028831</v>
      </c>
      <c r="SN10" s="79">
        <v>-12</v>
      </c>
      <c r="SO10" s="12">
        <f t="shared" ca="1" si="436"/>
        <v>179.53539250028831</v>
      </c>
      <c r="SP10" s="18">
        <f t="shared" ca="1" si="253"/>
        <v>0.89767696250144158</v>
      </c>
      <c r="SR10" s="19">
        <f t="shared" ca="1" si="254"/>
        <v>179.53539250028831</v>
      </c>
      <c r="SS10" s="19">
        <f ca="1">INDEX(Totals[[#Data],[#Totals],[Car - Note]:[NONTRACKED]],MATCH(SR$1,Totals[Date],0),MATCH($C10,Totals[[#Headers],[Car - Note]:[NONTRACKED]],0))</f>
        <v>0</v>
      </c>
      <c r="ST10" s="19">
        <f t="shared" ca="1" si="437"/>
        <v>179.53539250028831</v>
      </c>
      <c r="SU10" s="19">
        <v>75</v>
      </c>
      <c r="SV10" s="19">
        <v>200</v>
      </c>
      <c r="SW10" s="19" t="b">
        <f t="shared" ca="1" si="438"/>
        <v>0</v>
      </c>
      <c r="SX10" s="100">
        <f t="shared" si="255"/>
        <v>0</v>
      </c>
      <c r="SY10" s="19">
        <f t="shared" ca="1" si="256"/>
        <v>0</v>
      </c>
      <c r="SZ10" s="19">
        <f t="shared" ca="1" si="439"/>
        <v>0</v>
      </c>
      <c r="TA10" s="100">
        <f t="shared" si="257"/>
        <v>1</v>
      </c>
      <c r="TB10" s="19">
        <f t="shared" ca="1" si="258"/>
        <v>20.46460749971169</v>
      </c>
      <c r="TC10" s="19">
        <f t="shared" ca="1" si="259"/>
        <v>20.46460749971169</v>
      </c>
      <c r="TD10" s="19">
        <f t="shared" ca="1" si="440"/>
        <v>14.869670931054735</v>
      </c>
      <c r="TE10" s="19">
        <f t="shared" ca="1" si="260"/>
        <v>194.40506343134305</v>
      </c>
      <c r="TF10" s="19">
        <f t="shared" ca="1" si="261"/>
        <v>-5.59</v>
      </c>
      <c r="TG10" s="19">
        <f t="shared" ca="1" si="262"/>
        <v>0.97202531715671525</v>
      </c>
      <c r="TH10" s="12">
        <f t="shared" ca="1" si="263"/>
        <v>194.40506343134305</v>
      </c>
      <c r="TI10" s="79"/>
      <c r="TJ10" s="12">
        <f t="shared" ca="1" si="441"/>
        <v>194.40506343134305</v>
      </c>
      <c r="TK10" s="18">
        <f t="shared" ca="1" si="264"/>
        <v>0.97202531715671525</v>
      </c>
      <c r="TM10" s="11">
        <f t="shared" ca="1" si="265"/>
        <v>194.40506343134305</v>
      </c>
      <c r="TN10" s="11">
        <f ca="1">INDEX(Totals[[#Data],[#Totals],[Car - Note]:[NONTRACKED]],MATCH(TM$1,Totals[Date],0),MATCH($C10,Totals[[#Headers],[Car - Note]:[NONTRACKED]],0))</f>
        <v>0</v>
      </c>
      <c r="TO10" s="11">
        <f t="shared" ca="1" si="442"/>
        <v>194.40506343134305</v>
      </c>
      <c r="TP10" s="11">
        <v>75</v>
      </c>
      <c r="TQ10" s="11">
        <v>200</v>
      </c>
      <c r="TR10" s="11" t="b">
        <f t="shared" ca="1" si="443"/>
        <v>0</v>
      </c>
      <c r="TS10" s="92">
        <f t="shared" si="266"/>
        <v>0</v>
      </c>
      <c r="TT10" s="11">
        <f t="shared" ca="1" si="267"/>
        <v>0</v>
      </c>
      <c r="TU10" s="11">
        <f t="shared" ca="1" si="444"/>
        <v>0</v>
      </c>
      <c r="TV10" s="92">
        <f t="shared" si="268"/>
        <v>1</v>
      </c>
      <c r="TW10" s="11">
        <f t="shared" ca="1" si="269"/>
        <v>5.5949365686569479</v>
      </c>
      <c r="TX10" s="11">
        <f t="shared" ca="1" si="270"/>
        <v>5.5949365686569479</v>
      </c>
      <c r="TY10" s="11">
        <f t="shared" ca="1" si="445"/>
        <v>3.5612207199503598</v>
      </c>
      <c r="TZ10" s="11">
        <f t="shared" ca="1" si="271"/>
        <v>197.96628415129342</v>
      </c>
      <c r="UA10" s="11">
        <f t="shared" ca="1" si="272"/>
        <v>-2.0299999999999998</v>
      </c>
      <c r="UB10" s="11">
        <f t="shared" ca="1" si="273"/>
        <v>0.98983142075646713</v>
      </c>
      <c r="UC10" s="12">
        <f t="shared" ca="1" si="274"/>
        <v>197.96628415129342</v>
      </c>
      <c r="UD10" s="79">
        <v>-100</v>
      </c>
      <c r="UE10" s="12">
        <f t="shared" ca="1" si="446"/>
        <v>97.966284151293422</v>
      </c>
      <c r="UF10" s="18">
        <f t="shared" ca="1" si="275"/>
        <v>0.48983142075646713</v>
      </c>
      <c r="UH10" s="13">
        <f t="shared" ca="1" si="276"/>
        <v>97.966284151293422</v>
      </c>
      <c r="UI10" s="13">
        <f ca="1">INDEX(Totals[[#Data],[#Totals],[Car - Note]:[NONTRACKED]],MATCH(UH$1,Totals[Date],0),MATCH($C10,Totals[[#Headers],[Car - Note]:[NONTRACKED]],0))</f>
        <v>0</v>
      </c>
      <c r="UJ10" s="13">
        <f t="shared" ca="1" si="447"/>
        <v>97.966284151293422</v>
      </c>
      <c r="UK10" s="13">
        <v>75</v>
      </c>
      <c r="UL10" s="13">
        <v>200</v>
      </c>
      <c r="UM10" s="13" t="b">
        <f t="shared" ca="1" si="448"/>
        <v>0</v>
      </c>
      <c r="UN10" s="94">
        <f t="shared" si="277"/>
        <v>0</v>
      </c>
      <c r="UO10" s="13">
        <f t="shared" ca="1" si="278"/>
        <v>0</v>
      </c>
      <c r="UP10" s="13">
        <f t="shared" ca="1" si="449"/>
        <v>0</v>
      </c>
      <c r="UQ10" s="94">
        <f t="shared" si="279"/>
        <v>1</v>
      </c>
      <c r="UR10" s="13">
        <f t="shared" ca="1" si="280"/>
        <v>102.03371584870658</v>
      </c>
      <c r="US10" s="13">
        <f t="shared" ca="1" si="281"/>
        <v>75</v>
      </c>
      <c r="UT10" s="13">
        <f t="shared" ca="1" si="450"/>
        <v>75</v>
      </c>
      <c r="UU10" s="13">
        <f t="shared" ca="1" si="282"/>
        <v>172.96628415129342</v>
      </c>
      <c r="UV10" s="13">
        <f t="shared" ca="1" si="283"/>
        <v>-27.03</v>
      </c>
      <c r="UW10" s="13">
        <f t="shared" ca="1" si="284"/>
        <v>0.86483142075646713</v>
      </c>
      <c r="UX10" s="12">
        <f t="shared" ca="1" si="285"/>
        <v>172.96628415129342</v>
      </c>
      <c r="UY10" s="79"/>
      <c r="UZ10" s="12">
        <f t="shared" ca="1" si="451"/>
        <v>172.96628415129342</v>
      </c>
      <c r="VA10" s="18">
        <f t="shared" ca="1" si="286"/>
        <v>0.86483142075646713</v>
      </c>
      <c r="VC10" s="19">
        <f t="shared" ca="1" si="287"/>
        <v>172.96628415129342</v>
      </c>
      <c r="VD10" s="19">
        <f ca="1">INDEX(Totals[[#Data],[#Totals],[Car - Note]:[NONTRACKED]],MATCH(VC$1,Totals[Date],0),MATCH($C10,Totals[[#Headers],[Car - Note]:[NONTRACKED]],0))</f>
        <v>-46.64</v>
      </c>
      <c r="VE10" s="19">
        <f t="shared" ca="1" si="452"/>
        <v>126.32628415129342</v>
      </c>
      <c r="VF10" s="19">
        <v>75</v>
      </c>
      <c r="VG10" s="19">
        <v>200</v>
      </c>
      <c r="VH10" s="19" t="b">
        <f t="shared" ca="1" si="453"/>
        <v>0</v>
      </c>
      <c r="VI10" s="100">
        <f t="shared" si="288"/>
        <v>0</v>
      </c>
      <c r="VJ10" s="19">
        <f t="shared" ca="1" si="289"/>
        <v>0</v>
      </c>
      <c r="VK10" s="19">
        <f t="shared" ca="1" si="454"/>
        <v>0</v>
      </c>
      <c r="VL10" s="100">
        <f t="shared" si="290"/>
        <v>1</v>
      </c>
      <c r="VM10" s="19">
        <f t="shared" ca="1" si="291"/>
        <v>73.673715848706578</v>
      </c>
      <c r="VN10" s="19">
        <f t="shared" ca="1" si="292"/>
        <v>73.673715848706578</v>
      </c>
      <c r="VO10" s="19">
        <f t="shared" ca="1" si="455"/>
        <v>48.841192891524067</v>
      </c>
      <c r="VP10" s="19">
        <f t="shared" ca="1" si="293"/>
        <v>175.1674770428175</v>
      </c>
      <c r="VQ10" s="19">
        <f t="shared" ca="1" si="294"/>
        <v>-24.83</v>
      </c>
      <c r="VR10" s="19">
        <f t="shared" ca="1" si="295"/>
        <v>0.87583738521408749</v>
      </c>
      <c r="VS10" s="12">
        <f t="shared" ca="1" si="296"/>
        <v>175.1674770428175</v>
      </c>
      <c r="VT10" s="79"/>
      <c r="VU10" s="12">
        <f t="shared" ca="1" si="456"/>
        <v>175.1674770428175</v>
      </c>
      <c r="VV10" s="18">
        <f t="shared" ca="1" si="297"/>
        <v>0.87583738521408749</v>
      </c>
      <c r="VX10" s="11">
        <f t="shared" ca="1" si="298"/>
        <v>175.1674770428175</v>
      </c>
      <c r="VY10" s="11">
        <f ca="1">INDEX(Totals[[#Data],[#Totals],[Car - Note]:[NONTRACKED]],MATCH(VX$1,Totals[Date],0),MATCH($C10,Totals[[#Headers],[Car - Note]:[NONTRACKED]],0))</f>
        <v>-51.04</v>
      </c>
      <c r="VZ10" s="11">
        <f t="shared" ca="1" si="457"/>
        <v>124.1274770428175</v>
      </c>
      <c r="WA10" s="11">
        <v>75</v>
      </c>
      <c r="WB10" s="11">
        <v>200</v>
      </c>
      <c r="WC10" s="11" t="b">
        <f t="shared" ca="1" si="458"/>
        <v>0</v>
      </c>
      <c r="WD10" s="92">
        <f t="shared" si="299"/>
        <v>0</v>
      </c>
      <c r="WE10" s="11">
        <f t="shared" ca="1" si="300"/>
        <v>0</v>
      </c>
      <c r="WF10" s="11">
        <f t="shared" ca="1" si="459"/>
        <v>0</v>
      </c>
      <c r="WG10" s="92">
        <f t="shared" si="301"/>
        <v>1</v>
      </c>
      <c r="WH10" s="11">
        <f t="shared" ca="1" si="302"/>
        <v>75.872522957182497</v>
      </c>
      <c r="WI10" s="11">
        <f t="shared" ca="1" si="303"/>
        <v>75</v>
      </c>
      <c r="WJ10" s="11">
        <f t="shared" ca="1" si="460"/>
        <v>44.789274447271161</v>
      </c>
      <c r="WK10" s="11">
        <f t="shared" ca="1" si="304"/>
        <v>168.91675149008867</v>
      </c>
      <c r="WL10" s="11">
        <f t="shared" ca="1" si="305"/>
        <v>-31.08</v>
      </c>
      <c r="WM10" s="11">
        <f t="shared" ca="1" si="306"/>
        <v>0.84458375745044334</v>
      </c>
      <c r="WN10" s="12">
        <f t="shared" ca="1" si="307"/>
        <v>168.91675149008867</v>
      </c>
      <c r="WO10" s="79"/>
      <c r="WP10" s="12">
        <f t="shared" ca="1" si="461"/>
        <v>168.91675149008867</v>
      </c>
      <c r="WQ10" s="18">
        <f t="shared" ca="1" si="308"/>
        <v>0.84458375745044334</v>
      </c>
      <c r="WS10" s="13">
        <f t="shared" ca="1" si="309"/>
        <v>168.91675149008867</v>
      </c>
      <c r="WT10" s="13">
        <f ca="1">INDEX(Totals[[#Data],[#Totals],[Car - Note]:[NONTRACKED]],MATCH(WS$1,Totals[Date],0),MATCH($C10,Totals[[#Headers],[Car - Note]:[NONTRACKED]],0))</f>
        <v>0</v>
      </c>
      <c r="WU10" s="13">
        <f t="shared" ca="1" si="462"/>
        <v>168.91675149008867</v>
      </c>
      <c r="WV10" s="13">
        <v>75</v>
      </c>
      <c r="WW10" s="13">
        <v>200</v>
      </c>
      <c r="WX10" s="13" t="b">
        <f t="shared" ca="1" si="463"/>
        <v>0</v>
      </c>
      <c r="WY10" s="94">
        <f t="shared" si="310"/>
        <v>0</v>
      </c>
      <c r="WZ10" s="13">
        <f t="shared" ca="1" si="311"/>
        <v>0</v>
      </c>
      <c r="XA10" s="13">
        <f t="shared" ca="1" si="464"/>
        <v>0</v>
      </c>
      <c r="XB10" s="94">
        <f t="shared" si="312"/>
        <v>1</v>
      </c>
      <c r="XC10" s="13">
        <f t="shared" ca="1" si="313"/>
        <v>31.083248509911328</v>
      </c>
      <c r="XD10" s="13">
        <f t="shared" ca="1" si="314"/>
        <v>31.083248509911328</v>
      </c>
      <c r="XE10" s="13">
        <f t="shared" ca="1" si="465"/>
        <v>29.439440814714661</v>
      </c>
      <c r="XF10" s="13">
        <f t="shared" ca="1" si="315"/>
        <v>198.35619230480333</v>
      </c>
      <c r="XG10" s="13">
        <f t="shared" ca="1" si="316"/>
        <v>-1.64</v>
      </c>
      <c r="XH10" s="13">
        <f t="shared" ca="1" si="317"/>
        <v>0.99178096152401662</v>
      </c>
      <c r="XI10" s="12">
        <f t="shared" ca="1" si="318"/>
        <v>198.35619230480333</v>
      </c>
      <c r="XJ10" s="104">
        <f t="shared" ca="1" si="319"/>
        <v>1.6438076951966707</v>
      </c>
      <c r="XK10" s="12">
        <f t="shared" ca="1" si="466"/>
        <v>200</v>
      </c>
      <c r="XL10" s="18">
        <f t="shared" ca="1" si="320"/>
        <v>1</v>
      </c>
      <c r="XN10">
        <v>0.25</v>
      </c>
      <c r="XO10" s="103">
        <f t="shared" ca="1" si="467"/>
        <v>42.229187872522168</v>
      </c>
      <c r="XP10" s="12">
        <f t="shared" ca="1" si="468"/>
        <v>126.6875636175665</v>
      </c>
      <c r="XQ10" s="102">
        <f t="shared" ca="1" si="469"/>
        <v>0.6334378180878325</v>
      </c>
    </row>
    <row r="11" spans="1:641" x14ac:dyDescent="0.25">
      <c r="A11" s="112"/>
      <c r="B11" t="s">
        <v>9</v>
      </c>
      <c r="C11" t="s">
        <v>40</v>
      </c>
      <c r="D11" s="79">
        <v>-30</v>
      </c>
      <c r="H11" s="48">
        <v>100</v>
      </c>
      <c r="I11" s="48"/>
      <c r="J11" s="48"/>
      <c r="K11" s="48">
        <v>100</v>
      </c>
      <c r="L11" s="95">
        <v>150</v>
      </c>
      <c r="M11" s="48"/>
      <c r="N11" s="96"/>
      <c r="O11" s="48"/>
      <c r="P11" s="48"/>
      <c r="Q11" s="96"/>
      <c r="R11" s="48"/>
      <c r="S11" s="48"/>
      <c r="T11" s="48"/>
      <c r="U11" s="48"/>
      <c r="V11" s="48"/>
      <c r="W11" s="48"/>
      <c r="X11" s="48"/>
      <c r="Y11" s="48"/>
      <c r="Z11" s="48">
        <f t="shared" si="321"/>
        <v>100</v>
      </c>
      <c r="AA11" s="98">
        <f t="shared" si="0"/>
        <v>0.66666666666666663</v>
      </c>
      <c r="AC11" s="11">
        <f t="shared" si="1"/>
        <v>100</v>
      </c>
      <c r="AD11" s="11">
        <f ca="1">INDEX(Totals[[#Data],[#Totals],[Car - Note]:[NONTRACKED]],MATCH(AC$1,Totals[Date],0),MATCH($C11,Totals[[#Headers],[Car - Note]:[NONTRACKED]],0))</f>
        <v>-114.06</v>
      </c>
      <c r="AE11" s="11">
        <f t="shared" ca="1" si="322"/>
        <v>-14.060000000000002</v>
      </c>
      <c r="AF11" s="11">
        <v>100</v>
      </c>
      <c r="AG11" s="11">
        <v>150</v>
      </c>
      <c r="AH11" s="11" t="b">
        <f t="shared" ca="1" si="323"/>
        <v>0</v>
      </c>
      <c r="AI11" s="92">
        <f t="shared" si="2"/>
        <v>0</v>
      </c>
      <c r="AJ11" s="11">
        <f t="shared" ca="1" si="3"/>
        <v>0</v>
      </c>
      <c r="AK11" s="11">
        <f t="shared" ca="1" si="324"/>
        <v>0</v>
      </c>
      <c r="AL11" s="92">
        <f t="shared" si="4"/>
        <v>1</v>
      </c>
      <c r="AM11" s="11">
        <f t="shared" ca="1" si="5"/>
        <v>164.06</v>
      </c>
      <c r="AN11" s="11">
        <f t="shared" ca="1" si="6"/>
        <v>100</v>
      </c>
      <c r="AO11" s="11">
        <f t="shared" ca="1" si="325"/>
        <v>80.49697754497025</v>
      </c>
      <c r="AP11" s="11">
        <f t="shared" ca="1" si="7"/>
        <v>66.436977544970247</v>
      </c>
      <c r="AQ11" s="11">
        <f t="shared" ca="1" si="8"/>
        <v>-83.56</v>
      </c>
      <c r="AR11" s="11">
        <f t="shared" ca="1" si="9"/>
        <v>0.44291318363313498</v>
      </c>
      <c r="AS11" s="12">
        <f t="shared" ca="1" si="10"/>
        <v>66.436977544970247</v>
      </c>
      <c r="AT11" s="12"/>
      <c r="AU11" s="12">
        <f t="shared" ca="1" si="326"/>
        <v>66.436977544970247</v>
      </c>
      <c r="AV11" s="18">
        <f t="shared" ca="1" si="11"/>
        <v>0.44291318363313498</v>
      </c>
      <c r="AX11" s="13">
        <f t="shared" ca="1" si="12"/>
        <v>66.436977544970247</v>
      </c>
      <c r="AY11" s="13">
        <f ca="1">INDEX(Totals[[#Data],[#Totals],[Car - Note]:[NONTRACKED]],MATCH(AX$1,Totals[Date],0),MATCH($C11,Totals[[#Headers],[Car - Note]:[NONTRACKED]],0))</f>
        <v>-26</v>
      </c>
      <c r="AZ11" s="13">
        <f t="shared" ca="1" si="327"/>
        <v>40.436977544970247</v>
      </c>
      <c r="BA11" s="13">
        <v>100</v>
      </c>
      <c r="BB11" s="13">
        <v>150</v>
      </c>
      <c r="BC11" s="13" t="b">
        <f t="shared" ca="1" si="328"/>
        <v>0</v>
      </c>
      <c r="BD11" s="94">
        <f t="shared" si="13"/>
        <v>0</v>
      </c>
      <c r="BE11" s="13">
        <f t="shared" ca="1" si="14"/>
        <v>0</v>
      </c>
      <c r="BF11" s="13">
        <f t="shared" ca="1" si="329"/>
        <v>0</v>
      </c>
      <c r="BG11" s="94">
        <f t="shared" si="15"/>
        <v>1</v>
      </c>
      <c r="BH11" s="13">
        <f t="shared" ca="1" si="16"/>
        <v>109.56302245502975</v>
      </c>
      <c r="BI11" s="13">
        <f t="shared" ca="1" si="17"/>
        <v>100</v>
      </c>
      <c r="BJ11" s="13">
        <f t="shared" ca="1" si="330"/>
        <v>47.719280638106575</v>
      </c>
      <c r="BK11" s="13">
        <f t="shared" ca="1" si="18"/>
        <v>88.156258183076829</v>
      </c>
      <c r="BL11" s="13">
        <f t="shared" ca="1" si="19"/>
        <v>-61.84</v>
      </c>
      <c r="BM11" s="13">
        <f t="shared" ca="1" si="20"/>
        <v>0.58770838788717883</v>
      </c>
      <c r="BN11" s="12">
        <f t="shared" ca="1" si="21"/>
        <v>88.156258183076829</v>
      </c>
      <c r="BO11" s="12"/>
      <c r="BP11" s="12">
        <f t="shared" ca="1" si="331"/>
        <v>88.156258183076829</v>
      </c>
      <c r="BQ11" s="18">
        <f t="shared" ca="1" si="22"/>
        <v>0.58770838788717883</v>
      </c>
      <c r="BS11" s="19">
        <f t="shared" ca="1" si="23"/>
        <v>88.156258183076829</v>
      </c>
      <c r="BT11" s="19">
        <f ca="1">INDEX(Totals[[#Data],[#Totals],[Car - Note]:[NONTRACKED]],MATCH(BS$1,Totals[Date],0),MATCH($C11,Totals[[#Headers],[Car - Note]:[NONTRACKED]],0))</f>
        <v>-68.400000000000006</v>
      </c>
      <c r="BU11" s="19">
        <f t="shared" ca="1" si="332"/>
        <v>19.756258183076824</v>
      </c>
      <c r="BV11" s="19">
        <v>100</v>
      </c>
      <c r="BW11" s="19">
        <v>150</v>
      </c>
      <c r="BX11" s="19" t="b">
        <f t="shared" ca="1" si="333"/>
        <v>0</v>
      </c>
      <c r="BY11" s="100">
        <f t="shared" si="24"/>
        <v>0</v>
      </c>
      <c r="BZ11" s="19">
        <f t="shared" ca="1" si="25"/>
        <v>0</v>
      </c>
      <c r="CA11" s="19">
        <f t="shared" ca="1" si="334"/>
        <v>0</v>
      </c>
      <c r="CB11" s="100">
        <f t="shared" si="26"/>
        <v>1</v>
      </c>
      <c r="CC11" s="19">
        <f t="shared" ca="1" si="27"/>
        <v>130.24374181692318</v>
      </c>
      <c r="CD11" s="19">
        <f t="shared" ca="1" si="28"/>
        <v>100</v>
      </c>
      <c r="CE11" s="19">
        <f t="shared" ca="1" si="335"/>
        <v>99.999999999999986</v>
      </c>
      <c r="CF11" s="19">
        <f t="shared" ca="1" si="29"/>
        <v>119.75625818307681</v>
      </c>
      <c r="CG11" s="19">
        <f t="shared" ca="1" si="30"/>
        <v>-30.24</v>
      </c>
      <c r="CH11" s="19">
        <f t="shared" ca="1" si="31"/>
        <v>0.79837505455384539</v>
      </c>
      <c r="CI11" s="12">
        <f t="shared" ca="1" si="32"/>
        <v>119.75625818307681</v>
      </c>
      <c r="CJ11" s="10">
        <f t="shared" ca="1" si="470"/>
        <v>30.24374181692319</v>
      </c>
      <c r="CK11" s="12">
        <f t="shared" ca="1" si="336"/>
        <v>150</v>
      </c>
      <c r="CL11" s="18">
        <f t="shared" ca="1" si="33"/>
        <v>1</v>
      </c>
      <c r="CN11" s="11">
        <f t="shared" ca="1" si="34"/>
        <v>150</v>
      </c>
      <c r="CO11" s="11">
        <f ca="1">INDEX(Totals[[#Data],[#Totals],[Car - Note]:[NONTRACKED]],MATCH(CN$1,Totals[Date],0),MATCH($C11,Totals[[#Headers],[Car - Note]:[NONTRACKED]],0))</f>
        <v>-61.54</v>
      </c>
      <c r="CP11" s="11">
        <f t="shared" ca="1" si="337"/>
        <v>88.460000000000008</v>
      </c>
      <c r="CQ11" s="11">
        <v>100</v>
      </c>
      <c r="CR11" s="11">
        <v>300</v>
      </c>
      <c r="CS11" s="11" t="b">
        <f t="shared" ca="1" si="338"/>
        <v>0</v>
      </c>
      <c r="CT11" s="92">
        <f t="shared" si="35"/>
        <v>0</v>
      </c>
      <c r="CU11" s="11">
        <f t="shared" ca="1" si="36"/>
        <v>0</v>
      </c>
      <c r="CV11" s="11">
        <f t="shared" ca="1" si="339"/>
        <v>0</v>
      </c>
      <c r="CW11" s="92">
        <f t="shared" si="37"/>
        <v>1</v>
      </c>
      <c r="CX11" s="11">
        <f t="shared" ca="1" si="38"/>
        <v>211.54</v>
      </c>
      <c r="CY11" s="11">
        <f t="shared" ca="1" si="39"/>
        <v>100</v>
      </c>
      <c r="CZ11" s="11">
        <f t="shared" ca="1" si="340"/>
        <v>100</v>
      </c>
      <c r="DA11" s="11">
        <f t="shared" ca="1" si="40"/>
        <v>188.46</v>
      </c>
      <c r="DB11" s="11">
        <f t="shared" ca="1" si="41"/>
        <v>-111.54</v>
      </c>
      <c r="DC11" s="11">
        <f t="shared" ca="1" si="42"/>
        <v>0.62819999999999998</v>
      </c>
      <c r="DD11" s="12">
        <f t="shared" ca="1" si="43"/>
        <v>188.46</v>
      </c>
      <c r="DE11" s="79"/>
      <c r="DF11" s="12">
        <f t="shared" ca="1" si="341"/>
        <v>188.46</v>
      </c>
      <c r="DG11" s="18">
        <f t="shared" ca="1" si="44"/>
        <v>0.62819999999999998</v>
      </c>
      <c r="DI11" s="13">
        <f t="shared" ca="1" si="45"/>
        <v>188.46</v>
      </c>
      <c r="DJ11" s="13">
        <f ca="1">INDEX(Totals[[#Data],[#Totals],[Car - Note]:[NONTRACKED]],MATCH(DI$1,Totals[Date],0),MATCH($C11,Totals[[#Headers],[Car - Note]:[NONTRACKED]],0))</f>
        <v>-110.48</v>
      </c>
      <c r="DK11" s="13">
        <f t="shared" ca="1" si="342"/>
        <v>77.98</v>
      </c>
      <c r="DL11" s="13">
        <v>100</v>
      </c>
      <c r="DM11" s="13">
        <v>300</v>
      </c>
      <c r="DN11" s="13" t="b">
        <f t="shared" ca="1" si="343"/>
        <v>0</v>
      </c>
      <c r="DO11" s="94">
        <f t="shared" si="46"/>
        <v>0</v>
      </c>
      <c r="DP11" s="13">
        <f t="shared" ca="1" si="47"/>
        <v>0</v>
      </c>
      <c r="DQ11" s="13">
        <f t="shared" ca="1" si="344"/>
        <v>0</v>
      </c>
      <c r="DR11" s="94">
        <f t="shared" si="48"/>
        <v>1</v>
      </c>
      <c r="DS11" s="13">
        <f t="shared" ca="1" si="49"/>
        <v>222.01999999999998</v>
      </c>
      <c r="DT11" s="13">
        <f t="shared" ca="1" si="50"/>
        <v>100</v>
      </c>
      <c r="DU11" s="13">
        <f t="shared" ca="1" si="345"/>
        <v>42.701297853652733</v>
      </c>
      <c r="DV11" s="13">
        <f t="shared" ca="1" si="51"/>
        <v>120.68129785365274</v>
      </c>
      <c r="DW11" s="13">
        <f t="shared" ca="1" si="52"/>
        <v>-179.32</v>
      </c>
      <c r="DX11" s="13">
        <f t="shared" ca="1" si="53"/>
        <v>0.4022709928455091</v>
      </c>
      <c r="DY11" s="12">
        <f t="shared" ca="1" si="54"/>
        <v>120.68129785365274</v>
      </c>
      <c r="DZ11" s="79"/>
      <c r="EA11" s="12">
        <f t="shared" ca="1" si="346"/>
        <v>120.68129785365274</v>
      </c>
      <c r="EB11" s="18">
        <f t="shared" ca="1" si="55"/>
        <v>0.4022709928455091</v>
      </c>
      <c r="ED11" s="19">
        <f t="shared" ca="1" si="56"/>
        <v>120.68129785365274</v>
      </c>
      <c r="EE11" s="19">
        <f ca="1">INDEX(Totals[[#Data],[#Totals],[Car - Note]:[NONTRACKED]],MATCH(ED$1,Totals[Date],0),MATCH($C11,Totals[[#Headers],[Car - Note]:[NONTRACKED]],0))</f>
        <v>-71.39</v>
      </c>
      <c r="EF11" s="19">
        <f t="shared" ca="1" si="347"/>
        <v>49.291297853652736</v>
      </c>
      <c r="EG11" s="19">
        <v>100</v>
      </c>
      <c r="EH11" s="19">
        <v>300</v>
      </c>
      <c r="EI11" s="19" t="b">
        <f t="shared" ca="1" si="348"/>
        <v>0</v>
      </c>
      <c r="EJ11" s="100">
        <f t="shared" si="57"/>
        <v>0</v>
      </c>
      <c r="EK11" s="19">
        <f t="shared" ca="1" si="58"/>
        <v>0</v>
      </c>
      <c r="EL11" s="19">
        <f t="shared" ca="1" si="349"/>
        <v>0</v>
      </c>
      <c r="EM11" s="100">
        <f t="shared" si="59"/>
        <v>1</v>
      </c>
      <c r="EN11" s="19">
        <f t="shared" ca="1" si="60"/>
        <v>250.70870214634726</v>
      </c>
      <c r="EO11" s="19">
        <f t="shared" ca="1" si="61"/>
        <v>100</v>
      </c>
      <c r="EP11" s="19">
        <f t="shared" ca="1" si="350"/>
        <v>72.890726147503742</v>
      </c>
      <c r="EQ11" s="19">
        <f t="shared" ca="1" si="62"/>
        <v>122.18202400115648</v>
      </c>
      <c r="ER11" s="19">
        <f t="shared" ca="1" si="63"/>
        <v>-177.82</v>
      </c>
      <c r="ES11" s="19">
        <f t="shared" ca="1" si="64"/>
        <v>0.40727341333718825</v>
      </c>
      <c r="ET11" s="12">
        <f t="shared" ca="1" si="65"/>
        <v>122.18202400115648</v>
      </c>
      <c r="EU11" s="79"/>
      <c r="EV11" s="12">
        <f t="shared" ca="1" si="351"/>
        <v>122.18202400115648</v>
      </c>
      <c r="EW11" s="18">
        <f t="shared" ca="1" si="66"/>
        <v>0.40727341333718825</v>
      </c>
      <c r="EY11" s="11">
        <f t="shared" ca="1" si="67"/>
        <v>122.18202400115648</v>
      </c>
      <c r="EZ11" s="11">
        <f ca="1">INDEX(Totals[[#Data],[#Totals],[Car - Note]:[NONTRACKED]],MATCH(EY$1,Totals[Date],0),MATCH($C11,Totals[[#Headers],[Car - Note]:[NONTRACKED]],0))</f>
        <v>-19.600000000000001</v>
      </c>
      <c r="FA11" s="11">
        <f t="shared" ca="1" si="352"/>
        <v>102.58202400115647</v>
      </c>
      <c r="FB11" s="11">
        <v>100</v>
      </c>
      <c r="FC11" s="11">
        <v>300</v>
      </c>
      <c r="FD11" s="11" t="b">
        <f t="shared" ca="1" si="353"/>
        <v>0</v>
      </c>
      <c r="FE11" s="92">
        <f t="shared" si="68"/>
        <v>0</v>
      </c>
      <c r="FF11" s="11">
        <f t="shared" ca="1" si="69"/>
        <v>0</v>
      </c>
      <c r="FG11" s="11">
        <f t="shared" ca="1" si="354"/>
        <v>0</v>
      </c>
      <c r="FH11" s="92">
        <f t="shared" si="70"/>
        <v>1</v>
      </c>
      <c r="FI11" s="11">
        <f t="shared" ca="1" si="71"/>
        <v>197.41797599884353</v>
      </c>
      <c r="FJ11" s="11">
        <f t="shared" ca="1" si="72"/>
        <v>100</v>
      </c>
      <c r="FK11" s="11">
        <f t="shared" ca="1" si="355"/>
        <v>43.317594576734521</v>
      </c>
      <c r="FL11" s="11">
        <f t="shared" ca="1" si="73"/>
        <v>145.89961857789098</v>
      </c>
      <c r="FM11" s="11">
        <f t="shared" ca="1" si="74"/>
        <v>-154.1</v>
      </c>
      <c r="FN11" s="11">
        <f t="shared" ca="1" si="75"/>
        <v>0.48633206192630324</v>
      </c>
      <c r="FO11" s="12">
        <f t="shared" ca="1" si="76"/>
        <v>145.89961857789098</v>
      </c>
      <c r="FP11" s="79"/>
      <c r="FQ11" s="12">
        <f t="shared" ca="1" si="356"/>
        <v>145.89961857789098</v>
      </c>
      <c r="FR11" s="18">
        <f t="shared" ca="1" si="77"/>
        <v>0.48633206192630324</v>
      </c>
      <c r="FT11" s="13">
        <f t="shared" ca="1" si="78"/>
        <v>145.89961857789098</v>
      </c>
      <c r="FU11" s="13">
        <f ca="1">INDEX(Totals[[#Data],[#Totals],[Car - Note]:[NONTRACKED]],MATCH(FT$1,Totals[Date],0),MATCH($C11,Totals[[#Headers],[Car - Note]:[NONTRACKED]],0))</f>
        <v>-172.49</v>
      </c>
      <c r="FV11" s="13">
        <f t="shared" ca="1" si="357"/>
        <v>-26.590381422109033</v>
      </c>
      <c r="FW11" s="13">
        <v>100</v>
      </c>
      <c r="FX11" s="13">
        <v>300</v>
      </c>
      <c r="FY11" s="13" t="b">
        <f t="shared" ca="1" si="358"/>
        <v>0</v>
      </c>
      <c r="FZ11" s="94">
        <f t="shared" si="79"/>
        <v>0</v>
      </c>
      <c r="GA11" s="13">
        <f t="shared" ca="1" si="80"/>
        <v>0</v>
      </c>
      <c r="GB11" s="13">
        <f t="shared" ca="1" si="359"/>
        <v>0</v>
      </c>
      <c r="GC11" s="94">
        <f t="shared" si="81"/>
        <v>1</v>
      </c>
      <c r="GD11" s="13">
        <f t="shared" ca="1" si="82"/>
        <v>326.59038142210903</v>
      </c>
      <c r="GE11" s="13">
        <f t="shared" ca="1" si="83"/>
        <v>100</v>
      </c>
      <c r="GF11" s="13">
        <f t="shared" ca="1" si="360"/>
        <v>43.200133268786637</v>
      </c>
      <c r="GG11" s="13">
        <f t="shared" ca="1" si="84"/>
        <v>16.609751846677604</v>
      </c>
      <c r="GH11" s="13">
        <f t="shared" ca="1" si="85"/>
        <v>-283.39</v>
      </c>
      <c r="GI11" s="13">
        <f t="shared" ca="1" si="86"/>
        <v>5.5365839488925345E-2</v>
      </c>
      <c r="GJ11" s="12">
        <f t="shared" ca="1" si="87"/>
        <v>16.609751846677604</v>
      </c>
      <c r="GK11" s="79"/>
      <c r="GL11" s="12">
        <f t="shared" ca="1" si="361"/>
        <v>16.609751846677604</v>
      </c>
      <c r="GM11" s="18">
        <f t="shared" ca="1" si="88"/>
        <v>5.5365839488925345E-2</v>
      </c>
      <c r="GO11" s="19">
        <f t="shared" ca="1" si="89"/>
        <v>16.609751846677604</v>
      </c>
      <c r="GP11" s="19">
        <f ca="1">INDEX(Totals[[#Data],[#Totals],[Car - Note]:[NONTRACKED]],MATCH(GO$1,Totals[Date],0),MATCH($C11,Totals[[#Headers],[Car - Note]:[NONTRACKED]],0))</f>
        <v>-75.91</v>
      </c>
      <c r="GQ11" s="19">
        <f t="shared" ca="1" si="362"/>
        <v>-59.300248153322393</v>
      </c>
      <c r="GR11" s="19">
        <v>100</v>
      </c>
      <c r="GS11" s="19">
        <v>300</v>
      </c>
      <c r="GT11" s="19" t="b">
        <f t="shared" ca="1" si="363"/>
        <v>0</v>
      </c>
      <c r="GU11" s="100">
        <f t="shared" si="90"/>
        <v>0</v>
      </c>
      <c r="GV11" s="19">
        <f t="shared" ca="1" si="91"/>
        <v>0</v>
      </c>
      <c r="GW11" s="19">
        <f t="shared" ca="1" si="364"/>
        <v>0</v>
      </c>
      <c r="GX11" s="100">
        <f t="shared" si="92"/>
        <v>1</v>
      </c>
      <c r="GY11" s="19">
        <f t="shared" ca="1" si="93"/>
        <v>359.3002481533224</v>
      </c>
      <c r="GZ11" s="19">
        <f t="shared" ca="1" si="94"/>
        <v>100</v>
      </c>
      <c r="HA11" s="19">
        <f t="shared" ca="1" si="365"/>
        <v>44.179574167597529</v>
      </c>
      <c r="HB11" s="19">
        <f t="shared" ca="1" si="95"/>
        <v>-15.120673985724864</v>
      </c>
      <c r="HC11" s="19">
        <f t="shared" ca="1" si="96"/>
        <v>-315.12</v>
      </c>
      <c r="HD11" s="19">
        <f t="shared" ca="1" si="97"/>
        <v>-5.040224661908288E-2</v>
      </c>
      <c r="HE11" s="12">
        <f t="shared" ca="1" si="98"/>
        <v>-15.120673985724864</v>
      </c>
      <c r="HF11" s="79">
        <v>15</v>
      </c>
      <c r="HG11" s="12">
        <f t="shared" ca="1" si="366"/>
        <v>-0.12067398572486354</v>
      </c>
      <c r="HH11" s="18">
        <f t="shared" ca="1" si="99"/>
        <v>-4.0224661908287848E-4</v>
      </c>
      <c r="HJ11" s="11">
        <f t="shared" ca="1" si="100"/>
        <v>-0.12067398572486354</v>
      </c>
      <c r="HK11" s="11">
        <f ca="1">INDEX(Totals[[#Data],[#Totals],[Car - Note]:[NONTRACKED]],MATCH(HJ$1,Totals[Date],0),MATCH($C11,Totals[[#Headers],[Car - Note]:[NONTRACKED]],0))</f>
        <v>-24.23</v>
      </c>
      <c r="HL11" s="11">
        <f t="shared" ca="1" si="367"/>
        <v>-24.350673985724864</v>
      </c>
      <c r="HM11" s="11">
        <v>100</v>
      </c>
      <c r="HN11" s="11">
        <v>300</v>
      </c>
      <c r="HO11" s="11" t="b">
        <f t="shared" ca="1" si="368"/>
        <v>0</v>
      </c>
      <c r="HP11" s="92">
        <f t="shared" si="101"/>
        <v>0</v>
      </c>
      <c r="HQ11" s="11">
        <f t="shared" ca="1" si="102"/>
        <v>0</v>
      </c>
      <c r="HR11" s="11">
        <f t="shared" ca="1" si="369"/>
        <v>0</v>
      </c>
      <c r="HS11" s="92">
        <f t="shared" si="103"/>
        <v>1</v>
      </c>
      <c r="HT11" s="11">
        <f t="shared" ca="1" si="104"/>
        <v>324.35067398572488</v>
      </c>
      <c r="HU11" s="11">
        <f t="shared" ca="1" si="105"/>
        <v>100</v>
      </c>
      <c r="HV11" s="11">
        <f t="shared" ca="1" si="370"/>
        <v>42.320322202552006</v>
      </c>
      <c r="HW11" s="11">
        <f t="shared" ca="1" si="106"/>
        <v>17.969648216827142</v>
      </c>
      <c r="HX11" s="11">
        <f t="shared" ca="1" si="107"/>
        <v>-282.02999999999997</v>
      </c>
      <c r="HY11" s="11">
        <f t="shared" ca="1" si="108"/>
        <v>5.9898827389423807E-2</v>
      </c>
      <c r="HZ11" s="12">
        <f t="shared" ca="1" si="109"/>
        <v>17.969648216827142</v>
      </c>
      <c r="IA11" s="79"/>
      <c r="IB11" s="12">
        <f t="shared" ca="1" si="371"/>
        <v>17.969648216827142</v>
      </c>
      <c r="IC11" s="18">
        <f t="shared" ca="1" si="110"/>
        <v>5.9898827389423807E-2</v>
      </c>
      <c r="IE11" s="13">
        <f t="shared" ca="1" si="111"/>
        <v>17.969648216827142</v>
      </c>
      <c r="IF11" s="13">
        <f ca="1">INDEX(Totals[[#Data],[#Totals],[Car - Note]:[NONTRACKED]],MATCH(IE$1,Totals[Date],0),MATCH($C11,Totals[[#Headers],[Car - Note]:[NONTRACKED]],0))</f>
        <v>-55.83</v>
      </c>
      <c r="IG11" s="13">
        <f t="shared" ca="1" si="372"/>
        <v>-37.86035178317286</v>
      </c>
      <c r="IH11" s="13">
        <v>100</v>
      </c>
      <c r="II11" s="13">
        <v>300</v>
      </c>
      <c r="IJ11" s="13" t="b">
        <f t="shared" ca="1" si="373"/>
        <v>0</v>
      </c>
      <c r="IK11" s="94">
        <f t="shared" si="112"/>
        <v>0</v>
      </c>
      <c r="IL11" s="13">
        <f t="shared" ca="1" si="113"/>
        <v>0</v>
      </c>
      <c r="IM11" s="13">
        <f t="shared" ca="1" si="374"/>
        <v>0</v>
      </c>
      <c r="IN11" s="94">
        <f t="shared" si="114"/>
        <v>1</v>
      </c>
      <c r="IO11" s="13">
        <f t="shared" ca="1" si="115"/>
        <v>337.86035178317286</v>
      </c>
      <c r="IP11" s="13">
        <f t="shared" ca="1" si="116"/>
        <v>100</v>
      </c>
      <c r="IQ11" s="13">
        <f t="shared" ca="1" si="375"/>
        <v>46.192728904998638</v>
      </c>
      <c r="IR11" s="13">
        <f t="shared" ca="1" si="117"/>
        <v>8.3323771218257789</v>
      </c>
      <c r="IS11" s="13">
        <f t="shared" ca="1" si="118"/>
        <v>-291.67</v>
      </c>
      <c r="IT11" s="13">
        <f t="shared" ca="1" si="119"/>
        <v>2.7774590406085931E-2</v>
      </c>
      <c r="IU11" s="12">
        <f t="shared" ca="1" si="120"/>
        <v>8.3323771218257789</v>
      </c>
      <c r="IV11" s="79">
        <v>100</v>
      </c>
      <c r="IW11" s="12">
        <f t="shared" ca="1" si="376"/>
        <v>108.33237712182577</v>
      </c>
      <c r="IX11" s="18">
        <f t="shared" ca="1" si="121"/>
        <v>0.36110792373941925</v>
      </c>
      <c r="IZ11" s="19">
        <f t="shared" ca="1" si="122"/>
        <v>108.33237712182577</v>
      </c>
      <c r="JA11" s="19">
        <f ca="1">INDEX(Totals[[#Data],[#Totals],[Car - Note]:[NONTRACKED]],MATCH(IZ$1,Totals[Date],0),MATCH($C11,Totals[[#Headers],[Car - Note]:[NONTRACKED]],0))</f>
        <v>-159.98999999999998</v>
      </c>
      <c r="JB11" s="19">
        <f t="shared" ca="1" si="377"/>
        <v>-51.657622878174209</v>
      </c>
      <c r="JC11" s="19">
        <v>100</v>
      </c>
      <c r="JD11" s="19">
        <v>300</v>
      </c>
      <c r="JE11" s="19" t="b">
        <f t="shared" ca="1" si="378"/>
        <v>0</v>
      </c>
      <c r="JF11" s="100">
        <f t="shared" si="123"/>
        <v>0</v>
      </c>
      <c r="JG11" s="19">
        <f t="shared" ca="1" si="124"/>
        <v>0</v>
      </c>
      <c r="JH11" s="19">
        <f t="shared" ca="1" si="379"/>
        <v>0</v>
      </c>
      <c r="JI11" s="100">
        <f t="shared" si="125"/>
        <v>1</v>
      </c>
      <c r="JJ11" s="19">
        <f t="shared" ca="1" si="126"/>
        <v>351.65762287817421</v>
      </c>
      <c r="JK11" s="19">
        <f t="shared" ca="1" si="127"/>
        <v>100</v>
      </c>
      <c r="JL11" s="19">
        <f t="shared" ca="1" si="380"/>
        <v>38.269476765044686</v>
      </c>
      <c r="JM11" s="19">
        <f t="shared" ca="1" si="128"/>
        <v>-13.388146113129523</v>
      </c>
      <c r="JN11" s="19">
        <f t="shared" ca="1" si="129"/>
        <v>-313.39</v>
      </c>
      <c r="JO11" s="19">
        <f t="shared" ca="1" si="130"/>
        <v>-4.4627153710431744E-2</v>
      </c>
      <c r="JP11" s="12">
        <f t="shared" ca="1" si="131"/>
        <v>-13.388146113129523</v>
      </c>
      <c r="JQ11" s="79">
        <v>50</v>
      </c>
      <c r="JR11" s="12">
        <f t="shared" ca="1" si="381"/>
        <v>36.611853886870477</v>
      </c>
      <c r="JS11" s="18">
        <f t="shared" ca="1" si="132"/>
        <v>0.12203951295623493</v>
      </c>
      <c r="JU11" s="11">
        <f t="shared" ca="1" si="133"/>
        <v>36.611853886870477</v>
      </c>
      <c r="JV11" s="11">
        <f ca="1">INDEX(Totals[[#Data],[#Totals],[Car - Note]:[NONTRACKED]],MATCH(JU$1,Totals[Date],0),MATCH($C11,Totals[[#Headers],[Car - Note]:[NONTRACKED]],0))</f>
        <v>-27.339999999999996</v>
      </c>
      <c r="JW11" s="11">
        <f t="shared" ca="1" si="382"/>
        <v>9.2718538868704812</v>
      </c>
      <c r="JX11" s="11">
        <v>100</v>
      </c>
      <c r="JY11" s="11">
        <v>300</v>
      </c>
      <c r="JZ11" s="11" t="b">
        <f t="shared" ca="1" si="383"/>
        <v>0</v>
      </c>
      <c r="KA11" s="92">
        <f t="shared" si="134"/>
        <v>0</v>
      </c>
      <c r="KB11" s="11">
        <f t="shared" ca="1" si="135"/>
        <v>0</v>
      </c>
      <c r="KC11" s="11">
        <f t="shared" ca="1" si="384"/>
        <v>0</v>
      </c>
      <c r="KD11" s="92">
        <f t="shared" si="136"/>
        <v>1</v>
      </c>
      <c r="KE11" s="11">
        <f t="shared" ca="1" si="137"/>
        <v>290.72814611312953</v>
      </c>
      <c r="KF11" s="11">
        <f t="shared" ca="1" si="138"/>
        <v>100</v>
      </c>
      <c r="KG11" s="11">
        <f t="shared" ca="1" si="385"/>
        <v>69.164764594363234</v>
      </c>
      <c r="KH11" s="11">
        <f t="shared" ca="1" si="139"/>
        <v>78.436618481233722</v>
      </c>
      <c r="KI11" s="11">
        <f t="shared" ca="1" si="140"/>
        <v>-221.56</v>
      </c>
      <c r="KJ11" s="11">
        <f t="shared" ca="1" si="141"/>
        <v>0.26145539493744574</v>
      </c>
      <c r="KK11" s="12">
        <f t="shared" ca="1" si="142"/>
        <v>78.436618481233722</v>
      </c>
      <c r="KL11" s="79"/>
      <c r="KM11" s="12">
        <f t="shared" ca="1" si="386"/>
        <v>78.436618481233722</v>
      </c>
      <c r="KN11" s="18">
        <f t="shared" ca="1" si="143"/>
        <v>0.26145539493744574</v>
      </c>
      <c r="KP11" s="13">
        <f t="shared" ca="1" si="144"/>
        <v>78.436618481233722</v>
      </c>
      <c r="KQ11" s="13">
        <f ca="1">INDEX(Totals[[#Data],[#Totals],[Car - Note]:[NONTRACKED]],MATCH(KP$1,Totals[Date],0),MATCH($C11,Totals[[#Headers],[Car - Note]:[NONTRACKED]],0))</f>
        <v>-109.39999999999999</v>
      </c>
      <c r="KR11" s="13">
        <f t="shared" ca="1" si="387"/>
        <v>-30.963381518766269</v>
      </c>
      <c r="KS11" s="13">
        <v>100</v>
      </c>
      <c r="KT11" s="13">
        <v>300</v>
      </c>
      <c r="KU11" s="13" t="b">
        <f t="shared" ca="1" si="388"/>
        <v>0</v>
      </c>
      <c r="KV11" s="94">
        <f t="shared" si="145"/>
        <v>0</v>
      </c>
      <c r="KW11" s="13">
        <f t="shared" ca="1" si="146"/>
        <v>0</v>
      </c>
      <c r="KX11" s="13">
        <f t="shared" ca="1" si="389"/>
        <v>0</v>
      </c>
      <c r="KY11" s="94">
        <f t="shared" si="147"/>
        <v>1</v>
      </c>
      <c r="KZ11" s="13">
        <f t="shared" ca="1" si="148"/>
        <v>330.96338151876625</v>
      </c>
      <c r="LA11" s="13">
        <f t="shared" ca="1" si="149"/>
        <v>100</v>
      </c>
      <c r="LB11" s="13">
        <f t="shared" ca="1" si="390"/>
        <v>76.300967584009115</v>
      </c>
      <c r="LC11" s="13">
        <f t="shared" ca="1" si="150"/>
        <v>45.337586065242846</v>
      </c>
      <c r="LD11" s="13">
        <f t="shared" ca="1" si="151"/>
        <v>-254.66</v>
      </c>
      <c r="LE11" s="13">
        <f t="shared" ca="1" si="152"/>
        <v>0.15112528688414281</v>
      </c>
      <c r="LF11" s="12">
        <f t="shared" ca="1" si="153"/>
        <v>45.337586065242846</v>
      </c>
      <c r="LG11" s="79"/>
      <c r="LH11" s="12">
        <f t="shared" ca="1" si="391"/>
        <v>45.337586065242846</v>
      </c>
      <c r="LI11" s="18">
        <f t="shared" ca="1" si="154"/>
        <v>0.15112528688414281</v>
      </c>
      <c r="LK11" s="19">
        <f t="shared" ca="1" si="155"/>
        <v>45.337586065242846</v>
      </c>
      <c r="LL11" s="19">
        <f ca="1">INDEX(Totals[[#Data],[#Totals],[Car - Note]:[NONTRACKED]],MATCH(LK$1,Totals[Date],0),MATCH($C11,Totals[[#Headers],[Car - Note]:[NONTRACKED]],0))</f>
        <v>-12</v>
      </c>
      <c r="LM11" s="19">
        <f t="shared" ca="1" si="392"/>
        <v>33.337586065242846</v>
      </c>
      <c r="LN11" s="19">
        <v>100</v>
      </c>
      <c r="LO11" s="19">
        <v>300</v>
      </c>
      <c r="LP11" s="19" t="b">
        <f t="shared" ca="1" si="393"/>
        <v>0</v>
      </c>
      <c r="LQ11" s="100">
        <f t="shared" si="156"/>
        <v>0</v>
      </c>
      <c r="LR11" s="19">
        <f t="shared" ca="1" si="157"/>
        <v>0</v>
      </c>
      <c r="LS11" s="19">
        <f t="shared" ca="1" si="394"/>
        <v>0</v>
      </c>
      <c r="LT11" s="100">
        <f t="shared" si="158"/>
        <v>1</v>
      </c>
      <c r="LU11" s="19">
        <f t="shared" ca="1" si="159"/>
        <v>266.66241393475718</v>
      </c>
      <c r="LV11" s="19">
        <f t="shared" ca="1" si="160"/>
        <v>100</v>
      </c>
      <c r="LW11" s="19">
        <f t="shared" ca="1" si="395"/>
        <v>63.475428481224817</v>
      </c>
      <c r="LX11" s="19">
        <f t="shared" ca="1" si="161"/>
        <v>96.813014546467656</v>
      </c>
      <c r="LY11" s="19">
        <f t="shared" ca="1" si="162"/>
        <v>-203.19</v>
      </c>
      <c r="LZ11" s="19">
        <f t="shared" ca="1" si="163"/>
        <v>0.32271004848822554</v>
      </c>
      <c r="MA11" s="12">
        <f t="shared" ca="1" si="164"/>
        <v>96.813014546467656</v>
      </c>
      <c r="MB11" s="79"/>
      <c r="MC11" s="12">
        <f t="shared" ca="1" si="396"/>
        <v>96.813014546467656</v>
      </c>
      <c r="MD11" s="18">
        <f t="shared" ca="1" si="165"/>
        <v>0.32271004848822554</v>
      </c>
      <c r="MF11" s="11">
        <f t="shared" ca="1" si="166"/>
        <v>96.813014546467656</v>
      </c>
      <c r="MG11" s="11">
        <f ca="1">INDEX(Totals[[#Data],[#Totals],[Car - Note]:[NONTRACKED]],MATCH(MF$1,Totals[Date],0),MATCH($C11,Totals[[#Headers],[Car - Note]:[NONTRACKED]],0))</f>
        <v>-29.14</v>
      </c>
      <c r="MH11" s="11">
        <f t="shared" ca="1" si="397"/>
        <v>67.673014546467655</v>
      </c>
      <c r="MI11" s="11">
        <v>100</v>
      </c>
      <c r="MJ11" s="11">
        <v>300</v>
      </c>
      <c r="MK11" s="11" t="b">
        <f t="shared" ca="1" si="398"/>
        <v>0</v>
      </c>
      <c r="ML11" s="92">
        <f t="shared" si="167"/>
        <v>0</v>
      </c>
      <c r="MM11" s="11">
        <f t="shared" ca="1" si="168"/>
        <v>0</v>
      </c>
      <c r="MN11" s="11">
        <f t="shared" ca="1" si="399"/>
        <v>0</v>
      </c>
      <c r="MO11" s="92">
        <f t="shared" si="169"/>
        <v>1</v>
      </c>
      <c r="MP11" s="11">
        <f t="shared" ca="1" si="170"/>
        <v>232.32698545353236</v>
      </c>
      <c r="MQ11" s="11">
        <f t="shared" ca="1" si="171"/>
        <v>100</v>
      </c>
      <c r="MR11" s="11">
        <f t="shared" ca="1" si="400"/>
        <v>50.076843412854956</v>
      </c>
      <c r="MS11" s="11">
        <f t="shared" ca="1" si="172"/>
        <v>117.74985795932261</v>
      </c>
      <c r="MT11" s="11">
        <f t="shared" ca="1" si="173"/>
        <v>-182.25</v>
      </c>
      <c r="MU11" s="11">
        <f t="shared" ca="1" si="174"/>
        <v>0.39249952653107539</v>
      </c>
      <c r="MV11" s="12">
        <f t="shared" ca="1" si="175"/>
        <v>117.74985795932261</v>
      </c>
      <c r="MW11" s="79"/>
      <c r="MX11" s="12">
        <f t="shared" ca="1" si="401"/>
        <v>117.74985795932261</v>
      </c>
      <c r="MY11" s="18">
        <f t="shared" ca="1" si="176"/>
        <v>0.39249952653107539</v>
      </c>
      <c r="NA11" s="13">
        <f t="shared" ca="1" si="177"/>
        <v>117.74985795932261</v>
      </c>
      <c r="NB11" s="13">
        <f ca="1">INDEX(Totals[[#Data],[#Totals],[Car - Note]:[NONTRACKED]],MATCH(NA$1,Totals[Date],0),MATCH($C11,Totals[[#Headers],[Car - Note]:[NONTRACKED]],0))</f>
        <v>-72.06</v>
      </c>
      <c r="NC11" s="13">
        <f t="shared" ca="1" si="402"/>
        <v>45.689857959322609</v>
      </c>
      <c r="ND11" s="13">
        <v>100</v>
      </c>
      <c r="NE11" s="13">
        <v>300</v>
      </c>
      <c r="NF11" s="13" t="b">
        <f t="shared" ca="1" si="403"/>
        <v>0</v>
      </c>
      <c r="NG11" s="94">
        <f t="shared" si="178"/>
        <v>0</v>
      </c>
      <c r="NH11" s="13">
        <f t="shared" ca="1" si="179"/>
        <v>0</v>
      </c>
      <c r="NI11" s="13">
        <f t="shared" ca="1" si="404"/>
        <v>0</v>
      </c>
      <c r="NJ11" s="94">
        <f t="shared" si="180"/>
        <v>1</v>
      </c>
      <c r="NK11" s="13">
        <f t="shared" ca="1" si="181"/>
        <v>254.31014204067739</v>
      </c>
      <c r="NL11" s="13">
        <f t="shared" ca="1" si="182"/>
        <v>100</v>
      </c>
      <c r="NM11" s="13">
        <f t="shared" ca="1" si="405"/>
        <v>100</v>
      </c>
      <c r="NN11" s="13">
        <f t="shared" ca="1" si="183"/>
        <v>145.68985795932261</v>
      </c>
      <c r="NO11" s="13">
        <f t="shared" ca="1" si="184"/>
        <v>-154.31</v>
      </c>
      <c r="NP11" s="13">
        <f t="shared" ca="1" si="185"/>
        <v>0.48563285986440868</v>
      </c>
      <c r="NQ11" s="12">
        <f t="shared" ca="1" si="186"/>
        <v>145.68985795932261</v>
      </c>
      <c r="NR11" s="79"/>
      <c r="NS11" s="12">
        <f t="shared" ca="1" si="406"/>
        <v>145.68985795932261</v>
      </c>
      <c r="NT11" s="18">
        <f t="shared" ca="1" si="187"/>
        <v>0.48563285986440868</v>
      </c>
      <c r="NV11" s="19">
        <f t="shared" ca="1" si="188"/>
        <v>145.68985795932261</v>
      </c>
      <c r="NW11" s="19">
        <f ca="1">INDEX(Totals[[#Data],[#Totals],[Car - Note]:[NONTRACKED]],MATCH(NV$1,Totals[Date],0),MATCH($C11,Totals[[#Headers],[Car - Note]:[NONTRACKED]],0))</f>
        <v>-106.22</v>
      </c>
      <c r="NX11" s="19">
        <f t="shared" ca="1" si="407"/>
        <v>39.46985795932261</v>
      </c>
      <c r="NY11" s="19">
        <v>100</v>
      </c>
      <c r="NZ11" s="19">
        <v>300</v>
      </c>
      <c r="OA11" s="19" t="b">
        <f t="shared" ca="1" si="408"/>
        <v>0</v>
      </c>
      <c r="OB11" s="100">
        <f t="shared" si="189"/>
        <v>0</v>
      </c>
      <c r="OC11" s="19">
        <f t="shared" ca="1" si="190"/>
        <v>0</v>
      </c>
      <c r="OD11" s="19">
        <f t="shared" ca="1" si="409"/>
        <v>0</v>
      </c>
      <c r="OE11" s="100">
        <f t="shared" si="191"/>
        <v>1</v>
      </c>
      <c r="OF11" s="19">
        <f t="shared" ca="1" si="192"/>
        <v>260.53014204067739</v>
      </c>
      <c r="OG11" s="19">
        <f t="shared" ca="1" si="193"/>
        <v>100</v>
      </c>
      <c r="OH11" s="19">
        <f t="shared" ca="1" si="410"/>
        <v>77.130915209701172</v>
      </c>
      <c r="OI11" s="19">
        <f t="shared" ca="1" si="194"/>
        <v>116.60077316902378</v>
      </c>
      <c r="OJ11" s="19">
        <f t="shared" ca="1" si="195"/>
        <v>-183.4</v>
      </c>
      <c r="OK11" s="19">
        <f t="shared" ca="1" si="196"/>
        <v>0.38866924389674595</v>
      </c>
      <c r="OL11" s="12">
        <f t="shared" ca="1" si="197"/>
        <v>116.60077316902378</v>
      </c>
      <c r="OM11" s="79"/>
      <c r="ON11" s="12">
        <f t="shared" ca="1" si="411"/>
        <v>116.60077316902378</v>
      </c>
      <c r="OO11" s="18">
        <f t="shared" ca="1" si="198"/>
        <v>0.38866924389674595</v>
      </c>
      <c r="OQ11" s="11">
        <f t="shared" ca="1" si="199"/>
        <v>116.60077316902378</v>
      </c>
      <c r="OR11" s="11">
        <f ca="1">INDEX(Totals[[#Data],[#Totals],[Car - Note]:[NONTRACKED]],MATCH(OQ$1,Totals[Date],0),MATCH($C11,Totals[[#Headers],[Car - Note]:[NONTRACKED]],0))</f>
        <v>-94.070000000000007</v>
      </c>
      <c r="OS11" s="11">
        <f t="shared" ca="1" si="412"/>
        <v>22.530773169023774</v>
      </c>
      <c r="OT11" s="11">
        <v>100</v>
      </c>
      <c r="OU11" s="11">
        <v>300</v>
      </c>
      <c r="OV11" s="11" t="b">
        <f t="shared" ca="1" si="413"/>
        <v>0</v>
      </c>
      <c r="OW11" s="92">
        <f t="shared" si="200"/>
        <v>0</v>
      </c>
      <c r="OX11" s="11">
        <f t="shared" ca="1" si="201"/>
        <v>0</v>
      </c>
      <c r="OY11" s="11">
        <f t="shared" ca="1" si="414"/>
        <v>0</v>
      </c>
      <c r="OZ11" s="92">
        <f t="shared" si="202"/>
        <v>1</v>
      </c>
      <c r="PA11" s="11">
        <f t="shared" ca="1" si="203"/>
        <v>277.46922683097625</v>
      </c>
      <c r="PB11" s="11">
        <f t="shared" ca="1" si="204"/>
        <v>100</v>
      </c>
      <c r="PC11" s="11">
        <f t="shared" ca="1" si="415"/>
        <v>59.395554900461192</v>
      </c>
      <c r="PD11" s="11">
        <f t="shared" ca="1" si="205"/>
        <v>81.926328069484967</v>
      </c>
      <c r="PE11" s="11">
        <f t="shared" ca="1" si="206"/>
        <v>-218.07</v>
      </c>
      <c r="PF11" s="11">
        <f t="shared" ca="1" si="207"/>
        <v>0.27308776023161657</v>
      </c>
      <c r="PG11" s="12">
        <f t="shared" ca="1" si="208"/>
        <v>81.926328069484967</v>
      </c>
      <c r="PH11" s="79"/>
      <c r="PI11" s="12">
        <f t="shared" ca="1" si="416"/>
        <v>81.926328069484967</v>
      </c>
      <c r="PJ11" s="18">
        <f t="shared" ca="1" si="209"/>
        <v>0.27308776023161657</v>
      </c>
      <c r="PL11" s="13">
        <f t="shared" ca="1" si="210"/>
        <v>81.926328069484967</v>
      </c>
      <c r="PM11" s="13">
        <f ca="1">INDEX(Totals[[#Data],[#Totals],[Car - Note]:[NONTRACKED]],MATCH(PL$1,Totals[Date],0),MATCH($C11,Totals[[#Headers],[Car - Note]:[NONTRACKED]],0))</f>
        <v>-42.55</v>
      </c>
      <c r="PN11" s="13">
        <f t="shared" ca="1" si="417"/>
        <v>39.37632806948497</v>
      </c>
      <c r="PO11" s="13">
        <v>100</v>
      </c>
      <c r="PP11" s="13">
        <v>300</v>
      </c>
      <c r="PQ11" s="13" t="b">
        <f t="shared" ca="1" si="418"/>
        <v>0</v>
      </c>
      <c r="PR11" s="94">
        <f t="shared" si="211"/>
        <v>0</v>
      </c>
      <c r="PS11" s="13">
        <f t="shared" ca="1" si="212"/>
        <v>0</v>
      </c>
      <c r="PT11" s="13">
        <f t="shared" ca="1" si="419"/>
        <v>0</v>
      </c>
      <c r="PU11" s="94">
        <f t="shared" si="213"/>
        <v>1</v>
      </c>
      <c r="PV11" s="13">
        <f t="shared" ca="1" si="214"/>
        <v>260.623671930515</v>
      </c>
      <c r="PW11" s="13">
        <f t="shared" ca="1" si="215"/>
        <v>100</v>
      </c>
      <c r="PX11" s="13">
        <f t="shared" ca="1" si="420"/>
        <v>70.644748016769299</v>
      </c>
      <c r="PY11" s="13">
        <f t="shared" ca="1" si="216"/>
        <v>110.02107608625427</v>
      </c>
      <c r="PZ11" s="13">
        <f t="shared" ca="1" si="217"/>
        <v>-189.98</v>
      </c>
      <c r="QA11" s="13">
        <f t="shared" ca="1" si="218"/>
        <v>0.3667369202875142</v>
      </c>
      <c r="QB11" s="12">
        <f t="shared" ca="1" si="219"/>
        <v>110.02107608625427</v>
      </c>
      <c r="QC11" s="79"/>
      <c r="QD11" s="12">
        <f t="shared" ca="1" si="421"/>
        <v>110.02107608625427</v>
      </c>
      <c r="QE11" s="18">
        <f t="shared" ca="1" si="220"/>
        <v>0.3667369202875142</v>
      </c>
      <c r="QG11" s="19">
        <f t="shared" ca="1" si="221"/>
        <v>110.02107608625427</v>
      </c>
      <c r="QH11" s="19">
        <f ca="1">INDEX(Totals[[#Data],[#Totals],[Car - Note]:[NONTRACKED]],MATCH(QG$1,Totals[Date],0),MATCH($C11,Totals[[#Headers],[Car - Note]:[NONTRACKED]],0))</f>
        <v>0</v>
      </c>
      <c r="QI11" s="19">
        <f t="shared" ca="1" si="422"/>
        <v>110.02107608625427</v>
      </c>
      <c r="QJ11" s="19">
        <v>100</v>
      </c>
      <c r="QK11" s="19">
        <v>300</v>
      </c>
      <c r="QL11" s="19" t="b">
        <f t="shared" ca="1" si="423"/>
        <v>0</v>
      </c>
      <c r="QM11" s="100">
        <f t="shared" si="222"/>
        <v>0</v>
      </c>
      <c r="QN11" s="19">
        <f t="shared" ca="1" si="223"/>
        <v>0</v>
      </c>
      <c r="QO11" s="19">
        <f t="shared" ca="1" si="424"/>
        <v>0</v>
      </c>
      <c r="QP11" s="100">
        <f t="shared" si="224"/>
        <v>1</v>
      </c>
      <c r="QQ11" s="19">
        <f t="shared" ca="1" si="225"/>
        <v>189.97892391374575</v>
      </c>
      <c r="QR11" s="19">
        <f t="shared" ca="1" si="226"/>
        <v>100</v>
      </c>
      <c r="QS11" s="19">
        <f t="shared" ca="1" si="425"/>
        <v>69.870928808039864</v>
      </c>
      <c r="QT11" s="19">
        <f t="shared" ca="1" si="227"/>
        <v>179.89200489429413</v>
      </c>
      <c r="QU11" s="19">
        <f t="shared" ca="1" si="228"/>
        <v>-120.11</v>
      </c>
      <c r="QV11" s="19">
        <f t="shared" ca="1" si="229"/>
        <v>0.59964001631431374</v>
      </c>
      <c r="QW11" s="12">
        <f t="shared" ca="1" si="230"/>
        <v>179.89200489429413</v>
      </c>
      <c r="QX11" s="79"/>
      <c r="QY11" s="12">
        <f t="shared" ca="1" si="426"/>
        <v>179.89200489429413</v>
      </c>
      <c r="QZ11" s="18">
        <f t="shared" ca="1" si="231"/>
        <v>0.59964001631431374</v>
      </c>
      <c r="RB11" s="11">
        <f t="shared" ca="1" si="232"/>
        <v>179.89200489429413</v>
      </c>
      <c r="RC11" s="11">
        <f ca="1">INDEX(Totals[[#Data],[#Totals],[Car - Note]:[NONTRACKED]],MATCH(RB$1,Totals[Date],0),MATCH($C11,Totals[[#Headers],[Car - Note]:[NONTRACKED]],0))</f>
        <v>-13.59</v>
      </c>
      <c r="RD11" s="11">
        <f t="shared" ca="1" si="427"/>
        <v>166.30200489429413</v>
      </c>
      <c r="RE11" s="11">
        <v>100</v>
      </c>
      <c r="RF11" s="11">
        <v>300</v>
      </c>
      <c r="RG11" s="11" t="b">
        <f t="shared" ca="1" si="428"/>
        <v>0</v>
      </c>
      <c r="RH11" s="92">
        <f t="shared" si="233"/>
        <v>0</v>
      </c>
      <c r="RI11" s="11">
        <f t="shared" ca="1" si="234"/>
        <v>0</v>
      </c>
      <c r="RJ11" s="11">
        <f t="shared" ca="1" si="429"/>
        <v>0</v>
      </c>
      <c r="RK11" s="92">
        <f t="shared" si="235"/>
        <v>1</v>
      </c>
      <c r="RL11" s="11">
        <f t="shared" ca="1" si="236"/>
        <v>133.69799510570587</v>
      </c>
      <c r="RM11" s="11">
        <f t="shared" ca="1" si="237"/>
        <v>100</v>
      </c>
      <c r="RN11" s="11">
        <f t="shared" ca="1" si="430"/>
        <v>58.785617707507811</v>
      </c>
      <c r="RO11" s="11">
        <f t="shared" ca="1" si="238"/>
        <v>225.08762260180194</v>
      </c>
      <c r="RP11" s="11">
        <f t="shared" ca="1" si="239"/>
        <v>-74.91</v>
      </c>
      <c r="RQ11" s="11">
        <f t="shared" ca="1" si="240"/>
        <v>0.75029207533933984</v>
      </c>
      <c r="RR11" s="12">
        <f t="shared" ca="1" si="241"/>
        <v>225.08762260180194</v>
      </c>
      <c r="RS11" s="79"/>
      <c r="RT11" s="12">
        <f t="shared" ca="1" si="431"/>
        <v>225.08762260180194</v>
      </c>
      <c r="RU11" s="18">
        <f t="shared" ca="1" si="242"/>
        <v>0.75029207533933984</v>
      </c>
      <c r="RW11" s="13">
        <f t="shared" ca="1" si="243"/>
        <v>225.08762260180194</v>
      </c>
      <c r="RX11" s="13">
        <f ca="1">INDEX(Totals[[#Data],[#Totals],[Car - Note]:[NONTRACKED]],MATCH(RW$1,Totals[Date],0),MATCH($C11,Totals[[#Headers],[Car - Note]:[NONTRACKED]],0))</f>
        <v>-18.64</v>
      </c>
      <c r="RY11" s="13">
        <f t="shared" ca="1" si="432"/>
        <v>206.44762260180192</v>
      </c>
      <c r="RZ11" s="13">
        <v>100</v>
      </c>
      <c r="SA11" s="13">
        <v>300</v>
      </c>
      <c r="SB11" s="13" t="b">
        <f t="shared" ca="1" si="433"/>
        <v>0</v>
      </c>
      <c r="SC11" s="94">
        <f t="shared" si="244"/>
        <v>0</v>
      </c>
      <c r="SD11" s="13">
        <f t="shared" ca="1" si="245"/>
        <v>0</v>
      </c>
      <c r="SE11" s="13">
        <f t="shared" ca="1" si="434"/>
        <v>0</v>
      </c>
      <c r="SF11" s="94">
        <f t="shared" si="246"/>
        <v>1</v>
      </c>
      <c r="SG11" s="13">
        <f t="shared" ca="1" si="247"/>
        <v>93.552377398198075</v>
      </c>
      <c r="SH11" s="13">
        <f t="shared" ca="1" si="248"/>
        <v>93.552377398198075</v>
      </c>
      <c r="SI11" s="13">
        <f t="shared" ca="1" si="435"/>
        <v>82.102546877501965</v>
      </c>
      <c r="SJ11" s="13">
        <f t="shared" ca="1" si="249"/>
        <v>288.55016947930392</v>
      </c>
      <c r="SK11" s="13">
        <f t="shared" ca="1" si="250"/>
        <v>-11.45</v>
      </c>
      <c r="SL11" s="13">
        <f t="shared" ca="1" si="251"/>
        <v>0.9618338982643464</v>
      </c>
      <c r="SM11" s="12">
        <f t="shared" ca="1" si="252"/>
        <v>288.55016947930392</v>
      </c>
      <c r="SN11" s="79">
        <v>-12</v>
      </c>
      <c r="SO11" s="12">
        <f t="shared" ca="1" si="436"/>
        <v>276.55016947930392</v>
      </c>
      <c r="SP11" s="18">
        <f t="shared" ca="1" si="253"/>
        <v>0.92183389826434636</v>
      </c>
      <c r="SR11" s="19">
        <f t="shared" ca="1" si="254"/>
        <v>276.55016947930392</v>
      </c>
      <c r="SS11" s="19">
        <f ca="1">INDEX(Totals[[#Data],[#Totals],[Car - Note]:[NONTRACKED]],MATCH(SR$1,Totals[Date],0),MATCH($C11,Totals[[#Headers],[Car - Note]:[NONTRACKED]],0))</f>
        <v>-36.35</v>
      </c>
      <c r="ST11" s="19">
        <f t="shared" ca="1" si="437"/>
        <v>240.20016947930392</v>
      </c>
      <c r="SU11" s="19">
        <v>100</v>
      </c>
      <c r="SV11" s="19">
        <v>300</v>
      </c>
      <c r="SW11" s="19" t="b">
        <f t="shared" ca="1" si="438"/>
        <v>0</v>
      </c>
      <c r="SX11" s="100">
        <f t="shared" si="255"/>
        <v>0</v>
      </c>
      <c r="SY11" s="19">
        <f t="shared" ca="1" si="256"/>
        <v>0</v>
      </c>
      <c r="SZ11" s="19">
        <f t="shared" ca="1" si="439"/>
        <v>0</v>
      </c>
      <c r="TA11" s="100">
        <f t="shared" si="257"/>
        <v>1</v>
      </c>
      <c r="TB11" s="19">
        <f t="shared" ca="1" si="258"/>
        <v>59.799830520696077</v>
      </c>
      <c r="TC11" s="19">
        <f t="shared" ca="1" si="259"/>
        <v>59.799830520696077</v>
      </c>
      <c r="TD11" s="19">
        <f t="shared" ca="1" si="440"/>
        <v>43.450811435700466</v>
      </c>
      <c r="TE11" s="19">
        <f t="shared" ca="1" si="260"/>
        <v>283.65098091500437</v>
      </c>
      <c r="TF11" s="19">
        <f t="shared" ca="1" si="261"/>
        <v>-16.350000000000001</v>
      </c>
      <c r="TG11" s="19">
        <f t="shared" ca="1" si="262"/>
        <v>0.94550326971668119</v>
      </c>
      <c r="TH11" s="12">
        <f t="shared" ca="1" si="263"/>
        <v>283.65098091500437</v>
      </c>
      <c r="TI11" s="79"/>
      <c r="TJ11" s="12">
        <f t="shared" ca="1" si="441"/>
        <v>283.65098091500437</v>
      </c>
      <c r="TK11" s="18">
        <f t="shared" ca="1" si="264"/>
        <v>0.94550326971668119</v>
      </c>
      <c r="TM11" s="11">
        <f t="shared" ca="1" si="265"/>
        <v>283.65098091500437</v>
      </c>
      <c r="TN11" s="11">
        <f ca="1">INDEX(Totals[[#Data],[#Totals],[Car - Note]:[NONTRACKED]],MATCH(TM$1,Totals[Date],0),MATCH($C11,Totals[[#Headers],[Car - Note]:[NONTRACKED]],0))</f>
        <v>-82.5</v>
      </c>
      <c r="TO11" s="11">
        <f t="shared" ca="1" si="442"/>
        <v>201.15098091500437</v>
      </c>
      <c r="TP11" s="11">
        <v>100</v>
      </c>
      <c r="TQ11" s="11">
        <v>300</v>
      </c>
      <c r="TR11" s="11" t="b">
        <f t="shared" ca="1" si="443"/>
        <v>0</v>
      </c>
      <c r="TS11" s="92">
        <f t="shared" si="266"/>
        <v>0</v>
      </c>
      <c r="TT11" s="11">
        <f t="shared" ca="1" si="267"/>
        <v>0</v>
      </c>
      <c r="TU11" s="11">
        <f t="shared" ca="1" si="444"/>
        <v>0</v>
      </c>
      <c r="TV11" s="92">
        <f t="shared" si="268"/>
        <v>1</v>
      </c>
      <c r="TW11" s="11">
        <f t="shared" ca="1" si="269"/>
        <v>98.849019084995632</v>
      </c>
      <c r="TX11" s="11">
        <f t="shared" ca="1" si="270"/>
        <v>98.849019084995632</v>
      </c>
      <c r="TY11" s="11">
        <f t="shared" ca="1" si="445"/>
        <v>62.918170848317125</v>
      </c>
      <c r="TZ11" s="11">
        <f t="shared" ca="1" si="271"/>
        <v>264.06915176332149</v>
      </c>
      <c r="UA11" s="11">
        <f t="shared" ca="1" si="272"/>
        <v>-35.93</v>
      </c>
      <c r="UB11" s="11">
        <f t="shared" ca="1" si="273"/>
        <v>0.88023050587773832</v>
      </c>
      <c r="UC11" s="12">
        <f t="shared" ca="1" si="274"/>
        <v>264.06915176332149</v>
      </c>
      <c r="UD11" s="79">
        <v>-100</v>
      </c>
      <c r="UE11" s="12">
        <f t="shared" ca="1" si="446"/>
        <v>164.06915176332149</v>
      </c>
      <c r="UF11" s="18">
        <f t="shared" ca="1" si="275"/>
        <v>0.54689717254440495</v>
      </c>
      <c r="UH11" s="13">
        <f t="shared" ca="1" si="276"/>
        <v>164.06915176332149</v>
      </c>
      <c r="UI11" s="13">
        <f ca="1">INDEX(Totals[[#Data],[#Totals],[Car - Note]:[NONTRACKED]],MATCH(UH$1,Totals[Date],0),MATCH($C11,Totals[[#Headers],[Car - Note]:[NONTRACKED]],0))</f>
        <v>0</v>
      </c>
      <c r="UJ11" s="13">
        <f t="shared" ca="1" si="447"/>
        <v>164.06915176332149</v>
      </c>
      <c r="UK11" s="13">
        <v>100</v>
      </c>
      <c r="UL11" s="13">
        <v>300</v>
      </c>
      <c r="UM11" s="13" t="b">
        <f t="shared" ca="1" si="448"/>
        <v>0</v>
      </c>
      <c r="UN11" s="94">
        <f t="shared" si="277"/>
        <v>0</v>
      </c>
      <c r="UO11" s="13">
        <f t="shared" ca="1" si="278"/>
        <v>0</v>
      </c>
      <c r="UP11" s="13">
        <f t="shared" ca="1" si="449"/>
        <v>0</v>
      </c>
      <c r="UQ11" s="94">
        <f t="shared" si="279"/>
        <v>1</v>
      </c>
      <c r="UR11" s="13">
        <f t="shared" ca="1" si="280"/>
        <v>135.93084823667851</v>
      </c>
      <c r="US11" s="13">
        <f t="shared" ca="1" si="281"/>
        <v>100</v>
      </c>
      <c r="UT11" s="13">
        <f t="shared" ca="1" si="450"/>
        <v>100</v>
      </c>
      <c r="UU11" s="13">
        <f t="shared" ca="1" si="282"/>
        <v>264.06915176332149</v>
      </c>
      <c r="UV11" s="13">
        <f t="shared" ca="1" si="283"/>
        <v>-35.93</v>
      </c>
      <c r="UW11" s="13">
        <f t="shared" ca="1" si="284"/>
        <v>0.88023050587773832</v>
      </c>
      <c r="UX11" s="12">
        <f t="shared" ca="1" si="285"/>
        <v>264.06915176332149</v>
      </c>
      <c r="UY11" s="79"/>
      <c r="UZ11" s="12">
        <f t="shared" ca="1" si="451"/>
        <v>264.06915176332149</v>
      </c>
      <c r="VA11" s="18">
        <f t="shared" ca="1" si="286"/>
        <v>0.88023050587773832</v>
      </c>
      <c r="VC11" s="19">
        <f t="shared" ca="1" si="287"/>
        <v>264.06915176332149</v>
      </c>
      <c r="VD11" s="19">
        <f ca="1">INDEX(Totals[[#Data],[#Totals],[Car - Note]:[NONTRACKED]],MATCH(VC$1,Totals[Date],0),MATCH($C11,Totals[[#Headers],[Car - Note]:[NONTRACKED]],0))</f>
        <v>0</v>
      </c>
      <c r="VE11" s="19">
        <f t="shared" ca="1" si="452"/>
        <v>264.06915176332149</v>
      </c>
      <c r="VF11" s="19">
        <v>100</v>
      </c>
      <c r="VG11" s="19">
        <v>300</v>
      </c>
      <c r="VH11" s="19" t="b">
        <f t="shared" ca="1" si="453"/>
        <v>0</v>
      </c>
      <c r="VI11" s="100">
        <f t="shared" si="288"/>
        <v>0</v>
      </c>
      <c r="VJ11" s="19">
        <f t="shared" ca="1" si="289"/>
        <v>0</v>
      </c>
      <c r="VK11" s="19">
        <f t="shared" ca="1" si="454"/>
        <v>0</v>
      </c>
      <c r="VL11" s="100">
        <f t="shared" si="290"/>
        <v>1</v>
      </c>
      <c r="VM11" s="19">
        <f t="shared" ca="1" si="291"/>
        <v>35.930848236678514</v>
      </c>
      <c r="VN11" s="19">
        <f t="shared" ca="1" si="292"/>
        <v>35.930848236678514</v>
      </c>
      <c r="VO11" s="19">
        <f t="shared" ca="1" si="455"/>
        <v>23.819967124876623</v>
      </c>
      <c r="VP11" s="19">
        <f t="shared" ca="1" si="293"/>
        <v>287.88911888819808</v>
      </c>
      <c r="VQ11" s="19">
        <f t="shared" ca="1" si="294"/>
        <v>-12.11</v>
      </c>
      <c r="VR11" s="19">
        <f t="shared" ca="1" si="295"/>
        <v>0.9596303962939936</v>
      </c>
      <c r="VS11" s="12">
        <f t="shared" ca="1" si="296"/>
        <v>287.88911888819808</v>
      </c>
      <c r="VT11" s="79"/>
      <c r="VU11" s="12">
        <f t="shared" ca="1" si="456"/>
        <v>287.88911888819808</v>
      </c>
      <c r="VV11" s="18">
        <f t="shared" ca="1" si="297"/>
        <v>0.9596303962939936</v>
      </c>
      <c r="VX11" s="11">
        <f t="shared" ca="1" si="298"/>
        <v>287.88911888819808</v>
      </c>
      <c r="VY11" s="11">
        <f ca="1">INDEX(Totals[[#Data],[#Totals],[Car - Note]:[NONTRACKED]],MATCH(VX$1,Totals[Date],0),MATCH($C11,Totals[[#Headers],[Car - Note]:[NONTRACKED]],0))</f>
        <v>0</v>
      </c>
      <c r="VZ11" s="11">
        <f t="shared" ca="1" si="457"/>
        <v>287.88911888819808</v>
      </c>
      <c r="WA11" s="11">
        <v>100</v>
      </c>
      <c r="WB11" s="11">
        <v>300</v>
      </c>
      <c r="WC11" s="11" t="b">
        <f t="shared" ca="1" si="458"/>
        <v>0</v>
      </c>
      <c r="WD11" s="92">
        <f t="shared" si="299"/>
        <v>0</v>
      </c>
      <c r="WE11" s="11">
        <f t="shared" ca="1" si="300"/>
        <v>0</v>
      </c>
      <c r="WF11" s="11">
        <f t="shared" ca="1" si="459"/>
        <v>0</v>
      </c>
      <c r="WG11" s="92">
        <f t="shared" si="301"/>
        <v>1</v>
      </c>
      <c r="WH11" s="11">
        <f t="shared" ca="1" si="302"/>
        <v>12.110881111801916</v>
      </c>
      <c r="WI11" s="11">
        <f t="shared" ca="1" si="303"/>
        <v>12.110881111801916</v>
      </c>
      <c r="WJ11" s="11">
        <f t="shared" ca="1" si="460"/>
        <v>7.23250103886358</v>
      </c>
      <c r="WK11" s="11">
        <f t="shared" ca="1" si="304"/>
        <v>295.12161992706166</v>
      </c>
      <c r="WL11" s="11">
        <f t="shared" ca="1" si="305"/>
        <v>-4.88</v>
      </c>
      <c r="WM11" s="11">
        <f t="shared" ca="1" si="306"/>
        <v>0.98373873309020554</v>
      </c>
      <c r="WN11" s="12">
        <f t="shared" ca="1" si="307"/>
        <v>295.12161992706166</v>
      </c>
      <c r="WO11" s="79"/>
      <c r="WP11" s="12">
        <f t="shared" ca="1" si="461"/>
        <v>295.12161992706166</v>
      </c>
      <c r="WQ11" s="18">
        <f t="shared" ca="1" si="308"/>
        <v>0.98373873309020554</v>
      </c>
      <c r="WS11" s="13">
        <f t="shared" ca="1" si="309"/>
        <v>295.12161992706166</v>
      </c>
      <c r="WT11" s="13">
        <f ca="1">INDEX(Totals[[#Data],[#Totals],[Car - Note]:[NONTRACKED]],MATCH(WS$1,Totals[Date],0),MATCH($C11,Totals[[#Headers],[Car - Note]:[NONTRACKED]],0))</f>
        <v>0</v>
      </c>
      <c r="WU11" s="13">
        <f t="shared" ca="1" si="462"/>
        <v>295.12161992706166</v>
      </c>
      <c r="WV11" s="13">
        <v>100</v>
      </c>
      <c r="WW11" s="13">
        <v>300</v>
      </c>
      <c r="WX11" s="13" t="b">
        <f t="shared" ca="1" si="463"/>
        <v>0</v>
      </c>
      <c r="WY11" s="94">
        <f t="shared" si="310"/>
        <v>0</v>
      </c>
      <c r="WZ11" s="13">
        <f t="shared" ca="1" si="311"/>
        <v>0</v>
      </c>
      <c r="XA11" s="13">
        <f t="shared" ca="1" si="464"/>
        <v>0</v>
      </c>
      <c r="XB11" s="94">
        <f t="shared" si="312"/>
        <v>1</v>
      </c>
      <c r="XC11" s="13">
        <f t="shared" ca="1" si="313"/>
        <v>4.8783800729383415</v>
      </c>
      <c r="XD11" s="13">
        <f t="shared" ca="1" si="314"/>
        <v>4.8783800729383415</v>
      </c>
      <c r="XE11" s="13">
        <f t="shared" ca="1" si="465"/>
        <v>4.6203916358085122</v>
      </c>
      <c r="XF11" s="13">
        <f t="shared" ca="1" si="315"/>
        <v>299.74201156287018</v>
      </c>
      <c r="XG11" s="13">
        <f t="shared" ca="1" si="316"/>
        <v>-0.26</v>
      </c>
      <c r="XH11" s="13">
        <f t="shared" ca="1" si="317"/>
        <v>0.99914003854290057</v>
      </c>
      <c r="XI11" s="12">
        <f t="shared" ca="1" si="318"/>
        <v>299.74201156287018</v>
      </c>
      <c r="XJ11" s="104">
        <f t="shared" ca="1" si="319"/>
        <v>0.25798843712982489</v>
      </c>
      <c r="XK11" s="12">
        <f t="shared" ca="1" si="466"/>
        <v>300</v>
      </c>
      <c r="XL11" s="18">
        <f t="shared" ca="1" si="320"/>
        <v>1</v>
      </c>
      <c r="XN11">
        <v>0.4</v>
      </c>
      <c r="XO11" s="103">
        <f t="shared" ca="1" si="467"/>
        <v>118.04864797082467</v>
      </c>
      <c r="XP11" s="12">
        <f t="shared" ca="1" si="468"/>
        <v>177.07297195623698</v>
      </c>
      <c r="XQ11" s="102">
        <f t="shared" ca="1" si="469"/>
        <v>0.5902432398541233</v>
      </c>
    </row>
    <row r="12" spans="1:641" x14ac:dyDescent="0.25">
      <c r="A12" s="112"/>
      <c r="B12" t="s">
        <v>9</v>
      </c>
      <c r="C12" t="s">
        <v>41</v>
      </c>
      <c r="D12" s="79">
        <v>-15</v>
      </c>
      <c r="H12" s="48">
        <v>0</v>
      </c>
      <c r="I12" s="48"/>
      <c r="J12" s="48"/>
      <c r="K12" s="48">
        <v>25</v>
      </c>
      <c r="L12" s="95">
        <v>50</v>
      </c>
      <c r="M12" s="48"/>
      <c r="N12" s="96"/>
      <c r="O12" s="48"/>
      <c r="P12" s="48"/>
      <c r="Q12" s="96"/>
      <c r="R12" s="48"/>
      <c r="S12" s="48"/>
      <c r="T12" s="48"/>
      <c r="U12" s="48"/>
      <c r="V12" s="48"/>
      <c r="W12" s="48"/>
      <c r="X12" s="48"/>
      <c r="Y12" s="48"/>
      <c r="Z12" s="48">
        <f t="shared" si="321"/>
        <v>0</v>
      </c>
      <c r="AA12" s="98">
        <f t="shared" si="0"/>
        <v>0</v>
      </c>
      <c r="AC12" s="11">
        <f t="shared" si="1"/>
        <v>0</v>
      </c>
      <c r="AD12" s="11">
        <f ca="1">INDEX(Totals[[#Data],[#Totals],[Car - Note]:[NONTRACKED]],MATCH(AC$1,Totals[Date],0),MATCH($C12,Totals[[#Headers],[Car - Note]:[NONTRACKED]],0))</f>
        <v>0</v>
      </c>
      <c r="AE12" s="11">
        <f t="shared" ca="1" si="322"/>
        <v>0</v>
      </c>
      <c r="AF12" s="11">
        <v>25</v>
      </c>
      <c r="AG12" s="11">
        <v>50</v>
      </c>
      <c r="AH12" s="11" t="b">
        <f t="shared" ca="1" si="323"/>
        <v>0</v>
      </c>
      <c r="AI12" s="92">
        <f t="shared" si="2"/>
        <v>0</v>
      </c>
      <c r="AJ12" s="11">
        <f t="shared" ca="1" si="3"/>
        <v>0</v>
      </c>
      <c r="AK12" s="11">
        <f t="shared" ca="1" si="324"/>
        <v>0</v>
      </c>
      <c r="AL12" s="92">
        <f t="shared" si="4"/>
        <v>1</v>
      </c>
      <c r="AM12" s="11">
        <f t="shared" ca="1" si="5"/>
        <v>50</v>
      </c>
      <c r="AN12" s="11">
        <f t="shared" ca="1" si="6"/>
        <v>25</v>
      </c>
      <c r="AO12" s="11">
        <f t="shared" ca="1" si="325"/>
        <v>20.124244386242562</v>
      </c>
      <c r="AP12" s="11">
        <f t="shared" ca="1" si="7"/>
        <v>20.124244386242562</v>
      </c>
      <c r="AQ12" s="11">
        <f t="shared" ca="1" si="8"/>
        <v>-29.88</v>
      </c>
      <c r="AR12" s="11">
        <f t="shared" ca="1" si="9"/>
        <v>0.40248488772485125</v>
      </c>
      <c r="AS12" s="12">
        <f t="shared" ca="1" si="10"/>
        <v>20.124244386242562</v>
      </c>
      <c r="AT12" s="12"/>
      <c r="AU12" s="12">
        <f t="shared" ca="1" si="326"/>
        <v>20.124244386242562</v>
      </c>
      <c r="AV12" s="18">
        <f t="shared" ca="1" si="11"/>
        <v>0.40248488772485125</v>
      </c>
      <c r="AX12" s="13">
        <f t="shared" ca="1" si="12"/>
        <v>20.124244386242562</v>
      </c>
      <c r="AY12" s="13">
        <f ca="1">INDEX(Totals[[#Data],[#Totals],[Car - Note]:[NONTRACKED]],MATCH(AX$1,Totals[Date],0),MATCH($C12,Totals[[#Headers],[Car - Note]:[NONTRACKED]],0))</f>
        <v>0</v>
      </c>
      <c r="AZ12" s="13">
        <f t="shared" ca="1" si="327"/>
        <v>20.124244386242562</v>
      </c>
      <c r="BA12" s="13">
        <v>25</v>
      </c>
      <c r="BB12" s="13">
        <v>50</v>
      </c>
      <c r="BC12" s="13" t="b">
        <f t="shared" ca="1" si="328"/>
        <v>0</v>
      </c>
      <c r="BD12" s="94">
        <f t="shared" si="13"/>
        <v>0</v>
      </c>
      <c r="BE12" s="13">
        <f t="shared" ca="1" si="14"/>
        <v>0</v>
      </c>
      <c r="BF12" s="13">
        <f t="shared" ca="1" si="329"/>
        <v>0</v>
      </c>
      <c r="BG12" s="94">
        <f t="shared" si="15"/>
        <v>1</v>
      </c>
      <c r="BH12" s="13">
        <f t="shared" ca="1" si="16"/>
        <v>29.875755613757438</v>
      </c>
      <c r="BI12" s="13">
        <f t="shared" ca="1" si="17"/>
        <v>25</v>
      </c>
      <c r="BJ12" s="13">
        <f t="shared" ca="1" si="330"/>
        <v>11.929820159526644</v>
      </c>
      <c r="BK12" s="13">
        <f t="shared" ca="1" si="18"/>
        <v>32.054064545769208</v>
      </c>
      <c r="BL12" s="13">
        <f t="shared" ca="1" si="19"/>
        <v>-17.95</v>
      </c>
      <c r="BM12" s="13">
        <f t="shared" ca="1" si="20"/>
        <v>0.64108129091538413</v>
      </c>
      <c r="BN12" s="12">
        <f t="shared" ca="1" si="21"/>
        <v>32.054064545769208</v>
      </c>
      <c r="BO12" s="12"/>
      <c r="BP12" s="12">
        <f t="shared" ca="1" si="331"/>
        <v>32.054064545769208</v>
      </c>
      <c r="BQ12" s="18">
        <f t="shared" ca="1" si="22"/>
        <v>0.64108129091538413</v>
      </c>
      <c r="BS12" s="19">
        <f t="shared" ca="1" si="23"/>
        <v>32.054064545769208</v>
      </c>
      <c r="BT12" s="19">
        <f ca="1">INDEX(Totals[[#Data],[#Totals],[Car - Note]:[NONTRACKED]],MATCH(BS$1,Totals[Date],0),MATCH($C12,Totals[[#Headers],[Car - Note]:[NONTRACKED]],0))</f>
        <v>-21.14</v>
      </c>
      <c r="BU12" s="19">
        <f t="shared" ca="1" si="332"/>
        <v>10.914064545769207</v>
      </c>
      <c r="BV12" s="19">
        <v>100</v>
      </c>
      <c r="BW12" s="19">
        <v>150</v>
      </c>
      <c r="BX12" s="19" t="b">
        <f t="shared" ca="1" si="333"/>
        <v>0</v>
      </c>
      <c r="BY12" s="100">
        <f t="shared" si="24"/>
        <v>0</v>
      </c>
      <c r="BZ12" s="19">
        <f t="shared" ca="1" si="25"/>
        <v>0</v>
      </c>
      <c r="CA12" s="19">
        <f t="shared" ca="1" si="334"/>
        <v>0</v>
      </c>
      <c r="CB12" s="100">
        <f t="shared" si="26"/>
        <v>1</v>
      </c>
      <c r="CC12" s="19">
        <f t="shared" ca="1" si="27"/>
        <v>139.08593545423079</v>
      </c>
      <c r="CD12" s="19">
        <f t="shared" ca="1" si="28"/>
        <v>100</v>
      </c>
      <c r="CE12" s="19">
        <f t="shared" ca="1" si="335"/>
        <v>99.999999999999986</v>
      </c>
      <c r="CF12" s="19">
        <f t="shared" ca="1" si="29"/>
        <v>110.91406454576919</v>
      </c>
      <c r="CG12" s="19">
        <f t="shared" ca="1" si="30"/>
        <v>-39.090000000000003</v>
      </c>
      <c r="CH12" s="19">
        <f t="shared" ca="1" si="31"/>
        <v>0.73942709697179465</v>
      </c>
      <c r="CI12" s="12">
        <f t="shared" ca="1" si="32"/>
        <v>110.91406454576919</v>
      </c>
      <c r="CJ12" s="10">
        <f t="shared" ca="1" si="470"/>
        <v>39.085935454230807</v>
      </c>
      <c r="CK12" s="12">
        <f t="shared" ca="1" si="336"/>
        <v>150</v>
      </c>
      <c r="CL12" s="18">
        <f t="shared" ca="1" si="33"/>
        <v>1</v>
      </c>
      <c r="CN12" s="11">
        <f t="shared" ca="1" si="34"/>
        <v>150</v>
      </c>
      <c r="CO12" s="11">
        <f ca="1">INDEX(Totals[[#Data],[#Totals],[Car - Note]:[NONTRACKED]],MATCH(CN$1,Totals[Date],0),MATCH($C12,Totals[[#Headers],[Car - Note]:[NONTRACKED]],0))</f>
        <v>0</v>
      </c>
      <c r="CP12" s="11">
        <f t="shared" ca="1" si="337"/>
        <v>150</v>
      </c>
      <c r="CQ12" s="11">
        <v>100</v>
      </c>
      <c r="CR12" s="11">
        <v>200</v>
      </c>
      <c r="CS12" s="11" t="b">
        <f t="shared" ca="1" si="338"/>
        <v>0</v>
      </c>
      <c r="CT12" s="92">
        <f t="shared" si="35"/>
        <v>0</v>
      </c>
      <c r="CU12" s="11">
        <f t="shared" ca="1" si="36"/>
        <v>0</v>
      </c>
      <c r="CV12" s="11">
        <f t="shared" ca="1" si="339"/>
        <v>0</v>
      </c>
      <c r="CW12" s="92">
        <f t="shared" si="37"/>
        <v>1</v>
      </c>
      <c r="CX12" s="11">
        <f t="shared" ca="1" si="38"/>
        <v>50</v>
      </c>
      <c r="CY12" s="11">
        <f t="shared" ca="1" si="39"/>
        <v>50</v>
      </c>
      <c r="CZ12" s="11">
        <f t="shared" ca="1" si="340"/>
        <v>50</v>
      </c>
      <c r="DA12" s="11">
        <f t="shared" ca="1" si="40"/>
        <v>200</v>
      </c>
      <c r="DB12" s="11">
        <f t="shared" ca="1" si="41"/>
        <v>0</v>
      </c>
      <c r="DC12" s="11">
        <f t="shared" ca="1" si="42"/>
        <v>1</v>
      </c>
      <c r="DD12" s="12">
        <f t="shared" ca="1" si="43"/>
        <v>200</v>
      </c>
      <c r="DE12" s="79"/>
      <c r="DF12" s="12">
        <f t="shared" ca="1" si="341"/>
        <v>200</v>
      </c>
      <c r="DG12" s="18">
        <f t="shared" ca="1" si="44"/>
        <v>1</v>
      </c>
      <c r="DI12" s="13">
        <f t="shared" ca="1" si="45"/>
        <v>200</v>
      </c>
      <c r="DJ12" s="13">
        <f ca="1">INDEX(Totals[[#Data],[#Totals],[Car - Note]:[NONTRACKED]],MATCH(DI$1,Totals[Date],0),MATCH($C12,Totals[[#Headers],[Car - Note]:[NONTRACKED]],0))</f>
        <v>0</v>
      </c>
      <c r="DK12" s="13">
        <f t="shared" ca="1" si="342"/>
        <v>200</v>
      </c>
      <c r="DL12" s="13">
        <v>100</v>
      </c>
      <c r="DM12" s="13">
        <v>200</v>
      </c>
      <c r="DN12" s="13" t="b">
        <f t="shared" ca="1" si="343"/>
        <v>1</v>
      </c>
      <c r="DO12" s="94">
        <f t="shared" si="46"/>
        <v>0</v>
      </c>
      <c r="DP12" s="13">
        <f t="shared" ca="1" si="47"/>
        <v>0</v>
      </c>
      <c r="DQ12" s="13">
        <f t="shared" ca="1" si="344"/>
        <v>0</v>
      </c>
      <c r="DR12" s="94">
        <f t="shared" si="48"/>
        <v>1</v>
      </c>
      <c r="DS12" s="13">
        <f t="shared" ca="1" si="49"/>
        <v>0</v>
      </c>
      <c r="DT12" s="13">
        <f t="shared" ca="1" si="50"/>
        <v>0</v>
      </c>
      <c r="DU12" s="13">
        <f t="shared" ca="1" si="345"/>
        <v>0</v>
      </c>
      <c r="DV12" s="13">
        <f t="shared" ca="1" si="51"/>
        <v>200</v>
      </c>
      <c r="DW12" s="13">
        <f t="shared" ca="1" si="52"/>
        <v>0</v>
      </c>
      <c r="DX12" s="13">
        <f t="shared" ca="1" si="53"/>
        <v>1</v>
      </c>
      <c r="DY12" s="12">
        <f t="shared" ca="1" si="54"/>
        <v>200</v>
      </c>
      <c r="DZ12" s="79"/>
      <c r="EA12" s="12">
        <f t="shared" ca="1" si="346"/>
        <v>200</v>
      </c>
      <c r="EB12" s="18">
        <f t="shared" ca="1" si="55"/>
        <v>1</v>
      </c>
      <c r="ED12" s="19">
        <f t="shared" ca="1" si="56"/>
        <v>200</v>
      </c>
      <c r="EE12" s="19">
        <f ca="1">INDEX(Totals[[#Data],[#Totals],[Car - Note]:[NONTRACKED]],MATCH(ED$1,Totals[Date],0),MATCH($C12,Totals[[#Headers],[Car - Note]:[NONTRACKED]],0))</f>
        <v>0</v>
      </c>
      <c r="EF12" s="19">
        <f t="shared" ca="1" si="347"/>
        <v>200</v>
      </c>
      <c r="EG12" s="19">
        <v>100</v>
      </c>
      <c r="EH12" s="19">
        <v>200</v>
      </c>
      <c r="EI12" s="19" t="b">
        <f t="shared" ca="1" si="348"/>
        <v>1</v>
      </c>
      <c r="EJ12" s="100">
        <f t="shared" si="57"/>
        <v>0</v>
      </c>
      <c r="EK12" s="19">
        <f t="shared" ca="1" si="58"/>
        <v>0</v>
      </c>
      <c r="EL12" s="19">
        <f t="shared" ca="1" si="349"/>
        <v>0</v>
      </c>
      <c r="EM12" s="100">
        <f t="shared" si="59"/>
        <v>1</v>
      </c>
      <c r="EN12" s="19">
        <f t="shared" ca="1" si="60"/>
        <v>0</v>
      </c>
      <c r="EO12" s="19">
        <f t="shared" ca="1" si="61"/>
        <v>0</v>
      </c>
      <c r="EP12" s="19">
        <f t="shared" ca="1" si="350"/>
        <v>0</v>
      </c>
      <c r="EQ12" s="19">
        <f t="shared" ca="1" si="62"/>
        <v>200</v>
      </c>
      <c r="ER12" s="19">
        <f t="shared" ca="1" si="63"/>
        <v>0</v>
      </c>
      <c r="ES12" s="19">
        <f t="shared" ca="1" si="64"/>
        <v>1</v>
      </c>
      <c r="ET12" s="12">
        <f t="shared" ca="1" si="65"/>
        <v>200</v>
      </c>
      <c r="EU12" s="79"/>
      <c r="EV12" s="12">
        <f t="shared" ca="1" si="351"/>
        <v>200</v>
      </c>
      <c r="EW12" s="18">
        <f t="shared" ca="1" si="66"/>
        <v>1</v>
      </c>
      <c r="EY12" s="11">
        <f t="shared" ca="1" si="67"/>
        <v>200</v>
      </c>
      <c r="EZ12" s="11">
        <f ca="1">INDEX(Totals[[#Data],[#Totals],[Car - Note]:[NONTRACKED]],MATCH(EY$1,Totals[Date],0),MATCH($C12,Totals[[#Headers],[Car - Note]:[NONTRACKED]],0))</f>
        <v>-28.37</v>
      </c>
      <c r="FA12" s="11">
        <f t="shared" ca="1" si="352"/>
        <v>171.63</v>
      </c>
      <c r="FB12" s="11">
        <v>100</v>
      </c>
      <c r="FC12" s="11">
        <v>200</v>
      </c>
      <c r="FD12" s="11" t="b">
        <f t="shared" ca="1" si="353"/>
        <v>0</v>
      </c>
      <c r="FE12" s="92">
        <f t="shared" si="68"/>
        <v>0</v>
      </c>
      <c r="FF12" s="11">
        <f t="shared" ca="1" si="69"/>
        <v>0</v>
      </c>
      <c r="FG12" s="11">
        <f t="shared" ca="1" si="354"/>
        <v>0</v>
      </c>
      <c r="FH12" s="92">
        <f t="shared" si="70"/>
        <v>1</v>
      </c>
      <c r="FI12" s="11">
        <f t="shared" ca="1" si="71"/>
        <v>28.370000000000005</v>
      </c>
      <c r="FJ12" s="11">
        <f t="shared" ca="1" si="72"/>
        <v>28.370000000000005</v>
      </c>
      <c r="FK12" s="11">
        <f t="shared" ca="1" si="355"/>
        <v>12.289201581419587</v>
      </c>
      <c r="FL12" s="11">
        <f t="shared" ca="1" si="73"/>
        <v>183.91920158141957</v>
      </c>
      <c r="FM12" s="11">
        <f t="shared" ca="1" si="74"/>
        <v>-16.079999999999998</v>
      </c>
      <c r="FN12" s="11">
        <f t="shared" ca="1" si="75"/>
        <v>0.91959600790709783</v>
      </c>
      <c r="FO12" s="12">
        <f t="shared" ca="1" si="76"/>
        <v>183.91920158141957</v>
      </c>
      <c r="FP12" s="79"/>
      <c r="FQ12" s="12">
        <f t="shared" ca="1" si="356"/>
        <v>183.91920158141957</v>
      </c>
      <c r="FR12" s="18">
        <f t="shared" ca="1" si="77"/>
        <v>0.91959600790709783</v>
      </c>
      <c r="FT12" s="13">
        <f t="shared" ca="1" si="78"/>
        <v>183.91920158141957</v>
      </c>
      <c r="FU12" s="13">
        <f ca="1">INDEX(Totals[[#Data],[#Totals],[Car - Note]:[NONTRACKED]],MATCH(FT$1,Totals[Date],0),MATCH($C12,Totals[[#Headers],[Car - Note]:[NONTRACKED]],0))</f>
        <v>0</v>
      </c>
      <c r="FV12" s="13">
        <f t="shared" ca="1" si="357"/>
        <v>183.91920158141957</v>
      </c>
      <c r="FW12" s="13">
        <v>100</v>
      </c>
      <c r="FX12" s="13">
        <v>200</v>
      </c>
      <c r="FY12" s="13" t="b">
        <f t="shared" ca="1" si="358"/>
        <v>0</v>
      </c>
      <c r="FZ12" s="94">
        <f t="shared" si="79"/>
        <v>0</v>
      </c>
      <c r="GA12" s="13">
        <f t="shared" ca="1" si="80"/>
        <v>0</v>
      </c>
      <c r="GB12" s="13">
        <f t="shared" ca="1" si="359"/>
        <v>0</v>
      </c>
      <c r="GC12" s="94">
        <f t="shared" si="81"/>
        <v>1</v>
      </c>
      <c r="GD12" s="13">
        <f t="shared" ca="1" si="82"/>
        <v>16.080798418580429</v>
      </c>
      <c r="GE12" s="13">
        <f t="shared" ca="1" si="83"/>
        <v>16.080798418580429</v>
      </c>
      <c r="GF12" s="13">
        <f t="shared" ca="1" si="360"/>
        <v>6.9469263475116785</v>
      </c>
      <c r="GG12" s="13">
        <f t="shared" ca="1" si="84"/>
        <v>190.86612792893126</v>
      </c>
      <c r="GH12" s="13">
        <f t="shared" ca="1" si="85"/>
        <v>-9.1300000000000008</v>
      </c>
      <c r="GI12" s="13">
        <f t="shared" ca="1" si="86"/>
        <v>0.95433063964465636</v>
      </c>
      <c r="GJ12" s="12">
        <f t="shared" ca="1" si="87"/>
        <v>190.86612792893126</v>
      </c>
      <c r="GK12" s="79"/>
      <c r="GL12" s="12">
        <f t="shared" ca="1" si="361"/>
        <v>190.86612792893126</v>
      </c>
      <c r="GM12" s="18">
        <f t="shared" ca="1" si="88"/>
        <v>0.95433063964465636</v>
      </c>
      <c r="GO12" s="19">
        <f t="shared" ca="1" si="89"/>
        <v>190.86612792893126</v>
      </c>
      <c r="GP12" s="19">
        <f ca="1">INDEX(Totals[[#Data],[#Totals],[Car - Note]:[NONTRACKED]],MATCH(GO$1,Totals[Date],0),MATCH($C12,Totals[[#Headers],[Car - Note]:[NONTRACKED]],0))</f>
        <v>-14.06</v>
      </c>
      <c r="GQ12" s="19">
        <f t="shared" ca="1" si="362"/>
        <v>176.80612792893126</v>
      </c>
      <c r="GR12" s="19">
        <v>100</v>
      </c>
      <c r="GS12" s="19">
        <v>200</v>
      </c>
      <c r="GT12" s="19" t="b">
        <f t="shared" ca="1" si="363"/>
        <v>0</v>
      </c>
      <c r="GU12" s="100">
        <f t="shared" si="90"/>
        <v>0</v>
      </c>
      <c r="GV12" s="19">
        <f t="shared" ca="1" si="91"/>
        <v>0</v>
      </c>
      <c r="GW12" s="19">
        <f t="shared" ca="1" si="364"/>
        <v>0</v>
      </c>
      <c r="GX12" s="100">
        <f t="shared" si="92"/>
        <v>1</v>
      </c>
      <c r="GY12" s="19">
        <f t="shared" ca="1" si="93"/>
        <v>23.193872071068739</v>
      </c>
      <c r="GZ12" s="19">
        <f t="shared" ca="1" si="94"/>
        <v>23.193872071068739</v>
      </c>
      <c r="HA12" s="19">
        <f t="shared" ca="1" si="365"/>
        <v>10.246953913975503</v>
      </c>
      <c r="HB12" s="19">
        <f t="shared" ca="1" si="95"/>
        <v>187.05308184290675</v>
      </c>
      <c r="HC12" s="19">
        <f t="shared" ca="1" si="96"/>
        <v>-12.95</v>
      </c>
      <c r="HD12" s="19">
        <f t="shared" ca="1" si="97"/>
        <v>0.93526540921453372</v>
      </c>
      <c r="HE12" s="12">
        <f t="shared" ca="1" si="98"/>
        <v>187.05308184290675</v>
      </c>
      <c r="HF12" s="79"/>
      <c r="HG12" s="12">
        <f t="shared" ca="1" si="366"/>
        <v>187.05308184290675</v>
      </c>
      <c r="HH12" s="18">
        <f t="shared" ca="1" si="99"/>
        <v>0.93526540921453372</v>
      </c>
      <c r="HJ12" s="11">
        <f t="shared" ca="1" si="100"/>
        <v>187.05308184290675</v>
      </c>
      <c r="HK12" s="11">
        <f ca="1">INDEX(Totals[[#Data],[#Totals],[Car - Note]:[NONTRACKED]],MATCH(HJ$1,Totals[Date],0),MATCH($C12,Totals[[#Headers],[Car - Note]:[NONTRACKED]],0))</f>
        <v>-44.760000000000005</v>
      </c>
      <c r="HL12" s="11">
        <f t="shared" ca="1" si="367"/>
        <v>142.29308184290676</v>
      </c>
      <c r="HM12" s="11">
        <v>100</v>
      </c>
      <c r="HN12" s="11">
        <v>200</v>
      </c>
      <c r="HO12" s="11" t="b">
        <f t="shared" ca="1" si="368"/>
        <v>0</v>
      </c>
      <c r="HP12" s="92">
        <f t="shared" si="101"/>
        <v>0</v>
      </c>
      <c r="HQ12" s="11">
        <f t="shared" ca="1" si="102"/>
        <v>0</v>
      </c>
      <c r="HR12" s="11">
        <f t="shared" ca="1" si="369"/>
        <v>0</v>
      </c>
      <c r="HS12" s="92">
        <f t="shared" si="103"/>
        <v>1</v>
      </c>
      <c r="HT12" s="11">
        <f t="shared" ca="1" si="104"/>
        <v>57.706918157093241</v>
      </c>
      <c r="HU12" s="11">
        <f t="shared" ca="1" si="105"/>
        <v>57.706918157093241</v>
      </c>
      <c r="HV12" s="11">
        <f t="shared" ca="1" si="370"/>
        <v>24.421753697244849</v>
      </c>
      <c r="HW12" s="11">
        <f t="shared" ca="1" si="106"/>
        <v>166.7148355401516</v>
      </c>
      <c r="HX12" s="11">
        <f t="shared" ca="1" si="107"/>
        <v>-33.29</v>
      </c>
      <c r="HY12" s="11">
        <f t="shared" ca="1" si="108"/>
        <v>0.83357417770075803</v>
      </c>
      <c r="HZ12" s="12">
        <f t="shared" ca="1" si="109"/>
        <v>166.7148355401516</v>
      </c>
      <c r="IA12" s="79"/>
      <c r="IB12" s="12">
        <f t="shared" ca="1" si="371"/>
        <v>166.7148355401516</v>
      </c>
      <c r="IC12" s="18">
        <f t="shared" ca="1" si="110"/>
        <v>0.83357417770075803</v>
      </c>
      <c r="IE12" s="13">
        <f t="shared" ca="1" si="111"/>
        <v>166.7148355401516</v>
      </c>
      <c r="IF12" s="13">
        <f ca="1">INDEX(Totals[[#Data],[#Totals],[Car - Note]:[NONTRACKED]],MATCH(IE$1,Totals[Date],0),MATCH($C12,Totals[[#Headers],[Car - Note]:[NONTRACKED]],0))</f>
        <v>-17.3</v>
      </c>
      <c r="IG12" s="13">
        <f t="shared" ca="1" si="372"/>
        <v>149.41483554015159</v>
      </c>
      <c r="IH12" s="13">
        <v>100</v>
      </c>
      <c r="II12" s="13">
        <v>200</v>
      </c>
      <c r="IJ12" s="13" t="b">
        <f t="shared" ca="1" si="373"/>
        <v>0</v>
      </c>
      <c r="IK12" s="94">
        <f t="shared" si="112"/>
        <v>0</v>
      </c>
      <c r="IL12" s="13">
        <f t="shared" ca="1" si="113"/>
        <v>0</v>
      </c>
      <c r="IM12" s="13">
        <f t="shared" ca="1" si="374"/>
        <v>0</v>
      </c>
      <c r="IN12" s="94">
        <f t="shared" si="114"/>
        <v>1</v>
      </c>
      <c r="IO12" s="13">
        <f t="shared" ca="1" si="115"/>
        <v>50.585164459848414</v>
      </c>
      <c r="IP12" s="13">
        <f t="shared" ca="1" si="116"/>
        <v>50.585164459848414</v>
      </c>
      <c r="IQ12" s="13">
        <f t="shared" ca="1" si="375"/>
        <v>23.366667885085494</v>
      </c>
      <c r="IR12" s="13">
        <f t="shared" ca="1" si="117"/>
        <v>172.78150342523708</v>
      </c>
      <c r="IS12" s="13">
        <f t="shared" ca="1" si="118"/>
        <v>-27.22</v>
      </c>
      <c r="IT12" s="13">
        <f t="shared" ca="1" si="119"/>
        <v>0.86390751712618541</v>
      </c>
      <c r="IU12" s="12">
        <f t="shared" ca="1" si="120"/>
        <v>172.78150342523708</v>
      </c>
      <c r="IV12" s="79">
        <v>-25</v>
      </c>
      <c r="IW12" s="12">
        <f t="shared" ca="1" si="376"/>
        <v>147.78150342523708</v>
      </c>
      <c r="IX12" s="18">
        <f t="shared" ca="1" si="121"/>
        <v>0.73890751712618541</v>
      </c>
      <c r="IZ12" s="19">
        <f t="shared" ca="1" si="122"/>
        <v>147.78150342523708</v>
      </c>
      <c r="JA12" s="19">
        <f ca="1">INDEX(Totals[[#Data],[#Totals],[Car - Note]:[NONTRACKED]],MATCH(IZ$1,Totals[Date],0),MATCH($C12,Totals[[#Headers],[Car - Note]:[NONTRACKED]],0))</f>
        <v>-10.81</v>
      </c>
      <c r="JB12" s="19">
        <f t="shared" ca="1" si="377"/>
        <v>136.97150342523707</v>
      </c>
      <c r="JC12" s="19">
        <v>100</v>
      </c>
      <c r="JD12" s="19">
        <v>200</v>
      </c>
      <c r="JE12" s="19" t="b">
        <f t="shared" ca="1" si="378"/>
        <v>0</v>
      </c>
      <c r="JF12" s="100">
        <f t="shared" si="123"/>
        <v>0</v>
      </c>
      <c r="JG12" s="19">
        <f t="shared" ca="1" si="124"/>
        <v>0</v>
      </c>
      <c r="JH12" s="19">
        <f t="shared" ca="1" si="379"/>
        <v>0</v>
      </c>
      <c r="JI12" s="100">
        <f t="shared" si="125"/>
        <v>1</v>
      </c>
      <c r="JJ12" s="19">
        <f t="shared" ca="1" si="126"/>
        <v>63.028496574762926</v>
      </c>
      <c r="JK12" s="19">
        <f t="shared" ca="1" si="127"/>
        <v>63.028496574762926</v>
      </c>
      <c r="JL12" s="19">
        <f t="shared" ca="1" si="380"/>
        <v>24.12067585203588</v>
      </c>
      <c r="JM12" s="19">
        <f t="shared" ca="1" si="128"/>
        <v>161.09217927727295</v>
      </c>
      <c r="JN12" s="19">
        <f t="shared" ca="1" si="129"/>
        <v>-38.909999999999997</v>
      </c>
      <c r="JO12" s="19">
        <f t="shared" ca="1" si="130"/>
        <v>0.80546089638636476</v>
      </c>
      <c r="JP12" s="12">
        <f t="shared" ca="1" si="131"/>
        <v>161.09217927727295</v>
      </c>
      <c r="JQ12" s="79"/>
      <c r="JR12" s="12">
        <f t="shared" ca="1" si="381"/>
        <v>161.09217927727295</v>
      </c>
      <c r="JS12" s="18">
        <f t="shared" ca="1" si="132"/>
        <v>0.80546089638636476</v>
      </c>
      <c r="JU12" s="11">
        <f t="shared" ca="1" si="133"/>
        <v>161.09217927727295</v>
      </c>
      <c r="JV12" s="11">
        <f ca="1">INDEX(Totals[[#Data],[#Totals],[Car - Note]:[NONTRACKED]],MATCH(JU$1,Totals[Date],0),MATCH($C12,Totals[[#Headers],[Car - Note]:[NONTRACKED]],0))</f>
        <v>-4.1399999999999997</v>
      </c>
      <c r="JW12" s="11">
        <f t="shared" ca="1" si="382"/>
        <v>156.95217927727296</v>
      </c>
      <c r="JX12" s="11">
        <v>100</v>
      </c>
      <c r="JY12" s="11">
        <v>200</v>
      </c>
      <c r="JZ12" s="11" t="b">
        <f t="shared" ca="1" si="383"/>
        <v>0</v>
      </c>
      <c r="KA12" s="92">
        <f t="shared" si="134"/>
        <v>0</v>
      </c>
      <c r="KB12" s="11">
        <f t="shared" ca="1" si="135"/>
        <v>0</v>
      </c>
      <c r="KC12" s="11">
        <f t="shared" ca="1" si="384"/>
        <v>0</v>
      </c>
      <c r="KD12" s="92">
        <f t="shared" si="136"/>
        <v>1</v>
      </c>
      <c r="KE12" s="11">
        <f t="shared" ca="1" si="137"/>
        <v>43.047820722727039</v>
      </c>
      <c r="KF12" s="11">
        <f t="shared" ca="1" si="138"/>
        <v>43.047820722727039</v>
      </c>
      <c r="KG12" s="11">
        <f t="shared" ca="1" si="385"/>
        <v>29.77392386587767</v>
      </c>
      <c r="KH12" s="11">
        <f t="shared" ca="1" si="139"/>
        <v>186.72610314315062</v>
      </c>
      <c r="KI12" s="11">
        <f t="shared" ca="1" si="140"/>
        <v>-13.27</v>
      </c>
      <c r="KJ12" s="11">
        <f t="shared" ca="1" si="141"/>
        <v>0.93363051571575317</v>
      </c>
      <c r="KK12" s="12">
        <f t="shared" ca="1" si="142"/>
        <v>186.72610314315062</v>
      </c>
      <c r="KL12" s="79"/>
      <c r="KM12" s="12">
        <f t="shared" ca="1" si="386"/>
        <v>186.72610314315062</v>
      </c>
      <c r="KN12" s="18">
        <f t="shared" ca="1" si="143"/>
        <v>0.93363051571575317</v>
      </c>
      <c r="KP12" s="13">
        <f t="shared" ca="1" si="144"/>
        <v>186.72610314315062</v>
      </c>
      <c r="KQ12" s="13">
        <f ca="1">INDEX(Totals[[#Data],[#Totals],[Car - Note]:[NONTRACKED]],MATCH(KP$1,Totals[Date],0),MATCH($C12,Totals[[#Headers],[Car - Note]:[NONTRACKED]],0))</f>
        <v>0</v>
      </c>
      <c r="KR12" s="13">
        <f t="shared" ca="1" si="387"/>
        <v>186.72610314315062</v>
      </c>
      <c r="KS12" s="13">
        <v>100</v>
      </c>
      <c r="KT12" s="13">
        <v>200</v>
      </c>
      <c r="KU12" s="13" t="b">
        <f t="shared" ca="1" si="388"/>
        <v>0</v>
      </c>
      <c r="KV12" s="94">
        <f t="shared" si="145"/>
        <v>0</v>
      </c>
      <c r="KW12" s="13">
        <f t="shared" ca="1" si="146"/>
        <v>0</v>
      </c>
      <c r="KX12" s="13">
        <f t="shared" ca="1" si="389"/>
        <v>0</v>
      </c>
      <c r="KY12" s="94">
        <f t="shared" si="147"/>
        <v>1</v>
      </c>
      <c r="KZ12" s="13">
        <f t="shared" ca="1" si="148"/>
        <v>13.273896856849376</v>
      </c>
      <c r="LA12" s="13">
        <f t="shared" ca="1" si="149"/>
        <v>13.273896856849376</v>
      </c>
      <c r="LB12" s="13">
        <f t="shared" ca="1" si="390"/>
        <v>10.128111737879447</v>
      </c>
      <c r="LC12" s="13">
        <f t="shared" ca="1" si="150"/>
        <v>196.85421488103006</v>
      </c>
      <c r="LD12" s="13">
        <f t="shared" ca="1" si="151"/>
        <v>-3.15</v>
      </c>
      <c r="LE12" s="13">
        <f t="shared" ca="1" si="152"/>
        <v>0.98427107440515027</v>
      </c>
      <c r="LF12" s="12">
        <f t="shared" ca="1" si="153"/>
        <v>196.85421488103006</v>
      </c>
      <c r="LG12" s="79"/>
      <c r="LH12" s="12">
        <f t="shared" ca="1" si="391"/>
        <v>196.85421488103006</v>
      </c>
      <c r="LI12" s="18">
        <f t="shared" ca="1" si="154"/>
        <v>0.98427107440515027</v>
      </c>
      <c r="LK12" s="19">
        <f t="shared" ca="1" si="155"/>
        <v>196.85421488103006</v>
      </c>
      <c r="LL12" s="19">
        <f ca="1">INDEX(Totals[[#Data],[#Totals],[Car - Note]:[NONTRACKED]],MATCH(LK$1,Totals[Date],0),MATCH($C12,Totals[[#Headers],[Car - Note]:[NONTRACKED]],0))</f>
        <v>0</v>
      </c>
      <c r="LM12" s="19">
        <f t="shared" ca="1" si="392"/>
        <v>196.85421488103006</v>
      </c>
      <c r="LN12" s="19">
        <v>100</v>
      </c>
      <c r="LO12" s="19">
        <v>200</v>
      </c>
      <c r="LP12" s="19" t="b">
        <f t="shared" ca="1" si="393"/>
        <v>0</v>
      </c>
      <c r="LQ12" s="100">
        <f t="shared" si="156"/>
        <v>0</v>
      </c>
      <c r="LR12" s="19">
        <f t="shared" ca="1" si="157"/>
        <v>0</v>
      </c>
      <c r="LS12" s="19">
        <f t="shared" ca="1" si="394"/>
        <v>0</v>
      </c>
      <c r="LT12" s="100">
        <f t="shared" si="158"/>
        <v>1</v>
      </c>
      <c r="LU12" s="19">
        <f t="shared" ca="1" si="159"/>
        <v>3.1457851189699397</v>
      </c>
      <c r="LV12" s="19">
        <f t="shared" ca="1" si="160"/>
        <v>3.1457851189699397</v>
      </c>
      <c r="LW12" s="19">
        <f t="shared" ca="1" si="395"/>
        <v>1.9968005833647768</v>
      </c>
      <c r="LX12" s="19">
        <f t="shared" ca="1" si="161"/>
        <v>198.85101546439483</v>
      </c>
      <c r="LY12" s="19">
        <f t="shared" ca="1" si="162"/>
        <v>-1.1499999999999999</v>
      </c>
      <c r="LZ12" s="19">
        <f t="shared" ca="1" si="163"/>
        <v>0.99425507732197416</v>
      </c>
      <c r="MA12" s="12">
        <f t="shared" ca="1" si="164"/>
        <v>198.85101546439483</v>
      </c>
      <c r="MB12" s="79"/>
      <c r="MC12" s="12">
        <f t="shared" ca="1" si="396"/>
        <v>198.85101546439483</v>
      </c>
      <c r="MD12" s="18">
        <f t="shared" ca="1" si="165"/>
        <v>0.99425507732197416</v>
      </c>
      <c r="MF12" s="11">
        <f t="shared" ca="1" si="166"/>
        <v>198.85101546439483</v>
      </c>
      <c r="MG12" s="11">
        <f ca="1">INDEX(Totals[[#Data],[#Totals],[Car - Note]:[NONTRACKED]],MATCH(MF$1,Totals[Date],0),MATCH($C12,Totals[[#Headers],[Car - Note]:[NONTRACKED]],0))</f>
        <v>0</v>
      </c>
      <c r="MH12" s="11">
        <f t="shared" ca="1" si="397"/>
        <v>198.85101546439483</v>
      </c>
      <c r="MI12" s="11">
        <v>100</v>
      </c>
      <c r="MJ12" s="11">
        <v>200</v>
      </c>
      <c r="MK12" s="11" t="b">
        <f t="shared" ca="1" si="398"/>
        <v>0</v>
      </c>
      <c r="ML12" s="92">
        <f t="shared" si="167"/>
        <v>0</v>
      </c>
      <c r="MM12" s="11">
        <f t="shared" ca="1" si="168"/>
        <v>0</v>
      </c>
      <c r="MN12" s="11">
        <f t="shared" ca="1" si="399"/>
        <v>0</v>
      </c>
      <c r="MO12" s="92">
        <f t="shared" si="169"/>
        <v>1</v>
      </c>
      <c r="MP12" s="11">
        <f t="shared" ca="1" si="170"/>
        <v>1.148984535605166</v>
      </c>
      <c r="MQ12" s="11">
        <f t="shared" ca="1" si="171"/>
        <v>1.148984535605166</v>
      </c>
      <c r="MR12" s="11">
        <f t="shared" ca="1" si="400"/>
        <v>0.57537518673291765</v>
      </c>
      <c r="MS12" s="11">
        <f t="shared" ca="1" si="172"/>
        <v>199.42639065112775</v>
      </c>
      <c r="MT12" s="11">
        <f t="shared" ca="1" si="173"/>
        <v>-0.56999999999999995</v>
      </c>
      <c r="MU12" s="11">
        <f t="shared" ca="1" si="174"/>
        <v>0.99713195325563875</v>
      </c>
      <c r="MV12" s="12">
        <f t="shared" ca="1" si="175"/>
        <v>199.42639065112775</v>
      </c>
      <c r="MW12" s="79">
        <v>-100</v>
      </c>
      <c r="MX12" s="12">
        <f t="shared" ca="1" si="401"/>
        <v>99.426390651127747</v>
      </c>
      <c r="MY12" s="18">
        <f t="shared" ca="1" si="176"/>
        <v>0.49713195325563875</v>
      </c>
      <c r="NA12" s="13">
        <f t="shared" ca="1" si="177"/>
        <v>99.426390651127747</v>
      </c>
      <c r="NB12" s="13">
        <f ca="1">INDEX(Totals[[#Data],[#Totals],[Car - Note]:[NONTRACKED]],MATCH(NA$1,Totals[Date],0),MATCH($C12,Totals[[#Headers],[Car - Note]:[NONTRACKED]],0))</f>
        <v>0</v>
      </c>
      <c r="NC12" s="13">
        <f t="shared" ca="1" si="402"/>
        <v>99.426390651127747</v>
      </c>
      <c r="ND12" s="13">
        <v>100</v>
      </c>
      <c r="NE12" s="13">
        <v>200</v>
      </c>
      <c r="NF12" s="13" t="b">
        <f t="shared" ca="1" si="403"/>
        <v>0</v>
      </c>
      <c r="NG12" s="94">
        <f t="shared" si="178"/>
        <v>0</v>
      </c>
      <c r="NH12" s="13">
        <f t="shared" ca="1" si="179"/>
        <v>0</v>
      </c>
      <c r="NI12" s="13">
        <f t="shared" ca="1" si="404"/>
        <v>0</v>
      </c>
      <c r="NJ12" s="94">
        <f t="shared" si="180"/>
        <v>1</v>
      </c>
      <c r="NK12" s="13">
        <f t="shared" ca="1" si="181"/>
        <v>100.57360934887225</v>
      </c>
      <c r="NL12" s="13">
        <f t="shared" ca="1" si="182"/>
        <v>100</v>
      </c>
      <c r="NM12" s="13">
        <f t="shared" ca="1" si="405"/>
        <v>100</v>
      </c>
      <c r="NN12" s="13">
        <f t="shared" ca="1" si="183"/>
        <v>199.42639065112775</v>
      </c>
      <c r="NO12" s="13">
        <f t="shared" ca="1" si="184"/>
        <v>-0.56999999999999995</v>
      </c>
      <c r="NP12" s="13">
        <f t="shared" ca="1" si="185"/>
        <v>0.99713195325563875</v>
      </c>
      <c r="NQ12" s="12">
        <f t="shared" ca="1" si="186"/>
        <v>199.42639065112775</v>
      </c>
      <c r="NR12" s="79"/>
      <c r="NS12" s="12">
        <f t="shared" ca="1" si="406"/>
        <v>199.42639065112775</v>
      </c>
      <c r="NT12" s="18">
        <f t="shared" ca="1" si="187"/>
        <v>0.99713195325563875</v>
      </c>
      <c r="NV12" s="19">
        <f t="shared" ca="1" si="188"/>
        <v>199.42639065112775</v>
      </c>
      <c r="NW12" s="19">
        <f ca="1">INDEX(Totals[[#Data],[#Totals],[Car - Note]:[NONTRACKED]],MATCH(NV$1,Totals[Date],0),MATCH($C12,Totals[[#Headers],[Car - Note]:[NONTRACKED]],0))</f>
        <v>0</v>
      </c>
      <c r="NX12" s="19">
        <f t="shared" ca="1" si="407"/>
        <v>199.42639065112775</v>
      </c>
      <c r="NY12" s="19">
        <v>100</v>
      </c>
      <c r="NZ12" s="19">
        <v>200</v>
      </c>
      <c r="OA12" s="19" t="b">
        <f t="shared" ca="1" si="408"/>
        <v>0</v>
      </c>
      <c r="OB12" s="100">
        <f t="shared" si="189"/>
        <v>0</v>
      </c>
      <c r="OC12" s="19">
        <f t="shared" ca="1" si="190"/>
        <v>0</v>
      </c>
      <c r="OD12" s="19">
        <f t="shared" ca="1" si="409"/>
        <v>0</v>
      </c>
      <c r="OE12" s="100">
        <f t="shared" si="191"/>
        <v>1</v>
      </c>
      <c r="OF12" s="19">
        <f t="shared" ca="1" si="192"/>
        <v>0.57360934887225312</v>
      </c>
      <c r="OG12" s="19">
        <f t="shared" ca="1" si="193"/>
        <v>0.57360934887225312</v>
      </c>
      <c r="OH12" s="19">
        <f t="shared" ca="1" si="410"/>
        <v>0.44243014051357654</v>
      </c>
      <c r="OI12" s="19">
        <f t="shared" ca="1" si="194"/>
        <v>199.86882079164133</v>
      </c>
      <c r="OJ12" s="19">
        <f t="shared" ca="1" si="195"/>
        <v>-0.13</v>
      </c>
      <c r="OK12" s="19">
        <f t="shared" ca="1" si="196"/>
        <v>0.99934410395820661</v>
      </c>
      <c r="OL12" s="12">
        <f t="shared" ca="1" si="197"/>
        <v>199.86882079164133</v>
      </c>
      <c r="OM12" s="79"/>
      <c r="ON12" s="12">
        <f t="shared" ca="1" si="411"/>
        <v>199.86882079164133</v>
      </c>
      <c r="OO12" s="18">
        <f t="shared" ca="1" si="198"/>
        <v>0.99934410395820661</v>
      </c>
      <c r="OQ12" s="11">
        <f t="shared" ca="1" si="199"/>
        <v>199.86882079164133</v>
      </c>
      <c r="OR12" s="11">
        <f ca="1">INDEX(Totals[[#Data],[#Totals],[Car - Note]:[NONTRACKED]],MATCH(OQ$1,Totals[Date],0),MATCH($C12,Totals[[#Headers],[Car - Note]:[NONTRACKED]],0))</f>
        <v>0</v>
      </c>
      <c r="OS12" s="11">
        <f t="shared" ca="1" si="412"/>
        <v>199.86882079164133</v>
      </c>
      <c r="OT12" s="11">
        <v>100</v>
      </c>
      <c r="OU12" s="11">
        <v>200</v>
      </c>
      <c r="OV12" s="11" t="b">
        <f t="shared" ca="1" si="413"/>
        <v>0</v>
      </c>
      <c r="OW12" s="92">
        <f t="shared" si="200"/>
        <v>0</v>
      </c>
      <c r="OX12" s="11">
        <f t="shared" ca="1" si="201"/>
        <v>0</v>
      </c>
      <c r="OY12" s="11">
        <f t="shared" ca="1" si="414"/>
        <v>0</v>
      </c>
      <c r="OZ12" s="92">
        <f t="shared" si="202"/>
        <v>1</v>
      </c>
      <c r="PA12" s="11">
        <f t="shared" ca="1" si="203"/>
        <v>0.1311792083586738</v>
      </c>
      <c r="PB12" s="11">
        <f t="shared" ca="1" si="204"/>
        <v>0.1311792083586738</v>
      </c>
      <c r="PC12" s="11">
        <f t="shared" ca="1" si="415"/>
        <v>7.7914618718666478E-2</v>
      </c>
      <c r="PD12" s="11">
        <f t="shared" ca="1" si="205"/>
        <v>199.94673541035999</v>
      </c>
      <c r="PE12" s="11">
        <f t="shared" ca="1" si="206"/>
        <v>-0.05</v>
      </c>
      <c r="PF12" s="11">
        <f t="shared" ca="1" si="207"/>
        <v>0.99973367705179994</v>
      </c>
      <c r="PG12" s="12">
        <f t="shared" ca="1" si="208"/>
        <v>199.94673541035999</v>
      </c>
      <c r="PH12" s="79"/>
      <c r="PI12" s="12">
        <f t="shared" ca="1" si="416"/>
        <v>199.94673541035999</v>
      </c>
      <c r="PJ12" s="18">
        <f t="shared" ca="1" si="209"/>
        <v>0.99973367705179994</v>
      </c>
      <c r="PL12" s="13">
        <f t="shared" ca="1" si="210"/>
        <v>199.94673541035999</v>
      </c>
      <c r="PM12" s="13">
        <f ca="1">INDEX(Totals[[#Data],[#Totals],[Car - Note]:[NONTRACKED]],MATCH(PL$1,Totals[Date],0),MATCH($C12,Totals[[#Headers],[Car - Note]:[NONTRACKED]],0))</f>
        <v>-123.09</v>
      </c>
      <c r="PN12" s="13">
        <f t="shared" ca="1" si="417"/>
        <v>76.856735410359988</v>
      </c>
      <c r="PO12" s="13">
        <v>100</v>
      </c>
      <c r="PP12" s="13">
        <v>200</v>
      </c>
      <c r="PQ12" s="13" t="b">
        <f t="shared" ca="1" si="418"/>
        <v>0</v>
      </c>
      <c r="PR12" s="94">
        <f t="shared" si="211"/>
        <v>0</v>
      </c>
      <c r="PS12" s="13">
        <f t="shared" ca="1" si="212"/>
        <v>0</v>
      </c>
      <c r="PT12" s="13">
        <f t="shared" ca="1" si="419"/>
        <v>0</v>
      </c>
      <c r="PU12" s="94">
        <f t="shared" si="213"/>
        <v>1</v>
      </c>
      <c r="PV12" s="13">
        <f t="shared" ca="1" si="214"/>
        <v>123.14326458964001</v>
      </c>
      <c r="PW12" s="13">
        <f t="shared" ca="1" si="215"/>
        <v>100</v>
      </c>
      <c r="PX12" s="13">
        <f t="shared" ca="1" si="420"/>
        <v>70.644748016769299</v>
      </c>
      <c r="PY12" s="13">
        <f t="shared" ca="1" si="216"/>
        <v>147.5014834271293</v>
      </c>
      <c r="PZ12" s="13">
        <f t="shared" ca="1" si="217"/>
        <v>-52.5</v>
      </c>
      <c r="QA12" s="13">
        <f t="shared" ca="1" si="218"/>
        <v>0.73750741713564649</v>
      </c>
      <c r="QB12" s="12">
        <f t="shared" ca="1" si="219"/>
        <v>147.5014834271293</v>
      </c>
      <c r="QC12" s="79"/>
      <c r="QD12" s="12">
        <f t="shared" ca="1" si="421"/>
        <v>147.5014834271293</v>
      </c>
      <c r="QE12" s="18">
        <f t="shared" ca="1" si="220"/>
        <v>0.73750741713564649</v>
      </c>
      <c r="QG12" s="19">
        <f t="shared" ca="1" si="221"/>
        <v>147.5014834271293</v>
      </c>
      <c r="QH12" s="19">
        <f ca="1">INDEX(Totals[[#Data],[#Totals],[Car - Note]:[NONTRACKED]],MATCH(QG$1,Totals[Date],0),MATCH($C12,Totals[[#Headers],[Car - Note]:[NONTRACKED]],0))</f>
        <v>0</v>
      </c>
      <c r="QI12" s="19">
        <f t="shared" ca="1" si="422"/>
        <v>147.5014834271293</v>
      </c>
      <c r="QJ12" s="19">
        <v>100</v>
      </c>
      <c r="QK12" s="19">
        <v>200</v>
      </c>
      <c r="QL12" s="19" t="b">
        <f t="shared" ca="1" si="423"/>
        <v>0</v>
      </c>
      <c r="QM12" s="100">
        <f t="shared" si="222"/>
        <v>0</v>
      </c>
      <c r="QN12" s="19">
        <f t="shared" ca="1" si="223"/>
        <v>0</v>
      </c>
      <c r="QO12" s="19">
        <f t="shared" ca="1" si="424"/>
        <v>0</v>
      </c>
      <c r="QP12" s="100">
        <f t="shared" si="224"/>
        <v>1</v>
      </c>
      <c r="QQ12" s="19">
        <f t="shared" ca="1" si="225"/>
        <v>52.498516572870699</v>
      </c>
      <c r="QR12" s="19">
        <f t="shared" ca="1" si="226"/>
        <v>52.498516572870699</v>
      </c>
      <c r="QS12" s="19">
        <f t="shared" ca="1" si="425"/>
        <v>36.681201139907493</v>
      </c>
      <c r="QT12" s="19">
        <f t="shared" ca="1" si="227"/>
        <v>184.1826845670368</v>
      </c>
      <c r="QU12" s="19">
        <f t="shared" ca="1" si="228"/>
        <v>-15.82</v>
      </c>
      <c r="QV12" s="19">
        <f t="shared" ca="1" si="229"/>
        <v>0.92091342283518396</v>
      </c>
      <c r="QW12" s="12">
        <f t="shared" ca="1" si="230"/>
        <v>184.1826845670368</v>
      </c>
      <c r="QX12" s="79"/>
      <c r="QY12" s="12">
        <f t="shared" ca="1" si="426"/>
        <v>184.1826845670368</v>
      </c>
      <c r="QZ12" s="18">
        <f t="shared" ca="1" si="231"/>
        <v>0.92091342283518396</v>
      </c>
      <c r="RB12" s="11">
        <f t="shared" ca="1" si="232"/>
        <v>184.1826845670368</v>
      </c>
      <c r="RC12" s="11">
        <f ca="1">INDEX(Totals[[#Data],[#Totals],[Car - Note]:[NONTRACKED]],MATCH(RB$1,Totals[Date],0),MATCH($C12,Totals[[#Headers],[Car - Note]:[NONTRACKED]],0))</f>
        <v>0</v>
      </c>
      <c r="RD12" s="11">
        <f t="shared" ca="1" si="427"/>
        <v>184.1826845670368</v>
      </c>
      <c r="RE12" s="11">
        <v>100</v>
      </c>
      <c r="RF12" s="11">
        <v>200</v>
      </c>
      <c r="RG12" s="11" t="b">
        <f t="shared" ca="1" si="428"/>
        <v>0</v>
      </c>
      <c r="RH12" s="92">
        <f t="shared" si="233"/>
        <v>0</v>
      </c>
      <c r="RI12" s="11">
        <f t="shared" ca="1" si="234"/>
        <v>0</v>
      </c>
      <c r="RJ12" s="11">
        <f t="shared" ca="1" si="429"/>
        <v>0</v>
      </c>
      <c r="RK12" s="92">
        <f t="shared" si="235"/>
        <v>1</v>
      </c>
      <c r="RL12" s="11">
        <f t="shared" ca="1" si="236"/>
        <v>15.817315432963198</v>
      </c>
      <c r="RM12" s="11">
        <f t="shared" ca="1" si="237"/>
        <v>15.817315432963198</v>
      </c>
      <c r="RN12" s="11">
        <f t="shared" ca="1" si="430"/>
        <v>9.2983065820123798</v>
      </c>
      <c r="RO12" s="11">
        <f t="shared" ca="1" si="238"/>
        <v>193.48099114904917</v>
      </c>
      <c r="RP12" s="11">
        <f t="shared" ca="1" si="239"/>
        <v>-6.52</v>
      </c>
      <c r="RQ12" s="11">
        <f t="shared" ca="1" si="240"/>
        <v>0.96740495574524588</v>
      </c>
      <c r="RR12" s="12">
        <f t="shared" ca="1" si="241"/>
        <v>193.48099114904917</v>
      </c>
      <c r="RS12" s="79"/>
      <c r="RT12" s="12">
        <f t="shared" ca="1" si="431"/>
        <v>193.48099114904917</v>
      </c>
      <c r="RU12" s="18">
        <f t="shared" ca="1" si="242"/>
        <v>0.96740495574524588</v>
      </c>
      <c r="RW12" s="13">
        <f t="shared" ca="1" si="243"/>
        <v>193.48099114904917</v>
      </c>
      <c r="RX12" s="13">
        <f ca="1">INDEX(Totals[[#Data],[#Totals],[Car - Note]:[NONTRACKED]],MATCH(RW$1,Totals[Date],0),MATCH($C12,Totals[[#Headers],[Car - Note]:[NONTRACKED]],0))</f>
        <v>0</v>
      </c>
      <c r="RY12" s="13">
        <f t="shared" ca="1" si="432"/>
        <v>193.48099114904917</v>
      </c>
      <c r="RZ12" s="13">
        <v>100</v>
      </c>
      <c r="SA12" s="13">
        <v>200</v>
      </c>
      <c r="SB12" s="13" t="b">
        <f t="shared" ca="1" si="433"/>
        <v>0</v>
      </c>
      <c r="SC12" s="94">
        <f t="shared" si="244"/>
        <v>0</v>
      </c>
      <c r="SD12" s="13">
        <f t="shared" ca="1" si="245"/>
        <v>0</v>
      </c>
      <c r="SE12" s="13">
        <f t="shared" ca="1" si="434"/>
        <v>0</v>
      </c>
      <c r="SF12" s="94">
        <f t="shared" si="246"/>
        <v>1</v>
      </c>
      <c r="SG12" s="13">
        <f t="shared" ca="1" si="247"/>
        <v>6.5190088509508257</v>
      </c>
      <c r="SH12" s="13">
        <f t="shared" ca="1" si="248"/>
        <v>6.5190088509508257</v>
      </c>
      <c r="SI12" s="13">
        <f t="shared" ca="1" si="435"/>
        <v>5.7211504898682506</v>
      </c>
      <c r="SJ12" s="13">
        <f t="shared" ca="1" si="249"/>
        <v>199.20214163891742</v>
      </c>
      <c r="SK12" s="13">
        <f t="shared" ca="1" si="250"/>
        <v>-0.8</v>
      </c>
      <c r="SL12" s="13">
        <f t="shared" ca="1" si="251"/>
        <v>0.99601070819458715</v>
      </c>
      <c r="SM12" s="12">
        <f t="shared" ca="1" si="252"/>
        <v>199.20214163891742</v>
      </c>
      <c r="SN12" s="79">
        <v>-12</v>
      </c>
      <c r="SO12" s="12">
        <f t="shared" ca="1" si="436"/>
        <v>187.20214163891742</v>
      </c>
      <c r="SP12" s="18">
        <f t="shared" ca="1" si="253"/>
        <v>0.93601070819458709</v>
      </c>
      <c r="SR12" s="19">
        <f t="shared" ca="1" si="254"/>
        <v>187.20214163891742</v>
      </c>
      <c r="SS12" s="19">
        <f ca="1">INDEX(Totals[[#Data],[#Totals],[Car - Note]:[NONTRACKED]],MATCH(SR$1,Totals[Date],0),MATCH($C12,Totals[[#Headers],[Car - Note]:[NONTRACKED]],0))</f>
        <v>-25.96</v>
      </c>
      <c r="ST12" s="19">
        <f t="shared" ca="1" si="437"/>
        <v>161.24214163891742</v>
      </c>
      <c r="SU12" s="19">
        <v>100</v>
      </c>
      <c r="SV12" s="19">
        <v>200</v>
      </c>
      <c r="SW12" s="19" t="b">
        <f t="shared" ca="1" si="438"/>
        <v>0</v>
      </c>
      <c r="SX12" s="100">
        <f t="shared" si="255"/>
        <v>0</v>
      </c>
      <c r="SY12" s="19">
        <f t="shared" ca="1" si="256"/>
        <v>0</v>
      </c>
      <c r="SZ12" s="19">
        <f t="shared" ca="1" si="439"/>
        <v>0</v>
      </c>
      <c r="TA12" s="100">
        <f t="shared" si="257"/>
        <v>1</v>
      </c>
      <c r="TB12" s="19">
        <f t="shared" ca="1" si="258"/>
        <v>38.757858361082583</v>
      </c>
      <c r="TC12" s="19">
        <f t="shared" ca="1" si="259"/>
        <v>38.757858361082583</v>
      </c>
      <c r="TD12" s="19">
        <f t="shared" ca="1" si="440"/>
        <v>28.161624884808841</v>
      </c>
      <c r="TE12" s="19">
        <f t="shared" ca="1" si="260"/>
        <v>189.40376652372626</v>
      </c>
      <c r="TF12" s="19">
        <f t="shared" ca="1" si="261"/>
        <v>-10.6</v>
      </c>
      <c r="TG12" s="19">
        <f t="shared" ca="1" si="262"/>
        <v>0.94701883261863129</v>
      </c>
      <c r="TH12" s="12">
        <f t="shared" ca="1" si="263"/>
        <v>189.40376652372626</v>
      </c>
      <c r="TI12" s="79"/>
      <c r="TJ12" s="12">
        <f t="shared" ca="1" si="441"/>
        <v>189.40376652372626</v>
      </c>
      <c r="TK12" s="18">
        <f t="shared" ca="1" si="264"/>
        <v>0.94701883261863129</v>
      </c>
      <c r="TM12" s="11">
        <f t="shared" ca="1" si="265"/>
        <v>189.40376652372626</v>
      </c>
      <c r="TN12" s="11">
        <f ca="1">INDEX(Totals[[#Data],[#Totals],[Car - Note]:[NONTRACKED]],MATCH(TM$1,Totals[Date],0),MATCH($C12,Totals[[#Headers],[Car - Note]:[NONTRACKED]],0))</f>
        <v>0</v>
      </c>
      <c r="TO12" s="11">
        <f t="shared" ca="1" si="442"/>
        <v>189.40376652372626</v>
      </c>
      <c r="TP12" s="11">
        <v>100</v>
      </c>
      <c r="TQ12" s="11">
        <v>200</v>
      </c>
      <c r="TR12" s="11" t="b">
        <f t="shared" ca="1" si="443"/>
        <v>0</v>
      </c>
      <c r="TS12" s="92">
        <f t="shared" si="266"/>
        <v>0</v>
      </c>
      <c r="TT12" s="11">
        <f t="shared" ca="1" si="267"/>
        <v>0</v>
      </c>
      <c r="TU12" s="11">
        <f t="shared" ca="1" si="444"/>
        <v>0</v>
      </c>
      <c r="TV12" s="92">
        <f t="shared" si="268"/>
        <v>1</v>
      </c>
      <c r="TW12" s="11">
        <f t="shared" ca="1" si="269"/>
        <v>10.596233476273738</v>
      </c>
      <c r="TX12" s="11">
        <f t="shared" ca="1" si="270"/>
        <v>10.596233476273738</v>
      </c>
      <c r="TY12" s="11">
        <f t="shared" ca="1" si="445"/>
        <v>6.7445851701936261</v>
      </c>
      <c r="TZ12" s="11">
        <f t="shared" ca="1" si="271"/>
        <v>196.14835169391989</v>
      </c>
      <c r="UA12" s="11">
        <f t="shared" ca="1" si="272"/>
        <v>-3.85</v>
      </c>
      <c r="UB12" s="11">
        <f t="shared" ca="1" si="273"/>
        <v>0.98074175846959943</v>
      </c>
      <c r="UC12" s="12">
        <f t="shared" ca="1" si="274"/>
        <v>196.14835169391989</v>
      </c>
      <c r="UD12" s="79">
        <v>-100</v>
      </c>
      <c r="UE12" s="12">
        <f t="shared" ca="1" si="446"/>
        <v>96.148351693919892</v>
      </c>
      <c r="UF12" s="18">
        <f t="shared" ca="1" si="275"/>
        <v>0.48074175846959943</v>
      </c>
      <c r="UH12" s="13">
        <f t="shared" ca="1" si="276"/>
        <v>96.148351693919892</v>
      </c>
      <c r="UI12" s="13">
        <f ca="1">INDEX(Totals[[#Data],[#Totals],[Car - Note]:[NONTRACKED]],MATCH(UH$1,Totals[Date],0),MATCH($C12,Totals[[#Headers],[Car - Note]:[NONTRACKED]],0))</f>
        <v>-21.73</v>
      </c>
      <c r="UJ12" s="13">
        <f t="shared" ca="1" si="447"/>
        <v>74.418351693919888</v>
      </c>
      <c r="UK12" s="13">
        <v>100</v>
      </c>
      <c r="UL12" s="13">
        <v>200</v>
      </c>
      <c r="UM12" s="13" t="b">
        <f t="shared" ca="1" si="448"/>
        <v>0</v>
      </c>
      <c r="UN12" s="94">
        <f t="shared" si="277"/>
        <v>0</v>
      </c>
      <c r="UO12" s="13">
        <f t="shared" ca="1" si="278"/>
        <v>0</v>
      </c>
      <c r="UP12" s="13">
        <f t="shared" ca="1" si="449"/>
        <v>0</v>
      </c>
      <c r="UQ12" s="94">
        <f t="shared" si="279"/>
        <v>1</v>
      </c>
      <c r="UR12" s="13">
        <f t="shared" ca="1" si="280"/>
        <v>125.58164830608011</v>
      </c>
      <c r="US12" s="13">
        <f t="shared" ca="1" si="281"/>
        <v>100</v>
      </c>
      <c r="UT12" s="13">
        <f t="shared" ca="1" si="450"/>
        <v>100</v>
      </c>
      <c r="UU12" s="13">
        <f t="shared" ca="1" si="282"/>
        <v>174.41835169391987</v>
      </c>
      <c r="UV12" s="13">
        <f t="shared" ca="1" si="283"/>
        <v>-25.58</v>
      </c>
      <c r="UW12" s="13">
        <f t="shared" ca="1" si="284"/>
        <v>0.87209175846959941</v>
      </c>
      <c r="UX12" s="12">
        <f t="shared" ca="1" si="285"/>
        <v>174.41835169391987</v>
      </c>
      <c r="UY12" s="79"/>
      <c r="UZ12" s="12">
        <f t="shared" ca="1" si="451"/>
        <v>174.41835169391987</v>
      </c>
      <c r="VA12" s="18">
        <f t="shared" ca="1" si="286"/>
        <v>0.87209175846959941</v>
      </c>
      <c r="VC12" s="19">
        <f t="shared" ca="1" si="287"/>
        <v>174.41835169391987</v>
      </c>
      <c r="VD12" s="19">
        <f ca="1">INDEX(Totals[[#Data],[#Totals],[Car - Note]:[NONTRACKED]],MATCH(VC$1,Totals[Date],0),MATCH($C12,Totals[[#Headers],[Car - Note]:[NONTRACKED]],0))</f>
        <v>0</v>
      </c>
      <c r="VE12" s="19">
        <f t="shared" ca="1" si="452"/>
        <v>174.41835169391987</v>
      </c>
      <c r="VF12" s="19">
        <v>100</v>
      </c>
      <c r="VG12" s="19">
        <v>200</v>
      </c>
      <c r="VH12" s="19" t="b">
        <f t="shared" ca="1" si="453"/>
        <v>0</v>
      </c>
      <c r="VI12" s="100">
        <f t="shared" si="288"/>
        <v>0</v>
      </c>
      <c r="VJ12" s="19">
        <f t="shared" ca="1" si="289"/>
        <v>0</v>
      </c>
      <c r="VK12" s="19">
        <f t="shared" ca="1" si="454"/>
        <v>0</v>
      </c>
      <c r="VL12" s="100">
        <f t="shared" si="290"/>
        <v>1</v>
      </c>
      <c r="VM12" s="19">
        <f t="shared" ca="1" si="291"/>
        <v>25.581648306080126</v>
      </c>
      <c r="VN12" s="19">
        <f t="shared" ca="1" si="292"/>
        <v>25.581648306080126</v>
      </c>
      <c r="VO12" s="19">
        <f t="shared" ca="1" si="455"/>
        <v>16.959076992481091</v>
      </c>
      <c r="VP12" s="19">
        <f t="shared" ca="1" si="293"/>
        <v>191.37742868640098</v>
      </c>
      <c r="VQ12" s="19">
        <f t="shared" ca="1" si="294"/>
        <v>-8.6199999999999992</v>
      </c>
      <c r="VR12" s="19">
        <f t="shared" ca="1" si="295"/>
        <v>0.95688714343200487</v>
      </c>
      <c r="VS12" s="12">
        <f t="shared" ca="1" si="296"/>
        <v>191.37742868640098</v>
      </c>
      <c r="VT12" s="79"/>
      <c r="VU12" s="12">
        <f t="shared" ca="1" si="456"/>
        <v>191.37742868640098</v>
      </c>
      <c r="VV12" s="18">
        <f t="shared" ca="1" si="297"/>
        <v>0.95688714343200487</v>
      </c>
      <c r="VX12" s="11">
        <f t="shared" ca="1" si="298"/>
        <v>191.37742868640098</v>
      </c>
      <c r="VY12" s="11">
        <f ca="1">INDEX(Totals[[#Data],[#Totals],[Car - Note]:[NONTRACKED]],MATCH(VX$1,Totals[Date],0),MATCH($C12,Totals[[#Headers],[Car - Note]:[NONTRACKED]],0))</f>
        <v>0</v>
      </c>
      <c r="VZ12" s="11">
        <f t="shared" ca="1" si="457"/>
        <v>191.37742868640098</v>
      </c>
      <c r="WA12" s="11">
        <v>100</v>
      </c>
      <c r="WB12" s="11">
        <v>200</v>
      </c>
      <c r="WC12" s="11" t="b">
        <f t="shared" ca="1" si="458"/>
        <v>0</v>
      </c>
      <c r="WD12" s="92">
        <f t="shared" si="299"/>
        <v>0</v>
      </c>
      <c r="WE12" s="11">
        <f t="shared" ca="1" si="300"/>
        <v>0</v>
      </c>
      <c r="WF12" s="11">
        <f t="shared" ca="1" si="459"/>
        <v>0</v>
      </c>
      <c r="WG12" s="92">
        <f t="shared" si="301"/>
        <v>1</v>
      </c>
      <c r="WH12" s="11">
        <f t="shared" ca="1" si="302"/>
        <v>8.6225713135990247</v>
      </c>
      <c r="WI12" s="11">
        <f t="shared" ca="1" si="303"/>
        <v>8.6225713135990247</v>
      </c>
      <c r="WJ12" s="11">
        <f t="shared" ca="1" si="460"/>
        <v>5.1493161734127213</v>
      </c>
      <c r="WK12" s="11">
        <f t="shared" ca="1" si="304"/>
        <v>196.5267448598137</v>
      </c>
      <c r="WL12" s="11">
        <f t="shared" ca="1" si="305"/>
        <v>-3.47</v>
      </c>
      <c r="WM12" s="11">
        <f t="shared" ca="1" si="306"/>
        <v>0.98263372429906848</v>
      </c>
      <c r="WN12" s="12">
        <f t="shared" ca="1" si="307"/>
        <v>196.5267448598137</v>
      </c>
      <c r="WO12" s="79"/>
      <c r="WP12" s="12">
        <f t="shared" ca="1" si="461"/>
        <v>196.5267448598137</v>
      </c>
      <c r="WQ12" s="18">
        <f t="shared" ca="1" si="308"/>
        <v>0.98263372429906848</v>
      </c>
      <c r="WS12" s="13">
        <f t="shared" ca="1" si="309"/>
        <v>196.5267448598137</v>
      </c>
      <c r="WT12" s="13">
        <f ca="1">INDEX(Totals[[#Data],[#Totals],[Car - Note]:[NONTRACKED]],MATCH(WS$1,Totals[Date],0),MATCH($C12,Totals[[#Headers],[Car - Note]:[NONTRACKED]],0))</f>
        <v>0</v>
      </c>
      <c r="WU12" s="13">
        <f t="shared" ca="1" si="462"/>
        <v>196.5267448598137</v>
      </c>
      <c r="WV12" s="13">
        <v>100</v>
      </c>
      <c r="WW12" s="13">
        <v>200</v>
      </c>
      <c r="WX12" s="13" t="b">
        <f t="shared" ca="1" si="463"/>
        <v>0</v>
      </c>
      <c r="WY12" s="94">
        <f t="shared" si="310"/>
        <v>0</v>
      </c>
      <c r="WZ12" s="13">
        <f t="shared" ca="1" si="311"/>
        <v>0</v>
      </c>
      <c r="XA12" s="13">
        <f t="shared" ca="1" si="464"/>
        <v>0</v>
      </c>
      <c r="XB12" s="94">
        <f t="shared" si="312"/>
        <v>1</v>
      </c>
      <c r="XC12" s="13">
        <f t="shared" ca="1" si="313"/>
        <v>3.4732551401862963</v>
      </c>
      <c r="XD12" s="13">
        <f t="shared" ca="1" si="314"/>
        <v>3.4732551401862963</v>
      </c>
      <c r="XE12" s="13">
        <f t="shared" ca="1" si="465"/>
        <v>3.2895753833874184</v>
      </c>
      <c r="XF12" s="13">
        <f t="shared" ca="1" si="315"/>
        <v>199.81632024320112</v>
      </c>
      <c r="XG12" s="13">
        <f t="shared" ca="1" si="316"/>
        <v>-0.18</v>
      </c>
      <c r="XH12" s="13">
        <f t="shared" ca="1" si="317"/>
        <v>0.99908160121600564</v>
      </c>
      <c r="XI12" s="12">
        <f t="shared" ca="1" si="318"/>
        <v>199.81632024320112</v>
      </c>
      <c r="XJ12" s="104">
        <f t="shared" ca="1" si="319"/>
        <v>0.18367975679888104</v>
      </c>
      <c r="XK12" s="12">
        <f t="shared" ca="1" si="466"/>
        <v>200</v>
      </c>
      <c r="XL12" s="18">
        <f t="shared" ca="1" si="320"/>
        <v>1</v>
      </c>
      <c r="XN12">
        <v>0.25</v>
      </c>
      <c r="XO12" s="103">
        <f t="shared" ca="1" si="467"/>
        <v>49.131686214953426</v>
      </c>
      <c r="XP12" s="12">
        <f t="shared" ca="1" si="468"/>
        <v>147.39505864486028</v>
      </c>
      <c r="XQ12" s="102">
        <f t="shared" ca="1" si="469"/>
        <v>0.73697529322430144</v>
      </c>
    </row>
    <row r="13" spans="1:641" x14ac:dyDescent="0.25">
      <c r="A13" s="112"/>
      <c r="B13" t="s">
        <v>9</v>
      </c>
      <c r="C13" t="s">
        <v>42</v>
      </c>
      <c r="D13" s="79">
        <v>-150</v>
      </c>
      <c r="H13" s="48">
        <v>500</v>
      </c>
      <c r="I13" s="48"/>
      <c r="J13" s="48"/>
      <c r="K13" s="48">
        <v>100</v>
      </c>
      <c r="L13" s="95">
        <v>500</v>
      </c>
      <c r="M13" s="48"/>
      <c r="N13" s="96"/>
      <c r="O13" s="48"/>
      <c r="P13" s="48"/>
      <c r="Q13" s="96"/>
      <c r="R13" s="48"/>
      <c r="S13" s="48"/>
      <c r="T13" s="48"/>
      <c r="U13" s="48"/>
      <c r="V13" s="48"/>
      <c r="W13" s="48"/>
      <c r="X13" s="48"/>
      <c r="Y13" s="48"/>
      <c r="Z13" s="48">
        <v>200</v>
      </c>
      <c r="AA13" s="98">
        <f t="shared" si="0"/>
        <v>0.4</v>
      </c>
      <c r="AC13" s="11">
        <f t="shared" si="1"/>
        <v>200</v>
      </c>
      <c r="AD13" s="11">
        <f ca="1">INDEX(Totals[[#Data],[#Totals],[Car - Note]:[NONTRACKED]],MATCH(AC$1,Totals[Date],0),MATCH($C13,Totals[[#Headers],[Car - Note]:[NONTRACKED]],0))</f>
        <v>17.75</v>
      </c>
      <c r="AE13" s="11">
        <f t="shared" ca="1" si="322"/>
        <v>217.75</v>
      </c>
      <c r="AF13" s="11">
        <v>200</v>
      </c>
      <c r="AG13" s="11">
        <v>500</v>
      </c>
      <c r="AH13" s="11" t="b">
        <f t="shared" ca="1" si="323"/>
        <v>0</v>
      </c>
      <c r="AI13" s="92">
        <f t="shared" si="2"/>
        <v>0</v>
      </c>
      <c r="AJ13" s="11">
        <f t="shared" ca="1" si="3"/>
        <v>0</v>
      </c>
      <c r="AK13" s="11">
        <f t="shared" ca="1" si="324"/>
        <v>0</v>
      </c>
      <c r="AL13" s="92">
        <f t="shared" si="4"/>
        <v>1</v>
      </c>
      <c r="AM13" s="11">
        <f t="shared" ca="1" si="5"/>
        <v>282.25</v>
      </c>
      <c r="AN13" s="11">
        <f t="shared" ca="1" si="6"/>
        <v>200</v>
      </c>
      <c r="AO13" s="11">
        <f t="shared" ca="1" si="325"/>
        <v>160.9939550899405</v>
      </c>
      <c r="AP13" s="11">
        <f t="shared" ca="1" si="7"/>
        <v>378.74395508994053</v>
      </c>
      <c r="AQ13" s="11">
        <f t="shared" ca="1" si="8"/>
        <v>-121.26</v>
      </c>
      <c r="AR13" s="11">
        <f t="shared" ca="1" si="9"/>
        <v>0.75748791017988104</v>
      </c>
      <c r="AS13" s="12">
        <f t="shared" ca="1" si="10"/>
        <v>378.74395508994053</v>
      </c>
      <c r="AT13" s="12"/>
      <c r="AU13" s="12">
        <f t="shared" ca="1" si="326"/>
        <v>378.74395508994053</v>
      </c>
      <c r="AV13" s="18">
        <f t="shared" ca="1" si="11"/>
        <v>0.75748791017988104</v>
      </c>
      <c r="AX13" s="13">
        <f t="shared" ca="1" si="12"/>
        <v>378.74395508994053</v>
      </c>
      <c r="AY13" s="13">
        <f ca="1">INDEX(Totals[[#Data],[#Totals],[Car - Note]:[NONTRACKED]],MATCH(AX$1,Totals[Date],0),MATCH($C13,Totals[[#Headers],[Car - Note]:[NONTRACKED]],0))</f>
        <v>0</v>
      </c>
      <c r="AZ13" s="13">
        <f t="shared" ca="1" si="327"/>
        <v>378.74395508994053</v>
      </c>
      <c r="BA13" s="13">
        <v>100</v>
      </c>
      <c r="BB13" s="13">
        <v>500</v>
      </c>
      <c r="BC13" s="13" t="b">
        <f t="shared" ca="1" si="328"/>
        <v>0</v>
      </c>
      <c r="BD13" s="94">
        <f t="shared" si="13"/>
        <v>0</v>
      </c>
      <c r="BE13" s="13">
        <f t="shared" ca="1" si="14"/>
        <v>0</v>
      </c>
      <c r="BF13" s="13">
        <f t="shared" ca="1" si="329"/>
        <v>0</v>
      </c>
      <c r="BG13" s="94">
        <f t="shared" si="15"/>
        <v>1</v>
      </c>
      <c r="BH13" s="13">
        <f t="shared" ca="1" si="16"/>
        <v>121.25604491005947</v>
      </c>
      <c r="BI13" s="13">
        <f t="shared" ca="1" si="17"/>
        <v>100</v>
      </c>
      <c r="BJ13" s="13">
        <f t="shared" ca="1" si="330"/>
        <v>47.719280638106575</v>
      </c>
      <c r="BK13" s="13">
        <f t="shared" ca="1" si="18"/>
        <v>426.4632357280471</v>
      </c>
      <c r="BL13" s="13">
        <f t="shared" ca="1" si="19"/>
        <v>-73.540000000000006</v>
      </c>
      <c r="BM13" s="13">
        <f t="shared" ca="1" si="20"/>
        <v>0.85292647145609424</v>
      </c>
      <c r="BN13" s="12">
        <f t="shared" ca="1" si="21"/>
        <v>426.4632357280471</v>
      </c>
      <c r="BO13" s="12"/>
      <c r="BP13" s="12">
        <f t="shared" ca="1" si="331"/>
        <v>426.4632357280471</v>
      </c>
      <c r="BQ13" s="18">
        <f t="shared" ca="1" si="22"/>
        <v>0.85292647145609424</v>
      </c>
      <c r="BS13" s="19">
        <f t="shared" ca="1" si="23"/>
        <v>426.4632357280471</v>
      </c>
      <c r="BT13" s="19">
        <f ca="1">INDEX(Totals[[#Data],[#Totals],[Car - Note]:[NONTRACKED]],MATCH(BS$1,Totals[Date],0),MATCH($C13,Totals[[#Headers],[Car - Note]:[NONTRACKED]],0))</f>
        <v>0</v>
      </c>
      <c r="BU13" s="19">
        <f t="shared" ca="1" si="332"/>
        <v>426.4632357280471</v>
      </c>
      <c r="BV13" s="19">
        <v>100</v>
      </c>
      <c r="BW13" s="19">
        <v>1000</v>
      </c>
      <c r="BX13" s="19" t="b">
        <f t="shared" ca="1" si="333"/>
        <v>0</v>
      </c>
      <c r="BY13" s="100">
        <f t="shared" si="24"/>
        <v>0</v>
      </c>
      <c r="BZ13" s="19">
        <f t="shared" ca="1" si="25"/>
        <v>0</v>
      </c>
      <c r="CA13" s="19">
        <f t="shared" ca="1" si="334"/>
        <v>0</v>
      </c>
      <c r="CB13" s="100">
        <f t="shared" si="26"/>
        <v>1</v>
      </c>
      <c r="CC13" s="19">
        <f t="shared" ca="1" si="27"/>
        <v>573.53676427195296</v>
      </c>
      <c r="CD13" s="19">
        <f t="shared" ca="1" si="28"/>
        <v>100</v>
      </c>
      <c r="CE13" s="19">
        <f t="shared" ca="1" si="335"/>
        <v>99.999999999999986</v>
      </c>
      <c r="CF13" s="19">
        <f t="shared" ca="1" si="29"/>
        <v>526.46323572804704</v>
      </c>
      <c r="CG13" s="19">
        <f t="shared" ca="1" si="30"/>
        <v>-473.54</v>
      </c>
      <c r="CH13" s="19">
        <f t="shared" ca="1" si="31"/>
        <v>0.52646323572804699</v>
      </c>
      <c r="CI13" s="12">
        <f t="shared" ca="1" si="32"/>
        <v>526.46323572804704</v>
      </c>
      <c r="CJ13" s="12">
        <v>250</v>
      </c>
      <c r="CK13" s="12">
        <f t="shared" ca="1" si="336"/>
        <v>776.46323572804704</v>
      </c>
      <c r="CL13" s="18">
        <f t="shared" ca="1" si="33"/>
        <v>0.77646323572804699</v>
      </c>
      <c r="CN13" s="11">
        <f t="shared" ca="1" si="34"/>
        <v>776.46323572804704</v>
      </c>
      <c r="CO13" s="11">
        <f ca="1">INDEX(Totals[[#Data],[#Totals],[Car - Note]:[NONTRACKED]],MATCH(CN$1,Totals[Date],0),MATCH($C13,Totals[[#Headers],[Car - Note]:[NONTRACKED]],0))</f>
        <v>0</v>
      </c>
      <c r="CP13" s="11">
        <f t="shared" ca="1" si="337"/>
        <v>776.46323572804704</v>
      </c>
      <c r="CQ13" s="11">
        <v>100</v>
      </c>
      <c r="CR13" s="11">
        <v>2000</v>
      </c>
      <c r="CS13" s="11" t="b">
        <f t="shared" ca="1" si="338"/>
        <v>0</v>
      </c>
      <c r="CT13" s="92">
        <f t="shared" si="35"/>
        <v>0</v>
      </c>
      <c r="CU13" s="11">
        <f t="shared" ca="1" si="36"/>
        <v>0</v>
      </c>
      <c r="CV13" s="11">
        <f t="shared" ca="1" si="339"/>
        <v>0</v>
      </c>
      <c r="CW13" s="92">
        <f t="shared" si="37"/>
        <v>1</v>
      </c>
      <c r="CX13" s="11">
        <f t="shared" ca="1" si="38"/>
        <v>1223.536764271953</v>
      </c>
      <c r="CY13" s="11">
        <f t="shared" ca="1" si="39"/>
        <v>100</v>
      </c>
      <c r="CZ13" s="11">
        <f t="shared" ca="1" si="340"/>
        <v>100</v>
      </c>
      <c r="DA13" s="11">
        <f t="shared" ca="1" si="40"/>
        <v>876.46323572804704</v>
      </c>
      <c r="DB13" s="11">
        <f t="shared" ca="1" si="41"/>
        <v>-1123.54</v>
      </c>
      <c r="DC13" s="11">
        <f t="shared" ca="1" si="42"/>
        <v>0.43823161786402354</v>
      </c>
      <c r="DD13" s="12">
        <f t="shared" ca="1" si="43"/>
        <v>876.46323572804704</v>
      </c>
      <c r="DE13" s="79"/>
      <c r="DF13" s="12">
        <f t="shared" ca="1" si="341"/>
        <v>876.46323572804704</v>
      </c>
      <c r="DG13" s="18">
        <f t="shared" ca="1" si="44"/>
        <v>0.43823161786402354</v>
      </c>
      <c r="DI13" s="13">
        <f t="shared" ca="1" si="45"/>
        <v>876.46323572804704</v>
      </c>
      <c r="DJ13" s="13">
        <f ca="1">INDEX(Totals[[#Data],[#Totals],[Car - Note]:[NONTRACKED]],MATCH(DI$1,Totals[Date],0),MATCH($C13,Totals[[#Headers],[Car - Note]:[NONTRACKED]],0))</f>
        <v>-533.46999999999991</v>
      </c>
      <c r="DK13" s="13">
        <f t="shared" ca="1" si="342"/>
        <v>342.99323572804713</v>
      </c>
      <c r="DL13" s="13">
        <v>100</v>
      </c>
      <c r="DM13" s="13">
        <v>2000</v>
      </c>
      <c r="DN13" s="13" t="b">
        <f t="shared" ca="1" si="343"/>
        <v>0</v>
      </c>
      <c r="DO13" s="94">
        <f t="shared" si="46"/>
        <v>0</v>
      </c>
      <c r="DP13" s="13">
        <f t="shared" ca="1" si="47"/>
        <v>0</v>
      </c>
      <c r="DQ13" s="13">
        <f t="shared" ca="1" si="344"/>
        <v>0</v>
      </c>
      <c r="DR13" s="94">
        <f t="shared" si="48"/>
        <v>1</v>
      </c>
      <c r="DS13" s="13">
        <f t="shared" ca="1" si="49"/>
        <v>1657.0067642719528</v>
      </c>
      <c r="DT13" s="13">
        <f t="shared" ca="1" si="50"/>
        <v>100</v>
      </c>
      <c r="DU13" s="13">
        <f t="shared" ca="1" si="345"/>
        <v>42.701297853652733</v>
      </c>
      <c r="DV13" s="13">
        <f t="shared" ca="1" si="51"/>
        <v>385.69453358169983</v>
      </c>
      <c r="DW13" s="13">
        <f t="shared" ca="1" si="52"/>
        <v>-1614.31</v>
      </c>
      <c r="DX13" s="13">
        <f t="shared" ca="1" si="53"/>
        <v>0.1928472667908499</v>
      </c>
      <c r="DY13" s="12">
        <f t="shared" ca="1" si="54"/>
        <v>385.69453358169983</v>
      </c>
      <c r="DZ13" s="79"/>
      <c r="EA13" s="12">
        <f t="shared" ca="1" si="346"/>
        <v>385.69453358169983</v>
      </c>
      <c r="EB13" s="18">
        <f t="shared" ca="1" si="55"/>
        <v>0.1928472667908499</v>
      </c>
      <c r="ED13" s="19">
        <f t="shared" ca="1" si="56"/>
        <v>385.69453358169983</v>
      </c>
      <c r="EE13" s="19">
        <f ca="1">INDEX(Totals[[#Data],[#Totals],[Car - Note]:[NONTRACKED]],MATCH(ED$1,Totals[Date],0),MATCH($C13,Totals[[#Headers],[Car - Note]:[NONTRACKED]],0))</f>
        <v>-99</v>
      </c>
      <c r="EF13" s="19">
        <f t="shared" ca="1" si="347"/>
        <v>286.69453358169983</v>
      </c>
      <c r="EG13" s="19">
        <v>100</v>
      </c>
      <c r="EH13" s="19">
        <v>2000</v>
      </c>
      <c r="EI13" s="19" t="b">
        <f t="shared" ca="1" si="348"/>
        <v>0</v>
      </c>
      <c r="EJ13" s="100">
        <f t="shared" si="57"/>
        <v>0</v>
      </c>
      <c r="EK13" s="19">
        <f t="shared" ca="1" si="58"/>
        <v>0</v>
      </c>
      <c r="EL13" s="19">
        <f t="shared" ca="1" si="349"/>
        <v>0</v>
      </c>
      <c r="EM13" s="100">
        <f t="shared" si="59"/>
        <v>1</v>
      </c>
      <c r="EN13" s="19">
        <f t="shared" ca="1" si="60"/>
        <v>1713.3054664183001</v>
      </c>
      <c r="EO13" s="19">
        <f t="shared" ca="1" si="61"/>
        <v>100</v>
      </c>
      <c r="EP13" s="19">
        <f t="shared" ca="1" si="350"/>
        <v>72.890726147503742</v>
      </c>
      <c r="EQ13" s="19">
        <f t="shared" ca="1" si="62"/>
        <v>359.58525972920359</v>
      </c>
      <c r="ER13" s="19">
        <f t="shared" ca="1" si="63"/>
        <v>-1640.41</v>
      </c>
      <c r="ES13" s="19">
        <f t="shared" ca="1" si="64"/>
        <v>0.17979262986460179</v>
      </c>
      <c r="ET13" s="12">
        <f t="shared" ca="1" si="65"/>
        <v>359.58525972920359</v>
      </c>
      <c r="EU13" s="79"/>
      <c r="EV13" s="12">
        <f t="shared" ca="1" si="351"/>
        <v>359.58525972920359</v>
      </c>
      <c r="EW13" s="18">
        <f t="shared" ca="1" si="66"/>
        <v>0.17979262986460179</v>
      </c>
      <c r="EY13" s="11">
        <f t="shared" ca="1" si="67"/>
        <v>359.58525972920359</v>
      </c>
      <c r="EZ13" s="11">
        <f ca="1">INDEX(Totals[[#Data],[#Totals],[Car - Note]:[NONTRACKED]],MATCH(EY$1,Totals[Date],0),MATCH($C13,Totals[[#Headers],[Car - Note]:[NONTRACKED]],0))</f>
        <v>0</v>
      </c>
      <c r="FA13" s="11">
        <f t="shared" ca="1" si="352"/>
        <v>359.58525972920359</v>
      </c>
      <c r="FB13" s="11">
        <v>100</v>
      </c>
      <c r="FC13" s="11">
        <v>2000</v>
      </c>
      <c r="FD13" s="11" t="b">
        <f t="shared" ca="1" si="353"/>
        <v>0</v>
      </c>
      <c r="FE13" s="92">
        <f t="shared" si="68"/>
        <v>0</v>
      </c>
      <c r="FF13" s="11">
        <f t="shared" ca="1" si="69"/>
        <v>0</v>
      </c>
      <c r="FG13" s="11">
        <f t="shared" ca="1" si="354"/>
        <v>0</v>
      </c>
      <c r="FH13" s="92">
        <f t="shared" si="70"/>
        <v>1</v>
      </c>
      <c r="FI13" s="11">
        <f t="shared" ca="1" si="71"/>
        <v>1640.4147402707963</v>
      </c>
      <c r="FJ13" s="11">
        <f t="shared" ca="1" si="72"/>
        <v>100</v>
      </c>
      <c r="FK13" s="11">
        <f t="shared" ca="1" si="355"/>
        <v>43.317594576734521</v>
      </c>
      <c r="FL13" s="11">
        <f t="shared" ca="1" si="73"/>
        <v>402.90285430593809</v>
      </c>
      <c r="FM13" s="11">
        <f t="shared" ca="1" si="74"/>
        <v>-1597.1</v>
      </c>
      <c r="FN13" s="11">
        <f t="shared" ca="1" si="75"/>
        <v>0.20145142715296904</v>
      </c>
      <c r="FO13" s="12">
        <f t="shared" ca="1" si="76"/>
        <v>402.90285430593809</v>
      </c>
      <c r="FP13" s="79"/>
      <c r="FQ13" s="12">
        <f t="shared" ca="1" si="356"/>
        <v>402.90285430593809</v>
      </c>
      <c r="FR13" s="18">
        <f t="shared" ca="1" si="77"/>
        <v>0.20145142715296904</v>
      </c>
      <c r="FT13" s="13">
        <f t="shared" ca="1" si="78"/>
        <v>402.90285430593809</v>
      </c>
      <c r="FU13" s="13">
        <f ca="1">INDEX(Totals[[#Data],[#Totals],[Car - Note]:[NONTRACKED]],MATCH(FT$1,Totals[Date],0),MATCH($C13,Totals[[#Headers],[Car - Note]:[NONTRACKED]],0))</f>
        <v>0</v>
      </c>
      <c r="FV13" s="13">
        <f t="shared" ca="1" si="357"/>
        <v>402.90285430593809</v>
      </c>
      <c r="FW13" s="13">
        <v>100</v>
      </c>
      <c r="FX13" s="13">
        <v>2000</v>
      </c>
      <c r="FY13" s="13" t="b">
        <f t="shared" ca="1" si="358"/>
        <v>0</v>
      </c>
      <c r="FZ13" s="94">
        <f t="shared" si="79"/>
        <v>0</v>
      </c>
      <c r="GA13" s="13">
        <f t="shared" ca="1" si="80"/>
        <v>0</v>
      </c>
      <c r="GB13" s="13">
        <f t="shared" ca="1" si="359"/>
        <v>0</v>
      </c>
      <c r="GC13" s="94">
        <f t="shared" si="81"/>
        <v>1</v>
      </c>
      <c r="GD13" s="13">
        <f t="shared" ca="1" si="82"/>
        <v>1597.097145694062</v>
      </c>
      <c r="GE13" s="13">
        <f t="shared" ca="1" si="83"/>
        <v>100</v>
      </c>
      <c r="GF13" s="13">
        <f t="shared" ca="1" si="360"/>
        <v>43.200133268786637</v>
      </c>
      <c r="GG13" s="13">
        <f t="shared" ca="1" si="84"/>
        <v>446.10298757472475</v>
      </c>
      <c r="GH13" s="13">
        <f t="shared" ca="1" si="85"/>
        <v>-1553.9</v>
      </c>
      <c r="GI13" s="13">
        <f t="shared" ca="1" si="86"/>
        <v>0.22305149378736239</v>
      </c>
      <c r="GJ13" s="12">
        <f t="shared" ca="1" si="87"/>
        <v>446.10298757472475</v>
      </c>
      <c r="GK13" s="79"/>
      <c r="GL13" s="12">
        <f t="shared" ca="1" si="361"/>
        <v>446.10298757472475</v>
      </c>
      <c r="GM13" s="18">
        <f t="shared" ca="1" si="88"/>
        <v>0.22305149378736239</v>
      </c>
      <c r="GO13" s="19">
        <f t="shared" ca="1" si="89"/>
        <v>446.10298757472475</v>
      </c>
      <c r="GP13" s="19">
        <f ca="1">INDEX(Totals[[#Data],[#Totals],[Car - Note]:[NONTRACKED]],MATCH(GO$1,Totals[Date],0),MATCH($C13,Totals[[#Headers],[Car - Note]:[NONTRACKED]],0))</f>
        <v>-441.4</v>
      </c>
      <c r="GQ13" s="19">
        <f t="shared" ca="1" si="362"/>
        <v>4.7029875747247729</v>
      </c>
      <c r="GR13" s="19">
        <v>100</v>
      </c>
      <c r="GS13" s="19">
        <v>2000</v>
      </c>
      <c r="GT13" s="19" t="b">
        <f t="shared" ca="1" si="363"/>
        <v>0</v>
      </c>
      <c r="GU13" s="100">
        <f t="shared" si="90"/>
        <v>0</v>
      </c>
      <c r="GV13" s="19">
        <f t="shared" ca="1" si="91"/>
        <v>0</v>
      </c>
      <c r="GW13" s="19">
        <f t="shared" ca="1" si="364"/>
        <v>0</v>
      </c>
      <c r="GX13" s="100">
        <f t="shared" si="92"/>
        <v>1</v>
      </c>
      <c r="GY13" s="19">
        <f t="shared" ca="1" si="93"/>
        <v>1995.2970124252752</v>
      </c>
      <c r="GZ13" s="19">
        <f t="shared" ca="1" si="94"/>
        <v>100</v>
      </c>
      <c r="HA13" s="19">
        <f t="shared" ca="1" si="365"/>
        <v>44.179574167597529</v>
      </c>
      <c r="HB13" s="19">
        <f t="shared" ca="1" si="95"/>
        <v>48.882561742322302</v>
      </c>
      <c r="HC13" s="19">
        <f t="shared" ca="1" si="96"/>
        <v>-1951.12</v>
      </c>
      <c r="HD13" s="19">
        <f t="shared" ca="1" si="97"/>
        <v>2.4441280871161149E-2</v>
      </c>
      <c r="HE13" s="12">
        <f t="shared" ca="1" si="98"/>
        <v>48.882561742322302</v>
      </c>
      <c r="HF13" s="79">
        <v>100</v>
      </c>
      <c r="HG13" s="12">
        <f t="shared" ca="1" si="366"/>
        <v>148.88256174232231</v>
      </c>
      <c r="HH13" s="18">
        <f t="shared" ca="1" si="99"/>
        <v>7.4441280871161156E-2</v>
      </c>
      <c r="HJ13" s="11">
        <f t="shared" ca="1" si="100"/>
        <v>148.88256174232231</v>
      </c>
      <c r="HK13" s="11">
        <f ca="1">INDEX(Totals[[#Data],[#Totals],[Car - Note]:[NONTRACKED]],MATCH(HJ$1,Totals[Date],0),MATCH($C13,Totals[[#Headers],[Car - Note]:[NONTRACKED]],0))</f>
        <v>-200.98999999999995</v>
      </c>
      <c r="HL13" s="11">
        <f t="shared" ca="1" si="367"/>
        <v>-52.107438257677643</v>
      </c>
      <c r="HM13" s="11">
        <v>100</v>
      </c>
      <c r="HN13" s="11">
        <v>2000</v>
      </c>
      <c r="HO13" s="11" t="b">
        <f t="shared" ca="1" si="368"/>
        <v>0</v>
      </c>
      <c r="HP13" s="92">
        <f t="shared" si="101"/>
        <v>0</v>
      </c>
      <c r="HQ13" s="11">
        <f t="shared" ca="1" si="102"/>
        <v>0</v>
      </c>
      <c r="HR13" s="11">
        <f t="shared" ca="1" si="369"/>
        <v>0</v>
      </c>
      <c r="HS13" s="92">
        <f t="shared" si="103"/>
        <v>1</v>
      </c>
      <c r="HT13" s="11">
        <f t="shared" ca="1" si="104"/>
        <v>2052.1074382576776</v>
      </c>
      <c r="HU13" s="11">
        <f t="shared" ca="1" si="105"/>
        <v>100</v>
      </c>
      <c r="HV13" s="11">
        <f t="shared" ca="1" si="370"/>
        <v>42.320322202552006</v>
      </c>
      <c r="HW13" s="11">
        <f t="shared" ca="1" si="106"/>
        <v>-9.7871160551256366</v>
      </c>
      <c r="HX13" s="11">
        <f t="shared" ca="1" si="107"/>
        <v>-2009.79</v>
      </c>
      <c r="HY13" s="11">
        <f t="shared" ca="1" si="108"/>
        <v>-4.8935580275628185E-3</v>
      </c>
      <c r="HZ13" s="12">
        <f t="shared" ca="1" si="109"/>
        <v>-9.7871160551256366</v>
      </c>
      <c r="IA13" s="79">
        <v>500</v>
      </c>
      <c r="IB13" s="12">
        <f t="shared" ca="1" si="371"/>
        <v>490.21288394487436</v>
      </c>
      <c r="IC13" s="18">
        <f t="shared" ca="1" si="110"/>
        <v>0.24510644197243719</v>
      </c>
      <c r="IE13" s="13">
        <f t="shared" ca="1" si="111"/>
        <v>490.21288394487436</v>
      </c>
      <c r="IF13" s="13">
        <f ca="1">INDEX(Totals[[#Data],[#Totals],[Car - Note]:[NONTRACKED]],MATCH(IE$1,Totals[Date],0),MATCH($C13,Totals[[#Headers],[Car - Note]:[NONTRACKED]],0))</f>
        <v>-473.46999999999997</v>
      </c>
      <c r="IG13" s="13">
        <f t="shared" ca="1" si="372"/>
        <v>16.742883944874393</v>
      </c>
      <c r="IH13" s="13">
        <v>100</v>
      </c>
      <c r="II13" s="13">
        <v>2000</v>
      </c>
      <c r="IJ13" s="13" t="b">
        <f t="shared" ca="1" si="373"/>
        <v>0</v>
      </c>
      <c r="IK13" s="94">
        <f t="shared" si="112"/>
        <v>0</v>
      </c>
      <c r="IL13" s="13">
        <f t="shared" ca="1" si="113"/>
        <v>0</v>
      </c>
      <c r="IM13" s="13">
        <f t="shared" ca="1" si="374"/>
        <v>0</v>
      </c>
      <c r="IN13" s="94">
        <f t="shared" si="114"/>
        <v>1</v>
      </c>
      <c r="IO13" s="13">
        <f t="shared" ca="1" si="115"/>
        <v>1983.2571160551256</v>
      </c>
      <c r="IP13" s="13">
        <f t="shared" ca="1" si="116"/>
        <v>100</v>
      </c>
      <c r="IQ13" s="13">
        <f t="shared" ca="1" si="375"/>
        <v>46.192728904998638</v>
      </c>
      <c r="IR13" s="13">
        <f t="shared" ca="1" si="117"/>
        <v>62.935612849873031</v>
      </c>
      <c r="IS13" s="13">
        <f t="shared" ca="1" si="118"/>
        <v>-1937.06</v>
      </c>
      <c r="IT13" s="13">
        <f t="shared" ca="1" si="119"/>
        <v>3.1467806424936517E-2</v>
      </c>
      <c r="IU13" s="12">
        <f t="shared" ca="1" si="120"/>
        <v>62.935612849873031</v>
      </c>
      <c r="IV13" s="79"/>
      <c r="IW13" s="12">
        <f t="shared" ca="1" si="376"/>
        <v>62.935612849873031</v>
      </c>
      <c r="IX13" s="18">
        <f t="shared" ca="1" si="121"/>
        <v>3.1467806424936517E-2</v>
      </c>
      <c r="IZ13" s="19">
        <f t="shared" ca="1" si="122"/>
        <v>62.935612849873031</v>
      </c>
      <c r="JA13" s="19">
        <f ca="1">INDEX(Totals[[#Data],[#Totals],[Car - Note]:[NONTRACKED]],MATCH(IZ$1,Totals[Date],0),MATCH($C13,Totals[[#Headers],[Car - Note]:[NONTRACKED]],0))</f>
        <v>-23.13</v>
      </c>
      <c r="JB13" s="19">
        <f t="shared" ca="1" si="377"/>
        <v>39.805612849873029</v>
      </c>
      <c r="JC13" s="19">
        <v>100</v>
      </c>
      <c r="JD13" s="19">
        <v>2000</v>
      </c>
      <c r="JE13" s="19" t="b">
        <f t="shared" ca="1" si="378"/>
        <v>0</v>
      </c>
      <c r="JF13" s="100">
        <f t="shared" si="123"/>
        <v>0</v>
      </c>
      <c r="JG13" s="19">
        <f t="shared" ca="1" si="124"/>
        <v>0</v>
      </c>
      <c r="JH13" s="19">
        <f t="shared" ca="1" si="379"/>
        <v>0</v>
      </c>
      <c r="JI13" s="100">
        <f t="shared" si="125"/>
        <v>1</v>
      </c>
      <c r="JJ13" s="19">
        <f t="shared" ca="1" si="126"/>
        <v>1960.1943871501269</v>
      </c>
      <c r="JK13" s="19">
        <f t="shared" ca="1" si="127"/>
        <v>100</v>
      </c>
      <c r="JL13" s="19">
        <f t="shared" ca="1" si="380"/>
        <v>38.269476765044686</v>
      </c>
      <c r="JM13" s="19">
        <f t="shared" ca="1" si="128"/>
        <v>78.075089614917715</v>
      </c>
      <c r="JN13" s="19">
        <f t="shared" ca="1" si="129"/>
        <v>-1921.92</v>
      </c>
      <c r="JO13" s="19">
        <f t="shared" ca="1" si="130"/>
        <v>3.9037544807458857E-2</v>
      </c>
      <c r="JP13" s="12">
        <f t="shared" ca="1" si="131"/>
        <v>78.075089614917715</v>
      </c>
      <c r="JQ13" s="79"/>
      <c r="JR13" s="12">
        <f t="shared" ca="1" si="381"/>
        <v>78.075089614917715</v>
      </c>
      <c r="JS13" s="18">
        <f t="shared" ca="1" si="132"/>
        <v>3.9037544807458857E-2</v>
      </c>
      <c r="JU13" s="11">
        <f t="shared" ca="1" si="133"/>
        <v>78.075089614917715</v>
      </c>
      <c r="JV13" s="11">
        <f ca="1">INDEX(Totals[[#Data],[#Totals],[Car - Note]:[NONTRACKED]],MATCH(JU$1,Totals[Date],0),MATCH($C13,Totals[[#Headers],[Car - Note]:[NONTRACKED]],0))</f>
        <v>0</v>
      </c>
      <c r="JW13" s="11">
        <f t="shared" ca="1" si="382"/>
        <v>78.075089614917715</v>
      </c>
      <c r="JX13" s="11">
        <v>100</v>
      </c>
      <c r="JY13" s="11">
        <v>2000</v>
      </c>
      <c r="JZ13" s="11" t="b">
        <f t="shared" ca="1" si="383"/>
        <v>0</v>
      </c>
      <c r="KA13" s="92">
        <f t="shared" si="134"/>
        <v>0</v>
      </c>
      <c r="KB13" s="11">
        <f t="shared" ca="1" si="135"/>
        <v>0</v>
      </c>
      <c r="KC13" s="11">
        <f t="shared" ca="1" si="384"/>
        <v>0</v>
      </c>
      <c r="KD13" s="92">
        <f t="shared" si="136"/>
        <v>1</v>
      </c>
      <c r="KE13" s="11">
        <f t="shared" ca="1" si="137"/>
        <v>1921.9249103850823</v>
      </c>
      <c r="KF13" s="11">
        <f t="shared" ca="1" si="138"/>
        <v>100</v>
      </c>
      <c r="KG13" s="11">
        <f t="shared" ca="1" si="385"/>
        <v>69.164764594363234</v>
      </c>
      <c r="KH13" s="11">
        <f t="shared" ca="1" si="139"/>
        <v>147.23985420928096</v>
      </c>
      <c r="KI13" s="11">
        <f t="shared" ca="1" si="140"/>
        <v>-1852.76</v>
      </c>
      <c r="KJ13" s="11">
        <f t="shared" ca="1" si="141"/>
        <v>7.3619927104640479E-2</v>
      </c>
      <c r="KK13" s="12">
        <f t="shared" ca="1" si="142"/>
        <v>147.23985420928096</v>
      </c>
      <c r="KL13" s="79"/>
      <c r="KM13" s="12">
        <f t="shared" ca="1" si="386"/>
        <v>147.23985420928096</v>
      </c>
      <c r="KN13" s="18">
        <f t="shared" ca="1" si="143"/>
        <v>7.3619927104640479E-2</v>
      </c>
      <c r="KP13" s="13">
        <f t="shared" ca="1" si="144"/>
        <v>147.23985420928096</v>
      </c>
      <c r="KQ13" s="13">
        <f ca="1">INDEX(Totals[[#Data],[#Totals],[Car - Note]:[NONTRACKED]],MATCH(KP$1,Totals[Date],0),MATCH($C13,Totals[[#Headers],[Car - Note]:[NONTRACKED]],0))</f>
        <v>0</v>
      </c>
      <c r="KR13" s="13">
        <f t="shared" ca="1" si="387"/>
        <v>147.23985420928096</v>
      </c>
      <c r="KS13" s="13">
        <v>100</v>
      </c>
      <c r="KT13" s="13">
        <v>2000</v>
      </c>
      <c r="KU13" s="13" t="b">
        <f t="shared" ca="1" si="388"/>
        <v>0</v>
      </c>
      <c r="KV13" s="94">
        <f t="shared" si="145"/>
        <v>0</v>
      </c>
      <c r="KW13" s="13">
        <f t="shared" ca="1" si="146"/>
        <v>0</v>
      </c>
      <c r="KX13" s="13">
        <f t="shared" ca="1" si="389"/>
        <v>0</v>
      </c>
      <c r="KY13" s="94">
        <f t="shared" si="147"/>
        <v>1</v>
      </c>
      <c r="KZ13" s="13">
        <f t="shared" ca="1" si="148"/>
        <v>1852.760145790719</v>
      </c>
      <c r="LA13" s="13">
        <f t="shared" ca="1" si="149"/>
        <v>100</v>
      </c>
      <c r="LB13" s="13">
        <f t="shared" ca="1" si="390"/>
        <v>76.300967584009115</v>
      </c>
      <c r="LC13" s="13">
        <f t="shared" ca="1" si="150"/>
        <v>223.54082179329009</v>
      </c>
      <c r="LD13" s="13">
        <f t="shared" ca="1" si="151"/>
        <v>-1776.46</v>
      </c>
      <c r="LE13" s="13">
        <f t="shared" ca="1" si="152"/>
        <v>0.11177041089664505</v>
      </c>
      <c r="LF13" s="12">
        <f t="shared" ca="1" si="153"/>
        <v>223.54082179329009</v>
      </c>
      <c r="LG13" s="79"/>
      <c r="LH13" s="12">
        <f t="shared" ca="1" si="391"/>
        <v>223.54082179329009</v>
      </c>
      <c r="LI13" s="18">
        <f t="shared" ca="1" si="154"/>
        <v>0.11177041089664505</v>
      </c>
      <c r="LK13" s="19">
        <f t="shared" ca="1" si="155"/>
        <v>223.54082179329009</v>
      </c>
      <c r="LL13" s="19">
        <f ca="1">INDEX(Totals[[#Data],[#Totals],[Car - Note]:[NONTRACKED]],MATCH(LK$1,Totals[Date],0),MATCH($C13,Totals[[#Headers],[Car - Note]:[NONTRACKED]],0))</f>
        <v>0</v>
      </c>
      <c r="LM13" s="19">
        <f t="shared" ca="1" si="392"/>
        <v>223.54082179329009</v>
      </c>
      <c r="LN13" s="19">
        <v>100</v>
      </c>
      <c r="LO13" s="19">
        <v>2000</v>
      </c>
      <c r="LP13" s="19" t="b">
        <f t="shared" ca="1" si="393"/>
        <v>0</v>
      </c>
      <c r="LQ13" s="100">
        <f t="shared" si="156"/>
        <v>0</v>
      </c>
      <c r="LR13" s="19">
        <f t="shared" ca="1" si="157"/>
        <v>0</v>
      </c>
      <c r="LS13" s="19">
        <f t="shared" ca="1" si="394"/>
        <v>0</v>
      </c>
      <c r="LT13" s="100">
        <f t="shared" si="158"/>
        <v>1</v>
      </c>
      <c r="LU13" s="19">
        <f t="shared" ca="1" si="159"/>
        <v>1776.45917820671</v>
      </c>
      <c r="LV13" s="19">
        <f t="shared" ca="1" si="160"/>
        <v>100</v>
      </c>
      <c r="LW13" s="19">
        <f t="shared" ca="1" si="395"/>
        <v>63.475428481224817</v>
      </c>
      <c r="LX13" s="19">
        <f t="shared" ca="1" si="161"/>
        <v>287.0162502745149</v>
      </c>
      <c r="LY13" s="19">
        <f t="shared" ca="1" si="162"/>
        <v>-1712.98</v>
      </c>
      <c r="LZ13" s="19">
        <f t="shared" ca="1" si="163"/>
        <v>0.14350812513725744</v>
      </c>
      <c r="MA13" s="12">
        <f t="shared" ca="1" si="164"/>
        <v>287.0162502745149</v>
      </c>
      <c r="MB13" s="79"/>
      <c r="MC13" s="12">
        <f t="shared" ca="1" si="396"/>
        <v>287.0162502745149</v>
      </c>
      <c r="MD13" s="18">
        <f t="shared" ca="1" si="165"/>
        <v>0.14350812513725744</v>
      </c>
      <c r="MF13" s="11">
        <f t="shared" ca="1" si="166"/>
        <v>287.0162502745149</v>
      </c>
      <c r="MG13" s="11">
        <f ca="1">INDEX(Totals[[#Data],[#Totals],[Car - Note]:[NONTRACKED]],MATCH(MF$1,Totals[Date],0),MATCH($C13,Totals[[#Headers],[Car - Note]:[NONTRACKED]],0))</f>
        <v>0</v>
      </c>
      <c r="MH13" s="11">
        <f t="shared" ca="1" si="397"/>
        <v>287.0162502745149</v>
      </c>
      <c r="MI13" s="11">
        <v>100</v>
      </c>
      <c r="MJ13" s="11">
        <v>2000</v>
      </c>
      <c r="MK13" s="11" t="b">
        <f t="shared" ca="1" si="398"/>
        <v>0</v>
      </c>
      <c r="ML13" s="92">
        <f t="shared" si="167"/>
        <v>0</v>
      </c>
      <c r="MM13" s="11">
        <f t="shared" ca="1" si="168"/>
        <v>0</v>
      </c>
      <c r="MN13" s="11">
        <f t="shared" ca="1" si="399"/>
        <v>0</v>
      </c>
      <c r="MO13" s="92">
        <f t="shared" si="169"/>
        <v>1</v>
      </c>
      <c r="MP13" s="11">
        <f t="shared" ca="1" si="170"/>
        <v>1712.983749725485</v>
      </c>
      <c r="MQ13" s="11">
        <f t="shared" ca="1" si="171"/>
        <v>100</v>
      </c>
      <c r="MR13" s="11">
        <f t="shared" ca="1" si="400"/>
        <v>50.076843412854956</v>
      </c>
      <c r="MS13" s="11">
        <f t="shared" ca="1" si="172"/>
        <v>337.09309368736984</v>
      </c>
      <c r="MT13" s="11">
        <f t="shared" ca="1" si="173"/>
        <v>-1662.91</v>
      </c>
      <c r="MU13" s="11">
        <f t="shared" ca="1" si="174"/>
        <v>0.16854654684368492</v>
      </c>
      <c r="MV13" s="12">
        <f t="shared" ca="1" si="175"/>
        <v>337.09309368736984</v>
      </c>
      <c r="MW13" s="79"/>
      <c r="MX13" s="12">
        <f t="shared" ca="1" si="401"/>
        <v>337.09309368736984</v>
      </c>
      <c r="MY13" s="18">
        <f t="shared" ca="1" si="176"/>
        <v>0.16854654684368492</v>
      </c>
      <c r="NA13" s="13">
        <f t="shared" ca="1" si="177"/>
        <v>337.09309368736984</v>
      </c>
      <c r="NB13" s="13">
        <f ca="1">INDEX(Totals[[#Data],[#Totals],[Car - Note]:[NONTRACKED]],MATCH(NA$1,Totals[Date],0),MATCH($C13,Totals[[#Headers],[Car - Note]:[NONTRACKED]],0))</f>
        <v>-26.910000000000011</v>
      </c>
      <c r="NC13" s="13">
        <f t="shared" ca="1" si="402"/>
        <v>310.18309368736982</v>
      </c>
      <c r="ND13" s="13">
        <v>100</v>
      </c>
      <c r="NE13" s="13">
        <v>2000</v>
      </c>
      <c r="NF13" s="13" t="b">
        <f t="shared" ca="1" si="403"/>
        <v>0</v>
      </c>
      <c r="NG13" s="94">
        <f t="shared" si="178"/>
        <v>0</v>
      </c>
      <c r="NH13" s="13">
        <f t="shared" ca="1" si="179"/>
        <v>0</v>
      </c>
      <c r="NI13" s="13">
        <f t="shared" ca="1" si="404"/>
        <v>0</v>
      </c>
      <c r="NJ13" s="94">
        <f t="shared" si="180"/>
        <v>1</v>
      </c>
      <c r="NK13" s="13">
        <f t="shared" ca="1" si="181"/>
        <v>1689.8169063126302</v>
      </c>
      <c r="NL13" s="13">
        <f t="shared" ca="1" si="182"/>
        <v>100</v>
      </c>
      <c r="NM13" s="13">
        <f t="shared" ca="1" si="405"/>
        <v>100</v>
      </c>
      <c r="NN13" s="13">
        <f t="shared" ca="1" si="183"/>
        <v>410.18309368736982</v>
      </c>
      <c r="NO13" s="13">
        <f t="shared" ca="1" si="184"/>
        <v>-1589.82</v>
      </c>
      <c r="NP13" s="13">
        <f t="shared" ca="1" si="185"/>
        <v>0.20509154684368491</v>
      </c>
      <c r="NQ13" s="12">
        <f t="shared" ca="1" si="186"/>
        <v>410.18309368736982</v>
      </c>
      <c r="NR13" s="79"/>
      <c r="NS13" s="12">
        <f t="shared" ca="1" si="406"/>
        <v>410.18309368736982</v>
      </c>
      <c r="NT13" s="18">
        <f t="shared" ca="1" si="187"/>
        <v>0.20509154684368491</v>
      </c>
      <c r="NV13" s="19">
        <f t="shared" ca="1" si="188"/>
        <v>410.18309368736982</v>
      </c>
      <c r="NW13" s="19">
        <f ca="1">INDEX(Totals[[#Data],[#Totals],[Car - Note]:[NONTRACKED]],MATCH(NV$1,Totals[Date],0),MATCH($C13,Totals[[#Headers],[Car - Note]:[NONTRACKED]],0))</f>
        <v>0</v>
      </c>
      <c r="NX13" s="19">
        <f t="shared" ca="1" si="407"/>
        <v>410.18309368736982</v>
      </c>
      <c r="NY13" s="19">
        <v>100</v>
      </c>
      <c r="NZ13" s="19">
        <v>2000</v>
      </c>
      <c r="OA13" s="19" t="b">
        <f t="shared" ca="1" si="408"/>
        <v>0</v>
      </c>
      <c r="OB13" s="100">
        <f t="shared" si="189"/>
        <v>0</v>
      </c>
      <c r="OC13" s="19">
        <f t="shared" ca="1" si="190"/>
        <v>0</v>
      </c>
      <c r="OD13" s="19">
        <f t="shared" ca="1" si="409"/>
        <v>0</v>
      </c>
      <c r="OE13" s="100">
        <f t="shared" si="191"/>
        <v>1</v>
      </c>
      <c r="OF13" s="19">
        <f t="shared" ca="1" si="192"/>
        <v>1589.8169063126302</v>
      </c>
      <c r="OG13" s="19">
        <f t="shared" ca="1" si="193"/>
        <v>100</v>
      </c>
      <c r="OH13" s="19">
        <f t="shared" ca="1" si="410"/>
        <v>77.130915209701172</v>
      </c>
      <c r="OI13" s="19">
        <f t="shared" ca="1" si="194"/>
        <v>487.31400889707101</v>
      </c>
      <c r="OJ13" s="19">
        <f t="shared" ca="1" si="195"/>
        <v>-1512.69</v>
      </c>
      <c r="OK13" s="19">
        <f t="shared" ca="1" si="196"/>
        <v>0.2436570044485355</v>
      </c>
      <c r="OL13" s="12">
        <f t="shared" ca="1" si="197"/>
        <v>487.31400889707101</v>
      </c>
      <c r="OM13" s="79"/>
      <c r="ON13" s="12">
        <f t="shared" ca="1" si="411"/>
        <v>487.31400889707101</v>
      </c>
      <c r="OO13" s="18">
        <f t="shared" ca="1" si="198"/>
        <v>0.2436570044485355</v>
      </c>
      <c r="OQ13" s="11">
        <f t="shared" ca="1" si="199"/>
        <v>487.31400889707101</v>
      </c>
      <c r="OR13" s="11">
        <f ca="1">INDEX(Totals[[#Data],[#Totals],[Car - Note]:[NONTRACKED]],MATCH(OQ$1,Totals[Date],0),MATCH($C13,Totals[[#Headers],[Car - Note]:[NONTRACKED]],0))</f>
        <v>-196.44</v>
      </c>
      <c r="OS13" s="11">
        <f t="shared" ca="1" si="412"/>
        <v>290.87400889707101</v>
      </c>
      <c r="OT13" s="11">
        <v>100</v>
      </c>
      <c r="OU13" s="11">
        <v>2000</v>
      </c>
      <c r="OV13" s="11" t="b">
        <f t="shared" ca="1" si="413"/>
        <v>0</v>
      </c>
      <c r="OW13" s="92">
        <f t="shared" si="200"/>
        <v>0</v>
      </c>
      <c r="OX13" s="11">
        <f t="shared" ca="1" si="201"/>
        <v>0</v>
      </c>
      <c r="OY13" s="11">
        <f t="shared" ca="1" si="414"/>
        <v>0</v>
      </c>
      <c r="OZ13" s="92">
        <f t="shared" si="202"/>
        <v>1</v>
      </c>
      <c r="PA13" s="11">
        <f t="shared" ca="1" si="203"/>
        <v>1709.125991102929</v>
      </c>
      <c r="PB13" s="11">
        <f t="shared" ca="1" si="204"/>
        <v>100</v>
      </c>
      <c r="PC13" s="11">
        <f t="shared" ca="1" si="415"/>
        <v>59.395554900461192</v>
      </c>
      <c r="PD13" s="11">
        <f t="shared" ca="1" si="205"/>
        <v>350.26956379753221</v>
      </c>
      <c r="PE13" s="11">
        <f t="shared" ca="1" si="206"/>
        <v>-1649.73</v>
      </c>
      <c r="PF13" s="11">
        <f t="shared" ca="1" si="207"/>
        <v>0.17513478189876611</v>
      </c>
      <c r="PG13" s="12">
        <f t="shared" ca="1" si="208"/>
        <v>350.26956379753221</v>
      </c>
      <c r="PH13" s="79"/>
      <c r="PI13" s="12">
        <f t="shared" ca="1" si="416"/>
        <v>350.26956379753221</v>
      </c>
      <c r="PJ13" s="18">
        <f t="shared" ca="1" si="209"/>
        <v>0.17513478189876611</v>
      </c>
      <c r="PL13" s="13">
        <f t="shared" ca="1" si="210"/>
        <v>350.26956379753221</v>
      </c>
      <c r="PM13" s="13">
        <f ca="1">INDEX(Totals[[#Data],[#Totals],[Car - Note]:[NONTRACKED]],MATCH(PL$1,Totals[Date],0),MATCH($C13,Totals[[#Headers],[Car - Note]:[NONTRACKED]],0))</f>
        <v>-281.60000000000002</v>
      </c>
      <c r="PN13" s="13">
        <f t="shared" ca="1" si="417"/>
        <v>68.669563797532192</v>
      </c>
      <c r="PO13" s="13">
        <v>100</v>
      </c>
      <c r="PP13" s="13">
        <v>2000</v>
      </c>
      <c r="PQ13" s="13" t="b">
        <f t="shared" ca="1" si="418"/>
        <v>0</v>
      </c>
      <c r="PR13" s="94">
        <f t="shared" si="211"/>
        <v>0</v>
      </c>
      <c r="PS13" s="13">
        <f t="shared" ca="1" si="212"/>
        <v>0</v>
      </c>
      <c r="PT13" s="13">
        <f t="shared" ca="1" si="419"/>
        <v>0</v>
      </c>
      <c r="PU13" s="94">
        <f t="shared" si="213"/>
        <v>1</v>
      </c>
      <c r="PV13" s="13">
        <f t="shared" ca="1" si="214"/>
        <v>1931.3304362024678</v>
      </c>
      <c r="PW13" s="13">
        <f t="shared" ca="1" si="215"/>
        <v>100</v>
      </c>
      <c r="PX13" s="13">
        <f t="shared" ca="1" si="420"/>
        <v>70.644748016769299</v>
      </c>
      <c r="PY13" s="13">
        <f t="shared" ca="1" si="216"/>
        <v>139.3143118143015</v>
      </c>
      <c r="PZ13" s="13">
        <f t="shared" ca="1" si="217"/>
        <v>-1860.69</v>
      </c>
      <c r="QA13" s="13">
        <f t="shared" ca="1" si="218"/>
        <v>6.9657155907150756E-2</v>
      </c>
      <c r="QB13" s="12">
        <f t="shared" ca="1" si="219"/>
        <v>139.3143118143015</v>
      </c>
      <c r="QC13" s="79"/>
      <c r="QD13" s="12">
        <f t="shared" ca="1" si="421"/>
        <v>139.3143118143015</v>
      </c>
      <c r="QE13" s="18">
        <f t="shared" ca="1" si="220"/>
        <v>6.9657155907150756E-2</v>
      </c>
      <c r="QG13" s="19">
        <f t="shared" ca="1" si="221"/>
        <v>139.3143118143015</v>
      </c>
      <c r="QH13" s="19">
        <f ca="1">INDEX(Totals[[#Data],[#Totals],[Car - Note]:[NONTRACKED]],MATCH(QG$1,Totals[Date],0),MATCH($C13,Totals[[#Headers],[Car - Note]:[NONTRACKED]],0))</f>
        <v>0</v>
      </c>
      <c r="QI13" s="19">
        <f t="shared" ca="1" si="422"/>
        <v>139.3143118143015</v>
      </c>
      <c r="QJ13" s="19">
        <v>100</v>
      </c>
      <c r="QK13" s="19">
        <v>2000</v>
      </c>
      <c r="QL13" s="19" t="b">
        <f t="shared" ca="1" si="423"/>
        <v>0</v>
      </c>
      <c r="QM13" s="100">
        <f t="shared" si="222"/>
        <v>0</v>
      </c>
      <c r="QN13" s="19">
        <f t="shared" ca="1" si="223"/>
        <v>0</v>
      </c>
      <c r="QO13" s="19">
        <f t="shared" ca="1" si="424"/>
        <v>0</v>
      </c>
      <c r="QP13" s="100">
        <f t="shared" si="224"/>
        <v>1</v>
      </c>
      <c r="QQ13" s="19">
        <f t="shared" ca="1" si="225"/>
        <v>1860.6856881856984</v>
      </c>
      <c r="QR13" s="19">
        <f t="shared" ca="1" si="226"/>
        <v>100</v>
      </c>
      <c r="QS13" s="19">
        <f t="shared" ca="1" si="425"/>
        <v>69.870928808039864</v>
      </c>
      <c r="QT13" s="19">
        <f t="shared" ca="1" si="227"/>
        <v>209.18524062234138</v>
      </c>
      <c r="QU13" s="19">
        <f t="shared" ca="1" si="228"/>
        <v>-1790.81</v>
      </c>
      <c r="QV13" s="19">
        <f t="shared" ca="1" si="229"/>
        <v>0.1045926203111707</v>
      </c>
      <c r="QW13" s="12">
        <f t="shared" ca="1" si="230"/>
        <v>209.18524062234138</v>
      </c>
      <c r="QX13" s="79">
        <v>75</v>
      </c>
      <c r="QY13" s="12">
        <f t="shared" ca="1" si="426"/>
        <v>284.18524062234138</v>
      </c>
      <c r="QZ13" s="18">
        <f t="shared" ca="1" si="231"/>
        <v>0.1420926203111707</v>
      </c>
      <c r="RB13" s="11">
        <f t="shared" ca="1" si="232"/>
        <v>284.18524062234138</v>
      </c>
      <c r="RC13" s="11">
        <f ca="1">INDEX(Totals[[#Data],[#Totals],[Car - Note]:[NONTRACKED]],MATCH(RB$1,Totals[Date],0),MATCH($C13,Totals[[#Headers],[Car - Note]:[NONTRACKED]],0))</f>
        <v>-303.5</v>
      </c>
      <c r="RD13" s="11">
        <f t="shared" ca="1" si="427"/>
        <v>-19.314759377658618</v>
      </c>
      <c r="RE13" s="11">
        <v>100</v>
      </c>
      <c r="RF13" s="11">
        <v>2000</v>
      </c>
      <c r="RG13" s="11" t="b">
        <f t="shared" ca="1" si="428"/>
        <v>0</v>
      </c>
      <c r="RH13" s="92">
        <f t="shared" si="233"/>
        <v>0</v>
      </c>
      <c r="RI13" s="11">
        <f t="shared" ca="1" si="234"/>
        <v>0</v>
      </c>
      <c r="RJ13" s="11">
        <f t="shared" ca="1" si="429"/>
        <v>0</v>
      </c>
      <c r="RK13" s="92">
        <f t="shared" si="235"/>
        <v>1</v>
      </c>
      <c r="RL13" s="11">
        <f t="shared" ca="1" si="236"/>
        <v>2019.3147593776587</v>
      </c>
      <c r="RM13" s="11">
        <f t="shared" ca="1" si="237"/>
        <v>100</v>
      </c>
      <c r="RN13" s="11">
        <f t="shared" ca="1" si="430"/>
        <v>58.785617707507811</v>
      </c>
      <c r="RO13" s="11">
        <f t="shared" ca="1" si="238"/>
        <v>39.470858329849193</v>
      </c>
      <c r="RP13" s="11">
        <f t="shared" ca="1" si="239"/>
        <v>-1960.53</v>
      </c>
      <c r="RQ13" s="11">
        <f t="shared" ca="1" si="240"/>
        <v>1.9735429164924597E-2</v>
      </c>
      <c r="RR13" s="12">
        <f t="shared" ca="1" si="241"/>
        <v>39.470858329849193</v>
      </c>
      <c r="RS13" s="79">
        <v>75</v>
      </c>
      <c r="RT13" s="12">
        <f t="shared" ca="1" si="431"/>
        <v>114.47085832984919</v>
      </c>
      <c r="RU13" s="18">
        <f t="shared" ca="1" si="242"/>
        <v>5.7235429164924599E-2</v>
      </c>
      <c r="RW13" s="13">
        <f t="shared" ca="1" si="243"/>
        <v>114.47085832984919</v>
      </c>
      <c r="RX13" s="13">
        <f ca="1">INDEX(Totals[[#Data],[#Totals],[Car - Note]:[NONTRACKED]],MATCH(RW$1,Totals[Date],0),MATCH($C13,Totals[[#Headers],[Car - Note]:[NONTRACKED]],0))</f>
        <v>-171.81</v>
      </c>
      <c r="RY13" s="13">
        <f t="shared" ca="1" si="432"/>
        <v>-57.339141670150809</v>
      </c>
      <c r="RZ13" s="13">
        <v>100</v>
      </c>
      <c r="SA13" s="13">
        <v>2000</v>
      </c>
      <c r="SB13" s="13" t="b">
        <f t="shared" ca="1" si="433"/>
        <v>0</v>
      </c>
      <c r="SC13" s="94">
        <f t="shared" si="244"/>
        <v>0</v>
      </c>
      <c r="SD13" s="13">
        <f t="shared" ca="1" si="245"/>
        <v>0</v>
      </c>
      <c r="SE13" s="13">
        <f t="shared" ca="1" si="434"/>
        <v>0</v>
      </c>
      <c r="SF13" s="94">
        <f t="shared" si="246"/>
        <v>1</v>
      </c>
      <c r="SG13" s="13">
        <f t="shared" ca="1" si="247"/>
        <v>2057.3391416701506</v>
      </c>
      <c r="SH13" s="13">
        <f t="shared" ca="1" si="248"/>
        <v>100</v>
      </c>
      <c r="SI13" s="13">
        <f t="shared" ca="1" si="435"/>
        <v>87.761048046955722</v>
      </c>
      <c r="SJ13" s="13">
        <f t="shared" ca="1" si="249"/>
        <v>30.421906376804912</v>
      </c>
      <c r="SK13" s="13">
        <f t="shared" ca="1" si="250"/>
        <v>-1969.58</v>
      </c>
      <c r="SL13" s="13">
        <f t="shared" ca="1" si="251"/>
        <v>1.5210953188402456E-2</v>
      </c>
      <c r="SM13" s="12">
        <f t="shared" ca="1" si="252"/>
        <v>30.421906376804912</v>
      </c>
      <c r="SN13" s="79">
        <v>50</v>
      </c>
      <c r="SO13" s="12">
        <f t="shared" ca="1" si="436"/>
        <v>80.421906376804912</v>
      </c>
      <c r="SP13" s="18">
        <f t="shared" ca="1" si="253"/>
        <v>4.0210953188402454E-2</v>
      </c>
      <c r="SR13" s="19">
        <f t="shared" ca="1" si="254"/>
        <v>80.421906376804912</v>
      </c>
      <c r="SS13" s="19">
        <f ca="1">INDEX(Totals[[#Data],[#Totals],[Car - Note]:[NONTRACKED]],MATCH(SR$1,Totals[Date],0),MATCH($C13,Totals[[#Headers],[Car - Note]:[NONTRACKED]],0))</f>
        <v>-128.4</v>
      </c>
      <c r="ST13" s="19">
        <f t="shared" ca="1" si="437"/>
        <v>-47.978093623195093</v>
      </c>
      <c r="SU13" s="19">
        <v>100</v>
      </c>
      <c r="SV13" s="19">
        <v>2000</v>
      </c>
      <c r="SW13" s="19" t="b">
        <f t="shared" ca="1" si="438"/>
        <v>0</v>
      </c>
      <c r="SX13" s="100">
        <f t="shared" si="255"/>
        <v>0</v>
      </c>
      <c r="SY13" s="19">
        <f t="shared" ca="1" si="256"/>
        <v>0</v>
      </c>
      <c r="SZ13" s="19">
        <f t="shared" ca="1" si="439"/>
        <v>0</v>
      </c>
      <c r="TA13" s="100">
        <f t="shared" si="257"/>
        <v>1</v>
      </c>
      <c r="TB13" s="19">
        <f t="shared" ca="1" si="258"/>
        <v>2047.978093623195</v>
      </c>
      <c r="TC13" s="19">
        <f t="shared" ca="1" si="259"/>
        <v>100</v>
      </c>
      <c r="TD13" s="19">
        <f t="shared" ca="1" si="440"/>
        <v>72.660425719204355</v>
      </c>
      <c r="TE13" s="19">
        <f t="shared" ca="1" si="260"/>
        <v>24.682332096009262</v>
      </c>
      <c r="TF13" s="19">
        <f t="shared" ca="1" si="261"/>
        <v>-1975.32</v>
      </c>
      <c r="TG13" s="19">
        <f t="shared" ca="1" si="262"/>
        <v>1.234116604800463E-2</v>
      </c>
      <c r="TH13" s="12">
        <f t="shared" ca="1" si="263"/>
        <v>24.682332096009262</v>
      </c>
      <c r="TI13" s="79"/>
      <c r="TJ13" s="12">
        <f t="shared" ca="1" si="441"/>
        <v>24.682332096009262</v>
      </c>
      <c r="TK13" s="18">
        <f t="shared" ca="1" si="264"/>
        <v>1.234116604800463E-2</v>
      </c>
      <c r="TM13" s="11">
        <f t="shared" ca="1" si="265"/>
        <v>24.682332096009262</v>
      </c>
      <c r="TN13" s="11">
        <f ca="1">INDEX(Totals[[#Data],[#Totals],[Car - Note]:[NONTRACKED]],MATCH(TM$1,Totals[Date],0),MATCH($C13,Totals[[#Headers],[Car - Note]:[NONTRACKED]],0))</f>
        <v>0</v>
      </c>
      <c r="TO13" s="11">
        <f t="shared" ca="1" si="442"/>
        <v>24.682332096009262</v>
      </c>
      <c r="TP13" s="11">
        <v>100</v>
      </c>
      <c r="TQ13" s="11">
        <v>2000</v>
      </c>
      <c r="TR13" s="11" t="b">
        <f t="shared" ca="1" si="443"/>
        <v>0</v>
      </c>
      <c r="TS13" s="92">
        <f t="shared" si="266"/>
        <v>0</v>
      </c>
      <c r="TT13" s="11">
        <f t="shared" ca="1" si="267"/>
        <v>0</v>
      </c>
      <c r="TU13" s="11">
        <f t="shared" ca="1" si="444"/>
        <v>0</v>
      </c>
      <c r="TV13" s="92">
        <f t="shared" si="268"/>
        <v>1</v>
      </c>
      <c r="TW13" s="11">
        <f t="shared" ca="1" si="269"/>
        <v>1975.3176679039907</v>
      </c>
      <c r="TX13" s="11">
        <f t="shared" ca="1" si="270"/>
        <v>100</v>
      </c>
      <c r="TY13" s="11">
        <f t="shared" ca="1" si="445"/>
        <v>63.650779168801598</v>
      </c>
      <c r="TZ13" s="11">
        <f t="shared" ca="1" si="271"/>
        <v>88.333111264810867</v>
      </c>
      <c r="UA13" s="11">
        <f t="shared" ca="1" si="272"/>
        <v>-1911.67</v>
      </c>
      <c r="UB13" s="11">
        <f t="shared" ca="1" si="273"/>
        <v>4.4166555632405437E-2</v>
      </c>
      <c r="UC13" s="12">
        <f t="shared" ca="1" si="274"/>
        <v>88.333111264810867</v>
      </c>
      <c r="UD13" s="79">
        <v>400</v>
      </c>
      <c r="UE13" s="12">
        <f t="shared" ca="1" si="446"/>
        <v>488.3331112648109</v>
      </c>
      <c r="UF13" s="18">
        <f t="shared" ca="1" si="275"/>
        <v>0.24416655563240544</v>
      </c>
      <c r="UH13" s="13">
        <f t="shared" ca="1" si="276"/>
        <v>488.3331112648109</v>
      </c>
      <c r="UI13" s="13">
        <f ca="1">INDEX(Totals[[#Data],[#Totals],[Car - Note]:[NONTRACKED]],MATCH(UH$1,Totals[Date],0),MATCH($C13,Totals[[#Headers],[Car - Note]:[NONTRACKED]],0))</f>
        <v>-45</v>
      </c>
      <c r="UJ13" s="13">
        <f t="shared" ca="1" si="447"/>
        <v>443.3331112648109</v>
      </c>
      <c r="UK13" s="13">
        <v>100</v>
      </c>
      <c r="UL13" s="13">
        <v>2000</v>
      </c>
      <c r="UM13" s="13" t="b">
        <f t="shared" ca="1" si="448"/>
        <v>0</v>
      </c>
      <c r="UN13" s="94">
        <f t="shared" si="277"/>
        <v>0</v>
      </c>
      <c r="UO13" s="13">
        <f t="shared" ca="1" si="278"/>
        <v>0</v>
      </c>
      <c r="UP13" s="13">
        <f t="shared" ca="1" si="449"/>
        <v>0</v>
      </c>
      <c r="UQ13" s="94">
        <f t="shared" si="279"/>
        <v>1</v>
      </c>
      <c r="UR13" s="13">
        <f t="shared" ca="1" si="280"/>
        <v>1556.6668887351891</v>
      </c>
      <c r="US13" s="13">
        <f t="shared" ca="1" si="281"/>
        <v>100</v>
      </c>
      <c r="UT13" s="13">
        <f t="shared" ca="1" si="450"/>
        <v>100</v>
      </c>
      <c r="UU13" s="13">
        <f t="shared" ca="1" si="282"/>
        <v>543.3331112648109</v>
      </c>
      <c r="UV13" s="13">
        <f t="shared" ca="1" si="283"/>
        <v>-1456.67</v>
      </c>
      <c r="UW13" s="13">
        <f t="shared" ca="1" si="284"/>
        <v>0.27166655563240544</v>
      </c>
      <c r="UX13" s="12">
        <f t="shared" ca="1" si="285"/>
        <v>543.3331112648109</v>
      </c>
      <c r="UY13" s="79"/>
      <c r="UZ13" s="12">
        <f t="shared" ca="1" si="451"/>
        <v>543.3331112648109</v>
      </c>
      <c r="VA13" s="18">
        <f t="shared" ca="1" si="286"/>
        <v>0.27166655563240544</v>
      </c>
      <c r="VC13" s="19">
        <f t="shared" ca="1" si="287"/>
        <v>543.3331112648109</v>
      </c>
      <c r="VD13" s="19">
        <f ca="1">INDEX(Totals[[#Data],[#Totals],[Car - Note]:[NONTRACKED]],MATCH(VC$1,Totals[Date],0),MATCH($C13,Totals[[#Headers],[Car - Note]:[NONTRACKED]],0))</f>
        <v>0</v>
      </c>
      <c r="VE13" s="19">
        <f t="shared" ca="1" si="452"/>
        <v>543.3331112648109</v>
      </c>
      <c r="VF13" s="19">
        <v>100</v>
      </c>
      <c r="VG13" s="19">
        <v>2000</v>
      </c>
      <c r="VH13" s="19" t="b">
        <f t="shared" ca="1" si="453"/>
        <v>0</v>
      </c>
      <c r="VI13" s="100">
        <f t="shared" si="288"/>
        <v>0</v>
      </c>
      <c r="VJ13" s="19">
        <f t="shared" ca="1" si="289"/>
        <v>0</v>
      </c>
      <c r="VK13" s="19">
        <f t="shared" ca="1" si="454"/>
        <v>0</v>
      </c>
      <c r="VL13" s="100">
        <f t="shared" si="290"/>
        <v>1</v>
      </c>
      <c r="VM13" s="19">
        <f t="shared" ca="1" si="291"/>
        <v>1456.6668887351891</v>
      </c>
      <c r="VN13" s="19">
        <f t="shared" ca="1" si="292"/>
        <v>100</v>
      </c>
      <c r="VO13" s="19">
        <f t="shared" ca="1" si="455"/>
        <v>66.29391816183454</v>
      </c>
      <c r="VP13" s="19">
        <f t="shared" ca="1" si="293"/>
        <v>609.62702942664544</v>
      </c>
      <c r="VQ13" s="19">
        <f t="shared" ca="1" si="294"/>
        <v>-1390.37</v>
      </c>
      <c r="VR13" s="19">
        <f t="shared" ca="1" si="295"/>
        <v>0.30481351471332274</v>
      </c>
      <c r="VS13" s="12">
        <f t="shared" ca="1" si="296"/>
        <v>609.62702942664544</v>
      </c>
      <c r="VT13" s="79"/>
      <c r="VU13" s="12">
        <f t="shared" ca="1" si="456"/>
        <v>609.62702942664544</v>
      </c>
      <c r="VV13" s="18">
        <f t="shared" ca="1" si="297"/>
        <v>0.30481351471332274</v>
      </c>
      <c r="VX13" s="11">
        <f t="shared" ca="1" si="298"/>
        <v>609.62702942664544</v>
      </c>
      <c r="VY13" s="11">
        <f ca="1">INDEX(Totals[[#Data],[#Totals],[Car - Note]:[NONTRACKED]],MATCH(VX$1,Totals[Date],0),MATCH($C13,Totals[[#Headers],[Car - Note]:[NONTRACKED]],0))</f>
        <v>0</v>
      </c>
      <c r="VZ13" s="11">
        <f t="shared" ca="1" si="457"/>
        <v>609.62702942664544</v>
      </c>
      <c r="WA13" s="11">
        <v>100</v>
      </c>
      <c r="WB13" s="11">
        <v>2000</v>
      </c>
      <c r="WC13" s="11" t="b">
        <f t="shared" ca="1" si="458"/>
        <v>0</v>
      </c>
      <c r="WD13" s="92">
        <f t="shared" si="299"/>
        <v>0</v>
      </c>
      <c r="WE13" s="11">
        <f t="shared" ca="1" si="300"/>
        <v>0</v>
      </c>
      <c r="WF13" s="11">
        <f t="shared" ca="1" si="459"/>
        <v>0</v>
      </c>
      <c r="WG13" s="92">
        <f t="shared" si="301"/>
        <v>1</v>
      </c>
      <c r="WH13" s="11">
        <f t="shared" ca="1" si="302"/>
        <v>1390.3729705733545</v>
      </c>
      <c r="WI13" s="11">
        <f t="shared" ca="1" si="303"/>
        <v>100</v>
      </c>
      <c r="WJ13" s="11">
        <f t="shared" ca="1" si="460"/>
        <v>59.719032596361544</v>
      </c>
      <c r="WK13" s="11">
        <f t="shared" ca="1" si="304"/>
        <v>669.34606202300699</v>
      </c>
      <c r="WL13" s="11">
        <f t="shared" ca="1" si="305"/>
        <v>-1330.65</v>
      </c>
      <c r="WM13" s="11">
        <f t="shared" ca="1" si="306"/>
        <v>0.33467303101150347</v>
      </c>
      <c r="WN13" s="12">
        <f t="shared" ca="1" si="307"/>
        <v>669.34606202300699</v>
      </c>
      <c r="WO13" s="79"/>
      <c r="WP13" s="12">
        <f t="shared" ca="1" si="461"/>
        <v>669.34606202300699</v>
      </c>
      <c r="WQ13" s="18">
        <f t="shared" ca="1" si="308"/>
        <v>0.33467303101150347</v>
      </c>
      <c r="WS13" s="13">
        <f t="shared" ca="1" si="309"/>
        <v>669.34606202300699</v>
      </c>
      <c r="WT13" s="13">
        <f ca="1">INDEX(Totals[[#Data],[#Totals],[Car - Note]:[NONTRACKED]],MATCH(WS$1,Totals[Date],0),MATCH($C13,Totals[[#Headers],[Car - Note]:[NONTRACKED]],0))</f>
        <v>0</v>
      </c>
      <c r="WU13" s="13">
        <f t="shared" ca="1" si="462"/>
        <v>669.34606202300699</v>
      </c>
      <c r="WV13" s="13">
        <v>100</v>
      </c>
      <c r="WW13" s="13">
        <v>2000</v>
      </c>
      <c r="WX13" s="13" t="b">
        <f t="shared" ca="1" si="463"/>
        <v>0</v>
      </c>
      <c r="WY13" s="94">
        <f t="shared" si="310"/>
        <v>0</v>
      </c>
      <c r="WZ13" s="13">
        <f t="shared" ca="1" si="311"/>
        <v>0</v>
      </c>
      <c r="XA13" s="13">
        <f t="shared" ca="1" si="464"/>
        <v>0</v>
      </c>
      <c r="XB13" s="94">
        <f t="shared" si="312"/>
        <v>1</v>
      </c>
      <c r="XC13" s="13">
        <f t="shared" ca="1" si="313"/>
        <v>1330.6539379769929</v>
      </c>
      <c r="XD13" s="13">
        <f t="shared" ca="1" si="314"/>
        <v>100</v>
      </c>
      <c r="XE13" s="13">
        <f t="shared" ca="1" si="465"/>
        <v>94.711596200530607</v>
      </c>
      <c r="XF13" s="13">
        <f t="shared" ca="1" si="315"/>
        <v>764.0576582235376</v>
      </c>
      <c r="XG13" s="13">
        <f t="shared" ca="1" si="316"/>
        <v>-1235.94</v>
      </c>
      <c r="XH13" s="13">
        <f t="shared" ca="1" si="317"/>
        <v>0.38202882911176878</v>
      </c>
      <c r="XI13" s="12">
        <f t="shared" ca="1" si="318"/>
        <v>764.0576582235376</v>
      </c>
      <c r="XJ13" s="79"/>
      <c r="XK13" s="12">
        <f t="shared" ca="1" si="466"/>
        <v>764.0576582235376</v>
      </c>
      <c r="XL13" s="18">
        <f t="shared" ca="1" si="320"/>
        <v>0.38202882911176878</v>
      </c>
      <c r="XN13">
        <v>0</v>
      </c>
      <c r="XO13" s="103">
        <f t="shared" ca="1" si="467"/>
        <v>0</v>
      </c>
      <c r="XP13" s="12">
        <f t="shared" ca="1" si="468"/>
        <v>669.34606202300699</v>
      </c>
      <c r="XQ13" s="102">
        <f t="shared" ca="1" si="469"/>
        <v>0.33467303101150347</v>
      </c>
    </row>
    <row r="14" spans="1:641" x14ac:dyDescent="0.25">
      <c r="A14" s="112"/>
      <c r="B14" t="s">
        <v>49</v>
      </c>
      <c r="C14" t="s">
        <v>12</v>
      </c>
      <c r="D14" s="79">
        <v>-300</v>
      </c>
      <c r="H14" s="48">
        <v>200</v>
      </c>
      <c r="I14" s="48"/>
      <c r="J14" s="48"/>
      <c r="K14" s="48">
        <v>300</v>
      </c>
      <c r="L14" s="95">
        <v>400</v>
      </c>
      <c r="M14" s="48"/>
      <c r="N14" s="96"/>
      <c r="O14" s="48"/>
      <c r="P14" s="48"/>
      <c r="Q14" s="96"/>
      <c r="R14" s="48"/>
      <c r="S14" s="48"/>
      <c r="T14" s="48"/>
      <c r="U14" s="48"/>
      <c r="V14" s="48"/>
      <c r="W14" s="48"/>
      <c r="X14" s="48"/>
      <c r="Y14" s="48"/>
      <c r="Z14" s="48">
        <f t="shared" si="321"/>
        <v>200</v>
      </c>
      <c r="AA14" s="98">
        <f t="shared" si="0"/>
        <v>0.5</v>
      </c>
      <c r="AC14" s="11">
        <f t="shared" si="1"/>
        <v>200</v>
      </c>
      <c r="AD14" s="11">
        <f ca="1">INDEX(Totals[[#Data],[#Totals],[Car - Note]:[NONTRACKED]],MATCH(AC$1,Totals[Date],0),MATCH($C14,Totals[[#Headers],[Car - Note]:[NONTRACKED]],0))</f>
        <v>-261.52999999999997</v>
      </c>
      <c r="AE14" s="11">
        <f t="shared" ca="1" si="322"/>
        <v>-61.529999999999973</v>
      </c>
      <c r="AF14" s="11">
        <v>400</v>
      </c>
      <c r="AG14" s="11">
        <v>400</v>
      </c>
      <c r="AH14" s="11" t="b">
        <f t="shared" ca="1" si="323"/>
        <v>0</v>
      </c>
      <c r="AI14" s="92">
        <f t="shared" si="2"/>
        <v>0</v>
      </c>
      <c r="AJ14" s="11">
        <f t="shared" ca="1" si="3"/>
        <v>0</v>
      </c>
      <c r="AK14" s="11">
        <f t="shared" ca="1" si="324"/>
        <v>0</v>
      </c>
      <c r="AL14" s="92">
        <f t="shared" si="4"/>
        <v>1</v>
      </c>
      <c r="AM14" s="11">
        <f t="shared" ca="1" si="5"/>
        <v>461.53</v>
      </c>
      <c r="AN14" s="11">
        <f t="shared" ca="1" si="6"/>
        <v>400</v>
      </c>
      <c r="AO14" s="11">
        <f t="shared" ca="1" si="325"/>
        <v>321.987910179881</v>
      </c>
      <c r="AP14" s="11">
        <f t="shared" ca="1" si="7"/>
        <v>260.45791017988103</v>
      </c>
      <c r="AQ14" s="11">
        <f t="shared" ca="1" si="8"/>
        <v>-139.54</v>
      </c>
      <c r="AR14" s="11">
        <f t="shared" ca="1" si="9"/>
        <v>0.65114477544970262</v>
      </c>
      <c r="AS14" s="12">
        <f t="shared" ca="1" si="10"/>
        <v>260.45791017988103</v>
      </c>
      <c r="AT14" s="12"/>
      <c r="AU14" s="12">
        <f t="shared" ca="1" si="326"/>
        <v>260.45791017988103</v>
      </c>
      <c r="AV14" s="18">
        <f t="shared" ca="1" si="11"/>
        <v>0.65114477544970262</v>
      </c>
      <c r="AX14" s="13">
        <f t="shared" ca="1" si="12"/>
        <v>260.45791017988103</v>
      </c>
      <c r="AY14" s="13">
        <f ca="1">INDEX(Totals[[#Data],[#Totals],[Car - Note]:[NONTRACKED]],MATCH(AX$1,Totals[Date],0),MATCH($C14,Totals[[#Headers],[Car - Note]:[NONTRACKED]],0))</f>
        <v>-250.68</v>
      </c>
      <c r="AZ14" s="13">
        <f t="shared" ca="1" si="327"/>
        <v>9.7779101798810188</v>
      </c>
      <c r="BA14" s="13">
        <v>300</v>
      </c>
      <c r="BB14" s="13">
        <v>400</v>
      </c>
      <c r="BC14" s="13" t="b">
        <f t="shared" ca="1" si="328"/>
        <v>0</v>
      </c>
      <c r="BD14" s="94">
        <f t="shared" si="13"/>
        <v>0</v>
      </c>
      <c r="BE14" s="13">
        <f t="shared" ca="1" si="14"/>
        <v>0</v>
      </c>
      <c r="BF14" s="13">
        <f t="shared" ca="1" si="329"/>
        <v>0</v>
      </c>
      <c r="BG14" s="94">
        <f t="shared" si="15"/>
        <v>1</v>
      </c>
      <c r="BH14" s="13">
        <f t="shared" ca="1" si="16"/>
        <v>390.22208982011898</v>
      </c>
      <c r="BI14" s="13">
        <f t="shared" ca="1" si="17"/>
        <v>300</v>
      </c>
      <c r="BJ14" s="13">
        <f t="shared" ca="1" si="330"/>
        <v>143.15784191431973</v>
      </c>
      <c r="BK14" s="13">
        <f t="shared" ca="1" si="18"/>
        <v>152.93575209420075</v>
      </c>
      <c r="BL14" s="13">
        <f t="shared" ca="1" si="19"/>
        <v>-247.06</v>
      </c>
      <c r="BM14" s="13">
        <f t="shared" ca="1" si="20"/>
        <v>0.3823393802355019</v>
      </c>
      <c r="BN14" s="12">
        <f t="shared" ca="1" si="21"/>
        <v>152.93575209420075</v>
      </c>
      <c r="BO14" s="12"/>
      <c r="BP14" s="12">
        <f t="shared" ca="1" si="331"/>
        <v>152.93575209420075</v>
      </c>
      <c r="BQ14" s="18">
        <f t="shared" ca="1" si="22"/>
        <v>0.3823393802355019</v>
      </c>
      <c r="BS14" s="19">
        <f t="shared" ca="1" si="23"/>
        <v>152.93575209420075</v>
      </c>
      <c r="BT14" s="19">
        <f ca="1">INDEX(Totals[[#Data],[#Totals],[Car - Note]:[NONTRACKED]],MATCH(BS$1,Totals[Date],0),MATCH($C14,Totals[[#Headers],[Car - Note]:[NONTRACKED]],0))</f>
        <v>-94.91</v>
      </c>
      <c r="BU14" s="19">
        <f t="shared" ca="1" si="332"/>
        <v>58.025752094200755</v>
      </c>
      <c r="BV14" s="19">
        <v>300</v>
      </c>
      <c r="BW14" s="19">
        <v>500</v>
      </c>
      <c r="BX14" s="19" t="b">
        <f t="shared" ca="1" si="333"/>
        <v>0</v>
      </c>
      <c r="BY14" s="100">
        <f t="shared" si="24"/>
        <v>0</v>
      </c>
      <c r="BZ14" s="19">
        <f t="shared" ca="1" si="25"/>
        <v>0</v>
      </c>
      <c r="CA14" s="19">
        <f t="shared" ca="1" si="334"/>
        <v>0</v>
      </c>
      <c r="CB14" s="100">
        <f t="shared" si="26"/>
        <v>1</v>
      </c>
      <c r="CC14" s="19">
        <f t="shared" ca="1" si="27"/>
        <v>441.97424790579925</v>
      </c>
      <c r="CD14" s="19">
        <f t="shared" ca="1" si="28"/>
        <v>300</v>
      </c>
      <c r="CE14" s="19">
        <f t="shared" ca="1" si="335"/>
        <v>300</v>
      </c>
      <c r="CF14" s="19">
        <f t="shared" ca="1" si="29"/>
        <v>358.02575209420075</v>
      </c>
      <c r="CG14" s="19">
        <f t="shared" ca="1" si="30"/>
        <v>-141.97</v>
      </c>
      <c r="CH14" s="19">
        <f t="shared" ca="1" si="31"/>
        <v>0.71605150418840147</v>
      </c>
      <c r="CI14" s="12">
        <f t="shared" ca="1" si="32"/>
        <v>358.02575209420075</v>
      </c>
      <c r="CJ14" s="10">
        <f ca="1">BW14-CI14</f>
        <v>141.97424790579925</v>
      </c>
      <c r="CK14" s="12">
        <f t="shared" ca="1" si="336"/>
        <v>500</v>
      </c>
      <c r="CL14" s="18">
        <f t="shared" ca="1" si="33"/>
        <v>1</v>
      </c>
      <c r="CN14" s="11">
        <f t="shared" ca="1" si="34"/>
        <v>500</v>
      </c>
      <c r="CO14" s="11">
        <f ca="1">INDEX(Totals[[#Data],[#Totals],[Car - Note]:[NONTRACKED]],MATCH(CN$1,Totals[Date],0),MATCH($C14,Totals[[#Headers],[Car - Note]:[NONTRACKED]],0))</f>
        <v>-254.88</v>
      </c>
      <c r="CP14" s="11">
        <f t="shared" ca="1" si="337"/>
        <v>245.12</v>
      </c>
      <c r="CQ14" s="11">
        <v>300</v>
      </c>
      <c r="CR14" s="11">
        <v>600</v>
      </c>
      <c r="CS14" s="11" t="b">
        <f t="shared" ca="1" si="338"/>
        <v>0</v>
      </c>
      <c r="CT14" s="92">
        <f t="shared" si="35"/>
        <v>0</v>
      </c>
      <c r="CU14" s="11">
        <f t="shared" ca="1" si="36"/>
        <v>0</v>
      </c>
      <c r="CV14" s="11">
        <f t="shared" ca="1" si="339"/>
        <v>0</v>
      </c>
      <c r="CW14" s="92">
        <f t="shared" si="37"/>
        <v>1</v>
      </c>
      <c r="CX14" s="11">
        <f t="shared" ca="1" si="38"/>
        <v>354.88</v>
      </c>
      <c r="CY14" s="11">
        <f t="shared" ca="1" si="39"/>
        <v>300</v>
      </c>
      <c r="CZ14" s="11">
        <f t="shared" ca="1" si="340"/>
        <v>300</v>
      </c>
      <c r="DA14" s="11">
        <f t="shared" ca="1" si="40"/>
        <v>545.12</v>
      </c>
      <c r="DB14" s="11">
        <f t="shared" ca="1" si="41"/>
        <v>-54.88</v>
      </c>
      <c r="DC14" s="11">
        <f t="shared" ca="1" si="42"/>
        <v>0.9085333333333333</v>
      </c>
      <c r="DD14" s="12">
        <f t="shared" ca="1" si="43"/>
        <v>545.12</v>
      </c>
      <c r="DE14" s="79"/>
      <c r="DF14" s="12">
        <f t="shared" ca="1" si="341"/>
        <v>545.12</v>
      </c>
      <c r="DG14" s="18">
        <f t="shared" ca="1" si="44"/>
        <v>0.9085333333333333</v>
      </c>
      <c r="DI14" s="13">
        <f t="shared" ca="1" si="45"/>
        <v>545.12</v>
      </c>
      <c r="DJ14" s="13">
        <f ca="1">INDEX(Totals[[#Data],[#Totals],[Car - Note]:[NONTRACKED]],MATCH(DI$1,Totals[Date],0),MATCH($C14,Totals[[#Headers],[Car - Note]:[NONTRACKED]],0))</f>
        <v>-223.31</v>
      </c>
      <c r="DK14" s="13">
        <f t="shared" ca="1" si="342"/>
        <v>321.81</v>
      </c>
      <c r="DL14" s="13">
        <v>300</v>
      </c>
      <c r="DM14" s="13">
        <v>600</v>
      </c>
      <c r="DN14" s="13" t="b">
        <f t="shared" ca="1" si="343"/>
        <v>0</v>
      </c>
      <c r="DO14" s="94">
        <f t="shared" si="46"/>
        <v>0</v>
      </c>
      <c r="DP14" s="13">
        <f t="shared" ca="1" si="47"/>
        <v>0</v>
      </c>
      <c r="DQ14" s="13">
        <f t="shared" ca="1" si="344"/>
        <v>0</v>
      </c>
      <c r="DR14" s="94">
        <f t="shared" si="48"/>
        <v>1</v>
      </c>
      <c r="DS14" s="13">
        <f t="shared" ca="1" si="49"/>
        <v>278.19</v>
      </c>
      <c r="DT14" s="13">
        <f t="shared" ca="1" si="50"/>
        <v>278.19</v>
      </c>
      <c r="DU14" s="13">
        <f t="shared" ca="1" si="345"/>
        <v>118.79074049907655</v>
      </c>
      <c r="DV14" s="13">
        <f t="shared" ca="1" si="51"/>
        <v>440.60074049907655</v>
      </c>
      <c r="DW14" s="13">
        <f t="shared" ca="1" si="52"/>
        <v>-159.4</v>
      </c>
      <c r="DX14" s="13">
        <f t="shared" ca="1" si="53"/>
        <v>0.73433456749846093</v>
      </c>
      <c r="DY14" s="12">
        <f t="shared" ca="1" si="54"/>
        <v>440.60074049907655</v>
      </c>
      <c r="DZ14" s="79"/>
      <c r="EA14" s="12">
        <f t="shared" ca="1" si="346"/>
        <v>440.60074049907655</v>
      </c>
      <c r="EB14" s="18">
        <f t="shared" ca="1" si="55"/>
        <v>0.73433456749846093</v>
      </c>
      <c r="ED14" s="19">
        <f t="shared" ca="1" si="56"/>
        <v>440.60074049907655</v>
      </c>
      <c r="EE14" s="19">
        <f ca="1">INDEX(Totals[[#Data],[#Totals],[Car - Note]:[NONTRACKED]],MATCH(ED$1,Totals[Date],0),MATCH($C14,Totals[[#Headers],[Car - Note]:[NONTRACKED]],0))</f>
        <v>-141.42000000000002</v>
      </c>
      <c r="EF14" s="19">
        <f t="shared" ca="1" si="347"/>
        <v>299.18074049907653</v>
      </c>
      <c r="EG14" s="19">
        <v>300</v>
      </c>
      <c r="EH14" s="19">
        <v>600</v>
      </c>
      <c r="EI14" s="19" t="b">
        <f t="shared" ca="1" si="348"/>
        <v>0</v>
      </c>
      <c r="EJ14" s="100">
        <f t="shared" si="57"/>
        <v>0</v>
      </c>
      <c r="EK14" s="19">
        <f t="shared" ca="1" si="58"/>
        <v>0</v>
      </c>
      <c r="EL14" s="19">
        <f t="shared" ca="1" si="349"/>
        <v>0</v>
      </c>
      <c r="EM14" s="100">
        <f t="shared" si="59"/>
        <v>1</v>
      </c>
      <c r="EN14" s="19">
        <f t="shared" ca="1" si="60"/>
        <v>300.81925950092347</v>
      </c>
      <c r="EO14" s="19">
        <f t="shared" ca="1" si="61"/>
        <v>300</v>
      </c>
      <c r="EP14" s="19">
        <f t="shared" ca="1" si="350"/>
        <v>218.67217844251124</v>
      </c>
      <c r="EQ14" s="19">
        <f t="shared" ca="1" si="62"/>
        <v>517.85291894158775</v>
      </c>
      <c r="ER14" s="19">
        <f t="shared" ca="1" si="63"/>
        <v>-82.15</v>
      </c>
      <c r="ES14" s="19">
        <f t="shared" ca="1" si="64"/>
        <v>0.8630881982359796</v>
      </c>
      <c r="ET14" s="12">
        <f t="shared" ca="1" si="65"/>
        <v>517.85291894158775</v>
      </c>
      <c r="EU14" s="79"/>
      <c r="EV14" s="12">
        <f t="shared" ca="1" si="351"/>
        <v>517.85291894158775</v>
      </c>
      <c r="EW14" s="18">
        <f t="shared" ca="1" si="66"/>
        <v>0.8630881982359796</v>
      </c>
      <c r="EY14" s="11">
        <f t="shared" ca="1" si="67"/>
        <v>517.85291894158775</v>
      </c>
      <c r="EZ14" s="11">
        <f ca="1">INDEX(Totals[[#Data],[#Totals],[Car - Note]:[NONTRACKED]],MATCH(EY$1,Totals[Date],0),MATCH($C14,Totals[[#Headers],[Car - Note]:[NONTRACKED]],0))</f>
        <v>-218.97000000000003</v>
      </c>
      <c r="FA14" s="11">
        <f t="shared" ca="1" si="352"/>
        <v>298.88291894158772</v>
      </c>
      <c r="FB14" s="11">
        <v>300</v>
      </c>
      <c r="FC14" s="11">
        <v>600</v>
      </c>
      <c r="FD14" s="11" t="b">
        <f t="shared" ca="1" si="353"/>
        <v>0</v>
      </c>
      <c r="FE14" s="92">
        <f t="shared" si="68"/>
        <v>0</v>
      </c>
      <c r="FF14" s="11">
        <f t="shared" ca="1" si="69"/>
        <v>0</v>
      </c>
      <c r="FG14" s="11">
        <f t="shared" ca="1" si="354"/>
        <v>0</v>
      </c>
      <c r="FH14" s="92">
        <f t="shared" si="70"/>
        <v>1</v>
      </c>
      <c r="FI14" s="11">
        <f t="shared" ca="1" si="71"/>
        <v>301.11708105841228</v>
      </c>
      <c r="FJ14" s="11">
        <f t="shared" ca="1" si="72"/>
        <v>300</v>
      </c>
      <c r="FK14" s="11">
        <f t="shared" ca="1" si="355"/>
        <v>129.95278373020358</v>
      </c>
      <c r="FL14" s="11">
        <f t="shared" ca="1" si="73"/>
        <v>428.8357026717913</v>
      </c>
      <c r="FM14" s="11">
        <f t="shared" ca="1" si="74"/>
        <v>-171.16</v>
      </c>
      <c r="FN14" s="11">
        <f t="shared" ca="1" si="75"/>
        <v>0.7147261711196522</v>
      </c>
      <c r="FO14" s="12">
        <f t="shared" ca="1" si="76"/>
        <v>428.8357026717913</v>
      </c>
      <c r="FP14" s="79"/>
      <c r="FQ14" s="12">
        <f t="shared" ca="1" si="356"/>
        <v>428.8357026717913</v>
      </c>
      <c r="FR14" s="18">
        <f t="shared" ca="1" si="77"/>
        <v>0.7147261711196522</v>
      </c>
      <c r="FT14" s="13">
        <f t="shared" ca="1" si="78"/>
        <v>428.8357026717913</v>
      </c>
      <c r="FU14" s="13">
        <f ca="1">INDEX(Totals[[#Data],[#Totals],[Car - Note]:[NONTRACKED]],MATCH(FT$1,Totals[Date],0),MATCH($C14,Totals[[#Headers],[Car - Note]:[NONTRACKED]],0))</f>
        <v>-241.85</v>
      </c>
      <c r="FV14" s="13">
        <f t="shared" ca="1" si="357"/>
        <v>186.9857026717913</v>
      </c>
      <c r="FW14" s="13">
        <v>300</v>
      </c>
      <c r="FX14" s="13">
        <v>600</v>
      </c>
      <c r="FY14" s="13" t="b">
        <f t="shared" ca="1" si="358"/>
        <v>0</v>
      </c>
      <c r="FZ14" s="94">
        <f t="shared" si="79"/>
        <v>0</v>
      </c>
      <c r="GA14" s="13">
        <f t="shared" ca="1" si="80"/>
        <v>0</v>
      </c>
      <c r="GB14" s="13">
        <f t="shared" ca="1" si="359"/>
        <v>0</v>
      </c>
      <c r="GC14" s="94">
        <f t="shared" si="81"/>
        <v>1</v>
      </c>
      <c r="GD14" s="13">
        <f t="shared" ca="1" si="82"/>
        <v>413.01429732820873</v>
      </c>
      <c r="GE14" s="13">
        <f t="shared" ca="1" si="83"/>
        <v>300</v>
      </c>
      <c r="GF14" s="13">
        <f t="shared" ca="1" si="360"/>
        <v>129.60039980635989</v>
      </c>
      <c r="GG14" s="13">
        <f t="shared" ca="1" si="84"/>
        <v>316.58610247815119</v>
      </c>
      <c r="GH14" s="13">
        <f t="shared" ca="1" si="85"/>
        <v>-283.41000000000003</v>
      </c>
      <c r="GI14" s="13">
        <f t="shared" ca="1" si="86"/>
        <v>0.52764350413025196</v>
      </c>
      <c r="GJ14" s="12">
        <f t="shared" ca="1" si="87"/>
        <v>316.58610247815119</v>
      </c>
      <c r="GK14" s="79"/>
      <c r="GL14" s="12">
        <f t="shared" ca="1" si="361"/>
        <v>316.58610247815119</v>
      </c>
      <c r="GM14" s="18">
        <f t="shared" ca="1" si="88"/>
        <v>0.52764350413025196</v>
      </c>
      <c r="GO14" s="19">
        <f t="shared" ca="1" si="89"/>
        <v>316.58610247815119</v>
      </c>
      <c r="GP14" s="19">
        <f ca="1">INDEX(Totals[[#Data],[#Totals],[Car - Note]:[NONTRACKED]],MATCH(GO$1,Totals[Date],0),MATCH($C14,Totals[[#Headers],[Car - Note]:[NONTRACKED]],0))</f>
        <v>-124.03000000000002</v>
      </c>
      <c r="GQ14" s="19">
        <f t="shared" ca="1" si="362"/>
        <v>192.55610247815116</v>
      </c>
      <c r="GR14" s="19">
        <v>300</v>
      </c>
      <c r="GS14" s="19">
        <v>600</v>
      </c>
      <c r="GT14" s="19" t="b">
        <f t="shared" ca="1" si="363"/>
        <v>0</v>
      </c>
      <c r="GU14" s="100">
        <f t="shared" si="90"/>
        <v>0</v>
      </c>
      <c r="GV14" s="19">
        <f t="shared" ca="1" si="91"/>
        <v>0</v>
      </c>
      <c r="GW14" s="19">
        <f t="shared" ca="1" si="364"/>
        <v>0</v>
      </c>
      <c r="GX14" s="100">
        <f t="shared" si="92"/>
        <v>1</v>
      </c>
      <c r="GY14" s="19">
        <f t="shared" ca="1" si="93"/>
        <v>407.44389752184884</v>
      </c>
      <c r="GZ14" s="19">
        <f t="shared" ca="1" si="94"/>
        <v>300</v>
      </c>
      <c r="HA14" s="19">
        <f t="shared" ca="1" si="365"/>
        <v>132.53872250279258</v>
      </c>
      <c r="HB14" s="19">
        <f t="shared" ca="1" si="95"/>
        <v>325.09482498094371</v>
      </c>
      <c r="HC14" s="19">
        <f t="shared" ca="1" si="96"/>
        <v>-274.91000000000003</v>
      </c>
      <c r="HD14" s="19">
        <f t="shared" ca="1" si="97"/>
        <v>0.54182470830157281</v>
      </c>
      <c r="HE14" s="12">
        <f t="shared" ca="1" si="98"/>
        <v>325.09482498094371</v>
      </c>
      <c r="HF14" s="79">
        <v>-100</v>
      </c>
      <c r="HG14" s="12">
        <f t="shared" ca="1" si="366"/>
        <v>225.09482498094371</v>
      </c>
      <c r="HH14" s="18">
        <f t="shared" ca="1" si="99"/>
        <v>0.37515804163490618</v>
      </c>
      <c r="HJ14" s="11">
        <f t="shared" ca="1" si="100"/>
        <v>225.09482498094371</v>
      </c>
      <c r="HK14" s="11">
        <f ca="1">INDEX(Totals[[#Data],[#Totals],[Car - Note]:[NONTRACKED]],MATCH(HJ$1,Totals[Date],0),MATCH($C14,Totals[[#Headers],[Car - Note]:[NONTRACKED]],0))</f>
        <v>-343.4</v>
      </c>
      <c r="HL14" s="11">
        <f t="shared" ca="1" si="367"/>
        <v>-118.30517501905626</v>
      </c>
      <c r="HM14" s="11">
        <v>300</v>
      </c>
      <c r="HN14" s="11">
        <v>600</v>
      </c>
      <c r="HO14" s="11" t="b">
        <f t="shared" ca="1" si="368"/>
        <v>0</v>
      </c>
      <c r="HP14" s="92">
        <f t="shared" si="101"/>
        <v>0</v>
      </c>
      <c r="HQ14" s="11">
        <f t="shared" ca="1" si="102"/>
        <v>0</v>
      </c>
      <c r="HR14" s="11">
        <f t="shared" ca="1" si="369"/>
        <v>0</v>
      </c>
      <c r="HS14" s="92">
        <f t="shared" si="103"/>
        <v>1</v>
      </c>
      <c r="HT14" s="11">
        <f t="shared" ca="1" si="104"/>
        <v>718.30517501905626</v>
      </c>
      <c r="HU14" s="11">
        <f t="shared" ca="1" si="105"/>
        <v>300</v>
      </c>
      <c r="HV14" s="11">
        <f t="shared" ca="1" si="370"/>
        <v>126.96096660765603</v>
      </c>
      <c r="HW14" s="11">
        <f t="shared" ca="1" si="106"/>
        <v>8.6557915885997687</v>
      </c>
      <c r="HX14" s="11">
        <f t="shared" ca="1" si="107"/>
        <v>-591.34</v>
      </c>
      <c r="HY14" s="11">
        <f t="shared" ca="1" si="108"/>
        <v>1.4426319314332949E-2</v>
      </c>
      <c r="HZ14" s="12">
        <f t="shared" ca="1" si="109"/>
        <v>8.6557915885997687</v>
      </c>
      <c r="IA14" s="79">
        <v>100</v>
      </c>
      <c r="IB14" s="12">
        <f t="shared" ca="1" si="371"/>
        <v>108.65579158859977</v>
      </c>
      <c r="IC14" s="18">
        <f t="shared" ca="1" si="110"/>
        <v>0.18109298598099963</v>
      </c>
      <c r="IE14" s="13">
        <f t="shared" ca="1" si="111"/>
        <v>108.65579158859977</v>
      </c>
      <c r="IF14" s="13">
        <f ca="1">INDEX(Totals[[#Data],[#Totals],[Car - Note]:[NONTRACKED]],MATCH(IE$1,Totals[Date],0),MATCH($C14,Totals[[#Headers],[Car - Note]:[NONTRACKED]],0))</f>
        <v>-35.910000000000004</v>
      </c>
      <c r="IG14" s="13">
        <f t="shared" ca="1" si="372"/>
        <v>72.745791588599758</v>
      </c>
      <c r="IH14" s="13">
        <v>300</v>
      </c>
      <c r="II14" s="13">
        <v>600</v>
      </c>
      <c r="IJ14" s="13" t="b">
        <f t="shared" ca="1" si="373"/>
        <v>0</v>
      </c>
      <c r="IK14" s="94">
        <f t="shared" si="112"/>
        <v>0</v>
      </c>
      <c r="IL14" s="13">
        <f t="shared" ca="1" si="113"/>
        <v>0</v>
      </c>
      <c r="IM14" s="13">
        <f t="shared" ca="1" si="374"/>
        <v>0</v>
      </c>
      <c r="IN14" s="94">
        <f t="shared" si="114"/>
        <v>1</v>
      </c>
      <c r="IO14" s="13">
        <f t="shared" ca="1" si="115"/>
        <v>527.25420841140021</v>
      </c>
      <c r="IP14" s="13">
        <f t="shared" ca="1" si="116"/>
        <v>300</v>
      </c>
      <c r="IQ14" s="13">
        <f t="shared" ca="1" si="375"/>
        <v>138.57818671499589</v>
      </c>
      <c r="IR14" s="13">
        <f t="shared" ca="1" si="117"/>
        <v>211.32397830359565</v>
      </c>
      <c r="IS14" s="13">
        <f t="shared" ca="1" si="118"/>
        <v>-388.68</v>
      </c>
      <c r="IT14" s="13">
        <f t="shared" ca="1" si="119"/>
        <v>0.35220663050599277</v>
      </c>
      <c r="IU14" s="12">
        <f t="shared" ca="1" si="120"/>
        <v>211.32397830359565</v>
      </c>
      <c r="IV14" s="79"/>
      <c r="IW14" s="12">
        <f t="shared" ca="1" si="376"/>
        <v>211.32397830359565</v>
      </c>
      <c r="IX14" s="18">
        <f t="shared" ca="1" si="121"/>
        <v>0.35220663050599277</v>
      </c>
      <c r="IZ14" s="19">
        <f t="shared" ca="1" si="122"/>
        <v>211.32397830359565</v>
      </c>
      <c r="JA14" s="19">
        <f ca="1">INDEX(Totals[[#Data],[#Totals],[Car - Note]:[NONTRACKED]],MATCH(IZ$1,Totals[Date],0),MATCH($C14,Totals[[#Headers],[Car - Note]:[NONTRACKED]],0))</f>
        <v>-179.26</v>
      </c>
      <c r="JB14" s="19">
        <f t="shared" ca="1" si="377"/>
        <v>32.063978303595661</v>
      </c>
      <c r="JC14" s="19">
        <v>300</v>
      </c>
      <c r="JD14" s="19">
        <v>600</v>
      </c>
      <c r="JE14" s="19" t="b">
        <f t="shared" ca="1" si="378"/>
        <v>0</v>
      </c>
      <c r="JF14" s="100">
        <f t="shared" si="123"/>
        <v>0</v>
      </c>
      <c r="JG14" s="19">
        <f t="shared" ca="1" si="124"/>
        <v>0</v>
      </c>
      <c r="JH14" s="19">
        <f t="shared" ca="1" si="379"/>
        <v>0</v>
      </c>
      <c r="JI14" s="100">
        <f t="shared" si="125"/>
        <v>1</v>
      </c>
      <c r="JJ14" s="19">
        <f t="shared" ca="1" si="126"/>
        <v>567.9360216964044</v>
      </c>
      <c r="JK14" s="19">
        <f t="shared" ca="1" si="127"/>
        <v>300</v>
      </c>
      <c r="JL14" s="19">
        <f t="shared" ca="1" si="380"/>
        <v>114.80843029513406</v>
      </c>
      <c r="JM14" s="19">
        <f t="shared" ca="1" si="128"/>
        <v>146.87240859872972</v>
      </c>
      <c r="JN14" s="19">
        <f t="shared" ca="1" si="129"/>
        <v>-453.13</v>
      </c>
      <c r="JO14" s="19">
        <f t="shared" ca="1" si="130"/>
        <v>0.24478734766454954</v>
      </c>
      <c r="JP14" s="12">
        <f t="shared" ca="1" si="131"/>
        <v>146.87240859872972</v>
      </c>
      <c r="JQ14" s="79"/>
      <c r="JR14" s="12">
        <f t="shared" ca="1" si="381"/>
        <v>146.87240859872972</v>
      </c>
      <c r="JS14" s="18">
        <f t="shared" ca="1" si="132"/>
        <v>0.24478734766454954</v>
      </c>
      <c r="JU14" s="11">
        <f t="shared" ca="1" si="133"/>
        <v>146.87240859872972</v>
      </c>
      <c r="JV14" s="11">
        <f ca="1">INDEX(Totals[[#Data],[#Totals],[Car - Note]:[NONTRACKED]],MATCH(JU$1,Totals[Date],0),MATCH($C14,Totals[[#Headers],[Car - Note]:[NONTRACKED]],0))</f>
        <v>-205.04000000000002</v>
      </c>
      <c r="JW14" s="11">
        <f t="shared" ca="1" si="382"/>
        <v>-58.1675914012703</v>
      </c>
      <c r="JX14" s="11">
        <v>300</v>
      </c>
      <c r="JY14" s="11">
        <v>600</v>
      </c>
      <c r="JZ14" s="11" t="b">
        <f t="shared" ca="1" si="383"/>
        <v>0</v>
      </c>
      <c r="KA14" s="92">
        <f t="shared" si="134"/>
        <v>0</v>
      </c>
      <c r="KB14" s="11">
        <f t="shared" ca="1" si="135"/>
        <v>0</v>
      </c>
      <c r="KC14" s="11">
        <f t="shared" ca="1" si="384"/>
        <v>0</v>
      </c>
      <c r="KD14" s="92">
        <f t="shared" si="136"/>
        <v>1</v>
      </c>
      <c r="KE14" s="11">
        <f t="shared" ca="1" si="137"/>
        <v>658.16759140127033</v>
      </c>
      <c r="KF14" s="11">
        <f t="shared" ca="1" si="138"/>
        <v>300</v>
      </c>
      <c r="KG14" s="11">
        <f t="shared" ca="1" si="385"/>
        <v>207.49429378308972</v>
      </c>
      <c r="KH14" s="11">
        <f t="shared" ca="1" si="139"/>
        <v>149.32670238181942</v>
      </c>
      <c r="KI14" s="11">
        <f t="shared" ca="1" si="140"/>
        <v>-450.67</v>
      </c>
      <c r="KJ14" s="11">
        <f t="shared" ca="1" si="141"/>
        <v>0.24887783730303237</v>
      </c>
      <c r="KK14" s="12">
        <f t="shared" ca="1" si="142"/>
        <v>149.32670238181942</v>
      </c>
      <c r="KL14" s="79"/>
      <c r="KM14" s="12">
        <f t="shared" ca="1" si="386"/>
        <v>149.32670238181942</v>
      </c>
      <c r="KN14" s="18">
        <f t="shared" ca="1" si="143"/>
        <v>0.24887783730303237</v>
      </c>
      <c r="KP14" s="13">
        <f t="shared" ca="1" si="144"/>
        <v>149.32670238181942</v>
      </c>
      <c r="KQ14" s="13">
        <f ca="1">INDEX(Totals[[#Data],[#Totals],[Car - Note]:[NONTRACKED]],MATCH(KP$1,Totals[Date],0),MATCH($C14,Totals[[#Headers],[Car - Note]:[NONTRACKED]],0))</f>
        <v>-125.94</v>
      </c>
      <c r="KR14" s="13">
        <f t="shared" ca="1" si="387"/>
        <v>23.386702381819418</v>
      </c>
      <c r="KS14" s="13">
        <v>300</v>
      </c>
      <c r="KT14" s="13">
        <v>600</v>
      </c>
      <c r="KU14" s="13" t="b">
        <f t="shared" ca="1" si="388"/>
        <v>0</v>
      </c>
      <c r="KV14" s="94">
        <f t="shared" si="145"/>
        <v>0</v>
      </c>
      <c r="KW14" s="13">
        <f t="shared" ca="1" si="146"/>
        <v>0</v>
      </c>
      <c r="KX14" s="13">
        <f t="shared" ca="1" si="389"/>
        <v>0</v>
      </c>
      <c r="KY14" s="94">
        <f t="shared" si="147"/>
        <v>1</v>
      </c>
      <c r="KZ14" s="13">
        <f t="shared" ca="1" si="148"/>
        <v>576.61329761818058</v>
      </c>
      <c r="LA14" s="13">
        <f t="shared" ca="1" si="149"/>
        <v>300</v>
      </c>
      <c r="LB14" s="13">
        <f t="shared" ca="1" si="390"/>
        <v>228.9029027520273</v>
      </c>
      <c r="LC14" s="13">
        <f t="shared" ca="1" si="150"/>
        <v>252.28960513384672</v>
      </c>
      <c r="LD14" s="13">
        <f t="shared" ca="1" si="151"/>
        <v>-347.71</v>
      </c>
      <c r="LE14" s="13">
        <f t="shared" ca="1" si="152"/>
        <v>0.42048267522307786</v>
      </c>
      <c r="LF14" s="12">
        <f t="shared" ca="1" si="153"/>
        <v>252.28960513384672</v>
      </c>
      <c r="LG14" s="79"/>
      <c r="LH14" s="12">
        <f t="shared" ca="1" si="391"/>
        <v>252.28960513384672</v>
      </c>
      <c r="LI14" s="18">
        <f t="shared" ca="1" si="154"/>
        <v>0.42048267522307786</v>
      </c>
      <c r="LK14" s="19">
        <f t="shared" ca="1" si="155"/>
        <v>252.28960513384672</v>
      </c>
      <c r="LL14" s="19">
        <f ca="1">INDEX(Totals[[#Data],[#Totals],[Car - Note]:[NONTRACKED]],MATCH(LK$1,Totals[Date],0),MATCH($C14,Totals[[#Headers],[Car - Note]:[NONTRACKED]],0))</f>
        <v>-132.41</v>
      </c>
      <c r="LM14" s="19">
        <f t="shared" ca="1" si="392"/>
        <v>119.87960513384672</v>
      </c>
      <c r="LN14" s="19">
        <v>300</v>
      </c>
      <c r="LO14" s="19">
        <v>600</v>
      </c>
      <c r="LP14" s="19" t="b">
        <f t="shared" ca="1" si="393"/>
        <v>0</v>
      </c>
      <c r="LQ14" s="100">
        <f t="shared" si="156"/>
        <v>0</v>
      </c>
      <c r="LR14" s="19">
        <f t="shared" ca="1" si="157"/>
        <v>0</v>
      </c>
      <c r="LS14" s="19">
        <f t="shared" ca="1" si="394"/>
        <v>0</v>
      </c>
      <c r="LT14" s="100">
        <f t="shared" si="158"/>
        <v>1</v>
      </c>
      <c r="LU14" s="19">
        <f t="shared" ca="1" si="159"/>
        <v>480.12039486615328</v>
      </c>
      <c r="LV14" s="19">
        <f t="shared" ca="1" si="160"/>
        <v>300</v>
      </c>
      <c r="LW14" s="19">
        <f t="shared" ca="1" si="395"/>
        <v>190.42628544367443</v>
      </c>
      <c r="LX14" s="19">
        <f t="shared" ca="1" si="161"/>
        <v>310.30589057752115</v>
      </c>
      <c r="LY14" s="19">
        <f t="shared" ca="1" si="162"/>
        <v>-289.69</v>
      </c>
      <c r="LZ14" s="19">
        <f t="shared" ca="1" si="163"/>
        <v>0.5171764842958686</v>
      </c>
      <c r="MA14" s="12">
        <f t="shared" ca="1" si="164"/>
        <v>310.30589057752115</v>
      </c>
      <c r="MB14" s="79"/>
      <c r="MC14" s="12">
        <f t="shared" ca="1" si="396"/>
        <v>310.30589057752115</v>
      </c>
      <c r="MD14" s="18">
        <f t="shared" ca="1" si="165"/>
        <v>0.5171764842958686</v>
      </c>
      <c r="MF14" s="11">
        <f t="shared" ca="1" si="166"/>
        <v>310.30589057752115</v>
      </c>
      <c r="MG14" s="11">
        <f ca="1">INDEX(Totals[[#Data],[#Totals],[Car - Note]:[NONTRACKED]],MATCH(MF$1,Totals[Date],0),MATCH($C14,Totals[[#Headers],[Car - Note]:[NONTRACKED]],0))</f>
        <v>-119.86</v>
      </c>
      <c r="MH14" s="11">
        <f t="shared" ca="1" si="397"/>
        <v>190.44589057752114</v>
      </c>
      <c r="MI14" s="11">
        <v>300</v>
      </c>
      <c r="MJ14" s="11">
        <v>600</v>
      </c>
      <c r="MK14" s="11" t="b">
        <f t="shared" ca="1" si="398"/>
        <v>0</v>
      </c>
      <c r="ML14" s="92">
        <f t="shared" si="167"/>
        <v>0</v>
      </c>
      <c r="MM14" s="11">
        <f t="shared" ca="1" si="168"/>
        <v>0</v>
      </c>
      <c r="MN14" s="11">
        <f t="shared" ca="1" si="399"/>
        <v>0</v>
      </c>
      <c r="MO14" s="92">
        <f t="shared" si="169"/>
        <v>1</v>
      </c>
      <c r="MP14" s="11">
        <f t="shared" ca="1" si="170"/>
        <v>409.55410942247886</v>
      </c>
      <c r="MQ14" s="11">
        <f t="shared" ca="1" si="171"/>
        <v>300</v>
      </c>
      <c r="MR14" s="11">
        <f t="shared" ca="1" si="400"/>
        <v>150.23053023856488</v>
      </c>
      <c r="MS14" s="11">
        <f t="shared" ca="1" si="172"/>
        <v>340.67642081608602</v>
      </c>
      <c r="MT14" s="11">
        <f t="shared" ca="1" si="173"/>
        <v>-259.32</v>
      </c>
      <c r="MU14" s="11">
        <f t="shared" ca="1" si="174"/>
        <v>0.56779403469347667</v>
      </c>
      <c r="MV14" s="12">
        <f t="shared" ca="1" si="175"/>
        <v>340.67642081608602</v>
      </c>
      <c r="MW14" s="79">
        <v>-120</v>
      </c>
      <c r="MX14" s="12">
        <f t="shared" ca="1" si="401"/>
        <v>220.67642081608602</v>
      </c>
      <c r="MY14" s="18">
        <f t="shared" ca="1" si="176"/>
        <v>0.36779403469347671</v>
      </c>
      <c r="NA14" s="13">
        <f t="shared" ca="1" si="177"/>
        <v>220.67642081608602</v>
      </c>
      <c r="NB14" s="13">
        <f ca="1">INDEX(Totals[[#Data],[#Totals],[Car - Note]:[NONTRACKED]],MATCH(NA$1,Totals[Date],0),MATCH($C14,Totals[[#Headers],[Car - Note]:[NONTRACKED]],0))</f>
        <v>-483.21999999999997</v>
      </c>
      <c r="NC14" s="13">
        <f t="shared" ca="1" si="402"/>
        <v>-262.54357918391395</v>
      </c>
      <c r="ND14" s="13">
        <v>300</v>
      </c>
      <c r="NE14" s="13">
        <v>600</v>
      </c>
      <c r="NF14" s="13" t="b">
        <f t="shared" ca="1" si="403"/>
        <v>0</v>
      </c>
      <c r="NG14" s="94">
        <f t="shared" si="178"/>
        <v>0</v>
      </c>
      <c r="NH14" s="13">
        <f t="shared" ca="1" si="179"/>
        <v>0</v>
      </c>
      <c r="NI14" s="13">
        <f t="shared" ca="1" si="404"/>
        <v>0</v>
      </c>
      <c r="NJ14" s="94">
        <f t="shared" si="180"/>
        <v>1</v>
      </c>
      <c r="NK14" s="13">
        <f t="shared" ca="1" si="181"/>
        <v>862.54357918391395</v>
      </c>
      <c r="NL14" s="13">
        <f t="shared" ca="1" si="182"/>
        <v>300</v>
      </c>
      <c r="NM14" s="13">
        <f t="shared" ca="1" si="405"/>
        <v>300</v>
      </c>
      <c r="NN14" s="13">
        <f t="shared" ca="1" si="183"/>
        <v>37.456420816086052</v>
      </c>
      <c r="NO14" s="13">
        <f t="shared" ca="1" si="184"/>
        <v>-562.54</v>
      </c>
      <c r="NP14" s="13">
        <f t="shared" ca="1" si="185"/>
        <v>6.2427368026810086E-2</v>
      </c>
      <c r="NQ14" s="12">
        <f t="shared" ca="1" si="186"/>
        <v>37.456420816086052</v>
      </c>
      <c r="NR14" s="79"/>
      <c r="NS14" s="12">
        <f t="shared" ca="1" si="406"/>
        <v>37.456420816086052</v>
      </c>
      <c r="NT14" s="18">
        <f t="shared" ca="1" si="187"/>
        <v>6.2427368026810086E-2</v>
      </c>
      <c r="NV14" s="19">
        <f t="shared" ca="1" si="188"/>
        <v>37.456420816086052</v>
      </c>
      <c r="NW14" s="19">
        <f ca="1">INDEX(Totals[[#Data],[#Totals],[Car - Note]:[NONTRACKED]],MATCH(NV$1,Totals[Date],0),MATCH($C14,Totals[[#Headers],[Car - Note]:[NONTRACKED]],0))</f>
        <v>-82.65</v>
      </c>
      <c r="NX14" s="19">
        <f t="shared" ca="1" si="407"/>
        <v>-45.193579183913954</v>
      </c>
      <c r="NY14" s="19">
        <v>300</v>
      </c>
      <c r="NZ14" s="19">
        <v>600</v>
      </c>
      <c r="OA14" s="19" t="b">
        <f t="shared" ca="1" si="408"/>
        <v>0</v>
      </c>
      <c r="OB14" s="100">
        <f t="shared" si="189"/>
        <v>0</v>
      </c>
      <c r="OC14" s="19">
        <f t="shared" ca="1" si="190"/>
        <v>0</v>
      </c>
      <c r="OD14" s="19">
        <f t="shared" ca="1" si="409"/>
        <v>0</v>
      </c>
      <c r="OE14" s="100">
        <f t="shared" si="191"/>
        <v>1</v>
      </c>
      <c r="OF14" s="19">
        <f t="shared" ca="1" si="192"/>
        <v>645.19357918391393</v>
      </c>
      <c r="OG14" s="19">
        <f t="shared" ca="1" si="193"/>
        <v>300</v>
      </c>
      <c r="OH14" s="19">
        <f t="shared" ca="1" si="410"/>
        <v>231.3927456291035</v>
      </c>
      <c r="OI14" s="19">
        <f t="shared" ca="1" si="194"/>
        <v>186.19916644518955</v>
      </c>
      <c r="OJ14" s="19">
        <f t="shared" ca="1" si="195"/>
        <v>-413.8</v>
      </c>
      <c r="OK14" s="19">
        <f t="shared" ca="1" si="196"/>
        <v>0.31033194407531589</v>
      </c>
      <c r="OL14" s="12">
        <f t="shared" ca="1" si="197"/>
        <v>186.19916644518955</v>
      </c>
      <c r="OM14" s="79"/>
      <c r="ON14" s="12">
        <f t="shared" ca="1" si="411"/>
        <v>186.19916644518955</v>
      </c>
      <c r="OO14" s="18">
        <f t="shared" ca="1" si="198"/>
        <v>0.31033194407531589</v>
      </c>
      <c r="OQ14" s="11">
        <f t="shared" ca="1" si="199"/>
        <v>186.19916644518955</v>
      </c>
      <c r="OR14" s="11">
        <f ca="1">INDEX(Totals[[#Data],[#Totals],[Car - Note]:[NONTRACKED]],MATCH(OQ$1,Totals[Date],0),MATCH($C14,Totals[[#Headers],[Car - Note]:[NONTRACKED]],0))</f>
        <v>-181.87</v>
      </c>
      <c r="OS14" s="11">
        <f t="shared" ca="1" si="412"/>
        <v>4.3291664451895429</v>
      </c>
      <c r="OT14" s="11">
        <v>300</v>
      </c>
      <c r="OU14" s="11">
        <v>600</v>
      </c>
      <c r="OV14" s="11" t="b">
        <f t="shared" ca="1" si="413"/>
        <v>0</v>
      </c>
      <c r="OW14" s="92">
        <f t="shared" si="200"/>
        <v>0</v>
      </c>
      <c r="OX14" s="11">
        <f t="shared" ca="1" si="201"/>
        <v>0</v>
      </c>
      <c r="OY14" s="11">
        <f t="shared" ca="1" si="414"/>
        <v>0</v>
      </c>
      <c r="OZ14" s="92">
        <f t="shared" si="202"/>
        <v>1</v>
      </c>
      <c r="PA14" s="11">
        <f t="shared" ca="1" si="203"/>
        <v>595.67083355481043</v>
      </c>
      <c r="PB14" s="11">
        <f t="shared" ca="1" si="204"/>
        <v>300</v>
      </c>
      <c r="PC14" s="11">
        <f t="shared" ca="1" si="415"/>
        <v>178.18666470138356</v>
      </c>
      <c r="PD14" s="11">
        <f t="shared" ca="1" si="205"/>
        <v>182.51583114657311</v>
      </c>
      <c r="PE14" s="11">
        <f t="shared" ca="1" si="206"/>
        <v>-417.48</v>
      </c>
      <c r="PF14" s="11">
        <f t="shared" ca="1" si="207"/>
        <v>0.30419305191095519</v>
      </c>
      <c r="PG14" s="12">
        <f t="shared" ca="1" si="208"/>
        <v>182.51583114657311</v>
      </c>
      <c r="PH14" s="79"/>
      <c r="PI14" s="12">
        <f t="shared" ca="1" si="416"/>
        <v>182.51583114657311</v>
      </c>
      <c r="PJ14" s="18">
        <f t="shared" ca="1" si="209"/>
        <v>0.30419305191095519</v>
      </c>
      <c r="PL14" s="13">
        <f t="shared" ca="1" si="210"/>
        <v>182.51583114657311</v>
      </c>
      <c r="PM14" s="13">
        <f ca="1">INDEX(Totals[[#Data],[#Totals],[Car - Note]:[NONTRACKED]],MATCH(PL$1,Totals[Date],0),MATCH($C14,Totals[[#Headers],[Car - Note]:[NONTRACKED]],0))</f>
        <v>-136.72999999999999</v>
      </c>
      <c r="PN14" s="13">
        <f t="shared" ca="1" si="417"/>
        <v>45.785831146573116</v>
      </c>
      <c r="PO14" s="13">
        <v>300</v>
      </c>
      <c r="PP14" s="13">
        <v>600</v>
      </c>
      <c r="PQ14" s="13" t="b">
        <f t="shared" ca="1" si="418"/>
        <v>0</v>
      </c>
      <c r="PR14" s="94">
        <f t="shared" si="211"/>
        <v>0</v>
      </c>
      <c r="PS14" s="13">
        <f t="shared" ca="1" si="212"/>
        <v>0</v>
      </c>
      <c r="PT14" s="13">
        <f t="shared" ca="1" si="419"/>
        <v>0</v>
      </c>
      <c r="PU14" s="94">
        <f t="shared" si="213"/>
        <v>1</v>
      </c>
      <c r="PV14" s="13">
        <f t="shared" ca="1" si="214"/>
        <v>554.21416885342683</v>
      </c>
      <c r="PW14" s="13">
        <f t="shared" ca="1" si="215"/>
        <v>300</v>
      </c>
      <c r="PX14" s="13">
        <f t="shared" ca="1" si="420"/>
        <v>211.93424405030788</v>
      </c>
      <c r="PY14" s="13">
        <f t="shared" ca="1" si="216"/>
        <v>257.720075196881</v>
      </c>
      <c r="PZ14" s="13">
        <f t="shared" ca="1" si="217"/>
        <v>-342.28</v>
      </c>
      <c r="QA14" s="13">
        <f t="shared" ca="1" si="218"/>
        <v>0.4295334586614683</v>
      </c>
      <c r="QB14" s="12">
        <f t="shared" ca="1" si="219"/>
        <v>257.720075196881</v>
      </c>
      <c r="QC14" s="79"/>
      <c r="QD14" s="12">
        <f t="shared" ca="1" si="421"/>
        <v>257.720075196881</v>
      </c>
      <c r="QE14" s="18">
        <f t="shared" ca="1" si="220"/>
        <v>0.4295334586614683</v>
      </c>
      <c r="QG14" s="19">
        <f t="shared" ca="1" si="221"/>
        <v>257.720075196881</v>
      </c>
      <c r="QH14" s="19">
        <f ca="1">INDEX(Totals[[#Data],[#Totals],[Car - Note]:[NONTRACKED]],MATCH(QG$1,Totals[Date],0),MATCH($C14,Totals[[#Headers],[Car - Note]:[NONTRACKED]],0))</f>
        <v>-187.35</v>
      </c>
      <c r="QI14" s="19">
        <f t="shared" ca="1" si="422"/>
        <v>70.370075196881004</v>
      </c>
      <c r="QJ14" s="19">
        <v>300</v>
      </c>
      <c r="QK14" s="19">
        <v>600</v>
      </c>
      <c r="QL14" s="19" t="b">
        <f t="shared" ca="1" si="423"/>
        <v>0</v>
      </c>
      <c r="QM14" s="100">
        <f t="shared" si="222"/>
        <v>0</v>
      </c>
      <c r="QN14" s="19">
        <f t="shared" ca="1" si="223"/>
        <v>0</v>
      </c>
      <c r="QO14" s="19">
        <f t="shared" ca="1" si="424"/>
        <v>0</v>
      </c>
      <c r="QP14" s="100">
        <f t="shared" si="224"/>
        <v>1</v>
      </c>
      <c r="QQ14" s="19">
        <f t="shared" ca="1" si="225"/>
        <v>529.62992480311902</v>
      </c>
      <c r="QR14" s="19">
        <f t="shared" ca="1" si="226"/>
        <v>300</v>
      </c>
      <c r="QS14" s="19">
        <f t="shared" ca="1" si="425"/>
        <v>209.61278642411958</v>
      </c>
      <c r="QT14" s="19">
        <f t="shared" ca="1" si="227"/>
        <v>279.98286162100055</v>
      </c>
      <c r="QU14" s="19">
        <f t="shared" ca="1" si="228"/>
        <v>-320.02</v>
      </c>
      <c r="QV14" s="19">
        <f t="shared" ca="1" si="229"/>
        <v>0.46663810270166761</v>
      </c>
      <c r="QW14" s="12">
        <f t="shared" ca="1" si="230"/>
        <v>279.98286162100055</v>
      </c>
      <c r="QX14" s="79"/>
      <c r="QY14" s="12">
        <f t="shared" ca="1" si="426"/>
        <v>279.98286162100055</v>
      </c>
      <c r="QZ14" s="18">
        <f t="shared" ca="1" si="231"/>
        <v>0.46663810270166761</v>
      </c>
      <c r="RB14" s="11">
        <f t="shared" ca="1" si="232"/>
        <v>279.98286162100055</v>
      </c>
      <c r="RC14" s="11">
        <f ca="1">INDEX(Totals[[#Data],[#Totals],[Car - Note]:[NONTRACKED]],MATCH(RB$1,Totals[Date],0),MATCH($C14,Totals[[#Headers],[Car - Note]:[NONTRACKED]],0))</f>
        <v>-354.95000000000005</v>
      </c>
      <c r="RD14" s="11">
        <f t="shared" ca="1" si="427"/>
        <v>-74.967138378999493</v>
      </c>
      <c r="RE14" s="11">
        <v>300</v>
      </c>
      <c r="RF14" s="11">
        <v>600</v>
      </c>
      <c r="RG14" s="11" t="b">
        <f t="shared" ca="1" si="428"/>
        <v>0</v>
      </c>
      <c r="RH14" s="92">
        <f t="shared" si="233"/>
        <v>0</v>
      </c>
      <c r="RI14" s="11">
        <f t="shared" ca="1" si="234"/>
        <v>0</v>
      </c>
      <c r="RJ14" s="11">
        <f t="shared" ca="1" si="429"/>
        <v>0</v>
      </c>
      <c r="RK14" s="92">
        <f t="shared" si="235"/>
        <v>1</v>
      </c>
      <c r="RL14" s="11">
        <f t="shared" ca="1" si="236"/>
        <v>674.96713837899949</v>
      </c>
      <c r="RM14" s="11">
        <f t="shared" ca="1" si="237"/>
        <v>300</v>
      </c>
      <c r="RN14" s="11">
        <f t="shared" ca="1" si="430"/>
        <v>176.35685312252346</v>
      </c>
      <c r="RO14" s="11">
        <f t="shared" ca="1" si="238"/>
        <v>101.38971474352397</v>
      </c>
      <c r="RP14" s="11">
        <f t="shared" ca="1" si="239"/>
        <v>-498.61</v>
      </c>
      <c r="RQ14" s="11">
        <f t="shared" ca="1" si="240"/>
        <v>0.16898285790587328</v>
      </c>
      <c r="RR14" s="12">
        <f t="shared" ca="1" si="241"/>
        <v>101.38971474352397</v>
      </c>
      <c r="RS14" s="79"/>
      <c r="RT14" s="12">
        <f t="shared" ca="1" si="431"/>
        <v>101.38971474352397</v>
      </c>
      <c r="RU14" s="18">
        <f t="shared" ca="1" si="242"/>
        <v>0.16898285790587328</v>
      </c>
      <c r="RW14" s="13">
        <f t="shared" ca="1" si="243"/>
        <v>101.38971474352397</v>
      </c>
      <c r="RX14" s="13">
        <f ca="1">INDEX(Totals[[#Data],[#Totals],[Car - Note]:[NONTRACKED]],MATCH(RW$1,Totals[Date],0),MATCH($C14,Totals[[#Headers],[Car - Note]:[NONTRACKED]],0))</f>
        <v>-28.61</v>
      </c>
      <c r="RY14" s="13">
        <f t="shared" ca="1" si="432"/>
        <v>72.779714743523968</v>
      </c>
      <c r="RZ14" s="13">
        <v>300</v>
      </c>
      <c r="SA14" s="13">
        <v>600</v>
      </c>
      <c r="SB14" s="13" t="b">
        <f t="shared" ca="1" si="433"/>
        <v>0</v>
      </c>
      <c r="SC14" s="94">
        <f t="shared" si="244"/>
        <v>0</v>
      </c>
      <c r="SD14" s="13">
        <f t="shared" ca="1" si="245"/>
        <v>0</v>
      </c>
      <c r="SE14" s="13">
        <f t="shared" ca="1" si="434"/>
        <v>0</v>
      </c>
      <c r="SF14" s="94">
        <f t="shared" si="246"/>
        <v>1</v>
      </c>
      <c r="SG14" s="13">
        <f t="shared" ca="1" si="247"/>
        <v>527.22028525647602</v>
      </c>
      <c r="SH14" s="13">
        <f t="shared" ca="1" si="248"/>
        <v>300</v>
      </c>
      <c r="SI14" s="13">
        <f t="shared" ca="1" si="435"/>
        <v>263.28314414086714</v>
      </c>
      <c r="SJ14" s="13">
        <f t="shared" ca="1" si="249"/>
        <v>336.06285888439112</v>
      </c>
      <c r="SK14" s="13">
        <f t="shared" ca="1" si="250"/>
        <v>-263.94</v>
      </c>
      <c r="SL14" s="13">
        <f t="shared" ca="1" si="251"/>
        <v>0.56010476480731852</v>
      </c>
      <c r="SM14" s="12">
        <f t="shared" ca="1" si="252"/>
        <v>336.06285888439112</v>
      </c>
      <c r="SN14" s="79"/>
      <c r="SO14" s="12">
        <f t="shared" ca="1" si="436"/>
        <v>336.06285888439112</v>
      </c>
      <c r="SP14" s="18">
        <f t="shared" ca="1" si="253"/>
        <v>0.56010476480731852</v>
      </c>
      <c r="SR14" s="19">
        <f t="shared" ca="1" si="254"/>
        <v>336.06285888439112</v>
      </c>
      <c r="SS14" s="19">
        <f ca="1">INDEX(Totals[[#Data],[#Totals],[Car - Note]:[NONTRACKED]],MATCH(SR$1,Totals[Date],0),MATCH($C14,Totals[[#Headers],[Car - Note]:[NONTRACKED]],0))</f>
        <v>-108.32</v>
      </c>
      <c r="ST14" s="19">
        <f t="shared" ca="1" si="437"/>
        <v>227.74285888439113</v>
      </c>
      <c r="SU14" s="19">
        <v>300</v>
      </c>
      <c r="SV14" s="19">
        <v>600</v>
      </c>
      <c r="SW14" s="19" t="b">
        <f t="shared" ca="1" si="438"/>
        <v>0</v>
      </c>
      <c r="SX14" s="100">
        <f t="shared" si="255"/>
        <v>0</v>
      </c>
      <c r="SY14" s="19">
        <f t="shared" ca="1" si="256"/>
        <v>0</v>
      </c>
      <c r="SZ14" s="19">
        <f t="shared" ca="1" si="439"/>
        <v>0</v>
      </c>
      <c r="TA14" s="100">
        <f t="shared" si="257"/>
        <v>1</v>
      </c>
      <c r="TB14" s="19">
        <f t="shared" ca="1" si="258"/>
        <v>372.25714111560887</v>
      </c>
      <c r="TC14" s="19">
        <f t="shared" ca="1" si="259"/>
        <v>300</v>
      </c>
      <c r="TD14" s="19">
        <f t="shared" ca="1" si="440"/>
        <v>217.98127715761305</v>
      </c>
      <c r="TE14" s="19">
        <f t="shared" ca="1" si="260"/>
        <v>445.72413604200415</v>
      </c>
      <c r="TF14" s="19">
        <f t="shared" ca="1" si="261"/>
        <v>-154.28</v>
      </c>
      <c r="TG14" s="19">
        <f t="shared" ca="1" si="262"/>
        <v>0.74287356007000693</v>
      </c>
      <c r="TH14" s="12">
        <f t="shared" ca="1" si="263"/>
        <v>445.72413604200415</v>
      </c>
      <c r="TI14" s="79"/>
      <c r="TJ14" s="12">
        <f t="shared" ca="1" si="441"/>
        <v>445.72413604200415</v>
      </c>
      <c r="TK14" s="18">
        <f t="shared" ca="1" si="264"/>
        <v>0.74287356007000693</v>
      </c>
      <c r="TM14" s="11">
        <f t="shared" ca="1" si="265"/>
        <v>445.72413604200415</v>
      </c>
      <c r="TN14" s="11">
        <f ca="1">INDEX(Totals[[#Data],[#Totals],[Car - Note]:[NONTRACKED]],MATCH(TM$1,Totals[Date],0),MATCH($C14,Totals[[#Headers],[Car - Note]:[NONTRACKED]],0))</f>
        <v>-252.42</v>
      </c>
      <c r="TO14" s="11">
        <f t="shared" ca="1" si="442"/>
        <v>193.30413604200416</v>
      </c>
      <c r="TP14" s="11">
        <v>300</v>
      </c>
      <c r="TQ14" s="11">
        <v>600</v>
      </c>
      <c r="TR14" s="11" t="b">
        <f t="shared" ca="1" si="443"/>
        <v>0</v>
      </c>
      <c r="TS14" s="92">
        <f t="shared" si="266"/>
        <v>0</v>
      </c>
      <c r="TT14" s="11">
        <f t="shared" ca="1" si="267"/>
        <v>0</v>
      </c>
      <c r="TU14" s="11">
        <f t="shared" ca="1" si="444"/>
        <v>0</v>
      </c>
      <c r="TV14" s="92">
        <f t="shared" si="268"/>
        <v>1</v>
      </c>
      <c r="TW14" s="11">
        <f t="shared" ca="1" si="269"/>
        <v>406.69586395799581</v>
      </c>
      <c r="TX14" s="11">
        <f t="shared" ca="1" si="270"/>
        <v>300</v>
      </c>
      <c r="TY14" s="11">
        <f t="shared" ca="1" si="445"/>
        <v>190.9523375064048</v>
      </c>
      <c r="TZ14" s="11">
        <f t="shared" ca="1" si="271"/>
        <v>384.25647354840896</v>
      </c>
      <c r="UA14" s="11">
        <f t="shared" ca="1" si="272"/>
        <v>-215.74</v>
      </c>
      <c r="UB14" s="11">
        <f t="shared" ca="1" si="273"/>
        <v>0.64042745591401495</v>
      </c>
      <c r="UC14" s="12">
        <f t="shared" ca="1" si="274"/>
        <v>384.25647354840896</v>
      </c>
      <c r="UD14" s="79"/>
      <c r="UE14" s="12">
        <f t="shared" ca="1" si="446"/>
        <v>384.25647354840896</v>
      </c>
      <c r="UF14" s="18">
        <f t="shared" ca="1" si="275"/>
        <v>0.64042745591401495</v>
      </c>
      <c r="UH14" s="13">
        <f t="shared" ca="1" si="276"/>
        <v>384.25647354840896</v>
      </c>
      <c r="UI14" s="13">
        <f ca="1">INDEX(Totals[[#Data],[#Totals],[Car - Note]:[NONTRACKED]],MATCH(UH$1,Totals[Date],0),MATCH($C14,Totals[[#Headers],[Car - Note]:[NONTRACKED]],0))</f>
        <v>-268.8</v>
      </c>
      <c r="UJ14" s="13">
        <f t="shared" ca="1" si="447"/>
        <v>115.45647354840895</v>
      </c>
      <c r="UK14" s="13">
        <v>300</v>
      </c>
      <c r="UL14" s="13">
        <v>600</v>
      </c>
      <c r="UM14" s="13" t="b">
        <f t="shared" ca="1" si="448"/>
        <v>0</v>
      </c>
      <c r="UN14" s="94">
        <f t="shared" si="277"/>
        <v>0</v>
      </c>
      <c r="UO14" s="13">
        <f t="shared" ca="1" si="278"/>
        <v>0</v>
      </c>
      <c r="UP14" s="13">
        <f t="shared" ca="1" si="449"/>
        <v>0</v>
      </c>
      <c r="UQ14" s="94">
        <f t="shared" si="279"/>
        <v>1</v>
      </c>
      <c r="UR14" s="13">
        <f t="shared" ca="1" si="280"/>
        <v>484.54352645159105</v>
      </c>
      <c r="US14" s="13">
        <f t="shared" ca="1" si="281"/>
        <v>300</v>
      </c>
      <c r="UT14" s="13">
        <f t="shared" ca="1" si="450"/>
        <v>300</v>
      </c>
      <c r="UU14" s="13">
        <f t="shared" ca="1" si="282"/>
        <v>415.45647354840895</v>
      </c>
      <c r="UV14" s="13">
        <f t="shared" ca="1" si="283"/>
        <v>-184.54</v>
      </c>
      <c r="UW14" s="13">
        <f t="shared" ca="1" si="284"/>
        <v>0.69242745591401489</v>
      </c>
      <c r="UX14" s="12">
        <f t="shared" ca="1" si="285"/>
        <v>415.45647354840895</v>
      </c>
      <c r="UY14" s="79"/>
      <c r="UZ14" s="12">
        <f t="shared" ca="1" si="451"/>
        <v>415.45647354840895</v>
      </c>
      <c r="VA14" s="18">
        <f t="shared" ca="1" si="286"/>
        <v>0.69242745591401489</v>
      </c>
      <c r="VC14" s="19">
        <f t="shared" ca="1" si="287"/>
        <v>415.45647354840895</v>
      </c>
      <c r="VD14" s="19">
        <f ca="1">INDEX(Totals[[#Data],[#Totals],[Car - Note]:[NONTRACKED]],MATCH(VC$1,Totals[Date],0),MATCH($C14,Totals[[#Headers],[Car - Note]:[NONTRACKED]],0))</f>
        <v>-133.01</v>
      </c>
      <c r="VE14" s="19">
        <f t="shared" ca="1" si="452"/>
        <v>282.44647354840896</v>
      </c>
      <c r="VF14" s="19">
        <v>300</v>
      </c>
      <c r="VG14" s="19">
        <v>600</v>
      </c>
      <c r="VH14" s="19" t="b">
        <f t="shared" ca="1" si="453"/>
        <v>0</v>
      </c>
      <c r="VI14" s="100">
        <f t="shared" si="288"/>
        <v>0</v>
      </c>
      <c r="VJ14" s="19">
        <f t="shared" ca="1" si="289"/>
        <v>0</v>
      </c>
      <c r="VK14" s="19">
        <f t="shared" ca="1" si="454"/>
        <v>0</v>
      </c>
      <c r="VL14" s="100">
        <f t="shared" si="290"/>
        <v>1</v>
      </c>
      <c r="VM14" s="19">
        <f t="shared" ca="1" si="291"/>
        <v>317.55352645159104</v>
      </c>
      <c r="VN14" s="19">
        <f t="shared" ca="1" si="292"/>
        <v>300</v>
      </c>
      <c r="VO14" s="19">
        <f t="shared" ca="1" si="455"/>
        <v>198.88175448550365</v>
      </c>
      <c r="VP14" s="19">
        <f t="shared" ca="1" si="293"/>
        <v>481.32822803391264</v>
      </c>
      <c r="VQ14" s="19">
        <f t="shared" ca="1" si="294"/>
        <v>-118.67</v>
      </c>
      <c r="VR14" s="19">
        <f t="shared" ca="1" si="295"/>
        <v>0.80221371338985437</v>
      </c>
      <c r="VS14" s="12">
        <f t="shared" ca="1" si="296"/>
        <v>481.32822803391264</v>
      </c>
      <c r="VT14" s="79"/>
      <c r="VU14" s="12">
        <f t="shared" ca="1" si="456"/>
        <v>481.32822803391264</v>
      </c>
      <c r="VV14" s="18">
        <f t="shared" ca="1" si="297"/>
        <v>0.80221371338985437</v>
      </c>
      <c r="VX14" s="11">
        <f t="shared" ca="1" si="298"/>
        <v>481.32822803391264</v>
      </c>
      <c r="VY14" s="11">
        <f ca="1">INDEX(Totals[[#Data],[#Totals],[Car - Note]:[NONTRACKED]],MATCH(VX$1,Totals[Date],0),MATCH($C14,Totals[[#Headers],[Car - Note]:[NONTRACKED]],0))</f>
        <v>-275.63</v>
      </c>
      <c r="VZ14" s="11">
        <f t="shared" ca="1" si="457"/>
        <v>205.69822803391264</v>
      </c>
      <c r="WA14" s="11">
        <v>300</v>
      </c>
      <c r="WB14" s="11">
        <v>600</v>
      </c>
      <c r="WC14" s="11" t="b">
        <f t="shared" ca="1" si="458"/>
        <v>0</v>
      </c>
      <c r="WD14" s="92">
        <f t="shared" si="299"/>
        <v>0</v>
      </c>
      <c r="WE14" s="11">
        <f t="shared" ca="1" si="300"/>
        <v>0</v>
      </c>
      <c r="WF14" s="11">
        <f t="shared" ca="1" si="459"/>
        <v>0</v>
      </c>
      <c r="WG14" s="92">
        <f t="shared" si="301"/>
        <v>1</v>
      </c>
      <c r="WH14" s="11">
        <f t="shared" ca="1" si="302"/>
        <v>394.30177196608736</v>
      </c>
      <c r="WI14" s="11">
        <f t="shared" ca="1" si="303"/>
        <v>300</v>
      </c>
      <c r="WJ14" s="11">
        <f t="shared" ca="1" si="460"/>
        <v>179.15709778908465</v>
      </c>
      <c r="WK14" s="11">
        <f t="shared" ca="1" si="304"/>
        <v>384.85532582299732</v>
      </c>
      <c r="WL14" s="11">
        <f t="shared" ca="1" si="305"/>
        <v>-215.14</v>
      </c>
      <c r="WM14" s="11">
        <f t="shared" ca="1" si="306"/>
        <v>0.64142554303832888</v>
      </c>
      <c r="WN14" s="12">
        <f t="shared" ca="1" si="307"/>
        <v>384.85532582299732</v>
      </c>
      <c r="WO14" s="79"/>
      <c r="WP14" s="12">
        <f t="shared" ca="1" si="461"/>
        <v>384.85532582299732</v>
      </c>
      <c r="WQ14" s="18">
        <f t="shared" ca="1" si="308"/>
        <v>0.64142554303832888</v>
      </c>
      <c r="WS14" s="13">
        <f t="shared" ca="1" si="309"/>
        <v>384.85532582299732</v>
      </c>
      <c r="WT14" s="13">
        <f ca="1">INDEX(Totals[[#Data],[#Totals],[Car - Note]:[NONTRACKED]],MATCH(WS$1,Totals[Date],0),MATCH($C14,Totals[[#Headers],[Car - Note]:[NONTRACKED]],0))</f>
        <v>-106.03</v>
      </c>
      <c r="WU14" s="13">
        <f t="shared" ca="1" si="462"/>
        <v>278.82532582299734</v>
      </c>
      <c r="WV14" s="13">
        <v>300</v>
      </c>
      <c r="WW14" s="13">
        <v>600</v>
      </c>
      <c r="WX14" s="13" t="b">
        <f t="shared" ca="1" si="463"/>
        <v>0</v>
      </c>
      <c r="WY14" s="94">
        <f t="shared" si="310"/>
        <v>0</v>
      </c>
      <c r="WZ14" s="13">
        <f t="shared" ca="1" si="311"/>
        <v>0</v>
      </c>
      <c r="XA14" s="13">
        <f t="shared" ca="1" si="464"/>
        <v>0</v>
      </c>
      <c r="XB14" s="94">
        <f t="shared" si="312"/>
        <v>1</v>
      </c>
      <c r="XC14" s="13">
        <f t="shared" ca="1" si="313"/>
        <v>321.17467417700266</v>
      </c>
      <c r="XD14" s="13">
        <f t="shared" ca="1" si="314"/>
        <v>300</v>
      </c>
      <c r="XE14" s="13">
        <f t="shared" ca="1" si="465"/>
        <v>284.13478860159182</v>
      </c>
      <c r="XF14" s="13">
        <f t="shared" ca="1" si="315"/>
        <v>562.96011442458916</v>
      </c>
      <c r="XG14" s="13">
        <f t="shared" ca="1" si="316"/>
        <v>-37.04</v>
      </c>
      <c r="XH14" s="13">
        <f t="shared" ca="1" si="317"/>
        <v>0.93826685737431526</v>
      </c>
      <c r="XI14" s="12">
        <f t="shared" ca="1" si="318"/>
        <v>562.96011442458916</v>
      </c>
      <c r="XJ14" s="104">
        <f t="shared" ref="XJ14:XJ23" ca="1" si="471">WW14-XI14</f>
        <v>37.039885575410835</v>
      </c>
      <c r="XK14" s="12">
        <f t="shared" ca="1" si="466"/>
        <v>600</v>
      </c>
      <c r="XL14" s="18">
        <f t="shared" ca="1" si="320"/>
        <v>1</v>
      </c>
      <c r="XN14">
        <v>0.25</v>
      </c>
      <c r="XO14" s="103">
        <f t="shared" ca="1" si="467"/>
        <v>96.213831455749329</v>
      </c>
      <c r="XP14" s="12">
        <f t="shared" ca="1" si="468"/>
        <v>288.64149436724801</v>
      </c>
      <c r="XQ14" s="102">
        <f t="shared" ca="1" si="469"/>
        <v>0.48106915727874672</v>
      </c>
    </row>
    <row r="15" spans="1:641" x14ac:dyDescent="0.25">
      <c r="A15" s="112"/>
      <c r="B15" t="s">
        <v>49</v>
      </c>
      <c r="C15" t="s">
        <v>35</v>
      </c>
      <c r="D15" s="79">
        <v>-200</v>
      </c>
      <c r="H15" s="48">
        <v>100</v>
      </c>
      <c r="I15" s="48"/>
      <c r="J15" s="48"/>
      <c r="K15" s="48">
        <v>300</v>
      </c>
      <c r="L15" s="95">
        <v>400</v>
      </c>
      <c r="M15" s="48"/>
      <c r="N15" s="96"/>
      <c r="O15" s="48"/>
      <c r="P15" s="48"/>
      <c r="Q15" s="96"/>
      <c r="R15" s="48"/>
      <c r="S15" s="48"/>
      <c r="T15" s="48"/>
      <c r="U15" s="48"/>
      <c r="V15" s="48"/>
      <c r="W15" s="48"/>
      <c r="X15" s="48"/>
      <c r="Y15" s="48"/>
      <c r="Z15" s="48">
        <f t="shared" si="321"/>
        <v>100</v>
      </c>
      <c r="AA15" s="98">
        <f t="shared" si="0"/>
        <v>0.25</v>
      </c>
      <c r="AC15" s="11">
        <f t="shared" si="1"/>
        <v>100</v>
      </c>
      <c r="AD15" s="11">
        <f ca="1">INDEX(Totals[[#Data],[#Totals],[Car - Note]:[NONTRACKED]],MATCH(AC$1,Totals[Date],0),MATCH($C15,Totals[[#Headers],[Car - Note]:[NONTRACKED]],0))</f>
        <v>-146.83999999999997</v>
      </c>
      <c r="AE15" s="11">
        <f t="shared" ca="1" si="322"/>
        <v>-46.839999999999975</v>
      </c>
      <c r="AF15" s="11">
        <v>400</v>
      </c>
      <c r="AG15" s="11">
        <v>400</v>
      </c>
      <c r="AH15" s="11" t="b">
        <f t="shared" ca="1" si="323"/>
        <v>0</v>
      </c>
      <c r="AI15" s="92">
        <f t="shared" si="2"/>
        <v>0</v>
      </c>
      <c r="AJ15" s="11">
        <f t="shared" ca="1" si="3"/>
        <v>0</v>
      </c>
      <c r="AK15" s="11">
        <f t="shared" ca="1" si="324"/>
        <v>0</v>
      </c>
      <c r="AL15" s="92">
        <f t="shared" si="4"/>
        <v>1</v>
      </c>
      <c r="AM15" s="11">
        <f t="shared" ca="1" si="5"/>
        <v>446.84</v>
      </c>
      <c r="AN15" s="11">
        <f t="shared" ca="1" si="6"/>
        <v>400</v>
      </c>
      <c r="AO15" s="11">
        <f t="shared" ca="1" si="325"/>
        <v>321.987910179881</v>
      </c>
      <c r="AP15" s="11">
        <f t="shared" ca="1" si="7"/>
        <v>275.14791017988102</v>
      </c>
      <c r="AQ15" s="11">
        <f t="shared" ca="1" si="8"/>
        <v>-124.85</v>
      </c>
      <c r="AR15" s="11">
        <f t="shared" ca="1" si="9"/>
        <v>0.68786977544970251</v>
      </c>
      <c r="AS15" s="12">
        <f t="shared" ca="1" si="10"/>
        <v>275.14791017988102</v>
      </c>
      <c r="AT15" s="12"/>
      <c r="AU15" s="12">
        <f t="shared" ca="1" si="326"/>
        <v>275.14791017988102</v>
      </c>
      <c r="AV15" s="18">
        <f t="shared" ca="1" si="11"/>
        <v>0.68786977544970251</v>
      </c>
      <c r="AX15" s="13">
        <f t="shared" ca="1" si="12"/>
        <v>275.14791017988102</v>
      </c>
      <c r="AY15" s="13">
        <f ca="1">INDEX(Totals[[#Data],[#Totals],[Car - Note]:[NONTRACKED]],MATCH(AX$1,Totals[Date],0),MATCH($C15,Totals[[#Headers],[Car - Note]:[NONTRACKED]],0))</f>
        <v>-184.68</v>
      </c>
      <c r="AZ15" s="13">
        <f t="shared" ca="1" si="327"/>
        <v>90.467910179881017</v>
      </c>
      <c r="BA15" s="13">
        <v>300</v>
      </c>
      <c r="BB15" s="13">
        <v>400</v>
      </c>
      <c r="BC15" s="13" t="b">
        <f t="shared" ca="1" si="328"/>
        <v>0</v>
      </c>
      <c r="BD15" s="94">
        <f t="shared" si="13"/>
        <v>0</v>
      </c>
      <c r="BE15" s="13">
        <f t="shared" ca="1" si="14"/>
        <v>0</v>
      </c>
      <c r="BF15" s="13">
        <f t="shared" ca="1" si="329"/>
        <v>0</v>
      </c>
      <c r="BG15" s="94">
        <f t="shared" si="15"/>
        <v>1</v>
      </c>
      <c r="BH15" s="13">
        <f t="shared" ca="1" si="16"/>
        <v>309.53208982011898</v>
      </c>
      <c r="BI15" s="13">
        <f t="shared" ca="1" si="17"/>
        <v>300</v>
      </c>
      <c r="BJ15" s="13">
        <f t="shared" ca="1" si="330"/>
        <v>143.15784191431973</v>
      </c>
      <c r="BK15" s="13">
        <f t="shared" ca="1" si="18"/>
        <v>233.62575209420075</v>
      </c>
      <c r="BL15" s="13">
        <f t="shared" ca="1" si="19"/>
        <v>-166.37</v>
      </c>
      <c r="BM15" s="13">
        <f t="shared" ca="1" si="20"/>
        <v>0.58406438023550189</v>
      </c>
      <c r="BN15" s="12">
        <f t="shared" ca="1" si="21"/>
        <v>233.62575209420075</v>
      </c>
      <c r="BO15" s="12"/>
      <c r="BP15" s="12">
        <f t="shared" ca="1" si="331"/>
        <v>233.62575209420075</v>
      </c>
      <c r="BQ15" s="18">
        <f t="shared" ca="1" si="22"/>
        <v>0.58406438023550189</v>
      </c>
      <c r="BS15" s="19">
        <f t="shared" ca="1" si="23"/>
        <v>233.62575209420075</v>
      </c>
      <c r="BT15" s="19">
        <f ca="1">INDEX(Totals[[#Data],[#Totals],[Car - Note]:[NONTRACKED]],MATCH(BS$1,Totals[Date],0),MATCH($C15,Totals[[#Headers],[Car - Note]:[NONTRACKED]],0))</f>
        <v>-194.79999999999995</v>
      </c>
      <c r="BU15" s="19">
        <f t="shared" ca="1" si="332"/>
        <v>38.825752094200794</v>
      </c>
      <c r="BV15" s="19">
        <v>300</v>
      </c>
      <c r="BW15" s="19">
        <v>500</v>
      </c>
      <c r="BX15" s="19" t="b">
        <f t="shared" ca="1" si="333"/>
        <v>0</v>
      </c>
      <c r="BY15" s="100">
        <f t="shared" si="24"/>
        <v>0</v>
      </c>
      <c r="BZ15" s="19">
        <f t="shared" ca="1" si="25"/>
        <v>0</v>
      </c>
      <c r="CA15" s="19">
        <f t="shared" ca="1" si="334"/>
        <v>0</v>
      </c>
      <c r="CB15" s="100">
        <f t="shared" si="26"/>
        <v>1</v>
      </c>
      <c r="CC15" s="19">
        <f t="shared" ca="1" si="27"/>
        <v>461.17424790579923</v>
      </c>
      <c r="CD15" s="19">
        <f t="shared" ca="1" si="28"/>
        <v>300</v>
      </c>
      <c r="CE15" s="19">
        <f t="shared" ca="1" si="335"/>
        <v>300</v>
      </c>
      <c r="CF15" s="19">
        <f t="shared" ca="1" si="29"/>
        <v>338.82575209420077</v>
      </c>
      <c r="CG15" s="19">
        <f t="shared" ca="1" si="30"/>
        <v>-161.16999999999999</v>
      </c>
      <c r="CH15" s="19">
        <f t="shared" ca="1" si="31"/>
        <v>0.67765150418840148</v>
      </c>
      <c r="CI15" s="12">
        <f t="shared" ca="1" si="32"/>
        <v>338.82575209420077</v>
      </c>
      <c r="CJ15" s="10">
        <f ca="1">BW15-CI15</f>
        <v>161.17424790579923</v>
      </c>
      <c r="CK15" s="12">
        <f t="shared" ca="1" si="336"/>
        <v>500</v>
      </c>
      <c r="CL15" s="18">
        <f t="shared" ca="1" si="33"/>
        <v>1</v>
      </c>
      <c r="CN15" s="11">
        <f t="shared" ca="1" si="34"/>
        <v>500</v>
      </c>
      <c r="CO15" s="11">
        <f ca="1">INDEX(Totals[[#Data],[#Totals],[Car - Note]:[NONTRACKED]],MATCH(CN$1,Totals[Date],0),MATCH($C15,Totals[[#Headers],[Car - Note]:[NONTRACKED]],0))</f>
        <v>-197.79</v>
      </c>
      <c r="CP15" s="11">
        <f t="shared" ca="1" si="337"/>
        <v>302.21000000000004</v>
      </c>
      <c r="CQ15" s="11">
        <v>300</v>
      </c>
      <c r="CR15" s="11">
        <v>600</v>
      </c>
      <c r="CS15" s="11" t="b">
        <f t="shared" ca="1" si="338"/>
        <v>0</v>
      </c>
      <c r="CT15" s="92">
        <f t="shared" si="35"/>
        <v>0</v>
      </c>
      <c r="CU15" s="11">
        <f t="shared" ca="1" si="36"/>
        <v>0</v>
      </c>
      <c r="CV15" s="11">
        <f t="shared" ca="1" si="339"/>
        <v>0</v>
      </c>
      <c r="CW15" s="92">
        <f t="shared" si="37"/>
        <v>1</v>
      </c>
      <c r="CX15" s="11">
        <f t="shared" ca="1" si="38"/>
        <v>297.78999999999996</v>
      </c>
      <c r="CY15" s="11">
        <f t="shared" ca="1" si="39"/>
        <v>297.78999999999996</v>
      </c>
      <c r="CZ15" s="11">
        <f t="shared" ca="1" si="340"/>
        <v>297.78999999999996</v>
      </c>
      <c r="DA15" s="11">
        <f t="shared" ca="1" si="40"/>
        <v>600</v>
      </c>
      <c r="DB15" s="11">
        <f t="shared" ca="1" si="41"/>
        <v>0</v>
      </c>
      <c r="DC15" s="11">
        <f t="shared" ca="1" si="42"/>
        <v>1</v>
      </c>
      <c r="DD15" s="12">
        <f t="shared" ca="1" si="43"/>
        <v>600</v>
      </c>
      <c r="DE15" s="79"/>
      <c r="DF15" s="12">
        <f t="shared" ca="1" si="341"/>
        <v>600</v>
      </c>
      <c r="DG15" s="18">
        <f t="shared" ca="1" si="44"/>
        <v>1</v>
      </c>
      <c r="DI15" s="13">
        <f t="shared" ca="1" si="45"/>
        <v>600</v>
      </c>
      <c r="DJ15" s="13">
        <f ca="1">INDEX(Totals[[#Data],[#Totals],[Car - Note]:[NONTRACKED]],MATCH(DI$1,Totals[Date],0),MATCH($C15,Totals[[#Headers],[Car - Note]:[NONTRACKED]],0))</f>
        <v>-262.32</v>
      </c>
      <c r="DK15" s="13">
        <f t="shared" ca="1" si="342"/>
        <v>337.68</v>
      </c>
      <c r="DL15" s="13">
        <v>300</v>
      </c>
      <c r="DM15" s="13">
        <v>600</v>
      </c>
      <c r="DN15" s="13" t="b">
        <f t="shared" ca="1" si="343"/>
        <v>0</v>
      </c>
      <c r="DO15" s="94">
        <f t="shared" si="46"/>
        <v>0</v>
      </c>
      <c r="DP15" s="13">
        <f t="shared" ca="1" si="47"/>
        <v>0</v>
      </c>
      <c r="DQ15" s="13">
        <f t="shared" ca="1" si="344"/>
        <v>0</v>
      </c>
      <c r="DR15" s="94">
        <f t="shared" si="48"/>
        <v>1</v>
      </c>
      <c r="DS15" s="13">
        <f t="shared" ca="1" si="49"/>
        <v>262.32</v>
      </c>
      <c r="DT15" s="13">
        <f t="shared" ca="1" si="50"/>
        <v>262.32</v>
      </c>
      <c r="DU15" s="13">
        <f t="shared" ca="1" si="345"/>
        <v>112.01404452970186</v>
      </c>
      <c r="DV15" s="13">
        <f t="shared" ca="1" si="51"/>
        <v>449.69404452970184</v>
      </c>
      <c r="DW15" s="13">
        <f t="shared" ca="1" si="52"/>
        <v>-150.31</v>
      </c>
      <c r="DX15" s="13">
        <f t="shared" ca="1" si="53"/>
        <v>0.74949007421616975</v>
      </c>
      <c r="DY15" s="12">
        <f t="shared" ca="1" si="54"/>
        <v>449.69404452970184</v>
      </c>
      <c r="DZ15" s="79"/>
      <c r="EA15" s="12">
        <f t="shared" ca="1" si="346"/>
        <v>449.69404452970184</v>
      </c>
      <c r="EB15" s="18">
        <f t="shared" ca="1" si="55"/>
        <v>0.74949007421616975</v>
      </c>
      <c r="ED15" s="19">
        <f t="shared" ca="1" si="56"/>
        <v>449.69404452970184</v>
      </c>
      <c r="EE15" s="19">
        <f ca="1">INDEX(Totals[[#Data],[#Totals],[Car - Note]:[NONTRACKED]],MATCH(ED$1,Totals[Date],0),MATCH($C15,Totals[[#Headers],[Car - Note]:[NONTRACKED]],0))</f>
        <v>-224.37999999999997</v>
      </c>
      <c r="EF15" s="19">
        <f t="shared" ca="1" si="347"/>
        <v>225.31404452970187</v>
      </c>
      <c r="EG15" s="19">
        <v>300</v>
      </c>
      <c r="EH15" s="19">
        <v>600</v>
      </c>
      <c r="EI15" s="19" t="b">
        <f t="shared" ca="1" si="348"/>
        <v>0</v>
      </c>
      <c r="EJ15" s="100">
        <f t="shared" si="57"/>
        <v>0</v>
      </c>
      <c r="EK15" s="19">
        <f t="shared" ca="1" si="58"/>
        <v>0</v>
      </c>
      <c r="EL15" s="19">
        <f t="shared" ca="1" si="349"/>
        <v>0</v>
      </c>
      <c r="EM15" s="100">
        <f t="shared" si="59"/>
        <v>1</v>
      </c>
      <c r="EN15" s="19">
        <f t="shared" ca="1" si="60"/>
        <v>374.68595547029815</v>
      </c>
      <c r="EO15" s="19">
        <f t="shared" ca="1" si="61"/>
        <v>300</v>
      </c>
      <c r="EP15" s="19">
        <f t="shared" ca="1" si="350"/>
        <v>218.67217844251124</v>
      </c>
      <c r="EQ15" s="19">
        <f t="shared" ca="1" si="62"/>
        <v>443.98622297221311</v>
      </c>
      <c r="ER15" s="19">
        <f t="shared" ca="1" si="63"/>
        <v>-156.01</v>
      </c>
      <c r="ES15" s="19">
        <f t="shared" ca="1" si="64"/>
        <v>0.73997703828702188</v>
      </c>
      <c r="ET15" s="12">
        <f t="shared" ca="1" si="65"/>
        <v>443.98622297221311</v>
      </c>
      <c r="EU15" s="79"/>
      <c r="EV15" s="12">
        <f t="shared" ca="1" si="351"/>
        <v>443.98622297221311</v>
      </c>
      <c r="EW15" s="18">
        <f t="shared" ca="1" si="66"/>
        <v>0.73997703828702188</v>
      </c>
      <c r="EY15" s="11">
        <f t="shared" ca="1" si="67"/>
        <v>443.98622297221311</v>
      </c>
      <c r="EZ15" s="11">
        <f ca="1">INDEX(Totals[[#Data],[#Totals],[Car - Note]:[NONTRACKED]],MATCH(EY$1,Totals[Date],0),MATCH($C15,Totals[[#Headers],[Car - Note]:[NONTRACKED]],0))</f>
        <v>-176.74</v>
      </c>
      <c r="FA15" s="11">
        <f t="shared" ca="1" si="352"/>
        <v>267.2462229722131</v>
      </c>
      <c r="FB15" s="11">
        <v>300</v>
      </c>
      <c r="FC15" s="11">
        <v>600</v>
      </c>
      <c r="FD15" s="11" t="b">
        <f t="shared" ca="1" si="353"/>
        <v>0</v>
      </c>
      <c r="FE15" s="92">
        <f t="shared" si="68"/>
        <v>0</v>
      </c>
      <c r="FF15" s="11">
        <f t="shared" ca="1" si="69"/>
        <v>0</v>
      </c>
      <c r="FG15" s="11">
        <f t="shared" ca="1" si="354"/>
        <v>0</v>
      </c>
      <c r="FH15" s="92">
        <f t="shared" si="70"/>
        <v>1</v>
      </c>
      <c r="FI15" s="11">
        <f t="shared" ca="1" si="71"/>
        <v>332.7537770277869</v>
      </c>
      <c r="FJ15" s="11">
        <f t="shared" ca="1" si="72"/>
        <v>300</v>
      </c>
      <c r="FK15" s="11">
        <f t="shared" ca="1" si="355"/>
        <v>129.95278373020358</v>
      </c>
      <c r="FL15" s="11">
        <f t="shared" ca="1" si="73"/>
        <v>397.19900670241668</v>
      </c>
      <c r="FM15" s="11">
        <f t="shared" ca="1" si="74"/>
        <v>-202.8</v>
      </c>
      <c r="FN15" s="11">
        <f t="shared" ca="1" si="75"/>
        <v>0.66199834450402784</v>
      </c>
      <c r="FO15" s="12">
        <f t="shared" ca="1" si="76"/>
        <v>397.19900670241668</v>
      </c>
      <c r="FP15" s="79"/>
      <c r="FQ15" s="12">
        <f t="shared" ca="1" si="356"/>
        <v>397.19900670241668</v>
      </c>
      <c r="FR15" s="18">
        <f t="shared" ca="1" si="77"/>
        <v>0.66199834450402784</v>
      </c>
      <c r="FT15" s="13">
        <f t="shared" ca="1" si="78"/>
        <v>397.19900670241668</v>
      </c>
      <c r="FU15" s="13">
        <f ca="1">INDEX(Totals[[#Data],[#Totals],[Car - Note]:[NONTRACKED]],MATCH(FT$1,Totals[Date],0),MATCH($C15,Totals[[#Headers],[Car - Note]:[NONTRACKED]],0))</f>
        <v>-285.52</v>
      </c>
      <c r="FV15" s="13">
        <f t="shared" ca="1" si="357"/>
        <v>111.6790067024167</v>
      </c>
      <c r="FW15" s="13">
        <v>300</v>
      </c>
      <c r="FX15" s="13">
        <v>600</v>
      </c>
      <c r="FY15" s="13" t="b">
        <f t="shared" ca="1" si="358"/>
        <v>0</v>
      </c>
      <c r="FZ15" s="94">
        <f t="shared" si="79"/>
        <v>0</v>
      </c>
      <c r="GA15" s="13">
        <f t="shared" ca="1" si="80"/>
        <v>0</v>
      </c>
      <c r="GB15" s="13">
        <f t="shared" ca="1" si="359"/>
        <v>0</v>
      </c>
      <c r="GC15" s="94">
        <f t="shared" si="81"/>
        <v>1</v>
      </c>
      <c r="GD15" s="13">
        <f t="shared" ca="1" si="82"/>
        <v>488.3209932975833</v>
      </c>
      <c r="GE15" s="13">
        <f t="shared" ca="1" si="83"/>
        <v>300</v>
      </c>
      <c r="GF15" s="13">
        <f t="shared" ca="1" si="360"/>
        <v>129.60039980635989</v>
      </c>
      <c r="GG15" s="13">
        <f t="shared" ca="1" si="84"/>
        <v>241.27940650877659</v>
      </c>
      <c r="GH15" s="13">
        <f t="shared" ca="1" si="85"/>
        <v>-358.72</v>
      </c>
      <c r="GI15" s="13">
        <f t="shared" ca="1" si="86"/>
        <v>0.40213234418129429</v>
      </c>
      <c r="GJ15" s="12">
        <f t="shared" ca="1" si="87"/>
        <v>241.27940650877659</v>
      </c>
      <c r="GK15" s="79"/>
      <c r="GL15" s="12">
        <f t="shared" ca="1" si="361"/>
        <v>241.27940650877659</v>
      </c>
      <c r="GM15" s="18">
        <f t="shared" ca="1" si="88"/>
        <v>0.40213234418129429</v>
      </c>
      <c r="GO15" s="19">
        <f t="shared" ca="1" si="89"/>
        <v>241.27940650877659</v>
      </c>
      <c r="GP15" s="19">
        <f ca="1">INDEX(Totals[[#Data],[#Totals],[Car - Note]:[NONTRACKED]],MATCH(GO$1,Totals[Date],0),MATCH($C15,Totals[[#Headers],[Car - Note]:[NONTRACKED]],0))</f>
        <v>-252.44000000000003</v>
      </c>
      <c r="GQ15" s="19">
        <f t="shared" ca="1" si="362"/>
        <v>-11.160593491223437</v>
      </c>
      <c r="GR15" s="19">
        <v>300</v>
      </c>
      <c r="GS15" s="19">
        <v>600</v>
      </c>
      <c r="GT15" s="19" t="b">
        <f t="shared" ca="1" si="363"/>
        <v>0</v>
      </c>
      <c r="GU15" s="100">
        <f t="shared" si="90"/>
        <v>0</v>
      </c>
      <c r="GV15" s="19">
        <f t="shared" ca="1" si="91"/>
        <v>0</v>
      </c>
      <c r="GW15" s="19">
        <f t="shared" ca="1" si="364"/>
        <v>0</v>
      </c>
      <c r="GX15" s="100">
        <f t="shared" si="92"/>
        <v>1</v>
      </c>
      <c r="GY15" s="19">
        <f t="shared" ca="1" si="93"/>
        <v>611.16059349122338</v>
      </c>
      <c r="GZ15" s="19">
        <f t="shared" ca="1" si="94"/>
        <v>300</v>
      </c>
      <c r="HA15" s="19">
        <f t="shared" ca="1" si="365"/>
        <v>132.53872250279258</v>
      </c>
      <c r="HB15" s="19">
        <f t="shared" ca="1" si="95"/>
        <v>121.37812901156914</v>
      </c>
      <c r="HC15" s="19">
        <f t="shared" ca="1" si="96"/>
        <v>-478.62</v>
      </c>
      <c r="HD15" s="19">
        <f t="shared" ca="1" si="97"/>
        <v>0.20229688168594856</v>
      </c>
      <c r="HE15" s="12">
        <f t="shared" ca="1" si="98"/>
        <v>121.37812901156914</v>
      </c>
      <c r="HF15" s="79">
        <v>100</v>
      </c>
      <c r="HG15" s="12">
        <f t="shared" ca="1" si="366"/>
        <v>221.37812901156914</v>
      </c>
      <c r="HH15" s="18">
        <f t="shared" ca="1" si="99"/>
        <v>0.36896354835261524</v>
      </c>
      <c r="HJ15" s="11">
        <f t="shared" ca="1" si="100"/>
        <v>221.37812901156914</v>
      </c>
      <c r="HK15" s="11">
        <f ca="1">INDEX(Totals[[#Data],[#Totals],[Car - Note]:[NONTRACKED]],MATCH(HJ$1,Totals[Date],0),MATCH($C15,Totals[[#Headers],[Car - Note]:[NONTRACKED]],0))</f>
        <v>-204.25</v>
      </c>
      <c r="HL15" s="11">
        <f t="shared" ca="1" si="367"/>
        <v>17.128129011569143</v>
      </c>
      <c r="HM15" s="11">
        <v>300</v>
      </c>
      <c r="HN15" s="11">
        <v>600</v>
      </c>
      <c r="HO15" s="11" t="b">
        <f t="shared" ca="1" si="368"/>
        <v>0</v>
      </c>
      <c r="HP15" s="92">
        <f t="shared" si="101"/>
        <v>0</v>
      </c>
      <c r="HQ15" s="11">
        <f t="shared" ca="1" si="102"/>
        <v>0</v>
      </c>
      <c r="HR15" s="11">
        <f t="shared" ca="1" si="369"/>
        <v>0</v>
      </c>
      <c r="HS15" s="92">
        <f t="shared" si="103"/>
        <v>1</v>
      </c>
      <c r="HT15" s="11">
        <f t="shared" ca="1" si="104"/>
        <v>582.87187098843083</v>
      </c>
      <c r="HU15" s="11">
        <f t="shared" ca="1" si="105"/>
        <v>300</v>
      </c>
      <c r="HV15" s="11">
        <f t="shared" ca="1" si="370"/>
        <v>126.96096660765603</v>
      </c>
      <c r="HW15" s="11">
        <f t="shared" ca="1" si="106"/>
        <v>144.08909561922519</v>
      </c>
      <c r="HX15" s="11">
        <f t="shared" ca="1" si="107"/>
        <v>-455.91</v>
      </c>
      <c r="HY15" s="11">
        <f t="shared" ca="1" si="108"/>
        <v>0.24014849269870864</v>
      </c>
      <c r="HZ15" s="12">
        <f t="shared" ca="1" si="109"/>
        <v>144.08909561922519</v>
      </c>
      <c r="IA15" s="79">
        <v>100</v>
      </c>
      <c r="IB15" s="12">
        <f t="shared" ca="1" si="371"/>
        <v>244.08909561922519</v>
      </c>
      <c r="IC15" s="18">
        <f t="shared" ca="1" si="110"/>
        <v>0.40681515936537532</v>
      </c>
      <c r="IE15" s="13">
        <f t="shared" ca="1" si="111"/>
        <v>244.08909561922519</v>
      </c>
      <c r="IF15" s="13">
        <f ca="1">INDEX(Totals[[#Data],[#Totals],[Car - Note]:[NONTRACKED]],MATCH(IE$1,Totals[Date],0),MATCH($C15,Totals[[#Headers],[Car - Note]:[NONTRACKED]],0))</f>
        <v>-226.64000000000004</v>
      </c>
      <c r="IG15" s="13">
        <f t="shared" ca="1" si="372"/>
        <v>17.449095619225147</v>
      </c>
      <c r="IH15" s="13">
        <v>300</v>
      </c>
      <c r="II15" s="13">
        <v>600</v>
      </c>
      <c r="IJ15" s="13" t="b">
        <f t="shared" ca="1" si="373"/>
        <v>0</v>
      </c>
      <c r="IK15" s="94">
        <f t="shared" si="112"/>
        <v>0</v>
      </c>
      <c r="IL15" s="13">
        <f t="shared" ca="1" si="113"/>
        <v>0</v>
      </c>
      <c r="IM15" s="13">
        <f t="shared" ca="1" si="374"/>
        <v>0</v>
      </c>
      <c r="IN15" s="94">
        <f t="shared" si="114"/>
        <v>1</v>
      </c>
      <c r="IO15" s="13">
        <f t="shared" ca="1" si="115"/>
        <v>582.55090438077491</v>
      </c>
      <c r="IP15" s="13">
        <f t="shared" ca="1" si="116"/>
        <v>300</v>
      </c>
      <c r="IQ15" s="13">
        <f t="shared" ca="1" si="375"/>
        <v>138.57818671499589</v>
      </c>
      <c r="IR15" s="13">
        <f t="shared" ca="1" si="117"/>
        <v>156.02728233422104</v>
      </c>
      <c r="IS15" s="13">
        <f t="shared" ca="1" si="118"/>
        <v>-443.97</v>
      </c>
      <c r="IT15" s="13">
        <f t="shared" ca="1" si="119"/>
        <v>0.26004547055703509</v>
      </c>
      <c r="IU15" s="12">
        <f t="shared" ca="1" si="120"/>
        <v>156.02728233422104</v>
      </c>
      <c r="IV15" s="79"/>
      <c r="IW15" s="12">
        <f t="shared" ca="1" si="376"/>
        <v>156.02728233422104</v>
      </c>
      <c r="IX15" s="18">
        <f t="shared" ca="1" si="121"/>
        <v>0.26004547055703509</v>
      </c>
      <c r="IZ15" s="19">
        <f t="shared" ca="1" si="122"/>
        <v>156.02728233422104</v>
      </c>
      <c r="JA15" s="19">
        <f ca="1">INDEX(Totals[[#Data],[#Totals],[Car - Note]:[NONTRACKED]],MATCH(IZ$1,Totals[Date],0),MATCH($C15,Totals[[#Headers],[Car - Note]:[NONTRACKED]],0))</f>
        <v>-142.15999999999997</v>
      </c>
      <c r="JB15" s="19">
        <f t="shared" ca="1" si="377"/>
        <v>13.867282334221073</v>
      </c>
      <c r="JC15" s="19">
        <v>300</v>
      </c>
      <c r="JD15" s="19">
        <v>600</v>
      </c>
      <c r="JE15" s="19" t="b">
        <f t="shared" ca="1" si="378"/>
        <v>0</v>
      </c>
      <c r="JF15" s="100">
        <f t="shared" si="123"/>
        <v>0</v>
      </c>
      <c r="JG15" s="19">
        <f t="shared" ca="1" si="124"/>
        <v>0</v>
      </c>
      <c r="JH15" s="19">
        <f t="shared" ca="1" si="379"/>
        <v>0</v>
      </c>
      <c r="JI15" s="100">
        <f t="shared" si="125"/>
        <v>1</v>
      </c>
      <c r="JJ15" s="19">
        <f t="shared" ca="1" si="126"/>
        <v>586.13271766577896</v>
      </c>
      <c r="JK15" s="19">
        <f t="shared" ca="1" si="127"/>
        <v>300</v>
      </c>
      <c r="JL15" s="19">
        <f t="shared" ca="1" si="380"/>
        <v>114.80843029513406</v>
      </c>
      <c r="JM15" s="19">
        <f t="shared" ca="1" si="128"/>
        <v>128.67571262935513</v>
      </c>
      <c r="JN15" s="19">
        <f t="shared" ca="1" si="129"/>
        <v>-471.32</v>
      </c>
      <c r="JO15" s="19">
        <f t="shared" ca="1" si="130"/>
        <v>0.21445952104892521</v>
      </c>
      <c r="JP15" s="12">
        <f t="shared" ca="1" si="131"/>
        <v>128.67571262935513</v>
      </c>
      <c r="JQ15" s="79"/>
      <c r="JR15" s="12">
        <f t="shared" ca="1" si="381"/>
        <v>128.67571262935513</v>
      </c>
      <c r="JS15" s="18">
        <f t="shared" ca="1" si="132"/>
        <v>0.21445952104892521</v>
      </c>
      <c r="JU15" s="11">
        <f t="shared" ca="1" si="133"/>
        <v>128.67571262935513</v>
      </c>
      <c r="JV15" s="11">
        <f ca="1">INDEX(Totals[[#Data],[#Totals],[Car - Note]:[NONTRACKED]],MATCH(JU$1,Totals[Date],0),MATCH($C15,Totals[[#Headers],[Car - Note]:[NONTRACKED]],0))</f>
        <v>-181.37</v>
      </c>
      <c r="JW15" s="11">
        <f t="shared" ca="1" si="382"/>
        <v>-52.694287370644872</v>
      </c>
      <c r="JX15" s="11">
        <v>300</v>
      </c>
      <c r="JY15" s="11">
        <v>600</v>
      </c>
      <c r="JZ15" s="11" t="b">
        <f t="shared" ca="1" si="383"/>
        <v>0</v>
      </c>
      <c r="KA15" s="92">
        <f t="shared" si="134"/>
        <v>0</v>
      </c>
      <c r="KB15" s="11">
        <f t="shared" ca="1" si="135"/>
        <v>0</v>
      </c>
      <c r="KC15" s="11">
        <f t="shared" ca="1" si="384"/>
        <v>0</v>
      </c>
      <c r="KD15" s="92">
        <f t="shared" si="136"/>
        <v>1</v>
      </c>
      <c r="KE15" s="11">
        <f t="shared" ca="1" si="137"/>
        <v>652.69428737064482</v>
      </c>
      <c r="KF15" s="11">
        <f t="shared" ca="1" si="138"/>
        <v>300</v>
      </c>
      <c r="KG15" s="11">
        <f t="shared" ca="1" si="385"/>
        <v>207.49429378308972</v>
      </c>
      <c r="KH15" s="11">
        <f t="shared" ca="1" si="139"/>
        <v>154.80000641244484</v>
      </c>
      <c r="KI15" s="11">
        <f t="shared" ca="1" si="140"/>
        <v>-445.2</v>
      </c>
      <c r="KJ15" s="11">
        <f t="shared" ca="1" si="141"/>
        <v>0.25800001068740808</v>
      </c>
      <c r="KK15" s="12">
        <f t="shared" ca="1" si="142"/>
        <v>154.80000641244484</v>
      </c>
      <c r="KL15" s="79"/>
      <c r="KM15" s="12">
        <f t="shared" ca="1" si="386"/>
        <v>154.80000641244484</v>
      </c>
      <c r="KN15" s="18">
        <f t="shared" ca="1" si="143"/>
        <v>0.25800001068740808</v>
      </c>
      <c r="KP15" s="13">
        <f t="shared" ca="1" si="144"/>
        <v>154.80000641244484</v>
      </c>
      <c r="KQ15" s="13">
        <f ca="1">INDEX(Totals[[#Data],[#Totals],[Car - Note]:[NONTRACKED]],MATCH(KP$1,Totals[Date],0),MATCH($C15,Totals[[#Headers],[Car - Note]:[NONTRACKED]],0))</f>
        <v>-173.35000000000002</v>
      </c>
      <c r="KR15" s="13">
        <f t="shared" ca="1" si="387"/>
        <v>-18.549993587555178</v>
      </c>
      <c r="KS15" s="13">
        <v>300</v>
      </c>
      <c r="KT15" s="13">
        <v>600</v>
      </c>
      <c r="KU15" s="13" t="b">
        <f t="shared" ca="1" si="388"/>
        <v>0</v>
      </c>
      <c r="KV15" s="94">
        <f t="shared" si="145"/>
        <v>0</v>
      </c>
      <c r="KW15" s="13">
        <f t="shared" ca="1" si="146"/>
        <v>0</v>
      </c>
      <c r="KX15" s="13">
        <f t="shared" ca="1" si="389"/>
        <v>0</v>
      </c>
      <c r="KY15" s="94">
        <f t="shared" si="147"/>
        <v>1</v>
      </c>
      <c r="KZ15" s="13">
        <f t="shared" ca="1" si="148"/>
        <v>618.54999358755515</v>
      </c>
      <c r="LA15" s="13">
        <f t="shared" ca="1" si="149"/>
        <v>300</v>
      </c>
      <c r="LB15" s="13">
        <f t="shared" ca="1" si="390"/>
        <v>228.9029027520273</v>
      </c>
      <c r="LC15" s="13">
        <f t="shared" ca="1" si="150"/>
        <v>210.35290916447212</v>
      </c>
      <c r="LD15" s="13">
        <f t="shared" ca="1" si="151"/>
        <v>-389.65</v>
      </c>
      <c r="LE15" s="13">
        <f t="shared" ca="1" si="152"/>
        <v>0.35058818194078689</v>
      </c>
      <c r="LF15" s="12">
        <f t="shared" ca="1" si="153"/>
        <v>210.35290916447212</v>
      </c>
      <c r="LG15" s="79"/>
      <c r="LH15" s="12">
        <f t="shared" ca="1" si="391"/>
        <v>210.35290916447212</v>
      </c>
      <c r="LI15" s="18">
        <f t="shared" ca="1" si="154"/>
        <v>0.35058818194078689</v>
      </c>
      <c r="LK15" s="19">
        <f t="shared" ca="1" si="155"/>
        <v>210.35290916447212</v>
      </c>
      <c r="LL15" s="19">
        <f ca="1">INDEX(Totals[[#Data],[#Totals],[Car - Note]:[NONTRACKED]],MATCH(LK$1,Totals[Date],0),MATCH($C15,Totals[[#Headers],[Car - Note]:[NONTRACKED]],0))</f>
        <v>-171.4</v>
      </c>
      <c r="LM15" s="19">
        <f t="shared" ca="1" si="392"/>
        <v>38.952909164472118</v>
      </c>
      <c r="LN15" s="19">
        <v>300</v>
      </c>
      <c r="LO15" s="19">
        <v>600</v>
      </c>
      <c r="LP15" s="19" t="b">
        <f t="shared" ca="1" si="393"/>
        <v>0</v>
      </c>
      <c r="LQ15" s="100">
        <f t="shared" si="156"/>
        <v>0</v>
      </c>
      <c r="LR15" s="19">
        <f t="shared" ca="1" si="157"/>
        <v>0</v>
      </c>
      <c r="LS15" s="19">
        <f t="shared" ca="1" si="394"/>
        <v>0</v>
      </c>
      <c r="LT15" s="100">
        <f t="shared" si="158"/>
        <v>1</v>
      </c>
      <c r="LU15" s="19">
        <f t="shared" ca="1" si="159"/>
        <v>561.04709083552791</v>
      </c>
      <c r="LV15" s="19">
        <f t="shared" ca="1" si="160"/>
        <v>300</v>
      </c>
      <c r="LW15" s="19">
        <f t="shared" ca="1" si="395"/>
        <v>190.42628544367443</v>
      </c>
      <c r="LX15" s="19">
        <f t="shared" ca="1" si="161"/>
        <v>229.37919460814655</v>
      </c>
      <c r="LY15" s="19">
        <f t="shared" ca="1" si="162"/>
        <v>-370.62</v>
      </c>
      <c r="LZ15" s="19">
        <f t="shared" ca="1" si="163"/>
        <v>0.38229865768024424</v>
      </c>
      <c r="MA15" s="12">
        <f t="shared" ca="1" si="164"/>
        <v>229.37919460814655</v>
      </c>
      <c r="MB15" s="79"/>
      <c r="MC15" s="12">
        <f t="shared" ca="1" si="396"/>
        <v>229.37919460814655</v>
      </c>
      <c r="MD15" s="18">
        <f t="shared" ca="1" si="165"/>
        <v>0.38229865768024424</v>
      </c>
      <c r="MF15" s="11">
        <f t="shared" ca="1" si="166"/>
        <v>229.37919460814655</v>
      </c>
      <c r="MG15" s="11">
        <f ca="1">INDEX(Totals[[#Data],[#Totals],[Car - Note]:[NONTRACKED]],MATCH(MF$1,Totals[Date],0),MATCH($C15,Totals[[#Headers],[Car - Note]:[NONTRACKED]],0))</f>
        <v>-291.85999999999996</v>
      </c>
      <c r="MH15" s="11">
        <f t="shared" ca="1" si="397"/>
        <v>-62.480805391853409</v>
      </c>
      <c r="MI15" s="11">
        <v>300</v>
      </c>
      <c r="MJ15" s="11">
        <v>600</v>
      </c>
      <c r="MK15" s="11" t="b">
        <f t="shared" ca="1" si="398"/>
        <v>0</v>
      </c>
      <c r="ML15" s="92">
        <f t="shared" si="167"/>
        <v>0</v>
      </c>
      <c r="MM15" s="11">
        <f t="shared" ca="1" si="168"/>
        <v>0</v>
      </c>
      <c r="MN15" s="11">
        <f t="shared" ca="1" si="399"/>
        <v>0</v>
      </c>
      <c r="MO15" s="92">
        <f t="shared" si="169"/>
        <v>1</v>
      </c>
      <c r="MP15" s="11">
        <f t="shared" ca="1" si="170"/>
        <v>662.48080539185344</v>
      </c>
      <c r="MQ15" s="11">
        <f t="shared" ca="1" si="171"/>
        <v>300</v>
      </c>
      <c r="MR15" s="11">
        <f t="shared" ca="1" si="400"/>
        <v>150.23053023856488</v>
      </c>
      <c r="MS15" s="11">
        <f t="shared" ca="1" si="172"/>
        <v>87.749724846711473</v>
      </c>
      <c r="MT15" s="11">
        <f t="shared" ca="1" si="173"/>
        <v>-512.25</v>
      </c>
      <c r="MU15" s="11">
        <f t="shared" ca="1" si="174"/>
        <v>0.14624954141118579</v>
      </c>
      <c r="MV15" s="12">
        <f t="shared" ca="1" si="175"/>
        <v>87.749724846711473</v>
      </c>
      <c r="MW15" s="79">
        <v>120</v>
      </c>
      <c r="MX15" s="12">
        <f t="shared" ca="1" si="401"/>
        <v>207.74972484671147</v>
      </c>
      <c r="MY15" s="18">
        <f t="shared" ca="1" si="176"/>
        <v>0.3462495414111858</v>
      </c>
      <c r="NA15" s="13">
        <f t="shared" ca="1" si="177"/>
        <v>207.74972484671147</v>
      </c>
      <c r="NB15" s="13">
        <f ca="1">INDEX(Totals[[#Data],[#Totals],[Car - Note]:[NONTRACKED]],MATCH(NA$1,Totals[Date],0),MATCH($C15,Totals[[#Headers],[Car - Note]:[NONTRACKED]],0))</f>
        <v>-230.57</v>
      </c>
      <c r="NC15" s="13">
        <f t="shared" ca="1" si="402"/>
        <v>-22.82027515328852</v>
      </c>
      <c r="ND15" s="13">
        <v>300</v>
      </c>
      <c r="NE15" s="13">
        <v>600</v>
      </c>
      <c r="NF15" s="13" t="b">
        <f t="shared" ca="1" si="403"/>
        <v>0</v>
      </c>
      <c r="NG15" s="94">
        <f t="shared" si="178"/>
        <v>0</v>
      </c>
      <c r="NH15" s="13">
        <f t="shared" ca="1" si="179"/>
        <v>0</v>
      </c>
      <c r="NI15" s="13">
        <f t="shared" ca="1" si="404"/>
        <v>0</v>
      </c>
      <c r="NJ15" s="94">
        <f t="shared" si="180"/>
        <v>1</v>
      </c>
      <c r="NK15" s="13">
        <f t="shared" ca="1" si="181"/>
        <v>622.82027515328855</v>
      </c>
      <c r="NL15" s="13">
        <f t="shared" ca="1" si="182"/>
        <v>300</v>
      </c>
      <c r="NM15" s="13">
        <f t="shared" ca="1" si="405"/>
        <v>300</v>
      </c>
      <c r="NN15" s="13">
        <f t="shared" ca="1" si="183"/>
        <v>277.17972484671145</v>
      </c>
      <c r="NO15" s="13">
        <f t="shared" ca="1" si="184"/>
        <v>-322.82</v>
      </c>
      <c r="NP15" s="13">
        <f t="shared" ca="1" si="185"/>
        <v>0.46196620807785244</v>
      </c>
      <c r="NQ15" s="12">
        <f t="shared" ca="1" si="186"/>
        <v>277.17972484671145</v>
      </c>
      <c r="NR15" s="79"/>
      <c r="NS15" s="12">
        <f t="shared" ca="1" si="406"/>
        <v>277.17972484671145</v>
      </c>
      <c r="NT15" s="18">
        <f t="shared" ca="1" si="187"/>
        <v>0.46196620807785244</v>
      </c>
      <c r="NV15" s="19">
        <f t="shared" ca="1" si="188"/>
        <v>277.17972484671145</v>
      </c>
      <c r="NW15" s="19">
        <f ca="1">INDEX(Totals[[#Data],[#Totals],[Car - Note]:[NONTRACKED]],MATCH(NV$1,Totals[Date],0),MATCH($C15,Totals[[#Headers],[Car - Note]:[NONTRACKED]],0))</f>
        <v>-195.9</v>
      </c>
      <c r="NX15" s="19">
        <f t="shared" ca="1" si="407"/>
        <v>81.279724846711446</v>
      </c>
      <c r="NY15" s="19">
        <v>300</v>
      </c>
      <c r="NZ15" s="19">
        <v>600</v>
      </c>
      <c r="OA15" s="19" t="b">
        <f t="shared" ca="1" si="408"/>
        <v>0</v>
      </c>
      <c r="OB15" s="100">
        <f t="shared" si="189"/>
        <v>0</v>
      </c>
      <c r="OC15" s="19">
        <f t="shared" ca="1" si="190"/>
        <v>0</v>
      </c>
      <c r="OD15" s="19">
        <f t="shared" ca="1" si="409"/>
        <v>0</v>
      </c>
      <c r="OE15" s="100">
        <f t="shared" si="191"/>
        <v>1</v>
      </c>
      <c r="OF15" s="19">
        <f t="shared" ca="1" si="192"/>
        <v>518.72027515328853</v>
      </c>
      <c r="OG15" s="19">
        <f t="shared" ca="1" si="193"/>
        <v>300</v>
      </c>
      <c r="OH15" s="19">
        <f t="shared" ca="1" si="410"/>
        <v>231.3927456291035</v>
      </c>
      <c r="OI15" s="19">
        <f t="shared" ca="1" si="194"/>
        <v>312.67247047581498</v>
      </c>
      <c r="OJ15" s="19">
        <f t="shared" ca="1" si="195"/>
        <v>-287.33</v>
      </c>
      <c r="OK15" s="19">
        <f t="shared" ca="1" si="196"/>
        <v>0.52112078412635832</v>
      </c>
      <c r="OL15" s="12">
        <f t="shared" ca="1" si="197"/>
        <v>312.67247047581498</v>
      </c>
      <c r="OM15" s="79"/>
      <c r="ON15" s="12">
        <f t="shared" ca="1" si="411"/>
        <v>312.67247047581498</v>
      </c>
      <c r="OO15" s="18">
        <f t="shared" ca="1" si="198"/>
        <v>0.52112078412635832</v>
      </c>
      <c r="OQ15" s="11">
        <f t="shared" ca="1" si="199"/>
        <v>312.67247047581498</v>
      </c>
      <c r="OR15" s="11">
        <f ca="1">INDEX(Totals[[#Data],[#Totals],[Car - Note]:[NONTRACKED]],MATCH(OQ$1,Totals[Date],0),MATCH($C15,Totals[[#Headers],[Car - Note]:[NONTRACKED]],0))</f>
        <v>-163.16000000000003</v>
      </c>
      <c r="OS15" s="11">
        <f t="shared" ca="1" si="412"/>
        <v>149.51247047581495</v>
      </c>
      <c r="OT15" s="11">
        <v>300</v>
      </c>
      <c r="OU15" s="11">
        <v>600</v>
      </c>
      <c r="OV15" s="11" t="b">
        <f t="shared" ca="1" si="413"/>
        <v>0</v>
      </c>
      <c r="OW15" s="92">
        <f t="shared" si="200"/>
        <v>0</v>
      </c>
      <c r="OX15" s="11">
        <f t="shared" ca="1" si="201"/>
        <v>0</v>
      </c>
      <c r="OY15" s="11">
        <f t="shared" ca="1" si="414"/>
        <v>0</v>
      </c>
      <c r="OZ15" s="92">
        <f t="shared" si="202"/>
        <v>1</v>
      </c>
      <c r="PA15" s="11">
        <f t="shared" ca="1" si="203"/>
        <v>450.48752952418505</v>
      </c>
      <c r="PB15" s="11">
        <f t="shared" ca="1" si="204"/>
        <v>300</v>
      </c>
      <c r="PC15" s="11">
        <f t="shared" ca="1" si="415"/>
        <v>178.18666470138356</v>
      </c>
      <c r="PD15" s="11">
        <f t="shared" ca="1" si="205"/>
        <v>327.69913517719851</v>
      </c>
      <c r="PE15" s="11">
        <f t="shared" ca="1" si="206"/>
        <v>-272.3</v>
      </c>
      <c r="PF15" s="11">
        <f t="shared" ca="1" si="207"/>
        <v>0.54616522529533085</v>
      </c>
      <c r="PG15" s="12">
        <f t="shared" ca="1" si="208"/>
        <v>327.69913517719851</v>
      </c>
      <c r="PH15" s="79"/>
      <c r="PI15" s="12">
        <f t="shared" ca="1" si="416"/>
        <v>327.69913517719851</v>
      </c>
      <c r="PJ15" s="18">
        <f t="shared" ca="1" si="209"/>
        <v>0.54616522529533085</v>
      </c>
      <c r="PL15" s="13">
        <f t="shared" ca="1" si="210"/>
        <v>327.69913517719851</v>
      </c>
      <c r="PM15" s="13">
        <f ca="1">INDEX(Totals[[#Data],[#Totals],[Car - Note]:[NONTRACKED]],MATCH(PL$1,Totals[Date],0),MATCH($C15,Totals[[#Headers],[Car - Note]:[NONTRACKED]],0))</f>
        <v>-350.22</v>
      </c>
      <c r="PN15" s="13">
        <f t="shared" ca="1" si="417"/>
        <v>-22.520864822801514</v>
      </c>
      <c r="PO15" s="13">
        <v>300</v>
      </c>
      <c r="PP15" s="13">
        <v>600</v>
      </c>
      <c r="PQ15" s="13" t="b">
        <f t="shared" ca="1" si="418"/>
        <v>0</v>
      </c>
      <c r="PR15" s="94">
        <f t="shared" si="211"/>
        <v>0</v>
      </c>
      <c r="PS15" s="13">
        <f t="shared" ca="1" si="212"/>
        <v>0</v>
      </c>
      <c r="PT15" s="13">
        <f t="shared" ca="1" si="419"/>
        <v>0</v>
      </c>
      <c r="PU15" s="94">
        <f t="shared" si="213"/>
        <v>1</v>
      </c>
      <c r="PV15" s="13">
        <f t="shared" ca="1" si="214"/>
        <v>622.52086482280151</v>
      </c>
      <c r="PW15" s="13">
        <f t="shared" ca="1" si="215"/>
        <v>300</v>
      </c>
      <c r="PX15" s="13">
        <f t="shared" ca="1" si="420"/>
        <v>211.93424405030788</v>
      </c>
      <c r="PY15" s="13">
        <f t="shared" ca="1" si="216"/>
        <v>189.41337922750637</v>
      </c>
      <c r="PZ15" s="13">
        <f t="shared" ca="1" si="217"/>
        <v>-410.59</v>
      </c>
      <c r="QA15" s="13">
        <f t="shared" ca="1" si="218"/>
        <v>0.31568896537917729</v>
      </c>
      <c r="QB15" s="12">
        <f t="shared" ca="1" si="219"/>
        <v>189.41337922750637</v>
      </c>
      <c r="QC15" s="79"/>
      <c r="QD15" s="12">
        <f t="shared" ca="1" si="421"/>
        <v>189.41337922750637</v>
      </c>
      <c r="QE15" s="18">
        <f t="shared" ca="1" si="220"/>
        <v>0.31568896537917729</v>
      </c>
      <c r="QG15" s="19">
        <f t="shared" ca="1" si="221"/>
        <v>189.41337922750637</v>
      </c>
      <c r="QH15" s="19">
        <f ca="1">INDEX(Totals[[#Data],[#Totals],[Car - Note]:[NONTRACKED]],MATCH(QG$1,Totals[Date],0),MATCH($C15,Totals[[#Headers],[Car - Note]:[NONTRACKED]],0))</f>
        <v>-252.31000000000003</v>
      </c>
      <c r="QI15" s="19">
        <f t="shared" ca="1" si="422"/>
        <v>-62.896620772493662</v>
      </c>
      <c r="QJ15" s="19">
        <v>300</v>
      </c>
      <c r="QK15" s="19">
        <v>600</v>
      </c>
      <c r="QL15" s="19" t="b">
        <f t="shared" ca="1" si="423"/>
        <v>0</v>
      </c>
      <c r="QM15" s="100">
        <f t="shared" si="222"/>
        <v>0</v>
      </c>
      <c r="QN15" s="19">
        <f t="shared" ca="1" si="223"/>
        <v>0</v>
      </c>
      <c r="QO15" s="19">
        <f t="shared" ca="1" si="424"/>
        <v>0</v>
      </c>
      <c r="QP15" s="100">
        <f t="shared" si="224"/>
        <v>1</v>
      </c>
      <c r="QQ15" s="19">
        <f t="shared" ca="1" si="225"/>
        <v>662.89662077249363</v>
      </c>
      <c r="QR15" s="19">
        <f t="shared" ca="1" si="226"/>
        <v>300</v>
      </c>
      <c r="QS15" s="19">
        <f t="shared" ca="1" si="425"/>
        <v>209.61278642411958</v>
      </c>
      <c r="QT15" s="19">
        <f t="shared" ca="1" si="227"/>
        <v>146.71616565162591</v>
      </c>
      <c r="QU15" s="19">
        <f t="shared" ca="1" si="228"/>
        <v>-453.28</v>
      </c>
      <c r="QV15" s="19">
        <f t="shared" ca="1" si="229"/>
        <v>0.24452694275270986</v>
      </c>
      <c r="QW15" s="12">
        <f t="shared" ca="1" si="230"/>
        <v>146.71616565162591</v>
      </c>
      <c r="QX15" s="79"/>
      <c r="QY15" s="12">
        <f t="shared" ca="1" si="426"/>
        <v>146.71616565162591</v>
      </c>
      <c r="QZ15" s="18">
        <f t="shared" ca="1" si="231"/>
        <v>0.24452694275270986</v>
      </c>
      <c r="RB15" s="11">
        <f t="shared" ca="1" si="232"/>
        <v>146.71616565162591</v>
      </c>
      <c r="RC15" s="11">
        <f ca="1">INDEX(Totals[[#Data],[#Totals],[Car - Note]:[NONTRACKED]],MATCH(RB$1,Totals[Date],0),MATCH($C15,Totals[[#Headers],[Car - Note]:[NONTRACKED]],0))</f>
        <v>-221.92999999999995</v>
      </c>
      <c r="RD15" s="11">
        <f t="shared" ca="1" si="427"/>
        <v>-75.213834348374036</v>
      </c>
      <c r="RE15" s="11">
        <v>300</v>
      </c>
      <c r="RF15" s="11">
        <v>600</v>
      </c>
      <c r="RG15" s="11" t="b">
        <f t="shared" ca="1" si="428"/>
        <v>0</v>
      </c>
      <c r="RH15" s="92">
        <f t="shared" si="233"/>
        <v>0</v>
      </c>
      <c r="RI15" s="11">
        <f t="shared" ca="1" si="234"/>
        <v>0</v>
      </c>
      <c r="RJ15" s="11">
        <f t="shared" ca="1" si="429"/>
        <v>0</v>
      </c>
      <c r="RK15" s="92">
        <f t="shared" si="235"/>
        <v>1</v>
      </c>
      <c r="RL15" s="11">
        <f t="shared" ca="1" si="236"/>
        <v>675.21383434837401</v>
      </c>
      <c r="RM15" s="11">
        <f t="shared" ca="1" si="237"/>
        <v>300</v>
      </c>
      <c r="RN15" s="11">
        <f t="shared" ca="1" si="430"/>
        <v>176.35685312252346</v>
      </c>
      <c r="RO15" s="11">
        <f t="shared" ca="1" si="238"/>
        <v>101.14301877414943</v>
      </c>
      <c r="RP15" s="11">
        <f t="shared" ca="1" si="239"/>
        <v>-498.86</v>
      </c>
      <c r="RQ15" s="11">
        <f t="shared" ca="1" si="240"/>
        <v>0.16857169795691571</v>
      </c>
      <c r="RR15" s="12">
        <f t="shared" ca="1" si="241"/>
        <v>101.14301877414943</v>
      </c>
      <c r="RS15" s="79"/>
      <c r="RT15" s="12">
        <f t="shared" ca="1" si="431"/>
        <v>101.14301877414943</v>
      </c>
      <c r="RU15" s="18">
        <f t="shared" ca="1" si="242"/>
        <v>0.16857169795691571</v>
      </c>
      <c r="RW15" s="13">
        <f t="shared" ca="1" si="243"/>
        <v>101.14301877414943</v>
      </c>
      <c r="RX15" s="13">
        <f ca="1">INDEX(Totals[[#Data],[#Totals],[Car - Note]:[NONTRACKED]],MATCH(RW$1,Totals[Date],0),MATCH($C15,Totals[[#Headers],[Car - Note]:[NONTRACKED]],0))</f>
        <v>-205.6</v>
      </c>
      <c r="RY15" s="13">
        <f t="shared" ca="1" si="432"/>
        <v>-104.45698122585057</v>
      </c>
      <c r="RZ15" s="13">
        <v>300</v>
      </c>
      <c r="SA15" s="13">
        <v>600</v>
      </c>
      <c r="SB15" s="13" t="b">
        <f t="shared" ca="1" si="433"/>
        <v>0</v>
      </c>
      <c r="SC15" s="94">
        <f t="shared" si="244"/>
        <v>0</v>
      </c>
      <c r="SD15" s="13">
        <f t="shared" ca="1" si="245"/>
        <v>0</v>
      </c>
      <c r="SE15" s="13">
        <f t="shared" ca="1" si="434"/>
        <v>0</v>
      </c>
      <c r="SF15" s="94">
        <f t="shared" si="246"/>
        <v>1</v>
      </c>
      <c r="SG15" s="13">
        <f t="shared" ca="1" si="247"/>
        <v>704.45698122585054</v>
      </c>
      <c r="SH15" s="13">
        <f t="shared" ca="1" si="248"/>
        <v>300</v>
      </c>
      <c r="SI15" s="13">
        <f t="shared" ca="1" si="435"/>
        <v>263.28314414086714</v>
      </c>
      <c r="SJ15" s="13">
        <f t="shared" ca="1" si="249"/>
        <v>158.82616291501657</v>
      </c>
      <c r="SK15" s="13">
        <f t="shared" ca="1" si="250"/>
        <v>-441.17</v>
      </c>
      <c r="SL15" s="13">
        <f t="shared" ca="1" si="251"/>
        <v>0.26471027152502763</v>
      </c>
      <c r="SM15" s="12">
        <f t="shared" ca="1" si="252"/>
        <v>158.82616291501657</v>
      </c>
      <c r="SN15" s="79"/>
      <c r="SO15" s="12">
        <f t="shared" ca="1" si="436"/>
        <v>158.82616291501657</v>
      </c>
      <c r="SP15" s="18">
        <f t="shared" ca="1" si="253"/>
        <v>0.26471027152502763</v>
      </c>
      <c r="SR15" s="19">
        <f t="shared" ca="1" si="254"/>
        <v>158.82616291501657</v>
      </c>
      <c r="SS15" s="19">
        <f ca="1">INDEX(Totals[[#Data],[#Totals],[Car - Note]:[NONTRACKED]],MATCH(SR$1,Totals[Date],0),MATCH($C15,Totals[[#Headers],[Car - Note]:[NONTRACKED]],0))</f>
        <v>-154.13000000000002</v>
      </c>
      <c r="ST15" s="19">
        <f t="shared" ca="1" si="437"/>
        <v>4.6961629150165436</v>
      </c>
      <c r="SU15" s="19">
        <v>300</v>
      </c>
      <c r="SV15" s="19">
        <v>600</v>
      </c>
      <c r="SW15" s="19" t="b">
        <f t="shared" ca="1" si="438"/>
        <v>0</v>
      </c>
      <c r="SX15" s="100">
        <f t="shared" si="255"/>
        <v>0</v>
      </c>
      <c r="SY15" s="19">
        <f t="shared" ca="1" si="256"/>
        <v>0</v>
      </c>
      <c r="SZ15" s="19">
        <f t="shared" ca="1" si="439"/>
        <v>0</v>
      </c>
      <c r="TA15" s="100">
        <f t="shared" si="257"/>
        <v>1</v>
      </c>
      <c r="TB15" s="19">
        <f t="shared" ca="1" si="258"/>
        <v>595.30383708498346</v>
      </c>
      <c r="TC15" s="19">
        <f t="shared" ca="1" si="259"/>
        <v>300</v>
      </c>
      <c r="TD15" s="19">
        <f t="shared" ca="1" si="440"/>
        <v>217.98127715761305</v>
      </c>
      <c r="TE15" s="19">
        <f t="shared" ca="1" si="260"/>
        <v>222.67744007262959</v>
      </c>
      <c r="TF15" s="19">
        <f t="shared" ca="1" si="261"/>
        <v>-377.32</v>
      </c>
      <c r="TG15" s="19">
        <f t="shared" ca="1" si="262"/>
        <v>0.37112906678771601</v>
      </c>
      <c r="TH15" s="12">
        <f t="shared" ca="1" si="263"/>
        <v>222.67744007262959</v>
      </c>
      <c r="TI15" s="79"/>
      <c r="TJ15" s="12">
        <f t="shared" ca="1" si="441"/>
        <v>222.67744007262959</v>
      </c>
      <c r="TK15" s="18">
        <f t="shared" ca="1" si="264"/>
        <v>0.37112906678771601</v>
      </c>
      <c r="TM15" s="11">
        <f t="shared" ca="1" si="265"/>
        <v>222.67744007262959</v>
      </c>
      <c r="TN15" s="11">
        <f ca="1">INDEX(Totals[[#Data],[#Totals],[Car - Note]:[NONTRACKED]],MATCH(TM$1,Totals[Date],0),MATCH($C15,Totals[[#Headers],[Car - Note]:[NONTRACKED]],0))</f>
        <v>-116.35</v>
      </c>
      <c r="TO15" s="11">
        <f t="shared" ca="1" si="442"/>
        <v>106.3274400726296</v>
      </c>
      <c r="TP15" s="11">
        <v>300</v>
      </c>
      <c r="TQ15" s="11">
        <v>600</v>
      </c>
      <c r="TR15" s="11" t="b">
        <f t="shared" ca="1" si="443"/>
        <v>0</v>
      </c>
      <c r="TS15" s="92">
        <f t="shared" si="266"/>
        <v>0</v>
      </c>
      <c r="TT15" s="11">
        <f t="shared" ca="1" si="267"/>
        <v>0</v>
      </c>
      <c r="TU15" s="11">
        <f t="shared" ca="1" si="444"/>
        <v>0</v>
      </c>
      <c r="TV15" s="92">
        <f t="shared" si="268"/>
        <v>1</v>
      </c>
      <c r="TW15" s="11">
        <f t="shared" ca="1" si="269"/>
        <v>493.6725599273704</v>
      </c>
      <c r="TX15" s="11">
        <f t="shared" ca="1" si="270"/>
        <v>300</v>
      </c>
      <c r="TY15" s="11">
        <f t="shared" ca="1" si="445"/>
        <v>190.9523375064048</v>
      </c>
      <c r="TZ15" s="11">
        <f t="shared" ca="1" si="271"/>
        <v>297.27977757903443</v>
      </c>
      <c r="UA15" s="11">
        <f t="shared" ca="1" si="272"/>
        <v>-302.72000000000003</v>
      </c>
      <c r="UB15" s="11">
        <f t="shared" ca="1" si="273"/>
        <v>0.49546629596505737</v>
      </c>
      <c r="UC15" s="12">
        <f t="shared" ca="1" si="274"/>
        <v>297.27977757903443</v>
      </c>
      <c r="UD15" s="79"/>
      <c r="UE15" s="12">
        <f t="shared" ca="1" si="446"/>
        <v>297.27977757903443</v>
      </c>
      <c r="UF15" s="18">
        <f t="shared" ca="1" si="275"/>
        <v>0.49546629596505737</v>
      </c>
      <c r="UH15" s="13">
        <f t="shared" ca="1" si="276"/>
        <v>297.27977757903443</v>
      </c>
      <c r="UI15" s="13">
        <f ca="1">INDEX(Totals[[#Data],[#Totals],[Car - Note]:[NONTRACKED]],MATCH(UH$1,Totals[Date],0),MATCH($C15,Totals[[#Headers],[Car - Note]:[NONTRACKED]],0))</f>
        <v>-124.19999999999999</v>
      </c>
      <c r="UJ15" s="13">
        <f t="shared" ca="1" si="447"/>
        <v>173.07977757903444</v>
      </c>
      <c r="UK15" s="13">
        <v>300</v>
      </c>
      <c r="UL15" s="13">
        <v>600</v>
      </c>
      <c r="UM15" s="13" t="b">
        <f t="shared" ca="1" si="448"/>
        <v>0</v>
      </c>
      <c r="UN15" s="94">
        <f t="shared" si="277"/>
        <v>0</v>
      </c>
      <c r="UO15" s="13">
        <f t="shared" ca="1" si="278"/>
        <v>0</v>
      </c>
      <c r="UP15" s="13">
        <f t="shared" ca="1" si="449"/>
        <v>0</v>
      </c>
      <c r="UQ15" s="94">
        <f t="shared" si="279"/>
        <v>1</v>
      </c>
      <c r="UR15" s="13">
        <f t="shared" ca="1" si="280"/>
        <v>426.92022242096556</v>
      </c>
      <c r="US15" s="13">
        <f t="shared" ca="1" si="281"/>
        <v>300</v>
      </c>
      <c r="UT15" s="13">
        <f t="shared" ca="1" si="450"/>
        <v>300</v>
      </c>
      <c r="UU15" s="13">
        <f t="shared" ca="1" si="282"/>
        <v>473.07977757903444</v>
      </c>
      <c r="UV15" s="13">
        <f t="shared" ca="1" si="283"/>
        <v>-126.92</v>
      </c>
      <c r="UW15" s="13">
        <f t="shared" ca="1" si="284"/>
        <v>0.78846629596505735</v>
      </c>
      <c r="UX15" s="12">
        <f t="shared" ca="1" si="285"/>
        <v>473.07977757903444</v>
      </c>
      <c r="UY15" s="79"/>
      <c r="UZ15" s="12">
        <f t="shared" ca="1" si="451"/>
        <v>473.07977757903444</v>
      </c>
      <c r="VA15" s="18">
        <f t="shared" ca="1" si="286"/>
        <v>0.78846629596505735</v>
      </c>
      <c r="VC15" s="19">
        <f t="shared" ca="1" si="287"/>
        <v>473.07977757903444</v>
      </c>
      <c r="VD15" s="19">
        <f ca="1">INDEX(Totals[[#Data],[#Totals],[Car - Note]:[NONTRACKED]],MATCH(VC$1,Totals[Date],0),MATCH($C15,Totals[[#Headers],[Car - Note]:[NONTRACKED]],0))</f>
        <v>-77.55</v>
      </c>
      <c r="VE15" s="19">
        <f t="shared" ca="1" si="452"/>
        <v>395.52977757903443</v>
      </c>
      <c r="VF15" s="19">
        <v>300</v>
      </c>
      <c r="VG15" s="19">
        <v>600</v>
      </c>
      <c r="VH15" s="19" t="b">
        <f t="shared" ca="1" si="453"/>
        <v>0</v>
      </c>
      <c r="VI15" s="100">
        <f t="shared" si="288"/>
        <v>0</v>
      </c>
      <c r="VJ15" s="19">
        <f t="shared" ca="1" si="289"/>
        <v>0</v>
      </c>
      <c r="VK15" s="19">
        <f t="shared" ca="1" si="454"/>
        <v>0</v>
      </c>
      <c r="VL15" s="100">
        <f t="shared" si="290"/>
        <v>1</v>
      </c>
      <c r="VM15" s="19">
        <f t="shared" ca="1" si="291"/>
        <v>204.47022242096557</v>
      </c>
      <c r="VN15" s="19">
        <f t="shared" ca="1" si="292"/>
        <v>204.47022242096557</v>
      </c>
      <c r="VO15" s="19">
        <f t="shared" ca="1" si="455"/>
        <v>135.55132191707597</v>
      </c>
      <c r="VP15" s="19">
        <f t="shared" ca="1" si="293"/>
        <v>531.08109949611037</v>
      </c>
      <c r="VQ15" s="19">
        <f t="shared" ca="1" si="294"/>
        <v>-68.92</v>
      </c>
      <c r="VR15" s="19">
        <f t="shared" ca="1" si="295"/>
        <v>0.88513516582685059</v>
      </c>
      <c r="VS15" s="12">
        <f t="shared" ca="1" si="296"/>
        <v>531.08109949611037</v>
      </c>
      <c r="VT15" s="79"/>
      <c r="VU15" s="12">
        <f t="shared" ca="1" si="456"/>
        <v>531.08109949611037</v>
      </c>
      <c r="VV15" s="18">
        <f t="shared" ca="1" si="297"/>
        <v>0.88513516582685059</v>
      </c>
      <c r="VX15" s="11">
        <f t="shared" ca="1" si="298"/>
        <v>531.08109949611037</v>
      </c>
      <c r="VY15" s="11">
        <f ca="1">INDEX(Totals[[#Data],[#Totals],[Car - Note]:[NONTRACKED]],MATCH(VX$1,Totals[Date],0),MATCH($C15,Totals[[#Headers],[Car - Note]:[NONTRACKED]],0))</f>
        <v>-339</v>
      </c>
      <c r="VZ15" s="11">
        <f t="shared" ca="1" si="457"/>
        <v>192.08109949611037</v>
      </c>
      <c r="WA15" s="11">
        <v>300</v>
      </c>
      <c r="WB15" s="11">
        <v>600</v>
      </c>
      <c r="WC15" s="11" t="b">
        <f t="shared" ca="1" si="458"/>
        <v>0</v>
      </c>
      <c r="WD15" s="92">
        <f t="shared" si="299"/>
        <v>0</v>
      </c>
      <c r="WE15" s="11">
        <f t="shared" ca="1" si="300"/>
        <v>0</v>
      </c>
      <c r="WF15" s="11">
        <f t="shared" ca="1" si="459"/>
        <v>0</v>
      </c>
      <c r="WG15" s="92">
        <f t="shared" si="301"/>
        <v>1</v>
      </c>
      <c r="WH15" s="11">
        <f t="shared" ca="1" si="302"/>
        <v>407.91890050388963</v>
      </c>
      <c r="WI15" s="11">
        <f t="shared" ca="1" si="303"/>
        <v>300</v>
      </c>
      <c r="WJ15" s="11">
        <f t="shared" ca="1" si="460"/>
        <v>179.15709778908465</v>
      </c>
      <c r="WK15" s="11">
        <f t="shared" ca="1" si="304"/>
        <v>371.23819728519504</v>
      </c>
      <c r="WL15" s="11">
        <f t="shared" ca="1" si="305"/>
        <v>-228.76</v>
      </c>
      <c r="WM15" s="11">
        <f t="shared" ca="1" si="306"/>
        <v>0.61873032880865841</v>
      </c>
      <c r="WN15" s="12">
        <f t="shared" ca="1" si="307"/>
        <v>371.23819728519504</v>
      </c>
      <c r="WO15" s="79"/>
      <c r="WP15" s="12">
        <f t="shared" ca="1" si="461"/>
        <v>371.23819728519504</v>
      </c>
      <c r="WQ15" s="18">
        <f t="shared" ca="1" si="308"/>
        <v>0.61873032880865841</v>
      </c>
      <c r="WS15" s="13">
        <f t="shared" ca="1" si="309"/>
        <v>371.23819728519504</v>
      </c>
      <c r="WT15" s="13">
        <f ca="1">INDEX(Totals[[#Data],[#Totals],[Car - Note]:[NONTRACKED]],MATCH(WS$1,Totals[Date],0),MATCH($C15,Totals[[#Headers],[Car - Note]:[NONTRACKED]],0))</f>
        <v>-119.18</v>
      </c>
      <c r="WU15" s="13">
        <f t="shared" ca="1" si="462"/>
        <v>252.05819728519504</v>
      </c>
      <c r="WV15" s="13">
        <v>300</v>
      </c>
      <c r="WW15" s="13">
        <v>600</v>
      </c>
      <c r="WX15" s="13" t="b">
        <f t="shared" ca="1" si="463"/>
        <v>0</v>
      </c>
      <c r="WY15" s="94">
        <f t="shared" si="310"/>
        <v>0</v>
      </c>
      <c r="WZ15" s="13">
        <f t="shared" ca="1" si="311"/>
        <v>0</v>
      </c>
      <c r="XA15" s="13">
        <f t="shared" ca="1" si="464"/>
        <v>0</v>
      </c>
      <c r="XB15" s="94">
        <f t="shared" si="312"/>
        <v>1</v>
      </c>
      <c r="XC15" s="13">
        <f t="shared" ca="1" si="313"/>
        <v>347.94180271480496</v>
      </c>
      <c r="XD15" s="13">
        <f t="shared" ca="1" si="314"/>
        <v>300</v>
      </c>
      <c r="XE15" s="13">
        <f t="shared" ca="1" si="465"/>
        <v>284.13478860159182</v>
      </c>
      <c r="XF15" s="13">
        <f t="shared" ca="1" si="315"/>
        <v>536.1929858867868</v>
      </c>
      <c r="XG15" s="13">
        <f t="shared" ca="1" si="316"/>
        <v>-63.81</v>
      </c>
      <c r="XH15" s="13">
        <f t="shared" ca="1" si="317"/>
        <v>0.89365497647797798</v>
      </c>
      <c r="XI15" s="12">
        <f t="shared" ca="1" si="318"/>
        <v>536.1929858867868</v>
      </c>
      <c r="XJ15" s="104">
        <f t="shared" ca="1" si="471"/>
        <v>63.807014113213199</v>
      </c>
      <c r="XK15" s="12">
        <f t="shared" ca="1" si="466"/>
        <v>600</v>
      </c>
      <c r="XL15" s="18">
        <f t="shared" ca="1" si="320"/>
        <v>1</v>
      </c>
      <c r="XN15">
        <v>0.25</v>
      </c>
      <c r="XO15" s="103">
        <f t="shared" ca="1" si="467"/>
        <v>92.809549321298761</v>
      </c>
      <c r="XP15" s="12">
        <f t="shared" ca="1" si="468"/>
        <v>278.42864796389631</v>
      </c>
      <c r="XQ15" s="102">
        <f t="shared" ca="1" si="469"/>
        <v>0.46404774660649384</v>
      </c>
    </row>
    <row r="16" spans="1:641" x14ac:dyDescent="0.25">
      <c r="A16" s="112"/>
      <c r="B16" t="s">
        <v>45</v>
      </c>
      <c r="C16" t="s">
        <v>28</v>
      </c>
      <c r="D16" s="79">
        <v>-1700</v>
      </c>
      <c r="E16" t="b">
        <f>TRUE</f>
        <v>1</v>
      </c>
      <c r="H16" s="48">
        <v>0</v>
      </c>
      <c r="I16" s="48"/>
      <c r="J16" s="48"/>
      <c r="K16" s="48" t="s">
        <v>198</v>
      </c>
      <c r="L16" s="95">
        <v>0</v>
      </c>
      <c r="M16" s="48"/>
      <c r="N16" s="96"/>
      <c r="O16" s="48"/>
      <c r="P16" s="48"/>
      <c r="Q16" s="96"/>
      <c r="R16" s="48"/>
      <c r="S16" s="48"/>
      <c r="T16" s="48"/>
      <c r="U16" s="48"/>
      <c r="V16" s="48"/>
      <c r="W16" s="48"/>
      <c r="X16" s="48"/>
      <c r="Y16" s="48"/>
      <c r="Z16" s="48">
        <f t="shared" si="321"/>
        <v>0</v>
      </c>
      <c r="AA16" s="98" t="str">
        <f t="shared" si="0"/>
        <v>NA</v>
      </c>
      <c r="AC16" s="11">
        <f t="shared" si="1"/>
        <v>0</v>
      </c>
      <c r="AD16" s="11">
        <f ca="1">INDEX(Totals[[#Data],[#Totals],[Car - Note]:[NONTRACKED]],MATCH(AC$1,Totals[Date],0),MATCH($C16,Totals[[#Headers],[Car - Note]:[NONTRACKED]],0))</f>
        <v>0</v>
      </c>
      <c r="AE16" s="11">
        <f t="shared" ca="1" si="322"/>
        <v>0</v>
      </c>
      <c r="AF16" s="11" t="s">
        <v>198</v>
      </c>
      <c r="AG16" s="11">
        <v>700</v>
      </c>
      <c r="AH16" s="11" t="b">
        <f t="shared" ca="1" si="323"/>
        <v>0</v>
      </c>
      <c r="AI16" s="92">
        <f t="shared" si="2"/>
        <v>1</v>
      </c>
      <c r="AJ16" s="11">
        <f t="shared" ca="1" si="3"/>
        <v>700</v>
      </c>
      <c r="AK16" s="11">
        <f t="shared" ca="1" si="324"/>
        <v>699.99999999999989</v>
      </c>
      <c r="AL16" s="92">
        <f t="shared" si="4"/>
        <v>0</v>
      </c>
      <c r="AM16" s="11">
        <f t="shared" ca="1" si="5"/>
        <v>0</v>
      </c>
      <c r="AN16" s="11">
        <f t="shared" ca="1" si="6"/>
        <v>0</v>
      </c>
      <c r="AO16" s="11">
        <f t="shared" ca="1" si="325"/>
        <v>0</v>
      </c>
      <c r="AP16" s="11">
        <f t="shared" ca="1" si="7"/>
        <v>699.99999999999989</v>
      </c>
      <c r="AQ16" s="11">
        <f t="shared" ca="1" si="8"/>
        <v>0</v>
      </c>
      <c r="AR16" s="11">
        <f t="shared" ca="1" si="9"/>
        <v>0.99999999999999989</v>
      </c>
      <c r="AS16" s="12">
        <f t="shared" ca="1" si="10"/>
        <v>699.99999999999989</v>
      </c>
      <c r="AT16" s="12"/>
      <c r="AU16" s="12">
        <f t="shared" ca="1" si="326"/>
        <v>699.99999999999989</v>
      </c>
      <c r="AV16" s="18">
        <f t="shared" ca="1" si="11"/>
        <v>0.99999999999999989</v>
      </c>
      <c r="AX16" s="13">
        <f t="shared" ca="1" si="12"/>
        <v>699.99999999999989</v>
      </c>
      <c r="AY16" s="13">
        <f ca="1">INDEX(Totals[[#Data],[#Totals],[Car - Note]:[NONTRACKED]],MATCH(AX$1,Totals[Date],0),MATCH($C16,Totals[[#Headers],[Car - Note]:[NONTRACKED]],0))</f>
        <v>-660.22500000000002</v>
      </c>
      <c r="AZ16" s="13">
        <f t="shared" ca="1" si="327"/>
        <v>39.774999999999864</v>
      </c>
      <c r="BA16" s="13" t="s">
        <v>198</v>
      </c>
      <c r="BB16" s="13">
        <v>1700</v>
      </c>
      <c r="BC16" s="13" t="b">
        <f t="shared" ca="1" si="328"/>
        <v>0</v>
      </c>
      <c r="BD16" s="94">
        <f t="shared" si="13"/>
        <v>1</v>
      </c>
      <c r="BE16" s="13">
        <f t="shared" ca="1" si="14"/>
        <v>1660.2250000000001</v>
      </c>
      <c r="BF16" s="13">
        <f t="shared" ca="1" si="329"/>
        <v>1660.2250000000001</v>
      </c>
      <c r="BG16" s="94">
        <f t="shared" si="15"/>
        <v>0</v>
      </c>
      <c r="BH16" s="13">
        <f t="shared" ca="1" si="16"/>
        <v>0</v>
      </c>
      <c r="BI16" s="13">
        <f t="shared" ca="1" si="17"/>
        <v>0</v>
      </c>
      <c r="BJ16" s="13">
        <f t="shared" ca="1" si="330"/>
        <v>0</v>
      </c>
      <c r="BK16" s="13">
        <f t="shared" ca="1" si="18"/>
        <v>1700</v>
      </c>
      <c r="BL16" s="13">
        <f t="shared" ca="1" si="19"/>
        <v>0</v>
      </c>
      <c r="BM16" s="13">
        <f t="shared" ca="1" si="20"/>
        <v>1</v>
      </c>
      <c r="BN16" s="12">
        <f t="shared" ca="1" si="21"/>
        <v>1700</v>
      </c>
      <c r="BO16" s="12"/>
      <c r="BP16" s="12">
        <f t="shared" ca="1" si="331"/>
        <v>1700</v>
      </c>
      <c r="BQ16" s="18">
        <f t="shared" ca="1" si="22"/>
        <v>1</v>
      </c>
      <c r="BS16" s="19">
        <f t="shared" ca="1" si="23"/>
        <v>1700</v>
      </c>
      <c r="BT16" s="19">
        <f ca="1">INDEX(Totals[[#Data],[#Totals],[Car - Note]:[NONTRACKED]],MATCH(BS$1,Totals[Date],0),MATCH($C16,Totals[[#Headers],[Car - Note]:[NONTRACKED]],0))</f>
        <v>-992.02499999999998</v>
      </c>
      <c r="BU16" s="19">
        <f t="shared" ca="1" si="332"/>
        <v>707.97500000000002</v>
      </c>
      <c r="BV16" s="19" t="s">
        <v>198</v>
      </c>
      <c r="BW16" s="19">
        <v>1700</v>
      </c>
      <c r="BX16" s="19" t="b">
        <f t="shared" ca="1" si="333"/>
        <v>0</v>
      </c>
      <c r="BY16" s="100">
        <f t="shared" si="24"/>
        <v>1</v>
      </c>
      <c r="BZ16" s="19">
        <f t="shared" ca="1" si="25"/>
        <v>992.02499999999998</v>
      </c>
      <c r="CA16" s="19">
        <f t="shared" ca="1" si="334"/>
        <v>992.02499999999998</v>
      </c>
      <c r="CB16" s="100">
        <f t="shared" si="26"/>
        <v>0</v>
      </c>
      <c r="CC16" s="19">
        <f t="shared" ca="1" si="27"/>
        <v>0</v>
      </c>
      <c r="CD16" s="19">
        <f t="shared" ca="1" si="28"/>
        <v>0</v>
      </c>
      <c r="CE16" s="19">
        <f t="shared" ca="1" si="335"/>
        <v>0</v>
      </c>
      <c r="CF16" s="19">
        <f t="shared" ca="1" si="29"/>
        <v>1700</v>
      </c>
      <c r="CG16" s="19">
        <f t="shared" ca="1" si="30"/>
        <v>0</v>
      </c>
      <c r="CH16" s="19">
        <f t="shared" ca="1" si="31"/>
        <v>1</v>
      </c>
      <c r="CI16" s="12">
        <f t="shared" ca="1" si="32"/>
        <v>1700</v>
      </c>
      <c r="CJ16" s="79"/>
      <c r="CK16" s="12">
        <f t="shared" ca="1" si="336"/>
        <v>1700</v>
      </c>
      <c r="CL16" s="18">
        <f t="shared" ca="1" si="33"/>
        <v>1</v>
      </c>
      <c r="CN16" s="11">
        <f t="shared" ca="1" si="34"/>
        <v>1700</v>
      </c>
      <c r="CO16" s="11">
        <f ca="1">INDEX(Totals[[#Data],[#Totals],[Car - Note]:[NONTRACKED]],MATCH(CN$1,Totals[Date],0),MATCH($C16,Totals[[#Headers],[Car - Note]:[NONTRACKED]],0))</f>
        <v>-1430.76</v>
      </c>
      <c r="CP16" s="11">
        <f t="shared" ca="1" si="337"/>
        <v>269.24</v>
      </c>
      <c r="CQ16" s="11" t="s">
        <v>198</v>
      </c>
      <c r="CR16" s="11">
        <v>2000</v>
      </c>
      <c r="CS16" s="11" t="b">
        <f t="shared" ca="1" si="338"/>
        <v>0</v>
      </c>
      <c r="CT16" s="92">
        <f t="shared" si="35"/>
        <v>1</v>
      </c>
      <c r="CU16" s="11">
        <f t="shared" ca="1" si="36"/>
        <v>1730.76</v>
      </c>
      <c r="CV16" s="11">
        <f t="shared" ca="1" si="339"/>
        <v>1730.76</v>
      </c>
      <c r="CW16" s="92">
        <f t="shared" si="37"/>
        <v>0</v>
      </c>
      <c r="CX16" s="11">
        <f t="shared" ca="1" si="38"/>
        <v>0</v>
      </c>
      <c r="CY16" s="11">
        <f t="shared" ca="1" si="39"/>
        <v>0</v>
      </c>
      <c r="CZ16" s="11">
        <f t="shared" ca="1" si="340"/>
        <v>0</v>
      </c>
      <c r="DA16" s="11">
        <f t="shared" ca="1" si="40"/>
        <v>2000</v>
      </c>
      <c r="DB16" s="11">
        <f t="shared" ca="1" si="41"/>
        <v>0</v>
      </c>
      <c r="DC16" s="11">
        <f t="shared" ca="1" si="42"/>
        <v>1</v>
      </c>
      <c r="DD16" s="12">
        <f t="shared" ca="1" si="43"/>
        <v>2000</v>
      </c>
      <c r="DE16" s="79"/>
      <c r="DF16" s="12">
        <f t="shared" ca="1" si="341"/>
        <v>2000</v>
      </c>
      <c r="DG16" s="18">
        <f t="shared" ca="1" si="44"/>
        <v>1</v>
      </c>
      <c r="DI16" s="13">
        <f t="shared" ca="1" si="45"/>
        <v>2000</v>
      </c>
      <c r="DJ16" s="13">
        <f ca="1">INDEX(Totals[[#Data],[#Totals],[Car - Note]:[NONTRACKED]],MATCH(DI$1,Totals[Date],0),MATCH($C16,Totals[[#Headers],[Car - Note]:[NONTRACKED]],0))</f>
        <v>-1466.65</v>
      </c>
      <c r="DK16" s="13">
        <f t="shared" ca="1" si="342"/>
        <v>533.34999999999991</v>
      </c>
      <c r="DL16" s="13" t="s">
        <v>198</v>
      </c>
      <c r="DM16" s="13">
        <v>2000</v>
      </c>
      <c r="DN16" s="13" t="b">
        <f t="shared" ca="1" si="343"/>
        <v>0</v>
      </c>
      <c r="DO16" s="94">
        <f t="shared" si="46"/>
        <v>1</v>
      </c>
      <c r="DP16" s="13">
        <f t="shared" ca="1" si="47"/>
        <v>1466.65</v>
      </c>
      <c r="DQ16" s="13">
        <f t="shared" ca="1" si="344"/>
        <v>1466.65</v>
      </c>
      <c r="DR16" s="94">
        <f t="shared" si="48"/>
        <v>0</v>
      </c>
      <c r="DS16" s="13">
        <f t="shared" ca="1" si="49"/>
        <v>0</v>
      </c>
      <c r="DT16" s="13">
        <f t="shared" ca="1" si="50"/>
        <v>0</v>
      </c>
      <c r="DU16" s="13">
        <f t="shared" ca="1" si="345"/>
        <v>0</v>
      </c>
      <c r="DV16" s="13">
        <f t="shared" ca="1" si="51"/>
        <v>2000</v>
      </c>
      <c r="DW16" s="13">
        <f t="shared" ca="1" si="52"/>
        <v>0</v>
      </c>
      <c r="DX16" s="13">
        <f t="shared" ca="1" si="53"/>
        <v>1</v>
      </c>
      <c r="DY16" s="12">
        <f t="shared" ca="1" si="54"/>
        <v>2000</v>
      </c>
      <c r="DZ16" s="79"/>
      <c r="EA16" s="12">
        <f t="shared" ca="1" si="346"/>
        <v>2000</v>
      </c>
      <c r="EB16" s="18">
        <f t="shared" ca="1" si="55"/>
        <v>1</v>
      </c>
      <c r="ED16" s="19">
        <f t="shared" ca="1" si="56"/>
        <v>2000</v>
      </c>
      <c r="EE16" s="19">
        <f ca="1">INDEX(Totals[[#Data],[#Totals],[Car - Note]:[NONTRACKED]],MATCH(ED$1,Totals[Date],0),MATCH($C16,Totals[[#Headers],[Car - Note]:[NONTRACKED]],0))</f>
        <v>-1430.77</v>
      </c>
      <c r="EF16" s="19">
        <f t="shared" ca="1" si="347"/>
        <v>569.23</v>
      </c>
      <c r="EG16" s="19" t="s">
        <v>198</v>
      </c>
      <c r="EH16" s="19">
        <v>2000</v>
      </c>
      <c r="EI16" s="19" t="b">
        <f t="shared" ca="1" si="348"/>
        <v>0</v>
      </c>
      <c r="EJ16" s="100">
        <f t="shared" si="57"/>
        <v>1</v>
      </c>
      <c r="EK16" s="19">
        <f t="shared" ca="1" si="58"/>
        <v>1430.77</v>
      </c>
      <c r="EL16" s="19">
        <f t="shared" ca="1" si="349"/>
        <v>1430.77</v>
      </c>
      <c r="EM16" s="100">
        <f t="shared" si="59"/>
        <v>0</v>
      </c>
      <c r="EN16" s="19">
        <f t="shared" ca="1" si="60"/>
        <v>0</v>
      </c>
      <c r="EO16" s="19">
        <f t="shared" ca="1" si="61"/>
        <v>0</v>
      </c>
      <c r="EP16" s="19">
        <f t="shared" ca="1" si="350"/>
        <v>0</v>
      </c>
      <c r="EQ16" s="19">
        <f t="shared" ca="1" si="62"/>
        <v>2000</v>
      </c>
      <c r="ER16" s="19">
        <f t="shared" ca="1" si="63"/>
        <v>0</v>
      </c>
      <c r="ES16" s="19">
        <f t="shared" ca="1" si="64"/>
        <v>1</v>
      </c>
      <c r="ET16" s="12">
        <f t="shared" ca="1" si="65"/>
        <v>2000</v>
      </c>
      <c r="EU16" s="79"/>
      <c r="EV16" s="12">
        <f t="shared" ca="1" si="351"/>
        <v>2000</v>
      </c>
      <c r="EW16" s="18">
        <f t="shared" ca="1" si="66"/>
        <v>1</v>
      </c>
      <c r="EY16" s="11">
        <f t="shared" ca="1" si="67"/>
        <v>2000</v>
      </c>
      <c r="EZ16" s="11">
        <f ca="1">INDEX(Totals[[#Data],[#Totals],[Car - Note]:[NONTRACKED]],MATCH(EY$1,Totals[Date],0),MATCH($C16,Totals[[#Headers],[Car - Note]:[NONTRACKED]],0))</f>
        <v>-1574.58</v>
      </c>
      <c r="FA16" s="11">
        <f t="shared" ca="1" si="352"/>
        <v>425.42000000000007</v>
      </c>
      <c r="FB16" s="11" t="s">
        <v>198</v>
      </c>
      <c r="FC16" s="11">
        <v>2000</v>
      </c>
      <c r="FD16" s="11" t="b">
        <f t="shared" ca="1" si="353"/>
        <v>0</v>
      </c>
      <c r="FE16" s="92">
        <f t="shared" si="68"/>
        <v>1</v>
      </c>
      <c r="FF16" s="11">
        <f t="shared" ca="1" si="69"/>
        <v>1574.58</v>
      </c>
      <c r="FG16" s="11">
        <f t="shared" ca="1" si="354"/>
        <v>1574.58</v>
      </c>
      <c r="FH16" s="92">
        <f t="shared" si="70"/>
        <v>0</v>
      </c>
      <c r="FI16" s="11">
        <f t="shared" ca="1" si="71"/>
        <v>0</v>
      </c>
      <c r="FJ16" s="11">
        <f t="shared" ca="1" si="72"/>
        <v>0</v>
      </c>
      <c r="FK16" s="11">
        <f t="shared" ca="1" si="355"/>
        <v>0</v>
      </c>
      <c r="FL16" s="11">
        <f t="shared" ca="1" si="73"/>
        <v>2000</v>
      </c>
      <c r="FM16" s="11">
        <f t="shared" ca="1" si="74"/>
        <v>0</v>
      </c>
      <c r="FN16" s="11">
        <f t="shared" ca="1" si="75"/>
        <v>1</v>
      </c>
      <c r="FO16" s="12">
        <f t="shared" ca="1" si="76"/>
        <v>2000</v>
      </c>
      <c r="FP16" s="79"/>
      <c r="FQ16" s="12">
        <f t="shared" ca="1" si="356"/>
        <v>2000</v>
      </c>
      <c r="FR16" s="18">
        <f t="shared" ca="1" si="77"/>
        <v>1</v>
      </c>
      <c r="FT16" s="13">
        <f t="shared" ca="1" si="78"/>
        <v>2000</v>
      </c>
      <c r="FU16" s="13">
        <f ca="1">INDEX(Totals[[#Data],[#Totals],[Car - Note]:[NONTRACKED]],MATCH(FT$1,Totals[Date],0),MATCH($C16,Totals[[#Headers],[Car - Note]:[NONTRACKED]],0))</f>
        <v>-1566.22</v>
      </c>
      <c r="FV16" s="13">
        <f t="shared" ca="1" si="357"/>
        <v>433.78</v>
      </c>
      <c r="FW16" s="13" t="s">
        <v>198</v>
      </c>
      <c r="FX16" s="13">
        <v>2000</v>
      </c>
      <c r="FY16" s="13" t="b">
        <f t="shared" ca="1" si="358"/>
        <v>0</v>
      </c>
      <c r="FZ16" s="94">
        <f t="shared" si="79"/>
        <v>1</v>
      </c>
      <c r="GA16" s="13">
        <f t="shared" ca="1" si="80"/>
        <v>1566.22</v>
      </c>
      <c r="GB16" s="13">
        <f t="shared" ca="1" si="359"/>
        <v>1566.22</v>
      </c>
      <c r="GC16" s="94">
        <f t="shared" si="81"/>
        <v>0</v>
      </c>
      <c r="GD16" s="13">
        <f t="shared" ca="1" si="82"/>
        <v>0</v>
      </c>
      <c r="GE16" s="13">
        <f t="shared" ca="1" si="83"/>
        <v>0</v>
      </c>
      <c r="GF16" s="13">
        <f t="shared" ca="1" si="360"/>
        <v>0</v>
      </c>
      <c r="GG16" s="13">
        <f t="shared" ca="1" si="84"/>
        <v>2000</v>
      </c>
      <c r="GH16" s="13">
        <f t="shared" ca="1" si="85"/>
        <v>0</v>
      </c>
      <c r="GI16" s="13">
        <f t="shared" ca="1" si="86"/>
        <v>1</v>
      </c>
      <c r="GJ16" s="12">
        <f t="shared" ca="1" si="87"/>
        <v>2000</v>
      </c>
      <c r="GK16" s="79"/>
      <c r="GL16" s="12">
        <f t="shared" ca="1" si="361"/>
        <v>2000</v>
      </c>
      <c r="GM16" s="18">
        <f t="shared" ca="1" si="88"/>
        <v>1</v>
      </c>
      <c r="GO16" s="19">
        <f t="shared" ca="1" si="89"/>
        <v>2000</v>
      </c>
      <c r="GP16" s="19">
        <f ca="1">INDEX(Totals[[#Data],[#Totals],[Car - Note]:[NONTRACKED]],MATCH(GO$1,Totals[Date],0),MATCH($C16,Totals[[#Headers],[Car - Note]:[NONTRACKED]],0))</f>
        <v>-1609.51</v>
      </c>
      <c r="GQ16" s="19">
        <f t="shared" ca="1" si="362"/>
        <v>390.49</v>
      </c>
      <c r="GR16" s="19" t="s">
        <v>198</v>
      </c>
      <c r="GS16" s="19">
        <v>2000</v>
      </c>
      <c r="GT16" s="19" t="b">
        <f t="shared" ca="1" si="363"/>
        <v>0</v>
      </c>
      <c r="GU16" s="100">
        <f t="shared" si="90"/>
        <v>1</v>
      </c>
      <c r="GV16" s="19">
        <f t="shared" ca="1" si="91"/>
        <v>1609.51</v>
      </c>
      <c r="GW16" s="19">
        <f t="shared" ca="1" si="364"/>
        <v>1609.5100000000002</v>
      </c>
      <c r="GX16" s="100">
        <f t="shared" si="92"/>
        <v>0</v>
      </c>
      <c r="GY16" s="19">
        <f t="shared" ca="1" si="93"/>
        <v>0</v>
      </c>
      <c r="GZ16" s="19">
        <f t="shared" ca="1" si="94"/>
        <v>0</v>
      </c>
      <c r="HA16" s="19">
        <f t="shared" ca="1" si="365"/>
        <v>0</v>
      </c>
      <c r="HB16" s="19">
        <f t="shared" ca="1" si="95"/>
        <v>2000.0000000000002</v>
      </c>
      <c r="HC16" s="19">
        <f t="shared" ca="1" si="96"/>
        <v>0</v>
      </c>
      <c r="HD16" s="19">
        <f t="shared" ca="1" si="97"/>
        <v>1.0000000000000002</v>
      </c>
      <c r="HE16" s="12">
        <f t="shared" ca="1" si="98"/>
        <v>2000.0000000000002</v>
      </c>
      <c r="HF16" s="79"/>
      <c r="HG16" s="12">
        <f t="shared" ca="1" si="366"/>
        <v>2000.0000000000002</v>
      </c>
      <c r="HH16" s="18">
        <f t="shared" ca="1" si="99"/>
        <v>1.0000000000000002</v>
      </c>
      <c r="HJ16" s="11">
        <f t="shared" ca="1" si="100"/>
        <v>2000.0000000000002</v>
      </c>
      <c r="HK16" s="11">
        <f ca="1">INDEX(Totals[[#Data],[#Totals],[Car - Note]:[NONTRACKED]],MATCH(HJ$1,Totals[Date],0),MATCH($C16,Totals[[#Headers],[Car - Note]:[NONTRACKED]],0))</f>
        <v>-1564.74</v>
      </c>
      <c r="HL16" s="11">
        <f t="shared" ca="1" si="367"/>
        <v>435.26000000000022</v>
      </c>
      <c r="HM16" s="11" t="s">
        <v>198</v>
      </c>
      <c r="HN16" s="11">
        <v>2000</v>
      </c>
      <c r="HO16" s="11" t="b">
        <f t="shared" ca="1" si="368"/>
        <v>0</v>
      </c>
      <c r="HP16" s="92">
        <f t="shared" si="101"/>
        <v>1</v>
      </c>
      <c r="HQ16" s="11">
        <f t="shared" ca="1" si="102"/>
        <v>1564.7399999999998</v>
      </c>
      <c r="HR16" s="11">
        <f t="shared" ca="1" si="369"/>
        <v>1564.7399999999998</v>
      </c>
      <c r="HS16" s="92">
        <f t="shared" si="103"/>
        <v>0</v>
      </c>
      <c r="HT16" s="11">
        <f t="shared" ca="1" si="104"/>
        <v>0</v>
      </c>
      <c r="HU16" s="11">
        <f t="shared" ca="1" si="105"/>
        <v>0</v>
      </c>
      <c r="HV16" s="11">
        <f t="shared" ca="1" si="370"/>
        <v>0</v>
      </c>
      <c r="HW16" s="11">
        <f t="shared" ca="1" si="106"/>
        <v>2000</v>
      </c>
      <c r="HX16" s="11">
        <f t="shared" ca="1" si="107"/>
        <v>0</v>
      </c>
      <c r="HY16" s="11">
        <f t="shared" ca="1" si="108"/>
        <v>1</v>
      </c>
      <c r="HZ16" s="12">
        <f t="shared" ca="1" si="109"/>
        <v>2000</v>
      </c>
      <c r="IA16" s="79"/>
      <c r="IB16" s="12">
        <f t="shared" ca="1" si="371"/>
        <v>2000</v>
      </c>
      <c r="IC16" s="18">
        <f t="shared" ca="1" si="110"/>
        <v>1</v>
      </c>
      <c r="IE16" s="13">
        <f t="shared" ca="1" si="111"/>
        <v>2000</v>
      </c>
      <c r="IF16" s="13">
        <f ca="1">INDEX(Totals[[#Data],[#Totals],[Car - Note]:[NONTRACKED]],MATCH(IE$1,Totals[Date],0),MATCH($C16,Totals[[#Headers],[Car - Note]:[NONTRACKED]],0))</f>
        <v>-1566.77</v>
      </c>
      <c r="IG16" s="13">
        <f t="shared" ca="1" si="372"/>
        <v>433.23</v>
      </c>
      <c r="IH16" s="13" t="s">
        <v>198</v>
      </c>
      <c r="II16" s="13">
        <v>2000</v>
      </c>
      <c r="IJ16" s="13" t="b">
        <f t="shared" ca="1" si="373"/>
        <v>0</v>
      </c>
      <c r="IK16" s="94">
        <f t="shared" si="112"/>
        <v>1</v>
      </c>
      <c r="IL16" s="13">
        <f t="shared" ca="1" si="113"/>
        <v>1566.77</v>
      </c>
      <c r="IM16" s="13">
        <f t="shared" ca="1" si="374"/>
        <v>1566.7700000000002</v>
      </c>
      <c r="IN16" s="94">
        <f t="shared" si="114"/>
        <v>0</v>
      </c>
      <c r="IO16" s="13">
        <f t="shared" ca="1" si="115"/>
        <v>0</v>
      </c>
      <c r="IP16" s="13">
        <f t="shared" ca="1" si="116"/>
        <v>0</v>
      </c>
      <c r="IQ16" s="13">
        <f t="shared" ca="1" si="375"/>
        <v>0</v>
      </c>
      <c r="IR16" s="13">
        <f t="shared" ca="1" si="117"/>
        <v>2000.0000000000002</v>
      </c>
      <c r="IS16" s="13">
        <f t="shared" ca="1" si="118"/>
        <v>0</v>
      </c>
      <c r="IT16" s="13">
        <f t="shared" ca="1" si="119"/>
        <v>1.0000000000000002</v>
      </c>
      <c r="IU16" s="12">
        <f t="shared" ca="1" si="120"/>
        <v>2000.0000000000002</v>
      </c>
      <c r="IV16" s="79"/>
      <c r="IW16" s="12">
        <f t="shared" ca="1" si="376"/>
        <v>2000.0000000000002</v>
      </c>
      <c r="IX16" s="18">
        <f t="shared" ca="1" si="121"/>
        <v>1.0000000000000002</v>
      </c>
      <c r="IZ16" s="19">
        <f t="shared" ca="1" si="122"/>
        <v>2000.0000000000002</v>
      </c>
      <c r="JA16" s="19">
        <f ca="1">INDEX(Totals[[#Data],[#Totals],[Car - Note]:[NONTRACKED]],MATCH(IZ$1,Totals[Date],0),MATCH($C16,Totals[[#Headers],[Car - Note]:[NONTRACKED]],0))</f>
        <v>-1585.18</v>
      </c>
      <c r="JB16" s="19">
        <f t="shared" ca="1" si="377"/>
        <v>414.82000000000016</v>
      </c>
      <c r="JC16" s="19" t="s">
        <v>198</v>
      </c>
      <c r="JD16" s="19">
        <v>2000</v>
      </c>
      <c r="JE16" s="19" t="b">
        <f t="shared" ca="1" si="378"/>
        <v>0</v>
      </c>
      <c r="JF16" s="100">
        <f t="shared" si="123"/>
        <v>1</v>
      </c>
      <c r="JG16" s="19">
        <f t="shared" ca="1" si="124"/>
        <v>1585.1799999999998</v>
      </c>
      <c r="JH16" s="19">
        <f t="shared" ca="1" si="379"/>
        <v>1585.18</v>
      </c>
      <c r="JI16" s="100">
        <f t="shared" si="125"/>
        <v>0</v>
      </c>
      <c r="JJ16" s="19">
        <f t="shared" ca="1" si="126"/>
        <v>0</v>
      </c>
      <c r="JK16" s="19">
        <f t="shared" ca="1" si="127"/>
        <v>0</v>
      </c>
      <c r="JL16" s="19">
        <f t="shared" ca="1" si="380"/>
        <v>0</v>
      </c>
      <c r="JM16" s="19">
        <f t="shared" ca="1" si="128"/>
        <v>2000.0000000000002</v>
      </c>
      <c r="JN16" s="19">
        <f t="shared" ca="1" si="129"/>
        <v>0</v>
      </c>
      <c r="JO16" s="19">
        <f t="shared" ca="1" si="130"/>
        <v>1.0000000000000002</v>
      </c>
      <c r="JP16" s="12">
        <f t="shared" ca="1" si="131"/>
        <v>2000.0000000000002</v>
      </c>
      <c r="JQ16" s="79"/>
      <c r="JR16" s="12">
        <f t="shared" ca="1" si="381"/>
        <v>2000.0000000000002</v>
      </c>
      <c r="JS16" s="18">
        <f t="shared" ca="1" si="132"/>
        <v>1.0000000000000002</v>
      </c>
      <c r="JU16" s="11">
        <f t="shared" ca="1" si="133"/>
        <v>2000.0000000000002</v>
      </c>
      <c r="JV16" s="11">
        <f ca="1">INDEX(Totals[[#Data],[#Totals],[Car - Note]:[NONTRACKED]],MATCH(JU$1,Totals[Date],0),MATCH($C16,Totals[[#Headers],[Car - Note]:[NONTRACKED]],0))</f>
        <v>-1622.2</v>
      </c>
      <c r="JW16" s="11">
        <f t="shared" ca="1" si="382"/>
        <v>377.80000000000018</v>
      </c>
      <c r="JX16" s="11" t="s">
        <v>198</v>
      </c>
      <c r="JY16" s="11">
        <v>2000</v>
      </c>
      <c r="JZ16" s="11" t="b">
        <f t="shared" ca="1" si="383"/>
        <v>0</v>
      </c>
      <c r="KA16" s="92">
        <f t="shared" si="134"/>
        <v>1</v>
      </c>
      <c r="KB16" s="11">
        <f t="shared" ca="1" si="135"/>
        <v>1622.1999999999998</v>
      </c>
      <c r="KC16" s="11">
        <f t="shared" ca="1" si="384"/>
        <v>1622.2</v>
      </c>
      <c r="KD16" s="92">
        <f t="shared" si="136"/>
        <v>0</v>
      </c>
      <c r="KE16" s="11">
        <f t="shared" ca="1" si="137"/>
        <v>0</v>
      </c>
      <c r="KF16" s="11">
        <f t="shared" ca="1" si="138"/>
        <v>0</v>
      </c>
      <c r="KG16" s="11">
        <f t="shared" ca="1" si="385"/>
        <v>0</v>
      </c>
      <c r="KH16" s="11">
        <f t="shared" ca="1" si="139"/>
        <v>2000.0000000000002</v>
      </c>
      <c r="KI16" s="11">
        <f t="shared" ca="1" si="140"/>
        <v>0</v>
      </c>
      <c r="KJ16" s="11">
        <f t="shared" ca="1" si="141"/>
        <v>1.0000000000000002</v>
      </c>
      <c r="KK16" s="12">
        <f t="shared" ca="1" si="142"/>
        <v>2000.0000000000002</v>
      </c>
      <c r="KL16" s="79"/>
      <c r="KM16" s="12">
        <f t="shared" ca="1" si="386"/>
        <v>2000.0000000000002</v>
      </c>
      <c r="KN16" s="18">
        <f t="shared" ca="1" si="143"/>
        <v>1.0000000000000002</v>
      </c>
      <c r="KP16" s="13">
        <f t="shared" ca="1" si="144"/>
        <v>2000.0000000000002</v>
      </c>
      <c r="KQ16" s="13">
        <f ca="1">INDEX(Totals[[#Data],[#Totals],[Car - Note]:[NONTRACKED]],MATCH(KP$1,Totals[Date],0),MATCH($C16,Totals[[#Headers],[Car - Note]:[NONTRACKED]],0))</f>
        <v>-1328.1416666666667</v>
      </c>
      <c r="KR16" s="13">
        <f t="shared" ca="1" si="387"/>
        <v>671.85833333333358</v>
      </c>
      <c r="KS16" s="13" t="s">
        <v>198</v>
      </c>
      <c r="KT16" s="13">
        <v>2000</v>
      </c>
      <c r="KU16" s="13" t="b">
        <f t="shared" ca="1" si="388"/>
        <v>0</v>
      </c>
      <c r="KV16" s="94">
        <f t="shared" si="145"/>
        <v>1</v>
      </c>
      <c r="KW16" s="13">
        <f t="shared" ca="1" si="146"/>
        <v>1328.1416666666664</v>
      </c>
      <c r="KX16" s="13">
        <f t="shared" ca="1" si="389"/>
        <v>1328.1416666666664</v>
      </c>
      <c r="KY16" s="94">
        <f t="shared" si="147"/>
        <v>0</v>
      </c>
      <c r="KZ16" s="13">
        <f t="shared" ca="1" si="148"/>
        <v>0</v>
      </c>
      <c r="LA16" s="13">
        <f t="shared" ca="1" si="149"/>
        <v>0</v>
      </c>
      <c r="LB16" s="13">
        <f t="shared" ca="1" si="390"/>
        <v>0</v>
      </c>
      <c r="LC16" s="13">
        <f t="shared" ca="1" si="150"/>
        <v>2000</v>
      </c>
      <c r="LD16" s="13">
        <f t="shared" ca="1" si="151"/>
        <v>0</v>
      </c>
      <c r="LE16" s="13">
        <f t="shared" ca="1" si="152"/>
        <v>1</v>
      </c>
      <c r="LF16" s="12">
        <f t="shared" ca="1" si="153"/>
        <v>2000</v>
      </c>
      <c r="LG16" s="79"/>
      <c r="LH16" s="12">
        <f t="shared" ca="1" si="391"/>
        <v>2000</v>
      </c>
      <c r="LI16" s="18">
        <f t="shared" ca="1" si="154"/>
        <v>1</v>
      </c>
      <c r="LK16" s="19">
        <f t="shared" ca="1" si="155"/>
        <v>2000</v>
      </c>
      <c r="LL16" s="19">
        <f ca="1">INDEX(Totals[[#Data],[#Totals],[Car - Note]:[NONTRACKED]],MATCH(LK$1,Totals[Date],0),MATCH($C16,Totals[[#Headers],[Car - Note]:[NONTRACKED]],0))</f>
        <v>-1771.375</v>
      </c>
      <c r="LM16" s="19">
        <f t="shared" ca="1" si="392"/>
        <v>228.625</v>
      </c>
      <c r="LN16" s="19" t="s">
        <v>198</v>
      </c>
      <c r="LO16" s="19">
        <v>2000</v>
      </c>
      <c r="LP16" s="19" t="b">
        <f t="shared" ca="1" si="393"/>
        <v>0</v>
      </c>
      <c r="LQ16" s="100">
        <f t="shared" si="156"/>
        <v>1</v>
      </c>
      <c r="LR16" s="19">
        <f t="shared" ca="1" si="157"/>
        <v>1771.375</v>
      </c>
      <c r="LS16" s="19">
        <f t="shared" ca="1" si="394"/>
        <v>1771.3749999999998</v>
      </c>
      <c r="LT16" s="100">
        <f t="shared" si="158"/>
        <v>0</v>
      </c>
      <c r="LU16" s="19">
        <f t="shared" ca="1" si="159"/>
        <v>0</v>
      </c>
      <c r="LV16" s="19">
        <f t="shared" ca="1" si="160"/>
        <v>0</v>
      </c>
      <c r="LW16" s="19">
        <f t="shared" ca="1" si="395"/>
        <v>0</v>
      </c>
      <c r="LX16" s="19">
        <f t="shared" ca="1" si="161"/>
        <v>1999.9999999999998</v>
      </c>
      <c r="LY16" s="19">
        <f t="shared" ca="1" si="162"/>
        <v>0</v>
      </c>
      <c r="LZ16" s="19">
        <f t="shared" ca="1" si="163"/>
        <v>0.99999999999999989</v>
      </c>
      <c r="MA16" s="12">
        <f t="shared" ca="1" si="164"/>
        <v>1999.9999999999998</v>
      </c>
      <c r="MB16" s="79"/>
      <c r="MC16" s="12">
        <f t="shared" ca="1" si="396"/>
        <v>1999.9999999999998</v>
      </c>
      <c r="MD16" s="18">
        <f t="shared" ca="1" si="165"/>
        <v>0.99999999999999989</v>
      </c>
      <c r="MF16" s="11">
        <f t="shared" ca="1" si="166"/>
        <v>1999.9999999999998</v>
      </c>
      <c r="MG16" s="11">
        <f ca="1">INDEX(Totals[[#Data],[#Totals],[Car - Note]:[NONTRACKED]],MATCH(MF$1,Totals[Date],0),MATCH($C16,Totals[[#Headers],[Car - Note]:[NONTRACKED]],0))</f>
        <v>-1707.5533333333333</v>
      </c>
      <c r="MH16" s="11">
        <f t="shared" ca="1" si="397"/>
        <v>292.44666666666649</v>
      </c>
      <c r="MI16" s="11" t="s">
        <v>198</v>
      </c>
      <c r="MJ16" s="11">
        <v>2000</v>
      </c>
      <c r="MK16" s="11" t="b">
        <f t="shared" ca="1" si="398"/>
        <v>0</v>
      </c>
      <c r="ML16" s="92">
        <f t="shared" si="167"/>
        <v>1</v>
      </c>
      <c r="MM16" s="11">
        <f t="shared" ca="1" si="168"/>
        <v>1707.5533333333335</v>
      </c>
      <c r="MN16" s="11">
        <f t="shared" ca="1" si="399"/>
        <v>1707.5533333333335</v>
      </c>
      <c r="MO16" s="92">
        <f t="shared" si="169"/>
        <v>0</v>
      </c>
      <c r="MP16" s="11">
        <f t="shared" ca="1" si="170"/>
        <v>0</v>
      </c>
      <c r="MQ16" s="11">
        <f t="shared" ca="1" si="171"/>
        <v>0</v>
      </c>
      <c r="MR16" s="11">
        <f t="shared" ca="1" si="400"/>
        <v>0</v>
      </c>
      <c r="MS16" s="11">
        <f t="shared" ca="1" si="172"/>
        <v>2000</v>
      </c>
      <c r="MT16" s="11">
        <f t="shared" ca="1" si="173"/>
        <v>0</v>
      </c>
      <c r="MU16" s="11">
        <f t="shared" ca="1" si="174"/>
        <v>1</v>
      </c>
      <c r="MV16" s="12">
        <f t="shared" ca="1" si="175"/>
        <v>2000</v>
      </c>
      <c r="MW16" s="79"/>
      <c r="MX16" s="12">
        <f t="shared" ca="1" si="401"/>
        <v>2000</v>
      </c>
      <c r="MY16" s="18">
        <f t="shared" ca="1" si="176"/>
        <v>1</v>
      </c>
      <c r="NA16" s="13">
        <f t="shared" ca="1" si="177"/>
        <v>2000</v>
      </c>
      <c r="NB16" s="13">
        <f ca="1">INDEX(Totals[[#Data],[#Totals],[Car - Note]:[NONTRACKED]],MATCH(NA$1,Totals[Date],0),MATCH($C16,Totals[[#Headers],[Car - Note]:[NONTRACKED]],0))</f>
        <v>-1600</v>
      </c>
      <c r="NC16" s="13">
        <f t="shared" ca="1" si="402"/>
        <v>400</v>
      </c>
      <c r="ND16" s="13" t="s">
        <v>198</v>
      </c>
      <c r="NE16" s="13">
        <v>2000</v>
      </c>
      <c r="NF16" s="13" t="b">
        <f t="shared" ca="1" si="403"/>
        <v>0</v>
      </c>
      <c r="NG16" s="94">
        <f t="shared" si="178"/>
        <v>1</v>
      </c>
      <c r="NH16" s="13">
        <f t="shared" ca="1" si="179"/>
        <v>1600</v>
      </c>
      <c r="NI16" s="13">
        <f t="shared" ca="1" si="404"/>
        <v>1600</v>
      </c>
      <c r="NJ16" s="94">
        <f t="shared" si="180"/>
        <v>0</v>
      </c>
      <c r="NK16" s="13">
        <f t="shared" ca="1" si="181"/>
        <v>0</v>
      </c>
      <c r="NL16" s="13">
        <f t="shared" ca="1" si="182"/>
        <v>0</v>
      </c>
      <c r="NM16" s="13">
        <f t="shared" ca="1" si="405"/>
        <v>0</v>
      </c>
      <c r="NN16" s="13">
        <f t="shared" ca="1" si="183"/>
        <v>2000</v>
      </c>
      <c r="NO16" s="13">
        <f t="shared" ca="1" si="184"/>
        <v>0</v>
      </c>
      <c r="NP16" s="13">
        <f t="shared" ca="1" si="185"/>
        <v>1</v>
      </c>
      <c r="NQ16" s="12">
        <f t="shared" ca="1" si="186"/>
        <v>2000</v>
      </c>
      <c r="NR16" s="79"/>
      <c r="NS16" s="12">
        <f t="shared" ca="1" si="406"/>
        <v>2000</v>
      </c>
      <c r="NT16" s="18">
        <f t="shared" ca="1" si="187"/>
        <v>1</v>
      </c>
      <c r="NV16" s="19">
        <f t="shared" ca="1" si="188"/>
        <v>2000</v>
      </c>
      <c r="NW16" s="19">
        <f ca="1">INDEX(Totals[[#Data],[#Totals],[Car - Note]:[NONTRACKED]],MATCH(NV$1,Totals[Date],0),MATCH($C16,Totals[[#Headers],[Car - Note]:[NONTRACKED]],0))</f>
        <v>-1386.6666666666667</v>
      </c>
      <c r="NX16" s="19">
        <f t="shared" ca="1" si="407"/>
        <v>613.33333333333326</v>
      </c>
      <c r="NY16" s="19" t="s">
        <v>198</v>
      </c>
      <c r="NZ16" s="19">
        <v>2000</v>
      </c>
      <c r="OA16" s="19" t="b">
        <f t="shared" ca="1" si="408"/>
        <v>0</v>
      </c>
      <c r="OB16" s="100">
        <f t="shared" si="189"/>
        <v>1</v>
      </c>
      <c r="OC16" s="19">
        <f t="shared" ca="1" si="190"/>
        <v>1386.6666666666667</v>
      </c>
      <c r="OD16" s="19">
        <f t="shared" ca="1" si="409"/>
        <v>1386.6666666666667</v>
      </c>
      <c r="OE16" s="100">
        <f t="shared" si="191"/>
        <v>0</v>
      </c>
      <c r="OF16" s="19">
        <f t="shared" ca="1" si="192"/>
        <v>0</v>
      </c>
      <c r="OG16" s="19">
        <f t="shared" ca="1" si="193"/>
        <v>0</v>
      </c>
      <c r="OH16" s="19">
        <f t="shared" ca="1" si="410"/>
        <v>0</v>
      </c>
      <c r="OI16" s="19">
        <f t="shared" ca="1" si="194"/>
        <v>2000</v>
      </c>
      <c r="OJ16" s="19">
        <f t="shared" ca="1" si="195"/>
        <v>0</v>
      </c>
      <c r="OK16" s="19">
        <f t="shared" ca="1" si="196"/>
        <v>1</v>
      </c>
      <c r="OL16" s="12">
        <f t="shared" ca="1" si="197"/>
        <v>2000</v>
      </c>
      <c r="OM16" s="79"/>
      <c r="ON16" s="12">
        <f t="shared" ca="1" si="411"/>
        <v>2000</v>
      </c>
      <c r="OO16" s="18">
        <f t="shared" ca="1" si="198"/>
        <v>1</v>
      </c>
      <c r="OQ16" s="11">
        <f t="shared" ca="1" si="199"/>
        <v>2000</v>
      </c>
      <c r="OR16" s="11">
        <f ca="1">INDEX(Totals[[#Data],[#Totals],[Car - Note]:[NONTRACKED]],MATCH(OQ$1,Totals[Date],0),MATCH($C16,Totals[[#Headers],[Car - Note]:[NONTRACKED]],0))</f>
        <v>-1813.3333333333333</v>
      </c>
      <c r="OS16" s="11">
        <f t="shared" ca="1" si="412"/>
        <v>186.66666666666674</v>
      </c>
      <c r="OT16" s="11" t="s">
        <v>198</v>
      </c>
      <c r="OU16" s="11">
        <v>2000</v>
      </c>
      <c r="OV16" s="11" t="b">
        <f t="shared" ca="1" si="413"/>
        <v>0</v>
      </c>
      <c r="OW16" s="92">
        <f t="shared" si="200"/>
        <v>1</v>
      </c>
      <c r="OX16" s="11">
        <f t="shared" ca="1" si="201"/>
        <v>1813.3333333333333</v>
      </c>
      <c r="OY16" s="11">
        <f t="shared" ca="1" si="414"/>
        <v>1813.3333333333333</v>
      </c>
      <c r="OZ16" s="92">
        <f t="shared" si="202"/>
        <v>0</v>
      </c>
      <c r="PA16" s="11">
        <f t="shared" ca="1" si="203"/>
        <v>0</v>
      </c>
      <c r="PB16" s="11">
        <f t="shared" ca="1" si="204"/>
        <v>0</v>
      </c>
      <c r="PC16" s="11">
        <f t="shared" ca="1" si="415"/>
        <v>0</v>
      </c>
      <c r="PD16" s="11">
        <f t="shared" ca="1" si="205"/>
        <v>2000</v>
      </c>
      <c r="PE16" s="11">
        <f t="shared" ca="1" si="206"/>
        <v>0</v>
      </c>
      <c r="PF16" s="11">
        <f t="shared" ca="1" si="207"/>
        <v>1</v>
      </c>
      <c r="PG16" s="12">
        <f t="shared" ca="1" si="208"/>
        <v>2000</v>
      </c>
      <c r="PH16" s="79"/>
      <c r="PI16" s="12">
        <f t="shared" ca="1" si="416"/>
        <v>2000</v>
      </c>
      <c r="PJ16" s="18">
        <f t="shared" ca="1" si="209"/>
        <v>1</v>
      </c>
      <c r="PL16" s="13">
        <f t="shared" ca="1" si="210"/>
        <v>2000</v>
      </c>
      <c r="PM16" s="13">
        <f ca="1">INDEX(Totals[[#Data],[#Totals],[Car - Note]:[NONTRACKED]],MATCH(PL$1,Totals[Date],0),MATCH($C16,Totals[[#Headers],[Car - Note]:[NONTRACKED]],0))</f>
        <v>-1600</v>
      </c>
      <c r="PN16" s="13">
        <f t="shared" ca="1" si="417"/>
        <v>400</v>
      </c>
      <c r="PO16" s="13" t="s">
        <v>198</v>
      </c>
      <c r="PP16" s="13">
        <v>2000</v>
      </c>
      <c r="PQ16" s="13" t="b">
        <f t="shared" ca="1" si="418"/>
        <v>0</v>
      </c>
      <c r="PR16" s="94">
        <f t="shared" si="211"/>
        <v>1</v>
      </c>
      <c r="PS16" s="13">
        <f t="shared" ca="1" si="212"/>
        <v>1600</v>
      </c>
      <c r="PT16" s="13">
        <f t="shared" ca="1" si="419"/>
        <v>1600</v>
      </c>
      <c r="PU16" s="94">
        <f t="shared" si="213"/>
        <v>0</v>
      </c>
      <c r="PV16" s="13">
        <f t="shared" ca="1" si="214"/>
        <v>0</v>
      </c>
      <c r="PW16" s="13">
        <f t="shared" ca="1" si="215"/>
        <v>0</v>
      </c>
      <c r="PX16" s="13">
        <f t="shared" ca="1" si="420"/>
        <v>0</v>
      </c>
      <c r="PY16" s="13">
        <f t="shared" ca="1" si="216"/>
        <v>2000</v>
      </c>
      <c r="PZ16" s="13">
        <f t="shared" ca="1" si="217"/>
        <v>0</v>
      </c>
      <c r="QA16" s="13">
        <f t="shared" ca="1" si="218"/>
        <v>1</v>
      </c>
      <c r="QB16" s="12">
        <f t="shared" ca="1" si="219"/>
        <v>2000</v>
      </c>
      <c r="QC16" s="79"/>
      <c r="QD16" s="12">
        <f t="shared" ca="1" si="421"/>
        <v>2000</v>
      </c>
      <c r="QE16" s="18">
        <f t="shared" ca="1" si="220"/>
        <v>1</v>
      </c>
      <c r="QG16" s="19">
        <f t="shared" ca="1" si="221"/>
        <v>2000</v>
      </c>
      <c r="QH16" s="19">
        <f ca="1">INDEX(Totals[[#Data],[#Totals],[Car - Note]:[NONTRACKED]],MATCH(QG$1,Totals[Date],0),MATCH($C16,Totals[[#Headers],[Car - Note]:[NONTRACKED]],0))</f>
        <v>-1440</v>
      </c>
      <c r="QI16" s="19">
        <f t="shared" ca="1" si="422"/>
        <v>560</v>
      </c>
      <c r="QJ16" s="19" t="s">
        <v>198</v>
      </c>
      <c r="QK16" s="19">
        <v>2000</v>
      </c>
      <c r="QL16" s="19" t="b">
        <f t="shared" ca="1" si="423"/>
        <v>0</v>
      </c>
      <c r="QM16" s="100">
        <f t="shared" si="222"/>
        <v>1</v>
      </c>
      <c r="QN16" s="19">
        <f t="shared" ca="1" si="223"/>
        <v>1440</v>
      </c>
      <c r="QO16" s="19">
        <f t="shared" ca="1" si="424"/>
        <v>1440</v>
      </c>
      <c r="QP16" s="100">
        <f t="shared" si="224"/>
        <v>0</v>
      </c>
      <c r="QQ16" s="19">
        <f t="shared" ca="1" si="225"/>
        <v>0</v>
      </c>
      <c r="QR16" s="19">
        <f t="shared" ca="1" si="226"/>
        <v>0</v>
      </c>
      <c r="QS16" s="19">
        <f t="shared" ca="1" si="425"/>
        <v>0</v>
      </c>
      <c r="QT16" s="19">
        <f t="shared" ca="1" si="227"/>
        <v>2000</v>
      </c>
      <c r="QU16" s="19">
        <f t="shared" ca="1" si="228"/>
        <v>0</v>
      </c>
      <c r="QV16" s="19">
        <f t="shared" ca="1" si="229"/>
        <v>1</v>
      </c>
      <c r="QW16" s="12">
        <f t="shared" ca="1" si="230"/>
        <v>2000</v>
      </c>
      <c r="QX16" s="79"/>
      <c r="QY16" s="12">
        <f t="shared" ca="1" si="426"/>
        <v>2000</v>
      </c>
      <c r="QZ16" s="18">
        <f t="shared" ca="1" si="231"/>
        <v>1</v>
      </c>
      <c r="RB16" s="11">
        <f t="shared" ca="1" si="232"/>
        <v>2000</v>
      </c>
      <c r="RC16" s="11">
        <f ca="1">INDEX(Totals[[#Data],[#Totals],[Car - Note]:[NONTRACKED]],MATCH(RB$1,Totals[Date],0),MATCH($C16,Totals[[#Headers],[Car - Note]:[NONTRACKED]],0))</f>
        <v>-1760</v>
      </c>
      <c r="RD16" s="11">
        <f t="shared" ca="1" si="427"/>
        <v>240</v>
      </c>
      <c r="RE16" s="11" t="s">
        <v>198</v>
      </c>
      <c r="RF16" s="11">
        <v>2000</v>
      </c>
      <c r="RG16" s="11" t="b">
        <f t="shared" ca="1" si="428"/>
        <v>0</v>
      </c>
      <c r="RH16" s="92">
        <f t="shared" si="233"/>
        <v>1</v>
      </c>
      <c r="RI16" s="11">
        <f t="shared" ca="1" si="234"/>
        <v>1760</v>
      </c>
      <c r="RJ16" s="11">
        <f t="shared" ca="1" si="429"/>
        <v>1760</v>
      </c>
      <c r="RK16" s="92">
        <f t="shared" si="235"/>
        <v>0</v>
      </c>
      <c r="RL16" s="11">
        <f t="shared" ca="1" si="236"/>
        <v>0</v>
      </c>
      <c r="RM16" s="11">
        <f t="shared" ca="1" si="237"/>
        <v>0</v>
      </c>
      <c r="RN16" s="11">
        <f t="shared" ca="1" si="430"/>
        <v>0</v>
      </c>
      <c r="RO16" s="11">
        <f t="shared" ca="1" si="238"/>
        <v>2000</v>
      </c>
      <c r="RP16" s="11">
        <f t="shared" ca="1" si="239"/>
        <v>0</v>
      </c>
      <c r="RQ16" s="11">
        <f t="shared" ca="1" si="240"/>
        <v>1</v>
      </c>
      <c r="RR16" s="12">
        <f t="shared" ca="1" si="241"/>
        <v>2000</v>
      </c>
      <c r="RS16" s="79"/>
      <c r="RT16" s="12">
        <f t="shared" ca="1" si="431"/>
        <v>2000</v>
      </c>
      <c r="RU16" s="18">
        <f t="shared" ca="1" si="242"/>
        <v>1</v>
      </c>
      <c r="RW16" s="13">
        <f t="shared" ca="1" si="243"/>
        <v>2000</v>
      </c>
      <c r="RX16" s="13">
        <f ca="1">INDEX(Totals[[#Data],[#Totals],[Car - Note]:[NONTRACKED]],MATCH(RW$1,Totals[Date],0),MATCH($C16,Totals[[#Headers],[Car - Note]:[NONTRACKED]],0))</f>
        <v>-1440</v>
      </c>
      <c r="RY16" s="13">
        <f t="shared" ca="1" si="432"/>
        <v>560</v>
      </c>
      <c r="RZ16" s="13" t="s">
        <v>198</v>
      </c>
      <c r="SA16" s="13">
        <v>2000</v>
      </c>
      <c r="SB16" s="13" t="b">
        <f t="shared" ca="1" si="433"/>
        <v>0</v>
      </c>
      <c r="SC16" s="94">
        <f t="shared" si="244"/>
        <v>1</v>
      </c>
      <c r="SD16" s="13">
        <f t="shared" ca="1" si="245"/>
        <v>1440</v>
      </c>
      <c r="SE16" s="13">
        <f t="shared" ca="1" si="434"/>
        <v>1440</v>
      </c>
      <c r="SF16" s="94">
        <f t="shared" si="246"/>
        <v>0</v>
      </c>
      <c r="SG16" s="13">
        <f t="shared" ca="1" si="247"/>
        <v>0</v>
      </c>
      <c r="SH16" s="13">
        <f t="shared" ca="1" si="248"/>
        <v>0</v>
      </c>
      <c r="SI16" s="13">
        <f t="shared" ca="1" si="435"/>
        <v>0</v>
      </c>
      <c r="SJ16" s="13">
        <f t="shared" ca="1" si="249"/>
        <v>2000</v>
      </c>
      <c r="SK16" s="13">
        <f t="shared" ca="1" si="250"/>
        <v>0</v>
      </c>
      <c r="SL16" s="13">
        <f t="shared" ca="1" si="251"/>
        <v>1</v>
      </c>
      <c r="SM16" s="12">
        <f t="shared" ca="1" si="252"/>
        <v>2000</v>
      </c>
      <c r="SN16" s="79"/>
      <c r="SO16" s="12">
        <f t="shared" ca="1" si="436"/>
        <v>2000</v>
      </c>
      <c r="SP16" s="18">
        <f t="shared" ca="1" si="253"/>
        <v>1</v>
      </c>
      <c r="SR16" s="19">
        <f t="shared" ca="1" si="254"/>
        <v>2000</v>
      </c>
      <c r="SS16" s="19">
        <f ca="1">INDEX(Totals[[#Data],[#Totals],[Car - Note]:[NONTRACKED]],MATCH(SR$1,Totals[Date],0),MATCH($C16,Totals[[#Headers],[Car - Note]:[NONTRACKED]],0))</f>
        <v>-1706.6666666666667</v>
      </c>
      <c r="ST16" s="19">
        <f t="shared" ca="1" si="437"/>
        <v>293.33333333333326</v>
      </c>
      <c r="SU16" s="19" t="s">
        <v>198</v>
      </c>
      <c r="SV16" s="19">
        <v>2000</v>
      </c>
      <c r="SW16" s="19" t="b">
        <f t="shared" ca="1" si="438"/>
        <v>0</v>
      </c>
      <c r="SX16" s="100">
        <f t="shared" si="255"/>
        <v>1</v>
      </c>
      <c r="SY16" s="19">
        <f t="shared" ca="1" si="256"/>
        <v>1706.6666666666667</v>
      </c>
      <c r="SZ16" s="19">
        <f t="shared" ca="1" si="439"/>
        <v>1706.6666666666667</v>
      </c>
      <c r="TA16" s="100">
        <f t="shared" si="257"/>
        <v>0</v>
      </c>
      <c r="TB16" s="19">
        <f t="shared" ca="1" si="258"/>
        <v>0</v>
      </c>
      <c r="TC16" s="19">
        <f t="shared" ca="1" si="259"/>
        <v>0</v>
      </c>
      <c r="TD16" s="19">
        <f t="shared" ca="1" si="440"/>
        <v>0</v>
      </c>
      <c r="TE16" s="19">
        <f t="shared" ca="1" si="260"/>
        <v>2000</v>
      </c>
      <c r="TF16" s="19">
        <f t="shared" ca="1" si="261"/>
        <v>0</v>
      </c>
      <c r="TG16" s="19">
        <f t="shared" ca="1" si="262"/>
        <v>1</v>
      </c>
      <c r="TH16" s="12">
        <f t="shared" ca="1" si="263"/>
        <v>2000</v>
      </c>
      <c r="TI16" s="79"/>
      <c r="TJ16" s="12">
        <f t="shared" ca="1" si="441"/>
        <v>2000</v>
      </c>
      <c r="TK16" s="18">
        <f t="shared" ca="1" si="264"/>
        <v>1</v>
      </c>
      <c r="TM16" s="11">
        <f t="shared" ca="1" si="265"/>
        <v>2000</v>
      </c>
      <c r="TN16" s="11">
        <f ca="1">INDEX(Totals[[#Data],[#Totals],[Car - Note]:[NONTRACKED]],MATCH(TM$1,Totals[Date],0),MATCH($C16,Totals[[#Headers],[Car - Note]:[NONTRACKED]],0))</f>
        <v>-1653.3333333333333</v>
      </c>
      <c r="TO16" s="11">
        <f t="shared" ca="1" si="442"/>
        <v>346.66666666666674</v>
      </c>
      <c r="TP16" s="11" t="s">
        <v>198</v>
      </c>
      <c r="TQ16" s="11">
        <v>2000</v>
      </c>
      <c r="TR16" s="11" t="b">
        <f t="shared" ca="1" si="443"/>
        <v>0</v>
      </c>
      <c r="TS16" s="92">
        <f t="shared" si="266"/>
        <v>1</v>
      </c>
      <c r="TT16" s="11">
        <f t="shared" ca="1" si="267"/>
        <v>1653.3333333333333</v>
      </c>
      <c r="TU16" s="11">
        <f t="shared" ca="1" si="444"/>
        <v>1653.3333333333333</v>
      </c>
      <c r="TV16" s="92">
        <f t="shared" si="268"/>
        <v>0</v>
      </c>
      <c r="TW16" s="11">
        <f t="shared" ca="1" si="269"/>
        <v>0</v>
      </c>
      <c r="TX16" s="11">
        <f t="shared" ca="1" si="270"/>
        <v>0</v>
      </c>
      <c r="TY16" s="11">
        <f t="shared" ca="1" si="445"/>
        <v>0</v>
      </c>
      <c r="TZ16" s="11">
        <f t="shared" ca="1" si="271"/>
        <v>2000</v>
      </c>
      <c r="UA16" s="11">
        <f t="shared" ca="1" si="272"/>
        <v>0</v>
      </c>
      <c r="UB16" s="11">
        <f t="shared" ca="1" si="273"/>
        <v>1</v>
      </c>
      <c r="UC16" s="12">
        <f t="shared" ca="1" si="274"/>
        <v>2000</v>
      </c>
      <c r="UD16" s="79"/>
      <c r="UE16" s="12">
        <f t="shared" ca="1" si="446"/>
        <v>2000</v>
      </c>
      <c r="UF16" s="18">
        <f t="shared" ca="1" si="275"/>
        <v>1</v>
      </c>
      <c r="UH16" s="13">
        <f t="shared" ca="1" si="276"/>
        <v>2000</v>
      </c>
      <c r="UI16" s="13">
        <f ca="1">INDEX(Totals[[#Data],[#Totals],[Car - Note]:[NONTRACKED]],MATCH(UH$1,Totals[Date],0),MATCH($C16,Totals[[#Headers],[Car - Note]:[NONTRACKED]],0))</f>
        <v>-1600</v>
      </c>
      <c r="UJ16" s="13">
        <f t="shared" ca="1" si="447"/>
        <v>400</v>
      </c>
      <c r="UK16" s="13" t="s">
        <v>198</v>
      </c>
      <c r="UL16" s="13">
        <v>2000</v>
      </c>
      <c r="UM16" s="13" t="b">
        <f t="shared" ca="1" si="448"/>
        <v>0</v>
      </c>
      <c r="UN16" s="94">
        <f t="shared" si="277"/>
        <v>1</v>
      </c>
      <c r="UO16" s="13">
        <f t="shared" ca="1" si="278"/>
        <v>1600</v>
      </c>
      <c r="UP16" s="13">
        <f t="shared" ca="1" si="449"/>
        <v>1600</v>
      </c>
      <c r="UQ16" s="94">
        <f t="shared" si="279"/>
        <v>0</v>
      </c>
      <c r="UR16" s="13">
        <f t="shared" ca="1" si="280"/>
        <v>0</v>
      </c>
      <c r="US16" s="13">
        <f t="shared" ca="1" si="281"/>
        <v>0</v>
      </c>
      <c r="UT16" s="13">
        <f t="shared" ca="1" si="450"/>
        <v>0</v>
      </c>
      <c r="UU16" s="13">
        <f t="shared" ca="1" si="282"/>
        <v>2000</v>
      </c>
      <c r="UV16" s="13">
        <f t="shared" ca="1" si="283"/>
        <v>0</v>
      </c>
      <c r="UW16" s="13">
        <f t="shared" ca="1" si="284"/>
        <v>1</v>
      </c>
      <c r="UX16" s="12">
        <f t="shared" ca="1" si="285"/>
        <v>2000</v>
      </c>
      <c r="UY16" s="79"/>
      <c r="UZ16" s="12">
        <f t="shared" ca="1" si="451"/>
        <v>2000</v>
      </c>
      <c r="VA16" s="18">
        <f t="shared" ca="1" si="286"/>
        <v>1</v>
      </c>
      <c r="VC16" s="19">
        <f t="shared" ca="1" si="287"/>
        <v>2000</v>
      </c>
      <c r="VD16" s="19">
        <f ca="1">INDEX(Totals[[#Data],[#Totals],[Car - Note]:[NONTRACKED]],MATCH(VC$1,Totals[Date],0),MATCH($C16,Totals[[#Headers],[Car - Note]:[NONTRACKED]],0))</f>
        <v>-1600</v>
      </c>
      <c r="VE16" s="19">
        <f t="shared" ca="1" si="452"/>
        <v>400</v>
      </c>
      <c r="VF16" s="19" t="s">
        <v>198</v>
      </c>
      <c r="VG16" s="19">
        <v>2000</v>
      </c>
      <c r="VH16" s="19" t="b">
        <f t="shared" ca="1" si="453"/>
        <v>0</v>
      </c>
      <c r="VI16" s="100">
        <f t="shared" si="288"/>
        <v>1</v>
      </c>
      <c r="VJ16" s="19">
        <f t="shared" ca="1" si="289"/>
        <v>1600</v>
      </c>
      <c r="VK16" s="19">
        <f t="shared" ca="1" si="454"/>
        <v>1600</v>
      </c>
      <c r="VL16" s="100">
        <f t="shared" si="290"/>
        <v>0</v>
      </c>
      <c r="VM16" s="19">
        <f t="shared" ca="1" si="291"/>
        <v>0</v>
      </c>
      <c r="VN16" s="19">
        <f t="shared" ca="1" si="292"/>
        <v>0</v>
      </c>
      <c r="VO16" s="19">
        <f t="shared" ca="1" si="455"/>
        <v>0</v>
      </c>
      <c r="VP16" s="19">
        <f t="shared" ca="1" si="293"/>
        <v>2000</v>
      </c>
      <c r="VQ16" s="19">
        <f t="shared" ca="1" si="294"/>
        <v>0</v>
      </c>
      <c r="VR16" s="19">
        <f t="shared" ca="1" si="295"/>
        <v>1</v>
      </c>
      <c r="VS16" s="12">
        <f t="shared" ca="1" si="296"/>
        <v>2000</v>
      </c>
      <c r="VT16" s="79"/>
      <c r="VU16" s="12">
        <f t="shared" ca="1" si="456"/>
        <v>2000</v>
      </c>
      <c r="VV16" s="18">
        <f t="shared" ca="1" si="297"/>
        <v>1</v>
      </c>
      <c r="VX16" s="11">
        <f t="shared" ca="1" si="298"/>
        <v>2000</v>
      </c>
      <c r="VY16" s="11">
        <f ca="1">INDEX(Totals[[#Data],[#Totals],[Car - Note]:[NONTRACKED]],MATCH(VX$1,Totals[Date],0),MATCH($C16,Totals[[#Headers],[Car - Note]:[NONTRACKED]],0))</f>
        <v>-1650</v>
      </c>
      <c r="VZ16" s="11">
        <f t="shared" ca="1" si="457"/>
        <v>350</v>
      </c>
      <c r="WA16" s="11" t="s">
        <v>198</v>
      </c>
      <c r="WB16" s="11">
        <v>2000</v>
      </c>
      <c r="WC16" s="11" t="b">
        <f t="shared" ca="1" si="458"/>
        <v>0</v>
      </c>
      <c r="WD16" s="92">
        <f t="shared" si="299"/>
        <v>1</v>
      </c>
      <c r="WE16" s="11">
        <f t="shared" ca="1" si="300"/>
        <v>1650</v>
      </c>
      <c r="WF16" s="11">
        <f t="shared" ca="1" si="459"/>
        <v>1650</v>
      </c>
      <c r="WG16" s="92">
        <f t="shared" si="301"/>
        <v>0</v>
      </c>
      <c r="WH16" s="11">
        <f t="shared" ca="1" si="302"/>
        <v>0</v>
      </c>
      <c r="WI16" s="11">
        <f t="shared" ca="1" si="303"/>
        <v>0</v>
      </c>
      <c r="WJ16" s="11">
        <f t="shared" ca="1" si="460"/>
        <v>0</v>
      </c>
      <c r="WK16" s="11">
        <f t="shared" ca="1" si="304"/>
        <v>2000</v>
      </c>
      <c r="WL16" s="11">
        <f t="shared" ca="1" si="305"/>
        <v>0</v>
      </c>
      <c r="WM16" s="11">
        <f t="shared" ca="1" si="306"/>
        <v>1</v>
      </c>
      <c r="WN16" s="12">
        <f t="shared" ca="1" si="307"/>
        <v>2000</v>
      </c>
      <c r="WO16" s="79"/>
      <c r="WP16" s="12">
        <f t="shared" ca="1" si="461"/>
        <v>2000</v>
      </c>
      <c r="WQ16" s="18">
        <f t="shared" ca="1" si="308"/>
        <v>1</v>
      </c>
      <c r="WS16" s="13">
        <f t="shared" ca="1" si="309"/>
        <v>2000</v>
      </c>
      <c r="WT16" s="13">
        <f ca="1">INDEX(Totals[[#Data],[#Totals],[Car - Note]:[NONTRACKED]],MATCH(WS$1,Totals[Date],0),MATCH($C16,Totals[[#Headers],[Car - Note]:[NONTRACKED]],0))</f>
        <v>-1490.3225806451612</v>
      </c>
      <c r="WU16" s="13">
        <f t="shared" ca="1" si="462"/>
        <v>509.67741935483878</v>
      </c>
      <c r="WV16" s="13" t="s">
        <v>198</v>
      </c>
      <c r="WW16" s="13">
        <v>2000</v>
      </c>
      <c r="WX16" s="13" t="b">
        <f t="shared" ca="1" si="463"/>
        <v>0</v>
      </c>
      <c r="WY16" s="94">
        <f t="shared" si="310"/>
        <v>1</v>
      </c>
      <c r="WZ16" s="13">
        <f t="shared" ca="1" si="311"/>
        <v>1490.3225806451612</v>
      </c>
      <c r="XA16" s="13">
        <f t="shared" ca="1" si="464"/>
        <v>1490.3225806451612</v>
      </c>
      <c r="XB16" s="94">
        <f t="shared" si="312"/>
        <v>0</v>
      </c>
      <c r="XC16" s="13">
        <f t="shared" ca="1" si="313"/>
        <v>0</v>
      </c>
      <c r="XD16" s="13">
        <f t="shared" ca="1" si="314"/>
        <v>0</v>
      </c>
      <c r="XE16" s="13">
        <f t="shared" ca="1" si="465"/>
        <v>0</v>
      </c>
      <c r="XF16" s="13">
        <f t="shared" ca="1" si="315"/>
        <v>2000</v>
      </c>
      <c r="XG16" s="13">
        <f t="shared" ca="1" si="316"/>
        <v>0</v>
      </c>
      <c r="XH16" s="13">
        <f t="shared" ca="1" si="317"/>
        <v>1</v>
      </c>
      <c r="XI16" s="12">
        <f t="shared" ca="1" si="318"/>
        <v>2000</v>
      </c>
      <c r="XJ16" s="104">
        <f t="shared" ca="1" si="471"/>
        <v>0</v>
      </c>
      <c r="XK16" s="12">
        <f t="shared" ca="1" si="466"/>
        <v>2000</v>
      </c>
      <c r="XL16" s="18">
        <f t="shared" ca="1" si="320"/>
        <v>1</v>
      </c>
      <c r="XN16">
        <v>7.4999999999999997E-2</v>
      </c>
      <c r="XO16" s="103">
        <f t="shared" ca="1" si="467"/>
        <v>150</v>
      </c>
      <c r="XP16" s="12">
        <f t="shared" ca="1" si="468"/>
        <v>1850</v>
      </c>
      <c r="XQ16" s="102">
        <f t="shared" ca="1" si="469"/>
        <v>0.92500000000000004</v>
      </c>
    </row>
    <row r="17" spans="1:641" x14ac:dyDescent="0.25">
      <c r="A17" s="112"/>
      <c r="B17" t="s">
        <v>45</v>
      </c>
      <c r="C17" t="s">
        <v>29</v>
      </c>
      <c r="D17" s="79">
        <v>-120</v>
      </c>
      <c r="E17" t="b">
        <f>TRUE</f>
        <v>1</v>
      </c>
      <c r="H17" s="48">
        <v>32</v>
      </c>
      <c r="I17" s="48"/>
      <c r="J17" s="48"/>
      <c r="K17" s="48" t="s">
        <v>198</v>
      </c>
      <c r="L17" s="95">
        <v>50</v>
      </c>
      <c r="M17" s="48"/>
      <c r="N17" s="96"/>
      <c r="O17" s="48"/>
      <c r="P17" s="48"/>
      <c r="Q17" s="96"/>
      <c r="R17" s="48"/>
      <c r="S17" s="48"/>
      <c r="T17" s="48"/>
      <c r="U17" s="48"/>
      <c r="V17" s="48"/>
      <c r="W17" s="48"/>
      <c r="X17" s="48"/>
      <c r="Y17" s="48"/>
      <c r="Z17" s="48">
        <f t="shared" si="321"/>
        <v>32</v>
      </c>
      <c r="AA17" s="98">
        <f t="shared" si="0"/>
        <v>0.64</v>
      </c>
      <c r="AC17" s="11">
        <f t="shared" si="1"/>
        <v>32</v>
      </c>
      <c r="AD17" s="11">
        <f ca="1">INDEX(Totals[[#Data],[#Totals],[Car - Note]:[NONTRACKED]],MATCH(AC$1,Totals[Date],0),MATCH($C17,Totals[[#Headers],[Car - Note]:[NONTRACKED]],0))</f>
        <v>-30.575342465753423</v>
      </c>
      <c r="AE17" s="11">
        <f t="shared" ca="1" si="322"/>
        <v>1.4246575342465775</v>
      </c>
      <c r="AF17" s="11" t="s">
        <v>198</v>
      </c>
      <c r="AG17" s="11">
        <v>75</v>
      </c>
      <c r="AH17" s="11" t="b">
        <f t="shared" ca="1" si="323"/>
        <v>0</v>
      </c>
      <c r="AI17" s="92">
        <f t="shared" si="2"/>
        <v>1</v>
      </c>
      <c r="AJ17" s="11">
        <f t="shared" ca="1" si="3"/>
        <v>73.575342465753423</v>
      </c>
      <c r="AK17" s="11">
        <f t="shared" ca="1" si="324"/>
        <v>73.575342465753423</v>
      </c>
      <c r="AL17" s="92">
        <f t="shared" si="4"/>
        <v>0</v>
      </c>
      <c r="AM17" s="11">
        <f t="shared" ca="1" si="5"/>
        <v>0</v>
      </c>
      <c r="AN17" s="11">
        <f t="shared" ca="1" si="6"/>
        <v>0</v>
      </c>
      <c r="AO17" s="11">
        <f t="shared" ca="1" si="325"/>
        <v>0</v>
      </c>
      <c r="AP17" s="11">
        <f t="shared" ca="1" si="7"/>
        <v>75</v>
      </c>
      <c r="AQ17" s="11">
        <f t="shared" ca="1" si="8"/>
        <v>0</v>
      </c>
      <c r="AR17" s="11">
        <f t="shared" ca="1" si="9"/>
        <v>1</v>
      </c>
      <c r="AS17" s="12">
        <f t="shared" ca="1" si="10"/>
        <v>75</v>
      </c>
      <c r="AT17" s="12"/>
      <c r="AU17" s="12">
        <f t="shared" ca="1" si="326"/>
        <v>75</v>
      </c>
      <c r="AV17" s="18">
        <f t="shared" ca="1" si="11"/>
        <v>1</v>
      </c>
      <c r="AX17" s="13">
        <f t="shared" ca="1" si="12"/>
        <v>75</v>
      </c>
      <c r="AY17" s="13">
        <f ca="1">INDEX(Totals[[#Data],[#Totals],[Car - Note]:[NONTRACKED]],MATCH(AX$1,Totals[Date],0),MATCH($C17,Totals[[#Headers],[Car - Note]:[NONTRACKED]],0))</f>
        <v>-27.61643835616438</v>
      </c>
      <c r="AZ17" s="13">
        <f t="shared" ca="1" si="327"/>
        <v>47.38356164383562</v>
      </c>
      <c r="BA17" s="13" t="s">
        <v>198</v>
      </c>
      <c r="BB17" s="13">
        <v>120</v>
      </c>
      <c r="BC17" s="13" t="b">
        <f t="shared" ca="1" si="328"/>
        <v>0</v>
      </c>
      <c r="BD17" s="94">
        <f t="shared" si="13"/>
        <v>1</v>
      </c>
      <c r="BE17" s="13">
        <f t="shared" ca="1" si="14"/>
        <v>72.61643835616438</v>
      </c>
      <c r="BF17" s="13">
        <f t="shared" ca="1" si="329"/>
        <v>72.61643835616438</v>
      </c>
      <c r="BG17" s="94">
        <f t="shared" si="15"/>
        <v>0</v>
      </c>
      <c r="BH17" s="13">
        <f t="shared" ca="1" si="16"/>
        <v>0</v>
      </c>
      <c r="BI17" s="13">
        <f t="shared" ca="1" si="17"/>
        <v>0</v>
      </c>
      <c r="BJ17" s="13">
        <f t="shared" ca="1" si="330"/>
        <v>0</v>
      </c>
      <c r="BK17" s="13">
        <f t="shared" ca="1" si="18"/>
        <v>120</v>
      </c>
      <c r="BL17" s="13">
        <f t="shared" ca="1" si="19"/>
        <v>0</v>
      </c>
      <c r="BM17" s="13">
        <f t="shared" ca="1" si="20"/>
        <v>1</v>
      </c>
      <c r="BN17" s="12">
        <f t="shared" ca="1" si="21"/>
        <v>120</v>
      </c>
      <c r="BO17" s="12"/>
      <c r="BP17" s="12">
        <f t="shared" ca="1" si="331"/>
        <v>120</v>
      </c>
      <c r="BQ17" s="18">
        <f t="shared" ca="1" si="22"/>
        <v>1</v>
      </c>
      <c r="BS17" s="19">
        <f t="shared" ca="1" si="23"/>
        <v>120</v>
      </c>
      <c r="BT17" s="19">
        <f ca="1">INDEX(Totals[[#Data],[#Totals],[Car - Note]:[NONTRACKED]],MATCH(BS$1,Totals[Date],0),MATCH($C17,Totals[[#Headers],[Car - Note]:[NONTRACKED]],0))</f>
        <v>-30.575342465753423</v>
      </c>
      <c r="BU17" s="19">
        <f t="shared" ca="1" si="332"/>
        <v>89.424657534246577</v>
      </c>
      <c r="BV17" s="19" t="s">
        <v>198</v>
      </c>
      <c r="BW17" s="19">
        <v>125</v>
      </c>
      <c r="BX17" s="19" t="b">
        <f t="shared" ca="1" si="333"/>
        <v>0</v>
      </c>
      <c r="BY17" s="100">
        <f t="shared" si="24"/>
        <v>1</v>
      </c>
      <c r="BZ17" s="19">
        <f t="shared" ca="1" si="25"/>
        <v>35.575342465753423</v>
      </c>
      <c r="CA17" s="19">
        <f t="shared" ca="1" si="334"/>
        <v>35.575342465753423</v>
      </c>
      <c r="CB17" s="100">
        <f t="shared" si="26"/>
        <v>0</v>
      </c>
      <c r="CC17" s="19">
        <f t="shared" ca="1" si="27"/>
        <v>0</v>
      </c>
      <c r="CD17" s="19">
        <f t="shared" ca="1" si="28"/>
        <v>0</v>
      </c>
      <c r="CE17" s="19">
        <f t="shared" ca="1" si="335"/>
        <v>0</v>
      </c>
      <c r="CF17" s="19">
        <f t="shared" ca="1" si="29"/>
        <v>125</v>
      </c>
      <c r="CG17" s="19">
        <f t="shared" ca="1" si="30"/>
        <v>0</v>
      </c>
      <c r="CH17" s="19">
        <f t="shared" ca="1" si="31"/>
        <v>1</v>
      </c>
      <c r="CI17" s="12">
        <f t="shared" ca="1" si="32"/>
        <v>125</v>
      </c>
      <c r="CJ17" s="79"/>
      <c r="CK17" s="12">
        <f t="shared" ca="1" si="336"/>
        <v>125</v>
      </c>
      <c r="CL17" s="18">
        <f t="shared" ca="1" si="33"/>
        <v>1</v>
      </c>
      <c r="CN17" s="11">
        <f t="shared" ca="1" si="34"/>
        <v>125</v>
      </c>
      <c r="CO17" s="11">
        <f ca="1">INDEX(Totals[[#Data],[#Totals],[Car - Note]:[NONTRACKED]],MATCH(CN$1,Totals[Date],0),MATCH($C17,Totals[[#Headers],[Car - Note]:[NONTRACKED]],0))</f>
        <v>-30.589041095890408</v>
      </c>
      <c r="CP17" s="11">
        <f t="shared" ca="1" si="337"/>
        <v>94.410958904109592</v>
      </c>
      <c r="CQ17" s="11" t="s">
        <v>198</v>
      </c>
      <c r="CR17" s="11">
        <v>200</v>
      </c>
      <c r="CS17" s="11" t="b">
        <f t="shared" ca="1" si="338"/>
        <v>0</v>
      </c>
      <c r="CT17" s="92">
        <f t="shared" si="35"/>
        <v>1</v>
      </c>
      <c r="CU17" s="11">
        <f t="shared" ca="1" si="36"/>
        <v>105.58904109589041</v>
      </c>
      <c r="CV17" s="11">
        <f t="shared" ca="1" si="339"/>
        <v>105.58904109589041</v>
      </c>
      <c r="CW17" s="92">
        <f t="shared" si="37"/>
        <v>0</v>
      </c>
      <c r="CX17" s="11">
        <f t="shared" ca="1" si="38"/>
        <v>0</v>
      </c>
      <c r="CY17" s="11">
        <f t="shared" ca="1" si="39"/>
        <v>0</v>
      </c>
      <c r="CZ17" s="11">
        <f t="shared" ca="1" si="340"/>
        <v>0</v>
      </c>
      <c r="DA17" s="11">
        <f t="shared" ca="1" si="40"/>
        <v>200</v>
      </c>
      <c r="DB17" s="11">
        <f t="shared" ca="1" si="41"/>
        <v>0</v>
      </c>
      <c r="DC17" s="11">
        <f t="shared" ca="1" si="42"/>
        <v>1</v>
      </c>
      <c r="DD17" s="12">
        <f t="shared" ca="1" si="43"/>
        <v>200</v>
      </c>
      <c r="DE17" s="79"/>
      <c r="DF17" s="12">
        <f t="shared" ca="1" si="341"/>
        <v>200</v>
      </c>
      <c r="DG17" s="18">
        <f t="shared" ca="1" si="44"/>
        <v>1</v>
      </c>
      <c r="DI17" s="13">
        <f t="shared" ca="1" si="45"/>
        <v>200</v>
      </c>
      <c r="DJ17" s="13">
        <f ca="1">INDEX(Totals[[#Data],[#Totals],[Car - Note]:[NONTRACKED]],MATCH(DI$1,Totals[Date],0),MATCH($C17,Totals[[#Headers],[Car - Note]:[NONTRACKED]],0))</f>
        <v>-55.83367579908677</v>
      </c>
      <c r="DK17" s="13">
        <f t="shared" ca="1" si="342"/>
        <v>144.16632420091324</v>
      </c>
      <c r="DL17" s="13" t="s">
        <v>198</v>
      </c>
      <c r="DM17" s="13">
        <v>200</v>
      </c>
      <c r="DN17" s="13" t="b">
        <f t="shared" ca="1" si="343"/>
        <v>0</v>
      </c>
      <c r="DO17" s="94">
        <f t="shared" si="46"/>
        <v>1</v>
      </c>
      <c r="DP17" s="13">
        <f t="shared" ca="1" si="47"/>
        <v>55.833675799086762</v>
      </c>
      <c r="DQ17" s="13">
        <f t="shared" ca="1" si="344"/>
        <v>55.833675799086762</v>
      </c>
      <c r="DR17" s="94">
        <f t="shared" si="48"/>
        <v>0</v>
      </c>
      <c r="DS17" s="13">
        <f t="shared" ca="1" si="49"/>
        <v>0</v>
      </c>
      <c r="DT17" s="13">
        <f t="shared" ca="1" si="50"/>
        <v>0</v>
      </c>
      <c r="DU17" s="13">
        <f t="shared" ca="1" si="345"/>
        <v>0</v>
      </c>
      <c r="DV17" s="13">
        <f t="shared" ca="1" si="51"/>
        <v>200</v>
      </c>
      <c r="DW17" s="13">
        <f t="shared" ca="1" si="52"/>
        <v>0</v>
      </c>
      <c r="DX17" s="13">
        <f t="shared" ca="1" si="53"/>
        <v>1</v>
      </c>
      <c r="DY17" s="12">
        <f t="shared" ca="1" si="54"/>
        <v>200</v>
      </c>
      <c r="DZ17" s="79"/>
      <c r="EA17" s="12">
        <f t="shared" ca="1" si="346"/>
        <v>200</v>
      </c>
      <c r="EB17" s="18">
        <f t="shared" ca="1" si="55"/>
        <v>1</v>
      </c>
      <c r="ED17" s="19">
        <f t="shared" ca="1" si="56"/>
        <v>200</v>
      </c>
      <c r="EE17" s="19">
        <f ca="1">INDEX(Totals[[#Data],[#Totals],[Car - Note]:[NONTRACKED]],MATCH(ED$1,Totals[Date],0),MATCH($C17,Totals[[#Headers],[Car - Note]:[NONTRACKED]],0))</f>
        <v>-89.514041095890391</v>
      </c>
      <c r="EF17" s="19">
        <f t="shared" ca="1" si="347"/>
        <v>110.48595890410961</v>
      </c>
      <c r="EG17" s="19" t="s">
        <v>198</v>
      </c>
      <c r="EH17" s="19">
        <v>200</v>
      </c>
      <c r="EI17" s="19" t="b">
        <f t="shared" ca="1" si="348"/>
        <v>0</v>
      </c>
      <c r="EJ17" s="100">
        <f t="shared" si="57"/>
        <v>1</v>
      </c>
      <c r="EK17" s="19">
        <f t="shared" ca="1" si="58"/>
        <v>89.514041095890391</v>
      </c>
      <c r="EL17" s="19">
        <f t="shared" ca="1" si="349"/>
        <v>89.514041095890391</v>
      </c>
      <c r="EM17" s="100">
        <f t="shared" si="59"/>
        <v>0</v>
      </c>
      <c r="EN17" s="19">
        <f t="shared" ca="1" si="60"/>
        <v>0</v>
      </c>
      <c r="EO17" s="19">
        <f t="shared" ca="1" si="61"/>
        <v>0</v>
      </c>
      <c r="EP17" s="19">
        <f t="shared" ca="1" si="350"/>
        <v>0</v>
      </c>
      <c r="EQ17" s="19">
        <f t="shared" ca="1" si="62"/>
        <v>200</v>
      </c>
      <c r="ER17" s="19">
        <f t="shared" ca="1" si="63"/>
        <v>0</v>
      </c>
      <c r="ES17" s="19">
        <f t="shared" ca="1" si="64"/>
        <v>1</v>
      </c>
      <c r="ET17" s="12">
        <f t="shared" ca="1" si="65"/>
        <v>200</v>
      </c>
      <c r="EU17" s="79"/>
      <c r="EV17" s="12">
        <f t="shared" ca="1" si="351"/>
        <v>200</v>
      </c>
      <c r="EW17" s="18">
        <f t="shared" ca="1" si="66"/>
        <v>1</v>
      </c>
      <c r="EY17" s="11">
        <f t="shared" ca="1" si="67"/>
        <v>200</v>
      </c>
      <c r="EZ17" s="11">
        <f ca="1">INDEX(Totals[[#Data],[#Totals],[Car - Note]:[NONTRACKED]],MATCH(EY$1,Totals[Date],0),MATCH($C17,Totals[[#Headers],[Car - Note]:[NONTRACKED]],0))</f>
        <v>-93.2700091324201</v>
      </c>
      <c r="FA17" s="11">
        <f t="shared" ca="1" si="352"/>
        <v>106.7299908675799</v>
      </c>
      <c r="FB17" s="11" t="s">
        <v>198</v>
      </c>
      <c r="FC17" s="11">
        <v>200</v>
      </c>
      <c r="FD17" s="11" t="b">
        <f t="shared" ca="1" si="353"/>
        <v>0</v>
      </c>
      <c r="FE17" s="92">
        <f t="shared" si="68"/>
        <v>1</v>
      </c>
      <c r="FF17" s="11">
        <f t="shared" ca="1" si="69"/>
        <v>93.2700091324201</v>
      </c>
      <c r="FG17" s="11">
        <f t="shared" ca="1" si="354"/>
        <v>93.270009132420114</v>
      </c>
      <c r="FH17" s="92">
        <f t="shared" si="70"/>
        <v>0</v>
      </c>
      <c r="FI17" s="11">
        <f t="shared" ca="1" si="71"/>
        <v>0</v>
      </c>
      <c r="FJ17" s="11">
        <f t="shared" ca="1" si="72"/>
        <v>0</v>
      </c>
      <c r="FK17" s="11">
        <f t="shared" ca="1" si="355"/>
        <v>0</v>
      </c>
      <c r="FL17" s="11">
        <f t="shared" ca="1" si="73"/>
        <v>200</v>
      </c>
      <c r="FM17" s="11">
        <f t="shared" ca="1" si="74"/>
        <v>0</v>
      </c>
      <c r="FN17" s="11">
        <f t="shared" ca="1" si="75"/>
        <v>1</v>
      </c>
      <c r="FO17" s="12">
        <f t="shared" ca="1" si="76"/>
        <v>200</v>
      </c>
      <c r="FP17" s="79"/>
      <c r="FQ17" s="12">
        <f t="shared" ca="1" si="356"/>
        <v>200</v>
      </c>
      <c r="FR17" s="18">
        <f t="shared" ca="1" si="77"/>
        <v>1</v>
      </c>
      <c r="FT17" s="13">
        <f t="shared" ca="1" si="78"/>
        <v>200</v>
      </c>
      <c r="FU17" s="13">
        <f ca="1">INDEX(Totals[[#Data],[#Totals],[Car - Note]:[NONTRACKED]],MATCH(FT$1,Totals[Date],0),MATCH($C17,Totals[[#Headers],[Car - Note]:[NONTRACKED]],0))</f>
        <v>-82.541342465753416</v>
      </c>
      <c r="FV17" s="13">
        <f t="shared" ca="1" si="357"/>
        <v>117.45865753424658</v>
      </c>
      <c r="FW17" s="13" t="s">
        <v>198</v>
      </c>
      <c r="FX17" s="13">
        <v>200</v>
      </c>
      <c r="FY17" s="13" t="b">
        <f t="shared" ca="1" si="358"/>
        <v>0</v>
      </c>
      <c r="FZ17" s="94">
        <f t="shared" si="79"/>
        <v>1</v>
      </c>
      <c r="GA17" s="13">
        <f t="shared" ca="1" si="80"/>
        <v>82.541342465753416</v>
      </c>
      <c r="GB17" s="13">
        <f t="shared" ca="1" si="359"/>
        <v>82.541342465753416</v>
      </c>
      <c r="GC17" s="94">
        <f t="shared" si="81"/>
        <v>0</v>
      </c>
      <c r="GD17" s="13">
        <f t="shared" ca="1" si="82"/>
        <v>0</v>
      </c>
      <c r="GE17" s="13">
        <f t="shared" ca="1" si="83"/>
        <v>0</v>
      </c>
      <c r="GF17" s="13">
        <f t="shared" ca="1" si="360"/>
        <v>0</v>
      </c>
      <c r="GG17" s="13">
        <f t="shared" ca="1" si="84"/>
        <v>200</v>
      </c>
      <c r="GH17" s="13">
        <f t="shared" ca="1" si="85"/>
        <v>0</v>
      </c>
      <c r="GI17" s="13">
        <f t="shared" ca="1" si="86"/>
        <v>1</v>
      </c>
      <c r="GJ17" s="12">
        <f t="shared" ca="1" si="87"/>
        <v>200</v>
      </c>
      <c r="GK17" s="79"/>
      <c r="GL17" s="12">
        <f t="shared" ca="1" si="361"/>
        <v>200</v>
      </c>
      <c r="GM17" s="18">
        <f t="shared" ca="1" si="88"/>
        <v>1</v>
      </c>
      <c r="GO17" s="19">
        <f t="shared" ca="1" si="89"/>
        <v>200</v>
      </c>
      <c r="GP17" s="19">
        <f ca="1">INDEX(Totals[[#Data],[#Totals],[Car - Note]:[NONTRACKED]],MATCH(GO$1,Totals[Date],0),MATCH($C17,Totals[[#Headers],[Car - Note]:[NONTRACKED]],0))</f>
        <v>-89.435707762557058</v>
      </c>
      <c r="GQ17" s="19">
        <f t="shared" ca="1" si="362"/>
        <v>110.56429223744294</v>
      </c>
      <c r="GR17" s="19" t="s">
        <v>198</v>
      </c>
      <c r="GS17" s="19">
        <v>200</v>
      </c>
      <c r="GT17" s="19" t="b">
        <f t="shared" ca="1" si="363"/>
        <v>0</v>
      </c>
      <c r="GU17" s="100">
        <f t="shared" si="90"/>
        <v>1</v>
      </c>
      <c r="GV17" s="19">
        <f t="shared" ca="1" si="91"/>
        <v>89.435707762557058</v>
      </c>
      <c r="GW17" s="19">
        <f t="shared" ca="1" si="364"/>
        <v>89.435707762557058</v>
      </c>
      <c r="GX17" s="100">
        <f t="shared" si="92"/>
        <v>0</v>
      </c>
      <c r="GY17" s="19">
        <f t="shared" ca="1" si="93"/>
        <v>0</v>
      </c>
      <c r="GZ17" s="19">
        <f t="shared" ca="1" si="94"/>
        <v>0</v>
      </c>
      <c r="HA17" s="19">
        <f t="shared" ca="1" si="365"/>
        <v>0</v>
      </c>
      <c r="HB17" s="19">
        <f t="shared" ca="1" si="95"/>
        <v>200</v>
      </c>
      <c r="HC17" s="19">
        <f t="shared" ca="1" si="96"/>
        <v>0</v>
      </c>
      <c r="HD17" s="19">
        <f t="shared" ca="1" si="97"/>
        <v>1</v>
      </c>
      <c r="HE17" s="12">
        <f t="shared" ca="1" si="98"/>
        <v>200</v>
      </c>
      <c r="HF17" s="79"/>
      <c r="HG17" s="12">
        <f t="shared" ca="1" si="366"/>
        <v>200</v>
      </c>
      <c r="HH17" s="18">
        <f t="shared" ca="1" si="99"/>
        <v>1</v>
      </c>
      <c r="HJ17" s="11">
        <f t="shared" ca="1" si="100"/>
        <v>200</v>
      </c>
      <c r="HK17" s="11">
        <f ca="1">INDEX(Totals[[#Data],[#Totals],[Car - Note]:[NONTRACKED]],MATCH(HJ$1,Totals[Date],0),MATCH($C17,Totals[[#Headers],[Car - Note]:[NONTRACKED]],0))</f>
        <v>-96.08467579908681</v>
      </c>
      <c r="HL17" s="11">
        <f t="shared" ca="1" si="367"/>
        <v>103.91532420091319</v>
      </c>
      <c r="HM17" s="11" t="s">
        <v>198</v>
      </c>
      <c r="HN17" s="11">
        <v>200</v>
      </c>
      <c r="HO17" s="11" t="b">
        <f t="shared" ca="1" si="368"/>
        <v>0</v>
      </c>
      <c r="HP17" s="92">
        <f t="shared" si="101"/>
        <v>1</v>
      </c>
      <c r="HQ17" s="11">
        <f t="shared" ca="1" si="102"/>
        <v>96.08467579908681</v>
      </c>
      <c r="HR17" s="11">
        <f t="shared" ca="1" si="369"/>
        <v>96.08467579908681</v>
      </c>
      <c r="HS17" s="92">
        <f t="shared" si="103"/>
        <v>0</v>
      </c>
      <c r="HT17" s="11">
        <f t="shared" ca="1" si="104"/>
        <v>0</v>
      </c>
      <c r="HU17" s="11">
        <f t="shared" ca="1" si="105"/>
        <v>0</v>
      </c>
      <c r="HV17" s="11">
        <f t="shared" ca="1" si="370"/>
        <v>0</v>
      </c>
      <c r="HW17" s="11">
        <f t="shared" ca="1" si="106"/>
        <v>200</v>
      </c>
      <c r="HX17" s="11">
        <f t="shared" ca="1" si="107"/>
        <v>0</v>
      </c>
      <c r="HY17" s="11">
        <f t="shared" ca="1" si="108"/>
        <v>1</v>
      </c>
      <c r="HZ17" s="12">
        <f t="shared" ca="1" si="109"/>
        <v>200</v>
      </c>
      <c r="IA17" s="79"/>
      <c r="IB17" s="12">
        <f t="shared" ca="1" si="371"/>
        <v>200</v>
      </c>
      <c r="IC17" s="18">
        <f t="shared" ca="1" si="110"/>
        <v>1</v>
      </c>
      <c r="IE17" s="13">
        <f t="shared" ca="1" si="111"/>
        <v>200</v>
      </c>
      <c r="IF17" s="13">
        <f ca="1">INDEX(Totals[[#Data],[#Totals],[Car - Note]:[NONTRACKED]],MATCH(IE$1,Totals[Date],0),MATCH($C17,Totals[[#Headers],[Car - Note]:[NONTRACKED]],0))</f>
        <v>-84.45370776255703</v>
      </c>
      <c r="IG17" s="13">
        <f t="shared" ca="1" si="372"/>
        <v>115.54629223744297</v>
      </c>
      <c r="IH17" s="13" t="s">
        <v>198</v>
      </c>
      <c r="II17" s="13">
        <v>200</v>
      </c>
      <c r="IJ17" s="13" t="b">
        <f t="shared" ca="1" si="373"/>
        <v>0</v>
      </c>
      <c r="IK17" s="94">
        <f t="shared" si="112"/>
        <v>1</v>
      </c>
      <c r="IL17" s="13">
        <f t="shared" ca="1" si="113"/>
        <v>84.45370776255703</v>
      </c>
      <c r="IM17" s="13">
        <f t="shared" ca="1" si="374"/>
        <v>84.45370776255703</v>
      </c>
      <c r="IN17" s="94">
        <f t="shared" si="114"/>
        <v>0</v>
      </c>
      <c r="IO17" s="13">
        <f t="shared" ca="1" si="115"/>
        <v>0</v>
      </c>
      <c r="IP17" s="13">
        <f t="shared" ca="1" si="116"/>
        <v>0</v>
      </c>
      <c r="IQ17" s="13">
        <f t="shared" ca="1" si="375"/>
        <v>0</v>
      </c>
      <c r="IR17" s="13">
        <f t="shared" ca="1" si="117"/>
        <v>200</v>
      </c>
      <c r="IS17" s="13">
        <f t="shared" ca="1" si="118"/>
        <v>0</v>
      </c>
      <c r="IT17" s="13">
        <f t="shared" ca="1" si="119"/>
        <v>1</v>
      </c>
      <c r="IU17" s="12">
        <f t="shared" ca="1" si="120"/>
        <v>200</v>
      </c>
      <c r="IV17" s="79"/>
      <c r="IW17" s="12">
        <f t="shared" ca="1" si="376"/>
        <v>200</v>
      </c>
      <c r="IX17" s="18">
        <f t="shared" ca="1" si="121"/>
        <v>1</v>
      </c>
      <c r="IZ17" s="19">
        <f t="shared" ca="1" si="122"/>
        <v>200</v>
      </c>
      <c r="JA17" s="19">
        <f ca="1">INDEX(Totals[[#Data],[#Totals],[Car - Note]:[NONTRACKED]],MATCH(IZ$1,Totals[Date],0),MATCH($C17,Totals[[#Headers],[Car - Note]:[NONTRACKED]],0))</f>
        <v>-69.229342465753462</v>
      </c>
      <c r="JB17" s="19">
        <f t="shared" ca="1" si="377"/>
        <v>130.77065753424654</v>
      </c>
      <c r="JC17" s="19" t="s">
        <v>198</v>
      </c>
      <c r="JD17" s="19">
        <v>200</v>
      </c>
      <c r="JE17" s="19" t="b">
        <f t="shared" ca="1" si="378"/>
        <v>0</v>
      </c>
      <c r="JF17" s="100">
        <f t="shared" si="123"/>
        <v>1</v>
      </c>
      <c r="JG17" s="19">
        <f t="shared" ca="1" si="124"/>
        <v>69.229342465753462</v>
      </c>
      <c r="JH17" s="19">
        <f t="shared" ca="1" si="379"/>
        <v>69.229342465753462</v>
      </c>
      <c r="JI17" s="100">
        <f t="shared" si="125"/>
        <v>0</v>
      </c>
      <c r="JJ17" s="19">
        <f t="shared" ca="1" si="126"/>
        <v>0</v>
      </c>
      <c r="JK17" s="19">
        <f t="shared" ca="1" si="127"/>
        <v>0</v>
      </c>
      <c r="JL17" s="19">
        <f t="shared" ca="1" si="380"/>
        <v>0</v>
      </c>
      <c r="JM17" s="19">
        <f t="shared" ca="1" si="128"/>
        <v>200</v>
      </c>
      <c r="JN17" s="19">
        <f t="shared" ca="1" si="129"/>
        <v>0</v>
      </c>
      <c r="JO17" s="19">
        <f t="shared" ca="1" si="130"/>
        <v>1</v>
      </c>
      <c r="JP17" s="12">
        <f t="shared" ca="1" si="131"/>
        <v>200</v>
      </c>
      <c r="JQ17" s="79"/>
      <c r="JR17" s="12">
        <f t="shared" ca="1" si="381"/>
        <v>200</v>
      </c>
      <c r="JS17" s="18">
        <f t="shared" ca="1" si="132"/>
        <v>1</v>
      </c>
      <c r="JU17" s="11">
        <f t="shared" ca="1" si="133"/>
        <v>200</v>
      </c>
      <c r="JV17" s="11">
        <f ca="1">INDEX(Totals[[#Data],[#Totals],[Car - Note]:[NONTRACKED]],MATCH(JU$1,Totals[Date],0),MATCH($C17,Totals[[#Headers],[Car - Note]:[NONTRACKED]],0))</f>
        <v>-37.354666666666667</v>
      </c>
      <c r="JW17" s="11">
        <f t="shared" ca="1" si="382"/>
        <v>162.64533333333333</v>
      </c>
      <c r="JX17" s="11" t="s">
        <v>198</v>
      </c>
      <c r="JY17" s="11">
        <v>200</v>
      </c>
      <c r="JZ17" s="11" t="b">
        <f t="shared" ca="1" si="383"/>
        <v>0</v>
      </c>
      <c r="KA17" s="92">
        <f t="shared" si="134"/>
        <v>1</v>
      </c>
      <c r="KB17" s="11">
        <f t="shared" ca="1" si="135"/>
        <v>37.354666666666674</v>
      </c>
      <c r="KC17" s="11">
        <f t="shared" ca="1" si="384"/>
        <v>37.354666666666674</v>
      </c>
      <c r="KD17" s="92">
        <f t="shared" si="136"/>
        <v>0</v>
      </c>
      <c r="KE17" s="11">
        <f t="shared" ca="1" si="137"/>
        <v>0</v>
      </c>
      <c r="KF17" s="11">
        <f t="shared" ca="1" si="138"/>
        <v>0</v>
      </c>
      <c r="KG17" s="11">
        <f t="shared" ca="1" si="385"/>
        <v>0</v>
      </c>
      <c r="KH17" s="11">
        <f t="shared" ca="1" si="139"/>
        <v>200</v>
      </c>
      <c r="KI17" s="11">
        <f t="shared" ca="1" si="140"/>
        <v>0</v>
      </c>
      <c r="KJ17" s="11">
        <f t="shared" ca="1" si="141"/>
        <v>1</v>
      </c>
      <c r="KK17" s="12">
        <f t="shared" ca="1" si="142"/>
        <v>200</v>
      </c>
      <c r="KL17" s="79"/>
      <c r="KM17" s="12">
        <f t="shared" ca="1" si="386"/>
        <v>200</v>
      </c>
      <c r="KN17" s="18">
        <f t="shared" ca="1" si="143"/>
        <v>1</v>
      </c>
      <c r="KP17" s="13">
        <f t="shared" ca="1" si="144"/>
        <v>200</v>
      </c>
      <c r="KQ17" s="13">
        <f ca="1">INDEX(Totals[[#Data],[#Totals],[Car - Note]:[NONTRACKED]],MATCH(KP$1,Totals[Date],0),MATCH($C17,Totals[[#Headers],[Car - Note]:[NONTRACKED]],0))</f>
        <v>-26.921666666666667</v>
      </c>
      <c r="KR17" s="13">
        <f t="shared" ca="1" si="387"/>
        <v>173.07833333333332</v>
      </c>
      <c r="KS17" s="13" t="s">
        <v>198</v>
      </c>
      <c r="KT17" s="13">
        <v>200</v>
      </c>
      <c r="KU17" s="13" t="b">
        <f t="shared" ca="1" si="388"/>
        <v>0</v>
      </c>
      <c r="KV17" s="94">
        <f t="shared" si="145"/>
        <v>1</v>
      </c>
      <c r="KW17" s="13">
        <f t="shared" ca="1" si="146"/>
        <v>26.921666666666681</v>
      </c>
      <c r="KX17" s="13">
        <f t="shared" ca="1" si="389"/>
        <v>26.921666666666681</v>
      </c>
      <c r="KY17" s="94">
        <f t="shared" si="147"/>
        <v>0</v>
      </c>
      <c r="KZ17" s="13">
        <f t="shared" ca="1" si="148"/>
        <v>0</v>
      </c>
      <c r="LA17" s="13">
        <f t="shared" ca="1" si="149"/>
        <v>0</v>
      </c>
      <c r="LB17" s="13">
        <f t="shared" ca="1" si="390"/>
        <v>0</v>
      </c>
      <c r="LC17" s="13">
        <f t="shared" ca="1" si="150"/>
        <v>200</v>
      </c>
      <c r="LD17" s="13">
        <f t="shared" ca="1" si="151"/>
        <v>0</v>
      </c>
      <c r="LE17" s="13">
        <f t="shared" ca="1" si="152"/>
        <v>1</v>
      </c>
      <c r="LF17" s="12">
        <f t="shared" ca="1" si="153"/>
        <v>200</v>
      </c>
      <c r="LG17" s="79"/>
      <c r="LH17" s="12">
        <f t="shared" ca="1" si="391"/>
        <v>200</v>
      </c>
      <c r="LI17" s="18">
        <f t="shared" ca="1" si="154"/>
        <v>1</v>
      </c>
      <c r="LK17" s="19">
        <f t="shared" ca="1" si="155"/>
        <v>200</v>
      </c>
      <c r="LL17" s="19">
        <f ca="1">INDEX(Totals[[#Data],[#Totals],[Car - Note]:[NONTRACKED]],MATCH(LK$1,Totals[Date],0),MATCH($C17,Totals[[#Headers],[Car - Note]:[NONTRACKED]],0))</f>
        <v>-33.002000000000002</v>
      </c>
      <c r="LM17" s="19">
        <f t="shared" ca="1" si="392"/>
        <v>166.99799999999999</v>
      </c>
      <c r="LN17" s="19" t="s">
        <v>198</v>
      </c>
      <c r="LO17" s="19">
        <v>200</v>
      </c>
      <c r="LP17" s="19" t="b">
        <f t="shared" ca="1" si="393"/>
        <v>0</v>
      </c>
      <c r="LQ17" s="100">
        <f t="shared" si="156"/>
        <v>1</v>
      </c>
      <c r="LR17" s="19">
        <f t="shared" ca="1" si="157"/>
        <v>33.00200000000001</v>
      </c>
      <c r="LS17" s="19">
        <f t="shared" ca="1" si="394"/>
        <v>33.00200000000001</v>
      </c>
      <c r="LT17" s="100">
        <f t="shared" si="158"/>
        <v>0</v>
      </c>
      <c r="LU17" s="19">
        <f t="shared" ca="1" si="159"/>
        <v>0</v>
      </c>
      <c r="LV17" s="19">
        <f t="shared" ca="1" si="160"/>
        <v>0</v>
      </c>
      <c r="LW17" s="19">
        <f t="shared" ca="1" si="395"/>
        <v>0</v>
      </c>
      <c r="LX17" s="19">
        <f t="shared" ca="1" si="161"/>
        <v>200</v>
      </c>
      <c r="LY17" s="19">
        <f t="shared" ca="1" si="162"/>
        <v>0</v>
      </c>
      <c r="LZ17" s="19">
        <f t="shared" ca="1" si="163"/>
        <v>1</v>
      </c>
      <c r="MA17" s="12">
        <f t="shared" ca="1" si="164"/>
        <v>200</v>
      </c>
      <c r="MB17" s="79"/>
      <c r="MC17" s="12">
        <f t="shared" ca="1" si="396"/>
        <v>200</v>
      </c>
      <c r="MD17" s="18">
        <f t="shared" ca="1" si="165"/>
        <v>1</v>
      </c>
      <c r="MF17" s="11">
        <f t="shared" ca="1" si="166"/>
        <v>200</v>
      </c>
      <c r="MG17" s="11">
        <f ca="1">INDEX(Totals[[#Data],[#Totals],[Car - Note]:[NONTRACKED]],MATCH(MF$1,Totals[Date],0),MATCH($C17,Totals[[#Headers],[Car - Note]:[NONTRACKED]],0))</f>
        <v>-62.656817518248175</v>
      </c>
      <c r="MH17" s="11">
        <f t="shared" ca="1" si="397"/>
        <v>137.34318248175182</v>
      </c>
      <c r="MI17" s="11" t="s">
        <v>198</v>
      </c>
      <c r="MJ17" s="11">
        <v>200</v>
      </c>
      <c r="MK17" s="11" t="b">
        <f t="shared" ca="1" si="398"/>
        <v>0</v>
      </c>
      <c r="ML17" s="92">
        <f t="shared" si="167"/>
        <v>1</v>
      </c>
      <c r="MM17" s="11">
        <f t="shared" ca="1" si="168"/>
        <v>62.656817518248175</v>
      </c>
      <c r="MN17" s="11">
        <f t="shared" ca="1" si="399"/>
        <v>62.656817518248175</v>
      </c>
      <c r="MO17" s="92">
        <f t="shared" si="169"/>
        <v>0</v>
      </c>
      <c r="MP17" s="11">
        <f t="shared" ca="1" si="170"/>
        <v>0</v>
      </c>
      <c r="MQ17" s="11">
        <f t="shared" ca="1" si="171"/>
        <v>0</v>
      </c>
      <c r="MR17" s="11">
        <f t="shared" ca="1" si="400"/>
        <v>0</v>
      </c>
      <c r="MS17" s="11">
        <f t="shared" ca="1" si="172"/>
        <v>200</v>
      </c>
      <c r="MT17" s="11">
        <f t="shared" ca="1" si="173"/>
        <v>0</v>
      </c>
      <c r="MU17" s="11">
        <f t="shared" ca="1" si="174"/>
        <v>1</v>
      </c>
      <c r="MV17" s="12">
        <f t="shared" ca="1" si="175"/>
        <v>200</v>
      </c>
      <c r="MW17" s="79"/>
      <c r="MX17" s="12">
        <f t="shared" ca="1" si="401"/>
        <v>200</v>
      </c>
      <c r="MY17" s="18">
        <f t="shared" ca="1" si="176"/>
        <v>1</v>
      </c>
      <c r="NA17" s="13">
        <f t="shared" ca="1" si="177"/>
        <v>200</v>
      </c>
      <c r="NB17" s="13">
        <f ca="1">INDEX(Totals[[#Data],[#Totals],[Car - Note]:[NONTRACKED]],MATCH(NA$1,Totals[Date],0),MATCH($C17,Totals[[#Headers],[Car - Note]:[NONTRACKED]],0))</f>
        <v>-116.82736940653761</v>
      </c>
      <c r="NC17" s="13">
        <f t="shared" ca="1" si="402"/>
        <v>83.172630593462387</v>
      </c>
      <c r="ND17" s="13" t="s">
        <v>198</v>
      </c>
      <c r="NE17" s="13">
        <v>200</v>
      </c>
      <c r="NF17" s="13" t="b">
        <f t="shared" ca="1" si="403"/>
        <v>0</v>
      </c>
      <c r="NG17" s="94">
        <f t="shared" si="178"/>
        <v>1</v>
      </c>
      <c r="NH17" s="13">
        <f t="shared" ca="1" si="179"/>
        <v>116.82736940653761</v>
      </c>
      <c r="NI17" s="13">
        <f t="shared" ca="1" si="404"/>
        <v>116.82736940653763</v>
      </c>
      <c r="NJ17" s="94">
        <f t="shared" si="180"/>
        <v>0</v>
      </c>
      <c r="NK17" s="13">
        <f t="shared" ca="1" si="181"/>
        <v>0</v>
      </c>
      <c r="NL17" s="13">
        <f t="shared" ca="1" si="182"/>
        <v>0</v>
      </c>
      <c r="NM17" s="13">
        <f t="shared" ca="1" si="405"/>
        <v>0</v>
      </c>
      <c r="NN17" s="13">
        <f t="shared" ca="1" si="183"/>
        <v>200</v>
      </c>
      <c r="NO17" s="13">
        <f t="shared" ca="1" si="184"/>
        <v>0</v>
      </c>
      <c r="NP17" s="13">
        <f t="shared" ca="1" si="185"/>
        <v>1</v>
      </c>
      <c r="NQ17" s="12">
        <f t="shared" ca="1" si="186"/>
        <v>200</v>
      </c>
      <c r="NR17" s="79"/>
      <c r="NS17" s="12">
        <f t="shared" ca="1" si="406"/>
        <v>200</v>
      </c>
      <c r="NT17" s="18">
        <f t="shared" ca="1" si="187"/>
        <v>1</v>
      </c>
      <c r="NV17" s="19">
        <f t="shared" ca="1" si="188"/>
        <v>200</v>
      </c>
      <c r="NW17" s="19">
        <f ca="1">INDEX(Totals[[#Data],[#Totals],[Car - Note]:[NONTRACKED]],MATCH(NV$1,Totals[Date],0),MATCH($C17,Totals[[#Headers],[Car - Note]:[NONTRACKED]],0))</f>
        <v>-94.880426213900336</v>
      </c>
      <c r="NX17" s="19">
        <f t="shared" ca="1" si="407"/>
        <v>105.11957378609966</v>
      </c>
      <c r="NY17" s="19" t="s">
        <v>198</v>
      </c>
      <c r="NZ17" s="19">
        <v>200</v>
      </c>
      <c r="OA17" s="19" t="b">
        <f t="shared" ca="1" si="408"/>
        <v>0</v>
      </c>
      <c r="OB17" s="100">
        <f t="shared" si="189"/>
        <v>1</v>
      </c>
      <c r="OC17" s="19">
        <f t="shared" ca="1" si="190"/>
        <v>94.880426213900336</v>
      </c>
      <c r="OD17" s="19">
        <f t="shared" ca="1" si="409"/>
        <v>94.880426213900336</v>
      </c>
      <c r="OE17" s="100">
        <f t="shared" si="191"/>
        <v>0</v>
      </c>
      <c r="OF17" s="19">
        <f t="shared" ca="1" si="192"/>
        <v>0</v>
      </c>
      <c r="OG17" s="19">
        <f t="shared" ca="1" si="193"/>
        <v>0</v>
      </c>
      <c r="OH17" s="19">
        <f t="shared" ca="1" si="410"/>
        <v>0</v>
      </c>
      <c r="OI17" s="19">
        <f t="shared" ca="1" si="194"/>
        <v>200</v>
      </c>
      <c r="OJ17" s="19">
        <f t="shared" ca="1" si="195"/>
        <v>0</v>
      </c>
      <c r="OK17" s="19">
        <f t="shared" ca="1" si="196"/>
        <v>1</v>
      </c>
      <c r="OL17" s="12">
        <f t="shared" ca="1" si="197"/>
        <v>200</v>
      </c>
      <c r="OM17" s="79"/>
      <c r="ON17" s="12">
        <f t="shared" ca="1" si="411"/>
        <v>200</v>
      </c>
      <c r="OO17" s="18">
        <f t="shared" ca="1" si="198"/>
        <v>1</v>
      </c>
      <c r="OQ17" s="11">
        <f t="shared" ca="1" si="199"/>
        <v>200</v>
      </c>
      <c r="OR17" s="11">
        <f ca="1">INDEX(Totals[[#Data],[#Totals],[Car - Note]:[NONTRACKED]],MATCH(OQ$1,Totals[Date],0),MATCH($C17,Totals[[#Headers],[Car - Note]:[NONTRACKED]],0))</f>
        <v>-200.3123114355231</v>
      </c>
      <c r="OS17" s="11">
        <f t="shared" ca="1" si="412"/>
        <v>-0.31231143552309959</v>
      </c>
      <c r="OT17" s="11" t="s">
        <v>198</v>
      </c>
      <c r="OU17" s="11">
        <v>200</v>
      </c>
      <c r="OV17" s="11" t="b">
        <f t="shared" ca="1" si="413"/>
        <v>0</v>
      </c>
      <c r="OW17" s="92">
        <f t="shared" si="200"/>
        <v>1</v>
      </c>
      <c r="OX17" s="11">
        <f t="shared" ca="1" si="201"/>
        <v>200.3123114355231</v>
      </c>
      <c r="OY17" s="11">
        <f t="shared" ca="1" si="414"/>
        <v>200.3123114355231</v>
      </c>
      <c r="OZ17" s="92">
        <f t="shared" si="202"/>
        <v>0</v>
      </c>
      <c r="PA17" s="11">
        <f t="shared" ca="1" si="203"/>
        <v>0</v>
      </c>
      <c r="PB17" s="11">
        <f t="shared" ca="1" si="204"/>
        <v>0</v>
      </c>
      <c r="PC17" s="11">
        <f t="shared" ca="1" si="415"/>
        <v>0</v>
      </c>
      <c r="PD17" s="11">
        <f t="shared" ca="1" si="205"/>
        <v>200</v>
      </c>
      <c r="PE17" s="11">
        <f t="shared" ca="1" si="206"/>
        <v>0</v>
      </c>
      <c r="PF17" s="11">
        <f t="shared" ca="1" si="207"/>
        <v>1</v>
      </c>
      <c r="PG17" s="12">
        <f t="shared" ca="1" si="208"/>
        <v>200</v>
      </c>
      <c r="PH17" s="79"/>
      <c r="PI17" s="12">
        <f t="shared" ca="1" si="416"/>
        <v>200</v>
      </c>
      <c r="PJ17" s="18">
        <f t="shared" ca="1" si="209"/>
        <v>1</v>
      </c>
      <c r="PL17" s="13">
        <f t="shared" ca="1" si="210"/>
        <v>200</v>
      </c>
      <c r="PM17" s="13">
        <f ca="1">INDEX(Totals[[#Data],[#Totals],[Car - Note]:[NONTRACKED]],MATCH(PL$1,Totals[Date],0),MATCH($C17,Totals[[#Headers],[Car - Note]:[NONTRACKED]],0))</f>
        <v>-167.28397810218979</v>
      </c>
      <c r="PN17" s="13">
        <f t="shared" ca="1" si="417"/>
        <v>32.716021897810208</v>
      </c>
      <c r="PO17" s="13" t="s">
        <v>198</v>
      </c>
      <c r="PP17" s="13">
        <v>200</v>
      </c>
      <c r="PQ17" s="13" t="b">
        <f t="shared" ca="1" si="418"/>
        <v>0</v>
      </c>
      <c r="PR17" s="94">
        <f t="shared" si="211"/>
        <v>1</v>
      </c>
      <c r="PS17" s="13">
        <f t="shared" ca="1" si="212"/>
        <v>167.28397810218979</v>
      </c>
      <c r="PT17" s="13">
        <f t="shared" ca="1" si="419"/>
        <v>167.28397810218979</v>
      </c>
      <c r="PU17" s="94">
        <f t="shared" si="213"/>
        <v>0</v>
      </c>
      <c r="PV17" s="13">
        <f t="shared" ca="1" si="214"/>
        <v>0</v>
      </c>
      <c r="PW17" s="13">
        <f t="shared" ca="1" si="215"/>
        <v>0</v>
      </c>
      <c r="PX17" s="13">
        <f t="shared" ca="1" si="420"/>
        <v>0</v>
      </c>
      <c r="PY17" s="13">
        <f t="shared" ca="1" si="216"/>
        <v>200</v>
      </c>
      <c r="PZ17" s="13">
        <f t="shared" ca="1" si="217"/>
        <v>0</v>
      </c>
      <c r="QA17" s="13">
        <f t="shared" ca="1" si="218"/>
        <v>1</v>
      </c>
      <c r="QB17" s="12">
        <f t="shared" ca="1" si="219"/>
        <v>200</v>
      </c>
      <c r="QC17" s="79"/>
      <c r="QD17" s="12">
        <f t="shared" ca="1" si="421"/>
        <v>200</v>
      </c>
      <c r="QE17" s="18">
        <f t="shared" ca="1" si="220"/>
        <v>1</v>
      </c>
      <c r="QG17" s="19">
        <f t="shared" ca="1" si="221"/>
        <v>200</v>
      </c>
      <c r="QH17" s="19">
        <f ca="1">INDEX(Totals[[#Data],[#Totals],[Car - Note]:[NONTRACKED]],MATCH(QG$1,Totals[Date],0),MATCH($C17,Totals[[#Headers],[Car - Note]:[NONTRACKED]],0))</f>
        <v>-144.45881751824817</v>
      </c>
      <c r="QI17" s="19">
        <f t="shared" ca="1" si="422"/>
        <v>55.541182481751832</v>
      </c>
      <c r="QJ17" s="19" t="s">
        <v>198</v>
      </c>
      <c r="QK17" s="19">
        <v>200</v>
      </c>
      <c r="QL17" s="19" t="b">
        <f t="shared" ca="1" si="423"/>
        <v>0</v>
      </c>
      <c r="QM17" s="100">
        <f t="shared" si="222"/>
        <v>1</v>
      </c>
      <c r="QN17" s="19">
        <f t="shared" ca="1" si="223"/>
        <v>144.45881751824817</v>
      </c>
      <c r="QO17" s="19">
        <f t="shared" ca="1" si="424"/>
        <v>144.45881751824817</v>
      </c>
      <c r="QP17" s="100">
        <f t="shared" si="224"/>
        <v>0</v>
      </c>
      <c r="QQ17" s="19">
        <f t="shared" ca="1" si="225"/>
        <v>0</v>
      </c>
      <c r="QR17" s="19">
        <f t="shared" ca="1" si="226"/>
        <v>0</v>
      </c>
      <c r="QS17" s="19">
        <f t="shared" ca="1" si="425"/>
        <v>0</v>
      </c>
      <c r="QT17" s="19">
        <f t="shared" ca="1" si="227"/>
        <v>200</v>
      </c>
      <c r="QU17" s="19">
        <f t="shared" ca="1" si="228"/>
        <v>0</v>
      </c>
      <c r="QV17" s="19">
        <f t="shared" ca="1" si="229"/>
        <v>1</v>
      </c>
      <c r="QW17" s="12">
        <f t="shared" ca="1" si="230"/>
        <v>200</v>
      </c>
      <c r="QX17" s="79"/>
      <c r="QY17" s="12">
        <f t="shared" ca="1" si="426"/>
        <v>200</v>
      </c>
      <c r="QZ17" s="18">
        <f t="shared" ca="1" si="231"/>
        <v>1</v>
      </c>
      <c r="RB17" s="11">
        <f t="shared" ca="1" si="232"/>
        <v>200</v>
      </c>
      <c r="RC17" s="11">
        <f ca="1">INDEX(Totals[[#Data],[#Totals],[Car - Note]:[NONTRACKED]],MATCH(RB$1,Totals[Date],0),MATCH($C17,Totals[[#Headers],[Car - Note]:[NONTRACKED]],0))</f>
        <v>-142.02564476885644</v>
      </c>
      <c r="RD17" s="11">
        <f t="shared" ca="1" si="427"/>
        <v>57.974355231143562</v>
      </c>
      <c r="RE17" s="11" t="s">
        <v>198</v>
      </c>
      <c r="RF17" s="11">
        <v>200</v>
      </c>
      <c r="RG17" s="11" t="b">
        <f t="shared" ca="1" si="428"/>
        <v>0</v>
      </c>
      <c r="RH17" s="92">
        <f t="shared" si="233"/>
        <v>1</v>
      </c>
      <c r="RI17" s="11">
        <f t="shared" ca="1" si="234"/>
        <v>142.02564476885644</v>
      </c>
      <c r="RJ17" s="11">
        <f t="shared" ca="1" si="429"/>
        <v>142.02564476885644</v>
      </c>
      <c r="RK17" s="92">
        <f t="shared" si="235"/>
        <v>0</v>
      </c>
      <c r="RL17" s="11">
        <f t="shared" ca="1" si="236"/>
        <v>0</v>
      </c>
      <c r="RM17" s="11">
        <f t="shared" ca="1" si="237"/>
        <v>0</v>
      </c>
      <c r="RN17" s="11">
        <f t="shared" ca="1" si="430"/>
        <v>0</v>
      </c>
      <c r="RO17" s="11">
        <f t="shared" ca="1" si="238"/>
        <v>200</v>
      </c>
      <c r="RP17" s="11">
        <f t="shared" ca="1" si="239"/>
        <v>0</v>
      </c>
      <c r="RQ17" s="11">
        <f t="shared" ca="1" si="240"/>
        <v>1</v>
      </c>
      <c r="RR17" s="12">
        <f t="shared" ca="1" si="241"/>
        <v>200</v>
      </c>
      <c r="RS17" s="79"/>
      <c r="RT17" s="12">
        <f t="shared" ca="1" si="431"/>
        <v>200</v>
      </c>
      <c r="RU17" s="18">
        <f t="shared" ca="1" si="242"/>
        <v>1</v>
      </c>
      <c r="RW17" s="13">
        <f t="shared" ca="1" si="243"/>
        <v>200</v>
      </c>
      <c r="RX17" s="13">
        <f ca="1">INDEX(Totals[[#Data],[#Totals],[Car - Note]:[NONTRACKED]],MATCH(RW$1,Totals[Date],0),MATCH($C17,Totals[[#Headers],[Car - Note]:[NONTRACKED]],0))</f>
        <v>-127.65881751824818</v>
      </c>
      <c r="RY17" s="13">
        <f t="shared" ca="1" si="432"/>
        <v>72.341182481751815</v>
      </c>
      <c r="RZ17" s="13" t="s">
        <v>198</v>
      </c>
      <c r="SA17" s="13">
        <v>200</v>
      </c>
      <c r="SB17" s="13" t="b">
        <f t="shared" ca="1" si="433"/>
        <v>0</v>
      </c>
      <c r="SC17" s="94">
        <f t="shared" si="244"/>
        <v>1</v>
      </c>
      <c r="SD17" s="13">
        <f t="shared" ca="1" si="245"/>
        <v>127.65881751824818</v>
      </c>
      <c r="SE17" s="13">
        <f t="shared" ca="1" si="434"/>
        <v>127.65881751824818</v>
      </c>
      <c r="SF17" s="94">
        <f t="shared" si="246"/>
        <v>0</v>
      </c>
      <c r="SG17" s="13">
        <f t="shared" ca="1" si="247"/>
        <v>0</v>
      </c>
      <c r="SH17" s="13">
        <f t="shared" ca="1" si="248"/>
        <v>0</v>
      </c>
      <c r="SI17" s="13">
        <f t="shared" ca="1" si="435"/>
        <v>0</v>
      </c>
      <c r="SJ17" s="13">
        <f t="shared" ca="1" si="249"/>
        <v>200</v>
      </c>
      <c r="SK17" s="13">
        <f t="shared" ca="1" si="250"/>
        <v>0</v>
      </c>
      <c r="SL17" s="13">
        <f t="shared" ca="1" si="251"/>
        <v>1</v>
      </c>
      <c r="SM17" s="12">
        <f t="shared" ca="1" si="252"/>
        <v>200</v>
      </c>
      <c r="SN17" s="79"/>
      <c r="SO17" s="12">
        <f t="shared" ca="1" si="436"/>
        <v>200</v>
      </c>
      <c r="SP17" s="18">
        <f t="shared" ca="1" si="253"/>
        <v>1</v>
      </c>
      <c r="SR17" s="19">
        <f t="shared" ca="1" si="254"/>
        <v>200</v>
      </c>
      <c r="SS17" s="19">
        <f ca="1">INDEX(Totals[[#Data],[#Totals],[Car - Note]:[NONTRACKED]],MATCH(SR$1,Totals[Date],0),MATCH($C17,Totals[[#Headers],[Car - Note]:[NONTRACKED]],0))</f>
        <v>-131.75815085158149</v>
      </c>
      <c r="ST17" s="19">
        <f t="shared" ca="1" si="437"/>
        <v>68.24184914841851</v>
      </c>
      <c r="SU17" s="19" t="s">
        <v>198</v>
      </c>
      <c r="SV17" s="19">
        <v>200</v>
      </c>
      <c r="SW17" s="19" t="b">
        <f t="shared" ca="1" si="438"/>
        <v>0</v>
      </c>
      <c r="SX17" s="100">
        <f t="shared" si="255"/>
        <v>1</v>
      </c>
      <c r="SY17" s="19">
        <f t="shared" ca="1" si="256"/>
        <v>131.75815085158149</v>
      </c>
      <c r="SZ17" s="19">
        <f t="shared" ca="1" si="439"/>
        <v>131.75815085158149</v>
      </c>
      <c r="TA17" s="100">
        <f t="shared" si="257"/>
        <v>0</v>
      </c>
      <c r="TB17" s="19">
        <f t="shared" ca="1" si="258"/>
        <v>0</v>
      </c>
      <c r="TC17" s="19">
        <f t="shared" ca="1" si="259"/>
        <v>0</v>
      </c>
      <c r="TD17" s="19">
        <f t="shared" ca="1" si="440"/>
        <v>0</v>
      </c>
      <c r="TE17" s="19">
        <f t="shared" ca="1" si="260"/>
        <v>200</v>
      </c>
      <c r="TF17" s="19">
        <f t="shared" ca="1" si="261"/>
        <v>0</v>
      </c>
      <c r="TG17" s="19">
        <f t="shared" ca="1" si="262"/>
        <v>1</v>
      </c>
      <c r="TH17" s="12">
        <f t="shared" ca="1" si="263"/>
        <v>200</v>
      </c>
      <c r="TI17" s="79"/>
      <c r="TJ17" s="12">
        <f t="shared" ca="1" si="441"/>
        <v>200</v>
      </c>
      <c r="TK17" s="18">
        <f t="shared" ca="1" si="264"/>
        <v>1</v>
      </c>
      <c r="TM17" s="11">
        <f t="shared" ca="1" si="265"/>
        <v>200</v>
      </c>
      <c r="TN17" s="11">
        <f ca="1">INDEX(Totals[[#Data],[#Totals],[Car - Note]:[NONTRACKED]],MATCH(TM$1,Totals[Date],0),MATCH($C17,Totals[[#Headers],[Car - Note]:[NONTRACKED]],0))</f>
        <v>-136.74433333333334</v>
      </c>
      <c r="TO17" s="11">
        <f t="shared" ca="1" si="442"/>
        <v>63.255666666666656</v>
      </c>
      <c r="TP17" s="11" t="s">
        <v>198</v>
      </c>
      <c r="TQ17" s="11">
        <v>200</v>
      </c>
      <c r="TR17" s="11" t="b">
        <f t="shared" ca="1" si="443"/>
        <v>0</v>
      </c>
      <c r="TS17" s="92">
        <f t="shared" si="266"/>
        <v>1</v>
      </c>
      <c r="TT17" s="11">
        <f t="shared" ca="1" si="267"/>
        <v>136.74433333333334</v>
      </c>
      <c r="TU17" s="11">
        <f t="shared" ca="1" si="444"/>
        <v>136.74433333333334</v>
      </c>
      <c r="TV17" s="92">
        <f t="shared" si="268"/>
        <v>0</v>
      </c>
      <c r="TW17" s="11">
        <f t="shared" ca="1" si="269"/>
        <v>0</v>
      </c>
      <c r="TX17" s="11">
        <f t="shared" ca="1" si="270"/>
        <v>0</v>
      </c>
      <c r="TY17" s="11">
        <f t="shared" ca="1" si="445"/>
        <v>0</v>
      </c>
      <c r="TZ17" s="11">
        <f t="shared" ca="1" si="271"/>
        <v>200</v>
      </c>
      <c r="UA17" s="11">
        <f t="shared" ca="1" si="272"/>
        <v>0</v>
      </c>
      <c r="UB17" s="11">
        <f t="shared" ca="1" si="273"/>
        <v>1</v>
      </c>
      <c r="UC17" s="12">
        <f t="shared" ca="1" si="274"/>
        <v>200</v>
      </c>
      <c r="UD17" s="79"/>
      <c r="UE17" s="12">
        <f t="shared" ca="1" si="446"/>
        <v>200</v>
      </c>
      <c r="UF17" s="18">
        <f t="shared" ca="1" si="275"/>
        <v>1</v>
      </c>
      <c r="UH17" s="13">
        <f t="shared" ca="1" si="276"/>
        <v>200</v>
      </c>
      <c r="UI17" s="13">
        <f ca="1">INDEX(Totals[[#Data],[#Totals],[Car - Note]:[NONTRACKED]],MATCH(UH$1,Totals[Date],0),MATCH($C17,Totals[[#Headers],[Car - Note]:[NONTRACKED]],0))</f>
        <v>-207.179</v>
      </c>
      <c r="UJ17" s="13">
        <f t="shared" ca="1" si="447"/>
        <v>-7.179000000000002</v>
      </c>
      <c r="UK17" s="13" t="s">
        <v>198</v>
      </c>
      <c r="UL17" s="13">
        <v>200</v>
      </c>
      <c r="UM17" s="13" t="b">
        <f t="shared" ca="1" si="448"/>
        <v>0</v>
      </c>
      <c r="UN17" s="94">
        <f t="shared" si="277"/>
        <v>1</v>
      </c>
      <c r="UO17" s="13">
        <f t="shared" ca="1" si="278"/>
        <v>207.179</v>
      </c>
      <c r="UP17" s="13">
        <f t="shared" ca="1" si="449"/>
        <v>207.179</v>
      </c>
      <c r="UQ17" s="94">
        <f t="shared" si="279"/>
        <v>0</v>
      </c>
      <c r="UR17" s="13">
        <f t="shared" ca="1" si="280"/>
        <v>0</v>
      </c>
      <c r="US17" s="13">
        <f t="shared" ca="1" si="281"/>
        <v>0</v>
      </c>
      <c r="UT17" s="13">
        <f t="shared" ca="1" si="450"/>
        <v>0</v>
      </c>
      <c r="UU17" s="13">
        <f t="shared" ca="1" si="282"/>
        <v>200</v>
      </c>
      <c r="UV17" s="13">
        <f t="shared" ca="1" si="283"/>
        <v>0</v>
      </c>
      <c r="UW17" s="13">
        <f t="shared" ca="1" si="284"/>
        <v>1</v>
      </c>
      <c r="UX17" s="12">
        <f t="shared" ca="1" si="285"/>
        <v>200</v>
      </c>
      <c r="UY17" s="79"/>
      <c r="UZ17" s="12">
        <f t="shared" ca="1" si="451"/>
        <v>200</v>
      </c>
      <c r="VA17" s="18">
        <f t="shared" ca="1" si="286"/>
        <v>1</v>
      </c>
      <c r="VC17" s="19">
        <f t="shared" ca="1" si="287"/>
        <v>200</v>
      </c>
      <c r="VD17" s="19">
        <f ca="1">INDEX(Totals[[#Data],[#Totals],[Car - Note]:[NONTRACKED]],MATCH(VC$1,Totals[Date],0),MATCH($C17,Totals[[#Headers],[Car - Note]:[NONTRACKED]],0))</f>
        <v>-196.34</v>
      </c>
      <c r="VE17" s="19">
        <f t="shared" ca="1" si="452"/>
        <v>3.6599999999999966</v>
      </c>
      <c r="VF17" s="19" t="s">
        <v>198</v>
      </c>
      <c r="VG17" s="19">
        <v>200</v>
      </c>
      <c r="VH17" s="19" t="b">
        <f t="shared" ca="1" si="453"/>
        <v>0</v>
      </c>
      <c r="VI17" s="100">
        <f t="shared" si="288"/>
        <v>1</v>
      </c>
      <c r="VJ17" s="19">
        <f t="shared" ca="1" si="289"/>
        <v>196.34</v>
      </c>
      <c r="VK17" s="19">
        <f t="shared" ca="1" si="454"/>
        <v>196.34</v>
      </c>
      <c r="VL17" s="100">
        <f t="shared" si="290"/>
        <v>0</v>
      </c>
      <c r="VM17" s="19">
        <f t="shared" ca="1" si="291"/>
        <v>0</v>
      </c>
      <c r="VN17" s="19">
        <f t="shared" ca="1" si="292"/>
        <v>0</v>
      </c>
      <c r="VO17" s="19">
        <f t="shared" ca="1" si="455"/>
        <v>0</v>
      </c>
      <c r="VP17" s="19">
        <f t="shared" ca="1" si="293"/>
        <v>200</v>
      </c>
      <c r="VQ17" s="19">
        <f t="shared" ca="1" si="294"/>
        <v>0</v>
      </c>
      <c r="VR17" s="19">
        <f t="shared" ca="1" si="295"/>
        <v>1</v>
      </c>
      <c r="VS17" s="12">
        <f t="shared" ca="1" si="296"/>
        <v>200</v>
      </c>
      <c r="VT17" s="79"/>
      <c r="VU17" s="12">
        <f t="shared" ca="1" si="456"/>
        <v>200</v>
      </c>
      <c r="VV17" s="18">
        <f t="shared" ca="1" si="297"/>
        <v>1</v>
      </c>
      <c r="VX17" s="11">
        <f t="shared" ca="1" si="298"/>
        <v>200</v>
      </c>
      <c r="VY17" s="11">
        <f ca="1">INDEX(Totals[[#Data],[#Totals],[Car - Note]:[NONTRACKED]],MATCH(VX$1,Totals[Date],0),MATCH($C17,Totals[[#Headers],[Car - Note]:[NONTRACKED]],0))</f>
        <v>-193.12033333333332</v>
      </c>
      <c r="VZ17" s="11">
        <f t="shared" ca="1" si="457"/>
        <v>6.8796666666666795</v>
      </c>
      <c r="WA17" s="11" t="s">
        <v>198</v>
      </c>
      <c r="WB17" s="11">
        <v>200</v>
      </c>
      <c r="WC17" s="11" t="b">
        <f t="shared" ca="1" si="458"/>
        <v>0</v>
      </c>
      <c r="WD17" s="92">
        <f t="shared" si="299"/>
        <v>1</v>
      </c>
      <c r="WE17" s="11">
        <f t="shared" ca="1" si="300"/>
        <v>193.12033333333332</v>
      </c>
      <c r="WF17" s="11">
        <f t="shared" ca="1" si="459"/>
        <v>193.12033333333332</v>
      </c>
      <c r="WG17" s="92">
        <f t="shared" si="301"/>
        <v>0</v>
      </c>
      <c r="WH17" s="11">
        <f t="shared" ca="1" si="302"/>
        <v>0</v>
      </c>
      <c r="WI17" s="11">
        <f t="shared" ca="1" si="303"/>
        <v>0</v>
      </c>
      <c r="WJ17" s="11">
        <f t="shared" ca="1" si="460"/>
        <v>0</v>
      </c>
      <c r="WK17" s="11">
        <f t="shared" ca="1" si="304"/>
        <v>200</v>
      </c>
      <c r="WL17" s="11">
        <f t="shared" ca="1" si="305"/>
        <v>0</v>
      </c>
      <c r="WM17" s="11">
        <f t="shared" ca="1" si="306"/>
        <v>1</v>
      </c>
      <c r="WN17" s="12">
        <f t="shared" ca="1" si="307"/>
        <v>200</v>
      </c>
      <c r="WO17" s="79"/>
      <c r="WP17" s="12">
        <f t="shared" ca="1" si="461"/>
        <v>200</v>
      </c>
      <c r="WQ17" s="18">
        <f t="shared" ca="1" si="308"/>
        <v>1</v>
      </c>
      <c r="WS17" s="13">
        <f t="shared" ca="1" si="309"/>
        <v>200</v>
      </c>
      <c r="WT17" s="13">
        <f ca="1">INDEX(Totals[[#Data],[#Totals],[Car - Note]:[NONTRACKED]],MATCH(WS$1,Totals[Date],0),MATCH($C17,Totals[[#Headers],[Car - Note]:[NONTRACKED]],0))</f>
        <v>-158.73736559139786</v>
      </c>
      <c r="WU17" s="13">
        <f t="shared" ca="1" si="462"/>
        <v>41.262634408602139</v>
      </c>
      <c r="WV17" s="13" t="s">
        <v>198</v>
      </c>
      <c r="WW17" s="13">
        <v>200</v>
      </c>
      <c r="WX17" s="13" t="b">
        <f t="shared" ca="1" si="463"/>
        <v>0</v>
      </c>
      <c r="WY17" s="94">
        <f t="shared" si="310"/>
        <v>1</v>
      </c>
      <c r="WZ17" s="13">
        <f t="shared" ca="1" si="311"/>
        <v>158.73736559139786</v>
      </c>
      <c r="XA17" s="13">
        <f t="shared" ca="1" si="464"/>
        <v>158.73736559139786</v>
      </c>
      <c r="XB17" s="94">
        <f t="shared" si="312"/>
        <v>0</v>
      </c>
      <c r="XC17" s="13">
        <f t="shared" ca="1" si="313"/>
        <v>0</v>
      </c>
      <c r="XD17" s="13">
        <f t="shared" ca="1" si="314"/>
        <v>0</v>
      </c>
      <c r="XE17" s="13">
        <f t="shared" ca="1" si="465"/>
        <v>0</v>
      </c>
      <c r="XF17" s="13">
        <f t="shared" ca="1" si="315"/>
        <v>200</v>
      </c>
      <c r="XG17" s="13">
        <f t="shared" ca="1" si="316"/>
        <v>0</v>
      </c>
      <c r="XH17" s="13">
        <f t="shared" ca="1" si="317"/>
        <v>1</v>
      </c>
      <c r="XI17" s="12">
        <f t="shared" ca="1" si="318"/>
        <v>200</v>
      </c>
      <c r="XJ17" s="104">
        <f t="shared" ca="1" si="471"/>
        <v>0</v>
      </c>
      <c r="XK17" s="12">
        <f t="shared" ca="1" si="466"/>
        <v>200</v>
      </c>
      <c r="XL17" s="18">
        <f t="shared" ca="1" si="320"/>
        <v>1</v>
      </c>
      <c r="XN17">
        <v>7.4999999999999997E-2</v>
      </c>
      <c r="XO17" s="103">
        <f t="shared" ca="1" si="467"/>
        <v>15</v>
      </c>
      <c r="XP17" s="12">
        <f t="shared" ca="1" si="468"/>
        <v>185</v>
      </c>
      <c r="XQ17" s="102">
        <f t="shared" ca="1" si="469"/>
        <v>0.92500000000000004</v>
      </c>
    </row>
    <row r="18" spans="1:641" x14ac:dyDescent="0.25">
      <c r="A18" s="112"/>
      <c r="B18" t="s">
        <v>45</v>
      </c>
      <c r="C18" t="s">
        <v>30</v>
      </c>
      <c r="D18" s="79">
        <v>-80</v>
      </c>
      <c r="E18" t="b">
        <f>TRUE</f>
        <v>1</v>
      </c>
      <c r="H18" s="48">
        <v>0</v>
      </c>
      <c r="I18" s="48"/>
      <c r="J18" s="48"/>
      <c r="K18" s="48" t="s">
        <v>198</v>
      </c>
      <c r="L18" s="95">
        <v>0</v>
      </c>
      <c r="M18" s="48"/>
      <c r="N18" s="96"/>
      <c r="O18" s="48"/>
      <c r="P18" s="48"/>
      <c r="Q18" s="96"/>
      <c r="R18" s="48"/>
      <c r="S18" s="48"/>
      <c r="T18" s="48"/>
      <c r="U18" s="48"/>
      <c r="V18" s="48"/>
      <c r="W18" s="48"/>
      <c r="X18" s="48"/>
      <c r="Y18" s="48"/>
      <c r="Z18" s="48">
        <f t="shared" si="321"/>
        <v>0</v>
      </c>
      <c r="AA18" s="98" t="str">
        <f t="shared" si="0"/>
        <v>NA</v>
      </c>
      <c r="AC18" s="11">
        <f t="shared" si="1"/>
        <v>0</v>
      </c>
      <c r="AD18" s="11">
        <f ca="1">INDEX(Totals[[#Data],[#Totals],[Car - Note]:[NONTRACKED]],MATCH(AC$1,Totals[Date],0),MATCH($C18,Totals[[#Headers],[Car - Note]:[NONTRACKED]],0))</f>
        <v>0</v>
      </c>
      <c r="AE18" s="11">
        <f t="shared" ca="1" si="322"/>
        <v>0</v>
      </c>
      <c r="AF18" s="11" t="s">
        <v>198</v>
      </c>
      <c r="AG18" s="11">
        <v>0</v>
      </c>
      <c r="AH18" s="11" t="b">
        <f t="shared" ca="1" si="323"/>
        <v>1</v>
      </c>
      <c r="AI18" s="92">
        <f t="shared" si="2"/>
        <v>1</v>
      </c>
      <c r="AJ18" s="11">
        <f t="shared" ca="1" si="3"/>
        <v>0</v>
      </c>
      <c r="AK18" s="11">
        <f t="shared" ca="1" si="324"/>
        <v>0</v>
      </c>
      <c r="AL18" s="92">
        <f t="shared" si="4"/>
        <v>0</v>
      </c>
      <c r="AM18" s="11">
        <f t="shared" ca="1" si="5"/>
        <v>0</v>
      </c>
      <c r="AN18" s="11">
        <f t="shared" ca="1" si="6"/>
        <v>0</v>
      </c>
      <c r="AO18" s="11">
        <f t="shared" ca="1" si="325"/>
        <v>0</v>
      </c>
      <c r="AP18" s="11">
        <f t="shared" ca="1" si="7"/>
        <v>0</v>
      </c>
      <c r="AQ18" s="11">
        <f t="shared" ca="1" si="8"/>
        <v>0</v>
      </c>
      <c r="AR18" s="11" t="str">
        <f t="shared" si="9"/>
        <v>NA</v>
      </c>
      <c r="AS18" s="12">
        <f t="shared" ca="1" si="10"/>
        <v>0</v>
      </c>
      <c r="AT18" s="12"/>
      <c r="AU18" s="12">
        <f t="shared" ca="1" si="326"/>
        <v>0</v>
      </c>
      <c r="AV18" s="18" t="str">
        <f t="shared" si="11"/>
        <v>NA</v>
      </c>
      <c r="AX18" s="13">
        <f t="shared" ca="1" si="12"/>
        <v>0</v>
      </c>
      <c r="AY18" s="13">
        <f ca="1">INDEX(Totals[[#Data],[#Totals],[Car - Note]:[NONTRACKED]],MATCH(AX$1,Totals[Date],0),MATCH($C18,Totals[[#Headers],[Car - Note]:[NONTRACKED]],0))</f>
        <v>0</v>
      </c>
      <c r="AZ18" s="13">
        <f t="shared" ca="1" si="327"/>
        <v>0</v>
      </c>
      <c r="BA18" s="13" t="s">
        <v>198</v>
      </c>
      <c r="BB18" s="13">
        <v>40</v>
      </c>
      <c r="BC18" s="13" t="b">
        <f t="shared" ca="1" si="328"/>
        <v>0</v>
      </c>
      <c r="BD18" s="94">
        <f t="shared" si="13"/>
        <v>1</v>
      </c>
      <c r="BE18" s="13">
        <f t="shared" ca="1" si="14"/>
        <v>40</v>
      </c>
      <c r="BF18" s="13">
        <f t="shared" ca="1" si="329"/>
        <v>40</v>
      </c>
      <c r="BG18" s="94">
        <f t="shared" si="15"/>
        <v>0</v>
      </c>
      <c r="BH18" s="13">
        <f t="shared" ca="1" si="16"/>
        <v>0</v>
      </c>
      <c r="BI18" s="13">
        <f t="shared" ca="1" si="17"/>
        <v>0</v>
      </c>
      <c r="BJ18" s="13">
        <f t="shared" ca="1" si="330"/>
        <v>0</v>
      </c>
      <c r="BK18" s="13">
        <f t="shared" ca="1" si="18"/>
        <v>40</v>
      </c>
      <c r="BL18" s="13">
        <f t="shared" ca="1" si="19"/>
        <v>0</v>
      </c>
      <c r="BM18" s="13">
        <f t="shared" ca="1" si="20"/>
        <v>1</v>
      </c>
      <c r="BN18" s="12">
        <f t="shared" ca="1" si="21"/>
        <v>40</v>
      </c>
      <c r="BO18" s="12"/>
      <c r="BP18" s="12">
        <f t="shared" ca="1" si="331"/>
        <v>40</v>
      </c>
      <c r="BQ18" s="18">
        <f t="shared" ca="1" si="22"/>
        <v>1</v>
      </c>
      <c r="BS18" s="19">
        <f t="shared" ca="1" si="23"/>
        <v>40</v>
      </c>
      <c r="BT18" s="19">
        <f ca="1">INDEX(Totals[[#Data],[#Totals],[Car - Note]:[NONTRACKED]],MATCH(BS$1,Totals[Date],0),MATCH($C18,Totals[[#Headers],[Car - Note]:[NONTRACKED]],0))</f>
        <v>-0.83333333333333337</v>
      </c>
      <c r="BU18" s="19">
        <f t="shared" ca="1" si="332"/>
        <v>39.166666666666664</v>
      </c>
      <c r="BV18" s="19" t="s">
        <v>198</v>
      </c>
      <c r="BW18" s="19">
        <v>100</v>
      </c>
      <c r="BX18" s="19" t="b">
        <f t="shared" ca="1" si="333"/>
        <v>0</v>
      </c>
      <c r="BY18" s="100">
        <f t="shared" si="24"/>
        <v>1</v>
      </c>
      <c r="BZ18" s="19">
        <f t="shared" ca="1" si="25"/>
        <v>60.833333333333336</v>
      </c>
      <c r="CA18" s="19">
        <f t="shared" ca="1" si="334"/>
        <v>60.833333333333336</v>
      </c>
      <c r="CB18" s="100">
        <f t="shared" si="26"/>
        <v>0</v>
      </c>
      <c r="CC18" s="19">
        <f t="shared" ca="1" si="27"/>
        <v>0</v>
      </c>
      <c r="CD18" s="19">
        <f t="shared" ca="1" si="28"/>
        <v>0</v>
      </c>
      <c r="CE18" s="19">
        <f t="shared" ca="1" si="335"/>
        <v>0</v>
      </c>
      <c r="CF18" s="19">
        <f t="shared" ca="1" si="29"/>
        <v>100</v>
      </c>
      <c r="CG18" s="19">
        <f t="shared" ca="1" si="30"/>
        <v>0</v>
      </c>
      <c r="CH18" s="19">
        <f t="shared" ca="1" si="31"/>
        <v>1</v>
      </c>
      <c r="CI18" s="12">
        <f t="shared" ca="1" si="32"/>
        <v>100</v>
      </c>
      <c r="CJ18" s="79"/>
      <c r="CK18" s="12">
        <f t="shared" ca="1" si="336"/>
        <v>100</v>
      </c>
      <c r="CL18" s="18">
        <f t="shared" ca="1" si="33"/>
        <v>1</v>
      </c>
      <c r="CN18" s="11">
        <f t="shared" ca="1" si="34"/>
        <v>100</v>
      </c>
      <c r="CO18" s="11">
        <f ca="1">INDEX(Totals[[#Data],[#Totals],[Car - Note]:[NONTRACKED]],MATCH(CN$1,Totals[Date],0),MATCH($C18,Totals[[#Headers],[Car - Note]:[NONTRACKED]],0))</f>
        <v>-65.782666666666671</v>
      </c>
      <c r="CP18" s="11">
        <f t="shared" ca="1" si="337"/>
        <v>34.217333333333329</v>
      </c>
      <c r="CQ18" s="11" t="s">
        <v>198</v>
      </c>
      <c r="CR18" s="11">
        <v>200</v>
      </c>
      <c r="CS18" s="11" t="b">
        <f t="shared" ca="1" si="338"/>
        <v>0</v>
      </c>
      <c r="CT18" s="92">
        <f t="shared" si="35"/>
        <v>1</v>
      </c>
      <c r="CU18" s="11">
        <f t="shared" ca="1" si="36"/>
        <v>165.78266666666667</v>
      </c>
      <c r="CV18" s="11">
        <f t="shared" ca="1" si="339"/>
        <v>165.78266666666667</v>
      </c>
      <c r="CW18" s="92">
        <f t="shared" si="37"/>
        <v>0</v>
      </c>
      <c r="CX18" s="11">
        <f t="shared" ca="1" si="38"/>
        <v>0</v>
      </c>
      <c r="CY18" s="11">
        <f t="shared" ca="1" si="39"/>
        <v>0</v>
      </c>
      <c r="CZ18" s="11">
        <f t="shared" ca="1" si="340"/>
        <v>0</v>
      </c>
      <c r="DA18" s="11">
        <f t="shared" ca="1" si="40"/>
        <v>200</v>
      </c>
      <c r="DB18" s="11">
        <f t="shared" ca="1" si="41"/>
        <v>0</v>
      </c>
      <c r="DC18" s="11">
        <f t="shared" ca="1" si="42"/>
        <v>1</v>
      </c>
      <c r="DD18" s="12">
        <f t="shared" ca="1" si="43"/>
        <v>200</v>
      </c>
      <c r="DE18" s="79"/>
      <c r="DF18" s="12">
        <f t="shared" ca="1" si="341"/>
        <v>200</v>
      </c>
      <c r="DG18" s="18">
        <f t="shared" ca="1" si="44"/>
        <v>1</v>
      </c>
      <c r="DI18" s="13">
        <f t="shared" ca="1" si="45"/>
        <v>200</v>
      </c>
      <c r="DJ18" s="13">
        <f ca="1">INDEX(Totals[[#Data],[#Totals],[Car - Note]:[NONTRACKED]],MATCH(DI$1,Totals[Date],0),MATCH($C18,Totals[[#Headers],[Car - Note]:[NONTRACKED]],0))</f>
        <v>-85.037333333333336</v>
      </c>
      <c r="DK18" s="13">
        <f t="shared" ca="1" si="342"/>
        <v>114.96266666666666</v>
      </c>
      <c r="DL18" s="13" t="s">
        <v>198</v>
      </c>
      <c r="DM18" s="13">
        <v>200</v>
      </c>
      <c r="DN18" s="13" t="b">
        <f t="shared" ca="1" si="343"/>
        <v>0</v>
      </c>
      <c r="DO18" s="94">
        <f t="shared" si="46"/>
        <v>1</v>
      </c>
      <c r="DP18" s="13">
        <f t="shared" ca="1" si="47"/>
        <v>85.037333333333336</v>
      </c>
      <c r="DQ18" s="13">
        <f t="shared" ca="1" si="344"/>
        <v>85.037333333333351</v>
      </c>
      <c r="DR18" s="94">
        <f t="shared" si="48"/>
        <v>0</v>
      </c>
      <c r="DS18" s="13">
        <f t="shared" ca="1" si="49"/>
        <v>0</v>
      </c>
      <c r="DT18" s="13">
        <f t="shared" ca="1" si="50"/>
        <v>0</v>
      </c>
      <c r="DU18" s="13">
        <f t="shared" ca="1" si="345"/>
        <v>0</v>
      </c>
      <c r="DV18" s="13">
        <f t="shared" ca="1" si="51"/>
        <v>200</v>
      </c>
      <c r="DW18" s="13">
        <f t="shared" ca="1" si="52"/>
        <v>0</v>
      </c>
      <c r="DX18" s="13">
        <f t="shared" ca="1" si="53"/>
        <v>1</v>
      </c>
      <c r="DY18" s="12">
        <f t="shared" ca="1" si="54"/>
        <v>200</v>
      </c>
      <c r="DZ18" s="79"/>
      <c r="EA18" s="12">
        <f t="shared" ca="1" si="346"/>
        <v>200</v>
      </c>
      <c r="EB18" s="18">
        <f t="shared" ca="1" si="55"/>
        <v>1</v>
      </c>
      <c r="ED18" s="19">
        <f t="shared" ca="1" si="56"/>
        <v>200</v>
      </c>
      <c r="EE18" s="19">
        <f ca="1">INDEX(Totals[[#Data],[#Totals],[Car - Note]:[NONTRACKED]],MATCH(ED$1,Totals[Date],0),MATCH($C18,Totals[[#Headers],[Car - Note]:[NONTRACKED]],0))</f>
        <v>-79.614666666666665</v>
      </c>
      <c r="EF18" s="19">
        <f t="shared" ca="1" si="347"/>
        <v>120.38533333333334</v>
      </c>
      <c r="EG18" s="19" t="s">
        <v>198</v>
      </c>
      <c r="EH18" s="19">
        <v>200</v>
      </c>
      <c r="EI18" s="19" t="b">
        <f t="shared" ca="1" si="348"/>
        <v>0</v>
      </c>
      <c r="EJ18" s="100">
        <f t="shared" si="57"/>
        <v>1</v>
      </c>
      <c r="EK18" s="19">
        <f t="shared" ca="1" si="58"/>
        <v>79.614666666666665</v>
      </c>
      <c r="EL18" s="19">
        <f t="shared" ca="1" si="349"/>
        <v>79.614666666666665</v>
      </c>
      <c r="EM18" s="100">
        <f t="shared" si="59"/>
        <v>0</v>
      </c>
      <c r="EN18" s="19">
        <f t="shared" ca="1" si="60"/>
        <v>0</v>
      </c>
      <c r="EO18" s="19">
        <f t="shared" ca="1" si="61"/>
        <v>0</v>
      </c>
      <c r="EP18" s="19">
        <f t="shared" ca="1" si="350"/>
        <v>0</v>
      </c>
      <c r="EQ18" s="19">
        <f t="shared" ca="1" si="62"/>
        <v>200</v>
      </c>
      <c r="ER18" s="19">
        <f t="shared" ca="1" si="63"/>
        <v>0</v>
      </c>
      <c r="ES18" s="19">
        <f t="shared" ca="1" si="64"/>
        <v>1</v>
      </c>
      <c r="ET18" s="12">
        <f t="shared" ca="1" si="65"/>
        <v>200</v>
      </c>
      <c r="EU18" s="79"/>
      <c r="EV18" s="12">
        <f t="shared" ca="1" si="351"/>
        <v>200</v>
      </c>
      <c r="EW18" s="18">
        <f t="shared" ca="1" si="66"/>
        <v>1</v>
      </c>
      <c r="EY18" s="11">
        <f t="shared" ca="1" si="67"/>
        <v>200</v>
      </c>
      <c r="EZ18" s="11">
        <f ca="1">INDEX(Totals[[#Data],[#Totals],[Car - Note]:[NONTRACKED]],MATCH(EY$1,Totals[Date],0),MATCH($C18,Totals[[#Headers],[Car - Note]:[NONTRACKED]],0))</f>
        <v>-85.105333333333334</v>
      </c>
      <c r="FA18" s="11">
        <f t="shared" ca="1" si="352"/>
        <v>114.89466666666667</v>
      </c>
      <c r="FB18" s="11" t="s">
        <v>198</v>
      </c>
      <c r="FC18" s="11">
        <v>200</v>
      </c>
      <c r="FD18" s="11" t="b">
        <f t="shared" ca="1" si="353"/>
        <v>0</v>
      </c>
      <c r="FE18" s="92">
        <f t="shared" si="68"/>
        <v>1</v>
      </c>
      <c r="FF18" s="11">
        <f t="shared" ca="1" si="69"/>
        <v>85.105333333333334</v>
      </c>
      <c r="FG18" s="11">
        <f t="shared" ca="1" si="354"/>
        <v>85.105333333333334</v>
      </c>
      <c r="FH18" s="92">
        <f t="shared" si="70"/>
        <v>0</v>
      </c>
      <c r="FI18" s="11">
        <f t="shared" ca="1" si="71"/>
        <v>0</v>
      </c>
      <c r="FJ18" s="11">
        <f t="shared" ca="1" si="72"/>
        <v>0</v>
      </c>
      <c r="FK18" s="11">
        <f t="shared" ca="1" si="355"/>
        <v>0</v>
      </c>
      <c r="FL18" s="11">
        <f t="shared" ca="1" si="73"/>
        <v>200</v>
      </c>
      <c r="FM18" s="11">
        <f t="shared" ca="1" si="74"/>
        <v>0</v>
      </c>
      <c r="FN18" s="11">
        <f t="shared" ca="1" si="75"/>
        <v>1</v>
      </c>
      <c r="FO18" s="12">
        <f t="shared" ca="1" si="76"/>
        <v>200</v>
      </c>
      <c r="FP18" s="79"/>
      <c r="FQ18" s="12">
        <f t="shared" ca="1" si="356"/>
        <v>200</v>
      </c>
      <c r="FR18" s="18">
        <f t="shared" ca="1" si="77"/>
        <v>1</v>
      </c>
      <c r="FT18" s="13">
        <f t="shared" ca="1" si="78"/>
        <v>200</v>
      </c>
      <c r="FU18" s="13">
        <f ca="1">INDEX(Totals[[#Data],[#Totals],[Car - Note]:[NONTRACKED]],MATCH(FT$1,Totals[Date],0),MATCH($C18,Totals[[#Headers],[Car - Note]:[NONTRACKED]],0))</f>
        <v>-82.201666666666654</v>
      </c>
      <c r="FV18" s="13">
        <f t="shared" ca="1" si="357"/>
        <v>117.79833333333335</v>
      </c>
      <c r="FW18" s="13" t="s">
        <v>198</v>
      </c>
      <c r="FX18" s="13">
        <v>200</v>
      </c>
      <c r="FY18" s="13" t="b">
        <f t="shared" ca="1" si="358"/>
        <v>0</v>
      </c>
      <c r="FZ18" s="94">
        <f t="shared" si="79"/>
        <v>1</v>
      </c>
      <c r="GA18" s="13">
        <f t="shared" ca="1" si="80"/>
        <v>82.201666666666654</v>
      </c>
      <c r="GB18" s="13">
        <f t="shared" ca="1" si="359"/>
        <v>82.201666666666654</v>
      </c>
      <c r="GC18" s="94">
        <f t="shared" si="81"/>
        <v>0</v>
      </c>
      <c r="GD18" s="13">
        <f t="shared" ca="1" si="82"/>
        <v>0</v>
      </c>
      <c r="GE18" s="13">
        <f t="shared" ca="1" si="83"/>
        <v>0</v>
      </c>
      <c r="GF18" s="13">
        <f t="shared" ca="1" si="360"/>
        <v>0</v>
      </c>
      <c r="GG18" s="13">
        <f t="shared" ca="1" si="84"/>
        <v>200</v>
      </c>
      <c r="GH18" s="13">
        <f t="shared" ca="1" si="85"/>
        <v>0</v>
      </c>
      <c r="GI18" s="13">
        <f t="shared" ca="1" si="86"/>
        <v>1</v>
      </c>
      <c r="GJ18" s="12">
        <f t="shared" ca="1" si="87"/>
        <v>200</v>
      </c>
      <c r="GK18" s="79"/>
      <c r="GL18" s="12">
        <f t="shared" ca="1" si="361"/>
        <v>200</v>
      </c>
      <c r="GM18" s="18">
        <f t="shared" ca="1" si="88"/>
        <v>1</v>
      </c>
      <c r="GO18" s="19">
        <f t="shared" ca="1" si="89"/>
        <v>200</v>
      </c>
      <c r="GP18" s="19">
        <f ca="1">INDEX(Totals[[#Data],[#Totals],[Car - Note]:[NONTRACKED]],MATCH(GO$1,Totals[Date],0),MATCH($C18,Totals[[#Headers],[Car - Note]:[NONTRACKED]],0))</f>
        <v>-79.430999999999997</v>
      </c>
      <c r="GQ18" s="19">
        <f t="shared" ca="1" si="362"/>
        <v>120.569</v>
      </c>
      <c r="GR18" s="19" t="s">
        <v>198</v>
      </c>
      <c r="GS18" s="19">
        <v>200</v>
      </c>
      <c r="GT18" s="19" t="b">
        <f t="shared" ca="1" si="363"/>
        <v>0</v>
      </c>
      <c r="GU18" s="100">
        <f t="shared" si="90"/>
        <v>1</v>
      </c>
      <c r="GV18" s="19">
        <f t="shared" ca="1" si="91"/>
        <v>79.430999999999997</v>
      </c>
      <c r="GW18" s="19">
        <f t="shared" ca="1" si="364"/>
        <v>79.430999999999997</v>
      </c>
      <c r="GX18" s="100">
        <f t="shared" si="92"/>
        <v>0</v>
      </c>
      <c r="GY18" s="19">
        <f t="shared" ca="1" si="93"/>
        <v>0</v>
      </c>
      <c r="GZ18" s="19">
        <f t="shared" ca="1" si="94"/>
        <v>0</v>
      </c>
      <c r="HA18" s="19">
        <f t="shared" ca="1" si="365"/>
        <v>0</v>
      </c>
      <c r="HB18" s="19">
        <f t="shared" ca="1" si="95"/>
        <v>200</v>
      </c>
      <c r="HC18" s="19">
        <f t="shared" ca="1" si="96"/>
        <v>0</v>
      </c>
      <c r="HD18" s="19">
        <f t="shared" ca="1" si="97"/>
        <v>1</v>
      </c>
      <c r="HE18" s="12">
        <f t="shared" ca="1" si="98"/>
        <v>200</v>
      </c>
      <c r="HF18" s="79"/>
      <c r="HG18" s="12">
        <f t="shared" ca="1" si="366"/>
        <v>200</v>
      </c>
      <c r="HH18" s="18">
        <f t="shared" ca="1" si="99"/>
        <v>1</v>
      </c>
      <c r="HJ18" s="11">
        <f t="shared" ca="1" si="100"/>
        <v>200</v>
      </c>
      <c r="HK18" s="11">
        <f ca="1">INDEX(Totals[[#Data],[#Totals],[Car - Note]:[NONTRACKED]],MATCH(HJ$1,Totals[Date],0),MATCH($C18,Totals[[#Headers],[Car - Note]:[NONTRACKED]],0))</f>
        <v>-84.909000000000006</v>
      </c>
      <c r="HL18" s="11">
        <f t="shared" ca="1" si="367"/>
        <v>115.09099999999999</v>
      </c>
      <c r="HM18" s="11" t="s">
        <v>198</v>
      </c>
      <c r="HN18" s="11">
        <v>200</v>
      </c>
      <c r="HO18" s="11" t="b">
        <f t="shared" ca="1" si="368"/>
        <v>0</v>
      </c>
      <c r="HP18" s="92">
        <f t="shared" si="101"/>
        <v>1</v>
      </c>
      <c r="HQ18" s="11">
        <f t="shared" ca="1" si="102"/>
        <v>84.909000000000006</v>
      </c>
      <c r="HR18" s="11">
        <f t="shared" ca="1" si="369"/>
        <v>84.909000000000006</v>
      </c>
      <c r="HS18" s="92">
        <f t="shared" si="103"/>
        <v>0</v>
      </c>
      <c r="HT18" s="11">
        <f t="shared" ca="1" si="104"/>
        <v>0</v>
      </c>
      <c r="HU18" s="11">
        <f t="shared" ca="1" si="105"/>
        <v>0</v>
      </c>
      <c r="HV18" s="11">
        <f t="shared" ca="1" si="370"/>
        <v>0</v>
      </c>
      <c r="HW18" s="11">
        <f t="shared" ca="1" si="106"/>
        <v>200</v>
      </c>
      <c r="HX18" s="11">
        <f t="shared" ca="1" si="107"/>
        <v>0</v>
      </c>
      <c r="HY18" s="11">
        <f t="shared" ca="1" si="108"/>
        <v>1</v>
      </c>
      <c r="HZ18" s="12">
        <f t="shared" ca="1" si="109"/>
        <v>200</v>
      </c>
      <c r="IA18" s="79"/>
      <c r="IB18" s="12">
        <f t="shared" ca="1" si="371"/>
        <v>200</v>
      </c>
      <c r="IC18" s="18">
        <f t="shared" ca="1" si="110"/>
        <v>1</v>
      </c>
      <c r="IE18" s="13">
        <f t="shared" ca="1" si="111"/>
        <v>200</v>
      </c>
      <c r="IF18" s="13">
        <f ca="1">INDEX(Totals[[#Data],[#Totals],[Car - Note]:[NONTRACKED]],MATCH(IE$1,Totals[Date],0),MATCH($C18,Totals[[#Headers],[Car - Note]:[NONTRACKED]],0))</f>
        <v>-79.41500000000002</v>
      </c>
      <c r="IG18" s="13">
        <f t="shared" ca="1" si="372"/>
        <v>120.58499999999998</v>
      </c>
      <c r="IH18" s="13" t="s">
        <v>198</v>
      </c>
      <c r="II18" s="13">
        <v>200</v>
      </c>
      <c r="IJ18" s="13" t="b">
        <f t="shared" ca="1" si="373"/>
        <v>0</v>
      </c>
      <c r="IK18" s="94">
        <f t="shared" si="112"/>
        <v>1</v>
      </c>
      <c r="IL18" s="13">
        <f t="shared" ca="1" si="113"/>
        <v>79.41500000000002</v>
      </c>
      <c r="IM18" s="13">
        <f t="shared" ca="1" si="374"/>
        <v>79.41500000000002</v>
      </c>
      <c r="IN18" s="94">
        <f t="shared" si="114"/>
        <v>0</v>
      </c>
      <c r="IO18" s="13">
        <f t="shared" ca="1" si="115"/>
        <v>0</v>
      </c>
      <c r="IP18" s="13">
        <f t="shared" ca="1" si="116"/>
        <v>0</v>
      </c>
      <c r="IQ18" s="13">
        <f t="shared" ca="1" si="375"/>
        <v>0</v>
      </c>
      <c r="IR18" s="13">
        <f t="shared" ca="1" si="117"/>
        <v>200</v>
      </c>
      <c r="IS18" s="13">
        <f t="shared" ca="1" si="118"/>
        <v>0</v>
      </c>
      <c r="IT18" s="13">
        <f t="shared" ca="1" si="119"/>
        <v>1</v>
      </c>
      <c r="IU18" s="12">
        <f t="shared" ca="1" si="120"/>
        <v>200</v>
      </c>
      <c r="IV18" s="79"/>
      <c r="IW18" s="12">
        <f t="shared" ca="1" si="376"/>
        <v>200</v>
      </c>
      <c r="IX18" s="18">
        <f t="shared" ca="1" si="121"/>
        <v>1</v>
      </c>
      <c r="IZ18" s="19">
        <f t="shared" ca="1" si="122"/>
        <v>200</v>
      </c>
      <c r="JA18" s="19">
        <f ca="1">INDEX(Totals[[#Data],[#Totals],[Car - Note]:[NONTRACKED]],MATCH(IZ$1,Totals[Date],0),MATCH($C18,Totals[[#Headers],[Car - Note]:[NONTRACKED]],0))</f>
        <v>-84.888333333333335</v>
      </c>
      <c r="JB18" s="19">
        <f t="shared" ca="1" si="377"/>
        <v>115.11166666666666</v>
      </c>
      <c r="JC18" s="19" t="s">
        <v>198</v>
      </c>
      <c r="JD18" s="19">
        <v>200</v>
      </c>
      <c r="JE18" s="19" t="b">
        <f t="shared" ca="1" si="378"/>
        <v>0</v>
      </c>
      <c r="JF18" s="100">
        <f t="shared" si="123"/>
        <v>1</v>
      </c>
      <c r="JG18" s="19">
        <f t="shared" ca="1" si="124"/>
        <v>84.888333333333335</v>
      </c>
      <c r="JH18" s="19">
        <f t="shared" ca="1" si="379"/>
        <v>84.888333333333335</v>
      </c>
      <c r="JI18" s="100">
        <f t="shared" si="125"/>
        <v>0</v>
      </c>
      <c r="JJ18" s="19">
        <f t="shared" ca="1" si="126"/>
        <v>0</v>
      </c>
      <c r="JK18" s="19">
        <f t="shared" ca="1" si="127"/>
        <v>0</v>
      </c>
      <c r="JL18" s="19">
        <f t="shared" ca="1" si="380"/>
        <v>0</v>
      </c>
      <c r="JM18" s="19">
        <f t="shared" ca="1" si="128"/>
        <v>200</v>
      </c>
      <c r="JN18" s="19">
        <f t="shared" ca="1" si="129"/>
        <v>0</v>
      </c>
      <c r="JO18" s="19">
        <f t="shared" ca="1" si="130"/>
        <v>1</v>
      </c>
      <c r="JP18" s="12">
        <f t="shared" ca="1" si="131"/>
        <v>200</v>
      </c>
      <c r="JQ18" s="79"/>
      <c r="JR18" s="12">
        <f t="shared" ca="1" si="381"/>
        <v>200</v>
      </c>
      <c r="JS18" s="18">
        <f t="shared" ca="1" si="132"/>
        <v>1</v>
      </c>
      <c r="JU18" s="11">
        <f t="shared" ca="1" si="133"/>
        <v>200</v>
      </c>
      <c r="JV18" s="11">
        <f ca="1">INDEX(Totals[[#Data],[#Totals],[Car - Note]:[NONTRACKED]],MATCH(JU$1,Totals[Date],0),MATCH($C18,Totals[[#Headers],[Car - Note]:[NONTRACKED]],0))</f>
        <v>-82.15</v>
      </c>
      <c r="JW18" s="11">
        <f t="shared" ca="1" si="382"/>
        <v>117.85</v>
      </c>
      <c r="JX18" s="11" t="s">
        <v>198</v>
      </c>
      <c r="JY18" s="11">
        <v>200</v>
      </c>
      <c r="JZ18" s="11" t="b">
        <f t="shared" ca="1" si="383"/>
        <v>0</v>
      </c>
      <c r="KA18" s="92">
        <f t="shared" si="134"/>
        <v>1</v>
      </c>
      <c r="KB18" s="11">
        <f t="shared" ca="1" si="135"/>
        <v>82.15</v>
      </c>
      <c r="KC18" s="11">
        <f t="shared" ca="1" si="384"/>
        <v>82.15</v>
      </c>
      <c r="KD18" s="92">
        <f t="shared" si="136"/>
        <v>0</v>
      </c>
      <c r="KE18" s="11">
        <f t="shared" ca="1" si="137"/>
        <v>0</v>
      </c>
      <c r="KF18" s="11">
        <f t="shared" ca="1" si="138"/>
        <v>0</v>
      </c>
      <c r="KG18" s="11">
        <f t="shared" ca="1" si="385"/>
        <v>0</v>
      </c>
      <c r="KH18" s="11">
        <f t="shared" ca="1" si="139"/>
        <v>200</v>
      </c>
      <c r="KI18" s="11">
        <f t="shared" ca="1" si="140"/>
        <v>0</v>
      </c>
      <c r="KJ18" s="11">
        <f t="shared" ca="1" si="141"/>
        <v>1</v>
      </c>
      <c r="KK18" s="12">
        <f t="shared" ca="1" si="142"/>
        <v>200</v>
      </c>
      <c r="KL18" s="79"/>
      <c r="KM18" s="12">
        <f t="shared" ca="1" si="386"/>
        <v>200</v>
      </c>
      <c r="KN18" s="18">
        <f t="shared" ca="1" si="143"/>
        <v>1</v>
      </c>
      <c r="KP18" s="13">
        <f t="shared" ca="1" si="144"/>
        <v>200</v>
      </c>
      <c r="KQ18" s="13">
        <f ca="1">INDEX(Totals[[#Data],[#Totals],[Car - Note]:[NONTRACKED]],MATCH(KP$1,Totals[Date],0),MATCH($C18,Totals[[#Headers],[Car - Note]:[NONTRACKED]],0))</f>
        <v>-76.083666666666659</v>
      </c>
      <c r="KR18" s="13">
        <f t="shared" ca="1" si="387"/>
        <v>123.91633333333334</v>
      </c>
      <c r="KS18" s="13" t="s">
        <v>198</v>
      </c>
      <c r="KT18" s="13">
        <v>200</v>
      </c>
      <c r="KU18" s="13" t="b">
        <f t="shared" ca="1" si="388"/>
        <v>0</v>
      </c>
      <c r="KV18" s="94">
        <f t="shared" si="145"/>
        <v>1</v>
      </c>
      <c r="KW18" s="13">
        <f t="shared" ca="1" si="146"/>
        <v>76.083666666666659</v>
      </c>
      <c r="KX18" s="13">
        <f t="shared" ca="1" si="389"/>
        <v>76.083666666666659</v>
      </c>
      <c r="KY18" s="94">
        <f t="shared" si="147"/>
        <v>0</v>
      </c>
      <c r="KZ18" s="13">
        <f t="shared" ca="1" si="148"/>
        <v>0</v>
      </c>
      <c r="LA18" s="13">
        <f t="shared" ca="1" si="149"/>
        <v>0</v>
      </c>
      <c r="LB18" s="13">
        <f t="shared" ca="1" si="390"/>
        <v>0</v>
      </c>
      <c r="LC18" s="13">
        <f t="shared" ca="1" si="150"/>
        <v>200</v>
      </c>
      <c r="LD18" s="13">
        <f t="shared" ca="1" si="151"/>
        <v>0</v>
      </c>
      <c r="LE18" s="13">
        <f t="shared" ca="1" si="152"/>
        <v>1</v>
      </c>
      <c r="LF18" s="12">
        <f t="shared" ca="1" si="153"/>
        <v>200</v>
      </c>
      <c r="LG18" s="79"/>
      <c r="LH18" s="12">
        <f t="shared" ca="1" si="391"/>
        <v>200</v>
      </c>
      <c r="LI18" s="18">
        <f t="shared" ca="1" si="154"/>
        <v>1</v>
      </c>
      <c r="LK18" s="19">
        <f t="shared" ca="1" si="155"/>
        <v>200</v>
      </c>
      <c r="LL18" s="19">
        <f ca="1">INDEX(Totals[[#Data],[#Totals],[Car - Note]:[NONTRACKED]],MATCH(LK$1,Totals[Date],0),MATCH($C18,Totals[[#Headers],[Car - Note]:[NONTRACKED]],0))</f>
        <v>-93.587999999999994</v>
      </c>
      <c r="LM18" s="19">
        <f t="shared" ca="1" si="392"/>
        <v>106.41200000000001</v>
      </c>
      <c r="LN18" s="19" t="s">
        <v>198</v>
      </c>
      <c r="LO18" s="19">
        <v>200</v>
      </c>
      <c r="LP18" s="19" t="b">
        <f t="shared" ca="1" si="393"/>
        <v>0</v>
      </c>
      <c r="LQ18" s="100">
        <f t="shared" si="156"/>
        <v>1</v>
      </c>
      <c r="LR18" s="19">
        <f t="shared" ca="1" si="157"/>
        <v>93.587999999999994</v>
      </c>
      <c r="LS18" s="19">
        <f t="shared" ca="1" si="394"/>
        <v>93.587999999999994</v>
      </c>
      <c r="LT18" s="100">
        <f t="shared" si="158"/>
        <v>0</v>
      </c>
      <c r="LU18" s="19">
        <f t="shared" ca="1" si="159"/>
        <v>0</v>
      </c>
      <c r="LV18" s="19">
        <f t="shared" ca="1" si="160"/>
        <v>0</v>
      </c>
      <c r="LW18" s="19">
        <f t="shared" ca="1" si="395"/>
        <v>0</v>
      </c>
      <c r="LX18" s="19">
        <f t="shared" ca="1" si="161"/>
        <v>200</v>
      </c>
      <c r="LY18" s="19">
        <f t="shared" ca="1" si="162"/>
        <v>0</v>
      </c>
      <c r="LZ18" s="19">
        <f t="shared" ca="1" si="163"/>
        <v>1</v>
      </c>
      <c r="MA18" s="12">
        <f t="shared" ca="1" si="164"/>
        <v>200</v>
      </c>
      <c r="MB18" s="79"/>
      <c r="MC18" s="12">
        <f t="shared" ca="1" si="396"/>
        <v>200</v>
      </c>
      <c r="MD18" s="18">
        <f t="shared" ca="1" si="165"/>
        <v>1</v>
      </c>
      <c r="MF18" s="11">
        <f t="shared" ca="1" si="166"/>
        <v>200</v>
      </c>
      <c r="MG18" s="11">
        <f ca="1">INDEX(Totals[[#Data],[#Totals],[Car - Note]:[NONTRACKED]],MATCH(MF$1,Totals[Date],0),MATCH($C18,Totals[[#Headers],[Car - Note]:[NONTRACKED]],0))</f>
        <v>-110.47300000000001</v>
      </c>
      <c r="MH18" s="11">
        <f t="shared" ca="1" si="397"/>
        <v>89.526999999999987</v>
      </c>
      <c r="MI18" s="11" t="s">
        <v>198</v>
      </c>
      <c r="MJ18" s="11">
        <v>200</v>
      </c>
      <c r="MK18" s="11" t="b">
        <f t="shared" ca="1" si="398"/>
        <v>0</v>
      </c>
      <c r="ML18" s="92">
        <f t="shared" si="167"/>
        <v>1</v>
      </c>
      <c r="MM18" s="11">
        <f t="shared" ca="1" si="168"/>
        <v>110.47300000000001</v>
      </c>
      <c r="MN18" s="11">
        <f t="shared" ca="1" si="399"/>
        <v>110.47300000000001</v>
      </c>
      <c r="MO18" s="92">
        <f t="shared" si="169"/>
        <v>0</v>
      </c>
      <c r="MP18" s="11">
        <f t="shared" ca="1" si="170"/>
        <v>0</v>
      </c>
      <c r="MQ18" s="11">
        <f t="shared" ca="1" si="171"/>
        <v>0</v>
      </c>
      <c r="MR18" s="11">
        <f t="shared" ca="1" si="400"/>
        <v>0</v>
      </c>
      <c r="MS18" s="11">
        <f t="shared" ca="1" si="172"/>
        <v>200</v>
      </c>
      <c r="MT18" s="11">
        <f t="shared" ca="1" si="173"/>
        <v>0</v>
      </c>
      <c r="MU18" s="11">
        <f t="shared" ca="1" si="174"/>
        <v>1</v>
      </c>
      <c r="MV18" s="12">
        <f t="shared" ca="1" si="175"/>
        <v>200</v>
      </c>
      <c r="MW18" s="79"/>
      <c r="MX18" s="12">
        <f t="shared" ca="1" si="401"/>
        <v>200</v>
      </c>
      <c r="MY18" s="18">
        <f t="shared" ca="1" si="176"/>
        <v>1</v>
      </c>
      <c r="NA18" s="13">
        <f t="shared" ca="1" si="177"/>
        <v>200</v>
      </c>
      <c r="NB18" s="13">
        <f ca="1">INDEX(Totals[[#Data],[#Totals],[Car - Note]:[NONTRACKED]],MATCH(NA$1,Totals[Date],0),MATCH($C18,Totals[[#Headers],[Car - Note]:[NONTRACKED]],0))</f>
        <v>-19.796999999999997</v>
      </c>
      <c r="NC18" s="13">
        <f t="shared" ca="1" si="402"/>
        <v>180.203</v>
      </c>
      <c r="ND18" s="13" t="s">
        <v>198</v>
      </c>
      <c r="NE18" s="13">
        <v>200</v>
      </c>
      <c r="NF18" s="13" t="b">
        <f t="shared" ca="1" si="403"/>
        <v>0</v>
      </c>
      <c r="NG18" s="94">
        <f t="shared" si="178"/>
        <v>1</v>
      </c>
      <c r="NH18" s="13">
        <f t="shared" ca="1" si="179"/>
        <v>19.796999999999997</v>
      </c>
      <c r="NI18" s="13">
        <f t="shared" ca="1" si="404"/>
        <v>19.796999999999997</v>
      </c>
      <c r="NJ18" s="94">
        <f t="shared" si="180"/>
        <v>0</v>
      </c>
      <c r="NK18" s="13">
        <f t="shared" ca="1" si="181"/>
        <v>0</v>
      </c>
      <c r="NL18" s="13">
        <f t="shared" ca="1" si="182"/>
        <v>0</v>
      </c>
      <c r="NM18" s="13">
        <f t="shared" ca="1" si="405"/>
        <v>0</v>
      </c>
      <c r="NN18" s="13">
        <f t="shared" ca="1" si="183"/>
        <v>200</v>
      </c>
      <c r="NO18" s="13">
        <f t="shared" ca="1" si="184"/>
        <v>0</v>
      </c>
      <c r="NP18" s="13">
        <f t="shared" ca="1" si="185"/>
        <v>1</v>
      </c>
      <c r="NQ18" s="12">
        <f t="shared" ca="1" si="186"/>
        <v>200</v>
      </c>
      <c r="NR18" s="79"/>
      <c r="NS18" s="12">
        <f t="shared" ca="1" si="406"/>
        <v>200</v>
      </c>
      <c r="NT18" s="18">
        <f t="shared" ca="1" si="187"/>
        <v>1</v>
      </c>
      <c r="NV18" s="19">
        <f t="shared" ca="1" si="188"/>
        <v>200</v>
      </c>
      <c r="NW18" s="19">
        <f ca="1">INDEX(Totals[[#Data],[#Totals],[Car - Note]:[NONTRACKED]],MATCH(NV$1,Totals[Date],0),MATCH($C18,Totals[[#Headers],[Car - Note]:[NONTRACKED]],0))</f>
        <v>-47.655000000000001</v>
      </c>
      <c r="NX18" s="19">
        <f t="shared" ca="1" si="407"/>
        <v>152.345</v>
      </c>
      <c r="NY18" s="19" t="s">
        <v>198</v>
      </c>
      <c r="NZ18" s="19">
        <v>200</v>
      </c>
      <c r="OA18" s="19" t="b">
        <f t="shared" ca="1" si="408"/>
        <v>0</v>
      </c>
      <c r="OB18" s="100">
        <f t="shared" si="189"/>
        <v>1</v>
      </c>
      <c r="OC18" s="19">
        <f t="shared" ca="1" si="190"/>
        <v>47.655000000000001</v>
      </c>
      <c r="OD18" s="19">
        <f t="shared" ca="1" si="409"/>
        <v>47.655000000000001</v>
      </c>
      <c r="OE18" s="100">
        <f t="shared" si="191"/>
        <v>0</v>
      </c>
      <c r="OF18" s="19">
        <f t="shared" ca="1" si="192"/>
        <v>0</v>
      </c>
      <c r="OG18" s="19">
        <f t="shared" ca="1" si="193"/>
        <v>0</v>
      </c>
      <c r="OH18" s="19">
        <f t="shared" ca="1" si="410"/>
        <v>0</v>
      </c>
      <c r="OI18" s="19">
        <f t="shared" ca="1" si="194"/>
        <v>200</v>
      </c>
      <c r="OJ18" s="19">
        <f t="shared" ca="1" si="195"/>
        <v>0</v>
      </c>
      <c r="OK18" s="19">
        <f t="shared" ca="1" si="196"/>
        <v>1</v>
      </c>
      <c r="OL18" s="12">
        <f t="shared" ca="1" si="197"/>
        <v>200</v>
      </c>
      <c r="OM18" s="79"/>
      <c r="ON18" s="12">
        <f t="shared" ca="1" si="411"/>
        <v>200</v>
      </c>
      <c r="OO18" s="18">
        <f t="shared" ca="1" si="198"/>
        <v>1</v>
      </c>
      <c r="OQ18" s="11">
        <f t="shared" ca="1" si="199"/>
        <v>200</v>
      </c>
      <c r="OR18" s="11">
        <f ca="1">INDEX(Totals[[#Data],[#Totals],[Car - Note]:[NONTRACKED]],MATCH(OQ$1,Totals[Date],0),MATCH($C18,Totals[[#Headers],[Car - Note]:[NONTRACKED]],0))</f>
        <v>-58.245000000000005</v>
      </c>
      <c r="OS18" s="11">
        <f t="shared" ca="1" si="412"/>
        <v>141.755</v>
      </c>
      <c r="OT18" s="11" t="s">
        <v>198</v>
      </c>
      <c r="OU18" s="11">
        <v>200</v>
      </c>
      <c r="OV18" s="11" t="b">
        <f t="shared" ca="1" si="413"/>
        <v>0</v>
      </c>
      <c r="OW18" s="92">
        <f t="shared" si="200"/>
        <v>1</v>
      </c>
      <c r="OX18" s="11">
        <f t="shared" ca="1" si="201"/>
        <v>58.245000000000005</v>
      </c>
      <c r="OY18" s="11">
        <f t="shared" ca="1" si="414"/>
        <v>58.245000000000012</v>
      </c>
      <c r="OZ18" s="92">
        <f t="shared" si="202"/>
        <v>0</v>
      </c>
      <c r="PA18" s="11">
        <f t="shared" ca="1" si="203"/>
        <v>0</v>
      </c>
      <c r="PB18" s="11">
        <f t="shared" ca="1" si="204"/>
        <v>0</v>
      </c>
      <c r="PC18" s="11">
        <f t="shared" ca="1" si="415"/>
        <v>0</v>
      </c>
      <c r="PD18" s="11">
        <f t="shared" ca="1" si="205"/>
        <v>200</v>
      </c>
      <c r="PE18" s="11">
        <f t="shared" ca="1" si="206"/>
        <v>0</v>
      </c>
      <c r="PF18" s="11">
        <f t="shared" ca="1" si="207"/>
        <v>1</v>
      </c>
      <c r="PG18" s="12">
        <f t="shared" ca="1" si="208"/>
        <v>200</v>
      </c>
      <c r="PH18" s="79"/>
      <c r="PI18" s="12">
        <f t="shared" ca="1" si="416"/>
        <v>200</v>
      </c>
      <c r="PJ18" s="18">
        <f t="shared" ca="1" si="209"/>
        <v>1</v>
      </c>
      <c r="PL18" s="13">
        <f t="shared" ca="1" si="210"/>
        <v>200</v>
      </c>
      <c r="PM18" s="13">
        <f ca="1">INDEX(Totals[[#Data],[#Totals],[Car - Note]:[NONTRACKED]],MATCH(PL$1,Totals[Date],0),MATCH($C18,Totals[[#Headers],[Car - Note]:[NONTRACKED]],0))</f>
        <v>-52.95</v>
      </c>
      <c r="PN18" s="13">
        <f t="shared" ca="1" si="417"/>
        <v>147.05000000000001</v>
      </c>
      <c r="PO18" s="13" t="s">
        <v>198</v>
      </c>
      <c r="PP18" s="13">
        <v>200</v>
      </c>
      <c r="PQ18" s="13" t="b">
        <f t="shared" ca="1" si="418"/>
        <v>0</v>
      </c>
      <c r="PR18" s="94">
        <f t="shared" si="211"/>
        <v>1</v>
      </c>
      <c r="PS18" s="13">
        <f t="shared" ca="1" si="212"/>
        <v>52.949999999999989</v>
      </c>
      <c r="PT18" s="13">
        <f t="shared" ca="1" si="419"/>
        <v>52.949999999999989</v>
      </c>
      <c r="PU18" s="94">
        <f t="shared" si="213"/>
        <v>0</v>
      </c>
      <c r="PV18" s="13">
        <f t="shared" ca="1" si="214"/>
        <v>0</v>
      </c>
      <c r="PW18" s="13">
        <f t="shared" ca="1" si="215"/>
        <v>0</v>
      </c>
      <c r="PX18" s="13">
        <f t="shared" ca="1" si="420"/>
        <v>0</v>
      </c>
      <c r="PY18" s="13">
        <f t="shared" ca="1" si="216"/>
        <v>200</v>
      </c>
      <c r="PZ18" s="13">
        <f t="shared" ca="1" si="217"/>
        <v>0</v>
      </c>
      <c r="QA18" s="13">
        <f t="shared" ca="1" si="218"/>
        <v>1</v>
      </c>
      <c r="QB18" s="12">
        <f t="shared" ca="1" si="219"/>
        <v>200</v>
      </c>
      <c r="QC18" s="79"/>
      <c r="QD18" s="12">
        <f t="shared" ca="1" si="421"/>
        <v>200</v>
      </c>
      <c r="QE18" s="18">
        <f t="shared" ca="1" si="220"/>
        <v>1</v>
      </c>
      <c r="QG18" s="19">
        <f t="shared" ca="1" si="221"/>
        <v>200</v>
      </c>
      <c r="QH18" s="19">
        <f ca="1">INDEX(Totals[[#Data],[#Totals],[Car - Note]:[NONTRACKED]],MATCH(QG$1,Totals[Date],0),MATCH($C18,Totals[[#Headers],[Car - Note]:[NONTRACKED]],0))</f>
        <v>-49.42</v>
      </c>
      <c r="QI18" s="19">
        <f t="shared" ca="1" si="422"/>
        <v>150.57999999999998</v>
      </c>
      <c r="QJ18" s="19" t="s">
        <v>198</v>
      </c>
      <c r="QK18" s="19">
        <v>200</v>
      </c>
      <c r="QL18" s="19" t="b">
        <f t="shared" ca="1" si="423"/>
        <v>0</v>
      </c>
      <c r="QM18" s="100">
        <f t="shared" si="222"/>
        <v>1</v>
      </c>
      <c r="QN18" s="19">
        <f t="shared" ca="1" si="223"/>
        <v>49.420000000000016</v>
      </c>
      <c r="QO18" s="19">
        <f t="shared" ca="1" si="424"/>
        <v>49.420000000000023</v>
      </c>
      <c r="QP18" s="100">
        <f t="shared" si="224"/>
        <v>0</v>
      </c>
      <c r="QQ18" s="19">
        <f t="shared" ca="1" si="225"/>
        <v>0</v>
      </c>
      <c r="QR18" s="19">
        <f t="shared" ca="1" si="226"/>
        <v>0</v>
      </c>
      <c r="QS18" s="19">
        <f t="shared" ca="1" si="425"/>
        <v>0</v>
      </c>
      <c r="QT18" s="19">
        <f t="shared" ca="1" si="227"/>
        <v>200</v>
      </c>
      <c r="QU18" s="19">
        <f t="shared" ca="1" si="228"/>
        <v>0</v>
      </c>
      <c r="QV18" s="19">
        <f t="shared" ca="1" si="229"/>
        <v>1</v>
      </c>
      <c r="QW18" s="12">
        <f t="shared" ca="1" si="230"/>
        <v>200</v>
      </c>
      <c r="QX18" s="79"/>
      <c r="QY18" s="12">
        <f t="shared" ca="1" si="426"/>
        <v>200</v>
      </c>
      <c r="QZ18" s="18">
        <f t="shared" ca="1" si="231"/>
        <v>1</v>
      </c>
      <c r="RB18" s="11">
        <f t="shared" ca="1" si="232"/>
        <v>200</v>
      </c>
      <c r="RC18" s="11">
        <f ca="1">INDEX(Totals[[#Data],[#Totals],[Car - Note]:[NONTRACKED]],MATCH(RB$1,Totals[Date],0),MATCH($C18,Totals[[#Headers],[Car - Note]:[NONTRACKED]],0))</f>
        <v>-56.480000000000004</v>
      </c>
      <c r="RD18" s="11">
        <f t="shared" ca="1" si="427"/>
        <v>143.51999999999998</v>
      </c>
      <c r="RE18" s="11" t="s">
        <v>198</v>
      </c>
      <c r="RF18" s="11">
        <v>200</v>
      </c>
      <c r="RG18" s="11" t="b">
        <f t="shared" ca="1" si="428"/>
        <v>0</v>
      </c>
      <c r="RH18" s="92">
        <f t="shared" si="233"/>
        <v>1</v>
      </c>
      <c r="RI18" s="11">
        <f t="shared" ca="1" si="234"/>
        <v>56.480000000000018</v>
      </c>
      <c r="RJ18" s="11">
        <f t="shared" ca="1" si="429"/>
        <v>56.480000000000018</v>
      </c>
      <c r="RK18" s="92">
        <f t="shared" si="235"/>
        <v>0</v>
      </c>
      <c r="RL18" s="11">
        <f t="shared" ca="1" si="236"/>
        <v>0</v>
      </c>
      <c r="RM18" s="11">
        <f t="shared" ca="1" si="237"/>
        <v>0</v>
      </c>
      <c r="RN18" s="11">
        <f t="shared" ca="1" si="430"/>
        <v>0</v>
      </c>
      <c r="RO18" s="11">
        <f t="shared" ca="1" si="238"/>
        <v>200</v>
      </c>
      <c r="RP18" s="11">
        <f t="shared" ca="1" si="239"/>
        <v>0</v>
      </c>
      <c r="RQ18" s="11">
        <f t="shared" ca="1" si="240"/>
        <v>1</v>
      </c>
      <c r="RR18" s="12">
        <f t="shared" ca="1" si="241"/>
        <v>200</v>
      </c>
      <c r="RS18" s="79"/>
      <c r="RT18" s="12">
        <f t="shared" ca="1" si="431"/>
        <v>200</v>
      </c>
      <c r="RU18" s="18">
        <f t="shared" ca="1" si="242"/>
        <v>1</v>
      </c>
      <c r="RW18" s="13">
        <f t="shared" ca="1" si="243"/>
        <v>200</v>
      </c>
      <c r="RX18" s="13">
        <f ca="1">INDEX(Totals[[#Data],[#Totals],[Car - Note]:[NONTRACKED]],MATCH(RW$1,Totals[Date],0),MATCH($C18,Totals[[#Headers],[Car - Note]:[NONTRACKED]],0))</f>
        <v>-51.185000000000002</v>
      </c>
      <c r="RY18" s="13">
        <f t="shared" ca="1" si="432"/>
        <v>148.815</v>
      </c>
      <c r="RZ18" s="13" t="s">
        <v>198</v>
      </c>
      <c r="SA18" s="13">
        <v>200</v>
      </c>
      <c r="SB18" s="13" t="b">
        <f t="shared" ca="1" si="433"/>
        <v>0</v>
      </c>
      <c r="SC18" s="94">
        <f t="shared" si="244"/>
        <v>1</v>
      </c>
      <c r="SD18" s="13">
        <f t="shared" ca="1" si="245"/>
        <v>51.185000000000002</v>
      </c>
      <c r="SE18" s="13">
        <f t="shared" ca="1" si="434"/>
        <v>51.185000000000002</v>
      </c>
      <c r="SF18" s="94">
        <f t="shared" si="246"/>
        <v>0</v>
      </c>
      <c r="SG18" s="13">
        <f t="shared" ca="1" si="247"/>
        <v>0</v>
      </c>
      <c r="SH18" s="13">
        <f t="shared" ca="1" si="248"/>
        <v>0</v>
      </c>
      <c r="SI18" s="13">
        <f t="shared" ca="1" si="435"/>
        <v>0</v>
      </c>
      <c r="SJ18" s="13">
        <f t="shared" ca="1" si="249"/>
        <v>200</v>
      </c>
      <c r="SK18" s="13">
        <f t="shared" ca="1" si="250"/>
        <v>0</v>
      </c>
      <c r="SL18" s="13">
        <f t="shared" ca="1" si="251"/>
        <v>1</v>
      </c>
      <c r="SM18" s="12">
        <f t="shared" ca="1" si="252"/>
        <v>200</v>
      </c>
      <c r="SN18" s="79"/>
      <c r="SO18" s="12">
        <f t="shared" ca="1" si="436"/>
        <v>200</v>
      </c>
      <c r="SP18" s="18">
        <f t="shared" ca="1" si="253"/>
        <v>1</v>
      </c>
      <c r="SR18" s="19">
        <f t="shared" ca="1" si="254"/>
        <v>200</v>
      </c>
      <c r="SS18" s="19">
        <f ca="1">INDEX(Totals[[#Data],[#Totals],[Car - Note]:[NONTRACKED]],MATCH(SR$1,Totals[Date],0),MATCH($C18,Totals[[#Headers],[Car - Note]:[NONTRACKED]],0))</f>
        <v>-52.95</v>
      </c>
      <c r="ST18" s="19">
        <f t="shared" ca="1" si="437"/>
        <v>147.05000000000001</v>
      </c>
      <c r="SU18" s="19" t="s">
        <v>198</v>
      </c>
      <c r="SV18" s="19">
        <v>200</v>
      </c>
      <c r="SW18" s="19" t="b">
        <f t="shared" ca="1" si="438"/>
        <v>0</v>
      </c>
      <c r="SX18" s="100">
        <f t="shared" si="255"/>
        <v>1</v>
      </c>
      <c r="SY18" s="19">
        <f t="shared" ca="1" si="256"/>
        <v>52.949999999999989</v>
      </c>
      <c r="SZ18" s="19">
        <f t="shared" ca="1" si="439"/>
        <v>52.949999999999982</v>
      </c>
      <c r="TA18" s="100">
        <f t="shared" si="257"/>
        <v>0</v>
      </c>
      <c r="TB18" s="19">
        <f t="shared" ca="1" si="258"/>
        <v>0</v>
      </c>
      <c r="TC18" s="19">
        <f t="shared" ca="1" si="259"/>
        <v>0</v>
      </c>
      <c r="TD18" s="19">
        <f t="shared" ca="1" si="440"/>
        <v>0</v>
      </c>
      <c r="TE18" s="19">
        <f t="shared" ca="1" si="260"/>
        <v>200</v>
      </c>
      <c r="TF18" s="19">
        <f t="shared" ca="1" si="261"/>
        <v>0</v>
      </c>
      <c r="TG18" s="19">
        <f t="shared" ca="1" si="262"/>
        <v>1</v>
      </c>
      <c r="TH18" s="12">
        <f t="shared" ca="1" si="263"/>
        <v>200</v>
      </c>
      <c r="TI18" s="79"/>
      <c r="TJ18" s="12">
        <f t="shared" ca="1" si="441"/>
        <v>200</v>
      </c>
      <c r="TK18" s="18">
        <f t="shared" ca="1" si="264"/>
        <v>1</v>
      </c>
      <c r="TM18" s="11">
        <f t="shared" ca="1" si="265"/>
        <v>200</v>
      </c>
      <c r="TN18" s="11">
        <f ca="1">INDEX(Totals[[#Data],[#Totals],[Car - Note]:[NONTRACKED]],MATCH(TM$1,Totals[Date],0),MATCH($C18,Totals[[#Headers],[Car - Note]:[NONTRACKED]],0))</f>
        <v>-54.715000000000003</v>
      </c>
      <c r="TO18" s="11">
        <f t="shared" ca="1" si="442"/>
        <v>145.285</v>
      </c>
      <c r="TP18" s="11" t="s">
        <v>198</v>
      </c>
      <c r="TQ18" s="11">
        <v>200</v>
      </c>
      <c r="TR18" s="11" t="b">
        <f t="shared" ca="1" si="443"/>
        <v>0</v>
      </c>
      <c r="TS18" s="92">
        <f t="shared" si="266"/>
        <v>1</v>
      </c>
      <c r="TT18" s="11">
        <f t="shared" ca="1" si="267"/>
        <v>54.715000000000003</v>
      </c>
      <c r="TU18" s="11">
        <f t="shared" ca="1" si="444"/>
        <v>54.715000000000011</v>
      </c>
      <c r="TV18" s="92">
        <f t="shared" si="268"/>
        <v>0</v>
      </c>
      <c r="TW18" s="11">
        <f t="shared" ca="1" si="269"/>
        <v>0</v>
      </c>
      <c r="TX18" s="11">
        <f t="shared" ca="1" si="270"/>
        <v>0</v>
      </c>
      <c r="TY18" s="11">
        <f t="shared" ca="1" si="445"/>
        <v>0</v>
      </c>
      <c r="TZ18" s="11">
        <f t="shared" ca="1" si="271"/>
        <v>200</v>
      </c>
      <c r="UA18" s="11">
        <f t="shared" ca="1" si="272"/>
        <v>0</v>
      </c>
      <c r="UB18" s="11">
        <f t="shared" ca="1" si="273"/>
        <v>1</v>
      </c>
      <c r="UC18" s="12">
        <f t="shared" ca="1" si="274"/>
        <v>200</v>
      </c>
      <c r="UD18" s="79"/>
      <c r="UE18" s="12">
        <f t="shared" ca="1" si="446"/>
        <v>200</v>
      </c>
      <c r="UF18" s="18">
        <f t="shared" ca="1" si="275"/>
        <v>1</v>
      </c>
      <c r="UH18" s="13">
        <f t="shared" ca="1" si="276"/>
        <v>200</v>
      </c>
      <c r="UI18" s="13">
        <f ca="1">INDEX(Totals[[#Data],[#Totals],[Car - Note]:[NONTRACKED]],MATCH(UH$1,Totals[Date],0),MATCH($C18,Totals[[#Headers],[Car - Note]:[NONTRACKED]],0))</f>
        <v>-48.081034482758618</v>
      </c>
      <c r="UJ18" s="13">
        <f t="shared" ca="1" si="447"/>
        <v>151.91896551724139</v>
      </c>
      <c r="UK18" s="13" t="s">
        <v>198</v>
      </c>
      <c r="UL18" s="13">
        <v>200</v>
      </c>
      <c r="UM18" s="13" t="b">
        <f t="shared" ca="1" si="448"/>
        <v>0</v>
      </c>
      <c r="UN18" s="94">
        <f t="shared" si="277"/>
        <v>1</v>
      </c>
      <c r="UO18" s="13">
        <f t="shared" ca="1" si="278"/>
        <v>48.081034482758611</v>
      </c>
      <c r="UP18" s="13">
        <f t="shared" ca="1" si="449"/>
        <v>48.081034482758611</v>
      </c>
      <c r="UQ18" s="94">
        <f t="shared" si="279"/>
        <v>0</v>
      </c>
      <c r="UR18" s="13">
        <f t="shared" ca="1" si="280"/>
        <v>0</v>
      </c>
      <c r="US18" s="13">
        <f t="shared" ca="1" si="281"/>
        <v>0</v>
      </c>
      <c r="UT18" s="13">
        <f t="shared" ca="1" si="450"/>
        <v>0</v>
      </c>
      <c r="UU18" s="13">
        <f t="shared" ca="1" si="282"/>
        <v>200</v>
      </c>
      <c r="UV18" s="13">
        <f t="shared" ca="1" si="283"/>
        <v>0</v>
      </c>
      <c r="UW18" s="13">
        <f t="shared" ca="1" si="284"/>
        <v>1</v>
      </c>
      <c r="UX18" s="12">
        <f t="shared" ca="1" si="285"/>
        <v>200</v>
      </c>
      <c r="UY18" s="79"/>
      <c r="UZ18" s="12">
        <f t="shared" ca="1" si="451"/>
        <v>200</v>
      </c>
      <c r="VA18" s="18">
        <f t="shared" ca="1" si="286"/>
        <v>1</v>
      </c>
      <c r="VC18" s="19">
        <f t="shared" ca="1" si="287"/>
        <v>200</v>
      </c>
      <c r="VD18" s="19">
        <f ca="1">INDEX(Totals[[#Data],[#Totals],[Car - Note]:[NONTRACKED]],MATCH(VC$1,Totals[Date],0),MATCH($C18,Totals[[#Headers],[Car - Note]:[NONTRACKED]],0))</f>
        <v>-54.28896551724138</v>
      </c>
      <c r="VE18" s="19">
        <f t="shared" ca="1" si="452"/>
        <v>145.71103448275863</v>
      </c>
      <c r="VF18" s="19" t="s">
        <v>198</v>
      </c>
      <c r="VG18" s="19">
        <v>200</v>
      </c>
      <c r="VH18" s="19" t="b">
        <f t="shared" ca="1" si="453"/>
        <v>0</v>
      </c>
      <c r="VI18" s="100">
        <f t="shared" si="288"/>
        <v>1</v>
      </c>
      <c r="VJ18" s="19">
        <f t="shared" ca="1" si="289"/>
        <v>54.288965517241365</v>
      </c>
      <c r="VK18" s="19">
        <f t="shared" ca="1" si="454"/>
        <v>54.288965517241365</v>
      </c>
      <c r="VL18" s="100">
        <f t="shared" si="290"/>
        <v>0</v>
      </c>
      <c r="VM18" s="19">
        <f t="shared" ca="1" si="291"/>
        <v>0</v>
      </c>
      <c r="VN18" s="19">
        <f t="shared" ca="1" si="292"/>
        <v>0</v>
      </c>
      <c r="VO18" s="19">
        <f t="shared" ca="1" si="455"/>
        <v>0</v>
      </c>
      <c r="VP18" s="19">
        <f t="shared" ca="1" si="293"/>
        <v>200</v>
      </c>
      <c r="VQ18" s="19">
        <f t="shared" ca="1" si="294"/>
        <v>0</v>
      </c>
      <c r="VR18" s="19">
        <f t="shared" ca="1" si="295"/>
        <v>1</v>
      </c>
      <c r="VS18" s="12">
        <f t="shared" ca="1" si="296"/>
        <v>200</v>
      </c>
      <c r="VT18" s="79"/>
      <c r="VU18" s="12">
        <f t="shared" ca="1" si="456"/>
        <v>200</v>
      </c>
      <c r="VV18" s="18">
        <f t="shared" ca="1" si="297"/>
        <v>1</v>
      </c>
      <c r="VX18" s="11">
        <f t="shared" ca="1" si="298"/>
        <v>200</v>
      </c>
      <c r="VY18" s="11">
        <f ca="1">INDEX(Totals[[#Data],[#Totals],[Car - Note]:[NONTRACKED]],MATCH(VX$1,Totals[Date],0),MATCH($C18,Totals[[#Headers],[Car - Note]:[NONTRACKED]],0))</f>
        <v>-59.215000000000003</v>
      </c>
      <c r="VZ18" s="11">
        <f t="shared" ca="1" si="457"/>
        <v>140.785</v>
      </c>
      <c r="WA18" s="11" t="s">
        <v>198</v>
      </c>
      <c r="WB18" s="11">
        <v>200</v>
      </c>
      <c r="WC18" s="11" t="b">
        <f t="shared" ca="1" si="458"/>
        <v>0</v>
      </c>
      <c r="WD18" s="92">
        <f t="shared" si="299"/>
        <v>1</v>
      </c>
      <c r="WE18" s="11">
        <f t="shared" ca="1" si="300"/>
        <v>59.215000000000003</v>
      </c>
      <c r="WF18" s="11">
        <f t="shared" ca="1" si="459"/>
        <v>59.215000000000003</v>
      </c>
      <c r="WG18" s="92">
        <f t="shared" si="301"/>
        <v>0</v>
      </c>
      <c r="WH18" s="11">
        <f t="shared" ca="1" si="302"/>
        <v>0</v>
      </c>
      <c r="WI18" s="11">
        <f t="shared" ca="1" si="303"/>
        <v>0</v>
      </c>
      <c r="WJ18" s="11">
        <f t="shared" ca="1" si="460"/>
        <v>0</v>
      </c>
      <c r="WK18" s="11">
        <f t="shared" ca="1" si="304"/>
        <v>200</v>
      </c>
      <c r="WL18" s="11">
        <f t="shared" ca="1" si="305"/>
        <v>0</v>
      </c>
      <c r="WM18" s="11">
        <f t="shared" ca="1" si="306"/>
        <v>1</v>
      </c>
      <c r="WN18" s="12">
        <f t="shared" ca="1" si="307"/>
        <v>200</v>
      </c>
      <c r="WO18" s="79"/>
      <c r="WP18" s="12">
        <f t="shared" ca="1" si="461"/>
        <v>200</v>
      </c>
      <c r="WQ18" s="18">
        <f t="shared" ca="1" si="308"/>
        <v>1</v>
      </c>
      <c r="WS18" s="13">
        <f t="shared" ca="1" si="309"/>
        <v>200</v>
      </c>
      <c r="WT18" s="13">
        <f ca="1">INDEX(Totals[[#Data],[#Totals],[Car - Note]:[NONTRACKED]],MATCH(WS$1,Totals[Date],0),MATCH($C18,Totals[[#Headers],[Car - Note]:[NONTRACKED]],0))</f>
        <v>-70.215000000000003</v>
      </c>
      <c r="WU18" s="13">
        <f t="shared" ca="1" si="462"/>
        <v>129.785</v>
      </c>
      <c r="WV18" s="13" t="s">
        <v>198</v>
      </c>
      <c r="WW18" s="13">
        <v>200</v>
      </c>
      <c r="WX18" s="13" t="b">
        <f t="shared" ca="1" si="463"/>
        <v>0</v>
      </c>
      <c r="WY18" s="94">
        <f t="shared" si="310"/>
        <v>1</v>
      </c>
      <c r="WZ18" s="13">
        <f t="shared" ca="1" si="311"/>
        <v>70.215000000000003</v>
      </c>
      <c r="XA18" s="13">
        <f t="shared" ca="1" si="464"/>
        <v>70.215000000000003</v>
      </c>
      <c r="XB18" s="94">
        <f t="shared" si="312"/>
        <v>0</v>
      </c>
      <c r="XC18" s="13">
        <f t="shared" ca="1" si="313"/>
        <v>0</v>
      </c>
      <c r="XD18" s="13">
        <f t="shared" ca="1" si="314"/>
        <v>0</v>
      </c>
      <c r="XE18" s="13">
        <f t="shared" ca="1" si="465"/>
        <v>0</v>
      </c>
      <c r="XF18" s="13">
        <f t="shared" ca="1" si="315"/>
        <v>200</v>
      </c>
      <c r="XG18" s="13">
        <f t="shared" ca="1" si="316"/>
        <v>0</v>
      </c>
      <c r="XH18" s="13">
        <f t="shared" ca="1" si="317"/>
        <v>1</v>
      </c>
      <c r="XI18" s="12">
        <f t="shared" ca="1" si="318"/>
        <v>200</v>
      </c>
      <c r="XJ18" s="104">
        <f t="shared" ca="1" si="471"/>
        <v>0</v>
      </c>
      <c r="XK18" s="12">
        <f t="shared" ca="1" si="466"/>
        <v>200</v>
      </c>
      <c r="XL18" s="18">
        <f t="shared" ca="1" si="320"/>
        <v>1</v>
      </c>
      <c r="XN18">
        <v>7.4999999999999997E-2</v>
      </c>
      <c r="XO18" s="103">
        <f t="shared" ca="1" si="467"/>
        <v>15</v>
      </c>
      <c r="XP18" s="12">
        <f t="shared" ca="1" si="468"/>
        <v>185</v>
      </c>
      <c r="XQ18" s="102">
        <f t="shared" ca="1" si="469"/>
        <v>0.92500000000000004</v>
      </c>
    </row>
    <row r="19" spans="1:641" x14ac:dyDescent="0.25">
      <c r="A19" s="112"/>
      <c r="B19" t="s">
        <v>45</v>
      </c>
      <c r="C19" t="s">
        <v>145</v>
      </c>
      <c r="D19" s="79">
        <v>-40</v>
      </c>
      <c r="H19" s="48">
        <v>120</v>
      </c>
      <c r="I19" s="48"/>
      <c r="J19" s="48"/>
      <c r="K19" s="48">
        <v>300</v>
      </c>
      <c r="L19" s="95">
        <v>200</v>
      </c>
      <c r="M19" s="48"/>
      <c r="N19" s="96"/>
      <c r="O19" s="48"/>
      <c r="P19" s="48"/>
      <c r="Q19" s="96"/>
      <c r="R19" s="48"/>
      <c r="S19" s="48"/>
      <c r="T19" s="48"/>
      <c r="U19" s="48"/>
      <c r="V19" s="48"/>
      <c r="W19" s="48"/>
      <c r="X19" s="48"/>
      <c r="Y19" s="48"/>
      <c r="Z19" s="48">
        <f t="shared" si="321"/>
        <v>120</v>
      </c>
      <c r="AA19" s="98">
        <f t="shared" si="0"/>
        <v>0.6</v>
      </c>
      <c r="AC19" s="11">
        <f t="shared" si="1"/>
        <v>120</v>
      </c>
      <c r="AD19" s="11">
        <f ca="1">INDEX(Totals[[#Data],[#Totals],[Car - Note]:[NONTRACKED]],MATCH(AC$1,Totals[Date],0),MATCH($C19,Totals[[#Headers],[Car - Note]:[NONTRACKED]],0))</f>
        <v>-176.27</v>
      </c>
      <c r="AE19" s="11">
        <f t="shared" ca="1" si="322"/>
        <v>-56.27000000000001</v>
      </c>
      <c r="AF19" s="11">
        <v>2000</v>
      </c>
      <c r="AG19" s="11">
        <v>2000</v>
      </c>
      <c r="AH19" s="11" t="b">
        <f t="shared" ca="1" si="323"/>
        <v>0</v>
      </c>
      <c r="AI19" s="92">
        <f t="shared" si="2"/>
        <v>0</v>
      </c>
      <c r="AJ19" s="11">
        <f t="shared" ca="1" si="3"/>
        <v>0</v>
      </c>
      <c r="AK19" s="11">
        <f t="shared" ca="1" si="324"/>
        <v>0</v>
      </c>
      <c r="AL19" s="92">
        <f t="shared" si="4"/>
        <v>1</v>
      </c>
      <c r="AM19" s="11">
        <f t="shared" ca="1" si="5"/>
        <v>2056.27</v>
      </c>
      <c r="AN19" s="11">
        <f t="shared" ca="1" si="6"/>
        <v>2000</v>
      </c>
      <c r="AO19" s="11">
        <f t="shared" ca="1" si="325"/>
        <v>1609.939550899405</v>
      </c>
      <c r="AP19" s="11">
        <f t="shared" ca="1" si="7"/>
        <v>1553.6695508994051</v>
      </c>
      <c r="AQ19" s="11">
        <f t="shared" ca="1" si="8"/>
        <v>-446.33</v>
      </c>
      <c r="AR19" s="11">
        <f t="shared" ca="1" si="9"/>
        <v>0.77683477544970259</v>
      </c>
      <c r="AS19" s="12">
        <f t="shared" ca="1" si="10"/>
        <v>1553.6695508994051</v>
      </c>
      <c r="AT19" s="12"/>
      <c r="AU19" s="12">
        <f t="shared" ca="1" si="326"/>
        <v>1553.6695508994051</v>
      </c>
      <c r="AV19" s="18">
        <f t="shared" ca="1" si="11"/>
        <v>0.77683477544970259</v>
      </c>
      <c r="AX19" s="13">
        <f t="shared" ca="1" si="12"/>
        <v>1553.6695508994051</v>
      </c>
      <c r="AY19" s="13">
        <f ca="1">INDEX(Totals[[#Data],[#Totals],[Car - Note]:[NONTRACKED]],MATCH(AX$1,Totals[Date],0),MATCH($C19,Totals[[#Headers],[Car - Note]:[NONTRACKED]],0))</f>
        <v>-194.42</v>
      </c>
      <c r="AZ19" s="13">
        <f t="shared" ca="1" si="327"/>
        <v>1359.249550899405</v>
      </c>
      <c r="BA19" s="13">
        <v>4000</v>
      </c>
      <c r="BB19" s="13">
        <v>4000</v>
      </c>
      <c r="BC19" s="13" t="b">
        <f t="shared" ca="1" si="328"/>
        <v>0</v>
      </c>
      <c r="BD19" s="94">
        <f t="shared" si="13"/>
        <v>0</v>
      </c>
      <c r="BE19" s="13">
        <f t="shared" ca="1" si="14"/>
        <v>0</v>
      </c>
      <c r="BF19" s="13">
        <f t="shared" ca="1" si="329"/>
        <v>0</v>
      </c>
      <c r="BG19" s="94">
        <f t="shared" si="15"/>
        <v>1</v>
      </c>
      <c r="BH19" s="13">
        <f t="shared" ca="1" si="16"/>
        <v>2640.7504491005948</v>
      </c>
      <c r="BI19" s="13">
        <f t="shared" ca="1" si="17"/>
        <v>2640.7504491005948</v>
      </c>
      <c r="BJ19" s="13">
        <f t="shared" ca="1" si="330"/>
        <v>1260.1471177583724</v>
      </c>
      <c r="BK19" s="13">
        <f t="shared" ca="1" si="18"/>
        <v>2619.3966686577774</v>
      </c>
      <c r="BL19" s="13">
        <f t="shared" ca="1" si="19"/>
        <v>-1380.6</v>
      </c>
      <c r="BM19" s="13">
        <f t="shared" ca="1" si="20"/>
        <v>0.6548491671644443</v>
      </c>
      <c r="BN19" s="12">
        <f t="shared" ca="1" si="21"/>
        <v>2619.3966686577774</v>
      </c>
      <c r="BO19" s="12"/>
      <c r="BP19" s="12">
        <f t="shared" ca="1" si="331"/>
        <v>2619.3966686577774</v>
      </c>
      <c r="BQ19" s="18">
        <f t="shared" ca="1" si="22"/>
        <v>0.6548491671644443</v>
      </c>
      <c r="BS19" s="19">
        <f t="shared" ca="1" si="23"/>
        <v>2619.3966686577774</v>
      </c>
      <c r="BT19" s="19">
        <f ca="1">INDEX(Totals[[#Data],[#Totals],[Car - Note]:[NONTRACKED]],MATCH(BS$1,Totals[Date],0),MATCH($C19,Totals[[#Headers],[Car - Note]:[NONTRACKED]],0))</f>
        <v>-3803.75</v>
      </c>
      <c r="BU19" s="19">
        <f t="shared" ca="1" si="332"/>
        <v>-1184.3533313422226</v>
      </c>
      <c r="BV19" s="19">
        <v>500</v>
      </c>
      <c r="BW19" s="19">
        <v>1000</v>
      </c>
      <c r="BX19" s="19" t="b">
        <f t="shared" ca="1" si="333"/>
        <v>0</v>
      </c>
      <c r="BY19" s="100">
        <f t="shared" si="24"/>
        <v>0</v>
      </c>
      <c r="BZ19" s="19">
        <f t="shared" ca="1" si="25"/>
        <v>0</v>
      </c>
      <c r="CA19" s="19">
        <f t="shared" ca="1" si="334"/>
        <v>0</v>
      </c>
      <c r="CB19" s="100">
        <f t="shared" si="26"/>
        <v>1</v>
      </c>
      <c r="CC19" s="19">
        <f t="shared" ca="1" si="27"/>
        <v>2184.3533313422226</v>
      </c>
      <c r="CD19" s="19">
        <f t="shared" ca="1" si="28"/>
        <v>500</v>
      </c>
      <c r="CE19" s="19">
        <f t="shared" ca="1" si="335"/>
        <v>500.00000000000006</v>
      </c>
      <c r="CF19" s="19">
        <f t="shared" ca="1" si="29"/>
        <v>-684.35333134222265</v>
      </c>
      <c r="CG19" s="19">
        <f t="shared" ca="1" si="30"/>
        <v>-1684.35</v>
      </c>
      <c r="CH19" s="19">
        <f t="shared" ca="1" si="31"/>
        <v>-0.68435333134222265</v>
      </c>
      <c r="CI19" s="12">
        <f t="shared" ca="1" si="32"/>
        <v>-684.35333134222265</v>
      </c>
      <c r="CJ19" s="10">
        <f ca="1">BW19-CI19</f>
        <v>1684.3533313422226</v>
      </c>
      <c r="CK19" s="12">
        <f t="shared" ca="1" si="336"/>
        <v>1000</v>
      </c>
      <c r="CL19" s="18">
        <f t="shared" ca="1" si="33"/>
        <v>1</v>
      </c>
      <c r="CN19" s="11">
        <f t="shared" ca="1" si="34"/>
        <v>1000</v>
      </c>
      <c r="CO19" s="11">
        <f ca="1">INDEX(Totals[[#Data],[#Totals],[Car - Note]:[NONTRACKED]],MATCH(CN$1,Totals[Date],0),MATCH($C19,Totals[[#Headers],[Car - Note]:[NONTRACKED]],0))</f>
        <v>-250.8</v>
      </c>
      <c r="CP19" s="11">
        <f t="shared" ca="1" si="337"/>
        <v>749.2</v>
      </c>
      <c r="CQ19" s="11">
        <v>500</v>
      </c>
      <c r="CR19" s="11">
        <v>1000</v>
      </c>
      <c r="CS19" s="11" t="b">
        <f t="shared" ca="1" si="338"/>
        <v>0</v>
      </c>
      <c r="CT19" s="92">
        <f t="shared" si="35"/>
        <v>0</v>
      </c>
      <c r="CU19" s="11">
        <f t="shared" ca="1" si="36"/>
        <v>0</v>
      </c>
      <c r="CV19" s="11">
        <f t="shared" ca="1" si="339"/>
        <v>0</v>
      </c>
      <c r="CW19" s="92">
        <f t="shared" si="37"/>
        <v>1</v>
      </c>
      <c r="CX19" s="11">
        <f t="shared" ca="1" si="38"/>
        <v>250.79999999999995</v>
      </c>
      <c r="CY19" s="11">
        <f t="shared" ca="1" si="39"/>
        <v>250.79999999999995</v>
      </c>
      <c r="CZ19" s="11">
        <f t="shared" ca="1" si="340"/>
        <v>250.79999999999993</v>
      </c>
      <c r="DA19" s="11">
        <f t="shared" ca="1" si="40"/>
        <v>1000</v>
      </c>
      <c r="DB19" s="11">
        <f t="shared" ca="1" si="41"/>
        <v>0</v>
      </c>
      <c r="DC19" s="11">
        <f t="shared" ca="1" si="42"/>
        <v>1</v>
      </c>
      <c r="DD19" s="12">
        <f t="shared" ca="1" si="43"/>
        <v>1000</v>
      </c>
      <c r="DE19" s="79"/>
      <c r="DF19" s="12">
        <f t="shared" ca="1" si="341"/>
        <v>1000</v>
      </c>
      <c r="DG19" s="18">
        <f t="shared" ca="1" si="44"/>
        <v>1</v>
      </c>
      <c r="DI19" s="13">
        <f t="shared" ca="1" si="45"/>
        <v>1000</v>
      </c>
      <c r="DJ19" s="13">
        <f ca="1">INDEX(Totals[[#Data],[#Totals],[Car - Note]:[NONTRACKED]],MATCH(DI$1,Totals[Date],0),MATCH($C19,Totals[[#Headers],[Car - Note]:[NONTRACKED]],0))</f>
        <v>-34.4</v>
      </c>
      <c r="DK19" s="13">
        <f t="shared" ca="1" si="342"/>
        <v>965.6</v>
      </c>
      <c r="DL19" s="13">
        <v>500</v>
      </c>
      <c r="DM19" s="13">
        <v>1000</v>
      </c>
      <c r="DN19" s="13" t="b">
        <f t="shared" ca="1" si="343"/>
        <v>0</v>
      </c>
      <c r="DO19" s="94">
        <f t="shared" si="46"/>
        <v>0</v>
      </c>
      <c r="DP19" s="13">
        <f t="shared" ca="1" si="47"/>
        <v>0</v>
      </c>
      <c r="DQ19" s="13">
        <f t="shared" ca="1" si="344"/>
        <v>0</v>
      </c>
      <c r="DR19" s="94">
        <f t="shared" si="48"/>
        <v>1</v>
      </c>
      <c r="DS19" s="13">
        <f t="shared" ca="1" si="49"/>
        <v>34.399999999999977</v>
      </c>
      <c r="DT19" s="13">
        <f t="shared" ca="1" si="50"/>
        <v>34.399999999999977</v>
      </c>
      <c r="DU19" s="13">
        <f t="shared" ca="1" si="345"/>
        <v>14.689246461656532</v>
      </c>
      <c r="DV19" s="13">
        <f t="shared" ca="1" si="51"/>
        <v>980.2892464616566</v>
      </c>
      <c r="DW19" s="13">
        <f t="shared" ca="1" si="52"/>
        <v>-19.71</v>
      </c>
      <c r="DX19" s="13">
        <f t="shared" ca="1" si="53"/>
        <v>0.9802892464616566</v>
      </c>
      <c r="DY19" s="12">
        <f t="shared" ca="1" si="54"/>
        <v>980.2892464616566</v>
      </c>
      <c r="DZ19" s="79"/>
      <c r="EA19" s="12">
        <f t="shared" ca="1" si="346"/>
        <v>980.2892464616566</v>
      </c>
      <c r="EB19" s="18">
        <f t="shared" ca="1" si="55"/>
        <v>0.9802892464616566</v>
      </c>
      <c r="ED19" s="19">
        <f t="shared" ca="1" si="56"/>
        <v>980.2892464616566</v>
      </c>
      <c r="EE19" s="19">
        <f ca="1">INDEX(Totals[[#Data],[#Totals],[Car - Note]:[NONTRACKED]],MATCH(ED$1,Totals[Date],0),MATCH($C19,Totals[[#Headers],[Car - Note]:[NONTRACKED]],0))</f>
        <v>0</v>
      </c>
      <c r="EF19" s="19">
        <f t="shared" ca="1" si="347"/>
        <v>980.2892464616566</v>
      </c>
      <c r="EG19" s="19">
        <v>500</v>
      </c>
      <c r="EH19" s="19">
        <v>1000</v>
      </c>
      <c r="EI19" s="19" t="b">
        <f t="shared" ca="1" si="348"/>
        <v>0</v>
      </c>
      <c r="EJ19" s="100">
        <f t="shared" si="57"/>
        <v>0</v>
      </c>
      <c r="EK19" s="19">
        <f t="shared" ca="1" si="58"/>
        <v>0</v>
      </c>
      <c r="EL19" s="19">
        <f t="shared" ca="1" si="349"/>
        <v>0</v>
      </c>
      <c r="EM19" s="100">
        <f t="shared" si="59"/>
        <v>1</v>
      </c>
      <c r="EN19" s="19">
        <f t="shared" ca="1" si="60"/>
        <v>19.710753538343397</v>
      </c>
      <c r="EO19" s="19">
        <f t="shared" ca="1" si="61"/>
        <v>19.710753538343397</v>
      </c>
      <c r="EP19" s="19">
        <f t="shared" ca="1" si="350"/>
        <v>14.36731138324329</v>
      </c>
      <c r="EQ19" s="19">
        <f t="shared" ca="1" si="62"/>
        <v>994.65655784489991</v>
      </c>
      <c r="ER19" s="19">
        <f t="shared" ca="1" si="63"/>
        <v>-5.34</v>
      </c>
      <c r="ES19" s="19">
        <f t="shared" ca="1" si="64"/>
        <v>0.99465655784489992</v>
      </c>
      <c r="ET19" s="12">
        <f t="shared" ca="1" si="65"/>
        <v>994.65655784489991</v>
      </c>
      <c r="EU19" s="79"/>
      <c r="EV19" s="12">
        <f t="shared" ca="1" si="351"/>
        <v>994.65655784489991</v>
      </c>
      <c r="EW19" s="18">
        <f t="shared" ca="1" si="66"/>
        <v>0.99465655784489992</v>
      </c>
      <c r="EY19" s="11">
        <f t="shared" ca="1" si="67"/>
        <v>994.65655784489991</v>
      </c>
      <c r="EZ19" s="11">
        <f ca="1">INDEX(Totals[[#Data],[#Totals],[Car - Note]:[NONTRACKED]],MATCH(EY$1,Totals[Date],0),MATCH($C19,Totals[[#Headers],[Car - Note]:[NONTRACKED]],0))</f>
        <v>-63.54</v>
      </c>
      <c r="FA19" s="11">
        <f t="shared" ca="1" si="352"/>
        <v>931.11655784489994</v>
      </c>
      <c r="FB19" s="11">
        <v>500</v>
      </c>
      <c r="FC19" s="11">
        <v>1000</v>
      </c>
      <c r="FD19" s="11" t="b">
        <f t="shared" ca="1" si="353"/>
        <v>0</v>
      </c>
      <c r="FE19" s="92">
        <f t="shared" si="68"/>
        <v>0</v>
      </c>
      <c r="FF19" s="11">
        <f t="shared" ca="1" si="69"/>
        <v>0</v>
      </c>
      <c r="FG19" s="11">
        <f t="shared" ca="1" si="354"/>
        <v>0</v>
      </c>
      <c r="FH19" s="92">
        <f t="shared" si="70"/>
        <v>1</v>
      </c>
      <c r="FI19" s="11">
        <f t="shared" ca="1" si="71"/>
        <v>68.883442155100056</v>
      </c>
      <c r="FJ19" s="11">
        <f t="shared" ca="1" si="72"/>
        <v>68.883442155100056</v>
      </c>
      <c r="FK19" s="11">
        <f t="shared" ca="1" si="355"/>
        <v>29.838650203245685</v>
      </c>
      <c r="FL19" s="11">
        <f t="shared" ca="1" si="73"/>
        <v>960.95520804814566</v>
      </c>
      <c r="FM19" s="11">
        <f t="shared" ca="1" si="74"/>
        <v>-39.04</v>
      </c>
      <c r="FN19" s="11">
        <f t="shared" ca="1" si="75"/>
        <v>0.96095520804814571</v>
      </c>
      <c r="FO19" s="12">
        <f t="shared" ca="1" si="76"/>
        <v>960.95520804814566</v>
      </c>
      <c r="FP19" s="79"/>
      <c r="FQ19" s="12">
        <f t="shared" ca="1" si="356"/>
        <v>960.95520804814566</v>
      </c>
      <c r="FR19" s="18">
        <f t="shared" ca="1" si="77"/>
        <v>0.96095520804814571</v>
      </c>
      <c r="FT19" s="13">
        <f t="shared" ca="1" si="78"/>
        <v>960.95520804814566</v>
      </c>
      <c r="FU19" s="13">
        <f ca="1">INDEX(Totals[[#Data],[#Totals],[Car - Note]:[NONTRACKED]],MATCH(FT$1,Totals[Date],0),MATCH($C19,Totals[[#Headers],[Car - Note]:[NONTRACKED]],0))</f>
        <v>-134.97999999999999</v>
      </c>
      <c r="FV19" s="13">
        <f t="shared" ca="1" si="357"/>
        <v>825.97520804814565</v>
      </c>
      <c r="FW19" s="13">
        <v>500</v>
      </c>
      <c r="FX19" s="13">
        <v>1000</v>
      </c>
      <c r="FY19" s="13" t="b">
        <f t="shared" ca="1" si="358"/>
        <v>0</v>
      </c>
      <c r="FZ19" s="94">
        <f t="shared" si="79"/>
        <v>0</v>
      </c>
      <c r="GA19" s="13">
        <f t="shared" ca="1" si="80"/>
        <v>0</v>
      </c>
      <c r="GB19" s="13">
        <f t="shared" ca="1" si="359"/>
        <v>0</v>
      </c>
      <c r="GC19" s="94">
        <f t="shared" si="81"/>
        <v>1</v>
      </c>
      <c r="GD19" s="13">
        <f t="shared" ca="1" si="82"/>
        <v>174.02479195185435</v>
      </c>
      <c r="GE19" s="13">
        <f t="shared" ca="1" si="83"/>
        <v>174.02479195185435</v>
      </c>
      <c r="GF19" s="13">
        <f t="shared" ca="1" si="360"/>
        <v>75.178942043929766</v>
      </c>
      <c r="GG19" s="13">
        <f t="shared" ca="1" si="84"/>
        <v>901.15415009207538</v>
      </c>
      <c r="GH19" s="13">
        <f t="shared" ca="1" si="85"/>
        <v>-98.85</v>
      </c>
      <c r="GI19" s="13">
        <f t="shared" ca="1" si="86"/>
        <v>0.90115415009207533</v>
      </c>
      <c r="GJ19" s="12">
        <f t="shared" ca="1" si="87"/>
        <v>901.15415009207538</v>
      </c>
      <c r="GK19" s="79"/>
      <c r="GL19" s="12">
        <f t="shared" ca="1" si="361"/>
        <v>901.15415009207538</v>
      </c>
      <c r="GM19" s="18">
        <f t="shared" ca="1" si="88"/>
        <v>0.90115415009207533</v>
      </c>
      <c r="GO19" s="19">
        <f t="shared" ca="1" si="89"/>
        <v>901.15415009207538</v>
      </c>
      <c r="GP19" s="19">
        <f ca="1">INDEX(Totals[[#Data],[#Totals],[Car - Note]:[NONTRACKED]],MATCH(GO$1,Totals[Date],0),MATCH($C19,Totals[[#Headers],[Car - Note]:[NONTRACKED]],0))</f>
        <v>-29.66</v>
      </c>
      <c r="GQ19" s="19">
        <f t="shared" ca="1" si="362"/>
        <v>871.49415009207542</v>
      </c>
      <c r="GR19" s="19">
        <v>500</v>
      </c>
      <c r="GS19" s="19">
        <v>1000</v>
      </c>
      <c r="GT19" s="19" t="b">
        <f t="shared" ca="1" si="363"/>
        <v>0</v>
      </c>
      <c r="GU19" s="100">
        <f t="shared" si="90"/>
        <v>0</v>
      </c>
      <c r="GV19" s="19">
        <f t="shared" ca="1" si="91"/>
        <v>0</v>
      </c>
      <c r="GW19" s="19">
        <f t="shared" ca="1" si="364"/>
        <v>0</v>
      </c>
      <c r="GX19" s="100">
        <f t="shared" si="92"/>
        <v>1</v>
      </c>
      <c r="GY19" s="19">
        <f t="shared" ca="1" si="93"/>
        <v>128.50584990792458</v>
      </c>
      <c r="GZ19" s="19">
        <f t="shared" ca="1" si="94"/>
        <v>128.50584990792458</v>
      </c>
      <c r="HA19" s="19">
        <f t="shared" ca="1" si="365"/>
        <v>56.773337269773094</v>
      </c>
      <c r="HB19" s="19">
        <f t="shared" ca="1" si="95"/>
        <v>928.26748736184845</v>
      </c>
      <c r="HC19" s="19">
        <f t="shared" ca="1" si="96"/>
        <v>-71.73</v>
      </c>
      <c r="HD19" s="19">
        <f t="shared" ca="1" si="97"/>
        <v>0.9282674873618485</v>
      </c>
      <c r="HE19" s="12">
        <f t="shared" ca="1" si="98"/>
        <v>928.26748736184845</v>
      </c>
      <c r="HF19" s="79"/>
      <c r="HG19" s="12">
        <f t="shared" ca="1" si="366"/>
        <v>928.26748736184845</v>
      </c>
      <c r="HH19" s="18">
        <f t="shared" ca="1" si="99"/>
        <v>0.9282674873618485</v>
      </c>
      <c r="HJ19" s="11">
        <f t="shared" ca="1" si="100"/>
        <v>928.26748736184845</v>
      </c>
      <c r="HK19" s="11">
        <f ca="1">INDEX(Totals[[#Data],[#Totals],[Car - Note]:[NONTRACKED]],MATCH(HJ$1,Totals[Date],0),MATCH($C19,Totals[[#Headers],[Car - Note]:[NONTRACKED]],0))</f>
        <v>-75.569999999999993</v>
      </c>
      <c r="HL19" s="11">
        <f t="shared" ca="1" si="367"/>
        <v>852.69748736184852</v>
      </c>
      <c r="HM19" s="11">
        <v>500</v>
      </c>
      <c r="HN19" s="11">
        <v>1000</v>
      </c>
      <c r="HO19" s="11" t="b">
        <f t="shared" ca="1" si="368"/>
        <v>0</v>
      </c>
      <c r="HP19" s="92">
        <f t="shared" si="101"/>
        <v>0</v>
      </c>
      <c r="HQ19" s="11">
        <f t="shared" ca="1" si="102"/>
        <v>0</v>
      </c>
      <c r="HR19" s="11">
        <f t="shared" ca="1" si="369"/>
        <v>0</v>
      </c>
      <c r="HS19" s="92">
        <f t="shared" si="103"/>
        <v>1</v>
      </c>
      <c r="HT19" s="11">
        <f t="shared" ca="1" si="104"/>
        <v>147.30251263815148</v>
      </c>
      <c r="HU19" s="11">
        <f t="shared" ca="1" si="105"/>
        <v>147.30251263815148</v>
      </c>
      <c r="HV19" s="11">
        <f t="shared" ca="1" si="370"/>
        <v>62.338897960920605</v>
      </c>
      <c r="HW19" s="11">
        <f t="shared" ca="1" si="106"/>
        <v>915.03638532276909</v>
      </c>
      <c r="HX19" s="11">
        <f t="shared" ca="1" si="107"/>
        <v>-84.96</v>
      </c>
      <c r="HY19" s="11">
        <f t="shared" ca="1" si="108"/>
        <v>0.9150363853227691</v>
      </c>
      <c r="HZ19" s="12">
        <f t="shared" ca="1" si="109"/>
        <v>915.03638532276909</v>
      </c>
      <c r="IA19" s="79"/>
      <c r="IB19" s="12">
        <f t="shared" ca="1" si="371"/>
        <v>915.03638532276909</v>
      </c>
      <c r="IC19" s="18">
        <f t="shared" ca="1" si="110"/>
        <v>0.9150363853227691</v>
      </c>
      <c r="IE19" s="13">
        <f t="shared" ca="1" si="111"/>
        <v>915.03638532276909</v>
      </c>
      <c r="IF19" s="13">
        <f ca="1">INDEX(Totals[[#Data],[#Totals],[Car - Note]:[NONTRACKED]],MATCH(IE$1,Totals[Date],0),MATCH($C19,Totals[[#Headers],[Car - Note]:[NONTRACKED]],0))</f>
        <v>0</v>
      </c>
      <c r="IG19" s="13">
        <f t="shared" ca="1" si="372"/>
        <v>915.03638532276909</v>
      </c>
      <c r="IH19" s="13">
        <v>500</v>
      </c>
      <c r="II19" s="13">
        <v>1000</v>
      </c>
      <c r="IJ19" s="13" t="b">
        <f t="shared" ca="1" si="373"/>
        <v>0</v>
      </c>
      <c r="IK19" s="94">
        <f t="shared" si="112"/>
        <v>0</v>
      </c>
      <c r="IL19" s="13">
        <f t="shared" ca="1" si="113"/>
        <v>0</v>
      </c>
      <c r="IM19" s="13">
        <f t="shared" ca="1" si="374"/>
        <v>0</v>
      </c>
      <c r="IN19" s="94">
        <f t="shared" si="114"/>
        <v>1</v>
      </c>
      <c r="IO19" s="13">
        <f t="shared" ca="1" si="115"/>
        <v>84.963614677230908</v>
      </c>
      <c r="IP19" s="13">
        <f t="shared" ca="1" si="116"/>
        <v>84.963614677230908</v>
      </c>
      <c r="IQ19" s="13">
        <f t="shared" ca="1" si="375"/>
        <v>39.247012195740908</v>
      </c>
      <c r="IR19" s="13">
        <f t="shared" ca="1" si="117"/>
        <v>954.28339751851001</v>
      </c>
      <c r="IS19" s="13">
        <f t="shared" ca="1" si="118"/>
        <v>-45.72</v>
      </c>
      <c r="IT19" s="13">
        <f t="shared" ca="1" si="119"/>
        <v>0.95428339751850999</v>
      </c>
      <c r="IU19" s="12">
        <f t="shared" ca="1" si="120"/>
        <v>954.28339751851001</v>
      </c>
      <c r="IV19" s="79"/>
      <c r="IW19" s="12">
        <f t="shared" ca="1" si="376"/>
        <v>954.28339751851001</v>
      </c>
      <c r="IX19" s="18">
        <f t="shared" ca="1" si="121"/>
        <v>0.95428339751850999</v>
      </c>
      <c r="IZ19" s="19">
        <f t="shared" ca="1" si="122"/>
        <v>954.28339751851001</v>
      </c>
      <c r="JA19" s="19">
        <f ca="1">INDEX(Totals[[#Data],[#Totals],[Car - Note]:[NONTRACKED]],MATCH(IZ$1,Totals[Date],0),MATCH($C19,Totals[[#Headers],[Car - Note]:[NONTRACKED]],0))</f>
        <v>0</v>
      </c>
      <c r="JB19" s="19">
        <f t="shared" ca="1" si="377"/>
        <v>954.28339751851001</v>
      </c>
      <c r="JC19" s="19">
        <v>500</v>
      </c>
      <c r="JD19" s="19">
        <v>1000</v>
      </c>
      <c r="JE19" s="19" t="b">
        <f t="shared" ca="1" si="378"/>
        <v>0</v>
      </c>
      <c r="JF19" s="100">
        <f t="shared" si="123"/>
        <v>0</v>
      </c>
      <c r="JG19" s="19">
        <f t="shared" ca="1" si="124"/>
        <v>0</v>
      </c>
      <c r="JH19" s="19">
        <f t="shared" ca="1" si="379"/>
        <v>0</v>
      </c>
      <c r="JI19" s="100">
        <f t="shared" si="125"/>
        <v>1</v>
      </c>
      <c r="JJ19" s="19">
        <f t="shared" ca="1" si="126"/>
        <v>45.716602481489986</v>
      </c>
      <c r="JK19" s="19">
        <f t="shared" ca="1" si="127"/>
        <v>45.716602481489986</v>
      </c>
      <c r="JL19" s="19">
        <f t="shared" ca="1" si="380"/>
        <v>17.495504564421651</v>
      </c>
      <c r="JM19" s="19">
        <f t="shared" ca="1" si="128"/>
        <v>971.77890208293161</v>
      </c>
      <c r="JN19" s="19">
        <f t="shared" ca="1" si="129"/>
        <v>-28.22</v>
      </c>
      <c r="JO19" s="19">
        <f t="shared" ca="1" si="130"/>
        <v>0.97177890208293161</v>
      </c>
      <c r="JP19" s="12">
        <f t="shared" ca="1" si="131"/>
        <v>971.77890208293161</v>
      </c>
      <c r="JQ19" s="79"/>
      <c r="JR19" s="12">
        <f t="shared" ca="1" si="381"/>
        <v>971.77890208293161</v>
      </c>
      <c r="JS19" s="18">
        <f t="shared" ca="1" si="132"/>
        <v>0.97177890208293161</v>
      </c>
      <c r="JU19" s="11">
        <f t="shared" ca="1" si="133"/>
        <v>971.77890208293161</v>
      </c>
      <c r="JV19" s="11">
        <f ca="1">INDEX(Totals[[#Data],[#Totals],[Car - Note]:[NONTRACKED]],MATCH(JU$1,Totals[Date],0),MATCH($C19,Totals[[#Headers],[Car - Note]:[NONTRACKED]],0))</f>
        <v>-99.58</v>
      </c>
      <c r="JW19" s="11">
        <f t="shared" ca="1" si="382"/>
        <v>872.19890208293157</v>
      </c>
      <c r="JX19" s="11">
        <v>500</v>
      </c>
      <c r="JY19" s="11">
        <v>1000</v>
      </c>
      <c r="JZ19" s="11" t="b">
        <f t="shared" ca="1" si="383"/>
        <v>0</v>
      </c>
      <c r="KA19" s="92">
        <f t="shared" si="134"/>
        <v>0</v>
      </c>
      <c r="KB19" s="11">
        <f t="shared" ca="1" si="135"/>
        <v>0</v>
      </c>
      <c r="KC19" s="11">
        <f t="shared" ca="1" si="384"/>
        <v>0</v>
      </c>
      <c r="KD19" s="92">
        <f t="shared" si="136"/>
        <v>1</v>
      </c>
      <c r="KE19" s="11">
        <f t="shared" ca="1" si="137"/>
        <v>127.80109791706843</v>
      </c>
      <c r="KF19" s="11">
        <f t="shared" ca="1" si="138"/>
        <v>127.80109791706843</v>
      </c>
      <c r="KG19" s="11">
        <f t="shared" ca="1" si="385"/>
        <v>88.393328523352054</v>
      </c>
      <c r="KH19" s="11">
        <f t="shared" ca="1" si="139"/>
        <v>960.59223060628358</v>
      </c>
      <c r="KI19" s="11">
        <f t="shared" ca="1" si="140"/>
        <v>-39.409999999999997</v>
      </c>
      <c r="KJ19" s="11">
        <f t="shared" ca="1" si="141"/>
        <v>0.96059223060628363</v>
      </c>
      <c r="KK19" s="12">
        <f t="shared" ca="1" si="142"/>
        <v>960.59223060628358</v>
      </c>
      <c r="KL19" s="79"/>
      <c r="KM19" s="12">
        <f t="shared" ca="1" si="386"/>
        <v>960.59223060628358</v>
      </c>
      <c r="KN19" s="18">
        <f t="shared" ca="1" si="143"/>
        <v>0.96059223060628363</v>
      </c>
      <c r="KP19" s="13">
        <f t="shared" ca="1" si="144"/>
        <v>960.59223060628358</v>
      </c>
      <c r="KQ19" s="13">
        <f ca="1">INDEX(Totals[[#Data],[#Totals],[Car - Note]:[NONTRACKED]],MATCH(KP$1,Totals[Date],0),MATCH($C19,Totals[[#Headers],[Car - Note]:[NONTRACKED]],0))</f>
        <v>-105.71000000000001</v>
      </c>
      <c r="KR19" s="13">
        <f t="shared" ca="1" si="387"/>
        <v>854.88223060628354</v>
      </c>
      <c r="KS19" s="13">
        <v>500</v>
      </c>
      <c r="KT19" s="13">
        <v>1000</v>
      </c>
      <c r="KU19" s="13" t="b">
        <f t="shared" ca="1" si="388"/>
        <v>0</v>
      </c>
      <c r="KV19" s="94">
        <f t="shared" si="145"/>
        <v>0</v>
      </c>
      <c r="KW19" s="13">
        <f t="shared" ca="1" si="146"/>
        <v>0</v>
      </c>
      <c r="KX19" s="13">
        <f t="shared" ca="1" si="389"/>
        <v>0</v>
      </c>
      <c r="KY19" s="94">
        <f t="shared" si="147"/>
        <v>1</v>
      </c>
      <c r="KZ19" s="13">
        <f t="shared" ca="1" si="148"/>
        <v>145.11776939371646</v>
      </c>
      <c r="LA19" s="13">
        <f t="shared" ca="1" si="149"/>
        <v>145.11776939371646</v>
      </c>
      <c r="LB19" s="13">
        <f t="shared" ca="1" si="390"/>
        <v>110.72626218373668</v>
      </c>
      <c r="LC19" s="13">
        <f t="shared" ca="1" si="150"/>
        <v>965.60849279002025</v>
      </c>
      <c r="LD19" s="13">
        <f t="shared" ca="1" si="151"/>
        <v>-34.39</v>
      </c>
      <c r="LE19" s="13">
        <f t="shared" ca="1" si="152"/>
        <v>0.96560849279002026</v>
      </c>
      <c r="LF19" s="12">
        <f t="shared" ca="1" si="153"/>
        <v>965.60849279002025</v>
      </c>
      <c r="LG19" s="79"/>
      <c r="LH19" s="12">
        <f t="shared" ca="1" si="391"/>
        <v>965.60849279002025</v>
      </c>
      <c r="LI19" s="18">
        <f t="shared" ca="1" si="154"/>
        <v>0.96560849279002026</v>
      </c>
      <c r="LK19" s="19">
        <f t="shared" ca="1" si="155"/>
        <v>965.60849279002025</v>
      </c>
      <c r="LL19" s="19">
        <f ca="1">INDEX(Totals[[#Data],[#Totals],[Car - Note]:[NONTRACKED]],MATCH(LK$1,Totals[Date],0),MATCH($C19,Totals[[#Headers],[Car - Note]:[NONTRACKED]],0))</f>
        <v>-266.34000000000003</v>
      </c>
      <c r="LM19" s="19">
        <f t="shared" ca="1" si="392"/>
        <v>699.26849279002022</v>
      </c>
      <c r="LN19" s="19">
        <v>500</v>
      </c>
      <c r="LO19" s="19">
        <v>1000</v>
      </c>
      <c r="LP19" s="19" t="b">
        <f t="shared" ca="1" si="393"/>
        <v>0</v>
      </c>
      <c r="LQ19" s="100">
        <f t="shared" si="156"/>
        <v>0</v>
      </c>
      <c r="LR19" s="19">
        <f t="shared" ca="1" si="157"/>
        <v>0</v>
      </c>
      <c r="LS19" s="19">
        <f t="shared" ca="1" si="394"/>
        <v>0</v>
      </c>
      <c r="LT19" s="100">
        <f t="shared" si="158"/>
        <v>1</v>
      </c>
      <c r="LU19" s="19">
        <f t="shared" ca="1" si="159"/>
        <v>300.73150720997978</v>
      </c>
      <c r="LV19" s="19">
        <f t="shared" ca="1" si="160"/>
        <v>300.73150720997978</v>
      </c>
      <c r="LW19" s="19">
        <f t="shared" ca="1" si="395"/>
        <v>190.89061277958018</v>
      </c>
      <c r="LX19" s="19">
        <f t="shared" ca="1" si="161"/>
        <v>890.15910556960034</v>
      </c>
      <c r="LY19" s="19">
        <f t="shared" ca="1" si="162"/>
        <v>-109.84</v>
      </c>
      <c r="LZ19" s="19">
        <f t="shared" ca="1" si="163"/>
        <v>0.89015910556960032</v>
      </c>
      <c r="MA19" s="12">
        <f t="shared" ca="1" si="164"/>
        <v>890.15910556960034</v>
      </c>
      <c r="MB19" s="79"/>
      <c r="MC19" s="12">
        <f t="shared" ca="1" si="396"/>
        <v>890.15910556960034</v>
      </c>
      <c r="MD19" s="18">
        <f t="shared" ca="1" si="165"/>
        <v>0.89015910556960032</v>
      </c>
      <c r="MF19" s="11">
        <f t="shared" ca="1" si="166"/>
        <v>890.15910556960034</v>
      </c>
      <c r="MG19" s="11">
        <f ca="1">INDEX(Totals[[#Data],[#Totals],[Car - Note]:[NONTRACKED]],MATCH(MF$1,Totals[Date],0),MATCH($C19,Totals[[#Headers],[Car - Note]:[NONTRACKED]],0))</f>
        <v>-446.59</v>
      </c>
      <c r="MH19" s="11">
        <f t="shared" ca="1" si="397"/>
        <v>443.56910556960037</v>
      </c>
      <c r="MI19" s="11">
        <v>500</v>
      </c>
      <c r="MJ19" s="11">
        <v>1000</v>
      </c>
      <c r="MK19" s="11" t="b">
        <f t="shared" ca="1" si="398"/>
        <v>0</v>
      </c>
      <c r="ML19" s="92">
        <f t="shared" si="167"/>
        <v>0</v>
      </c>
      <c r="MM19" s="11">
        <f t="shared" ca="1" si="168"/>
        <v>0</v>
      </c>
      <c r="MN19" s="11">
        <f t="shared" ca="1" si="399"/>
        <v>0</v>
      </c>
      <c r="MO19" s="92">
        <f t="shared" si="169"/>
        <v>1</v>
      </c>
      <c r="MP19" s="11">
        <f t="shared" ca="1" si="170"/>
        <v>556.43089443039958</v>
      </c>
      <c r="MQ19" s="11">
        <f t="shared" ca="1" si="171"/>
        <v>500</v>
      </c>
      <c r="MR19" s="11">
        <f t="shared" ca="1" si="400"/>
        <v>250.38421706427476</v>
      </c>
      <c r="MS19" s="11">
        <f t="shared" ca="1" si="172"/>
        <v>693.95332263387513</v>
      </c>
      <c r="MT19" s="11">
        <f t="shared" ca="1" si="173"/>
        <v>-306.05</v>
      </c>
      <c r="MU19" s="11">
        <f t="shared" ca="1" si="174"/>
        <v>0.6939533226338751</v>
      </c>
      <c r="MV19" s="12">
        <f t="shared" ca="1" si="175"/>
        <v>693.95332263387513</v>
      </c>
      <c r="MW19" s="79">
        <v>-600</v>
      </c>
      <c r="MX19" s="12">
        <f t="shared" ca="1" si="401"/>
        <v>93.953322633875132</v>
      </c>
      <c r="MY19" s="18">
        <f t="shared" ca="1" si="176"/>
        <v>9.3953322633875139E-2</v>
      </c>
      <c r="NA19" s="13">
        <f t="shared" ca="1" si="177"/>
        <v>93.953322633875132</v>
      </c>
      <c r="NB19" s="13">
        <f ca="1">INDEX(Totals[[#Data],[#Totals],[Car - Note]:[NONTRACKED]],MATCH(NA$1,Totals[Date],0),MATCH($C19,Totals[[#Headers],[Car - Note]:[NONTRACKED]],0))</f>
        <v>-18.010000000000002</v>
      </c>
      <c r="NC19" s="13">
        <f t="shared" ca="1" si="402"/>
        <v>75.943322633875127</v>
      </c>
      <c r="ND19" s="13">
        <v>500</v>
      </c>
      <c r="NE19" s="13">
        <v>1000</v>
      </c>
      <c r="NF19" s="13" t="b">
        <f t="shared" ca="1" si="403"/>
        <v>0</v>
      </c>
      <c r="NG19" s="94">
        <f t="shared" si="178"/>
        <v>0</v>
      </c>
      <c r="NH19" s="13">
        <f t="shared" ca="1" si="179"/>
        <v>0</v>
      </c>
      <c r="NI19" s="13">
        <f t="shared" ca="1" si="404"/>
        <v>0</v>
      </c>
      <c r="NJ19" s="94">
        <f t="shared" si="180"/>
        <v>1</v>
      </c>
      <c r="NK19" s="13">
        <f t="shared" ca="1" si="181"/>
        <v>924.05667736612486</v>
      </c>
      <c r="NL19" s="13">
        <f t="shared" ca="1" si="182"/>
        <v>500</v>
      </c>
      <c r="NM19" s="13">
        <f t="shared" ca="1" si="405"/>
        <v>500.00000000000006</v>
      </c>
      <c r="NN19" s="13">
        <f t="shared" ca="1" si="183"/>
        <v>575.94332263387514</v>
      </c>
      <c r="NO19" s="13">
        <f t="shared" ca="1" si="184"/>
        <v>-424.06</v>
      </c>
      <c r="NP19" s="13">
        <f t="shared" ca="1" si="185"/>
        <v>0.57594332263387515</v>
      </c>
      <c r="NQ19" s="12">
        <f t="shared" ca="1" si="186"/>
        <v>575.94332263387514</v>
      </c>
      <c r="NR19" s="79"/>
      <c r="NS19" s="12">
        <f t="shared" ca="1" si="406"/>
        <v>575.94332263387514</v>
      </c>
      <c r="NT19" s="18">
        <f t="shared" ca="1" si="187"/>
        <v>0.57594332263387515</v>
      </c>
      <c r="NV19" s="19">
        <f t="shared" ca="1" si="188"/>
        <v>575.94332263387514</v>
      </c>
      <c r="NW19" s="19">
        <f ca="1">INDEX(Totals[[#Data],[#Totals],[Car - Note]:[NONTRACKED]],MATCH(NV$1,Totals[Date],0),MATCH($C19,Totals[[#Headers],[Car - Note]:[NONTRACKED]],0))</f>
        <v>-25.23</v>
      </c>
      <c r="NX19" s="19">
        <f t="shared" ca="1" si="407"/>
        <v>550.71332263387512</v>
      </c>
      <c r="NY19" s="19">
        <v>500</v>
      </c>
      <c r="NZ19" s="19">
        <v>1000</v>
      </c>
      <c r="OA19" s="19" t="b">
        <f t="shared" ca="1" si="408"/>
        <v>0</v>
      </c>
      <c r="OB19" s="100">
        <f t="shared" si="189"/>
        <v>0</v>
      </c>
      <c r="OC19" s="19">
        <f t="shared" ca="1" si="190"/>
        <v>0</v>
      </c>
      <c r="OD19" s="19">
        <f t="shared" ca="1" si="409"/>
        <v>0</v>
      </c>
      <c r="OE19" s="100">
        <f t="shared" si="191"/>
        <v>1</v>
      </c>
      <c r="OF19" s="19">
        <f t="shared" ca="1" si="192"/>
        <v>449.28667736612488</v>
      </c>
      <c r="OG19" s="19">
        <f t="shared" ca="1" si="193"/>
        <v>449.28667736612488</v>
      </c>
      <c r="OH19" s="19">
        <f t="shared" ca="1" si="410"/>
        <v>346.53892616774942</v>
      </c>
      <c r="OI19" s="19">
        <f t="shared" ca="1" si="194"/>
        <v>897.25224880162455</v>
      </c>
      <c r="OJ19" s="19">
        <f t="shared" ca="1" si="195"/>
        <v>-102.75</v>
      </c>
      <c r="OK19" s="19">
        <f t="shared" ca="1" si="196"/>
        <v>0.89725224880162457</v>
      </c>
      <c r="OL19" s="12">
        <f t="shared" ca="1" si="197"/>
        <v>897.25224880162455</v>
      </c>
      <c r="OM19" s="79"/>
      <c r="ON19" s="12">
        <f t="shared" ca="1" si="411"/>
        <v>897.25224880162455</v>
      </c>
      <c r="OO19" s="18">
        <f t="shared" ca="1" si="198"/>
        <v>0.89725224880162457</v>
      </c>
      <c r="OQ19" s="11">
        <f t="shared" ca="1" si="199"/>
        <v>897.25224880162455</v>
      </c>
      <c r="OR19" s="11">
        <f ca="1">INDEX(Totals[[#Data],[#Totals],[Car - Note]:[NONTRACKED]],MATCH(OQ$1,Totals[Date],0),MATCH($C19,Totals[[#Headers],[Car - Note]:[NONTRACKED]],0))</f>
        <v>-137.71</v>
      </c>
      <c r="OS19" s="11">
        <f t="shared" ca="1" si="412"/>
        <v>759.54224880162451</v>
      </c>
      <c r="OT19" s="11">
        <v>500</v>
      </c>
      <c r="OU19" s="11">
        <v>1000</v>
      </c>
      <c r="OV19" s="11" t="b">
        <f t="shared" ca="1" si="413"/>
        <v>0</v>
      </c>
      <c r="OW19" s="92">
        <f t="shared" si="200"/>
        <v>0</v>
      </c>
      <c r="OX19" s="11">
        <f t="shared" ca="1" si="201"/>
        <v>0</v>
      </c>
      <c r="OY19" s="11">
        <f t="shared" ca="1" si="414"/>
        <v>0</v>
      </c>
      <c r="OZ19" s="92">
        <f t="shared" si="202"/>
        <v>1</v>
      </c>
      <c r="PA19" s="11">
        <f t="shared" ca="1" si="203"/>
        <v>240.45775119837549</v>
      </c>
      <c r="PB19" s="11">
        <f t="shared" ca="1" si="204"/>
        <v>240.45775119837549</v>
      </c>
      <c r="PC19" s="11">
        <f t="shared" ca="1" si="415"/>
        <v>142.82121562544549</v>
      </c>
      <c r="PD19" s="11">
        <f t="shared" ca="1" si="205"/>
        <v>902.36346442706997</v>
      </c>
      <c r="PE19" s="11">
        <f t="shared" ca="1" si="206"/>
        <v>-97.64</v>
      </c>
      <c r="PF19" s="11">
        <f t="shared" ca="1" si="207"/>
        <v>0.90236346442706994</v>
      </c>
      <c r="PG19" s="12">
        <f t="shared" ca="1" si="208"/>
        <v>902.36346442706997</v>
      </c>
      <c r="PH19" s="79"/>
      <c r="PI19" s="12">
        <f t="shared" ca="1" si="416"/>
        <v>902.36346442706997</v>
      </c>
      <c r="PJ19" s="18">
        <f t="shared" ca="1" si="209"/>
        <v>0.90236346442706994</v>
      </c>
      <c r="PL19" s="13">
        <f t="shared" ca="1" si="210"/>
        <v>902.36346442706997</v>
      </c>
      <c r="PM19" s="13">
        <f ca="1">INDEX(Totals[[#Data],[#Totals],[Car - Note]:[NONTRACKED]],MATCH(PL$1,Totals[Date],0),MATCH($C19,Totals[[#Headers],[Car - Note]:[NONTRACKED]],0))</f>
        <v>-125.79</v>
      </c>
      <c r="PN19" s="13">
        <f t="shared" ca="1" si="417"/>
        <v>776.57346442707001</v>
      </c>
      <c r="PO19" s="13">
        <v>500</v>
      </c>
      <c r="PP19" s="13">
        <v>1000</v>
      </c>
      <c r="PQ19" s="13" t="b">
        <f t="shared" ca="1" si="418"/>
        <v>0</v>
      </c>
      <c r="PR19" s="94">
        <f t="shared" si="211"/>
        <v>0</v>
      </c>
      <c r="PS19" s="13">
        <f t="shared" ca="1" si="212"/>
        <v>0</v>
      </c>
      <c r="PT19" s="13">
        <f t="shared" ca="1" si="419"/>
        <v>0</v>
      </c>
      <c r="PU19" s="94">
        <f t="shared" si="213"/>
        <v>1</v>
      </c>
      <c r="PV19" s="13">
        <f t="shared" ca="1" si="214"/>
        <v>223.42653557292999</v>
      </c>
      <c r="PW19" s="13">
        <f t="shared" ca="1" si="215"/>
        <v>223.42653557292999</v>
      </c>
      <c r="PX19" s="13">
        <f t="shared" ca="1" si="420"/>
        <v>157.83911305809383</v>
      </c>
      <c r="PY19" s="13">
        <f t="shared" ca="1" si="216"/>
        <v>934.41257748516387</v>
      </c>
      <c r="PZ19" s="13">
        <f t="shared" ca="1" si="217"/>
        <v>-65.59</v>
      </c>
      <c r="QA19" s="13">
        <f t="shared" ca="1" si="218"/>
        <v>0.93441257748516382</v>
      </c>
      <c r="QB19" s="12">
        <f t="shared" ca="1" si="219"/>
        <v>934.41257748516387</v>
      </c>
      <c r="QC19" s="79"/>
      <c r="QD19" s="12">
        <f t="shared" ca="1" si="421"/>
        <v>934.41257748516387</v>
      </c>
      <c r="QE19" s="18">
        <f t="shared" ca="1" si="220"/>
        <v>0.93441257748516382</v>
      </c>
      <c r="QG19" s="19">
        <f t="shared" ca="1" si="221"/>
        <v>934.41257748516387</v>
      </c>
      <c r="QH19" s="19">
        <f ca="1">INDEX(Totals[[#Data],[#Totals],[Car - Note]:[NONTRACKED]],MATCH(QG$1,Totals[Date],0),MATCH($C19,Totals[[#Headers],[Car - Note]:[NONTRACKED]],0))</f>
        <v>0</v>
      </c>
      <c r="QI19" s="19">
        <f t="shared" ca="1" si="422"/>
        <v>934.41257748516387</v>
      </c>
      <c r="QJ19" s="19">
        <v>500</v>
      </c>
      <c r="QK19" s="19">
        <v>1000</v>
      </c>
      <c r="QL19" s="19" t="b">
        <f t="shared" ca="1" si="423"/>
        <v>0</v>
      </c>
      <c r="QM19" s="100">
        <f t="shared" si="222"/>
        <v>0</v>
      </c>
      <c r="QN19" s="19">
        <f t="shared" ca="1" si="223"/>
        <v>0</v>
      </c>
      <c r="QO19" s="19">
        <f t="shared" ca="1" si="424"/>
        <v>0</v>
      </c>
      <c r="QP19" s="100">
        <f t="shared" si="224"/>
        <v>1</v>
      </c>
      <c r="QQ19" s="19">
        <f t="shared" ca="1" si="225"/>
        <v>65.587422514836135</v>
      </c>
      <c r="QR19" s="19">
        <f t="shared" ca="1" si="226"/>
        <v>65.587422514836135</v>
      </c>
      <c r="QS19" s="19">
        <f t="shared" ca="1" si="425"/>
        <v>45.826541292369463</v>
      </c>
      <c r="QT19" s="19">
        <f t="shared" ca="1" si="227"/>
        <v>980.23911877753335</v>
      </c>
      <c r="QU19" s="19">
        <f t="shared" ca="1" si="228"/>
        <v>-19.760000000000002</v>
      </c>
      <c r="QV19" s="19">
        <f t="shared" ca="1" si="229"/>
        <v>0.98023911877753334</v>
      </c>
      <c r="QW19" s="12">
        <f t="shared" ca="1" si="230"/>
        <v>980.23911877753335</v>
      </c>
      <c r="QX19" s="79"/>
      <c r="QY19" s="12">
        <f t="shared" ca="1" si="426"/>
        <v>980.23911877753335</v>
      </c>
      <c r="QZ19" s="18">
        <f t="shared" ca="1" si="231"/>
        <v>0.98023911877753334</v>
      </c>
      <c r="RB19" s="11">
        <f t="shared" ca="1" si="232"/>
        <v>980.23911877753335</v>
      </c>
      <c r="RC19" s="11">
        <f ca="1">INDEX(Totals[[#Data],[#Totals],[Car - Note]:[NONTRACKED]],MATCH(RB$1,Totals[Date],0),MATCH($C19,Totals[[#Headers],[Car - Note]:[NONTRACKED]],0))</f>
        <v>-234.7</v>
      </c>
      <c r="RD19" s="11">
        <f t="shared" ca="1" si="427"/>
        <v>745.5391187775333</v>
      </c>
      <c r="RE19" s="11">
        <v>500</v>
      </c>
      <c r="RF19" s="11">
        <v>1000</v>
      </c>
      <c r="RG19" s="11" t="b">
        <f t="shared" ca="1" si="428"/>
        <v>0</v>
      </c>
      <c r="RH19" s="92">
        <f t="shared" si="233"/>
        <v>0</v>
      </c>
      <c r="RI19" s="11">
        <f t="shared" ca="1" si="234"/>
        <v>0</v>
      </c>
      <c r="RJ19" s="11">
        <f t="shared" ca="1" si="429"/>
        <v>0</v>
      </c>
      <c r="RK19" s="92">
        <f t="shared" si="235"/>
        <v>1</v>
      </c>
      <c r="RL19" s="11">
        <f t="shared" ca="1" si="236"/>
        <v>254.4608812224667</v>
      </c>
      <c r="RM19" s="11">
        <f t="shared" ca="1" si="237"/>
        <v>254.4608812224667</v>
      </c>
      <c r="RN19" s="11">
        <f t="shared" ca="1" si="430"/>
        <v>149.5864008505948</v>
      </c>
      <c r="RO19" s="11">
        <f t="shared" ca="1" si="238"/>
        <v>895.12551962812813</v>
      </c>
      <c r="RP19" s="11">
        <f t="shared" ca="1" si="239"/>
        <v>-104.87</v>
      </c>
      <c r="RQ19" s="11">
        <f t="shared" ca="1" si="240"/>
        <v>0.89512551962812814</v>
      </c>
      <c r="RR19" s="12">
        <f t="shared" ca="1" si="241"/>
        <v>895.12551962812813</v>
      </c>
      <c r="RS19" s="79"/>
      <c r="RT19" s="12">
        <f t="shared" ca="1" si="431"/>
        <v>895.12551962812813</v>
      </c>
      <c r="RU19" s="18">
        <f t="shared" ca="1" si="242"/>
        <v>0.89512551962812814</v>
      </c>
      <c r="RW19" s="13">
        <f t="shared" ca="1" si="243"/>
        <v>895.12551962812813</v>
      </c>
      <c r="RX19" s="13">
        <f ca="1">INDEX(Totals[[#Data],[#Totals],[Car - Note]:[NONTRACKED]],MATCH(RW$1,Totals[Date],0),MATCH($C19,Totals[[#Headers],[Car - Note]:[NONTRACKED]],0))</f>
        <v>0</v>
      </c>
      <c r="RY19" s="13">
        <f t="shared" ca="1" si="432"/>
        <v>895.12551962812813</v>
      </c>
      <c r="RZ19" s="13">
        <v>500</v>
      </c>
      <c r="SA19" s="13">
        <v>1000</v>
      </c>
      <c r="SB19" s="13" t="b">
        <f t="shared" ca="1" si="433"/>
        <v>0</v>
      </c>
      <c r="SC19" s="94">
        <f t="shared" si="244"/>
        <v>0</v>
      </c>
      <c r="SD19" s="13">
        <f t="shared" ca="1" si="245"/>
        <v>0</v>
      </c>
      <c r="SE19" s="13">
        <f t="shared" ca="1" si="434"/>
        <v>0</v>
      </c>
      <c r="SF19" s="94">
        <f t="shared" si="246"/>
        <v>1</v>
      </c>
      <c r="SG19" s="13">
        <f t="shared" ca="1" si="247"/>
        <v>104.87448037187187</v>
      </c>
      <c r="SH19" s="13">
        <f t="shared" ca="1" si="248"/>
        <v>104.87448037187187</v>
      </c>
      <c r="SI19" s="13">
        <f t="shared" ca="1" si="435"/>
        <v>92.038943108153632</v>
      </c>
      <c r="SJ19" s="13">
        <f t="shared" ca="1" si="249"/>
        <v>987.16446273628173</v>
      </c>
      <c r="SK19" s="13">
        <f t="shared" ca="1" si="250"/>
        <v>-12.84</v>
      </c>
      <c r="SL19" s="13">
        <f t="shared" ca="1" si="251"/>
        <v>0.98716446273628178</v>
      </c>
      <c r="SM19" s="12">
        <f t="shared" ca="1" si="252"/>
        <v>987.16446273628173</v>
      </c>
      <c r="SN19" s="79"/>
      <c r="SO19" s="12">
        <f t="shared" ca="1" si="436"/>
        <v>987.16446273628173</v>
      </c>
      <c r="SP19" s="18">
        <f t="shared" ca="1" si="253"/>
        <v>0.98716446273628178</v>
      </c>
      <c r="SR19" s="19">
        <f t="shared" ca="1" si="254"/>
        <v>987.16446273628173</v>
      </c>
      <c r="SS19" s="19">
        <f ca="1">INDEX(Totals[[#Data],[#Totals],[Car - Note]:[NONTRACKED]],MATCH(SR$1,Totals[Date],0),MATCH($C19,Totals[[#Headers],[Car - Note]:[NONTRACKED]],0))</f>
        <v>-99.300000000000011</v>
      </c>
      <c r="ST19" s="19">
        <f t="shared" ca="1" si="437"/>
        <v>887.86446273628167</v>
      </c>
      <c r="SU19" s="19">
        <v>500</v>
      </c>
      <c r="SV19" s="19">
        <v>1000</v>
      </c>
      <c r="SW19" s="19" t="b">
        <f t="shared" ca="1" si="438"/>
        <v>0</v>
      </c>
      <c r="SX19" s="100">
        <f t="shared" si="255"/>
        <v>0</v>
      </c>
      <c r="SY19" s="19">
        <f t="shared" ca="1" si="256"/>
        <v>0</v>
      </c>
      <c r="SZ19" s="19">
        <f t="shared" ca="1" si="439"/>
        <v>0</v>
      </c>
      <c r="TA19" s="100">
        <f t="shared" si="257"/>
        <v>1</v>
      </c>
      <c r="TB19" s="19">
        <f t="shared" ca="1" si="258"/>
        <v>112.13553726371833</v>
      </c>
      <c r="TC19" s="19">
        <f t="shared" ca="1" si="259"/>
        <v>112.13553726371833</v>
      </c>
      <c r="TD19" s="19">
        <f t="shared" ca="1" si="440"/>
        <v>81.478158758334772</v>
      </c>
      <c r="TE19" s="19">
        <f t="shared" ca="1" si="260"/>
        <v>969.34262149461642</v>
      </c>
      <c r="TF19" s="19">
        <f t="shared" ca="1" si="261"/>
        <v>-30.66</v>
      </c>
      <c r="TG19" s="19">
        <f t="shared" ca="1" si="262"/>
        <v>0.96934262149461647</v>
      </c>
      <c r="TH19" s="12">
        <f t="shared" ca="1" si="263"/>
        <v>969.34262149461642</v>
      </c>
      <c r="TI19" s="79"/>
      <c r="TJ19" s="12">
        <f t="shared" ca="1" si="441"/>
        <v>969.34262149461642</v>
      </c>
      <c r="TK19" s="18">
        <f t="shared" ca="1" si="264"/>
        <v>0.96934262149461647</v>
      </c>
      <c r="TM19" s="11">
        <f t="shared" ca="1" si="265"/>
        <v>969.34262149461642</v>
      </c>
      <c r="TN19" s="11">
        <f ca="1">INDEX(Totals[[#Data],[#Totals],[Car - Note]:[NONTRACKED]],MATCH(TM$1,Totals[Date],0),MATCH($C19,Totals[[#Headers],[Car - Note]:[NONTRACKED]],0))</f>
        <v>-30.23</v>
      </c>
      <c r="TO19" s="11">
        <f t="shared" ca="1" si="442"/>
        <v>939.11262149461641</v>
      </c>
      <c r="TP19" s="11">
        <v>500</v>
      </c>
      <c r="TQ19" s="11">
        <v>1000</v>
      </c>
      <c r="TR19" s="11" t="b">
        <f t="shared" ca="1" si="443"/>
        <v>0</v>
      </c>
      <c r="TS19" s="92">
        <f t="shared" si="266"/>
        <v>0</v>
      </c>
      <c r="TT19" s="11">
        <f t="shared" ca="1" si="267"/>
        <v>0</v>
      </c>
      <c r="TU19" s="11">
        <f t="shared" ca="1" si="444"/>
        <v>0</v>
      </c>
      <c r="TV19" s="92">
        <f t="shared" si="268"/>
        <v>1</v>
      </c>
      <c r="TW19" s="11">
        <f t="shared" ca="1" si="269"/>
        <v>60.887378505383595</v>
      </c>
      <c r="TX19" s="11">
        <f t="shared" ca="1" si="270"/>
        <v>60.887378505383595</v>
      </c>
      <c r="TY19" s="11">
        <f t="shared" ca="1" si="445"/>
        <v>38.755290834134087</v>
      </c>
      <c r="TZ19" s="11">
        <f t="shared" ca="1" si="271"/>
        <v>977.86791232875044</v>
      </c>
      <c r="UA19" s="11">
        <f t="shared" ca="1" si="272"/>
        <v>-22.13</v>
      </c>
      <c r="UB19" s="11">
        <f t="shared" ca="1" si="273"/>
        <v>0.97786791232875048</v>
      </c>
      <c r="UC19" s="12">
        <f t="shared" ca="1" si="274"/>
        <v>977.86791232875044</v>
      </c>
      <c r="UD19" s="79">
        <v>-50</v>
      </c>
      <c r="UE19" s="12">
        <f t="shared" ca="1" si="446"/>
        <v>927.86791232875044</v>
      </c>
      <c r="UF19" s="18">
        <f t="shared" ca="1" si="275"/>
        <v>0.92786791232875043</v>
      </c>
      <c r="UH19" s="13">
        <f t="shared" ca="1" si="276"/>
        <v>927.86791232875044</v>
      </c>
      <c r="UI19" s="13">
        <f ca="1">INDEX(Totals[[#Data],[#Totals],[Car - Note]:[NONTRACKED]],MATCH(UH$1,Totals[Date],0),MATCH($C19,Totals[[#Headers],[Car - Note]:[NONTRACKED]],0))</f>
        <v>0</v>
      </c>
      <c r="UJ19" s="13">
        <f t="shared" ca="1" si="447"/>
        <v>927.86791232875044</v>
      </c>
      <c r="UK19" s="13">
        <v>500</v>
      </c>
      <c r="UL19" s="13">
        <v>1000</v>
      </c>
      <c r="UM19" s="13" t="b">
        <f t="shared" ca="1" si="448"/>
        <v>0</v>
      </c>
      <c r="UN19" s="94">
        <f t="shared" si="277"/>
        <v>0</v>
      </c>
      <c r="UO19" s="13">
        <f t="shared" ca="1" si="278"/>
        <v>0</v>
      </c>
      <c r="UP19" s="13">
        <f t="shared" ca="1" si="449"/>
        <v>0</v>
      </c>
      <c r="UQ19" s="94">
        <f t="shared" si="279"/>
        <v>1</v>
      </c>
      <c r="UR19" s="13">
        <f t="shared" ca="1" si="280"/>
        <v>72.132087671249565</v>
      </c>
      <c r="US19" s="13">
        <f t="shared" ca="1" si="281"/>
        <v>72.132087671249565</v>
      </c>
      <c r="UT19" s="13">
        <f t="shared" ca="1" si="450"/>
        <v>72.132087671249565</v>
      </c>
      <c r="UU19" s="13">
        <f t="shared" ca="1" si="282"/>
        <v>1000</v>
      </c>
      <c r="UV19" s="13">
        <f t="shared" ca="1" si="283"/>
        <v>0</v>
      </c>
      <c r="UW19" s="13">
        <f t="shared" ca="1" si="284"/>
        <v>1</v>
      </c>
      <c r="UX19" s="12">
        <f t="shared" ca="1" si="285"/>
        <v>1000</v>
      </c>
      <c r="UY19" s="79"/>
      <c r="UZ19" s="12">
        <f t="shared" ca="1" si="451"/>
        <v>1000</v>
      </c>
      <c r="VA19" s="18">
        <f t="shared" ca="1" si="286"/>
        <v>1</v>
      </c>
      <c r="VC19" s="19">
        <f t="shared" ca="1" si="287"/>
        <v>1000</v>
      </c>
      <c r="VD19" s="19">
        <f ca="1">INDEX(Totals[[#Data],[#Totals],[Car - Note]:[NONTRACKED]],MATCH(VC$1,Totals[Date],0),MATCH($C19,Totals[[#Headers],[Car - Note]:[NONTRACKED]],0))</f>
        <v>-51.61</v>
      </c>
      <c r="VE19" s="19">
        <f t="shared" ca="1" si="452"/>
        <v>948.39</v>
      </c>
      <c r="VF19" s="19">
        <v>500</v>
      </c>
      <c r="VG19" s="19">
        <v>1000</v>
      </c>
      <c r="VH19" s="19" t="b">
        <f t="shared" ca="1" si="453"/>
        <v>0</v>
      </c>
      <c r="VI19" s="100">
        <f t="shared" si="288"/>
        <v>0</v>
      </c>
      <c r="VJ19" s="19">
        <f t="shared" ca="1" si="289"/>
        <v>0</v>
      </c>
      <c r="VK19" s="19">
        <f t="shared" ca="1" si="454"/>
        <v>0</v>
      </c>
      <c r="VL19" s="100">
        <f t="shared" si="290"/>
        <v>1</v>
      </c>
      <c r="VM19" s="19">
        <f t="shared" ca="1" si="291"/>
        <v>51.610000000000014</v>
      </c>
      <c r="VN19" s="19">
        <f t="shared" ca="1" si="292"/>
        <v>51.610000000000014</v>
      </c>
      <c r="VO19" s="19">
        <f t="shared" ca="1" si="455"/>
        <v>34.214291163322812</v>
      </c>
      <c r="VP19" s="19">
        <f t="shared" ca="1" si="293"/>
        <v>982.60429116332284</v>
      </c>
      <c r="VQ19" s="19">
        <f t="shared" ca="1" si="294"/>
        <v>-17.399999999999999</v>
      </c>
      <c r="VR19" s="19">
        <f t="shared" ca="1" si="295"/>
        <v>0.98260429116332282</v>
      </c>
      <c r="VS19" s="12">
        <f t="shared" ca="1" si="296"/>
        <v>982.60429116332284</v>
      </c>
      <c r="VT19" s="79"/>
      <c r="VU19" s="12">
        <f t="shared" ca="1" si="456"/>
        <v>982.60429116332284</v>
      </c>
      <c r="VV19" s="18">
        <f t="shared" ca="1" si="297"/>
        <v>0.98260429116332282</v>
      </c>
      <c r="VX19" s="11">
        <f t="shared" ca="1" si="298"/>
        <v>982.60429116332284</v>
      </c>
      <c r="VY19" s="11">
        <f ca="1">INDEX(Totals[[#Data],[#Totals],[Car - Note]:[NONTRACKED]],MATCH(VX$1,Totals[Date],0),MATCH($C19,Totals[[#Headers],[Car - Note]:[NONTRACKED]],0))</f>
        <v>0</v>
      </c>
      <c r="VZ19" s="11">
        <f t="shared" ca="1" si="457"/>
        <v>982.60429116332284</v>
      </c>
      <c r="WA19" s="11">
        <v>500</v>
      </c>
      <c r="WB19" s="11">
        <v>1000</v>
      </c>
      <c r="WC19" s="11" t="b">
        <f t="shared" ca="1" si="458"/>
        <v>0</v>
      </c>
      <c r="WD19" s="92">
        <f t="shared" si="299"/>
        <v>0</v>
      </c>
      <c r="WE19" s="11">
        <f t="shared" ca="1" si="300"/>
        <v>0</v>
      </c>
      <c r="WF19" s="11">
        <f t="shared" ca="1" si="459"/>
        <v>0</v>
      </c>
      <c r="WG19" s="92">
        <f t="shared" si="301"/>
        <v>1</v>
      </c>
      <c r="WH19" s="11">
        <f t="shared" ca="1" si="302"/>
        <v>17.395708836677159</v>
      </c>
      <c r="WI19" s="11">
        <f t="shared" ca="1" si="303"/>
        <v>17.395708836677159</v>
      </c>
      <c r="WJ19" s="11">
        <f t="shared" ca="1" si="460"/>
        <v>10.388549030543379</v>
      </c>
      <c r="WK19" s="11">
        <f t="shared" ca="1" si="304"/>
        <v>992.99284019386619</v>
      </c>
      <c r="WL19" s="11">
        <f t="shared" ca="1" si="305"/>
        <v>-7.01</v>
      </c>
      <c r="WM19" s="11">
        <f t="shared" ca="1" si="306"/>
        <v>0.99299284019386613</v>
      </c>
      <c r="WN19" s="12">
        <f t="shared" ca="1" si="307"/>
        <v>992.99284019386619</v>
      </c>
      <c r="WO19" s="79"/>
      <c r="WP19" s="12">
        <f t="shared" ca="1" si="461"/>
        <v>992.99284019386619</v>
      </c>
      <c r="WQ19" s="18">
        <f t="shared" ca="1" si="308"/>
        <v>0.99299284019386613</v>
      </c>
      <c r="WS19" s="13">
        <f t="shared" ca="1" si="309"/>
        <v>992.99284019386619</v>
      </c>
      <c r="WT19" s="13">
        <f ca="1">INDEX(Totals[[#Data],[#Totals],[Car - Note]:[NONTRACKED]],MATCH(WS$1,Totals[Date],0),MATCH($C19,Totals[[#Headers],[Car - Note]:[NONTRACKED]],0))</f>
        <v>0</v>
      </c>
      <c r="WU19" s="13">
        <f t="shared" ca="1" si="462"/>
        <v>992.99284019386619</v>
      </c>
      <c r="WV19" s="13">
        <v>500</v>
      </c>
      <c r="WW19" s="13">
        <v>1000</v>
      </c>
      <c r="WX19" s="13" t="b">
        <f t="shared" ca="1" si="463"/>
        <v>0</v>
      </c>
      <c r="WY19" s="94">
        <f t="shared" si="310"/>
        <v>0</v>
      </c>
      <c r="WZ19" s="13">
        <f t="shared" ca="1" si="311"/>
        <v>0</v>
      </c>
      <c r="XA19" s="13">
        <f t="shared" ca="1" si="464"/>
        <v>0</v>
      </c>
      <c r="XB19" s="94">
        <f t="shared" si="312"/>
        <v>1</v>
      </c>
      <c r="XC19" s="13">
        <f t="shared" ca="1" si="313"/>
        <v>7.0071598061338136</v>
      </c>
      <c r="XD19" s="13">
        <f t="shared" ca="1" si="314"/>
        <v>7.0071598061338136</v>
      </c>
      <c r="XE19" s="13">
        <f t="shared" ca="1" si="465"/>
        <v>6.6365929007113413</v>
      </c>
      <c r="XF19" s="13">
        <f t="shared" ca="1" si="315"/>
        <v>999.62943309457751</v>
      </c>
      <c r="XG19" s="13">
        <f t="shared" ca="1" si="316"/>
        <v>-0.37</v>
      </c>
      <c r="XH19" s="13">
        <f t="shared" ca="1" si="317"/>
        <v>0.99962943309457752</v>
      </c>
      <c r="XI19" s="12">
        <f t="shared" ca="1" si="318"/>
        <v>999.62943309457751</v>
      </c>
      <c r="XJ19" s="104">
        <f t="shared" ca="1" si="471"/>
        <v>0.37056690542249271</v>
      </c>
      <c r="XK19" s="12">
        <f t="shared" ca="1" si="466"/>
        <v>1000</v>
      </c>
      <c r="XL19" s="18">
        <f t="shared" ca="1" si="320"/>
        <v>1</v>
      </c>
      <c r="XN19">
        <v>0.25</v>
      </c>
      <c r="XO19" s="103">
        <f t="shared" ca="1" si="467"/>
        <v>248.24821004846655</v>
      </c>
      <c r="XP19" s="12">
        <f t="shared" ca="1" si="468"/>
        <v>744.7446301453997</v>
      </c>
      <c r="XQ19" s="102">
        <f t="shared" ca="1" si="469"/>
        <v>0.74474463014539971</v>
      </c>
    </row>
    <row r="20" spans="1:641" x14ac:dyDescent="0.25">
      <c r="A20" s="112"/>
      <c r="B20" t="s">
        <v>45</v>
      </c>
      <c r="C20" t="s">
        <v>36</v>
      </c>
      <c r="D20" s="79">
        <v>-20</v>
      </c>
      <c r="H20" s="48">
        <v>0</v>
      </c>
      <c r="I20" s="48"/>
      <c r="J20" s="48"/>
      <c r="K20" s="48">
        <v>200</v>
      </c>
      <c r="L20" s="95">
        <v>300</v>
      </c>
      <c r="M20" s="48"/>
      <c r="N20" s="96"/>
      <c r="O20" s="48"/>
      <c r="P20" s="48"/>
      <c r="Q20" s="96"/>
      <c r="R20" s="48"/>
      <c r="S20" s="48"/>
      <c r="T20" s="48"/>
      <c r="U20" s="48"/>
      <c r="V20" s="48"/>
      <c r="W20" s="48"/>
      <c r="X20" s="48"/>
      <c r="Y20" s="48"/>
      <c r="Z20" s="48">
        <f t="shared" si="321"/>
        <v>0</v>
      </c>
      <c r="AA20" s="98">
        <f t="shared" si="0"/>
        <v>0</v>
      </c>
      <c r="AC20" s="11">
        <f t="shared" si="1"/>
        <v>0</v>
      </c>
      <c r="AD20" s="11">
        <f ca="1">INDEX(Totals[[#Data],[#Totals],[Car - Note]:[NONTRACKED]],MATCH(AC$1,Totals[Date],0),MATCH($C20,Totals[[#Headers],[Car - Note]:[NONTRACKED]],0))</f>
        <v>0</v>
      </c>
      <c r="AE20" s="11">
        <f t="shared" ca="1" si="322"/>
        <v>0</v>
      </c>
      <c r="AF20" s="11">
        <v>200</v>
      </c>
      <c r="AG20" s="11">
        <v>200</v>
      </c>
      <c r="AH20" s="11" t="b">
        <f t="shared" ca="1" si="323"/>
        <v>0</v>
      </c>
      <c r="AI20" s="92">
        <f t="shared" si="2"/>
        <v>0</v>
      </c>
      <c r="AJ20" s="11">
        <f t="shared" ca="1" si="3"/>
        <v>0</v>
      </c>
      <c r="AK20" s="11">
        <f t="shared" ca="1" si="324"/>
        <v>0</v>
      </c>
      <c r="AL20" s="92">
        <f t="shared" si="4"/>
        <v>1</v>
      </c>
      <c r="AM20" s="11">
        <f t="shared" ca="1" si="5"/>
        <v>200</v>
      </c>
      <c r="AN20" s="11">
        <f t="shared" ca="1" si="6"/>
        <v>200</v>
      </c>
      <c r="AO20" s="11">
        <f t="shared" ca="1" si="325"/>
        <v>160.9939550899405</v>
      </c>
      <c r="AP20" s="11">
        <f t="shared" ca="1" si="7"/>
        <v>160.9939550899405</v>
      </c>
      <c r="AQ20" s="11">
        <f t="shared" ca="1" si="8"/>
        <v>-39.01</v>
      </c>
      <c r="AR20" s="11">
        <f t="shared" ca="1" si="9"/>
        <v>0.8049697754497025</v>
      </c>
      <c r="AS20" s="12">
        <f t="shared" ca="1" si="10"/>
        <v>160.9939550899405</v>
      </c>
      <c r="AT20" s="12"/>
      <c r="AU20" s="12">
        <f t="shared" ca="1" si="326"/>
        <v>160.9939550899405</v>
      </c>
      <c r="AV20" s="18">
        <f t="shared" ca="1" si="11"/>
        <v>0.8049697754497025</v>
      </c>
      <c r="AX20" s="13">
        <f t="shared" ca="1" si="12"/>
        <v>160.9939550899405</v>
      </c>
      <c r="AY20" s="13">
        <f ca="1">INDEX(Totals[[#Data],[#Totals],[Car - Note]:[NONTRACKED]],MATCH(AX$1,Totals[Date],0),MATCH($C20,Totals[[#Headers],[Car - Note]:[NONTRACKED]],0))</f>
        <v>0</v>
      </c>
      <c r="AZ20" s="13">
        <f t="shared" ca="1" si="327"/>
        <v>160.9939550899405</v>
      </c>
      <c r="BA20" s="13">
        <v>200</v>
      </c>
      <c r="BB20" s="13">
        <v>200</v>
      </c>
      <c r="BC20" s="13" t="b">
        <f t="shared" ca="1" si="328"/>
        <v>0</v>
      </c>
      <c r="BD20" s="94">
        <f t="shared" si="13"/>
        <v>0</v>
      </c>
      <c r="BE20" s="13">
        <f t="shared" ca="1" si="14"/>
        <v>0</v>
      </c>
      <c r="BF20" s="13">
        <f t="shared" ca="1" si="329"/>
        <v>0</v>
      </c>
      <c r="BG20" s="94">
        <f t="shared" si="15"/>
        <v>1</v>
      </c>
      <c r="BH20" s="13">
        <f t="shared" ca="1" si="16"/>
        <v>39.006044910059501</v>
      </c>
      <c r="BI20" s="13">
        <f t="shared" ca="1" si="17"/>
        <v>39.006044910059501</v>
      </c>
      <c r="BJ20" s="13">
        <f t="shared" ca="1" si="330"/>
        <v>18.613404036457176</v>
      </c>
      <c r="BK20" s="13">
        <f t="shared" ca="1" si="18"/>
        <v>179.60735912639768</v>
      </c>
      <c r="BL20" s="13">
        <f t="shared" ca="1" si="19"/>
        <v>-20.39</v>
      </c>
      <c r="BM20" s="13">
        <f t="shared" ca="1" si="20"/>
        <v>0.89803679563198846</v>
      </c>
      <c r="BN20" s="12">
        <f t="shared" ca="1" si="21"/>
        <v>179.60735912639768</v>
      </c>
      <c r="BO20" s="12"/>
      <c r="BP20" s="12">
        <f t="shared" ca="1" si="331"/>
        <v>179.60735912639768</v>
      </c>
      <c r="BQ20" s="18">
        <f t="shared" ca="1" si="22"/>
        <v>0.89803679563198846</v>
      </c>
      <c r="BS20" s="19">
        <f t="shared" ca="1" si="23"/>
        <v>179.60735912639768</v>
      </c>
      <c r="BT20" s="19">
        <f ca="1">INDEX(Totals[[#Data],[#Totals],[Car - Note]:[NONTRACKED]],MATCH(BS$1,Totals[Date],0),MATCH($C20,Totals[[#Headers],[Car - Note]:[NONTRACKED]],0))</f>
        <v>-188.99</v>
      </c>
      <c r="BU20" s="19">
        <f t="shared" ca="1" si="332"/>
        <v>-9.3826408736023268</v>
      </c>
      <c r="BV20" s="19">
        <v>100</v>
      </c>
      <c r="BW20" s="19">
        <v>200</v>
      </c>
      <c r="BX20" s="19" t="b">
        <f t="shared" ca="1" si="333"/>
        <v>0</v>
      </c>
      <c r="BY20" s="100">
        <f t="shared" si="24"/>
        <v>0</v>
      </c>
      <c r="BZ20" s="19">
        <f t="shared" ca="1" si="25"/>
        <v>0</v>
      </c>
      <c r="CA20" s="19">
        <f t="shared" ca="1" si="334"/>
        <v>0</v>
      </c>
      <c r="CB20" s="100">
        <f t="shared" si="26"/>
        <v>1</v>
      </c>
      <c r="CC20" s="19">
        <f t="shared" ca="1" si="27"/>
        <v>209.38264087360233</v>
      </c>
      <c r="CD20" s="19">
        <f t="shared" ca="1" si="28"/>
        <v>100</v>
      </c>
      <c r="CE20" s="19">
        <f t="shared" ca="1" si="335"/>
        <v>99.999999999999986</v>
      </c>
      <c r="CF20" s="19">
        <f t="shared" ca="1" si="29"/>
        <v>90.617359126397659</v>
      </c>
      <c r="CG20" s="19">
        <f t="shared" ca="1" si="30"/>
        <v>-109.38</v>
      </c>
      <c r="CH20" s="19">
        <f t="shared" ca="1" si="31"/>
        <v>0.45308679563198828</v>
      </c>
      <c r="CI20" s="12">
        <f t="shared" ca="1" si="32"/>
        <v>90.617359126397659</v>
      </c>
      <c r="CJ20" s="10">
        <f ca="1">BW20-CI20</f>
        <v>109.38264087360234</v>
      </c>
      <c r="CK20" s="12">
        <f t="shared" ca="1" si="336"/>
        <v>200</v>
      </c>
      <c r="CL20" s="18">
        <f t="shared" ca="1" si="33"/>
        <v>1</v>
      </c>
      <c r="CN20" s="11">
        <f t="shared" ca="1" si="34"/>
        <v>200</v>
      </c>
      <c r="CO20" s="11">
        <f ca="1">INDEX(Totals[[#Data],[#Totals],[Car - Note]:[NONTRACKED]],MATCH(CN$1,Totals[Date],0),MATCH($C20,Totals[[#Headers],[Car - Note]:[NONTRACKED]],0))</f>
        <v>-40</v>
      </c>
      <c r="CP20" s="11">
        <f t="shared" ca="1" si="337"/>
        <v>160</v>
      </c>
      <c r="CQ20" s="11">
        <v>100</v>
      </c>
      <c r="CR20" s="11">
        <v>500</v>
      </c>
      <c r="CS20" s="11" t="b">
        <f t="shared" ca="1" si="338"/>
        <v>0</v>
      </c>
      <c r="CT20" s="92">
        <f t="shared" si="35"/>
        <v>0</v>
      </c>
      <c r="CU20" s="11">
        <f t="shared" ca="1" si="36"/>
        <v>0</v>
      </c>
      <c r="CV20" s="11">
        <f t="shared" ca="1" si="339"/>
        <v>0</v>
      </c>
      <c r="CW20" s="92">
        <f t="shared" si="37"/>
        <v>1</v>
      </c>
      <c r="CX20" s="11">
        <f t="shared" ca="1" si="38"/>
        <v>340</v>
      </c>
      <c r="CY20" s="11">
        <f t="shared" ca="1" si="39"/>
        <v>100</v>
      </c>
      <c r="CZ20" s="11">
        <f t="shared" ca="1" si="340"/>
        <v>100</v>
      </c>
      <c r="DA20" s="11">
        <f t="shared" ca="1" si="40"/>
        <v>260</v>
      </c>
      <c r="DB20" s="11">
        <f t="shared" ca="1" si="41"/>
        <v>-240</v>
      </c>
      <c r="DC20" s="11">
        <f t="shared" ca="1" si="42"/>
        <v>0.52</v>
      </c>
      <c r="DD20" s="12">
        <f t="shared" ca="1" si="43"/>
        <v>260</v>
      </c>
      <c r="DE20" s="79"/>
      <c r="DF20" s="12">
        <f t="shared" ca="1" si="341"/>
        <v>260</v>
      </c>
      <c r="DG20" s="18">
        <f t="shared" ca="1" si="44"/>
        <v>0.52</v>
      </c>
      <c r="DI20" s="13">
        <f t="shared" ca="1" si="45"/>
        <v>260</v>
      </c>
      <c r="DJ20" s="13">
        <f ca="1">INDEX(Totals[[#Data],[#Totals],[Car - Note]:[NONTRACKED]],MATCH(DI$1,Totals[Date],0),MATCH($C20,Totals[[#Headers],[Car - Note]:[NONTRACKED]],0))</f>
        <v>-105</v>
      </c>
      <c r="DK20" s="13">
        <f t="shared" ca="1" si="342"/>
        <v>155</v>
      </c>
      <c r="DL20" s="13">
        <v>100</v>
      </c>
      <c r="DM20" s="13">
        <v>500</v>
      </c>
      <c r="DN20" s="13" t="b">
        <f t="shared" ca="1" si="343"/>
        <v>0</v>
      </c>
      <c r="DO20" s="94">
        <f t="shared" si="46"/>
        <v>0</v>
      </c>
      <c r="DP20" s="13">
        <f t="shared" ca="1" si="47"/>
        <v>0</v>
      </c>
      <c r="DQ20" s="13">
        <f t="shared" ca="1" si="344"/>
        <v>0</v>
      </c>
      <c r="DR20" s="94">
        <f t="shared" si="48"/>
        <v>1</v>
      </c>
      <c r="DS20" s="13">
        <f t="shared" ca="1" si="49"/>
        <v>345</v>
      </c>
      <c r="DT20" s="13">
        <f t="shared" ca="1" si="50"/>
        <v>100</v>
      </c>
      <c r="DU20" s="13">
        <f t="shared" ca="1" si="345"/>
        <v>42.701297853652733</v>
      </c>
      <c r="DV20" s="13">
        <f t="shared" ca="1" si="51"/>
        <v>197.70129785365273</v>
      </c>
      <c r="DW20" s="13">
        <f t="shared" ca="1" si="52"/>
        <v>-302.3</v>
      </c>
      <c r="DX20" s="13">
        <f t="shared" ca="1" si="53"/>
        <v>0.39540259570730546</v>
      </c>
      <c r="DY20" s="12">
        <f t="shared" ca="1" si="54"/>
        <v>197.70129785365273</v>
      </c>
      <c r="DZ20" s="79"/>
      <c r="EA20" s="12">
        <f t="shared" ca="1" si="346"/>
        <v>197.70129785365273</v>
      </c>
      <c r="EB20" s="18">
        <f t="shared" ca="1" si="55"/>
        <v>0.39540259570730546</v>
      </c>
      <c r="ED20" s="19">
        <f t="shared" ca="1" si="56"/>
        <v>197.70129785365273</v>
      </c>
      <c r="EE20" s="19">
        <f ca="1">INDEX(Totals[[#Data],[#Totals],[Car - Note]:[NONTRACKED]],MATCH(ED$1,Totals[Date],0),MATCH($C20,Totals[[#Headers],[Car - Note]:[NONTRACKED]],0))</f>
        <v>0</v>
      </c>
      <c r="EF20" s="19">
        <f t="shared" ca="1" si="347"/>
        <v>197.70129785365273</v>
      </c>
      <c r="EG20" s="19">
        <v>100</v>
      </c>
      <c r="EH20" s="19">
        <v>500</v>
      </c>
      <c r="EI20" s="19" t="b">
        <f t="shared" ca="1" si="348"/>
        <v>0</v>
      </c>
      <c r="EJ20" s="100">
        <f t="shared" si="57"/>
        <v>0</v>
      </c>
      <c r="EK20" s="19">
        <f t="shared" ca="1" si="58"/>
        <v>0</v>
      </c>
      <c r="EL20" s="19">
        <f t="shared" ca="1" si="349"/>
        <v>0</v>
      </c>
      <c r="EM20" s="100">
        <f t="shared" si="59"/>
        <v>1</v>
      </c>
      <c r="EN20" s="19">
        <f t="shared" ca="1" si="60"/>
        <v>302.2987021463473</v>
      </c>
      <c r="EO20" s="19">
        <f t="shared" ca="1" si="61"/>
        <v>100</v>
      </c>
      <c r="EP20" s="19">
        <f t="shared" ca="1" si="350"/>
        <v>72.890726147503742</v>
      </c>
      <c r="EQ20" s="19">
        <f t="shared" ca="1" si="62"/>
        <v>270.59202400115646</v>
      </c>
      <c r="ER20" s="19">
        <f t="shared" ca="1" si="63"/>
        <v>-229.41</v>
      </c>
      <c r="ES20" s="19">
        <f t="shared" ca="1" si="64"/>
        <v>0.5411840480023129</v>
      </c>
      <c r="ET20" s="12">
        <f t="shared" ca="1" si="65"/>
        <v>270.59202400115646</v>
      </c>
      <c r="EU20" s="79"/>
      <c r="EV20" s="12">
        <f t="shared" ca="1" si="351"/>
        <v>270.59202400115646</v>
      </c>
      <c r="EW20" s="18">
        <f t="shared" ca="1" si="66"/>
        <v>0.5411840480023129</v>
      </c>
      <c r="EY20" s="11">
        <f t="shared" ca="1" si="67"/>
        <v>270.59202400115646</v>
      </c>
      <c r="EZ20" s="11">
        <f ca="1">INDEX(Totals[[#Data],[#Totals],[Car - Note]:[NONTRACKED]],MATCH(EY$1,Totals[Date],0),MATCH($C20,Totals[[#Headers],[Car - Note]:[NONTRACKED]],0))</f>
        <v>-40</v>
      </c>
      <c r="FA20" s="11">
        <f t="shared" ca="1" si="352"/>
        <v>230.59202400115646</v>
      </c>
      <c r="FB20" s="11">
        <v>100</v>
      </c>
      <c r="FC20" s="11">
        <v>500</v>
      </c>
      <c r="FD20" s="11" t="b">
        <f t="shared" ca="1" si="353"/>
        <v>0</v>
      </c>
      <c r="FE20" s="92">
        <f t="shared" si="68"/>
        <v>0</v>
      </c>
      <c r="FF20" s="11">
        <f t="shared" ca="1" si="69"/>
        <v>0</v>
      </c>
      <c r="FG20" s="11">
        <f t="shared" ca="1" si="354"/>
        <v>0</v>
      </c>
      <c r="FH20" s="92">
        <f t="shared" si="70"/>
        <v>1</v>
      </c>
      <c r="FI20" s="11">
        <f t="shared" ca="1" si="71"/>
        <v>269.40797599884354</v>
      </c>
      <c r="FJ20" s="11">
        <f t="shared" ca="1" si="72"/>
        <v>100</v>
      </c>
      <c r="FK20" s="11">
        <f t="shared" ca="1" si="355"/>
        <v>43.317594576734521</v>
      </c>
      <c r="FL20" s="11">
        <f t="shared" ca="1" si="73"/>
        <v>273.90961857789097</v>
      </c>
      <c r="FM20" s="11">
        <f t="shared" ca="1" si="74"/>
        <v>-226.09</v>
      </c>
      <c r="FN20" s="11">
        <f t="shared" ca="1" si="75"/>
        <v>0.54781923715578196</v>
      </c>
      <c r="FO20" s="12">
        <f t="shared" ca="1" si="76"/>
        <v>273.90961857789097</v>
      </c>
      <c r="FP20" s="79"/>
      <c r="FQ20" s="12">
        <f t="shared" ca="1" si="356"/>
        <v>273.90961857789097</v>
      </c>
      <c r="FR20" s="18">
        <f t="shared" ca="1" si="77"/>
        <v>0.54781923715578196</v>
      </c>
      <c r="FT20" s="13">
        <f t="shared" ca="1" si="78"/>
        <v>273.90961857789097</v>
      </c>
      <c r="FU20" s="13">
        <f ca="1">INDEX(Totals[[#Data],[#Totals],[Car - Note]:[NONTRACKED]],MATCH(FT$1,Totals[Date],0),MATCH($C20,Totals[[#Headers],[Car - Note]:[NONTRACKED]],0))</f>
        <v>0</v>
      </c>
      <c r="FV20" s="13">
        <f t="shared" ca="1" si="357"/>
        <v>273.90961857789097</v>
      </c>
      <c r="FW20" s="13">
        <v>100</v>
      </c>
      <c r="FX20" s="13">
        <v>500</v>
      </c>
      <c r="FY20" s="13" t="b">
        <f t="shared" ca="1" si="358"/>
        <v>0</v>
      </c>
      <c r="FZ20" s="94">
        <f t="shared" si="79"/>
        <v>0</v>
      </c>
      <c r="GA20" s="13">
        <f t="shared" ca="1" si="80"/>
        <v>0</v>
      </c>
      <c r="GB20" s="13">
        <f t="shared" ca="1" si="359"/>
        <v>0</v>
      </c>
      <c r="GC20" s="94">
        <f t="shared" si="81"/>
        <v>1</v>
      </c>
      <c r="GD20" s="13">
        <f t="shared" ca="1" si="82"/>
        <v>226.09038142210903</v>
      </c>
      <c r="GE20" s="13">
        <f t="shared" ca="1" si="83"/>
        <v>100</v>
      </c>
      <c r="GF20" s="13">
        <f t="shared" ca="1" si="360"/>
        <v>43.200133268786637</v>
      </c>
      <c r="GG20" s="13">
        <f t="shared" ca="1" si="84"/>
        <v>317.10975184667763</v>
      </c>
      <c r="GH20" s="13">
        <f t="shared" ca="1" si="85"/>
        <v>-182.89</v>
      </c>
      <c r="GI20" s="13">
        <f t="shared" ca="1" si="86"/>
        <v>0.63421950369335522</v>
      </c>
      <c r="GJ20" s="12">
        <f t="shared" ca="1" si="87"/>
        <v>317.10975184667763</v>
      </c>
      <c r="GK20" s="79"/>
      <c r="GL20" s="12">
        <f t="shared" ca="1" si="361"/>
        <v>317.10975184667763</v>
      </c>
      <c r="GM20" s="18">
        <f t="shared" ca="1" si="88"/>
        <v>0.63421950369335522</v>
      </c>
      <c r="GO20" s="19">
        <f t="shared" ca="1" si="89"/>
        <v>317.10975184667763</v>
      </c>
      <c r="GP20" s="19">
        <f ca="1">INDEX(Totals[[#Data],[#Totals],[Car - Note]:[NONTRACKED]],MATCH(GO$1,Totals[Date],0),MATCH($C20,Totals[[#Headers],[Car - Note]:[NONTRACKED]],0))</f>
        <v>0</v>
      </c>
      <c r="GQ20" s="19">
        <f t="shared" ca="1" si="362"/>
        <v>317.10975184667763</v>
      </c>
      <c r="GR20" s="19">
        <v>100</v>
      </c>
      <c r="GS20" s="19">
        <v>500</v>
      </c>
      <c r="GT20" s="19" t="b">
        <f t="shared" ca="1" si="363"/>
        <v>0</v>
      </c>
      <c r="GU20" s="100">
        <f t="shared" si="90"/>
        <v>0</v>
      </c>
      <c r="GV20" s="19">
        <f t="shared" ca="1" si="91"/>
        <v>0</v>
      </c>
      <c r="GW20" s="19">
        <f t="shared" ca="1" si="364"/>
        <v>0</v>
      </c>
      <c r="GX20" s="100">
        <f t="shared" si="92"/>
        <v>1</v>
      </c>
      <c r="GY20" s="19">
        <f t="shared" ca="1" si="93"/>
        <v>182.89024815332237</v>
      </c>
      <c r="GZ20" s="19">
        <f t="shared" ca="1" si="94"/>
        <v>100</v>
      </c>
      <c r="HA20" s="19">
        <f t="shared" ca="1" si="365"/>
        <v>44.179574167597529</v>
      </c>
      <c r="HB20" s="19">
        <f t="shared" ca="1" si="95"/>
        <v>361.28932601427516</v>
      </c>
      <c r="HC20" s="19">
        <f t="shared" ca="1" si="96"/>
        <v>-138.71</v>
      </c>
      <c r="HD20" s="19">
        <f t="shared" ca="1" si="97"/>
        <v>0.72257865202855032</v>
      </c>
      <c r="HE20" s="12">
        <f t="shared" ca="1" si="98"/>
        <v>361.28932601427516</v>
      </c>
      <c r="HF20" s="79"/>
      <c r="HG20" s="12">
        <f t="shared" ca="1" si="366"/>
        <v>361.28932601427516</v>
      </c>
      <c r="HH20" s="18">
        <f t="shared" ca="1" si="99"/>
        <v>0.72257865202855032</v>
      </c>
      <c r="HJ20" s="11">
        <f t="shared" ca="1" si="100"/>
        <v>361.28932601427516</v>
      </c>
      <c r="HK20" s="11">
        <f ca="1">INDEX(Totals[[#Data],[#Totals],[Car - Note]:[NONTRACKED]],MATCH(HJ$1,Totals[Date],0),MATCH($C20,Totals[[#Headers],[Car - Note]:[NONTRACKED]],0))</f>
        <v>0</v>
      </c>
      <c r="HL20" s="11">
        <f t="shared" ca="1" si="367"/>
        <v>361.28932601427516</v>
      </c>
      <c r="HM20" s="11">
        <v>100</v>
      </c>
      <c r="HN20" s="11">
        <v>500</v>
      </c>
      <c r="HO20" s="11" t="b">
        <f t="shared" ca="1" si="368"/>
        <v>0</v>
      </c>
      <c r="HP20" s="92">
        <f t="shared" si="101"/>
        <v>0</v>
      </c>
      <c r="HQ20" s="11">
        <f t="shared" ca="1" si="102"/>
        <v>0</v>
      </c>
      <c r="HR20" s="11">
        <f t="shared" ca="1" si="369"/>
        <v>0</v>
      </c>
      <c r="HS20" s="92">
        <f t="shared" si="103"/>
        <v>1</v>
      </c>
      <c r="HT20" s="11">
        <f t="shared" ca="1" si="104"/>
        <v>138.71067398572484</v>
      </c>
      <c r="HU20" s="11">
        <f t="shared" ca="1" si="105"/>
        <v>100</v>
      </c>
      <c r="HV20" s="11">
        <f t="shared" ca="1" si="370"/>
        <v>42.320322202552006</v>
      </c>
      <c r="HW20" s="11">
        <f t="shared" ca="1" si="106"/>
        <v>403.60964821682717</v>
      </c>
      <c r="HX20" s="11">
        <f t="shared" ca="1" si="107"/>
        <v>-96.39</v>
      </c>
      <c r="HY20" s="11">
        <f t="shared" ca="1" si="108"/>
        <v>0.80721929643365431</v>
      </c>
      <c r="HZ20" s="12">
        <f t="shared" ca="1" si="109"/>
        <v>403.60964821682717</v>
      </c>
      <c r="IA20" s="79"/>
      <c r="IB20" s="12">
        <f t="shared" ca="1" si="371"/>
        <v>403.60964821682717</v>
      </c>
      <c r="IC20" s="18">
        <f t="shared" ca="1" si="110"/>
        <v>0.80721929643365431</v>
      </c>
      <c r="IE20" s="13">
        <f t="shared" ca="1" si="111"/>
        <v>403.60964821682717</v>
      </c>
      <c r="IF20" s="13">
        <f ca="1">INDEX(Totals[[#Data],[#Totals],[Car - Note]:[NONTRACKED]],MATCH(IE$1,Totals[Date],0),MATCH($C20,Totals[[#Headers],[Car - Note]:[NONTRACKED]],0))</f>
        <v>0</v>
      </c>
      <c r="IG20" s="13">
        <f t="shared" ca="1" si="372"/>
        <v>403.60964821682717</v>
      </c>
      <c r="IH20" s="13">
        <v>100</v>
      </c>
      <c r="II20" s="13">
        <v>500</v>
      </c>
      <c r="IJ20" s="13" t="b">
        <f t="shared" ca="1" si="373"/>
        <v>0</v>
      </c>
      <c r="IK20" s="94">
        <f t="shared" si="112"/>
        <v>0</v>
      </c>
      <c r="IL20" s="13">
        <f t="shared" ca="1" si="113"/>
        <v>0</v>
      </c>
      <c r="IM20" s="13">
        <f t="shared" ca="1" si="374"/>
        <v>0</v>
      </c>
      <c r="IN20" s="94">
        <f t="shared" si="114"/>
        <v>1</v>
      </c>
      <c r="IO20" s="13">
        <f t="shared" ca="1" si="115"/>
        <v>96.390351783172832</v>
      </c>
      <c r="IP20" s="13">
        <f t="shared" ca="1" si="116"/>
        <v>96.390351783172832</v>
      </c>
      <c r="IQ20" s="13">
        <f t="shared" ca="1" si="375"/>
        <v>44.525333889775546</v>
      </c>
      <c r="IR20" s="13">
        <f t="shared" ca="1" si="117"/>
        <v>448.13498210660271</v>
      </c>
      <c r="IS20" s="13">
        <f t="shared" ca="1" si="118"/>
        <v>-51.87</v>
      </c>
      <c r="IT20" s="13">
        <f t="shared" ca="1" si="119"/>
        <v>0.89626996421320537</v>
      </c>
      <c r="IU20" s="12">
        <f t="shared" ca="1" si="120"/>
        <v>448.13498210660271</v>
      </c>
      <c r="IV20" s="79"/>
      <c r="IW20" s="12">
        <f t="shared" ca="1" si="376"/>
        <v>448.13498210660271</v>
      </c>
      <c r="IX20" s="18">
        <f t="shared" ca="1" si="121"/>
        <v>0.89626996421320537</v>
      </c>
      <c r="IZ20" s="19">
        <f t="shared" ca="1" si="122"/>
        <v>448.13498210660271</v>
      </c>
      <c r="JA20" s="19">
        <f ca="1">INDEX(Totals[[#Data],[#Totals],[Car - Note]:[NONTRACKED]],MATCH(IZ$1,Totals[Date],0),MATCH($C20,Totals[[#Headers],[Car - Note]:[NONTRACKED]],0))</f>
        <v>0</v>
      </c>
      <c r="JB20" s="19">
        <f t="shared" ca="1" si="377"/>
        <v>448.13498210660271</v>
      </c>
      <c r="JC20" s="19">
        <v>100</v>
      </c>
      <c r="JD20" s="19">
        <v>500</v>
      </c>
      <c r="JE20" s="19" t="b">
        <f t="shared" ca="1" si="378"/>
        <v>0</v>
      </c>
      <c r="JF20" s="100">
        <f t="shared" si="123"/>
        <v>0</v>
      </c>
      <c r="JG20" s="19">
        <f t="shared" ca="1" si="124"/>
        <v>0</v>
      </c>
      <c r="JH20" s="19">
        <f t="shared" ca="1" si="379"/>
        <v>0</v>
      </c>
      <c r="JI20" s="100">
        <f t="shared" si="125"/>
        <v>1</v>
      </c>
      <c r="JJ20" s="19">
        <f t="shared" ca="1" si="126"/>
        <v>51.865017893397294</v>
      </c>
      <c r="JK20" s="19">
        <f t="shared" ca="1" si="127"/>
        <v>51.865017893397294</v>
      </c>
      <c r="JL20" s="19">
        <f t="shared" ca="1" si="380"/>
        <v>19.848470971899943</v>
      </c>
      <c r="JM20" s="19">
        <f t="shared" ca="1" si="128"/>
        <v>467.98345307850263</v>
      </c>
      <c r="JN20" s="19">
        <f t="shared" ca="1" si="129"/>
        <v>-32.020000000000003</v>
      </c>
      <c r="JO20" s="19">
        <f t="shared" ca="1" si="130"/>
        <v>0.93596690615700529</v>
      </c>
      <c r="JP20" s="12">
        <f t="shared" ca="1" si="131"/>
        <v>467.98345307850263</v>
      </c>
      <c r="JQ20" s="79"/>
      <c r="JR20" s="12">
        <f t="shared" ca="1" si="381"/>
        <v>467.98345307850263</v>
      </c>
      <c r="JS20" s="18">
        <f t="shared" ca="1" si="132"/>
        <v>0.93596690615700529</v>
      </c>
      <c r="JU20" s="11">
        <f t="shared" ca="1" si="133"/>
        <v>467.98345307850263</v>
      </c>
      <c r="JV20" s="11">
        <f ca="1">INDEX(Totals[[#Data],[#Totals],[Car - Note]:[NONTRACKED]],MATCH(JU$1,Totals[Date],0),MATCH($C20,Totals[[#Headers],[Car - Note]:[NONTRACKED]],0))</f>
        <v>0</v>
      </c>
      <c r="JW20" s="11">
        <f t="shared" ca="1" si="382"/>
        <v>467.98345307850263</v>
      </c>
      <c r="JX20" s="11">
        <v>100</v>
      </c>
      <c r="JY20" s="11">
        <v>500</v>
      </c>
      <c r="JZ20" s="11" t="b">
        <f t="shared" ca="1" si="383"/>
        <v>0</v>
      </c>
      <c r="KA20" s="92">
        <f t="shared" si="134"/>
        <v>0</v>
      </c>
      <c r="KB20" s="11">
        <f t="shared" ca="1" si="135"/>
        <v>0</v>
      </c>
      <c r="KC20" s="11">
        <f t="shared" ca="1" si="384"/>
        <v>0</v>
      </c>
      <c r="KD20" s="92">
        <f t="shared" si="136"/>
        <v>1</v>
      </c>
      <c r="KE20" s="11">
        <f t="shared" ca="1" si="137"/>
        <v>32.016546921497365</v>
      </c>
      <c r="KF20" s="11">
        <f t="shared" ca="1" si="138"/>
        <v>32.016546921497365</v>
      </c>
      <c r="KG20" s="11">
        <f t="shared" ca="1" si="385"/>
        <v>22.144169309497503</v>
      </c>
      <c r="KH20" s="11">
        <f t="shared" ca="1" si="139"/>
        <v>490.12762238800013</v>
      </c>
      <c r="KI20" s="11">
        <f t="shared" ca="1" si="140"/>
        <v>-9.8699999999999992</v>
      </c>
      <c r="KJ20" s="11">
        <f t="shared" ca="1" si="141"/>
        <v>0.98025524477600023</v>
      </c>
      <c r="KK20" s="12">
        <f t="shared" ca="1" si="142"/>
        <v>490.12762238800013</v>
      </c>
      <c r="KL20" s="79"/>
      <c r="KM20" s="12">
        <f t="shared" ca="1" si="386"/>
        <v>490.12762238800013</v>
      </c>
      <c r="KN20" s="18">
        <f t="shared" ca="1" si="143"/>
        <v>0.98025524477600023</v>
      </c>
      <c r="KP20" s="13">
        <f t="shared" ca="1" si="144"/>
        <v>490.12762238800013</v>
      </c>
      <c r="KQ20" s="13">
        <f ca="1">INDEX(Totals[[#Data],[#Totals],[Car - Note]:[NONTRACKED]],MATCH(KP$1,Totals[Date],0),MATCH($C20,Totals[[#Headers],[Car - Note]:[NONTRACKED]],0))</f>
        <v>0</v>
      </c>
      <c r="KR20" s="13">
        <f t="shared" ca="1" si="387"/>
        <v>490.12762238800013</v>
      </c>
      <c r="KS20" s="13">
        <v>100</v>
      </c>
      <c r="KT20" s="13">
        <v>500</v>
      </c>
      <c r="KU20" s="13" t="b">
        <f t="shared" ca="1" si="388"/>
        <v>0</v>
      </c>
      <c r="KV20" s="94">
        <f t="shared" si="145"/>
        <v>0</v>
      </c>
      <c r="KW20" s="13">
        <f t="shared" ca="1" si="146"/>
        <v>0</v>
      </c>
      <c r="KX20" s="13">
        <f t="shared" ca="1" si="389"/>
        <v>0</v>
      </c>
      <c r="KY20" s="94">
        <f t="shared" si="147"/>
        <v>1</v>
      </c>
      <c r="KZ20" s="13">
        <f t="shared" ca="1" si="148"/>
        <v>9.8723776119998661</v>
      </c>
      <c r="LA20" s="13">
        <f t="shared" ca="1" si="149"/>
        <v>9.8723776119998661</v>
      </c>
      <c r="LB20" s="13">
        <f t="shared" ca="1" si="390"/>
        <v>7.5327196415029896</v>
      </c>
      <c r="LC20" s="13">
        <f t="shared" ca="1" si="150"/>
        <v>497.66034202950311</v>
      </c>
      <c r="LD20" s="13">
        <f t="shared" ca="1" si="151"/>
        <v>-2.34</v>
      </c>
      <c r="LE20" s="13">
        <f t="shared" ca="1" si="152"/>
        <v>0.9953206840590062</v>
      </c>
      <c r="LF20" s="12">
        <f t="shared" ca="1" si="153"/>
        <v>497.66034202950311</v>
      </c>
      <c r="LG20" s="79"/>
      <c r="LH20" s="12">
        <f t="shared" ca="1" si="391"/>
        <v>497.66034202950311</v>
      </c>
      <c r="LI20" s="18">
        <f t="shared" ca="1" si="154"/>
        <v>0.9953206840590062</v>
      </c>
      <c r="LK20" s="19">
        <f t="shared" ca="1" si="155"/>
        <v>497.66034202950311</v>
      </c>
      <c r="LL20" s="19">
        <f ca="1">INDEX(Totals[[#Data],[#Totals],[Car - Note]:[NONTRACKED]],MATCH(LK$1,Totals[Date],0),MATCH($C20,Totals[[#Headers],[Car - Note]:[NONTRACKED]],0))</f>
        <v>0</v>
      </c>
      <c r="LM20" s="19">
        <f t="shared" ca="1" si="392"/>
        <v>497.66034202950311</v>
      </c>
      <c r="LN20" s="19">
        <v>100</v>
      </c>
      <c r="LO20" s="19">
        <v>500</v>
      </c>
      <c r="LP20" s="19" t="b">
        <f t="shared" ca="1" si="393"/>
        <v>0</v>
      </c>
      <c r="LQ20" s="100">
        <f t="shared" si="156"/>
        <v>0</v>
      </c>
      <c r="LR20" s="19">
        <f t="shared" ca="1" si="157"/>
        <v>0</v>
      </c>
      <c r="LS20" s="19">
        <f t="shared" ca="1" si="394"/>
        <v>0</v>
      </c>
      <c r="LT20" s="100">
        <f t="shared" si="158"/>
        <v>1</v>
      </c>
      <c r="LU20" s="19">
        <f t="shared" ca="1" si="159"/>
        <v>2.3396579704968872</v>
      </c>
      <c r="LV20" s="19">
        <f t="shared" ca="1" si="160"/>
        <v>2.3396579704968872</v>
      </c>
      <c r="LW20" s="19">
        <f t="shared" ca="1" si="395"/>
        <v>1.4851079217680274</v>
      </c>
      <c r="LX20" s="19">
        <f t="shared" ca="1" si="161"/>
        <v>499.14544995127113</v>
      </c>
      <c r="LY20" s="19">
        <f t="shared" ca="1" si="162"/>
        <v>-0.85</v>
      </c>
      <c r="LZ20" s="19">
        <f t="shared" ca="1" si="163"/>
        <v>0.99829089990254227</v>
      </c>
      <c r="MA20" s="12">
        <f t="shared" ca="1" si="164"/>
        <v>499.14544995127113</v>
      </c>
      <c r="MB20" s="79"/>
      <c r="MC20" s="12">
        <f t="shared" ca="1" si="396"/>
        <v>499.14544995127113</v>
      </c>
      <c r="MD20" s="18">
        <f t="shared" ca="1" si="165"/>
        <v>0.99829089990254227</v>
      </c>
      <c r="MF20" s="11">
        <f t="shared" ca="1" si="166"/>
        <v>499.14544995127113</v>
      </c>
      <c r="MG20" s="11">
        <f ca="1">INDEX(Totals[[#Data],[#Totals],[Car - Note]:[NONTRACKED]],MATCH(MF$1,Totals[Date],0),MATCH($C20,Totals[[#Headers],[Car - Note]:[NONTRACKED]],0))</f>
        <v>0</v>
      </c>
      <c r="MH20" s="11">
        <f t="shared" ca="1" si="397"/>
        <v>499.14544995127113</v>
      </c>
      <c r="MI20" s="11">
        <v>100</v>
      </c>
      <c r="MJ20" s="11">
        <v>500</v>
      </c>
      <c r="MK20" s="11" t="b">
        <f t="shared" ca="1" si="398"/>
        <v>0</v>
      </c>
      <c r="ML20" s="92">
        <f t="shared" si="167"/>
        <v>0</v>
      </c>
      <c r="MM20" s="11">
        <f t="shared" ca="1" si="168"/>
        <v>0</v>
      </c>
      <c r="MN20" s="11">
        <f t="shared" ca="1" si="399"/>
        <v>0</v>
      </c>
      <c r="MO20" s="92">
        <f t="shared" si="169"/>
        <v>1</v>
      </c>
      <c r="MP20" s="11">
        <f t="shared" ca="1" si="170"/>
        <v>0.85455004872886775</v>
      </c>
      <c r="MQ20" s="11">
        <f t="shared" ca="1" si="171"/>
        <v>0.85455004872886775</v>
      </c>
      <c r="MR20" s="11">
        <f t="shared" ca="1" si="400"/>
        <v>0.42793168978643081</v>
      </c>
      <c r="MS20" s="11">
        <f t="shared" ca="1" si="172"/>
        <v>499.57338164105755</v>
      </c>
      <c r="MT20" s="11">
        <f t="shared" ca="1" si="173"/>
        <v>-0.43</v>
      </c>
      <c r="MU20" s="11">
        <f t="shared" ca="1" si="174"/>
        <v>0.99914676328211516</v>
      </c>
      <c r="MV20" s="12">
        <f t="shared" ca="1" si="175"/>
        <v>499.57338164105755</v>
      </c>
      <c r="MW20" s="79">
        <v>-400</v>
      </c>
      <c r="MX20" s="12">
        <f t="shared" ca="1" si="401"/>
        <v>99.573381641057551</v>
      </c>
      <c r="MY20" s="18">
        <f t="shared" ca="1" si="176"/>
        <v>0.19914676328211511</v>
      </c>
      <c r="NA20" s="13">
        <f t="shared" ca="1" si="177"/>
        <v>99.573381641057551</v>
      </c>
      <c r="NB20" s="13">
        <f ca="1">INDEX(Totals[[#Data],[#Totals],[Car - Note]:[NONTRACKED]],MATCH(NA$1,Totals[Date],0),MATCH($C20,Totals[[#Headers],[Car - Note]:[NONTRACKED]],0))</f>
        <v>0</v>
      </c>
      <c r="NC20" s="13">
        <f t="shared" ca="1" si="402"/>
        <v>99.573381641057551</v>
      </c>
      <c r="ND20" s="13">
        <v>100</v>
      </c>
      <c r="NE20" s="13">
        <v>500</v>
      </c>
      <c r="NF20" s="13" t="b">
        <f t="shared" ca="1" si="403"/>
        <v>0</v>
      </c>
      <c r="NG20" s="94">
        <f t="shared" si="178"/>
        <v>0</v>
      </c>
      <c r="NH20" s="13">
        <f t="shared" ca="1" si="179"/>
        <v>0</v>
      </c>
      <c r="NI20" s="13">
        <f t="shared" ca="1" si="404"/>
        <v>0</v>
      </c>
      <c r="NJ20" s="94">
        <f t="shared" si="180"/>
        <v>1</v>
      </c>
      <c r="NK20" s="13">
        <f t="shared" ca="1" si="181"/>
        <v>400.42661835894245</v>
      </c>
      <c r="NL20" s="13">
        <f t="shared" ca="1" si="182"/>
        <v>100</v>
      </c>
      <c r="NM20" s="13">
        <f t="shared" ca="1" si="405"/>
        <v>100</v>
      </c>
      <c r="NN20" s="13">
        <f t="shared" ca="1" si="183"/>
        <v>199.57338164105755</v>
      </c>
      <c r="NO20" s="13">
        <f t="shared" ca="1" si="184"/>
        <v>-300.43</v>
      </c>
      <c r="NP20" s="13">
        <f t="shared" ca="1" si="185"/>
        <v>0.39914676328211512</v>
      </c>
      <c r="NQ20" s="12">
        <f t="shared" ca="1" si="186"/>
        <v>199.57338164105755</v>
      </c>
      <c r="NR20" s="79"/>
      <c r="NS20" s="12">
        <f t="shared" ca="1" si="406"/>
        <v>199.57338164105755</v>
      </c>
      <c r="NT20" s="18">
        <f t="shared" ca="1" si="187"/>
        <v>0.39914676328211512</v>
      </c>
      <c r="NV20" s="19">
        <f t="shared" ca="1" si="188"/>
        <v>199.57338164105755</v>
      </c>
      <c r="NW20" s="19">
        <f ca="1">INDEX(Totals[[#Data],[#Totals],[Car - Note]:[NONTRACKED]],MATCH(NV$1,Totals[Date],0),MATCH($C20,Totals[[#Headers],[Car - Note]:[NONTRACKED]],0))</f>
        <v>0</v>
      </c>
      <c r="NX20" s="19">
        <f t="shared" ca="1" si="407"/>
        <v>199.57338164105755</v>
      </c>
      <c r="NY20" s="19">
        <v>100</v>
      </c>
      <c r="NZ20" s="19">
        <v>500</v>
      </c>
      <c r="OA20" s="19" t="b">
        <f t="shared" ca="1" si="408"/>
        <v>0</v>
      </c>
      <c r="OB20" s="100">
        <f t="shared" si="189"/>
        <v>0</v>
      </c>
      <c r="OC20" s="19">
        <f t="shared" ca="1" si="190"/>
        <v>0</v>
      </c>
      <c r="OD20" s="19">
        <f t="shared" ca="1" si="409"/>
        <v>0</v>
      </c>
      <c r="OE20" s="100">
        <f t="shared" si="191"/>
        <v>1</v>
      </c>
      <c r="OF20" s="19">
        <f t="shared" ca="1" si="192"/>
        <v>300.42661835894245</v>
      </c>
      <c r="OG20" s="19">
        <f t="shared" ca="1" si="193"/>
        <v>100</v>
      </c>
      <c r="OH20" s="19">
        <f t="shared" ca="1" si="410"/>
        <v>77.130915209701172</v>
      </c>
      <c r="OI20" s="19">
        <f t="shared" ca="1" si="194"/>
        <v>276.70429685075874</v>
      </c>
      <c r="OJ20" s="19">
        <f t="shared" ca="1" si="195"/>
        <v>-223.3</v>
      </c>
      <c r="OK20" s="19">
        <f t="shared" ca="1" si="196"/>
        <v>0.55340859370151751</v>
      </c>
      <c r="OL20" s="12">
        <f t="shared" ca="1" si="197"/>
        <v>276.70429685075874</v>
      </c>
      <c r="OM20" s="79"/>
      <c r="ON20" s="12">
        <f t="shared" ca="1" si="411"/>
        <v>276.70429685075874</v>
      </c>
      <c r="OO20" s="18">
        <f t="shared" ca="1" si="198"/>
        <v>0.55340859370151751</v>
      </c>
      <c r="OQ20" s="11">
        <f t="shared" ca="1" si="199"/>
        <v>276.70429685075874</v>
      </c>
      <c r="OR20" s="11">
        <f ca="1">INDEX(Totals[[#Data],[#Totals],[Car - Note]:[NONTRACKED]],MATCH(OQ$1,Totals[Date],0),MATCH($C20,Totals[[#Headers],[Car - Note]:[NONTRACKED]],0))</f>
        <v>0</v>
      </c>
      <c r="OS20" s="11">
        <f t="shared" ca="1" si="412"/>
        <v>276.70429685075874</v>
      </c>
      <c r="OT20" s="11">
        <v>100</v>
      </c>
      <c r="OU20" s="11">
        <v>500</v>
      </c>
      <c r="OV20" s="11" t="b">
        <f t="shared" ca="1" si="413"/>
        <v>0</v>
      </c>
      <c r="OW20" s="92">
        <f t="shared" si="200"/>
        <v>0</v>
      </c>
      <c r="OX20" s="11">
        <f t="shared" ca="1" si="201"/>
        <v>0</v>
      </c>
      <c r="OY20" s="11">
        <f t="shared" ca="1" si="414"/>
        <v>0</v>
      </c>
      <c r="OZ20" s="92">
        <f t="shared" si="202"/>
        <v>1</v>
      </c>
      <c r="PA20" s="11">
        <f t="shared" ca="1" si="203"/>
        <v>223.29570314924126</v>
      </c>
      <c r="PB20" s="11">
        <f t="shared" ca="1" si="204"/>
        <v>100</v>
      </c>
      <c r="PC20" s="11">
        <f t="shared" ca="1" si="415"/>
        <v>59.395554900461192</v>
      </c>
      <c r="PD20" s="11">
        <f t="shared" ca="1" si="205"/>
        <v>336.09985175121994</v>
      </c>
      <c r="PE20" s="11">
        <f t="shared" ca="1" si="206"/>
        <v>-163.9</v>
      </c>
      <c r="PF20" s="11">
        <f t="shared" ca="1" si="207"/>
        <v>0.67219970350243985</v>
      </c>
      <c r="PG20" s="12">
        <f t="shared" ca="1" si="208"/>
        <v>336.09985175121994</v>
      </c>
      <c r="PH20" s="79"/>
      <c r="PI20" s="12">
        <f t="shared" ca="1" si="416"/>
        <v>336.09985175121994</v>
      </c>
      <c r="PJ20" s="18">
        <f t="shared" ca="1" si="209"/>
        <v>0.67219970350243985</v>
      </c>
      <c r="PL20" s="13">
        <f t="shared" ca="1" si="210"/>
        <v>336.09985175121994</v>
      </c>
      <c r="PM20" s="13">
        <f ca="1">INDEX(Totals[[#Data],[#Totals],[Car - Note]:[NONTRACKED]],MATCH(PL$1,Totals[Date],0),MATCH($C20,Totals[[#Headers],[Car - Note]:[NONTRACKED]],0))</f>
        <v>0</v>
      </c>
      <c r="PN20" s="13">
        <f t="shared" ca="1" si="417"/>
        <v>336.09985175121994</v>
      </c>
      <c r="PO20" s="13">
        <v>100</v>
      </c>
      <c r="PP20" s="13">
        <v>500</v>
      </c>
      <c r="PQ20" s="13" t="b">
        <f t="shared" ca="1" si="418"/>
        <v>0</v>
      </c>
      <c r="PR20" s="94">
        <f t="shared" si="211"/>
        <v>0</v>
      </c>
      <c r="PS20" s="13">
        <f t="shared" ca="1" si="212"/>
        <v>0</v>
      </c>
      <c r="PT20" s="13">
        <f t="shared" ca="1" si="419"/>
        <v>0</v>
      </c>
      <c r="PU20" s="94">
        <f t="shared" si="213"/>
        <v>1</v>
      </c>
      <c r="PV20" s="13">
        <f t="shared" ca="1" si="214"/>
        <v>163.90014824878006</v>
      </c>
      <c r="PW20" s="13">
        <f t="shared" ca="1" si="215"/>
        <v>100</v>
      </c>
      <c r="PX20" s="13">
        <f t="shared" ca="1" si="420"/>
        <v>70.644748016769299</v>
      </c>
      <c r="PY20" s="13">
        <f t="shared" ca="1" si="216"/>
        <v>406.74459976798926</v>
      </c>
      <c r="PZ20" s="13">
        <f t="shared" ca="1" si="217"/>
        <v>-93.26</v>
      </c>
      <c r="QA20" s="13">
        <f t="shared" ca="1" si="218"/>
        <v>0.81348919953597854</v>
      </c>
      <c r="QB20" s="12">
        <f t="shared" ca="1" si="219"/>
        <v>406.74459976798926</v>
      </c>
      <c r="QC20" s="79"/>
      <c r="QD20" s="12">
        <f t="shared" ca="1" si="421"/>
        <v>406.74459976798926</v>
      </c>
      <c r="QE20" s="18">
        <f t="shared" ca="1" si="220"/>
        <v>0.81348919953597854</v>
      </c>
      <c r="QG20" s="19">
        <f t="shared" ca="1" si="221"/>
        <v>406.74459976798926</v>
      </c>
      <c r="QH20" s="19">
        <f ca="1">INDEX(Totals[[#Data],[#Totals],[Car - Note]:[NONTRACKED]],MATCH(QG$1,Totals[Date],0),MATCH($C20,Totals[[#Headers],[Car - Note]:[NONTRACKED]],0))</f>
        <v>0</v>
      </c>
      <c r="QI20" s="19">
        <f t="shared" ca="1" si="422"/>
        <v>406.74459976798926</v>
      </c>
      <c r="QJ20" s="19">
        <v>100</v>
      </c>
      <c r="QK20" s="19">
        <v>500</v>
      </c>
      <c r="QL20" s="19" t="b">
        <f t="shared" ca="1" si="423"/>
        <v>0</v>
      </c>
      <c r="QM20" s="100">
        <f t="shared" si="222"/>
        <v>0</v>
      </c>
      <c r="QN20" s="19">
        <f t="shared" ca="1" si="223"/>
        <v>0</v>
      </c>
      <c r="QO20" s="19">
        <f t="shared" ca="1" si="424"/>
        <v>0</v>
      </c>
      <c r="QP20" s="100">
        <f t="shared" si="224"/>
        <v>1</v>
      </c>
      <c r="QQ20" s="19">
        <f t="shared" ca="1" si="225"/>
        <v>93.255400232010743</v>
      </c>
      <c r="QR20" s="19">
        <f t="shared" ca="1" si="226"/>
        <v>93.255400232010743</v>
      </c>
      <c r="QS20" s="19">
        <f t="shared" ca="1" si="425"/>
        <v>65.158414305760871</v>
      </c>
      <c r="QT20" s="19">
        <f t="shared" ca="1" si="227"/>
        <v>471.90301407375011</v>
      </c>
      <c r="QU20" s="19">
        <f t="shared" ca="1" si="228"/>
        <v>-28.1</v>
      </c>
      <c r="QV20" s="19">
        <f t="shared" ca="1" si="229"/>
        <v>0.94380602814750025</v>
      </c>
      <c r="QW20" s="12">
        <f t="shared" ca="1" si="230"/>
        <v>471.90301407375011</v>
      </c>
      <c r="QX20" s="79"/>
      <c r="QY20" s="12">
        <f t="shared" ca="1" si="426"/>
        <v>471.90301407375011</v>
      </c>
      <c r="QZ20" s="18">
        <f t="shared" ca="1" si="231"/>
        <v>0.94380602814750025</v>
      </c>
      <c r="RB20" s="11">
        <f t="shared" ca="1" si="232"/>
        <v>471.90301407375011</v>
      </c>
      <c r="RC20" s="11">
        <f ca="1">INDEX(Totals[[#Data],[#Totals],[Car - Note]:[NONTRACKED]],MATCH(RB$1,Totals[Date],0),MATCH($C20,Totals[[#Headers],[Car - Note]:[NONTRACKED]],0))</f>
        <v>-433.67</v>
      </c>
      <c r="RD20" s="11">
        <f t="shared" ca="1" si="427"/>
        <v>38.233014073750098</v>
      </c>
      <c r="RE20" s="11">
        <v>100</v>
      </c>
      <c r="RF20" s="11">
        <v>500</v>
      </c>
      <c r="RG20" s="11" t="b">
        <f t="shared" ca="1" si="428"/>
        <v>0</v>
      </c>
      <c r="RH20" s="92">
        <f t="shared" si="233"/>
        <v>0</v>
      </c>
      <c r="RI20" s="11">
        <f t="shared" ca="1" si="234"/>
        <v>0</v>
      </c>
      <c r="RJ20" s="11">
        <f t="shared" ca="1" si="429"/>
        <v>0</v>
      </c>
      <c r="RK20" s="92">
        <f t="shared" si="235"/>
        <v>1</v>
      </c>
      <c r="RL20" s="11">
        <f t="shared" ca="1" si="236"/>
        <v>461.7669859262499</v>
      </c>
      <c r="RM20" s="11">
        <f t="shared" ca="1" si="237"/>
        <v>100</v>
      </c>
      <c r="RN20" s="11">
        <f t="shared" ca="1" si="430"/>
        <v>58.785617707507811</v>
      </c>
      <c r="RO20" s="11">
        <f t="shared" ca="1" si="238"/>
        <v>97.018631781257909</v>
      </c>
      <c r="RP20" s="11">
        <f t="shared" ca="1" si="239"/>
        <v>-402.98</v>
      </c>
      <c r="RQ20" s="11">
        <f t="shared" ca="1" si="240"/>
        <v>0.19403726356251583</v>
      </c>
      <c r="RR20" s="12">
        <f t="shared" ca="1" si="241"/>
        <v>97.018631781257909</v>
      </c>
      <c r="RS20" s="79"/>
      <c r="RT20" s="12">
        <f t="shared" ca="1" si="431"/>
        <v>97.018631781257909</v>
      </c>
      <c r="RU20" s="18">
        <f t="shared" ca="1" si="242"/>
        <v>0.19403726356251583</v>
      </c>
      <c r="RW20" s="13">
        <f t="shared" ca="1" si="243"/>
        <v>97.018631781257909</v>
      </c>
      <c r="RX20" s="13">
        <f ca="1">INDEX(Totals[[#Data],[#Totals],[Car - Note]:[NONTRACKED]],MATCH(RW$1,Totals[Date],0),MATCH($C20,Totals[[#Headers],[Car - Note]:[NONTRACKED]],0))</f>
        <v>0</v>
      </c>
      <c r="RY20" s="13">
        <f t="shared" ca="1" si="432"/>
        <v>97.018631781257909</v>
      </c>
      <c r="RZ20" s="13">
        <v>100</v>
      </c>
      <c r="SA20" s="13">
        <v>500</v>
      </c>
      <c r="SB20" s="13" t="b">
        <f t="shared" ca="1" si="433"/>
        <v>0</v>
      </c>
      <c r="SC20" s="94">
        <f t="shared" si="244"/>
        <v>0</v>
      </c>
      <c r="SD20" s="13">
        <f t="shared" ca="1" si="245"/>
        <v>0</v>
      </c>
      <c r="SE20" s="13">
        <f t="shared" ca="1" si="434"/>
        <v>0</v>
      </c>
      <c r="SF20" s="94">
        <f t="shared" si="246"/>
        <v>1</v>
      </c>
      <c r="SG20" s="13">
        <f t="shared" ca="1" si="247"/>
        <v>402.98136821874209</v>
      </c>
      <c r="SH20" s="13">
        <f t="shared" ca="1" si="248"/>
        <v>100</v>
      </c>
      <c r="SI20" s="13">
        <f t="shared" ca="1" si="435"/>
        <v>87.761048046955722</v>
      </c>
      <c r="SJ20" s="13">
        <f t="shared" ca="1" si="249"/>
        <v>184.77967982821363</v>
      </c>
      <c r="SK20" s="13">
        <f t="shared" ca="1" si="250"/>
        <v>-315.22000000000003</v>
      </c>
      <c r="SL20" s="13">
        <f t="shared" ca="1" si="251"/>
        <v>0.36955935965642728</v>
      </c>
      <c r="SM20" s="12">
        <f t="shared" ca="1" si="252"/>
        <v>184.77967982821363</v>
      </c>
      <c r="SN20" s="79"/>
      <c r="SO20" s="12">
        <f t="shared" ca="1" si="436"/>
        <v>184.77967982821363</v>
      </c>
      <c r="SP20" s="18">
        <f t="shared" ca="1" si="253"/>
        <v>0.36955935965642728</v>
      </c>
      <c r="SR20" s="19">
        <f t="shared" ca="1" si="254"/>
        <v>184.77967982821363</v>
      </c>
      <c r="SS20" s="19">
        <f ca="1">INDEX(Totals[[#Data],[#Totals],[Car - Note]:[NONTRACKED]],MATCH(SR$1,Totals[Date],0),MATCH($C20,Totals[[#Headers],[Car - Note]:[NONTRACKED]],0))</f>
        <v>0</v>
      </c>
      <c r="ST20" s="19">
        <f t="shared" ca="1" si="437"/>
        <v>184.77967982821363</v>
      </c>
      <c r="SU20" s="19">
        <v>100</v>
      </c>
      <c r="SV20" s="19">
        <v>500</v>
      </c>
      <c r="SW20" s="19" t="b">
        <f t="shared" ca="1" si="438"/>
        <v>0</v>
      </c>
      <c r="SX20" s="100">
        <f t="shared" si="255"/>
        <v>0</v>
      </c>
      <c r="SY20" s="19">
        <f t="shared" ca="1" si="256"/>
        <v>0</v>
      </c>
      <c r="SZ20" s="19">
        <f t="shared" ca="1" si="439"/>
        <v>0</v>
      </c>
      <c r="TA20" s="100">
        <f t="shared" si="257"/>
        <v>1</v>
      </c>
      <c r="TB20" s="19">
        <f t="shared" ca="1" si="258"/>
        <v>315.2203201717864</v>
      </c>
      <c r="TC20" s="19">
        <f t="shared" ca="1" si="259"/>
        <v>100</v>
      </c>
      <c r="TD20" s="19">
        <f t="shared" ca="1" si="440"/>
        <v>72.660425719204355</v>
      </c>
      <c r="TE20" s="19">
        <f t="shared" ca="1" si="260"/>
        <v>257.440105547418</v>
      </c>
      <c r="TF20" s="19">
        <f t="shared" ca="1" si="261"/>
        <v>-242.56</v>
      </c>
      <c r="TG20" s="19">
        <f t="shared" ca="1" si="262"/>
        <v>0.51488021109483595</v>
      </c>
      <c r="TH20" s="12">
        <f t="shared" ca="1" si="263"/>
        <v>257.440105547418</v>
      </c>
      <c r="TI20" s="79"/>
      <c r="TJ20" s="12">
        <f t="shared" ca="1" si="441"/>
        <v>257.440105547418</v>
      </c>
      <c r="TK20" s="18">
        <f t="shared" ca="1" si="264"/>
        <v>0.51488021109483595</v>
      </c>
      <c r="TM20" s="11">
        <f t="shared" ca="1" si="265"/>
        <v>257.440105547418</v>
      </c>
      <c r="TN20" s="11">
        <f ca="1">INDEX(Totals[[#Data],[#Totals],[Car - Note]:[NONTRACKED]],MATCH(TM$1,Totals[Date],0),MATCH($C20,Totals[[#Headers],[Car - Note]:[NONTRACKED]],0))</f>
        <v>0</v>
      </c>
      <c r="TO20" s="11">
        <f t="shared" ca="1" si="442"/>
        <v>257.440105547418</v>
      </c>
      <c r="TP20" s="11">
        <v>100</v>
      </c>
      <c r="TQ20" s="11">
        <v>500</v>
      </c>
      <c r="TR20" s="11" t="b">
        <f t="shared" ca="1" si="443"/>
        <v>0</v>
      </c>
      <c r="TS20" s="92">
        <f t="shared" si="266"/>
        <v>0</v>
      </c>
      <c r="TT20" s="11">
        <f t="shared" ca="1" si="267"/>
        <v>0</v>
      </c>
      <c r="TU20" s="11">
        <f t="shared" ca="1" si="444"/>
        <v>0</v>
      </c>
      <c r="TV20" s="92">
        <f t="shared" si="268"/>
        <v>1</v>
      </c>
      <c r="TW20" s="11">
        <f t="shared" ca="1" si="269"/>
        <v>242.559894452582</v>
      </c>
      <c r="TX20" s="11">
        <f t="shared" ca="1" si="270"/>
        <v>100</v>
      </c>
      <c r="TY20" s="11">
        <f t="shared" ca="1" si="445"/>
        <v>63.650779168801598</v>
      </c>
      <c r="TZ20" s="11">
        <f t="shared" ca="1" si="271"/>
        <v>321.09088471621959</v>
      </c>
      <c r="UA20" s="11">
        <f t="shared" ca="1" si="272"/>
        <v>-178.91</v>
      </c>
      <c r="UB20" s="11">
        <f t="shared" ca="1" si="273"/>
        <v>0.64218176943243921</v>
      </c>
      <c r="UC20" s="12">
        <f t="shared" ca="1" si="274"/>
        <v>321.09088471621959</v>
      </c>
      <c r="UD20" s="79">
        <v>-50</v>
      </c>
      <c r="UE20" s="12">
        <f t="shared" ca="1" si="446"/>
        <v>271.09088471621959</v>
      </c>
      <c r="UF20" s="18">
        <f t="shared" ca="1" si="275"/>
        <v>0.54218176943243923</v>
      </c>
      <c r="UH20" s="13">
        <f t="shared" ca="1" si="276"/>
        <v>271.09088471621959</v>
      </c>
      <c r="UI20" s="13">
        <f ca="1">INDEX(Totals[[#Data],[#Totals],[Car - Note]:[NONTRACKED]],MATCH(UH$1,Totals[Date],0),MATCH($C20,Totals[[#Headers],[Car - Note]:[NONTRACKED]],0))</f>
        <v>0</v>
      </c>
      <c r="UJ20" s="13">
        <f t="shared" ca="1" si="447"/>
        <v>271.09088471621959</v>
      </c>
      <c r="UK20" s="13">
        <v>100</v>
      </c>
      <c r="UL20" s="13">
        <v>500</v>
      </c>
      <c r="UM20" s="13" t="b">
        <f t="shared" ca="1" si="448"/>
        <v>0</v>
      </c>
      <c r="UN20" s="94">
        <f t="shared" si="277"/>
        <v>0</v>
      </c>
      <c r="UO20" s="13">
        <f t="shared" ca="1" si="278"/>
        <v>0</v>
      </c>
      <c r="UP20" s="13">
        <f t="shared" ca="1" si="449"/>
        <v>0</v>
      </c>
      <c r="UQ20" s="94">
        <f t="shared" si="279"/>
        <v>1</v>
      </c>
      <c r="UR20" s="13">
        <f t="shared" ca="1" si="280"/>
        <v>228.90911528378041</v>
      </c>
      <c r="US20" s="13">
        <f t="shared" ca="1" si="281"/>
        <v>100</v>
      </c>
      <c r="UT20" s="13">
        <f t="shared" ca="1" si="450"/>
        <v>100</v>
      </c>
      <c r="UU20" s="13">
        <f t="shared" ca="1" si="282"/>
        <v>371.09088471621959</v>
      </c>
      <c r="UV20" s="13">
        <f t="shared" ca="1" si="283"/>
        <v>-128.91</v>
      </c>
      <c r="UW20" s="13">
        <f t="shared" ca="1" si="284"/>
        <v>0.74218176943243919</v>
      </c>
      <c r="UX20" s="12">
        <f t="shared" ca="1" si="285"/>
        <v>371.09088471621959</v>
      </c>
      <c r="UY20" s="79"/>
      <c r="UZ20" s="12">
        <f t="shared" ca="1" si="451"/>
        <v>371.09088471621959</v>
      </c>
      <c r="VA20" s="18">
        <f t="shared" ca="1" si="286"/>
        <v>0.74218176943243919</v>
      </c>
      <c r="VC20" s="19">
        <f t="shared" ca="1" si="287"/>
        <v>371.09088471621959</v>
      </c>
      <c r="VD20" s="19">
        <f ca="1">INDEX(Totals[[#Data],[#Totals],[Car - Note]:[NONTRACKED]],MATCH(VC$1,Totals[Date],0),MATCH($C20,Totals[[#Headers],[Car - Note]:[NONTRACKED]],0))</f>
        <v>0</v>
      </c>
      <c r="VE20" s="19">
        <f t="shared" ca="1" si="452"/>
        <v>371.09088471621959</v>
      </c>
      <c r="VF20" s="19">
        <v>100</v>
      </c>
      <c r="VG20" s="19">
        <v>500</v>
      </c>
      <c r="VH20" s="19" t="b">
        <f t="shared" ca="1" si="453"/>
        <v>0</v>
      </c>
      <c r="VI20" s="100">
        <f t="shared" si="288"/>
        <v>0</v>
      </c>
      <c r="VJ20" s="19">
        <f t="shared" ca="1" si="289"/>
        <v>0</v>
      </c>
      <c r="VK20" s="19">
        <f t="shared" ca="1" si="454"/>
        <v>0</v>
      </c>
      <c r="VL20" s="100">
        <f t="shared" si="290"/>
        <v>1</v>
      </c>
      <c r="VM20" s="19">
        <f t="shared" ca="1" si="291"/>
        <v>128.90911528378041</v>
      </c>
      <c r="VN20" s="19">
        <f t="shared" ca="1" si="292"/>
        <v>100</v>
      </c>
      <c r="VO20" s="19">
        <f t="shared" ca="1" si="455"/>
        <v>66.29391816183454</v>
      </c>
      <c r="VP20" s="19">
        <f t="shared" ca="1" si="293"/>
        <v>437.38480287805413</v>
      </c>
      <c r="VQ20" s="19">
        <f t="shared" ca="1" si="294"/>
        <v>-62.62</v>
      </c>
      <c r="VR20" s="19">
        <f t="shared" ca="1" si="295"/>
        <v>0.87476960575610829</v>
      </c>
      <c r="VS20" s="12">
        <f t="shared" ca="1" si="296"/>
        <v>437.38480287805413</v>
      </c>
      <c r="VT20" s="79"/>
      <c r="VU20" s="12">
        <f t="shared" ca="1" si="456"/>
        <v>437.38480287805413</v>
      </c>
      <c r="VV20" s="18">
        <f t="shared" ca="1" si="297"/>
        <v>0.87476960575610829</v>
      </c>
      <c r="VX20" s="11">
        <f t="shared" ca="1" si="298"/>
        <v>437.38480287805413</v>
      </c>
      <c r="VY20" s="11">
        <f ca="1">INDEX(Totals[[#Data],[#Totals],[Car - Note]:[NONTRACKED]],MATCH(VX$1,Totals[Date],0),MATCH($C20,Totals[[#Headers],[Car - Note]:[NONTRACKED]],0))</f>
        <v>0</v>
      </c>
      <c r="VZ20" s="11">
        <f t="shared" ca="1" si="457"/>
        <v>437.38480287805413</v>
      </c>
      <c r="WA20" s="11">
        <v>100</v>
      </c>
      <c r="WB20" s="11">
        <v>500</v>
      </c>
      <c r="WC20" s="11" t="b">
        <f t="shared" ca="1" si="458"/>
        <v>0</v>
      </c>
      <c r="WD20" s="92">
        <f t="shared" si="299"/>
        <v>0</v>
      </c>
      <c r="WE20" s="11">
        <f t="shared" ca="1" si="300"/>
        <v>0</v>
      </c>
      <c r="WF20" s="11">
        <f t="shared" ca="1" si="459"/>
        <v>0</v>
      </c>
      <c r="WG20" s="92">
        <f t="shared" si="301"/>
        <v>1</v>
      </c>
      <c r="WH20" s="11">
        <f t="shared" ca="1" si="302"/>
        <v>62.615197121945869</v>
      </c>
      <c r="WI20" s="11">
        <f t="shared" ca="1" si="303"/>
        <v>62.615197121945869</v>
      </c>
      <c r="WJ20" s="11">
        <f t="shared" ca="1" si="460"/>
        <v>37.393189979530888</v>
      </c>
      <c r="WK20" s="11">
        <f t="shared" ca="1" si="304"/>
        <v>474.77799285758499</v>
      </c>
      <c r="WL20" s="11">
        <f t="shared" ca="1" si="305"/>
        <v>-25.22</v>
      </c>
      <c r="WM20" s="11">
        <f t="shared" ca="1" si="306"/>
        <v>0.94955598571516997</v>
      </c>
      <c r="WN20" s="12">
        <f t="shared" ca="1" si="307"/>
        <v>474.77799285758499</v>
      </c>
      <c r="WO20" s="79"/>
      <c r="WP20" s="12">
        <f t="shared" ca="1" si="461"/>
        <v>474.77799285758499</v>
      </c>
      <c r="WQ20" s="18">
        <f t="shared" ca="1" si="308"/>
        <v>0.94955598571516997</v>
      </c>
      <c r="WS20" s="13">
        <f t="shared" ca="1" si="309"/>
        <v>474.77799285758499</v>
      </c>
      <c r="WT20" s="13">
        <f ca="1">INDEX(Totals[[#Data],[#Totals],[Car - Note]:[NONTRACKED]],MATCH(WS$1,Totals[Date],0),MATCH($C20,Totals[[#Headers],[Car - Note]:[NONTRACKED]],0))</f>
        <v>0</v>
      </c>
      <c r="WU20" s="13">
        <f t="shared" ca="1" si="462"/>
        <v>474.77799285758499</v>
      </c>
      <c r="WV20" s="13">
        <v>100</v>
      </c>
      <c r="WW20" s="13">
        <v>500</v>
      </c>
      <c r="WX20" s="13" t="b">
        <f t="shared" ca="1" si="463"/>
        <v>0</v>
      </c>
      <c r="WY20" s="94">
        <f t="shared" si="310"/>
        <v>0</v>
      </c>
      <c r="WZ20" s="13">
        <f t="shared" ca="1" si="311"/>
        <v>0</v>
      </c>
      <c r="XA20" s="13">
        <f t="shared" ca="1" si="464"/>
        <v>0</v>
      </c>
      <c r="XB20" s="94">
        <f t="shared" si="312"/>
        <v>1</v>
      </c>
      <c r="XC20" s="13">
        <f t="shared" ca="1" si="313"/>
        <v>25.222007142415009</v>
      </c>
      <c r="XD20" s="13">
        <f t="shared" ca="1" si="314"/>
        <v>25.222007142415009</v>
      </c>
      <c r="XE20" s="13">
        <f t="shared" ca="1" si="465"/>
        <v>23.888165558393091</v>
      </c>
      <c r="XF20" s="13">
        <f t="shared" ca="1" si="315"/>
        <v>498.66615841597809</v>
      </c>
      <c r="XG20" s="13">
        <f t="shared" ca="1" si="316"/>
        <v>-1.33</v>
      </c>
      <c r="XH20" s="13">
        <f t="shared" ca="1" si="317"/>
        <v>0.99733231683195622</v>
      </c>
      <c r="XI20" s="12">
        <f t="shared" ca="1" si="318"/>
        <v>498.66615841597809</v>
      </c>
      <c r="XJ20" s="104">
        <f t="shared" ca="1" si="471"/>
        <v>1.3338415840219113</v>
      </c>
      <c r="XK20" s="12">
        <f t="shared" ca="1" si="466"/>
        <v>500</v>
      </c>
      <c r="XL20" s="18">
        <f t="shared" ca="1" si="320"/>
        <v>1</v>
      </c>
      <c r="XN20">
        <v>0.25</v>
      </c>
      <c r="XO20" s="103">
        <f t="shared" ca="1" si="467"/>
        <v>118.69449821439625</v>
      </c>
      <c r="XP20" s="12">
        <f t="shared" ca="1" si="468"/>
        <v>356.08349464318871</v>
      </c>
      <c r="XQ20" s="102">
        <f t="shared" ca="1" si="469"/>
        <v>0.71216698928637745</v>
      </c>
    </row>
    <row r="21" spans="1:641" x14ac:dyDescent="0.25">
      <c r="A21" s="112"/>
      <c r="B21" t="s">
        <v>50</v>
      </c>
      <c r="C21" t="s">
        <v>32</v>
      </c>
      <c r="D21" s="79">
        <v>0</v>
      </c>
      <c r="E21" t="b">
        <v>1</v>
      </c>
      <c r="H21" s="48">
        <v>0</v>
      </c>
      <c r="I21" s="48"/>
      <c r="J21" s="48"/>
      <c r="K21" s="48">
        <v>0</v>
      </c>
      <c r="L21" s="95">
        <v>0</v>
      </c>
      <c r="M21" s="48"/>
      <c r="N21" s="96"/>
      <c r="O21" s="48"/>
      <c r="P21" s="48"/>
      <c r="Q21" s="96"/>
      <c r="R21" s="48"/>
      <c r="S21" s="48"/>
      <c r="T21" s="48"/>
      <c r="U21" s="48"/>
      <c r="V21" s="48"/>
      <c r="W21" s="48"/>
      <c r="X21" s="48"/>
      <c r="Y21" s="48"/>
      <c r="Z21" s="48">
        <f t="shared" si="321"/>
        <v>0</v>
      </c>
      <c r="AA21" s="98" t="str">
        <f t="shared" si="0"/>
        <v>NA</v>
      </c>
      <c r="AC21" s="11">
        <f t="shared" si="1"/>
        <v>0</v>
      </c>
      <c r="AD21" s="11">
        <f ca="1">INDEX(Totals[[#Data],[#Totals],[Car - Note]:[NONTRACKED]],MATCH(AC$1,Totals[Date],0),MATCH($C21,Totals[[#Headers],[Car - Note]:[NONTRACKED]],0))</f>
        <v>0</v>
      </c>
      <c r="AE21" s="11">
        <f t="shared" ca="1" si="322"/>
        <v>0</v>
      </c>
      <c r="AF21" s="11">
        <v>0</v>
      </c>
      <c r="AG21" s="11">
        <v>0</v>
      </c>
      <c r="AH21" s="11" t="b">
        <f t="shared" ca="1" si="323"/>
        <v>1</v>
      </c>
      <c r="AI21" s="92">
        <f t="shared" si="2"/>
        <v>1</v>
      </c>
      <c r="AJ21" s="11">
        <f t="shared" ca="1" si="3"/>
        <v>0</v>
      </c>
      <c r="AK21" s="11">
        <f t="shared" ca="1" si="324"/>
        <v>0</v>
      </c>
      <c r="AL21" s="92">
        <f t="shared" si="4"/>
        <v>0</v>
      </c>
      <c r="AM21" s="11">
        <f t="shared" ca="1" si="5"/>
        <v>0</v>
      </c>
      <c r="AN21" s="11">
        <f t="shared" ca="1" si="6"/>
        <v>0</v>
      </c>
      <c r="AO21" s="11">
        <f t="shared" ca="1" si="325"/>
        <v>0</v>
      </c>
      <c r="AP21" s="11">
        <f t="shared" ca="1" si="7"/>
        <v>0</v>
      </c>
      <c r="AQ21" s="11">
        <f t="shared" ca="1" si="8"/>
        <v>0</v>
      </c>
      <c r="AR21" s="11" t="str">
        <f t="shared" si="9"/>
        <v>NA</v>
      </c>
      <c r="AS21" s="12">
        <f t="shared" ca="1" si="10"/>
        <v>0</v>
      </c>
      <c r="AT21" s="12"/>
      <c r="AU21" s="12">
        <f t="shared" ca="1" si="326"/>
        <v>0</v>
      </c>
      <c r="AV21" s="18" t="str">
        <f t="shared" si="11"/>
        <v>NA</v>
      </c>
      <c r="AX21" s="13">
        <f t="shared" ca="1" si="12"/>
        <v>0</v>
      </c>
      <c r="AY21" s="13">
        <f ca="1">INDEX(Totals[[#Data],[#Totals],[Car - Note]:[NONTRACKED]],MATCH(AX$1,Totals[Date],0),MATCH($C21,Totals[[#Headers],[Car - Note]:[NONTRACKED]],0))</f>
        <v>0</v>
      </c>
      <c r="AZ21" s="13">
        <f t="shared" ca="1" si="327"/>
        <v>0</v>
      </c>
      <c r="BA21" s="13">
        <v>0</v>
      </c>
      <c r="BB21" s="13">
        <v>0</v>
      </c>
      <c r="BC21" s="13" t="b">
        <f t="shared" ca="1" si="328"/>
        <v>1</v>
      </c>
      <c r="BD21" s="94">
        <f t="shared" si="13"/>
        <v>1</v>
      </c>
      <c r="BE21" s="13">
        <f t="shared" ca="1" si="14"/>
        <v>0</v>
      </c>
      <c r="BF21" s="13">
        <f t="shared" ca="1" si="329"/>
        <v>0</v>
      </c>
      <c r="BG21" s="94">
        <f t="shared" si="15"/>
        <v>0</v>
      </c>
      <c r="BH21" s="13">
        <f t="shared" ca="1" si="16"/>
        <v>0</v>
      </c>
      <c r="BI21" s="13">
        <f t="shared" ca="1" si="17"/>
        <v>0</v>
      </c>
      <c r="BJ21" s="13">
        <f t="shared" ca="1" si="330"/>
        <v>0</v>
      </c>
      <c r="BK21" s="13">
        <f t="shared" ca="1" si="18"/>
        <v>0</v>
      </c>
      <c r="BL21" s="13">
        <f t="shared" ca="1" si="19"/>
        <v>0</v>
      </c>
      <c r="BM21" s="13" t="str">
        <f t="shared" si="20"/>
        <v>NA</v>
      </c>
      <c r="BN21" s="12">
        <f t="shared" ca="1" si="21"/>
        <v>0</v>
      </c>
      <c r="BO21" s="12"/>
      <c r="BP21" s="12">
        <f t="shared" ca="1" si="331"/>
        <v>0</v>
      </c>
      <c r="BQ21" s="18" t="str">
        <f t="shared" si="22"/>
        <v>NA</v>
      </c>
      <c r="BS21" s="19">
        <f t="shared" ca="1" si="23"/>
        <v>0</v>
      </c>
      <c r="BT21" s="19">
        <f ca="1">INDEX(Totals[[#Data],[#Totals],[Car - Note]:[NONTRACKED]],MATCH(BS$1,Totals[Date],0),MATCH($C21,Totals[[#Headers],[Car - Note]:[NONTRACKED]],0))</f>
        <v>0</v>
      </c>
      <c r="BU21" s="19">
        <f t="shared" ca="1" si="332"/>
        <v>0</v>
      </c>
      <c r="BV21" s="19">
        <v>0</v>
      </c>
      <c r="BW21" s="19">
        <v>0</v>
      </c>
      <c r="BX21" s="19" t="b">
        <f t="shared" ca="1" si="333"/>
        <v>1</v>
      </c>
      <c r="BY21" s="100">
        <f t="shared" si="24"/>
        <v>1</v>
      </c>
      <c r="BZ21" s="19">
        <f t="shared" ca="1" si="25"/>
        <v>0</v>
      </c>
      <c r="CA21" s="19">
        <f t="shared" ca="1" si="334"/>
        <v>0</v>
      </c>
      <c r="CB21" s="100">
        <f t="shared" si="26"/>
        <v>0</v>
      </c>
      <c r="CC21" s="19">
        <f t="shared" ca="1" si="27"/>
        <v>0</v>
      </c>
      <c r="CD21" s="19">
        <f t="shared" ca="1" si="28"/>
        <v>0</v>
      </c>
      <c r="CE21" s="19">
        <f t="shared" ca="1" si="335"/>
        <v>0</v>
      </c>
      <c r="CF21" s="19">
        <f t="shared" ca="1" si="29"/>
        <v>0</v>
      </c>
      <c r="CG21" s="19">
        <f t="shared" ca="1" si="30"/>
        <v>0</v>
      </c>
      <c r="CH21" s="19" t="str">
        <f t="shared" si="31"/>
        <v>NA</v>
      </c>
      <c r="CI21" s="12">
        <f t="shared" ca="1" si="32"/>
        <v>0</v>
      </c>
      <c r="CJ21" s="12"/>
      <c r="CK21" s="12">
        <f t="shared" ca="1" si="336"/>
        <v>0</v>
      </c>
      <c r="CL21" s="18" t="str">
        <f t="shared" si="33"/>
        <v>NA</v>
      </c>
      <c r="CN21" s="11">
        <f t="shared" ca="1" si="34"/>
        <v>0</v>
      </c>
      <c r="CO21" s="11">
        <f ca="1">INDEX(Totals[[#Data],[#Totals],[Car - Note]:[NONTRACKED]],MATCH(CN$1,Totals[Date],0),MATCH($C21,Totals[[#Headers],[Car - Note]:[NONTRACKED]],0))</f>
        <v>0</v>
      </c>
      <c r="CP21" s="11">
        <f t="shared" ca="1" si="337"/>
        <v>0</v>
      </c>
      <c r="CQ21" s="11">
        <v>0</v>
      </c>
      <c r="CR21" s="11">
        <v>0</v>
      </c>
      <c r="CS21" s="11" t="b">
        <f t="shared" ca="1" si="338"/>
        <v>1</v>
      </c>
      <c r="CT21" s="92">
        <f t="shared" si="35"/>
        <v>1</v>
      </c>
      <c r="CU21" s="11">
        <f t="shared" ca="1" si="36"/>
        <v>0</v>
      </c>
      <c r="CV21" s="11">
        <f t="shared" ca="1" si="339"/>
        <v>0</v>
      </c>
      <c r="CW21" s="92">
        <f t="shared" si="37"/>
        <v>0</v>
      </c>
      <c r="CX21" s="11">
        <f t="shared" ca="1" si="38"/>
        <v>0</v>
      </c>
      <c r="CY21" s="11">
        <f t="shared" ca="1" si="39"/>
        <v>0</v>
      </c>
      <c r="CZ21" s="11">
        <f t="shared" ca="1" si="340"/>
        <v>0</v>
      </c>
      <c r="DA21" s="11">
        <f t="shared" ca="1" si="40"/>
        <v>0</v>
      </c>
      <c r="DB21" s="11">
        <f t="shared" ca="1" si="41"/>
        <v>0</v>
      </c>
      <c r="DC21" s="11" t="str">
        <f t="shared" si="42"/>
        <v>NA</v>
      </c>
      <c r="DD21" s="12">
        <f t="shared" ca="1" si="43"/>
        <v>0</v>
      </c>
      <c r="DE21" s="79"/>
      <c r="DF21" s="12">
        <f t="shared" ca="1" si="341"/>
        <v>0</v>
      </c>
      <c r="DG21" s="18" t="str">
        <f t="shared" si="44"/>
        <v>NA</v>
      </c>
      <c r="DI21" s="13">
        <f t="shared" ca="1" si="45"/>
        <v>0</v>
      </c>
      <c r="DJ21" s="13">
        <f ca="1">INDEX(Totals[[#Data],[#Totals],[Car - Note]:[NONTRACKED]],MATCH(DI$1,Totals[Date],0),MATCH($C21,Totals[[#Headers],[Car - Note]:[NONTRACKED]],0))</f>
        <v>0</v>
      </c>
      <c r="DK21" s="13">
        <f t="shared" ca="1" si="342"/>
        <v>0</v>
      </c>
      <c r="DL21" s="13">
        <v>0</v>
      </c>
      <c r="DM21" s="13">
        <v>0</v>
      </c>
      <c r="DN21" s="13" t="b">
        <f t="shared" ca="1" si="343"/>
        <v>1</v>
      </c>
      <c r="DO21" s="94">
        <f t="shared" si="46"/>
        <v>1</v>
      </c>
      <c r="DP21" s="13">
        <f t="shared" ca="1" si="47"/>
        <v>0</v>
      </c>
      <c r="DQ21" s="13">
        <f t="shared" ca="1" si="344"/>
        <v>0</v>
      </c>
      <c r="DR21" s="94">
        <f t="shared" si="48"/>
        <v>0</v>
      </c>
      <c r="DS21" s="13">
        <f t="shared" ca="1" si="49"/>
        <v>0</v>
      </c>
      <c r="DT21" s="13">
        <f t="shared" ca="1" si="50"/>
        <v>0</v>
      </c>
      <c r="DU21" s="13">
        <f t="shared" ca="1" si="345"/>
        <v>0</v>
      </c>
      <c r="DV21" s="13">
        <f t="shared" ca="1" si="51"/>
        <v>0</v>
      </c>
      <c r="DW21" s="13">
        <f t="shared" ca="1" si="52"/>
        <v>0</v>
      </c>
      <c r="DX21" s="13" t="str">
        <f t="shared" si="53"/>
        <v>NA</v>
      </c>
      <c r="DY21" s="12">
        <f t="shared" ca="1" si="54"/>
        <v>0</v>
      </c>
      <c r="DZ21" s="79"/>
      <c r="EA21" s="12">
        <f t="shared" ca="1" si="346"/>
        <v>0</v>
      </c>
      <c r="EB21" s="18" t="str">
        <f t="shared" si="55"/>
        <v>NA</v>
      </c>
      <c r="ED21" s="19">
        <f t="shared" ca="1" si="56"/>
        <v>0</v>
      </c>
      <c r="EE21" s="19">
        <f ca="1">INDEX(Totals[[#Data],[#Totals],[Car - Note]:[NONTRACKED]],MATCH(ED$1,Totals[Date],0),MATCH($C21,Totals[[#Headers],[Car - Note]:[NONTRACKED]],0))</f>
        <v>0</v>
      </c>
      <c r="EF21" s="19">
        <f t="shared" ca="1" si="347"/>
        <v>0</v>
      </c>
      <c r="EG21" s="19">
        <v>0</v>
      </c>
      <c r="EH21" s="19">
        <v>0</v>
      </c>
      <c r="EI21" s="19" t="b">
        <f t="shared" ca="1" si="348"/>
        <v>1</v>
      </c>
      <c r="EJ21" s="100">
        <f t="shared" si="57"/>
        <v>1</v>
      </c>
      <c r="EK21" s="19">
        <f t="shared" ca="1" si="58"/>
        <v>0</v>
      </c>
      <c r="EL21" s="19">
        <f t="shared" ca="1" si="349"/>
        <v>0</v>
      </c>
      <c r="EM21" s="100">
        <f t="shared" si="59"/>
        <v>0</v>
      </c>
      <c r="EN21" s="19">
        <f t="shared" ca="1" si="60"/>
        <v>0</v>
      </c>
      <c r="EO21" s="19">
        <f t="shared" ca="1" si="61"/>
        <v>0</v>
      </c>
      <c r="EP21" s="19">
        <f t="shared" ca="1" si="350"/>
        <v>0</v>
      </c>
      <c r="EQ21" s="19">
        <f t="shared" ca="1" si="62"/>
        <v>0</v>
      </c>
      <c r="ER21" s="19">
        <f t="shared" ca="1" si="63"/>
        <v>0</v>
      </c>
      <c r="ES21" s="19" t="str">
        <f t="shared" si="64"/>
        <v>NA</v>
      </c>
      <c r="ET21" s="12">
        <f t="shared" ca="1" si="65"/>
        <v>0</v>
      </c>
      <c r="EU21" s="79"/>
      <c r="EV21" s="12">
        <f t="shared" ca="1" si="351"/>
        <v>0</v>
      </c>
      <c r="EW21" s="18" t="str">
        <f t="shared" si="66"/>
        <v>NA</v>
      </c>
      <c r="EY21" s="11">
        <f t="shared" ca="1" si="67"/>
        <v>0</v>
      </c>
      <c r="EZ21" s="11">
        <f ca="1">INDEX(Totals[[#Data],[#Totals],[Car - Note]:[NONTRACKED]],MATCH(EY$1,Totals[Date],0),MATCH($C21,Totals[[#Headers],[Car - Note]:[NONTRACKED]],0))</f>
        <v>0</v>
      </c>
      <c r="FA21" s="11">
        <f t="shared" ca="1" si="352"/>
        <v>0</v>
      </c>
      <c r="FB21" s="11">
        <v>0</v>
      </c>
      <c r="FC21" s="11">
        <v>0</v>
      </c>
      <c r="FD21" s="11" t="b">
        <f t="shared" ca="1" si="353"/>
        <v>1</v>
      </c>
      <c r="FE21" s="92">
        <f t="shared" si="68"/>
        <v>1</v>
      </c>
      <c r="FF21" s="11">
        <f t="shared" ca="1" si="69"/>
        <v>0</v>
      </c>
      <c r="FG21" s="11">
        <f t="shared" ca="1" si="354"/>
        <v>0</v>
      </c>
      <c r="FH21" s="92">
        <f t="shared" si="70"/>
        <v>0</v>
      </c>
      <c r="FI21" s="11">
        <f t="shared" ca="1" si="71"/>
        <v>0</v>
      </c>
      <c r="FJ21" s="11">
        <f t="shared" ca="1" si="72"/>
        <v>0</v>
      </c>
      <c r="FK21" s="11">
        <f t="shared" ca="1" si="355"/>
        <v>0</v>
      </c>
      <c r="FL21" s="11">
        <f t="shared" ca="1" si="73"/>
        <v>0</v>
      </c>
      <c r="FM21" s="11">
        <f t="shared" ca="1" si="74"/>
        <v>0</v>
      </c>
      <c r="FN21" s="11" t="str">
        <f t="shared" si="75"/>
        <v>NA</v>
      </c>
      <c r="FO21" s="12">
        <f t="shared" ca="1" si="76"/>
        <v>0</v>
      </c>
      <c r="FP21" s="79"/>
      <c r="FQ21" s="12">
        <f t="shared" ca="1" si="356"/>
        <v>0</v>
      </c>
      <c r="FR21" s="18" t="str">
        <f t="shared" si="77"/>
        <v>NA</v>
      </c>
      <c r="FT21" s="13">
        <f t="shared" ca="1" si="78"/>
        <v>0</v>
      </c>
      <c r="FU21" s="13">
        <f ca="1">INDEX(Totals[[#Data],[#Totals],[Car - Note]:[NONTRACKED]],MATCH(FT$1,Totals[Date],0),MATCH($C21,Totals[[#Headers],[Car - Note]:[NONTRACKED]],0))</f>
        <v>0</v>
      </c>
      <c r="FV21" s="13">
        <f t="shared" ca="1" si="357"/>
        <v>0</v>
      </c>
      <c r="FW21" s="13">
        <v>0</v>
      </c>
      <c r="FX21" s="13">
        <v>0</v>
      </c>
      <c r="FY21" s="13" t="b">
        <f t="shared" ca="1" si="358"/>
        <v>1</v>
      </c>
      <c r="FZ21" s="94">
        <f t="shared" si="79"/>
        <v>1</v>
      </c>
      <c r="GA21" s="13">
        <f t="shared" ca="1" si="80"/>
        <v>0</v>
      </c>
      <c r="GB21" s="13">
        <f t="shared" ca="1" si="359"/>
        <v>0</v>
      </c>
      <c r="GC21" s="94">
        <f t="shared" si="81"/>
        <v>0</v>
      </c>
      <c r="GD21" s="13">
        <f t="shared" ca="1" si="82"/>
        <v>0</v>
      </c>
      <c r="GE21" s="13">
        <f t="shared" ca="1" si="83"/>
        <v>0</v>
      </c>
      <c r="GF21" s="13">
        <f t="shared" ca="1" si="360"/>
        <v>0</v>
      </c>
      <c r="GG21" s="13">
        <f t="shared" ca="1" si="84"/>
        <v>0</v>
      </c>
      <c r="GH21" s="13">
        <f t="shared" ca="1" si="85"/>
        <v>0</v>
      </c>
      <c r="GI21" s="13" t="str">
        <f t="shared" si="86"/>
        <v>NA</v>
      </c>
      <c r="GJ21" s="12">
        <f t="shared" ca="1" si="87"/>
        <v>0</v>
      </c>
      <c r="GK21" s="79"/>
      <c r="GL21" s="12">
        <f t="shared" ca="1" si="361"/>
        <v>0</v>
      </c>
      <c r="GM21" s="18" t="str">
        <f t="shared" si="88"/>
        <v>NA</v>
      </c>
      <c r="GO21" s="19">
        <f t="shared" ca="1" si="89"/>
        <v>0</v>
      </c>
      <c r="GP21" s="19">
        <f ca="1">INDEX(Totals[[#Data],[#Totals],[Car - Note]:[NONTRACKED]],MATCH(GO$1,Totals[Date],0),MATCH($C21,Totals[[#Headers],[Car - Note]:[NONTRACKED]],0))</f>
        <v>0</v>
      </c>
      <c r="GQ21" s="19">
        <f t="shared" ca="1" si="362"/>
        <v>0</v>
      </c>
      <c r="GR21" s="19">
        <v>0</v>
      </c>
      <c r="GS21" s="19">
        <v>0</v>
      </c>
      <c r="GT21" s="19" t="b">
        <f t="shared" ca="1" si="363"/>
        <v>1</v>
      </c>
      <c r="GU21" s="100">
        <f t="shared" si="90"/>
        <v>1</v>
      </c>
      <c r="GV21" s="19">
        <f t="shared" ca="1" si="91"/>
        <v>0</v>
      </c>
      <c r="GW21" s="19">
        <f t="shared" ca="1" si="364"/>
        <v>0</v>
      </c>
      <c r="GX21" s="100">
        <f t="shared" si="92"/>
        <v>0</v>
      </c>
      <c r="GY21" s="19">
        <f t="shared" ca="1" si="93"/>
        <v>0</v>
      </c>
      <c r="GZ21" s="19">
        <f t="shared" ca="1" si="94"/>
        <v>0</v>
      </c>
      <c r="HA21" s="19">
        <f t="shared" ca="1" si="365"/>
        <v>0</v>
      </c>
      <c r="HB21" s="19">
        <f t="shared" ca="1" si="95"/>
        <v>0</v>
      </c>
      <c r="HC21" s="19">
        <f t="shared" ca="1" si="96"/>
        <v>0</v>
      </c>
      <c r="HD21" s="19" t="str">
        <f t="shared" si="97"/>
        <v>NA</v>
      </c>
      <c r="HE21" s="12">
        <f t="shared" ca="1" si="98"/>
        <v>0</v>
      </c>
      <c r="HF21" s="79"/>
      <c r="HG21" s="12">
        <f t="shared" ca="1" si="366"/>
        <v>0</v>
      </c>
      <c r="HH21" s="18" t="str">
        <f t="shared" si="99"/>
        <v>NA</v>
      </c>
      <c r="HJ21" s="11">
        <f t="shared" ca="1" si="100"/>
        <v>0</v>
      </c>
      <c r="HK21" s="11">
        <f ca="1">INDEX(Totals[[#Data],[#Totals],[Car - Note]:[NONTRACKED]],MATCH(HJ$1,Totals[Date],0),MATCH($C21,Totals[[#Headers],[Car - Note]:[NONTRACKED]],0))</f>
        <v>0</v>
      </c>
      <c r="HL21" s="11">
        <f t="shared" ca="1" si="367"/>
        <v>0</v>
      </c>
      <c r="HM21" s="11">
        <v>0</v>
      </c>
      <c r="HN21" s="11">
        <v>0</v>
      </c>
      <c r="HO21" s="11" t="b">
        <f t="shared" ca="1" si="368"/>
        <v>1</v>
      </c>
      <c r="HP21" s="92">
        <f t="shared" si="101"/>
        <v>1</v>
      </c>
      <c r="HQ21" s="11">
        <f t="shared" ca="1" si="102"/>
        <v>0</v>
      </c>
      <c r="HR21" s="11">
        <f t="shared" ca="1" si="369"/>
        <v>0</v>
      </c>
      <c r="HS21" s="92">
        <f t="shared" si="103"/>
        <v>0</v>
      </c>
      <c r="HT21" s="11">
        <f t="shared" ca="1" si="104"/>
        <v>0</v>
      </c>
      <c r="HU21" s="11">
        <f t="shared" ca="1" si="105"/>
        <v>0</v>
      </c>
      <c r="HV21" s="11">
        <f t="shared" ca="1" si="370"/>
        <v>0</v>
      </c>
      <c r="HW21" s="11">
        <f t="shared" ca="1" si="106"/>
        <v>0</v>
      </c>
      <c r="HX21" s="11">
        <f t="shared" ca="1" si="107"/>
        <v>0</v>
      </c>
      <c r="HY21" s="11" t="str">
        <f t="shared" si="108"/>
        <v>NA</v>
      </c>
      <c r="HZ21" s="12">
        <f t="shared" ca="1" si="109"/>
        <v>0</v>
      </c>
      <c r="IA21" s="79"/>
      <c r="IB21" s="12">
        <f t="shared" ca="1" si="371"/>
        <v>0</v>
      </c>
      <c r="IC21" s="18" t="str">
        <f t="shared" si="110"/>
        <v>NA</v>
      </c>
      <c r="IE21" s="13">
        <f t="shared" ca="1" si="111"/>
        <v>0</v>
      </c>
      <c r="IF21" s="13">
        <f ca="1">INDEX(Totals[[#Data],[#Totals],[Car - Note]:[NONTRACKED]],MATCH(IE$1,Totals[Date],0),MATCH($C21,Totals[[#Headers],[Car - Note]:[NONTRACKED]],0))</f>
        <v>0</v>
      </c>
      <c r="IG21" s="13">
        <f t="shared" ca="1" si="372"/>
        <v>0</v>
      </c>
      <c r="IH21" s="13">
        <v>0</v>
      </c>
      <c r="II21" s="13">
        <v>0</v>
      </c>
      <c r="IJ21" s="13" t="b">
        <f t="shared" ca="1" si="373"/>
        <v>1</v>
      </c>
      <c r="IK21" s="94">
        <f t="shared" si="112"/>
        <v>1</v>
      </c>
      <c r="IL21" s="13">
        <f t="shared" ca="1" si="113"/>
        <v>0</v>
      </c>
      <c r="IM21" s="13">
        <f t="shared" ca="1" si="374"/>
        <v>0</v>
      </c>
      <c r="IN21" s="94">
        <f t="shared" si="114"/>
        <v>0</v>
      </c>
      <c r="IO21" s="13">
        <f t="shared" ca="1" si="115"/>
        <v>0</v>
      </c>
      <c r="IP21" s="13">
        <f t="shared" ca="1" si="116"/>
        <v>0</v>
      </c>
      <c r="IQ21" s="13">
        <f t="shared" ca="1" si="375"/>
        <v>0</v>
      </c>
      <c r="IR21" s="13">
        <f t="shared" ca="1" si="117"/>
        <v>0</v>
      </c>
      <c r="IS21" s="13">
        <f t="shared" ca="1" si="118"/>
        <v>0</v>
      </c>
      <c r="IT21" s="13" t="str">
        <f t="shared" si="119"/>
        <v>NA</v>
      </c>
      <c r="IU21" s="12">
        <f t="shared" ca="1" si="120"/>
        <v>0</v>
      </c>
      <c r="IV21" s="79"/>
      <c r="IW21" s="12">
        <f t="shared" ca="1" si="376"/>
        <v>0</v>
      </c>
      <c r="IX21" s="18" t="str">
        <f t="shared" si="121"/>
        <v>NA</v>
      </c>
      <c r="IZ21" s="19">
        <f t="shared" ca="1" si="122"/>
        <v>0</v>
      </c>
      <c r="JA21" s="19">
        <f ca="1">INDEX(Totals[[#Data],[#Totals],[Car - Note]:[NONTRACKED]],MATCH(IZ$1,Totals[Date],0),MATCH($C21,Totals[[#Headers],[Car - Note]:[NONTRACKED]],0))</f>
        <v>0</v>
      </c>
      <c r="JB21" s="19">
        <f t="shared" ca="1" si="377"/>
        <v>0</v>
      </c>
      <c r="JC21" s="19">
        <v>0</v>
      </c>
      <c r="JD21" s="19">
        <v>0</v>
      </c>
      <c r="JE21" s="19" t="b">
        <f t="shared" ca="1" si="378"/>
        <v>1</v>
      </c>
      <c r="JF21" s="100">
        <f t="shared" si="123"/>
        <v>1</v>
      </c>
      <c r="JG21" s="19">
        <f t="shared" ca="1" si="124"/>
        <v>0</v>
      </c>
      <c r="JH21" s="19">
        <f t="shared" ca="1" si="379"/>
        <v>0</v>
      </c>
      <c r="JI21" s="100">
        <f t="shared" si="125"/>
        <v>0</v>
      </c>
      <c r="JJ21" s="19">
        <f t="shared" ca="1" si="126"/>
        <v>0</v>
      </c>
      <c r="JK21" s="19">
        <f t="shared" ca="1" si="127"/>
        <v>0</v>
      </c>
      <c r="JL21" s="19">
        <f t="shared" ca="1" si="380"/>
        <v>0</v>
      </c>
      <c r="JM21" s="19">
        <f t="shared" ca="1" si="128"/>
        <v>0</v>
      </c>
      <c r="JN21" s="19">
        <f t="shared" ca="1" si="129"/>
        <v>0</v>
      </c>
      <c r="JO21" s="19" t="str">
        <f t="shared" si="130"/>
        <v>NA</v>
      </c>
      <c r="JP21" s="12">
        <f t="shared" ca="1" si="131"/>
        <v>0</v>
      </c>
      <c r="JQ21" s="79"/>
      <c r="JR21" s="12">
        <f t="shared" ca="1" si="381"/>
        <v>0</v>
      </c>
      <c r="JS21" s="18" t="str">
        <f t="shared" si="132"/>
        <v>NA</v>
      </c>
      <c r="JU21" s="11">
        <f t="shared" ca="1" si="133"/>
        <v>0</v>
      </c>
      <c r="JV21" s="11">
        <f ca="1">INDEX(Totals[[#Data],[#Totals],[Car - Note]:[NONTRACKED]],MATCH(JU$1,Totals[Date],0),MATCH($C21,Totals[[#Headers],[Car - Note]:[NONTRACKED]],0))</f>
        <v>0</v>
      </c>
      <c r="JW21" s="11">
        <f t="shared" ca="1" si="382"/>
        <v>0</v>
      </c>
      <c r="JX21" s="11">
        <v>0</v>
      </c>
      <c r="JY21" s="11">
        <v>0</v>
      </c>
      <c r="JZ21" s="11" t="b">
        <f t="shared" ca="1" si="383"/>
        <v>1</v>
      </c>
      <c r="KA21" s="92">
        <f t="shared" si="134"/>
        <v>1</v>
      </c>
      <c r="KB21" s="11">
        <f t="shared" ca="1" si="135"/>
        <v>0</v>
      </c>
      <c r="KC21" s="11">
        <f t="shared" ca="1" si="384"/>
        <v>0</v>
      </c>
      <c r="KD21" s="92">
        <f t="shared" si="136"/>
        <v>0</v>
      </c>
      <c r="KE21" s="11">
        <f t="shared" ca="1" si="137"/>
        <v>0</v>
      </c>
      <c r="KF21" s="11">
        <f t="shared" ca="1" si="138"/>
        <v>0</v>
      </c>
      <c r="KG21" s="11">
        <f t="shared" ca="1" si="385"/>
        <v>0</v>
      </c>
      <c r="KH21" s="11">
        <f t="shared" ca="1" si="139"/>
        <v>0</v>
      </c>
      <c r="KI21" s="11">
        <f t="shared" ca="1" si="140"/>
        <v>0</v>
      </c>
      <c r="KJ21" s="11" t="str">
        <f t="shared" si="141"/>
        <v>NA</v>
      </c>
      <c r="KK21" s="12">
        <f t="shared" ca="1" si="142"/>
        <v>0</v>
      </c>
      <c r="KL21" s="79"/>
      <c r="KM21" s="12">
        <f t="shared" ca="1" si="386"/>
        <v>0</v>
      </c>
      <c r="KN21" s="18" t="str">
        <f t="shared" si="143"/>
        <v>NA</v>
      </c>
      <c r="KP21" s="13">
        <f t="shared" ca="1" si="144"/>
        <v>0</v>
      </c>
      <c r="KQ21" s="13">
        <f ca="1">INDEX(Totals[[#Data],[#Totals],[Car - Note]:[NONTRACKED]],MATCH(KP$1,Totals[Date],0),MATCH($C21,Totals[[#Headers],[Car - Note]:[NONTRACKED]],0))</f>
        <v>0</v>
      </c>
      <c r="KR21" s="13">
        <f t="shared" ca="1" si="387"/>
        <v>0</v>
      </c>
      <c r="KS21" s="13">
        <v>0</v>
      </c>
      <c r="KT21" s="13">
        <v>0</v>
      </c>
      <c r="KU21" s="13" t="b">
        <f t="shared" ca="1" si="388"/>
        <v>1</v>
      </c>
      <c r="KV21" s="94">
        <f t="shared" si="145"/>
        <v>1</v>
      </c>
      <c r="KW21" s="13">
        <f t="shared" ca="1" si="146"/>
        <v>0</v>
      </c>
      <c r="KX21" s="13">
        <f t="shared" ca="1" si="389"/>
        <v>0</v>
      </c>
      <c r="KY21" s="94">
        <f t="shared" si="147"/>
        <v>0</v>
      </c>
      <c r="KZ21" s="13">
        <f t="shared" ca="1" si="148"/>
        <v>0</v>
      </c>
      <c r="LA21" s="13">
        <f t="shared" ca="1" si="149"/>
        <v>0</v>
      </c>
      <c r="LB21" s="13">
        <f t="shared" ca="1" si="390"/>
        <v>0</v>
      </c>
      <c r="LC21" s="13">
        <f t="shared" ca="1" si="150"/>
        <v>0</v>
      </c>
      <c r="LD21" s="13">
        <f t="shared" ca="1" si="151"/>
        <v>0</v>
      </c>
      <c r="LE21" s="13" t="str">
        <f t="shared" si="152"/>
        <v>NA</v>
      </c>
      <c r="LF21" s="12">
        <f t="shared" ca="1" si="153"/>
        <v>0</v>
      </c>
      <c r="LG21" s="79"/>
      <c r="LH21" s="12">
        <f t="shared" ca="1" si="391"/>
        <v>0</v>
      </c>
      <c r="LI21" s="18" t="str">
        <f t="shared" si="154"/>
        <v>NA</v>
      </c>
      <c r="LK21" s="19">
        <f t="shared" ca="1" si="155"/>
        <v>0</v>
      </c>
      <c r="LL21" s="19">
        <f ca="1">INDEX(Totals[[#Data],[#Totals],[Car - Note]:[NONTRACKED]],MATCH(LK$1,Totals[Date],0),MATCH($C21,Totals[[#Headers],[Car - Note]:[NONTRACKED]],0))</f>
        <v>0</v>
      </c>
      <c r="LM21" s="19">
        <f t="shared" ca="1" si="392"/>
        <v>0</v>
      </c>
      <c r="LN21" s="19">
        <v>0</v>
      </c>
      <c r="LO21" s="19">
        <v>0</v>
      </c>
      <c r="LP21" s="19" t="b">
        <f t="shared" ca="1" si="393"/>
        <v>1</v>
      </c>
      <c r="LQ21" s="100">
        <f t="shared" si="156"/>
        <v>1</v>
      </c>
      <c r="LR21" s="19">
        <f t="shared" ca="1" si="157"/>
        <v>0</v>
      </c>
      <c r="LS21" s="19">
        <f t="shared" ca="1" si="394"/>
        <v>0</v>
      </c>
      <c r="LT21" s="100">
        <f t="shared" si="158"/>
        <v>0</v>
      </c>
      <c r="LU21" s="19">
        <f t="shared" ca="1" si="159"/>
        <v>0</v>
      </c>
      <c r="LV21" s="19">
        <f t="shared" ca="1" si="160"/>
        <v>0</v>
      </c>
      <c r="LW21" s="19">
        <f t="shared" ca="1" si="395"/>
        <v>0</v>
      </c>
      <c r="LX21" s="19">
        <f t="shared" ca="1" si="161"/>
        <v>0</v>
      </c>
      <c r="LY21" s="19">
        <f t="shared" ca="1" si="162"/>
        <v>0</v>
      </c>
      <c r="LZ21" s="19" t="str">
        <f t="shared" si="163"/>
        <v>NA</v>
      </c>
      <c r="MA21" s="12">
        <f t="shared" ca="1" si="164"/>
        <v>0</v>
      </c>
      <c r="MB21" s="79"/>
      <c r="MC21" s="12">
        <f t="shared" ca="1" si="396"/>
        <v>0</v>
      </c>
      <c r="MD21" s="18" t="str">
        <f t="shared" si="165"/>
        <v>NA</v>
      </c>
      <c r="MF21" s="11">
        <f t="shared" ca="1" si="166"/>
        <v>0</v>
      </c>
      <c r="MG21" s="11">
        <f ca="1">INDEX(Totals[[#Data],[#Totals],[Car - Note]:[NONTRACKED]],MATCH(MF$1,Totals[Date],0),MATCH($C21,Totals[[#Headers],[Car - Note]:[NONTRACKED]],0))</f>
        <v>0</v>
      </c>
      <c r="MH21" s="11">
        <f t="shared" ca="1" si="397"/>
        <v>0</v>
      </c>
      <c r="MI21" s="11">
        <v>0</v>
      </c>
      <c r="MJ21" s="11">
        <v>0</v>
      </c>
      <c r="MK21" s="11" t="b">
        <f t="shared" ca="1" si="398"/>
        <v>1</v>
      </c>
      <c r="ML21" s="92">
        <f t="shared" si="167"/>
        <v>1</v>
      </c>
      <c r="MM21" s="11">
        <f t="shared" ca="1" si="168"/>
        <v>0</v>
      </c>
      <c r="MN21" s="11">
        <f t="shared" ca="1" si="399"/>
        <v>0</v>
      </c>
      <c r="MO21" s="92">
        <f t="shared" si="169"/>
        <v>0</v>
      </c>
      <c r="MP21" s="11">
        <f t="shared" ca="1" si="170"/>
        <v>0</v>
      </c>
      <c r="MQ21" s="11">
        <f t="shared" ca="1" si="171"/>
        <v>0</v>
      </c>
      <c r="MR21" s="11">
        <f t="shared" ca="1" si="400"/>
        <v>0</v>
      </c>
      <c r="MS21" s="11">
        <f t="shared" ca="1" si="172"/>
        <v>0</v>
      </c>
      <c r="MT21" s="11">
        <f t="shared" ca="1" si="173"/>
        <v>0</v>
      </c>
      <c r="MU21" s="11" t="str">
        <f t="shared" si="174"/>
        <v>NA</v>
      </c>
      <c r="MV21" s="12">
        <f t="shared" ca="1" si="175"/>
        <v>0</v>
      </c>
      <c r="MW21" s="79"/>
      <c r="MX21" s="12">
        <f t="shared" ca="1" si="401"/>
        <v>0</v>
      </c>
      <c r="MY21" s="18" t="str">
        <f t="shared" si="176"/>
        <v>NA</v>
      </c>
      <c r="NA21" s="13">
        <f t="shared" ca="1" si="177"/>
        <v>0</v>
      </c>
      <c r="NB21" s="13">
        <f ca="1">INDEX(Totals[[#Data],[#Totals],[Car - Note]:[NONTRACKED]],MATCH(NA$1,Totals[Date],0),MATCH($C21,Totals[[#Headers],[Car - Note]:[NONTRACKED]],0))</f>
        <v>0</v>
      </c>
      <c r="NC21" s="13">
        <f t="shared" ca="1" si="402"/>
        <v>0</v>
      </c>
      <c r="ND21" s="13">
        <v>0</v>
      </c>
      <c r="NE21" s="13">
        <v>0</v>
      </c>
      <c r="NF21" s="13" t="b">
        <f t="shared" ca="1" si="403"/>
        <v>1</v>
      </c>
      <c r="NG21" s="94">
        <f t="shared" si="178"/>
        <v>1</v>
      </c>
      <c r="NH21" s="13">
        <f t="shared" ca="1" si="179"/>
        <v>0</v>
      </c>
      <c r="NI21" s="13">
        <f t="shared" ca="1" si="404"/>
        <v>0</v>
      </c>
      <c r="NJ21" s="94">
        <f t="shared" si="180"/>
        <v>0</v>
      </c>
      <c r="NK21" s="13">
        <f t="shared" ca="1" si="181"/>
        <v>0</v>
      </c>
      <c r="NL21" s="13">
        <f t="shared" ca="1" si="182"/>
        <v>0</v>
      </c>
      <c r="NM21" s="13">
        <f t="shared" ca="1" si="405"/>
        <v>0</v>
      </c>
      <c r="NN21" s="13">
        <f t="shared" ca="1" si="183"/>
        <v>0</v>
      </c>
      <c r="NO21" s="13">
        <f t="shared" ca="1" si="184"/>
        <v>0</v>
      </c>
      <c r="NP21" s="13" t="str">
        <f t="shared" si="185"/>
        <v>NA</v>
      </c>
      <c r="NQ21" s="12">
        <f t="shared" ca="1" si="186"/>
        <v>0</v>
      </c>
      <c r="NR21" s="79"/>
      <c r="NS21" s="12">
        <f t="shared" ca="1" si="406"/>
        <v>0</v>
      </c>
      <c r="NT21" s="18" t="str">
        <f t="shared" si="187"/>
        <v>NA</v>
      </c>
      <c r="NV21" s="19">
        <f t="shared" ca="1" si="188"/>
        <v>0</v>
      </c>
      <c r="NW21" s="19">
        <f ca="1">INDEX(Totals[[#Data],[#Totals],[Car - Note]:[NONTRACKED]],MATCH(NV$1,Totals[Date],0),MATCH($C21,Totals[[#Headers],[Car - Note]:[NONTRACKED]],0))</f>
        <v>0</v>
      </c>
      <c r="NX21" s="19">
        <f t="shared" ca="1" si="407"/>
        <v>0</v>
      </c>
      <c r="NY21" s="19">
        <v>0</v>
      </c>
      <c r="NZ21" s="19">
        <v>0</v>
      </c>
      <c r="OA21" s="19" t="b">
        <f t="shared" ca="1" si="408"/>
        <v>1</v>
      </c>
      <c r="OB21" s="100">
        <f t="shared" si="189"/>
        <v>1</v>
      </c>
      <c r="OC21" s="19">
        <f t="shared" ca="1" si="190"/>
        <v>0</v>
      </c>
      <c r="OD21" s="19">
        <f t="shared" ca="1" si="409"/>
        <v>0</v>
      </c>
      <c r="OE21" s="100">
        <f t="shared" si="191"/>
        <v>0</v>
      </c>
      <c r="OF21" s="19">
        <f t="shared" ca="1" si="192"/>
        <v>0</v>
      </c>
      <c r="OG21" s="19">
        <f t="shared" ca="1" si="193"/>
        <v>0</v>
      </c>
      <c r="OH21" s="19">
        <f t="shared" ca="1" si="410"/>
        <v>0</v>
      </c>
      <c r="OI21" s="19">
        <f t="shared" ca="1" si="194"/>
        <v>0</v>
      </c>
      <c r="OJ21" s="19">
        <f t="shared" ca="1" si="195"/>
        <v>0</v>
      </c>
      <c r="OK21" s="19" t="str">
        <f t="shared" si="196"/>
        <v>NA</v>
      </c>
      <c r="OL21" s="12">
        <f t="shared" ca="1" si="197"/>
        <v>0</v>
      </c>
      <c r="OM21" s="79"/>
      <c r="ON21" s="12">
        <f t="shared" ca="1" si="411"/>
        <v>0</v>
      </c>
      <c r="OO21" s="18" t="str">
        <f t="shared" si="198"/>
        <v>NA</v>
      </c>
      <c r="OQ21" s="11">
        <f t="shared" ca="1" si="199"/>
        <v>0</v>
      </c>
      <c r="OR21" s="11">
        <f ca="1">INDEX(Totals[[#Data],[#Totals],[Car - Note]:[NONTRACKED]],MATCH(OQ$1,Totals[Date],0),MATCH($C21,Totals[[#Headers],[Car - Note]:[NONTRACKED]],0))</f>
        <v>0</v>
      </c>
      <c r="OS21" s="11">
        <f t="shared" ca="1" si="412"/>
        <v>0</v>
      </c>
      <c r="OT21" s="11">
        <v>0</v>
      </c>
      <c r="OU21" s="11">
        <v>0</v>
      </c>
      <c r="OV21" s="11" t="b">
        <f t="shared" ca="1" si="413"/>
        <v>1</v>
      </c>
      <c r="OW21" s="92">
        <f t="shared" si="200"/>
        <v>1</v>
      </c>
      <c r="OX21" s="11">
        <f t="shared" ca="1" si="201"/>
        <v>0</v>
      </c>
      <c r="OY21" s="11">
        <f t="shared" ca="1" si="414"/>
        <v>0</v>
      </c>
      <c r="OZ21" s="92">
        <f t="shared" si="202"/>
        <v>0</v>
      </c>
      <c r="PA21" s="11">
        <f t="shared" ca="1" si="203"/>
        <v>0</v>
      </c>
      <c r="PB21" s="11">
        <f t="shared" ca="1" si="204"/>
        <v>0</v>
      </c>
      <c r="PC21" s="11">
        <f t="shared" ca="1" si="415"/>
        <v>0</v>
      </c>
      <c r="PD21" s="11">
        <f t="shared" ca="1" si="205"/>
        <v>0</v>
      </c>
      <c r="PE21" s="11">
        <f t="shared" ca="1" si="206"/>
        <v>0</v>
      </c>
      <c r="PF21" s="11" t="str">
        <f t="shared" si="207"/>
        <v>NA</v>
      </c>
      <c r="PG21" s="12">
        <f t="shared" ca="1" si="208"/>
        <v>0</v>
      </c>
      <c r="PH21" s="79"/>
      <c r="PI21" s="12">
        <f t="shared" ca="1" si="416"/>
        <v>0</v>
      </c>
      <c r="PJ21" s="18" t="str">
        <f t="shared" si="209"/>
        <v>NA</v>
      </c>
      <c r="PL21" s="13">
        <f t="shared" ca="1" si="210"/>
        <v>0</v>
      </c>
      <c r="PM21" s="13">
        <f ca="1">INDEX(Totals[[#Data],[#Totals],[Car - Note]:[NONTRACKED]],MATCH(PL$1,Totals[Date],0),MATCH($C21,Totals[[#Headers],[Car - Note]:[NONTRACKED]],0))</f>
        <v>0</v>
      </c>
      <c r="PN21" s="13">
        <f t="shared" ca="1" si="417"/>
        <v>0</v>
      </c>
      <c r="PO21" s="13">
        <v>0</v>
      </c>
      <c r="PP21" s="13">
        <v>0</v>
      </c>
      <c r="PQ21" s="13" t="b">
        <f t="shared" ca="1" si="418"/>
        <v>1</v>
      </c>
      <c r="PR21" s="94">
        <f t="shared" si="211"/>
        <v>1</v>
      </c>
      <c r="PS21" s="13">
        <f t="shared" ca="1" si="212"/>
        <v>0</v>
      </c>
      <c r="PT21" s="13">
        <f t="shared" ca="1" si="419"/>
        <v>0</v>
      </c>
      <c r="PU21" s="94">
        <f t="shared" si="213"/>
        <v>0</v>
      </c>
      <c r="PV21" s="13">
        <f t="shared" ca="1" si="214"/>
        <v>0</v>
      </c>
      <c r="PW21" s="13">
        <f t="shared" ca="1" si="215"/>
        <v>0</v>
      </c>
      <c r="PX21" s="13">
        <f t="shared" ca="1" si="420"/>
        <v>0</v>
      </c>
      <c r="PY21" s="13">
        <f t="shared" ca="1" si="216"/>
        <v>0</v>
      </c>
      <c r="PZ21" s="13">
        <f t="shared" ca="1" si="217"/>
        <v>0</v>
      </c>
      <c r="QA21" s="13" t="str">
        <f t="shared" si="218"/>
        <v>NA</v>
      </c>
      <c r="QB21" s="12">
        <f t="shared" ca="1" si="219"/>
        <v>0</v>
      </c>
      <c r="QC21" s="79"/>
      <c r="QD21" s="12">
        <f t="shared" ca="1" si="421"/>
        <v>0</v>
      </c>
      <c r="QE21" s="18" t="str">
        <f t="shared" si="220"/>
        <v>NA</v>
      </c>
      <c r="QG21" s="19">
        <f t="shared" ca="1" si="221"/>
        <v>0</v>
      </c>
      <c r="QH21" s="19">
        <f ca="1">INDEX(Totals[[#Data],[#Totals],[Car - Note]:[NONTRACKED]],MATCH(QG$1,Totals[Date],0),MATCH($C21,Totals[[#Headers],[Car - Note]:[NONTRACKED]],0))</f>
        <v>0</v>
      </c>
      <c r="QI21" s="19">
        <f t="shared" ca="1" si="422"/>
        <v>0</v>
      </c>
      <c r="QJ21" s="19">
        <v>0</v>
      </c>
      <c r="QK21" s="19">
        <v>0</v>
      </c>
      <c r="QL21" s="19" t="b">
        <f t="shared" ca="1" si="423"/>
        <v>1</v>
      </c>
      <c r="QM21" s="100">
        <f t="shared" si="222"/>
        <v>1</v>
      </c>
      <c r="QN21" s="19">
        <f t="shared" ca="1" si="223"/>
        <v>0</v>
      </c>
      <c r="QO21" s="19">
        <f t="shared" ca="1" si="424"/>
        <v>0</v>
      </c>
      <c r="QP21" s="100">
        <f t="shared" si="224"/>
        <v>0</v>
      </c>
      <c r="QQ21" s="19">
        <f t="shared" ca="1" si="225"/>
        <v>0</v>
      </c>
      <c r="QR21" s="19">
        <f t="shared" ca="1" si="226"/>
        <v>0</v>
      </c>
      <c r="QS21" s="19">
        <f t="shared" ca="1" si="425"/>
        <v>0</v>
      </c>
      <c r="QT21" s="19">
        <f t="shared" ca="1" si="227"/>
        <v>0</v>
      </c>
      <c r="QU21" s="19">
        <f t="shared" ca="1" si="228"/>
        <v>0</v>
      </c>
      <c r="QV21" s="19" t="str">
        <f t="shared" si="229"/>
        <v>NA</v>
      </c>
      <c r="QW21" s="12">
        <f t="shared" ca="1" si="230"/>
        <v>0</v>
      </c>
      <c r="QX21" s="79"/>
      <c r="QY21" s="12">
        <f t="shared" ca="1" si="426"/>
        <v>0</v>
      </c>
      <c r="QZ21" s="18" t="str">
        <f t="shared" si="231"/>
        <v>NA</v>
      </c>
      <c r="RB21" s="11">
        <f t="shared" ca="1" si="232"/>
        <v>0</v>
      </c>
      <c r="RC21" s="11">
        <f ca="1">INDEX(Totals[[#Data],[#Totals],[Car - Note]:[NONTRACKED]],MATCH(RB$1,Totals[Date],0),MATCH($C21,Totals[[#Headers],[Car - Note]:[NONTRACKED]],0))</f>
        <v>0</v>
      </c>
      <c r="RD21" s="11">
        <f t="shared" ca="1" si="427"/>
        <v>0</v>
      </c>
      <c r="RE21" s="11">
        <v>0</v>
      </c>
      <c r="RF21" s="11">
        <v>0</v>
      </c>
      <c r="RG21" s="11" t="b">
        <f t="shared" ca="1" si="428"/>
        <v>1</v>
      </c>
      <c r="RH21" s="92">
        <f t="shared" si="233"/>
        <v>1</v>
      </c>
      <c r="RI21" s="11">
        <f t="shared" ca="1" si="234"/>
        <v>0</v>
      </c>
      <c r="RJ21" s="11">
        <f t="shared" ca="1" si="429"/>
        <v>0</v>
      </c>
      <c r="RK21" s="92">
        <f t="shared" si="235"/>
        <v>0</v>
      </c>
      <c r="RL21" s="11">
        <f t="shared" ca="1" si="236"/>
        <v>0</v>
      </c>
      <c r="RM21" s="11">
        <f t="shared" ca="1" si="237"/>
        <v>0</v>
      </c>
      <c r="RN21" s="11">
        <f t="shared" ca="1" si="430"/>
        <v>0</v>
      </c>
      <c r="RO21" s="11">
        <f t="shared" ca="1" si="238"/>
        <v>0</v>
      </c>
      <c r="RP21" s="11">
        <f t="shared" ca="1" si="239"/>
        <v>0</v>
      </c>
      <c r="RQ21" s="11" t="str">
        <f t="shared" si="240"/>
        <v>NA</v>
      </c>
      <c r="RR21" s="12">
        <f t="shared" ca="1" si="241"/>
        <v>0</v>
      </c>
      <c r="RS21" s="79"/>
      <c r="RT21" s="12">
        <f t="shared" ca="1" si="431"/>
        <v>0</v>
      </c>
      <c r="RU21" s="18" t="str">
        <f t="shared" si="242"/>
        <v>NA</v>
      </c>
      <c r="RW21" s="13">
        <f t="shared" ca="1" si="243"/>
        <v>0</v>
      </c>
      <c r="RX21" s="13">
        <f ca="1">INDEX(Totals[[#Data],[#Totals],[Car - Note]:[NONTRACKED]],MATCH(RW$1,Totals[Date],0),MATCH($C21,Totals[[#Headers],[Car - Note]:[NONTRACKED]],0))</f>
        <v>0</v>
      </c>
      <c r="RY21" s="13">
        <f t="shared" ca="1" si="432"/>
        <v>0</v>
      </c>
      <c r="RZ21" s="13">
        <v>0</v>
      </c>
      <c r="SA21" s="13">
        <v>0</v>
      </c>
      <c r="SB21" s="13" t="b">
        <f t="shared" ca="1" si="433"/>
        <v>1</v>
      </c>
      <c r="SC21" s="94">
        <f t="shared" si="244"/>
        <v>1</v>
      </c>
      <c r="SD21" s="13">
        <f t="shared" ca="1" si="245"/>
        <v>0</v>
      </c>
      <c r="SE21" s="13">
        <f t="shared" ca="1" si="434"/>
        <v>0</v>
      </c>
      <c r="SF21" s="94">
        <f t="shared" si="246"/>
        <v>0</v>
      </c>
      <c r="SG21" s="13">
        <f t="shared" ca="1" si="247"/>
        <v>0</v>
      </c>
      <c r="SH21" s="13">
        <f t="shared" ca="1" si="248"/>
        <v>0</v>
      </c>
      <c r="SI21" s="13">
        <f t="shared" ca="1" si="435"/>
        <v>0</v>
      </c>
      <c r="SJ21" s="13">
        <f t="shared" ca="1" si="249"/>
        <v>0</v>
      </c>
      <c r="SK21" s="13">
        <f t="shared" ca="1" si="250"/>
        <v>0</v>
      </c>
      <c r="SL21" s="13" t="str">
        <f t="shared" si="251"/>
        <v>NA</v>
      </c>
      <c r="SM21" s="12">
        <f t="shared" ca="1" si="252"/>
        <v>0</v>
      </c>
      <c r="SN21" s="79"/>
      <c r="SO21" s="12">
        <f t="shared" ca="1" si="436"/>
        <v>0</v>
      </c>
      <c r="SP21" s="18" t="str">
        <f t="shared" si="253"/>
        <v>NA</v>
      </c>
      <c r="SR21" s="19">
        <f t="shared" ca="1" si="254"/>
        <v>0</v>
      </c>
      <c r="SS21" s="19">
        <f ca="1">INDEX(Totals[[#Data],[#Totals],[Car - Note]:[NONTRACKED]],MATCH(SR$1,Totals[Date],0),MATCH($C21,Totals[[#Headers],[Car - Note]:[NONTRACKED]],0))</f>
        <v>0</v>
      </c>
      <c r="ST21" s="19">
        <f t="shared" ca="1" si="437"/>
        <v>0</v>
      </c>
      <c r="SU21" s="19">
        <v>0</v>
      </c>
      <c r="SV21" s="19">
        <v>0</v>
      </c>
      <c r="SW21" s="19" t="b">
        <f t="shared" ca="1" si="438"/>
        <v>1</v>
      </c>
      <c r="SX21" s="100">
        <f t="shared" si="255"/>
        <v>1</v>
      </c>
      <c r="SY21" s="19">
        <f t="shared" ca="1" si="256"/>
        <v>0</v>
      </c>
      <c r="SZ21" s="19">
        <f t="shared" ca="1" si="439"/>
        <v>0</v>
      </c>
      <c r="TA21" s="100">
        <f t="shared" si="257"/>
        <v>0</v>
      </c>
      <c r="TB21" s="19">
        <f t="shared" ca="1" si="258"/>
        <v>0</v>
      </c>
      <c r="TC21" s="19">
        <f t="shared" ca="1" si="259"/>
        <v>0</v>
      </c>
      <c r="TD21" s="19">
        <f t="shared" ca="1" si="440"/>
        <v>0</v>
      </c>
      <c r="TE21" s="19">
        <f t="shared" ca="1" si="260"/>
        <v>0</v>
      </c>
      <c r="TF21" s="19">
        <f t="shared" ca="1" si="261"/>
        <v>0</v>
      </c>
      <c r="TG21" s="19" t="str">
        <f t="shared" si="262"/>
        <v>NA</v>
      </c>
      <c r="TH21" s="12">
        <f t="shared" ca="1" si="263"/>
        <v>0</v>
      </c>
      <c r="TI21" s="79"/>
      <c r="TJ21" s="12">
        <f t="shared" ca="1" si="441"/>
        <v>0</v>
      </c>
      <c r="TK21" s="18" t="str">
        <f t="shared" si="264"/>
        <v>NA</v>
      </c>
      <c r="TM21" s="11">
        <f t="shared" ca="1" si="265"/>
        <v>0</v>
      </c>
      <c r="TN21" s="11">
        <f ca="1">INDEX(Totals[[#Data],[#Totals],[Car - Note]:[NONTRACKED]],MATCH(TM$1,Totals[Date],0),MATCH($C21,Totals[[#Headers],[Car - Note]:[NONTRACKED]],0))</f>
        <v>0</v>
      </c>
      <c r="TO21" s="11">
        <f t="shared" ca="1" si="442"/>
        <v>0</v>
      </c>
      <c r="TP21" s="11">
        <v>0</v>
      </c>
      <c r="TQ21" s="11">
        <v>0</v>
      </c>
      <c r="TR21" s="11" t="b">
        <f t="shared" ca="1" si="443"/>
        <v>1</v>
      </c>
      <c r="TS21" s="92">
        <f t="shared" si="266"/>
        <v>1</v>
      </c>
      <c r="TT21" s="11">
        <f t="shared" ca="1" si="267"/>
        <v>0</v>
      </c>
      <c r="TU21" s="11">
        <f t="shared" ca="1" si="444"/>
        <v>0</v>
      </c>
      <c r="TV21" s="92">
        <f t="shared" si="268"/>
        <v>0</v>
      </c>
      <c r="TW21" s="11">
        <f t="shared" ca="1" si="269"/>
        <v>0</v>
      </c>
      <c r="TX21" s="11">
        <f t="shared" ca="1" si="270"/>
        <v>0</v>
      </c>
      <c r="TY21" s="11">
        <f t="shared" ca="1" si="445"/>
        <v>0</v>
      </c>
      <c r="TZ21" s="11">
        <f t="shared" ca="1" si="271"/>
        <v>0</v>
      </c>
      <c r="UA21" s="11">
        <f t="shared" ca="1" si="272"/>
        <v>0</v>
      </c>
      <c r="UB21" s="11" t="str">
        <f t="shared" si="273"/>
        <v>NA</v>
      </c>
      <c r="UC21" s="12">
        <f t="shared" ca="1" si="274"/>
        <v>0</v>
      </c>
      <c r="UD21" s="79"/>
      <c r="UE21" s="12">
        <f t="shared" ca="1" si="446"/>
        <v>0</v>
      </c>
      <c r="UF21" s="18" t="str">
        <f t="shared" si="275"/>
        <v>NA</v>
      </c>
      <c r="UH21" s="13">
        <f t="shared" ca="1" si="276"/>
        <v>0</v>
      </c>
      <c r="UI21" s="13">
        <f ca="1">INDEX(Totals[[#Data],[#Totals],[Car - Note]:[NONTRACKED]],MATCH(UH$1,Totals[Date],0),MATCH($C21,Totals[[#Headers],[Car - Note]:[NONTRACKED]],0))</f>
        <v>0</v>
      </c>
      <c r="UJ21" s="13">
        <f t="shared" ca="1" si="447"/>
        <v>0</v>
      </c>
      <c r="UK21" s="13">
        <v>0</v>
      </c>
      <c r="UL21" s="13">
        <v>0</v>
      </c>
      <c r="UM21" s="13" t="b">
        <f t="shared" ca="1" si="448"/>
        <v>1</v>
      </c>
      <c r="UN21" s="94">
        <f t="shared" si="277"/>
        <v>1</v>
      </c>
      <c r="UO21" s="13">
        <f t="shared" ca="1" si="278"/>
        <v>0</v>
      </c>
      <c r="UP21" s="13">
        <f t="shared" ca="1" si="449"/>
        <v>0</v>
      </c>
      <c r="UQ21" s="94">
        <f t="shared" si="279"/>
        <v>0</v>
      </c>
      <c r="UR21" s="13">
        <f t="shared" ca="1" si="280"/>
        <v>0</v>
      </c>
      <c r="US21" s="13">
        <f t="shared" ca="1" si="281"/>
        <v>0</v>
      </c>
      <c r="UT21" s="13">
        <f t="shared" ca="1" si="450"/>
        <v>0</v>
      </c>
      <c r="UU21" s="13">
        <f t="shared" ca="1" si="282"/>
        <v>0</v>
      </c>
      <c r="UV21" s="13">
        <f t="shared" ca="1" si="283"/>
        <v>0</v>
      </c>
      <c r="UW21" s="13" t="str">
        <f t="shared" si="284"/>
        <v>NA</v>
      </c>
      <c r="UX21" s="12">
        <f t="shared" ca="1" si="285"/>
        <v>0</v>
      </c>
      <c r="UY21" s="79"/>
      <c r="UZ21" s="12">
        <f t="shared" ca="1" si="451"/>
        <v>0</v>
      </c>
      <c r="VA21" s="18" t="str">
        <f t="shared" si="286"/>
        <v>NA</v>
      </c>
      <c r="VC21" s="19">
        <f t="shared" ca="1" si="287"/>
        <v>0</v>
      </c>
      <c r="VD21" s="19">
        <f ca="1">INDEX(Totals[[#Data],[#Totals],[Car - Note]:[NONTRACKED]],MATCH(VC$1,Totals[Date],0),MATCH($C21,Totals[[#Headers],[Car - Note]:[NONTRACKED]],0))</f>
        <v>0</v>
      </c>
      <c r="VE21" s="19">
        <f t="shared" ca="1" si="452"/>
        <v>0</v>
      </c>
      <c r="VF21" s="19">
        <v>0</v>
      </c>
      <c r="VG21" s="19">
        <v>0</v>
      </c>
      <c r="VH21" s="19" t="b">
        <f t="shared" ca="1" si="453"/>
        <v>1</v>
      </c>
      <c r="VI21" s="100">
        <f t="shared" si="288"/>
        <v>1</v>
      </c>
      <c r="VJ21" s="19">
        <f t="shared" ca="1" si="289"/>
        <v>0</v>
      </c>
      <c r="VK21" s="19">
        <f t="shared" ca="1" si="454"/>
        <v>0</v>
      </c>
      <c r="VL21" s="100">
        <f t="shared" si="290"/>
        <v>0</v>
      </c>
      <c r="VM21" s="19">
        <f t="shared" ca="1" si="291"/>
        <v>0</v>
      </c>
      <c r="VN21" s="19">
        <f t="shared" ca="1" si="292"/>
        <v>0</v>
      </c>
      <c r="VO21" s="19">
        <f t="shared" ca="1" si="455"/>
        <v>0</v>
      </c>
      <c r="VP21" s="19">
        <f t="shared" ca="1" si="293"/>
        <v>0</v>
      </c>
      <c r="VQ21" s="19">
        <f t="shared" ca="1" si="294"/>
        <v>0</v>
      </c>
      <c r="VR21" s="19" t="str">
        <f t="shared" si="295"/>
        <v>NA</v>
      </c>
      <c r="VS21" s="12">
        <f t="shared" ca="1" si="296"/>
        <v>0</v>
      </c>
      <c r="VT21" s="79"/>
      <c r="VU21" s="12">
        <f t="shared" ca="1" si="456"/>
        <v>0</v>
      </c>
      <c r="VV21" s="18" t="str">
        <f t="shared" si="297"/>
        <v>NA</v>
      </c>
      <c r="VX21" s="11">
        <f t="shared" ca="1" si="298"/>
        <v>0</v>
      </c>
      <c r="VY21" s="11">
        <f ca="1">INDEX(Totals[[#Data],[#Totals],[Car - Note]:[NONTRACKED]],MATCH(VX$1,Totals[Date],0),MATCH($C21,Totals[[#Headers],[Car - Note]:[NONTRACKED]],0))</f>
        <v>0</v>
      </c>
      <c r="VZ21" s="11">
        <f t="shared" ca="1" si="457"/>
        <v>0</v>
      </c>
      <c r="WA21" s="11">
        <v>0</v>
      </c>
      <c r="WB21" s="11">
        <v>0</v>
      </c>
      <c r="WC21" s="11" t="b">
        <f t="shared" ca="1" si="458"/>
        <v>1</v>
      </c>
      <c r="WD21" s="92">
        <f t="shared" si="299"/>
        <v>1</v>
      </c>
      <c r="WE21" s="11">
        <f t="shared" ca="1" si="300"/>
        <v>0</v>
      </c>
      <c r="WF21" s="11">
        <f t="shared" ca="1" si="459"/>
        <v>0</v>
      </c>
      <c r="WG21" s="92">
        <f t="shared" si="301"/>
        <v>0</v>
      </c>
      <c r="WH21" s="11">
        <f t="shared" ca="1" si="302"/>
        <v>0</v>
      </c>
      <c r="WI21" s="11">
        <f t="shared" ca="1" si="303"/>
        <v>0</v>
      </c>
      <c r="WJ21" s="11">
        <f t="shared" ca="1" si="460"/>
        <v>0</v>
      </c>
      <c r="WK21" s="11">
        <f t="shared" ca="1" si="304"/>
        <v>0</v>
      </c>
      <c r="WL21" s="11">
        <f t="shared" ca="1" si="305"/>
        <v>0</v>
      </c>
      <c r="WM21" s="11" t="str">
        <f t="shared" si="306"/>
        <v>NA</v>
      </c>
      <c r="WN21" s="12">
        <f t="shared" ca="1" si="307"/>
        <v>0</v>
      </c>
      <c r="WO21" s="79"/>
      <c r="WP21" s="12">
        <f t="shared" ca="1" si="461"/>
        <v>0</v>
      </c>
      <c r="WQ21" s="18" t="str">
        <f t="shared" si="308"/>
        <v>NA</v>
      </c>
      <c r="WS21" s="13">
        <f t="shared" ca="1" si="309"/>
        <v>0</v>
      </c>
      <c r="WT21" s="13">
        <f ca="1">INDEX(Totals[[#Data],[#Totals],[Car - Note]:[NONTRACKED]],MATCH(WS$1,Totals[Date],0),MATCH($C21,Totals[[#Headers],[Car - Note]:[NONTRACKED]],0))</f>
        <v>0</v>
      </c>
      <c r="WU21" s="13">
        <f t="shared" ca="1" si="462"/>
        <v>0</v>
      </c>
      <c r="WV21" s="13">
        <v>0</v>
      </c>
      <c r="WW21" s="13">
        <v>0</v>
      </c>
      <c r="WX21" s="13" t="b">
        <f t="shared" ca="1" si="463"/>
        <v>1</v>
      </c>
      <c r="WY21" s="94">
        <f t="shared" si="310"/>
        <v>1</v>
      </c>
      <c r="WZ21" s="13">
        <f t="shared" ca="1" si="311"/>
        <v>0</v>
      </c>
      <c r="XA21" s="13">
        <f t="shared" ca="1" si="464"/>
        <v>0</v>
      </c>
      <c r="XB21" s="94">
        <f t="shared" si="312"/>
        <v>0</v>
      </c>
      <c r="XC21" s="13">
        <f t="shared" ca="1" si="313"/>
        <v>0</v>
      </c>
      <c r="XD21" s="13">
        <f t="shared" ca="1" si="314"/>
        <v>0</v>
      </c>
      <c r="XE21" s="13">
        <f t="shared" ca="1" si="465"/>
        <v>0</v>
      </c>
      <c r="XF21" s="13">
        <f t="shared" ca="1" si="315"/>
        <v>0</v>
      </c>
      <c r="XG21" s="13">
        <f t="shared" ca="1" si="316"/>
        <v>0</v>
      </c>
      <c r="XH21" s="13" t="str">
        <f t="shared" si="317"/>
        <v>NA</v>
      </c>
      <c r="XI21" s="12">
        <f t="shared" ca="1" si="318"/>
        <v>0</v>
      </c>
      <c r="XJ21" s="104">
        <f t="shared" ca="1" si="471"/>
        <v>0</v>
      </c>
      <c r="XK21" s="12">
        <f t="shared" ca="1" si="466"/>
        <v>0</v>
      </c>
      <c r="XL21" s="18" t="str">
        <f t="shared" si="320"/>
        <v>NA</v>
      </c>
      <c r="XN21">
        <v>0</v>
      </c>
      <c r="XO21" s="103">
        <f t="shared" ca="1" si="467"/>
        <v>0</v>
      </c>
      <c r="XP21" s="12">
        <f t="shared" ca="1" si="468"/>
        <v>0</v>
      </c>
      <c r="XQ21" s="102" t="str">
        <f t="shared" si="469"/>
        <v>NA</v>
      </c>
    </row>
    <row r="22" spans="1:641" x14ac:dyDescent="0.25">
      <c r="A22" s="112"/>
      <c r="B22" t="s">
        <v>50</v>
      </c>
      <c r="C22" t="s">
        <v>307</v>
      </c>
      <c r="D22" s="79">
        <f>D31*-0.03</f>
        <v>-112.7937857142857</v>
      </c>
      <c r="E22" t="b">
        <v>1</v>
      </c>
      <c r="F22" t="s">
        <v>947</v>
      </c>
      <c r="H22" s="48">
        <v>0</v>
      </c>
      <c r="I22" s="48"/>
      <c r="J22" s="48"/>
      <c r="K22" s="97">
        <f>0.03*I31</f>
        <v>0</v>
      </c>
      <c r="L22" s="95">
        <v>0</v>
      </c>
      <c r="M22" s="48"/>
      <c r="N22" s="96"/>
      <c r="O22" s="48"/>
      <c r="P22" s="48"/>
      <c r="Q22" s="96"/>
      <c r="R22" s="48"/>
      <c r="S22" s="48"/>
      <c r="T22" s="48"/>
      <c r="U22" s="48"/>
      <c r="V22" s="48"/>
      <c r="W22" s="48"/>
      <c r="X22" s="48"/>
      <c r="Y22" s="48"/>
      <c r="Z22" s="48">
        <f t="shared" si="321"/>
        <v>0</v>
      </c>
      <c r="AA22" s="98" t="str">
        <f t="shared" si="0"/>
        <v>NA</v>
      </c>
      <c r="AC22" s="11">
        <f t="shared" si="1"/>
        <v>0</v>
      </c>
      <c r="AD22" s="11">
        <f ca="1">INDEX(Totals[[#Data],[#Totals],[Car - Note]:[NONTRACKED]],MATCH(AC$1,Totals[Date],0),MATCH($C22,Totals[[#Headers],[Car - Note]:[NONTRACKED]],0))</f>
        <v>0</v>
      </c>
      <c r="AE22" s="11">
        <f t="shared" ca="1" si="322"/>
        <v>0</v>
      </c>
      <c r="AF22" s="28">
        <f ca="1">0.03*AD31</f>
        <v>0</v>
      </c>
      <c r="AG22" s="28">
        <f ca="1">L22+AF22</f>
        <v>0</v>
      </c>
      <c r="AH22" s="11" t="b">
        <f t="shared" ca="1" si="323"/>
        <v>1</v>
      </c>
      <c r="AI22" s="92">
        <f t="shared" si="2"/>
        <v>1</v>
      </c>
      <c r="AJ22" s="11">
        <f t="shared" ca="1" si="3"/>
        <v>0</v>
      </c>
      <c r="AK22" s="11">
        <f t="shared" ca="1" si="324"/>
        <v>0</v>
      </c>
      <c r="AL22" s="92">
        <f t="shared" si="4"/>
        <v>0</v>
      </c>
      <c r="AM22" s="11">
        <f t="shared" ca="1" si="5"/>
        <v>0</v>
      </c>
      <c r="AN22" s="11">
        <f t="shared" ca="1" si="6"/>
        <v>0</v>
      </c>
      <c r="AO22" s="11">
        <f t="shared" ca="1" si="325"/>
        <v>0</v>
      </c>
      <c r="AP22" s="11">
        <f t="shared" ca="1" si="7"/>
        <v>0</v>
      </c>
      <c r="AQ22" s="11">
        <f t="shared" ca="1" si="8"/>
        <v>0</v>
      </c>
      <c r="AR22" s="11" t="str">
        <f t="shared" ca="1" si="9"/>
        <v>NA</v>
      </c>
      <c r="AS22" s="12">
        <f t="shared" ca="1" si="10"/>
        <v>0</v>
      </c>
      <c r="AT22" s="12"/>
      <c r="AU22" s="12">
        <f t="shared" ca="1" si="326"/>
        <v>0</v>
      </c>
      <c r="AV22" s="18" t="str">
        <f t="shared" ca="1" si="11"/>
        <v>NA</v>
      </c>
      <c r="AX22" s="13">
        <f t="shared" ca="1" si="12"/>
        <v>0</v>
      </c>
      <c r="AY22" s="13">
        <f ca="1">INDEX(Totals[[#Data],[#Totals],[Car - Note]:[NONTRACKED]],MATCH(AX$1,Totals[Date],0),MATCH($C22,Totals[[#Headers],[Car - Note]:[NONTRACKED]],0))</f>
        <v>0</v>
      </c>
      <c r="AZ22" s="13">
        <f t="shared" ca="1" si="327"/>
        <v>0</v>
      </c>
      <c r="BA22" s="32">
        <f ca="1">0.03*AY31</f>
        <v>87.668099999999995</v>
      </c>
      <c r="BB22" s="32">
        <f ca="1">AG22+BA22</f>
        <v>87.668099999999995</v>
      </c>
      <c r="BC22" s="13" t="b">
        <f t="shared" ca="1" si="328"/>
        <v>0</v>
      </c>
      <c r="BD22" s="94">
        <f t="shared" si="13"/>
        <v>1</v>
      </c>
      <c r="BE22" s="13">
        <f t="shared" ca="1" si="14"/>
        <v>87.668099999999995</v>
      </c>
      <c r="BF22" s="13">
        <f t="shared" ca="1" si="329"/>
        <v>87.668099999999995</v>
      </c>
      <c r="BG22" s="94">
        <f t="shared" si="15"/>
        <v>0</v>
      </c>
      <c r="BH22" s="13">
        <f t="shared" ca="1" si="16"/>
        <v>0</v>
      </c>
      <c r="BI22" s="13">
        <f t="shared" ca="1" si="17"/>
        <v>0</v>
      </c>
      <c r="BJ22" s="13">
        <f t="shared" ca="1" si="330"/>
        <v>0</v>
      </c>
      <c r="BK22" s="13">
        <f t="shared" ca="1" si="18"/>
        <v>87.668099999999995</v>
      </c>
      <c r="BL22" s="13">
        <f t="shared" ca="1" si="19"/>
        <v>0</v>
      </c>
      <c r="BM22" s="13">
        <f t="shared" ca="1" si="20"/>
        <v>1</v>
      </c>
      <c r="BN22" s="12">
        <f t="shared" ca="1" si="21"/>
        <v>87.668099999999995</v>
      </c>
      <c r="BO22" s="12"/>
      <c r="BP22" s="12">
        <f t="shared" ca="1" si="331"/>
        <v>87.668099999999995</v>
      </c>
      <c r="BQ22" s="18">
        <f t="shared" ca="1" si="22"/>
        <v>1</v>
      </c>
      <c r="BS22" s="19">
        <f t="shared" ca="1" si="23"/>
        <v>87.668099999999995</v>
      </c>
      <c r="BT22" s="19">
        <f ca="1">INDEX(Totals[[#Data],[#Totals],[Car - Note]:[NONTRACKED]],MATCH(BS$1,Totals[Date],0),MATCH($C22,Totals[[#Headers],[Car - Note]:[NONTRACKED]],0))</f>
        <v>0</v>
      </c>
      <c r="BU22" s="19">
        <f t="shared" ca="1" si="332"/>
        <v>87.668099999999995</v>
      </c>
      <c r="BV22" s="33">
        <f ca="1">0.03*BT31</f>
        <v>127.10661428571429</v>
      </c>
      <c r="BW22" s="33">
        <f ca="1">BB22+BV22</f>
        <v>214.77471428571428</v>
      </c>
      <c r="BX22" s="19" t="b">
        <f t="shared" ca="1" si="333"/>
        <v>0</v>
      </c>
      <c r="BY22" s="100">
        <f t="shared" si="24"/>
        <v>1</v>
      </c>
      <c r="BZ22" s="19">
        <f t="shared" ca="1" si="25"/>
        <v>127.10661428571429</v>
      </c>
      <c r="CA22" s="19">
        <f t="shared" ca="1" si="334"/>
        <v>127.10661428571429</v>
      </c>
      <c r="CB22" s="100">
        <f t="shared" si="26"/>
        <v>0</v>
      </c>
      <c r="CC22" s="19">
        <f t="shared" ca="1" si="27"/>
        <v>0</v>
      </c>
      <c r="CD22" s="19">
        <f t="shared" ca="1" si="28"/>
        <v>0</v>
      </c>
      <c r="CE22" s="19">
        <f t="shared" ca="1" si="335"/>
        <v>0</v>
      </c>
      <c r="CF22" s="19">
        <f t="shared" ca="1" si="29"/>
        <v>214.77471428571428</v>
      </c>
      <c r="CG22" s="19">
        <f t="shared" ca="1" si="30"/>
        <v>0</v>
      </c>
      <c r="CH22" s="19">
        <f t="shared" ca="1" si="31"/>
        <v>1</v>
      </c>
      <c r="CI22" s="12">
        <f t="shared" ca="1" si="32"/>
        <v>214.77471428571428</v>
      </c>
      <c r="CJ22" s="12"/>
      <c r="CK22" s="12">
        <f t="shared" ca="1" si="336"/>
        <v>214.77471428571428</v>
      </c>
      <c r="CL22" s="18">
        <f t="shared" ca="1" si="33"/>
        <v>1</v>
      </c>
      <c r="CN22" s="11">
        <f t="shared" ca="1" si="34"/>
        <v>214.77471428571428</v>
      </c>
      <c r="CO22" s="11">
        <f ca="1">INDEX(Totals[[#Data],[#Totals],[Car - Note]:[NONTRACKED]],MATCH(CN$1,Totals[Date],0),MATCH($C22,Totals[[#Headers],[Car - Note]:[NONTRACKED]],0))</f>
        <v>0</v>
      </c>
      <c r="CP22" s="11">
        <f t="shared" ca="1" si="337"/>
        <v>214.77471428571428</v>
      </c>
      <c r="CQ22" s="28">
        <f ca="1">0.03*CO31</f>
        <v>122.36914285714286</v>
      </c>
      <c r="CR22" s="28">
        <f ca="1">BW22+CQ22</f>
        <v>337.14385714285714</v>
      </c>
      <c r="CS22" s="11" t="b">
        <f t="shared" ca="1" si="338"/>
        <v>0</v>
      </c>
      <c r="CT22" s="92">
        <f t="shared" si="35"/>
        <v>1</v>
      </c>
      <c r="CU22" s="11">
        <f t="shared" ca="1" si="36"/>
        <v>122.36914285714286</v>
      </c>
      <c r="CV22" s="11">
        <f t="shared" ca="1" si="339"/>
        <v>122.36914285714288</v>
      </c>
      <c r="CW22" s="92">
        <f t="shared" si="37"/>
        <v>0</v>
      </c>
      <c r="CX22" s="11">
        <f t="shared" ca="1" si="38"/>
        <v>0</v>
      </c>
      <c r="CY22" s="11">
        <f t="shared" ca="1" si="39"/>
        <v>0</v>
      </c>
      <c r="CZ22" s="11">
        <f t="shared" ca="1" si="340"/>
        <v>0</v>
      </c>
      <c r="DA22" s="11">
        <f t="shared" ca="1" si="40"/>
        <v>337.14385714285714</v>
      </c>
      <c r="DB22" s="11">
        <f t="shared" ca="1" si="41"/>
        <v>0</v>
      </c>
      <c r="DC22" s="11">
        <f t="shared" ca="1" si="42"/>
        <v>1</v>
      </c>
      <c r="DD22" s="12">
        <f t="shared" ca="1" si="43"/>
        <v>337.14385714285714</v>
      </c>
      <c r="DE22" s="79"/>
      <c r="DF22" s="12">
        <f t="shared" ca="1" si="341"/>
        <v>337.14385714285714</v>
      </c>
      <c r="DG22" s="18">
        <f t="shared" ca="1" si="44"/>
        <v>1</v>
      </c>
      <c r="DI22" s="13">
        <f t="shared" ca="1" si="45"/>
        <v>337.14385714285714</v>
      </c>
      <c r="DJ22" s="13">
        <f ca="1">INDEX(Totals[[#Data],[#Totals],[Car - Note]:[NONTRACKED]],MATCH(DI$1,Totals[Date],0),MATCH($C22,Totals[[#Headers],[Car - Note]:[NONTRACKED]],0))</f>
        <v>0</v>
      </c>
      <c r="DK22" s="13">
        <f t="shared" ca="1" si="342"/>
        <v>337.14385714285714</v>
      </c>
      <c r="DL22" s="32">
        <f ca="1">0.03*DJ31</f>
        <v>119.42635714285714</v>
      </c>
      <c r="DM22" s="32">
        <f ca="1">CR22+DL22</f>
        <v>456.57021428571431</v>
      </c>
      <c r="DN22" s="13" t="b">
        <f t="shared" ca="1" si="343"/>
        <v>0</v>
      </c>
      <c r="DO22" s="94">
        <f t="shared" si="46"/>
        <v>1</v>
      </c>
      <c r="DP22" s="13">
        <f t="shared" ca="1" si="47"/>
        <v>119.42635714285717</v>
      </c>
      <c r="DQ22" s="13">
        <f t="shared" ca="1" si="344"/>
        <v>119.42635714285717</v>
      </c>
      <c r="DR22" s="94">
        <f t="shared" si="48"/>
        <v>0</v>
      </c>
      <c r="DS22" s="13">
        <f t="shared" ca="1" si="49"/>
        <v>0</v>
      </c>
      <c r="DT22" s="13">
        <f t="shared" ca="1" si="50"/>
        <v>0</v>
      </c>
      <c r="DU22" s="13">
        <f t="shared" ca="1" si="345"/>
        <v>0</v>
      </c>
      <c r="DV22" s="13">
        <f t="shared" ca="1" si="51"/>
        <v>456.57021428571431</v>
      </c>
      <c r="DW22" s="13">
        <f t="shared" ca="1" si="52"/>
        <v>0</v>
      </c>
      <c r="DX22" s="13">
        <f t="shared" ca="1" si="53"/>
        <v>1</v>
      </c>
      <c r="DY22" s="12">
        <f t="shared" ca="1" si="54"/>
        <v>456.57021428571431</v>
      </c>
      <c r="DZ22" s="79"/>
      <c r="EA22" s="12">
        <f t="shared" ca="1" si="346"/>
        <v>456.57021428571431</v>
      </c>
      <c r="EB22" s="18">
        <f t="shared" ca="1" si="55"/>
        <v>1</v>
      </c>
      <c r="ED22" s="19">
        <f t="shared" ca="1" si="56"/>
        <v>456.57021428571431</v>
      </c>
      <c r="EE22" s="19">
        <f ca="1">INDEX(Totals[[#Data],[#Totals],[Car - Note]:[NONTRACKED]],MATCH(ED$1,Totals[Date],0),MATCH($C22,Totals[[#Headers],[Car - Note]:[NONTRACKED]],0))</f>
        <v>0</v>
      </c>
      <c r="EF22" s="19">
        <f t="shared" ca="1" si="347"/>
        <v>456.57021428571431</v>
      </c>
      <c r="EG22" s="33">
        <f ca="1">0.03*EE31</f>
        <v>114.24442857142856</v>
      </c>
      <c r="EH22" s="33">
        <f ca="1">DM22+EG22</f>
        <v>570.81464285714287</v>
      </c>
      <c r="EI22" s="19" t="b">
        <f t="shared" ca="1" si="348"/>
        <v>0</v>
      </c>
      <c r="EJ22" s="100">
        <f t="shared" si="57"/>
        <v>1</v>
      </c>
      <c r="EK22" s="19">
        <f t="shared" ca="1" si="58"/>
        <v>114.24442857142856</v>
      </c>
      <c r="EL22" s="19">
        <f t="shared" ca="1" si="349"/>
        <v>114.24442857142856</v>
      </c>
      <c r="EM22" s="100">
        <f t="shared" si="59"/>
        <v>0</v>
      </c>
      <c r="EN22" s="19">
        <f t="shared" ca="1" si="60"/>
        <v>0</v>
      </c>
      <c r="EO22" s="19">
        <f t="shared" ca="1" si="61"/>
        <v>0</v>
      </c>
      <c r="EP22" s="19">
        <f t="shared" ca="1" si="350"/>
        <v>0</v>
      </c>
      <c r="EQ22" s="19">
        <f t="shared" ca="1" si="62"/>
        <v>570.81464285714287</v>
      </c>
      <c r="ER22" s="19">
        <f t="shared" ca="1" si="63"/>
        <v>0</v>
      </c>
      <c r="ES22" s="19">
        <f t="shared" ca="1" si="64"/>
        <v>1</v>
      </c>
      <c r="ET22" s="12">
        <f t="shared" ca="1" si="65"/>
        <v>570.81464285714287</v>
      </c>
      <c r="EU22" s="79"/>
      <c r="EV22" s="12">
        <f t="shared" ca="1" si="351"/>
        <v>570.81464285714287</v>
      </c>
      <c r="EW22" s="18">
        <f t="shared" ca="1" si="66"/>
        <v>1</v>
      </c>
      <c r="EY22" s="11">
        <f t="shared" ca="1" si="67"/>
        <v>570.81464285714287</v>
      </c>
      <c r="EZ22" s="11">
        <f ca="1">INDEX(Totals[[#Data],[#Totals],[Car - Note]:[NONTRACKED]],MATCH(EY$1,Totals[Date],0),MATCH($C22,Totals[[#Headers],[Car - Note]:[NONTRACKED]],0))</f>
        <v>0</v>
      </c>
      <c r="FA22" s="11">
        <f t="shared" ca="1" si="352"/>
        <v>570.81464285714287</v>
      </c>
      <c r="FB22" s="28">
        <f ca="1">0.03*EZ31</f>
        <v>118.06705047619046</v>
      </c>
      <c r="FC22" s="28">
        <f ca="1">EH22+FB22</f>
        <v>688.88169333333337</v>
      </c>
      <c r="FD22" s="11" t="b">
        <f t="shared" ca="1" si="353"/>
        <v>0</v>
      </c>
      <c r="FE22" s="92">
        <f t="shared" si="68"/>
        <v>1</v>
      </c>
      <c r="FF22" s="11">
        <f t="shared" ca="1" si="69"/>
        <v>118.0670504761905</v>
      </c>
      <c r="FG22" s="11">
        <f t="shared" ca="1" si="354"/>
        <v>118.06705047619052</v>
      </c>
      <c r="FH22" s="92">
        <f t="shared" si="70"/>
        <v>0</v>
      </c>
      <c r="FI22" s="11">
        <f t="shared" ca="1" si="71"/>
        <v>0</v>
      </c>
      <c r="FJ22" s="11">
        <f t="shared" ca="1" si="72"/>
        <v>0</v>
      </c>
      <c r="FK22" s="11">
        <f t="shared" ca="1" si="355"/>
        <v>0</v>
      </c>
      <c r="FL22" s="11">
        <f t="shared" ca="1" si="73"/>
        <v>688.88169333333337</v>
      </c>
      <c r="FM22" s="11">
        <f t="shared" ca="1" si="74"/>
        <v>0</v>
      </c>
      <c r="FN22" s="11">
        <f t="shared" ca="1" si="75"/>
        <v>1</v>
      </c>
      <c r="FO22" s="12">
        <f t="shared" ca="1" si="76"/>
        <v>688.88169333333337</v>
      </c>
      <c r="FP22" s="79"/>
      <c r="FQ22" s="12">
        <f t="shared" ca="1" si="356"/>
        <v>688.88169333333337</v>
      </c>
      <c r="FR22" s="18">
        <f t="shared" ca="1" si="77"/>
        <v>1</v>
      </c>
      <c r="FT22" s="13">
        <f t="shared" ca="1" si="78"/>
        <v>688.88169333333337</v>
      </c>
      <c r="FU22" s="13">
        <f ca="1">INDEX(Totals[[#Data],[#Totals],[Car - Note]:[NONTRACKED]],MATCH(FT$1,Totals[Date],0),MATCH($C22,Totals[[#Headers],[Car - Note]:[NONTRACKED]],0))</f>
        <v>0</v>
      </c>
      <c r="FV22" s="13">
        <f t="shared" ca="1" si="357"/>
        <v>688.88169333333337</v>
      </c>
      <c r="FW22" s="32">
        <f ca="1">0.03*FU31</f>
        <v>118.53740666666667</v>
      </c>
      <c r="FX22" s="32">
        <f ca="1">FC22+FW22</f>
        <v>807.41910000000007</v>
      </c>
      <c r="FY22" s="13" t="b">
        <f t="shared" ca="1" si="358"/>
        <v>0</v>
      </c>
      <c r="FZ22" s="94">
        <f t="shared" si="79"/>
        <v>1</v>
      </c>
      <c r="GA22" s="13">
        <f t="shared" ca="1" si="80"/>
        <v>118.5374066666667</v>
      </c>
      <c r="GB22" s="13">
        <f t="shared" ca="1" si="359"/>
        <v>118.53740666666668</v>
      </c>
      <c r="GC22" s="94">
        <f t="shared" si="81"/>
        <v>0</v>
      </c>
      <c r="GD22" s="13">
        <f t="shared" ca="1" si="82"/>
        <v>0</v>
      </c>
      <c r="GE22" s="13">
        <f t="shared" ca="1" si="83"/>
        <v>0</v>
      </c>
      <c r="GF22" s="13">
        <f t="shared" ca="1" si="360"/>
        <v>0</v>
      </c>
      <c r="GG22" s="13">
        <f t="shared" ca="1" si="84"/>
        <v>807.41910000000007</v>
      </c>
      <c r="GH22" s="13">
        <f t="shared" ca="1" si="85"/>
        <v>0</v>
      </c>
      <c r="GI22" s="13">
        <f t="shared" ca="1" si="86"/>
        <v>1</v>
      </c>
      <c r="GJ22" s="12">
        <f t="shared" ca="1" si="87"/>
        <v>807.41910000000007</v>
      </c>
      <c r="GK22" s="79"/>
      <c r="GL22" s="12">
        <f t="shared" ca="1" si="361"/>
        <v>807.41910000000007</v>
      </c>
      <c r="GM22" s="18">
        <f t="shared" ca="1" si="88"/>
        <v>1</v>
      </c>
      <c r="GO22" s="19">
        <f t="shared" ca="1" si="89"/>
        <v>807.41910000000007</v>
      </c>
      <c r="GP22" s="19">
        <f ca="1">INDEX(Totals[[#Data],[#Totals],[Car - Note]:[NONTRACKED]],MATCH(GO$1,Totals[Date],0),MATCH($C22,Totals[[#Headers],[Car - Note]:[NONTRACKED]],0))</f>
        <v>0</v>
      </c>
      <c r="GQ22" s="19">
        <f t="shared" ca="1" si="362"/>
        <v>807.41910000000007</v>
      </c>
      <c r="GR22" s="33">
        <f ca="1">0.03*GP31</f>
        <v>121.27525714285714</v>
      </c>
      <c r="GS22" s="33">
        <f ca="1">FX22+GR22</f>
        <v>928.69435714285726</v>
      </c>
      <c r="GT22" s="19" t="b">
        <f t="shared" ca="1" si="363"/>
        <v>0</v>
      </c>
      <c r="GU22" s="100">
        <f t="shared" si="90"/>
        <v>1</v>
      </c>
      <c r="GV22" s="19">
        <f t="shared" ca="1" si="91"/>
        <v>121.27525714285719</v>
      </c>
      <c r="GW22" s="19">
        <f t="shared" ca="1" si="364"/>
        <v>121.27525714285717</v>
      </c>
      <c r="GX22" s="100">
        <f t="shared" si="92"/>
        <v>0</v>
      </c>
      <c r="GY22" s="19">
        <f t="shared" ca="1" si="93"/>
        <v>0</v>
      </c>
      <c r="GZ22" s="19">
        <f t="shared" ca="1" si="94"/>
        <v>0</v>
      </c>
      <c r="HA22" s="19">
        <f t="shared" ca="1" si="365"/>
        <v>0</v>
      </c>
      <c r="HB22" s="19">
        <f t="shared" ca="1" si="95"/>
        <v>928.69435714285726</v>
      </c>
      <c r="HC22" s="19">
        <f t="shared" ca="1" si="96"/>
        <v>0</v>
      </c>
      <c r="HD22" s="19">
        <f t="shared" ca="1" si="97"/>
        <v>1</v>
      </c>
      <c r="HE22" s="12">
        <f t="shared" ca="1" si="98"/>
        <v>928.69435714285726</v>
      </c>
      <c r="HF22" s="79"/>
      <c r="HG22" s="12">
        <f t="shared" ca="1" si="366"/>
        <v>928.69435714285726</v>
      </c>
      <c r="HH22" s="18">
        <f t="shared" ca="1" si="99"/>
        <v>1</v>
      </c>
      <c r="HJ22" s="11">
        <f t="shared" ca="1" si="100"/>
        <v>928.69435714285726</v>
      </c>
      <c r="HK22" s="11">
        <f ca="1">INDEX(Totals[[#Data],[#Totals],[Car - Note]:[NONTRACKED]],MATCH(HJ$1,Totals[Date],0),MATCH($C22,Totals[[#Headers],[Car - Note]:[NONTRACKED]],0))</f>
        <v>0</v>
      </c>
      <c r="HL22" s="11">
        <f t="shared" ca="1" si="367"/>
        <v>928.69435714285726</v>
      </c>
      <c r="HM22" s="28">
        <f ca="1">0.03*HK31</f>
        <v>125.31874285714285</v>
      </c>
      <c r="HN22" s="28">
        <f ca="1">GS22+HM22</f>
        <v>1054.0131000000001</v>
      </c>
      <c r="HO22" s="11" t="b">
        <f t="shared" ca="1" si="368"/>
        <v>0</v>
      </c>
      <c r="HP22" s="92">
        <f t="shared" si="101"/>
        <v>1</v>
      </c>
      <c r="HQ22" s="11">
        <f t="shared" ca="1" si="102"/>
        <v>125.31874285714287</v>
      </c>
      <c r="HR22" s="11">
        <f t="shared" ca="1" si="369"/>
        <v>125.31874285714285</v>
      </c>
      <c r="HS22" s="92">
        <f t="shared" si="103"/>
        <v>0</v>
      </c>
      <c r="HT22" s="11">
        <f t="shared" ca="1" si="104"/>
        <v>0</v>
      </c>
      <c r="HU22" s="11">
        <f t="shared" ca="1" si="105"/>
        <v>0</v>
      </c>
      <c r="HV22" s="11">
        <f t="shared" ca="1" si="370"/>
        <v>0</v>
      </c>
      <c r="HW22" s="11">
        <f t="shared" ca="1" si="106"/>
        <v>1054.0131000000001</v>
      </c>
      <c r="HX22" s="11">
        <f t="shared" ca="1" si="107"/>
        <v>0</v>
      </c>
      <c r="HY22" s="11">
        <f t="shared" ca="1" si="108"/>
        <v>1</v>
      </c>
      <c r="HZ22" s="12">
        <f t="shared" ca="1" si="109"/>
        <v>1054.0131000000001</v>
      </c>
      <c r="IA22" s="79"/>
      <c r="IB22" s="12">
        <f t="shared" ca="1" si="371"/>
        <v>1054.0131000000001</v>
      </c>
      <c r="IC22" s="18">
        <f t="shared" ca="1" si="110"/>
        <v>1</v>
      </c>
      <c r="IE22" s="13">
        <f t="shared" ca="1" si="111"/>
        <v>1054.0131000000001</v>
      </c>
      <c r="IF22" s="13">
        <f ca="1">INDEX(Totals[[#Data],[#Totals],[Car - Note]:[NONTRACKED]],MATCH(IE$1,Totals[Date],0),MATCH($C22,Totals[[#Headers],[Car - Note]:[NONTRACKED]],0))</f>
        <v>0</v>
      </c>
      <c r="IG22" s="13">
        <f t="shared" ca="1" si="372"/>
        <v>1054.0131000000001</v>
      </c>
      <c r="IH22" s="32">
        <f ca="1">0.03*IF31</f>
        <v>125.55154285714286</v>
      </c>
      <c r="II22" s="32">
        <f ca="1">HN22+IH22</f>
        <v>1179.5646428571431</v>
      </c>
      <c r="IJ22" s="13" t="b">
        <f t="shared" ca="1" si="373"/>
        <v>0</v>
      </c>
      <c r="IK22" s="94">
        <f t="shared" si="112"/>
        <v>1</v>
      </c>
      <c r="IL22" s="13">
        <f t="shared" ca="1" si="113"/>
        <v>125.55154285714298</v>
      </c>
      <c r="IM22" s="13">
        <f t="shared" ca="1" si="374"/>
        <v>125.55154285714299</v>
      </c>
      <c r="IN22" s="94">
        <f t="shared" si="114"/>
        <v>0</v>
      </c>
      <c r="IO22" s="13">
        <f t="shared" ca="1" si="115"/>
        <v>0</v>
      </c>
      <c r="IP22" s="13">
        <f t="shared" ca="1" si="116"/>
        <v>0</v>
      </c>
      <c r="IQ22" s="13">
        <f t="shared" ca="1" si="375"/>
        <v>0</v>
      </c>
      <c r="IR22" s="13">
        <f t="shared" ca="1" si="117"/>
        <v>1179.5646428571431</v>
      </c>
      <c r="IS22" s="13">
        <f t="shared" ca="1" si="118"/>
        <v>0</v>
      </c>
      <c r="IT22" s="13">
        <f t="shared" ca="1" si="119"/>
        <v>1</v>
      </c>
      <c r="IU22" s="12">
        <f t="shared" ca="1" si="120"/>
        <v>1179.5646428571431</v>
      </c>
      <c r="IV22" s="79"/>
      <c r="IW22" s="12">
        <f t="shared" ca="1" si="376"/>
        <v>1179.5646428571431</v>
      </c>
      <c r="IX22" s="18">
        <f t="shared" ca="1" si="121"/>
        <v>1</v>
      </c>
      <c r="IZ22" s="19">
        <f t="shared" ca="1" si="122"/>
        <v>1179.5646428571431</v>
      </c>
      <c r="JA22" s="19">
        <f ca="1">INDEX(Totals[[#Data],[#Totals],[Car - Note]:[NONTRACKED]],MATCH(IZ$1,Totals[Date],0),MATCH($C22,Totals[[#Headers],[Car - Note]:[NONTRACKED]],0))</f>
        <v>0</v>
      </c>
      <c r="JB22" s="19">
        <f t="shared" ca="1" si="377"/>
        <v>1179.5646428571431</v>
      </c>
      <c r="JC22" s="33">
        <f ca="1">0.03*JA31</f>
        <v>121.27632857142855</v>
      </c>
      <c r="JD22" s="33">
        <f ca="1">II22+JC22</f>
        <v>1300.8409714285717</v>
      </c>
      <c r="JE22" s="19" t="b">
        <f t="shared" ca="1" si="378"/>
        <v>0</v>
      </c>
      <c r="JF22" s="100">
        <f t="shared" si="123"/>
        <v>1</v>
      </c>
      <c r="JG22" s="19">
        <f t="shared" ca="1" si="124"/>
        <v>121.27632857142862</v>
      </c>
      <c r="JH22" s="19">
        <f t="shared" ca="1" si="379"/>
        <v>121.27632857142862</v>
      </c>
      <c r="JI22" s="100">
        <f t="shared" si="125"/>
        <v>0</v>
      </c>
      <c r="JJ22" s="19">
        <f t="shared" ca="1" si="126"/>
        <v>0</v>
      </c>
      <c r="JK22" s="19">
        <f t="shared" ca="1" si="127"/>
        <v>0</v>
      </c>
      <c r="JL22" s="19">
        <f t="shared" ca="1" si="380"/>
        <v>0</v>
      </c>
      <c r="JM22" s="19">
        <f t="shared" ca="1" si="128"/>
        <v>1300.8409714285717</v>
      </c>
      <c r="JN22" s="19">
        <f t="shared" ca="1" si="129"/>
        <v>0</v>
      </c>
      <c r="JO22" s="19">
        <f t="shared" ca="1" si="130"/>
        <v>1</v>
      </c>
      <c r="JP22" s="12">
        <f t="shared" ca="1" si="131"/>
        <v>1300.8409714285717</v>
      </c>
      <c r="JQ22" s="79"/>
      <c r="JR22" s="12">
        <f t="shared" ca="1" si="381"/>
        <v>1300.8409714285717</v>
      </c>
      <c r="JS22" s="18">
        <f t="shared" ca="1" si="132"/>
        <v>1</v>
      </c>
      <c r="JU22" s="11">
        <f t="shared" ca="1" si="133"/>
        <v>1300.8409714285717</v>
      </c>
      <c r="JV22" s="11">
        <f ca="1">INDEX(Totals[[#Data],[#Totals],[Car - Note]:[NONTRACKED]],MATCH(JU$1,Totals[Date],0),MATCH($C22,Totals[[#Headers],[Car - Note]:[NONTRACKED]],0))</f>
        <v>0</v>
      </c>
      <c r="JW22" s="11">
        <f t="shared" ca="1" si="382"/>
        <v>1300.8409714285717</v>
      </c>
      <c r="JX22" s="28">
        <f ca="1">0.03*JV31</f>
        <v>125.63922857142859</v>
      </c>
      <c r="JY22" s="28">
        <f ca="1">JD22+JX22</f>
        <v>1426.4802000000004</v>
      </c>
      <c r="JZ22" s="11" t="b">
        <f t="shared" ca="1" si="383"/>
        <v>0</v>
      </c>
      <c r="KA22" s="92">
        <f t="shared" si="134"/>
        <v>1</v>
      </c>
      <c r="KB22" s="11">
        <f t="shared" ca="1" si="135"/>
        <v>125.6392285714287</v>
      </c>
      <c r="KC22" s="11">
        <f t="shared" ca="1" si="384"/>
        <v>125.6392285714287</v>
      </c>
      <c r="KD22" s="92">
        <f t="shared" si="136"/>
        <v>0</v>
      </c>
      <c r="KE22" s="11">
        <f t="shared" ca="1" si="137"/>
        <v>0</v>
      </c>
      <c r="KF22" s="11">
        <f t="shared" ca="1" si="138"/>
        <v>0</v>
      </c>
      <c r="KG22" s="11">
        <f t="shared" ca="1" si="385"/>
        <v>0</v>
      </c>
      <c r="KH22" s="11">
        <f t="shared" ca="1" si="139"/>
        <v>1426.4802000000004</v>
      </c>
      <c r="KI22" s="11">
        <f t="shared" ca="1" si="140"/>
        <v>0</v>
      </c>
      <c r="KJ22" s="11">
        <f t="shared" ca="1" si="141"/>
        <v>1</v>
      </c>
      <c r="KK22" s="12">
        <f t="shared" ca="1" si="142"/>
        <v>1426.4802000000004</v>
      </c>
      <c r="KL22" s="79"/>
      <c r="KM22" s="12">
        <f t="shared" ca="1" si="386"/>
        <v>1426.4802000000004</v>
      </c>
      <c r="KN22" s="18">
        <f t="shared" ca="1" si="143"/>
        <v>1</v>
      </c>
      <c r="KP22" s="13">
        <f t="shared" ca="1" si="144"/>
        <v>1426.4802000000004</v>
      </c>
      <c r="KQ22" s="13">
        <f ca="1">INDEX(Totals[[#Data],[#Totals],[Car - Note]:[NONTRACKED]],MATCH(KP$1,Totals[Date],0),MATCH($C22,Totals[[#Headers],[Car - Note]:[NONTRACKED]],0))</f>
        <v>0</v>
      </c>
      <c r="KR22" s="13">
        <f t="shared" ca="1" si="387"/>
        <v>1426.4802000000004</v>
      </c>
      <c r="KS22" s="32">
        <f ca="1">0.03*KQ31</f>
        <v>113.5008</v>
      </c>
      <c r="KT22" s="32">
        <f ca="1">JY22+KS22</f>
        <v>1539.9810000000004</v>
      </c>
      <c r="KU22" s="13" t="b">
        <f t="shared" ca="1" si="388"/>
        <v>0</v>
      </c>
      <c r="KV22" s="94">
        <f t="shared" si="145"/>
        <v>1</v>
      </c>
      <c r="KW22" s="13">
        <f t="shared" ca="1" si="146"/>
        <v>113.50080000000003</v>
      </c>
      <c r="KX22" s="13">
        <f t="shared" ca="1" si="389"/>
        <v>113.50080000000003</v>
      </c>
      <c r="KY22" s="94">
        <f t="shared" si="147"/>
        <v>0</v>
      </c>
      <c r="KZ22" s="13">
        <f t="shared" ca="1" si="148"/>
        <v>0</v>
      </c>
      <c r="LA22" s="13">
        <f t="shared" ca="1" si="149"/>
        <v>0</v>
      </c>
      <c r="LB22" s="13">
        <f t="shared" ca="1" si="390"/>
        <v>0</v>
      </c>
      <c r="LC22" s="13">
        <f t="shared" ca="1" si="150"/>
        <v>1539.9810000000004</v>
      </c>
      <c r="LD22" s="13">
        <f t="shared" ca="1" si="151"/>
        <v>0</v>
      </c>
      <c r="LE22" s="13">
        <f t="shared" ca="1" si="152"/>
        <v>1</v>
      </c>
      <c r="LF22" s="12">
        <f t="shared" ca="1" si="153"/>
        <v>1539.9810000000004</v>
      </c>
      <c r="LG22" s="79"/>
      <c r="LH22" s="12">
        <f t="shared" ca="1" si="391"/>
        <v>1539.9810000000004</v>
      </c>
      <c r="LI22" s="18">
        <f t="shared" ca="1" si="154"/>
        <v>1</v>
      </c>
      <c r="LK22" s="19">
        <f t="shared" ca="1" si="155"/>
        <v>1539.9810000000004</v>
      </c>
      <c r="LL22" s="19">
        <f ca="1">INDEX(Totals[[#Data],[#Totals],[Car - Note]:[NONTRACKED]],MATCH(LK$1,Totals[Date],0),MATCH($C22,Totals[[#Headers],[Car - Note]:[NONTRACKED]],0))</f>
        <v>0</v>
      </c>
      <c r="LM22" s="19">
        <f t="shared" ca="1" si="392"/>
        <v>1539.9810000000004</v>
      </c>
      <c r="LN22" s="33">
        <f ca="1">0.03*LL31</f>
        <v>125.6609142857143</v>
      </c>
      <c r="LO22" s="33">
        <f ca="1">KT22+LN22</f>
        <v>1665.6419142857148</v>
      </c>
      <c r="LP22" s="19" t="b">
        <f t="shared" ca="1" si="393"/>
        <v>0</v>
      </c>
      <c r="LQ22" s="100">
        <f t="shared" si="156"/>
        <v>1</v>
      </c>
      <c r="LR22" s="19">
        <f t="shared" ca="1" si="157"/>
        <v>125.6609142857144</v>
      </c>
      <c r="LS22" s="19">
        <f t="shared" ca="1" si="394"/>
        <v>125.66091428571438</v>
      </c>
      <c r="LT22" s="100">
        <f t="shared" si="158"/>
        <v>0</v>
      </c>
      <c r="LU22" s="19">
        <f t="shared" ca="1" si="159"/>
        <v>0</v>
      </c>
      <c r="LV22" s="19">
        <f t="shared" ca="1" si="160"/>
        <v>0</v>
      </c>
      <c r="LW22" s="19">
        <f t="shared" ca="1" si="395"/>
        <v>0</v>
      </c>
      <c r="LX22" s="19">
        <f t="shared" ca="1" si="161"/>
        <v>1665.6419142857148</v>
      </c>
      <c r="LY22" s="19">
        <f t="shared" ca="1" si="162"/>
        <v>0</v>
      </c>
      <c r="LZ22" s="19">
        <f t="shared" ca="1" si="163"/>
        <v>1</v>
      </c>
      <c r="MA22" s="12">
        <f t="shared" ca="1" si="164"/>
        <v>1665.6419142857148</v>
      </c>
      <c r="MB22" s="79"/>
      <c r="MC22" s="12">
        <f t="shared" ca="1" si="396"/>
        <v>1665.6419142857148</v>
      </c>
      <c r="MD22" s="18">
        <f t="shared" ca="1" si="165"/>
        <v>1</v>
      </c>
      <c r="MF22" s="11">
        <f t="shared" ca="1" si="166"/>
        <v>1665.6419142857148</v>
      </c>
      <c r="MG22" s="11">
        <f ca="1">INDEX(Totals[[#Data],[#Totals],[Car - Note]:[NONTRACKED]],MATCH(MF$1,Totals[Date],0),MATCH($C22,Totals[[#Headers],[Car - Note]:[NONTRACKED]],0))</f>
        <v>0</v>
      </c>
      <c r="MH22" s="11">
        <f t="shared" ca="1" si="397"/>
        <v>1665.6419142857148</v>
      </c>
      <c r="MI22" s="28">
        <f ca="1">0.03*MG31</f>
        <v>121.60778571428571</v>
      </c>
      <c r="MJ22" s="28">
        <f ca="1">LO22+MI22</f>
        <v>1787.2497000000005</v>
      </c>
      <c r="MK22" s="11" t="b">
        <f t="shared" ca="1" si="398"/>
        <v>0</v>
      </c>
      <c r="ML22" s="92">
        <f t="shared" si="167"/>
        <v>1</v>
      </c>
      <c r="MM22" s="11">
        <f t="shared" ca="1" si="168"/>
        <v>121.60778571428568</v>
      </c>
      <c r="MN22" s="11">
        <f t="shared" ca="1" si="399"/>
        <v>121.60778571428568</v>
      </c>
      <c r="MO22" s="92">
        <f t="shared" si="169"/>
        <v>0</v>
      </c>
      <c r="MP22" s="11">
        <f t="shared" ca="1" si="170"/>
        <v>0</v>
      </c>
      <c r="MQ22" s="11">
        <f t="shared" ca="1" si="171"/>
        <v>0</v>
      </c>
      <c r="MR22" s="11">
        <f t="shared" ca="1" si="400"/>
        <v>0</v>
      </c>
      <c r="MS22" s="11">
        <f t="shared" ca="1" si="172"/>
        <v>1787.2497000000005</v>
      </c>
      <c r="MT22" s="11">
        <f t="shared" ca="1" si="173"/>
        <v>0</v>
      </c>
      <c r="MU22" s="11">
        <f t="shared" ca="1" si="174"/>
        <v>1</v>
      </c>
      <c r="MV22" s="12">
        <f t="shared" ca="1" si="175"/>
        <v>1787.2497000000005</v>
      </c>
      <c r="MW22" s="79"/>
      <c r="MX22" s="12">
        <f t="shared" ca="1" si="401"/>
        <v>1787.2497000000005</v>
      </c>
      <c r="MY22" s="18">
        <f t="shared" ca="1" si="176"/>
        <v>1</v>
      </c>
      <c r="NA22" s="13">
        <f t="shared" ca="1" si="177"/>
        <v>1787.2497000000005</v>
      </c>
      <c r="NB22" s="13">
        <f ca="1">INDEX(Totals[[#Data],[#Totals],[Car - Note]:[NONTRACKED]],MATCH(NA$1,Totals[Date],0),MATCH($C22,Totals[[#Headers],[Car - Note]:[NONTRACKED]],0))</f>
        <v>0</v>
      </c>
      <c r="NC22" s="13">
        <f t="shared" ca="1" si="402"/>
        <v>1787.2497000000005</v>
      </c>
      <c r="ND22" s="32">
        <f ca="1">0.03*NB31</f>
        <v>125.6613</v>
      </c>
      <c r="NE22" s="32">
        <f ca="1">MJ22+ND22</f>
        <v>1912.9110000000005</v>
      </c>
      <c r="NF22" s="13" t="b">
        <f t="shared" ca="1" si="403"/>
        <v>0</v>
      </c>
      <c r="NG22" s="94">
        <f t="shared" si="178"/>
        <v>1</v>
      </c>
      <c r="NH22" s="13">
        <f t="shared" ca="1" si="179"/>
        <v>125.66129999999998</v>
      </c>
      <c r="NI22" s="13">
        <f t="shared" ca="1" si="404"/>
        <v>125.66129999999998</v>
      </c>
      <c r="NJ22" s="94">
        <f t="shared" si="180"/>
        <v>0</v>
      </c>
      <c r="NK22" s="13">
        <f t="shared" ca="1" si="181"/>
        <v>0</v>
      </c>
      <c r="NL22" s="13">
        <f t="shared" ca="1" si="182"/>
        <v>0</v>
      </c>
      <c r="NM22" s="13">
        <f t="shared" ca="1" si="405"/>
        <v>0</v>
      </c>
      <c r="NN22" s="13">
        <f t="shared" ca="1" si="183"/>
        <v>1912.9110000000005</v>
      </c>
      <c r="NO22" s="13">
        <f t="shared" ca="1" si="184"/>
        <v>0</v>
      </c>
      <c r="NP22" s="13">
        <f t="shared" ca="1" si="185"/>
        <v>1</v>
      </c>
      <c r="NQ22" s="12">
        <f t="shared" ca="1" si="186"/>
        <v>1912.9110000000005</v>
      </c>
      <c r="NR22" s="79"/>
      <c r="NS22" s="12">
        <f t="shared" ca="1" si="406"/>
        <v>1912.9110000000005</v>
      </c>
      <c r="NT22" s="18">
        <f t="shared" ca="1" si="187"/>
        <v>1</v>
      </c>
      <c r="NV22" s="19">
        <f t="shared" ca="1" si="188"/>
        <v>1912.9110000000005</v>
      </c>
      <c r="NW22" s="19">
        <f ca="1">INDEX(Totals[[#Data],[#Totals],[Car - Note]:[NONTRACKED]],MATCH(NV$1,Totals[Date],0),MATCH($C22,Totals[[#Headers],[Car - Note]:[NONTRACKED]],0))</f>
        <v>0</v>
      </c>
      <c r="NX22" s="19">
        <f t="shared" ca="1" si="407"/>
        <v>1912.9110000000005</v>
      </c>
      <c r="NY22" s="33">
        <f ca="1">0.03*NW31</f>
        <v>121.60769999999999</v>
      </c>
      <c r="NZ22" s="33">
        <f ca="1">NE22+NY22</f>
        <v>2034.5187000000005</v>
      </c>
      <c r="OA22" s="19" t="b">
        <f t="shared" ca="1" si="408"/>
        <v>0</v>
      </c>
      <c r="OB22" s="100">
        <f t="shared" si="189"/>
        <v>1</v>
      </c>
      <c r="OC22" s="19">
        <f t="shared" ca="1" si="190"/>
        <v>121.60770000000002</v>
      </c>
      <c r="OD22" s="19">
        <f t="shared" ca="1" si="409"/>
        <v>121.60770000000004</v>
      </c>
      <c r="OE22" s="100">
        <f t="shared" si="191"/>
        <v>0</v>
      </c>
      <c r="OF22" s="19">
        <f t="shared" ca="1" si="192"/>
        <v>0</v>
      </c>
      <c r="OG22" s="19">
        <f t="shared" ca="1" si="193"/>
        <v>0</v>
      </c>
      <c r="OH22" s="19">
        <f t="shared" ca="1" si="410"/>
        <v>0</v>
      </c>
      <c r="OI22" s="19">
        <f t="shared" ca="1" si="194"/>
        <v>2034.5187000000005</v>
      </c>
      <c r="OJ22" s="19">
        <f t="shared" ca="1" si="195"/>
        <v>0</v>
      </c>
      <c r="OK22" s="19">
        <f t="shared" ca="1" si="196"/>
        <v>1</v>
      </c>
      <c r="OL22" s="12">
        <f t="shared" ca="1" si="197"/>
        <v>2034.5187000000005</v>
      </c>
      <c r="OM22" s="79"/>
      <c r="ON22" s="12">
        <f t="shared" ca="1" si="411"/>
        <v>2034.5187000000005</v>
      </c>
      <c r="OO22" s="18">
        <f t="shared" ca="1" si="198"/>
        <v>1</v>
      </c>
      <c r="OQ22" s="11">
        <f t="shared" ca="1" si="199"/>
        <v>2034.5187000000005</v>
      </c>
      <c r="OR22" s="11">
        <f ca="1">INDEX(Totals[[#Data],[#Totals],[Car - Note]:[NONTRACKED]],MATCH(OQ$1,Totals[Date],0),MATCH($C22,Totals[[#Headers],[Car - Note]:[NONTRACKED]],0))</f>
        <v>0</v>
      </c>
      <c r="OS22" s="11">
        <f t="shared" ca="1" si="412"/>
        <v>2034.5187000000005</v>
      </c>
      <c r="OT22" s="28">
        <f ca="1">0.03*OR31</f>
        <v>127.33170000000001</v>
      </c>
      <c r="OU22" s="28">
        <f ca="1">NZ22+OT22</f>
        <v>2161.8504000000007</v>
      </c>
      <c r="OV22" s="11" t="b">
        <f t="shared" ca="1" si="413"/>
        <v>0</v>
      </c>
      <c r="OW22" s="92">
        <f t="shared" si="200"/>
        <v>1</v>
      </c>
      <c r="OX22" s="11">
        <f t="shared" ca="1" si="201"/>
        <v>127.33170000000018</v>
      </c>
      <c r="OY22" s="11">
        <f t="shared" ca="1" si="414"/>
        <v>127.33170000000018</v>
      </c>
      <c r="OZ22" s="92">
        <f t="shared" si="202"/>
        <v>0</v>
      </c>
      <c r="PA22" s="11">
        <f t="shared" ca="1" si="203"/>
        <v>0</v>
      </c>
      <c r="PB22" s="11">
        <f t="shared" ca="1" si="204"/>
        <v>0</v>
      </c>
      <c r="PC22" s="11">
        <f t="shared" ca="1" si="415"/>
        <v>0</v>
      </c>
      <c r="PD22" s="11">
        <f t="shared" ca="1" si="205"/>
        <v>2161.8504000000007</v>
      </c>
      <c r="PE22" s="11">
        <f t="shared" ca="1" si="206"/>
        <v>0</v>
      </c>
      <c r="PF22" s="11">
        <f t="shared" ca="1" si="207"/>
        <v>1</v>
      </c>
      <c r="PG22" s="12">
        <f t="shared" ca="1" si="208"/>
        <v>2161.8504000000007</v>
      </c>
      <c r="PH22" s="79"/>
      <c r="PI22" s="12">
        <f t="shared" ca="1" si="416"/>
        <v>2161.8504000000007</v>
      </c>
      <c r="PJ22" s="18">
        <f t="shared" ca="1" si="209"/>
        <v>1</v>
      </c>
      <c r="PL22" s="13">
        <f t="shared" ca="1" si="210"/>
        <v>2161.8504000000007</v>
      </c>
      <c r="PM22" s="13">
        <f ca="1">INDEX(Totals[[#Data],[#Totals],[Car - Note]:[NONTRACKED]],MATCH(PL$1,Totals[Date],0),MATCH($C22,Totals[[#Headers],[Car - Note]:[NONTRACKED]],0))</f>
        <v>0</v>
      </c>
      <c r="PN22" s="13">
        <f t="shared" ca="1" si="417"/>
        <v>2161.8504000000007</v>
      </c>
      <c r="PO22" s="32">
        <f ca="1">0.03*PM31</f>
        <v>126.11241428571427</v>
      </c>
      <c r="PP22" s="32">
        <f ca="1">OU22+PO22</f>
        <v>2287.962814285715</v>
      </c>
      <c r="PQ22" s="13" t="b">
        <f t="shared" ca="1" si="418"/>
        <v>0</v>
      </c>
      <c r="PR22" s="94">
        <f t="shared" si="211"/>
        <v>1</v>
      </c>
      <c r="PS22" s="13">
        <f t="shared" ca="1" si="212"/>
        <v>126.11241428571429</v>
      </c>
      <c r="PT22" s="13">
        <f t="shared" ca="1" si="419"/>
        <v>126.11241428571429</v>
      </c>
      <c r="PU22" s="94">
        <f t="shared" si="213"/>
        <v>0</v>
      </c>
      <c r="PV22" s="13">
        <f t="shared" ca="1" si="214"/>
        <v>0</v>
      </c>
      <c r="PW22" s="13">
        <f t="shared" ca="1" si="215"/>
        <v>0</v>
      </c>
      <c r="PX22" s="13">
        <f t="shared" ca="1" si="420"/>
        <v>0</v>
      </c>
      <c r="PY22" s="13">
        <f t="shared" ca="1" si="216"/>
        <v>2287.962814285715</v>
      </c>
      <c r="PZ22" s="13">
        <f t="shared" ca="1" si="217"/>
        <v>0</v>
      </c>
      <c r="QA22" s="13">
        <f t="shared" ca="1" si="218"/>
        <v>1</v>
      </c>
      <c r="QB22" s="12">
        <f t="shared" ca="1" si="219"/>
        <v>2287.962814285715</v>
      </c>
      <c r="QC22" s="79"/>
      <c r="QD22" s="12">
        <f t="shared" ca="1" si="421"/>
        <v>2287.962814285715</v>
      </c>
      <c r="QE22" s="18">
        <f t="shared" ca="1" si="220"/>
        <v>1</v>
      </c>
      <c r="QG22" s="19">
        <f t="shared" ca="1" si="221"/>
        <v>2287.962814285715</v>
      </c>
      <c r="QH22" s="19">
        <f ca="1">INDEX(Totals[[#Data],[#Totals],[Car - Note]:[NONTRACKED]],MATCH(QG$1,Totals[Date],0),MATCH($C22,Totals[[#Headers],[Car - Note]:[NONTRACKED]],0))</f>
        <v>0</v>
      </c>
      <c r="QI22" s="19">
        <f t="shared" ca="1" si="422"/>
        <v>2287.962814285715</v>
      </c>
      <c r="QJ22" s="33">
        <f ca="1">0.03*QH31</f>
        <v>122.04462857142858</v>
      </c>
      <c r="QK22" s="33">
        <f ca="1">PP22+QJ22</f>
        <v>2410.0074428571434</v>
      </c>
      <c r="QL22" s="19" t="b">
        <f t="shared" ca="1" si="423"/>
        <v>0</v>
      </c>
      <c r="QM22" s="100">
        <f t="shared" si="222"/>
        <v>1</v>
      </c>
      <c r="QN22" s="19">
        <f t="shared" ca="1" si="223"/>
        <v>122.04462857142835</v>
      </c>
      <c r="QO22" s="19">
        <f t="shared" ca="1" si="424"/>
        <v>122.04462857142835</v>
      </c>
      <c r="QP22" s="100">
        <f t="shared" si="224"/>
        <v>0</v>
      </c>
      <c r="QQ22" s="19">
        <f t="shared" ca="1" si="225"/>
        <v>0</v>
      </c>
      <c r="QR22" s="19">
        <f t="shared" ca="1" si="226"/>
        <v>0</v>
      </c>
      <c r="QS22" s="19">
        <f t="shared" ca="1" si="425"/>
        <v>0</v>
      </c>
      <c r="QT22" s="19">
        <f t="shared" ca="1" si="227"/>
        <v>2410.0074428571434</v>
      </c>
      <c r="QU22" s="19">
        <f t="shared" ca="1" si="228"/>
        <v>0</v>
      </c>
      <c r="QV22" s="19">
        <f t="shared" ca="1" si="229"/>
        <v>1</v>
      </c>
      <c r="QW22" s="12">
        <f t="shared" ca="1" si="230"/>
        <v>2410.0074428571434</v>
      </c>
      <c r="QX22" s="79"/>
      <c r="QY22" s="12">
        <f t="shared" ca="1" si="426"/>
        <v>2410.0074428571434</v>
      </c>
      <c r="QZ22" s="18">
        <f t="shared" ca="1" si="231"/>
        <v>1</v>
      </c>
      <c r="RB22" s="11">
        <f t="shared" ca="1" si="232"/>
        <v>2410.0074428571434</v>
      </c>
      <c r="RC22" s="11">
        <f ca="1">INDEX(Totals[[#Data],[#Totals],[Car - Note]:[NONTRACKED]],MATCH(RB$1,Totals[Date],0),MATCH($C22,Totals[[#Headers],[Car - Note]:[NONTRACKED]],0))</f>
        <v>0</v>
      </c>
      <c r="RD22" s="11">
        <f t="shared" ca="1" si="427"/>
        <v>2410.0074428571434</v>
      </c>
      <c r="RE22" s="28">
        <f ca="1">0.03*RC31</f>
        <v>126.11262857142859</v>
      </c>
      <c r="RF22" s="28">
        <f ca="1">QK22+RE22</f>
        <v>2536.1200714285719</v>
      </c>
      <c r="RG22" s="11" t="b">
        <f t="shared" ca="1" si="428"/>
        <v>0</v>
      </c>
      <c r="RH22" s="92">
        <f t="shared" si="233"/>
        <v>1</v>
      </c>
      <c r="RI22" s="11">
        <f t="shared" ca="1" si="234"/>
        <v>126.11262857142856</v>
      </c>
      <c r="RJ22" s="11">
        <f t="shared" ca="1" si="429"/>
        <v>126.11262857142856</v>
      </c>
      <c r="RK22" s="92">
        <f t="shared" si="235"/>
        <v>0</v>
      </c>
      <c r="RL22" s="11">
        <f t="shared" ca="1" si="236"/>
        <v>0</v>
      </c>
      <c r="RM22" s="11">
        <f t="shared" ca="1" si="237"/>
        <v>0</v>
      </c>
      <c r="RN22" s="11">
        <f t="shared" ca="1" si="430"/>
        <v>0</v>
      </c>
      <c r="RO22" s="11">
        <f t="shared" ca="1" si="238"/>
        <v>2536.1200714285719</v>
      </c>
      <c r="RP22" s="11">
        <f t="shared" ca="1" si="239"/>
        <v>0</v>
      </c>
      <c r="RQ22" s="11">
        <f t="shared" ca="1" si="240"/>
        <v>1</v>
      </c>
      <c r="RR22" s="12">
        <f t="shared" ca="1" si="241"/>
        <v>2536.1200714285719</v>
      </c>
      <c r="RS22" s="79"/>
      <c r="RT22" s="12">
        <f t="shared" ca="1" si="431"/>
        <v>2536.1200714285719</v>
      </c>
      <c r="RU22" s="18">
        <f t="shared" ca="1" si="242"/>
        <v>1</v>
      </c>
      <c r="RW22" s="13">
        <f t="shared" ca="1" si="243"/>
        <v>2536.1200714285719</v>
      </c>
      <c r="RX22" s="13">
        <f ca="1">INDEX(Totals[[#Data],[#Totals],[Car - Note]:[NONTRACKED]],MATCH(RW$1,Totals[Date],0),MATCH($C22,Totals[[#Headers],[Car - Note]:[NONTRACKED]],0))</f>
        <v>0</v>
      </c>
      <c r="RY22" s="13">
        <f t="shared" ca="1" si="432"/>
        <v>2536.1200714285719</v>
      </c>
      <c r="RZ22" s="32">
        <f ca="1">0.03*RX31</f>
        <v>122.44152857142858</v>
      </c>
      <c r="SA22" s="32">
        <f ca="1">RF22+RZ22</f>
        <v>2658.5616000000005</v>
      </c>
      <c r="SB22" s="13" t="b">
        <f t="shared" ca="1" si="433"/>
        <v>0</v>
      </c>
      <c r="SC22" s="94">
        <f t="shared" si="244"/>
        <v>1</v>
      </c>
      <c r="SD22" s="13">
        <f t="shared" ca="1" si="245"/>
        <v>122.44152857142853</v>
      </c>
      <c r="SE22" s="13">
        <f t="shared" ca="1" si="434"/>
        <v>122.44152857142853</v>
      </c>
      <c r="SF22" s="94">
        <f t="shared" si="246"/>
        <v>0</v>
      </c>
      <c r="SG22" s="13">
        <f t="shared" ca="1" si="247"/>
        <v>0</v>
      </c>
      <c r="SH22" s="13">
        <f t="shared" ca="1" si="248"/>
        <v>0</v>
      </c>
      <c r="SI22" s="13">
        <f t="shared" ca="1" si="435"/>
        <v>0</v>
      </c>
      <c r="SJ22" s="13">
        <f t="shared" ca="1" si="249"/>
        <v>2658.5616000000005</v>
      </c>
      <c r="SK22" s="13">
        <f t="shared" ca="1" si="250"/>
        <v>0</v>
      </c>
      <c r="SL22" s="13">
        <f t="shared" ca="1" si="251"/>
        <v>1</v>
      </c>
      <c r="SM22" s="12">
        <f t="shared" ca="1" si="252"/>
        <v>2658.5616000000005</v>
      </c>
      <c r="SN22" s="79"/>
      <c r="SO22" s="12">
        <f t="shared" ca="1" si="436"/>
        <v>2658.5616000000005</v>
      </c>
      <c r="SP22" s="18">
        <f t="shared" ca="1" si="253"/>
        <v>1</v>
      </c>
      <c r="SR22" s="19">
        <f t="shared" ca="1" si="254"/>
        <v>2658.5616000000005</v>
      </c>
      <c r="SS22" s="19">
        <f ca="1">INDEX(Totals[[#Data],[#Totals],[Car - Note]:[NONTRACKED]],MATCH(SR$1,Totals[Date],0),MATCH($C22,Totals[[#Headers],[Car - Note]:[NONTRACKED]],0))</f>
        <v>0</v>
      </c>
      <c r="ST22" s="19">
        <f t="shared" ca="1" si="437"/>
        <v>2658.5616000000005</v>
      </c>
      <c r="SU22" s="33">
        <f ca="1">0.03*SS31</f>
        <v>126.11264999999997</v>
      </c>
      <c r="SV22" s="33">
        <f ca="1">SA22+SU22</f>
        <v>2784.6742500000005</v>
      </c>
      <c r="SW22" s="19" t="b">
        <f t="shared" ca="1" si="438"/>
        <v>0</v>
      </c>
      <c r="SX22" s="100">
        <f t="shared" si="255"/>
        <v>1</v>
      </c>
      <c r="SY22" s="19">
        <f t="shared" ca="1" si="256"/>
        <v>126.11265000000003</v>
      </c>
      <c r="SZ22" s="19">
        <f t="shared" ca="1" si="439"/>
        <v>126.11265000000004</v>
      </c>
      <c r="TA22" s="100">
        <f t="shared" si="257"/>
        <v>0</v>
      </c>
      <c r="TB22" s="19">
        <f t="shared" ca="1" si="258"/>
        <v>0</v>
      </c>
      <c r="TC22" s="19">
        <f t="shared" ca="1" si="259"/>
        <v>0</v>
      </c>
      <c r="TD22" s="19">
        <f t="shared" ca="1" si="440"/>
        <v>0</v>
      </c>
      <c r="TE22" s="19">
        <f t="shared" ca="1" si="260"/>
        <v>2784.6742500000005</v>
      </c>
      <c r="TF22" s="19">
        <f t="shared" ca="1" si="261"/>
        <v>0</v>
      </c>
      <c r="TG22" s="19">
        <f t="shared" ca="1" si="262"/>
        <v>1</v>
      </c>
      <c r="TH22" s="12">
        <f t="shared" ca="1" si="263"/>
        <v>2784.6742500000005</v>
      </c>
      <c r="TI22" s="79"/>
      <c r="TJ22" s="12">
        <f t="shared" ca="1" si="441"/>
        <v>2784.6742500000005</v>
      </c>
      <c r="TK22" s="18">
        <f t="shared" ca="1" si="264"/>
        <v>1</v>
      </c>
      <c r="TM22" s="11">
        <f t="shared" ca="1" si="265"/>
        <v>2784.6742500000005</v>
      </c>
      <c r="TN22" s="11">
        <f ca="1">INDEX(Totals[[#Data],[#Totals],[Car - Note]:[NONTRACKED]],MATCH(TM$1,Totals[Date],0),MATCH($C22,Totals[[#Headers],[Car - Note]:[NONTRACKED]],0))</f>
        <v>0</v>
      </c>
      <c r="TO22" s="11">
        <f t="shared" ca="1" si="442"/>
        <v>2784.6742500000005</v>
      </c>
      <c r="TP22" s="28">
        <f ca="1">0.05*TN31</f>
        <v>210.43510714285713</v>
      </c>
      <c r="TQ22" s="28">
        <f ca="1">SV22+TP22</f>
        <v>2995.1093571428578</v>
      </c>
      <c r="TR22" s="11" t="b">
        <f t="shared" ca="1" si="443"/>
        <v>0</v>
      </c>
      <c r="TS22" s="92">
        <f t="shared" si="266"/>
        <v>1</v>
      </c>
      <c r="TT22" s="11">
        <f t="shared" ca="1" si="267"/>
        <v>210.43510714285731</v>
      </c>
      <c r="TU22" s="11">
        <f t="shared" ca="1" si="444"/>
        <v>210.43510714285731</v>
      </c>
      <c r="TV22" s="92">
        <f t="shared" si="268"/>
        <v>0</v>
      </c>
      <c r="TW22" s="11">
        <f t="shared" ca="1" si="269"/>
        <v>0</v>
      </c>
      <c r="TX22" s="11">
        <f t="shared" ca="1" si="270"/>
        <v>0</v>
      </c>
      <c r="TY22" s="11">
        <f t="shared" ca="1" si="445"/>
        <v>0</v>
      </c>
      <c r="TZ22" s="11">
        <f t="shared" ca="1" si="271"/>
        <v>2995.1093571428578</v>
      </c>
      <c r="UA22" s="11">
        <f t="shared" ca="1" si="272"/>
        <v>0</v>
      </c>
      <c r="UB22" s="11">
        <f t="shared" ca="1" si="273"/>
        <v>1</v>
      </c>
      <c r="UC22" s="12">
        <f t="shared" ca="1" si="274"/>
        <v>2995.1093571428578</v>
      </c>
      <c r="UD22" s="79"/>
      <c r="UE22" s="12">
        <f t="shared" ca="1" si="446"/>
        <v>2995.1093571428578</v>
      </c>
      <c r="UF22" s="18">
        <f t="shared" ca="1" si="275"/>
        <v>1</v>
      </c>
      <c r="UH22" s="13">
        <f t="shared" ca="1" si="276"/>
        <v>2995.1093571428578</v>
      </c>
      <c r="UI22" s="13">
        <f ca="1">INDEX(Totals[[#Data],[#Totals],[Car - Note]:[NONTRACKED]],MATCH(UH$1,Totals[Date],0),MATCH($C22,Totals[[#Headers],[Car - Note]:[NONTRACKED]],0))</f>
        <v>0</v>
      </c>
      <c r="UJ22" s="13">
        <f t="shared" ca="1" si="447"/>
        <v>2995.1093571428578</v>
      </c>
      <c r="UK22" s="32">
        <f ca="1">0.05*UI31</f>
        <v>197.07567857142857</v>
      </c>
      <c r="UL22" s="32">
        <f ca="1">TQ22+UK22</f>
        <v>3192.1850357142862</v>
      </c>
      <c r="UM22" s="13" t="b">
        <f t="shared" ca="1" si="448"/>
        <v>0</v>
      </c>
      <c r="UN22" s="94">
        <f t="shared" si="277"/>
        <v>1</v>
      </c>
      <c r="UO22" s="13">
        <f t="shared" ca="1" si="278"/>
        <v>197.0756785714284</v>
      </c>
      <c r="UP22" s="13">
        <f t="shared" ca="1" si="449"/>
        <v>197.0756785714284</v>
      </c>
      <c r="UQ22" s="94">
        <f t="shared" si="279"/>
        <v>0</v>
      </c>
      <c r="UR22" s="13">
        <f t="shared" ca="1" si="280"/>
        <v>0</v>
      </c>
      <c r="US22" s="13">
        <f t="shared" ca="1" si="281"/>
        <v>0</v>
      </c>
      <c r="UT22" s="13">
        <f t="shared" ca="1" si="450"/>
        <v>0</v>
      </c>
      <c r="UU22" s="13">
        <f t="shared" ca="1" si="282"/>
        <v>3192.1850357142862</v>
      </c>
      <c r="UV22" s="13">
        <f t="shared" ca="1" si="283"/>
        <v>0</v>
      </c>
      <c r="UW22" s="13">
        <f t="shared" ca="1" si="284"/>
        <v>1</v>
      </c>
      <c r="UX22" s="12">
        <f t="shared" ca="1" si="285"/>
        <v>3192.1850357142862</v>
      </c>
      <c r="UY22" s="79"/>
      <c r="UZ22" s="12">
        <f t="shared" ca="1" si="451"/>
        <v>3192.1850357142862</v>
      </c>
      <c r="VA22" s="18">
        <f t="shared" ca="1" si="286"/>
        <v>1</v>
      </c>
      <c r="VC22" s="19">
        <f t="shared" ca="1" si="287"/>
        <v>3192.1850357142862</v>
      </c>
      <c r="VD22" s="19">
        <f ca="1">INDEX(Totals[[#Data],[#Totals],[Car - Note]:[NONTRACKED]],MATCH(VC$1,Totals[Date],0),MATCH($C22,Totals[[#Headers],[Car - Note]:[NONTRACKED]],0))</f>
        <v>0</v>
      </c>
      <c r="VE22" s="19">
        <f t="shared" ca="1" si="452"/>
        <v>3192.1850357142862</v>
      </c>
      <c r="VF22" s="33">
        <f ca="1">0.05*VD31</f>
        <v>210.66724999999997</v>
      </c>
      <c r="VG22" s="33">
        <f ca="1">UL22+VF22</f>
        <v>3402.8522857142862</v>
      </c>
      <c r="VH22" s="19" t="b">
        <f t="shared" ca="1" si="453"/>
        <v>0</v>
      </c>
      <c r="VI22" s="100">
        <f t="shared" si="288"/>
        <v>1</v>
      </c>
      <c r="VJ22" s="19">
        <f t="shared" ca="1" si="289"/>
        <v>210.66724999999997</v>
      </c>
      <c r="VK22" s="19">
        <f t="shared" ca="1" si="454"/>
        <v>210.66724999999997</v>
      </c>
      <c r="VL22" s="100">
        <f t="shared" si="290"/>
        <v>0</v>
      </c>
      <c r="VM22" s="19">
        <f t="shared" ca="1" si="291"/>
        <v>0</v>
      </c>
      <c r="VN22" s="19">
        <f t="shared" ca="1" si="292"/>
        <v>0</v>
      </c>
      <c r="VO22" s="19">
        <f t="shared" ca="1" si="455"/>
        <v>0</v>
      </c>
      <c r="VP22" s="19">
        <f t="shared" ca="1" si="293"/>
        <v>3402.8522857142862</v>
      </c>
      <c r="VQ22" s="19">
        <f t="shared" ca="1" si="294"/>
        <v>0</v>
      </c>
      <c r="VR22" s="19">
        <f t="shared" ca="1" si="295"/>
        <v>1</v>
      </c>
      <c r="VS22" s="12">
        <f t="shared" ca="1" si="296"/>
        <v>3402.8522857142862</v>
      </c>
      <c r="VT22" s="79"/>
      <c r="VU22" s="12">
        <f t="shared" ca="1" si="456"/>
        <v>3402.8522857142862</v>
      </c>
      <c r="VV22" s="18">
        <f t="shared" ca="1" si="297"/>
        <v>1</v>
      </c>
      <c r="VX22" s="11">
        <f t="shared" ca="1" si="298"/>
        <v>3402.8522857142862</v>
      </c>
      <c r="VY22" s="11">
        <f ca="1">INDEX(Totals[[#Data],[#Totals],[Car - Note]:[NONTRACKED]],MATCH(VX$1,Totals[Date],0),MATCH($C22,Totals[[#Headers],[Car - Note]:[NONTRACKED]],0))</f>
        <v>0</v>
      </c>
      <c r="VZ22" s="11">
        <f t="shared" ca="1" si="457"/>
        <v>3402.8522857142862</v>
      </c>
      <c r="WA22" s="28">
        <f ca="1">0.05*VY31</f>
        <v>203.87142857142859</v>
      </c>
      <c r="WB22" s="28">
        <f ca="1">VG22+WA22</f>
        <v>3606.7237142857148</v>
      </c>
      <c r="WC22" s="11" t="b">
        <f t="shared" ca="1" si="458"/>
        <v>0</v>
      </c>
      <c r="WD22" s="92">
        <f t="shared" si="299"/>
        <v>1</v>
      </c>
      <c r="WE22" s="11">
        <f t="shared" ca="1" si="300"/>
        <v>203.87142857142862</v>
      </c>
      <c r="WF22" s="11">
        <f t="shared" ca="1" si="459"/>
        <v>203.87142857142862</v>
      </c>
      <c r="WG22" s="92">
        <f t="shared" si="301"/>
        <v>0</v>
      </c>
      <c r="WH22" s="11">
        <f t="shared" ca="1" si="302"/>
        <v>0</v>
      </c>
      <c r="WI22" s="11">
        <f t="shared" ca="1" si="303"/>
        <v>0</v>
      </c>
      <c r="WJ22" s="11">
        <f t="shared" ca="1" si="460"/>
        <v>0</v>
      </c>
      <c r="WK22" s="11">
        <f t="shared" ca="1" si="304"/>
        <v>3606.7237142857148</v>
      </c>
      <c r="WL22" s="11">
        <f t="shared" ca="1" si="305"/>
        <v>0</v>
      </c>
      <c r="WM22" s="11">
        <f t="shared" ca="1" si="306"/>
        <v>1</v>
      </c>
      <c r="WN22" s="12">
        <f t="shared" ca="1" si="307"/>
        <v>3606.7237142857148</v>
      </c>
      <c r="WO22" s="79"/>
      <c r="WP22" s="12">
        <f t="shared" ca="1" si="461"/>
        <v>3606.7237142857148</v>
      </c>
      <c r="WQ22" s="18">
        <f t="shared" ca="1" si="308"/>
        <v>1</v>
      </c>
      <c r="WS22" s="13">
        <f t="shared" ca="1" si="309"/>
        <v>3606.7237142857148</v>
      </c>
      <c r="WT22" s="13">
        <f ca="1">INDEX(Totals[[#Data],[#Totals],[Car - Note]:[NONTRACKED]],MATCH(WS$1,Totals[Date],0),MATCH($C22,Totals[[#Headers],[Car - Note]:[NONTRACKED]],0))</f>
        <v>0</v>
      </c>
      <c r="WU22" s="13">
        <f t="shared" ca="1" si="462"/>
        <v>3606.7237142857148</v>
      </c>
      <c r="WV22" s="32">
        <f ca="1">0.05*WT31</f>
        <v>210.66714285714289</v>
      </c>
      <c r="WW22" s="32">
        <f ca="1">WB22+WV22</f>
        <v>3817.3908571428578</v>
      </c>
      <c r="WX22" s="13" t="b">
        <f t="shared" ca="1" si="463"/>
        <v>0</v>
      </c>
      <c r="WY22" s="94">
        <f t="shared" si="310"/>
        <v>1</v>
      </c>
      <c r="WZ22" s="13">
        <f t="shared" ca="1" si="311"/>
        <v>210.66714285714306</v>
      </c>
      <c r="XA22" s="13">
        <f t="shared" ca="1" si="464"/>
        <v>210.66714285714306</v>
      </c>
      <c r="XB22" s="94">
        <f t="shared" si="312"/>
        <v>0</v>
      </c>
      <c r="XC22" s="13">
        <f t="shared" ca="1" si="313"/>
        <v>0</v>
      </c>
      <c r="XD22" s="13">
        <f t="shared" ca="1" si="314"/>
        <v>0</v>
      </c>
      <c r="XE22" s="13">
        <f t="shared" ca="1" si="465"/>
        <v>0</v>
      </c>
      <c r="XF22" s="13">
        <f t="shared" ca="1" si="315"/>
        <v>3817.3908571428578</v>
      </c>
      <c r="XG22" s="13">
        <f t="shared" ca="1" si="316"/>
        <v>0</v>
      </c>
      <c r="XH22" s="13">
        <f t="shared" ca="1" si="317"/>
        <v>1</v>
      </c>
      <c r="XI22" s="12">
        <f t="shared" ca="1" si="318"/>
        <v>3817.3908571428578</v>
      </c>
      <c r="XJ22" s="104">
        <f t="shared" ca="1" si="471"/>
        <v>0</v>
      </c>
      <c r="XK22" s="12">
        <f t="shared" ca="1" si="466"/>
        <v>3817.3908571428578</v>
      </c>
      <c r="XL22" s="18">
        <f t="shared" ca="1" si="320"/>
        <v>1</v>
      </c>
      <c r="XN22">
        <v>0</v>
      </c>
      <c r="XO22" s="103">
        <f t="shared" ca="1" si="467"/>
        <v>0</v>
      </c>
      <c r="XP22" s="12">
        <f t="shared" ca="1" si="468"/>
        <v>3606.7237142857148</v>
      </c>
      <c r="XQ22" s="102">
        <f t="shared" ca="1" si="469"/>
        <v>1</v>
      </c>
    </row>
    <row r="23" spans="1:641" x14ac:dyDescent="0.25">
      <c r="A23" s="112"/>
      <c r="B23" t="s">
        <v>50</v>
      </c>
      <c r="C23" t="s">
        <v>33</v>
      </c>
      <c r="D23" s="79">
        <f>D31*-0.12</f>
        <v>-451.17514285714282</v>
      </c>
      <c r="E23" t="b">
        <v>1</v>
      </c>
      <c r="F23" t="s">
        <v>948</v>
      </c>
      <c r="H23" s="48">
        <v>0</v>
      </c>
      <c r="I23" s="48"/>
      <c r="J23" s="48"/>
      <c r="K23" s="97">
        <f>0.12*I31</f>
        <v>0</v>
      </c>
      <c r="L23" s="95">
        <v>0</v>
      </c>
      <c r="M23" s="48"/>
      <c r="N23" s="96"/>
      <c r="O23" s="48"/>
      <c r="P23" s="48"/>
      <c r="Q23" s="96"/>
      <c r="R23" s="48"/>
      <c r="S23" s="48"/>
      <c r="T23" s="48"/>
      <c r="U23" s="48"/>
      <c r="V23" s="48"/>
      <c r="W23" s="48"/>
      <c r="X23" s="48"/>
      <c r="Y23" s="48"/>
      <c r="Z23" s="48">
        <f t="shared" si="321"/>
        <v>0</v>
      </c>
      <c r="AA23" s="98" t="str">
        <f t="shared" si="0"/>
        <v>NA</v>
      </c>
      <c r="AC23" s="11">
        <f t="shared" si="1"/>
        <v>0</v>
      </c>
      <c r="AD23" s="11">
        <f ca="1">INDEX(Totals[[#Data],[#Totals],[Car - Note]:[NONTRACKED]],MATCH(AC$1,Totals[Date],0),MATCH($C23,Totals[[#Headers],[Car - Note]:[NONTRACKED]],0))</f>
        <v>0</v>
      </c>
      <c r="AE23" s="11">
        <f t="shared" ca="1" si="322"/>
        <v>0</v>
      </c>
      <c r="AF23" s="28">
        <f ca="1">0.12*AD31</f>
        <v>0</v>
      </c>
      <c r="AG23" s="28">
        <f ca="1">L23+AF23</f>
        <v>0</v>
      </c>
      <c r="AH23" s="11" t="b">
        <f t="shared" ca="1" si="323"/>
        <v>1</v>
      </c>
      <c r="AI23" s="92">
        <f t="shared" si="2"/>
        <v>1</v>
      </c>
      <c r="AJ23" s="11">
        <f t="shared" ca="1" si="3"/>
        <v>0</v>
      </c>
      <c r="AK23" s="11">
        <f t="shared" ca="1" si="324"/>
        <v>0</v>
      </c>
      <c r="AL23" s="92">
        <f t="shared" si="4"/>
        <v>0</v>
      </c>
      <c r="AM23" s="11">
        <f t="shared" ca="1" si="5"/>
        <v>0</v>
      </c>
      <c r="AN23" s="11">
        <f t="shared" ca="1" si="6"/>
        <v>0</v>
      </c>
      <c r="AO23" s="11">
        <f t="shared" ca="1" si="325"/>
        <v>0</v>
      </c>
      <c r="AP23" s="11">
        <f t="shared" ca="1" si="7"/>
        <v>0</v>
      </c>
      <c r="AQ23" s="11">
        <f t="shared" ca="1" si="8"/>
        <v>0</v>
      </c>
      <c r="AR23" s="11" t="str">
        <f t="shared" ca="1" si="9"/>
        <v>NA</v>
      </c>
      <c r="AS23" s="12">
        <f t="shared" ca="1" si="10"/>
        <v>0</v>
      </c>
      <c r="AT23" s="12"/>
      <c r="AU23" s="12">
        <f t="shared" ca="1" si="326"/>
        <v>0</v>
      </c>
      <c r="AV23" s="18" t="str">
        <f t="shared" ca="1" si="11"/>
        <v>NA</v>
      </c>
      <c r="AX23" s="13">
        <f t="shared" ca="1" si="12"/>
        <v>0</v>
      </c>
      <c r="AY23" s="13">
        <f ca="1">INDEX(Totals[[#Data],[#Totals],[Car - Note]:[NONTRACKED]],MATCH(AX$1,Totals[Date],0),MATCH($C23,Totals[[#Headers],[Car - Note]:[NONTRACKED]],0))</f>
        <v>0</v>
      </c>
      <c r="AZ23" s="13">
        <f t="shared" ca="1" si="327"/>
        <v>0</v>
      </c>
      <c r="BA23" s="32">
        <f ca="1">0.12*AY31</f>
        <v>350.67239999999998</v>
      </c>
      <c r="BB23" s="32">
        <f ca="1">AG23+BA23</f>
        <v>350.67239999999998</v>
      </c>
      <c r="BC23" s="13" t="b">
        <f t="shared" ca="1" si="328"/>
        <v>0</v>
      </c>
      <c r="BD23" s="94">
        <f t="shared" si="13"/>
        <v>1</v>
      </c>
      <c r="BE23" s="13">
        <f t="shared" ca="1" si="14"/>
        <v>350.67239999999998</v>
      </c>
      <c r="BF23" s="13">
        <f t="shared" ca="1" si="329"/>
        <v>350.67239999999998</v>
      </c>
      <c r="BG23" s="94">
        <f t="shared" si="15"/>
        <v>0</v>
      </c>
      <c r="BH23" s="13">
        <f t="shared" ca="1" si="16"/>
        <v>0</v>
      </c>
      <c r="BI23" s="13">
        <f t="shared" ca="1" si="17"/>
        <v>0</v>
      </c>
      <c r="BJ23" s="13">
        <f t="shared" ca="1" si="330"/>
        <v>0</v>
      </c>
      <c r="BK23" s="13">
        <f t="shared" ca="1" si="18"/>
        <v>350.67239999999998</v>
      </c>
      <c r="BL23" s="13">
        <f t="shared" ca="1" si="19"/>
        <v>0</v>
      </c>
      <c r="BM23" s="13">
        <f t="shared" ca="1" si="20"/>
        <v>1</v>
      </c>
      <c r="BN23" s="12">
        <f t="shared" ca="1" si="21"/>
        <v>350.67239999999998</v>
      </c>
      <c r="BO23" s="12"/>
      <c r="BP23" s="12">
        <f t="shared" ca="1" si="331"/>
        <v>350.67239999999998</v>
      </c>
      <c r="BQ23" s="18">
        <f t="shared" ca="1" si="22"/>
        <v>1</v>
      </c>
      <c r="BS23" s="19">
        <f t="shared" ca="1" si="23"/>
        <v>350.67239999999998</v>
      </c>
      <c r="BT23" s="19">
        <f ca="1">INDEX(Totals[[#Data],[#Totals],[Car - Note]:[NONTRACKED]],MATCH(BS$1,Totals[Date],0),MATCH($C23,Totals[[#Headers],[Car - Note]:[NONTRACKED]],0))</f>
        <v>0</v>
      </c>
      <c r="BU23" s="19">
        <f t="shared" ca="1" si="332"/>
        <v>350.67239999999998</v>
      </c>
      <c r="BV23" s="33">
        <f ca="1">0.12*BT31</f>
        <v>508.42645714285715</v>
      </c>
      <c r="BW23" s="33">
        <f ca="1">BB23+BV23</f>
        <v>859.09885714285713</v>
      </c>
      <c r="BX23" s="19" t="b">
        <f t="shared" ca="1" si="333"/>
        <v>0</v>
      </c>
      <c r="BY23" s="100">
        <f t="shared" si="24"/>
        <v>1</v>
      </c>
      <c r="BZ23" s="19">
        <f t="shared" ca="1" si="25"/>
        <v>508.42645714285715</v>
      </c>
      <c r="CA23" s="19">
        <f t="shared" ca="1" si="334"/>
        <v>508.42645714285715</v>
      </c>
      <c r="CB23" s="100">
        <f t="shared" si="26"/>
        <v>0</v>
      </c>
      <c r="CC23" s="19">
        <f t="shared" ca="1" si="27"/>
        <v>0</v>
      </c>
      <c r="CD23" s="19">
        <f t="shared" ca="1" si="28"/>
        <v>0</v>
      </c>
      <c r="CE23" s="19">
        <f t="shared" ca="1" si="335"/>
        <v>0</v>
      </c>
      <c r="CF23" s="19">
        <f t="shared" ca="1" si="29"/>
        <v>859.09885714285713</v>
      </c>
      <c r="CG23" s="19">
        <f t="shared" ca="1" si="30"/>
        <v>0</v>
      </c>
      <c r="CH23" s="19">
        <f t="shared" ca="1" si="31"/>
        <v>1</v>
      </c>
      <c r="CI23" s="12">
        <f t="shared" ca="1" si="32"/>
        <v>859.09885714285713</v>
      </c>
      <c r="CJ23" s="12"/>
      <c r="CK23" s="12">
        <f t="shared" ca="1" si="336"/>
        <v>859.09885714285713</v>
      </c>
      <c r="CL23" s="18">
        <f t="shared" ca="1" si="33"/>
        <v>1</v>
      </c>
      <c r="CN23" s="11">
        <f t="shared" ca="1" si="34"/>
        <v>859.09885714285713</v>
      </c>
      <c r="CO23" s="11">
        <f ca="1">INDEX(Totals[[#Data],[#Totals],[Car - Note]:[NONTRACKED]],MATCH(CN$1,Totals[Date],0),MATCH($C23,Totals[[#Headers],[Car - Note]:[NONTRACKED]],0))</f>
        <v>0</v>
      </c>
      <c r="CP23" s="11">
        <f t="shared" ca="1" si="337"/>
        <v>859.09885714285713</v>
      </c>
      <c r="CQ23" s="28">
        <f ca="1">0.12*CO31</f>
        <v>489.47657142857145</v>
      </c>
      <c r="CR23" s="28">
        <f ca="1">BW23+CQ23</f>
        <v>1348.5754285714286</v>
      </c>
      <c r="CS23" s="11" t="b">
        <f t="shared" ca="1" si="338"/>
        <v>0</v>
      </c>
      <c r="CT23" s="92">
        <f t="shared" si="35"/>
        <v>1</v>
      </c>
      <c r="CU23" s="11">
        <f t="shared" ca="1" si="36"/>
        <v>489.47657142857145</v>
      </c>
      <c r="CV23" s="11">
        <f t="shared" ca="1" si="339"/>
        <v>489.4765714285715</v>
      </c>
      <c r="CW23" s="92">
        <f t="shared" si="37"/>
        <v>0</v>
      </c>
      <c r="CX23" s="11">
        <f t="shared" ca="1" si="38"/>
        <v>0</v>
      </c>
      <c r="CY23" s="11">
        <f t="shared" ca="1" si="39"/>
        <v>0</v>
      </c>
      <c r="CZ23" s="11">
        <f t="shared" ca="1" si="340"/>
        <v>0</v>
      </c>
      <c r="DA23" s="11">
        <f t="shared" ca="1" si="40"/>
        <v>1348.5754285714286</v>
      </c>
      <c r="DB23" s="11">
        <f t="shared" ca="1" si="41"/>
        <v>0</v>
      </c>
      <c r="DC23" s="11">
        <f t="shared" ca="1" si="42"/>
        <v>1</v>
      </c>
      <c r="DD23" s="12">
        <f t="shared" ca="1" si="43"/>
        <v>1348.5754285714286</v>
      </c>
      <c r="DE23" s="79"/>
      <c r="DF23" s="12">
        <f t="shared" ca="1" si="341"/>
        <v>1348.5754285714286</v>
      </c>
      <c r="DG23" s="18">
        <f t="shared" ca="1" si="44"/>
        <v>1</v>
      </c>
      <c r="DI23" s="13">
        <f t="shared" ca="1" si="45"/>
        <v>1348.5754285714286</v>
      </c>
      <c r="DJ23" s="13">
        <f ca="1">INDEX(Totals[[#Data],[#Totals],[Car - Note]:[NONTRACKED]],MATCH(DI$1,Totals[Date],0),MATCH($C23,Totals[[#Headers],[Car - Note]:[NONTRACKED]],0))</f>
        <v>0</v>
      </c>
      <c r="DK23" s="13">
        <f t="shared" ca="1" si="342"/>
        <v>1348.5754285714286</v>
      </c>
      <c r="DL23" s="32">
        <f ca="1">0.12*DJ31</f>
        <v>477.70542857142857</v>
      </c>
      <c r="DM23" s="32">
        <f ca="1">CR23+DL23</f>
        <v>1826.2808571428573</v>
      </c>
      <c r="DN23" s="13" t="b">
        <f t="shared" ca="1" si="343"/>
        <v>0</v>
      </c>
      <c r="DO23" s="94">
        <f t="shared" si="46"/>
        <v>1</v>
      </c>
      <c r="DP23" s="13">
        <f t="shared" ca="1" si="47"/>
        <v>477.70542857142868</v>
      </c>
      <c r="DQ23" s="13">
        <f t="shared" ca="1" si="344"/>
        <v>477.70542857142868</v>
      </c>
      <c r="DR23" s="94">
        <f t="shared" si="48"/>
        <v>0</v>
      </c>
      <c r="DS23" s="13">
        <f t="shared" ca="1" si="49"/>
        <v>0</v>
      </c>
      <c r="DT23" s="13">
        <f t="shared" ca="1" si="50"/>
        <v>0</v>
      </c>
      <c r="DU23" s="13">
        <f t="shared" ca="1" si="345"/>
        <v>0</v>
      </c>
      <c r="DV23" s="13">
        <f t="shared" ca="1" si="51"/>
        <v>1826.2808571428573</v>
      </c>
      <c r="DW23" s="13">
        <f t="shared" ca="1" si="52"/>
        <v>0</v>
      </c>
      <c r="DX23" s="13">
        <f t="shared" ca="1" si="53"/>
        <v>1</v>
      </c>
      <c r="DY23" s="12">
        <f t="shared" ca="1" si="54"/>
        <v>1826.2808571428573</v>
      </c>
      <c r="DZ23" s="79"/>
      <c r="EA23" s="12">
        <f t="shared" ca="1" si="346"/>
        <v>1826.2808571428573</v>
      </c>
      <c r="EB23" s="18">
        <f t="shared" ca="1" si="55"/>
        <v>1</v>
      </c>
      <c r="ED23" s="19">
        <f t="shared" ca="1" si="56"/>
        <v>1826.2808571428573</v>
      </c>
      <c r="EE23" s="19">
        <f ca="1">INDEX(Totals[[#Data],[#Totals],[Car - Note]:[NONTRACKED]],MATCH(ED$1,Totals[Date],0),MATCH($C23,Totals[[#Headers],[Car - Note]:[NONTRACKED]],0))</f>
        <v>0</v>
      </c>
      <c r="EF23" s="19">
        <f t="shared" ca="1" si="347"/>
        <v>1826.2808571428573</v>
      </c>
      <c r="EG23" s="33">
        <f ca="1">0.12*EE31</f>
        <v>456.97771428571423</v>
      </c>
      <c r="EH23" s="33">
        <f ca="1">DM23+EG23</f>
        <v>2283.2585714285715</v>
      </c>
      <c r="EI23" s="19" t="b">
        <f t="shared" ca="1" si="348"/>
        <v>0</v>
      </c>
      <c r="EJ23" s="100">
        <f t="shared" si="57"/>
        <v>1</v>
      </c>
      <c r="EK23" s="19">
        <f t="shared" ca="1" si="58"/>
        <v>456.97771428571423</v>
      </c>
      <c r="EL23" s="19">
        <f t="shared" ca="1" si="349"/>
        <v>456.97771428571423</v>
      </c>
      <c r="EM23" s="100">
        <f t="shared" si="59"/>
        <v>0</v>
      </c>
      <c r="EN23" s="19">
        <f t="shared" ca="1" si="60"/>
        <v>0</v>
      </c>
      <c r="EO23" s="19">
        <f t="shared" ca="1" si="61"/>
        <v>0</v>
      </c>
      <c r="EP23" s="19">
        <f t="shared" ca="1" si="350"/>
        <v>0</v>
      </c>
      <c r="EQ23" s="19">
        <f t="shared" ca="1" si="62"/>
        <v>2283.2585714285715</v>
      </c>
      <c r="ER23" s="19">
        <f t="shared" ca="1" si="63"/>
        <v>0</v>
      </c>
      <c r="ES23" s="19">
        <f t="shared" ca="1" si="64"/>
        <v>1</v>
      </c>
      <c r="ET23" s="12">
        <f t="shared" ca="1" si="65"/>
        <v>2283.2585714285715</v>
      </c>
      <c r="EU23" s="79"/>
      <c r="EV23" s="12">
        <f t="shared" ca="1" si="351"/>
        <v>2283.2585714285715</v>
      </c>
      <c r="EW23" s="18">
        <f t="shared" ca="1" si="66"/>
        <v>1</v>
      </c>
      <c r="EY23" s="11">
        <f t="shared" ca="1" si="67"/>
        <v>2283.2585714285715</v>
      </c>
      <c r="EZ23" s="11">
        <f ca="1">INDEX(Totals[[#Data],[#Totals],[Car - Note]:[NONTRACKED]],MATCH(EY$1,Totals[Date],0),MATCH($C23,Totals[[#Headers],[Car - Note]:[NONTRACKED]],0))</f>
        <v>0</v>
      </c>
      <c r="FA23" s="11">
        <f t="shared" ca="1" si="352"/>
        <v>2283.2585714285715</v>
      </c>
      <c r="FB23" s="28">
        <f ca="1">0.12*EZ31</f>
        <v>472.26820190476184</v>
      </c>
      <c r="FC23" s="28">
        <f ca="1">EH23+FB23</f>
        <v>2755.5267733333335</v>
      </c>
      <c r="FD23" s="11" t="b">
        <f t="shared" ca="1" si="353"/>
        <v>0</v>
      </c>
      <c r="FE23" s="92">
        <f t="shared" si="68"/>
        <v>1</v>
      </c>
      <c r="FF23" s="11">
        <f t="shared" ca="1" si="69"/>
        <v>472.26820190476201</v>
      </c>
      <c r="FG23" s="11">
        <f t="shared" ca="1" si="354"/>
        <v>472.26820190476207</v>
      </c>
      <c r="FH23" s="92">
        <f t="shared" si="70"/>
        <v>0</v>
      </c>
      <c r="FI23" s="11">
        <f t="shared" ca="1" si="71"/>
        <v>0</v>
      </c>
      <c r="FJ23" s="11">
        <f t="shared" ca="1" si="72"/>
        <v>0</v>
      </c>
      <c r="FK23" s="11">
        <f t="shared" ca="1" si="355"/>
        <v>0</v>
      </c>
      <c r="FL23" s="11">
        <f t="shared" ca="1" si="73"/>
        <v>2755.5267733333335</v>
      </c>
      <c r="FM23" s="11">
        <f t="shared" ca="1" si="74"/>
        <v>0</v>
      </c>
      <c r="FN23" s="11">
        <f t="shared" ca="1" si="75"/>
        <v>1</v>
      </c>
      <c r="FO23" s="12">
        <f t="shared" ca="1" si="76"/>
        <v>2755.5267733333335</v>
      </c>
      <c r="FP23" s="79"/>
      <c r="FQ23" s="12">
        <f t="shared" ca="1" si="356"/>
        <v>2755.5267733333335</v>
      </c>
      <c r="FR23" s="18">
        <f t="shared" ca="1" si="77"/>
        <v>1</v>
      </c>
      <c r="FT23" s="13">
        <f t="shared" ca="1" si="78"/>
        <v>2755.5267733333335</v>
      </c>
      <c r="FU23" s="13">
        <f ca="1">INDEX(Totals[[#Data],[#Totals],[Car - Note]:[NONTRACKED]],MATCH(FT$1,Totals[Date],0),MATCH($C23,Totals[[#Headers],[Car - Note]:[NONTRACKED]],0))</f>
        <v>0</v>
      </c>
      <c r="FV23" s="13">
        <f t="shared" ca="1" si="357"/>
        <v>2755.5267733333335</v>
      </c>
      <c r="FW23" s="32">
        <f ca="1">0.12*FU31</f>
        <v>474.14962666666668</v>
      </c>
      <c r="FX23" s="32">
        <f ca="1">FC23+FW23</f>
        <v>3229.6764000000003</v>
      </c>
      <c r="FY23" s="13" t="b">
        <f t="shared" ca="1" si="358"/>
        <v>0</v>
      </c>
      <c r="FZ23" s="94">
        <f t="shared" si="79"/>
        <v>1</v>
      </c>
      <c r="GA23" s="13">
        <f t="shared" ca="1" si="80"/>
        <v>474.14962666666679</v>
      </c>
      <c r="GB23" s="13">
        <f t="shared" ca="1" si="359"/>
        <v>474.14962666666673</v>
      </c>
      <c r="GC23" s="94">
        <f t="shared" si="81"/>
        <v>0</v>
      </c>
      <c r="GD23" s="13">
        <f t="shared" ca="1" si="82"/>
        <v>0</v>
      </c>
      <c r="GE23" s="13">
        <f t="shared" ca="1" si="83"/>
        <v>0</v>
      </c>
      <c r="GF23" s="13">
        <f t="shared" ca="1" si="360"/>
        <v>0</v>
      </c>
      <c r="GG23" s="13">
        <f t="shared" ca="1" si="84"/>
        <v>3229.6764000000003</v>
      </c>
      <c r="GH23" s="13">
        <f t="shared" ca="1" si="85"/>
        <v>0</v>
      </c>
      <c r="GI23" s="13">
        <f t="shared" ca="1" si="86"/>
        <v>1</v>
      </c>
      <c r="GJ23" s="12">
        <f t="shared" ca="1" si="87"/>
        <v>3229.6764000000003</v>
      </c>
      <c r="GK23" s="79"/>
      <c r="GL23" s="12">
        <f t="shared" ca="1" si="361"/>
        <v>3229.6764000000003</v>
      </c>
      <c r="GM23" s="18">
        <f t="shared" ca="1" si="88"/>
        <v>1</v>
      </c>
      <c r="GO23" s="19">
        <f t="shared" ca="1" si="89"/>
        <v>3229.6764000000003</v>
      </c>
      <c r="GP23" s="19">
        <f ca="1">INDEX(Totals[[#Data],[#Totals],[Car - Note]:[NONTRACKED]],MATCH(GO$1,Totals[Date],0),MATCH($C23,Totals[[#Headers],[Car - Note]:[NONTRACKED]],0))</f>
        <v>0</v>
      </c>
      <c r="GQ23" s="19">
        <f t="shared" ca="1" si="362"/>
        <v>3229.6764000000003</v>
      </c>
      <c r="GR23" s="33">
        <f ca="1">0.12*GP31</f>
        <v>485.10102857142857</v>
      </c>
      <c r="GS23" s="33">
        <f ca="1">FX23+GR23</f>
        <v>3714.777428571429</v>
      </c>
      <c r="GT23" s="19" t="b">
        <f t="shared" ca="1" si="363"/>
        <v>0</v>
      </c>
      <c r="GU23" s="100">
        <f t="shared" si="90"/>
        <v>1</v>
      </c>
      <c r="GV23" s="19">
        <f t="shared" ca="1" si="91"/>
        <v>485.10102857142874</v>
      </c>
      <c r="GW23" s="19">
        <f t="shared" ca="1" si="364"/>
        <v>485.10102857142869</v>
      </c>
      <c r="GX23" s="100">
        <f t="shared" si="92"/>
        <v>0</v>
      </c>
      <c r="GY23" s="19">
        <f t="shared" ca="1" si="93"/>
        <v>0</v>
      </c>
      <c r="GZ23" s="19">
        <f t="shared" ca="1" si="94"/>
        <v>0</v>
      </c>
      <c r="HA23" s="19">
        <f t="shared" ca="1" si="365"/>
        <v>0</v>
      </c>
      <c r="HB23" s="19">
        <f t="shared" ca="1" si="95"/>
        <v>3714.777428571429</v>
      </c>
      <c r="HC23" s="19">
        <f t="shared" ca="1" si="96"/>
        <v>0</v>
      </c>
      <c r="HD23" s="19">
        <f t="shared" ca="1" si="97"/>
        <v>1</v>
      </c>
      <c r="HE23" s="12">
        <f t="shared" ca="1" si="98"/>
        <v>3714.777428571429</v>
      </c>
      <c r="HF23" s="79"/>
      <c r="HG23" s="12">
        <f t="shared" ca="1" si="366"/>
        <v>3714.777428571429</v>
      </c>
      <c r="HH23" s="18">
        <f t="shared" ca="1" si="99"/>
        <v>1</v>
      </c>
      <c r="HJ23" s="11">
        <f t="shared" ca="1" si="100"/>
        <v>3714.777428571429</v>
      </c>
      <c r="HK23" s="11">
        <f ca="1">INDEX(Totals[[#Data],[#Totals],[Car - Note]:[NONTRACKED]],MATCH(HJ$1,Totals[Date],0),MATCH($C23,Totals[[#Headers],[Car - Note]:[NONTRACKED]],0))</f>
        <v>0</v>
      </c>
      <c r="HL23" s="11">
        <f t="shared" ca="1" si="367"/>
        <v>3714.777428571429</v>
      </c>
      <c r="HM23" s="28">
        <f ca="1">0.12*HK31</f>
        <v>501.2749714285714</v>
      </c>
      <c r="HN23" s="28">
        <f ca="1">GS23+HM23</f>
        <v>4216.0524000000005</v>
      </c>
      <c r="HO23" s="11" t="b">
        <f t="shared" ca="1" si="368"/>
        <v>0</v>
      </c>
      <c r="HP23" s="92">
        <f t="shared" si="101"/>
        <v>1</v>
      </c>
      <c r="HQ23" s="11">
        <f t="shared" ca="1" si="102"/>
        <v>501.27497142857146</v>
      </c>
      <c r="HR23" s="11">
        <f t="shared" ca="1" si="369"/>
        <v>501.2749714285714</v>
      </c>
      <c r="HS23" s="92">
        <f t="shared" si="103"/>
        <v>0</v>
      </c>
      <c r="HT23" s="11">
        <f t="shared" ca="1" si="104"/>
        <v>0</v>
      </c>
      <c r="HU23" s="11">
        <f t="shared" ca="1" si="105"/>
        <v>0</v>
      </c>
      <c r="HV23" s="11">
        <f t="shared" ca="1" si="370"/>
        <v>0</v>
      </c>
      <c r="HW23" s="11">
        <f t="shared" ca="1" si="106"/>
        <v>4216.0524000000005</v>
      </c>
      <c r="HX23" s="11">
        <f t="shared" ca="1" si="107"/>
        <v>0</v>
      </c>
      <c r="HY23" s="11">
        <f t="shared" ca="1" si="108"/>
        <v>1</v>
      </c>
      <c r="HZ23" s="12">
        <f t="shared" ca="1" si="109"/>
        <v>4216.0524000000005</v>
      </c>
      <c r="IA23" s="79"/>
      <c r="IB23" s="12">
        <f t="shared" ca="1" si="371"/>
        <v>4216.0524000000005</v>
      </c>
      <c r="IC23" s="18">
        <f t="shared" ca="1" si="110"/>
        <v>1</v>
      </c>
      <c r="IE23" s="13">
        <f t="shared" ca="1" si="111"/>
        <v>4216.0524000000005</v>
      </c>
      <c r="IF23" s="13">
        <f ca="1">INDEX(Totals[[#Data],[#Totals],[Car - Note]:[NONTRACKED]],MATCH(IE$1,Totals[Date],0),MATCH($C23,Totals[[#Headers],[Car - Note]:[NONTRACKED]],0))</f>
        <v>0</v>
      </c>
      <c r="IG23" s="13">
        <f t="shared" ca="1" si="372"/>
        <v>4216.0524000000005</v>
      </c>
      <c r="IH23" s="32">
        <f ca="1">0.12*IF31</f>
        <v>502.20617142857145</v>
      </c>
      <c r="II23" s="32">
        <f ca="1">HN23+IH23</f>
        <v>4718.2585714285724</v>
      </c>
      <c r="IJ23" s="13" t="b">
        <f t="shared" ca="1" si="373"/>
        <v>0</v>
      </c>
      <c r="IK23" s="94">
        <f t="shared" si="112"/>
        <v>1</v>
      </c>
      <c r="IL23" s="13">
        <f t="shared" ca="1" si="113"/>
        <v>502.20617142857191</v>
      </c>
      <c r="IM23" s="13">
        <f t="shared" ca="1" si="374"/>
        <v>502.20617142857196</v>
      </c>
      <c r="IN23" s="94">
        <f t="shared" si="114"/>
        <v>0</v>
      </c>
      <c r="IO23" s="13">
        <f t="shared" ca="1" si="115"/>
        <v>0</v>
      </c>
      <c r="IP23" s="13">
        <f t="shared" ca="1" si="116"/>
        <v>0</v>
      </c>
      <c r="IQ23" s="13">
        <f t="shared" ca="1" si="375"/>
        <v>0</v>
      </c>
      <c r="IR23" s="13">
        <f t="shared" ca="1" si="117"/>
        <v>4718.2585714285724</v>
      </c>
      <c r="IS23" s="13">
        <f t="shared" ca="1" si="118"/>
        <v>0</v>
      </c>
      <c r="IT23" s="13">
        <f t="shared" ca="1" si="119"/>
        <v>1</v>
      </c>
      <c r="IU23" s="12">
        <f t="shared" ca="1" si="120"/>
        <v>4718.2585714285724</v>
      </c>
      <c r="IV23" s="79"/>
      <c r="IW23" s="12">
        <f t="shared" ca="1" si="376"/>
        <v>4718.2585714285724</v>
      </c>
      <c r="IX23" s="18">
        <f t="shared" ca="1" si="121"/>
        <v>1</v>
      </c>
      <c r="IZ23" s="19">
        <f t="shared" ca="1" si="122"/>
        <v>4718.2585714285724</v>
      </c>
      <c r="JA23" s="19">
        <f ca="1">INDEX(Totals[[#Data],[#Totals],[Car - Note]:[NONTRACKED]],MATCH(IZ$1,Totals[Date],0),MATCH($C23,Totals[[#Headers],[Car - Note]:[NONTRACKED]],0))</f>
        <v>0</v>
      </c>
      <c r="JB23" s="19">
        <f t="shared" ca="1" si="377"/>
        <v>4718.2585714285724</v>
      </c>
      <c r="JC23" s="33">
        <f ca="1">0.12*JA31</f>
        <v>485.1053142857142</v>
      </c>
      <c r="JD23" s="33">
        <f ca="1">II23+JC23</f>
        <v>5203.3638857142869</v>
      </c>
      <c r="JE23" s="19" t="b">
        <f t="shared" ca="1" si="378"/>
        <v>0</v>
      </c>
      <c r="JF23" s="100">
        <f t="shared" si="123"/>
        <v>1</v>
      </c>
      <c r="JG23" s="19">
        <f t="shared" ca="1" si="124"/>
        <v>485.10531428571448</v>
      </c>
      <c r="JH23" s="19">
        <f t="shared" ca="1" si="379"/>
        <v>485.10531428571448</v>
      </c>
      <c r="JI23" s="100">
        <f t="shared" si="125"/>
        <v>0</v>
      </c>
      <c r="JJ23" s="19">
        <f t="shared" ca="1" si="126"/>
        <v>0</v>
      </c>
      <c r="JK23" s="19">
        <f t="shared" ca="1" si="127"/>
        <v>0</v>
      </c>
      <c r="JL23" s="19">
        <f t="shared" ca="1" si="380"/>
        <v>0</v>
      </c>
      <c r="JM23" s="19">
        <f t="shared" ca="1" si="128"/>
        <v>5203.3638857142869</v>
      </c>
      <c r="JN23" s="19">
        <f t="shared" ca="1" si="129"/>
        <v>0</v>
      </c>
      <c r="JO23" s="19">
        <f t="shared" ca="1" si="130"/>
        <v>1</v>
      </c>
      <c r="JP23" s="12">
        <f t="shared" ca="1" si="131"/>
        <v>5203.3638857142869</v>
      </c>
      <c r="JQ23" s="79"/>
      <c r="JR23" s="12">
        <f t="shared" ca="1" si="381"/>
        <v>5203.3638857142869</v>
      </c>
      <c r="JS23" s="18">
        <f t="shared" ca="1" si="132"/>
        <v>1</v>
      </c>
      <c r="JU23" s="11">
        <f t="shared" ca="1" si="133"/>
        <v>5203.3638857142869</v>
      </c>
      <c r="JV23" s="11">
        <f ca="1">INDEX(Totals[[#Data],[#Totals],[Car - Note]:[NONTRACKED]],MATCH(JU$1,Totals[Date],0),MATCH($C23,Totals[[#Headers],[Car - Note]:[NONTRACKED]],0))</f>
        <v>0</v>
      </c>
      <c r="JW23" s="11">
        <f t="shared" ca="1" si="382"/>
        <v>5203.3638857142869</v>
      </c>
      <c r="JX23" s="28">
        <f ca="1">0.12*JV31</f>
        <v>502.55691428571436</v>
      </c>
      <c r="JY23" s="28">
        <f ca="1">JD23+JX23</f>
        <v>5705.9208000000017</v>
      </c>
      <c r="JZ23" s="11" t="b">
        <f t="shared" ca="1" si="383"/>
        <v>0</v>
      </c>
      <c r="KA23" s="92">
        <f t="shared" si="134"/>
        <v>1</v>
      </c>
      <c r="KB23" s="11">
        <f t="shared" ca="1" si="135"/>
        <v>502.55691428571481</v>
      </c>
      <c r="KC23" s="11">
        <f t="shared" ca="1" si="384"/>
        <v>502.55691428571481</v>
      </c>
      <c r="KD23" s="92">
        <f t="shared" si="136"/>
        <v>0</v>
      </c>
      <c r="KE23" s="11">
        <f t="shared" ca="1" si="137"/>
        <v>0</v>
      </c>
      <c r="KF23" s="11">
        <f t="shared" ca="1" si="138"/>
        <v>0</v>
      </c>
      <c r="KG23" s="11">
        <f t="shared" ca="1" si="385"/>
        <v>0</v>
      </c>
      <c r="KH23" s="11">
        <f t="shared" ca="1" si="139"/>
        <v>5705.9208000000017</v>
      </c>
      <c r="KI23" s="11">
        <f t="shared" ca="1" si="140"/>
        <v>0</v>
      </c>
      <c r="KJ23" s="11">
        <f t="shared" ca="1" si="141"/>
        <v>1</v>
      </c>
      <c r="KK23" s="12">
        <f t="shared" ca="1" si="142"/>
        <v>5705.9208000000017</v>
      </c>
      <c r="KL23" s="79"/>
      <c r="KM23" s="12">
        <f t="shared" ca="1" si="386"/>
        <v>5705.9208000000017</v>
      </c>
      <c r="KN23" s="18">
        <f t="shared" ca="1" si="143"/>
        <v>1</v>
      </c>
      <c r="KP23" s="13">
        <f t="shared" ca="1" si="144"/>
        <v>5705.9208000000017</v>
      </c>
      <c r="KQ23" s="13">
        <f ca="1">INDEX(Totals[[#Data],[#Totals],[Car - Note]:[NONTRACKED]],MATCH(KP$1,Totals[Date],0),MATCH($C23,Totals[[#Headers],[Car - Note]:[NONTRACKED]],0))</f>
        <v>0</v>
      </c>
      <c r="KR23" s="13">
        <f t="shared" ca="1" si="387"/>
        <v>5705.9208000000017</v>
      </c>
      <c r="KS23" s="32">
        <f ca="1">0.12*KQ31</f>
        <v>454.00319999999999</v>
      </c>
      <c r="KT23" s="32">
        <f ca="1">JY23+KS23</f>
        <v>6159.9240000000018</v>
      </c>
      <c r="KU23" s="13" t="b">
        <f t="shared" ca="1" si="388"/>
        <v>0</v>
      </c>
      <c r="KV23" s="94">
        <f t="shared" si="145"/>
        <v>1</v>
      </c>
      <c r="KW23" s="13">
        <f t="shared" ca="1" si="146"/>
        <v>454.00320000000011</v>
      </c>
      <c r="KX23" s="13">
        <f t="shared" ca="1" si="389"/>
        <v>454.00320000000011</v>
      </c>
      <c r="KY23" s="94">
        <f t="shared" si="147"/>
        <v>0</v>
      </c>
      <c r="KZ23" s="13">
        <f t="shared" ca="1" si="148"/>
        <v>0</v>
      </c>
      <c r="LA23" s="13">
        <f t="shared" ca="1" si="149"/>
        <v>0</v>
      </c>
      <c r="LB23" s="13">
        <f t="shared" ca="1" si="390"/>
        <v>0</v>
      </c>
      <c r="LC23" s="13">
        <f t="shared" ca="1" si="150"/>
        <v>6159.9240000000018</v>
      </c>
      <c r="LD23" s="13">
        <f t="shared" ca="1" si="151"/>
        <v>0</v>
      </c>
      <c r="LE23" s="13">
        <f t="shared" ca="1" si="152"/>
        <v>1</v>
      </c>
      <c r="LF23" s="12">
        <f t="shared" ca="1" si="153"/>
        <v>6159.9240000000018</v>
      </c>
      <c r="LG23" s="79"/>
      <c r="LH23" s="12">
        <f t="shared" ca="1" si="391"/>
        <v>6159.9240000000018</v>
      </c>
      <c r="LI23" s="18">
        <f t="shared" ca="1" si="154"/>
        <v>1</v>
      </c>
      <c r="LK23" s="19">
        <f t="shared" ca="1" si="155"/>
        <v>6159.9240000000018</v>
      </c>
      <c r="LL23" s="19">
        <f ca="1">INDEX(Totals[[#Data],[#Totals],[Car - Note]:[NONTRACKED]],MATCH(LK$1,Totals[Date],0),MATCH($C23,Totals[[#Headers],[Car - Note]:[NONTRACKED]],0))</f>
        <v>0</v>
      </c>
      <c r="LM23" s="19">
        <f t="shared" ca="1" si="392"/>
        <v>6159.9240000000018</v>
      </c>
      <c r="LN23" s="33">
        <f ca="1">0.12*LL31</f>
        <v>502.64365714285719</v>
      </c>
      <c r="LO23" s="33">
        <f ca="1">KT23+LN23</f>
        <v>6662.5676571428594</v>
      </c>
      <c r="LP23" s="19" t="b">
        <f t="shared" ca="1" si="393"/>
        <v>0</v>
      </c>
      <c r="LQ23" s="100">
        <f t="shared" si="156"/>
        <v>1</v>
      </c>
      <c r="LR23" s="19">
        <f t="shared" ca="1" si="157"/>
        <v>502.64365714285759</v>
      </c>
      <c r="LS23" s="19">
        <f t="shared" ca="1" si="394"/>
        <v>502.64365714285753</v>
      </c>
      <c r="LT23" s="100">
        <f t="shared" si="158"/>
        <v>0</v>
      </c>
      <c r="LU23" s="19">
        <f t="shared" ca="1" si="159"/>
        <v>0</v>
      </c>
      <c r="LV23" s="19">
        <f t="shared" ca="1" si="160"/>
        <v>0</v>
      </c>
      <c r="LW23" s="19">
        <f t="shared" ca="1" si="395"/>
        <v>0</v>
      </c>
      <c r="LX23" s="19">
        <f t="shared" ca="1" si="161"/>
        <v>6662.5676571428594</v>
      </c>
      <c r="LY23" s="19">
        <f t="shared" ca="1" si="162"/>
        <v>0</v>
      </c>
      <c r="LZ23" s="19">
        <f t="shared" ca="1" si="163"/>
        <v>1</v>
      </c>
      <c r="MA23" s="12">
        <f t="shared" ca="1" si="164"/>
        <v>6662.5676571428594</v>
      </c>
      <c r="MB23" s="79"/>
      <c r="MC23" s="12">
        <f t="shared" ca="1" si="396"/>
        <v>6662.5676571428594</v>
      </c>
      <c r="MD23" s="18">
        <f t="shared" ca="1" si="165"/>
        <v>1</v>
      </c>
      <c r="MF23" s="11">
        <f t="shared" ca="1" si="166"/>
        <v>6662.5676571428594</v>
      </c>
      <c r="MG23" s="11">
        <f ca="1">INDEX(Totals[[#Data],[#Totals],[Car - Note]:[NONTRACKED]],MATCH(MF$1,Totals[Date],0),MATCH($C23,Totals[[#Headers],[Car - Note]:[NONTRACKED]],0))</f>
        <v>0</v>
      </c>
      <c r="MH23" s="11">
        <f t="shared" ca="1" si="397"/>
        <v>6662.5676571428594</v>
      </c>
      <c r="MI23" s="28">
        <f ca="1">0.12*MG31</f>
        <v>486.43114285714285</v>
      </c>
      <c r="MJ23" s="28">
        <f ca="1">LO23+MI23</f>
        <v>7148.9988000000021</v>
      </c>
      <c r="MK23" s="11" t="b">
        <f t="shared" ca="1" si="398"/>
        <v>0</v>
      </c>
      <c r="ML23" s="92">
        <f t="shared" si="167"/>
        <v>1</v>
      </c>
      <c r="MM23" s="11">
        <f t="shared" ca="1" si="168"/>
        <v>486.43114285714273</v>
      </c>
      <c r="MN23" s="11">
        <f t="shared" ca="1" si="399"/>
        <v>486.43114285714273</v>
      </c>
      <c r="MO23" s="92">
        <f t="shared" si="169"/>
        <v>0</v>
      </c>
      <c r="MP23" s="11">
        <f t="shared" ca="1" si="170"/>
        <v>0</v>
      </c>
      <c r="MQ23" s="11">
        <f t="shared" ca="1" si="171"/>
        <v>0</v>
      </c>
      <c r="MR23" s="11">
        <f t="shared" ca="1" si="400"/>
        <v>0</v>
      </c>
      <c r="MS23" s="11">
        <f t="shared" ca="1" si="172"/>
        <v>7148.9988000000021</v>
      </c>
      <c r="MT23" s="11">
        <f t="shared" ca="1" si="173"/>
        <v>0</v>
      </c>
      <c r="MU23" s="11">
        <f t="shared" ca="1" si="174"/>
        <v>1</v>
      </c>
      <c r="MV23" s="12">
        <f t="shared" ca="1" si="175"/>
        <v>7148.9988000000021</v>
      </c>
      <c r="MW23" s="79"/>
      <c r="MX23" s="12">
        <f t="shared" ca="1" si="401"/>
        <v>7148.9988000000021</v>
      </c>
      <c r="MY23" s="18">
        <f t="shared" ca="1" si="176"/>
        <v>1</v>
      </c>
      <c r="NA23" s="13">
        <f t="shared" ca="1" si="177"/>
        <v>7148.9988000000021</v>
      </c>
      <c r="NB23" s="13">
        <f ca="1">INDEX(Totals[[#Data],[#Totals],[Car - Note]:[NONTRACKED]],MATCH(NA$1,Totals[Date],0),MATCH($C23,Totals[[#Headers],[Car - Note]:[NONTRACKED]],0))</f>
        <v>0</v>
      </c>
      <c r="NC23" s="13">
        <f t="shared" ca="1" si="402"/>
        <v>7148.9988000000021</v>
      </c>
      <c r="ND23" s="32">
        <f ca="1">0.12*NB31</f>
        <v>502.64519999999999</v>
      </c>
      <c r="NE23" s="32">
        <f ca="1">MJ23+ND23</f>
        <v>7651.6440000000021</v>
      </c>
      <c r="NF23" s="13" t="b">
        <f t="shared" ca="1" si="403"/>
        <v>0</v>
      </c>
      <c r="NG23" s="94">
        <f t="shared" si="178"/>
        <v>1</v>
      </c>
      <c r="NH23" s="13">
        <f t="shared" ca="1" si="179"/>
        <v>502.64519999999993</v>
      </c>
      <c r="NI23" s="13">
        <f t="shared" ca="1" si="404"/>
        <v>502.64519999999993</v>
      </c>
      <c r="NJ23" s="94">
        <f t="shared" si="180"/>
        <v>0</v>
      </c>
      <c r="NK23" s="13">
        <f t="shared" ca="1" si="181"/>
        <v>0</v>
      </c>
      <c r="NL23" s="13">
        <f t="shared" ca="1" si="182"/>
        <v>0</v>
      </c>
      <c r="NM23" s="13">
        <f t="shared" ca="1" si="405"/>
        <v>0</v>
      </c>
      <c r="NN23" s="13">
        <f t="shared" ca="1" si="183"/>
        <v>7651.6440000000021</v>
      </c>
      <c r="NO23" s="13">
        <f t="shared" ca="1" si="184"/>
        <v>0</v>
      </c>
      <c r="NP23" s="13">
        <f t="shared" ca="1" si="185"/>
        <v>1</v>
      </c>
      <c r="NQ23" s="12">
        <f t="shared" ca="1" si="186"/>
        <v>7651.6440000000021</v>
      </c>
      <c r="NR23" s="79"/>
      <c r="NS23" s="12">
        <f t="shared" ca="1" si="406"/>
        <v>7651.6440000000021</v>
      </c>
      <c r="NT23" s="18">
        <f t="shared" ca="1" si="187"/>
        <v>1</v>
      </c>
      <c r="NV23" s="19">
        <f t="shared" ca="1" si="188"/>
        <v>7651.6440000000021</v>
      </c>
      <c r="NW23" s="19">
        <f ca="1">INDEX(Totals[[#Data],[#Totals],[Car - Note]:[NONTRACKED]],MATCH(NV$1,Totals[Date],0),MATCH($C23,Totals[[#Headers],[Car - Note]:[NONTRACKED]],0))</f>
        <v>0</v>
      </c>
      <c r="NX23" s="19">
        <f t="shared" ca="1" si="407"/>
        <v>7651.6440000000021</v>
      </c>
      <c r="NY23" s="33">
        <f ca="1">0.12*NW31</f>
        <v>486.43079999999998</v>
      </c>
      <c r="NZ23" s="33">
        <f ca="1">NE23+NY23</f>
        <v>8138.0748000000021</v>
      </c>
      <c r="OA23" s="19" t="b">
        <f t="shared" ca="1" si="408"/>
        <v>0</v>
      </c>
      <c r="OB23" s="100">
        <f t="shared" si="189"/>
        <v>1</v>
      </c>
      <c r="OC23" s="19">
        <f t="shared" ca="1" si="190"/>
        <v>486.43080000000009</v>
      </c>
      <c r="OD23" s="19">
        <f t="shared" ca="1" si="409"/>
        <v>486.43080000000015</v>
      </c>
      <c r="OE23" s="100">
        <f t="shared" si="191"/>
        <v>0</v>
      </c>
      <c r="OF23" s="19">
        <f t="shared" ca="1" si="192"/>
        <v>0</v>
      </c>
      <c r="OG23" s="19">
        <f t="shared" ca="1" si="193"/>
        <v>0</v>
      </c>
      <c r="OH23" s="19">
        <f t="shared" ca="1" si="410"/>
        <v>0</v>
      </c>
      <c r="OI23" s="19">
        <f t="shared" ca="1" si="194"/>
        <v>8138.0748000000021</v>
      </c>
      <c r="OJ23" s="19">
        <f t="shared" ca="1" si="195"/>
        <v>0</v>
      </c>
      <c r="OK23" s="19">
        <f t="shared" ca="1" si="196"/>
        <v>1</v>
      </c>
      <c r="OL23" s="12">
        <f t="shared" ca="1" si="197"/>
        <v>8138.0748000000021</v>
      </c>
      <c r="OM23" s="79"/>
      <c r="ON23" s="12">
        <f t="shared" ca="1" si="411"/>
        <v>8138.0748000000021</v>
      </c>
      <c r="OO23" s="18">
        <f t="shared" ca="1" si="198"/>
        <v>1</v>
      </c>
      <c r="OQ23" s="11">
        <f t="shared" ca="1" si="199"/>
        <v>8138.0748000000021</v>
      </c>
      <c r="OR23" s="11">
        <f ca="1">INDEX(Totals[[#Data],[#Totals],[Car - Note]:[NONTRACKED]],MATCH(OQ$1,Totals[Date],0),MATCH($C23,Totals[[#Headers],[Car - Note]:[NONTRACKED]],0))</f>
        <v>0</v>
      </c>
      <c r="OS23" s="11">
        <f t="shared" ca="1" si="412"/>
        <v>8138.0748000000021</v>
      </c>
      <c r="OT23" s="28">
        <f ca="1">0.12*OR31</f>
        <v>509.32680000000005</v>
      </c>
      <c r="OU23" s="28">
        <f ca="1">NZ23+OT23</f>
        <v>8647.4016000000029</v>
      </c>
      <c r="OV23" s="11" t="b">
        <f t="shared" ca="1" si="413"/>
        <v>0</v>
      </c>
      <c r="OW23" s="92">
        <f t="shared" si="200"/>
        <v>1</v>
      </c>
      <c r="OX23" s="11">
        <f t="shared" ca="1" si="201"/>
        <v>509.32680000000073</v>
      </c>
      <c r="OY23" s="11">
        <f t="shared" ca="1" si="414"/>
        <v>509.32680000000073</v>
      </c>
      <c r="OZ23" s="92">
        <f t="shared" si="202"/>
        <v>0</v>
      </c>
      <c r="PA23" s="11">
        <f t="shared" ca="1" si="203"/>
        <v>0</v>
      </c>
      <c r="PB23" s="11">
        <f t="shared" ca="1" si="204"/>
        <v>0</v>
      </c>
      <c r="PC23" s="11">
        <f t="shared" ca="1" si="415"/>
        <v>0</v>
      </c>
      <c r="PD23" s="11">
        <f t="shared" ca="1" si="205"/>
        <v>8647.4016000000029</v>
      </c>
      <c r="PE23" s="11">
        <f t="shared" ca="1" si="206"/>
        <v>0</v>
      </c>
      <c r="PF23" s="11">
        <f t="shared" ca="1" si="207"/>
        <v>1</v>
      </c>
      <c r="PG23" s="12">
        <f t="shared" ca="1" si="208"/>
        <v>8647.4016000000029</v>
      </c>
      <c r="PH23" s="79"/>
      <c r="PI23" s="12">
        <f t="shared" ca="1" si="416"/>
        <v>8647.4016000000029</v>
      </c>
      <c r="PJ23" s="18">
        <f t="shared" ca="1" si="209"/>
        <v>1</v>
      </c>
      <c r="PL23" s="13">
        <f t="shared" ca="1" si="210"/>
        <v>8647.4016000000029</v>
      </c>
      <c r="PM23" s="13">
        <f ca="1">INDEX(Totals[[#Data],[#Totals],[Car - Note]:[NONTRACKED]],MATCH(PL$1,Totals[Date],0),MATCH($C23,Totals[[#Headers],[Car - Note]:[NONTRACKED]],0))</f>
        <v>0</v>
      </c>
      <c r="PN23" s="13">
        <f t="shared" ca="1" si="417"/>
        <v>8647.4016000000029</v>
      </c>
      <c r="PO23" s="32">
        <f ca="1">0.12*PM31</f>
        <v>504.44965714285706</v>
      </c>
      <c r="PP23" s="32">
        <f ca="1">OU23+PO23</f>
        <v>9151.85125714286</v>
      </c>
      <c r="PQ23" s="13" t="b">
        <f t="shared" ca="1" si="418"/>
        <v>0</v>
      </c>
      <c r="PR23" s="94">
        <f t="shared" si="211"/>
        <v>1</v>
      </c>
      <c r="PS23" s="13">
        <f t="shared" ca="1" si="212"/>
        <v>504.44965714285718</v>
      </c>
      <c r="PT23" s="13">
        <f t="shared" ca="1" si="419"/>
        <v>504.44965714285718</v>
      </c>
      <c r="PU23" s="94">
        <f t="shared" si="213"/>
        <v>0</v>
      </c>
      <c r="PV23" s="13">
        <f t="shared" ca="1" si="214"/>
        <v>0</v>
      </c>
      <c r="PW23" s="13">
        <f t="shared" ca="1" si="215"/>
        <v>0</v>
      </c>
      <c r="PX23" s="13">
        <f t="shared" ca="1" si="420"/>
        <v>0</v>
      </c>
      <c r="PY23" s="13">
        <f t="shared" ca="1" si="216"/>
        <v>9151.85125714286</v>
      </c>
      <c r="PZ23" s="13">
        <f t="shared" ca="1" si="217"/>
        <v>0</v>
      </c>
      <c r="QA23" s="13">
        <f t="shared" ca="1" si="218"/>
        <v>1</v>
      </c>
      <c r="QB23" s="12">
        <f t="shared" ca="1" si="219"/>
        <v>9151.85125714286</v>
      </c>
      <c r="QC23" s="79"/>
      <c r="QD23" s="12">
        <f t="shared" ca="1" si="421"/>
        <v>9151.85125714286</v>
      </c>
      <c r="QE23" s="18">
        <f t="shared" ca="1" si="220"/>
        <v>1</v>
      </c>
      <c r="QG23" s="19">
        <f t="shared" ca="1" si="221"/>
        <v>9151.85125714286</v>
      </c>
      <c r="QH23" s="19">
        <f ca="1">INDEX(Totals[[#Data],[#Totals],[Car - Note]:[NONTRACKED]],MATCH(QG$1,Totals[Date],0),MATCH($C23,Totals[[#Headers],[Car - Note]:[NONTRACKED]],0))</f>
        <v>0</v>
      </c>
      <c r="QI23" s="19">
        <f t="shared" ca="1" si="422"/>
        <v>9151.85125714286</v>
      </c>
      <c r="QJ23" s="33">
        <f ca="1">0.12*QH31</f>
        <v>488.1785142857143</v>
      </c>
      <c r="QK23" s="33">
        <f ca="1">PP23+QJ23</f>
        <v>9640.0297714285734</v>
      </c>
      <c r="QL23" s="19" t="b">
        <f t="shared" ca="1" si="423"/>
        <v>0</v>
      </c>
      <c r="QM23" s="100">
        <f t="shared" si="222"/>
        <v>1</v>
      </c>
      <c r="QN23" s="19">
        <f t="shared" ca="1" si="223"/>
        <v>488.17851428571339</v>
      </c>
      <c r="QO23" s="19">
        <f t="shared" ca="1" si="424"/>
        <v>488.17851428571339</v>
      </c>
      <c r="QP23" s="100">
        <f t="shared" si="224"/>
        <v>0</v>
      </c>
      <c r="QQ23" s="19">
        <f t="shared" ca="1" si="225"/>
        <v>0</v>
      </c>
      <c r="QR23" s="19">
        <f t="shared" ca="1" si="226"/>
        <v>0</v>
      </c>
      <c r="QS23" s="19">
        <f t="shared" ca="1" si="425"/>
        <v>0</v>
      </c>
      <c r="QT23" s="19">
        <f t="shared" ca="1" si="227"/>
        <v>9640.0297714285734</v>
      </c>
      <c r="QU23" s="19">
        <f t="shared" ca="1" si="228"/>
        <v>0</v>
      </c>
      <c r="QV23" s="19">
        <f t="shared" ca="1" si="229"/>
        <v>1</v>
      </c>
      <c r="QW23" s="12">
        <f t="shared" ca="1" si="230"/>
        <v>9640.0297714285734</v>
      </c>
      <c r="QX23" s="79"/>
      <c r="QY23" s="12">
        <f t="shared" ca="1" si="426"/>
        <v>9640.0297714285734</v>
      </c>
      <c r="QZ23" s="18">
        <f t="shared" ca="1" si="231"/>
        <v>1</v>
      </c>
      <c r="RB23" s="11">
        <f t="shared" ca="1" si="232"/>
        <v>9640.0297714285734</v>
      </c>
      <c r="RC23" s="11">
        <f ca="1">INDEX(Totals[[#Data],[#Totals],[Car - Note]:[NONTRACKED]],MATCH(RB$1,Totals[Date],0),MATCH($C23,Totals[[#Headers],[Car - Note]:[NONTRACKED]],0))</f>
        <v>0</v>
      </c>
      <c r="RD23" s="11">
        <f t="shared" ca="1" si="427"/>
        <v>9640.0297714285734</v>
      </c>
      <c r="RE23" s="28">
        <f ca="1">0.12*RC31</f>
        <v>504.45051428571435</v>
      </c>
      <c r="RF23" s="28">
        <f ca="1">QK23+RE23</f>
        <v>10144.480285714288</v>
      </c>
      <c r="RG23" s="11" t="b">
        <f t="shared" ca="1" si="428"/>
        <v>0</v>
      </c>
      <c r="RH23" s="92">
        <f t="shared" si="233"/>
        <v>1</v>
      </c>
      <c r="RI23" s="11">
        <f t="shared" ca="1" si="234"/>
        <v>504.45051428571423</v>
      </c>
      <c r="RJ23" s="11">
        <f t="shared" ca="1" si="429"/>
        <v>504.45051428571423</v>
      </c>
      <c r="RK23" s="92">
        <f t="shared" si="235"/>
        <v>0</v>
      </c>
      <c r="RL23" s="11">
        <f t="shared" ca="1" si="236"/>
        <v>0</v>
      </c>
      <c r="RM23" s="11">
        <f t="shared" ca="1" si="237"/>
        <v>0</v>
      </c>
      <c r="RN23" s="11">
        <f t="shared" ca="1" si="430"/>
        <v>0</v>
      </c>
      <c r="RO23" s="11">
        <f t="shared" ca="1" si="238"/>
        <v>10144.480285714288</v>
      </c>
      <c r="RP23" s="11">
        <f t="shared" ca="1" si="239"/>
        <v>0</v>
      </c>
      <c r="RQ23" s="11">
        <f t="shared" ca="1" si="240"/>
        <v>1</v>
      </c>
      <c r="RR23" s="12">
        <f t="shared" ca="1" si="241"/>
        <v>10144.480285714288</v>
      </c>
      <c r="RS23" s="79"/>
      <c r="RT23" s="12">
        <f t="shared" ca="1" si="431"/>
        <v>10144.480285714288</v>
      </c>
      <c r="RU23" s="18">
        <f t="shared" ca="1" si="242"/>
        <v>1</v>
      </c>
      <c r="RW23" s="13">
        <f t="shared" ca="1" si="243"/>
        <v>10144.480285714288</v>
      </c>
      <c r="RX23" s="13">
        <f ca="1">INDEX(Totals[[#Data],[#Totals],[Car - Note]:[NONTRACKED]],MATCH(RW$1,Totals[Date],0),MATCH($C23,Totals[[#Headers],[Car - Note]:[NONTRACKED]],0))</f>
        <v>0</v>
      </c>
      <c r="RY23" s="13">
        <f t="shared" ca="1" si="432"/>
        <v>10144.480285714288</v>
      </c>
      <c r="RZ23" s="32">
        <f ca="1">0.12*RX31</f>
        <v>489.76611428571431</v>
      </c>
      <c r="SA23" s="32">
        <f ca="1">RF23+RZ23</f>
        <v>10634.246400000002</v>
      </c>
      <c r="SB23" s="13" t="b">
        <f t="shared" ca="1" si="433"/>
        <v>0</v>
      </c>
      <c r="SC23" s="94">
        <f t="shared" si="244"/>
        <v>1</v>
      </c>
      <c r="SD23" s="13">
        <f t="shared" ca="1" si="245"/>
        <v>489.76611428571414</v>
      </c>
      <c r="SE23" s="13">
        <f t="shared" ca="1" si="434"/>
        <v>489.76611428571414</v>
      </c>
      <c r="SF23" s="94">
        <f t="shared" si="246"/>
        <v>0</v>
      </c>
      <c r="SG23" s="13">
        <f t="shared" ca="1" si="247"/>
        <v>0</v>
      </c>
      <c r="SH23" s="13">
        <f t="shared" ca="1" si="248"/>
        <v>0</v>
      </c>
      <c r="SI23" s="13">
        <f t="shared" ca="1" si="435"/>
        <v>0</v>
      </c>
      <c r="SJ23" s="13">
        <f t="shared" ca="1" si="249"/>
        <v>10634.246400000002</v>
      </c>
      <c r="SK23" s="13">
        <f t="shared" ca="1" si="250"/>
        <v>0</v>
      </c>
      <c r="SL23" s="13">
        <f t="shared" ca="1" si="251"/>
        <v>1</v>
      </c>
      <c r="SM23" s="12">
        <f t="shared" ca="1" si="252"/>
        <v>10634.246400000002</v>
      </c>
      <c r="SN23" s="79"/>
      <c r="SO23" s="12">
        <f t="shared" ca="1" si="436"/>
        <v>10634.246400000002</v>
      </c>
      <c r="SP23" s="18">
        <f t="shared" ca="1" si="253"/>
        <v>1</v>
      </c>
      <c r="SR23" s="19">
        <f t="shared" ca="1" si="254"/>
        <v>10634.246400000002</v>
      </c>
      <c r="SS23" s="19">
        <f ca="1">INDEX(Totals[[#Data],[#Totals],[Car - Note]:[NONTRACKED]],MATCH(SR$1,Totals[Date],0),MATCH($C23,Totals[[#Headers],[Car - Note]:[NONTRACKED]],0))</f>
        <v>0</v>
      </c>
      <c r="ST23" s="19">
        <f t="shared" ca="1" si="437"/>
        <v>10634.246400000002</v>
      </c>
      <c r="SU23" s="33">
        <f ca="1">0.12*SS31</f>
        <v>504.45059999999989</v>
      </c>
      <c r="SV23" s="33">
        <f ca="1">SA23+SU23</f>
        <v>11138.697000000002</v>
      </c>
      <c r="SW23" s="19" t="b">
        <f t="shared" ca="1" si="438"/>
        <v>0</v>
      </c>
      <c r="SX23" s="100">
        <f t="shared" si="255"/>
        <v>1</v>
      </c>
      <c r="SY23" s="19">
        <f t="shared" ca="1" si="256"/>
        <v>504.45060000000012</v>
      </c>
      <c r="SZ23" s="19">
        <f t="shared" ca="1" si="439"/>
        <v>504.45060000000018</v>
      </c>
      <c r="TA23" s="100">
        <f t="shared" si="257"/>
        <v>0</v>
      </c>
      <c r="TB23" s="19">
        <f t="shared" ca="1" si="258"/>
        <v>0</v>
      </c>
      <c r="TC23" s="19">
        <f t="shared" ca="1" si="259"/>
        <v>0</v>
      </c>
      <c r="TD23" s="19">
        <f t="shared" ca="1" si="440"/>
        <v>0</v>
      </c>
      <c r="TE23" s="19">
        <f t="shared" ca="1" si="260"/>
        <v>11138.697000000002</v>
      </c>
      <c r="TF23" s="19">
        <f t="shared" ca="1" si="261"/>
        <v>0</v>
      </c>
      <c r="TG23" s="19">
        <f t="shared" ca="1" si="262"/>
        <v>1</v>
      </c>
      <c r="TH23" s="12">
        <f t="shared" ca="1" si="263"/>
        <v>11138.697000000002</v>
      </c>
      <c r="TI23" s="79"/>
      <c r="TJ23" s="12">
        <f t="shared" ca="1" si="441"/>
        <v>11138.697000000002</v>
      </c>
      <c r="TK23" s="18">
        <f t="shared" ca="1" si="264"/>
        <v>1</v>
      </c>
      <c r="TM23" s="11">
        <f t="shared" ca="1" si="265"/>
        <v>11138.697000000002</v>
      </c>
      <c r="TN23" s="11">
        <f ca="1">INDEX(Totals[[#Data],[#Totals],[Car - Note]:[NONTRACKED]],MATCH(TM$1,Totals[Date],0),MATCH($C23,Totals[[#Headers],[Car - Note]:[NONTRACKED]],0))</f>
        <v>0</v>
      </c>
      <c r="TO23" s="11">
        <f t="shared" ca="1" si="442"/>
        <v>11138.697000000002</v>
      </c>
      <c r="TP23" s="28">
        <f ca="1">0.15*TN31</f>
        <v>631.30532142857135</v>
      </c>
      <c r="TQ23" s="28">
        <f ca="1">SV23+TP23</f>
        <v>11770.002321428574</v>
      </c>
      <c r="TR23" s="11" t="b">
        <f t="shared" ca="1" si="443"/>
        <v>0</v>
      </c>
      <c r="TS23" s="92">
        <f t="shared" si="266"/>
        <v>1</v>
      </c>
      <c r="TT23" s="11">
        <f t="shared" ca="1" si="267"/>
        <v>631.30532142857192</v>
      </c>
      <c r="TU23" s="11">
        <f t="shared" ca="1" si="444"/>
        <v>631.30532142857192</v>
      </c>
      <c r="TV23" s="92">
        <f t="shared" si="268"/>
        <v>0</v>
      </c>
      <c r="TW23" s="11">
        <f t="shared" ca="1" si="269"/>
        <v>0</v>
      </c>
      <c r="TX23" s="11">
        <f t="shared" ca="1" si="270"/>
        <v>0</v>
      </c>
      <c r="TY23" s="11">
        <f t="shared" ca="1" si="445"/>
        <v>0</v>
      </c>
      <c r="TZ23" s="11">
        <f t="shared" ca="1" si="271"/>
        <v>11770.002321428574</v>
      </c>
      <c r="UA23" s="11">
        <f t="shared" ca="1" si="272"/>
        <v>0</v>
      </c>
      <c r="UB23" s="11">
        <f t="shared" ca="1" si="273"/>
        <v>1</v>
      </c>
      <c r="UC23" s="12">
        <f t="shared" ca="1" si="274"/>
        <v>11770.002321428574</v>
      </c>
      <c r="UD23" s="79"/>
      <c r="UE23" s="12">
        <f t="shared" ca="1" si="446"/>
        <v>11770.002321428574</v>
      </c>
      <c r="UF23" s="18">
        <f t="shared" ca="1" si="275"/>
        <v>1</v>
      </c>
      <c r="UH23" s="13">
        <f t="shared" ca="1" si="276"/>
        <v>11770.002321428574</v>
      </c>
      <c r="UI23" s="13">
        <f ca="1">INDEX(Totals[[#Data],[#Totals],[Car - Note]:[NONTRACKED]],MATCH(UH$1,Totals[Date],0),MATCH($C23,Totals[[#Headers],[Car - Note]:[NONTRACKED]],0))</f>
        <v>0</v>
      </c>
      <c r="UJ23" s="13">
        <f t="shared" ca="1" si="447"/>
        <v>11770.002321428574</v>
      </c>
      <c r="UK23" s="32">
        <f ca="1">0.15*UI31</f>
        <v>591.22703571428565</v>
      </c>
      <c r="UL23" s="32">
        <f ca="1">TQ23+UK23</f>
        <v>12361.22935714286</v>
      </c>
      <c r="UM23" s="13" t="b">
        <f t="shared" ca="1" si="448"/>
        <v>0</v>
      </c>
      <c r="UN23" s="94">
        <f t="shared" si="277"/>
        <v>1</v>
      </c>
      <c r="UO23" s="13">
        <f t="shared" ca="1" si="278"/>
        <v>591.2270357142861</v>
      </c>
      <c r="UP23" s="13">
        <f t="shared" ca="1" si="449"/>
        <v>591.2270357142861</v>
      </c>
      <c r="UQ23" s="94">
        <f t="shared" si="279"/>
        <v>0</v>
      </c>
      <c r="UR23" s="13">
        <f t="shared" ca="1" si="280"/>
        <v>0</v>
      </c>
      <c r="US23" s="13">
        <f t="shared" ca="1" si="281"/>
        <v>0</v>
      </c>
      <c r="UT23" s="13">
        <f t="shared" ca="1" si="450"/>
        <v>0</v>
      </c>
      <c r="UU23" s="13">
        <f t="shared" ca="1" si="282"/>
        <v>12361.22935714286</v>
      </c>
      <c r="UV23" s="13">
        <f t="shared" ca="1" si="283"/>
        <v>0</v>
      </c>
      <c r="UW23" s="13">
        <f t="shared" ca="1" si="284"/>
        <v>1</v>
      </c>
      <c r="UX23" s="12">
        <f t="shared" ca="1" si="285"/>
        <v>12361.22935714286</v>
      </c>
      <c r="UY23" s="79"/>
      <c r="UZ23" s="12">
        <f t="shared" ca="1" si="451"/>
        <v>12361.22935714286</v>
      </c>
      <c r="VA23" s="18">
        <f t="shared" ca="1" si="286"/>
        <v>1</v>
      </c>
      <c r="VC23" s="19">
        <f t="shared" ca="1" si="287"/>
        <v>12361.22935714286</v>
      </c>
      <c r="VD23" s="19">
        <f ca="1">INDEX(Totals[[#Data],[#Totals],[Car - Note]:[NONTRACKED]],MATCH(VC$1,Totals[Date],0),MATCH($C23,Totals[[#Headers],[Car - Note]:[NONTRACKED]],0))</f>
        <v>0</v>
      </c>
      <c r="VE23" s="19">
        <f t="shared" ca="1" si="452"/>
        <v>12361.22935714286</v>
      </c>
      <c r="VF23" s="33">
        <f ca="1">0.15*VD31</f>
        <v>632.0017499999999</v>
      </c>
      <c r="VG23" s="33">
        <f ca="1">UL23+VF23</f>
        <v>12993.231107142859</v>
      </c>
      <c r="VH23" s="19" t="b">
        <f t="shared" ca="1" si="453"/>
        <v>0</v>
      </c>
      <c r="VI23" s="100">
        <f t="shared" si="288"/>
        <v>1</v>
      </c>
      <c r="VJ23" s="19">
        <f t="shared" ca="1" si="289"/>
        <v>632.00174999999945</v>
      </c>
      <c r="VK23" s="19">
        <f t="shared" ca="1" si="454"/>
        <v>632.00174999999945</v>
      </c>
      <c r="VL23" s="100">
        <f t="shared" si="290"/>
        <v>0</v>
      </c>
      <c r="VM23" s="19">
        <f t="shared" ca="1" si="291"/>
        <v>0</v>
      </c>
      <c r="VN23" s="19">
        <f t="shared" ca="1" si="292"/>
        <v>0</v>
      </c>
      <c r="VO23" s="19">
        <f t="shared" ca="1" si="455"/>
        <v>0</v>
      </c>
      <c r="VP23" s="19">
        <f t="shared" ca="1" si="293"/>
        <v>12993.231107142859</v>
      </c>
      <c r="VQ23" s="19">
        <f t="shared" ca="1" si="294"/>
        <v>0</v>
      </c>
      <c r="VR23" s="19">
        <f t="shared" ca="1" si="295"/>
        <v>1</v>
      </c>
      <c r="VS23" s="12">
        <f t="shared" ca="1" si="296"/>
        <v>12993.231107142859</v>
      </c>
      <c r="VT23" s="79"/>
      <c r="VU23" s="12">
        <f t="shared" ca="1" si="456"/>
        <v>12993.231107142859</v>
      </c>
      <c r="VV23" s="18">
        <f t="shared" ca="1" si="297"/>
        <v>1</v>
      </c>
      <c r="VX23" s="11">
        <f t="shared" ca="1" si="298"/>
        <v>12993.231107142859</v>
      </c>
      <c r="VY23" s="11">
        <f ca="1">INDEX(Totals[[#Data],[#Totals],[Car - Note]:[NONTRACKED]],MATCH(VX$1,Totals[Date],0),MATCH($C23,Totals[[#Headers],[Car - Note]:[NONTRACKED]],0))</f>
        <v>0</v>
      </c>
      <c r="VZ23" s="11">
        <f t="shared" ca="1" si="457"/>
        <v>12993.231107142859</v>
      </c>
      <c r="WA23" s="28">
        <f ca="1">0.15*VY31</f>
        <v>611.61428571428576</v>
      </c>
      <c r="WB23" s="28">
        <f ca="1">VG23+WA23</f>
        <v>13604.845392857145</v>
      </c>
      <c r="WC23" s="11" t="b">
        <f t="shared" ca="1" si="458"/>
        <v>0</v>
      </c>
      <c r="WD23" s="92">
        <f t="shared" si="299"/>
        <v>1</v>
      </c>
      <c r="WE23" s="11">
        <f t="shared" ca="1" si="300"/>
        <v>611.61428571428587</v>
      </c>
      <c r="WF23" s="11">
        <f t="shared" ca="1" si="459"/>
        <v>611.61428571428587</v>
      </c>
      <c r="WG23" s="92">
        <f t="shared" si="301"/>
        <v>0</v>
      </c>
      <c r="WH23" s="11">
        <f t="shared" ca="1" si="302"/>
        <v>0</v>
      </c>
      <c r="WI23" s="11">
        <f t="shared" ca="1" si="303"/>
        <v>0</v>
      </c>
      <c r="WJ23" s="11">
        <f t="shared" ca="1" si="460"/>
        <v>0</v>
      </c>
      <c r="WK23" s="11">
        <f t="shared" ca="1" si="304"/>
        <v>13604.845392857145</v>
      </c>
      <c r="WL23" s="11">
        <f t="shared" ca="1" si="305"/>
        <v>0</v>
      </c>
      <c r="WM23" s="11">
        <f t="shared" ca="1" si="306"/>
        <v>1</v>
      </c>
      <c r="WN23" s="12">
        <f t="shared" ca="1" si="307"/>
        <v>13604.845392857145</v>
      </c>
      <c r="WO23" s="79"/>
      <c r="WP23" s="12">
        <f t="shared" ca="1" si="461"/>
        <v>13604.845392857145</v>
      </c>
      <c r="WQ23" s="18">
        <f t="shared" ca="1" si="308"/>
        <v>1</v>
      </c>
      <c r="WS23" s="13">
        <f t="shared" ca="1" si="309"/>
        <v>13604.845392857145</v>
      </c>
      <c r="WT23" s="13">
        <f ca="1">INDEX(Totals[[#Data],[#Totals],[Car - Note]:[NONTRACKED]],MATCH(WS$1,Totals[Date],0),MATCH($C23,Totals[[#Headers],[Car - Note]:[NONTRACKED]],0))</f>
        <v>0</v>
      </c>
      <c r="WU23" s="13">
        <f t="shared" ca="1" si="462"/>
        <v>13604.845392857145</v>
      </c>
      <c r="WV23" s="32">
        <f ca="1">0.15*WT31</f>
        <v>632.00142857142862</v>
      </c>
      <c r="WW23" s="32">
        <f ca="1">WB23+WV23</f>
        <v>14236.846821428573</v>
      </c>
      <c r="WX23" s="13" t="b">
        <f t="shared" ca="1" si="463"/>
        <v>0</v>
      </c>
      <c r="WY23" s="94">
        <f t="shared" si="310"/>
        <v>1</v>
      </c>
      <c r="WZ23" s="13">
        <f t="shared" ca="1" si="311"/>
        <v>632.00142857142782</v>
      </c>
      <c r="XA23" s="13">
        <f t="shared" ca="1" si="464"/>
        <v>632.00142857142782</v>
      </c>
      <c r="XB23" s="94">
        <f t="shared" si="312"/>
        <v>0</v>
      </c>
      <c r="XC23" s="13">
        <f t="shared" ca="1" si="313"/>
        <v>0</v>
      </c>
      <c r="XD23" s="13">
        <f t="shared" ca="1" si="314"/>
        <v>0</v>
      </c>
      <c r="XE23" s="13">
        <f t="shared" ca="1" si="465"/>
        <v>0</v>
      </c>
      <c r="XF23" s="13">
        <f t="shared" ca="1" si="315"/>
        <v>14236.846821428573</v>
      </c>
      <c r="XG23" s="13">
        <f t="shared" ca="1" si="316"/>
        <v>0</v>
      </c>
      <c r="XH23" s="13">
        <f t="shared" ca="1" si="317"/>
        <v>1</v>
      </c>
      <c r="XI23" s="12">
        <f t="shared" ca="1" si="318"/>
        <v>14236.846821428573</v>
      </c>
      <c r="XJ23" s="104">
        <f t="shared" ca="1" si="471"/>
        <v>0</v>
      </c>
      <c r="XK23" s="12">
        <f t="shared" ca="1" si="466"/>
        <v>14236.846821428573</v>
      </c>
      <c r="XL23" s="18">
        <f t="shared" ca="1" si="320"/>
        <v>1</v>
      </c>
      <c r="XN23">
        <v>0</v>
      </c>
      <c r="XO23" s="103">
        <f t="shared" ca="1" si="467"/>
        <v>0</v>
      </c>
      <c r="XP23" s="12">
        <f t="shared" ca="1" si="468"/>
        <v>13604.845392857145</v>
      </c>
      <c r="XQ23" s="102">
        <f t="shared" ca="1" si="469"/>
        <v>1</v>
      </c>
    </row>
    <row r="24" spans="1:641" x14ac:dyDescent="0.25">
      <c r="A24" s="112"/>
      <c r="B24" t="s">
        <v>50</v>
      </c>
      <c r="C24" t="s">
        <v>34</v>
      </c>
      <c r="D24" s="79">
        <f>D31*-0.04</f>
        <v>-150.39171428571427</v>
      </c>
      <c r="F24" t="s">
        <v>949</v>
      </c>
      <c r="H24" s="48">
        <v>8.31</v>
      </c>
      <c r="I24" s="48"/>
      <c r="J24" s="48"/>
      <c r="K24" s="97">
        <f>0.04*I31</f>
        <v>0</v>
      </c>
      <c r="L24" s="95">
        <v>1000</v>
      </c>
      <c r="M24" s="48"/>
      <c r="N24" s="96"/>
      <c r="O24" s="48"/>
      <c r="P24" s="48"/>
      <c r="Q24" s="96"/>
      <c r="R24" s="48"/>
      <c r="S24" s="48"/>
      <c r="T24" s="48"/>
      <c r="U24" s="48"/>
      <c r="V24" s="48"/>
      <c r="W24" s="48"/>
      <c r="X24" s="48"/>
      <c r="Y24" s="48"/>
      <c r="Z24" s="48">
        <f t="shared" si="321"/>
        <v>8.31</v>
      </c>
      <c r="AA24" s="98">
        <f t="shared" si="0"/>
        <v>8.3099999999999997E-3</v>
      </c>
      <c r="AC24" s="11">
        <f t="shared" si="1"/>
        <v>8.31</v>
      </c>
      <c r="AD24" s="11">
        <f ca="1">INDEX(Totals[[#Data],[#Totals],[Car - Note]:[NONTRACKED]],MATCH(AC$1,Totals[Date],0),MATCH($C24,Totals[[#Headers],[Car - Note]:[NONTRACKED]],0))</f>
        <v>0</v>
      </c>
      <c r="AE24" s="11">
        <f t="shared" ca="1" si="322"/>
        <v>8.31</v>
      </c>
      <c r="AF24" s="28">
        <f ca="1">0.04*AD31</f>
        <v>0</v>
      </c>
      <c r="AG24" s="28">
        <f ca="1">L24+AF24</f>
        <v>1000</v>
      </c>
      <c r="AH24" s="11" t="b">
        <f t="shared" ca="1" si="323"/>
        <v>0</v>
      </c>
      <c r="AI24" s="92">
        <f t="shared" si="2"/>
        <v>0</v>
      </c>
      <c r="AJ24" s="11">
        <f t="shared" ca="1" si="3"/>
        <v>0</v>
      </c>
      <c r="AK24" s="11">
        <f t="shared" ca="1" si="324"/>
        <v>0</v>
      </c>
      <c r="AL24" s="92">
        <f t="shared" si="4"/>
        <v>1</v>
      </c>
      <c r="AM24" s="11">
        <f t="shared" ca="1" si="5"/>
        <v>991.69</v>
      </c>
      <c r="AN24" s="11">
        <f t="shared" ca="1" si="6"/>
        <v>0</v>
      </c>
      <c r="AO24" s="11">
        <f t="shared" ca="1" si="325"/>
        <v>0</v>
      </c>
      <c r="AP24" s="11">
        <f t="shared" ca="1" si="7"/>
        <v>8.31</v>
      </c>
      <c r="AQ24" s="11">
        <f t="shared" ca="1" si="8"/>
        <v>-991.69</v>
      </c>
      <c r="AR24" s="11">
        <f t="shared" ca="1" si="9"/>
        <v>8.3099999999999997E-3</v>
      </c>
      <c r="AS24" s="12">
        <f t="shared" ca="1" si="10"/>
        <v>8.31</v>
      </c>
      <c r="AT24" s="10">
        <f ca="1">MAX(-AS24,AO40-SUM(AT3:AT23,AT25:AT29))</f>
        <v>0</v>
      </c>
      <c r="AU24" s="12">
        <f t="shared" ca="1" si="326"/>
        <v>8.31</v>
      </c>
      <c r="AV24" s="18">
        <f t="shared" ca="1" si="11"/>
        <v>8.3099999999999997E-3</v>
      </c>
      <c r="AX24" s="13">
        <f t="shared" ca="1" si="12"/>
        <v>8.31</v>
      </c>
      <c r="AY24" s="13">
        <f ca="1">INDEX(Totals[[#Data],[#Totals],[Car - Note]:[NONTRACKED]],MATCH(AX$1,Totals[Date],0),MATCH($C24,Totals[[#Headers],[Car - Note]:[NONTRACKED]],0))</f>
        <v>0</v>
      </c>
      <c r="AZ24" s="13">
        <f t="shared" ca="1" si="327"/>
        <v>8.31</v>
      </c>
      <c r="BA24" s="32">
        <f ca="1">0.04*AY31</f>
        <v>116.8908</v>
      </c>
      <c r="BB24" s="32">
        <f ca="1">AG24+BA24</f>
        <v>1116.8907999999999</v>
      </c>
      <c r="BC24" s="13" t="b">
        <f t="shared" ca="1" si="328"/>
        <v>0</v>
      </c>
      <c r="BD24" s="94">
        <f t="shared" si="13"/>
        <v>0</v>
      </c>
      <c r="BE24" s="13">
        <f t="shared" ca="1" si="14"/>
        <v>0</v>
      </c>
      <c r="BF24" s="13">
        <f t="shared" ca="1" si="329"/>
        <v>0</v>
      </c>
      <c r="BG24" s="94">
        <f t="shared" si="15"/>
        <v>1</v>
      </c>
      <c r="BH24" s="13">
        <f t="shared" ca="1" si="16"/>
        <v>1108.5808</v>
      </c>
      <c r="BI24" s="13">
        <f t="shared" ca="1" si="17"/>
        <v>116.8908</v>
      </c>
      <c r="BJ24" s="13">
        <f t="shared" ca="1" si="330"/>
        <v>55.779448892127874</v>
      </c>
      <c r="BK24" s="13">
        <f t="shared" ca="1" si="18"/>
        <v>64.089448892127876</v>
      </c>
      <c r="BL24" s="13">
        <f t="shared" ca="1" si="19"/>
        <v>-1052.8</v>
      </c>
      <c r="BM24" s="13">
        <f t="shared" ca="1" si="20"/>
        <v>5.7382018808040933E-2</v>
      </c>
      <c r="BN24" s="12">
        <f t="shared" ca="1" si="21"/>
        <v>64.089448892127876</v>
      </c>
      <c r="BO24" s="10">
        <f ca="1">MAX(-BN24,BJ40-SUM(BO3:BO23,BO25:BO29))</f>
        <v>0</v>
      </c>
      <c r="BP24" s="12">
        <f t="shared" ca="1" si="331"/>
        <v>64.089448892127876</v>
      </c>
      <c r="BQ24" s="18">
        <f t="shared" ca="1" si="22"/>
        <v>5.7382018808040933E-2</v>
      </c>
      <c r="BS24" s="19">
        <f t="shared" ca="1" si="23"/>
        <v>64.089448892127876</v>
      </c>
      <c r="BT24" s="19">
        <f ca="1">INDEX(Totals[[#Data],[#Totals],[Car - Note]:[NONTRACKED]],MATCH(BS$1,Totals[Date],0),MATCH($C24,Totals[[#Headers],[Car - Note]:[NONTRACKED]],0))</f>
        <v>0</v>
      </c>
      <c r="BU24" s="19">
        <f t="shared" ca="1" si="332"/>
        <v>64.089448892127876</v>
      </c>
      <c r="BV24" s="33">
        <f ca="1">0.04*BT31</f>
        <v>169.47548571428572</v>
      </c>
      <c r="BW24" s="33">
        <f ca="1">BB24+BV24</f>
        <v>1286.3662857142856</v>
      </c>
      <c r="BX24" s="19" t="b">
        <f t="shared" ca="1" si="333"/>
        <v>0</v>
      </c>
      <c r="BY24" s="100">
        <f t="shared" si="24"/>
        <v>0</v>
      </c>
      <c r="BZ24" s="19">
        <f t="shared" ca="1" si="25"/>
        <v>0</v>
      </c>
      <c r="CA24" s="19">
        <f t="shared" ca="1" si="334"/>
        <v>0</v>
      </c>
      <c r="CB24" s="100">
        <f t="shared" si="26"/>
        <v>1</v>
      </c>
      <c r="CC24" s="19">
        <f t="shared" ca="1" si="27"/>
        <v>1222.2768368221577</v>
      </c>
      <c r="CD24" s="19">
        <f t="shared" ca="1" si="28"/>
        <v>169.47548571428572</v>
      </c>
      <c r="CE24" s="19">
        <f t="shared" ca="1" si="335"/>
        <v>169.47548571428572</v>
      </c>
      <c r="CF24" s="19">
        <f t="shared" ca="1" si="29"/>
        <v>233.5649346064136</v>
      </c>
      <c r="CG24" s="19">
        <f t="shared" ca="1" si="30"/>
        <v>-1052.8</v>
      </c>
      <c r="CH24" s="19">
        <f t="shared" ca="1" si="31"/>
        <v>0.181569539873879</v>
      </c>
      <c r="CI24" s="12">
        <f t="shared" ca="1" si="32"/>
        <v>233.5649346064136</v>
      </c>
      <c r="CJ24" s="10">
        <f ca="1">MAX(-CI24,CE40-SUM(CJ3:CJ23,CJ25:CJ29))</f>
        <v>735.57368419913473</v>
      </c>
      <c r="CK24" s="12">
        <f t="shared" ca="1" si="336"/>
        <v>969.13861880554828</v>
      </c>
      <c r="CL24" s="18">
        <f t="shared" ca="1" si="33"/>
        <v>0.7533924276221301</v>
      </c>
      <c r="CN24" s="11">
        <f t="shared" ca="1" si="34"/>
        <v>969.13861880554828</v>
      </c>
      <c r="CO24" s="11">
        <f ca="1">INDEX(Totals[[#Data],[#Totals],[Car - Note]:[NONTRACKED]],MATCH(CN$1,Totals[Date],0),MATCH($C24,Totals[[#Headers],[Car - Note]:[NONTRACKED]],0))</f>
        <v>0</v>
      </c>
      <c r="CP24" s="11">
        <f t="shared" ca="1" si="337"/>
        <v>969.13861880554828</v>
      </c>
      <c r="CQ24" s="28">
        <f ca="1">0.04*CO31</f>
        <v>163.15885714285716</v>
      </c>
      <c r="CR24" s="28">
        <f ca="1">BW24+CQ24</f>
        <v>1449.5251428571428</v>
      </c>
      <c r="CS24" s="11" t="b">
        <f t="shared" ca="1" si="338"/>
        <v>0</v>
      </c>
      <c r="CT24" s="92">
        <f t="shared" si="35"/>
        <v>0</v>
      </c>
      <c r="CU24" s="11">
        <f t="shared" ca="1" si="36"/>
        <v>0</v>
      </c>
      <c r="CV24" s="11">
        <f t="shared" ca="1" si="339"/>
        <v>0</v>
      </c>
      <c r="CW24" s="92">
        <f t="shared" si="37"/>
        <v>1</v>
      </c>
      <c r="CX24" s="11">
        <f t="shared" ca="1" si="38"/>
        <v>480.38652405159451</v>
      </c>
      <c r="CY24" s="11">
        <f t="shared" ca="1" si="39"/>
        <v>163.15885714285716</v>
      </c>
      <c r="CZ24" s="11">
        <f t="shared" ca="1" si="340"/>
        <v>163.15885714285716</v>
      </c>
      <c r="DA24" s="11">
        <f t="shared" ca="1" si="40"/>
        <v>1132.2974759484055</v>
      </c>
      <c r="DB24" s="11">
        <f t="shared" ca="1" si="41"/>
        <v>-317.23</v>
      </c>
      <c r="DC24" s="11">
        <f t="shared" ca="1" si="42"/>
        <v>0.78115062820955738</v>
      </c>
      <c r="DD24" s="12">
        <f t="shared" ca="1" si="43"/>
        <v>1132.2974759484055</v>
      </c>
      <c r="DE24" s="10">
        <f ca="1">MAX(-DD24,CZ40-SUM(DE3:DE23,DE25:DE29))</f>
        <v>206.13262883235529</v>
      </c>
      <c r="DF24" s="12">
        <f t="shared" ca="1" si="341"/>
        <v>1338.4301047807608</v>
      </c>
      <c r="DG24" s="18">
        <f t="shared" ca="1" si="44"/>
        <v>0.92335763292977191</v>
      </c>
      <c r="DI24" s="13">
        <f t="shared" ca="1" si="45"/>
        <v>1338.4301047807608</v>
      </c>
      <c r="DJ24" s="13">
        <f ca="1">INDEX(Totals[[#Data],[#Totals],[Car - Note]:[NONTRACKED]],MATCH(DI$1,Totals[Date],0),MATCH($C24,Totals[[#Headers],[Car - Note]:[NONTRACKED]],0))</f>
        <v>0</v>
      </c>
      <c r="DK24" s="13">
        <f t="shared" ca="1" si="342"/>
        <v>1338.4301047807608</v>
      </c>
      <c r="DL24" s="32">
        <f ca="1">0.04*DJ31</f>
        <v>159.23514285714285</v>
      </c>
      <c r="DM24" s="32">
        <f ca="1">CR24+DL24</f>
        <v>1608.7602857142856</v>
      </c>
      <c r="DN24" s="13" t="b">
        <f t="shared" ca="1" si="343"/>
        <v>0</v>
      </c>
      <c r="DO24" s="94">
        <f t="shared" si="46"/>
        <v>0</v>
      </c>
      <c r="DP24" s="13">
        <f t="shared" ca="1" si="47"/>
        <v>0</v>
      </c>
      <c r="DQ24" s="13">
        <f t="shared" ca="1" si="344"/>
        <v>0</v>
      </c>
      <c r="DR24" s="94">
        <f t="shared" si="48"/>
        <v>1</v>
      </c>
      <c r="DS24" s="13">
        <f t="shared" ca="1" si="49"/>
        <v>270.33018093352484</v>
      </c>
      <c r="DT24" s="13">
        <f t="shared" ca="1" si="50"/>
        <v>159.23514285714285</v>
      </c>
      <c r="DU24" s="13">
        <f t="shared" ca="1" si="345"/>
        <v>67.995472639118006</v>
      </c>
      <c r="DV24" s="13">
        <f t="shared" ca="1" si="51"/>
        <v>1406.4255774198787</v>
      </c>
      <c r="DW24" s="13">
        <f t="shared" ca="1" si="52"/>
        <v>-202.33</v>
      </c>
      <c r="DX24" s="13">
        <f t="shared" ca="1" si="53"/>
        <v>0.87422942368037704</v>
      </c>
      <c r="DY24" s="12">
        <f t="shared" ca="1" si="54"/>
        <v>1406.4255774198787</v>
      </c>
      <c r="DZ24" s="10">
        <f ca="1">MAX(-DY24,DU40-SUM(DZ3:DZ23,DZ25:DZ29))</f>
        <v>0</v>
      </c>
      <c r="EA24" s="12">
        <f t="shared" ca="1" si="346"/>
        <v>1406.4255774198787</v>
      </c>
      <c r="EB24" s="18">
        <f t="shared" ca="1" si="55"/>
        <v>0.87422942368037704</v>
      </c>
      <c r="ED24" s="19">
        <f t="shared" ca="1" si="56"/>
        <v>1406.4255774198787</v>
      </c>
      <c r="EE24" s="19">
        <f ca="1">INDEX(Totals[[#Data],[#Totals],[Car - Note]:[NONTRACKED]],MATCH(ED$1,Totals[Date],0),MATCH($C24,Totals[[#Headers],[Car - Note]:[NONTRACKED]],0))</f>
        <v>0</v>
      </c>
      <c r="EF24" s="19">
        <f t="shared" ca="1" si="347"/>
        <v>1406.4255774198787</v>
      </c>
      <c r="EG24" s="33">
        <f ca="1">0.04*EE31</f>
        <v>152.32590476190475</v>
      </c>
      <c r="EH24" s="33">
        <f ca="1">DM24+EG24</f>
        <v>1761.0861904761903</v>
      </c>
      <c r="EI24" s="19" t="b">
        <f t="shared" ca="1" si="348"/>
        <v>0</v>
      </c>
      <c r="EJ24" s="100">
        <f t="shared" si="57"/>
        <v>0</v>
      </c>
      <c r="EK24" s="19">
        <f t="shared" ca="1" si="58"/>
        <v>0</v>
      </c>
      <c r="EL24" s="19">
        <f t="shared" ca="1" si="349"/>
        <v>0</v>
      </c>
      <c r="EM24" s="100">
        <f t="shared" si="59"/>
        <v>1</v>
      </c>
      <c r="EN24" s="19">
        <f t="shared" ca="1" si="60"/>
        <v>354.6606130563116</v>
      </c>
      <c r="EO24" s="19">
        <f t="shared" ca="1" si="61"/>
        <v>152.32590476190475</v>
      </c>
      <c r="EP24" s="19">
        <f t="shared" ca="1" si="350"/>
        <v>111.03145809170735</v>
      </c>
      <c r="EQ24" s="19">
        <f t="shared" ca="1" si="62"/>
        <v>1517.4570355115861</v>
      </c>
      <c r="ER24" s="19">
        <f t="shared" ca="1" si="63"/>
        <v>-243.63</v>
      </c>
      <c r="ES24" s="19">
        <f t="shared" ca="1" si="64"/>
        <v>0.86165972098235133</v>
      </c>
      <c r="ET24" s="12">
        <f t="shared" ca="1" si="65"/>
        <v>1517.4570355115861</v>
      </c>
      <c r="EU24" s="10">
        <f ca="1">MAX(-ET24,EP40-SUM(EU3:EU23,EU25:EU29))</f>
        <v>0</v>
      </c>
      <c r="EV24" s="12">
        <f t="shared" ca="1" si="351"/>
        <v>1517.4570355115861</v>
      </c>
      <c r="EW24" s="18">
        <f t="shared" ca="1" si="66"/>
        <v>0.86165972098235133</v>
      </c>
      <c r="EY24" s="11">
        <f t="shared" ca="1" si="67"/>
        <v>1517.4570355115861</v>
      </c>
      <c r="EZ24" s="11">
        <f ca="1">INDEX(Totals[[#Data],[#Totals],[Car - Note]:[NONTRACKED]],MATCH(EY$1,Totals[Date],0),MATCH($C24,Totals[[#Headers],[Car - Note]:[NONTRACKED]],0))</f>
        <v>0</v>
      </c>
      <c r="FA24" s="11">
        <f t="shared" ca="1" si="352"/>
        <v>1517.4570355115861</v>
      </c>
      <c r="FB24" s="28">
        <f ca="1">0.04*EZ31</f>
        <v>157.42273396825397</v>
      </c>
      <c r="FC24" s="28">
        <f ca="1">EH24+FB24</f>
        <v>1918.5089244444443</v>
      </c>
      <c r="FD24" s="11" t="b">
        <f t="shared" ca="1" si="353"/>
        <v>0</v>
      </c>
      <c r="FE24" s="92">
        <f t="shared" si="68"/>
        <v>0</v>
      </c>
      <c r="FF24" s="11">
        <f t="shared" ca="1" si="69"/>
        <v>0</v>
      </c>
      <c r="FG24" s="11">
        <f t="shared" ca="1" si="354"/>
        <v>0</v>
      </c>
      <c r="FH24" s="92">
        <f t="shared" si="70"/>
        <v>1</v>
      </c>
      <c r="FI24" s="11">
        <f t="shared" ca="1" si="71"/>
        <v>401.05188893285822</v>
      </c>
      <c r="FJ24" s="11">
        <f t="shared" ca="1" si="72"/>
        <v>157.42273396825397</v>
      </c>
      <c r="FK24" s="11">
        <f t="shared" ca="1" si="355"/>
        <v>68.191741671979599</v>
      </c>
      <c r="FL24" s="11">
        <f t="shared" ca="1" si="73"/>
        <v>1585.6487771835657</v>
      </c>
      <c r="FM24" s="11">
        <f t="shared" ca="1" si="74"/>
        <v>-332.86</v>
      </c>
      <c r="FN24" s="11">
        <f t="shared" ca="1" si="75"/>
        <v>0.82650060001296721</v>
      </c>
      <c r="FO24" s="12">
        <f t="shared" ca="1" si="76"/>
        <v>1585.6487771835657</v>
      </c>
      <c r="FP24" s="10">
        <f ca="1">MAX(-FO24,FK40-SUM(FP3:FP23,FP25:FP29))</f>
        <v>0</v>
      </c>
      <c r="FQ24" s="12">
        <f t="shared" ca="1" si="356"/>
        <v>1585.6487771835657</v>
      </c>
      <c r="FR24" s="18">
        <f t="shared" ca="1" si="77"/>
        <v>0.82650060001296721</v>
      </c>
      <c r="FT24" s="13">
        <f t="shared" ca="1" si="78"/>
        <v>1585.6487771835657</v>
      </c>
      <c r="FU24" s="13">
        <f ca="1">INDEX(Totals[[#Data],[#Totals],[Car - Note]:[NONTRACKED]],MATCH(FT$1,Totals[Date],0),MATCH($C24,Totals[[#Headers],[Car - Note]:[NONTRACKED]],0))</f>
        <v>0</v>
      </c>
      <c r="FV24" s="13">
        <f t="shared" ca="1" si="357"/>
        <v>1585.6487771835657</v>
      </c>
      <c r="FW24" s="32">
        <f ca="1">0.04*FU31</f>
        <v>158.04987555555559</v>
      </c>
      <c r="FX24" s="32">
        <f ca="1">FC24+FW24</f>
        <v>2076.5587999999998</v>
      </c>
      <c r="FY24" s="13" t="b">
        <f t="shared" ca="1" si="358"/>
        <v>0</v>
      </c>
      <c r="FZ24" s="94">
        <f t="shared" si="79"/>
        <v>0</v>
      </c>
      <c r="GA24" s="13">
        <f t="shared" ca="1" si="80"/>
        <v>0</v>
      </c>
      <c r="GB24" s="13">
        <f t="shared" ca="1" si="359"/>
        <v>0</v>
      </c>
      <c r="GC24" s="94">
        <f t="shared" si="81"/>
        <v>1</v>
      </c>
      <c r="GD24" s="13">
        <f t="shared" ca="1" si="82"/>
        <v>490.91002281643409</v>
      </c>
      <c r="GE24" s="13">
        <f t="shared" ca="1" si="83"/>
        <v>158.04987555555559</v>
      </c>
      <c r="GF24" s="13">
        <f t="shared" ca="1" si="360"/>
        <v>68.277756871151439</v>
      </c>
      <c r="GG24" s="13">
        <f t="shared" ca="1" si="84"/>
        <v>1653.9265340547172</v>
      </c>
      <c r="GH24" s="13">
        <f t="shared" ca="1" si="85"/>
        <v>-422.63</v>
      </c>
      <c r="GI24" s="13">
        <f t="shared" ca="1" si="86"/>
        <v>0.79647469363964907</v>
      </c>
      <c r="GJ24" s="12">
        <f t="shared" ca="1" si="87"/>
        <v>1653.9265340547172</v>
      </c>
      <c r="GK24" s="10">
        <f ca="1">MAX(-GJ24,GF40-SUM(GK3:GK23,GK25:GK29))</f>
        <v>0</v>
      </c>
      <c r="GL24" s="12">
        <f t="shared" ca="1" si="361"/>
        <v>1653.9265340547172</v>
      </c>
      <c r="GM24" s="18">
        <f t="shared" ca="1" si="88"/>
        <v>0.79647469363964907</v>
      </c>
      <c r="GO24" s="19">
        <f t="shared" ca="1" si="89"/>
        <v>1653.9265340547172</v>
      </c>
      <c r="GP24" s="19">
        <f ca="1">INDEX(Totals[[#Data],[#Totals],[Car - Note]:[NONTRACKED]],MATCH(GO$1,Totals[Date],0),MATCH($C24,Totals[[#Headers],[Car - Note]:[NONTRACKED]],0))</f>
        <v>0</v>
      </c>
      <c r="GQ24" s="19">
        <f t="shared" ca="1" si="362"/>
        <v>1653.9265340547172</v>
      </c>
      <c r="GR24" s="33">
        <f ca="1">0.04*GP31</f>
        <v>161.70034285714286</v>
      </c>
      <c r="GS24" s="33">
        <f ca="1">FX24+GR24</f>
        <v>2238.2591428571427</v>
      </c>
      <c r="GT24" s="19" t="b">
        <f t="shared" ca="1" si="363"/>
        <v>0</v>
      </c>
      <c r="GU24" s="100">
        <f t="shared" si="90"/>
        <v>0</v>
      </c>
      <c r="GV24" s="19">
        <f t="shared" ca="1" si="91"/>
        <v>0</v>
      </c>
      <c r="GW24" s="19">
        <f t="shared" ca="1" si="364"/>
        <v>0</v>
      </c>
      <c r="GX24" s="100">
        <f t="shared" si="92"/>
        <v>1</v>
      </c>
      <c r="GY24" s="19">
        <f t="shared" ca="1" si="93"/>
        <v>584.33260880242551</v>
      </c>
      <c r="GZ24" s="19">
        <f t="shared" ca="1" si="94"/>
        <v>161.70034285714286</v>
      </c>
      <c r="HA24" s="19">
        <f t="shared" ca="1" si="365"/>
        <v>71.438522901830922</v>
      </c>
      <c r="HB24" s="19">
        <f t="shared" ca="1" si="95"/>
        <v>1725.3650569565482</v>
      </c>
      <c r="HC24" s="19">
        <f t="shared" ca="1" si="96"/>
        <v>-512.89</v>
      </c>
      <c r="HD24" s="19">
        <f t="shared" ca="1" si="97"/>
        <v>0.77085133884636603</v>
      </c>
      <c r="HE24" s="12">
        <f t="shared" ca="1" si="98"/>
        <v>1725.3650569565482</v>
      </c>
      <c r="HF24" s="10">
        <f ca="1">MAX(-HE24,HA40-SUM(HF3:HF23,HF25:HF29))</f>
        <v>-115</v>
      </c>
      <c r="HG24" s="12">
        <f t="shared" ca="1" si="366"/>
        <v>1610.3650569565482</v>
      </c>
      <c r="HH24" s="18">
        <f t="shared" ca="1" si="99"/>
        <v>0.71947212283065387</v>
      </c>
      <c r="HJ24" s="11">
        <f t="shared" ca="1" si="100"/>
        <v>1610.3650569565482</v>
      </c>
      <c r="HK24" s="11">
        <f ca="1">INDEX(Totals[[#Data],[#Totals],[Car - Note]:[NONTRACKED]],MATCH(HJ$1,Totals[Date],0),MATCH($C24,Totals[[#Headers],[Car - Note]:[NONTRACKED]],0))</f>
        <v>0</v>
      </c>
      <c r="HL24" s="11">
        <f t="shared" ca="1" si="367"/>
        <v>1610.3650569565482</v>
      </c>
      <c r="HM24" s="28">
        <f ca="1">0.04*HK31</f>
        <v>167.09165714285714</v>
      </c>
      <c r="HN24" s="28">
        <f ca="1">GS24+HM24</f>
        <v>2405.3507999999997</v>
      </c>
      <c r="HO24" s="11" t="b">
        <f t="shared" ca="1" si="368"/>
        <v>0</v>
      </c>
      <c r="HP24" s="92">
        <f t="shared" si="101"/>
        <v>0</v>
      </c>
      <c r="HQ24" s="11">
        <f t="shared" ca="1" si="102"/>
        <v>0</v>
      </c>
      <c r="HR24" s="11">
        <f t="shared" ca="1" si="369"/>
        <v>0</v>
      </c>
      <c r="HS24" s="92">
        <f t="shared" si="103"/>
        <v>1</v>
      </c>
      <c r="HT24" s="11">
        <f t="shared" ca="1" si="104"/>
        <v>794.98574304345152</v>
      </c>
      <c r="HU24" s="11">
        <f t="shared" ca="1" si="105"/>
        <v>167.09165714285714</v>
      </c>
      <c r="HV24" s="11">
        <f t="shared" ca="1" si="370"/>
        <v>70.713727676440655</v>
      </c>
      <c r="HW24" s="11">
        <f t="shared" ca="1" si="106"/>
        <v>1681.0787846329888</v>
      </c>
      <c r="HX24" s="11">
        <f t="shared" ca="1" si="107"/>
        <v>-724.27</v>
      </c>
      <c r="HY24" s="11">
        <f t="shared" ca="1" si="108"/>
        <v>0.69889131540937355</v>
      </c>
      <c r="HZ24" s="12">
        <f t="shared" ca="1" si="109"/>
        <v>1681.0787846329888</v>
      </c>
      <c r="IA24" s="10">
        <f ca="1">MAX(-HZ24,HV40-SUM(IA3:IA23,IA25:IA29))</f>
        <v>-700</v>
      </c>
      <c r="IB24" s="12">
        <f t="shared" ca="1" si="371"/>
        <v>981.0787846329888</v>
      </c>
      <c r="IC24" s="18">
        <f t="shared" ca="1" si="110"/>
        <v>0.40787347302230881</v>
      </c>
      <c r="IE24" s="13">
        <f t="shared" ca="1" si="111"/>
        <v>981.0787846329888</v>
      </c>
      <c r="IF24" s="13">
        <f ca="1">INDEX(Totals[[#Data],[#Totals],[Car - Note]:[NONTRACKED]],MATCH(IE$1,Totals[Date],0),MATCH($C24,Totals[[#Headers],[Car - Note]:[NONTRACKED]],0))</f>
        <v>0</v>
      </c>
      <c r="IG24" s="13">
        <f t="shared" ca="1" si="372"/>
        <v>981.0787846329888</v>
      </c>
      <c r="IH24" s="32">
        <f ca="1">0.04*IF31</f>
        <v>167.40205714285716</v>
      </c>
      <c r="II24" s="32">
        <f ca="1">HN24+IH24</f>
        <v>2572.752857142857</v>
      </c>
      <c r="IJ24" s="13" t="b">
        <f t="shared" ca="1" si="373"/>
        <v>0</v>
      </c>
      <c r="IK24" s="94">
        <f t="shared" si="112"/>
        <v>0</v>
      </c>
      <c r="IL24" s="13">
        <f t="shared" ca="1" si="113"/>
        <v>0</v>
      </c>
      <c r="IM24" s="13">
        <f t="shared" ca="1" si="374"/>
        <v>0</v>
      </c>
      <c r="IN24" s="94">
        <f t="shared" si="114"/>
        <v>1</v>
      </c>
      <c r="IO24" s="13">
        <f t="shared" ca="1" si="115"/>
        <v>1591.6740725098682</v>
      </c>
      <c r="IP24" s="13">
        <f t="shared" ca="1" si="116"/>
        <v>167.40205714285716</v>
      </c>
      <c r="IQ24" s="13">
        <f t="shared" ca="1" si="375"/>
        <v>77.327578437390912</v>
      </c>
      <c r="IR24" s="13">
        <f t="shared" ca="1" si="117"/>
        <v>1058.4063630703797</v>
      </c>
      <c r="IS24" s="13">
        <f t="shared" ca="1" si="118"/>
        <v>-1514.35</v>
      </c>
      <c r="IT24" s="13">
        <f t="shared" ca="1" si="119"/>
        <v>0.41139060836406244</v>
      </c>
      <c r="IU24" s="12">
        <f t="shared" ca="1" si="120"/>
        <v>1058.4063630703797</v>
      </c>
      <c r="IV24" s="10">
        <f ca="1">MAX(-IU24,IQ40-SUM(IV3:IV23,IV25:IV29))</f>
        <v>100</v>
      </c>
      <c r="IW24" s="12">
        <f t="shared" ca="1" si="376"/>
        <v>1158.4063630703797</v>
      </c>
      <c r="IX24" s="18">
        <f t="shared" ca="1" si="121"/>
        <v>0.45025947978416997</v>
      </c>
      <c r="IZ24" s="19">
        <f t="shared" ca="1" si="122"/>
        <v>1158.4063630703797</v>
      </c>
      <c r="JA24" s="19">
        <f ca="1">INDEX(Totals[[#Data],[#Totals],[Car - Note]:[NONTRACKED]],MATCH(IZ$1,Totals[Date],0),MATCH($C24,Totals[[#Headers],[Car - Note]:[NONTRACKED]],0))</f>
        <v>0</v>
      </c>
      <c r="JB24" s="19">
        <f t="shared" ca="1" si="377"/>
        <v>1158.4063630703797</v>
      </c>
      <c r="JC24" s="33">
        <f ca="1">0.04*JA31</f>
        <v>161.70177142857142</v>
      </c>
      <c r="JD24" s="33">
        <f ca="1">II24+JC24</f>
        <v>2734.4546285714287</v>
      </c>
      <c r="JE24" s="19" t="b">
        <f t="shared" ca="1" si="378"/>
        <v>0</v>
      </c>
      <c r="JF24" s="100">
        <f t="shared" si="123"/>
        <v>0</v>
      </c>
      <c r="JG24" s="19">
        <f t="shared" ca="1" si="124"/>
        <v>0</v>
      </c>
      <c r="JH24" s="19">
        <f t="shared" ca="1" si="379"/>
        <v>0</v>
      </c>
      <c r="JI24" s="100">
        <f t="shared" si="125"/>
        <v>1</v>
      </c>
      <c r="JJ24" s="19">
        <f t="shared" ca="1" si="126"/>
        <v>1576.0482655010489</v>
      </c>
      <c r="JK24" s="19">
        <f t="shared" ca="1" si="127"/>
        <v>161.70177142857142</v>
      </c>
      <c r="JL24" s="19">
        <f t="shared" ca="1" si="380"/>
        <v>61.882421845522799</v>
      </c>
      <c r="JM24" s="19">
        <f t="shared" ca="1" si="128"/>
        <v>1220.2887849159024</v>
      </c>
      <c r="JN24" s="19">
        <f t="shared" ca="1" si="129"/>
        <v>-1514.17</v>
      </c>
      <c r="JO24" s="19">
        <f t="shared" ca="1" si="130"/>
        <v>0.44626404554879101</v>
      </c>
      <c r="JP24" s="12">
        <f t="shared" ca="1" si="131"/>
        <v>1220.2887849159024</v>
      </c>
      <c r="JQ24" s="10">
        <f ca="1">MAX(-JP24,JL40-SUM(JQ3:JQ23,JQ25:JQ29))</f>
        <v>0</v>
      </c>
      <c r="JR24" s="12">
        <f t="shared" ca="1" si="381"/>
        <v>1220.2887849159024</v>
      </c>
      <c r="JS24" s="18">
        <f t="shared" ca="1" si="132"/>
        <v>0.44626404554879101</v>
      </c>
      <c r="JU24" s="11">
        <f t="shared" ca="1" si="133"/>
        <v>1220.2887849159024</v>
      </c>
      <c r="JV24" s="11">
        <f ca="1">INDEX(Totals[[#Data],[#Totals],[Car - Note]:[NONTRACKED]],MATCH(JU$1,Totals[Date],0),MATCH($C24,Totals[[#Headers],[Car - Note]:[NONTRACKED]],0))</f>
        <v>0</v>
      </c>
      <c r="JW24" s="11">
        <f t="shared" ca="1" si="382"/>
        <v>1220.2887849159024</v>
      </c>
      <c r="JX24" s="28">
        <f ca="1">0.04*JV31</f>
        <v>167.51897142857146</v>
      </c>
      <c r="JY24" s="28">
        <f ca="1">JD24+JX24</f>
        <v>2901.9736000000003</v>
      </c>
      <c r="JZ24" s="11" t="b">
        <f t="shared" ca="1" si="383"/>
        <v>0</v>
      </c>
      <c r="KA24" s="92">
        <f t="shared" si="134"/>
        <v>0</v>
      </c>
      <c r="KB24" s="11">
        <f t="shared" ca="1" si="135"/>
        <v>0</v>
      </c>
      <c r="KC24" s="11">
        <f t="shared" ca="1" si="384"/>
        <v>0</v>
      </c>
      <c r="KD24" s="92">
        <f t="shared" si="136"/>
        <v>1</v>
      </c>
      <c r="KE24" s="11">
        <f t="shared" ca="1" si="137"/>
        <v>1681.6848150840979</v>
      </c>
      <c r="KF24" s="11">
        <f t="shared" ca="1" si="138"/>
        <v>167.51897142857146</v>
      </c>
      <c r="KG24" s="11">
        <f t="shared" ca="1" si="385"/>
        <v>115.86410223947007</v>
      </c>
      <c r="KH24" s="11">
        <f t="shared" ca="1" si="139"/>
        <v>1336.1528871553724</v>
      </c>
      <c r="KI24" s="11">
        <f t="shared" ca="1" si="140"/>
        <v>-1565.82</v>
      </c>
      <c r="KJ24" s="11">
        <f t="shared" ca="1" si="141"/>
        <v>0.46042902911155781</v>
      </c>
      <c r="KK24" s="12">
        <f t="shared" ca="1" si="142"/>
        <v>1336.1528871553724</v>
      </c>
      <c r="KL24" s="10">
        <f ca="1">MAX(-KK24,KG40-SUM(KL3:KL23,KL25:KL29))</f>
        <v>0</v>
      </c>
      <c r="KM24" s="12">
        <f t="shared" ca="1" si="386"/>
        <v>1336.1528871553724</v>
      </c>
      <c r="KN24" s="18">
        <f t="shared" ca="1" si="143"/>
        <v>0.46042902911155781</v>
      </c>
      <c r="KP24" s="13">
        <f t="shared" ca="1" si="144"/>
        <v>1336.1528871553724</v>
      </c>
      <c r="KQ24" s="13">
        <f ca="1">INDEX(Totals[[#Data],[#Totals],[Car - Note]:[NONTRACKED]],MATCH(KP$1,Totals[Date],0),MATCH($C24,Totals[[#Headers],[Car - Note]:[NONTRACKED]],0))</f>
        <v>0</v>
      </c>
      <c r="KR24" s="13">
        <f t="shared" ca="1" si="387"/>
        <v>1336.1528871553724</v>
      </c>
      <c r="KS24" s="32">
        <f ca="1">0.04*KQ31</f>
        <v>151.33440000000002</v>
      </c>
      <c r="KT24" s="32">
        <f ca="1">JY24+KS24</f>
        <v>3053.3080000000004</v>
      </c>
      <c r="KU24" s="13" t="b">
        <f t="shared" ca="1" si="388"/>
        <v>0</v>
      </c>
      <c r="KV24" s="94">
        <f t="shared" si="145"/>
        <v>0</v>
      </c>
      <c r="KW24" s="13">
        <f t="shared" ca="1" si="146"/>
        <v>0</v>
      </c>
      <c r="KX24" s="13">
        <f t="shared" ca="1" si="389"/>
        <v>0</v>
      </c>
      <c r="KY24" s="94">
        <f t="shared" si="147"/>
        <v>1</v>
      </c>
      <c r="KZ24" s="13">
        <f t="shared" ca="1" si="148"/>
        <v>1717.1551128446281</v>
      </c>
      <c r="LA24" s="13">
        <f t="shared" ca="1" si="149"/>
        <v>151.33440000000002</v>
      </c>
      <c r="LB24" s="13">
        <f t="shared" ca="1" si="390"/>
        <v>115.4696114874547</v>
      </c>
      <c r="LC24" s="13">
        <f t="shared" ca="1" si="150"/>
        <v>1451.6224986428269</v>
      </c>
      <c r="LD24" s="13">
        <f t="shared" ca="1" si="151"/>
        <v>-1601.69</v>
      </c>
      <c r="LE24" s="13">
        <f t="shared" ca="1" si="152"/>
        <v>0.47542616029657891</v>
      </c>
      <c r="LF24" s="12">
        <f t="shared" ca="1" si="153"/>
        <v>1451.6224986428269</v>
      </c>
      <c r="LG24" s="10">
        <f ca="1">MAX(-LF24,LB40-SUM(LG3:LG23,LG25:LG29))</f>
        <v>0</v>
      </c>
      <c r="LH24" s="12">
        <f t="shared" ca="1" si="391"/>
        <v>1451.6224986428269</v>
      </c>
      <c r="LI24" s="18">
        <f t="shared" ca="1" si="154"/>
        <v>0.47542616029657891</v>
      </c>
      <c r="LK24" s="19">
        <f t="shared" ca="1" si="155"/>
        <v>1451.6224986428269</v>
      </c>
      <c r="LL24" s="19">
        <f ca="1">INDEX(Totals[[#Data],[#Totals],[Car - Note]:[NONTRACKED]],MATCH(LK$1,Totals[Date],0),MATCH($C24,Totals[[#Headers],[Car - Note]:[NONTRACKED]],0))</f>
        <v>-603</v>
      </c>
      <c r="LM24" s="19">
        <f t="shared" ca="1" si="392"/>
        <v>848.62249864282694</v>
      </c>
      <c r="LN24" s="33">
        <f ca="1">0.04*LL31</f>
        <v>167.54788571428574</v>
      </c>
      <c r="LO24" s="33">
        <f ca="1">KT24+LN24</f>
        <v>3220.8558857142862</v>
      </c>
      <c r="LP24" s="19" t="b">
        <f t="shared" ca="1" si="393"/>
        <v>0</v>
      </c>
      <c r="LQ24" s="100">
        <f t="shared" si="156"/>
        <v>0</v>
      </c>
      <c r="LR24" s="19">
        <f t="shared" ca="1" si="157"/>
        <v>0</v>
      </c>
      <c r="LS24" s="19">
        <f t="shared" ca="1" si="394"/>
        <v>0</v>
      </c>
      <c r="LT24" s="100">
        <f t="shared" si="158"/>
        <v>1</v>
      </c>
      <c r="LU24" s="19">
        <f t="shared" ca="1" si="159"/>
        <v>2372.2333870714592</v>
      </c>
      <c r="LV24" s="19">
        <f t="shared" ca="1" si="160"/>
        <v>167.54788571428574</v>
      </c>
      <c r="LW24" s="19">
        <f t="shared" ca="1" si="395"/>
        <v>106.35173836837573</v>
      </c>
      <c r="LX24" s="19">
        <f t="shared" ca="1" si="161"/>
        <v>954.97423701120272</v>
      </c>
      <c r="LY24" s="19">
        <f t="shared" ca="1" si="162"/>
        <v>-2265.88</v>
      </c>
      <c r="LZ24" s="19">
        <f t="shared" ca="1" si="163"/>
        <v>0.29649704019570533</v>
      </c>
      <c r="MA24" s="12">
        <f t="shared" ca="1" si="164"/>
        <v>954.97423701120272</v>
      </c>
      <c r="MB24" s="10">
        <f ca="1">MAX(-MA24,LW40-SUM(MB3:MB23,MB25:MB29))</f>
        <v>0</v>
      </c>
      <c r="MC24" s="12">
        <f t="shared" ca="1" si="396"/>
        <v>954.97423701120272</v>
      </c>
      <c r="MD24" s="18">
        <f t="shared" ca="1" si="165"/>
        <v>0.29649704019570533</v>
      </c>
      <c r="MF24" s="11">
        <f t="shared" ca="1" si="166"/>
        <v>954.97423701120272</v>
      </c>
      <c r="MG24" s="11">
        <f ca="1">INDEX(Totals[[#Data],[#Totals],[Car - Note]:[NONTRACKED]],MATCH(MF$1,Totals[Date],0),MATCH($C24,Totals[[#Headers],[Car - Note]:[NONTRACKED]],0))</f>
        <v>-2315.69</v>
      </c>
      <c r="MH24" s="11">
        <f t="shared" ca="1" si="397"/>
        <v>-1360.7157629887975</v>
      </c>
      <c r="MI24" s="28">
        <f ca="1">0.04*MG31</f>
        <v>162.14371428571428</v>
      </c>
      <c r="MJ24" s="28">
        <f ca="1">LO24+MI24</f>
        <v>3382.9996000000006</v>
      </c>
      <c r="MK24" s="11" t="b">
        <f t="shared" ca="1" si="398"/>
        <v>0</v>
      </c>
      <c r="ML24" s="92">
        <f t="shared" si="167"/>
        <v>0</v>
      </c>
      <c r="MM24" s="11">
        <f t="shared" ca="1" si="168"/>
        <v>0</v>
      </c>
      <c r="MN24" s="11">
        <f t="shared" ca="1" si="399"/>
        <v>0</v>
      </c>
      <c r="MO24" s="92">
        <f t="shared" si="169"/>
        <v>1</v>
      </c>
      <c r="MP24" s="11">
        <f t="shared" ca="1" si="170"/>
        <v>4743.715362988798</v>
      </c>
      <c r="MQ24" s="11">
        <f t="shared" ca="1" si="171"/>
        <v>162.14371428571428</v>
      </c>
      <c r="MR24" s="11">
        <f t="shared" ca="1" si="400"/>
        <v>81.196453906644066</v>
      </c>
      <c r="MS24" s="11">
        <f t="shared" ca="1" si="172"/>
        <v>-1279.5193090821533</v>
      </c>
      <c r="MT24" s="11">
        <f t="shared" ca="1" si="173"/>
        <v>-4662.5200000000004</v>
      </c>
      <c r="MU24" s="11">
        <f t="shared" ca="1" si="174"/>
        <v>-0.37822035482420779</v>
      </c>
      <c r="MV24" s="12">
        <f t="shared" ca="1" si="175"/>
        <v>-1279.5193090821533</v>
      </c>
      <c r="MW24" s="10">
        <f ca="1">MAX(-MV24,MR40-SUM(MW3:MW23,MW25:MW29))</f>
        <v>1400</v>
      </c>
      <c r="MX24" s="12">
        <f t="shared" ca="1" si="401"/>
        <v>120.48069091784669</v>
      </c>
      <c r="MY24" s="18">
        <f t="shared" ca="1" si="176"/>
        <v>3.561356936543731E-2</v>
      </c>
      <c r="NA24" s="13">
        <f t="shared" ca="1" si="177"/>
        <v>120.48069091784669</v>
      </c>
      <c r="NB24" s="13">
        <f ca="1">INDEX(Totals[[#Data],[#Totals],[Car - Note]:[NONTRACKED]],MATCH(NA$1,Totals[Date],0),MATCH($C24,Totals[[#Headers],[Car - Note]:[NONTRACKED]],0))</f>
        <v>0</v>
      </c>
      <c r="NC24" s="13">
        <f t="shared" ca="1" si="402"/>
        <v>120.48069091784669</v>
      </c>
      <c r="ND24" s="32">
        <f ca="1">0.04*NB31</f>
        <v>167.54840000000002</v>
      </c>
      <c r="NE24" s="32">
        <f ca="1">MJ24+ND24</f>
        <v>3550.5480000000007</v>
      </c>
      <c r="NF24" s="13" t="b">
        <f t="shared" ca="1" si="403"/>
        <v>0</v>
      </c>
      <c r="NG24" s="94">
        <f t="shared" si="178"/>
        <v>0</v>
      </c>
      <c r="NH24" s="13">
        <f t="shared" ca="1" si="179"/>
        <v>0</v>
      </c>
      <c r="NI24" s="13">
        <f t="shared" ca="1" si="404"/>
        <v>0</v>
      </c>
      <c r="NJ24" s="94">
        <f t="shared" si="180"/>
        <v>1</v>
      </c>
      <c r="NK24" s="13">
        <f t="shared" ca="1" si="181"/>
        <v>3430.0673090821538</v>
      </c>
      <c r="NL24" s="13">
        <f t="shared" ca="1" si="182"/>
        <v>167.54840000000002</v>
      </c>
      <c r="NM24" s="13">
        <f t="shared" ca="1" si="405"/>
        <v>167.54840000000002</v>
      </c>
      <c r="NN24" s="13">
        <f t="shared" ca="1" si="183"/>
        <v>288.0290909178467</v>
      </c>
      <c r="NO24" s="13">
        <f t="shared" ca="1" si="184"/>
        <v>-3262.52</v>
      </c>
      <c r="NP24" s="13">
        <f t="shared" ca="1" si="185"/>
        <v>8.1122432626694996E-2</v>
      </c>
      <c r="NQ24" s="12">
        <f t="shared" ca="1" si="186"/>
        <v>288.0290909178467</v>
      </c>
      <c r="NR24" s="10">
        <f ca="1">MAX(-NQ24,NM40-SUM(NR3:NR23,NR25:NR29))</f>
        <v>505.49182024261609</v>
      </c>
      <c r="NS24" s="12">
        <f t="shared" ca="1" si="406"/>
        <v>793.52091116046279</v>
      </c>
      <c r="NT24" s="18">
        <f t="shared" ca="1" si="187"/>
        <v>0.22349251753826807</v>
      </c>
      <c r="NV24" s="19">
        <f t="shared" ca="1" si="188"/>
        <v>793.52091116046279</v>
      </c>
      <c r="NW24" s="19">
        <f ca="1">INDEX(Totals[[#Data],[#Totals],[Car - Note]:[NONTRACKED]],MATCH(NV$1,Totals[Date],0),MATCH($C24,Totals[[#Headers],[Car - Note]:[NONTRACKED]],0))</f>
        <v>0</v>
      </c>
      <c r="NX24" s="19">
        <f t="shared" ca="1" si="407"/>
        <v>793.52091116046279</v>
      </c>
      <c r="NY24" s="33">
        <f ca="1">0.04*NW31</f>
        <v>162.14360000000002</v>
      </c>
      <c r="NZ24" s="33">
        <f ca="1">NE24+NY24</f>
        <v>3712.6916000000006</v>
      </c>
      <c r="OA24" s="19" t="b">
        <f t="shared" ca="1" si="408"/>
        <v>0</v>
      </c>
      <c r="OB24" s="100">
        <f t="shared" si="189"/>
        <v>0</v>
      </c>
      <c r="OC24" s="19">
        <f t="shared" ca="1" si="190"/>
        <v>0</v>
      </c>
      <c r="OD24" s="19">
        <f t="shared" ca="1" si="409"/>
        <v>0</v>
      </c>
      <c r="OE24" s="100">
        <f t="shared" si="191"/>
        <v>1</v>
      </c>
      <c r="OF24" s="19">
        <f t="shared" ca="1" si="192"/>
        <v>2919.1706888395379</v>
      </c>
      <c r="OG24" s="19">
        <f t="shared" ca="1" si="193"/>
        <v>162.14360000000002</v>
      </c>
      <c r="OH24" s="19">
        <f t="shared" ca="1" si="410"/>
        <v>125.06284263395703</v>
      </c>
      <c r="OI24" s="19">
        <f t="shared" ca="1" si="194"/>
        <v>918.58375379441986</v>
      </c>
      <c r="OJ24" s="19">
        <f t="shared" ca="1" si="195"/>
        <v>-2794.11</v>
      </c>
      <c r="OK24" s="19">
        <f t="shared" ca="1" si="196"/>
        <v>0.24741719829204767</v>
      </c>
      <c r="OL24" s="12">
        <f t="shared" ca="1" si="197"/>
        <v>918.58375379441986</v>
      </c>
      <c r="OM24" s="10">
        <f ca="1">MAX(-OL24,OH40-SUM(OM3:OM23,OM25:OM29))</f>
        <v>0</v>
      </c>
      <c r="ON24" s="12">
        <f t="shared" ca="1" si="411"/>
        <v>918.58375379441986</v>
      </c>
      <c r="OO24" s="18">
        <f t="shared" ca="1" si="198"/>
        <v>0.24741719829204767</v>
      </c>
      <c r="OQ24" s="11">
        <f t="shared" ca="1" si="199"/>
        <v>918.58375379441986</v>
      </c>
      <c r="OR24" s="11">
        <f ca="1">INDEX(Totals[[#Data],[#Totals],[Car - Note]:[NONTRACKED]],MATCH(OQ$1,Totals[Date],0),MATCH($C24,Totals[[#Headers],[Car - Note]:[NONTRACKED]],0))</f>
        <v>0</v>
      </c>
      <c r="OS24" s="11">
        <f t="shared" ca="1" si="412"/>
        <v>918.58375379441986</v>
      </c>
      <c r="OT24" s="28">
        <f ca="1">0.04*OR31</f>
        <v>169.77560000000003</v>
      </c>
      <c r="OU24" s="28">
        <f ca="1">NZ24+OT24</f>
        <v>3882.4672000000005</v>
      </c>
      <c r="OV24" s="11" t="b">
        <f t="shared" ca="1" si="413"/>
        <v>0</v>
      </c>
      <c r="OW24" s="92">
        <f t="shared" si="200"/>
        <v>0</v>
      </c>
      <c r="OX24" s="11">
        <f t="shared" ca="1" si="201"/>
        <v>0</v>
      </c>
      <c r="OY24" s="11">
        <f t="shared" ca="1" si="414"/>
        <v>0</v>
      </c>
      <c r="OZ24" s="92">
        <f t="shared" si="202"/>
        <v>1</v>
      </c>
      <c r="PA24" s="11">
        <f t="shared" ca="1" si="203"/>
        <v>2963.8834462055806</v>
      </c>
      <c r="PB24" s="11">
        <f t="shared" ca="1" si="204"/>
        <v>169.77560000000003</v>
      </c>
      <c r="PC24" s="11">
        <f t="shared" ca="1" si="415"/>
        <v>100.83915970558739</v>
      </c>
      <c r="PD24" s="11">
        <f t="shared" ca="1" si="205"/>
        <v>1019.4229135000072</v>
      </c>
      <c r="PE24" s="11">
        <f t="shared" ca="1" si="206"/>
        <v>-2863.04</v>
      </c>
      <c r="PF24" s="11">
        <f t="shared" ca="1" si="207"/>
        <v>0.2625709016936465</v>
      </c>
      <c r="PG24" s="12">
        <f t="shared" ca="1" si="208"/>
        <v>1019.4229135000072</v>
      </c>
      <c r="PH24" s="10">
        <f ca="1">MAX(-PG24,PC40-SUM(PH3:PH23,PH25:PH29))</f>
        <v>0</v>
      </c>
      <c r="PI24" s="12">
        <f t="shared" ca="1" si="416"/>
        <v>1019.4229135000072</v>
      </c>
      <c r="PJ24" s="18">
        <f t="shared" ca="1" si="209"/>
        <v>0.2625709016936465</v>
      </c>
      <c r="PL24" s="13">
        <f t="shared" ca="1" si="210"/>
        <v>1019.4229135000072</v>
      </c>
      <c r="PM24" s="13">
        <f ca="1">INDEX(Totals[[#Data],[#Totals],[Car - Note]:[NONTRACKED]],MATCH(PL$1,Totals[Date],0),MATCH($C24,Totals[[#Headers],[Car - Note]:[NONTRACKED]],0))</f>
        <v>0</v>
      </c>
      <c r="PN24" s="13">
        <f t="shared" ca="1" si="417"/>
        <v>1019.4229135000072</v>
      </c>
      <c r="PO24" s="32">
        <f ca="1">0.04*PM31</f>
        <v>168.14988571428572</v>
      </c>
      <c r="PP24" s="32">
        <f ca="1">OU24+PO24</f>
        <v>4050.6170857142861</v>
      </c>
      <c r="PQ24" s="13" t="b">
        <f t="shared" ca="1" si="418"/>
        <v>0</v>
      </c>
      <c r="PR24" s="94">
        <f t="shared" si="211"/>
        <v>0</v>
      </c>
      <c r="PS24" s="13">
        <f t="shared" ca="1" si="212"/>
        <v>0</v>
      </c>
      <c r="PT24" s="13">
        <f t="shared" ca="1" si="419"/>
        <v>0</v>
      </c>
      <c r="PU24" s="94">
        <f t="shared" si="213"/>
        <v>1</v>
      </c>
      <c r="PV24" s="13">
        <f t="shared" ca="1" si="214"/>
        <v>3031.1941722142788</v>
      </c>
      <c r="PW24" s="13">
        <f t="shared" ca="1" si="215"/>
        <v>168.14988571428572</v>
      </c>
      <c r="PX24" s="13">
        <f t="shared" ca="1" si="420"/>
        <v>118.7890630533427</v>
      </c>
      <c r="PY24" s="13">
        <f t="shared" ca="1" si="216"/>
        <v>1138.2119765533498</v>
      </c>
      <c r="PZ24" s="13">
        <f t="shared" ca="1" si="217"/>
        <v>-2912.41</v>
      </c>
      <c r="QA24" s="13">
        <f t="shared" ca="1" si="218"/>
        <v>0.2809971795575531</v>
      </c>
      <c r="QB24" s="12">
        <f t="shared" ca="1" si="219"/>
        <v>1138.2119765533498</v>
      </c>
      <c r="QC24" s="10">
        <f ca="1">MAX(-QB24,PX40-SUM(QC3:QC23,QC25:QC29))</f>
        <v>0</v>
      </c>
      <c r="QD24" s="12">
        <f t="shared" ca="1" si="421"/>
        <v>1138.2119765533498</v>
      </c>
      <c r="QE24" s="18">
        <f t="shared" ca="1" si="220"/>
        <v>0.2809971795575531</v>
      </c>
      <c r="QG24" s="19">
        <f t="shared" ca="1" si="221"/>
        <v>1138.2119765533498</v>
      </c>
      <c r="QH24" s="19">
        <f ca="1">INDEX(Totals[[#Data],[#Totals],[Car - Note]:[NONTRACKED]],MATCH(QG$1,Totals[Date],0),MATCH($C24,Totals[[#Headers],[Car - Note]:[NONTRACKED]],0))</f>
        <v>0</v>
      </c>
      <c r="QI24" s="19">
        <f t="shared" ca="1" si="422"/>
        <v>1138.2119765533498</v>
      </c>
      <c r="QJ24" s="33">
        <f ca="1">0.04*QH31</f>
        <v>162.72617142857143</v>
      </c>
      <c r="QK24" s="33">
        <f ca="1">PP24+QJ24</f>
        <v>4213.3432571428575</v>
      </c>
      <c r="QL24" s="19" t="b">
        <f t="shared" ca="1" si="423"/>
        <v>0</v>
      </c>
      <c r="QM24" s="100">
        <f t="shared" si="222"/>
        <v>0</v>
      </c>
      <c r="QN24" s="19">
        <f t="shared" ca="1" si="223"/>
        <v>0</v>
      </c>
      <c r="QO24" s="19">
        <f t="shared" ca="1" si="424"/>
        <v>0</v>
      </c>
      <c r="QP24" s="100">
        <f t="shared" si="224"/>
        <v>1</v>
      </c>
      <c r="QQ24" s="19">
        <f t="shared" ca="1" si="225"/>
        <v>3075.1312805895077</v>
      </c>
      <c r="QR24" s="19">
        <f t="shared" ca="1" si="226"/>
        <v>162.72617142857143</v>
      </c>
      <c r="QS24" s="19">
        <f t="shared" ca="1" si="425"/>
        <v>113.69828739090605</v>
      </c>
      <c r="QT24" s="19">
        <f t="shared" ca="1" si="227"/>
        <v>1251.9102639442558</v>
      </c>
      <c r="QU24" s="19">
        <f t="shared" ca="1" si="228"/>
        <v>-2961.43</v>
      </c>
      <c r="QV24" s="19">
        <f t="shared" ca="1" si="229"/>
        <v>0.29712990077936308</v>
      </c>
      <c r="QW24" s="12">
        <f t="shared" ca="1" si="230"/>
        <v>1251.9102639442558</v>
      </c>
      <c r="QX24" s="10">
        <f ca="1">MAX(-QW24,QS40-SUM(QX3:QX23,QX25:QX29))</f>
        <v>-75</v>
      </c>
      <c r="QY24" s="12">
        <f t="shared" ca="1" si="426"/>
        <v>1176.9102639442558</v>
      </c>
      <c r="QZ24" s="18">
        <f t="shared" ca="1" si="231"/>
        <v>0.27932930979431747</v>
      </c>
      <c r="RB24" s="11">
        <f t="shared" ca="1" si="232"/>
        <v>1176.9102639442558</v>
      </c>
      <c r="RC24" s="11">
        <f ca="1">INDEX(Totals[[#Data],[#Totals],[Car - Note]:[NONTRACKED]],MATCH(RB$1,Totals[Date],0),MATCH($C24,Totals[[#Headers],[Car - Note]:[NONTRACKED]],0))</f>
        <v>0</v>
      </c>
      <c r="RD24" s="11">
        <f t="shared" ca="1" si="427"/>
        <v>1176.9102639442558</v>
      </c>
      <c r="RE24" s="28">
        <f ca="1">0.04*RC31</f>
        <v>168.15017142857144</v>
      </c>
      <c r="RF24" s="28">
        <f ca="1">QK24+RE24</f>
        <v>4381.4934285714289</v>
      </c>
      <c r="RG24" s="11" t="b">
        <f t="shared" ca="1" si="428"/>
        <v>0</v>
      </c>
      <c r="RH24" s="92">
        <f t="shared" si="233"/>
        <v>0</v>
      </c>
      <c r="RI24" s="11">
        <f t="shared" ca="1" si="234"/>
        <v>0</v>
      </c>
      <c r="RJ24" s="11">
        <f t="shared" ca="1" si="429"/>
        <v>0</v>
      </c>
      <c r="RK24" s="92">
        <f t="shared" si="235"/>
        <v>1</v>
      </c>
      <c r="RL24" s="11">
        <f t="shared" ca="1" si="236"/>
        <v>3204.5831646271731</v>
      </c>
      <c r="RM24" s="11">
        <f t="shared" ca="1" si="237"/>
        <v>168.15017142857144</v>
      </c>
      <c r="RN24" s="11">
        <f t="shared" ca="1" si="430"/>
        <v>98.848116950519042</v>
      </c>
      <c r="RO24" s="11">
        <f t="shared" ca="1" si="238"/>
        <v>1275.7583808947747</v>
      </c>
      <c r="RP24" s="11">
        <f t="shared" ca="1" si="239"/>
        <v>-3105.74</v>
      </c>
      <c r="RQ24" s="11">
        <f t="shared" ca="1" si="240"/>
        <v>0.29116975791305283</v>
      </c>
      <c r="RR24" s="12">
        <f t="shared" ca="1" si="241"/>
        <v>1275.7583808947747</v>
      </c>
      <c r="RS24" s="10">
        <f ca="1">MAX(-RR24,RN40-SUM(RS3:RS23,RS25:RS29))</f>
        <v>-75</v>
      </c>
      <c r="RT24" s="12">
        <f t="shared" ca="1" si="431"/>
        <v>1200.7583808947747</v>
      </c>
      <c r="RU24" s="18">
        <f t="shared" ca="1" si="242"/>
        <v>0.27405230670088621</v>
      </c>
      <c r="RW24" s="13">
        <f t="shared" ca="1" si="243"/>
        <v>1200.7583808947747</v>
      </c>
      <c r="RX24" s="13">
        <f ca="1">INDEX(Totals[[#Data],[#Totals],[Car - Note]:[NONTRACKED]],MATCH(RW$1,Totals[Date],0),MATCH($C24,Totals[[#Headers],[Car - Note]:[NONTRACKED]],0))</f>
        <v>0</v>
      </c>
      <c r="RY24" s="13">
        <f t="shared" ca="1" si="432"/>
        <v>1200.7583808947747</v>
      </c>
      <c r="RZ24" s="32">
        <f ca="1">0.04*RX31</f>
        <v>163.25537142857144</v>
      </c>
      <c r="SA24" s="32">
        <f ca="1">RF24+RZ24</f>
        <v>4544.7488000000003</v>
      </c>
      <c r="SB24" s="13" t="b">
        <f t="shared" ca="1" si="433"/>
        <v>0</v>
      </c>
      <c r="SC24" s="94">
        <f t="shared" si="244"/>
        <v>0</v>
      </c>
      <c r="SD24" s="13">
        <f t="shared" ca="1" si="245"/>
        <v>0</v>
      </c>
      <c r="SE24" s="13">
        <f t="shared" ca="1" si="434"/>
        <v>0</v>
      </c>
      <c r="SF24" s="94">
        <f t="shared" si="246"/>
        <v>1</v>
      </c>
      <c r="SG24" s="13">
        <f t="shared" ca="1" si="247"/>
        <v>3343.9904191052256</v>
      </c>
      <c r="SH24" s="13">
        <f t="shared" ca="1" si="248"/>
        <v>163.25537142857144</v>
      </c>
      <c r="SI24" s="13">
        <f t="shared" ca="1" si="435"/>
        <v>143.27462495866462</v>
      </c>
      <c r="SJ24" s="13">
        <f t="shared" ca="1" si="249"/>
        <v>1344.0330058534394</v>
      </c>
      <c r="SK24" s="13">
        <f t="shared" ca="1" si="250"/>
        <v>-3200.72</v>
      </c>
      <c r="SL24" s="13">
        <f t="shared" ca="1" si="251"/>
        <v>0.29573317800390625</v>
      </c>
      <c r="SM24" s="12">
        <f t="shared" ca="1" si="252"/>
        <v>1344.0330058534394</v>
      </c>
      <c r="SN24" s="10">
        <f ca="1">MAX(-SM24,SI40-SUM(SN3:SN23,SN25:SN29))</f>
        <v>-2</v>
      </c>
      <c r="SO24" s="12">
        <f t="shared" ca="1" si="436"/>
        <v>1342.0330058534394</v>
      </c>
      <c r="SP24" s="18">
        <f t="shared" ca="1" si="253"/>
        <v>0.29529310967713757</v>
      </c>
      <c r="SR24" s="19">
        <f t="shared" ca="1" si="254"/>
        <v>1342.0330058534394</v>
      </c>
      <c r="SS24" s="19">
        <f ca="1">INDEX(Totals[[#Data],[#Totals],[Car - Note]:[NONTRACKED]],MATCH(SR$1,Totals[Date],0),MATCH($C24,Totals[[#Headers],[Car - Note]:[NONTRACKED]],0))</f>
        <v>0</v>
      </c>
      <c r="ST24" s="19">
        <f t="shared" ca="1" si="437"/>
        <v>1342.0330058534394</v>
      </c>
      <c r="SU24" s="33">
        <f ca="1">0.04*SS31</f>
        <v>168.15019999999998</v>
      </c>
      <c r="SV24" s="33">
        <f ca="1">SA24+SU24</f>
        <v>4712.8990000000003</v>
      </c>
      <c r="SW24" s="19" t="b">
        <f t="shared" ca="1" si="438"/>
        <v>0</v>
      </c>
      <c r="SX24" s="100">
        <f t="shared" si="255"/>
        <v>0</v>
      </c>
      <c r="SY24" s="19">
        <f t="shared" ca="1" si="256"/>
        <v>0</v>
      </c>
      <c r="SZ24" s="19">
        <f t="shared" ca="1" si="439"/>
        <v>0</v>
      </c>
      <c r="TA24" s="100">
        <f t="shared" si="257"/>
        <v>1</v>
      </c>
      <c r="TB24" s="19">
        <f t="shared" ca="1" si="258"/>
        <v>3370.8659941465612</v>
      </c>
      <c r="TC24" s="19">
        <f t="shared" ca="1" si="259"/>
        <v>168.15019999999998</v>
      </c>
      <c r="TD24" s="19">
        <f t="shared" ca="1" si="440"/>
        <v>122.17865116769354</v>
      </c>
      <c r="TE24" s="19">
        <f t="shared" ca="1" si="260"/>
        <v>1464.2116570211329</v>
      </c>
      <c r="TF24" s="19">
        <f t="shared" ca="1" si="261"/>
        <v>-3248.69</v>
      </c>
      <c r="TG24" s="19">
        <f t="shared" ca="1" si="262"/>
        <v>0.31068173899358603</v>
      </c>
      <c r="TH24" s="12">
        <f t="shared" ca="1" si="263"/>
        <v>1464.2116570211329</v>
      </c>
      <c r="TI24" s="10">
        <f ca="1">MAX(-TH24,TD40-SUM(TI3:TI23,TI25:TI29))</f>
        <v>0</v>
      </c>
      <c r="TJ24" s="12">
        <f t="shared" ca="1" si="441"/>
        <v>1464.2116570211329</v>
      </c>
      <c r="TK24" s="18">
        <f t="shared" ca="1" si="264"/>
        <v>0.31068173899358603</v>
      </c>
      <c r="TM24" s="11">
        <f t="shared" ca="1" si="265"/>
        <v>1464.2116570211329</v>
      </c>
      <c r="TN24" s="11">
        <f ca="1">INDEX(Totals[[#Data],[#Totals],[Car - Note]:[NONTRACKED]],MATCH(TM$1,Totals[Date],0),MATCH($C24,Totals[[#Headers],[Car - Note]:[NONTRACKED]],0))</f>
        <v>0</v>
      </c>
      <c r="TO24" s="11">
        <f t="shared" ca="1" si="442"/>
        <v>1464.2116570211329</v>
      </c>
      <c r="TP24" s="28">
        <f ca="1">0.08*TN31</f>
        <v>336.6961714285714</v>
      </c>
      <c r="TQ24" s="28">
        <f ca="1">SV24+TP24</f>
        <v>5049.595171428572</v>
      </c>
      <c r="TR24" s="11" t="b">
        <f t="shared" ca="1" si="443"/>
        <v>0</v>
      </c>
      <c r="TS24" s="92">
        <f t="shared" si="266"/>
        <v>0</v>
      </c>
      <c r="TT24" s="11">
        <f t="shared" ca="1" si="267"/>
        <v>0</v>
      </c>
      <c r="TU24" s="11">
        <f t="shared" ca="1" si="444"/>
        <v>0</v>
      </c>
      <c r="TV24" s="92">
        <f t="shared" si="268"/>
        <v>1</v>
      </c>
      <c r="TW24" s="11">
        <f t="shared" ca="1" si="269"/>
        <v>3585.3835144074392</v>
      </c>
      <c r="TX24" s="11">
        <f t="shared" ca="1" si="270"/>
        <v>336.6961714285714</v>
      </c>
      <c r="TY24" s="11">
        <f t="shared" ca="1" si="445"/>
        <v>214.30973654580967</v>
      </c>
      <c r="TZ24" s="11">
        <f t="shared" ca="1" si="271"/>
        <v>1678.5213935669426</v>
      </c>
      <c r="UA24" s="11">
        <f t="shared" ca="1" si="272"/>
        <v>-3371.07</v>
      </c>
      <c r="UB24" s="11">
        <f t="shared" ca="1" si="273"/>
        <v>0.33240712108255505</v>
      </c>
      <c r="UC24" s="12">
        <f t="shared" ca="1" si="274"/>
        <v>1678.5213935669426</v>
      </c>
      <c r="UD24" s="10">
        <f ca="1">MAX(-UC24,TY40-SUM(UD3:UD23,UD25:UD29))</f>
        <v>300</v>
      </c>
      <c r="UE24" s="12">
        <f t="shared" ca="1" si="446"/>
        <v>1978.5213935669426</v>
      </c>
      <c r="UF24" s="18">
        <f t="shared" ca="1" si="275"/>
        <v>0.39181782428059525</v>
      </c>
      <c r="UH24" s="13">
        <f t="shared" ca="1" si="276"/>
        <v>1978.5213935669426</v>
      </c>
      <c r="UI24" s="13">
        <f ca="1">INDEX(Totals[[#Data],[#Totals],[Car - Note]:[NONTRACKED]],MATCH(UH$1,Totals[Date],0),MATCH($C24,Totals[[#Headers],[Car - Note]:[NONTRACKED]],0))</f>
        <v>-499</v>
      </c>
      <c r="UJ24" s="13">
        <f t="shared" ca="1" si="447"/>
        <v>1479.5213935669426</v>
      </c>
      <c r="UK24" s="32">
        <f ca="1">0.08*UI31</f>
        <v>315.32108571428569</v>
      </c>
      <c r="UL24" s="32">
        <f ca="1">TQ24+UK24</f>
        <v>5364.9162571428578</v>
      </c>
      <c r="UM24" s="13" t="b">
        <f t="shared" ca="1" si="448"/>
        <v>0</v>
      </c>
      <c r="UN24" s="94">
        <f t="shared" si="277"/>
        <v>0</v>
      </c>
      <c r="UO24" s="13">
        <f t="shared" ca="1" si="278"/>
        <v>0</v>
      </c>
      <c r="UP24" s="13">
        <f t="shared" ca="1" si="449"/>
        <v>0</v>
      </c>
      <c r="UQ24" s="94">
        <f t="shared" si="279"/>
        <v>1</v>
      </c>
      <c r="UR24" s="13">
        <f t="shared" ca="1" si="280"/>
        <v>3885.3948635759152</v>
      </c>
      <c r="US24" s="13">
        <f t="shared" ca="1" si="281"/>
        <v>315.32108571428569</v>
      </c>
      <c r="UT24" s="13">
        <f t="shared" ca="1" si="450"/>
        <v>315.32108571428569</v>
      </c>
      <c r="UU24" s="13">
        <f t="shared" ca="1" si="282"/>
        <v>1794.8424792812284</v>
      </c>
      <c r="UV24" s="13">
        <f t="shared" ca="1" si="283"/>
        <v>-3570.07</v>
      </c>
      <c r="UW24" s="13">
        <f t="shared" ca="1" si="284"/>
        <v>0.33455181651560217</v>
      </c>
      <c r="UX24" s="12">
        <f t="shared" ca="1" si="285"/>
        <v>1794.8424792812284</v>
      </c>
      <c r="UY24" s="10">
        <f ca="1">MAX(-UX24,UT40-SUM(UY3:UY23,UY25:UY29))</f>
        <v>330.39442974112467</v>
      </c>
      <c r="UZ24" s="12">
        <f t="shared" ca="1" si="451"/>
        <v>2125.2369090223528</v>
      </c>
      <c r="VA24" s="18">
        <f t="shared" ca="1" si="286"/>
        <v>0.39613608249575361</v>
      </c>
      <c r="VC24" s="19">
        <f t="shared" ca="1" si="287"/>
        <v>2125.2369090223528</v>
      </c>
      <c r="VD24" s="19">
        <f ca="1">INDEX(Totals[[#Data],[#Totals],[Car - Note]:[NONTRACKED]],MATCH(VC$1,Totals[Date],0),MATCH($C24,Totals[[#Headers],[Car - Note]:[NONTRACKED]],0))</f>
        <v>0</v>
      </c>
      <c r="VE24" s="19">
        <f t="shared" ca="1" si="452"/>
        <v>2125.2369090223528</v>
      </c>
      <c r="VF24" s="33">
        <f ca="1">0.08*VD31</f>
        <v>337.06759999999997</v>
      </c>
      <c r="VG24" s="33">
        <f ca="1">UL24+VF24</f>
        <v>5701.9838571428581</v>
      </c>
      <c r="VH24" s="19" t="b">
        <f t="shared" ca="1" si="453"/>
        <v>0</v>
      </c>
      <c r="VI24" s="100">
        <f t="shared" si="288"/>
        <v>0</v>
      </c>
      <c r="VJ24" s="19">
        <f t="shared" ca="1" si="289"/>
        <v>0</v>
      </c>
      <c r="VK24" s="19">
        <f t="shared" ca="1" si="454"/>
        <v>0</v>
      </c>
      <c r="VL24" s="100">
        <f t="shared" si="290"/>
        <v>1</v>
      </c>
      <c r="VM24" s="19">
        <f t="shared" ca="1" si="291"/>
        <v>3576.7469481205053</v>
      </c>
      <c r="VN24" s="19">
        <f t="shared" ca="1" si="292"/>
        <v>337.06759999999997</v>
      </c>
      <c r="VO24" s="19">
        <f t="shared" ca="1" si="455"/>
        <v>223.45531889405979</v>
      </c>
      <c r="VP24" s="19">
        <f t="shared" ca="1" si="293"/>
        <v>2348.6922279164128</v>
      </c>
      <c r="VQ24" s="19">
        <f t="shared" ca="1" si="294"/>
        <v>-3353.29</v>
      </c>
      <c r="VR24" s="19">
        <f t="shared" ca="1" si="295"/>
        <v>0.41190790552207773</v>
      </c>
      <c r="VS24" s="12">
        <f t="shared" ca="1" si="296"/>
        <v>2348.6922279164128</v>
      </c>
      <c r="VT24" s="10">
        <f ca="1">MAX(-VS24,VO40-SUM(VT3:VT23,VT25:VT29))</f>
        <v>0</v>
      </c>
      <c r="VU24" s="12">
        <f t="shared" ca="1" si="456"/>
        <v>2348.6922279164128</v>
      </c>
      <c r="VV24" s="18">
        <f t="shared" ca="1" si="297"/>
        <v>0.41190790552207773</v>
      </c>
      <c r="VX24" s="11">
        <f t="shared" ca="1" si="298"/>
        <v>2348.6922279164128</v>
      </c>
      <c r="VY24" s="11">
        <f ca="1">INDEX(Totals[[#Data],[#Totals],[Car - Note]:[NONTRACKED]],MATCH(VX$1,Totals[Date],0),MATCH($C24,Totals[[#Headers],[Car - Note]:[NONTRACKED]],0))</f>
        <v>0</v>
      </c>
      <c r="VZ24" s="11">
        <f t="shared" ca="1" si="457"/>
        <v>2348.6922279164128</v>
      </c>
      <c r="WA24" s="28">
        <f ca="1">0.08*VY31</f>
        <v>326.19428571428574</v>
      </c>
      <c r="WB24" s="28">
        <f ca="1">VG24+WA24</f>
        <v>6028.1781428571439</v>
      </c>
      <c r="WC24" s="11" t="b">
        <f t="shared" ca="1" si="458"/>
        <v>0</v>
      </c>
      <c r="WD24" s="92">
        <f t="shared" si="299"/>
        <v>0</v>
      </c>
      <c r="WE24" s="11">
        <f t="shared" ca="1" si="300"/>
        <v>0</v>
      </c>
      <c r="WF24" s="11">
        <f t="shared" ca="1" si="459"/>
        <v>0</v>
      </c>
      <c r="WG24" s="92">
        <f t="shared" si="301"/>
        <v>1</v>
      </c>
      <c r="WH24" s="11">
        <f t="shared" ca="1" si="302"/>
        <v>3679.4859149407312</v>
      </c>
      <c r="WI24" s="11">
        <f t="shared" ca="1" si="303"/>
        <v>326.19428571428574</v>
      </c>
      <c r="WJ24" s="11">
        <f t="shared" ca="1" si="460"/>
        <v>194.800071813183</v>
      </c>
      <c r="WK24" s="11">
        <f t="shared" ca="1" si="304"/>
        <v>2543.4922997295957</v>
      </c>
      <c r="WL24" s="11">
        <f t="shared" ca="1" si="305"/>
        <v>-3484.69</v>
      </c>
      <c r="WM24" s="11">
        <f t="shared" ca="1" si="306"/>
        <v>0.42193383132570633</v>
      </c>
      <c r="WN24" s="12">
        <f t="shared" ca="1" si="307"/>
        <v>2543.4922997295957</v>
      </c>
      <c r="WO24" s="10">
        <f ca="1">MAX(-WN24,WJ40-SUM(WO3:WO23,WO25:WO29))</f>
        <v>22.62</v>
      </c>
      <c r="WP24" s="12">
        <f t="shared" ca="1" si="461"/>
        <v>2566.1122997295956</v>
      </c>
      <c r="WQ24" s="18">
        <f t="shared" ca="1" si="308"/>
        <v>0.42568620882085428</v>
      </c>
      <c r="WS24" s="13">
        <f t="shared" ca="1" si="309"/>
        <v>2566.1122997295956</v>
      </c>
      <c r="WT24" s="13">
        <f ca="1">INDEX(Totals[[#Data],[#Totals],[Car - Note]:[NONTRACKED]],MATCH(WS$1,Totals[Date],0),MATCH($C24,Totals[[#Headers],[Car - Note]:[NONTRACKED]],0))</f>
        <v>0</v>
      </c>
      <c r="WU24" s="13">
        <f t="shared" ca="1" si="462"/>
        <v>2566.1122997295956</v>
      </c>
      <c r="WV24" s="32">
        <f ca="1">0.08*WT31</f>
        <v>337.06742857142859</v>
      </c>
      <c r="WW24" s="32">
        <f ca="1">WB24+WV24</f>
        <v>6365.2455714285725</v>
      </c>
      <c r="WX24" s="13" t="b">
        <f t="shared" ca="1" si="463"/>
        <v>0</v>
      </c>
      <c r="WY24" s="94">
        <f t="shared" si="310"/>
        <v>0</v>
      </c>
      <c r="WZ24" s="13">
        <f t="shared" ca="1" si="311"/>
        <v>0</v>
      </c>
      <c r="XA24" s="13">
        <f t="shared" ca="1" si="464"/>
        <v>0</v>
      </c>
      <c r="XB24" s="94">
        <f t="shared" si="312"/>
        <v>1</v>
      </c>
      <c r="XC24" s="13">
        <f t="shared" ca="1" si="313"/>
        <v>3799.1332716989768</v>
      </c>
      <c r="XD24" s="13">
        <f t="shared" ca="1" si="314"/>
        <v>337.06742857142859</v>
      </c>
      <c r="XE24" s="13">
        <f t="shared" ca="1" si="465"/>
        <v>319.24194187208343</v>
      </c>
      <c r="XF24" s="13">
        <f t="shared" ca="1" si="315"/>
        <v>2885.354241601679</v>
      </c>
      <c r="XG24" s="13">
        <f t="shared" ca="1" si="316"/>
        <v>-3479.89</v>
      </c>
      <c r="XH24" s="13">
        <f t="shared" ca="1" si="317"/>
        <v>0.45329818138565697</v>
      </c>
      <c r="XI24" s="12">
        <f t="shared" ca="1" si="318"/>
        <v>2885.354241601679</v>
      </c>
      <c r="XJ24" s="10">
        <f ca="1">MAX(-XI24,XE40-SUM(XJ3:XJ23,XJ25:XJ29))</f>
        <v>-109.91196168474232</v>
      </c>
      <c r="XK24" s="12">
        <f t="shared" ca="1" si="466"/>
        <v>2775.4422799169365</v>
      </c>
      <c r="XL24" s="18">
        <f t="shared" ca="1" si="320"/>
        <v>0.43603066822354114</v>
      </c>
      <c r="XN24">
        <v>0.1</v>
      </c>
      <c r="XO24" s="103">
        <f t="shared" ca="1" si="467"/>
        <v>256.61122997295956</v>
      </c>
      <c r="XP24" s="12">
        <f t="shared" ca="1" si="468"/>
        <v>2309.5010697566358</v>
      </c>
      <c r="XQ24" s="102">
        <f t="shared" ca="1" si="469"/>
        <v>0.38311758793876882</v>
      </c>
    </row>
    <row r="25" spans="1:641" x14ac:dyDescent="0.25">
      <c r="A25" s="112"/>
      <c r="B25" t="s">
        <v>46</v>
      </c>
      <c r="C25" t="s">
        <v>146</v>
      </c>
      <c r="D25" s="79">
        <v>-150</v>
      </c>
      <c r="H25" s="48">
        <v>0</v>
      </c>
      <c r="I25" s="48"/>
      <c r="J25" s="48"/>
      <c r="K25" s="48">
        <v>150</v>
      </c>
      <c r="L25" s="95">
        <v>100</v>
      </c>
      <c r="M25" s="48"/>
      <c r="N25" s="96"/>
      <c r="O25" s="48"/>
      <c r="P25" s="48"/>
      <c r="Q25" s="96"/>
      <c r="R25" s="48"/>
      <c r="S25" s="48"/>
      <c r="T25" s="48"/>
      <c r="U25" s="48"/>
      <c r="V25" s="48"/>
      <c r="W25" s="48"/>
      <c r="X25" s="48"/>
      <c r="Y25" s="48"/>
      <c r="Z25" s="48">
        <f t="shared" si="321"/>
        <v>0</v>
      </c>
      <c r="AA25" s="98">
        <f t="shared" si="0"/>
        <v>0</v>
      </c>
      <c r="AC25" s="11">
        <f t="shared" si="1"/>
        <v>0</v>
      </c>
      <c r="AD25" s="11">
        <f ca="1">INDEX(Totals[[#Data],[#Totals],[Car - Note]:[NONTRACKED]],MATCH(AC$1,Totals[Date],0),MATCH($C25,Totals[[#Headers],[Car - Note]:[NONTRACKED]],0))</f>
        <v>0</v>
      </c>
      <c r="AE25" s="11">
        <f t="shared" ca="1" si="322"/>
        <v>0</v>
      </c>
      <c r="AF25" s="11">
        <v>150</v>
      </c>
      <c r="AG25" s="11">
        <v>10</v>
      </c>
      <c r="AH25" s="11" t="b">
        <f t="shared" ca="1" si="323"/>
        <v>0</v>
      </c>
      <c r="AI25" s="92">
        <f t="shared" si="2"/>
        <v>0</v>
      </c>
      <c r="AJ25" s="11">
        <f t="shared" ca="1" si="3"/>
        <v>0</v>
      </c>
      <c r="AK25" s="11">
        <f t="shared" ca="1" si="324"/>
        <v>0</v>
      </c>
      <c r="AL25" s="92">
        <f t="shared" si="4"/>
        <v>1</v>
      </c>
      <c r="AM25" s="11">
        <f t="shared" ca="1" si="5"/>
        <v>10</v>
      </c>
      <c r="AN25" s="11">
        <f t="shared" ca="1" si="6"/>
        <v>10</v>
      </c>
      <c r="AO25" s="11">
        <f t="shared" ca="1" si="325"/>
        <v>8.049697754497025</v>
      </c>
      <c r="AP25" s="11">
        <f t="shared" ca="1" si="7"/>
        <v>8.049697754497025</v>
      </c>
      <c r="AQ25" s="11">
        <f t="shared" ca="1" si="8"/>
        <v>-1.95</v>
      </c>
      <c r="AR25" s="11">
        <f t="shared" ca="1" si="9"/>
        <v>0.8049697754497025</v>
      </c>
      <c r="AS25" s="12">
        <f t="shared" ca="1" si="10"/>
        <v>8.049697754497025</v>
      </c>
      <c r="AT25" s="12"/>
      <c r="AU25" s="12">
        <f t="shared" ca="1" si="326"/>
        <v>8.049697754497025</v>
      </c>
      <c r="AV25" s="18">
        <f t="shared" ca="1" si="11"/>
        <v>0.8049697754497025</v>
      </c>
      <c r="AX25" s="13">
        <f t="shared" ca="1" si="12"/>
        <v>8.049697754497025</v>
      </c>
      <c r="AY25" s="13">
        <f ca="1">INDEX(Totals[[#Data],[#Totals],[Car - Note]:[NONTRACKED]],MATCH(AX$1,Totals[Date],0),MATCH($C25,Totals[[#Headers],[Car - Note]:[NONTRACKED]],0))</f>
        <v>0</v>
      </c>
      <c r="AZ25" s="13">
        <f t="shared" ca="1" si="327"/>
        <v>8.049697754497025</v>
      </c>
      <c r="BA25" s="13">
        <v>150</v>
      </c>
      <c r="BB25" s="13">
        <v>50</v>
      </c>
      <c r="BC25" s="13" t="b">
        <f t="shared" ca="1" si="328"/>
        <v>0</v>
      </c>
      <c r="BD25" s="94">
        <f t="shared" si="13"/>
        <v>0</v>
      </c>
      <c r="BE25" s="13">
        <f t="shared" ca="1" si="14"/>
        <v>0</v>
      </c>
      <c r="BF25" s="13">
        <f t="shared" ca="1" si="329"/>
        <v>0</v>
      </c>
      <c r="BG25" s="94">
        <f t="shared" si="15"/>
        <v>1</v>
      </c>
      <c r="BH25" s="13">
        <f t="shared" ca="1" si="16"/>
        <v>41.950302245502975</v>
      </c>
      <c r="BI25" s="13">
        <f t="shared" ca="1" si="17"/>
        <v>41.950302245502975</v>
      </c>
      <c r="BJ25" s="13">
        <f t="shared" ca="1" si="330"/>
        <v>20.018382457065488</v>
      </c>
      <c r="BK25" s="13">
        <f t="shared" ca="1" si="18"/>
        <v>28.068080211562513</v>
      </c>
      <c r="BL25" s="13">
        <f t="shared" ca="1" si="19"/>
        <v>-21.93</v>
      </c>
      <c r="BM25" s="13">
        <f t="shared" ca="1" si="20"/>
        <v>0.56136160423125026</v>
      </c>
      <c r="BN25" s="12">
        <f t="shared" ca="1" si="21"/>
        <v>28.068080211562513</v>
      </c>
      <c r="BO25" s="12"/>
      <c r="BP25" s="12">
        <f t="shared" ca="1" si="331"/>
        <v>28.068080211562513</v>
      </c>
      <c r="BQ25" s="18">
        <f t="shared" ca="1" si="22"/>
        <v>0.56136160423125026</v>
      </c>
      <c r="BS25" s="19">
        <f t="shared" ca="1" si="23"/>
        <v>28.068080211562513</v>
      </c>
      <c r="BT25" s="19">
        <f ca="1">INDEX(Totals[[#Data],[#Totals],[Car - Note]:[NONTRACKED]],MATCH(BS$1,Totals[Date],0),MATCH($C25,Totals[[#Headers],[Car - Note]:[NONTRACKED]],0))</f>
        <v>0</v>
      </c>
      <c r="BU25" s="19">
        <f t="shared" ca="1" si="332"/>
        <v>28.068080211562513</v>
      </c>
      <c r="BV25" s="19">
        <v>150</v>
      </c>
      <c r="BW25" s="19">
        <v>200</v>
      </c>
      <c r="BX25" s="19" t="b">
        <f t="shared" ca="1" si="333"/>
        <v>0</v>
      </c>
      <c r="BY25" s="100">
        <f t="shared" si="24"/>
        <v>0</v>
      </c>
      <c r="BZ25" s="19">
        <f t="shared" ca="1" si="25"/>
        <v>0</v>
      </c>
      <c r="CA25" s="19">
        <f t="shared" ca="1" si="334"/>
        <v>0</v>
      </c>
      <c r="CB25" s="100">
        <f t="shared" si="26"/>
        <v>1</v>
      </c>
      <c r="CC25" s="19">
        <f t="shared" ca="1" si="27"/>
        <v>171.93191978843748</v>
      </c>
      <c r="CD25" s="19">
        <f t="shared" ca="1" si="28"/>
        <v>150</v>
      </c>
      <c r="CE25" s="19">
        <f t="shared" ca="1" si="335"/>
        <v>150</v>
      </c>
      <c r="CF25" s="19">
        <f t="shared" ca="1" si="29"/>
        <v>178.06808021156252</v>
      </c>
      <c r="CG25" s="19">
        <f t="shared" ca="1" si="30"/>
        <v>-21.93</v>
      </c>
      <c r="CH25" s="19">
        <f t="shared" ca="1" si="31"/>
        <v>0.89034040105781254</v>
      </c>
      <c r="CI25" s="12">
        <f t="shared" ca="1" si="32"/>
        <v>178.06808021156252</v>
      </c>
      <c r="CJ25" s="10">
        <f ca="1">BW25-CI25</f>
        <v>21.931919788437483</v>
      </c>
      <c r="CK25" s="12">
        <f t="shared" ca="1" si="336"/>
        <v>200</v>
      </c>
      <c r="CL25" s="18">
        <f t="shared" ca="1" si="33"/>
        <v>1</v>
      </c>
      <c r="CN25" s="11">
        <f t="shared" ca="1" si="34"/>
        <v>200</v>
      </c>
      <c r="CO25" s="11">
        <f ca="1">INDEX(Totals[[#Data],[#Totals],[Car - Note]:[NONTRACKED]],MATCH(CN$1,Totals[Date],0),MATCH($C25,Totals[[#Headers],[Car - Note]:[NONTRACKED]],0))</f>
        <v>-22.38</v>
      </c>
      <c r="CP25" s="11">
        <f t="shared" ca="1" si="337"/>
        <v>177.62</v>
      </c>
      <c r="CQ25" s="11">
        <v>150</v>
      </c>
      <c r="CR25" s="11">
        <v>500</v>
      </c>
      <c r="CS25" s="11" t="b">
        <f t="shared" ca="1" si="338"/>
        <v>0</v>
      </c>
      <c r="CT25" s="92">
        <f t="shared" si="35"/>
        <v>0</v>
      </c>
      <c r="CU25" s="11">
        <f t="shared" ca="1" si="36"/>
        <v>0</v>
      </c>
      <c r="CV25" s="11">
        <f t="shared" ca="1" si="339"/>
        <v>0</v>
      </c>
      <c r="CW25" s="92">
        <f t="shared" si="37"/>
        <v>1</v>
      </c>
      <c r="CX25" s="11">
        <f t="shared" ca="1" si="38"/>
        <v>322.38</v>
      </c>
      <c r="CY25" s="11">
        <f t="shared" ca="1" si="39"/>
        <v>150</v>
      </c>
      <c r="CZ25" s="11">
        <f t="shared" ca="1" si="340"/>
        <v>150</v>
      </c>
      <c r="DA25" s="11">
        <f t="shared" ca="1" si="40"/>
        <v>327.62</v>
      </c>
      <c r="DB25" s="11">
        <f t="shared" ca="1" si="41"/>
        <v>-172.38</v>
      </c>
      <c r="DC25" s="11">
        <f t="shared" ca="1" si="42"/>
        <v>0.65524000000000004</v>
      </c>
      <c r="DD25" s="12">
        <f t="shared" ca="1" si="43"/>
        <v>327.62</v>
      </c>
      <c r="DE25" s="79"/>
      <c r="DF25" s="12">
        <f t="shared" ca="1" si="341"/>
        <v>327.62</v>
      </c>
      <c r="DG25" s="18">
        <f t="shared" ca="1" si="44"/>
        <v>0.65524000000000004</v>
      </c>
      <c r="DI25" s="13">
        <f t="shared" ca="1" si="45"/>
        <v>327.62</v>
      </c>
      <c r="DJ25" s="13">
        <f ca="1">INDEX(Totals[[#Data],[#Totals],[Car - Note]:[NONTRACKED]],MATCH(DI$1,Totals[Date],0),MATCH($C25,Totals[[#Headers],[Car - Note]:[NONTRACKED]],0))</f>
        <v>0</v>
      </c>
      <c r="DK25" s="13">
        <f t="shared" ca="1" si="342"/>
        <v>327.62</v>
      </c>
      <c r="DL25" s="13">
        <v>150</v>
      </c>
      <c r="DM25" s="13">
        <v>500</v>
      </c>
      <c r="DN25" s="13" t="b">
        <f t="shared" ca="1" si="343"/>
        <v>0</v>
      </c>
      <c r="DO25" s="94">
        <f t="shared" si="46"/>
        <v>0</v>
      </c>
      <c r="DP25" s="13">
        <f t="shared" ca="1" si="47"/>
        <v>0</v>
      </c>
      <c r="DQ25" s="13">
        <f t="shared" ca="1" si="344"/>
        <v>0</v>
      </c>
      <c r="DR25" s="94">
        <f t="shared" si="48"/>
        <v>1</v>
      </c>
      <c r="DS25" s="13">
        <f t="shared" ca="1" si="49"/>
        <v>172.38</v>
      </c>
      <c r="DT25" s="13">
        <f t="shared" ca="1" si="50"/>
        <v>150</v>
      </c>
      <c r="DU25" s="13">
        <f t="shared" ca="1" si="345"/>
        <v>64.051946780479113</v>
      </c>
      <c r="DV25" s="13">
        <f t="shared" ca="1" si="51"/>
        <v>391.67194678047912</v>
      </c>
      <c r="DW25" s="13">
        <f t="shared" ca="1" si="52"/>
        <v>-108.33</v>
      </c>
      <c r="DX25" s="13">
        <f t="shared" ca="1" si="53"/>
        <v>0.78334389356095824</v>
      </c>
      <c r="DY25" s="12">
        <f t="shared" ca="1" si="54"/>
        <v>391.67194678047912</v>
      </c>
      <c r="DZ25" s="79"/>
      <c r="EA25" s="12">
        <f t="shared" ca="1" si="346"/>
        <v>391.67194678047912</v>
      </c>
      <c r="EB25" s="18">
        <f t="shared" ca="1" si="55"/>
        <v>0.78334389356095824</v>
      </c>
      <c r="ED25" s="19">
        <f t="shared" ca="1" si="56"/>
        <v>391.67194678047912</v>
      </c>
      <c r="EE25" s="19">
        <f ca="1">INDEX(Totals[[#Data],[#Totals],[Car - Note]:[NONTRACKED]],MATCH(ED$1,Totals[Date],0),MATCH($C25,Totals[[#Headers],[Car - Note]:[NONTRACKED]],0))</f>
        <v>-12.31</v>
      </c>
      <c r="EF25" s="19">
        <f t="shared" ca="1" si="347"/>
        <v>379.36194678047912</v>
      </c>
      <c r="EG25" s="19">
        <v>150</v>
      </c>
      <c r="EH25" s="19">
        <v>500</v>
      </c>
      <c r="EI25" s="19" t="b">
        <f t="shared" ca="1" si="348"/>
        <v>0</v>
      </c>
      <c r="EJ25" s="100">
        <f t="shared" si="57"/>
        <v>0</v>
      </c>
      <c r="EK25" s="19">
        <f t="shared" ca="1" si="58"/>
        <v>0</v>
      </c>
      <c r="EL25" s="19">
        <f t="shared" ca="1" si="349"/>
        <v>0</v>
      </c>
      <c r="EM25" s="100">
        <f t="shared" si="59"/>
        <v>1</v>
      </c>
      <c r="EN25" s="19">
        <f t="shared" ca="1" si="60"/>
        <v>120.63805321952088</v>
      </c>
      <c r="EO25" s="19">
        <f t="shared" ca="1" si="61"/>
        <v>120.63805321952088</v>
      </c>
      <c r="EP25" s="19">
        <f t="shared" ca="1" si="350"/>
        <v>87.933953001920784</v>
      </c>
      <c r="EQ25" s="19">
        <f t="shared" ca="1" si="62"/>
        <v>467.29589978239989</v>
      </c>
      <c r="ER25" s="19">
        <f t="shared" ca="1" si="63"/>
        <v>-32.700000000000003</v>
      </c>
      <c r="ES25" s="19">
        <f t="shared" ca="1" si="64"/>
        <v>0.93459179956479976</v>
      </c>
      <c r="ET25" s="12">
        <f t="shared" ca="1" si="65"/>
        <v>467.29589978239989</v>
      </c>
      <c r="EU25" s="79"/>
      <c r="EV25" s="12">
        <f t="shared" ca="1" si="351"/>
        <v>467.29589978239989</v>
      </c>
      <c r="EW25" s="18">
        <f t="shared" ca="1" si="66"/>
        <v>0.93459179956479976</v>
      </c>
      <c r="EY25" s="11">
        <f t="shared" ca="1" si="67"/>
        <v>467.29589978239989</v>
      </c>
      <c r="EZ25" s="11">
        <f ca="1">INDEX(Totals[[#Data],[#Totals],[Car - Note]:[NONTRACKED]],MATCH(EY$1,Totals[Date],0),MATCH($C25,Totals[[#Headers],[Car - Note]:[NONTRACKED]],0))</f>
        <v>-10.89</v>
      </c>
      <c r="FA25" s="11">
        <f t="shared" ca="1" si="352"/>
        <v>456.4058997823999</v>
      </c>
      <c r="FB25" s="11">
        <v>150</v>
      </c>
      <c r="FC25" s="11">
        <v>500</v>
      </c>
      <c r="FD25" s="11" t="b">
        <f t="shared" ca="1" si="353"/>
        <v>0</v>
      </c>
      <c r="FE25" s="92">
        <f t="shared" si="68"/>
        <v>0</v>
      </c>
      <c r="FF25" s="11">
        <f t="shared" ca="1" si="69"/>
        <v>0</v>
      </c>
      <c r="FG25" s="11">
        <f t="shared" ca="1" si="354"/>
        <v>0</v>
      </c>
      <c r="FH25" s="92">
        <f t="shared" si="70"/>
        <v>1</v>
      </c>
      <c r="FI25" s="11">
        <f t="shared" ca="1" si="71"/>
        <v>43.594100217600101</v>
      </c>
      <c r="FJ25" s="11">
        <f t="shared" ca="1" si="72"/>
        <v>43.594100217600101</v>
      </c>
      <c r="FK25" s="11">
        <f t="shared" ca="1" si="355"/>
        <v>18.883915591635354</v>
      </c>
      <c r="FL25" s="11">
        <f t="shared" ca="1" si="73"/>
        <v>475.28981537403524</v>
      </c>
      <c r="FM25" s="11">
        <f t="shared" ca="1" si="74"/>
        <v>-24.71</v>
      </c>
      <c r="FN25" s="11">
        <f t="shared" ca="1" si="75"/>
        <v>0.9505796307480705</v>
      </c>
      <c r="FO25" s="12">
        <f t="shared" ca="1" si="76"/>
        <v>475.28981537403524</v>
      </c>
      <c r="FP25" s="79"/>
      <c r="FQ25" s="12">
        <f t="shared" ca="1" si="356"/>
        <v>475.28981537403524</v>
      </c>
      <c r="FR25" s="18">
        <f t="shared" ca="1" si="77"/>
        <v>0.9505796307480705</v>
      </c>
      <c r="FT25" s="13">
        <f t="shared" ca="1" si="78"/>
        <v>475.28981537403524</v>
      </c>
      <c r="FU25" s="13">
        <f ca="1">INDEX(Totals[[#Data],[#Totals],[Car - Note]:[NONTRACKED]],MATCH(FT$1,Totals[Date],0),MATCH($C25,Totals[[#Headers],[Car - Note]:[NONTRACKED]],0))</f>
        <v>-21.36</v>
      </c>
      <c r="FV25" s="13">
        <f t="shared" ca="1" si="357"/>
        <v>453.92981537403523</v>
      </c>
      <c r="FW25" s="13">
        <v>150</v>
      </c>
      <c r="FX25" s="13">
        <v>500</v>
      </c>
      <c r="FY25" s="13" t="b">
        <f t="shared" ca="1" si="358"/>
        <v>0</v>
      </c>
      <c r="FZ25" s="94">
        <f t="shared" si="79"/>
        <v>0</v>
      </c>
      <c r="GA25" s="13">
        <f t="shared" ca="1" si="80"/>
        <v>0</v>
      </c>
      <c r="GB25" s="13">
        <f t="shared" ca="1" si="359"/>
        <v>0</v>
      </c>
      <c r="GC25" s="94">
        <f t="shared" si="81"/>
        <v>1</v>
      </c>
      <c r="GD25" s="13">
        <f t="shared" ca="1" si="82"/>
        <v>46.070184625964771</v>
      </c>
      <c r="GE25" s="13">
        <f t="shared" ca="1" si="83"/>
        <v>46.070184625964771</v>
      </c>
      <c r="GF25" s="13">
        <f t="shared" ca="1" si="360"/>
        <v>19.902381155592831</v>
      </c>
      <c r="GG25" s="13">
        <f t="shared" ca="1" si="84"/>
        <v>473.83219652962805</v>
      </c>
      <c r="GH25" s="13">
        <f t="shared" ca="1" si="85"/>
        <v>-26.17</v>
      </c>
      <c r="GI25" s="13">
        <f t="shared" ca="1" si="86"/>
        <v>0.94766439305925609</v>
      </c>
      <c r="GJ25" s="12">
        <f t="shared" ca="1" si="87"/>
        <v>473.83219652962805</v>
      </c>
      <c r="GK25" s="79"/>
      <c r="GL25" s="12">
        <f t="shared" ca="1" si="361"/>
        <v>473.83219652962805</v>
      </c>
      <c r="GM25" s="18">
        <f t="shared" ca="1" si="88"/>
        <v>0.94766439305925609</v>
      </c>
      <c r="GO25" s="19">
        <f t="shared" ca="1" si="89"/>
        <v>473.83219652962805</v>
      </c>
      <c r="GP25" s="19">
        <f ca="1">INDEX(Totals[[#Data],[#Totals],[Car - Note]:[NONTRACKED]],MATCH(GO$1,Totals[Date],0),MATCH($C25,Totals[[#Headers],[Car - Note]:[NONTRACKED]],0))</f>
        <v>-41.04</v>
      </c>
      <c r="GQ25" s="19">
        <f t="shared" ca="1" si="362"/>
        <v>432.79219652962803</v>
      </c>
      <c r="GR25" s="19">
        <v>150</v>
      </c>
      <c r="GS25" s="19">
        <v>500</v>
      </c>
      <c r="GT25" s="19" t="b">
        <f t="shared" ca="1" si="363"/>
        <v>0</v>
      </c>
      <c r="GU25" s="100">
        <f t="shared" si="90"/>
        <v>0</v>
      </c>
      <c r="GV25" s="19">
        <f t="shared" ca="1" si="91"/>
        <v>0</v>
      </c>
      <c r="GW25" s="19">
        <f t="shared" ca="1" si="364"/>
        <v>0</v>
      </c>
      <c r="GX25" s="100">
        <f t="shared" si="92"/>
        <v>1</v>
      </c>
      <c r="GY25" s="19">
        <f t="shared" ca="1" si="93"/>
        <v>67.207803470371971</v>
      </c>
      <c r="GZ25" s="19">
        <f t="shared" ca="1" si="94"/>
        <v>67.207803470371971</v>
      </c>
      <c r="HA25" s="19">
        <f t="shared" ca="1" si="365"/>
        <v>29.692121380606174</v>
      </c>
      <c r="HB25" s="19">
        <f t="shared" ca="1" si="95"/>
        <v>462.48431791023421</v>
      </c>
      <c r="HC25" s="19">
        <f t="shared" ca="1" si="96"/>
        <v>-37.520000000000003</v>
      </c>
      <c r="HD25" s="19">
        <f t="shared" ca="1" si="97"/>
        <v>0.9249686358204684</v>
      </c>
      <c r="HE25" s="12">
        <f t="shared" ca="1" si="98"/>
        <v>462.48431791023421</v>
      </c>
      <c r="HF25" s="79"/>
      <c r="HG25" s="12">
        <f t="shared" ca="1" si="366"/>
        <v>462.48431791023421</v>
      </c>
      <c r="HH25" s="18">
        <f t="shared" ca="1" si="99"/>
        <v>0.9249686358204684</v>
      </c>
      <c r="HJ25" s="11">
        <f t="shared" ca="1" si="100"/>
        <v>462.48431791023421</v>
      </c>
      <c r="HK25" s="11">
        <f ca="1">INDEX(Totals[[#Data],[#Totals],[Car - Note]:[NONTRACKED]],MATCH(HJ$1,Totals[Date],0),MATCH($C25,Totals[[#Headers],[Car - Note]:[NONTRACKED]],0))</f>
        <v>0</v>
      </c>
      <c r="HL25" s="11">
        <f t="shared" ca="1" si="367"/>
        <v>462.48431791023421</v>
      </c>
      <c r="HM25" s="11">
        <v>150</v>
      </c>
      <c r="HN25" s="11">
        <v>500</v>
      </c>
      <c r="HO25" s="11" t="b">
        <f t="shared" ca="1" si="368"/>
        <v>0</v>
      </c>
      <c r="HP25" s="92">
        <f t="shared" si="101"/>
        <v>0</v>
      </c>
      <c r="HQ25" s="11">
        <f t="shared" ca="1" si="102"/>
        <v>0</v>
      </c>
      <c r="HR25" s="11">
        <f t="shared" ca="1" si="369"/>
        <v>0</v>
      </c>
      <c r="HS25" s="92">
        <f t="shared" si="103"/>
        <v>1</v>
      </c>
      <c r="HT25" s="11">
        <f t="shared" ca="1" si="104"/>
        <v>37.515682089765789</v>
      </c>
      <c r="HU25" s="11">
        <f t="shared" ca="1" si="105"/>
        <v>37.515682089765789</v>
      </c>
      <c r="HV25" s="11">
        <f t="shared" ca="1" si="370"/>
        <v>15.876757536873978</v>
      </c>
      <c r="HW25" s="11">
        <f t="shared" ca="1" si="106"/>
        <v>478.36107544710819</v>
      </c>
      <c r="HX25" s="11">
        <f t="shared" ca="1" si="107"/>
        <v>-21.64</v>
      </c>
      <c r="HY25" s="11">
        <f t="shared" ca="1" si="108"/>
        <v>0.95672215089421642</v>
      </c>
      <c r="HZ25" s="12">
        <f t="shared" ca="1" si="109"/>
        <v>478.36107544710819</v>
      </c>
      <c r="IA25" s="79"/>
      <c r="IB25" s="12">
        <f t="shared" ca="1" si="371"/>
        <v>478.36107544710819</v>
      </c>
      <c r="IC25" s="18">
        <f t="shared" ca="1" si="110"/>
        <v>0.95672215089421642</v>
      </c>
      <c r="IE25" s="13">
        <f t="shared" ca="1" si="111"/>
        <v>478.36107544710819</v>
      </c>
      <c r="IF25" s="13">
        <f ca="1">INDEX(Totals[[#Data],[#Totals],[Car - Note]:[NONTRACKED]],MATCH(IE$1,Totals[Date],0),MATCH($C25,Totals[[#Headers],[Car - Note]:[NONTRACKED]],0))</f>
        <v>0</v>
      </c>
      <c r="IG25" s="13">
        <f t="shared" ca="1" si="372"/>
        <v>478.36107544710819</v>
      </c>
      <c r="IH25" s="13">
        <v>150</v>
      </c>
      <c r="II25" s="13">
        <v>500</v>
      </c>
      <c r="IJ25" s="13" t="b">
        <f t="shared" ca="1" si="373"/>
        <v>0</v>
      </c>
      <c r="IK25" s="94">
        <f t="shared" si="112"/>
        <v>0</v>
      </c>
      <c r="IL25" s="13">
        <f t="shared" ca="1" si="113"/>
        <v>0</v>
      </c>
      <c r="IM25" s="13">
        <f t="shared" ca="1" si="374"/>
        <v>0</v>
      </c>
      <c r="IN25" s="94">
        <f t="shared" si="114"/>
        <v>1</v>
      </c>
      <c r="IO25" s="13">
        <f t="shared" ca="1" si="115"/>
        <v>21.638924552891808</v>
      </c>
      <c r="IP25" s="13">
        <f t="shared" ca="1" si="116"/>
        <v>21.638924552891808</v>
      </c>
      <c r="IQ25" s="13">
        <f t="shared" ca="1" si="375"/>
        <v>9.9956097566745008</v>
      </c>
      <c r="IR25" s="13">
        <f t="shared" ca="1" si="117"/>
        <v>488.35668520378272</v>
      </c>
      <c r="IS25" s="13">
        <f t="shared" ca="1" si="118"/>
        <v>-11.64</v>
      </c>
      <c r="IT25" s="13">
        <f t="shared" ca="1" si="119"/>
        <v>0.97671337040756545</v>
      </c>
      <c r="IU25" s="12">
        <f t="shared" ca="1" si="120"/>
        <v>488.35668520378272</v>
      </c>
      <c r="IV25" s="79"/>
      <c r="IW25" s="12">
        <f t="shared" ca="1" si="376"/>
        <v>488.35668520378272</v>
      </c>
      <c r="IX25" s="18">
        <f t="shared" ca="1" si="121"/>
        <v>0.97671337040756545</v>
      </c>
      <c r="IZ25" s="19">
        <f t="shared" ca="1" si="122"/>
        <v>488.35668520378272</v>
      </c>
      <c r="JA25" s="19">
        <f ca="1">INDEX(Totals[[#Data],[#Totals],[Car - Note]:[NONTRACKED]],MATCH(IZ$1,Totals[Date],0),MATCH($C25,Totals[[#Headers],[Car - Note]:[NONTRACKED]],0))</f>
        <v>-8.99</v>
      </c>
      <c r="JB25" s="19">
        <f t="shared" ca="1" si="377"/>
        <v>479.36668520378271</v>
      </c>
      <c r="JC25" s="19">
        <v>150</v>
      </c>
      <c r="JD25" s="19">
        <v>500</v>
      </c>
      <c r="JE25" s="19" t="b">
        <f t="shared" ca="1" si="378"/>
        <v>0</v>
      </c>
      <c r="JF25" s="100">
        <f t="shared" si="123"/>
        <v>0</v>
      </c>
      <c r="JG25" s="19">
        <f t="shared" ca="1" si="124"/>
        <v>0</v>
      </c>
      <c r="JH25" s="19">
        <f t="shared" ca="1" si="379"/>
        <v>0</v>
      </c>
      <c r="JI25" s="100">
        <f t="shared" si="125"/>
        <v>1</v>
      </c>
      <c r="JJ25" s="19">
        <f t="shared" ca="1" si="126"/>
        <v>20.633314796217292</v>
      </c>
      <c r="JK25" s="19">
        <f t="shared" ca="1" si="127"/>
        <v>20.633314796217292</v>
      </c>
      <c r="JL25" s="19">
        <f t="shared" ca="1" si="380"/>
        <v>7.8962616117969038</v>
      </c>
      <c r="JM25" s="19">
        <f t="shared" ca="1" si="128"/>
        <v>487.2629468155796</v>
      </c>
      <c r="JN25" s="19">
        <f t="shared" ca="1" si="129"/>
        <v>-12.74</v>
      </c>
      <c r="JO25" s="19">
        <f t="shared" ca="1" si="130"/>
        <v>0.97452589363115916</v>
      </c>
      <c r="JP25" s="12">
        <f t="shared" ca="1" si="131"/>
        <v>487.2629468155796</v>
      </c>
      <c r="JQ25" s="79"/>
      <c r="JR25" s="12">
        <f t="shared" ca="1" si="381"/>
        <v>487.2629468155796</v>
      </c>
      <c r="JS25" s="18">
        <f t="shared" ca="1" si="132"/>
        <v>0.97452589363115916</v>
      </c>
      <c r="JU25" s="11">
        <f t="shared" ca="1" si="133"/>
        <v>487.2629468155796</v>
      </c>
      <c r="JV25" s="11">
        <f ca="1">INDEX(Totals[[#Data],[#Totals],[Car - Note]:[NONTRACKED]],MATCH(JU$1,Totals[Date],0),MATCH($C25,Totals[[#Headers],[Car - Note]:[NONTRACKED]],0))</f>
        <v>0</v>
      </c>
      <c r="JW25" s="11">
        <f t="shared" ca="1" si="382"/>
        <v>487.2629468155796</v>
      </c>
      <c r="JX25" s="11">
        <v>150</v>
      </c>
      <c r="JY25" s="11">
        <v>500</v>
      </c>
      <c r="JZ25" s="11" t="b">
        <f t="shared" ca="1" si="383"/>
        <v>0</v>
      </c>
      <c r="KA25" s="92">
        <f t="shared" si="134"/>
        <v>0</v>
      </c>
      <c r="KB25" s="11">
        <f t="shared" ca="1" si="135"/>
        <v>0</v>
      </c>
      <c r="KC25" s="11">
        <f t="shared" ca="1" si="384"/>
        <v>0</v>
      </c>
      <c r="KD25" s="92">
        <f t="shared" si="136"/>
        <v>1</v>
      </c>
      <c r="KE25" s="11">
        <f t="shared" ca="1" si="137"/>
        <v>12.737053184420404</v>
      </c>
      <c r="KF25" s="11">
        <f t="shared" ca="1" si="138"/>
        <v>12.737053184420404</v>
      </c>
      <c r="KG25" s="11">
        <f t="shared" ca="1" si="385"/>
        <v>8.80955285126322</v>
      </c>
      <c r="KH25" s="11">
        <f t="shared" ca="1" si="139"/>
        <v>496.07249966684282</v>
      </c>
      <c r="KI25" s="11">
        <f t="shared" ca="1" si="140"/>
        <v>-3.93</v>
      </c>
      <c r="KJ25" s="11">
        <f t="shared" ca="1" si="141"/>
        <v>0.99214499933368561</v>
      </c>
      <c r="KK25" s="12">
        <f t="shared" ca="1" si="142"/>
        <v>496.07249966684282</v>
      </c>
      <c r="KL25" s="79"/>
      <c r="KM25" s="12">
        <f t="shared" ca="1" si="386"/>
        <v>496.07249966684282</v>
      </c>
      <c r="KN25" s="18">
        <f t="shared" ca="1" si="143"/>
        <v>0.99214499933368561</v>
      </c>
      <c r="KP25" s="13">
        <f t="shared" ca="1" si="144"/>
        <v>496.07249966684282</v>
      </c>
      <c r="KQ25" s="13">
        <f ca="1">INDEX(Totals[[#Data],[#Totals],[Car - Note]:[NONTRACKED]],MATCH(KP$1,Totals[Date],0),MATCH($C25,Totals[[#Headers],[Car - Note]:[NONTRACKED]],0))</f>
        <v>0</v>
      </c>
      <c r="KR25" s="13">
        <f t="shared" ca="1" si="387"/>
        <v>496.07249966684282</v>
      </c>
      <c r="KS25" s="13">
        <v>150</v>
      </c>
      <c r="KT25" s="13">
        <v>500</v>
      </c>
      <c r="KU25" s="13" t="b">
        <f t="shared" ca="1" si="388"/>
        <v>0</v>
      </c>
      <c r="KV25" s="94">
        <f t="shared" si="145"/>
        <v>0</v>
      </c>
      <c r="KW25" s="13">
        <f t="shared" ca="1" si="146"/>
        <v>0</v>
      </c>
      <c r="KX25" s="13">
        <f t="shared" ca="1" si="389"/>
        <v>0</v>
      </c>
      <c r="KY25" s="94">
        <f t="shared" si="147"/>
        <v>1</v>
      </c>
      <c r="KZ25" s="13">
        <f t="shared" ca="1" si="148"/>
        <v>3.9275003331571838</v>
      </c>
      <c r="LA25" s="13">
        <f t="shared" ca="1" si="149"/>
        <v>3.9275003331571838</v>
      </c>
      <c r="LB25" s="13">
        <f t="shared" ca="1" si="390"/>
        <v>2.9967207560641125</v>
      </c>
      <c r="LC25" s="13">
        <f t="shared" ca="1" si="150"/>
        <v>499.06922042290694</v>
      </c>
      <c r="LD25" s="13">
        <f t="shared" ca="1" si="151"/>
        <v>-0.93</v>
      </c>
      <c r="LE25" s="13">
        <f t="shared" ca="1" si="152"/>
        <v>0.99813844084581382</v>
      </c>
      <c r="LF25" s="12">
        <f t="shared" ca="1" si="153"/>
        <v>499.06922042290694</v>
      </c>
      <c r="LG25" s="79"/>
      <c r="LH25" s="12">
        <f t="shared" ca="1" si="391"/>
        <v>499.06922042290694</v>
      </c>
      <c r="LI25" s="18">
        <f t="shared" ca="1" si="154"/>
        <v>0.99813844084581382</v>
      </c>
      <c r="LK25" s="19">
        <f t="shared" ca="1" si="155"/>
        <v>499.06922042290694</v>
      </c>
      <c r="LL25" s="19">
        <f ca="1">INDEX(Totals[[#Data],[#Totals],[Car - Note]:[NONTRACKED]],MATCH(LK$1,Totals[Date],0),MATCH($C25,Totals[[#Headers],[Car - Note]:[NONTRACKED]],0))</f>
        <v>-90.41</v>
      </c>
      <c r="LM25" s="19">
        <f t="shared" ca="1" si="392"/>
        <v>408.65922042290697</v>
      </c>
      <c r="LN25" s="19">
        <v>150</v>
      </c>
      <c r="LO25" s="19">
        <v>500</v>
      </c>
      <c r="LP25" s="19" t="b">
        <f t="shared" ca="1" si="393"/>
        <v>0</v>
      </c>
      <c r="LQ25" s="100">
        <f t="shared" si="156"/>
        <v>0</v>
      </c>
      <c r="LR25" s="19">
        <f t="shared" ca="1" si="157"/>
        <v>0</v>
      </c>
      <c r="LS25" s="19">
        <f t="shared" ca="1" si="394"/>
        <v>0</v>
      </c>
      <c r="LT25" s="100">
        <f t="shared" si="158"/>
        <v>1</v>
      </c>
      <c r="LU25" s="19">
        <f t="shared" ca="1" si="159"/>
        <v>91.340779577093031</v>
      </c>
      <c r="LV25" s="19">
        <f t="shared" ca="1" si="160"/>
        <v>91.340779577093031</v>
      </c>
      <c r="LW25" s="19">
        <f t="shared" ca="1" si="395"/>
        <v>57.978951214650884</v>
      </c>
      <c r="LX25" s="19">
        <f t="shared" ca="1" si="161"/>
        <v>466.63817163755783</v>
      </c>
      <c r="LY25" s="19">
        <f t="shared" ca="1" si="162"/>
        <v>-33.36</v>
      </c>
      <c r="LZ25" s="19">
        <f t="shared" ca="1" si="163"/>
        <v>0.93327634327511566</v>
      </c>
      <c r="MA25" s="12">
        <f t="shared" ca="1" si="164"/>
        <v>466.63817163755783</v>
      </c>
      <c r="MB25" s="79"/>
      <c r="MC25" s="12">
        <f t="shared" ca="1" si="396"/>
        <v>466.63817163755783</v>
      </c>
      <c r="MD25" s="18">
        <f t="shared" ca="1" si="165"/>
        <v>0.93327634327511566</v>
      </c>
      <c r="MF25" s="11">
        <f t="shared" ca="1" si="166"/>
        <v>466.63817163755783</v>
      </c>
      <c r="MG25" s="11">
        <f ca="1">INDEX(Totals[[#Data],[#Totals],[Car - Note]:[NONTRACKED]],MATCH(MF$1,Totals[Date],0),MATCH($C25,Totals[[#Headers],[Car - Note]:[NONTRACKED]],0))</f>
        <v>-22</v>
      </c>
      <c r="MH25" s="11">
        <f t="shared" ca="1" si="397"/>
        <v>444.63817163755783</v>
      </c>
      <c r="MI25" s="11">
        <v>150</v>
      </c>
      <c r="MJ25" s="11">
        <v>500</v>
      </c>
      <c r="MK25" s="11" t="b">
        <f t="shared" ca="1" si="398"/>
        <v>0</v>
      </c>
      <c r="ML25" s="92">
        <f t="shared" si="167"/>
        <v>0</v>
      </c>
      <c r="MM25" s="11">
        <f t="shared" ca="1" si="168"/>
        <v>0</v>
      </c>
      <c r="MN25" s="11">
        <f t="shared" ca="1" si="399"/>
        <v>0</v>
      </c>
      <c r="MO25" s="92">
        <f t="shared" si="169"/>
        <v>1</v>
      </c>
      <c r="MP25" s="11">
        <f t="shared" ca="1" si="170"/>
        <v>55.361828362442168</v>
      </c>
      <c r="MQ25" s="11">
        <f t="shared" ca="1" si="171"/>
        <v>55.361828362442168</v>
      </c>
      <c r="MR25" s="11">
        <f t="shared" ca="1" si="400"/>
        <v>27.72345609955369</v>
      </c>
      <c r="MS25" s="11">
        <f t="shared" ca="1" si="172"/>
        <v>472.36162773711152</v>
      </c>
      <c r="MT25" s="11">
        <f t="shared" ca="1" si="173"/>
        <v>-27.64</v>
      </c>
      <c r="MU25" s="11">
        <f t="shared" ca="1" si="174"/>
        <v>0.94472325547422309</v>
      </c>
      <c r="MV25" s="12">
        <f t="shared" ca="1" si="175"/>
        <v>472.36162773711152</v>
      </c>
      <c r="MW25" s="79"/>
      <c r="MX25" s="12">
        <f t="shared" ca="1" si="401"/>
        <v>472.36162773711152</v>
      </c>
      <c r="MY25" s="18">
        <f t="shared" ca="1" si="176"/>
        <v>0.94472325547422309</v>
      </c>
      <c r="NA25" s="13">
        <f t="shared" ca="1" si="177"/>
        <v>472.36162773711152</v>
      </c>
      <c r="NB25" s="13">
        <f ca="1">INDEX(Totals[[#Data],[#Totals],[Car - Note]:[NONTRACKED]],MATCH(NA$1,Totals[Date],0),MATCH($C25,Totals[[#Headers],[Car - Note]:[NONTRACKED]],0))</f>
        <v>0</v>
      </c>
      <c r="NC25" s="13">
        <f t="shared" ca="1" si="402"/>
        <v>472.36162773711152</v>
      </c>
      <c r="ND25" s="13">
        <v>150</v>
      </c>
      <c r="NE25" s="13">
        <v>500</v>
      </c>
      <c r="NF25" s="13" t="b">
        <f t="shared" ca="1" si="403"/>
        <v>0</v>
      </c>
      <c r="NG25" s="94">
        <f t="shared" si="178"/>
        <v>0</v>
      </c>
      <c r="NH25" s="13">
        <f t="shared" ca="1" si="179"/>
        <v>0</v>
      </c>
      <c r="NI25" s="13">
        <f t="shared" ca="1" si="404"/>
        <v>0</v>
      </c>
      <c r="NJ25" s="94">
        <f t="shared" si="180"/>
        <v>1</v>
      </c>
      <c r="NK25" s="13">
        <f t="shared" ca="1" si="181"/>
        <v>27.638372262888481</v>
      </c>
      <c r="NL25" s="13">
        <f t="shared" ca="1" si="182"/>
        <v>27.638372262888481</v>
      </c>
      <c r="NM25" s="13">
        <f t="shared" ca="1" si="405"/>
        <v>27.638372262888481</v>
      </c>
      <c r="NN25" s="13">
        <f t="shared" ca="1" si="183"/>
        <v>500</v>
      </c>
      <c r="NO25" s="13">
        <f t="shared" ca="1" si="184"/>
        <v>0</v>
      </c>
      <c r="NP25" s="13">
        <f t="shared" ca="1" si="185"/>
        <v>1</v>
      </c>
      <c r="NQ25" s="12">
        <f t="shared" ca="1" si="186"/>
        <v>500</v>
      </c>
      <c r="NR25" s="79"/>
      <c r="NS25" s="12">
        <f t="shared" ca="1" si="406"/>
        <v>500</v>
      </c>
      <c r="NT25" s="18">
        <f t="shared" ca="1" si="187"/>
        <v>1</v>
      </c>
      <c r="NV25" s="19">
        <f t="shared" ca="1" si="188"/>
        <v>500</v>
      </c>
      <c r="NW25" s="19">
        <f ca="1">INDEX(Totals[[#Data],[#Totals],[Car - Note]:[NONTRACKED]],MATCH(NV$1,Totals[Date],0),MATCH($C25,Totals[[#Headers],[Car - Note]:[NONTRACKED]],0))</f>
        <v>0</v>
      </c>
      <c r="NX25" s="19">
        <f t="shared" ca="1" si="407"/>
        <v>500</v>
      </c>
      <c r="NY25" s="19">
        <v>150</v>
      </c>
      <c r="NZ25" s="19">
        <v>500</v>
      </c>
      <c r="OA25" s="19" t="b">
        <f t="shared" ca="1" si="408"/>
        <v>1</v>
      </c>
      <c r="OB25" s="100">
        <f t="shared" si="189"/>
        <v>0</v>
      </c>
      <c r="OC25" s="19">
        <f t="shared" ca="1" si="190"/>
        <v>0</v>
      </c>
      <c r="OD25" s="19">
        <f t="shared" ca="1" si="409"/>
        <v>0</v>
      </c>
      <c r="OE25" s="100">
        <f t="shared" si="191"/>
        <v>1</v>
      </c>
      <c r="OF25" s="19">
        <f t="shared" ca="1" si="192"/>
        <v>0</v>
      </c>
      <c r="OG25" s="19">
        <f t="shared" ca="1" si="193"/>
        <v>0</v>
      </c>
      <c r="OH25" s="19">
        <f t="shared" ca="1" si="410"/>
        <v>0</v>
      </c>
      <c r="OI25" s="19">
        <f t="shared" ca="1" si="194"/>
        <v>500</v>
      </c>
      <c r="OJ25" s="19">
        <f t="shared" ca="1" si="195"/>
        <v>0</v>
      </c>
      <c r="OK25" s="19">
        <f t="shared" ca="1" si="196"/>
        <v>1</v>
      </c>
      <c r="OL25" s="12">
        <f t="shared" ca="1" si="197"/>
        <v>500</v>
      </c>
      <c r="OM25" s="79"/>
      <c r="ON25" s="12">
        <f t="shared" ca="1" si="411"/>
        <v>500</v>
      </c>
      <c r="OO25" s="18">
        <f t="shared" ca="1" si="198"/>
        <v>1</v>
      </c>
      <c r="OQ25" s="11">
        <f t="shared" ca="1" si="199"/>
        <v>500</v>
      </c>
      <c r="OR25" s="11">
        <f ca="1">INDEX(Totals[[#Data],[#Totals],[Car - Note]:[NONTRACKED]],MATCH(OQ$1,Totals[Date],0),MATCH($C25,Totals[[#Headers],[Car - Note]:[NONTRACKED]],0))</f>
        <v>-17.27</v>
      </c>
      <c r="OS25" s="11">
        <f t="shared" ca="1" si="412"/>
        <v>482.73</v>
      </c>
      <c r="OT25" s="11">
        <v>150</v>
      </c>
      <c r="OU25" s="11">
        <v>500</v>
      </c>
      <c r="OV25" s="11" t="b">
        <f t="shared" ca="1" si="413"/>
        <v>0</v>
      </c>
      <c r="OW25" s="92">
        <f t="shared" si="200"/>
        <v>0</v>
      </c>
      <c r="OX25" s="11">
        <f t="shared" ca="1" si="201"/>
        <v>0</v>
      </c>
      <c r="OY25" s="11">
        <f t="shared" ca="1" si="414"/>
        <v>0</v>
      </c>
      <c r="OZ25" s="92">
        <f t="shared" si="202"/>
        <v>1</v>
      </c>
      <c r="PA25" s="11">
        <f t="shared" ca="1" si="203"/>
        <v>17.269999999999982</v>
      </c>
      <c r="PB25" s="11">
        <f t="shared" ca="1" si="204"/>
        <v>17.269999999999982</v>
      </c>
      <c r="PC25" s="11">
        <f t="shared" ca="1" si="415"/>
        <v>10.257612331309636</v>
      </c>
      <c r="PD25" s="11">
        <f t="shared" ca="1" si="205"/>
        <v>492.98761233130966</v>
      </c>
      <c r="PE25" s="11">
        <f t="shared" ca="1" si="206"/>
        <v>-7.01</v>
      </c>
      <c r="PF25" s="11">
        <f t="shared" ca="1" si="207"/>
        <v>0.98597522466261933</v>
      </c>
      <c r="PG25" s="12">
        <f t="shared" ca="1" si="208"/>
        <v>492.98761233130966</v>
      </c>
      <c r="PH25" s="79"/>
      <c r="PI25" s="12">
        <f t="shared" ca="1" si="416"/>
        <v>492.98761233130966</v>
      </c>
      <c r="PJ25" s="18">
        <f t="shared" ca="1" si="209"/>
        <v>0.98597522466261933</v>
      </c>
      <c r="PL25" s="13">
        <f t="shared" ca="1" si="210"/>
        <v>492.98761233130966</v>
      </c>
      <c r="PM25" s="13">
        <f ca="1">INDEX(Totals[[#Data],[#Totals],[Car - Note]:[NONTRACKED]],MATCH(PL$1,Totals[Date],0),MATCH($C25,Totals[[#Headers],[Car - Note]:[NONTRACKED]],0))</f>
        <v>0</v>
      </c>
      <c r="PN25" s="13">
        <f t="shared" ca="1" si="417"/>
        <v>492.98761233130966</v>
      </c>
      <c r="PO25" s="13">
        <v>150</v>
      </c>
      <c r="PP25" s="13">
        <v>500</v>
      </c>
      <c r="PQ25" s="13" t="b">
        <f t="shared" ca="1" si="418"/>
        <v>0</v>
      </c>
      <c r="PR25" s="94">
        <f t="shared" si="211"/>
        <v>0</v>
      </c>
      <c r="PS25" s="13">
        <f t="shared" ca="1" si="212"/>
        <v>0</v>
      </c>
      <c r="PT25" s="13">
        <f t="shared" ca="1" si="419"/>
        <v>0</v>
      </c>
      <c r="PU25" s="94">
        <f t="shared" si="213"/>
        <v>1</v>
      </c>
      <c r="PV25" s="13">
        <f t="shared" ca="1" si="214"/>
        <v>7.0123876686903373</v>
      </c>
      <c r="PW25" s="13">
        <f t="shared" ca="1" si="215"/>
        <v>7.0123876686903373</v>
      </c>
      <c r="PX25" s="13">
        <f t="shared" ca="1" si="420"/>
        <v>4.9538835985052918</v>
      </c>
      <c r="PY25" s="13">
        <f t="shared" ca="1" si="216"/>
        <v>497.94149592981495</v>
      </c>
      <c r="PZ25" s="13">
        <f t="shared" ca="1" si="217"/>
        <v>-2.06</v>
      </c>
      <c r="QA25" s="13">
        <f t="shared" ca="1" si="218"/>
        <v>0.99588299185962992</v>
      </c>
      <c r="QB25" s="12">
        <f t="shared" ca="1" si="219"/>
        <v>497.94149592981495</v>
      </c>
      <c r="QC25" s="79"/>
      <c r="QD25" s="12">
        <f t="shared" ca="1" si="421"/>
        <v>497.94149592981495</v>
      </c>
      <c r="QE25" s="18">
        <f t="shared" ca="1" si="220"/>
        <v>0.99588299185962992</v>
      </c>
      <c r="QG25" s="19">
        <f t="shared" ca="1" si="221"/>
        <v>497.94149592981495</v>
      </c>
      <c r="QH25" s="19">
        <f ca="1">INDEX(Totals[[#Data],[#Totals],[Car - Note]:[NONTRACKED]],MATCH(QG$1,Totals[Date],0),MATCH($C25,Totals[[#Headers],[Car - Note]:[NONTRACKED]],0))</f>
        <v>0</v>
      </c>
      <c r="QI25" s="19">
        <f t="shared" ca="1" si="422"/>
        <v>497.94149592981495</v>
      </c>
      <c r="QJ25" s="19">
        <v>150</v>
      </c>
      <c r="QK25" s="19">
        <v>500</v>
      </c>
      <c r="QL25" s="19" t="b">
        <f t="shared" ca="1" si="423"/>
        <v>0</v>
      </c>
      <c r="QM25" s="100">
        <f t="shared" si="222"/>
        <v>0</v>
      </c>
      <c r="QN25" s="19">
        <f t="shared" ca="1" si="223"/>
        <v>0</v>
      </c>
      <c r="QO25" s="19">
        <f t="shared" ca="1" si="424"/>
        <v>0</v>
      </c>
      <c r="QP25" s="100">
        <f t="shared" si="224"/>
        <v>1</v>
      </c>
      <c r="QQ25" s="19">
        <f t="shared" ca="1" si="225"/>
        <v>2.0585040701850517</v>
      </c>
      <c r="QR25" s="19">
        <f t="shared" ca="1" si="226"/>
        <v>2.0585040701850517</v>
      </c>
      <c r="QS25" s="19">
        <f t="shared" ca="1" si="425"/>
        <v>1.4382959133896003</v>
      </c>
      <c r="QT25" s="19">
        <f t="shared" ca="1" si="227"/>
        <v>499.37979184320454</v>
      </c>
      <c r="QU25" s="19">
        <f t="shared" ca="1" si="228"/>
        <v>-0.62</v>
      </c>
      <c r="QV25" s="19">
        <f t="shared" ca="1" si="229"/>
        <v>0.99875958368640905</v>
      </c>
      <c r="QW25" s="12">
        <f t="shared" ca="1" si="230"/>
        <v>499.37979184320454</v>
      </c>
      <c r="QX25" s="79"/>
      <c r="QY25" s="12">
        <f t="shared" ca="1" si="426"/>
        <v>499.37979184320454</v>
      </c>
      <c r="QZ25" s="18">
        <f t="shared" ca="1" si="231"/>
        <v>0.99875958368640905</v>
      </c>
      <c r="RB25" s="11">
        <f t="shared" ca="1" si="232"/>
        <v>499.37979184320454</v>
      </c>
      <c r="RC25" s="11">
        <f ca="1">INDEX(Totals[[#Data],[#Totals],[Car - Note]:[NONTRACKED]],MATCH(RB$1,Totals[Date],0),MATCH($C25,Totals[[#Headers],[Car - Note]:[NONTRACKED]],0))</f>
        <v>0</v>
      </c>
      <c r="RD25" s="11">
        <f t="shared" ca="1" si="427"/>
        <v>499.37979184320454</v>
      </c>
      <c r="RE25" s="11">
        <v>150</v>
      </c>
      <c r="RF25" s="11">
        <v>500</v>
      </c>
      <c r="RG25" s="11" t="b">
        <f t="shared" ca="1" si="428"/>
        <v>0</v>
      </c>
      <c r="RH25" s="92">
        <f t="shared" si="233"/>
        <v>0</v>
      </c>
      <c r="RI25" s="11">
        <f t="shared" ca="1" si="234"/>
        <v>0</v>
      </c>
      <c r="RJ25" s="11">
        <f t="shared" ca="1" si="429"/>
        <v>0</v>
      </c>
      <c r="RK25" s="92">
        <f t="shared" si="235"/>
        <v>1</v>
      </c>
      <c r="RL25" s="11">
        <f t="shared" ca="1" si="236"/>
        <v>0.62020815679545649</v>
      </c>
      <c r="RM25" s="11">
        <f t="shared" ca="1" si="237"/>
        <v>0.62020815679545649</v>
      </c>
      <c r="RN25" s="11">
        <f t="shared" ca="1" si="430"/>
        <v>0.3645931960445577</v>
      </c>
      <c r="RO25" s="11">
        <f t="shared" ca="1" si="238"/>
        <v>499.7443850392491</v>
      </c>
      <c r="RP25" s="11">
        <f t="shared" ca="1" si="239"/>
        <v>-0.26</v>
      </c>
      <c r="RQ25" s="11">
        <f t="shared" ca="1" si="240"/>
        <v>0.99948877007849823</v>
      </c>
      <c r="RR25" s="12">
        <f t="shared" ca="1" si="241"/>
        <v>499.7443850392491</v>
      </c>
      <c r="RS25" s="79"/>
      <c r="RT25" s="12">
        <f t="shared" ca="1" si="431"/>
        <v>499.7443850392491</v>
      </c>
      <c r="RU25" s="18">
        <f t="shared" ca="1" si="242"/>
        <v>0.99948877007849823</v>
      </c>
      <c r="RW25" s="13">
        <f t="shared" ca="1" si="243"/>
        <v>499.7443850392491</v>
      </c>
      <c r="RX25" s="13">
        <f ca="1">INDEX(Totals[[#Data],[#Totals],[Car - Note]:[NONTRACKED]],MATCH(RW$1,Totals[Date],0),MATCH($C25,Totals[[#Headers],[Car - Note]:[NONTRACKED]],0))</f>
        <v>0</v>
      </c>
      <c r="RY25" s="13">
        <f t="shared" ca="1" si="432"/>
        <v>499.7443850392491</v>
      </c>
      <c r="RZ25" s="13">
        <v>150</v>
      </c>
      <c r="SA25" s="13">
        <v>500</v>
      </c>
      <c r="SB25" s="13" t="b">
        <f t="shared" ca="1" si="433"/>
        <v>0</v>
      </c>
      <c r="SC25" s="94">
        <f t="shared" si="244"/>
        <v>0</v>
      </c>
      <c r="SD25" s="13">
        <f t="shared" ca="1" si="245"/>
        <v>0</v>
      </c>
      <c r="SE25" s="13">
        <f t="shared" ca="1" si="434"/>
        <v>0</v>
      </c>
      <c r="SF25" s="94">
        <f t="shared" si="246"/>
        <v>1</v>
      </c>
      <c r="SG25" s="13">
        <f t="shared" ca="1" si="247"/>
        <v>0.25561496075090417</v>
      </c>
      <c r="SH25" s="13">
        <f t="shared" ca="1" si="248"/>
        <v>0.25561496075090417</v>
      </c>
      <c r="SI25" s="13">
        <f t="shared" ca="1" si="435"/>
        <v>0.22433036851980803</v>
      </c>
      <c r="SJ25" s="13">
        <f t="shared" ca="1" si="249"/>
        <v>499.96871540776891</v>
      </c>
      <c r="SK25" s="13">
        <f t="shared" ca="1" si="250"/>
        <v>-0.03</v>
      </c>
      <c r="SL25" s="13">
        <f t="shared" ca="1" si="251"/>
        <v>0.99993743081553788</v>
      </c>
      <c r="SM25" s="12">
        <f t="shared" ca="1" si="252"/>
        <v>499.96871540776891</v>
      </c>
      <c r="SN25" s="79"/>
      <c r="SO25" s="12">
        <f t="shared" ca="1" si="436"/>
        <v>499.96871540776891</v>
      </c>
      <c r="SP25" s="18">
        <f t="shared" ca="1" si="253"/>
        <v>0.99993743081553788</v>
      </c>
      <c r="SR25" s="19">
        <f t="shared" ca="1" si="254"/>
        <v>499.96871540776891</v>
      </c>
      <c r="SS25" s="19">
        <f ca="1">INDEX(Totals[[#Data],[#Totals],[Car - Note]:[NONTRACKED]],MATCH(SR$1,Totals[Date],0),MATCH($C25,Totals[[#Headers],[Car - Note]:[NONTRACKED]],0))</f>
        <v>0</v>
      </c>
      <c r="ST25" s="19">
        <f t="shared" ca="1" si="437"/>
        <v>499.96871540776891</v>
      </c>
      <c r="SU25" s="19">
        <v>150</v>
      </c>
      <c r="SV25" s="19">
        <v>500</v>
      </c>
      <c r="SW25" s="19" t="b">
        <f t="shared" ca="1" si="438"/>
        <v>0</v>
      </c>
      <c r="SX25" s="100">
        <f t="shared" si="255"/>
        <v>0</v>
      </c>
      <c r="SY25" s="19">
        <f t="shared" ca="1" si="256"/>
        <v>0</v>
      </c>
      <c r="SZ25" s="19">
        <f t="shared" ca="1" si="439"/>
        <v>0</v>
      </c>
      <c r="TA25" s="100">
        <f t="shared" si="257"/>
        <v>1</v>
      </c>
      <c r="TB25" s="19">
        <f t="shared" ca="1" si="258"/>
        <v>3.1284592231088482E-2</v>
      </c>
      <c r="TC25" s="19">
        <f t="shared" ca="1" si="259"/>
        <v>3.1284592231088482E-2</v>
      </c>
      <c r="TD25" s="19">
        <f t="shared" ca="1" si="440"/>
        <v>2.2731517899626023E-2</v>
      </c>
      <c r="TE25" s="19">
        <f t="shared" ca="1" si="260"/>
        <v>499.99144692566853</v>
      </c>
      <c r="TF25" s="19">
        <f t="shared" ca="1" si="261"/>
        <v>-0.01</v>
      </c>
      <c r="TG25" s="19">
        <f t="shared" ca="1" si="262"/>
        <v>0.9999828938513371</v>
      </c>
      <c r="TH25" s="12">
        <f t="shared" ca="1" si="263"/>
        <v>499.99144692566853</v>
      </c>
      <c r="TI25" s="79"/>
      <c r="TJ25" s="12">
        <f t="shared" ca="1" si="441"/>
        <v>499.99144692566853</v>
      </c>
      <c r="TK25" s="18">
        <f t="shared" ca="1" si="264"/>
        <v>0.9999828938513371</v>
      </c>
      <c r="TM25" s="11">
        <f t="shared" ca="1" si="265"/>
        <v>499.99144692566853</v>
      </c>
      <c r="TN25" s="11">
        <f ca="1">INDEX(Totals[[#Data],[#Totals],[Car - Note]:[NONTRACKED]],MATCH(TM$1,Totals[Date],0),MATCH($C25,Totals[[#Headers],[Car - Note]:[NONTRACKED]],0))</f>
        <v>0</v>
      </c>
      <c r="TO25" s="11">
        <f t="shared" ca="1" si="442"/>
        <v>499.99144692566853</v>
      </c>
      <c r="TP25" s="11">
        <v>150</v>
      </c>
      <c r="TQ25" s="11">
        <v>500</v>
      </c>
      <c r="TR25" s="11" t="b">
        <f t="shared" ca="1" si="443"/>
        <v>0</v>
      </c>
      <c r="TS25" s="92">
        <f t="shared" si="266"/>
        <v>0</v>
      </c>
      <c r="TT25" s="11">
        <f t="shared" ca="1" si="267"/>
        <v>0</v>
      </c>
      <c r="TU25" s="11">
        <f t="shared" ca="1" si="444"/>
        <v>0</v>
      </c>
      <c r="TV25" s="92">
        <f t="shared" si="268"/>
        <v>1</v>
      </c>
      <c r="TW25" s="11">
        <f t="shared" ca="1" si="269"/>
        <v>8.5530743314734536E-3</v>
      </c>
      <c r="TX25" s="11">
        <f t="shared" ca="1" si="270"/>
        <v>8.5530743314734536E-3</v>
      </c>
      <c r="TY25" s="11">
        <f t="shared" ca="1" si="445"/>
        <v>5.4440984548696216E-3</v>
      </c>
      <c r="TZ25" s="11">
        <f t="shared" ca="1" si="271"/>
        <v>499.99689102412339</v>
      </c>
      <c r="UA25" s="11">
        <f t="shared" ca="1" si="272"/>
        <v>0</v>
      </c>
      <c r="UB25" s="11">
        <f t="shared" ca="1" si="273"/>
        <v>0.99999378204824674</v>
      </c>
      <c r="UC25" s="12">
        <f t="shared" ca="1" si="274"/>
        <v>499.99689102412339</v>
      </c>
      <c r="UD25" s="79"/>
      <c r="UE25" s="12">
        <f t="shared" ca="1" si="446"/>
        <v>499.99689102412339</v>
      </c>
      <c r="UF25" s="18">
        <f t="shared" ca="1" si="275"/>
        <v>0.99999378204824674</v>
      </c>
      <c r="UH25" s="13">
        <f t="shared" ca="1" si="276"/>
        <v>499.99689102412339</v>
      </c>
      <c r="UI25" s="13">
        <f ca="1">INDEX(Totals[[#Data],[#Totals],[Car - Note]:[NONTRACKED]],MATCH(UH$1,Totals[Date],0),MATCH($C25,Totals[[#Headers],[Car - Note]:[NONTRACKED]],0))</f>
        <v>0</v>
      </c>
      <c r="UJ25" s="13">
        <f t="shared" ca="1" si="447"/>
        <v>499.99689102412339</v>
      </c>
      <c r="UK25" s="13">
        <v>150</v>
      </c>
      <c r="UL25" s="13">
        <v>500</v>
      </c>
      <c r="UM25" s="13" t="b">
        <f t="shared" ca="1" si="448"/>
        <v>0</v>
      </c>
      <c r="UN25" s="94">
        <f t="shared" si="277"/>
        <v>0</v>
      </c>
      <c r="UO25" s="13">
        <f t="shared" ca="1" si="278"/>
        <v>0</v>
      </c>
      <c r="UP25" s="13">
        <f t="shared" ca="1" si="449"/>
        <v>0</v>
      </c>
      <c r="UQ25" s="94">
        <f t="shared" si="279"/>
        <v>1</v>
      </c>
      <c r="UR25" s="13">
        <f t="shared" ca="1" si="280"/>
        <v>3.108975876614295E-3</v>
      </c>
      <c r="US25" s="13">
        <f t="shared" ca="1" si="281"/>
        <v>3.108975876614295E-3</v>
      </c>
      <c r="UT25" s="13">
        <f t="shared" ca="1" si="450"/>
        <v>3.108975876614295E-3</v>
      </c>
      <c r="UU25" s="13">
        <f t="shared" ca="1" si="282"/>
        <v>500</v>
      </c>
      <c r="UV25" s="13">
        <f t="shared" ca="1" si="283"/>
        <v>0</v>
      </c>
      <c r="UW25" s="13">
        <f t="shared" ca="1" si="284"/>
        <v>1</v>
      </c>
      <c r="UX25" s="12">
        <f t="shared" ca="1" si="285"/>
        <v>500</v>
      </c>
      <c r="UY25" s="79"/>
      <c r="UZ25" s="12">
        <f t="shared" ca="1" si="451"/>
        <v>500</v>
      </c>
      <c r="VA25" s="18">
        <f t="shared" ca="1" si="286"/>
        <v>1</v>
      </c>
      <c r="VC25" s="19">
        <f t="shared" ca="1" si="287"/>
        <v>500</v>
      </c>
      <c r="VD25" s="19">
        <f ca="1">INDEX(Totals[[#Data],[#Totals],[Car - Note]:[NONTRACKED]],MATCH(VC$1,Totals[Date],0),MATCH($C25,Totals[[#Headers],[Car - Note]:[NONTRACKED]],0))</f>
        <v>0</v>
      </c>
      <c r="VE25" s="19">
        <f t="shared" ca="1" si="452"/>
        <v>500</v>
      </c>
      <c r="VF25" s="19">
        <v>150</v>
      </c>
      <c r="VG25" s="19">
        <v>500</v>
      </c>
      <c r="VH25" s="19" t="b">
        <f t="shared" ca="1" si="453"/>
        <v>1</v>
      </c>
      <c r="VI25" s="100">
        <f t="shared" si="288"/>
        <v>0</v>
      </c>
      <c r="VJ25" s="19">
        <f t="shared" ca="1" si="289"/>
        <v>0</v>
      </c>
      <c r="VK25" s="19">
        <f t="shared" ca="1" si="454"/>
        <v>0</v>
      </c>
      <c r="VL25" s="100">
        <f t="shared" si="290"/>
        <v>1</v>
      </c>
      <c r="VM25" s="19">
        <f t="shared" ca="1" si="291"/>
        <v>0</v>
      </c>
      <c r="VN25" s="19">
        <f t="shared" ca="1" si="292"/>
        <v>0</v>
      </c>
      <c r="VO25" s="19">
        <f t="shared" ca="1" si="455"/>
        <v>0</v>
      </c>
      <c r="VP25" s="19">
        <f t="shared" ca="1" si="293"/>
        <v>500</v>
      </c>
      <c r="VQ25" s="19">
        <f t="shared" ca="1" si="294"/>
        <v>0</v>
      </c>
      <c r="VR25" s="19">
        <f t="shared" ca="1" si="295"/>
        <v>1</v>
      </c>
      <c r="VS25" s="12">
        <f t="shared" ca="1" si="296"/>
        <v>500</v>
      </c>
      <c r="VT25" s="79"/>
      <c r="VU25" s="12">
        <f t="shared" ca="1" si="456"/>
        <v>500</v>
      </c>
      <c r="VV25" s="18">
        <f t="shared" ca="1" si="297"/>
        <v>1</v>
      </c>
      <c r="VX25" s="11">
        <f t="shared" ca="1" si="298"/>
        <v>500</v>
      </c>
      <c r="VY25" s="11">
        <f ca="1">INDEX(Totals[[#Data],[#Totals],[Car - Note]:[NONTRACKED]],MATCH(VX$1,Totals[Date],0),MATCH($C25,Totals[[#Headers],[Car - Note]:[NONTRACKED]],0))</f>
        <v>0</v>
      </c>
      <c r="VZ25" s="11">
        <f t="shared" ca="1" si="457"/>
        <v>500</v>
      </c>
      <c r="WA25" s="11">
        <v>150</v>
      </c>
      <c r="WB25" s="11">
        <v>500</v>
      </c>
      <c r="WC25" s="11" t="b">
        <f t="shared" ca="1" si="458"/>
        <v>1</v>
      </c>
      <c r="WD25" s="92">
        <f t="shared" si="299"/>
        <v>0</v>
      </c>
      <c r="WE25" s="11">
        <f t="shared" ca="1" si="300"/>
        <v>0</v>
      </c>
      <c r="WF25" s="11">
        <f t="shared" ca="1" si="459"/>
        <v>0</v>
      </c>
      <c r="WG25" s="92">
        <f t="shared" si="301"/>
        <v>1</v>
      </c>
      <c r="WH25" s="11">
        <f t="shared" ca="1" si="302"/>
        <v>0</v>
      </c>
      <c r="WI25" s="11">
        <f t="shared" ca="1" si="303"/>
        <v>0</v>
      </c>
      <c r="WJ25" s="11">
        <f t="shared" ca="1" si="460"/>
        <v>0</v>
      </c>
      <c r="WK25" s="11">
        <f t="shared" ca="1" si="304"/>
        <v>500</v>
      </c>
      <c r="WL25" s="11">
        <f t="shared" ca="1" si="305"/>
        <v>0</v>
      </c>
      <c r="WM25" s="11">
        <f t="shared" ca="1" si="306"/>
        <v>1</v>
      </c>
      <c r="WN25" s="12">
        <f t="shared" ca="1" si="307"/>
        <v>500</v>
      </c>
      <c r="WO25" s="79"/>
      <c r="WP25" s="12">
        <f t="shared" ca="1" si="461"/>
        <v>500</v>
      </c>
      <c r="WQ25" s="18">
        <f t="shared" ca="1" si="308"/>
        <v>1</v>
      </c>
      <c r="WS25" s="13">
        <f t="shared" ca="1" si="309"/>
        <v>500</v>
      </c>
      <c r="WT25" s="13">
        <f ca="1">INDEX(Totals[[#Data],[#Totals],[Car - Note]:[NONTRACKED]],MATCH(WS$1,Totals[Date],0),MATCH($C25,Totals[[#Headers],[Car - Note]:[NONTRACKED]],0))</f>
        <v>0</v>
      </c>
      <c r="WU25" s="13">
        <f t="shared" ca="1" si="462"/>
        <v>500</v>
      </c>
      <c r="WV25" s="13">
        <v>150</v>
      </c>
      <c r="WW25" s="13">
        <v>500</v>
      </c>
      <c r="WX25" s="13" t="b">
        <f t="shared" ca="1" si="463"/>
        <v>1</v>
      </c>
      <c r="WY25" s="94">
        <f t="shared" si="310"/>
        <v>0</v>
      </c>
      <c r="WZ25" s="13">
        <f t="shared" ca="1" si="311"/>
        <v>0</v>
      </c>
      <c r="XA25" s="13">
        <f t="shared" ca="1" si="464"/>
        <v>0</v>
      </c>
      <c r="XB25" s="94">
        <f t="shared" si="312"/>
        <v>1</v>
      </c>
      <c r="XC25" s="13">
        <f t="shared" ca="1" si="313"/>
        <v>0</v>
      </c>
      <c r="XD25" s="13">
        <f t="shared" ca="1" si="314"/>
        <v>0</v>
      </c>
      <c r="XE25" s="13">
        <f t="shared" ca="1" si="465"/>
        <v>0</v>
      </c>
      <c r="XF25" s="13">
        <f t="shared" ca="1" si="315"/>
        <v>500</v>
      </c>
      <c r="XG25" s="13">
        <f t="shared" ca="1" si="316"/>
        <v>0</v>
      </c>
      <c r="XH25" s="13">
        <f t="shared" ca="1" si="317"/>
        <v>1</v>
      </c>
      <c r="XI25" s="12">
        <f t="shared" ca="1" si="318"/>
        <v>500</v>
      </c>
      <c r="XJ25" s="104">
        <f ca="1">WW25-XI25</f>
        <v>0</v>
      </c>
      <c r="XK25" s="12">
        <f t="shared" ca="1" si="466"/>
        <v>500</v>
      </c>
      <c r="XL25" s="18">
        <f t="shared" ca="1" si="320"/>
        <v>1</v>
      </c>
      <c r="XN25">
        <v>0.25</v>
      </c>
      <c r="XO25" s="103">
        <f t="shared" ca="1" si="467"/>
        <v>125</v>
      </c>
      <c r="XP25" s="12">
        <f t="shared" ca="1" si="468"/>
        <v>375</v>
      </c>
      <c r="XQ25" s="102">
        <f t="shared" ca="1" si="469"/>
        <v>0.75</v>
      </c>
    </row>
    <row r="26" spans="1:641" x14ac:dyDescent="0.25">
      <c r="A26" s="112"/>
      <c r="B26" t="s">
        <v>46</v>
      </c>
      <c r="C26" t="s">
        <v>31</v>
      </c>
      <c r="D26" s="79">
        <v>0</v>
      </c>
      <c r="E26" t="b">
        <f>TRUE</f>
        <v>1</v>
      </c>
      <c r="H26" s="48">
        <v>211.08</v>
      </c>
      <c r="I26" s="48"/>
      <c r="J26" s="48"/>
      <c r="K26" s="48" t="s">
        <v>198</v>
      </c>
      <c r="L26" s="95">
        <v>220</v>
      </c>
      <c r="M26" s="48"/>
      <c r="N26" s="96"/>
      <c r="O26" s="48"/>
      <c r="P26" s="48"/>
      <c r="Q26" s="96"/>
      <c r="R26" s="48"/>
      <c r="S26" s="48"/>
      <c r="T26" s="48"/>
      <c r="U26" s="48"/>
      <c r="V26" s="48"/>
      <c r="W26" s="48"/>
      <c r="X26" s="48"/>
      <c r="Y26" s="48"/>
      <c r="Z26" s="48">
        <f t="shared" si="321"/>
        <v>211.08</v>
      </c>
      <c r="AA26" s="98">
        <f t="shared" si="0"/>
        <v>0.95945454545454556</v>
      </c>
      <c r="AC26" s="11">
        <f t="shared" si="1"/>
        <v>211.08</v>
      </c>
      <c r="AD26" s="11">
        <f ca="1">INDEX(Totals[[#Data],[#Totals],[Car - Note]:[NONTRACKED]],MATCH(AC$1,Totals[Date],0),MATCH($C26,Totals[[#Headers],[Car - Note]:[NONTRACKED]],0))</f>
        <v>-211.08</v>
      </c>
      <c r="AE26" s="11">
        <f t="shared" ca="1" si="322"/>
        <v>0</v>
      </c>
      <c r="AF26" s="11" t="s">
        <v>198</v>
      </c>
      <c r="AG26" s="11">
        <v>0</v>
      </c>
      <c r="AH26" s="11" t="b">
        <f t="shared" ca="1" si="323"/>
        <v>1</v>
      </c>
      <c r="AI26" s="92">
        <f t="shared" si="2"/>
        <v>1</v>
      </c>
      <c r="AJ26" s="11">
        <f t="shared" ca="1" si="3"/>
        <v>0</v>
      </c>
      <c r="AK26" s="11">
        <f t="shared" ca="1" si="324"/>
        <v>0</v>
      </c>
      <c r="AL26" s="92">
        <f t="shared" si="4"/>
        <v>0</v>
      </c>
      <c r="AM26" s="11">
        <f t="shared" ca="1" si="5"/>
        <v>0</v>
      </c>
      <c r="AN26" s="11">
        <f t="shared" ca="1" si="6"/>
        <v>0</v>
      </c>
      <c r="AO26" s="11">
        <f t="shared" ca="1" si="325"/>
        <v>0</v>
      </c>
      <c r="AP26" s="11">
        <f t="shared" ca="1" si="7"/>
        <v>0</v>
      </c>
      <c r="AQ26" s="11">
        <f t="shared" ca="1" si="8"/>
        <v>0</v>
      </c>
      <c r="AR26" s="11" t="str">
        <f t="shared" si="9"/>
        <v>NA</v>
      </c>
      <c r="AS26" s="12">
        <f t="shared" ca="1" si="10"/>
        <v>0</v>
      </c>
      <c r="AT26" s="12"/>
      <c r="AU26" s="12">
        <f t="shared" ca="1" si="326"/>
        <v>0</v>
      </c>
      <c r="AV26" s="18" t="str">
        <f t="shared" si="11"/>
        <v>NA</v>
      </c>
      <c r="AX26" s="13">
        <f t="shared" ca="1" si="12"/>
        <v>0</v>
      </c>
      <c r="AY26" s="13">
        <f ca="1">INDEX(Totals[[#Data],[#Totals],[Car - Note]:[NONTRACKED]],MATCH(AX$1,Totals[Date],0),MATCH($C26,Totals[[#Headers],[Car - Note]:[NONTRACKED]],0))</f>
        <v>0</v>
      </c>
      <c r="AZ26" s="13">
        <f t="shared" ca="1" si="327"/>
        <v>0</v>
      </c>
      <c r="BA26" s="13" t="s">
        <v>198</v>
      </c>
      <c r="BB26" s="13">
        <v>0</v>
      </c>
      <c r="BC26" s="13" t="b">
        <f t="shared" ca="1" si="328"/>
        <v>1</v>
      </c>
      <c r="BD26" s="94">
        <f t="shared" si="13"/>
        <v>1</v>
      </c>
      <c r="BE26" s="13">
        <f t="shared" ca="1" si="14"/>
        <v>0</v>
      </c>
      <c r="BF26" s="13">
        <f t="shared" ca="1" si="329"/>
        <v>0</v>
      </c>
      <c r="BG26" s="94">
        <f t="shared" si="15"/>
        <v>0</v>
      </c>
      <c r="BH26" s="13">
        <f t="shared" ca="1" si="16"/>
        <v>0</v>
      </c>
      <c r="BI26" s="13">
        <f t="shared" ca="1" si="17"/>
        <v>0</v>
      </c>
      <c r="BJ26" s="13">
        <f t="shared" ca="1" si="330"/>
        <v>0</v>
      </c>
      <c r="BK26" s="13">
        <f t="shared" ca="1" si="18"/>
        <v>0</v>
      </c>
      <c r="BL26" s="13">
        <f t="shared" ca="1" si="19"/>
        <v>0</v>
      </c>
      <c r="BM26" s="13" t="str">
        <f t="shared" si="20"/>
        <v>NA</v>
      </c>
      <c r="BN26" s="12">
        <f t="shared" ca="1" si="21"/>
        <v>0</v>
      </c>
      <c r="BO26" s="12"/>
      <c r="BP26" s="12">
        <f t="shared" ca="1" si="331"/>
        <v>0</v>
      </c>
      <c r="BQ26" s="18" t="str">
        <f t="shared" si="22"/>
        <v>NA</v>
      </c>
      <c r="BS26" s="19">
        <f t="shared" ca="1" si="23"/>
        <v>0</v>
      </c>
      <c r="BT26" s="19">
        <f ca="1">INDEX(Totals[[#Data],[#Totals],[Car - Note]:[NONTRACKED]],MATCH(BS$1,Totals[Date],0),MATCH($C26,Totals[[#Headers],[Car - Note]:[NONTRACKED]],0))</f>
        <v>22.62</v>
      </c>
      <c r="BU26" s="19">
        <f t="shared" ca="1" si="332"/>
        <v>22.62</v>
      </c>
      <c r="BV26" s="19" t="s">
        <v>198</v>
      </c>
      <c r="BW26" s="19">
        <v>0</v>
      </c>
      <c r="BX26" s="19" t="b">
        <f t="shared" ca="1" si="333"/>
        <v>1</v>
      </c>
      <c r="BY26" s="100">
        <f t="shared" si="24"/>
        <v>1</v>
      </c>
      <c r="BZ26" s="19">
        <f t="shared" ca="1" si="25"/>
        <v>0</v>
      </c>
      <c r="CA26" s="19">
        <f t="shared" ca="1" si="334"/>
        <v>0</v>
      </c>
      <c r="CB26" s="100">
        <f t="shared" si="26"/>
        <v>0</v>
      </c>
      <c r="CC26" s="19">
        <f t="shared" ca="1" si="27"/>
        <v>0</v>
      </c>
      <c r="CD26" s="19">
        <f t="shared" ca="1" si="28"/>
        <v>0</v>
      </c>
      <c r="CE26" s="19">
        <f t="shared" ca="1" si="335"/>
        <v>0</v>
      </c>
      <c r="CF26" s="19">
        <f t="shared" ca="1" si="29"/>
        <v>22.62</v>
      </c>
      <c r="CG26" s="19">
        <f t="shared" ca="1" si="30"/>
        <v>0</v>
      </c>
      <c r="CH26" s="19" t="str">
        <f t="shared" si="31"/>
        <v>NA</v>
      </c>
      <c r="CI26" s="12">
        <f t="shared" ca="1" si="32"/>
        <v>22.62</v>
      </c>
      <c r="CJ26" s="12"/>
      <c r="CK26" s="12">
        <f t="shared" ca="1" si="336"/>
        <v>22.62</v>
      </c>
      <c r="CL26" s="18" t="str">
        <f t="shared" si="33"/>
        <v>NA</v>
      </c>
      <c r="CN26" s="11">
        <f t="shared" ca="1" si="34"/>
        <v>22.62</v>
      </c>
      <c r="CO26" s="11">
        <f ca="1">INDEX(Totals[[#Data],[#Totals],[Car - Note]:[NONTRACKED]],MATCH(CN$1,Totals[Date],0),MATCH($C26,Totals[[#Headers],[Car - Note]:[NONTRACKED]],0))</f>
        <v>0</v>
      </c>
      <c r="CP26" s="11">
        <f t="shared" ca="1" si="337"/>
        <v>22.62</v>
      </c>
      <c r="CQ26" s="11" t="s">
        <v>198</v>
      </c>
      <c r="CR26" s="11">
        <v>0</v>
      </c>
      <c r="CS26" s="11" t="b">
        <f t="shared" ca="1" si="338"/>
        <v>1</v>
      </c>
      <c r="CT26" s="92">
        <f t="shared" si="35"/>
        <v>1</v>
      </c>
      <c r="CU26" s="11">
        <f t="shared" ca="1" si="36"/>
        <v>0</v>
      </c>
      <c r="CV26" s="11">
        <f t="shared" ca="1" si="339"/>
        <v>0</v>
      </c>
      <c r="CW26" s="92">
        <f t="shared" si="37"/>
        <v>0</v>
      </c>
      <c r="CX26" s="11">
        <f t="shared" ca="1" si="38"/>
        <v>0</v>
      </c>
      <c r="CY26" s="11">
        <f t="shared" ca="1" si="39"/>
        <v>0</v>
      </c>
      <c r="CZ26" s="11">
        <f t="shared" ca="1" si="340"/>
        <v>0</v>
      </c>
      <c r="DA26" s="11">
        <f t="shared" ca="1" si="40"/>
        <v>22.62</v>
      </c>
      <c r="DB26" s="11">
        <f t="shared" ca="1" si="41"/>
        <v>0</v>
      </c>
      <c r="DC26" s="11" t="str">
        <f t="shared" si="42"/>
        <v>NA</v>
      </c>
      <c r="DD26" s="12">
        <f t="shared" ca="1" si="43"/>
        <v>22.62</v>
      </c>
      <c r="DE26" s="79"/>
      <c r="DF26" s="12">
        <f t="shared" ca="1" si="341"/>
        <v>22.62</v>
      </c>
      <c r="DG26" s="18" t="str">
        <f t="shared" si="44"/>
        <v>NA</v>
      </c>
      <c r="DI26" s="13">
        <f t="shared" ca="1" si="45"/>
        <v>22.62</v>
      </c>
      <c r="DJ26" s="13">
        <f ca="1">INDEX(Totals[[#Data],[#Totals],[Car - Note]:[NONTRACKED]],MATCH(DI$1,Totals[Date],0),MATCH($C26,Totals[[#Headers],[Car - Note]:[NONTRACKED]],0))</f>
        <v>0</v>
      </c>
      <c r="DK26" s="13">
        <f t="shared" ca="1" si="342"/>
        <v>22.62</v>
      </c>
      <c r="DL26" s="13" t="s">
        <v>198</v>
      </c>
      <c r="DM26" s="13">
        <v>0</v>
      </c>
      <c r="DN26" s="13" t="b">
        <f t="shared" ca="1" si="343"/>
        <v>1</v>
      </c>
      <c r="DO26" s="94">
        <f t="shared" si="46"/>
        <v>1</v>
      </c>
      <c r="DP26" s="13">
        <f t="shared" ca="1" si="47"/>
        <v>0</v>
      </c>
      <c r="DQ26" s="13">
        <f t="shared" ca="1" si="344"/>
        <v>0</v>
      </c>
      <c r="DR26" s="94">
        <f t="shared" si="48"/>
        <v>0</v>
      </c>
      <c r="DS26" s="13">
        <f t="shared" ca="1" si="49"/>
        <v>0</v>
      </c>
      <c r="DT26" s="13">
        <f t="shared" ca="1" si="50"/>
        <v>0</v>
      </c>
      <c r="DU26" s="13">
        <f t="shared" ca="1" si="345"/>
        <v>0</v>
      </c>
      <c r="DV26" s="13">
        <f t="shared" ca="1" si="51"/>
        <v>22.62</v>
      </c>
      <c r="DW26" s="13">
        <f t="shared" ca="1" si="52"/>
        <v>0</v>
      </c>
      <c r="DX26" s="13" t="str">
        <f t="shared" si="53"/>
        <v>NA</v>
      </c>
      <c r="DY26" s="12">
        <f t="shared" ca="1" si="54"/>
        <v>22.62</v>
      </c>
      <c r="DZ26" s="79"/>
      <c r="EA26" s="12">
        <f t="shared" ca="1" si="346"/>
        <v>22.62</v>
      </c>
      <c r="EB26" s="18" t="str">
        <f t="shared" si="55"/>
        <v>NA</v>
      </c>
      <c r="ED26" s="19">
        <f t="shared" ca="1" si="56"/>
        <v>22.62</v>
      </c>
      <c r="EE26" s="19">
        <f ca="1">INDEX(Totals[[#Data],[#Totals],[Car - Note]:[NONTRACKED]],MATCH(ED$1,Totals[Date],0),MATCH($C26,Totals[[#Headers],[Car - Note]:[NONTRACKED]],0))</f>
        <v>0</v>
      </c>
      <c r="EF26" s="19">
        <f t="shared" ca="1" si="347"/>
        <v>22.62</v>
      </c>
      <c r="EG26" s="19" t="s">
        <v>198</v>
      </c>
      <c r="EH26" s="19">
        <v>0</v>
      </c>
      <c r="EI26" s="19" t="b">
        <f t="shared" ca="1" si="348"/>
        <v>1</v>
      </c>
      <c r="EJ26" s="100">
        <f t="shared" si="57"/>
        <v>1</v>
      </c>
      <c r="EK26" s="19">
        <f t="shared" ca="1" si="58"/>
        <v>0</v>
      </c>
      <c r="EL26" s="19">
        <f t="shared" ca="1" si="349"/>
        <v>0</v>
      </c>
      <c r="EM26" s="100">
        <f t="shared" si="59"/>
        <v>0</v>
      </c>
      <c r="EN26" s="19">
        <f t="shared" ca="1" si="60"/>
        <v>0</v>
      </c>
      <c r="EO26" s="19">
        <f t="shared" ca="1" si="61"/>
        <v>0</v>
      </c>
      <c r="EP26" s="19">
        <f t="shared" ca="1" si="350"/>
        <v>0</v>
      </c>
      <c r="EQ26" s="19">
        <f t="shared" ca="1" si="62"/>
        <v>22.62</v>
      </c>
      <c r="ER26" s="19">
        <f t="shared" ca="1" si="63"/>
        <v>0</v>
      </c>
      <c r="ES26" s="19" t="str">
        <f t="shared" si="64"/>
        <v>NA</v>
      </c>
      <c r="ET26" s="12">
        <f t="shared" ca="1" si="65"/>
        <v>22.62</v>
      </c>
      <c r="EU26" s="79"/>
      <c r="EV26" s="12">
        <f t="shared" ca="1" si="351"/>
        <v>22.62</v>
      </c>
      <c r="EW26" s="18" t="str">
        <f t="shared" si="66"/>
        <v>NA</v>
      </c>
      <c r="EY26" s="11">
        <f t="shared" ca="1" si="67"/>
        <v>22.62</v>
      </c>
      <c r="EZ26" s="11">
        <f ca="1">INDEX(Totals[[#Data],[#Totals],[Car - Note]:[NONTRACKED]],MATCH(EY$1,Totals[Date],0),MATCH($C26,Totals[[#Headers],[Car - Note]:[NONTRACKED]],0))</f>
        <v>0</v>
      </c>
      <c r="FA26" s="11">
        <f t="shared" ca="1" si="352"/>
        <v>22.62</v>
      </c>
      <c r="FB26" s="11" t="s">
        <v>198</v>
      </c>
      <c r="FC26" s="11">
        <v>0</v>
      </c>
      <c r="FD26" s="11" t="b">
        <f t="shared" ca="1" si="353"/>
        <v>1</v>
      </c>
      <c r="FE26" s="92">
        <f t="shared" si="68"/>
        <v>1</v>
      </c>
      <c r="FF26" s="11">
        <f t="shared" ca="1" si="69"/>
        <v>0</v>
      </c>
      <c r="FG26" s="11">
        <f t="shared" ca="1" si="354"/>
        <v>0</v>
      </c>
      <c r="FH26" s="92">
        <f t="shared" si="70"/>
        <v>0</v>
      </c>
      <c r="FI26" s="11">
        <f t="shared" ca="1" si="71"/>
        <v>0</v>
      </c>
      <c r="FJ26" s="11">
        <f t="shared" ca="1" si="72"/>
        <v>0</v>
      </c>
      <c r="FK26" s="11">
        <f t="shared" ca="1" si="355"/>
        <v>0</v>
      </c>
      <c r="FL26" s="11">
        <f t="shared" ca="1" si="73"/>
        <v>22.62</v>
      </c>
      <c r="FM26" s="11">
        <f t="shared" ca="1" si="74"/>
        <v>0</v>
      </c>
      <c r="FN26" s="11" t="str">
        <f t="shared" si="75"/>
        <v>NA</v>
      </c>
      <c r="FO26" s="12">
        <f t="shared" ca="1" si="76"/>
        <v>22.62</v>
      </c>
      <c r="FP26" s="79"/>
      <c r="FQ26" s="12">
        <f t="shared" ca="1" si="356"/>
        <v>22.62</v>
      </c>
      <c r="FR26" s="18" t="str">
        <f t="shared" si="77"/>
        <v>NA</v>
      </c>
      <c r="FT26" s="13">
        <f t="shared" ca="1" si="78"/>
        <v>22.62</v>
      </c>
      <c r="FU26" s="13">
        <f ca="1">INDEX(Totals[[#Data],[#Totals],[Car - Note]:[NONTRACKED]],MATCH(FT$1,Totals[Date],0),MATCH($C26,Totals[[#Headers],[Car - Note]:[NONTRACKED]],0))</f>
        <v>0</v>
      </c>
      <c r="FV26" s="13">
        <f t="shared" ca="1" si="357"/>
        <v>22.62</v>
      </c>
      <c r="FW26" s="13" t="s">
        <v>198</v>
      </c>
      <c r="FX26" s="13">
        <v>0</v>
      </c>
      <c r="FY26" s="13" t="b">
        <f t="shared" ca="1" si="358"/>
        <v>1</v>
      </c>
      <c r="FZ26" s="94">
        <f t="shared" si="79"/>
        <v>1</v>
      </c>
      <c r="GA26" s="13">
        <f t="shared" ca="1" si="80"/>
        <v>0</v>
      </c>
      <c r="GB26" s="13">
        <f t="shared" ca="1" si="359"/>
        <v>0</v>
      </c>
      <c r="GC26" s="94">
        <f t="shared" si="81"/>
        <v>0</v>
      </c>
      <c r="GD26" s="13">
        <f t="shared" ca="1" si="82"/>
        <v>0</v>
      </c>
      <c r="GE26" s="13">
        <f t="shared" ca="1" si="83"/>
        <v>0</v>
      </c>
      <c r="GF26" s="13">
        <f t="shared" ca="1" si="360"/>
        <v>0</v>
      </c>
      <c r="GG26" s="13">
        <f t="shared" ca="1" si="84"/>
        <v>22.62</v>
      </c>
      <c r="GH26" s="13">
        <f t="shared" ca="1" si="85"/>
        <v>0</v>
      </c>
      <c r="GI26" s="13" t="str">
        <f t="shared" si="86"/>
        <v>NA</v>
      </c>
      <c r="GJ26" s="12">
        <f t="shared" ca="1" si="87"/>
        <v>22.62</v>
      </c>
      <c r="GK26" s="79"/>
      <c r="GL26" s="12">
        <f t="shared" ca="1" si="361"/>
        <v>22.62</v>
      </c>
      <c r="GM26" s="18" t="str">
        <f t="shared" si="88"/>
        <v>NA</v>
      </c>
      <c r="GO26" s="19">
        <f t="shared" ca="1" si="89"/>
        <v>22.62</v>
      </c>
      <c r="GP26" s="19">
        <f ca="1">INDEX(Totals[[#Data],[#Totals],[Car - Note]:[NONTRACKED]],MATCH(GO$1,Totals[Date],0),MATCH($C26,Totals[[#Headers],[Car - Note]:[NONTRACKED]],0))</f>
        <v>0</v>
      </c>
      <c r="GQ26" s="19">
        <f t="shared" ca="1" si="362"/>
        <v>22.62</v>
      </c>
      <c r="GR26" s="19" t="s">
        <v>198</v>
      </c>
      <c r="GS26" s="19">
        <v>0</v>
      </c>
      <c r="GT26" s="19" t="b">
        <f t="shared" ca="1" si="363"/>
        <v>1</v>
      </c>
      <c r="GU26" s="100">
        <f t="shared" si="90"/>
        <v>1</v>
      </c>
      <c r="GV26" s="19">
        <f t="shared" ca="1" si="91"/>
        <v>0</v>
      </c>
      <c r="GW26" s="19">
        <f t="shared" ca="1" si="364"/>
        <v>0</v>
      </c>
      <c r="GX26" s="100">
        <f t="shared" si="92"/>
        <v>0</v>
      </c>
      <c r="GY26" s="19">
        <f t="shared" ca="1" si="93"/>
        <v>0</v>
      </c>
      <c r="GZ26" s="19">
        <f t="shared" ca="1" si="94"/>
        <v>0</v>
      </c>
      <c r="HA26" s="19">
        <f t="shared" ca="1" si="365"/>
        <v>0</v>
      </c>
      <c r="HB26" s="19">
        <f t="shared" ca="1" si="95"/>
        <v>22.62</v>
      </c>
      <c r="HC26" s="19">
        <f t="shared" ca="1" si="96"/>
        <v>0</v>
      </c>
      <c r="HD26" s="19" t="str">
        <f t="shared" si="97"/>
        <v>NA</v>
      </c>
      <c r="HE26" s="12">
        <f t="shared" ca="1" si="98"/>
        <v>22.62</v>
      </c>
      <c r="HF26" s="79"/>
      <c r="HG26" s="12">
        <f t="shared" ca="1" si="366"/>
        <v>22.62</v>
      </c>
      <c r="HH26" s="18" t="str">
        <f t="shared" si="99"/>
        <v>NA</v>
      </c>
      <c r="HJ26" s="11">
        <f t="shared" ca="1" si="100"/>
        <v>22.62</v>
      </c>
      <c r="HK26" s="11">
        <f ca="1">INDEX(Totals[[#Data],[#Totals],[Car - Note]:[NONTRACKED]],MATCH(HJ$1,Totals[Date],0),MATCH($C26,Totals[[#Headers],[Car - Note]:[NONTRACKED]],0))</f>
        <v>0</v>
      </c>
      <c r="HL26" s="11">
        <f t="shared" ca="1" si="367"/>
        <v>22.62</v>
      </c>
      <c r="HM26" s="11" t="s">
        <v>198</v>
      </c>
      <c r="HN26" s="11">
        <v>0</v>
      </c>
      <c r="HO26" s="11" t="b">
        <f t="shared" ca="1" si="368"/>
        <v>1</v>
      </c>
      <c r="HP26" s="92">
        <f t="shared" si="101"/>
        <v>1</v>
      </c>
      <c r="HQ26" s="11">
        <f t="shared" ca="1" si="102"/>
        <v>0</v>
      </c>
      <c r="HR26" s="11">
        <f t="shared" ca="1" si="369"/>
        <v>0</v>
      </c>
      <c r="HS26" s="92">
        <f t="shared" si="103"/>
        <v>0</v>
      </c>
      <c r="HT26" s="11">
        <f t="shared" ca="1" si="104"/>
        <v>0</v>
      </c>
      <c r="HU26" s="11">
        <f t="shared" ca="1" si="105"/>
        <v>0</v>
      </c>
      <c r="HV26" s="11">
        <f t="shared" ca="1" si="370"/>
        <v>0</v>
      </c>
      <c r="HW26" s="11">
        <f t="shared" ca="1" si="106"/>
        <v>22.62</v>
      </c>
      <c r="HX26" s="11">
        <f t="shared" ca="1" si="107"/>
        <v>0</v>
      </c>
      <c r="HY26" s="11" t="str">
        <f t="shared" si="108"/>
        <v>NA</v>
      </c>
      <c r="HZ26" s="12">
        <f t="shared" ca="1" si="109"/>
        <v>22.62</v>
      </c>
      <c r="IA26" s="79"/>
      <c r="IB26" s="12">
        <f t="shared" ca="1" si="371"/>
        <v>22.62</v>
      </c>
      <c r="IC26" s="18" t="str">
        <f t="shared" si="110"/>
        <v>NA</v>
      </c>
      <c r="IE26" s="13">
        <f t="shared" ca="1" si="111"/>
        <v>22.62</v>
      </c>
      <c r="IF26" s="13">
        <f ca="1">INDEX(Totals[[#Data],[#Totals],[Car - Note]:[NONTRACKED]],MATCH(IE$1,Totals[Date],0),MATCH($C26,Totals[[#Headers],[Car - Note]:[NONTRACKED]],0))</f>
        <v>0</v>
      </c>
      <c r="IG26" s="13">
        <f t="shared" ca="1" si="372"/>
        <v>22.62</v>
      </c>
      <c r="IH26" s="13" t="s">
        <v>198</v>
      </c>
      <c r="II26" s="13">
        <v>0</v>
      </c>
      <c r="IJ26" s="13" t="b">
        <f t="shared" ca="1" si="373"/>
        <v>1</v>
      </c>
      <c r="IK26" s="94">
        <f t="shared" si="112"/>
        <v>1</v>
      </c>
      <c r="IL26" s="13">
        <f t="shared" ca="1" si="113"/>
        <v>0</v>
      </c>
      <c r="IM26" s="13">
        <f t="shared" ca="1" si="374"/>
        <v>0</v>
      </c>
      <c r="IN26" s="94">
        <f t="shared" si="114"/>
        <v>0</v>
      </c>
      <c r="IO26" s="13">
        <f t="shared" ca="1" si="115"/>
        <v>0</v>
      </c>
      <c r="IP26" s="13">
        <f t="shared" ca="1" si="116"/>
        <v>0</v>
      </c>
      <c r="IQ26" s="13">
        <f t="shared" ca="1" si="375"/>
        <v>0</v>
      </c>
      <c r="IR26" s="13">
        <f t="shared" ca="1" si="117"/>
        <v>22.62</v>
      </c>
      <c r="IS26" s="13">
        <f t="shared" ca="1" si="118"/>
        <v>0</v>
      </c>
      <c r="IT26" s="13" t="str">
        <f t="shared" si="119"/>
        <v>NA</v>
      </c>
      <c r="IU26" s="12">
        <f t="shared" ca="1" si="120"/>
        <v>22.62</v>
      </c>
      <c r="IV26" s="79"/>
      <c r="IW26" s="12">
        <f t="shared" ca="1" si="376"/>
        <v>22.62</v>
      </c>
      <c r="IX26" s="18" t="str">
        <f t="shared" si="121"/>
        <v>NA</v>
      </c>
      <c r="IZ26" s="19">
        <f t="shared" ca="1" si="122"/>
        <v>22.62</v>
      </c>
      <c r="JA26" s="19">
        <f ca="1">INDEX(Totals[[#Data],[#Totals],[Car - Note]:[NONTRACKED]],MATCH(IZ$1,Totals[Date],0),MATCH($C26,Totals[[#Headers],[Car - Note]:[NONTRACKED]],0))</f>
        <v>0</v>
      </c>
      <c r="JB26" s="19">
        <f t="shared" ca="1" si="377"/>
        <v>22.62</v>
      </c>
      <c r="JC26" s="19" t="s">
        <v>198</v>
      </c>
      <c r="JD26" s="19">
        <v>0</v>
      </c>
      <c r="JE26" s="19" t="b">
        <f t="shared" ca="1" si="378"/>
        <v>1</v>
      </c>
      <c r="JF26" s="100">
        <f t="shared" si="123"/>
        <v>1</v>
      </c>
      <c r="JG26" s="19">
        <f t="shared" ca="1" si="124"/>
        <v>0</v>
      </c>
      <c r="JH26" s="19">
        <f t="shared" ca="1" si="379"/>
        <v>0</v>
      </c>
      <c r="JI26" s="100">
        <f t="shared" si="125"/>
        <v>0</v>
      </c>
      <c r="JJ26" s="19">
        <f t="shared" ca="1" si="126"/>
        <v>0</v>
      </c>
      <c r="JK26" s="19">
        <f t="shared" ca="1" si="127"/>
        <v>0</v>
      </c>
      <c r="JL26" s="19">
        <f t="shared" ca="1" si="380"/>
        <v>0</v>
      </c>
      <c r="JM26" s="19">
        <f t="shared" ca="1" si="128"/>
        <v>22.62</v>
      </c>
      <c r="JN26" s="19">
        <f t="shared" ca="1" si="129"/>
        <v>0</v>
      </c>
      <c r="JO26" s="19" t="str">
        <f t="shared" si="130"/>
        <v>NA</v>
      </c>
      <c r="JP26" s="12">
        <f t="shared" ca="1" si="131"/>
        <v>22.62</v>
      </c>
      <c r="JQ26" s="79"/>
      <c r="JR26" s="12">
        <f t="shared" ca="1" si="381"/>
        <v>22.62</v>
      </c>
      <c r="JS26" s="18" t="str">
        <f t="shared" si="132"/>
        <v>NA</v>
      </c>
      <c r="JU26" s="11">
        <f t="shared" ca="1" si="133"/>
        <v>22.62</v>
      </c>
      <c r="JV26" s="11">
        <f ca="1">INDEX(Totals[[#Data],[#Totals],[Car - Note]:[NONTRACKED]],MATCH(JU$1,Totals[Date],0),MATCH($C26,Totals[[#Headers],[Car - Note]:[NONTRACKED]],0))</f>
        <v>0</v>
      </c>
      <c r="JW26" s="11">
        <f t="shared" ca="1" si="382"/>
        <v>22.62</v>
      </c>
      <c r="JX26" s="11" t="s">
        <v>198</v>
      </c>
      <c r="JY26" s="11">
        <v>0</v>
      </c>
      <c r="JZ26" s="11" t="b">
        <f t="shared" ca="1" si="383"/>
        <v>1</v>
      </c>
      <c r="KA26" s="92">
        <f t="shared" si="134"/>
        <v>1</v>
      </c>
      <c r="KB26" s="11">
        <f t="shared" ca="1" si="135"/>
        <v>0</v>
      </c>
      <c r="KC26" s="11">
        <f t="shared" ca="1" si="384"/>
        <v>0</v>
      </c>
      <c r="KD26" s="92">
        <f t="shared" si="136"/>
        <v>0</v>
      </c>
      <c r="KE26" s="11">
        <f t="shared" ca="1" si="137"/>
        <v>0</v>
      </c>
      <c r="KF26" s="11">
        <f t="shared" ca="1" si="138"/>
        <v>0</v>
      </c>
      <c r="KG26" s="11">
        <f t="shared" ca="1" si="385"/>
        <v>0</v>
      </c>
      <c r="KH26" s="11">
        <f t="shared" ca="1" si="139"/>
        <v>22.62</v>
      </c>
      <c r="KI26" s="11">
        <f t="shared" ca="1" si="140"/>
        <v>0</v>
      </c>
      <c r="KJ26" s="11" t="str">
        <f t="shared" si="141"/>
        <v>NA</v>
      </c>
      <c r="KK26" s="12">
        <f t="shared" ca="1" si="142"/>
        <v>22.62</v>
      </c>
      <c r="KL26" s="79"/>
      <c r="KM26" s="12">
        <f t="shared" ca="1" si="386"/>
        <v>22.62</v>
      </c>
      <c r="KN26" s="18" t="str">
        <f t="shared" si="143"/>
        <v>NA</v>
      </c>
      <c r="KP26" s="13">
        <f t="shared" ca="1" si="144"/>
        <v>22.62</v>
      </c>
      <c r="KQ26" s="13">
        <f ca="1">INDEX(Totals[[#Data],[#Totals],[Car - Note]:[NONTRACKED]],MATCH(KP$1,Totals[Date],0),MATCH($C26,Totals[[#Headers],[Car - Note]:[NONTRACKED]],0))</f>
        <v>0</v>
      </c>
      <c r="KR26" s="13">
        <f t="shared" ca="1" si="387"/>
        <v>22.62</v>
      </c>
      <c r="KS26" s="13" t="s">
        <v>198</v>
      </c>
      <c r="KT26" s="13">
        <v>0</v>
      </c>
      <c r="KU26" s="13" t="b">
        <f t="shared" ca="1" si="388"/>
        <v>1</v>
      </c>
      <c r="KV26" s="94">
        <f t="shared" si="145"/>
        <v>1</v>
      </c>
      <c r="KW26" s="13">
        <f t="shared" ca="1" si="146"/>
        <v>0</v>
      </c>
      <c r="KX26" s="13">
        <f t="shared" ca="1" si="389"/>
        <v>0</v>
      </c>
      <c r="KY26" s="94">
        <f t="shared" si="147"/>
        <v>0</v>
      </c>
      <c r="KZ26" s="13">
        <f t="shared" ca="1" si="148"/>
        <v>0</v>
      </c>
      <c r="LA26" s="13">
        <f t="shared" ca="1" si="149"/>
        <v>0</v>
      </c>
      <c r="LB26" s="13">
        <f t="shared" ca="1" si="390"/>
        <v>0</v>
      </c>
      <c r="LC26" s="13">
        <f t="shared" ca="1" si="150"/>
        <v>22.62</v>
      </c>
      <c r="LD26" s="13">
        <f t="shared" ca="1" si="151"/>
        <v>0</v>
      </c>
      <c r="LE26" s="13" t="str">
        <f t="shared" si="152"/>
        <v>NA</v>
      </c>
      <c r="LF26" s="12">
        <f t="shared" ca="1" si="153"/>
        <v>22.62</v>
      </c>
      <c r="LG26" s="79"/>
      <c r="LH26" s="12">
        <f t="shared" ca="1" si="391"/>
        <v>22.62</v>
      </c>
      <c r="LI26" s="18" t="str">
        <f t="shared" si="154"/>
        <v>NA</v>
      </c>
      <c r="LK26" s="19">
        <f t="shared" ca="1" si="155"/>
        <v>22.62</v>
      </c>
      <c r="LL26" s="19">
        <f ca="1">INDEX(Totals[[#Data],[#Totals],[Car - Note]:[NONTRACKED]],MATCH(LK$1,Totals[Date],0),MATCH($C26,Totals[[#Headers],[Car - Note]:[NONTRACKED]],0))</f>
        <v>0</v>
      </c>
      <c r="LM26" s="19">
        <f t="shared" ca="1" si="392"/>
        <v>22.62</v>
      </c>
      <c r="LN26" s="19" t="s">
        <v>198</v>
      </c>
      <c r="LO26" s="19">
        <v>0</v>
      </c>
      <c r="LP26" s="19" t="b">
        <f t="shared" ca="1" si="393"/>
        <v>1</v>
      </c>
      <c r="LQ26" s="100">
        <f t="shared" si="156"/>
        <v>1</v>
      </c>
      <c r="LR26" s="19">
        <f t="shared" ca="1" si="157"/>
        <v>0</v>
      </c>
      <c r="LS26" s="19">
        <f t="shared" ca="1" si="394"/>
        <v>0</v>
      </c>
      <c r="LT26" s="100">
        <f t="shared" si="158"/>
        <v>0</v>
      </c>
      <c r="LU26" s="19">
        <f t="shared" ca="1" si="159"/>
        <v>0</v>
      </c>
      <c r="LV26" s="19">
        <f t="shared" ca="1" si="160"/>
        <v>0</v>
      </c>
      <c r="LW26" s="19">
        <f t="shared" ca="1" si="395"/>
        <v>0</v>
      </c>
      <c r="LX26" s="19">
        <f t="shared" ca="1" si="161"/>
        <v>22.62</v>
      </c>
      <c r="LY26" s="19">
        <f t="shared" ca="1" si="162"/>
        <v>0</v>
      </c>
      <c r="LZ26" s="19" t="str">
        <f t="shared" si="163"/>
        <v>NA</v>
      </c>
      <c r="MA26" s="12">
        <f t="shared" ca="1" si="164"/>
        <v>22.62</v>
      </c>
      <c r="MB26" s="79"/>
      <c r="MC26" s="12">
        <f t="shared" ca="1" si="396"/>
        <v>22.62</v>
      </c>
      <c r="MD26" s="18" t="str">
        <f t="shared" si="165"/>
        <v>NA</v>
      </c>
      <c r="MF26" s="11">
        <f t="shared" ca="1" si="166"/>
        <v>22.62</v>
      </c>
      <c r="MG26" s="11">
        <f ca="1">INDEX(Totals[[#Data],[#Totals],[Car - Note]:[NONTRACKED]],MATCH(MF$1,Totals[Date],0),MATCH($C26,Totals[[#Headers],[Car - Note]:[NONTRACKED]],0))</f>
        <v>0</v>
      </c>
      <c r="MH26" s="11">
        <f t="shared" ca="1" si="397"/>
        <v>22.62</v>
      </c>
      <c r="MI26" s="11" t="s">
        <v>198</v>
      </c>
      <c r="MJ26" s="11">
        <v>0</v>
      </c>
      <c r="MK26" s="11" t="b">
        <f t="shared" ca="1" si="398"/>
        <v>1</v>
      </c>
      <c r="ML26" s="92">
        <f t="shared" si="167"/>
        <v>1</v>
      </c>
      <c r="MM26" s="11">
        <f t="shared" ca="1" si="168"/>
        <v>0</v>
      </c>
      <c r="MN26" s="11">
        <f t="shared" ca="1" si="399"/>
        <v>0</v>
      </c>
      <c r="MO26" s="92">
        <f t="shared" si="169"/>
        <v>0</v>
      </c>
      <c r="MP26" s="11">
        <f t="shared" ca="1" si="170"/>
        <v>0</v>
      </c>
      <c r="MQ26" s="11">
        <f t="shared" ca="1" si="171"/>
        <v>0</v>
      </c>
      <c r="MR26" s="11">
        <f t="shared" ca="1" si="400"/>
        <v>0</v>
      </c>
      <c r="MS26" s="11">
        <f t="shared" ca="1" si="172"/>
        <v>22.62</v>
      </c>
      <c r="MT26" s="11">
        <f t="shared" ca="1" si="173"/>
        <v>0</v>
      </c>
      <c r="MU26" s="11" t="str">
        <f t="shared" si="174"/>
        <v>NA</v>
      </c>
      <c r="MV26" s="12">
        <f t="shared" ca="1" si="175"/>
        <v>22.62</v>
      </c>
      <c r="MW26" s="79"/>
      <c r="MX26" s="12">
        <f t="shared" ca="1" si="401"/>
        <v>22.62</v>
      </c>
      <c r="MY26" s="18" t="str">
        <f t="shared" si="176"/>
        <v>NA</v>
      </c>
      <c r="NA26" s="13">
        <f t="shared" ca="1" si="177"/>
        <v>22.62</v>
      </c>
      <c r="NB26" s="13">
        <f ca="1">INDEX(Totals[[#Data],[#Totals],[Car - Note]:[NONTRACKED]],MATCH(NA$1,Totals[Date],0),MATCH($C26,Totals[[#Headers],[Car - Note]:[NONTRACKED]],0))</f>
        <v>0</v>
      </c>
      <c r="NC26" s="13">
        <f t="shared" ca="1" si="402"/>
        <v>22.62</v>
      </c>
      <c r="ND26" s="13" t="s">
        <v>198</v>
      </c>
      <c r="NE26" s="13">
        <v>0</v>
      </c>
      <c r="NF26" s="13" t="b">
        <f t="shared" ca="1" si="403"/>
        <v>1</v>
      </c>
      <c r="NG26" s="94">
        <f t="shared" si="178"/>
        <v>1</v>
      </c>
      <c r="NH26" s="13">
        <f t="shared" ca="1" si="179"/>
        <v>0</v>
      </c>
      <c r="NI26" s="13">
        <f t="shared" ca="1" si="404"/>
        <v>0</v>
      </c>
      <c r="NJ26" s="94">
        <f t="shared" si="180"/>
        <v>0</v>
      </c>
      <c r="NK26" s="13">
        <f t="shared" ca="1" si="181"/>
        <v>0</v>
      </c>
      <c r="NL26" s="13">
        <f t="shared" ca="1" si="182"/>
        <v>0</v>
      </c>
      <c r="NM26" s="13">
        <f t="shared" ca="1" si="405"/>
        <v>0</v>
      </c>
      <c r="NN26" s="13">
        <f t="shared" ca="1" si="183"/>
        <v>22.62</v>
      </c>
      <c r="NO26" s="13">
        <f t="shared" ca="1" si="184"/>
        <v>0</v>
      </c>
      <c r="NP26" s="13" t="str">
        <f t="shared" si="185"/>
        <v>NA</v>
      </c>
      <c r="NQ26" s="12">
        <f t="shared" ca="1" si="186"/>
        <v>22.62</v>
      </c>
      <c r="NR26" s="79"/>
      <c r="NS26" s="12">
        <f t="shared" ca="1" si="406"/>
        <v>22.62</v>
      </c>
      <c r="NT26" s="18" t="str">
        <f t="shared" si="187"/>
        <v>NA</v>
      </c>
      <c r="NV26" s="19">
        <f t="shared" ca="1" si="188"/>
        <v>22.62</v>
      </c>
      <c r="NW26" s="19">
        <f ca="1">INDEX(Totals[[#Data],[#Totals],[Car - Note]:[NONTRACKED]],MATCH(NV$1,Totals[Date],0),MATCH($C26,Totals[[#Headers],[Car - Note]:[NONTRACKED]],0))</f>
        <v>0</v>
      </c>
      <c r="NX26" s="19">
        <f t="shared" ca="1" si="407"/>
        <v>22.62</v>
      </c>
      <c r="NY26" s="19" t="s">
        <v>198</v>
      </c>
      <c r="NZ26" s="19">
        <v>0</v>
      </c>
      <c r="OA26" s="19" t="b">
        <f t="shared" ca="1" si="408"/>
        <v>1</v>
      </c>
      <c r="OB26" s="100">
        <f t="shared" si="189"/>
        <v>1</v>
      </c>
      <c r="OC26" s="19">
        <f t="shared" ca="1" si="190"/>
        <v>0</v>
      </c>
      <c r="OD26" s="19">
        <f t="shared" ca="1" si="409"/>
        <v>0</v>
      </c>
      <c r="OE26" s="100">
        <f t="shared" si="191"/>
        <v>0</v>
      </c>
      <c r="OF26" s="19">
        <f t="shared" ca="1" si="192"/>
        <v>0</v>
      </c>
      <c r="OG26" s="19">
        <f t="shared" ca="1" si="193"/>
        <v>0</v>
      </c>
      <c r="OH26" s="19">
        <f t="shared" ca="1" si="410"/>
        <v>0</v>
      </c>
      <c r="OI26" s="19">
        <f t="shared" ca="1" si="194"/>
        <v>22.62</v>
      </c>
      <c r="OJ26" s="19">
        <f t="shared" ca="1" si="195"/>
        <v>0</v>
      </c>
      <c r="OK26" s="19" t="str">
        <f t="shared" si="196"/>
        <v>NA</v>
      </c>
      <c r="OL26" s="12">
        <f t="shared" ca="1" si="197"/>
        <v>22.62</v>
      </c>
      <c r="OM26" s="79"/>
      <c r="ON26" s="12">
        <f t="shared" ca="1" si="411"/>
        <v>22.62</v>
      </c>
      <c r="OO26" s="18" t="str">
        <f t="shared" si="198"/>
        <v>NA</v>
      </c>
      <c r="OQ26" s="11">
        <f t="shared" ca="1" si="199"/>
        <v>22.62</v>
      </c>
      <c r="OR26" s="11">
        <f ca="1">INDEX(Totals[[#Data],[#Totals],[Car - Note]:[NONTRACKED]],MATCH(OQ$1,Totals[Date],0),MATCH($C26,Totals[[#Headers],[Car - Note]:[NONTRACKED]],0))</f>
        <v>0</v>
      </c>
      <c r="OS26" s="11">
        <f t="shared" ca="1" si="412"/>
        <v>22.62</v>
      </c>
      <c r="OT26" s="11" t="s">
        <v>198</v>
      </c>
      <c r="OU26" s="11">
        <v>0</v>
      </c>
      <c r="OV26" s="11" t="b">
        <f t="shared" ca="1" si="413"/>
        <v>1</v>
      </c>
      <c r="OW26" s="92">
        <f t="shared" si="200"/>
        <v>1</v>
      </c>
      <c r="OX26" s="11">
        <f t="shared" ca="1" si="201"/>
        <v>0</v>
      </c>
      <c r="OY26" s="11">
        <f t="shared" ca="1" si="414"/>
        <v>0</v>
      </c>
      <c r="OZ26" s="92">
        <f t="shared" si="202"/>
        <v>0</v>
      </c>
      <c r="PA26" s="11">
        <f t="shared" ca="1" si="203"/>
        <v>0</v>
      </c>
      <c r="PB26" s="11">
        <f t="shared" ca="1" si="204"/>
        <v>0</v>
      </c>
      <c r="PC26" s="11">
        <f t="shared" ca="1" si="415"/>
        <v>0</v>
      </c>
      <c r="PD26" s="11">
        <f t="shared" ca="1" si="205"/>
        <v>22.62</v>
      </c>
      <c r="PE26" s="11">
        <f t="shared" ca="1" si="206"/>
        <v>0</v>
      </c>
      <c r="PF26" s="11" t="str">
        <f t="shared" si="207"/>
        <v>NA</v>
      </c>
      <c r="PG26" s="12">
        <f t="shared" ca="1" si="208"/>
        <v>22.62</v>
      </c>
      <c r="PH26" s="79"/>
      <c r="PI26" s="12">
        <f t="shared" ca="1" si="416"/>
        <v>22.62</v>
      </c>
      <c r="PJ26" s="18" t="str">
        <f t="shared" si="209"/>
        <v>NA</v>
      </c>
      <c r="PL26" s="13">
        <f t="shared" ca="1" si="210"/>
        <v>22.62</v>
      </c>
      <c r="PM26" s="13">
        <f ca="1">INDEX(Totals[[#Data],[#Totals],[Car - Note]:[NONTRACKED]],MATCH(PL$1,Totals[Date],0),MATCH($C26,Totals[[#Headers],[Car - Note]:[NONTRACKED]],0))</f>
        <v>0</v>
      </c>
      <c r="PN26" s="13">
        <f t="shared" ca="1" si="417"/>
        <v>22.62</v>
      </c>
      <c r="PO26" s="13" t="s">
        <v>198</v>
      </c>
      <c r="PP26" s="13">
        <v>0</v>
      </c>
      <c r="PQ26" s="13" t="b">
        <f t="shared" ca="1" si="418"/>
        <v>1</v>
      </c>
      <c r="PR26" s="94">
        <f t="shared" si="211"/>
        <v>1</v>
      </c>
      <c r="PS26" s="13">
        <f t="shared" ca="1" si="212"/>
        <v>0</v>
      </c>
      <c r="PT26" s="13">
        <f t="shared" ca="1" si="419"/>
        <v>0</v>
      </c>
      <c r="PU26" s="94">
        <f t="shared" si="213"/>
        <v>0</v>
      </c>
      <c r="PV26" s="13">
        <f t="shared" ca="1" si="214"/>
        <v>0</v>
      </c>
      <c r="PW26" s="13">
        <f t="shared" ca="1" si="215"/>
        <v>0</v>
      </c>
      <c r="PX26" s="13">
        <f t="shared" ca="1" si="420"/>
        <v>0</v>
      </c>
      <c r="PY26" s="13">
        <f t="shared" ca="1" si="216"/>
        <v>22.62</v>
      </c>
      <c r="PZ26" s="13">
        <f t="shared" ca="1" si="217"/>
        <v>0</v>
      </c>
      <c r="QA26" s="13" t="str">
        <f t="shared" si="218"/>
        <v>NA</v>
      </c>
      <c r="QB26" s="12">
        <f t="shared" ca="1" si="219"/>
        <v>22.62</v>
      </c>
      <c r="QC26" s="79"/>
      <c r="QD26" s="12">
        <f t="shared" ca="1" si="421"/>
        <v>22.62</v>
      </c>
      <c r="QE26" s="18" t="str">
        <f t="shared" si="220"/>
        <v>NA</v>
      </c>
      <c r="QG26" s="19">
        <f t="shared" ca="1" si="221"/>
        <v>22.62</v>
      </c>
      <c r="QH26" s="19">
        <f ca="1">INDEX(Totals[[#Data],[#Totals],[Car - Note]:[NONTRACKED]],MATCH(QG$1,Totals[Date],0),MATCH($C26,Totals[[#Headers],[Car - Note]:[NONTRACKED]],0))</f>
        <v>0</v>
      </c>
      <c r="QI26" s="19">
        <f t="shared" ca="1" si="422"/>
        <v>22.62</v>
      </c>
      <c r="QJ26" s="19" t="s">
        <v>198</v>
      </c>
      <c r="QK26" s="19">
        <v>0</v>
      </c>
      <c r="QL26" s="19" t="b">
        <f t="shared" ca="1" si="423"/>
        <v>1</v>
      </c>
      <c r="QM26" s="100">
        <f t="shared" si="222"/>
        <v>1</v>
      </c>
      <c r="QN26" s="19">
        <f t="shared" ca="1" si="223"/>
        <v>0</v>
      </c>
      <c r="QO26" s="19">
        <f t="shared" ca="1" si="424"/>
        <v>0</v>
      </c>
      <c r="QP26" s="100">
        <f t="shared" si="224"/>
        <v>0</v>
      </c>
      <c r="QQ26" s="19">
        <f t="shared" ca="1" si="225"/>
        <v>0</v>
      </c>
      <c r="QR26" s="19">
        <f t="shared" ca="1" si="226"/>
        <v>0</v>
      </c>
      <c r="QS26" s="19">
        <f t="shared" ca="1" si="425"/>
        <v>0</v>
      </c>
      <c r="QT26" s="19">
        <f t="shared" ca="1" si="227"/>
        <v>22.62</v>
      </c>
      <c r="QU26" s="19">
        <f t="shared" ca="1" si="228"/>
        <v>0</v>
      </c>
      <c r="QV26" s="19" t="str">
        <f t="shared" si="229"/>
        <v>NA</v>
      </c>
      <c r="QW26" s="12">
        <f t="shared" ca="1" si="230"/>
        <v>22.62</v>
      </c>
      <c r="QX26" s="79"/>
      <c r="QY26" s="12">
        <f t="shared" ca="1" si="426"/>
        <v>22.62</v>
      </c>
      <c r="QZ26" s="18" t="str">
        <f t="shared" si="231"/>
        <v>NA</v>
      </c>
      <c r="RB26" s="11">
        <f t="shared" ca="1" si="232"/>
        <v>22.62</v>
      </c>
      <c r="RC26" s="11">
        <f ca="1">INDEX(Totals[[#Data],[#Totals],[Car - Note]:[NONTRACKED]],MATCH(RB$1,Totals[Date],0),MATCH($C26,Totals[[#Headers],[Car - Note]:[NONTRACKED]],0))</f>
        <v>0</v>
      </c>
      <c r="RD26" s="11">
        <f t="shared" ca="1" si="427"/>
        <v>22.62</v>
      </c>
      <c r="RE26" s="11" t="s">
        <v>198</v>
      </c>
      <c r="RF26" s="11">
        <v>0</v>
      </c>
      <c r="RG26" s="11" t="b">
        <f t="shared" ca="1" si="428"/>
        <v>1</v>
      </c>
      <c r="RH26" s="92">
        <f t="shared" si="233"/>
        <v>1</v>
      </c>
      <c r="RI26" s="11">
        <f t="shared" ca="1" si="234"/>
        <v>0</v>
      </c>
      <c r="RJ26" s="11">
        <f t="shared" ca="1" si="429"/>
        <v>0</v>
      </c>
      <c r="RK26" s="92">
        <f t="shared" si="235"/>
        <v>0</v>
      </c>
      <c r="RL26" s="11">
        <f t="shared" ca="1" si="236"/>
        <v>0</v>
      </c>
      <c r="RM26" s="11">
        <f t="shared" ca="1" si="237"/>
        <v>0</v>
      </c>
      <c r="RN26" s="11">
        <f t="shared" ca="1" si="430"/>
        <v>0</v>
      </c>
      <c r="RO26" s="11">
        <f t="shared" ca="1" si="238"/>
        <v>22.62</v>
      </c>
      <c r="RP26" s="11">
        <f t="shared" ca="1" si="239"/>
        <v>0</v>
      </c>
      <c r="RQ26" s="11" t="str">
        <f t="shared" si="240"/>
        <v>NA</v>
      </c>
      <c r="RR26" s="12">
        <f t="shared" ca="1" si="241"/>
        <v>22.62</v>
      </c>
      <c r="RS26" s="79"/>
      <c r="RT26" s="12">
        <f t="shared" ca="1" si="431"/>
        <v>22.62</v>
      </c>
      <c r="RU26" s="18" t="str">
        <f t="shared" si="242"/>
        <v>NA</v>
      </c>
      <c r="RW26" s="13">
        <f t="shared" ca="1" si="243"/>
        <v>22.62</v>
      </c>
      <c r="RX26" s="13">
        <f ca="1">INDEX(Totals[[#Data],[#Totals],[Car - Note]:[NONTRACKED]],MATCH(RW$1,Totals[Date],0),MATCH($C26,Totals[[#Headers],[Car - Note]:[NONTRACKED]],0))</f>
        <v>0</v>
      </c>
      <c r="RY26" s="13">
        <f t="shared" ca="1" si="432"/>
        <v>22.62</v>
      </c>
      <c r="RZ26" s="13" t="s">
        <v>198</v>
      </c>
      <c r="SA26" s="13">
        <v>0</v>
      </c>
      <c r="SB26" s="13" t="b">
        <f t="shared" ca="1" si="433"/>
        <v>1</v>
      </c>
      <c r="SC26" s="94">
        <f t="shared" si="244"/>
        <v>1</v>
      </c>
      <c r="SD26" s="13">
        <f t="shared" ca="1" si="245"/>
        <v>0</v>
      </c>
      <c r="SE26" s="13">
        <f t="shared" ca="1" si="434"/>
        <v>0</v>
      </c>
      <c r="SF26" s="94">
        <f t="shared" si="246"/>
        <v>0</v>
      </c>
      <c r="SG26" s="13">
        <f t="shared" ca="1" si="247"/>
        <v>0</v>
      </c>
      <c r="SH26" s="13">
        <f t="shared" ca="1" si="248"/>
        <v>0</v>
      </c>
      <c r="SI26" s="13">
        <f t="shared" ca="1" si="435"/>
        <v>0</v>
      </c>
      <c r="SJ26" s="13">
        <f t="shared" ca="1" si="249"/>
        <v>22.62</v>
      </c>
      <c r="SK26" s="13">
        <f t="shared" ca="1" si="250"/>
        <v>0</v>
      </c>
      <c r="SL26" s="13" t="str">
        <f t="shared" si="251"/>
        <v>NA</v>
      </c>
      <c r="SM26" s="12">
        <f t="shared" ca="1" si="252"/>
        <v>22.62</v>
      </c>
      <c r="SN26" s="79"/>
      <c r="SO26" s="12">
        <f t="shared" ca="1" si="436"/>
        <v>22.62</v>
      </c>
      <c r="SP26" s="18" t="str">
        <f t="shared" si="253"/>
        <v>NA</v>
      </c>
      <c r="SR26" s="19">
        <f t="shared" ca="1" si="254"/>
        <v>22.62</v>
      </c>
      <c r="SS26" s="19">
        <f ca="1">INDEX(Totals[[#Data],[#Totals],[Car - Note]:[NONTRACKED]],MATCH(SR$1,Totals[Date],0),MATCH($C26,Totals[[#Headers],[Car - Note]:[NONTRACKED]],0))</f>
        <v>0</v>
      </c>
      <c r="ST26" s="19">
        <f t="shared" ca="1" si="437"/>
        <v>22.62</v>
      </c>
      <c r="SU26" s="19" t="s">
        <v>198</v>
      </c>
      <c r="SV26" s="19">
        <v>0</v>
      </c>
      <c r="SW26" s="19" t="b">
        <f t="shared" ca="1" si="438"/>
        <v>1</v>
      </c>
      <c r="SX26" s="100">
        <f t="shared" si="255"/>
        <v>1</v>
      </c>
      <c r="SY26" s="19">
        <f t="shared" ca="1" si="256"/>
        <v>0</v>
      </c>
      <c r="SZ26" s="19">
        <f t="shared" ca="1" si="439"/>
        <v>0</v>
      </c>
      <c r="TA26" s="100">
        <f t="shared" si="257"/>
        <v>0</v>
      </c>
      <c r="TB26" s="19">
        <f t="shared" ca="1" si="258"/>
        <v>0</v>
      </c>
      <c r="TC26" s="19">
        <f t="shared" ca="1" si="259"/>
        <v>0</v>
      </c>
      <c r="TD26" s="19">
        <f t="shared" ca="1" si="440"/>
        <v>0</v>
      </c>
      <c r="TE26" s="19">
        <f t="shared" ca="1" si="260"/>
        <v>22.62</v>
      </c>
      <c r="TF26" s="19">
        <f t="shared" ca="1" si="261"/>
        <v>0</v>
      </c>
      <c r="TG26" s="19" t="str">
        <f t="shared" si="262"/>
        <v>NA</v>
      </c>
      <c r="TH26" s="12">
        <f t="shared" ca="1" si="263"/>
        <v>22.62</v>
      </c>
      <c r="TI26" s="79"/>
      <c r="TJ26" s="12">
        <f t="shared" ca="1" si="441"/>
        <v>22.62</v>
      </c>
      <c r="TK26" s="18" t="str">
        <f t="shared" si="264"/>
        <v>NA</v>
      </c>
      <c r="TM26" s="11">
        <f t="shared" ca="1" si="265"/>
        <v>22.62</v>
      </c>
      <c r="TN26" s="11">
        <f ca="1">INDEX(Totals[[#Data],[#Totals],[Car - Note]:[NONTRACKED]],MATCH(TM$1,Totals[Date],0),MATCH($C26,Totals[[#Headers],[Car - Note]:[NONTRACKED]],0))</f>
        <v>0</v>
      </c>
      <c r="TO26" s="11">
        <f t="shared" ca="1" si="442"/>
        <v>22.62</v>
      </c>
      <c r="TP26" s="11" t="s">
        <v>198</v>
      </c>
      <c r="TQ26" s="11">
        <v>0</v>
      </c>
      <c r="TR26" s="11" t="b">
        <f t="shared" ca="1" si="443"/>
        <v>1</v>
      </c>
      <c r="TS26" s="92">
        <f t="shared" si="266"/>
        <v>1</v>
      </c>
      <c r="TT26" s="11">
        <f t="shared" ca="1" si="267"/>
        <v>0</v>
      </c>
      <c r="TU26" s="11">
        <f t="shared" ca="1" si="444"/>
        <v>0</v>
      </c>
      <c r="TV26" s="92">
        <f t="shared" si="268"/>
        <v>0</v>
      </c>
      <c r="TW26" s="11">
        <f t="shared" ca="1" si="269"/>
        <v>0</v>
      </c>
      <c r="TX26" s="11">
        <f t="shared" ca="1" si="270"/>
        <v>0</v>
      </c>
      <c r="TY26" s="11">
        <f t="shared" ca="1" si="445"/>
        <v>0</v>
      </c>
      <c r="TZ26" s="11">
        <f t="shared" ca="1" si="271"/>
        <v>22.62</v>
      </c>
      <c r="UA26" s="11">
        <f t="shared" ca="1" si="272"/>
        <v>0</v>
      </c>
      <c r="UB26" s="11" t="str">
        <f t="shared" si="273"/>
        <v>NA</v>
      </c>
      <c r="UC26" s="12">
        <f t="shared" ca="1" si="274"/>
        <v>22.62</v>
      </c>
      <c r="UD26" s="79"/>
      <c r="UE26" s="12">
        <f t="shared" ca="1" si="446"/>
        <v>22.62</v>
      </c>
      <c r="UF26" s="18" t="str">
        <f t="shared" si="275"/>
        <v>NA</v>
      </c>
      <c r="UH26" s="13">
        <f t="shared" ca="1" si="276"/>
        <v>22.62</v>
      </c>
      <c r="UI26" s="13">
        <f ca="1">INDEX(Totals[[#Data],[#Totals],[Car - Note]:[NONTRACKED]],MATCH(UH$1,Totals[Date],0),MATCH($C26,Totals[[#Headers],[Car - Note]:[NONTRACKED]],0))</f>
        <v>0</v>
      </c>
      <c r="UJ26" s="13">
        <f t="shared" ca="1" si="447"/>
        <v>22.62</v>
      </c>
      <c r="UK26" s="13" t="s">
        <v>198</v>
      </c>
      <c r="UL26" s="13">
        <v>0</v>
      </c>
      <c r="UM26" s="13" t="b">
        <f t="shared" ca="1" si="448"/>
        <v>1</v>
      </c>
      <c r="UN26" s="94">
        <f t="shared" si="277"/>
        <v>1</v>
      </c>
      <c r="UO26" s="13">
        <f t="shared" ca="1" si="278"/>
        <v>0</v>
      </c>
      <c r="UP26" s="13">
        <f t="shared" ca="1" si="449"/>
        <v>0</v>
      </c>
      <c r="UQ26" s="94">
        <f t="shared" si="279"/>
        <v>0</v>
      </c>
      <c r="UR26" s="13">
        <f t="shared" ca="1" si="280"/>
        <v>0</v>
      </c>
      <c r="US26" s="13">
        <f t="shared" ca="1" si="281"/>
        <v>0</v>
      </c>
      <c r="UT26" s="13">
        <f t="shared" ca="1" si="450"/>
        <v>0</v>
      </c>
      <c r="UU26" s="13">
        <f t="shared" ca="1" si="282"/>
        <v>22.62</v>
      </c>
      <c r="UV26" s="13">
        <f t="shared" ca="1" si="283"/>
        <v>0</v>
      </c>
      <c r="UW26" s="13" t="str">
        <f t="shared" si="284"/>
        <v>NA</v>
      </c>
      <c r="UX26" s="12">
        <f t="shared" ca="1" si="285"/>
        <v>22.62</v>
      </c>
      <c r="UY26" s="79"/>
      <c r="UZ26" s="12">
        <f t="shared" ca="1" si="451"/>
        <v>22.62</v>
      </c>
      <c r="VA26" s="18" t="str">
        <f t="shared" si="286"/>
        <v>NA</v>
      </c>
      <c r="VC26" s="19">
        <f t="shared" ca="1" si="287"/>
        <v>22.62</v>
      </c>
      <c r="VD26" s="19">
        <f ca="1">INDEX(Totals[[#Data],[#Totals],[Car - Note]:[NONTRACKED]],MATCH(VC$1,Totals[Date],0),MATCH($C26,Totals[[#Headers],[Car - Note]:[NONTRACKED]],0))</f>
        <v>0</v>
      </c>
      <c r="VE26" s="19">
        <f t="shared" ca="1" si="452"/>
        <v>22.62</v>
      </c>
      <c r="VF26" s="19" t="s">
        <v>198</v>
      </c>
      <c r="VG26" s="19">
        <v>0</v>
      </c>
      <c r="VH26" s="19" t="b">
        <f t="shared" ca="1" si="453"/>
        <v>1</v>
      </c>
      <c r="VI26" s="100">
        <f t="shared" si="288"/>
        <v>1</v>
      </c>
      <c r="VJ26" s="19">
        <f t="shared" ca="1" si="289"/>
        <v>0</v>
      </c>
      <c r="VK26" s="19">
        <f t="shared" ca="1" si="454"/>
        <v>0</v>
      </c>
      <c r="VL26" s="100">
        <f t="shared" si="290"/>
        <v>0</v>
      </c>
      <c r="VM26" s="19">
        <f t="shared" ca="1" si="291"/>
        <v>0</v>
      </c>
      <c r="VN26" s="19">
        <f t="shared" ca="1" si="292"/>
        <v>0</v>
      </c>
      <c r="VO26" s="19">
        <f t="shared" ca="1" si="455"/>
        <v>0</v>
      </c>
      <c r="VP26" s="19">
        <f t="shared" ca="1" si="293"/>
        <v>22.62</v>
      </c>
      <c r="VQ26" s="19">
        <f t="shared" ca="1" si="294"/>
        <v>0</v>
      </c>
      <c r="VR26" s="19" t="str">
        <f t="shared" si="295"/>
        <v>NA</v>
      </c>
      <c r="VS26" s="12">
        <f t="shared" ca="1" si="296"/>
        <v>22.62</v>
      </c>
      <c r="VT26" s="79"/>
      <c r="VU26" s="12">
        <f t="shared" ca="1" si="456"/>
        <v>22.62</v>
      </c>
      <c r="VV26" s="18" t="str">
        <f t="shared" si="297"/>
        <v>NA</v>
      </c>
      <c r="VX26" s="11">
        <f t="shared" ca="1" si="298"/>
        <v>22.62</v>
      </c>
      <c r="VY26" s="11">
        <f ca="1">INDEX(Totals[[#Data],[#Totals],[Car - Note]:[NONTRACKED]],MATCH(VX$1,Totals[Date],0),MATCH($C26,Totals[[#Headers],[Car - Note]:[NONTRACKED]],0))</f>
        <v>0</v>
      </c>
      <c r="VZ26" s="11">
        <f t="shared" ca="1" si="457"/>
        <v>22.62</v>
      </c>
      <c r="WA26" s="11" t="s">
        <v>198</v>
      </c>
      <c r="WB26" s="11">
        <v>0</v>
      </c>
      <c r="WC26" s="11" t="b">
        <f t="shared" ca="1" si="458"/>
        <v>1</v>
      </c>
      <c r="WD26" s="92">
        <f t="shared" si="299"/>
        <v>1</v>
      </c>
      <c r="WE26" s="11">
        <f t="shared" ca="1" si="300"/>
        <v>0</v>
      </c>
      <c r="WF26" s="11">
        <f t="shared" ca="1" si="459"/>
        <v>0</v>
      </c>
      <c r="WG26" s="92">
        <f t="shared" si="301"/>
        <v>0</v>
      </c>
      <c r="WH26" s="11">
        <f t="shared" ca="1" si="302"/>
        <v>0</v>
      </c>
      <c r="WI26" s="11">
        <f t="shared" ca="1" si="303"/>
        <v>0</v>
      </c>
      <c r="WJ26" s="11">
        <f t="shared" ca="1" si="460"/>
        <v>0</v>
      </c>
      <c r="WK26" s="11">
        <f t="shared" ca="1" si="304"/>
        <v>22.62</v>
      </c>
      <c r="WL26" s="11">
        <f t="shared" ca="1" si="305"/>
        <v>0</v>
      </c>
      <c r="WM26" s="11" t="str">
        <f t="shared" si="306"/>
        <v>NA</v>
      </c>
      <c r="WN26" s="12">
        <f t="shared" ca="1" si="307"/>
        <v>22.62</v>
      </c>
      <c r="WO26" s="79">
        <v>-22.62</v>
      </c>
      <c r="WP26" s="12">
        <f t="shared" ca="1" si="461"/>
        <v>0</v>
      </c>
      <c r="WQ26" s="18" t="str">
        <f t="shared" si="308"/>
        <v>NA</v>
      </c>
      <c r="WS26" s="13">
        <f t="shared" ca="1" si="309"/>
        <v>0</v>
      </c>
      <c r="WT26" s="13">
        <f ca="1">INDEX(Totals[[#Data],[#Totals],[Car - Note]:[NONTRACKED]],MATCH(WS$1,Totals[Date],0),MATCH($C26,Totals[[#Headers],[Car - Note]:[NONTRACKED]],0))</f>
        <v>0</v>
      </c>
      <c r="WU26" s="13">
        <f t="shared" ca="1" si="462"/>
        <v>0</v>
      </c>
      <c r="WV26" s="13" t="s">
        <v>198</v>
      </c>
      <c r="WW26" s="13">
        <v>0</v>
      </c>
      <c r="WX26" s="13" t="b">
        <f t="shared" ca="1" si="463"/>
        <v>1</v>
      </c>
      <c r="WY26" s="94">
        <f t="shared" si="310"/>
        <v>1</v>
      </c>
      <c r="WZ26" s="13">
        <f t="shared" ca="1" si="311"/>
        <v>0</v>
      </c>
      <c r="XA26" s="13">
        <f t="shared" ca="1" si="464"/>
        <v>0</v>
      </c>
      <c r="XB26" s="94">
        <f t="shared" si="312"/>
        <v>0</v>
      </c>
      <c r="XC26" s="13">
        <f t="shared" ca="1" si="313"/>
        <v>0</v>
      </c>
      <c r="XD26" s="13">
        <f t="shared" ca="1" si="314"/>
        <v>0</v>
      </c>
      <c r="XE26" s="13">
        <f t="shared" ca="1" si="465"/>
        <v>0</v>
      </c>
      <c r="XF26" s="13">
        <f t="shared" ca="1" si="315"/>
        <v>0</v>
      </c>
      <c r="XG26" s="13">
        <f t="shared" ca="1" si="316"/>
        <v>0</v>
      </c>
      <c r="XH26" s="13" t="str">
        <f t="shared" si="317"/>
        <v>NA</v>
      </c>
      <c r="XI26" s="12">
        <f t="shared" ca="1" si="318"/>
        <v>0</v>
      </c>
      <c r="XJ26" s="104">
        <f ca="1">WW26-XI26</f>
        <v>0</v>
      </c>
      <c r="XK26" s="12">
        <f t="shared" ca="1" si="466"/>
        <v>0</v>
      </c>
      <c r="XL26" s="18" t="str">
        <f t="shared" si="320"/>
        <v>NA</v>
      </c>
      <c r="XN26">
        <v>0.1</v>
      </c>
      <c r="XO26" s="103">
        <f t="shared" ca="1" si="467"/>
        <v>0</v>
      </c>
      <c r="XP26" s="12">
        <f t="shared" ca="1" si="468"/>
        <v>0</v>
      </c>
      <c r="XQ26" s="102" t="str">
        <f t="shared" si="469"/>
        <v>NA</v>
      </c>
    </row>
    <row r="27" spans="1:641" x14ac:dyDescent="0.25">
      <c r="A27" s="112"/>
      <c r="B27" t="s">
        <v>57</v>
      </c>
      <c r="C27" t="s">
        <v>196</v>
      </c>
      <c r="D27" s="79">
        <v>35</v>
      </c>
      <c r="H27" s="48">
        <v>100</v>
      </c>
      <c r="I27" s="48"/>
      <c r="J27" s="48"/>
      <c r="K27" s="48">
        <v>120</v>
      </c>
      <c r="L27" s="95">
        <v>150</v>
      </c>
      <c r="M27" s="48"/>
      <c r="N27" s="96"/>
      <c r="O27" s="48"/>
      <c r="P27" s="48"/>
      <c r="Q27" s="96"/>
      <c r="R27" s="48"/>
      <c r="S27" s="48"/>
      <c r="T27" s="48"/>
      <c r="U27" s="48"/>
      <c r="V27" s="48"/>
      <c r="W27" s="48"/>
      <c r="X27" s="48"/>
      <c r="Y27" s="48"/>
      <c r="Z27" s="48">
        <f t="shared" si="321"/>
        <v>100</v>
      </c>
      <c r="AA27" s="98">
        <f t="shared" si="0"/>
        <v>0.66666666666666663</v>
      </c>
      <c r="AC27" s="11">
        <f t="shared" si="1"/>
        <v>100</v>
      </c>
      <c r="AD27" s="11">
        <f ca="1">INDEX(Totals[[#Data],[#Totals],[Car - Note]:[NONTRACKED]],MATCH(AC$1,Totals[Date],0),MATCH($C27,Totals[[#Headers],[Car - Note]:[NONTRACKED]],0))</f>
        <v>-100</v>
      </c>
      <c r="AE27" s="11">
        <f t="shared" ca="1" si="322"/>
        <v>0</v>
      </c>
      <c r="AF27" s="11">
        <v>120</v>
      </c>
      <c r="AG27" s="11">
        <v>60</v>
      </c>
      <c r="AH27" s="11" t="b">
        <f t="shared" ca="1" si="323"/>
        <v>0</v>
      </c>
      <c r="AI27" s="92">
        <f t="shared" si="2"/>
        <v>0</v>
      </c>
      <c r="AJ27" s="11">
        <f t="shared" ca="1" si="3"/>
        <v>0</v>
      </c>
      <c r="AK27" s="11">
        <f t="shared" ca="1" si="324"/>
        <v>0</v>
      </c>
      <c r="AL27" s="92">
        <f t="shared" si="4"/>
        <v>1</v>
      </c>
      <c r="AM27" s="11">
        <f t="shared" ca="1" si="5"/>
        <v>60</v>
      </c>
      <c r="AN27" s="11">
        <f t="shared" ca="1" si="6"/>
        <v>60</v>
      </c>
      <c r="AO27" s="11">
        <f t="shared" ca="1" si="325"/>
        <v>48.298186526982157</v>
      </c>
      <c r="AP27" s="11">
        <f t="shared" ca="1" si="7"/>
        <v>48.298186526982157</v>
      </c>
      <c r="AQ27" s="11">
        <f t="shared" ca="1" si="8"/>
        <v>-11.7</v>
      </c>
      <c r="AR27" s="11">
        <f t="shared" ca="1" si="9"/>
        <v>0.80496977544970261</v>
      </c>
      <c r="AS27" s="12">
        <f t="shared" ca="1" si="10"/>
        <v>48.298186526982157</v>
      </c>
      <c r="AT27" s="12"/>
      <c r="AU27" s="12">
        <f t="shared" ca="1" si="326"/>
        <v>48.298186526982157</v>
      </c>
      <c r="AV27" s="18">
        <f t="shared" ca="1" si="11"/>
        <v>0.80496977544970261</v>
      </c>
      <c r="AX27" s="13">
        <f t="shared" ca="1" si="12"/>
        <v>48.298186526982157</v>
      </c>
      <c r="AY27" s="13">
        <f ca="1">INDEX(Totals[[#Data],[#Totals],[Car - Note]:[NONTRACKED]],MATCH(AX$1,Totals[Date],0),MATCH($C27,Totals[[#Headers],[Car - Note]:[NONTRACKED]],0))</f>
        <v>-100</v>
      </c>
      <c r="AZ27" s="13">
        <f t="shared" ca="1" si="327"/>
        <v>-51.701813473017843</v>
      </c>
      <c r="BA27" s="13">
        <v>120</v>
      </c>
      <c r="BB27" s="13">
        <v>80</v>
      </c>
      <c r="BC27" s="13" t="b">
        <f t="shared" ca="1" si="328"/>
        <v>0</v>
      </c>
      <c r="BD27" s="94">
        <f t="shared" si="13"/>
        <v>0</v>
      </c>
      <c r="BE27" s="13">
        <f t="shared" ca="1" si="14"/>
        <v>0</v>
      </c>
      <c r="BF27" s="13">
        <f t="shared" ca="1" si="329"/>
        <v>0</v>
      </c>
      <c r="BG27" s="94">
        <f t="shared" si="15"/>
        <v>1</v>
      </c>
      <c r="BH27" s="13">
        <f t="shared" ca="1" si="16"/>
        <v>131.70181347301784</v>
      </c>
      <c r="BI27" s="13">
        <f t="shared" ca="1" si="17"/>
        <v>120</v>
      </c>
      <c r="BJ27" s="13">
        <f t="shared" ca="1" si="330"/>
        <v>57.263136765727886</v>
      </c>
      <c r="BK27" s="13">
        <f t="shared" ca="1" si="18"/>
        <v>5.5613232927100427</v>
      </c>
      <c r="BL27" s="13">
        <f t="shared" ca="1" si="19"/>
        <v>-74.44</v>
      </c>
      <c r="BM27" s="13">
        <f t="shared" ca="1" si="20"/>
        <v>6.9516541158875539E-2</v>
      </c>
      <c r="BN27" s="12">
        <f t="shared" ca="1" si="21"/>
        <v>5.5613232927100427</v>
      </c>
      <c r="BO27" s="12"/>
      <c r="BP27" s="12">
        <f t="shared" ca="1" si="331"/>
        <v>5.5613232927100427</v>
      </c>
      <c r="BQ27" s="18">
        <f t="shared" ca="1" si="22"/>
        <v>6.9516541158875539E-2</v>
      </c>
      <c r="BS27" s="19">
        <f t="shared" ca="1" si="23"/>
        <v>5.5613232927100427</v>
      </c>
      <c r="BT27" s="19">
        <f ca="1">INDEX(Totals[[#Data],[#Totals],[Car - Note]:[NONTRACKED]],MATCH(BS$1,Totals[Date],0),MATCH($C27,Totals[[#Headers],[Car - Note]:[NONTRACKED]],0))</f>
        <v>0</v>
      </c>
      <c r="BU27" s="19">
        <f t="shared" ca="1" si="332"/>
        <v>5.5613232927100427</v>
      </c>
      <c r="BV27" s="19">
        <v>200</v>
      </c>
      <c r="BW27" s="19">
        <v>150</v>
      </c>
      <c r="BX27" s="19" t="b">
        <f t="shared" ca="1" si="333"/>
        <v>0</v>
      </c>
      <c r="BY27" s="100">
        <f t="shared" si="24"/>
        <v>0</v>
      </c>
      <c r="BZ27" s="19">
        <f t="shared" ca="1" si="25"/>
        <v>0</v>
      </c>
      <c r="CA27" s="19">
        <f t="shared" ca="1" si="334"/>
        <v>0</v>
      </c>
      <c r="CB27" s="100">
        <f t="shared" si="26"/>
        <v>1</v>
      </c>
      <c r="CC27" s="19">
        <f t="shared" ca="1" si="27"/>
        <v>144.43867670728997</v>
      </c>
      <c r="CD27" s="19">
        <f t="shared" ca="1" si="28"/>
        <v>144.43867670728997</v>
      </c>
      <c r="CE27" s="19">
        <f t="shared" ca="1" si="335"/>
        <v>144.43867670728997</v>
      </c>
      <c r="CF27" s="19">
        <f t="shared" ca="1" si="29"/>
        <v>150</v>
      </c>
      <c r="CG27" s="19">
        <f t="shared" ca="1" si="30"/>
        <v>0</v>
      </c>
      <c r="CH27" s="19">
        <f t="shared" ca="1" si="31"/>
        <v>1</v>
      </c>
      <c r="CI27" s="12">
        <f t="shared" ca="1" si="32"/>
        <v>150</v>
      </c>
      <c r="CJ27" s="10">
        <f ca="1">BW27-CI27</f>
        <v>0</v>
      </c>
      <c r="CK27" s="12">
        <f t="shared" ca="1" si="336"/>
        <v>150</v>
      </c>
      <c r="CL27" s="18">
        <f t="shared" ca="1" si="33"/>
        <v>1</v>
      </c>
      <c r="CN27" s="11">
        <f t="shared" ca="1" si="34"/>
        <v>150</v>
      </c>
      <c r="CO27" s="11">
        <f ca="1">INDEX(Totals[[#Data],[#Totals],[Car - Note]:[NONTRACKED]],MATCH(CN$1,Totals[Date],0),MATCH($C27,Totals[[#Headers],[Car - Note]:[NONTRACKED]],0))</f>
        <v>-100</v>
      </c>
      <c r="CP27" s="11">
        <f t="shared" ca="1" si="337"/>
        <v>50</v>
      </c>
      <c r="CQ27" s="11">
        <v>200</v>
      </c>
      <c r="CR27" s="11">
        <v>200</v>
      </c>
      <c r="CS27" s="11" t="b">
        <f t="shared" ca="1" si="338"/>
        <v>0</v>
      </c>
      <c r="CT27" s="92">
        <f t="shared" si="35"/>
        <v>0</v>
      </c>
      <c r="CU27" s="11">
        <f t="shared" ca="1" si="36"/>
        <v>0</v>
      </c>
      <c r="CV27" s="11">
        <f t="shared" ca="1" si="339"/>
        <v>0</v>
      </c>
      <c r="CW27" s="92">
        <f t="shared" si="37"/>
        <v>1</v>
      </c>
      <c r="CX27" s="11">
        <f t="shared" ca="1" si="38"/>
        <v>150</v>
      </c>
      <c r="CY27" s="11">
        <f t="shared" ca="1" si="39"/>
        <v>150</v>
      </c>
      <c r="CZ27" s="11">
        <f t="shared" ca="1" si="340"/>
        <v>150</v>
      </c>
      <c r="DA27" s="11">
        <f t="shared" ca="1" si="40"/>
        <v>200</v>
      </c>
      <c r="DB27" s="11">
        <f t="shared" ca="1" si="41"/>
        <v>0</v>
      </c>
      <c r="DC27" s="11">
        <f t="shared" ca="1" si="42"/>
        <v>1</v>
      </c>
      <c r="DD27" s="12">
        <f t="shared" ca="1" si="43"/>
        <v>200</v>
      </c>
      <c r="DE27" s="79"/>
      <c r="DF27" s="12">
        <f t="shared" ca="1" si="341"/>
        <v>200</v>
      </c>
      <c r="DG27" s="18">
        <f t="shared" ca="1" si="44"/>
        <v>1</v>
      </c>
      <c r="DI27" s="13">
        <f t="shared" ca="1" si="45"/>
        <v>200</v>
      </c>
      <c r="DJ27" s="13">
        <f ca="1">INDEX(Totals[[#Data],[#Totals],[Car - Note]:[NONTRACKED]],MATCH(DI$1,Totals[Date],0),MATCH($C27,Totals[[#Headers],[Car - Note]:[NONTRACKED]],0))</f>
        <v>0</v>
      </c>
      <c r="DK27" s="13">
        <f t="shared" ca="1" si="342"/>
        <v>200</v>
      </c>
      <c r="DL27" s="13">
        <v>200</v>
      </c>
      <c r="DM27" s="13">
        <v>200</v>
      </c>
      <c r="DN27" s="13" t="b">
        <f t="shared" ca="1" si="343"/>
        <v>1</v>
      </c>
      <c r="DO27" s="94">
        <f t="shared" si="46"/>
        <v>0</v>
      </c>
      <c r="DP27" s="13">
        <f t="shared" ca="1" si="47"/>
        <v>0</v>
      </c>
      <c r="DQ27" s="13">
        <f t="shared" ca="1" si="344"/>
        <v>0</v>
      </c>
      <c r="DR27" s="94">
        <f t="shared" si="48"/>
        <v>1</v>
      </c>
      <c r="DS27" s="13">
        <f t="shared" ca="1" si="49"/>
        <v>0</v>
      </c>
      <c r="DT27" s="13">
        <f t="shared" ca="1" si="50"/>
        <v>0</v>
      </c>
      <c r="DU27" s="13">
        <f t="shared" ca="1" si="345"/>
        <v>0</v>
      </c>
      <c r="DV27" s="13">
        <f t="shared" ca="1" si="51"/>
        <v>200</v>
      </c>
      <c r="DW27" s="13">
        <f t="shared" ca="1" si="52"/>
        <v>0</v>
      </c>
      <c r="DX27" s="13">
        <f t="shared" ca="1" si="53"/>
        <v>1</v>
      </c>
      <c r="DY27" s="12">
        <f t="shared" ca="1" si="54"/>
        <v>200</v>
      </c>
      <c r="DZ27" s="79"/>
      <c r="EA27" s="12">
        <f t="shared" ca="1" si="346"/>
        <v>200</v>
      </c>
      <c r="EB27" s="18">
        <f t="shared" ca="1" si="55"/>
        <v>1</v>
      </c>
      <c r="ED27" s="19">
        <f t="shared" ca="1" si="56"/>
        <v>200</v>
      </c>
      <c r="EE27" s="19">
        <f ca="1">INDEX(Totals[[#Data],[#Totals],[Car - Note]:[NONTRACKED]],MATCH(ED$1,Totals[Date],0),MATCH($C27,Totals[[#Headers],[Car - Note]:[NONTRACKED]],0))</f>
        <v>0</v>
      </c>
      <c r="EF27" s="19">
        <f t="shared" ca="1" si="347"/>
        <v>200</v>
      </c>
      <c r="EG27" s="19">
        <v>200</v>
      </c>
      <c r="EH27" s="19">
        <v>200</v>
      </c>
      <c r="EI27" s="19" t="b">
        <f t="shared" ca="1" si="348"/>
        <v>1</v>
      </c>
      <c r="EJ27" s="100">
        <f t="shared" si="57"/>
        <v>0</v>
      </c>
      <c r="EK27" s="19">
        <f t="shared" ca="1" si="58"/>
        <v>0</v>
      </c>
      <c r="EL27" s="19">
        <f t="shared" ca="1" si="349"/>
        <v>0</v>
      </c>
      <c r="EM27" s="100">
        <f t="shared" si="59"/>
        <v>1</v>
      </c>
      <c r="EN27" s="19">
        <f t="shared" ca="1" si="60"/>
        <v>0</v>
      </c>
      <c r="EO27" s="19">
        <f t="shared" ca="1" si="61"/>
        <v>0</v>
      </c>
      <c r="EP27" s="19">
        <f t="shared" ca="1" si="350"/>
        <v>0</v>
      </c>
      <c r="EQ27" s="19">
        <f t="shared" ca="1" si="62"/>
        <v>200</v>
      </c>
      <c r="ER27" s="19">
        <f t="shared" ca="1" si="63"/>
        <v>0</v>
      </c>
      <c r="ES27" s="19">
        <f t="shared" ca="1" si="64"/>
        <v>1</v>
      </c>
      <c r="ET27" s="12">
        <f t="shared" ca="1" si="65"/>
        <v>200</v>
      </c>
      <c r="EU27" s="79"/>
      <c r="EV27" s="12">
        <f t="shared" ca="1" si="351"/>
        <v>200</v>
      </c>
      <c r="EW27" s="18">
        <f t="shared" ca="1" si="66"/>
        <v>1</v>
      </c>
      <c r="EY27" s="11">
        <f t="shared" ca="1" si="67"/>
        <v>200</v>
      </c>
      <c r="EZ27" s="11">
        <f ca="1">INDEX(Totals[[#Data],[#Totals],[Car - Note]:[NONTRACKED]],MATCH(EY$1,Totals[Date],0),MATCH($C27,Totals[[#Headers],[Car - Note]:[NONTRACKED]],0))</f>
        <v>0</v>
      </c>
      <c r="FA27" s="11">
        <f t="shared" ca="1" si="352"/>
        <v>200</v>
      </c>
      <c r="FB27" s="11">
        <v>200</v>
      </c>
      <c r="FC27" s="11">
        <v>200</v>
      </c>
      <c r="FD27" s="11" t="b">
        <f t="shared" ca="1" si="353"/>
        <v>1</v>
      </c>
      <c r="FE27" s="92">
        <f t="shared" si="68"/>
        <v>0</v>
      </c>
      <c r="FF27" s="11">
        <f t="shared" ca="1" si="69"/>
        <v>0</v>
      </c>
      <c r="FG27" s="11">
        <f t="shared" ca="1" si="354"/>
        <v>0</v>
      </c>
      <c r="FH27" s="92">
        <f t="shared" si="70"/>
        <v>1</v>
      </c>
      <c r="FI27" s="11">
        <f t="shared" ca="1" si="71"/>
        <v>0</v>
      </c>
      <c r="FJ27" s="11">
        <f t="shared" ca="1" si="72"/>
        <v>0</v>
      </c>
      <c r="FK27" s="11">
        <f t="shared" ca="1" si="355"/>
        <v>0</v>
      </c>
      <c r="FL27" s="11">
        <f t="shared" ca="1" si="73"/>
        <v>200</v>
      </c>
      <c r="FM27" s="11">
        <f t="shared" ca="1" si="74"/>
        <v>0</v>
      </c>
      <c r="FN27" s="11">
        <f t="shared" ca="1" si="75"/>
        <v>1</v>
      </c>
      <c r="FO27" s="12">
        <f t="shared" ca="1" si="76"/>
        <v>200</v>
      </c>
      <c r="FP27" s="79"/>
      <c r="FQ27" s="12">
        <f t="shared" ca="1" si="356"/>
        <v>200</v>
      </c>
      <c r="FR27" s="18">
        <f t="shared" ca="1" si="77"/>
        <v>1</v>
      </c>
      <c r="FT27" s="13">
        <f t="shared" ca="1" si="78"/>
        <v>200</v>
      </c>
      <c r="FU27" s="13">
        <f ca="1">INDEX(Totals[[#Data],[#Totals],[Car - Note]:[NONTRACKED]],MATCH(FT$1,Totals[Date],0),MATCH($C27,Totals[[#Headers],[Car - Note]:[NONTRACKED]],0))</f>
        <v>0</v>
      </c>
      <c r="FV27" s="13">
        <f t="shared" ca="1" si="357"/>
        <v>200</v>
      </c>
      <c r="FW27" s="13">
        <v>200</v>
      </c>
      <c r="FX27" s="13">
        <v>200</v>
      </c>
      <c r="FY27" s="13" t="b">
        <f t="shared" ca="1" si="358"/>
        <v>1</v>
      </c>
      <c r="FZ27" s="94">
        <f t="shared" si="79"/>
        <v>0</v>
      </c>
      <c r="GA27" s="13">
        <f t="shared" ca="1" si="80"/>
        <v>0</v>
      </c>
      <c r="GB27" s="13">
        <f t="shared" ca="1" si="359"/>
        <v>0</v>
      </c>
      <c r="GC27" s="94">
        <f t="shared" si="81"/>
        <v>1</v>
      </c>
      <c r="GD27" s="13">
        <f t="shared" ca="1" si="82"/>
        <v>0</v>
      </c>
      <c r="GE27" s="13">
        <f t="shared" ca="1" si="83"/>
        <v>0</v>
      </c>
      <c r="GF27" s="13">
        <f t="shared" ca="1" si="360"/>
        <v>0</v>
      </c>
      <c r="GG27" s="13">
        <f t="shared" ca="1" si="84"/>
        <v>200</v>
      </c>
      <c r="GH27" s="13">
        <f t="shared" ca="1" si="85"/>
        <v>0</v>
      </c>
      <c r="GI27" s="13">
        <f t="shared" ca="1" si="86"/>
        <v>1</v>
      </c>
      <c r="GJ27" s="12">
        <f t="shared" ca="1" si="87"/>
        <v>200</v>
      </c>
      <c r="GK27" s="79"/>
      <c r="GL27" s="12">
        <f t="shared" ca="1" si="361"/>
        <v>200</v>
      </c>
      <c r="GM27" s="18">
        <f t="shared" ca="1" si="88"/>
        <v>1</v>
      </c>
      <c r="GO27" s="19">
        <f t="shared" ca="1" si="89"/>
        <v>200</v>
      </c>
      <c r="GP27" s="19">
        <f ca="1">INDEX(Totals[[#Data],[#Totals],[Car - Note]:[NONTRACKED]],MATCH(GO$1,Totals[Date],0),MATCH($C27,Totals[[#Headers],[Car - Note]:[NONTRACKED]],0))</f>
        <v>0</v>
      </c>
      <c r="GQ27" s="19">
        <f t="shared" ca="1" si="362"/>
        <v>200</v>
      </c>
      <c r="GR27" s="19">
        <v>200</v>
      </c>
      <c r="GS27" s="19">
        <v>200</v>
      </c>
      <c r="GT27" s="19" t="b">
        <f t="shared" ca="1" si="363"/>
        <v>1</v>
      </c>
      <c r="GU27" s="100">
        <f t="shared" si="90"/>
        <v>0</v>
      </c>
      <c r="GV27" s="19">
        <f t="shared" ca="1" si="91"/>
        <v>0</v>
      </c>
      <c r="GW27" s="19">
        <f t="shared" ca="1" si="364"/>
        <v>0</v>
      </c>
      <c r="GX27" s="100">
        <f t="shared" si="92"/>
        <v>1</v>
      </c>
      <c r="GY27" s="19">
        <f t="shared" ca="1" si="93"/>
        <v>0</v>
      </c>
      <c r="GZ27" s="19">
        <f t="shared" ca="1" si="94"/>
        <v>0</v>
      </c>
      <c r="HA27" s="19">
        <f t="shared" ca="1" si="365"/>
        <v>0</v>
      </c>
      <c r="HB27" s="19">
        <f t="shared" ca="1" si="95"/>
        <v>200</v>
      </c>
      <c r="HC27" s="19">
        <f t="shared" ca="1" si="96"/>
        <v>0</v>
      </c>
      <c r="HD27" s="19">
        <f t="shared" ca="1" si="97"/>
        <v>1</v>
      </c>
      <c r="HE27" s="12">
        <f t="shared" ca="1" si="98"/>
        <v>200</v>
      </c>
      <c r="HF27" s="79"/>
      <c r="HG27" s="12">
        <f t="shared" ca="1" si="366"/>
        <v>200</v>
      </c>
      <c r="HH27" s="18">
        <f t="shared" ca="1" si="99"/>
        <v>1</v>
      </c>
      <c r="HJ27" s="11">
        <f t="shared" ca="1" si="100"/>
        <v>200</v>
      </c>
      <c r="HK27" s="11">
        <f ca="1">INDEX(Totals[[#Data],[#Totals],[Car - Note]:[NONTRACKED]],MATCH(HJ$1,Totals[Date],0),MATCH($C27,Totals[[#Headers],[Car - Note]:[NONTRACKED]],0))</f>
        <v>-203</v>
      </c>
      <c r="HL27" s="11">
        <f t="shared" ca="1" si="367"/>
        <v>-3</v>
      </c>
      <c r="HM27" s="11">
        <v>200</v>
      </c>
      <c r="HN27" s="11">
        <v>200</v>
      </c>
      <c r="HO27" s="11" t="b">
        <f t="shared" ca="1" si="368"/>
        <v>0</v>
      </c>
      <c r="HP27" s="92">
        <f t="shared" si="101"/>
        <v>0</v>
      </c>
      <c r="HQ27" s="11">
        <f t="shared" ca="1" si="102"/>
        <v>0</v>
      </c>
      <c r="HR27" s="11">
        <f t="shared" ca="1" si="369"/>
        <v>0</v>
      </c>
      <c r="HS27" s="92">
        <f t="shared" si="103"/>
        <v>1</v>
      </c>
      <c r="HT27" s="11">
        <f t="shared" ca="1" si="104"/>
        <v>203</v>
      </c>
      <c r="HU27" s="11">
        <f t="shared" ca="1" si="105"/>
        <v>200</v>
      </c>
      <c r="HV27" s="11">
        <f t="shared" ca="1" si="370"/>
        <v>84.640644405104013</v>
      </c>
      <c r="HW27" s="11">
        <f t="shared" ca="1" si="106"/>
        <v>81.640644405104013</v>
      </c>
      <c r="HX27" s="11">
        <f t="shared" ca="1" si="107"/>
        <v>-118.36</v>
      </c>
      <c r="HY27" s="11">
        <f t="shared" ca="1" si="108"/>
        <v>0.40820322202552006</v>
      </c>
      <c r="HZ27" s="12">
        <f t="shared" ca="1" si="109"/>
        <v>81.640644405104013</v>
      </c>
      <c r="IA27" s="79"/>
      <c r="IB27" s="12">
        <f t="shared" ca="1" si="371"/>
        <v>81.640644405104013</v>
      </c>
      <c r="IC27" s="18">
        <f t="shared" ca="1" si="110"/>
        <v>0.40820322202552006</v>
      </c>
      <c r="IE27" s="13">
        <f t="shared" ca="1" si="111"/>
        <v>81.640644405104013</v>
      </c>
      <c r="IF27" s="13">
        <f ca="1">INDEX(Totals[[#Data],[#Totals],[Car - Note]:[NONTRACKED]],MATCH(IE$1,Totals[Date],0),MATCH($C27,Totals[[#Headers],[Car - Note]:[NONTRACKED]],0))</f>
        <v>-97</v>
      </c>
      <c r="IG27" s="13">
        <f t="shared" ca="1" si="372"/>
        <v>-15.359355594895987</v>
      </c>
      <c r="IH27" s="13">
        <v>200</v>
      </c>
      <c r="II27" s="13">
        <v>200</v>
      </c>
      <c r="IJ27" s="13" t="b">
        <f t="shared" ca="1" si="373"/>
        <v>0</v>
      </c>
      <c r="IK27" s="94">
        <f t="shared" si="112"/>
        <v>0</v>
      </c>
      <c r="IL27" s="13">
        <f t="shared" ca="1" si="113"/>
        <v>0</v>
      </c>
      <c r="IM27" s="13">
        <f t="shared" ca="1" si="374"/>
        <v>0</v>
      </c>
      <c r="IN27" s="94">
        <f t="shared" si="114"/>
        <v>1</v>
      </c>
      <c r="IO27" s="13">
        <f t="shared" ca="1" si="115"/>
        <v>215.35935559489599</v>
      </c>
      <c r="IP27" s="13">
        <f t="shared" ca="1" si="116"/>
        <v>200</v>
      </c>
      <c r="IQ27" s="13">
        <f t="shared" ca="1" si="375"/>
        <v>92.385457809997277</v>
      </c>
      <c r="IR27" s="13">
        <f t="shared" ca="1" si="117"/>
        <v>77.02610221510129</v>
      </c>
      <c r="IS27" s="13">
        <f t="shared" ca="1" si="118"/>
        <v>-122.97</v>
      </c>
      <c r="IT27" s="13">
        <f t="shared" ca="1" si="119"/>
        <v>0.38513051107550644</v>
      </c>
      <c r="IU27" s="12">
        <f t="shared" ca="1" si="120"/>
        <v>77.02610221510129</v>
      </c>
      <c r="IV27" s="79"/>
      <c r="IW27" s="12">
        <f t="shared" ca="1" si="376"/>
        <v>77.02610221510129</v>
      </c>
      <c r="IX27" s="18">
        <f t="shared" ca="1" si="121"/>
        <v>0.38513051107550644</v>
      </c>
      <c r="IZ27" s="19">
        <f t="shared" ca="1" si="122"/>
        <v>77.02610221510129</v>
      </c>
      <c r="JA27" s="19">
        <f ca="1">INDEX(Totals[[#Data],[#Totals],[Car - Note]:[NONTRACKED]],MATCH(IZ$1,Totals[Date],0),MATCH($C27,Totals[[#Headers],[Car - Note]:[NONTRACKED]],0))</f>
        <v>-140</v>
      </c>
      <c r="JB27" s="19">
        <f t="shared" ca="1" si="377"/>
        <v>-62.97389778489871</v>
      </c>
      <c r="JC27" s="19">
        <v>200</v>
      </c>
      <c r="JD27" s="19">
        <v>200</v>
      </c>
      <c r="JE27" s="19" t="b">
        <f t="shared" ca="1" si="378"/>
        <v>0</v>
      </c>
      <c r="JF27" s="100">
        <f t="shared" si="123"/>
        <v>0</v>
      </c>
      <c r="JG27" s="19">
        <f t="shared" ca="1" si="124"/>
        <v>0</v>
      </c>
      <c r="JH27" s="19">
        <f t="shared" ca="1" si="379"/>
        <v>0</v>
      </c>
      <c r="JI27" s="100">
        <f t="shared" si="125"/>
        <v>1</v>
      </c>
      <c r="JJ27" s="19">
        <f t="shared" ca="1" si="126"/>
        <v>262.97389778489872</v>
      </c>
      <c r="JK27" s="19">
        <f t="shared" ca="1" si="127"/>
        <v>200</v>
      </c>
      <c r="JL27" s="19">
        <f t="shared" ca="1" si="380"/>
        <v>76.538953530089373</v>
      </c>
      <c r="JM27" s="19">
        <f t="shared" ca="1" si="128"/>
        <v>13.565055745190662</v>
      </c>
      <c r="JN27" s="19">
        <f t="shared" ca="1" si="129"/>
        <v>-186.43</v>
      </c>
      <c r="JO27" s="19">
        <f t="shared" ca="1" si="130"/>
        <v>6.7825278725953314E-2</v>
      </c>
      <c r="JP27" s="12">
        <f t="shared" ca="1" si="131"/>
        <v>13.565055745190662</v>
      </c>
      <c r="JQ27" s="79"/>
      <c r="JR27" s="12">
        <f t="shared" ca="1" si="381"/>
        <v>13.565055745190662</v>
      </c>
      <c r="JS27" s="18">
        <f t="shared" ca="1" si="132"/>
        <v>6.7825278725953314E-2</v>
      </c>
      <c r="JU27" s="11">
        <f t="shared" ca="1" si="133"/>
        <v>13.565055745190662</v>
      </c>
      <c r="JV27" s="11">
        <f ca="1">INDEX(Totals[[#Data],[#Totals],[Car - Note]:[NONTRACKED]],MATCH(JU$1,Totals[Date],0),MATCH($C27,Totals[[#Headers],[Car - Note]:[NONTRACKED]],0))</f>
        <v>-102</v>
      </c>
      <c r="JW27" s="11">
        <f t="shared" ca="1" si="382"/>
        <v>-88.434944254809338</v>
      </c>
      <c r="JX27" s="11">
        <v>200</v>
      </c>
      <c r="JY27" s="11">
        <v>200</v>
      </c>
      <c r="JZ27" s="11" t="b">
        <f t="shared" ca="1" si="383"/>
        <v>0</v>
      </c>
      <c r="KA27" s="92">
        <f t="shared" si="134"/>
        <v>0</v>
      </c>
      <c r="KB27" s="11">
        <f t="shared" ca="1" si="135"/>
        <v>0</v>
      </c>
      <c r="KC27" s="11">
        <f t="shared" ca="1" si="384"/>
        <v>0</v>
      </c>
      <c r="KD27" s="92">
        <f t="shared" si="136"/>
        <v>1</v>
      </c>
      <c r="KE27" s="11">
        <f t="shared" ca="1" si="137"/>
        <v>288.43494425480935</v>
      </c>
      <c r="KF27" s="11">
        <f t="shared" ca="1" si="138"/>
        <v>200</v>
      </c>
      <c r="KG27" s="11">
        <f t="shared" ca="1" si="385"/>
        <v>138.32952918872647</v>
      </c>
      <c r="KH27" s="11">
        <f t="shared" ca="1" si="139"/>
        <v>49.89458493391713</v>
      </c>
      <c r="KI27" s="11">
        <f t="shared" ca="1" si="140"/>
        <v>-150.11000000000001</v>
      </c>
      <c r="KJ27" s="11">
        <f t="shared" ca="1" si="141"/>
        <v>0.24947292466958565</v>
      </c>
      <c r="KK27" s="12">
        <f t="shared" ca="1" si="142"/>
        <v>49.89458493391713</v>
      </c>
      <c r="KL27" s="79"/>
      <c r="KM27" s="12">
        <f t="shared" ca="1" si="386"/>
        <v>49.89458493391713</v>
      </c>
      <c r="KN27" s="18">
        <f t="shared" ca="1" si="143"/>
        <v>0.24947292466958565</v>
      </c>
      <c r="KP27" s="13">
        <f t="shared" ca="1" si="144"/>
        <v>49.89458493391713</v>
      </c>
      <c r="KQ27" s="13">
        <f ca="1">INDEX(Totals[[#Data],[#Totals],[Car - Note]:[NONTRACKED]],MATCH(KP$1,Totals[Date],0),MATCH($C27,Totals[[#Headers],[Car - Note]:[NONTRACKED]],0))</f>
        <v>2</v>
      </c>
      <c r="KR27" s="13">
        <f t="shared" ca="1" si="387"/>
        <v>51.89458493391713</v>
      </c>
      <c r="KS27" s="13">
        <v>200</v>
      </c>
      <c r="KT27" s="13">
        <v>200</v>
      </c>
      <c r="KU27" s="13" t="b">
        <f t="shared" ca="1" si="388"/>
        <v>0</v>
      </c>
      <c r="KV27" s="94">
        <f t="shared" si="145"/>
        <v>0</v>
      </c>
      <c r="KW27" s="13">
        <f t="shared" ca="1" si="146"/>
        <v>0</v>
      </c>
      <c r="KX27" s="13">
        <f t="shared" ca="1" si="389"/>
        <v>0</v>
      </c>
      <c r="KY27" s="94">
        <f t="shared" si="147"/>
        <v>1</v>
      </c>
      <c r="KZ27" s="13">
        <f t="shared" ca="1" si="148"/>
        <v>148.10541506608286</v>
      </c>
      <c r="LA27" s="13">
        <f t="shared" ca="1" si="149"/>
        <v>148.10541506608286</v>
      </c>
      <c r="LB27" s="13">
        <f t="shared" ca="1" si="390"/>
        <v>113.00586473973402</v>
      </c>
      <c r="LC27" s="13">
        <f t="shared" ca="1" si="150"/>
        <v>164.90044967365117</v>
      </c>
      <c r="LD27" s="13">
        <f t="shared" ca="1" si="151"/>
        <v>-35.1</v>
      </c>
      <c r="LE27" s="13">
        <f t="shared" ca="1" si="152"/>
        <v>0.82450224836825581</v>
      </c>
      <c r="LF27" s="12">
        <f t="shared" ca="1" si="153"/>
        <v>164.90044967365117</v>
      </c>
      <c r="LG27" s="79"/>
      <c r="LH27" s="12">
        <f t="shared" ca="1" si="391"/>
        <v>164.90044967365117</v>
      </c>
      <c r="LI27" s="18">
        <f t="shared" ca="1" si="154"/>
        <v>0.82450224836825581</v>
      </c>
      <c r="LK27" s="19">
        <f t="shared" ca="1" si="155"/>
        <v>164.90044967365117</v>
      </c>
      <c r="LL27" s="19">
        <f ca="1">INDEX(Totals[[#Data],[#Totals],[Car - Note]:[NONTRACKED]],MATCH(LK$1,Totals[Date],0),MATCH($C27,Totals[[#Headers],[Car - Note]:[NONTRACKED]],0))</f>
        <v>0</v>
      </c>
      <c r="LM27" s="19">
        <f t="shared" ca="1" si="392"/>
        <v>164.90044967365117</v>
      </c>
      <c r="LN27" s="19">
        <v>200</v>
      </c>
      <c r="LO27" s="19">
        <v>200</v>
      </c>
      <c r="LP27" s="19" t="b">
        <f t="shared" ca="1" si="393"/>
        <v>0</v>
      </c>
      <c r="LQ27" s="100">
        <f t="shared" si="156"/>
        <v>0</v>
      </c>
      <c r="LR27" s="19">
        <f t="shared" ca="1" si="157"/>
        <v>0</v>
      </c>
      <c r="LS27" s="19">
        <f t="shared" ca="1" si="394"/>
        <v>0</v>
      </c>
      <c r="LT27" s="100">
        <f t="shared" si="158"/>
        <v>1</v>
      </c>
      <c r="LU27" s="19">
        <f t="shared" ca="1" si="159"/>
        <v>35.099550326348833</v>
      </c>
      <c r="LV27" s="19">
        <f t="shared" ca="1" si="160"/>
        <v>35.099550326348833</v>
      </c>
      <c r="LW27" s="19">
        <f t="shared" ca="1" si="395"/>
        <v>22.279589964633065</v>
      </c>
      <c r="LX27" s="19">
        <f t="shared" ca="1" si="161"/>
        <v>187.18003963828423</v>
      </c>
      <c r="LY27" s="19">
        <f t="shared" ca="1" si="162"/>
        <v>-12.82</v>
      </c>
      <c r="LZ27" s="19">
        <f t="shared" ca="1" si="163"/>
        <v>0.93590019819142112</v>
      </c>
      <c r="MA27" s="12">
        <f t="shared" ca="1" si="164"/>
        <v>187.18003963828423</v>
      </c>
      <c r="MB27" s="79"/>
      <c r="MC27" s="12">
        <f t="shared" ca="1" si="396"/>
        <v>187.18003963828423</v>
      </c>
      <c r="MD27" s="18">
        <f t="shared" ca="1" si="165"/>
        <v>0.93590019819142112</v>
      </c>
      <c r="MF27" s="11">
        <f t="shared" ca="1" si="166"/>
        <v>187.18003963828423</v>
      </c>
      <c r="MG27" s="11">
        <f ca="1">INDEX(Totals[[#Data],[#Totals],[Car - Note]:[NONTRACKED]],MATCH(MF$1,Totals[Date],0),MATCH($C27,Totals[[#Headers],[Car - Note]:[NONTRACKED]],0))</f>
        <v>-164.1</v>
      </c>
      <c r="MH27" s="11">
        <f t="shared" ca="1" si="397"/>
        <v>23.080039638284234</v>
      </c>
      <c r="MI27" s="11">
        <v>200</v>
      </c>
      <c r="MJ27" s="11">
        <v>200</v>
      </c>
      <c r="MK27" s="11" t="b">
        <f t="shared" ca="1" si="398"/>
        <v>0</v>
      </c>
      <c r="ML27" s="92">
        <f t="shared" si="167"/>
        <v>0</v>
      </c>
      <c r="MM27" s="11">
        <f t="shared" ca="1" si="168"/>
        <v>0</v>
      </c>
      <c r="MN27" s="11">
        <f t="shared" ca="1" si="399"/>
        <v>0</v>
      </c>
      <c r="MO27" s="92">
        <f t="shared" si="169"/>
        <v>1</v>
      </c>
      <c r="MP27" s="11">
        <f t="shared" ca="1" si="170"/>
        <v>176.91996036171577</v>
      </c>
      <c r="MQ27" s="11">
        <f t="shared" ca="1" si="171"/>
        <v>176.91996036171577</v>
      </c>
      <c r="MR27" s="11">
        <f t="shared" ca="1" si="400"/>
        <v>88.595931516421459</v>
      </c>
      <c r="MS27" s="11">
        <f t="shared" ca="1" si="172"/>
        <v>111.67597115470569</v>
      </c>
      <c r="MT27" s="11">
        <f t="shared" ca="1" si="173"/>
        <v>-88.32</v>
      </c>
      <c r="MU27" s="11">
        <f t="shared" ca="1" si="174"/>
        <v>0.55837985577352844</v>
      </c>
      <c r="MV27" s="12">
        <f t="shared" ca="1" si="175"/>
        <v>111.67597115470569</v>
      </c>
      <c r="MW27" s="79"/>
      <c r="MX27" s="12">
        <f t="shared" ca="1" si="401"/>
        <v>111.67597115470569</v>
      </c>
      <c r="MY27" s="18">
        <f t="shared" ca="1" si="176"/>
        <v>0.55837985577352844</v>
      </c>
      <c r="NA27" s="13">
        <f t="shared" ca="1" si="177"/>
        <v>111.67597115470569</v>
      </c>
      <c r="NB27" s="13">
        <f ca="1">INDEX(Totals[[#Data],[#Totals],[Car - Note]:[NONTRACKED]],MATCH(NA$1,Totals[Date],0),MATCH($C27,Totals[[#Headers],[Car - Note]:[NONTRACKED]],0))</f>
        <v>0</v>
      </c>
      <c r="NC27" s="13">
        <f t="shared" ca="1" si="402"/>
        <v>111.67597115470569</v>
      </c>
      <c r="ND27" s="13">
        <v>200</v>
      </c>
      <c r="NE27" s="13">
        <v>200</v>
      </c>
      <c r="NF27" s="13" t="b">
        <f t="shared" ca="1" si="403"/>
        <v>0</v>
      </c>
      <c r="NG27" s="94">
        <f t="shared" si="178"/>
        <v>0</v>
      </c>
      <c r="NH27" s="13">
        <f t="shared" ca="1" si="179"/>
        <v>0</v>
      </c>
      <c r="NI27" s="13">
        <f t="shared" ca="1" si="404"/>
        <v>0</v>
      </c>
      <c r="NJ27" s="94">
        <f t="shared" si="180"/>
        <v>1</v>
      </c>
      <c r="NK27" s="13">
        <f t="shared" ca="1" si="181"/>
        <v>88.324028845294308</v>
      </c>
      <c r="NL27" s="13">
        <f t="shared" ca="1" si="182"/>
        <v>88.324028845294308</v>
      </c>
      <c r="NM27" s="13">
        <f t="shared" ca="1" si="405"/>
        <v>88.324028845294308</v>
      </c>
      <c r="NN27" s="13">
        <f t="shared" ca="1" si="183"/>
        <v>200</v>
      </c>
      <c r="NO27" s="13">
        <f t="shared" ca="1" si="184"/>
        <v>0</v>
      </c>
      <c r="NP27" s="13">
        <f t="shared" ca="1" si="185"/>
        <v>1</v>
      </c>
      <c r="NQ27" s="12">
        <f t="shared" ca="1" si="186"/>
        <v>200</v>
      </c>
      <c r="NR27" s="79"/>
      <c r="NS27" s="12">
        <f t="shared" ca="1" si="406"/>
        <v>200</v>
      </c>
      <c r="NT27" s="18">
        <f t="shared" ca="1" si="187"/>
        <v>1</v>
      </c>
      <c r="NV27" s="19">
        <f t="shared" ca="1" si="188"/>
        <v>200</v>
      </c>
      <c r="NW27" s="19">
        <f ca="1">INDEX(Totals[[#Data],[#Totals],[Car - Note]:[NONTRACKED]],MATCH(NV$1,Totals[Date],0),MATCH($C27,Totals[[#Headers],[Car - Note]:[NONTRACKED]],0))</f>
        <v>0</v>
      </c>
      <c r="NX27" s="19">
        <f t="shared" ca="1" si="407"/>
        <v>200</v>
      </c>
      <c r="NY27" s="19">
        <v>200</v>
      </c>
      <c r="NZ27" s="19">
        <v>200</v>
      </c>
      <c r="OA27" s="19" t="b">
        <f t="shared" ca="1" si="408"/>
        <v>1</v>
      </c>
      <c r="OB27" s="100">
        <f t="shared" si="189"/>
        <v>0</v>
      </c>
      <c r="OC27" s="19">
        <f t="shared" ca="1" si="190"/>
        <v>0</v>
      </c>
      <c r="OD27" s="19">
        <f t="shared" ca="1" si="409"/>
        <v>0</v>
      </c>
      <c r="OE27" s="100">
        <f t="shared" si="191"/>
        <v>1</v>
      </c>
      <c r="OF27" s="19">
        <f t="shared" ca="1" si="192"/>
        <v>0</v>
      </c>
      <c r="OG27" s="19">
        <f t="shared" ca="1" si="193"/>
        <v>0</v>
      </c>
      <c r="OH27" s="19">
        <f t="shared" ca="1" si="410"/>
        <v>0</v>
      </c>
      <c r="OI27" s="19">
        <f t="shared" ca="1" si="194"/>
        <v>200</v>
      </c>
      <c r="OJ27" s="19">
        <f t="shared" ca="1" si="195"/>
        <v>0</v>
      </c>
      <c r="OK27" s="19">
        <f t="shared" ca="1" si="196"/>
        <v>1</v>
      </c>
      <c r="OL27" s="12">
        <f t="shared" ca="1" si="197"/>
        <v>200</v>
      </c>
      <c r="OM27" s="79"/>
      <c r="ON27" s="12">
        <f t="shared" ca="1" si="411"/>
        <v>200</v>
      </c>
      <c r="OO27" s="18">
        <f t="shared" ca="1" si="198"/>
        <v>1</v>
      </c>
      <c r="OQ27" s="11">
        <f t="shared" ca="1" si="199"/>
        <v>200</v>
      </c>
      <c r="OR27" s="11">
        <f ca="1">INDEX(Totals[[#Data],[#Totals],[Car - Note]:[NONTRACKED]],MATCH(OQ$1,Totals[Date],0),MATCH($C27,Totals[[#Headers],[Car - Note]:[NONTRACKED]],0))</f>
        <v>-60</v>
      </c>
      <c r="OS27" s="11">
        <f t="shared" ca="1" si="412"/>
        <v>140</v>
      </c>
      <c r="OT27" s="11">
        <v>200</v>
      </c>
      <c r="OU27" s="11">
        <v>200</v>
      </c>
      <c r="OV27" s="11" t="b">
        <f t="shared" ca="1" si="413"/>
        <v>0</v>
      </c>
      <c r="OW27" s="92">
        <f t="shared" si="200"/>
        <v>0</v>
      </c>
      <c r="OX27" s="11">
        <f t="shared" ca="1" si="201"/>
        <v>0</v>
      </c>
      <c r="OY27" s="11">
        <f t="shared" ca="1" si="414"/>
        <v>0</v>
      </c>
      <c r="OZ27" s="92">
        <f t="shared" si="202"/>
        <v>1</v>
      </c>
      <c r="PA27" s="11">
        <f t="shared" ca="1" si="203"/>
        <v>60</v>
      </c>
      <c r="PB27" s="11">
        <f t="shared" ca="1" si="204"/>
        <v>60</v>
      </c>
      <c r="PC27" s="11">
        <f t="shared" ca="1" si="415"/>
        <v>35.637332940276707</v>
      </c>
      <c r="PD27" s="11">
        <f t="shared" ca="1" si="205"/>
        <v>175.63733294027671</v>
      </c>
      <c r="PE27" s="11">
        <f t="shared" ca="1" si="206"/>
        <v>-24.36</v>
      </c>
      <c r="PF27" s="11">
        <f t="shared" ca="1" si="207"/>
        <v>0.87818666470138351</v>
      </c>
      <c r="PG27" s="12">
        <f t="shared" ca="1" si="208"/>
        <v>175.63733294027671</v>
      </c>
      <c r="PH27" s="79"/>
      <c r="PI27" s="12">
        <f t="shared" ca="1" si="416"/>
        <v>175.63733294027671</v>
      </c>
      <c r="PJ27" s="18">
        <f t="shared" ca="1" si="209"/>
        <v>0.87818666470138351</v>
      </c>
      <c r="PL27" s="13">
        <f t="shared" ca="1" si="210"/>
        <v>175.63733294027671</v>
      </c>
      <c r="PM27" s="13">
        <f ca="1">INDEX(Totals[[#Data],[#Totals],[Car - Note]:[NONTRACKED]],MATCH(PL$1,Totals[Date],0),MATCH($C27,Totals[[#Headers],[Car - Note]:[NONTRACKED]],0))</f>
        <v>0</v>
      </c>
      <c r="PN27" s="13">
        <f t="shared" ca="1" si="417"/>
        <v>175.63733294027671</v>
      </c>
      <c r="PO27" s="13">
        <v>200</v>
      </c>
      <c r="PP27" s="13">
        <v>200</v>
      </c>
      <c r="PQ27" s="13" t="b">
        <f t="shared" ca="1" si="418"/>
        <v>0</v>
      </c>
      <c r="PR27" s="94">
        <f t="shared" si="211"/>
        <v>0</v>
      </c>
      <c r="PS27" s="13">
        <f t="shared" ca="1" si="212"/>
        <v>0</v>
      </c>
      <c r="PT27" s="13">
        <f t="shared" ca="1" si="419"/>
        <v>0</v>
      </c>
      <c r="PU27" s="94">
        <f t="shared" si="213"/>
        <v>1</v>
      </c>
      <c r="PV27" s="13">
        <f t="shared" ca="1" si="214"/>
        <v>24.362667059723293</v>
      </c>
      <c r="PW27" s="13">
        <f t="shared" ca="1" si="215"/>
        <v>24.362667059723293</v>
      </c>
      <c r="PX27" s="13">
        <f t="shared" ca="1" si="420"/>
        <v>17.210944754505977</v>
      </c>
      <c r="PY27" s="13">
        <f t="shared" ca="1" si="216"/>
        <v>192.84827769478269</v>
      </c>
      <c r="PZ27" s="13">
        <f t="shared" ca="1" si="217"/>
        <v>-7.15</v>
      </c>
      <c r="QA27" s="13">
        <f t="shared" ca="1" si="218"/>
        <v>0.9642413884739135</v>
      </c>
      <c r="QB27" s="12">
        <f t="shared" ca="1" si="219"/>
        <v>192.84827769478269</v>
      </c>
      <c r="QC27" s="79"/>
      <c r="QD27" s="12">
        <f t="shared" ca="1" si="421"/>
        <v>192.84827769478269</v>
      </c>
      <c r="QE27" s="18">
        <f t="shared" ca="1" si="220"/>
        <v>0.9642413884739135</v>
      </c>
      <c r="QG27" s="19">
        <f t="shared" ca="1" si="221"/>
        <v>192.84827769478269</v>
      </c>
      <c r="QH27" s="19">
        <f ca="1">INDEX(Totals[[#Data],[#Totals],[Car - Note]:[NONTRACKED]],MATCH(QG$1,Totals[Date],0),MATCH($C27,Totals[[#Headers],[Car - Note]:[NONTRACKED]],0))</f>
        <v>-160</v>
      </c>
      <c r="QI27" s="19">
        <f t="shared" ca="1" si="422"/>
        <v>32.848277694782695</v>
      </c>
      <c r="QJ27" s="19">
        <v>200</v>
      </c>
      <c r="QK27" s="19">
        <v>200</v>
      </c>
      <c r="QL27" s="19" t="b">
        <f t="shared" ca="1" si="423"/>
        <v>0</v>
      </c>
      <c r="QM27" s="100">
        <f t="shared" si="222"/>
        <v>0</v>
      </c>
      <c r="QN27" s="19">
        <f t="shared" ca="1" si="223"/>
        <v>0</v>
      </c>
      <c r="QO27" s="19">
        <f t="shared" ca="1" si="424"/>
        <v>0</v>
      </c>
      <c r="QP27" s="100">
        <f t="shared" si="224"/>
        <v>1</v>
      </c>
      <c r="QQ27" s="19">
        <f t="shared" ca="1" si="225"/>
        <v>167.15172230521731</v>
      </c>
      <c r="QR27" s="19">
        <f t="shared" ca="1" si="226"/>
        <v>167.15172230521731</v>
      </c>
      <c r="QS27" s="19">
        <f t="shared" ca="1" si="425"/>
        <v>116.79046089329087</v>
      </c>
      <c r="QT27" s="19">
        <f t="shared" ca="1" si="227"/>
        <v>149.63873858807358</v>
      </c>
      <c r="QU27" s="19">
        <f t="shared" ca="1" si="228"/>
        <v>-50.36</v>
      </c>
      <c r="QV27" s="19">
        <f t="shared" ca="1" si="229"/>
        <v>0.74819369294036786</v>
      </c>
      <c r="QW27" s="12">
        <f t="shared" ca="1" si="230"/>
        <v>149.63873858807358</v>
      </c>
      <c r="QX27" s="79"/>
      <c r="QY27" s="12">
        <f t="shared" ca="1" si="426"/>
        <v>149.63873858807358</v>
      </c>
      <c r="QZ27" s="18">
        <f t="shared" ca="1" si="231"/>
        <v>0.74819369294036786</v>
      </c>
      <c r="RB27" s="11">
        <f t="shared" ca="1" si="232"/>
        <v>149.63873858807358</v>
      </c>
      <c r="RC27" s="11">
        <f ca="1">INDEX(Totals[[#Data],[#Totals],[Car - Note]:[NONTRACKED]],MATCH(RB$1,Totals[Date],0),MATCH($C27,Totals[[#Headers],[Car - Note]:[NONTRACKED]],0))</f>
        <v>0</v>
      </c>
      <c r="RD27" s="11">
        <f t="shared" ca="1" si="427"/>
        <v>149.63873858807358</v>
      </c>
      <c r="RE27" s="11">
        <v>200</v>
      </c>
      <c r="RF27" s="11">
        <v>200</v>
      </c>
      <c r="RG27" s="11" t="b">
        <f t="shared" ca="1" si="428"/>
        <v>0</v>
      </c>
      <c r="RH27" s="92">
        <f t="shared" si="233"/>
        <v>0</v>
      </c>
      <c r="RI27" s="11">
        <f t="shared" ca="1" si="234"/>
        <v>0</v>
      </c>
      <c r="RJ27" s="11">
        <f t="shared" ca="1" si="429"/>
        <v>0</v>
      </c>
      <c r="RK27" s="92">
        <f t="shared" si="235"/>
        <v>1</v>
      </c>
      <c r="RL27" s="11">
        <f t="shared" ca="1" si="236"/>
        <v>50.361261411926421</v>
      </c>
      <c r="RM27" s="11">
        <f t="shared" ca="1" si="237"/>
        <v>50.361261411926421</v>
      </c>
      <c r="RN27" s="11">
        <f t="shared" ca="1" si="430"/>
        <v>29.60517860629372</v>
      </c>
      <c r="RO27" s="11">
        <f t="shared" ca="1" si="238"/>
        <v>179.2439171943673</v>
      </c>
      <c r="RP27" s="11">
        <f t="shared" ca="1" si="239"/>
        <v>-20.76</v>
      </c>
      <c r="RQ27" s="11">
        <f t="shared" ca="1" si="240"/>
        <v>0.89621958597183649</v>
      </c>
      <c r="RR27" s="12">
        <f t="shared" ca="1" si="241"/>
        <v>179.2439171943673</v>
      </c>
      <c r="RS27" s="79"/>
      <c r="RT27" s="12">
        <f t="shared" ca="1" si="431"/>
        <v>179.2439171943673</v>
      </c>
      <c r="RU27" s="18">
        <f t="shared" ca="1" si="242"/>
        <v>0.89621958597183649</v>
      </c>
      <c r="RW27" s="13">
        <f t="shared" ca="1" si="243"/>
        <v>179.2439171943673</v>
      </c>
      <c r="RX27" s="13">
        <f ca="1">INDEX(Totals[[#Data],[#Totals],[Car - Note]:[NONTRACKED]],MATCH(RW$1,Totals[Date],0),MATCH($C27,Totals[[#Headers],[Car - Note]:[NONTRACKED]],0))</f>
        <v>0</v>
      </c>
      <c r="RY27" s="13">
        <f t="shared" ca="1" si="432"/>
        <v>179.2439171943673</v>
      </c>
      <c r="RZ27" s="13">
        <v>200</v>
      </c>
      <c r="SA27" s="13">
        <v>200</v>
      </c>
      <c r="SB27" s="13" t="b">
        <f t="shared" ca="1" si="433"/>
        <v>0</v>
      </c>
      <c r="SC27" s="94">
        <f t="shared" si="244"/>
        <v>0</v>
      </c>
      <c r="SD27" s="13">
        <f t="shared" ca="1" si="245"/>
        <v>0</v>
      </c>
      <c r="SE27" s="13">
        <f t="shared" ca="1" si="434"/>
        <v>0</v>
      </c>
      <c r="SF27" s="94">
        <f t="shared" si="246"/>
        <v>1</v>
      </c>
      <c r="SG27" s="13">
        <f t="shared" ca="1" si="247"/>
        <v>20.756082805632701</v>
      </c>
      <c r="SH27" s="13">
        <f t="shared" ca="1" si="248"/>
        <v>20.756082805632701</v>
      </c>
      <c r="SI27" s="13">
        <f t="shared" ca="1" si="435"/>
        <v>18.215755803717229</v>
      </c>
      <c r="SJ27" s="13">
        <f t="shared" ca="1" si="249"/>
        <v>197.45967299808453</v>
      </c>
      <c r="SK27" s="13">
        <f t="shared" ca="1" si="250"/>
        <v>-2.54</v>
      </c>
      <c r="SL27" s="13">
        <f t="shared" ca="1" si="251"/>
        <v>0.98729836499042267</v>
      </c>
      <c r="SM27" s="12">
        <f t="shared" ca="1" si="252"/>
        <v>197.45967299808453</v>
      </c>
      <c r="SN27" s="79"/>
      <c r="SO27" s="12">
        <f t="shared" ca="1" si="436"/>
        <v>197.45967299808453</v>
      </c>
      <c r="SP27" s="18">
        <f t="shared" ca="1" si="253"/>
        <v>0.98729836499042267</v>
      </c>
      <c r="SR27" s="19">
        <f t="shared" ca="1" si="254"/>
        <v>197.45967299808453</v>
      </c>
      <c r="SS27" s="19">
        <f ca="1">INDEX(Totals[[#Data],[#Totals],[Car - Note]:[NONTRACKED]],MATCH(SR$1,Totals[Date],0),MATCH($C27,Totals[[#Headers],[Car - Note]:[NONTRACKED]],0))</f>
        <v>-82.75</v>
      </c>
      <c r="ST27" s="19">
        <f t="shared" ca="1" si="437"/>
        <v>114.70967299808453</v>
      </c>
      <c r="SU27" s="19">
        <v>200</v>
      </c>
      <c r="SV27" s="19">
        <v>200</v>
      </c>
      <c r="SW27" s="19" t="b">
        <f t="shared" ca="1" si="438"/>
        <v>0</v>
      </c>
      <c r="SX27" s="100">
        <f t="shared" si="255"/>
        <v>0</v>
      </c>
      <c r="SY27" s="19">
        <f t="shared" ca="1" si="256"/>
        <v>0</v>
      </c>
      <c r="SZ27" s="19">
        <f t="shared" ca="1" si="439"/>
        <v>0</v>
      </c>
      <c r="TA27" s="100">
        <f t="shared" si="257"/>
        <v>1</v>
      </c>
      <c r="TB27" s="19">
        <f t="shared" ca="1" si="258"/>
        <v>85.290327001915472</v>
      </c>
      <c r="TC27" s="19">
        <f t="shared" ca="1" si="259"/>
        <v>85.290327001915472</v>
      </c>
      <c r="TD27" s="19">
        <f t="shared" ca="1" si="440"/>
        <v>61.972314696893285</v>
      </c>
      <c r="TE27" s="19">
        <f t="shared" ca="1" si="260"/>
        <v>176.68198769497781</v>
      </c>
      <c r="TF27" s="19">
        <f t="shared" ca="1" si="261"/>
        <v>-23.32</v>
      </c>
      <c r="TG27" s="19">
        <f t="shared" ca="1" si="262"/>
        <v>0.88340993847488902</v>
      </c>
      <c r="TH27" s="12">
        <f t="shared" ca="1" si="263"/>
        <v>176.68198769497781</v>
      </c>
      <c r="TI27" s="79"/>
      <c r="TJ27" s="12">
        <f t="shared" ca="1" si="441"/>
        <v>176.68198769497781</v>
      </c>
      <c r="TK27" s="18">
        <f t="shared" ca="1" si="264"/>
        <v>0.88340993847488902</v>
      </c>
      <c r="TM27" s="11">
        <f t="shared" ca="1" si="265"/>
        <v>176.68198769497781</v>
      </c>
      <c r="TN27" s="11">
        <f ca="1">INDEX(Totals[[#Data],[#Totals],[Car - Note]:[NONTRACKED]],MATCH(TM$1,Totals[Date],0),MATCH($C27,Totals[[#Headers],[Car - Note]:[NONTRACKED]],0))</f>
        <v>0</v>
      </c>
      <c r="TO27" s="11">
        <f t="shared" ca="1" si="442"/>
        <v>176.68198769497781</v>
      </c>
      <c r="TP27" s="11">
        <v>200</v>
      </c>
      <c r="TQ27" s="11">
        <v>200</v>
      </c>
      <c r="TR27" s="11" t="b">
        <f t="shared" ca="1" si="443"/>
        <v>0</v>
      </c>
      <c r="TS27" s="92">
        <f t="shared" si="266"/>
        <v>0</v>
      </c>
      <c r="TT27" s="11">
        <f t="shared" ca="1" si="267"/>
        <v>0</v>
      </c>
      <c r="TU27" s="11">
        <f t="shared" ca="1" si="444"/>
        <v>0</v>
      </c>
      <c r="TV27" s="92">
        <f t="shared" si="268"/>
        <v>1</v>
      </c>
      <c r="TW27" s="11">
        <f t="shared" ca="1" si="269"/>
        <v>23.318012305022194</v>
      </c>
      <c r="TX27" s="11">
        <f t="shared" ca="1" si="270"/>
        <v>23.318012305022194</v>
      </c>
      <c r="TY27" s="11">
        <f t="shared" ca="1" si="445"/>
        <v>14.842096518823659</v>
      </c>
      <c r="TZ27" s="11">
        <f t="shared" ca="1" si="271"/>
        <v>191.52408421380147</v>
      </c>
      <c r="UA27" s="11">
        <f t="shared" ca="1" si="272"/>
        <v>-8.48</v>
      </c>
      <c r="UB27" s="11">
        <f t="shared" ca="1" si="273"/>
        <v>0.95762042106900735</v>
      </c>
      <c r="UC27" s="12">
        <f t="shared" ca="1" si="274"/>
        <v>191.52408421380147</v>
      </c>
      <c r="UD27" s="79"/>
      <c r="UE27" s="12">
        <f t="shared" ca="1" si="446"/>
        <v>191.52408421380147</v>
      </c>
      <c r="UF27" s="18">
        <f t="shared" ca="1" si="275"/>
        <v>0.95762042106900735</v>
      </c>
      <c r="UH27" s="13">
        <f t="shared" ca="1" si="276"/>
        <v>191.52408421380147</v>
      </c>
      <c r="UI27" s="13">
        <f ca="1">INDEX(Totals[[#Data],[#Totals],[Car - Note]:[NONTRACKED]],MATCH(UH$1,Totals[Date],0),MATCH($C27,Totals[[#Headers],[Car - Note]:[NONTRACKED]],0))</f>
        <v>-100</v>
      </c>
      <c r="UJ27" s="13">
        <f t="shared" ca="1" si="447"/>
        <v>91.524084213801473</v>
      </c>
      <c r="UK27" s="13">
        <v>200</v>
      </c>
      <c r="UL27" s="13">
        <v>200</v>
      </c>
      <c r="UM27" s="13" t="b">
        <f t="shared" ca="1" si="448"/>
        <v>0</v>
      </c>
      <c r="UN27" s="94">
        <f t="shared" si="277"/>
        <v>0</v>
      </c>
      <c r="UO27" s="13">
        <f t="shared" ca="1" si="278"/>
        <v>0</v>
      </c>
      <c r="UP27" s="13">
        <f t="shared" ca="1" si="449"/>
        <v>0</v>
      </c>
      <c r="UQ27" s="94">
        <f t="shared" si="279"/>
        <v>1</v>
      </c>
      <c r="UR27" s="13">
        <f t="shared" ca="1" si="280"/>
        <v>108.47591578619853</v>
      </c>
      <c r="US27" s="13">
        <f t="shared" ca="1" si="281"/>
        <v>108.47591578619853</v>
      </c>
      <c r="UT27" s="13">
        <f t="shared" ca="1" si="450"/>
        <v>108.47591578619853</v>
      </c>
      <c r="UU27" s="13">
        <f t="shared" ca="1" si="282"/>
        <v>200</v>
      </c>
      <c r="UV27" s="13">
        <f t="shared" ca="1" si="283"/>
        <v>0</v>
      </c>
      <c r="UW27" s="13">
        <f t="shared" ca="1" si="284"/>
        <v>1</v>
      </c>
      <c r="UX27" s="12">
        <f t="shared" ca="1" si="285"/>
        <v>200</v>
      </c>
      <c r="UY27" s="79"/>
      <c r="UZ27" s="12">
        <f t="shared" ca="1" si="451"/>
        <v>200</v>
      </c>
      <c r="VA27" s="18">
        <f t="shared" ca="1" si="286"/>
        <v>1</v>
      </c>
      <c r="VC27" s="19">
        <f t="shared" ca="1" si="287"/>
        <v>200</v>
      </c>
      <c r="VD27" s="19">
        <f ca="1">INDEX(Totals[[#Data],[#Totals],[Car - Note]:[NONTRACKED]],MATCH(VC$1,Totals[Date],0),MATCH($C27,Totals[[#Headers],[Car - Note]:[NONTRACKED]],0))</f>
        <v>0</v>
      </c>
      <c r="VE27" s="19">
        <f t="shared" ca="1" si="452"/>
        <v>200</v>
      </c>
      <c r="VF27" s="19">
        <v>200</v>
      </c>
      <c r="VG27" s="19">
        <v>200</v>
      </c>
      <c r="VH27" s="19" t="b">
        <f t="shared" ca="1" si="453"/>
        <v>1</v>
      </c>
      <c r="VI27" s="100">
        <f t="shared" si="288"/>
        <v>0</v>
      </c>
      <c r="VJ27" s="19">
        <f t="shared" ca="1" si="289"/>
        <v>0</v>
      </c>
      <c r="VK27" s="19">
        <f t="shared" ca="1" si="454"/>
        <v>0</v>
      </c>
      <c r="VL27" s="100">
        <f t="shared" si="290"/>
        <v>1</v>
      </c>
      <c r="VM27" s="19">
        <f t="shared" ca="1" si="291"/>
        <v>0</v>
      </c>
      <c r="VN27" s="19">
        <f t="shared" ca="1" si="292"/>
        <v>0</v>
      </c>
      <c r="VO27" s="19">
        <f t="shared" ca="1" si="455"/>
        <v>0</v>
      </c>
      <c r="VP27" s="19">
        <f t="shared" ca="1" si="293"/>
        <v>200</v>
      </c>
      <c r="VQ27" s="19">
        <f t="shared" ca="1" si="294"/>
        <v>0</v>
      </c>
      <c r="VR27" s="19">
        <f t="shared" ca="1" si="295"/>
        <v>1</v>
      </c>
      <c r="VS27" s="12">
        <f t="shared" ca="1" si="296"/>
        <v>200</v>
      </c>
      <c r="VT27" s="79"/>
      <c r="VU27" s="12">
        <f t="shared" ca="1" si="456"/>
        <v>200</v>
      </c>
      <c r="VV27" s="18">
        <f t="shared" ca="1" si="297"/>
        <v>1</v>
      </c>
      <c r="VX27" s="11">
        <f t="shared" ca="1" si="298"/>
        <v>200</v>
      </c>
      <c r="VY27" s="11">
        <f ca="1">INDEX(Totals[[#Data],[#Totals],[Car - Note]:[NONTRACKED]],MATCH(VX$1,Totals[Date],0),MATCH($C27,Totals[[#Headers],[Car - Note]:[NONTRACKED]],0))</f>
        <v>0</v>
      </c>
      <c r="VZ27" s="11">
        <f t="shared" ca="1" si="457"/>
        <v>200</v>
      </c>
      <c r="WA27" s="11">
        <v>200</v>
      </c>
      <c r="WB27" s="11">
        <v>200</v>
      </c>
      <c r="WC27" s="11" t="b">
        <f t="shared" ca="1" si="458"/>
        <v>1</v>
      </c>
      <c r="WD27" s="92">
        <f t="shared" si="299"/>
        <v>0</v>
      </c>
      <c r="WE27" s="11">
        <f t="shared" ca="1" si="300"/>
        <v>0</v>
      </c>
      <c r="WF27" s="11">
        <f t="shared" ca="1" si="459"/>
        <v>0</v>
      </c>
      <c r="WG27" s="92">
        <f t="shared" si="301"/>
        <v>1</v>
      </c>
      <c r="WH27" s="11">
        <f t="shared" ca="1" si="302"/>
        <v>0</v>
      </c>
      <c r="WI27" s="11">
        <f t="shared" ca="1" si="303"/>
        <v>0</v>
      </c>
      <c r="WJ27" s="11">
        <f t="shared" ca="1" si="460"/>
        <v>0</v>
      </c>
      <c r="WK27" s="11">
        <f t="shared" ca="1" si="304"/>
        <v>200</v>
      </c>
      <c r="WL27" s="11">
        <f t="shared" ca="1" si="305"/>
        <v>0</v>
      </c>
      <c r="WM27" s="11">
        <f t="shared" ca="1" si="306"/>
        <v>1</v>
      </c>
      <c r="WN27" s="12">
        <f t="shared" ca="1" si="307"/>
        <v>200</v>
      </c>
      <c r="WO27" s="79"/>
      <c r="WP27" s="12">
        <f t="shared" ca="1" si="461"/>
        <v>200</v>
      </c>
      <c r="WQ27" s="18">
        <f t="shared" ca="1" si="308"/>
        <v>1</v>
      </c>
      <c r="WS27" s="13">
        <f t="shared" ca="1" si="309"/>
        <v>200</v>
      </c>
      <c r="WT27" s="13">
        <f ca="1">INDEX(Totals[[#Data],[#Totals],[Car - Note]:[NONTRACKED]],MATCH(WS$1,Totals[Date],0),MATCH($C27,Totals[[#Headers],[Car - Note]:[NONTRACKED]],0))</f>
        <v>0</v>
      </c>
      <c r="WU27" s="13">
        <f t="shared" ca="1" si="462"/>
        <v>200</v>
      </c>
      <c r="WV27" s="13">
        <v>200</v>
      </c>
      <c r="WW27" s="13">
        <v>200</v>
      </c>
      <c r="WX27" s="13" t="b">
        <f t="shared" ca="1" si="463"/>
        <v>1</v>
      </c>
      <c r="WY27" s="94">
        <f t="shared" si="310"/>
        <v>0</v>
      </c>
      <c r="WZ27" s="13">
        <f t="shared" ca="1" si="311"/>
        <v>0</v>
      </c>
      <c r="XA27" s="13">
        <f t="shared" ca="1" si="464"/>
        <v>0</v>
      </c>
      <c r="XB27" s="94">
        <f t="shared" si="312"/>
        <v>1</v>
      </c>
      <c r="XC27" s="13">
        <f t="shared" ca="1" si="313"/>
        <v>0</v>
      </c>
      <c r="XD27" s="13">
        <f t="shared" ca="1" si="314"/>
        <v>0</v>
      </c>
      <c r="XE27" s="13">
        <f t="shared" ca="1" si="465"/>
        <v>0</v>
      </c>
      <c r="XF27" s="13">
        <f t="shared" ca="1" si="315"/>
        <v>200</v>
      </c>
      <c r="XG27" s="13">
        <f t="shared" ca="1" si="316"/>
        <v>0</v>
      </c>
      <c r="XH27" s="13">
        <f t="shared" ca="1" si="317"/>
        <v>1</v>
      </c>
      <c r="XI27" s="12">
        <f t="shared" ca="1" si="318"/>
        <v>200</v>
      </c>
      <c r="XJ27" s="104">
        <f ca="1">WW27-XI27</f>
        <v>0</v>
      </c>
      <c r="XK27" s="12">
        <f t="shared" ca="1" si="466"/>
        <v>200</v>
      </c>
      <c r="XL27" s="18">
        <f t="shared" ca="1" si="320"/>
        <v>1</v>
      </c>
      <c r="XN27">
        <v>0.4</v>
      </c>
      <c r="XO27" s="103">
        <f t="shared" ca="1" si="467"/>
        <v>80</v>
      </c>
      <c r="XP27" s="12">
        <f t="shared" ca="1" si="468"/>
        <v>120</v>
      </c>
      <c r="XQ27" s="102">
        <f t="shared" ca="1" si="469"/>
        <v>0.6</v>
      </c>
    </row>
    <row r="28" spans="1:641" x14ac:dyDescent="0.25">
      <c r="A28" s="112"/>
      <c r="B28" t="s">
        <v>57</v>
      </c>
      <c r="C28" t="s">
        <v>147</v>
      </c>
      <c r="D28" s="79">
        <v>-50</v>
      </c>
      <c r="H28" s="48">
        <v>40</v>
      </c>
      <c r="I28" s="48"/>
      <c r="J28" s="48"/>
      <c r="K28" s="48">
        <v>150</v>
      </c>
      <c r="L28" s="95">
        <v>100</v>
      </c>
      <c r="M28" s="48"/>
      <c r="N28" s="96"/>
      <c r="O28" s="48"/>
      <c r="P28" s="48"/>
      <c r="Q28" s="96"/>
      <c r="R28" s="48"/>
      <c r="S28" s="48"/>
      <c r="T28" s="48"/>
      <c r="U28" s="48"/>
      <c r="V28" s="48"/>
      <c r="W28" s="48"/>
      <c r="X28" s="48"/>
      <c r="Y28" s="48"/>
      <c r="Z28" s="48">
        <f t="shared" si="321"/>
        <v>40</v>
      </c>
      <c r="AA28" s="98">
        <f t="shared" si="0"/>
        <v>0.4</v>
      </c>
      <c r="AC28" s="11">
        <f t="shared" si="1"/>
        <v>40</v>
      </c>
      <c r="AD28" s="11">
        <f ca="1">INDEX(Totals[[#Data],[#Totals],[Car - Note]:[NONTRACKED]],MATCH(AC$1,Totals[Date],0),MATCH($C28,Totals[[#Headers],[Car - Note]:[NONTRACKED]],0))</f>
        <v>-35.549999999999997</v>
      </c>
      <c r="AE28" s="11">
        <f t="shared" ca="1" si="322"/>
        <v>4.4500000000000028</v>
      </c>
      <c r="AF28" s="11">
        <v>150</v>
      </c>
      <c r="AG28" s="11">
        <v>60</v>
      </c>
      <c r="AH28" s="11" t="b">
        <f t="shared" ca="1" si="323"/>
        <v>0</v>
      </c>
      <c r="AI28" s="92">
        <f t="shared" si="2"/>
        <v>0</v>
      </c>
      <c r="AJ28" s="11">
        <f t="shared" ca="1" si="3"/>
        <v>0</v>
      </c>
      <c r="AK28" s="11">
        <f t="shared" ca="1" si="324"/>
        <v>0</v>
      </c>
      <c r="AL28" s="92">
        <f t="shared" si="4"/>
        <v>1</v>
      </c>
      <c r="AM28" s="11">
        <f t="shared" ca="1" si="5"/>
        <v>55.55</v>
      </c>
      <c r="AN28" s="11">
        <f t="shared" ca="1" si="6"/>
        <v>55.55</v>
      </c>
      <c r="AO28" s="11">
        <f t="shared" ca="1" si="325"/>
        <v>44.716071026230978</v>
      </c>
      <c r="AP28" s="11">
        <f t="shared" ca="1" si="7"/>
        <v>49.166071026230981</v>
      </c>
      <c r="AQ28" s="11">
        <f t="shared" ca="1" si="8"/>
        <v>-10.83</v>
      </c>
      <c r="AR28" s="11">
        <f t="shared" ca="1" si="9"/>
        <v>0.81943451710384962</v>
      </c>
      <c r="AS28" s="12">
        <f t="shared" ca="1" si="10"/>
        <v>49.166071026230981</v>
      </c>
      <c r="AT28" s="12"/>
      <c r="AU28" s="12">
        <f t="shared" ca="1" si="326"/>
        <v>49.166071026230981</v>
      </c>
      <c r="AV28" s="18">
        <f t="shared" ca="1" si="11"/>
        <v>0.81943451710384962</v>
      </c>
      <c r="AX28" s="13">
        <f t="shared" ca="1" si="12"/>
        <v>49.166071026230981</v>
      </c>
      <c r="AY28" s="13">
        <f ca="1">INDEX(Totals[[#Data],[#Totals],[Car - Note]:[NONTRACKED]],MATCH(AX$1,Totals[Date],0),MATCH($C28,Totals[[#Headers],[Car - Note]:[NONTRACKED]],0))</f>
        <v>-20</v>
      </c>
      <c r="AZ28" s="13">
        <f t="shared" ca="1" si="327"/>
        <v>29.166071026230981</v>
      </c>
      <c r="BA28" s="13">
        <v>150</v>
      </c>
      <c r="BB28" s="13">
        <v>80</v>
      </c>
      <c r="BC28" s="13" t="b">
        <f t="shared" ca="1" si="328"/>
        <v>0</v>
      </c>
      <c r="BD28" s="94">
        <f t="shared" si="13"/>
        <v>0</v>
      </c>
      <c r="BE28" s="13">
        <f t="shared" ca="1" si="14"/>
        <v>0</v>
      </c>
      <c r="BF28" s="13">
        <f t="shared" ca="1" si="329"/>
        <v>0</v>
      </c>
      <c r="BG28" s="94">
        <f t="shared" si="15"/>
        <v>1</v>
      </c>
      <c r="BH28" s="13">
        <f t="shared" ca="1" si="16"/>
        <v>50.833928973769019</v>
      </c>
      <c r="BI28" s="13">
        <f t="shared" ca="1" si="17"/>
        <v>50.833928973769019</v>
      </c>
      <c r="BJ28" s="13">
        <f t="shared" ca="1" si="330"/>
        <v>24.257585226368608</v>
      </c>
      <c r="BK28" s="13">
        <f t="shared" ca="1" si="18"/>
        <v>53.423656252599585</v>
      </c>
      <c r="BL28" s="13">
        <f t="shared" ca="1" si="19"/>
        <v>-26.58</v>
      </c>
      <c r="BM28" s="13">
        <f t="shared" ca="1" si="20"/>
        <v>0.66779570315749481</v>
      </c>
      <c r="BN28" s="12">
        <f t="shared" ca="1" si="21"/>
        <v>53.423656252599585</v>
      </c>
      <c r="BO28" s="12"/>
      <c r="BP28" s="12">
        <f t="shared" ca="1" si="331"/>
        <v>53.423656252599585</v>
      </c>
      <c r="BQ28" s="18">
        <f t="shared" ca="1" si="22"/>
        <v>0.66779570315749481</v>
      </c>
      <c r="BS28" s="19">
        <f t="shared" ca="1" si="23"/>
        <v>53.423656252599585</v>
      </c>
      <c r="BT28" s="19">
        <f ca="1">INDEX(Totals[[#Data],[#Totals],[Car - Note]:[NONTRACKED]],MATCH(BS$1,Totals[Date],0),MATCH($C28,Totals[[#Headers],[Car - Note]:[NONTRACKED]],0))</f>
        <v>-7.7531780821917815</v>
      </c>
      <c r="BU28" s="19">
        <f t="shared" ca="1" si="332"/>
        <v>45.670478170407804</v>
      </c>
      <c r="BV28" s="19">
        <v>150</v>
      </c>
      <c r="BW28" s="19">
        <v>150</v>
      </c>
      <c r="BX28" s="19" t="b">
        <f t="shared" ca="1" si="333"/>
        <v>0</v>
      </c>
      <c r="BY28" s="100">
        <f t="shared" si="24"/>
        <v>0</v>
      </c>
      <c r="BZ28" s="19">
        <f t="shared" ca="1" si="25"/>
        <v>0</v>
      </c>
      <c r="CA28" s="19">
        <f t="shared" ca="1" si="334"/>
        <v>0</v>
      </c>
      <c r="CB28" s="100">
        <f t="shared" si="26"/>
        <v>1</v>
      </c>
      <c r="CC28" s="19">
        <f t="shared" ca="1" si="27"/>
        <v>104.3295218295922</v>
      </c>
      <c r="CD28" s="19">
        <f t="shared" ca="1" si="28"/>
        <v>104.3295218295922</v>
      </c>
      <c r="CE28" s="19">
        <f t="shared" ca="1" si="335"/>
        <v>104.3295218295922</v>
      </c>
      <c r="CF28" s="19">
        <f t="shared" ca="1" si="29"/>
        <v>150</v>
      </c>
      <c r="CG28" s="19">
        <f t="shared" ca="1" si="30"/>
        <v>0</v>
      </c>
      <c r="CH28" s="19">
        <f t="shared" ca="1" si="31"/>
        <v>1</v>
      </c>
      <c r="CI28" s="12">
        <f t="shared" ca="1" si="32"/>
        <v>150</v>
      </c>
      <c r="CJ28" s="10">
        <f ca="1">BW28-CI28</f>
        <v>0</v>
      </c>
      <c r="CK28" s="12">
        <f t="shared" ca="1" si="336"/>
        <v>150</v>
      </c>
      <c r="CL28" s="18">
        <f t="shared" ca="1" si="33"/>
        <v>1</v>
      </c>
      <c r="CN28" s="11">
        <f t="shared" ca="1" si="34"/>
        <v>150</v>
      </c>
      <c r="CO28" s="11">
        <f ca="1">INDEX(Totals[[#Data],[#Totals],[Car - Note]:[NONTRACKED]],MATCH(CN$1,Totals[Date],0),MATCH($C28,Totals[[#Headers],[Car - Note]:[NONTRACKED]],0))</f>
        <v>-8.8084931506849315</v>
      </c>
      <c r="CP28" s="11">
        <f t="shared" ca="1" si="337"/>
        <v>141.19150684931506</v>
      </c>
      <c r="CQ28" s="11">
        <v>150</v>
      </c>
      <c r="CR28" s="11">
        <v>200</v>
      </c>
      <c r="CS28" s="11" t="b">
        <f t="shared" ca="1" si="338"/>
        <v>0</v>
      </c>
      <c r="CT28" s="92">
        <f t="shared" si="35"/>
        <v>0</v>
      </c>
      <c r="CU28" s="11">
        <f t="shared" ca="1" si="36"/>
        <v>0</v>
      </c>
      <c r="CV28" s="11">
        <f t="shared" ca="1" si="339"/>
        <v>0</v>
      </c>
      <c r="CW28" s="92">
        <f t="shared" si="37"/>
        <v>1</v>
      </c>
      <c r="CX28" s="11">
        <f t="shared" ca="1" si="38"/>
        <v>58.808493150684939</v>
      </c>
      <c r="CY28" s="11">
        <f t="shared" ca="1" si="39"/>
        <v>58.808493150684939</v>
      </c>
      <c r="CZ28" s="11">
        <f t="shared" ca="1" si="340"/>
        <v>58.808493150684939</v>
      </c>
      <c r="DA28" s="11">
        <f t="shared" ca="1" si="40"/>
        <v>200</v>
      </c>
      <c r="DB28" s="11">
        <f t="shared" ca="1" si="41"/>
        <v>0</v>
      </c>
      <c r="DC28" s="11">
        <f t="shared" ca="1" si="42"/>
        <v>1</v>
      </c>
      <c r="DD28" s="12">
        <f t="shared" ca="1" si="43"/>
        <v>200</v>
      </c>
      <c r="DE28" s="79"/>
      <c r="DF28" s="12">
        <f t="shared" ca="1" si="341"/>
        <v>200</v>
      </c>
      <c r="DG28" s="18">
        <f t="shared" ca="1" si="44"/>
        <v>1</v>
      </c>
      <c r="DI28" s="13">
        <f t="shared" ca="1" si="45"/>
        <v>200</v>
      </c>
      <c r="DJ28" s="13">
        <f ca="1">INDEX(Totals[[#Data],[#Totals],[Car - Note]:[NONTRACKED]],MATCH(DI$1,Totals[Date],0),MATCH($C28,Totals[[#Headers],[Car - Note]:[NONTRACKED]],0))</f>
        <v>-9.102109589041099</v>
      </c>
      <c r="DK28" s="13">
        <f t="shared" ca="1" si="342"/>
        <v>190.89789041095889</v>
      </c>
      <c r="DL28" s="13">
        <v>150</v>
      </c>
      <c r="DM28" s="13">
        <v>200</v>
      </c>
      <c r="DN28" s="13" t="b">
        <f t="shared" ca="1" si="343"/>
        <v>0</v>
      </c>
      <c r="DO28" s="94">
        <f t="shared" si="46"/>
        <v>0</v>
      </c>
      <c r="DP28" s="13">
        <f t="shared" ca="1" si="47"/>
        <v>0</v>
      </c>
      <c r="DQ28" s="13">
        <f t="shared" ca="1" si="344"/>
        <v>0</v>
      </c>
      <c r="DR28" s="94">
        <f t="shared" si="48"/>
        <v>1</v>
      </c>
      <c r="DS28" s="13">
        <f t="shared" ca="1" si="49"/>
        <v>9.1021095890411061</v>
      </c>
      <c r="DT28" s="13">
        <f t="shared" ca="1" si="50"/>
        <v>9.1021095890411061</v>
      </c>
      <c r="DU28" s="13">
        <f t="shared" ca="1" si="345"/>
        <v>3.8867189265823301</v>
      </c>
      <c r="DV28" s="13">
        <f t="shared" ca="1" si="51"/>
        <v>194.78460933754121</v>
      </c>
      <c r="DW28" s="13">
        <f t="shared" ca="1" si="52"/>
        <v>-5.22</v>
      </c>
      <c r="DX28" s="13">
        <f t="shared" ca="1" si="53"/>
        <v>0.97392304668770602</v>
      </c>
      <c r="DY28" s="12">
        <f t="shared" ca="1" si="54"/>
        <v>194.78460933754121</v>
      </c>
      <c r="DZ28" s="79"/>
      <c r="EA28" s="12">
        <f t="shared" ca="1" si="346"/>
        <v>194.78460933754121</v>
      </c>
      <c r="EB28" s="18">
        <f t="shared" ca="1" si="55"/>
        <v>0.97392304668770602</v>
      </c>
      <c r="ED28" s="19">
        <f t="shared" ca="1" si="56"/>
        <v>194.78460933754121</v>
      </c>
      <c r="EE28" s="19">
        <f ca="1">INDEX(Totals[[#Data],[#Totals],[Car - Note]:[NONTRACKED]],MATCH(ED$1,Totals[Date],0),MATCH($C28,Totals[[#Headers],[Car - Note]:[NONTRACKED]],0))</f>
        <v>-33.808493150684932</v>
      </c>
      <c r="EF28" s="19">
        <f t="shared" ca="1" si="347"/>
        <v>160.97611618685627</v>
      </c>
      <c r="EG28" s="19">
        <v>150</v>
      </c>
      <c r="EH28" s="19">
        <v>200</v>
      </c>
      <c r="EI28" s="19" t="b">
        <f t="shared" ca="1" si="348"/>
        <v>0</v>
      </c>
      <c r="EJ28" s="100">
        <f t="shared" si="57"/>
        <v>0</v>
      </c>
      <c r="EK28" s="19">
        <f t="shared" ca="1" si="58"/>
        <v>0</v>
      </c>
      <c r="EL28" s="19">
        <f t="shared" ca="1" si="349"/>
        <v>0</v>
      </c>
      <c r="EM28" s="100">
        <f t="shared" si="59"/>
        <v>1</v>
      </c>
      <c r="EN28" s="19">
        <f t="shared" ca="1" si="60"/>
        <v>39.023883813143726</v>
      </c>
      <c r="EO28" s="19">
        <f t="shared" ca="1" si="61"/>
        <v>39.023883813143726</v>
      </c>
      <c r="EP28" s="19">
        <f t="shared" ca="1" si="350"/>
        <v>28.444792282358634</v>
      </c>
      <c r="EQ28" s="19">
        <f t="shared" ca="1" si="62"/>
        <v>189.42090846921491</v>
      </c>
      <c r="ER28" s="19">
        <f t="shared" ca="1" si="63"/>
        <v>-10.58</v>
      </c>
      <c r="ES28" s="19">
        <f t="shared" ca="1" si="64"/>
        <v>0.94710454234607455</v>
      </c>
      <c r="ET28" s="12">
        <f t="shared" ca="1" si="65"/>
        <v>189.42090846921491</v>
      </c>
      <c r="EU28" s="79"/>
      <c r="EV28" s="12">
        <f t="shared" ca="1" si="351"/>
        <v>189.42090846921491</v>
      </c>
      <c r="EW28" s="18">
        <f t="shared" ca="1" si="66"/>
        <v>0.94710454234607455</v>
      </c>
      <c r="EY28" s="11">
        <f t="shared" ca="1" si="67"/>
        <v>189.42090846921491</v>
      </c>
      <c r="EZ28" s="11">
        <f ca="1">INDEX(Totals[[#Data],[#Totals],[Car - Note]:[NONTRACKED]],MATCH(EY$1,Totals[Date],0),MATCH($C28,Totals[[#Headers],[Car - Note]:[NONTRACKED]],0))</f>
        <v>-40.792109589041104</v>
      </c>
      <c r="FA28" s="11">
        <f t="shared" ca="1" si="352"/>
        <v>148.6287988801738</v>
      </c>
      <c r="FB28" s="11">
        <v>150</v>
      </c>
      <c r="FC28" s="11">
        <v>200</v>
      </c>
      <c r="FD28" s="11" t="b">
        <f t="shared" ca="1" si="353"/>
        <v>0</v>
      </c>
      <c r="FE28" s="92">
        <f t="shared" si="68"/>
        <v>0</v>
      </c>
      <c r="FF28" s="11">
        <f t="shared" ca="1" si="69"/>
        <v>0</v>
      </c>
      <c r="FG28" s="11">
        <f t="shared" ca="1" si="354"/>
        <v>0</v>
      </c>
      <c r="FH28" s="92">
        <f t="shared" si="70"/>
        <v>1</v>
      </c>
      <c r="FI28" s="11">
        <f t="shared" ca="1" si="71"/>
        <v>51.371201119826196</v>
      </c>
      <c r="FJ28" s="11">
        <f t="shared" ca="1" si="72"/>
        <v>51.371201119826196</v>
      </c>
      <c r="FK28" s="11">
        <f t="shared" ca="1" si="355"/>
        <v>22.252768630285217</v>
      </c>
      <c r="FL28" s="11">
        <f t="shared" ca="1" si="73"/>
        <v>170.88156751045904</v>
      </c>
      <c r="FM28" s="11">
        <f t="shared" ca="1" si="74"/>
        <v>-29.12</v>
      </c>
      <c r="FN28" s="11">
        <f t="shared" ca="1" si="75"/>
        <v>0.85440783755229521</v>
      </c>
      <c r="FO28" s="12">
        <f t="shared" ca="1" si="76"/>
        <v>170.88156751045904</v>
      </c>
      <c r="FP28" s="79"/>
      <c r="FQ28" s="12">
        <f t="shared" ca="1" si="356"/>
        <v>170.88156751045904</v>
      </c>
      <c r="FR28" s="18">
        <f t="shared" ca="1" si="77"/>
        <v>0.85440783755229521</v>
      </c>
      <c r="FT28" s="13">
        <f t="shared" ca="1" si="78"/>
        <v>170.88156751045904</v>
      </c>
      <c r="FU28" s="13">
        <f ca="1">INDEX(Totals[[#Data],[#Totals],[Car - Note]:[NONTRACKED]],MATCH(FT$1,Totals[Date],0),MATCH($C28,Totals[[#Headers],[Car - Note]:[NONTRACKED]],0))</f>
        <v>-56.832109589041096</v>
      </c>
      <c r="FV28" s="13">
        <f t="shared" ca="1" si="357"/>
        <v>114.04945792141794</v>
      </c>
      <c r="FW28" s="13">
        <v>150</v>
      </c>
      <c r="FX28" s="13">
        <v>200</v>
      </c>
      <c r="FY28" s="13" t="b">
        <f t="shared" ca="1" si="358"/>
        <v>0</v>
      </c>
      <c r="FZ28" s="94">
        <f t="shared" si="79"/>
        <v>0</v>
      </c>
      <c r="GA28" s="13">
        <f t="shared" ca="1" si="80"/>
        <v>0</v>
      </c>
      <c r="GB28" s="13">
        <f t="shared" ca="1" si="359"/>
        <v>0</v>
      </c>
      <c r="GC28" s="94">
        <f t="shared" si="81"/>
        <v>1</v>
      </c>
      <c r="GD28" s="13">
        <f t="shared" ca="1" si="82"/>
        <v>85.95054207858206</v>
      </c>
      <c r="GE28" s="13">
        <f t="shared" ca="1" si="83"/>
        <v>85.95054207858206</v>
      </c>
      <c r="GF28" s="13">
        <f t="shared" ca="1" si="360"/>
        <v>37.130748723191978</v>
      </c>
      <c r="GG28" s="13">
        <f t="shared" ca="1" si="84"/>
        <v>151.18020664460991</v>
      </c>
      <c r="GH28" s="13">
        <f t="shared" ca="1" si="85"/>
        <v>-48.82</v>
      </c>
      <c r="GI28" s="13">
        <f t="shared" ca="1" si="86"/>
        <v>0.75590103322304958</v>
      </c>
      <c r="GJ28" s="12">
        <f t="shared" ca="1" si="87"/>
        <v>151.18020664460991</v>
      </c>
      <c r="GK28" s="79"/>
      <c r="GL28" s="12">
        <f t="shared" ca="1" si="361"/>
        <v>151.18020664460991</v>
      </c>
      <c r="GM28" s="18">
        <f t="shared" ca="1" si="88"/>
        <v>0.75590103322304958</v>
      </c>
      <c r="GO28" s="19">
        <f t="shared" ca="1" si="89"/>
        <v>151.18020664460991</v>
      </c>
      <c r="GP28" s="19">
        <f ca="1">INDEX(Totals[[#Data],[#Totals],[Car - Note]:[NONTRACKED]],MATCH(GO$1,Totals[Date],0),MATCH($C28,Totals[[#Headers],[Car - Note]:[NONTRACKED]],0))</f>
        <v>-8.8084931506849315</v>
      </c>
      <c r="GQ28" s="19">
        <f t="shared" ca="1" si="362"/>
        <v>142.37171349392497</v>
      </c>
      <c r="GR28" s="19">
        <v>150</v>
      </c>
      <c r="GS28" s="19">
        <v>200</v>
      </c>
      <c r="GT28" s="19" t="b">
        <f t="shared" ca="1" si="363"/>
        <v>0</v>
      </c>
      <c r="GU28" s="100">
        <f t="shared" si="90"/>
        <v>0</v>
      </c>
      <c r="GV28" s="19">
        <f t="shared" ca="1" si="91"/>
        <v>0</v>
      </c>
      <c r="GW28" s="19">
        <f t="shared" ca="1" si="364"/>
        <v>0</v>
      </c>
      <c r="GX28" s="100">
        <f t="shared" si="92"/>
        <v>1</v>
      </c>
      <c r="GY28" s="19">
        <f t="shared" ca="1" si="93"/>
        <v>57.628286506075028</v>
      </c>
      <c r="GZ28" s="19">
        <f t="shared" ca="1" si="94"/>
        <v>57.628286506075028</v>
      </c>
      <c r="HA28" s="19">
        <f t="shared" ca="1" si="365"/>
        <v>25.459931578467014</v>
      </c>
      <c r="HB28" s="19">
        <f t="shared" ca="1" si="95"/>
        <v>167.83164507239198</v>
      </c>
      <c r="HC28" s="19">
        <f t="shared" ca="1" si="96"/>
        <v>-32.17</v>
      </c>
      <c r="HD28" s="19">
        <f t="shared" ca="1" si="97"/>
        <v>0.83915822536195994</v>
      </c>
      <c r="HE28" s="12">
        <f t="shared" ca="1" si="98"/>
        <v>167.83164507239198</v>
      </c>
      <c r="HF28" s="79"/>
      <c r="HG28" s="12">
        <f t="shared" ca="1" si="366"/>
        <v>167.83164507239198</v>
      </c>
      <c r="HH28" s="18">
        <f t="shared" ca="1" si="99"/>
        <v>0.83915822536195994</v>
      </c>
      <c r="HJ28" s="11">
        <f t="shared" ca="1" si="100"/>
        <v>167.83164507239198</v>
      </c>
      <c r="HK28" s="11">
        <f ca="1">INDEX(Totals[[#Data],[#Totals],[Car - Note]:[NONTRACKED]],MATCH(HJ$1,Totals[Date],0),MATCH($C28,Totals[[#Headers],[Car - Note]:[NONTRACKED]],0))</f>
        <v>-19.662109589041101</v>
      </c>
      <c r="HL28" s="11">
        <f t="shared" ca="1" si="367"/>
        <v>148.16953548335087</v>
      </c>
      <c r="HM28" s="11">
        <v>150</v>
      </c>
      <c r="HN28" s="11">
        <v>200</v>
      </c>
      <c r="HO28" s="11" t="b">
        <f t="shared" ca="1" si="368"/>
        <v>0</v>
      </c>
      <c r="HP28" s="92">
        <f t="shared" si="101"/>
        <v>0</v>
      </c>
      <c r="HQ28" s="11">
        <f t="shared" ca="1" si="102"/>
        <v>0</v>
      </c>
      <c r="HR28" s="11">
        <f t="shared" ca="1" si="369"/>
        <v>0</v>
      </c>
      <c r="HS28" s="92">
        <f t="shared" si="103"/>
        <v>1</v>
      </c>
      <c r="HT28" s="11">
        <f t="shared" ca="1" si="104"/>
        <v>51.83046451664913</v>
      </c>
      <c r="HU28" s="11">
        <f t="shared" ca="1" si="105"/>
        <v>51.83046451664913</v>
      </c>
      <c r="HV28" s="11">
        <f t="shared" ca="1" si="370"/>
        <v>21.934819582525304</v>
      </c>
      <c r="HW28" s="11">
        <f t="shared" ca="1" si="106"/>
        <v>170.10435506587618</v>
      </c>
      <c r="HX28" s="11">
        <f t="shared" ca="1" si="107"/>
        <v>-29.9</v>
      </c>
      <c r="HY28" s="11">
        <f t="shared" ca="1" si="108"/>
        <v>0.85052177532938089</v>
      </c>
      <c r="HZ28" s="12">
        <f t="shared" ca="1" si="109"/>
        <v>170.10435506587618</v>
      </c>
      <c r="IA28" s="79"/>
      <c r="IB28" s="12">
        <f t="shared" ca="1" si="371"/>
        <v>170.10435506587618</v>
      </c>
      <c r="IC28" s="18">
        <f t="shared" ca="1" si="110"/>
        <v>0.85052177532938089</v>
      </c>
      <c r="IE28" s="13">
        <f t="shared" ca="1" si="111"/>
        <v>170.10435506587618</v>
      </c>
      <c r="IF28" s="13">
        <f ca="1">INDEX(Totals[[#Data],[#Totals],[Car - Note]:[NONTRACKED]],MATCH(IE$1,Totals[Date],0),MATCH($C28,Totals[[#Headers],[Car - Note]:[NONTRACKED]],0))</f>
        <v>-38.798493150684941</v>
      </c>
      <c r="IG28" s="13">
        <f t="shared" ca="1" si="372"/>
        <v>131.30586191519123</v>
      </c>
      <c r="IH28" s="13">
        <v>150</v>
      </c>
      <c r="II28" s="13">
        <v>200</v>
      </c>
      <c r="IJ28" s="13" t="b">
        <f t="shared" ca="1" si="373"/>
        <v>0</v>
      </c>
      <c r="IK28" s="94">
        <f t="shared" si="112"/>
        <v>0</v>
      </c>
      <c r="IL28" s="13">
        <f t="shared" ca="1" si="113"/>
        <v>0</v>
      </c>
      <c r="IM28" s="13">
        <f t="shared" ca="1" si="374"/>
        <v>0</v>
      </c>
      <c r="IN28" s="94">
        <f t="shared" si="114"/>
        <v>1</v>
      </c>
      <c r="IO28" s="13">
        <f t="shared" ca="1" si="115"/>
        <v>68.69413808480877</v>
      </c>
      <c r="IP28" s="13">
        <f t="shared" ca="1" si="116"/>
        <v>68.69413808480877</v>
      </c>
      <c r="IQ28" s="13">
        <f t="shared" ca="1" si="375"/>
        <v>31.731696979141141</v>
      </c>
      <c r="IR28" s="13">
        <f t="shared" ca="1" si="117"/>
        <v>163.03755889433236</v>
      </c>
      <c r="IS28" s="13">
        <f t="shared" ca="1" si="118"/>
        <v>-36.96</v>
      </c>
      <c r="IT28" s="13">
        <f t="shared" ca="1" si="119"/>
        <v>0.81518779447166179</v>
      </c>
      <c r="IU28" s="12">
        <f t="shared" ca="1" si="120"/>
        <v>163.03755889433236</v>
      </c>
      <c r="IV28" s="79"/>
      <c r="IW28" s="12">
        <f t="shared" ca="1" si="376"/>
        <v>163.03755889433236</v>
      </c>
      <c r="IX28" s="18">
        <f t="shared" ca="1" si="121"/>
        <v>0.81518779447166179</v>
      </c>
      <c r="IZ28" s="19">
        <f t="shared" ca="1" si="122"/>
        <v>163.03755889433236</v>
      </c>
      <c r="JA28" s="19">
        <f ca="1">INDEX(Totals[[#Data],[#Totals],[Car - Note]:[NONTRACKED]],MATCH(IZ$1,Totals[Date],0),MATCH($C28,Totals[[#Headers],[Car - Note]:[NONTRACKED]],0))</f>
        <v>-92.442109589041095</v>
      </c>
      <c r="JB28" s="19">
        <f t="shared" ca="1" si="377"/>
        <v>70.595449305291268</v>
      </c>
      <c r="JC28" s="19">
        <v>150</v>
      </c>
      <c r="JD28" s="19">
        <v>200</v>
      </c>
      <c r="JE28" s="19" t="b">
        <f t="shared" ca="1" si="378"/>
        <v>0</v>
      </c>
      <c r="JF28" s="100">
        <f t="shared" si="123"/>
        <v>0</v>
      </c>
      <c r="JG28" s="19">
        <f t="shared" ca="1" si="124"/>
        <v>0</v>
      </c>
      <c r="JH28" s="19">
        <f t="shared" ca="1" si="379"/>
        <v>0</v>
      </c>
      <c r="JI28" s="100">
        <f t="shared" si="125"/>
        <v>1</v>
      </c>
      <c r="JJ28" s="19">
        <f t="shared" ca="1" si="126"/>
        <v>129.40455069470875</v>
      </c>
      <c r="JK28" s="19">
        <f t="shared" ca="1" si="127"/>
        <v>129.40455069470875</v>
      </c>
      <c r="JL28" s="19">
        <f t="shared" ca="1" si="380"/>
        <v>49.522444461022033</v>
      </c>
      <c r="JM28" s="19">
        <f t="shared" ca="1" si="128"/>
        <v>120.1178937663133</v>
      </c>
      <c r="JN28" s="19">
        <f t="shared" ca="1" si="129"/>
        <v>-79.88</v>
      </c>
      <c r="JO28" s="19">
        <f t="shared" ca="1" si="130"/>
        <v>0.6005894688315665</v>
      </c>
      <c r="JP28" s="12">
        <f t="shared" ca="1" si="131"/>
        <v>120.1178937663133</v>
      </c>
      <c r="JQ28" s="79"/>
      <c r="JR28" s="12">
        <f t="shared" ca="1" si="381"/>
        <v>120.1178937663133</v>
      </c>
      <c r="JS28" s="18">
        <f t="shared" ca="1" si="132"/>
        <v>0.6005894688315665</v>
      </c>
      <c r="JU28" s="11">
        <f t="shared" ca="1" si="133"/>
        <v>120.1178937663133</v>
      </c>
      <c r="JV28" s="11">
        <f ca="1">INDEX(Totals[[#Data],[#Totals],[Car - Note]:[NONTRACKED]],MATCH(JU$1,Totals[Date],0),MATCH($C28,Totals[[#Headers],[Car - Note]:[NONTRACKED]],0))</f>
        <v>-9.1021095890410937</v>
      </c>
      <c r="JW28" s="11">
        <f t="shared" ca="1" si="382"/>
        <v>111.01578417727221</v>
      </c>
      <c r="JX28" s="11">
        <v>150</v>
      </c>
      <c r="JY28" s="11">
        <v>200</v>
      </c>
      <c r="JZ28" s="11" t="b">
        <f t="shared" ca="1" si="383"/>
        <v>0</v>
      </c>
      <c r="KA28" s="92">
        <f t="shared" si="134"/>
        <v>0</v>
      </c>
      <c r="KB28" s="11">
        <f t="shared" ca="1" si="135"/>
        <v>0</v>
      </c>
      <c r="KC28" s="11">
        <f t="shared" ca="1" si="384"/>
        <v>0</v>
      </c>
      <c r="KD28" s="92">
        <f t="shared" si="136"/>
        <v>1</v>
      </c>
      <c r="KE28" s="11">
        <f t="shared" ca="1" si="137"/>
        <v>88.984215822727791</v>
      </c>
      <c r="KF28" s="11">
        <f t="shared" ca="1" si="138"/>
        <v>88.984215822727791</v>
      </c>
      <c r="KG28" s="11">
        <f t="shared" ca="1" si="385"/>
        <v>61.545723399929805</v>
      </c>
      <c r="KH28" s="11">
        <f t="shared" ca="1" si="139"/>
        <v>172.56150757720201</v>
      </c>
      <c r="KI28" s="11">
        <f t="shared" ca="1" si="140"/>
        <v>-27.44</v>
      </c>
      <c r="KJ28" s="11">
        <f t="shared" ca="1" si="141"/>
        <v>0.86280753788601006</v>
      </c>
      <c r="KK28" s="12">
        <f t="shared" ca="1" si="142"/>
        <v>172.56150757720201</v>
      </c>
      <c r="KL28" s="79"/>
      <c r="KM28" s="12">
        <f t="shared" ca="1" si="386"/>
        <v>172.56150757720201</v>
      </c>
      <c r="KN28" s="18">
        <f t="shared" ca="1" si="143"/>
        <v>0.86280753788601006</v>
      </c>
      <c r="KP28" s="13">
        <f t="shared" ca="1" si="144"/>
        <v>172.56150757720201</v>
      </c>
      <c r="KQ28" s="13">
        <f ca="1">INDEX(Totals[[#Data],[#Totals],[Car - Note]:[NONTRACKED]],MATCH(KP$1,Totals[Date],0),MATCH($C28,Totals[[#Headers],[Car - Note]:[NONTRACKED]],0))</f>
        <v>-28.221260273972597</v>
      </c>
      <c r="KR28" s="13">
        <f t="shared" ca="1" si="387"/>
        <v>144.3402473032294</v>
      </c>
      <c r="KS28" s="13">
        <v>150</v>
      </c>
      <c r="KT28" s="13">
        <v>200</v>
      </c>
      <c r="KU28" s="13" t="b">
        <f t="shared" ca="1" si="388"/>
        <v>0</v>
      </c>
      <c r="KV28" s="94">
        <f t="shared" si="145"/>
        <v>0</v>
      </c>
      <c r="KW28" s="13">
        <f t="shared" ca="1" si="146"/>
        <v>0</v>
      </c>
      <c r="KX28" s="13">
        <f t="shared" ca="1" si="389"/>
        <v>0</v>
      </c>
      <c r="KY28" s="94">
        <f t="shared" si="147"/>
        <v>1</v>
      </c>
      <c r="KZ28" s="13">
        <f t="shared" ca="1" si="148"/>
        <v>55.659752696770596</v>
      </c>
      <c r="LA28" s="13">
        <f t="shared" ca="1" si="149"/>
        <v>55.659752696770596</v>
      </c>
      <c r="LB28" s="13">
        <f t="shared" ca="1" si="390"/>
        <v>42.46892986250257</v>
      </c>
      <c r="LC28" s="13">
        <f t="shared" ca="1" si="150"/>
        <v>186.80917716573197</v>
      </c>
      <c r="LD28" s="13">
        <f t="shared" ca="1" si="151"/>
        <v>-13.19</v>
      </c>
      <c r="LE28" s="13">
        <f t="shared" ca="1" si="152"/>
        <v>0.93404588582865988</v>
      </c>
      <c r="LF28" s="12">
        <f t="shared" ca="1" si="153"/>
        <v>186.80917716573197</v>
      </c>
      <c r="LG28" s="79"/>
      <c r="LH28" s="12">
        <f t="shared" ca="1" si="391"/>
        <v>186.80917716573197</v>
      </c>
      <c r="LI28" s="18">
        <f t="shared" ca="1" si="154"/>
        <v>0.93404588582865988</v>
      </c>
      <c r="LK28" s="19">
        <f t="shared" ca="1" si="155"/>
        <v>186.80917716573197</v>
      </c>
      <c r="LL28" s="19">
        <f ca="1">INDEX(Totals[[#Data],[#Totals],[Car - Note]:[NONTRACKED]],MATCH(LK$1,Totals[Date],0),MATCH($C28,Totals[[#Headers],[Car - Note]:[NONTRACKED]],0))</f>
        <v>-10.476356164383562</v>
      </c>
      <c r="LM28" s="19">
        <f t="shared" ca="1" si="392"/>
        <v>176.33282100134841</v>
      </c>
      <c r="LN28" s="19">
        <v>150</v>
      </c>
      <c r="LO28" s="19">
        <v>200</v>
      </c>
      <c r="LP28" s="19" t="b">
        <f t="shared" ca="1" si="393"/>
        <v>0</v>
      </c>
      <c r="LQ28" s="100">
        <f t="shared" si="156"/>
        <v>0</v>
      </c>
      <c r="LR28" s="19">
        <f t="shared" ca="1" si="157"/>
        <v>0</v>
      </c>
      <c r="LS28" s="19">
        <f t="shared" ca="1" si="394"/>
        <v>0</v>
      </c>
      <c r="LT28" s="100">
        <f t="shared" si="158"/>
        <v>1</v>
      </c>
      <c r="LU28" s="19">
        <f t="shared" ca="1" si="159"/>
        <v>23.667178998651593</v>
      </c>
      <c r="LV28" s="19">
        <f t="shared" ca="1" si="160"/>
        <v>23.667178998651593</v>
      </c>
      <c r="LW28" s="19">
        <f t="shared" ca="1" si="395"/>
        <v>15.02284327881255</v>
      </c>
      <c r="LX28" s="19">
        <f t="shared" ca="1" si="161"/>
        <v>191.35566428016097</v>
      </c>
      <c r="LY28" s="19">
        <f t="shared" ca="1" si="162"/>
        <v>-8.64</v>
      </c>
      <c r="LZ28" s="19">
        <f t="shared" ca="1" si="163"/>
        <v>0.95677832140080488</v>
      </c>
      <c r="MA28" s="12">
        <f t="shared" ca="1" si="164"/>
        <v>191.35566428016097</v>
      </c>
      <c r="MB28" s="79"/>
      <c r="MC28" s="12">
        <f t="shared" ca="1" si="396"/>
        <v>191.35566428016097</v>
      </c>
      <c r="MD28" s="18">
        <f t="shared" ca="1" si="165"/>
        <v>0.95677832140080488</v>
      </c>
      <c r="MF28" s="11">
        <f t="shared" ca="1" si="166"/>
        <v>191.35566428016097</v>
      </c>
      <c r="MG28" s="11">
        <f ca="1">INDEX(Totals[[#Data],[#Totals],[Car - Note]:[NONTRACKED]],MATCH(MF$1,Totals[Date],0),MATCH($C28,Totals[[#Headers],[Car - Note]:[NONTRACKED]],0))</f>
        <v>-10.58794520547945</v>
      </c>
      <c r="MH28" s="11">
        <f t="shared" ca="1" si="397"/>
        <v>180.76771907468151</v>
      </c>
      <c r="MI28" s="11">
        <v>150</v>
      </c>
      <c r="MJ28" s="11">
        <v>200</v>
      </c>
      <c r="MK28" s="11" t="b">
        <f t="shared" ca="1" si="398"/>
        <v>0</v>
      </c>
      <c r="ML28" s="92">
        <f t="shared" si="167"/>
        <v>0</v>
      </c>
      <c r="MM28" s="11">
        <f t="shared" ca="1" si="168"/>
        <v>0</v>
      </c>
      <c r="MN28" s="11">
        <f t="shared" ca="1" si="399"/>
        <v>0</v>
      </c>
      <c r="MO28" s="92">
        <f t="shared" si="169"/>
        <v>1</v>
      </c>
      <c r="MP28" s="11">
        <f t="shared" ca="1" si="170"/>
        <v>19.232280925318491</v>
      </c>
      <c r="MQ28" s="11">
        <f t="shared" ca="1" si="171"/>
        <v>19.232280925318491</v>
      </c>
      <c r="MR28" s="11">
        <f t="shared" ca="1" si="400"/>
        <v>9.6309192036921125</v>
      </c>
      <c r="MS28" s="11">
        <f t="shared" ca="1" si="172"/>
        <v>190.39863827837362</v>
      </c>
      <c r="MT28" s="11">
        <f t="shared" ca="1" si="173"/>
        <v>-9.6</v>
      </c>
      <c r="MU28" s="11">
        <f t="shared" ca="1" si="174"/>
        <v>0.95199319139186811</v>
      </c>
      <c r="MV28" s="12">
        <f t="shared" ca="1" si="175"/>
        <v>190.39863827837362</v>
      </c>
      <c r="MW28" s="79"/>
      <c r="MX28" s="12">
        <f t="shared" ca="1" si="401"/>
        <v>190.39863827837362</v>
      </c>
      <c r="MY28" s="18">
        <f t="shared" ca="1" si="176"/>
        <v>0.95199319139186811</v>
      </c>
      <c r="NA28" s="13">
        <f t="shared" ca="1" si="177"/>
        <v>190.39863827837362</v>
      </c>
      <c r="NB28" s="13">
        <f ca="1">INDEX(Totals[[#Data],[#Totals],[Car - Note]:[NONTRACKED]],MATCH(NA$1,Totals[Date],0),MATCH($C28,Totals[[#Headers],[Car - Note]:[NONTRACKED]],0))</f>
        <v>-33.940876712328773</v>
      </c>
      <c r="NC28" s="13">
        <f t="shared" ca="1" si="402"/>
        <v>156.45776156604484</v>
      </c>
      <c r="ND28" s="13">
        <v>150</v>
      </c>
      <c r="NE28" s="13">
        <v>200</v>
      </c>
      <c r="NF28" s="13" t="b">
        <f t="shared" ca="1" si="403"/>
        <v>0</v>
      </c>
      <c r="NG28" s="94">
        <f t="shared" si="178"/>
        <v>0</v>
      </c>
      <c r="NH28" s="13">
        <f t="shared" ca="1" si="179"/>
        <v>0</v>
      </c>
      <c r="NI28" s="13">
        <f t="shared" ca="1" si="404"/>
        <v>0</v>
      </c>
      <c r="NJ28" s="94">
        <f t="shared" si="180"/>
        <v>1</v>
      </c>
      <c r="NK28" s="13">
        <f t="shared" ca="1" si="181"/>
        <v>43.542238433955163</v>
      </c>
      <c r="NL28" s="13">
        <f t="shared" ca="1" si="182"/>
        <v>43.542238433955163</v>
      </c>
      <c r="NM28" s="13">
        <f t="shared" ca="1" si="405"/>
        <v>43.542238433955163</v>
      </c>
      <c r="NN28" s="13">
        <f t="shared" ca="1" si="183"/>
        <v>200</v>
      </c>
      <c r="NO28" s="13">
        <f t="shared" ca="1" si="184"/>
        <v>0</v>
      </c>
      <c r="NP28" s="13">
        <f t="shared" ca="1" si="185"/>
        <v>1</v>
      </c>
      <c r="NQ28" s="12">
        <f t="shared" ca="1" si="186"/>
        <v>200</v>
      </c>
      <c r="NR28" s="79"/>
      <c r="NS28" s="12">
        <f t="shared" ca="1" si="406"/>
        <v>200</v>
      </c>
      <c r="NT28" s="18">
        <f t="shared" ca="1" si="187"/>
        <v>1</v>
      </c>
      <c r="NV28" s="19">
        <f t="shared" ca="1" si="188"/>
        <v>200</v>
      </c>
      <c r="NW28" s="19">
        <f ca="1">INDEX(Totals[[#Data],[#Totals],[Car - Note]:[NONTRACKED]],MATCH(NV$1,Totals[Date],0),MATCH($C28,Totals[[#Headers],[Car - Note]:[NONTRACKED]],0))</f>
        <v>-10.58794520547945</v>
      </c>
      <c r="NX28" s="19">
        <f t="shared" ca="1" si="407"/>
        <v>189.41205479452054</v>
      </c>
      <c r="NY28" s="19">
        <v>150</v>
      </c>
      <c r="NZ28" s="19">
        <v>200</v>
      </c>
      <c r="OA28" s="19" t="b">
        <f t="shared" ca="1" si="408"/>
        <v>0</v>
      </c>
      <c r="OB28" s="100">
        <f t="shared" si="189"/>
        <v>0</v>
      </c>
      <c r="OC28" s="19">
        <f t="shared" ca="1" si="190"/>
        <v>0</v>
      </c>
      <c r="OD28" s="19">
        <f t="shared" ca="1" si="409"/>
        <v>0</v>
      </c>
      <c r="OE28" s="100">
        <f t="shared" si="191"/>
        <v>1</v>
      </c>
      <c r="OF28" s="19">
        <f t="shared" ca="1" si="192"/>
        <v>10.587945205479457</v>
      </c>
      <c r="OG28" s="19">
        <f t="shared" ca="1" si="193"/>
        <v>10.587945205479457</v>
      </c>
      <c r="OH28" s="19">
        <f t="shared" ca="1" si="410"/>
        <v>8.1665790388879795</v>
      </c>
      <c r="OI28" s="19">
        <f t="shared" ca="1" si="194"/>
        <v>197.57863383340853</v>
      </c>
      <c r="OJ28" s="19">
        <f t="shared" ca="1" si="195"/>
        <v>-2.42</v>
      </c>
      <c r="OK28" s="19">
        <f t="shared" ca="1" si="196"/>
        <v>0.98789316916704262</v>
      </c>
      <c r="OL28" s="12">
        <f t="shared" ca="1" si="197"/>
        <v>197.57863383340853</v>
      </c>
      <c r="OM28" s="79"/>
      <c r="ON28" s="12">
        <f t="shared" ca="1" si="411"/>
        <v>197.57863383340853</v>
      </c>
      <c r="OO28" s="18">
        <f t="shared" ca="1" si="198"/>
        <v>0.98789316916704262</v>
      </c>
      <c r="OQ28" s="11">
        <f t="shared" ca="1" si="199"/>
        <v>197.57863383340853</v>
      </c>
      <c r="OR28" s="11">
        <f ca="1">INDEX(Totals[[#Data],[#Totals],[Car - Note]:[NONTRACKED]],MATCH(OQ$1,Totals[Date],0),MATCH($C28,Totals[[#Headers],[Car - Note]:[NONTRACKED]],0))</f>
        <v>-11.940876712328766</v>
      </c>
      <c r="OS28" s="11">
        <f t="shared" ca="1" si="412"/>
        <v>185.63775712107977</v>
      </c>
      <c r="OT28" s="11">
        <v>150</v>
      </c>
      <c r="OU28" s="11">
        <v>200</v>
      </c>
      <c r="OV28" s="11" t="b">
        <f t="shared" ca="1" si="413"/>
        <v>0</v>
      </c>
      <c r="OW28" s="92">
        <f t="shared" si="200"/>
        <v>0</v>
      </c>
      <c r="OX28" s="11">
        <f t="shared" ca="1" si="201"/>
        <v>0</v>
      </c>
      <c r="OY28" s="11">
        <f t="shared" ca="1" si="414"/>
        <v>0</v>
      </c>
      <c r="OZ28" s="92">
        <f t="shared" si="202"/>
        <v>1</v>
      </c>
      <c r="PA28" s="11">
        <f t="shared" ca="1" si="203"/>
        <v>14.362242878920227</v>
      </c>
      <c r="PB28" s="11">
        <f t="shared" ca="1" si="204"/>
        <v>14.362242878920227</v>
      </c>
      <c r="PC28" s="11">
        <f t="shared" ca="1" si="415"/>
        <v>8.5305338540866398</v>
      </c>
      <c r="PD28" s="11">
        <f t="shared" ca="1" si="205"/>
        <v>194.1682909751664</v>
      </c>
      <c r="PE28" s="11">
        <f t="shared" ca="1" si="206"/>
        <v>-5.83</v>
      </c>
      <c r="PF28" s="11">
        <f t="shared" ca="1" si="207"/>
        <v>0.97084145487583196</v>
      </c>
      <c r="PG28" s="12">
        <f t="shared" ca="1" si="208"/>
        <v>194.1682909751664</v>
      </c>
      <c r="PH28" s="79"/>
      <c r="PI28" s="12">
        <f t="shared" ca="1" si="416"/>
        <v>194.1682909751664</v>
      </c>
      <c r="PJ28" s="18">
        <f t="shared" ca="1" si="209"/>
        <v>0.97084145487583196</v>
      </c>
      <c r="PL28" s="13">
        <f t="shared" ca="1" si="210"/>
        <v>194.1682909751664</v>
      </c>
      <c r="PM28" s="13">
        <f ca="1">INDEX(Totals[[#Data],[#Totals],[Car - Note]:[NONTRACKED]],MATCH(PL$1,Totals[Date],0),MATCH($C28,Totals[[#Headers],[Car - Note]:[NONTRACKED]],0))</f>
        <v>-10.940876712328766</v>
      </c>
      <c r="PN28" s="13">
        <f t="shared" ca="1" si="417"/>
        <v>183.22741426283764</v>
      </c>
      <c r="PO28" s="13">
        <v>150</v>
      </c>
      <c r="PP28" s="13">
        <v>200</v>
      </c>
      <c r="PQ28" s="13" t="b">
        <f t="shared" ca="1" si="418"/>
        <v>0</v>
      </c>
      <c r="PR28" s="94">
        <f t="shared" si="211"/>
        <v>0</v>
      </c>
      <c r="PS28" s="13">
        <f t="shared" ca="1" si="212"/>
        <v>0</v>
      </c>
      <c r="PT28" s="13">
        <f t="shared" ca="1" si="419"/>
        <v>0</v>
      </c>
      <c r="PU28" s="94">
        <f t="shared" si="213"/>
        <v>1</v>
      </c>
      <c r="PV28" s="13">
        <f t="shared" ca="1" si="214"/>
        <v>16.772585737162359</v>
      </c>
      <c r="PW28" s="13">
        <f t="shared" ca="1" si="215"/>
        <v>16.772585737162359</v>
      </c>
      <c r="PX28" s="13">
        <f t="shared" ca="1" si="420"/>
        <v>11.848950929914936</v>
      </c>
      <c r="PY28" s="13">
        <f t="shared" ca="1" si="216"/>
        <v>195.07636519275258</v>
      </c>
      <c r="PZ28" s="13">
        <f t="shared" ca="1" si="217"/>
        <v>-4.92</v>
      </c>
      <c r="QA28" s="13">
        <f t="shared" ca="1" si="218"/>
        <v>0.97538182596376288</v>
      </c>
      <c r="QB28" s="12">
        <f t="shared" ca="1" si="219"/>
        <v>195.07636519275258</v>
      </c>
      <c r="QC28" s="79"/>
      <c r="QD28" s="12">
        <f t="shared" ca="1" si="421"/>
        <v>195.07636519275258</v>
      </c>
      <c r="QE28" s="18">
        <f t="shared" ca="1" si="220"/>
        <v>0.97538182596376288</v>
      </c>
      <c r="QG28" s="19">
        <f t="shared" ca="1" si="221"/>
        <v>195.07636519275258</v>
      </c>
      <c r="QH28" s="19">
        <f ca="1">INDEX(Totals[[#Data],[#Totals],[Car - Note]:[NONTRACKED]],MATCH(QG$1,Totals[Date],0),MATCH($C28,Totals[[#Headers],[Car - Note]:[NONTRACKED]],0))</f>
        <v>-10.587945205479457</v>
      </c>
      <c r="QI28" s="19">
        <f t="shared" ca="1" si="422"/>
        <v>184.48841998727312</v>
      </c>
      <c r="QJ28" s="19">
        <v>150</v>
      </c>
      <c r="QK28" s="19">
        <v>200</v>
      </c>
      <c r="QL28" s="19" t="b">
        <f t="shared" ca="1" si="423"/>
        <v>0</v>
      </c>
      <c r="QM28" s="100">
        <f t="shared" si="222"/>
        <v>0</v>
      </c>
      <c r="QN28" s="19">
        <f t="shared" ca="1" si="223"/>
        <v>0</v>
      </c>
      <c r="QO28" s="19">
        <f t="shared" ca="1" si="424"/>
        <v>0</v>
      </c>
      <c r="QP28" s="100">
        <f t="shared" si="224"/>
        <v>1</v>
      </c>
      <c r="QQ28" s="19">
        <f t="shared" ca="1" si="225"/>
        <v>15.511580012726881</v>
      </c>
      <c r="QR28" s="19">
        <f t="shared" ca="1" si="226"/>
        <v>15.511580012726881</v>
      </c>
      <c r="QS28" s="19">
        <f t="shared" ca="1" si="425"/>
        <v>10.83808502769454</v>
      </c>
      <c r="QT28" s="19">
        <f t="shared" ca="1" si="227"/>
        <v>195.32650501496767</v>
      </c>
      <c r="QU28" s="19">
        <f t="shared" ca="1" si="228"/>
        <v>-4.67</v>
      </c>
      <c r="QV28" s="19">
        <f t="shared" ca="1" si="229"/>
        <v>0.97663252507483833</v>
      </c>
      <c r="QW28" s="12">
        <f t="shared" ca="1" si="230"/>
        <v>195.32650501496767</v>
      </c>
      <c r="QX28" s="79"/>
      <c r="QY28" s="12">
        <f t="shared" ca="1" si="426"/>
        <v>195.32650501496767</v>
      </c>
      <c r="QZ28" s="18">
        <f t="shared" ca="1" si="231"/>
        <v>0.97663252507483833</v>
      </c>
      <c r="RB28" s="11">
        <f t="shared" ca="1" si="232"/>
        <v>195.32650501496767</v>
      </c>
      <c r="RC28" s="11">
        <f ca="1">INDEX(Totals[[#Data],[#Totals],[Car - Note]:[NONTRACKED]],MATCH(RB$1,Totals[Date],0),MATCH($C28,Totals[[#Headers],[Car - Note]:[NONTRACKED]],0))</f>
        <v>-10.940876712328759</v>
      </c>
      <c r="RD28" s="11">
        <f t="shared" ca="1" si="427"/>
        <v>184.38562830263891</v>
      </c>
      <c r="RE28" s="11">
        <v>150</v>
      </c>
      <c r="RF28" s="11">
        <v>200</v>
      </c>
      <c r="RG28" s="11" t="b">
        <f t="shared" ca="1" si="428"/>
        <v>0</v>
      </c>
      <c r="RH28" s="92">
        <f t="shared" si="233"/>
        <v>0</v>
      </c>
      <c r="RI28" s="11">
        <f t="shared" ca="1" si="234"/>
        <v>0</v>
      </c>
      <c r="RJ28" s="11">
        <f t="shared" ca="1" si="429"/>
        <v>0</v>
      </c>
      <c r="RK28" s="92">
        <f t="shared" si="235"/>
        <v>1</v>
      </c>
      <c r="RL28" s="11">
        <f t="shared" ca="1" si="236"/>
        <v>15.614371697361094</v>
      </c>
      <c r="RM28" s="11">
        <f t="shared" ca="1" si="237"/>
        <v>15.614371697361094</v>
      </c>
      <c r="RN28" s="11">
        <f t="shared" ca="1" si="430"/>
        <v>9.1790048534399915</v>
      </c>
      <c r="RO28" s="11">
        <f t="shared" ca="1" si="238"/>
        <v>193.56463315607891</v>
      </c>
      <c r="RP28" s="11">
        <f t="shared" ca="1" si="239"/>
        <v>-6.44</v>
      </c>
      <c r="RQ28" s="11">
        <f t="shared" ca="1" si="240"/>
        <v>0.96782316578039451</v>
      </c>
      <c r="RR28" s="12">
        <f t="shared" ca="1" si="241"/>
        <v>193.56463315607891</v>
      </c>
      <c r="RS28" s="79"/>
      <c r="RT28" s="12">
        <f t="shared" ca="1" si="431"/>
        <v>193.56463315607891</v>
      </c>
      <c r="RU28" s="18">
        <f t="shared" ca="1" si="242"/>
        <v>0.96782316578039451</v>
      </c>
      <c r="RW28" s="13">
        <f t="shared" ca="1" si="243"/>
        <v>193.56463315607891</v>
      </c>
      <c r="RX28" s="13">
        <f ca="1">INDEX(Totals[[#Data],[#Totals],[Car - Note]:[NONTRACKED]],MATCH(RW$1,Totals[Date],0),MATCH($C28,Totals[[#Headers],[Car - Note]:[NONTRACKED]],0))</f>
        <v>-23.587945205479457</v>
      </c>
      <c r="RY28" s="13">
        <f t="shared" ca="1" si="432"/>
        <v>169.97668795059946</v>
      </c>
      <c r="RZ28" s="13">
        <v>150</v>
      </c>
      <c r="SA28" s="13">
        <v>200</v>
      </c>
      <c r="SB28" s="13" t="b">
        <f t="shared" ca="1" si="433"/>
        <v>0</v>
      </c>
      <c r="SC28" s="94">
        <f t="shared" si="244"/>
        <v>0</v>
      </c>
      <c r="SD28" s="13">
        <f t="shared" ca="1" si="245"/>
        <v>0</v>
      </c>
      <c r="SE28" s="13">
        <f t="shared" ca="1" si="434"/>
        <v>0</v>
      </c>
      <c r="SF28" s="94">
        <f t="shared" si="246"/>
        <v>1</v>
      </c>
      <c r="SG28" s="13">
        <f t="shared" ca="1" si="247"/>
        <v>30.023312049400545</v>
      </c>
      <c r="SH28" s="13">
        <f t="shared" ca="1" si="248"/>
        <v>30.023312049400545</v>
      </c>
      <c r="SI28" s="13">
        <f t="shared" ca="1" si="435"/>
        <v>26.34877331296186</v>
      </c>
      <c r="SJ28" s="13">
        <f t="shared" ca="1" si="249"/>
        <v>196.32546126356132</v>
      </c>
      <c r="SK28" s="13">
        <f t="shared" ca="1" si="250"/>
        <v>-3.67</v>
      </c>
      <c r="SL28" s="13">
        <f t="shared" ca="1" si="251"/>
        <v>0.98162730631780659</v>
      </c>
      <c r="SM28" s="12">
        <f t="shared" ca="1" si="252"/>
        <v>196.32546126356132</v>
      </c>
      <c r="SN28" s="79"/>
      <c r="SO28" s="12">
        <f t="shared" ca="1" si="436"/>
        <v>196.32546126356132</v>
      </c>
      <c r="SP28" s="18">
        <f t="shared" ca="1" si="253"/>
        <v>0.98162730631780659</v>
      </c>
      <c r="SR28" s="19">
        <f t="shared" ca="1" si="254"/>
        <v>196.32546126356132</v>
      </c>
      <c r="SS28" s="19">
        <f ca="1">INDEX(Totals[[#Data],[#Totals],[Car - Note]:[NONTRACKED]],MATCH(SR$1,Totals[Date],0),MATCH($C28,Totals[[#Headers],[Car - Note]:[NONTRACKED]],0))</f>
        <v>-158.35087671232878</v>
      </c>
      <c r="ST28" s="19">
        <f t="shared" ca="1" si="437"/>
        <v>37.974584551232539</v>
      </c>
      <c r="SU28" s="19">
        <v>150</v>
      </c>
      <c r="SV28" s="19">
        <v>200</v>
      </c>
      <c r="SW28" s="19" t="b">
        <f t="shared" ca="1" si="438"/>
        <v>0</v>
      </c>
      <c r="SX28" s="100">
        <f t="shared" si="255"/>
        <v>0</v>
      </c>
      <c r="SY28" s="19">
        <f t="shared" ca="1" si="256"/>
        <v>0</v>
      </c>
      <c r="SZ28" s="19">
        <f t="shared" ca="1" si="439"/>
        <v>0</v>
      </c>
      <c r="TA28" s="100">
        <f t="shared" si="257"/>
        <v>1</v>
      </c>
      <c r="TB28" s="19">
        <f t="shared" ca="1" si="258"/>
        <v>162.02541544876746</v>
      </c>
      <c r="TC28" s="19">
        <f t="shared" ca="1" si="259"/>
        <v>150</v>
      </c>
      <c r="TD28" s="19">
        <f t="shared" ca="1" si="440"/>
        <v>108.99063857880653</v>
      </c>
      <c r="TE28" s="19">
        <f t="shared" ca="1" si="260"/>
        <v>146.96522313003908</v>
      </c>
      <c r="TF28" s="19">
        <f t="shared" ca="1" si="261"/>
        <v>-53.03</v>
      </c>
      <c r="TG28" s="19">
        <f t="shared" ca="1" si="262"/>
        <v>0.7348261156501954</v>
      </c>
      <c r="TH28" s="12">
        <f t="shared" ca="1" si="263"/>
        <v>146.96522313003908</v>
      </c>
      <c r="TI28" s="79"/>
      <c r="TJ28" s="12">
        <f t="shared" ca="1" si="441"/>
        <v>146.96522313003908</v>
      </c>
      <c r="TK28" s="18">
        <f t="shared" ca="1" si="264"/>
        <v>0.7348261156501954</v>
      </c>
      <c r="TM28" s="11">
        <f t="shared" ca="1" si="265"/>
        <v>146.96522313003908</v>
      </c>
      <c r="TN28" s="11">
        <f ca="1">INDEX(Totals[[#Data],[#Totals],[Car - Note]:[NONTRACKED]],MATCH(TM$1,Totals[Date],0),MATCH($C28,Totals[[#Headers],[Car - Note]:[NONTRACKED]],0))</f>
        <v>-10.940876712328762</v>
      </c>
      <c r="TO28" s="11">
        <f t="shared" ca="1" si="442"/>
        <v>136.02434641771032</v>
      </c>
      <c r="TP28" s="11">
        <v>150</v>
      </c>
      <c r="TQ28" s="11">
        <v>200</v>
      </c>
      <c r="TR28" s="11" t="b">
        <f t="shared" ca="1" si="443"/>
        <v>0</v>
      </c>
      <c r="TS28" s="92">
        <f t="shared" si="266"/>
        <v>0</v>
      </c>
      <c r="TT28" s="11">
        <f t="shared" ca="1" si="267"/>
        <v>0</v>
      </c>
      <c r="TU28" s="11">
        <f t="shared" ca="1" si="444"/>
        <v>0</v>
      </c>
      <c r="TV28" s="92">
        <f t="shared" si="268"/>
        <v>1</v>
      </c>
      <c r="TW28" s="11">
        <f t="shared" ca="1" si="269"/>
        <v>63.975653582289681</v>
      </c>
      <c r="TX28" s="11">
        <f t="shared" ca="1" si="270"/>
        <v>63.975653582289681</v>
      </c>
      <c r="TY28" s="11">
        <f t="shared" ca="1" si="445"/>
        <v>40.721001983460717</v>
      </c>
      <c r="TZ28" s="11">
        <f t="shared" ca="1" si="271"/>
        <v>176.74534840117104</v>
      </c>
      <c r="UA28" s="11">
        <f t="shared" ca="1" si="272"/>
        <v>-23.25</v>
      </c>
      <c r="UB28" s="11">
        <f t="shared" ca="1" si="273"/>
        <v>0.88372674200585521</v>
      </c>
      <c r="UC28" s="12">
        <f t="shared" ca="1" si="274"/>
        <v>176.74534840117104</v>
      </c>
      <c r="UD28" s="79"/>
      <c r="UE28" s="12">
        <f t="shared" ca="1" si="446"/>
        <v>176.74534840117104</v>
      </c>
      <c r="UF28" s="18">
        <f t="shared" ca="1" si="275"/>
        <v>0.88372674200585521</v>
      </c>
      <c r="UH28" s="13">
        <f t="shared" ca="1" si="276"/>
        <v>176.74534840117104</v>
      </c>
      <c r="UI28" s="13">
        <f ca="1">INDEX(Totals[[#Data],[#Totals],[Car - Note]:[NONTRACKED]],MATCH(UH$1,Totals[Date],0),MATCH($C28,Totals[[#Headers],[Car - Note]:[NONTRACKED]],0))</f>
        <v>-10.23501369863013</v>
      </c>
      <c r="UJ28" s="13">
        <f t="shared" ca="1" si="447"/>
        <v>166.51033470254092</v>
      </c>
      <c r="UK28" s="13">
        <v>150</v>
      </c>
      <c r="UL28" s="13">
        <v>200</v>
      </c>
      <c r="UM28" s="13" t="b">
        <f t="shared" ca="1" si="448"/>
        <v>0</v>
      </c>
      <c r="UN28" s="94">
        <f t="shared" si="277"/>
        <v>0</v>
      </c>
      <c r="UO28" s="13">
        <f t="shared" ca="1" si="278"/>
        <v>0</v>
      </c>
      <c r="UP28" s="13">
        <f t="shared" ca="1" si="449"/>
        <v>0</v>
      </c>
      <c r="UQ28" s="94">
        <f t="shared" si="279"/>
        <v>1</v>
      </c>
      <c r="UR28" s="13">
        <f t="shared" ca="1" si="280"/>
        <v>33.489665297459084</v>
      </c>
      <c r="US28" s="13">
        <f t="shared" ca="1" si="281"/>
        <v>33.489665297459084</v>
      </c>
      <c r="UT28" s="13">
        <f t="shared" ca="1" si="450"/>
        <v>33.489665297459084</v>
      </c>
      <c r="UU28" s="13">
        <f t="shared" ca="1" si="282"/>
        <v>200</v>
      </c>
      <c r="UV28" s="13">
        <f t="shared" ca="1" si="283"/>
        <v>0</v>
      </c>
      <c r="UW28" s="13">
        <f t="shared" ca="1" si="284"/>
        <v>1</v>
      </c>
      <c r="UX28" s="12">
        <f t="shared" ca="1" si="285"/>
        <v>200</v>
      </c>
      <c r="UY28" s="79"/>
      <c r="UZ28" s="12">
        <f t="shared" ca="1" si="451"/>
        <v>200</v>
      </c>
      <c r="VA28" s="18">
        <f t="shared" ca="1" si="286"/>
        <v>1</v>
      </c>
      <c r="VC28" s="19">
        <f t="shared" ca="1" si="287"/>
        <v>200</v>
      </c>
      <c r="VD28" s="19">
        <f ca="1">INDEX(Totals[[#Data],[#Totals],[Car - Note]:[NONTRACKED]],MATCH(VC$1,Totals[Date],0),MATCH($C28,Totals[[#Headers],[Car - Note]:[NONTRACKED]],0))</f>
        <v>-10.587945205479453</v>
      </c>
      <c r="VE28" s="19">
        <f t="shared" ca="1" si="452"/>
        <v>189.41205479452054</v>
      </c>
      <c r="VF28" s="19">
        <v>150</v>
      </c>
      <c r="VG28" s="19">
        <v>200</v>
      </c>
      <c r="VH28" s="19" t="b">
        <f t="shared" ca="1" si="453"/>
        <v>0</v>
      </c>
      <c r="VI28" s="100">
        <f t="shared" si="288"/>
        <v>0</v>
      </c>
      <c r="VJ28" s="19">
        <f t="shared" ca="1" si="289"/>
        <v>0</v>
      </c>
      <c r="VK28" s="19">
        <f t="shared" ca="1" si="454"/>
        <v>0</v>
      </c>
      <c r="VL28" s="100">
        <f t="shared" si="290"/>
        <v>1</v>
      </c>
      <c r="VM28" s="19">
        <f t="shared" ca="1" si="291"/>
        <v>10.587945205479457</v>
      </c>
      <c r="VN28" s="19">
        <f t="shared" ca="1" si="292"/>
        <v>10.587945205479457</v>
      </c>
      <c r="VO28" s="19">
        <f t="shared" ca="1" si="455"/>
        <v>7.0191637295404359</v>
      </c>
      <c r="VP28" s="19">
        <f t="shared" ca="1" si="293"/>
        <v>196.43121852406097</v>
      </c>
      <c r="VQ28" s="19">
        <f t="shared" ca="1" si="294"/>
        <v>-3.57</v>
      </c>
      <c r="VR28" s="19">
        <f t="shared" ca="1" si="295"/>
        <v>0.98215609262030479</v>
      </c>
      <c r="VS28" s="12">
        <f t="shared" ca="1" si="296"/>
        <v>196.43121852406097</v>
      </c>
      <c r="VT28" s="79"/>
      <c r="VU28" s="12">
        <f t="shared" ca="1" si="456"/>
        <v>196.43121852406097</v>
      </c>
      <c r="VV28" s="18">
        <f t="shared" ca="1" si="297"/>
        <v>0.98215609262030479</v>
      </c>
      <c r="VX28" s="11">
        <f t="shared" ca="1" si="298"/>
        <v>196.43121852406097</v>
      </c>
      <c r="VY28" s="11">
        <f ca="1">INDEX(Totals[[#Data],[#Totals],[Car - Note]:[NONTRACKED]],MATCH(VX$1,Totals[Date],0),MATCH($C28,Totals[[#Headers],[Car - Note]:[NONTRACKED]],0))</f>
        <v>-35.58794520547945</v>
      </c>
      <c r="VZ28" s="11">
        <f t="shared" ca="1" si="457"/>
        <v>160.84327331858151</v>
      </c>
      <c r="WA28" s="11">
        <v>150</v>
      </c>
      <c r="WB28" s="11">
        <v>200</v>
      </c>
      <c r="WC28" s="11" t="b">
        <f t="shared" ca="1" si="458"/>
        <v>0</v>
      </c>
      <c r="WD28" s="92">
        <f t="shared" si="299"/>
        <v>0</v>
      </c>
      <c r="WE28" s="11">
        <f t="shared" ca="1" si="300"/>
        <v>0</v>
      </c>
      <c r="WF28" s="11">
        <f t="shared" ca="1" si="459"/>
        <v>0</v>
      </c>
      <c r="WG28" s="92">
        <f t="shared" si="301"/>
        <v>1</v>
      </c>
      <c r="WH28" s="11">
        <f t="shared" ca="1" si="302"/>
        <v>39.15672668141849</v>
      </c>
      <c r="WI28" s="11">
        <f t="shared" ca="1" si="303"/>
        <v>39.15672668141849</v>
      </c>
      <c r="WJ28" s="11">
        <f t="shared" ca="1" si="460"/>
        <v>23.384018370544506</v>
      </c>
      <c r="WK28" s="11">
        <f t="shared" ca="1" si="304"/>
        <v>184.22729168912602</v>
      </c>
      <c r="WL28" s="11">
        <f t="shared" ca="1" si="305"/>
        <v>-15.77</v>
      </c>
      <c r="WM28" s="11">
        <f t="shared" ca="1" si="306"/>
        <v>0.92113645844563008</v>
      </c>
      <c r="WN28" s="12">
        <f t="shared" ca="1" si="307"/>
        <v>184.22729168912602</v>
      </c>
      <c r="WO28" s="79"/>
      <c r="WP28" s="12">
        <f t="shared" ca="1" si="461"/>
        <v>184.22729168912602</v>
      </c>
      <c r="WQ28" s="18">
        <f t="shared" ca="1" si="308"/>
        <v>0.92113645844563008</v>
      </c>
      <c r="WS28" s="13">
        <f t="shared" ca="1" si="309"/>
        <v>184.22729168912602</v>
      </c>
      <c r="WT28" s="13">
        <f ca="1">INDEX(Totals[[#Data],[#Totals],[Car - Note]:[NONTRACKED]],MATCH(WS$1,Totals[Date],0),MATCH($C28,Totals[[#Headers],[Car - Note]:[NONTRACKED]],0))</f>
        <v>-10.94087671232877</v>
      </c>
      <c r="WU28" s="13">
        <f t="shared" ca="1" si="462"/>
        <v>173.28641497679726</v>
      </c>
      <c r="WV28" s="13">
        <v>150</v>
      </c>
      <c r="WW28" s="13">
        <v>200</v>
      </c>
      <c r="WX28" s="13" t="b">
        <f t="shared" ca="1" si="463"/>
        <v>0</v>
      </c>
      <c r="WY28" s="94">
        <f t="shared" si="310"/>
        <v>0</v>
      </c>
      <c r="WZ28" s="13">
        <f t="shared" ca="1" si="311"/>
        <v>0</v>
      </c>
      <c r="XA28" s="13">
        <f t="shared" ca="1" si="464"/>
        <v>0</v>
      </c>
      <c r="XB28" s="94">
        <f t="shared" si="312"/>
        <v>1</v>
      </c>
      <c r="XC28" s="13">
        <f t="shared" ca="1" si="313"/>
        <v>26.713585023202739</v>
      </c>
      <c r="XD28" s="13">
        <f t="shared" ca="1" si="314"/>
        <v>26.713585023202739</v>
      </c>
      <c r="XE28" s="13">
        <f t="shared" ca="1" si="465"/>
        <v>25.300862777861198</v>
      </c>
      <c r="XF28" s="13">
        <f t="shared" ca="1" si="315"/>
        <v>198.58727775465846</v>
      </c>
      <c r="XG28" s="13">
        <f t="shared" ca="1" si="316"/>
        <v>-1.41</v>
      </c>
      <c r="XH28" s="13">
        <f t="shared" ca="1" si="317"/>
        <v>0.99293638877329227</v>
      </c>
      <c r="XI28" s="12">
        <f t="shared" ca="1" si="318"/>
        <v>198.58727775465846</v>
      </c>
      <c r="XJ28" s="104">
        <f ca="1">WW28-XI28</f>
        <v>1.4127222453415413</v>
      </c>
      <c r="XK28" s="12">
        <f t="shared" ca="1" si="466"/>
        <v>200</v>
      </c>
      <c r="XL28" s="18">
        <f t="shared" ca="1" si="320"/>
        <v>1</v>
      </c>
      <c r="XN28">
        <v>0.42</v>
      </c>
      <c r="XO28" s="103">
        <f t="shared" ca="1" si="467"/>
        <v>77.375462509432921</v>
      </c>
      <c r="XP28" s="12">
        <f t="shared" ca="1" si="468"/>
        <v>106.8518291796931</v>
      </c>
      <c r="XQ28" s="102">
        <f t="shared" ca="1" si="469"/>
        <v>0.53425914589846546</v>
      </c>
    </row>
    <row r="29" spans="1:641" x14ac:dyDescent="0.25">
      <c r="A29" s="112"/>
      <c r="B29" t="s">
        <v>47</v>
      </c>
      <c r="C29" t="s">
        <v>366</v>
      </c>
      <c r="D29" s="79">
        <v>-50</v>
      </c>
      <c r="H29" s="48">
        <v>130</v>
      </c>
      <c r="I29" s="48"/>
      <c r="J29" s="48"/>
      <c r="K29" s="48">
        <v>150</v>
      </c>
      <c r="L29" s="95">
        <v>150</v>
      </c>
      <c r="M29" s="48"/>
      <c r="N29" s="96"/>
      <c r="O29" s="48"/>
      <c r="P29" s="48"/>
      <c r="Q29" s="96"/>
      <c r="R29" s="48"/>
      <c r="S29" s="48"/>
      <c r="T29" s="48"/>
      <c r="U29" s="48"/>
      <c r="V29" s="48"/>
      <c r="W29" s="48"/>
      <c r="X29" s="48"/>
      <c r="Y29" s="48"/>
      <c r="Z29" s="48">
        <f t="shared" si="321"/>
        <v>130</v>
      </c>
      <c r="AA29" s="98">
        <f t="shared" si="0"/>
        <v>0.8666666666666667</v>
      </c>
      <c r="AC29" s="11">
        <f t="shared" si="1"/>
        <v>130</v>
      </c>
      <c r="AD29" s="11">
        <f ca="1">INDEX(Totals[[#Data],[#Totals],[Car - Note]:[NONTRACKED]],MATCH(AC$1,Totals[Date],0),MATCH($C29,Totals[[#Headers],[Car - Note]:[NONTRACKED]],0))</f>
        <v>-152.89999999999998</v>
      </c>
      <c r="AE29" s="11">
        <f t="shared" ca="1" si="322"/>
        <v>-22.899999999999977</v>
      </c>
      <c r="AF29" s="11">
        <v>150</v>
      </c>
      <c r="AG29" s="11">
        <v>200</v>
      </c>
      <c r="AH29" s="11" t="b">
        <f t="shared" ca="1" si="323"/>
        <v>0</v>
      </c>
      <c r="AI29" s="92">
        <f t="shared" si="2"/>
        <v>0</v>
      </c>
      <c r="AJ29" s="11">
        <f t="shared" ca="1" si="3"/>
        <v>0</v>
      </c>
      <c r="AK29" s="11">
        <f t="shared" ca="1" si="324"/>
        <v>0</v>
      </c>
      <c r="AL29" s="92">
        <f t="shared" si="4"/>
        <v>1</v>
      </c>
      <c r="AM29" s="11">
        <f t="shared" ca="1" si="5"/>
        <v>222.89999999999998</v>
      </c>
      <c r="AN29" s="11">
        <f t="shared" ca="1" si="6"/>
        <v>150</v>
      </c>
      <c r="AO29" s="11">
        <f t="shared" ca="1" si="325"/>
        <v>120.74546631745538</v>
      </c>
      <c r="AP29" s="11">
        <f t="shared" ca="1" si="7"/>
        <v>97.845466317455404</v>
      </c>
      <c r="AQ29" s="11">
        <f t="shared" ca="1" si="8"/>
        <v>-102.15</v>
      </c>
      <c r="AR29" s="11">
        <f t="shared" ca="1" si="9"/>
        <v>0.48922733158727705</v>
      </c>
      <c r="AS29" s="12">
        <f t="shared" ca="1" si="10"/>
        <v>97.845466317455404</v>
      </c>
      <c r="AT29" s="12"/>
      <c r="AU29" s="12">
        <f t="shared" ca="1" si="326"/>
        <v>97.845466317455404</v>
      </c>
      <c r="AV29" s="18">
        <f t="shared" ca="1" si="11"/>
        <v>0.48922733158727705</v>
      </c>
      <c r="AX29" s="13">
        <f t="shared" ca="1" si="12"/>
        <v>97.845466317455404</v>
      </c>
      <c r="AY29" s="13">
        <f ca="1">INDEX(Totals[[#Data],[#Totals],[Car - Note]:[NONTRACKED]],MATCH(AX$1,Totals[Date],0),MATCH($C29,Totals[[#Headers],[Car - Note]:[NONTRACKED]],0))</f>
        <v>-117.94</v>
      </c>
      <c r="AZ29" s="13">
        <f t="shared" ca="1" si="327"/>
        <v>-20.094533682544593</v>
      </c>
      <c r="BA29" s="13">
        <v>150</v>
      </c>
      <c r="BB29" s="13">
        <v>180</v>
      </c>
      <c r="BC29" s="13" t="b">
        <f t="shared" ca="1" si="328"/>
        <v>0</v>
      </c>
      <c r="BD29" s="94">
        <f t="shared" si="13"/>
        <v>0</v>
      </c>
      <c r="BE29" s="13">
        <f t="shared" ca="1" si="14"/>
        <v>0</v>
      </c>
      <c r="BF29" s="13">
        <f t="shared" ca="1" si="329"/>
        <v>0</v>
      </c>
      <c r="BG29" s="94">
        <f t="shared" si="15"/>
        <v>1</v>
      </c>
      <c r="BH29" s="13">
        <f t="shared" ca="1" si="16"/>
        <v>200.09453368254458</v>
      </c>
      <c r="BI29" s="13">
        <f t="shared" ca="1" si="17"/>
        <v>150</v>
      </c>
      <c r="BJ29" s="13">
        <f t="shared" ca="1" si="330"/>
        <v>71.578920957159866</v>
      </c>
      <c r="BK29" s="13">
        <f t="shared" ca="1" si="18"/>
        <v>51.484387274615273</v>
      </c>
      <c r="BL29" s="13">
        <f t="shared" ca="1" si="19"/>
        <v>-128.52000000000001</v>
      </c>
      <c r="BM29" s="13">
        <f t="shared" ca="1" si="20"/>
        <v>0.2860243737478626</v>
      </c>
      <c r="BN29" s="12">
        <f t="shared" ca="1" si="21"/>
        <v>51.484387274615273</v>
      </c>
      <c r="BO29" s="12"/>
      <c r="BP29" s="12">
        <f t="shared" ca="1" si="331"/>
        <v>51.484387274615273</v>
      </c>
      <c r="BQ29" s="18">
        <f t="shared" ca="1" si="22"/>
        <v>0.2860243737478626</v>
      </c>
      <c r="BS29" s="19">
        <f t="shared" ca="1" si="23"/>
        <v>51.484387274615273</v>
      </c>
      <c r="BT29" s="19">
        <f ca="1">INDEX(Totals[[#Data],[#Totals],[Car - Note]:[NONTRACKED]],MATCH(BS$1,Totals[Date],0),MATCH($C29,Totals[[#Headers],[Car - Note]:[NONTRACKED]],0))</f>
        <v>-18</v>
      </c>
      <c r="BU29" s="19">
        <f t="shared" ca="1" si="332"/>
        <v>33.484387274615273</v>
      </c>
      <c r="BV29" s="19">
        <v>150</v>
      </c>
      <c r="BW29" s="19">
        <v>200</v>
      </c>
      <c r="BX29" s="19" t="b">
        <f t="shared" ca="1" si="333"/>
        <v>0</v>
      </c>
      <c r="BY29" s="100">
        <f t="shared" si="24"/>
        <v>0</v>
      </c>
      <c r="BZ29" s="19">
        <f t="shared" ca="1" si="25"/>
        <v>0</v>
      </c>
      <c r="CA29" s="19">
        <f t="shared" ca="1" si="334"/>
        <v>0</v>
      </c>
      <c r="CB29" s="100">
        <f t="shared" si="26"/>
        <v>1</v>
      </c>
      <c r="CC29" s="19">
        <f t="shared" ca="1" si="27"/>
        <v>166.51561272538473</v>
      </c>
      <c r="CD29" s="19">
        <f t="shared" ca="1" si="28"/>
        <v>150</v>
      </c>
      <c r="CE29" s="19">
        <f t="shared" ca="1" si="335"/>
        <v>150</v>
      </c>
      <c r="CF29" s="19">
        <f t="shared" ca="1" si="29"/>
        <v>183.48438727461527</v>
      </c>
      <c r="CG29" s="19">
        <f t="shared" ca="1" si="30"/>
        <v>-16.52</v>
      </c>
      <c r="CH29" s="19">
        <f t="shared" ca="1" si="31"/>
        <v>0.91742193637307634</v>
      </c>
      <c r="CI29" s="12">
        <f t="shared" ca="1" si="32"/>
        <v>183.48438727461527</v>
      </c>
      <c r="CJ29" s="10">
        <f ca="1">BW29-CI29</f>
        <v>16.515612725384727</v>
      </c>
      <c r="CK29" s="12">
        <f t="shared" ca="1" si="336"/>
        <v>200</v>
      </c>
      <c r="CL29" s="18">
        <f t="shared" ca="1" si="33"/>
        <v>1</v>
      </c>
      <c r="CN29" s="11">
        <f t="shared" ca="1" si="34"/>
        <v>200</v>
      </c>
      <c r="CO29" s="11">
        <f ca="1">INDEX(Totals[[#Data],[#Totals],[Car - Note]:[NONTRACKED]],MATCH(CN$1,Totals[Date],0),MATCH($C29,Totals[[#Headers],[Car - Note]:[NONTRACKED]],0))</f>
        <v>0</v>
      </c>
      <c r="CP29" s="11">
        <f t="shared" ca="1" si="337"/>
        <v>200</v>
      </c>
      <c r="CQ29" s="11">
        <v>150</v>
      </c>
      <c r="CR29" s="11">
        <v>200</v>
      </c>
      <c r="CS29" s="11" t="b">
        <f t="shared" ca="1" si="338"/>
        <v>1</v>
      </c>
      <c r="CT29" s="92">
        <f t="shared" si="35"/>
        <v>0</v>
      </c>
      <c r="CU29" s="11">
        <f t="shared" ca="1" si="36"/>
        <v>0</v>
      </c>
      <c r="CV29" s="11">
        <f t="shared" ca="1" si="339"/>
        <v>0</v>
      </c>
      <c r="CW29" s="92">
        <f t="shared" si="37"/>
        <v>1</v>
      </c>
      <c r="CX29" s="11">
        <f t="shared" ca="1" si="38"/>
        <v>0</v>
      </c>
      <c r="CY29" s="11">
        <f t="shared" ca="1" si="39"/>
        <v>0</v>
      </c>
      <c r="CZ29" s="11">
        <f t="shared" ca="1" si="340"/>
        <v>0</v>
      </c>
      <c r="DA29" s="11">
        <f t="shared" ca="1" si="40"/>
        <v>200</v>
      </c>
      <c r="DB29" s="11">
        <f t="shared" ca="1" si="41"/>
        <v>0</v>
      </c>
      <c r="DC29" s="11">
        <f t="shared" ca="1" si="42"/>
        <v>1</v>
      </c>
      <c r="DD29" s="12">
        <f t="shared" ca="1" si="43"/>
        <v>200</v>
      </c>
      <c r="DE29" s="79"/>
      <c r="DF29" s="12">
        <f t="shared" ca="1" si="341"/>
        <v>200</v>
      </c>
      <c r="DG29" s="18">
        <f t="shared" ca="1" si="44"/>
        <v>1</v>
      </c>
      <c r="DI29" s="13">
        <f t="shared" ca="1" si="45"/>
        <v>200</v>
      </c>
      <c r="DJ29" s="13">
        <f ca="1">INDEX(Totals[[#Data],[#Totals],[Car - Note]:[NONTRACKED]],MATCH(DI$1,Totals[Date],0),MATCH($C29,Totals[[#Headers],[Car - Note]:[NONTRACKED]],0))</f>
        <v>-17</v>
      </c>
      <c r="DK29" s="13">
        <f t="shared" ca="1" si="342"/>
        <v>183</v>
      </c>
      <c r="DL29" s="13">
        <v>150</v>
      </c>
      <c r="DM29" s="13">
        <v>200</v>
      </c>
      <c r="DN29" s="13" t="b">
        <f t="shared" ca="1" si="343"/>
        <v>0</v>
      </c>
      <c r="DO29" s="94">
        <f t="shared" si="46"/>
        <v>0</v>
      </c>
      <c r="DP29" s="13">
        <f t="shared" ca="1" si="47"/>
        <v>0</v>
      </c>
      <c r="DQ29" s="13">
        <f t="shared" ca="1" si="344"/>
        <v>0</v>
      </c>
      <c r="DR29" s="94">
        <f t="shared" si="48"/>
        <v>1</v>
      </c>
      <c r="DS29" s="13">
        <f t="shared" ca="1" si="49"/>
        <v>17</v>
      </c>
      <c r="DT29" s="13">
        <f t="shared" ca="1" si="50"/>
        <v>17</v>
      </c>
      <c r="DU29" s="13">
        <f t="shared" ca="1" si="345"/>
        <v>7.2592206351209665</v>
      </c>
      <c r="DV29" s="13">
        <f t="shared" ca="1" si="51"/>
        <v>190.25922063512095</v>
      </c>
      <c r="DW29" s="13">
        <f t="shared" ca="1" si="52"/>
        <v>-9.74</v>
      </c>
      <c r="DX29" s="13">
        <f t="shared" ca="1" si="53"/>
        <v>0.95129610317560476</v>
      </c>
      <c r="DY29" s="12">
        <f t="shared" ca="1" si="54"/>
        <v>190.25922063512095</v>
      </c>
      <c r="DZ29" s="79"/>
      <c r="EA29" s="12">
        <f t="shared" ca="1" si="346"/>
        <v>190.25922063512095</v>
      </c>
      <c r="EB29" s="18">
        <f t="shared" ca="1" si="55"/>
        <v>0.95129610317560476</v>
      </c>
      <c r="ED29" s="19">
        <f t="shared" ca="1" si="56"/>
        <v>190.25922063512095</v>
      </c>
      <c r="EE29" s="19">
        <f ca="1">INDEX(Totals[[#Data],[#Totals],[Car - Note]:[NONTRACKED]],MATCH(ED$1,Totals[Date],0),MATCH($C29,Totals[[#Headers],[Car - Note]:[NONTRACKED]],0))</f>
        <v>0</v>
      </c>
      <c r="EF29" s="19">
        <f t="shared" ca="1" si="347"/>
        <v>190.25922063512095</v>
      </c>
      <c r="EG29" s="19">
        <v>150</v>
      </c>
      <c r="EH29" s="19">
        <v>200</v>
      </c>
      <c r="EI29" s="19" t="b">
        <f t="shared" ca="1" si="348"/>
        <v>0</v>
      </c>
      <c r="EJ29" s="100">
        <f t="shared" si="57"/>
        <v>0</v>
      </c>
      <c r="EK29" s="19">
        <f t="shared" ca="1" si="58"/>
        <v>0</v>
      </c>
      <c r="EL29" s="19">
        <f t="shared" ca="1" si="349"/>
        <v>0</v>
      </c>
      <c r="EM29" s="100">
        <f t="shared" si="59"/>
        <v>1</v>
      </c>
      <c r="EN29" s="19">
        <f t="shared" ca="1" si="60"/>
        <v>9.7407793648790459</v>
      </c>
      <c r="EO29" s="19">
        <f t="shared" ca="1" si="61"/>
        <v>9.7407793648790459</v>
      </c>
      <c r="EP29" s="19">
        <f t="shared" ca="1" si="350"/>
        <v>7.1001248114865403</v>
      </c>
      <c r="EQ29" s="19">
        <f t="shared" ca="1" si="62"/>
        <v>197.35934544660751</v>
      </c>
      <c r="ER29" s="19">
        <f t="shared" ca="1" si="63"/>
        <v>-2.64</v>
      </c>
      <c r="ES29" s="19">
        <f t="shared" ca="1" si="64"/>
        <v>0.98679672723303757</v>
      </c>
      <c r="ET29" s="12">
        <f t="shared" ca="1" si="65"/>
        <v>197.35934544660751</v>
      </c>
      <c r="EU29" s="79"/>
      <c r="EV29" s="12">
        <f t="shared" ca="1" si="351"/>
        <v>197.35934544660751</v>
      </c>
      <c r="EW29" s="18">
        <f t="shared" ca="1" si="66"/>
        <v>0.98679672723303757</v>
      </c>
      <c r="EY29" s="11">
        <f t="shared" ca="1" si="67"/>
        <v>197.35934544660751</v>
      </c>
      <c r="EZ29" s="11">
        <f ca="1">INDEX(Totals[[#Data],[#Totals],[Car - Note]:[NONTRACKED]],MATCH(EY$1,Totals[Date],0),MATCH($C29,Totals[[#Headers],[Car - Note]:[NONTRACKED]],0))</f>
        <v>0</v>
      </c>
      <c r="FA29" s="11">
        <f t="shared" ca="1" si="352"/>
        <v>197.35934544660751</v>
      </c>
      <c r="FB29" s="11">
        <v>150</v>
      </c>
      <c r="FC29" s="11">
        <v>200</v>
      </c>
      <c r="FD29" s="11" t="b">
        <f t="shared" ca="1" si="353"/>
        <v>0</v>
      </c>
      <c r="FE29" s="92">
        <f t="shared" si="68"/>
        <v>0</v>
      </c>
      <c r="FF29" s="11">
        <f t="shared" ca="1" si="69"/>
        <v>0</v>
      </c>
      <c r="FG29" s="11">
        <f t="shared" ca="1" si="354"/>
        <v>0</v>
      </c>
      <c r="FH29" s="92">
        <f t="shared" si="70"/>
        <v>1</v>
      </c>
      <c r="FI29" s="11">
        <f t="shared" ca="1" si="71"/>
        <v>2.6406545533924941</v>
      </c>
      <c r="FJ29" s="11">
        <f t="shared" ca="1" si="72"/>
        <v>2.6406545533924941</v>
      </c>
      <c r="FK29" s="11">
        <f t="shared" ca="1" si="355"/>
        <v>1.1438680336106404</v>
      </c>
      <c r="FL29" s="11">
        <f t="shared" ca="1" si="73"/>
        <v>198.50321348021814</v>
      </c>
      <c r="FM29" s="11">
        <f t="shared" ca="1" si="74"/>
        <v>-1.5</v>
      </c>
      <c r="FN29" s="11">
        <f t="shared" ca="1" si="75"/>
        <v>0.99251606740109066</v>
      </c>
      <c r="FO29" s="12">
        <f t="shared" ca="1" si="76"/>
        <v>198.50321348021814</v>
      </c>
      <c r="FP29" s="79"/>
      <c r="FQ29" s="12">
        <f t="shared" ca="1" si="356"/>
        <v>198.50321348021814</v>
      </c>
      <c r="FR29" s="18">
        <f t="shared" ca="1" si="77"/>
        <v>0.99251606740109066</v>
      </c>
      <c r="FT29" s="13">
        <f t="shared" ca="1" si="78"/>
        <v>198.50321348021814</v>
      </c>
      <c r="FU29" s="13">
        <f ca="1">INDEX(Totals[[#Data],[#Totals],[Car - Note]:[NONTRACKED]],MATCH(FT$1,Totals[Date],0),MATCH($C29,Totals[[#Headers],[Car - Note]:[NONTRACKED]],0))</f>
        <v>0</v>
      </c>
      <c r="FV29" s="13">
        <f t="shared" ca="1" si="357"/>
        <v>198.50321348021814</v>
      </c>
      <c r="FW29" s="13">
        <v>150</v>
      </c>
      <c r="FX29" s="13">
        <v>200</v>
      </c>
      <c r="FY29" s="13" t="b">
        <f t="shared" ca="1" si="358"/>
        <v>0</v>
      </c>
      <c r="FZ29" s="94">
        <f t="shared" si="79"/>
        <v>0</v>
      </c>
      <c r="GA29" s="13">
        <f t="shared" ca="1" si="80"/>
        <v>0</v>
      </c>
      <c r="GB29" s="13">
        <f t="shared" ca="1" si="359"/>
        <v>0</v>
      </c>
      <c r="GC29" s="94">
        <f t="shared" si="81"/>
        <v>1</v>
      </c>
      <c r="GD29" s="13">
        <f t="shared" ca="1" si="82"/>
        <v>1.4967865197818639</v>
      </c>
      <c r="GE29" s="13">
        <f t="shared" ca="1" si="83"/>
        <v>1.4967865197818639</v>
      </c>
      <c r="GF29" s="13">
        <f t="shared" ca="1" si="360"/>
        <v>0.64661377129499864</v>
      </c>
      <c r="GG29" s="13">
        <f t="shared" ca="1" si="84"/>
        <v>199.14982725151313</v>
      </c>
      <c r="GH29" s="13">
        <f t="shared" ca="1" si="85"/>
        <v>-0.85</v>
      </c>
      <c r="GI29" s="13">
        <f t="shared" ca="1" si="86"/>
        <v>0.99574913625756567</v>
      </c>
      <c r="GJ29" s="12">
        <f t="shared" ca="1" si="87"/>
        <v>199.14982725151313</v>
      </c>
      <c r="GK29" s="79"/>
      <c r="GL29" s="12">
        <f t="shared" ca="1" si="361"/>
        <v>199.14982725151313</v>
      </c>
      <c r="GM29" s="18">
        <f t="shared" ca="1" si="88"/>
        <v>0.99574913625756567</v>
      </c>
      <c r="GO29" s="19">
        <f t="shared" ca="1" si="89"/>
        <v>199.14982725151313</v>
      </c>
      <c r="GP29" s="19">
        <f ca="1">INDEX(Totals[[#Data],[#Totals],[Car - Note]:[NONTRACKED]],MATCH(GO$1,Totals[Date],0),MATCH($C29,Totals[[#Headers],[Car - Note]:[NONTRACKED]],0))</f>
        <v>0</v>
      </c>
      <c r="GQ29" s="19">
        <f t="shared" ca="1" si="362"/>
        <v>199.14982725151313</v>
      </c>
      <c r="GR29" s="19">
        <v>150</v>
      </c>
      <c r="GS29" s="19">
        <v>200</v>
      </c>
      <c r="GT29" s="19" t="b">
        <f t="shared" ca="1" si="363"/>
        <v>0</v>
      </c>
      <c r="GU29" s="100">
        <f t="shared" si="90"/>
        <v>0</v>
      </c>
      <c r="GV29" s="19">
        <f t="shared" ca="1" si="91"/>
        <v>0</v>
      </c>
      <c r="GW29" s="19">
        <f t="shared" ca="1" si="364"/>
        <v>0</v>
      </c>
      <c r="GX29" s="100">
        <f t="shared" si="92"/>
        <v>1</v>
      </c>
      <c r="GY29" s="19">
        <f t="shared" ca="1" si="93"/>
        <v>0.85017274848686952</v>
      </c>
      <c r="GZ29" s="19">
        <f t="shared" ca="1" si="94"/>
        <v>0.85017274848686952</v>
      </c>
      <c r="HA29" s="19">
        <f t="shared" ca="1" si="365"/>
        <v>0.37560269997045892</v>
      </c>
      <c r="HB29" s="19">
        <f t="shared" ca="1" si="95"/>
        <v>199.5254299514836</v>
      </c>
      <c r="HC29" s="19">
        <f t="shared" ca="1" si="96"/>
        <v>-0.47</v>
      </c>
      <c r="HD29" s="19">
        <f t="shared" ca="1" si="97"/>
        <v>0.99762714975741806</v>
      </c>
      <c r="HE29" s="12">
        <f t="shared" ca="1" si="98"/>
        <v>199.5254299514836</v>
      </c>
      <c r="HF29" s="79"/>
      <c r="HG29" s="12">
        <f t="shared" ca="1" si="366"/>
        <v>199.5254299514836</v>
      </c>
      <c r="HH29" s="18">
        <f t="shared" ca="1" si="99"/>
        <v>0.99762714975741806</v>
      </c>
      <c r="HJ29" s="11">
        <f t="shared" ca="1" si="100"/>
        <v>199.5254299514836</v>
      </c>
      <c r="HK29" s="11">
        <f ca="1">INDEX(Totals[[#Data],[#Totals],[Car - Note]:[NONTRACKED]],MATCH(HJ$1,Totals[Date],0),MATCH($C29,Totals[[#Headers],[Car - Note]:[NONTRACKED]],0))</f>
        <v>-197.2</v>
      </c>
      <c r="HL29" s="11">
        <f t="shared" ca="1" si="367"/>
        <v>2.3254299514836134</v>
      </c>
      <c r="HM29" s="11">
        <v>150</v>
      </c>
      <c r="HN29" s="11">
        <v>200</v>
      </c>
      <c r="HO29" s="11" t="b">
        <f t="shared" ca="1" si="368"/>
        <v>0</v>
      </c>
      <c r="HP29" s="92">
        <f t="shared" si="101"/>
        <v>0</v>
      </c>
      <c r="HQ29" s="11">
        <f t="shared" ca="1" si="102"/>
        <v>0</v>
      </c>
      <c r="HR29" s="11">
        <f t="shared" ca="1" si="369"/>
        <v>0</v>
      </c>
      <c r="HS29" s="92">
        <f t="shared" si="103"/>
        <v>1</v>
      </c>
      <c r="HT29" s="11">
        <f t="shared" ca="1" si="104"/>
        <v>197.67457004851639</v>
      </c>
      <c r="HU29" s="11">
        <f t="shared" ca="1" si="105"/>
        <v>150</v>
      </c>
      <c r="HV29" s="11">
        <f t="shared" ca="1" si="370"/>
        <v>63.480483303828017</v>
      </c>
      <c r="HW29" s="11">
        <f t="shared" ca="1" si="106"/>
        <v>65.805913255311623</v>
      </c>
      <c r="HX29" s="11">
        <f t="shared" ca="1" si="107"/>
        <v>-134.19</v>
      </c>
      <c r="HY29" s="11">
        <f t="shared" ca="1" si="108"/>
        <v>0.32902956627655811</v>
      </c>
      <c r="HZ29" s="12">
        <f t="shared" ca="1" si="109"/>
        <v>65.805913255311623</v>
      </c>
      <c r="IA29" s="79"/>
      <c r="IB29" s="12">
        <f t="shared" ca="1" si="371"/>
        <v>65.805913255311623</v>
      </c>
      <c r="IC29" s="18">
        <f t="shared" ca="1" si="110"/>
        <v>0.32902956627655811</v>
      </c>
      <c r="IE29" s="13">
        <f t="shared" ca="1" si="111"/>
        <v>65.805913255311623</v>
      </c>
      <c r="IF29" s="13">
        <f ca="1">INDEX(Totals[[#Data],[#Totals],[Car - Note]:[NONTRACKED]],MATCH(IE$1,Totals[Date],0),MATCH($C29,Totals[[#Headers],[Car - Note]:[NONTRACKED]],0))</f>
        <v>-54.92</v>
      </c>
      <c r="IG29" s="13">
        <f t="shared" ca="1" si="372"/>
        <v>10.885913255311621</v>
      </c>
      <c r="IH29" s="13">
        <v>150</v>
      </c>
      <c r="II29" s="13">
        <v>200</v>
      </c>
      <c r="IJ29" s="13" t="b">
        <f t="shared" ca="1" si="373"/>
        <v>0</v>
      </c>
      <c r="IK29" s="94">
        <f t="shared" si="112"/>
        <v>0</v>
      </c>
      <c r="IL29" s="13">
        <f t="shared" ca="1" si="113"/>
        <v>0</v>
      </c>
      <c r="IM29" s="13">
        <f t="shared" ca="1" si="374"/>
        <v>0</v>
      </c>
      <c r="IN29" s="94">
        <f t="shared" si="114"/>
        <v>1</v>
      </c>
      <c r="IO29" s="13">
        <f t="shared" ca="1" si="115"/>
        <v>189.11408674468839</v>
      </c>
      <c r="IP29" s="13">
        <f t="shared" ca="1" si="116"/>
        <v>150</v>
      </c>
      <c r="IQ29" s="13">
        <f t="shared" ca="1" si="375"/>
        <v>69.289093357497947</v>
      </c>
      <c r="IR29" s="13">
        <f t="shared" ca="1" si="117"/>
        <v>80.175006612809568</v>
      </c>
      <c r="IS29" s="13">
        <f t="shared" ca="1" si="118"/>
        <v>-119.82</v>
      </c>
      <c r="IT29" s="13">
        <f t="shared" ca="1" si="119"/>
        <v>0.40087503306404781</v>
      </c>
      <c r="IU29" s="12">
        <f t="shared" ca="1" si="120"/>
        <v>80.175006612809568</v>
      </c>
      <c r="IV29" s="79"/>
      <c r="IW29" s="12">
        <f t="shared" ca="1" si="376"/>
        <v>80.175006612809568</v>
      </c>
      <c r="IX29" s="18">
        <f t="shared" ca="1" si="121"/>
        <v>0.40087503306404781</v>
      </c>
      <c r="IZ29" s="19">
        <f t="shared" ca="1" si="122"/>
        <v>80.175006612809568</v>
      </c>
      <c r="JA29" s="19">
        <f ca="1">INDEX(Totals[[#Data],[#Totals],[Car - Note]:[NONTRACKED]],MATCH(IZ$1,Totals[Date],0),MATCH($C29,Totals[[#Headers],[Car - Note]:[NONTRACKED]],0))</f>
        <v>0</v>
      </c>
      <c r="JB29" s="19">
        <f t="shared" ca="1" si="377"/>
        <v>80.175006612809568</v>
      </c>
      <c r="JC29" s="19">
        <v>150</v>
      </c>
      <c r="JD29" s="19">
        <v>200</v>
      </c>
      <c r="JE29" s="19" t="b">
        <f t="shared" ca="1" si="378"/>
        <v>0</v>
      </c>
      <c r="JF29" s="100">
        <f t="shared" si="123"/>
        <v>0</v>
      </c>
      <c r="JG29" s="19">
        <f t="shared" ca="1" si="124"/>
        <v>0</v>
      </c>
      <c r="JH29" s="19">
        <f t="shared" ca="1" si="379"/>
        <v>0</v>
      </c>
      <c r="JI29" s="100">
        <f t="shared" si="125"/>
        <v>1</v>
      </c>
      <c r="JJ29" s="19">
        <f t="shared" ca="1" si="126"/>
        <v>119.82499338719043</v>
      </c>
      <c r="JK29" s="19">
        <f t="shared" ca="1" si="127"/>
        <v>119.82499338719043</v>
      </c>
      <c r="JL29" s="19">
        <f t="shared" ca="1" si="380"/>
        <v>45.856398003027174</v>
      </c>
      <c r="JM29" s="19">
        <f t="shared" ca="1" si="128"/>
        <v>126.03140461583675</v>
      </c>
      <c r="JN29" s="19">
        <f t="shared" ca="1" si="129"/>
        <v>-73.97</v>
      </c>
      <c r="JO29" s="19">
        <f t="shared" ca="1" si="130"/>
        <v>0.63015702307918375</v>
      </c>
      <c r="JP29" s="12">
        <f t="shared" ca="1" si="131"/>
        <v>126.03140461583675</v>
      </c>
      <c r="JQ29" s="79"/>
      <c r="JR29" s="12">
        <f t="shared" ca="1" si="381"/>
        <v>126.03140461583675</v>
      </c>
      <c r="JS29" s="18">
        <f t="shared" ca="1" si="132"/>
        <v>0.63015702307918375</v>
      </c>
      <c r="JU29" s="11">
        <f t="shared" ca="1" si="133"/>
        <v>126.03140461583675</v>
      </c>
      <c r="JV29" s="11">
        <f ca="1">INDEX(Totals[[#Data],[#Totals],[Car - Note]:[NONTRACKED]],MATCH(JU$1,Totals[Date],0),MATCH($C29,Totals[[#Headers],[Car - Note]:[NONTRACKED]],0))</f>
        <v>-17.7</v>
      </c>
      <c r="JW29" s="11">
        <f t="shared" ca="1" si="382"/>
        <v>108.33140461583675</v>
      </c>
      <c r="JX29" s="11">
        <v>150</v>
      </c>
      <c r="JY29" s="11">
        <v>200</v>
      </c>
      <c r="JZ29" s="11" t="b">
        <f t="shared" ca="1" si="383"/>
        <v>0</v>
      </c>
      <c r="KA29" s="92">
        <f t="shared" si="134"/>
        <v>0</v>
      </c>
      <c r="KB29" s="11">
        <f t="shared" ca="1" si="135"/>
        <v>0</v>
      </c>
      <c r="KC29" s="11">
        <f t="shared" ca="1" si="384"/>
        <v>0</v>
      </c>
      <c r="KD29" s="92">
        <f t="shared" si="136"/>
        <v>1</v>
      </c>
      <c r="KE29" s="11">
        <f t="shared" ca="1" si="137"/>
        <v>91.668595384163254</v>
      </c>
      <c r="KF29" s="11">
        <f t="shared" ca="1" si="138"/>
        <v>91.668595384163254</v>
      </c>
      <c r="KG29" s="11">
        <f t="shared" ca="1" si="385"/>
        <v>63.402368204415843</v>
      </c>
      <c r="KH29" s="11">
        <f t="shared" ca="1" si="139"/>
        <v>171.7337728202526</v>
      </c>
      <c r="KI29" s="11">
        <f t="shared" ca="1" si="140"/>
        <v>-28.27</v>
      </c>
      <c r="KJ29" s="11">
        <f t="shared" ca="1" si="141"/>
        <v>0.85866886410126297</v>
      </c>
      <c r="KK29" s="12">
        <f t="shared" ca="1" si="142"/>
        <v>171.7337728202526</v>
      </c>
      <c r="KL29" s="79"/>
      <c r="KM29" s="12">
        <f t="shared" ca="1" si="386"/>
        <v>171.7337728202526</v>
      </c>
      <c r="KN29" s="18">
        <f t="shared" ca="1" si="143"/>
        <v>0.85866886410126297</v>
      </c>
      <c r="KP29" s="13">
        <f t="shared" ca="1" si="144"/>
        <v>171.7337728202526</v>
      </c>
      <c r="KQ29" s="13">
        <f ca="1">INDEX(Totals[[#Data],[#Totals],[Car - Note]:[NONTRACKED]],MATCH(KP$1,Totals[Date],0),MATCH($C29,Totals[[#Headers],[Car - Note]:[NONTRACKED]],0))</f>
        <v>0</v>
      </c>
      <c r="KR29" s="13">
        <f t="shared" ca="1" si="387"/>
        <v>171.7337728202526</v>
      </c>
      <c r="KS29" s="13">
        <v>150</v>
      </c>
      <c r="KT29" s="13">
        <v>200</v>
      </c>
      <c r="KU29" s="13" t="b">
        <f t="shared" ca="1" si="388"/>
        <v>0</v>
      </c>
      <c r="KV29" s="94">
        <f t="shared" si="145"/>
        <v>0</v>
      </c>
      <c r="KW29" s="13">
        <f t="shared" ca="1" si="146"/>
        <v>0</v>
      </c>
      <c r="KX29" s="13">
        <f t="shared" ca="1" si="389"/>
        <v>0</v>
      </c>
      <c r="KY29" s="94">
        <f t="shared" si="147"/>
        <v>1</v>
      </c>
      <c r="KZ29" s="13">
        <f t="shared" ca="1" si="148"/>
        <v>28.266227179747403</v>
      </c>
      <c r="LA29" s="13">
        <f t="shared" ca="1" si="149"/>
        <v>28.266227179747403</v>
      </c>
      <c r="LB29" s="13">
        <f t="shared" ca="1" si="390"/>
        <v>21.56740483764144</v>
      </c>
      <c r="LC29" s="13">
        <f t="shared" ca="1" si="150"/>
        <v>193.30117765789404</v>
      </c>
      <c r="LD29" s="13">
        <f t="shared" ca="1" si="151"/>
        <v>-6.7</v>
      </c>
      <c r="LE29" s="13">
        <f t="shared" ca="1" si="152"/>
        <v>0.96650588828947026</v>
      </c>
      <c r="LF29" s="12">
        <f t="shared" ca="1" si="153"/>
        <v>193.30117765789404</v>
      </c>
      <c r="LG29" s="79"/>
      <c r="LH29" s="12">
        <f t="shared" ca="1" si="391"/>
        <v>193.30117765789404</v>
      </c>
      <c r="LI29" s="18">
        <f t="shared" ca="1" si="154"/>
        <v>0.96650588828947026</v>
      </c>
      <c r="LK29" s="19">
        <f t="shared" ca="1" si="155"/>
        <v>193.30117765789404</v>
      </c>
      <c r="LL29" s="19">
        <f ca="1">INDEX(Totals[[#Data],[#Totals],[Car - Note]:[NONTRACKED]],MATCH(LK$1,Totals[Date],0),MATCH($C29,Totals[[#Headers],[Car - Note]:[NONTRACKED]],0))</f>
        <v>0</v>
      </c>
      <c r="LM29" s="19">
        <f t="shared" ca="1" si="392"/>
        <v>193.30117765789404</v>
      </c>
      <c r="LN29" s="19">
        <v>150</v>
      </c>
      <c r="LO29" s="19">
        <v>200</v>
      </c>
      <c r="LP29" s="19" t="b">
        <f t="shared" ca="1" si="393"/>
        <v>0</v>
      </c>
      <c r="LQ29" s="100">
        <f t="shared" si="156"/>
        <v>0</v>
      </c>
      <c r="LR29" s="19">
        <f t="shared" ca="1" si="157"/>
        <v>0</v>
      </c>
      <c r="LS29" s="19">
        <f t="shared" ca="1" si="394"/>
        <v>0</v>
      </c>
      <c r="LT29" s="100">
        <f t="shared" si="158"/>
        <v>1</v>
      </c>
      <c r="LU29" s="19">
        <f t="shared" ca="1" si="159"/>
        <v>6.6988223421059558</v>
      </c>
      <c r="LV29" s="19">
        <f t="shared" ca="1" si="160"/>
        <v>6.6988223421059558</v>
      </c>
      <c r="LW29" s="19">
        <f t="shared" ca="1" si="395"/>
        <v>4.2521061848477748</v>
      </c>
      <c r="LX29" s="19">
        <f t="shared" ca="1" si="161"/>
        <v>197.55328384274182</v>
      </c>
      <c r="LY29" s="19">
        <f t="shared" ca="1" si="162"/>
        <v>-2.4500000000000002</v>
      </c>
      <c r="LZ29" s="19">
        <f t="shared" ca="1" si="163"/>
        <v>0.98776641921370911</v>
      </c>
      <c r="MA29" s="12">
        <f t="shared" ca="1" si="164"/>
        <v>197.55328384274182</v>
      </c>
      <c r="MB29" s="79"/>
      <c r="MC29" s="12">
        <f t="shared" ca="1" si="396"/>
        <v>197.55328384274182</v>
      </c>
      <c r="MD29" s="18">
        <f t="shared" ca="1" si="165"/>
        <v>0.98776641921370911</v>
      </c>
      <c r="MF29" s="11">
        <f t="shared" ca="1" si="166"/>
        <v>197.55328384274182</v>
      </c>
      <c r="MG29" s="11">
        <f ca="1">INDEX(Totals[[#Data],[#Totals],[Car - Note]:[NONTRACKED]],MATCH(MF$1,Totals[Date],0),MATCH($C29,Totals[[#Headers],[Car - Note]:[NONTRACKED]],0))</f>
        <v>-23</v>
      </c>
      <c r="MH29" s="11">
        <f t="shared" ca="1" si="397"/>
        <v>174.55328384274182</v>
      </c>
      <c r="MI29" s="11">
        <v>150</v>
      </c>
      <c r="MJ29" s="11">
        <v>200</v>
      </c>
      <c r="MK29" s="11" t="b">
        <f t="shared" ca="1" si="398"/>
        <v>0</v>
      </c>
      <c r="ML29" s="92">
        <f t="shared" si="167"/>
        <v>0</v>
      </c>
      <c r="MM29" s="11">
        <f t="shared" ca="1" si="168"/>
        <v>0</v>
      </c>
      <c r="MN29" s="11">
        <f t="shared" ca="1" si="399"/>
        <v>0</v>
      </c>
      <c r="MO29" s="92">
        <f t="shared" si="169"/>
        <v>1</v>
      </c>
      <c r="MP29" s="11">
        <f t="shared" ca="1" si="170"/>
        <v>25.44671615725818</v>
      </c>
      <c r="MQ29" s="11">
        <f t="shared" ca="1" si="171"/>
        <v>25.44671615725818</v>
      </c>
      <c r="MR29" s="11">
        <f t="shared" ca="1" si="400"/>
        <v>12.742912203783842</v>
      </c>
      <c r="MS29" s="11">
        <f t="shared" ca="1" si="172"/>
        <v>187.29619604652567</v>
      </c>
      <c r="MT29" s="11">
        <f t="shared" ca="1" si="173"/>
        <v>-12.7</v>
      </c>
      <c r="MU29" s="11">
        <f t="shared" ca="1" si="174"/>
        <v>0.93648098023262838</v>
      </c>
      <c r="MV29" s="12">
        <f t="shared" ca="1" si="175"/>
        <v>187.29619604652567</v>
      </c>
      <c r="MW29" s="79"/>
      <c r="MX29" s="12">
        <f t="shared" ca="1" si="401"/>
        <v>187.29619604652567</v>
      </c>
      <c r="MY29" s="18">
        <f t="shared" ca="1" si="176"/>
        <v>0.93648098023262838</v>
      </c>
      <c r="NA29" s="13">
        <f t="shared" ca="1" si="177"/>
        <v>187.29619604652567</v>
      </c>
      <c r="NB29" s="13">
        <f ca="1">INDEX(Totals[[#Data],[#Totals],[Car - Note]:[NONTRACKED]],MATCH(NA$1,Totals[Date],0),MATCH($C29,Totals[[#Headers],[Car - Note]:[NONTRACKED]],0))</f>
        <v>-49.44</v>
      </c>
      <c r="NC29" s="13">
        <f t="shared" ca="1" si="402"/>
        <v>137.85619604652567</v>
      </c>
      <c r="ND29" s="13">
        <v>150</v>
      </c>
      <c r="NE29" s="13">
        <v>200</v>
      </c>
      <c r="NF29" s="13" t="b">
        <f t="shared" ca="1" si="403"/>
        <v>0</v>
      </c>
      <c r="NG29" s="94">
        <f t="shared" si="178"/>
        <v>0</v>
      </c>
      <c r="NH29" s="13">
        <f t="shared" ca="1" si="179"/>
        <v>0</v>
      </c>
      <c r="NI29" s="13">
        <f t="shared" ca="1" si="404"/>
        <v>0</v>
      </c>
      <c r="NJ29" s="94">
        <f t="shared" si="180"/>
        <v>1</v>
      </c>
      <c r="NK29" s="13">
        <f t="shared" ca="1" si="181"/>
        <v>62.143803953474333</v>
      </c>
      <c r="NL29" s="13">
        <f t="shared" ca="1" si="182"/>
        <v>62.143803953474333</v>
      </c>
      <c r="NM29" s="13">
        <f t="shared" ca="1" si="405"/>
        <v>62.143803953474333</v>
      </c>
      <c r="NN29" s="13">
        <f t="shared" ca="1" si="183"/>
        <v>200</v>
      </c>
      <c r="NO29" s="13">
        <f t="shared" ca="1" si="184"/>
        <v>0</v>
      </c>
      <c r="NP29" s="13">
        <f t="shared" ca="1" si="185"/>
        <v>1</v>
      </c>
      <c r="NQ29" s="12">
        <f t="shared" ca="1" si="186"/>
        <v>200</v>
      </c>
      <c r="NR29" s="79"/>
      <c r="NS29" s="12">
        <f t="shared" ca="1" si="406"/>
        <v>200</v>
      </c>
      <c r="NT29" s="18">
        <f t="shared" ca="1" si="187"/>
        <v>1</v>
      </c>
      <c r="NV29" s="19">
        <f t="shared" ca="1" si="188"/>
        <v>200</v>
      </c>
      <c r="NW29" s="19">
        <f ca="1">INDEX(Totals[[#Data],[#Totals],[Car - Note]:[NONTRACKED]],MATCH(NV$1,Totals[Date],0),MATCH($C29,Totals[[#Headers],[Car - Note]:[NONTRACKED]],0))</f>
        <v>0</v>
      </c>
      <c r="NX29" s="19">
        <f t="shared" ca="1" si="407"/>
        <v>200</v>
      </c>
      <c r="NY29" s="19">
        <v>150</v>
      </c>
      <c r="NZ29" s="19">
        <v>200</v>
      </c>
      <c r="OA29" s="19" t="b">
        <f t="shared" ca="1" si="408"/>
        <v>1</v>
      </c>
      <c r="OB29" s="100">
        <f t="shared" si="189"/>
        <v>0</v>
      </c>
      <c r="OC29" s="19">
        <f t="shared" ca="1" si="190"/>
        <v>0</v>
      </c>
      <c r="OD29" s="19">
        <f t="shared" ca="1" si="409"/>
        <v>0</v>
      </c>
      <c r="OE29" s="100">
        <f t="shared" si="191"/>
        <v>1</v>
      </c>
      <c r="OF29" s="19">
        <f t="shared" ca="1" si="192"/>
        <v>0</v>
      </c>
      <c r="OG29" s="19">
        <f t="shared" ca="1" si="193"/>
        <v>0</v>
      </c>
      <c r="OH29" s="19">
        <f t="shared" ca="1" si="410"/>
        <v>0</v>
      </c>
      <c r="OI29" s="19">
        <f t="shared" ca="1" si="194"/>
        <v>200</v>
      </c>
      <c r="OJ29" s="19">
        <f t="shared" ca="1" si="195"/>
        <v>0</v>
      </c>
      <c r="OK29" s="19">
        <f t="shared" ca="1" si="196"/>
        <v>1</v>
      </c>
      <c r="OL29" s="12">
        <f t="shared" ca="1" si="197"/>
        <v>200</v>
      </c>
      <c r="OM29" s="79"/>
      <c r="ON29" s="12">
        <f t="shared" ca="1" si="411"/>
        <v>200</v>
      </c>
      <c r="OO29" s="18">
        <f t="shared" ca="1" si="198"/>
        <v>1</v>
      </c>
      <c r="OQ29" s="11">
        <f t="shared" ca="1" si="199"/>
        <v>200</v>
      </c>
      <c r="OR29" s="11">
        <f ca="1">INDEX(Totals[[#Data],[#Totals],[Car - Note]:[NONTRACKED]],MATCH(OQ$1,Totals[Date],0),MATCH($C29,Totals[[#Headers],[Car - Note]:[NONTRACKED]],0))</f>
        <v>-20</v>
      </c>
      <c r="OS29" s="11">
        <f t="shared" ca="1" si="412"/>
        <v>180</v>
      </c>
      <c r="OT29" s="11">
        <v>150</v>
      </c>
      <c r="OU29" s="11">
        <v>200</v>
      </c>
      <c r="OV29" s="11" t="b">
        <f t="shared" ca="1" si="413"/>
        <v>0</v>
      </c>
      <c r="OW29" s="92">
        <f t="shared" si="200"/>
        <v>0</v>
      </c>
      <c r="OX29" s="11">
        <f t="shared" ca="1" si="201"/>
        <v>0</v>
      </c>
      <c r="OY29" s="11">
        <f t="shared" ca="1" si="414"/>
        <v>0</v>
      </c>
      <c r="OZ29" s="92">
        <f t="shared" si="202"/>
        <v>1</v>
      </c>
      <c r="PA29" s="11">
        <f t="shared" ca="1" si="203"/>
        <v>20</v>
      </c>
      <c r="PB29" s="11">
        <f t="shared" ca="1" si="204"/>
        <v>20</v>
      </c>
      <c r="PC29" s="11">
        <f t="shared" ca="1" si="415"/>
        <v>11.879110980092237</v>
      </c>
      <c r="PD29" s="11">
        <f t="shared" ca="1" si="205"/>
        <v>191.87911098009224</v>
      </c>
      <c r="PE29" s="11">
        <f t="shared" ca="1" si="206"/>
        <v>-8.1199999999999992</v>
      </c>
      <c r="PF29" s="11">
        <f t="shared" ca="1" si="207"/>
        <v>0.95939555490046113</v>
      </c>
      <c r="PG29" s="12">
        <f t="shared" ca="1" si="208"/>
        <v>191.87911098009224</v>
      </c>
      <c r="PH29" s="79"/>
      <c r="PI29" s="12">
        <f t="shared" ca="1" si="416"/>
        <v>191.87911098009224</v>
      </c>
      <c r="PJ29" s="18">
        <f t="shared" ca="1" si="209"/>
        <v>0.95939555490046113</v>
      </c>
      <c r="PL29" s="13">
        <f t="shared" ca="1" si="210"/>
        <v>191.87911098009224</v>
      </c>
      <c r="PM29" s="13">
        <f ca="1">INDEX(Totals[[#Data],[#Totals],[Car - Note]:[NONTRACKED]],MATCH(PL$1,Totals[Date],0),MATCH($C29,Totals[[#Headers],[Car - Note]:[NONTRACKED]],0))</f>
        <v>-220.15</v>
      </c>
      <c r="PN29" s="13">
        <f t="shared" ca="1" si="417"/>
        <v>-28.27088901990777</v>
      </c>
      <c r="PO29" s="13">
        <v>150</v>
      </c>
      <c r="PP29" s="13">
        <v>200</v>
      </c>
      <c r="PQ29" s="13" t="b">
        <f t="shared" ca="1" si="418"/>
        <v>0</v>
      </c>
      <c r="PR29" s="94">
        <f t="shared" si="211"/>
        <v>0</v>
      </c>
      <c r="PS29" s="13">
        <f t="shared" ca="1" si="212"/>
        <v>0</v>
      </c>
      <c r="PT29" s="13">
        <f t="shared" ca="1" si="419"/>
        <v>0</v>
      </c>
      <c r="PU29" s="94">
        <f t="shared" si="213"/>
        <v>1</v>
      </c>
      <c r="PV29" s="13">
        <f t="shared" ca="1" si="214"/>
        <v>228.27088901990777</v>
      </c>
      <c r="PW29" s="13">
        <f t="shared" ca="1" si="215"/>
        <v>150</v>
      </c>
      <c r="PX29" s="13">
        <f t="shared" ca="1" si="420"/>
        <v>105.96712202515394</v>
      </c>
      <c r="PY29" s="13">
        <f t="shared" ca="1" si="216"/>
        <v>77.696233005246171</v>
      </c>
      <c r="PZ29" s="13">
        <f t="shared" ca="1" si="217"/>
        <v>-122.3</v>
      </c>
      <c r="QA29" s="13">
        <f t="shared" ca="1" si="218"/>
        <v>0.38848116502623087</v>
      </c>
      <c r="QB29" s="12">
        <f t="shared" ca="1" si="219"/>
        <v>77.696233005246171</v>
      </c>
      <c r="QC29" s="79"/>
      <c r="QD29" s="12">
        <f t="shared" ca="1" si="421"/>
        <v>77.696233005246171</v>
      </c>
      <c r="QE29" s="18">
        <f t="shared" ca="1" si="220"/>
        <v>0.38848116502623087</v>
      </c>
      <c r="QG29" s="19">
        <f t="shared" ca="1" si="221"/>
        <v>77.696233005246171</v>
      </c>
      <c r="QH29" s="19">
        <f ca="1">INDEX(Totals[[#Data],[#Totals],[Car - Note]:[NONTRACKED]],MATCH(QG$1,Totals[Date],0),MATCH($C29,Totals[[#Headers],[Car - Note]:[NONTRACKED]],0))</f>
        <v>0</v>
      </c>
      <c r="QI29" s="19">
        <f t="shared" ca="1" si="422"/>
        <v>77.696233005246171</v>
      </c>
      <c r="QJ29" s="19">
        <v>150</v>
      </c>
      <c r="QK29" s="19">
        <v>200</v>
      </c>
      <c r="QL29" s="19" t="b">
        <f t="shared" ca="1" si="423"/>
        <v>0</v>
      </c>
      <c r="QM29" s="100">
        <f t="shared" si="222"/>
        <v>0</v>
      </c>
      <c r="QN29" s="19">
        <f t="shared" ca="1" si="223"/>
        <v>0</v>
      </c>
      <c r="QO29" s="19">
        <f t="shared" ca="1" si="424"/>
        <v>0</v>
      </c>
      <c r="QP29" s="100">
        <f t="shared" si="224"/>
        <v>1</v>
      </c>
      <c r="QQ29" s="19">
        <f t="shared" ca="1" si="225"/>
        <v>122.30376699475383</v>
      </c>
      <c r="QR29" s="19">
        <f t="shared" ca="1" si="226"/>
        <v>122.30376699475383</v>
      </c>
      <c r="QS29" s="19">
        <f t="shared" ca="1" si="425"/>
        <v>85.45477796645541</v>
      </c>
      <c r="QT29" s="19">
        <f t="shared" ca="1" si="227"/>
        <v>163.15101097170157</v>
      </c>
      <c r="QU29" s="19">
        <f t="shared" ca="1" si="228"/>
        <v>-36.85</v>
      </c>
      <c r="QV29" s="19">
        <f t="shared" ca="1" si="229"/>
        <v>0.81575505485850786</v>
      </c>
      <c r="QW29" s="12">
        <f t="shared" ca="1" si="230"/>
        <v>163.15101097170157</v>
      </c>
      <c r="QX29" s="79"/>
      <c r="QY29" s="12">
        <f t="shared" ca="1" si="426"/>
        <v>163.15101097170157</v>
      </c>
      <c r="QZ29" s="18">
        <f t="shared" ca="1" si="231"/>
        <v>0.81575505485850786</v>
      </c>
      <c r="RB29" s="11">
        <f t="shared" ca="1" si="232"/>
        <v>163.15101097170157</v>
      </c>
      <c r="RC29" s="11">
        <f ca="1">INDEX(Totals[[#Data],[#Totals],[Car - Note]:[NONTRACKED]],MATCH(RB$1,Totals[Date],0),MATCH($C29,Totals[[#Headers],[Car - Note]:[NONTRACKED]],0))</f>
        <v>-73.959999999999994</v>
      </c>
      <c r="RD29" s="11">
        <f t="shared" ca="1" si="427"/>
        <v>89.191010971701573</v>
      </c>
      <c r="RE29" s="11">
        <v>150</v>
      </c>
      <c r="RF29" s="11">
        <v>200</v>
      </c>
      <c r="RG29" s="11" t="b">
        <f t="shared" ca="1" si="428"/>
        <v>0</v>
      </c>
      <c r="RH29" s="92">
        <f t="shared" si="233"/>
        <v>0</v>
      </c>
      <c r="RI29" s="11">
        <f t="shared" ca="1" si="234"/>
        <v>0</v>
      </c>
      <c r="RJ29" s="11">
        <f t="shared" ca="1" si="429"/>
        <v>0</v>
      </c>
      <c r="RK29" s="92">
        <f t="shared" si="235"/>
        <v>1</v>
      </c>
      <c r="RL29" s="11">
        <f t="shared" ca="1" si="236"/>
        <v>110.80898902829843</v>
      </c>
      <c r="RM29" s="11">
        <f t="shared" ca="1" si="237"/>
        <v>110.80898902829843</v>
      </c>
      <c r="RN29" s="11">
        <f t="shared" ca="1" si="430"/>
        <v>65.139748675729791</v>
      </c>
      <c r="RO29" s="11">
        <f t="shared" ca="1" si="238"/>
        <v>154.33075964743136</v>
      </c>
      <c r="RP29" s="11">
        <f t="shared" ca="1" si="239"/>
        <v>-45.67</v>
      </c>
      <c r="RQ29" s="11">
        <f t="shared" ca="1" si="240"/>
        <v>0.77165379823715685</v>
      </c>
      <c r="RR29" s="12">
        <f t="shared" ca="1" si="241"/>
        <v>154.33075964743136</v>
      </c>
      <c r="RS29" s="79"/>
      <c r="RT29" s="12">
        <f t="shared" ca="1" si="431"/>
        <v>154.33075964743136</v>
      </c>
      <c r="RU29" s="18">
        <f t="shared" ca="1" si="242"/>
        <v>0.77165379823715685</v>
      </c>
      <c r="RW29" s="13">
        <f t="shared" ca="1" si="243"/>
        <v>154.33075964743136</v>
      </c>
      <c r="RX29" s="13">
        <f ca="1">INDEX(Totals[[#Data],[#Totals],[Car - Note]:[NONTRACKED]],MATCH(RW$1,Totals[Date],0),MATCH($C29,Totals[[#Headers],[Car - Note]:[NONTRACKED]],0))</f>
        <v>29.75</v>
      </c>
      <c r="RY29" s="13">
        <f t="shared" ca="1" si="432"/>
        <v>184.08075964743136</v>
      </c>
      <c r="RZ29" s="13">
        <v>150</v>
      </c>
      <c r="SA29" s="13">
        <v>200</v>
      </c>
      <c r="SB29" s="13" t="b">
        <f t="shared" ca="1" si="433"/>
        <v>0</v>
      </c>
      <c r="SC29" s="94">
        <f t="shared" si="244"/>
        <v>0</v>
      </c>
      <c r="SD29" s="13">
        <f t="shared" ca="1" si="245"/>
        <v>0</v>
      </c>
      <c r="SE29" s="13">
        <f t="shared" ca="1" si="434"/>
        <v>0</v>
      </c>
      <c r="SF29" s="94">
        <f t="shared" si="246"/>
        <v>1</v>
      </c>
      <c r="SG29" s="13">
        <f t="shared" ca="1" si="247"/>
        <v>15.919240352568636</v>
      </c>
      <c r="SH29" s="13">
        <f t="shared" ca="1" si="248"/>
        <v>15.919240352568636</v>
      </c>
      <c r="SI29" s="13">
        <f t="shared" ca="1" si="435"/>
        <v>13.970892174528126</v>
      </c>
      <c r="SJ29" s="13">
        <f t="shared" ca="1" si="249"/>
        <v>198.0516518219595</v>
      </c>
      <c r="SK29" s="13">
        <f t="shared" ca="1" si="250"/>
        <v>-1.95</v>
      </c>
      <c r="SL29" s="13">
        <f t="shared" ca="1" si="251"/>
        <v>0.99025825910979748</v>
      </c>
      <c r="SM29" s="12">
        <f t="shared" ca="1" si="252"/>
        <v>198.0516518219595</v>
      </c>
      <c r="SN29" s="79"/>
      <c r="SO29" s="12">
        <f t="shared" ca="1" si="436"/>
        <v>198.0516518219595</v>
      </c>
      <c r="SP29" s="18">
        <f t="shared" ca="1" si="253"/>
        <v>0.99025825910979748</v>
      </c>
      <c r="SR29" s="19">
        <f t="shared" ca="1" si="254"/>
        <v>198.0516518219595</v>
      </c>
      <c r="SS29" s="19">
        <f ca="1">INDEX(Totals[[#Data],[#Totals],[Car - Note]:[NONTRACKED]],MATCH(SR$1,Totals[Date],0),MATCH($C29,Totals[[#Headers],[Car - Note]:[NONTRACKED]],0))</f>
        <v>-81.19</v>
      </c>
      <c r="ST29" s="19">
        <f t="shared" ca="1" si="437"/>
        <v>116.8616518219595</v>
      </c>
      <c r="SU29" s="19">
        <v>150</v>
      </c>
      <c r="SV29" s="19">
        <v>200</v>
      </c>
      <c r="SW29" s="19" t="b">
        <f t="shared" ca="1" si="438"/>
        <v>0</v>
      </c>
      <c r="SX29" s="100">
        <f t="shared" si="255"/>
        <v>0</v>
      </c>
      <c r="SY29" s="19">
        <f t="shared" ca="1" si="256"/>
        <v>0</v>
      </c>
      <c r="SZ29" s="19">
        <f t="shared" ca="1" si="439"/>
        <v>0</v>
      </c>
      <c r="TA29" s="100">
        <f t="shared" si="257"/>
        <v>1</v>
      </c>
      <c r="TB29" s="19">
        <f t="shared" ca="1" si="258"/>
        <v>83.138348178040502</v>
      </c>
      <c r="TC29" s="19">
        <f t="shared" ca="1" si="259"/>
        <v>83.138348178040502</v>
      </c>
      <c r="TD29" s="19">
        <f t="shared" ca="1" si="440"/>
        <v>60.4086777220786</v>
      </c>
      <c r="TE29" s="19">
        <f t="shared" ca="1" si="260"/>
        <v>177.27032954403811</v>
      </c>
      <c r="TF29" s="19">
        <f t="shared" ca="1" si="261"/>
        <v>-22.73</v>
      </c>
      <c r="TG29" s="19">
        <f t="shared" ca="1" si="262"/>
        <v>0.88635164772019048</v>
      </c>
      <c r="TH29" s="12">
        <f t="shared" ca="1" si="263"/>
        <v>177.27032954403811</v>
      </c>
      <c r="TI29" s="79"/>
      <c r="TJ29" s="12">
        <f t="shared" ca="1" si="441"/>
        <v>177.27032954403811</v>
      </c>
      <c r="TK29" s="18">
        <f t="shared" ca="1" si="264"/>
        <v>0.88635164772019048</v>
      </c>
      <c r="TM29" s="11">
        <f t="shared" ca="1" si="265"/>
        <v>177.27032954403811</v>
      </c>
      <c r="TN29" s="11">
        <f ca="1">INDEX(Totals[[#Data],[#Totals],[Car - Note]:[NONTRACKED]],MATCH(TM$1,Totals[Date],0),MATCH($C29,Totals[[#Headers],[Car - Note]:[NONTRACKED]],0))</f>
        <v>-21</v>
      </c>
      <c r="TO29" s="11">
        <f t="shared" ca="1" si="442"/>
        <v>156.27032954403811</v>
      </c>
      <c r="TP29" s="11">
        <v>150</v>
      </c>
      <c r="TQ29" s="11">
        <v>200</v>
      </c>
      <c r="TR29" s="11" t="b">
        <f t="shared" ca="1" si="443"/>
        <v>0</v>
      </c>
      <c r="TS29" s="92">
        <f t="shared" si="266"/>
        <v>0</v>
      </c>
      <c r="TT29" s="11">
        <f t="shared" ca="1" si="267"/>
        <v>0</v>
      </c>
      <c r="TU29" s="11">
        <f t="shared" ca="1" si="444"/>
        <v>0</v>
      </c>
      <c r="TV29" s="92">
        <f t="shared" si="268"/>
        <v>1</v>
      </c>
      <c r="TW29" s="11">
        <f t="shared" ca="1" si="269"/>
        <v>43.729670455961895</v>
      </c>
      <c r="TX29" s="11">
        <f t="shared" ca="1" si="270"/>
        <v>43.729670455961895</v>
      </c>
      <c r="TY29" s="11">
        <f t="shared" ca="1" si="445"/>
        <v>27.834275973168982</v>
      </c>
      <c r="TZ29" s="11">
        <f t="shared" ca="1" si="271"/>
        <v>184.10460551720709</v>
      </c>
      <c r="UA29" s="11">
        <f t="shared" ca="1" si="272"/>
        <v>-15.9</v>
      </c>
      <c r="UB29" s="11">
        <f t="shared" ca="1" si="273"/>
        <v>0.92052302758603544</v>
      </c>
      <c r="UC29" s="12">
        <f t="shared" ca="1" si="274"/>
        <v>184.10460551720709</v>
      </c>
      <c r="UD29" s="79"/>
      <c r="UE29" s="12">
        <f t="shared" ca="1" si="446"/>
        <v>184.10460551720709</v>
      </c>
      <c r="UF29" s="18">
        <f t="shared" ca="1" si="275"/>
        <v>0.92052302758603544</v>
      </c>
      <c r="UH29" s="13">
        <f t="shared" ca="1" si="276"/>
        <v>184.10460551720709</v>
      </c>
      <c r="UI29" s="13">
        <f ca="1">INDEX(Totals[[#Data],[#Totals],[Car - Note]:[NONTRACKED]],MATCH(UH$1,Totals[Date],0),MATCH($C29,Totals[[#Headers],[Car - Note]:[NONTRACKED]],0))</f>
        <v>0</v>
      </c>
      <c r="UJ29" s="13">
        <f t="shared" ca="1" si="447"/>
        <v>184.10460551720709</v>
      </c>
      <c r="UK29" s="13">
        <v>150</v>
      </c>
      <c r="UL29" s="13">
        <v>200</v>
      </c>
      <c r="UM29" s="13" t="b">
        <f t="shared" ca="1" si="448"/>
        <v>0</v>
      </c>
      <c r="UN29" s="94">
        <f t="shared" si="277"/>
        <v>0</v>
      </c>
      <c r="UO29" s="13">
        <f t="shared" ca="1" si="278"/>
        <v>0</v>
      </c>
      <c r="UP29" s="13">
        <f t="shared" ca="1" si="449"/>
        <v>0</v>
      </c>
      <c r="UQ29" s="94">
        <f t="shared" si="279"/>
        <v>1</v>
      </c>
      <c r="UR29" s="13">
        <f t="shared" ca="1" si="280"/>
        <v>15.895394482792909</v>
      </c>
      <c r="US29" s="13">
        <f t="shared" ca="1" si="281"/>
        <v>15.895394482792909</v>
      </c>
      <c r="UT29" s="13">
        <f t="shared" ca="1" si="450"/>
        <v>15.895394482792909</v>
      </c>
      <c r="UU29" s="13">
        <f t="shared" ca="1" si="282"/>
        <v>200</v>
      </c>
      <c r="UV29" s="13">
        <f t="shared" ca="1" si="283"/>
        <v>0</v>
      </c>
      <c r="UW29" s="13">
        <f t="shared" ca="1" si="284"/>
        <v>1</v>
      </c>
      <c r="UX29" s="12">
        <f t="shared" ca="1" si="285"/>
        <v>200</v>
      </c>
      <c r="UY29" s="79"/>
      <c r="UZ29" s="12">
        <f t="shared" ca="1" si="451"/>
        <v>200</v>
      </c>
      <c r="VA29" s="18">
        <f t="shared" ca="1" si="286"/>
        <v>1</v>
      </c>
      <c r="VC29" s="19">
        <f t="shared" ca="1" si="287"/>
        <v>200</v>
      </c>
      <c r="VD29" s="19">
        <f ca="1">INDEX(Totals[[#Data],[#Totals],[Car - Note]:[NONTRACKED]],MATCH(VC$1,Totals[Date],0),MATCH($C29,Totals[[#Headers],[Car - Note]:[NONTRACKED]],0))</f>
        <v>0</v>
      </c>
      <c r="VE29" s="19">
        <f t="shared" ca="1" si="452"/>
        <v>200</v>
      </c>
      <c r="VF29" s="19">
        <v>150</v>
      </c>
      <c r="VG29" s="19">
        <v>200</v>
      </c>
      <c r="VH29" s="19" t="b">
        <f t="shared" ca="1" si="453"/>
        <v>1</v>
      </c>
      <c r="VI29" s="100">
        <f t="shared" si="288"/>
        <v>0</v>
      </c>
      <c r="VJ29" s="19">
        <f t="shared" ca="1" si="289"/>
        <v>0</v>
      </c>
      <c r="VK29" s="19">
        <f t="shared" ca="1" si="454"/>
        <v>0</v>
      </c>
      <c r="VL29" s="100">
        <f t="shared" si="290"/>
        <v>1</v>
      </c>
      <c r="VM29" s="19">
        <f t="shared" ca="1" si="291"/>
        <v>0</v>
      </c>
      <c r="VN29" s="19">
        <f t="shared" ca="1" si="292"/>
        <v>0</v>
      </c>
      <c r="VO29" s="19">
        <f t="shared" ca="1" si="455"/>
        <v>0</v>
      </c>
      <c r="VP29" s="19">
        <f t="shared" ca="1" si="293"/>
        <v>200</v>
      </c>
      <c r="VQ29" s="19">
        <f t="shared" ca="1" si="294"/>
        <v>0</v>
      </c>
      <c r="VR29" s="19">
        <f t="shared" ca="1" si="295"/>
        <v>1</v>
      </c>
      <c r="VS29" s="12">
        <f t="shared" ca="1" si="296"/>
        <v>200</v>
      </c>
      <c r="VT29" s="79"/>
      <c r="VU29" s="12">
        <f t="shared" ca="1" si="456"/>
        <v>200</v>
      </c>
      <c r="VV29" s="18">
        <f t="shared" ca="1" si="297"/>
        <v>1</v>
      </c>
      <c r="VX29" s="11">
        <f t="shared" ca="1" si="298"/>
        <v>200</v>
      </c>
      <c r="VY29" s="11">
        <f ca="1">INDEX(Totals[[#Data],[#Totals],[Car - Note]:[NONTRACKED]],MATCH(VX$1,Totals[Date],0),MATCH($C29,Totals[[#Headers],[Car - Note]:[NONTRACKED]],0))</f>
        <v>0</v>
      </c>
      <c r="VZ29" s="11">
        <f t="shared" ca="1" si="457"/>
        <v>200</v>
      </c>
      <c r="WA29" s="11">
        <v>150</v>
      </c>
      <c r="WB29" s="11">
        <v>200</v>
      </c>
      <c r="WC29" s="11" t="b">
        <f t="shared" ca="1" si="458"/>
        <v>1</v>
      </c>
      <c r="WD29" s="92">
        <f t="shared" si="299"/>
        <v>0</v>
      </c>
      <c r="WE29" s="11">
        <f t="shared" ca="1" si="300"/>
        <v>0</v>
      </c>
      <c r="WF29" s="11">
        <f t="shared" ca="1" si="459"/>
        <v>0</v>
      </c>
      <c r="WG29" s="92">
        <f t="shared" si="301"/>
        <v>1</v>
      </c>
      <c r="WH29" s="11">
        <f t="shared" ca="1" si="302"/>
        <v>0</v>
      </c>
      <c r="WI29" s="11">
        <f t="shared" ca="1" si="303"/>
        <v>0</v>
      </c>
      <c r="WJ29" s="11">
        <f t="shared" ca="1" si="460"/>
        <v>0</v>
      </c>
      <c r="WK29" s="11">
        <f t="shared" ca="1" si="304"/>
        <v>200</v>
      </c>
      <c r="WL29" s="11">
        <f t="shared" ca="1" si="305"/>
        <v>0</v>
      </c>
      <c r="WM29" s="11">
        <f t="shared" ca="1" si="306"/>
        <v>1</v>
      </c>
      <c r="WN29" s="12">
        <f t="shared" ca="1" si="307"/>
        <v>200</v>
      </c>
      <c r="WO29" s="79"/>
      <c r="WP29" s="12">
        <f t="shared" ca="1" si="461"/>
        <v>200</v>
      </c>
      <c r="WQ29" s="18">
        <f t="shared" ca="1" si="308"/>
        <v>1</v>
      </c>
      <c r="WS29" s="13">
        <f t="shared" ca="1" si="309"/>
        <v>200</v>
      </c>
      <c r="WT29" s="13">
        <f ca="1">INDEX(Totals[[#Data],[#Totals],[Car - Note]:[NONTRACKED]],MATCH(WS$1,Totals[Date],0),MATCH($C29,Totals[[#Headers],[Car - Note]:[NONTRACKED]],0))</f>
        <v>0</v>
      </c>
      <c r="WU29" s="13">
        <f t="shared" ca="1" si="462"/>
        <v>200</v>
      </c>
      <c r="WV29" s="13">
        <v>150</v>
      </c>
      <c r="WW29" s="13">
        <v>200</v>
      </c>
      <c r="WX29" s="13" t="b">
        <f t="shared" ca="1" si="463"/>
        <v>1</v>
      </c>
      <c r="WY29" s="94">
        <f t="shared" si="310"/>
        <v>0</v>
      </c>
      <c r="WZ29" s="13">
        <f t="shared" ca="1" si="311"/>
        <v>0</v>
      </c>
      <c r="XA29" s="13">
        <f t="shared" ca="1" si="464"/>
        <v>0</v>
      </c>
      <c r="XB29" s="94">
        <f t="shared" si="312"/>
        <v>1</v>
      </c>
      <c r="XC29" s="13">
        <f t="shared" ca="1" si="313"/>
        <v>0</v>
      </c>
      <c r="XD29" s="13">
        <f t="shared" ca="1" si="314"/>
        <v>0</v>
      </c>
      <c r="XE29" s="13">
        <f t="shared" ca="1" si="465"/>
        <v>0</v>
      </c>
      <c r="XF29" s="13">
        <f t="shared" ca="1" si="315"/>
        <v>200</v>
      </c>
      <c r="XG29" s="13">
        <f t="shared" ca="1" si="316"/>
        <v>0</v>
      </c>
      <c r="XH29" s="13">
        <f t="shared" ca="1" si="317"/>
        <v>1</v>
      </c>
      <c r="XI29" s="12">
        <f t="shared" ca="1" si="318"/>
        <v>200</v>
      </c>
      <c r="XJ29" s="104">
        <f ca="1">WW29-XI29</f>
        <v>0</v>
      </c>
      <c r="XK29" s="12">
        <f t="shared" ca="1" si="466"/>
        <v>200</v>
      </c>
      <c r="XL29" s="18">
        <f t="shared" ca="1" si="320"/>
        <v>1</v>
      </c>
      <c r="XN29">
        <v>0.25</v>
      </c>
      <c r="XO29" s="103">
        <f t="shared" ca="1" si="467"/>
        <v>50</v>
      </c>
      <c r="XP29" s="12">
        <f t="shared" ca="1" si="468"/>
        <v>150</v>
      </c>
      <c r="XQ29" s="102">
        <f t="shared" ca="1" si="469"/>
        <v>0.75</v>
      </c>
    </row>
    <row r="30" spans="1:641" collapsed="1" x14ac:dyDescent="0.25">
      <c r="A30" s="112" t="s">
        <v>90</v>
      </c>
      <c r="B30" t="s">
        <v>82</v>
      </c>
      <c r="C30" t="s">
        <v>101</v>
      </c>
      <c r="D30" s="79">
        <v>0</v>
      </c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C30" s="11"/>
      <c r="AD30" s="11">
        <f ca="1">INDEX(Totals[[#Data],[#Totals],[Car - Note]:[NONTRACKED]],MATCH(AC$1,Totals[Date],0),MATCH($C30,Totals[[#Headers],[Car - Note]:[NONTRACKED]],0))</f>
        <v>-398.58356164383559</v>
      </c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2"/>
      <c r="AT30" s="12"/>
      <c r="AU30" s="12"/>
      <c r="AV30" s="12"/>
      <c r="AX30" s="13"/>
      <c r="AY30" s="13">
        <f ca="1">INDEX(Totals[[#Data],[#Totals],[Car - Note]:[NONTRACKED]],MATCH(AX$1,Totals[Date],0),MATCH($C30,Totals[[#Headers],[Car - Note]:[NONTRACKED]],0))</f>
        <v>1639.9890410958903</v>
      </c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2"/>
      <c r="BO30" s="12"/>
      <c r="BP30" s="12"/>
      <c r="BQ30" s="12"/>
      <c r="BS30" s="19"/>
      <c r="BT30" s="19">
        <f ca="1">INDEX(Totals[[#Data],[#Totals],[Car - Note]:[NONTRACKED]],MATCH(BS$1,Totals[Date],0),MATCH($C30,Totals[[#Headers],[Car - Note]:[NONTRACKED]],0))</f>
        <v>-398.58356164383554</v>
      </c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2"/>
      <c r="CJ30" s="12"/>
      <c r="CK30" s="12"/>
      <c r="CL30" s="12"/>
      <c r="CN30" s="11"/>
      <c r="CO30" s="11">
        <f ca="1">INDEX(Totals[[#Data],[#Totals],[Car - Note]:[NONTRACKED]],MATCH(CN$1,Totals[Date],0),MATCH($C30,Totals[[#Headers],[Car - Note]:[NONTRACKED]],0))</f>
        <v>-385.7260273972604</v>
      </c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2"/>
      <c r="DE30" s="12"/>
      <c r="DF30" s="12"/>
      <c r="DG30" s="12"/>
      <c r="DI30" s="13"/>
      <c r="DJ30" s="13">
        <f ca="1">INDEX(Totals[[#Data],[#Totals],[Car - Note]:[NONTRACKED]],MATCH(DI$1,Totals[Date],0),MATCH($C30,Totals[[#Headers],[Car - Note]:[NONTRACKED]],0))</f>
        <v>-798.48356164383551</v>
      </c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2"/>
      <c r="DZ30" s="12"/>
      <c r="EA30" s="12"/>
      <c r="EB30" s="12"/>
      <c r="ED30" s="19"/>
      <c r="EE30" s="19">
        <f ca="1">INDEX(Totals[[#Data],[#Totals],[Car - Note]:[NONTRACKED]],MATCH(ED$1,Totals[Date],0),MATCH($C30,Totals[[#Headers],[Car - Note]:[NONTRACKED]],0))</f>
        <v>14.273972602739605</v>
      </c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2"/>
      <c r="EU30" s="12"/>
      <c r="EV30" s="12"/>
      <c r="EW30" s="12"/>
      <c r="EY30" s="11"/>
      <c r="EZ30" s="11">
        <f ca="1">INDEX(Totals[[#Data],[#Totals],[Car - Note]:[NONTRACKED]],MATCH(EY$1,Totals[Date],0),MATCH($C30,Totals[[#Headers],[Car - Note]:[NONTRACKED]],0))</f>
        <v>-398.58356164383576</v>
      </c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2"/>
      <c r="FP30" s="12"/>
      <c r="FQ30" s="12"/>
      <c r="FR30" s="12"/>
      <c r="FT30" s="13"/>
      <c r="FU30" s="13">
        <f ca="1">INDEX(Totals[[#Data],[#Totals],[Car - Note]:[NONTRACKED]],MATCH(FT$1,Totals[Date],0),MATCH($C30,Totals[[#Headers],[Car - Note]:[NONTRACKED]],0))</f>
        <v>-398.58356164383531</v>
      </c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2"/>
      <c r="GK30" s="12"/>
      <c r="GL30" s="12"/>
      <c r="GM30" s="12"/>
      <c r="GO30" s="19"/>
      <c r="GP30" s="19">
        <f ca="1">INDEX(Totals[[#Data],[#Totals],[Car - Note]:[NONTRACKED]],MATCH(GO$1,Totals[Date],0),MATCH($C30,Totals[[#Headers],[Car - Note]:[NONTRACKED]],0))</f>
        <v>-385.72602739726062</v>
      </c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2"/>
      <c r="HF30" s="12"/>
      <c r="HG30" s="12"/>
      <c r="HH30" s="12"/>
      <c r="HJ30" s="11"/>
      <c r="HK30" s="11">
        <f ca="1">INDEX(Totals[[#Data],[#Totals],[Car - Note]:[NONTRACKED]],MATCH(HJ$1,Totals[Date],0),MATCH($C30,Totals[[#Headers],[Car - Note]:[NONTRACKED]],0))</f>
        <v>-398.58356164383531</v>
      </c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2"/>
      <c r="IA30" s="12"/>
      <c r="IB30" s="12"/>
      <c r="IC30" s="12"/>
      <c r="IE30" s="13"/>
      <c r="IF30" s="13">
        <f ca="1">INDEX(Totals[[#Data],[#Totals],[Car - Note]:[NONTRACKED]],MATCH(IE$1,Totals[Date],0),MATCH($C30,Totals[[#Headers],[Car - Note]:[NONTRACKED]],0))</f>
        <v>-385.72602739726062</v>
      </c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2"/>
      <c r="IV30" s="12"/>
      <c r="IW30" s="12"/>
      <c r="IX30" s="12"/>
      <c r="IZ30" s="19"/>
      <c r="JA30" s="19">
        <f ca="1">INDEX(Totals[[#Data],[#Totals],[Car - Note]:[NONTRACKED]],MATCH(IZ$1,Totals[Date],0),MATCH($C30,Totals[[#Headers],[Car - Note]:[NONTRACKED]],0))</f>
        <v>-398.58356164383531</v>
      </c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2"/>
      <c r="JQ30" s="12"/>
      <c r="JR30" s="12"/>
      <c r="JS30" s="12"/>
      <c r="JU30" s="11"/>
      <c r="JV30" s="11">
        <f ca="1">INDEX(Totals[[#Data],[#Totals],[Car - Note]:[NONTRACKED]],MATCH(JU$1,Totals[Date],0),MATCH($C30,Totals[[#Headers],[Car - Note]:[NONTRACKED]],0))</f>
        <v>0</v>
      </c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2"/>
      <c r="KL30" s="12"/>
      <c r="KM30" s="12"/>
      <c r="KN30" s="12"/>
      <c r="KP30" s="13"/>
      <c r="KQ30" s="13">
        <f ca="1">INDEX(Totals[[#Data],[#Totals],[Car - Note]:[NONTRACKED]],MATCH(KP$1,Totals[Date],0),MATCH($C30,Totals[[#Headers],[Car - Note]:[NONTRACKED]],0))</f>
        <v>0</v>
      </c>
      <c r="KR30" s="13"/>
      <c r="KS30" s="13"/>
      <c r="KT30" s="13"/>
      <c r="KU30" s="13"/>
      <c r="KV30" s="13"/>
      <c r="KW30" s="13"/>
      <c r="KX30" s="13"/>
      <c r="KY30" s="13"/>
      <c r="KZ30" s="13"/>
      <c r="LA30" s="13"/>
      <c r="LB30" s="13"/>
      <c r="LC30" s="13"/>
      <c r="LD30" s="13"/>
      <c r="LE30" s="13"/>
      <c r="LF30" s="12"/>
      <c r="LG30" s="12"/>
      <c r="LH30" s="12"/>
      <c r="LI30" s="12"/>
      <c r="LK30" s="19"/>
      <c r="LL30" s="19">
        <f ca="1">INDEX(Totals[[#Data],[#Totals],[Car - Note]:[NONTRACKED]],MATCH(LK$1,Totals[Date],0),MATCH($C30,Totals[[#Headers],[Car - Note]:[NONTRACKED]],0))</f>
        <v>0</v>
      </c>
      <c r="LM30" s="19"/>
      <c r="LN30" s="19"/>
      <c r="LO30" s="19"/>
      <c r="LP30" s="19"/>
      <c r="LQ30" s="19"/>
      <c r="LR30" s="19"/>
      <c r="LS30" s="19"/>
      <c r="LT30" s="19"/>
      <c r="LU30" s="19"/>
      <c r="LV30" s="19"/>
      <c r="LW30" s="19"/>
      <c r="LX30" s="19"/>
      <c r="LY30" s="19"/>
      <c r="LZ30" s="19"/>
      <c r="MA30" s="12"/>
      <c r="MB30" s="12"/>
      <c r="MC30" s="12"/>
      <c r="MD30" s="12"/>
      <c r="MF30" s="11"/>
      <c r="MG30" s="11">
        <f ca="1">INDEX(Totals[[#Data],[#Totals],[Car - Note]:[NONTRACKED]],MATCH(MF$1,Totals[Date],0),MATCH($C30,Totals[[#Headers],[Car - Note]:[NONTRACKED]],0))</f>
        <v>0</v>
      </c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2"/>
      <c r="MW30" s="12"/>
      <c r="MX30" s="12"/>
      <c r="MY30" s="12"/>
      <c r="NA30" s="13"/>
      <c r="NB30" s="13">
        <f ca="1">INDEX(Totals[[#Data],[#Totals],[Car - Note]:[NONTRACKED]],MATCH(NA$1,Totals[Date],0),MATCH($C30,Totals[[#Headers],[Car - Note]:[NONTRACKED]],0))</f>
        <v>0</v>
      </c>
      <c r="NC30" s="13"/>
      <c r="ND30" s="13"/>
      <c r="NE30" s="13"/>
      <c r="NF30" s="13"/>
      <c r="NG30" s="13"/>
      <c r="NH30" s="13"/>
      <c r="NI30" s="13"/>
      <c r="NJ30" s="13"/>
      <c r="NK30" s="13"/>
      <c r="NL30" s="13"/>
      <c r="NM30" s="13"/>
      <c r="NN30" s="13"/>
      <c r="NO30" s="13"/>
      <c r="NP30" s="13"/>
      <c r="NQ30" s="12"/>
      <c r="NR30" s="12"/>
      <c r="NS30" s="12"/>
      <c r="NT30" s="12"/>
      <c r="NV30" s="19"/>
      <c r="NW30" s="19">
        <f ca="1">INDEX(Totals[[#Data],[#Totals],[Car - Note]:[NONTRACKED]],MATCH(NV$1,Totals[Date],0),MATCH($C30,Totals[[#Headers],[Car - Note]:[NONTRACKED]],0))</f>
        <v>0</v>
      </c>
      <c r="NX30" s="19"/>
      <c r="NY30" s="19"/>
      <c r="NZ30" s="19"/>
      <c r="OA30" s="19"/>
      <c r="OB30" s="19"/>
      <c r="OC30" s="19"/>
      <c r="OD30" s="19"/>
      <c r="OE30" s="19"/>
      <c r="OF30" s="19"/>
      <c r="OG30" s="19"/>
      <c r="OH30" s="19"/>
      <c r="OI30" s="19"/>
      <c r="OJ30" s="19"/>
      <c r="OK30" s="19"/>
      <c r="OL30" s="12"/>
      <c r="OM30" s="12"/>
      <c r="ON30" s="12"/>
      <c r="OO30" s="12"/>
      <c r="OQ30" s="11"/>
      <c r="OR30" s="11">
        <f ca="1">INDEX(Totals[[#Data],[#Totals],[Car - Note]:[NONTRACKED]],MATCH(OQ$1,Totals[Date],0),MATCH($C30,Totals[[#Headers],[Car - Note]:[NONTRACKED]],0))</f>
        <v>0</v>
      </c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2"/>
      <c r="PH30" s="12"/>
      <c r="PI30" s="12"/>
      <c r="PJ30" s="12"/>
      <c r="PL30" s="13"/>
      <c r="PM30" s="13">
        <f ca="1">INDEX(Totals[[#Data],[#Totals],[Car - Note]:[NONTRACKED]],MATCH(PL$1,Totals[Date],0),MATCH($C30,Totals[[#Headers],[Car - Note]:[NONTRACKED]],0))</f>
        <v>0</v>
      </c>
      <c r="PN30" s="13"/>
      <c r="PO30" s="13"/>
      <c r="PP30" s="13"/>
      <c r="PQ30" s="13"/>
      <c r="PR30" s="13"/>
      <c r="PS30" s="13"/>
      <c r="PT30" s="13"/>
      <c r="PU30" s="13"/>
      <c r="PV30" s="13"/>
      <c r="PW30" s="13"/>
      <c r="PX30" s="13"/>
      <c r="PY30" s="13"/>
      <c r="PZ30" s="13"/>
      <c r="QA30" s="13"/>
      <c r="QB30" s="12"/>
      <c r="QC30" s="12"/>
      <c r="QD30" s="12"/>
      <c r="QE30" s="12"/>
      <c r="QG30" s="19"/>
      <c r="QH30" s="19">
        <f ca="1">INDEX(Totals[[#Data],[#Totals],[Car - Note]:[NONTRACKED]],MATCH(QG$1,Totals[Date],0),MATCH($C30,Totals[[#Headers],[Car - Note]:[NONTRACKED]],0))</f>
        <v>0</v>
      </c>
      <c r="QI30" s="19"/>
      <c r="QJ30" s="19"/>
      <c r="QK30" s="19"/>
      <c r="QL30" s="19"/>
      <c r="QM30" s="19"/>
      <c r="QN30" s="19"/>
      <c r="QO30" s="19"/>
      <c r="QP30" s="19"/>
      <c r="QQ30" s="19"/>
      <c r="QR30" s="19"/>
      <c r="QS30" s="19"/>
      <c r="QT30" s="19"/>
      <c r="QU30" s="19"/>
      <c r="QV30" s="19"/>
      <c r="QW30" s="12"/>
      <c r="QX30" s="12"/>
      <c r="QY30" s="12"/>
      <c r="QZ30" s="12"/>
      <c r="RB30" s="11"/>
      <c r="RC30" s="11">
        <f ca="1">INDEX(Totals[[#Data],[#Totals],[Car - Note]:[NONTRACKED]],MATCH(RB$1,Totals[Date],0),MATCH($C30,Totals[[#Headers],[Car - Note]:[NONTRACKED]],0))</f>
        <v>0</v>
      </c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2"/>
      <c r="RS30" s="12"/>
      <c r="RT30" s="12"/>
      <c r="RU30" s="12"/>
      <c r="RW30" s="13"/>
      <c r="RX30" s="13">
        <f ca="1">INDEX(Totals[[#Data],[#Totals],[Car - Note]:[NONTRACKED]],MATCH(RW$1,Totals[Date],0),MATCH($C30,Totals[[#Headers],[Car - Note]:[NONTRACKED]],0))</f>
        <v>0</v>
      </c>
      <c r="RY30" s="13"/>
      <c r="RZ30" s="13"/>
      <c r="SA30" s="13"/>
      <c r="SB30" s="13"/>
      <c r="SC30" s="13"/>
      <c r="SD30" s="13"/>
      <c r="SE30" s="13"/>
      <c r="SF30" s="13"/>
      <c r="SG30" s="13"/>
      <c r="SH30" s="13"/>
      <c r="SI30" s="13"/>
      <c r="SJ30" s="13"/>
      <c r="SK30" s="13"/>
      <c r="SL30" s="13"/>
      <c r="SM30" s="12"/>
      <c r="SN30" s="12"/>
      <c r="SO30" s="12"/>
      <c r="SP30" s="12"/>
      <c r="SR30" s="19"/>
      <c r="SS30" s="19">
        <f ca="1">INDEX(Totals[[#Data],[#Totals],[Car - Note]:[NONTRACKED]],MATCH(SR$1,Totals[Date],0),MATCH($C30,Totals[[#Headers],[Car - Note]:[NONTRACKED]],0))</f>
        <v>0</v>
      </c>
      <c r="ST30" s="19"/>
      <c r="SU30" s="19"/>
      <c r="SV30" s="19"/>
      <c r="SW30" s="19"/>
      <c r="SX30" s="19"/>
      <c r="SY30" s="19"/>
      <c r="SZ30" s="19"/>
      <c r="TA30" s="19"/>
      <c r="TB30" s="19"/>
      <c r="TC30" s="19"/>
      <c r="TD30" s="19"/>
      <c r="TE30" s="19"/>
      <c r="TF30" s="19"/>
      <c r="TG30" s="19"/>
      <c r="TH30" s="12"/>
      <c r="TI30" s="12"/>
      <c r="TJ30" s="12"/>
      <c r="TK30" s="12"/>
      <c r="TM30" s="11"/>
      <c r="TN30" s="11">
        <f ca="1">INDEX(Totals[[#Data],[#Totals],[Car - Note]:[NONTRACKED]],MATCH(TM$1,Totals[Date],0),MATCH($C30,Totals[[#Headers],[Car - Note]:[NONTRACKED]],0))</f>
        <v>0</v>
      </c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2"/>
      <c r="UD30" s="12"/>
      <c r="UE30" s="12"/>
      <c r="UF30" s="12"/>
      <c r="UH30" s="13"/>
      <c r="UI30" s="13">
        <f ca="1">INDEX(Totals[[#Data],[#Totals],[Car - Note]:[NONTRACKED]],MATCH(UH$1,Totals[Date],0),MATCH($C30,Totals[[#Headers],[Car - Note]:[NONTRACKED]],0))</f>
        <v>0</v>
      </c>
      <c r="UJ30" s="13"/>
      <c r="UK30" s="13"/>
      <c r="UL30" s="13"/>
      <c r="UM30" s="13"/>
      <c r="UN30" s="13"/>
      <c r="UO30" s="13"/>
      <c r="UP30" s="13"/>
      <c r="UQ30" s="13"/>
      <c r="UR30" s="13"/>
      <c r="US30" s="13"/>
      <c r="UT30" s="13"/>
      <c r="UU30" s="13"/>
      <c r="UV30" s="13"/>
      <c r="UW30" s="13"/>
      <c r="UX30" s="12"/>
      <c r="UY30" s="12"/>
      <c r="UZ30" s="12"/>
      <c r="VA30" s="12"/>
      <c r="VC30" s="19"/>
      <c r="VD30" s="19">
        <f ca="1">INDEX(Totals[[#Data],[#Totals],[Car - Note]:[NONTRACKED]],MATCH(VC$1,Totals[Date],0),MATCH($C30,Totals[[#Headers],[Car - Note]:[NONTRACKED]],0))</f>
        <v>0</v>
      </c>
      <c r="VE30" s="19"/>
      <c r="VF30" s="19"/>
      <c r="VG30" s="19"/>
      <c r="VH30" s="19"/>
      <c r="VI30" s="19"/>
      <c r="VJ30" s="19"/>
      <c r="VK30" s="19"/>
      <c r="VL30" s="19"/>
      <c r="VM30" s="19"/>
      <c r="VN30" s="19"/>
      <c r="VO30" s="19"/>
      <c r="VP30" s="19"/>
      <c r="VQ30" s="19"/>
      <c r="VR30" s="19"/>
      <c r="VS30" s="12"/>
      <c r="VT30" s="12"/>
      <c r="VU30" s="12"/>
      <c r="VV30" s="12"/>
      <c r="VX30" s="11"/>
      <c r="VY30" s="11">
        <f ca="1">INDEX(Totals[[#Data],[#Totals],[Car - Note]:[NONTRACKED]],MATCH(VX$1,Totals[Date],0),MATCH($C30,Totals[[#Headers],[Car - Note]:[NONTRACKED]],0))</f>
        <v>0</v>
      </c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2"/>
      <c r="WO30" s="12"/>
      <c r="WP30" s="12"/>
      <c r="WQ30" s="12"/>
      <c r="WS30" s="13"/>
      <c r="WT30" s="13">
        <f ca="1">INDEX(Totals[[#Data],[#Totals],[Car - Note]:[NONTRACKED]],MATCH(WS$1,Totals[Date],0),MATCH($C30,Totals[[#Headers],[Car - Note]:[NONTRACKED]],0))</f>
        <v>0</v>
      </c>
      <c r="WU30" s="13"/>
      <c r="WV30" s="13"/>
      <c r="WW30" s="13"/>
      <c r="WX30" s="13"/>
      <c r="WY30" s="13"/>
      <c r="WZ30" s="13"/>
      <c r="XA30" s="13"/>
      <c r="XB30" s="13"/>
      <c r="XC30" s="13"/>
      <c r="XD30" s="13"/>
      <c r="XE30" s="13"/>
      <c r="XF30" s="13"/>
      <c r="XG30" s="13"/>
      <c r="XH30" s="13"/>
      <c r="XI30" s="12"/>
      <c r="XJ30" s="12"/>
      <c r="XK30" s="12"/>
      <c r="XL30" s="12"/>
      <c r="XO30">
        <f ca="1">SUM(XO3:XO29)</f>
        <v>1895.8041537007766</v>
      </c>
    </row>
    <row r="31" spans="1:641" x14ac:dyDescent="0.25">
      <c r="A31" s="112"/>
      <c r="B31" t="s">
        <v>90</v>
      </c>
      <c r="C31" t="s">
        <v>91</v>
      </c>
      <c r="D31" s="79">
        <f>1754.57/14*30</f>
        <v>3759.792857142857</v>
      </c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95"/>
      <c r="AC31" s="11"/>
      <c r="AD31" s="11">
        <f ca="1">INDEX(Totals[[#Data],[#Totals],[Car - Note]:[NONTRACKED]],MATCH(AC$1,Totals[Date],0),MATCH($C31,Totals[[#Headers],[Car - Note]:[NONTRACKED]],0))</f>
        <v>0</v>
      </c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2"/>
      <c r="AT31" s="12"/>
      <c r="AU31" s="12"/>
      <c r="AX31" s="13"/>
      <c r="AY31" s="13">
        <f ca="1">INDEX(Totals[[#Data],[#Totals],[Car - Note]:[NONTRACKED]],MATCH(AX$1,Totals[Date],0),MATCH($C31,Totals[[#Headers],[Car - Note]:[NONTRACKED]],0))</f>
        <v>2922.27</v>
      </c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2"/>
      <c r="BO31" s="12"/>
      <c r="BP31" s="12"/>
      <c r="BS31" s="19"/>
      <c r="BT31" s="19">
        <f ca="1">INDEX(Totals[[#Data],[#Totals],[Car - Note]:[NONTRACKED]],MATCH(BS$1,Totals[Date],0),MATCH($C31,Totals[[#Headers],[Car - Note]:[NONTRACKED]],0))</f>
        <v>4236.8871428571429</v>
      </c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2"/>
      <c r="CJ31" s="12"/>
      <c r="CK31" s="12"/>
      <c r="CN31" s="11"/>
      <c r="CO31" s="11">
        <f ca="1">INDEX(Totals[[#Data],[#Totals],[Car - Note]:[NONTRACKED]],MATCH(CN$1,Totals[Date],0),MATCH($C31,Totals[[#Headers],[Car - Note]:[NONTRACKED]],0))</f>
        <v>4078.971428571429</v>
      </c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2"/>
      <c r="DE31" s="12"/>
      <c r="DF31" s="12"/>
      <c r="DI31" s="13"/>
      <c r="DJ31" s="13">
        <f ca="1">INDEX(Totals[[#Data],[#Totals],[Car - Note]:[NONTRACKED]],MATCH(DI$1,Totals[Date],0),MATCH($C31,Totals[[#Headers],[Car - Note]:[NONTRACKED]],0))</f>
        <v>3980.8785714285714</v>
      </c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2"/>
      <c r="DZ31" s="12"/>
      <c r="EA31" s="12"/>
      <c r="ED31" s="19"/>
      <c r="EE31" s="19">
        <f ca="1">INDEX(Totals[[#Data],[#Totals],[Car - Note]:[NONTRACKED]],MATCH(ED$1,Totals[Date],0),MATCH($C31,Totals[[#Headers],[Car - Note]:[NONTRACKED]],0))</f>
        <v>3808.1476190476187</v>
      </c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2"/>
      <c r="EU31" s="12"/>
      <c r="EV31" s="12"/>
      <c r="EY31" s="11"/>
      <c r="EZ31" s="11">
        <f ca="1">INDEX(Totals[[#Data],[#Totals],[Car - Note]:[NONTRACKED]],MATCH(EY$1,Totals[Date],0),MATCH($C31,Totals[[#Headers],[Car - Note]:[NONTRACKED]],0))</f>
        <v>3935.568349206349</v>
      </c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2"/>
      <c r="FP31" s="12"/>
      <c r="FQ31" s="12"/>
      <c r="FT31" s="13"/>
      <c r="FU31" s="13">
        <f ca="1">INDEX(Totals[[#Data],[#Totals],[Car - Note]:[NONTRACKED]],MATCH(FT$1,Totals[Date],0),MATCH($C31,Totals[[#Headers],[Car - Note]:[NONTRACKED]],0))</f>
        <v>3951.2468888888893</v>
      </c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2"/>
      <c r="GK31" s="12"/>
      <c r="GL31" s="12"/>
      <c r="GO31" s="19"/>
      <c r="GP31" s="19">
        <f ca="1">INDEX(Totals[[#Data],[#Totals],[Car - Note]:[NONTRACKED]],MATCH(GO$1,Totals[Date],0),MATCH($C31,Totals[[#Headers],[Car - Note]:[NONTRACKED]],0))</f>
        <v>4042.5085714285715</v>
      </c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2"/>
      <c r="HF31" s="12"/>
      <c r="HG31" s="12"/>
      <c r="HJ31" s="11"/>
      <c r="HK31" s="11">
        <f ca="1">INDEX(Totals[[#Data],[#Totals],[Car - Note]:[NONTRACKED]],MATCH(HJ$1,Totals[Date],0),MATCH($C31,Totals[[#Headers],[Car - Note]:[NONTRACKED]],0))</f>
        <v>4177.2914285714287</v>
      </c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2"/>
      <c r="IA31" s="12"/>
      <c r="IB31" s="12"/>
      <c r="IE31" s="13"/>
      <c r="IF31" s="13">
        <f ca="1">INDEX(Totals[[#Data],[#Totals],[Car - Note]:[NONTRACKED]],MATCH(IE$1,Totals[Date],0),MATCH($C31,Totals[[#Headers],[Car - Note]:[NONTRACKED]],0))</f>
        <v>4185.0514285714289</v>
      </c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2"/>
      <c r="IV31" s="12"/>
      <c r="IW31" s="12"/>
      <c r="IZ31" s="19"/>
      <c r="JA31" s="19">
        <f ca="1">INDEX(Totals[[#Data],[#Totals],[Car - Note]:[NONTRACKED]],MATCH(IZ$1,Totals[Date],0),MATCH($C31,Totals[[#Headers],[Car - Note]:[NONTRACKED]],0))</f>
        <v>4042.5442857142853</v>
      </c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2"/>
      <c r="JQ31" s="12"/>
      <c r="JR31" s="12"/>
      <c r="JU31" s="11"/>
      <c r="JV31" s="11">
        <f ca="1">INDEX(Totals[[#Data],[#Totals],[Car - Note]:[NONTRACKED]],MATCH(JU$1,Totals[Date],0),MATCH($C31,Totals[[#Headers],[Car - Note]:[NONTRACKED]],0))</f>
        <v>4187.9742857142865</v>
      </c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2"/>
      <c r="KL31" s="12"/>
      <c r="KM31" s="12"/>
      <c r="KP31" s="13"/>
      <c r="KQ31" s="13">
        <f ca="1">INDEX(Totals[[#Data],[#Totals],[Car - Note]:[NONTRACKED]],MATCH(KP$1,Totals[Date],0),MATCH($C31,Totals[[#Headers],[Car - Note]:[NONTRACKED]],0))</f>
        <v>3783.36</v>
      </c>
      <c r="KR31" s="13"/>
      <c r="KS31" s="13"/>
      <c r="KT31" s="13"/>
      <c r="KU31" s="13"/>
      <c r="KV31" s="13"/>
      <c r="KW31" s="13"/>
      <c r="KX31" s="13"/>
      <c r="KY31" s="13"/>
      <c r="KZ31" s="13"/>
      <c r="LA31" s="13"/>
      <c r="LB31" s="13"/>
      <c r="LC31" s="13"/>
      <c r="LD31" s="13"/>
      <c r="LE31" s="13"/>
      <c r="LF31" s="12"/>
      <c r="LG31" s="12"/>
      <c r="LH31" s="12"/>
      <c r="LK31" s="19"/>
      <c r="LL31" s="19">
        <f ca="1">INDEX(Totals[[#Data],[#Totals],[Car - Note]:[NONTRACKED]],MATCH(LK$1,Totals[Date],0),MATCH($C31,Totals[[#Headers],[Car - Note]:[NONTRACKED]],0))</f>
        <v>4188.6971428571433</v>
      </c>
      <c r="LM31" s="19"/>
      <c r="LN31" s="19"/>
      <c r="LO31" s="19"/>
      <c r="LP31" s="19"/>
      <c r="LQ31" s="19"/>
      <c r="LR31" s="19"/>
      <c r="LS31" s="19"/>
      <c r="LT31" s="19"/>
      <c r="LU31" s="19"/>
      <c r="LV31" s="19"/>
      <c r="LW31" s="19"/>
      <c r="LX31" s="19"/>
      <c r="LY31" s="19"/>
      <c r="LZ31" s="19"/>
      <c r="MA31" s="12"/>
      <c r="MB31" s="12"/>
      <c r="MC31" s="12"/>
      <c r="MF31" s="11"/>
      <c r="MG31" s="11">
        <f ca="1">INDEX(Totals[[#Data],[#Totals],[Car - Note]:[NONTRACKED]],MATCH(MF$1,Totals[Date],0),MATCH($C31,Totals[[#Headers],[Car - Note]:[NONTRACKED]],0))</f>
        <v>4053.5928571428572</v>
      </c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2"/>
      <c r="MW31" s="12"/>
      <c r="MX31" s="12"/>
      <c r="NA31" s="13"/>
      <c r="NB31" s="13">
        <f ca="1">INDEX(Totals[[#Data],[#Totals],[Car - Note]:[NONTRACKED]],MATCH(NA$1,Totals[Date],0),MATCH($C31,Totals[[#Headers],[Car - Note]:[NONTRACKED]],0))</f>
        <v>4188.71</v>
      </c>
      <c r="NC31" s="13"/>
      <c r="ND31" s="13"/>
      <c r="NE31" s="13"/>
      <c r="NF31" s="13"/>
      <c r="NG31" s="13"/>
      <c r="NH31" s="13"/>
      <c r="NI31" s="13"/>
      <c r="NJ31" s="13"/>
      <c r="NK31" s="13"/>
      <c r="NL31" s="13"/>
      <c r="NM31" s="13"/>
      <c r="NN31" s="13"/>
      <c r="NO31" s="13"/>
      <c r="NP31" s="13"/>
      <c r="NQ31" s="12"/>
      <c r="NR31" s="12"/>
      <c r="NS31" s="12"/>
      <c r="NV31" s="19"/>
      <c r="NW31" s="19">
        <f ca="1">INDEX(Totals[[#Data],[#Totals],[Car - Note]:[NONTRACKED]],MATCH(NV$1,Totals[Date],0),MATCH($C31,Totals[[#Headers],[Car - Note]:[NONTRACKED]],0))</f>
        <v>4053.59</v>
      </c>
      <c r="NX31" s="19"/>
      <c r="NY31" s="19"/>
      <c r="NZ31" s="19"/>
      <c r="OA31" s="19"/>
      <c r="OB31" s="19"/>
      <c r="OC31" s="19"/>
      <c r="OD31" s="19"/>
      <c r="OE31" s="19"/>
      <c r="OF31" s="19"/>
      <c r="OG31" s="19"/>
      <c r="OH31" s="19"/>
      <c r="OI31" s="19"/>
      <c r="OJ31" s="19"/>
      <c r="OK31" s="19"/>
      <c r="OL31" s="12"/>
      <c r="OM31" s="12"/>
      <c r="ON31" s="12"/>
      <c r="OQ31" s="11"/>
      <c r="OR31" s="11">
        <f ca="1">INDEX(Totals[[#Data],[#Totals],[Car - Note]:[NONTRACKED]],MATCH(OQ$1,Totals[Date],0),MATCH($C31,Totals[[#Headers],[Car - Note]:[NONTRACKED]],0))</f>
        <v>4244.3900000000003</v>
      </c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2"/>
      <c r="PH31" s="12"/>
      <c r="PI31" s="12"/>
      <c r="PL31" s="13"/>
      <c r="PM31" s="13">
        <f ca="1">INDEX(Totals[[#Data],[#Totals],[Car - Note]:[NONTRACKED]],MATCH(PL$1,Totals[Date],0),MATCH($C31,Totals[[#Headers],[Car - Note]:[NONTRACKED]],0))</f>
        <v>4203.7471428571425</v>
      </c>
      <c r="PN31" s="13"/>
      <c r="PO31" s="13"/>
      <c r="PP31" s="13"/>
      <c r="PQ31" s="13"/>
      <c r="PR31" s="13"/>
      <c r="PS31" s="13"/>
      <c r="PT31" s="13"/>
      <c r="PU31" s="13"/>
      <c r="PV31" s="13"/>
      <c r="PW31" s="13"/>
      <c r="PX31" s="13"/>
      <c r="PY31" s="13"/>
      <c r="PZ31" s="13"/>
      <c r="QA31" s="13"/>
      <c r="QB31" s="12"/>
      <c r="QC31" s="12"/>
      <c r="QD31" s="12"/>
      <c r="QG31" s="19"/>
      <c r="QH31" s="19">
        <f ca="1">INDEX(Totals[[#Data],[#Totals],[Car - Note]:[NONTRACKED]],MATCH(QG$1,Totals[Date],0),MATCH($C31,Totals[[#Headers],[Car - Note]:[NONTRACKED]],0))</f>
        <v>4068.1542857142858</v>
      </c>
      <c r="QI31" s="19"/>
      <c r="QJ31" s="19"/>
      <c r="QK31" s="19"/>
      <c r="QL31" s="19"/>
      <c r="QM31" s="19"/>
      <c r="QN31" s="19"/>
      <c r="QO31" s="19"/>
      <c r="QP31" s="19"/>
      <c r="QQ31" s="19"/>
      <c r="QR31" s="19"/>
      <c r="QS31" s="19"/>
      <c r="QT31" s="19"/>
      <c r="QU31" s="19"/>
      <c r="QV31" s="19"/>
      <c r="QW31" s="12"/>
      <c r="QX31" s="12"/>
      <c r="QY31" s="12"/>
      <c r="RB31" s="11"/>
      <c r="RC31" s="11">
        <f ca="1">INDEX(Totals[[#Data],[#Totals],[Car - Note]:[NONTRACKED]],MATCH(RB$1,Totals[Date],0),MATCH($C31,Totals[[#Headers],[Car - Note]:[NONTRACKED]],0))</f>
        <v>4203.7542857142862</v>
      </c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2"/>
      <c r="RS31" s="12"/>
      <c r="RT31" s="12"/>
      <c r="RW31" s="13"/>
      <c r="RX31" s="13">
        <f ca="1">INDEX(Totals[[#Data],[#Totals],[Car - Note]:[NONTRACKED]],MATCH(RW$1,Totals[Date],0),MATCH($C31,Totals[[#Headers],[Car - Note]:[NONTRACKED]],0))</f>
        <v>4081.3842857142859</v>
      </c>
      <c r="RY31" s="13"/>
      <c r="RZ31" s="13"/>
      <c r="SA31" s="13"/>
      <c r="SB31" s="13"/>
      <c r="SC31" s="13"/>
      <c r="SD31" s="13"/>
      <c r="SE31" s="13"/>
      <c r="SF31" s="13"/>
      <c r="SG31" s="13"/>
      <c r="SH31" s="13"/>
      <c r="SI31" s="13"/>
      <c r="SJ31" s="13"/>
      <c r="SK31" s="13"/>
      <c r="SL31" s="13"/>
      <c r="SM31" s="12"/>
      <c r="SN31" s="12"/>
      <c r="SO31" s="12"/>
      <c r="SR31" s="19"/>
      <c r="SS31" s="19">
        <f ca="1">INDEX(Totals[[#Data],[#Totals],[Car - Note]:[NONTRACKED]],MATCH(SR$1,Totals[Date],0),MATCH($C31,Totals[[#Headers],[Car - Note]:[NONTRACKED]],0))</f>
        <v>4203.7549999999992</v>
      </c>
      <c r="ST31" s="19"/>
      <c r="SU31" s="19"/>
      <c r="SV31" s="19"/>
      <c r="SW31" s="19"/>
      <c r="SX31" s="19"/>
      <c r="SY31" s="19"/>
      <c r="SZ31" s="19"/>
      <c r="TA31" s="19"/>
      <c r="TB31" s="19"/>
      <c r="TC31" s="19"/>
      <c r="TD31" s="19"/>
      <c r="TE31" s="19"/>
      <c r="TF31" s="19"/>
      <c r="TG31" s="19"/>
      <c r="TH31" s="12"/>
      <c r="TI31" s="12"/>
      <c r="TJ31" s="12"/>
      <c r="TM31" s="11"/>
      <c r="TN31" s="11">
        <f ca="1">INDEX(Totals[[#Data],[#Totals],[Car - Note]:[NONTRACKED]],MATCH(TM$1,Totals[Date],0),MATCH($C31,Totals[[#Headers],[Car - Note]:[NONTRACKED]],0))</f>
        <v>4208.7021428571425</v>
      </c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2"/>
      <c r="UD31" s="12"/>
      <c r="UE31" s="12"/>
      <c r="UH31" s="13"/>
      <c r="UI31" s="13">
        <f ca="1">INDEX(Totals[[#Data],[#Totals],[Car - Note]:[NONTRACKED]],MATCH(UH$1,Totals[Date],0),MATCH($C31,Totals[[#Headers],[Car - Note]:[NONTRACKED]],0))</f>
        <v>3941.5135714285711</v>
      </c>
      <c r="UJ31" s="13"/>
      <c r="UK31" s="13"/>
      <c r="UL31" s="13"/>
      <c r="UM31" s="13"/>
      <c r="UN31" s="13"/>
      <c r="UO31" s="13"/>
      <c r="UP31" s="13"/>
      <c r="UQ31" s="13"/>
      <c r="UR31" s="13"/>
      <c r="US31" s="13"/>
      <c r="UT31" s="13"/>
      <c r="UU31" s="13"/>
      <c r="UV31" s="13"/>
      <c r="UW31" s="13"/>
      <c r="UX31" s="12"/>
      <c r="UY31" s="12"/>
      <c r="UZ31" s="12"/>
      <c r="VC31" s="19"/>
      <c r="VD31" s="19">
        <f ca="1">INDEX(Totals[[#Data],[#Totals],[Car - Note]:[NONTRACKED]],MATCH(VC$1,Totals[Date],0),MATCH($C31,Totals[[#Headers],[Car - Note]:[NONTRACKED]],0))</f>
        <v>4213.3449999999993</v>
      </c>
      <c r="VE31" s="19"/>
      <c r="VF31" s="19"/>
      <c r="VG31" s="19"/>
      <c r="VH31" s="19"/>
      <c r="VI31" s="19"/>
      <c r="VJ31" s="19"/>
      <c r="VK31" s="19"/>
      <c r="VL31" s="19"/>
      <c r="VM31" s="19"/>
      <c r="VN31" s="19"/>
      <c r="VO31" s="19"/>
      <c r="VP31" s="19"/>
      <c r="VQ31" s="19"/>
      <c r="VR31" s="19"/>
      <c r="VS31" s="12"/>
      <c r="VT31" s="12"/>
      <c r="VU31" s="12"/>
      <c r="VX31" s="11"/>
      <c r="VY31" s="11">
        <f ca="1">INDEX(Totals[[#Data],[#Totals],[Car - Note]:[NONTRACKED]],MATCH(VX$1,Totals[Date],0),MATCH($C31,Totals[[#Headers],[Car - Note]:[NONTRACKED]],0))</f>
        <v>4077.4285714285716</v>
      </c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2"/>
      <c r="WO31" s="12"/>
      <c r="WP31" s="12"/>
      <c r="WS31" s="13"/>
      <c r="WT31" s="13">
        <f ca="1">INDEX(Totals[[#Data],[#Totals],[Car - Note]:[NONTRACKED]],MATCH(WS$1,Totals[Date],0),MATCH($C31,Totals[[#Headers],[Car - Note]:[NONTRACKED]],0))</f>
        <v>4213.3428571428576</v>
      </c>
      <c r="WU31" s="13"/>
      <c r="WV31" s="13"/>
      <c r="WW31" s="13"/>
      <c r="WX31" s="13"/>
      <c r="WY31" s="13"/>
      <c r="WZ31" s="13"/>
      <c r="XA31" s="13"/>
      <c r="XB31" s="13"/>
      <c r="XC31" s="13"/>
      <c r="XD31" s="13"/>
      <c r="XE31" s="13"/>
      <c r="XF31" s="13"/>
      <c r="XG31" s="13"/>
      <c r="XH31" s="13"/>
      <c r="XI31" s="12"/>
      <c r="XJ31" s="12"/>
      <c r="XK31" s="12"/>
    </row>
    <row r="32" spans="1:641" x14ac:dyDescent="0.25">
      <c r="A32" s="112"/>
      <c r="B32" t="s">
        <v>90</v>
      </c>
      <c r="C32" t="s">
        <v>144</v>
      </c>
      <c r="D32" s="79">
        <v>0</v>
      </c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C32" s="11"/>
      <c r="AD32" s="11">
        <f ca="1">INDEX(Totals[[#Data],[#Totals],[Car - Note]:[NONTRACKED]],MATCH(AC$1,Totals[Date],0),MATCH($C32,Totals[[#Headers],[Car - Note]:[NONTRACKED]],0))</f>
        <v>4683.03</v>
      </c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2"/>
      <c r="AT32" s="12"/>
      <c r="AU32" s="12"/>
      <c r="AV32" s="12"/>
      <c r="AX32" s="13"/>
      <c r="AY32" s="13">
        <f ca="1">INDEX(Totals[[#Data],[#Totals],[Car - Note]:[NONTRACKED]],MATCH(AX$1,Totals[Date],0),MATCH($C32,Totals[[#Headers],[Car - Note]:[NONTRACKED]],0))</f>
        <v>0.02</v>
      </c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2"/>
      <c r="BO32" s="12"/>
      <c r="BP32" s="12"/>
      <c r="BQ32" s="12"/>
      <c r="BS32" s="19"/>
      <c r="BT32" s="19">
        <f ca="1">INDEX(Totals[[#Data],[#Totals],[Car - Note]:[NONTRACKED]],MATCH(BS$1,Totals[Date],0),MATCH($C32,Totals[[#Headers],[Car - Note]:[NONTRACKED]],0))</f>
        <v>4505.21</v>
      </c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2"/>
      <c r="CJ32" s="12"/>
      <c r="CK32" s="12"/>
      <c r="CL32" s="12"/>
      <c r="CN32" s="11"/>
      <c r="CO32" s="11">
        <f ca="1">INDEX(Totals[[#Data],[#Totals],[Car - Note]:[NONTRACKED]],MATCH(CN$1,Totals[Date],0),MATCH($C32,Totals[[#Headers],[Car - Note]:[NONTRACKED]],0))</f>
        <v>2280.08</v>
      </c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2"/>
      <c r="DE32" s="12"/>
      <c r="DF32" s="12"/>
      <c r="DG32" s="12"/>
      <c r="DI32" s="13"/>
      <c r="DJ32" s="13">
        <f ca="1">INDEX(Totals[[#Data],[#Totals],[Car - Note]:[NONTRACKED]],MATCH(DI$1,Totals[Date],0),MATCH($C32,Totals[[#Headers],[Car - Note]:[NONTRACKED]],0))</f>
        <v>165.09</v>
      </c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2"/>
      <c r="DZ32" s="12"/>
      <c r="EA32" s="12"/>
      <c r="EB32" s="12"/>
      <c r="ED32" s="19"/>
      <c r="EE32" s="19">
        <f ca="1">INDEX(Totals[[#Data],[#Totals],[Car - Note]:[NONTRACKED]],MATCH(ED$1,Totals[Date],0),MATCH($C32,Totals[[#Headers],[Car - Note]:[NONTRACKED]],0))</f>
        <v>18.61</v>
      </c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2"/>
      <c r="EU32" s="12"/>
      <c r="EV32" s="12"/>
      <c r="EW32" s="12"/>
      <c r="EY32" s="11"/>
      <c r="EZ32" s="11">
        <f ca="1">INDEX(Totals[[#Data],[#Totals],[Car - Note]:[NONTRACKED]],MATCH(EY$1,Totals[Date],0),MATCH($C32,Totals[[#Headers],[Car - Note]:[NONTRACKED]],0))</f>
        <v>11.120000000000001</v>
      </c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2"/>
      <c r="FP32" s="12"/>
      <c r="FQ32" s="12"/>
      <c r="FR32" s="12"/>
      <c r="FT32" s="13"/>
      <c r="FU32" s="13">
        <f ca="1">INDEX(Totals[[#Data],[#Totals],[Car - Note]:[NONTRACKED]],MATCH(FT$1,Totals[Date],0),MATCH($C32,Totals[[#Headers],[Car - Note]:[NONTRACKED]],0))</f>
        <v>24.61</v>
      </c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2"/>
      <c r="GK32" s="12"/>
      <c r="GL32" s="12"/>
      <c r="GM32" s="12"/>
      <c r="GO32" s="19"/>
      <c r="GP32" s="19">
        <f ca="1">INDEX(Totals[[#Data],[#Totals],[Car - Note]:[NONTRACKED]],MATCH(GO$1,Totals[Date],0),MATCH($C32,Totals[[#Headers],[Car - Note]:[NONTRACKED]],0))</f>
        <v>16.82</v>
      </c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2"/>
      <c r="HF32" s="12"/>
      <c r="HG32" s="12"/>
      <c r="HH32" s="12"/>
      <c r="HJ32" s="11"/>
      <c r="HK32" s="11">
        <f ca="1">INDEX(Totals[[#Data],[#Totals],[Car - Note]:[NONTRACKED]],MATCH(HJ$1,Totals[Date],0),MATCH($C32,Totals[[#Headers],[Car - Note]:[NONTRACKED]],0))</f>
        <v>21.12</v>
      </c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2"/>
      <c r="IA32" s="12"/>
      <c r="IB32" s="12"/>
      <c r="IC32" s="12"/>
      <c r="IE32" s="13"/>
      <c r="IF32" s="13">
        <f ca="1">INDEX(Totals[[#Data],[#Totals],[Car - Note]:[NONTRACKED]],MATCH(IE$1,Totals[Date],0),MATCH($C32,Totals[[#Headers],[Car - Note]:[NONTRACKED]],0))</f>
        <v>21.37</v>
      </c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2"/>
      <c r="IV32" s="12"/>
      <c r="IW32" s="12"/>
      <c r="IX32" s="12"/>
      <c r="IZ32" s="19"/>
      <c r="JA32" s="19">
        <f ca="1">INDEX(Totals[[#Data],[#Totals],[Car - Note]:[NONTRACKED]],MATCH(IZ$1,Totals[Date],0),MATCH($C32,Totals[[#Headers],[Car - Note]:[NONTRACKED]],0))</f>
        <v>18.329999999999998</v>
      </c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2"/>
      <c r="JQ32" s="12"/>
      <c r="JR32" s="12"/>
      <c r="JS32" s="12"/>
      <c r="JU32" s="11"/>
      <c r="JV32" s="11">
        <f ca="1">INDEX(Totals[[#Data],[#Totals],[Car - Note]:[NONTRACKED]],MATCH(JU$1,Totals[Date],0),MATCH($C32,Totals[[#Headers],[Car - Note]:[NONTRACKED]],0))</f>
        <v>76.290000000000006</v>
      </c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2"/>
      <c r="KL32" s="12"/>
      <c r="KM32" s="12"/>
      <c r="KN32" s="12"/>
      <c r="KP32" s="13"/>
      <c r="KQ32" s="13">
        <f ca="1">INDEX(Totals[[#Data],[#Totals],[Car - Note]:[NONTRACKED]],MATCH(KP$1,Totals[Date],0),MATCH($C32,Totals[[#Headers],[Car - Note]:[NONTRACKED]],0))</f>
        <v>12.430000000000001</v>
      </c>
      <c r="KR32" s="13"/>
      <c r="KS32" s="13"/>
      <c r="KT32" s="13"/>
      <c r="KU32" s="13"/>
      <c r="KV32" s="13"/>
      <c r="KW32" s="13"/>
      <c r="KX32" s="13"/>
      <c r="KY32" s="13"/>
      <c r="KZ32" s="13"/>
      <c r="LA32" s="13"/>
      <c r="LB32" s="13"/>
      <c r="LC32" s="13"/>
      <c r="LD32" s="13"/>
      <c r="LE32" s="13"/>
      <c r="LF32" s="12"/>
      <c r="LG32" s="12"/>
      <c r="LH32" s="12"/>
      <c r="LI32" s="12"/>
      <c r="LK32" s="19"/>
      <c r="LL32" s="19">
        <f ca="1">INDEX(Totals[[#Data],[#Totals],[Car - Note]:[NONTRACKED]],MATCH(LK$1,Totals[Date],0),MATCH($C32,Totals[[#Headers],[Car - Note]:[NONTRACKED]],0))</f>
        <v>10.799999999999999</v>
      </c>
      <c r="LM32" s="19"/>
      <c r="LN32" s="19"/>
      <c r="LO32" s="19"/>
      <c r="LP32" s="19"/>
      <c r="LQ32" s="19"/>
      <c r="LR32" s="19"/>
      <c r="LS32" s="19"/>
      <c r="LT32" s="19"/>
      <c r="LU32" s="19"/>
      <c r="LV32" s="19"/>
      <c r="LW32" s="19"/>
      <c r="LX32" s="19"/>
      <c r="LY32" s="19"/>
      <c r="LZ32" s="19"/>
      <c r="MA32" s="12"/>
      <c r="MB32" s="12"/>
      <c r="MC32" s="12"/>
      <c r="MD32" s="12"/>
      <c r="MF32" s="11"/>
      <c r="MG32" s="11">
        <f ca="1">INDEX(Totals[[#Data],[#Totals],[Car - Note]:[NONTRACKED]],MATCH(MF$1,Totals[Date],0),MATCH($C32,Totals[[#Headers],[Car - Note]:[NONTRACKED]],0))</f>
        <v>27.69</v>
      </c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2"/>
      <c r="MW32" s="12"/>
      <c r="MX32" s="12"/>
      <c r="MY32" s="12"/>
      <c r="NA32" s="13"/>
      <c r="NB32" s="13">
        <f ca="1">INDEX(Totals[[#Data],[#Totals],[Car - Note]:[NONTRACKED]],MATCH(NA$1,Totals[Date],0),MATCH($C32,Totals[[#Headers],[Car - Note]:[NONTRACKED]],0))</f>
        <v>1578.1899999999998</v>
      </c>
      <c r="NC32" s="13"/>
      <c r="ND32" s="13"/>
      <c r="NE32" s="13"/>
      <c r="NF32" s="13"/>
      <c r="NG32" s="13"/>
      <c r="NH32" s="13"/>
      <c r="NI32" s="13"/>
      <c r="NJ32" s="13"/>
      <c r="NK32" s="13"/>
      <c r="NL32" s="13"/>
      <c r="NM32" s="13"/>
      <c r="NN32" s="13"/>
      <c r="NO32" s="13"/>
      <c r="NP32" s="13"/>
      <c r="NQ32" s="12"/>
      <c r="NR32" s="12"/>
      <c r="NS32" s="12"/>
      <c r="NT32" s="12"/>
      <c r="NV32" s="19"/>
      <c r="NW32" s="19">
        <f ca="1">INDEX(Totals[[#Data],[#Totals],[Car - Note]:[NONTRACKED]],MATCH(NV$1,Totals[Date],0),MATCH($C32,Totals[[#Headers],[Car - Note]:[NONTRACKED]],0))</f>
        <v>15.030000000000001</v>
      </c>
      <c r="NX32" s="19"/>
      <c r="NY32" s="19"/>
      <c r="NZ32" s="19"/>
      <c r="OA32" s="19"/>
      <c r="OB32" s="19"/>
      <c r="OC32" s="19"/>
      <c r="OD32" s="19"/>
      <c r="OE32" s="19"/>
      <c r="OF32" s="19"/>
      <c r="OG32" s="19"/>
      <c r="OH32" s="19"/>
      <c r="OI32" s="19"/>
      <c r="OJ32" s="19"/>
      <c r="OK32" s="19"/>
      <c r="OL32" s="12"/>
      <c r="OM32" s="12"/>
      <c r="ON32" s="12"/>
      <c r="OO32" s="12"/>
      <c r="OQ32" s="11"/>
      <c r="OR32" s="11">
        <f ca="1">INDEX(Totals[[#Data],[#Totals],[Car - Note]:[NONTRACKED]],MATCH(OQ$1,Totals[Date],0),MATCH($C32,Totals[[#Headers],[Car - Note]:[NONTRACKED]],0))</f>
        <v>0.15</v>
      </c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2"/>
      <c r="PH32" s="12"/>
      <c r="PI32" s="12"/>
      <c r="PJ32" s="12"/>
      <c r="PL32" s="13"/>
      <c r="PM32" s="13">
        <f ca="1">INDEX(Totals[[#Data],[#Totals],[Car - Note]:[NONTRACKED]],MATCH(PL$1,Totals[Date],0),MATCH($C32,Totals[[#Headers],[Car - Note]:[NONTRACKED]],0))</f>
        <v>27.169999999999998</v>
      </c>
      <c r="PN32" s="13"/>
      <c r="PO32" s="13"/>
      <c r="PP32" s="13"/>
      <c r="PQ32" s="13"/>
      <c r="PR32" s="13"/>
      <c r="PS32" s="13"/>
      <c r="PT32" s="13"/>
      <c r="PU32" s="13"/>
      <c r="PV32" s="13"/>
      <c r="PW32" s="13"/>
      <c r="PX32" s="13"/>
      <c r="PY32" s="13"/>
      <c r="PZ32" s="13"/>
      <c r="QA32" s="13"/>
      <c r="QB32" s="12"/>
      <c r="QC32" s="12"/>
      <c r="QD32" s="12"/>
      <c r="QE32" s="12"/>
      <c r="QG32" s="19"/>
      <c r="QH32" s="19">
        <f ca="1">INDEX(Totals[[#Data],[#Totals],[Car - Note]:[NONTRACKED]],MATCH(QG$1,Totals[Date],0),MATCH($C32,Totals[[#Headers],[Car - Note]:[NONTRACKED]],0))</f>
        <v>20.56</v>
      </c>
      <c r="QI32" s="19"/>
      <c r="QJ32" s="19"/>
      <c r="QK32" s="19"/>
      <c r="QL32" s="19"/>
      <c r="QM32" s="19"/>
      <c r="QN32" s="19"/>
      <c r="QO32" s="19"/>
      <c r="QP32" s="19"/>
      <c r="QQ32" s="19"/>
      <c r="QR32" s="19"/>
      <c r="QS32" s="19"/>
      <c r="QT32" s="19"/>
      <c r="QU32" s="19"/>
      <c r="QV32" s="19"/>
      <c r="QW32" s="12"/>
      <c r="QX32" s="12"/>
      <c r="QY32" s="12"/>
      <c r="QZ32" s="12"/>
      <c r="RB32" s="11"/>
      <c r="RC32" s="11">
        <f ca="1">INDEX(Totals[[#Data],[#Totals],[Car - Note]:[NONTRACKED]],MATCH(RB$1,Totals[Date],0),MATCH($C32,Totals[[#Headers],[Car - Note]:[NONTRACKED]],0))</f>
        <v>22.4</v>
      </c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2"/>
      <c r="RS32" s="12"/>
      <c r="RT32" s="12"/>
      <c r="RU32" s="12"/>
      <c r="RW32" s="13"/>
      <c r="RX32" s="13">
        <f ca="1">INDEX(Totals[[#Data],[#Totals],[Car - Note]:[NONTRACKED]],MATCH(RW$1,Totals[Date],0),MATCH($C32,Totals[[#Headers],[Car - Note]:[NONTRACKED]],0))</f>
        <v>16.760000000000002</v>
      </c>
      <c r="RY32" s="13"/>
      <c r="RZ32" s="13"/>
      <c r="SA32" s="13"/>
      <c r="SB32" s="13"/>
      <c r="SC32" s="13"/>
      <c r="SD32" s="13"/>
      <c r="SE32" s="13"/>
      <c r="SF32" s="13"/>
      <c r="SG32" s="13"/>
      <c r="SH32" s="13"/>
      <c r="SI32" s="13"/>
      <c r="SJ32" s="13"/>
      <c r="SK32" s="13"/>
      <c r="SL32" s="13"/>
      <c r="SM32" s="12"/>
      <c r="SN32" s="12"/>
      <c r="SO32" s="12"/>
      <c r="SP32" s="12"/>
      <c r="SR32" s="19"/>
      <c r="SS32" s="19">
        <f ca="1">INDEX(Totals[[#Data],[#Totals],[Car - Note]:[NONTRACKED]],MATCH(SR$1,Totals[Date],0),MATCH($C32,Totals[[#Headers],[Car - Note]:[NONTRACKED]],0))</f>
        <v>146.61999999999998</v>
      </c>
      <c r="ST32" s="19"/>
      <c r="SU32" s="19"/>
      <c r="SV32" s="19"/>
      <c r="SW32" s="19"/>
      <c r="SX32" s="19"/>
      <c r="SY32" s="19"/>
      <c r="SZ32" s="19"/>
      <c r="TA32" s="19"/>
      <c r="TB32" s="19"/>
      <c r="TC32" s="19"/>
      <c r="TD32" s="19"/>
      <c r="TE32" s="19"/>
      <c r="TF32" s="19"/>
      <c r="TG32" s="19"/>
      <c r="TH32" s="12"/>
      <c r="TI32" s="12"/>
      <c r="TJ32" s="12"/>
      <c r="TK32" s="12"/>
      <c r="TM32" s="11"/>
      <c r="TN32" s="11">
        <f ca="1">INDEX(Totals[[#Data],[#Totals],[Car - Note]:[NONTRACKED]],MATCH(TM$1,Totals[Date],0),MATCH($C32,Totals[[#Headers],[Car - Note]:[NONTRACKED]],0))</f>
        <v>12.33</v>
      </c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2"/>
      <c r="UD32" s="12"/>
      <c r="UE32" s="12"/>
      <c r="UF32" s="12"/>
      <c r="UH32" s="13"/>
      <c r="UI32" s="13">
        <f ca="1">INDEX(Totals[[#Data],[#Totals],[Car - Note]:[NONTRACKED]],MATCH(UH$1,Totals[Date],0),MATCH($C32,Totals[[#Headers],[Car - Note]:[NONTRACKED]],0))</f>
        <v>1534.81</v>
      </c>
      <c r="UJ32" s="13"/>
      <c r="UK32" s="13"/>
      <c r="UL32" s="13"/>
      <c r="UM32" s="13"/>
      <c r="UN32" s="13"/>
      <c r="UO32" s="13"/>
      <c r="UP32" s="13"/>
      <c r="UQ32" s="13"/>
      <c r="UR32" s="13"/>
      <c r="US32" s="13"/>
      <c r="UT32" s="13"/>
      <c r="UU32" s="13"/>
      <c r="UV32" s="13"/>
      <c r="UW32" s="13"/>
      <c r="UX32" s="12"/>
      <c r="UY32" s="12"/>
      <c r="UZ32" s="12"/>
      <c r="VA32" s="12"/>
      <c r="VC32" s="19"/>
      <c r="VD32" s="19">
        <f ca="1">INDEX(Totals[[#Data],[#Totals],[Car - Note]:[NONTRACKED]],MATCH(VC$1,Totals[Date],0),MATCH($C32,Totals[[#Headers],[Car - Note]:[NONTRACKED]],0))</f>
        <v>20.169999999999998</v>
      </c>
      <c r="VE32" s="19"/>
      <c r="VF32" s="19"/>
      <c r="VG32" s="19"/>
      <c r="VH32" s="19"/>
      <c r="VI32" s="19"/>
      <c r="VJ32" s="19"/>
      <c r="VK32" s="19"/>
      <c r="VL32" s="19"/>
      <c r="VM32" s="19"/>
      <c r="VN32" s="19"/>
      <c r="VO32" s="19"/>
      <c r="VP32" s="19"/>
      <c r="VQ32" s="19"/>
      <c r="VR32" s="19"/>
      <c r="VS32" s="12"/>
      <c r="VT32" s="12"/>
      <c r="VU32" s="12"/>
      <c r="VV32" s="12"/>
      <c r="VX32" s="11"/>
      <c r="VY32" s="11">
        <f ca="1">INDEX(Totals[[#Data],[#Totals],[Car - Note]:[NONTRACKED]],MATCH(VX$1,Totals[Date],0),MATCH($C32,Totals[[#Headers],[Car - Note]:[NONTRACKED]],0))</f>
        <v>8.59</v>
      </c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2"/>
      <c r="WO32" s="12"/>
      <c r="WP32" s="12"/>
      <c r="WQ32" s="12"/>
      <c r="WS32" s="13"/>
      <c r="WT32" s="13">
        <f ca="1">INDEX(Totals[[#Data],[#Totals],[Car - Note]:[NONTRACKED]],MATCH(WS$1,Totals[Date],0),MATCH($C32,Totals[[#Headers],[Car - Note]:[NONTRACKED]],0))</f>
        <v>8.4700000000000006</v>
      </c>
      <c r="WU32" s="13"/>
      <c r="WV32" s="13"/>
      <c r="WW32" s="13"/>
      <c r="WX32" s="13"/>
      <c r="WY32" s="13"/>
      <c r="WZ32" s="13"/>
      <c r="XA32" s="13"/>
      <c r="XB32" s="13"/>
      <c r="XC32" s="13"/>
      <c r="XD32" s="13"/>
      <c r="XE32" s="13"/>
      <c r="XF32" s="13"/>
      <c r="XG32" s="13"/>
      <c r="XH32" s="13"/>
      <c r="XI32" s="12"/>
      <c r="XJ32" s="12"/>
      <c r="XK32" s="12"/>
      <c r="XL32" s="12"/>
    </row>
    <row r="33" spans="1:636" x14ac:dyDescent="0.25">
      <c r="A33" s="110" t="s">
        <v>954</v>
      </c>
      <c r="B33" t="s">
        <v>158</v>
      </c>
      <c r="C33" t="s">
        <v>159</v>
      </c>
      <c r="D33" s="79">
        <v>0</v>
      </c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C33" s="11"/>
      <c r="AD33" s="11">
        <f ca="1">INDEX(Totals[[#Data],[#Totals],[Car - Note]:[NONTRACKED]],MATCH(AC$1,Totals[Date],0),MATCH($C33,Totals[[#Headers],[Car - Note]:[NONTRACKED]],0))</f>
        <v>0</v>
      </c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2"/>
      <c r="AT33" s="12"/>
      <c r="AU33" s="12"/>
      <c r="AV33" s="12"/>
      <c r="AX33" s="13"/>
      <c r="AY33" s="13">
        <f ca="1">INDEX(Totals[[#Data],[#Totals],[Car - Note]:[NONTRACKED]],MATCH(AX$1,Totals[Date],0),MATCH($C33,Totals[[#Headers],[Car - Note]:[NONTRACKED]],0))</f>
        <v>0</v>
      </c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2"/>
      <c r="BO33" s="12"/>
      <c r="BP33" s="12"/>
      <c r="BQ33" s="12"/>
      <c r="BS33" s="19"/>
      <c r="BT33" s="19">
        <f ca="1">INDEX(Totals[[#Data],[#Totals],[Car - Note]:[NONTRACKED]],MATCH(BS$1,Totals[Date],0),MATCH($C33,Totals[[#Headers],[Car - Note]:[NONTRACKED]],0))</f>
        <v>0</v>
      </c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2"/>
      <c r="CJ33" s="12"/>
      <c r="CK33" s="12"/>
      <c r="CL33" s="12"/>
      <c r="CN33" s="11"/>
      <c r="CO33" s="11">
        <f ca="1">INDEX(Totals[[#Data],[#Totals],[Car - Note]:[NONTRACKED]],MATCH(CN$1,Totals[Date],0),MATCH($C33,Totals[[#Headers],[Car - Note]:[NONTRACKED]],0))</f>
        <v>0</v>
      </c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2"/>
      <c r="DE33" s="12"/>
      <c r="DF33" s="12"/>
      <c r="DG33" s="12"/>
      <c r="DI33" s="13"/>
      <c r="DJ33" s="13">
        <f ca="1">INDEX(Totals[[#Data],[#Totals],[Car - Note]:[NONTRACKED]],MATCH(DI$1,Totals[Date],0),MATCH($C33,Totals[[#Headers],[Car - Note]:[NONTRACKED]],0))</f>
        <v>0</v>
      </c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2"/>
      <c r="DZ33" s="12"/>
      <c r="EA33" s="12"/>
      <c r="EB33" s="12"/>
      <c r="ED33" s="19"/>
      <c r="EE33" s="19">
        <f ca="1">INDEX(Totals[[#Data],[#Totals],[Car - Note]:[NONTRACKED]],MATCH(ED$1,Totals[Date],0),MATCH($C33,Totals[[#Headers],[Car - Note]:[NONTRACKED]],0))</f>
        <v>0</v>
      </c>
      <c r="EF33" s="19"/>
      <c r="EG33" s="19"/>
      <c r="EH33" s="19"/>
      <c r="EI33" s="19"/>
      <c r="EJ33" s="19"/>
      <c r="EK33" s="19"/>
      <c r="EL33" s="19"/>
      <c r="EM33" s="19"/>
      <c r="EN33" s="19"/>
      <c r="EO33" s="19"/>
      <c r="EP33" s="19"/>
      <c r="EQ33" s="19"/>
      <c r="ER33" s="19"/>
      <c r="ES33" s="19"/>
      <c r="ET33" s="12"/>
      <c r="EU33" s="12"/>
      <c r="EV33" s="12"/>
      <c r="EW33" s="12"/>
      <c r="EY33" s="11"/>
      <c r="EZ33" s="11">
        <f ca="1">INDEX(Totals[[#Data],[#Totals],[Car - Note]:[NONTRACKED]],MATCH(EY$1,Totals[Date],0),MATCH($C33,Totals[[#Headers],[Car - Note]:[NONTRACKED]],0))</f>
        <v>0</v>
      </c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2"/>
      <c r="FP33" s="12"/>
      <c r="FQ33" s="12"/>
      <c r="FR33" s="12"/>
      <c r="FT33" s="13"/>
      <c r="FU33" s="13">
        <f ca="1">INDEX(Totals[[#Data],[#Totals],[Car - Note]:[NONTRACKED]],MATCH(FT$1,Totals[Date],0),MATCH($C33,Totals[[#Headers],[Car - Note]:[NONTRACKED]],0))</f>
        <v>0</v>
      </c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2"/>
      <c r="GK33" s="12"/>
      <c r="GL33" s="12"/>
      <c r="GM33" s="12"/>
      <c r="GO33" s="19"/>
      <c r="GP33" s="19">
        <f ca="1">INDEX(Totals[[#Data],[#Totals],[Car - Note]:[NONTRACKED]],MATCH(GO$1,Totals[Date],0),MATCH($C33,Totals[[#Headers],[Car - Note]:[NONTRACKED]],0))</f>
        <v>0</v>
      </c>
      <c r="GQ33" s="19"/>
      <c r="GR33" s="19"/>
      <c r="GS33" s="19"/>
      <c r="GT33" s="19"/>
      <c r="GU33" s="19"/>
      <c r="GV33" s="19"/>
      <c r="GW33" s="19"/>
      <c r="GX33" s="19"/>
      <c r="GY33" s="19"/>
      <c r="GZ33" s="19"/>
      <c r="HA33" s="19"/>
      <c r="HB33" s="19"/>
      <c r="HC33" s="19"/>
      <c r="HD33" s="19"/>
      <c r="HE33" s="12"/>
      <c r="HF33" s="12"/>
      <c r="HG33" s="12"/>
      <c r="HH33" s="12"/>
      <c r="HJ33" s="11"/>
      <c r="HK33" s="11">
        <f ca="1">INDEX(Totals[[#Data],[#Totals],[Car - Note]:[NONTRACKED]],MATCH(HJ$1,Totals[Date],0),MATCH($C33,Totals[[#Headers],[Car - Note]:[NONTRACKED]],0))</f>
        <v>0</v>
      </c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2"/>
      <c r="IA33" s="12"/>
      <c r="IB33" s="12"/>
      <c r="IC33" s="12"/>
      <c r="IE33" s="13"/>
      <c r="IF33" s="13">
        <f ca="1">INDEX(Totals[[#Data],[#Totals],[Car - Note]:[NONTRACKED]],MATCH(IE$1,Totals[Date],0),MATCH($C33,Totals[[#Headers],[Car - Note]:[NONTRACKED]],0))</f>
        <v>0</v>
      </c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2"/>
      <c r="IV33" s="12"/>
      <c r="IW33" s="12"/>
      <c r="IX33" s="12"/>
      <c r="IZ33" s="19"/>
      <c r="JA33" s="19">
        <f ca="1">INDEX(Totals[[#Data],[#Totals],[Car - Note]:[NONTRACKED]],MATCH(IZ$1,Totals[Date],0),MATCH($C33,Totals[[#Headers],[Car - Note]:[NONTRACKED]],0))</f>
        <v>0</v>
      </c>
      <c r="JB33" s="19"/>
      <c r="JC33" s="19"/>
      <c r="JD33" s="19"/>
      <c r="JE33" s="19"/>
      <c r="JF33" s="19"/>
      <c r="JG33" s="19"/>
      <c r="JH33" s="19"/>
      <c r="JI33" s="19"/>
      <c r="JJ33" s="19"/>
      <c r="JK33" s="19"/>
      <c r="JL33" s="19"/>
      <c r="JM33" s="19"/>
      <c r="JN33" s="19"/>
      <c r="JO33" s="19"/>
      <c r="JP33" s="12"/>
      <c r="JQ33" s="12"/>
      <c r="JR33" s="12"/>
      <c r="JS33" s="12"/>
      <c r="JU33" s="11"/>
      <c r="JV33" s="11">
        <f ca="1">INDEX(Totals[[#Data],[#Totals],[Car - Note]:[NONTRACKED]],MATCH(JU$1,Totals[Date],0),MATCH($C33,Totals[[#Headers],[Car - Note]:[NONTRACKED]],0))</f>
        <v>0</v>
      </c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2"/>
      <c r="KL33" s="12"/>
      <c r="KM33" s="12"/>
      <c r="KN33" s="12"/>
      <c r="KP33" s="13"/>
      <c r="KQ33" s="13">
        <f ca="1">INDEX(Totals[[#Data],[#Totals],[Car - Note]:[NONTRACKED]],MATCH(KP$1,Totals[Date],0),MATCH($C33,Totals[[#Headers],[Car - Note]:[NONTRACKED]],0))</f>
        <v>0</v>
      </c>
      <c r="KR33" s="13"/>
      <c r="KS33" s="13"/>
      <c r="KT33" s="13"/>
      <c r="KU33" s="13"/>
      <c r="KV33" s="13"/>
      <c r="KW33" s="13"/>
      <c r="KX33" s="13"/>
      <c r="KY33" s="13"/>
      <c r="KZ33" s="13"/>
      <c r="LA33" s="13"/>
      <c r="LB33" s="13"/>
      <c r="LC33" s="13"/>
      <c r="LD33" s="13"/>
      <c r="LE33" s="13"/>
      <c r="LF33" s="12"/>
      <c r="LG33" s="12"/>
      <c r="LH33" s="12"/>
      <c r="LI33" s="12"/>
      <c r="LK33" s="19"/>
      <c r="LL33" s="19">
        <f ca="1">INDEX(Totals[[#Data],[#Totals],[Car - Note]:[NONTRACKED]],MATCH(LK$1,Totals[Date],0),MATCH($C33,Totals[[#Headers],[Car - Note]:[NONTRACKED]],0))</f>
        <v>0</v>
      </c>
      <c r="LM33" s="19"/>
      <c r="LN33" s="19"/>
      <c r="LO33" s="19"/>
      <c r="LP33" s="19"/>
      <c r="LQ33" s="19"/>
      <c r="LR33" s="19"/>
      <c r="LS33" s="19"/>
      <c r="LT33" s="19"/>
      <c r="LU33" s="19"/>
      <c r="LV33" s="19"/>
      <c r="LW33" s="19"/>
      <c r="LX33" s="19"/>
      <c r="LY33" s="19"/>
      <c r="LZ33" s="19"/>
      <c r="MA33" s="12"/>
      <c r="MB33" s="12"/>
      <c r="MC33" s="12"/>
      <c r="MD33" s="12"/>
      <c r="MF33" s="11"/>
      <c r="MG33" s="11">
        <f ca="1">INDEX(Totals[[#Data],[#Totals],[Car - Note]:[NONTRACKED]],MATCH(MF$1,Totals[Date],0),MATCH($C33,Totals[[#Headers],[Car - Note]:[NONTRACKED]],0))</f>
        <v>0</v>
      </c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2"/>
      <c r="MW33" s="12"/>
      <c r="MX33" s="12"/>
      <c r="MY33" s="12"/>
      <c r="NA33" s="13"/>
      <c r="NB33" s="13">
        <f ca="1">INDEX(Totals[[#Data],[#Totals],[Car - Note]:[NONTRACKED]],MATCH(NA$1,Totals[Date],0),MATCH($C33,Totals[[#Headers],[Car - Note]:[NONTRACKED]],0))</f>
        <v>0</v>
      </c>
      <c r="NC33" s="13"/>
      <c r="ND33" s="13"/>
      <c r="NE33" s="13"/>
      <c r="NF33" s="13"/>
      <c r="NG33" s="13"/>
      <c r="NH33" s="13"/>
      <c r="NI33" s="13"/>
      <c r="NJ33" s="13"/>
      <c r="NK33" s="13"/>
      <c r="NL33" s="13"/>
      <c r="NM33" s="13"/>
      <c r="NN33" s="13"/>
      <c r="NO33" s="13"/>
      <c r="NP33" s="13"/>
      <c r="NQ33" s="12"/>
      <c r="NR33" s="12"/>
      <c r="NS33" s="12"/>
      <c r="NT33" s="12"/>
      <c r="NV33" s="19"/>
      <c r="NW33" s="19">
        <f ca="1">INDEX(Totals[[#Data],[#Totals],[Car - Note]:[NONTRACKED]],MATCH(NV$1,Totals[Date],0),MATCH($C33,Totals[[#Headers],[Car - Note]:[NONTRACKED]],0))</f>
        <v>0</v>
      </c>
      <c r="NX33" s="19"/>
      <c r="NY33" s="19"/>
      <c r="NZ33" s="19"/>
      <c r="OA33" s="19"/>
      <c r="OB33" s="19"/>
      <c r="OC33" s="19"/>
      <c r="OD33" s="19"/>
      <c r="OE33" s="19"/>
      <c r="OF33" s="19"/>
      <c r="OG33" s="19"/>
      <c r="OH33" s="19"/>
      <c r="OI33" s="19"/>
      <c r="OJ33" s="19"/>
      <c r="OK33" s="19"/>
      <c r="OL33" s="12"/>
      <c r="OM33" s="12"/>
      <c r="ON33" s="12"/>
      <c r="OO33" s="12"/>
      <c r="OQ33" s="11"/>
      <c r="OR33" s="11">
        <f ca="1">INDEX(Totals[[#Data],[#Totals],[Car - Note]:[NONTRACKED]],MATCH(OQ$1,Totals[Date],0),MATCH($C33,Totals[[#Headers],[Car - Note]:[NONTRACKED]],0))</f>
        <v>0</v>
      </c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2"/>
      <c r="PH33" s="12"/>
      <c r="PI33" s="12"/>
      <c r="PJ33" s="12"/>
      <c r="PL33" s="13"/>
      <c r="PM33" s="13">
        <f ca="1">INDEX(Totals[[#Data],[#Totals],[Car - Note]:[NONTRACKED]],MATCH(PL$1,Totals[Date],0),MATCH($C33,Totals[[#Headers],[Car - Note]:[NONTRACKED]],0))</f>
        <v>0</v>
      </c>
      <c r="PN33" s="13"/>
      <c r="PO33" s="13"/>
      <c r="PP33" s="13"/>
      <c r="PQ33" s="13"/>
      <c r="PR33" s="13"/>
      <c r="PS33" s="13"/>
      <c r="PT33" s="13"/>
      <c r="PU33" s="13"/>
      <c r="PV33" s="13"/>
      <c r="PW33" s="13"/>
      <c r="PX33" s="13"/>
      <c r="PY33" s="13"/>
      <c r="PZ33" s="13"/>
      <c r="QA33" s="13"/>
      <c r="QB33" s="12"/>
      <c r="QC33" s="12"/>
      <c r="QD33" s="12"/>
      <c r="QE33" s="12"/>
      <c r="QG33" s="19"/>
      <c r="QH33" s="19">
        <f ca="1">INDEX(Totals[[#Data],[#Totals],[Car - Note]:[NONTRACKED]],MATCH(QG$1,Totals[Date],0),MATCH($C33,Totals[[#Headers],[Car - Note]:[NONTRACKED]],0))</f>
        <v>0</v>
      </c>
      <c r="QI33" s="19"/>
      <c r="QJ33" s="19"/>
      <c r="QK33" s="19"/>
      <c r="QL33" s="19"/>
      <c r="QM33" s="19"/>
      <c r="QN33" s="19"/>
      <c r="QO33" s="19"/>
      <c r="QP33" s="19"/>
      <c r="QQ33" s="19"/>
      <c r="QR33" s="19"/>
      <c r="QS33" s="19"/>
      <c r="QT33" s="19"/>
      <c r="QU33" s="19"/>
      <c r="QV33" s="19"/>
      <c r="QW33" s="12"/>
      <c r="QX33" s="12"/>
      <c r="QY33" s="12"/>
      <c r="QZ33" s="12"/>
      <c r="RB33" s="11"/>
      <c r="RC33" s="11">
        <f ca="1">INDEX(Totals[[#Data],[#Totals],[Car - Note]:[NONTRACKED]],MATCH(RB$1,Totals[Date],0),MATCH($C33,Totals[[#Headers],[Car - Note]:[NONTRACKED]],0))</f>
        <v>0</v>
      </c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2"/>
      <c r="RS33" s="12"/>
      <c r="RT33" s="12"/>
      <c r="RU33" s="12"/>
      <c r="RW33" s="13"/>
      <c r="RX33" s="13">
        <f ca="1">INDEX(Totals[[#Data],[#Totals],[Car - Note]:[NONTRACKED]],MATCH(RW$1,Totals[Date],0),MATCH($C33,Totals[[#Headers],[Car - Note]:[NONTRACKED]],0))</f>
        <v>0</v>
      </c>
      <c r="RY33" s="13"/>
      <c r="RZ33" s="13"/>
      <c r="SA33" s="13"/>
      <c r="SB33" s="13"/>
      <c r="SC33" s="13"/>
      <c r="SD33" s="13"/>
      <c r="SE33" s="13"/>
      <c r="SF33" s="13"/>
      <c r="SG33" s="13"/>
      <c r="SH33" s="13"/>
      <c r="SI33" s="13"/>
      <c r="SJ33" s="13"/>
      <c r="SK33" s="13"/>
      <c r="SL33" s="13"/>
      <c r="SM33" s="12"/>
      <c r="SN33" s="12"/>
      <c r="SO33" s="12"/>
      <c r="SP33" s="12"/>
      <c r="SR33" s="19"/>
      <c r="SS33" s="19">
        <f ca="1">INDEX(Totals[[#Data],[#Totals],[Car - Note]:[NONTRACKED]],MATCH(SR$1,Totals[Date],0),MATCH($C33,Totals[[#Headers],[Car - Note]:[NONTRACKED]],0))</f>
        <v>0</v>
      </c>
      <c r="ST33" s="19"/>
      <c r="SU33" s="19"/>
      <c r="SV33" s="19"/>
      <c r="SW33" s="19"/>
      <c r="SX33" s="19"/>
      <c r="SY33" s="19"/>
      <c r="SZ33" s="19"/>
      <c r="TA33" s="19"/>
      <c r="TB33" s="19"/>
      <c r="TC33" s="19"/>
      <c r="TD33" s="19"/>
      <c r="TE33" s="19"/>
      <c r="TF33" s="19"/>
      <c r="TG33" s="19"/>
      <c r="TH33" s="12"/>
      <c r="TI33" s="12"/>
      <c r="TJ33" s="12"/>
      <c r="TK33" s="12"/>
      <c r="TM33" s="11"/>
      <c r="TN33" s="11">
        <f ca="1">INDEX(Totals[[#Data],[#Totals],[Car - Note]:[NONTRACKED]],MATCH(TM$1,Totals[Date],0),MATCH($C33,Totals[[#Headers],[Car - Note]:[NONTRACKED]],0))</f>
        <v>0</v>
      </c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2"/>
      <c r="UD33" s="12"/>
      <c r="UE33" s="12"/>
      <c r="UF33" s="12"/>
      <c r="UH33" s="13"/>
      <c r="UI33" s="13">
        <f ca="1">INDEX(Totals[[#Data],[#Totals],[Car - Note]:[NONTRACKED]],MATCH(UH$1,Totals[Date],0),MATCH($C33,Totals[[#Headers],[Car - Note]:[NONTRACKED]],0))</f>
        <v>0</v>
      </c>
      <c r="UJ33" s="13"/>
      <c r="UK33" s="13"/>
      <c r="UL33" s="13"/>
      <c r="UM33" s="13"/>
      <c r="UN33" s="13"/>
      <c r="UO33" s="13"/>
      <c r="UP33" s="13"/>
      <c r="UQ33" s="13"/>
      <c r="UR33" s="13"/>
      <c r="US33" s="13"/>
      <c r="UT33" s="13"/>
      <c r="UU33" s="13"/>
      <c r="UV33" s="13"/>
      <c r="UW33" s="13"/>
      <c r="UX33" s="12"/>
      <c r="UY33" s="12"/>
      <c r="UZ33" s="12"/>
      <c r="VA33" s="12"/>
      <c r="VC33" s="19"/>
      <c r="VD33" s="19">
        <f ca="1">INDEX(Totals[[#Data],[#Totals],[Car - Note]:[NONTRACKED]],MATCH(VC$1,Totals[Date],0),MATCH($C33,Totals[[#Headers],[Car - Note]:[NONTRACKED]],0))</f>
        <v>0</v>
      </c>
      <c r="VE33" s="19"/>
      <c r="VF33" s="19"/>
      <c r="VG33" s="19"/>
      <c r="VH33" s="19"/>
      <c r="VI33" s="19"/>
      <c r="VJ33" s="19"/>
      <c r="VK33" s="19"/>
      <c r="VL33" s="19"/>
      <c r="VM33" s="19"/>
      <c r="VN33" s="19"/>
      <c r="VO33" s="19"/>
      <c r="VP33" s="19"/>
      <c r="VQ33" s="19"/>
      <c r="VR33" s="19"/>
      <c r="VS33" s="12"/>
      <c r="VT33" s="12"/>
      <c r="VU33" s="12"/>
      <c r="VV33" s="12"/>
      <c r="VX33" s="11"/>
      <c r="VY33" s="11">
        <f ca="1">INDEX(Totals[[#Data],[#Totals],[Car - Note]:[NONTRACKED]],MATCH(VX$1,Totals[Date],0),MATCH($C33,Totals[[#Headers],[Car - Note]:[NONTRACKED]],0))</f>
        <v>0</v>
      </c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2"/>
      <c r="WO33" s="12"/>
      <c r="WP33" s="12"/>
      <c r="WQ33" s="12"/>
      <c r="WS33" s="13"/>
      <c r="WT33" s="13">
        <f ca="1">INDEX(Totals[[#Data],[#Totals],[Car - Note]:[NONTRACKED]],MATCH(WS$1,Totals[Date],0),MATCH($C33,Totals[[#Headers],[Car - Note]:[NONTRACKED]],0))</f>
        <v>0</v>
      </c>
      <c r="WU33" s="13"/>
      <c r="WV33" s="13"/>
      <c r="WW33" s="13"/>
      <c r="WX33" s="13"/>
      <c r="WY33" s="13"/>
      <c r="WZ33" s="13"/>
      <c r="XA33" s="13"/>
      <c r="XB33" s="13"/>
      <c r="XC33" s="13"/>
      <c r="XD33" s="13"/>
      <c r="XE33" s="13"/>
      <c r="XF33" s="13"/>
      <c r="XG33" s="13"/>
      <c r="XH33" s="13"/>
      <c r="XI33" s="12"/>
      <c r="XJ33" s="12"/>
      <c r="XK33" s="12"/>
      <c r="XL33" s="12"/>
    </row>
    <row r="34" spans="1:636" x14ac:dyDescent="0.25">
      <c r="A34" s="110"/>
      <c r="B34" t="s">
        <v>161</v>
      </c>
      <c r="C34" t="s">
        <v>161</v>
      </c>
      <c r="D34" s="79">
        <v>0</v>
      </c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C34" s="11"/>
      <c r="AD34" s="11">
        <f ca="1">INDEX(Totals[[#Data],[#Totals],[Car - Note]:[NONTRACKED]],MATCH(AC$1,Totals[Date],0),MATCH($C34,Totals[[#Headers],[Car - Note]:[NONTRACKED]],0))</f>
        <v>0</v>
      </c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2"/>
      <c r="AT34" s="12"/>
      <c r="AU34" s="12"/>
      <c r="AV34" s="12"/>
      <c r="AX34" s="13"/>
      <c r="AY34" s="13">
        <f ca="1">INDEX(Totals[[#Data],[#Totals],[Car - Note]:[NONTRACKED]],MATCH(AX$1,Totals[Date],0),MATCH($C34,Totals[[#Headers],[Car - Note]:[NONTRACKED]],0))</f>
        <v>0</v>
      </c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2"/>
      <c r="BO34" s="12"/>
      <c r="BP34" s="12"/>
      <c r="BQ34" s="12"/>
      <c r="BS34" s="19"/>
      <c r="BT34" s="19">
        <f ca="1">INDEX(Totals[[#Data],[#Totals],[Car - Note]:[NONTRACKED]],MATCH(BS$1,Totals[Date],0),MATCH($C34,Totals[[#Headers],[Car - Note]:[NONTRACKED]],0))</f>
        <v>0</v>
      </c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2"/>
      <c r="CJ34" s="12"/>
      <c r="CK34" s="12"/>
      <c r="CL34" s="12"/>
      <c r="CN34" s="11"/>
      <c r="CO34" s="11">
        <f ca="1">INDEX(Totals[[#Data],[#Totals],[Car - Note]:[NONTRACKED]],MATCH(CN$1,Totals[Date],0),MATCH($C34,Totals[[#Headers],[Car - Note]:[NONTRACKED]],0))</f>
        <v>0</v>
      </c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2"/>
      <c r="DE34" s="12"/>
      <c r="DF34" s="12"/>
      <c r="DG34" s="12"/>
      <c r="DI34" s="13"/>
      <c r="DJ34" s="13">
        <f ca="1">INDEX(Totals[[#Data],[#Totals],[Car - Note]:[NONTRACKED]],MATCH(DI$1,Totals[Date],0),MATCH($C34,Totals[[#Headers],[Car - Note]:[NONTRACKED]],0))</f>
        <v>0</v>
      </c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2"/>
      <c r="DZ34" s="12"/>
      <c r="EA34" s="12"/>
      <c r="EB34" s="12"/>
      <c r="ED34" s="19"/>
      <c r="EE34" s="19">
        <f ca="1">INDEX(Totals[[#Data],[#Totals],[Car - Note]:[NONTRACKED]],MATCH(ED$1,Totals[Date],0),MATCH($C34,Totals[[#Headers],[Car - Note]:[NONTRACKED]],0))</f>
        <v>0</v>
      </c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2"/>
      <c r="EU34" s="12"/>
      <c r="EV34" s="12"/>
      <c r="EW34" s="12"/>
      <c r="EY34" s="11"/>
      <c r="EZ34" s="11">
        <f ca="1">INDEX(Totals[[#Data],[#Totals],[Car - Note]:[NONTRACKED]],MATCH(EY$1,Totals[Date],0),MATCH($C34,Totals[[#Headers],[Car - Note]:[NONTRACKED]],0))</f>
        <v>0</v>
      </c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2"/>
      <c r="FP34" s="12"/>
      <c r="FQ34" s="12"/>
      <c r="FR34" s="12"/>
      <c r="FT34" s="13"/>
      <c r="FU34" s="13">
        <f ca="1">INDEX(Totals[[#Data],[#Totals],[Car - Note]:[NONTRACKED]],MATCH(FT$1,Totals[Date],0),MATCH($C34,Totals[[#Headers],[Car - Note]:[NONTRACKED]],0))</f>
        <v>0</v>
      </c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2"/>
      <c r="GK34" s="12"/>
      <c r="GL34" s="12"/>
      <c r="GM34" s="12"/>
      <c r="GO34" s="19"/>
      <c r="GP34" s="19">
        <f ca="1">INDEX(Totals[[#Data],[#Totals],[Car - Note]:[NONTRACKED]],MATCH(GO$1,Totals[Date],0),MATCH($C34,Totals[[#Headers],[Car - Note]:[NONTRACKED]],0))</f>
        <v>0</v>
      </c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2"/>
      <c r="HF34" s="12"/>
      <c r="HG34" s="12"/>
      <c r="HH34" s="12"/>
      <c r="HJ34" s="11"/>
      <c r="HK34" s="11">
        <f ca="1">INDEX(Totals[[#Data],[#Totals],[Car - Note]:[NONTRACKED]],MATCH(HJ$1,Totals[Date],0),MATCH($C34,Totals[[#Headers],[Car - Note]:[NONTRACKED]],0))</f>
        <v>0</v>
      </c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2"/>
      <c r="IA34" s="12"/>
      <c r="IB34" s="12"/>
      <c r="IC34" s="12"/>
      <c r="IE34" s="13"/>
      <c r="IF34" s="13">
        <f ca="1">INDEX(Totals[[#Data],[#Totals],[Car - Note]:[NONTRACKED]],MATCH(IE$1,Totals[Date],0),MATCH($C34,Totals[[#Headers],[Car - Note]:[NONTRACKED]],0))</f>
        <v>0</v>
      </c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2"/>
      <c r="IV34" s="12"/>
      <c r="IW34" s="12"/>
      <c r="IX34" s="12"/>
      <c r="IZ34" s="19"/>
      <c r="JA34" s="19">
        <f ca="1">INDEX(Totals[[#Data],[#Totals],[Car - Note]:[NONTRACKED]],MATCH(IZ$1,Totals[Date],0),MATCH($C34,Totals[[#Headers],[Car - Note]:[NONTRACKED]],0))</f>
        <v>0</v>
      </c>
      <c r="JB34" s="19"/>
      <c r="JC34" s="19"/>
      <c r="JD34" s="19"/>
      <c r="JE34" s="19"/>
      <c r="JF34" s="19"/>
      <c r="JG34" s="19"/>
      <c r="JH34" s="19"/>
      <c r="JI34" s="19"/>
      <c r="JJ34" s="19"/>
      <c r="JK34" s="19"/>
      <c r="JL34" s="19"/>
      <c r="JM34" s="19"/>
      <c r="JN34" s="19"/>
      <c r="JO34" s="19"/>
      <c r="JP34" s="12"/>
      <c r="JQ34" s="12"/>
      <c r="JR34" s="12"/>
      <c r="JS34" s="12"/>
      <c r="JU34" s="11"/>
      <c r="JV34" s="11">
        <f ca="1">INDEX(Totals[[#Data],[#Totals],[Car - Note]:[NONTRACKED]],MATCH(JU$1,Totals[Date],0),MATCH($C34,Totals[[#Headers],[Car - Note]:[NONTRACKED]],0))</f>
        <v>0</v>
      </c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2"/>
      <c r="KL34" s="12"/>
      <c r="KM34" s="12"/>
      <c r="KN34" s="12"/>
      <c r="KP34" s="13"/>
      <c r="KQ34" s="13">
        <f ca="1">INDEX(Totals[[#Data],[#Totals],[Car - Note]:[NONTRACKED]],MATCH(KP$1,Totals[Date],0),MATCH($C34,Totals[[#Headers],[Car - Note]:[NONTRACKED]],0))</f>
        <v>0</v>
      </c>
      <c r="KR34" s="13"/>
      <c r="KS34" s="13"/>
      <c r="KT34" s="13"/>
      <c r="KU34" s="13"/>
      <c r="KV34" s="13"/>
      <c r="KW34" s="13"/>
      <c r="KX34" s="13"/>
      <c r="KY34" s="13"/>
      <c r="KZ34" s="13"/>
      <c r="LA34" s="13"/>
      <c r="LB34" s="13"/>
      <c r="LC34" s="13"/>
      <c r="LD34" s="13"/>
      <c r="LE34" s="13"/>
      <c r="LF34" s="12"/>
      <c r="LG34" s="12"/>
      <c r="LH34" s="12"/>
      <c r="LI34" s="12"/>
      <c r="LK34" s="19"/>
      <c r="LL34" s="19">
        <f ca="1">INDEX(Totals[[#Data],[#Totals],[Car - Note]:[NONTRACKED]],MATCH(LK$1,Totals[Date],0),MATCH($C34,Totals[[#Headers],[Car - Note]:[NONTRACKED]],0))</f>
        <v>0</v>
      </c>
      <c r="LM34" s="19"/>
      <c r="LN34" s="19"/>
      <c r="LO34" s="19"/>
      <c r="LP34" s="19"/>
      <c r="LQ34" s="19"/>
      <c r="LR34" s="19"/>
      <c r="LS34" s="19"/>
      <c r="LT34" s="19"/>
      <c r="LU34" s="19"/>
      <c r="LV34" s="19"/>
      <c r="LW34" s="19"/>
      <c r="LX34" s="19"/>
      <c r="LY34" s="19"/>
      <c r="LZ34" s="19"/>
      <c r="MA34" s="12"/>
      <c r="MB34" s="12"/>
      <c r="MC34" s="12"/>
      <c r="MD34" s="12"/>
      <c r="MF34" s="11"/>
      <c r="MG34" s="11">
        <f ca="1">INDEX(Totals[[#Data],[#Totals],[Car - Note]:[NONTRACKED]],MATCH(MF$1,Totals[Date],0),MATCH($C34,Totals[[#Headers],[Car - Note]:[NONTRACKED]],0))</f>
        <v>0</v>
      </c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2"/>
      <c r="MW34" s="12"/>
      <c r="MX34" s="12"/>
      <c r="MY34" s="12"/>
      <c r="NA34" s="13"/>
      <c r="NB34" s="13">
        <f ca="1">INDEX(Totals[[#Data],[#Totals],[Car - Note]:[NONTRACKED]],MATCH(NA$1,Totals[Date],0),MATCH($C34,Totals[[#Headers],[Car - Note]:[NONTRACKED]],0))</f>
        <v>0</v>
      </c>
      <c r="NC34" s="13"/>
      <c r="ND34" s="13"/>
      <c r="NE34" s="13"/>
      <c r="NF34" s="13"/>
      <c r="NG34" s="13"/>
      <c r="NH34" s="13"/>
      <c r="NI34" s="13"/>
      <c r="NJ34" s="13"/>
      <c r="NK34" s="13"/>
      <c r="NL34" s="13"/>
      <c r="NM34" s="13"/>
      <c r="NN34" s="13"/>
      <c r="NO34" s="13"/>
      <c r="NP34" s="13"/>
      <c r="NQ34" s="12"/>
      <c r="NR34" s="12"/>
      <c r="NS34" s="12"/>
      <c r="NT34" s="12"/>
      <c r="NV34" s="19"/>
      <c r="NW34" s="19">
        <f ca="1">INDEX(Totals[[#Data],[#Totals],[Car - Note]:[NONTRACKED]],MATCH(NV$1,Totals[Date],0),MATCH($C34,Totals[[#Headers],[Car - Note]:[NONTRACKED]],0))</f>
        <v>0</v>
      </c>
      <c r="NX34" s="19"/>
      <c r="NY34" s="19"/>
      <c r="NZ34" s="19"/>
      <c r="OA34" s="19"/>
      <c r="OB34" s="19"/>
      <c r="OC34" s="19"/>
      <c r="OD34" s="19"/>
      <c r="OE34" s="19"/>
      <c r="OF34" s="19"/>
      <c r="OG34" s="19"/>
      <c r="OH34" s="19"/>
      <c r="OI34" s="19"/>
      <c r="OJ34" s="19"/>
      <c r="OK34" s="19"/>
      <c r="OL34" s="12"/>
      <c r="OM34" s="12"/>
      <c r="ON34" s="12"/>
      <c r="OO34" s="12"/>
      <c r="OQ34" s="11"/>
      <c r="OR34" s="11">
        <f ca="1">INDEX(Totals[[#Data],[#Totals],[Car - Note]:[NONTRACKED]],MATCH(OQ$1,Totals[Date],0),MATCH($C34,Totals[[#Headers],[Car - Note]:[NONTRACKED]],0))</f>
        <v>0</v>
      </c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2"/>
      <c r="PH34" s="12"/>
      <c r="PI34" s="12"/>
      <c r="PJ34" s="12"/>
      <c r="PL34" s="13"/>
      <c r="PM34" s="13">
        <f ca="1">INDEX(Totals[[#Data],[#Totals],[Car - Note]:[NONTRACKED]],MATCH(PL$1,Totals[Date],0),MATCH($C34,Totals[[#Headers],[Car - Note]:[NONTRACKED]],0))</f>
        <v>0</v>
      </c>
      <c r="PN34" s="13"/>
      <c r="PO34" s="13"/>
      <c r="PP34" s="13"/>
      <c r="PQ34" s="13"/>
      <c r="PR34" s="13"/>
      <c r="PS34" s="13"/>
      <c r="PT34" s="13"/>
      <c r="PU34" s="13"/>
      <c r="PV34" s="13"/>
      <c r="PW34" s="13"/>
      <c r="PX34" s="13"/>
      <c r="PY34" s="13"/>
      <c r="PZ34" s="13"/>
      <c r="QA34" s="13"/>
      <c r="QB34" s="12"/>
      <c r="QC34" s="12"/>
      <c r="QD34" s="12"/>
      <c r="QE34" s="12"/>
      <c r="QG34" s="19"/>
      <c r="QH34" s="19">
        <f ca="1">INDEX(Totals[[#Data],[#Totals],[Car - Note]:[NONTRACKED]],MATCH(QG$1,Totals[Date],0),MATCH($C34,Totals[[#Headers],[Car - Note]:[NONTRACKED]],0))</f>
        <v>0</v>
      </c>
      <c r="QI34" s="19"/>
      <c r="QJ34" s="19"/>
      <c r="QK34" s="19"/>
      <c r="QL34" s="19"/>
      <c r="QM34" s="19"/>
      <c r="QN34" s="19"/>
      <c r="QO34" s="19"/>
      <c r="QP34" s="19"/>
      <c r="QQ34" s="19"/>
      <c r="QR34" s="19"/>
      <c r="QS34" s="19"/>
      <c r="QT34" s="19"/>
      <c r="QU34" s="19"/>
      <c r="QV34" s="19"/>
      <c r="QW34" s="12"/>
      <c r="QX34" s="12"/>
      <c r="QY34" s="12"/>
      <c r="QZ34" s="12"/>
      <c r="RB34" s="11"/>
      <c r="RC34" s="11">
        <f ca="1">INDEX(Totals[[#Data],[#Totals],[Car - Note]:[NONTRACKED]],MATCH(RB$1,Totals[Date],0),MATCH($C34,Totals[[#Headers],[Car - Note]:[NONTRACKED]],0))</f>
        <v>0</v>
      </c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2"/>
      <c r="RS34" s="12"/>
      <c r="RT34" s="12"/>
      <c r="RU34" s="12"/>
      <c r="RW34" s="13"/>
      <c r="RX34" s="13">
        <f ca="1">INDEX(Totals[[#Data],[#Totals],[Car - Note]:[NONTRACKED]],MATCH(RW$1,Totals[Date],0),MATCH($C34,Totals[[#Headers],[Car - Note]:[NONTRACKED]],0))</f>
        <v>0</v>
      </c>
      <c r="RY34" s="13"/>
      <c r="RZ34" s="13"/>
      <c r="SA34" s="13"/>
      <c r="SB34" s="13"/>
      <c r="SC34" s="13"/>
      <c r="SD34" s="13"/>
      <c r="SE34" s="13"/>
      <c r="SF34" s="13"/>
      <c r="SG34" s="13"/>
      <c r="SH34" s="13"/>
      <c r="SI34" s="13"/>
      <c r="SJ34" s="13"/>
      <c r="SK34" s="13"/>
      <c r="SL34" s="13"/>
      <c r="SM34" s="12"/>
      <c r="SN34" s="12"/>
      <c r="SO34" s="12"/>
      <c r="SP34" s="12"/>
      <c r="SR34" s="19"/>
      <c r="SS34" s="19">
        <f ca="1">INDEX(Totals[[#Data],[#Totals],[Car - Note]:[NONTRACKED]],MATCH(SR$1,Totals[Date],0),MATCH($C34,Totals[[#Headers],[Car - Note]:[NONTRACKED]],0))</f>
        <v>0</v>
      </c>
      <c r="ST34" s="19"/>
      <c r="SU34" s="19"/>
      <c r="SV34" s="19"/>
      <c r="SW34" s="19"/>
      <c r="SX34" s="19"/>
      <c r="SY34" s="19"/>
      <c r="SZ34" s="19"/>
      <c r="TA34" s="19"/>
      <c r="TB34" s="19"/>
      <c r="TC34" s="19"/>
      <c r="TD34" s="19"/>
      <c r="TE34" s="19"/>
      <c r="TF34" s="19"/>
      <c r="TG34" s="19"/>
      <c r="TH34" s="12"/>
      <c r="TI34" s="12"/>
      <c r="TJ34" s="12"/>
      <c r="TK34" s="12"/>
      <c r="TM34" s="11"/>
      <c r="TN34" s="11">
        <f ca="1">INDEX(Totals[[#Data],[#Totals],[Car - Note]:[NONTRACKED]],MATCH(TM$1,Totals[Date],0),MATCH($C34,Totals[[#Headers],[Car - Note]:[NONTRACKED]],0))</f>
        <v>0</v>
      </c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2"/>
      <c r="UD34" s="12"/>
      <c r="UE34" s="12"/>
      <c r="UF34" s="12"/>
      <c r="UH34" s="13"/>
      <c r="UI34" s="13">
        <f ca="1">INDEX(Totals[[#Data],[#Totals],[Car - Note]:[NONTRACKED]],MATCH(UH$1,Totals[Date],0),MATCH($C34,Totals[[#Headers],[Car - Note]:[NONTRACKED]],0))</f>
        <v>0</v>
      </c>
      <c r="UJ34" s="13"/>
      <c r="UK34" s="13"/>
      <c r="UL34" s="13"/>
      <c r="UM34" s="13"/>
      <c r="UN34" s="13"/>
      <c r="UO34" s="13"/>
      <c r="UP34" s="13"/>
      <c r="UQ34" s="13"/>
      <c r="UR34" s="13"/>
      <c r="US34" s="13"/>
      <c r="UT34" s="13"/>
      <c r="UU34" s="13"/>
      <c r="UV34" s="13"/>
      <c r="UW34" s="13"/>
      <c r="UX34" s="12"/>
      <c r="UY34" s="12"/>
      <c r="UZ34" s="12"/>
      <c r="VA34" s="12"/>
      <c r="VC34" s="19"/>
      <c r="VD34" s="19">
        <f ca="1">INDEX(Totals[[#Data],[#Totals],[Car - Note]:[NONTRACKED]],MATCH(VC$1,Totals[Date],0),MATCH($C34,Totals[[#Headers],[Car - Note]:[NONTRACKED]],0))</f>
        <v>0</v>
      </c>
      <c r="VE34" s="19"/>
      <c r="VF34" s="19"/>
      <c r="VG34" s="19"/>
      <c r="VH34" s="19"/>
      <c r="VI34" s="19"/>
      <c r="VJ34" s="19"/>
      <c r="VK34" s="19"/>
      <c r="VL34" s="19"/>
      <c r="VM34" s="19"/>
      <c r="VN34" s="19"/>
      <c r="VO34" s="19"/>
      <c r="VP34" s="19"/>
      <c r="VQ34" s="19"/>
      <c r="VR34" s="19"/>
      <c r="VS34" s="12"/>
      <c r="VT34" s="12"/>
      <c r="VU34" s="12"/>
      <c r="VV34" s="12"/>
      <c r="VX34" s="11"/>
      <c r="VY34" s="11">
        <f ca="1">INDEX(Totals[[#Data],[#Totals],[Car - Note]:[NONTRACKED]],MATCH(VX$1,Totals[Date],0),MATCH($C34,Totals[[#Headers],[Car - Note]:[NONTRACKED]],0))</f>
        <v>0</v>
      </c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2"/>
      <c r="WO34" s="12"/>
      <c r="WP34" s="12"/>
      <c r="WQ34" s="12"/>
      <c r="WS34" s="13"/>
      <c r="WT34" s="13">
        <f ca="1">INDEX(Totals[[#Data],[#Totals],[Car - Note]:[NONTRACKED]],MATCH(WS$1,Totals[Date],0),MATCH($C34,Totals[[#Headers],[Car - Note]:[NONTRACKED]],0))</f>
        <v>0</v>
      </c>
      <c r="WU34" s="13"/>
      <c r="WV34" s="13"/>
      <c r="WW34" s="13"/>
      <c r="WX34" s="13"/>
      <c r="WY34" s="13"/>
      <c r="WZ34" s="13"/>
      <c r="XA34" s="13"/>
      <c r="XB34" s="13"/>
      <c r="XC34" s="13"/>
      <c r="XD34" s="13"/>
      <c r="XE34" s="13"/>
      <c r="XF34" s="13"/>
      <c r="XG34" s="13"/>
      <c r="XH34" s="13"/>
      <c r="XI34" s="12"/>
      <c r="XJ34" s="12"/>
      <c r="XK34" s="12"/>
      <c r="XL34" s="12"/>
    </row>
    <row r="35" spans="1:636" s="7" customFormat="1" ht="6.75" customHeight="1" x14ac:dyDescent="0.25">
      <c r="A35" s="87"/>
      <c r="D35" s="10"/>
      <c r="M35" s="10"/>
      <c r="V35" s="10"/>
      <c r="W35" s="10"/>
      <c r="X35" s="10"/>
      <c r="Y35" s="10"/>
      <c r="Z35" s="10"/>
      <c r="AA35" s="10"/>
      <c r="AH35" s="10"/>
      <c r="AQ35" s="10"/>
      <c r="AR35" s="10"/>
      <c r="AS35" s="10"/>
      <c r="AT35" s="10"/>
      <c r="AU35" s="10"/>
      <c r="AV35" s="10"/>
      <c r="BC35" s="10"/>
      <c r="BL35" s="10"/>
      <c r="BM35" s="10"/>
      <c r="BN35" s="10"/>
      <c r="BO35" s="10"/>
      <c r="BP35" s="10"/>
      <c r="BQ35" s="10"/>
      <c r="BX35" s="10"/>
      <c r="CG35" s="10"/>
      <c r="CH35" s="10"/>
      <c r="CI35" s="10"/>
      <c r="CJ35" s="10"/>
      <c r="CK35" s="10"/>
      <c r="CL35" s="10"/>
      <c r="CS35" s="10"/>
      <c r="DB35" s="10"/>
      <c r="DC35" s="10"/>
      <c r="DD35" s="10"/>
      <c r="DE35" s="10"/>
      <c r="DF35" s="10"/>
      <c r="DG35" s="10"/>
      <c r="DN35" s="10"/>
      <c r="DW35" s="10"/>
      <c r="DX35" s="10"/>
      <c r="DY35" s="10"/>
      <c r="DZ35" s="10"/>
      <c r="EA35" s="10"/>
      <c r="EB35" s="10"/>
      <c r="EI35" s="10"/>
      <c r="ER35" s="10"/>
      <c r="ES35" s="10"/>
      <c r="ET35" s="10"/>
      <c r="EU35" s="10"/>
      <c r="EV35" s="10"/>
      <c r="EW35" s="10"/>
      <c r="FD35" s="10"/>
      <c r="FM35" s="10"/>
      <c r="FN35" s="10"/>
      <c r="FO35" s="10"/>
      <c r="FP35" s="10"/>
      <c r="FQ35" s="10"/>
      <c r="FR35" s="10"/>
      <c r="FY35" s="10"/>
      <c r="GH35" s="10"/>
      <c r="GI35" s="10"/>
      <c r="GJ35" s="10"/>
      <c r="GK35" s="10"/>
      <c r="GL35" s="10"/>
      <c r="GM35" s="10"/>
      <c r="GT35" s="10"/>
      <c r="HC35" s="10"/>
      <c r="HD35" s="10"/>
      <c r="HE35" s="10"/>
      <c r="HF35" s="10"/>
      <c r="HG35" s="10"/>
      <c r="HH35" s="10"/>
      <c r="HO35" s="10"/>
      <c r="HX35" s="10"/>
      <c r="HY35" s="10"/>
      <c r="HZ35" s="10"/>
      <c r="IA35" s="10"/>
      <c r="IB35" s="10"/>
      <c r="IC35" s="10"/>
      <c r="IJ35" s="10"/>
      <c r="IS35" s="10"/>
      <c r="IT35" s="10"/>
      <c r="IU35" s="10"/>
      <c r="IV35" s="10"/>
      <c r="IW35" s="10"/>
      <c r="IX35" s="10"/>
      <c r="JE35" s="10"/>
      <c r="JN35" s="10"/>
      <c r="JO35" s="10"/>
      <c r="JP35" s="10"/>
      <c r="JQ35" s="10"/>
      <c r="JR35" s="10"/>
      <c r="JS35" s="10"/>
      <c r="JZ35" s="10"/>
      <c r="KI35" s="10"/>
      <c r="KJ35" s="10"/>
      <c r="KK35" s="10"/>
      <c r="KL35" s="10"/>
      <c r="KM35" s="10"/>
      <c r="KN35" s="10"/>
      <c r="KU35" s="10"/>
      <c r="LD35" s="10"/>
      <c r="LE35" s="10"/>
      <c r="LF35" s="10"/>
      <c r="LG35" s="10"/>
      <c r="LH35" s="10"/>
      <c r="LI35" s="10"/>
      <c r="LP35" s="10"/>
      <c r="LY35" s="10"/>
      <c r="LZ35" s="10"/>
      <c r="MA35" s="10"/>
      <c r="MB35" s="10"/>
      <c r="MC35" s="10"/>
      <c r="MD35" s="10"/>
      <c r="MK35" s="10"/>
      <c r="MT35" s="10"/>
      <c r="MU35" s="10"/>
      <c r="MV35" s="10"/>
      <c r="MW35" s="10"/>
      <c r="MX35" s="10"/>
      <c r="MY35" s="10"/>
      <c r="NF35" s="10"/>
      <c r="NO35" s="10"/>
      <c r="NP35" s="10"/>
      <c r="NQ35" s="10"/>
      <c r="NR35" s="10"/>
      <c r="NS35" s="10"/>
      <c r="NT35" s="10"/>
      <c r="OA35" s="10"/>
      <c r="OJ35" s="10"/>
      <c r="OK35" s="10"/>
      <c r="OL35" s="10"/>
      <c r="OM35" s="10"/>
      <c r="ON35" s="10"/>
      <c r="OO35" s="10"/>
      <c r="OV35" s="10"/>
      <c r="PE35" s="10"/>
      <c r="PF35" s="10"/>
      <c r="PG35" s="10"/>
      <c r="PH35" s="10"/>
      <c r="PI35" s="10"/>
      <c r="PJ35" s="10"/>
      <c r="PQ35" s="10"/>
      <c r="PZ35" s="10"/>
      <c r="QA35" s="10"/>
      <c r="QB35" s="10"/>
      <c r="QC35" s="10"/>
      <c r="QD35" s="10"/>
      <c r="QE35" s="10"/>
      <c r="QL35" s="10"/>
      <c r="QU35" s="10"/>
      <c r="QV35" s="10"/>
      <c r="QW35" s="10"/>
      <c r="QX35" s="10"/>
      <c r="QY35" s="10"/>
      <c r="QZ35" s="10"/>
      <c r="RG35" s="10"/>
      <c r="RP35" s="10"/>
      <c r="RQ35" s="10"/>
      <c r="RR35" s="10"/>
      <c r="RS35" s="10"/>
      <c r="RT35" s="10"/>
      <c r="RU35" s="10"/>
      <c r="SB35" s="10"/>
      <c r="SK35" s="10"/>
      <c r="SL35" s="10"/>
      <c r="SM35" s="10"/>
      <c r="SN35" s="10"/>
      <c r="SO35" s="10"/>
      <c r="SP35" s="10"/>
      <c r="SW35" s="10"/>
      <c r="TF35" s="10"/>
      <c r="TG35" s="10"/>
      <c r="TH35" s="10"/>
      <c r="TI35" s="10"/>
      <c r="TJ35" s="10"/>
      <c r="TK35" s="10"/>
      <c r="TR35" s="10"/>
      <c r="UA35" s="10"/>
      <c r="UB35" s="10"/>
      <c r="UC35" s="10"/>
      <c r="UD35" s="10"/>
      <c r="UE35" s="10"/>
      <c r="UF35" s="10"/>
      <c r="UM35" s="10"/>
      <c r="UV35" s="10"/>
      <c r="UW35" s="10"/>
      <c r="UX35" s="10"/>
      <c r="UY35" s="10"/>
      <c r="UZ35" s="10"/>
      <c r="VA35" s="10"/>
      <c r="VH35" s="10"/>
      <c r="VQ35" s="10"/>
      <c r="VR35" s="10"/>
      <c r="VS35" s="10"/>
      <c r="VT35" s="10"/>
      <c r="VU35" s="10"/>
      <c r="VV35" s="10"/>
      <c r="WC35" s="10"/>
      <c r="WL35" s="10"/>
      <c r="WM35" s="10"/>
      <c r="WN35" s="10"/>
      <c r="WO35" s="10"/>
      <c r="WP35" s="10"/>
      <c r="WQ35" s="10"/>
      <c r="WX35" s="10"/>
      <c r="XG35" s="10"/>
      <c r="XH35" s="10"/>
      <c r="XI35" s="10"/>
      <c r="XJ35" s="10"/>
      <c r="XK35" s="10"/>
      <c r="XL35" s="10"/>
    </row>
    <row r="36" spans="1:636" s="7" customFormat="1" x14ac:dyDescent="0.25">
      <c r="C36" s="9" t="s">
        <v>957</v>
      </c>
      <c r="D36" s="10">
        <f>SUM(D3:D29)</f>
        <v>-4289.3606428571429</v>
      </c>
      <c r="H36" s="10">
        <f>SUM(H3:H29)</f>
        <v>2101.39</v>
      </c>
      <c r="I36" s="7" t="s">
        <v>149</v>
      </c>
      <c r="J36" s="88"/>
      <c r="K36" s="88"/>
      <c r="L36" s="88" t="s">
        <v>170</v>
      </c>
      <c r="M36" s="10"/>
      <c r="N36" s="88"/>
      <c r="O36" s="88"/>
      <c r="P36" s="88"/>
      <c r="Q36" s="88"/>
      <c r="R36" s="88"/>
      <c r="S36" s="88"/>
      <c r="T36" s="88"/>
      <c r="U36" s="88"/>
      <c r="V36" s="88"/>
      <c r="W36" s="10"/>
      <c r="X36" s="8"/>
      <c r="Y36" s="8"/>
      <c r="Z36" s="8" t="s">
        <v>95</v>
      </c>
      <c r="AA36" s="15" t="s">
        <v>1033</v>
      </c>
      <c r="AC36" s="88" t="s">
        <v>1021</v>
      </c>
      <c r="AD36" s="88" t="s">
        <v>1022</v>
      </c>
      <c r="AE36" s="88" t="s">
        <v>100</v>
      </c>
      <c r="AF36" s="88" t="s">
        <v>197</v>
      </c>
      <c r="AG36" s="88" t="s">
        <v>170</v>
      </c>
      <c r="AH36" s="10"/>
      <c r="AI36" s="88"/>
      <c r="AJ36" s="88" t="s">
        <v>1027</v>
      </c>
      <c r="AK36" s="88" t="s">
        <v>1028</v>
      </c>
      <c r="AL36" s="88"/>
      <c r="AM36" s="88" t="s">
        <v>1027</v>
      </c>
      <c r="AN36" s="88" t="s">
        <v>199</v>
      </c>
      <c r="AO36" s="88" t="s">
        <v>1028</v>
      </c>
      <c r="AP36" s="88" t="s">
        <v>95</v>
      </c>
      <c r="AQ36" s="88" t="s">
        <v>172</v>
      </c>
      <c r="AR36" s="10"/>
      <c r="AS36" s="8" t="s">
        <v>58</v>
      </c>
      <c r="AT36" s="8" t="s">
        <v>94</v>
      </c>
      <c r="AU36" s="8" t="s">
        <v>95</v>
      </c>
      <c r="AV36" s="15" t="s">
        <v>1033</v>
      </c>
      <c r="AX36" s="88" t="s">
        <v>1021</v>
      </c>
      <c r="AY36" s="88" t="s">
        <v>1022</v>
      </c>
      <c r="AZ36" s="88" t="s">
        <v>100</v>
      </c>
      <c r="BA36" s="88" t="s">
        <v>197</v>
      </c>
      <c r="BB36" s="88" t="s">
        <v>170</v>
      </c>
      <c r="BC36" s="10"/>
      <c r="BD36" s="88"/>
      <c r="BE36" s="88" t="s">
        <v>1027</v>
      </c>
      <c r="BF36" s="88" t="s">
        <v>1028</v>
      </c>
      <c r="BG36" s="88"/>
      <c r="BH36" s="88" t="s">
        <v>1027</v>
      </c>
      <c r="BI36" s="88" t="s">
        <v>199</v>
      </c>
      <c r="BJ36" s="88" t="s">
        <v>1028</v>
      </c>
      <c r="BK36" s="88" t="s">
        <v>95</v>
      </c>
      <c r="BL36" s="88" t="s">
        <v>172</v>
      </c>
      <c r="BM36" s="10"/>
      <c r="BN36" s="8" t="s">
        <v>58</v>
      </c>
      <c r="BO36" s="8" t="s">
        <v>94</v>
      </c>
      <c r="BP36" s="8" t="s">
        <v>95</v>
      </c>
      <c r="BQ36" s="15" t="s">
        <v>1033</v>
      </c>
      <c r="BS36" s="88" t="s">
        <v>1021</v>
      </c>
      <c r="BT36" s="88" t="s">
        <v>1022</v>
      </c>
      <c r="BU36" s="88" t="s">
        <v>100</v>
      </c>
      <c r="BV36" s="88" t="s">
        <v>197</v>
      </c>
      <c r="BW36" s="88" t="s">
        <v>170</v>
      </c>
      <c r="BX36" s="10"/>
      <c r="BY36" s="88"/>
      <c r="BZ36" s="88" t="s">
        <v>1027</v>
      </c>
      <c r="CA36" s="88" t="s">
        <v>1028</v>
      </c>
      <c r="CB36" s="88"/>
      <c r="CC36" s="88" t="s">
        <v>1027</v>
      </c>
      <c r="CD36" s="88" t="s">
        <v>199</v>
      </c>
      <c r="CE36" s="88" t="s">
        <v>1028</v>
      </c>
      <c r="CF36" s="88" t="s">
        <v>95</v>
      </c>
      <c r="CG36" s="88" t="s">
        <v>172</v>
      </c>
      <c r="CH36" s="10"/>
      <c r="CI36" s="8" t="s">
        <v>58</v>
      </c>
      <c r="CJ36" s="8" t="s">
        <v>94</v>
      </c>
      <c r="CK36" s="8" t="s">
        <v>95</v>
      </c>
      <c r="CL36" s="15" t="s">
        <v>1033</v>
      </c>
      <c r="CN36" s="88" t="s">
        <v>1021</v>
      </c>
      <c r="CO36" s="88" t="s">
        <v>1022</v>
      </c>
      <c r="CP36" s="88" t="s">
        <v>100</v>
      </c>
      <c r="CQ36" s="88" t="s">
        <v>197</v>
      </c>
      <c r="CR36" s="88" t="s">
        <v>170</v>
      </c>
      <c r="CS36" s="10"/>
      <c r="CT36" s="88"/>
      <c r="CU36" s="88" t="s">
        <v>1027</v>
      </c>
      <c r="CV36" s="88" t="s">
        <v>1028</v>
      </c>
      <c r="CW36" s="88"/>
      <c r="CX36" s="88" t="s">
        <v>1027</v>
      </c>
      <c r="CY36" s="88" t="s">
        <v>199</v>
      </c>
      <c r="CZ36" s="88" t="s">
        <v>1028</v>
      </c>
      <c r="DA36" s="88" t="s">
        <v>95</v>
      </c>
      <c r="DB36" s="88" t="s">
        <v>172</v>
      </c>
      <c r="DC36" s="10"/>
      <c r="DD36" s="8" t="s">
        <v>58</v>
      </c>
      <c r="DE36" s="8" t="s">
        <v>94</v>
      </c>
      <c r="DF36" s="8" t="s">
        <v>95</v>
      </c>
      <c r="DG36" s="15" t="s">
        <v>1033</v>
      </c>
      <c r="DI36" s="88" t="s">
        <v>1021</v>
      </c>
      <c r="DJ36" s="88" t="s">
        <v>1022</v>
      </c>
      <c r="DK36" s="88" t="s">
        <v>100</v>
      </c>
      <c r="DL36" s="88" t="s">
        <v>197</v>
      </c>
      <c r="DM36" s="88" t="s">
        <v>170</v>
      </c>
      <c r="DN36" s="10"/>
      <c r="DO36" s="88"/>
      <c r="DP36" s="88" t="s">
        <v>1027</v>
      </c>
      <c r="DQ36" s="88" t="s">
        <v>1028</v>
      </c>
      <c r="DR36" s="88"/>
      <c r="DS36" s="88" t="s">
        <v>1027</v>
      </c>
      <c r="DT36" s="88" t="s">
        <v>199</v>
      </c>
      <c r="DU36" s="88" t="s">
        <v>1028</v>
      </c>
      <c r="DV36" s="88" t="s">
        <v>95</v>
      </c>
      <c r="DW36" s="88" t="s">
        <v>172</v>
      </c>
      <c r="DX36" s="10"/>
      <c r="DY36" s="8" t="s">
        <v>58</v>
      </c>
      <c r="DZ36" s="8" t="s">
        <v>94</v>
      </c>
      <c r="EA36" s="8" t="s">
        <v>95</v>
      </c>
      <c r="EB36" s="15" t="s">
        <v>1033</v>
      </c>
      <c r="ED36" s="88" t="s">
        <v>1021</v>
      </c>
      <c r="EE36" s="88" t="s">
        <v>1022</v>
      </c>
      <c r="EF36" s="88" t="s">
        <v>100</v>
      </c>
      <c r="EG36" s="88" t="s">
        <v>197</v>
      </c>
      <c r="EH36" s="88" t="s">
        <v>170</v>
      </c>
      <c r="EI36" s="10"/>
      <c r="EJ36" s="88"/>
      <c r="EK36" s="88" t="s">
        <v>1027</v>
      </c>
      <c r="EL36" s="88" t="s">
        <v>1028</v>
      </c>
      <c r="EM36" s="88"/>
      <c r="EN36" s="88" t="s">
        <v>1027</v>
      </c>
      <c r="EO36" s="88" t="s">
        <v>199</v>
      </c>
      <c r="EP36" s="88" t="s">
        <v>1028</v>
      </c>
      <c r="EQ36" s="88" t="s">
        <v>95</v>
      </c>
      <c r="ER36" s="88" t="s">
        <v>172</v>
      </c>
      <c r="ES36" s="10"/>
      <c r="ET36" s="8" t="s">
        <v>58</v>
      </c>
      <c r="EU36" s="8" t="s">
        <v>94</v>
      </c>
      <c r="EV36" s="8" t="s">
        <v>95</v>
      </c>
      <c r="EW36" s="15" t="s">
        <v>1033</v>
      </c>
      <c r="EY36" s="88" t="s">
        <v>1021</v>
      </c>
      <c r="EZ36" s="88" t="s">
        <v>1022</v>
      </c>
      <c r="FA36" s="88" t="s">
        <v>100</v>
      </c>
      <c r="FB36" s="88" t="s">
        <v>197</v>
      </c>
      <c r="FC36" s="88" t="s">
        <v>170</v>
      </c>
      <c r="FD36" s="10"/>
      <c r="FE36" s="88"/>
      <c r="FF36" s="88" t="s">
        <v>1027</v>
      </c>
      <c r="FG36" s="88" t="s">
        <v>1028</v>
      </c>
      <c r="FH36" s="88"/>
      <c r="FI36" s="88" t="s">
        <v>1027</v>
      </c>
      <c r="FJ36" s="88" t="s">
        <v>199</v>
      </c>
      <c r="FK36" s="88" t="s">
        <v>1028</v>
      </c>
      <c r="FL36" s="88" t="s">
        <v>95</v>
      </c>
      <c r="FM36" s="88" t="s">
        <v>172</v>
      </c>
      <c r="FN36" s="10"/>
      <c r="FO36" s="8" t="s">
        <v>58</v>
      </c>
      <c r="FP36" s="8" t="s">
        <v>94</v>
      </c>
      <c r="FQ36" s="8" t="s">
        <v>95</v>
      </c>
      <c r="FR36" s="15" t="s">
        <v>1033</v>
      </c>
      <c r="FT36" s="88" t="s">
        <v>1021</v>
      </c>
      <c r="FU36" s="88" t="s">
        <v>1022</v>
      </c>
      <c r="FV36" s="88" t="s">
        <v>100</v>
      </c>
      <c r="FW36" s="88" t="s">
        <v>197</v>
      </c>
      <c r="FX36" s="88" t="s">
        <v>170</v>
      </c>
      <c r="FY36" s="10"/>
      <c r="FZ36" s="88"/>
      <c r="GA36" s="88" t="s">
        <v>1027</v>
      </c>
      <c r="GB36" s="88" t="s">
        <v>1028</v>
      </c>
      <c r="GC36" s="88"/>
      <c r="GD36" s="88" t="s">
        <v>1027</v>
      </c>
      <c r="GE36" s="88" t="s">
        <v>199</v>
      </c>
      <c r="GF36" s="88" t="s">
        <v>1028</v>
      </c>
      <c r="GG36" s="88" t="s">
        <v>95</v>
      </c>
      <c r="GH36" s="88" t="s">
        <v>172</v>
      </c>
      <c r="GI36" s="10"/>
      <c r="GJ36" s="8" t="s">
        <v>58</v>
      </c>
      <c r="GK36" s="8" t="s">
        <v>94</v>
      </c>
      <c r="GL36" s="8" t="s">
        <v>95</v>
      </c>
      <c r="GM36" s="15" t="s">
        <v>1033</v>
      </c>
      <c r="GO36" s="88" t="s">
        <v>1021</v>
      </c>
      <c r="GP36" s="88" t="s">
        <v>1022</v>
      </c>
      <c r="GQ36" s="88" t="s">
        <v>100</v>
      </c>
      <c r="GR36" s="88" t="s">
        <v>197</v>
      </c>
      <c r="GS36" s="88" t="s">
        <v>170</v>
      </c>
      <c r="GT36" s="10"/>
      <c r="GU36" s="88"/>
      <c r="GV36" s="88" t="s">
        <v>1027</v>
      </c>
      <c r="GW36" s="88" t="s">
        <v>1028</v>
      </c>
      <c r="GX36" s="88"/>
      <c r="GY36" s="88" t="s">
        <v>1027</v>
      </c>
      <c r="GZ36" s="88" t="s">
        <v>199</v>
      </c>
      <c r="HA36" s="88" t="s">
        <v>1028</v>
      </c>
      <c r="HB36" s="88" t="s">
        <v>95</v>
      </c>
      <c r="HC36" s="88" t="s">
        <v>172</v>
      </c>
      <c r="HD36" s="10"/>
      <c r="HE36" s="8" t="s">
        <v>58</v>
      </c>
      <c r="HF36" s="8" t="s">
        <v>94</v>
      </c>
      <c r="HG36" s="8" t="s">
        <v>95</v>
      </c>
      <c r="HH36" s="15" t="s">
        <v>1033</v>
      </c>
      <c r="HJ36" s="88" t="s">
        <v>1021</v>
      </c>
      <c r="HK36" s="88" t="s">
        <v>1022</v>
      </c>
      <c r="HL36" s="88" t="s">
        <v>100</v>
      </c>
      <c r="HM36" s="88" t="s">
        <v>197</v>
      </c>
      <c r="HN36" s="88" t="s">
        <v>170</v>
      </c>
      <c r="HO36" s="10"/>
      <c r="HP36" s="88"/>
      <c r="HQ36" s="88" t="s">
        <v>1027</v>
      </c>
      <c r="HR36" s="88" t="s">
        <v>1028</v>
      </c>
      <c r="HS36" s="88"/>
      <c r="HT36" s="88" t="s">
        <v>1027</v>
      </c>
      <c r="HU36" s="88" t="s">
        <v>199</v>
      </c>
      <c r="HV36" s="88" t="s">
        <v>1028</v>
      </c>
      <c r="HW36" s="88" t="s">
        <v>95</v>
      </c>
      <c r="HX36" s="88" t="s">
        <v>172</v>
      </c>
      <c r="HY36" s="10"/>
      <c r="HZ36" s="8" t="s">
        <v>58</v>
      </c>
      <c r="IA36" s="8" t="s">
        <v>94</v>
      </c>
      <c r="IB36" s="8" t="s">
        <v>95</v>
      </c>
      <c r="IC36" s="15" t="s">
        <v>1033</v>
      </c>
      <c r="IE36" s="88" t="s">
        <v>1021</v>
      </c>
      <c r="IF36" s="88" t="s">
        <v>1022</v>
      </c>
      <c r="IG36" s="88" t="s">
        <v>100</v>
      </c>
      <c r="IH36" s="88" t="s">
        <v>197</v>
      </c>
      <c r="II36" s="88" t="s">
        <v>170</v>
      </c>
      <c r="IJ36" s="10"/>
      <c r="IK36" s="88"/>
      <c r="IL36" s="88" t="s">
        <v>1027</v>
      </c>
      <c r="IM36" s="88" t="s">
        <v>1028</v>
      </c>
      <c r="IN36" s="88"/>
      <c r="IO36" s="88" t="s">
        <v>1027</v>
      </c>
      <c r="IP36" s="88" t="s">
        <v>199</v>
      </c>
      <c r="IQ36" s="88" t="s">
        <v>1028</v>
      </c>
      <c r="IR36" s="88" t="s">
        <v>95</v>
      </c>
      <c r="IS36" s="88" t="s">
        <v>172</v>
      </c>
      <c r="IT36" s="10"/>
      <c r="IU36" s="8" t="s">
        <v>58</v>
      </c>
      <c r="IV36" s="8" t="s">
        <v>94</v>
      </c>
      <c r="IW36" s="8" t="s">
        <v>95</v>
      </c>
      <c r="IX36" s="15" t="s">
        <v>1033</v>
      </c>
      <c r="IZ36" s="88" t="s">
        <v>1021</v>
      </c>
      <c r="JA36" s="88" t="s">
        <v>1022</v>
      </c>
      <c r="JB36" s="88" t="s">
        <v>100</v>
      </c>
      <c r="JC36" s="88" t="s">
        <v>197</v>
      </c>
      <c r="JD36" s="88" t="s">
        <v>170</v>
      </c>
      <c r="JE36" s="10"/>
      <c r="JF36" s="88"/>
      <c r="JG36" s="88" t="s">
        <v>1027</v>
      </c>
      <c r="JH36" s="88" t="s">
        <v>1028</v>
      </c>
      <c r="JI36" s="88"/>
      <c r="JJ36" s="88" t="s">
        <v>1027</v>
      </c>
      <c r="JK36" s="88" t="s">
        <v>199</v>
      </c>
      <c r="JL36" s="88" t="s">
        <v>1028</v>
      </c>
      <c r="JM36" s="88" t="s">
        <v>95</v>
      </c>
      <c r="JN36" s="88" t="s">
        <v>172</v>
      </c>
      <c r="JO36" s="10"/>
      <c r="JP36" s="8" t="s">
        <v>58</v>
      </c>
      <c r="JQ36" s="8" t="s">
        <v>94</v>
      </c>
      <c r="JR36" s="8" t="s">
        <v>95</v>
      </c>
      <c r="JS36" s="15" t="s">
        <v>1033</v>
      </c>
      <c r="JU36" s="88" t="s">
        <v>1021</v>
      </c>
      <c r="JV36" s="88" t="s">
        <v>1022</v>
      </c>
      <c r="JW36" s="88" t="s">
        <v>100</v>
      </c>
      <c r="JX36" s="88" t="s">
        <v>197</v>
      </c>
      <c r="JY36" s="88" t="s">
        <v>170</v>
      </c>
      <c r="JZ36" s="10"/>
      <c r="KA36" s="88"/>
      <c r="KB36" s="88" t="s">
        <v>1027</v>
      </c>
      <c r="KC36" s="88" t="s">
        <v>1028</v>
      </c>
      <c r="KD36" s="88"/>
      <c r="KE36" s="88" t="s">
        <v>1027</v>
      </c>
      <c r="KF36" s="88" t="s">
        <v>199</v>
      </c>
      <c r="KG36" s="88" t="s">
        <v>1028</v>
      </c>
      <c r="KH36" s="88" t="s">
        <v>95</v>
      </c>
      <c r="KI36" s="88" t="s">
        <v>172</v>
      </c>
      <c r="KJ36" s="10"/>
      <c r="KK36" s="8" t="s">
        <v>58</v>
      </c>
      <c r="KL36" s="8" t="s">
        <v>94</v>
      </c>
      <c r="KM36" s="8" t="s">
        <v>95</v>
      </c>
      <c r="KN36" s="15" t="s">
        <v>1033</v>
      </c>
      <c r="KP36" s="88" t="s">
        <v>1021</v>
      </c>
      <c r="KQ36" s="88" t="s">
        <v>1022</v>
      </c>
      <c r="KR36" s="88" t="s">
        <v>100</v>
      </c>
      <c r="KS36" s="88" t="s">
        <v>197</v>
      </c>
      <c r="KT36" s="88" t="s">
        <v>170</v>
      </c>
      <c r="KU36" s="10"/>
      <c r="KV36" s="88"/>
      <c r="KW36" s="88" t="s">
        <v>1027</v>
      </c>
      <c r="KX36" s="88" t="s">
        <v>1028</v>
      </c>
      <c r="KY36" s="88"/>
      <c r="KZ36" s="88" t="s">
        <v>1027</v>
      </c>
      <c r="LA36" s="88" t="s">
        <v>199</v>
      </c>
      <c r="LB36" s="88" t="s">
        <v>1028</v>
      </c>
      <c r="LC36" s="88" t="s">
        <v>95</v>
      </c>
      <c r="LD36" s="88" t="s">
        <v>172</v>
      </c>
      <c r="LE36" s="10"/>
      <c r="LF36" s="8" t="s">
        <v>58</v>
      </c>
      <c r="LG36" s="8" t="s">
        <v>94</v>
      </c>
      <c r="LH36" s="8" t="s">
        <v>95</v>
      </c>
      <c r="LI36" s="15" t="s">
        <v>1033</v>
      </c>
      <c r="LK36" s="88" t="s">
        <v>1021</v>
      </c>
      <c r="LL36" s="88" t="s">
        <v>1022</v>
      </c>
      <c r="LM36" s="88" t="s">
        <v>100</v>
      </c>
      <c r="LN36" s="88" t="s">
        <v>197</v>
      </c>
      <c r="LO36" s="88" t="s">
        <v>170</v>
      </c>
      <c r="LP36" s="10"/>
      <c r="LQ36" s="88"/>
      <c r="LR36" s="88" t="s">
        <v>1027</v>
      </c>
      <c r="LS36" s="88" t="s">
        <v>1028</v>
      </c>
      <c r="LT36" s="88"/>
      <c r="LU36" s="88" t="s">
        <v>1027</v>
      </c>
      <c r="LV36" s="88" t="s">
        <v>199</v>
      </c>
      <c r="LW36" s="88" t="s">
        <v>1028</v>
      </c>
      <c r="LX36" s="88" t="s">
        <v>95</v>
      </c>
      <c r="LY36" s="88" t="s">
        <v>172</v>
      </c>
      <c r="LZ36" s="10"/>
      <c r="MA36" s="8" t="s">
        <v>58</v>
      </c>
      <c r="MB36" s="8" t="s">
        <v>94</v>
      </c>
      <c r="MC36" s="8" t="s">
        <v>95</v>
      </c>
      <c r="MD36" s="15" t="s">
        <v>1033</v>
      </c>
      <c r="MF36" s="88" t="s">
        <v>1021</v>
      </c>
      <c r="MG36" s="88" t="s">
        <v>1022</v>
      </c>
      <c r="MH36" s="88" t="s">
        <v>100</v>
      </c>
      <c r="MI36" s="88" t="s">
        <v>197</v>
      </c>
      <c r="MJ36" s="88" t="s">
        <v>170</v>
      </c>
      <c r="MK36" s="10"/>
      <c r="ML36" s="88"/>
      <c r="MM36" s="88" t="s">
        <v>1027</v>
      </c>
      <c r="MN36" s="88" t="s">
        <v>1028</v>
      </c>
      <c r="MO36" s="88"/>
      <c r="MP36" s="88" t="s">
        <v>1027</v>
      </c>
      <c r="MQ36" s="88" t="s">
        <v>199</v>
      </c>
      <c r="MR36" s="88" t="s">
        <v>1028</v>
      </c>
      <c r="MS36" s="88" t="s">
        <v>95</v>
      </c>
      <c r="MT36" s="88" t="s">
        <v>172</v>
      </c>
      <c r="MU36" s="10"/>
      <c r="MV36" s="8" t="s">
        <v>58</v>
      </c>
      <c r="MW36" s="8" t="s">
        <v>94</v>
      </c>
      <c r="MX36" s="8" t="s">
        <v>95</v>
      </c>
      <c r="MY36" s="15" t="s">
        <v>1033</v>
      </c>
      <c r="NA36" s="88" t="s">
        <v>1021</v>
      </c>
      <c r="NB36" s="88" t="s">
        <v>1022</v>
      </c>
      <c r="NC36" s="88" t="s">
        <v>100</v>
      </c>
      <c r="ND36" s="88" t="s">
        <v>197</v>
      </c>
      <c r="NE36" s="88" t="s">
        <v>170</v>
      </c>
      <c r="NF36" s="10"/>
      <c r="NG36" s="88"/>
      <c r="NH36" s="88" t="s">
        <v>1027</v>
      </c>
      <c r="NI36" s="88" t="s">
        <v>1028</v>
      </c>
      <c r="NJ36" s="88"/>
      <c r="NK36" s="88" t="s">
        <v>1027</v>
      </c>
      <c r="NL36" s="88" t="s">
        <v>199</v>
      </c>
      <c r="NM36" s="88" t="s">
        <v>1028</v>
      </c>
      <c r="NN36" s="88" t="s">
        <v>95</v>
      </c>
      <c r="NO36" s="88" t="s">
        <v>172</v>
      </c>
      <c r="NP36" s="10"/>
      <c r="NQ36" s="8" t="s">
        <v>58</v>
      </c>
      <c r="NR36" s="8" t="s">
        <v>94</v>
      </c>
      <c r="NS36" s="8" t="s">
        <v>95</v>
      </c>
      <c r="NT36" s="15" t="s">
        <v>1033</v>
      </c>
      <c r="NV36" s="88" t="s">
        <v>1021</v>
      </c>
      <c r="NW36" s="88" t="s">
        <v>1022</v>
      </c>
      <c r="NX36" s="88" t="s">
        <v>100</v>
      </c>
      <c r="NY36" s="88" t="s">
        <v>197</v>
      </c>
      <c r="NZ36" s="88" t="s">
        <v>170</v>
      </c>
      <c r="OA36" s="10"/>
      <c r="OB36" s="88"/>
      <c r="OC36" s="88" t="s">
        <v>1027</v>
      </c>
      <c r="OD36" s="88" t="s">
        <v>1028</v>
      </c>
      <c r="OE36" s="88"/>
      <c r="OF36" s="88" t="s">
        <v>1027</v>
      </c>
      <c r="OG36" s="88" t="s">
        <v>199</v>
      </c>
      <c r="OH36" s="88" t="s">
        <v>1028</v>
      </c>
      <c r="OI36" s="88" t="s">
        <v>95</v>
      </c>
      <c r="OJ36" s="88" t="s">
        <v>172</v>
      </c>
      <c r="OK36" s="10"/>
      <c r="OL36" s="8" t="s">
        <v>58</v>
      </c>
      <c r="OM36" s="8" t="s">
        <v>94</v>
      </c>
      <c r="ON36" s="8" t="s">
        <v>95</v>
      </c>
      <c r="OO36" s="15" t="s">
        <v>1033</v>
      </c>
      <c r="OQ36" s="88" t="s">
        <v>1021</v>
      </c>
      <c r="OR36" s="88" t="s">
        <v>1022</v>
      </c>
      <c r="OS36" s="88" t="s">
        <v>100</v>
      </c>
      <c r="OT36" s="88" t="s">
        <v>197</v>
      </c>
      <c r="OU36" s="88" t="s">
        <v>170</v>
      </c>
      <c r="OV36" s="10"/>
      <c r="OW36" s="88"/>
      <c r="OX36" s="88" t="s">
        <v>1027</v>
      </c>
      <c r="OY36" s="88" t="s">
        <v>1028</v>
      </c>
      <c r="OZ36" s="88"/>
      <c r="PA36" s="88" t="s">
        <v>1027</v>
      </c>
      <c r="PB36" s="88" t="s">
        <v>199</v>
      </c>
      <c r="PC36" s="88" t="s">
        <v>1028</v>
      </c>
      <c r="PD36" s="88" t="s">
        <v>95</v>
      </c>
      <c r="PE36" s="88" t="s">
        <v>172</v>
      </c>
      <c r="PF36" s="10"/>
      <c r="PG36" s="8" t="s">
        <v>58</v>
      </c>
      <c r="PH36" s="8" t="s">
        <v>94</v>
      </c>
      <c r="PI36" s="8" t="s">
        <v>95</v>
      </c>
      <c r="PJ36" s="15" t="s">
        <v>1033</v>
      </c>
      <c r="PL36" s="88" t="s">
        <v>1021</v>
      </c>
      <c r="PM36" s="88" t="s">
        <v>1022</v>
      </c>
      <c r="PN36" s="88" t="s">
        <v>100</v>
      </c>
      <c r="PO36" s="88" t="s">
        <v>197</v>
      </c>
      <c r="PP36" s="88" t="s">
        <v>170</v>
      </c>
      <c r="PQ36" s="10"/>
      <c r="PR36" s="88"/>
      <c r="PS36" s="88" t="s">
        <v>1027</v>
      </c>
      <c r="PT36" s="88" t="s">
        <v>1028</v>
      </c>
      <c r="PU36" s="88"/>
      <c r="PV36" s="88" t="s">
        <v>1027</v>
      </c>
      <c r="PW36" s="88" t="s">
        <v>199</v>
      </c>
      <c r="PX36" s="88" t="s">
        <v>1028</v>
      </c>
      <c r="PY36" s="88" t="s">
        <v>95</v>
      </c>
      <c r="PZ36" s="88" t="s">
        <v>172</v>
      </c>
      <c r="QA36" s="10"/>
      <c r="QB36" s="8" t="s">
        <v>58</v>
      </c>
      <c r="QC36" s="8" t="s">
        <v>94</v>
      </c>
      <c r="QD36" s="8" t="s">
        <v>95</v>
      </c>
      <c r="QE36" s="15" t="s">
        <v>1033</v>
      </c>
      <c r="QG36" s="88" t="s">
        <v>1021</v>
      </c>
      <c r="QH36" s="88" t="s">
        <v>1022</v>
      </c>
      <c r="QI36" s="88" t="s">
        <v>100</v>
      </c>
      <c r="QJ36" s="88" t="s">
        <v>197</v>
      </c>
      <c r="QK36" s="88" t="s">
        <v>170</v>
      </c>
      <c r="QL36" s="10"/>
      <c r="QM36" s="88"/>
      <c r="QN36" s="88" t="s">
        <v>1027</v>
      </c>
      <c r="QO36" s="88" t="s">
        <v>1028</v>
      </c>
      <c r="QP36" s="88"/>
      <c r="QQ36" s="88" t="s">
        <v>1027</v>
      </c>
      <c r="QR36" s="88" t="s">
        <v>199</v>
      </c>
      <c r="QS36" s="88" t="s">
        <v>1028</v>
      </c>
      <c r="QT36" s="88" t="s">
        <v>95</v>
      </c>
      <c r="QU36" s="88" t="s">
        <v>172</v>
      </c>
      <c r="QV36" s="10"/>
      <c r="QW36" s="8" t="s">
        <v>58</v>
      </c>
      <c r="QX36" s="8" t="s">
        <v>94</v>
      </c>
      <c r="QY36" s="8" t="s">
        <v>95</v>
      </c>
      <c r="QZ36" s="15" t="s">
        <v>1033</v>
      </c>
      <c r="RB36" s="88" t="s">
        <v>1021</v>
      </c>
      <c r="RC36" s="88" t="s">
        <v>1022</v>
      </c>
      <c r="RD36" s="88" t="s">
        <v>100</v>
      </c>
      <c r="RE36" s="88" t="s">
        <v>197</v>
      </c>
      <c r="RF36" s="88" t="s">
        <v>170</v>
      </c>
      <c r="RG36" s="10"/>
      <c r="RH36" s="88"/>
      <c r="RI36" s="88" t="s">
        <v>1027</v>
      </c>
      <c r="RJ36" s="88" t="s">
        <v>1028</v>
      </c>
      <c r="RK36" s="88"/>
      <c r="RL36" s="88" t="s">
        <v>1027</v>
      </c>
      <c r="RM36" s="88" t="s">
        <v>199</v>
      </c>
      <c r="RN36" s="88" t="s">
        <v>1028</v>
      </c>
      <c r="RO36" s="88" t="s">
        <v>95</v>
      </c>
      <c r="RP36" s="88" t="s">
        <v>172</v>
      </c>
      <c r="RQ36" s="10"/>
      <c r="RR36" s="8" t="s">
        <v>58</v>
      </c>
      <c r="RS36" s="8" t="s">
        <v>94</v>
      </c>
      <c r="RT36" s="8" t="s">
        <v>95</v>
      </c>
      <c r="RU36" s="15" t="s">
        <v>1033</v>
      </c>
      <c r="RW36" s="88" t="s">
        <v>1021</v>
      </c>
      <c r="RX36" s="88" t="s">
        <v>1022</v>
      </c>
      <c r="RY36" s="88" t="s">
        <v>100</v>
      </c>
      <c r="RZ36" s="88" t="s">
        <v>197</v>
      </c>
      <c r="SA36" s="88" t="s">
        <v>170</v>
      </c>
      <c r="SB36" s="10"/>
      <c r="SC36" s="88"/>
      <c r="SD36" s="88" t="s">
        <v>1027</v>
      </c>
      <c r="SE36" s="88" t="s">
        <v>1028</v>
      </c>
      <c r="SF36" s="88"/>
      <c r="SG36" s="88" t="s">
        <v>1027</v>
      </c>
      <c r="SH36" s="88" t="s">
        <v>199</v>
      </c>
      <c r="SI36" s="88" t="s">
        <v>1028</v>
      </c>
      <c r="SJ36" s="88" t="s">
        <v>95</v>
      </c>
      <c r="SK36" s="88" t="s">
        <v>172</v>
      </c>
      <c r="SL36" s="10"/>
      <c r="SM36" s="8" t="s">
        <v>58</v>
      </c>
      <c r="SN36" s="8" t="s">
        <v>94</v>
      </c>
      <c r="SO36" s="8" t="s">
        <v>95</v>
      </c>
      <c r="SP36" s="15" t="s">
        <v>1033</v>
      </c>
      <c r="SR36" s="88" t="s">
        <v>1021</v>
      </c>
      <c r="SS36" s="88" t="s">
        <v>1022</v>
      </c>
      <c r="ST36" s="88" t="s">
        <v>100</v>
      </c>
      <c r="SU36" s="88" t="s">
        <v>197</v>
      </c>
      <c r="SV36" s="88" t="s">
        <v>170</v>
      </c>
      <c r="SW36" s="10"/>
      <c r="SX36" s="88"/>
      <c r="SY36" s="88" t="s">
        <v>1027</v>
      </c>
      <c r="SZ36" s="88" t="s">
        <v>1028</v>
      </c>
      <c r="TA36" s="88"/>
      <c r="TB36" s="88" t="s">
        <v>1027</v>
      </c>
      <c r="TC36" s="88" t="s">
        <v>199</v>
      </c>
      <c r="TD36" s="88" t="s">
        <v>1028</v>
      </c>
      <c r="TE36" s="88" t="s">
        <v>95</v>
      </c>
      <c r="TF36" s="88" t="s">
        <v>172</v>
      </c>
      <c r="TG36" s="10"/>
      <c r="TH36" s="8" t="s">
        <v>58</v>
      </c>
      <c r="TI36" s="8" t="s">
        <v>94</v>
      </c>
      <c r="TJ36" s="8" t="s">
        <v>95</v>
      </c>
      <c r="TK36" s="15" t="s">
        <v>1033</v>
      </c>
      <c r="TM36" s="88" t="s">
        <v>1021</v>
      </c>
      <c r="TN36" s="88" t="s">
        <v>1022</v>
      </c>
      <c r="TO36" s="88" t="s">
        <v>100</v>
      </c>
      <c r="TP36" s="88" t="s">
        <v>197</v>
      </c>
      <c r="TQ36" s="88" t="s">
        <v>170</v>
      </c>
      <c r="TR36" s="10"/>
      <c r="TS36" s="88"/>
      <c r="TT36" s="88" t="s">
        <v>1027</v>
      </c>
      <c r="TU36" s="88" t="s">
        <v>1028</v>
      </c>
      <c r="TV36" s="88"/>
      <c r="TW36" s="88" t="s">
        <v>1027</v>
      </c>
      <c r="TX36" s="88" t="s">
        <v>199</v>
      </c>
      <c r="TY36" s="88" t="s">
        <v>1028</v>
      </c>
      <c r="TZ36" s="88" t="s">
        <v>95</v>
      </c>
      <c r="UA36" s="88" t="s">
        <v>172</v>
      </c>
      <c r="UB36" s="10"/>
      <c r="UC36" s="8" t="s">
        <v>58</v>
      </c>
      <c r="UD36" s="8" t="s">
        <v>94</v>
      </c>
      <c r="UE36" s="8" t="s">
        <v>95</v>
      </c>
      <c r="UF36" s="15" t="s">
        <v>1033</v>
      </c>
      <c r="UH36" s="88" t="s">
        <v>1021</v>
      </c>
      <c r="UI36" s="88" t="s">
        <v>1022</v>
      </c>
      <c r="UJ36" s="88" t="s">
        <v>100</v>
      </c>
      <c r="UK36" s="88" t="s">
        <v>197</v>
      </c>
      <c r="UL36" s="88" t="s">
        <v>170</v>
      </c>
      <c r="UM36" s="10"/>
      <c r="UN36" s="88"/>
      <c r="UO36" s="88" t="s">
        <v>1027</v>
      </c>
      <c r="UP36" s="88" t="s">
        <v>1028</v>
      </c>
      <c r="UQ36" s="88"/>
      <c r="UR36" s="88" t="s">
        <v>1027</v>
      </c>
      <c r="US36" s="88" t="s">
        <v>199</v>
      </c>
      <c r="UT36" s="88" t="s">
        <v>1028</v>
      </c>
      <c r="UU36" s="88" t="s">
        <v>95</v>
      </c>
      <c r="UV36" s="88" t="s">
        <v>172</v>
      </c>
      <c r="UW36" s="10"/>
      <c r="UX36" s="8" t="s">
        <v>58</v>
      </c>
      <c r="UY36" s="8" t="s">
        <v>94</v>
      </c>
      <c r="UZ36" s="8" t="s">
        <v>95</v>
      </c>
      <c r="VA36" s="15" t="s">
        <v>1033</v>
      </c>
      <c r="VC36" s="88" t="s">
        <v>1021</v>
      </c>
      <c r="VD36" s="88" t="s">
        <v>1022</v>
      </c>
      <c r="VE36" s="88" t="s">
        <v>100</v>
      </c>
      <c r="VF36" s="88" t="s">
        <v>197</v>
      </c>
      <c r="VG36" s="88" t="s">
        <v>170</v>
      </c>
      <c r="VH36" s="10"/>
      <c r="VI36" s="88"/>
      <c r="VJ36" s="88" t="s">
        <v>1027</v>
      </c>
      <c r="VK36" s="88" t="s">
        <v>1028</v>
      </c>
      <c r="VL36" s="88"/>
      <c r="VM36" s="88" t="s">
        <v>1027</v>
      </c>
      <c r="VN36" s="88" t="s">
        <v>199</v>
      </c>
      <c r="VO36" s="88" t="s">
        <v>1028</v>
      </c>
      <c r="VP36" s="88" t="s">
        <v>95</v>
      </c>
      <c r="VQ36" s="88" t="s">
        <v>172</v>
      </c>
      <c r="VR36" s="10"/>
      <c r="VS36" s="8" t="s">
        <v>58</v>
      </c>
      <c r="VT36" s="8" t="s">
        <v>94</v>
      </c>
      <c r="VU36" s="8" t="s">
        <v>95</v>
      </c>
      <c r="VV36" s="15" t="s">
        <v>1033</v>
      </c>
      <c r="VX36" s="88" t="s">
        <v>1021</v>
      </c>
      <c r="VY36" s="88" t="s">
        <v>1022</v>
      </c>
      <c r="VZ36" s="88" t="s">
        <v>100</v>
      </c>
      <c r="WA36" s="88" t="s">
        <v>197</v>
      </c>
      <c r="WB36" s="88" t="s">
        <v>170</v>
      </c>
      <c r="WC36" s="10"/>
      <c r="WD36" s="88"/>
      <c r="WE36" s="88" t="s">
        <v>1027</v>
      </c>
      <c r="WF36" s="88" t="s">
        <v>1028</v>
      </c>
      <c r="WG36" s="88"/>
      <c r="WH36" s="88" t="s">
        <v>1027</v>
      </c>
      <c r="WI36" s="88" t="s">
        <v>199</v>
      </c>
      <c r="WJ36" s="88" t="s">
        <v>1028</v>
      </c>
      <c r="WK36" s="88" t="s">
        <v>95</v>
      </c>
      <c r="WL36" s="88" t="s">
        <v>172</v>
      </c>
      <c r="WM36" s="10"/>
      <c r="WN36" s="8" t="s">
        <v>58</v>
      </c>
      <c r="WO36" s="8" t="s">
        <v>94</v>
      </c>
      <c r="WP36" s="8" t="s">
        <v>95</v>
      </c>
      <c r="WQ36" s="15" t="s">
        <v>1033</v>
      </c>
      <c r="WS36" s="88" t="s">
        <v>1021</v>
      </c>
      <c r="WT36" s="88" t="s">
        <v>1022</v>
      </c>
      <c r="WU36" s="88" t="s">
        <v>100</v>
      </c>
      <c r="WV36" s="88" t="s">
        <v>197</v>
      </c>
      <c r="WW36" s="88" t="s">
        <v>170</v>
      </c>
      <c r="WX36" s="10"/>
      <c r="WY36" s="88"/>
      <c r="WZ36" s="88" t="s">
        <v>1027</v>
      </c>
      <c r="XA36" s="88" t="s">
        <v>1028</v>
      </c>
      <c r="XB36" s="88"/>
      <c r="XC36" s="88" t="s">
        <v>1027</v>
      </c>
      <c r="XD36" s="88" t="s">
        <v>199</v>
      </c>
      <c r="XE36" s="88" t="s">
        <v>1028</v>
      </c>
      <c r="XF36" s="88" t="s">
        <v>95</v>
      </c>
      <c r="XG36" s="88" t="s">
        <v>172</v>
      </c>
      <c r="XH36" s="10"/>
      <c r="XI36" s="8" t="s">
        <v>58</v>
      </c>
      <c r="XJ36" s="8" t="s">
        <v>94</v>
      </c>
      <c r="XK36" s="8" t="s">
        <v>95</v>
      </c>
      <c r="XL36" s="15" t="s">
        <v>1033</v>
      </c>
    </row>
    <row r="37" spans="1:636" s="7" customFormat="1" x14ac:dyDescent="0.25">
      <c r="C37" s="9" t="s">
        <v>955</v>
      </c>
      <c r="D37" s="10">
        <f>SUM(D30:D32)</f>
        <v>3759.792857142857</v>
      </c>
      <c r="H37" s="10">
        <f>'Notes and stuff'!A11</f>
        <v>2101.39</v>
      </c>
      <c r="I37" s="7" t="s">
        <v>99</v>
      </c>
      <c r="J37" s="27"/>
      <c r="K37" s="27"/>
      <c r="L37" s="27">
        <f>SUM(L3:L29)</f>
        <v>4385</v>
      </c>
      <c r="N37" s="27"/>
      <c r="O37" s="27"/>
      <c r="P37" s="27"/>
      <c r="Q37" s="27"/>
      <c r="R37" s="27"/>
      <c r="S37" s="27"/>
      <c r="T37" s="27"/>
      <c r="U37" s="27"/>
      <c r="V37" s="27"/>
      <c r="X37" s="10"/>
      <c r="Y37" s="10"/>
      <c r="Z37" s="10">
        <f>SUM(Z3:Z29)</f>
        <v>1801.3899999999999</v>
      </c>
      <c r="AA37" s="18">
        <f>AVERAGE(AA3:AA29)</f>
        <v>0.51882971291866031</v>
      </c>
      <c r="AC37" s="27">
        <f>SUM(AC3:AC29)</f>
        <v>1801.3899999999999</v>
      </c>
      <c r="AD37" s="27">
        <f ca="1">SUM(AD3:AD29)</f>
        <v>-1762.1683424657531</v>
      </c>
      <c r="AE37" s="27">
        <f ca="1">SUM(AE3:AE29)</f>
        <v>39.221657534246646</v>
      </c>
      <c r="AF37" s="27">
        <f ca="1">SUM(AF3:AF29)</f>
        <v>4165</v>
      </c>
      <c r="AG37" s="27">
        <f ca="1">SUM(AG3:AG29)</f>
        <v>6500</v>
      </c>
      <c r="AI37" s="27"/>
      <c r="AJ37" s="27">
        <f ca="1">SUM(AJ3:AJ29)</f>
        <v>1286.7953424657535</v>
      </c>
      <c r="AK37" s="27">
        <f ca="1">SUM(AK3:AK29)</f>
        <v>1286.7953424657533</v>
      </c>
      <c r="AL37" s="27"/>
      <c r="AM37" s="27">
        <f ca="1">SUM(AM3:AM29)</f>
        <v>5173.9829999999993</v>
      </c>
      <c r="AN37" s="27">
        <f ca="1">SUM(AN3:AN29)</f>
        <v>3723.9300000000003</v>
      </c>
      <c r="AO37" s="27">
        <f ca="1">SUM(AO3:AO29)</f>
        <v>2997.6510958904105</v>
      </c>
      <c r="AP37" s="27">
        <f ca="1">SUM(AP3:AP29)</f>
        <v>4323.6680958904117</v>
      </c>
      <c r="AQ37" s="27">
        <f ca="1">SUM(AQ3:AQ29)</f>
        <v>-2176.3199999999997</v>
      </c>
      <c r="AS37" s="10">
        <f ca="1">SUM(AS3:AS29)</f>
        <v>4323.6680958904117</v>
      </c>
      <c r="AT37" s="10">
        <f ca="1">SUM(AT3:AT29)</f>
        <v>0</v>
      </c>
      <c r="AU37" s="10">
        <f ca="1">SUM(AU3:AU29)</f>
        <v>4323.6680958904117</v>
      </c>
      <c r="AV37" s="18">
        <f ca="1">AVERAGE(AV3:AV29)</f>
        <v>0.68813203614088936</v>
      </c>
      <c r="AX37" s="27">
        <f ca="1">SUM(AX3:AX29)</f>
        <v>4323.6680958904117</v>
      </c>
      <c r="AY37" s="27">
        <f ca="1">SUM(AY3:AY29)</f>
        <v>-2060.852105022831</v>
      </c>
      <c r="AZ37" s="27">
        <f ca="1">SUM(AZ3:AZ29)</f>
        <v>2262.8159908675789</v>
      </c>
      <c r="BA37" s="27">
        <f ca="1">SUM(BA3:BA29)</f>
        <v>6420.2313000000004</v>
      </c>
      <c r="BB37" s="27">
        <f ca="1">SUM(BB3:BB29)</f>
        <v>10200.231299999999</v>
      </c>
      <c r="BD37" s="27"/>
      <c r="BE37" s="27">
        <f ca="1">SUM(BE3:BE29)</f>
        <v>2590.211605022831</v>
      </c>
      <c r="BF37" s="27">
        <f ca="1">SUM(BF3:BF29)</f>
        <v>2590.211605022831</v>
      </c>
      <c r="BG37" s="27"/>
      <c r="BH37" s="27">
        <f ca="1">SUM(BH3:BH29)</f>
        <v>5347.2037041095882</v>
      </c>
      <c r="BI37" s="27">
        <f ca="1">SUM(BI3:BI29)</f>
        <v>4132.6428431074273</v>
      </c>
      <c r="BJ37" s="27">
        <f ca="1">SUM(BJ3:BJ29)</f>
        <v>1972.0674360730595</v>
      </c>
      <c r="BK37" s="27">
        <f ca="1">SUM(BK3:BK29)</f>
        <v>6825.0950319634694</v>
      </c>
      <c r="BL37" s="27">
        <f ca="1">SUM(BL3:BL29)</f>
        <v>-3375.14</v>
      </c>
      <c r="BN37" s="10">
        <f ca="1">SUM(BN3:BN29)</f>
        <v>6825.0950319634694</v>
      </c>
      <c r="BO37" s="10">
        <f ca="1">SUM(BO3:BO29)</f>
        <v>0</v>
      </c>
      <c r="BP37" s="10">
        <f ca="1">SUM(BP3:BP29)</f>
        <v>6825.0950319634694</v>
      </c>
      <c r="BQ37" s="18">
        <f ca="1">AVERAGE(BQ3:BQ29)</f>
        <v>0.66014367803234886</v>
      </c>
      <c r="BS37" s="27">
        <f ca="1">SUM(BS3:BS29)</f>
        <v>6825.0950319634694</v>
      </c>
      <c r="BT37" s="27">
        <f ca="1">SUM(BT3:BT29)</f>
        <v>-5981.5131872146112</v>
      </c>
      <c r="BU37" s="27">
        <f ca="1">SUM(BU3:BU29)</f>
        <v>843.58184474885832</v>
      </c>
      <c r="BV37" s="27">
        <f ca="1">SUM(BV3:BV29)</f>
        <v>3555.0085571428572</v>
      </c>
      <c r="BW37" s="27">
        <f ca="1">SUM(BW3:BW29)</f>
        <v>9705.2398571428566</v>
      </c>
      <c r="BY37" s="27"/>
      <c r="BZ37" s="27">
        <f ca="1">SUM(BZ3:BZ29)</f>
        <v>2185.2670805609914</v>
      </c>
      <c r="CA37" s="27">
        <f ca="1">SUM(CA3:CA29)</f>
        <v>2185.2670805609914</v>
      </c>
      <c r="CB37" s="27"/>
      <c r="CC37" s="27">
        <f ca="1">SUM(CC3:CC29)</f>
        <v>6699.0109318330087</v>
      </c>
      <c r="CD37" s="27">
        <f ca="1">SUM(CD3:CD29)</f>
        <v>2732.8492677323211</v>
      </c>
      <c r="CE37" s="27">
        <f ca="1">SUM(CE3:CE29)</f>
        <v>2732.8492677323211</v>
      </c>
      <c r="CF37" s="27">
        <f ca="1">SUM(CF3:CF29)</f>
        <v>5761.6981930421707</v>
      </c>
      <c r="CG37" s="27">
        <f ca="1">SUM(CG3:CG29)</f>
        <v>-3966.16</v>
      </c>
      <c r="CI37" s="10">
        <f ca="1">SUM(CI3:CI29)</f>
        <v>5761.6981930421707</v>
      </c>
      <c r="CJ37" s="10">
        <f ca="1">SUM(CJ3:CJ29)</f>
        <v>3425.397232919996</v>
      </c>
      <c r="CK37" s="10">
        <f ca="1">SUM(CK3:CK29)</f>
        <v>9187.0954259621667</v>
      </c>
      <c r="CL37" s="18">
        <f ca="1">AVERAGE(CL3:CL29)</f>
        <v>0.98041065263959071</v>
      </c>
      <c r="CN37" s="27">
        <f ca="1">SUM(CN3:CN29)</f>
        <v>9187.0954259621667</v>
      </c>
      <c r="CO37" s="27">
        <f ca="1">SUM(CO3:CO29)</f>
        <v>-3120.0935342465759</v>
      </c>
      <c r="CP37" s="27">
        <f ca="1">SUM(CP3:CP29)</f>
        <v>6067.0018917155912</v>
      </c>
      <c r="CQ37" s="27">
        <f ca="1">SUM(CQ3:CQ29)</f>
        <v>3525.0045714285711</v>
      </c>
      <c r="CR37" s="27">
        <f ca="1">SUM(CR3:CR29)</f>
        <v>14075.244428571428</v>
      </c>
      <c r="CT37" s="27"/>
      <c r="CU37" s="27">
        <f ca="1">SUM(CU3:CU29)</f>
        <v>3535.8354220482711</v>
      </c>
      <c r="CV37" s="27">
        <f ca="1">SUM(CV3:CV29)</f>
        <v>3535.8354220482711</v>
      </c>
      <c r="CW37" s="27"/>
      <c r="CX37" s="27">
        <f ca="1">SUM(CX3:CX29)</f>
        <v>4495.0271148075653</v>
      </c>
      <c r="CY37" s="27">
        <f ca="1">SUM(CY3:CY29)</f>
        <v>2231.3573502935419</v>
      </c>
      <c r="CZ37" s="27">
        <f ca="1">SUM(CZ3:CZ29)</f>
        <v>2231.3573502935419</v>
      </c>
      <c r="DA37" s="27">
        <f ca="1">SUM(DA3:DA29)</f>
        <v>11834.194664057406</v>
      </c>
      <c r="DB37" s="27">
        <f ca="1">SUM(DB3:DB29)</f>
        <v>-2263.6800000000003</v>
      </c>
      <c r="DD37" s="10">
        <f ca="1">SUM(DD3:DD29)</f>
        <v>11834.194664057406</v>
      </c>
      <c r="DE37" s="10">
        <f ca="1">SUM(DE3:DE29)</f>
        <v>206.13262883235529</v>
      </c>
      <c r="DF37" s="10">
        <f ca="1">SUM(DF3:DF29)</f>
        <v>12040.32729288976</v>
      </c>
      <c r="DG37" s="18">
        <f ca="1">AVERAGE(DG3:DG29)</f>
        <v>0.87582094100529695</v>
      </c>
      <c r="DI37" s="27">
        <f ca="1">SUM(DI3:DI29)</f>
        <v>12040.32729288976</v>
      </c>
      <c r="DJ37" s="27">
        <f ca="1">SUM(DJ3:DJ29)</f>
        <v>-3538.1674520547945</v>
      </c>
      <c r="DK37" s="27">
        <f ca="1">SUM(DK3:DK29)</f>
        <v>8502.1598408349655</v>
      </c>
      <c r="DL37" s="27">
        <f ca="1">SUM(DL3:DL29)</f>
        <v>3506.3669285714286</v>
      </c>
      <c r="DM37" s="27">
        <f ca="1">SUM(DM3:DM29)</f>
        <v>14831.611357142858</v>
      </c>
      <c r="DO37" s="27"/>
      <c r="DP37" s="27">
        <f ca="1">SUM(DP3:DP29)</f>
        <v>2708.3801281800397</v>
      </c>
      <c r="DQ37" s="27">
        <f ca="1">SUM(DQ3:DQ29)</f>
        <v>2708.3801281800397</v>
      </c>
      <c r="DR37" s="27"/>
      <c r="DS37" s="27">
        <f ca="1">SUM(DS3:DS29)</f>
        <v>3643.6913881278524</v>
      </c>
      <c r="DT37" s="27">
        <f ca="1">SUM(DT3:DT29)</f>
        <v>1496.6872524461837</v>
      </c>
      <c r="DU37" s="27">
        <f ca="1">SUM(DU3:DU29)</f>
        <v>639.10488160469652</v>
      </c>
      <c r="DV37" s="27">
        <f ca="1">SUM(DV3:DV29)</f>
        <v>11849.644850619703</v>
      </c>
      <c r="DW37" s="27">
        <f ca="1">SUM(DW3:DW29)</f>
        <v>-3004.5999999999995</v>
      </c>
      <c r="DY37" s="10">
        <f ca="1">SUM(DY3:DY29)</f>
        <v>11849.644850619703</v>
      </c>
      <c r="DZ37" s="10">
        <f ca="1">SUM(DZ3:DZ29)</f>
        <v>0</v>
      </c>
      <c r="EA37" s="10">
        <f ca="1">SUM(EA3:EA29)</f>
        <v>11849.644850619703</v>
      </c>
      <c r="EB37" s="18">
        <f ca="1">AVERAGE(EB3:EB29)</f>
        <v>0.82827221071848511</v>
      </c>
      <c r="ED37" s="27">
        <f ca="1">SUM(ED3:ED29)</f>
        <v>11849.644850619703</v>
      </c>
      <c r="EE37" s="27">
        <f ca="1">SUM(EE3:EE29)</f>
        <v>-2855.2435342465756</v>
      </c>
      <c r="EF37" s="27">
        <f ca="1">SUM(EF3:EF29)</f>
        <v>8994.4013163731252</v>
      </c>
      <c r="EG37" s="27">
        <f ca="1">SUM(EG3:EG29)</f>
        <v>3473.5480476190478</v>
      </c>
      <c r="EH37" s="27">
        <f ca="1">SUM(EH3:EH29)</f>
        <v>15555.159404761906</v>
      </c>
      <c r="EJ37" s="27"/>
      <c r="EK37" s="27">
        <f ca="1">SUM(EK3:EK29)</f>
        <v>2706.4278506197002</v>
      </c>
      <c r="EL37" s="27">
        <f ca="1">SUM(EL3:EL29)</f>
        <v>2706.4278506197002</v>
      </c>
      <c r="EM37" s="27"/>
      <c r="EN37" s="27">
        <f ca="1">SUM(EN3:EN29)</f>
        <v>3876.9502377690787</v>
      </c>
      <c r="EO37" s="27">
        <f ca="1">SUM(EO3:EO29)</f>
        <v>1556.5817505160283</v>
      </c>
      <c r="EP37" s="27">
        <f ca="1">SUM(EP3:EP29)</f>
        <v>1134.6037410306581</v>
      </c>
      <c r="EQ37" s="27">
        <f ca="1">SUM(EQ3:EQ29)</f>
        <v>12835.432908023487</v>
      </c>
      <c r="ER37" s="27">
        <f ca="1">SUM(ER3:ER29)</f>
        <v>-2742.35</v>
      </c>
      <c r="ET37" s="10">
        <f ca="1">SUM(ET3:ET29)</f>
        <v>12835.432908023487</v>
      </c>
      <c r="EU37" s="10">
        <f ca="1">SUM(EU3:EU29)</f>
        <v>0</v>
      </c>
      <c r="EV37" s="10">
        <f ca="1">SUM(EV3:EV29)</f>
        <v>12835.432908023487</v>
      </c>
      <c r="EW37" s="18">
        <f ca="1">AVERAGE(EW3:EW29)</f>
        <v>0.86223340927439907</v>
      </c>
      <c r="EY37" s="27">
        <f ca="1">SUM(EY3:EY29)</f>
        <v>12835.432908023487</v>
      </c>
      <c r="EZ37" s="27">
        <f ca="1">SUM(EZ3:EZ29)</f>
        <v>-3008.0784520547941</v>
      </c>
      <c r="FA37" s="27">
        <f ca="1">SUM(FA3:FA29)</f>
        <v>9827.3544559686907</v>
      </c>
      <c r="FB37" s="27">
        <f ca="1">SUM(FB3:FB29)</f>
        <v>3497.7579863492065</v>
      </c>
      <c r="FC37" s="27">
        <f ca="1">SUM(FC3:FC29)</f>
        <v>16302.91739111111</v>
      </c>
      <c r="FE37" s="27"/>
      <c r="FF37" s="27">
        <f ca="1">SUM(FF3:FF29)</f>
        <v>2918.4692615133727</v>
      </c>
      <c r="FG37" s="27">
        <f ca="1">SUM(FG3:FG29)</f>
        <v>2918.4692615133727</v>
      </c>
      <c r="FH37" s="27"/>
      <c r="FI37" s="27">
        <f ca="1">SUM(FI3:FI29)</f>
        <v>3579.7136736290486</v>
      </c>
      <c r="FJ37" s="27">
        <f ca="1">SUM(FJ3:FJ29)</f>
        <v>1453.5329863106292</v>
      </c>
      <c r="FK37" s="27">
        <f ca="1">SUM(FK3:FK29)</f>
        <v>629.63552604914059</v>
      </c>
      <c r="FL37" s="27">
        <f ca="1">SUM(FL3:FL29)</f>
        <v>13375.459243531204</v>
      </c>
      <c r="FM37" s="27">
        <f ca="1">SUM(FM3:FM29)</f>
        <v>-2950.07</v>
      </c>
      <c r="FO37" s="10">
        <f ca="1">SUM(FO3:FO29)</f>
        <v>13375.459243531204</v>
      </c>
      <c r="FP37" s="10">
        <f ca="1">SUM(FP3:FP29)</f>
        <v>0</v>
      </c>
      <c r="FQ37" s="10">
        <f ca="1">SUM(FQ3:FQ29)</f>
        <v>13375.459243531204</v>
      </c>
      <c r="FR37" s="18">
        <f ca="1">AVERAGE(FR3:FR29)</f>
        <v>0.84855119007434843</v>
      </c>
      <c r="FT37" s="27">
        <f ca="1">SUM(FT3:FT29)</f>
        <v>13375.459243531204</v>
      </c>
      <c r="FU37" s="27">
        <f ca="1">SUM(FU3:FU29)</f>
        <v>-3323.3831187214614</v>
      </c>
      <c r="FV37" s="27">
        <f ca="1">SUM(FV3:FV29)</f>
        <v>10052.076124809742</v>
      </c>
      <c r="FW37" s="27">
        <f ca="1">SUM(FW3:FW29)</f>
        <v>3500.736908888889</v>
      </c>
      <c r="FX37" s="27">
        <f ca="1">SUM(FX3:FX29)</f>
        <v>17053.654299999998</v>
      </c>
      <c r="FZ37" s="27"/>
      <c r="GA37" s="27">
        <f ca="1">SUM(GA3:GA29)</f>
        <v>2866.9313757990876</v>
      </c>
      <c r="GB37" s="27">
        <f ca="1">SUM(GB3:GB29)</f>
        <v>2866.9313757990876</v>
      </c>
      <c r="GC37" s="27"/>
      <c r="GD37" s="27">
        <f ca="1">SUM(GD3:GD29)</f>
        <v>4157.2667993911728</v>
      </c>
      <c r="GE37" s="27">
        <f ca="1">SUM(GE3:GE29)</f>
        <v>1644.3050002329726</v>
      </c>
      <c r="GF37" s="27">
        <f ca="1">SUM(GF3:GF29)</f>
        <v>710.34195144596674</v>
      </c>
      <c r="GG37" s="27">
        <f ca="1">SUM(GG3:GG29)</f>
        <v>13629.349452054796</v>
      </c>
      <c r="GH37" s="27">
        <f ca="1">SUM(GH3:GH29)</f>
        <v>-3446.92</v>
      </c>
      <c r="GJ37" s="10">
        <f ca="1">SUM(GJ3:GJ29)</f>
        <v>13629.349452054796</v>
      </c>
      <c r="GK37" s="10">
        <f ca="1">SUM(GK3:GK29)</f>
        <v>0</v>
      </c>
      <c r="GL37" s="10">
        <f ca="1">SUM(GL3:GL29)</f>
        <v>13629.349452054796</v>
      </c>
      <c r="GM37" s="18">
        <f ca="1">AVERAGE(GM3:GM29)</f>
        <v>0.80554059427772129</v>
      </c>
      <c r="GO37" s="27">
        <f ca="1">SUM(GO3:GO29)</f>
        <v>13629.349452054796</v>
      </c>
      <c r="GP37" s="27">
        <f ca="1">SUM(GP3:GP29)</f>
        <v>-3472.2758675799087</v>
      </c>
      <c r="GQ37" s="27">
        <f ca="1">SUM(GQ3:GQ29)</f>
        <v>10157.073584474889</v>
      </c>
      <c r="GR37" s="27">
        <f ca="1">SUM(GR3:GR29)</f>
        <v>3518.076628571429</v>
      </c>
      <c r="GS37" s="27">
        <f ca="1">SUM(GS3:GS29)</f>
        <v>17821.730928571429</v>
      </c>
      <c r="GU37" s="27"/>
      <c r="GV37" s="27">
        <f ca="1">SUM(GV3:GV29)</f>
        <v>2951.9773268101762</v>
      </c>
      <c r="GW37" s="27">
        <f ca="1">SUM(GW3:GW29)</f>
        <v>2951.9773268101771</v>
      </c>
      <c r="GX37" s="27"/>
      <c r="GY37" s="27">
        <f ca="1">SUM(GY3:GY29)</f>
        <v>4735.3000172863658</v>
      </c>
      <c r="GZ37" s="27">
        <f ca="1">SUM(GZ3:GZ29)</f>
        <v>1633.3910654810995</v>
      </c>
      <c r="HA37" s="27">
        <f ca="1">SUM(HA3:HA29)</f>
        <v>721.62521722113377</v>
      </c>
      <c r="HB37" s="27">
        <f ca="1">SUM(HB3:HB29)</f>
        <v>13830.676128506198</v>
      </c>
      <c r="HC37" s="27">
        <f ca="1">SUM(HC3:HC29)</f>
        <v>-4013.6799999999994</v>
      </c>
      <c r="HE37" s="10">
        <f ca="1">SUM(HE3:HE29)</f>
        <v>13830.676128506198</v>
      </c>
      <c r="HF37" s="10">
        <f ca="1">SUM(HF3:HF29)</f>
        <v>0</v>
      </c>
      <c r="HG37" s="10">
        <f ca="1">SUM(HG3:HG29)</f>
        <v>13830.676128506198</v>
      </c>
      <c r="HH37" s="18">
        <f ca="1">AVERAGE(HH3:HH29)</f>
        <v>0.79121989567219331</v>
      </c>
      <c r="HJ37" s="27">
        <f ca="1">SUM(HJ3:HJ29)</f>
        <v>13830.676128506198</v>
      </c>
      <c r="HK37" s="27">
        <f ca="1">SUM(HK3:HK29)</f>
        <v>-3845.9984520547946</v>
      </c>
      <c r="HL37" s="27">
        <f ca="1">SUM(HL3:HL29)</f>
        <v>9984.6776764514016</v>
      </c>
      <c r="HM37" s="27">
        <f ca="1">SUM(HM3:HM29)</f>
        <v>3543.6853714285712</v>
      </c>
      <c r="HN37" s="27">
        <f ca="1">SUM(HN3:HN29)</f>
        <v>18615.416300000001</v>
      </c>
      <c r="HP37" s="27"/>
      <c r="HQ37" s="27">
        <f ca="1">SUM(HQ3:HQ29)</f>
        <v>2913.4947234181341</v>
      </c>
      <c r="HR37" s="27">
        <f ca="1">SUM(HR3:HR29)</f>
        <v>2913.4947234181341</v>
      </c>
      <c r="HS37" s="27"/>
      <c r="HT37" s="27">
        <f ca="1">SUM(HT3:HT29)</f>
        <v>5739.8639001304628</v>
      </c>
      <c r="HU37" s="27">
        <f ca="1">SUM(HU3:HU29)</f>
        <v>2094.3440346869838</v>
      </c>
      <c r="HV37" s="27">
        <f ca="1">SUM(HV3:HV29)</f>
        <v>886.33314350945898</v>
      </c>
      <c r="HW37" s="27">
        <f ca="1">SUM(HW3:HW29)</f>
        <v>13784.505543378997</v>
      </c>
      <c r="HX37" s="27">
        <f ca="1">SUM(HX3:HX29)</f>
        <v>-4853.5399999999991</v>
      </c>
      <c r="HZ37" s="10">
        <f ca="1">SUM(HZ3:HZ29)</f>
        <v>13784.505543378997</v>
      </c>
      <c r="IA37" s="10">
        <f ca="1">SUM(IA3:IA29)</f>
        <v>0</v>
      </c>
      <c r="IB37" s="10">
        <f ca="1">SUM(IB3:IB29)</f>
        <v>13784.505543378997</v>
      </c>
      <c r="IC37" s="18">
        <f ca="1">AVERAGE(IC3:IC29)</f>
        <v>0.71486080619756809</v>
      </c>
      <c r="IE37" s="27">
        <f ca="1">SUM(IE3:IE29)</f>
        <v>13784.505543378997</v>
      </c>
      <c r="IF37" s="27">
        <f ca="1">SUM(IF3:IF29)</f>
        <v>-3466.2398675799086</v>
      </c>
      <c r="IG37" s="27">
        <f ca="1">SUM(IG3:IG29)</f>
        <v>10318.265675799088</v>
      </c>
      <c r="IH37" s="27">
        <f ca="1">SUM(IH3:IH29)</f>
        <v>3545.1597714285717</v>
      </c>
      <c r="II37" s="27">
        <f ca="1">SUM(II3:II29)</f>
        <v>19410.576071428572</v>
      </c>
      <c r="IK37" s="27"/>
      <c r="IL37" s="27">
        <f ca="1">SUM(IL3:IL29)</f>
        <v>2853.4804220482715</v>
      </c>
      <c r="IM37" s="27">
        <f ca="1">SUM(IM3:IM29)</f>
        <v>2853.480422048272</v>
      </c>
      <c r="IN37" s="27"/>
      <c r="IO37" s="27">
        <f ca="1">SUM(IO3:IO29)</f>
        <v>6261.4499735812124</v>
      </c>
      <c r="IP37" s="27">
        <f ca="1">SUM(IP3:IP29)</f>
        <v>2093.8684551741894</v>
      </c>
      <c r="IQ37" s="27">
        <f ca="1">SUM(IQ3:IQ29)</f>
        <v>967.21497912589621</v>
      </c>
      <c r="IR37" s="27">
        <f ca="1">SUM(IR3:IR29)</f>
        <v>14138.961076973255</v>
      </c>
      <c r="IS37" s="27">
        <f ca="1">SUM(IS3:IS29)</f>
        <v>-5294.23</v>
      </c>
      <c r="IU37" s="10">
        <f ca="1">SUM(IU3:IU29)</f>
        <v>14138.961076973255</v>
      </c>
      <c r="IV37" s="10">
        <f ca="1">SUM(IV3:IV29)</f>
        <v>0</v>
      </c>
      <c r="IW37" s="10">
        <f ca="1">SUM(IW3:IW29)</f>
        <v>14138.961076973255</v>
      </c>
      <c r="IX37" s="18">
        <f ca="1">AVERAGE(IX3:IX29)</f>
        <v>0.68672799973796073</v>
      </c>
      <c r="IZ37" s="27">
        <f ca="1">SUM(IZ3:IZ29)</f>
        <v>14138.961076973255</v>
      </c>
      <c r="JA37" s="27">
        <f ca="1">SUM(JA3:JA29)</f>
        <v>-3308.395452054795</v>
      </c>
      <c r="JB37" s="27">
        <f ca="1">SUM(JB3:JB29)</f>
        <v>10830.565624918459</v>
      </c>
      <c r="JC37" s="27">
        <f ca="1">SUM(JC3:JC29)</f>
        <v>3518.0834142857138</v>
      </c>
      <c r="JD37" s="27">
        <f ca="1">SUM(JD3:JD29)</f>
        <v>20178.659485714288</v>
      </c>
      <c r="JF37" s="27"/>
      <c r="JG37" s="27">
        <f ca="1">SUM(JG3:JG29)</f>
        <v>2894.6353186562296</v>
      </c>
      <c r="JH37" s="27">
        <f ca="1">SUM(JH3:JH29)</f>
        <v>2894.6353186562296</v>
      </c>
      <c r="JI37" s="27"/>
      <c r="JJ37" s="27">
        <f ca="1">SUM(JJ3:JJ29)</f>
        <v>6476.0785421395958</v>
      </c>
      <c r="JK37" s="27">
        <f ca="1">SUM(JK3:JK29)</f>
        <v>2005.9208285685165</v>
      </c>
      <c r="JL37" s="27">
        <f ca="1">SUM(JL3:JL29)</f>
        <v>767.65540541422013</v>
      </c>
      <c r="JM37" s="27">
        <f ca="1">SUM(JM3:JM29)</f>
        <v>14492.856348988911</v>
      </c>
      <c r="JN37" s="27">
        <f ca="1">SUM(JN3:JN29)</f>
        <v>-5708.43</v>
      </c>
      <c r="JP37" s="10">
        <f ca="1">SUM(JP3:JP29)</f>
        <v>14492.856348988911</v>
      </c>
      <c r="JQ37" s="10">
        <f ca="1">SUM(JQ3:JQ29)</f>
        <v>0</v>
      </c>
      <c r="JR37" s="10">
        <f ca="1">SUM(JR3:JR29)</f>
        <v>14492.856348988911</v>
      </c>
      <c r="JS37" s="18">
        <f ca="1">AVERAGE(JS3:JS29)</f>
        <v>0.63423158625517018</v>
      </c>
      <c r="JU37" s="27">
        <f ca="1">SUM(JU3:JU29)</f>
        <v>14492.856348988911</v>
      </c>
      <c r="JV37" s="27">
        <f ca="1">SUM(JV3:JV29)</f>
        <v>-3067.2034429223741</v>
      </c>
      <c r="JW37" s="27">
        <f ca="1">SUM(JW3:JW29)</f>
        <v>11425.652906066536</v>
      </c>
      <c r="JX37" s="27">
        <f ca="1">SUM(JX3:JX29)</f>
        <v>3545.7151142857147</v>
      </c>
      <c r="JY37" s="27">
        <f ca="1">SUM(JY3:JY29)</f>
        <v>20974.374600000003</v>
      </c>
      <c r="KA37" s="27"/>
      <c r="KB37" s="27">
        <f ca="1">SUM(KB3:KB29)</f>
        <v>2891.92080952381</v>
      </c>
      <c r="KC37" s="27">
        <f ca="1">SUM(KC3:KC29)</f>
        <v>2891.9208095238105</v>
      </c>
      <c r="KD37" s="27"/>
      <c r="KE37" s="27">
        <f ca="1">SUM(KE3:KE29)</f>
        <v>6679.4208844096556</v>
      </c>
      <c r="KF37" s="27">
        <f ca="1">SUM(KF3:KF29)</f>
        <v>1984.1656141519184</v>
      </c>
      <c r="KG37" s="27">
        <f ca="1">SUM(KG3:KG29)</f>
        <v>1372.3434761904759</v>
      </c>
      <c r="KH37" s="27">
        <f ca="1">SUM(KH3:KH29)</f>
        <v>15689.917191780825</v>
      </c>
      <c r="KI37" s="27">
        <f ca="1">SUM(KI3:KI29)</f>
        <v>-5307.079999999999</v>
      </c>
      <c r="KK37" s="10">
        <f ca="1">SUM(KK3:KK29)</f>
        <v>15689.917191780825</v>
      </c>
      <c r="KL37" s="10">
        <f ca="1">SUM(KL3:KL29)</f>
        <v>0</v>
      </c>
      <c r="KM37" s="10">
        <f ca="1">SUM(KM3:KM29)</f>
        <v>15689.917191780825</v>
      </c>
      <c r="KN37" s="18">
        <f ca="1">AVERAGE(KN3:KN29)</f>
        <v>0.70469150637197808</v>
      </c>
      <c r="KP37" s="27">
        <f ca="1">SUM(KP3:KP29)</f>
        <v>15689.917191780825</v>
      </c>
      <c r="KQ37" s="27">
        <f ca="1">SUM(KQ3:KQ29)</f>
        <v>-2627.5732602739736</v>
      </c>
      <c r="KR37" s="27">
        <f ca="1">SUM(KR3:KR29)</f>
        <v>13062.343931506852</v>
      </c>
      <c r="KS37" s="27">
        <f ca="1">SUM(KS3:KS29)</f>
        <v>3468.8384000000001</v>
      </c>
      <c r="KT37" s="27">
        <f ca="1">SUM(KT3:KT29)</f>
        <v>21693.213000000003</v>
      </c>
      <c r="KV37" s="27"/>
      <c r="KW37" s="27">
        <f ca="1">SUM(KW3:KW29)</f>
        <v>2493.7689999999998</v>
      </c>
      <c r="KX37" s="27">
        <f ca="1">SUM(KX3:KX29)</f>
        <v>2493.7689999999998</v>
      </c>
      <c r="KY37" s="27"/>
      <c r="KZ37" s="27">
        <f ca="1">SUM(KZ3:KZ29)</f>
        <v>6159.7200684931522</v>
      </c>
      <c r="LA37" s="27">
        <f ca="1">SUM(LA3:LA29)</f>
        <v>1706.427901541937</v>
      </c>
      <c r="LB37" s="27">
        <f ca="1">SUM(LB3:LB29)</f>
        <v>1302.0210000000004</v>
      </c>
      <c r="LC37" s="27">
        <f ca="1">SUM(LC3:LC29)</f>
        <v>16858.133931506851</v>
      </c>
      <c r="LD37" s="27">
        <f ca="1">SUM(LD3:LD29)</f>
        <v>-4857.7000000000007</v>
      </c>
      <c r="LF37" s="10">
        <f ca="1">SUM(LF3:LF29)</f>
        <v>16858.133931506851</v>
      </c>
      <c r="LG37" s="10">
        <f ca="1">SUM(LG3:LG29)</f>
        <v>0</v>
      </c>
      <c r="LH37" s="10">
        <f ca="1">SUM(LH3:LH29)</f>
        <v>16858.133931506851</v>
      </c>
      <c r="LI37" s="18">
        <f ca="1">AVERAGE(LI3:LI29)</f>
        <v>0.77162097357743686</v>
      </c>
      <c r="LK37" s="27">
        <f ca="1">SUM(LK3:LK29)</f>
        <v>16858.133931506851</v>
      </c>
      <c r="LL37" s="27">
        <f ca="1">SUM(LL3:LL29)</f>
        <v>-3858.9086894977168</v>
      </c>
      <c r="LM37" s="27">
        <f ca="1">SUM(LM3:LM29)</f>
        <v>12999.225242009132</v>
      </c>
      <c r="LN37" s="27">
        <f ca="1">SUM(LN3:LN29)</f>
        <v>3545.852457142857</v>
      </c>
      <c r="LO37" s="27">
        <f ca="1">SUM(LO3:LO29)</f>
        <v>22489.06545714286</v>
      </c>
      <c r="LQ37" s="27"/>
      <c r="LR37" s="27">
        <f ca="1">SUM(LR3:LR29)</f>
        <v>3067.6309047619052</v>
      </c>
      <c r="LS37" s="27">
        <f ca="1">SUM(LS3:LS29)</f>
        <v>3067.6309047619052</v>
      </c>
      <c r="LT37" s="27"/>
      <c r="LU37" s="27">
        <f ca="1">SUM(LU3:LU29)</f>
        <v>6444.8293103718206</v>
      </c>
      <c r="LV37" s="27">
        <f ca="1">SUM(LV3:LV29)</f>
        <v>1783.1565145401566</v>
      </c>
      <c r="LW37" s="27">
        <f ca="1">SUM(LW3:LW29)</f>
        <v>1131.866238095238</v>
      </c>
      <c r="LX37" s="27">
        <f ca="1">SUM(LX3:LX29)</f>
        <v>17198.722384866276</v>
      </c>
      <c r="LY37" s="27">
        <f ca="1">SUM(LY3:LY29)</f>
        <v>-5312.95</v>
      </c>
      <c r="MA37" s="10">
        <f ca="1">SUM(MA3:MA29)</f>
        <v>17198.722384866276</v>
      </c>
      <c r="MB37" s="10">
        <f ca="1">SUM(MB3:MB29)</f>
        <v>0</v>
      </c>
      <c r="MC37" s="10">
        <f ca="1">SUM(MC3:MC29)</f>
        <v>17198.722384866276</v>
      </c>
      <c r="MD37" s="18">
        <f ca="1">AVERAGE(MD3:MD29)</f>
        <v>0.79587113571567825</v>
      </c>
      <c r="MF37" s="27">
        <f ca="1">SUM(MF3:MF29)</f>
        <v>17198.722384866276</v>
      </c>
      <c r="MG37" s="27">
        <f ca="1">SUM(MG3:MG29)</f>
        <v>-5982.6464293903955</v>
      </c>
      <c r="MH37" s="27">
        <f ca="1">SUM(MH3:MH29)</f>
        <v>11216.075955475882</v>
      </c>
      <c r="MI37" s="27">
        <f ca="1">SUM(MI3:MI29)</f>
        <v>3520.182642857143</v>
      </c>
      <c r="MJ37" s="27">
        <f ca="1">SUM(MJ3:MJ29)</f>
        <v>23259.248100000001</v>
      </c>
      <c r="ML37" s="27"/>
      <c r="MM37" s="27">
        <f ca="1">SUM(MM3:MM29)</f>
        <v>3024.0520794230106</v>
      </c>
      <c r="MN37" s="27">
        <f ca="1">SUM(MN3:MN29)</f>
        <v>3024.0520794230106</v>
      </c>
      <c r="MO37" s="27"/>
      <c r="MP37" s="27">
        <f ca="1">SUM(MP3:MP29)</f>
        <v>9041.7400651011103</v>
      </c>
      <c r="MQ37" s="27">
        <f ca="1">SUM(MQ3:MQ29)</f>
        <v>2111.2168932126633</v>
      </c>
      <c r="MR37" s="27">
        <f ca="1">SUM(MR3:MR29)</f>
        <v>1057.2307777198464</v>
      </c>
      <c r="MS37" s="27">
        <f ca="1">SUM(MS3:MS29)</f>
        <v>15297.358812618739</v>
      </c>
      <c r="MT37" s="27">
        <f ca="1">SUM(MT3:MT29)</f>
        <v>-7984.5100000000011</v>
      </c>
      <c r="MV37" s="10">
        <f ca="1">SUM(MV3:MV29)</f>
        <v>15297.358812618739</v>
      </c>
      <c r="MW37" s="10">
        <f ca="1">SUM(MW3:MW29)</f>
        <v>0</v>
      </c>
      <c r="MX37" s="10">
        <f ca="1">SUM(MX3:MX29)</f>
        <v>15297.358812618739</v>
      </c>
      <c r="MY37" s="18">
        <f ca="1">AVERAGE(MY3:MY29)</f>
        <v>0.63066418267047031</v>
      </c>
      <c r="NA37" s="27">
        <f ca="1">SUM(NA3:NA29)</f>
        <v>15297.358812618739</v>
      </c>
      <c r="NB37" s="27">
        <f ca="1">SUM(NB3:NB29)</f>
        <v>-3238.732246118866</v>
      </c>
      <c r="NC37" s="27">
        <f ca="1">SUM(NC3:NC29)</f>
        <v>12058.626566499872</v>
      </c>
      <c r="ND37" s="27">
        <f ca="1">SUM(ND3:ND29)</f>
        <v>3545.8549000000003</v>
      </c>
      <c r="NE37" s="27">
        <f ca="1">SUM(NE3:NE29)</f>
        <v>24055.103000000003</v>
      </c>
      <c r="NG37" s="27"/>
      <c r="NH37" s="27">
        <f ca="1">SUM(NH3:NH29)</f>
        <v>2900.159202739871</v>
      </c>
      <c r="NI37" s="27">
        <f ca="1">SUM(NI3:NI29)</f>
        <v>2900.159202739871</v>
      </c>
      <c r="NJ37" s="27"/>
      <c r="NK37" s="27">
        <f ca="1">SUM(NK3:NK29)</f>
        <v>9118.9372307602607</v>
      </c>
      <c r="NL37" s="27">
        <f ca="1">SUM(NL3:NL29)</f>
        <v>2361.2489770175125</v>
      </c>
      <c r="NM37" s="27">
        <f ca="1">SUM(NM3:NM29)</f>
        <v>2361.2489770175125</v>
      </c>
      <c r="NN37" s="27">
        <f ca="1">SUM(NN3:NN29)</f>
        <v>17320.034746257257</v>
      </c>
      <c r="NO37" s="27">
        <f ca="1">SUM(NO3:NO29)</f>
        <v>-6757.7</v>
      </c>
      <c r="NQ37" s="10">
        <f ca="1">SUM(NQ3:NQ29)</f>
        <v>17320.034746257257</v>
      </c>
      <c r="NR37" s="10">
        <f ca="1">SUM(NR3:NR29)</f>
        <v>505.49182024261609</v>
      </c>
      <c r="NS37" s="10">
        <f ca="1">SUM(NS3:NS29)</f>
        <v>17825.52656649987</v>
      </c>
      <c r="NT37" s="18">
        <f ca="1">AVERAGE(NT3:NT29)</f>
        <v>0.78231489024411383</v>
      </c>
      <c r="NV37" s="27">
        <f ca="1">SUM(NV3:NV29)</f>
        <v>17825.52656649987</v>
      </c>
      <c r="NW37" s="27">
        <f ca="1">SUM(NW3:NW29)</f>
        <v>-2647.05437141938</v>
      </c>
      <c r="NX37" s="27">
        <f ca="1">SUM(NX3:NX29)</f>
        <v>15178.472195080492</v>
      </c>
      <c r="NY37" s="27">
        <f ca="1">SUM(NY3:NY29)</f>
        <v>3520.1821</v>
      </c>
      <c r="NZ37" s="27">
        <f ca="1">SUM(NZ3:NZ29)</f>
        <v>24825.285100000005</v>
      </c>
      <c r="OB37" s="27"/>
      <c r="OC37" s="27">
        <f ca="1">SUM(OC3:OC29)</f>
        <v>2687.3122595472341</v>
      </c>
      <c r="OD37" s="27">
        <f ca="1">SUM(OD3:OD29)</f>
        <v>2687.3122595472341</v>
      </c>
      <c r="OE37" s="27"/>
      <c r="OF37" s="27">
        <f ca="1">SUM(OF3:OF29)</f>
        <v>6982.1206453722789</v>
      </c>
      <c r="OG37" s="27">
        <f ca="1">SUM(OG3:OG29)</f>
        <v>1790.861338410557</v>
      </c>
      <c r="OH37" s="27">
        <f ca="1">SUM(OH3:OH29)</f>
        <v>1381.307740452766</v>
      </c>
      <c r="OI37" s="27">
        <f ca="1">SUM(OI3:OI29)</f>
        <v>19247.092195080491</v>
      </c>
      <c r="OJ37" s="27">
        <f ca="1">SUM(OJ3:OJ29)</f>
        <v>-5600.83</v>
      </c>
      <c r="OL37" s="10">
        <f ca="1">SUM(OL3:OL29)</f>
        <v>19247.092195080491</v>
      </c>
      <c r="OM37" s="10">
        <f ca="1">SUM(OM3:OM29)</f>
        <v>0</v>
      </c>
      <c r="ON37" s="10">
        <f ca="1">SUM(ON3:ON29)</f>
        <v>19247.092195080491</v>
      </c>
      <c r="OO37" s="18">
        <f ca="1">AVERAGE(OO3:OO29)</f>
        <v>0.82323613903583626</v>
      </c>
      <c r="OQ37" s="27">
        <f ca="1">SUM(OQ3:OQ29)</f>
        <v>19247.092195080491</v>
      </c>
      <c r="OR37" s="27">
        <f ca="1">SUM(OR3:OR29)</f>
        <v>-3661.873521481185</v>
      </c>
      <c r="OS37" s="27">
        <f ca="1">SUM(OS3:OS29)</f>
        <v>15585.218673599307</v>
      </c>
      <c r="OT37" s="27">
        <f ca="1">SUM(OT3:OT29)</f>
        <v>3556.4341000000004</v>
      </c>
      <c r="OU37" s="27">
        <f ca="1">SUM(OU3:OU29)</f>
        <v>25631.719200000003</v>
      </c>
      <c r="OW37" s="27"/>
      <c r="OX37" s="27">
        <f ca="1">SUM(OX3:OX29)</f>
        <v>3258.6208114355236</v>
      </c>
      <c r="OY37" s="27">
        <f ca="1">SUM(OY3:OY29)</f>
        <v>3258.6208114355236</v>
      </c>
      <c r="OZ37" s="27"/>
      <c r="PA37" s="27">
        <f ca="1">SUM(PA3:PA29)</f>
        <v>6810.4997149651754</v>
      </c>
      <c r="PB37" s="27">
        <f ca="1">SUM(PB3:PB29)</f>
        <v>1659.9208311408856</v>
      </c>
      <c r="PC37" s="27">
        <f ca="1">SUM(PC3:PC29)</f>
        <v>985.91918856447637</v>
      </c>
      <c r="PD37" s="27">
        <f ca="1">SUM(PD3:PD29)</f>
        <v>19829.758673599299</v>
      </c>
      <c r="PE37" s="27">
        <f ca="1">SUM(PE3:PE29)</f>
        <v>-5824.57</v>
      </c>
      <c r="PG37" s="10">
        <f ca="1">SUM(PG3:PG29)</f>
        <v>19829.758673599299</v>
      </c>
      <c r="PH37" s="10">
        <f ca="1">SUM(PH3:PH29)</f>
        <v>0</v>
      </c>
      <c r="PI37" s="10">
        <f ca="1">SUM(PI3:PI29)</f>
        <v>19829.758673599299</v>
      </c>
      <c r="PJ37" s="18">
        <f ca="1">AVERAGE(PJ3:PJ29)</f>
        <v>0.81189022956396961</v>
      </c>
      <c r="PL37" s="27">
        <f ca="1">SUM(PL3:PL29)</f>
        <v>19829.758673599299</v>
      </c>
      <c r="PM37" s="27">
        <f ca="1">SUM(PM3:PM29)</f>
        <v>-3725.0508548145181</v>
      </c>
      <c r="PN37" s="27">
        <f ca="1">SUM(PN3:PN29)</f>
        <v>16104.707818784787</v>
      </c>
      <c r="PO37" s="27">
        <f ca="1">SUM(PO3:PO29)</f>
        <v>3548.711957142857</v>
      </c>
      <c r="PP37" s="27">
        <f ca="1">SUM(PP3:PP29)</f>
        <v>26430.431157142863</v>
      </c>
      <c r="PR37" s="27"/>
      <c r="PS37" s="27">
        <f ca="1">SUM(PS3:PS29)</f>
        <v>2978.6027161974275</v>
      </c>
      <c r="PT37" s="27">
        <f ca="1">SUM(PT3:PT29)</f>
        <v>2978.6027161974275</v>
      </c>
      <c r="PU37" s="27"/>
      <c r="PV37" s="27">
        <f ca="1">SUM(PV3:PV29)</f>
        <v>7369.7406221606443</v>
      </c>
      <c r="PW37" s="27">
        <f ca="1">SUM(PW3:PW29)</f>
        <v>1772.6928919931131</v>
      </c>
      <c r="PX37" s="27">
        <f ca="1">SUM(PX3:PX29)</f>
        <v>1252.3144266597153</v>
      </c>
      <c r="PY37" s="27">
        <f ca="1">SUM(PY3:PY29)</f>
        <v>20335.62496164193</v>
      </c>
      <c r="PZ37" s="27">
        <f ca="1">SUM(PZ3:PZ29)</f>
        <v>-6117.4400000000005</v>
      </c>
      <c r="QB37" s="10">
        <f ca="1">SUM(QB3:QB29)</f>
        <v>20335.62496164193</v>
      </c>
      <c r="QC37" s="10">
        <f ca="1">SUM(QC3:QC29)</f>
        <v>0</v>
      </c>
      <c r="QD37" s="10">
        <f ca="1">SUM(QD3:QD29)</f>
        <v>20335.62496164193</v>
      </c>
      <c r="QE37" s="18">
        <f ca="1">AVERAGE(QE3:QE29)</f>
        <v>0.79279056478440701</v>
      </c>
      <c r="QG37" s="27">
        <f ca="1">SUM(QG3:QG29)</f>
        <v>20335.62496164193</v>
      </c>
      <c r="QH37" s="27">
        <f ca="1">SUM(QH3:QH29)</f>
        <v>-3152.1754293903941</v>
      </c>
      <c r="QI37" s="27">
        <f ca="1">SUM(QI3:QI29)</f>
        <v>17183.449532251532</v>
      </c>
      <c r="QJ37" s="27">
        <f ca="1">SUM(QJ3:QJ29)</f>
        <v>3522.9493142857145</v>
      </c>
      <c r="QK37" s="27">
        <f ca="1">SUM(QK3:QK29)</f>
        <v>27203.380471428572</v>
      </c>
      <c r="QM37" s="27"/>
      <c r="QN37" s="27">
        <f ca="1">SUM(QN3:QN29)</f>
        <v>2794.1802937087232</v>
      </c>
      <c r="QO37" s="27">
        <f ca="1">SUM(QO3:QO29)</f>
        <v>2794.1802937087232</v>
      </c>
      <c r="QP37" s="27"/>
      <c r="QQ37" s="27">
        <f ca="1">SUM(QQ3:QQ29)</f>
        <v>7248.3706454683152</v>
      </c>
      <c r="QR37" s="27">
        <f ca="1">SUM(QR3:QR29)</f>
        <v>1852.7505131098301</v>
      </c>
      <c r="QS37" s="27">
        <f ca="1">SUM(QS3:QS29)</f>
        <v>1294.5339920055624</v>
      </c>
      <c r="QT37" s="27">
        <f ca="1">SUM(QT3:QT29)</f>
        <v>21272.163817965822</v>
      </c>
      <c r="QU37" s="27">
        <f ca="1">SUM(QU3:QU29)</f>
        <v>-5953.84</v>
      </c>
      <c r="QW37" s="10">
        <f ca="1">SUM(QW3:QW29)</f>
        <v>21272.163817965822</v>
      </c>
      <c r="QX37" s="10">
        <f ca="1">SUM(QX3:QX29)</f>
        <v>0</v>
      </c>
      <c r="QY37" s="10">
        <f ca="1">SUM(QY3:QY29)</f>
        <v>21272.163817965822</v>
      </c>
      <c r="QZ37" s="18">
        <f ca="1">AVERAGE(QZ3:QZ29)</f>
        <v>0.80840966549143101</v>
      </c>
      <c r="RB37" s="27">
        <f ca="1">SUM(RB3:RB29)</f>
        <v>21272.163817965822</v>
      </c>
      <c r="RC37" s="27">
        <f ca="1">SUM(RC3:RC29)</f>
        <v>-4446.273854814518</v>
      </c>
      <c r="RD37" s="27">
        <f ca="1">SUM(RD3:RD29)</f>
        <v>16825.889963151305</v>
      </c>
      <c r="RE37" s="27">
        <f ca="1">SUM(RE3:RE29)</f>
        <v>3548.7133142857142</v>
      </c>
      <c r="RF37" s="27">
        <f ca="1">SUM(RF3:RF29)</f>
        <v>28002.093785714289</v>
      </c>
      <c r="RH37" s="27"/>
      <c r="RI37" s="27">
        <f ca="1">SUM(RI3:RI29)</f>
        <v>3136.9457876259994</v>
      </c>
      <c r="RJ37" s="27">
        <f ca="1">SUM(RJ3:RJ29)</f>
        <v>3136.9457876259994</v>
      </c>
      <c r="RK37" s="27"/>
      <c r="RL37" s="27">
        <f ca="1">SUM(RL3:RL29)</f>
        <v>8061.8780349369845</v>
      </c>
      <c r="RM37" s="27">
        <f ca="1">SUM(RM3:RM29)</f>
        <v>1852.8486057724592</v>
      </c>
      <c r="RN37" s="27">
        <f ca="1">SUM(RN3:RN29)</f>
        <v>1089.2084980882867</v>
      </c>
      <c r="RO37" s="27">
        <f ca="1">SUM(RO3:RO29)</f>
        <v>21052.044248865583</v>
      </c>
      <c r="RP37" s="27">
        <f ca="1">SUM(RP3:RP29)</f>
        <v>-6972.69</v>
      </c>
      <c r="RR37" s="10">
        <f ca="1">SUM(RR3:RR29)</f>
        <v>21052.044248865583</v>
      </c>
      <c r="RS37" s="10">
        <f ca="1">SUM(RS3:RS29)</f>
        <v>0</v>
      </c>
      <c r="RT37" s="10">
        <f ca="1">SUM(RT3:RT29)</f>
        <v>21052.044248865583</v>
      </c>
      <c r="RU37" s="18">
        <f ca="1">AVERAGE(RU3:RU29)</f>
        <v>0.75526242618844874</v>
      </c>
      <c r="RW37" s="27">
        <f ca="1">SUM(RW3:RW29)</f>
        <v>21052.044248865583</v>
      </c>
      <c r="RX37" s="27">
        <f ca="1">SUM(RX3:RX29)</f>
        <v>-2659.8577627237278</v>
      </c>
      <c r="RY37" s="27">
        <f ca="1">SUM(RY3:RY29)</f>
        <v>18392.186486141858</v>
      </c>
      <c r="RZ37" s="27">
        <f ca="1">SUM(RZ3:RZ29)</f>
        <v>3525.4630142857141</v>
      </c>
      <c r="SA37" s="27">
        <f ca="1">SUM(SA3:SA29)</f>
        <v>28777.556800000006</v>
      </c>
      <c r="SC37" s="27"/>
      <c r="SD37" s="27">
        <f ca="1">SUM(SD3:SD29)</f>
        <v>2748.1784603753908</v>
      </c>
      <c r="SE37" s="27">
        <f ca="1">SUM(SE3:SE29)</f>
        <v>2748.1784603753908</v>
      </c>
      <c r="SF37" s="27"/>
      <c r="SG37" s="27">
        <f ca="1">SUM(SG3:SG29)</f>
        <v>7659.8118534827499</v>
      </c>
      <c r="SH37" s="27">
        <f ca="1">SUM(SH3:SH29)</f>
        <v>1538.2289243134474</v>
      </c>
      <c r="SI37" s="27">
        <f ca="1">SUM(SI3:SI29)</f>
        <v>1349.9658253388948</v>
      </c>
      <c r="SJ37" s="27">
        <f ca="1">SUM(SJ3:SJ29)</f>
        <v>22490.330771856145</v>
      </c>
      <c r="SK37" s="27">
        <f ca="1">SUM(SK3:SK29)</f>
        <v>-6309.8499999999995</v>
      </c>
      <c r="SM37" s="10">
        <f ca="1">SUM(SM3:SM29)</f>
        <v>22490.330771856145</v>
      </c>
      <c r="SN37" s="10">
        <f ca="1">SUM(SN3:SN29)</f>
        <v>0</v>
      </c>
      <c r="SO37" s="10">
        <f ca="1">SUM(SO3:SO29)</f>
        <v>22490.330771856145</v>
      </c>
      <c r="SP37" s="18">
        <f ca="1">AVERAGE(SP3:SP29)</f>
        <v>0.82858784990288459</v>
      </c>
      <c r="SR37" s="27">
        <f ca="1">SUM(SR3:SR29)</f>
        <v>22490.330771856145</v>
      </c>
      <c r="SS37" s="27">
        <f ca="1">SUM(SS3:SS29)</f>
        <v>-3469.1316942305775</v>
      </c>
      <c r="ST37" s="27">
        <f ca="1">SUM(ST3:ST29)</f>
        <v>19021.19907762557</v>
      </c>
      <c r="SU37" s="27">
        <f ca="1">SUM(SU3:SU29)</f>
        <v>3548.7134500000002</v>
      </c>
      <c r="SV37" s="27">
        <f ca="1">SUM(SV3:SV29)</f>
        <v>29576.270250000005</v>
      </c>
      <c r="SX37" s="27"/>
      <c r="SY37" s="27">
        <f ca="1">SUM(SY3:SY29)</f>
        <v>3069.8530675182483</v>
      </c>
      <c r="SZ37" s="27">
        <f ca="1">SUM(SZ3:SZ29)</f>
        <v>3069.8530675182483</v>
      </c>
      <c r="TA37" s="27"/>
      <c r="TB37" s="27">
        <f ca="1">SUM(TB3:TB29)</f>
        <v>7507.8381048561832</v>
      </c>
      <c r="TC37" s="27">
        <f ca="1">SUM(TC3:TC29)</f>
        <v>1762.3375032652821</v>
      </c>
      <c r="TD37" s="27">
        <f ca="1">SUM(TD3:TD29)</f>
        <v>1280.5219324817508</v>
      </c>
      <c r="TE37" s="27">
        <f ca="1">SUM(TE3:TE29)</f>
        <v>23371.574077625566</v>
      </c>
      <c r="TF37" s="27">
        <f ca="1">SUM(TF3:TF29)</f>
        <v>-6227.329999999999</v>
      </c>
      <c r="TH37" s="10">
        <f ca="1">SUM(TH3:TH29)</f>
        <v>23371.574077625566</v>
      </c>
      <c r="TI37" s="10">
        <f ca="1">SUM(TI3:TI29)</f>
        <v>0</v>
      </c>
      <c r="TJ37" s="10">
        <f ca="1">SUM(TJ3:TJ29)</f>
        <v>23371.574077625566</v>
      </c>
      <c r="TK37" s="18">
        <f ca="1">AVERAGE(TK3:TK29)</f>
        <v>0.8326617032988638</v>
      </c>
      <c r="TM37" s="27">
        <f ca="1">SUM(TM3:TM29)</f>
        <v>23371.574077625566</v>
      </c>
      <c r="TN37" s="27">
        <f ca="1">SUM(TN3:TN29)</f>
        <v>-2965.5158767123289</v>
      </c>
      <c r="TO37" s="27">
        <f ca="1">SUM(TO3:TO29)</f>
        <v>20406.058200913238</v>
      </c>
      <c r="TP37" s="27">
        <f ca="1">SUM(TP3:TP29)</f>
        <v>3928.4366</v>
      </c>
      <c r="TQ37" s="27">
        <f ca="1">SUM(TQ3:TQ29)</f>
        <v>30754.706850000006</v>
      </c>
      <c r="TS37" s="27"/>
      <c r="TT37" s="27">
        <f ca="1">SUM(TT3:TT29)</f>
        <v>3199.6154285714297</v>
      </c>
      <c r="TU37" s="27">
        <f ca="1">SUM(TU3:TU29)</f>
        <v>3199.6154285714297</v>
      </c>
      <c r="TV37" s="27"/>
      <c r="TW37" s="27">
        <f ca="1">SUM(TW3:TW29)</f>
        <v>7171.6532205153344</v>
      </c>
      <c r="TX37" s="27">
        <f ca="1">SUM(TX3:TX29)</f>
        <v>1604.7198912945273</v>
      </c>
      <c r="TY37" s="27">
        <f ca="1">SUM(TY3:TY29)</f>
        <v>1021.4167142857125</v>
      </c>
      <c r="TZ37" s="27">
        <f ca="1">SUM(TZ3:TZ29)</f>
        <v>24627.090343770378</v>
      </c>
      <c r="UA37" s="27">
        <f ca="1">SUM(UA3:UA29)</f>
        <v>-6150.2199999999993</v>
      </c>
      <c r="UC37" s="10">
        <f ca="1">SUM(UC3:UC29)</f>
        <v>24627.090343770378</v>
      </c>
      <c r="UD37" s="10">
        <f ca="1">SUM(UD3:UD29)</f>
        <v>0</v>
      </c>
      <c r="UE37" s="10">
        <f ca="1">SUM(UE3:UE29)</f>
        <v>24627.090343770378</v>
      </c>
      <c r="UF37" s="18">
        <f ca="1">AVERAGE(UF3:UF29)</f>
        <v>0.75376475094932982</v>
      </c>
      <c r="UH37" s="27">
        <f ca="1">SUM(UH3:UH29)</f>
        <v>24627.090343770378</v>
      </c>
      <c r="UI37" s="27">
        <f ca="1">SUM(UI3:UI29)</f>
        <v>-3608.4787148480559</v>
      </c>
      <c r="UJ37" s="27">
        <f ca="1">SUM(UJ3:UJ29)</f>
        <v>21018.611628922325</v>
      </c>
      <c r="UK37" s="27">
        <f ca="1">SUM(UK3:UK29)</f>
        <v>3853.6237999999998</v>
      </c>
      <c r="UL37" s="27">
        <f ca="1">SUM(UL3:UL29)</f>
        <v>31858.330650000004</v>
      </c>
      <c r="UN37" s="27"/>
      <c r="UO37" s="27">
        <f ca="1">SUM(UO3:UO29)</f>
        <v>3173.4670821018067</v>
      </c>
      <c r="UP37" s="27">
        <f ca="1">SUM(UP3:UP29)</f>
        <v>3173.4670821018067</v>
      </c>
      <c r="UQ37" s="27"/>
      <c r="UR37" s="27">
        <f ca="1">SUM(UR3:UR29)</f>
        <v>7688.8719389758699</v>
      </c>
      <c r="US37" s="27">
        <f ca="1">SUM(US3:US29)</f>
        <v>1972.4620595856397</v>
      </c>
      <c r="UT37" s="27">
        <f ca="1">SUM(UT3:UT29)</f>
        <v>1972.4620595856397</v>
      </c>
      <c r="UU37" s="27">
        <f ca="1">SUM(UU3:UU29)</f>
        <v>26164.540770609772</v>
      </c>
      <c r="UV37" s="27">
        <f ca="1">SUM(UV3:UV29)</f>
        <v>-5716.4</v>
      </c>
      <c r="UX37" s="10">
        <f ca="1">SUM(UX3:UX29)</f>
        <v>26164.540770609772</v>
      </c>
      <c r="UY37" s="10">
        <f ca="1">SUM(UY3:UY29)</f>
        <v>330.39442974112467</v>
      </c>
      <c r="UZ37" s="10">
        <f ca="1">SUM(UZ3:UZ29)</f>
        <v>26494.935200350894</v>
      </c>
      <c r="VA37" s="18">
        <f ca="1">AVERAGE(VA3:VA29)</f>
        <v>0.87094448906597499</v>
      </c>
      <c r="VC37" s="27">
        <f ca="1">SUM(VC3:VC29)</f>
        <v>26494.935200350894</v>
      </c>
      <c r="VD37" s="27">
        <f ca="1">SUM(VD3:VD29)</f>
        <v>-2872.194910722721</v>
      </c>
      <c r="VE37" s="27">
        <f ca="1">SUM(VE3:VE29)</f>
        <v>23622.740289628175</v>
      </c>
      <c r="VF37" s="27">
        <f ca="1">SUM(VF3:VF29)</f>
        <v>3929.7365999999997</v>
      </c>
      <c r="VG37" s="27">
        <f ca="1">SUM(VG3:VG29)</f>
        <v>33038.067250000007</v>
      </c>
      <c r="VI37" s="27"/>
      <c r="VJ37" s="27">
        <f ca="1">SUM(VJ3:VJ29)</f>
        <v>3238.315298850574</v>
      </c>
      <c r="VK37" s="27">
        <f ca="1">SUM(VK3:VK29)</f>
        <v>3238.315298850574</v>
      </c>
      <c r="VL37" s="27"/>
      <c r="VM37" s="27">
        <f ca="1">SUM(VM3:VM29)</f>
        <v>6199.6316615212527</v>
      </c>
      <c r="VN37" s="27">
        <f ca="1">SUM(VN3:VN29)</f>
        <v>1501.1930637739295</v>
      </c>
      <c r="VO37" s="27">
        <f ca="1">SUM(VO3:VO29)</f>
        <v>995.19970114942555</v>
      </c>
      <c r="VP37" s="27">
        <f ca="1">SUM(VP3:VP29)</f>
        <v>27856.255289628174</v>
      </c>
      <c r="VQ37" s="27">
        <f ca="1">SUM(VQ3:VQ29)</f>
        <v>-5204.43</v>
      </c>
      <c r="VS37" s="10">
        <f ca="1">SUM(VS3:VS29)</f>
        <v>27856.255289628174</v>
      </c>
      <c r="VT37" s="10">
        <f ca="1">SUM(VT3:VT29)</f>
        <v>0</v>
      </c>
      <c r="VU37" s="10">
        <f ca="1">SUM(VU3:VU29)</f>
        <v>27856.255289628174</v>
      </c>
      <c r="VV37" s="18">
        <f ca="1">AVERAGE(VV3:VV29)</f>
        <v>0.8948395234790737</v>
      </c>
      <c r="VX37" s="27">
        <f ca="1">SUM(VX3:VX29)</f>
        <v>27856.255289628174</v>
      </c>
      <c r="VY37" s="27">
        <f ca="1">SUM(VY3:VY29)</f>
        <v>-3148.8159452054797</v>
      </c>
      <c r="VZ37" s="27">
        <f ca="1">SUM(VZ3:VZ29)</f>
        <v>24707.439344422695</v>
      </c>
      <c r="WA37" s="27">
        <f ca="1">SUM(WA3:WA29)</f>
        <v>3891.6800000000003</v>
      </c>
      <c r="WB37" s="27">
        <f ca="1">SUM(WB3:WB29)</f>
        <v>34179.74725</v>
      </c>
      <c r="WD37" s="27"/>
      <c r="WE37" s="27">
        <f ca="1">SUM(WE3:WE29)</f>
        <v>3252.5940476190481</v>
      </c>
      <c r="WF37" s="27">
        <f ca="1">SUM(WF3:WF29)</f>
        <v>3252.5940476190481</v>
      </c>
      <c r="WG37" s="27"/>
      <c r="WH37" s="27">
        <f ca="1">SUM(WH3:WH29)</f>
        <v>6242.3338579582587</v>
      </c>
      <c r="WI37" s="27">
        <f ca="1">SUM(WI3:WI29)</f>
        <v>1395.5760627312993</v>
      </c>
      <c r="WJ37" s="27">
        <f ca="1">SUM(WJ3:WJ29)</f>
        <v>833.42452380952375</v>
      </c>
      <c r="WK37" s="27">
        <f ca="1">SUM(WK3:WK29)</f>
        <v>28793.457915851264</v>
      </c>
      <c r="WL37" s="27">
        <f ca="1">SUM(WL3:WL29)</f>
        <v>-5408.9000000000005</v>
      </c>
      <c r="WN37" s="10">
        <f ca="1">SUM(WN3:WN29)</f>
        <v>28793.457915851264</v>
      </c>
      <c r="WO37" s="10">
        <f ca="1">SUM(WO3:WO29)</f>
        <v>0</v>
      </c>
      <c r="WP37" s="10">
        <f ca="1">SUM(WP3:WP29)</f>
        <v>28793.457915851268</v>
      </c>
      <c r="WQ37" s="18">
        <f ca="1">AVERAGE(WQ3:WQ29)</f>
        <v>0.89369228926541655</v>
      </c>
      <c r="WS37" s="27">
        <f ca="1">SUM(WS3:WS29)</f>
        <v>28793.457915851268</v>
      </c>
      <c r="WT37" s="27">
        <f ca="1">SUM(WT3:WT29)</f>
        <v>-2481.5331562822212</v>
      </c>
      <c r="WU37" s="27">
        <f ca="1">SUM(WU3:WU29)</f>
        <v>26311.924759569047</v>
      </c>
      <c r="WV37" s="27">
        <f ca="1">SUM(WV3:WV29)</f>
        <v>3929.7360000000003</v>
      </c>
      <c r="WW37" s="27">
        <f ca="1">SUM(WW3:WW29)</f>
        <v>35359.483250000005</v>
      </c>
      <c r="WY37" s="27"/>
      <c r="WZ37" s="27">
        <f ca="1">SUM(WZ3:WZ29)</f>
        <v>3077.2408509984634</v>
      </c>
      <c r="XA37" s="27">
        <f ca="1">SUM(XA3:XA29)</f>
        <v>3077.2408509984634</v>
      </c>
      <c r="XB37" s="27"/>
      <c r="XC37" s="27">
        <f ca="1">SUM(XC3:XC29)</f>
        <v>5970.3176394324919</v>
      </c>
      <c r="XD37" s="27">
        <f ca="1">SUM(XD3:XD29)</f>
        <v>1208.4813814361437</v>
      </c>
      <c r="XE37" s="27">
        <f ca="1">SUM(XE3:XE29)</f>
        <v>1144.5720061443944</v>
      </c>
      <c r="XF37" s="27">
        <f ca="1">SUM(XF3:XF29)</f>
        <v>30533.737616711904</v>
      </c>
      <c r="XG37" s="27">
        <f ca="1">SUM(XG3:XG29)</f>
        <v>-4825.74</v>
      </c>
      <c r="XI37" s="10">
        <f ca="1">SUM(XI3:XI29)</f>
        <v>30533.737616711904</v>
      </c>
      <c r="XJ37" s="10">
        <f ca="1">SUM(XJ3:XJ29)</f>
        <v>0</v>
      </c>
      <c r="XK37" s="10">
        <f ca="1">SUM(XK3:XK29)</f>
        <v>30533.737616711904</v>
      </c>
      <c r="XL37" s="18">
        <f ca="1">AVERAGE(XL3:XL29)</f>
        <v>0.95075247905563787</v>
      </c>
    </row>
    <row r="38" spans="1:636" s="7" customFormat="1" x14ac:dyDescent="0.25">
      <c r="C38" s="9" t="s">
        <v>958</v>
      </c>
      <c r="D38" s="10">
        <f>SUM(D33:D34)</f>
        <v>0</v>
      </c>
      <c r="H38" s="6">
        <f>H37-H36</f>
        <v>0</v>
      </c>
      <c r="I38" s="7" t="s">
        <v>155</v>
      </c>
      <c r="AA38" s="15" t="s">
        <v>1034</v>
      </c>
      <c r="AD38" s="88" t="s">
        <v>90</v>
      </c>
      <c r="AV38" s="15" t="s">
        <v>1034</v>
      </c>
      <c r="AY38" s="88" t="s">
        <v>90</v>
      </c>
      <c r="BQ38" s="15" t="s">
        <v>1034</v>
      </c>
      <c r="BT38" s="88" t="s">
        <v>90</v>
      </c>
      <c r="CL38" s="15" t="s">
        <v>1034</v>
      </c>
      <c r="CO38" s="88" t="s">
        <v>90</v>
      </c>
      <c r="DG38" s="15" t="s">
        <v>1034</v>
      </c>
      <c r="DJ38" s="88" t="s">
        <v>90</v>
      </c>
      <c r="EB38" s="15" t="s">
        <v>1034</v>
      </c>
      <c r="EE38" s="88" t="s">
        <v>90</v>
      </c>
      <c r="EW38" s="15" t="s">
        <v>1034</v>
      </c>
      <c r="EZ38" s="88" t="s">
        <v>90</v>
      </c>
      <c r="FR38" s="15" t="s">
        <v>1034</v>
      </c>
      <c r="FU38" s="88" t="s">
        <v>90</v>
      </c>
      <c r="GM38" s="15" t="s">
        <v>1034</v>
      </c>
      <c r="GP38" s="88" t="s">
        <v>90</v>
      </c>
      <c r="HH38" s="15" t="s">
        <v>1034</v>
      </c>
      <c r="HK38" s="88" t="s">
        <v>90</v>
      </c>
      <c r="IC38" s="15" t="s">
        <v>1034</v>
      </c>
      <c r="IF38" s="88" t="s">
        <v>90</v>
      </c>
      <c r="IX38" s="15" t="s">
        <v>1034</v>
      </c>
      <c r="JA38" s="88" t="s">
        <v>90</v>
      </c>
      <c r="JS38" s="15" t="s">
        <v>1034</v>
      </c>
      <c r="JV38" s="88" t="s">
        <v>90</v>
      </c>
      <c r="KN38" s="15" t="s">
        <v>1034</v>
      </c>
      <c r="KQ38" s="88" t="s">
        <v>90</v>
      </c>
      <c r="LI38" s="15" t="s">
        <v>1034</v>
      </c>
      <c r="LL38" s="88" t="s">
        <v>90</v>
      </c>
      <c r="MD38" s="15" t="s">
        <v>1034</v>
      </c>
      <c r="MG38" s="88" t="s">
        <v>90</v>
      </c>
      <c r="MY38" s="15" t="s">
        <v>1034</v>
      </c>
      <c r="NB38" s="88" t="s">
        <v>90</v>
      </c>
      <c r="NT38" s="15" t="s">
        <v>1034</v>
      </c>
      <c r="NW38" s="88" t="s">
        <v>90</v>
      </c>
      <c r="OO38" s="15" t="s">
        <v>1034</v>
      </c>
      <c r="OR38" s="88" t="s">
        <v>90</v>
      </c>
      <c r="PJ38" s="15" t="s">
        <v>1034</v>
      </c>
      <c r="PM38" s="88" t="s">
        <v>90</v>
      </c>
      <c r="QE38" s="15" t="s">
        <v>1034</v>
      </c>
      <c r="QH38" s="88" t="s">
        <v>90</v>
      </c>
      <c r="QZ38" s="15" t="s">
        <v>1034</v>
      </c>
      <c r="RC38" s="88" t="s">
        <v>90</v>
      </c>
      <c r="RU38" s="15" t="s">
        <v>1034</v>
      </c>
      <c r="RX38" s="88" t="s">
        <v>90</v>
      </c>
      <c r="SP38" s="15" t="s">
        <v>1034</v>
      </c>
      <c r="SS38" s="88" t="s">
        <v>90</v>
      </c>
      <c r="TK38" s="15" t="s">
        <v>1034</v>
      </c>
      <c r="TN38" s="88" t="s">
        <v>90</v>
      </c>
      <c r="UF38" s="15" t="s">
        <v>1034</v>
      </c>
      <c r="UI38" s="88" t="s">
        <v>90</v>
      </c>
      <c r="VA38" s="15" t="s">
        <v>1034</v>
      </c>
      <c r="VD38" s="88" t="s">
        <v>90</v>
      </c>
      <c r="VV38" s="15" t="s">
        <v>1034</v>
      </c>
      <c r="VY38" s="88" t="s">
        <v>90</v>
      </c>
      <c r="WQ38" s="15" t="s">
        <v>1034</v>
      </c>
      <c r="WT38" s="88" t="s">
        <v>90</v>
      </c>
      <c r="XL38" s="15" t="s">
        <v>1034</v>
      </c>
    </row>
    <row r="39" spans="1:636" s="7" customFormat="1" x14ac:dyDescent="0.25">
      <c r="B39" s="6"/>
      <c r="C39" s="9" t="s">
        <v>956</v>
      </c>
      <c r="D39" s="10">
        <f>SUM(D36:D38)</f>
        <v>-529.56778571428595</v>
      </c>
      <c r="I39" s="27"/>
      <c r="L39" s="88"/>
      <c r="M39" s="93"/>
      <c r="N39" s="88"/>
      <c r="P39" s="15"/>
      <c r="T39" s="15"/>
      <c r="Y39" s="14"/>
      <c r="Z39" s="10"/>
      <c r="AA39" s="18">
        <f>Z37/L37</f>
        <v>0.41080729760547319</v>
      </c>
      <c r="AD39" s="27">
        <f ca="1">SUM(AD30:AD32)</f>
        <v>4284.4464383561644</v>
      </c>
      <c r="AG39" s="88"/>
      <c r="AH39" s="93" t="s">
        <v>1030</v>
      </c>
      <c r="AI39" s="88" t="s">
        <v>1031</v>
      </c>
      <c r="AK39" s="15" t="s">
        <v>1029</v>
      </c>
      <c r="AO39" s="15" t="s">
        <v>1032</v>
      </c>
      <c r="AT39" s="16" t="s">
        <v>860</v>
      </c>
      <c r="AU39" s="10">
        <f ca="1">SUM(AU21:AU23)</f>
        <v>0</v>
      </c>
      <c r="AV39" s="18">
        <f ca="1">AU37/AG37</f>
        <v>0.66517970706006335</v>
      </c>
      <c r="AY39" s="27">
        <f ca="1">SUM(AY30:AY32)</f>
        <v>4562.2790410958905</v>
      </c>
      <c r="BB39" s="88"/>
      <c r="BC39" s="93" t="s">
        <v>1030</v>
      </c>
      <c r="BD39" s="88" t="s">
        <v>1031</v>
      </c>
      <c r="BF39" s="15" t="s">
        <v>1029</v>
      </c>
      <c r="BJ39" s="15" t="s">
        <v>1032</v>
      </c>
      <c r="BO39" s="16" t="s">
        <v>860</v>
      </c>
      <c r="BP39" s="10">
        <f ca="1">SUM(BP21:BP23)</f>
        <v>438.34049999999996</v>
      </c>
      <c r="BQ39" s="18">
        <f ca="1">BP37/BB37</f>
        <v>0.66911179082414241</v>
      </c>
      <c r="BT39" s="27">
        <f ca="1">SUM(BT30:BT32)</f>
        <v>8343.5135812133085</v>
      </c>
      <c r="BW39" s="88"/>
      <c r="BX39" s="93" t="s">
        <v>1030</v>
      </c>
      <c r="BY39" s="88" t="s">
        <v>1031</v>
      </c>
      <c r="CA39" s="15" t="s">
        <v>1029</v>
      </c>
      <c r="CE39" s="15" t="s">
        <v>1032</v>
      </c>
      <c r="CJ39" s="16" t="s">
        <v>860</v>
      </c>
      <c r="CK39" s="10">
        <f ca="1">SUM(CK21:CK23)</f>
        <v>1073.8735714285715</v>
      </c>
      <c r="CL39" s="18">
        <f ca="1">CK37/BW37</f>
        <v>0.94661188813387787</v>
      </c>
      <c r="CO39" s="27">
        <f ca="1">SUM(CO30:CO32)</f>
        <v>5973.3254011741683</v>
      </c>
      <c r="CR39" s="88"/>
      <c r="CS39" s="93" t="s">
        <v>1030</v>
      </c>
      <c r="CT39" s="88" t="s">
        <v>1031</v>
      </c>
      <c r="CV39" s="15" t="s">
        <v>1029</v>
      </c>
      <c r="CZ39" s="15" t="s">
        <v>1032</v>
      </c>
      <c r="DE39" s="16" t="s">
        <v>860</v>
      </c>
      <c r="DF39" s="10">
        <f ca="1">SUM(DF21:DF23)</f>
        <v>1685.7192857142857</v>
      </c>
      <c r="DG39" s="18">
        <f ca="1">DF37/CR37</f>
        <v>0.85542580478737718</v>
      </c>
      <c r="DJ39" s="27">
        <f ca="1">SUM(DJ30:DJ32)</f>
        <v>3347.4850097847361</v>
      </c>
      <c r="DM39" s="88"/>
      <c r="DN39" s="93" t="s">
        <v>1030</v>
      </c>
      <c r="DO39" s="88" t="s">
        <v>1031</v>
      </c>
      <c r="DQ39" s="15" t="s">
        <v>1029</v>
      </c>
      <c r="DU39" s="15" t="s">
        <v>1032</v>
      </c>
      <c r="DZ39" s="16" t="s">
        <v>860</v>
      </c>
      <c r="EA39" s="10">
        <f ca="1">SUM(EA21:EA23)</f>
        <v>2282.8510714285717</v>
      </c>
      <c r="EB39" s="18">
        <f ca="1">EA37/DM37</f>
        <v>0.79894521001677621</v>
      </c>
      <c r="EE39" s="27">
        <f ca="1">SUM(EE30:EE32)</f>
        <v>3841.0315916503582</v>
      </c>
      <c r="EH39" s="88"/>
      <c r="EI39" s="93" t="s">
        <v>1030</v>
      </c>
      <c r="EJ39" s="88" t="s">
        <v>1031</v>
      </c>
      <c r="EL39" s="15" t="s">
        <v>1029</v>
      </c>
      <c r="EP39" s="15" t="s">
        <v>1032</v>
      </c>
      <c r="EU39" s="16" t="s">
        <v>860</v>
      </c>
      <c r="EV39" s="10">
        <f ca="1">SUM(EV21:EV23)</f>
        <v>2854.0732142857141</v>
      </c>
      <c r="EW39" s="18">
        <f ca="1">EV37/EH37</f>
        <v>0.82515598677144852</v>
      </c>
      <c r="EZ39" s="27">
        <f ca="1">SUM(EZ30:EZ32)</f>
        <v>3548.1047875625131</v>
      </c>
      <c r="FC39" s="88"/>
      <c r="FD39" s="93" t="s">
        <v>1030</v>
      </c>
      <c r="FE39" s="88" t="s">
        <v>1031</v>
      </c>
      <c r="FG39" s="15" t="s">
        <v>1029</v>
      </c>
      <c r="FK39" s="15" t="s">
        <v>1032</v>
      </c>
      <c r="FP39" s="16" t="s">
        <v>860</v>
      </c>
      <c r="FQ39" s="10">
        <f ca="1">SUM(FQ21:FQ23)</f>
        <v>3444.4084666666668</v>
      </c>
      <c r="FR39" s="18">
        <f ca="1">FQ37/FC37</f>
        <v>0.82043347964358493</v>
      </c>
      <c r="FU39" s="27">
        <f ca="1">SUM(FU30:FU32)</f>
        <v>3577.2733272450541</v>
      </c>
      <c r="FX39" s="88"/>
      <c r="FY39" s="93" t="s">
        <v>1030</v>
      </c>
      <c r="FZ39" s="88" t="s">
        <v>1031</v>
      </c>
      <c r="GB39" s="15" t="s">
        <v>1029</v>
      </c>
      <c r="GF39" s="15" t="s">
        <v>1032</v>
      </c>
      <c r="GK39" s="16" t="s">
        <v>860</v>
      </c>
      <c r="GL39" s="10">
        <f ca="1">SUM(GL21:GL23)</f>
        <v>4037.0955000000004</v>
      </c>
      <c r="GM39" s="18">
        <f ca="1">GL37/FX37</f>
        <v>0.79920404227115105</v>
      </c>
      <c r="GP39" s="27">
        <f ca="1">SUM(GP30:GP32)</f>
        <v>3673.602544031311</v>
      </c>
      <c r="GS39" s="88"/>
      <c r="GT39" s="93" t="s">
        <v>1030</v>
      </c>
      <c r="GU39" s="88" t="s">
        <v>1031</v>
      </c>
      <c r="GW39" s="15" t="s">
        <v>1029</v>
      </c>
      <c r="HA39" s="15" t="s">
        <v>1032</v>
      </c>
      <c r="HF39" s="16" t="s">
        <v>860</v>
      </c>
      <c r="HG39" s="10">
        <f ca="1">SUM(HG21:HG23)</f>
        <v>4643.4717857142859</v>
      </c>
      <c r="HH39" s="18">
        <f ca="1">HG37/GS37</f>
        <v>0.7760568366753392</v>
      </c>
      <c r="HK39" s="27">
        <f ca="1">SUM(HK30:HK32)</f>
        <v>3799.8278669275933</v>
      </c>
      <c r="HN39" s="88"/>
      <c r="HO39" s="93" t="s">
        <v>1030</v>
      </c>
      <c r="HP39" s="88" t="s">
        <v>1031</v>
      </c>
      <c r="HR39" s="15" t="s">
        <v>1029</v>
      </c>
      <c r="HV39" s="15" t="s">
        <v>1032</v>
      </c>
      <c r="IA39" s="16" t="s">
        <v>860</v>
      </c>
      <c r="IB39" s="10">
        <f ca="1">SUM(IB21:IB23)</f>
        <v>5270.0655000000006</v>
      </c>
      <c r="IC39" s="18">
        <f ca="1">IB37/HN37</f>
        <v>0.74048870684557277</v>
      </c>
      <c r="IF39" s="27">
        <f ca="1">SUM(IF30:IF32)</f>
        <v>3820.6954011741682</v>
      </c>
      <c r="II39" s="88"/>
      <c r="IJ39" s="93" t="s">
        <v>1030</v>
      </c>
      <c r="IK39" s="88" t="s">
        <v>1031</v>
      </c>
      <c r="IM39" s="15" t="s">
        <v>1029</v>
      </c>
      <c r="IQ39" s="15" t="s">
        <v>1032</v>
      </c>
      <c r="IV39" s="16" t="s">
        <v>860</v>
      </c>
      <c r="IW39" s="10">
        <f ca="1">SUM(IW21:IW23)</f>
        <v>5897.8232142857159</v>
      </c>
      <c r="IX39" s="18">
        <f ca="1">IW37/II37</f>
        <v>0.72841532497250927</v>
      </c>
      <c r="JA39" s="27">
        <f ca="1">SUM(JA30:JA32)</f>
        <v>3662.2907240704499</v>
      </c>
      <c r="JD39" s="88"/>
      <c r="JE39" s="93" t="s">
        <v>1030</v>
      </c>
      <c r="JF39" s="88" t="s">
        <v>1031</v>
      </c>
      <c r="JH39" s="15" t="s">
        <v>1029</v>
      </c>
      <c r="JL39" s="15" t="s">
        <v>1032</v>
      </c>
      <c r="JQ39" s="16" t="s">
        <v>860</v>
      </c>
      <c r="JR39" s="10">
        <f ca="1">SUM(JR21:JR23)</f>
        <v>6504.2048571428586</v>
      </c>
      <c r="JS39" s="18">
        <f ca="1">JR37/JD37</f>
        <v>0.71822691488744794</v>
      </c>
      <c r="JV39" s="27">
        <f ca="1">SUM(JV30:JV32)</f>
        <v>4264.2642857142864</v>
      </c>
      <c r="JY39" s="88"/>
      <c r="JZ39" s="93" t="s">
        <v>1030</v>
      </c>
      <c r="KA39" s="88" t="s">
        <v>1031</v>
      </c>
      <c r="KC39" s="15" t="s">
        <v>1029</v>
      </c>
      <c r="KG39" s="15" t="s">
        <v>1032</v>
      </c>
      <c r="KL39" s="16" t="s">
        <v>860</v>
      </c>
      <c r="KM39" s="10">
        <f ca="1">SUM(KM21:KM23)</f>
        <v>7132.4010000000017</v>
      </c>
      <c r="KN39" s="18">
        <f ca="1">KM37/JY37</f>
        <v>0.74805172936030351</v>
      </c>
      <c r="KQ39" s="27">
        <f ca="1">SUM(KQ30:KQ32)</f>
        <v>3795.79</v>
      </c>
      <c r="KT39" s="88"/>
      <c r="KU39" s="93" t="s">
        <v>1030</v>
      </c>
      <c r="KV39" s="88" t="s">
        <v>1031</v>
      </c>
      <c r="KX39" s="15" t="s">
        <v>1029</v>
      </c>
      <c r="LB39" s="15" t="s">
        <v>1032</v>
      </c>
      <c r="LG39" s="16" t="s">
        <v>860</v>
      </c>
      <c r="LH39" s="10">
        <f ca="1">SUM(LH21:LH23)</f>
        <v>7699.9050000000025</v>
      </c>
      <c r="LI39" s="18">
        <f ca="1">LH37/KT37</f>
        <v>0.77711558594417751</v>
      </c>
      <c r="LL39" s="27">
        <f ca="1">SUM(LL30:LL32)</f>
        <v>4199.4971428571434</v>
      </c>
      <c r="LO39" s="88"/>
      <c r="LP39" s="93" t="s">
        <v>1030</v>
      </c>
      <c r="LQ39" s="88" t="s">
        <v>1031</v>
      </c>
      <c r="LS39" s="15" t="s">
        <v>1029</v>
      </c>
      <c r="LW39" s="15" t="s">
        <v>1032</v>
      </c>
      <c r="MB39" s="16" t="s">
        <v>860</v>
      </c>
      <c r="MC39" s="10">
        <f ca="1">SUM(MC21:MC23)</f>
        <v>8328.2095714285751</v>
      </c>
      <c r="MD39" s="18">
        <f ca="1">MC37/LO37</f>
        <v>0.76475931904069883</v>
      </c>
      <c r="MG39" s="27">
        <f ca="1">SUM(MG30:MG32)</f>
        <v>4081.2828571428572</v>
      </c>
      <c r="MJ39" s="88"/>
      <c r="MK39" s="93" t="s">
        <v>1030</v>
      </c>
      <c r="ML39" s="88" t="s">
        <v>1031</v>
      </c>
      <c r="MN39" s="15" t="s">
        <v>1029</v>
      </c>
      <c r="MR39" s="15" t="s">
        <v>1032</v>
      </c>
      <c r="MW39" s="16" t="s">
        <v>860</v>
      </c>
      <c r="MX39" s="10">
        <f ca="1">SUM(MX21:MX23)</f>
        <v>8936.2485000000033</v>
      </c>
      <c r="MY39" s="18">
        <f ca="1">MX37/MJ37</f>
        <v>0.65768930908040568</v>
      </c>
      <c r="NB39" s="27">
        <f ca="1">SUM(NB30:NB32)</f>
        <v>5766.9</v>
      </c>
      <c r="NE39" s="88"/>
      <c r="NF39" s="93" t="s">
        <v>1030</v>
      </c>
      <c r="NG39" s="88" t="s">
        <v>1031</v>
      </c>
      <c r="NI39" s="15" t="s">
        <v>1029</v>
      </c>
      <c r="NM39" s="15" t="s">
        <v>1032</v>
      </c>
      <c r="NR39" s="16" t="s">
        <v>860</v>
      </c>
      <c r="NS39" s="10">
        <f ca="1">SUM(NS21:NS23)</f>
        <v>9564.5550000000021</v>
      </c>
      <c r="NT39" s="18">
        <f ca="1">NS37/NE37</f>
        <v>0.7410289021210954</v>
      </c>
      <c r="NW39" s="27">
        <f ca="1">SUM(NW30:NW32)</f>
        <v>4068.6200000000003</v>
      </c>
      <c r="NZ39" s="88"/>
      <c r="OA39" s="93" t="s">
        <v>1030</v>
      </c>
      <c r="OB39" s="88" t="s">
        <v>1031</v>
      </c>
      <c r="OD39" s="15" t="s">
        <v>1029</v>
      </c>
      <c r="OH39" s="15" t="s">
        <v>1032</v>
      </c>
      <c r="OM39" s="16" t="s">
        <v>860</v>
      </c>
      <c r="ON39" s="10">
        <f ca="1">SUM(ON21:ON23)</f>
        <v>10172.593500000003</v>
      </c>
      <c r="OO39" s="18">
        <f ca="1">ON37/NZ37</f>
        <v>0.77530195997952456</v>
      </c>
      <c r="OR39" s="27">
        <f ca="1">SUM(OR30:OR32)</f>
        <v>4244.54</v>
      </c>
      <c r="OU39" s="88"/>
      <c r="OV39" s="93" t="s">
        <v>1030</v>
      </c>
      <c r="OW39" s="88" t="s">
        <v>1031</v>
      </c>
      <c r="OY39" s="15" t="s">
        <v>1029</v>
      </c>
      <c r="PC39" s="15" t="s">
        <v>1032</v>
      </c>
      <c r="PH39" s="16" t="s">
        <v>860</v>
      </c>
      <c r="PI39" s="10">
        <f ca="1">SUM(PI21:PI23)</f>
        <v>10809.252000000004</v>
      </c>
      <c r="PJ39" s="18">
        <f ca="1">PI37/OU37</f>
        <v>0.77364138233846202</v>
      </c>
      <c r="PM39" s="27">
        <f ca="1">SUM(PM30:PM32)</f>
        <v>4230.9171428571426</v>
      </c>
      <c r="PP39" s="88"/>
      <c r="PQ39" s="93" t="s">
        <v>1030</v>
      </c>
      <c r="PR39" s="88" t="s">
        <v>1031</v>
      </c>
      <c r="PT39" s="15" t="s">
        <v>1029</v>
      </c>
      <c r="PX39" s="15" t="s">
        <v>1032</v>
      </c>
      <c r="QC39" s="16" t="s">
        <v>860</v>
      </c>
      <c r="QD39" s="10">
        <f ca="1">SUM(QD21:QD23)</f>
        <v>11439.814071428575</v>
      </c>
      <c r="QE39" s="18">
        <f ca="1">QD37/PP37</f>
        <v>0.76940193827092362</v>
      </c>
      <c r="QH39" s="27">
        <f ca="1">SUM(QH30:QH32)</f>
        <v>4088.7142857142858</v>
      </c>
      <c r="QK39" s="88"/>
      <c r="QL39" s="93" t="s">
        <v>1030</v>
      </c>
      <c r="QM39" s="88" t="s">
        <v>1031</v>
      </c>
      <c r="QO39" s="15" t="s">
        <v>1029</v>
      </c>
      <c r="QS39" s="15" t="s">
        <v>1032</v>
      </c>
      <c r="QX39" s="16" t="s">
        <v>860</v>
      </c>
      <c r="QY39" s="10">
        <f ca="1">SUM(QY21:QY23)</f>
        <v>12050.037214285716</v>
      </c>
      <c r="QZ39" s="18">
        <f ca="1">QY37/QK37</f>
        <v>0.78196766171424004</v>
      </c>
      <c r="RC39" s="27">
        <f ca="1">SUM(RC30:RC32)</f>
        <v>4226.1542857142858</v>
      </c>
      <c r="RF39" s="88"/>
      <c r="RG39" s="93" t="s">
        <v>1030</v>
      </c>
      <c r="RH39" s="88" t="s">
        <v>1031</v>
      </c>
      <c r="RJ39" s="15" t="s">
        <v>1029</v>
      </c>
      <c r="RN39" s="15" t="s">
        <v>1032</v>
      </c>
      <c r="RS39" s="16" t="s">
        <v>860</v>
      </c>
      <c r="RT39" s="10">
        <f ca="1">SUM(RT21:RT23)</f>
        <v>12680.600357142859</v>
      </c>
      <c r="RU39" s="18">
        <f ca="1">RT37/RF37</f>
        <v>0.75180250484003508</v>
      </c>
      <c r="RX39" s="27">
        <f ca="1">SUM(RX30:RX32)</f>
        <v>4098.1442857142856</v>
      </c>
      <c r="SA39" s="88"/>
      <c r="SB39" s="93" t="s">
        <v>1030</v>
      </c>
      <c r="SC39" s="88" t="s">
        <v>1031</v>
      </c>
      <c r="SE39" s="15" t="s">
        <v>1029</v>
      </c>
      <c r="SI39" s="15" t="s">
        <v>1032</v>
      </c>
      <c r="SN39" s="16" t="s">
        <v>860</v>
      </c>
      <c r="SO39" s="10">
        <f ca="1">SUM(SO21:SO23)</f>
        <v>13292.808000000003</v>
      </c>
      <c r="SP39" s="18">
        <f ca="1">SO37/SA37</f>
        <v>0.78152328664176729</v>
      </c>
      <c r="SS39" s="27">
        <f ca="1">SUM(SS30:SS32)</f>
        <v>4350.3749999999991</v>
      </c>
      <c r="SV39" s="88"/>
      <c r="SW39" s="93" t="s">
        <v>1030</v>
      </c>
      <c r="SX39" s="88" t="s">
        <v>1031</v>
      </c>
      <c r="SZ39" s="15" t="s">
        <v>1029</v>
      </c>
      <c r="TD39" s="15" t="s">
        <v>1032</v>
      </c>
      <c r="TI39" s="16" t="s">
        <v>860</v>
      </c>
      <c r="TJ39" s="10">
        <f ca="1">SUM(TJ21:TJ23)</f>
        <v>13923.371250000002</v>
      </c>
      <c r="TK39" s="18">
        <f ca="1">TJ37/SV37</f>
        <v>0.79021370443508043</v>
      </c>
      <c r="TN39" s="27">
        <f ca="1">SUM(TN30:TN32)</f>
        <v>4221.0321428571424</v>
      </c>
      <c r="TQ39" s="88"/>
      <c r="TR39" s="93" t="s">
        <v>1030</v>
      </c>
      <c r="TS39" s="88" t="s">
        <v>1031</v>
      </c>
      <c r="TU39" s="15" t="s">
        <v>1029</v>
      </c>
      <c r="TY39" s="15" t="s">
        <v>1032</v>
      </c>
      <c r="UD39" s="16" t="s">
        <v>860</v>
      </c>
      <c r="UE39" s="10">
        <f ca="1">SUM(UE21:UE23)</f>
        <v>14765.111678571431</v>
      </c>
      <c r="UF39" s="18">
        <f ca="1">UE37/TQ37</f>
        <v>0.80075841606568177</v>
      </c>
      <c r="UI39" s="27">
        <f ca="1">SUM(UI30:UI32)</f>
        <v>5476.3235714285711</v>
      </c>
      <c r="UL39" s="88"/>
      <c r="UM39" s="93" t="s">
        <v>1030</v>
      </c>
      <c r="UN39" s="88" t="s">
        <v>1031</v>
      </c>
      <c r="UP39" s="15" t="s">
        <v>1029</v>
      </c>
      <c r="UT39" s="15" t="s">
        <v>1032</v>
      </c>
      <c r="UY39" s="16" t="s">
        <v>860</v>
      </c>
      <c r="UZ39" s="10">
        <f ca="1">SUM(UZ21:UZ23)</f>
        <v>15553.414392857147</v>
      </c>
      <c r="VA39" s="18">
        <f ca="1">UZ37/UL37</f>
        <v>0.83164857228170208</v>
      </c>
      <c r="VD39" s="27">
        <f ca="1">SUM(VD30:VD32)</f>
        <v>4233.5149999999994</v>
      </c>
      <c r="VG39" s="88"/>
      <c r="VH39" s="93" t="s">
        <v>1030</v>
      </c>
      <c r="VI39" s="88" t="s">
        <v>1031</v>
      </c>
      <c r="VK39" s="15" t="s">
        <v>1029</v>
      </c>
      <c r="VO39" s="15" t="s">
        <v>1032</v>
      </c>
      <c r="VT39" s="16" t="s">
        <v>860</v>
      </c>
      <c r="VU39" s="10">
        <f ca="1">SUM(VU21:VU23)</f>
        <v>16396.083392857145</v>
      </c>
      <c r="VV39" s="18">
        <f ca="1">VU37/VG37</f>
        <v>0.84315632263955054</v>
      </c>
      <c r="VY39" s="27">
        <f ca="1">SUM(VY30:VY32)</f>
        <v>4086.0185714285717</v>
      </c>
      <c r="WB39" s="88"/>
      <c r="WC39" s="93" t="s">
        <v>1030</v>
      </c>
      <c r="WD39" s="88" t="s">
        <v>1031</v>
      </c>
      <c r="WF39" s="15" t="s">
        <v>1029</v>
      </c>
      <c r="WJ39" s="15" t="s">
        <v>1032</v>
      </c>
      <c r="WO39" s="16" t="s">
        <v>860</v>
      </c>
      <c r="WP39" s="10">
        <f ca="1">SUM(WP21:WP23)</f>
        <v>17211.569107142859</v>
      </c>
      <c r="WQ39" s="18">
        <f ca="1">WP37/WB37</f>
        <v>0.84241283896127317</v>
      </c>
      <c r="WT39" s="27">
        <f ca="1">SUM(WT30:WT32)</f>
        <v>4221.8128571428579</v>
      </c>
      <c r="WW39" s="88"/>
      <c r="WX39" s="93" t="s">
        <v>1030</v>
      </c>
      <c r="WY39" s="88" t="s">
        <v>1031</v>
      </c>
      <c r="XA39" s="15" t="s">
        <v>1029</v>
      </c>
      <c r="XE39" s="15" t="s">
        <v>1032</v>
      </c>
      <c r="XJ39" s="16" t="s">
        <v>860</v>
      </c>
      <c r="XK39" s="10">
        <f ca="1">SUM(XK21:XK23)</f>
        <v>18054.23767857143</v>
      </c>
      <c r="XL39" s="18">
        <f ca="1">XK37/WW37</f>
        <v>0.86352329870974287</v>
      </c>
    </row>
    <row r="40" spans="1:636" s="7" customFormat="1" x14ac:dyDescent="0.25">
      <c r="B40" s="8"/>
      <c r="C40" s="9" t="s">
        <v>959</v>
      </c>
      <c r="D40" s="7" t="b">
        <f>EXACT(SUM(D3:D34),D39)</f>
        <v>1</v>
      </c>
      <c r="I40" s="88"/>
      <c r="L40" s="27"/>
      <c r="M40" s="10"/>
      <c r="N40" s="27"/>
      <c r="O40" s="10"/>
      <c r="P40" s="27"/>
      <c r="Q40" s="14"/>
      <c r="R40" s="10"/>
      <c r="S40" s="10"/>
      <c r="T40" s="10"/>
      <c r="U40" s="10"/>
      <c r="V40" s="10"/>
      <c r="W40" s="10"/>
      <c r="Y40" s="14"/>
      <c r="Z40" s="10"/>
      <c r="AA40" s="10"/>
      <c r="AD40" s="88" t="s">
        <v>173</v>
      </c>
      <c r="AG40" s="27"/>
      <c r="AH40" s="10"/>
      <c r="AI40" s="27">
        <f ca="1">AD39</f>
        <v>4284.4464383561644</v>
      </c>
      <c r="AJ40" s="10"/>
      <c r="AK40" s="27">
        <f ca="1">AI40-AK37</f>
        <v>2997.6510958904109</v>
      </c>
      <c r="AL40" s="14"/>
      <c r="AM40" s="10"/>
      <c r="AN40" s="10"/>
      <c r="AO40" s="10">
        <f ca="1">AK40-AO37</f>
        <v>0</v>
      </c>
      <c r="AP40" s="10"/>
      <c r="AQ40" s="10"/>
      <c r="AR40" s="10"/>
      <c r="AT40" s="16" t="s">
        <v>859</v>
      </c>
      <c r="AU40" s="10">
        <f ca="1">AU37-AU39</f>
        <v>4323.6680958904117</v>
      </c>
      <c r="AV40" s="15" t="s">
        <v>1037</v>
      </c>
      <c r="AY40" s="88" t="s">
        <v>173</v>
      </c>
      <c r="BB40" s="27"/>
      <c r="BC40" s="10"/>
      <c r="BD40" s="27">
        <f ca="1">AY39</f>
        <v>4562.2790410958905</v>
      </c>
      <c r="BE40" s="10"/>
      <c r="BF40" s="27">
        <f ca="1">BD40-BF37</f>
        <v>1972.0674360730595</v>
      </c>
      <c r="BG40" s="14"/>
      <c r="BH40" s="10"/>
      <c r="BI40" s="10"/>
      <c r="BJ40" s="10">
        <f ca="1">BF40-BJ37</f>
        <v>0</v>
      </c>
      <c r="BK40" s="10"/>
      <c r="BL40" s="10"/>
      <c r="BM40" s="10"/>
      <c r="BO40" s="16" t="s">
        <v>859</v>
      </c>
      <c r="BP40" s="10">
        <f ca="1">BP37-BP39</f>
        <v>6386.7545319634692</v>
      </c>
      <c r="BQ40" s="15" t="s">
        <v>1037</v>
      </c>
      <c r="BT40" s="88" t="s">
        <v>173</v>
      </c>
      <c r="BW40" s="27"/>
      <c r="BX40" s="10"/>
      <c r="BY40" s="27">
        <f ca="1">BT39</f>
        <v>8343.5135812133085</v>
      </c>
      <c r="BZ40" s="10"/>
      <c r="CA40" s="27">
        <f ca="1">BY40-CA37</f>
        <v>6158.2465006523171</v>
      </c>
      <c r="CB40" s="14"/>
      <c r="CC40" s="10"/>
      <c r="CD40" s="10"/>
      <c r="CE40" s="10">
        <f ca="1">CA40-CE37</f>
        <v>3425.397232919996</v>
      </c>
      <c r="CF40" s="10"/>
      <c r="CG40" s="10"/>
      <c r="CH40" s="10"/>
      <c r="CJ40" s="16" t="s">
        <v>859</v>
      </c>
      <c r="CK40" s="10">
        <f ca="1">CK37-CK39</f>
        <v>8113.2218545335954</v>
      </c>
      <c r="CL40" s="15" t="s">
        <v>1037</v>
      </c>
      <c r="CO40" s="88" t="s">
        <v>173</v>
      </c>
      <c r="CR40" s="27"/>
      <c r="CS40" s="10"/>
      <c r="CT40" s="27">
        <f ca="1">CO39</f>
        <v>5973.3254011741683</v>
      </c>
      <c r="CU40" s="10"/>
      <c r="CV40" s="27">
        <f ca="1">CT40-CV37</f>
        <v>2437.4899791258972</v>
      </c>
      <c r="CW40" s="14"/>
      <c r="CX40" s="10"/>
      <c r="CY40" s="10"/>
      <c r="CZ40" s="10">
        <f ca="1">CV40-CZ37</f>
        <v>206.13262883235529</v>
      </c>
      <c r="DA40" s="10"/>
      <c r="DB40" s="10"/>
      <c r="DC40" s="10"/>
      <c r="DE40" s="16" t="s">
        <v>859</v>
      </c>
      <c r="DF40" s="10">
        <f ca="1">DF37-DF39</f>
        <v>10354.608007175475</v>
      </c>
      <c r="DG40" s="15" t="s">
        <v>1037</v>
      </c>
      <c r="DJ40" s="88" t="s">
        <v>173</v>
      </c>
      <c r="DM40" s="27"/>
      <c r="DN40" s="10"/>
      <c r="DO40" s="27">
        <f ca="1">DJ39</f>
        <v>3347.4850097847361</v>
      </c>
      <c r="DP40" s="10"/>
      <c r="DQ40" s="27">
        <f ca="1">DO40-DQ37</f>
        <v>639.1048816046964</v>
      </c>
      <c r="DR40" s="14"/>
      <c r="DS40" s="10"/>
      <c r="DT40" s="10"/>
      <c r="DU40" s="10">
        <f ca="1">DQ40-DU37</f>
        <v>0</v>
      </c>
      <c r="DV40" s="10"/>
      <c r="DW40" s="10"/>
      <c r="DX40" s="10"/>
      <c r="DZ40" s="16" t="s">
        <v>859</v>
      </c>
      <c r="EA40" s="10">
        <f ca="1">EA37-EA39</f>
        <v>9566.7937791911318</v>
      </c>
      <c r="EB40" s="15" t="s">
        <v>1037</v>
      </c>
      <c r="EE40" s="88" t="s">
        <v>173</v>
      </c>
      <c r="EH40" s="27"/>
      <c r="EI40" s="10"/>
      <c r="EJ40" s="27">
        <f ca="1">EE39</f>
        <v>3841.0315916503582</v>
      </c>
      <c r="EK40" s="10"/>
      <c r="EL40" s="27">
        <f ca="1">EJ40-EL37</f>
        <v>1134.6037410306581</v>
      </c>
      <c r="EM40" s="14"/>
      <c r="EN40" s="10"/>
      <c r="EO40" s="10"/>
      <c r="EP40" s="10">
        <f ca="1">EL40-EP37</f>
        <v>0</v>
      </c>
      <c r="EQ40" s="10"/>
      <c r="ER40" s="10"/>
      <c r="ES40" s="10"/>
      <c r="EU40" s="16" t="s">
        <v>859</v>
      </c>
      <c r="EV40" s="10">
        <f ca="1">EV37-EV39</f>
        <v>9981.3596937377733</v>
      </c>
      <c r="EW40" s="15" t="s">
        <v>1037</v>
      </c>
      <c r="EZ40" s="88" t="s">
        <v>173</v>
      </c>
      <c r="FC40" s="27"/>
      <c r="FD40" s="10"/>
      <c r="FE40" s="27">
        <f ca="1">EZ39</f>
        <v>3548.1047875625131</v>
      </c>
      <c r="FF40" s="10"/>
      <c r="FG40" s="27">
        <f ca="1">FE40-FG37</f>
        <v>629.63552604914048</v>
      </c>
      <c r="FH40" s="14"/>
      <c r="FI40" s="10"/>
      <c r="FJ40" s="10"/>
      <c r="FK40" s="10">
        <f ca="1">FG40-FK37</f>
        <v>0</v>
      </c>
      <c r="FL40" s="10"/>
      <c r="FM40" s="10"/>
      <c r="FN40" s="10"/>
      <c r="FP40" s="16" t="s">
        <v>859</v>
      </c>
      <c r="FQ40" s="10">
        <f ca="1">FQ37-FQ39</f>
        <v>9931.0507768645366</v>
      </c>
      <c r="FR40" s="15" t="s">
        <v>1037</v>
      </c>
      <c r="FU40" s="88" t="s">
        <v>173</v>
      </c>
      <c r="FX40" s="27"/>
      <c r="FY40" s="10"/>
      <c r="FZ40" s="27">
        <f ca="1">FU39</f>
        <v>3577.2733272450541</v>
      </c>
      <c r="GA40" s="10"/>
      <c r="GB40" s="27">
        <f ca="1">FZ40-GB37</f>
        <v>710.34195144596652</v>
      </c>
      <c r="GC40" s="14"/>
      <c r="GD40" s="10"/>
      <c r="GE40" s="10"/>
      <c r="GF40" s="10">
        <f ca="1">GB40-GF37</f>
        <v>0</v>
      </c>
      <c r="GG40" s="10"/>
      <c r="GH40" s="10"/>
      <c r="GI40" s="10"/>
      <c r="GK40" s="16" t="s">
        <v>859</v>
      </c>
      <c r="GL40" s="10">
        <f ca="1">GL37-GL39</f>
        <v>9592.2539520547944</v>
      </c>
      <c r="GM40" s="15" t="s">
        <v>1037</v>
      </c>
      <c r="GP40" s="88" t="s">
        <v>173</v>
      </c>
      <c r="GS40" s="27"/>
      <c r="GT40" s="10"/>
      <c r="GU40" s="27">
        <f ca="1">GP39</f>
        <v>3673.602544031311</v>
      </c>
      <c r="GV40" s="10"/>
      <c r="GW40" s="27">
        <f ca="1">GU40-GW37</f>
        <v>721.62521722113388</v>
      </c>
      <c r="GX40" s="14"/>
      <c r="GY40" s="10"/>
      <c r="GZ40" s="10"/>
      <c r="HA40" s="10">
        <f ca="1">GW40-HA37</f>
        <v>0</v>
      </c>
      <c r="HB40" s="10"/>
      <c r="HC40" s="10"/>
      <c r="HD40" s="10"/>
      <c r="HF40" s="16" t="s">
        <v>859</v>
      </c>
      <c r="HG40" s="10">
        <f ca="1">HG37-HG39</f>
        <v>9187.2043427919125</v>
      </c>
      <c r="HH40" s="15" t="s">
        <v>1037</v>
      </c>
      <c r="HK40" s="88" t="s">
        <v>173</v>
      </c>
      <c r="HN40" s="27"/>
      <c r="HO40" s="10"/>
      <c r="HP40" s="27">
        <f ca="1">HK39</f>
        <v>3799.8278669275933</v>
      </c>
      <c r="HQ40" s="10"/>
      <c r="HR40" s="27">
        <f ca="1">HP40-HR37</f>
        <v>886.33314350945921</v>
      </c>
      <c r="HS40" s="14"/>
      <c r="HT40" s="10"/>
      <c r="HU40" s="10"/>
      <c r="HV40" s="10">
        <f ca="1">HR40-HV37</f>
        <v>0</v>
      </c>
      <c r="HW40" s="10"/>
      <c r="HX40" s="10"/>
      <c r="HY40" s="10"/>
      <c r="IA40" s="16" t="s">
        <v>859</v>
      </c>
      <c r="IB40" s="10">
        <f ca="1">IB37-IB39</f>
        <v>8514.4400433789961</v>
      </c>
      <c r="IC40" s="15" t="s">
        <v>1037</v>
      </c>
      <c r="IF40" s="88" t="s">
        <v>173</v>
      </c>
      <c r="II40" s="27"/>
      <c r="IJ40" s="10"/>
      <c r="IK40" s="27">
        <f ca="1">IF39</f>
        <v>3820.6954011741682</v>
      </c>
      <c r="IL40" s="10"/>
      <c r="IM40" s="27">
        <f ca="1">IK40-IM37</f>
        <v>967.21497912589621</v>
      </c>
      <c r="IN40" s="14"/>
      <c r="IO40" s="10"/>
      <c r="IP40" s="10"/>
      <c r="IQ40" s="10">
        <f ca="1">IM40-IQ37</f>
        <v>0</v>
      </c>
      <c r="IR40" s="10"/>
      <c r="IS40" s="10"/>
      <c r="IT40" s="10"/>
      <c r="IV40" s="16" t="s">
        <v>859</v>
      </c>
      <c r="IW40" s="10">
        <f ca="1">IW37-IW39</f>
        <v>8241.1378626875394</v>
      </c>
      <c r="IX40" s="15" t="s">
        <v>1037</v>
      </c>
      <c r="JA40" s="88" t="s">
        <v>173</v>
      </c>
      <c r="JD40" s="27"/>
      <c r="JE40" s="10"/>
      <c r="JF40" s="27">
        <f ca="1">JA39</f>
        <v>3662.2907240704499</v>
      </c>
      <c r="JG40" s="10"/>
      <c r="JH40" s="27">
        <f ca="1">JF40-JH37</f>
        <v>767.65540541422024</v>
      </c>
      <c r="JI40" s="14"/>
      <c r="JJ40" s="10"/>
      <c r="JK40" s="10"/>
      <c r="JL40" s="10">
        <f ca="1">JH40-JL37</f>
        <v>0</v>
      </c>
      <c r="JM40" s="10"/>
      <c r="JN40" s="10"/>
      <c r="JO40" s="10"/>
      <c r="JQ40" s="16" t="s">
        <v>859</v>
      </c>
      <c r="JR40" s="10">
        <f ca="1">JR37-JR39</f>
        <v>7988.6514918460525</v>
      </c>
      <c r="JS40" s="15" t="s">
        <v>1037</v>
      </c>
      <c r="JV40" s="88" t="s">
        <v>173</v>
      </c>
      <c r="JY40" s="27"/>
      <c r="JZ40" s="10"/>
      <c r="KA40" s="27">
        <f ca="1">JV39</f>
        <v>4264.2642857142864</v>
      </c>
      <c r="KB40" s="10"/>
      <c r="KC40" s="27">
        <f ca="1">KA40-KC37</f>
        <v>1372.3434761904759</v>
      </c>
      <c r="KD40" s="14"/>
      <c r="KE40" s="10"/>
      <c r="KF40" s="10"/>
      <c r="KG40" s="10">
        <f ca="1">KC40-KG37</f>
        <v>0</v>
      </c>
      <c r="KH40" s="10"/>
      <c r="KI40" s="10"/>
      <c r="KJ40" s="10"/>
      <c r="KL40" s="16" t="s">
        <v>859</v>
      </c>
      <c r="KM40" s="10">
        <f ca="1">KM37-KM39</f>
        <v>8557.5161917808236</v>
      </c>
      <c r="KN40" s="15" t="s">
        <v>1037</v>
      </c>
      <c r="KQ40" s="88" t="s">
        <v>173</v>
      </c>
      <c r="KT40" s="27"/>
      <c r="KU40" s="10"/>
      <c r="KV40" s="27">
        <f ca="1">KQ39</f>
        <v>3795.79</v>
      </c>
      <c r="KW40" s="10"/>
      <c r="KX40" s="27">
        <f ca="1">KV40-KX37</f>
        <v>1302.0210000000002</v>
      </c>
      <c r="KY40" s="14"/>
      <c r="KZ40" s="10"/>
      <c r="LA40" s="10"/>
      <c r="LB40" s="10">
        <f ca="1">KX40-LB37</f>
        <v>0</v>
      </c>
      <c r="LC40" s="10"/>
      <c r="LD40" s="10"/>
      <c r="LE40" s="10"/>
      <c r="LG40" s="16" t="s">
        <v>859</v>
      </c>
      <c r="LH40" s="10">
        <f ca="1">LH37-LH39</f>
        <v>9158.2289315068483</v>
      </c>
      <c r="LI40" s="15" t="s">
        <v>1037</v>
      </c>
      <c r="LL40" s="88" t="s">
        <v>173</v>
      </c>
      <c r="LO40" s="27"/>
      <c r="LP40" s="10"/>
      <c r="LQ40" s="27">
        <f ca="1">LL39</f>
        <v>4199.4971428571434</v>
      </c>
      <c r="LR40" s="10"/>
      <c r="LS40" s="27">
        <f ca="1">LQ40-LS37</f>
        <v>1131.8662380952383</v>
      </c>
      <c r="LT40" s="14"/>
      <c r="LU40" s="10"/>
      <c r="LV40" s="10"/>
      <c r="LW40" s="10">
        <f ca="1">LS40-LW37</f>
        <v>0</v>
      </c>
      <c r="LX40" s="10"/>
      <c r="LY40" s="10"/>
      <c r="LZ40" s="10"/>
      <c r="MB40" s="16" t="s">
        <v>859</v>
      </c>
      <c r="MC40" s="10">
        <f ca="1">MC37-MC39</f>
        <v>8870.512813437701</v>
      </c>
      <c r="MD40" s="15" t="s">
        <v>1037</v>
      </c>
      <c r="MG40" s="88" t="s">
        <v>173</v>
      </c>
      <c r="MJ40" s="27"/>
      <c r="MK40" s="10"/>
      <c r="ML40" s="27">
        <f ca="1">MG39</f>
        <v>4081.2828571428572</v>
      </c>
      <c r="MM40" s="10"/>
      <c r="MN40" s="27">
        <f ca="1">ML40-MN37</f>
        <v>1057.2307777198466</v>
      </c>
      <c r="MO40" s="14"/>
      <c r="MP40" s="10"/>
      <c r="MQ40" s="10"/>
      <c r="MR40" s="10">
        <f ca="1">MN40-MR37</f>
        <v>0</v>
      </c>
      <c r="MS40" s="10"/>
      <c r="MT40" s="10"/>
      <c r="MU40" s="10"/>
      <c r="MW40" s="16" t="s">
        <v>859</v>
      </c>
      <c r="MX40" s="10">
        <f ca="1">MX37-MX39</f>
        <v>6361.1103126187354</v>
      </c>
      <c r="MY40" s="15" t="s">
        <v>1037</v>
      </c>
      <c r="NB40" s="88" t="s">
        <v>173</v>
      </c>
      <c r="NE40" s="27"/>
      <c r="NF40" s="10"/>
      <c r="NG40" s="27">
        <f ca="1">NB39</f>
        <v>5766.9</v>
      </c>
      <c r="NH40" s="10"/>
      <c r="NI40" s="27">
        <f ca="1">NG40-NI37</f>
        <v>2866.7407972601286</v>
      </c>
      <c r="NJ40" s="14"/>
      <c r="NK40" s="10"/>
      <c r="NL40" s="10"/>
      <c r="NM40" s="10">
        <f ca="1">NI40-NM37</f>
        <v>505.49182024261609</v>
      </c>
      <c r="NN40" s="10"/>
      <c r="NO40" s="10"/>
      <c r="NP40" s="10"/>
      <c r="NR40" s="16" t="s">
        <v>859</v>
      </c>
      <c r="NS40" s="10">
        <f ca="1">NS37-NS39</f>
        <v>8260.9715664998675</v>
      </c>
      <c r="NT40" s="15" t="s">
        <v>1037</v>
      </c>
      <c r="NW40" s="88" t="s">
        <v>173</v>
      </c>
      <c r="NZ40" s="27"/>
      <c r="OA40" s="10"/>
      <c r="OB40" s="27">
        <f ca="1">NW39</f>
        <v>4068.6200000000003</v>
      </c>
      <c r="OC40" s="10"/>
      <c r="OD40" s="27">
        <f ca="1">OB40-OD37</f>
        <v>1381.3077404527662</v>
      </c>
      <c r="OE40" s="14"/>
      <c r="OF40" s="10"/>
      <c r="OG40" s="10"/>
      <c r="OH40" s="10">
        <f ca="1">OD40-OH37</f>
        <v>0</v>
      </c>
      <c r="OI40" s="10"/>
      <c r="OJ40" s="10"/>
      <c r="OK40" s="10"/>
      <c r="OM40" s="16" t="s">
        <v>859</v>
      </c>
      <c r="ON40" s="10">
        <f ca="1">ON37-ON39</f>
        <v>9074.4986950804887</v>
      </c>
      <c r="OO40" s="15" t="s">
        <v>1037</v>
      </c>
      <c r="OR40" s="88" t="s">
        <v>173</v>
      </c>
      <c r="OU40" s="27"/>
      <c r="OV40" s="10"/>
      <c r="OW40" s="27">
        <f ca="1">OR39</f>
        <v>4244.54</v>
      </c>
      <c r="OX40" s="10"/>
      <c r="OY40" s="27">
        <f ca="1">OW40-OY37</f>
        <v>985.91918856447637</v>
      </c>
      <c r="OZ40" s="14"/>
      <c r="PA40" s="10"/>
      <c r="PB40" s="10"/>
      <c r="PC40" s="10">
        <f ca="1">OY40-PC37</f>
        <v>0</v>
      </c>
      <c r="PD40" s="10"/>
      <c r="PE40" s="10"/>
      <c r="PF40" s="10"/>
      <c r="PH40" s="16" t="s">
        <v>859</v>
      </c>
      <c r="PI40" s="10">
        <f ca="1">PI37-PI39</f>
        <v>9020.506673599295</v>
      </c>
      <c r="PJ40" s="15" t="s">
        <v>1037</v>
      </c>
      <c r="PM40" s="88" t="s">
        <v>173</v>
      </c>
      <c r="PP40" s="27"/>
      <c r="PQ40" s="10"/>
      <c r="PR40" s="27">
        <f ca="1">PM39</f>
        <v>4230.9171428571426</v>
      </c>
      <c r="PS40" s="10"/>
      <c r="PT40" s="27">
        <f ca="1">PR40-PT37</f>
        <v>1252.3144266597151</v>
      </c>
      <c r="PU40" s="14"/>
      <c r="PV40" s="10"/>
      <c r="PW40" s="10"/>
      <c r="PX40" s="10">
        <f ca="1">PT40-PX37</f>
        <v>0</v>
      </c>
      <c r="PY40" s="10"/>
      <c r="PZ40" s="10"/>
      <c r="QA40" s="10"/>
      <c r="QC40" s="16" t="s">
        <v>859</v>
      </c>
      <c r="QD40" s="10">
        <f ca="1">QD37-QD39</f>
        <v>8895.8108902133554</v>
      </c>
      <c r="QE40" s="15" t="s">
        <v>1037</v>
      </c>
      <c r="QH40" s="88" t="s">
        <v>173</v>
      </c>
      <c r="QK40" s="27"/>
      <c r="QL40" s="10"/>
      <c r="QM40" s="27">
        <f ca="1">QH39</f>
        <v>4088.7142857142858</v>
      </c>
      <c r="QN40" s="10"/>
      <c r="QO40" s="27">
        <f ca="1">QM40-QO37</f>
        <v>1294.5339920055626</v>
      </c>
      <c r="QP40" s="14"/>
      <c r="QQ40" s="10"/>
      <c r="QR40" s="10"/>
      <c r="QS40" s="10">
        <f ca="1">QO40-QS37</f>
        <v>0</v>
      </c>
      <c r="QT40" s="10"/>
      <c r="QU40" s="10"/>
      <c r="QV40" s="10"/>
      <c r="QX40" s="16" t="s">
        <v>859</v>
      </c>
      <c r="QY40" s="10">
        <f ca="1">QY37-QY39</f>
        <v>9222.1266036801062</v>
      </c>
      <c r="QZ40" s="15" t="s">
        <v>1037</v>
      </c>
      <c r="RC40" s="88" t="s">
        <v>173</v>
      </c>
      <c r="RF40" s="27"/>
      <c r="RG40" s="10"/>
      <c r="RH40" s="27">
        <f ca="1">RC39</f>
        <v>4226.1542857142858</v>
      </c>
      <c r="RI40" s="10"/>
      <c r="RJ40" s="27">
        <f ca="1">RH40-RJ37</f>
        <v>1089.2084980882864</v>
      </c>
      <c r="RK40" s="14"/>
      <c r="RL40" s="10"/>
      <c r="RM40" s="10"/>
      <c r="RN40" s="10">
        <f ca="1">RJ40-RN37</f>
        <v>0</v>
      </c>
      <c r="RO40" s="10"/>
      <c r="RP40" s="10"/>
      <c r="RQ40" s="10"/>
      <c r="RS40" s="16" t="s">
        <v>859</v>
      </c>
      <c r="RT40" s="10">
        <f ca="1">RT37-RT39</f>
        <v>8371.4438917227235</v>
      </c>
      <c r="RU40" s="15" t="s">
        <v>1037</v>
      </c>
      <c r="RX40" s="88" t="s">
        <v>173</v>
      </c>
      <c r="SA40" s="27"/>
      <c r="SB40" s="10"/>
      <c r="SC40" s="27">
        <f ca="1">RX39</f>
        <v>4098.1442857142856</v>
      </c>
      <c r="SD40" s="10"/>
      <c r="SE40" s="27">
        <f ca="1">SC40-SE37</f>
        <v>1349.9658253388948</v>
      </c>
      <c r="SF40" s="14"/>
      <c r="SG40" s="10"/>
      <c r="SH40" s="10"/>
      <c r="SI40" s="10">
        <f ca="1">SE40-SI37</f>
        <v>0</v>
      </c>
      <c r="SJ40" s="10"/>
      <c r="SK40" s="10"/>
      <c r="SL40" s="10"/>
      <c r="SN40" s="16" t="s">
        <v>859</v>
      </c>
      <c r="SO40" s="10">
        <f ca="1">SO37-SO39</f>
        <v>9197.5227718561418</v>
      </c>
      <c r="SP40" s="15" t="s">
        <v>1037</v>
      </c>
      <c r="SS40" s="88" t="s">
        <v>173</v>
      </c>
      <c r="SV40" s="27"/>
      <c r="SW40" s="10"/>
      <c r="SX40" s="27">
        <f ca="1">SS39</f>
        <v>4350.3749999999991</v>
      </c>
      <c r="SY40" s="10"/>
      <c r="SZ40" s="27">
        <f ca="1">SX40-SZ37</f>
        <v>1280.5219324817508</v>
      </c>
      <c r="TA40" s="14"/>
      <c r="TB40" s="10"/>
      <c r="TC40" s="10"/>
      <c r="TD40" s="10">
        <f ca="1">SZ40-TD37</f>
        <v>0</v>
      </c>
      <c r="TE40" s="10"/>
      <c r="TF40" s="10"/>
      <c r="TG40" s="10"/>
      <c r="TI40" s="16" t="s">
        <v>859</v>
      </c>
      <c r="TJ40" s="10">
        <f ca="1">TJ37-TJ39</f>
        <v>9448.2028276255642</v>
      </c>
      <c r="TK40" s="15" t="s">
        <v>1037</v>
      </c>
      <c r="TN40" s="88" t="s">
        <v>173</v>
      </c>
      <c r="TQ40" s="27"/>
      <c r="TR40" s="10"/>
      <c r="TS40" s="27">
        <f ca="1">TN39</f>
        <v>4221.0321428571424</v>
      </c>
      <c r="TT40" s="10"/>
      <c r="TU40" s="27">
        <f ca="1">TS40-TU37</f>
        <v>1021.4167142857127</v>
      </c>
      <c r="TV40" s="14"/>
      <c r="TW40" s="10"/>
      <c r="TX40" s="10"/>
      <c r="TY40" s="10">
        <f ca="1">TU40-TY37</f>
        <v>0</v>
      </c>
      <c r="TZ40" s="10"/>
      <c r="UA40" s="10"/>
      <c r="UB40" s="10"/>
      <c r="UD40" s="16" t="s">
        <v>859</v>
      </c>
      <c r="UE40" s="10">
        <f ca="1">UE37-UE39</f>
        <v>9861.9786651989471</v>
      </c>
      <c r="UF40" s="15" t="s">
        <v>1037</v>
      </c>
      <c r="UI40" s="88" t="s">
        <v>173</v>
      </c>
      <c r="UL40" s="27"/>
      <c r="UM40" s="10"/>
      <c r="UN40" s="27">
        <f ca="1">UI39</f>
        <v>5476.3235714285711</v>
      </c>
      <c r="UO40" s="10"/>
      <c r="UP40" s="27">
        <f ca="1">UN40-UP37</f>
        <v>2302.8564893267644</v>
      </c>
      <c r="UQ40" s="14"/>
      <c r="UR40" s="10"/>
      <c r="US40" s="10"/>
      <c r="UT40" s="10">
        <f ca="1">UP40-UT37</f>
        <v>330.39442974112467</v>
      </c>
      <c r="UU40" s="10"/>
      <c r="UV40" s="10"/>
      <c r="UW40" s="10"/>
      <c r="UY40" s="16" t="s">
        <v>859</v>
      </c>
      <c r="UZ40" s="10">
        <f ca="1">UZ37-UZ39</f>
        <v>10941.520807493747</v>
      </c>
      <c r="VA40" s="15" t="s">
        <v>1037</v>
      </c>
      <c r="VD40" s="88" t="s">
        <v>173</v>
      </c>
      <c r="VG40" s="27"/>
      <c r="VH40" s="10"/>
      <c r="VI40" s="27">
        <f ca="1">VD39</f>
        <v>4233.5149999999994</v>
      </c>
      <c r="VJ40" s="10"/>
      <c r="VK40" s="27">
        <f ca="1">VI40-VK37</f>
        <v>995.19970114942544</v>
      </c>
      <c r="VL40" s="14"/>
      <c r="VM40" s="10"/>
      <c r="VN40" s="10"/>
      <c r="VO40" s="10">
        <f ca="1">VK40-VO37</f>
        <v>0</v>
      </c>
      <c r="VP40" s="10"/>
      <c r="VQ40" s="10"/>
      <c r="VR40" s="10"/>
      <c r="VT40" s="16" t="s">
        <v>859</v>
      </c>
      <c r="VU40" s="10">
        <f ca="1">VU37-VU39</f>
        <v>11460.171896771029</v>
      </c>
      <c r="VV40" s="15" t="s">
        <v>1037</v>
      </c>
      <c r="VY40" s="88" t="s">
        <v>173</v>
      </c>
      <c r="WB40" s="27"/>
      <c r="WC40" s="10"/>
      <c r="WD40" s="27">
        <f ca="1">VY39</f>
        <v>4086.0185714285717</v>
      </c>
      <c r="WE40" s="10"/>
      <c r="WF40" s="27">
        <f ca="1">WD40-WF37</f>
        <v>833.42452380952363</v>
      </c>
      <c r="WG40" s="14"/>
      <c r="WH40" s="10"/>
      <c r="WI40" s="10"/>
      <c r="WJ40" s="10">
        <f ca="1">WF40-WJ37</f>
        <v>0</v>
      </c>
      <c r="WK40" s="10"/>
      <c r="WL40" s="10"/>
      <c r="WM40" s="10"/>
      <c r="WO40" s="16" t="s">
        <v>859</v>
      </c>
      <c r="WP40" s="10">
        <f ca="1">WP37-WP39</f>
        <v>11581.888808708409</v>
      </c>
      <c r="WQ40" s="15" t="s">
        <v>1037</v>
      </c>
      <c r="WT40" s="88" t="s">
        <v>173</v>
      </c>
      <c r="WW40" s="27"/>
      <c r="WX40" s="10"/>
      <c r="WY40" s="27">
        <f ca="1">WT39</f>
        <v>4221.8128571428579</v>
      </c>
      <c r="WZ40" s="10"/>
      <c r="XA40" s="27">
        <f ca="1">WY40-XA37</f>
        <v>1144.5720061443944</v>
      </c>
      <c r="XB40" s="14"/>
      <c r="XC40" s="10"/>
      <c r="XD40" s="10"/>
      <c r="XE40" s="10">
        <f ca="1">XA40-XE37</f>
        <v>0</v>
      </c>
      <c r="XF40" s="10"/>
      <c r="XG40" s="10"/>
      <c r="XH40" s="10"/>
      <c r="XJ40" s="16" t="s">
        <v>859</v>
      </c>
      <c r="XK40" s="10">
        <f ca="1">XK37-XK39</f>
        <v>12479.499938140474</v>
      </c>
      <c r="XL40" s="15" t="s">
        <v>1037</v>
      </c>
    </row>
    <row r="41" spans="1:636" s="7" customFormat="1" x14ac:dyDescent="0.25">
      <c r="I41" s="27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Z41" s="10"/>
      <c r="AA41" s="10"/>
      <c r="AD41" s="27">
        <f ca="1">AD39+AD37</f>
        <v>2522.2780958904114</v>
      </c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U41" s="99" t="s">
        <v>168</v>
      </c>
      <c r="AV41" s="10" t="str">
        <f ca="1">IF(MAX(AV3:AV29)&gt;1,"WARNING","ok")</f>
        <v>ok</v>
      </c>
      <c r="AY41" s="27">
        <f ca="1">AY39+AY37</f>
        <v>2501.4269360730596</v>
      </c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P41" s="99" t="s">
        <v>168</v>
      </c>
      <c r="BQ41" s="10" t="str">
        <f ca="1">IF(MAX(BQ3:BQ29)&gt;1,"WARNING","ok")</f>
        <v>ok</v>
      </c>
      <c r="BT41" s="27">
        <f ca="1">BT39+BT37</f>
        <v>2362.0003939986973</v>
      </c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K41" s="99" t="s">
        <v>168</v>
      </c>
      <c r="CL41" s="10" t="str">
        <f ca="1">IF(MAX(CL3:CL29)&gt;1,"WARNING","ok")</f>
        <v>ok</v>
      </c>
      <c r="CO41" s="27">
        <f ca="1">CO39+CO37</f>
        <v>2853.2318669275924</v>
      </c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F41" s="99" t="s">
        <v>168</v>
      </c>
      <c r="DG41" s="10" t="str">
        <f ca="1">IF(MAX(DG3:DG29)&gt;1,"WARNING","ok")</f>
        <v>ok</v>
      </c>
      <c r="DJ41" s="27">
        <f ca="1">DJ39+DJ37</f>
        <v>-190.68244227005835</v>
      </c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EA41" s="99" t="s">
        <v>168</v>
      </c>
      <c r="EB41" s="10" t="str">
        <f ca="1">IF(MAX(EB3:EB29)&gt;1,"WARNING","ok")</f>
        <v>ok</v>
      </c>
      <c r="EE41" s="27">
        <f ca="1">EE39+EE37</f>
        <v>985.78805740378266</v>
      </c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V41" s="99" t="s">
        <v>168</v>
      </c>
      <c r="EW41" s="10" t="str">
        <f ca="1">IF(MAX(EW3:EW29)&gt;1,"WARNING","ok")</f>
        <v>ok</v>
      </c>
      <c r="EZ41" s="27">
        <f ca="1">EZ39+EZ37</f>
        <v>540.02633550771907</v>
      </c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Q41" s="99" t="s">
        <v>168</v>
      </c>
      <c r="FR41" s="10" t="str">
        <f ca="1">IF(MAX(FR3:FR29)&gt;1,"WARNING","ok")</f>
        <v>ok</v>
      </c>
      <c r="FU41" s="27">
        <f ca="1">FU39+FU37</f>
        <v>253.89020852359272</v>
      </c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L41" s="99" t="s">
        <v>168</v>
      </c>
      <c r="GM41" s="10" t="str">
        <f ca="1">IF(MAX(GM3:GM29)&gt;1,"WARNING","ok")</f>
        <v>ok</v>
      </c>
      <c r="GP41" s="27">
        <f ca="1">GP39+GP37</f>
        <v>201.32667645140236</v>
      </c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G41" s="99" t="s">
        <v>168</v>
      </c>
      <c r="HH41" s="10" t="str">
        <f ca="1">IF(MAX(HH3:HH29)&gt;1,"WARNING","ok")</f>
        <v>ok</v>
      </c>
      <c r="HK41" s="27">
        <f ca="1">HK39+HK37</f>
        <v>-46.170585127201321</v>
      </c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B41" s="99" t="s">
        <v>168</v>
      </c>
      <c r="IC41" s="10" t="str">
        <f ca="1">IF(MAX(IC3:IC29)&gt;1,"WARNING","ok")</f>
        <v>ok</v>
      </c>
      <c r="IF41" s="27">
        <f ca="1">IF39+IF37</f>
        <v>354.45553359425958</v>
      </c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W41" s="99" t="s">
        <v>168</v>
      </c>
      <c r="IX41" s="10" t="str">
        <f ca="1">IF(MAX(IX3:IX29)&gt;1,"WARNING","ok")</f>
        <v>ok</v>
      </c>
      <c r="JA41" s="27">
        <f ca="1">JA39+JA37</f>
        <v>353.89527201565488</v>
      </c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R41" s="99" t="s">
        <v>168</v>
      </c>
      <c r="JS41" s="10" t="str">
        <f ca="1">IF(MAX(JS3:JS29)&gt;1,"WARNING","ok")</f>
        <v>ok</v>
      </c>
      <c r="JV41" s="27">
        <f ca="1">JV39+JV37</f>
        <v>1197.0608427919124</v>
      </c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M41" s="99" t="s">
        <v>168</v>
      </c>
      <c r="KN41" s="10" t="str">
        <f ca="1">IF(MAX(KN3:KN29)&gt;1,"WARNING","ok")</f>
        <v>ok</v>
      </c>
      <c r="KQ41" s="27">
        <f ca="1">KQ39+KQ37</f>
        <v>1168.2167397260264</v>
      </c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H41" s="99" t="s">
        <v>168</v>
      </c>
      <c r="LI41" s="10" t="str">
        <f ca="1">IF(MAX(LI3:LI29)&gt;1,"WARNING","ok")</f>
        <v>ok</v>
      </c>
      <c r="LL41" s="27">
        <f ca="1">LL39+LL37</f>
        <v>340.58845335942669</v>
      </c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C41" s="99" t="s">
        <v>168</v>
      </c>
      <c r="MD41" s="10" t="str">
        <f ca="1">IF(MAX(MD3:MD29)&gt;1,"WARNING","ok")</f>
        <v>ok</v>
      </c>
      <c r="MG41" s="27">
        <f ca="1">MG39+MG37</f>
        <v>-1901.3635722475383</v>
      </c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X41" s="99" t="s">
        <v>168</v>
      </c>
      <c r="MY41" s="10" t="str">
        <f ca="1">IF(MAX(MY3:MY29)&gt;1,"WARNING","ok")</f>
        <v>ok</v>
      </c>
      <c r="NB41" s="27">
        <f ca="1">NB39+NB37</f>
        <v>2528.1677538811336</v>
      </c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S41" s="99" t="s">
        <v>168</v>
      </c>
      <c r="NT41" s="10" t="str">
        <f ca="1">IF(MAX(NT3:NT29)&gt;1,"WARNING","ok")</f>
        <v>ok</v>
      </c>
      <c r="NW41" s="27">
        <f ca="1">NW39+NW37</f>
        <v>1421.5656285806203</v>
      </c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N41" s="99" t="s">
        <v>168</v>
      </c>
      <c r="OO41" s="10" t="str">
        <f ca="1">IF(MAX(OO3:OO29)&gt;1,"WARNING","ok")</f>
        <v>ok</v>
      </c>
      <c r="OR41" s="27">
        <f ca="1">OR39+OR37</f>
        <v>582.66647851881498</v>
      </c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I41" s="99" t="s">
        <v>168</v>
      </c>
      <c r="PJ41" s="10" t="str">
        <f ca="1">IF(MAX(PJ3:PJ29)&gt;1,"WARNING","ok")</f>
        <v>ok</v>
      </c>
      <c r="PM41" s="27">
        <f ca="1">PM39+PM37</f>
        <v>505.86628804262455</v>
      </c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D41" s="99" t="s">
        <v>168</v>
      </c>
      <c r="QE41" s="10" t="str">
        <f ca="1">IF(MAX(QE3:QE29)&gt;1,"WARNING","ok")</f>
        <v>ok</v>
      </c>
      <c r="QH41" s="27">
        <f ca="1">QH39+QH37</f>
        <v>936.53885632389165</v>
      </c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Y41" s="99" t="s">
        <v>168</v>
      </c>
      <c r="QZ41" s="10" t="str">
        <f ca="1">IF(MAX(QZ3:QZ29)&gt;1,"WARNING","ok")</f>
        <v>ok</v>
      </c>
      <c r="RC41" s="27">
        <f ca="1">RC39+RC37</f>
        <v>-220.11956910023218</v>
      </c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T41" s="99" t="s">
        <v>168</v>
      </c>
      <c r="RU41" s="10" t="str">
        <f ca="1">IF(MAX(RU3:RU29)&gt;1,"WARNING","ok")</f>
        <v>ok</v>
      </c>
      <c r="RX41" s="27">
        <f ca="1">RX39+RX37</f>
        <v>1438.2865229905578</v>
      </c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O41" s="99" t="s">
        <v>168</v>
      </c>
      <c r="SP41" s="10" t="str">
        <f ca="1">IF(MAX(SP3:SP29)&gt;1,"WARNING","ok")</f>
        <v>ok</v>
      </c>
      <c r="SS41" s="27">
        <f ca="1">SS39+SS37</f>
        <v>881.24330576942157</v>
      </c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J41" s="99" t="s">
        <v>168</v>
      </c>
      <c r="TK41" s="10" t="str">
        <f ca="1">IF(MAX(TK3:TK29)&gt;1,"WARNING","ok")</f>
        <v>ok</v>
      </c>
      <c r="TN41" s="27">
        <f ca="1">TN39+TN37</f>
        <v>1255.5162661448135</v>
      </c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E41" s="99" t="s">
        <v>168</v>
      </c>
      <c r="UF41" s="10" t="str">
        <f ca="1">IF(MAX(UF3:UF29)&gt;1,"WARNING","ok")</f>
        <v>ok</v>
      </c>
      <c r="UI41" s="27">
        <f ca="1">UI39+UI37</f>
        <v>1867.8448565805152</v>
      </c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Z41" s="99" t="s">
        <v>168</v>
      </c>
      <c r="VA41" s="10" t="str">
        <f ca="1">IF(MAX(VA3:VA29)&gt;1,"WARNING","ok")</f>
        <v>ok</v>
      </c>
      <c r="VD41" s="27">
        <f ca="1">VD39+VD37</f>
        <v>1361.3200892772784</v>
      </c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U41" s="99" t="s">
        <v>168</v>
      </c>
      <c r="VV41" s="10" t="str">
        <f ca="1">IF(MAX(VV3:VV29)&gt;1,"WARNING","ok")</f>
        <v>ok</v>
      </c>
      <c r="VY41" s="27">
        <f ca="1">VY39+VY37</f>
        <v>937.20262622309201</v>
      </c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P41" s="99" t="s">
        <v>168</v>
      </c>
      <c r="WQ41" s="10" t="str">
        <f ca="1">IF(MAX(WQ3:WQ29)&gt;1,"WARNING","ok")</f>
        <v>ok</v>
      </c>
      <c r="WT41" s="27">
        <f ca="1">WT39+WT37</f>
        <v>1740.2797008606367</v>
      </c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K41" s="99" t="s">
        <v>168</v>
      </c>
      <c r="XL41" s="10" t="str">
        <f ca="1">IF(MAX(XL3:XL29)&gt;1,"WARNING","ok")</f>
        <v>ok</v>
      </c>
    </row>
    <row r="42" spans="1:636" s="7" customFormat="1" x14ac:dyDescent="0.25">
      <c r="I42" s="88"/>
      <c r="J42" s="10"/>
      <c r="K42" s="10"/>
      <c r="L42" s="10"/>
      <c r="M42" s="10"/>
      <c r="N42" s="10"/>
      <c r="O42" s="10"/>
      <c r="Q42" s="15"/>
      <c r="S42" s="15"/>
      <c r="T42" s="15"/>
      <c r="U42" s="8"/>
      <c r="V42" s="8"/>
      <c r="X42" s="10"/>
      <c r="Z42" s="20"/>
      <c r="AA42" s="10"/>
      <c r="AD42" s="88" t="s">
        <v>374</v>
      </c>
      <c r="AE42" s="10"/>
      <c r="AF42" s="10"/>
      <c r="AG42" s="10"/>
      <c r="AH42" s="10"/>
      <c r="AI42" s="10"/>
      <c r="AJ42" s="10"/>
      <c r="AL42" s="15"/>
      <c r="AN42" s="15"/>
      <c r="AO42" s="15"/>
      <c r="AP42" s="8"/>
      <c r="AQ42" s="8"/>
      <c r="AS42" s="10"/>
      <c r="AT42" s="8" t="s">
        <v>170</v>
      </c>
      <c r="AU42" s="101" t="str">
        <f ca="1">IF(AT37&lt;&gt;AO40,"WARNING: " &amp; (AT37-AO40),"ok")</f>
        <v>ok</v>
      </c>
      <c r="AV42" s="15" t="s">
        <v>1038</v>
      </c>
      <c r="AY42" s="88" t="s">
        <v>374</v>
      </c>
      <c r="AZ42" s="10"/>
      <c r="BA42" s="10"/>
      <c r="BB42" s="10"/>
      <c r="BC42" s="10"/>
      <c r="BD42" s="10"/>
      <c r="BE42" s="10"/>
      <c r="BG42" s="15"/>
      <c r="BI42" s="15"/>
      <c r="BJ42" s="15"/>
      <c r="BK42" s="8"/>
      <c r="BL42" s="8"/>
      <c r="BN42" s="10"/>
      <c r="BO42" s="8" t="s">
        <v>170</v>
      </c>
      <c r="BP42" s="101" t="str">
        <f ca="1">IF(BO37&lt;&gt;BJ40,"WARNING: " &amp; (BO37-BJ40),"ok")</f>
        <v>ok</v>
      </c>
      <c r="BQ42" s="15" t="s">
        <v>1038</v>
      </c>
      <c r="BT42" s="88" t="s">
        <v>374</v>
      </c>
      <c r="BU42" s="10"/>
      <c r="BV42" s="10"/>
      <c r="BW42" s="10"/>
      <c r="BX42" s="10"/>
      <c r="BY42" s="10"/>
      <c r="BZ42" s="10"/>
      <c r="CB42" s="15"/>
      <c r="CD42" s="15"/>
      <c r="CE42" s="15"/>
      <c r="CF42" s="8"/>
      <c r="CG42" s="8"/>
      <c r="CI42" s="10"/>
      <c r="CJ42" s="8" t="s">
        <v>170</v>
      </c>
      <c r="CK42" s="101" t="str">
        <f ca="1">IF(CJ37&lt;&gt;CE40,"WARNING: " &amp; (CJ37-CE40),"ok")</f>
        <v>ok</v>
      </c>
      <c r="CL42" s="15" t="s">
        <v>1038</v>
      </c>
      <c r="CO42" s="88" t="s">
        <v>374</v>
      </c>
      <c r="CP42" s="10"/>
      <c r="CQ42" s="10"/>
      <c r="CR42" s="10"/>
      <c r="CS42" s="10"/>
      <c r="CT42" s="10"/>
      <c r="CU42" s="10"/>
      <c r="CW42" s="15"/>
      <c r="CY42" s="15"/>
      <c r="CZ42" s="15"/>
      <c r="DA42" s="8"/>
      <c r="DB42" s="8"/>
      <c r="DD42" s="10"/>
      <c r="DE42" s="8" t="s">
        <v>170</v>
      </c>
      <c r="DF42" s="101" t="str">
        <f ca="1">IF(DE37&lt;&gt;CZ40,"WARNING: " &amp; (DE37-CZ40),"ok")</f>
        <v>ok</v>
      </c>
      <c r="DG42" s="15" t="s">
        <v>1038</v>
      </c>
      <c r="DJ42" s="88" t="s">
        <v>374</v>
      </c>
      <c r="DK42" s="10"/>
      <c r="DL42" s="10"/>
      <c r="DM42" s="10"/>
      <c r="DN42" s="10"/>
      <c r="DO42" s="10"/>
      <c r="DP42" s="10"/>
      <c r="DR42" s="15"/>
      <c r="DT42" s="15"/>
      <c r="DU42" s="15"/>
      <c r="DV42" s="8"/>
      <c r="DW42" s="8"/>
      <c r="DY42" s="10"/>
      <c r="DZ42" s="8" t="s">
        <v>170</v>
      </c>
      <c r="EA42" s="101" t="str">
        <f ca="1">IF(DZ37&lt;&gt;DU40,"WARNING: " &amp; (DZ37-DU40),"ok")</f>
        <v>ok</v>
      </c>
      <c r="EB42" s="15" t="s">
        <v>1038</v>
      </c>
      <c r="EE42" s="88" t="s">
        <v>374</v>
      </c>
      <c r="EF42" s="10"/>
      <c r="EG42" s="10"/>
      <c r="EH42" s="10"/>
      <c r="EI42" s="10"/>
      <c r="EJ42" s="10"/>
      <c r="EK42" s="10"/>
      <c r="EM42" s="15"/>
      <c r="EO42" s="15"/>
      <c r="EP42" s="15"/>
      <c r="EQ42" s="8"/>
      <c r="ER42" s="8"/>
      <c r="ET42" s="10"/>
      <c r="EU42" s="8" t="s">
        <v>170</v>
      </c>
      <c r="EV42" s="101" t="str">
        <f ca="1">IF(EU37&lt;&gt;EP40,"WARNING: " &amp; (EU37-EP40),"ok")</f>
        <v>ok</v>
      </c>
      <c r="EW42" s="15" t="s">
        <v>1038</v>
      </c>
      <c r="EZ42" s="88" t="s">
        <v>374</v>
      </c>
      <c r="FA42" s="10"/>
      <c r="FB42" s="10"/>
      <c r="FC42" s="10"/>
      <c r="FD42" s="10"/>
      <c r="FE42" s="10"/>
      <c r="FF42" s="10"/>
      <c r="FH42" s="15"/>
      <c r="FJ42" s="15"/>
      <c r="FK42" s="15"/>
      <c r="FL42" s="8"/>
      <c r="FM42" s="8"/>
      <c r="FO42" s="10"/>
      <c r="FP42" s="8" t="s">
        <v>170</v>
      </c>
      <c r="FQ42" s="101" t="str">
        <f ca="1">IF(FP37&lt;&gt;FK40,"WARNING: " &amp; (FP37-FK40),"ok")</f>
        <v>ok</v>
      </c>
      <c r="FR42" s="15" t="s">
        <v>1038</v>
      </c>
      <c r="FU42" s="88" t="s">
        <v>374</v>
      </c>
      <c r="FV42" s="10"/>
      <c r="FW42" s="10"/>
      <c r="FX42" s="10"/>
      <c r="FY42" s="10"/>
      <c r="FZ42" s="10"/>
      <c r="GA42" s="10"/>
      <c r="GC42" s="15"/>
      <c r="GE42" s="15"/>
      <c r="GF42" s="15"/>
      <c r="GG42" s="8"/>
      <c r="GH42" s="8"/>
      <c r="GJ42" s="10"/>
      <c r="GK42" s="8" t="s">
        <v>170</v>
      </c>
      <c r="GL42" s="101" t="str">
        <f ca="1">IF(GK37&lt;&gt;GF40,"WARNING: " &amp; (GK37-GF40),"ok")</f>
        <v>ok</v>
      </c>
      <c r="GM42" s="15" t="s">
        <v>1038</v>
      </c>
      <c r="GP42" s="88" t="s">
        <v>374</v>
      </c>
      <c r="GQ42" s="10"/>
      <c r="GR42" s="10"/>
      <c r="GS42" s="10"/>
      <c r="GT42" s="10"/>
      <c r="GU42" s="10"/>
      <c r="GV42" s="10"/>
      <c r="GX42" s="15"/>
      <c r="GZ42" s="15"/>
      <c r="HA42" s="15"/>
      <c r="HB42" s="8"/>
      <c r="HC42" s="8"/>
      <c r="HE42" s="10"/>
      <c r="HF42" s="8" t="s">
        <v>170</v>
      </c>
      <c r="HG42" s="101" t="str">
        <f ca="1">IF(HF37&lt;&gt;HA40,"WARNING: " &amp; (HF37-HA40),"ok")</f>
        <v>ok</v>
      </c>
      <c r="HH42" s="15" t="s">
        <v>1038</v>
      </c>
      <c r="HK42" s="88" t="s">
        <v>374</v>
      </c>
      <c r="HL42" s="10"/>
      <c r="HM42" s="10"/>
      <c r="HN42" s="10"/>
      <c r="HO42" s="10"/>
      <c r="HP42" s="10"/>
      <c r="HQ42" s="10"/>
      <c r="HS42" s="15"/>
      <c r="HU42" s="15"/>
      <c r="HV42" s="15"/>
      <c r="HW42" s="8"/>
      <c r="HX42" s="8"/>
      <c r="HZ42" s="10"/>
      <c r="IA42" s="8" t="s">
        <v>170</v>
      </c>
      <c r="IB42" s="101" t="str">
        <f ca="1">IF(IA37&lt;&gt;HV40,"WARNING: " &amp; (IA37-HV40),"ok")</f>
        <v>ok</v>
      </c>
      <c r="IC42" s="15" t="s">
        <v>1038</v>
      </c>
      <c r="IF42" s="88" t="s">
        <v>374</v>
      </c>
      <c r="IG42" s="10"/>
      <c r="IH42" s="10"/>
      <c r="II42" s="10"/>
      <c r="IJ42" s="10"/>
      <c r="IK42" s="10"/>
      <c r="IL42" s="10"/>
      <c r="IN42" s="15"/>
      <c r="IP42" s="15"/>
      <c r="IQ42" s="15"/>
      <c r="IR42" s="8"/>
      <c r="IS42" s="8"/>
      <c r="IU42" s="10"/>
      <c r="IV42" s="8" t="s">
        <v>170</v>
      </c>
      <c r="IW42" s="101" t="str">
        <f ca="1">IF(IV37&lt;&gt;IQ40,"WARNING: " &amp; (IV37-IQ40),"ok")</f>
        <v>ok</v>
      </c>
      <c r="IX42" s="15" t="s">
        <v>1038</v>
      </c>
      <c r="JA42" s="88" t="s">
        <v>374</v>
      </c>
      <c r="JB42" s="10"/>
      <c r="JC42" s="10"/>
      <c r="JD42" s="10"/>
      <c r="JE42" s="10"/>
      <c r="JF42" s="10"/>
      <c r="JG42" s="10"/>
      <c r="JI42" s="15"/>
      <c r="JK42" s="15"/>
      <c r="JL42" s="15"/>
      <c r="JM42" s="8"/>
      <c r="JN42" s="8"/>
      <c r="JP42" s="10"/>
      <c r="JQ42" s="8" t="s">
        <v>170</v>
      </c>
      <c r="JR42" s="101" t="str">
        <f ca="1">IF(JQ37&lt;&gt;JL40,"WARNING: " &amp; (JQ37-JL40),"ok")</f>
        <v>ok</v>
      </c>
      <c r="JS42" s="15" t="s">
        <v>1038</v>
      </c>
      <c r="JV42" s="88" t="s">
        <v>374</v>
      </c>
      <c r="JW42" s="10"/>
      <c r="JX42" s="10"/>
      <c r="JY42" s="10"/>
      <c r="JZ42" s="10"/>
      <c r="KA42" s="10"/>
      <c r="KB42" s="10"/>
      <c r="KD42" s="15"/>
      <c r="KF42" s="15"/>
      <c r="KG42" s="15"/>
      <c r="KH42" s="8"/>
      <c r="KI42" s="8"/>
      <c r="KK42" s="10"/>
      <c r="KL42" s="8" t="s">
        <v>170</v>
      </c>
      <c r="KM42" s="101" t="str">
        <f ca="1">IF(KL37&lt;&gt;KG40,"WARNING: " &amp; (KL37-KG40),"ok")</f>
        <v>ok</v>
      </c>
      <c r="KN42" s="15" t="s">
        <v>1038</v>
      </c>
      <c r="KQ42" s="88" t="s">
        <v>374</v>
      </c>
      <c r="KR42" s="10"/>
      <c r="KS42" s="10"/>
      <c r="KT42" s="10"/>
      <c r="KU42" s="10"/>
      <c r="KV42" s="10"/>
      <c r="KW42" s="10"/>
      <c r="KY42" s="15"/>
      <c r="LA42" s="15"/>
      <c r="LB42" s="15"/>
      <c r="LC42" s="8"/>
      <c r="LD42" s="8"/>
      <c r="LF42" s="10"/>
      <c r="LG42" s="8" t="s">
        <v>170</v>
      </c>
      <c r="LH42" s="101" t="str">
        <f ca="1">IF(LG37&lt;&gt;LB40,"WARNING: " &amp; (LG37-LB40),"ok")</f>
        <v>ok</v>
      </c>
      <c r="LI42" s="15" t="s">
        <v>1038</v>
      </c>
      <c r="LL42" s="88" t="s">
        <v>374</v>
      </c>
      <c r="LM42" s="10"/>
      <c r="LN42" s="10"/>
      <c r="LO42" s="10"/>
      <c r="LP42" s="10"/>
      <c r="LQ42" s="10"/>
      <c r="LR42" s="10"/>
      <c r="LT42" s="15"/>
      <c r="LV42" s="15"/>
      <c r="LW42" s="15"/>
      <c r="LX42" s="8"/>
      <c r="LY42" s="8"/>
      <c r="MA42" s="10"/>
      <c r="MB42" s="8" t="s">
        <v>170</v>
      </c>
      <c r="MC42" s="101" t="str">
        <f ca="1">IF(MB37&lt;&gt;LW40,"WARNING: " &amp; (MB37-LW40),"ok")</f>
        <v>ok</v>
      </c>
      <c r="MD42" s="15" t="s">
        <v>1038</v>
      </c>
      <c r="MG42" s="88" t="s">
        <v>374</v>
      </c>
      <c r="MH42" s="10"/>
      <c r="MI42" s="10"/>
      <c r="MJ42" s="10"/>
      <c r="MK42" s="10"/>
      <c r="ML42" s="10"/>
      <c r="MM42" s="10"/>
      <c r="MO42" s="15"/>
      <c r="MQ42" s="15"/>
      <c r="MR42" s="15"/>
      <c r="MS42" s="8"/>
      <c r="MT42" s="8"/>
      <c r="MV42" s="10"/>
      <c r="MW42" s="8" t="s">
        <v>170</v>
      </c>
      <c r="MX42" s="101" t="str">
        <f ca="1">IF(MW37&lt;&gt;MR40,"WARNING: " &amp; (MW37-MR40),"ok")</f>
        <v>ok</v>
      </c>
      <c r="MY42" s="15" t="s">
        <v>1038</v>
      </c>
      <c r="NB42" s="88" t="s">
        <v>374</v>
      </c>
      <c r="NC42" s="10"/>
      <c r="ND42" s="10"/>
      <c r="NE42" s="10"/>
      <c r="NF42" s="10"/>
      <c r="NG42" s="10"/>
      <c r="NH42" s="10"/>
      <c r="NJ42" s="15"/>
      <c r="NL42" s="15"/>
      <c r="NM42" s="15"/>
      <c r="NN42" s="8"/>
      <c r="NO42" s="8"/>
      <c r="NQ42" s="10"/>
      <c r="NR42" s="8" t="s">
        <v>170</v>
      </c>
      <c r="NS42" s="101" t="str">
        <f ca="1">IF(NR37&lt;&gt;NM40,"WARNING: " &amp; (NR37-NM40),"ok")</f>
        <v>ok</v>
      </c>
      <c r="NT42" s="15" t="s">
        <v>1038</v>
      </c>
      <c r="NW42" s="88" t="s">
        <v>374</v>
      </c>
      <c r="NX42" s="10"/>
      <c r="NY42" s="10"/>
      <c r="NZ42" s="10"/>
      <c r="OA42" s="10"/>
      <c r="OB42" s="10"/>
      <c r="OC42" s="10"/>
      <c r="OE42" s="15"/>
      <c r="OG42" s="15"/>
      <c r="OH42" s="15"/>
      <c r="OI42" s="8"/>
      <c r="OJ42" s="8"/>
      <c r="OL42" s="10"/>
      <c r="OM42" s="8" t="s">
        <v>170</v>
      </c>
      <c r="ON42" s="101" t="str">
        <f ca="1">IF(OM37&lt;&gt;OH40,"WARNING: " &amp; (OM37-OH40),"ok")</f>
        <v>ok</v>
      </c>
      <c r="OO42" s="15" t="s">
        <v>1038</v>
      </c>
      <c r="OR42" s="88" t="s">
        <v>374</v>
      </c>
      <c r="OS42" s="10"/>
      <c r="OT42" s="10"/>
      <c r="OU42" s="10"/>
      <c r="OV42" s="10"/>
      <c r="OW42" s="10"/>
      <c r="OX42" s="10"/>
      <c r="OZ42" s="15"/>
      <c r="PB42" s="15"/>
      <c r="PC42" s="15"/>
      <c r="PD42" s="8"/>
      <c r="PE42" s="8"/>
      <c r="PG42" s="10"/>
      <c r="PH42" s="8" t="s">
        <v>170</v>
      </c>
      <c r="PI42" s="101" t="str">
        <f ca="1">IF(PH37&lt;&gt;PC40,"WARNING: " &amp; (PH37-PC40),"ok")</f>
        <v>ok</v>
      </c>
      <c r="PJ42" s="15" t="s">
        <v>1038</v>
      </c>
      <c r="PM42" s="88" t="s">
        <v>374</v>
      </c>
      <c r="PN42" s="10"/>
      <c r="PO42" s="10"/>
      <c r="PP42" s="10"/>
      <c r="PQ42" s="10"/>
      <c r="PR42" s="10"/>
      <c r="PS42" s="10"/>
      <c r="PU42" s="15"/>
      <c r="PW42" s="15"/>
      <c r="PX42" s="15"/>
      <c r="PY42" s="8"/>
      <c r="PZ42" s="8"/>
      <c r="QB42" s="10"/>
      <c r="QC42" s="8" t="s">
        <v>170</v>
      </c>
      <c r="QD42" s="101" t="str">
        <f ca="1">IF(QC37&lt;&gt;PX40,"WARNING: " &amp; (QC37-PX40),"ok")</f>
        <v>ok</v>
      </c>
      <c r="QE42" s="15" t="s">
        <v>1038</v>
      </c>
      <c r="QH42" s="88" t="s">
        <v>374</v>
      </c>
      <c r="QI42" s="10"/>
      <c r="QJ42" s="10"/>
      <c r="QK42" s="10"/>
      <c r="QL42" s="10"/>
      <c r="QM42" s="10"/>
      <c r="QN42" s="10"/>
      <c r="QP42" s="15"/>
      <c r="QR42" s="15"/>
      <c r="QS42" s="15"/>
      <c r="QT42" s="8"/>
      <c r="QU42" s="8"/>
      <c r="QW42" s="10"/>
      <c r="QX42" s="8" t="s">
        <v>170</v>
      </c>
      <c r="QY42" s="101" t="str">
        <f ca="1">IF(QX37&lt;&gt;QS40,"WARNING: " &amp; (QX37-QS40),"ok")</f>
        <v>ok</v>
      </c>
      <c r="QZ42" s="15" t="s">
        <v>1038</v>
      </c>
      <c r="RC42" s="88" t="s">
        <v>374</v>
      </c>
      <c r="RD42" s="10"/>
      <c r="RE42" s="10"/>
      <c r="RF42" s="10"/>
      <c r="RG42" s="10"/>
      <c r="RH42" s="10"/>
      <c r="RI42" s="10"/>
      <c r="RK42" s="15"/>
      <c r="RM42" s="15"/>
      <c r="RN42" s="15"/>
      <c r="RO42" s="8"/>
      <c r="RP42" s="8"/>
      <c r="RR42" s="10"/>
      <c r="RS42" s="8" t="s">
        <v>170</v>
      </c>
      <c r="RT42" s="101" t="str">
        <f ca="1">IF(RS37&lt;&gt;RN40,"WARNING: " &amp; (RS37-RN40),"ok")</f>
        <v>ok</v>
      </c>
      <c r="RU42" s="15" t="s">
        <v>1038</v>
      </c>
      <c r="RX42" s="88" t="s">
        <v>374</v>
      </c>
      <c r="RY42" s="10"/>
      <c r="RZ42" s="10"/>
      <c r="SA42" s="10"/>
      <c r="SB42" s="10"/>
      <c r="SC42" s="10"/>
      <c r="SD42" s="10"/>
      <c r="SF42" s="15"/>
      <c r="SH42" s="15"/>
      <c r="SI42" s="15"/>
      <c r="SJ42" s="8"/>
      <c r="SK42" s="8"/>
      <c r="SM42" s="10"/>
      <c r="SN42" s="8" t="s">
        <v>170</v>
      </c>
      <c r="SO42" s="101" t="str">
        <f ca="1">IF(SN37&lt;&gt;SI40,"WARNING: " &amp; (SN37-SI40),"ok")</f>
        <v>ok</v>
      </c>
      <c r="SP42" s="15" t="s">
        <v>1038</v>
      </c>
      <c r="SS42" s="88" t="s">
        <v>374</v>
      </c>
      <c r="ST42" s="10"/>
      <c r="SU42" s="10"/>
      <c r="SV42" s="10"/>
      <c r="SW42" s="10"/>
      <c r="SX42" s="10"/>
      <c r="SY42" s="10"/>
      <c r="TA42" s="15"/>
      <c r="TC42" s="15"/>
      <c r="TD42" s="15"/>
      <c r="TE42" s="8"/>
      <c r="TF42" s="8"/>
      <c r="TH42" s="10"/>
      <c r="TI42" s="8" t="s">
        <v>170</v>
      </c>
      <c r="TJ42" s="101" t="str">
        <f ca="1">IF(TI37&lt;&gt;TD40,"WARNING: " &amp; (TI37-TD40),"ok")</f>
        <v>ok</v>
      </c>
      <c r="TK42" s="15" t="s">
        <v>1038</v>
      </c>
      <c r="TN42" s="88" t="s">
        <v>374</v>
      </c>
      <c r="TO42" s="10"/>
      <c r="TP42" s="10"/>
      <c r="TQ42" s="10"/>
      <c r="TR42" s="10"/>
      <c r="TS42" s="10"/>
      <c r="TT42" s="10"/>
      <c r="TV42" s="15"/>
      <c r="TX42" s="15"/>
      <c r="TY42" s="15"/>
      <c r="TZ42" s="8"/>
      <c r="UA42" s="8"/>
      <c r="UC42" s="10"/>
      <c r="UD42" s="8" t="s">
        <v>170</v>
      </c>
      <c r="UE42" s="101" t="str">
        <f ca="1">IF(UD37&lt;&gt;TY40,"WARNING: " &amp; (UD37-TY40),"ok")</f>
        <v>ok</v>
      </c>
      <c r="UF42" s="15" t="s">
        <v>1038</v>
      </c>
      <c r="UI42" s="88" t="s">
        <v>374</v>
      </c>
      <c r="UJ42" s="10"/>
      <c r="UK42" s="10"/>
      <c r="UL42" s="10"/>
      <c r="UM42" s="10"/>
      <c r="UN42" s="10"/>
      <c r="UO42" s="10"/>
      <c r="UQ42" s="15"/>
      <c r="US42" s="15"/>
      <c r="UT42" s="15"/>
      <c r="UU42" s="8"/>
      <c r="UV42" s="8"/>
      <c r="UX42" s="10"/>
      <c r="UY42" s="8" t="s">
        <v>170</v>
      </c>
      <c r="UZ42" s="101" t="str">
        <f ca="1">IF(UY37&lt;&gt;UT40,"WARNING: " &amp; (UY37-UT40),"ok")</f>
        <v>ok</v>
      </c>
      <c r="VA42" s="15" t="s">
        <v>1038</v>
      </c>
      <c r="VD42" s="88" t="s">
        <v>374</v>
      </c>
      <c r="VE42" s="10"/>
      <c r="VF42" s="10"/>
      <c r="VG42" s="10"/>
      <c r="VH42" s="10"/>
      <c r="VI42" s="10"/>
      <c r="VJ42" s="10"/>
      <c r="VL42" s="15"/>
      <c r="VN42" s="15"/>
      <c r="VO42" s="15"/>
      <c r="VP42" s="8"/>
      <c r="VQ42" s="8"/>
      <c r="VS42" s="10"/>
      <c r="VT42" s="8" t="s">
        <v>170</v>
      </c>
      <c r="VU42" s="101" t="str">
        <f ca="1">IF(VT37&lt;&gt;VO40,"WARNING: " &amp; (VT37-VO40),"ok")</f>
        <v>ok</v>
      </c>
      <c r="VV42" s="15" t="s">
        <v>1038</v>
      </c>
      <c r="VY42" s="88" t="s">
        <v>374</v>
      </c>
      <c r="VZ42" s="10"/>
      <c r="WA42" s="10"/>
      <c r="WB42" s="10"/>
      <c r="WC42" s="10"/>
      <c r="WD42" s="10"/>
      <c r="WE42" s="10"/>
      <c r="WG42" s="15"/>
      <c r="WI42" s="15"/>
      <c r="WJ42" s="15"/>
      <c r="WK42" s="8"/>
      <c r="WL42" s="8"/>
      <c r="WN42" s="10"/>
      <c r="WO42" s="8" t="s">
        <v>170</v>
      </c>
      <c r="WP42" s="101" t="str">
        <f ca="1">IF(WO37&lt;&gt;WJ40,"WARNING: " &amp; (WO37-WJ40),"ok")</f>
        <v>ok</v>
      </c>
      <c r="WQ42" s="15" t="s">
        <v>1038</v>
      </c>
      <c r="WT42" s="88" t="s">
        <v>374</v>
      </c>
      <c r="WU42" s="10"/>
      <c r="WV42" s="10"/>
      <c r="WW42" s="10"/>
      <c r="WX42" s="10"/>
      <c r="WY42" s="10"/>
      <c r="WZ42" s="10"/>
      <c r="XB42" s="15"/>
      <c r="XD42" s="15"/>
      <c r="XE42" s="15"/>
      <c r="XF42" s="8"/>
      <c r="XG42" s="8"/>
      <c r="XI42" s="10"/>
      <c r="XJ42" s="8" t="s">
        <v>170</v>
      </c>
      <c r="XK42" s="101" t="str">
        <f ca="1">IF(XJ37&lt;&gt;XE40,"WARNING: " &amp; (XJ37-XE40),"ok")</f>
        <v>ok</v>
      </c>
      <c r="XL42" s="15" t="s">
        <v>1038</v>
      </c>
    </row>
    <row r="43" spans="1:636" s="7" customFormat="1" x14ac:dyDescent="0.25">
      <c r="B43" s="6"/>
      <c r="H43" s="15"/>
      <c r="I43" s="27"/>
      <c r="K43" s="16"/>
      <c r="L43" s="10"/>
      <c r="M43" s="10"/>
      <c r="N43" s="10"/>
      <c r="O43" s="10"/>
      <c r="Q43" s="10"/>
      <c r="S43" s="10"/>
      <c r="T43" s="10"/>
      <c r="U43" s="10"/>
      <c r="V43" s="10"/>
      <c r="X43" s="10"/>
      <c r="AA43" s="10"/>
      <c r="AC43" s="15"/>
      <c r="AD43" s="27">
        <f ca="1">SUM(AK21:AK24,AO21:AO24)</f>
        <v>0</v>
      </c>
      <c r="AF43" s="16"/>
      <c r="AG43" s="10"/>
      <c r="AH43" s="10"/>
      <c r="AI43" s="10"/>
      <c r="AJ43" s="10"/>
      <c r="AL43" s="10"/>
      <c r="AN43" s="10"/>
      <c r="AO43" s="10"/>
      <c r="AP43" s="10"/>
      <c r="AQ43" s="10"/>
      <c r="AS43" s="10"/>
      <c r="AT43" s="10">
        <f ca="1">AG37</f>
        <v>6500</v>
      </c>
      <c r="AV43" s="10" t="str">
        <f ca="1">IF(MIN(AV3:AV29)&lt;0,"WARNING","ok")</f>
        <v>ok</v>
      </c>
      <c r="AX43" s="15"/>
      <c r="AY43" s="27">
        <f ca="1">SUM(BF21:BF24,BJ21:BJ24)</f>
        <v>494.11994889212781</v>
      </c>
      <c r="BA43" s="16"/>
      <c r="BB43" s="10"/>
      <c r="BC43" s="10"/>
      <c r="BD43" s="10"/>
      <c r="BE43" s="10"/>
      <c r="BG43" s="10"/>
      <c r="BI43" s="10"/>
      <c r="BJ43" s="10"/>
      <c r="BK43" s="10"/>
      <c r="BL43" s="10"/>
      <c r="BN43" s="10"/>
      <c r="BO43" s="10">
        <f ca="1">BB37</f>
        <v>10200.231299999999</v>
      </c>
      <c r="BQ43" s="10" t="str">
        <f ca="1">IF(MIN(BQ3:BQ29)&lt;0,"WARNING","ok")</f>
        <v>ok</v>
      </c>
      <c r="BS43" s="15"/>
      <c r="BT43" s="27">
        <f ca="1">SUM(CA21:CA24,CE21:CE24)</f>
        <v>805.00855714285717</v>
      </c>
      <c r="BV43" s="16"/>
      <c r="BW43" s="10"/>
      <c r="BX43" s="10"/>
      <c r="BY43" s="10"/>
      <c r="BZ43" s="10"/>
      <c r="CB43" s="10"/>
      <c r="CD43" s="10"/>
      <c r="CE43" s="10"/>
      <c r="CF43" s="10"/>
      <c r="CG43" s="10"/>
      <c r="CI43" s="10"/>
      <c r="CJ43" s="10">
        <f ca="1">BW37</f>
        <v>9705.2398571428566</v>
      </c>
      <c r="CL43" s="10" t="str">
        <f ca="1">IF(MIN(CL3:CL29)&lt;0,"WARNING","ok")</f>
        <v>ok</v>
      </c>
      <c r="CN43" s="15"/>
      <c r="CO43" s="27">
        <f ca="1">SUM(CV21:CV24,CZ21:CZ24)</f>
        <v>775.00457142857158</v>
      </c>
      <c r="CQ43" s="16"/>
      <c r="CR43" s="10"/>
      <c r="CS43" s="10"/>
      <c r="CT43" s="10"/>
      <c r="CU43" s="10"/>
      <c r="CW43" s="10"/>
      <c r="CY43" s="10"/>
      <c r="CZ43" s="10"/>
      <c r="DA43" s="10"/>
      <c r="DB43" s="10"/>
      <c r="DD43" s="10"/>
      <c r="DE43" s="10">
        <f ca="1">CR37</f>
        <v>14075.244428571428</v>
      </c>
      <c r="DG43" s="10" t="str">
        <f ca="1">IF(MIN(DG3:DG29)&lt;0,"WARNING","ok")</f>
        <v>ok</v>
      </c>
      <c r="DI43" s="15"/>
      <c r="DJ43" s="27">
        <f ca="1">SUM(DQ21:DQ24,DU21:DU24)</f>
        <v>665.12725835340382</v>
      </c>
      <c r="DL43" s="16"/>
      <c r="DM43" s="10"/>
      <c r="DN43" s="10"/>
      <c r="DO43" s="10"/>
      <c r="DP43" s="10"/>
      <c r="DR43" s="10"/>
      <c r="DT43" s="10"/>
      <c r="DU43" s="10"/>
      <c r="DV43" s="10"/>
      <c r="DW43" s="10"/>
      <c r="DY43" s="10"/>
      <c r="DZ43" s="10">
        <f ca="1">DM37</f>
        <v>14831.611357142858</v>
      </c>
      <c r="EB43" s="10" t="str">
        <f ca="1">IF(MIN(EB3:EB29)&lt;0,"WARNING","ok")</f>
        <v>ok</v>
      </c>
      <c r="ED43" s="15"/>
      <c r="EE43" s="27">
        <f ca="1">SUM(EL21:EL24,EP21:EP24)</f>
        <v>682.25360094885013</v>
      </c>
      <c r="EG43" s="16"/>
      <c r="EH43" s="10"/>
      <c r="EI43" s="10"/>
      <c r="EJ43" s="10"/>
      <c r="EK43" s="10"/>
      <c r="EM43" s="10"/>
      <c r="EO43" s="10"/>
      <c r="EP43" s="10"/>
      <c r="EQ43" s="10"/>
      <c r="ER43" s="10"/>
      <c r="ET43" s="10"/>
      <c r="EU43" s="10">
        <f ca="1">EH37</f>
        <v>15555.159404761906</v>
      </c>
      <c r="EW43" s="10" t="str">
        <f ca="1">IF(MIN(EW3:EW29)&lt;0,"WARNING","ok")</f>
        <v>ok</v>
      </c>
      <c r="EY43" s="15"/>
      <c r="EZ43" s="27">
        <f ca="1">SUM(FG21:FG24,FK21:FK24)</f>
        <v>658.5269940529322</v>
      </c>
      <c r="FB43" s="16"/>
      <c r="FC43" s="10"/>
      <c r="FD43" s="10"/>
      <c r="FE43" s="10"/>
      <c r="FF43" s="10"/>
      <c r="FH43" s="10"/>
      <c r="FJ43" s="10"/>
      <c r="FK43" s="10"/>
      <c r="FL43" s="10"/>
      <c r="FM43" s="10"/>
      <c r="FO43" s="10"/>
      <c r="FP43" s="10">
        <f ca="1">FC37</f>
        <v>16302.91739111111</v>
      </c>
      <c r="FR43" s="10" t="str">
        <f ca="1">IF(MIN(FR3:FR29)&lt;0,"WARNING","ok")</f>
        <v>ok</v>
      </c>
      <c r="FT43" s="15"/>
      <c r="FU43" s="27">
        <f ca="1">SUM(GB21:GB24,GF21:GF24)</f>
        <v>660.96479020448487</v>
      </c>
      <c r="FW43" s="16"/>
      <c r="FX43" s="10"/>
      <c r="FY43" s="10"/>
      <c r="FZ43" s="10"/>
      <c r="GA43" s="10"/>
      <c r="GC43" s="10"/>
      <c r="GE43" s="10"/>
      <c r="GF43" s="10"/>
      <c r="GG43" s="10"/>
      <c r="GH43" s="10"/>
      <c r="GJ43" s="10"/>
      <c r="GK43" s="10">
        <f ca="1">FX37</f>
        <v>17053.654299999998</v>
      </c>
      <c r="GM43" s="10" t="str">
        <f ca="1">IF(MIN(GM3:GM29)&lt;0,"WARNING","ok")</f>
        <v>ok</v>
      </c>
      <c r="GO43" s="15"/>
      <c r="GP43" s="27">
        <f ca="1">SUM(GW21:GW24,HA21:HA24)</f>
        <v>677.81480861611669</v>
      </c>
      <c r="GR43" s="16"/>
      <c r="GS43" s="10"/>
      <c r="GT43" s="10"/>
      <c r="GU43" s="10"/>
      <c r="GV43" s="10"/>
      <c r="GX43" s="10"/>
      <c r="GZ43" s="10"/>
      <c r="HA43" s="10"/>
      <c r="HB43" s="10"/>
      <c r="HC43" s="10"/>
      <c r="HE43" s="10"/>
      <c r="HF43" s="10">
        <f ca="1">GS37</f>
        <v>17821.730928571429</v>
      </c>
      <c r="HH43" s="10" t="str">
        <f ca="1">IF(MIN(HH3:HH29)&lt;0,"WARNING","ok")</f>
        <v>WARNING</v>
      </c>
      <c r="HJ43" s="15"/>
      <c r="HK43" s="27">
        <f ca="1">SUM(HR21:HR24,HV21:HV24)</f>
        <v>697.30744196215483</v>
      </c>
      <c r="HM43" s="16"/>
      <c r="HN43" s="10"/>
      <c r="HO43" s="10"/>
      <c r="HP43" s="10"/>
      <c r="HQ43" s="10"/>
      <c r="HS43" s="10"/>
      <c r="HU43" s="10"/>
      <c r="HV43" s="10"/>
      <c r="HW43" s="10"/>
      <c r="HX43" s="10"/>
      <c r="HZ43" s="10"/>
      <c r="IA43" s="10">
        <f ca="1">HN37</f>
        <v>18615.416300000001</v>
      </c>
      <c r="IC43" s="10" t="str">
        <f ca="1">IF(MIN(IC3:IC29)&lt;0,"WARNING","ok")</f>
        <v>ok</v>
      </c>
      <c r="IE43" s="15"/>
      <c r="IF43" s="27">
        <f ca="1">SUM(IM21:IM24,IQ21:IQ24)</f>
        <v>705.08529272310591</v>
      </c>
      <c r="IH43" s="16"/>
      <c r="II43" s="10"/>
      <c r="IJ43" s="10"/>
      <c r="IK43" s="10"/>
      <c r="IL43" s="10"/>
      <c r="IN43" s="10"/>
      <c r="IP43" s="10"/>
      <c r="IQ43" s="10"/>
      <c r="IR43" s="10"/>
      <c r="IS43" s="10"/>
      <c r="IU43" s="10"/>
      <c r="IV43" s="10">
        <f ca="1">II37</f>
        <v>19410.576071428572</v>
      </c>
      <c r="IX43" s="10" t="str">
        <f ca="1">IF(MIN(IX3:IX29)&lt;0,"WARNING","ok")</f>
        <v>ok</v>
      </c>
      <c r="IZ43" s="15"/>
      <c r="JA43" s="27">
        <f ca="1">SUM(JH21:JH24,JL21:JL24)</f>
        <v>668.26406470266591</v>
      </c>
      <c r="JC43" s="16"/>
      <c r="JD43" s="10"/>
      <c r="JE43" s="10"/>
      <c r="JF43" s="10"/>
      <c r="JG43" s="10"/>
      <c r="JI43" s="10"/>
      <c r="JK43" s="10"/>
      <c r="JL43" s="10"/>
      <c r="JM43" s="10"/>
      <c r="JN43" s="10"/>
      <c r="JP43" s="10"/>
      <c r="JQ43" s="10">
        <f ca="1">JD37</f>
        <v>20178.659485714288</v>
      </c>
      <c r="JS43" s="10" t="str">
        <f ca="1">IF(MIN(JS3:JS29)&lt;0,"WARNING","ok")</f>
        <v>ok</v>
      </c>
      <c r="JU43" s="15"/>
      <c r="JV43" s="27">
        <f ca="1">SUM(KC21:KC24,KG21:KG24)</f>
        <v>744.06024509661358</v>
      </c>
      <c r="JX43" s="16"/>
      <c r="JY43" s="10"/>
      <c r="JZ43" s="10"/>
      <c r="KA43" s="10"/>
      <c r="KB43" s="10"/>
      <c r="KD43" s="10"/>
      <c r="KF43" s="10"/>
      <c r="KG43" s="10"/>
      <c r="KH43" s="10"/>
      <c r="KI43" s="10"/>
      <c r="KK43" s="10"/>
      <c r="KL43" s="10">
        <f ca="1">JY37</f>
        <v>20974.374600000003</v>
      </c>
      <c r="KN43" s="10" t="str">
        <f ca="1">IF(MIN(KN3:KN29)&lt;0,"WARNING","ok")</f>
        <v>ok</v>
      </c>
      <c r="KP43" s="15"/>
      <c r="KQ43" s="27">
        <f ca="1">SUM(KX21:KX24,LB21:LB24)</f>
        <v>682.97361148745483</v>
      </c>
      <c r="KS43" s="16"/>
      <c r="KT43" s="10"/>
      <c r="KU43" s="10"/>
      <c r="KV43" s="10"/>
      <c r="KW43" s="10"/>
      <c r="KY43" s="10"/>
      <c r="LA43" s="10"/>
      <c r="LB43" s="10"/>
      <c r="LC43" s="10"/>
      <c r="LD43" s="10"/>
      <c r="LF43" s="10"/>
      <c r="LG43" s="10">
        <f ca="1">KT37</f>
        <v>21693.213000000003</v>
      </c>
      <c r="LI43" s="10" t="str">
        <f ca="1">IF(MIN(LI3:LI29)&lt;0,"WARNING","ok")</f>
        <v>ok</v>
      </c>
      <c r="LK43" s="15"/>
      <c r="LL43" s="27">
        <f ca="1">SUM(LS21:LS24,LW21:LW24)</f>
        <v>734.65630979694765</v>
      </c>
      <c r="LN43" s="16"/>
      <c r="LO43" s="10"/>
      <c r="LP43" s="10"/>
      <c r="LQ43" s="10"/>
      <c r="LR43" s="10"/>
      <c r="LT43" s="10"/>
      <c r="LV43" s="10"/>
      <c r="LW43" s="10"/>
      <c r="LX43" s="10"/>
      <c r="LY43" s="10"/>
      <c r="MA43" s="10"/>
      <c r="MB43" s="10">
        <f ca="1">LO37</f>
        <v>22489.06545714286</v>
      </c>
      <c r="MD43" s="10" t="str">
        <f ca="1">IF(MIN(MD3:MD29)&lt;0,"WARNING","ok")</f>
        <v>ok</v>
      </c>
      <c r="MF43" s="15"/>
      <c r="MG43" s="27">
        <f ca="1">SUM(MN21:MN24,MR21:MR24)</f>
        <v>689.23538247807244</v>
      </c>
      <c r="MI43" s="16"/>
      <c r="MJ43" s="10"/>
      <c r="MK43" s="10"/>
      <c r="ML43" s="10"/>
      <c r="MM43" s="10"/>
      <c r="MO43" s="10"/>
      <c r="MQ43" s="10"/>
      <c r="MR43" s="10"/>
      <c r="MS43" s="10"/>
      <c r="MT43" s="10"/>
      <c r="MV43" s="10"/>
      <c r="MW43" s="10">
        <f ca="1">MJ37</f>
        <v>23259.248100000001</v>
      </c>
      <c r="MY43" s="10" t="str">
        <f ca="1">IF(MIN(MY3:MY29)&lt;0,"WARNING","ok")</f>
        <v>ok</v>
      </c>
      <c r="NA43" s="15"/>
      <c r="NB43" s="27">
        <f ca="1">SUM(NI21:NI24,NM21:NM24)</f>
        <v>795.85489999999993</v>
      </c>
      <c r="ND43" s="16"/>
      <c r="NE43" s="10"/>
      <c r="NF43" s="10"/>
      <c r="NG43" s="10"/>
      <c r="NH43" s="10"/>
      <c r="NJ43" s="10"/>
      <c r="NL43" s="10"/>
      <c r="NM43" s="10"/>
      <c r="NN43" s="10"/>
      <c r="NO43" s="10"/>
      <c r="NQ43" s="10"/>
      <c r="NR43" s="10">
        <f ca="1">NE37</f>
        <v>24055.103000000003</v>
      </c>
      <c r="NT43" s="10" t="str">
        <f ca="1">IF(MIN(NT3:NT29)&lt;0,"WARNING","ok")</f>
        <v>ok</v>
      </c>
      <c r="NV43" s="15"/>
      <c r="NW43" s="27">
        <f ca="1">SUM(OD21:OD24,OH21:OH24)</f>
        <v>733.1013426339573</v>
      </c>
      <c r="NY43" s="16"/>
      <c r="NZ43" s="10"/>
      <c r="OA43" s="10"/>
      <c r="OB43" s="10"/>
      <c r="OC43" s="10"/>
      <c r="OE43" s="10"/>
      <c r="OG43" s="10"/>
      <c r="OH43" s="10"/>
      <c r="OI43" s="10"/>
      <c r="OJ43" s="10"/>
      <c r="OL43" s="10"/>
      <c r="OM43" s="10">
        <f ca="1">NZ37</f>
        <v>24825.285100000005</v>
      </c>
      <c r="OO43" s="10" t="str">
        <f ca="1">IF(MIN(OO3:OO29)&lt;0,"WARNING","ok")</f>
        <v>ok</v>
      </c>
      <c r="OQ43" s="15"/>
      <c r="OR43" s="27">
        <f ca="1">SUM(OY21:OY24,PC21:PC24)</f>
        <v>737.49765970558826</v>
      </c>
      <c r="OT43" s="16"/>
      <c r="OU43" s="10"/>
      <c r="OV43" s="10"/>
      <c r="OW43" s="10"/>
      <c r="OX43" s="10"/>
      <c r="OZ43" s="10"/>
      <c r="PB43" s="10"/>
      <c r="PC43" s="10"/>
      <c r="PD43" s="10"/>
      <c r="PE43" s="10"/>
      <c r="PG43" s="10"/>
      <c r="PH43" s="10">
        <f ca="1">OU37</f>
        <v>25631.719200000003</v>
      </c>
      <c r="PJ43" s="10" t="str">
        <f ca="1">IF(MIN(PJ3:PJ29)&lt;0,"WARNING","ok")</f>
        <v>ok</v>
      </c>
      <c r="PL43" s="15"/>
      <c r="PM43" s="27">
        <f ca="1">SUM(PT21:PT24,PX21:PX24)</f>
        <v>749.35113448191419</v>
      </c>
      <c r="PO43" s="16"/>
      <c r="PP43" s="10"/>
      <c r="PQ43" s="10"/>
      <c r="PR43" s="10"/>
      <c r="PS43" s="10"/>
      <c r="PU43" s="10"/>
      <c r="PW43" s="10"/>
      <c r="PX43" s="10"/>
      <c r="PY43" s="10"/>
      <c r="PZ43" s="10"/>
      <c r="QB43" s="10"/>
      <c r="QC43" s="10">
        <f ca="1">PP37</f>
        <v>26430.431157142863</v>
      </c>
      <c r="QE43" s="10" t="str">
        <f ca="1">IF(MIN(QE3:QE29)&lt;0,"WARNING","ok")</f>
        <v>ok</v>
      </c>
      <c r="QG43" s="15"/>
      <c r="QH43" s="27">
        <f ca="1">SUM(QO21:QO24,QS21:QS24)</f>
        <v>723.92143024804773</v>
      </c>
      <c r="QJ43" s="16"/>
      <c r="QK43" s="10"/>
      <c r="QL43" s="10"/>
      <c r="QM43" s="10"/>
      <c r="QN43" s="10"/>
      <c r="QP43" s="10"/>
      <c r="QR43" s="10"/>
      <c r="QS43" s="10"/>
      <c r="QT43" s="10"/>
      <c r="QU43" s="10"/>
      <c r="QW43" s="10"/>
      <c r="QX43" s="10">
        <f ca="1">QK37</f>
        <v>27203.380471428572</v>
      </c>
      <c r="QZ43" s="10" t="str">
        <f ca="1">IF(MIN(QZ3:QZ29)&lt;0,"WARNING","ok")</f>
        <v>ok</v>
      </c>
      <c r="RB43" s="15"/>
      <c r="RC43" s="27">
        <f ca="1">SUM(RJ21:RJ24,RN21:RN24)</f>
        <v>729.41125980766185</v>
      </c>
      <c r="RE43" s="16"/>
      <c r="RF43" s="10"/>
      <c r="RG43" s="10"/>
      <c r="RH43" s="10"/>
      <c r="RI43" s="10"/>
      <c r="RK43" s="10"/>
      <c r="RM43" s="10"/>
      <c r="RN43" s="10"/>
      <c r="RO43" s="10"/>
      <c r="RP43" s="10"/>
      <c r="RR43" s="10"/>
      <c r="RS43" s="10">
        <f ca="1">RF37</f>
        <v>28002.093785714289</v>
      </c>
      <c r="RU43" s="10" t="str">
        <f ca="1">IF(MIN(RU3:RU29)&lt;0,"WARNING","ok")</f>
        <v>ok</v>
      </c>
      <c r="RW43" s="15"/>
      <c r="RX43" s="27">
        <f ca="1">SUM(SE21:SE24,SI21:SI24)</f>
        <v>755.48226781580729</v>
      </c>
      <c r="RZ43" s="16"/>
      <c r="SA43" s="10"/>
      <c r="SB43" s="10"/>
      <c r="SC43" s="10"/>
      <c r="SD43" s="10"/>
      <c r="SF43" s="10"/>
      <c r="SH43" s="10"/>
      <c r="SI43" s="10"/>
      <c r="SJ43" s="10"/>
      <c r="SK43" s="10"/>
      <c r="SM43" s="10"/>
      <c r="SN43" s="10">
        <f ca="1">SA37</f>
        <v>28777.556800000006</v>
      </c>
      <c r="SP43" s="10" t="str">
        <f ca="1">IF(MIN(SP3:SP29)&lt;0,"WARNING","ok")</f>
        <v>ok</v>
      </c>
      <c r="SR43" s="15"/>
      <c r="SS43" s="27">
        <f ca="1">SUM(SZ21:SZ24,TD21:TD24)</f>
        <v>752.74190116769387</v>
      </c>
      <c r="SU43" s="16"/>
      <c r="SV43" s="10"/>
      <c r="SW43" s="10"/>
      <c r="SX43" s="10"/>
      <c r="SY43" s="10"/>
      <c r="TA43" s="10"/>
      <c r="TC43" s="10"/>
      <c r="TD43" s="10"/>
      <c r="TE43" s="10"/>
      <c r="TF43" s="10"/>
      <c r="TH43" s="10"/>
      <c r="TI43" s="10">
        <f ca="1">SV37</f>
        <v>29576.270250000005</v>
      </c>
      <c r="TK43" s="10" t="str">
        <f ca="1">IF(MIN(TK3:TK29)&lt;0,"WARNING","ok")</f>
        <v>ok</v>
      </c>
      <c r="TM43" s="15"/>
      <c r="TN43" s="27">
        <f ca="1">SUM(TU21:TU24,TY21:TY24)</f>
        <v>1056.050165117239</v>
      </c>
      <c r="TP43" s="16"/>
      <c r="TQ43" s="10"/>
      <c r="TR43" s="10"/>
      <c r="TS43" s="10"/>
      <c r="TT43" s="10"/>
      <c r="TV43" s="10"/>
      <c r="TX43" s="10"/>
      <c r="TY43" s="10"/>
      <c r="TZ43" s="10"/>
      <c r="UA43" s="10"/>
      <c r="UC43" s="10"/>
      <c r="UD43" s="10">
        <f ca="1">TQ37</f>
        <v>30754.706850000006</v>
      </c>
      <c r="UF43" s="10" t="str">
        <f ca="1">IF(MIN(UF3:UF29)&lt;0,"WARNING","ok")</f>
        <v>ok</v>
      </c>
      <c r="UH43" s="15"/>
      <c r="UI43" s="27">
        <f ca="1">SUM(UP21:UP24,UT21:UT24)</f>
        <v>1103.6238000000003</v>
      </c>
      <c r="UK43" s="16"/>
      <c r="UL43" s="10"/>
      <c r="UM43" s="10"/>
      <c r="UN43" s="10"/>
      <c r="UO43" s="10"/>
      <c r="UQ43" s="10"/>
      <c r="US43" s="10"/>
      <c r="UT43" s="10"/>
      <c r="UU43" s="10"/>
      <c r="UV43" s="10"/>
      <c r="UX43" s="10"/>
      <c r="UY43" s="10">
        <f ca="1">UL37</f>
        <v>31858.330650000004</v>
      </c>
      <c r="VA43" s="10" t="str">
        <f ca="1">IF(MIN(VA3:VA29)&lt;0,"WARNING","ok")</f>
        <v>ok</v>
      </c>
      <c r="VC43" s="15"/>
      <c r="VD43" s="27">
        <f ca="1">SUM(VK21:VK24,VO21:VO24)</f>
        <v>1066.1243188940591</v>
      </c>
      <c r="VF43" s="16"/>
      <c r="VG43" s="10"/>
      <c r="VH43" s="10"/>
      <c r="VI43" s="10"/>
      <c r="VJ43" s="10"/>
      <c r="VL43" s="10"/>
      <c r="VN43" s="10"/>
      <c r="VO43" s="10"/>
      <c r="VP43" s="10"/>
      <c r="VQ43" s="10"/>
      <c r="VS43" s="10"/>
      <c r="VT43" s="10">
        <f ca="1">VG37</f>
        <v>33038.067250000007</v>
      </c>
      <c r="VV43" s="10" t="str">
        <f ca="1">IF(MIN(VV3:VV29)&lt;0,"WARNING","ok")</f>
        <v>ok</v>
      </c>
      <c r="VX43" s="15"/>
      <c r="VY43" s="27">
        <f ca="1">SUM(WF21:WF24,WJ21:WJ24)</f>
        <v>1010.2857860988975</v>
      </c>
      <c r="WA43" s="16"/>
      <c r="WB43" s="10"/>
      <c r="WC43" s="10"/>
      <c r="WD43" s="10"/>
      <c r="WE43" s="10"/>
      <c r="WG43" s="10"/>
      <c r="WI43" s="10"/>
      <c r="WJ43" s="10"/>
      <c r="WK43" s="10"/>
      <c r="WL43" s="10"/>
      <c r="WN43" s="10"/>
      <c r="WO43" s="10">
        <f ca="1">WB37</f>
        <v>34179.74725</v>
      </c>
      <c r="WQ43" s="10" t="str">
        <f ca="1">IF(MIN(WQ3:WQ29)&lt;0,"WARNING","ok")</f>
        <v>ok</v>
      </c>
      <c r="WS43" s="15"/>
      <c r="WT43" s="27">
        <f ca="1">SUM(XA21:XA24,XE21:XE24)</f>
        <v>1161.9105133006542</v>
      </c>
      <c r="WV43" s="16"/>
      <c r="WW43" s="10"/>
      <c r="WX43" s="10"/>
      <c r="WY43" s="10"/>
      <c r="WZ43" s="10"/>
      <c r="XB43" s="10"/>
      <c r="XD43" s="10"/>
      <c r="XE43" s="10"/>
      <c r="XF43" s="10"/>
      <c r="XG43" s="10"/>
      <c r="XI43" s="10"/>
      <c r="XJ43" s="10">
        <f ca="1">WW37</f>
        <v>35359.483250000005</v>
      </c>
      <c r="XL43" s="10" t="str">
        <f ca="1">IF(MIN(XL3:XL29)&lt;0,"WARNING","ok")</f>
        <v>ok</v>
      </c>
    </row>
    <row r="44" spans="1:636" s="7" customFormat="1" x14ac:dyDescent="0.25">
      <c r="B44" s="8"/>
      <c r="C44" s="8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</row>
  </sheetData>
  <mergeCells count="91">
    <mergeCell ref="VI1:VK1"/>
    <mergeCell ref="VL1:VO1"/>
    <mergeCell ref="VS1:VU1"/>
    <mergeCell ref="UX1:UZ1"/>
    <mergeCell ref="SC1:SE1"/>
    <mergeCell ref="SF1:SI1"/>
    <mergeCell ref="SM1:SO1"/>
    <mergeCell ref="SX1:SZ1"/>
    <mergeCell ref="TA1:TD1"/>
    <mergeCell ref="TH1:TJ1"/>
    <mergeCell ref="TS1:TU1"/>
    <mergeCell ref="TV1:TY1"/>
    <mergeCell ref="UC1:UE1"/>
    <mergeCell ref="UN1:UP1"/>
    <mergeCell ref="UQ1:UT1"/>
    <mergeCell ref="RR1:RT1"/>
    <mergeCell ref="OW1:OY1"/>
    <mergeCell ref="OZ1:PC1"/>
    <mergeCell ref="PG1:PI1"/>
    <mergeCell ref="PR1:PT1"/>
    <mergeCell ref="PU1:PX1"/>
    <mergeCell ref="QB1:QD1"/>
    <mergeCell ref="QM1:QO1"/>
    <mergeCell ref="QP1:QS1"/>
    <mergeCell ref="QW1:QY1"/>
    <mergeCell ref="RH1:RJ1"/>
    <mergeCell ref="RK1:RN1"/>
    <mergeCell ref="OL1:ON1"/>
    <mergeCell ref="LQ1:LS1"/>
    <mergeCell ref="LT1:LW1"/>
    <mergeCell ref="MA1:MC1"/>
    <mergeCell ref="ML1:MN1"/>
    <mergeCell ref="MO1:MR1"/>
    <mergeCell ref="MV1:MX1"/>
    <mergeCell ref="NG1:NI1"/>
    <mergeCell ref="NJ1:NM1"/>
    <mergeCell ref="NQ1:NS1"/>
    <mergeCell ref="OB1:OD1"/>
    <mergeCell ref="OE1:OH1"/>
    <mergeCell ref="LF1:LH1"/>
    <mergeCell ref="IK1:IM1"/>
    <mergeCell ref="IN1:IQ1"/>
    <mergeCell ref="IU1:IW1"/>
    <mergeCell ref="JF1:JH1"/>
    <mergeCell ref="JI1:JL1"/>
    <mergeCell ref="JP1:JR1"/>
    <mergeCell ref="KA1:KC1"/>
    <mergeCell ref="KD1:KG1"/>
    <mergeCell ref="KK1:KM1"/>
    <mergeCell ref="KV1:KX1"/>
    <mergeCell ref="KY1:LB1"/>
    <mergeCell ref="HZ1:IB1"/>
    <mergeCell ref="FE1:FG1"/>
    <mergeCell ref="FH1:FK1"/>
    <mergeCell ref="FO1:FQ1"/>
    <mergeCell ref="FZ1:GB1"/>
    <mergeCell ref="GC1:GF1"/>
    <mergeCell ref="GJ1:GL1"/>
    <mergeCell ref="GU1:GW1"/>
    <mergeCell ref="GX1:HA1"/>
    <mergeCell ref="HE1:HG1"/>
    <mergeCell ref="HP1:HR1"/>
    <mergeCell ref="HS1:HV1"/>
    <mergeCell ref="A33:A34"/>
    <mergeCell ref="AI1:AK1"/>
    <mergeCell ref="H1:Z1"/>
    <mergeCell ref="BD1:BF1"/>
    <mergeCell ref="BG1:BJ1"/>
    <mergeCell ref="AL1:AO1"/>
    <mergeCell ref="AS1:AU1"/>
    <mergeCell ref="A3:A29"/>
    <mergeCell ref="A30:A32"/>
    <mergeCell ref="BN1:BP1"/>
    <mergeCell ref="ET1:EV1"/>
    <mergeCell ref="BY1:CA1"/>
    <mergeCell ref="CB1:CE1"/>
    <mergeCell ref="CI1:CK1"/>
    <mergeCell ref="CT1:CV1"/>
    <mergeCell ref="CW1:CZ1"/>
    <mergeCell ref="DD1:DF1"/>
    <mergeCell ref="DO1:DQ1"/>
    <mergeCell ref="DR1:DU1"/>
    <mergeCell ref="DY1:EA1"/>
    <mergeCell ref="EJ1:EL1"/>
    <mergeCell ref="EM1:EP1"/>
    <mergeCell ref="WY1:XA1"/>
    <mergeCell ref="XB1:XE1"/>
    <mergeCell ref="XI1:XK1"/>
    <mergeCell ref="WD1:WF1"/>
    <mergeCell ref="WG1:WJ1"/>
    <mergeCell ref="WN1:WP1"/>
  </mergeCells>
  <conditionalFormatting sqref="C3:C29">
    <cfRule type="expression" dxfId="3" priority="130">
      <formula>E3</formula>
    </cfRule>
  </conditionalFormatting>
  <conditionalFormatting sqref="AV3:AV35">
    <cfRule type="colorScale" priority="10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V37">
    <cfRule type="colorScale" priority="10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V39">
    <cfRule type="colorScale" priority="10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A3:AA29">
    <cfRule type="colorScale" priority="9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BQ3:BQ35">
    <cfRule type="colorScale" priority="9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BQ37">
    <cfRule type="colorScale" priority="9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BQ39">
    <cfRule type="colorScale" priority="9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A3:AA35">
    <cfRule type="colorScale" priority="9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A37">
    <cfRule type="colorScale" priority="8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AA39">
    <cfRule type="colorScale" priority="8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CL3:CL35">
    <cfRule type="colorScale" priority="8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CL37">
    <cfRule type="colorScale" priority="8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CL39">
    <cfRule type="colorScale" priority="8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DG3:DG35">
    <cfRule type="colorScale" priority="8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DG37">
    <cfRule type="colorScale" priority="8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DG39">
    <cfRule type="colorScale" priority="8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B3:EB35">
    <cfRule type="colorScale" priority="8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B37">
    <cfRule type="colorScale" priority="8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B39">
    <cfRule type="colorScale" priority="7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W3:EW35">
    <cfRule type="colorScale" priority="7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W37">
    <cfRule type="colorScale" priority="7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EW39">
    <cfRule type="colorScale" priority="7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FR3:FR35">
    <cfRule type="colorScale" priority="7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FR37">
    <cfRule type="colorScale" priority="7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FR39">
    <cfRule type="colorScale" priority="7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GM3:GM35">
    <cfRule type="colorScale" priority="7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GM37">
    <cfRule type="colorScale" priority="7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GM39">
    <cfRule type="colorScale" priority="7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HH3:HH35">
    <cfRule type="colorScale" priority="6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HH37">
    <cfRule type="colorScale" priority="6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HH39">
    <cfRule type="colorScale" priority="6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C3:IC35">
    <cfRule type="colorScale" priority="6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C37">
    <cfRule type="colorScale" priority="6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C39">
    <cfRule type="colorScale" priority="6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X3:IX35">
    <cfRule type="colorScale" priority="6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X37">
    <cfRule type="colorScale" priority="6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IX39">
    <cfRule type="colorScale" priority="6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JS3:JS35">
    <cfRule type="colorScale" priority="6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JS37">
    <cfRule type="colorScale" priority="5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JS39">
    <cfRule type="colorScale" priority="5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KN3:KN35">
    <cfRule type="colorScale" priority="5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KN37">
    <cfRule type="colorScale" priority="5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KN39">
    <cfRule type="colorScale" priority="5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LI3:LI35">
    <cfRule type="colorScale" priority="5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LI37">
    <cfRule type="colorScale" priority="5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LI39">
    <cfRule type="colorScale" priority="5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D3:MD35">
    <cfRule type="colorScale" priority="5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D37">
    <cfRule type="colorScale" priority="5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D39">
    <cfRule type="colorScale" priority="4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Y3:MY35">
    <cfRule type="colorScale" priority="4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Y37">
    <cfRule type="colorScale" priority="4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MY39">
    <cfRule type="colorScale" priority="4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NT3:NT35">
    <cfRule type="colorScale" priority="4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NT37">
    <cfRule type="colorScale" priority="4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NT39">
    <cfRule type="colorScale" priority="4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OO3:OO35">
    <cfRule type="colorScale" priority="4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OO37">
    <cfRule type="colorScale" priority="4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OO39">
    <cfRule type="colorScale" priority="4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PJ3:PJ35">
    <cfRule type="colorScale" priority="3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PJ37">
    <cfRule type="colorScale" priority="3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PJ39">
    <cfRule type="colorScale" priority="3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E3:QE35">
    <cfRule type="colorScale" priority="3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E37">
    <cfRule type="colorScale" priority="3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E39">
    <cfRule type="colorScale" priority="3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Z3:QZ35">
    <cfRule type="colorScale" priority="3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Z37">
    <cfRule type="colorScale" priority="3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QZ39">
    <cfRule type="colorScale" priority="3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RU3:RU35">
    <cfRule type="colorScale" priority="3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RU37">
    <cfRule type="colorScale" priority="2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RU39">
    <cfRule type="colorScale" priority="2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SP3:SP35">
    <cfRule type="colorScale" priority="2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SP37">
    <cfRule type="colorScale" priority="2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SP39">
    <cfRule type="colorScale" priority="2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TK3:TK35">
    <cfRule type="colorScale" priority="2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TK37">
    <cfRule type="colorScale" priority="2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TK39">
    <cfRule type="colorScale" priority="2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UF3:UF35">
    <cfRule type="colorScale" priority="2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UF37">
    <cfRule type="colorScale" priority="20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UF39">
    <cfRule type="colorScale" priority="1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A3:VA35">
    <cfRule type="colorScale" priority="1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A37">
    <cfRule type="colorScale" priority="1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A39">
    <cfRule type="colorScale" priority="1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V3:VV35">
    <cfRule type="colorScale" priority="9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V37">
    <cfRule type="colorScale" priority="8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VV39">
    <cfRule type="colorScale" priority="7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WQ3:WQ35">
    <cfRule type="colorScale" priority="6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WQ37">
    <cfRule type="colorScale" priority="5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WQ39">
    <cfRule type="colorScale" priority="4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XL3:XL35">
    <cfRule type="colorScale" priority="3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XL37">
    <cfRule type="colorScale" priority="2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conditionalFormatting sqref="XL39">
    <cfRule type="colorScale" priority="1">
      <colorScale>
        <cfvo type="num" val="0"/>
        <cfvo type="num" val="0.4"/>
        <cfvo type="num" val="1"/>
        <color rgb="FFFFC000"/>
        <color theme="0"/>
        <color theme="4" tint="0.59999389629810485"/>
      </colorScale>
    </cfRule>
  </conditionalFormatting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F41D152-90A5-4D2A-8D41-D83A98AB0CD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298892-1FAD-4988-8C9E-48EB21F249BE}">
  <ds:schemaRefs/>
</ds:datastoreItem>
</file>

<file path=customXml/itemProps3.xml><?xml version="1.0" encoding="utf-8"?>
<ds:datastoreItem xmlns:ds="http://schemas.openxmlformats.org/officeDocument/2006/customXml" ds:itemID="{DD07AE45-DAE4-4AF0-8EC6-B19F32596F4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Notes and stuff</vt:lpstr>
      <vt:lpstr>Plan</vt:lpstr>
      <vt:lpstr>Log 2018</vt:lpstr>
      <vt:lpstr>Log 2019</vt:lpstr>
      <vt:lpstr>Log 2020</vt:lpstr>
      <vt:lpstr>Totals</vt:lpstr>
      <vt:lpstr>Summary</vt:lpstr>
      <vt:lpstr>Buckets</vt:lpstr>
      <vt:lpstr>CategoriesList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</cp:lastModifiedBy>
  <dcterms:created xsi:type="dcterms:W3CDTF">2015-06-05T18:17:20Z</dcterms:created>
  <dcterms:modified xsi:type="dcterms:W3CDTF">2020-07-26T19:26:03Z</dcterms:modified>
</cp:coreProperties>
</file>